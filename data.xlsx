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BQ\Documents\Anti Gravity\cashflow-web-dashboard\"/>
    </mc:Choice>
  </mc:AlternateContent>
  <xr:revisionPtr revIDLastSave="0" documentId="13_ncr:1_{B32A27D2-0AEF-4A41-8396-9DDF6CC80CF7}" xr6:coauthVersionLast="47" xr6:coauthVersionMax="47" xr10:uidLastSave="{00000000-0000-0000-0000-000000000000}"/>
  <bookViews>
    <workbookView xWindow="-120" yWindow="-120" windowWidth="20730" windowHeight="11310" firstSheet="3" activeTab="6" xr2:uid="{00000000-000D-0000-FFFF-FFFF00000000}"/>
  </bookViews>
  <sheets>
    <sheet name="OUT_1" sheetId="1" state="hidden" r:id="rId1"/>
    <sheet name="CHART_1" sheetId="2" state="hidden" r:id="rId2"/>
    <sheet name="Detail" sheetId="3" state="hidden" r:id="rId3"/>
    <sheet name="OUT" sheetId="6" r:id="rId4"/>
    <sheet name="Ibal" sheetId="4" r:id="rId5"/>
    <sheet name="Zela" sheetId="5" r:id="rId6"/>
    <sheet name="SUMMARY" sheetId="7" r:id="rId7"/>
    <sheet name="CHART" sheetId="8" state="hidden" r:id="rId8"/>
  </sheets>
  <definedNames>
    <definedName name="_xlnm._FilterDatabase" localSheetId="4" hidden="1">Ibal!$A$4:$F$1359</definedName>
    <definedName name="_xlnm._FilterDatabase" localSheetId="3" hidden="1">OUT!$A$1:$T$2000</definedName>
    <definedName name="_xlnm._FilterDatabase" localSheetId="0" hidden="1">OUT_1!$A$4:$T$1357</definedName>
    <definedName name="_xlnm._FilterDatabase" localSheetId="5" hidden="1">Zela!$A$4:$F$1359</definedName>
  </definedNames>
  <calcPr calcId="191029" iterateDelta="1E-4"/>
  <pivotCaches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H78" i="7" l="1"/>
  <c r="C83" i="7"/>
  <c r="D83" i="7"/>
  <c r="E83" i="7"/>
  <c r="F83" i="7"/>
  <c r="G83" i="7"/>
  <c r="H83" i="7"/>
  <c r="I83" i="7"/>
  <c r="J83" i="7"/>
  <c r="J64" i="7"/>
  <c r="J86" i="7" s="1"/>
  <c r="I64" i="7"/>
  <c r="H64" i="7"/>
  <c r="H18" i="7" s="1"/>
  <c r="G64" i="7"/>
  <c r="G86" i="7" s="1"/>
  <c r="F64" i="7"/>
  <c r="F18" i="7" s="1"/>
  <c r="D64" i="7"/>
  <c r="E64" i="7"/>
  <c r="E18" i="7" s="1"/>
  <c r="C64" i="7"/>
  <c r="C86" i="7" s="1"/>
  <c r="J59" i="7"/>
  <c r="I59" i="7"/>
  <c r="H59" i="7"/>
  <c r="G59" i="7"/>
  <c r="F59" i="7"/>
  <c r="E59" i="7"/>
  <c r="D59" i="7"/>
  <c r="C59" i="7"/>
  <c r="DH13" i="7"/>
  <c r="J17" i="7"/>
  <c r="I17" i="7"/>
  <c r="H17" i="7"/>
  <c r="G17" i="7"/>
  <c r="F17" i="7"/>
  <c r="E17" i="7"/>
  <c r="D17" i="7"/>
  <c r="E16" i="7"/>
  <c r="I65" i="7"/>
  <c r="D86" i="7"/>
  <c r="J87" i="7"/>
  <c r="H87" i="7"/>
  <c r="F87" i="7"/>
  <c r="D87" i="7"/>
  <c r="C87" i="7"/>
  <c r="K87" i="7"/>
  <c r="I87" i="7"/>
  <c r="G87" i="7"/>
  <c r="E87" i="7"/>
  <c r="K86" i="7"/>
  <c r="K88" i="7" s="1"/>
  <c r="K83" i="7"/>
  <c r="K65" i="7"/>
  <c r="E62" i="7"/>
  <c r="I2000" i="6"/>
  <c r="H2000" i="6"/>
  <c r="N1999" i="6"/>
  <c r="H1999" i="6"/>
  <c r="I1998" i="6"/>
  <c r="H1998" i="6"/>
  <c r="N1997" i="6"/>
  <c r="H1997" i="6"/>
  <c r="I1996" i="6"/>
  <c r="H1996" i="6"/>
  <c r="N1995" i="6"/>
  <c r="H1995" i="6"/>
  <c r="I1994" i="6"/>
  <c r="H1994" i="6"/>
  <c r="N1993" i="6"/>
  <c r="H1993" i="6"/>
  <c r="I1992" i="6"/>
  <c r="H1992" i="6"/>
  <c r="N1991" i="6"/>
  <c r="H1991" i="6"/>
  <c r="I1990" i="6"/>
  <c r="H1990" i="6"/>
  <c r="N1989" i="6"/>
  <c r="H1989" i="6"/>
  <c r="I1988" i="6"/>
  <c r="H1988" i="6"/>
  <c r="N1987" i="6"/>
  <c r="H1987" i="6"/>
  <c r="I1986" i="6"/>
  <c r="H1986" i="6"/>
  <c r="I1985" i="6"/>
  <c r="H1985" i="6"/>
  <c r="H1984" i="6"/>
  <c r="I1983" i="6"/>
  <c r="H1983" i="6"/>
  <c r="H1982" i="6"/>
  <c r="I1981" i="6"/>
  <c r="H1981" i="6"/>
  <c r="H1980" i="6"/>
  <c r="I1979" i="6"/>
  <c r="H1979" i="6"/>
  <c r="H1978" i="6"/>
  <c r="I1977" i="6"/>
  <c r="H1977" i="6"/>
  <c r="H1976" i="6"/>
  <c r="I1975" i="6"/>
  <c r="H1975" i="6"/>
  <c r="H1974" i="6"/>
  <c r="I1973" i="6"/>
  <c r="H1973" i="6"/>
  <c r="H1972" i="6"/>
  <c r="I1971" i="6"/>
  <c r="H1971" i="6"/>
  <c r="H1970" i="6"/>
  <c r="I1969" i="6"/>
  <c r="H1969" i="6"/>
  <c r="H1968" i="6"/>
  <c r="I1967" i="6"/>
  <c r="H1967" i="6"/>
  <c r="H1966" i="6"/>
  <c r="N1965" i="6"/>
  <c r="H1965" i="6"/>
  <c r="I1964" i="6"/>
  <c r="H1964" i="6"/>
  <c r="N1963" i="6"/>
  <c r="H1963" i="6"/>
  <c r="I1962" i="6"/>
  <c r="H1962" i="6"/>
  <c r="N1961" i="6"/>
  <c r="H1961" i="6"/>
  <c r="I1960" i="6"/>
  <c r="H1960" i="6"/>
  <c r="N1959" i="6"/>
  <c r="H1959" i="6"/>
  <c r="I1958" i="6"/>
  <c r="H1958" i="6"/>
  <c r="N1957" i="6"/>
  <c r="H1957" i="6"/>
  <c r="I1956" i="6"/>
  <c r="H1956" i="6"/>
  <c r="N1955" i="6"/>
  <c r="H1955" i="6"/>
  <c r="I1954" i="6"/>
  <c r="H1954" i="6"/>
  <c r="N1953" i="6"/>
  <c r="H1953" i="6"/>
  <c r="I1952" i="6"/>
  <c r="H1952" i="6"/>
  <c r="N1951" i="6"/>
  <c r="H1951" i="6"/>
  <c r="I1950" i="6"/>
  <c r="H1950" i="6"/>
  <c r="N1949" i="6"/>
  <c r="H1949" i="6"/>
  <c r="I1948" i="6"/>
  <c r="H1948" i="6"/>
  <c r="N1947" i="6"/>
  <c r="H1947" i="6"/>
  <c r="I1946" i="6"/>
  <c r="H1946" i="6"/>
  <c r="N1945" i="6"/>
  <c r="H1945" i="6"/>
  <c r="I1944" i="6"/>
  <c r="H1944" i="6"/>
  <c r="N1943" i="6"/>
  <c r="H1943" i="6"/>
  <c r="I1942" i="6"/>
  <c r="H1942" i="6"/>
  <c r="N1941" i="6"/>
  <c r="H1941" i="6"/>
  <c r="I1940" i="6"/>
  <c r="H1940" i="6"/>
  <c r="N1939" i="6"/>
  <c r="H1939" i="6"/>
  <c r="I1938" i="6"/>
  <c r="H1938" i="6"/>
  <c r="N1937" i="6"/>
  <c r="H1937" i="6"/>
  <c r="I1936" i="6"/>
  <c r="H1936" i="6"/>
  <c r="N1935" i="6"/>
  <c r="H1935" i="6"/>
  <c r="I1934" i="6"/>
  <c r="H1934" i="6"/>
  <c r="N1933" i="6"/>
  <c r="H1933" i="6"/>
  <c r="I1932" i="6"/>
  <c r="H1932" i="6"/>
  <c r="N1931" i="6"/>
  <c r="H1931" i="6"/>
  <c r="I1930" i="6"/>
  <c r="H1930" i="6"/>
  <c r="N1929" i="6"/>
  <c r="H1929" i="6"/>
  <c r="I1928" i="6"/>
  <c r="H1928" i="6"/>
  <c r="N1927" i="6"/>
  <c r="H1927" i="6"/>
  <c r="I1926" i="6"/>
  <c r="H1926" i="6"/>
  <c r="N1925" i="6"/>
  <c r="H1925" i="6"/>
  <c r="I1924" i="6"/>
  <c r="H1924" i="6"/>
  <c r="N1923" i="6"/>
  <c r="H1923" i="6"/>
  <c r="I1922" i="6"/>
  <c r="H1922" i="6"/>
  <c r="N1921" i="6"/>
  <c r="H1921" i="6"/>
  <c r="H1920" i="6"/>
  <c r="I1919" i="6"/>
  <c r="H1919" i="6"/>
  <c r="H1918" i="6"/>
  <c r="I1917" i="6"/>
  <c r="H1917" i="6"/>
  <c r="H1916" i="6"/>
  <c r="I1915" i="6"/>
  <c r="H1915" i="6"/>
  <c r="H1914" i="6"/>
  <c r="I1913" i="6"/>
  <c r="H1913" i="6"/>
  <c r="H1912" i="6"/>
  <c r="I1911" i="6"/>
  <c r="H1911" i="6"/>
  <c r="H1910" i="6"/>
  <c r="I1909" i="6"/>
  <c r="H1909" i="6"/>
  <c r="N1908" i="6"/>
  <c r="H1908" i="6"/>
  <c r="I1907" i="6"/>
  <c r="H1907" i="6"/>
  <c r="N1906" i="6"/>
  <c r="H1906" i="6"/>
  <c r="I1905" i="6"/>
  <c r="H1905" i="6"/>
  <c r="N1904" i="6"/>
  <c r="H1904" i="6"/>
  <c r="I1903" i="6"/>
  <c r="H1903" i="6"/>
  <c r="N1902" i="6"/>
  <c r="H1902" i="6"/>
  <c r="I1901" i="6"/>
  <c r="H1901" i="6"/>
  <c r="N1900" i="6"/>
  <c r="H1900" i="6"/>
  <c r="I1899" i="6"/>
  <c r="H1899" i="6"/>
  <c r="N1898" i="6"/>
  <c r="H1898" i="6"/>
  <c r="I1897" i="6"/>
  <c r="H1897" i="6"/>
  <c r="N1896" i="6"/>
  <c r="H1896" i="6"/>
  <c r="I1895" i="6"/>
  <c r="H1895" i="6"/>
  <c r="N1894" i="6"/>
  <c r="H1894" i="6"/>
  <c r="I1893" i="6"/>
  <c r="H1893" i="6"/>
  <c r="N1892" i="6"/>
  <c r="H1892" i="6"/>
  <c r="I1891" i="6"/>
  <c r="H1891" i="6"/>
  <c r="N1890" i="6"/>
  <c r="H1890" i="6"/>
  <c r="I1889" i="6"/>
  <c r="H1889" i="6"/>
  <c r="N1888" i="6"/>
  <c r="H1888" i="6"/>
  <c r="I1887" i="6"/>
  <c r="H1887" i="6"/>
  <c r="N1886" i="6"/>
  <c r="H1886" i="6"/>
  <c r="I1885" i="6"/>
  <c r="H1885" i="6"/>
  <c r="N1884" i="6"/>
  <c r="H1884" i="6"/>
  <c r="I1883" i="6"/>
  <c r="H1883" i="6"/>
  <c r="N1882" i="6"/>
  <c r="H1882" i="6"/>
  <c r="I1881" i="6"/>
  <c r="H1881" i="6"/>
  <c r="N1880" i="6"/>
  <c r="H1880" i="6"/>
  <c r="I1879" i="6"/>
  <c r="H1879" i="6"/>
  <c r="N1878" i="6"/>
  <c r="H1878" i="6"/>
  <c r="I1877" i="6"/>
  <c r="H1877" i="6"/>
  <c r="N1876" i="6"/>
  <c r="H1876" i="6"/>
  <c r="I1875" i="6"/>
  <c r="H1875" i="6"/>
  <c r="N1874" i="6"/>
  <c r="H1874" i="6"/>
  <c r="I1873" i="6"/>
  <c r="H1873" i="6"/>
  <c r="N1872" i="6"/>
  <c r="H1872" i="6"/>
  <c r="I1871" i="6"/>
  <c r="H1871" i="6"/>
  <c r="N1870" i="6"/>
  <c r="H1870" i="6"/>
  <c r="I1869" i="6"/>
  <c r="H1869" i="6"/>
  <c r="N1868" i="6"/>
  <c r="H1868" i="6"/>
  <c r="I1867" i="6"/>
  <c r="H1867" i="6"/>
  <c r="N1866" i="6"/>
  <c r="H1866" i="6"/>
  <c r="I1865" i="6"/>
  <c r="H1865" i="6"/>
  <c r="N1864" i="6"/>
  <c r="H1864" i="6"/>
  <c r="I1863" i="6"/>
  <c r="H1863" i="6"/>
  <c r="N1862" i="6"/>
  <c r="H1862" i="6"/>
  <c r="I1861" i="6"/>
  <c r="H1861" i="6"/>
  <c r="N1860" i="6"/>
  <c r="H1860" i="6"/>
  <c r="I1859" i="6"/>
  <c r="H1859" i="6"/>
  <c r="N1858" i="6"/>
  <c r="H1858" i="6"/>
  <c r="I1857" i="6"/>
  <c r="H1857" i="6"/>
  <c r="N1856" i="6"/>
  <c r="H1856" i="6"/>
  <c r="I1855" i="6"/>
  <c r="H1855" i="6"/>
  <c r="N1854" i="6"/>
  <c r="H1854" i="6"/>
  <c r="I1853" i="6"/>
  <c r="H1853" i="6"/>
  <c r="N1852" i="6"/>
  <c r="H1852" i="6"/>
  <c r="I1851" i="6"/>
  <c r="H1851" i="6"/>
  <c r="N1850" i="6"/>
  <c r="H1850" i="6"/>
  <c r="I1849" i="6"/>
  <c r="H1849" i="6"/>
  <c r="N1848" i="6"/>
  <c r="H1848" i="6"/>
  <c r="I1847" i="6"/>
  <c r="H1847" i="6"/>
  <c r="N1846" i="6"/>
  <c r="H1846" i="6"/>
  <c r="I1845" i="6"/>
  <c r="H1845" i="6"/>
  <c r="N1844" i="6"/>
  <c r="H1844" i="6"/>
  <c r="I1843" i="6"/>
  <c r="H1843" i="6"/>
  <c r="N1842" i="6"/>
  <c r="H1842" i="6"/>
  <c r="I1841" i="6"/>
  <c r="H1841" i="6"/>
  <c r="N1840" i="6"/>
  <c r="H1840" i="6"/>
  <c r="I1839" i="6"/>
  <c r="H1839" i="6"/>
  <c r="N1838" i="6"/>
  <c r="H1838" i="6"/>
  <c r="I1837" i="6"/>
  <c r="H1837" i="6"/>
  <c r="N1836" i="6"/>
  <c r="H1836" i="6"/>
  <c r="I1835" i="6"/>
  <c r="H1835" i="6"/>
  <c r="N1834" i="6"/>
  <c r="H1834" i="6"/>
  <c r="I1833" i="6"/>
  <c r="H1833" i="6"/>
  <c r="N1832" i="6"/>
  <c r="H1832" i="6"/>
  <c r="H1831" i="6"/>
  <c r="I1830" i="6"/>
  <c r="H1830" i="6"/>
  <c r="N1829" i="6"/>
  <c r="H1829" i="6"/>
  <c r="I1828" i="6"/>
  <c r="H1828" i="6"/>
  <c r="N1827" i="6"/>
  <c r="H1827" i="6"/>
  <c r="I1826" i="6"/>
  <c r="H1826" i="6"/>
  <c r="N1825" i="6"/>
  <c r="H1825" i="6"/>
  <c r="I1824" i="6"/>
  <c r="H1824" i="6"/>
  <c r="N1823" i="6"/>
  <c r="H1823" i="6"/>
  <c r="I1822" i="6"/>
  <c r="H1822" i="6"/>
  <c r="N1821" i="6"/>
  <c r="H1821" i="6"/>
  <c r="I1820" i="6"/>
  <c r="H1820" i="6"/>
  <c r="N1819" i="6"/>
  <c r="H1819" i="6"/>
  <c r="I1818" i="6"/>
  <c r="H1818" i="6"/>
  <c r="N1817" i="6"/>
  <c r="H1817" i="6"/>
  <c r="I1816" i="6"/>
  <c r="H1816" i="6"/>
  <c r="N1815" i="6"/>
  <c r="H1815" i="6"/>
  <c r="I1814" i="6"/>
  <c r="H1814" i="6"/>
  <c r="N1813" i="6"/>
  <c r="H1813" i="6"/>
  <c r="I1812" i="6"/>
  <c r="H1812" i="6"/>
  <c r="N1811" i="6"/>
  <c r="H1811" i="6"/>
  <c r="I1810" i="6"/>
  <c r="H1810" i="6"/>
  <c r="N1809" i="6"/>
  <c r="H1809" i="6"/>
  <c r="I1808" i="6"/>
  <c r="H1808" i="6"/>
  <c r="N1807" i="6"/>
  <c r="H1807" i="6"/>
  <c r="I1806" i="6"/>
  <c r="H1806" i="6"/>
  <c r="N1805" i="6"/>
  <c r="H1805" i="6"/>
  <c r="I1804" i="6"/>
  <c r="H1804" i="6"/>
  <c r="N1803" i="6"/>
  <c r="H1803" i="6"/>
  <c r="I1802" i="6"/>
  <c r="H1802" i="6"/>
  <c r="N1801" i="6"/>
  <c r="H1801" i="6"/>
  <c r="I1800" i="6"/>
  <c r="H1800" i="6"/>
  <c r="N1799" i="6"/>
  <c r="H1799" i="6"/>
  <c r="I1798" i="6"/>
  <c r="H1798" i="6"/>
  <c r="N1797" i="6"/>
  <c r="H1797" i="6"/>
  <c r="I1796" i="6"/>
  <c r="H1796" i="6"/>
  <c r="N1795" i="6"/>
  <c r="H1795" i="6"/>
  <c r="I1794" i="6"/>
  <c r="H1794" i="6"/>
  <c r="N1793" i="6"/>
  <c r="H1793" i="6"/>
  <c r="I1792" i="6"/>
  <c r="H1792" i="6"/>
  <c r="N1791" i="6"/>
  <c r="H1791" i="6"/>
  <c r="I1790" i="6"/>
  <c r="H1790" i="6"/>
  <c r="N1789" i="6"/>
  <c r="H1789" i="6"/>
  <c r="I1788" i="6"/>
  <c r="H1788" i="6"/>
  <c r="N1787" i="6"/>
  <c r="H1787" i="6"/>
  <c r="I1786" i="6"/>
  <c r="H1786" i="6"/>
  <c r="N1785" i="6"/>
  <c r="H1785" i="6"/>
  <c r="I1784" i="6"/>
  <c r="H1784" i="6"/>
  <c r="N1783" i="6"/>
  <c r="H1783" i="6"/>
  <c r="I1782" i="6"/>
  <c r="H1782" i="6"/>
  <c r="N1781" i="6"/>
  <c r="H1781" i="6"/>
  <c r="I1780" i="6"/>
  <c r="H1780" i="6"/>
  <c r="N1779" i="6"/>
  <c r="H1779" i="6"/>
  <c r="I1778" i="6"/>
  <c r="H1778" i="6"/>
  <c r="N1777" i="6"/>
  <c r="H1777" i="6"/>
  <c r="I1776" i="6"/>
  <c r="H1776" i="6"/>
  <c r="N1775" i="6"/>
  <c r="H1775" i="6"/>
  <c r="I1774" i="6"/>
  <c r="H1774" i="6"/>
  <c r="N1773" i="6"/>
  <c r="H1773" i="6"/>
  <c r="I1772" i="6"/>
  <c r="H1772" i="6"/>
  <c r="N1771" i="6"/>
  <c r="H1771" i="6"/>
  <c r="I1770" i="6"/>
  <c r="H1770" i="6"/>
  <c r="N1769" i="6"/>
  <c r="H1769" i="6"/>
  <c r="I1768" i="6"/>
  <c r="H1768" i="6"/>
  <c r="N1767" i="6"/>
  <c r="H1767" i="6"/>
  <c r="I1766" i="6"/>
  <c r="H1766" i="6"/>
  <c r="N1765" i="6"/>
  <c r="H1765" i="6"/>
  <c r="I1764" i="6"/>
  <c r="H1764" i="6"/>
  <c r="N1763" i="6"/>
  <c r="H1763" i="6"/>
  <c r="I1762" i="6"/>
  <c r="H1762" i="6"/>
  <c r="N1761" i="6"/>
  <c r="H1761" i="6"/>
  <c r="I1760" i="6"/>
  <c r="H1760" i="6"/>
  <c r="N1759" i="6"/>
  <c r="H1759" i="6"/>
  <c r="I1758" i="6"/>
  <c r="H1758" i="6"/>
  <c r="N1757" i="6"/>
  <c r="H1757" i="6"/>
  <c r="I1756" i="6"/>
  <c r="H1756" i="6"/>
  <c r="N1755" i="6"/>
  <c r="H1755" i="6"/>
  <c r="I1754" i="6"/>
  <c r="H1754" i="6"/>
  <c r="N1753" i="6"/>
  <c r="H1753" i="6"/>
  <c r="I1752" i="6"/>
  <c r="H1752" i="6"/>
  <c r="N1751" i="6"/>
  <c r="H1751" i="6"/>
  <c r="I1750" i="6"/>
  <c r="H1750" i="6"/>
  <c r="N1749" i="6"/>
  <c r="H1749" i="6"/>
  <c r="I1748" i="6"/>
  <c r="H1748" i="6"/>
  <c r="N1747" i="6"/>
  <c r="H1747" i="6"/>
  <c r="I1746" i="6"/>
  <c r="H1746" i="6"/>
  <c r="N1745" i="6"/>
  <c r="H1745" i="6"/>
  <c r="I1744" i="6"/>
  <c r="H1744" i="6"/>
  <c r="N1743" i="6"/>
  <c r="H1743" i="6"/>
  <c r="I1742" i="6"/>
  <c r="H1742" i="6"/>
  <c r="N1741" i="6"/>
  <c r="H1741" i="6"/>
  <c r="I1740" i="6"/>
  <c r="H1740" i="6"/>
  <c r="N1739" i="6"/>
  <c r="H1739" i="6"/>
  <c r="I1738" i="6"/>
  <c r="H1738" i="6"/>
  <c r="N1737" i="6"/>
  <c r="H1737" i="6"/>
  <c r="I1736" i="6"/>
  <c r="H1736" i="6"/>
  <c r="N1735" i="6"/>
  <c r="H1735" i="6"/>
  <c r="I1734" i="6"/>
  <c r="H1734" i="6"/>
  <c r="N1733" i="6"/>
  <c r="H1733" i="6"/>
  <c r="I1732" i="6"/>
  <c r="H1732" i="6"/>
  <c r="N1731" i="6"/>
  <c r="H1731" i="6"/>
  <c r="I1730" i="6"/>
  <c r="H1730" i="6"/>
  <c r="N1729" i="6"/>
  <c r="H1729" i="6"/>
  <c r="I1728" i="6"/>
  <c r="H1728" i="6"/>
  <c r="N1727" i="6"/>
  <c r="H1727" i="6"/>
  <c r="I1726" i="6"/>
  <c r="H1726" i="6"/>
  <c r="N1725" i="6"/>
  <c r="H1725" i="6"/>
  <c r="I1724" i="6"/>
  <c r="H1724" i="6"/>
  <c r="N1723" i="6"/>
  <c r="H1723" i="6"/>
  <c r="I1722" i="6"/>
  <c r="H1722" i="6"/>
  <c r="N1721" i="6"/>
  <c r="H1721" i="6"/>
  <c r="I1720" i="6"/>
  <c r="H1720" i="6"/>
  <c r="N1719" i="6"/>
  <c r="H1719" i="6"/>
  <c r="I1718" i="6"/>
  <c r="H1718" i="6"/>
  <c r="N1717" i="6"/>
  <c r="H1717" i="6"/>
  <c r="I1716" i="6"/>
  <c r="H1716" i="6"/>
  <c r="N1715" i="6"/>
  <c r="H1715" i="6"/>
  <c r="I1714" i="6"/>
  <c r="H1714" i="6"/>
  <c r="N1713" i="6"/>
  <c r="H1713" i="6"/>
  <c r="I1712" i="6"/>
  <c r="H1712" i="6"/>
  <c r="N1711" i="6"/>
  <c r="H1711" i="6"/>
  <c r="I1710" i="6"/>
  <c r="H1710" i="6"/>
  <c r="N1709" i="6"/>
  <c r="H1709" i="6"/>
  <c r="I1708" i="6"/>
  <c r="H1708" i="6"/>
  <c r="N1707" i="6"/>
  <c r="H1707" i="6"/>
  <c r="I1706" i="6"/>
  <c r="H1706" i="6"/>
  <c r="N1705" i="6"/>
  <c r="H1705" i="6"/>
  <c r="I1704" i="6"/>
  <c r="H1704" i="6"/>
  <c r="N1703" i="6"/>
  <c r="H1703" i="6"/>
  <c r="I1702" i="6"/>
  <c r="H1702" i="6"/>
  <c r="N1701" i="6"/>
  <c r="H1701" i="6"/>
  <c r="I1700" i="6"/>
  <c r="H1700" i="6"/>
  <c r="N1699" i="6"/>
  <c r="H1699" i="6"/>
  <c r="I1698" i="6"/>
  <c r="H1698" i="6"/>
  <c r="N1697" i="6"/>
  <c r="H1697" i="6"/>
  <c r="I1696" i="6"/>
  <c r="H1696" i="6"/>
  <c r="N1695" i="6"/>
  <c r="H1695" i="6"/>
  <c r="I1694" i="6"/>
  <c r="H1694" i="6"/>
  <c r="N1693" i="6"/>
  <c r="H1693" i="6"/>
  <c r="I1692" i="6"/>
  <c r="H1692" i="6"/>
  <c r="N1691" i="6"/>
  <c r="H1691" i="6"/>
  <c r="I1690" i="6"/>
  <c r="H1690" i="6"/>
  <c r="N1689" i="6"/>
  <c r="H1689" i="6"/>
  <c r="I1688" i="6"/>
  <c r="H1688" i="6"/>
  <c r="N1687" i="6"/>
  <c r="H1687" i="6"/>
  <c r="I1686" i="6"/>
  <c r="H1686" i="6"/>
  <c r="N1685" i="6"/>
  <c r="H1685" i="6"/>
  <c r="I1684" i="6"/>
  <c r="H1684" i="6"/>
  <c r="N1683" i="6"/>
  <c r="H1683" i="6"/>
  <c r="I1682" i="6"/>
  <c r="H1682" i="6"/>
  <c r="N1681" i="6"/>
  <c r="H1681" i="6"/>
  <c r="I1680" i="6"/>
  <c r="H1680" i="6"/>
  <c r="N1679" i="6"/>
  <c r="H1679" i="6"/>
  <c r="I1678" i="6"/>
  <c r="H1678" i="6"/>
  <c r="N1677" i="6"/>
  <c r="H1677" i="6"/>
  <c r="I1676" i="6"/>
  <c r="H1676" i="6"/>
  <c r="N1675" i="6"/>
  <c r="H1675" i="6"/>
  <c r="I1674" i="6"/>
  <c r="H1674" i="6"/>
  <c r="N1673" i="6"/>
  <c r="H1673" i="6"/>
  <c r="I1672" i="6"/>
  <c r="H1672" i="6"/>
  <c r="N1671" i="6"/>
  <c r="H1671" i="6"/>
  <c r="I1670" i="6"/>
  <c r="H1670" i="6"/>
  <c r="N1669" i="6"/>
  <c r="H1669" i="6"/>
  <c r="I1668" i="6"/>
  <c r="H1668" i="6"/>
  <c r="N1667" i="6"/>
  <c r="H1667" i="6"/>
  <c r="I1666" i="6"/>
  <c r="H1666" i="6"/>
  <c r="N1665" i="6"/>
  <c r="H1665" i="6"/>
  <c r="I1664" i="6"/>
  <c r="H1664" i="6"/>
  <c r="N1663" i="6"/>
  <c r="H1663" i="6"/>
  <c r="I1662" i="6"/>
  <c r="H1662" i="6"/>
  <c r="N1661" i="6"/>
  <c r="H1661" i="6"/>
  <c r="I1660" i="6"/>
  <c r="H1660" i="6"/>
  <c r="N1659" i="6"/>
  <c r="H1659" i="6"/>
  <c r="I1658" i="6"/>
  <c r="H1658" i="6"/>
  <c r="N1657" i="6"/>
  <c r="H1657" i="6"/>
  <c r="I1656" i="6"/>
  <c r="H1656" i="6"/>
  <c r="N1655" i="6"/>
  <c r="H1655" i="6"/>
  <c r="I1654" i="6"/>
  <c r="H1654" i="6"/>
  <c r="N1653" i="6"/>
  <c r="H1653" i="6"/>
  <c r="I1652" i="6"/>
  <c r="H1652" i="6"/>
  <c r="N1651" i="6"/>
  <c r="H1651" i="6"/>
  <c r="I1650" i="6"/>
  <c r="H1650" i="6"/>
  <c r="N1649" i="6"/>
  <c r="H1649" i="6"/>
  <c r="I1648" i="6"/>
  <c r="H1648" i="6"/>
  <c r="N1647" i="6"/>
  <c r="H1647" i="6"/>
  <c r="I1646" i="6"/>
  <c r="H1646" i="6"/>
  <c r="N1645" i="6"/>
  <c r="H1645" i="6"/>
  <c r="I1644" i="6"/>
  <c r="H1644" i="6"/>
  <c r="N1643" i="6"/>
  <c r="H1643" i="6"/>
  <c r="I1642" i="6"/>
  <c r="H1642" i="6"/>
  <c r="N1641" i="6"/>
  <c r="H1641" i="6"/>
  <c r="I1640" i="6"/>
  <c r="H1640" i="6"/>
  <c r="N1639" i="6"/>
  <c r="H1639" i="6"/>
  <c r="I1638" i="6"/>
  <c r="H1638" i="6"/>
  <c r="N1637" i="6"/>
  <c r="H1637" i="6"/>
  <c r="I1636" i="6"/>
  <c r="H1636" i="6"/>
  <c r="N1635" i="6"/>
  <c r="H1635" i="6"/>
  <c r="I1634" i="6"/>
  <c r="H1634" i="6"/>
  <c r="N1633" i="6"/>
  <c r="H1633" i="6"/>
  <c r="I1632" i="6"/>
  <c r="H1632" i="6"/>
  <c r="N1631" i="6"/>
  <c r="H1631" i="6"/>
  <c r="I1630" i="6"/>
  <c r="H1630" i="6"/>
  <c r="N1629" i="6"/>
  <c r="H1629" i="6"/>
  <c r="I1628" i="6"/>
  <c r="H1628" i="6"/>
  <c r="N1627" i="6"/>
  <c r="H1627" i="6"/>
  <c r="I1626" i="6"/>
  <c r="H1626" i="6"/>
  <c r="N1625" i="6"/>
  <c r="H1625" i="6"/>
  <c r="I1624" i="6"/>
  <c r="H1624" i="6"/>
  <c r="N1623" i="6"/>
  <c r="H1623" i="6"/>
  <c r="I1622" i="6"/>
  <c r="H1622" i="6"/>
  <c r="N1621" i="6"/>
  <c r="H1621" i="6"/>
  <c r="I1620" i="6"/>
  <c r="H1620" i="6"/>
  <c r="N1619" i="6"/>
  <c r="H1619" i="6"/>
  <c r="I1618" i="6"/>
  <c r="H1618" i="6"/>
  <c r="N1617" i="6"/>
  <c r="H1617" i="6"/>
  <c r="I1616" i="6"/>
  <c r="H1616" i="6"/>
  <c r="N1615" i="6"/>
  <c r="H1615" i="6"/>
  <c r="I1614" i="6"/>
  <c r="H1614" i="6"/>
  <c r="N1613" i="6"/>
  <c r="H1613" i="6"/>
  <c r="I1612" i="6"/>
  <c r="H1612" i="6"/>
  <c r="N1611" i="6"/>
  <c r="H1611" i="6"/>
  <c r="I1610" i="6"/>
  <c r="H1610" i="6"/>
  <c r="N1609" i="6"/>
  <c r="H1609" i="6"/>
  <c r="I1608" i="6"/>
  <c r="H1608" i="6"/>
  <c r="N1607" i="6"/>
  <c r="H1607" i="6"/>
  <c r="I1606" i="6"/>
  <c r="H1606" i="6"/>
  <c r="N1605" i="6"/>
  <c r="H1605" i="6"/>
  <c r="I1604" i="6"/>
  <c r="H1604" i="6"/>
  <c r="N1603" i="6"/>
  <c r="H1603" i="6"/>
  <c r="I1602" i="6"/>
  <c r="H1602" i="6"/>
  <c r="N1601" i="6"/>
  <c r="H1601" i="6"/>
  <c r="I1600" i="6"/>
  <c r="H1600" i="6"/>
  <c r="N1599" i="6"/>
  <c r="H1599" i="6"/>
  <c r="I1598" i="6"/>
  <c r="H1598" i="6"/>
  <c r="N1597" i="6"/>
  <c r="H1597" i="6"/>
  <c r="I1596" i="6"/>
  <c r="H1596" i="6"/>
  <c r="N1595" i="6"/>
  <c r="H1595" i="6"/>
  <c r="I1594" i="6"/>
  <c r="H1594" i="6"/>
  <c r="N1593" i="6"/>
  <c r="H1593" i="6"/>
  <c r="I1592" i="6"/>
  <c r="H1592" i="6"/>
  <c r="N1591" i="6"/>
  <c r="H1591" i="6"/>
  <c r="I1590" i="6"/>
  <c r="H1590" i="6"/>
  <c r="N1589" i="6"/>
  <c r="H1589" i="6"/>
  <c r="I1588" i="6"/>
  <c r="H1588" i="6"/>
  <c r="N1587" i="6"/>
  <c r="H1587" i="6"/>
  <c r="I1586" i="6"/>
  <c r="H1586" i="6"/>
  <c r="N1585" i="6"/>
  <c r="H1585" i="6"/>
  <c r="I1584" i="6"/>
  <c r="H1584" i="6"/>
  <c r="N1583" i="6"/>
  <c r="H1583" i="6"/>
  <c r="I1582" i="6"/>
  <c r="H1582" i="6"/>
  <c r="N1581" i="6"/>
  <c r="H1581" i="6"/>
  <c r="I1580" i="6"/>
  <c r="H1580" i="6"/>
  <c r="N1579" i="6"/>
  <c r="H1579" i="6"/>
  <c r="I1578" i="6"/>
  <c r="H1578" i="6"/>
  <c r="N1577" i="6"/>
  <c r="H1577" i="6"/>
  <c r="I1576" i="6"/>
  <c r="H1576" i="6"/>
  <c r="N1575" i="6"/>
  <c r="H1575" i="6"/>
  <c r="I1574" i="6"/>
  <c r="H1574" i="6"/>
  <c r="N1573" i="6"/>
  <c r="H1573" i="6"/>
  <c r="I1572" i="6"/>
  <c r="H1572" i="6"/>
  <c r="N1571" i="6"/>
  <c r="H1571" i="6"/>
  <c r="I1570" i="6"/>
  <c r="H1570" i="6"/>
  <c r="N1569" i="6"/>
  <c r="H1569" i="6"/>
  <c r="I1568" i="6"/>
  <c r="H1568" i="6"/>
  <c r="N1567" i="6"/>
  <c r="H1567" i="6"/>
  <c r="I1566" i="6"/>
  <c r="H1566" i="6"/>
  <c r="N1565" i="6"/>
  <c r="H1565" i="6"/>
  <c r="I1564" i="6"/>
  <c r="H1564" i="6"/>
  <c r="N1563" i="6"/>
  <c r="H1563" i="6"/>
  <c r="I1562" i="6"/>
  <c r="H1562" i="6"/>
  <c r="N1561" i="6"/>
  <c r="H1561" i="6"/>
  <c r="I1560" i="6"/>
  <c r="H1560" i="6"/>
  <c r="N1559" i="6"/>
  <c r="H1559" i="6"/>
  <c r="I1558" i="6"/>
  <c r="H1558" i="6"/>
  <c r="N1557" i="6"/>
  <c r="H1557" i="6"/>
  <c r="I1556" i="6"/>
  <c r="H1556" i="6"/>
  <c r="N1555" i="6"/>
  <c r="H1555" i="6"/>
  <c r="I1554" i="6"/>
  <c r="H1554" i="6"/>
  <c r="N1553" i="6"/>
  <c r="H1553" i="6"/>
  <c r="I1552" i="6"/>
  <c r="H1552" i="6"/>
  <c r="N1551" i="6"/>
  <c r="H1551" i="6"/>
  <c r="I1550" i="6"/>
  <c r="H1550" i="6"/>
  <c r="N1549" i="6"/>
  <c r="H1549" i="6"/>
  <c r="I1548" i="6"/>
  <c r="H1548" i="6"/>
  <c r="N1547" i="6"/>
  <c r="H1547" i="6"/>
  <c r="I1546" i="6"/>
  <c r="H1546" i="6"/>
  <c r="N1545" i="6"/>
  <c r="H1545" i="6"/>
  <c r="I1544" i="6"/>
  <c r="H1544" i="6"/>
  <c r="N1543" i="6"/>
  <c r="H1543" i="6"/>
  <c r="I1542" i="6"/>
  <c r="H1542" i="6"/>
  <c r="N1541" i="6"/>
  <c r="H1541" i="6"/>
  <c r="I1540" i="6"/>
  <c r="H1540" i="6"/>
  <c r="N1539" i="6"/>
  <c r="H1539" i="6"/>
  <c r="I1538" i="6"/>
  <c r="H1538" i="6"/>
  <c r="N1537" i="6"/>
  <c r="H1537" i="6"/>
  <c r="I1536" i="6"/>
  <c r="H1536" i="6"/>
  <c r="N1535" i="6"/>
  <c r="H1535" i="6"/>
  <c r="I1534" i="6"/>
  <c r="H1534" i="6"/>
  <c r="N1533" i="6"/>
  <c r="H1533" i="6"/>
  <c r="I1532" i="6"/>
  <c r="H1532" i="6"/>
  <c r="H1531" i="6"/>
  <c r="I1530" i="6"/>
  <c r="H1530" i="6"/>
  <c r="N1529" i="6"/>
  <c r="H1529" i="6"/>
  <c r="I1528" i="6"/>
  <c r="H1528" i="6"/>
  <c r="N1527" i="6"/>
  <c r="H1527" i="6"/>
  <c r="I1526" i="6"/>
  <c r="H1526" i="6"/>
  <c r="N1525" i="6"/>
  <c r="H1525" i="6"/>
  <c r="I1524" i="6"/>
  <c r="H1524" i="6"/>
  <c r="N1523" i="6"/>
  <c r="H1523" i="6"/>
  <c r="I1522" i="6"/>
  <c r="H1522" i="6"/>
  <c r="N1521" i="6"/>
  <c r="H1521" i="6"/>
  <c r="I1520" i="6"/>
  <c r="H1520" i="6"/>
  <c r="N1519" i="6"/>
  <c r="H1519" i="6"/>
  <c r="I1518" i="6"/>
  <c r="H1518" i="6"/>
  <c r="N1517" i="6"/>
  <c r="H1517" i="6"/>
  <c r="I1516" i="6"/>
  <c r="H1516" i="6"/>
  <c r="N1515" i="6"/>
  <c r="H1515" i="6"/>
  <c r="I1514" i="6"/>
  <c r="H1514" i="6"/>
  <c r="N1513" i="6"/>
  <c r="H1513" i="6"/>
  <c r="I1512" i="6"/>
  <c r="H1512" i="6"/>
  <c r="N1511" i="6"/>
  <c r="H1511" i="6"/>
  <c r="I1510" i="6"/>
  <c r="H1510" i="6"/>
  <c r="N1509" i="6"/>
  <c r="H1509" i="6"/>
  <c r="I1508" i="6"/>
  <c r="H1508" i="6"/>
  <c r="N1507" i="6"/>
  <c r="H1507" i="6"/>
  <c r="I1506" i="6"/>
  <c r="H1506" i="6"/>
  <c r="N1505" i="6"/>
  <c r="H1505" i="6"/>
  <c r="I1504" i="6"/>
  <c r="H1504" i="6"/>
  <c r="N1503" i="6"/>
  <c r="H1503" i="6"/>
  <c r="I1502" i="6"/>
  <c r="H1502" i="6"/>
  <c r="N1501" i="6"/>
  <c r="H1501" i="6"/>
  <c r="I1500" i="6"/>
  <c r="H1500" i="6"/>
  <c r="N1499" i="6"/>
  <c r="H1499" i="6"/>
  <c r="I1498" i="6"/>
  <c r="H1498" i="6"/>
  <c r="N1497" i="6"/>
  <c r="H1497" i="6"/>
  <c r="I1496" i="6"/>
  <c r="H1496" i="6"/>
  <c r="N1495" i="6"/>
  <c r="H1495" i="6"/>
  <c r="I1494" i="6"/>
  <c r="H1494" i="6"/>
  <c r="N1493" i="6"/>
  <c r="H1493" i="6"/>
  <c r="I1492" i="6"/>
  <c r="H1492" i="6"/>
  <c r="N1491" i="6"/>
  <c r="H1491" i="6"/>
  <c r="I1490" i="6"/>
  <c r="H1490" i="6"/>
  <c r="N1489" i="6"/>
  <c r="H1489" i="6"/>
  <c r="I1488" i="6"/>
  <c r="H1488" i="6"/>
  <c r="N1487" i="6"/>
  <c r="H1487" i="6"/>
  <c r="I1486" i="6"/>
  <c r="H1486" i="6"/>
  <c r="N1485" i="6"/>
  <c r="H1485" i="6"/>
  <c r="I1484" i="6"/>
  <c r="H1484" i="6"/>
  <c r="N1483" i="6"/>
  <c r="H1483" i="6"/>
  <c r="I1482" i="6"/>
  <c r="H1482" i="6"/>
  <c r="N1481" i="6"/>
  <c r="H1481" i="6"/>
  <c r="I1480" i="6"/>
  <c r="H1480" i="6"/>
  <c r="N1479" i="6"/>
  <c r="H1479" i="6"/>
  <c r="I1478" i="6"/>
  <c r="H1478" i="6"/>
  <c r="N1477" i="6"/>
  <c r="H1477" i="6"/>
  <c r="I1476" i="6"/>
  <c r="H1476" i="6"/>
  <c r="N1475" i="6"/>
  <c r="H1475" i="6"/>
  <c r="I1474" i="6"/>
  <c r="H1474" i="6"/>
  <c r="N1473" i="6"/>
  <c r="H1473" i="6"/>
  <c r="I1472" i="6"/>
  <c r="H1472" i="6"/>
  <c r="N1471" i="6"/>
  <c r="H1471" i="6"/>
  <c r="I1470" i="6"/>
  <c r="H1470" i="6"/>
  <c r="N1469" i="6"/>
  <c r="H1469" i="6"/>
  <c r="I1468" i="6"/>
  <c r="H1468" i="6"/>
  <c r="N1467" i="6"/>
  <c r="H1467" i="6"/>
  <c r="I1466" i="6"/>
  <c r="H1466" i="6"/>
  <c r="N1465" i="6"/>
  <c r="H1465" i="6"/>
  <c r="I1464" i="6"/>
  <c r="H1464" i="6"/>
  <c r="N1463" i="6"/>
  <c r="H1463" i="6"/>
  <c r="I1462" i="6"/>
  <c r="H1462" i="6"/>
  <c r="N1461" i="6"/>
  <c r="H1461" i="6"/>
  <c r="I1460" i="6"/>
  <c r="H1460" i="6"/>
  <c r="H1459" i="6"/>
  <c r="I1458" i="6"/>
  <c r="H1458" i="6"/>
  <c r="H1457" i="6"/>
  <c r="I1456" i="6"/>
  <c r="H1456" i="6"/>
  <c r="H1455" i="6"/>
  <c r="I1454" i="6"/>
  <c r="H1454" i="6"/>
  <c r="H1453" i="6"/>
  <c r="I1452" i="6"/>
  <c r="H1452" i="6"/>
  <c r="H1451" i="6"/>
  <c r="I1450" i="6"/>
  <c r="H1450" i="6"/>
  <c r="H1449" i="6"/>
  <c r="I1448" i="6"/>
  <c r="H1448" i="6"/>
  <c r="H1447" i="6"/>
  <c r="I1446" i="6"/>
  <c r="H1446" i="6"/>
  <c r="H1445" i="6"/>
  <c r="I1444" i="6"/>
  <c r="H1444" i="6"/>
  <c r="H1443" i="6"/>
  <c r="I1442" i="6"/>
  <c r="H1442" i="6"/>
  <c r="H1441" i="6"/>
  <c r="I1440" i="6"/>
  <c r="H1440" i="6"/>
  <c r="H1439" i="6"/>
  <c r="I1438" i="6"/>
  <c r="H1438" i="6"/>
  <c r="N1437" i="6"/>
  <c r="H1437" i="6"/>
  <c r="I1436" i="6"/>
  <c r="H1436" i="6"/>
  <c r="N1435" i="6"/>
  <c r="H1435" i="6"/>
  <c r="I1434" i="6"/>
  <c r="H1434" i="6"/>
  <c r="N1433" i="6"/>
  <c r="H1433" i="6"/>
  <c r="I1432" i="6"/>
  <c r="H1432" i="6"/>
  <c r="N1431" i="6"/>
  <c r="H1431" i="6"/>
  <c r="I1430" i="6"/>
  <c r="H1430" i="6"/>
  <c r="N1429" i="6"/>
  <c r="H1429" i="6"/>
  <c r="I1428" i="6"/>
  <c r="H1428" i="6"/>
  <c r="N1427" i="6"/>
  <c r="H1427" i="6"/>
  <c r="I1426" i="6"/>
  <c r="H1426" i="6"/>
  <c r="N1425" i="6"/>
  <c r="H1425" i="6"/>
  <c r="I1424" i="6"/>
  <c r="H1424" i="6"/>
  <c r="N1423" i="6"/>
  <c r="H1423" i="6"/>
  <c r="I1422" i="6"/>
  <c r="H1422" i="6"/>
  <c r="N1421" i="6"/>
  <c r="H1421" i="6"/>
  <c r="I1420" i="6"/>
  <c r="H1420" i="6"/>
  <c r="N1419" i="6"/>
  <c r="H1419" i="6"/>
  <c r="I1418" i="6"/>
  <c r="H1418" i="6"/>
  <c r="N1417" i="6"/>
  <c r="H1417" i="6"/>
  <c r="I1416" i="6"/>
  <c r="H1416" i="6"/>
  <c r="N1415" i="6"/>
  <c r="H1415" i="6"/>
  <c r="I1414" i="6"/>
  <c r="H1414" i="6"/>
  <c r="N1413" i="6"/>
  <c r="H1413" i="6"/>
  <c r="I1412" i="6"/>
  <c r="H1412" i="6"/>
  <c r="N1411" i="6"/>
  <c r="H1411" i="6"/>
  <c r="I1410" i="6"/>
  <c r="H1410" i="6"/>
  <c r="N1409" i="6"/>
  <c r="H1409" i="6"/>
  <c r="I1408" i="6"/>
  <c r="H1408" i="6"/>
  <c r="N1407" i="6"/>
  <c r="H1407" i="6"/>
  <c r="I1406" i="6"/>
  <c r="H1406" i="6"/>
  <c r="N1405" i="6"/>
  <c r="H1405" i="6"/>
  <c r="I1404" i="6"/>
  <c r="H1404" i="6"/>
  <c r="N1403" i="6"/>
  <c r="H1403" i="6"/>
  <c r="I1402" i="6"/>
  <c r="H1402" i="6"/>
  <c r="N1401" i="6"/>
  <c r="H1401" i="6"/>
  <c r="I1400" i="6"/>
  <c r="H1400" i="6"/>
  <c r="N1399" i="6"/>
  <c r="H1399" i="6"/>
  <c r="I1398" i="6"/>
  <c r="H1398" i="6"/>
  <c r="N1397" i="6"/>
  <c r="H1397" i="6"/>
  <c r="I1396" i="6"/>
  <c r="H1396" i="6"/>
  <c r="N1395" i="6"/>
  <c r="H1395" i="6"/>
  <c r="I1394" i="6"/>
  <c r="H1394" i="6"/>
  <c r="N1393" i="6"/>
  <c r="H1393" i="6"/>
  <c r="I1392" i="6"/>
  <c r="H1392" i="6"/>
  <c r="N1391" i="6"/>
  <c r="H1391" i="6"/>
  <c r="I1390" i="6"/>
  <c r="H1390" i="6"/>
  <c r="N1389" i="6"/>
  <c r="H1389" i="6"/>
  <c r="I1388" i="6"/>
  <c r="H1388" i="6"/>
  <c r="N1387" i="6"/>
  <c r="H1387" i="6"/>
  <c r="I1386" i="6"/>
  <c r="H1386" i="6"/>
  <c r="N1385" i="6"/>
  <c r="H1385" i="6"/>
  <c r="I1384" i="6"/>
  <c r="H1384" i="6"/>
  <c r="N1383" i="6"/>
  <c r="H1383" i="6"/>
  <c r="I1382" i="6"/>
  <c r="H1382" i="6"/>
  <c r="N1381" i="6"/>
  <c r="H1381" i="6"/>
  <c r="I1380" i="6"/>
  <c r="H1380" i="6"/>
  <c r="N1379" i="6"/>
  <c r="H1379" i="6"/>
  <c r="I1378" i="6"/>
  <c r="H1378" i="6"/>
  <c r="N1377" i="6"/>
  <c r="H1377" i="6"/>
  <c r="I1376" i="6"/>
  <c r="H1376" i="6"/>
  <c r="N1375" i="6"/>
  <c r="H1375" i="6"/>
  <c r="I1374" i="6"/>
  <c r="H1374" i="6"/>
  <c r="N1373" i="6"/>
  <c r="H1373" i="6"/>
  <c r="I1372" i="6"/>
  <c r="H1372" i="6"/>
  <c r="N1371" i="6"/>
  <c r="H1371" i="6"/>
  <c r="I1370" i="6"/>
  <c r="H1370" i="6"/>
  <c r="N1369" i="6"/>
  <c r="H1369" i="6"/>
  <c r="I1368" i="6"/>
  <c r="H1368" i="6"/>
  <c r="N1367" i="6"/>
  <c r="H1367" i="6"/>
  <c r="I1366" i="6"/>
  <c r="H1366" i="6"/>
  <c r="N1365" i="6"/>
  <c r="H1365" i="6"/>
  <c r="G1364" i="6"/>
  <c r="F1364" i="6"/>
  <c r="E1364" i="6"/>
  <c r="D1364" i="6"/>
  <c r="C1364" i="6"/>
  <c r="B1364" i="6"/>
  <c r="A1364" i="6"/>
  <c r="H1364" i="6" s="1"/>
  <c r="G1363" i="6"/>
  <c r="F1363" i="6"/>
  <c r="E1363" i="6"/>
  <c r="D1363" i="6"/>
  <c r="C1363" i="6"/>
  <c r="B1363" i="6"/>
  <c r="A1363" i="6"/>
  <c r="H1363" i="6" s="1"/>
  <c r="I1363" i="6" s="1"/>
  <c r="G1362" i="6"/>
  <c r="F1362" i="6"/>
  <c r="E1362" i="6"/>
  <c r="D1362" i="6"/>
  <c r="C1362" i="6"/>
  <c r="B1362" i="6"/>
  <c r="A1362" i="6"/>
  <c r="H1362" i="6" s="1"/>
  <c r="G1361" i="6"/>
  <c r="F1361" i="6"/>
  <c r="E1361" i="6"/>
  <c r="D1361" i="6"/>
  <c r="C1361" i="6"/>
  <c r="B1361" i="6"/>
  <c r="A1361" i="6"/>
  <c r="H1361" i="6" s="1"/>
  <c r="I1361" i="6" s="1"/>
  <c r="G1360" i="6"/>
  <c r="F1360" i="6"/>
  <c r="E1360" i="6"/>
  <c r="D1360" i="6"/>
  <c r="C1360" i="6"/>
  <c r="B1360" i="6"/>
  <c r="A1360" i="6"/>
  <c r="H1360" i="6" s="1"/>
  <c r="G1359" i="6"/>
  <c r="F1359" i="6"/>
  <c r="E1359" i="6"/>
  <c r="D1359" i="6"/>
  <c r="C1359" i="6"/>
  <c r="B1359" i="6"/>
  <c r="A1359" i="6"/>
  <c r="H1359" i="6" s="1"/>
  <c r="I1359" i="6" s="1"/>
  <c r="G1358" i="6"/>
  <c r="F1358" i="6"/>
  <c r="E1358" i="6"/>
  <c r="D1358" i="6"/>
  <c r="C1358" i="6"/>
  <c r="B1358" i="6"/>
  <c r="A1358" i="6"/>
  <c r="H1358" i="6" s="1"/>
  <c r="G1357" i="6"/>
  <c r="F1357" i="6"/>
  <c r="E1357" i="6"/>
  <c r="D1357" i="6"/>
  <c r="C1357" i="6"/>
  <c r="B1357" i="6"/>
  <c r="A1357" i="6"/>
  <c r="H1357" i="6" s="1"/>
  <c r="I1357" i="6" s="1"/>
  <c r="G1356" i="6"/>
  <c r="F1356" i="6"/>
  <c r="E1356" i="6"/>
  <c r="D1356" i="6"/>
  <c r="C1356" i="6"/>
  <c r="B1356" i="6"/>
  <c r="A1356" i="6"/>
  <c r="H1356" i="6" s="1"/>
  <c r="G1355" i="6"/>
  <c r="F1355" i="6"/>
  <c r="E1355" i="6"/>
  <c r="D1355" i="6"/>
  <c r="C1355" i="6"/>
  <c r="B1355" i="6"/>
  <c r="A1355" i="6"/>
  <c r="H1355" i="6" s="1"/>
  <c r="I1355" i="6" s="1"/>
  <c r="G1354" i="6"/>
  <c r="F1354" i="6"/>
  <c r="E1354" i="6"/>
  <c r="D1354" i="6"/>
  <c r="C1354" i="6"/>
  <c r="B1354" i="6"/>
  <c r="A1354" i="6"/>
  <c r="H1354" i="6" s="1"/>
  <c r="G1353" i="6"/>
  <c r="F1353" i="6"/>
  <c r="E1353" i="6"/>
  <c r="D1353" i="6"/>
  <c r="C1353" i="6"/>
  <c r="B1353" i="6"/>
  <c r="A1353" i="6"/>
  <c r="H1353" i="6" s="1"/>
  <c r="I1353" i="6" s="1"/>
  <c r="G1352" i="6"/>
  <c r="F1352" i="6"/>
  <c r="E1352" i="6"/>
  <c r="D1352" i="6"/>
  <c r="C1352" i="6"/>
  <c r="B1352" i="6"/>
  <c r="A1352" i="6"/>
  <c r="H1352" i="6" s="1"/>
  <c r="G1351" i="6"/>
  <c r="F1351" i="6"/>
  <c r="E1351" i="6"/>
  <c r="D1351" i="6"/>
  <c r="C1351" i="6"/>
  <c r="B1351" i="6"/>
  <c r="A1351" i="6"/>
  <c r="H1351" i="6" s="1"/>
  <c r="I1351" i="6" s="1"/>
  <c r="G1350" i="6"/>
  <c r="F1350" i="6"/>
  <c r="E1350" i="6"/>
  <c r="D1350" i="6"/>
  <c r="C1350" i="6"/>
  <c r="B1350" i="6"/>
  <c r="A1350" i="6"/>
  <c r="H1350" i="6" s="1"/>
  <c r="G1349" i="6"/>
  <c r="F1349" i="6"/>
  <c r="E1349" i="6"/>
  <c r="D1349" i="6"/>
  <c r="C1349" i="6"/>
  <c r="B1349" i="6"/>
  <c r="A1349" i="6"/>
  <c r="H1349" i="6" s="1"/>
  <c r="I1349" i="6" s="1"/>
  <c r="G1348" i="6"/>
  <c r="F1348" i="6"/>
  <c r="E1348" i="6"/>
  <c r="D1348" i="6"/>
  <c r="C1348" i="6"/>
  <c r="B1348" i="6"/>
  <c r="A1348" i="6"/>
  <c r="H1348" i="6" s="1"/>
  <c r="G1347" i="6"/>
  <c r="F1347" i="6"/>
  <c r="E1347" i="6"/>
  <c r="D1347" i="6"/>
  <c r="C1347" i="6"/>
  <c r="B1347" i="6"/>
  <c r="A1347" i="6"/>
  <c r="H1347" i="6" s="1"/>
  <c r="I1347" i="6" s="1"/>
  <c r="G1346" i="6"/>
  <c r="F1346" i="6"/>
  <c r="E1346" i="6"/>
  <c r="D1346" i="6"/>
  <c r="C1346" i="6"/>
  <c r="B1346" i="6"/>
  <c r="A1346" i="6"/>
  <c r="H1346" i="6" s="1"/>
  <c r="G1345" i="6"/>
  <c r="F1345" i="6"/>
  <c r="E1345" i="6"/>
  <c r="D1345" i="6"/>
  <c r="C1345" i="6"/>
  <c r="B1345" i="6"/>
  <c r="A1345" i="6"/>
  <c r="H1345" i="6" s="1"/>
  <c r="I1345" i="6" s="1"/>
  <c r="G1344" i="6"/>
  <c r="F1344" i="6"/>
  <c r="E1344" i="6"/>
  <c r="D1344" i="6"/>
  <c r="C1344" i="6"/>
  <c r="B1344" i="6"/>
  <c r="A1344" i="6"/>
  <c r="H1344" i="6" s="1"/>
  <c r="G1343" i="6"/>
  <c r="F1343" i="6"/>
  <c r="E1343" i="6"/>
  <c r="D1343" i="6"/>
  <c r="C1343" i="6"/>
  <c r="B1343" i="6"/>
  <c r="A1343" i="6"/>
  <c r="H1343" i="6" s="1"/>
  <c r="I1343" i="6" s="1"/>
  <c r="G1342" i="6"/>
  <c r="F1342" i="6"/>
  <c r="E1342" i="6"/>
  <c r="D1342" i="6"/>
  <c r="C1342" i="6"/>
  <c r="B1342" i="6"/>
  <c r="A1342" i="6"/>
  <c r="H1342" i="6" s="1"/>
  <c r="G1341" i="6"/>
  <c r="F1341" i="6"/>
  <c r="E1341" i="6"/>
  <c r="D1341" i="6"/>
  <c r="C1341" i="6"/>
  <c r="B1341" i="6"/>
  <c r="A1341" i="6"/>
  <c r="H1341" i="6" s="1"/>
  <c r="I1341" i="6" s="1"/>
  <c r="G1340" i="6"/>
  <c r="F1340" i="6"/>
  <c r="E1340" i="6"/>
  <c r="D1340" i="6"/>
  <c r="C1340" i="6"/>
  <c r="B1340" i="6"/>
  <c r="A1340" i="6"/>
  <c r="H1340" i="6" s="1"/>
  <c r="G1339" i="6"/>
  <c r="F1339" i="6"/>
  <c r="E1339" i="6"/>
  <c r="D1339" i="6"/>
  <c r="C1339" i="6"/>
  <c r="B1339" i="6"/>
  <c r="A1339" i="6"/>
  <c r="H1339" i="6" s="1"/>
  <c r="I1339" i="6" s="1"/>
  <c r="G1338" i="6"/>
  <c r="F1338" i="6"/>
  <c r="E1338" i="6"/>
  <c r="D1338" i="6"/>
  <c r="C1338" i="6"/>
  <c r="B1338" i="6"/>
  <c r="A1338" i="6"/>
  <c r="H1338" i="6" s="1"/>
  <c r="G1337" i="6"/>
  <c r="F1337" i="6"/>
  <c r="E1337" i="6"/>
  <c r="D1337" i="6"/>
  <c r="C1337" i="6"/>
  <c r="B1337" i="6"/>
  <c r="A1337" i="6"/>
  <c r="H1337" i="6" s="1"/>
  <c r="I1337" i="6" s="1"/>
  <c r="G1336" i="6"/>
  <c r="F1336" i="6"/>
  <c r="E1336" i="6"/>
  <c r="D1336" i="6"/>
  <c r="C1336" i="6"/>
  <c r="B1336" i="6"/>
  <c r="A1336" i="6"/>
  <c r="H1336" i="6" s="1"/>
  <c r="G1335" i="6"/>
  <c r="F1335" i="6"/>
  <c r="E1335" i="6"/>
  <c r="D1335" i="6"/>
  <c r="C1335" i="6"/>
  <c r="B1335" i="6"/>
  <c r="A1335" i="6"/>
  <c r="H1335" i="6" s="1"/>
  <c r="I1335" i="6" s="1"/>
  <c r="G1334" i="6"/>
  <c r="F1334" i="6"/>
  <c r="E1334" i="6"/>
  <c r="D1334" i="6"/>
  <c r="C1334" i="6"/>
  <c r="B1334" i="6"/>
  <c r="A1334" i="6"/>
  <c r="H1334" i="6" s="1"/>
  <c r="G1333" i="6"/>
  <c r="F1333" i="6"/>
  <c r="E1333" i="6"/>
  <c r="D1333" i="6"/>
  <c r="C1333" i="6"/>
  <c r="B1333" i="6"/>
  <c r="A1333" i="6"/>
  <c r="H1333" i="6" s="1"/>
  <c r="I1333" i="6" s="1"/>
  <c r="G1332" i="6"/>
  <c r="F1332" i="6"/>
  <c r="E1332" i="6"/>
  <c r="D1332" i="6"/>
  <c r="C1332" i="6"/>
  <c r="B1332" i="6"/>
  <c r="A1332" i="6"/>
  <c r="H1332" i="6" s="1"/>
  <c r="G1331" i="6"/>
  <c r="F1331" i="6"/>
  <c r="E1331" i="6"/>
  <c r="D1331" i="6"/>
  <c r="C1331" i="6"/>
  <c r="B1331" i="6"/>
  <c r="A1331" i="6"/>
  <c r="H1331" i="6" s="1"/>
  <c r="I1331" i="6" s="1"/>
  <c r="G1330" i="6"/>
  <c r="F1330" i="6"/>
  <c r="E1330" i="6"/>
  <c r="D1330" i="6"/>
  <c r="C1330" i="6"/>
  <c r="B1330" i="6"/>
  <c r="A1330" i="6"/>
  <c r="H1330" i="6" s="1"/>
  <c r="G1329" i="6"/>
  <c r="F1329" i="6"/>
  <c r="E1329" i="6"/>
  <c r="D1329" i="6"/>
  <c r="C1329" i="6"/>
  <c r="B1329" i="6"/>
  <c r="A1329" i="6"/>
  <c r="H1329" i="6" s="1"/>
  <c r="I1329" i="6" s="1"/>
  <c r="G1328" i="6"/>
  <c r="F1328" i="6"/>
  <c r="E1328" i="6"/>
  <c r="D1328" i="6"/>
  <c r="C1328" i="6"/>
  <c r="B1328" i="6"/>
  <c r="A1328" i="6"/>
  <c r="H1328" i="6" s="1"/>
  <c r="G1327" i="6"/>
  <c r="F1327" i="6"/>
  <c r="E1327" i="6"/>
  <c r="D1327" i="6"/>
  <c r="C1327" i="6"/>
  <c r="B1327" i="6"/>
  <c r="A1327" i="6"/>
  <c r="H1327" i="6" s="1"/>
  <c r="I1327" i="6" s="1"/>
  <c r="G1326" i="6"/>
  <c r="F1326" i="6"/>
  <c r="E1326" i="6"/>
  <c r="D1326" i="6"/>
  <c r="C1326" i="6"/>
  <c r="B1326" i="6"/>
  <c r="A1326" i="6"/>
  <c r="H1326" i="6" s="1"/>
  <c r="G1325" i="6"/>
  <c r="F1325" i="6"/>
  <c r="E1325" i="6"/>
  <c r="D1325" i="6"/>
  <c r="C1325" i="6"/>
  <c r="B1325" i="6"/>
  <c r="A1325" i="6"/>
  <c r="H1325" i="6" s="1"/>
  <c r="I1325" i="6" s="1"/>
  <c r="G1324" i="6"/>
  <c r="F1324" i="6"/>
  <c r="E1324" i="6"/>
  <c r="D1324" i="6"/>
  <c r="C1324" i="6"/>
  <c r="B1324" i="6"/>
  <c r="A1324" i="6"/>
  <c r="H1324" i="6" s="1"/>
  <c r="G1323" i="6"/>
  <c r="F1323" i="6"/>
  <c r="E1323" i="6"/>
  <c r="D1323" i="6"/>
  <c r="C1323" i="6"/>
  <c r="B1323" i="6"/>
  <c r="A1323" i="6"/>
  <c r="H1323" i="6" s="1"/>
  <c r="I1323" i="6" s="1"/>
  <c r="G1322" i="6"/>
  <c r="F1322" i="6"/>
  <c r="E1322" i="6"/>
  <c r="D1322" i="6"/>
  <c r="C1322" i="6"/>
  <c r="B1322" i="6"/>
  <c r="A1322" i="6"/>
  <c r="H1322" i="6" s="1"/>
  <c r="G1321" i="6"/>
  <c r="F1321" i="6"/>
  <c r="E1321" i="6"/>
  <c r="D1321" i="6"/>
  <c r="C1321" i="6"/>
  <c r="B1321" i="6"/>
  <c r="A1321" i="6"/>
  <c r="H1321" i="6" s="1"/>
  <c r="I1321" i="6" s="1"/>
  <c r="G1320" i="6"/>
  <c r="F1320" i="6"/>
  <c r="E1320" i="6"/>
  <c r="D1320" i="6"/>
  <c r="C1320" i="6"/>
  <c r="B1320" i="6"/>
  <c r="A1320" i="6"/>
  <c r="H1320" i="6" s="1"/>
  <c r="G1319" i="6"/>
  <c r="F1319" i="6"/>
  <c r="E1319" i="6"/>
  <c r="D1319" i="6"/>
  <c r="C1319" i="6"/>
  <c r="B1319" i="6"/>
  <c r="A1319" i="6"/>
  <c r="H1319" i="6" s="1"/>
  <c r="I1319" i="6" s="1"/>
  <c r="G1318" i="6"/>
  <c r="F1318" i="6"/>
  <c r="E1318" i="6"/>
  <c r="D1318" i="6"/>
  <c r="C1318" i="6"/>
  <c r="B1318" i="6"/>
  <c r="A1318" i="6"/>
  <c r="H1318" i="6" s="1"/>
  <c r="G1317" i="6"/>
  <c r="F1317" i="6"/>
  <c r="E1317" i="6"/>
  <c r="D1317" i="6"/>
  <c r="C1317" i="6"/>
  <c r="B1317" i="6"/>
  <c r="A1317" i="6"/>
  <c r="H1317" i="6" s="1"/>
  <c r="I1317" i="6" s="1"/>
  <c r="G1316" i="6"/>
  <c r="F1316" i="6"/>
  <c r="E1316" i="6"/>
  <c r="D1316" i="6"/>
  <c r="C1316" i="6"/>
  <c r="B1316" i="6"/>
  <c r="A1316" i="6"/>
  <c r="H1316" i="6" s="1"/>
  <c r="G1315" i="6"/>
  <c r="F1315" i="6"/>
  <c r="E1315" i="6"/>
  <c r="D1315" i="6"/>
  <c r="C1315" i="6"/>
  <c r="B1315" i="6"/>
  <c r="A1315" i="6"/>
  <c r="H1315" i="6" s="1"/>
  <c r="I1315" i="6" s="1"/>
  <c r="G1314" i="6"/>
  <c r="F1314" i="6"/>
  <c r="E1314" i="6"/>
  <c r="D1314" i="6"/>
  <c r="C1314" i="6"/>
  <c r="B1314" i="6"/>
  <c r="A1314" i="6"/>
  <c r="H1314" i="6" s="1"/>
  <c r="G1313" i="6"/>
  <c r="F1313" i="6"/>
  <c r="E1313" i="6"/>
  <c r="D1313" i="6"/>
  <c r="C1313" i="6"/>
  <c r="B1313" i="6"/>
  <c r="A1313" i="6"/>
  <c r="H1313" i="6" s="1"/>
  <c r="I1313" i="6" s="1"/>
  <c r="G1312" i="6"/>
  <c r="F1312" i="6"/>
  <c r="E1312" i="6"/>
  <c r="D1312" i="6"/>
  <c r="C1312" i="6"/>
  <c r="B1312" i="6"/>
  <c r="A1312" i="6"/>
  <c r="H1312" i="6" s="1"/>
  <c r="G1311" i="6"/>
  <c r="F1311" i="6"/>
  <c r="E1311" i="6"/>
  <c r="D1311" i="6"/>
  <c r="C1311" i="6"/>
  <c r="B1311" i="6"/>
  <c r="A1311" i="6"/>
  <c r="H1311" i="6" s="1"/>
  <c r="I1311" i="6" s="1"/>
  <c r="G1310" i="6"/>
  <c r="F1310" i="6"/>
  <c r="E1310" i="6"/>
  <c r="D1310" i="6"/>
  <c r="C1310" i="6"/>
  <c r="B1310" i="6"/>
  <c r="A1310" i="6"/>
  <c r="H1310" i="6" s="1"/>
  <c r="G1309" i="6"/>
  <c r="F1309" i="6"/>
  <c r="E1309" i="6"/>
  <c r="D1309" i="6"/>
  <c r="C1309" i="6"/>
  <c r="B1309" i="6"/>
  <c r="A1309" i="6"/>
  <c r="H1309" i="6" s="1"/>
  <c r="I1309" i="6" s="1"/>
  <c r="G1308" i="6"/>
  <c r="F1308" i="6"/>
  <c r="E1308" i="6"/>
  <c r="D1308" i="6"/>
  <c r="C1308" i="6"/>
  <c r="B1308" i="6"/>
  <c r="A1308" i="6"/>
  <c r="H1308" i="6" s="1"/>
  <c r="G1307" i="6"/>
  <c r="F1307" i="6"/>
  <c r="E1307" i="6"/>
  <c r="D1307" i="6"/>
  <c r="C1307" i="6"/>
  <c r="B1307" i="6"/>
  <c r="A1307" i="6"/>
  <c r="H1307" i="6" s="1"/>
  <c r="I1307" i="6" s="1"/>
  <c r="G1306" i="6"/>
  <c r="F1306" i="6"/>
  <c r="E1306" i="6"/>
  <c r="D1306" i="6"/>
  <c r="C1306" i="6"/>
  <c r="B1306" i="6"/>
  <c r="A1306" i="6"/>
  <c r="H1306" i="6" s="1"/>
  <c r="G1305" i="6"/>
  <c r="F1305" i="6"/>
  <c r="E1305" i="6"/>
  <c r="D1305" i="6"/>
  <c r="C1305" i="6"/>
  <c r="B1305" i="6"/>
  <c r="A1305" i="6"/>
  <c r="H1305" i="6" s="1"/>
  <c r="I1305" i="6" s="1"/>
  <c r="G1304" i="6"/>
  <c r="F1304" i="6"/>
  <c r="E1304" i="6"/>
  <c r="D1304" i="6"/>
  <c r="C1304" i="6"/>
  <c r="B1304" i="6"/>
  <c r="A1304" i="6"/>
  <c r="H1304" i="6" s="1"/>
  <c r="G1303" i="6"/>
  <c r="F1303" i="6"/>
  <c r="E1303" i="6"/>
  <c r="D1303" i="6"/>
  <c r="C1303" i="6"/>
  <c r="B1303" i="6"/>
  <c r="A1303" i="6"/>
  <c r="H1303" i="6" s="1"/>
  <c r="I1303" i="6" s="1"/>
  <c r="G1302" i="6"/>
  <c r="F1302" i="6"/>
  <c r="E1302" i="6"/>
  <c r="D1302" i="6"/>
  <c r="C1302" i="6"/>
  <c r="B1302" i="6"/>
  <c r="A1302" i="6"/>
  <c r="H1302" i="6" s="1"/>
  <c r="G1301" i="6"/>
  <c r="F1301" i="6"/>
  <c r="E1301" i="6"/>
  <c r="D1301" i="6"/>
  <c r="C1301" i="6"/>
  <c r="B1301" i="6"/>
  <c r="A1301" i="6"/>
  <c r="H1301" i="6" s="1"/>
  <c r="I1301" i="6" s="1"/>
  <c r="G1300" i="6"/>
  <c r="F1300" i="6"/>
  <c r="E1300" i="6"/>
  <c r="D1300" i="6"/>
  <c r="C1300" i="6"/>
  <c r="B1300" i="6"/>
  <c r="A1300" i="6"/>
  <c r="H1300" i="6" s="1"/>
  <c r="G1299" i="6"/>
  <c r="F1299" i="6"/>
  <c r="E1299" i="6"/>
  <c r="D1299" i="6"/>
  <c r="C1299" i="6"/>
  <c r="B1299" i="6"/>
  <c r="A1299" i="6"/>
  <c r="H1299" i="6" s="1"/>
  <c r="I1299" i="6" s="1"/>
  <c r="G1298" i="6"/>
  <c r="F1298" i="6"/>
  <c r="E1298" i="6"/>
  <c r="D1298" i="6"/>
  <c r="C1298" i="6"/>
  <c r="B1298" i="6"/>
  <c r="A1298" i="6"/>
  <c r="H1298" i="6" s="1"/>
  <c r="G1297" i="6"/>
  <c r="F1297" i="6"/>
  <c r="E1297" i="6"/>
  <c r="D1297" i="6"/>
  <c r="C1297" i="6"/>
  <c r="B1297" i="6"/>
  <c r="A1297" i="6"/>
  <c r="H1297" i="6" s="1"/>
  <c r="I1297" i="6" s="1"/>
  <c r="G1296" i="6"/>
  <c r="F1296" i="6"/>
  <c r="E1296" i="6"/>
  <c r="D1296" i="6"/>
  <c r="C1296" i="6"/>
  <c r="B1296" i="6"/>
  <c r="A1296" i="6"/>
  <c r="H1296" i="6" s="1"/>
  <c r="G1295" i="6"/>
  <c r="F1295" i="6"/>
  <c r="E1295" i="6"/>
  <c r="D1295" i="6"/>
  <c r="C1295" i="6"/>
  <c r="B1295" i="6"/>
  <c r="A1295" i="6"/>
  <c r="H1295" i="6" s="1"/>
  <c r="I1295" i="6" s="1"/>
  <c r="G1294" i="6"/>
  <c r="F1294" i="6"/>
  <c r="E1294" i="6"/>
  <c r="D1294" i="6"/>
  <c r="C1294" i="6"/>
  <c r="B1294" i="6"/>
  <c r="A1294" i="6"/>
  <c r="H1294" i="6" s="1"/>
  <c r="G1293" i="6"/>
  <c r="F1293" i="6"/>
  <c r="E1293" i="6"/>
  <c r="D1293" i="6"/>
  <c r="C1293" i="6"/>
  <c r="B1293" i="6"/>
  <c r="A1293" i="6"/>
  <c r="H1293" i="6" s="1"/>
  <c r="I1293" i="6" s="1"/>
  <c r="G1292" i="6"/>
  <c r="F1292" i="6"/>
  <c r="E1292" i="6"/>
  <c r="D1292" i="6"/>
  <c r="C1292" i="6"/>
  <c r="B1292" i="6"/>
  <c r="A1292" i="6"/>
  <c r="H1292" i="6" s="1"/>
  <c r="G1291" i="6"/>
  <c r="F1291" i="6"/>
  <c r="E1291" i="6"/>
  <c r="D1291" i="6"/>
  <c r="C1291" i="6"/>
  <c r="B1291" i="6"/>
  <c r="A1291" i="6"/>
  <c r="H1291" i="6" s="1"/>
  <c r="I1291" i="6" s="1"/>
  <c r="G1290" i="6"/>
  <c r="F1290" i="6"/>
  <c r="E1290" i="6"/>
  <c r="D1290" i="6"/>
  <c r="C1290" i="6"/>
  <c r="B1290" i="6"/>
  <c r="A1290" i="6"/>
  <c r="H1290" i="6" s="1"/>
  <c r="G1289" i="6"/>
  <c r="F1289" i="6"/>
  <c r="E1289" i="6"/>
  <c r="D1289" i="6"/>
  <c r="C1289" i="6"/>
  <c r="B1289" i="6"/>
  <c r="A1289" i="6"/>
  <c r="H1289" i="6" s="1"/>
  <c r="I1289" i="6" s="1"/>
  <c r="G1288" i="6"/>
  <c r="F1288" i="6"/>
  <c r="E1288" i="6"/>
  <c r="D1288" i="6"/>
  <c r="C1288" i="6"/>
  <c r="B1288" i="6"/>
  <c r="A1288" i="6"/>
  <c r="H1288" i="6" s="1"/>
  <c r="G1287" i="6"/>
  <c r="F1287" i="6"/>
  <c r="E1287" i="6"/>
  <c r="D1287" i="6"/>
  <c r="C1287" i="6"/>
  <c r="B1287" i="6"/>
  <c r="A1287" i="6"/>
  <c r="H1287" i="6" s="1"/>
  <c r="I1287" i="6" s="1"/>
  <c r="G1286" i="6"/>
  <c r="F1286" i="6"/>
  <c r="E1286" i="6"/>
  <c r="D1286" i="6"/>
  <c r="C1286" i="6"/>
  <c r="B1286" i="6"/>
  <c r="A1286" i="6"/>
  <c r="H1286" i="6" s="1"/>
  <c r="G1285" i="6"/>
  <c r="F1285" i="6"/>
  <c r="E1285" i="6"/>
  <c r="D1285" i="6"/>
  <c r="C1285" i="6"/>
  <c r="B1285" i="6"/>
  <c r="A1285" i="6"/>
  <c r="H1285" i="6" s="1"/>
  <c r="I1285" i="6" s="1"/>
  <c r="G1284" i="6"/>
  <c r="F1284" i="6"/>
  <c r="E1284" i="6"/>
  <c r="D1284" i="6"/>
  <c r="C1284" i="6"/>
  <c r="B1284" i="6"/>
  <c r="A1284" i="6"/>
  <c r="H1284" i="6" s="1"/>
  <c r="G1283" i="6"/>
  <c r="F1283" i="6"/>
  <c r="E1283" i="6"/>
  <c r="D1283" i="6"/>
  <c r="C1283" i="6"/>
  <c r="B1283" i="6"/>
  <c r="A1283" i="6"/>
  <c r="H1283" i="6" s="1"/>
  <c r="I1283" i="6" s="1"/>
  <c r="G1282" i="6"/>
  <c r="F1282" i="6"/>
  <c r="E1282" i="6"/>
  <c r="D1282" i="6"/>
  <c r="C1282" i="6"/>
  <c r="B1282" i="6"/>
  <c r="A1282" i="6"/>
  <c r="H1282" i="6" s="1"/>
  <c r="G1281" i="6"/>
  <c r="F1281" i="6"/>
  <c r="E1281" i="6"/>
  <c r="D1281" i="6"/>
  <c r="C1281" i="6"/>
  <c r="B1281" i="6"/>
  <c r="A1281" i="6"/>
  <c r="H1281" i="6" s="1"/>
  <c r="I1281" i="6" s="1"/>
  <c r="G1280" i="6"/>
  <c r="F1280" i="6"/>
  <c r="E1280" i="6"/>
  <c r="D1280" i="6"/>
  <c r="C1280" i="6"/>
  <c r="B1280" i="6"/>
  <c r="A1280" i="6"/>
  <c r="H1280" i="6" s="1"/>
  <c r="G1279" i="6"/>
  <c r="F1279" i="6"/>
  <c r="E1279" i="6"/>
  <c r="D1279" i="6"/>
  <c r="C1279" i="6"/>
  <c r="B1279" i="6"/>
  <c r="A1279" i="6"/>
  <c r="H1279" i="6" s="1"/>
  <c r="I1279" i="6" s="1"/>
  <c r="G1278" i="6"/>
  <c r="F1278" i="6"/>
  <c r="E1278" i="6"/>
  <c r="D1278" i="6"/>
  <c r="C1278" i="6"/>
  <c r="B1278" i="6"/>
  <c r="A1278" i="6"/>
  <c r="H1278" i="6" s="1"/>
  <c r="G1277" i="6"/>
  <c r="F1277" i="6"/>
  <c r="E1277" i="6"/>
  <c r="D1277" i="6"/>
  <c r="C1277" i="6"/>
  <c r="B1277" i="6"/>
  <c r="A1277" i="6"/>
  <c r="H1277" i="6" s="1"/>
  <c r="I1277" i="6" s="1"/>
  <c r="G1276" i="6"/>
  <c r="F1276" i="6"/>
  <c r="E1276" i="6"/>
  <c r="D1276" i="6"/>
  <c r="C1276" i="6"/>
  <c r="B1276" i="6"/>
  <c r="A1276" i="6"/>
  <c r="H1276" i="6" s="1"/>
  <c r="G1275" i="6"/>
  <c r="F1275" i="6"/>
  <c r="E1275" i="6"/>
  <c r="D1275" i="6"/>
  <c r="C1275" i="6"/>
  <c r="B1275" i="6"/>
  <c r="A1275" i="6"/>
  <c r="H1275" i="6" s="1"/>
  <c r="I1275" i="6" s="1"/>
  <c r="G1274" i="6"/>
  <c r="F1274" i="6"/>
  <c r="E1274" i="6"/>
  <c r="D1274" i="6"/>
  <c r="C1274" i="6"/>
  <c r="B1274" i="6"/>
  <c r="A1274" i="6"/>
  <c r="H1274" i="6" s="1"/>
  <c r="G1273" i="6"/>
  <c r="F1273" i="6"/>
  <c r="E1273" i="6"/>
  <c r="D1273" i="6"/>
  <c r="C1273" i="6"/>
  <c r="B1273" i="6"/>
  <c r="A1273" i="6"/>
  <c r="H1273" i="6" s="1"/>
  <c r="I1273" i="6" s="1"/>
  <c r="G1272" i="6"/>
  <c r="F1272" i="6"/>
  <c r="E1272" i="6"/>
  <c r="D1272" i="6"/>
  <c r="C1272" i="6"/>
  <c r="B1272" i="6"/>
  <c r="A1272" i="6"/>
  <c r="H1272" i="6" s="1"/>
  <c r="G1271" i="6"/>
  <c r="F1271" i="6"/>
  <c r="E1271" i="6"/>
  <c r="D1271" i="6"/>
  <c r="C1271" i="6"/>
  <c r="B1271" i="6"/>
  <c r="A1271" i="6"/>
  <c r="H1271" i="6" s="1"/>
  <c r="I1271" i="6" s="1"/>
  <c r="G1270" i="6"/>
  <c r="F1270" i="6"/>
  <c r="E1270" i="6"/>
  <c r="D1270" i="6"/>
  <c r="C1270" i="6"/>
  <c r="B1270" i="6"/>
  <c r="A1270" i="6"/>
  <c r="H1270" i="6" s="1"/>
  <c r="G1269" i="6"/>
  <c r="F1269" i="6"/>
  <c r="E1269" i="6"/>
  <c r="D1269" i="6"/>
  <c r="C1269" i="6"/>
  <c r="B1269" i="6"/>
  <c r="A1269" i="6"/>
  <c r="H1269" i="6" s="1"/>
  <c r="I1269" i="6" s="1"/>
  <c r="G1268" i="6"/>
  <c r="F1268" i="6"/>
  <c r="E1268" i="6"/>
  <c r="D1268" i="6"/>
  <c r="C1268" i="6"/>
  <c r="B1268" i="6"/>
  <c r="A1268" i="6"/>
  <c r="H1268" i="6" s="1"/>
  <c r="G1267" i="6"/>
  <c r="F1267" i="6"/>
  <c r="E1267" i="6"/>
  <c r="D1267" i="6"/>
  <c r="C1267" i="6"/>
  <c r="B1267" i="6"/>
  <c r="A1267" i="6"/>
  <c r="H1267" i="6" s="1"/>
  <c r="I1267" i="6" s="1"/>
  <c r="G1266" i="6"/>
  <c r="F1266" i="6"/>
  <c r="E1266" i="6"/>
  <c r="D1266" i="6"/>
  <c r="C1266" i="6"/>
  <c r="B1266" i="6"/>
  <c r="A1266" i="6"/>
  <c r="H1266" i="6" s="1"/>
  <c r="G1265" i="6"/>
  <c r="F1265" i="6"/>
  <c r="E1265" i="6"/>
  <c r="D1265" i="6"/>
  <c r="C1265" i="6"/>
  <c r="B1265" i="6"/>
  <c r="A1265" i="6"/>
  <c r="H1265" i="6" s="1"/>
  <c r="I1265" i="6" s="1"/>
  <c r="G1264" i="6"/>
  <c r="F1264" i="6"/>
  <c r="E1264" i="6"/>
  <c r="D1264" i="6"/>
  <c r="C1264" i="6"/>
  <c r="B1264" i="6"/>
  <c r="A1264" i="6"/>
  <c r="H1264" i="6" s="1"/>
  <c r="G1263" i="6"/>
  <c r="F1263" i="6"/>
  <c r="E1263" i="6"/>
  <c r="D1263" i="6"/>
  <c r="C1263" i="6"/>
  <c r="B1263" i="6"/>
  <c r="A1263" i="6"/>
  <c r="H1263" i="6" s="1"/>
  <c r="I1263" i="6" s="1"/>
  <c r="G1262" i="6"/>
  <c r="F1262" i="6"/>
  <c r="E1262" i="6"/>
  <c r="D1262" i="6"/>
  <c r="C1262" i="6"/>
  <c r="B1262" i="6"/>
  <c r="A1262" i="6"/>
  <c r="H1262" i="6" s="1"/>
  <c r="G1261" i="6"/>
  <c r="F1261" i="6"/>
  <c r="E1261" i="6"/>
  <c r="D1261" i="6"/>
  <c r="C1261" i="6"/>
  <c r="B1261" i="6"/>
  <c r="A1261" i="6"/>
  <c r="H1261" i="6" s="1"/>
  <c r="I1261" i="6" s="1"/>
  <c r="G1260" i="6"/>
  <c r="F1260" i="6"/>
  <c r="E1260" i="6"/>
  <c r="D1260" i="6"/>
  <c r="C1260" i="6"/>
  <c r="B1260" i="6"/>
  <c r="A1260" i="6"/>
  <c r="H1260" i="6" s="1"/>
  <c r="G1259" i="6"/>
  <c r="F1259" i="6"/>
  <c r="E1259" i="6"/>
  <c r="D1259" i="6"/>
  <c r="C1259" i="6"/>
  <c r="B1259" i="6"/>
  <c r="A1259" i="6"/>
  <c r="H1259" i="6" s="1"/>
  <c r="I1259" i="6" s="1"/>
  <c r="G1258" i="6"/>
  <c r="F1258" i="6"/>
  <c r="E1258" i="6"/>
  <c r="D1258" i="6"/>
  <c r="C1258" i="6"/>
  <c r="B1258" i="6"/>
  <c r="A1258" i="6"/>
  <c r="H1258" i="6" s="1"/>
  <c r="G1257" i="6"/>
  <c r="F1257" i="6"/>
  <c r="E1257" i="6"/>
  <c r="D1257" i="6"/>
  <c r="C1257" i="6"/>
  <c r="B1257" i="6"/>
  <c r="A1257" i="6"/>
  <c r="H1257" i="6" s="1"/>
  <c r="I1257" i="6" s="1"/>
  <c r="G1256" i="6"/>
  <c r="F1256" i="6"/>
  <c r="E1256" i="6"/>
  <c r="D1256" i="6"/>
  <c r="C1256" i="6"/>
  <c r="B1256" i="6"/>
  <c r="A1256" i="6"/>
  <c r="H1256" i="6" s="1"/>
  <c r="G1255" i="6"/>
  <c r="F1255" i="6"/>
  <c r="E1255" i="6"/>
  <c r="D1255" i="6"/>
  <c r="C1255" i="6"/>
  <c r="B1255" i="6"/>
  <c r="A1255" i="6"/>
  <c r="H1255" i="6" s="1"/>
  <c r="I1255" i="6" s="1"/>
  <c r="G1254" i="6"/>
  <c r="F1254" i="6"/>
  <c r="E1254" i="6"/>
  <c r="D1254" i="6"/>
  <c r="C1254" i="6"/>
  <c r="B1254" i="6"/>
  <c r="A1254" i="6"/>
  <c r="H1254" i="6" s="1"/>
  <c r="G1253" i="6"/>
  <c r="F1253" i="6"/>
  <c r="E1253" i="6"/>
  <c r="D1253" i="6"/>
  <c r="C1253" i="6"/>
  <c r="B1253" i="6"/>
  <c r="A1253" i="6"/>
  <c r="H1253" i="6" s="1"/>
  <c r="I1253" i="6" s="1"/>
  <c r="G1252" i="6"/>
  <c r="F1252" i="6"/>
  <c r="E1252" i="6"/>
  <c r="D1252" i="6"/>
  <c r="C1252" i="6"/>
  <c r="B1252" i="6"/>
  <c r="A1252" i="6"/>
  <c r="H1252" i="6" s="1"/>
  <c r="G1251" i="6"/>
  <c r="F1251" i="6"/>
  <c r="E1251" i="6"/>
  <c r="D1251" i="6"/>
  <c r="C1251" i="6"/>
  <c r="B1251" i="6"/>
  <c r="A1251" i="6"/>
  <c r="H1251" i="6" s="1"/>
  <c r="I1251" i="6" s="1"/>
  <c r="G1250" i="6"/>
  <c r="F1250" i="6"/>
  <c r="E1250" i="6"/>
  <c r="D1250" i="6"/>
  <c r="C1250" i="6"/>
  <c r="B1250" i="6"/>
  <c r="A1250" i="6"/>
  <c r="H1250" i="6" s="1"/>
  <c r="G1249" i="6"/>
  <c r="F1249" i="6"/>
  <c r="E1249" i="6"/>
  <c r="D1249" i="6"/>
  <c r="C1249" i="6"/>
  <c r="B1249" i="6"/>
  <c r="A1249" i="6"/>
  <c r="H1249" i="6" s="1"/>
  <c r="I1249" i="6" s="1"/>
  <c r="G1248" i="6"/>
  <c r="F1248" i="6"/>
  <c r="E1248" i="6"/>
  <c r="D1248" i="6"/>
  <c r="C1248" i="6"/>
  <c r="B1248" i="6"/>
  <c r="A1248" i="6"/>
  <c r="H1248" i="6" s="1"/>
  <c r="G1247" i="6"/>
  <c r="F1247" i="6"/>
  <c r="E1247" i="6"/>
  <c r="D1247" i="6"/>
  <c r="C1247" i="6"/>
  <c r="B1247" i="6"/>
  <c r="A1247" i="6"/>
  <c r="H1247" i="6" s="1"/>
  <c r="I1247" i="6" s="1"/>
  <c r="G1246" i="6"/>
  <c r="F1246" i="6"/>
  <c r="E1246" i="6"/>
  <c r="D1246" i="6"/>
  <c r="C1246" i="6"/>
  <c r="B1246" i="6"/>
  <c r="A1246" i="6"/>
  <c r="H1246" i="6" s="1"/>
  <c r="G1245" i="6"/>
  <c r="F1245" i="6"/>
  <c r="E1245" i="6"/>
  <c r="D1245" i="6"/>
  <c r="C1245" i="6"/>
  <c r="B1245" i="6"/>
  <c r="A1245" i="6"/>
  <c r="H1245" i="6" s="1"/>
  <c r="I1245" i="6" s="1"/>
  <c r="G1244" i="6"/>
  <c r="F1244" i="6"/>
  <c r="E1244" i="6"/>
  <c r="D1244" i="6"/>
  <c r="C1244" i="6"/>
  <c r="B1244" i="6"/>
  <c r="A1244" i="6"/>
  <c r="H1244" i="6" s="1"/>
  <c r="G1243" i="6"/>
  <c r="F1243" i="6"/>
  <c r="E1243" i="6"/>
  <c r="D1243" i="6"/>
  <c r="C1243" i="6"/>
  <c r="B1243" i="6"/>
  <c r="A1243" i="6"/>
  <c r="H1243" i="6" s="1"/>
  <c r="I1243" i="6" s="1"/>
  <c r="G1242" i="6"/>
  <c r="F1242" i="6"/>
  <c r="E1242" i="6"/>
  <c r="D1242" i="6"/>
  <c r="C1242" i="6"/>
  <c r="B1242" i="6"/>
  <c r="A1242" i="6"/>
  <c r="H1242" i="6" s="1"/>
  <c r="G1241" i="6"/>
  <c r="F1241" i="6"/>
  <c r="E1241" i="6"/>
  <c r="D1241" i="6"/>
  <c r="C1241" i="6"/>
  <c r="B1241" i="6"/>
  <c r="A1241" i="6"/>
  <c r="H1241" i="6" s="1"/>
  <c r="I1241" i="6" s="1"/>
  <c r="G1240" i="6"/>
  <c r="F1240" i="6"/>
  <c r="E1240" i="6"/>
  <c r="D1240" i="6"/>
  <c r="C1240" i="6"/>
  <c r="B1240" i="6"/>
  <c r="A1240" i="6"/>
  <c r="H1240" i="6" s="1"/>
  <c r="G1239" i="6"/>
  <c r="F1239" i="6"/>
  <c r="E1239" i="6"/>
  <c r="D1239" i="6"/>
  <c r="C1239" i="6"/>
  <c r="B1239" i="6"/>
  <c r="A1239" i="6"/>
  <c r="H1239" i="6" s="1"/>
  <c r="I1239" i="6" s="1"/>
  <c r="G1238" i="6"/>
  <c r="F1238" i="6"/>
  <c r="E1238" i="6"/>
  <c r="D1238" i="6"/>
  <c r="C1238" i="6"/>
  <c r="B1238" i="6"/>
  <c r="A1238" i="6"/>
  <c r="H1238" i="6" s="1"/>
  <c r="G1237" i="6"/>
  <c r="F1237" i="6"/>
  <c r="E1237" i="6"/>
  <c r="D1237" i="6"/>
  <c r="C1237" i="6"/>
  <c r="B1237" i="6"/>
  <c r="A1237" i="6"/>
  <c r="H1237" i="6" s="1"/>
  <c r="I1237" i="6" s="1"/>
  <c r="G1236" i="6"/>
  <c r="F1236" i="6"/>
  <c r="E1236" i="6"/>
  <c r="D1236" i="6"/>
  <c r="C1236" i="6"/>
  <c r="B1236" i="6"/>
  <c r="A1236" i="6"/>
  <c r="H1236" i="6" s="1"/>
  <c r="G1235" i="6"/>
  <c r="F1235" i="6"/>
  <c r="E1235" i="6"/>
  <c r="D1235" i="6"/>
  <c r="C1235" i="6"/>
  <c r="B1235" i="6"/>
  <c r="A1235" i="6"/>
  <c r="H1235" i="6" s="1"/>
  <c r="I1235" i="6" s="1"/>
  <c r="G1234" i="6"/>
  <c r="F1234" i="6"/>
  <c r="E1234" i="6"/>
  <c r="D1234" i="6"/>
  <c r="C1234" i="6"/>
  <c r="B1234" i="6"/>
  <c r="A1234" i="6"/>
  <c r="H1234" i="6" s="1"/>
  <c r="G1233" i="6"/>
  <c r="F1233" i="6"/>
  <c r="E1233" i="6"/>
  <c r="D1233" i="6"/>
  <c r="C1233" i="6"/>
  <c r="B1233" i="6"/>
  <c r="A1233" i="6"/>
  <c r="H1233" i="6" s="1"/>
  <c r="I1233" i="6" s="1"/>
  <c r="G1232" i="6"/>
  <c r="F1232" i="6"/>
  <c r="E1232" i="6"/>
  <c r="D1232" i="6"/>
  <c r="C1232" i="6"/>
  <c r="B1232" i="6"/>
  <c r="A1232" i="6"/>
  <c r="H1232" i="6" s="1"/>
  <c r="G1231" i="6"/>
  <c r="F1231" i="6"/>
  <c r="E1231" i="6"/>
  <c r="D1231" i="6"/>
  <c r="C1231" i="6"/>
  <c r="B1231" i="6"/>
  <c r="A1231" i="6"/>
  <c r="H1231" i="6" s="1"/>
  <c r="I1231" i="6" s="1"/>
  <c r="G1230" i="6"/>
  <c r="F1230" i="6"/>
  <c r="E1230" i="6"/>
  <c r="D1230" i="6"/>
  <c r="C1230" i="6"/>
  <c r="B1230" i="6"/>
  <c r="A1230" i="6"/>
  <c r="H1230" i="6" s="1"/>
  <c r="G1229" i="6"/>
  <c r="F1229" i="6"/>
  <c r="E1229" i="6"/>
  <c r="D1229" i="6"/>
  <c r="C1229" i="6"/>
  <c r="B1229" i="6"/>
  <c r="A1229" i="6"/>
  <c r="H1229" i="6" s="1"/>
  <c r="I1229" i="6" s="1"/>
  <c r="G1228" i="6"/>
  <c r="F1228" i="6"/>
  <c r="E1228" i="6"/>
  <c r="D1228" i="6"/>
  <c r="C1228" i="6"/>
  <c r="B1228" i="6"/>
  <c r="A1228" i="6"/>
  <c r="H1228" i="6" s="1"/>
  <c r="G1227" i="6"/>
  <c r="F1227" i="6"/>
  <c r="E1227" i="6"/>
  <c r="D1227" i="6"/>
  <c r="C1227" i="6"/>
  <c r="B1227" i="6"/>
  <c r="A1227" i="6"/>
  <c r="H1227" i="6" s="1"/>
  <c r="I1227" i="6" s="1"/>
  <c r="G1226" i="6"/>
  <c r="F1226" i="6"/>
  <c r="E1226" i="6"/>
  <c r="D1226" i="6"/>
  <c r="C1226" i="6"/>
  <c r="B1226" i="6"/>
  <c r="A1226" i="6"/>
  <c r="H1226" i="6" s="1"/>
  <c r="G1225" i="6"/>
  <c r="F1225" i="6"/>
  <c r="E1225" i="6"/>
  <c r="D1225" i="6"/>
  <c r="C1225" i="6"/>
  <c r="B1225" i="6"/>
  <c r="A1225" i="6"/>
  <c r="H1225" i="6" s="1"/>
  <c r="I1225" i="6" s="1"/>
  <c r="G1224" i="6"/>
  <c r="F1224" i="6"/>
  <c r="E1224" i="6"/>
  <c r="D1224" i="6"/>
  <c r="C1224" i="6"/>
  <c r="B1224" i="6"/>
  <c r="A1224" i="6"/>
  <c r="H1224" i="6" s="1"/>
  <c r="G1223" i="6"/>
  <c r="F1223" i="6"/>
  <c r="E1223" i="6"/>
  <c r="D1223" i="6"/>
  <c r="C1223" i="6"/>
  <c r="B1223" i="6"/>
  <c r="A1223" i="6"/>
  <c r="H1223" i="6" s="1"/>
  <c r="I1223" i="6" s="1"/>
  <c r="G1222" i="6"/>
  <c r="F1222" i="6"/>
  <c r="E1222" i="6"/>
  <c r="D1222" i="6"/>
  <c r="C1222" i="6"/>
  <c r="B1222" i="6"/>
  <c r="A1222" i="6"/>
  <c r="H1222" i="6" s="1"/>
  <c r="G1221" i="6"/>
  <c r="F1221" i="6"/>
  <c r="E1221" i="6"/>
  <c r="D1221" i="6"/>
  <c r="C1221" i="6"/>
  <c r="B1221" i="6"/>
  <c r="A1221" i="6"/>
  <c r="H1221" i="6" s="1"/>
  <c r="I1221" i="6" s="1"/>
  <c r="G1220" i="6"/>
  <c r="F1220" i="6"/>
  <c r="E1220" i="6"/>
  <c r="D1220" i="6"/>
  <c r="C1220" i="6"/>
  <c r="B1220" i="6"/>
  <c r="A1220" i="6"/>
  <c r="H1220" i="6" s="1"/>
  <c r="G1219" i="6"/>
  <c r="F1219" i="6"/>
  <c r="E1219" i="6"/>
  <c r="D1219" i="6"/>
  <c r="C1219" i="6"/>
  <c r="B1219" i="6"/>
  <c r="A1219" i="6"/>
  <c r="H1219" i="6" s="1"/>
  <c r="I1219" i="6" s="1"/>
  <c r="G1218" i="6"/>
  <c r="F1218" i="6"/>
  <c r="E1218" i="6"/>
  <c r="D1218" i="6"/>
  <c r="C1218" i="6"/>
  <c r="B1218" i="6"/>
  <c r="A1218" i="6"/>
  <c r="H1218" i="6" s="1"/>
  <c r="G1217" i="6"/>
  <c r="F1217" i="6"/>
  <c r="E1217" i="6"/>
  <c r="D1217" i="6"/>
  <c r="C1217" i="6"/>
  <c r="B1217" i="6"/>
  <c r="A1217" i="6"/>
  <c r="H1217" i="6" s="1"/>
  <c r="I1217" i="6" s="1"/>
  <c r="G1216" i="6"/>
  <c r="F1216" i="6"/>
  <c r="E1216" i="6"/>
  <c r="D1216" i="6"/>
  <c r="C1216" i="6"/>
  <c r="B1216" i="6"/>
  <c r="A1216" i="6"/>
  <c r="H1216" i="6" s="1"/>
  <c r="G1215" i="6"/>
  <c r="F1215" i="6"/>
  <c r="E1215" i="6"/>
  <c r="D1215" i="6"/>
  <c r="C1215" i="6"/>
  <c r="B1215" i="6"/>
  <c r="A1215" i="6"/>
  <c r="H1215" i="6" s="1"/>
  <c r="I1215" i="6" s="1"/>
  <c r="G1214" i="6"/>
  <c r="F1214" i="6"/>
  <c r="E1214" i="6"/>
  <c r="D1214" i="6"/>
  <c r="C1214" i="6"/>
  <c r="B1214" i="6"/>
  <c r="A1214" i="6"/>
  <c r="H1214" i="6" s="1"/>
  <c r="G1213" i="6"/>
  <c r="F1213" i="6"/>
  <c r="E1213" i="6"/>
  <c r="D1213" i="6"/>
  <c r="C1213" i="6"/>
  <c r="B1213" i="6"/>
  <c r="A1213" i="6"/>
  <c r="H1213" i="6" s="1"/>
  <c r="I1213" i="6" s="1"/>
  <c r="G1212" i="6"/>
  <c r="F1212" i="6"/>
  <c r="E1212" i="6"/>
  <c r="D1212" i="6"/>
  <c r="C1212" i="6"/>
  <c r="B1212" i="6"/>
  <c r="A1212" i="6"/>
  <c r="H1212" i="6" s="1"/>
  <c r="G1211" i="6"/>
  <c r="F1211" i="6"/>
  <c r="E1211" i="6"/>
  <c r="D1211" i="6"/>
  <c r="C1211" i="6"/>
  <c r="B1211" i="6"/>
  <c r="A1211" i="6"/>
  <c r="H1211" i="6" s="1"/>
  <c r="I1211" i="6" s="1"/>
  <c r="G1210" i="6"/>
  <c r="F1210" i="6"/>
  <c r="E1210" i="6"/>
  <c r="D1210" i="6"/>
  <c r="C1210" i="6"/>
  <c r="B1210" i="6"/>
  <c r="A1210" i="6"/>
  <c r="H1210" i="6" s="1"/>
  <c r="G1209" i="6"/>
  <c r="F1209" i="6"/>
  <c r="E1209" i="6"/>
  <c r="D1209" i="6"/>
  <c r="C1209" i="6"/>
  <c r="B1209" i="6"/>
  <c r="A1209" i="6"/>
  <c r="H1209" i="6" s="1"/>
  <c r="I1209" i="6" s="1"/>
  <c r="G1208" i="6"/>
  <c r="F1208" i="6"/>
  <c r="E1208" i="6"/>
  <c r="D1208" i="6"/>
  <c r="C1208" i="6"/>
  <c r="B1208" i="6"/>
  <c r="A1208" i="6"/>
  <c r="H1208" i="6" s="1"/>
  <c r="G1207" i="6"/>
  <c r="F1207" i="6"/>
  <c r="E1207" i="6"/>
  <c r="D1207" i="6"/>
  <c r="C1207" i="6"/>
  <c r="B1207" i="6"/>
  <c r="A1207" i="6"/>
  <c r="H1207" i="6" s="1"/>
  <c r="I1207" i="6" s="1"/>
  <c r="G1206" i="6"/>
  <c r="F1206" i="6"/>
  <c r="E1206" i="6"/>
  <c r="D1206" i="6"/>
  <c r="C1206" i="6"/>
  <c r="B1206" i="6"/>
  <c r="A1206" i="6"/>
  <c r="H1206" i="6" s="1"/>
  <c r="G1205" i="6"/>
  <c r="F1205" i="6"/>
  <c r="E1205" i="6"/>
  <c r="D1205" i="6"/>
  <c r="C1205" i="6"/>
  <c r="B1205" i="6"/>
  <c r="A1205" i="6"/>
  <c r="H1205" i="6" s="1"/>
  <c r="I1205" i="6" s="1"/>
  <c r="G1204" i="6"/>
  <c r="F1204" i="6"/>
  <c r="E1204" i="6"/>
  <c r="D1204" i="6"/>
  <c r="C1204" i="6"/>
  <c r="B1204" i="6"/>
  <c r="A1204" i="6"/>
  <c r="H1204" i="6" s="1"/>
  <c r="G1203" i="6"/>
  <c r="F1203" i="6"/>
  <c r="E1203" i="6"/>
  <c r="D1203" i="6"/>
  <c r="C1203" i="6"/>
  <c r="B1203" i="6"/>
  <c r="A1203" i="6"/>
  <c r="H1203" i="6" s="1"/>
  <c r="I1203" i="6" s="1"/>
  <c r="G1202" i="6"/>
  <c r="F1202" i="6"/>
  <c r="E1202" i="6"/>
  <c r="D1202" i="6"/>
  <c r="C1202" i="6"/>
  <c r="B1202" i="6"/>
  <c r="A1202" i="6"/>
  <c r="H1202" i="6" s="1"/>
  <c r="G1201" i="6"/>
  <c r="F1201" i="6"/>
  <c r="E1201" i="6"/>
  <c r="D1201" i="6"/>
  <c r="C1201" i="6"/>
  <c r="B1201" i="6"/>
  <c r="A1201" i="6"/>
  <c r="H1201" i="6" s="1"/>
  <c r="I1201" i="6" s="1"/>
  <c r="G1200" i="6"/>
  <c r="F1200" i="6"/>
  <c r="E1200" i="6"/>
  <c r="D1200" i="6"/>
  <c r="C1200" i="6"/>
  <c r="B1200" i="6"/>
  <c r="A1200" i="6"/>
  <c r="H1200" i="6" s="1"/>
  <c r="G1199" i="6"/>
  <c r="F1199" i="6"/>
  <c r="E1199" i="6"/>
  <c r="D1199" i="6"/>
  <c r="C1199" i="6"/>
  <c r="B1199" i="6"/>
  <c r="A1199" i="6"/>
  <c r="H1199" i="6" s="1"/>
  <c r="I1199" i="6" s="1"/>
  <c r="G1198" i="6"/>
  <c r="F1198" i="6"/>
  <c r="E1198" i="6"/>
  <c r="D1198" i="6"/>
  <c r="C1198" i="6"/>
  <c r="B1198" i="6"/>
  <c r="A1198" i="6"/>
  <c r="H1198" i="6" s="1"/>
  <c r="G1197" i="6"/>
  <c r="F1197" i="6"/>
  <c r="E1197" i="6"/>
  <c r="D1197" i="6"/>
  <c r="C1197" i="6"/>
  <c r="B1197" i="6"/>
  <c r="A1197" i="6"/>
  <c r="H1197" i="6" s="1"/>
  <c r="I1197" i="6" s="1"/>
  <c r="G1196" i="6"/>
  <c r="F1196" i="6"/>
  <c r="E1196" i="6"/>
  <c r="D1196" i="6"/>
  <c r="C1196" i="6"/>
  <c r="B1196" i="6"/>
  <c r="A1196" i="6"/>
  <c r="H1196" i="6" s="1"/>
  <c r="G1195" i="6"/>
  <c r="F1195" i="6"/>
  <c r="E1195" i="6"/>
  <c r="D1195" i="6"/>
  <c r="C1195" i="6"/>
  <c r="B1195" i="6"/>
  <c r="A1195" i="6"/>
  <c r="H1195" i="6" s="1"/>
  <c r="I1195" i="6" s="1"/>
  <c r="G1194" i="6"/>
  <c r="F1194" i="6"/>
  <c r="E1194" i="6"/>
  <c r="D1194" i="6"/>
  <c r="C1194" i="6"/>
  <c r="B1194" i="6"/>
  <c r="A1194" i="6"/>
  <c r="H1194" i="6" s="1"/>
  <c r="G1193" i="6"/>
  <c r="F1193" i="6"/>
  <c r="E1193" i="6"/>
  <c r="D1193" i="6"/>
  <c r="C1193" i="6"/>
  <c r="B1193" i="6"/>
  <c r="A1193" i="6"/>
  <c r="H1193" i="6" s="1"/>
  <c r="I1193" i="6" s="1"/>
  <c r="G1192" i="6"/>
  <c r="F1192" i="6"/>
  <c r="E1192" i="6"/>
  <c r="D1192" i="6"/>
  <c r="C1192" i="6"/>
  <c r="B1192" i="6"/>
  <c r="A1192" i="6"/>
  <c r="H1192" i="6" s="1"/>
  <c r="G1191" i="6"/>
  <c r="F1191" i="6"/>
  <c r="E1191" i="6"/>
  <c r="D1191" i="6"/>
  <c r="C1191" i="6"/>
  <c r="B1191" i="6"/>
  <c r="A1191" i="6"/>
  <c r="H1191" i="6" s="1"/>
  <c r="I1191" i="6" s="1"/>
  <c r="G1190" i="6"/>
  <c r="F1190" i="6"/>
  <c r="E1190" i="6"/>
  <c r="D1190" i="6"/>
  <c r="C1190" i="6"/>
  <c r="B1190" i="6"/>
  <c r="A1190" i="6"/>
  <c r="H1190" i="6" s="1"/>
  <c r="G1189" i="6"/>
  <c r="F1189" i="6"/>
  <c r="E1189" i="6"/>
  <c r="D1189" i="6"/>
  <c r="C1189" i="6"/>
  <c r="B1189" i="6"/>
  <c r="A1189" i="6"/>
  <c r="H1189" i="6" s="1"/>
  <c r="I1189" i="6" s="1"/>
  <c r="G1188" i="6"/>
  <c r="F1188" i="6"/>
  <c r="E1188" i="6"/>
  <c r="D1188" i="6"/>
  <c r="C1188" i="6"/>
  <c r="B1188" i="6"/>
  <c r="A1188" i="6"/>
  <c r="H1188" i="6" s="1"/>
  <c r="G1187" i="6"/>
  <c r="F1187" i="6"/>
  <c r="E1187" i="6"/>
  <c r="D1187" i="6"/>
  <c r="C1187" i="6"/>
  <c r="B1187" i="6"/>
  <c r="A1187" i="6"/>
  <c r="H1187" i="6" s="1"/>
  <c r="I1187" i="6" s="1"/>
  <c r="G1186" i="6"/>
  <c r="F1186" i="6"/>
  <c r="E1186" i="6"/>
  <c r="D1186" i="6"/>
  <c r="C1186" i="6"/>
  <c r="B1186" i="6"/>
  <c r="A1186" i="6"/>
  <c r="H1186" i="6" s="1"/>
  <c r="G1185" i="6"/>
  <c r="F1185" i="6"/>
  <c r="E1185" i="6"/>
  <c r="D1185" i="6"/>
  <c r="C1185" i="6"/>
  <c r="B1185" i="6"/>
  <c r="A1185" i="6"/>
  <c r="H1185" i="6" s="1"/>
  <c r="I1185" i="6" s="1"/>
  <c r="G1184" i="6"/>
  <c r="F1184" i="6"/>
  <c r="E1184" i="6"/>
  <c r="D1184" i="6"/>
  <c r="C1184" i="6"/>
  <c r="B1184" i="6"/>
  <c r="A1184" i="6"/>
  <c r="H1184" i="6" s="1"/>
  <c r="G1183" i="6"/>
  <c r="F1183" i="6"/>
  <c r="E1183" i="6"/>
  <c r="D1183" i="6"/>
  <c r="C1183" i="6"/>
  <c r="B1183" i="6"/>
  <c r="A1183" i="6"/>
  <c r="H1183" i="6" s="1"/>
  <c r="I1183" i="6" s="1"/>
  <c r="G1182" i="6"/>
  <c r="F1182" i="6"/>
  <c r="E1182" i="6"/>
  <c r="D1182" i="6"/>
  <c r="C1182" i="6"/>
  <c r="B1182" i="6"/>
  <c r="A1182" i="6"/>
  <c r="H1182" i="6" s="1"/>
  <c r="G1181" i="6"/>
  <c r="F1181" i="6"/>
  <c r="E1181" i="6"/>
  <c r="D1181" i="6"/>
  <c r="C1181" i="6"/>
  <c r="B1181" i="6"/>
  <c r="A1181" i="6"/>
  <c r="H1181" i="6" s="1"/>
  <c r="I1181" i="6" s="1"/>
  <c r="G1180" i="6"/>
  <c r="F1180" i="6"/>
  <c r="E1180" i="6"/>
  <c r="D1180" i="6"/>
  <c r="C1180" i="6"/>
  <c r="B1180" i="6"/>
  <c r="A1180" i="6"/>
  <c r="H1180" i="6" s="1"/>
  <c r="G1179" i="6"/>
  <c r="F1179" i="6"/>
  <c r="E1179" i="6"/>
  <c r="D1179" i="6"/>
  <c r="C1179" i="6"/>
  <c r="B1179" i="6"/>
  <c r="A1179" i="6"/>
  <c r="H1179" i="6" s="1"/>
  <c r="I1179" i="6" s="1"/>
  <c r="G1178" i="6"/>
  <c r="F1178" i="6"/>
  <c r="E1178" i="6"/>
  <c r="D1178" i="6"/>
  <c r="C1178" i="6"/>
  <c r="B1178" i="6"/>
  <c r="A1178" i="6"/>
  <c r="H1178" i="6" s="1"/>
  <c r="G1177" i="6"/>
  <c r="F1177" i="6"/>
  <c r="E1177" i="6"/>
  <c r="D1177" i="6"/>
  <c r="C1177" i="6"/>
  <c r="B1177" i="6"/>
  <c r="A1177" i="6"/>
  <c r="H1177" i="6" s="1"/>
  <c r="I1177" i="6" s="1"/>
  <c r="G1176" i="6"/>
  <c r="F1176" i="6"/>
  <c r="E1176" i="6"/>
  <c r="D1176" i="6"/>
  <c r="C1176" i="6"/>
  <c r="B1176" i="6"/>
  <c r="A1176" i="6"/>
  <c r="H1176" i="6" s="1"/>
  <c r="G1175" i="6"/>
  <c r="F1175" i="6"/>
  <c r="E1175" i="6"/>
  <c r="D1175" i="6"/>
  <c r="C1175" i="6"/>
  <c r="B1175" i="6"/>
  <c r="A1175" i="6"/>
  <c r="H1175" i="6" s="1"/>
  <c r="I1175" i="6" s="1"/>
  <c r="G1174" i="6"/>
  <c r="F1174" i="6"/>
  <c r="E1174" i="6"/>
  <c r="D1174" i="6"/>
  <c r="C1174" i="6"/>
  <c r="B1174" i="6"/>
  <c r="A1174" i="6"/>
  <c r="H1174" i="6" s="1"/>
  <c r="G1173" i="6"/>
  <c r="F1173" i="6"/>
  <c r="E1173" i="6"/>
  <c r="D1173" i="6"/>
  <c r="C1173" i="6"/>
  <c r="B1173" i="6"/>
  <c r="A1173" i="6"/>
  <c r="H1173" i="6" s="1"/>
  <c r="I1173" i="6" s="1"/>
  <c r="G1172" i="6"/>
  <c r="F1172" i="6"/>
  <c r="E1172" i="6"/>
  <c r="D1172" i="6"/>
  <c r="C1172" i="6"/>
  <c r="B1172" i="6"/>
  <c r="A1172" i="6"/>
  <c r="H1172" i="6" s="1"/>
  <c r="G1171" i="6"/>
  <c r="F1171" i="6"/>
  <c r="E1171" i="6"/>
  <c r="D1171" i="6"/>
  <c r="C1171" i="6"/>
  <c r="B1171" i="6"/>
  <c r="A1171" i="6"/>
  <c r="H1171" i="6" s="1"/>
  <c r="I1171" i="6" s="1"/>
  <c r="G1170" i="6"/>
  <c r="F1170" i="6"/>
  <c r="E1170" i="6"/>
  <c r="D1170" i="6"/>
  <c r="C1170" i="6"/>
  <c r="B1170" i="6"/>
  <c r="A1170" i="6"/>
  <c r="H1170" i="6" s="1"/>
  <c r="G1169" i="6"/>
  <c r="F1169" i="6"/>
  <c r="E1169" i="6"/>
  <c r="D1169" i="6"/>
  <c r="C1169" i="6"/>
  <c r="B1169" i="6"/>
  <c r="A1169" i="6"/>
  <c r="H1169" i="6" s="1"/>
  <c r="I1169" i="6" s="1"/>
  <c r="G1168" i="6"/>
  <c r="F1168" i="6"/>
  <c r="E1168" i="6"/>
  <c r="D1168" i="6"/>
  <c r="C1168" i="6"/>
  <c r="B1168" i="6"/>
  <c r="A1168" i="6"/>
  <c r="H1168" i="6" s="1"/>
  <c r="G1167" i="6"/>
  <c r="F1167" i="6"/>
  <c r="E1167" i="6"/>
  <c r="D1167" i="6"/>
  <c r="C1167" i="6"/>
  <c r="B1167" i="6"/>
  <c r="A1167" i="6"/>
  <c r="H1167" i="6" s="1"/>
  <c r="I1167" i="6" s="1"/>
  <c r="G1166" i="6"/>
  <c r="F1166" i="6"/>
  <c r="E1166" i="6"/>
  <c r="D1166" i="6"/>
  <c r="C1166" i="6"/>
  <c r="B1166" i="6"/>
  <c r="A1166" i="6"/>
  <c r="H1166" i="6" s="1"/>
  <c r="G1165" i="6"/>
  <c r="F1165" i="6"/>
  <c r="E1165" i="6"/>
  <c r="D1165" i="6"/>
  <c r="C1165" i="6"/>
  <c r="B1165" i="6"/>
  <c r="A1165" i="6"/>
  <c r="H1165" i="6" s="1"/>
  <c r="I1165" i="6" s="1"/>
  <c r="G1164" i="6"/>
  <c r="F1164" i="6"/>
  <c r="E1164" i="6"/>
  <c r="D1164" i="6"/>
  <c r="C1164" i="6"/>
  <c r="B1164" i="6"/>
  <c r="A1164" i="6"/>
  <c r="H1164" i="6" s="1"/>
  <c r="G1163" i="6"/>
  <c r="F1163" i="6"/>
  <c r="E1163" i="6"/>
  <c r="D1163" i="6"/>
  <c r="C1163" i="6"/>
  <c r="B1163" i="6"/>
  <c r="A1163" i="6"/>
  <c r="H1163" i="6" s="1"/>
  <c r="I1163" i="6" s="1"/>
  <c r="G1162" i="6"/>
  <c r="F1162" i="6"/>
  <c r="E1162" i="6"/>
  <c r="D1162" i="6"/>
  <c r="C1162" i="6"/>
  <c r="B1162" i="6"/>
  <c r="A1162" i="6"/>
  <c r="H1162" i="6" s="1"/>
  <c r="G1161" i="6"/>
  <c r="F1161" i="6"/>
  <c r="E1161" i="6"/>
  <c r="D1161" i="6"/>
  <c r="C1161" i="6"/>
  <c r="B1161" i="6"/>
  <c r="A1161" i="6"/>
  <c r="H1161" i="6" s="1"/>
  <c r="I1161" i="6" s="1"/>
  <c r="G1160" i="6"/>
  <c r="F1160" i="6"/>
  <c r="E1160" i="6"/>
  <c r="D1160" i="6"/>
  <c r="C1160" i="6"/>
  <c r="B1160" i="6"/>
  <c r="A1160" i="6"/>
  <c r="H1160" i="6" s="1"/>
  <c r="G1159" i="6"/>
  <c r="F1159" i="6"/>
  <c r="E1159" i="6"/>
  <c r="D1159" i="6"/>
  <c r="C1159" i="6"/>
  <c r="B1159" i="6"/>
  <c r="A1159" i="6"/>
  <c r="H1159" i="6" s="1"/>
  <c r="I1159" i="6" s="1"/>
  <c r="G1158" i="6"/>
  <c r="F1158" i="6"/>
  <c r="E1158" i="6"/>
  <c r="D1158" i="6"/>
  <c r="C1158" i="6"/>
  <c r="B1158" i="6"/>
  <c r="A1158" i="6"/>
  <c r="H1158" i="6" s="1"/>
  <c r="G1157" i="6"/>
  <c r="F1157" i="6"/>
  <c r="E1157" i="6"/>
  <c r="D1157" i="6"/>
  <c r="C1157" i="6"/>
  <c r="B1157" i="6"/>
  <c r="A1157" i="6"/>
  <c r="H1157" i="6" s="1"/>
  <c r="I1157" i="6" s="1"/>
  <c r="G1156" i="6"/>
  <c r="F1156" i="6"/>
  <c r="E1156" i="6"/>
  <c r="D1156" i="6"/>
  <c r="C1156" i="6"/>
  <c r="B1156" i="6"/>
  <c r="A1156" i="6"/>
  <c r="H1156" i="6" s="1"/>
  <c r="G1155" i="6"/>
  <c r="F1155" i="6"/>
  <c r="E1155" i="6"/>
  <c r="D1155" i="6"/>
  <c r="C1155" i="6"/>
  <c r="B1155" i="6"/>
  <c r="A1155" i="6"/>
  <c r="H1155" i="6" s="1"/>
  <c r="I1155" i="6" s="1"/>
  <c r="G1154" i="6"/>
  <c r="F1154" i="6"/>
  <c r="E1154" i="6"/>
  <c r="D1154" i="6"/>
  <c r="C1154" i="6"/>
  <c r="B1154" i="6"/>
  <c r="A1154" i="6"/>
  <c r="H1154" i="6" s="1"/>
  <c r="G1153" i="6"/>
  <c r="F1153" i="6"/>
  <c r="E1153" i="6"/>
  <c r="D1153" i="6"/>
  <c r="C1153" i="6"/>
  <c r="B1153" i="6"/>
  <c r="A1153" i="6"/>
  <c r="H1153" i="6" s="1"/>
  <c r="I1153" i="6" s="1"/>
  <c r="G1152" i="6"/>
  <c r="F1152" i="6"/>
  <c r="E1152" i="6"/>
  <c r="D1152" i="6"/>
  <c r="C1152" i="6"/>
  <c r="B1152" i="6"/>
  <c r="A1152" i="6"/>
  <c r="H1152" i="6" s="1"/>
  <c r="G1151" i="6"/>
  <c r="F1151" i="6"/>
  <c r="E1151" i="6"/>
  <c r="D1151" i="6"/>
  <c r="C1151" i="6"/>
  <c r="B1151" i="6"/>
  <c r="A1151" i="6"/>
  <c r="H1151" i="6" s="1"/>
  <c r="I1151" i="6" s="1"/>
  <c r="G1150" i="6"/>
  <c r="F1150" i="6"/>
  <c r="E1150" i="6"/>
  <c r="D1150" i="6"/>
  <c r="C1150" i="6"/>
  <c r="B1150" i="6"/>
  <c r="A1150" i="6"/>
  <c r="H1150" i="6" s="1"/>
  <c r="G1149" i="6"/>
  <c r="F1149" i="6"/>
  <c r="E1149" i="6"/>
  <c r="D1149" i="6"/>
  <c r="C1149" i="6"/>
  <c r="B1149" i="6"/>
  <c r="A1149" i="6"/>
  <c r="H1149" i="6" s="1"/>
  <c r="I1149" i="6" s="1"/>
  <c r="G1148" i="6"/>
  <c r="F1148" i="6"/>
  <c r="E1148" i="6"/>
  <c r="D1148" i="6"/>
  <c r="C1148" i="6"/>
  <c r="B1148" i="6"/>
  <c r="A1148" i="6"/>
  <c r="H1148" i="6" s="1"/>
  <c r="G1147" i="6"/>
  <c r="F1147" i="6"/>
  <c r="E1147" i="6"/>
  <c r="D1147" i="6"/>
  <c r="C1147" i="6"/>
  <c r="B1147" i="6"/>
  <c r="A1147" i="6"/>
  <c r="H1147" i="6" s="1"/>
  <c r="I1147" i="6" s="1"/>
  <c r="G1146" i="6"/>
  <c r="F1146" i="6"/>
  <c r="E1146" i="6"/>
  <c r="D1146" i="6"/>
  <c r="C1146" i="6"/>
  <c r="B1146" i="6"/>
  <c r="A1146" i="6"/>
  <c r="H1146" i="6" s="1"/>
  <c r="G1145" i="6"/>
  <c r="F1145" i="6"/>
  <c r="E1145" i="6"/>
  <c r="D1145" i="6"/>
  <c r="C1145" i="6"/>
  <c r="B1145" i="6"/>
  <c r="A1145" i="6"/>
  <c r="H1145" i="6" s="1"/>
  <c r="I1145" i="6" s="1"/>
  <c r="G1144" i="6"/>
  <c r="F1144" i="6"/>
  <c r="E1144" i="6"/>
  <c r="D1144" i="6"/>
  <c r="C1144" i="6"/>
  <c r="B1144" i="6"/>
  <c r="A1144" i="6"/>
  <c r="H1144" i="6" s="1"/>
  <c r="G1143" i="6"/>
  <c r="F1143" i="6"/>
  <c r="E1143" i="6"/>
  <c r="D1143" i="6"/>
  <c r="C1143" i="6"/>
  <c r="B1143" i="6"/>
  <c r="A1143" i="6"/>
  <c r="H1143" i="6" s="1"/>
  <c r="I1143" i="6" s="1"/>
  <c r="G1142" i="6"/>
  <c r="F1142" i="6"/>
  <c r="E1142" i="6"/>
  <c r="D1142" i="6"/>
  <c r="C1142" i="6"/>
  <c r="B1142" i="6"/>
  <c r="A1142" i="6"/>
  <c r="H1142" i="6" s="1"/>
  <c r="G1141" i="6"/>
  <c r="F1141" i="6"/>
  <c r="E1141" i="6"/>
  <c r="D1141" i="6"/>
  <c r="C1141" i="6"/>
  <c r="B1141" i="6"/>
  <c r="A1141" i="6"/>
  <c r="H1141" i="6" s="1"/>
  <c r="I1141" i="6" s="1"/>
  <c r="G1140" i="6"/>
  <c r="F1140" i="6"/>
  <c r="E1140" i="6"/>
  <c r="D1140" i="6"/>
  <c r="C1140" i="6"/>
  <c r="B1140" i="6"/>
  <c r="A1140" i="6"/>
  <c r="H1140" i="6" s="1"/>
  <c r="G1139" i="6"/>
  <c r="F1139" i="6"/>
  <c r="E1139" i="6"/>
  <c r="D1139" i="6"/>
  <c r="C1139" i="6"/>
  <c r="B1139" i="6"/>
  <c r="A1139" i="6"/>
  <c r="H1139" i="6" s="1"/>
  <c r="I1139" i="6" s="1"/>
  <c r="G1138" i="6"/>
  <c r="F1138" i="6"/>
  <c r="E1138" i="6"/>
  <c r="D1138" i="6"/>
  <c r="C1138" i="6"/>
  <c r="B1138" i="6"/>
  <c r="A1138" i="6"/>
  <c r="H1138" i="6" s="1"/>
  <c r="G1137" i="6"/>
  <c r="F1137" i="6"/>
  <c r="E1137" i="6"/>
  <c r="D1137" i="6"/>
  <c r="C1137" i="6"/>
  <c r="B1137" i="6"/>
  <c r="A1137" i="6"/>
  <c r="H1137" i="6" s="1"/>
  <c r="I1137" i="6" s="1"/>
  <c r="G1136" i="6"/>
  <c r="F1136" i="6"/>
  <c r="E1136" i="6"/>
  <c r="D1136" i="6"/>
  <c r="C1136" i="6"/>
  <c r="B1136" i="6"/>
  <c r="A1136" i="6"/>
  <c r="H1136" i="6" s="1"/>
  <c r="G1135" i="6"/>
  <c r="F1135" i="6"/>
  <c r="E1135" i="6"/>
  <c r="D1135" i="6"/>
  <c r="C1135" i="6"/>
  <c r="B1135" i="6"/>
  <c r="A1135" i="6"/>
  <c r="H1135" i="6" s="1"/>
  <c r="I1135" i="6" s="1"/>
  <c r="G1134" i="6"/>
  <c r="F1134" i="6"/>
  <c r="E1134" i="6"/>
  <c r="D1134" i="6"/>
  <c r="C1134" i="6"/>
  <c r="B1134" i="6"/>
  <c r="A1134" i="6"/>
  <c r="H1134" i="6" s="1"/>
  <c r="G1133" i="6"/>
  <c r="F1133" i="6"/>
  <c r="E1133" i="6"/>
  <c r="D1133" i="6"/>
  <c r="C1133" i="6"/>
  <c r="B1133" i="6"/>
  <c r="A1133" i="6"/>
  <c r="H1133" i="6" s="1"/>
  <c r="I1133" i="6" s="1"/>
  <c r="G1132" i="6"/>
  <c r="F1132" i="6"/>
  <c r="E1132" i="6"/>
  <c r="D1132" i="6"/>
  <c r="C1132" i="6"/>
  <c r="B1132" i="6"/>
  <c r="A1132" i="6"/>
  <c r="H1132" i="6" s="1"/>
  <c r="G1131" i="6"/>
  <c r="F1131" i="6"/>
  <c r="E1131" i="6"/>
  <c r="D1131" i="6"/>
  <c r="C1131" i="6"/>
  <c r="B1131" i="6"/>
  <c r="A1131" i="6"/>
  <c r="H1131" i="6" s="1"/>
  <c r="I1131" i="6" s="1"/>
  <c r="G1130" i="6"/>
  <c r="F1130" i="6"/>
  <c r="E1130" i="6"/>
  <c r="D1130" i="6"/>
  <c r="C1130" i="6"/>
  <c r="B1130" i="6"/>
  <c r="A1130" i="6"/>
  <c r="H1130" i="6" s="1"/>
  <c r="G1129" i="6"/>
  <c r="F1129" i="6"/>
  <c r="E1129" i="6"/>
  <c r="D1129" i="6"/>
  <c r="C1129" i="6"/>
  <c r="B1129" i="6"/>
  <c r="A1129" i="6"/>
  <c r="H1129" i="6" s="1"/>
  <c r="I1129" i="6" s="1"/>
  <c r="G1128" i="6"/>
  <c r="F1128" i="6"/>
  <c r="E1128" i="6"/>
  <c r="D1128" i="6"/>
  <c r="C1128" i="6"/>
  <c r="B1128" i="6"/>
  <c r="A1128" i="6"/>
  <c r="H1128" i="6" s="1"/>
  <c r="G1127" i="6"/>
  <c r="F1127" i="6"/>
  <c r="E1127" i="6"/>
  <c r="D1127" i="6"/>
  <c r="C1127" i="6"/>
  <c r="B1127" i="6"/>
  <c r="A1127" i="6"/>
  <c r="H1127" i="6" s="1"/>
  <c r="I1127" i="6" s="1"/>
  <c r="G1126" i="6"/>
  <c r="F1126" i="6"/>
  <c r="E1126" i="6"/>
  <c r="D1126" i="6"/>
  <c r="C1126" i="6"/>
  <c r="B1126" i="6"/>
  <c r="A1126" i="6"/>
  <c r="H1126" i="6" s="1"/>
  <c r="G1125" i="6"/>
  <c r="F1125" i="6"/>
  <c r="E1125" i="6"/>
  <c r="D1125" i="6"/>
  <c r="C1125" i="6"/>
  <c r="B1125" i="6"/>
  <c r="A1125" i="6"/>
  <c r="H1125" i="6" s="1"/>
  <c r="I1125" i="6" s="1"/>
  <c r="G1124" i="6"/>
  <c r="F1124" i="6"/>
  <c r="E1124" i="6"/>
  <c r="D1124" i="6"/>
  <c r="C1124" i="6"/>
  <c r="B1124" i="6"/>
  <c r="A1124" i="6"/>
  <c r="H1124" i="6" s="1"/>
  <c r="G1123" i="6"/>
  <c r="F1123" i="6"/>
  <c r="E1123" i="6"/>
  <c r="D1123" i="6"/>
  <c r="C1123" i="6"/>
  <c r="B1123" i="6"/>
  <c r="A1123" i="6"/>
  <c r="H1123" i="6" s="1"/>
  <c r="I1123" i="6" s="1"/>
  <c r="G1122" i="6"/>
  <c r="F1122" i="6"/>
  <c r="E1122" i="6"/>
  <c r="D1122" i="6"/>
  <c r="C1122" i="6"/>
  <c r="B1122" i="6"/>
  <c r="A1122" i="6"/>
  <c r="H1122" i="6" s="1"/>
  <c r="G1121" i="6"/>
  <c r="F1121" i="6"/>
  <c r="E1121" i="6"/>
  <c r="D1121" i="6"/>
  <c r="C1121" i="6"/>
  <c r="B1121" i="6"/>
  <c r="A1121" i="6"/>
  <c r="H1121" i="6" s="1"/>
  <c r="I1121" i="6" s="1"/>
  <c r="G1120" i="6"/>
  <c r="F1120" i="6"/>
  <c r="E1120" i="6"/>
  <c r="D1120" i="6"/>
  <c r="C1120" i="6"/>
  <c r="B1120" i="6"/>
  <c r="A1120" i="6"/>
  <c r="H1120" i="6" s="1"/>
  <c r="G1119" i="6"/>
  <c r="F1119" i="6"/>
  <c r="E1119" i="6"/>
  <c r="D1119" i="6"/>
  <c r="C1119" i="6"/>
  <c r="B1119" i="6"/>
  <c r="A1119" i="6"/>
  <c r="H1119" i="6" s="1"/>
  <c r="I1119" i="6" s="1"/>
  <c r="G1118" i="6"/>
  <c r="F1118" i="6"/>
  <c r="E1118" i="6"/>
  <c r="D1118" i="6"/>
  <c r="C1118" i="6"/>
  <c r="B1118" i="6"/>
  <c r="A1118" i="6"/>
  <c r="H1118" i="6" s="1"/>
  <c r="G1117" i="6"/>
  <c r="F1117" i="6"/>
  <c r="E1117" i="6"/>
  <c r="D1117" i="6"/>
  <c r="C1117" i="6"/>
  <c r="B1117" i="6"/>
  <c r="A1117" i="6"/>
  <c r="H1117" i="6" s="1"/>
  <c r="I1117" i="6" s="1"/>
  <c r="G1116" i="6"/>
  <c r="F1116" i="6"/>
  <c r="E1116" i="6"/>
  <c r="D1116" i="6"/>
  <c r="C1116" i="6"/>
  <c r="B1116" i="6"/>
  <c r="A1116" i="6"/>
  <c r="H1116" i="6" s="1"/>
  <c r="G1115" i="6"/>
  <c r="F1115" i="6"/>
  <c r="E1115" i="6"/>
  <c r="D1115" i="6"/>
  <c r="C1115" i="6"/>
  <c r="B1115" i="6"/>
  <c r="A1115" i="6"/>
  <c r="H1115" i="6" s="1"/>
  <c r="I1115" i="6" s="1"/>
  <c r="G1114" i="6"/>
  <c r="F1114" i="6"/>
  <c r="E1114" i="6"/>
  <c r="D1114" i="6"/>
  <c r="C1114" i="6"/>
  <c r="B1114" i="6"/>
  <c r="A1114" i="6"/>
  <c r="H1114" i="6" s="1"/>
  <c r="G1113" i="6"/>
  <c r="F1113" i="6"/>
  <c r="E1113" i="6"/>
  <c r="D1113" i="6"/>
  <c r="C1113" i="6"/>
  <c r="B1113" i="6"/>
  <c r="A1113" i="6"/>
  <c r="H1113" i="6" s="1"/>
  <c r="I1113" i="6" s="1"/>
  <c r="G1112" i="6"/>
  <c r="F1112" i="6"/>
  <c r="E1112" i="6"/>
  <c r="D1112" i="6"/>
  <c r="C1112" i="6"/>
  <c r="B1112" i="6"/>
  <c r="A1112" i="6"/>
  <c r="H1112" i="6" s="1"/>
  <c r="G1111" i="6"/>
  <c r="F1111" i="6"/>
  <c r="E1111" i="6"/>
  <c r="D1111" i="6"/>
  <c r="C1111" i="6"/>
  <c r="B1111" i="6"/>
  <c r="A1111" i="6"/>
  <c r="H1111" i="6" s="1"/>
  <c r="I1111" i="6" s="1"/>
  <c r="G1110" i="6"/>
  <c r="F1110" i="6"/>
  <c r="E1110" i="6"/>
  <c r="D1110" i="6"/>
  <c r="C1110" i="6"/>
  <c r="B1110" i="6"/>
  <c r="A1110" i="6"/>
  <c r="H1110" i="6" s="1"/>
  <c r="G1109" i="6"/>
  <c r="F1109" i="6"/>
  <c r="E1109" i="6"/>
  <c r="D1109" i="6"/>
  <c r="C1109" i="6"/>
  <c r="B1109" i="6"/>
  <c r="A1109" i="6"/>
  <c r="H1109" i="6" s="1"/>
  <c r="I1109" i="6" s="1"/>
  <c r="G1108" i="6"/>
  <c r="F1108" i="6"/>
  <c r="E1108" i="6"/>
  <c r="D1108" i="6"/>
  <c r="C1108" i="6"/>
  <c r="B1108" i="6"/>
  <c r="A1108" i="6"/>
  <c r="H1108" i="6" s="1"/>
  <c r="G1107" i="6"/>
  <c r="F1107" i="6"/>
  <c r="E1107" i="6"/>
  <c r="D1107" i="6"/>
  <c r="C1107" i="6"/>
  <c r="B1107" i="6"/>
  <c r="A1107" i="6"/>
  <c r="H1107" i="6" s="1"/>
  <c r="I1107" i="6" s="1"/>
  <c r="G1106" i="6"/>
  <c r="F1106" i="6"/>
  <c r="E1106" i="6"/>
  <c r="D1106" i="6"/>
  <c r="C1106" i="6"/>
  <c r="B1106" i="6"/>
  <c r="A1106" i="6"/>
  <c r="H1106" i="6" s="1"/>
  <c r="G1105" i="6"/>
  <c r="F1105" i="6"/>
  <c r="E1105" i="6"/>
  <c r="D1105" i="6"/>
  <c r="C1105" i="6"/>
  <c r="B1105" i="6"/>
  <c r="A1105" i="6"/>
  <c r="H1105" i="6" s="1"/>
  <c r="I1105" i="6" s="1"/>
  <c r="G1104" i="6"/>
  <c r="F1104" i="6"/>
  <c r="E1104" i="6"/>
  <c r="D1104" i="6"/>
  <c r="C1104" i="6"/>
  <c r="B1104" i="6"/>
  <c r="A1104" i="6"/>
  <c r="H1104" i="6" s="1"/>
  <c r="G1103" i="6"/>
  <c r="F1103" i="6"/>
  <c r="E1103" i="6"/>
  <c r="D1103" i="6"/>
  <c r="C1103" i="6"/>
  <c r="B1103" i="6"/>
  <c r="A1103" i="6"/>
  <c r="H1103" i="6" s="1"/>
  <c r="I1103" i="6" s="1"/>
  <c r="G1102" i="6"/>
  <c r="F1102" i="6"/>
  <c r="E1102" i="6"/>
  <c r="D1102" i="6"/>
  <c r="C1102" i="6"/>
  <c r="B1102" i="6"/>
  <c r="A1102" i="6"/>
  <c r="H1102" i="6" s="1"/>
  <c r="G1101" i="6"/>
  <c r="F1101" i="6"/>
  <c r="E1101" i="6"/>
  <c r="D1101" i="6"/>
  <c r="C1101" i="6"/>
  <c r="B1101" i="6"/>
  <c r="A1101" i="6"/>
  <c r="H1101" i="6" s="1"/>
  <c r="I1101" i="6" s="1"/>
  <c r="G1100" i="6"/>
  <c r="F1100" i="6"/>
  <c r="E1100" i="6"/>
  <c r="D1100" i="6"/>
  <c r="C1100" i="6"/>
  <c r="B1100" i="6"/>
  <c r="A1100" i="6"/>
  <c r="H1100" i="6" s="1"/>
  <c r="G1099" i="6"/>
  <c r="F1099" i="6"/>
  <c r="E1099" i="6"/>
  <c r="D1099" i="6"/>
  <c r="C1099" i="6"/>
  <c r="B1099" i="6"/>
  <c r="A1099" i="6"/>
  <c r="H1099" i="6" s="1"/>
  <c r="I1099" i="6" s="1"/>
  <c r="G1098" i="6"/>
  <c r="F1098" i="6"/>
  <c r="E1098" i="6"/>
  <c r="D1098" i="6"/>
  <c r="C1098" i="6"/>
  <c r="B1098" i="6"/>
  <c r="A1098" i="6"/>
  <c r="H1098" i="6" s="1"/>
  <c r="G1097" i="6"/>
  <c r="F1097" i="6"/>
  <c r="E1097" i="6"/>
  <c r="D1097" i="6"/>
  <c r="C1097" i="6"/>
  <c r="B1097" i="6"/>
  <c r="A1097" i="6"/>
  <c r="H1097" i="6" s="1"/>
  <c r="I1097" i="6" s="1"/>
  <c r="G1096" i="6"/>
  <c r="F1096" i="6"/>
  <c r="E1096" i="6"/>
  <c r="D1096" i="6"/>
  <c r="C1096" i="6"/>
  <c r="B1096" i="6"/>
  <c r="A1096" i="6"/>
  <c r="H1096" i="6" s="1"/>
  <c r="G1095" i="6"/>
  <c r="F1095" i="6"/>
  <c r="E1095" i="6"/>
  <c r="D1095" i="6"/>
  <c r="C1095" i="6"/>
  <c r="B1095" i="6"/>
  <c r="A1095" i="6"/>
  <c r="H1095" i="6" s="1"/>
  <c r="I1095" i="6" s="1"/>
  <c r="G1094" i="6"/>
  <c r="F1094" i="6"/>
  <c r="E1094" i="6"/>
  <c r="D1094" i="6"/>
  <c r="C1094" i="6"/>
  <c r="B1094" i="6"/>
  <c r="A1094" i="6"/>
  <c r="H1094" i="6" s="1"/>
  <c r="G1093" i="6"/>
  <c r="F1093" i="6"/>
  <c r="E1093" i="6"/>
  <c r="D1093" i="6"/>
  <c r="C1093" i="6"/>
  <c r="B1093" i="6"/>
  <c r="A1093" i="6"/>
  <c r="H1093" i="6" s="1"/>
  <c r="I1093" i="6" s="1"/>
  <c r="G1092" i="6"/>
  <c r="F1092" i="6"/>
  <c r="E1092" i="6"/>
  <c r="D1092" i="6"/>
  <c r="C1092" i="6"/>
  <c r="B1092" i="6"/>
  <c r="A1092" i="6"/>
  <c r="H1092" i="6" s="1"/>
  <c r="G1091" i="6"/>
  <c r="F1091" i="6"/>
  <c r="E1091" i="6"/>
  <c r="D1091" i="6"/>
  <c r="C1091" i="6"/>
  <c r="B1091" i="6"/>
  <c r="A1091" i="6"/>
  <c r="H1091" i="6" s="1"/>
  <c r="I1091" i="6" s="1"/>
  <c r="G1090" i="6"/>
  <c r="F1090" i="6"/>
  <c r="E1090" i="6"/>
  <c r="D1090" i="6"/>
  <c r="C1090" i="6"/>
  <c r="B1090" i="6"/>
  <c r="A1090" i="6"/>
  <c r="H1090" i="6" s="1"/>
  <c r="G1089" i="6"/>
  <c r="F1089" i="6"/>
  <c r="E1089" i="6"/>
  <c r="D1089" i="6"/>
  <c r="C1089" i="6"/>
  <c r="B1089" i="6"/>
  <c r="A1089" i="6"/>
  <c r="H1089" i="6" s="1"/>
  <c r="G1088" i="6"/>
  <c r="F1088" i="6"/>
  <c r="E1088" i="6"/>
  <c r="D1088" i="6"/>
  <c r="C1088" i="6"/>
  <c r="B1088" i="6"/>
  <c r="A1088" i="6"/>
  <c r="H1088" i="6" s="1"/>
  <c r="G1087" i="6"/>
  <c r="F1087" i="6"/>
  <c r="E1087" i="6"/>
  <c r="D1087" i="6"/>
  <c r="C1087" i="6"/>
  <c r="B1087" i="6"/>
  <c r="A1087" i="6"/>
  <c r="H1087" i="6" s="1"/>
  <c r="G1086" i="6"/>
  <c r="F1086" i="6"/>
  <c r="E1086" i="6"/>
  <c r="D1086" i="6"/>
  <c r="C1086" i="6"/>
  <c r="B1086" i="6"/>
  <c r="A1086" i="6"/>
  <c r="H1086" i="6" s="1"/>
  <c r="G1085" i="6"/>
  <c r="F1085" i="6"/>
  <c r="E1085" i="6"/>
  <c r="D1085" i="6"/>
  <c r="C1085" i="6"/>
  <c r="B1085" i="6"/>
  <c r="A1085" i="6"/>
  <c r="H1085" i="6" s="1"/>
  <c r="G1084" i="6"/>
  <c r="F1084" i="6"/>
  <c r="E1084" i="6"/>
  <c r="D1084" i="6"/>
  <c r="C1084" i="6"/>
  <c r="B1084" i="6"/>
  <c r="A1084" i="6"/>
  <c r="H1084" i="6" s="1"/>
  <c r="G1083" i="6"/>
  <c r="F1083" i="6"/>
  <c r="E1083" i="6"/>
  <c r="D1083" i="6"/>
  <c r="C1083" i="6"/>
  <c r="B1083" i="6"/>
  <c r="A1083" i="6"/>
  <c r="H1083" i="6" s="1"/>
  <c r="G1082" i="6"/>
  <c r="F1082" i="6"/>
  <c r="E1082" i="6"/>
  <c r="D1082" i="6"/>
  <c r="C1082" i="6"/>
  <c r="B1082" i="6"/>
  <c r="A1082" i="6"/>
  <c r="H1082" i="6" s="1"/>
  <c r="G1081" i="6"/>
  <c r="F1081" i="6"/>
  <c r="E1081" i="6"/>
  <c r="D1081" i="6"/>
  <c r="C1081" i="6"/>
  <c r="B1081" i="6"/>
  <c r="A1081" i="6"/>
  <c r="H1081" i="6" s="1"/>
  <c r="G1080" i="6"/>
  <c r="F1080" i="6"/>
  <c r="E1080" i="6"/>
  <c r="D1080" i="6"/>
  <c r="C1080" i="6"/>
  <c r="B1080" i="6"/>
  <c r="A1080" i="6"/>
  <c r="H1080" i="6" s="1"/>
  <c r="G1079" i="6"/>
  <c r="F1079" i="6"/>
  <c r="E1079" i="6"/>
  <c r="D1079" i="6"/>
  <c r="C1079" i="6"/>
  <c r="B1079" i="6"/>
  <c r="A1079" i="6"/>
  <c r="H1079" i="6" s="1"/>
  <c r="G1078" i="6"/>
  <c r="F1078" i="6"/>
  <c r="E1078" i="6"/>
  <c r="D1078" i="6"/>
  <c r="C1078" i="6"/>
  <c r="B1078" i="6"/>
  <c r="A1078" i="6"/>
  <c r="H1078" i="6" s="1"/>
  <c r="G1077" i="6"/>
  <c r="F1077" i="6"/>
  <c r="E1077" i="6"/>
  <c r="D1077" i="6"/>
  <c r="C1077" i="6"/>
  <c r="B1077" i="6"/>
  <c r="A1077" i="6"/>
  <c r="H1077" i="6" s="1"/>
  <c r="G1076" i="6"/>
  <c r="F1076" i="6"/>
  <c r="E1076" i="6"/>
  <c r="D1076" i="6"/>
  <c r="C1076" i="6"/>
  <c r="B1076" i="6"/>
  <c r="A1076" i="6"/>
  <c r="H1076" i="6" s="1"/>
  <c r="G1075" i="6"/>
  <c r="F1075" i="6"/>
  <c r="E1075" i="6"/>
  <c r="D1075" i="6"/>
  <c r="C1075" i="6"/>
  <c r="B1075" i="6"/>
  <c r="A1075" i="6"/>
  <c r="H1075" i="6" s="1"/>
  <c r="G1074" i="6"/>
  <c r="F1074" i="6"/>
  <c r="E1074" i="6"/>
  <c r="D1074" i="6"/>
  <c r="C1074" i="6"/>
  <c r="B1074" i="6"/>
  <c r="A1074" i="6"/>
  <c r="H1074" i="6" s="1"/>
  <c r="G1073" i="6"/>
  <c r="F1073" i="6"/>
  <c r="E1073" i="6"/>
  <c r="D1073" i="6"/>
  <c r="C1073" i="6"/>
  <c r="B1073" i="6"/>
  <c r="A1073" i="6"/>
  <c r="H1073" i="6" s="1"/>
  <c r="G1072" i="6"/>
  <c r="F1072" i="6"/>
  <c r="E1072" i="6"/>
  <c r="D1072" i="6"/>
  <c r="C1072" i="6"/>
  <c r="B1072" i="6"/>
  <c r="A1072" i="6"/>
  <c r="H1072" i="6" s="1"/>
  <c r="G1071" i="6"/>
  <c r="F1071" i="6"/>
  <c r="E1071" i="6"/>
  <c r="D1071" i="6"/>
  <c r="C1071" i="6"/>
  <c r="B1071" i="6"/>
  <c r="A1071" i="6"/>
  <c r="H1071" i="6" s="1"/>
  <c r="G1070" i="6"/>
  <c r="F1070" i="6"/>
  <c r="E1070" i="6"/>
  <c r="D1070" i="6"/>
  <c r="C1070" i="6"/>
  <c r="B1070" i="6"/>
  <c r="A1070" i="6"/>
  <c r="H1070" i="6" s="1"/>
  <c r="G1069" i="6"/>
  <c r="F1069" i="6"/>
  <c r="E1069" i="6"/>
  <c r="D1069" i="6"/>
  <c r="C1069" i="6"/>
  <c r="B1069" i="6"/>
  <c r="A1069" i="6"/>
  <c r="H1069" i="6" s="1"/>
  <c r="G1068" i="6"/>
  <c r="F1068" i="6"/>
  <c r="E1068" i="6"/>
  <c r="D1068" i="6"/>
  <c r="C1068" i="6"/>
  <c r="B1068" i="6"/>
  <c r="A1068" i="6"/>
  <c r="H1068" i="6" s="1"/>
  <c r="G1067" i="6"/>
  <c r="F1067" i="6"/>
  <c r="E1067" i="6"/>
  <c r="D1067" i="6"/>
  <c r="C1067" i="6"/>
  <c r="B1067" i="6"/>
  <c r="A1067" i="6"/>
  <c r="H1067" i="6" s="1"/>
  <c r="G1066" i="6"/>
  <c r="F1066" i="6"/>
  <c r="E1066" i="6"/>
  <c r="D1066" i="6"/>
  <c r="C1066" i="6"/>
  <c r="B1066" i="6"/>
  <c r="A1066" i="6"/>
  <c r="H1066" i="6" s="1"/>
  <c r="G1065" i="6"/>
  <c r="F1065" i="6"/>
  <c r="E1065" i="6"/>
  <c r="D1065" i="6"/>
  <c r="C1065" i="6"/>
  <c r="B1065" i="6"/>
  <c r="A1065" i="6"/>
  <c r="H1065" i="6" s="1"/>
  <c r="G1064" i="6"/>
  <c r="F1064" i="6"/>
  <c r="E1064" i="6"/>
  <c r="D1064" i="6"/>
  <c r="C1064" i="6"/>
  <c r="B1064" i="6"/>
  <c r="A1064" i="6"/>
  <c r="H1064" i="6" s="1"/>
  <c r="G1063" i="6"/>
  <c r="F1063" i="6"/>
  <c r="E1063" i="6"/>
  <c r="D1063" i="6"/>
  <c r="C1063" i="6"/>
  <c r="B1063" i="6"/>
  <c r="A1063" i="6"/>
  <c r="H1063" i="6" s="1"/>
  <c r="G1062" i="6"/>
  <c r="F1062" i="6"/>
  <c r="E1062" i="6"/>
  <c r="D1062" i="6"/>
  <c r="C1062" i="6"/>
  <c r="B1062" i="6"/>
  <c r="A1062" i="6"/>
  <c r="H1062" i="6" s="1"/>
  <c r="G1061" i="6"/>
  <c r="F1061" i="6"/>
  <c r="E1061" i="6"/>
  <c r="D1061" i="6"/>
  <c r="C1061" i="6"/>
  <c r="B1061" i="6"/>
  <c r="A1061" i="6"/>
  <c r="H1061" i="6" s="1"/>
  <c r="G1060" i="6"/>
  <c r="F1060" i="6"/>
  <c r="E1060" i="6"/>
  <c r="D1060" i="6"/>
  <c r="C1060" i="6"/>
  <c r="B1060" i="6"/>
  <c r="A1060" i="6"/>
  <c r="H1060" i="6" s="1"/>
  <c r="G1059" i="6"/>
  <c r="F1059" i="6"/>
  <c r="E1059" i="6"/>
  <c r="D1059" i="6"/>
  <c r="C1059" i="6"/>
  <c r="B1059" i="6"/>
  <c r="A1059" i="6"/>
  <c r="H1059" i="6" s="1"/>
  <c r="G1058" i="6"/>
  <c r="F1058" i="6"/>
  <c r="E1058" i="6"/>
  <c r="D1058" i="6"/>
  <c r="C1058" i="6"/>
  <c r="B1058" i="6"/>
  <c r="A1058" i="6"/>
  <c r="H1058" i="6" s="1"/>
  <c r="G1057" i="6"/>
  <c r="F1057" i="6"/>
  <c r="E1057" i="6"/>
  <c r="D1057" i="6"/>
  <c r="C1057" i="6"/>
  <c r="B1057" i="6"/>
  <c r="A1057" i="6"/>
  <c r="H1057" i="6" s="1"/>
  <c r="G1056" i="6"/>
  <c r="F1056" i="6"/>
  <c r="E1056" i="6"/>
  <c r="D1056" i="6"/>
  <c r="C1056" i="6"/>
  <c r="B1056" i="6"/>
  <c r="A1056" i="6"/>
  <c r="H1056" i="6" s="1"/>
  <c r="G1055" i="6"/>
  <c r="F1055" i="6"/>
  <c r="E1055" i="6"/>
  <c r="D1055" i="6"/>
  <c r="C1055" i="6"/>
  <c r="B1055" i="6"/>
  <c r="A1055" i="6"/>
  <c r="H1055" i="6" s="1"/>
  <c r="G1054" i="6"/>
  <c r="F1054" i="6"/>
  <c r="E1054" i="6"/>
  <c r="D1054" i="6"/>
  <c r="C1054" i="6"/>
  <c r="B1054" i="6"/>
  <c r="A1054" i="6"/>
  <c r="H1054" i="6" s="1"/>
  <c r="G1053" i="6"/>
  <c r="F1053" i="6"/>
  <c r="E1053" i="6"/>
  <c r="D1053" i="6"/>
  <c r="C1053" i="6"/>
  <c r="B1053" i="6"/>
  <c r="A1053" i="6"/>
  <c r="H1053" i="6" s="1"/>
  <c r="G1052" i="6"/>
  <c r="F1052" i="6"/>
  <c r="E1052" i="6"/>
  <c r="D1052" i="6"/>
  <c r="C1052" i="6"/>
  <c r="B1052" i="6"/>
  <c r="A1052" i="6"/>
  <c r="H1052" i="6" s="1"/>
  <c r="G1051" i="6"/>
  <c r="F1051" i="6"/>
  <c r="E1051" i="6"/>
  <c r="D1051" i="6"/>
  <c r="C1051" i="6"/>
  <c r="B1051" i="6"/>
  <c r="A1051" i="6"/>
  <c r="H1051" i="6" s="1"/>
  <c r="G1050" i="6"/>
  <c r="F1050" i="6"/>
  <c r="E1050" i="6"/>
  <c r="D1050" i="6"/>
  <c r="C1050" i="6"/>
  <c r="B1050" i="6"/>
  <c r="A1050" i="6"/>
  <c r="H1050" i="6" s="1"/>
  <c r="G1049" i="6"/>
  <c r="F1049" i="6"/>
  <c r="E1049" i="6"/>
  <c r="D1049" i="6"/>
  <c r="C1049" i="6"/>
  <c r="B1049" i="6"/>
  <c r="A1049" i="6"/>
  <c r="H1049" i="6" s="1"/>
  <c r="G1048" i="6"/>
  <c r="F1048" i="6"/>
  <c r="E1048" i="6"/>
  <c r="D1048" i="6"/>
  <c r="C1048" i="6"/>
  <c r="B1048" i="6"/>
  <c r="A1048" i="6"/>
  <c r="H1048" i="6" s="1"/>
  <c r="G1047" i="6"/>
  <c r="F1047" i="6"/>
  <c r="E1047" i="6"/>
  <c r="D1047" i="6"/>
  <c r="C1047" i="6"/>
  <c r="B1047" i="6"/>
  <c r="A1047" i="6"/>
  <c r="H1047" i="6" s="1"/>
  <c r="G1046" i="6"/>
  <c r="F1046" i="6"/>
  <c r="E1046" i="6"/>
  <c r="D1046" i="6"/>
  <c r="C1046" i="6"/>
  <c r="B1046" i="6"/>
  <c r="A1046" i="6"/>
  <c r="H1046" i="6" s="1"/>
  <c r="G1045" i="6"/>
  <c r="F1045" i="6"/>
  <c r="E1045" i="6"/>
  <c r="D1045" i="6"/>
  <c r="C1045" i="6"/>
  <c r="B1045" i="6"/>
  <c r="A1045" i="6"/>
  <c r="H1045" i="6" s="1"/>
  <c r="G1044" i="6"/>
  <c r="F1044" i="6"/>
  <c r="E1044" i="6"/>
  <c r="D1044" i="6"/>
  <c r="C1044" i="6"/>
  <c r="B1044" i="6"/>
  <c r="A1044" i="6"/>
  <c r="H1044" i="6" s="1"/>
  <c r="G1043" i="6"/>
  <c r="F1043" i="6"/>
  <c r="E1043" i="6"/>
  <c r="D1043" i="6"/>
  <c r="C1043" i="6"/>
  <c r="B1043" i="6"/>
  <c r="A1043" i="6"/>
  <c r="H1043" i="6" s="1"/>
  <c r="G1042" i="6"/>
  <c r="F1042" i="6"/>
  <c r="E1042" i="6"/>
  <c r="D1042" i="6"/>
  <c r="C1042" i="6"/>
  <c r="B1042" i="6"/>
  <c r="A1042" i="6"/>
  <c r="H1042" i="6" s="1"/>
  <c r="G1041" i="6"/>
  <c r="F1041" i="6"/>
  <c r="E1041" i="6"/>
  <c r="D1041" i="6"/>
  <c r="C1041" i="6"/>
  <c r="B1041" i="6"/>
  <c r="A1041" i="6"/>
  <c r="H1041" i="6" s="1"/>
  <c r="G1040" i="6"/>
  <c r="F1040" i="6"/>
  <c r="E1040" i="6"/>
  <c r="D1040" i="6"/>
  <c r="C1040" i="6"/>
  <c r="B1040" i="6"/>
  <c r="A1040" i="6"/>
  <c r="H1040" i="6" s="1"/>
  <c r="G1039" i="6"/>
  <c r="F1039" i="6"/>
  <c r="E1039" i="6"/>
  <c r="D1039" i="6"/>
  <c r="C1039" i="6"/>
  <c r="B1039" i="6"/>
  <c r="A1039" i="6"/>
  <c r="H1039" i="6" s="1"/>
  <c r="G1038" i="6"/>
  <c r="F1038" i="6"/>
  <c r="E1038" i="6"/>
  <c r="D1038" i="6"/>
  <c r="C1038" i="6"/>
  <c r="B1038" i="6"/>
  <c r="A1038" i="6"/>
  <c r="H1038" i="6" s="1"/>
  <c r="G1037" i="6"/>
  <c r="F1037" i="6"/>
  <c r="E1037" i="6"/>
  <c r="D1037" i="6"/>
  <c r="C1037" i="6"/>
  <c r="B1037" i="6"/>
  <c r="A1037" i="6"/>
  <c r="H1037" i="6" s="1"/>
  <c r="G1036" i="6"/>
  <c r="F1036" i="6"/>
  <c r="E1036" i="6"/>
  <c r="D1036" i="6"/>
  <c r="C1036" i="6"/>
  <c r="B1036" i="6"/>
  <c r="A1036" i="6"/>
  <c r="H1036" i="6" s="1"/>
  <c r="G1035" i="6"/>
  <c r="F1035" i="6"/>
  <c r="E1035" i="6"/>
  <c r="D1035" i="6"/>
  <c r="C1035" i="6"/>
  <c r="B1035" i="6"/>
  <c r="A1035" i="6"/>
  <c r="H1035" i="6" s="1"/>
  <c r="G1034" i="6"/>
  <c r="F1034" i="6"/>
  <c r="E1034" i="6"/>
  <c r="D1034" i="6"/>
  <c r="C1034" i="6"/>
  <c r="B1034" i="6"/>
  <c r="A1034" i="6"/>
  <c r="H1034" i="6" s="1"/>
  <c r="G1033" i="6"/>
  <c r="F1033" i="6"/>
  <c r="E1033" i="6"/>
  <c r="D1033" i="6"/>
  <c r="C1033" i="6"/>
  <c r="B1033" i="6"/>
  <c r="A1033" i="6"/>
  <c r="H1033" i="6" s="1"/>
  <c r="G1032" i="6"/>
  <c r="F1032" i="6"/>
  <c r="E1032" i="6"/>
  <c r="D1032" i="6"/>
  <c r="C1032" i="6"/>
  <c r="B1032" i="6"/>
  <c r="A1032" i="6"/>
  <c r="H1032" i="6" s="1"/>
  <c r="G1031" i="6"/>
  <c r="F1031" i="6"/>
  <c r="E1031" i="6"/>
  <c r="D1031" i="6"/>
  <c r="C1031" i="6"/>
  <c r="B1031" i="6"/>
  <c r="A1031" i="6"/>
  <c r="H1031" i="6" s="1"/>
  <c r="G1030" i="6"/>
  <c r="F1030" i="6"/>
  <c r="E1030" i="6"/>
  <c r="D1030" i="6"/>
  <c r="C1030" i="6"/>
  <c r="B1030" i="6"/>
  <c r="A1030" i="6"/>
  <c r="H1030" i="6" s="1"/>
  <c r="G1029" i="6"/>
  <c r="F1029" i="6"/>
  <c r="E1029" i="6"/>
  <c r="D1029" i="6"/>
  <c r="C1029" i="6"/>
  <c r="B1029" i="6"/>
  <c r="A1029" i="6"/>
  <c r="H1029" i="6" s="1"/>
  <c r="G1028" i="6"/>
  <c r="F1028" i="6"/>
  <c r="E1028" i="6"/>
  <c r="D1028" i="6"/>
  <c r="C1028" i="6"/>
  <c r="B1028" i="6"/>
  <c r="A1028" i="6"/>
  <c r="H1028" i="6" s="1"/>
  <c r="G1027" i="6"/>
  <c r="F1027" i="6"/>
  <c r="E1027" i="6"/>
  <c r="D1027" i="6"/>
  <c r="C1027" i="6"/>
  <c r="B1027" i="6"/>
  <c r="A1027" i="6"/>
  <c r="H1027" i="6" s="1"/>
  <c r="G1026" i="6"/>
  <c r="F1026" i="6"/>
  <c r="E1026" i="6"/>
  <c r="D1026" i="6"/>
  <c r="C1026" i="6"/>
  <c r="B1026" i="6"/>
  <c r="A1026" i="6"/>
  <c r="H1026" i="6" s="1"/>
  <c r="G1025" i="6"/>
  <c r="F1025" i="6"/>
  <c r="E1025" i="6"/>
  <c r="D1025" i="6"/>
  <c r="C1025" i="6"/>
  <c r="B1025" i="6"/>
  <c r="A1025" i="6"/>
  <c r="H1025" i="6" s="1"/>
  <c r="G1024" i="6"/>
  <c r="F1024" i="6"/>
  <c r="E1024" i="6"/>
  <c r="D1024" i="6"/>
  <c r="C1024" i="6"/>
  <c r="B1024" i="6"/>
  <c r="A1024" i="6"/>
  <c r="H1024" i="6" s="1"/>
  <c r="G1023" i="6"/>
  <c r="F1023" i="6"/>
  <c r="E1023" i="6"/>
  <c r="D1023" i="6"/>
  <c r="C1023" i="6"/>
  <c r="B1023" i="6"/>
  <c r="A1023" i="6"/>
  <c r="H1023" i="6" s="1"/>
  <c r="G1022" i="6"/>
  <c r="F1022" i="6"/>
  <c r="E1022" i="6"/>
  <c r="D1022" i="6"/>
  <c r="C1022" i="6"/>
  <c r="B1022" i="6"/>
  <c r="A1022" i="6"/>
  <c r="H1022" i="6" s="1"/>
  <c r="G1021" i="6"/>
  <c r="F1021" i="6"/>
  <c r="E1021" i="6"/>
  <c r="D1021" i="6"/>
  <c r="C1021" i="6"/>
  <c r="B1021" i="6"/>
  <c r="A1021" i="6"/>
  <c r="H1021" i="6" s="1"/>
  <c r="G1020" i="6"/>
  <c r="F1020" i="6"/>
  <c r="E1020" i="6"/>
  <c r="D1020" i="6"/>
  <c r="C1020" i="6"/>
  <c r="B1020" i="6"/>
  <c r="A1020" i="6"/>
  <c r="H1020" i="6" s="1"/>
  <c r="G1019" i="6"/>
  <c r="F1019" i="6"/>
  <c r="E1019" i="6"/>
  <c r="D1019" i="6"/>
  <c r="C1019" i="6"/>
  <c r="B1019" i="6"/>
  <c r="A1019" i="6"/>
  <c r="H1019" i="6" s="1"/>
  <c r="G1018" i="6"/>
  <c r="F1018" i="6"/>
  <c r="E1018" i="6"/>
  <c r="D1018" i="6"/>
  <c r="C1018" i="6"/>
  <c r="B1018" i="6"/>
  <c r="A1018" i="6"/>
  <c r="H1018" i="6" s="1"/>
  <c r="G1017" i="6"/>
  <c r="F1017" i="6"/>
  <c r="E1017" i="6"/>
  <c r="D1017" i="6"/>
  <c r="C1017" i="6"/>
  <c r="B1017" i="6"/>
  <c r="A1017" i="6"/>
  <c r="H1017" i="6" s="1"/>
  <c r="G1016" i="6"/>
  <c r="F1016" i="6"/>
  <c r="E1016" i="6"/>
  <c r="D1016" i="6"/>
  <c r="C1016" i="6"/>
  <c r="B1016" i="6"/>
  <c r="A1016" i="6"/>
  <c r="H1016" i="6" s="1"/>
  <c r="G1015" i="6"/>
  <c r="F1015" i="6"/>
  <c r="E1015" i="6"/>
  <c r="D1015" i="6"/>
  <c r="C1015" i="6"/>
  <c r="B1015" i="6"/>
  <c r="A1015" i="6"/>
  <c r="H1015" i="6" s="1"/>
  <c r="G1014" i="6"/>
  <c r="F1014" i="6"/>
  <c r="E1014" i="6"/>
  <c r="D1014" i="6"/>
  <c r="C1014" i="6"/>
  <c r="B1014" i="6"/>
  <c r="A1014" i="6"/>
  <c r="H1014" i="6" s="1"/>
  <c r="G1013" i="6"/>
  <c r="F1013" i="6"/>
  <c r="E1013" i="6"/>
  <c r="D1013" i="6"/>
  <c r="C1013" i="6"/>
  <c r="B1013" i="6"/>
  <c r="A1013" i="6"/>
  <c r="H1013" i="6" s="1"/>
  <c r="G1012" i="6"/>
  <c r="F1012" i="6"/>
  <c r="E1012" i="6"/>
  <c r="D1012" i="6"/>
  <c r="C1012" i="6"/>
  <c r="B1012" i="6"/>
  <c r="A1012" i="6"/>
  <c r="H1012" i="6" s="1"/>
  <c r="G1011" i="6"/>
  <c r="F1011" i="6"/>
  <c r="E1011" i="6"/>
  <c r="D1011" i="6"/>
  <c r="C1011" i="6"/>
  <c r="B1011" i="6"/>
  <c r="A1011" i="6"/>
  <c r="H1011" i="6" s="1"/>
  <c r="G1010" i="6"/>
  <c r="F1010" i="6"/>
  <c r="E1010" i="6"/>
  <c r="D1010" i="6"/>
  <c r="C1010" i="6"/>
  <c r="B1010" i="6"/>
  <c r="A1010" i="6"/>
  <c r="H1010" i="6" s="1"/>
  <c r="G1009" i="6"/>
  <c r="F1009" i="6"/>
  <c r="E1009" i="6"/>
  <c r="D1009" i="6"/>
  <c r="C1009" i="6"/>
  <c r="B1009" i="6"/>
  <c r="A1009" i="6"/>
  <c r="H1009" i="6" s="1"/>
  <c r="G1008" i="6"/>
  <c r="F1008" i="6"/>
  <c r="E1008" i="6"/>
  <c r="D1008" i="6"/>
  <c r="C1008" i="6"/>
  <c r="B1008" i="6"/>
  <c r="A1008" i="6"/>
  <c r="H1008" i="6" s="1"/>
  <c r="G1007" i="6"/>
  <c r="F1007" i="6"/>
  <c r="E1007" i="6"/>
  <c r="D1007" i="6"/>
  <c r="C1007" i="6"/>
  <c r="B1007" i="6"/>
  <c r="A1007" i="6"/>
  <c r="H1007" i="6" s="1"/>
  <c r="G1006" i="6"/>
  <c r="F1006" i="6"/>
  <c r="E1006" i="6"/>
  <c r="D1006" i="6"/>
  <c r="C1006" i="6"/>
  <c r="B1006" i="6"/>
  <c r="A1006" i="6"/>
  <c r="H1006" i="6" s="1"/>
  <c r="G1005" i="6"/>
  <c r="F1005" i="6"/>
  <c r="E1005" i="6"/>
  <c r="D1005" i="6"/>
  <c r="C1005" i="6"/>
  <c r="B1005" i="6"/>
  <c r="A1005" i="6"/>
  <c r="H1005" i="6" s="1"/>
  <c r="G1004" i="6"/>
  <c r="F1004" i="6"/>
  <c r="E1004" i="6"/>
  <c r="D1004" i="6"/>
  <c r="C1004" i="6"/>
  <c r="B1004" i="6"/>
  <c r="A1004" i="6"/>
  <c r="H1004" i="6" s="1"/>
  <c r="G1003" i="6"/>
  <c r="F1003" i="6"/>
  <c r="E1003" i="6"/>
  <c r="D1003" i="6"/>
  <c r="C1003" i="6"/>
  <c r="B1003" i="6"/>
  <c r="A1003" i="6"/>
  <c r="H1003" i="6" s="1"/>
  <c r="G1002" i="6"/>
  <c r="F1002" i="6"/>
  <c r="E1002" i="6"/>
  <c r="D1002" i="6"/>
  <c r="C1002" i="6"/>
  <c r="B1002" i="6"/>
  <c r="A1002" i="6"/>
  <c r="H1002" i="6" s="1"/>
  <c r="G1001" i="6"/>
  <c r="F1001" i="6"/>
  <c r="E1001" i="6"/>
  <c r="D1001" i="6"/>
  <c r="C1001" i="6"/>
  <c r="B1001" i="6"/>
  <c r="A1001" i="6"/>
  <c r="H1001" i="6" s="1"/>
  <c r="G1000" i="6"/>
  <c r="F1000" i="6"/>
  <c r="E1000" i="6"/>
  <c r="D1000" i="6"/>
  <c r="C1000" i="6"/>
  <c r="B1000" i="6"/>
  <c r="A1000" i="6"/>
  <c r="H1000" i="6" s="1"/>
  <c r="G999" i="6"/>
  <c r="F999" i="6"/>
  <c r="E999" i="6"/>
  <c r="D999" i="6"/>
  <c r="C999" i="6"/>
  <c r="B999" i="6"/>
  <c r="A999" i="6"/>
  <c r="H999" i="6" s="1"/>
  <c r="G998" i="6"/>
  <c r="F998" i="6"/>
  <c r="E998" i="6"/>
  <c r="D998" i="6"/>
  <c r="C998" i="6"/>
  <c r="B998" i="6"/>
  <c r="A998" i="6"/>
  <c r="H998" i="6" s="1"/>
  <c r="G997" i="6"/>
  <c r="F997" i="6"/>
  <c r="E997" i="6"/>
  <c r="D997" i="6"/>
  <c r="C997" i="6"/>
  <c r="B997" i="6"/>
  <c r="A997" i="6"/>
  <c r="H997" i="6" s="1"/>
  <c r="G996" i="6"/>
  <c r="F996" i="6"/>
  <c r="E996" i="6"/>
  <c r="D996" i="6"/>
  <c r="C996" i="6"/>
  <c r="B996" i="6"/>
  <c r="A996" i="6"/>
  <c r="H996" i="6" s="1"/>
  <c r="G995" i="6"/>
  <c r="F995" i="6"/>
  <c r="E995" i="6"/>
  <c r="D995" i="6"/>
  <c r="C995" i="6"/>
  <c r="B995" i="6"/>
  <c r="A995" i="6"/>
  <c r="H995" i="6" s="1"/>
  <c r="G994" i="6"/>
  <c r="F994" i="6"/>
  <c r="E994" i="6"/>
  <c r="D994" i="6"/>
  <c r="C994" i="6"/>
  <c r="B994" i="6"/>
  <c r="A994" i="6"/>
  <c r="H994" i="6" s="1"/>
  <c r="G993" i="6"/>
  <c r="F993" i="6"/>
  <c r="E993" i="6"/>
  <c r="D993" i="6"/>
  <c r="C993" i="6"/>
  <c r="B993" i="6"/>
  <c r="A993" i="6"/>
  <c r="H993" i="6" s="1"/>
  <c r="G992" i="6"/>
  <c r="F992" i="6"/>
  <c r="E992" i="6"/>
  <c r="D992" i="6"/>
  <c r="C992" i="6"/>
  <c r="B992" i="6"/>
  <c r="A992" i="6"/>
  <c r="H992" i="6" s="1"/>
  <c r="G991" i="6"/>
  <c r="F991" i="6"/>
  <c r="E991" i="6"/>
  <c r="D991" i="6"/>
  <c r="C991" i="6"/>
  <c r="B991" i="6"/>
  <c r="A991" i="6"/>
  <c r="H991" i="6" s="1"/>
  <c r="G990" i="6"/>
  <c r="F990" i="6"/>
  <c r="E990" i="6"/>
  <c r="D990" i="6"/>
  <c r="C990" i="6"/>
  <c r="B990" i="6"/>
  <c r="A990" i="6"/>
  <c r="H990" i="6" s="1"/>
  <c r="G989" i="6"/>
  <c r="F989" i="6"/>
  <c r="E989" i="6"/>
  <c r="D989" i="6"/>
  <c r="C989" i="6"/>
  <c r="B989" i="6"/>
  <c r="A989" i="6"/>
  <c r="H989" i="6" s="1"/>
  <c r="G988" i="6"/>
  <c r="F988" i="6"/>
  <c r="E988" i="6"/>
  <c r="D988" i="6"/>
  <c r="C988" i="6"/>
  <c r="B988" i="6"/>
  <c r="A988" i="6"/>
  <c r="H988" i="6" s="1"/>
  <c r="G987" i="6"/>
  <c r="F987" i="6"/>
  <c r="E987" i="6"/>
  <c r="D987" i="6"/>
  <c r="C987" i="6"/>
  <c r="B987" i="6"/>
  <c r="A987" i="6"/>
  <c r="H987" i="6" s="1"/>
  <c r="G986" i="6"/>
  <c r="F986" i="6"/>
  <c r="E986" i="6"/>
  <c r="D986" i="6"/>
  <c r="C986" i="6"/>
  <c r="B986" i="6"/>
  <c r="A986" i="6"/>
  <c r="H986" i="6" s="1"/>
  <c r="G985" i="6"/>
  <c r="F985" i="6"/>
  <c r="E985" i="6"/>
  <c r="D985" i="6"/>
  <c r="C985" i="6"/>
  <c r="B985" i="6"/>
  <c r="A985" i="6"/>
  <c r="H985" i="6" s="1"/>
  <c r="G984" i="6"/>
  <c r="F984" i="6"/>
  <c r="E984" i="6"/>
  <c r="D984" i="6"/>
  <c r="C984" i="6"/>
  <c r="B984" i="6"/>
  <c r="A984" i="6"/>
  <c r="H984" i="6" s="1"/>
  <c r="G983" i="6"/>
  <c r="F983" i="6"/>
  <c r="E983" i="6"/>
  <c r="D983" i="6"/>
  <c r="C983" i="6"/>
  <c r="B983" i="6"/>
  <c r="A983" i="6"/>
  <c r="H983" i="6" s="1"/>
  <c r="G982" i="6"/>
  <c r="F982" i="6"/>
  <c r="E982" i="6"/>
  <c r="D982" i="6"/>
  <c r="C982" i="6"/>
  <c r="B982" i="6"/>
  <c r="A982" i="6"/>
  <c r="H982" i="6" s="1"/>
  <c r="G981" i="6"/>
  <c r="F981" i="6"/>
  <c r="E981" i="6"/>
  <c r="D981" i="6"/>
  <c r="C981" i="6"/>
  <c r="B981" i="6"/>
  <c r="A981" i="6"/>
  <c r="H981" i="6" s="1"/>
  <c r="G980" i="6"/>
  <c r="F980" i="6"/>
  <c r="E980" i="6"/>
  <c r="D980" i="6"/>
  <c r="C980" i="6"/>
  <c r="B980" i="6"/>
  <c r="A980" i="6"/>
  <c r="H980" i="6" s="1"/>
  <c r="G979" i="6"/>
  <c r="F979" i="6"/>
  <c r="E979" i="6"/>
  <c r="D979" i="6"/>
  <c r="C979" i="6"/>
  <c r="B979" i="6"/>
  <c r="A979" i="6"/>
  <c r="H979" i="6" s="1"/>
  <c r="G978" i="6"/>
  <c r="F978" i="6"/>
  <c r="E978" i="6"/>
  <c r="D978" i="6"/>
  <c r="C978" i="6"/>
  <c r="B978" i="6"/>
  <c r="A978" i="6"/>
  <c r="H978" i="6" s="1"/>
  <c r="G977" i="6"/>
  <c r="F977" i="6"/>
  <c r="E977" i="6"/>
  <c r="D977" i="6"/>
  <c r="C977" i="6"/>
  <c r="B977" i="6"/>
  <c r="A977" i="6"/>
  <c r="H977" i="6" s="1"/>
  <c r="G976" i="6"/>
  <c r="F976" i="6"/>
  <c r="E976" i="6"/>
  <c r="D976" i="6"/>
  <c r="C976" i="6"/>
  <c r="B976" i="6"/>
  <c r="A976" i="6"/>
  <c r="H976" i="6" s="1"/>
  <c r="G975" i="6"/>
  <c r="F975" i="6"/>
  <c r="E975" i="6"/>
  <c r="D975" i="6"/>
  <c r="C975" i="6"/>
  <c r="B975" i="6"/>
  <c r="A975" i="6"/>
  <c r="H975" i="6" s="1"/>
  <c r="G974" i="6"/>
  <c r="F974" i="6"/>
  <c r="E974" i="6"/>
  <c r="D974" i="6"/>
  <c r="C974" i="6"/>
  <c r="B974" i="6"/>
  <c r="A974" i="6"/>
  <c r="H974" i="6" s="1"/>
  <c r="G973" i="6"/>
  <c r="F973" i="6"/>
  <c r="E973" i="6"/>
  <c r="D973" i="6"/>
  <c r="C973" i="6"/>
  <c r="B973" i="6"/>
  <c r="A973" i="6"/>
  <c r="H973" i="6" s="1"/>
  <c r="G972" i="6"/>
  <c r="F972" i="6"/>
  <c r="E972" i="6"/>
  <c r="D972" i="6"/>
  <c r="C972" i="6"/>
  <c r="B972" i="6"/>
  <c r="A972" i="6"/>
  <c r="H972" i="6" s="1"/>
  <c r="G971" i="6"/>
  <c r="F971" i="6"/>
  <c r="E971" i="6"/>
  <c r="D971" i="6"/>
  <c r="C971" i="6"/>
  <c r="B971" i="6"/>
  <c r="A971" i="6"/>
  <c r="H971" i="6" s="1"/>
  <c r="G970" i="6"/>
  <c r="F970" i="6"/>
  <c r="E970" i="6"/>
  <c r="D970" i="6"/>
  <c r="C970" i="6"/>
  <c r="B970" i="6"/>
  <c r="A970" i="6"/>
  <c r="H970" i="6" s="1"/>
  <c r="G969" i="6"/>
  <c r="F969" i="6"/>
  <c r="E969" i="6"/>
  <c r="D969" i="6"/>
  <c r="C969" i="6"/>
  <c r="B969" i="6"/>
  <c r="A969" i="6"/>
  <c r="H969" i="6" s="1"/>
  <c r="G968" i="6"/>
  <c r="F968" i="6"/>
  <c r="E968" i="6"/>
  <c r="D968" i="6"/>
  <c r="C968" i="6"/>
  <c r="B968" i="6"/>
  <c r="A968" i="6"/>
  <c r="H968" i="6" s="1"/>
  <c r="G967" i="6"/>
  <c r="F967" i="6"/>
  <c r="E967" i="6"/>
  <c r="D967" i="6"/>
  <c r="C967" i="6"/>
  <c r="B967" i="6"/>
  <c r="A967" i="6"/>
  <c r="H967" i="6" s="1"/>
  <c r="G966" i="6"/>
  <c r="F966" i="6"/>
  <c r="E966" i="6"/>
  <c r="D966" i="6"/>
  <c r="C966" i="6"/>
  <c r="B966" i="6"/>
  <c r="A966" i="6"/>
  <c r="H966" i="6" s="1"/>
  <c r="G965" i="6"/>
  <c r="F965" i="6"/>
  <c r="E965" i="6"/>
  <c r="D965" i="6"/>
  <c r="C965" i="6"/>
  <c r="B965" i="6"/>
  <c r="A965" i="6"/>
  <c r="H965" i="6" s="1"/>
  <c r="G964" i="6"/>
  <c r="F964" i="6"/>
  <c r="E964" i="6"/>
  <c r="D964" i="6"/>
  <c r="C964" i="6"/>
  <c r="B964" i="6"/>
  <c r="A964" i="6"/>
  <c r="H964" i="6" s="1"/>
  <c r="G963" i="6"/>
  <c r="F963" i="6"/>
  <c r="E963" i="6"/>
  <c r="D963" i="6"/>
  <c r="C963" i="6"/>
  <c r="B963" i="6"/>
  <c r="A963" i="6"/>
  <c r="H963" i="6" s="1"/>
  <c r="G962" i="6"/>
  <c r="F962" i="6"/>
  <c r="E962" i="6"/>
  <c r="D962" i="6"/>
  <c r="C962" i="6"/>
  <c r="B962" i="6"/>
  <c r="A962" i="6"/>
  <c r="H962" i="6" s="1"/>
  <c r="G961" i="6"/>
  <c r="F961" i="6"/>
  <c r="E961" i="6"/>
  <c r="D961" i="6"/>
  <c r="C961" i="6"/>
  <c r="B961" i="6"/>
  <c r="A961" i="6"/>
  <c r="H961" i="6" s="1"/>
  <c r="G960" i="6"/>
  <c r="F960" i="6"/>
  <c r="E960" i="6"/>
  <c r="D960" i="6"/>
  <c r="C960" i="6"/>
  <c r="B960" i="6"/>
  <c r="A960" i="6"/>
  <c r="H960" i="6" s="1"/>
  <c r="G959" i="6"/>
  <c r="F959" i="6"/>
  <c r="E959" i="6"/>
  <c r="D959" i="6"/>
  <c r="C959" i="6"/>
  <c r="B959" i="6"/>
  <c r="A959" i="6"/>
  <c r="H959" i="6" s="1"/>
  <c r="G958" i="6"/>
  <c r="F958" i="6"/>
  <c r="E958" i="6"/>
  <c r="D958" i="6"/>
  <c r="C958" i="6"/>
  <c r="B958" i="6"/>
  <c r="A958" i="6"/>
  <c r="H958" i="6" s="1"/>
  <c r="G957" i="6"/>
  <c r="F957" i="6"/>
  <c r="E957" i="6"/>
  <c r="D957" i="6"/>
  <c r="C957" i="6"/>
  <c r="B957" i="6"/>
  <c r="A957" i="6"/>
  <c r="H957" i="6" s="1"/>
  <c r="G956" i="6"/>
  <c r="F956" i="6"/>
  <c r="E956" i="6"/>
  <c r="D956" i="6"/>
  <c r="C956" i="6"/>
  <c r="B956" i="6"/>
  <c r="A956" i="6"/>
  <c r="H956" i="6" s="1"/>
  <c r="G955" i="6"/>
  <c r="F955" i="6"/>
  <c r="E955" i="6"/>
  <c r="D955" i="6"/>
  <c r="C955" i="6"/>
  <c r="B955" i="6"/>
  <c r="A955" i="6"/>
  <c r="H955" i="6" s="1"/>
  <c r="G954" i="6"/>
  <c r="F954" i="6"/>
  <c r="E954" i="6"/>
  <c r="D954" i="6"/>
  <c r="C954" i="6"/>
  <c r="B954" i="6"/>
  <c r="A954" i="6"/>
  <c r="H954" i="6" s="1"/>
  <c r="G953" i="6"/>
  <c r="F953" i="6"/>
  <c r="E953" i="6"/>
  <c r="D953" i="6"/>
  <c r="C953" i="6"/>
  <c r="B953" i="6"/>
  <c r="A953" i="6"/>
  <c r="H953" i="6" s="1"/>
  <c r="G952" i="6"/>
  <c r="F952" i="6"/>
  <c r="E952" i="6"/>
  <c r="D952" i="6"/>
  <c r="C952" i="6"/>
  <c r="B952" i="6"/>
  <c r="A952" i="6"/>
  <c r="H952" i="6" s="1"/>
  <c r="G951" i="6"/>
  <c r="F951" i="6"/>
  <c r="E951" i="6"/>
  <c r="D951" i="6"/>
  <c r="C951" i="6"/>
  <c r="B951" i="6"/>
  <c r="A951" i="6"/>
  <c r="H951" i="6" s="1"/>
  <c r="G950" i="6"/>
  <c r="F950" i="6"/>
  <c r="E950" i="6"/>
  <c r="D950" i="6"/>
  <c r="C950" i="6"/>
  <c r="B950" i="6"/>
  <c r="A950" i="6"/>
  <c r="H950" i="6" s="1"/>
  <c r="G949" i="6"/>
  <c r="F949" i="6"/>
  <c r="E949" i="6"/>
  <c r="D949" i="6"/>
  <c r="C949" i="6"/>
  <c r="B949" i="6"/>
  <c r="A949" i="6"/>
  <c r="H949" i="6" s="1"/>
  <c r="G948" i="6"/>
  <c r="F948" i="6"/>
  <c r="E948" i="6"/>
  <c r="D948" i="6"/>
  <c r="C948" i="6"/>
  <c r="B948" i="6"/>
  <c r="A948" i="6"/>
  <c r="H948" i="6" s="1"/>
  <c r="G947" i="6"/>
  <c r="F947" i="6"/>
  <c r="E947" i="6"/>
  <c r="D947" i="6"/>
  <c r="C947" i="6"/>
  <c r="B947" i="6"/>
  <c r="A947" i="6"/>
  <c r="H947" i="6" s="1"/>
  <c r="G946" i="6"/>
  <c r="F946" i="6"/>
  <c r="E946" i="6"/>
  <c r="D946" i="6"/>
  <c r="C946" i="6"/>
  <c r="B946" i="6"/>
  <c r="A946" i="6"/>
  <c r="H946" i="6" s="1"/>
  <c r="G945" i="6"/>
  <c r="F945" i="6"/>
  <c r="E945" i="6"/>
  <c r="D945" i="6"/>
  <c r="C945" i="6"/>
  <c r="B945" i="6"/>
  <c r="A945" i="6"/>
  <c r="H945" i="6" s="1"/>
  <c r="G944" i="6"/>
  <c r="F944" i="6"/>
  <c r="E944" i="6"/>
  <c r="D944" i="6"/>
  <c r="C944" i="6"/>
  <c r="B944" i="6"/>
  <c r="A944" i="6"/>
  <c r="H944" i="6" s="1"/>
  <c r="G943" i="6"/>
  <c r="F943" i="6"/>
  <c r="E943" i="6"/>
  <c r="D943" i="6"/>
  <c r="C943" i="6"/>
  <c r="B943" i="6"/>
  <c r="A943" i="6"/>
  <c r="H943" i="6" s="1"/>
  <c r="G942" i="6"/>
  <c r="F942" i="6"/>
  <c r="E942" i="6"/>
  <c r="D942" i="6"/>
  <c r="C942" i="6"/>
  <c r="B942" i="6"/>
  <c r="A942" i="6"/>
  <c r="H942" i="6" s="1"/>
  <c r="G941" i="6"/>
  <c r="F941" i="6"/>
  <c r="E941" i="6"/>
  <c r="D941" i="6"/>
  <c r="C941" i="6"/>
  <c r="B941" i="6"/>
  <c r="A941" i="6"/>
  <c r="H941" i="6" s="1"/>
  <c r="G940" i="6"/>
  <c r="F940" i="6"/>
  <c r="E940" i="6"/>
  <c r="D940" i="6"/>
  <c r="C940" i="6"/>
  <c r="B940" i="6"/>
  <c r="A940" i="6"/>
  <c r="H940" i="6" s="1"/>
  <c r="G939" i="6"/>
  <c r="F939" i="6"/>
  <c r="E939" i="6"/>
  <c r="D939" i="6"/>
  <c r="C939" i="6"/>
  <c r="B939" i="6"/>
  <c r="A939" i="6"/>
  <c r="H939" i="6" s="1"/>
  <c r="G938" i="6"/>
  <c r="F938" i="6"/>
  <c r="E938" i="6"/>
  <c r="D938" i="6"/>
  <c r="C938" i="6"/>
  <c r="B938" i="6"/>
  <c r="A938" i="6"/>
  <c r="H938" i="6" s="1"/>
  <c r="G937" i="6"/>
  <c r="F937" i="6"/>
  <c r="E937" i="6"/>
  <c r="D937" i="6"/>
  <c r="C937" i="6"/>
  <c r="B937" i="6"/>
  <c r="A937" i="6"/>
  <c r="H937" i="6" s="1"/>
  <c r="G936" i="6"/>
  <c r="F936" i="6"/>
  <c r="E936" i="6"/>
  <c r="D936" i="6"/>
  <c r="C936" i="6"/>
  <c r="B936" i="6"/>
  <c r="A936" i="6"/>
  <c r="H936" i="6" s="1"/>
  <c r="G935" i="6"/>
  <c r="F935" i="6"/>
  <c r="E935" i="6"/>
  <c r="D935" i="6"/>
  <c r="C935" i="6"/>
  <c r="B935" i="6"/>
  <c r="A935" i="6"/>
  <c r="H935" i="6" s="1"/>
  <c r="G934" i="6"/>
  <c r="F934" i="6"/>
  <c r="E934" i="6"/>
  <c r="D934" i="6"/>
  <c r="C934" i="6"/>
  <c r="B934" i="6"/>
  <c r="A934" i="6"/>
  <c r="H934" i="6" s="1"/>
  <c r="G933" i="6"/>
  <c r="F933" i="6"/>
  <c r="E933" i="6"/>
  <c r="D933" i="6"/>
  <c r="C933" i="6"/>
  <c r="B933" i="6"/>
  <c r="A933" i="6"/>
  <c r="H933" i="6" s="1"/>
  <c r="G932" i="6"/>
  <c r="F932" i="6"/>
  <c r="E932" i="6"/>
  <c r="D932" i="6"/>
  <c r="C932" i="6"/>
  <c r="B932" i="6"/>
  <c r="A932" i="6"/>
  <c r="H932" i="6" s="1"/>
  <c r="G931" i="6"/>
  <c r="F931" i="6"/>
  <c r="E931" i="6"/>
  <c r="D931" i="6"/>
  <c r="C931" i="6"/>
  <c r="B931" i="6"/>
  <c r="A931" i="6"/>
  <c r="H931" i="6" s="1"/>
  <c r="G930" i="6"/>
  <c r="F930" i="6"/>
  <c r="E930" i="6"/>
  <c r="D930" i="6"/>
  <c r="C930" i="6"/>
  <c r="B930" i="6"/>
  <c r="A930" i="6"/>
  <c r="H930" i="6" s="1"/>
  <c r="G929" i="6"/>
  <c r="F929" i="6"/>
  <c r="E929" i="6"/>
  <c r="D929" i="6"/>
  <c r="C929" i="6"/>
  <c r="B929" i="6"/>
  <c r="A929" i="6"/>
  <c r="H929" i="6" s="1"/>
  <c r="G928" i="6"/>
  <c r="F928" i="6"/>
  <c r="E928" i="6"/>
  <c r="D928" i="6"/>
  <c r="C928" i="6"/>
  <c r="B928" i="6"/>
  <c r="A928" i="6"/>
  <c r="H928" i="6" s="1"/>
  <c r="G927" i="6"/>
  <c r="F927" i="6"/>
  <c r="E927" i="6"/>
  <c r="D927" i="6"/>
  <c r="C927" i="6"/>
  <c r="B927" i="6"/>
  <c r="A927" i="6"/>
  <c r="H927" i="6" s="1"/>
  <c r="G926" i="6"/>
  <c r="F926" i="6"/>
  <c r="E926" i="6"/>
  <c r="D926" i="6"/>
  <c r="C926" i="6"/>
  <c r="B926" i="6"/>
  <c r="A926" i="6"/>
  <c r="H926" i="6" s="1"/>
  <c r="G925" i="6"/>
  <c r="F925" i="6"/>
  <c r="E925" i="6"/>
  <c r="D925" i="6"/>
  <c r="C925" i="6"/>
  <c r="B925" i="6"/>
  <c r="A925" i="6"/>
  <c r="H925" i="6" s="1"/>
  <c r="G924" i="6"/>
  <c r="F924" i="6"/>
  <c r="E924" i="6"/>
  <c r="D924" i="6"/>
  <c r="C924" i="6"/>
  <c r="B924" i="6"/>
  <c r="A924" i="6"/>
  <c r="H924" i="6" s="1"/>
  <c r="G923" i="6"/>
  <c r="F923" i="6"/>
  <c r="E923" i="6"/>
  <c r="D923" i="6"/>
  <c r="C923" i="6"/>
  <c r="B923" i="6"/>
  <c r="A923" i="6"/>
  <c r="H923" i="6" s="1"/>
  <c r="G922" i="6"/>
  <c r="F922" i="6"/>
  <c r="E922" i="6"/>
  <c r="D922" i="6"/>
  <c r="C922" i="6"/>
  <c r="B922" i="6"/>
  <c r="A922" i="6"/>
  <c r="H922" i="6" s="1"/>
  <c r="G921" i="6"/>
  <c r="F921" i="6"/>
  <c r="E921" i="6"/>
  <c r="D921" i="6"/>
  <c r="C921" i="6"/>
  <c r="B921" i="6"/>
  <c r="A921" i="6"/>
  <c r="H921" i="6" s="1"/>
  <c r="G920" i="6"/>
  <c r="F920" i="6"/>
  <c r="E920" i="6"/>
  <c r="D920" i="6"/>
  <c r="C920" i="6"/>
  <c r="B920" i="6"/>
  <c r="A920" i="6"/>
  <c r="H920" i="6" s="1"/>
  <c r="G919" i="6"/>
  <c r="F919" i="6"/>
  <c r="E919" i="6"/>
  <c r="D919" i="6"/>
  <c r="C919" i="6"/>
  <c r="B919" i="6"/>
  <c r="A919" i="6"/>
  <c r="H919" i="6" s="1"/>
  <c r="G918" i="6"/>
  <c r="F918" i="6"/>
  <c r="E918" i="6"/>
  <c r="D918" i="6"/>
  <c r="C918" i="6"/>
  <c r="B918" i="6"/>
  <c r="A918" i="6"/>
  <c r="H918" i="6" s="1"/>
  <c r="G917" i="6"/>
  <c r="F917" i="6"/>
  <c r="E917" i="6"/>
  <c r="D917" i="6"/>
  <c r="C917" i="6"/>
  <c r="B917" i="6"/>
  <c r="A917" i="6"/>
  <c r="H917" i="6" s="1"/>
  <c r="G916" i="6"/>
  <c r="F916" i="6"/>
  <c r="E916" i="6"/>
  <c r="D916" i="6"/>
  <c r="C916" i="6"/>
  <c r="B916" i="6"/>
  <c r="A916" i="6"/>
  <c r="H916" i="6" s="1"/>
  <c r="G915" i="6"/>
  <c r="F915" i="6"/>
  <c r="E915" i="6"/>
  <c r="D915" i="6"/>
  <c r="C915" i="6"/>
  <c r="B915" i="6"/>
  <c r="A915" i="6"/>
  <c r="H915" i="6" s="1"/>
  <c r="G914" i="6"/>
  <c r="F914" i="6"/>
  <c r="E914" i="6"/>
  <c r="D914" i="6"/>
  <c r="C914" i="6"/>
  <c r="B914" i="6"/>
  <c r="A914" i="6"/>
  <c r="H914" i="6" s="1"/>
  <c r="G913" i="6"/>
  <c r="F913" i="6"/>
  <c r="E913" i="6"/>
  <c r="D913" i="6"/>
  <c r="C913" i="6"/>
  <c r="B913" i="6"/>
  <c r="A913" i="6"/>
  <c r="H913" i="6" s="1"/>
  <c r="G912" i="6"/>
  <c r="F912" i="6"/>
  <c r="E912" i="6"/>
  <c r="D912" i="6"/>
  <c r="C912" i="6"/>
  <c r="B912" i="6"/>
  <c r="A912" i="6"/>
  <c r="H912" i="6" s="1"/>
  <c r="G911" i="6"/>
  <c r="F911" i="6"/>
  <c r="E911" i="6"/>
  <c r="D911" i="6"/>
  <c r="C911" i="6"/>
  <c r="B911" i="6"/>
  <c r="A911" i="6"/>
  <c r="H911" i="6" s="1"/>
  <c r="G910" i="6"/>
  <c r="F910" i="6"/>
  <c r="E910" i="6"/>
  <c r="D910" i="6"/>
  <c r="C910" i="6"/>
  <c r="B910" i="6"/>
  <c r="A910" i="6"/>
  <c r="H910" i="6" s="1"/>
  <c r="G909" i="6"/>
  <c r="F909" i="6"/>
  <c r="E909" i="6"/>
  <c r="D909" i="6"/>
  <c r="C909" i="6"/>
  <c r="B909" i="6"/>
  <c r="A909" i="6"/>
  <c r="H909" i="6" s="1"/>
  <c r="G908" i="6"/>
  <c r="F908" i="6"/>
  <c r="E908" i="6"/>
  <c r="D908" i="6"/>
  <c r="C908" i="6"/>
  <c r="B908" i="6"/>
  <c r="A908" i="6"/>
  <c r="H908" i="6" s="1"/>
  <c r="G907" i="6"/>
  <c r="F907" i="6"/>
  <c r="E907" i="6"/>
  <c r="D907" i="6"/>
  <c r="C907" i="6"/>
  <c r="B907" i="6"/>
  <c r="A907" i="6"/>
  <c r="H907" i="6" s="1"/>
  <c r="G906" i="6"/>
  <c r="F906" i="6"/>
  <c r="E906" i="6"/>
  <c r="D906" i="6"/>
  <c r="C906" i="6"/>
  <c r="B906" i="6"/>
  <c r="A906" i="6"/>
  <c r="H906" i="6" s="1"/>
  <c r="G905" i="6"/>
  <c r="F905" i="6"/>
  <c r="E905" i="6"/>
  <c r="D905" i="6"/>
  <c r="C905" i="6"/>
  <c r="B905" i="6"/>
  <c r="A905" i="6"/>
  <c r="H905" i="6" s="1"/>
  <c r="G904" i="6"/>
  <c r="F904" i="6"/>
  <c r="E904" i="6"/>
  <c r="D904" i="6"/>
  <c r="C904" i="6"/>
  <c r="B904" i="6"/>
  <c r="A904" i="6"/>
  <c r="H904" i="6" s="1"/>
  <c r="G903" i="6"/>
  <c r="F903" i="6"/>
  <c r="E903" i="6"/>
  <c r="D903" i="6"/>
  <c r="C903" i="6"/>
  <c r="B903" i="6"/>
  <c r="A903" i="6"/>
  <c r="H903" i="6" s="1"/>
  <c r="G902" i="6"/>
  <c r="F902" i="6"/>
  <c r="E902" i="6"/>
  <c r="D902" i="6"/>
  <c r="C902" i="6"/>
  <c r="B902" i="6"/>
  <c r="A902" i="6"/>
  <c r="H902" i="6" s="1"/>
  <c r="G901" i="6"/>
  <c r="F901" i="6"/>
  <c r="E901" i="6"/>
  <c r="D901" i="6"/>
  <c r="C901" i="6"/>
  <c r="B901" i="6"/>
  <c r="A901" i="6"/>
  <c r="H901" i="6" s="1"/>
  <c r="G900" i="6"/>
  <c r="F900" i="6"/>
  <c r="E900" i="6"/>
  <c r="D900" i="6"/>
  <c r="C900" i="6"/>
  <c r="B900" i="6"/>
  <c r="A900" i="6"/>
  <c r="H900" i="6" s="1"/>
  <c r="G899" i="6"/>
  <c r="F899" i="6"/>
  <c r="E899" i="6"/>
  <c r="D899" i="6"/>
  <c r="C899" i="6"/>
  <c r="B899" i="6"/>
  <c r="A899" i="6"/>
  <c r="H899" i="6" s="1"/>
  <c r="G898" i="6"/>
  <c r="F898" i="6"/>
  <c r="E898" i="6"/>
  <c r="D898" i="6"/>
  <c r="C898" i="6"/>
  <c r="B898" i="6"/>
  <c r="A898" i="6"/>
  <c r="H898" i="6" s="1"/>
  <c r="G897" i="6"/>
  <c r="F897" i="6"/>
  <c r="E897" i="6"/>
  <c r="D897" i="6"/>
  <c r="C897" i="6"/>
  <c r="B897" i="6"/>
  <c r="A897" i="6"/>
  <c r="H897" i="6" s="1"/>
  <c r="G896" i="6"/>
  <c r="F896" i="6"/>
  <c r="E896" i="6"/>
  <c r="D896" i="6"/>
  <c r="C896" i="6"/>
  <c r="B896" i="6"/>
  <c r="A896" i="6"/>
  <c r="H896" i="6" s="1"/>
  <c r="G895" i="6"/>
  <c r="F895" i="6"/>
  <c r="E895" i="6"/>
  <c r="D895" i="6"/>
  <c r="C895" i="6"/>
  <c r="B895" i="6"/>
  <c r="A895" i="6"/>
  <c r="H895" i="6" s="1"/>
  <c r="G894" i="6"/>
  <c r="F894" i="6"/>
  <c r="E894" i="6"/>
  <c r="D894" i="6"/>
  <c r="C894" i="6"/>
  <c r="B894" i="6"/>
  <c r="A894" i="6"/>
  <c r="H894" i="6" s="1"/>
  <c r="G893" i="6"/>
  <c r="F893" i="6"/>
  <c r="E893" i="6"/>
  <c r="D893" i="6"/>
  <c r="C893" i="6"/>
  <c r="B893" i="6"/>
  <c r="A893" i="6"/>
  <c r="H893" i="6" s="1"/>
  <c r="G892" i="6"/>
  <c r="F892" i="6"/>
  <c r="E892" i="6"/>
  <c r="D892" i="6"/>
  <c r="C892" i="6"/>
  <c r="B892" i="6"/>
  <c r="A892" i="6"/>
  <c r="H892" i="6" s="1"/>
  <c r="G891" i="6"/>
  <c r="F891" i="6"/>
  <c r="E891" i="6"/>
  <c r="D891" i="6"/>
  <c r="C891" i="6"/>
  <c r="B891" i="6"/>
  <c r="A891" i="6"/>
  <c r="H891" i="6" s="1"/>
  <c r="G890" i="6"/>
  <c r="F890" i="6"/>
  <c r="E890" i="6"/>
  <c r="D890" i="6"/>
  <c r="C890" i="6"/>
  <c r="B890" i="6"/>
  <c r="A890" i="6"/>
  <c r="H890" i="6" s="1"/>
  <c r="G889" i="6"/>
  <c r="F889" i="6"/>
  <c r="E889" i="6"/>
  <c r="D889" i="6"/>
  <c r="C889" i="6"/>
  <c r="B889" i="6"/>
  <c r="A889" i="6"/>
  <c r="H889" i="6" s="1"/>
  <c r="G888" i="6"/>
  <c r="F888" i="6"/>
  <c r="E888" i="6"/>
  <c r="D888" i="6"/>
  <c r="C888" i="6"/>
  <c r="B888" i="6"/>
  <c r="A888" i="6"/>
  <c r="H888" i="6" s="1"/>
  <c r="G887" i="6"/>
  <c r="F887" i="6"/>
  <c r="E887" i="6"/>
  <c r="D887" i="6"/>
  <c r="C887" i="6"/>
  <c r="B887" i="6"/>
  <c r="A887" i="6"/>
  <c r="H887" i="6" s="1"/>
  <c r="G886" i="6"/>
  <c r="F886" i="6"/>
  <c r="E886" i="6"/>
  <c r="D886" i="6"/>
  <c r="C886" i="6"/>
  <c r="B886" i="6"/>
  <c r="A886" i="6"/>
  <c r="H886" i="6" s="1"/>
  <c r="G885" i="6"/>
  <c r="F885" i="6"/>
  <c r="E885" i="6"/>
  <c r="D885" i="6"/>
  <c r="C885" i="6"/>
  <c r="B885" i="6"/>
  <c r="A885" i="6"/>
  <c r="H885" i="6" s="1"/>
  <c r="G884" i="6"/>
  <c r="F884" i="6"/>
  <c r="E884" i="6"/>
  <c r="D884" i="6"/>
  <c r="C884" i="6"/>
  <c r="B884" i="6"/>
  <c r="A884" i="6"/>
  <c r="H884" i="6" s="1"/>
  <c r="G883" i="6"/>
  <c r="F883" i="6"/>
  <c r="E883" i="6"/>
  <c r="D883" i="6"/>
  <c r="C883" i="6"/>
  <c r="B883" i="6"/>
  <c r="A883" i="6"/>
  <c r="H883" i="6" s="1"/>
  <c r="G882" i="6"/>
  <c r="F882" i="6"/>
  <c r="E882" i="6"/>
  <c r="D882" i="6"/>
  <c r="C882" i="6"/>
  <c r="B882" i="6"/>
  <c r="A882" i="6"/>
  <c r="H882" i="6" s="1"/>
  <c r="G881" i="6"/>
  <c r="F881" i="6"/>
  <c r="E881" i="6"/>
  <c r="D881" i="6"/>
  <c r="C881" i="6"/>
  <c r="B881" i="6"/>
  <c r="A881" i="6"/>
  <c r="H881" i="6" s="1"/>
  <c r="G880" i="6"/>
  <c r="F880" i="6"/>
  <c r="E880" i="6"/>
  <c r="D880" i="6"/>
  <c r="C880" i="6"/>
  <c r="B880" i="6"/>
  <c r="A880" i="6"/>
  <c r="H880" i="6" s="1"/>
  <c r="G879" i="6"/>
  <c r="F879" i="6"/>
  <c r="E879" i="6"/>
  <c r="D879" i="6"/>
  <c r="C879" i="6"/>
  <c r="B879" i="6"/>
  <c r="A879" i="6"/>
  <c r="H879" i="6" s="1"/>
  <c r="G878" i="6"/>
  <c r="F878" i="6"/>
  <c r="E878" i="6"/>
  <c r="D878" i="6"/>
  <c r="C878" i="6"/>
  <c r="B878" i="6"/>
  <c r="A878" i="6"/>
  <c r="H878" i="6" s="1"/>
  <c r="G877" i="6"/>
  <c r="F877" i="6"/>
  <c r="E877" i="6"/>
  <c r="D877" i="6"/>
  <c r="C877" i="6"/>
  <c r="B877" i="6"/>
  <c r="A877" i="6"/>
  <c r="H877" i="6" s="1"/>
  <c r="G876" i="6"/>
  <c r="F876" i="6"/>
  <c r="E876" i="6"/>
  <c r="D876" i="6"/>
  <c r="C876" i="6"/>
  <c r="B876" i="6"/>
  <c r="A876" i="6"/>
  <c r="H876" i="6" s="1"/>
  <c r="G875" i="6"/>
  <c r="F875" i="6"/>
  <c r="E875" i="6"/>
  <c r="D875" i="6"/>
  <c r="C875" i="6"/>
  <c r="B875" i="6"/>
  <c r="A875" i="6"/>
  <c r="H875" i="6" s="1"/>
  <c r="G874" i="6"/>
  <c r="F874" i="6"/>
  <c r="E874" i="6"/>
  <c r="D874" i="6"/>
  <c r="C874" i="6"/>
  <c r="B874" i="6"/>
  <c r="A874" i="6"/>
  <c r="H874" i="6" s="1"/>
  <c r="G873" i="6"/>
  <c r="F873" i="6"/>
  <c r="E873" i="6"/>
  <c r="D873" i="6"/>
  <c r="C873" i="6"/>
  <c r="B873" i="6"/>
  <c r="A873" i="6"/>
  <c r="H873" i="6" s="1"/>
  <c r="G872" i="6"/>
  <c r="F872" i="6"/>
  <c r="E872" i="6"/>
  <c r="D872" i="6"/>
  <c r="C872" i="6"/>
  <c r="B872" i="6"/>
  <c r="A872" i="6"/>
  <c r="H872" i="6" s="1"/>
  <c r="G871" i="6"/>
  <c r="F871" i="6"/>
  <c r="E871" i="6"/>
  <c r="D871" i="6"/>
  <c r="C871" i="6"/>
  <c r="B871" i="6"/>
  <c r="A871" i="6"/>
  <c r="H871" i="6" s="1"/>
  <c r="G870" i="6"/>
  <c r="F870" i="6"/>
  <c r="E870" i="6"/>
  <c r="D870" i="6"/>
  <c r="C870" i="6"/>
  <c r="B870" i="6"/>
  <c r="A870" i="6"/>
  <c r="H870" i="6" s="1"/>
  <c r="G869" i="6"/>
  <c r="F869" i="6"/>
  <c r="E869" i="6"/>
  <c r="D869" i="6"/>
  <c r="C869" i="6"/>
  <c r="B869" i="6"/>
  <c r="A869" i="6"/>
  <c r="H869" i="6" s="1"/>
  <c r="G868" i="6"/>
  <c r="F868" i="6"/>
  <c r="E868" i="6"/>
  <c r="D868" i="6"/>
  <c r="C868" i="6"/>
  <c r="B868" i="6"/>
  <c r="A868" i="6"/>
  <c r="H868" i="6" s="1"/>
  <c r="G867" i="6"/>
  <c r="F867" i="6"/>
  <c r="E867" i="6"/>
  <c r="D867" i="6"/>
  <c r="C867" i="6"/>
  <c r="B867" i="6"/>
  <c r="A867" i="6"/>
  <c r="H867" i="6" s="1"/>
  <c r="G866" i="6"/>
  <c r="F866" i="6"/>
  <c r="E866" i="6"/>
  <c r="D866" i="6"/>
  <c r="C866" i="6"/>
  <c r="B866" i="6"/>
  <c r="A866" i="6"/>
  <c r="H866" i="6" s="1"/>
  <c r="G865" i="6"/>
  <c r="F865" i="6"/>
  <c r="E865" i="6"/>
  <c r="D865" i="6"/>
  <c r="C865" i="6"/>
  <c r="B865" i="6"/>
  <c r="A865" i="6"/>
  <c r="H865" i="6" s="1"/>
  <c r="G864" i="6"/>
  <c r="F864" i="6"/>
  <c r="E864" i="6"/>
  <c r="D864" i="6"/>
  <c r="C864" i="6"/>
  <c r="B864" i="6"/>
  <c r="A864" i="6"/>
  <c r="H864" i="6" s="1"/>
  <c r="G863" i="6"/>
  <c r="F863" i="6"/>
  <c r="E863" i="6"/>
  <c r="D863" i="6"/>
  <c r="C863" i="6"/>
  <c r="B863" i="6"/>
  <c r="A863" i="6"/>
  <c r="H863" i="6" s="1"/>
  <c r="G862" i="6"/>
  <c r="F862" i="6"/>
  <c r="E862" i="6"/>
  <c r="D862" i="6"/>
  <c r="C862" i="6"/>
  <c r="B862" i="6"/>
  <c r="A862" i="6"/>
  <c r="H862" i="6" s="1"/>
  <c r="G861" i="6"/>
  <c r="F861" i="6"/>
  <c r="E861" i="6"/>
  <c r="D861" i="6"/>
  <c r="C861" i="6"/>
  <c r="B861" i="6"/>
  <c r="A861" i="6"/>
  <c r="H861" i="6" s="1"/>
  <c r="G860" i="6"/>
  <c r="F860" i="6"/>
  <c r="E860" i="6"/>
  <c r="D860" i="6"/>
  <c r="C860" i="6"/>
  <c r="B860" i="6"/>
  <c r="A860" i="6"/>
  <c r="H860" i="6" s="1"/>
  <c r="G859" i="6"/>
  <c r="F859" i="6"/>
  <c r="E859" i="6"/>
  <c r="D859" i="6"/>
  <c r="C859" i="6"/>
  <c r="B859" i="6"/>
  <c r="A859" i="6"/>
  <c r="H859" i="6" s="1"/>
  <c r="G858" i="6"/>
  <c r="F858" i="6"/>
  <c r="E858" i="6"/>
  <c r="D858" i="6"/>
  <c r="C858" i="6"/>
  <c r="B858" i="6"/>
  <c r="A858" i="6"/>
  <c r="H858" i="6" s="1"/>
  <c r="G857" i="6"/>
  <c r="F857" i="6"/>
  <c r="E857" i="6"/>
  <c r="D857" i="6"/>
  <c r="C857" i="6"/>
  <c r="B857" i="6"/>
  <c r="A857" i="6"/>
  <c r="H857" i="6" s="1"/>
  <c r="G856" i="6"/>
  <c r="F856" i="6"/>
  <c r="E856" i="6"/>
  <c r="D856" i="6"/>
  <c r="C856" i="6"/>
  <c r="B856" i="6"/>
  <c r="A856" i="6"/>
  <c r="H856" i="6" s="1"/>
  <c r="G855" i="6"/>
  <c r="F855" i="6"/>
  <c r="E855" i="6"/>
  <c r="D855" i="6"/>
  <c r="C855" i="6"/>
  <c r="B855" i="6"/>
  <c r="A855" i="6"/>
  <c r="H855" i="6" s="1"/>
  <c r="G854" i="6"/>
  <c r="F854" i="6"/>
  <c r="E854" i="6"/>
  <c r="D854" i="6"/>
  <c r="C854" i="6"/>
  <c r="B854" i="6"/>
  <c r="A854" i="6"/>
  <c r="H854" i="6" s="1"/>
  <c r="G853" i="6"/>
  <c r="F853" i="6"/>
  <c r="E853" i="6"/>
  <c r="D853" i="6"/>
  <c r="C853" i="6"/>
  <c r="B853" i="6"/>
  <c r="A853" i="6"/>
  <c r="H853" i="6" s="1"/>
  <c r="G852" i="6"/>
  <c r="F852" i="6"/>
  <c r="E852" i="6"/>
  <c r="D852" i="6"/>
  <c r="C852" i="6"/>
  <c r="B852" i="6"/>
  <c r="A852" i="6"/>
  <c r="H852" i="6" s="1"/>
  <c r="G851" i="6"/>
  <c r="F851" i="6"/>
  <c r="E851" i="6"/>
  <c r="D851" i="6"/>
  <c r="C851" i="6"/>
  <c r="B851" i="6"/>
  <c r="A851" i="6"/>
  <c r="H851" i="6" s="1"/>
  <c r="G850" i="6"/>
  <c r="F850" i="6"/>
  <c r="E850" i="6"/>
  <c r="D850" i="6"/>
  <c r="C850" i="6"/>
  <c r="B850" i="6"/>
  <c r="A850" i="6"/>
  <c r="H850" i="6" s="1"/>
  <c r="G849" i="6"/>
  <c r="F849" i="6"/>
  <c r="E849" i="6"/>
  <c r="D849" i="6"/>
  <c r="C849" i="6"/>
  <c r="B849" i="6"/>
  <c r="A849" i="6"/>
  <c r="H849" i="6" s="1"/>
  <c r="G848" i="6"/>
  <c r="F848" i="6"/>
  <c r="E848" i="6"/>
  <c r="D848" i="6"/>
  <c r="C848" i="6"/>
  <c r="B848" i="6"/>
  <c r="A848" i="6"/>
  <c r="H848" i="6" s="1"/>
  <c r="G847" i="6"/>
  <c r="F847" i="6"/>
  <c r="E847" i="6"/>
  <c r="D847" i="6"/>
  <c r="C847" i="6"/>
  <c r="B847" i="6"/>
  <c r="A847" i="6"/>
  <c r="H847" i="6" s="1"/>
  <c r="G846" i="6"/>
  <c r="F846" i="6"/>
  <c r="E846" i="6"/>
  <c r="D846" i="6"/>
  <c r="C846" i="6"/>
  <c r="B846" i="6"/>
  <c r="A846" i="6"/>
  <c r="H846" i="6" s="1"/>
  <c r="G845" i="6"/>
  <c r="F845" i="6"/>
  <c r="E845" i="6"/>
  <c r="D845" i="6"/>
  <c r="C845" i="6"/>
  <c r="B845" i="6"/>
  <c r="A845" i="6"/>
  <c r="H845" i="6" s="1"/>
  <c r="G844" i="6"/>
  <c r="F844" i="6"/>
  <c r="E844" i="6"/>
  <c r="D844" i="6"/>
  <c r="C844" i="6"/>
  <c r="B844" i="6"/>
  <c r="A844" i="6"/>
  <c r="H844" i="6" s="1"/>
  <c r="G843" i="6"/>
  <c r="F843" i="6"/>
  <c r="E843" i="6"/>
  <c r="D843" i="6"/>
  <c r="C843" i="6"/>
  <c r="B843" i="6"/>
  <c r="A843" i="6"/>
  <c r="H843" i="6" s="1"/>
  <c r="G842" i="6"/>
  <c r="F842" i="6"/>
  <c r="E842" i="6"/>
  <c r="D842" i="6"/>
  <c r="C842" i="6"/>
  <c r="B842" i="6"/>
  <c r="A842" i="6"/>
  <c r="H842" i="6" s="1"/>
  <c r="G841" i="6"/>
  <c r="F841" i="6"/>
  <c r="E841" i="6"/>
  <c r="D841" i="6"/>
  <c r="C841" i="6"/>
  <c r="B841" i="6"/>
  <c r="A841" i="6"/>
  <c r="H841" i="6" s="1"/>
  <c r="G840" i="6"/>
  <c r="F840" i="6"/>
  <c r="E840" i="6"/>
  <c r="D840" i="6"/>
  <c r="C840" i="6"/>
  <c r="B840" i="6"/>
  <c r="A840" i="6"/>
  <c r="H840" i="6" s="1"/>
  <c r="G839" i="6"/>
  <c r="F839" i="6"/>
  <c r="E839" i="6"/>
  <c r="D839" i="6"/>
  <c r="C839" i="6"/>
  <c r="B839" i="6"/>
  <c r="A839" i="6"/>
  <c r="H839" i="6" s="1"/>
  <c r="G838" i="6"/>
  <c r="F838" i="6"/>
  <c r="E838" i="6"/>
  <c r="D838" i="6"/>
  <c r="C838" i="6"/>
  <c r="B838" i="6"/>
  <c r="A838" i="6"/>
  <c r="H838" i="6" s="1"/>
  <c r="G837" i="6"/>
  <c r="F837" i="6"/>
  <c r="E837" i="6"/>
  <c r="D837" i="6"/>
  <c r="C837" i="6"/>
  <c r="B837" i="6"/>
  <c r="A837" i="6"/>
  <c r="H837" i="6" s="1"/>
  <c r="G836" i="6"/>
  <c r="F836" i="6"/>
  <c r="E836" i="6"/>
  <c r="D836" i="6"/>
  <c r="C836" i="6"/>
  <c r="B836" i="6"/>
  <c r="A836" i="6"/>
  <c r="H836" i="6" s="1"/>
  <c r="G835" i="6"/>
  <c r="F835" i="6"/>
  <c r="E835" i="6"/>
  <c r="D835" i="6"/>
  <c r="C835" i="6"/>
  <c r="B835" i="6"/>
  <c r="A835" i="6"/>
  <c r="H835" i="6" s="1"/>
  <c r="G834" i="6"/>
  <c r="F834" i="6"/>
  <c r="E834" i="6"/>
  <c r="D834" i="6"/>
  <c r="C834" i="6"/>
  <c r="B834" i="6"/>
  <c r="A834" i="6"/>
  <c r="H834" i="6" s="1"/>
  <c r="G833" i="6"/>
  <c r="F833" i="6"/>
  <c r="E833" i="6"/>
  <c r="D833" i="6"/>
  <c r="C833" i="6"/>
  <c r="B833" i="6"/>
  <c r="A833" i="6"/>
  <c r="H833" i="6" s="1"/>
  <c r="G832" i="6"/>
  <c r="F832" i="6"/>
  <c r="E832" i="6"/>
  <c r="D832" i="6"/>
  <c r="C832" i="6"/>
  <c r="B832" i="6"/>
  <c r="A832" i="6"/>
  <c r="H832" i="6" s="1"/>
  <c r="G831" i="6"/>
  <c r="F831" i="6"/>
  <c r="E831" i="6"/>
  <c r="D831" i="6"/>
  <c r="C831" i="6"/>
  <c r="B831" i="6"/>
  <c r="A831" i="6"/>
  <c r="H831" i="6" s="1"/>
  <c r="G830" i="6"/>
  <c r="F830" i="6"/>
  <c r="E830" i="6"/>
  <c r="D830" i="6"/>
  <c r="C830" i="6"/>
  <c r="B830" i="6"/>
  <c r="A830" i="6"/>
  <c r="H830" i="6" s="1"/>
  <c r="G829" i="6"/>
  <c r="F829" i="6"/>
  <c r="E829" i="6"/>
  <c r="D829" i="6"/>
  <c r="C829" i="6"/>
  <c r="B829" i="6"/>
  <c r="A829" i="6"/>
  <c r="H829" i="6" s="1"/>
  <c r="G828" i="6"/>
  <c r="F828" i="6"/>
  <c r="E828" i="6"/>
  <c r="D828" i="6"/>
  <c r="C828" i="6"/>
  <c r="B828" i="6"/>
  <c r="A828" i="6"/>
  <c r="H828" i="6" s="1"/>
  <c r="G827" i="6"/>
  <c r="F827" i="6"/>
  <c r="E827" i="6"/>
  <c r="D827" i="6"/>
  <c r="C827" i="6"/>
  <c r="B827" i="6"/>
  <c r="A827" i="6"/>
  <c r="H827" i="6" s="1"/>
  <c r="G826" i="6"/>
  <c r="F826" i="6"/>
  <c r="E826" i="6"/>
  <c r="D826" i="6"/>
  <c r="C826" i="6"/>
  <c r="B826" i="6"/>
  <c r="A826" i="6"/>
  <c r="H826" i="6" s="1"/>
  <c r="G825" i="6"/>
  <c r="F825" i="6"/>
  <c r="E825" i="6"/>
  <c r="D825" i="6"/>
  <c r="C825" i="6"/>
  <c r="B825" i="6"/>
  <c r="A825" i="6"/>
  <c r="H825" i="6" s="1"/>
  <c r="G824" i="6"/>
  <c r="F824" i="6"/>
  <c r="E824" i="6"/>
  <c r="D824" i="6"/>
  <c r="C824" i="6"/>
  <c r="B824" i="6"/>
  <c r="A824" i="6"/>
  <c r="H824" i="6" s="1"/>
  <c r="G823" i="6"/>
  <c r="F823" i="6"/>
  <c r="E823" i="6"/>
  <c r="D823" i="6"/>
  <c r="C823" i="6"/>
  <c r="B823" i="6"/>
  <c r="A823" i="6"/>
  <c r="H823" i="6" s="1"/>
  <c r="G822" i="6"/>
  <c r="F822" i="6"/>
  <c r="E822" i="6"/>
  <c r="D822" i="6"/>
  <c r="C822" i="6"/>
  <c r="B822" i="6"/>
  <c r="A822" i="6"/>
  <c r="H822" i="6" s="1"/>
  <c r="G821" i="6"/>
  <c r="F821" i="6"/>
  <c r="E821" i="6"/>
  <c r="D821" i="6"/>
  <c r="C821" i="6"/>
  <c r="B821" i="6"/>
  <c r="A821" i="6"/>
  <c r="H821" i="6" s="1"/>
  <c r="G820" i="6"/>
  <c r="F820" i="6"/>
  <c r="E820" i="6"/>
  <c r="D820" i="6"/>
  <c r="C820" i="6"/>
  <c r="B820" i="6"/>
  <c r="A820" i="6"/>
  <c r="H820" i="6" s="1"/>
  <c r="G819" i="6"/>
  <c r="F819" i="6"/>
  <c r="E819" i="6"/>
  <c r="D819" i="6"/>
  <c r="C819" i="6"/>
  <c r="B819" i="6"/>
  <c r="A819" i="6"/>
  <c r="H819" i="6" s="1"/>
  <c r="G818" i="6"/>
  <c r="F818" i="6"/>
  <c r="E818" i="6"/>
  <c r="D818" i="6"/>
  <c r="C818" i="6"/>
  <c r="B818" i="6"/>
  <c r="A818" i="6"/>
  <c r="H818" i="6" s="1"/>
  <c r="G817" i="6"/>
  <c r="F817" i="6"/>
  <c r="E817" i="6"/>
  <c r="D817" i="6"/>
  <c r="C817" i="6"/>
  <c r="B817" i="6"/>
  <c r="A817" i="6"/>
  <c r="H817" i="6" s="1"/>
  <c r="G816" i="6"/>
  <c r="F816" i="6"/>
  <c r="E816" i="6"/>
  <c r="D816" i="6"/>
  <c r="C816" i="6"/>
  <c r="B816" i="6"/>
  <c r="A816" i="6"/>
  <c r="H816" i="6" s="1"/>
  <c r="G815" i="6"/>
  <c r="F815" i="6"/>
  <c r="E815" i="6"/>
  <c r="D815" i="6"/>
  <c r="C815" i="6"/>
  <c r="B815" i="6"/>
  <c r="A815" i="6"/>
  <c r="H815" i="6" s="1"/>
  <c r="G814" i="6"/>
  <c r="F814" i="6"/>
  <c r="E814" i="6"/>
  <c r="D814" i="6"/>
  <c r="C814" i="6"/>
  <c r="B814" i="6"/>
  <c r="A814" i="6"/>
  <c r="H814" i="6" s="1"/>
  <c r="G813" i="6"/>
  <c r="F813" i="6"/>
  <c r="E813" i="6"/>
  <c r="D813" i="6"/>
  <c r="C813" i="6"/>
  <c r="B813" i="6"/>
  <c r="A813" i="6"/>
  <c r="H813" i="6" s="1"/>
  <c r="G812" i="6"/>
  <c r="F812" i="6"/>
  <c r="E812" i="6"/>
  <c r="D812" i="6"/>
  <c r="C812" i="6"/>
  <c r="B812" i="6"/>
  <c r="A812" i="6"/>
  <c r="H812" i="6" s="1"/>
  <c r="G811" i="6"/>
  <c r="F811" i="6"/>
  <c r="E811" i="6"/>
  <c r="D811" i="6"/>
  <c r="C811" i="6"/>
  <c r="B811" i="6"/>
  <c r="A811" i="6"/>
  <c r="H811" i="6" s="1"/>
  <c r="G810" i="6"/>
  <c r="F810" i="6"/>
  <c r="E810" i="6"/>
  <c r="D810" i="6"/>
  <c r="C810" i="6"/>
  <c r="B810" i="6"/>
  <c r="A810" i="6"/>
  <c r="H810" i="6" s="1"/>
  <c r="G809" i="6"/>
  <c r="F809" i="6"/>
  <c r="E809" i="6"/>
  <c r="D809" i="6"/>
  <c r="C809" i="6"/>
  <c r="B809" i="6"/>
  <c r="A809" i="6"/>
  <c r="H809" i="6" s="1"/>
  <c r="G808" i="6"/>
  <c r="F808" i="6"/>
  <c r="E808" i="6"/>
  <c r="D808" i="6"/>
  <c r="C808" i="6"/>
  <c r="B808" i="6"/>
  <c r="A808" i="6"/>
  <c r="H808" i="6" s="1"/>
  <c r="G807" i="6"/>
  <c r="F807" i="6"/>
  <c r="E807" i="6"/>
  <c r="D807" i="6"/>
  <c r="C807" i="6"/>
  <c r="B807" i="6"/>
  <c r="A807" i="6"/>
  <c r="H807" i="6" s="1"/>
  <c r="G806" i="6"/>
  <c r="F806" i="6"/>
  <c r="E806" i="6"/>
  <c r="D806" i="6"/>
  <c r="C806" i="6"/>
  <c r="B806" i="6"/>
  <c r="A806" i="6"/>
  <c r="H806" i="6" s="1"/>
  <c r="G805" i="6"/>
  <c r="F805" i="6"/>
  <c r="E805" i="6"/>
  <c r="D805" i="6"/>
  <c r="C805" i="6"/>
  <c r="B805" i="6"/>
  <c r="A805" i="6"/>
  <c r="H805" i="6" s="1"/>
  <c r="G804" i="6"/>
  <c r="F804" i="6"/>
  <c r="E804" i="6"/>
  <c r="D804" i="6"/>
  <c r="C804" i="6"/>
  <c r="B804" i="6"/>
  <c r="A804" i="6"/>
  <c r="H804" i="6" s="1"/>
  <c r="G803" i="6"/>
  <c r="F803" i="6"/>
  <c r="E803" i="6"/>
  <c r="D803" i="6"/>
  <c r="C803" i="6"/>
  <c r="B803" i="6"/>
  <c r="A803" i="6"/>
  <c r="H803" i="6" s="1"/>
  <c r="G802" i="6"/>
  <c r="F802" i="6"/>
  <c r="E802" i="6"/>
  <c r="D802" i="6"/>
  <c r="C802" i="6"/>
  <c r="B802" i="6"/>
  <c r="A802" i="6"/>
  <c r="H802" i="6" s="1"/>
  <c r="G801" i="6"/>
  <c r="F801" i="6"/>
  <c r="E801" i="6"/>
  <c r="D801" i="6"/>
  <c r="C801" i="6"/>
  <c r="B801" i="6"/>
  <c r="A801" i="6"/>
  <c r="H801" i="6" s="1"/>
  <c r="G800" i="6"/>
  <c r="F800" i="6"/>
  <c r="E800" i="6"/>
  <c r="D800" i="6"/>
  <c r="C800" i="6"/>
  <c r="B800" i="6"/>
  <c r="A800" i="6"/>
  <c r="H800" i="6" s="1"/>
  <c r="G799" i="6"/>
  <c r="F799" i="6"/>
  <c r="E799" i="6"/>
  <c r="D799" i="6"/>
  <c r="C799" i="6"/>
  <c r="B799" i="6"/>
  <c r="A799" i="6"/>
  <c r="H799" i="6" s="1"/>
  <c r="G798" i="6"/>
  <c r="F798" i="6"/>
  <c r="E798" i="6"/>
  <c r="D798" i="6"/>
  <c r="C798" i="6"/>
  <c r="B798" i="6"/>
  <c r="A798" i="6"/>
  <c r="H798" i="6" s="1"/>
  <c r="G797" i="6"/>
  <c r="F797" i="6"/>
  <c r="E797" i="6"/>
  <c r="D797" i="6"/>
  <c r="C797" i="6"/>
  <c r="B797" i="6"/>
  <c r="A797" i="6"/>
  <c r="H797" i="6" s="1"/>
  <c r="G796" i="6"/>
  <c r="F796" i="6"/>
  <c r="E796" i="6"/>
  <c r="D796" i="6"/>
  <c r="C796" i="6"/>
  <c r="B796" i="6"/>
  <c r="A796" i="6"/>
  <c r="H796" i="6" s="1"/>
  <c r="G795" i="6"/>
  <c r="F795" i="6"/>
  <c r="E795" i="6"/>
  <c r="D795" i="6"/>
  <c r="C795" i="6"/>
  <c r="B795" i="6"/>
  <c r="A795" i="6"/>
  <c r="H795" i="6" s="1"/>
  <c r="G794" i="6"/>
  <c r="F794" i="6"/>
  <c r="E794" i="6"/>
  <c r="D794" i="6"/>
  <c r="C794" i="6"/>
  <c r="B794" i="6"/>
  <c r="A794" i="6"/>
  <c r="H794" i="6" s="1"/>
  <c r="G793" i="6"/>
  <c r="F793" i="6"/>
  <c r="E793" i="6"/>
  <c r="D793" i="6"/>
  <c r="C793" i="6"/>
  <c r="B793" i="6"/>
  <c r="A793" i="6"/>
  <c r="H793" i="6" s="1"/>
  <c r="G792" i="6"/>
  <c r="F792" i="6"/>
  <c r="E792" i="6"/>
  <c r="D792" i="6"/>
  <c r="C792" i="6"/>
  <c r="B792" i="6"/>
  <c r="A792" i="6"/>
  <c r="H792" i="6" s="1"/>
  <c r="G791" i="6"/>
  <c r="F791" i="6"/>
  <c r="E791" i="6"/>
  <c r="D791" i="6"/>
  <c r="C791" i="6"/>
  <c r="B791" i="6"/>
  <c r="A791" i="6"/>
  <c r="H791" i="6" s="1"/>
  <c r="G790" i="6"/>
  <c r="F790" i="6"/>
  <c r="E790" i="6"/>
  <c r="D790" i="6"/>
  <c r="C790" i="6"/>
  <c r="B790" i="6"/>
  <c r="A790" i="6"/>
  <c r="H790" i="6" s="1"/>
  <c r="G789" i="6"/>
  <c r="F789" i="6"/>
  <c r="E789" i="6"/>
  <c r="D789" i="6"/>
  <c r="C789" i="6"/>
  <c r="B789" i="6"/>
  <c r="A789" i="6"/>
  <c r="H789" i="6" s="1"/>
  <c r="G788" i="6"/>
  <c r="F788" i="6"/>
  <c r="E788" i="6"/>
  <c r="D788" i="6"/>
  <c r="C788" i="6"/>
  <c r="B788" i="6"/>
  <c r="A788" i="6"/>
  <c r="H788" i="6" s="1"/>
  <c r="G787" i="6"/>
  <c r="F787" i="6"/>
  <c r="E787" i="6"/>
  <c r="D787" i="6"/>
  <c r="C787" i="6"/>
  <c r="B787" i="6"/>
  <c r="A787" i="6"/>
  <c r="H787" i="6" s="1"/>
  <c r="G786" i="6"/>
  <c r="F786" i="6"/>
  <c r="E786" i="6"/>
  <c r="D786" i="6"/>
  <c r="C786" i="6"/>
  <c r="B786" i="6"/>
  <c r="A786" i="6"/>
  <c r="H786" i="6" s="1"/>
  <c r="G785" i="6"/>
  <c r="F785" i="6"/>
  <c r="E785" i="6"/>
  <c r="D785" i="6"/>
  <c r="C785" i="6"/>
  <c r="B785" i="6"/>
  <c r="A785" i="6"/>
  <c r="H785" i="6" s="1"/>
  <c r="G784" i="6"/>
  <c r="F784" i="6"/>
  <c r="E784" i="6"/>
  <c r="D784" i="6"/>
  <c r="C784" i="6"/>
  <c r="B784" i="6"/>
  <c r="A784" i="6"/>
  <c r="H784" i="6" s="1"/>
  <c r="G783" i="6"/>
  <c r="F783" i="6"/>
  <c r="E783" i="6"/>
  <c r="D783" i="6"/>
  <c r="C783" i="6"/>
  <c r="B783" i="6"/>
  <c r="A783" i="6"/>
  <c r="H783" i="6" s="1"/>
  <c r="G782" i="6"/>
  <c r="F782" i="6"/>
  <c r="E782" i="6"/>
  <c r="D782" i="6"/>
  <c r="C782" i="6"/>
  <c r="B782" i="6"/>
  <c r="A782" i="6"/>
  <c r="H782" i="6" s="1"/>
  <c r="G781" i="6"/>
  <c r="F781" i="6"/>
  <c r="E781" i="6"/>
  <c r="D781" i="6"/>
  <c r="C781" i="6"/>
  <c r="B781" i="6"/>
  <c r="A781" i="6"/>
  <c r="H781" i="6" s="1"/>
  <c r="G780" i="6"/>
  <c r="F780" i="6"/>
  <c r="E780" i="6"/>
  <c r="D780" i="6"/>
  <c r="C780" i="6"/>
  <c r="B780" i="6"/>
  <c r="A780" i="6"/>
  <c r="H780" i="6" s="1"/>
  <c r="G779" i="6"/>
  <c r="F779" i="6"/>
  <c r="E779" i="6"/>
  <c r="D779" i="6"/>
  <c r="C779" i="6"/>
  <c r="B779" i="6"/>
  <c r="A779" i="6"/>
  <c r="H779" i="6" s="1"/>
  <c r="G778" i="6"/>
  <c r="F778" i="6"/>
  <c r="E778" i="6"/>
  <c r="D778" i="6"/>
  <c r="C778" i="6"/>
  <c r="B778" i="6"/>
  <c r="A778" i="6"/>
  <c r="H778" i="6" s="1"/>
  <c r="G777" i="6"/>
  <c r="F777" i="6"/>
  <c r="E777" i="6"/>
  <c r="D777" i="6"/>
  <c r="C777" i="6"/>
  <c r="B777" i="6"/>
  <c r="A777" i="6"/>
  <c r="H777" i="6" s="1"/>
  <c r="G776" i="6"/>
  <c r="F776" i="6"/>
  <c r="E776" i="6"/>
  <c r="D776" i="6"/>
  <c r="C776" i="6"/>
  <c r="B776" i="6"/>
  <c r="A776" i="6"/>
  <c r="H776" i="6" s="1"/>
  <c r="G775" i="6"/>
  <c r="F775" i="6"/>
  <c r="E775" i="6"/>
  <c r="D775" i="6"/>
  <c r="C775" i="6"/>
  <c r="B775" i="6"/>
  <c r="A775" i="6"/>
  <c r="H775" i="6" s="1"/>
  <c r="G774" i="6"/>
  <c r="F774" i="6"/>
  <c r="E774" i="6"/>
  <c r="D774" i="6"/>
  <c r="C774" i="6"/>
  <c r="B774" i="6"/>
  <c r="A774" i="6"/>
  <c r="H774" i="6" s="1"/>
  <c r="G773" i="6"/>
  <c r="F773" i="6"/>
  <c r="E773" i="6"/>
  <c r="D773" i="6"/>
  <c r="C773" i="6"/>
  <c r="B773" i="6"/>
  <c r="A773" i="6"/>
  <c r="H773" i="6" s="1"/>
  <c r="G772" i="6"/>
  <c r="F772" i="6"/>
  <c r="E772" i="6"/>
  <c r="D772" i="6"/>
  <c r="C772" i="6"/>
  <c r="B772" i="6"/>
  <c r="A772" i="6"/>
  <c r="H772" i="6" s="1"/>
  <c r="G771" i="6"/>
  <c r="F771" i="6"/>
  <c r="E771" i="6"/>
  <c r="D771" i="6"/>
  <c r="C771" i="6"/>
  <c r="B771" i="6"/>
  <c r="A771" i="6"/>
  <c r="H771" i="6" s="1"/>
  <c r="G770" i="6"/>
  <c r="F770" i="6"/>
  <c r="E770" i="6"/>
  <c r="D770" i="6"/>
  <c r="C770" i="6"/>
  <c r="B770" i="6"/>
  <c r="A770" i="6"/>
  <c r="H770" i="6" s="1"/>
  <c r="G769" i="6"/>
  <c r="F769" i="6"/>
  <c r="E769" i="6"/>
  <c r="D769" i="6"/>
  <c r="C769" i="6"/>
  <c r="B769" i="6"/>
  <c r="A769" i="6"/>
  <c r="H769" i="6" s="1"/>
  <c r="G768" i="6"/>
  <c r="F768" i="6"/>
  <c r="E768" i="6"/>
  <c r="D768" i="6"/>
  <c r="C768" i="6"/>
  <c r="B768" i="6"/>
  <c r="A768" i="6"/>
  <c r="H768" i="6" s="1"/>
  <c r="G767" i="6"/>
  <c r="F767" i="6"/>
  <c r="E767" i="6"/>
  <c r="D767" i="6"/>
  <c r="C767" i="6"/>
  <c r="B767" i="6"/>
  <c r="A767" i="6"/>
  <c r="H767" i="6" s="1"/>
  <c r="G766" i="6"/>
  <c r="F766" i="6"/>
  <c r="E766" i="6"/>
  <c r="D766" i="6"/>
  <c r="C766" i="6"/>
  <c r="B766" i="6"/>
  <c r="A766" i="6"/>
  <c r="H766" i="6" s="1"/>
  <c r="G765" i="6"/>
  <c r="F765" i="6"/>
  <c r="E765" i="6"/>
  <c r="D765" i="6"/>
  <c r="C765" i="6"/>
  <c r="B765" i="6"/>
  <c r="A765" i="6"/>
  <c r="H765" i="6" s="1"/>
  <c r="G764" i="6"/>
  <c r="F764" i="6"/>
  <c r="E764" i="6"/>
  <c r="D764" i="6"/>
  <c r="C764" i="6"/>
  <c r="B764" i="6"/>
  <c r="A764" i="6"/>
  <c r="H764" i="6" s="1"/>
  <c r="G763" i="6"/>
  <c r="F763" i="6"/>
  <c r="E763" i="6"/>
  <c r="D763" i="6"/>
  <c r="C763" i="6"/>
  <c r="B763" i="6"/>
  <c r="A763" i="6"/>
  <c r="H763" i="6" s="1"/>
  <c r="G762" i="6"/>
  <c r="F762" i="6"/>
  <c r="E762" i="6"/>
  <c r="D762" i="6"/>
  <c r="C762" i="6"/>
  <c r="B762" i="6"/>
  <c r="A762" i="6"/>
  <c r="H762" i="6" s="1"/>
  <c r="G761" i="6"/>
  <c r="F761" i="6"/>
  <c r="E761" i="6"/>
  <c r="D761" i="6"/>
  <c r="C761" i="6"/>
  <c r="B761" i="6"/>
  <c r="A761" i="6"/>
  <c r="H761" i="6" s="1"/>
  <c r="G760" i="6"/>
  <c r="F760" i="6"/>
  <c r="E760" i="6"/>
  <c r="D760" i="6"/>
  <c r="C760" i="6"/>
  <c r="B760" i="6"/>
  <c r="A760" i="6"/>
  <c r="H760" i="6" s="1"/>
  <c r="G759" i="6"/>
  <c r="F759" i="6"/>
  <c r="E759" i="6"/>
  <c r="D759" i="6"/>
  <c r="C759" i="6"/>
  <c r="B759" i="6"/>
  <c r="A759" i="6"/>
  <c r="H759" i="6" s="1"/>
  <c r="G758" i="6"/>
  <c r="F758" i="6"/>
  <c r="E758" i="6"/>
  <c r="D758" i="6"/>
  <c r="C758" i="6"/>
  <c r="B758" i="6"/>
  <c r="A758" i="6"/>
  <c r="H758" i="6" s="1"/>
  <c r="G757" i="6"/>
  <c r="F757" i="6"/>
  <c r="E757" i="6"/>
  <c r="D757" i="6"/>
  <c r="C757" i="6"/>
  <c r="B757" i="6"/>
  <c r="A757" i="6"/>
  <c r="H757" i="6" s="1"/>
  <c r="G756" i="6"/>
  <c r="F756" i="6"/>
  <c r="E756" i="6"/>
  <c r="D756" i="6"/>
  <c r="C756" i="6"/>
  <c r="B756" i="6"/>
  <c r="A756" i="6"/>
  <c r="H756" i="6" s="1"/>
  <c r="G755" i="6"/>
  <c r="F755" i="6"/>
  <c r="E755" i="6"/>
  <c r="D755" i="6"/>
  <c r="C755" i="6"/>
  <c r="B755" i="6"/>
  <c r="A755" i="6"/>
  <c r="H755" i="6" s="1"/>
  <c r="G754" i="6"/>
  <c r="F754" i="6"/>
  <c r="E754" i="6"/>
  <c r="D754" i="6"/>
  <c r="C754" i="6"/>
  <c r="B754" i="6"/>
  <c r="A754" i="6"/>
  <c r="H754" i="6" s="1"/>
  <c r="G753" i="6"/>
  <c r="F753" i="6"/>
  <c r="E753" i="6"/>
  <c r="D753" i="6"/>
  <c r="C753" i="6"/>
  <c r="B753" i="6"/>
  <c r="A753" i="6"/>
  <c r="H753" i="6" s="1"/>
  <c r="G752" i="6"/>
  <c r="F752" i="6"/>
  <c r="E752" i="6"/>
  <c r="D752" i="6"/>
  <c r="C752" i="6"/>
  <c r="B752" i="6"/>
  <c r="A752" i="6"/>
  <c r="H752" i="6" s="1"/>
  <c r="G751" i="6"/>
  <c r="F751" i="6"/>
  <c r="E751" i="6"/>
  <c r="D751" i="6"/>
  <c r="C751" i="6"/>
  <c r="B751" i="6"/>
  <c r="A751" i="6"/>
  <c r="H751" i="6" s="1"/>
  <c r="G750" i="6"/>
  <c r="F750" i="6"/>
  <c r="E750" i="6"/>
  <c r="D750" i="6"/>
  <c r="C750" i="6"/>
  <c r="B750" i="6"/>
  <c r="A750" i="6"/>
  <c r="H750" i="6" s="1"/>
  <c r="G749" i="6"/>
  <c r="F749" i="6"/>
  <c r="E749" i="6"/>
  <c r="D749" i="6"/>
  <c r="C749" i="6"/>
  <c r="B749" i="6"/>
  <c r="A749" i="6"/>
  <c r="H749" i="6" s="1"/>
  <c r="G748" i="6"/>
  <c r="F748" i="6"/>
  <c r="E748" i="6"/>
  <c r="D748" i="6"/>
  <c r="C748" i="6"/>
  <c r="B748" i="6"/>
  <c r="A748" i="6"/>
  <c r="H748" i="6" s="1"/>
  <c r="G747" i="6"/>
  <c r="F747" i="6"/>
  <c r="E747" i="6"/>
  <c r="D747" i="6"/>
  <c r="C747" i="6"/>
  <c r="B747" i="6"/>
  <c r="A747" i="6"/>
  <c r="H747" i="6" s="1"/>
  <c r="G746" i="6"/>
  <c r="F746" i="6"/>
  <c r="E746" i="6"/>
  <c r="D746" i="6"/>
  <c r="C746" i="6"/>
  <c r="B746" i="6"/>
  <c r="A746" i="6"/>
  <c r="H746" i="6" s="1"/>
  <c r="G745" i="6"/>
  <c r="F745" i="6"/>
  <c r="E745" i="6"/>
  <c r="D745" i="6"/>
  <c r="C745" i="6"/>
  <c r="B745" i="6"/>
  <c r="A745" i="6"/>
  <c r="H745" i="6" s="1"/>
  <c r="G744" i="6"/>
  <c r="F744" i="6"/>
  <c r="E744" i="6"/>
  <c r="D744" i="6"/>
  <c r="C744" i="6"/>
  <c r="B744" i="6"/>
  <c r="A744" i="6"/>
  <c r="H744" i="6" s="1"/>
  <c r="G743" i="6"/>
  <c r="F743" i="6"/>
  <c r="E743" i="6"/>
  <c r="D743" i="6"/>
  <c r="C743" i="6"/>
  <c r="B743" i="6"/>
  <c r="A743" i="6"/>
  <c r="H743" i="6" s="1"/>
  <c r="G742" i="6"/>
  <c r="F742" i="6"/>
  <c r="E742" i="6"/>
  <c r="D742" i="6"/>
  <c r="C742" i="6"/>
  <c r="B742" i="6"/>
  <c r="A742" i="6"/>
  <c r="H742" i="6" s="1"/>
  <c r="G741" i="6"/>
  <c r="F741" i="6"/>
  <c r="E741" i="6"/>
  <c r="D741" i="6"/>
  <c r="C741" i="6"/>
  <c r="B741" i="6"/>
  <c r="A741" i="6"/>
  <c r="H741" i="6" s="1"/>
  <c r="G740" i="6"/>
  <c r="F740" i="6"/>
  <c r="E740" i="6"/>
  <c r="D740" i="6"/>
  <c r="C740" i="6"/>
  <c r="B740" i="6"/>
  <c r="A740" i="6"/>
  <c r="H740" i="6" s="1"/>
  <c r="G739" i="6"/>
  <c r="F739" i="6"/>
  <c r="E739" i="6"/>
  <c r="D739" i="6"/>
  <c r="C739" i="6"/>
  <c r="B739" i="6"/>
  <c r="A739" i="6"/>
  <c r="H739" i="6" s="1"/>
  <c r="G738" i="6"/>
  <c r="F738" i="6"/>
  <c r="E738" i="6"/>
  <c r="D738" i="6"/>
  <c r="C738" i="6"/>
  <c r="B738" i="6"/>
  <c r="A738" i="6"/>
  <c r="H738" i="6" s="1"/>
  <c r="G737" i="6"/>
  <c r="F737" i="6"/>
  <c r="E737" i="6"/>
  <c r="D737" i="6"/>
  <c r="C737" i="6"/>
  <c r="B737" i="6"/>
  <c r="A737" i="6"/>
  <c r="H737" i="6" s="1"/>
  <c r="G736" i="6"/>
  <c r="F736" i="6"/>
  <c r="E736" i="6"/>
  <c r="D736" i="6"/>
  <c r="C736" i="6"/>
  <c r="B736" i="6"/>
  <c r="A736" i="6"/>
  <c r="H736" i="6" s="1"/>
  <c r="G735" i="6"/>
  <c r="F735" i="6"/>
  <c r="E735" i="6"/>
  <c r="D735" i="6"/>
  <c r="C735" i="6"/>
  <c r="B735" i="6"/>
  <c r="A735" i="6"/>
  <c r="H735" i="6" s="1"/>
  <c r="G734" i="6"/>
  <c r="F734" i="6"/>
  <c r="E734" i="6"/>
  <c r="D734" i="6"/>
  <c r="C734" i="6"/>
  <c r="B734" i="6"/>
  <c r="A734" i="6"/>
  <c r="H734" i="6" s="1"/>
  <c r="G733" i="6"/>
  <c r="F733" i="6"/>
  <c r="E733" i="6"/>
  <c r="D733" i="6"/>
  <c r="C733" i="6"/>
  <c r="B733" i="6"/>
  <c r="A733" i="6"/>
  <c r="H733" i="6" s="1"/>
  <c r="G732" i="6"/>
  <c r="F732" i="6"/>
  <c r="E732" i="6"/>
  <c r="D732" i="6"/>
  <c r="C732" i="6"/>
  <c r="B732" i="6"/>
  <c r="A732" i="6"/>
  <c r="H732" i="6" s="1"/>
  <c r="G731" i="6"/>
  <c r="F731" i="6"/>
  <c r="E731" i="6"/>
  <c r="D731" i="6"/>
  <c r="C731" i="6"/>
  <c r="B731" i="6"/>
  <c r="A731" i="6"/>
  <c r="H731" i="6" s="1"/>
  <c r="G730" i="6"/>
  <c r="F730" i="6"/>
  <c r="E730" i="6"/>
  <c r="D730" i="6"/>
  <c r="C730" i="6"/>
  <c r="B730" i="6"/>
  <c r="A730" i="6"/>
  <c r="H730" i="6" s="1"/>
  <c r="G729" i="6"/>
  <c r="F729" i="6"/>
  <c r="E729" i="6"/>
  <c r="D729" i="6"/>
  <c r="C729" i="6"/>
  <c r="B729" i="6"/>
  <c r="A729" i="6"/>
  <c r="H729" i="6" s="1"/>
  <c r="G728" i="6"/>
  <c r="F728" i="6"/>
  <c r="E728" i="6"/>
  <c r="D728" i="6"/>
  <c r="C728" i="6"/>
  <c r="B728" i="6"/>
  <c r="A728" i="6"/>
  <c r="H728" i="6" s="1"/>
  <c r="G727" i="6"/>
  <c r="F727" i="6"/>
  <c r="E727" i="6"/>
  <c r="D727" i="6"/>
  <c r="C727" i="6"/>
  <c r="B727" i="6"/>
  <c r="A727" i="6"/>
  <c r="H727" i="6" s="1"/>
  <c r="G726" i="6"/>
  <c r="F726" i="6"/>
  <c r="E726" i="6"/>
  <c r="D726" i="6"/>
  <c r="C726" i="6"/>
  <c r="B726" i="6"/>
  <c r="A726" i="6"/>
  <c r="H726" i="6" s="1"/>
  <c r="G725" i="6"/>
  <c r="F725" i="6"/>
  <c r="E725" i="6"/>
  <c r="D725" i="6"/>
  <c r="C725" i="6"/>
  <c r="B725" i="6"/>
  <c r="A725" i="6"/>
  <c r="H725" i="6" s="1"/>
  <c r="G724" i="6"/>
  <c r="F724" i="6"/>
  <c r="E724" i="6"/>
  <c r="D724" i="6"/>
  <c r="C724" i="6"/>
  <c r="B724" i="6"/>
  <c r="A724" i="6"/>
  <c r="H724" i="6" s="1"/>
  <c r="G723" i="6"/>
  <c r="F723" i="6"/>
  <c r="E723" i="6"/>
  <c r="D723" i="6"/>
  <c r="C723" i="6"/>
  <c r="B723" i="6"/>
  <c r="A723" i="6"/>
  <c r="H723" i="6" s="1"/>
  <c r="G722" i="6"/>
  <c r="F722" i="6"/>
  <c r="E722" i="6"/>
  <c r="D722" i="6"/>
  <c r="C722" i="6"/>
  <c r="B722" i="6"/>
  <c r="A722" i="6"/>
  <c r="H722" i="6" s="1"/>
  <c r="G721" i="6"/>
  <c r="F721" i="6"/>
  <c r="E721" i="6"/>
  <c r="D721" i="6"/>
  <c r="C721" i="6"/>
  <c r="B721" i="6"/>
  <c r="A721" i="6"/>
  <c r="H721" i="6" s="1"/>
  <c r="G720" i="6"/>
  <c r="F720" i="6"/>
  <c r="E720" i="6"/>
  <c r="D720" i="6"/>
  <c r="C720" i="6"/>
  <c r="B720" i="6"/>
  <c r="A720" i="6"/>
  <c r="H720" i="6" s="1"/>
  <c r="G719" i="6"/>
  <c r="F719" i="6"/>
  <c r="E719" i="6"/>
  <c r="D719" i="6"/>
  <c r="C719" i="6"/>
  <c r="B719" i="6"/>
  <c r="A719" i="6"/>
  <c r="H719" i="6" s="1"/>
  <c r="G718" i="6"/>
  <c r="F718" i="6"/>
  <c r="E718" i="6"/>
  <c r="D718" i="6"/>
  <c r="C718" i="6"/>
  <c r="B718" i="6"/>
  <c r="A718" i="6"/>
  <c r="H718" i="6" s="1"/>
  <c r="G717" i="6"/>
  <c r="F717" i="6"/>
  <c r="E717" i="6"/>
  <c r="D717" i="6"/>
  <c r="C717" i="6"/>
  <c r="B717" i="6"/>
  <c r="A717" i="6"/>
  <c r="H717" i="6" s="1"/>
  <c r="G716" i="6"/>
  <c r="F716" i="6"/>
  <c r="E716" i="6"/>
  <c r="D716" i="6"/>
  <c r="C716" i="6"/>
  <c r="B716" i="6"/>
  <c r="A716" i="6"/>
  <c r="H716" i="6" s="1"/>
  <c r="G715" i="6"/>
  <c r="F715" i="6"/>
  <c r="E715" i="6"/>
  <c r="D715" i="6"/>
  <c r="C715" i="6"/>
  <c r="B715" i="6"/>
  <c r="A715" i="6"/>
  <c r="H715" i="6" s="1"/>
  <c r="G714" i="6"/>
  <c r="F714" i="6"/>
  <c r="E714" i="6"/>
  <c r="D714" i="6"/>
  <c r="C714" i="6"/>
  <c r="B714" i="6"/>
  <c r="A714" i="6"/>
  <c r="H714" i="6" s="1"/>
  <c r="G713" i="6"/>
  <c r="F713" i="6"/>
  <c r="E713" i="6"/>
  <c r="D713" i="6"/>
  <c r="C713" i="6"/>
  <c r="B713" i="6"/>
  <c r="A713" i="6"/>
  <c r="H713" i="6" s="1"/>
  <c r="G712" i="6"/>
  <c r="F712" i="6"/>
  <c r="E712" i="6"/>
  <c r="D712" i="6"/>
  <c r="C712" i="6"/>
  <c r="B712" i="6"/>
  <c r="A712" i="6"/>
  <c r="H712" i="6" s="1"/>
  <c r="G711" i="6"/>
  <c r="F711" i="6"/>
  <c r="E711" i="6"/>
  <c r="D711" i="6"/>
  <c r="C711" i="6"/>
  <c r="B711" i="6"/>
  <c r="A711" i="6"/>
  <c r="H711" i="6" s="1"/>
  <c r="G710" i="6"/>
  <c r="F710" i="6"/>
  <c r="E710" i="6"/>
  <c r="D710" i="6"/>
  <c r="C710" i="6"/>
  <c r="B710" i="6"/>
  <c r="A710" i="6"/>
  <c r="H710" i="6" s="1"/>
  <c r="G709" i="6"/>
  <c r="F709" i="6"/>
  <c r="E709" i="6"/>
  <c r="D709" i="6"/>
  <c r="C709" i="6"/>
  <c r="B709" i="6"/>
  <c r="A709" i="6"/>
  <c r="H709" i="6" s="1"/>
  <c r="G708" i="6"/>
  <c r="F708" i="6"/>
  <c r="E708" i="6"/>
  <c r="D708" i="6"/>
  <c r="C708" i="6"/>
  <c r="B708" i="6"/>
  <c r="A708" i="6"/>
  <c r="H708" i="6" s="1"/>
  <c r="G707" i="6"/>
  <c r="F707" i="6"/>
  <c r="E707" i="6"/>
  <c r="D707" i="6"/>
  <c r="C707" i="6"/>
  <c r="B707" i="6"/>
  <c r="A707" i="6"/>
  <c r="H707" i="6" s="1"/>
  <c r="G706" i="6"/>
  <c r="F706" i="6"/>
  <c r="E706" i="6"/>
  <c r="D706" i="6"/>
  <c r="C706" i="6"/>
  <c r="B706" i="6"/>
  <c r="A706" i="6"/>
  <c r="H706" i="6" s="1"/>
  <c r="G705" i="6"/>
  <c r="F705" i="6"/>
  <c r="E705" i="6"/>
  <c r="D705" i="6"/>
  <c r="C705" i="6"/>
  <c r="B705" i="6"/>
  <c r="A705" i="6"/>
  <c r="H705" i="6" s="1"/>
  <c r="G704" i="6"/>
  <c r="F704" i="6"/>
  <c r="E704" i="6"/>
  <c r="D704" i="6"/>
  <c r="C704" i="6"/>
  <c r="B704" i="6"/>
  <c r="A704" i="6"/>
  <c r="H704" i="6" s="1"/>
  <c r="G703" i="6"/>
  <c r="F703" i="6"/>
  <c r="E703" i="6"/>
  <c r="D703" i="6"/>
  <c r="C703" i="6"/>
  <c r="B703" i="6"/>
  <c r="A703" i="6"/>
  <c r="H703" i="6" s="1"/>
  <c r="G702" i="6"/>
  <c r="F702" i="6"/>
  <c r="E702" i="6"/>
  <c r="D702" i="6"/>
  <c r="C702" i="6"/>
  <c r="B702" i="6"/>
  <c r="A702" i="6"/>
  <c r="H702" i="6" s="1"/>
  <c r="G701" i="6"/>
  <c r="F701" i="6"/>
  <c r="E701" i="6"/>
  <c r="D701" i="6"/>
  <c r="C701" i="6"/>
  <c r="B701" i="6"/>
  <c r="A701" i="6"/>
  <c r="H701" i="6" s="1"/>
  <c r="G700" i="6"/>
  <c r="F700" i="6"/>
  <c r="E700" i="6"/>
  <c r="D700" i="6"/>
  <c r="C700" i="6"/>
  <c r="B700" i="6"/>
  <c r="A700" i="6"/>
  <c r="H700" i="6" s="1"/>
  <c r="G699" i="6"/>
  <c r="F699" i="6"/>
  <c r="E699" i="6"/>
  <c r="D699" i="6"/>
  <c r="C699" i="6"/>
  <c r="B699" i="6"/>
  <c r="A699" i="6"/>
  <c r="H699" i="6" s="1"/>
  <c r="G698" i="6"/>
  <c r="F698" i="6"/>
  <c r="E698" i="6"/>
  <c r="D698" i="6"/>
  <c r="C698" i="6"/>
  <c r="B698" i="6"/>
  <c r="A698" i="6"/>
  <c r="H698" i="6" s="1"/>
  <c r="G697" i="6"/>
  <c r="F697" i="6"/>
  <c r="E697" i="6"/>
  <c r="D697" i="6"/>
  <c r="C697" i="6"/>
  <c r="B697" i="6"/>
  <c r="A697" i="6"/>
  <c r="H697" i="6" s="1"/>
  <c r="G696" i="6"/>
  <c r="F696" i="6"/>
  <c r="E696" i="6"/>
  <c r="D696" i="6"/>
  <c r="C696" i="6"/>
  <c r="B696" i="6"/>
  <c r="A696" i="6"/>
  <c r="H696" i="6" s="1"/>
  <c r="G695" i="6"/>
  <c r="F695" i="6"/>
  <c r="E695" i="6"/>
  <c r="D695" i="6"/>
  <c r="C695" i="6"/>
  <c r="B695" i="6"/>
  <c r="A695" i="6"/>
  <c r="H695" i="6" s="1"/>
  <c r="G694" i="6"/>
  <c r="F694" i="6"/>
  <c r="E694" i="6"/>
  <c r="D694" i="6"/>
  <c r="C694" i="6"/>
  <c r="B694" i="6"/>
  <c r="A694" i="6"/>
  <c r="H694" i="6" s="1"/>
  <c r="G693" i="6"/>
  <c r="F693" i="6"/>
  <c r="E693" i="6"/>
  <c r="D693" i="6"/>
  <c r="C693" i="6"/>
  <c r="B693" i="6"/>
  <c r="A693" i="6"/>
  <c r="H693" i="6" s="1"/>
  <c r="G692" i="6"/>
  <c r="F692" i="6"/>
  <c r="E692" i="6"/>
  <c r="D692" i="6"/>
  <c r="C692" i="6"/>
  <c r="B692" i="6"/>
  <c r="A692" i="6"/>
  <c r="H692" i="6" s="1"/>
  <c r="G691" i="6"/>
  <c r="F691" i="6"/>
  <c r="E691" i="6"/>
  <c r="D691" i="6"/>
  <c r="C691" i="6"/>
  <c r="B691" i="6"/>
  <c r="A691" i="6"/>
  <c r="H691" i="6" s="1"/>
  <c r="G690" i="6"/>
  <c r="F690" i="6"/>
  <c r="E690" i="6"/>
  <c r="D690" i="6"/>
  <c r="C690" i="6"/>
  <c r="B690" i="6"/>
  <c r="A690" i="6"/>
  <c r="H690" i="6" s="1"/>
  <c r="G689" i="6"/>
  <c r="F689" i="6"/>
  <c r="E689" i="6"/>
  <c r="D689" i="6"/>
  <c r="C689" i="6"/>
  <c r="B689" i="6"/>
  <c r="A689" i="6"/>
  <c r="H689" i="6" s="1"/>
  <c r="G688" i="6"/>
  <c r="F688" i="6"/>
  <c r="E688" i="6"/>
  <c r="D688" i="6"/>
  <c r="C688" i="6"/>
  <c r="B688" i="6"/>
  <c r="A688" i="6"/>
  <c r="H688" i="6" s="1"/>
  <c r="G687" i="6"/>
  <c r="F687" i="6"/>
  <c r="E687" i="6"/>
  <c r="D687" i="6"/>
  <c r="C687" i="6"/>
  <c r="B687" i="6"/>
  <c r="A687" i="6"/>
  <c r="H687" i="6" s="1"/>
  <c r="G686" i="6"/>
  <c r="F686" i="6"/>
  <c r="E686" i="6"/>
  <c r="D686" i="6"/>
  <c r="C686" i="6"/>
  <c r="B686" i="6"/>
  <c r="A686" i="6"/>
  <c r="H686" i="6" s="1"/>
  <c r="G685" i="6"/>
  <c r="F685" i="6"/>
  <c r="E685" i="6"/>
  <c r="D685" i="6"/>
  <c r="C685" i="6"/>
  <c r="B685" i="6"/>
  <c r="A685" i="6"/>
  <c r="H685" i="6" s="1"/>
  <c r="G684" i="6"/>
  <c r="F684" i="6"/>
  <c r="E684" i="6"/>
  <c r="D684" i="6"/>
  <c r="C684" i="6"/>
  <c r="B684" i="6"/>
  <c r="A684" i="6"/>
  <c r="H684" i="6" s="1"/>
  <c r="G683" i="6"/>
  <c r="F683" i="6"/>
  <c r="E683" i="6"/>
  <c r="D683" i="6"/>
  <c r="C683" i="6"/>
  <c r="B683" i="6"/>
  <c r="A683" i="6"/>
  <c r="H683" i="6" s="1"/>
  <c r="G682" i="6"/>
  <c r="F682" i="6"/>
  <c r="E682" i="6"/>
  <c r="D682" i="6"/>
  <c r="C682" i="6"/>
  <c r="B682" i="6"/>
  <c r="A682" i="6"/>
  <c r="H682" i="6" s="1"/>
  <c r="G681" i="6"/>
  <c r="F681" i="6"/>
  <c r="E681" i="6"/>
  <c r="D681" i="6"/>
  <c r="C681" i="6"/>
  <c r="B681" i="6"/>
  <c r="A681" i="6"/>
  <c r="H681" i="6" s="1"/>
  <c r="G680" i="6"/>
  <c r="F680" i="6"/>
  <c r="E680" i="6"/>
  <c r="D680" i="6"/>
  <c r="C680" i="6"/>
  <c r="B680" i="6"/>
  <c r="A680" i="6"/>
  <c r="H680" i="6" s="1"/>
  <c r="G679" i="6"/>
  <c r="F679" i="6"/>
  <c r="E679" i="6"/>
  <c r="D679" i="6"/>
  <c r="C679" i="6"/>
  <c r="B679" i="6"/>
  <c r="A679" i="6"/>
  <c r="H679" i="6" s="1"/>
  <c r="G678" i="6"/>
  <c r="F678" i="6"/>
  <c r="E678" i="6"/>
  <c r="D678" i="6"/>
  <c r="C678" i="6"/>
  <c r="B678" i="6"/>
  <c r="A678" i="6"/>
  <c r="H678" i="6" s="1"/>
  <c r="G677" i="6"/>
  <c r="F677" i="6"/>
  <c r="E677" i="6"/>
  <c r="D677" i="6"/>
  <c r="C677" i="6"/>
  <c r="B677" i="6"/>
  <c r="A677" i="6"/>
  <c r="H677" i="6" s="1"/>
  <c r="G676" i="6"/>
  <c r="F676" i="6"/>
  <c r="E676" i="6"/>
  <c r="D676" i="6"/>
  <c r="C676" i="6"/>
  <c r="B676" i="6"/>
  <c r="A676" i="6"/>
  <c r="H676" i="6" s="1"/>
  <c r="G675" i="6"/>
  <c r="F675" i="6"/>
  <c r="E675" i="6"/>
  <c r="D675" i="6"/>
  <c r="C675" i="6"/>
  <c r="B675" i="6"/>
  <c r="A675" i="6"/>
  <c r="H675" i="6" s="1"/>
  <c r="G674" i="6"/>
  <c r="F674" i="6"/>
  <c r="E674" i="6"/>
  <c r="D674" i="6"/>
  <c r="C674" i="6"/>
  <c r="B674" i="6"/>
  <c r="A674" i="6"/>
  <c r="H674" i="6" s="1"/>
  <c r="G673" i="6"/>
  <c r="F673" i="6"/>
  <c r="E673" i="6"/>
  <c r="D673" i="6"/>
  <c r="C673" i="6"/>
  <c r="B673" i="6"/>
  <c r="A673" i="6"/>
  <c r="H673" i="6" s="1"/>
  <c r="G672" i="6"/>
  <c r="F672" i="6"/>
  <c r="E672" i="6"/>
  <c r="D672" i="6"/>
  <c r="C672" i="6"/>
  <c r="B672" i="6"/>
  <c r="A672" i="6"/>
  <c r="H672" i="6" s="1"/>
  <c r="G671" i="6"/>
  <c r="F671" i="6"/>
  <c r="E671" i="6"/>
  <c r="D671" i="6"/>
  <c r="C671" i="6"/>
  <c r="B671" i="6"/>
  <c r="A671" i="6"/>
  <c r="H671" i="6" s="1"/>
  <c r="G670" i="6"/>
  <c r="F670" i="6"/>
  <c r="E670" i="6"/>
  <c r="D670" i="6"/>
  <c r="C670" i="6"/>
  <c r="B670" i="6"/>
  <c r="A670" i="6"/>
  <c r="H670" i="6" s="1"/>
  <c r="G669" i="6"/>
  <c r="F669" i="6"/>
  <c r="E669" i="6"/>
  <c r="D669" i="6"/>
  <c r="C669" i="6"/>
  <c r="B669" i="6"/>
  <c r="A669" i="6"/>
  <c r="H669" i="6" s="1"/>
  <c r="G668" i="6"/>
  <c r="F668" i="6"/>
  <c r="E668" i="6"/>
  <c r="D668" i="6"/>
  <c r="C668" i="6"/>
  <c r="B668" i="6"/>
  <c r="A668" i="6"/>
  <c r="H668" i="6" s="1"/>
  <c r="G667" i="6"/>
  <c r="F667" i="6"/>
  <c r="E667" i="6"/>
  <c r="D667" i="6"/>
  <c r="C667" i="6"/>
  <c r="B667" i="6"/>
  <c r="A667" i="6"/>
  <c r="H667" i="6" s="1"/>
  <c r="G666" i="6"/>
  <c r="F666" i="6"/>
  <c r="E666" i="6"/>
  <c r="D666" i="6"/>
  <c r="C666" i="6"/>
  <c r="B666" i="6"/>
  <c r="A666" i="6"/>
  <c r="H666" i="6" s="1"/>
  <c r="G665" i="6"/>
  <c r="F665" i="6"/>
  <c r="E665" i="6"/>
  <c r="D665" i="6"/>
  <c r="C665" i="6"/>
  <c r="B665" i="6"/>
  <c r="A665" i="6"/>
  <c r="H665" i="6" s="1"/>
  <c r="G664" i="6"/>
  <c r="F664" i="6"/>
  <c r="E664" i="6"/>
  <c r="D664" i="6"/>
  <c r="C664" i="6"/>
  <c r="B664" i="6"/>
  <c r="A664" i="6"/>
  <c r="H664" i="6" s="1"/>
  <c r="I664" i="6" s="1"/>
  <c r="G663" i="6"/>
  <c r="F663" i="6"/>
  <c r="E663" i="6"/>
  <c r="D663" i="6"/>
  <c r="C663" i="6"/>
  <c r="B663" i="6"/>
  <c r="A663" i="6"/>
  <c r="H663" i="6" s="1"/>
  <c r="G662" i="6"/>
  <c r="F662" i="6"/>
  <c r="E662" i="6"/>
  <c r="D662" i="6"/>
  <c r="C662" i="6"/>
  <c r="B662" i="6"/>
  <c r="A662" i="6"/>
  <c r="H662" i="6" s="1"/>
  <c r="I662" i="6" s="1"/>
  <c r="G661" i="6"/>
  <c r="F661" i="6"/>
  <c r="E661" i="6"/>
  <c r="D661" i="6"/>
  <c r="C661" i="6"/>
  <c r="B661" i="6"/>
  <c r="A661" i="6"/>
  <c r="H661" i="6" s="1"/>
  <c r="G660" i="6"/>
  <c r="F660" i="6"/>
  <c r="E660" i="6"/>
  <c r="D660" i="6"/>
  <c r="C660" i="6"/>
  <c r="B660" i="6"/>
  <c r="A660" i="6"/>
  <c r="H660" i="6" s="1"/>
  <c r="I660" i="6" s="1"/>
  <c r="G659" i="6"/>
  <c r="F659" i="6"/>
  <c r="E659" i="6"/>
  <c r="D659" i="6"/>
  <c r="C659" i="6"/>
  <c r="B659" i="6"/>
  <c r="A659" i="6"/>
  <c r="H659" i="6" s="1"/>
  <c r="G658" i="6"/>
  <c r="F658" i="6"/>
  <c r="E658" i="6"/>
  <c r="D658" i="6"/>
  <c r="C658" i="6"/>
  <c r="B658" i="6"/>
  <c r="A658" i="6"/>
  <c r="H658" i="6" s="1"/>
  <c r="I658" i="6" s="1"/>
  <c r="G657" i="6"/>
  <c r="F657" i="6"/>
  <c r="E657" i="6"/>
  <c r="D657" i="6"/>
  <c r="C657" i="6"/>
  <c r="B657" i="6"/>
  <c r="A657" i="6"/>
  <c r="H657" i="6" s="1"/>
  <c r="G656" i="6"/>
  <c r="F656" i="6"/>
  <c r="E656" i="6"/>
  <c r="D656" i="6"/>
  <c r="C656" i="6"/>
  <c r="B656" i="6"/>
  <c r="A656" i="6"/>
  <c r="H656" i="6" s="1"/>
  <c r="I656" i="6" s="1"/>
  <c r="G655" i="6"/>
  <c r="F655" i="6"/>
  <c r="E655" i="6"/>
  <c r="D655" i="6"/>
  <c r="C655" i="6"/>
  <c r="B655" i="6"/>
  <c r="A655" i="6"/>
  <c r="H655" i="6" s="1"/>
  <c r="G654" i="6"/>
  <c r="F654" i="6"/>
  <c r="E654" i="6"/>
  <c r="D654" i="6"/>
  <c r="C654" i="6"/>
  <c r="B654" i="6"/>
  <c r="A654" i="6"/>
  <c r="H654" i="6" s="1"/>
  <c r="I654" i="6" s="1"/>
  <c r="G653" i="6"/>
  <c r="F653" i="6"/>
  <c r="E653" i="6"/>
  <c r="D653" i="6"/>
  <c r="C653" i="6"/>
  <c r="B653" i="6"/>
  <c r="A653" i="6"/>
  <c r="H653" i="6" s="1"/>
  <c r="G652" i="6"/>
  <c r="F652" i="6"/>
  <c r="E652" i="6"/>
  <c r="D652" i="6"/>
  <c r="C652" i="6"/>
  <c r="B652" i="6"/>
  <c r="A652" i="6"/>
  <c r="H652" i="6" s="1"/>
  <c r="I652" i="6" s="1"/>
  <c r="G651" i="6"/>
  <c r="F651" i="6"/>
  <c r="E651" i="6"/>
  <c r="D651" i="6"/>
  <c r="C651" i="6"/>
  <c r="B651" i="6"/>
  <c r="A651" i="6"/>
  <c r="H651" i="6" s="1"/>
  <c r="G650" i="6"/>
  <c r="F650" i="6"/>
  <c r="E650" i="6"/>
  <c r="D650" i="6"/>
  <c r="C650" i="6"/>
  <c r="B650" i="6"/>
  <c r="A650" i="6"/>
  <c r="H650" i="6" s="1"/>
  <c r="I650" i="6" s="1"/>
  <c r="G649" i="6"/>
  <c r="F649" i="6"/>
  <c r="E649" i="6"/>
  <c r="D649" i="6"/>
  <c r="C649" i="6"/>
  <c r="B649" i="6"/>
  <c r="A649" i="6"/>
  <c r="H649" i="6" s="1"/>
  <c r="G648" i="6"/>
  <c r="F648" i="6"/>
  <c r="E648" i="6"/>
  <c r="D648" i="6"/>
  <c r="C648" i="6"/>
  <c r="B648" i="6"/>
  <c r="A648" i="6"/>
  <c r="H648" i="6" s="1"/>
  <c r="I648" i="6" s="1"/>
  <c r="G647" i="6"/>
  <c r="F647" i="6"/>
  <c r="E647" i="6"/>
  <c r="D647" i="6"/>
  <c r="C647" i="6"/>
  <c r="B647" i="6"/>
  <c r="A647" i="6"/>
  <c r="H647" i="6" s="1"/>
  <c r="G646" i="6"/>
  <c r="F646" i="6"/>
  <c r="E646" i="6"/>
  <c r="D646" i="6"/>
  <c r="C646" i="6"/>
  <c r="B646" i="6"/>
  <c r="A646" i="6"/>
  <c r="H646" i="6" s="1"/>
  <c r="I646" i="6" s="1"/>
  <c r="G645" i="6"/>
  <c r="F645" i="6"/>
  <c r="E645" i="6"/>
  <c r="D645" i="6"/>
  <c r="C645" i="6"/>
  <c r="B645" i="6"/>
  <c r="A645" i="6"/>
  <c r="H645" i="6" s="1"/>
  <c r="G644" i="6"/>
  <c r="F644" i="6"/>
  <c r="E644" i="6"/>
  <c r="D644" i="6"/>
  <c r="C644" i="6"/>
  <c r="B644" i="6"/>
  <c r="A644" i="6"/>
  <c r="H644" i="6" s="1"/>
  <c r="I644" i="6" s="1"/>
  <c r="G643" i="6"/>
  <c r="F643" i="6"/>
  <c r="E643" i="6"/>
  <c r="D643" i="6"/>
  <c r="C643" i="6"/>
  <c r="B643" i="6"/>
  <c r="A643" i="6"/>
  <c r="H643" i="6" s="1"/>
  <c r="G642" i="6"/>
  <c r="F642" i="6"/>
  <c r="E642" i="6"/>
  <c r="D642" i="6"/>
  <c r="C642" i="6"/>
  <c r="B642" i="6"/>
  <c r="A642" i="6"/>
  <c r="H642" i="6" s="1"/>
  <c r="I642" i="6" s="1"/>
  <c r="G641" i="6"/>
  <c r="F641" i="6"/>
  <c r="E641" i="6"/>
  <c r="D641" i="6"/>
  <c r="C641" i="6"/>
  <c r="B641" i="6"/>
  <c r="A641" i="6"/>
  <c r="H641" i="6" s="1"/>
  <c r="G640" i="6"/>
  <c r="F640" i="6"/>
  <c r="E640" i="6"/>
  <c r="D640" i="6"/>
  <c r="C640" i="6"/>
  <c r="B640" i="6"/>
  <c r="A640" i="6"/>
  <c r="H640" i="6" s="1"/>
  <c r="I640" i="6" s="1"/>
  <c r="G639" i="6"/>
  <c r="F639" i="6"/>
  <c r="E639" i="6"/>
  <c r="D639" i="6"/>
  <c r="C639" i="6"/>
  <c r="B639" i="6"/>
  <c r="A639" i="6"/>
  <c r="H639" i="6" s="1"/>
  <c r="G638" i="6"/>
  <c r="F638" i="6"/>
  <c r="E638" i="6"/>
  <c r="D638" i="6"/>
  <c r="C638" i="6"/>
  <c r="B638" i="6"/>
  <c r="A638" i="6"/>
  <c r="H638" i="6" s="1"/>
  <c r="I638" i="6" s="1"/>
  <c r="G637" i="6"/>
  <c r="F637" i="6"/>
  <c r="E637" i="6"/>
  <c r="D637" i="6"/>
  <c r="C637" i="6"/>
  <c r="B637" i="6"/>
  <c r="A637" i="6"/>
  <c r="H637" i="6" s="1"/>
  <c r="G636" i="6"/>
  <c r="F636" i="6"/>
  <c r="E636" i="6"/>
  <c r="D636" i="6"/>
  <c r="C636" i="6"/>
  <c r="B636" i="6"/>
  <c r="A636" i="6"/>
  <c r="H636" i="6" s="1"/>
  <c r="I636" i="6" s="1"/>
  <c r="G635" i="6"/>
  <c r="F635" i="6"/>
  <c r="E635" i="6"/>
  <c r="D635" i="6"/>
  <c r="C635" i="6"/>
  <c r="B635" i="6"/>
  <c r="A635" i="6"/>
  <c r="H635" i="6" s="1"/>
  <c r="G634" i="6"/>
  <c r="F634" i="6"/>
  <c r="E634" i="6"/>
  <c r="D634" i="6"/>
  <c r="C634" i="6"/>
  <c r="B634" i="6"/>
  <c r="A634" i="6"/>
  <c r="H634" i="6" s="1"/>
  <c r="I634" i="6" s="1"/>
  <c r="G633" i="6"/>
  <c r="F633" i="6"/>
  <c r="E633" i="6"/>
  <c r="D633" i="6"/>
  <c r="C633" i="6"/>
  <c r="B633" i="6"/>
  <c r="A633" i="6"/>
  <c r="H633" i="6" s="1"/>
  <c r="G632" i="6"/>
  <c r="F632" i="6"/>
  <c r="E632" i="6"/>
  <c r="D632" i="6"/>
  <c r="C632" i="6"/>
  <c r="B632" i="6"/>
  <c r="A632" i="6"/>
  <c r="H632" i="6" s="1"/>
  <c r="I632" i="6" s="1"/>
  <c r="G631" i="6"/>
  <c r="F631" i="6"/>
  <c r="E631" i="6"/>
  <c r="D631" i="6"/>
  <c r="C631" i="6"/>
  <c r="B631" i="6"/>
  <c r="A631" i="6"/>
  <c r="H631" i="6" s="1"/>
  <c r="G630" i="6"/>
  <c r="F630" i="6"/>
  <c r="E630" i="6"/>
  <c r="D630" i="6"/>
  <c r="C630" i="6"/>
  <c r="B630" i="6"/>
  <c r="A630" i="6"/>
  <c r="H630" i="6" s="1"/>
  <c r="I630" i="6" s="1"/>
  <c r="G629" i="6"/>
  <c r="F629" i="6"/>
  <c r="E629" i="6"/>
  <c r="D629" i="6"/>
  <c r="C629" i="6"/>
  <c r="B629" i="6"/>
  <c r="A629" i="6"/>
  <c r="H629" i="6" s="1"/>
  <c r="G628" i="6"/>
  <c r="F628" i="6"/>
  <c r="E628" i="6"/>
  <c r="D628" i="6"/>
  <c r="C628" i="6"/>
  <c r="B628" i="6"/>
  <c r="A628" i="6"/>
  <c r="H628" i="6" s="1"/>
  <c r="I628" i="6" s="1"/>
  <c r="G627" i="6"/>
  <c r="F627" i="6"/>
  <c r="E627" i="6"/>
  <c r="D627" i="6"/>
  <c r="C627" i="6"/>
  <c r="B627" i="6"/>
  <c r="A627" i="6"/>
  <c r="H627" i="6" s="1"/>
  <c r="G626" i="6"/>
  <c r="F626" i="6"/>
  <c r="E626" i="6"/>
  <c r="D626" i="6"/>
  <c r="C626" i="6"/>
  <c r="B626" i="6"/>
  <c r="A626" i="6"/>
  <c r="H626" i="6" s="1"/>
  <c r="I626" i="6" s="1"/>
  <c r="G625" i="6"/>
  <c r="F625" i="6"/>
  <c r="E625" i="6"/>
  <c r="D625" i="6"/>
  <c r="C625" i="6"/>
  <c r="B625" i="6"/>
  <c r="A625" i="6"/>
  <c r="H625" i="6" s="1"/>
  <c r="G624" i="6"/>
  <c r="F624" i="6"/>
  <c r="E624" i="6"/>
  <c r="D624" i="6"/>
  <c r="C624" i="6"/>
  <c r="B624" i="6"/>
  <c r="A624" i="6"/>
  <c r="H624" i="6" s="1"/>
  <c r="I624" i="6" s="1"/>
  <c r="G623" i="6"/>
  <c r="F623" i="6"/>
  <c r="E623" i="6"/>
  <c r="D623" i="6"/>
  <c r="C623" i="6"/>
  <c r="B623" i="6"/>
  <c r="A623" i="6"/>
  <c r="H623" i="6" s="1"/>
  <c r="G622" i="6"/>
  <c r="F622" i="6"/>
  <c r="E622" i="6"/>
  <c r="D622" i="6"/>
  <c r="C622" i="6"/>
  <c r="B622" i="6"/>
  <c r="A622" i="6"/>
  <c r="H622" i="6" s="1"/>
  <c r="I622" i="6" s="1"/>
  <c r="G621" i="6"/>
  <c r="F621" i="6"/>
  <c r="E621" i="6"/>
  <c r="D621" i="6"/>
  <c r="C621" i="6"/>
  <c r="B621" i="6"/>
  <c r="A621" i="6"/>
  <c r="H621" i="6" s="1"/>
  <c r="G620" i="6"/>
  <c r="F620" i="6"/>
  <c r="E620" i="6"/>
  <c r="D620" i="6"/>
  <c r="C620" i="6"/>
  <c r="B620" i="6"/>
  <c r="A620" i="6"/>
  <c r="H620" i="6" s="1"/>
  <c r="I620" i="6" s="1"/>
  <c r="G619" i="6"/>
  <c r="F619" i="6"/>
  <c r="E619" i="6"/>
  <c r="D619" i="6"/>
  <c r="C619" i="6"/>
  <c r="B619" i="6"/>
  <c r="A619" i="6"/>
  <c r="H619" i="6" s="1"/>
  <c r="G618" i="6"/>
  <c r="F618" i="6"/>
  <c r="E618" i="6"/>
  <c r="D618" i="6"/>
  <c r="C618" i="6"/>
  <c r="B618" i="6"/>
  <c r="A618" i="6"/>
  <c r="H618" i="6" s="1"/>
  <c r="I618" i="6" s="1"/>
  <c r="G617" i="6"/>
  <c r="F617" i="6"/>
  <c r="E617" i="6"/>
  <c r="D617" i="6"/>
  <c r="C617" i="6"/>
  <c r="B617" i="6"/>
  <c r="A617" i="6"/>
  <c r="H617" i="6" s="1"/>
  <c r="G616" i="6"/>
  <c r="F616" i="6"/>
  <c r="E616" i="6"/>
  <c r="D616" i="6"/>
  <c r="C616" i="6"/>
  <c r="B616" i="6"/>
  <c r="A616" i="6"/>
  <c r="H616" i="6" s="1"/>
  <c r="I616" i="6" s="1"/>
  <c r="G615" i="6"/>
  <c r="F615" i="6"/>
  <c r="E615" i="6"/>
  <c r="D615" i="6"/>
  <c r="C615" i="6"/>
  <c r="B615" i="6"/>
  <c r="A615" i="6"/>
  <c r="H615" i="6" s="1"/>
  <c r="G614" i="6"/>
  <c r="F614" i="6"/>
  <c r="E614" i="6"/>
  <c r="D614" i="6"/>
  <c r="C614" i="6"/>
  <c r="B614" i="6"/>
  <c r="A614" i="6"/>
  <c r="H614" i="6" s="1"/>
  <c r="I614" i="6" s="1"/>
  <c r="G613" i="6"/>
  <c r="F613" i="6"/>
  <c r="E613" i="6"/>
  <c r="D613" i="6"/>
  <c r="C613" i="6"/>
  <c r="B613" i="6"/>
  <c r="A613" i="6"/>
  <c r="H613" i="6" s="1"/>
  <c r="G612" i="6"/>
  <c r="F612" i="6"/>
  <c r="E612" i="6"/>
  <c r="D612" i="6"/>
  <c r="C612" i="6"/>
  <c r="B612" i="6"/>
  <c r="A612" i="6"/>
  <c r="H612" i="6" s="1"/>
  <c r="I612" i="6" s="1"/>
  <c r="G611" i="6"/>
  <c r="F611" i="6"/>
  <c r="E611" i="6"/>
  <c r="D611" i="6"/>
  <c r="C611" i="6"/>
  <c r="B611" i="6"/>
  <c r="A611" i="6"/>
  <c r="H611" i="6" s="1"/>
  <c r="G610" i="6"/>
  <c r="F610" i="6"/>
  <c r="E610" i="6"/>
  <c r="D610" i="6"/>
  <c r="C610" i="6"/>
  <c r="B610" i="6"/>
  <c r="A610" i="6"/>
  <c r="H610" i="6" s="1"/>
  <c r="I610" i="6" s="1"/>
  <c r="G609" i="6"/>
  <c r="F609" i="6"/>
  <c r="E609" i="6"/>
  <c r="D609" i="6"/>
  <c r="C609" i="6"/>
  <c r="B609" i="6"/>
  <c r="A609" i="6"/>
  <c r="H609" i="6" s="1"/>
  <c r="G608" i="6"/>
  <c r="F608" i="6"/>
  <c r="E608" i="6"/>
  <c r="D608" i="6"/>
  <c r="C608" i="6"/>
  <c r="B608" i="6"/>
  <c r="A608" i="6"/>
  <c r="H608" i="6" s="1"/>
  <c r="I608" i="6" s="1"/>
  <c r="G607" i="6"/>
  <c r="F607" i="6"/>
  <c r="E607" i="6"/>
  <c r="D607" i="6"/>
  <c r="C607" i="6"/>
  <c r="B607" i="6"/>
  <c r="A607" i="6"/>
  <c r="H607" i="6" s="1"/>
  <c r="G606" i="6"/>
  <c r="F606" i="6"/>
  <c r="E606" i="6"/>
  <c r="D606" i="6"/>
  <c r="C606" i="6"/>
  <c r="B606" i="6"/>
  <c r="A606" i="6"/>
  <c r="H606" i="6" s="1"/>
  <c r="I606" i="6" s="1"/>
  <c r="G605" i="6"/>
  <c r="F605" i="6"/>
  <c r="E605" i="6"/>
  <c r="D605" i="6"/>
  <c r="C605" i="6"/>
  <c r="B605" i="6"/>
  <c r="A605" i="6"/>
  <c r="H605" i="6" s="1"/>
  <c r="G604" i="6"/>
  <c r="F604" i="6"/>
  <c r="E604" i="6"/>
  <c r="D604" i="6"/>
  <c r="C604" i="6"/>
  <c r="B604" i="6"/>
  <c r="A604" i="6"/>
  <c r="H604" i="6" s="1"/>
  <c r="I604" i="6" s="1"/>
  <c r="G603" i="6"/>
  <c r="F603" i="6"/>
  <c r="E603" i="6"/>
  <c r="D603" i="6"/>
  <c r="C603" i="6"/>
  <c r="B603" i="6"/>
  <c r="A603" i="6"/>
  <c r="H603" i="6" s="1"/>
  <c r="G602" i="6"/>
  <c r="F602" i="6"/>
  <c r="E602" i="6"/>
  <c r="D602" i="6"/>
  <c r="C602" i="6"/>
  <c r="B602" i="6"/>
  <c r="A602" i="6"/>
  <c r="H602" i="6" s="1"/>
  <c r="I602" i="6" s="1"/>
  <c r="G601" i="6"/>
  <c r="F601" i="6"/>
  <c r="E601" i="6"/>
  <c r="D601" i="6"/>
  <c r="C601" i="6"/>
  <c r="B601" i="6"/>
  <c r="A601" i="6"/>
  <c r="H601" i="6" s="1"/>
  <c r="G600" i="6"/>
  <c r="F600" i="6"/>
  <c r="E600" i="6"/>
  <c r="D600" i="6"/>
  <c r="C600" i="6"/>
  <c r="B600" i="6"/>
  <c r="A600" i="6"/>
  <c r="H600" i="6" s="1"/>
  <c r="I600" i="6" s="1"/>
  <c r="G599" i="6"/>
  <c r="F599" i="6"/>
  <c r="E599" i="6"/>
  <c r="D599" i="6"/>
  <c r="C599" i="6"/>
  <c r="B599" i="6"/>
  <c r="A599" i="6"/>
  <c r="H599" i="6" s="1"/>
  <c r="G598" i="6"/>
  <c r="F598" i="6"/>
  <c r="E598" i="6"/>
  <c r="D598" i="6"/>
  <c r="C598" i="6"/>
  <c r="B598" i="6"/>
  <c r="A598" i="6"/>
  <c r="H598" i="6" s="1"/>
  <c r="I598" i="6" s="1"/>
  <c r="G597" i="6"/>
  <c r="F597" i="6"/>
  <c r="E597" i="6"/>
  <c r="D597" i="6"/>
  <c r="C597" i="6"/>
  <c r="B597" i="6"/>
  <c r="A597" i="6"/>
  <c r="H597" i="6" s="1"/>
  <c r="G596" i="6"/>
  <c r="F596" i="6"/>
  <c r="E596" i="6"/>
  <c r="D596" i="6"/>
  <c r="C596" i="6"/>
  <c r="B596" i="6"/>
  <c r="A596" i="6"/>
  <c r="H596" i="6" s="1"/>
  <c r="I596" i="6" s="1"/>
  <c r="G595" i="6"/>
  <c r="F595" i="6"/>
  <c r="E595" i="6"/>
  <c r="D595" i="6"/>
  <c r="C595" i="6"/>
  <c r="B595" i="6"/>
  <c r="A595" i="6"/>
  <c r="H595" i="6" s="1"/>
  <c r="G594" i="6"/>
  <c r="F594" i="6"/>
  <c r="E594" i="6"/>
  <c r="D594" i="6"/>
  <c r="C594" i="6"/>
  <c r="B594" i="6"/>
  <c r="A594" i="6"/>
  <c r="H594" i="6" s="1"/>
  <c r="I594" i="6" s="1"/>
  <c r="G593" i="6"/>
  <c r="F593" i="6"/>
  <c r="E593" i="6"/>
  <c r="D593" i="6"/>
  <c r="C593" i="6"/>
  <c r="B593" i="6"/>
  <c r="A593" i="6"/>
  <c r="H593" i="6" s="1"/>
  <c r="G592" i="6"/>
  <c r="F592" i="6"/>
  <c r="E592" i="6"/>
  <c r="D592" i="6"/>
  <c r="C592" i="6"/>
  <c r="B592" i="6"/>
  <c r="A592" i="6"/>
  <c r="H592" i="6" s="1"/>
  <c r="I592" i="6" s="1"/>
  <c r="G591" i="6"/>
  <c r="F591" i="6"/>
  <c r="E591" i="6"/>
  <c r="D591" i="6"/>
  <c r="C591" i="6"/>
  <c r="B591" i="6"/>
  <c r="A591" i="6"/>
  <c r="H591" i="6" s="1"/>
  <c r="G590" i="6"/>
  <c r="F590" i="6"/>
  <c r="E590" i="6"/>
  <c r="D590" i="6"/>
  <c r="C590" i="6"/>
  <c r="B590" i="6"/>
  <c r="A590" i="6"/>
  <c r="H590" i="6" s="1"/>
  <c r="I590" i="6" s="1"/>
  <c r="G589" i="6"/>
  <c r="F589" i="6"/>
  <c r="E589" i="6"/>
  <c r="D589" i="6"/>
  <c r="C589" i="6"/>
  <c r="B589" i="6"/>
  <c r="A589" i="6"/>
  <c r="H589" i="6" s="1"/>
  <c r="G588" i="6"/>
  <c r="F588" i="6"/>
  <c r="E588" i="6"/>
  <c r="D588" i="6"/>
  <c r="C588" i="6"/>
  <c r="B588" i="6"/>
  <c r="A588" i="6"/>
  <c r="H588" i="6" s="1"/>
  <c r="I588" i="6" s="1"/>
  <c r="G587" i="6"/>
  <c r="F587" i="6"/>
  <c r="E587" i="6"/>
  <c r="D587" i="6"/>
  <c r="C587" i="6"/>
  <c r="B587" i="6"/>
  <c r="A587" i="6"/>
  <c r="H587" i="6" s="1"/>
  <c r="G586" i="6"/>
  <c r="F586" i="6"/>
  <c r="E586" i="6"/>
  <c r="D586" i="6"/>
  <c r="C586" i="6"/>
  <c r="B586" i="6"/>
  <c r="A586" i="6"/>
  <c r="H586" i="6" s="1"/>
  <c r="I586" i="6" s="1"/>
  <c r="G585" i="6"/>
  <c r="F585" i="6"/>
  <c r="E585" i="6"/>
  <c r="D585" i="6"/>
  <c r="C585" i="6"/>
  <c r="B585" i="6"/>
  <c r="A585" i="6"/>
  <c r="H585" i="6" s="1"/>
  <c r="G584" i="6"/>
  <c r="F584" i="6"/>
  <c r="E584" i="6"/>
  <c r="D584" i="6"/>
  <c r="C584" i="6"/>
  <c r="B584" i="6"/>
  <c r="A584" i="6"/>
  <c r="H584" i="6" s="1"/>
  <c r="I584" i="6" s="1"/>
  <c r="G583" i="6"/>
  <c r="F583" i="6"/>
  <c r="E583" i="6"/>
  <c r="D583" i="6"/>
  <c r="C583" i="6"/>
  <c r="B583" i="6"/>
  <c r="A583" i="6"/>
  <c r="H583" i="6" s="1"/>
  <c r="G582" i="6"/>
  <c r="F582" i="6"/>
  <c r="E582" i="6"/>
  <c r="D582" i="6"/>
  <c r="C582" i="6"/>
  <c r="B582" i="6"/>
  <c r="A582" i="6"/>
  <c r="H582" i="6" s="1"/>
  <c r="I582" i="6" s="1"/>
  <c r="G581" i="6"/>
  <c r="F581" i="6"/>
  <c r="E581" i="6"/>
  <c r="D581" i="6"/>
  <c r="C581" i="6"/>
  <c r="B581" i="6"/>
  <c r="A581" i="6"/>
  <c r="H581" i="6" s="1"/>
  <c r="G580" i="6"/>
  <c r="F580" i="6"/>
  <c r="E580" i="6"/>
  <c r="D580" i="6"/>
  <c r="C580" i="6"/>
  <c r="B580" i="6"/>
  <c r="A580" i="6"/>
  <c r="H580" i="6" s="1"/>
  <c r="I580" i="6" s="1"/>
  <c r="G579" i="6"/>
  <c r="F579" i="6"/>
  <c r="E579" i="6"/>
  <c r="D579" i="6"/>
  <c r="C579" i="6"/>
  <c r="B579" i="6"/>
  <c r="A579" i="6"/>
  <c r="H579" i="6" s="1"/>
  <c r="G578" i="6"/>
  <c r="F578" i="6"/>
  <c r="E578" i="6"/>
  <c r="D578" i="6"/>
  <c r="C578" i="6"/>
  <c r="B578" i="6"/>
  <c r="A578" i="6"/>
  <c r="H578" i="6" s="1"/>
  <c r="I578" i="6" s="1"/>
  <c r="G577" i="6"/>
  <c r="F577" i="6"/>
  <c r="E577" i="6"/>
  <c r="D577" i="6"/>
  <c r="C577" i="6"/>
  <c r="B577" i="6"/>
  <c r="A577" i="6"/>
  <c r="H577" i="6" s="1"/>
  <c r="G576" i="6"/>
  <c r="F576" i="6"/>
  <c r="E576" i="6"/>
  <c r="D576" i="6"/>
  <c r="C576" i="6"/>
  <c r="B576" i="6"/>
  <c r="A576" i="6"/>
  <c r="H576" i="6" s="1"/>
  <c r="I576" i="6" s="1"/>
  <c r="G575" i="6"/>
  <c r="F575" i="6"/>
  <c r="E575" i="6"/>
  <c r="D575" i="6"/>
  <c r="C575" i="6"/>
  <c r="B575" i="6"/>
  <c r="A575" i="6"/>
  <c r="H575" i="6" s="1"/>
  <c r="G574" i="6"/>
  <c r="F574" i="6"/>
  <c r="E574" i="6"/>
  <c r="D574" i="6"/>
  <c r="C574" i="6"/>
  <c r="B574" i="6"/>
  <c r="A574" i="6"/>
  <c r="H574" i="6" s="1"/>
  <c r="I574" i="6" s="1"/>
  <c r="G573" i="6"/>
  <c r="F573" i="6"/>
  <c r="E573" i="6"/>
  <c r="D573" i="6"/>
  <c r="C573" i="6"/>
  <c r="B573" i="6"/>
  <c r="A573" i="6"/>
  <c r="H573" i="6" s="1"/>
  <c r="G572" i="6"/>
  <c r="F572" i="6"/>
  <c r="E572" i="6"/>
  <c r="D572" i="6"/>
  <c r="C572" i="6"/>
  <c r="B572" i="6"/>
  <c r="A572" i="6"/>
  <c r="H572" i="6" s="1"/>
  <c r="I572" i="6" s="1"/>
  <c r="G571" i="6"/>
  <c r="F571" i="6"/>
  <c r="E571" i="6"/>
  <c r="D571" i="6"/>
  <c r="C571" i="6"/>
  <c r="B571" i="6"/>
  <c r="A571" i="6"/>
  <c r="H571" i="6" s="1"/>
  <c r="G570" i="6"/>
  <c r="F570" i="6"/>
  <c r="E570" i="6"/>
  <c r="D570" i="6"/>
  <c r="C570" i="6"/>
  <c r="B570" i="6"/>
  <c r="A570" i="6"/>
  <c r="H570" i="6" s="1"/>
  <c r="I570" i="6" s="1"/>
  <c r="G569" i="6"/>
  <c r="F569" i="6"/>
  <c r="E569" i="6"/>
  <c r="D569" i="6"/>
  <c r="C569" i="6"/>
  <c r="B569" i="6"/>
  <c r="A569" i="6"/>
  <c r="H569" i="6" s="1"/>
  <c r="G568" i="6"/>
  <c r="F568" i="6"/>
  <c r="E568" i="6"/>
  <c r="D568" i="6"/>
  <c r="C568" i="6"/>
  <c r="B568" i="6"/>
  <c r="A568" i="6"/>
  <c r="H568" i="6" s="1"/>
  <c r="I568" i="6" s="1"/>
  <c r="G567" i="6"/>
  <c r="F567" i="6"/>
  <c r="E567" i="6"/>
  <c r="D567" i="6"/>
  <c r="C567" i="6"/>
  <c r="B567" i="6"/>
  <c r="A567" i="6"/>
  <c r="H567" i="6" s="1"/>
  <c r="G566" i="6"/>
  <c r="F566" i="6"/>
  <c r="E566" i="6"/>
  <c r="D566" i="6"/>
  <c r="C566" i="6"/>
  <c r="B566" i="6"/>
  <c r="A566" i="6"/>
  <c r="H566" i="6" s="1"/>
  <c r="I566" i="6" s="1"/>
  <c r="G565" i="6"/>
  <c r="F565" i="6"/>
  <c r="E565" i="6"/>
  <c r="D565" i="6"/>
  <c r="C565" i="6"/>
  <c r="B565" i="6"/>
  <c r="A565" i="6"/>
  <c r="H565" i="6" s="1"/>
  <c r="G564" i="6"/>
  <c r="F564" i="6"/>
  <c r="E564" i="6"/>
  <c r="D564" i="6"/>
  <c r="C564" i="6"/>
  <c r="B564" i="6"/>
  <c r="A564" i="6"/>
  <c r="H564" i="6" s="1"/>
  <c r="I564" i="6" s="1"/>
  <c r="G563" i="6"/>
  <c r="F563" i="6"/>
  <c r="E563" i="6"/>
  <c r="D563" i="6"/>
  <c r="C563" i="6"/>
  <c r="B563" i="6"/>
  <c r="A563" i="6"/>
  <c r="H563" i="6" s="1"/>
  <c r="G562" i="6"/>
  <c r="F562" i="6"/>
  <c r="E562" i="6"/>
  <c r="D562" i="6"/>
  <c r="C562" i="6"/>
  <c r="B562" i="6"/>
  <c r="A562" i="6"/>
  <c r="H562" i="6" s="1"/>
  <c r="I562" i="6" s="1"/>
  <c r="G561" i="6"/>
  <c r="F561" i="6"/>
  <c r="E561" i="6"/>
  <c r="D561" i="6"/>
  <c r="C561" i="6"/>
  <c r="B561" i="6"/>
  <c r="A561" i="6"/>
  <c r="H561" i="6" s="1"/>
  <c r="G560" i="6"/>
  <c r="F560" i="6"/>
  <c r="E560" i="6"/>
  <c r="D560" i="6"/>
  <c r="C560" i="6"/>
  <c r="B560" i="6"/>
  <c r="A560" i="6"/>
  <c r="H560" i="6" s="1"/>
  <c r="I560" i="6" s="1"/>
  <c r="G559" i="6"/>
  <c r="F559" i="6"/>
  <c r="E559" i="6"/>
  <c r="D559" i="6"/>
  <c r="C559" i="6"/>
  <c r="B559" i="6"/>
  <c r="A559" i="6"/>
  <c r="H559" i="6" s="1"/>
  <c r="G558" i="6"/>
  <c r="F558" i="6"/>
  <c r="E558" i="6"/>
  <c r="D558" i="6"/>
  <c r="C558" i="6"/>
  <c r="B558" i="6"/>
  <c r="A558" i="6"/>
  <c r="H558" i="6" s="1"/>
  <c r="I558" i="6" s="1"/>
  <c r="G557" i="6"/>
  <c r="F557" i="6"/>
  <c r="E557" i="6"/>
  <c r="D557" i="6"/>
  <c r="C557" i="6"/>
  <c r="B557" i="6"/>
  <c r="A557" i="6"/>
  <c r="H557" i="6" s="1"/>
  <c r="G556" i="6"/>
  <c r="F556" i="6"/>
  <c r="E556" i="6"/>
  <c r="D556" i="6"/>
  <c r="C556" i="6"/>
  <c r="B556" i="6"/>
  <c r="A556" i="6"/>
  <c r="H556" i="6" s="1"/>
  <c r="I556" i="6" s="1"/>
  <c r="G555" i="6"/>
  <c r="F555" i="6"/>
  <c r="E555" i="6"/>
  <c r="D555" i="6"/>
  <c r="C555" i="6"/>
  <c r="B555" i="6"/>
  <c r="A555" i="6"/>
  <c r="H555" i="6" s="1"/>
  <c r="G554" i="6"/>
  <c r="F554" i="6"/>
  <c r="E554" i="6"/>
  <c r="D554" i="6"/>
  <c r="C554" i="6"/>
  <c r="B554" i="6"/>
  <c r="A554" i="6"/>
  <c r="H554" i="6" s="1"/>
  <c r="I554" i="6" s="1"/>
  <c r="G553" i="6"/>
  <c r="F553" i="6"/>
  <c r="E553" i="6"/>
  <c r="D553" i="6"/>
  <c r="C553" i="6"/>
  <c r="B553" i="6"/>
  <c r="A553" i="6"/>
  <c r="H553" i="6" s="1"/>
  <c r="G552" i="6"/>
  <c r="F552" i="6"/>
  <c r="E552" i="6"/>
  <c r="D552" i="6"/>
  <c r="C552" i="6"/>
  <c r="B552" i="6"/>
  <c r="A552" i="6"/>
  <c r="H552" i="6" s="1"/>
  <c r="I552" i="6" s="1"/>
  <c r="G551" i="6"/>
  <c r="F551" i="6"/>
  <c r="E551" i="6"/>
  <c r="D551" i="6"/>
  <c r="C551" i="6"/>
  <c r="B551" i="6"/>
  <c r="A551" i="6"/>
  <c r="H551" i="6" s="1"/>
  <c r="G550" i="6"/>
  <c r="F550" i="6"/>
  <c r="E550" i="6"/>
  <c r="D550" i="6"/>
  <c r="C550" i="6"/>
  <c r="B550" i="6"/>
  <c r="A550" i="6"/>
  <c r="H550" i="6" s="1"/>
  <c r="I550" i="6" s="1"/>
  <c r="G549" i="6"/>
  <c r="F549" i="6"/>
  <c r="E549" i="6"/>
  <c r="D549" i="6"/>
  <c r="C549" i="6"/>
  <c r="B549" i="6"/>
  <c r="A549" i="6"/>
  <c r="H549" i="6" s="1"/>
  <c r="G548" i="6"/>
  <c r="F548" i="6"/>
  <c r="E548" i="6"/>
  <c r="D548" i="6"/>
  <c r="C548" i="6"/>
  <c r="B548" i="6"/>
  <c r="A548" i="6"/>
  <c r="H548" i="6" s="1"/>
  <c r="I548" i="6" s="1"/>
  <c r="G547" i="6"/>
  <c r="F547" i="6"/>
  <c r="E547" i="6"/>
  <c r="D547" i="6"/>
  <c r="C547" i="6"/>
  <c r="B547" i="6"/>
  <c r="A547" i="6"/>
  <c r="H547" i="6" s="1"/>
  <c r="G546" i="6"/>
  <c r="F546" i="6"/>
  <c r="E546" i="6"/>
  <c r="D546" i="6"/>
  <c r="C546" i="6"/>
  <c r="B546" i="6"/>
  <c r="A546" i="6"/>
  <c r="H546" i="6" s="1"/>
  <c r="I546" i="6" s="1"/>
  <c r="G545" i="6"/>
  <c r="F545" i="6"/>
  <c r="E545" i="6"/>
  <c r="D545" i="6"/>
  <c r="C545" i="6"/>
  <c r="B545" i="6"/>
  <c r="A545" i="6"/>
  <c r="H545" i="6" s="1"/>
  <c r="G544" i="6"/>
  <c r="F544" i="6"/>
  <c r="E544" i="6"/>
  <c r="D544" i="6"/>
  <c r="C544" i="6"/>
  <c r="B544" i="6"/>
  <c r="A544" i="6"/>
  <c r="H544" i="6" s="1"/>
  <c r="I544" i="6" s="1"/>
  <c r="G543" i="6"/>
  <c r="F543" i="6"/>
  <c r="E543" i="6"/>
  <c r="D543" i="6"/>
  <c r="C543" i="6"/>
  <c r="B543" i="6"/>
  <c r="A543" i="6"/>
  <c r="H543" i="6" s="1"/>
  <c r="G542" i="6"/>
  <c r="F542" i="6"/>
  <c r="E542" i="6"/>
  <c r="D542" i="6"/>
  <c r="C542" i="6"/>
  <c r="B542" i="6"/>
  <c r="A542" i="6"/>
  <c r="H542" i="6" s="1"/>
  <c r="I542" i="6" s="1"/>
  <c r="G541" i="6"/>
  <c r="F541" i="6"/>
  <c r="E541" i="6"/>
  <c r="D541" i="6"/>
  <c r="C541" i="6"/>
  <c r="B541" i="6"/>
  <c r="A541" i="6"/>
  <c r="H541" i="6" s="1"/>
  <c r="G540" i="6"/>
  <c r="F540" i="6"/>
  <c r="E540" i="6"/>
  <c r="D540" i="6"/>
  <c r="C540" i="6"/>
  <c r="B540" i="6"/>
  <c r="A540" i="6"/>
  <c r="H540" i="6" s="1"/>
  <c r="I540" i="6" s="1"/>
  <c r="G539" i="6"/>
  <c r="F539" i="6"/>
  <c r="E539" i="6"/>
  <c r="D539" i="6"/>
  <c r="C539" i="6"/>
  <c r="B539" i="6"/>
  <c r="A539" i="6"/>
  <c r="H539" i="6" s="1"/>
  <c r="G538" i="6"/>
  <c r="F538" i="6"/>
  <c r="E538" i="6"/>
  <c r="D538" i="6"/>
  <c r="C538" i="6"/>
  <c r="B538" i="6"/>
  <c r="A538" i="6"/>
  <c r="H538" i="6" s="1"/>
  <c r="I538" i="6" s="1"/>
  <c r="G537" i="6"/>
  <c r="F537" i="6"/>
  <c r="E537" i="6"/>
  <c r="D537" i="6"/>
  <c r="C537" i="6"/>
  <c r="B537" i="6"/>
  <c r="A537" i="6"/>
  <c r="H537" i="6" s="1"/>
  <c r="G536" i="6"/>
  <c r="F536" i="6"/>
  <c r="E536" i="6"/>
  <c r="D536" i="6"/>
  <c r="C536" i="6"/>
  <c r="B536" i="6"/>
  <c r="A536" i="6"/>
  <c r="H536" i="6" s="1"/>
  <c r="I536" i="6" s="1"/>
  <c r="G535" i="6"/>
  <c r="F535" i="6"/>
  <c r="E535" i="6"/>
  <c r="D535" i="6"/>
  <c r="C535" i="6"/>
  <c r="B535" i="6"/>
  <c r="A535" i="6"/>
  <c r="H535" i="6" s="1"/>
  <c r="G534" i="6"/>
  <c r="F534" i="6"/>
  <c r="E534" i="6"/>
  <c r="D534" i="6"/>
  <c r="C534" i="6"/>
  <c r="B534" i="6"/>
  <c r="A534" i="6"/>
  <c r="H534" i="6" s="1"/>
  <c r="I534" i="6" s="1"/>
  <c r="G533" i="6"/>
  <c r="F533" i="6"/>
  <c r="E533" i="6"/>
  <c r="D533" i="6"/>
  <c r="C533" i="6"/>
  <c r="B533" i="6"/>
  <c r="A533" i="6"/>
  <c r="H533" i="6" s="1"/>
  <c r="G532" i="6"/>
  <c r="F532" i="6"/>
  <c r="E532" i="6"/>
  <c r="D532" i="6"/>
  <c r="C532" i="6"/>
  <c r="B532" i="6"/>
  <c r="A532" i="6"/>
  <c r="H532" i="6" s="1"/>
  <c r="I532" i="6" s="1"/>
  <c r="G531" i="6"/>
  <c r="F531" i="6"/>
  <c r="E531" i="6"/>
  <c r="D531" i="6"/>
  <c r="C531" i="6"/>
  <c r="B531" i="6"/>
  <c r="A531" i="6"/>
  <c r="H531" i="6" s="1"/>
  <c r="G530" i="6"/>
  <c r="F530" i="6"/>
  <c r="E530" i="6"/>
  <c r="D530" i="6"/>
  <c r="C530" i="6"/>
  <c r="B530" i="6"/>
  <c r="A530" i="6"/>
  <c r="H530" i="6" s="1"/>
  <c r="I530" i="6" s="1"/>
  <c r="G529" i="6"/>
  <c r="F529" i="6"/>
  <c r="E529" i="6"/>
  <c r="D529" i="6"/>
  <c r="C529" i="6"/>
  <c r="B529" i="6"/>
  <c r="A529" i="6"/>
  <c r="H529" i="6" s="1"/>
  <c r="G528" i="6"/>
  <c r="F528" i="6"/>
  <c r="E528" i="6"/>
  <c r="D528" i="6"/>
  <c r="C528" i="6"/>
  <c r="B528" i="6"/>
  <c r="A528" i="6"/>
  <c r="H528" i="6" s="1"/>
  <c r="I528" i="6" s="1"/>
  <c r="G527" i="6"/>
  <c r="F527" i="6"/>
  <c r="E527" i="6"/>
  <c r="D527" i="6"/>
  <c r="C527" i="6"/>
  <c r="B527" i="6"/>
  <c r="A527" i="6"/>
  <c r="H527" i="6" s="1"/>
  <c r="G526" i="6"/>
  <c r="F526" i="6"/>
  <c r="E526" i="6"/>
  <c r="D526" i="6"/>
  <c r="C526" i="6"/>
  <c r="B526" i="6"/>
  <c r="A526" i="6"/>
  <c r="H526" i="6" s="1"/>
  <c r="I526" i="6" s="1"/>
  <c r="G525" i="6"/>
  <c r="F525" i="6"/>
  <c r="E525" i="6"/>
  <c r="D525" i="6"/>
  <c r="C525" i="6"/>
  <c r="B525" i="6"/>
  <c r="A525" i="6"/>
  <c r="H525" i="6" s="1"/>
  <c r="G524" i="6"/>
  <c r="F524" i="6"/>
  <c r="E524" i="6"/>
  <c r="D524" i="6"/>
  <c r="C524" i="6"/>
  <c r="B524" i="6"/>
  <c r="A524" i="6"/>
  <c r="H524" i="6" s="1"/>
  <c r="I524" i="6" s="1"/>
  <c r="G523" i="6"/>
  <c r="F523" i="6"/>
  <c r="E523" i="6"/>
  <c r="D523" i="6"/>
  <c r="C523" i="6"/>
  <c r="B523" i="6"/>
  <c r="A523" i="6"/>
  <c r="H523" i="6" s="1"/>
  <c r="G522" i="6"/>
  <c r="F522" i="6"/>
  <c r="E522" i="6"/>
  <c r="D522" i="6"/>
  <c r="C522" i="6"/>
  <c r="B522" i="6"/>
  <c r="A522" i="6"/>
  <c r="H522" i="6" s="1"/>
  <c r="I522" i="6" s="1"/>
  <c r="G521" i="6"/>
  <c r="F521" i="6"/>
  <c r="E521" i="6"/>
  <c r="D521" i="6"/>
  <c r="C521" i="6"/>
  <c r="B521" i="6"/>
  <c r="A521" i="6"/>
  <c r="H521" i="6" s="1"/>
  <c r="G520" i="6"/>
  <c r="F520" i="6"/>
  <c r="E520" i="6"/>
  <c r="D520" i="6"/>
  <c r="C520" i="6"/>
  <c r="B520" i="6"/>
  <c r="A520" i="6"/>
  <c r="H520" i="6" s="1"/>
  <c r="I520" i="6" s="1"/>
  <c r="G519" i="6"/>
  <c r="F519" i="6"/>
  <c r="E519" i="6"/>
  <c r="D519" i="6"/>
  <c r="C519" i="6"/>
  <c r="B519" i="6"/>
  <c r="A519" i="6"/>
  <c r="H519" i="6" s="1"/>
  <c r="G518" i="6"/>
  <c r="F518" i="6"/>
  <c r="E518" i="6"/>
  <c r="D518" i="6"/>
  <c r="C518" i="6"/>
  <c r="B518" i="6"/>
  <c r="A518" i="6"/>
  <c r="H518" i="6" s="1"/>
  <c r="I518" i="6" s="1"/>
  <c r="G517" i="6"/>
  <c r="F517" i="6"/>
  <c r="E517" i="6"/>
  <c r="D517" i="6"/>
  <c r="C517" i="6"/>
  <c r="B517" i="6"/>
  <c r="A517" i="6"/>
  <c r="H517" i="6" s="1"/>
  <c r="G516" i="6"/>
  <c r="F516" i="6"/>
  <c r="E516" i="6"/>
  <c r="D516" i="6"/>
  <c r="C516" i="6"/>
  <c r="B516" i="6"/>
  <c r="A516" i="6"/>
  <c r="H516" i="6" s="1"/>
  <c r="I516" i="6" s="1"/>
  <c r="G515" i="6"/>
  <c r="F515" i="6"/>
  <c r="E515" i="6"/>
  <c r="D515" i="6"/>
  <c r="C515" i="6"/>
  <c r="B515" i="6"/>
  <c r="A515" i="6"/>
  <c r="H515" i="6" s="1"/>
  <c r="G514" i="6"/>
  <c r="F514" i="6"/>
  <c r="E514" i="6"/>
  <c r="D514" i="6"/>
  <c r="C514" i="6"/>
  <c r="B514" i="6"/>
  <c r="A514" i="6"/>
  <c r="H514" i="6" s="1"/>
  <c r="I514" i="6" s="1"/>
  <c r="G513" i="6"/>
  <c r="F513" i="6"/>
  <c r="E513" i="6"/>
  <c r="D513" i="6"/>
  <c r="C513" i="6"/>
  <c r="B513" i="6"/>
  <c r="A513" i="6"/>
  <c r="H513" i="6" s="1"/>
  <c r="G512" i="6"/>
  <c r="F512" i="6"/>
  <c r="E512" i="6"/>
  <c r="D512" i="6"/>
  <c r="C512" i="6"/>
  <c r="B512" i="6"/>
  <c r="A512" i="6"/>
  <c r="H512" i="6" s="1"/>
  <c r="I512" i="6" s="1"/>
  <c r="G511" i="6"/>
  <c r="F511" i="6"/>
  <c r="E511" i="6"/>
  <c r="D511" i="6"/>
  <c r="C511" i="6"/>
  <c r="B511" i="6"/>
  <c r="A511" i="6"/>
  <c r="H511" i="6" s="1"/>
  <c r="G510" i="6"/>
  <c r="F510" i="6"/>
  <c r="E510" i="6"/>
  <c r="D510" i="6"/>
  <c r="C510" i="6"/>
  <c r="B510" i="6"/>
  <c r="A510" i="6"/>
  <c r="H510" i="6" s="1"/>
  <c r="I510" i="6" s="1"/>
  <c r="G509" i="6"/>
  <c r="F509" i="6"/>
  <c r="E509" i="6"/>
  <c r="D509" i="6"/>
  <c r="C509" i="6"/>
  <c r="B509" i="6"/>
  <c r="A509" i="6"/>
  <c r="H509" i="6" s="1"/>
  <c r="G508" i="6"/>
  <c r="F508" i="6"/>
  <c r="E508" i="6"/>
  <c r="D508" i="6"/>
  <c r="C508" i="6"/>
  <c r="B508" i="6"/>
  <c r="A508" i="6"/>
  <c r="H508" i="6" s="1"/>
  <c r="I508" i="6" s="1"/>
  <c r="G507" i="6"/>
  <c r="F507" i="6"/>
  <c r="E507" i="6"/>
  <c r="D507" i="6"/>
  <c r="C507" i="6"/>
  <c r="B507" i="6"/>
  <c r="A507" i="6"/>
  <c r="H507" i="6" s="1"/>
  <c r="G506" i="6"/>
  <c r="F506" i="6"/>
  <c r="E506" i="6"/>
  <c r="D506" i="6"/>
  <c r="C506" i="6"/>
  <c r="B506" i="6"/>
  <c r="A506" i="6"/>
  <c r="H506" i="6" s="1"/>
  <c r="I506" i="6" s="1"/>
  <c r="G505" i="6"/>
  <c r="F505" i="6"/>
  <c r="E505" i="6"/>
  <c r="D505" i="6"/>
  <c r="C505" i="6"/>
  <c r="B505" i="6"/>
  <c r="A505" i="6"/>
  <c r="H505" i="6" s="1"/>
  <c r="G504" i="6"/>
  <c r="F504" i="6"/>
  <c r="E504" i="6"/>
  <c r="D504" i="6"/>
  <c r="C504" i="6"/>
  <c r="B504" i="6"/>
  <c r="A504" i="6"/>
  <c r="H504" i="6" s="1"/>
  <c r="I504" i="6" s="1"/>
  <c r="G503" i="6"/>
  <c r="F503" i="6"/>
  <c r="E503" i="6"/>
  <c r="D503" i="6"/>
  <c r="C503" i="6"/>
  <c r="B503" i="6"/>
  <c r="A503" i="6"/>
  <c r="H503" i="6" s="1"/>
  <c r="G502" i="6"/>
  <c r="F502" i="6"/>
  <c r="E502" i="6"/>
  <c r="D502" i="6"/>
  <c r="C502" i="6"/>
  <c r="B502" i="6"/>
  <c r="A502" i="6"/>
  <c r="H502" i="6" s="1"/>
  <c r="I502" i="6" s="1"/>
  <c r="G501" i="6"/>
  <c r="F501" i="6"/>
  <c r="E501" i="6"/>
  <c r="D501" i="6"/>
  <c r="C501" i="6"/>
  <c r="B501" i="6"/>
  <c r="A501" i="6"/>
  <c r="H501" i="6" s="1"/>
  <c r="G500" i="6"/>
  <c r="F500" i="6"/>
  <c r="E500" i="6"/>
  <c r="D500" i="6"/>
  <c r="C500" i="6"/>
  <c r="B500" i="6"/>
  <c r="A500" i="6"/>
  <c r="H500" i="6" s="1"/>
  <c r="I500" i="6" s="1"/>
  <c r="G499" i="6"/>
  <c r="F499" i="6"/>
  <c r="E499" i="6"/>
  <c r="D499" i="6"/>
  <c r="C499" i="6"/>
  <c r="B499" i="6"/>
  <c r="A499" i="6"/>
  <c r="H499" i="6" s="1"/>
  <c r="G498" i="6"/>
  <c r="F498" i="6"/>
  <c r="E498" i="6"/>
  <c r="D498" i="6"/>
  <c r="C498" i="6"/>
  <c r="B498" i="6"/>
  <c r="A498" i="6"/>
  <c r="H498" i="6" s="1"/>
  <c r="I498" i="6" s="1"/>
  <c r="G497" i="6"/>
  <c r="F497" i="6"/>
  <c r="E497" i="6"/>
  <c r="D497" i="6"/>
  <c r="C497" i="6"/>
  <c r="B497" i="6"/>
  <c r="A497" i="6"/>
  <c r="H497" i="6" s="1"/>
  <c r="G496" i="6"/>
  <c r="F496" i="6"/>
  <c r="E496" i="6"/>
  <c r="D496" i="6"/>
  <c r="C496" i="6"/>
  <c r="B496" i="6"/>
  <c r="A496" i="6"/>
  <c r="H496" i="6" s="1"/>
  <c r="I496" i="6" s="1"/>
  <c r="G495" i="6"/>
  <c r="F495" i="6"/>
  <c r="E495" i="6"/>
  <c r="D495" i="6"/>
  <c r="C495" i="6"/>
  <c r="B495" i="6"/>
  <c r="A495" i="6"/>
  <c r="H495" i="6" s="1"/>
  <c r="G494" i="6"/>
  <c r="F494" i="6"/>
  <c r="E494" i="6"/>
  <c r="D494" i="6"/>
  <c r="C494" i="6"/>
  <c r="B494" i="6"/>
  <c r="A494" i="6"/>
  <c r="H494" i="6" s="1"/>
  <c r="I494" i="6" s="1"/>
  <c r="G493" i="6"/>
  <c r="F493" i="6"/>
  <c r="E493" i="6"/>
  <c r="D493" i="6"/>
  <c r="C493" i="6"/>
  <c r="B493" i="6"/>
  <c r="A493" i="6"/>
  <c r="H493" i="6" s="1"/>
  <c r="G492" i="6"/>
  <c r="F492" i="6"/>
  <c r="E492" i="6"/>
  <c r="D492" i="6"/>
  <c r="C492" i="6"/>
  <c r="B492" i="6"/>
  <c r="A492" i="6"/>
  <c r="H492" i="6" s="1"/>
  <c r="I492" i="6" s="1"/>
  <c r="G491" i="6"/>
  <c r="F491" i="6"/>
  <c r="E491" i="6"/>
  <c r="D491" i="6"/>
  <c r="C491" i="6"/>
  <c r="B491" i="6"/>
  <c r="A491" i="6"/>
  <c r="H491" i="6" s="1"/>
  <c r="G490" i="6"/>
  <c r="F490" i="6"/>
  <c r="E490" i="6"/>
  <c r="D490" i="6"/>
  <c r="C490" i="6"/>
  <c r="B490" i="6"/>
  <c r="A490" i="6"/>
  <c r="H490" i="6" s="1"/>
  <c r="I490" i="6" s="1"/>
  <c r="G489" i="6"/>
  <c r="F489" i="6"/>
  <c r="E489" i="6"/>
  <c r="D489" i="6"/>
  <c r="C489" i="6"/>
  <c r="B489" i="6"/>
  <c r="A489" i="6"/>
  <c r="H489" i="6" s="1"/>
  <c r="G488" i="6"/>
  <c r="F488" i="6"/>
  <c r="E488" i="6"/>
  <c r="D488" i="6"/>
  <c r="C488" i="6"/>
  <c r="B488" i="6"/>
  <c r="A488" i="6"/>
  <c r="H488" i="6" s="1"/>
  <c r="I488" i="6" s="1"/>
  <c r="G487" i="6"/>
  <c r="F487" i="6"/>
  <c r="E487" i="6"/>
  <c r="D487" i="6"/>
  <c r="C487" i="6"/>
  <c r="B487" i="6"/>
  <c r="A487" i="6"/>
  <c r="H487" i="6" s="1"/>
  <c r="G486" i="6"/>
  <c r="F486" i="6"/>
  <c r="E486" i="6"/>
  <c r="D486" i="6"/>
  <c r="C486" i="6"/>
  <c r="B486" i="6"/>
  <c r="A486" i="6"/>
  <c r="H486" i="6" s="1"/>
  <c r="I486" i="6" s="1"/>
  <c r="G485" i="6"/>
  <c r="F485" i="6"/>
  <c r="E485" i="6"/>
  <c r="D485" i="6"/>
  <c r="C485" i="6"/>
  <c r="B485" i="6"/>
  <c r="A485" i="6"/>
  <c r="H485" i="6" s="1"/>
  <c r="G484" i="6"/>
  <c r="F484" i="6"/>
  <c r="E484" i="6"/>
  <c r="D484" i="6"/>
  <c r="C484" i="6"/>
  <c r="B484" i="6"/>
  <c r="A484" i="6"/>
  <c r="H484" i="6" s="1"/>
  <c r="I484" i="6" s="1"/>
  <c r="G483" i="6"/>
  <c r="F483" i="6"/>
  <c r="E483" i="6"/>
  <c r="D483" i="6"/>
  <c r="C483" i="6"/>
  <c r="B483" i="6"/>
  <c r="A483" i="6"/>
  <c r="H483" i="6" s="1"/>
  <c r="G482" i="6"/>
  <c r="F482" i="6"/>
  <c r="E482" i="6"/>
  <c r="D482" i="6"/>
  <c r="C482" i="6"/>
  <c r="B482" i="6"/>
  <c r="A482" i="6"/>
  <c r="H482" i="6" s="1"/>
  <c r="I482" i="6" s="1"/>
  <c r="G481" i="6"/>
  <c r="F481" i="6"/>
  <c r="E481" i="6"/>
  <c r="D481" i="6"/>
  <c r="C481" i="6"/>
  <c r="B481" i="6"/>
  <c r="A481" i="6"/>
  <c r="H481" i="6" s="1"/>
  <c r="G480" i="6"/>
  <c r="F480" i="6"/>
  <c r="E480" i="6"/>
  <c r="D480" i="6"/>
  <c r="C480" i="6"/>
  <c r="B480" i="6"/>
  <c r="A480" i="6"/>
  <c r="H480" i="6" s="1"/>
  <c r="I480" i="6" s="1"/>
  <c r="G479" i="6"/>
  <c r="F479" i="6"/>
  <c r="E479" i="6"/>
  <c r="D479" i="6"/>
  <c r="C479" i="6"/>
  <c r="B479" i="6"/>
  <c r="A479" i="6"/>
  <c r="H479" i="6" s="1"/>
  <c r="G478" i="6"/>
  <c r="F478" i="6"/>
  <c r="E478" i="6"/>
  <c r="D478" i="6"/>
  <c r="C478" i="6"/>
  <c r="B478" i="6"/>
  <c r="A478" i="6"/>
  <c r="H478" i="6" s="1"/>
  <c r="I478" i="6" s="1"/>
  <c r="G477" i="6"/>
  <c r="F477" i="6"/>
  <c r="E477" i="6"/>
  <c r="D477" i="6"/>
  <c r="C477" i="6"/>
  <c r="B477" i="6"/>
  <c r="A477" i="6"/>
  <c r="H477" i="6" s="1"/>
  <c r="G476" i="6"/>
  <c r="F476" i="6"/>
  <c r="E476" i="6"/>
  <c r="D476" i="6"/>
  <c r="C476" i="6"/>
  <c r="B476" i="6"/>
  <c r="A476" i="6"/>
  <c r="H476" i="6" s="1"/>
  <c r="I476" i="6" s="1"/>
  <c r="G475" i="6"/>
  <c r="F475" i="6"/>
  <c r="E475" i="6"/>
  <c r="D475" i="6"/>
  <c r="C475" i="6"/>
  <c r="B475" i="6"/>
  <c r="A475" i="6"/>
  <c r="H475" i="6" s="1"/>
  <c r="G474" i="6"/>
  <c r="F474" i="6"/>
  <c r="E474" i="6"/>
  <c r="D474" i="6"/>
  <c r="C474" i="6"/>
  <c r="B474" i="6"/>
  <c r="A474" i="6"/>
  <c r="H474" i="6" s="1"/>
  <c r="I474" i="6" s="1"/>
  <c r="G473" i="6"/>
  <c r="F473" i="6"/>
  <c r="E473" i="6"/>
  <c r="D473" i="6"/>
  <c r="C473" i="6"/>
  <c r="B473" i="6"/>
  <c r="A473" i="6"/>
  <c r="H473" i="6" s="1"/>
  <c r="G472" i="6"/>
  <c r="F472" i="6"/>
  <c r="E472" i="6"/>
  <c r="D472" i="6"/>
  <c r="C472" i="6"/>
  <c r="B472" i="6"/>
  <c r="A472" i="6"/>
  <c r="H472" i="6" s="1"/>
  <c r="I472" i="6" s="1"/>
  <c r="G471" i="6"/>
  <c r="F471" i="6"/>
  <c r="E471" i="6"/>
  <c r="D471" i="6"/>
  <c r="C471" i="6"/>
  <c r="B471" i="6"/>
  <c r="A471" i="6"/>
  <c r="H471" i="6" s="1"/>
  <c r="G470" i="6"/>
  <c r="F470" i="6"/>
  <c r="E470" i="6"/>
  <c r="D470" i="6"/>
  <c r="C470" i="6"/>
  <c r="B470" i="6"/>
  <c r="A470" i="6"/>
  <c r="H470" i="6" s="1"/>
  <c r="I470" i="6" s="1"/>
  <c r="G469" i="6"/>
  <c r="F469" i="6"/>
  <c r="E469" i="6"/>
  <c r="D469" i="6"/>
  <c r="C469" i="6"/>
  <c r="B469" i="6"/>
  <c r="A469" i="6"/>
  <c r="H469" i="6" s="1"/>
  <c r="G468" i="6"/>
  <c r="F468" i="6"/>
  <c r="E468" i="6"/>
  <c r="D468" i="6"/>
  <c r="C468" i="6"/>
  <c r="B468" i="6"/>
  <c r="A468" i="6"/>
  <c r="H468" i="6" s="1"/>
  <c r="I468" i="6" s="1"/>
  <c r="G467" i="6"/>
  <c r="F467" i="6"/>
  <c r="E467" i="6"/>
  <c r="D467" i="6"/>
  <c r="C467" i="6"/>
  <c r="B467" i="6"/>
  <c r="A467" i="6"/>
  <c r="H467" i="6" s="1"/>
  <c r="G466" i="6"/>
  <c r="F466" i="6"/>
  <c r="E466" i="6"/>
  <c r="D466" i="6"/>
  <c r="C466" i="6"/>
  <c r="B466" i="6"/>
  <c r="A466" i="6"/>
  <c r="H466" i="6" s="1"/>
  <c r="I466" i="6" s="1"/>
  <c r="G465" i="6"/>
  <c r="F465" i="6"/>
  <c r="E465" i="6"/>
  <c r="D465" i="6"/>
  <c r="C465" i="6"/>
  <c r="B465" i="6"/>
  <c r="A465" i="6"/>
  <c r="H465" i="6" s="1"/>
  <c r="G464" i="6"/>
  <c r="F464" i="6"/>
  <c r="E464" i="6"/>
  <c r="D464" i="6"/>
  <c r="C464" i="6"/>
  <c r="B464" i="6"/>
  <c r="A464" i="6"/>
  <c r="H464" i="6" s="1"/>
  <c r="I464" i="6" s="1"/>
  <c r="G463" i="6"/>
  <c r="F463" i="6"/>
  <c r="E463" i="6"/>
  <c r="D463" i="6"/>
  <c r="C463" i="6"/>
  <c r="B463" i="6"/>
  <c r="A463" i="6"/>
  <c r="H463" i="6" s="1"/>
  <c r="G462" i="6"/>
  <c r="F462" i="6"/>
  <c r="E462" i="6"/>
  <c r="D462" i="6"/>
  <c r="C462" i="6"/>
  <c r="B462" i="6"/>
  <c r="A462" i="6"/>
  <c r="H462" i="6" s="1"/>
  <c r="I462" i="6" s="1"/>
  <c r="G461" i="6"/>
  <c r="F461" i="6"/>
  <c r="E461" i="6"/>
  <c r="D461" i="6"/>
  <c r="C461" i="6"/>
  <c r="B461" i="6"/>
  <c r="A461" i="6"/>
  <c r="H461" i="6" s="1"/>
  <c r="G460" i="6"/>
  <c r="F460" i="6"/>
  <c r="E460" i="6"/>
  <c r="D460" i="6"/>
  <c r="C460" i="6"/>
  <c r="B460" i="6"/>
  <c r="A460" i="6"/>
  <c r="H460" i="6" s="1"/>
  <c r="I460" i="6" s="1"/>
  <c r="G459" i="6"/>
  <c r="F459" i="6"/>
  <c r="E459" i="6"/>
  <c r="D459" i="6"/>
  <c r="C459" i="6"/>
  <c r="B459" i="6"/>
  <c r="A459" i="6"/>
  <c r="H459" i="6" s="1"/>
  <c r="G458" i="6"/>
  <c r="F458" i="6"/>
  <c r="E458" i="6"/>
  <c r="D458" i="6"/>
  <c r="C458" i="6"/>
  <c r="B458" i="6"/>
  <c r="A458" i="6"/>
  <c r="H458" i="6" s="1"/>
  <c r="I458" i="6" s="1"/>
  <c r="G457" i="6"/>
  <c r="F457" i="6"/>
  <c r="E457" i="6"/>
  <c r="D457" i="6"/>
  <c r="C457" i="6"/>
  <c r="B457" i="6"/>
  <c r="A457" i="6"/>
  <c r="H457" i="6" s="1"/>
  <c r="G456" i="6"/>
  <c r="F456" i="6"/>
  <c r="E456" i="6"/>
  <c r="D456" i="6"/>
  <c r="C456" i="6"/>
  <c r="B456" i="6"/>
  <c r="A456" i="6"/>
  <c r="H456" i="6" s="1"/>
  <c r="I456" i="6" s="1"/>
  <c r="G455" i="6"/>
  <c r="F455" i="6"/>
  <c r="E455" i="6"/>
  <c r="D455" i="6"/>
  <c r="C455" i="6"/>
  <c r="B455" i="6"/>
  <c r="A455" i="6"/>
  <c r="H455" i="6" s="1"/>
  <c r="G454" i="6"/>
  <c r="F454" i="6"/>
  <c r="E454" i="6"/>
  <c r="D454" i="6"/>
  <c r="C454" i="6"/>
  <c r="B454" i="6"/>
  <c r="A454" i="6"/>
  <c r="H454" i="6" s="1"/>
  <c r="I454" i="6" s="1"/>
  <c r="G453" i="6"/>
  <c r="F453" i="6"/>
  <c r="E453" i="6"/>
  <c r="D453" i="6"/>
  <c r="C453" i="6"/>
  <c r="B453" i="6"/>
  <c r="A453" i="6"/>
  <c r="H453" i="6" s="1"/>
  <c r="G452" i="6"/>
  <c r="F452" i="6"/>
  <c r="E452" i="6"/>
  <c r="D452" i="6"/>
  <c r="C452" i="6"/>
  <c r="B452" i="6"/>
  <c r="A452" i="6"/>
  <c r="H452" i="6" s="1"/>
  <c r="I452" i="6" s="1"/>
  <c r="G451" i="6"/>
  <c r="F451" i="6"/>
  <c r="E451" i="6"/>
  <c r="D451" i="6"/>
  <c r="C451" i="6"/>
  <c r="B451" i="6"/>
  <c r="A451" i="6"/>
  <c r="H451" i="6" s="1"/>
  <c r="G450" i="6"/>
  <c r="F450" i="6"/>
  <c r="E450" i="6"/>
  <c r="D450" i="6"/>
  <c r="C450" i="6"/>
  <c r="B450" i="6"/>
  <c r="A450" i="6"/>
  <c r="H450" i="6" s="1"/>
  <c r="I450" i="6" s="1"/>
  <c r="G449" i="6"/>
  <c r="F449" i="6"/>
  <c r="E449" i="6"/>
  <c r="D449" i="6"/>
  <c r="C449" i="6"/>
  <c r="B449" i="6"/>
  <c r="A449" i="6"/>
  <c r="H449" i="6" s="1"/>
  <c r="G448" i="6"/>
  <c r="F448" i="6"/>
  <c r="E448" i="6"/>
  <c r="D448" i="6"/>
  <c r="C448" i="6"/>
  <c r="B448" i="6"/>
  <c r="A448" i="6"/>
  <c r="H448" i="6" s="1"/>
  <c r="I448" i="6" s="1"/>
  <c r="G447" i="6"/>
  <c r="F447" i="6"/>
  <c r="E447" i="6"/>
  <c r="D447" i="6"/>
  <c r="C447" i="6"/>
  <c r="B447" i="6"/>
  <c r="A447" i="6"/>
  <c r="H447" i="6" s="1"/>
  <c r="G446" i="6"/>
  <c r="F446" i="6"/>
  <c r="E446" i="6"/>
  <c r="D446" i="6"/>
  <c r="C446" i="6"/>
  <c r="B446" i="6"/>
  <c r="A446" i="6"/>
  <c r="H446" i="6" s="1"/>
  <c r="I446" i="6" s="1"/>
  <c r="G445" i="6"/>
  <c r="F445" i="6"/>
  <c r="E445" i="6"/>
  <c r="D445" i="6"/>
  <c r="C445" i="6"/>
  <c r="B445" i="6"/>
  <c r="A445" i="6"/>
  <c r="H445" i="6" s="1"/>
  <c r="G444" i="6"/>
  <c r="F444" i="6"/>
  <c r="E444" i="6"/>
  <c r="D444" i="6"/>
  <c r="C444" i="6"/>
  <c r="B444" i="6"/>
  <c r="A444" i="6"/>
  <c r="H444" i="6" s="1"/>
  <c r="I444" i="6" s="1"/>
  <c r="G443" i="6"/>
  <c r="F443" i="6"/>
  <c r="E443" i="6"/>
  <c r="D443" i="6"/>
  <c r="C443" i="6"/>
  <c r="B443" i="6"/>
  <c r="A443" i="6"/>
  <c r="H443" i="6" s="1"/>
  <c r="G442" i="6"/>
  <c r="F442" i="6"/>
  <c r="E442" i="6"/>
  <c r="D442" i="6"/>
  <c r="C442" i="6"/>
  <c r="B442" i="6"/>
  <c r="A442" i="6"/>
  <c r="H442" i="6" s="1"/>
  <c r="I442" i="6" s="1"/>
  <c r="G441" i="6"/>
  <c r="F441" i="6"/>
  <c r="E441" i="6"/>
  <c r="D441" i="6"/>
  <c r="C441" i="6"/>
  <c r="B441" i="6"/>
  <c r="A441" i="6"/>
  <c r="H441" i="6" s="1"/>
  <c r="G440" i="6"/>
  <c r="F440" i="6"/>
  <c r="E440" i="6"/>
  <c r="D440" i="6"/>
  <c r="C440" i="6"/>
  <c r="B440" i="6"/>
  <c r="A440" i="6"/>
  <c r="H440" i="6" s="1"/>
  <c r="I440" i="6" s="1"/>
  <c r="G439" i="6"/>
  <c r="F439" i="6"/>
  <c r="E439" i="6"/>
  <c r="D439" i="6"/>
  <c r="C439" i="6"/>
  <c r="B439" i="6"/>
  <c r="A439" i="6"/>
  <c r="H439" i="6" s="1"/>
  <c r="G438" i="6"/>
  <c r="F438" i="6"/>
  <c r="E438" i="6"/>
  <c r="D438" i="6"/>
  <c r="C438" i="6"/>
  <c r="B438" i="6"/>
  <c r="A438" i="6"/>
  <c r="H438" i="6" s="1"/>
  <c r="I438" i="6" s="1"/>
  <c r="G437" i="6"/>
  <c r="F437" i="6"/>
  <c r="E437" i="6"/>
  <c r="D437" i="6"/>
  <c r="C437" i="6"/>
  <c r="B437" i="6"/>
  <c r="A437" i="6"/>
  <c r="H437" i="6" s="1"/>
  <c r="G436" i="6"/>
  <c r="F436" i="6"/>
  <c r="E436" i="6"/>
  <c r="D436" i="6"/>
  <c r="C436" i="6"/>
  <c r="B436" i="6"/>
  <c r="A436" i="6"/>
  <c r="H436" i="6" s="1"/>
  <c r="I436" i="6" s="1"/>
  <c r="G435" i="6"/>
  <c r="F435" i="6"/>
  <c r="E435" i="6"/>
  <c r="D435" i="6"/>
  <c r="C435" i="6"/>
  <c r="B435" i="6"/>
  <c r="A435" i="6"/>
  <c r="H435" i="6" s="1"/>
  <c r="G434" i="6"/>
  <c r="F434" i="6"/>
  <c r="E434" i="6"/>
  <c r="D434" i="6"/>
  <c r="C434" i="6"/>
  <c r="B434" i="6"/>
  <c r="A434" i="6"/>
  <c r="H434" i="6" s="1"/>
  <c r="I434" i="6" s="1"/>
  <c r="G433" i="6"/>
  <c r="F433" i="6"/>
  <c r="E433" i="6"/>
  <c r="D433" i="6"/>
  <c r="C433" i="6"/>
  <c r="B433" i="6"/>
  <c r="A433" i="6"/>
  <c r="H433" i="6" s="1"/>
  <c r="G432" i="6"/>
  <c r="F432" i="6"/>
  <c r="E432" i="6"/>
  <c r="D432" i="6"/>
  <c r="C432" i="6"/>
  <c r="B432" i="6"/>
  <c r="A432" i="6"/>
  <c r="H432" i="6" s="1"/>
  <c r="I432" i="6" s="1"/>
  <c r="G431" i="6"/>
  <c r="F431" i="6"/>
  <c r="E431" i="6"/>
  <c r="D431" i="6"/>
  <c r="C431" i="6"/>
  <c r="B431" i="6"/>
  <c r="A431" i="6"/>
  <c r="H431" i="6" s="1"/>
  <c r="G430" i="6"/>
  <c r="F430" i="6"/>
  <c r="E430" i="6"/>
  <c r="D430" i="6"/>
  <c r="C430" i="6"/>
  <c r="B430" i="6"/>
  <c r="A430" i="6"/>
  <c r="H430" i="6" s="1"/>
  <c r="I430" i="6" s="1"/>
  <c r="G429" i="6"/>
  <c r="F429" i="6"/>
  <c r="E429" i="6"/>
  <c r="D429" i="6"/>
  <c r="C429" i="6"/>
  <c r="B429" i="6"/>
  <c r="A429" i="6"/>
  <c r="H429" i="6" s="1"/>
  <c r="G428" i="6"/>
  <c r="F428" i="6"/>
  <c r="E428" i="6"/>
  <c r="D428" i="6"/>
  <c r="C428" i="6"/>
  <c r="B428" i="6"/>
  <c r="A428" i="6"/>
  <c r="H428" i="6" s="1"/>
  <c r="I428" i="6" s="1"/>
  <c r="G427" i="6"/>
  <c r="F427" i="6"/>
  <c r="E427" i="6"/>
  <c r="D427" i="6"/>
  <c r="C427" i="6"/>
  <c r="B427" i="6"/>
  <c r="A427" i="6"/>
  <c r="H427" i="6" s="1"/>
  <c r="G426" i="6"/>
  <c r="F426" i="6"/>
  <c r="E426" i="6"/>
  <c r="D426" i="6"/>
  <c r="C426" i="6"/>
  <c r="B426" i="6"/>
  <c r="A426" i="6"/>
  <c r="H426" i="6" s="1"/>
  <c r="I426" i="6" s="1"/>
  <c r="G425" i="6"/>
  <c r="F425" i="6"/>
  <c r="E425" i="6"/>
  <c r="D425" i="6"/>
  <c r="C425" i="6"/>
  <c r="B425" i="6"/>
  <c r="A425" i="6"/>
  <c r="H425" i="6" s="1"/>
  <c r="G424" i="6"/>
  <c r="F424" i="6"/>
  <c r="E424" i="6"/>
  <c r="D424" i="6"/>
  <c r="C424" i="6"/>
  <c r="B424" i="6"/>
  <c r="A424" i="6"/>
  <c r="H424" i="6" s="1"/>
  <c r="I424" i="6" s="1"/>
  <c r="G423" i="6"/>
  <c r="F423" i="6"/>
  <c r="E423" i="6"/>
  <c r="D423" i="6"/>
  <c r="C423" i="6"/>
  <c r="B423" i="6"/>
  <c r="A423" i="6"/>
  <c r="H423" i="6" s="1"/>
  <c r="G422" i="6"/>
  <c r="F422" i="6"/>
  <c r="E422" i="6"/>
  <c r="D422" i="6"/>
  <c r="C422" i="6"/>
  <c r="B422" i="6"/>
  <c r="A422" i="6"/>
  <c r="H422" i="6" s="1"/>
  <c r="G421" i="6"/>
  <c r="F421" i="6"/>
  <c r="E421" i="6"/>
  <c r="D421" i="6"/>
  <c r="C421" i="6"/>
  <c r="B421" i="6"/>
  <c r="A421" i="6"/>
  <c r="H421" i="6" s="1"/>
  <c r="G420" i="6"/>
  <c r="F420" i="6"/>
  <c r="E420" i="6"/>
  <c r="D420" i="6"/>
  <c r="C420" i="6"/>
  <c r="B420" i="6"/>
  <c r="A420" i="6"/>
  <c r="H420" i="6" s="1"/>
  <c r="G419" i="6"/>
  <c r="F419" i="6"/>
  <c r="E419" i="6"/>
  <c r="D419" i="6"/>
  <c r="C419" i="6"/>
  <c r="B419" i="6"/>
  <c r="A419" i="6"/>
  <c r="H419" i="6" s="1"/>
  <c r="G418" i="6"/>
  <c r="F418" i="6"/>
  <c r="E418" i="6"/>
  <c r="D418" i="6"/>
  <c r="C418" i="6"/>
  <c r="B418" i="6"/>
  <c r="A418" i="6"/>
  <c r="H418" i="6" s="1"/>
  <c r="G417" i="6"/>
  <c r="F417" i="6"/>
  <c r="E417" i="6"/>
  <c r="D417" i="6"/>
  <c r="C417" i="6"/>
  <c r="B417" i="6"/>
  <c r="A417" i="6"/>
  <c r="H417" i="6" s="1"/>
  <c r="G416" i="6"/>
  <c r="F416" i="6"/>
  <c r="E416" i="6"/>
  <c r="D416" i="6"/>
  <c r="C416" i="6"/>
  <c r="B416" i="6"/>
  <c r="A416" i="6"/>
  <c r="H416" i="6" s="1"/>
  <c r="G415" i="6"/>
  <c r="F415" i="6"/>
  <c r="E415" i="6"/>
  <c r="D415" i="6"/>
  <c r="C415" i="6"/>
  <c r="B415" i="6"/>
  <c r="A415" i="6"/>
  <c r="H415" i="6" s="1"/>
  <c r="G414" i="6"/>
  <c r="F414" i="6"/>
  <c r="E414" i="6"/>
  <c r="D414" i="6"/>
  <c r="C414" i="6"/>
  <c r="B414" i="6"/>
  <c r="A414" i="6"/>
  <c r="H414" i="6" s="1"/>
  <c r="G413" i="6"/>
  <c r="F413" i="6"/>
  <c r="E413" i="6"/>
  <c r="D413" i="6"/>
  <c r="C413" i="6"/>
  <c r="B413" i="6"/>
  <c r="A413" i="6"/>
  <c r="H413" i="6" s="1"/>
  <c r="G412" i="6"/>
  <c r="F412" i="6"/>
  <c r="E412" i="6"/>
  <c r="D412" i="6"/>
  <c r="C412" i="6"/>
  <c r="B412" i="6"/>
  <c r="A412" i="6"/>
  <c r="H412" i="6" s="1"/>
  <c r="G411" i="6"/>
  <c r="F411" i="6"/>
  <c r="E411" i="6"/>
  <c r="D411" i="6"/>
  <c r="C411" i="6"/>
  <c r="B411" i="6"/>
  <c r="A411" i="6"/>
  <c r="H411" i="6" s="1"/>
  <c r="G410" i="6"/>
  <c r="F410" i="6"/>
  <c r="E410" i="6"/>
  <c r="D410" i="6"/>
  <c r="C410" i="6"/>
  <c r="B410" i="6"/>
  <c r="A410" i="6"/>
  <c r="H410" i="6" s="1"/>
  <c r="G409" i="6"/>
  <c r="F409" i="6"/>
  <c r="E409" i="6"/>
  <c r="D409" i="6"/>
  <c r="C409" i="6"/>
  <c r="B409" i="6"/>
  <c r="A409" i="6"/>
  <c r="H409" i="6" s="1"/>
  <c r="G408" i="6"/>
  <c r="F408" i="6"/>
  <c r="E408" i="6"/>
  <c r="D408" i="6"/>
  <c r="C408" i="6"/>
  <c r="B408" i="6"/>
  <c r="A408" i="6"/>
  <c r="H408" i="6" s="1"/>
  <c r="G407" i="6"/>
  <c r="F407" i="6"/>
  <c r="E407" i="6"/>
  <c r="D407" i="6"/>
  <c r="C407" i="6"/>
  <c r="B407" i="6"/>
  <c r="A407" i="6"/>
  <c r="H407" i="6" s="1"/>
  <c r="G406" i="6"/>
  <c r="F406" i="6"/>
  <c r="E406" i="6"/>
  <c r="D406" i="6"/>
  <c r="C406" i="6"/>
  <c r="B406" i="6"/>
  <c r="A406" i="6"/>
  <c r="H406" i="6" s="1"/>
  <c r="G405" i="6"/>
  <c r="F405" i="6"/>
  <c r="E405" i="6"/>
  <c r="D405" i="6"/>
  <c r="C405" i="6"/>
  <c r="B405" i="6"/>
  <c r="A405" i="6"/>
  <c r="H405" i="6" s="1"/>
  <c r="G404" i="6"/>
  <c r="F404" i="6"/>
  <c r="E404" i="6"/>
  <c r="D404" i="6"/>
  <c r="C404" i="6"/>
  <c r="B404" i="6"/>
  <c r="A404" i="6"/>
  <c r="H404" i="6" s="1"/>
  <c r="G403" i="6"/>
  <c r="F403" i="6"/>
  <c r="E403" i="6"/>
  <c r="D403" i="6"/>
  <c r="C403" i="6"/>
  <c r="B403" i="6"/>
  <c r="A403" i="6"/>
  <c r="H403" i="6" s="1"/>
  <c r="G402" i="6"/>
  <c r="F402" i="6"/>
  <c r="E402" i="6"/>
  <c r="D402" i="6"/>
  <c r="C402" i="6"/>
  <c r="B402" i="6"/>
  <c r="A402" i="6"/>
  <c r="H402" i="6" s="1"/>
  <c r="G401" i="6"/>
  <c r="F401" i="6"/>
  <c r="E401" i="6"/>
  <c r="D401" i="6"/>
  <c r="C401" i="6"/>
  <c r="B401" i="6"/>
  <c r="A401" i="6"/>
  <c r="H401" i="6" s="1"/>
  <c r="G400" i="6"/>
  <c r="F400" i="6"/>
  <c r="E400" i="6"/>
  <c r="D400" i="6"/>
  <c r="C400" i="6"/>
  <c r="B400" i="6"/>
  <c r="A400" i="6"/>
  <c r="H400" i="6" s="1"/>
  <c r="G399" i="6"/>
  <c r="F399" i="6"/>
  <c r="E399" i="6"/>
  <c r="D399" i="6"/>
  <c r="C399" i="6"/>
  <c r="B399" i="6"/>
  <c r="A399" i="6"/>
  <c r="H399" i="6" s="1"/>
  <c r="G398" i="6"/>
  <c r="F398" i="6"/>
  <c r="E398" i="6"/>
  <c r="D398" i="6"/>
  <c r="C398" i="6"/>
  <c r="B398" i="6"/>
  <c r="A398" i="6"/>
  <c r="H398" i="6" s="1"/>
  <c r="G397" i="6"/>
  <c r="F397" i="6"/>
  <c r="E397" i="6"/>
  <c r="D397" i="6"/>
  <c r="C397" i="6"/>
  <c r="B397" i="6"/>
  <c r="A397" i="6"/>
  <c r="H397" i="6" s="1"/>
  <c r="G396" i="6"/>
  <c r="F396" i="6"/>
  <c r="E396" i="6"/>
  <c r="D396" i="6"/>
  <c r="C396" i="6"/>
  <c r="B396" i="6"/>
  <c r="A396" i="6"/>
  <c r="H396" i="6" s="1"/>
  <c r="G395" i="6"/>
  <c r="F395" i="6"/>
  <c r="E395" i="6"/>
  <c r="D395" i="6"/>
  <c r="C395" i="6"/>
  <c r="B395" i="6"/>
  <c r="A395" i="6"/>
  <c r="H395" i="6" s="1"/>
  <c r="G394" i="6"/>
  <c r="F394" i="6"/>
  <c r="E394" i="6"/>
  <c r="D394" i="6"/>
  <c r="C394" i="6"/>
  <c r="B394" i="6"/>
  <c r="A394" i="6"/>
  <c r="H394" i="6" s="1"/>
  <c r="G393" i="6"/>
  <c r="F393" i="6"/>
  <c r="E393" i="6"/>
  <c r="D393" i="6"/>
  <c r="C393" i="6"/>
  <c r="B393" i="6"/>
  <c r="A393" i="6"/>
  <c r="H393" i="6" s="1"/>
  <c r="G392" i="6"/>
  <c r="F392" i="6"/>
  <c r="E392" i="6"/>
  <c r="D392" i="6"/>
  <c r="C392" i="6"/>
  <c r="B392" i="6"/>
  <c r="A392" i="6"/>
  <c r="H392" i="6" s="1"/>
  <c r="G391" i="6"/>
  <c r="F391" i="6"/>
  <c r="E391" i="6"/>
  <c r="D391" i="6"/>
  <c r="C391" i="6"/>
  <c r="B391" i="6"/>
  <c r="A391" i="6"/>
  <c r="H391" i="6" s="1"/>
  <c r="G390" i="6"/>
  <c r="F390" i="6"/>
  <c r="E390" i="6"/>
  <c r="D390" i="6"/>
  <c r="C390" i="6"/>
  <c r="B390" i="6"/>
  <c r="A390" i="6"/>
  <c r="H390" i="6" s="1"/>
  <c r="G389" i="6"/>
  <c r="F389" i="6"/>
  <c r="E389" i="6"/>
  <c r="D389" i="6"/>
  <c r="C389" i="6"/>
  <c r="B389" i="6"/>
  <c r="A389" i="6"/>
  <c r="H389" i="6" s="1"/>
  <c r="G388" i="6"/>
  <c r="F388" i="6"/>
  <c r="E388" i="6"/>
  <c r="D388" i="6"/>
  <c r="C388" i="6"/>
  <c r="B388" i="6"/>
  <c r="A388" i="6"/>
  <c r="H388" i="6" s="1"/>
  <c r="G387" i="6"/>
  <c r="F387" i="6"/>
  <c r="E387" i="6"/>
  <c r="D387" i="6"/>
  <c r="C387" i="6"/>
  <c r="B387" i="6"/>
  <c r="A387" i="6"/>
  <c r="H387" i="6" s="1"/>
  <c r="G386" i="6"/>
  <c r="F386" i="6"/>
  <c r="E386" i="6"/>
  <c r="D386" i="6"/>
  <c r="C386" i="6"/>
  <c r="B386" i="6"/>
  <c r="A386" i="6"/>
  <c r="H386" i="6" s="1"/>
  <c r="G385" i="6"/>
  <c r="F385" i="6"/>
  <c r="E385" i="6"/>
  <c r="D385" i="6"/>
  <c r="C385" i="6"/>
  <c r="B385" i="6"/>
  <c r="A385" i="6"/>
  <c r="H385" i="6" s="1"/>
  <c r="G384" i="6"/>
  <c r="F384" i="6"/>
  <c r="E384" i="6"/>
  <c r="D384" i="6"/>
  <c r="C384" i="6"/>
  <c r="B384" i="6"/>
  <c r="A384" i="6"/>
  <c r="H384" i="6" s="1"/>
  <c r="G383" i="6"/>
  <c r="F383" i="6"/>
  <c r="E383" i="6"/>
  <c r="D383" i="6"/>
  <c r="C383" i="6"/>
  <c r="B383" i="6"/>
  <c r="A383" i="6"/>
  <c r="H383" i="6" s="1"/>
  <c r="G382" i="6"/>
  <c r="F382" i="6"/>
  <c r="E382" i="6"/>
  <c r="D382" i="6"/>
  <c r="C382" i="6"/>
  <c r="B382" i="6"/>
  <c r="A382" i="6"/>
  <c r="H382" i="6" s="1"/>
  <c r="G381" i="6"/>
  <c r="F381" i="6"/>
  <c r="E381" i="6"/>
  <c r="D381" i="6"/>
  <c r="C381" i="6"/>
  <c r="B381" i="6"/>
  <c r="A381" i="6"/>
  <c r="H381" i="6" s="1"/>
  <c r="G380" i="6"/>
  <c r="F380" i="6"/>
  <c r="E380" i="6"/>
  <c r="D380" i="6"/>
  <c r="C380" i="6"/>
  <c r="B380" i="6"/>
  <c r="A380" i="6"/>
  <c r="H380" i="6" s="1"/>
  <c r="G379" i="6"/>
  <c r="F379" i="6"/>
  <c r="E379" i="6"/>
  <c r="D379" i="6"/>
  <c r="C379" i="6"/>
  <c r="B379" i="6"/>
  <c r="A379" i="6"/>
  <c r="H379" i="6" s="1"/>
  <c r="G378" i="6"/>
  <c r="F378" i="6"/>
  <c r="E378" i="6"/>
  <c r="D378" i="6"/>
  <c r="C378" i="6"/>
  <c r="B378" i="6"/>
  <c r="A378" i="6"/>
  <c r="H378" i="6" s="1"/>
  <c r="G377" i="6"/>
  <c r="F377" i="6"/>
  <c r="E377" i="6"/>
  <c r="D377" i="6"/>
  <c r="C377" i="6"/>
  <c r="B377" i="6"/>
  <c r="A377" i="6"/>
  <c r="H377" i="6" s="1"/>
  <c r="G376" i="6"/>
  <c r="F376" i="6"/>
  <c r="E376" i="6"/>
  <c r="D376" i="6"/>
  <c r="C376" i="6"/>
  <c r="B376" i="6"/>
  <c r="A376" i="6"/>
  <c r="H376" i="6" s="1"/>
  <c r="G375" i="6"/>
  <c r="F375" i="6"/>
  <c r="E375" i="6"/>
  <c r="D375" i="6"/>
  <c r="C375" i="6"/>
  <c r="B375" i="6"/>
  <c r="A375" i="6"/>
  <c r="H375" i="6" s="1"/>
  <c r="G374" i="6"/>
  <c r="F374" i="6"/>
  <c r="E374" i="6"/>
  <c r="D374" i="6"/>
  <c r="C374" i="6"/>
  <c r="B374" i="6"/>
  <c r="A374" i="6"/>
  <c r="H374" i="6" s="1"/>
  <c r="G373" i="6"/>
  <c r="F373" i="6"/>
  <c r="E373" i="6"/>
  <c r="D373" i="6"/>
  <c r="C373" i="6"/>
  <c r="B373" i="6"/>
  <c r="A373" i="6"/>
  <c r="H373" i="6" s="1"/>
  <c r="G372" i="6"/>
  <c r="F372" i="6"/>
  <c r="E372" i="6"/>
  <c r="D372" i="6"/>
  <c r="C372" i="6"/>
  <c r="B372" i="6"/>
  <c r="A372" i="6"/>
  <c r="H372" i="6" s="1"/>
  <c r="G371" i="6"/>
  <c r="F371" i="6"/>
  <c r="E371" i="6"/>
  <c r="D371" i="6"/>
  <c r="C371" i="6"/>
  <c r="B371" i="6"/>
  <c r="A371" i="6"/>
  <c r="H371" i="6" s="1"/>
  <c r="G370" i="6"/>
  <c r="F370" i="6"/>
  <c r="E370" i="6"/>
  <c r="D370" i="6"/>
  <c r="C370" i="6"/>
  <c r="B370" i="6"/>
  <c r="A370" i="6"/>
  <c r="H370" i="6" s="1"/>
  <c r="G369" i="6"/>
  <c r="F369" i="6"/>
  <c r="E369" i="6"/>
  <c r="D369" i="6"/>
  <c r="C369" i="6"/>
  <c r="B369" i="6"/>
  <c r="A369" i="6"/>
  <c r="H369" i="6" s="1"/>
  <c r="G368" i="6"/>
  <c r="F368" i="6"/>
  <c r="E368" i="6"/>
  <c r="D368" i="6"/>
  <c r="C368" i="6"/>
  <c r="B368" i="6"/>
  <c r="A368" i="6"/>
  <c r="H368" i="6" s="1"/>
  <c r="G367" i="6"/>
  <c r="F367" i="6"/>
  <c r="E367" i="6"/>
  <c r="D367" i="6"/>
  <c r="C367" i="6"/>
  <c r="B367" i="6"/>
  <c r="A367" i="6"/>
  <c r="H367" i="6" s="1"/>
  <c r="G366" i="6"/>
  <c r="F366" i="6"/>
  <c r="E366" i="6"/>
  <c r="D366" i="6"/>
  <c r="C366" i="6"/>
  <c r="B366" i="6"/>
  <c r="A366" i="6"/>
  <c r="H366" i="6" s="1"/>
  <c r="G365" i="6"/>
  <c r="F365" i="6"/>
  <c r="E365" i="6"/>
  <c r="D365" i="6"/>
  <c r="C365" i="6"/>
  <c r="B365" i="6"/>
  <c r="A365" i="6"/>
  <c r="H365" i="6" s="1"/>
  <c r="G364" i="6"/>
  <c r="F364" i="6"/>
  <c r="E364" i="6"/>
  <c r="D364" i="6"/>
  <c r="C364" i="6"/>
  <c r="B364" i="6"/>
  <c r="A364" i="6"/>
  <c r="H364" i="6" s="1"/>
  <c r="G363" i="6"/>
  <c r="F363" i="6"/>
  <c r="E363" i="6"/>
  <c r="D363" i="6"/>
  <c r="C363" i="6"/>
  <c r="B363" i="6"/>
  <c r="A363" i="6"/>
  <c r="H363" i="6" s="1"/>
  <c r="G362" i="6"/>
  <c r="F362" i="6"/>
  <c r="E362" i="6"/>
  <c r="D362" i="6"/>
  <c r="C362" i="6"/>
  <c r="B362" i="6"/>
  <c r="A362" i="6"/>
  <c r="H362" i="6" s="1"/>
  <c r="G361" i="6"/>
  <c r="F361" i="6"/>
  <c r="E361" i="6"/>
  <c r="D361" i="6"/>
  <c r="C361" i="6"/>
  <c r="B361" i="6"/>
  <c r="A361" i="6"/>
  <c r="H361" i="6" s="1"/>
  <c r="G360" i="6"/>
  <c r="F360" i="6"/>
  <c r="E360" i="6"/>
  <c r="D360" i="6"/>
  <c r="C360" i="6"/>
  <c r="B360" i="6"/>
  <c r="A360" i="6"/>
  <c r="H360" i="6" s="1"/>
  <c r="G359" i="6"/>
  <c r="F359" i="6"/>
  <c r="E359" i="6"/>
  <c r="D359" i="6"/>
  <c r="C359" i="6"/>
  <c r="B359" i="6"/>
  <c r="A359" i="6"/>
  <c r="H359" i="6" s="1"/>
  <c r="G358" i="6"/>
  <c r="F358" i="6"/>
  <c r="E358" i="6"/>
  <c r="D358" i="6"/>
  <c r="C358" i="6"/>
  <c r="B358" i="6"/>
  <c r="A358" i="6"/>
  <c r="H358" i="6" s="1"/>
  <c r="G357" i="6"/>
  <c r="F357" i="6"/>
  <c r="E357" i="6"/>
  <c r="D357" i="6"/>
  <c r="C357" i="6"/>
  <c r="B357" i="6"/>
  <c r="A357" i="6"/>
  <c r="H357" i="6" s="1"/>
  <c r="G356" i="6"/>
  <c r="F356" i="6"/>
  <c r="E356" i="6"/>
  <c r="D356" i="6"/>
  <c r="C356" i="6"/>
  <c r="B356" i="6"/>
  <c r="A356" i="6"/>
  <c r="H356" i="6" s="1"/>
  <c r="G355" i="6"/>
  <c r="F355" i="6"/>
  <c r="E355" i="6"/>
  <c r="D355" i="6"/>
  <c r="C355" i="6"/>
  <c r="B355" i="6"/>
  <c r="A355" i="6"/>
  <c r="H355" i="6" s="1"/>
  <c r="G354" i="6"/>
  <c r="F354" i="6"/>
  <c r="E354" i="6"/>
  <c r="D354" i="6"/>
  <c r="C354" i="6"/>
  <c r="B354" i="6"/>
  <c r="A354" i="6"/>
  <c r="H354" i="6" s="1"/>
  <c r="G353" i="6"/>
  <c r="F353" i="6"/>
  <c r="E353" i="6"/>
  <c r="D353" i="6"/>
  <c r="C353" i="6"/>
  <c r="B353" i="6"/>
  <c r="A353" i="6"/>
  <c r="H353" i="6" s="1"/>
  <c r="G352" i="6"/>
  <c r="F352" i="6"/>
  <c r="E352" i="6"/>
  <c r="D352" i="6"/>
  <c r="C352" i="6"/>
  <c r="B352" i="6"/>
  <c r="A352" i="6"/>
  <c r="H352" i="6" s="1"/>
  <c r="G351" i="6"/>
  <c r="F351" i="6"/>
  <c r="E351" i="6"/>
  <c r="D351" i="6"/>
  <c r="C351" i="6"/>
  <c r="B351" i="6"/>
  <c r="A351" i="6"/>
  <c r="H351" i="6" s="1"/>
  <c r="G350" i="6"/>
  <c r="F350" i="6"/>
  <c r="E350" i="6"/>
  <c r="D350" i="6"/>
  <c r="C350" i="6"/>
  <c r="B350" i="6"/>
  <c r="A350" i="6"/>
  <c r="H350" i="6" s="1"/>
  <c r="G349" i="6"/>
  <c r="F349" i="6"/>
  <c r="E349" i="6"/>
  <c r="D349" i="6"/>
  <c r="C349" i="6"/>
  <c r="B349" i="6"/>
  <c r="A349" i="6"/>
  <c r="H349" i="6" s="1"/>
  <c r="G348" i="6"/>
  <c r="F348" i="6"/>
  <c r="E348" i="6"/>
  <c r="D348" i="6"/>
  <c r="C348" i="6"/>
  <c r="B348" i="6"/>
  <c r="A348" i="6"/>
  <c r="H348" i="6" s="1"/>
  <c r="G347" i="6"/>
  <c r="F347" i="6"/>
  <c r="E347" i="6"/>
  <c r="D347" i="6"/>
  <c r="C347" i="6"/>
  <c r="B347" i="6"/>
  <c r="A347" i="6"/>
  <c r="H347" i="6" s="1"/>
  <c r="G346" i="6"/>
  <c r="F346" i="6"/>
  <c r="E346" i="6"/>
  <c r="D346" i="6"/>
  <c r="C346" i="6"/>
  <c r="B346" i="6"/>
  <c r="A346" i="6"/>
  <c r="H346" i="6" s="1"/>
  <c r="G345" i="6"/>
  <c r="F345" i="6"/>
  <c r="E345" i="6"/>
  <c r="D345" i="6"/>
  <c r="C345" i="6"/>
  <c r="B345" i="6"/>
  <c r="A345" i="6"/>
  <c r="H345" i="6" s="1"/>
  <c r="G344" i="6"/>
  <c r="F344" i="6"/>
  <c r="E344" i="6"/>
  <c r="D344" i="6"/>
  <c r="C344" i="6"/>
  <c r="B344" i="6"/>
  <c r="A344" i="6"/>
  <c r="H344" i="6" s="1"/>
  <c r="G343" i="6"/>
  <c r="F343" i="6"/>
  <c r="E343" i="6"/>
  <c r="D343" i="6"/>
  <c r="C343" i="6"/>
  <c r="B343" i="6"/>
  <c r="A343" i="6"/>
  <c r="H343" i="6" s="1"/>
  <c r="G342" i="6"/>
  <c r="F342" i="6"/>
  <c r="E342" i="6"/>
  <c r="D342" i="6"/>
  <c r="C342" i="6"/>
  <c r="B342" i="6"/>
  <c r="A342" i="6"/>
  <c r="H342" i="6" s="1"/>
  <c r="G341" i="6"/>
  <c r="F341" i="6"/>
  <c r="E341" i="6"/>
  <c r="D341" i="6"/>
  <c r="C341" i="6"/>
  <c r="B341" i="6"/>
  <c r="A341" i="6"/>
  <c r="H341" i="6" s="1"/>
  <c r="G340" i="6"/>
  <c r="F340" i="6"/>
  <c r="E340" i="6"/>
  <c r="D340" i="6"/>
  <c r="C340" i="6"/>
  <c r="B340" i="6"/>
  <c r="A340" i="6"/>
  <c r="H340" i="6" s="1"/>
  <c r="G339" i="6"/>
  <c r="F339" i="6"/>
  <c r="E339" i="6"/>
  <c r="D339" i="6"/>
  <c r="C339" i="6"/>
  <c r="B339" i="6"/>
  <c r="A339" i="6"/>
  <c r="H339" i="6" s="1"/>
  <c r="G338" i="6"/>
  <c r="F338" i="6"/>
  <c r="E338" i="6"/>
  <c r="D338" i="6"/>
  <c r="C338" i="6"/>
  <c r="B338" i="6"/>
  <c r="A338" i="6"/>
  <c r="H338" i="6" s="1"/>
  <c r="G337" i="6"/>
  <c r="F337" i="6"/>
  <c r="E337" i="6"/>
  <c r="D337" i="6"/>
  <c r="C337" i="6"/>
  <c r="B337" i="6"/>
  <c r="A337" i="6"/>
  <c r="H337" i="6" s="1"/>
  <c r="G336" i="6"/>
  <c r="F336" i="6"/>
  <c r="E336" i="6"/>
  <c r="D336" i="6"/>
  <c r="C336" i="6"/>
  <c r="B336" i="6"/>
  <c r="A336" i="6"/>
  <c r="H336" i="6" s="1"/>
  <c r="G335" i="6"/>
  <c r="F335" i="6"/>
  <c r="E335" i="6"/>
  <c r="D335" i="6"/>
  <c r="C335" i="6"/>
  <c r="B335" i="6"/>
  <c r="A335" i="6"/>
  <c r="H335" i="6" s="1"/>
  <c r="G334" i="6"/>
  <c r="F334" i="6"/>
  <c r="E334" i="6"/>
  <c r="D334" i="6"/>
  <c r="C334" i="6"/>
  <c r="B334" i="6"/>
  <c r="A334" i="6"/>
  <c r="H334" i="6" s="1"/>
  <c r="G333" i="6"/>
  <c r="F333" i="6"/>
  <c r="E333" i="6"/>
  <c r="D333" i="6"/>
  <c r="C333" i="6"/>
  <c r="B333" i="6"/>
  <c r="A333" i="6"/>
  <c r="H333" i="6" s="1"/>
  <c r="G332" i="6"/>
  <c r="F332" i="6"/>
  <c r="E332" i="6"/>
  <c r="D332" i="6"/>
  <c r="C332" i="6"/>
  <c r="B332" i="6"/>
  <c r="A332" i="6"/>
  <c r="H332" i="6" s="1"/>
  <c r="G331" i="6"/>
  <c r="F331" i="6"/>
  <c r="E331" i="6"/>
  <c r="D331" i="6"/>
  <c r="C331" i="6"/>
  <c r="B331" i="6"/>
  <c r="A331" i="6"/>
  <c r="H331" i="6" s="1"/>
  <c r="G330" i="6"/>
  <c r="F330" i="6"/>
  <c r="E330" i="6"/>
  <c r="D330" i="6"/>
  <c r="C330" i="6"/>
  <c r="B330" i="6"/>
  <c r="A330" i="6"/>
  <c r="H330" i="6" s="1"/>
  <c r="G329" i="6"/>
  <c r="F329" i="6"/>
  <c r="E329" i="6"/>
  <c r="D329" i="6"/>
  <c r="C329" i="6"/>
  <c r="B329" i="6"/>
  <c r="A329" i="6"/>
  <c r="H329" i="6" s="1"/>
  <c r="G328" i="6"/>
  <c r="F328" i="6"/>
  <c r="E328" i="6"/>
  <c r="D328" i="6"/>
  <c r="C328" i="6"/>
  <c r="B328" i="6"/>
  <c r="A328" i="6"/>
  <c r="H328" i="6" s="1"/>
  <c r="G327" i="6"/>
  <c r="F327" i="6"/>
  <c r="E327" i="6"/>
  <c r="D327" i="6"/>
  <c r="C327" i="6"/>
  <c r="B327" i="6"/>
  <c r="A327" i="6"/>
  <c r="H327" i="6" s="1"/>
  <c r="G326" i="6"/>
  <c r="F326" i="6"/>
  <c r="E326" i="6"/>
  <c r="D326" i="6"/>
  <c r="C326" i="6"/>
  <c r="B326" i="6"/>
  <c r="A326" i="6"/>
  <c r="H326" i="6" s="1"/>
  <c r="G325" i="6"/>
  <c r="F325" i="6"/>
  <c r="E325" i="6"/>
  <c r="D325" i="6"/>
  <c r="C325" i="6"/>
  <c r="B325" i="6"/>
  <c r="A325" i="6"/>
  <c r="H325" i="6" s="1"/>
  <c r="G324" i="6"/>
  <c r="F324" i="6"/>
  <c r="E324" i="6"/>
  <c r="D324" i="6"/>
  <c r="C324" i="6"/>
  <c r="B324" i="6"/>
  <c r="A324" i="6"/>
  <c r="H324" i="6" s="1"/>
  <c r="G323" i="6"/>
  <c r="F323" i="6"/>
  <c r="E323" i="6"/>
  <c r="D323" i="6"/>
  <c r="C323" i="6"/>
  <c r="B323" i="6"/>
  <c r="A323" i="6"/>
  <c r="H323" i="6" s="1"/>
  <c r="G322" i="6"/>
  <c r="F322" i="6"/>
  <c r="E322" i="6"/>
  <c r="D322" i="6"/>
  <c r="C322" i="6"/>
  <c r="B322" i="6"/>
  <c r="A322" i="6"/>
  <c r="H322" i="6" s="1"/>
  <c r="G321" i="6"/>
  <c r="F321" i="6"/>
  <c r="E321" i="6"/>
  <c r="D321" i="6"/>
  <c r="C321" i="6"/>
  <c r="B321" i="6"/>
  <c r="A321" i="6"/>
  <c r="H321" i="6" s="1"/>
  <c r="G320" i="6"/>
  <c r="F320" i="6"/>
  <c r="E320" i="6"/>
  <c r="D320" i="6"/>
  <c r="C320" i="6"/>
  <c r="B320" i="6"/>
  <c r="A320" i="6"/>
  <c r="H320" i="6" s="1"/>
  <c r="G319" i="6"/>
  <c r="F319" i="6"/>
  <c r="E319" i="6"/>
  <c r="D319" i="6"/>
  <c r="C319" i="6"/>
  <c r="B319" i="6"/>
  <c r="A319" i="6"/>
  <c r="H319" i="6" s="1"/>
  <c r="G318" i="6"/>
  <c r="F318" i="6"/>
  <c r="E318" i="6"/>
  <c r="D318" i="6"/>
  <c r="C318" i="6"/>
  <c r="B318" i="6"/>
  <c r="A318" i="6"/>
  <c r="H318" i="6" s="1"/>
  <c r="G317" i="6"/>
  <c r="F317" i="6"/>
  <c r="E317" i="6"/>
  <c r="D317" i="6"/>
  <c r="C317" i="6"/>
  <c r="B317" i="6"/>
  <c r="A317" i="6"/>
  <c r="H317" i="6" s="1"/>
  <c r="G316" i="6"/>
  <c r="F316" i="6"/>
  <c r="E316" i="6"/>
  <c r="D316" i="6"/>
  <c r="C316" i="6"/>
  <c r="B316" i="6"/>
  <c r="A316" i="6"/>
  <c r="H316" i="6" s="1"/>
  <c r="G315" i="6"/>
  <c r="F315" i="6"/>
  <c r="E315" i="6"/>
  <c r="D315" i="6"/>
  <c r="C315" i="6"/>
  <c r="B315" i="6"/>
  <c r="A315" i="6"/>
  <c r="H315" i="6" s="1"/>
  <c r="G314" i="6"/>
  <c r="F314" i="6"/>
  <c r="E314" i="6"/>
  <c r="D314" i="6"/>
  <c r="C314" i="6"/>
  <c r="B314" i="6"/>
  <c r="A314" i="6"/>
  <c r="H314" i="6" s="1"/>
  <c r="G313" i="6"/>
  <c r="F313" i="6"/>
  <c r="E313" i="6"/>
  <c r="D313" i="6"/>
  <c r="C313" i="6"/>
  <c r="B313" i="6"/>
  <c r="A313" i="6"/>
  <c r="H313" i="6" s="1"/>
  <c r="G312" i="6"/>
  <c r="F312" i="6"/>
  <c r="E312" i="6"/>
  <c r="D312" i="6"/>
  <c r="C312" i="6"/>
  <c r="B312" i="6"/>
  <c r="A312" i="6"/>
  <c r="H312" i="6" s="1"/>
  <c r="G311" i="6"/>
  <c r="F311" i="6"/>
  <c r="E311" i="6"/>
  <c r="D311" i="6"/>
  <c r="C311" i="6"/>
  <c r="B311" i="6"/>
  <c r="A311" i="6"/>
  <c r="H311" i="6" s="1"/>
  <c r="G310" i="6"/>
  <c r="F310" i="6"/>
  <c r="E310" i="6"/>
  <c r="D310" i="6"/>
  <c r="C310" i="6"/>
  <c r="B310" i="6"/>
  <c r="A310" i="6"/>
  <c r="H310" i="6" s="1"/>
  <c r="G309" i="6"/>
  <c r="F309" i="6"/>
  <c r="E309" i="6"/>
  <c r="D309" i="6"/>
  <c r="C309" i="6"/>
  <c r="B309" i="6"/>
  <c r="A309" i="6"/>
  <c r="H309" i="6" s="1"/>
  <c r="G308" i="6"/>
  <c r="F308" i="6"/>
  <c r="E308" i="6"/>
  <c r="D308" i="6"/>
  <c r="C308" i="6"/>
  <c r="B308" i="6"/>
  <c r="A308" i="6"/>
  <c r="H308" i="6" s="1"/>
  <c r="G307" i="6"/>
  <c r="F307" i="6"/>
  <c r="E307" i="6"/>
  <c r="D307" i="6"/>
  <c r="C307" i="6"/>
  <c r="B307" i="6"/>
  <c r="A307" i="6"/>
  <c r="H307" i="6" s="1"/>
  <c r="G306" i="6"/>
  <c r="F306" i="6"/>
  <c r="E306" i="6"/>
  <c r="D306" i="6"/>
  <c r="C306" i="6"/>
  <c r="B306" i="6"/>
  <c r="A306" i="6"/>
  <c r="H306" i="6" s="1"/>
  <c r="G305" i="6"/>
  <c r="F305" i="6"/>
  <c r="E305" i="6"/>
  <c r="D305" i="6"/>
  <c r="C305" i="6"/>
  <c r="B305" i="6"/>
  <c r="A305" i="6"/>
  <c r="H305" i="6" s="1"/>
  <c r="G304" i="6"/>
  <c r="F304" i="6"/>
  <c r="E304" i="6"/>
  <c r="D304" i="6"/>
  <c r="C304" i="6"/>
  <c r="B304" i="6"/>
  <c r="A304" i="6"/>
  <c r="H304" i="6" s="1"/>
  <c r="G303" i="6"/>
  <c r="F303" i="6"/>
  <c r="E303" i="6"/>
  <c r="D303" i="6"/>
  <c r="C303" i="6"/>
  <c r="B303" i="6"/>
  <c r="A303" i="6"/>
  <c r="H303" i="6" s="1"/>
  <c r="G302" i="6"/>
  <c r="F302" i="6"/>
  <c r="E302" i="6"/>
  <c r="D302" i="6"/>
  <c r="C302" i="6"/>
  <c r="B302" i="6"/>
  <c r="A302" i="6"/>
  <c r="H302" i="6" s="1"/>
  <c r="G301" i="6"/>
  <c r="F301" i="6"/>
  <c r="E301" i="6"/>
  <c r="D301" i="6"/>
  <c r="C301" i="6"/>
  <c r="B301" i="6"/>
  <c r="A301" i="6"/>
  <c r="H301" i="6" s="1"/>
  <c r="G300" i="6"/>
  <c r="F300" i="6"/>
  <c r="E300" i="6"/>
  <c r="D300" i="6"/>
  <c r="C300" i="6"/>
  <c r="B300" i="6"/>
  <c r="A300" i="6"/>
  <c r="H300" i="6" s="1"/>
  <c r="G299" i="6"/>
  <c r="F299" i="6"/>
  <c r="E299" i="6"/>
  <c r="D299" i="6"/>
  <c r="C299" i="6"/>
  <c r="B299" i="6"/>
  <c r="A299" i="6"/>
  <c r="H299" i="6" s="1"/>
  <c r="G298" i="6"/>
  <c r="F298" i="6"/>
  <c r="E298" i="6"/>
  <c r="D298" i="6"/>
  <c r="C298" i="6"/>
  <c r="B298" i="6"/>
  <c r="A298" i="6"/>
  <c r="H298" i="6" s="1"/>
  <c r="G297" i="6"/>
  <c r="F297" i="6"/>
  <c r="E297" i="6"/>
  <c r="D297" i="6"/>
  <c r="C297" i="6"/>
  <c r="B297" i="6"/>
  <c r="A297" i="6"/>
  <c r="H297" i="6" s="1"/>
  <c r="G296" i="6"/>
  <c r="F296" i="6"/>
  <c r="E296" i="6"/>
  <c r="D296" i="6"/>
  <c r="C296" i="6"/>
  <c r="B296" i="6"/>
  <c r="A296" i="6"/>
  <c r="H296" i="6" s="1"/>
  <c r="G295" i="6"/>
  <c r="F295" i="6"/>
  <c r="E295" i="6"/>
  <c r="D295" i="6"/>
  <c r="C295" i="6"/>
  <c r="B295" i="6"/>
  <c r="A295" i="6"/>
  <c r="H295" i="6" s="1"/>
  <c r="G294" i="6"/>
  <c r="F294" i="6"/>
  <c r="E294" i="6"/>
  <c r="D294" i="6"/>
  <c r="C294" i="6"/>
  <c r="B294" i="6"/>
  <c r="A294" i="6"/>
  <c r="H294" i="6" s="1"/>
  <c r="G293" i="6"/>
  <c r="F293" i="6"/>
  <c r="E293" i="6"/>
  <c r="D293" i="6"/>
  <c r="C293" i="6"/>
  <c r="B293" i="6"/>
  <c r="A293" i="6"/>
  <c r="H293" i="6" s="1"/>
  <c r="G292" i="6"/>
  <c r="F292" i="6"/>
  <c r="E292" i="6"/>
  <c r="D292" i="6"/>
  <c r="C292" i="6"/>
  <c r="B292" i="6"/>
  <c r="A292" i="6"/>
  <c r="H292" i="6" s="1"/>
  <c r="G291" i="6"/>
  <c r="F291" i="6"/>
  <c r="E291" i="6"/>
  <c r="D291" i="6"/>
  <c r="C291" i="6"/>
  <c r="B291" i="6"/>
  <c r="A291" i="6"/>
  <c r="H291" i="6" s="1"/>
  <c r="G290" i="6"/>
  <c r="F290" i="6"/>
  <c r="E290" i="6"/>
  <c r="D290" i="6"/>
  <c r="C290" i="6"/>
  <c r="B290" i="6"/>
  <c r="A290" i="6"/>
  <c r="H290" i="6" s="1"/>
  <c r="G289" i="6"/>
  <c r="F289" i="6"/>
  <c r="E289" i="6"/>
  <c r="D289" i="6"/>
  <c r="C289" i="6"/>
  <c r="B289" i="6"/>
  <c r="A289" i="6"/>
  <c r="H289" i="6" s="1"/>
  <c r="G288" i="6"/>
  <c r="F288" i="6"/>
  <c r="E288" i="6"/>
  <c r="D288" i="6"/>
  <c r="C288" i="6"/>
  <c r="B288" i="6"/>
  <c r="A288" i="6"/>
  <c r="H288" i="6" s="1"/>
  <c r="G287" i="6"/>
  <c r="F287" i="6"/>
  <c r="E287" i="6"/>
  <c r="D287" i="6"/>
  <c r="C287" i="6"/>
  <c r="B287" i="6"/>
  <c r="A287" i="6"/>
  <c r="H287" i="6" s="1"/>
  <c r="G286" i="6"/>
  <c r="F286" i="6"/>
  <c r="E286" i="6"/>
  <c r="D286" i="6"/>
  <c r="C286" i="6"/>
  <c r="B286" i="6"/>
  <c r="A286" i="6"/>
  <c r="H286" i="6" s="1"/>
  <c r="G285" i="6"/>
  <c r="F285" i="6"/>
  <c r="E285" i="6"/>
  <c r="D285" i="6"/>
  <c r="C285" i="6"/>
  <c r="B285" i="6"/>
  <c r="A285" i="6"/>
  <c r="H285" i="6" s="1"/>
  <c r="G284" i="6"/>
  <c r="F284" i="6"/>
  <c r="E284" i="6"/>
  <c r="D284" i="6"/>
  <c r="C284" i="6"/>
  <c r="B284" i="6"/>
  <c r="A284" i="6"/>
  <c r="H284" i="6" s="1"/>
  <c r="G283" i="6"/>
  <c r="F283" i="6"/>
  <c r="E283" i="6"/>
  <c r="D283" i="6"/>
  <c r="C283" i="6"/>
  <c r="B283" i="6"/>
  <c r="A283" i="6"/>
  <c r="H283" i="6" s="1"/>
  <c r="G282" i="6"/>
  <c r="F282" i="6"/>
  <c r="E282" i="6"/>
  <c r="D282" i="6"/>
  <c r="C282" i="6"/>
  <c r="B282" i="6"/>
  <c r="A282" i="6"/>
  <c r="H282" i="6" s="1"/>
  <c r="G281" i="6"/>
  <c r="F281" i="6"/>
  <c r="E281" i="6"/>
  <c r="D281" i="6"/>
  <c r="C281" i="6"/>
  <c r="B281" i="6"/>
  <c r="A281" i="6"/>
  <c r="H281" i="6" s="1"/>
  <c r="G280" i="6"/>
  <c r="F280" i="6"/>
  <c r="E280" i="6"/>
  <c r="D280" i="6"/>
  <c r="C280" i="6"/>
  <c r="B280" i="6"/>
  <c r="A280" i="6"/>
  <c r="H280" i="6" s="1"/>
  <c r="G279" i="6"/>
  <c r="F279" i="6"/>
  <c r="E279" i="6"/>
  <c r="D279" i="6"/>
  <c r="C279" i="6"/>
  <c r="B279" i="6"/>
  <c r="A279" i="6"/>
  <c r="H279" i="6" s="1"/>
  <c r="G278" i="6"/>
  <c r="F278" i="6"/>
  <c r="E278" i="6"/>
  <c r="D278" i="6"/>
  <c r="C278" i="6"/>
  <c r="B278" i="6"/>
  <c r="A278" i="6"/>
  <c r="H278" i="6" s="1"/>
  <c r="G277" i="6"/>
  <c r="F277" i="6"/>
  <c r="E277" i="6"/>
  <c r="D277" i="6"/>
  <c r="C277" i="6"/>
  <c r="B277" i="6"/>
  <c r="A277" i="6"/>
  <c r="H277" i="6" s="1"/>
  <c r="G276" i="6"/>
  <c r="F276" i="6"/>
  <c r="E276" i="6"/>
  <c r="D276" i="6"/>
  <c r="C276" i="6"/>
  <c r="B276" i="6"/>
  <c r="A276" i="6"/>
  <c r="H276" i="6" s="1"/>
  <c r="G275" i="6"/>
  <c r="F275" i="6"/>
  <c r="E275" i="6"/>
  <c r="D275" i="6"/>
  <c r="C275" i="6"/>
  <c r="B275" i="6"/>
  <c r="A275" i="6"/>
  <c r="H275" i="6" s="1"/>
  <c r="G274" i="6"/>
  <c r="F274" i="6"/>
  <c r="E274" i="6"/>
  <c r="D274" i="6"/>
  <c r="C274" i="6"/>
  <c r="B274" i="6"/>
  <c r="A274" i="6"/>
  <c r="H274" i="6" s="1"/>
  <c r="G273" i="6"/>
  <c r="F273" i="6"/>
  <c r="E273" i="6"/>
  <c r="D273" i="6"/>
  <c r="C273" i="6"/>
  <c r="B273" i="6"/>
  <c r="A273" i="6"/>
  <c r="H273" i="6" s="1"/>
  <c r="G272" i="6"/>
  <c r="F272" i="6"/>
  <c r="E272" i="6"/>
  <c r="D272" i="6"/>
  <c r="C272" i="6"/>
  <c r="B272" i="6"/>
  <c r="A272" i="6"/>
  <c r="H272" i="6" s="1"/>
  <c r="G271" i="6"/>
  <c r="F271" i="6"/>
  <c r="E271" i="6"/>
  <c r="D271" i="6"/>
  <c r="C271" i="6"/>
  <c r="B271" i="6"/>
  <c r="A271" i="6"/>
  <c r="H271" i="6" s="1"/>
  <c r="G270" i="6"/>
  <c r="F270" i="6"/>
  <c r="E270" i="6"/>
  <c r="D270" i="6"/>
  <c r="C270" i="6"/>
  <c r="B270" i="6"/>
  <c r="A270" i="6"/>
  <c r="H270" i="6" s="1"/>
  <c r="G269" i="6"/>
  <c r="F269" i="6"/>
  <c r="E269" i="6"/>
  <c r="D269" i="6"/>
  <c r="C269" i="6"/>
  <c r="B269" i="6"/>
  <c r="A269" i="6"/>
  <c r="H269" i="6" s="1"/>
  <c r="G268" i="6"/>
  <c r="F268" i="6"/>
  <c r="E268" i="6"/>
  <c r="D268" i="6"/>
  <c r="C268" i="6"/>
  <c r="B268" i="6"/>
  <c r="A268" i="6"/>
  <c r="H268" i="6" s="1"/>
  <c r="G267" i="6"/>
  <c r="F267" i="6"/>
  <c r="E267" i="6"/>
  <c r="D267" i="6"/>
  <c r="C267" i="6"/>
  <c r="B267" i="6"/>
  <c r="A267" i="6"/>
  <c r="H267" i="6" s="1"/>
  <c r="G266" i="6"/>
  <c r="F266" i="6"/>
  <c r="E266" i="6"/>
  <c r="D266" i="6"/>
  <c r="C266" i="6"/>
  <c r="B266" i="6"/>
  <c r="A266" i="6"/>
  <c r="H266" i="6" s="1"/>
  <c r="G265" i="6"/>
  <c r="F265" i="6"/>
  <c r="E265" i="6"/>
  <c r="D265" i="6"/>
  <c r="C265" i="6"/>
  <c r="B265" i="6"/>
  <c r="A265" i="6"/>
  <c r="H265" i="6" s="1"/>
  <c r="G264" i="6"/>
  <c r="F264" i="6"/>
  <c r="E264" i="6"/>
  <c r="D264" i="6"/>
  <c r="C264" i="6"/>
  <c r="B264" i="6"/>
  <c r="A264" i="6"/>
  <c r="H264" i="6" s="1"/>
  <c r="G263" i="6"/>
  <c r="F263" i="6"/>
  <c r="E263" i="6"/>
  <c r="D263" i="6"/>
  <c r="C263" i="6"/>
  <c r="B263" i="6"/>
  <c r="A263" i="6"/>
  <c r="H263" i="6" s="1"/>
  <c r="G262" i="6"/>
  <c r="F262" i="6"/>
  <c r="E262" i="6"/>
  <c r="D262" i="6"/>
  <c r="C262" i="6"/>
  <c r="B262" i="6"/>
  <c r="A262" i="6"/>
  <c r="H262" i="6" s="1"/>
  <c r="G261" i="6"/>
  <c r="F261" i="6"/>
  <c r="E261" i="6"/>
  <c r="D261" i="6"/>
  <c r="C261" i="6"/>
  <c r="B261" i="6"/>
  <c r="A261" i="6"/>
  <c r="H261" i="6" s="1"/>
  <c r="G260" i="6"/>
  <c r="F260" i="6"/>
  <c r="E260" i="6"/>
  <c r="D260" i="6"/>
  <c r="C260" i="6"/>
  <c r="B260" i="6"/>
  <c r="A260" i="6"/>
  <c r="H260" i="6" s="1"/>
  <c r="G259" i="6"/>
  <c r="F259" i="6"/>
  <c r="E259" i="6"/>
  <c r="D259" i="6"/>
  <c r="C259" i="6"/>
  <c r="B259" i="6"/>
  <c r="A259" i="6"/>
  <c r="H259" i="6" s="1"/>
  <c r="G258" i="6"/>
  <c r="F258" i="6"/>
  <c r="E258" i="6"/>
  <c r="D258" i="6"/>
  <c r="C258" i="6"/>
  <c r="B258" i="6"/>
  <c r="A258" i="6"/>
  <c r="H258" i="6" s="1"/>
  <c r="G257" i="6"/>
  <c r="F257" i="6"/>
  <c r="E257" i="6"/>
  <c r="D257" i="6"/>
  <c r="C257" i="6"/>
  <c r="B257" i="6"/>
  <c r="A257" i="6"/>
  <c r="H257" i="6" s="1"/>
  <c r="G256" i="6"/>
  <c r="F256" i="6"/>
  <c r="E256" i="6"/>
  <c r="D256" i="6"/>
  <c r="C256" i="6"/>
  <c r="B256" i="6"/>
  <c r="A256" i="6"/>
  <c r="H256" i="6" s="1"/>
  <c r="G255" i="6"/>
  <c r="F255" i="6"/>
  <c r="E255" i="6"/>
  <c r="D255" i="6"/>
  <c r="C255" i="6"/>
  <c r="B255" i="6"/>
  <c r="A255" i="6"/>
  <c r="H255" i="6" s="1"/>
  <c r="G254" i="6"/>
  <c r="F254" i="6"/>
  <c r="E254" i="6"/>
  <c r="D254" i="6"/>
  <c r="C254" i="6"/>
  <c r="B254" i="6"/>
  <c r="A254" i="6"/>
  <c r="H254" i="6" s="1"/>
  <c r="G253" i="6"/>
  <c r="F253" i="6"/>
  <c r="E253" i="6"/>
  <c r="D253" i="6"/>
  <c r="C253" i="6"/>
  <c r="B253" i="6"/>
  <c r="A253" i="6"/>
  <c r="H253" i="6" s="1"/>
  <c r="G252" i="6"/>
  <c r="F252" i="6"/>
  <c r="E252" i="6"/>
  <c r="D252" i="6"/>
  <c r="C252" i="6"/>
  <c r="B252" i="6"/>
  <c r="A252" i="6"/>
  <c r="H252" i="6" s="1"/>
  <c r="G251" i="6"/>
  <c r="F251" i="6"/>
  <c r="E251" i="6"/>
  <c r="D251" i="6"/>
  <c r="C251" i="6"/>
  <c r="B251" i="6"/>
  <c r="A251" i="6"/>
  <c r="H251" i="6" s="1"/>
  <c r="G250" i="6"/>
  <c r="F250" i="6"/>
  <c r="E250" i="6"/>
  <c r="D250" i="6"/>
  <c r="C250" i="6"/>
  <c r="B250" i="6"/>
  <c r="A250" i="6"/>
  <c r="H250" i="6" s="1"/>
  <c r="G249" i="6"/>
  <c r="F249" i="6"/>
  <c r="E249" i="6"/>
  <c r="D249" i="6"/>
  <c r="C249" i="6"/>
  <c r="B249" i="6"/>
  <c r="A249" i="6"/>
  <c r="H249" i="6" s="1"/>
  <c r="G248" i="6"/>
  <c r="F248" i="6"/>
  <c r="E248" i="6"/>
  <c r="D248" i="6"/>
  <c r="C248" i="6"/>
  <c r="B248" i="6"/>
  <c r="A248" i="6"/>
  <c r="H248" i="6" s="1"/>
  <c r="G247" i="6"/>
  <c r="F247" i="6"/>
  <c r="E247" i="6"/>
  <c r="D247" i="6"/>
  <c r="C247" i="6"/>
  <c r="B247" i="6"/>
  <c r="A247" i="6"/>
  <c r="H247" i="6" s="1"/>
  <c r="G246" i="6"/>
  <c r="F246" i="6"/>
  <c r="E246" i="6"/>
  <c r="D246" i="6"/>
  <c r="C246" i="6"/>
  <c r="B246" i="6"/>
  <c r="A246" i="6"/>
  <c r="H246" i="6" s="1"/>
  <c r="G245" i="6"/>
  <c r="F245" i="6"/>
  <c r="E245" i="6"/>
  <c r="D245" i="6"/>
  <c r="C245" i="6"/>
  <c r="B245" i="6"/>
  <c r="A245" i="6"/>
  <c r="H245" i="6" s="1"/>
  <c r="G244" i="6"/>
  <c r="F244" i="6"/>
  <c r="E244" i="6"/>
  <c r="D244" i="6"/>
  <c r="C244" i="6"/>
  <c r="B244" i="6"/>
  <c r="A244" i="6"/>
  <c r="H244" i="6" s="1"/>
  <c r="G243" i="6"/>
  <c r="F243" i="6"/>
  <c r="E243" i="6"/>
  <c r="D243" i="6"/>
  <c r="C243" i="6"/>
  <c r="B243" i="6"/>
  <c r="A243" i="6"/>
  <c r="H243" i="6" s="1"/>
  <c r="G242" i="6"/>
  <c r="F242" i="6"/>
  <c r="E242" i="6"/>
  <c r="D242" i="6"/>
  <c r="C242" i="6"/>
  <c r="B242" i="6"/>
  <c r="A242" i="6"/>
  <c r="H242" i="6" s="1"/>
  <c r="G241" i="6"/>
  <c r="F241" i="6"/>
  <c r="E241" i="6"/>
  <c r="D241" i="6"/>
  <c r="C241" i="6"/>
  <c r="B241" i="6"/>
  <c r="A241" i="6"/>
  <c r="H241" i="6" s="1"/>
  <c r="G240" i="6"/>
  <c r="F240" i="6"/>
  <c r="E240" i="6"/>
  <c r="D240" i="6"/>
  <c r="C240" i="6"/>
  <c r="B240" i="6"/>
  <c r="A240" i="6"/>
  <c r="H240" i="6" s="1"/>
  <c r="G239" i="6"/>
  <c r="F239" i="6"/>
  <c r="E239" i="6"/>
  <c r="D239" i="6"/>
  <c r="C239" i="6"/>
  <c r="B239" i="6"/>
  <c r="A239" i="6"/>
  <c r="H239" i="6" s="1"/>
  <c r="G238" i="6"/>
  <c r="F238" i="6"/>
  <c r="E238" i="6"/>
  <c r="D238" i="6"/>
  <c r="C238" i="6"/>
  <c r="B238" i="6"/>
  <c r="A238" i="6"/>
  <c r="H238" i="6" s="1"/>
  <c r="G237" i="6"/>
  <c r="F237" i="6"/>
  <c r="E237" i="6"/>
  <c r="D237" i="6"/>
  <c r="C237" i="6"/>
  <c r="B237" i="6"/>
  <c r="A237" i="6"/>
  <c r="H237" i="6" s="1"/>
  <c r="G236" i="6"/>
  <c r="F236" i="6"/>
  <c r="E236" i="6"/>
  <c r="D236" i="6"/>
  <c r="C236" i="6"/>
  <c r="B236" i="6"/>
  <c r="A236" i="6"/>
  <c r="H236" i="6" s="1"/>
  <c r="G235" i="6"/>
  <c r="F235" i="6"/>
  <c r="E235" i="6"/>
  <c r="D235" i="6"/>
  <c r="C235" i="6"/>
  <c r="B235" i="6"/>
  <c r="A235" i="6"/>
  <c r="H235" i="6" s="1"/>
  <c r="G234" i="6"/>
  <c r="F234" i="6"/>
  <c r="E234" i="6"/>
  <c r="D234" i="6"/>
  <c r="C234" i="6"/>
  <c r="B234" i="6"/>
  <c r="A234" i="6"/>
  <c r="H234" i="6" s="1"/>
  <c r="G233" i="6"/>
  <c r="F233" i="6"/>
  <c r="E233" i="6"/>
  <c r="D233" i="6"/>
  <c r="C233" i="6"/>
  <c r="B233" i="6"/>
  <c r="A233" i="6"/>
  <c r="H233" i="6" s="1"/>
  <c r="G232" i="6"/>
  <c r="F232" i="6"/>
  <c r="E232" i="6"/>
  <c r="D232" i="6"/>
  <c r="C232" i="6"/>
  <c r="B232" i="6"/>
  <c r="A232" i="6"/>
  <c r="H232" i="6" s="1"/>
  <c r="G231" i="6"/>
  <c r="F231" i="6"/>
  <c r="E231" i="6"/>
  <c r="D231" i="6"/>
  <c r="C231" i="6"/>
  <c r="B231" i="6"/>
  <c r="A231" i="6"/>
  <c r="H231" i="6" s="1"/>
  <c r="G230" i="6"/>
  <c r="F230" i="6"/>
  <c r="E230" i="6"/>
  <c r="D230" i="6"/>
  <c r="C230" i="6"/>
  <c r="B230" i="6"/>
  <c r="A230" i="6"/>
  <c r="H230" i="6" s="1"/>
  <c r="G229" i="6"/>
  <c r="F229" i="6"/>
  <c r="E229" i="6"/>
  <c r="D229" i="6"/>
  <c r="C229" i="6"/>
  <c r="B229" i="6"/>
  <c r="A229" i="6"/>
  <c r="H229" i="6" s="1"/>
  <c r="G228" i="6"/>
  <c r="F228" i="6"/>
  <c r="E228" i="6"/>
  <c r="D228" i="6"/>
  <c r="C228" i="6"/>
  <c r="B228" i="6"/>
  <c r="A228" i="6"/>
  <c r="H228" i="6" s="1"/>
  <c r="G227" i="6"/>
  <c r="F227" i="6"/>
  <c r="E227" i="6"/>
  <c r="D227" i="6"/>
  <c r="C227" i="6"/>
  <c r="B227" i="6"/>
  <c r="A227" i="6"/>
  <c r="H227" i="6" s="1"/>
  <c r="G226" i="6"/>
  <c r="F226" i="6"/>
  <c r="E226" i="6"/>
  <c r="D226" i="6"/>
  <c r="C226" i="6"/>
  <c r="B226" i="6"/>
  <c r="A226" i="6"/>
  <c r="H226" i="6" s="1"/>
  <c r="G225" i="6"/>
  <c r="F225" i="6"/>
  <c r="E225" i="6"/>
  <c r="D225" i="6"/>
  <c r="C225" i="6"/>
  <c r="B225" i="6"/>
  <c r="A225" i="6"/>
  <c r="H225" i="6" s="1"/>
  <c r="G224" i="6"/>
  <c r="F224" i="6"/>
  <c r="E224" i="6"/>
  <c r="D224" i="6"/>
  <c r="C224" i="6"/>
  <c r="B224" i="6"/>
  <c r="A224" i="6"/>
  <c r="H224" i="6" s="1"/>
  <c r="G223" i="6"/>
  <c r="F223" i="6"/>
  <c r="E223" i="6"/>
  <c r="D223" i="6"/>
  <c r="C223" i="6"/>
  <c r="B223" i="6"/>
  <c r="A223" i="6"/>
  <c r="H223" i="6" s="1"/>
  <c r="G222" i="6"/>
  <c r="F222" i="6"/>
  <c r="E222" i="6"/>
  <c r="D222" i="6"/>
  <c r="C222" i="6"/>
  <c r="B222" i="6"/>
  <c r="A222" i="6"/>
  <c r="H222" i="6" s="1"/>
  <c r="G221" i="6"/>
  <c r="F221" i="6"/>
  <c r="E221" i="6"/>
  <c r="D221" i="6"/>
  <c r="C221" i="6"/>
  <c r="B221" i="6"/>
  <c r="A221" i="6"/>
  <c r="H221" i="6" s="1"/>
  <c r="G220" i="6"/>
  <c r="F220" i="6"/>
  <c r="E220" i="6"/>
  <c r="D220" i="6"/>
  <c r="C220" i="6"/>
  <c r="B220" i="6"/>
  <c r="A220" i="6"/>
  <c r="H220" i="6" s="1"/>
  <c r="G219" i="6"/>
  <c r="F219" i="6"/>
  <c r="E219" i="6"/>
  <c r="D219" i="6"/>
  <c r="C219" i="6"/>
  <c r="B219" i="6"/>
  <c r="A219" i="6"/>
  <c r="H219" i="6" s="1"/>
  <c r="G218" i="6"/>
  <c r="F218" i="6"/>
  <c r="E218" i="6"/>
  <c r="D218" i="6"/>
  <c r="C218" i="6"/>
  <c r="B218" i="6"/>
  <c r="A218" i="6"/>
  <c r="H218" i="6" s="1"/>
  <c r="G217" i="6"/>
  <c r="F217" i="6"/>
  <c r="E217" i="6"/>
  <c r="D217" i="6"/>
  <c r="C217" i="6"/>
  <c r="B217" i="6"/>
  <c r="A217" i="6"/>
  <c r="H217" i="6" s="1"/>
  <c r="G216" i="6"/>
  <c r="F216" i="6"/>
  <c r="E216" i="6"/>
  <c r="D216" i="6"/>
  <c r="C216" i="6"/>
  <c r="B216" i="6"/>
  <c r="A216" i="6"/>
  <c r="H216" i="6" s="1"/>
  <c r="G215" i="6"/>
  <c r="F215" i="6"/>
  <c r="E215" i="6"/>
  <c r="D215" i="6"/>
  <c r="C215" i="6"/>
  <c r="B215" i="6"/>
  <c r="A215" i="6"/>
  <c r="H215" i="6" s="1"/>
  <c r="G214" i="6"/>
  <c r="F214" i="6"/>
  <c r="E214" i="6"/>
  <c r="D214" i="6"/>
  <c r="C214" i="6"/>
  <c r="B214" i="6"/>
  <c r="A214" i="6"/>
  <c r="H214" i="6" s="1"/>
  <c r="G213" i="6"/>
  <c r="F213" i="6"/>
  <c r="E213" i="6"/>
  <c r="D213" i="6"/>
  <c r="C213" i="6"/>
  <c r="B213" i="6"/>
  <c r="A213" i="6"/>
  <c r="H213" i="6" s="1"/>
  <c r="G212" i="6"/>
  <c r="F212" i="6"/>
  <c r="E212" i="6"/>
  <c r="D212" i="6"/>
  <c r="C212" i="6"/>
  <c r="B212" i="6"/>
  <c r="A212" i="6"/>
  <c r="H212" i="6" s="1"/>
  <c r="G211" i="6"/>
  <c r="F211" i="6"/>
  <c r="E211" i="6"/>
  <c r="D211" i="6"/>
  <c r="C211" i="6"/>
  <c r="B211" i="6"/>
  <c r="A211" i="6"/>
  <c r="H211" i="6" s="1"/>
  <c r="G210" i="6"/>
  <c r="F210" i="6"/>
  <c r="E210" i="6"/>
  <c r="D210" i="6"/>
  <c r="C210" i="6"/>
  <c r="B210" i="6"/>
  <c r="A210" i="6"/>
  <c r="H210" i="6" s="1"/>
  <c r="G209" i="6"/>
  <c r="F209" i="6"/>
  <c r="E209" i="6"/>
  <c r="D209" i="6"/>
  <c r="C209" i="6"/>
  <c r="B209" i="6"/>
  <c r="A209" i="6"/>
  <c r="H209" i="6" s="1"/>
  <c r="G208" i="6"/>
  <c r="F208" i="6"/>
  <c r="E208" i="6"/>
  <c r="D208" i="6"/>
  <c r="C208" i="6"/>
  <c r="B208" i="6"/>
  <c r="A208" i="6"/>
  <c r="H208" i="6" s="1"/>
  <c r="G207" i="6"/>
  <c r="F207" i="6"/>
  <c r="E207" i="6"/>
  <c r="D207" i="6"/>
  <c r="C207" i="6"/>
  <c r="B207" i="6"/>
  <c r="A207" i="6"/>
  <c r="H207" i="6" s="1"/>
  <c r="G206" i="6"/>
  <c r="F206" i="6"/>
  <c r="E206" i="6"/>
  <c r="D206" i="6"/>
  <c r="C206" i="6"/>
  <c r="B206" i="6"/>
  <c r="A206" i="6"/>
  <c r="H206" i="6" s="1"/>
  <c r="G205" i="6"/>
  <c r="F205" i="6"/>
  <c r="E205" i="6"/>
  <c r="D205" i="6"/>
  <c r="C205" i="6"/>
  <c r="B205" i="6"/>
  <c r="A205" i="6"/>
  <c r="H205" i="6" s="1"/>
  <c r="G204" i="6"/>
  <c r="F204" i="6"/>
  <c r="E204" i="6"/>
  <c r="D204" i="6"/>
  <c r="C204" i="6"/>
  <c r="B204" i="6"/>
  <c r="A204" i="6"/>
  <c r="H204" i="6" s="1"/>
  <c r="G203" i="6"/>
  <c r="F203" i="6"/>
  <c r="E203" i="6"/>
  <c r="D203" i="6"/>
  <c r="C203" i="6"/>
  <c r="B203" i="6"/>
  <c r="A203" i="6"/>
  <c r="H203" i="6" s="1"/>
  <c r="G202" i="6"/>
  <c r="F202" i="6"/>
  <c r="E202" i="6"/>
  <c r="D202" i="6"/>
  <c r="C202" i="6"/>
  <c r="B202" i="6"/>
  <c r="A202" i="6"/>
  <c r="H202" i="6" s="1"/>
  <c r="G201" i="6"/>
  <c r="F201" i="6"/>
  <c r="E201" i="6"/>
  <c r="D201" i="6"/>
  <c r="C201" i="6"/>
  <c r="B201" i="6"/>
  <c r="A201" i="6"/>
  <c r="H201" i="6" s="1"/>
  <c r="G200" i="6"/>
  <c r="F200" i="6"/>
  <c r="E200" i="6"/>
  <c r="D200" i="6"/>
  <c r="C200" i="6"/>
  <c r="B200" i="6"/>
  <c r="A200" i="6"/>
  <c r="H200" i="6" s="1"/>
  <c r="G199" i="6"/>
  <c r="F199" i="6"/>
  <c r="E199" i="6"/>
  <c r="D199" i="6"/>
  <c r="C199" i="6"/>
  <c r="B199" i="6"/>
  <c r="A199" i="6"/>
  <c r="H199" i="6" s="1"/>
  <c r="G198" i="6"/>
  <c r="F198" i="6"/>
  <c r="E198" i="6"/>
  <c r="D198" i="6"/>
  <c r="C198" i="6"/>
  <c r="B198" i="6"/>
  <c r="A198" i="6"/>
  <c r="H198" i="6" s="1"/>
  <c r="G197" i="6"/>
  <c r="F197" i="6"/>
  <c r="E197" i="6"/>
  <c r="D197" i="6"/>
  <c r="C197" i="6"/>
  <c r="B197" i="6"/>
  <c r="A197" i="6"/>
  <c r="H197" i="6" s="1"/>
  <c r="G196" i="6"/>
  <c r="F196" i="6"/>
  <c r="E196" i="6"/>
  <c r="D196" i="6"/>
  <c r="C196" i="6"/>
  <c r="B196" i="6"/>
  <c r="A196" i="6"/>
  <c r="H196" i="6" s="1"/>
  <c r="G195" i="6"/>
  <c r="F195" i="6"/>
  <c r="E195" i="6"/>
  <c r="D195" i="6"/>
  <c r="C195" i="6"/>
  <c r="B195" i="6"/>
  <c r="A195" i="6"/>
  <c r="H195" i="6" s="1"/>
  <c r="G194" i="6"/>
  <c r="F194" i="6"/>
  <c r="E194" i="6"/>
  <c r="D194" i="6"/>
  <c r="C194" i="6"/>
  <c r="B194" i="6"/>
  <c r="A194" i="6"/>
  <c r="H194" i="6" s="1"/>
  <c r="G193" i="6"/>
  <c r="F193" i="6"/>
  <c r="E193" i="6"/>
  <c r="D193" i="6"/>
  <c r="C193" i="6"/>
  <c r="B193" i="6"/>
  <c r="A193" i="6"/>
  <c r="H193" i="6" s="1"/>
  <c r="G192" i="6"/>
  <c r="F192" i="6"/>
  <c r="E192" i="6"/>
  <c r="D192" i="6"/>
  <c r="C192" i="6"/>
  <c r="B192" i="6"/>
  <c r="A192" i="6"/>
  <c r="H192" i="6" s="1"/>
  <c r="G191" i="6"/>
  <c r="F191" i="6"/>
  <c r="E191" i="6"/>
  <c r="D191" i="6"/>
  <c r="C191" i="6"/>
  <c r="B191" i="6"/>
  <c r="A191" i="6"/>
  <c r="H191" i="6" s="1"/>
  <c r="G190" i="6"/>
  <c r="F190" i="6"/>
  <c r="E190" i="6"/>
  <c r="D190" i="6"/>
  <c r="C190" i="6"/>
  <c r="B190" i="6"/>
  <c r="A190" i="6"/>
  <c r="H190" i="6" s="1"/>
  <c r="G189" i="6"/>
  <c r="F189" i="6"/>
  <c r="E189" i="6"/>
  <c r="D189" i="6"/>
  <c r="C189" i="6"/>
  <c r="B189" i="6"/>
  <c r="A189" i="6"/>
  <c r="H189" i="6" s="1"/>
  <c r="G188" i="6"/>
  <c r="F188" i="6"/>
  <c r="E188" i="6"/>
  <c r="D188" i="6"/>
  <c r="C188" i="6"/>
  <c r="B188" i="6"/>
  <c r="A188" i="6"/>
  <c r="H188" i="6" s="1"/>
  <c r="G187" i="6"/>
  <c r="F187" i="6"/>
  <c r="E187" i="6"/>
  <c r="D187" i="6"/>
  <c r="C187" i="6"/>
  <c r="B187" i="6"/>
  <c r="A187" i="6"/>
  <c r="H187" i="6" s="1"/>
  <c r="G186" i="6"/>
  <c r="F186" i="6"/>
  <c r="E186" i="6"/>
  <c r="D186" i="6"/>
  <c r="C186" i="6"/>
  <c r="B186" i="6"/>
  <c r="A186" i="6"/>
  <c r="H186" i="6" s="1"/>
  <c r="G185" i="6"/>
  <c r="F185" i="6"/>
  <c r="E185" i="6"/>
  <c r="D185" i="6"/>
  <c r="C185" i="6"/>
  <c r="B185" i="6"/>
  <c r="A185" i="6"/>
  <c r="H185" i="6" s="1"/>
  <c r="G184" i="6"/>
  <c r="F184" i="6"/>
  <c r="E184" i="6"/>
  <c r="D184" i="6"/>
  <c r="C184" i="6"/>
  <c r="B184" i="6"/>
  <c r="A184" i="6"/>
  <c r="H184" i="6" s="1"/>
  <c r="G183" i="6"/>
  <c r="F183" i="6"/>
  <c r="E183" i="6"/>
  <c r="D183" i="6"/>
  <c r="C183" i="6"/>
  <c r="B183" i="6"/>
  <c r="A183" i="6"/>
  <c r="H183" i="6" s="1"/>
  <c r="G182" i="6"/>
  <c r="F182" i="6"/>
  <c r="E182" i="6"/>
  <c r="D182" i="6"/>
  <c r="C182" i="6"/>
  <c r="B182" i="6"/>
  <c r="A182" i="6"/>
  <c r="H182" i="6" s="1"/>
  <c r="G181" i="6"/>
  <c r="F181" i="6"/>
  <c r="E181" i="6"/>
  <c r="D181" i="6"/>
  <c r="C181" i="6"/>
  <c r="B181" i="6"/>
  <c r="A181" i="6"/>
  <c r="H181" i="6" s="1"/>
  <c r="G180" i="6"/>
  <c r="F180" i="6"/>
  <c r="E180" i="6"/>
  <c r="D180" i="6"/>
  <c r="C180" i="6"/>
  <c r="B180" i="6"/>
  <c r="A180" i="6"/>
  <c r="H180" i="6" s="1"/>
  <c r="G179" i="6"/>
  <c r="F179" i="6"/>
  <c r="E179" i="6"/>
  <c r="D179" i="6"/>
  <c r="C179" i="6"/>
  <c r="B179" i="6"/>
  <c r="A179" i="6"/>
  <c r="H179" i="6" s="1"/>
  <c r="G178" i="6"/>
  <c r="F178" i="6"/>
  <c r="E178" i="6"/>
  <c r="D178" i="6"/>
  <c r="C178" i="6"/>
  <c r="B178" i="6"/>
  <c r="A178" i="6"/>
  <c r="H178" i="6" s="1"/>
  <c r="G177" i="6"/>
  <c r="F177" i="6"/>
  <c r="E177" i="6"/>
  <c r="D177" i="6"/>
  <c r="C177" i="6"/>
  <c r="B177" i="6"/>
  <c r="A177" i="6"/>
  <c r="H177" i="6" s="1"/>
  <c r="G176" i="6"/>
  <c r="F176" i="6"/>
  <c r="E176" i="6"/>
  <c r="D176" i="6"/>
  <c r="C176" i="6"/>
  <c r="B176" i="6"/>
  <c r="A176" i="6"/>
  <c r="H176" i="6" s="1"/>
  <c r="G175" i="6"/>
  <c r="F175" i="6"/>
  <c r="E175" i="6"/>
  <c r="D175" i="6"/>
  <c r="C175" i="6"/>
  <c r="B175" i="6"/>
  <c r="A175" i="6"/>
  <c r="H175" i="6" s="1"/>
  <c r="G174" i="6"/>
  <c r="F174" i="6"/>
  <c r="E174" i="6"/>
  <c r="D174" i="6"/>
  <c r="C174" i="6"/>
  <c r="B174" i="6"/>
  <c r="A174" i="6"/>
  <c r="H174" i="6" s="1"/>
  <c r="G173" i="6"/>
  <c r="F173" i="6"/>
  <c r="E173" i="6"/>
  <c r="D173" i="6"/>
  <c r="C173" i="6"/>
  <c r="B173" i="6"/>
  <c r="A173" i="6"/>
  <c r="H173" i="6" s="1"/>
  <c r="G172" i="6"/>
  <c r="F172" i="6"/>
  <c r="E172" i="6"/>
  <c r="D172" i="6"/>
  <c r="C172" i="6"/>
  <c r="B172" i="6"/>
  <c r="A172" i="6"/>
  <c r="H172" i="6" s="1"/>
  <c r="G171" i="6"/>
  <c r="F171" i="6"/>
  <c r="E171" i="6"/>
  <c r="D171" i="6"/>
  <c r="C171" i="6"/>
  <c r="B171" i="6"/>
  <c r="A171" i="6"/>
  <c r="H171" i="6" s="1"/>
  <c r="G170" i="6"/>
  <c r="F170" i="6"/>
  <c r="E170" i="6"/>
  <c r="D170" i="6"/>
  <c r="C170" i="6"/>
  <c r="B170" i="6"/>
  <c r="A170" i="6"/>
  <c r="H170" i="6" s="1"/>
  <c r="G169" i="6"/>
  <c r="F169" i="6"/>
  <c r="E169" i="6"/>
  <c r="D169" i="6"/>
  <c r="C169" i="6"/>
  <c r="B169" i="6"/>
  <c r="A169" i="6"/>
  <c r="H169" i="6" s="1"/>
  <c r="G168" i="6"/>
  <c r="F168" i="6"/>
  <c r="E168" i="6"/>
  <c r="D168" i="6"/>
  <c r="C168" i="6"/>
  <c r="B168" i="6"/>
  <c r="A168" i="6"/>
  <c r="H168" i="6" s="1"/>
  <c r="G167" i="6"/>
  <c r="F167" i="6"/>
  <c r="E167" i="6"/>
  <c r="D167" i="6"/>
  <c r="C167" i="6"/>
  <c r="B167" i="6"/>
  <c r="A167" i="6"/>
  <c r="H167" i="6" s="1"/>
  <c r="G166" i="6"/>
  <c r="F166" i="6"/>
  <c r="E166" i="6"/>
  <c r="D166" i="6"/>
  <c r="C166" i="6"/>
  <c r="B166" i="6"/>
  <c r="A166" i="6"/>
  <c r="H166" i="6" s="1"/>
  <c r="G165" i="6"/>
  <c r="F165" i="6"/>
  <c r="E165" i="6"/>
  <c r="D165" i="6"/>
  <c r="C165" i="6"/>
  <c r="B165" i="6"/>
  <c r="A165" i="6"/>
  <c r="H165" i="6" s="1"/>
  <c r="G164" i="6"/>
  <c r="F164" i="6"/>
  <c r="E164" i="6"/>
  <c r="D164" i="6"/>
  <c r="C164" i="6"/>
  <c r="B164" i="6"/>
  <c r="A164" i="6"/>
  <c r="H164" i="6" s="1"/>
  <c r="G163" i="6"/>
  <c r="F163" i="6"/>
  <c r="E163" i="6"/>
  <c r="D163" i="6"/>
  <c r="C163" i="6"/>
  <c r="B163" i="6"/>
  <c r="A163" i="6"/>
  <c r="H163" i="6" s="1"/>
  <c r="G162" i="6"/>
  <c r="F162" i="6"/>
  <c r="E162" i="6"/>
  <c r="D162" i="6"/>
  <c r="C162" i="6"/>
  <c r="B162" i="6"/>
  <c r="A162" i="6"/>
  <c r="H162" i="6" s="1"/>
  <c r="G161" i="6"/>
  <c r="F161" i="6"/>
  <c r="E161" i="6"/>
  <c r="D161" i="6"/>
  <c r="C161" i="6"/>
  <c r="B161" i="6"/>
  <c r="A161" i="6"/>
  <c r="H161" i="6" s="1"/>
  <c r="G160" i="6"/>
  <c r="F160" i="6"/>
  <c r="E160" i="6"/>
  <c r="D160" i="6"/>
  <c r="C160" i="6"/>
  <c r="B160" i="6"/>
  <c r="A160" i="6"/>
  <c r="H160" i="6" s="1"/>
  <c r="G159" i="6"/>
  <c r="F159" i="6"/>
  <c r="E159" i="6"/>
  <c r="D159" i="6"/>
  <c r="C159" i="6"/>
  <c r="B159" i="6"/>
  <c r="A159" i="6"/>
  <c r="H159" i="6" s="1"/>
  <c r="G158" i="6"/>
  <c r="F158" i="6"/>
  <c r="E158" i="6"/>
  <c r="D158" i="6"/>
  <c r="C158" i="6"/>
  <c r="B158" i="6"/>
  <c r="A158" i="6"/>
  <c r="H158" i="6" s="1"/>
  <c r="G157" i="6"/>
  <c r="F157" i="6"/>
  <c r="E157" i="6"/>
  <c r="D157" i="6"/>
  <c r="C157" i="6"/>
  <c r="B157" i="6"/>
  <c r="A157" i="6"/>
  <c r="H157" i="6" s="1"/>
  <c r="G156" i="6"/>
  <c r="F156" i="6"/>
  <c r="E156" i="6"/>
  <c r="D156" i="6"/>
  <c r="C156" i="6"/>
  <c r="B156" i="6"/>
  <c r="A156" i="6"/>
  <c r="H156" i="6" s="1"/>
  <c r="G155" i="6"/>
  <c r="F155" i="6"/>
  <c r="E155" i="6"/>
  <c r="D155" i="6"/>
  <c r="C155" i="6"/>
  <c r="B155" i="6"/>
  <c r="A155" i="6"/>
  <c r="H155" i="6" s="1"/>
  <c r="G154" i="6"/>
  <c r="F154" i="6"/>
  <c r="E154" i="6"/>
  <c r="D154" i="6"/>
  <c r="C154" i="6"/>
  <c r="B154" i="6"/>
  <c r="A154" i="6"/>
  <c r="H154" i="6" s="1"/>
  <c r="G153" i="6"/>
  <c r="F153" i="6"/>
  <c r="E153" i="6"/>
  <c r="D153" i="6"/>
  <c r="C153" i="6"/>
  <c r="B153" i="6"/>
  <c r="A153" i="6"/>
  <c r="H153" i="6" s="1"/>
  <c r="G152" i="6"/>
  <c r="F152" i="6"/>
  <c r="E152" i="6"/>
  <c r="D152" i="6"/>
  <c r="C152" i="6"/>
  <c r="B152" i="6"/>
  <c r="A152" i="6"/>
  <c r="H152" i="6" s="1"/>
  <c r="G151" i="6"/>
  <c r="F151" i="6"/>
  <c r="E151" i="6"/>
  <c r="D151" i="6"/>
  <c r="C151" i="6"/>
  <c r="B151" i="6"/>
  <c r="A151" i="6"/>
  <c r="H151" i="6" s="1"/>
  <c r="G150" i="6"/>
  <c r="F150" i="6"/>
  <c r="E150" i="6"/>
  <c r="D150" i="6"/>
  <c r="C150" i="6"/>
  <c r="B150" i="6"/>
  <c r="A150" i="6"/>
  <c r="H150" i="6" s="1"/>
  <c r="G149" i="6"/>
  <c r="F149" i="6"/>
  <c r="E149" i="6"/>
  <c r="D149" i="6"/>
  <c r="C149" i="6"/>
  <c r="B149" i="6"/>
  <c r="A149" i="6"/>
  <c r="H149" i="6" s="1"/>
  <c r="G148" i="6"/>
  <c r="F148" i="6"/>
  <c r="E148" i="6"/>
  <c r="D148" i="6"/>
  <c r="C148" i="6"/>
  <c r="B148" i="6"/>
  <c r="A148" i="6"/>
  <c r="H148" i="6" s="1"/>
  <c r="G147" i="6"/>
  <c r="F147" i="6"/>
  <c r="E147" i="6"/>
  <c r="D147" i="6"/>
  <c r="C147" i="6"/>
  <c r="B147" i="6"/>
  <c r="A147" i="6"/>
  <c r="H147" i="6" s="1"/>
  <c r="G146" i="6"/>
  <c r="F146" i="6"/>
  <c r="E146" i="6"/>
  <c r="D146" i="6"/>
  <c r="C146" i="6"/>
  <c r="B146" i="6"/>
  <c r="A146" i="6"/>
  <c r="H146" i="6" s="1"/>
  <c r="G145" i="6"/>
  <c r="F145" i="6"/>
  <c r="E145" i="6"/>
  <c r="D145" i="6"/>
  <c r="C145" i="6"/>
  <c r="B145" i="6"/>
  <c r="A145" i="6"/>
  <c r="H145" i="6" s="1"/>
  <c r="G144" i="6"/>
  <c r="F144" i="6"/>
  <c r="E144" i="6"/>
  <c r="D144" i="6"/>
  <c r="C144" i="6"/>
  <c r="B144" i="6"/>
  <c r="A144" i="6"/>
  <c r="H144" i="6" s="1"/>
  <c r="G143" i="6"/>
  <c r="F143" i="6"/>
  <c r="E143" i="6"/>
  <c r="D143" i="6"/>
  <c r="C143" i="6"/>
  <c r="B143" i="6"/>
  <c r="A143" i="6"/>
  <c r="H143" i="6" s="1"/>
  <c r="G142" i="6"/>
  <c r="F142" i="6"/>
  <c r="E142" i="6"/>
  <c r="D142" i="6"/>
  <c r="C142" i="6"/>
  <c r="B142" i="6"/>
  <c r="A142" i="6"/>
  <c r="H142" i="6" s="1"/>
  <c r="G141" i="6"/>
  <c r="F141" i="6"/>
  <c r="E141" i="6"/>
  <c r="D141" i="6"/>
  <c r="C141" i="6"/>
  <c r="B141" i="6"/>
  <c r="A141" i="6"/>
  <c r="H141" i="6" s="1"/>
  <c r="G140" i="6"/>
  <c r="F140" i="6"/>
  <c r="E140" i="6"/>
  <c r="D140" i="6"/>
  <c r="C140" i="6"/>
  <c r="B140" i="6"/>
  <c r="A140" i="6"/>
  <c r="H140" i="6" s="1"/>
  <c r="G139" i="6"/>
  <c r="F139" i="6"/>
  <c r="E139" i="6"/>
  <c r="D139" i="6"/>
  <c r="C139" i="6"/>
  <c r="B139" i="6"/>
  <c r="A139" i="6"/>
  <c r="H139" i="6" s="1"/>
  <c r="G138" i="6"/>
  <c r="F138" i="6"/>
  <c r="E138" i="6"/>
  <c r="D138" i="6"/>
  <c r="C138" i="6"/>
  <c r="B138" i="6"/>
  <c r="A138" i="6"/>
  <c r="H138" i="6" s="1"/>
  <c r="G137" i="6"/>
  <c r="F137" i="6"/>
  <c r="E137" i="6"/>
  <c r="D137" i="6"/>
  <c r="C137" i="6"/>
  <c r="B137" i="6"/>
  <c r="A137" i="6"/>
  <c r="H137" i="6" s="1"/>
  <c r="G136" i="6"/>
  <c r="F136" i="6"/>
  <c r="E136" i="6"/>
  <c r="D136" i="6"/>
  <c r="C136" i="6"/>
  <c r="B136" i="6"/>
  <c r="A136" i="6"/>
  <c r="H136" i="6" s="1"/>
  <c r="G135" i="6"/>
  <c r="F135" i="6"/>
  <c r="E135" i="6"/>
  <c r="D135" i="6"/>
  <c r="C135" i="6"/>
  <c r="B135" i="6"/>
  <c r="A135" i="6"/>
  <c r="H135" i="6" s="1"/>
  <c r="G134" i="6"/>
  <c r="F134" i="6"/>
  <c r="E134" i="6"/>
  <c r="D134" i="6"/>
  <c r="C134" i="6"/>
  <c r="B134" i="6"/>
  <c r="A134" i="6"/>
  <c r="H134" i="6" s="1"/>
  <c r="G133" i="6"/>
  <c r="F133" i="6"/>
  <c r="E133" i="6"/>
  <c r="D133" i="6"/>
  <c r="C133" i="6"/>
  <c r="B133" i="6"/>
  <c r="A133" i="6"/>
  <c r="H133" i="6" s="1"/>
  <c r="G132" i="6"/>
  <c r="F132" i="6"/>
  <c r="E132" i="6"/>
  <c r="D132" i="6"/>
  <c r="C132" i="6"/>
  <c r="B132" i="6"/>
  <c r="A132" i="6"/>
  <c r="H132" i="6" s="1"/>
  <c r="G131" i="6"/>
  <c r="F131" i="6"/>
  <c r="E131" i="6"/>
  <c r="D131" i="6"/>
  <c r="C131" i="6"/>
  <c r="B131" i="6"/>
  <c r="A131" i="6"/>
  <c r="H131" i="6" s="1"/>
  <c r="G130" i="6"/>
  <c r="F130" i="6"/>
  <c r="E130" i="6"/>
  <c r="D130" i="6"/>
  <c r="C130" i="6"/>
  <c r="B130" i="6"/>
  <c r="A130" i="6"/>
  <c r="H130" i="6" s="1"/>
  <c r="G129" i="6"/>
  <c r="F129" i="6"/>
  <c r="E129" i="6"/>
  <c r="D129" i="6"/>
  <c r="C129" i="6"/>
  <c r="B129" i="6"/>
  <c r="A129" i="6"/>
  <c r="H129" i="6" s="1"/>
  <c r="G128" i="6"/>
  <c r="F128" i="6"/>
  <c r="E128" i="6"/>
  <c r="D128" i="6"/>
  <c r="C128" i="6"/>
  <c r="B128" i="6"/>
  <c r="A128" i="6"/>
  <c r="H128" i="6" s="1"/>
  <c r="G127" i="6"/>
  <c r="F127" i="6"/>
  <c r="E127" i="6"/>
  <c r="D127" i="6"/>
  <c r="C127" i="6"/>
  <c r="B127" i="6"/>
  <c r="A127" i="6"/>
  <c r="H127" i="6" s="1"/>
  <c r="G126" i="6"/>
  <c r="F126" i="6"/>
  <c r="E126" i="6"/>
  <c r="D126" i="6"/>
  <c r="C126" i="6"/>
  <c r="B126" i="6"/>
  <c r="A126" i="6"/>
  <c r="H126" i="6" s="1"/>
  <c r="G125" i="6"/>
  <c r="F125" i="6"/>
  <c r="E125" i="6"/>
  <c r="D125" i="6"/>
  <c r="C125" i="6"/>
  <c r="B125" i="6"/>
  <c r="A125" i="6"/>
  <c r="H125" i="6" s="1"/>
  <c r="G124" i="6"/>
  <c r="F124" i="6"/>
  <c r="E124" i="6"/>
  <c r="D124" i="6"/>
  <c r="C124" i="6"/>
  <c r="B124" i="6"/>
  <c r="A124" i="6"/>
  <c r="H124" i="6" s="1"/>
  <c r="G123" i="6"/>
  <c r="F123" i="6"/>
  <c r="E123" i="6"/>
  <c r="D123" i="6"/>
  <c r="C123" i="6"/>
  <c r="B123" i="6"/>
  <c r="A123" i="6"/>
  <c r="H123" i="6" s="1"/>
  <c r="G122" i="6"/>
  <c r="F122" i="6"/>
  <c r="E122" i="6"/>
  <c r="D122" i="6"/>
  <c r="C122" i="6"/>
  <c r="B122" i="6"/>
  <c r="A122" i="6"/>
  <c r="H122" i="6" s="1"/>
  <c r="G121" i="6"/>
  <c r="F121" i="6"/>
  <c r="E121" i="6"/>
  <c r="D121" i="6"/>
  <c r="C121" i="6"/>
  <c r="B121" i="6"/>
  <c r="A121" i="6"/>
  <c r="H121" i="6" s="1"/>
  <c r="G120" i="6"/>
  <c r="F120" i="6"/>
  <c r="E120" i="6"/>
  <c r="D120" i="6"/>
  <c r="C120" i="6"/>
  <c r="B120" i="6"/>
  <c r="A120" i="6"/>
  <c r="H120" i="6" s="1"/>
  <c r="G119" i="6"/>
  <c r="F119" i="6"/>
  <c r="E119" i="6"/>
  <c r="D119" i="6"/>
  <c r="C119" i="6"/>
  <c r="B119" i="6"/>
  <c r="A119" i="6"/>
  <c r="H119" i="6" s="1"/>
  <c r="G118" i="6"/>
  <c r="F118" i="6"/>
  <c r="E118" i="6"/>
  <c r="D118" i="6"/>
  <c r="C118" i="6"/>
  <c r="B118" i="6"/>
  <c r="A118" i="6"/>
  <c r="H118" i="6" s="1"/>
  <c r="G117" i="6"/>
  <c r="F117" i="6"/>
  <c r="E117" i="6"/>
  <c r="D117" i="6"/>
  <c r="C117" i="6"/>
  <c r="B117" i="6"/>
  <c r="A117" i="6"/>
  <c r="H117" i="6" s="1"/>
  <c r="G116" i="6"/>
  <c r="F116" i="6"/>
  <c r="E116" i="6"/>
  <c r="D116" i="6"/>
  <c r="C116" i="6"/>
  <c r="B116" i="6"/>
  <c r="A116" i="6"/>
  <c r="H116" i="6" s="1"/>
  <c r="G115" i="6"/>
  <c r="F115" i="6"/>
  <c r="E115" i="6"/>
  <c r="D115" i="6"/>
  <c r="C115" i="6"/>
  <c r="B115" i="6"/>
  <c r="A115" i="6"/>
  <c r="H115" i="6" s="1"/>
  <c r="G114" i="6"/>
  <c r="F114" i="6"/>
  <c r="E114" i="6"/>
  <c r="D114" i="6"/>
  <c r="C114" i="6"/>
  <c r="B114" i="6"/>
  <c r="A114" i="6"/>
  <c r="H114" i="6" s="1"/>
  <c r="G113" i="6"/>
  <c r="F113" i="6"/>
  <c r="E113" i="6"/>
  <c r="D113" i="6"/>
  <c r="C113" i="6"/>
  <c r="B113" i="6"/>
  <c r="A113" i="6"/>
  <c r="H113" i="6" s="1"/>
  <c r="G112" i="6"/>
  <c r="F112" i="6"/>
  <c r="E112" i="6"/>
  <c r="D112" i="6"/>
  <c r="C112" i="6"/>
  <c r="B112" i="6"/>
  <c r="A112" i="6"/>
  <c r="H112" i="6" s="1"/>
  <c r="G111" i="6"/>
  <c r="F111" i="6"/>
  <c r="E111" i="6"/>
  <c r="D111" i="6"/>
  <c r="C111" i="6"/>
  <c r="B111" i="6"/>
  <c r="A111" i="6"/>
  <c r="H111" i="6" s="1"/>
  <c r="G110" i="6"/>
  <c r="F110" i="6"/>
  <c r="E110" i="6"/>
  <c r="D110" i="6"/>
  <c r="C110" i="6"/>
  <c r="B110" i="6"/>
  <c r="A110" i="6"/>
  <c r="H110" i="6" s="1"/>
  <c r="G109" i="6"/>
  <c r="F109" i="6"/>
  <c r="E109" i="6"/>
  <c r="D109" i="6"/>
  <c r="C109" i="6"/>
  <c r="B109" i="6"/>
  <c r="A109" i="6"/>
  <c r="H109" i="6" s="1"/>
  <c r="G108" i="6"/>
  <c r="F108" i="6"/>
  <c r="E108" i="6"/>
  <c r="D108" i="6"/>
  <c r="C108" i="6"/>
  <c r="B108" i="6"/>
  <c r="A108" i="6"/>
  <c r="H108" i="6" s="1"/>
  <c r="G107" i="6"/>
  <c r="F107" i="6"/>
  <c r="E107" i="6"/>
  <c r="D107" i="6"/>
  <c r="C107" i="6"/>
  <c r="B107" i="6"/>
  <c r="A107" i="6"/>
  <c r="H107" i="6" s="1"/>
  <c r="G106" i="6"/>
  <c r="F106" i="6"/>
  <c r="E106" i="6"/>
  <c r="D106" i="6"/>
  <c r="C106" i="6"/>
  <c r="B106" i="6"/>
  <c r="A106" i="6"/>
  <c r="H106" i="6" s="1"/>
  <c r="G105" i="6"/>
  <c r="F105" i="6"/>
  <c r="E105" i="6"/>
  <c r="D105" i="6"/>
  <c r="C105" i="6"/>
  <c r="B105" i="6"/>
  <c r="A105" i="6"/>
  <c r="H105" i="6" s="1"/>
  <c r="G104" i="6"/>
  <c r="F104" i="6"/>
  <c r="E104" i="6"/>
  <c r="D104" i="6"/>
  <c r="C104" i="6"/>
  <c r="B104" i="6"/>
  <c r="A104" i="6"/>
  <c r="H104" i="6" s="1"/>
  <c r="G103" i="6"/>
  <c r="F103" i="6"/>
  <c r="E103" i="6"/>
  <c r="D103" i="6"/>
  <c r="C103" i="6"/>
  <c r="B103" i="6"/>
  <c r="A103" i="6"/>
  <c r="H103" i="6" s="1"/>
  <c r="G102" i="6"/>
  <c r="F102" i="6"/>
  <c r="E102" i="6"/>
  <c r="D102" i="6"/>
  <c r="C102" i="6"/>
  <c r="B102" i="6"/>
  <c r="A102" i="6"/>
  <c r="H102" i="6" s="1"/>
  <c r="G101" i="6"/>
  <c r="F101" i="6"/>
  <c r="E101" i="6"/>
  <c r="D101" i="6"/>
  <c r="C101" i="6"/>
  <c r="B101" i="6"/>
  <c r="A101" i="6"/>
  <c r="H101" i="6" s="1"/>
  <c r="G100" i="6"/>
  <c r="F100" i="6"/>
  <c r="E100" i="6"/>
  <c r="D100" i="6"/>
  <c r="C100" i="6"/>
  <c r="B100" i="6"/>
  <c r="A100" i="6"/>
  <c r="H100" i="6" s="1"/>
  <c r="G99" i="6"/>
  <c r="F99" i="6"/>
  <c r="E99" i="6"/>
  <c r="D99" i="6"/>
  <c r="C99" i="6"/>
  <c r="B99" i="6"/>
  <c r="A99" i="6"/>
  <c r="H99" i="6" s="1"/>
  <c r="G98" i="6"/>
  <c r="F98" i="6"/>
  <c r="E98" i="6"/>
  <c r="D98" i="6"/>
  <c r="C98" i="6"/>
  <c r="B98" i="6"/>
  <c r="A98" i="6"/>
  <c r="H98" i="6" s="1"/>
  <c r="G97" i="6"/>
  <c r="F97" i="6"/>
  <c r="E97" i="6"/>
  <c r="D97" i="6"/>
  <c r="C97" i="6"/>
  <c r="B97" i="6"/>
  <c r="A97" i="6"/>
  <c r="H97" i="6" s="1"/>
  <c r="G96" i="6"/>
  <c r="F96" i="6"/>
  <c r="E96" i="6"/>
  <c r="D96" i="6"/>
  <c r="C96" i="6"/>
  <c r="B96" i="6"/>
  <c r="A96" i="6"/>
  <c r="H96" i="6" s="1"/>
  <c r="G95" i="6"/>
  <c r="F95" i="6"/>
  <c r="E95" i="6"/>
  <c r="D95" i="6"/>
  <c r="C95" i="6"/>
  <c r="B95" i="6"/>
  <c r="A95" i="6"/>
  <c r="H95" i="6" s="1"/>
  <c r="G94" i="6"/>
  <c r="F94" i="6"/>
  <c r="E94" i="6"/>
  <c r="D94" i="6"/>
  <c r="C94" i="6"/>
  <c r="B94" i="6"/>
  <c r="A94" i="6"/>
  <c r="H94" i="6" s="1"/>
  <c r="G93" i="6"/>
  <c r="F93" i="6"/>
  <c r="E93" i="6"/>
  <c r="D93" i="6"/>
  <c r="C93" i="6"/>
  <c r="B93" i="6"/>
  <c r="A93" i="6"/>
  <c r="H93" i="6" s="1"/>
  <c r="G92" i="6"/>
  <c r="F92" i="6"/>
  <c r="E92" i="6"/>
  <c r="D92" i="6"/>
  <c r="C92" i="6"/>
  <c r="B92" i="6"/>
  <c r="A92" i="6"/>
  <c r="H92" i="6" s="1"/>
  <c r="G91" i="6"/>
  <c r="F91" i="6"/>
  <c r="E91" i="6"/>
  <c r="D91" i="6"/>
  <c r="C91" i="6"/>
  <c r="B91" i="6"/>
  <c r="A91" i="6"/>
  <c r="H91" i="6" s="1"/>
  <c r="G90" i="6"/>
  <c r="F90" i="6"/>
  <c r="E90" i="6"/>
  <c r="D90" i="6"/>
  <c r="C90" i="6"/>
  <c r="B90" i="6"/>
  <c r="A90" i="6"/>
  <c r="H90" i="6" s="1"/>
  <c r="G89" i="6"/>
  <c r="F89" i="6"/>
  <c r="E89" i="6"/>
  <c r="D89" i="6"/>
  <c r="C89" i="6"/>
  <c r="B89" i="6"/>
  <c r="A89" i="6"/>
  <c r="H89" i="6" s="1"/>
  <c r="G88" i="6"/>
  <c r="F88" i="6"/>
  <c r="E88" i="6"/>
  <c r="D88" i="6"/>
  <c r="C88" i="6"/>
  <c r="B88" i="6"/>
  <c r="A88" i="6"/>
  <c r="H88" i="6" s="1"/>
  <c r="G87" i="6"/>
  <c r="F87" i="6"/>
  <c r="E87" i="6"/>
  <c r="D87" i="6"/>
  <c r="C87" i="6"/>
  <c r="B87" i="6"/>
  <c r="A87" i="6"/>
  <c r="H87" i="6" s="1"/>
  <c r="G86" i="6"/>
  <c r="F86" i="6"/>
  <c r="E86" i="6"/>
  <c r="D86" i="6"/>
  <c r="C86" i="6"/>
  <c r="B86" i="6"/>
  <c r="A86" i="6"/>
  <c r="H86" i="6" s="1"/>
  <c r="G85" i="6"/>
  <c r="F85" i="6"/>
  <c r="E85" i="6"/>
  <c r="D85" i="6"/>
  <c r="C85" i="6"/>
  <c r="B85" i="6"/>
  <c r="A85" i="6"/>
  <c r="H85" i="6" s="1"/>
  <c r="G84" i="6"/>
  <c r="F84" i="6"/>
  <c r="E84" i="6"/>
  <c r="D84" i="6"/>
  <c r="C84" i="6"/>
  <c r="B84" i="6"/>
  <c r="A84" i="6"/>
  <c r="H84" i="6" s="1"/>
  <c r="G83" i="6"/>
  <c r="F83" i="6"/>
  <c r="E83" i="6"/>
  <c r="D83" i="6"/>
  <c r="C83" i="6"/>
  <c r="B83" i="6"/>
  <c r="A83" i="6"/>
  <c r="H83" i="6" s="1"/>
  <c r="G82" i="6"/>
  <c r="F82" i="6"/>
  <c r="E82" i="6"/>
  <c r="D82" i="6"/>
  <c r="C82" i="6"/>
  <c r="B82" i="6"/>
  <c r="A82" i="6"/>
  <c r="H82" i="6" s="1"/>
  <c r="G81" i="6"/>
  <c r="F81" i="6"/>
  <c r="E81" i="6"/>
  <c r="D81" i="6"/>
  <c r="C81" i="6"/>
  <c r="B81" i="6"/>
  <c r="A81" i="6"/>
  <c r="H81" i="6" s="1"/>
  <c r="G80" i="6"/>
  <c r="F80" i="6"/>
  <c r="E80" i="6"/>
  <c r="D80" i="6"/>
  <c r="C80" i="6"/>
  <c r="B80" i="6"/>
  <c r="A80" i="6"/>
  <c r="H80" i="6" s="1"/>
  <c r="G79" i="6"/>
  <c r="F79" i="6"/>
  <c r="E79" i="6"/>
  <c r="D79" i="6"/>
  <c r="C79" i="6"/>
  <c r="B79" i="6"/>
  <c r="A79" i="6"/>
  <c r="H79" i="6" s="1"/>
  <c r="G78" i="6"/>
  <c r="F78" i="6"/>
  <c r="E78" i="6"/>
  <c r="D78" i="6"/>
  <c r="C78" i="6"/>
  <c r="B78" i="6"/>
  <c r="A78" i="6"/>
  <c r="H78" i="6" s="1"/>
  <c r="G77" i="6"/>
  <c r="F77" i="6"/>
  <c r="E77" i="6"/>
  <c r="D77" i="6"/>
  <c r="C77" i="6"/>
  <c r="B77" i="6"/>
  <c r="A77" i="6"/>
  <c r="H77" i="6" s="1"/>
  <c r="G76" i="6"/>
  <c r="F76" i="6"/>
  <c r="E76" i="6"/>
  <c r="D76" i="6"/>
  <c r="C76" i="6"/>
  <c r="B76" i="6"/>
  <c r="A76" i="6"/>
  <c r="H76" i="6" s="1"/>
  <c r="G75" i="6"/>
  <c r="F75" i="6"/>
  <c r="E75" i="6"/>
  <c r="D75" i="6"/>
  <c r="C75" i="6"/>
  <c r="B75" i="6"/>
  <c r="A75" i="6"/>
  <c r="H75" i="6" s="1"/>
  <c r="G74" i="6"/>
  <c r="F74" i="6"/>
  <c r="E74" i="6"/>
  <c r="D74" i="6"/>
  <c r="C74" i="6"/>
  <c r="B74" i="6"/>
  <c r="A74" i="6"/>
  <c r="H74" i="6" s="1"/>
  <c r="G73" i="6"/>
  <c r="F73" i="6"/>
  <c r="E73" i="6"/>
  <c r="D73" i="6"/>
  <c r="C73" i="6"/>
  <c r="B73" i="6"/>
  <c r="A73" i="6"/>
  <c r="H73" i="6" s="1"/>
  <c r="G72" i="6"/>
  <c r="F72" i="6"/>
  <c r="E72" i="6"/>
  <c r="D72" i="6"/>
  <c r="C72" i="6"/>
  <c r="B72" i="6"/>
  <c r="A72" i="6"/>
  <c r="H72" i="6" s="1"/>
  <c r="G71" i="6"/>
  <c r="F71" i="6"/>
  <c r="E71" i="6"/>
  <c r="D71" i="6"/>
  <c r="C71" i="6"/>
  <c r="B71" i="6"/>
  <c r="A71" i="6"/>
  <c r="H71" i="6" s="1"/>
  <c r="G70" i="6"/>
  <c r="F70" i="6"/>
  <c r="E70" i="6"/>
  <c r="D70" i="6"/>
  <c r="C70" i="6"/>
  <c r="B70" i="6"/>
  <c r="A70" i="6"/>
  <c r="H70" i="6" s="1"/>
  <c r="G69" i="6"/>
  <c r="F69" i="6"/>
  <c r="E69" i="6"/>
  <c r="D69" i="6"/>
  <c r="C69" i="6"/>
  <c r="B69" i="6"/>
  <c r="A69" i="6"/>
  <c r="H69" i="6" s="1"/>
  <c r="G68" i="6"/>
  <c r="F68" i="6"/>
  <c r="E68" i="6"/>
  <c r="D68" i="6"/>
  <c r="C68" i="6"/>
  <c r="B68" i="6"/>
  <c r="A68" i="6"/>
  <c r="H68" i="6" s="1"/>
  <c r="G67" i="6"/>
  <c r="F67" i="6"/>
  <c r="E67" i="6"/>
  <c r="D67" i="6"/>
  <c r="C67" i="6"/>
  <c r="B67" i="6"/>
  <c r="A67" i="6"/>
  <c r="H67" i="6" s="1"/>
  <c r="G66" i="6"/>
  <c r="F66" i="6"/>
  <c r="E66" i="6"/>
  <c r="D66" i="6"/>
  <c r="C66" i="6"/>
  <c r="B66" i="6"/>
  <c r="A66" i="6"/>
  <c r="H66" i="6" s="1"/>
  <c r="G65" i="6"/>
  <c r="F65" i="6"/>
  <c r="E65" i="6"/>
  <c r="D65" i="6"/>
  <c r="C65" i="6"/>
  <c r="B65" i="6"/>
  <c r="A65" i="6"/>
  <c r="H65" i="6" s="1"/>
  <c r="G64" i="6"/>
  <c r="F64" i="6"/>
  <c r="E64" i="6"/>
  <c r="D64" i="6"/>
  <c r="C64" i="6"/>
  <c r="B64" i="6"/>
  <c r="A64" i="6"/>
  <c r="H64" i="6" s="1"/>
  <c r="G63" i="6"/>
  <c r="F63" i="6"/>
  <c r="E63" i="6"/>
  <c r="D63" i="6"/>
  <c r="C63" i="6"/>
  <c r="B63" i="6"/>
  <c r="A63" i="6"/>
  <c r="H63" i="6" s="1"/>
  <c r="G62" i="6"/>
  <c r="F62" i="6"/>
  <c r="E62" i="6"/>
  <c r="D62" i="6"/>
  <c r="C62" i="6"/>
  <c r="B62" i="6"/>
  <c r="A62" i="6"/>
  <c r="H62" i="6" s="1"/>
  <c r="G61" i="6"/>
  <c r="F61" i="6"/>
  <c r="E61" i="6"/>
  <c r="D61" i="6"/>
  <c r="C61" i="6"/>
  <c r="B61" i="6"/>
  <c r="A61" i="6"/>
  <c r="H61" i="6" s="1"/>
  <c r="G60" i="6"/>
  <c r="F60" i="6"/>
  <c r="E60" i="6"/>
  <c r="D60" i="6"/>
  <c r="C60" i="6"/>
  <c r="B60" i="6"/>
  <c r="A60" i="6"/>
  <c r="H60" i="6" s="1"/>
  <c r="G59" i="6"/>
  <c r="F59" i="6"/>
  <c r="E59" i="6"/>
  <c r="D59" i="6"/>
  <c r="C59" i="6"/>
  <c r="B59" i="6"/>
  <c r="A59" i="6"/>
  <c r="H59" i="6" s="1"/>
  <c r="G58" i="6"/>
  <c r="F58" i="6"/>
  <c r="E58" i="6"/>
  <c r="D58" i="6"/>
  <c r="C58" i="6"/>
  <c r="B58" i="6"/>
  <c r="A58" i="6"/>
  <c r="H58" i="6" s="1"/>
  <c r="G57" i="6"/>
  <c r="F57" i="6"/>
  <c r="E57" i="6"/>
  <c r="D57" i="6"/>
  <c r="C57" i="6"/>
  <c r="B57" i="6"/>
  <c r="A57" i="6"/>
  <c r="H57" i="6" s="1"/>
  <c r="G56" i="6"/>
  <c r="F56" i="6"/>
  <c r="E56" i="6"/>
  <c r="D56" i="6"/>
  <c r="C56" i="6"/>
  <c r="B56" i="6"/>
  <c r="A56" i="6"/>
  <c r="H56" i="6" s="1"/>
  <c r="G55" i="6"/>
  <c r="F55" i="6"/>
  <c r="E55" i="6"/>
  <c r="D55" i="6"/>
  <c r="C55" i="6"/>
  <c r="B55" i="6"/>
  <c r="A55" i="6"/>
  <c r="H55" i="6" s="1"/>
  <c r="G54" i="6"/>
  <c r="F54" i="6"/>
  <c r="E54" i="6"/>
  <c r="D54" i="6"/>
  <c r="C54" i="6"/>
  <c r="B54" i="6"/>
  <c r="A54" i="6"/>
  <c r="H54" i="6" s="1"/>
  <c r="G53" i="6"/>
  <c r="F53" i="6"/>
  <c r="E53" i="6"/>
  <c r="D53" i="6"/>
  <c r="C53" i="6"/>
  <c r="B53" i="6"/>
  <c r="A53" i="6"/>
  <c r="H53" i="6" s="1"/>
  <c r="G52" i="6"/>
  <c r="F52" i="6"/>
  <c r="E52" i="6"/>
  <c r="D52" i="6"/>
  <c r="C52" i="6"/>
  <c r="B52" i="6"/>
  <c r="A52" i="6"/>
  <c r="H52" i="6" s="1"/>
  <c r="G51" i="6"/>
  <c r="F51" i="6"/>
  <c r="E51" i="6"/>
  <c r="D51" i="6"/>
  <c r="C51" i="6"/>
  <c r="B51" i="6"/>
  <c r="A51" i="6"/>
  <c r="H51" i="6" s="1"/>
  <c r="G50" i="6"/>
  <c r="F50" i="6"/>
  <c r="E50" i="6"/>
  <c r="D50" i="6"/>
  <c r="C50" i="6"/>
  <c r="B50" i="6"/>
  <c r="A50" i="6"/>
  <c r="H50" i="6" s="1"/>
  <c r="G49" i="6"/>
  <c r="F49" i="6"/>
  <c r="E49" i="6"/>
  <c r="D49" i="6"/>
  <c r="C49" i="6"/>
  <c r="B49" i="6"/>
  <c r="A49" i="6"/>
  <c r="H49" i="6" s="1"/>
  <c r="G48" i="6"/>
  <c r="F48" i="6"/>
  <c r="E48" i="6"/>
  <c r="D48" i="6"/>
  <c r="C48" i="6"/>
  <c r="B48" i="6"/>
  <c r="A48" i="6"/>
  <c r="H48" i="6" s="1"/>
  <c r="G47" i="6"/>
  <c r="F47" i="6"/>
  <c r="E47" i="6"/>
  <c r="D47" i="6"/>
  <c r="C47" i="6"/>
  <c r="B47" i="6"/>
  <c r="A47" i="6"/>
  <c r="H47" i="6" s="1"/>
  <c r="G46" i="6"/>
  <c r="F46" i="6"/>
  <c r="E46" i="6"/>
  <c r="D46" i="6"/>
  <c r="C46" i="6"/>
  <c r="B46" i="6"/>
  <c r="A46" i="6"/>
  <c r="H46" i="6" s="1"/>
  <c r="G45" i="6"/>
  <c r="F45" i="6"/>
  <c r="E45" i="6"/>
  <c r="D45" i="6"/>
  <c r="C45" i="6"/>
  <c r="B45" i="6"/>
  <c r="A45" i="6"/>
  <c r="H45" i="6" s="1"/>
  <c r="G44" i="6"/>
  <c r="F44" i="6"/>
  <c r="E44" i="6"/>
  <c r="D44" i="6"/>
  <c r="C44" i="6"/>
  <c r="B44" i="6"/>
  <c r="A44" i="6"/>
  <c r="H44" i="6" s="1"/>
  <c r="G43" i="6"/>
  <c r="F43" i="6"/>
  <c r="E43" i="6"/>
  <c r="D43" i="6"/>
  <c r="C43" i="6"/>
  <c r="B43" i="6"/>
  <c r="A43" i="6"/>
  <c r="H43" i="6" s="1"/>
  <c r="G42" i="6"/>
  <c r="F42" i="6"/>
  <c r="E42" i="6"/>
  <c r="D42" i="6"/>
  <c r="C42" i="6"/>
  <c r="B42" i="6"/>
  <c r="A42" i="6"/>
  <c r="H42" i="6" s="1"/>
  <c r="G41" i="6"/>
  <c r="F41" i="6"/>
  <c r="E41" i="6"/>
  <c r="D41" i="6"/>
  <c r="C41" i="6"/>
  <c r="B41" i="6"/>
  <c r="A41" i="6"/>
  <c r="H41" i="6" s="1"/>
  <c r="G40" i="6"/>
  <c r="F40" i="6"/>
  <c r="E40" i="6"/>
  <c r="D40" i="6"/>
  <c r="C40" i="6"/>
  <c r="B40" i="6"/>
  <c r="A40" i="6"/>
  <c r="H40" i="6" s="1"/>
  <c r="G39" i="6"/>
  <c r="F39" i="6"/>
  <c r="E39" i="6"/>
  <c r="D39" i="6"/>
  <c r="C39" i="6"/>
  <c r="B39" i="6"/>
  <c r="A39" i="6"/>
  <c r="H39" i="6" s="1"/>
  <c r="G38" i="6"/>
  <c r="F38" i="6"/>
  <c r="E38" i="6"/>
  <c r="D38" i="6"/>
  <c r="C38" i="6"/>
  <c r="B38" i="6"/>
  <c r="A38" i="6"/>
  <c r="H38" i="6" s="1"/>
  <c r="G37" i="6"/>
  <c r="F37" i="6"/>
  <c r="E37" i="6"/>
  <c r="D37" i="6"/>
  <c r="C37" i="6"/>
  <c r="B37" i="6"/>
  <c r="A37" i="6"/>
  <c r="H37" i="6" s="1"/>
  <c r="G36" i="6"/>
  <c r="F36" i="6"/>
  <c r="E36" i="6"/>
  <c r="D36" i="6"/>
  <c r="C36" i="6"/>
  <c r="B36" i="6"/>
  <c r="A36" i="6"/>
  <c r="H36" i="6" s="1"/>
  <c r="G35" i="6"/>
  <c r="F35" i="6"/>
  <c r="E35" i="6"/>
  <c r="D35" i="6"/>
  <c r="C35" i="6"/>
  <c r="B35" i="6"/>
  <c r="A35" i="6"/>
  <c r="H35" i="6" s="1"/>
  <c r="G34" i="6"/>
  <c r="F34" i="6"/>
  <c r="E34" i="6"/>
  <c r="D34" i="6"/>
  <c r="C34" i="6"/>
  <c r="B34" i="6"/>
  <c r="A34" i="6"/>
  <c r="H34" i="6" s="1"/>
  <c r="G33" i="6"/>
  <c r="F33" i="6"/>
  <c r="E33" i="6"/>
  <c r="D33" i="6"/>
  <c r="C33" i="6"/>
  <c r="B33" i="6"/>
  <c r="A33" i="6"/>
  <c r="H33" i="6" s="1"/>
  <c r="G32" i="6"/>
  <c r="F32" i="6"/>
  <c r="E32" i="6"/>
  <c r="D32" i="6"/>
  <c r="C32" i="6"/>
  <c r="B32" i="6"/>
  <c r="A32" i="6"/>
  <c r="H32" i="6" s="1"/>
  <c r="G31" i="6"/>
  <c r="F31" i="6"/>
  <c r="E31" i="6"/>
  <c r="D31" i="6"/>
  <c r="C31" i="6"/>
  <c r="B31" i="6"/>
  <c r="A31" i="6"/>
  <c r="H31" i="6" s="1"/>
  <c r="G30" i="6"/>
  <c r="F30" i="6"/>
  <c r="E30" i="6"/>
  <c r="D30" i="6"/>
  <c r="C30" i="6"/>
  <c r="B30" i="6"/>
  <c r="A30" i="6"/>
  <c r="H30" i="6" s="1"/>
  <c r="G29" i="6"/>
  <c r="F29" i="6"/>
  <c r="E29" i="6"/>
  <c r="D29" i="6"/>
  <c r="C29" i="6"/>
  <c r="B29" i="6"/>
  <c r="A29" i="6"/>
  <c r="H29" i="6" s="1"/>
  <c r="G28" i="6"/>
  <c r="F28" i="6"/>
  <c r="E28" i="6"/>
  <c r="D28" i="6"/>
  <c r="C28" i="6"/>
  <c r="B28" i="6"/>
  <c r="A28" i="6"/>
  <c r="H28" i="6" s="1"/>
  <c r="G27" i="6"/>
  <c r="F27" i="6"/>
  <c r="E27" i="6"/>
  <c r="D27" i="6"/>
  <c r="C27" i="6"/>
  <c r="B27" i="6"/>
  <c r="A27" i="6"/>
  <c r="H27" i="6" s="1"/>
  <c r="G26" i="6"/>
  <c r="F26" i="6"/>
  <c r="E26" i="6"/>
  <c r="D26" i="6"/>
  <c r="C26" i="6"/>
  <c r="B26" i="6"/>
  <c r="A26" i="6"/>
  <c r="H26" i="6" s="1"/>
  <c r="G25" i="6"/>
  <c r="F25" i="6"/>
  <c r="E25" i="6"/>
  <c r="D25" i="6"/>
  <c r="C25" i="6"/>
  <c r="B25" i="6"/>
  <c r="A25" i="6"/>
  <c r="H25" i="6" s="1"/>
  <c r="G24" i="6"/>
  <c r="F24" i="6"/>
  <c r="E24" i="6"/>
  <c r="D24" i="6"/>
  <c r="C24" i="6"/>
  <c r="B24" i="6"/>
  <c r="A24" i="6"/>
  <c r="H24" i="6" s="1"/>
  <c r="G23" i="6"/>
  <c r="F23" i="6"/>
  <c r="E23" i="6"/>
  <c r="D23" i="6"/>
  <c r="C23" i="6"/>
  <c r="B23" i="6"/>
  <c r="A23" i="6"/>
  <c r="H23" i="6" s="1"/>
  <c r="G22" i="6"/>
  <c r="F22" i="6"/>
  <c r="E22" i="6"/>
  <c r="D22" i="6"/>
  <c r="C22" i="6"/>
  <c r="B22" i="6"/>
  <c r="A22" i="6"/>
  <c r="H22" i="6" s="1"/>
  <c r="G21" i="6"/>
  <c r="F21" i="6"/>
  <c r="E21" i="6"/>
  <c r="D21" i="6"/>
  <c r="C21" i="6"/>
  <c r="B21" i="6"/>
  <c r="A21" i="6"/>
  <c r="H21" i="6" s="1"/>
  <c r="G20" i="6"/>
  <c r="F20" i="6"/>
  <c r="E20" i="6"/>
  <c r="D20" i="6"/>
  <c r="C20" i="6"/>
  <c r="B20" i="6"/>
  <c r="A20" i="6"/>
  <c r="H20" i="6" s="1"/>
  <c r="G19" i="6"/>
  <c r="F19" i="6"/>
  <c r="E19" i="6"/>
  <c r="D19" i="6"/>
  <c r="C19" i="6"/>
  <c r="B19" i="6"/>
  <c r="A19" i="6"/>
  <c r="H19" i="6" s="1"/>
  <c r="G18" i="6"/>
  <c r="F18" i="6"/>
  <c r="E18" i="6"/>
  <c r="D18" i="6"/>
  <c r="C18" i="6"/>
  <c r="B18" i="6"/>
  <c r="A18" i="6"/>
  <c r="H18" i="6" s="1"/>
  <c r="G17" i="6"/>
  <c r="F17" i="6"/>
  <c r="E17" i="6"/>
  <c r="D17" i="6"/>
  <c r="C17" i="6"/>
  <c r="B17" i="6"/>
  <c r="A17" i="6"/>
  <c r="H17" i="6" s="1"/>
  <c r="G16" i="6"/>
  <c r="F16" i="6"/>
  <c r="E16" i="6"/>
  <c r="D16" i="6"/>
  <c r="C16" i="6"/>
  <c r="B16" i="6"/>
  <c r="A16" i="6"/>
  <c r="H16" i="6" s="1"/>
  <c r="G15" i="6"/>
  <c r="F15" i="6"/>
  <c r="E15" i="6"/>
  <c r="D15" i="6"/>
  <c r="C15" i="6"/>
  <c r="B15" i="6"/>
  <c r="A15" i="6"/>
  <c r="H15" i="6" s="1"/>
  <c r="G14" i="6"/>
  <c r="F14" i="6"/>
  <c r="E14" i="6"/>
  <c r="D14" i="6"/>
  <c r="C14" i="6"/>
  <c r="B14" i="6"/>
  <c r="A14" i="6"/>
  <c r="H14" i="6" s="1"/>
  <c r="G13" i="6"/>
  <c r="F13" i="6"/>
  <c r="E13" i="6"/>
  <c r="D13" i="6"/>
  <c r="C13" i="6"/>
  <c r="B13" i="6"/>
  <c r="A13" i="6"/>
  <c r="H13" i="6" s="1"/>
  <c r="G12" i="6"/>
  <c r="F12" i="6"/>
  <c r="E12" i="6"/>
  <c r="D12" i="6"/>
  <c r="C12" i="6"/>
  <c r="B12" i="6"/>
  <c r="A12" i="6"/>
  <c r="H12" i="6" s="1"/>
  <c r="G11" i="6"/>
  <c r="F11" i="6"/>
  <c r="E11" i="6"/>
  <c r="D11" i="6"/>
  <c r="C11" i="6"/>
  <c r="B11" i="6"/>
  <c r="A11" i="6"/>
  <c r="H11" i="6" s="1"/>
  <c r="G10" i="6"/>
  <c r="F10" i="6"/>
  <c r="E10" i="6"/>
  <c r="D10" i="6"/>
  <c r="C10" i="6"/>
  <c r="B10" i="6"/>
  <c r="A10" i="6"/>
  <c r="H10" i="6" s="1"/>
  <c r="G9" i="6"/>
  <c r="F9" i="6"/>
  <c r="E9" i="6"/>
  <c r="D9" i="6"/>
  <c r="C9" i="6"/>
  <c r="B9" i="6"/>
  <c r="A9" i="6"/>
  <c r="H9" i="6" s="1"/>
  <c r="G8" i="6"/>
  <c r="F8" i="6"/>
  <c r="E8" i="6"/>
  <c r="D8" i="6"/>
  <c r="C8" i="6"/>
  <c r="B8" i="6"/>
  <c r="A8" i="6"/>
  <c r="H8" i="6" s="1"/>
  <c r="G7" i="6"/>
  <c r="F7" i="6"/>
  <c r="E7" i="6"/>
  <c r="D7" i="6"/>
  <c r="C7" i="6"/>
  <c r="B7" i="6"/>
  <c r="A7" i="6"/>
  <c r="H7" i="6" s="1"/>
  <c r="G6" i="6"/>
  <c r="F6" i="6"/>
  <c r="E6" i="6"/>
  <c r="D6" i="6"/>
  <c r="C6" i="6"/>
  <c r="B6" i="6"/>
  <c r="A6" i="6"/>
  <c r="H6" i="6" s="1"/>
  <c r="G5" i="6"/>
  <c r="F5" i="6"/>
  <c r="E5" i="6"/>
  <c r="D5" i="6"/>
  <c r="C5" i="6"/>
  <c r="B5" i="6"/>
  <c r="A5" i="6"/>
  <c r="H5" i="6" s="1"/>
  <c r="G4" i="6"/>
  <c r="F4" i="6"/>
  <c r="E4" i="6"/>
  <c r="D4" i="6"/>
  <c r="C4" i="6"/>
  <c r="B4" i="6"/>
  <c r="A4" i="6"/>
  <c r="H4" i="6" s="1"/>
  <c r="G3" i="6"/>
  <c r="F3" i="6"/>
  <c r="E3" i="6"/>
  <c r="D3" i="6"/>
  <c r="C3" i="6"/>
  <c r="B3" i="6"/>
  <c r="A3" i="6"/>
  <c r="H3" i="6" s="1"/>
  <c r="G2" i="6"/>
  <c r="F2" i="6"/>
  <c r="E2" i="6"/>
  <c r="D2" i="6"/>
  <c r="C2" i="6"/>
  <c r="B2" i="6"/>
  <c r="A2" i="6"/>
  <c r="H2" i="6" s="1"/>
  <c r="G1" i="6"/>
  <c r="F1" i="6"/>
  <c r="E1" i="6"/>
  <c r="D1" i="6"/>
  <c r="C1" i="6"/>
  <c r="B1" i="6"/>
  <c r="A1" i="6"/>
  <c r="F667" i="5"/>
  <c r="F666" i="5"/>
  <c r="F665" i="5"/>
  <c r="F633" i="5"/>
  <c r="F438" i="5"/>
  <c r="F129" i="5"/>
  <c r="F85" i="5"/>
  <c r="F38" i="5"/>
  <c r="F35" i="5"/>
  <c r="F18" i="5"/>
  <c r="E1" i="5"/>
  <c r="B1" i="5"/>
  <c r="F372" i="4"/>
  <c r="F366" i="4"/>
  <c r="F364" i="4"/>
  <c r="F327" i="4"/>
  <c r="F300" i="4"/>
  <c r="B1" i="4" s="1"/>
  <c r="F295" i="4"/>
  <c r="F287" i="4"/>
  <c r="F277" i="4"/>
  <c r="F170" i="4"/>
  <c r="F155" i="4"/>
  <c r="E2" i="4"/>
  <c r="B2" i="4"/>
  <c r="C15" i="3"/>
  <c r="E15" i="3" s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R626" i="1" s="1"/>
  <c r="H625" i="1"/>
  <c r="H624" i="1"/>
  <c r="R624" i="1" s="1"/>
  <c r="H623" i="1"/>
  <c r="H622" i="1"/>
  <c r="R622" i="1" s="1"/>
  <c r="H621" i="1"/>
  <c r="H620" i="1"/>
  <c r="R620" i="1" s="1"/>
  <c r="H619" i="1"/>
  <c r="H618" i="1"/>
  <c r="R618" i="1" s="1"/>
  <c r="H617" i="1"/>
  <c r="H616" i="1"/>
  <c r="R616" i="1" s="1"/>
  <c r="H615" i="1"/>
  <c r="H614" i="1"/>
  <c r="R614" i="1" s="1"/>
  <c r="H613" i="1"/>
  <c r="H612" i="1"/>
  <c r="R612" i="1" s="1"/>
  <c r="H611" i="1"/>
  <c r="H610" i="1"/>
  <c r="R610" i="1" s="1"/>
  <c r="H609" i="1"/>
  <c r="H608" i="1"/>
  <c r="R608" i="1" s="1"/>
  <c r="H607" i="1"/>
  <c r="H606" i="1"/>
  <c r="R606" i="1" s="1"/>
  <c r="H605" i="1"/>
  <c r="H604" i="1"/>
  <c r="R604" i="1" s="1"/>
  <c r="H603" i="1"/>
  <c r="H602" i="1"/>
  <c r="R602" i="1" s="1"/>
  <c r="H601" i="1"/>
  <c r="H600" i="1"/>
  <c r="R600" i="1" s="1"/>
  <c r="H599" i="1"/>
  <c r="H598" i="1"/>
  <c r="R598" i="1" s="1"/>
  <c r="H597" i="1"/>
  <c r="H596" i="1"/>
  <c r="R596" i="1" s="1"/>
  <c r="H595" i="1"/>
  <c r="H594" i="1"/>
  <c r="R594" i="1" s="1"/>
  <c r="H593" i="1"/>
  <c r="H592" i="1"/>
  <c r="R592" i="1" s="1"/>
  <c r="H591" i="1"/>
  <c r="H590" i="1"/>
  <c r="R590" i="1" s="1"/>
  <c r="H589" i="1"/>
  <c r="H588" i="1"/>
  <c r="R588" i="1" s="1"/>
  <c r="H587" i="1"/>
  <c r="H586" i="1"/>
  <c r="R586" i="1" s="1"/>
  <c r="H585" i="1"/>
  <c r="H584" i="1"/>
  <c r="R584" i="1" s="1"/>
  <c r="H583" i="1"/>
  <c r="H582" i="1"/>
  <c r="R582" i="1" s="1"/>
  <c r="H581" i="1"/>
  <c r="H580" i="1"/>
  <c r="R580" i="1" s="1"/>
  <c r="H579" i="1"/>
  <c r="H578" i="1"/>
  <c r="R578" i="1" s="1"/>
  <c r="H577" i="1"/>
  <c r="H576" i="1"/>
  <c r="R576" i="1" s="1"/>
  <c r="H575" i="1"/>
  <c r="H574" i="1"/>
  <c r="R574" i="1" s="1"/>
  <c r="H573" i="1"/>
  <c r="H572" i="1"/>
  <c r="R572" i="1" s="1"/>
  <c r="H571" i="1"/>
  <c r="H570" i="1"/>
  <c r="R570" i="1" s="1"/>
  <c r="H569" i="1"/>
  <c r="H568" i="1"/>
  <c r="R568" i="1" s="1"/>
  <c r="H567" i="1"/>
  <c r="H566" i="1"/>
  <c r="R566" i="1" s="1"/>
  <c r="H565" i="1"/>
  <c r="H564" i="1"/>
  <c r="R564" i="1" s="1"/>
  <c r="H563" i="1"/>
  <c r="H562" i="1"/>
  <c r="R562" i="1" s="1"/>
  <c r="H561" i="1"/>
  <c r="H560" i="1"/>
  <c r="R560" i="1" s="1"/>
  <c r="H559" i="1"/>
  <c r="H558" i="1"/>
  <c r="R558" i="1" s="1"/>
  <c r="H557" i="1"/>
  <c r="H556" i="1"/>
  <c r="R556" i="1" s="1"/>
  <c r="H555" i="1"/>
  <c r="H554" i="1"/>
  <c r="R554" i="1" s="1"/>
  <c r="H553" i="1"/>
  <c r="H552" i="1"/>
  <c r="R552" i="1" s="1"/>
  <c r="H551" i="1"/>
  <c r="H550" i="1"/>
  <c r="R550" i="1" s="1"/>
  <c r="H549" i="1"/>
  <c r="H548" i="1"/>
  <c r="R548" i="1" s="1"/>
  <c r="H547" i="1"/>
  <c r="H546" i="1"/>
  <c r="R546" i="1" s="1"/>
  <c r="H545" i="1"/>
  <c r="H544" i="1"/>
  <c r="R544" i="1" s="1"/>
  <c r="H543" i="1"/>
  <c r="H542" i="1"/>
  <c r="R542" i="1" s="1"/>
  <c r="H541" i="1"/>
  <c r="H540" i="1"/>
  <c r="R540" i="1" s="1"/>
  <c r="H539" i="1"/>
  <c r="H538" i="1"/>
  <c r="R538" i="1" s="1"/>
  <c r="H537" i="1"/>
  <c r="H536" i="1"/>
  <c r="R536" i="1" s="1"/>
  <c r="H535" i="1"/>
  <c r="H534" i="1"/>
  <c r="R534" i="1" s="1"/>
  <c r="H533" i="1"/>
  <c r="H532" i="1"/>
  <c r="R532" i="1" s="1"/>
  <c r="H531" i="1"/>
  <c r="H530" i="1"/>
  <c r="R530" i="1" s="1"/>
  <c r="H529" i="1"/>
  <c r="H528" i="1"/>
  <c r="R528" i="1" s="1"/>
  <c r="H527" i="1"/>
  <c r="H526" i="1"/>
  <c r="R526" i="1" s="1"/>
  <c r="H525" i="1"/>
  <c r="H524" i="1"/>
  <c r="R524" i="1" s="1"/>
  <c r="H523" i="1"/>
  <c r="H522" i="1"/>
  <c r="R522" i="1" s="1"/>
  <c r="H521" i="1"/>
  <c r="H520" i="1"/>
  <c r="R520" i="1" s="1"/>
  <c r="H519" i="1"/>
  <c r="H518" i="1"/>
  <c r="R518" i="1" s="1"/>
  <c r="H517" i="1"/>
  <c r="H516" i="1"/>
  <c r="R516" i="1" s="1"/>
  <c r="H515" i="1"/>
  <c r="H514" i="1"/>
  <c r="R514" i="1" s="1"/>
  <c r="H513" i="1"/>
  <c r="H512" i="1"/>
  <c r="R512" i="1" s="1"/>
  <c r="H511" i="1"/>
  <c r="H510" i="1"/>
  <c r="R510" i="1" s="1"/>
  <c r="H509" i="1"/>
  <c r="H508" i="1"/>
  <c r="R508" i="1" s="1"/>
  <c r="H507" i="1"/>
  <c r="H506" i="1"/>
  <c r="R506" i="1" s="1"/>
  <c r="H505" i="1"/>
  <c r="H504" i="1"/>
  <c r="R504" i="1" s="1"/>
  <c r="H503" i="1"/>
  <c r="H502" i="1"/>
  <c r="R502" i="1" s="1"/>
  <c r="H501" i="1"/>
  <c r="H500" i="1"/>
  <c r="R500" i="1" s="1"/>
  <c r="H499" i="1"/>
  <c r="H498" i="1"/>
  <c r="R498" i="1" s="1"/>
  <c r="H497" i="1"/>
  <c r="H496" i="1"/>
  <c r="R496" i="1" s="1"/>
  <c r="H495" i="1"/>
  <c r="H494" i="1"/>
  <c r="R494" i="1" s="1"/>
  <c r="H493" i="1"/>
  <c r="H492" i="1"/>
  <c r="R492" i="1" s="1"/>
  <c r="H491" i="1"/>
  <c r="H490" i="1"/>
  <c r="R490" i="1" s="1"/>
  <c r="H489" i="1"/>
  <c r="H488" i="1"/>
  <c r="R488" i="1" s="1"/>
  <c r="H487" i="1"/>
  <c r="H486" i="1"/>
  <c r="R486" i="1" s="1"/>
  <c r="H485" i="1"/>
  <c r="H484" i="1"/>
  <c r="R484" i="1" s="1"/>
  <c r="H483" i="1"/>
  <c r="H482" i="1"/>
  <c r="R482" i="1" s="1"/>
  <c r="H481" i="1"/>
  <c r="H480" i="1"/>
  <c r="R480" i="1" s="1"/>
  <c r="H479" i="1"/>
  <c r="H478" i="1"/>
  <c r="R478" i="1" s="1"/>
  <c r="H477" i="1"/>
  <c r="H476" i="1"/>
  <c r="R476" i="1" s="1"/>
  <c r="H475" i="1"/>
  <c r="H474" i="1"/>
  <c r="R474" i="1" s="1"/>
  <c r="H473" i="1"/>
  <c r="H472" i="1"/>
  <c r="R472" i="1" s="1"/>
  <c r="H471" i="1"/>
  <c r="H470" i="1"/>
  <c r="R470" i="1" s="1"/>
  <c r="H469" i="1"/>
  <c r="H468" i="1"/>
  <c r="R468" i="1" s="1"/>
  <c r="H467" i="1"/>
  <c r="H466" i="1"/>
  <c r="R466" i="1" s="1"/>
  <c r="H465" i="1"/>
  <c r="H464" i="1"/>
  <c r="R464" i="1" s="1"/>
  <c r="H463" i="1"/>
  <c r="H462" i="1"/>
  <c r="R462" i="1" s="1"/>
  <c r="H461" i="1"/>
  <c r="H460" i="1"/>
  <c r="R460" i="1" s="1"/>
  <c r="H459" i="1"/>
  <c r="H458" i="1"/>
  <c r="R458" i="1" s="1"/>
  <c r="H457" i="1"/>
  <c r="H456" i="1"/>
  <c r="R456" i="1" s="1"/>
  <c r="H455" i="1"/>
  <c r="H454" i="1"/>
  <c r="R454" i="1" s="1"/>
  <c r="H453" i="1"/>
  <c r="H452" i="1"/>
  <c r="R452" i="1" s="1"/>
  <c r="H451" i="1"/>
  <c r="H450" i="1"/>
  <c r="R450" i="1" s="1"/>
  <c r="H449" i="1"/>
  <c r="H448" i="1"/>
  <c r="R448" i="1" s="1"/>
  <c r="H447" i="1"/>
  <c r="H446" i="1"/>
  <c r="R446" i="1" s="1"/>
  <c r="H445" i="1"/>
  <c r="H444" i="1"/>
  <c r="R444" i="1" s="1"/>
  <c r="H443" i="1"/>
  <c r="H442" i="1"/>
  <c r="R442" i="1" s="1"/>
  <c r="H441" i="1"/>
  <c r="H440" i="1"/>
  <c r="R440" i="1" s="1"/>
  <c r="H439" i="1"/>
  <c r="H438" i="1"/>
  <c r="R438" i="1" s="1"/>
  <c r="H437" i="1"/>
  <c r="H436" i="1"/>
  <c r="R436" i="1" s="1"/>
  <c r="H435" i="1"/>
  <c r="H434" i="1"/>
  <c r="R434" i="1" s="1"/>
  <c r="H433" i="1"/>
  <c r="H432" i="1"/>
  <c r="R432" i="1" s="1"/>
  <c r="H431" i="1"/>
  <c r="H430" i="1"/>
  <c r="R430" i="1" s="1"/>
  <c r="H429" i="1"/>
  <c r="H428" i="1"/>
  <c r="R428" i="1" s="1"/>
  <c r="H427" i="1"/>
  <c r="H426" i="1"/>
  <c r="R426" i="1" s="1"/>
  <c r="H425" i="1"/>
  <c r="H424" i="1"/>
  <c r="R424" i="1" s="1"/>
  <c r="H423" i="1"/>
  <c r="H422" i="1"/>
  <c r="R422" i="1" s="1"/>
  <c r="H421" i="1"/>
  <c r="H420" i="1"/>
  <c r="R420" i="1" s="1"/>
  <c r="H419" i="1"/>
  <c r="H418" i="1"/>
  <c r="R418" i="1" s="1"/>
  <c r="H417" i="1"/>
  <c r="H416" i="1"/>
  <c r="R416" i="1" s="1"/>
  <c r="H415" i="1"/>
  <c r="H414" i="1"/>
  <c r="R414" i="1" s="1"/>
  <c r="H413" i="1"/>
  <c r="H412" i="1"/>
  <c r="R412" i="1" s="1"/>
  <c r="H411" i="1"/>
  <c r="H410" i="1"/>
  <c r="R410" i="1" s="1"/>
  <c r="H409" i="1"/>
  <c r="H408" i="1"/>
  <c r="R408" i="1" s="1"/>
  <c r="H407" i="1"/>
  <c r="H406" i="1"/>
  <c r="R406" i="1" s="1"/>
  <c r="H405" i="1"/>
  <c r="H404" i="1"/>
  <c r="R404" i="1" s="1"/>
  <c r="H403" i="1"/>
  <c r="H402" i="1"/>
  <c r="R402" i="1" s="1"/>
  <c r="H401" i="1"/>
  <c r="H400" i="1"/>
  <c r="R400" i="1" s="1"/>
  <c r="H399" i="1"/>
  <c r="H398" i="1"/>
  <c r="R398" i="1" s="1"/>
  <c r="H397" i="1"/>
  <c r="H396" i="1"/>
  <c r="R396" i="1" s="1"/>
  <c r="H395" i="1"/>
  <c r="H394" i="1"/>
  <c r="R394" i="1" s="1"/>
  <c r="H393" i="1"/>
  <c r="H392" i="1"/>
  <c r="R392" i="1" s="1"/>
  <c r="H391" i="1"/>
  <c r="H390" i="1"/>
  <c r="R390" i="1" s="1"/>
  <c r="H389" i="1"/>
  <c r="H388" i="1"/>
  <c r="R388" i="1" s="1"/>
  <c r="H387" i="1"/>
  <c r="H386" i="1"/>
  <c r="R386" i="1" s="1"/>
  <c r="H385" i="1"/>
  <c r="H384" i="1"/>
  <c r="R384" i="1" s="1"/>
  <c r="H383" i="1"/>
  <c r="H382" i="1"/>
  <c r="R382" i="1" s="1"/>
  <c r="H381" i="1"/>
  <c r="H380" i="1"/>
  <c r="R380" i="1" s="1"/>
  <c r="H379" i="1"/>
  <c r="H378" i="1"/>
  <c r="R378" i="1" s="1"/>
  <c r="H377" i="1"/>
  <c r="H376" i="1"/>
  <c r="R376" i="1" s="1"/>
  <c r="H375" i="1"/>
  <c r="H374" i="1"/>
  <c r="R374" i="1" s="1"/>
  <c r="H373" i="1"/>
  <c r="H372" i="1"/>
  <c r="R372" i="1" s="1"/>
  <c r="H371" i="1"/>
  <c r="H370" i="1"/>
  <c r="R370" i="1" s="1"/>
  <c r="H369" i="1"/>
  <c r="H368" i="1"/>
  <c r="R368" i="1" s="1"/>
  <c r="H367" i="1"/>
  <c r="H366" i="1"/>
  <c r="R366" i="1" s="1"/>
  <c r="H365" i="1"/>
  <c r="H364" i="1"/>
  <c r="R364" i="1" s="1"/>
  <c r="H363" i="1"/>
  <c r="H362" i="1"/>
  <c r="R362" i="1" s="1"/>
  <c r="H361" i="1"/>
  <c r="H360" i="1"/>
  <c r="R360" i="1" s="1"/>
  <c r="H359" i="1"/>
  <c r="H358" i="1"/>
  <c r="R358" i="1" s="1"/>
  <c r="H357" i="1"/>
  <c r="H356" i="1"/>
  <c r="R356" i="1" s="1"/>
  <c r="H355" i="1"/>
  <c r="H354" i="1"/>
  <c r="R354" i="1" s="1"/>
  <c r="H353" i="1"/>
  <c r="H352" i="1"/>
  <c r="R352" i="1" s="1"/>
  <c r="H351" i="1"/>
  <c r="H350" i="1"/>
  <c r="R350" i="1" s="1"/>
  <c r="H349" i="1"/>
  <c r="H348" i="1"/>
  <c r="R348" i="1" s="1"/>
  <c r="H347" i="1"/>
  <c r="H346" i="1"/>
  <c r="R346" i="1" s="1"/>
  <c r="H345" i="1"/>
  <c r="H344" i="1"/>
  <c r="R344" i="1" s="1"/>
  <c r="H343" i="1"/>
  <c r="H342" i="1"/>
  <c r="R342" i="1" s="1"/>
  <c r="H341" i="1"/>
  <c r="H340" i="1"/>
  <c r="R340" i="1" s="1"/>
  <c r="H339" i="1"/>
  <c r="H338" i="1"/>
  <c r="R338" i="1" s="1"/>
  <c r="H337" i="1"/>
  <c r="H336" i="1"/>
  <c r="R336" i="1" s="1"/>
  <c r="H335" i="1"/>
  <c r="H334" i="1"/>
  <c r="R334" i="1" s="1"/>
  <c r="H333" i="1"/>
  <c r="H332" i="1"/>
  <c r="R332" i="1" s="1"/>
  <c r="H331" i="1"/>
  <c r="H330" i="1"/>
  <c r="R330" i="1" s="1"/>
  <c r="H329" i="1"/>
  <c r="H328" i="1"/>
  <c r="R328" i="1" s="1"/>
  <c r="H327" i="1"/>
  <c r="H326" i="1"/>
  <c r="R326" i="1" s="1"/>
  <c r="H325" i="1"/>
  <c r="H324" i="1"/>
  <c r="R324" i="1" s="1"/>
  <c r="H323" i="1"/>
  <c r="H322" i="1"/>
  <c r="R322" i="1" s="1"/>
  <c r="H321" i="1"/>
  <c r="H320" i="1"/>
  <c r="R320" i="1" s="1"/>
  <c r="H319" i="1"/>
  <c r="H318" i="1"/>
  <c r="R318" i="1" s="1"/>
  <c r="H317" i="1"/>
  <c r="H316" i="1"/>
  <c r="R316" i="1" s="1"/>
  <c r="H315" i="1"/>
  <c r="H314" i="1"/>
  <c r="R314" i="1" s="1"/>
  <c r="H313" i="1"/>
  <c r="H312" i="1"/>
  <c r="R312" i="1" s="1"/>
  <c r="H311" i="1"/>
  <c r="H310" i="1"/>
  <c r="R310" i="1" s="1"/>
  <c r="H309" i="1"/>
  <c r="H308" i="1"/>
  <c r="R308" i="1" s="1"/>
  <c r="H307" i="1"/>
  <c r="H306" i="1"/>
  <c r="R306" i="1" s="1"/>
  <c r="H305" i="1"/>
  <c r="H304" i="1"/>
  <c r="R304" i="1" s="1"/>
  <c r="H303" i="1"/>
  <c r="H302" i="1"/>
  <c r="R302" i="1" s="1"/>
  <c r="H301" i="1"/>
  <c r="H300" i="1"/>
  <c r="R300" i="1" s="1"/>
  <c r="H299" i="1"/>
  <c r="H298" i="1"/>
  <c r="R298" i="1" s="1"/>
  <c r="H297" i="1"/>
  <c r="H296" i="1"/>
  <c r="R296" i="1" s="1"/>
  <c r="H295" i="1"/>
  <c r="H294" i="1"/>
  <c r="R294" i="1" s="1"/>
  <c r="H293" i="1"/>
  <c r="H292" i="1"/>
  <c r="S625" i="1" s="1"/>
  <c r="H291" i="1"/>
  <c r="H290" i="1"/>
  <c r="R290" i="1" s="1"/>
  <c r="H289" i="1"/>
  <c r="H288" i="1"/>
  <c r="R288" i="1" s="1"/>
  <c r="H287" i="1"/>
  <c r="H286" i="1"/>
  <c r="R286" i="1" s="1"/>
  <c r="H285" i="1"/>
  <c r="H284" i="1"/>
  <c r="R284" i="1" s="1"/>
  <c r="H283" i="1"/>
  <c r="H282" i="1"/>
  <c r="R282" i="1" s="1"/>
  <c r="H281" i="1"/>
  <c r="H280" i="1"/>
  <c r="R280" i="1" s="1"/>
  <c r="H279" i="1"/>
  <c r="H278" i="1"/>
  <c r="R278" i="1" s="1"/>
  <c r="H277" i="1"/>
  <c r="H276" i="1"/>
  <c r="R276" i="1" s="1"/>
  <c r="H275" i="1"/>
  <c r="H274" i="1"/>
  <c r="R274" i="1" s="1"/>
  <c r="H273" i="1"/>
  <c r="H272" i="1"/>
  <c r="R272" i="1" s="1"/>
  <c r="H271" i="1"/>
  <c r="H270" i="1"/>
  <c r="R270" i="1" s="1"/>
  <c r="H269" i="1"/>
  <c r="H268" i="1"/>
  <c r="R268" i="1" s="1"/>
  <c r="H267" i="1"/>
  <c r="H266" i="1"/>
  <c r="R266" i="1" s="1"/>
  <c r="H265" i="1"/>
  <c r="H264" i="1"/>
  <c r="R264" i="1" s="1"/>
  <c r="H263" i="1"/>
  <c r="H262" i="1"/>
  <c r="R262" i="1" s="1"/>
  <c r="H261" i="1"/>
  <c r="H260" i="1"/>
  <c r="R260" i="1" s="1"/>
  <c r="H259" i="1"/>
  <c r="H258" i="1"/>
  <c r="R258" i="1" s="1"/>
  <c r="H257" i="1"/>
  <c r="H256" i="1"/>
  <c r="R256" i="1" s="1"/>
  <c r="H255" i="1"/>
  <c r="H254" i="1"/>
  <c r="R254" i="1" s="1"/>
  <c r="H253" i="1"/>
  <c r="H252" i="1"/>
  <c r="R252" i="1" s="1"/>
  <c r="H251" i="1"/>
  <c r="H250" i="1"/>
  <c r="R250" i="1" s="1"/>
  <c r="H249" i="1"/>
  <c r="H248" i="1"/>
  <c r="R248" i="1" s="1"/>
  <c r="H247" i="1"/>
  <c r="H246" i="1"/>
  <c r="S245" i="1"/>
  <c r="H245" i="1"/>
  <c r="H244" i="1"/>
  <c r="S243" i="1"/>
  <c r="H243" i="1"/>
  <c r="H242" i="1"/>
  <c r="S241" i="1"/>
  <c r="H241" i="1"/>
  <c r="H240" i="1"/>
  <c r="S239" i="1"/>
  <c r="H239" i="1"/>
  <c r="H238" i="1"/>
  <c r="S237" i="1"/>
  <c r="H237" i="1"/>
  <c r="H236" i="1"/>
  <c r="S235" i="1"/>
  <c r="H235" i="1"/>
  <c r="H234" i="1"/>
  <c r="S233" i="1"/>
  <c r="H233" i="1"/>
  <c r="H232" i="1"/>
  <c r="S231" i="1"/>
  <c r="H231" i="1"/>
  <c r="H230" i="1"/>
  <c r="S229" i="1"/>
  <c r="H229" i="1"/>
  <c r="H228" i="1"/>
  <c r="S227" i="1"/>
  <c r="H227" i="1"/>
  <c r="H226" i="1"/>
  <c r="S225" i="1"/>
  <c r="H225" i="1"/>
  <c r="H224" i="1"/>
  <c r="S223" i="1"/>
  <c r="H223" i="1"/>
  <c r="H222" i="1"/>
  <c r="S221" i="1"/>
  <c r="H221" i="1"/>
  <c r="H220" i="1"/>
  <c r="S219" i="1"/>
  <c r="H219" i="1"/>
  <c r="H218" i="1"/>
  <c r="S217" i="1"/>
  <c r="H217" i="1"/>
  <c r="H216" i="1"/>
  <c r="S215" i="1"/>
  <c r="H215" i="1"/>
  <c r="H214" i="1"/>
  <c r="S213" i="1"/>
  <c r="H213" i="1"/>
  <c r="H212" i="1"/>
  <c r="S211" i="1"/>
  <c r="H211" i="1"/>
  <c r="H210" i="1"/>
  <c r="S209" i="1"/>
  <c r="H209" i="1"/>
  <c r="H208" i="1"/>
  <c r="S207" i="1"/>
  <c r="H207" i="1"/>
  <c r="H206" i="1"/>
  <c r="S205" i="1"/>
  <c r="H205" i="1"/>
  <c r="H204" i="1"/>
  <c r="S203" i="1"/>
  <c r="H203" i="1"/>
  <c r="H202" i="1"/>
  <c r="S201" i="1"/>
  <c r="H201" i="1"/>
  <c r="H200" i="1"/>
  <c r="S199" i="1"/>
  <c r="H199" i="1"/>
  <c r="H198" i="1"/>
  <c r="S197" i="1"/>
  <c r="H197" i="1"/>
  <c r="H196" i="1"/>
  <c r="S195" i="1"/>
  <c r="H195" i="1"/>
  <c r="R194" i="1"/>
  <c r="H194" i="1"/>
  <c r="S193" i="1"/>
  <c r="H193" i="1"/>
  <c r="R192" i="1"/>
  <c r="H192" i="1"/>
  <c r="S191" i="1"/>
  <c r="H191" i="1"/>
  <c r="R190" i="1"/>
  <c r="H190" i="1"/>
  <c r="S189" i="1"/>
  <c r="H189" i="1"/>
  <c r="R188" i="1"/>
  <c r="N188" i="1"/>
  <c r="H188" i="1"/>
  <c r="S187" i="1"/>
  <c r="H187" i="1"/>
  <c r="R186" i="1"/>
  <c r="N186" i="1"/>
  <c r="H186" i="1"/>
  <c r="S185" i="1"/>
  <c r="H185" i="1"/>
  <c r="R184" i="1"/>
  <c r="N184" i="1"/>
  <c r="J184" i="1"/>
  <c r="H184" i="1"/>
  <c r="S183" i="1"/>
  <c r="O183" i="1"/>
  <c r="K183" i="1"/>
  <c r="H183" i="1"/>
  <c r="T183" i="1" s="1"/>
  <c r="R182" i="1"/>
  <c r="N182" i="1"/>
  <c r="J182" i="1"/>
  <c r="H182" i="1"/>
  <c r="S181" i="1"/>
  <c r="O181" i="1"/>
  <c r="K181" i="1"/>
  <c r="H181" i="1"/>
  <c r="T181" i="1" s="1"/>
  <c r="R180" i="1"/>
  <c r="N180" i="1"/>
  <c r="J180" i="1"/>
  <c r="H180" i="1"/>
  <c r="S179" i="1"/>
  <c r="O179" i="1"/>
  <c r="K179" i="1"/>
  <c r="H179" i="1"/>
  <c r="T179" i="1" s="1"/>
  <c r="R178" i="1"/>
  <c r="N178" i="1"/>
  <c r="J178" i="1"/>
  <c r="H178" i="1"/>
  <c r="S177" i="1"/>
  <c r="O177" i="1"/>
  <c r="K177" i="1"/>
  <c r="H177" i="1"/>
  <c r="T177" i="1" s="1"/>
  <c r="R176" i="1"/>
  <c r="N176" i="1"/>
  <c r="J176" i="1"/>
  <c r="H176" i="1"/>
  <c r="S175" i="1"/>
  <c r="O175" i="1"/>
  <c r="K175" i="1"/>
  <c r="H175" i="1"/>
  <c r="T175" i="1" s="1"/>
  <c r="R174" i="1"/>
  <c r="N174" i="1"/>
  <c r="J174" i="1"/>
  <c r="H174" i="1"/>
  <c r="S173" i="1"/>
  <c r="O173" i="1"/>
  <c r="K173" i="1"/>
  <c r="H173" i="1"/>
  <c r="T173" i="1" s="1"/>
  <c r="R172" i="1"/>
  <c r="N172" i="1"/>
  <c r="J172" i="1"/>
  <c r="H172" i="1"/>
  <c r="S171" i="1"/>
  <c r="O171" i="1"/>
  <c r="K171" i="1"/>
  <c r="H171" i="1"/>
  <c r="T171" i="1" s="1"/>
  <c r="R170" i="1"/>
  <c r="N170" i="1"/>
  <c r="J170" i="1"/>
  <c r="H170" i="1"/>
  <c r="S169" i="1"/>
  <c r="O169" i="1"/>
  <c r="K169" i="1"/>
  <c r="H169" i="1"/>
  <c r="T169" i="1" s="1"/>
  <c r="R168" i="1"/>
  <c r="N168" i="1"/>
  <c r="J168" i="1"/>
  <c r="H168" i="1"/>
  <c r="S167" i="1"/>
  <c r="O167" i="1"/>
  <c r="K167" i="1"/>
  <c r="H167" i="1"/>
  <c r="T167" i="1" s="1"/>
  <c r="R166" i="1"/>
  <c r="N166" i="1"/>
  <c r="J166" i="1"/>
  <c r="H166" i="1"/>
  <c r="S165" i="1"/>
  <c r="O165" i="1"/>
  <c r="K165" i="1"/>
  <c r="H165" i="1"/>
  <c r="T165" i="1" s="1"/>
  <c r="R164" i="1"/>
  <c r="N164" i="1"/>
  <c r="J164" i="1"/>
  <c r="H164" i="1"/>
  <c r="S163" i="1"/>
  <c r="O163" i="1"/>
  <c r="K163" i="1"/>
  <c r="H163" i="1"/>
  <c r="T163" i="1" s="1"/>
  <c r="R162" i="1"/>
  <c r="N162" i="1"/>
  <c r="J162" i="1"/>
  <c r="H162" i="1"/>
  <c r="S161" i="1"/>
  <c r="O161" i="1"/>
  <c r="K161" i="1"/>
  <c r="H161" i="1"/>
  <c r="T161" i="1" s="1"/>
  <c r="R160" i="1"/>
  <c r="N160" i="1"/>
  <c r="J160" i="1"/>
  <c r="H160" i="1"/>
  <c r="S159" i="1"/>
  <c r="O159" i="1"/>
  <c r="K159" i="1"/>
  <c r="H159" i="1"/>
  <c r="T159" i="1" s="1"/>
  <c r="R158" i="1"/>
  <c r="N158" i="1"/>
  <c r="J158" i="1"/>
  <c r="H158" i="1"/>
  <c r="S157" i="1"/>
  <c r="O157" i="1"/>
  <c r="K157" i="1"/>
  <c r="H157" i="1"/>
  <c r="T157" i="1" s="1"/>
  <c r="R156" i="1"/>
  <c r="N156" i="1"/>
  <c r="J156" i="1"/>
  <c r="H156" i="1"/>
  <c r="S155" i="1"/>
  <c r="O155" i="1"/>
  <c r="K155" i="1"/>
  <c r="H155" i="1"/>
  <c r="T155" i="1" s="1"/>
  <c r="R154" i="1"/>
  <c r="N154" i="1"/>
  <c r="J154" i="1"/>
  <c r="H154" i="1"/>
  <c r="S153" i="1"/>
  <c r="O153" i="1"/>
  <c r="K153" i="1"/>
  <c r="H153" i="1"/>
  <c r="T153" i="1" s="1"/>
  <c r="R152" i="1"/>
  <c r="N152" i="1"/>
  <c r="J152" i="1"/>
  <c r="H152" i="1"/>
  <c r="S151" i="1"/>
  <c r="O151" i="1"/>
  <c r="K151" i="1"/>
  <c r="H151" i="1"/>
  <c r="T151" i="1" s="1"/>
  <c r="R150" i="1"/>
  <c r="N150" i="1"/>
  <c r="J150" i="1"/>
  <c r="H150" i="1"/>
  <c r="S149" i="1"/>
  <c r="O149" i="1"/>
  <c r="K149" i="1"/>
  <c r="H149" i="1"/>
  <c r="T149" i="1" s="1"/>
  <c r="R148" i="1"/>
  <c r="N148" i="1"/>
  <c r="J148" i="1"/>
  <c r="H148" i="1"/>
  <c r="S147" i="1"/>
  <c r="O147" i="1"/>
  <c r="K147" i="1"/>
  <c r="H147" i="1"/>
  <c r="T147" i="1" s="1"/>
  <c r="R146" i="1"/>
  <c r="N146" i="1"/>
  <c r="J146" i="1"/>
  <c r="H146" i="1"/>
  <c r="S145" i="1"/>
  <c r="O145" i="1"/>
  <c r="K145" i="1"/>
  <c r="H145" i="1"/>
  <c r="T145" i="1" s="1"/>
  <c r="R144" i="1"/>
  <c r="N144" i="1"/>
  <c r="J144" i="1"/>
  <c r="H144" i="1"/>
  <c r="S143" i="1"/>
  <c r="O143" i="1"/>
  <c r="K143" i="1"/>
  <c r="H143" i="1"/>
  <c r="T143" i="1" s="1"/>
  <c r="R142" i="1"/>
  <c r="N142" i="1"/>
  <c r="J142" i="1"/>
  <c r="H142" i="1"/>
  <c r="S141" i="1"/>
  <c r="O141" i="1"/>
  <c r="K141" i="1"/>
  <c r="H141" i="1"/>
  <c r="T141" i="1" s="1"/>
  <c r="R140" i="1"/>
  <c r="N140" i="1"/>
  <c r="J140" i="1"/>
  <c r="H140" i="1"/>
  <c r="S139" i="1"/>
  <c r="O139" i="1"/>
  <c r="K139" i="1"/>
  <c r="H139" i="1"/>
  <c r="T139" i="1" s="1"/>
  <c r="R138" i="1"/>
  <c r="N138" i="1"/>
  <c r="J138" i="1"/>
  <c r="H138" i="1"/>
  <c r="S137" i="1"/>
  <c r="O137" i="1"/>
  <c r="K137" i="1"/>
  <c r="H137" i="1"/>
  <c r="T137" i="1" s="1"/>
  <c r="R136" i="1"/>
  <c r="N136" i="1"/>
  <c r="J136" i="1"/>
  <c r="H136" i="1"/>
  <c r="S135" i="1"/>
  <c r="O135" i="1"/>
  <c r="K135" i="1"/>
  <c r="H135" i="1"/>
  <c r="T135" i="1" s="1"/>
  <c r="R134" i="1"/>
  <c r="N134" i="1"/>
  <c r="J134" i="1"/>
  <c r="H134" i="1"/>
  <c r="S133" i="1"/>
  <c r="O133" i="1"/>
  <c r="K133" i="1"/>
  <c r="H133" i="1"/>
  <c r="T133" i="1" s="1"/>
  <c r="R132" i="1"/>
  <c r="N132" i="1"/>
  <c r="J132" i="1"/>
  <c r="H132" i="1"/>
  <c r="S131" i="1"/>
  <c r="O131" i="1"/>
  <c r="K131" i="1"/>
  <c r="H131" i="1"/>
  <c r="T131" i="1" s="1"/>
  <c r="R130" i="1"/>
  <c r="N130" i="1"/>
  <c r="J130" i="1"/>
  <c r="H130" i="1"/>
  <c r="S129" i="1"/>
  <c r="O129" i="1"/>
  <c r="K129" i="1"/>
  <c r="H129" i="1"/>
  <c r="T129" i="1" s="1"/>
  <c r="R128" i="1"/>
  <c r="N128" i="1"/>
  <c r="J128" i="1"/>
  <c r="H128" i="1"/>
  <c r="S127" i="1"/>
  <c r="O127" i="1"/>
  <c r="K127" i="1"/>
  <c r="H127" i="1"/>
  <c r="T127" i="1" s="1"/>
  <c r="R126" i="1"/>
  <c r="N126" i="1"/>
  <c r="J126" i="1"/>
  <c r="H126" i="1"/>
  <c r="S125" i="1"/>
  <c r="O125" i="1"/>
  <c r="K125" i="1"/>
  <c r="H125" i="1"/>
  <c r="T125" i="1" s="1"/>
  <c r="R124" i="1"/>
  <c r="N124" i="1"/>
  <c r="J124" i="1"/>
  <c r="H124" i="1"/>
  <c r="S123" i="1"/>
  <c r="O123" i="1"/>
  <c r="K123" i="1"/>
  <c r="H123" i="1"/>
  <c r="T123" i="1" s="1"/>
  <c r="R122" i="1"/>
  <c r="N122" i="1"/>
  <c r="J122" i="1"/>
  <c r="H122" i="1"/>
  <c r="S121" i="1"/>
  <c r="O121" i="1"/>
  <c r="K121" i="1"/>
  <c r="H121" i="1"/>
  <c r="T121" i="1" s="1"/>
  <c r="R120" i="1"/>
  <c r="N120" i="1"/>
  <c r="J120" i="1"/>
  <c r="H120" i="1"/>
  <c r="S119" i="1"/>
  <c r="O119" i="1"/>
  <c r="K119" i="1"/>
  <c r="H119" i="1"/>
  <c r="T119" i="1" s="1"/>
  <c r="R118" i="1"/>
  <c r="N118" i="1"/>
  <c r="J118" i="1"/>
  <c r="H118" i="1"/>
  <c r="S117" i="1"/>
  <c r="O117" i="1"/>
  <c r="K117" i="1"/>
  <c r="H117" i="1"/>
  <c r="T117" i="1" s="1"/>
  <c r="R116" i="1"/>
  <c r="N116" i="1"/>
  <c r="J116" i="1"/>
  <c r="H116" i="1"/>
  <c r="S115" i="1"/>
  <c r="O115" i="1"/>
  <c r="K115" i="1"/>
  <c r="H115" i="1"/>
  <c r="T115" i="1" s="1"/>
  <c r="R114" i="1"/>
  <c r="N114" i="1"/>
  <c r="J114" i="1"/>
  <c r="H114" i="1"/>
  <c r="S113" i="1"/>
  <c r="O113" i="1"/>
  <c r="K113" i="1"/>
  <c r="H113" i="1"/>
  <c r="T113" i="1" s="1"/>
  <c r="R112" i="1"/>
  <c r="N112" i="1"/>
  <c r="J112" i="1"/>
  <c r="H112" i="1"/>
  <c r="S111" i="1"/>
  <c r="O111" i="1"/>
  <c r="K111" i="1"/>
  <c r="H111" i="1"/>
  <c r="T111" i="1" s="1"/>
  <c r="R110" i="1"/>
  <c r="N110" i="1"/>
  <c r="J110" i="1"/>
  <c r="H110" i="1"/>
  <c r="S109" i="1"/>
  <c r="O109" i="1"/>
  <c r="K109" i="1"/>
  <c r="H109" i="1"/>
  <c r="T109" i="1" s="1"/>
  <c r="R108" i="1"/>
  <c r="N108" i="1"/>
  <c r="J108" i="1"/>
  <c r="H108" i="1"/>
  <c r="S107" i="1"/>
  <c r="O107" i="1"/>
  <c r="K107" i="1"/>
  <c r="H107" i="1"/>
  <c r="T107" i="1" s="1"/>
  <c r="R106" i="1"/>
  <c r="N106" i="1"/>
  <c r="J106" i="1"/>
  <c r="H106" i="1"/>
  <c r="S105" i="1"/>
  <c r="O105" i="1"/>
  <c r="K105" i="1"/>
  <c r="H105" i="1"/>
  <c r="T105" i="1" s="1"/>
  <c r="R104" i="1"/>
  <c r="N104" i="1"/>
  <c r="J104" i="1"/>
  <c r="H104" i="1"/>
  <c r="S103" i="1"/>
  <c r="O103" i="1"/>
  <c r="K103" i="1"/>
  <c r="H103" i="1"/>
  <c r="T103" i="1" s="1"/>
  <c r="R102" i="1"/>
  <c r="N102" i="1"/>
  <c r="J102" i="1"/>
  <c r="H102" i="1"/>
  <c r="S101" i="1"/>
  <c r="O101" i="1"/>
  <c r="K101" i="1"/>
  <c r="H101" i="1"/>
  <c r="T101" i="1" s="1"/>
  <c r="R100" i="1"/>
  <c r="N100" i="1"/>
  <c r="J100" i="1"/>
  <c r="H100" i="1"/>
  <c r="S99" i="1"/>
  <c r="O99" i="1"/>
  <c r="K99" i="1"/>
  <c r="H99" i="1"/>
  <c r="T99" i="1" s="1"/>
  <c r="R98" i="1"/>
  <c r="N98" i="1"/>
  <c r="J98" i="1"/>
  <c r="H98" i="1"/>
  <c r="S97" i="1"/>
  <c r="O97" i="1"/>
  <c r="K97" i="1"/>
  <c r="H97" i="1"/>
  <c r="T97" i="1" s="1"/>
  <c r="R96" i="1"/>
  <c r="N96" i="1"/>
  <c r="J96" i="1"/>
  <c r="H96" i="1"/>
  <c r="S95" i="1"/>
  <c r="O95" i="1"/>
  <c r="K95" i="1"/>
  <c r="H95" i="1"/>
  <c r="T95" i="1" s="1"/>
  <c r="R94" i="1"/>
  <c r="N94" i="1"/>
  <c r="J94" i="1"/>
  <c r="H94" i="1"/>
  <c r="S93" i="1"/>
  <c r="O93" i="1"/>
  <c r="K93" i="1"/>
  <c r="H93" i="1"/>
  <c r="T93" i="1" s="1"/>
  <c r="R92" i="1"/>
  <c r="N92" i="1"/>
  <c r="J92" i="1"/>
  <c r="H92" i="1"/>
  <c r="S91" i="1"/>
  <c r="O91" i="1"/>
  <c r="K91" i="1"/>
  <c r="H91" i="1"/>
  <c r="T91" i="1" s="1"/>
  <c r="R90" i="1"/>
  <c r="N90" i="1"/>
  <c r="J90" i="1"/>
  <c r="H90" i="1"/>
  <c r="S89" i="1"/>
  <c r="O89" i="1"/>
  <c r="K89" i="1"/>
  <c r="H89" i="1"/>
  <c r="T89" i="1" s="1"/>
  <c r="R88" i="1"/>
  <c r="N88" i="1"/>
  <c r="J88" i="1"/>
  <c r="H88" i="1"/>
  <c r="S87" i="1"/>
  <c r="O87" i="1"/>
  <c r="K87" i="1"/>
  <c r="H87" i="1"/>
  <c r="S1351" i="1" s="1"/>
  <c r="R86" i="1"/>
  <c r="N86" i="1"/>
  <c r="J86" i="1"/>
  <c r="H86" i="1"/>
  <c r="S85" i="1"/>
  <c r="O85" i="1"/>
  <c r="K85" i="1"/>
  <c r="H85" i="1"/>
  <c r="T85" i="1" s="1"/>
  <c r="R84" i="1"/>
  <c r="N84" i="1"/>
  <c r="J84" i="1"/>
  <c r="H84" i="1"/>
  <c r="S83" i="1"/>
  <c r="O83" i="1"/>
  <c r="K83" i="1"/>
  <c r="H83" i="1"/>
  <c r="T83" i="1" s="1"/>
  <c r="R82" i="1"/>
  <c r="N82" i="1"/>
  <c r="J82" i="1"/>
  <c r="H82" i="1"/>
  <c r="S81" i="1"/>
  <c r="O81" i="1"/>
  <c r="K81" i="1"/>
  <c r="H81" i="1"/>
  <c r="T81" i="1" s="1"/>
  <c r="R80" i="1"/>
  <c r="N80" i="1"/>
  <c r="J80" i="1"/>
  <c r="H80" i="1"/>
  <c r="S79" i="1"/>
  <c r="O79" i="1"/>
  <c r="K79" i="1"/>
  <c r="H79" i="1"/>
  <c r="T79" i="1" s="1"/>
  <c r="R78" i="1"/>
  <c r="N78" i="1"/>
  <c r="J78" i="1"/>
  <c r="H78" i="1"/>
  <c r="S77" i="1"/>
  <c r="O77" i="1"/>
  <c r="K77" i="1"/>
  <c r="H77" i="1"/>
  <c r="T77" i="1" s="1"/>
  <c r="R76" i="1"/>
  <c r="N76" i="1"/>
  <c r="J76" i="1"/>
  <c r="H76" i="1"/>
  <c r="S75" i="1"/>
  <c r="O75" i="1"/>
  <c r="K75" i="1"/>
  <c r="H75" i="1"/>
  <c r="T75" i="1" s="1"/>
  <c r="R74" i="1"/>
  <c r="N74" i="1"/>
  <c r="J74" i="1"/>
  <c r="H74" i="1"/>
  <c r="S73" i="1"/>
  <c r="O73" i="1"/>
  <c r="K73" i="1"/>
  <c r="H73" i="1"/>
  <c r="T73" i="1" s="1"/>
  <c r="R72" i="1"/>
  <c r="N72" i="1"/>
  <c r="J72" i="1"/>
  <c r="H72" i="1"/>
  <c r="S71" i="1"/>
  <c r="O71" i="1"/>
  <c r="K71" i="1"/>
  <c r="H71" i="1"/>
  <c r="T71" i="1" s="1"/>
  <c r="R70" i="1"/>
  <c r="N70" i="1"/>
  <c r="J70" i="1"/>
  <c r="H70" i="1"/>
  <c r="S69" i="1"/>
  <c r="O69" i="1"/>
  <c r="K69" i="1"/>
  <c r="H69" i="1"/>
  <c r="T69" i="1" s="1"/>
  <c r="R68" i="1"/>
  <c r="N68" i="1"/>
  <c r="J68" i="1"/>
  <c r="H68" i="1"/>
  <c r="S67" i="1"/>
  <c r="O67" i="1"/>
  <c r="K67" i="1"/>
  <c r="H67" i="1"/>
  <c r="T67" i="1" s="1"/>
  <c r="R66" i="1"/>
  <c r="N66" i="1"/>
  <c r="J66" i="1"/>
  <c r="H66" i="1"/>
  <c r="S65" i="1"/>
  <c r="O65" i="1"/>
  <c r="K65" i="1"/>
  <c r="H65" i="1"/>
  <c r="T65" i="1" s="1"/>
  <c r="R64" i="1"/>
  <c r="N64" i="1"/>
  <c r="J64" i="1"/>
  <c r="H64" i="1"/>
  <c r="S63" i="1"/>
  <c r="O63" i="1"/>
  <c r="M63" i="1"/>
  <c r="K63" i="1"/>
  <c r="H63" i="1"/>
  <c r="T63" i="1" s="1"/>
  <c r="R62" i="1"/>
  <c r="N62" i="1"/>
  <c r="J62" i="1"/>
  <c r="H62" i="1"/>
  <c r="S61" i="1"/>
  <c r="O61" i="1"/>
  <c r="M61" i="1"/>
  <c r="K61" i="1"/>
  <c r="H61" i="1"/>
  <c r="T61" i="1" s="1"/>
  <c r="R60" i="1"/>
  <c r="N60" i="1"/>
  <c r="J60" i="1"/>
  <c r="H60" i="1"/>
  <c r="S59" i="1"/>
  <c r="O59" i="1"/>
  <c r="M59" i="1"/>
  <c r="K59" i="1"/>
  <c r="H59" i="1"/>
  <c r="T59" i="1" s="1"/>
  <c r="R58" i="1"/>
  <c r="N58" i="1"/>
  <c r="J58" i="1"/>
  <c r="H58" i="1"/>
  <c r="S57" i="1"/>
  <c r="O57" i="1"/>
  <c r="M57" i="1"/>
  <c r="K57" i="1"/>
  <c r="H57" i="1"/>
  <c r="T57" i="1" s="1"/>
  <c r="R56" i="1"/>
  <c r="N56" i="1"/>
  <c r="J56" i="1"/>
  <c r="H56" i="1"/>
  <c r="S55" i="1"/>
  <c r="O55" i="1"/>
  <c r="M55" i="1"/>
  <c r="K55" i="1"/>
  <c r="H55" i="1"/>
  <c r="T55" i="1" s="1"/>
  <c r="R54" i="1"/>
  <c r="N54" i="1"/>
  <c r="J54" i="1"/>
  <c r="H54" i="1"/>
  <c r="S53" i="1"/>
  <c r="O53" i="1"/>
  <c r="M53" i="1"/>
  <c r="K53" i="1"/>
  <c r="H53" i="1"/>
  <c r="T53" i="1" s="1"/>
  <c r="R52" i="1"/>
  <c r="N52" i="1"/>
  <c r="J52" i="1"/>
  <c r="H52" i="1"/>
  <c r="S51" i="1"/>
  <c r="O51" i="1"/>
  <c r="M51" i="1"/>
  <c r="K51" i="1"/>
  <c r="H51" i="1"/>
  <c r="T51" i="1" s="1"/>
  <c r="R50" i="1"/>
  <c r="N50" i="1"/>
  <c r="J50" i="1"/>
  <c r="H50" i="1"/>
  <c r="S49" i="1"/>
  <c r="O49" i="1"/>
  <c r="M49" i="1"/>
  <c r="K49" i="1"/>
  <c r="H49" i="1"/>
  <c r="T49" i="1" s="1"/>
  <c r="R48" i="1"/>
  <c r="N48" i="1"/>
  <c r="J48" i="1"/>
  <c r="H48" i="1"/>
  <c r="S47" i="1"/>
  <c r="O47" i="1"/>
  <c r="M47" i="1"/>
  <c r="K47" i="1"/>
  <c r="H47" i="1"/>
  <c r="T47" i="1" s="1"/>
  <c r="R46" i="1"/>
  <c r="N46" i="1"/>
  <c r="J46" i="1"/>
  <c r="H46" i="1"/>
  <c r="R246" i="1" s="1"/>
  <c r="S45" i="1"/>
  <c r="O45" i="1"/>
  <c r="M45" i="1"/>
  <c r="K45" i="1"/>
  <c r="H45" i="1"/>
  <c r="T45" i="1" s="1"/>
  <c r="R44" i="1"/>
  <c r="N44" i="1"/>
  <c r="J44" i="1"/>
  <c r="H44" i="1"/>
  <c r="S43" i="1"/>
  <c r="O43" i="1"/>
  <c r="M43" i="1"/>
  <c r="K43" i="1"/>
  <c r="H43" i="1"/>
  <c r="T43" i="1" s="1"/>
  <c r="R42" i="1"/>
  <c r="N42" i="1"/>
  <c r="J42" i="1"/>
  <c r="H42" i="1"/>
  <c r="S41" i="1"/>
  <c r="O41" i="1"/>
  <c r="M41" i="1"/>
  <c r="K41" i="1"/>
  <c r="H41" i="1"/>
  <c r="T41" i="1" s="1"/>
  <c r="R40" i="1"/>
  <c r="N40" i="1"/>
  <c r="J40" i="1"/>
  <c r="H40" i="1"/>
  <c r="S39" i="1"/>
  <c r="O39" i="1"/>
  <c r="M39" i="1"/>
  <c r="K39" i="1"/>
  <c r="H39" i="1"/>
  <c r="T39" i="1" s="1"/>
  <c r="R38" i="1"/>
  <c r="N38" i="1"/>
  <c r="J38" i="1"/>
  <c r="H38" i="1"/>
  <c r="S37" i="1"/>
  <c r="O37" i="1"/>
  <c r="M37" i="1"/>
  <c r="K37" i="1"/>
  <c r="H37" i="1"/>
  <c r="T37" i="1" s="1"/>
  <c r="R36" i="1"/>
  <c r="N36" i="1"/>
  <c r="J36" i="1"/>
  <c r="H36" i="1"/>
  <c r="S35" i="1"/>
  <c r="O35" i="1"/>
  <c r="M35" i="1"/>
  <c r="K35" i="1"/>
  <c r="H35" i="1"/>
  <c r="T35" i="1" s="1"/>
  <c r="R34" i="1"/>
  <c r="N34" i="1"/>
  <c r="J34" i="1"/>
  <c r="H34" i="1"/>
  <c r="N246" i="1" s="1"/>
  <c r="S33" i="1"/>
  <c r="O33" i="1"/>
  <c r="M33" i="1"/>
  <c r="K33" i="1"/>
  <c r="H33" i="1"/>
  <c r="T33" i="1" s="1"/>
  <c r="R32" i="1"/>
  <c r="N32" i="1"/>
  <c r="J32" i="1"/>
  <c r="H32" i="1"/>
  <c r="S31" i="1"/>
  <c r="O31" i="1"/>
  <c r="M31" i="1"/>
  <c r="K31" i="1"/>
  <c r="H31" i="1"/>
  <c r="T31" i="1" s="1"/>
  <c r="R30" i="1"/>
  <c r="N30" i="1"/>
  <c r="J30" i="1"/>
  <c r="H30" i="1"/>
  <c r="S29" i="1"/>
  <c r="O29" i="1"/>
  <c r="M29" i="1"/>
  <c r="K29" i="1"/>
  <c r="H29" i="1"/>
  <c r="T29" i="1" s="1"/>
  <c r="R28" i="1"/>
  <c r="N28" i="1"/>
  <c r="J28" i="1"/>
  <c r="H28" i="1"/>
  <c r="S27" i="1"/>
  <c r="O27" i="1"/>
  <c r="M27" i="1"/>
  <c r="K27" i="1"/>
  <c r="H27" i="1"/>
  <c r="T27" i="1" s="1"/>
  <c r="R26" i="1"/>
  <c r="N26" i="1"/>
  <c r="J26" i="1"/>
  <c r="H26" i="1"/>
  <c r="S25" i="1"/>
  <c r="O25" i="1"/>
  <c r="M25" i="1"/>
  <c r="K25" i="1"/>
  <c r="H25" i="1"/>
  <c r="T25" i="1" s="1"/>
  <c r="R24" i="1"/>
  <c r="N24" i="1"/>
  <c r="J24" i="1"/>
  <c r="H24" i="1"/>
  <c r="S23" i="1"/>
  <c r="O23" i="1"/>
  <c r="M23" i="1"/>
  <c r="K23" i="1"/>
  <c r="H23" i="1"/>
  <c r="T23" i="1" s="1"/>
  <c r="R22" i="1"/>
  <c r="N22" i="1"/>
  <c r="J22" i="1"/>
  <c r="H22" i="1"/>
  <c r="O625" i="1" s="1"/>
  <c r="S21" i="1"/>
  <c r="O21" i="1"/>
  <c r="M21" i="1"/>
  <c r="K21" i="1"/>
  <c r="H21" i="1"/>
  <c r="T21" i="1" s="1"/>
  <c r="R20" i="1"/>
  <c r="N20" i="1"/>
  <c r="J20" i="1"/>
  <c r="H20" i="1"/>
  <c r="S19" i="1"/>
  <c r="O19" i="1"/>
  <c r="M19" i="1"/>
  <c r="K19" i="1"/>
  <c r="H19" i="1"/>
  <c r="T19" i="1" s="1"/>
  <c r="R18" i="1"/>
  <c r="N18" i="1"/>
  <c r="J18" i="1"/>
  <c r="H18" i="1"/>
  <c r="S17" i="1"/>
  <c r="Q17" i="1"/>
  <c r="O17" i="1"/>
  <c r="M17" i="1"/>
  <c r="K17" i="1"/>
  <c r="H17" i="1"/>
  <c r="T17" i="1" s="1"/>
  <c r="R16" i="1"/>
  <c r="N16" i="1"/>
  <c r="J16" i="1"/>
  <c r="H16" i="1"/>
  <c r="S15" i="1"/>
  <c r="Q15" i="1"/>
  <c r="O15" i="1"/>
  <c r="M15" i="1"/>
  <c r="K15" i="1"/>
  <c r="H15" i="1"/>
  <c r="T15" i="1" s="1"/>
  <c r="R14" i="1"/>
  <c r="N14" i="1"/>
  <c r="J14" i="1"/>
  <c r="H14" i="1"/>
  <c r="S13" i="1"/>
  <c r="Q13" i="1"/>
  <c r="O13" i="1"/>
  <c r="M13" i="1"/>
  <c r="K13" i="1"/>
  <c r="H13" i="1"/>
  <c r="T13" i="1" s="1"/>
  <c r="R12" i="1"/>
  <c r="N12" i="1"/>
  <c r="J12" i="1"/>
  <c r="H12" i="1"/>
  <c r="S11" i="1"/>
  <c r="Q11" i="1"/>
  <c r="O11" i="1"/>
  <c r="M11" i="1"/>
  <c r="K11" i="1"/>
  <c r="H11" i="1"/>
  <c r="T11" i="1" s="1"/>
  <c r="R10" i="1"/>
  <c r="N10" i="1"/>
  <c r="J10" i="1"/>
  <c r="H10" i="1"/>
  <c r="S9" i="1"/>
  <c r="Q9" i="1"/>
  <c r="O9" i="1"/>
  <c r="M9" i="1"/>
  <c r="K9" i="1"/>
  <c r="H9" i="1"/>
  <c r="T9" i="1" s="1"/>
  <c r="R8" i="1"/>
  <c r="N8" i="1"/>
  <c r="J8" i="1"/>
  <c r="H8" i="1"/>
  <c r="K625" i="1" s="1"/>
  <c r="S7" i="1"/>
  <c r="Q7" i="1"/>
  <c r="O7" i="1"/>
  <c r="M7" i="1"/>
  <c r="K7" i="1"/>
  <c r="H7" i="1"/>
  <c r="T7" i="1" s="1"/>
  <c r="R6" i="1"/>
  <c r="N6" i="1"/>
  <c r="J6" i="1"/>
  <c r="H6" i="1"/>
  <c r="S5" i="1"/>
  <c r="Q5" i="1"/>
  <c r="O5" i="1"/>
  <c r="M5" i="1"/>
  <c r="K5" i="1"/>
  <c r="I5" i="1"/>
  <c r="H5" i="1"/>
  <c r="S1357" i="1" s="1"/>
  <c r="E3" i="1"/>
  <c r="E2" i="1"/>
  <c r="B2" i="1"/>
  <c r="E1" i="1"/>
  <c r="B1" i="1"/>
  <c r="E16" i="3" s="1"/>
  <c r="E17" i="3" s="1"/>
  <c r="J18" i="7" l="1"/>
  <c r="DH83" i="7"/>
  <c r="E86" i="7"/>
  <c r="E88" i="7" s="1"/>
  <c r="DH59" i="7"/>
  <c r="H65" i="7"/>
  <c r="D65" i="7"/>
  <c r="F86" i="7"/>
  <c r="F88" i="7" s="1"/>
  <c r="F65" i="7"/>
  <c r="J65" i="7"/>
  <c r="H86" i="7"/>
  <c r="H88" i="7" s="1"/>
  <c r="C18" i="7"/>
  <c r="C19" i="7" s="1"/>
  <c r="F19" i="7"/>
  <c r="H19" i="7"/>
  <c r="J19" i="7"/>
  <c r="G18" i="7"/>
  <c r="G19" i="7" s="1"/>
  <c r="I18" i="7"/>
  <c r="E19" i="7"/>
  <c r="I19" i="7"/>
  <c r="D18" i="7"/>
  <c r="D19" i="7" s="1"/>
  <c r="G88" i="7"/>
  <c r="I86" i="7"/>
  <c r="G65" i="7"/>
  <c r="I88" i="7"/>
  <c r="D88" i="7"/>
  <c r="J88" i="7"/>
  <c r="C88" i="7"/>
  <c r="C65" i="7"/>
  <c r="E65" i="7"/>
  <c r="C16" i="3"/>
  <c r="C17" i="3" s="1"/>
  <c r="B2" i="5"/>
  <c r="R21" i="6"/>
  <c r="R5" i="6"/>
  <c r="R7" i="6"/>
  <c r="R9" i="6"/>
  <c r="R15" i="6"/>
  <c r="R17" i="6"/>
  <c r="R19" i="6"/>
  <c r="P200" i="6"/>
  <c r="R4" i="6"/>
  <c r="R12" i="6"/>
  <c r="R14" i="6"/>
  <c r="R18" i="6"/>
  <c r="R26" i="6"/>
  <c r="R28" i="6"/>
  <c r="R32" i="6"/>
  <c r="R50" i="6"/>
  <c r="R52" i="6"/>
  <c r="R62" i="6"/>
  <c r="R70" i="6"/>
  <c r="R74" i="6"/>
  <c r="R90" i="6"/>
  <c r="R94" i="6"/>
  <c r="R100" i="6"/>
  <c r="R102" i="6"/>
  <c r="R104" i="6"/>
  <c r="R106" i="6"/>
  <c r="R108" i="6"/>
  <c r="R116" i="6"/>
  <c r="R118" i="6"/>
  <c r="R120" i="6"/>
  <c r="R130" i="6"/>
  <c r="R132" i="6"/>
  <c r="R140" i="6"/>
  <c r="R144" i="6"/>
  <c r="R146" i="6"/>
  <c r="R148" i="6"/>
  <c r="R150" i="6"/>
  <c r="R154" i="6"/>
  <c r="R156" i="6"/>
  <c r="R158" i="6"/>
  <c r="R160" i="6"/>
  <c r="R162" i="6"/>
  <c r="R168" i="6"/>
  <c r="R170" i="6"/>
  <c r="R178" i="6"/>
  <c r="R23" i="6"/>
  <c r="R25" i="6"/>
  <c r="R29" i="6"/>
  <c r="R31" i="6"/>
  <c r="R33" i="6"/>
  <c r="R35" i="6"/>
  <c r="R37" i="6"/>
  <c r="R41" i="6"/>
  <c r="R43" i="6"/>
  <c r="R45" i="6"/>
  <c r="R47" i="6"/>
  <c r="R49" i="6"/>
  <c r="R55" i="6"/>
  <c r="R57" i="6"/>
  <c r="R59" i="6"/>
  <c r="R61" i="6"/>
  <c r="R63" i="6"/>
  <c r="R65" i="6"/>
  <c r="R67" i="6"/>
  <c r="R73" i="6"/>
  <c r="R77" i="6"/>
  <c r="R79" i="6"/>
  <c r="R81" i="6"/>
  <c r="R83" i="6"/>
  <c r="R85" i="6"/>
  <c r="R87" i="6"/>
  <c r="R95" i="6"/>
  <c r="R109" i="6"/>
  <c r="R111" i="6"/>
  <c r="R113" i="6"/>
  <c r="R115" i="6"/>
  <c r="R121" i="6"/>
  <c r="R123" i="6"/>
  <c r="R125" i="6"/>
  <c r="R127" i="6"/>
  <c r="R135" i="6"/>
  <c r="R137" i="6"/>
  <c r="R139" i="6"/>
  <c r="R143" i="6"/>
  <c r="R145" i="6"/>
  <c r="R151" i="6"/>
  <c r="R153" i="6"/>
  <c r="R163" i="6"/>
  <c r="R165" i="6"/>
  <c r="R167" i="6"/>
  <c r="R173" i="6"/>
  <c r="R175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70" i="6"/>
  <c r="R272" i="6"/>
  <c r="R274" i="6"/>
  <c r="R276" i="6"/>
  <c r="R278" i="6"/>
  <c r="R280" i="6"/>
  <c r="R282" i="6"/>
  <c r="R284" i="6"/>
  <c r="R286" i="6"/>
  <c r="R288" i="6"/>
  <c r="R290" i="6"/>
  <c r="R292" i="6"/>
  <c r="R294" i="6"/>
  <c r="R296" i="6"/>
  <c r="R298" i="6"/>
  <c r="R300" i="6"/>
  <c r="R302" i="6"/>
  <c r="R304" i="6"/>
  <c r="R306" i="6"/>
  <c r="R308" i="6"/>
  <c r="R310" i="6"/>
  <c r="R312" i="6"/>
  <c r="R314" i="6"/>
  <c r="R316" i="6"/>
  <c r="R318" i="6"/>
  <c r="R320" i="6"/>
  <c r="R322" i="6"/>
  <c r="R324" i="6"/>
  <c r="R326" i="6"/>
  <c r="R328" i="6"/>
  <c r="R330" i="6"/>
  <c r="R332" i="6"/>
  <c r="R334" i="6"/>
  <c r="R336" i="6"/>
  <c r="R338" i="6"/>
  <c r="R340" i="6"/>
  <c r="R342" i="6"/>
  <c r="R344" i="6"/>
  <c r="R346" i="6"/>
  <c r="R348" i="6"/>
  <c r="R350" i="6"/>
  <c r="R352" i="6"/>
  <c r="R354" i="6"/>
  <c r="R356" i="6"/>
  <c r="R358" i="6"/>
  <c r="R360" i="6"/>
  <c r="R362" i="6"/>
  <c r="R364" i="6"/>
  <c r="R366" i="6"/>
  <c r="R368" i="6"/>
  <c r="R370" i="6"/>
  <c r="R372" i="6"/>
  <c r="R374" i="6"/>
  <c r="R376" i="6"/>
  <c r="R378" i="6"/>
  <c r="R380" i="6"/>
  <c r="R382" i="6"/>
  <c r="R179" i="6"/>
  <c r="R181" i="6"/>
  <c r="R189" i="6"/>
  <c r="R191" i="6"/>
  <c r="R193" i="6"/>
  <c r="R195" i="6"/>
  <c r="R197" i="6"/>
  <c r="R199" i="6"/>
  <c r="R201" i="6"/>
  <c r="R202" i="6"/>
  <c r="R203" i="6"/>
  <c r="R204" i="6"/>
  <c r="R205" i="6"/>
  <c r="R206" i="6"/>
  <c r="R207" i="6"/>
  <c r="R208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49" i="6"/>
  <c r="R250" i="6"/>
  <c r="R251" i="6"/>
  <c r="R252" i="6"/>
  <c r="R253" i="6"/>
  <c r="R254" i="6"/>
  <c r="R255" i="6"/>
  <c r="R256" i="6"/>
  <c r="P256" i="6"/>
  <c r="R258" i="6"/>
  <c r="R260" i="6"/>
  <c r="R262" i="6"/>
  <c r="R264" i="6"/>
  <c r="R266" i="6"/>
  <c r="R268" i="6"/>
  <c r="R182" i="6"/>
  <c r="R184" i="6"/>
  <c r="R186" i="6"/>
  <c r="R190" i="6"/>
  <c r="R192" i="6"/>
  <c r="R194" i="6"/>
  <c r="R196" i="6"/>
  <c r="R198" i="6"/>
  <c r="R200" i="6"/>
  <c r="R257" i="6"/>
  <c r="R259" i="6"/>
  <c r="R261" i="6"/>
  <c r="R263" i="6"/>
  <c r="R265" i="6"/>
  <c r="R267" i="6"/>
  <c r="R269" i="6"/>
  <c r="R271" i="6"/>
  <c r="R273" i="6"/>
  <c r="R275" i="6"/>
  <c r="R277" i="6"/>
  <c r="R279" i="6"/>
  <c r="R281" i="6"/>
  <c r="R283" i="6"/>
  <c r="R285" i="6"/>
  <c r="R287" i="6"/>
  <c r="R289" i="6"/>
  <c r="R291" i="6"/>
  <c r="R293" i="6"/>
  <c r="R295" i="6"/>
  <c r="R297" i="6"/>
  <c r="R299" i="6"/>
  <c r="R301" i="6"/>
  <c r="R303" i="6"/>
  <c r="R305" i="6"/>
  <c r="R307" i="6"/>
  <c r="R309" i="6"/>
  <c r="R311" i="6"/>
  <c r="R313" i="6"/>
  <c r="R315" i="6"/>
  <c r="R317" i="6"/>
  <c r="R319" i="6"/>
  <c r="R321" i="6"/>
  <c r="R323" i="6"/>
  <c r="R325" i="6"/>
  <c r="R327" i="6"/>
  <c r="R329" i="6"/>
  <c r="R331" i="6"/>
  <c r="R333" i="6"/>
  <c r="R335" i="6"/>
  <c r="R337" i="6"/>
  <c r="R339" i="6"/>
  <c r="R341" i="6"/>
  <c r="R343" i="6"/>
  <c r="R345" i="6"/>
  <c r="R347" i="6"/>
  <c r="R349" i="6"/>
  <c r="R351" i="6"/>
  <c r="R353" i="6"/>
  <c r="R355" i="6"/>
  <c r="R357" i="6"/>
  <c r="R359" i="6"/>
  <c r="R361" i="6"/>
  <c r="R363" i="6"/>
  <c r="R365" i="6"/>
  <c r="R367" i="6"/>
  <c r="R369" i="6"/>
  <c r="R371" i="6"/>
  <c r="R373" i="6"/>
  <c r="R375" i="6"/>
  <c r="R377" i="6"/>
  <c r="R379" i="6"/>
  <c r="R381" i="6"/>
  <c r="R383" i="6"/>
  <c r="R384" i="6"/>
  <c r="R386" i="6"/>
  <c r="R388" i="6"/>
  <c r="R390" i="6"/>
  <c r="R392" i="6"/>
  <c r="R394" i="6"/>
  <c r="R396" i="6"/>
  <c r="R398" i="6"/>
  <c r="R400" i="6"/>
  <c r="R402" i="6"/>
  <c r="R404" i="6"/>
  <c r="R406" i="6"/>
  <c r="R408" i="6"/>
  <c r="R410" i="6"/>
  <c r="R412" i="6"/>
  <c r="R414" i="6"/>
  <c r="R416" i="6"/>
  <c r="R418" i="6"/>
  <c r="R420" i="6"/>
  <c r="R422" i="6"/>
  <c r="R385" i="6"/>
  <c r="R387" i="6"/>
  <c r="R389" i="6"/>
  <c r="R391" i="6"/>
  <c r="R393" i="6"/>
  <c r="R395" i="6"/>
  <c r="R397" i="6"/>
  <c r="R399" i="6"/>
  <c r="R401" i="6"/>
  <c r="R403" i="6"/>
  <c r="R405" i="6"/>
  <c r="R407" i="6"/>
  <c r="R409" i="6"/>
  <c r="R411" i="6"/>
  <c r="R413" i="6"/>
  <c r="R415" i="6"/>
  <c r="R417" i="6"/>
  <c r="R419" i="6"/>
  <c r="R421" i="6"/>
  <c r="R423" i="6"/>
  <c r="T185" i="1"/>
  <c r="K185" i="1"/>
  <c r="O185" i="1"/>
  <c r="J186" i="1"/>
  <c r="T187" i="1"/>
  <c r="K187" i="1"/>
  <c r="O187" i="1"/>
  <c r="J188" i="1"/>
  <c r="T189" i="1"/>
  <c r="K189" i="1"/>
  <c r="O189" i="1"/>
  <c r="J190" i="1"/>
  <c r="N190" i="1"/>
  <c r="T191" i="1"/>
  <c r="K191" i="1"/>
  <c r="O191" i="1"/>
  <c r="J192" i="1"/>
  <c r="N192" i="1"/>
  <c r="T193" i="1"/>
  <c r="K193" i="1"/>
  <c r="O193" i="1"/>
  <c r="J194" i="1"/>
  <c r="N194" i="1"/>
  <c r="T195" i="1"/>
  <c r="K195" i="1"/>
  <c r="O195" i="1"/>
  <c r="J196" i="1"/>
  <c r="N196" i="1"/>
  <c r="R196" i="1"/>
  <c r="T197" i="1"/>
  <c r="K197" i="1"/>
  <c r="O197" i="1"/>
  <c r="J198" i="1"/>
  <c r="N198" i="1"/>
  <c r="R198" i="1"/>
  <c r="T199" i="1"/>
  <c r="K199" i="1"/>
  <c r="O199" i="1"/>
  <c r="J200" i="1"/>
  <c r="N200" i="1"/>
  <c r="R200" i="1"/>
  <c r="T201" i="1"/>
  <c r="K201" i="1"/>
  <c r="O201" i="1"/>
  <c r="J202" i="1"/>
  <c r="N202" i="1"/>
  <c r="R202" i="1"/>
  <c r="T203" i="1"/>
  <c r="K203" i="1"/>
  <c r="O203" i="1"/>
  <c r="J204" i="1"/>
  <c r="N204" i="1"/>
  <c r="R204" i="1"/>
  <c r="T205" i="1"/>
  <c r="K205" i="1"/>
  <c r="O205" i="1"/>
  <c r="J206" i="1"/>
  <c r="N206" i="1"/>
  <c r="R206" i="1"/>
  <c r="T207" i="1"/>
  <c r="K207" i="1"/>
  <c r="O207" i="1"/>
  <c r="J208" i="1"/>
  <c r="N208" i="1"/>
  <c r="R208" i="1"/>
  <c r="T209" i="1"/>
  <c r="K209" i="1"/>
  <c r="O209" i="1"/>
  <c r="J210" i="1"/>
  <c r="N210" i="1"/>
  <c r="R210" i="1"/>
  <c r="T211" i="1"/>
  <c r="K211" i="1"/>
  <c r="O211" i="1"/>
  <c r="J212" i="1"/>
  <c r="N212" i="1"/>
  <c r="R212" i="1"/>
  <c r="T213" i="1"/>
  <c r="K213" i="1"/>
  <c r="O213" i="1"/>
  <c r="J214" i="1"/>
  <c r="N214" i="1"/>
  <c r="R214" i="1"/>
  <c r="T215" i="1"/>
  <c r="K215" i="1"/>
  <c r="O215" i="1"/>
  <c r="J216" i="1"/>
  <c r="N216" i="1"/>
  <c r="R216" i="1"/>
  <c r="T217" i="1"/>
  <c r="K217" i="1"/>
  <c r="O217" i="1"/>
  <c r="J218" i="1"/>
  <c r="N218" i="1"/>
  <c r="R218" i="1"/>
  <c r="T219" i="1"/>
  <c r="K219" i="1"/>
  <c r="O219" i="1"/>
  <c r="J220" i="1"/>
  <c r="N220" i="1"/>
  <c r="R220" i="1"/>
  <c r="T221" i="1"/>
  <c r="K221" i="1"/>
  <c r="O221" i="1"/>
  <c r="J222" i="1"/>
  <c r="N222" i="1"/>
  <c r="R222" i="1"/>
  <c r="T223" i="1"/>
  <c r="K223" i="1"/>
  <c r="O223" i="1"/>
  <c r="J224" i="1"/>
  <c r="N224" i="1"/>
  <c r="R224" i="1"/>
  <c r="T225" i="1"/>
  <c r="K225" i="1"/>
  <c r="O225" i="1"/>
  <c r="J226" i="1"/>
  <c r="N226" i="1"/>
  <c r="R226" i="1"/>
  <c r="T227" i="1"/>
  <c r="K227" i="1"/>
  <c r="O227" i="1"/>
  <c r="J228" i="1"/>
  <c r="N228" i="1"/>
  <c r="R228" i="1"/>
  <c r="T229" i="1"/>
  <c r="K229" i="1"/>
  <c r="O229" i="1"/>
  <c r="J230" i="1"/>
  <c r="N230" i="1"/>
  <c r="R230" i="1"/>
  <c r="T231" i="1"/>
  <c r="K231" i="1"/>
  <c r="O231" i="1"/>
  <c r="J232" i="1"/>
  <c r="N232" i="1"/>
  <c r="R232" i="1"/>
  <c r="T233" i="1"/>
  <c r="K233" i="1"/>
  <c r="O233" i="1"/>
  <c r="J234" i="1"/>
  <c r="N234" i="1"/>
  <c r="R234" i="1"/>
  <c r="T235" i="1"/>
  <c r="K235" i="1"/>
  <c r="O235" i="1"/>
  <c r="J236" i="1"/>
  <c r="N236" i="1"/>
  <c r="R236" i="1"/>
  <c r="T237" i="1"/>
  <c r="K237" i="1"/>
  <c r="O237" i="1"/>
  <c r="J238" i="1"/>
  <c r="N238" i="1"/>
  <c r="R238" i="1"/>
  <c r="T239" i="1"/>
  <c r="K239" i="1"/>
  <c r="O239" i="1"/>
  <c r="J240" i="1"/>
  <c r="N240" i="1"/>
  <c r="R240" i="1"/>
  <c r="T241" i="1"/>
  <c r="K241" i="1"/>
  <c r="O241" i="1"/>
  <c r="J242" i="1"/>
  <c r="N242" i="1"/>
  <c r="R242" i="1"/>
  <c r="T243" i="1"/>
  <c r="K243" i="1"/>
  <c r="O243" i="1"/>
  <c r="J244" i="1"/>
  <c r="N244" i="1"/>
  <c r="R244" i="1"/>
  <c r="T245" i="1"/>
  <c r="K245" i="1"/>
  <c r="O245" i="1"/>
  <c r="J246" i="1"/>
  <c r="T247" i="1"/>
  <c r="K247" i="1"/>
  <c r="O247" i="1"/>
  <c r="S247" i="1"/>
  <c r="J248" i="1"/>
  <c r="N248" i="1"/>
  <c r="T249" i="1"/>
  <c r="K249" i="1"/>
  <c r="O249" i="1"/>
  <c r="S249" i="1"/>
  <c r="J250" i="1"/>
  <c r="N250" i="1"/>
  <c r="T251" i="1"/>
  <c r="K251" i="1"/>
  <c r="O251" i="1"/>
  <c r="S251" i="1"/>
  <c r="J252" i="1"/>
  <c r="N252" i="1"/>
  <c r="T253" i="1"/>
  <c r="K253" i="1"/>
  <c r="O253" i="1"/>
  <c r="S253" i="1"/>
  <c r="J254" i="1"/>
  <c r="N254" i="1"/>
  <c r="T255" i="1"/>
  <c r="K255" i="1"/>
  <c r="O255" i="1"/>
  <c r="S255" i="1"/>
  <c r="J256" i="1"/>
  <c r="N256" i="1"/>
  <c r="T257" i="1"/>
  <c r="K257" i="1"/>
  <c r="O257" i="1"/>
  <c r="S257" i="1"/>
  <c r="J258" i="1"/>
  <c r="N258" i="1"/>
  <c r="T259" i="1"/>
  <c r="K259" i="1"/>
  <c r="O259" i="1"/>
  <c r="S259" i="1"/>
  <c r="J260" i="1"/>
  <c r="N260" i="1"/>
  <c r="T261" i="1"/>
  <c r="K261" i="1"/>
  <c r="O261" i="1"/>
  <c r="S261" i="1"/>
  <c r="J262" i="1"/>
  <c r="N262" i="1"/>
  <c r="T263" i="1"/>
  <c r="K263" i="1"/>
  <c r="O263" i="1"/>
  <c r="S263" i="1"/>
  <c r="J264" i="1"/>
  <c r="N264" i="1"/>
  <c r="T265" i="1"/>
  <c r="K265" i="1"/>
  <c r="O265" i="1"/>
  <c r="S265" i="1"/>
  <c r="J266" i="1"/>
  <c r="N266" i="1"/>
  <c r="T267" i="1"/>
  <c r="K267" i="1"/>
  <c r="O267" i="1"/>
  <c r="S267" i="1"/>
  <c r="J268" i="1"/>
  <c r="N268" i="1"/>
  <c r="T269" i="1"/>
  <c r="K269" i="1"/>
  <c r="O269" i="1"/>
  <c r="S269" i="1"/>
  <c r="J270" i="1"/>
  <c r="N270" i="1"/>
  <c r="T271" i="1"/>
  <c r="K271" i="1"/>
  <c r="O271" i="1"/>
  <c r="S271" i="1"/>
  <c r="J272" i="1"/>
  <c r="N272" i="1"/>
  <c r="T273" i="1"/>
  <c r="K273" i="1"/>
  <c r="O273" i="1"/>
  <c r="S273" i="1"/>
  <c r="J274" i="1"/>
  <c r="N274" i="1"/>
  <c r="T275" i="1"/>
  <c r="K275" i="1"/>
  <c r="O275" i="1"/>
  <c r="S275" i="1"/>
  <c r="J276" i="1"/>
  <c r="N276" i="1"/>
  <c r="T277" i="1"/>
  <c r="K277" i="1"/>
  <c r="O277" i="1"/>
  <c r="S277" i="1"/>
  <c r="J278" i="1"/>
  <c r="N278" i="1"/>
  <c r="T279" i="1"/>
  <c r="K279" i="1"/>
  <c r="O279" i="1"/>
  <c r="S279" i="1"/>
  <c r="J280" i="1"/>
  <c r="N280" i="1"/>
  <c r="T281" i="1"/>
  <c r="K281" i="1"/>
  <c r="O281" i="1"/>
  <c r="S281" i="1"/>
  <c r="J282" i="1"/>
  <c r="N282" i="1"/>
  <c r="T283" i="1"/>
  <c r="K283" i="1"/>
  <c r="O283" i="1"/>
  <c r="S283" i="1"/>
  <c r="J284" i="1"/>
  <c r="N284" i="1"/>
  <c r="T285" i="1"/>
  <c r="K285" i="1"/>
  <c r="O285" i="1"/>
  <c r="S285" i="1"/>
  <c r="J286" i="1"/>
  <c r="N286" i="1"/>
  <c r="T287" i="1"/>
  <c r="K287" i="1"/>
  <c r="O287" i="1"/>
  <c r="S287" i="1"/>
  <c r="J288" i="1"/>
  <c r="N288" i="1"/>
  <c r="T289" i="1"/>
  <c r="K289" i="1"/>
  <c r="O289" i="1"/>
  <c r="S289" i="1"/>
  <c r="J290" i="1"/>
  <c r="N290" i="1"/>
  <c r="T291" i="1"/>
  <c r="K291" i="1"/>
  <c r="O291" i="1"/>
  <c r="S291" i="1"/>
  <c r="J292" i="1"/>
  <c r="N292" i="1"/>
  <c r="R292" i="1"/>
  <c r="T293" i="1"/>
  <c r="K293" i="1"/>
  <c r="O293" i="1"/>
  <c r="S293" i="1"/>
  <c r="J294" i="1"/>
  <c r="N294" i="1"/>
  <c r="T295" i="1"/>
  <c r="K295" i="1"/>
  <c r="O295" i="1"/>
  <c r="S295" i="1"/>
  <c r="J296" i="1"/>
  <c r="N296" i="1"/>
  <c r="T297" i="1"/>
  <c r="K297" i="1"/>
  <c r="O297" i="1"/>
  <c r="S297" i="1"/>
  <c r="J298" i="1"/>
  <c r="N298" i="1"/>
  <c r="T299" i="1"/>
  <c r="K299" i="1"/>
  <c r="O299" i="1"/>
  <c r="S299" i="1"/>
  <c r="J300" i="1"/>
  <c r="N300" i="1"/>
  <c r="T301" i="1"/>
  <c r="K301" i="1"/>
  <c r="O301" i="1"/>
  <c r="S301" i="1"/>
  <c r="J302" i="1"/>
  <c r="N302" i="1"/>
  <c r="T303" i="1"/>
  <c r="K303" i="1"/>
  <c r="O303" i="1"/>
  <c r="S303" i="1"/>
  <c r="J304" i="1"/>
  <c r="N304" i="1"/>
  <c r="T305" i="1"/>
  <c r="K305" i="1"/>
  <c r="O305" i="1"/>
  <c r="S305" i="1"/>
  <c r="J306" i="1"/>
  <c r="N306" i="1"/>
  <c r="T307" i="1"/>
  <c r="K307" i="1"/>
  <c r="O307" i="1"/>
  <c r="S307" i="1"/>
  <c r="J308" i="1"/>
  <c r="N308" i="1"/>
  <c r="T309" i="1"/>
  <c r="K309" i="1"/>
  <c r="O309" i="1"/>
  <c r="S309" i="1"/>
  <c r="J310" i="1"/>
  <c r="N310" i="1"/>
  <c r="T311" i="1"/>
  <c r="K311" i="1"/>
  <c r="O311" i="1"/>
  <c r="S311" i="1"/>
  <c r="J312" i="1"/>
  <c r="N312" i="1"/>
  <c r="T313" i="1"/>
  <c r="K313" i="1"/>
  <c r="O313" i="1"/>
  <c r="S313" i="1"/>
  <c r="J314" i="1"/>
  <c r="N314" i="1"/>
  <c r="T315" i="1"/>
  <c r="K315" i="1"/>
  <c r="O315" i="1"/>
  <c r="S315" i="1"/>
  <c r="J316" i="1"/>
  <c r="N316" i="1"/>
  <c r="T317" i="1"/>
  <c r="K317" i="1"/>
  <c r="O317" i="1"/>
  <c r="S317" i="1"/>
  <c r="J318" i="1"/>
  <c r="N318" i="1"/>
  <c r="T319" i="1"/>
  <c r="K319" i="1"/>
  <c r="O319" i="1"/>
  <c r="S319" i="1"/>
  <c r="J320" i="1"/>
  <c r="N320" i="1"/>
  <c r="T321" i="1"/>
  <c r="K321" i="1"/>
  <c r="O321" i="1"/>
  <c r="S321" i="1"/>
  <c r="J322" i="1"/>
  <c r="N322" i="1"/>
  <c r="T323" i="1"/>
  <c r="K323" i="1"/>
  <c r="O323" i="1"/>
  <c r="S323" i="1"/>
  <c r="J324" i="1"/>
  <c r="N324" i="1"/>
  <c r="T325" i="1"/>
  <c r="K325" i="1"/>
  <c r="O325" i="1"/>
  <c r="S325" i="1"/>
  <c r="J326" i="1"/>
  <c r="N326" i="1"/>
  <c r="T327" i="1"/>
  <c r="K327" i="1"/>
  <c r="O327" i="1"/>
  <c r="S327" i="1"/>
  <c r="J328" i="1"/>
  <c r="N328" i="1"/>
  <c r="T329" i="1"/>
  <c r="K329" i="1"/>
  <c r="O329" i="1"/>
  <c r="S329" i="1"/>
  <c r="J330" i="1"/>
  <c r="N330" i="1"/>
  <c r="T331" i="1"/>
  <c r="K331" i="1"/>
  <c r="O331" i="1"/>
  <c r="S331" i="1"/>
  <c r="J332" i="1"/>
  <c r="N332" i="1"/>
  <c r="T333" i="1"/>
  <c r="K333" i="1"/>
  <c r="O333" i="1"/>
  <c r="S333" i="1"/>
  <c r="J334" i="1"/>
  <c r="N334" i="1"/>
  <c r="T335" i="1"/>
  <c r="K335" i="1"/>
  <c r="O335" i="1"/>
  <c r="S335" i="1"/>
  <c r="J336" i="1"/>
  <c r="N336" i="1"/>
  <c r="T337" i="1"/>
  <c r="K337" i="1"/>
  <c r="O337" i="1"/>
  <c r="S337" i="1"/>
  <c r="J338" i="1"/>
  <c r="N338" i="1"/>
  <c r="T339" i="1"/>
  <c r="K339" i="1"/>
  <c r="O339" i="1"/>
  <c r="S339" i="1"/>
  <c r="J340" i="1"/>
  <c r="N340" i="1"/>
  <c r="T341" i="1"/>
  <c r="K341" i="1"/>
  <c r="O341" i="1"/>
  <c r="S341" i="1"/>
  <c r="J342" i="1"/>
  <c r="N342" i="1"/>
  <c r="T343" i="1"/>
  <c r="K343" i="1"/>
  <c r="O343" i="1"/>
  <c r="S343" i="1"/>
  <c r="J344" i="1"/>
  <c r="N344" i="1"/>
  <c r="T345" i="1"/>
  <c r="K345" i="1"/>
  <c r="O345" i="1"/>
  <c r="S345" i="1"/>
  <c r="J346" i="1"/>
  <c r="N346" i="1"/>
  <c r="T347" i="1"/>
  <c r="K347" i="1"/>
  <c r="O347" i="1"/>
  <c r="S347" i="1"/>
  <c r="J348" i="1"/>
  <c r="N348" i="1"/>
  <c r="T349" i="1"/>
  <c r="K349" i="1"/>
  <c r="O349" i="1"/>
  <c r="S349" i="1"/>
  <c r="J350" i="1"/>
  <c r="N350" i="1"/>
  <c r="T351" i="1"/>
  <c r="K351" i="1"/>
  <c r="O351" i="1"/>
  <c r="S351" i="1"/>
  <c r="J352" i="1"/>
  <c r="N352" i="1"/>
  <c r="T353" i="1"/>
  <c r="K353" i="1"/>
  <c r="O353" i="1"/>
  <c r="S353" i="1"/>
  <c r="J354" i="1"/>
  <c r="N354" i="1"/>
  <c r="T355" i="1"/>
  <c r="K355" i="1"/>
  <c r="O355" i="1"/>
  <c r="S355" i="1"/>
  <c r="J356" i="1"/>
  <c r="N356" i="1"/>
  <c r="T357" i="1"/>
  <c r="K357" i="1"/>
  <c r="O357" i="1"/>
  <c r="S357" i="1"/>
  <c r="J358" i="1"/>
  <c r="N358" i="1"/>
  <c r="T359" i="1"/>
  <c r="K359" i="1"/>
  <c r="O359" i="1"/>
  <c r="S359" i="1"/>
  <c r="J360" i="1"/>
  <c r="N360" i="1"/>
  <c r="T361" i="1"/>
  <c r="K361" i="1"/>
  <c r="O361" i="1"/>
  <c r="S361" i="1"/>
  <c r="J362" i="1"/>
  <c r="N362" i="1"/>
  <c r="T363" i="1"/>
  <c r="K363" i="1"/>
  <c r="O363" i="1"/>
  <c r="S363" i="1"/>
  <c r="J364" i="1"/>
  <c r="N364" i="1"/>
  <c r="T365" i="1"/>
  <c r="K365" i="1"/>
  <c r="O365" i="1"/>
  <c r="S365" i="1"/>
  <c r="J366" i="1"/>
  <c r="N366" i="1"/>
  <c r="T367" i="1"/>
  <c r="K367" i="1"/>
  <c r="O367" i="1"/>
  <c r="S367" i="1"/>
  <c r="J368" i="1"/>
  <c r="N368" i="1"/>
  <c r="T369" i="1"/>
  <c r="K369" i="1"/>
  <c r="O369" i="1"/>
  <c r="S369" i="1"/>
  <c r="J370" i="1"/>
  <c r="N370" i="1"/>
  <c r="T371" i="1"/>
  <c r="K371" i="1"/>
  <c r="O371" i="1"/>
  <c r="S371" i="1"/>
  <c r="J372" i="1"/>
  <c r="N372" i="1"/>
  <c r="T373" i="1"/>
  <c r="K373" i="1"/>
  <c r="O373" i="1"/>
  <c r="S373" i="1"/>
  <c r="J374" i="1"/>
  <c r="N374" i="1"/>
  <c r="T375" i="1"/>
  <c r="K375" i="1"/>
  <c r="O375" i="1"/>
  <c r="S375" i="1"/>
  <c r="J376" i="1"/>
  <c r="N376" i="1"/>
  <c r="T377" i="1"/>
  <c r="K377" i="1"/>
  <c r="O377" i="1"/>
  <c r="S377" i="1"/>
  <c r="J378" i="1"/>
  <c r="N378" i="1"/>
  <c r="T379" i="1"/>
  <c r="K379" i="1"/>
  <c r="O379" i="1"/>
  <c r="S379" i="1"/>
  <c r="J380" i="1"/>
  <c r="N380" i="1"/>
  <c r="T381" i="1"/>
  <c r="K381" i="1"/>
  <c r="O381" i="1"/>
  <c r="S381" i="1"/>
  <c r="J382" i="1"/>
  <c r="N382" i="1"/>
  <c r="T383" i="1"/>
  <c r="K383" i="1"/>
  <c r="O383" i="1"/>
  <c r="S383" i="1"/>
  <c r="J384" i="1"/>
  <c r="N384" i="1"/>
  <c r="T385" i="1"/>
  <c r="K385" i="1"/>
  <c r="O385" i="1"/>
  <c r="S385" i="1"/>
  <c r="J386" i="1"/>
  <c r="N386" i="1"/>
  <c r="T387" i="1"/>
  <c r="K387" i="1"/>
  <c r="O387" i="1"/>
  <c r="S387" i="1"/>
  <c r="J388" i="1"/>
  <c r="N388" i="1"/>
  <c r="T389" i="1"/>
  <c r="K389" i="1"/>
  <c r="O389" i="1"/>
  <c r="S389" i="1"/>
  <c r="J390" i="1"/>
  <c r="N390" i="1"/>
  <c r="T391" i="1"/>
  <c r="K391" i="1"/>
  <c r="O391" i="1"/>
  <c r="S391" i="1"/>
  <c r="J392" i="1"/>
  <c r="N392" i="1"/>
  <c r="T393" i="1"/>
  <c r="K393" i="1"/>
  <c r="O393" i="1"/>
  <c r="S393" i="1"/>
  <c r="J394" i="1"/>
  <c r="N394" i="1"/>
  <c r="T395" i="1"/>
  <c r="K395" i="1"/>
  <c r="O395" i="1"/>
  <c r="S395" i="1"/>
  <c r="J396" i="1"/>
  <c r="N396" i="1"/>
  <c r="T397" i="1"/>
  <c r="K397" i="1"/>
  <c r="O397" i="1"/>
  <c r="S397" i="1"/>
  <c r="J398" i="1"/>
  <c r="N398" i="1"/>
  <c r="T399" i="1"/>
  <c r="K399" i="1"/>
  <c r="O399" i="1"/>
  <c r="S399" i="1"/>
  <c r="J400" i="1"/>
  <c r="N400" i="1"/>
  <c r="T401" i="1"/>
  <c r="K401" i="1"/>
  <c r="O401" i="1"/>
  <c r="S401" i="1"/>
  <c r="J402" i="1"/>
  <c r="N402" i="1"/>
  <c r="T403" i="1"/>
  <c r="K403" i="1"/>
  <c r="O403" i="1"/>
  <c r="S403" i="1"/>
  <c r="J404" i="1"/>
  <c r="N404" i="1"/>
  <c r="T405" i="1"/>
  <c r="K405" i="1"/>
  <c r="O405" i="1"/>
  <c r="S405" i="1"/>
  <c r="J406" i="1"/>
  <c r="N406" i="1"/>
  <c r="T407" i="1"/>
  <c r="K407" i="1"/>
  <c r="O407" i="1"/>
  <c r="S407" i="1"/>
  <c r="J408" i="1"/>
  <c r="N408" i="1"/>
  <c r="T409" i="1"/>
  <c r="K409" i="1"/>
  <c r="O409" i="1"/>
  <c r="S409" i="1"/>
  <c r="J410" i="1"/>
  <c r="N410" i="1"/>
  <c r="T411" i="1"/>
  <c r="K411" i="1"/>
  <c r="O411" i="1"/>
  <c r="S411" i="1"/>
  <c r="J412" i="1"/>
  <c r="N412" i="1"/>
  <c r="T413" i="1"/>
  <c r="K413" i="1"/>
  <c r="O413" i="1"/>
  <c r="S413" i="1"/>
  <c r="J414" i="1"/>
  <c r="N414" i="1"/>
  <c r="T415" i="1"/>
  <c r="K415" i="1"/>
  <c r="O415" i="1"/>
  <c r="S415" i="1"/>
  <c r="J416" i="1"/>
  <c r="N416" i="1"/>
  <c r="T417" i="1"/>
  <c r="K417" i="1"/>
  <c r="O417" i="1"/>
  <c r="S417" i="1"/>
  <c r="J418" i="1"/>
  <c r="N418" i="1"/>
  <c r="T419" i="1"/>
  <c r="K419" i="1"/>
  <c r="O419" i="1"/>
  <c r="S419" i="1"/>
  <c r="J420" i="1"/>
  <c r="N420" i="1"/>
  <c r="T421" i="1"/>
  <c r="K421" i="1"/>
  <c r="O421" i="1"/>
  <c r="S421" i="1"/>
  <c r="J422" i="1"/>
  <c r="N422" i="1"/>
  <c r="T423" i="1"/>
  <c r="K423" i="1"/>
  <c r="O423" i="1"/>
  <c r="S423" i="1"/>
  <c r="J424" i="1"/>
  <c r="N424" i="1"/>
  <c r="T425" i="1"/>
  <c r="K425" i="1"/>
  <c r="O425" i="1"/>
  <c r="S425" i="1"/>
  <c r="J426" i="1"/>
  <c r="N426" i="1"/>
  <c r="T427" i="1"/>
  <c r="K427" i="1"/>
  <c r="O427" i="1"/>
  <c r="S427" i="1"/>
  <c r="J428" i="1"/>
  <c r="N428" i="1"/>
  <c r="T429" i="1"/>
  <c r="K429" i="1"/>
  <c r="O429" i="1"/>
  <c r="S429" i="1"/>
  <c r="J430" i="1"/>
  <c r="N430" i="1"/>
  <c r="T431" i="1"/>
  <c r="K431" i="1"/>
  <c r="O431" i="1"/>
  <c r="S431" i="1"/>
  <c r="J432" i="1"/>
  <c r="N432" i="1"/>
  <c r="T433" i="1"/>
  <c r="K433" i="1"/>
  <c r="O433" i="1"/>
  <c r="S433" i="1"/>
  <c r="J434" i="1"/>
  <c r="N434" i="1"/>
  <c r="T435" i="1"/>
  <c r="K435" i="1"/>
  <c r="O435" i="1"/>
  <c r="S435" i="1"/>
  <c r="J436" i="1"/>
  <c r="N436" i="1"/>
  <c r="T437" i="1"/>
  <c r="K437" i="1"/>
  <c r="O437" i="1"/>
  <c r="S437" i="1"/>
  <c r="J438" i="1"/>
  <c r="N438" i="1"/>
  <c r="T439" i="1"/>
  <c r="K439" i="1"/>
  <c r="O439" i="1"/>
  <c r="S439" i="1"/>
  <c r="J440" i="1"/>
  <c r="N440" i="1"/>
  <c r="T441" i="1"/>
  <c r="K441" i="1"/>
  <c r="O441" i="1"/>
  <c r="S441" i="1"/>
  <c r="J442" i="1"/>
  <c r="N442" i="1"/>
  <c r="T443" i="1"/>
  <c r="K443" i="1"/>
  <c r="O443" i="1"/>
  <c r="S443" i="1"/>
  <c r="J444" i="1"/>
  <c r="N444" i="1"/>
  <c r="T445" i="1"/>
  <c r="K445" i="1"/>
  <c r="O445" i="1"/>
  <c r="S445" i="1"/>
  <c r="J446" i="1"/>
  <c r="N446" i="1"/>
  <c r="T447" i="1"/>
  <c r="K447" i="1"/>
  <c r="O447" i="1"/>
  <c r="S447" i="1"/>
  <c r="J448" i="1"/>
  <c r="N448" i="1"/>
  <c r="T449" i="1"/>
  <c r="K449" i="1"/>
  <c r="O449" i="1"/>
  <c r="S449" i="1"/>
  <c r="J450" i="1"/>
  <c r="N450" i="1"/>
  <c r="T451" i="1"/>
  <c r="K451" i="1"/>
  <c r="O451" i="1"/>
  <c r="S451" i="1"/>
  <c r="J452" i="1"/>
  <c r="N452" i="1"/>
  <c r="T453" i="1"/>
  <c r="K453" i="1"/>
  <c r="O453" i="1"/>
  <c r="S453" i="1"/>
  <c r="J454" i="1"/>
  <c r="N454" i="1"/>
  <c r="T455" i="1"/>
  <c r="K455" i="1"/>
  <c r="O455" i="1"/>
  <c r="S455" i="1"/>
  <c r="J456" i="1"/>
  <c r="N456" i="1"/>
  <c r="T457" i="1"/>
  <c r="K457" i="1"/>
  <c r="O457" i="1"/>
  <c r="S457" i="1"/>
  <c r="J458" i="1"/>
  <c r="N458" i="1"/>
  <c r="T459" i="1"/>
  <c r="K459" i="1"/>
  <c r="O459" i="1"/>
  <c r="S459" i="1"/>
  <c r="J460" i="1"/>
  <c r="N460" i="1"/>
  <c r="T461" i="1"/>
  <c r="K461" i="1"/>
  <c r="O461" i="1"/>
  <c r="S461" i="1"/>
  <c r="J462" i="1"/>
  <c r="N462" i="1"/>
  <c r="T463" i="1"/>
  <c r="K463" i="1"/>
  <c r="O463" i="1"/>
  <c r="S463" i="1"/>
  <c r="J464" i="1"/>
  <c r="N464" i="1"/>
  <c r="T465" i="1"/>
  <c r="K465" i="1"/>
  <c r="O465" i="1"/>
  <c r="S465" i="1"/>
  <c r="J466" i="1"/>
  <c r="N466" i="1"/>
  <c r="T467" i="1"/>
  <c r="K467" i="1"/>
  <c r="O467" i="1"/>
  <c r="S467" i="1"/>
  <c r="J468" i="1"/>
  <c r="N468" i="1"/>
  <c r="T469" i="1"/>
  <c r="K469" i="1"/>
  <c r="O469" i="1"/>
  <c r="S469" i="1"/>
  <c r="J470" i="1"/>
  <c r="N470" i="1"/>
  <c r="T471" i="1"/>
  <c r="K471" i="1"/>
  <c r="O471" i="1"/>
  <c r="S471" i="1"/>
  <c r="J472" i="1"/>
  <c r="N472" i="1"/>
  <c r="T473" i="1"/>
  <c r="K473" i="1"/>
  <c r="O473" i="1"/>
  <c r="S473" i="1"/>
  <c r="J474" i="1"/>
  <c r="N474" i="1"/>
  <c r="T475" i="1"/>
  <c r="K475" i="1"/>
  <c r="O475" i="1"/>
  <c r="S475" i="1"/>
  <c r="J476" i="1"/>
  <c r="N476" i="1"/>
  <c r="T477" i="1"/>
  <c r="K477" i="1"/>
  <c r="O477" i="1"/>
  <c r="S477" i="1"/>
  <c r="J478" i="1"/>
  <c r="N478" i="1"/>
  <c r="T479" i="1"/>
  <c r="K479" i="1"/>
  <c r="O479" i="1"/>
  <c r="S479" i="1"/>
  <c r="J480" i="1"/>
  <c r="N480" i="1"/>
  <c r="T481" i="1"/>
  <c r="K481" i="1"/>
  <c r="O481" i="1"/>
  <c r="S481" i="1"/>
  <c r="J482" i="1"/>
  <c r="N482" i="1"/>
  <c r="T483" i="1"/>
  <c r="K483" i="1"/>
  <c r="O483" i="1"/>
  <c r="S483" i="1"/>
  <c r="J484" i="1"/>
  <c r="N484" i="1"/>
  <c r="T485" i="1"/>
  <c r="K485" i="1"/>
  <c r="O485" i="1"/>
  <c r="S485" i="1"/>
  <c r="J486" i="1"/>
  <c r="N486" i="1"/>
  <c r="T487" i="1"/>
  <c r="K487" i="1"/>
  <c r="O487" i="1"/>
  <c r="S487" i="1"/>
  <c r="J488" i="1"/>
  <c r="N488" i="1"/>
  <c r="T489" i="1"/>
  <c r="K489" i="1"/>
  <c r="O489" i="1"/>
  <c r="S489" i="1"/>
  <c r="J490" i="1"/>
  <c r="N490" i="1"/>
  <c r="T491" i="1"/>
  <c r="K491" i="1"/>
  <c r="O491" i="1"/>
  <c r="S491" i="1"/>
  <c r="J492" i="1"/>
  <c r="N492" i="1"/>
  <c r="T493" i="1"/>
  <c r="K493" i="1"/>
  <c r="O493" i="1"/>
  <c r="S493" i="1"/>
  <c r="J494" i="1"/>
  <c r="N494" i="1"/>
  <c r="T495" i="1"/>
  <c r="K495" i="1"/>
  <c r="O495" i="1"/>
  <c r="S495" i="1"/>
  <c r="J496" i="1"/>
  <c r="N496" i="1"/>
  <c r="T497" i="1"/>
  <c r="K497" i="1"/>
  <c r="O497" i="1"/>
  <c r="S497" i="1"/>
  <c r="J498" i="1"/>
  <c r="N498" i="1"/>
  <c r="T499" i="1"/>
  <c r="K499" i="1"/>
  <c r="O499" i="1"/>
  <c r="S499" i="1"/>
  <c r="J500" i="1"/>
  <c r="N500" i="1"/>
  <c r="T501" i="1"/>
  <c r="K501" i="1"/>
  <c r="O501" i="1"/>
  <c r="S501" i="1"/>
  <c r="J502" i="1"/>
  <c r="N502" i="1"/>
  <c r="T503" i="1"/>
  <c r="K503" i="1"/>
  <c r="O503" i="1"/>
  <c r="S503" i="1"/>
  <c r="J504" i="1"/>
  <c r="N504" i="1"/>
  <c r="T505" i="1"/>
  <c r="K505" i="1"/>
  <c r="O505" i="1"/>
  <c r="S505" i="1"/>
  <c r="J506" i="1"/>
  <c r="N506" i="1"/>
  <c r="T507" i="1"/>
  <c r="K507" i="1"/>
  <c r="O507" i="1"/>
  <c r="S507" i="1"/>
  <c r="J508" i="1"/>
  <c r="N508" i="1"/>
  <c r="T509" i="1"/>
  <c r="K509" i="1"/>
  <c r="O509" i="1"/>
  <c r="S509" i="1"/>
  <c r="J510" i="1"/>
  <c r="N510" i="1"/>
  <c r="T511" i="1"/>
  <c r="K511" i="1"/>
  <c r="O511" i="1"/>
  <c r="S511" i="1"/>
  <c r="J512" i="1"/>
  <c r="N512" i="1"/>
  <c r="T513" i="1"/>
  <c r="K513" i="1"/>
  <c r="O513" i="1"/>
  <c r="S513" i="1"/>
  <c r="J514" i="1"/>
  <c r="N514" i="1"/>
  <c r="T515" i="1"/>
  <c r="K515" i="1"/>
  <c r="O515" i="1"/>
  <c r="S515" i="1"/>
  <c r="J516" i="1"/>
  <c r="N516" i="1"/>
  <c r="T517" i="1"/>
  <c r="K517" i="1"/>
  <c r="O517" i="1"/>
  <c r="S517" i="1"/>
  <c r="J518" i="1"/>
  <c r="N518" i="1"/>
  <c r="T519" i="1"/>
  <c r="K519" i="1"/>
  <c r="O519" i="1"/>
  <c r="S519" i="1"/>
  <c r="J520" i="1"/>
  <c r="N520" i="1"/>
  <c r="T521" i="1"/>
  <c r="K521" i="1"/>
  <c r="O521" i="1"/>
  <c r="S521" i="1"/>
  <c r="J522" i="1"/>
  <c r="N522" i="1"/>
  <c r="T523" i="1"/>
  <c r="K523" i="1"/>
  <c r="O523" i="1"/>
  <c r="S523" i="1"/>
  <c r="J524" i="1"/>
  <c r="N524" i="1"/>
  <c r="T525" i="1"/>
  <c r="K525" i="1"/>
  <c r="O525" i="1"/>
  <c r="S525" i="1"/>
  <c r="J526" i="1"/>
  <c r="N526" i="1"/>
  <c r="T527" i="1"/>
  <c r="K527" i="1"/>
  <c r="O527" i="1"/>
  <c r="S527" i="1"/>
  <c r="J528" i="1"/>
  <c r="N528" i="1"/>
  <c r="T529" i="1"/>
  <c r="K529" i="1"/>
  <c r="O529" i="1"/>
  <c r="S529" i="1"/>
  <c r="J530" i="1"/>
  <c r="N530" i="1"/>
  <c r="T531" i="1"/>
  <c r="K531" i="1"/>
  <c r="O531" i="1"/>
  <c r="S531" i="1"/>
  <c r="J532" i="1"/>
  <c r="N532" i="1"/>
  <c r="T533" i="1"/>
  <c r="K533" i="1"/>
  <c r="O533" i="1"/>
  <c r="S533" i="1"/>
  <c r="J534" i="1"/>
  <c r="N534" i="1"/>
  <c r="T535" i="1"/>
  <c r="K535" i="1"/>
  <c r="O535" i="1"/>
  <c r="S535" i="1"/>
  <c r="J536" i="1"/>
  <c r="N536" i="1"/>
  <c r="T537" i="1"/>
  <c r="K537" i="1"/>
  <c r="O537" i="1"/>
  <c r="S537" i="1"/>
  <c r="J538" i="1"/>
  <c r="N538" i="1"/>
  <c r="T539" i="1"/>
  <c r="K539" i="1"/>
  <c r="O539" i="1"/>
  <c r="S539" i="1"/>
  <c r="J540" i="1"/>
  <c r="N540" i="1"/>
  <c r="T541" i="1"/>
  <c r="K541" i="1"/>
  <c r="O541" i="1"/>
  <c r="S541" i="1"/>
  <c r="J542" i="1"/>
  <c r="N542" i="1"/>
  <c r="T543" i="1"/>
  <c r="K543" i="1"/>
  <c r="O543" i="1"/>
  <c r="S543" i="1"/>
  <c r="J544" i="1"/>
  <c r="N544" i="1"/>
  <c r="T545" i="1"/>
  <c r="K545" i="1"/>
  <c r="O545" i="1"/>
  <c r="S545" i="1"/>
  <c r="J546" i="1"/>
  <c r="N546" i="1"/>
  <c r="T547" i="1"/>
  <c r="K547" i="1"/>
  <c r="O547" i="1"/>
  <c r="S547" i="1"/>
  <c r="J548" i="1"/>
  <c r="N548" i="1"/>
  <c r="T549" i="1"/>
  <c r="K549" i="1"/>
  <c r="O549" i="1"/>
  <c r="S549" i="1"/>
  <c r="J550" i="1"/>
  <c r="N550" i="1"/>
  <c r="T551" i="1"/>
  <c r="K551" i="1"/>
  <c r="O551" i="1"/>
  <c r="S551" i="1"/>
  <c r="J552" i="1"/>
  <c r="N552" i="1"/>
  <c r="T553" i="1"/>
  <c r="K553" i="1"/>
  <c r="O553" i="1"/>
  <c r="S553" i="1"/>
  <c r="J554" i="1"/>
  <c r="N554" i="1"/>
  <c r="T555" i="1"/>
  <c r="K555" i="1"/>
  <c r="O555" i="1"/>
  <c r="S555" i="1"/>
  <c r="J556" i="1"/>
  <c r="N556" i="1"/>
  <c r="T557" i="1"/>
  <c r="K557" i="1"/>
  <c r="O557" i="1"/>
  <c r="S557" i="1"/>
  <c r="J558" i="1"/>
  <c r="N558" i="1"/>
  <c r="T559" i="1"/>
  <c r="K559" i="1"/>
  <c r="O559" i="1"/>
  <c r="S559" i="1"/>
  <c r="J560" i="1"/>
  <c r="N560" i="1"/>
  <c r="T561" i="1"/>
  <c r="K561" i="1"/>
  <c r="O561" i="1"/>
  <c r="S561" i="1"/>
  <c r="J562" i="1"/>
  <c r="N562" i="1"/>
  <c r="T563" i="1"/>
  <c r="K563" i="1"/>
  <c r="O563" i="1"/>
  <c r="S563" i="1"/>
  <c r="J564" i="1"/>
  <c r="N564" i="1"/>
  <c r="T565" i="1"/>
  <c r="K565" i="1"/>
  <c r="O565" i="1"/>
  <c r="S565" i="1"/>
  <c r="J566" i="1"/>
  <c r="N566" i="1"/>
  <c r="T567" i="1"/>
  <c r="K567" i="1"/>
  <c r="O567" i="1"/>
  <c r="S567" i="1"/>
  <c r="J568" i="1"/>
  <c r="N568" i="1"/>
  <c r="T569" i="1"/>
  <c r="K569" i="1"/>
  <c r="O569" i="1"/>
  <c r="S569" i="1"/>
  <c r="J570" i="1"/>
  <c r="N570" i="1"/>
  <c r="T571" i="1"/>
  <c r="K571" i="1"/>
  <c r="O571" i="1"/>
  <c r="S571" i="1"/>
  <c r="J572" i="1"/>
  <c r="N572" i="1"/>
  <c r="T573" i="1"/>
  <c r="K573" i="1"/>
  <c r="O573" i="1"/>
  <c r="S573" i="1"/>
  <c r="J574" i="1"/>
  <c r="N574" i="1"/>
  <c r="T575" i="1"/>
  <c r="K575" i="1"/>
  <c r="O575" i="1"/>
  <c r="S575" i="1"/>
  <c r="J576" i="1"/>
  <c r="N576" i="1"/>
  <c r="T577" i="1"/>
  <c r="K577" i="1"/>
  <c r="O577" i="1"/>
  <c r="S577" i="1"/>
  <c r="J578" i="1"/>
  <c r="N578" i="1"/>
  <c r="T579" i="1"/>
  <c r="K579" i="1"/>
  <c r="O579" i="1"/>
  <c r="S579" i="1"/>
  <c r="J580" i="1"/>
  <c r="N580" i="1"/>
  <c r="T581" i="1"/>
  <c r="K581" i="1"/>
  <c r="O581" i="1"/>
  <c r="S581" i="1"/>
  <c r="J582" i="1"/>
  <c r="N582" i="1"/>
  <c r="T583" i="1"/>
  <c r="K583" i="1"/>
  <c r="O583" i="1"/>
  <c r="S583" i="1"/>
  <c r="J584" i="1"/>
  <c r="N584" i="1"/>
  <c r="T585" i="1"/>
  <c r="K585" i="1"/>
  <c r="O585" i="1"/>
  <c r="S585" i="1"/>
  <c r="J586" i="1"/>
  <c r="N586" i="1"/>
  <c r="T587" i="1"/>
  <c r="K587" i="1"/>
  <c r="O587" i="1"/>
  <c r="S587" i="1"/>
  <c r="J588" i="1"/>
  <c r="N588" i="1"/>
  <c r="T589" i="1"/>
  <c r="K589" i="1"/>
  <c r="O589" i="1"/>
  <c r="S589" i="1"/>
  <c r="J590" i="1"/>
  <c r="N590" i="1"/>
  <c r="T591" i="1"/>
  <c r="K591" i="1"/>
  <c r="O591" i="1"/>
  <c r="S591" i="1"/>
  <c r="J592" i="1"/>
  <c r="N592" i="1"/>
  <c r="T593" i="1"/>
  <c r="K593" i="1"/>
  <c r="O593" i="1"/>
  <c r="S593" i="1"/>
  <c r="J594" i="1"/>
  <c r="N594" i="1"/>
  <c r="T595" i="1"/>
  <c r="K595" i="1"/>
  <c r="O595" i="1"/>
  <c r="S595" i="1"/>
  <c r="J596" i="1"/>
  <c r="N596" i="1"/>
  <c r="T597" i="1"/>
  <c r="K597" i="1"/>
  <c r="O597" i="1"/>
  <c r="S597" i="1"/>
  <c r="J598" i="1"/>
  <c r="N598" i="1"/>
  <c r="T599" i="1"/>
  <c r="K599" i="1"/>
  <c r="O599" i="1"/>
  <c r="S599" i="1"/>
  <c r="J600" i="1"/>
  <c r="N600" i="1"/>
  <c r="T601" i="1"/>
  <c r="K601" i="1"/>
  <c r="O601" i="1"/>
  <c r="S601" i="1"/>
  <c r="J602" i="1"/>
  <c r="N602" i="1"/>
  <c r="T603" i="1"/>
  <c r="K603" i="1"/>
  <c r="O603" i="1"/>
  <c r="S603" i="1"/>
  <c r="J604" i="1"/>
  <c r="N604" i="1"/>
  <c r="T605" i="1"/>
  <c r="K605" i="1"/>
  <c r="O605" i="1"/>
  <c r="S605" i="1"/>
  <c r="J606" i="1"/>
  <c r="N606" i="1"/>
  <c r="T607" i="1"/>
  <c r="K607" i="1"/>
  <c r="O607" i="1"/>
  <c r="S607" i="1"/>
  <c r="J608" i="1"/>
  <c r="N608" i="1"/>
  <c r="T609" i="1"/>
  <c r="K609" i="1"/>
  <c r="O609" i="1"/>
  <c r="S609" i="1"/>
  <c r="J610" i="1"/>
  <c r="N610" i="1"/>
  <c r="T611" i="1"/>
  <c r="K611" i="1"/>
  <c r="O611" i="1"/>
  <c r="S611" i="1"/>
  <c r="J612" i="1"/>
  <c r="N612" i="1"/>
  <c r="T613" i="1"/>
  <c r="K613" i="1"/>
  <c r="O613" i="1"/>
  <c r="S613" i="1"/>
  <c r="J614" i="1"/>
  <c r="N614" i="1"/>
  <c r="T615" i="1"/>
  <c r="K615" i="1"/>
  <c r="O615" i="1"/>
  <c r="S615" i="1"/>
  <c r="J616" i="1"/>
  <c r="N616" i="1"/>
  <c r="T617" i="1"/>
  <c r="K617" i="1"/>
  <c r="O617" i="1"/>
  <c r="S617" i="1"/>
  <c r="J618" i="1"/>
  <c r="N618" i="1"/>
  <c r="T619" i="1"/>
  <c r="K619" i="1"/>
  <c r="O619" i="1"/>
  <c r="S619" i="1"/>
  <c r="J620" i="1"/>
  <c r="N620" i="1"/>
  <c r="T621" i="1"/>
  <c r="K621" i="1"/>
  <c r="O621" i="1"/>
  <c r="S621" i="1"/>
  <c r="J622" i="1"/>
  <c r="N622" i="1"/>
  <c r="T623" i="1"/>
  <c r="K623" i="1"/>
  <c r="O623" i="1"/>
  <c r="S623" i="1"/>
  <c r="J624" i="1"/>
  <c r="N624" i="1"/>
  <c r="T625" i="1"/>
  <c r="J626" i="1"/>
  <c r="N626" i="1"/>
  <c r="S628" i="1"/>
  <c r="S630" i="1"/>
  <c r="S632" i="1"/>
  <c r="S634" i="1"/>
  <c r="S636" i="1"/>
  <c r="T638" i="1"/>
  <c r="T640" i="1"/>
  <c r="S642" i="1"/>
  <c r="S644" i="1"/>
  <c r="S646" i="1"/>
  <c r="S648" i="1"/>
  <c r="S650" i="1"/>
  <c r="S652" i="1"/>
  <c r="T654" i="1"/>
  <c r="T656" i="1"/>
  <c r="T658" i="1"/>
  <c r="T660" i="1"/>
  <c r="T662" i="1"/>
  <c r="T664" i="1"/>
  <c r="T666" i="1"/>
  <c r="T668" i="1"/>
  <c r="T670" i="1"/>
  <c r="T672" i="1"/>
  <c r="T674" i="1"/>
  <c r="T676" i="1"/>
  <c r="T678" i="1"/>
  <c r="T680" i="1"/>
  <c r="S682" i="1"/>
  <c r="S684" i="1"/>
  <c r="S686" i="1"/>
  <c r="S688" i="1"/>
  <c r="T690" i="1"/>
  <c r="S692" i="1"/>
  <c r="S694" i="1"/>
  <c r="S696" i="1"/>
  <c r="S698" i="1"/>
  <c r="T700" i="1"/>
  <c r="T702" i="1"/>
  <c r="T704" i="1"/>
  <c r="T706" i="1"/>
  <c r="T708" i="1"/>
  <c r="T710" i="1"/>
  <c r="S712" i="1"/>
  <c r="S714" i="1"/>
  <c r="T716" i="1"/>
  <c r="T718" i="1"/>
  <c r="T720" i="1"/>
  <c r="T722" i="1"/>
  <c r="T724" i="1"/>
  <c r="T726" i="1"/>
  <c r="T728" i="1"/>
  <c r="T730" i="1"/>
  <c r="T732" i="1"/>
  <c r="T734" i="1"/>
  <c r="N736" i="1"/>
  <c r="T738" i="1"/>
  <c r="S740" i="1"/>
  <c r="S742" i="1"/>
  <c r="S744" i="1"/>
  <c r="S746" i="1"/>
  <c r="S748" i="1"/>
  <c r="S750" i="1"/>
  <c r="T752" i="1"/>
  <c r="T754" i="1"/>
  <c r="T756" i="1"/>
  <c r="T758" i="1"/>
  <c r="T760" i="1"/>
  <c r="T762" i="1"/>
  <c r="T764" i="1"/>
  <c r="T766" i="1"/>
  <c r="T768" i="1"/>
  <c r="S770" i="1"/>
  <c r="S772" i="1"/>
  <c r="S774" i="1"/>
  <c r="S776" i="1"/>
  <c r="S778" i="1"/>
  <c r="S780" i="1"/>
  <c r="S782" i="1"/>
  <c r="S784" i="1"/>
  <c r="S786" i="1"/>
  <c r="S788" i="1"/>
  <c r="S790" i="1"/>
  <c r="S792" i="1"/>
  <c r="S794" i="1"/>
  <c r="S796" i="1"/>
  <c r="S798" i="1"/>
  <c r="S800" i="1"/>
  <c r="L802" i="1"/>
  <c r="T804" i="1"/>
  <c r="T806" i="1"/>
  <c r="S808" i="1"/>
  <c r="T810" i="1"/>
  <c r="T812" i="1"/>
  <c r="T814" i="1"/>
  <c r="T816" i="1"/>
  <c r="T818" i="1"/>
  <c r="S820" i="1"/>
  <c r="S822" i="1"/>
  <c r="S824" i="1"/>
  <c r="S826" i="1"/>
  <c r="P828" i="1"/>
  <c r="T830" i="1"/>
  <c r="T832" i="1"/>
  <c r="S834" i="1"/>
  <c r="S836" i="1"/>
  <c r="S838" i="1"/>
  <c r="S840" i="1"/>
  <c r="S842" i="1"/>
  <c r="S844" i="1"/>
  <c r="S846" i="1"/>
  <c r="S848" i="1"/>
  <c r="S850" i="1"/>
  <c r="S852" i="1"/>
  <c r="T854" i="1"/>
  <c r="S856" i="1"/>
  <c r="T858" i="1"/>
  <c r="S860" i="1"/>
  <c r="S862" i="1"/>
  <c r="T864" i="1"/>
  <c r="T866" i="1"/>
  <c r="T868" i="1"/>
  <c r="T870" i="1"/>
  <c r="T872" i="1"/>
  <c r="T874" i="1"/>
  <c r="T876" i="1"/>
  <c r="T878" i="1"/>
  <c r="T880" i="1"/>
  <c r="T882" i="1"/>
  <c r="T884" i="1"/>
  <c r="S886" i="1"/>
  <c r="S888" i="1"/>
  <c r="S890" i="1"/>
  <c r="S892" i="1"/>
  <c r="T894" i="1"/>
  <c r="T896" i="1"/>
  <c r="S898" i="1"/>
  <c r="S900" i="1"/>
  <c r="S902" i="1"/>
  <c r="S904" i="1"/>
  <c r="S906" i="1"/>
  <c r="S908" i="1"/>
  <c r="S910" i="1"/>
  <c r="S912" i="1"/>
  <c r="S914" i="1"/>
  <c r="T916" i="1"/>
  <c r="T918" i="1"/>
  <c r="T920" i="1"/>
  <c r="T922" i="1"/>
  <c r="T924" i="1"/>
  <c r="S926" i="1"/>
  <c r="S928" i="1"/>
  <c r="S930" i="1"/>
  <c r="S932" i="1"/>
  <c r="S934" i="1"/>
  <c r="T936" i="1"/>
  <c r="T938" i="1"/>
  <c r="T940" i="1"/>
  <c r="T942" i="1"/>
  <c r="T944" i="1"/>
  <c r="T946" i="1"/>
  <c r="S948" i="1"/>
  <c r="S950" i="1"/>
  <c r="S952" i="1"/>
  <c r="S954" i="1"/>
  <c r="S956" i="1"/>
  <c r="S958" i="1"/>
  <c r="S960" i="1"/>
  <c r="S962" i="1"/>
  <c r="S964" i="1"/>
  <c r="R966" i="1"/>
  <c r="T968" i="1"/>
  <c r="T970" i="1"/>
  <c r="T972" i="1"/>
  <c r="S974" i="1"/>
  <c r="S976" i="1"/>
  <c r="S978" i="1"/>
  <c r="S980" i="1"/>
  <c r="S982" i="1"/>
  <c r="S984" i="1"/>
  <c r="S986" i="1"/>
  <c r="S988" i="1"/>
  <c r="S990" i="1"/>
  <c r="S992" i="1"/>
  <c r="S994" i="1"/>
  <c r="S996" i="1"/>
  <c r="S998" i="1"/>
  <c r="S1000" i="1"/>
  <c r="S1002" i="1"/>
  <c r="R1004" i="1"/>
  <c r="S1006" i="1"/>
  <c r="R1008" i="1"/>
  <c r="R1012" i="1"/>
  <c r="R1016" i="1"/>
  <c r="R1020" i="1"/>
  <c r="R1022" i="1"/>
  <c r="R1024" i="1"/>
  <c r="R1026" i="1"/>
  <c r="R1030" i="1"/>
  <c r="R1034" i="1"/>
  <c r="R1038" i="1"/>
  <c r="R1044" i="1"/>
  <c r="R1048" i="1"/>
  <c r="R1052" i="1"/>
  <c r="R1056" i="1"/>
  <c r="R1060" i="1"/>
  <c r="R1062" i="1"/>
  <c r="R1064" i="1"/>
  <c r="R1066" i="1"/>
  <c r="R1070" i="1"/>
  <c r="R1076" i="1"/>
  <c r="R1080" i="1"/>
  <c r="R1084" i="1"/>
  <c r="R1088" i="1"/>
  <c r="R1090" i="1"/>
  <c r="R1096" i="1"/>
  <c r="R1098" i="1"/>
  <c r="R1104" i="1"/>
  <c r="R1108" i="1"/>
  <c r="R1110" i="1"/>
  <c r="R1120" i="1"/>
  <c r="R1122" i="1"/>
  <c r="R1128" i="1"/>
  <c r="R1130" i="1"/>
  <c r="R1136" i="1"/>
  <c r="R1138" i="1"/>
  <c r="R1144" i="1"/>
  <c r="R1146" i="1"/>
  <c r="R1152" i="1"/>
  <c r="R1154" i="1"/>
  <c r="R1156" i="1"/>
  <c r="R1160" i="1"/>
  <c r="R1162" i="1"/>
  <c r="R1168" i="1"/>
  <c r="R1170" i="1"/>
  <c r="R1176" i="1"/>
  <c r="R1178" i="1"/>
  <c r="R1182" i="1"/>
  <c r="R1186" i="1"/>
  <c r="R1190" i="1"/>
  <c r="R1194" i="1"/>
  <c r="R1198" i="1"/>
  <c r="R1202" i="1"/>
  <c r="R1206" i="1"/>
  <c r="R1210" i="1"/>
  <c r="R1214" i="1"/>
  <c r="R1218" i="1"/>
  <c r="R1222" i="1"/>
  <c r="R1226" i="1"/>
  <c r="R1230" i="1"/>
  <c r="R1234" i="1"/>
  <c r="R1238" i="1"/>
  <c r="R1240" i="1"/>
  <c r="R1246" i="1"/>
  <c r="R1248" i="1"/>
  <c r="R1258" i="1"/>
  <c r="R1260" i="1"/>
  <c r="R1268" i="1"/>
  <c r="R1278" i="1"/>
  <c r="R1282" i="1"/>
  <c r="R1286" i="1"/>
  <c r="R1288" i="1"/>
  <c r="R1294" i="1"/>
  <c r="R1296" i="1"/>
  <c r="R1302" i="1"/>
  <c r="R1304" i="1"/>
  <c r="R1314" i="1"/>
  <c r="R1316" i="1"/>
  <c r="R1320" i="1"/>
  <c r="R1326" i="1"/>
  <c r="R1330" i="1"/>
  <c r="R1334" i="1"/>
  <c r="R1338" i="1"/>
  <c r="R1342" i="1"/>
  <c r="R1344" i="1"/>
  <c r="R1346" i="1"/>
  <c r="R1348" i="1"/>
  <c r="R1354" i="1"/>
  <c r="I1357" i="1"/>
  <c r="I1353" i="1"/>
  <c r="I1351" i="1"/>
  <c r="I1345" i="1"/>
  <c r="I1341" i="1"/>
  <c r="I1337" i="1"/>
  <c r="I1333" i="1"/>
  <c r="I1329" i="1"/>
  <c r="I1325" i="1"/>
  <c r="I1323" i="1"/>
  <c r="I1321" i="1"/>
  <c r="I1319" i="1"/>
  <c r="I1313" i="1"/>
  <c r="I1311" i="1"/>
  <c r="I1307" i="1"/>
  <c r="I1301" i="1"/>
  <c r="I1299" i="1"/>
  <c r="I1293" i="1"/>
  <c r="I1291" i="1"/>
  <c r="I1285" i="1"/>
  <c r="I1281" i="1"/>
  <c r="I1277" i="1"/>
  <c r="I1275" i="1"/>
  <c r="I1271" i="1"/>
  <c r="I1267" i="1"/>
  <c r="I1263" i="1"/>
  <c r="I1257" i="1"/>
  <c r="I1255" i="1"/>
  <c r="I1251" i="1"/>
  <c r="I1245" i="1"/>
  <c r="I1243" i="1"/>
  <c r="I1237" i="1"/>
  <c r="I1233" i="1"/>
  <c r="I1229" i="1"/>
  <c r="I1225" i="1"/>
  <c r="I1221" i="1"/>
  <c r="I1217" i="1"/>
  <c r="I1213" i="1"/>
  <c r="I1209" i="1"/>
  <c r="I1205" i="1"/>
  <c r="I1201" i="1"/>
  <c r="I1197" i="1"/>
  <c r="I1193" i="1"/>
  <c r="I1189" i="1"/>
  <c r="I1185" i="1"/>
  <c r="I1181" i="1"/>
  <c r="I1175" i="1"/>
  <c r="I1173" i="1"/>
  <c r="I1167" i="1"/>
  <c r="I1165" i="1"/>
  <c r="I1159" i="1"/>
  <c r="I1155" i="1"/>
  <c r="I1151" i="1"/>
  <c r="I1149" i="1"/>
  <c r="I1143" i="1"/>
  <c r="I1141" i="1"/>
  <c r="I1135" i="1"/>
  <c r="I1133" i="1"/>
  <c r="I1127" i="1"/>
  <c r="I1125" i="1"/>
  <c r="I1119" i="1"/>
  <c r="I1117" i="1"/>
  <c r="I1113" i="1"/>
  <c r="I1107" i="1"/>
  <c r="I1103" i="1"/>
  <c r="I1101" i="1"/>
  <c r="I1095" i="1"/>
  <c r="I1093" i="1"/>
  <c r="I1087" i="1"/>
  <c r="I1083" i="1"/>
  <c r="I1079" i="1"/>
  <c r="I1075" i="1"/>
  <c r="I1073" i="1"/>
  <c r="I1069" i="1"/>
  <c r="I1063" i="1"/>
  <c r="I1059" i="1"/>
  <c r="I1055" i="1"/>
  <c r="I1051" i="1"/>
  <c r="I1047" i="1"/>
  <c r="I1043" i="1"/>
  <c r="I1041" i="1"/>
  <c r="I1037" i="1"/>
  <c r="I1033" i="1"/>
  <c r="I1029" i="1"/>
  <c r="I1023" i="1"/>
  <c r="I1019" i="1"/>
  <c r="I1015" i="1"/>
  <c r="I1011" i="1"/>
  <c r="I1005" i="1"/>
  <c r="I971" i="1"/>
  <c r="I969" i="1"/>
  <c r="I947" i="1"/>
  <c r="I945" i="1"/>
  <c r="I943" i="1"/>
  <c r="I941" i="1"/>
  <c r="I939" i="1"/>
  <c r="I937" i="1"/>
  <c r="I925" i="1"/>
  <c r="I923" i="1"/>
  <c r="I921" i="1"/>
  <c r="I919" i="1"/>
  <c r="I917" i="1"/>
  <c r="I897" i="1"/>
  <c r="I895" i="1"/>
  <c r="I885" i="1"/>
  <c r="I883" i="1"/>
  <c r="I881" i="1"/>
  <c r="I879" i="1"/>
  <c r="I877" i="1"/>
  <c r="I875" i="1"/>
  <c r="I873" i="1"/>
  <c r="I871" i="1"/>
  <c r="I869" i="1"/>
  <c r="I867" i="1"/>
  <c r="I865" i="1"/>
  <c r="I857" i="1"/>
  <c r="I855" i="1"/>
  <c r="I833" i="1"/>
  <c r="I831" i="1"/>
  <c r="I829" i="1"/>
  <c r="I819" i="1"/>
  <c r="I817" i="1"/>
  <c r="I815" i="1"/>
  <c r="I813" i="1"/>
  <c r="I811" i="1"/>
  <c r="I805" i="1"/>
  <c r="I773" i="1"/>
  <c r="I771" i="1"/>
  <c r="I769" i="1"/>
  <c r="I767" i="1"/>
  <c r="I765" i="1"/>
  <c r="I763" i="1"/>
  <c r="I761" i="1"/>
  <c r="I759" i="1"/>
  <c r="I757" i="1"/>
  <c r="I755" i="1"/>
  <c r="I753" i="1"/>
  <c r="I735" i="1"/>
  <c r="I733" i="1"/>
  <c r="I731" i="1"/>
  <c r="I729" i="1"/>
  <c r="I727" i="1"/>
  <c r="I725" i="1"/>
  <c r="I723" i="1"/>
  <c r="I721" i="1"/>
  <c r="I719" i="1"/>
  <c r="I717" i="1"/>
  <c r="I711" i="1"/>
  <c r="I709" i="1"/>
  <c r="I707" i="1"/>
  <c r="I705" i="1"/>
  <c r="I703" i="1"/>
  <c r="I701" i="1"/>
  <c r="I681" i="1"/>
  <c r="I679" i="1"/>
  <c r="I677" i="1"/>
  <c r="I675" i="1"/>
  <c r="I673" i="1"/>
  <c r="I671" i="1"/>
  <c r="I669" i="1"/>
  <c r="I667" i="1"/>
  <c r="I665" i="1"/>
  <c r="I663" i="1"/>
  <c r="I661" i="1"/>
  <c r="I659" i="1"/>
  <c r="I657" i="1"/>
  <c r="I655" i="1"/>
  <c r="I641" i="1"/>
  <c r="I639" i="1"/>
  <c r="S6" i="1"/>
  <c r="Q6" i="1"/>
  <c r="O6" i="1"/>
  <c r="M6" i="1"/>
  <c r="K6" i="1"/>
  <c r="I6" i="1"/>
  <c r="I1355" i="1"/>
  <c r="I1349" i="1"/>
  <c r="I1347" i="1"/>
  <c r="I1343" i="1"/>
  <c r="I1339" i="1"/>
  <c r="I1335" i="1"/>
  <c r="I1331" i="1"/>
  <c r="I1327" i="1"/>
  <c r="I1317" i="1"/>
  <c r="I1315" i="1"/>
  <c r="I1309" i="1"/>
  <c r="I1305" i="1"/>
  <c r="I1303" i="1"/>
  <c r="I1297" i="1"/>
  <c r="I1295" i="1"/>
  <c r="I1289" i="1"/>
  <c r="I1287" i="1"/>
  <c r="I1283" i="1"/>
  <c r="I1279" i="1"/>
  <c r="I1273" i="1"/>
  <c r="I1269" i="1"/>
  <c r="I1265" i="1"/>
  <c r="I1261" i="1"/>
  <c r="I1259" i="1"/>
  <c r="I1253" i="1"/>
  <c r="I1249" i="1"/>
  <c r="I1247" i="1"/>
  <c r="I1241" i="1"/>
  <c r="I1239" i="1"/>
  <c r="I1235" i="1"/>
  <c r="I1231" i="1"/>
  <c r="I1227" i="1"/>
  <c r="I1223" i="1"/>
  <c r="I1219" i="1"/>
  <c r="I1215" i="1"/>
  <c r="I1211" i="1"/>
  <c r="I1207" i="1"/>
  <c r="I1203" i="1"/>
  <c r="I1199" i="1"/>
  <c r="I1195" i="1"/>
  <c r="I1191" i="1"/>
  <c r="I1187" i="1"/>
  <c r="I1183" i="1"/>
  <c r="I1179" i="1"/>
  <c r="I1177" i="1"/>
  <c r="I1171" i="1"/>
  <c r="I1169" i="1"/>
  <c r="I1163" i="1"/>
  <c r="I1161" i="1"/>
  <c r="I1157" i="1"/>
  <c r="I1153" i="1"/>
  <c r="I1147" i="1"/>
  <c r="I1145" i="1"/>
  <c r="I1139" i="1"/>
  <c r="I1137" i="1"/>
  <c r="I1131" i="1"/>
  <c r="I1129" i="1"/>
  <c r="I1123" i="1"/>
  <c r="I1121" i="1"/>
  <c r="I1115" i="1"/>
  <c r="I1111" i="1"/>
  <c r="I1109" i="1"/>
  <c r="I1105" i="1"/>
  <c r="I1099" i="1"/>
  <c r="I1097" i="1"/>
  <c r="I1091" i="1"/>
  <c r="I1089" i="1"/>
  <c r="I1085" i="1"/>
  <c r="I1081" i="1"/>
  <c r="I1077" i="1"/>
  <c r="I1071" i="1"/>
  <c r="I1067" i="1"/>
  <c r="I1065" i="1"/>
  <c r="I1061" i="1"/>
  <c r="I1057" i="1"/>
  <c r="I1053" i="1"/>
  <c r="I1049" i="1"/>
  <c r="I1045" i="1"/>
  <c r="I1039" i="1"/>
  <c r="I1035" i="1"/>
  <c r="I1031" i="1"/>
  <c r="I1027" i="1"/>
  <c r="I1025" i="1"/>
  <c r="I1021" i="1"/>
  <c r="I1017" i="1"/>
  <c r="I1013" i="1"/>
  <c r="I1009" i="1"/>
  <c r="I1007" i="1"/>
  <c r="I1003" i="1"/>
  <c r="I1001" i="1"/>
  <c r="I999" i="1"/>
  <c r="I997" i="1"/>
  <c r="I995" i="1"/>
  <c r="I993" i="1"/>
  <c r="I991" i="1"/>
  <c r="I989" i="1"/>
  <c r="I987" i="1"/>
  <c r="I985" i="1"/>
  <c r="I983" i="1"/>
  <c r="I981" i="1"/>
  <c r="I979" i="1"/>
  <c r="I977" i="1"/>
  <c r="I975" i="1"/>
  <c r="I973" i="1"/>
  <c r="I967" i="1"/>
  <c r="I965" i="1"/>
  <c r="I963" i="1"/>
  <c r="I961" i="1"/>
  <c r="I959" i="1"/>
  <c r="I957" i="1"/>
  <c r="I955" i="1"/>
  <c r="I953" i="1"/>
  <c r="I951" i="1"/>
  <c r="I949" i="1"/>
  <c r="I935" i="1"/>
  <c r="I933" i="1"/>
  <c r="I931" i="1"/>
  <c r="I929" i="1"/>
  <c r="I927" i="1"/>
  <c r="I915" i="1"/>
  <c r="I913" i="1"/>
  <c r="I911" i="1"/>
  <c r="I909" i="1"/>
  <c r="I907" i="1"/>
  <c r="I905" i="1"/>
  <c r="I903" i="1"/>
  <c r="I901" i="1"/>
  <c r="I899" i="1"/>
  <c r="I893" i="1"/>
  <c r="I891" i="1"/>
  <c r="I889" i="1"/>
  <c r="I887" i="1"/>
  <c r="I863" i="1"/>
  <c r="I861" i="1"/>
  <c r="I859" i="1"/>
  <c r="I853" i="1"/>
  <c r="I851" i="1"/>
  <c r="I849" i="1"/>
  <c r="I847" i="1"/>
  <c r="I845" i="1"/>
  <c r="I843" i="1"/>
  <c r="I841" i="1"/>
  <c r="I839" i="1"/>
  <c r="I837" i="1"/>
  <c r="I835" i="1"/>
  <c r="I827" i="1"/>
  <c r="I825" i="1"/>
  <c r="I823" i="1"/>
  <c r="I821" i="1"/>
  <c r="I809" i="1"/>
  <c r="I807" i="1"/>
  <c r="I803" i="1"/>
  <c r="I801" i="1"/>
  <c r="I799" i="1"/>
  <c r="I797" i="1"/>
  <c r="I795" i="1"/>
  <c r="I793" i="1"/>
  <c r="I791" i="1"/>
  <c r="I789" i="1"/>
  <c r="I787" i="1"/>
  <c r="I785" i="1"/>
  <c r="I783" i="1"/>
  <c r="I781" i="1"/>
  <c r="I779" i="1"/>
  <c r="I777" i="1"/>
  <c r="I775" i="1"/>
  <c r="I751" i="1"/>
  <c r="I749" i="1"/>
  <c r="I747" i="1"/>
  <c r="I745" i="1"/>
  <c r="I743" i="1"/>
  <c r="I741" i="1"/>
  <c r="I739" i="1"/>
  <c r="I737" i="1"/>
  <c r="I715" i="1"/>
  <c r="I713" i="1"/>
  <c r="I699" i="1"/>
  <c r="I697" i="1"/>
  <c r="I695" i="1"/>
  <c r="I693" i="1"/>
  <c r="I691" i="1"/>
  <c r="I689" i="1"/>
  <c r="I687" i="1"/>
  <c r="I685" i="1"/>
  <c r="I683" i="1"/>
  <c r="I653" i="1"/>
  <c r="I651" i="1"/>
  <c r="I649" i="1"/>
  <c r="I647" i="1"/>
  <c r="I645" i="1"/>
  <c r="I643" i="1"/>
  <c r="I637" i="1"/>
  <c r="I635" i="1"/>
  <c r="I633" i="1"/>
  <c r="I631" i="1"/>
  <c r="I629" i="1"/>
  <c r="I627" i="1"/>
  <c r="L6" i="1"/>
  <c r="P6" i="1"/>
  <c r="T6" i="1"/>
  <c r="I7" i="1"/>
  <c r="K1007" i="1"/>
  <c r="K1003" i="1"/>
  <c r="K1001" i="1"/>
  <c r="K999" i="1"/>
  <c r="K997" i="1"/>
  <c r="K995" i="1"/>
  <c r="K993" i="1"/>
  <c r="K991" i="1"/>
  <c r="K989" i="1"/>
  <c r="K987" i="1"/>
  <c r="K985" i="1"/>
  <c r="K983" i="1"/>
  <c r="K981" i="1"/>
  <c r="K979" i="1"/>
  <c r="K977" i="1"/>
  <c r="K975" i="1"/>
  <c r="K973" i="1"/>
  <c r="K967" i="1"/>
  <c r="K965" i="1"/>
  <c r="K963" i="1"/>
  <c r="K961" i="1"/>
  <c r="K959" i="1"/>
  <c r="K957" i="1"/>
  <c r="K955" i="1"/>
  <c r="K953" i="1"/>
  <c r="K951" i="1"/>
  <c r="K949" i="1"/>
  <c r="K935" i="1"/>
  <c r="K933" i="1"/>
  <c r="K927" i="1"/>
  <c r="K915" i="1"/>
  <c r="K913" i="1"/>
  <c r="K911" i="1"/>
  <c r="K909" i="1"/>
  <c r="K907" i="1"/>
  <c r="K905" i="1"/>
  <c r="K903" i="1"/>
  <c r="K901" i="1"/>
  <c r="K899" i="1"/>
  <c r="K893" i="1"/>
  <c r="K891" i="1"/>
  <c r="K889" i="1"/>
  <c r="K887" i="1"/>
  <c r="K863" i="1"/>
  <c r="K861" i="1"/>
  <c r="K859" i="1"/>
  <c r="K853" i="1"/>
  <c r="K851" i="1"/>
  <c r="K849" i="1"/>
  <c r="K847" i="1"/>
  <c r="K845" i="1"/>
  <c r="K843" i="1"/>
  <c r="K841" i="1"/>
  <c r="K839" i="1"/>
  <c r="K837" i="1"/>
  <c r="K835" i="1"/>
  <c r="K827" i="1"/>
  <c r="K825" i="1"/>
  <c r="K823" i="1"/>
  <c r="K821" i="1"/>
  <c r="K807" i="1"/>
  <c r="K803" i="1"/>
  <c r="K801" i="1"/>
  <c r="K799" i="1"/>
  <c r="K797" i="1"/>
  <c r="K795" i="1"/>
  <c r="K793" i="1"/>
  <c r="K791" i="1"/>
  <c r="K789" i="1"/>
  <c r="K787" i="1"/>
  <c r="K785" i="1"/>
  <c r="K783" i="1"/>
  <c r="K781" i="1"/>
  <c r="K779" i="1"/>
  <c r="K777" i="1"/>
  <c r="K775" i="1"/>
  <c r="K751" i="1"/>
  <c r="K749" i="1"/>
  <c r="K747" i="1"/>
  <c r="K745" i="1"/>
  <c r="K743" i="1"/>
  <c r="K741" i="1"/>
  <c r="K737" i="1"/>
  <c r="K715" i="1"/>
  <c r="K713" i="1"/>
  <c r="K699" i="1"/>
  <c r="K697" i="1"/>
  <c r="K695" i="1"/>
  <c r="K693" i="1"/>
  <c r="K691" i="1"/>
  <c r="K689" i="1"/>
  <c r="K687" i="1"/>
  <c r="K685" i="1"/>
  <c r="K683" i="1"/>
  <c r="K653" i="1"/>
  <c r="K651" i="1"/>
  <c r="K649" i="1"/>
  <c r="K647" i="1"/>
  <c r="K645" i="1"/>
  <c r="K643" i="1"/>
  <c r="K637" i="1"/>
  <c r="K635" i="1"/>
  <c r="K633" i="1"/>
  <c r="K631" i="1"/>
  <c r="K629" i="1"/>
  <c r="K627" i="1"/>
  <c r="K1353" i="1"/>
  <c r="K1351" i="1"/>
  <c r="K1349" i="1"/>
  <c r="K1347" i="1"/>
  <c r="K1345" i="1"/>
  <c r="K1343" i="1"/>
  <c r="K1341" i="1"/>
  <c r="K1339" i="1"/>
  <c r="K1337" i="1"/>
  <c r="K1335" i="1"/>
  <c r="K1333" i="1"/>
  <c r="K1331" i="1"/>
  <c r="K1329" i="1"/>
  <c r="K1327" i="1"/>
  <c r="K1325" i="1"/>
  <c r="K1323" i="1"/>
  <c r="K1321" i="1"/>
  <c r="K1319" i="1"/>
  <c r="K1317" i="1"/>
  <c r="K1315" i="1"/>
  <c r="K1313" i="1"/>
  <c r="K1311" i="1"/>
  <c r="K1309" i="1"/>
  <c r="K1307" i="1"/>
  <c r="K1305" i="1"/>
  <c r="K1303" i="1"/>
  <c r="K1301" i="1"/>
  <c r="K1299" i="1"/>
  <c r="K1297" i="1"/>
  <c r="K1295" i="1"/>
  <c r="K1293" i="1"/>
  <c r="K1291" i="1"/>
  <c r="K1289" i="1"/>
  <c r="K1287" i="1"/>
  <c r="K1285" i="1"/>
  <c r="K1283" i="1"/>
  <c r="K1281" i="1"/>
  <c r="K1279" i="1"/>
  <c r="K1277" i="1"/>
  <c r="K1275" i="1"/>
  <c r="K1273" i="1"/>
  <c r="K1271" i="1"/>
  <c r="K1269" i="1"/>
  <c r="K1267" i="1"/>
  <c r="K1265" i="1"/>
  <c r="K1263" i="1"/>
  <c r="K1261" i="1"/>
  <c r="K1259" i="1"/>
  <c r="K1257" i="1"/>
  <c r="K1255" i="1"/>
  <c r="K1253" i="1"/>
  <c r="K1251" i="1"/>
  <c r="K1249" i="1"/>
  <c r="K1247" i="1"/>
  <c r="K1245" i="1"/>
  <c r="K1243" i="1"/>
  <c r="K1241" i="1"/>
  <c r="K1239" i="1"/>
  <c r="K1237" i="1"/>
  <c r="K1235" i="1"/>
  <c r="K1233" i="1"/>
  <c r="K1231" i="1"/>
  <c r="K1229" i="1"/>
  <c r="K1227" i="1"/>
  <c r="K1225" i="1"/>
  <c r="K1223" i="1"/>
  <c r="K1221" i="1"/>
  <c r="K1219" i="1"/>
  <c r="K1217" i="1"/>
  <c r="K1215" i="1"/>
  <c r="K1213" i="1"/>
  <c r="K1211" i="1"/>
  <c r="K1209" i="1"/>
  <c r="K1207" i="1"/>
  <c r="K1205" i="1"/>
  <c r="K1203" i="1"/>
  <c r="K1201" i="1"/>
  <c r="K1199" i="1"/>
  <c r="K1197" i="1"/>
  <c r="K1195" i="1"/>
  <c r="K1193" i="1"/>
  <c r="K1191" i="1"/>
  <c r="K1189" i="1"/>
  <c r="K1187" i="1"/>
  <c r="K1185" i="1"/>
  <c r="K1183" i="1"/>
  <c r="K1181" i="1"/>
  <c r="K1179" i="1"/>
  <c r="K1177" i="1"/>
  <c r="K1175" i="1"/>
  <c r="K1173" i="1"/>
  <c r="K1171" i="1"/>
  <c r="K1169" i="1"/>
  <c r="K1167" i="1"/>
  <c r="K1165" i="1"/>
  <c r="K1163" i="1"/>
  <c r="K1161" i="1"/>
  <c r="K1159" i="1"/>
  <c r="K1157" i="1"/>
  <c r="K1155" i="1"/>
  <c r="K1153" i="1"/>
  <c r="K1151" i="1"/>
  <c r="K1149" i="1"/>
  <c r="K1147" i="1"/>
  <c r="K1145" i="1"/>
  <c r="K1143" i="1"/>
  <c r="K1141" i="1"/>
  <c r="K1139" i="1"/>
  <c r="K1137" i="1"/>
  <c r="K1135" i="1"/>
  <c r="K1133" i="1"/>
  <c r="K1131" i="1"/>
  <c r="K1129" i="1"/>
  <c r="K1127" i="1"/>
  <c r="K1125" i="1"/>
  <c r="K1123" i="1"/>
  <c r="K1121" i="1"/>
  <c r="K1119" i="1"/>
  <c r="K1117" i="1"/>
  <c r="K1115" i="1"/>
  <c r="K1113" i="1"/>
  <c r="K1111" i="1"/>
  <c r="K1109" i="1"/>
  <c r="K1107" i="1"/>
  <c r="K1105" i="1"/>
  <c r="K1103" i="1"/>
  <c r="K1101" i="1"/>
  <c r="K1099" i="1"/>
  <c r="K1097" i="1"/>
  <c r="K1095" i="1"/>
  <c r="K1093" i="1"/>
  <c r="K1091" i="1"/>
  <c r="K1089" i="1"/>
  <c r="K1087" i="1"/>
  <c r="K1085" i="1"/>
  <c r="K1083" i="1"/>
  <c r="K1081" i="1"/>
  <c r="K1079" i="1"/>
  <c r="K1077" i="1"/>
  <c r="K1075" i="1"/>
  <c r="K1073" i="1"/>
  <c r="K1071" i="1"/>
  <c r="K1069" i="1"/>
  <c r="K1067" i="1"/>
  <c r="K1065" i="1"/>
  <c r="K1063" i="1"/>
  <c r="K1061" i="1"/>
  <c r="K1059" i="1"/>
  <c r="K1057" i="1"/>
  <c r="K1055" i="1"/>
  <c r="K1053" i="1"/>
  <c r="K1051" i="1"/>
  <c r="K1049" i="1"/>
  <c r="K1047" i="1"/>
  <c r="K1045" i="1"/>
  <c r="K1043" i="1"/>
  <c r="K1041" i="1"/>
  <c r="K1039" i="1"/>
  <c r="K1037" i="1"/>
  <c r="K1035" i="1"/>
  <c r="K1033" i="1"/>
  <c r="K1031" i="1"/>
  <c r="K1029" i="1"/>
  <c r="K1027" i="1"/>
  <c r="K1025" i="1"/>
  <c r="K1023" i="1"/>
  <c r="K1021" i="1"/>
  <c r="K1019" i="1"/>
  <c r="K1017" i="1"/>
  <c r="K1015" i="1"/>
  <c r="K1013" i="1"/>
  <c r="K1011" i="1"/>
  <c r="K1009" i="1"/>
  <c r="S8" i="1"/>
  <c r="Q8" i="1"/>
  <c r="O8" i="1"/>
  <c r="M8" i="1"/>
  <c r="K8" i="1"/>
  <c r="I8" i="1"/>
  <c r="K1005" i="1"/>
  <c r="K971" i="1"/>
  <c r="K969" i="1"/>
  <c r="K947" i="1"/>
  <c r="K945" i="1"/>
  <c r="K943" i="1"/>
  <c r="K941" i="1"/>
  <c r="K939" i="1"/>
  <c r="K937" i="1"/>
  <c r="K931" i="1"/>
  <c r="K929" i="1"/>
  <c r="K925" i="1"/>
  <c r="K923" i="1"/>
  <c r="K921" i="1"/>
  <c r="K919" i="1"/>
  <c r="K917" i="1"/>
  <c r="K897" i="1"/>
  <c r="K895" i="1"/>
  <c r="K885" i="1"/>
  <c r="K883" i="1"/>
  <c r="K881" i="1"/>
  <c r="K879" i="1"/>
  <c r="K877" i="1"/>
  <c r="K875" i="1"/>
  <c r="K873" i="1"/>
  <c r="K871" i="1"/>
  <c r="K869" i="1"/>
  <c r="K867" i="1"/>
  <c r="K865" i="1"/>
  <c r="K857" i="1"/>
  <c r="K855" i="1"/>
  <c r="K833" i="1"/>
  <c r="K831" i="1"/>
  <c r="K829" i="1"/>
  <c r="K819" i="1"/>
  <c r="K817" i="1"/>
  <c r="K815" i="1"/>
  <c r="K813" i="1"/>
  <c r="K811" i="1"/>
  <c r="K809" i="1"/>
  <c r="K805" i="1"/>
  <c r="K773" i="1"/>
  <c r="K771" i="1"/>
  <c r="K769" i="1"/>
  <c r="K767" i="1"/>
  <c r="K765" i="1"/>
  <c r="K763" i="1"/>
  <c r="K761" i="1"/>
  <c r="K759" i="1"/>
  <c r="K757" i="1"/>
  <c r="K755" i="1"/>
  <c r="K753" i="1"/>
  <c r="K739" i="1"/>
  <c r="K735" i="1"/>
  <c r="K733" i="1"/>
  <c r="K731" i="1"/>
  <c r="K729" i="1"/>
  <c r="K727" i="1"/>
  <c r="K725" i="1"/>
  <c r="K723" i="1"/>
  <c r="K721" i="1"/>
  <c r="K719" i="1"/>
  <c r="K717" i="1"/>
  <c r="K711" i="1"/>
  <c r="K709" i="1"/>
  <c r="K707" i="1"/>
  <c r="K705" i="1"/>
  <c r="K703" i="1"/>
  <c r="K701" i="1"/>
  <c r="K681" i="1"/>
  <c r="K679" i="1"/>
  <c r="K677" i="1"/>
  <c r="K675" i="1"/>
  <c r="K673" i="1"/>
  <c r="K671" i="1"/>
  <c r="K669" i="1"/>
  <c r="K667" i="1"/>
  <c r="K665" i="1"/>
  <c r="K663" i="1"/>
  <c r="K661" i="1"/>
  <c r="K659" i="1"/>
  <c r="K657" i="1"/>
  <c r="K655" i="1"/>
  <c r="K641" i="1"/>
  <c r="K639" i="1"/>
  <c r="L8" i="1"/>
  <c r="P8" i="1"/>
  <c r="T8" i="1"/>
  <c r="I9" i="1"/>
  <c r="S10" i="1"/>
  <c r="Q10" i="1"/>
  <c r="O10" i="1"/>
  <c r="M10" i="1"/>
  <c r="K10" i="1"/>
  <c r="I10" i="1"/>
  <c r="L10" i="1"/>
  <c r="P10" i="1"/>
  <c r="T10" i="1"/>
  <c r="I11" i="1"/>
  <c r="S12" i="1"/>
  <c r="Q12" i="1"/>
  <c r="O12" i="1"/>
  <c r="M12" i="1"/>
  <c r="K12" i="1"/>
  <c r="I12" i="1"/>
  <c r="L12" i="1"/>
  <c r="P12" i="1"/>
  <c r="T12" i="1"/>
  <c r="I13" i="1"/>
  <c r="S14" i="1"/>
  <c r="Q14" i="1"/>
  <c r="O14" i="1"/>
  <c r="M14" i="1"/>
  <c r="K14" i="1"/>
  <c r="I14" i="1"/>
  <c r="L14" i="1"/>
  <c r="P14" i="1"/>
  <c r="T14" i="1"/>
  <c r="I15" i="1"/>
  <c r="S16" i="1"/>
  <c r="Q16" i="1"/>
  <c r="O16" i="1"/>
  <c r="M16" i="1"/>
  <c r="K16" i="1"/>
  <c r="I16" i="1"/>
  <c r="L16" i="1"/>
  <c r="P16" i="1"/>
  <c r="T16" i="1"/>
  <c r="I17" i="1"/>
  <c r="Q1357" i="1"/>
  <c r="Q1353" i="1"/>
  <c r="Q1351" i="1"/>
  <c r="Q1345" i="1"/>
  <c r="Q1341" i="1"/>
  <c r="Q1337" i="1"/>
  <c r="Q1333" i="1"/>
  <c r="Q1329" i="1"/>
  <c r="Q1325" i="1"/>
  <c r="Q1323" i="1"/>
  <c r="Q1319" i="1"/>
  <c r="Q1313" i="1"/>
  <c r="Q1311" i="1"/>
  <c r="Q1307" i="1"/>
  <c r="Q1301" i="1"/>
  <c r="Q1299" i="1"/>
  <c r="Q1293" i="1"/>
  <c r="Q1291" i="1"/>
  <c r="Q1285" i="1"/>
  <c r="Q1281" i="1"/>
  <c r="Q1277" i="1"/>
  <c r="Q1275" i="1"/>
  <c r="Q1271" i="1"/>
  <c r="Q1267" i="1"/>
  <c r="Q1263" i="1"/>
  <c r="Q1257" i="1"/>
  <c r="Q1255" i="1"/>
  <c r="Q1251" i="1"/>
  <c r="Q1245" i="1"/>
  <c r="Q1243" i="1"/>
  <c r="Q1237" i="1"/>
  <c r="Q1233" i="1"/>
  <c r="Q1229" i="1"/>
  <c r="Q1225" i="1"/>
  <c r="Q1221" i="1"/>
  <c r="Q1217" i="1"/>
  <c r="Q1213" i="1"/>
  <c r="Q1209" i="1"/>
  <c r="Q1205" i="1"/>
  <c r="Q1201" i="1"/>
  <c r="Q1197" i="1"/>
  <c r="Q1193" i="1"/>
  <c r="Q1189" i="1"/>
  <c r="Q1185" i="1"/>
  <c r="Q1181" i="1"/>
  <c r="Q1175" i="1"/>
  <c r="Q1173" i="1"/>
  <c r="Q1167" i="1"/>
  <c r="Q1165" i="1"/>
  <c r="Q1159" i="1"/>
  <c r="Q1155" i="1"/>
  <c r="Q1151" i="1"/>
  <c r="Q1149" i="1"/>
  <c r="Q1143" i="1"/>
  <c r="Q1141" i="1"/>
  <c r="Q1135" i="1"/>
  <c r="Q1133" i="1"/>
  <c r="Q1127" i="1"/>
  <c r="Q1125" i="1"/>
  <c r="Q1119" i="1"/>
  <c r="Q1117" i="1"/>
  <c r="Q1113" i="1"/>
  <c r="Q1107" i="1"/>
  <c r="Q1103" i="1"/>
  <c r="Q1101" i="1"/>
  <c r="Q1095" i="1"/>
  <c r="Q1093" i="1"/>
  <c r="Q1087" i="1"/>
  <c r="Q1083" i="1"/>
  <c r="Q1079" i="1"/>
  <c r="Q1075" i="1"/>
  <c r="Q1073" i="1"/>
  <c r="Q1069" i="1"/>
  <c r="Q1063" i="1"/>
  <c r="Q1059" i="1"/>
  <c r="Q1055" i="1"/>
  <c r="Q1051" i="1"/>
  <c r="Q1047" i="1"/>
  <c r="Q1043" i="1"/>
  <c r="Q1041" i="1"/>
  <c r="Q1037" i="1"/>
  <c r="Q1033" i="1"/>
  <c r="Q1029" i="1"/>
  <c r="Q1023" i="1"/>
  <c r="Q1019" i="1"/>
  <c r="Q1015" i="1"/>
  <c r="Q1011" i="1"/>
  <c r="Q1005" i="1"/>
  <c r="Q1003" i="1"/>
  <c r="Q1001" i="1"/>
  <c r="Q999" i="1"/>
  <c r="Q997" i="1"/>
  <c r="Q995" i="1"/>
  <c r="Q993" i="1"/>
  <c r="Q991" i="1"/>
  <c r="Q989" i="1"/>
  <c r="Q987" i="1"/>
  <c r="Q985" i="1"/>
  <c r="Q983" i="1"/>
  <c r="Q981" i="1"/>
  <c r="Q979" i="1"/>
  <c r="Q977" i="1"/>
  <c r="Q975" i="1"/>
  <c r="Q973" i="1"/>
  <c r="Q965" i="1"/>
  <c r="Q963" i="1"/>
  <c r="Q961" i="1"/>
  <c r="Q959" i="1"/>
  <c r="Q957" i="1"/>
  <c r="Q955" i="1"/>
  <c r="Q953" i="1"/>
  <c r="Q951" i="1"/>
  <c r="Q949" i="1"/>
  <c r="Q947" i="1"/>
  <c r="Q935" i="1"/>
  <c r="Q933" i="1"/>
  <c r="Q931" i="1"/>
  <c r="Q925" i="1"/>
  <c r="Q913" i="1"/>
  <c r="Q911" i="1"/>
  <c r="Q909" i="1"/>
  <c r="Q907" i="1"/>
  <c r="Q905" i="1"/>
  <c r="Q903" i="1"/>
  <c r="Q901" i="1"/>
  <c r="Q899" i="1"/>
  <c r="Q897" i="1"/>
  <c r="Q893" i="1"/>
  <c r="Q891" i="1"/>
  <c r="Q889" i="1"/>
  <c r="Q887" i="1"/>
  <c r="Q885" i="1"/>
  <c r="Q863" i="1"/>
  <c r="Q861" i="1"/>
  <c r="Q859" i="1"/>
  <c r="Q857" i="1"/>
  <c r="Q855" i="1"/>
  <c r="Q853" i="1"/>
  <c r="Q851" i="1"/>
  <c r="Q849" i="1"/>
  <c r="Q847" i="1"/>
  <c r="Q845" i="1"/>
  <c r="Q843" i="1"/>
  <c r="Q841" i="1"/>
  <c r="Q839" i="1"/>
  <c r="Q837" i="1"/>
  <c r="Q835" i="1"/>
  <c r="Q833" i="1"/>
  <c r="Q827" i="1"/>
  <c r="Q825" i="1"/>
  <c r="Q823" i="1"/>
  <c r="Q821" i="1"/>
  <c r="Q819" i="1"/>
  <c r="Q801" i="1"/>
  <c r="Q799" i="1"/>
  <c r="Q797" i="1"/>
  <c r="Q795" i="1"/>
  <c r="Q793" i="1"/>
  <c r="Q791" i="1"/>
  <c r="Q789" i="1"/>
  <c r="Q787" i="1"/>
  <c r="Q785" i="1"/>
  <c r="Q783" i="1"/>
  <c r="Q781" i="1"/>
  <c r="Q779" i="1"/>
  <c r="Q777" i="1"/>
  <c r="Q775" i="1"/>
  <c r="Q773" i="1"/>
  <c r="Q771" i="1"/>
  <c r="Q769" i="1"/>
  <c r="Q751" i="1"/>
  <c r="Q749" i="1"/>
  <c r="Q747" i="1"/>
  <c r="Q745" i="1"/>
  <c r="Q743" i="1"/>
  <c r="Q741" i="1"/>
  <c r="Q739" i="1"/>
  <c r="Q715" i="1"/>
  <c r="Q713" i="1"/>
  <c r="Q711" i="1"/>
  <c r="Q699" i="1"/>
  <c r="Q697" i="1"/>
  <c r="Q695" i="1"/>
  <c r="Q693" i="1"/>
  <c r="Q691" i="1"/>
  <c r="Q689" i="1"/>
  <c r="Q687" i="1"/>
  <c r="Q685" i="1"/>
  <c r="Q683" i="1"/>
  <c r="Q653" i="1"/>
  <c r="Q651" i="1"/>
  <c r="Q649" i="1"/>
  <c r="Q647" i="1"/>
  <c r="Q645" i="1"/>
  <c r="Q643" i="1"/>
  <c r="Q641" i="1"/>
  <c r="Q637" i="1"/>
  <c r="Q635" i="1"/>
  <c r="Q631" i="1"/>
  <c r="Q629" i="1"/>
  <c r="Q627" i="1"/>
  <c r="S18" i="1"/>
  <c r="Q18" i="1"/>
  <c r="O18" i="1"/>
  <c r="M18" i="1"/>
  <c r="K18" i="1"/>
  <c r="I18" i="1"/>
  <c r="Q1355" i="1"/>
  <c r="Q1349" i="1"/>
  <c r="Q1347" i="1"/>
  <c r="Q1343" i="1"/>
  <c r="Q1339" i="1"/>
  <c r="Q1335" i="1"/>
  <c r="Q1331" i="1"/>
  <c r="Q1327" i="1"/>
  <c r="Q1321" i="1"/>
  <c r="Q1317" i="1"/>
  <c r="Q1315" i="1"/>
  <c r="Q1309" i="1"/>
  <c r="Q1305" i="1"/>
  <c r="Q1303" i="1"/>
  <c r="Q1297" i="1"/>
  <c r="Q1295" i="1"/>
  <c r="Q1289" i="1"/>
  <c r="Q1287" i="1"/>
  <c r="Q1283" i="1"/>
  <c r="Q1279" i="1"/>
  <c r="Q1273" i="1"/>
  <c r="Q1269" i="1"/>
  <c r="Q1265" i="1"/>
  <c r="Q1261" i="1"/>
  <c r="Q1259" i="1"/>
  <c r="Q1253" i="1"/>
  <c r="Q1249" i="1"/>
  <c r="Q1247" i="1"/>
  <c r="Q1241" i="1"/>
  <c r="Q1239" i="1"/>
  <c r="Q1235" i="1"/>
  <c r="Q1231" i="1"/>
  <c r="Q1227" i="1"/>
  <c r="Q1223" i="1"/>
  <c r="Q1219" i="1"/>
  <c r="Q1215" i="1"/>
  <c r="Q1211" i="1"/>
  <c r="Q1207" i="1"/>
  <c r="Q1203" i="1"/>
  <c r="Q1199" i="1"/>
  <c r="Q1195" i="1"/>
  <c r="Q1191" i="1"/>
  <c r="Q1187" i="1"/>
  <c r="Q1183" i="1"/>
  <c r="Q1179" i="1"/>
  <c r="Q1177" i="1"/>
  <c r="Q1171" i="1"/>
  <c r="Q1169" i="1"/>
  <c r="Q1163" i="1"/>
  <c r="Q1161" i="1"/>
  <c r="Q1157" i="1"/>
  <c r="Q1153" i="1"/>
  <c r="Q1147" i="1"/>
  <c r="Q1145" i="1"/>
  <c r="Q1139" i="1"/>
  <c r="Q1137" i="1"/>
  <c r="Q1131" i="1"/>
  <c r="Q1129" i="1"/>
  <c r="Q1123" i="1"/>
  <c r="Q1121" i="1"/>
  <c r="Q1115" i="1"/>
  <c r="Q1111" i="1"/>
  <c r="Q1109" i="1"/>
  <c r="Q1105" i="1"/>
  <c r="Q1099" i="1"/>
  <c r="Q1097" i="1"/>
  <c r="Q1091" i="1"/>
  <c r="Q1089" i="1"/>
  <c r="Q1085" i="1"/>
  <c r="Q1081" i="1"/>
  <c r="Q1077" i="1"/>
  <c r="Q1071" i="1"/>
  <c r="Q1067" i="1"/>
  <c r="Q1065" i="1"/>
  <c r="Q1061" i="1"/>
  <c r="Q1057" i="1"/>
  <c r="Q1053" i="1"/>
  <c r="Q1049" i="1"/>
  <c r="Q1045" i="1"/>
  <c r="Q1039" i="1"/>
  <c r="Q1035" i="1"/>
  <c r="Q1031" i="1"/>
  <c r="Q1027" i="1"/>
  <c r="Q1025" i="1"/>
  <c r="Q1021" i="1"/>
  <c r="Q1017" i="1"/>
  <c r="Q1013" i="1"/>
  <c r="Q1009" i="1"/>
  <c r="Q1007" i="1"/>
  <c r="Q971" i="1"/>
  <c r="Q969" i="1"/>
  <c r="Q967" i="1"/>
  <c r="Q945" i="1"/>
  <c r="Q943" i="1"/>
  <c r="Q941" i="1"/>
  <c r="Q939" i="1"/>
  <c r="Q937" i="1"/>
  <c r="Q929" i="1"/>
  <c r="Q927" i="1"/>
  <c r="Q923" i="1"/>
  <c r="Q921" i="1"/>
  <c r="Q919" i="1"/>
  <c r="Q917" i="1"/>
  <c r="Q915" i="1"/>
  <c r="Q895" i="1"/>
  <c r="Q883" i="1"/>
  <c r="Q881" i="1"/>
  <c r="Q879" i="1"/>
  <c r="Q877" i="1"/>
  <c r="Q875" i="1"/>
  <c r="Q873" i="1"/>
  <c r="Q871" i="1"/>
  <c r="Q869" i="1"/>
  <c r="Q867" i="1"/>
  <c r="Q865" i="1"/>
  <c r="Q831" i="1"/>
  <c r="Q829" i="1"/>
  <c r="Q817" i="1"/>
  <c r="Q815" i="1"/>
  <c r="Q813" i="1"/>
  <c r="Q811" i="1"/>
  <c r="Q809" i="1"/>
  <c r="Q807" i="1"/>
  <c r="Q805" i="1"/>
  <c r="Q803" i="1"/>
  <c r="Q767" i="1"/>
  <c r="Q765" i="1"/>
  <c r="Q763" i="1"/>
  <c r="Q761" i="1"/>
  <c r="Q759" i="1"/>
  <c r="Q757" i="1"/>
  <c r="Q755" i="1"/>
  <c r="Q753" i="1"/>
  <c r="Q737" i="1"/>
  <c r="Q735" i="1"/>
  <c r="Q733" i="1"/>
  <c r="Q731" i="1"/>
  <c r="Q729" i="1"/>
  <c r="Q727" i="1"/>
  <c r="Q725" i="1"/>
  <c r="Q723" i="1"/>
  <c r="Q721" i="1"/>
  <c r="Q719" i="1"/>
  <c r="Q717" i="1"/>
  <c r="Q709" i="1"/>
  <c r="Q707" i="1"/>
  <c r="Q705" i="1"/>
  <c r="Q703" i="1"/>
  <c r="Q701" i="1"/>
  <c r="Q681" i="1"/>
  <c r="Q679" i="1"/>
  <c r="Q677" i="1"/>
  <c r="Q675" i="1"/>
  <c r="Q673" i="1"/>
  <c r="Q671" i="1"/>
  <c r="Q669" i="1"/>
  <c r="Q667" i="1"/>
  <c r="Q665" i="1"/>
  <c r="Q663" i="1"/>
  <c r="Q661" i="1"/>
  <c r="Q659" i="1"/>
  <c r="Q657" i="1"/>
  <c r="Q655" i="1"/>
  <c r="Q639" i="1"/>
  <c r="Q633" i="1"/>
  <c r="L18" i="1"/>
  <c r="P18" i="1"/>
  <c r="T18" i="1"/>
  <c r="I19" i="1"/>
  <c r="Q19" i="1"/>
  <c r="S20" i="1"/>
  <c r="Q20" i="1"/>
  <c r="O20" i="1"/>
  <c r="M20" i="1"/>
  <c r="K20" i="1"/>
  <c r="I20" i="1"/>
  <c r="L20" i="1"/>
  <c r="P20" i="1"/>
  <c r="T20" i="1"/>
  <c r="I21" i="1"/>
  <c r="Q21" i="1"/>
  <c r="O1007" i="1"/>
  <c r="O1003" i="1"/>
  <c r="O1001" i="1"/>
  <c r="O999" i="1"/>
  <c r="O997" i="1"/>
  <c r="O995" i="1"/>
  <c r="O993" i="1"/>
  <c r="O991" i="1"/>
  <c r="O989" i="1"/>
  <c r="O987" i="1"/>
  <c r="O985" i="1"/>
  <c r="O983" i="1"/>
  <c r="O981" i="1"/>
  <c r="O979" i="1"/>
  <c r="O977" i="1"/>
  <c r="O975" i="1"/>
  <c r="O967" i="1"/>
  <c r="O965" i="1"/>
  <c r="O963" i="1"/>
  <c r="O961" i="1"/>
  <c r="O959" i="1"/>
  <c r="O957" i="1"/>
  <c r="O955" i="1"/>
  <c r="O953" i="1"/>
  <c r="O951" i="1"/>
  <c r="O949" i="1"/>
  <c r="O935" i="1"/>
  <c r="O933" i="1"/>
  <c r="O915" i="1"/>
  <c r="O913" i="1"/>
  <c r="O911" i="1"/>
  <c r="O909" i="1"/>
  <c r="O907" i="1"/>
  <c r="O905" i="1"/>
  <c r="O903" i="1"/>
  <c r="O901" i="1"/>
  <c r="O899" i="1"/>
  <c r="O893" i="1"/>
  <c r="O891" i="1"/>
  <c r="O889" i="1"/>
  <c r="O887" i="1"/>
  <c r="O863" i="1"/>
  <c r="O861" i="1"/>
  <c r="O859" i="1"/>
  <c r="O853" i="1"/>
  <c r="O851" i="1"/>
  <c r="O849" i="1"/>
  <c r="O847" i="1"/>
  <c r="O845" i="1"/>
  <c r="O843" i="1"/>
  <c r="O841" i="1"/>
  <c r="O839" i="1"/>
  <c r="O837" i="1"/>
  <c r="O835" i="1"/>
  <c r="O827" i="1"/>
  <c r="O825" i="1"/>
  <c r="O823" i="1"/>
  <c r="O821" i="1"/>
  <c r="O819" i="1"/>
  <c r="O803" i="1"/>
  <c r="O801" i="1"/>
  <c r="O799" i="1"/>
  <c r="O797" i="1"/>
  <c r="O795" i="1"/>
  <c r="O793" i="1"/>
  <c r="O791" i="1"/>
  <c r="O789" i="1"/>
  <c r="O787" i="1"/>
  <c r="O785" i="1"/>
  <c r="O783" i="1"/>
  <c r="O781" i="1"/>
  <c r="O779" i="1"/>
  <c r="O777" i="1"/>
  <c r="O775" i="1"/>
  <c r="O751" i="1"/>
  <c r="O749" i="1"/>
  <c r="O747" i="1"/>
  <c r="O745" i="1"/>
  <c r="O743" i="1"/>
  <c r="O741" i="1"/>
  <c r="O739" i="1"/>
  <c r="O737" i="1"/>
  <c r="O715" i="1"/>
  <c r="O713" i="1"/>
  <c r="O699" i="1"/>
  <c r="O697" i="1"/>
  <c r="O695" i="1"/>
  <c r="O693" i="1"/>
  <c r="O691" i="1"/>
  <c r="O689" i="1"/>
  <c r="O687" i="1"/>
  <c r="O685" i="1"/>
  <c r="O683" i="1"/>
  <c r="O653" i="1"/>
  <c r="O651" i="1"/>
  <c r="O649" i="1"/>
  <c r="O647" i="1"/>
  <c r="O645" i="1"/>
  <c r="O643" i="1"/>
  <c r="O637" i="1"/>
  <c r="O635" i="1"/>
  <c r="O633" i="1"/>
  <c r="O631" i="1"/>
  <c r="O629" i="1"/>
  <c r="O627" i="1"/>
  <c r="O1353" i="1"/>
  <c r="O1351" i="1"/>
  <c r="O1349" i="1"/>
  <c r="O1347" i="1"/>
  <c r="O1345" i="1"/>
  <c r="O1343" i="1"/>
  <c r="O1341" i="1"/>
  <c r="O1339" i="1"/>
  <c r="O1337" i="1"/>
  <c r="O1335" i="1"/>
  <c r="O1333" i="1"/>
  <c r="O1331" i="1"/>
  <c r="O1329" i="1"/>
  <c r="O1327" i="1"/>
  <c r="O1325" i="1"/>
  <c r="O1323" i="1"/>
  <c r="O1321" i="1"/>
  <c r="O1319" i="1"/>
  <c r="O1317" i="1"/>
  <c r="O1315" i="1"/>
  <c r="O1313" i="1"/>
  <c r="O1311" i="1"/>
  <c r="O1309" i="1"/>
  <c r="O1307" i="1"/>
  <c r="O1305" i="1"/>
  <c r="O1303" i="1"/>
  <c r="O1301" i="1"/>
  <c r="O1299" i="1"/>
  <c r="O1297" i="1"/>
  <c r="O1295" i="1"/>
  <c r="O1293" i="1"/>
  <c r="O1291" i="1"/>
  <c r="O1289" i="1"/>
  <c r="O1287" i="1"/>
  <c r="O1285" i="1"/>
  <c r="O1283" i="1"/>
  <c r="O1281" i="1"/>
  <c r="O1279" i="1"/>
  <c r="O1277" i="1"/>
  <c r="O1275" i="1"/>
  <c r="O1273" i="1"/>
  <c r="O1271" i="1"/>
  <c r="O1269" i="1"/>
  <c r="O1267" i="1"/>
  <c r="O1265" i="1"/>
  <c r="O1263" i="1"/>
  <c r="O1261" i="1"/>
  <c r="O1259" i="1"/>
  <c r="O1257" i="1"/>
  <c r="O1255" i="1"/>
  <c r="O1253" i="1"/>
  <c r="O1251" i="1"/>
  <c r="O1249" i="1"/>
  <c r="O1247" i="1"/>
  <c r="O1245" i="1"/>
  <c r="O1243" i="1"/>
  <c r="O1241" i="1"/>
  <c r="O1239" i="1"/>
  <c r="O1237" i="1"/>
  <c r="O1235" i="1"/>
  <c r="O1233" i="1"/>
  <c r="O1231" i="1"/>
  <c r="O1229" i="1"/>
  <c r="O1227" i="1"/>
  <c r="O1225" i="1"/>
  <c r="O1223" i="1"/>
  <c r="O1221" i="1"/>
  <c r="O1219" i="1"/>
  <c r="O1217" i="1"/>
  <c r="O1215" i="1"/>
  <c r="O1213" i="1"/>
  <c r="O1211" i="1"/>
  <c r="O1209" i="1"/>
  <c r="O1207" i="1"/>
  <c r="O1205" i="1"/>
  <c r="O1203" i="1"/>
  <c r="O1201" i="1"/>
  <c r="O1199" i="1"/>
  <c r="O1197" i="1"/>
  <c r="O1195" i="1"/>
  <c r="O1193" i="1"/>
  <c r="O1191" i="1"/>
  <c r="O1189" i="1"/>
  <c r="O1187" i="1"/>
  <c r="O1185" i="1"/>
  <c r="O1183" i="1"/>
  <c r="O1181" i="1"/>
  <c r="O1179" i="1"/>
  <c r="O1177" i="1"/>
  <c r="O1175" i="1"/>
  <c r="O1173" i="1"/>
  <c r="O1171" i="1"/>
  <c r="O1169" i="1"/>
  <c r="O1167" i="1"/>
  <c r="O1165" i="1"/>
  <c r="O1163" i="1"/>
  <c r="O1161" i="1"/>
  <c r="O1159" i="1"/>
  <c r="O1157" i="1"/>
  <c r="O1155" i="1"/>
  <c r="O1153" i="1"/>
  <c r="O1151" i="1"/>
  <c r="O1149" i="1"/>
  <c r="O1147" i="1"/>
  <c r="O1145" i="1"/>
  <c r="O1143" i="1"/>
  <c r="O1141" i="1"/>
  <c r="O1139" i="1"/>
  <c r="O1137" i="1"/>
  <c r="O1135" i="1"/>
  <c r="O1133" i="1"/>
  <c r="O1131" i="1"/>
  <c r="O1129" i="1"/>
  <c r="O1127" i="1"/>
  <c r="O1125" i="1"/>
  <c r="O1123" i="1"/>
  <c r="O1121" i="1"/>
  <c r="O1119" i="1"/>
  <c r="O1117" i="1"/>
  <c r="O1115" i="1"/>
  <c r="O1113" i="1"/>
  <c r="O1111" i="1"/>
  <c r="O1109" i="1"/>
  <c r="O1107" i="1"/>
  <c r="O1105" i="1"/>
  <c r="O1103" i="1"/>
  <c r="O1101" i="1"/>
  <c r="O1099" i="1"/>
  <c r="O1097" i="1"/>
  <c r="O1095" i="1"/>
  <c r="O1093" i="1"/>
  <c r="O1091" i="1"/>
  <c r="O1089" i="1"/>
  <c r="O1087" i="1"/>
  <c r="O1085" i="1"/>
  <c r="O1083" i="1"/>
  <c r="O1081" i="1"/>
  <c r="O1079" i="1"/>
  <c r="O1077" i="1"/>
  <c r="O1075" i="1"/>
  <c r="O1073" i="1"/>
  <c r="O1071" i="1"/>
  <c r="O1069" i="1"/>
  <c r="O1067" i="1"/>
  <c r="O1065" i="1"/>
  <c r="O1063" i="1"/>
  <c r="O1061" i="1"/>
  <c r="O1059" i="1"/>
  <c r="O1057" i="1"/>
  <c r="O1055" i="1"/>
  <c r="O1053" i="1"/>
  <c r="O1051" i="1"/>
  <c r="O1049" i="1"/>
  <c r="O1047" i="1"/>
  <c r="O1045" i="1"/>
  <c r="O1043" i="1"/>
  <c r="O1041" i="1"/>
  <c r="O1039" i="1"/>
  <c r="O1037" i="1"/>
  <c r="O1035" i="1"/>
  <c r="O1033" i="1"/>
  <c r="O1031" i="1"/>
  <c r="O1029" i="1"/>
  <c r="O1027" i="1"/>
  <c r="O1025" i="1"/>
  <c r="O1023" i="1"/>
  <c r="O1021" i="1"/>
  <c r="O1019" i="1"/>
  <c r="O1017" i="1"/>
  <c r="O1015" i="1"/>
  <c r="O1013" i="1"/>
  <c r="O1011" i="1"/>
  <c r="O1009" i="1"/>
  <c r="S22" i="1"/>
  <c r="Q22" i="1"/>
  <c r="O22" i="1"/>
  <c r="M22" i="1"/>
  <c r="K22" i="1"/>
  <c r="I22" i="1"/>
  <c r="O1005" i="1"/>
  <c r="O973" i="1"/>
  <c r="O971" i="1"/>
  <c r="O969" i="1"/>
  <c r="O947" i="1"/>
  <c r="O945" i="1"/>
  <c r="O943" i="1"/>
  <c r="O941" i="1"/>
  <c r="O939" i="1"/>
  <c r="O937" i="1"/>
  <c r="O931" i="1"/>
  <c r="O929" i="1"/>
  <c r="O927" i="1"/>
  <c r="O925" i="1"/>
  <c r="O923" i="1"/>
  <c r="O921" i="1"/>
  <c r="O919" i="1"/>
  <c r="O917" i="1"/>
  <c r="O897" i="1"/>
  <c r="O895" i="1"/>
  <c r="O885" i="1"/>
  <c r="O883" i="1"/>
  <c r="O881" i="1"/>
  <c r="O879" i="1"/>
  <c r="O877" i="1"/>
  <c r="O875" i="1"/>
  <c r="O873" i="1"/>
  <c r="O871" i="1"/>
  <c r="O869" i="1"/>
  <c r="O867" i="1"/>
  <c r="O865" i="1"/>
  <c r="O857" i="1"/>
  <c r="O855" i="1"/>
  <c r="O833" i="1"/>
  <c r="O831" i="1"/>
  <c r="O829" i="1"/>
  <c r="O817" i="1"/>
  <c r="O815" i="1"/>
  <c r="O813" i="1"/>
  <c r="O811" i="1"/>
  <c r="O809" i="1"/>
  <c r="O807" i="1"/>
  <c r="O805" i="1"/>
  <c r="O773" i="1"/>
  <c r="O771" i="1"/>
  <c r="O769" i="1"/>
  <c r="O767" i="1"/>
  <c r="O765" i="1"/>
  <c r="O763" i="1"/>
  <c r="O761" i="1"/>
  <c r="O759" i="1"/>
  <c r="O757" i="1"/>
  <c r="O755" i="1"/>
  <c r="O753" i="1"/>
  <c r="O735" i="1"/>
  <c r="O733" i="1"/>
  <c r="O731" i="1"/>
  <c r="O729" i="1"/>
  <c r="O727" i="1"/>
  <c r="O725" i="1"/>
  <c r="O723" i="1"/>
  <c r="O721" i="1"/>
  <c r="O719" i="1"/>
  <c r="O717" i="1"/>
  <c r="O711" i="1"/>
  <c r="O709" i="1"/>
  <c r="O707" i="1"/>
  <c r="O705" i="1"/>
  <c r="O703" i="1"/>
  <c r="O701" i="1"/>
  <c r="O681" i="1"/>
  <c r="O679" i="1"/>
  <c r="O677" i="1"/>
  <c r="O675" i="1"/>
  <c r="O673" i="1"/>
  <c r="O671" i="1"/>
  <c r="O669" i="1"/>
  <c r="O667" i="1"/>
  <c r="O665" i="1"/>
  <c r="O663" i="1"/>
  <c r="O661" i="1"/>
  <c r="O659" i="1"/>
  <c r="O657" i="1"/>
  <c r="O655" i="1"/>
  <c r="O641" i="1"/>
  <c r="O639" i="1"/>
  <c r="L22" i="1"/>
  <c r="P22" i="1"/>
  <c r="T22" i="1"/>
  <c r="I23" i="1"/>
  <c r="Q23" i="1"/>
  <c r="S24" i="1"/>
  <c r="Q24" i="1"/>
  <c r="O24" i="1"/>
  <c r="M24" i="1"/>
  <c r="K24" i="1"/>
  <c r="I24" i="1"/>
  <c r="L24" i="1"/>
  <c r="P24" i="1"/>
  <c r="T24" i="1"/>
  <c r="I25" i="1"/>
  <c r="Q25" i="1"/>
  <c r="S26" i="1"/>
  <c r="Q26" i="1"/>
  <c r="O26" i="1"/>
  <c r="M26" i="1"/>
  <c r="K26" i="1"/>
  <c r="I26" i="1"/>
  <c r="L26" i="1"/>
  <c r="P26" i="1"/>
  <c r="T26" i="1"/>
  <c r="I27" i="1"/>
  <c r="Q27" i="1"/>
  <c r="S28" i="1"/>
  <c r="Q28" i="1"/>
  <c r="O28" i="1"/>
  <c r="M28" i="1"/>
  <c r="K28" i="1"/>
  <c r="I28" i="1"/>
  <c r="L28" i="1"/>
  <c r="P28" i="1"/>
  <c r="T28" i="1"/>
  <c r="I29" i="1"/>
  <c r="Q29" i="1"/>
  <c r="S30" i="1"/>
  <c r="Q30" i="1"/>
  <c r="O30" i="1"/>
  <c r="M30" i="1"/>
  <c r="K30" i="1"/>
  <c r="I30" i="1"/>
  <c r="L30" i="1"/>
  <c r="P30" i="1"/>
  <c r="T30" i="1"/>
  <c r="I31" i="1"/>
  <c r="Q31" i="1"/>
  <c r="S32" i="1"/>
  <c r="Q32" i="1"/>
  <c r="O32" i="1"/>
  <c r="M32" i="1"/>
  <c r="K32" i="1"/>
  <c r="I32" i="1"/>
  <c r="L32" i="1"/>
  <c r="P32" i="1"/>
  <c r="T32" i="1"/>
  <c r="I33" i="1"/>
  <c r="Q33" i="1"/>
  <c r="S34" i="1"/>
  <c r="Q34" i="1"/>
  <c r="O34" i="1"/>
  <c r="M34" i="1"/>
  <c r="K34" i="1"/>
  <c r="I34" i="1"/>
  <c r="L34" i="1"/>
  <c r="P34" i="1"/>
  <c r="T34" i="1"/>
  <c r="I35" i="1"/>
  <c r="Q35" i="1"/>
  <c r="S36" i="1"/>
  <c r="Q36" i="1"/>
  <c r="O36" i="1"/>
  <c r="M36" i="1"/>
  <c r="K36" i="1"/>
  <c r="I36" i="1"/>
  <c r="L36" i="1"/>
  <c r="P36" i="1"/>
  <c r="T36" i="1"/>
  <c r="I37" i="1"/>
  <c r="Q37" i="1"/>
  <c r="S38" i="1"/>
  <c r="Q38" i="1"/>
  <c r="O38" i="1"/>
  <c r="M38" i="1"/>
  <c r="K38" i="1"/>
  <c r="I38" i="1"/>
  <c r="L38" i="1"/>
  <c r="P38" i="1"/>
  <c r="T38" i="1"/>
  <c r="I39" i="1"/>
  <c r="Q39" i="1"/>
  <c r="S40" i="1"/>
  <c r="Q40" i="1"/>
  <c r="O40" i="1"/>
  <c r="M40" i="1"/>
  <c r="K40" i="1"/>
  <c r="I40" i="1"/>
  <c r="L40" i="1"/>
  <c r="P40" i="1"/>
  <c r="T40" i="1"/>
  <c r="I41" i="1"/>
  <c r="Q41" i="1"/>
  <c r="S42" i="1"/>
  <c r="Q42" i="1"/>
  <c r="O42" i="1"/>
  <c r="M42" i="1"/>
  <c r="K42" i="1"/>
  <c r="I42" i="1"/>
  <c r="L42" i="1"/>
  <c r="P42" i="1"/>
  <c r="T42" i="1"/>
  <c r="I43" i="1"/>
  <c r="Q43" i="1"/>
  <c r="S44" i="1"/>
  <c r="Q44" i="1"/>
  <c r="O44" i="1"/>
  <c r="M44" i="1"/>
  <c r="K44" i="1"/>
  <c r="I44" i="1"/>
  <c r="L44" i="1"/>
  <c r="P44" i="1"/>
  <c r="T44" i="1"/>
  <c r="I45" i="1"/>
  <c r="Q45" i="1"/>
  <c r="S46" i="1"/>
  <c r="Q46" i="1"/>
  <c r="O46" i="1"/>
  <c r="M46" i="1"/>
  <c r="K46" i="1"/>
  <c r="I46" i="1"/>
  <c r="L46" i="1"/>
  <c r="P46" i="1"/>
  <c r="T46" i="1"/>
  <c r="I47" i="1"/>
  <c r="Q47" i="1"/>
  <c r="S48" i="1"/>
  <c r="Q48" i="1"/>
  <c r="O48" i="1"/>
  <c r="M48" i="1"/>
  <c r="K48" i="1"/>
  <c r="I48" i="1"/>
  <c r="L48" i="1"/>
  <c r="P48" i="1"/>
  <c r="T48" i="1"/>
  <c r="I49" i="1"/>
  <c r="Q49" i="1"/>
  <c r="S50" i="1"/>
  <c r="Q50" i="1"/>
  <c r="O50" i="1"/>
  <c r="M50" i="1"/>
  <c r="K50" i="1"/>
  <c r="I50" i="1"/>
  <c r="L50" i="1"/>
  <c r="P50" i="1"/>
  <c r="T50" i="1"/>
  <c r="I51" i="1"/>
  <c r="Q51" i="1"/>
  <c r="S52" i="1"/>
  <c r="Q52" i="1"/>
  <c r="O52" i="1"/>
  <c r="M52" i="1"/>
  <c r="K52" i="1"/>
  <c r="I52" i="1"/>
  <c r="L52" i="1"/>
  <c r="P52" i="1"/>
  <c r="T52" i="1"/>
  <c r="I53" i="1"/>
  <c r="Q53" i="1"/>
  <c r="S54" i="1"/>
  <c r="Q54" i="1"/>
  <c r="O54" i="1"/>
  <c r="M54" i="1"/>
  <c r="K54" i="1"/>
  <c r="I54" i="1"/>
  <c r="L54" i="1"/>
  <c r="P54" i="1"/>
  <c r="T54" i="1"/>
  <c r="I55" i="1"/>
  <c r="Q55" i="1"/>
  <c r="S56" i="1"/>
  <c r="Q56" i="1"/>
  <c r="O56" i="1"/>
  <c r="M56" i="1"/>
  <c r="K56" i="1"/>
  <c r="I56" i="1"/>
  <c r="L56" i="1"/>
  <c r="P56" i="1"/>
  <c r="T56" i="1"/>
  <c r="I57" i="1"/>
  <c r="Q57" i="1"/>
  <c r="S58" i="1"/>
  <c r="Q58" i="1"/>
  <c r="O58" i="1"/>
  <c r="M58" i="1"/>
  <c r="K58" i="1"/>
  <c r="I58" i="1"/>
  <c r="L58" i="1"/>
  <c r="P58" i="1"/>
  <c r="T58" i="1"/>
  <c r="I59" i="1"/>
  <c r="Q59" i="1"/>
  <c r="S60" i="1"/>
  <c r="Q60" i="1"/>
  <c r="O60" i="1"/>
  <c r="M60" i="1"/>
  <c r="K60" i="1"/>
  <c r="I60" i="1"/>
  <c r="L60" i="1"/>
  <c r="P60" i="1"/>
  <c r="T60" i="1"/>
  <c r="I61" i="1"/>
  <c r="Q61" i="1"/>
  <c r="S62" i="1"/>
  <c r="Q62" i="1"/>
  <c r="O62" i="1"/>
  <c r="M62" i="1"/>
  <c r="K62" i="1"/>
  <c r="I62" i="1"/>
  <c r="L62" i="1"/>
  <c r="P62" i="1"/>
  <c r="T62" i="1"/>
  <c r="I63" i="1"/>
  <c r="Q63" i="1"/>
  <c r="M1355" i="1"/>
  <c r="M1349" i="1"/>
  <c r="M1347" i="1"/>
  <c r="M1343" i="1"/>
  <c r="M1339" i="1"/>
  <c r="M1335" i="1"/>
  <c r="M1331" i="1"/>
  <c r="M1327" i="1"/>
  <c r="M1317" i="1"/>
  <c r="M1315" i="1"/>
  <c r="M1309" i="1"/>
  <c r="M1305" i="1"/>
  <c r="M1303" i="1"/>
  <c r="M1297" i="1"/>
  <c r="M1295" i="1"/>
  <c r="M1289" i="1"/>
  <c r="M1287" i="1"/>
  <c r="M1283" i="1"/>
  <c r="M1279" i="1"/>
  <c r="M1273" i="1"/>
  <c r="M1269" i="1"/>
  <c r="M1265" i="1"/>
  <c r="M1261" i="1"/>
  <c r="M1259" i="1"/>
  <c r="M1253" i="1"/>
  <c r="M1249" i="1"/>
  <c r="M1247" i="1"/>
  <c r="M1241" i="1"/>
  <c r="M1239" i="1"/>
  <c r="M1235" i="1"/>
  <c r="M1231" i="1"/>
  <c r="M1227" i="1"/>
  <c r="M1223" i="1"/>
  <c r="M1219" i="1"/>
  <c r="M1215" i="1"/>
  <c r="M1211" i="1"/>
  <c r="M1207" i="1"/>
  <c r="M1203" i="1"/>
  <c r="M1199" i="1"/>
  <c r="M1195" i="1"/>
  <c r="M1191" i="1"/>
  <c r="M1187" i="1"/>
  <c r="M1183" i="1"/>
  <c r="M1179" i="1"/>
  <c r="M1177" i="1"/>
  <c r="M1171" i="1"/>
  <c r="M1169" i="1"/>
  <c r="M1163" i="1"/>
  <c r="M1161" i="1"/>
  <c r="M1157" i="1"/>
  <c r="M1153" i="1"/>
  <c r="M1147" i="1"/>
  <c r="M1145" i="1"/>
  <c r="M1139" i="1"/>
  <c r="M1137" i="1"/>
  <c r="M1131" i="1"/>
  <c r="M1129" i="1"/>
  <c r="M1123" i="1"/>
  <c r="M1121" i="1"/>
  <c r="M1115" i="1"/>
  <c r="M1111" i="1"/>
  <c r="M1109" i="1"/>
  <c r="M1105" i="1"/>
  <c r="M1099" i="1"/>
  <c r="M1097" i="1"/>
  <c r="M1091" i="1"/>
  <c r="M1089" i="1"/>
  <c r="M1085" i="1"/>
  <c r="M1081" i="1"/>
  <c r="M1077" i="1"/>
  <c r="M1071" i="1"/>
  <c r="M1067" i="1"/>
  <c r="M1065" i="1"/>
  <c r="M1061" i="1"/>
  <c r="M1057" i="1"/>
  <c r="M1053" i="1"/>
  <c r="M1049" i="1"/>
  <c r="M1045" i="1"/>
  <c r="M1039" i="1"/>
  <c r="M1035" i="1"/>
  <c r="M1031" i="1"/>
  <c r="M1027" i="1"/>
  <c r="M1025" i="1"/>
  <c r="M1021" i="1"/>
  <c r="M1017" i="1"/>
  <c r="M1013" i="1"/>
  <c r="M1009" i="1"/>
  <c r="M1005" i="1"/>
  <c r="M971" i="1"/>
  <c r="M969" i="1"/>
  <c r="M947" i="1"/>
  <c r="M945" i="1"/>
  <c r="M943" i="1"/>
  <c r="M941" i="1"/>
  <c r="M939" i="1"/>
  <c r="M937" i="1"/>
  <c r="M925" i="1"/>
  <c r="M923" i="1"/>
  <c r="M921" i="1"/>
  <c r="M919" i="1"/>
  <c r="M917" i="1"/>
  <c r="M897" i="1"/>
  <c r="M895" i="1"/>
  <c r="M885" i="1"/>
  <c r="M883" i="1"/>
  <c r="M881" i="1"/>
  <c r="M879" i="1"/>
  <c r="M877" i="1"/>
  <c r="M875" i="1"/>
  <c r="M873" i="1"/>
  <c r="M871" i="1"/>
  <c r="M869" i="1"/>
  <c r="M867" i="1"/>
  <c r="M865" i="1"/>
  <c r="M857" i="1"/>
  <c r="M855" i="1"/>
  <c r="M833" i="1"/>
  <c r="M831" i="1"/>
  <c r="M829" i="1"/>
  <c r="M817" i="1"/>
  <c r="M815" i="1"/>
  <c r="M813" i="1"/>
  <c r="M811" i="1"/>
  <c r="M809" i="1"/>
  <c r="M805" i="1"/>
  <c r="M773" i="1"/>
  <c r="M771" i="1"/>
  <c r="M769" i="1"/>
  <c r="M767" i="1"/>
  <c r="M765" i="1"/>
  <c r="M763" i="1"/>
  <c r="M761" i="1"/>
  <c r="M759" i="1"/>
  <c r="M757" i="1"/>
  <c r="M755" i="1"/>
  <c r="M753" i="1"/>
  <c r="M735" i="1"/>
  <c r="M733" i="1"/>
  <c r="M731" i="1"/>
  <c r="M729" i="1"/>
  <c r="M727" i="1"/>
  <c r="M725" i="1"/>
  <c r="M723" i="1"/>
  <c r="M721" i="1"/>
  <c r="M719" i="1"/>
  <c r="M717" i="1"/>
  <c r="M711" i="1"/>
  <c r="M709" i="1"/>
  <c r="M707" i="1"/>
  <c r="M705" i="1"/>
  <c r="M703" i="1"/>
  <c r="M701" i="1"/>
  <c r="M681" i="1"/>
  <c r="M679" i="1"/>
  <c r="M677" i="1"/>
  <c r="M675" i="1"/>
  <c r="M673" i="1"/>
  <c r="M671" i="1"/>
  <c r="M669" i="1"/>
  <c r="M667" i="1"/>
  <c r="M665" i="1"/>
  <c r="M663" i="1"/>
  <c r="M661" i="1"/>
  <c r="M659" i="1"/>
  <c r="M657" i="1"/>
  <c r="M655" i="1"/>
  <c r="M641" i="1"/>
  <c r="M639" i="1"/>
  <c r="S64" i="1"/>
  <c r="Q64" i="1"/>
  <c r="O64" i="1"/>
  <c r="M64" i="1"/>
  <c r="K64" i="1"/>
  <c r="I64" i="1"/>
  <c r="M1357" i="1"/>
  <c r="M1353" i="1"/>
  <c r="M1351" i="1"/>
  <c r="M1345" i="1"/>
  <c r="M1341" i="1"/>
  <c r="M1337" i="1"/>
  <c r="M1333" i="1"/>
  <c r="M1329" i="1"/>
  <c r="M1325" i="1"/>
  <c r="M1323" i="1"/>
  <c r="M1321" i="1"/>
  <c r="M1319" i="1"/>
  <c r="M1313" i="1"/>
  <c r="M1311" i="1"/>
  <c r="M1307" i="1"/>
  <c r="M1301" i="1"/>
  <c r="M1299" i="1"/>
  <c r="M1293" i="1"/>
  <c r="M1291" i="1"/>
  <c r="M1285" i="1"/>
  <c r="M1281" i="1"/>
  <c r="M1277" i="1"/>
  <c r="M1275" i="1"/>
  <c r="M1271" i="1"/>
  <c r="M1267" i="1"/>
  <c r="M1263" i="1"/>
  <c r="M1257" i="1"/>
  <c r="M1255" i="1"/>
  <c r="M1251" i="1"/>
  <c r="M1245" i="1"/>
  <c r="M1243" i="1"/>
  <c r="M1237" i="1"/>
  <c r="M1233" i="1"/>
  <c r="M1229" i="1"/>
  <c r="M1225" i="1"/>
  <c r="M1221" i="1"/>
  <c r="M1217" i="1"/>
  <c r="M1213" i="1"/>
  <c r="M1209" i="1"/>
  <c r="M1205" i="1"/>
  <c r="M1201" i="1"/>
  <c r="M1197" i="1"/>
  <c r="M1193" i="1"/>
  <c r="M1189" i="1"/>
  <c r="M1185" i="1"/>
  <c r="M1181" i="1"/>
  <c r="M1175" i="1"/>
  <c r="M1173" i="1"/>
  <c r="M1167" i="1"/>
  <c r="M1165" i="1"/>
  <c r="M1159" i="1"/>
  <c r="M1155" i="1"/>
  <c r="M1151" i="1"/>
  <c r="M1149" i="1"/>
  <c r="M1143" i="1"/>
  <c r="M1141" i="1"/>
  <c r="M1135" i="1"/>
  <c r="M1133" i="1"/>
  <c r="M1127" i="1"/>
  <c r="M1125" i="1"/>
  <c r="M1119" i="1"/>
  <c r="M1117" i="1"/>
  <c r="M1113" i="1"/>
  <c r="M1107" i="1"/>
  <c r="M1103" i="1"/>
  <c r="M1101" i="1"/>
  <c r="M1095" i="1"/>
  <c r="M1093" i="1"/>
  <c r="M1087" i="1"/>
  <c r="M1083" i="1"/>
  <c r="M1079" i="1"/>
  <c r="M1075" i="1"/>
  <c r="M1073" i="1"/>
  <c r="M1069" i="1"/>
  <c r="M1063" i="1"/>
  <c r="M1059" i="1"/>
  <c r="M1055" i="1"/>
  <c r="M1051" i="1"/>
  <c r="M1047" i="1"/>
  <c r="M1043" i="1"/>
  <c r="M1041" i="1"/>
  <c r="M1037" i="1"/>
  <c r="M1033" i="1"/>
  <c r="M1029" i="1"/>
  <c r="M1023" i="1"/>
  <c r="M1019" i="1"/>
  <c r="M1015" i="1"/>
  <c r="M1011" i="1"/>
  <c r="M1007" i="1"/>
  <c r="M1003" i="1"/>
  <c r="M1001" i="1"/>
  <c r="M999" i="1"/>
  <c r="M997" i="1"/>
  <c r="M995" i="1"/>
  <c r="M993" i="1"/>
  <c r="M991" i="1"/>
  <c r="M989" i="1"/>
  <c r="M987" i="1"/>
  <c r="M985" i="1"/>
  <c r="M983" i="1"/>
  <c r="M981" i="1"/>
  <c r="M979" i="1"/>
  <c r="M977" i="1"/>
  <c r="M975" i="1"/>
  <c r="M973" i="1"/>
  <c r="M967" i="1"/>
  <c r="M965" i="1"/>
  <c r="M963" i="1"/>
  <c r="M961" i="1"/>
  <c r="M959" i="1"/>
  <c r="M957" i="1"/>
  <c r="M955" i="1"/>
  <c r="M953" i="1"/>
  <c r="M951" i="1"/>
  <c r="M949" i="1"/>
  <c r="M935" i="1"/>
  <c r="M933" i="1"/>
  <c r="M931" i="1"/>
  <c r="M929" i="1"/>
  <c r="M927" i="1"/>
  <c r="M915" i="1"/>
  <c r="M913" i="1"/>
  <c r="M911" i="1"/>
  <c r="M909" i="1"/>
  <c r="M907" i="1"/>
  <c r="M905" i="1"/>
  <c r="M903" i="1"/>
  <c r="M901" i="1"/>
  <c r="M899" i="1"/>
  <c r="M893" i="1"/>
  <c r="M891" i="1"/>
  <c r="M889" i="1"/>
  <c r="M887" i="1"/>
  <c r="M863" i="1"/>
  <c r="M861" i="1"/>
  <c r="M859" i="1"/>
  <c r="M853" i="1"/>
  <c r="M851" i="1"/>
  <c r="M849" i="1"/>
  <c r="M847" i="1"/>
  <c r="M845" i="1"/>
  <c r="M843" i="1"/>
  <c r="M841" i="1"/>
  <c r="M839" i="1"/>
  <c r="M837" i="1"/>
  <c r="M835" i="1"/>
  <c r="M827" i="1"/>
  <c r="M825" i="1"/>
  <c r="M823" i="1"/>
  <c r="M821" i="1"/>
  <c r="M819" i="1"/>
  <c r="M807" i="1"/>
  <c r="M803" i="1"/>
  <c r="M801" i="1"/>
  <c r="M799" i="1"/>
  <c r="M797" i="1"/>
  <c r="M795" i="1"/>
  <c r="M793" i="1"/>
  <c r="M791" i="1"/>
  <c r="M789" i="1"/>
  <c r="M787" i="1"/>
  <c r="M785" i="1"/>
  <c r="M783" i="1"/>
  <c r="M781" i="1"/>
  <c r="M779" i="1"/>
  <c r="M777" i="1"/>
  <c r="M775" i="1"/>
  <c r="M751" i="1"/>
  <c r="M749" i="1"/>
  <c r="M747" i="1"/>
  <c r="M745" i="1"/>
  <c r="M743" i="1"/>
  <c r="M741" i="1"/>
  <c r="M739" i="1"/>
  <c r="M737" i="1"/>
  <c r="M715" i="1"/>
  <c r="M713" i="1"/>
  <c r="M699" i="1"/>
  <c r="M697" i="1"/>
  <c r="M695" i="1"/>
  <c r="M693" i="1"/>
  <c r="M691" i="1"/>
  <c r="M689" i="1"/>
  <c r="M687" i="1"/>
  <c r="M685" i="1"/>
  <c r="M683" i="1"/>
  <c r="M653" i="1"/>
  <c r="M651" i="1"/>
  <c r="M649" i="1"/>
  <c r="M647" i="1"/>
  <c r="M645" i="1"/>
  <c r="M643" i="1"/>
  <c r="M637" i="1"/>
  <c r="M635" i="1"/>
  <c r="M633" i="1"/>
  <c r="M631" i="1"/>
  <c r="M629" i="1"/>
  <c r="M627" i="1"/>
  <c r="L64" i="1"/>
  <c r="P64" i="1"/>
  <c r="T64" i="1"/>
  <c r="I65" i="1"/>
  <c r="M65" i="1"/>
  <c r="Q65" i="1"/>
  <c r="S66" i="1"/>
  <c r="Q66" i="1"/>
  <c r="O66" i="1"/>
  <c r="M66" i="1"/>
  <c r="K66" i="1"/>
  <c r="I66" i="1"/>
  <c r="L66" i="1"/>
  <c r="P66" i="1"/>
  <c r="T66" i="1"/>
  <c r="I67" i="1"/>
  <c r="M67" i="1"/>
  <c r="Q67" i="1"/>
  <c r="S68" i="1"/>
  <c r="Q68" i="1"/>
  <c r="O68" i="1"/>
  <c r="M68" i="1"/>
  <c r="K68" i="1"/>
  <c r="I68" i="1"/>
  <c r="L68" i="1"/>
  <c r="P68" i="1"/>
  <c r="T68" i="1"/>
  <c r="I69" i="1"/>
  <c r="M69" i="1"/>
  <c r="Q69" i="1"/>
  <c r="S70" i="1"/>
  <c r="Q70" i="1"/>
  <c r="O70" i="1"/>
  <c r="M70" i="1"/>
  <c r="K70" i="1"/>
  <c r="I70" i="1"/>
  <c r="L70" i="1"/>
  <c r="P70" i="1"/>
  <c r="T70" i="1"/>
  <c r="I71" i="1"/>
  <c r="M71" i="1"/>
  <c r="Q71" i="1"/>
  <c r="S72" i="1"/>
  <c r="Q72" i="1"/>
  <c r="O72" i="1"/>
  <c r="M72" i="1"/>
  <c r="K72" i="1"/>
  <c r="I72" i="1"/>
  <c r="L72" i="1"/>
  <c r="P72" i="1"/>
  <c r="T72" i="1"/>
  <c r="I73" i="1"/>
  <c r="M73" i="1"/>
  <c r="Q73" i="1"/>
  <c r="S74" i="1"/>
  <c r="Q74" i="1"/>
  <c r="O74" i="1"/>
  <c r="M74" i="1"/>
  <c r="K74" i="1"/>
  <c r="I74" i="1"/>
  <c r="L74" i="1"/>
  <c r="P74" i="1"/>
  <c r="T74" i="1"/>
  <c r="I75" i="1"/>
  <c r="M75" i="1"/>
  <c r="Q75" i="1"/>
  <c r="S76" i="1"/>
  <c r="Q76" i="1"/>
  <c r="O76" i="1"/>
  <c r="M76" i="1"/>
  <c r="K76" i="1"/>
  <c r="I76" i="1"/>
  <c r="L76" i="1"/>
  <c r="P76" i="1"/>
  <c r="T76" i="1"/>
  <c r="I77" i="1"/>
  <c r="M77" i="1"/>
  <c r="Q77" i="1"/>
  <c r="S78" i="1"/>
  <c r="Q78" i="1"/>
  <c r="O78" i="1"/>
  <c r="M78" i="1"/>
  <c r="K78" i="1"/>
  <c r="I78" i="1"/>
  <c r="L78" i="1"/>
  <c r="P78" i="1"/>
  <c r="T78" i="1"/>
  <c r="I79" i="1"/>
  <c r="M79" i="1"/>
  <c r="Q79" i="1"/>
  <c r="S80" i="1"/>
  <c r="Q80" i="1"/>
  <c r="O80" i="1"/>
  <c r="M80" i="1"/>
  <c r="K80" i="1"/>
  <c r="I80" i="1"/>
  <c r="L80" i="1"/>
  <c r="P80" i="1"/>
  <c r="T80" i="1"/>
  <c r="I81" i="1"/>
  <c r="M81" i="1"/>
  <c r="Q81" i="1"/>
  <c r="S82" i="1"/>
  <c r="Q82" i="1"/>
  <c r="O82" i="1"/>
  <c r="M82" i="1"/>
  <c r="K82" i="1"/>
  <c r="I82" i="1"/>
  <c r="L82" i="1"/>
  <c r="P82" i="1"/>
  <c r="T82" i="1"/>
  <c r="I83" i="1"/>
  <c r="M83" i="1"/>
  <c r="Q83" i="1"/>
  <c r="S84" i="1"/>
  <c r="Q84" i="1"/>
  <c r="O84" i="1"/>
  <c r="M84" i="1"/>
  <c r="K84" i="1"/>
  <c r="I84" i="1"/>
  <c r="L84" i="1"/>
  <c r="P84" i="1"/>
  <c r="T84" i="1"/>
  <c r="I85" i="1"/>
  <c r="M85" i="1"/>
  <c r="Q85" i="1"/>
  <c r="S86" i="1"/>
  <c r="Q86" i="1"/>
  <c r="O86" i="1"/>
  <c r="M86" i="1"/>
  <c r="K86" i="1"/>
  <c r="I86" i="1"/>
  <c r="L86" i="1"/>
  <c r="P86" i="1"/>
  <c r="T86" i="1"/>
  <c r="I87" i="1"/>
  <c r="M87" i="1"/>
  <c r="Q87" i="1"/>
  <c r="S88" i="1"/>
  <c r="Q88" i="1"/>
  <c r="O88" i="1"/>
  <c r="M88" i="1"/>
  <c r="K88" i="1"/>
  <c r="I88" i="1"/>
  <c r="L88" i="1"/>
  <c r="P88" i="1"/>
  <c r="T88" i="1"/>
  <c r="I89" i="1"/>
  <c r="M89" i="1"/>
  <c r="Q89" i="1"/>
  <c r="S90" i="1"/>
  <c r="Q90" i="1"/>
  <c r="O90" i="1"/>
  <c r="M90" i="1"/>
  <c r="K90" i="1"/>
  <c r="I90" i="1"/>
  <c r="L90" i="1"/>
  <c r="P90" i="1"/>
  <c r="T90" i="1"/>
  <c r="I91" i="1"/>
  <c r="M91" i="1"/>
  <c r="Q91" i="1"/>
  <c r="S92" i="1"/>
  <c r="Q92" i="1"/>
  <c r="O92" i="1"/>
  <c r="M92" i="1"/>
  <c r="K92" i="1"/>
  <c r="I92" i="1"/>
  <c r="L92" i="1"/>
  <c r="P92" i="1"/>
  <c r="T92" i="1"/>
  <c r="I93" i="1"/>
  <c r="M93" i="1"/>
  <c r="Q93" i="1"/>
  <c r="S94" i="1"/>
  <c r="Q94" i="1"/>
  <c r="O94" i="1"/>
  <c r="M94" i="1"/>
  <c r="K94" i="1"/>
  <c r="I94" i="1"/>
  <c r="L94" i="1"/>
  <c r="P94" i="1"/>
  <c r="T94" i="1"/>
  <c r="I95" i="1"/>
  <c r="M95" i="1"/>
  <c r="Q95" i="1"/>
  <c r="S96" i="1"/>
  <c r="Q96" i="1"/>
  <c r="O96" i="1"/>
  <c r="M96" i="1"/>
  <c r="K96" i="1"/>
  <c r="I96" i="1"/>
  <c r="L96" i="1"/>
  <c r="P96" i="1"/>
  <c r="T96" i="1"/>
  <c r="I97" i="1"/>
  <c r="M97" i="1"/>
  <c r="Q97" i="1"/>
  <c r="S98" i="1"/>
  <c r="Q98" i="1"/>
  <c r="O98" i="1"/>
  <c r="M98" i="1"/>
  <c r="K98" i="1"/>
  <c r="I98" i="1"/>
  <c r="L98" i="1"/>
  <c r="P98" i="1"/>
  <c r="T98" i="1"/>
  <c r="I99" i="1"/>
  <c r="M99" i="1"/>
  <c r="Q99" i="1"/>
  <c r="S100" i="1"/>
  <c r="Q100" i="1"/>
  <c r="O100" i="1"/>
  <c r="M100" i="1"/>
  <c r="K100" i="1"/>
  <c r="I100" i="1"/>
  <c r="L100" i="1"/>
  <c r="P100" i="1"/>
  <c r="T100" i="1"/>
  <c r="I101" i="1"/>
  <c r="M101" i="1"/>
  <c r="Q101" i="1"/>
  <c r="S102" i="1"/>
  <c r="Q102" i="1"/>
  <c r="O102" i="1"/>
  <c r="M102" i="1"/>
  <c r="K102" i="1"/>
  <c r="I102" i="1"/>
  <c r="L102" i="1"/>
  <c r="P102" i="1"/>
  <c r="T102" i="1"/>
  <c r="I103" i="1"/>
  <c r="M103" i="1"/>
  <c r="Q103" i="1"/>
  <c r="S104" i="1"/>
  <c r="Q104" i="1"/>
  <c r="O104" i="1"/>
  <c r="M104" i="1"/>
  <c r="K104" i="1"/>
  <c r="I104" i="1"/>
  <c r="L104" i="1"/>
  <c r="P104" i="1"/>
  <c r="T104" i="1"/>
  <c r="I105" i="1"/>
  <c r="M105" i="1"/>
  <c r="Q105" i="1"/>
  <c r="S106" i="1"/>
  <c r="Q106" i="1"/>
  <c r="O106" i="1"/>
  <c r="M106" i="1"/>
  <c r="K106" i="1"/>
  <c r="I106" i="1"/>
  <c r="L106" i="1"/>
  <c r="P106" i="1"/>
  <c r="T106" i="1"/>
  <c r="I107" i="1"/>
  <c r="M107" i="1"/>
  <c r="Q107" i="1"/>
  <c r="S108" i="1"/>
  <c r="Q108" i="1"/>
  <c r="O108" i="1"/>
  <c r="M108" i="1"/>
  <c r="K108" i="1"/>
  <c r="I108" i="1"/>
  <c r="L108" i="1"/>
  <c r="P108" i="1"/>
  <c r="T108" i="1"/>
  <c r="I109" i="1"/>
  <c r="M109" i="1"/>
  <c r="Q109" i="1"/>
  <c r="S110" i="1"/>
  <c r="Q110" i="1"/>
  <c r="O110" i="1"/>
  <c r="M110" i="1"/>
  <c r="K110" i="1"/>
  <c r="I110" i="1"/>
  <c r="L110" i="1"/>
  <c r="P110" i="1"/>
  <c r="T110" i="1"/>
  <c r="I111" i="1"/>
  <c r="M111" i="1"/>
  <c r="Q111" i="1"/>
  <c r="S112" i="1"/>
  <c r="Q112" i="1"/>
  <c r="O112" i="1"/>
  <c r="M112" i="1"/>
  <c r="K112" i="1"/>
  <c r="I112" i="1"/>
  <c r="L112" i="1"/>
  <c r="P112" i="1"/>
  <c r="T112" i="1"/>
  <c r="I113" i="1"/>
  <c r="M113" i="1"/>
  <c r="Q113" i="1"/>
  <c r="S114" i="1"/>
  <c r="Q114" i="1"/>
  <c r="O114" i="1"/>
  <c r="M114" i="1"/>
  <c r="K114" i="1"/>
  <c r="I114" i="1"/>
  <c r="L114" i="1"/>
  <c r="P114" i="1"/>
  <c r="T114" i="1"/>
  <c r="I115" i="1"/>
  <c r="M115" i="1"/>
  <c r="Q115" i="1"/>
  <c r="S116" i="1"/>
  <c r="Q116" i="1"/>
  <c r="O116" i="1"/>
  <c r="M116" i="1"/>
  <c r="K116" i="1"/>
  <c r="I116" i="1"/>
  <c r="L116" i="1"/>
  <c r="P116" i="1"/>
  <c r="T116" i="1"/>
  <c r="I117" i="1"/>
  <c r="M117" i="1"/>
  <c r="Q117" i="1"/>
  <c r="S118" i="1"/>
  <c r="Q118" i="1"/>
  <c r="O118" i="1"/>
  <c r="M118" i="1"/>
  <c r="K118" i="1"/>
  <c r="I118" i="1"/>
  <c r="L118" i="1"/>
  <c r="P118" i="1"/>
  <c r="T118" i="1"/>
  <c r="I119" i="1"/>
  <c r="M119" i="1"/>
  <c r="Q119" i="1"/>
  <c r="S120" i="1"/>
  <c r="Q120" i="1"/>
  <c r="O120" i="1"/>
  <c r="M120" i="1"/>
  <c r="K120" i="1"/>
  <c r="I120" i="1"/>
  <c r="L120" i="1"/>
  <c r="P120" i="1"/>
  <c r="T120" i="1"/>
  <c r="I121" i="1"/>
  <c r="M121" i="1"/>
  <c r="Q121" i="1"/>
  <c r="S122" i="1"/>
  <c r="Q122" i="1"/>
  <c r="O122" i="1"/>
  <c r="M122" i="1"/>
  <c r="K122" i="1"/>
  <c r="I122" i="1"/>
  <c r="L122" i="1"/>
  <c r="P122" i="1"/>
  <c r="T122" i="1"/>
  <c r="I123" i="1"/>
  <c r="M123" i="1"/>
  <c r="Q123" i="1"/>
  <c r="S124" i="1"/>
  <c r="Q124" i="1"/>
  <c r="O124" i="1"/>
  <c r="M124" i="1"/>
  <c r="K124" i="1"/>
  <c r="I124" i="1"/>
  <c r="L124" i="1"/>
  <c r="P124" i="1"/>
  <c r="T124" i="1"/>
  <c r="I125" i="1"/>
  <c r="M125" i="1"/>
  <c r="Q125" i="1"/>
  <c r="S126" i="1"/>
  <c r="Q126" i="1"/>
  <c r="O126" i="1"/>
  <c r="M126" i="1"/>
  <c r="K126" i="1"/>
  <c r="I126" i="1"/>
  <c r="L126" i="1"/>
  <c r="P126" i="1"/>
  <c r="T126" i="1"/>
  <c r="I127" i="1"/>
  <c r="M127" i="1"/>
  <c r="Q127" i="1"/>
  <c r="S128" i="1"/>
  <c r="Q128" i="1"/>
  <c r="O128" i="1"/>
  <c r="M128" i="1"/>
  <c r="K128" i="1"/>
  <c r="I128" i="1"/>
  <c r="L128" i="1"/>
  <c r="P128" i="1"/>
  <c r="T128" i="1"/>
  <c r="I129" i="1"/>
  <c r="M129" i="1"/>
  <c r="Q129" i="1"/>
  <c r="S130" i="1"/>
  <c r="Q130" i="1"/>
  <c r="O130" i="1"/>
  <c r="M130" i="1"/>
  <c r="K130" i="1"/>
  <c r="I130" i="1"/>
  <c r="L130" i="1"/>
  <c r="P130" i="1"/>
  <c r="T130" i="1"/>
  <c r="I131" i="1"/>
  <c r="M131" i="1"/>
  <c r="Q131" i="1"/>
  <c r="S132" i="1"/>
  <c r="Q132" i="1"/>
  <c r="O132" i="1"/>
  <c r="M132" i="1"/>
  <c r="K132" i="1"/>
  <c r="I132" i="1"/>
  <c r="L132" i="1"/>
  <c r="P132" i="1"/>
  <c r="T132" i="1"/>
  <c r="I133" i="1"/>
  <c r="M133" i="1"/>
  <c r="Q133" i="1"/>
  <c r="S134" i="1"/>
  <c r="Q134" i="1"/>
  <c r="O134" i="1"/>
  <c r="M134" i="1"/>
  <c r="K134" i="1"/>
  <c r="I134" i="1"/>
  <c r="L134" i="1"/>
  <c r="P134" i="1"/>
  <c r="T134" i="1"/>
  <c r="I135" i="1"/>
  <c r="M135" i="1"/>
  <c r="Q135" i="1"/>
  <c r="S136" i="1"/>
  <c r="Q136" i="1"/>
  <c r="O136" i="1"/>
  <c r="M136" i="1"/>
  <c r="K136" i="1"/>
  <c r="I136" i="1"/>
  <c r="L136" i="1"/>
  <c r="P136" i="1"/>
  <c r="T136" i="1"/>
  <c r="I137" i="1"/>
  <c r="M137" i="1"/>
  <c r="Q137" i="1"/>
  <c r="S138" i="1"/>
  <c r="Q138" i="1"/>
  <c r="O138" i="1"/>
  <c r="M138" i="1"/>
  <c r="K138" i="1"/>
  <c r="I138" i="1"/>
  <c r="L138" i="1"/>
  <c r="P138" i="1"/>
  <c r="T138" i="1"/>
  <c r="I139" i="1"/>
  <c r="M139" i="1"/>
  <c r="Q139" i="1"/>
  <c r="S140" i="1"/>
  <c r="Q140" i="1"/>
  <c r="O140" i="1"/>
  <c r="M140" i="1"/>
  <c r="K140" i="1"/>
  <c r="I140" i="1"/>
  <c r="L140" i="1"/>
  <c r="P140" i="1"/>
  <c r="T140" i="1"/>
  <c r="I141" i="1"/>
  <c r="M141" i="1"/>
  <c r="Q141" i="1"/>
  <c r="S142" i="1"/>
  <c r="Q142" i="1"/>
  <c r="O142" i="1"/>
  <c r="M142" i="1"/>
  <c r="K142" i="1"/>
  <c r="I142" i="1"/>
  <c r="L142" i="1"/>
  <c r="P142" i="1"/>
  <c r="T142" i="1"/>
  <c r="I143" i="1"/>
  <c r="M143" i="1"/>
  <c r="Q143" i="1"/>
  <c r="S144" i="1"/>
  <c r="Q144" i="1"/>
  <c r="O144" i="1"/>
  <c r="M144" i="1"/>
  <c r="K144" i="1"/>
  <c r="I144" i="1"/>
  <c r="L144" i="1"/>
  <c r="P144" i="1"/>
  <c r="T144" i="1"/>
  <c r="I145" i="1"/>
  <c r="M145" i="1"/>
  <c r="Q145" i="1"/>
  <c r="S146" i="1"/>
  <c r="Q146" i="1"/>
  <c r="O146" i="1"/>
  <c r="M146" i="1"/>
  <c r="K146" i="1"/>
  <c r="I146" i="1"/>
  <c r="L146" i="1"/>
  <c r="P146" i="1"/>
  <c r="T146" i="1"/>
  <c r="I147" i="1"/>
  <c r="M147" i="1"/>
  <c r="Q147" i="1"/>
  <c r="S148" i="1"/>
  <c r="Q148" i="1"/>
  <c r="O148" i="1"/>
  <c r="M148" i="1"/>
  <c r="K148" i="1"/>
  <c r="I148" i="1"/>
  <c r="L148" i="1"/>
  <c r="P148" i="1"/>
  <c r="T148" i="1"/>
  <c r="I149" i="1"/>
  <c r="M149" i="1"/>
  <c r="Q149" i="1"/>
  <c r="S150" i="1"/>
  <c r="Q150" i="1"/>
  <c r="O150" i="1"/>
  <c r="M150" i="1"/>
  <c r="K150" i="1"/>
  <c r="I150" i="1"/>
  <c r="L150" i="1"/>
  <c r="P150" i="1"/>
  <c r="T150" i="1"/>
  <c r="I151" i="1"/>
  <c r="M151" i="1"/>
  <c r="Q151" i="1"/>
  <c r="S152" i="1"/>
  <c r="Q152" i="1"/>
  <c r="O152" i="1"/>
  <c r="M152" i="1"/>
  <c r="K152" i="1"/>
  <c r="I152" i="1"/>
  <c r="L152" i="1"/>
  <c r="P152" i="1"/>
  <c r="T152" i="1"/>
  <c r="I153" i="1"/>
  <c r="M153" i="1"/>
  <c r="Q153" i="1"/>
  <c r="S154" i="1"/>
  <c r="Q154" i="1"/>
  <c r="O154" i="1"/>
  <c r="M154" i="1"/>
  <c r="K154" i="1"/>
  <c r="I154" i="1"/>
  <c r="L154" i="1"/>
  <c r="P154" i="1"/>
  <c r="T154" i="1"/>
  <c r="I155" i="1"/>
  <c r="M155" i="1"/>
  <c r="Q155" i="1"/>
  <c r="S156" i="1"/>
  <c r="Q156" i="1"/>
  <c r="O156" i="1"/>
  <c r="M156" i="1"/>
  <c r="K156" i="1"/>
  <c r="I156" i="1"/>
  <c r="L156" i="1"/>
  <c r="P156" i="1"/>
  <c r="T156" i="1"/>
  <c r="I157" i="1"/>
  <c r="M157" i="1"/>
  <c r="Q157" i="1"/>
  <c r="S158" i="1"/>
  <c r="Q158" i="1"/>
  <c r="O158" i="1"/>
  <c r="M158" i="1"/>
  <c r="K158" i="1"/>
  <c r="I158" i="1"/>
  <c r="L158" i="1"/>
  <c r="P158" i="1"/>
  <c r="T158" i="1"/>
  <c r="I159" i="1"/>
  <c r="M159" i="1"/>
  <c r="Q159" i="1"/>
  <c r="S160" i="1"/>
  <c r="Q160" i="1"/>
  <c r="O160" i="1"/>
  <c r="M160" i="1"/>
  <c r="K160" i="1"/>
  <c r="I160" i="1"/>
  <c r="L160" i="1"/>
  <c r="P160" i="1"/>
  <c r="T160" i="1"/>
  <c r="I161" i="1"/>
  <c r="M161" i="1"/>
  <c r="Q161" i="1"/>
  <c r="S162" i="1"/>
  <c r="Q162" i="1"/>
  <c r="O162" i="1"/>
  <c r="M162" i="1"/>
  <c r="K162" i="1"/>
  <c r="I162" i="1"/>
  <c r="L162" i="1"/>
  <c r="P162" i="1"/>
  <c r="T162" i="1"/>
  <c r="I163" i="1"/>
  <c r="M163" i="1"/>
  <c r="Q163" i="1"/>
  <c r="S164" i="1"/>
  <c r="Q164" i="1"/>
  <c r="O164" i="1"/>
  <c r="M164" i="1"/>
  <c r="K164" i="1"/>
  <c r="I164" i="1"/>
  <c r="L164" i="1"/>
  <c r="P164" i="1"/>
  <c r="T164" i="1"/>
  <c r="I165" i="1"/>
  <c r="M165" i="1"/>
  <c r="Q165" i="1"/>
  <c r="S166" i="1"/>
  <c r="Q166" i="1"/>
  <c r="O166" i="1"/>
  <c r="M166" i="1"/>
  <c r="K166" i="1"/>
  <c r="I166" i="1"/>
  <c r="L166" i="1"/>
  <c r="P166" i="1"/>
  <c r="T166" i="1"/>
  <c r="I167" i="1"/>
  <c r="M167" i="1"/>
  <c r="Q167" i="1"/>
  <c r="S168" i="1"/>
  <c r="Q168" i="1"/>
  <c r="O168" i="1"/>
  <c r="M168" i="1"/>
  <c r="K168" i="1"/>
  <c r="I168" i="1"/>
  <c r="L168" i="1"/>
  <c r="P168" i="1"/>
  <c r="T168" i="1"/>
  <c r="I169" i="1"/>
  <c r="M169" i="1"/>
  <c r="Q169" i="1"/>
  <c r="S170" i="1"/>
  <c r="Q170" i="1"/>
  <c r="O170" i="1"/>
  <c r="M170" i="1"/>
  <c r="K170" i="1"/>
  <c r="I170" i="1"/>
  <c r="L170" i="1"/>
  <c r="P170" i="1"/>
  <c r="T170" i="1"/>
  <c r="I171" i="1"/>
  <c r="M171" i="1"/>
  <c r="Q171" i="1"/>
  <c r="S172" i="1"/>
  <c r="Q172" i="1"/>
  <c r="O172" i="1"/>
  <c r="M172" i="1"/>
  <c r="K172" i="1"/>
  <c r="I172" i="1"/>
  <c r="L172" i="1"/>
  <c r="P172" i="1"/>
  <c r="T172" i="1"/>
  <c r="I173" i="1"/>
  <c r="M173" i="1"/>
  <c r="Q173" i="1"/>
  <c r="S174" i="1"/>
  <c r="Q174" i="1"/>
  <c r="O174" i="1"/>
  <c r="M174" i="1"/>
  <c r="K174" i="1"/>
  <c r="I174" i="1"/>
  <c r="L174" i="1"/>
  <c r="P174" i="1"/>
  <c r="T174" i="1"/>
  <c r="I175" i="1"/>
  <c r="M175" i="1"/>
  <c r="Q175" i="1"/>
  <c r="S176" i="1"/>
  <c r="Q176" i="1"/>
  <c r="O176" i="1"/>
  <c r="M176" i="1"/>
  <c r="K176" i="1"/>
  <c r="I176" i="1"/>
  <c r="L176" i="1"/>
  <c r="P176" i="1"/>
  <c r="T176" i="1"/>
  <c r="I177" i="1"/>
  <c r="M177" i="1"/>
  <c r="Q177" i="1"/>
  <c r="S178" i="1"/>
  <c r="Q178" i="1"/>
  <c r="O178" i="1"/>
  <c r="M178" i="1"/>
  <c r="K178" i="1"/>
  <c r="I178" i="1"/>
  <c r="L178" i="1"/>
  <c r="P178" i="1"/>
  <c r="T178" i="1"/>
  <c r="I179" i="1"/>
  <c r="M179" i="1"/>
  <c r="Q179" i="1"/>
  <c r="S180" i="1"/>
  <c r="Q180" i="1"/>
  <c r="O180" i="1"/>
  <c r="M180" i="1"/>
  <c r="K180" i="1"/>
  <c r="I180" i="1"/>
  <c r="L180" i="1"/>
  <c r="P180" i="1"/>
  <c r="T180" i="1"/>
  <c r="I181" i="1"/>
  <c r="M181" i="1"/>
  <c r="Q181" i="1"/>
  <c r="S182" i="1"/>
  <c r="Q182" i="1"/>
  <c r="O182" i="1"/>
  <c r="M182" i="1"/>
  <c r="K182" i="1"/>
  <c r="I182" i="1"/>
  <c r="L182" i="1"/>
  <c r="P182" i="1"/>
  <c r="T182" i="1"/>
  <c r="I183" i="1"/>
  <c r="M183" i="1"/>
  <c r="Q183" i="1"/>
  <c r="S184" i="1"/>
  <c r="Q184" i="1"/>
  <c r="O184" i="1"/>
  <c r="M184" i="1"/>
  <c r="K184" i="1"/>
  <c r="I184" i="1"/>
  <c r="L184" i="1"/>
  <c r="P184" i="1"/>
  <c r="T184" i="1"/>
  <c r="I185" i="1"/>
  <c r="M185" i="1"/>
  <c r="Q185" i="1"/>
  <c r="S186" i="1"/>
  <c r="Q186" i="1"/>
  <c r="O186" i="1"/>
  <c r="M186" i="1"/>
  <c r="K186" i="1"/>
  <c r="I186" i="1"/>
  <c r="L186" i="1"/>
  <c r="P186" i="1"/>
  <c r="T186" i="1"/>
  <c r="I187" i="1"/>
  <c r="M187" i="1"/>
  <c r="Q187" i="1"/>
  <c r="S188" i="1"/>
  <c r="Q188" i="1"/>
  <c r="O188" i="1"/>
  <c r="M188" i="1"/>
  <c r="K188" i="1"/>
  <c r="I188" i="1"/>
  <c r="L188" i="1"/>
  <c r="P188" i="1"/>
  <c r="T188" i="1"/>
  <c r="I189" i="1"/>
  <c r="M189" i="1"/>
  <c r="Q189" i="1"/>
  <c r="S190" i="1"/>
  <c r="Q190" i="1"/>
  <c r="O190" i="1"/>
  <c r="M190" i="1"/>
  <c r="K190" i="1"/>
  <c r="I190" i="1"/>
  <c r="L190" i="1"/>
  <c r="P190" i="1"/>
  <c r="T190" i="1"/>
  <c r="I191" i="1"/>
  <c r="M191" i="1"/>
  <c r="Q191" i="1"/>
  <c r="S192" i="1"/>
  <c r="Q192" i="1"/>
  <c r="O192" i="1"/>
  <c r="M192" i="1"/>
  <c r="K192" i="1"/>
  <c r="I192" i="1"/>
  <c r="L192" i="1"/>
  <c r="P192" i="1"/>
  <c r="T192" i="1"/>
  <c r="I193" i="1"/>
  <c r="M193" i="1"/>
  <c r="Q193" i="1"/>
  <c r="S194" i="1"/>
  <c r="Q194" i="1"/>
  <c r="O194" i="1"/>
  <c r="M194" i="1"/>
  <c r="K194" i="1"/>
  <c r="I194" i="1"/>
  <c r="L194" i="1"/>
  <c r="P194" i="1"/>
  <c r="T194" i="1"/>
  <c r="I195" i="1"/>
  <c r="M195" i="1"/>
  <c r="Q195" i="1"/>
  <c r="S196" i="1"/>
  <c r="Q196" i="1"/>
  <c r="O196" i="1"/>
  <c r="M196" i="1"/>
  <c r="K196" i="1"/>
  <c r="I196" i="1"/>
  <c r="L196" i="1"/>
  <c r="P196" i="1"/>
  <c r="T196" i="1"/>
  <c r="I197" i="1"/>
  <c r="M197" i="1"/>
  <c r="Q197" i="1"/>
  <c r="S198" i="1"/>
  <c r="Q198" i="1"/>
  <c r="O198" i="1"/>
  <c r="M198" i="1"/>
  <c r="K198" i="1"/>
  <c r="I198" i="1"/>
  <c r="L198" i="1"/>
  <c r="P198" i="1"/>
  <c r="T198" i="1"/>
  <c r="I199" i="1"/>
  <c r="M199" i="1"/>
  <c r="Q199" i="1"/>
  <c r="S200" i="1"/>
  <c r="Q200" i="1"/>
  <c r="O200" i="1"/>
  <c r="M200" i="1"/>
  <c r="K200" i="1"/>
  <c r="I200" i="1"/>
  <c r="L200" i="1"/>
  <c r="P200" i="1"/>
  <c r="T200" i="1"/>
  <c r="I201" i="1"/>
  <c r="M201" i="1"/>
  <c r="Q201" i="1"/>
  <c r="S202" i="1"/>
  <c r="Q202" i="1"/>
  <c r="O202" i="1"/>
  <c r="M202" i="1"/>
  <c r="K202" i="1"/>
  <c r="I202" i="1"/>
  <c r="L202" i="1"/>
  <c r="P202" i="1"/>
  <c r="T202" i="1"/>
  <c r="I203" i="1"/>
  <c r="M203" i="1"/>
  <c r="Q203" i="1"/>
  <c r="S204" i="1"/>
  <c r="Q204" i="1"/>
  <c r="O204" i="1"/>
  <c r="M204" i="1"/>
  <c r="K204" i="1"/>
  <c r="I204" i="1"/>
  <c r="L204" i="1"/>
  <c r="P204" i="1"/>
  <c r="T204" i="1"/>
  <c r="I205" i="1"/>
  <c r="M205" i="1"/>
  <c r="Q205" i="1"/>
  <c r="S206" i="1"/>
  <c r="Q206" i="1"/>
  <c r="O206" i="1"/>
  <c r="M206" i="1"/>
  <c r="K206" i="1"/>
  <c r="I206" i="1"/>
  <c r="L206" i="1"/>
  <c r="P206" i="1"/>
  <c r="T206" i="1"/>
  <c r="I207" i="1"/>
  <c r="M207" i="1"/>
  <c r="Q207" i="1"/>
  <c r="S208" i="1"/>
  <c r="Q208" i="1"/>
  <c r="O208" i="1"/>
  <c r="M208" i="1"/>
  <c r="K208" i="1"/>
  <c r="I208" i="1"/>
  <c r="L208" i="1"/>
  <c r="P208" i="1"/>
  <c r="T208" i="1"/>
  <c r="I209" i="1"/>
  <c r="M209" i="1"/>
  <c r="Q209" i="1"/>
  <c r="S210" i="1"/>
  <c r="Q210" i="1"/>
  <c r="O210" i="1"/>
  <c r="M210" i="1"/>
  <c r="K210" i="1"/>
  <c r="I210" i="1"/>
  <c r="L210" i="1"/>
  <c r="P210" i="1"/>
  <c r="T210" i="1"/>
  <c r="I211" i="1"/>
  <c r="M211" i="1"/>
  <c r="Q211" i="1"/>
  <c r="S212" i="1"/>
  <c r="Q212" i="1"/>
  <c r="O212" i="1"/>
  <c r="M212" i="1"/>
  <c r="K212" i="1"/>
  <c r="I212" i="1"/>
  <c r="L212" i="1"/>
  <c r="P212" i="1"/>
  <c r="T212" i="1"/>
  <c r="I213" i="1"/>
  <c r="M213" i="1"/>
  <c r="Q213" i="1"/>
  <c r="S214" i="1"/>
  <c r="Q214" i="1"/>
  <c r="O214" i="1"/>
  <c r="M214" i="1"/>
  <c r="K214" i="1"/>
  <c r="I214" i="1"/>
  <c r="L214" i="1"/>
  <c r="P214" i="1"/>
  <c r="T214" i="1"/>
  <c r="I215" i="1"/>
  <c r="M215" i="1"/>
  <c r="Q215" i="1"/>
  <c r="S216" i="1"/>
  <c r="Q216" i="1"/>
  <c r="O216" i="1"/>
  <c r="M216" i="1"/>
  <c r="K216" i="1"/>
  <c r="I216" i="1"/>
  <c r="L216" i="1"/>
  <c r="P216" i="1"/>
  <c r="T216" i="1"/>
  <c r="I217" i="1"/>
  <c r="M217" i="1"/>
  <c r="Q217" i="1"/>
  <c r="S218" i="1"/>
  <c r="Q218" i="1"/>
  <c r="O218" i="1"/>
  <c r="M218" i="1"/>
  <c r="K218" i="1"/>
  <c r="I218" i="1"/>
  <c r="L218" i="1"/>
  <c r="P218" i="1"/>
  <c r="T218" i="1"/>
  <c r="I219" i="1"/>
  <c r="M219" i="1"/>
  <c r="Q219" i="1"/>
  <c r="S220" i="1"/>
  <c r="Q220" i="1"/>
  <c r="O220" i="1"/>
  <c r="M220" i="1"/>
  <c r="K220" i="1"/>
  <c r="I220" i="1"/>
  <c r="L220" i="1"/>
  <c r="P220" i="1"/>
  <c r="T220" i="1"/>
  <c r="I221" i="1"/>
  <c r="M221" i="1"/>
  <c r="Q221" i="1"/>
  <c r="S222" i="1"/>
  <c r="Q222" i="1"/>
  <c r="O222" i="1"/>
  <c r="M222" i="1"/>
  <c r="K222" i="1"/>
  <c r="I222" i="1"/>
  <c r="L222" i="1"/>
  <c r="P222" i="1"/>
  <c r="T222" i="1"/>
  <c r="I223" i="1"/>
  <c r="M223" i="1"/>
  <c r="Q223" i="1"/>
  <c r="S224" i="1"/>
  <c r="Q224" i="1"/>
  <c r="O224" i="1"/>
  <c r="M224" i="1"/>
  <c r="K224" i="1"/>
  <c r="I224" i="1"/>
  <c r="L224" i="1"/>
  <c r="P224" i="1"/>
  <c r="T224" i="1"/>
  <c r="I225" i="1"/>
  <c r="M225" i="1"/>
  <c r="Q225" i="1"/>
  <c r="S226" i="1"/>
  <c r="Q226" i="1"/>
  <c r="O226" i="1"/>
  <c r="M226" i="1"/>
  <c r="K226" i="1"/>
  <c r="I226" i="1"/>
  <c r="L226" i="1"/>
  <c r="P226" i="1"/>
  <c r="T226" i="1"/>
  <c r="I227" i="1"/>
  <c r="M227" i="1"/>
  <c r="Q227" i="1"/>
  <c r="S228" i="1"/>
  <c r="Q228" i="1"/>
  <c r="O228" i="1"/>
  <c r="M228" i="1"/>
  <c r="K228" i="1"/>
  <c r="I228" i="1"/>
  <c r="L228" i="1"/>
  <c r="P228" i="1"/>
  <c r="T228" i="1"/>
  <c r="I229" i="1"/>
  <c r="M229" i="1"/>
  <c r="Q229" i="1"/>
  <c r="S230" i="1"/>
  <c r="Q230" i="1"/>
  <c r="O230" i="1"/>
  <c r="M230" i="1"/>
  <c r="K230" i="1"/>
  <c r="I230" i="1"/>
  <c r="L230" i="1"/>
  <c r="P230" i="1"/>
  <c r="T230" i="1"/>
  <c r="I231" i="1"/>
  <c r="M231" i="1"/>
  <c r="Q231" i="1"/>
  <c r="S232" i="1"/>
  <c r="Q232" i="1"/>
  <c r="O232" i="1"/>
  <c r="M232" i="1"/>
  <c r="K232" i="1"/>
  <c r="I232" i="1"/>
  <c r="L232" i="1"/>
  <c r="P232" i="1"/>
  <c r="T232" i="1"/>
  <c r="I233" i="1"/>
  <c r="M233" i="1"/>
  <c r="Q233" i="1"/>
  <c r="S234" i="1"/>
  <c r="Q234" i="1"/>
  <c r="O234" i="1"/>
  <c r="M234" i="1"/>
  <c r="K234" i="1"/>
  <c r="I234" i="1"/>
  <c r="L234" i="1"/>
  <c r="P234" i="1"/>
  <c r="T234" i="1"/>
  <c r="I235" i="1"/>
  <c r="M235" i="1"/>
  <c r="Q235" i="1"/>
  <c r="S236" i="1"/>
  <c r="Q236" i="1"/>
  <c r="O236" i="1"/>
  <c r="M236" i="1"/>
  <c r="K236" i="1"/>
  <c r="I236" i="1"/>
  <c r="L236" i="1"/>
  <c r="P236" i="1"/>
  <c r="T236" i="1"/>
  <c r="I237" i="1"/>
  <c r="M237" i="1"/>
  <c r="Q237" i="1"/>
  <c r="S238" i="1"/>
  <c r="Q238" i="1"/>
  <c r="O238" i="1"/>
  <c r="M238" i="1"/>
  <c r="K238" i="1"/>
  <c r="I238" i="1"/>
  <c r="L238" i="1"/>
  <c r="P238" i="1"/>
  <c r="T238" i="1"/>
  <c r="I239" i="1"/>
  <c r="M239" i="1"/>
  <c r="Q239" i="1"/>
  <c r="S240" i="1"/>
  <c r="Q240" i="1"/>
  <c r="O240" i="1"/>
  <c r="M240" i="1"/>
  <c r="K240" i="1"/>
  <c r="I240" i="1"/>
  <c r="L240" i="1"/>
  <c r="P240" i="1"/>
  <c r="T240" i="1"/>
  <c r="I241" i="1"/>
  <c r="M241" i="1"/>
  <c r="Q241" i="1"/>
  <c r="S242" i="1"/>
  <c r="Q242" i="1"/>
  <c r="O242" i="1"/>
  <c r="M242" i="1"/>
  <c r="K242" i="1"/>
  <c r="I242" i="1"/>
  <c r="L242" i="1"/>
  <c r="P242" i="1"/>
  <c r="T242" i="1"/>
  <c r="I243" i="1"/>
  <c r="M243" i="1"/>
  <c r="Q243" i="1"/>
  <c r="S244" i="1"/>
  <c r="Q244" i="1"/>
  <c r="O244" i="1"/>
  <c r="M244" i="1"/>
  <c r="K244" i="1"/>
  <c r="I244" i="1"/>
  <c r="L244" i="1"/>
  <c r="P244" i="1"/>
  <c r="T244" i="1"/>
  <c r="I245" i="1"/>
  <c r="M245" i="1"/>
  <c r="Q245" i="1"/>
  <c r="S246" i="1"/>
  <c r="Q246" i="1"/>
  <c r="O246" i="1"/>
  <c r="M246" i="1"/>
  <c r="K246" i="1"/>
  <c r="I246" i="1"/>
  <c r="L246" i="1"/>
  <c r="P246" i="1"/>
  <c r="T246" i="1"/>
  <c r="I247" i="1"/>
  <c r="M247" i="1"/>
  <c r="Q247" i="1"/>
  <c r="S248" i="1"/>
  <c r="Q248" i="1"/>
  <c r="O248" i="1"/>
  <c r="M248" i="1"/>
  <c r="K248" i="1"/>
  <c r="I248" i="1"/>
  <c r="L248" i="1"/>
  <c r="P248" i="1"/>
  <c r="T248" i="1"/>
  <c r="I249" i="1"/>
  <c r="M249" i="1"/>
  <c r="Q249" i="1"/>
  <c r="S250" i="1"/>
  <c r="Q250" i="1"/>
  <c r="O250" i="1"/>
  <c r="M250" i="1"/>
  <c r="K250" i="1"/>
  <c r="I250" i="1"/>
  <c r="L250" i="1"/>
  <c r="P250" i="1"/>
  <c r="T250" i="1"/>
  <c r="I251" i="1"/>
  <c r="M251" i="1"/>
  <c r="Q251" i="1"/>
  <c r="S252" i="1"/>
  <c r="Q252" i="1"/>
  <c r="O252" i="1"/>
  <c r="M252" i="1"/>
  <c r="K252" i="1"/>
  <c r="I252" i="1"/>
  <c r="L252" i="1"/>
  <c r="P252" i="1"/>
  <c r="T252" i="1"/>
  <c r="I253" i="1"/>
  <c r="M253" i="1"/>
  <c r="Q253" i="1"/>
  <c r="S254" i="1"/>
  <c r="Q254" i="1"/>
  <c r="O254" i="1"/>
  <c r="M254" i="1"/>
  <c r="K254" i="1"/>
  <c r="I254" i="1"/>
  <c r="L254" i="1"/>
  <c r="P254" i="1"/>
  <c r="T254" i="1"/>
  <c r="I255" i="1"/>
  <c r="M255" i="1"/>
  <c r="Q255" i="1"/>
  <c r="S256" i="1"/>
  <c r="Q256" i="1"/>
  <c r="O256" i="1"/>
  <c r="M256" i="1"/>
  <c r="K256" i="1"/>
  <c r="I256" i="1"/>
  <c r="L256" i="1"/>
  <c r="P256" i="1"/>
  <c r="T256" i="1"/>
  <c r="I257" i="1"/>
  <c r="M257" i="1"/>
  <c r="Q257" i="1"/>
  <c r="S258" i="1"/>
  <c r="Q258" i="1"/>
  <c r="O258" i="1"/>
  <c r="M258" i="1"/>
  <c r="K258" i="1"/>
  <c r="I258" i="1"/>
  <c r="L258" i="1"/>
  <c r="P258" i="1"/>
  <c r="T258" i="1"/>
  <c r="I259" i="1"/>
  <c r="M259" i="1"/>
  <c r="Q259" i="1"/>
  <c r="S260" i="1"/>
  <c r="Q260" i="1"/>
  <c r="O260" i="1"/>
  <c r="M260" i="1"/>
  <c r="K260" i="1"/>
  <c r="I260" i="1"/>
  <c r="L260" i="1"/>
  <c r="P260" i="1"/>
  <c r="T260" i="1"/>
  <c r="I261" i="1"/>
  <c r="M261" i="1"/>
  <c r="Q261" i="1"/>
  <c r="S262" i="1"/>
  <c r="Q262" i="1"/>
  <c r="O262" i="1"/>
  <c r="M262" i="1"/>
  <c r="K262" i="1"/>
  <c r="I262" i="1"/>
  <c r="L262" i="1"/>
  <c r="P262" i="1"/>
  <c r="T262" i="1"/>
  <c r="I263" i="1"/>
  <c r="M263" i="1"/>
  <c r="Q263" i="1"/>
  <c r="S264" i="1"/>
  <c r="Q264" i="1"/>
  <c r="O264" i="1"/>
  <c r="M264" i="1"/>
  <c r="K264" i="1"/>
  <c r="I264" i="1"/>
  <c r="L264" i="1"/>
  <c r="P264" i="1"/>
  <c r="T264" i="1"/>
  <c r="I265" i="1"/>
  <c r="M265" i="1"/>
  <c r="Q265" i="1"/>
  <c r="S266" i="1"/>
  <c r="Q266" i="1"/>
  <c r="O266" i="1"/>
  <c r="M266" i="1"/>
  <c r="K266" i="1"/>
  <c r="I266" i="1"/>
  <c r="L266" i="1"/>
  <c r="P266" i="1"/>
  <c r="T266" i="1"/>
  <c r="I267" i="1"/>
  <c r="M267" i="1"/>
  <c r="Q267" i="1"/>
  <c r="S268" i="1"/>
  <c r="Q268" i="1"/>
  <c r="O268" i="1"/>
  <c r="M268" i="1"/>
  <c r="K268" i="1"/>
  <c r="I268" i="1"/>
  <c r="L268" i="1"/>
  <c r="P268" i="1"/>
  <c r="T268" i="1"/>
  <c r="I269" i="1"/>
  <c r="M269" i="1"/>
  <c r="Q269" i="1"/>
  <c r="S270" i="1"/>
  <c r="Q270" i="1"/>
  <c r="O270" i="1"/>
  <c r="M270" i="1"/>
  <c r="K270" i="1"/>
  <c r="I270" i="1"/>
  <c r="L270" i="1"/>
  <c r="P270" i="1"/>
  <c r="T270" i="1"/>
  <c r="I271" i="1"/>
  <c r="M271" i="1"/>
  <c r="Q271" i="1"/>
  <c r="S272" i="1"/>
  <c r="Q272" i="1"/>
  <c r="O272" i="1"/>
  <c r="M272" i="1"/>
  <c r="K272" i="1"/>
  <c r="I272" i="1"/>
  <c r="L272" i="1"/>
  <c r="P272" i="1"/>
  <c r="T272" i="1"/>
  <c r="I273" i="1"/>
  <c r="M273" i="1"/>
  <c r="Q273" i="1"/>
  <c r="S274" i="1"/>
  <c r="Q274" i="1"/>
  <c r="O274" i="1"/>
  <c r="M274" i="1"/>
  <c r="K274" i="1"/>
  <c r="I274" i="1"/>
  <c r="L274" i="1"/>
  <c r="P274" i="1"/>
  <c r="T274" i="1"/>
  <c r="I275" i="1"/>
  <c r="M275" i="1"/>
  <c r="Q275" i="1"/>
  <c r="S276" i="1"/>
  <c r="Q276" i="1"/>
  <c r="O276" i="1"/>
  <c r="M276" i="1"/>
  <c r="K276" i="1"/>
  <c r="I276" i="1"/>
  <c r="L276" i="1"/>
  <c r="P276" i="1"/>
  <c r="T276" i="1"/>
  <c r="I277" i="1"/>
  <c r="M277" i="1"/>
  <c r="Q277" i="1"/>
  <c r="S278" i="1"/>
  <c r="Q278" i="1"/>
  <c r="O278" i="1"/>
  <c r="M278" i="1"/>
  <c r="K278" i="1"/>
  <c r="I278" i="1"/>
  <c r="L278" i="1"/>
  <c r="P278" i="1"/>
  <c r="T278" i="1"/>
  <c r="I279" i="1"/>
  <c r="M279" i="1"/>
  <c r="Q279" i="1"/>
  <c r="S280" i="1"/>
  <c r="Q280" i="1"/>
  <c r="O280" i="1"/>
  <c r="M280" i="1"/>
  <c r="K280" i="1"/>
  <c r="I280" i="1"/>
  <c r="L280" i="1"/>
  <c r="P280" i="1"/>
  <c r="T280" i="1"/>
  <c r="I281" i="1"/>
  <c r="M281" i="1"/>
  <c r="Q281" i="1"/>
  <c r="S282" i="1"/>
  <c r="Q282" i="1"/>
  <c r="O282" i="1"/>
  <c r="M282" i="1"/>
  <c r="K282" i="1"/>
  <c r="I282" i="1"/>
  <c r="L282" i="1"/>
  <c r="P282" i="1"/>
  <c r="T282" i="1"/>
  <c r="I283" i="1"/>
  <c r="M283" i="1"/>
  <c r="Q283" i="1"/>
  <c r="S284" i="1"/>
  <c r="Q284" i="1"/>
  <c r="O284" i="1"/>
  <c r="M284" i="1"/>
  <c r="K284" i="1"/>
  <c r="I284" i="1"/>
  <c r="L284" i="1"/>
  <c r="P284" i="1"/>
  <c r="T284" i="1"/>
  <c r="I285" i="1"/>
  <c r="M285" i="1"/>
  <c r="Q285" i="1"/>
  <c r="S286" i="1"/>
  <c r="Q286" i="1"/>
  <c r="O286" i="1"/>
  <c r="M286" i="1"/>
  <c r="K286" i="1"/>
  <c r="I286" i="1"/>
  <c r="L286" i="1"/>
  <c r="P286" i="1"/>
  <c r="T286" i="1"/>
  <c r="I287" i="1"/>
  <c r="M287" i="1"/>
  <c r="Q287" i="1"/>
  <c r="S288" i="1"/>
  <c r="Q288" i="1"/>
  <c r="O288" i="1"/>
  <c r="M288" i="1"/>
  <c r="K288" i="1"/>
  <c r="I288" i="1"/>
  <c r="L288" i="1"/>
  <c r="P288" i="1"/>
  <c r="T288" i="1"/>
  <c r="I289" i="1"/>
  <c r="M289" i="1"/>
  <c r="Q289" i="1"/>
  <c r="S290" i="1"/>
  <c r="Q290" i="1"/>
  <c r="O290" i="1"/>
  <c r="M290" i="1"/>
  <c r="K290" i="1"/>
  <c r="I290" i="1"/>
  <c r="L290" i="1"/>
  <c r="P290" i="1"/>
  <c r="T290" i="1"/>
  <c r="I291" i="1"/>
  <c r="M291" i="1"/>
  <c r="Q291" i="1"/>
  <c r="S1007" i="1"/>
  <c r="S971" i="1"/>
  <c r="S969" i="1"/>
  <c r="S967" i="1"/>
  <c r="S945" i="1"/>
  <c r="S943" i="1"/>
  <c r="S941" i="1"/>
  <c r="S939" i="1"/>
  <c r="S937" i="1"/>
  <c r="S923" i="1"/>
  <c r="S921" i="1"/>
  <c r="S919" i="1"/>
  <c r="S917" i="1"/>
  <c r="S915" i="1"/>
  <c r="S895" i="1"/>
  <c r="S883" i="1"/>
  <c r="S881" i="1"/>
  <c r="S879" i="1"/>
  <c r="S877" i="1"/>
  <c r="S875" i="1"/>
  <c r="S873" i="1"/>
  <c r="S871" i="1"/>
  <c r="S869" i="1"/>
  <c r="S867" i="1"/>
  <c r="S865" i="1"/>
  <c r="S831" i="1"/>
  <c r="S829" i="1"/>
  <c r="S817" i="1"/>
  <c r="S815" i="1"/>
  <c r="S813" i="1"/>
  <c r="S811" i="1"/>
  <c r="S809" i="1"/>
  <c r="S805" i="1"/>
  <c r="S803" i="1"/>
  <c r="S767" i="1"/>
  <c r="S765" i="1"/>
  <c r="S763" i="1"/>
  <c r="S761" i="1"/>
  <c r="S759" i="1"/>
  <c r="S757" i="1"/>
  <c r="S755" i="1"/>
  <c r="S753" i="1"/>
  <c r="S737" i="1"/>
  <c r="S735" i="1"/>
  <c r="S733" i="1"/>
  <c r="S731" i="1"/>
  <c r="S729" i="1"/>
  <c r="S727" i="1"/>
  <c r="S725" i="1"/>
  <c r="S723" i="1"/>
  <c r="S721" i="1"/>
  <c r="S719" i="1"/>
  <c r="S717" i="1"/>
  <c r="S709" i="1"/>
  <c r="S707" i="1"/>
  <c r="S705" i="1"/>
  <c r="S703" i="1"/>
  <c r="S701" i="1"/>
  <c r="S681" i="1"/>
  <c r="S679" i="1"/>
  <c r="S677" i="1"/>
  <c r="S675" i="1"/>
  <c r="S673" i="1"/>
  <c r="S671" i="1"/>
  <c r="S669" i="1"/>
  <c r="S667" i="1"/>
  <c r="S665" i="1"/>
  <c r="S663" i="1"/>
  <c r="S661" i="1"/>
  <c r="S659" i="1"/>
  <c r="S657" i="1"/>
  <c r="S655" i="1"/>
  <c r="S639" i="1"/>
  <c r="S633" i="1"/>
  <c r="S292" i="1"/>
  <c r="Q292" i="1"/>
  <c r="O292" i="1"/>
  <c r="M292" i="1"/>
  <c r="K292" i="1"/>
  <c r="I292" i="1"/>
  <c r="S1005" i="1"/>
  <c r="S1003" i="1"/>
  <c r="S1001" i="1"/>
  <c r="S999" i="1"/>
  <c r="S997" i="1"/>
  <c r="S995" i="1"/>
  <c r="S993" i="1"/>
  <c r="S991" i="1"/>
  <c r="S989" i="1"/>
  <c r="S987" i="1"/>
  <c r="S985" i="1"/>
  <c r="S983" i="1"/>
  <c r="S981" i="1"/>
  <c r="S979" i="1"/>
  <c r="S977" i="1"/>
  <c r="S975" i="1"/>
  <c r="S973" i="1"/>
  <c r="S965" i="1"/>
  <c r="S963" i="1"/>
  <c r="S961" i="1"/>
  <c r="S959" i="1"/>
  <c r="S957" i="1"/>
  <c r="S955" i="1"/>
  <c r="S953" i="1"/>
  <c r="S951" i="1"/>
  <c r="S949" i="1"/>
  <c r="S947" i="1"/>
  <c r="S935" i="1"/>
  <c r="S933" i="1"/>
  <c r="S931" i="1"/>
  <c r="S929" i="1"/>
  <c r="S927" i="1"/>
  <c r="S925" i="1"/>
  <c r="S913" i="1"/>
  <c r="S911" i="1"/>
  <c r="S909" i="1"/>
  <c r="S907" i="1"/>
  <c r="S905" i="1"/>
  <c r="S903" i="1"/>
  <c r="S901" i="1"/>
  <c r="S899" i="1"/>
  <c r="S897" i="1"/>
  <c r="S893" i="1"/>
  <c r="S891" i="1"/>
  <c r="S889" i="1"/>
  <c r="S887" i="1"/>
  <c r="S885" i="1"/>
  <c r="S863" i="1"/>
  <c r="S861" i="1"/>
  <c r="S859" i="1"/>
  <c r="S857" i="1"/>
  <c r="S855" i="1"/>
  <c r="S853" i="1"/>
  <c r="S851" i="1"/>
  <c r="S849" i="1"/>
  <c r="S847" i="1"/>
  <c r="S845" i="1"/>
  <c r="S843" i="1"/>
  <c r="S841" i="1"/>
  <c r="S839" i="1"/>
  <c r="S837" i="1"/>
  <c r="S835" i="1"/>
  <c r="S833" i="1"/>
  <c r="S827" i="1"/>
  <c r="S825" i="1"/>
  <c r="S823" i="1"/>
  <c r="S821" i="1"/>
  <c r="S819" i="1"/>
  <c r="S807" i="1"/>
  <c r="S801" i="1"/>
  <c r="S799" i="1"/>
  <c r="S797" i="1"/>
  <c r="S795" i="1"/>
  <c r="S793" i="1"/>
  <c r="S791" i="1"/>
  <c r="S789" i="1"/>
  <c r="S787" i="1"/>
  <c r="S785" i="1"/>
  <c r="S783" i="1"/>
  <c r="S781" i="1"/>
  <c r="S779" i="1"/>
  <c r="S777" i="1"/>
  <c r="S775" i="1"/>
  <c r="S773" i="1"/>
  <c r="S771" i="1"/>
  <c r="S769" i="1"/>
  <c r="S751" i="1"/>
  <c r="S749" i="1"/>
  <c r="S747" i="1"/>
  <c r="S745" i="1"/>
  <c r="S743" i="1"/>
  <c r="S741" i="1"/>
  <c r="S739" i="1"/>
  <c r="S715" i="1"/>
  <c r="S713" i="1"/>
  <c r="S711" i="1"/>
  <c r="S699" i="1"/>
  <c r="S697" i="1"/>
  <c r="S695" i="1"/>
  <c r="S693" i="1"/>
  <c r="S691" i="1"/>
  <c r="S689" i="1"/>
  <c r="S687" i="1"/>
  <c r="S685" i="1"/>
  <c r="S683" i="1"/>
  <c r="S653" i="1"/>
  <c r="S651" i="1"/>
  <c r="S649" i="1"/>
  <c r="S647" i="1"/>
  <c r="S645" i="1"/>
  <c r="S643" i="1"/>
  <c r="S641" i="1"/>
  <c r="S637" i="1"/>
  <c r="S635" i="1"/>
  <c r="S631" i="1"/>
  <c r="S629" i="1"/>
  <c r="S627" i="1"/>
  <c r="L292" i="1"/>
  <c r="P292" i="1"/>
  <c r="T292" i="1"/>
  <c r="I293" i="1"/>
  <c r="M293" i="1"/>
  <c r="Q293" i="1"/>
  <c r="S294" i="1"/>
  <c r="Q294" i="1"/>
  <c r="O294" i="1"/>
  <c r="M294" i="1"/>
  <c r="K294" i="1"/>
  <c r="I294" i="1"/>
  <c r="L294" i="1"/>
  <c r="P294" i="1"/>
  <c r="T294" i="1"/>
  <c r="I295" i="1"/>
  <c r="M295" i="1"/>
  <c r="Q295" i="1"/>
  <c r="S296" i="1"/>
  <c r="Q296" i="1"/>
  <c r="O296" i="1"/>
  <c r="M296" i="1"/>
  <c r="K296" i="1"/>
  <c r="I296" i="1"/>
  <c r="L296" i="1"/>
  <c r="P296" i="1"/>
  <c r="T296" i="1"/>
  <c r="I297" i="1"/>
  <c r="M297" i="1"/>
  <c r="Q297" i="1"/>
  <c r="S298" i="1"/>
  <c r="Q298" i="1"/>
  <c r="O298" i="1"/>
  <c r="M298" i="1"/>
  <c r="K298" i="1"/>
  <c r="I298" i="1"/>
  <c r="L298" i="1"/>
  <c r="P298" i="1"/>
  <c r="T298" i="1"/>
  <c r="I299" i="1"/>
  <c r="M299" i="1"/>
  <c r="Q299" i="1"/>
  <c r="S300" i="1"/>
  <c r="Q300" i="1"/>
  <c r="O300" i="1"/>
  <c r="M300" i="1"/>
  <c r="K300" i="1"/>
  <c r="I300" i="1"/>
  <c r="L300" i="1"/>
  <c r="P300" i="1"/>
  <c r="T300" i="1"/>
  <c r="I301" i="1"/>
  <c r="M301" i="1"/>
  <c r="Q301" i="1"/>
  <c r="S302" i="1"/>
  <c r="Q302" i="1"/>
  <c r="O302" i="1"/>
  <c r="M302" i="1"/>
  <c r="K302" i="1"/>
  <c r="I302" i="1"/>
  <c r="L302" i="1"/>
  <c r="P302" i="1"/>
  <c r="T302" i="1"/>
  <c r="I303" i="1"/>
  <c r="M303" i="1"/>
  <c r="Q303" i="1"/>
  <c r="S304" i="1"/>
  <c r="Q304" i="1"/>
  <c r="O304" i="1"/>
  <c r="M304" i="1"/>
  <c r="K304" i="1"/>
  <c r="I304" i="1"/>
  <c r="L304" i="1"/>
  <c r="P304" i="1"/>
  <c r="T304" i="1"/>
  <c r="I305" i="1"/>
  <c r="M305" i="1"/>
  <c r="Q305" i="1"/>
  <c r="S306" i="1"/>
  <c r="Q306" i="1"/>
  <c r="O306" i="1"/>
  <c r="M306" i="1"/>
  <c r="K306" i="1"/>
  <c r="I306" i="1"/>
  <c r="L306" i="1"/>
  <c r="P306" i="1"/>
  <c r="T306" i="1"/>
  <c r="I307" i="1"/>
  <c r="M307" i="1"/>
  <c r="Q307" i="1"/>
  <c r="S308" i="1"/>
  <c r="Q308" i="1"/>
  <c r="O308" i="1"/>
  <c r="M308" i="1"/>
  <c r="K308" i="1"/>
  <c r="I308" i="1"/>
  <c r="L308" i="1"/>
  <c r="P308" i="1"/>
  <c r="T308" i="1"/>
  <c r="I309" i="1"/>
  <c r="M309" i="1"/>
  <c r="Q309" i="1"/>
  <c r="S310" i="1"/>
  <c r="Q310" i="1"/>
  <c r="O310" i="1"/>
  <c r="M310" i="1"/>
  <c r="K310" i="1"/>
  <c r="I310" i="1"/>
  <c r="L310" i="1"/>
  <c r="P310" i="1"/>
  <c r="T310" i="1"/>
  <c r="I311" i="1"/>
  <c r="M311" i="1"/>
  <c r="Q311" i="1"/>
  <c r="S312" i="1"/>
  <c r="Q312" i="1"/>
  <c r="O312" i="1"/>
  <c r="M312" i="1"/>
  <c r="K312" i="1"/>
  <c r="I312" i="1"/>
  <c r="L312" i="1"/>
  <c r="P312" i="1"/>
  <c r="T312" i="1"/>
  <c r="I313" i="1"/>
  <c r="M313" i="1"/>
  <c r="Q313" i="1"/>
  <c r="S314" i="1"/>
  <c r="Q314" i="1"/>
  <c r="O314" i="1"/>
  <c r="M314" i="1"/>
  <c r="K314" i="1"/>
  <c r="I314" i="1"/>
  <c r="L314" i="1"/>
  <c r="P314" i="1"/>
  <c r="T314" i="1"/>
  <c r="I315" i="1"/>
  <c r="M315" i="1"/>
  <c r="Q315" i="1"/>
  <c r="S316" i="1"/>
  <c r="Q316" i="1"/>
  <c r="O316" i="1"/>
  <c r="M316" i="1"/>
  <c r="K316" i="1"/>
  <c r="I316" i="1"/>
  <c r="L316" i="1"/>
  <c r="P316" i="1"/>
  <c r="T316" i="1"/>
  <c r="I317" i="1"/>
  <c r="M317" i="1"/>
  <c r="Q317" i="1"/>
  <c r="S318" i="1"/>
  <c r="Q318" i="1"/>
  <c r="O318" i="1"/>
  <c r="M318" i="1"/>
  <c r="K318" i="1"/>
  <c r="I318" i="1"/>
  <c r="L318" i="1"/>
  <c r="P318" i="1"/>
  <c r="T318" i="1"/>
  <c r="I319" i="1"/>
  <c r="M319" i="1"/>
  <c r="Q319" i="1"/>
  <c r="S320" i="1"/>
  <c r="Q320" i="1"/>
  <c r="O320" i="1"/>
  <c r="M320" i="1"/>
  <c r="K320" i="1"/>
  <c r="I320" i="1"/>
  <c r="L320" i="1"/>
  <c r="P320" i="1"/>
  <c r="T320" i="1"/>
  <c r="I321" i="1"/>
  <c r="M321" i="1"/>
  <c r="Q321" i="1"/>
  <c r="S322" i="1"/>
  <c r="Q322" i="1"/>
  <c r="O322" i="1"/>
  <c r="M322" i="1"/>
  <c r="K322" i="1"/>
  <c r="I322" i="1"/>
  <c r="L322" i="1"/>
  <c r="P322" i="1"/>
  <c r="T322" i="1"/>
  <c r="I323" i="1"/>
  <c r="M323" i="1"/>
  <c r="Q323" i="1"/>
  <c r="S324" i="1"/>
  <c r="Q324" i="1"/>
  <c r="O324" i="1"/>
  <c r="M324" i="1"/>
  <c r="K324" i="1"/>
  <c r="I324" i="1"/>
  <c r="L324" i="1"/>
  <c r="P324" i="1"/>
  <c r="T324" i="1"/>
  <c r="I325" i="1"/>
  <c r="M325" i="1"/>
  <c r="Q325" i="1"/>
  <c r="S326" i="1"/>
  <c r="Q326" i="1"/>
  <c r="O326" i="1"/>
  <c r="M326" i="1"/>
  <c r="K326" i="1"/>
  <c r="I326" i="1"/>
  <c r="L326" i="1"/>
  <c r="P326" i="1"/>
  <c r="T326" i="1"/>
  <c r="I327" i="1"/>
  <c r="M327" i="1"/>
  <c r="Q327" i="1"/>
  <c r="S328" i="1"/>
  <c r="Q328" i="1"/>
  <c r="O328" i="1"/>
  <c r="M328" i="1"/>
  <c r="K328" i="1"/>
  <c r="I328" i="1"/>
  <c r="L328" i="1"/>
  <c r="P328" i="1"/>
  <c r="T328" i="1"/>
  <c r="I329" i="1"/>
  <c r="M329" i="1"/>
  <c r="Q329" i="1"/>
  <c r="S330" i="1"/>
  <c r="Q330" i="1"/>
  <c r="O330" i="1"/>
  <c r="M330" i="1"/>
  <c r="K330" i="1"/>
  <c r="I330" i="1"/>
  <c r="L330" i="1"/>
  <c r="P330" i="1"/>
  <c r="T330" i="1"/>
  <c r="I331" i="1"/>
  <c r="M331" i="1"/>
  <c r="Q331" i="1"/>
  <c r="S332" i="1"/>
  <c r="Q332" i="1"/>
  <c r="O332" i="1"/>
  <c r="M332" i="1"/>
  <c r="K332" i="1"/>
  <c r="I332" i="1"/>
  <c r="L332" i="1"/>
  <c r="P332" i="1"/>
  <c r="T332" i="1"/>
  <c r="I333" i="1"/>
  <c r="M333" i="1"/>
  <c r="Q333" i="1"/>
  <c r="S334" i="1"/>
  <c r="Q334" i="1"/>
  <c r="O334" i="1"/>
  <c r="M334" i="1"/>
  <c r="K334" i="1"/>
  <c r="I334" i="1"/>
  <c r="L334" i="1"/>
  <c r="P334" i="1"/>
  <c r="T334" i="1"/>
  <c r="I335" i="1"/>
  <c r="M335" i="1"/>
  <c r="Q335" i="1"/>
  <c r="S336" i="1"/>
  <c r="Q336" i="1"/>
  <c r="O336" i="1"/>
  <c r="M336" i="1"/>
  <c r="K336" i="1"/>
  <c r="I336" i="1"/>
  <c r="L336" i="1"/>
  <c r="P336" i="1"/>
  <c r="T336" i="1"/>
  <c r="I337" i="1"/>
  <c r="M337" i="1"/>
  <c r="Q337" i="1"/>
  <c r="S338" i="1"/>
  <c r="Q338" i="1"/>
  <c r="O338" i="1"/>
  <c r="M338" i="1"/>
  <c r="K338" i="1"/>
  <c r="I338" i="1"/>
  <c r="L338" i="1"/>
  <c r="P338" i="1"/>
  <c r="T338" i="1"/>
  <c r="I339" i="1"/>
  <c r="M339" i="1"/>
  <c r="Q339" i="1"/>
  <c r="S340" i="1"/>
  <c r="Q340" i="1"/>
  <c r="O340" i="1"/>
  <c r="M340" i="1"/>
  <c r="K340" i="1"/>
  <c r="I340" i="1"/>
  <c r="L340" i="1"/>
  <c r="P340" i="1"/>
  <c r="T340" i="1"/>
  <c r="I341" i="1"/>
  <c r="M341" i="1"/>
  <c r="Q341" i="1"/>
  <c r="S342" i="1"/>
  <c r="Q342" i="1"/>
  <c r="O342" i="1"/>
  <c r="M342" i="1"/>
  <c r="K342" i="1"/>
  <c r="I342" i="1"/>
  <c r="L342" i="1"/>
  <c r="P342" i="1"/>
  <c r="T342" i="1"/>
  <c r="I343" i="1"/>
  <c r="M343" i="1"/>
  <c r="Q343" i="1"/>
  <c r="S344" i="1"/>
  <c r="Q344" i="1"/>
  <c r="O344" i="1"/>
  <c r="M344" i="1"/>
  <c r="K344" i="1"/>
  <c r="I344" i="1"/>
  <c r="L344" i="1"/>
  <c r="P344" i="1"/>
  <c r="T344" i="1"/>
  <c r="I345" i="1"/>
  <c r="M345" i="1"/>
  <c r="Q345" i="1"/>
  <c r="S346" i="1"/>
  <c r="Q346" i="1"/>
  <c r="O346" i="1"/>
  <c r="M346" i="1"/>
  <c r="K346" i="1"/>
  <c r="I346" i="1"/>
  <c r="L346" i="1"/>
  <c r="P346" i="1"/>
  <c r="T346" i="1"/>
  <c r="I347" i="1"/>
  <c r="M347" i="1"/>
  <c r="Q347" i="1"/>
  <c r="S348" i="1"/>
  <c r="Q348" i="1"/>
  <c r="O348" i="1"/>
  <c r="M348" i="1"/>
  <c r="K348" i="1"/>
  <c r="I348" i="1"/>
  <c r="L348" i="1"/>
  <c r="P348" i="1"/>
  <c r="T348" i="1"/>
  <c r="I349" i="1"/>
  <c r="M349" i="1"/>
  <c r="Q349" i="1"/>
  <c r="S350" i="1"/>
  <c r="Q350" i="1"/>
  <c r="O350" i="1"/>
  <c r="M350" i="1"/>
  <c r="K350" i="1"/>
  <c r="I350" i="1"/>
  <c r="L350" i="1"/>
  <c r="P350" i="1"/>
  <c r="T350" i="1"/>
  <c r="I351" i="1"/>
  <c r="M351" i="1"/>
  <c r="Q351" i="1"/>
  <c r="S352" i="1"/>
  <c r="Q352" i="1"/>
  <c r="O352" i="1"/>
  <c r="M352" i="1"/>
  <c r="K352" i="1"/>
  <c r="I352" i="1"/>
  <c r="L352" i="1"/>
  <c r="P352" i="1"/>
  <c r="T352" i="1"/>
  <c r="I353" i="1"/>
  <c r="M353" i="1"/>
  <c r="Q353" i="1"/>
  <c r="S354" i="1"/>
  <c r="Q354" i="1"/>
  <c r="O354" i="1"/>
  <c r="M354" i="1"/>
  <c r="K354" i="1"/>
  <c r="I354" i="1"/>
  <c r="L354" i="1"/>
  <c r="P354" i="1"/>
  <c r="T354" i="1"/>
  <c r="I355" i="1"/>
  <c r="M355" i="1"/>
  <c r="Q355" i="1"/>
  <c r="S356" i="1"/>
  <c r="Q356" i="1"/>
  <c r="O356" i="1"/>
  <c r="M356" i="1"/>
  <c r="K356" i="1"/>
  <c r="I356" i="1"/>
  <c r="L356" i="1"/>
  <c r="P356" i="1"/>
  <c r="T356" i="1"/>
  <c r="I357" i="1"/>
  <c r="M357" i="1"/>
  <c r="Q357" i="1"/>
  <c r="S358" i="1"/>
  <c r="Q358" i="1"/>
  <c r="O358" i="1"/>
  <c r="M358" i="1"/>
  <c r="K358" i="1"/>
  <c r="I358" i="1"/>
  <c r="L358" i="1"/>
  <c r="P358" i="1"/>
  <c r="T358" i="1"/>
  <c r="I359" i="1"/>
  <c r="M359" i="1"/>
  <c r="Q359" i="1"/>
  <c r="S360" i="1"/>
  <c r="Q360" i="1"/>
  <c r="O360" i="1"/>
  <c r="M360" i="1"/>
  <c r="K360" i="1"/>
  <c r="I360" i="1"/>
  <c r="L360" i="1"/>
  <c r="P360" i="1"/>
  <c r="T360" i="1"/>
  <c r="I361" i="1"/>
  <c r="M361" i="1"/>
  <c r="Q361" i="1"/>
  <c r="S362" i="1"/>
  <c r="Q362" i="1"/>
  <c r="O362" i="1"/>
  <c r="M362" i="1"/>
  <c r="K362" i="1"/>
  <c r="I362" i="1"/>
  <c r="L362" i="1"/>
  <c r="P362" i="1"/>
  <c r="T362" i="1"/>
  <c r="I363" i="1"/>
  <c r="M363" i="1"/>
  <c r="Q363" i="1"/>
  <c r="S364" i="1"/>
  <c r="Q364" i="1"/>
  <c r="O364" i="1"/>
  <c r="M364" i="1"/>
  <c r="K364" i="1"/>
  <c r="I364" i="1"/>
  <c r="L364" i="1"/>
  <c r="P364" i="1"/>
  <c r="T364" i="1"/>
  <c r="I365" i="1"/>
  <c r="M365" i="1"/>
  <c r="Q365" i="1"/>
  <c r="S366" i="1"/>
  <c r="Q366" i="1"/>
  <c r="O366" i="1"/>
  <c r="M366" i="1"/>
  <c r="K366" i="1"/>
  <c r="I366" i="1"/>
  <c r="L366" i="1"/>
  <c r="P366" i="1"/>
  <c r="T366" i="1"/>
  <c r="I367" i="1"/>
  <c r="M367" i="1"/>
  <c r="Q367" i="1"/>
  <c r="S368" i="1"/>
  <c r="Q368" i="1"/>
  <c r="O368" i="1"/>
  <c r="M368" i="1"/>
  <c r="K368" i="1"/>
  <c r="I368" i="1"/>
  <c r="L368" i="1"/>
  <c r="P368" i="1"/>
  <c r="T368" i="1"/>
  <c r="I369" i="1"/>
  <c r="M369" i="1"/>
  <c r="Q369" i="1"/>
  <c r="S370" i="1"/>
  <c r="Q370" i="1"/>
  <c r="O370" i="1"/>
  <c r="M370" i="1"/>
  <c r="K370" i="1"/>
  <c r="I370" i="1"/>
  <c r="L370" i="1"/>
  <c r="P370" i="1"/>
  <c r="T370" i="1"/>
  <c r="I371" i="1"/>
  <c r="M371" i="1"/>
  <c r="Q371" i="1"/>
  <c r="S372" i="1"/>
  <c r="Q372" i="1"/>
  <c r="O372" i="1"/>
  <c r="M372" i="1"/>
  <c r="K372" i="1"/>
  <c r="I372" i="1"/>
  <c r="L372" i="1"/>
  <c r="P372" i="1"/>
  <c r="T372" i="1"/>
  <c r="I373" i="1"/>
  <c r="M373" i="1"/>
  <c r="Q373" i="1"/>
  <c r="S374" i="1"/>
  <c r="Q374" i="1"/>
  <c r="O374" i="1"/>
  <c r="M374" i="1"/>
  <c r="K374" i="1"/>
  <c r="I374" i="1"/>
  <c r="L374" i="1"/>
  <c r="P374" i="1"/>
  <c r="T374" i="1"/>
  <c r="I375" i="1"/>
  <c r="M375" i="1"/>
  <c r="Q375" i="1"/>
  <c r="S376" i="1"/>
  <c r="Q376" i="1"/>
  <c r="O376" i="1"/>
  <c r="M376" i="1"/>
  <c r="K376" i="1"/>
  <c r="I376" i="1"/>
  <c r="L376" i="1"/>
  <c r="P376" i="1"/>
  <c r="T376" i="1"/>
  <c r="I377" i="1"/>
  <c r="M377" i="1"/>
  <c r="Q377" i="1"/>
  <c r="S378" i="1"/>
  <c r="Q378" i="1"/>
  <c r="O378" i="1"/>
  <c r="M378" i="1"/>
  <c r="K378" i="1"/>
  <c r="I378" i="1"/>
  <c r="L378" i="1"/>
  <c r="P378" i="1"/>
  <c r="T378" i="1"/>
  <c r="I379" i="1"/>
  <c r="M379" i="1"/>
  <c r="Q379" i="1"/>
  <c r="S380" i="1"/>
  <c r="Q380" i="1"/>
  <c r="O380" i="1"/>
  <c r="M380" i="1"/>
  <c r="K380" i="1"/>
  <c r="I380" i="1"/>
  <c r="L380" i="1"/>
  <c r="P380" i="1"/>
  <c r="T380" i="1"/>
  <c r="I381" i="1"/>
  <c r="M381" i="1"/>
  <c r="Q381" i="1"/>
  <c r="S382" i="1"/>
  <c r="Q382" i="1"/>
  <c r="O382" i="1"/>
  <c r="M382" i="1"/>
  <c r="K382" i="1"/>
  <c r="I382" i="1"/>
  <c r="L382" i="1"/>
  <c r="P382" i="1"/>
  <c r="T382" i="1"/>
  <c r="I383" i="1"/>
  <c r="M383" i="1"/>
  <c r="Q383" i="1"/>
  <c r="S384" i="1"/>
  <c r="Q384" i="1"/>
  <c r="O384" i="1"/>
  <c r="M384" i="1"/>
  <c r="K384" i="1"/>
  <c r="I384" i="1"/>
  <c r="L384" i="1"/>
  <c r="P384" i="1"/>
  <c r="T384" i="1"/>
  <c r="I385" i="1"/>
  <c r="M385" i="1"/>
  <c r="Q385" i="1"/>
  <c r="S386" i="1"/>
  <c r="Q386" i="1"/>
  <c r="O386" i="1"/>
  <c r="M386" i="1"/>
  <c r="K386" i="1"/>
  <c r="I386" i="1"/>
  <c r="L386" i="1"/>
  <c r="P386" i="1"/>
  <c r="T386" i="1"/>
  <c r="I387" i="1"/>
  <c r="M387" i="1"/>
  <c r="Q387" i="1"/>
  <c r="S388" i="1"/>
  <c r="Q388" i="1"/>
  <c r="O388" i="1"/>
  <c r="M388" i="1"/>
  <c r="K388" i="1"/>
  <c r="I388" i="1"/>
  <c r="L388" i="1"/>
  <c r="P388" i="1"/>
  <c r="T388" i="1"/>
  <c r="I389" i="1"/>
  <c r="M389" i="1"/>
  <c r="Q389" i="1"/>
  <c r="S390" i="1"/>
  <c r="Q390" i="1"/>
  <c r="O390" i="1"/>
  <c r="M390" i="1"/>
  <c r="K390" i="1"/>
  <c r="I390" i="1"/>
  <c r="L390" i="1"/>
  <c r="P390" i="1"/>
  <c r="T390" i="1"/>
  <c r="I391" i="1"/>
  <c r="M391" i="1"/>
  <c r="Q391" i="1"/>
  <c r="S392" i="1"/>
  <c r="Q392" i="1"/>
  <c r="O392" i="1"/>
  <c r="M392" i="1"/>
  <c r="K392" i="1"/>
  <c r="I392" i="1"/>
  <c r="L392" i="1"/>
  <c r="P392" i="1"/>
  <c r="T392" i="1"/>
  <c r="I393" i="1"/>
  <c r="M393" i="1"/>
  <c r="Q393" i="1"/>
  <c r="S394" i="1"/>
  <c r="Q394" i="1"/>
  <c r="O394" i="1"/>
  <c r="M394" i="1"/>
  <c r="K394" i="1"/>
  <c r="I394" i="1"/>
  <c r="L394" i="1"/>
  <c r="P394" i="1"/>
  <c r="T394" i="1"/>
  <c r="I395" i="1"/>
  <c r="M395" i="1"/>
  <c r="Q395" i="1"/>
  <c r="S396" i="1"/>
  <c r="Q396" i="1"/>
  <c r="O396" i="1"/>
  <c r="M396" i="1"/>
  <c r="K396" i="1"/>
  <c r="I396" i="1"/>
  <c r="L396" i="1"/>
  <c r="P396" i="1"/>
  <c r="T396" i="1"/>
  <c r="I397" i="1"/>
  <c r="M397" i="1"/>
  <c r="Q397" i="1"/>
  <c r="S398" i="1"/>
  <c r="Q398" i="1"/>
  <c r="O398" i="1"/>
  <c r="M398" i="1"/>
  <c r="K398" i="1"/>
  <c r="I398" i="1"/>
  <c r="L398" i="1"/>
  <c r="P398" i="1"/>
  <c r="T398" i="1"/>
  <c r="I399" i="1"/>
  <c r="M399" i="1"/>
  <c r="Q399" i="1"/>
  <c r="S400" i="1"/>
  <c r="Q400" i="1"/>
  <c r="O400" i="1"/>
  <c r="M400" i="1"/>
  <c r="K400" i="1"/>
  <c r="I400" i="1"/>
  <c r="L400" i="1"/>
  <c r="P400" i="1"/>
  <c r="T400" i="1"/>
  <c r="I401" i="1"/>
  <c r="M401" i="1"/>
  <c r="Q401" i="1"/>
  <c r="S402" i="1"/>
  <c r="Q402" i="1"/>
  <c r="O402" i="1"/>
  <c r="M402" i="1"/>
  <c r="K402" i="1"/>
  <c r="I402" i="1"/>
  <c r="L402" i="1"/>
  <c r="P402" i="1"/>
  <c r="T402" i="1"/>
  <c r="I403" i="1"/>
  <c r="M403" i="1"/>
  <c r="Q403" i="1"/>
  <c r="S404" i="1"/>
  <c r="Q404" i="1"/>
  <c r="O404" i="1"/>
  <c r="M404" i="1"/>
  <c r="K404" i="1"/>
  <c r="I404" i="1"/>
  <c r="L404" i="1"/>
  <c r="P404" i="1"/>
  <c r="T404" i="1"/>
  <c r="I405" i="1"/>
  <c r="M405" i="1"/>
  <c r="Q405" i="1"/>
  <c r="S406" i="1"/>
  <c r="Q406" i="1"/>
  <c r="O406" i="1"/>
  <c r="M406" i="1"/>
  <c r="K406" i="1"/>
  <c r="I406" i="1"/>
  <c r="L406" i="1"/>
  <c r="P406" i="1"/>
  <c r="T406" i="1"/>
  <c r="I407" i="1"/>
  <c r="M407" i="1"/>
  <c r="Q407" i="1"/>
  <c r="S408" i="1"/>
  <c r="Q408" i="1"/>
  <c r="O408" i="1"/>
  <c r="M408" i="1"/>
  <c r="K408" i="1"/>
  <c r="I408" i="1"/>
  <c r="L408" i="1"/>
  <c r="P408" i="1"/>
  <c r="T408" i="1"/>
  <c r="I409" i="1"/>
  <c r="M409" i="1"/>
  <c r="Q409" i="1"/>
  <c r="S410" i="1"/>
  <c r="Q410" i="1"/>
  <c r="O410" i="1"/>
  <c r="M410" i="1"/>
  <c r="K410" i="1"/>
  <c r="I410" i="1"/>
  <c r="L410" i="1"/>
  <c r="P410" i="1"/>
  <c r="T410" i="1"/>
  <c r="I411" i="1"/>
  <c r="M411" i="1"/>
  <c r="Q411" i="1"/>
  <c r="S412" i="1"/>
  <c r="Q412" i="1"/>
  <c r="O412" i="1"/>
  <c r="M412" i="1"/>
  <c r="K412" i="1"/>
  <c r="I412" i="1"/>
  <c r="L412" i="1"/>
  <c r="P412" i="1"/>
  <c r="T412" i="1"/>
  <c r="I413" i="1"/>
  <c r="M413" i="1"/>
  <c r="Q413" i="1"/>
  <c r="S414" i="1"/>
  <c r="Q414" i="1"/>
  <c r="O414" i="1"/>
  <c r="M414" i="1"/>
  <c r="K414" i="1"/>
  <c r="I414" i="1"/>
  <c r="L414" i="1"/>
  <c r="P414" i="1"/>
  <c r="T414" i="1"/>
  <c r="I415" i="1"/>
  <c r="M415" i="1"/>
  <c r="Q415" i="1"/>
  <c r="S416" i="1"/>
  <c r="Q416" i="1"/>
  <c r="O416" i="1"/>
  <c r="M416" i="1"/>
  <c r="K416" i="1"/>
  <c r="I416" i="1"/>
  <c r="L416" i="1"/>
  <c r="P416" i="1"/>
  <c r="T416" i="1"/>
  <c r="I417" i="1"/>
  <c r="M417" i="1"/>
  <c r="Q417" i="1"/>
  <c r="S418" i="1"/>
  <c r="Q418" i="1"/>
  <c r="O418" i="1"/>
  <c r="M418" i="1"/>
  <c r="K418" i="1"/>
  <c r="I418" i="1"/>
  <c r="L418" i="1"/>
  <c r="P418" i="1"/>
  <c r="T418" i="1"/>
  <c r="I419" i="1"/>
  <c r="M419" i="1"/>
  <c r="Q419" i="1"/>
  <c r="S420" i="1"/>
  <c r="Q420" i="1"/>
  <c r="O420" i="1"/>
  <c r="M420" i="1"/>
  <c r="K420" i="1"/>
  <c r="I420" i="1"/>
  <c r="L420" i="1"/>
  <c r="P420" i="1"/>
  <c r="T420" i="1"/>
  <c r="I421" i="1"/>
  <c r="M421" i="1"/>
  <c r="Q421" i="1"/>
  <c r="S422" i="1"/>
  <c r="Q422" i="1"/>
  <c r="O422" i="1"/>
  <c r="M422" i="1"/>
  <c r="K422" i="1"/>
  <c r="I422" i="1"/>
  <c r="L422" i="1"/>
  <c r="P422" i="1"/>
  <c r="T422" i="1"/>
  <c r="I423" i="1"/>
  <c r="M423" i="1"/>
  <c r="Q423" i="1"/>
  <c r="S424" i="1"/>
  <c r="Q424" i="1"/>
  <c r="O424" i="1"/>
  <c r="M424" i="1"/>
  <c r="K424" i="1"/>
  <c r="I424" i="1"/>
  <c r="L424" i="1"/>
  <c r="P424" i="1"/>
  <c r="T424" i="1"/>
  <c r="I425" i="1"/>
  <c r="M425" i="1"/>
  <c r="Q425" i="1"/>
  <c r="S426" i="1"/>
  <c r="Q426" i="1"/>
  <c r="O426" i="1"/>
  <c r="M426" i="1"/>
  <c r="K426" i="1"/>
  <c r="I426" i="1"/>
  <c r="L426" i="1"/>
  <c r="P426" i="1"/>
  <c r="T426" i="1"/>
  <c r="I427" i="1"/>
  <c r="M427" i="1"/>
  <c r="Q427" i="1"/>
  <c r="S428" i="1"/>
  <c r="Q428" i="1"/>
  <c r="O428" i="1"/>
  <c r="M428" i="1"/>
  <c r="K428" i="1"/>
  <c r="I428" i="1"/>
  <c r="L428" i="1"/>
  <c r="P428" i="1"/>
  <c r="T428" i="1"/>
  <c r="I429" i="1"/>
  <c r="M429" i="1"/>
  <c r="Q429" i="1"/>
  <c r="S430" i="1"/>
  <c r="Q430" i="1"/>
  <c r="O430" i="1"/>
  <c r="M430" i="1"/>
  <c r="K430" i="1"/>
  <c r="I430" i="1"/>
  <c r="L430" i="1"/>
  <c r="P430" i="1"/>
  <c r="T430" i="1"/>
  <c r="I431" i="1"/>
  <c r="M431" i="1"/>
  <c r="Q431" i="1"/>
  <c r="S432" i="1"/>
  <c r="Q432" i="1"/>
  <c r="O432" i="1"/>
  <c r="M432" i="1"/>
  <c r="K432" i="1"/>
  <c r="I432" i="1"/>
  <c r="L432" i="1"/>
  <c r="P432" i="1"/>
  <c r="T432" i="1"/>
  <c r="I433" i="1"/>
  <c r="M433" i="1"/>
  <c r="Q433" i="1"/>
  <c r="S434" i="1"/>
  <c r="Q434" i="1"/>
  <c r="O434" i="1"/>
  <c r="M434" i="1"/>
  <c r="K434" i="1"/>
  <c r="I434" i="1"/>
  <c r="L434" i="1"/>
  <c r="P434" i="1"/>
  <c r="T434" i="1"/>
  <c r="I435" i="1"/>
  <c r="M435" i="1"/>
  <c r="Q435" i="1"/>
  <c r="S436" i="1"/>
  <c r="Q436" i="1"/>
  <c r="O436" i="1"/>
  <c r="M436" i="1"/>
  <c r="K436" i="1"/>
  <c r="I436" i="1"/>
  <c r="L436" i="1"/>
  <c r="P436" i="1"/>
  <c r="T436" i="1"/>
  <c r="I437" i="1"/>
  <c r="M437" i="1"/>
  <c r="Q437" i="1"/>
  <c r="S438" i="1"/>
  <c r="Q438" i="1"/>
  <c r="O438" i="1"/>
  <c r="M438" i="1"/>
  <c r="K438" i="1"/>
  <c r="I438" i="1"/>
  <c r="L438" i="1"/>
  <c r="P438" i="1"/>
  <c r="T438" i="1"/>
  <c r="I439" i="1"/>
  <c r="M439" i="1"/>
  <c r="Q439" i="1"/>
  <c r="S440" i="1"/>
  <c r="Q440" i="1"/>
  <c r="O440" i="1"/>
  <c r="M440" i="1"/>
  <c r="K440" i="1"/>
  <c r="I440" i="1"/>
  <c r="L440" i="1"/>
  <c r="P440" i="1"/>
  <c r="T440" i="1"/>
  <c r="I441" i="1"/>
  <c r="M441" i="1"/>
  <c r="Q441" i="1"/>
  <c r="S442" i="1"/>
  <c r="Q442" i="1"/>
  <c r="O442" i="1"/>
  <c r="M442" i="1"/>
  <c r="K442" i="1"/>
  <c r="I442" i="1"/>
  <c r="L442" i="1"/>
  <c r="P442" i="1"/>
  <c r="T442" i="1"/>
  <c r="I443" i="1"/>
  <c r="M443" i="1"/>
  <c r="Q443" i="1"/>
  <c r="S444" i="1"/>
  <c r="Q444" i="1"/>
  <c r="O444" i="1"/>
  <c r="M444" i="1"/>
  <c r="K444" i="1"/>
  <c r="I444" i="1"/>
  <c r="L444" i="1"/>
  <c r="P444" i="1"/>
  <c r="T444" i="1"/>
  <c r="I445" i="1"/>
  <c r="M445" i="1"/>
  <c r="Q445" i="1"/>
  <c r="S446" i="1"/>
  <c r="Q446" i="1"/>
  <c r="O446" i="1"/>
  <c r="M446" i="1"/>
  <c r="K446" i="1"/>
  <c r="I446" i="1"/>
  <c r="L446" i="1"/>
  <c r="P446" i="1"/>
  <c r="T446" i="1"/>
  <c r="I447" i="1"/>
  <c r="M447" i="1"/>
  <c r="Q447" i="1"/>
  <c r="S448" i="1"/>
  <c r="Q448" i="1"/>
  <c r="O448" i="1"/>
  <c r="M448" i="1"/>
  <c r="K448" i="1"/>
  <c r="I448" i="1"/>
  <c r="L448" i="1"/>
  <c r="P448" i="1"/>
  <c r="T448" i="1"/>
  <c r="I449" i="1"/>
  <c r="M449" i="1"/>
  <c r="Q449" i="1"/>
  <c r="S450" i="1"/>
  <c r="Q450" i="1"/>
  <c r="O450" i="1"/>
  <c r="M450" i="1"/>
  <c r="K450" i="1"/>
  <c r="I450" i="1"/>
  <c r="L450" i="1"/>
  <c r="P450" i="1"/>
  <c r="T450" i="1"/>
  <c r="I451" i="1"/>
  <c r="M451" i="1"/>
  <c r="Q451" i="1"/>
  <c r="S452" i="1"/>
  <c r="Q452" i="1"/>
  <c r="O452" i="1"/>
  <c r="M452" i="1"/>
  <c r="K452" i="1"/>
  <c r="I452" i="1"/>
  <c r="L452" i="1"/>
  <c r="P452" i="1"/>
  <c r="T452" i="1"/>
  <c r="I453" i="1"/>
  <c r="M453" i="1"/>
  <c r="Q453" i="1"/>
  <c r="S454" i="1"/>
  <c r="Q454" i="1"/>
  <c r="O454" i="1"/>
  <c r="M454" i="1"/>
  <c r="K454" i="1"/>
  <c r="I454" i="1"/>
  <c r="L454" i="1"/>
  <c r="P454" i="1"/>
  <c r="T454" i="1"/>
  <c r="I455" i="1"/>
  <c r="M455" i="1"/>
  <c r="Q455" i="1"/>
  <c r="S456" i="1"/>
  <c r="Q456" i="1"/>
  <c r="O456" i="1"/>
  <c r="M456" i="1"/>
  <c r="K456" i="1"/>
  <c r="I456" i="1"/>
  <c r="L456" i="1"/>
  <c r="P456" i="1"/>
  <c r="T456" i="1"/>
  <c r="I457" i="1"/>
  <c r="M457" i="1"/>
  <c r="Q457" i="1"/>
  <c r="S458" i="1"/>
  <c r="Q458" i="1"/>
  <c r="O458" i="1"/>
  <c r="M458" i="1"/>
  <c r="K458" i="1"/>
  <c r="I458" i="1"/>
  <c r="L458" i="1"/>
  <c r="P458" i="1"/>
  <c r="T458" i="1"/>
  <c r="I459" i="1"/>
  <c r="M459" i="1"/>
  <c r="Q459" i="1"/>
  <c r="S460" i="1"/>
  <c r="Q460" i="1"/>
  <c r="O460" i="1"/>
  <c r="M460" i="1"/>
  <c r="K460" i="1"/>
  <c r="I460" i="1"/>
  <c r="L460" i="1"/>
  <c r="P460" i="1"/>
  <c r="T460" i="1"/>
  <c r="I461" i="1"/>
  <c r="M461" i="1"/>
  <c r="Q461" i="1"/>
  <c r="S462" i="1"/>
  <c r="Q462" i="1"/>
  <c r="O462" i="1"/>
  <c r="M462" i="1"/>
  <c r="K462" i="1"/>
  <c r="I462" i="1"/>
  <c r="L462" i="1"/>
  <c r="P462" i="1"/>
  <c r="T462" i="1"/>
  <c r="I463" i="1"/>
  <c r="M463" i="1"/>
  <c r="Q463" i="1"/>
  <c r="S464" i="1"/>
  <c r="Q464" i="1"/>
  <c r="O464" i="1"/>
  <c r="M464" i="1"/>
  <c r="K464" i="1"/>
  <c r="I464" i="1"/>
  <c r="L464" i="1"/>
  <c r="P464" i="1"/>
  <c r="T464" i="1"/>
  <c r="I465" i="1"/>
  <c r="M465" i="1"/>
  <c r="Q465" i="1"/>
  <c r="S466" i="1"/>
  <c r="Q466" i="1"/>
  <c r="O466" i="1"/>
  <c r="M466" i="1"/>
  <c r="K466" i="1"/>
  <c r="I466" i="1"/>
  <c r="L466" i="1"/>
  <c r="P466" i="1"/>
  <c r="T466" i="1"/>
  <c r="I467" i="1"/>
  <c r="M467" i="1"/>
  <c r="Q467" i="1"/>
  <c r="S468" i="1"/>
  <c r="Q468" i="1"/>
  <c r="O468" i="1"/>
  <c r="M468" i="1"/>
  <c r="K468" i="1"/>
  <c r="I468" i="1"/>
  <c r="L468" i="1"/>
  <c r="P468" i="1"/>
  <c r="T468" i="1"/>
  <c r="I469" i="1"/>
  <c r="M469" i="1"/>
  <c r="Q469" i="1"/>
  <c r="S470" i="1"/>
  <c r="Q470" i="1"/>
  <c r="O470" i="1"/>
  <c r="M470" i="1"/>
  <c r="K470" i="1"/>
  <c r="I470" i="1"/>
  <c r="L470" i="1"/>
  <c r="P470" i="1"/>
  <c r="T470" i="1"/>
  <c r="I471" i="1"/>
  <c r="M471" i="1"/>
  <c r="Q471" i="1"/>
  <c r="S472" i="1"/>
  <c r="Q472" i="1"/>
  <c r="O472" i="1"/>
  <c r="M472" i="1"/>
  <c r="K472" i="1"/>
  <c r="I472" i="1"/>
  <c r="L472" i="1"/>
  <c r="P472" i="1"/>
  <c r="T472" i="1"/>
  <c r="I473" i="1"/>
  <c r="M473" i="1"/>
  <c r="Q473" i="1"/>
  <c r="S474" i="1"/>
  <c r="Q474" i="1"/>
  <c r="O474" i="1"/>
  <c r="M474" i="1"/>
  <c r="K474" i="1"/>
  <c r="I474" i="1"/>
  <c r="L474" i="1"/>
  <c r="P474" i="1"/>
  <c r="T474" i="1"/>
  <c r="I475" i="1"/>
  <c r="M475" i="1"/>
  <c r="Q475" i="1"/>
  <c r="S476" i="1"/>
  <c r="Q476" i="1"/>
  <c r="O476" i="1"/>
  <c r="M476" i="1"/>
  <c r="K476" i="1"/>
  <c r="I476" i="1"/>
  <c r="L476" i="1"/>
  <c r="P476" i="1"/>
  <c r="T476" i="1"/>
  <c r="I477" i="1"/>
  <c r="M477" i="1"/>
  <c r="Q477" i="1"/>
  <c r="S478" i="1"/>
  <c r="Q478" i="1"/>
  <c r="O478" i="1"/>
  <c r="M478" i="1"/>
  <c r="K478" i="1"/>
  <c r="I478" i="1"/>
  <c r="L478" i="1"/>
  <c r="P478" i="1"/>
  <c r="T478" i="1"/>
  <c r="I479" i="1"/>
  <c r="M479" i="1"/>
  <c r="Q479" i="1"/>
  <c r="S480" i="1"/>
  <c r="Q480" i="1"/>
  <c r="O480" i="1"/>
  <c r="M480" i="1"/>
  <c r="K480" i="1"/>
  <c r="I480" i="1"/>
  <c r="L480" i="1"/>
  <c r="P480" i="1"/>
  <c r="T480" i="1"/>
  <c r="I481" i="1"/>
  <c r="M481" i="1"/>
  <c r="Q481" i="1"/>
  <c r="S482" i="1"/>
  <c r="Q482" i="1"/>
  <c r="O482" i="1"/>
  <c r="M482" i="1"/>
  <c r="K482" i="1"/>
  <c r="I482" i="1"/>
  <c r="L482" i="1"/>
  <c r="P482" i="1"/>
  <c r="T482" i="1"/>
  <c r="I483" i="1"/>
  <c r="M483" i="1"/>
  <c r="Q483" i="1"/>
  <c r="S484" i="1"/>
  <c r="Q484" i="1"/>
  <c r="O484" i="1"/>
  <c r="M484" i="1"/>
  <c r="K484" i="1"/>
  <c r="I484" i="1"/>
  <c r="L484" i="1"/>
  <c r="P484" i="1"/>
  <c r="T484" i="1"/>
  <c r="I485" i="1"/>
  <c r="M485" i="1"/>
  <c r="Q485" i="1"/>
  <c r="S486" i="1"/>
  <c r="Q486" i="1"/>
  <c r="O486" i="1"/>
  <c r="M486" i="1"/>
  <c r="K486" i="1"/>
  <c r="I486" i="1"/>
  <c r="L486" i="1"/>
  <c r="P486" i="1"/>
  <c r="T486" i="1"/>
  <c r="I487" i="1"/>
  <c r="M487" i="1"/>
  <c r="Q487" i="1"/>
  <c r="S488" i="1"/>
  <c r="Q488" i="1"/>
  <c r="O488" i="1"/>
  <c r="M488" i="1"/>
  <c r="K488" i="1"/>
  <c r="I488" i="1"/>
  <c r="L488" i="1"/>
  <c r="P488" i="1"/>
  <c r="T488" i="1"/>
  <c r="I489" i="1"/>
  <c r="M489" i="1"/>
  <c r="Q489" i="1"/>
  <c r="S490" i="1"/>
  <c r="Q490" i="1"/>
  <c r="O490" i="1"/>
  <c r="M490" i="1"/>
  <c r="K490" i="1"/>
  <c r="I490" i="1"/>
  <c r="L490" i="1"/>
  <c r="P490" i="1"/>
  <c r="T490" i="1"/>
  <c r="I491" i="1"/>
  <c r="M491" i="1"/>
  <c r="Q491" i="1"/>
  <c r="S492" i="1"/>
  <c r="Q492" i="1"/>
  <c r="O492" i="1"/>
  <c r="M492" i="1"/>
  <c r="K492" i="1"/>
  <c r="I492" i="1"/>
  <c r="L492" i="1"/>
  <c r="P492" i="1"/>
  <c r="T492" i="1"/>
  <c r="I493" i="1"/>
  <c r="M493" i="1"/>
  <c r="Q493" i="1"/>
  <c r="S494" i="1"/>
  <c r="Q494" i="1"/>
  <c r="O494" i="1"/>
  <c r="M494" i="1"/>
  <c r="K494" i="1"/>
  <c r="I494" i="1"/>
  <c r="L494" i="1"/>
  <c r="P494" i="1"/>
  <c r="T494" i="1"/>
  <c r="I495" i="1"/>
  <c r="M495" i="1"/>
  <c r="Q495" i="1"/>
  <c r="S496" i="1"/>
  <c r="Q496" i="1"/>
  <c r="O496" i="1"/>
  <c r="M496" i="1"/>
  <c r="K496" i="1"/>
  <c r="I496" i="1"/>
  <c r="L496" i="1"/>
  <c r="P496" i="1"/>
  <c r="T496" i="1"/>
  <c r="I497" i="1"/>
  <c r="M497" i="1"/>
  <c r="Q497" i="1"/>
  <c r="S498" i="1"/>
  <c r="Q498" i="1"/>
  <c r="O498" i="1"/>
  <c r="M498" i="1"/>
  <c r="K498" i="1"/>
  <c r="I498" i="1"/>
  <c r="L498" i="1"/>
  <c r="P498" i="1"/>
  <c r="T498" i="1"/>
  <c r="I499" i="1"/>
  <c r="M499" i="1"/>
  <c r="Q499" i="1"/>
  <c r="S500" i="1"/>
  <c r="Q500" i="1"/>
  <c r="O500" i="1"/>
  <c r="M500" i="1"/>
  <c r="K500" i="1"/>
  <c r="I500" i="1"/>
  <c r="L500" i="1"/>
  <c r="P500" i="1"/>
  <c r="T500" i="1"/>
  <c r="I501" i="1"/>
  <c r="M501" i="1"/>
  <c r="Q501" i="1"/>
  <c r="S502" i="1"/>
  <c r="Q502" i="1"/>
  <c r="O502" i="1"/>
  <c r="M502" i="1"/>
  <c r="K502" i="1"/>
  <c r="I502" i="1"/>
  <c r="L502" i="1"/>
  <c r="P502" i="1"/>
  <c r="T502" i="1"/>
  <c r="I503" i="1"/>
  <c r="M503" i="1"/>
  <c r="Q503" i="1"/>
  <c r="S504" i="1"/>
  <c r="Q504" i="1"/>
  <c r="O504" i="1"/>
  <c r="M504" i="1"/>
  <c r="K504" i="1"/>
  <c r="I504" i="1"/>
  <c r="L504" i="1"/>
  <c r="P504" i="1"/>
  <c r="T504" i="1"/>
  <c r="I505" i="1"/>
  <c r="M505" i="1"/>
  <c r="Q505" i="1"/>
  <c r="S506" i="1"/>
  <c r="Q506" i="1"/>
  <c r="O506" i="1"/>
  <c r="M506" i="1"/>
  <c r="K506" i="1"/>
  <c r="I506" i="1"/>
  <c r="L506" i="1"/>
  <c r="P506" i="1"/>
  <c r="T506" i="1"/>
  <c r="I507" i="1"/>
  <c r="M507" i="1"/>
  <c r="Q507" i="1"/>
  <c r="S508" i="1"/>
  <c r="Q508" i="1"/>
  <c r="O508" i="1"/>
  <c r="M508" i="1"/>
  <c r="K508" i="1"/>
  <c r="I508" i="1"/>
  <c r="L508" i="1"/>
  <c r="P508" i="1"/>
  <c r="T508" i="1"/>
  <c r="I509" i="1"/>
  <c r="M509" i="1"/>
  <c r="Q509" i="1"/>
  <c r="S510" i="1"/>
  <c r="Q510" i="1"/>
  <c r="O510" i="1"/>
  <c r="M510" i="1"/>
  <c r="K510" i="1"/>
  <c r="I510" i="1"/>
  <c r="L510" i="1"/>
  <c r="P510" i="1"/>
  <c r="T510" i="1"/>
  <c r="I511" i="1"/>
  <c r="M511" i="1"/>
  <c r="Q511" i="1"/>
  <c r="S512" i="1"/>
  <c r="Q512" i="1"/>
  <c r="O512" i="1"/>
  <c r="M512" i="1"/>
  <c r="K512" i="1"/>
  <c r="I512" i="1"/>
  <c r="L512" i="1"/>
  <c r="P512" i="1"/>
  <c r="T512" i="1"/>
  <c r="I513" i="1"/>
  <c r="M513" i="1"/>
  <c r="Q513" i="1"/>
  <c r="S514" i="1"/>
  <c r="Q514" i="1"/>
  <c r="O514" i="1"/>
  <c r="M514" i="1"/>
  <c r="K514" i="1"/>
  <c r="I514" i="1"/>
  <c r="L514" i="1"/>
  <c r="P514" i="1"/>
  <c r="T514" i="1"/>
  <c r="I515" i="1"/>
  <c r="M515" i="1"/>
  <c r="Q515" i="1"/>
  <c r="S516" i="1"/>
  <c r="Q516" i="1"/>
  <c r="O516" i="1"/>
  <c r="M516" i="1"/>
  <c r="K516" i="1"/>
  <c r="I516" i="1"/>
  <c r="L516" i="1"/>
  <c r="P516" i="1"/>
  <c r="T516" i="1"/>
  <c r="I517" i="1"/>
  <c r="M517" i="1"/>
  <c r="Q517" i="1"/>
  <c r="S518" i="1"/>
  <c r="Q518" i="1"/>
  <c r="O518" i="1"/>
  <c r="M518" i="1"/>
  <c r="K518" i="1"/>
  <c r="I518" i="1"/>
  <c r="L518" i="1"/>
  <c r="P518" i="1"/>
  <c r="T518" i="1"/>
  <c r="I519" i="1"/>
  <c r="M519" i="1"/>
  <c r="Q519" i="1"/>
  <c r="S520" i="1"/>
  <c r="Q520" i="1"/>
  <c r="O520" i="1"/>
  <c r="M520" i="1"/>
  <c r="K520" i="1"/>
  <c r="I520" i="1"/>
  <c r="L520" i="1"/>
  <c r="P520" i="1"/>
  <c r="T520" i="1"/>
  <c r="I521" i="1"/>
  <c r="M521" i="1"/>
  <c r="Q521" i="1"/>
  <c r="S522" i="1"/>
  <c r="Q522" i="1"/>
  <c r="O522" i="1"/>
  <c r="M522" i="1"/>
  <c r="K522" i="1"/>
  <c r="I522" i="1"/>
  <c r="L522" i="1"/>
  <c r="P522" i="1"/>
  <c r="T522" i="1"/>
  <c r="I523" i="1"/>
  <c r="M523" i="1"/>
  <c r="Q523" i="1"/>
  <c r="S524" i="1"/>
  <c r="Q524" i="1"/>
  <c r="O524" i="1"/>
  <c r="M524" i="1"/>
  <c r="K524" i="1"/>
  <c r="I524" i="1"/>
  <c r="L524" i="1"/>
  <c r="P524" i="1"/>
  <c r="T524" i="1"/>
  <c r="I525" i="1"/>
  <c r="M525" i="1"/>
  <c r="Q525" i="1"/>
  <c r="S526" i="1"/>
  <c r="Q526" i="1"/>
  <c r="O526" i="1"/>
  <c r="M526" i="1"/>
  <c r="K526" i="1"/>
  <c r="I526" i="1"/>
  <c r="L526" i="1"/>
  <c r="P526" i="1"/>
  <c r="T526" i="1"/>
  <c r="I527" i="1"/>
  <c r="M527" i="1"/>
  <c r="Q527" i="1"/>
  <c r="S528" i="1"/>
  <c r="Q528" i="1"/>
  <c r="O528" i="1"/>
  <c r="M528" i="1"/>
  <c r="K528" i="1"/>
  <c r="I528" i="1"/>
  <c r="L528" i="1"/>
  <c r="P528" i="1"/>
  <c r="T528" i="1"/>
  <c r="I529" i="1"/>
  <c r="M529" i="1"/>
  <c r="Q529" i="1"/>
  <c r="S530" i="1"/>
  <c r="Q530" i="1"/>
  <c r="O530" i="1"/>
  <c r="M530" i="1"/>
  <c r="K530" i="1"/>
  <c r="I530" i="1"/>
  <c r="L530" i="1"/>
  <c r="P530" i="1"/>
  <c r="T530" i="1"/>
  <c r="I531" i="1"/>
  <c r="M531" i="1"/>
  <c r="Q531" i="1"/>
  <c r="S532" i="1"/>
  <c r="Q532" i="1"/>
  <c r="O532" i="1"/>
  <c r="M532" i="1"/>
  <c r="K532" i="1"/>
  <c r="I532" i="1"/>
  <c r="L532" i="1"/>
  <c r="P532" i="1"/>
  <c r="T532" i="1"/>
  <c r="I533" i="1"/>
  <c r="M533" i="1"/>
  <c r="Q533" i="1"/>
  <c r="S534" i="1"/>
  <c r="Q534" i="1"/>
  <c r="O534" i="1"/>
  <c r="M534" i="1"/>
  <c r="K534" i="1"/>
  <c r="I534" i="1"/>
  <c r="L534" i="1"/>
  <c r="P534" i="1"/>
  <c r="T534" i="1"/>
  <c r="I535" i="1"/>
  <c r="M535" i="1"/>
  <c r="Q535" i="1"/>
  <c r="S536" i="1"/>
  <c r="Q536" i="1"/>
  <c r="O536" i="1"/>
  <c r="M536" i="1"/>
  <c r="K536" i="1"/>
  <c r="I536" i="1"/>
  <c r="L536" i="1"/>
  <c r="P536" i="1"/>
  <c r="T536" i="1"/>
  <c r="I537" i="1"/>
  <c r="M537" i="1"/>
  <c r="Q537" i="1"/>
  <c r="S538" i="1"/>
  <c r="Q538" i="1"/>
  <c r="O538" i="1"/>
  <c r="M538" i="1"/>
  <c r="K538" i="1"/>
  <c r="I538" i="1"/>
  <c r="L538" i="1"/>
  <c r="P538" i="1"/>
  <c r="T538" i="1"/>
  <c r="I539" i="1"/>
  <c r="M539" i="1"/>
  <c r="Q539" i="1"/>
  <c r="S540" i="1"/>
  <c r="Q540" i="1"/>
  <c r="O540" i="1"/>
  <c r="M540" i="1"/>
  <c r="K540" i="1"/>
  <c r="I540" i="1"/>
  <c r="L540" i="1"/>
  <c r="P540" i="1"/>
  <c r="T540" i="1"/>
  <c r="I541" i="1"/>
  <c r="M541" i="1"/>
  <c r="Q541" i="1"/>
  <c r="S542" i="1"/>
  <c r="Q542" i="1"/>
  <c r="O542" i="1"/>
  <c r="M542" i="1"/>
  <c r="K542" i="1"/>
  <c r="I542" i="1"/>
  <c r="L542" i="1"/>
  <c r="P542" i="1"/>
  <c r="T542" i="1"/>
  <c r="I543" i="1"/>
  <c r="M543" i="1"/>
  <c r="Q543" i="1"/>
  <c r="S544" i="1"/>
  <c r="Q544" i="1"/>
  <c r="O544" i="1"/>
  <c r="M544" i="1"/>
  <c r="K544" i="1"/>
  <c r="I544" i="1"/>
  <c r="L544" i="1"/>
  <c r="P544" i="1"/>
  <c r="T544" i="1"/>
  <c r="I545" i="1"/>
  <c r="M545" i="1"/>
  <c r="Q545" i="1"/>
  <c r="S546" i="1"/>
  <c r="Q546" i="1"/>
  <c r="O546" i="1"/>
  <c r="M546" i="1"/>
  <c r="K546" i="1"/>
  <c r="I546" i="1"/>
  <c r="L546" i="1"/>
  <c r="P546" i="1"/>
  <c r="T546" i="1"/>
  <c r="I547" i="1"/>
  <c r="M547" i="1"/>
  <c r="Q547" i="1"/>
  <c r="S548" i="1"/>
  <c r="Q548" i="1"/>
  <c r="O548" i="1"/>
  <c r="M548" i="1"/>
  <c r="K548" i="1"/>
  <c r="I548" i="1"/>
  <c r="L548" i="1"/>
  <c r="P548" i="1"/>
  <c r="T548" i="1"/>
  <c r="I549" i="1"/>
  <c r="M549" i="1"/>
  <c r="Q549" i="1"/>
  <c r="S550" i="1"/>
  <c r="Q550" i="1"/>
  <c r="O550" i="1"/>
  <c r="M550" i="1"/>
  <c r="K550" i="1"/>
  <c r="I550" i="1"/>
  <c r="L550" i="1"/>
  <c r="P550" i="1"/>
  <c r="T550" i="1"/>
  <c r="I551" i="1"/>
  <c r="M551" i="1"/>
  <c r="Q551" i="1"/>
  <c r="S552" i="1"/>
  <c r="Q552" i="1"/>
  <c r="O552" i="1"/>
  <c r="M552" i="1"/>
  <c r="K552" i="1"/>
  <c r="I552" i="1"/>
  <c r="L552" i="1"/>
  <c r="P552" i="1"/>
  <c r="T552" i="1"/>
  <c r="I553" i="1"/>
  <c r="M553" i="1"/>
  <c r="Q553" i="1"/>
  <c r="S554" i="1"/>
  <c r="Q554" i="1"/>
  <c r="O554" i="1"/>
  <c r="M554" i="1"/>
  <c r="K554" i="1"/>
  <c r="I554" i="1"/>
  <c r="L554" i="1"/>
  <c r="P554" i="1"/>
  <c r="T554" i="1"/>
  <c r="I555" i="1"/>
  <c r="M555" i="1"/>
  <c r="Q555" i="1"/>
  <c r="S556" i="1"/>
  <c r="Q556" i="1"/>
  <c r="O556" i="1"/>
  <c r="M556" i="1"/>
  <c r="K556" i="1"/>
  <c r="I556" i="1"/>
  <c r="L556" i="1"/>
  <c r="P556" i="1"/>
  <c r="T556" i="1"/>
  <c r="I557" i="1"/>
  <c r="M557" i="1"/>
  <c r="Q557" i="1"/>
  <c r="S558" i="1"/>
  <c r="Q558" i="1"/>
  <c r="O558" i="1"/>
  <c r="M558" i="1"/>
  <c r="K558" i="1"/>
  <c r="I558" i="1"/>
  <c r="L558" i="1"/>
  <c r="P558" i="1"/>
  <c r="T558" i="1"/>
  <c r="I559" i="1"/>
  <c r="M559" i="1"/>
  <c r="Q559" i="1"/>
  <c r="S560" i="1"/>
  <c r="Q560" i="1"/>
  <c r="O560" i="1"/>
  <c r="M560" i="1"/>
  <c r="K560" i="1"/>
  <c r="I560" i="1"/>
  <c r="L560" i="1"/>
  <c r="P560" i="1"/>
  <c r="T560" i="1"/>
  <c r="I561" i="1"/>
  <c r="M561" i="1"/>
  <c r="Q561" i="1"/>
  <c r="S562" i="1"/>
  <c r="Q562" i="1"/>
  <c r="O562" i="1"/>
  <c r="M562" i="1"/>
  <c r="K562" i="1"/>
  <c r="I562" i="1"/>
  <c r="L562" i="1"/>
  <c r="P562" i="1"/>
  <c r="T562" i="1"/>
  <c r="I563" i="1"/>
  <c r="M563" i="1"/>
  <c r="Q563" i="1"/>
  <c r="S564" i="1"/>
  <c r="Q564" i="1"/>
  <c r="O564" i="1"/>
  <c r="M564" i="1"/>
  <c r="K564" i="1"/>
  <c r="I564" i="1"/>
  <c r="L564" i="1"/>
  <c r="P564" i="1"/>
  <c r="T564" i="1"/>
  <c r="I565" i="1"/>
  <c r="M565" i="1"/>
  <c r="Q565" i="1"/>
  <c r="S566" i="1"/>
  <c r="Q566" i="1"/>
  <c r="O566" i="1"/>
  <c r="M566" i="1"/>
  <c r="K566" i="1"/>
  <c r="I566" i="1"/>
  <c r="L566" i="1"/>
  <c r="P566" i="1"/>
  <c r="T566" i="1"/>
  <c r="I567" i="1"/>
  <c r="M567" i="1"/>
  <c r="Q567" i="1"/>
  <c r="S568" i="1"/>
  <c r="Q568" i="1"/>
  <c r="O568" i="1"/>
  <c r="M568" i="1"/>
  <c r="K568" i="1"/>
  <c r="I568" i="1"/>
  <c r="L568" i="1"/>
  <c r="P568" i="1"/>
  <c r="T568" i="1"/>
  <c r="I569" i="1"/>
  <c r="M569" i="1"/>
  <c r="Q569" i="1"/>
  <c r="S570" i="1"/>
  <c r="Q570" i="1"/>
  <c r="O570" i="1"/>
  <c r="M570" i="1"/>
  <c r="K570" i="1"/>
  <c r="I570" i="1"/>
  <c r="L570" i="1"/>
  <c r="P570" i="1"/>
  <c r="T570" i="1"/>
  <c r="I571" i="1"/>
  <c r="M571" i="1"/>
  <c r="Q571" i="1"/>
  <c r="S572" i="1"/>
  <c r="Q572" i="1"/>
  <c r="O572" i="1"/>
  <c r="M572" i="1"/>
  <c r="K572" i="1"/>
  <c r="I572" i="1"/>
  <c r="L572" i="1"/>
  <c r="P572" i="1"/>
  <c r="T572" i="1"/>
  <c r="I573" i="1"/>
  <c r="M573" i="1"/>
  <c r="Q573" i="1"/>
  <c r="S574" i="1"/>
  <c r="Q574" i="1"/>
  <c r="O574" i="1"/>
  <c r="M574" i="1"/>
  <c r="K574" i="1"/>
  <c r="I574" i="1"/>
  <c r="L574" i="1"/>
  <c r="P574" i="1"/>
  <c r="T574" i="1"/>
  <c r="I575" i="1"/>
  <c r="M575" i="1"/>
  <c r="Q575" i="1"/>
  <c r="S576" i="1"/>
  <c r="Q576" i="1"/>
  <c r="O576" i="1"/>
  <c r="M576" i="1"/>
  <c r="K576" i="1"/>
  <c r="I576" i="1"/>
  <c r="L576" i="1"/>
  <c r="P576" i="1"/>
  <c r="T576" i="1"/>
  <c r="I577" i="1"/>
  <c r="M577" i="1"/>
  <c r="Q577" i="1"/>
  <c r="S578" i="1"/>
  <c r="Q578" i="1"/>
  <c r="O578" i="1"/>
  <c r="M578" i="1"/>
  <c r="K578" i="1"/>
  <c r="I578" i="1"/>
  <c r="L578" i="1"/>
  <c r="P578" i="1"/>
  <c r="T578" i="1"/>
  <c r="I579" i="1"/>
  <c r="M579" i="1"/>
  <c r="Q579" i="1"/>
  <c r="S580" i="1"/>
  <c r="Q580" i="1"/>
  <c r="O580" i="1"/>
  <c r="M580" i="1"/>
  <c r="K580" i="1"/>
  <c r="I580" i="1"/>
  <c r="L580" i="1"/>
  <c r="P580" i="1"/>
  <c r="T580" i="1"/>
  <c r="I581" i="1"/>
  <c r="M581" i="1"/>
  <c r="Q581" i="1"/>
  <c r="S582" i="1"/>
  <c r="Q582" i="1"/>
  <c r="O582" i="1"/>
  <c r="M582" i="1"/>
  <c r="K582" i="1"/>
  <c r="I582" i="1"/>
  <c r="L582" i="1"/>
  <c r="P582" i="1"/>
  <c r="T582" i="1"/>
  <c r="I583" i="1"/>
  <c r="M583" i="1"/>
  <c r="Q583" i="1"/>
  <c r="S584" i="1"/>
  <c r="Q584" i="1"/>
  <c r="O584" i="1"/>
  <c r="M584" i="1"/>
  <c r="K584" i="1"/>
  <c r="I584" i="1"/>
  <c r="L584" i="1"/>
  <c r="P584" i="1"/>
  <c r="T584" i="1"/>
  <c r="I585" i="1"/>
  <c r="M585" i="1"/>
  <c r="Q585" i="1"/>
  <c r="S586" i="1"/>
  <c r="Q586" i="1"/>
  <c r="O586" i="1"/>
  <c r="M586" i="1"/>
  <c r="K586" i="1"/>
  <c r="I586" i="1"/>
  <c r="L586" i="1"/>
  <c r="P586" i="1"/>
  <c r="T586" i="1"/>
  <c r="I587" i="1"/>
  <c r="M587" i="1"/>
  <c r="Q587" i="1"/>
  <c r="S588" i="1"/>
  <c r="Q588" i="1"/>
  <c r="O588" i="1"/>
  <c r="M588" i="1"/>
  <c r="K588" i="1"/>
  <c r="I588" i="1"/>
  <c r="L588" i="1"/>
  <c r="P588" i="1"/>
  <c r="T588" i="1"/>
  <c r="I589" i="1"/>
  <c r="M589" i="1"/>
  <c r="Q589" i="1"/>
  <c r="S590" i="1"/>
  <c r="Q590" i="1"/>
  <c r="O590" i="1"/>
  <c r="M590" i="1"/>
  <c r="K590" i="1"/>
  <c r="I590" i="1"/>
  <c r="L590" i="1"/>
  <c r="P590" i="1"/>
  <c r="T590" i="1"/>
  <c r="I591" i="1"/>
  <c r="M591" i="1"/>
  <c r="Q591" i="1"/>
  <c r="S592" i="1"/>
  <c r="Q592" i="1"/>
  <c r="O592" i="1"/>
  <c r="M592" i="1"/>
  <c r="K592" i="1"/>
  <c r="I592" i="1"/>
  <c r="L592" i="1"/>
  <c r="P592" i="1"/>
  <c r="T592" i="1"/>
  <c r="I593" i="1"/>
  <c r="M593" i="1"/>
  <c r="Q593" i="1"/>
  <c r="S594" i="1"/>
  <c r="Q594" i="1"/>
  <c r="O594" i="1"/>
  <c r="M594" i="1"/>
  <c r="K594" i="1"/>
  <c r="I594" i="1"/>
  <c r="L594" i="1"/>
  <c r="P594" i="1"/>
  <c r="T594" i="1"/>
  <c r="I595" i="1"/>
  <c r="M595" i="1"/>
  <c r="Q595" i="1"/>
  <c r="S596" i="1"/>
  <c r="Q596" i="1"/>
  <c r="O596" i="1"/>
  <c r="M596" i="1"/>
  <c r="K596" i="1"/>
  <c r="I596" i="1"/>
  <c r="L596" i="1"/>
  <c r="P596" i="1"/>
  <c r="T596" i="1"/>
  <c r="I597" i="1"/>
  <c r="M597" i="1"/>
  <c r="Q597" i="1"/>
  <c r="S598" i="1"/>
  <c r="Q598" i="1"/>
  <c r="O598" i="1"/>
  <c r="M598" i="1"/>
  <c r="K598" i="1"/>
  <c r="I598" i="1"/>
  <c r="L598" i="1"/>
  <c r="P598" i="1"/>
  <c r="T598" i="1"/>
  <c r="I599" i="1"/>
  <c r="M599" i="1"/>
  <c r="Q599" i="1"/>
  <c r="S600" i="1"/>
  <c r="Q600" i="1"/>
  <c r="O600" i="1"/>
  <c r="M600" i="1"/>
  <c r="K600" i="1"/>
  <c r="I600" i="1"/>
  <c r="L600" i="1"/>
  <c r="P600" i="1"/>
  <c r="T600" i="1"/>
  <c r="I601" i="1"/>
  <c r="M601" i="1"/>
  <c r="Q601" i="1"/>
  <c r="S602" i="1"/>
  <c r="Q602" i="1"/>
  <c r="O602" i="1"/>
  <c r="M602" i="1"/>
  <c r="K602" i="1"/>
  <c r="I602" i="1"/>
  <c r="L602" i="1"/>
  <c r="P602" i="1"/>
  <c r="T602" i="1"/>
  <c r="I603" i="1"/>
  <c r="M603" i="1"/>
  <c r="Q603" i="1"/>
  <c r="S604" i="1"/>
  <c r="Q604" i="1"/>
  <c r="O604" i="1"/>
  <c r="M604" i="1"/>
  <c r="K604" i="1"/>
  <c r="I604" i="1"/>
  <c r="L604" i="1"/>
  <c r="P604" i="1"/>
  <c r="T604" i="1"/>
  <c r="I605" i="1"/>
  <c r="M605" i="1"/>
  <c r="Q605" i="1"/>
  <c r="S606" i="1"/>
  <c r="Q606" i="1"/>
  <c r="O606" i="1"/>
  <c r="M606" i="1"/>
  <c r="K606" i="1"/>
  <c r="I606" i="1"/>
  <c r="L606" i="1"/>
  <c r="P606" i="1"/>
  <c r="T606" i="1"/>
  <c r="I607" i="1"/>
  <c r="M607" i="1"/>
  <c r="Q607" i="1"/>
  <c r="S608" i="1"/>
  <c r="Q608" i="1"/>
  <c r="O608" i="1"/>
  <c r="M608" i="1"/>
  <c r="K608" i="1"/>
  <c r="I608" i="1"/>
  <c r="L608" i="1"/>
  <c r="P608" i="1"/>
  <c r="T608" i="1"/>
  <c r="I609" i="1"/>
  <c r="M609" i="1"/>
  <c r="Q609" i="1"/>
  <c r="S610" i="1"/>
  <c r="Q610" i="1"/>
  <c r="O610" i="1"/>
  <c r="M610" i="1"/>
  <c r="K610" i="1"/>
  <c r="I610" i="1"/>
  <c r="L610" i="1"/>
  <c r="P610" i="1"/>
  <c r="T610" i="1"/>
  <c r="I611" i="1"/>
  <c r="M611" i="1"/>
  <c r="Q611" i="1"/>
  <c r="S612" i="1"/>
  <c r="Q612" i="1"/>
  <c r="O612" i="1"/>
  <c r="M612" i="1"/>
  <c r="K612" i="1"/>
  <c r="I612" i="1"/>
  <c r="L612" i="1"/>
  <c r="P612" i="1"/>
  <c r="T612" i="1"/>
  <c r="I613" i="1"/>
  <c r="M613" i="1"/>
  <c r="Q613" i="1"/>
  <c r="S614" i="1"/>
  <c r="Q614" i="1"/>
  <c r="O614" i="1"/>
  <c r="M614" i="1"/>
  <c r="K614" i="1"/>
  <c r="I614" i="1"/>
  <c r="L614" i="1"/>
  <c r="P614" i="1"/>
  <c r="T614" i="1"/>
  <c r="I615" i="1"/>
  <c r="M615" i="1"/>
  <c r="Q615" i="1"/>
  <c r="S616" i="1"/>
  <c r="Q616" i="1"/>
  <c r="O616" i="1"/>
  <c r="M616" i="1"/>
  <c r="K616" i="1"/>
  <c r="I616" i="1"/>
  <c r="L616" i="1"/>
  <c r="P616" i="1"/>
  <c r="T616" i="1"/>
  <c r="I617" i="1"/>
  <c r="M617" i="1"/>
  <c r="Q617" i="1"/>
  <c r="S618" i="1"/>
  <c r="Q618" i="1"/>
  <c r="O618" i="1"/>
  <c r="M618" i="1"/>
  <c r="K618" i="1"/>
  <c r="I618" i="1"/>
  <c r="L618" i="1"/>
  <c r="P618" i="1"/>
  <c r="T618" i="1"/>
  <c r="I619" i="1"/>
  <c r="M619" i="1"/>
  <c r="Q619" i="1"/>
  <c r="S620" i="1"/>
  <c r="Q620" i="1"/>
  <c r="O620" i="1"/>
  <c r="M620" i="1"/>
  <c r="K620" i="1"/>
  <c r="I620" i="1"/>
  <c r="L620" i="1"/>
  <c r="P620" i="1"/>
  <c r="T620" i="1"/>
  <c r="I621" i="1"/>
  <c r="M621" i="1"/>
  <c r="Q621" i="1"/>
  <c r="S622" i="1"/>
  <c r="Q622" i="1"/>
  <c r="O622" i="1"/>
  <c r="M622" i="1"/>
  <c r="K622" i="1"/>
  <c r="I622" i="1"/>
  <c r="L622" i="1"/>
  <c r="P622" i="1"/>
  <c r="T622" i="1"/>
  <c r="I623" i="1"/>
  <c r="M623" i="1"/>
  <c r="Q623" i="1"/>
  <c r="S624" i="1"/>
  <c r="Q624" i="1"/>
  <c r="O624" i="1"/>
  <c r="M624" i="1"/>
  <c r="K624" i="1"/>
  <c r="I624" i="1"/>
  <c r="L624" i="1"/>
  <c r="P624" i="1"/>
  <c r="T624" i="1"/>
  <c r="I625" i="1"/>
  <c r="M625" i="1"/>
  <c r="Q625" i="1"/>
  <c r="S626" i="1"/>
  <c r="Q626" i="1"/>
  <c r="O626" i="1"/>
  <c r="M626" i="1"/>
  <c r="K626" i="1"/>
  <c r="I626" i="1"/>
  <c r="T626" i="1"/>
  <c r="L626" i="1"/>
  <c r="P626" i="1"/>
  <c r="T627" i="1"/>
  <c r="T629" i="1"/>
  <c r="T631" i="1"/>
  <c r="T633" i="1"/>
  <c r="T635" i="1"/>
  <c r="T637" i="1"/>
  <c r="T639" i="1"/>
  <c r="T641" i="1"/>
  <c r="T643" i="1"/>
  <c r="T645" i="1"/>
  <c r="T647" i="1"/>
  <c r="T649" i="1"/>
  <c r="T651" i="1"/>
  <c r="T653" i="1"/>
  <c r="T655" i="1"/>
  <c r="T657" i="1"/>
  <c r="T659" i="1"/>
  <c r="T661" i="1"/>
  <c r="T663" i="1"/>
  <c r="T665" i="1"/>
  <c r="T667" i="1"/>
  <c r="T669" i="1"/>
  <c r="T671" i="1"/>
  <c r="T673" i="1"/>
  <c r="T675" i="1"/>
  <c r="T677" i="1"/>
  <c r="T679" i="1"/>
  <c r="T681" i="1"/>
  <c r="T683" i="1"/>
  <c r="T685" i="1"/>
  <c r="T687" i="1"/>
  <c r="T689" i="1"/>
  <c r="T691" i="1"/>
  <c r="T693" i="1"/>
  <c r="T695" i="1"/>
  <c r="T697" i="1"/>
  <c r="T699" i="1"/>
  <c r="T701" i="1"/>
  <c r="T703" i="1"/>
  <c r="T705" i="1"/>
  <c r="T707" i="1"/>
  <c r="T709" i="1"/>
  <c r="T711" i="1"/>
  <c r="T713" i="1"/>
  <c r="T715" i="1"/>
  <c r="T717" i="1"/>
  <c r="T719" i="1"/>
  <c r="T721" i="1"/>
  <c r="T723" i="1"/>
  <c r="T725" i="1"/>
  <c r="T727" i="1"/>
  <c r="T729" i="1"/>
  <c r="T731" i="1"/>
  <c r="T733" i="1"/>
  <c r="T735" i="1"/>
  <c r="T737" i="1"/>
  <c r="T739" i="1"/>
  <c r="T741" i="1"/>
  <c r="T743" i="1"/>
  <c r="T745" i="1"/>
  <c r="T747" i="1"/>
  <c r="T749" i="1"/>
  <c r="T751" i="1"/>
  <c r="T753" i="1"/>
  <c r="T755" i="1"/>
  <c r="T757" i="1"/>
  <c r="T759" i="1"/>
  <c r="T761" i="1"/>
  <c r="T763" i="1"/>
  <c r="T765" i="1"/>
  <c r="T767" i="1"/>
  <c r="T769" i="1"/>
  <c r="T771" i="1"/>
  <c r="T773" i="1"/>
  <c r="T775" i="1"/>
  <c r="T777" i="1"/>
  <c r="T779" i="1"/>
  <c r="T781" i="1"/>
  <c r="T783" i="1"/>
  <c r="T785" i="1"/>
  <c r="T787" i="1"/>
  <c r="T789" i="1"/>
  <c r="T791" i="1"/>
  <c r="T793" i="1"/>
  <c r="T795" i="1"/>
  <c r="T797" i="1"/>
  <c r="T799" i="1"/>
  <c r="T801" i="1"/>
  <c r="T803" i="1"/>
  <c r="T805" i="1"/>
  <c r="T807" i="1"/>
  <c r="T809" i="1"/>
  <c r="T811" i="1"/>
  <c r="T813" i="1"/>
  <c r="T815" i="1"/>
  <c r="T817" i="1"/>
  <c r="T819" i="1"/>
  <c r="T821" i="1"/>
  <c r="T823" i="1"/>
  <c r="T825" i="1"/>
  <c r="T827" i="1"/>
  <c r="T829" i="1"/>
  <c r="T831" i="1"/>
  <c r="T833" i="1"/>
  <c r="T835" i="1"/>
  <c r="T837" i="1"/>
  <c r="T839" i="1"/>
  <c r="T841" i="1"/>
  <c r="T843" i="1"/>
  <c r="T845" i="1"/>
  <c r="T847" i="1"/>
  <c r="T849" i="1"/>
  <c r="T851" i="1"/>
  <c r="T853" i="1"/>
  <c r="T855" i="1"/>
  <c r="T857" i="1"/>
  <c r="T859" i="1"/>
  <c r="T861" i="1"/>
  <c r="T863" i="1"/>
  <c r="T865" i="1"/>
  <c r="T867" i="1"/>
  <c r="T869" i="1"/>
  <c r="T871" i="1"/>
  <c r="T873" i="1"/>
  <c r="T875" i="1"/>
  <c r="T877" i="1"/>
  <c r="T879" i="1"/>
  <c r="T881" i="1"/>
  <c r="T883" i="1"/>
  <c r="T885" i="1"/>
  <c r="T887" i="1"/>
  <c r="T889" i="1"/>
  <c r="T891" i="1"/>
  <c r="T893" i="1"/>
  <c r="T895" i="1"/>
  <c r="T897" i="1"/>
  <c r="T899" i="1"/>
  <c r="T901" i="1"/>
  <c r="T903" i="1"/>
  <c r="T905" i="1"/>
  <c r="T907" i="1"/>
  <c r="T909" i="1"/>
  <c r="T911" i="1"/>
  <c r="T913" i="1"/>
  <c r="T915" i="1"/>
  <c r="T917" i="1"/>
  <c r="T919" i="1"/>
  <c r="T921" i="1"/>
  <c r="T923" i="1"/>
  <c r="T925" i="1"/>
  <c r="T927" i="1"/>
  <c r="T929" i="1"/>
  <c r="T931" i="1"/>
  <c r="T933" i="1"/>
  <c r="T935" i="1"/>
  <c r="T937" i="1"/>
  <c r="T939" i="1"/>
  <c r="T941" i="1"/>
  <c r="T943" i="1"/>
  <c r="T945" i="1"/>
  <c r="T947" i="1"/>
  <c r="T949" i="1"/>
  <c r="T951" i="1"/>
  <c r="T953" i="1"/>
  <c r="T955" i="1"/>
  <c r="T957" i="1"/>
  <c r="T959" i="1"/>
  <c r="T961" i="1"/>
  <c r="T963" i="1"/>
  <c r="T965" i="1"/>
  <c r="T967" i="1"/>
  <c r="T969" i="1"/>
  <c r="T971" i="1"/>
  <c r="T973" i="1"/>
  <c r="T975" i="1"/>
  <c r="T977" i="1"/>
  <c r="T979" i="1"/>
  <c r="T981" i="1"/>
  <c r="T983" i="1"/>
  <c r="T985" i="1"/>
  <c r="T987" i="1"/>
  <c r="T989" i="1"/>
  <c r="T991" i="1"/>
  <c r="T993" i="1"/>
  <c r="T995" i="1"/>
  <c r="T997" i="1"/>
  <c r="T999" i="1"/>
  <c r="T1001" i="1"/>
  <c r="T1003" i="1"/>
  <c r="T1005" i="1"/>
  <c r="T1007" i="1"/>
  <c r="J628" i="1"/>
  <c r="L628" i="1"/>
  <c r="N628" i="1"/>
  <c r="P628" i="1"/>
  <c r="R628" i="1"/>
  <c r="T628" i="1"/>
  <c r="J630" i="1"/>
  <c r="L630" i="1"/>
  <c r="N630" i="1"/>
  <c r="P630" i="1"/>
  <c r="R630" i="1"/>
  <c r="T630" i="1"/>
  <c r="J632" i="1"/>
  <c r="L632" i="1"/>
  <c r="N632" i="1"/>
  <c r="P632" i="1"/>
  <c r="R632" i="1"/>
  <c r="T632" i="1"/>
  <c r="J634" i="1"/>
  <c r="L634" i="1"/>
  <c r="N634" i="1"/>
  <c r="P634" i="1"/>
  <c r="R634" i="1"/>
  <c r="T634" i="1"/>
  <c r="J636" i="1"/>
  <c r="L636" i="1"/>
  <c r="N636" i="1"/>
  <c r="P636" i="1"/>
  <c r="R636" i="1"/>
  <c r="T636" i="1"/>
  <c r="J642" i="1"/>
  <c r="L642" i="1"/>
  <c r="N642" i="1"/>
  <c r="P642" i="1"/>
  <c r="R642" i="1"/>
  <c r="T642" i="1"/>
  <c r="J644" i="1"/>
  <c r="L644" i="1"/>
  <c r="N644" i="1"/>
  <c r="P644" i="1"/>
  <c r="R644" i="1"/>
  <c r="T644" i="1"/>
  <c r="J646" i="1"/>
  <c r="L646" i="1"/>
  <c r="N646" i="1"/>
  <c r="P646" i="1"/>
  <c r="R646" i="1"/>
  <c r="T646" i="1"/>
  <c r="J648" i="1"/>
  <c r="L648" i="1"/>
  <c r="N648" i="1"/>
  <c r="P648" i="1"/>
  <c r="R648" i="1"/>
  <c r="T648" i="1"/>
  <c r="J650" i="1"/>
  <c r="L650" i="1"/>
  <c r="N650" i="1"/>
  <c r="P650" i="1"/>
  <c r="R650" i="1"/>
  <c r="T650" i="1"/>
  <c r="J652" i="1"/>
  <c r="L652" i="1"/>
  <c r="N652" i="1"/>
  <c r="P652" i="1"/>
  <c r="R652" i="1"/>
  <c r="T652" i="1"/>
  <c r="J682" i="1"/>
  <c r="L682" i="1"/>
  <c r="N682" i="1"/>
  <c r="P682" i="1"/>
  <c r="R682" i="1"/>
  <c r="T682" i="1"/>
  <c r="J684" i="1"/>
  <c r="L684" i="1"/>
  <c r="N684" i="1"/>
  <c r="P684" i="1"/>
  <c r="R684" i="1"/>
  <c r="T684" i="1"/>
  <c r="J686" i="1"/>
  <c r="L686" i="1"/>
  <c r="N686" i="1"/>
  <c r="P686" i="1"/>
  <c r="R686" i="1"/>
  <c r="T686" i="1"/>
  <c r="J688" i="1"/>
  <c r="L688" i="1"/>
  <c r="N688" i="1"/>
  <c r="P688" i="1"/>
  <c r="R688" i="1"/>
  <c r="T688" i="1"/>
  <c r="J690" i="1"/>
  <c r="N690" i="1"/>
  <c r="R690" i="1"/>
  <c r="J692" i="1"/>
  <c r="L692" i="1"/>
  <c r="N692" i="1"/>
  <c r="P692" i="1"/>
  <c r="R692" i="1"/>
  <c r="T692" i="1"/>
  <c r="J694" i="1"/>
  <c r="L694" i="1"/>
  <c r="N694" i="1"/>
  <c r="P694" i="1"/>
  <c r="R694" i="1"/>
  <c r="T694" i="1"/>
  <c r="J696" i="1"/>
  <c r="L696" i="1"/>
  <c r="N696" i="1"/>
  <c r="P696" i="1"/>
  <c r="R696" i="1"/>
  <c r="T696" i="1"/>
  <c r="J698" i="1"/>
  <c r="L698" i="1"/>
  <c r="N698" i="1"/>
  <c r="P698" i="1"/>
  <c r="R698" i="1"/>
  <c r="T698" i="1"/>
  <c r="J712" i="1"/>
  <c r="L712" i="1"/>
  <c r="N712" i="1"/>
  <c r="P712" i="1"/>
  <c r="R712" i="1"/>
  <c r="T712" i="1"/>
  <c r="J714" i="1"/>
  <c r="L714" i="1"/>
  <c r="N714" i="1"/>
  <c r="P714" i="1"/>
  <c r="R714" i="1"/>
  <c r="T714" i="1"/>
  <c r="L736" i="1"/>
  <c r="P736" i="1"/>
  <c r="R736" i="1"/>
  <c r="T736" i="1"/>
  <c r="J740" i="1"/>
  <c r="L740" i="1"/>
  <c r="N740" i="1"/>
  <c r="P740" i="1"/>
  <c r="R740" i="1"/>
  <c r="T740" i="1"/>
  <c r="J742" i="1"/>
  <c r="L742" i="1"/>
  <c r="N742" i="1"/>
  <c r="P742" i="1"/>
  <c r="R742" i="1"/>
  <c r="T742" i="1"/>
  <c r="J744" i="1"/>
  <c r="L744" i="1"/>
  <c r="N744" i="1"/>
  <c r="P744" i="1"/>
  <c r="R744" i="1"/>
  <c r="T744" i="1"/>
  <c r="J746" i="1"/>
  <c r="L746" i="1"/>
  <c r="N746" i="1"/>
  <c r="P746" i="1"/>
  <c r="R746" i="1"/>
  <c r="T746" i="1"/>
  <c r="J748" i="1"/>
  <c r="L748" i="1"/>
  <c r="N748" i="1"/>
  <c r="P748" i="1"/>
  <c r="R748" i="1"/>
  <c r="T748" i="1"/>
  <c r="J750" i="1"/>
  <c r="L750" i="1"/>
  <c r="N750" i="1"/>
  <c r="P750" i="1"/>
  <c r="R750" i="1"/>
  <c r="T750" i="1"/>
  <c r="L768" i="1"/>
  <c r="P768" i="1"/>
  <c r="J770" i="1"/>
  <c r="L770" i="1"/>
  <c r="N770" i="1"/>
  <c r="P770" i="1"/>
  <c r="R770" i="1"/>
  <c r="T770" i="1"/>
  <c r="J772" i="1"/>
  <c r="L772" i="1"/>
  <c r="N772" i="1"/>
  <c r="P772" i="1"/>
  <c r="R772" i="1"/>
  <c r="T772" i="1"/>
  <c r="J774" i="1"/>
  <c r="L774" i="1"/>
  <c r="N774" i="1"/>
  <c r="P774" i="1"/>
  <c r="R774" i="1"/>
  <c r="T774" i="1"/>
  <c r="J776" i="1"/>
  <c r="L776" i="1"/>
  <c r="N776" i="1"/>
  <c r="P776" i="1"/>
  <c r="R776" i="1"/>
  <c r="T776" i="1"/>
  <c r="J778" i="1"/>
  <c r="L778" i="1"/>
  <c r="N778" i="1"/>
  <c r="P778" i="1"/>
  <c r="R778" i="1"/>
  <c r="T778" i="1"/>
  <c r="J780" i="1"/>
  <c r="L780" i="1"/>
  <c r="N780" i="1"/>
  <c r="P780" i="1"/>
  <c r="R780" i="1"/>
  <c r="T780" i="1"/>
  <c r="J782" i="1"/>
  <c r="L782" i="1"/>
  <c r="N782" i="1"/>
  <c r="P782" i="1"/>
  <c r="R782" i="1"/>
  <c r="T782" i="1"/>
  <c r="J784" i="1"/>
  <c r="L784" i="1"/>
  <c r="N784" i="1"/>
  <c r="P784" i="1"/>
  <c r="R784" i="1"/>
  <c r="T784" i="1"/>
  <c r="J786" i="1"/>
  <c r="L786" i="1"/>
  <c r="N786" i="1"/>
  <c r="P786" i="1"/>
  <c r="R786" i="1"/>
  <c r="T786" i="1"/>
  <c r="J788" i="1"/>
  <c r="L788" i="1"/>
  <c r="N788" i="1"/>
  <c r="P788" i="1"/>
  <c r="R788" i="1"/>
  <c r="T788" i="1"/>
  <c r="J790" i="1"/>
  <c r="L790" i="1"/>
  <c r="N790" i="1"/>
  <c r="P790" i="1"/>
  <c r="R790" i="1"/>
  <c r="T790" i="1"/>
  <c r="J792" i="1"/>
  <c r="L792" i="1"/>
  <c r="N792" i="1"/>
  <c r="P792" i="1"/>
  <c r="R792" i="1"/>
  <c r="T792" i="1"/>
  <c r="J794" i="1"/>
  <c r="L794" i="1"/>
  <c r="N794" i="1"/>
  <c r="P794" i="1"/>
  <c r="R794" i="1"/>
  <c r="T794" i="1"/>
  <c r="J796" i="1"/>
  <c r="L796" i="1"/>
  <c r="N796" i="1"/>
  <c r="P796" i="1"/>
  <c r="R796" i="1"/>
  <c r="T796" i="1"/>
  <c r="J798" i="1"/>
  <c r="L798" i="1"/>
  <c r="N798" i="1"/>
  <c r="P798" i="1"/>
  <c r="R798" i="1"/>
  <c r="T798" i="1"/>
  <c r="J800" i="1"/>
  <c r="L800" i="1"/>
  <c r="N800" i="1"/>
  <c r="P800" i="1"/>
  <c r="R800" i="1"/>
  <c r="T800" i="1"/>
  <c r="J802" i="1"/>
  <c r="N802" i="1"/>
  <c r="P802" i="1"/>
  <c r="R802" i="1"/>
  <c r="T802" i="1"/>
  <c r="J808" i="1"/>
  <c r="L808" i="1"/>
  <c r="N808" i="1"/>
  <c r="P808" i="1"/>
  <c r="R808" i="1"/>
  <c r="T808" i="1"/>
  <c r="J820" i="1"/>
  <c r="L820" i="1"/>
  <c r="N820" i="1"/>
  <c r="P820" i="1"/>
  <c r="R820" i="1"/>
  <c r="T820" i="1"/>
  <c r="J822" i="1"/>
  <c r="L822" i="1"/>
  <c r="N822" i="1"/>
  <c r="P822" i="1"/>
  <c r="R822" i="1"/>
  <c r="T822" i="1"/>
  <c r="J824" i="1"/>
  <c r="L824" i="1"/>
  <c r="N824" i="1"/>
  <c r="P824" i="1"/>
  <c r="R824" i="1"/>
  <c r="T824" i="1"/>
  <c r="J826" i="1"/>
  <c r="L826" i="1"/>
  <c r="N826" i="1"/>
  <c r="P826" i="1"/>
  <c r="R826" i="1"/>
  <c r="T826" i="1"/>
  <c r="J828" i="1"/>
  <c r="N828" i="1"/>
  <c r="R828" i="1"/>
  <c r="T828" i="1"/>
  <c r="J834" i="1"/>
  <c r="L834" i="1"/>
  <c r="N834" i="1"/>
  <c r="P834" i="1"/>
  <c r="R834" i="1"/>
  <c r="T834" i="1"/>
  <c r="J836" i="1"/>
  <c r="L836" i="1"/>
  <c r="N836" i="1"/>
  <c r="P836" i="1"/>
  <c r="R836" i="1"/>
  <c r="T836" i="1"/>
  <c r="J838" i="1"/>
  <c r="L838" i="1"/>
  <c r="N838" i="1"/>
  <c r="P838" i="1"/>
  <c r="R838" i="1"/>
  <c r="T838" i="1"/>
  <c r="J840" i="1"/>
  <c r="L840" i="1"/>
  <c r="N840" i="1"/>
  <c r="P840" i="1"/>
  <c r="R840" i="1"/>
  <c r="T840" i="1"/>
  <c r="J842" i="1"/>
  <c r="L842" i="1"/>
  <c r="N842" i="1"/>
  <c r="P842" i="1"/>
  <c r="R842" i="1"/>
  <c r="T842" i="1"/>
  <c r="J844" i="1"/>
  <c r="L844" i="1"/>
  <c r="N844" i="1"/>
  <c r="P844" i="1"/>
  <c r="R844" i="1"/>
  <c r="T844" i="1"/>
  <c r="J846" i="1"/>
  <c r="L846" i="1"/>
  <c r="N846" i="1"/>
  <c r="P846" i="1"/>
  <c r="R846" i="1"/>
  <c r="T846" i="1"/>
  <c r="J848" i="1"/>
  <c r="L848" i="1"/>
  <c r="N848" i="1"/>
  <c r="P848" i="1"/>
  <c r="R848" i="1"/>
  <c r="T848" i="1"/>
  <c r="J850" i="1"/>
  <c r="L850" i="1"/>
  <c r="N850" i="1"/>
  <c r="P850" i="1"/>
  <c r="R850" i="1"/>
  <c r="T850" i="1"/>
  <c r="J852" i="1"/>
  <c r="L852" i="1"/>
  <c r="N852" i="1"/>
  <c r="P852" i="1"/>
  <c r="R852" i="1"/>
  <c r="T852" i="1"/>
  <c r="J854" i="1"/>
  <c r="L854" i="1"/>
  <c r="P854" i="1"/>
  <c r="J856" i="1"/>
  <c r="L856" i="1"/>
  <c r="N856" i="1"/>
  <c r="P856" i="1"/>
  <c r="R856" i="1"/>
  <c r="T856" i="1"/>
  <c r="J858" i="1"/>
  <c r="N858" i="1"/>
  <c r="R858" i="1"/>
  <c r="J860" i="1"/>
  <c r="L860" i="1"/>
  <c r="N860" i="1"/>
  <c r="P860" i="1"/>
  <c r="R860" i="1"/>
  <c r="T860" i="1"/>
  <c r="J862" i="1"/>
  <c r="L862" i="1"/>
  <c r="N862" i="1"/>
  <c r="P862" i="1"/>
  <c r="R862" i="1"/>
  <c r="T862" i="1"/>
  <c r="J886" i="1"/>
  <c r="L886" i="1"/>
  <c r="N886" i="1"/>
  <c r="P886" i="1"/>
  <c r="R886" i="1"/>
  <c r="T886" i="1"/>
  <c r="J888" i="1"/>
  <c r="L888" i="1"/>
  <c r="N888" i="1"/>
  <c r="P888" i="1"/>
  <c r="R888" i="1"/>
  <c r="T888" i="1"/>
  <c r="J890" i="1"/>
  <c r="L890" i="1"/>
  <c r="N890" i="1"/>
  <c r="P890" i="1"/>
  <c r="R890" i="1"/>
  <c r="T890" i="1"/>
  <c r="J892" i="1"/>
  <c r="L892" i="1"/>
  <c r="N892" i="1"/>
  <c r="P892" i="1"/>
  <c r="R892" i="1"/>
  <c r="T892" i="1"/>
  <c r="J898" i="1"/>
  <c r="L898" i="1"/>
  <c r="N898" i="1"/>
  <c r="P898" i="1"/>
  <c r="R898" i="1"/>
  <c r="T898" i="1"/>
  <c r="J900" i="1"/>
  <c r="L900" i="1"/>
  <c r="N900" i="1"/>
  <c r="P900" i="1"/>
  <c r="R900" i="1"/>
  <c r="T900" i="1"/>
  <c r="J902" i="1"/>
  <c r="L902" i="1"/>
  <c r="N902" i="1"/>
  <c r="P902" i="1"/>
  <c r="R902" i="1"/>
  <c r="T902" i="1"/>
  <c r="J904" i="1"/>
  <c r="L904" i="1"/>
  <c r="N904" i="1"/>
  <c r="P904" i="1"/>
  <c r="R904" i="1"/>
  <c r="T904" i="1"/>
  <c r="J906" i="1"/>
  <c r="L906" i="1"/>
  <c r="N906" i="1"/>
  <c r="P906" i="1"/>
  <c r="R906" i="1"/>
  <c r="T906" i="1"/>
  <c r="J908" i="1"/>
  <c r="L908" i="1"/>
  <c r="N908" i="1"/>
  <c r="P908" i="1"/>
  <c r="R908" i="1"/>
  <c r="T908" i="1"/>
  <c r="J910" i="1"/>
  <c r="L910" i="1"/>
  <c r="N910" i="1"/>
  <c r="P910" i="1"/>
  <c r="R910" i="1"/>
  <c r="T910" i="1"/>
  <c r="J912" i="1"/>
  <c r="L912" i="1"/>
  <c r="N912" i="1"/>
  <c r="P912" i="1"/>
  <c r="R912" i="1"/>
  <c r="T912" i="1"/>
  <c r="J914" i="1"/>
  <c r="L914" i="1"/>
  <c r="N914" i="1"/>
  <c r="P914" i="1"/>
  <c r="R914" i="1"/>
  <c r="T914" i="1"/>
  <c r="J926" i="1"/>
  <c r="L926" i="1"/>
  <c r="N926" i="1"/>
  <c r="P926" i="1"/>
  <c r="R926" i="1"/>
  <c r="T926" i="1"/>
  <c r="J928" i="1"/>
  <c r="L928" i="1"/>
  <c r="N928" i="1"/>
  <c r="P928" i="1"/>
  <c r="R928" i="1"/>
  <c r="T928" i="1"/>
  <c r="J930" i="1"/>
  <c r="L930" i="1"/>
  <c r="N930" i="1"/>
  <c r="P930" i="1"/>
  <c r="R930" i="1"/>
  <c r="T930" i="1"/>
  <c r="J932" i="1"/>
  <c r="L932" i="1"/>
  <c r="N932" i="1"/>
  <c r="P932" i="1"/>
  <c r="R932" i="1"/>
  <c r="T932" i="1"/>
  <c r="J934" i="1"/>
  <c r="L934" i="1"/>
  <c r="N934" i="1"/>
  <c r="P934" i="1"/>
  <c r="R934" i="1"/>
  <c r="T934" i="1"/>
  <c r="L946" i="1"/>
  <c r="P946" i="1"/>
  <c r="J948" i="1"/>
  <c r="L948" i="1"/>
  <c r="N948" i="1"/>
  <c r="P948" i="1"/>
  <c r="R948" i="1"/>
  <c r="T948" i="1"/>
  <c r="J950" i="1"/>
  <c r="L950" i="1"/>
  <c r="N950" i="1"/>
  <c r="P950" i="1"/>
  <c r="R950" i="1"/>
  <c r="T950" i="1"/>
  <c r="J952" i="1"/>
  <c r="L952" i="1"/>
  <c r="N952" i="1"/>
  <c r="P952" i="1"/>
  <c r="R952" i="1"/>
  <c r="T952" i="1"/>
  <c r="J954" i="1"/>
  <c r="L954" i="1"/>
  <c r="N954" i="1"/>
  <c r="P954" i="1"/>
  <c r="R954" i="1"/>
  <c r="T954" i="1"/>
  <c r="J956" i="1"/>
  <c r="L956" i="1"/>
  <c r="N956" i="1"/>
  <c r="P956" i="1"/>
  <c r="R956" i="1"/>
  <c r="T956" i="1"/>
  <c r="J958" i="1"/>
  <c r="L958" i="1"/>
  <c r="N958" i="1"/>
  <c r="P958" i="1"/>
  <c r="R958" i="1"/>
  <c r="T958" i="1"/>
  <c r="J960" i="1"/>
  <c r="L960" i="1"/>
  <c r="N960" i="1"/>
  <c r="P960" i="1"/>
  <c r="R960" i="1"/>
  <c r="T960" i="1"/>
  <c r="J962" i="1"/>
  <c r="L962" i="1"/>
  <c r="N962" i="1"/>
  <c r="P962" i="1"/>
  <c r="R962" i="1"/>
  <c r="T962" i="1"/>
  <c r="J964" i="1"/>
  <c r="L964" i="1"/>
  <c r="N964" i="1"/>
  <c r="P964" i="1"/>
  <c r="R964" i="1"/>
  <c r="T964" i="1"/>
  <c r="J966" i="1"/>
  <c r="L966" i="1"/>
  <c r="P966" i="1"/>
  <c r="T966" i="1"/>
  <c r="J974" i="1"/>
  <c r="L974" i="1"/>
  <c r="N974" i="1"/>
  <c r="P974" i="1"/>
  <c r="R974" i="1"/>
  <c r="T974" i="1"/>
  <c r="J976" i="1"/>
  <c r="L976" i="1"/>
  <c r="N976" i="1"/>
  <c r="P976" i="1"/>
  <c r="R976" i="1"/>
  <c r="T976" i="1"/>
  <c r="J978" i="1"/>
  <c r="L978" i="1"/>
  <c r="N978" i="1"/>
  <c r="P978" i="1"/>
  <c r="R978" i="1"/>
  <c r="T978" i="1"/>
  <c r="J980" i="1"/>
  <c r="L980" i="1"/>
  <c r="N980" i="1"/>
  <c r="P980" i="1"/>
  <c r="R980" i="1"/>
  <c r="T980" i="1"/>
  <c r="J982" i="1"/>
  <c r="L982" i="1"/>
  <c r="N982" i="1"/>
  <c r="P982" i="1"/>
  <c r="R982" i="1"/>
  <c r="T982" i="1"/>
  <c r="J984" i="1"/>
  <c r="L984" i="1"/>
  <c r="N984" i="1"/>
  <c r="P984" i="1"/>
  <c r="R984" i="1"/>
  <c r="T984" i="1"/>
  <c r="J986" i="1"/>
  <c r="L986" i="1"/>
  <c r="N986" i="1"/>
  <c r="P986" i="1"/>
  <c r="R986" i="1"/>
  <c r="T986" i="1"/>
  <c r="J988" i="1"/>
  <c r="L988" i="1"/>
  <c r="N988" i="1"/>
  <c r="P988" i="1"/>
  <c r="R988" i="1"/>
  <c r="T988" i="1"/>
  <c r="J990" i="1"/>
  <c r="L990" i="1"/>
  <c r="N990" i="1"/>
  <c r="P990" i="1"/>
  <c r="R990" i="1"/>
  <c r="T990" i="1"/>
  <c r="J992" i="1"/>
  <c r="L992" i="1"/>
  <c r="N992" i="1"/>
  <c r="P992" i="1"/>
  <c r="R992" i="1"/>
  <c r="T992" i="1"/>
  <c r="J994" i="1"/>
  <c r="L994" i="1"/>
  <c r="N994" i="1"/>
  <c r="P994" i="1"/>
  <c r="R994" i="1"/>
  <c r="T994" i="1"/>
  <c r="J996" i="1"/>
  <c r="L996" i="1"/>
  <c r="N996" i="1"/>
  <c r="P996" i="1"/>
  <c r="R996" i="1"/>
  <c r="T996" i="1"/>
  <c r="J998" i="1"/>
  <c r="L998" i="1"/>
  <c r="N998" i="1"/>
  <c r="P998" i="1"/>
  <c r="R998" i="1"/>
  <c r="T998" i="1"/>
  <c r="J1000" i="1"/>
  <c r="L1000" i="1"/>
  <c r="N1000" i="1"/>
  <c r="P1000" i="1"/>
  <c r="R1000" i="1"/>
  <c r="T1000" i="1"/>
  <c r="J1002" i="1"/>
  <c r="L1002" i="1"/>
  <c r="N1002" i="1"/>
  <c r="P1002" i="1"/>
  <c r="R1002" i="1"/>
  <c r="T1002" i="1"/>
  <c r="J1004" i="1"/>
  <c r="L1004" i="1"/>
  <c r="P1004" i="1"/>
  <c r="T1004" i="1"/>
  <c r="J1006" i="1"/>
  <c r="L1006" i="1"/>
  <c r="N1006" i="1"/>
  <c r="P1006" i="1"/>
  <c r="R1006" i="1"/>
  <c r="T1006" i="1"/>
  <c r="S1010" i="1"/>
  <c r="Q1010" i="1"/>
  <c r="O1010" i="1"/>
  <c r="M1010" i="1"/>
  <c r="K1010" i="1"/>
  <c r="I1010" i="1"/>
  <c r="L1010" i="1"/>
  <c r="P1010" i="1"/>
  <c r="T1010" i="1"/>
  <c r="S1014" i="1"/>
  <c r="Q1014" i="1"/>
  <c r="O1014" i="1"/>
  <c r="M1014" i="1"/>
  <c r="K1014" i="1"/>
  <c r="I1014" i="1"/>
  <c r="L1014" i="1"/>
  <c r="P1014" i="1"/>
  <c r="T1014" i="1"/>
  <c r="S1018" i="1"/>
  <c r="Q1018" i="1"/>
  <c r="O1018" i="1"/>
  <c r="M1018" i="1"/>
  <c r="K1018" i="1"/>
  <c r="I1018" i="1"/>
  <c r="L1018" i="1"/>
  <c r="P1018" i="1"/>
  <c r="T1018" i="1"/>
  <c r="L1022" i="1"/>
  <c r="P1022" i="1"/>
  <c r="T1022" i="1"/>
  <c r="S1028" i="1"/>
  <c r="Q1028" i="1"/>
  <c r="O1028" i="1"/>
  <c r="M1028" i="1"/>
  <c r="K1028" i="1"/>
  <c r="I1028" i="1"/>
  <c r="L1028" i="1"/>
  <c r="P1028" i="1"/>
  <c r="T1028" i="1"/>
  <c r="S1032" i="1"/>
  <c r="Q1032" i="1"/>
  <c r="O1032" i="1"/>
  <c r="M1032" i="1"/>
  <c r="K1032" i="1"/>
  <c r="I1032" i="1"/>
  <c r="L1032" i="1"/>
  <c r="P1032" i="1"/>
  <c r="T1032" i="1"/>
  <c r="S1036" i="1"/>
  <c r="Q1036" i="1"/>
  <c r="O1036" i="1"/>
  <c r="M1036" i="1"/>
  <c r="K1036" i="1"/>
  <c r="I1036" i="1"/>
  <c r="L1036" i="1"/>
  <c r="P1036" i="1"/>
  <c r="T1036" i="1"/>
  <c r="S1040" i="1"/>
  <c r="Q1040" i="1"/>
  <c r="O1040" i="1"/>
  <c r="M1040" i="1"/>
  <c r="K1040" i="1"/>
  <c r="I1040" i="1"/>
  <c r="L1040" i="1"/>
  <c r="P1040" i="1"/>
  <c r="T1040" i="1"/>
  <c r="S1042" i="1"/>
  <c r="Q1042" i="1"/>
  <c r="O1042" i="1"/>
  <c r="M1042" i="1"/>
  <c r="K1042" i="1"/>
  <c r="I1042" i="1"/>
  <c r="L1042" i="1"/>
  <c r="P1042" i="1"/>
  <c r="T1042" i="1"/>
  <c r="S1046" i="1"/>
  <c r="Q1046" i="1"/>
  <c r="O1046" i="1"/>
  <c r="M1046" i="1"/>
  <c r="K1046" i="1"/>
  <c r="I1046" i="1"/>
  <c r="L1046" i="1"/>
  <c r="P1046" i="1"/>
  <c r="T1046" i="1"/>
  <c r="S1050" i="1"/>
  <c r="Q1050" i="1"/>
  <c r="O1050" i="1"/>
  <c r="M1050" i="1"/>
  <c r="K1050" i="1"/>
  <c r="I1050" i="1"/>
  <c r="L1050" i="1"/>
  <c r="P1050" i="1"/>
  <c r="T1050" i="1"/>
  <c r="S1054" i="1"/>
  <c r="Q1054" i="1"/>
  <c r="O1054" i="1"/>
  <c r="M1054" i="1"/>
  <c r="K1054" i="1"/>
  <c r="I1054" i="1"/>
  <c r="L1054" i="1"/>
  <c r="P1054" i="1"/>
  <c r="T1054" i="1"/>
  <c r="S1058" i="1"/>
  <c r="Q1058" i="1"/>
  <c r="O1058" i="1"/>
  <c r="M1058" i="1"/>
  <c r="K1058" i="1"/>
  <c r="I1058" i="1"/>
  <c r="L1058" i="1"/>
  <c r="P1058" i="1"/>
  <c r="T1058" i="1"/>
  <c r="L1062" i="1"/>
  <c r="P1062" i="1"/>
  <c r="T1062" i="1"/>
  <c r="S1068" i="1"/>
  <c r="Q1068" i="1"/>
  <c r="O1068" i="1"/>
  <c r="M1068" i="1"/>
  <c r="K1068" i="1"/>
  <c r="I1068" i="1"/>
  <c r="L1068" i="1"/>
  <c r="P1068" i="1"/>
  <c r="T1068" i="1"/>
  <c r="S1072" i="1"/>
  <c r="Q1072" i="1"/>
  <c r="O1072" i="1"/>
  <c r="M1072" i="1"/>
  <c r="K1072" i="1"/>
  <c r="I1072" i="1"/>
  <c r="L1072" i="1"/>
  <c r="P1072" i="1"/>
  <c r="T1072" i="1"/>
  <c r="S1074" i="1"/>
  <c r="Q1074" i="1"/>
  <c r="O1074" i="1"/>
  <c r="M1074" i="1"/>
  <c r="K1074" i="1"/>
  <c r="I1074" i="1"/>
  <c r="L1074" i="1"/>
  <c r="P1074" i="1"/>
  <c r="T1074" i="1"/>
  <c r="S1078" i="1"/>
  <c r="Q1078" i="1"/>
  <c r="O1078" i="1"/>
  <c r="M1078" i="1"/>
  <c r="K1078" i="1"/>
  <c r="I1078" i="1"/>
  <c r="L1078" i="1"/>
  <c r="P1078" i="1"/>
  <c r="T1078" i="1"/>
  <c r="S1082" i="1"/>
  <c r="Q1082" i="1"/>
  <c r="O1082" i="1"/>
  <c r="M1082" i="1"/>
  <c r="K1082" i="1"/>
  <c r="I1082" i="1"/>
  <c r="L1082" i="1"/>
  <c r="P1082" i="1"/>
  <c r="T1082" i="1"/>
  <c r="S1086" i="1"/>
  <c r="Q1086" i="1"/>
  <c r="O1086" i="1"/>
  <c r="M1086" i="1"/>
  <c r="K1086" i="1"/>
  <c r="I1086" i="1"/>
  <c r="L1086" i="1"/>
  <c r="P1086" i="1"/>
  <c r="T1086" i="1"/>
  <c r="S1092" i="1"/>
  <c r="Q1092" i="1"/>
  <c r="O1092" i="1"/>
  <c r="M1092" i="1"/>
  <c r="K1092" i="1"/>
  <c r="I1092" i="1"/>
  <c r="L1092" i="1"/>
  <c r="P1092" i="1"/>
  <c r="T1092" i="1"/>
  <c r="S1094" i="1"/>
  <c r="Q1094" i="1"/>
  <c r="O1094" i="1"/>
  <c r="M1094" i="1"/>
  <c r="K1094" i="1"/>
  <c r="I1094" i="1"/>
  <c r="L1094" i="1"/>
  <c r="P1094" i="1"/>
  <c r="T1094" i="1"/>
  <c r="S1100" i="1"/>
  <c r="Q1100" i="1"/>
  <c r="O1100" i="1"/>
  <c r="M1100" i="1"/>
  <c r="K1100" i="1"/>
  <c r="I1100" i="1"/>
  <c r="L1100" i="1"/>
  <c r="P1100" i="1"/>
  <c r="T1100" i="1"/>
  <c r="S1102" i="1"/>
  <c r="Q1102" i="1"/>
  <c r="O1102" i="1"/>
  <c r="M1102" i="1"/>
  <c r="K1102" i="1"/>
  <c r="I1102" i="1"/>
  <c r="L1102" i="1"/>
  <c r="P1102" i="1"/>
  <c r="T1102" i="1"/>
  <c r="S1106" i="1"/>
  <c r="Q1106" i="1"/>
  <c r="O1106" i="1"/>
  <c r="M1106" i="1"/>
  <c r="K1106" i="1"/>
  <c r="I1106" i="1"/>
  <c r="L1106" i="1"/>
  <c r="P1106" i="1"/>
  <c r="T1106" i="1"/>
  <c r="S1112" i="1"/>
  <c r="Q1112" i="1"/>
  <c r="O1112" i="1"/>
  <c r="M1112" i="1"/>
  <c r="K1112" i="1"/>
  <c r="I1112" i="1"/>
  <c r="L1112" i="1"/>
  <c r="P1112" i="1"/>
  <c r="T1112" i="1"/>
  <c r="S1114" i="1"/>
  <c r="Q1114" i="1"/>
  <c r="O1114" i="1"/>
  <c r="M1114" i="1"/>
  <c r="K1114" i="1"/>
  <c r="I1114" i="1"/>
  <c r="L1114" i="1"/>
  <c r="S1116" i="1"/>
  <c r="Q1116" i="1"/>
  <c r="O1116" i="1"/>
  <c r="M1116" i="1"/>
  <c r="K1116" i="1"/>
  <c r="I1116" i="1"/>
  <c r="L1116" i="1"/>
  <c r="P1116" i="1"/>
  <c r="T1116" i="1"/>
  <c r="S1118" i="1"/>
  <c r="Q1118" i="1"/>
  <c r="O1118" i="1"/>
  <c r="M1118" i="1"/>
  <c r="K1118" i="1"/>
  <c r="I1118" i="1"/>
  <c r="L1118" i="1"/>
  <c r="P1118" i="1"/>
  <c r="T1118" i="1"/>
  <c r="S1124" i="1"/>
  <c r="Q1124" i="1"/>
  <c r="O1124" i="1"/>
  <c r="M1124" i="1"/>
  <c r="K1124" i="1"/>
  <c r="I1124" i="1"/>
  <c r="L1124" i="1"/>
  <c r="P1124" i="1"/>
  <c r="T1124" i="1"/>
  <c r="S1126" i="1"/>
  <c r="Q1126" i="1"/>
  <c r="O1126" i="1"/>
  <c r="M1126" i="1"/>
  <c r="K1126" i="1"/>
  <c r="I1126" i="1"/>
  <c r="L1126" i="1"/>
  <c r="P1126" i="1"/>
  <c r="T1126" i="1"/>
  <c r="S1132" i="1"/>
  <c r="Q1132" i="1"/>
  <c r="O1132" i="1"/>
  <c r="M1132" i="1"/>
  <c r="K1132" i="1"/>
  <c r="I1132" i="1"/>
  <c r="L1132" i="1"/>
  <c r="P1132" i="1"/>
  <c r="T1132" i="1"/>
  <c r="S1134" i="1"/>
  <c r="Q1134" i="1"/>
  <c r="O1134" i="1"/>
  <c r="M1134" i="1"/>
  <c r="K1134" i="1"/>
  <c r="I1134" i="1"/>
  <c r="L1134" i="1"/>
  <c r="P1134" i="1"/>
  <c r="T1134" i="1"/>
  <c r="S1140" i="1"/>
  <c r="Q1140" i="1"/>
  <c r="O1140" i="1"/>
  <c r="M1140" i="1"/>
  <c r="K1140" i="1"/>
  <c r="I1140" i="1"/>
  <c r="L1140" i="1"/>
  <c r="P1140" i="1"/>
  <c r="T1140" i="1"/>
  <c r="S1142" i="1"/>
  <c r="Q1142" i="1"/>
  <c r="O1142" i="1"/>
  <c r="M1142" i="1"/>
  <c r="K1142" i="1"/>
  <c r="I1142" i="1"/>
  <c r="L1142" i="1"/>
  <c r="P1142" i="1"/>
  <c r="T1142" i="1"/>
  <c r="S1148" i="1"/>
  <c r="Q1148" i="1"/>
  <c r="O1148" i="1"/>
  <c r="M1148" i="1"/>
  <c r="K1148" i="1"/>
  <c r="I1148" i="1"/>
  <c r="L1148" i="1"/>
  <c r="P1148" i="1"/>
  <c r="T1148" i="1"/>
  <c r="S1150" i="1"/>
  <c r="Q1150" i="1"/>
  <c r="O1150" i="1"/>
  <c r="M1150" i="1"/>
  <c r="K1150" i="1"/>
  <c r="I1150" i="1"/>
  <c r="L1150" i="1"/>
  <c r="P1150" i="1"/>
  <c r="T1150" i="1"/>
  <c r="L1154" i="1"/>
  <c r="P1154" i="1"/>
  <c r="T1154" i="1"/>
  <c r="S1158" i="1"/>
  <c r="Q1158" i="1"/>
  <c r="O1158" i="1"/>
  <c r="M1158" i="1"/>
  <c r="K1158" i="1"/>
  <c r="I1158" i="1"/>
  <c r="L1158" i="1"/>
  <c r="P1158" i="1"/>
  <c r="T1158" i="1"/>
  <c r="S1164" i="1"/>
  <c r="Q1164" i="1"/>
  <c r="O1164" i="1"/>
  <c r="M1164" i="1"/>
  <c r="K1164" i="1"/>
  <c r="I1164" i="1"/>
  <c r="L1164" i="1"/>
  <c r="P1164" i="1"/>
  <c r="T1164" i="1"/>
  <c r="S1166" i="1"/>
  <c r="Q1166" i="1"/>
  <c r="O1166" i="1"/>
  <c r="M1166" i="1"/>
  <c r="K1166" i="1"/>
  <c r="I1166" i="1"/>
  <c r="L1166" i="1"/>
  <c r="P1166" i="1"/>
  <c r="T1166" i="1"/>
  <c r="S1172" i="1"/>
  <c r="Q1172" i="1"/>
  <c r="O1172" i="1"/>
  <c r="M1172" i="1"/>
  <c r="K1172" i="1"/>
  <c r="I1172" i="1"/>
  <c r="L1172" i="1"/>
  <c r="P1172" i="1"/>
  <c r="T1172" i="1"/>
  <c r="S1174" i="1"/>
  <c r="Q1174" i="1"/>
  <c r="O1174" i="1"/>
  <c r="M1174" i="1"/>
  <c r="K1174" i="1"/>
  <c r="I1174" i="1"/>
  <c r="L1174" i="1"/>
  <c r="P1174" i="1"/>
  <c r="T1174" i="1"/>
  <c r="L1178" i="1"/>
  <c r="S1180" i="1"/>
  <c r="Q1180" i="1"/>
  <c r="O1180" i="1"/>
  <c r="M1180" i="1"/>
  <c r="K1180" i="1"/>
  <c r="I1180" i="1"/>
  <c r="L1180" i="1"/>
  <c r="P1180" i="1"/>
  <c r="T1180" i="1"/>
  <c r="S1184" i="1"/>
  <c r="Q1184" i="1"/>
  <c r="O1184" i="1"/>
  <c r="M1184" i="1"/>
  <c r="K1184" i="1"/>
  <c r="I1184" i="1"/>
  <c r="L1184" i="1"/>
  <c r="P1184" i="1"/>
  <c r="T1184" i="1"/>
  <c r="S1188" i="1"/>
  <c r="Q1188" i="1"/>
  <c r="O1188" i="1"/>
  <c r="M1188" i="1"/>
  <c r="K1188" i="1"/>
  <c r="I1188" i="1"/>
  <c r="L1188" i="1"/>
  <c r="P1188" i="1"/>
  <c r="T1188" i="1"/>
  <c r="S1192" i="1"/>
  <c r="Q1192" i="1"/>
  <c r="O1192" i="1"/>
  <c r="M1192" i="1"/>
  <c r="K1192" i="1"/>
  <c r="I1192" i="1"/>
  <c r="L1192" i="1"/>
  <c r="P1192" i="1"/>
  <c r="T1192" i="1"/>
  <c r="S1196" i="1"/>
  <c r="Q1196" i="1"/>
  <c r="O1196" i="1"/>
  <c r="M1196" i="1"/>
  <c r="K1196" i="1"/>
  <c r="I1196" i="1"/>
  <c r="L1196" i="1"/>
  <c r="P1196" i="1"/>
  <c r="T1196" i="1"/>
  <c r="S1200" i="1"/>
  <c r="Q1200" i="1"/>
  <c r="O1200" i="1"/>
  <c r="M1200" i="1"/>
  <c r="K1200" i="1"/>
  <c r="I1200" i="1"/>
  <c r="L1200" i="1"/>
  <c r="P1200" i="1"/>
  <c r="T1200" i="1"/>
  <c r="S1204" i="1"/>
  <c r="Q1204" i="1"/>
  <c r="O1204" i="1"/>
  <c r="M1204" i="1"/>
  <c r="K1204" i="1"/>
  <c r="I1204" i="1"/>
  <c r="L1204" i="1"/>
  <c r="P1204" i="1"/>
  <c r="T1204" i="1"/>
  <c r="S1208" i="1"/>
  <c r="Q1208" i="1"/>
  <c r="O1208" i="1"/>
  <c r="M1208" i="1"/>
  <c r="K1208" i="1"/>
  <c r="I1208" i="1"/>
  <c r="L1208" i="1"/>
  <c r="P1208" i="1"/>
  <c r="T1208" i="1"/>
  <c r="S1212" i="1"/>
  <c r="Q1212" i="1"/>
  <c r="O1212" i="1"/>
  <c r="M1212" i="1"/>
  <c r="K1212" i="1"/>
  <c r="I1212" i="1"/>
  <c r="L1212" i="1"/>
  <c r="P1212" i="1"/>
  <c r="T1212" i="1"/>
  <c r="S1216" i="1"/>
  <c r="Q1216" i="1"/>
  <c r="O1216" i="1"/>
  <c r="M1216" i="1"/>
  <c r="K1216" i="1"/>
  <c r="I1216" i="1"/>
  <c r="L1216" i="1"/>
  <c r="P1216" i="1"/>
  <c r="T1216" i="1"/>
  <c r="S1220" i="1"/>
  <c r="Q1220" i="1"/>
  <c r="O1220" i="1"/>
  <c r="M1220" i="1"/>
  <c r="K1220" i="1"/>
  <c r="I1220" i="1"/>
  <c r="L1220" i="1"/>
  <c r="P1220" i="1"/>
  <c r="T1220" i="1"/>
  <c r="S1224" i="1"/>
  <c r="Q1224" i="1"/>
  <c r="O1224" i="1"/>
  <c r="M1224" i="1"/>
  <c r="K1224" i="1"/>
  <c r="I1224" i="1"/>
  <c r="L1224" i="1"/>
  <c r="P1224" i="1"/>
  <c r="T1224" i="1"/>
  <c r="S1228" i="1"/>
  <c r="Q1228" i="1"/>
  <c r="O1228" i="1"/>
  <c r="M1228" i="1"/>
  <c r="K1228" i="1"/>
  <c r="I1228" i="1"/>
  <c r="L1228" i="1"/>
  <c r="P1228" i="1"/>
  <c r="T1228" i="1"/>
  <c r="S1232" i="1"/>
  <c r="Q1232" i="1"/>
  <c r="O1232" i="1"/>
  <c r="M1232" i="1"/>
  <c r="K1232" i="1"/>
  <c r="I1232" i="1"/>
  <c r="L1232" i="1"/>
  <c r="P1232" i="1"/>
  <c r="T1232" i="1"/>
  <c r="S1236" i="1"/>
  <c r="Q1236" i="1"/>
  <c r="O1236" i="1"/>
  <c r="M1236" i="1"/>
  <c r="K1236" i="1"/>
  <c r="I1236" i="1"/>
  <c r="L1236" i="1"/>
  <c r="P1236" i="1"/>
  <c r="T1236" i="1"/>
  <c r="S1242" i="1"/>
  <c r="Q1242" i="1"/>
  <c r="O1242" i="1"/>
  <c r="M1242" i="1"/>
  <c r="K1242" i="1"/>
  <c r="I1242" i="1"/>
  <c r="L1242" i="1"/>
  <c r="P1242" i="1"/>
  <c r="T1242" i="1"/>
  <c r="S1244" i="1"/>
  <c r="Q1244" i="1"/>
  <c r="O1244" i="1"/>
  <c r="M1244" i="1"/>
  <c r="K1244" i="1"/>
  <c r="I1244" i="1"/>
  <c r="L1244" i="1"/>
  <c r="P1244" i="1"/>
  <c r="T1244" i="1"/>
  <c r="S1250" i="1"/>
  <c r="Q1250" i="1"/>
  <c r="O1250" i="1"/>
  <c r="M1250" i="1"/>
  <c r="K1250" i="1"/>
  <c r="I1250" i="1"/>
  <c r="L1250" i="1"/>
  <c r="P1250" i="1"/>
  <c r="T1250" i="1"/>
  <c r="S1252" i="1"/>
  <c r="Q1252" i="1"/>
  <c r="O1252" i="1"/>
  <c r="M1252" i="1"/>
  <c r="K1252" i="1"/>
  <c r="I1252" i="1"/>
  <c r="S1254" i="1"/>
  <c r="Q1254" i="1"/>
  <c r="O1254" i="1"/>
  <c r="M1254" i="1"/>
  <c r="K1254" i="1"/>
  <c r="I1254" i="1"/>
  <c r="L1254" i="1"/>
  <c r="P1254" i="1"/>
  <c r="T1254" i="1"/>
  <c r="S1256" i="1"/>
  <c r="Q1256" i="1"/>
  <c r="O1256" i="1"/>
  <c r="M1256" i="1"/>
  <c r="K1256" i="1"/>
  <c r="I1256" i="1"/>
  <c r="L1256" i="1"/>
  <c r="P1256" i="1"/>
  <c r="T1256" i="1"/>
  <c r="S1262" i="1"/>
  <c r="Q1262" i="1"/>
  <c r="O1262" i="1"/>
  <c r="M1262" i="1"/>
  <c r="K1262" i="1"/>
  <c r="I1262" i="1"/>
  <c r="L1262" i="1"/>
  <c r="P1262" i="1"/>
  <c r="T1262" i="1"/>
  <c r="S1264" i="1"/>
  <c r="Q1264" i="1"/>
  <c r="O1264" i="1"/>
  <c r="M1264" i="1"/>
  <c r="K1264" i="1"/>
  <c r="I1264" i="1"/>
  <c r="S1266" i="1"/>
  <c r="Q1266" i="1"/>
  <c r="O1266" i="1"/>
  <c r="M1266" i="1"/>
  <c r="K1266" i="1"/>
  <c r="I1266" i="1"/>
  <c r="L1266" i="1"/>
  <c r="P1266" i="1"/>
  <c r="T1266" i="1"/>
  <c r="S1270" i="1"/>
  <c r="Q1270" i="1"/>
  <c r="O1270" i="1"/>
  <c r="M1270" i="1"/>
  <c r="K1270" i="1"/>
  <c r="I1270" i="1"/>
  <c r="L1270" i="1"/>
  <c r="P1270" i="1"/>
  <c r="T1270" i="1"/>
  <c r="S1272" i="1"/>
  <c r="Q1272" i="1"/>
  <c r="O1272" i="1"/>
  <c r="M1272" i="1"/>
  <c r="K1272" i="1"/>
  <c r="I1272" i="1"/>
  <c r="S1274" i="1"/>
  <c r="Q1274" i="1"/>
  <c r="O1274" i="1"/>
  <c r="M1274" i="1"/>
  <c r="K1274" i="1"/>
  <c r="I1274" i="1"/>
  <c r="L1274" i="1"/>
  <c r="P1274" i="1"/>
  <c r="T1274" i="1"/>
  <c r="S1276" i="1"/>
  <c r="Q1276" i="1"/>
  <c r="O1276" i="1"/>
  <c r="M1276" i="1"/>
  <c r="K1276" i="1"/>
  <c r="I1276" i="1"/>
  <c r="L1276" i="1"/>
  <c r="P1276" i="1"/>
  <c r="T1276" i="1"/>
  <c r="S1280" i="1"/>
  <c r="Q1280" i="1"/>
  <c r="O1280" i="1"/>
  <c r="M1280" i="1"/>
  <c r="K1280" i="1"/>
  <c r="I1280" i="1"/>
  <c r="L1280" i="1"/>
  <c r="P1280" i="1"/>
  <c r="T1280" i="1"/>
  <c r="S1284" i="1"/>
  <c r="Q1284" i="1"/>
  <c r="O1284" i="1"/>
  <c r="M1284" i="1"/>
  <c r="K1284" i="1"/>
  <c r="I1284" i="1"/>
  <c r="L1284" i="1"/>
  <c r="P1284" i="1"/>
  <c r="T1284" i="1"/>
  <c r="L1288" i="1"/>
  <c r="S1290" i="1"/>
  <c r="Q1290" i="1"/>
  <c r="O1290" i="1"/>
  <c r="M1290" i="1"/>
  <c r="K1290" i="1"/>
  <c r="I1290" i="1"/>
  <c r="L1290" i="1"/>
  <c r="P1290" i="1"/>
  <c r="T1290" i="1"/>
  <c r="S1292" i="1"/>
  <c r="Q1292" i="1"/>
  <c r="O1292" i="1"/>
  <c r="M1292" i="1"/>
  <c r="K1292" i="1"/>
  <c r="I1292" i="1"/>
  <c r="L1292" i="1"/>
  <c r="P1292" i="1"/>
  <c r="T1292" i="1"/>
  <c r="S1298" i="1"/>
  <c r="Q1298" i="1"/>
  <c r="O1298" i="1"/>
  <c r="M1298" i="1"/>
  <c r="K1298" i="1"/>
  <c r="I1298" i="1"/>
  <c r="L1298" i="1"/>
  <c r="P1298" i="1"/>
  <c r="T1298" i="1"/>
  <c r="S1300" i="1"/>
  <c r="Q1300" i="1"/>
  <c r="O1300" i="1"/>
  <c r="M1300" i="1"/>
  <c r="K1300" i="1"/>
  <c r="I1300" i="1"/>
  <c r="L1300" i="1"/>
  <c r="P1300" i="1"/>
  <c r="T1300" i="1"/>
  <c r="S1306" i="1"/>
  <c r="Q1306" i="1"/>
  <c r="O1306" i="1"/>
  <c r="M1306" i="1"/>
  <c r="K1306" i="1"/>
  <c r="I1306" i="1"/>
  <c r="L1306" i="1"/>
  <c r="P1306" i="1"/>
  <c r="T1306" i="1"/>
  <c r="S1308" i="1"/>
  <c r="Q1308" i="1"/>
  <c r="O1308" i="1"/>
  <c r="M1308" i="1"/>
  <c r="K1308" i="1"/>
  <c r="I1308" i="1"/>
  <c r="P1308" i="1"/>
  <c r="S1310" i="1"/>
  <c r="Q1310" i="1"/>
  <c r="O1310" i="1"/>
  <c r="M1310" i="1"/>
  <c r="K1310" i="1"/>
  <c r="I1310" i="1"/>
  <c r="L1310" i="1"/>
  <c r="P1310" i="1"/>
  <c r="T1310" i="1"/>
  <c r="S1312" i="1"/>
  <c r="Q1312" i="1"/>
  <c r="O1312" i="1"/>
  <c r="M1312" i="1"/>
  <c r="K1312" i="1"/>
  <c r="I1312" i="1"/>
  <c r="L1312" i="1"/>
  <c r="P1312" i="1"/>
  <c r="T1312" i="1"/>
  <c r="L1316" i="1"/>
  <c r="S1318" i="1"/>
  <c r="Q1318" i="1"/>
  <c r="O1318" i="1"/>
  <c r="M1318" i="1"/>
  <c r="K1318" i="1"/>
  <c r="I1318" i="1"/>
  <c r="L1318" i="1"/>
  <c r="P1318" i="1"/>
  <c r="T1318" i="1"/>
  <c r="S1322" i="1"/>
  <c r="Q1322" i="1"/>
  <c r="O1322" i="1"/>
  <c r="M1322" i="1"/>
  <c r="K1322" i="1"/>
  <c r="I1322" i="1"/>
  <c r="L1322" i="1"/>
  <c r="P1322" i="1"/>
  <c r="T1322" i="1"/>
  <c r="S1324" i="1"/>
  <c r="Q1324" i="1"/>
  <c r="O1324" i="1"/>
  <c r="M1324" i="1"/>
  <c r="K1324" i="1"/>
  <c r="I1324" i="1"/>
  <c r="L1324" i="1"/>
  <c r="P1324" i="1"/>
  <c r="T1324" i="1"/>
  <c r="S1328" i="1"/>
  <c r="Q1328" i="1"/>
  <c r="O1328" i="1"/>
  <c r="M1328" i="1"/>
  <c r="K1328" i="1"/>
  <c r="I1328" i="1"/>
  <c r="L1328" i="1"/>
  <c r="P1328" i="1"/>
  <c r="T1328" i="1"/>
  <c r="S1332" i="1"/>
  <c r="Q1332" i="1"/>
  <c r="O1332" i="1"/>
  <c r="M1332" i="1"/>
  <c r="K1332" i="1"/>
  <c r="I1332" i="1"/>
  <c r="L1332" i="1"/>
  <c r="P1332" i="1"/>
  <c r="T1332" i="1"/>
  <c r="S1336" i="1"/>
  <c r="Q1336" i="1"/>
  <c r="O1336" i="1"/>
  <c r="M1336" i="1"/>
  <c r="K1336" i="1"/>
  <c r="I1336" i="1"/>
  <c r="L1336" i="1"/>
  <c r="P1336" i="1"/>
  <c r="T1336" i="1"/>
  <c r="S1340" i="1"/>
  <c r="Q1340" i="1"/>
  <c r="O1340" i="1"/>
  <c r="M1340" i="1"/>
  <c r="K1340" i="1"/>
  <c r="I1340" i="1"/>
  <c r="L1340" i="1"/>
  <c r="P1340" i="1"/>
  <c r="T1340" i="1"/>
  <c r="L1344" i="1"/>
  <c r="P1344" i="1"/>
  <c r="T1344" i="1"/>
  <c r="S1350" i="1"/>
  <c r="Q1350" i="1"/>
  <c r="O1350" i="1"/>
  <c r="M1350" i="1"/>
  <c r="K1350" i="1"/>
  <c r="I1350" i="1"/>
  <c r="L1350" i="1"/>
  <c r="P1350" i="1"/>
  <c r="T1350" i="1"/>
  <c r="S1352" i="1"/>
  <c r="Q1352" i="1"/>
  <c r="O1352" i="1"/>
  <c r="M1352" i="1"/>
  <c r="K1352" i="1"/>
  <c r="I1352" i="1"/>
  <c r="L1352" i="1"/>
  <c r="P1352" i="1"/>
  <c r="T1352" i="1"/>
  <c r="S1356" i="1"/>
  <c r="Q1356" i="1"/>
  <c r="O1356" i="1"/>
  <c r="M1356" i="1"/>
  <c r="K1356" i="1"/>
  <c r="I1356" i="1"/>
  <c r="L1356" i="1"/>
  <c r="P1356" i="1"/>
  <c r="T1356" i="1"/>
  <c r="S2000" i="6"/>
  <c r="O2000" i="6"/>
  <c r="K2000" i="6"/>
  <c r="R1999" i="6"/>
  <c r="J1999" i="6"/>
  <c r="S1998" i="6"/>
  <c r="O1998" i="6"/>
  <c r="K1998" i="6"/>
  <c r="R1997" i="6"/>
  <c r="J1997" i="6"/>
  <c r="S1996" i="6"/>
  <c r="O1996" i="6"/>
  <c r="K1996" i="6"/>
  <c r="R1995" i="6"/>
  <c r="J1995" i="6"/>
  <c r="S1994" i="6"/>
  <c r="O1994" i="6"/>
  <c r="K1994" i="6"/>
  <c r="R1993" i="6"/>
  <c r="J1993" i="6"/>
  <c r="S1992" i="6"/>
  <c r="O1992" i="6"/>
  <c r="K1992" i="6"/>
  <c r="R1991" i="6"/>
  <c r="J1991" i="6"/>
  <c r="S1990" i="6"/>
  <c r="O1990" i="6"/>
  <c r="K1990" i="6"/>
  <c r="R1989" i="6"/>
  <c r="J1989" i="6"/>
  <c r="S1988" i="6"/>
  <c r="O1988" i="6"/>
  <c r="K1988" i="6"/>
  <c r="R1987" i="6"/>
  <c r="J1987" i="6"/>
  <c r="S1986" i="6"/>
  <c r="Q1986" i="6"/>
  <c r="O1986" i="6"/>
  <c r="M1986" i="6"/>
  <c r="K1986" i="6"/>
  <c r="Q2000" i="6"/>
  <c r="M2000" i="6"/>
  <c r="Q1998" i="6"/>
  <c r="M1998" i="6"/>
  <c r="Q1996" i="6"/>
  <c r="M1996" i="6"/>
  <c r="Q1994" i="6"/>
  <c r="M1994" i="6"/>
  <c r="Q1992" i="6"/>
  <c r="M1992" i="6"/>
  <c r="Q1990" i="6"/>
  <c r="M1990" i="6"/>
  <c r="Q1988" i="6"/>
  <c r="M1988" i="6"/>
  <c r="S1985" i="6"/>
  <c r="O1985" i="6"/>
  <c r="K1985" i="6"/>
  <c r="S1983" i="6"/>
  <c r="O1983" i="6"/>
  <c r="K1983" i="6"/>
  <c r="S1981" i="6"/>
  <c r="O1981" i="6"/>
  <c r="K1981" i="6"/>
  <c r="S1979" i="6"/>
  <c r="O1979" i="6"/>
  <c r="K1979" i="6"/>
  <c r="S1977" i="6"/>
  <c r="O1977" i="6"/>
  <c r="K1977" i="6"/>
  <c r="S1975" i="6"/>
  <c r="O1975" i="6"/>
  <c r="K1975" i="6"/>
  <c r="S1973" i="6"/>
  <c r="O1973" i="6"/>
  <c r="K1973" i="6"/>
  <c r="S1971" i="6"/>
  <c r="O1971" i="6"/>
  <c r="K1971" i="6"/>
  <c r="S1969" i="6"/>
  <c r="O1969" i="6"/>
  <c r="K1969" i="6"/>
  <c r="S1967" i="6"/>
  <c r="O1967" i="6"/>
  <c r="K1967" i="6"/>
  <c r="Q1985" i="6"/>
  <c r="Q1983" i="6"/>
  <c r="Q1981" i="6"/>
  <c r="Q1979" i="6"/>
  <c r="Q1977" i="6"/>
  <c r="Q1975" i="6"/>
  <c r="Q1973" i="6"/>
  <c r="Q1971" i="6"/>
  <c r="Q1969" i="6"/>
  <c r="Q1967" i="6"/>
  <c r="Q1964" i="6"/>
  <c r="M1964" i="6"/>
  <c r="Q1962" i="6"/>
  <c r="M1962" i="6"/>
  <c r="Q1960" i="6"/>
  <c r="M1960" i="6"/>
  <c r="Q1958" i="6"/>
  <c r="M1958" i="6"/>
  <c r="Q1956" i="6"/>
  <c r="M1956" i="6"/>
  <c r="Q1954" i="6"/>
  <c r="M1954" i="6"/>
  <c r="Q1952" i="6"/>
  <c r="M1952" i="6"/>
  <c r="Q1950" i="6"/>
  <c r="M1950" i="6"/>
  <c r="Q1948" i="6"/>
  <c r="M1948" i="6"/>
  <c r="Q1946" i="6"/>
  <c r="M1946" i="6"/>
  <c r="Q1944" i="6"/>
  <c r="M1944" i="6"/>
  <c r="Q1942" i="6"/>
  <c r="M1942" i="6"/>
  <c r="Q1940" i="6"/>
  <c r="M1940" i="6"/>
  <c r="Q1938" i="6"/>
  <c r="M1938" i="6"/>
  <c r="Q1936" i="6"/>
  <c r="M1936" i="6"/>
  <c r="Q1934" i="6"/>
  <c r="M1934" i="6"/>
  <c r="Q1932" i="6"/>
  <c r="M1932" i="6"/>
  <c r="Q1930" i="6"/>
  <c r="M1930" i="6"/>
  <c r="Q1928" i="6"/>
  <c r="M1928" i="6"/>
  <c r="Q1926" i="6"/>
  <c r="M1926" i="6"/>
  <c r="Q1924" i="6"/>
  <c r="M1924" i="6"/>
  <c r="Q1922" i="6"/>
  <c r="M1922" i="6"/>
  <c r="M1985" i="6"/>
  <c r="P1982" i="6"/>
  <c r="M1981" i="6"/>
  <c r="P1978" i="6"/>
  <c r="M1977" i="6"/>
  <c r="P1974" i="6"/>
  <c r="M1973" i="6"/>
  <c r="P1970" i="6"/>
  <c r="M1969" i="6"/>
  <c r="P1966" i="6"/>
  <c r="O1964" i="6"/>
  <c r="R1963" i="6"/>
  <c r="J1963" i="6"/>
  <c r="S1962" i="6"/>
  <c r="K1962" i="6"/>
  <c r="O1960" i="6"/>
  <c r="R1959" i="6"/>
  <c r="J1959" i="6"/>
  <c r="S1958" i="6"/>
  <c r="K1958" i="6"/>
  <c r="O1956" i="6"/>
  <c r="R1955" i="6"/>
  <c r="J1955" i="6"/>
  <c r="S1954" i="6"/>
  <c r="K1954" i="6"/>
  <c r="O1952" i="6"/>
  <c r="R1951" i="6"/>
  <c r="J1951" i="6"/>
  <c r="S1950" i="6"/>
  <c r="K1950" i="6"/>
  <c r="O1948" i="6"/>
  <c r="R1947" i="6"/>
  <c r="J1947" i="6"/>
  <c r="S1946" i="6"/>
  <c r="K1946" i="6"/>
  <c r="O1944" i="6"/>
  <c r="R1943" i="6"/>
  <c r="J1943" i="6"/>
  <c r="S1942" i="6"/>
  <c r="K1942" i="6"/>
  <c r="O1940" i="6"/>
  <c r="R1939" i="6"/>
  <c r="J1939" i="6"/>
  <c r="S1938" i="6"/>
  <c r="K1938" i="6"/>
  <c r="O1936" i="6"/>
  <c r="R1935" i="6"/>
  <c r="J1935" i="6"/>
  <c r="S1934" i="6"/>
  <c r="K1934" i="6"/>
  <c r="O1932" i="6"/>
  <c r="R1931" i="6"/>
  <c r="J1931" i="6"/>
  <c r="S1930" i="6"/>
  <c r="K1930" i="6"/>
  <c r="O1928" i="6"/>
  <c r="R1927" i="6"/>
  <c r="J1927" i="6"/>
  <c r="S1926" i="6"/>
  <c r="K1926" i="6"/>
  <c r="O1924" i="6"/>
  <c r="R1923" i="6"/>
  <c r="J1923" i="6"/>
  <c r="S1922" i="6"/>
  <c r="M1983" i="6"/>
  <c r="M1979" i="6"/>
  <c r="M1975" i="6"/>
  <c r="M1971" i="6"/>
  <c r="M1967" i="6"/>
  <c r="J1965" i="6"/>
  <c r="S1964" i="6"/>
  <c r="K1964" i="6"/>
  <c r="O1962" i="6"/>
  <c r="R1961" i="6"/>
  <c r="J1961" i="6"/>
  <c r="S1960" i="6"/>
  <c r="K1960" i="6"/>
  <c r="O1958" i="6"/>
  <c r="R1957" i="6"/>
  <c r="J1957" i="6"/>
  <c r="S1956" i="6"/>
  <c r="K1956" i="6"/>
  <c r="O1954" i="6"/>
  <c r="R1953" i="6"/>
  <c r="J1953" i="6"/>
  <c r="S1952" i="6"/>
  <c r="K1952" i="6"/>
  <c r="O1950" i="6"/>
  <c r="R1949" i="6"/>
  <c r="J1949" i="6"/>
  <c r="S1948" i="6"/>
  <c r="K1948" i="6"/>
  <c r="O1946" i="6"/>
  <c r="R1945" i="6"/>
  <c r="J1945" i="6"/>
  <c r="S1944" i="6"/>
  <c r="K1944" i="6"/>
  <c r="O1942" i="6"/>
  <c r="R1941" i="6"/>
  <c r="J1941" i="6"/>
  <c r="S1940" i="6"/>
  <c r="K1940" i="6"/>
  <c r="O1938" i="6"/>
  <c r="R1937" i="6"/>
  <c r="J1937" i="6"/>
  <c r="S1936" i="6"/>
  <c r="K1936" i="6"/>
  <c r="O1934" i="6"/>
  <c r="R1933" i="6"/>
  <c r="J1933" i="6"/>
  <c r="S1932" i="6"/>
  <c r="K1932" i="6"/>
  <c r="O1930" i="6"/>
  <c r="R1929" i="6"/>
  <c r="J1929" i="6"/>
  <c r="S1928" i="6"/>
  <c r="K1928" i="6"/>
  <c r="O1926" i="6"/>
  <c r="R1925" i="6"/>
  <c r="J1925" i="6"/>
  <c r="S1924" i="6"/>
  <c r="K1924" i="6"/>
  <c r="O1922" i="6"/>
  <c r="R1921" i="6"/>
  <c r="J1921" i="6"/>
  <c r="S1919" i="6"/>
  <c r="O1919" i="6"/>
  <c r="K1919" i="6"/>
  <c r="K1922" i="6"/>
  <c r="L1920" i="6"/>
  <c r="Q1919" i="6"/>
  <c r="Q1917" i="6"/>
  <c r="M1917" i="6"/>
  <c r="Q1915" i="6"/>
  <c r="M1915" i="6"/>
  <c r="Q1913" i="6"/>
  <c r="M1913" i="6"/>
  <c r="Q1911" i="6"/>
  <c r="M1911" i="6"/>
  <c r="Q1909" i="6"/>
  <c r="M1909" i="6"/>
  <c r="Q1907" i="6"/>
  <c r="M1907" i="6"/>
  <c r="Q1905" i="6"/>
  <c r="M1905" i="6"/>
  <c r="Q1903" i="6"/>
  <c r="M1903" i="6"/>
  <c r="Q1901" i="6"/>
  <c r="M1901" i="6"/>
  <c r="Q1899" i="6"/>
  <c r="M1899" i="6"/>
  <c r="Q1897" i="6"/>
  <c r="M1897" i="6"/>
  <c r="Q1895" i="6"/>
  <c r="M1895" i="6"/>
  <c r="Q1893" i="6"/>
  <c r="M1893" i="6"/>
  <c r="Q1891" i="6"/>
  <c r="M1891" i="6"/>
  <c r="Q1889" i="6"/>
  <c r="M1889" i="6"/>
  <c r="Q1887" i="6"/>
  <c r="M1887" i="6"/>
  <c r="Q1885" i="6"/>
  <c r="M1885" i="6"/>
  <c r="Q1883" i="6"/>
  <c r="M1883" i="6"/>
  <c r="Q1881" i="6"/>
  <c r="M1881" i="6"/>
  <c r="Q1879" i="6"/>
  <c r="M1879" i="6"/>
  <c r="Q1877" i="6"/>
  <c r="M1877" i="6"/>
  <c r="Q1875" i="6"/>
  <c r="M1875" i="6"/>
  <c r="Q1873" i="6"/>
  <c r="M1873" i="6"/>
  <c r="Q1871" i="6"/>
  <c r="M1871" i="6"/>
  <c r="Q1869" i="6"/>
  <c r="M1869" i="6"/>
  <c r="Q1867" i="6"/>
  <c r="M1867" i="6"/>
  <c r="Q1865" i="6"/>
  <c r="M1865" i="6"/>
  <c r="Q1863" i="6"/>
  <c r="M1863" i="6"/>
  <c r="Q1861" i="6"/>
  <c r="M1861" i="6"/>
  <c r="Q1859" i="6"/>
  <c r="M1859" i="6"/>
  <c r="Q1857" i="6"/>
  <c r="M1857" i="6"/>
  <c r="Q1855" i="6"/>
  <c r="M1855" i="6"/>
  <c r="Q1853" i="6"/>
  <c r="M1853" i="6"/>
  <c r="Q1851" i="6"/>
  <c r="M1851" i="6"/>
  <c r="Q1849" i="6"/>
  <c r="M1849" i="6"/>
  <c r="Q1847" i="6"/>
  <c r="M1847" i="6"/>
  <c r="Q1845" i="6"/>
  <c r="M1845" i="6"/>
  <c r="Q1843" i="6"/>
  <c r="M1843" i="6"/>
  <c r="Q1841" i="6"/>
  <c r="M1841" i="6"/>
  <c r="Q1839" i="6"/>
  <c r="M1839" i="6"/>
  <c r="Q1837" i="6"/>
  <c r="M1837" i="6"/>
  <c r="Q1835" i="6"/>
  <c r="M1835" i="6"/>
  <c r="Q1833" i="6"/>
  <c r="M1833" i="6"/>
  <c r="M1919" i="6"/>
  <c r="S1917" i="6"/>
  <c r="O1917" i="6"/>
  <c r="K1917" i="6"/>
  <c r="S1915" i="6"/>
  <c r="O1915" i="6"/>
  <c r="K1915" i="6"/>
  <c r="S1913" i="6"/>
  <c r="O1913" i="6"/>
  <c r="K1913" i="6"/>
  <c r="S1911" i="6"/>
  <c r="O1911" i="6"/>
  <c r="K1911" i="6"/>
  <c r="S1909" i="6"/>
  <c r="O1909" i="6"/>
  <c r="K1909" i="6"/>
  <c r="R1908" i="6"/>
  <c r="J1908" i="6"/>
  <c r="S1907" i="6"/>
  <c r="O1907" i="6"/>
  <c r="K1907" i="6"/>
  <c r="R1906" i="6"/>
  <c r="J1906" i="6"/>
  <c r="S1905" i="6"/>
  <c r="O1905" i="6"/>
  <c r="K1905" i="6"/>
  <c r="R1904" i="6"/>
  <c r="J1904" i="6"/>
  <c r="S1903" i="6"/>
  <c r="O1903" i="6"/>
  <c r="K1903" i="6"/>
  <c r="R1902" i="6"/>
  <c r="J1902" i="6"/>
  <c r="S1901" i="6"/>
  <c r="O1901" i="6"/>
  <c r="K1901" i="6"/>
  <c r="R1900" i="6"/>
  <c r="J1900" i="6"/>
  <c r="S1899" i="6"/>
  <c r="O1899" i="6"/>
  <c r="K1899" i="6"/>
  <c r="R1898" i="6"/>
  <c r="J1898" i="6"/>
  <c r="S1897" i="6"/>
  <c r="O1897" i="6"/>
  <c r="K1897" i="6"/>
  <c r="R1896" i="6"/>
  <c r="J1896" i="6"/>
  <c r="S1895" i="6"/>
  <c r="O1895" i="6"/>
  <c r="K1895" i="6"/>
  <c r="R1894" i="6"/>
  <c r="J1894" i="6"/>
  <c r="S1893" i="6"/>
  <c r="O1893" i="6"/>
  <c r="K1893" i="6"/>
  <c r="R1892" i="6"/>
  <c r="J1892" i="6"/>
  <c r="S1891" i="6"/>
  <c r="O1891" i="6"/>
  <c r="K1891" i="6"/>
  <c r="R1890" i="6"/>
  <c r="J1890" i="6"/>
  <c r="S1889" i="6"/>
  <c r="O1889" i="6"/>
  <c r="K1889" i="6"/>
  <c r="R1888" i="6"/>
  <c r="J1888" i="6"/>
  <c r="S1887" i="6"/>
  <c r="O1887" i="6"/>
  <c r="K1887" i="6"/>
  <c r="R1886" i="6"/>
  <c r="J1886" i="6"/>
  <c r="S1885" i="6"/>
  <c r="O1885" i="6"/>
  <c r="K1885" i="6"/>
  <c r="R1884" i="6"/>
  <c r="J1884" i="6"/>
  <c r="S1883" i="6"/>
  <c r="O1883" i="6"/>
  <c r="K1883" i="6"/>
  <c r="R1882" i="6"/>
  <c r="J1882" i="6"/>
  <c r="S1881" i="6"/>
  <c r="O1881" i="6"/>
  <c r="K1881" i="6"/>
  <c r="R1880" i="6"/>
  <c r="J1880" i="6"/>
  <c r="S1879" i="6"/>
  <c r="O1879" i="6"/>
  <c r="K1879" i="6"/>
  <c r="R1878" i="6"/>
  <c r="J1878" i="6"/>
  <c r="S1877" i="6"/>
  <c r="O1877" i="6"/>
  <c r="K1877" i="6"/>
  <c r="R1876" i="6"/>
  <c r="J1876" i="6"/>
  <c r="S1875" i="6"/>
  <c r="O1875" i="6"/>
  <c r="K1875" i="6"/>
  <c r="R1874" i="6"/>
  <c r="J1874" i="6"/>
  <c r="S1873" i="6"/>
  <c r="O1873" i="6"/>
  <c r="K1873" i="6"/>
  <c r="R1872" i="6"/>
  <c r="J1872" i="6"/>
  <c r="S1871" i="6"/>
  <c r="O1871" i="6"/>
  <c r="K1871" i="6"/>
  <c r="R1870" i="6"/>
  <c r="J1870" i="6"/>
  <c r="S1869" i="6"/>
  <c r="O1869" i="6"/>
  <c r="K1869" i="6"/>
  <c r="R1868" i="6"/>
  <c r="J1868" i="6"/>
  <c r="S1867" i="6"/>
  <c r="O1867" i="6"/>
  <c r="K1867" i="6"/>
  <c r="R1866" i="6"/>
  <c r="J1866" i="6"/>
  <c r="S1865" i="6"/>
  <c r="O1865" i="6"/>
  <c r="K1865" i="6"/>
  <c r="R1864" i="6"/>
  <c r="J1864" i="6"/>
  <c r="S1863" i="6"/>
  <c r="K1863" i="6"/>
  <c r="O1861" i="6"/>
  <c r="R1860" i="6"/>
  <c r="J1860" i="6"/>
  <c r="S1859" i="6"/>
  <c r="K1859" i="6"/>
  <c r="O1857" i="6"/>
  <c r="R1856" i="6"/>
  <c r="J1856" i="6"/>
  <c r="S1855" i="6"/>
  <c r="K1855" i="6"/>
  <c r="O1853" i="6"/>
  <c r="R1852" i="6"/>
  <c r="J1852" i="6"/>
  <c r="S1851" i="6"/>
  <c r="K1851" i="6"/>
  <c r="O1849" i="6"/>
  <c r="R1848" i="6"/>
  <c r="J1848" i="6"/>
  <c r="S1847" i="6"/>
  <c r="K1847" i="6"/>
  <c r="O1845" i="6"/>
  <c r="R1844" i="6"/>
  <c r="J1844" i="6"/>
  <c r="S1843" i="6"/>
  <c r="K1843" i="6"/>
  <c r="O1841" i="6"/>
  <c r="R1840" i="6"/>
  <c r="J1840" i="6"/>
  <c r="S1839" i="6"/>
  <c r="K1839" i="6"/>
  <c r="O1837" i="6"/>
  <c r="R1836" i="6"/>
  <c r="J1836" i="6"/>
  <c r="S1835" i="6"/>
  <c r="K1835" i="6"/>
  <c r="O1833" i="6"/>
  <c r="R1832" i="6"/>
  <c r="J1832" i="6"/>
  <c r="Q1830" i="6"/>
  <c r="M1830" i="6"/>
  <c r="Q1828" i="6"/>
  <c r="M1828" i="6"/>
  <c r="Q1826" i="6"/>
  <c r="M1826" i="6"/>
  <c r="Q1824" i="6"/>
  <c r="M1824" i="6"/>
  <c r="Q1822" i="6"/>
  <c r="M1822" i="6"/>
  <c r="Q1820" i="6"/>
  <c r="M1820" i="6"/>
  <c r="Q1818" i="6"/>
  <c r="M1818" i="6"/>
  <c r="Q1816" i="6"/>
  <c r="M1816" i="6"/>
  <c r="Q1814" i="6"/>
  <c r="M1814" i="6"/>
  <c r="Q1812" i="6"/>
  <c r="M1812" i="6"/>
  <c r="Q1810" i="6"/>
  <c r="M1810" i="6"/>
  <c r="Q1808" i="6"/>
  <c r="M1808" i="6"/>
  <c r="Q1806" i="6"/>
  <c r="M1806" i="6"/>
  <c r="Q1804" i="6"/>
  <c r="M1804" i="6"/>
  <c r="Q1802" i="6"/>
  <c r="M1802" i="6"/>
  <c r="Q1800" i="6"/>
  <c r="M1800" i="6"/>
  <c r="Q1798" i="6"/>
  <c r="M1798" i="6"/>
  <c r="Q1796" i="6"/>
  <c r="M1796" i="6"/>
  <c r="Q1794" i="6"/>
  <c r="M1794" i="6"/>
  <c r="Q1792" i="6"/>
  <c r="M1792" i="6"/>
  <c r="Q1790" i="6"/>
  <c r="M1790" i="6"/>
  <c r="Q1788" i="6"/>
  <c r="M1788" i="6"/>
  <c r="Q1786" i="6"/>
  <c r="M1786" i="6"/>
  <c r="Q1784" i="6"/>
  <c r="M1784" i="6"/>
  <c r="Q1782" i="6"/>
  <c r="M1782" i="6"/>
  <c r="Q1780" i="6"/>
  <c r="M1780" i="6"/>
  <c r="Q1778" i="6"/>
  <c r="M1778" i="6"/>
  <c r="Q1776" i="6"/>
  <c r="M1776" i="6"/>
  <c r="Q1774" i="6"/>
  <c r="M1774" i="6"/>
  <c r="Q1772" i="6"/>
  <c r="M1772" i="6"/>
  <c r="Q1770" i="6"/>
  <c r="M1770" i="6"/>
  <c r="Q1768" i="6"/>
  <c r="M1768" i="6"/>
  <c r="Q1766" i="6"/>
  <c r="M1766" i="6"/>
  <c r="Q1764" i="6"/>
  <c r="M1764" i="6"/>
  <c r="Q1762" i="6"/>
  <c r="M1762" i="6"/>
  <c r="Q1760" i="6"/>
  <c r="M1760" i="6"/>
  <c r="Q1758" i="6"/>
  <c r="M1758" i="6"/>
  <c r="Q1756" i="6"/>
  <c r="M1756" i="6"/>
  <c r="Q1754" i="6"/>
  <c r="M1754" i="6"/>
  <c r="Q1752" i="6"/>
  <c r="M1752" i="6"/>
  <c r="Q1750" i="6"/>
  <c r="M1750" i="6"/>
  <c r="Q1748" i="6"/>
  <c r="M1748" i="6"/>
  <c r="Q1746" i="6"/>
  <c r="M1746" i="6"/>
  <c r="Q1744" i="6"/>
  <c r="M1744" i="6"/>
  <c r="Q1742" i="6"/>
  <c r="M1742" i="6"/>
  <c r="Q1740" i="6"/>
  <c r="M1740" i="6"/>
  <c r="Q1738" i="6"/>
  <c r="M1738" i="6"/>
  <c r="Q1736" i="6"/>
  <c r="M1736" i="6"/>
  <c r="Q1734" i="6"/>
  <c r="M1734" i="6"/>
  <c r="Q1732" i="6"/>
  <c r="M1732" i="6"/>
  <c r="Q1730" i="6"/>
  <c r="M1730" i="6"/>
  <c r="Q1728" i="6"/>
  <c r="M1728" i="6"/>
  <c r="Q1726" i="6"/>
  <c r="M1726" i="6"/>
  <c r="Q1724" i="6"/>
  <c r="M1724" i="6"/>
  <c r="Q1722" i="6"/>
  <c r="M1722" i="6"/>
  <c r="Q1720" i="6"/>
  <c r="M1720" i="6"/>
  <c r="Q1718" i="6"/>
  <c r="M1718" i="6"/>
  <c r="Q1716" i="6"/>
  <c r="M1716" i="6"/>
  <c r="Q1714" i="6"/>
  <c r="M1714" i="6"/>
  <c r="Q1712" i="6"/>
  <c r="M1712" i="6"/>
  <c r="Q1710" i="6"/>
  <c r="M1710" i="6"/>
  <c r="Q1708" i="6"/>
  <c r="M1708" i="6"/>
  <c r="Q1706" i="6"/>
  <c r="M1706" i="6"/>
  <c r="Q1704" i="6"/>
  <c r="M1704" i="6"/>
  <c r="Q1702" i="6"/>
  <c r="M1702" i="6"/>
  <c r="Q1700" i="6"/>
  <c r="M1700" i="6"/>
  <c r="Q1698" i="6"/>
  <c r="M1698" i="6"/>
  <c r="Q1696" i="6"/>
  <c r="M1696" i="6"/>
  <c r="Q1694" i="6"/>
  <c r="M1694" i="6"/>
  <c r="Q1692" i="6"/>
  <c r="M1692" i="6"/>
  <c r="Q1690" i="6"/>
  <c r="M1690" i="6"/>
  <c r="Q1688" i="6"/>
  <c r="M1688" i="6"/>
  <c r="Q1686" i="6"/>
  <c r="M1686" i="6"/>
  <c r="O1863" i="6"/>
  <c r="R1862" i="6"/>
  <c r="J1862" i="6"/>
  <c r="S1861" i="6"/>
  <c r="K1861" i="6"/>
  <c r="O1859" i="6"/>
  <c r="R1858" i="6"/>
  <c r="J1858" i="6"/>
  <c r="S1857" i="6"/>
  <c r="K1857" i="6"/>
  <c r="O1855" i="6"/>
  <c r="R1854" i="6"/>
  <c r="J1854" i="6"/>
  <c r="S1853" i="6"/>
  <c r="K1853" i="6"/>
  <c r="O1851" i="6"/>
  <c r="R1850" i="6"/>
  <c r="J1850" i="6"/>
  <c r="S1849" i="6"/>
  <c r="K1849" i="6"/>
  <c r="O1847" i="6"/>
  <c r="R1846" i="6"/>
  <c r="J1846" i="6"/>
  <c r="S1845" i="6"/>
  <c r="K1845" i="6"/>
  <c r="O1843" i="6"/>
  <c r="R1842" i="6"/>
  <c r="J1842" i="6"/>
  <c r="S1841" i="6"/>
  <c r="K1841" i="6"/>
  <c r="O1839" i="6"/>
  <c r="R1838" i="6"/>
  <c r="J1838" i="6"/>
  <c r="S1837" i="6"/>
  <c r="K1837" i="6"/>
  <c r="O1835" i="6"/>
  <c r="R1834" i="6"/>
  <c r="J1834" i="6"/>
  <c r="S1833" i="6"/>
  <c r="K1833" i="6"/>
  <c r="S1830" i="6"/>
  <c r="O1830" i="6"/>
  <c r="K1830" i="6"/>
  <c r="R1829" i="6"/>
  <c r="J1829" i="6"/>
  <c r="S1828" i="6"/>
  <c r="O1828" i="6"/>
  <c r="K1828" i="6"/>
  <c r="R1827" i="6"/>
  <c r="J1827" i="6"/>
  <c r="S1826" i="6"/>
  <c r="O1826" i="6"/>
  <c r="K1826" i="6"/>
  <c r="R1825" i="6"/>
  <c r="J1825" i="6"/>
  <c r="S1824" i="6"/>
  <c r="O1824" i="6"/>
  <c r="K1824" i="6"/>
  <c r="R1823" i="6"/>
  <c r="J1823" i="6"/>
  <c r="S1822" i="6"/>
  <c r="O1822" i="6"/>
  <c r="K1822" i="6"/>
  <c r="R1821" i="6"/>
  <c r="J1821" i="6"/>
  <c r="S1820" i="6"/>
  <c r="O1820" i="6"/>
  <c r="K1820" i="6"/>
  <c r="R1819" i="6"/>
  <c r="J1819" i="6"/>
  <c r="S1818" i="6"/>
  <c r="O1818" i="6"/>
  <c r="K1818" i="6"/>
  <c r="R1817" i="6"/>
  <c r="J1817" i="6"/>
  <c r="S1816" i="6"/>
  <c r="O1816" i="6"/>
  <c r="K1816" i="6"/>
  <c r="R1815" i="6"/>
  <c r="J1815" i="6"/>
  <c r="S1814" i="6"/>
  <c r="O1814" i="6"/>
  <c r="K1814" i="6"/>
  <c r="R1813" i="6"/>
  <c r="J1813" i="6"/>
  <c r="S1812" i="6"/>
  <c r="O1812" i="6"/>
  <c r="K1812" i="6"/>
  <c r="R1811" i="6"/>
  <c r="J1811" i="6"/>
  <c r="S1810" i="6"/>
  <c r="O1810" i="6"/>
  <c r="K1810" i="6"/>
  <c r="R1809" i="6"/>
  <c r="J1809" i="6"/>
  <c r="S1808" i="6"/>
  <c r="O1808" i="6"/>
  <c r="K1808" i="6"/>
  <c r="R1807" i="6"/>
  <c r="J1807" i="6"/>
  <c r="S1806" i="6"/>
  <c r="O1806" i="6"/>
  <c r="K1806" i="6"/>
  <c r="R1805" i="6"/>
  <c r="J1805" i="6"/>
  <c r="S1804" i="6"/>
  <c r="O1804" i="6"/>
  <c r="K1804" i="6"/>
  <c r="R1803" i="6"/>
  <c r="J1803" i="6"/>
  <c r="S1802" i="6"/>
  <c r="O1802" i="6"/>
  <c r="K1802" i="6"/>
  <c r="R1801" i="6"/>
  <c r="J1801" i="6"/>
  <c r="S1800" i="6"/>
  <c r="O1800" i="6"/>
  <c r="K1800" i="6"/>
  <c r="R1799" i="6"/>
  <c r="J1799" i="6"/>
  <c r="S1798" i="6"/>
  <c r="O1798" i="6"/>
  <c r="K1798" i="6"/>
  <c r="R1797" i="6"/>
  <c r="J1797" i="6"/>
  <c r="S1796" i="6"/>
  <c r="O1796" i="6"/>
  <c r="K1796" i="6"/>
  <c r="R1795" i="6"/>
  <c r="J1795" i="6"/>
  <c r="S1794" i="6"/>
  <c r="O1794" i="6"/>
  <c r="K1794" i="6"/>
  <c r="R1793" i="6"/>
  <c r="J1793" i="6"/>
  <c r="S1792" i="6"/>
  <c r="O1792" i="6"/>
  <c r="K1792" i="6"/>
  <c r="R1791" i="6"/>
  <c r="J1791" i="6"/>
  <c r="S1790" i="6"/>
  <c r="O1790" i="6"/>
  <c r="K1790" i="6"/>
  <c r="R1789" i="6"/>
  <c r="J1789" i="6"/>
  <c r="S1788" i="6"/>
  <c r="O1788" i="6"/>
  <c r="K1788" i="6"/>
  <c r="R1787" i="6"/>
  <c r="J1787" i="6"/>
  <c r="S1786" i="6"/>
  <c r="O1786" i="6"/>
  <c r="K1786" i="6"/>
  <c r="R1785" i="6"/>
  <c r="J1785" i="6"/>
  <c r="S1784" i="6"/>
  <c r="O1784" i="6"/>
  <c r="K1784" i="6"/>
  <c r="R1783" i="6"/>
  <c r="J1783" i="6"/>
  <c r="S1782" i="6"/>
  <c r="O1782" i="6"/>
  <c r="K1782" i="6"/>
  <c r="R1781" i="6"/>
  <c r="J1781" i="6"/>
  <c r="S1780" i="6"/>
  <c r="O1780" i="6"/>
  <c r="K1780" i="6"/>
  <c r="R1779" i="6"/>
  <c r="J1779" i="6"/>
  <c r="S1778" i="6"/>
  <c r="O1778" i="6"/>
  <c r="K1778" i="6"/>
  <c r="R1777" i="6"/>
  <c r="J1777" i="6"/>
  <c r="S1776" i="6"/>
  <c r="O1776" i="6"/>
  <c r="K1776" i="6"/>
  <c r="R1775" i="6"/>
  <c r="J1775" i="6"/>
  <c r="S1774" i="6"/>
  <c r="O1774" i="6"/>
  <c r="K1774" i="6"/>
  <c r="R1773" i="6"/>
  <c r="J1773" i="6"/>
  <c r="S1772" i="6"/>
  <c r="O1772" i="6"/>
  <c r="K1772" i="6"/>
  <c r="R1771" i="6"/>
  <c r="J1771" i="6"/>
  <c r="S1770" i="6"/>
  <c r="O1770" i="6"/>
  <c r="K1770" i="6"/>
  <c r="R1769" i="6"/>
  <c r="J1769" i="6"/>
  <c r="S1768" i="6"/>
  <c r="O1768" i="6"/>
  <c r="K1768" i="6"/>
  <c r="R1767" i="6"/>
  <c r="J1767" i="6"/>
  <c r="S1766" i="6"/>
  <c r="O1766" i="6"/>
  <c r="K1766" i="6"/>
  <c r="R1765" i="6"/>
  <c r="J1765" i="6"/>
  <c r="S1764" i="6"/>
  <c r="O1764" i="6"/>
  <c r="K1764" i="6"/>
  <c r="R1763" i="6"/>
  <c r="J1763" i="6"/>
  <c r="S1762" i="6"/>
  <c r="O1762" i="6"/>
  <c r="K1762" i="6"/>
  <c r="O1760" i="6"/>
  <c r="R1759" i="6"/>
  <c r="J1759" i="6"/>
  <c r="S1758" i="6"/>
  <c r="K1758" i="6"/>
  <c r="O1756" i="6"/>
  <c r="R1755" i="6"/>
  <c r="J1755" i="6"/>
  <c r="S1754" i="6"/>
  <c r="K1754" i="6"/>
  <c r="O1752" i="6"/>
  <c r="R1751" i="6"/>
  <c r="J1751" i="6"/>
  <c r="S1750" i="6"/>
  <c r="K1750" i="6"/>
  <c r="O1748" i="6"/>
  <c r="R1747" i="6"/>
  <c r="J1747" i="6"/>
  <c r="S1746" i="6"/>
  <c r="K1746" i="6"/>
  <c r="O1744" i="6"/>
  <c r="R1743" i="6"/>
  <c r="J1743" i="6"/>
  <c r="S1742" i="6"/>
  <c r="K1742" i="6"/>
  <c r="O1740" i="6"/>
  <c r="R1739" i="6"/>
  <c r="J1739" i="6"/>
  <c r="S1738" i="6"/>
  <c r="K1738" i="6"/>
  <c r="O1736" i="6"/>
  <c r="R1735" i="6"/>
  <c r="J1735" i="6"/>
  <c r="S1734" i="6"/>
  <c r="K1734" i="6"/>
  <c r="O1732" i="6"/>
  <c r="R1731" i="6"/>
  <c r="J1731" i="6"/>
  <c r="S1730" i="6"/>
  <c r="K1730" i="6"/>
  <c r="O1728" i="6"/>
  <c r="R1727" i="6"/>
  <c r="J1727" i="6"/>
  <c r="S1726" i="6"/>
  <c r="K1726" i="6"/>
  <c r="O1724" i="6"/>
  <c r="R1723" i="6"/>
  <c r="J1723" i="6"/>
  <c r="S1722" i="6"/>
  <c r="K1722" i="6"/>
  <c r="O1720" i="6"/>
  <c r="R1719" i="6"/>
  <c r="J1719" i="6"/>
  <c r="S1718" i="6"/>
  <c r="K1718" i="6"/>
  <c r="O1716" i="6"/>
  <c r="R1715" i="6"/>
  <c r="J1715" i="6"/>
  <c r="S1714" i="6"/>
  <c r="K1714" i="6"/>
  <c r="O1712" i="6"/>
  <c r="R1711" i="6"/>
  <c r="J1711" i="6"/>
  <c r="S1710" i="6"/>
  <c r="K1710" i="6"/>
  <c r="O1708" i="6"/>
  <c r="R1707" i="6"/>
  <c r="J1707" i="6"/>
  <c r="S1706" i="6"/>
  <c r="K1706" i="6"/>
  <c r="O1704" i="6"/>
  <c r="R1703" i="6"/>
  <c r="J1703" i="6"/>
  <c r="S1702" i="6"/>
  <c r="K1702" i="6"/>
  <c r="O1700" i="6"/>
  <c r="R1699" i="6"/>
  <c r="J1699" i="6"/>
  <c r="S1698" i="6"/>
  <c r="K1698" i="6"/>
  <c r="O1696" i="6"/>
  <c r="R1695" i="6"/>
  <c r="J1695" i="6"/>
  <c r="S1694" i="6"/>
  <c r="K1694" i="6"/>
  <c r="O1692" i="6"/>
  <c r="R1691" i="6"/>
  <c r="J1691" i="6"/>
  <c r="S1690" i="6"/>
  <c r="K1690" i="6"/>
  <c r="O1688" i="6"/>
  <c r="R1687" i="6"/>
  <c r="J1687" i="6"/>
  <c r="S1686" i="6"/>
  <c r="K1686" i="6"/>
  <c r="J1685" i="6"/>
  <c r="S1684" i="6"/>
  <c r="O1684" i="6"/>
  <c r="K1684" i="6"/>
  <c r="R1683" i="6"/>
  <c r="J1683" i="6"/>
  <c r="S1682" i="6"/>
  <c r="O1682" i="6"/>
  <c r="K1682" i="6"/>
  <c r="R1681" i="6"/>
  <c r="J1681" i="6"/>
  <c r="S1680" i="6"/>
  <c r="O1680" i="6"/>
  <c r="K1680" i="6"/>
  <c r="R1679" i="6"/>
  <c r="J1679" i="6"/>
  <c r="S1678" i="6"/>
  <c r="O1678" i="6"/>
  <c r="K1678" i="6"/>
  <c r="R1677" i="6"/>
  <c r="J1677" i="6"/>
  <c r="S1676" i="6"/>
  <c r="O1676" i="6"/>
  <c r="K1676" i="6"/>
  <c r="R1675" i="6"/>
  <c r="J1675" i="6"/>
  <c r="S1674" i="6"/>
  <c r="O1674" i="6"/>
  <c r="K1674" i="6"/>
  <c r="R1673" i="6"/>
  <c r="J1673" i="6"/>
  <c r="S1672" i="6"/>
  <c r="O1672" i="6"/>
  <c r="K1672" i="6"/>
  <c r="R1671" i="6"/>
  <c r="J1671" i="6"/>
  <c r="S1670" i="6"/>
  <c r="O1670" i="6"/>
  <c r="K1670" i="6"/>
  <c r="R1669" i="6"/>
  <c r="J1669" i="6"/>
  <c r="S1668" i="6"/>
  <c r="O1668" i="6"/>
  <c r="K1668" i="6"/>
  <c r="R1667" i="6"/>
  <c r="J1667" i="6"/>
  <c r="S1666" i="6"/>
  <c r="O1666" i="6"/>
  <c r="K1666" i="6"/>
  <c r="R1665" i="6"/>
  <c r="J1665" i="6"/>
  <c r="S1664" i="6"/>
  <c r="O1664" i="6"/>
  <c r="K1664" i="6"/>
  <c r="R1663" i="6"/>
  <c r="J1663" i="6"/>
  <c r="S1662" i="6"/>
  <c r="O1662" i="6"/>
  <c r="K1662" i="6"/>
  <c r="R1661" i="6"/>
  <c r="J1661" i="6"/>
  <c r="S1660" i="6"/>
  <c r="O1660" i="6"/>
  <c r="K1660" i="6"/>
  <c r="R1659" i="6"/>
  <c r="J1659" i="6"/>
  <c r="S1658" i="6"/>
  <c r="O1658" i="6"/>
  <c r="K1658" i="6"/>
  <c r="R1657" i="6"/>
  <c r="J1657" i="6"/>
  <c r="S1656" i="6"/>
  <c r="O1656" i="6"/>
  <c r="K1656" i="6"/>
  <c r="R1655" i="6"/>
  <c r="J1655" i="6"/>
  <c r="S1654" i="6"/>
  <c r="O1654" i="6"/>
  <c r="K1654" i="6"/>
  <c r="R1653" i="6"/>
  <c r="J1653" i="6"/>
  <c r="S1652" i="6"/>
  <c r="O1652" i="6"/>
  <c r="K1652" i="6"/>
  <c r="R1651" i="6"/>
  <c r="J1651" i="6"/>
  <c r="S1650" i="6"/>
  <c r="O1650" i="6"/>
  <c r="K1650" i="6"/>
  <c r="R1649" i="6"/>
  <c r="J1649" i="6"/>
  <c r="S1648" i="6"/>
  <c r="O1648" i="6"/>
  <c r="K1648" i="6"/>
  <c r="R1647" i="6"/>
  <c r="J1647" i="6"/>
  <c r="S1646" i="6"/>
  <c r="O1646" i="6"/>
  <c r="K1646" i="6"/>
  <c r="R1761" i="6"/>
  <c r="J1761" i="6"/>
  <c r="S1760" i="6"/>
  <c r="K1760" i="6"/>
  <c r="O1758" i="6"/>
  <c r="R1757" i="6"/>
  <c r="J1757" i="6"/>
  <c r="S1756" i="6"/>
  <c r="K1756" i="6"/>
  <c r="O1754" i="6"/>
  <c r="R1753" i="6"/>
  <c r="J1753" i="6"/>
  <c r="S1752" i="6"/>
  <c r="K1752" i="6"/>
  <c r="O1750" i="6"/>
  <c r="R1749" i="6"/>
  <c r="J1749" i="6"/>
  <c r="S1748" i="6"/>
  <c r="K1748" i="6"/>
  <c r="O1746" i="6"/>
  <c r="R1745" i="6"/>
  <c r="J1745" i="6"/>
  <c r="S1744" i="6"/>
  <c r="K1744" i="6"/>
  <c r="O1742" i="6"/>
  <c r="R1741" i="6"/>
  <c r="J1741" i="6"/>
  <c r="S1740" i="6"/>
  <c r="K1740" i="6"/>
  <c r="O1738" i="6"/>
  <c r="R1737" i="6"/>
  <c r="J1737" i="6"/>
  <c r="S1736" i="6"/>
  <c r="K1736" i="6"/>
  <c r="O1734" i="6"/>
  <c r="R1733" i="6"/>
  <c r="J1733" i="6"/>
  <c r="S1732" i="6"/>
  <c r="K1732" i="6"/>
  <c r="O1730" i="6"/>
  <c r="R1729" i="6"/>
  <c r="J1729" i="6"/>
  <c r="S1728" i="6"/>
  <c r="K1728" i="6"/>
  <c r="O1726" i="6"/>
  <c r="R1725" i="6"/>
  <c r="J1725" i="6"/>
  <c r="S1724" i="6"/>
  <c r="K1724" i="6"/>
  <c r="O1722" i="6"/>
  <c r="R1721" i="6"/>
  <c r="J1721" i="6"/>
  <c r="S1720" i="6"/>
  <c r="K1720" i="6"/>
  <c r="O1718" i="6"/>
  <c r="R1717" i="6"/>
  <c r="J1717" i="6"/>
  <c r="S1716" i="6"/>
  <c r="K1716" i="6"/>
  <c r="O1714" i="6"/>
  <c r="R1713" i="6"/>
  <c r="J1713" i="6"/>
  <c r="S1712" i="6"/>
  <c r="K1712" i="6"/>
  <c r="O1710" i="6"/>
  <c r="R1709" i="6"/>
  <c r="J1709" i="6"/>
  <c r="S1708" i="6"/>
  <c r="K1708" i="6"/>
  <c r="O1706" i="6"/>
  <c r="R1705" i="6"/>
  <c r="J1705" i="6"/>
  <c r="S1704" i="6"/>
  <c r="K1704" i="6"/>
  <c r="O1702" i="6"/>
  <c r="R1701" i="6"/>
  <c r="J1701" i="6"/>
  <c r="S1700" i="6"/>
  <c r="K1700" i="6"/>
  <c r="O1698" i="6"/>
  <c r="R1697" i="6"/>
  <c r="J1697" i="6"/>
  <c r="S1696" i="6"/>
  <c r="K1696" i="6"/>
  <c r="O1694" i="6"/>
  <c r="R1693" i="6"/>
  <c r="J1693" i="6"/>
  <c r="S1692" i="6"/>
  <c r="K1692" i="6"/>
  <c r="O1690" i="6"/>
  <c r="R1689" i="6"/>
  <c r="J1689" i="6"/>
  <c r="S1688" i="6"/>
  <c r="K1688" i="6"/>
  <c r="O1686" i="6"/>
  <c r="Q1684" i="6"/>
  <c r="M1684" i="6"/>
  <c r="Q1682" i="6"/>
  <c r="M1682" i="6"/>
  <c r="Q1680" i="6"/>
  <c r="M1680" i="6"/>
  <c r="Q1678" i="6"/>
  <c r="M1678" i="6"/>
  <c r="Q1676" i="6"/>
  <c r="M1676" i="6"/>
  <c r="Q1674" i="6"/>
  <c r="M1674" i="6"/>
  <c r="Q1672" i="6"/>
  <c r="M1672" i="6"/>
  <c r="Q1670" i="6"/>
  <c r="M1670" i="6"/>
  <c r="Q1668" i="6"/>
  <c r="M1668" i="6"/>
  <c r="Q1666" i="6"/>
  <c r="M1666" i="6"/>
  <c r="Q1664" i="6"/>
  <c r="M1664" i="6"/>
  <c r="Q1662" i="6"/>
  <c r="M1662" i="6"/>
  <c r="Q1660" i="6"/>
  <c r="M1660" i="6"/>
  <c r="Q1658" i="6"/>
  <c r="M1658" i="6"/>
  <c r="Q1656" i="6"/>
  <c r="M1656" i="6"/>
  <c r="Q1654" i="6"/>
  <c r="M1654" i="6"/>
  <c r="Q1652" i="6"/>
  <c r="M1652" i="6"/>
  <c r="Q1650" i="6"/>
  <c r="M1650" i="6"/>
  <c r="Q1648" i="6"/>
  <c r="M1648" i="6"/>
  <c r="Q1646" i="6"/>
  <c r="M1646" i="6"/>
  <c r="Q1644" i="6"/>
  <c r="M1644" i="6"/>
  <c r="Q1642" i="6"/>
  <c r="M1642" i="6"/>
  <c r="Q1640" i="6"/>
  <c r="M1640" i="6"/>
  <c r="Q1638" i="6"/>
  <c r="M1638" i="6"/>
  <c r="Q1636" i="6"/>
  <c r="M1636" i="6"/>
  <c r="Q1634" i="6"/>
  <c r="M1634" i="6"/>
  <c r="Q1632" i="6"/>
  <c r="M1632" i="6"/>
  <c r="Q1630" i="6"/>
  <c r="M1630" i="6"/>
  <c r="Q1628" i="6"/>
  <c r="M1628" i="6"/>
  <c r="Q1626" i="6"/>
  <c r="M1626" i="6"/>
  <c r="Q1624" i="6"/>
  <c r="M1624" i="6"/>
  <c r="Q1622" i="6"/>
  <c r="M1622" i="6"/>
  <c r="Q1620" i="6"/>
  <c r="M1620" i="6"/>
  <c r="Q1618" i="6"/>
  <c r="M1618" i="6"/>
  <c r="Q1616" i="6"/>
  <c r="M1616" i="6"/>
  <c r="Q1614" i="6"/>
  <c r="M1614" i="6"/>
  <c r="Q1612" i="6"/>
  <c r="M1612" i="6"/>
  <c r="Q1610" i="6"/>
  <c r="M1610" i="6"/>
  <c r="Q1608" i="6"/>
  <c r="M1608" i="6"/>
  <c r="Q1606" i="6"/>
  <c r="M1606" i="6"/>
  <c r="Q1604" i="6"/>
  <c r="M1604" i="6"/>
  <c r="Q1602" i="6"/>
  <c r="M1602" i="6"/>
  <c r="Q1600" i="6"/>
  <c r="O1644" i="6"/>
  <c r="R1643" i="6"/>
  <c r="J1643" i="6"/>
  <c r="S1642" i="6"/>
  <c r="K1642" i="6"/>
  <c r="O1640" i="6"/>
  <c r="R1639" i="6"/>
  <c r="J1639" i="6"/>
  <c r="S1638" i="6"/>
  <c r="K1638" i="6"/>
  <c r="O1636" i="6"/>
  <c r="R1635" i="6"/>
  <c r="J1635" i="6"/>
  <c r="S1634" i="6"/>
  <c r="K1634" i="6"/>
  <c r="O1632" i="6"/>
  <c r="R1631" i="6"/>
  <c r="J1631" i="6"/>
  <c r="S1630" i="6"/>
  <c r="K1630" i="6"/>
  <c r="O1628" i="6"/>
  <c r="R1627" i="6"/>
  <c r="J1627" i="6"/>
  <c r="S1626" i="6"/>
  <c r="K1626" i="6"/>
  <c r="O1624" i="6"/>
  <c r="R1623" i="6"/>
  <c r="J1623" i="6"/>
  <c r="S1622" i="6"/>
  <c r="K1622" i="6"/>
  <c r="O1620" i="6"/>
  <c r="R1619" i="6"/>
  <c r="J1619" i="6"/>
  <c r="S1618" i="6"/>
  <c r="K1618" i="6"/>
  <c r="O1616" i="6"/>
  <c r="R1615" i="6"/>
  <c r="J1615" i="6"/>
  <c r="S1614" i="6"/>
  <c r="K1614" i="6"/>
  <c r="O1612" i="6"/>
  <c r="R1611" i="6"/>
  <c r="J1611" i="6"/>
  <c r="S1610" i="6"/>
  <c r="K1610" i="6"/>
  <c r="O1608" i="6"/>
  <c r="R1607" i="6"/>
  <c r="J1607" i="6"/>
  <c r="S1606" i="6"/>
  <c r="K1606" i="6"/>
  <c r="O1604" i="6"/>
  <c r="R1603" i="6"/>
  <c r="J1603" i="6"/>
  <c r="S1602" i="6"/>
  <c r="K1602" i="6"/>
  <c r="O1600" i="6"/>
  <c r="K1600" i="6"/>
  <c r="R1599" i="6"/>
  <c r="J1599" i="6"/>
  <c r="S1598" i="6"/>
  <c r="O1598" i="6"/>
  <c r="K1598" i="6"/>
  <c r="R1597" i="6"/>
  <c r="J1597" i="6"/>
  <c r="S1596" i="6"/>
  <c r="O1596" i="6"/>
  <c r="K1596" i="6"/>
  <c r="R1595" i="6"/>
  <c r="J1595" i="6"/>
  <c r="S1594" i="6"/>
  <c r="O1594" i="6"/>
  <c r="K1594" i="6"/>
  <c r="R1593" i="6"/>
  <c r="J1593" i="6"/>
  <c r="S1592" i="6"/>
  <c r="O1592" i="6"/>
  <c r="K1592" i="6"/>
  <c r="R1591" i="6"/>
  <c r="J1591" i="6"/>
  <c r="S1590" i="6"/>
  <c r="O1590" i="6"/>
  <c r="K1590" i="6"/>
  <c r="R1589" i="6"/>
  <c r="J1589" i="6"/>
  <c r="S1588" i="6"/>
  <c r="O1588" i="6"/>
  <c r="K1588" i="6"/>
  <c r="R1587" i="6"/>
  <c r="J1587" i="6"/>
  <c r="S1586" i="6"/>
  <c r="O1586" i="6"/>
  <c r="K1586" i="6"/>
  <c r="R1585" i="6"/>
  <c r="J1585" i="6"/>
  <c r="S1584" i="6"/>
  <c r="O1584" i="6"/>
  <c r="K1584" i="6"/>
  <c r="R1583" i="6"/>
  <c r="J1583" i="6"/>
  <c r="S1582" i="6"/>
  <c r="O1582" i="6"/>
  <c r="K1582" i="6"/>
  <c r="R1581" i="6"/>
  <c r="J1581" i="6"/>
  <c r="S1580" i="6"/>
  <c r="O1580" i="6"/>
  <c r="K1580" i="6"/>
  <c r="R1579" i="6"/>
  <c r="J1579" i="6"/>
  <c r="S1578" i="6"/>
  <c r="O1578" i="6"/>
  <c r="K1578" i="6"/>
  <c r="R1577" i="6"/>
  <c r="J1577" i="6"/>
  <c r="S1576" i="6"/>
  <c r="O1576" i="6"/>
  <c r="K1576" i="6"/>
  <c r="R1575" i="6"/>
  <c r="J1575" i="6"/>
  <c r="S1574" i="6"/>
  <c r="O1574" i="6"/>
  <c r="K1574" i="6"/>
  <c r="R1573" i="6"/>
  <c r="J1573" i="6"/>
  <c r="S1572" i="6"/>
  <c r="O1572" i="6"/>
  <c r="K1572" i="6"/>
  <c r="R1571" i="6"/>
  <c r="J1571" i="6"/>
  <c r="S1570" i="6"/>
  <c r="O1570" i="6"/>
  <c r="K1570" i="6"/>
  <c r="R1569" i="6"/>
  <c r="J1569" i="6"/>
  <c r="S1568" i="6"/>
  <c r="O1568" i="6"/>
  <c r="K1568" i="6"/>
  <c r="R1567" i="6"/>
  <c r="J1567" i="6"/>
  <c r="S1566" i="6"/>
  <c r="O1566" i="6"/>
  <c r="K1566" i="6"/>
  <c r="R1565" i="6"/>
  <c r="J1565" i="6"/>
  <c r="S1564" i="6"/>
  <c r="O1564" i="6"/>
  <c r="K1564" i="6"/>
  <c r="R1563" i="6"/>
  <c r="J1563" i="6"/>
  <c r="S1562" i="6"/>
  <c r="O1562" i="6"/>
  <c r="K1562" i="6"/>
  <c r="R1561" i="6"/>
  <c r="J1561" i="6"/>
  <c r="S1560" i="6"/>
  <c r="O1560" i="6"/>
  <c r="K1560" i="6"/>
  <c r="R1645" i="6"/>
  <c r="J1645" i="6"/>
  <c r="S1644" i="6"/>
  <c r="K1644" i="6"/>
  <c r="O1642" i="6"/>
  <c r="R1641" i="6"/>
  <c r="J1641" i="6"/>
  <c r="S1640" i="6"/>
  <c r="K1640" i="6"/>
  <c r="O1638" i="6"/>
  <c r="R1637" i="6"/>
  <c r="J1637" i="6"/>
  <c r="S1636" i="6"/>
  <c r="K1636" i="6"/>
  <c r="O1634" i="6"/>
  <c r="R1633" i="6"/>
  <c r="J1633" i="6"/>
  <c r="S1632" i="6"/>
  <c r="K1632" i="6"/>
  <c r="O1630" i="6"/>
  <c r="R1629" i="6"/>
  <c r="J1629" i="6"/>
  <c r="S1628" i="6"/>
  <c r="K1628" i="6"/>
  <c r="O1626" i="6"/>
  <c r="R1625" i="6"/>
  <c r="J1625" i="6"/>
  <c r="S1624" i="6"/>
  <c r="K1624" i="6"/>
  <c r="O1622" i="6"/>
  <c r="R1621" i="6"/>
  <c r="J1621" i="6"/>
  <c r="S1620" i="6"/>
  <c r="K1620" i="6"/>
  <c r="O1618" i="6"/>
  <c r="R1617" i="6"/>
  <c r="J1617" i="6"/>
  <c r="S1616" i="6"/>
  <c r="K1616" i="6"/>
  <c r="O1614" i="6"/>
  <c r="R1613" i="6"/>
  <c r="J1613" i="6"/>
  <c r="S1612" i="6"/>
  <c r="K1612" i="6"/>
  <c r="O1610" i="6"/>
  <c r="R1609" i="6"/>
  <c r="J1609" i="6"/>
  <c r="S1608" i="6"/>
  <c r="K1608" i="6"/>
  <c r="O1606" i="6"/>
  <c r="R1605" i="6"/>
  <c r="J1605" i="6"/>
  <c r="S1604" i="6"/>
  <c r="K1604" i="6"/>
  <c r="O1602" i="6"/>
  <c r="R1601" i="6"/>
  <c r="J1601" i="6"/>
  <c r="S1600" i="6"/>
  <c r="M1600" i="6"/>
  <c r="Q1598" i="6"/>
  <c r="M1598" i="6"/>
  <c r="Q1596" i="6"/>
  <c r="M1596" i="6"/>
  <c r="Q1594" i="6"/>
  <c r="M1594" i="6"/>
  <c r="Q1592" i="6"/>
  <c r="M1592" i="6"/>
  <c r="Q1590" i="6"/>
  <c r="M1590" i="6"/>
  <c r="Q1588" i="6"/>
  <c r="M1588" i="6"/>
  <c r="Q1586" i="6"/>
  <c r="M1586" i="6"/>
  <c r="Q1584" i="6"/>
  <c r="M1584" i="6"/>
  <c r="Q1582" i="6"/>
  <c r="M1582" i="6"/>
  <c r="Q1580" i="6"/>
  <c r="M1580" i="6"/>
  <c r="Q1578" i="6"/>
  <c r="M1578" i="6"/>
  <c r="Q1576" i="6"/>
  <c r="M1576" i="6"/>
  <c r="Q1574" i="6"/>
  <c r="M1574" i="6"/>
  <c r="Q1572" i="6"/>
  <c r="M1572" i="6"/>
  <c r="Q1570" i="6"/>
  <c r="M1570" i="6"/>
  <c r="Q1568" i="6"/>
  <c r="M1568" i="6"/>
  <c r="Q1566" i="6"/>
  <c r="M1566" i="6"/>
  <c r="Q1564" i="6"/>
  <c r="M1564" i="6"/>
  <c r="Q1562" i="6"/>
  <c r="M1562" i="6"/>
  <c r="Q1560" i="6"/>
  <c r="M1560" i="6"/>
  <c r="Q1558" i="6"/>
  <c r="M1558" i="6"/>
  <c r="Q1556" i="6"/>
  <c r="M1556" i="6"/>
  <c r="Q1554" i="6"/>
  <c r="M1554" i="6"/>
  <c r="Q1552" i="6"/>
  <c r="M1552" i="6"/>
  <c r="Q1550" i="6"/>
  <c r="M1550" i="6"/>
  <c r="Q1548" i="6"/>
  <c r="M1548" i="6"/>
  <c r="Q1546" i="6"/>
  <c r="M1546" i="6"/>
  <c r="Q1544" i="6"/>
  <c r="M1544" i="6"/>
  <c r="Q1542" i="6"/>
  <c r="M1542" i="6"/>
  <c r="Q1540" i="6"/>
  <c r="M1540" i="6"/>
  <c r="Q1538" i="6"/>
  <c r="M1538" i="6"/>
  <c r="Q1536" i="6"/>
  <c r="M1536" i="6"/>
  <c r="Q1534" i="6"/>
  <c r="M1534" i="6"/>
  <c r="Q1532" i="6"/>
  <c r="M1532" i="6"/>
  <c r="O1558" i="6"/>
  <c r="R1557" i="6"/>
  <c r="J1557" i="6"/>
  <c r="S1556" i="6"/>
  <c r="K1556" i="6"/>
  <c r="O1554" i="6"/>
  <c r="R1553" i="6"/>
  <c r="J1553" i="6"/>
  <c r="S1552" i="6"/>
  <c r="K1552" i="6"/>
  <c r="O1550" i="6"/>
  <c r="R1549" i="6"/>
  <c r="J1549" i="6"/>
  <c r="S1548" i="6"/>
  <c r="K1548" i="6"/>
  <c r="O1546" i="6"/>
  <c r="R1545" i="6"/>
  <c r="J1545" i="6"/>
  <c r="S1544" i="6"/>
  <c r="K1544" i="6"/>
  <c r="O1542" i="6"/>
  <c r="R1541" i="6"/>
  <c r="J1541" i="6"/>
  <c r="S1540" i="6"/>
  <c r="K1540" i="6"/>
  <c r="O1538" i="6"/>
  <c r="R1537" i="6"/>
  <c r="J1537" i="6"/>
  <c r="S1536" i="6"/>
  <c r="K1536" i="6"/>
  <c r="O1534" i="6"/>
  <c r="R1533" i="6"/>
  <c r="J1533" i="6"/>
  <c r="S1532" i="6"/>
  <c r="K1532" i="6"/>
  <c r="Q1530" i="6"/>
  <c r="M1530" i="6"/>
  <c r="Q1528" i="6"/>
  <c r="M1528" i="6"/>
  <c r="Q1526" i="6"/>
  <c r="M1526" i="6"/>
  <c r="Q1524" i="6"/>
  <c r="M1524" i="6"/>
  <c r="Q1522" i="6"/>
  <c r="M1522" i="6"/>
  <c r="Q1520" i="6"/>
  <c r="M1520" i="6"/>
  <c r="Q1518" i="6"/>
  <c r="M1518" i="6"/>
  <c r="Q1516" i="6"/>
  <c r="M1516" i="6"/>
  <c r="Q1514" i="6"/>
  <c r="M1514" i="6"/>
  <c r="Q1512" i="6"/>
  <c r="M1512" i="6"/>
  <c r="Q1510" i="6"/>
  <c r="M1510" i="6"/>
  <c r="Q1508" i="6"/>
  <c r="M1508" i="6"/>
  <c r="Q1506" i="6"/>
  <c r="M1506" i="6"/>
  <c r="Q1504" i="6"/>
  <c r="M1504" i="6"/>
  <c r="Q1502" i="6"/>
  <c r="M1502" i="6"/>
  <c r="Q1500" i="6"/>
  <c r="M1500" i="6"/>
  <c r="Q1498" i="6"/>
  <c r="M1498" i="6"/>
  <c r="Q1496" i="6"/>
  <c r="M1496" i="6"/>
  <c r="Q1494" i="6"/>
  <c r="M1494" i="6"/>
  <c r="Q1492" i="6"/>
  <c r="M1492" i="6"/>
  <c r="Q1490" i="6"/>
  <c r="M1490" i="6"/>
  <c r="Q1488" i="6"/>
  <c r="M1488" i="6"/>
  <c r="Q1486" i="6"/>
  <c r="M1486" i="6"/>
  <c r="Q1484" i="6"/>
  <c r="M1484" i="6"/>
  <c r="Q1482" i="6"/>
  <c r="M1482" i="6"/>
  <c r="Q1480" i="6"/>
  <c r="M1480" i="6"/>
  <c r="Q1478" i="6"/>
  <c r="M1478" i="6"/>
  <c r="Q1476" i="6"/>
  <c r="M1476" i="6"/>
  <c r="Q1474" i="6"/>
  <c r="M1474" i="6"/>
  <c r="Q1472" i="6"/>
  <c r="M1472" i="6"/>
  <c r="Q1470" i="6"/>
  <c r="M1470" i="6"/>
  <c r="Q1468" i="6"/>
  <c r="M1468" i="6"/>
  <c r="Q1466" i="6"/>
  <c r="M1466" i="6"/>
  <c r="Q1464" i="6"/>
  <c r="M1464" i="6"/>
  <c r="Q1462" i="6"/>
  <c r="M1462" i="6"/>
  <c r="R1559" i="6"/>
  <c r="J1559" i="6"/>
  <c r="S1558" i="6"/>
  <c r="K1558" i="6"/>
  <c r="O1556" i="6"/>
  <c r="R1555" i="6"/>
  <c r="J1555" i="6"/>
  <c r="S1554" i="6"/>
  <c r="K1554" i="6"/>
  <c r="O1552" i="6"/>
  <c r="R1551" i="6"/>
  <c r="J1551" i="6"/>
  <c r="S1550" i="6"/>
  <c r="K1550" i="6"/>
  <c r="O1548" i="6"/>
  <c r="R1547" i="6"/>
  <c r="J1547" i="6"/>
  <c r="S1546" i="6"/>
  <c r="K1546" i="6"/>
  <c r="O1544" i="6"/>
  <c r="R1543" i="6"/>
  <c r="J1543" i="6"/>
  <c r="S1542" i="6"/>
  <c r="K1542" i="6"/>
  <c r="O1540" i="6"/>
  <c r="R1539" i="6"/>
  <c r="J1539" i="6"/>
  <c r="S1538" i="6"/>
  <c r="K1538" i="6"/>
  <c r="O1536" i="6"/>
  <c r="R1535" i="6"/>
  <c r="J1535" i="6"/>
  <c r="S1534" i="6"/>
  <c r="K1534" i="6"/>
  <c r="O1532" i="6"/>
  <c r="S1530" i="6"/>
  <c r="O1530" i="6"/>
  <c r="K1530" i="6"/>
  <c r="R1529" i="6"/>
  <c r="J1529" i="6"/>
  <c r="S1528" i="6"/>
  <c r="O1528" i="6"/>
  <c r="K1528" i="6"/>
  <c r="R1527" i="6"/>
  <c r="J1527" i="6"/>
  <c r="S1526" i="6"/>
  <c r="O1526" i="6"/>
  <c r="K1526" i="6"/>
  <c r="R1525" i="6"/>
  <c r="J1525" i="6"/>
  <c r="S1524" i="6"/>
  <c r="O1524" i="6"/>
  <c r="K1524" i="6"/>
  <c r="R1523" i="6"/>
  <c r="J1523" i="6"/>
  <c r="S1522" i="6"/>
  <c r="O1522" i="6"/>
  <c r="K1522" i="6"/>
  <c r="R1521" i="6"/>
  <c r="J1521" i="6"/>
  <c r="S1520" i="6"/>
  <c r="O1520" i="6"/>
  <c r="K1520" i="6"/>
  <c r="R1519" i="6"/>
  <c r="J1519" i="6"/>
  <c r="S1518" i="6"/>
  <c r="O1518" i="6"/>
  <c r="K1518" i="6"/>
  <c r="R1517" i="6"/>
  <c r="J1517" i="6"/>
  <c r="S1516" i="6"/>
  <c r="O1516" i="6"/>
  <c r="K1516" i="6"/>
  <c r="R1515" i="6"/>
  <c r="J1515" i="6"/>
  <c r="S1514" i="6"/>
  <c r="O1514" i="6"/>
  <c r="K1514" i="6"/>
  <c r="R1513" i="6"/>
  <c r="J1513" i="6"/>
  <c r="S1512" i="6"/>
  <c r="O1512" i="6"/>
  <c r="K1512" i="6"/>
  <c r="R1511" i="6"/>
  <c r="J1511" i="6"/>
  <c r="S1510" i="6"/>
  <c r="O1510" i="6"/>
  <c r="K1510" i="6"/>
  <c r="R1509" i="6"/>
  <c r="J1509" i="6"/>
  <c r="S1508" i="6"/>
  <c r="O1508" i="6"/>
  <c r="K1508" i="6"/>
  <c r="R1507" i="6"/>
  <c r="J1507" i="6"/>
  <c r="S1506" i="6"/>
  <c r="O1506" i="6"/>
  <c r="K1506" i="6"/>
  <c r="R1505" i="6"/>
  <c r="J1505" i="6"/>
  <c r="S1504" i="6"/>
  <c r="O1504" i="6"/>
  <c r="K1504" i="6"/>
  <c r="R1503" i="6"/>
  <c r="J1503" i="6"/>
  <c r="S1502" i="6"/>
  <c r="O1502" i="6"/>
  <c r="K1502" i="6"/>
  <c r="R1501" i="6"/>
  <c r="J1501" i="6"/>
  <c r="S1500" i="6"/>
  <c r="O1500" i="6"/>
  <c r="K1500" i="6"/>
  <c r="R1499" i="6"/>
  <c r="J1499" i="6"/>
  <c r="S1498" i="6"/>
  <c r="O1498" i="6"/>
  <c r="K1498" i="6"/>
  <c r="R1497" i="6"/>
  <c r="J1497" i="6"/>
  <c r="S1496" i="6"/>
  <c r="O1496" i="6"/>
  <c r="K1496" i="6"/>
  <c r="R1495" i="6"/>
  <c r="J1495" i="6"/>
  <c r="S1494" i="6"/>
  <c r="O1494" i="6"/>
  <c r="K1494" i="6"/>
  <c r="R1493" i="6"/>
  <c r="J1493" i="6"/>
  <c r="S1492" i="6"/>
  <c r="O1492" i="6"/>
  <c r="K1492" i="6"/>
  <c r="R1491" i="6"/>
  <c r="J1491" i="6"/>
  <c r="S1490" i="6"/>
  <c r="O1490" i="6"/>
  <c r="K1490" i="6"/>
  <c r="R1489" i="6"/>
  <c r="J1489" i="6"/>
  <c r="S1488" i="6"/>
  <c r="O1488" i="6"/>
  <c r="K1488" i="6"/>
  <c r="R1487" i="6"/>
  <c r="J1487" i="6"/>
  <c r="S1486" i="6"/>
  <c r="O1486" i="6"/>
  <c r="K1486" i="6"/>
  <c r="R1485" i="6"/>
  <c r="J1485" i="6"/>
  <c r="S1484" i="6"/>
  <c r="O1484" i="6"/>
  <c r="K1484" i="6"/>
  <c r="R1483" i="6"/>
  <c r="J1483" i="6"/>
  <c r="S1482" i="6"/>
  <c r="O1482" i="6"/>
  <c r="K1482" i="6"/>
  <c r="R1481" i="6"/>
  <c r="J1481" i="6"/>
  <c r="S1480" i="6"/>
  <c r="O1480" i="6"/>
  <c r="K1480" i="6"/>
  <c r="R1479" i="6"/>
  <c r="J1479" i="6"/>
  <c r="S1478" i="6"/>
  <c r="O1478" i="6"/>
  <c r="K1478" i="6"/>
  <c r="R1477" i="6"/>
  <c r="J1477" i="6"/>
  <c r="S1476" i="6"/>
  <c r="O1476" i="6"/>
  <c r="K1476" i="6"/>
  <c r="R1475" i="6"/>
  <c r="J1475" i="6"/>
  <c r="S1474" i="6"/>
  <c r="O1474" i="6"/>
  <c r="K1474" i="6"/>
  <c r="R1473" i="6"/>
  <c r="J1473" i="6"/>
  <c r="S1472" i="6"/>
  <c r="O1472" i="6"/>
  <c r="K1472" i="6"/>
  <c r="R1471" i="6"/>
  <c r="J1471" i="6"/>
  <c r="S1470" i="6"/>
  <c r="O1470" i="6"/>
  <c r="K1470" i="6"/>
  <c r="R1469" i="6"/>
  <c r="J1469" i="6"/>
  <c r="S1468" i="6"/>
  <c r="O1468" i="6"/>
  <c r="K1468" i="6"/>
  <c r="R1467" i="6"/>
  <c r="J1467" i="6"/>
  <c r="S1466" i="6"/>
  <c r="O1466" i="6"/>
  <c r="K1466" i="6"/>
  <c r="R1465" i="6"/>
  <c r="J1465" i="6"/>
  <c r="S1464" i="6"/>
  <c r="O1464" i="6"/>
  <c r="K1464" i="6"/>
  <c r="R1463" i="6"/>
  <c r="J1463" i="6"/>
  <c r="S1462" i="6"/>
  <c r="O1462" i="6"/>
  <c r="K1462" i="6"/>
  <c r="R1461" i="6"/>
  <c r="J1461" i="6"/>
  <c r="S1460" i="6"/>
  <c r="O1460" i="6"/>
  <c r="K1460" i="6"/>
  <c r="S1458" i="6"/>
  <c r="Q1458" i="6"/>
  <c r="O1458" i="6"/>
  <c r="M1458" i="6"/>
  <c r="K1458" i="6"/>
  <c r="S1456" i="6"/>
  <c r="Q1456" i="6"/>
  <c r="O1456" i="6"/>
  <c r="M1456" i="6"/>
  <c r="K1456" i="6"/>
  <c r="S1454" i="6"/>
  <c r="Q1454" i="6"/>
  <c r="O1454" i="6"/>
  <c r="M1454" i="6"/>
  <c r="K1454" i="6"/>
  <c r="S1452" i="6"/>
  <c r="Q1452" i="6"/>
  <c r="O1452" i="6"/>
  <c r="M1452" i="6"/>
  <c r="K1452" i="6"/>
  <c r="S1450" i="6"/>
  <c r="Q1450" i="6"/>
  <c r="O1450" i="6"/>
  <c r="M1450" i="6"/>
  <c r="K1450" i="6"/>
  <c r="S1448" i="6"/>
  <c r="Q1448" i="6"/>
  <c r="O1448" i="6"/>
  <c r="M1448" i="6"/>
  <c r="K1448" i="6"/>
  <c r="S1446" i="6"/>
  <c r="Q1446" i="6"/>
  <c r="O1446" i="6"/>
  <c r="M1446" i="6"/>
  <c r="K1446" i="6"/>
  <c r="S1444" i="6"/>
  <c r="Q1444" i="6"/>
  <c r="O1444" i="6"/>
  <c r="M1444" i="6"/>
  <c r="K1444" i="6"/>
  <c r="S1442" i="6"/>
  <c r="O1442" i="6"/>
  <c r="K1442" i="6"/>
  <c r="S1440" i="6"/>
  <c r="O1440" i="6"/>
  <c r="K1440" i="6"/>
  <c r="S1438" i="6"/>
  <c r="O1438" i="6"/>
  <c r="K1438" i="6"/>
  <c r="R1437" i="6"/>
  <c r="J1437" i="6"/>
  <c r="S1436" i="6"/>
  <c r="O1436" i="6"/>
  <c r="K1436" i="6"/>
  <c r="R1435" i="6"/>
  <c r="J1435" i="6"/>
  <c r="S1434" i="6"/>
  <c r="O1434" i="6"/>
  <c r="K1434" i="6"/>
  <c r="R1433" i="6"/>
  <c r="J1433" i="6"/>
  <c r="S1432" i="6"/>
  <c r="O1432" i="6"/>
  <c r="K1432" i="6"/>
  <c r="R1431" i="6"/>
  <c r="J1431" i="6"/>
  <c r="S1430" i="6"/>
  <c r="O1430" i="6"/>
  <c r="K1430" i="6"/>
  <c r="R1429" i="6"/>
  <c r="J1429" i="6"/>
  <c r="S1428" i="6"/>
  <c r="O1428" i="6"/>
  <c r="K1428" i="6"/>
  <c r="R1427" i="6"/>
  <c r="J1427" i="6"/>
  <c r="S1426" i="6"/>
  <c r="O1426" i="6"/>
  <c r="K1426" i="6"/>
  <c r="R1425" i="6"/>
  <c r="J1425" i="6"/>
  <c r="S1424" i="6"/>
  <c r="O1424" i="6"/>
  <c r="K1424" i="6"/>
  <c r="R1423" i="6"/>
  <c r="J1423" i="6"/>
  <c r="S1422" i="6"/>
  <c r="O1422" i="6"/>
  <c r="K1422" i="6"/>
  <c r="R1421" i="6"/>
  <c r="J1421" i="6"/>
  <c r="S1420" i="6"/>
  <c r="O1420" i="6"/>
  <c r="K1420" i="6"/>
  <c r="R1419" i="6"/>
  <c r="J1419" i="6"/>
  <c r="S1418" i="6"/>
  <c r="O1418" i="6"/>
  <c r="K1418" i="6"/>
  <c r="R1417" i="6"/>
  <c r="J1417" i="6"/>
  <c r="S1416" i="6"/>
  <c r="O1416" i="6"/>
  <c r="K1416" i="6"/>
  <c r="R1415" i="6"/>
  <c r="J1415" i="6"/>
  <c r="S1414" i="6"/>
  <c r="O1414" i="6"/>
  <c r="K1414" i="6"/>
  <c r="R1413" i="6"/>
  <c r="J1413" i="6"/>
  <c r="S1412" i="6"/>
  <c r="O1412" i="6"/>
  <c r="K1412" i="6"/>
  <c r="R1411" i="6"/>
  <c r="J1411" i="6"/>
  <c r="S1410" i="6"/>
  <c r="O1410" i="6"/>
  <c r="K1410" i="6"/>
  <c r="R1409" i="6"/>
  <c r="J1409" i="6"/>
  <c r="S1408" i="6"/>
  <c r="O1408" i="6"/>
  <c r="K1408" i="6"/>
  <c r="R1407" i="6"/>
  <c r="J1407" i="6"/>
  <c r="S1406" i="6"/>
  <c r="O1406" i="6"/>
  <c r="K1406" i="6"/>
  <c r="R1405" i="6"/>
  <c r="J1405" i="6"/>
  <c r="S1404" i="6"/>
  <c r="O1404" i="6"/>
  <c r="K1404" i="6"/>
  <c r="R1403" i="6"/>
  <c r="J1403" i="6"/>
  <c r="S1402" i="6"/>
  <c r="O1402" i="6"/>
  <c r="K1402" i="6"/>
  <c r="R1401" i="6"/>
  <c r="J1401" i="6"/>
  <c r="S1400" i="6"/>
  <c r="O1400" i="6"/>
  <c r="K1400" i="6"/>
  <c r="R1399" i="6"/>
  <c r="J1399" i="6"/>
  <c r="S1398" i="6"/>
  <c r="O1398" i="6"/>
  <c r="K1398" i="6"/>
  <c r="R1397" i="6"/>
  <c r="J1397" i="6"/>
  <c r="S1396" i="6"/>
  <c r="O1396" i="6"/>
  <c r="K1396" i="6"/>
  <c r="R1395" i="6"/>
  <c r="J1395" i="6"/>
  <c r="S1394" i="6"/>
  <c r="O1394" i="6"/>
  <c r="K1394" i="6"/>
  <c r="R1393" i="6"/>
  <c r="J1393" i="6"/>
  <c r="S1392" i="6"/>
  <c r="O1392" i="6"/>
  <c r="K1392" i="6"/>
  <c r="R1391" i="6"/>
  <c r="J1391" i="6"/>
  <c r="S1390" i="6"/>
  <c r="O1390" i="6"/>
  <c r="K1390" i="6"/>
  <c r="R1389" i="6"/>
  <c r="J1389" i="6"/>
  <c r="S1388" i="6"/>
  <c r="O1388" i="6"/>
  <c r="K1388" i="6"/>
  <c r="R1387" i="6"/>
  <c r="J1387" i="6"/>
  <c r="S1386" i="6"/>
  <c r="O1386" i="6"/>
  <c r="K1386" i="6"/>
  <c r="R1385" i="6"/>
  <c r="J1385" i="6"/>
  <c r="S1384" i="6"/>
  <c r="O1384" i="6"/>
  <c r="K1384" i="6"/>
  <c r="R1383" i="6"/>
  <c r="J1383" i="6"/>
  <c r="S1382" i="6"/>
  <c r="O1382" i="6"/>
  <c r="K1382" i="6"/>
  <c r="R1381" i="6"/>
  <c r="J1381" i="6"/>
  <c r="S1380" i="6"/>
  <c r="O1380" i="6"/>
  <c r="K1380" i="6"/>
  <c r="R1379" i="6"/>
  <c r="J1379" i="6"/>
  <c r="S1378" i="6"/>
  <c r="O1378" i="6"/>
  <c r="K1378" i="6"/>
  <c r="R1377" i="6"/>
  <c r="J1377" i="6"/>
  <c r="S1376" i="6"/>
  <c r="O1376" i="6"/>
  <c r="K1376" i="6"/>
  <c r="R1375" i="6"/>
  <c r="J1375" i="6"/>
  <c r="S1374" i="6"/>
  <c r="O1374" i="6"/>
  <c r="K1374" i="6"/>
  <c r="R1373" i="6"/>
  <c r="J1373" i="6"/>
  <c r="S1372" i="6"/>
  <c r="O1372" i="6"/>
  <c r="K1372" i="6"/>
  <c r="R1371" i="6"/>
  <c r="J1371" i="6"/>
  <c r="S1370" i="6"/>
  <c r="O1370" i="6"/>
  <c r="K1370" i="6"/>
  <c r="R1369" i="6"/>
  <c r="J1369" i="6"/>
  <c r="S1368" i="6"/>
  <c r="O1368" i="6"/>
  <c r="K1368" i="6"/>
  <c r="R1367" i="6"/>
  <c r="J1367" i="6"/>
  <c r="S1366" i="6"/>
  <c r="O1366" i="6"/>
  <c r="K1366" i="6"/>
  <c r="R1365" i="6"/>
  <c r="J1365" i="6"/>
  <c r="Q1363" i="6"/>
  <c r="M1363" i="6"/>
  <c r="Q1361" i="6"/>
  <c r="M1361" i="6"/>
  <c r="Q1359" i="6"/>
  <c r="M1359" i="6"/>
  <c r="Q1357" i="6"/>
  <c r="M1357" i="6"/>
  <c r="Q1355" i="6"/>
  <c r="M1355" i="6"/>
  <c r="Q1353" i="6"/>
  <c r="M1353" i="6"/>
  <c r="Q1351" i="6"/>
  <c r="M1351" i="6"/>
  <c r="Q1349" i="6"/>
  <c r="M1349" i="6"/>
  <c r="Q1347" i="6"/>
  <c r="M1347" i="6"/>
  <c r="Q1442" i="6"/>
  <c r="M1442" i="6"/>
  <c r="Q1440" i="6"/>
  <c r="M1440" i="6"/>
  <c r="Q1438" i="6"/>
  <c r="M1438" i="6"/>
  <c r="Q1436" i="6"/>
  <c r="M1436" i="6"/>
  <c r="Q1434" i="6"/>
  <c r="M1434" i="6"/>
  <c r="Q1432" i="6"/>
  <c r="M1432" i="6"/>
  <c r="Q1430" i="6"/>
  <c r="M1430" i="6"/>
  <c r="Q1428" i="6"/>
  <c r="M1428" i="6"/>
  <c r="Q1426" i="6"/>
  <c r="M1426" i="6"/>
  <c r="Q1424" i="6"/>
  <c r="M1424" i="6"/>
  <c r="Q1422" i="6"/>
  <c r="M1422" i="6"/>
  <c r="Q1420" i="6"/>
  <c r="M1420" i="6"/>
  <c r="Q1418" i="6"/>
  <c r="M1418" i="6"/>
  <c r="Q1416" i="6"/>
  <c r="M1416" i="6"/>
  <c r="Q1414" i="6"/>
  <c r="M1414" i="6"/>
  <c r="Q1412" i="6"/>
  <c r="M1412" i="6"/>
  <c r="Q1410" i="6"/>
  <c r="M1410" i="6"/>
  <c r="Q1408" i="6"/>
  <c r="M1408" i="6"/>
  <c r="Q1406" i="6"/>
  <c r="M1406" i="6"/>
  <c r="Q1404" i="6"/>
  <c r="M1404" i="6"/>
  <c r="Q1402" i="6"/>
  <c r="M1402" i="6"/>
  <c r="Q1400" i="6"/>
  <c r="M1400" i="6"/>
  <c r="Q1398" i="6"/>
  <c r="M1398" i="6"/>
  <c r="Q1396" i="6"/>
  <c r="M1396" i="6"/>
  <c r="Q1394" i="6"/>
  <c r="M1394" i="6"/>
  <c r="Q1392" i="6"/>
  <c r="M1392" i="6"/>
  <c r="Q1390" i="6"/>
  <c r="M1390" i="6"/>
  <c r="Q1388" i="6"/>
  <c r="M1388" i="6"/>
  <c r="Q1386" i="6"/>
  <c r="M1386" i="6"/>
  <c r="Q1384" i="6"/>
  <c r="M1384" i="6"/>
  <c r="Q1382" i="6"/>
  <c r="M1382" i="6"/>
  <c r="Q1380" i="6"/>
  <c r="M1380" i="6"/>
  <c r="Q1378" i="6"/>
  <c r="M1378" i="6"/>
  <c r="Q1376" i="6"/>
  <c r="M1376" i="6"/>
  <c r="Q1374" i="6"/>
  <c r="M1374" i="6"/>
  <c r="Q1372" i="6"/>
  <c r="M1372" i="6"/>
  <c r="Q1370" i="6"/>
  <c r="M1370" i="6"/>
  <c r="Q1368" i="6"/>
  <c r="M1368" i="6"/>
  <c r="Q1366" i="6"/>
  <c r="M1366" i="6"/>
  <c r="Q1345" i="6"/>
  <c r="Q1343" i="6"/>
  <c r="Q1341" i="6"/>
  <c r="Q1339" i="6"/>
  <c r="Q1337" i="6"/>
  <c r="Q1335" i="6"/>
  <c r="Q1333" i="6"/>
  <c r="Q1331" i="6"/>
  <c r="Q1329" i="6"/>
  <c r="Q1327" i="6"/>
  <c r="Q1325" i="6"/>
  <c r="Q1323" i="6"/>
  <c r="Q1321" i="6"/>
  <c r="Q1319" i="6"/>
  <c r="Q1317" i="6"/>
  <c r="Q1315" i="6"/>
  <c r="Q1313" i="6"/>
  <c r="Q1311" i="6"/>
  <c r="Q1309" i="6"/>
  <c r="Q1307" i="6"/>
  <c r="Q1305" i="6"/>
  <c r="Q1303" i="6"/>
  <c r="Q1301" i="6"/>
  <c r="Q1299" i="6"/>
  <c r="Q1297" i="6"/>
  <c r="Q1295" i="6"/>
  <c r="Q1293" i="6"/>
  <c r="Q1291" i="6"/>
  <c r="Q1289" i="6"/>
  <c r="Q1287" i="6"/>
  <c r="Q1285" i="6"/>
  <c r="Q1283" i="6"/>
  <c r="Q1281" i="6"/>
  <c r="Q1279" i="6"/>
  <c r="Q1277" i="6"/>
  <c r="Q1275" i="6"/>
  <c r="Q1273" i="6"/>
  <c r="Q1271" i="6"/>
  <c r="Q1269" i="6"/>
  <c r="Q1267" i="6"/>
  <c r="Q1265" i="6"/>
  <c r="Q1263" i="6"/>
  <c r="Q1261" i="6"/>
  <c r="Q1259" i="6"/>
  <c r="Q1257" i="6"/>
  <c r="Q1255" i="6"/>
  <c r="Q1253" i="6"/>
  <c r="Q1251" i="6"/>
  <c r="Q1249" i="6"/>
  <c r="Q1247" i="6"/>
  <c r="Q1245" i="6"/>
  <c r="Q1243" i="6"/>
  <c r="Q1241" i="6"/>
  <c r="Q1239" i="6"/>
  <c r="Q1237" i="6"/>
  <c r="Q1235" i="6"/>
  <c r="Q1233" i="6"/>
  <c r="Q1231" i="6"/>
  <c r="Q1229" i="6"/>
  <c r="Q1227" i="6"/>
  <c r="Q1225" i="6"/>
  <c r="Q1223" i="6"/>
  <c r="Q1221" i="6"/>
  <c r="Q1219" i="6"/>
  <c r="Q1217" i="6"/>
  <c r="Q1215" i="6"/>
  <c r="Q1213" i="6"/>
  <c r="Q1211" i="6"/>
  <c r="Q1209" i="6"/>
  <c r="Q1207" i="6"/>
  <c r="Q1205" i="6"/>
  <c r="Q1203" i="6"/>
  <c r="Q1201" i="6"/>
  <c r="Q1199" i="6"/>
  <c r="Q1197" i="6"/>
  <c r="Q1195" i="6"/>
  <c r="Q1193" i="6"/>
  <c r="Q1191" i="6"/>
  <c r="Q1189" i="6"/>
  <c r="Q1187" i="6"/>
  <c r="Q1185" i="6"/>
  <c r="Q1183" i="6"/>
  <c r="Q1181" i="6"/>
  <c r="Q1179" i="6"/>
  <c r="Q1177" i="6"/>
  <c r="Q1175" i="6"/>
  <c r="Q1173" i="6"/>
  <c r="Q1171" i="6"/>
  <c r="Q1169" i="6"/>
  <c r="Q1167" i="6"/>
  <c r="Q1165" i="6"/>
  <c r="Q1163" i="6"/>
  <c r="Q1161" i="6"/>
  <c r="Q1159" i="6"/>
  <c r="Q1157" i="6"/>
  <c r="Q1155" i="6"/>
  <c r="Q1153" i="6"/>
  <c r="Q1151" i="6"/>
  <c r="Q1149" i="6"/>
  <c r="Q1147" i="6"/>
  <c r="Q1145" i="6"/>
  <c r="Q1143" i="6"/>
  <c r="Q1141" i="6"/>
  <c r="Q1139" i="6"/>
  <c r="Q1137" i="6"/>
  <c r="Q1135" i="6"/>
  <c r="Q1133" i="6"/>
  <c r="Q1131" i="6"/>
  <c r="Q1129" i="6"/>
  <c r="Q1127" i="6"/>
  <c r="Q1125" i="6"/>
  <c r="Q1123" i="6"/>
  <c r="Q1121" i="6"/>
  <c r="Q1119" i="6"/>
  <c r="Q1117" i="6"/>
  <c r="Q1115" i="6"/>
  <c r="Q1113" i="6"/>
  <c r="Q1111" i="6"/>
  <c r="Q1109" i="6"/>
  <c r="Q1107" i="6"/>
  <c r="Q1105" i="6"/>
  <c r="Q1103" i="6"/>
  <c r="Q1101" i="6"/>
  <c r="Q1099" i="6"/>
  <c r="Q1097" i="6"/>
  <c r="Q1095" i="6"/>
  <c r="Q1093" i="6"/>
  <c r="Q1091" i="6"/>
  <c r="M1345" i="6"/>
  <c r="M1343" i="6"/>
  <c r="M1341" i="6"/>
  <c r="M1339" i="6"/>
  <c r="M1337" i="6"/>
  <c r="M1335" i="6"/>
  <c r="M1333" i="6"/>
  <c r="M1331" i="6"/>
  <c r="M1329" i="6"/>
  <c r="M1327" i="6"/>
  <c r="M1325" i="6"/>
  <c r="M1323" i="6"/>
  <c r="M1321" i="6"/>
  <c r="M1319" i="6"/>
  <c r="M1317" i="6"/>
  <c r="M1315" i="6"/>
  <c r="M1313" i="6"/>
  <c r="M1311" i="6"/>
  <c r="M1309" i="6"/>
  <c r="M1307" i="6"/>
  <c r="M1305" i="6"/>
  <c r="M1303" i="6"/>
  <c r="M1301" i="6"/>
  <c r="M1299" i="6"/>
  <c r="M1297" i="6"/>
  <c r="M1295" i="6"/>
  <c r="M1293" i="6"/>
  <c r="M1291" i="6"/>
  <c r="M1289" i="6"/>
  <c r="M1287" i="6"/>
  <c r="M1285" i="6"/>
  <c r="M1283" i="6"/>
  <c r="M1281" i="6"/>
  <c r="M1279" i="6"/>
  <c r="M1277" i="6"/>
  <c r="M1275" i="6"/>
  <c r="M1273" i="6"/>
  <c r="M1271" i="6"/>
  <c r="M1269" i="6"/>
  <c r="M1267" i="6"/>
  <c r="M1265" i="6"/>
  <c r="M1263" i="6"/>
  <c r="M1261" i="6"/>
  <c r="M1259" i="6"/>
  <c r="M1257" i="6"/>
  <c r="M1255" i="6"/>
  <c r="M1253" i="6"/>
  <c r="M1251" i="6"/>
  <c r="M1249" i="6"/>
  <c r="M1247" i="6"/>
  <c r="M1245" i="6"/>
  <c r="M1243" i="6"/>
  <c r="M1241" i="6"/>
  <c r="M1239" i="6"/>
  <c r="M1237" i="6"/>
  <c r="M1235" i="6"/>
  <c r="M1233" i="6"/>
  <c r="M1231" i="6"/>
  <c r="M1229" i="6"/>
  <c r="M1227" i="6"/>
  <c r="M1225" i="6"/>
  <c r="M1223" i="6"/>
  <c r="M1221" i="6"/>
  <c r="M1219" i="6"/>
  <c r="M1217" i="6"/>
  <c r="M1215" i="6"/>
  <c r="M1213" i="6"/>
  <c r="M1211" i="6"/>
  <c r="M1209" i="6"/>
  <c r="M1207" i="6"/>
  <c r="M1205" i="6"/>
  <c r="M1203" i="6"/>
  <c r="M1201" i="6"/>
  <c r="M1199" i="6"/>
  <c r="M1197" i="6"/>
  <c r="M1195" i="6"/>
  <c r="M1193" i="6"/>
  <c r="M1191" i="6"/>
  <c r="M1189" i="6"/>
  <c r="M1187" i="6"/>
  <c r="M1185" i="6"/>
  <c r="M1183" i="6"/>
  <c r="M1181" i="6"/>
  <c r="M1179" i="6"/>
  <c r="M1177" i="6"/>
  <c r="M1175" i="6"/>
  <c r="M1173" i="6"/>
  <c r="M1171" i="6"/>
  <c r="M1169" i="6"/>
  <c r="M1167" i="6"/>
  <c r="M1165" i="6"/>
  <c r="M1163" i="6"/>
  <c r="M1161" i="6"/>
  <c r="M1159" i="6"/>
  <c r="M1157" i="6"/>
  <c r="M1155" i="6"/>
  <c r="M1153" i="6"/>
  <c r="M1151" i="6"/>
  <c r="M1149" i="6"/>
  <c r="M1147" i="6"/>
  <c r="M1145" i="6"/>
  <c r="M1143" i="6"/>
  <c r="M1141" i="6"/>
  <c r="M1139" i="6"/>
  <c r="M1137" i="6"/>
  <c r="M1135" i="6"/>
  <c r="M1133" i="6"/>
  <c r="M1131" i="6"/>
  <c r="M1129" i="6"/>
  <c r="M1127" i="6"/>
  <c r="M1125" i="6"/>
  <c r="M1123" i="6"/>
  <c r="M1121" i="6"/>
  <c r="M1119" i="6"/>
  <c r="M1117" i="6"/>
  <c r="M1115" i="6"/>
  <c r="M1113" i="6"/>
  <c r="M1111" i="6"/>
  <c r="M1109" i="6"/>
  <c r="M1107" i="6"/>
  <c r="M1105" i="6"/>
  <c r="M1103" i="6"/>
  <c r="M1101" i="6"/>
  <c r="M1099" i="6"/>
  <c r="M1097" i="6"/>
  <c r="M1095" i="6"/>
  <c r="M1093" i="6"/>
  <c r="M1091" i="6"/>
  <c r="S2" i="6"/>
  <c r="Q2" i="6"/>
  <c r="O2" i="6"/>
  <c r="M2" i="6"/>
  <c r="K2" i="6"/>
  <c r="I2" i="6"/>
  <c r="S3" i="6"/>
  <c r="Q3" i="6"/>
  <c r="O3" i="6"/>
  <c r="M3" i="6"/>
  <c r="K3" i="6"/>
  <c r="I3" i="6"/>
  <c r="L3" i="6"/>
  <c r="P3" i="6"/>
  <c r="T3" i="6"/>
  <c r="L4" i="6"/>
  <c r="S6" i="6"/>
  <c r="Q6" i="6"/>
  <c r="O6" i="6"/>
  <c r="M6" i="6"/>
  <c r="K6" i="6"/>
  <c r="I6" i="6"/>
  <c r="L6" i="6"/>
  <c r="P6" i="6"/>
  <c r="T6" i="6"/>
  <c r="S8" i="6"/>
  <c r="Q8" i="6"/>
  <c r="O8" i="6"/>
  <c r="M8" i="6"/>
  <c r="K8" i="6"/>
  <c r="I8" i="6"/>
  <c r="L8" i="6"/>
  <c r="P8" i="6"/>
  <c r="T8" i="6"/>
  <c r="S10" i="6"/>
  <c r="Q10" i="6"/>
  <c r="O10" i="6"/>
  <c r="M10" i="6"/>
  <c r="K10" i="6"/>
  <c r="I10" i="6"/>
  <c r="S11" i="6"/>
  <c r="Q11" i="6"/>
  <c r="O11" i="6"/>
  <c r="M11" i="6"/>
  <c r="K11" i="6"/>
  <c r="I11" i="6"/>
  <c r="L11" i="6"/>
  <c r="P11" i="6"/>
  <c r="T11" i="6"/>
  <c r="S13" i="6"/>
  <c r="Q13" i="6"/>
  <c r="O13" i="6"/>
  <c r="M13" i="6"/>
  <c r="K13" i="6"/>
  <c r="I13" i="6"/>
  <c r="L13" i="6"/>
  <c r="P13" i="6"/>
  <c r="T13" i="6"/>
  <c r="L14" i="6"/>
  <c r="P14" i="6"/>
  <c r="T14" i="6"/>
  <c r="S16" i="6"/>
  <c r="Q16" i="6"/>
  <c r="O16" i="6"/>
  <c r="M16" i="6"/>
  <c r="K16" i="6"/>
  <c r="I16" i="6"/>
  <c r="P16" i="6"/>
  <c r="T16" i="6"/>
  <c r="L18" i="6"/>
  <c r="P18" i="6"/>
  <c r="T18" i="6"/>
  <c r="S20" i="6"/>
  <c r="Q20" i="6"/>
  <c r="O20" i="6"/>
  <c r="M20" i="6"/>
  <c r="K20" i="6"/>
  <c r="I20" i="6"/>
  <c r="L20" i="6"/>
  <c r="P20" i="6"/>
  <c r="T20" i="6"/>
  <c r="S22" i="6"/>
  <c r="Q22" i="6"/>
  <c r="O22" i="6"/>
  <c r="M22" i="6"/>
  <c r="K22" i="6"/>
  <c r="I22" i="6"/>
  <c r="L22" i="6"/>
  <c r="P22" i="6"/>
  <c r="T22" i="6"/>
  <c r="S24" i="6"/>
  <c r="Q24" i="6"/>
  <c r="O24" i="6"/>
  <c r="M24" i="6"/>
  <c r="K24" i="6"/>
  <c r="I24" i="6"/>
  <c r="P24" i="6"/>
  <c r="T24" i="6"/>
  <c r="L25" i="6"/>
  <c r="P25" i="6"/>
  <c r="T25" i="6"/>
  <c r="L26" i="6"/>
  <c r="S27" i="6"/>
  <c r="Q27" i="6"/>
  <c r="O27" i="6"/>
  <c r="M27" i="6"/>
  <c r="K27" i="6"/>
  <c r="I27" i="6"/>
  <c r="L27" i="6"/>
  <c r="P27" i="6"/>
  <c r="T27" i="6"/>
  <c r="P28" i="6"/>
  <c r="T28" i="6"/>
  <c r="S30" i="6"/>
  <c r="Q30" i="6"/>
  <c r="O30" i="6"/>
  <c r="M30" i="6"/>
  <c r="K30" i="6"/>
  <c r="I30" i="6"/>
  <c r="L30" i="6"/>
  <c r="P30" i="6"/>
  <c r="T30" i="6"/>
  <c r="L31" i="6"/>
  <c r="P31" i="6"/>
  <c r="T31" i="6"/>
  <c r="L32" i="6"/>
  <c r="P32" i="6"/>
  <c r="T32" i="6"/>
  <c r="S34" i="6"/>
  <c r="Q34" i="6"/>
  <c r="O34" i="6"/>
  <c r="M34" i="6"/>
  <c r="K34" i="6"/>
  <c r="I34" i="6"/>
  <c r="L34" i="6"/>
  <c r="P34" i="6"/>
  <c r="T34" i="6"/>
  <c r="S36" i="6"/>
  <c r="Q36" i="6"/>
  <c r="O36" i="6"/>
  <c r="M36" i="6"/>
  <c r="K36" i="6"/>
  <c r="I36" i="6"/>
  <c r="P36" i="6"/>
  <c r="T36" i="6"/>
  <c r="S38" i="6"/>
  <c r="Q38" i="6"/>
  <c r="O38" i="6"/>
  <c r="M38" i="6"/>
  <c r="K38" i="6"/>
  <c r="I38" i="6"/>
  <c r="S39" i="6"/>
  <c r="Q39" i="6"/>
  <c r="O39" i="6"/>
  <c r="M39" i="6"/>
  <c r="K39" i="6"/>
  <c r="I39" i="6"/>
  <c r="S40" i="6"/>
  <c r="Q40" i="6"/>
  <c r="O40" i="6"/>
  <c r="M40" i="6"/>
  <c r="K40" i="6"/>
  <c r="I40" i="6"/>
  <c r="L40" i="6"/>
  <c r="P40" i="6"/>
  <c r="T40" i="6"/>
  <c r="S42" i="6"/>
  <c r="Q42" i="6"/>
  <c r="O42" i="6"/>
  <c r="M42" i="6"/>
  <c r="K42" i="6"/>
  <c r="I42" i="6"/>
  <c r="L42" i="6"/>
  <c r="P42" i="6"/>
  <c r="T42" i="6"/>
  <c r="S44" i="6"/>
  <c r="Q44" i="6"/>
  <c r="O44" i="6"/>
  <c r="M44" i="6"/>
  <c r="K44" i="6"/>
  <c r="I44" i="6"/>
  <c r="P44" i="6"/>
  <c r="T44" i="6"/>
  <c r="S46" i="6"/>
  <c r="Q46" i="6"/>
  <c r="O46" i="6"/>
  <c r="M46" i="6"/>
  <c r="K46" i="6"/>
  <c r="I46" i="6"/>
  <c r="L46" i="6"/>
  <c r="P46" i="6"/>
  <c r="T46" i="6"/>
  <c r="S48" i="6"/>
  <c r="Q48" i="6"/>
  <c r="O48" i="6"/>
  <c r="M48" i="6"/>
  <c r="K48" i="6"/>
  <c r="I48" i="6"/>
  <c r="L48" i="6"/>
  <c r="P48" i="6"/>
  <c r="T48" i="6"/>
  <c r="L49" i="6"/>
  <c r="P49" i="6"/>
  <c r="T49" i="6"/>
  <c r="L50" i="6"/>
  <c r="S51" i="6"/>
  <c r="Q51" i="6"/>
  <c r="O51" i="6"/>
  <c r="M51" i="6"/>
  <c r="K51" i="6"/>
  <c r="I51" i="6"/>
  <c r="L51" i="6"/>
  <c r="P51" i="6"/>
  <c r="T51" i="6"/>
  <c r="S53" i="6"/>
  <c r="Q53" i="6"/>
  <c r="O53" i="6"/>
  <c r="M53" i="6"/>
  <c r="K53" i="6"/>
  <c r="I53" i="6"/>
  <c r="S54" i="6"/>
  <c r="Q54" i="6"/>
  <c r="O54" i="6"/>
  <c r="M54" i="6"/>
  <c r="K54" i="6"/>
  <c r="I54" i="6"/>
  <c r="L54" i="6"/>
  <c r="P54" i="6"/>
  <c r="T54" i="6"/>
  <c r="S56" i="6"/>
  <c r="Q56" i="6"/>
  <c r="O56" i="6"/>
  <c r="M56" i="6"/>
  <c r="K56" i="6"/>
  <c r="I56" i="6"/>
  <c r="L56" i="6"/>
  <c r="P56" i="6"/>
  <c r="T56" i="6"/>
  <c r="S58" i="6"/>
  <c r="Q58" i="6"/>
  <c r="O58" i="6"/>
  <c r="M58" i="6"/>
  <c r="K58" i="6"/>
  <c r="I58" i="6"/>
  <c r="L58" i="6"/>
  <c r="P58" i="6"/>
  <c r="T58" i="6"/>
  <c r="L59" i="6"/>
  <c r="S60" i="6"/>
  <c r="Q60" i="6"/>
  <c r="O60" i="6"/>
  <c r="M60" i="6"/>
  <c r="K60" i="6"/>
  <c r="I60" i="6"/>
  <c r="L60" i="6"/>
  <c r="P60" i="6"/>
  <c r="T60" i="6"/>
  <c r="L62" i="6"/>
  <c r="P62" i="6"/>
  <c r="T62" i="6"/>
  <c r="S64" i="6"/>
  <c r="Q64" i="6"/>
  <c r="O64" i="6"/>
  <c r="M64" i="6"/>
  <c r="K64" i="6"/>
  <c r="I64" i="6"/>
  <c r="L64" i="6"/>
  <c r="P64" i="6"/>
  <c r="T64" i="6"/>
  <c r="L65" i="6"/>
  <c r="S66" i="6"/>
  <c r="Q66" i="6"/>
  <c r="O66" i="6"/>
  <c r="M66" i="6"/>
  <c r="K66" i="6"/>
  <c r="I66" i="6"/>
  <c r="L66" i="6"/>
  <c r="P66" i="6"/>
  <c r="T66" i="6"/>
  <c r="S68" i="6"/>
  <c r="Q68" i="6"/>
  <c r="O68" i="6"/>
  <c r="M68" i="6"/>
  <c r="K68" i="6"/>
  <c r="I68" i="6"/>
  <c r="S69" i="6"/>
  <c r="Q69" i="6"/>
  <c r="O69" i="6"/>
  <c r="M69" i="6"/>
  <c r="K69" i="6"/>
  <c r="I69" i="6"/>
  <c r="P69" i="6"/>
  <c r="T69" i="6"/>
  <c r="S71" i="6"/>
  <c r="Q71" i="6"/>
  <c r="O71" i="6"/>
  <c r="M71" i="6"/>
  <c r="K71" i="6"/>
  <c r="I71" i="6"/>
  <c r="S72" i="6"/>
  <c r="Q72" i="6"/>
  <c r="O72" i="6"/>
  <c r="M72" i="6"/>
  <c r="K72" i="6"/>
  <c r="I72" i="6"/>
  <c r="L72" i="6"/>
  <c r="P72" i="6"/>
  <c r="T72" i="6"/>
  <c r="L73" i="6"/>
  <c r="P73" i="6"/>
  <c r="T73" i="6"/>
  <c r="S75" i="6"/>
  <c r="Q75" i="6"/>
  <c r="O75" i="6"/>
  <c r="M75" i="6"/>
  <c r="K75" i="6"/>
  <c r="I75" i="6"/>
  <c r="S76" i="6"/>
  <c r="Q76" i="6"/>
  <c r="O76" i="6"/>
  <c r="M76" i="6"/>
  <c r="K76" i="6"/>
  <c r="I76" i="6"/>
  <c r="L76" i="6"/>
  <c r="P76" i="6"/>
  <c r="T76" i="6"/>
  <c r="S78" i="6"/>
  <c r="Q78" i="6"/>
  <c r="O78" i="6"/>
  <c r="M78" i="6"/>
  <c r="K78" i="6"/>
  <c r="I78" i="6"/>
  <c r="L78" i="6"/>
  <c r="P78" i="6"/>
  <c r="T78" i="6"/>
  <c r="S80" i="6"/>
  <c r="Q80" i="6"/>
  <c r="O80" i="6"/>
  <c r="M80" i="6"/>
  <c r="K80" i="6"/>
  <c r="I80" i="6"/>
  <c r="L80" i="6"/>
  <c r="P80" i="6"/>
  <c r="T80" i="6"/>
  <c r="L81" i="6"/>
  <c r="S82" i="6"/>
  <c r="Q82" i="6"/>
  <c r="O82" i="6"/>
  <c r="M82" i="6"/>
  <c r="K82" i="6"/>
  <c r="I82" i="6"/>
  <c r="L82" i="6"/>
  <c r="P82" i="6"/>
  <c r="T82" i="6"/>
  <c r="L83" i="6"/>
  <c r="S84" i="6"/>
  <c r="Q84" i="6"/>
  <c r="O84" i="6"/>
  <c r="M84" i="6"/>
  <c r="K84" i="6"/>
  <c r="I84" i="6"/>
  <c r="L84" i="6"/>
  <c r="P84" i="6"/>
  <c r="T84" i="6"/>
  <c r="S86" i="6"/>
  <c r="Q86" i="6"/>
  <c r="O86" i="6"/>
  <c r="M86" i="6"/>
  <c r="K86" i="6"/>
  <c r="I86" i="6"/>
  <c r="L86" i="6"/>
  <c r="P86" i="6"/>
  <c r="T86" i="6"/>
  <c r="S88" i="6"/>
  <c r="Q88" i="6"/>
  <c r="O88" i="6"/>
  <c r="M88" i="6"/>
  <c r="K88" i="6"/>
  <c r="I88" i="6"/>
  <c r="S89" i="6"/>
  <c r="Q89" i="6"/>
  <c r="O89" i="6"/>
  <c r="M89" i="6"/>
  <c r="K89" i="6"/>
  <c r="I89" i="6"/>
  <c r="L89" i="6"/>
  <c r="P89" i="6"/>
  <c r="T89" i="6"/>
  <c r="S91" i="6"/>
  <c r="Q91" i="6"/>
  <c r="O91" i="6"/>
  <c r="M91" i="6"/>
  <c r="K91" i="6"/>
  <c r="I91" i="6"/>
  <c r="S92" i="6"/>
  <c r="Q92" i="6"/>
  <c r="O92" i="6"/>
  <c r="M92" i="6"/>
  <c r="K92" i="6"/>
  <c r="I92" i="6"/>
  <c r="L92" i="6"/>
  <c r="P92" i="6"/>
  <c r="T92" i="6"/>
  <c r="S93" i="6"/>
  <c r="Q93" i="6"/>
  <c r="O93" i="6"/>
  <c r="M93" i="6"/>
  <c r="K93" i="6"/>
  <c r="I93" i="6"/>
  <c r="L93" i="6"/>
  <c r="P93" i="6"/>
  <c r="T93" i="6"/>
  <c r="L94" i="6"/>
  <c r="P94" i="6"/>
  <c r="T94" i="6"/>
  <c r="S96" i="6"/>
  <c r="Q96" i="6"/>
  <c r="O96" i="6"/>
  <c r="M96" i="6"/>
  <c r="K96" i="6"/>
  <c r="I96" i="6"/>
  <c r="S97" i="6"/>
  <c r="Q97" i="6"/>
  <c r="O97" i="6"/>
  <c r="M97" i="6"/>
  <c r="K97" i="6"/>
  <c r="I97" i="6"/>
  <c r="P97" i="6"/>
  <c r="T97" i="6"/>
  <c r="S98" i="6"/>
  <c r="Q98" i="6"/>
  <c r="O98" i="6"/>
  <c r="M98" i="6"/>
  <c r="K98" i="6"/>
  <c r="I98" i="6"/>
  <c r="S99" i="6"/>
  <c r="Q99" i="6"/>
  <c r="O99" i="6"/>
  <c r="M99" i="6"/>
  <c r="K99" i="6"/>
  <c r="I99" i="6"/>
  <c r="L99" i="6"/>
  <c r="P99" i="6"/>
  <c r="T99" i="6"/>
  <c r="S101" i="6"/>
  <c r="Q101" i="6"/>
  <c r="O101" i="6"/>
  <c r="M101" i="6"/>
  <c r="K101" i="6"/>
  <c r="I101" i="6"/>
  <c r="L101" i="6"/>
  <c r="P101" i="6"/>
  <c r="T101" i="6"/>
  <c r="S103" i="6"/>
  <c r="Q103" i="6"/>
  <c r="O103" i="6"/>
  <c r="M103" i="6"/>
  <c r="K103" i="6"/>
  <c r="I103" i="6"/>
  <c r="P103" i="6"/>
  <c r="T103" i="6"/>
  <c r="S105" i="6"/>
  <c r="Q105" i="6"/>
  <c r="O105" i="6"/>
  <c r="M105" i="6"/>
  <c r="K105" i="6"/>
  <c r="I105" i="6"/>
  <c r="L105" i="6"/>
  <c r="P105" i="6"/>
  <c r="T105" i="6"/>
  <c r="S107" i="6"/>
  <c r="Q107" i="6"/>
  <c r="O107" i="6"/>
  <c r="M107" i="6"/>
  <c r="K107" i="6"/>
  <c r="I107" i="6"/>
  <c r="L107" i="6"/>
  <c r="P107" i="6"/>
  <c r="T107" i="6"/>
  <c r="L108" i="6"/>
  <c r="P108" i="6"/>
  <c r="T108" i="6"/>
  <c r="S110" i="6"/>
  <c r="Q110" i="6"/>
  <c r="O110" i="6"/>
  <c r="M110" i="6"/>
  <c r="K110" i="6"/>
  <c r="I110" i="6"/>
  <c r="L110" i="6"/>
  <c r="P110" i="6"/>
  <c r="T110" i="6"/>
  <c r="S112" i="6"/>
  <c r="Q112" i="6"/>
  <c r="O112" i="6"/>
  <c r="M112" i="6"/>
  <c r="K112" i="6"/>
  <c r="I112" i="6"/>
  <c r="L112" i="6"/>
  <c r="P112" i="6"/>
  <c r="T112" i="6"/>
  <c r="L113" i="6"/>
  <c r="S114" i="6"/>
  <c r="Q114" i="6"/>
  <c r="O114" i="6"/>
  <c r="M114" i="6"/>
  <c r="K114" i="6"/>
  <c r="I114" i="6"/>
  <c r="L114" i="6"/>
  <c r="P114" i="6"/>
  <c r="T114" i="6"/>
  <c r="L115" i="6"/>
  <c r="P115" i="6"/>
  <c r="T115" i="6"/>
  <c r="S117" i="6"/>
  <c r="Q117" i="6"/>
  <c r="O117" i="6"/>
  <c r="M117" i="6"/>
  <c r="K117" i="6"/>
  <c r="I117" i="6"/>
  <c r="L117" i="6"/>
  <c r="S119" i="6"/>
  <c r="Q119" i="6"/>
  <c r="O119" i="6"/>
  <c r="M119" i="6"/>
  <c r="K119" i="6"/>
  <c r="I119" i="6"/>
  <c r="L119" i="6"/>
  <c r="P119" i="6"/>
  <c r="T119" i="6"/>
  <c r="L120" i="6"/>
  <c r="P120" i="6"/>
  <c r="T120" i="6"/>
  <c r="S122" i="6"/>
  <c r="Q122" i="6"/>
  <c r="O122" i="6"/>
  <c r="M122" i="6"/>
  <c r="K122" i="6"/>
  <c r="I122" i="6"/>
  <c r="P122" i="6"/>
  <c r="T122" i="6"/>
  <c r="S124" i="6"/>
  <c r="Q124" i="6"/>
  <c r="O124" i="6"/>
  <c r="M124" i="6"/>
  <c r="K124" i="6"/>
  <c r="I124" i="6"/>
  <c r="L124" i="6"/>
  <c r="P124" i="6"/>
  <c r="T124" i="6"/>
  <c r="L125" i="6"/>
  <c r="S126" i="6"/>
  <c r="Q126" i="6"/>
  <c r="O126" i="6"/>
  <c r="M126" i="6"/>
  <c r="K126" i="6"/>
  <c r="I126" i="6"/>
  <c r="L126" i="6"/>
  <c r="P126" i="6"/>
  <c r="T126" i="6"/>
  <c r="S128" i="6"/>
  <c r="Q128" i="6"/>
  <c r="O128" i="6"/>
  <c r="M128" i="6"/>
  <c r="K128" i="6"/>
  <c r="I128" i="6"/>
  <c r="S129" i="6"/>
  <c r="Q129" i="6"/>
  <c r="O129" i="6"/>
  <c r="M129" i="6"/>
  <c r="K129" i="6"/>
  <c r="I129" i="6"/>
  <c r="L129" i="6"/>
  <c r="P129" i="6"/>
  <c r="T129" i="6"/>
  <c r="S131" i="6"/>
  <c r="Q131" i="6"/>
  <c r="O131" i="6"/>
  <c r="M131" i="6"/>
  <c r="K131" i="6"/>
  <c r="I131" i="6"/>
  <c r="L131" i="6"/>
  <c r="P131" i="6"/>
  <c r="T131" i="6"/>
  <c r="S133" i="6"/>
  <c r="Q133" i="6"/>
  <c r="O133" i="6"/>
  <c r="M133" i="6"/>
  <c r="K133" i="6"/>
  <c r="I133" i="6"/>
  <c r="S134" i="6"/>
  <c r="Q134" i="6"/>
  <c r="O134" i="6"/>
  <c r="M134" i="6"/>
  <c r="K134" i="6"/>
  <c r="I134" i="6"/>
  <c r="L134" i="6"/>
  <c r="P134" i="6"/>
  <c r="T134" i="6"/>
  <c r="S136" i="6"/>
  <c r="Q136" i="6"/>
  <c r="O136" i="6"/>
  <c r="M136" i="6"/>
  <c r="K136" i="6"/>
  <c r="I136" i="6"/>
  <c r="L136" i="6"/>
  <c r="P136" i="6"/>
  <c r="T136" i="6"/>
  <c r="L137" i="6"/>
  <c r="S138" i="6"/>
  <c r="Q138" i="6"/>
  <c r="O138" i="6"/>
  <c r="M138" i="6"/>
  <c r="K138" i="6"/>
  <c r="I138" i="6"/>
  <c r="L138" i="6"/>
  <c r="P138" i="6"/>
  <c r="T138" i="6"/>
  <c r="L139" i="6"/>
  <c r="P139" i="6"/>
  <c r="T139" i="6"/>
  <c r="S141" i="6"/>
  <c r="Q141" i="6"/>
  <c r="O141" i="6"/>
  <c r="M141" i="6"/>
  <c r="K141" i="6"/>
  <c r="I141" i="6"/>
  <c r="S142" i="6"/>
  <c r="Q142" i="6"/>
  <c r="O142" i="6"/>
  <c r="M142" i="6"/>
  <c r="K142" i="6"/>
  <c r="I142" i="6"/>
  <c r="L142" i="6"/>
  <c r="P142" i="6"/>
  <c r="T142" i="6"/>
  <c r="L143" i="6"/>
  <c r="P143" i="6"/>
  <c r="T143" i="6"/>
  <c r="L144" i="6"/>
  <c r="P144" i="6"/>
  <c r="T144" i="6"/>
  <c r="L145" i="6"/>
  <c r="P145" i="6"/>
  <c r="T145" i="6"/>
  <c r="S147" i="6"/>
  <c r="Q147" i="6"/>
  <c r="O147" i="6"/>
  <c r="M147" i="6"/>
  <c r="K147" i="6"/>
  <c r="I147" i="6"/>
  <c r="L147" i="6"/>
  <c r="P147" i="6"/>
  <c r="T147" i="6"/>
  <c r="L148" i="6"/>
  <c r="S149" i="6"/>
  <c r="Q149" i="6"/>
  <c r="O149" i="6"/>
  <c r="M149" i="6"/>
  <c r="K149" i="6"/>
  <c r="I149" i="6"/>
  <c r="L149" i="6"/>
  <c r="P149" i="6"/>
  <c r="T149" i="6"/>
  <c r="L150" i="6"/>
  <c r="P150" i="6"/>
  <c r="T150" i="6"/>
  <c r="S152" i="6"/>
  <c r="Q152" i="6"/>
  <c r="O152" i="6"/>
  <c r="M152" i="6"/>
  <c r="K152" i="6"/>
  <c r="I152" i="6"/>
  <c r="P152" i="6"/>
  <c r="T152" i="6"/>
  <c r="L153" i="6"/>
  <c r="P153" i="6"/>
  <c r="T153" i="6"/>
  <c r="L154" i="6"/>
  <c r="S155" i="6"/>
  <c r="Q155" i="6"/>
  <c r="O155" i="6"/>
  <c r="M155" i="6"/>
  <c r="K155" i="6"/>
  <c r="I155" i="6"/>
  <c r="L155" i="6"/>
  <c r="P155" i="6"/>
  <c r="T155" i="6"/>
  <c r="S157" i="6"/>
  <c r="Q157" i="6"/>
  <c r="O157" i="6"/>
  <c r="M157" i="6"/>
  <c r="K157" i="6"/>
  <c r="I157" i="6"/>
  <c r="P157" i="6"/>
  <c r="T157" i="6"/>
  <c r="S159" i="6"/>
  <c r="Q159" i="6"/>
  <c r="O159" i="6"/>
  <c r="M159" i="6"/>
  <c r="K159" i="6"/>
  <c r="I159" i="6"/>
  <c r="L159" i="6"/>
  <c r="P159" i="6"/>
  <c r="T159" i="6"/>
  <c r="L160" i="6"/>
  <c r="S161" i="6"/>
  <c r="Q161" i="6"/>
  <c r="O161" i="6"/>
  <c r="M161" i="6"/>
  <c r="K161" i="6"/>
  <c r="I161" i="6"/>
  <c r="L161" i="6"/>
  <c r="P161" i="6"/>
  <c r="T161" i="6"/>
  <c r="L162" i="6"/>
  <c r="P162" i="6"/>
  <c r="T162" i="6"/>
  <c r="S164" i="6"/>
  <c r="Q164" i="6"/>
  <c r="O164" i="6"/>
  <c r="M164" i="6"/>
  <c r="K164" i="6"/>
  <c r="I164" i="6"/>
  <c r="L164" i="6"/>
  <c r="P164" i="6"/>
  <c r="T164" i="6"/>
  <c r="S166" i="6"/>
  <c r="Q166" i="6"/>
  <c r="O166" i="6"/>
  <c r="M166" i="6"/>
  <c r="K166" i="6"/>
  <c r="I166" i="6"/>
  <c r="L166" i="6"/>
  <c r="P166" i="6"/>
  <c r="T166" i="6"/>
  <c r="L167" i="6"/>
  <c r="P167" i="6"/>
  <c r="T167" i="6"/>
  <c r="S169" i="6"/>
  <c r="Q169" i="6"/>
  <c r="O169" i="6"/>
  <c r="M169" i="6"/>
  <c r="K169" i="6"/>
  <c r="I169" i="6"/>
  <c r="L169" i="6"/>
  <c r="P169" i="6"/>
  <c r="T169" i="6"/>
  <c r="S171" i="6"/>
  <c r="Q171" i="6"/>
  <c r="O171" i="6"/>
  <c r="M171" i="6"/>
  <c r="K171" i="6"/>
  <c r="I171" i="6"/>
  <c r="L171" i="6"/>
  <c r="S172" i="6"/>
  <c r="Q172" i="6"/>
  <c r="O172" i="6"/>
  <c r="M172" i="6"/>
  <c r="K172" i="6"/>
  <c r="I172" i="6"/>
  <c r="L172" i="6"/>
  <c r="P172" i="6"/>
  <c r="T172" i="6"/>
  <c r="S174" i="6"/>
  <c r="Q174" i="6"/>
  <c r="O174" i="6"/>
  <c r="M174" i="6"/>
  <c r="K174" i="6"/>
  <c r="I174" i="6"/>
  <c r="L174" i="6"/>
  <c r="P174" i="6"/>
  <c r="T174" i="6"/>
  <c r="S176" i="6"/>
  <c r="Q176" i="6"/>
  <c r="O176" i="6"/>
  <c r="M176" i="6"/>
  <c r="K176" i="6"/>
  <c r="I176" i="6"/>
  <c r="S177" i="6"/>
  <c r="Q177" i="6"/>
  <c r="O177" i="6"/>
  <c r="M177" i="6"/>
  <c r="K177" i="6"/>
  <c r="I177" i="6"/>
  <c r="P177" i="6"/>
  <c r="T177" i="6"/>
  <c r="L178" i="6"/>
  <c r="P178" i="6"/>
  <c r="T178" i="6"/>
  <c r="S180" i="6"/>
  <c r="Q180" i="6"/>
  <c r="O180" i="6"/>
  <c r="M180" i="6"/>
  <c r="K180" i="6"/>
  <c r="I180" i="6"/>
  <c r="L180" i="6"/>
  <c r="P180" i="6"/>
  <c r="T180" i="6"/>
  <c r="L181" i="6"/>
  <c r="P181" i="6"/>
  <c r="T181" i="6"/>
  <c r="S183" i="6"/>
  <c r="Q183" i="6"/>
  <c r="O183" i="6"/>
  <c r="M183" i="6"/>
  <c r="K183" i="6"/>
  <c r="I183" i="6"/>
  <c r="L183" i="6"/>
  <c r="P183" i="6"/>
  <c r="T183" i="6"/>
  <c r="S185" i="6"/>
  <c r="Q185" i="6"/>
  <c r="O185" i="6"/>
  <c r="M185" i="6"/>
  <c r="K185" i="6"/>
  <c r="I185" i="6"/>
  <c r="P185" i="6"/>
  <c r="S187" i="6"/>
  <c r="Q187" i="6"/>
  <c r="O187" i="6"/>
  <c r="M187" i="6"/>
  <c r="K187" i="6"/>
  <c r="I187" i="6"/>
  <c r="P187" i="6"/>
  <c r="T187" i="6"/>
  <c r="S188" i="6"/>
  <c r="Q188" i="6"/>
  <c r="O188" i="6"/>
  <c r="M188" i="6"/>
  <c r="K188" i="6"/>
  <c r="I188" i="6"/>
  <c r="L188" i="6"/>
  <c r="P188" i="6"/>
  <c r="T188" i="6"/>
  <c r="L189" i="6"/>
  <c r="P189" i="6"/>
  <c r="T189" i="6"/>
  <c r="L190" i="6"/>
  <c r="T192" i="6"/>
  <c r="J5" i="1"/>
  <c r="L5" i="1"/>
  <c r="N5" i="1"/>
  <c r="P5" i="1"/>
  <c r="R5" i="1"/>
  <c r="T5" i="1"/>
  <c r="J7" i="1"/>
  <c r="L7" i="1"/>
  <c r="N7" i="1"/>
  <c r="P7" i="1"/>
  <c r="R7" i="1"/>
  <c r="J9" i="1"/>
  <c r="L9" i="1"/>
  <c r="N9" i="1"/>
  <c r="P9" i="1"/>
  <c r="R9" i="1"/>
  <c r="J11" i="1"/>
  <c r="L11" i="1"/>
  <c r="N11" i="1"/>
  <c r="P11" i="1"/>
  <c r="R11" i="1"/>
  <c r="J13" i="1"/>
  <c r="L13" i="1"/>
  <c r="N13" i="1"/>
  <c r="P13" i="1"/>
  <c r="R13" i="1"/>
  <c r="J15" i="1"/>
  <c r="L15" i="1"/>
  <c r="N15" i="1"/>
  <c r="P15" i="1"/>
  <c r="R15" i="1"/>
  <c r="J17" i="1"/>
  <c r="L17" i="1"/>
  <c r="N17" i="1"/>
  <c r="P17" i="1"/>
  <c r="R17" i="1"/>
  <c r="J19" i="1"/>
  <c r="L19" i="1"/>
  <c r="N19" i="1"/>
  <c r="P19" i="1"/>
  <c r="R19" i="1"/>
  <c r="J21" i="1"/>
  <c r="L21" i="1"/>
  <c r="N21" i="1"/>
  <c r="P21" i="1"/>
  <c r="R21" i="1"/>
  <c r="J23" i="1"/>
  <c r="L23" i="1"/>
  <c r="N23" i="1"/>
  <c r="P23" i="1"/>
  <c r="R23" i="1"/>
  <c r="J25" i="1"/>
  <c r="L25" i="1"/>
  <c r="N25" i="1"/>
  <c r="P25" i="1"/>
  <c r="R25" i="1"/>
  <c r="J27" i="1"/>
  <c r="L27" i="1"/>
  <c r="N27" i="1"/>
  <c r="P27" i="1"/>
  <c r="R27" i="1"/>
  <c r="J29" i="1"/>
  <c r="L29" i="1"/>
  <c r="N29" i="1"/>
  <c r="P29" i="1"/>
  <c r="R29" i="1"/>
  <c r="J31" i="1"/>
  <c r="L31" i="1"/>
  <c r="N31" i="1"/>
  <c r="P31" i="1"/>
  <c r="R31" i="1"/>
  <c r="J33" i="1"/>
  <c r="L33" i="1"/>
  <c r="N33" i="1"/>
  <c r="P33" i="1"/>
  <c r="R33" i="1"/>
  <c r="J35" i="1"/>
  <c r="L35" i="1"/>
  <c r="N35" i="1"/>
  <c r="P35" i="1"/>
  <c r="R35" i="1"/>
  <c r="J37" i="1"/>
  <c r="L37" i="1"/>
  <c r="N37" i="1"/>
  <c r="P37" i="1"/>
  <c r="R37" i="1"/>
  <c r="J39" i="1"/>
  <c r="L39" i="1"/>
  <c r="N39" i="1"/>
  <c r="P39" i="1"/>
  <c r="R39" i="1"/>
  <c r="J41" i="1"/>
  <c r="L41" i="1"/>
  <c r="N41" i="1"/>
  <c r="P41" i="1"/>
  <c r="R41" i="1"/>
  <c r="J43" i="1"/>
  <c r="L43" i="1"/>
  <c r="N43" i="1"/>
  <c r="P43" i="1"/>
  <c r="R43" i="1"/>
  <c r="J45" i="1"/>
  <c r="L45" i="1"/>
  <c r="N45" i="1"/>
  <c r="P45" i="1"/>
  <c r="R45" i="1"/>
  <c r="J47" i="1"/>
  <c r="L47" i="1"/>
  <c r="N47" i="1"/>
  <c r="P47" i="1"/>
  <c r="R47" i="1"/>
  <c r="J49" i="1"/>
  <c r="L49" i="1"/>
  <c r="N49" i="1"/>
  <c r="P49" i="1"/>
  <c r="R49" i="1"/>
  <c r="J51" i="1"/>
  <c r="L51" i="1"/>
  <c r="N51" i="1"/>
  <c r="P51" i="1"/>
  <c r="R51" i="1"/>
  <c r="J53" i="1"/>
  <c r="L53" i="1"/>
  <c r="N53" i="1"/>
  <c r="P53" i="1"/>
  <c r="R53" i="1"/>
  <c r="J55" i="1"/>
  <c r="L55" i="1"/>
  <c r="N55" i="1"/>
  <c r="P55" i="1"/>
  <c r="R55" i="1"/>
  <c r="J57" i="1"/>
  <c r="L57" i="1"/>
  <c r="N57" i="1"/>
  <c r="P57" i="1"/>
  <c r="R57" i="1"/>
  <c r="J59" i="1"/>
  <c r="L59" i="1"/>
  <c r="N59" i="1"/>
  <c r="P59" i="1"/>
  <c r="R59" i="1"/>
  <c r="J61" i="1"/>
  <c r="L61" i="1"/>
  <c r="N61" i="1"/>
  <c r="P61" i="1"/>
  <c r="R61" i="1"/>
  <c r="J63" i="1"/>
  <c r="L63" i="1"/>
  <c r="N63" i="1"/>
  <c r="P63" i="1"/>
  <c r="R63" i="1"/>
  <c r="J65" i="1"/>
  <c r="L65" i="1"/>
  <c r="N65" i="1"/>
  <c r="P65" i="1"/>
  <c r="R65" i="1"/>
  <c r="J67" i="1"/>
  <c r="L67" i="1"/>
  <c r="N67" i="1"/>
  <c r="P67" i="1"/>
  <c r="R67" i="1"/>
  <c r="J69" i="1"/>
  <c r="L69" i="1"/>
  <c r="N69" i="1"/>
  <c r="P69" i="1"/>
  <c r="R69" i="1"/>
  <c r="J71" i="1"/>
  <c r="L71" i="1"/>
  <c r="N71" i="1"/>
  <c r="P71" i="1"/>
  <c r="R71" i="1"/>
  <c r="J73" i="1"/>
  <c r="L73" i="1"/>
  <c r="N73" i="1"/>
  <c r="P73" i="1"/>
  <c r="R73" i="1"/>
  <c r="J75" i="1"/>
  <c r="L75" i="1"/>
  <c r="N75" i="1"/>
  <c r="P75" i="1"/>
  <c r="R75" i="1"/>
  <c r="J77" i="1"/>
  <c r="L77" i="1"/>
  <c r="N77" i="1"/>
  <c r="P77" i="1"/>
  <c r="R77" i="1"/>
  <c r="J79" i="1"/>
  <c r="L79" i="1"/>
  <c r="N79" i="1"/>
  <c r="P79" i="1"/>
  <c r="R79" i="1"/>
  <c r="J81" i="1"/>
  <c r="L81" i="1"/>
  <c r="N81" i="1"/>
  <c r="P81" i="1"/>
  <c r="R81" i="1"/>
  <c r="J83" i="1"/>
  <c r="L83" i="1"/>
  <c r="N83" i="1"/>
  <c r="P83" i="1"/>
  <c r="R83" i="1"/>
  <c r="J85" i="1"/>
  <c r="L85" i="1"/>
  <c r="N85" i="1"/>
  <c r="P85" i="1"/>
  <c r="R85" i="1"/>
  <c r="J87" i="1"/>
  <c r="L87" i="1"/>
  <c r="N87" i="1"/>
  <c r="P87" i="1"/>
  <c r="R87" i="1"/>
  <c r="T87" i="1"/>
  <c r="J89" i="1"/>
  <c r="L89" i="1"/>
  <c r="N89" i="1"/>
  <c r="P89" i="1"/>
  <c r="R89" i="1"/>
  <c r="J91" i="1"/>
  <c r="L91" i="1"/>
  <c r="N91" i="1"/>
  <c r="P91" i="1"/>
  <c r="R91" i="1"/>
  <c r="J93" i="1"/>
  <c r="L93" i="1"/>
  <c r="N93" i="1"/>
  <c r="P93" i="1"/>
  <c r="R93" i="1"/>
  <c r="J95" i="1"/>
  <c r="L95" i="1"/>
  <c r="N95" i="1"/>
  <c r="P95" i="1"/>
  <c r="R95" i="1"/>
  <c r="J97" i="1"/>
  <c r="L97" i="1"/>
  <c r="N97" i="1"/>
  <c r="P97" i="1"/>
  <c r="R97" i="1"/>
  <c r="J99" i="1"/>
  <c r="L99" i="1"/>
  <c r="N99" i="1"/>
  <c r="P99" i="1"/>
  <c r="R99" i="1"/>
  <c r="J101" i="1"/>
  <c r="L101" i="1"/>
  <c r="N101" i="1"/>
  <c r="P101" i="1"/>
  <c r="R101" i="1"/>
  <c r="J103" i="1"/>
  <c r="L103" i="1"/>
  <c r="N103" i="1"/>
  <c r="P103" i="1"/>
  <c r="R103" i="1"/>
  <c r="J105" i="1"/>
  <c r="L105" i="1"/>
  <c r="N105" i="1"/>
  <c r="P105" i="1"/>
  <c r="R105" i="1"/>
  <c r="J107" i="1"/>
  <c r="L107" i="1"/>
  <c r="N107" i="1"/>
  <c r="P107" i="1"/>
  <c r="R107" i="1"/>
  <c r="J109" i="1"/>
  <c r="L109" i="1"/>
  <c r="N109" i="1"/>
  <c r="P109" i="1"/>
  <c r="R109" i="1"/>
  <c r="J111" i="1"/>
  <c r="L111" i="1"/>
  <c r="N111" i="1"/>
  <c r="P111" i="1"/>
  <c r="R111" i="1"/>
  <c r="J113" i="1"/>
  <c r="L113" i="1"/>
  <c r="N113" i="1"/>
  <c r="P113" i="1"/>
  <c r="R113" i="1"/>
  <c r="J115" i="1"/>
  <c r="L115" i="1"/>
  <c r="N115" i="1"/>
  <c r="P115" i="1"/>
  <c r="R115" i="1"/>
  <c r="J117" i="1"/>
  <c r="L117" i="1"/>
  <c r="N117" i="1"/>
  <c r="P117" i="1"/>
  <c r="R117" i="1"/>
  <c r="J119" i="1"/>
  <c r="L119" i="1"/>
  <c r="N119" i="1"/>
  <c r="P119" i="1"/>
  <c r="R119" i="1"/>
  <c r="J121" i="1"/>
  <c r="L121" i="1"/>
  <c r="N121" i="1"/>
  <c r="P121" i="1"/>
  <c r="R121" i="1"/>
  <c r="J123" i="1"/>
  <c r="L123" i="1"/>
  <c r="N123" i="1"/>
  <c r="P123" i="1"/>
  <c r="R123" i="1"/>
  <c r="J125" i="1"/>
  <c r="L125" i="1"/>
  <c r="N125" i="1"/>
  <c r="P125" i="1"/>
  <c r="R125" i="1"/>
  <c r="J127" i="1"/>
  <c r="L127" i="1"/>
  <c r="N127" i="1"/>
  <c r="P127" i="1"/>
  <c r="R127" i="1"/>
  <c r="J129" i="1"/>
  <c r="L129" i="1"/>
  <c r="N129" i="1"/>
  <c r="P129" i="1"/>
  <c r="R129" i="1"/>
  <c r="J131" i="1"/>
  <c r="L131" i="1"/>
  <c r="N131" i="1"/>
  <c r="P131" i="1"/>
  <c r="R131" i="1"/>
  <c r="J133" i="1"/>
  <c r="L133" i="1"/>
  <c r="N133" i="1"/>
  <c r="P133" i="1"/>
  <c r="R133" i="1"/>
  <c r="J135" i="1"/>
  <c r="L135" i="1"/>
  <c r="N135" i="1"/>
  <c r="P135" i="1"/>
  <c r="R135" i="1"/>
  <c r="J137" i="1"/>
  <c r="L137" i="1"/>
  <c r="N137" i="1"/>
  <c r="P137" i="1"/>
  <c r="R137" i="1"/>
  <c r="J139" i="1"/>
  <c r="L139" i="1"/>
  <c r="N139" i="1"/>
  <c r="P139" i="1"/>
  <c r="R139" i="1"/>
  <c r="J141" i="1"/>
  <c r="L141" i="1"/>
  <c r="N141" i="1"/>
  <c r="P141" i="1"/>
  <c r="R141" i="1"/>
  <c r="J143" i="1"/>
  <c r="L143" i="1"/>
  <c r="N143" i="1"/>
  <c r="P143" i="1"/>
  <c r="R143" i="1"/>
  <c r="J145" i="1"/>
  <c r="L145" i="1"/>
  <c r="N145" i="1"/>
  <c r="P145" i="1"/>
  <c r="R145" i="1"/>
  <c r="J147" i="1"/>
  <c r="L147" i="1"/>
  <c r="N147" i="1"/>
  <c r="P147" i="1"/>
  <c r="R147" i="1"/>
  <c r="J149" i="1"/>
  <c r="L149" i="1"/>
  <c r="N149" i="1"/>
  <c r="P149" i="1"/>
  <c r="R149" i="1"/>
  <c r="J151" i="1"/>
  <c r="L151" i="1"/>
  <c r="N151" i="1"/>
  <c r="P151" i="1"/>
  <c r="R151" i="1"/>
  <c r="J153" i="1"/>
  <c r="L153" i="1"/>
  <c r="N153" i="1"/>
  <c r="P153" i="1"/>
  <c r="R153" i="1"/>
  <c r="J155" i="1"/>
  <c r="L155" i="1"/>
  <c r="N155" i="1"/>
  <c r="P155" i="1"/>
  <c r="R155" i="1"/>
  <c r="J157" i="1"/>
  <c r="L157" i="1"/>
  <c r="N157" i="1"/>
  <c r="P157" i="1"/>
  <c r="R157" i="1"/>
  <c r="J159" i="1"/>
  <c r="L159" i="1"/>
  <c r="N159" i="1"/>
  <c r="P159" i="1"/>
  <c r="R159" i="1"/>
  <c r="J161" i="1"/>
  <c r="L161" i="1"/>
  <c r="N161" i="1"/>
  <c r="P161" i="1"/>
  <c r="R161" i="1"/>
  <c r="J163" i="1"/>
  <c r="L163" i="1"/>
  <c r="N163" i="1"/>
  <c r="P163" i="1"/>
  <c r="R163" i="1"/>
  <c r="J165" i="1"/>
  <c r="L165" i="1"/>
  <c r="N165" i="1"/>
  <c r="P165" i="1"/>
  <c r="R165" i="1"/>
  <c r="J167" i="1"/>
  <c r="L167" i="1"/>
  <c r="N167" i="1"/>
  <c r="P167" i="1"/>
  <c r="R167" i="1"/>
  <c r="J169" i="1"/>
  <c r="L169" i="1"/>
  <c r="N169" i="1"/>
  <c r="P169" i="1"/>
  <c r="R169" i="1"/>
  <c r="J171" i="1"/>
  <c r="L171" i="1"/>
  <c r="N171" i="1"/>
  <c r="P171" i="1"/>
  <c r="R171" i="1"/>
  <c r="J173" i="1"/>
  <c r="L173" i="1"/>
  <c r="N173" i="1"/>
  <c r="P173" i="1"/>
  <c r="R173" i="1"/>
  <c r="J175" i="1"/>
  <c r="L175" i="1"/>
  <c r="N175" i="1"/>
  <c r="P175" i="1"/>
  <c r="R175" i="1"/>
  <c r="J177" i="1"/>
  <c r="L177" i="1"/>
  <c r="N177" i="1"/>
  <c r="P177" i="1"/>
  <c r="R177" i="1"/>
  <c r="J179" i="1"/>
  <c r="L179" i="1"/>
  <c r="N179" i="1"/>
  <c r="P179" i="1"/>
  <c r="R179" i="1"/>
  <c r="J181" i="1"/>
  <c r="L181" i="1"/>
  <c r="N181" i="1"/>
  <c r="P181" i="1"/>
  <c r="R181" i="1"/>
  <c r="J183" i="1"/>
  <c r="L183" i="1"/>
  <c r="N183" i="1"/>
  <c r="P183" i="1"/>
  <c r="R183" i="1"/>
  <c r="J185" i="1"/>
  <c r="L185" i="1"/>
  <c r="N185" i="1"/>
  <c r="P185" i="1"/>
  <c r="R185" i="1"/>
  <c r="J187" i="1"/>
  <c r="L187" i="1"/>
  <c r="N187" i="1"/>
  <c r="P187" i="1"/>
  <c r="R187" i="1"/>
  <c r="J189" i="1"/>
  <c r="L189" i="1"/>
  <c r="N189" i="1"/>
  <c r="P189" i="1"/>
  <c r="R189" i="1"/>
  <c r="J191" i="1"/>
  <c r="L191" i="1"/>
  <c r="N191" i="1"/>
  <c r="P191" i="1"/>
  <c r="R191" i="1"/>
  <c r="J193" i="1"/>
  <c r="L193" i="1"/>
  <c r="N193" i="1"/>
  <c r="P193" i="1"/>
  <c r="R193" i="1"/>
  <c r="J195" i="1"/>
  <c r="L195" i="1"/>
  <c r="N195" i="1"/>
  <c r="P195" i="1"/>
  <c r="R195" i="1"/>
  <c r="J197" i="1"/>
  <c r="L197" i="1"/>
  <c r="N197" i="1"/>
  <c r="P197" i="1"/>
  <c r="R197" i="1"/>
  <c r="J199" i="1"/>
  <c r="L199" i="1"/>
  <c r="N199" i="1"/>
  <c r="P199" i="1"/>
  <c r="R199" i="1"/>
  <c r="J201" i="1"/>
  <c r="L201" i="1"/>
  <c r="N201" i="1"/>
  <c r="P201" i="1"/>
  <c r="R201" i="1"/>
  <c r="J203" i="1"/>
  <c r="L203" i="1"/>
  <c r="N203" i="1"/>
  <c r="P203" i="1"/>
  <c r="R203" i="1"/>
  <c r="J205" i="1"/>
  <c r="L205" i="1"/>
  <c r="N205" i="1"/>
  <c r="P205" i="1"/>
  <c r="R205" i="1"/>
  <c r="J207" i="1"/>
  <c r="L207" i="1"/>
  <c r="N207" i="1"/>
  <c r="P207" i="1"/>
  <c r="R207" i="1"/>
  <c r="J209" i="1"/>
  <c r="L209" i="1"/>
  <c r="N209" i="1"/>
  <c r="P209" i="1"/>
  <c r="R209" i="1"/>
  <c r="J211" i="1"/>
  <c r="L211" i="1"/>
  <c r="N211" i="1"/>
  <c r="P211" i="1"/>
  <c r="R211" i="1"/>
  <c r="J213" i="1"/>
  <c r="L213" i="1"/>
  <c r="N213" i="1"/>
  <c r="P213" i="1"/>
  <c r="R213" i="1"/>
  <c r="J215" i="1"/>
  <c r="L215" i="1"/>
  <c r="N215" i="1"/>
  <c r="P215" i="1"/>
  <c r="R215" i="1"/>
  <c r="J217" i="1"/>
  <c r="L217" i="1"/>
  <c r="N217" i="1"/>
  <c r="P217" i="1"/>
  <c r="R217" i="1"/>
  <c r="J219" i="1"/>
  <c r="L219" i="1"/>
  <c r="N219" i="1"/>
  <c r="P219" i="1"/>
  <c r="R219" i="1"/>
  <c r="J221" i="1"/>
  <c r="L221" i="1"/>
  <c r="N221" i="1"/>
  <c r="P221" i="1"/>
  <c r="R221" i="1"/>
  <c r="J223" i="1"/>
  <c r="L223" i="1"/>
  <c r="N223" i="1"/>
  <c r="P223" i="1"/>
  <c r="R223" i="1"/>
  <c r="J225" i="1"/>
  <c r="L225" i="1"/>
  <c r="N225" i="1"/>
  <c r="P225" i="1"/>
  <c r="R225" i="1"/>
  <c r="J227" i="1"/>
  <c r="L227" i="1"/>
  <c r="N227" i="1"/>
  <c r="P227" i="1"/>
  <c r="R227" i="1"/>
  <c r="J229" i="1"/>
  <c r="L229" i="1"/>
  <c r="N229" i="1"/>
  <c r="P229" i="1"/>
  <c r="R229" i="1"/>
  <c r="J231" i="1"/>
  <c r="L231" i="1"/>
  <c r="N231" i="1"/>
  <c r="P231" i="1"/>
  <c r="R231" i="1"/>
  <c r="J233" i="1"/>
  <c r="L233" i="1"/>
  <c r="N233" i="1"/>
  <c r="P233" i="1"/>
  <c r="R233" i="1"/>
  <c r="J235" i="1"/>
  <c r="L235" i="1"/>
  <c r="N235" i="1"/>
  <c r="P235" i="1"/>
  <c r="R235" i="1"/>
  <c r="J237" i="1"/>
  <c r="L237" i="1"/>
  <c r="N237" i="1"/>
  <c r="P237" i="1"/>
  <c r="R237" i="1"/>
  <c r="J239" i="1"/>
  <c r="L239" i="1"/>
  <c r="N239" i="1"/>
  <c r="P239" i="1"/>
  <c r="R239" i="1"/>
  <c r="J241" i="1"/>
  <c r="L241" i="1"/>
  <c r="N241" i="1"/>
  <c r="P241" i="1"/>
  <c r="R241" i="1"/>
  <c r="J243" i="1"/>
  <c r="L243" i="1"/>
  <c r="N243" i="1"/>
  <c r="P243" i="1"/>
  <c r="R243" i="1"/>
  <c r="J245" i="1"/>
  <c r="L245" i="1"/>
  <c r="N245" i="1"/>
  <c r="P245" i="1"/>
  <c r="R245" i="1"/>
  <c r="J247" i="1"/>
  <c r="L247" i="1"/>
  <c r="N247" i="1"/>
  <c r="P247" i="1"/>
  <c r="R247" i="1"/>
  <c r="J249" i="1"/>
  <c r="L249" i="1"/>
  <c r="N249" i="1"/>
  <c r="P249" i="1"/>
  <c r="R249" i="1"/>
  <c r="J251" i="1"/>
  <c r="L251" i="1"/>
  <c r="N251" i="1"/>
  <c r="P251" i="1"/>
  <c r="R251" i="1"/>
  <c r="J253" i="1"/>
  <c r="L253" i="1"/>
  <c r="N253" i="1"/>
  <c r="P253" i="1"/>
  <c r="R253" i="1"/>
  <c r="J255" i="1"/>
  <c r="L255" i="1"/>
  <c r="N255" i="1"/>
  <c r="P255" i="1"/>
  <c r="R255" i="1"/>
  <c r="J257" i="1"/>
  <c r="L257" i="1"/>
  <c r="N257" i="1"/>
  <c r="P257" i="1"/>
  <c r="R257" i="1"/>
  <c r="J259" i="1"/>
  <c r="L259" i="1"/>
  <c r="N259" i="1"/>
  <c r="P259" i="1"/>
  <c r="R259" i="1"/>
  <c r="J261" i="1"/>
  <c r="L261" i="1"/>
  <c r="N261" i="1"/>
  <c r="P261" i="1"/>
  <c r="R261" i="1"/>
  <c r="J263" i="1"/>
  <c r="L263" i="1"/>
  <c r="N263" i="1"/>
  <c r="P263" i="1"/>
  <c r="R263" i="1"/>
  <c r="J265" i="1"/>
  <c r="L265" i="1"/>
  <c r="N265" i="1"/>
  <c r="P265" i="1"/>
  <c r="R265" i="1"/>
  <c r="J267" i="1"/>
  <c r="L267" i="1"/>
  <c r="N267" i="1"/>
  <c r="P267" i="1"/>
  <c r="R267" i="1"/>
  <c r="J269" i="1"/>
  <c r="L269" i="1"/>
  <c r="N269" i="1"/>
  <c r="P269" i="1"/>
  <c r="R269" i="1"/>
  <c r="J271" i="1"/>
  <c r="L271" i="1"/>
  <c r="N271" i="1"/>
  <c r="P271" i="1"/>
  <c r="R271" i="1"/>
  <c r="J273" i="1"/>
  <c r="L273" i="1"/>
  <c r="N273" i="1"/>
  <c r="P273" i="1"/>
  <c r="R273" i="1"/>
  <c r="J275" i="1"/>
  <c r="L275" i="1"/>
  <c r="N275" i="1"/>
  <c r="P275" i="1"/>
  <c r="R275" i="1"/>
  <c r="J277" i="1"/>
  <c r="L277" i="1"/>
  <c r="N277" i="1"/>
  <c r="P277" i="1"/>
  <c r="R277" i="1"/>
  <c r="J279" i="1"/>
  <c r="L279" i="1"/>
  <c r="N279" i="1"/>
  <c r="P279" i="1"/>
  <c r="R279" i="1"/>
  <c r="J281" i="1"/>
  <c r="L281" i="1"/>
  <c r="N281" i="1"/>
  <c r="P281" i="1"/>
  <c r="R281" i="1"/>
  <c r="J283" i="1"/>
  <c r="L283" i="1"/>
  <c r="N283" i="1"/>
  <c r="P283" i="1"/>
  <c r="R283" i="1"/>
  <c r="J285" i="1"/>
  <c r="L285" i="1"/>
  <c r="N285" i="1"/>
  <c r="P285" i="1"/>
  <c r="R285" i="1"/>
  <c r="J287" i="1"/>
  <c r="L287" i="1"/>
  <c r="N287" i="1"/>
  <c r="P287" i="1"/>
  <c r="R287" i="1"/>
  <c r="J289" i="1"/>
  <c r="L289" i="1"/>
  <c r="N289" i="1"/>
  <c r="P289" i="1"/>
  <c r="R289" i="1"/>
  <c r="J291" i="1"/>
  <c r="L291" i="1"/>
  <c r="N291" i="1"/>
  <c r="P291" i="1"/>
  <c r="R291" i="1"/>
  <c r="J293" i="1"/>
  <c r="L293" i="1"/>
  <c r="N293" i="1"/>
  <c r="P293" i="1"/>
  <c r="R293" i="1"/>
  <c r="J295" i="1"/>
  <c r="L295" i="1"/>
  <c r="N295" i="1"/>
  <c r="P295" i="1"/>
  <c r="R295" i="1"/>
  <c r="J297" i="1"/>
  <c r="L297" i="1"/>
  <c r="N297" i="1"/>
  <c r="P297" i="1"/>
  <c r="R297" i="1"/>
  <c r="J299" i="1"/>
  <c r="L299" i="1"/>
  <c r="N299" i="1"/>
  <c r="P299" i="1"/>
  <c r="R299" i="1"/>
  <c r="J301" i="1"/>
  <c r="L301" i="1"/>
  <c r="N301" i="1"/>
  <c r="P301" i="1"/>
  <c r="R301" i="1"/>
  <c r="J303" i="1"/>
  <c r="L303" i="1"/>
  <c r="N303" i="1"/>
  <c r="P303" i="1"/>
  <c r="R303" i="1"/>
  <c r="J305" i="1"/>
  <c r="L305" i="1"/>
  <c r="N305" i="1"/>
  <c r="P305" i="1"/>
  <c r="R305" i="1"/>
  <c r="J307" i="1"/>
  <c r="L307" i="1"/>
  <c r="N307" i="1"/>
  <c r="P307" i="1"/>
  <c r="R307" i="1"/>
  <c r="J309" i="1"/>
  <c r="L309" i="1"/>
  <c r="N309" i="1"/>
  <c r="P309" i="1"/>
  <c r="R309" i="1"/>
  <c r="J311" i="1"/>
  <c r="L311" i="1"/>
  <c r="N311" i="1"/>
  <c r="P311" i="1"/>
  <c r="R311" i="1"/>
  <c r="J313" i="1"/>
  <c r="L313" i="1"/>
  <c r="N313" i="1"/>
  <c r="P313" i="1"/>
  <c r="R313" i="1"/>
  <c r="J315" i="1"/>
  <c r="L315" i="1"/>
  <c r="N315" i="1"/>
  <c r="P315" i="1"/>
  <c r="R315" i="1"/>
  <c r="J317" i="1"/>
  <c r="L317" i="1"/>
  <c r="N317" i="1"/>
  <c r="P317" i="1"/>
  <c r="R317" i="1"/>
  <c r="J319" i="1"/>
  <c r="L319" i="1"/>
  <c r="N319" i="1"/>
  <c r="P319" i="1"/>
  <c r="R319" i="1"/>
  <c r="J321" i="1"/>
  <c r="L321" i="1"/>
  <c r="N321" i="1"/>
  <c r="P321" i="1"/>
  <c r="R321" i="1"/>
  <c r="J323" i="1"/>
  <c r="L323" i="1"/>
  <c r="N323" i="1"/>
  <c r="P323" i="1"/>
  <c r="R323" i="1"/>
  <c r="J325" i="1"/>
  <c r="L325" i="1"/>
  <c r="N325" i="1"/>
  <c r="P325" i="1"/>
  <c r="R325" i="1"/>
  <c r="J327" i="1"/>
  <c r="L327" i="1"/>
  <c r="N327" i="1"/>
  <c r="P327" i="1"/>
  <c r="R327" i="1"/>
  <c r="J329" i="1"/>
  <c r="L329" i="1"/>
  <c r="N329" i="1"/>
  <c r="P329" i="1"/>
  <c r="R329" i="1"/>
  <c r="J331" i="1"/>
  <c r="L331" i="1"/>
  <c r="N331" i="1"/>
  <c r="P331" i="1"/>
  <c r="R331" i="1"/>
  <c r="J333" i="1"/>
  <c r="L333" i="1"/>
  <c r="N333" i="1"/>
  <c r="P333" i="1"/>
  <c r="R333" i="1"/>
  <c r="J335" i="1"/>
  <c r="L335" i="1"/>
  <c r="N335" i="1"/>
  <c r="P335" i="1"/>
  <c r="R335" i="1"/>
  <c r="J337" i="1"/>
  <c r="L337" i="1"/>
  <c r="N337" i="1"/>
  <c r="P337" i="1"/>
  <c r="R337" i="1"/>
  <c r="J339" i="1"/>
  <c r="L339" i="1"/>
  <c r="N339" i="1"/>
  <c r="P339" i="1"/>
  <c r="R339" i="1"/>
  <c r="J341" i="1"/>
  <c r="L341" i="1"/>
  <c r="N341" i="1"/>
  <c r="P341" i="1"/>
  <c r="R341" i="1"/>
  <c r="J343" i="1"/>
  <c r="L343" i="1"/>
  <c r="N343" i="1"/>
  <c r="P343" i="1"/>
  <c r="R343" i="1"/>
  <c r="J345" i="1"/>
  <c r="L345" i="1"/>
  <c r="N345" i="1"/>
  <c r="P345" i="1"/>
  <c r="R345" i="1"/>
  <c r="J347" i="1"/>
  <c r="L347" i="1"/>
  <c r="N347" i="1"/>
  <c r="P347" i="1"/>
  <c r="R347" i="1"/>
  <c r="J349" i="1"/>
  <c r="L349" i="1"/>
  <c r="N349" i="1"/>
  <c r="P349" i="1"/>
  <c r="R349" i="1"/>
  <c r="J351" i="1"/>
  <c r="L351" i="1"/>
  <c r="N351" i="1"/>
  <c r="P351" i="1"/>
  <c r="R351" i="1"/>
  <c r="J353" i="1"/>
  <c r="L353" i="1"/>
  <c r="N353" i="1"/>
  <c r="P353" i="1"/>
  <c r="R353" i="1"/>
  <c r="J355" i="1"/>
  <c r="L355" i="1"/>
  <c r="N355" i="1"/>
  <c r="P355" i="1"/>
  <c r="R355" i="1"/>
  <c r="J357" i="1"/>
  <c r="L357" i="1"/>
  <c r="N357" i="1"/>
  <c r="P357" i="1"/>
  <c r="R357" i="1"/>
  <c r="J359" i="1"/>
  <c r="L359" i="1"/>
  <c r="N359" i="1"/>
  <c r="P359" i="1"/>
  <c r="R359" i="1"/>
  <c r="J361" i="1"/>
  <c r="L361" i="1"/>
  <c r="N361" i="1"/>
  <c r="P361" i="1"/>
  <c r="R361" i="1"/>
  <c r="J363" i="1"/>
  <c r="L363" i="1"/>
  <c r="N363" i="1"/>
  <c r="P363" i="1"/>
  <c r="R363" i="1"/>
  <c r="J365" i="1"/>
  <c r="L365" i="1"/>
  <c r="N365" i="1"/>
  <c r="P365" i="1"/>
  <c r="R365" i="1"/>
  <c r="J367" i="1"/>
  <c r="L367" i="1"/>
  <c r="N367" i="1"/>
  <c r="P367" i="1"/>
  <c r="R367" i="1"/>
  <c r="J369" i="1"/>
  <c r="L369" i="1"/>
  <c r="N369" i="1"/>
  <c r="P369" i="1"/>
  <c r="R369" i="1"/>
  <c r="J371" i="1"/>
  <c r="L371" i="1"/>
  <c r="N371" i="1"/>
  <c r="P371" i="1"/>
  <c r="R371" i="1"/>
  <c r="J373" i="1"/>
  <c r="L373" i="1"/>
  <c r="N373" i="1"/>
  <c r="P373" i="1"/>
  <c r="R373" i="1"/>
  <c r="J375" i="1"/>
  <c r="L375" i="1"/>
  <c r="N375" i="1"/>
  <c r="P375" i="1"/>
  <c r="R375" i="1"/>
  <c r="J377" i="1"/>
  <c r="L377" i="1"/>
  <c r="N377" i="1"/>
  <c r="P377" i="1"/>
  <c r="R377" i="1"/>
  <c r="J379" i="1"/>
  <c r="L379" i="1"/>
  <c r="N379" i="1"/>
  <c r="P379" i="1"/>
  <c r="R379" i="1"/>
  <c r="J381" i="1"/>
  <c r="L381" i="1"/>
  <c r="N381" i="1"/>
  <c r="P381" i="1"/>
  <c r="R381" i="1"/>
  <c r="J383" i="1"/>
  <c r="L383" i="1"/>
  <c r="N383" i="1"/>
  <c r="P383" i="1"/>
  <c r="R383" i="1"/>
  <c r="J385" i="1"/>
  <c r="L385" i="1"/>
  <c r="N385" i="1"/>
  <c r="P385" i="1"/>
  <c r="R385" i="1"/>
  <c r="J387" i="1"/>
  <c r="L387" i="1"/>
  <c r="N387" i="1"/>
  <c r="P387" i="1"/>
  <c r="R387" i="1"/>
  <c r="J389" i="1"/>
  <c r="L389" i="1"/>
  <c r="N389" i="1"/>
  <c r="P389" i="1"/>
  <c r="R389" i="1"/>
  <c r="J391" i="1"/>
  <c r="L391" i="1"/>
  <c r="N391" i="1"/>
  <c r="P391" i="1"/>
  <c r="R391" i="1"/>
  <c r="J393" i="1"/>
  <c r="L393" i="1"/>
  <c r="N393" i="1"/>
  <c r="P393" i="1"/>
  <c r="R393" i="1"/>
  <c r="J395" i="1"/>
  <c r="L395" i="1"/>
  <c r="N395" i="1"/>
  <c r="P395" i="1"/>
  <c r="R395" i="1"/>
  <c r="J397" i="1"/>
  <c r="L397" i="1"/>
  <c r="N397" i="1"/>
  <c r="P397" i="1"/>
  <c r="R397" i="1"/>
  <c r="J399" i="1"/>
  <c r="L399" i="1"/>
  <c r="N399" i="1"/>
  <c r="P399" i="1"/>
  <c r="R399" i="1"/>
  <c r="J401" i="1"/>
  <c r="L401" i="1"/>
  <c r="N401" i="1"/>
  <c r="P401" i="1"/>
  <c r="R401" i="1"/>
  <c r="J403" i="1"/>
  <c r="L403" i="1"/>
  <c r="N403" i="1"/>
  <c r="P403" i="1"/>
  <c r="R403" i="1"/>
  <c r="J405" i="1"/>
  <c r="L405" i="1"/>
  <c r="N405" i="1"/>
  <c r="P405" i="1"/>
  <c r="R405" i="1"/>
  <c r="J407" i="1"/>
  <c r="L407" i="1"/>
  <c r="N407" i="1"/>
  <c r="P407" i="1"/>
  <c r="R407" i="1"/>
  <c r="J409" i="1"/>
  <c r="L409" i="1"/>
  <c r="N409" i="1"/>
  <c r="P409" i="1"/>
  <c r="R409" i="1"/>
  <c r="J411" i="1"/>
  <c r="L411" i="1"/>
  <c r="N411" i="1"/>
  <c r="P411" i="1"/>
  <c r="R411" i="1"/>
  <c r="J413" i="1"/>
  <c r="L413" i="1"/>
  <c r="N413" i="1"/>
  <c r="P413" i="1"/>
  <c r="R413" i="1"/>
  <c r="J415" i="1"/>
  <c r="L415" i="1"/>
  <c r="N415" i="1"/>
  <c r="P415" i="1"/>
  <c r="R415" i="1"/>
  <c r="J417" i="1"/>
  <c r="L417" i="1"/>
  <c r="N417" i="1"/>
  <c r="P417" i="1"/>
  <c r="R417" i="1"/>
  <c r="J419" i="1"/>
  <c r="L419" i="1"/>
  <c r="N419" i="1"/>
  <c r="P419" i="1"/>
  <c r="R419" i="1"/>
  <c r="J421" i="1"/>
  <c r="L421" i="1"/>
  <c r="N421" i="1"/>
  <c r="P421" i="1"/>
  <c r="R421" i="1"/>
  <c r="J423" i="1"/>
  <c r="L423" i="1"/>
  <c r="N423" i="1"/>
  <c r="P423" i="1"/>
  <c r="R423" i="1"/>
  <c r="J425" i="1"/>
  <c r="L425" i="1"/>
  <c r="N425" i="1"/>
  <c r="P425" i="1"/>
  <c r="R425" i="1"/>
  <c r="J427" i="1"/>
  <c r="L427" i="1"/>
  <c r="N427" i="1"/>
  <c r="P427" i="1"/>
  <c r="R427" i="1"/>
  <c r="J429" i="1"/>
  <c r="L429" i="1"/>
  <c r="N429" i="1"/>
  <c r="P429" i="1"/>
  <c r="R429" i="1"/>
  <c r="J431" i="1"/>
  <c r="L431" i="1"/>
  <c r="N431" i="1"/>
  <c r="P431" i="1"/>
  <c r="R431" i="1"/>
  <c r="J433" i="1"/>
  <c r="L433" i="1"/>
  <c r="N433" i="1"/>
  <c r="P433" i="1"/>
  <c r="R433" i="1"/>
  <c r="J435" i="1"/>
  <c r="L435" i="1"/>
  <c r="N435" i="1"/>
  <c r="P435" i="1"/>
  <c r="R435" i="1"/>
  <c r="J437" i="1"/>
  <c r="L437" i="1"/>
  <c r="N437" i="1"/>
  <c r="P437" i="1"/>
  <c r="R437" i="1"/>
  <c r="J439" i="1"/>
  <c r="L439" i="1"/>
  <c r="N439" i="1"/>
  <c r="P439" i="1"/>
  <c r="R439" i="1"/>
  <c r="J441" i="1"/>
  <c r="L441" i="1"/>
  <c r="N441" i="1"/>
  <c r="P441" i="1"/>
  <c r="R441" i="1"/>
  <c r="J443" i="1"/>
  <c r="L443" i="1"/>
  <c r="N443" i="1"/>
  <c r="P443" i="1"/>
  <c r="R443" i="1"/>
  <c r="J445" i="1"/>
  <c r="L445" i="1"/>
  <c r="N445" i="1"/>
  <c r="P445" i="1"/>
  <c r="R445" i="1"/>
  <c r="J447" i="1"/>
  <c r="L447" i="1"/>
  <c r="N447" i="1"/>
  <c r="P447" i="1"/>
  <c r="R447" i="1"/>
  <c r="J449" i="1"/>
  <c r="L449" i="1"/>
  <c r="N449" i="1"/>
  <c r="P449" i="1"/>
  <c r="R449" i="1"/>
  <c r="J451" i="1"/>
  <c r="L451" i="1"/>
  <c r="N451" i="1"/>
  <c r="P451" i="1"/>
  <c r="R451" i="1"/>
  <c r="J453" i="1"/>
  <c r="L453" i="1"/>
  <c r="N453" i="1"/>
  <c r="P453" i="1"/>
  <c r="R453" i="1"/>
  <c r="J455" i="1"/>
  <c r="L455" i="1"/>
  <c r="N455" i="1"/>
  <c r="P455" i="1"/>
  <c r="R455" i="1"/>
  <c r="J457" i="1"/>
  <c r="L457" i="1"/>
  <c r="N457" i="1"/>
  <c r="P457" i="1"/>
  <c r="R457" i="1"/>
  <c r="J459" i="1"/>
  <c r="L459" i="1"/>
  <c r="N459" i="1"/>
  <c r="P459" i="1"/>
  <c r="R459" i="1"/>
  <c r="J461" i="1"/>
  <c r="L461" i="1"/>
  <c r="N461" i="1"/>
  <c r="P461" i="1"/>
  <c r="R461" i="1"/>
  <c r="J463" i="1"/>
  <c r="L463" i="1"/>
  <c r="N463" i="1"/>
  <c r="P463" i="1"/>
  <c r="R463" i="1"/>
  <c r="J465" i="1"/>
  <c r="L465" i="1"/>
  <c r="N465" i="1"/>
  <c r="P465" i="1"/>
  <c r="R465" i="1"/>
  <c r="J467" i="1"/>
  <c r="L467" i="1"/>
  <c r="N467" i="1"/>
  <c r="P467" i="1"/>
  <c r="R467" i="1"/>
  <c r="J469" i="1"/>
  <c r="L469" i="1"/>
  <c r="N469" i="1"/>
  <c r="P469" i="1"/>
  <c r="R469" i="1"/>
  <c r="J471" i="1"/>
  <c r="L471" i="1"/>
  <c r="N471" i="1"/>
  <c r="P471" i="1"/>
  <c r="R471" i="1"/>
  <c r="J473" i="1"/>
  <c r="L473" i="1"/>
  <c r="N473" i="1"/>
  <c r="P473" i="1"/>
  <c r="R473" i="1"/>
  <c r="J475" i="1"/>
  <c r="L475" i="1"/>
  <c r="N475" i="1"/>
  <c r="P475" i="1"/>
  <c r="R475" i="1"/>
  <c r="J477" i="1"/>
  <c r="L477" i="1"/>
  <c r="N477" i="1"/>
  <c r="P477" i="1"/>
  <c r="R477" i="1"/>
  <c r="J479" i="1"/>
  <c r="L479" i="1"/>
  <c r="N479" i="1"/>
  <c r="P479" i="1"/>
  <c r="R479" i="1"/>
  <c r="J481" i="1"/>
  <c r="L481" i="1"/>
  <c r="N481" i="1"/>
  <c r="P481" i="1"/>
  <c r="R481" i="1"/>
  <c r="J483" i="1"/>
  <c r="L483" i="1"/>
  <c r="N483" i="1"/>
  <c r="P483" i="1"/>
  <c r="R483" i="1"/>
  <c r="J485" i="1"/>
  <c r="L485" i="1"/>
  <c r="N485" i="1"/>
  <c r="P485" i="1"/>
  <c r="R485" i="1"/>
  <c r="J487" i="1"/>
  <c r="L487" i="1"/>
  <c r="N487" i="1"/>
  <c r="P487" i="1"/>
  <c r="R487" i="1"/>
  <c r="J489" i="1"/>
  <c r="L489" i="1"/>
  <c r="N489" i="1"/>
  <c r="P489" i="1"/>
  <c r="R489" i="1"/>
  <c r="J491" i="1"/>
  <c r="L491" i="1"/>
  <c r="N491" i="1"/>
  <c r="P491" i="1"/>
  <c r="R491" i="1"/>
  <c r="J493" i="1"/>
  <c r="L493" i="1"/>
  <c r="N493" i="1"/>
  <c r="P493" i="1"/>
  <c r="R493" i="1"/>
  <c r="J495" i="1"/>
  <c r="L495" i="1"/>
  <c r="N495" i="1"/>
  <c r="P495" i="1"/>
  <c r="R495" i="1"/>
  <c r="J497" i="1"/>
  <c r="L497" i="1"/>
  <c r="N497" i="1"/>
  <c r="P497" i="1"/>
  <c r="R497" i="1"/>
  <c r="J499" i="1"/>
  <c r="L499" i="1"/>
  <c r="N499" i="1"/>
  <c r="P499" i="1"/>
  <c r="R499" i="1"/>
  <c r="J501" i="1"/>
  <c r="L501" i="1"/>
  <c r="N501" i="1"/>
  <c r="P501" i="1"/>
  <c r="R501" i="1"/>
  <c r="J503" i="1"/>
  <c r="L503" i="1"/>
  <c r="N503" i="1"/>
  <c r="P503" i="1"/>
  <c r="R503" i="1"/>
  <c r="J505" i="1"/>
  <c r="L505" i="1"/>
  <c r="N505" i="1"/>
  <c r="P505" i="1"/>
  <c r="R505" i="1"/>
  <c r="J507" i="1"/>
  <c r="L507" i="1"/>
  <c r="N507" i="1"/>
  <c r="P507" i="1"/>
  <c r="R507" i="1"/>
  <c r="J509" i="1"/>
  <c r="L509" i="1"/>
  <c r="N509" i="1"/>
  <c r="P509" i="1"/>
  <c r="R509" i="1"/>
  <c r="J511" i="1"/>
  <c r="L511" i="1"/>
  <c r="N511" i="1"/>
  <c r="P511" i="1"/>
  <c r="R511" i="1"/>
  <c r="J513" i="1"/>
  <c r="L513" i="1"/>
  <c r="N513" i="1"/>
  <c r="P513" i="1"/>
  <c r="R513" i="1"/>
  <c r="J515" i="1"/>
  <c r="L515" i="1"/>
  <c r="N515" i="1"/>
  <c r="P515" i="1"/>
  <c r="R515" i="1"/>
  <c r="J517" i="1"/>
  <c r="L517" i="1"/>
  <c r="N517" i="1"/>
  <c r="P517" i="1"/>
  <c r="R517" i="1"/>
  <c r="J519" i="1"/>
  <c r="L519" i="1"/>
  <c r="N519" i="1"/>
  <c r="P519" i="1"/>
  <c r="R519" i="1"/>
  <c r="J521" i="1"/>
  <c r="L521" i="1"/>
  <c r="N521" i="1"/>
  <c r="P521" i="1"/>
  <c r="R521" i="1"/>
  <c r="J523" i="1"/>
  <c r="L523" i="1"/>
  <c r="N523" i="1"/>
  <c r="P523" i="1"/>
  <c r="R523" i="1"/>
  <c r="J525" i="1"/>
  <c r="L525" i="1"/>
  <c r="N525" i="1"/>
  <c r="P525" i="1"/>
  <c r="R525" i="1"/>
  <c r="J527" i="1"/>
  <c r="L527" i="1"/>
  <c r="N527" i="1"/>
  <c r="P527" i="1"/>
  <c r="R527" i="1"/>
  <c r="J529" i="1"/>
  <c r="L529" i="1"/>
  <c r="N529" i="1"/>
  <c r="P529" i="1"/>
  <c r="R529" i="1"/>
  <c r="J531" i="1"/>
  <c r="L531" i="1"/>
  <c r="N531" i="1"/>
  <c r="P531" i="1"/>
  <c r="R531" i="1"/>
  <c r="J533" i="1"/>
  <c r="L533" i="1"/>
  <c r="N533" i="1"/>
  <c r="P533" i="1"/>
  <c r="R533" i="1"/>
  <c r="J535" i="1"/>
  <c r="L535" i="1"/>
  <c r="N535" i="1"/>
  <c r="P535" i="1"/>
  <c r="R535" i="1"/>
  <c r="J537" i="1"/>
  <c r="L537" i="1"/>
  <c r="N537" i="1"/>
  <c r="P537" i="1"/>
  <c r="R537" i="1"/>
  <c r="J539" i="1"/>
  <c r="L539" i="1"/>
  <c r="N539" i="1"/>
  <c r="P539" i="1"/>
  <c r="R539" i="1"/>
  <c r="J541" i="1"/>
  <c r="L541" i="1"/>
  <c r="N541" i="1"/>
  <c r="P541" i="1"/>
  <c r="R541" i="1"/>
  <c r="J543" i="1"/>
  <c r="L543" i="1"/>
  <c r="N543" i="1"/>
  <c r="P543" i="1"/>
  <c r="R543" i="1"/>
  <c r="J545" i="1"/>
  <c r="L545" i="1"/>
  <c r="N545" i="1"/>
  <c r="P545" i="1"/>
  <c r="R545" i="1"/>
  <c r="J547" i="1"/>
  <c r="L547" i="1"/>
  <c r="N547" i="1"/>
  <c r="P547" i="1"/>
  <c r="R547" i="1"/>
  <c r="J549" i="1"/>
  <c r="L549" i="1"/>
  <c r="N549" i="1"/>
  <c r="P549" i="1"/>
  <c r="R549" i="1"/>
  <c r="J551" i="1"/>
  <c r="L551" i="1"/>
  <c r="N551" i="1"/>
  <c r="P551" i="1"/>
  <c r="R551" i="1"/>
  <c r="J553" i="1"/>
  <c r="L553" i="1"/>
  <c r="N553" i="1"/>
  <c r="P553" i="1"/>
  <c r="R553" i="1"/>
  <c r="J555" i="1"/>
  <c r="L555" i="1"/>
  <c r="N555" i="1"/>
  <c r="P555" i="1"/>
  <c r="R555" i="1"/>
  <c r="J557" i="1"/>
  <c r="L557" i="1"/>
  <c r="N557" i="1"/>
  <c r="P557" i="1"/>
  <c r="R557" i="1"/>
  <c r="J559" i="1"/>
  <c r="L559" i="1"/>
  <c r="N559" i="1"/>
  <c r="P559" i="1"/>
  <c r="R559" i="1"/>
  <c r="J561" i="1"/>
  <c r="L561" i="1"/>
  <c r="N561" i="1"/>
  <c r="P561" i="1"/>
  <c r="R561" i="1"/>
  <c r="J563" i="1"/>
  <c r="L563" i="1"/>
  <c r="N563" i="1"/>
  <c r="P563" i="1"/>
  <c r="R563" i="1"/>
  <c r="J565" i="1"/>
  <c r="L565" i="1"/>
  <c r="N565" i="1"/>
  <c r="P565" i="1"/>
  <c r="R565" i="1"/>
  <c r="J567" i="1"/>
  <c r="L567" i="1"/>
  <c r="N567" i="1"/>
  <c r="P567" i="1"/>
  <c r="R567" i="1"/>
  <c r="J569" i="1"/>
  <c r="L569" i="1"/>
  <c r="N569" i="1"/>
  <c r="P569" i="1"/>
  <c r="R569" i="1"/>
  <c r="J571" i="1"/>
  <c r="L571" i="1"/>
  <c r="N571" i="1"/>
  <c r="P571" i="1"/>
  <c r="R571" i="1"/>
  <c r="J573" i="1"/>
  <c r="L573" i="1"/>
  <c r="N573" i="1"/>
  <c r="P573" i="1"/>
  <c r="R573" i="1"/>
  <c r="J575" i="1"/>
  <c r="L575" i="1"/>
  <c r="N575" i="1"/>
  <c r="P575" i="1"/>
  <c r="R575" i="1"/>
  <c r="J577" i="1"/>
  <c r="L577" i="1"/>
  <c r="N577" i="1"/>
  <c r="P577" i="1"/>
  <c r="R577" i="1"/>
  <c r="J579" i="1"/>
  <c r="L579" i="1"/>
  <c r="N579" i="1"/>
  <c r="P579" i="1"/>
  <c r="R579" i="1"/>
  <c r="J581" i="1"/>
  <c r="L581" i="1"/>
  <c r="N581" i="1"/>
  <c r="P581" i="1"/>
  <c r="R581" i="1"/>
  <c r="J583" i="1"/>
  <c r="L583" i="1"/>
  <c r="N583" i="1"/>
  <c r="P583" i="1"/>
  <c r="R583" i="1"/>
  <c r="J585" i="1"/>
  <c r="L585" i="1"/>
  <c r="N585" i="1"/>
  <c r="P585" i="1"/>
  <c r="R585" i="1"/>
  <c r="J587" i="1"/>
  <c r="L587" i="1"/>
  <c r="N587" i="1"/>
  <c r="P587" i="1"/>
  <c r="R587" i="1"/>
  <c r="J589" i="1"/>
  <c r="L589" i="1"/>
  <c r="N589" i="1"/>
  <c r="P589" i="1"/>
  <c r="R589" i="1"/>
  <c r="J591" i="1"/>
  <c r="L591" i="1"/>
  <c r="N591" i="1"/>
  <c r="P591" i="1"/>
  <c r="R591" i="1"/>
  <c r="J593" i="1"/>
  <c r="L593" i="1"/>
  <c r="N593" i="1"/>
  <c r="P593" i="1"/>
  <c r="R593" i="1"/>
  <c r="J595" i="1"/>
  <c r="L595" i="1"/>
  <c r="N595" i="1"/>
  <c r="P595" i="1"/>
  <c r="R595" i="1"/>
  <c r="J597" i="1"/>
  <c r="L597" i="1"/>
  <c r="N597" i="1"/>
  <c r="P597" i="1"/>
  <c r="R597" i="1"/>
  <c r="J599" i="1"/>
  <c r="L599" i="1"/>
  <c r="N599" i="1"/>
  <c r="P599" i="1"/>
  <c r="R599" i="1"/>
  <c r="J601" i="1"/>
  <c r="L601" i="1"/>
  <c r="N601" i="1"/>
  <c r="P601" i="1"/>
  <c r="R601" i="1"/>
  <c r="J603" i="1"/>
  <c r="L603" i="1"/>
  <c r="N603" i="1"/>
  <c r="P603" i="1"/>
  <c r="R603" i="1"/>
  <c r="J605" i="1"/>
  <c r="L605" i="1"/>
  <c r="N605" i="1"/>
  <c r="P605" i="1"/>
  <c r="R605" i="1"/>
  <c r="J607" i="1"/>
  <c r="L607" i="1"/>
  <c r="N607" i="1"/>
  <c r="P607" i="1"/>
  <c r="R607" i="1"/>
  <c r="J609" i="1"/>
  <c r="L609" i="1"/>
  <c r="N609" i="1"/>
  <c r="P609" i="1"/>
  <c r="R609" i="1"/>
  <c r="J611" i="1"/>
  <c r="L611" i="1"/>
  <c r="N611" i="1"/>
  <c r="P611" i="1"/>
  <c r="R611" i="1"/>
  <c r="J613" i="1"/>
  <c r="L613" i="1"/>
  <c r="N613" i="1"/>
  <c r="P613" i="1"/>
  <c r="R613" i="1"/>
  <c r="J615" i="1"/>
  <c r="L615" i="1"/>
  <c r="N615" i="1"/>
  <c r="P615" i="1"/>
  <c r="R615" i="1"/>
  <c r="J617" i="1"/>
  <c r="L617" i="1"/>
  <c r="N617" i="1"/>
  <c r="P617" i="1"/>
  <c r="R617" i="1"/>
  <c r="J619" i="1"/>
  <c r="L619" i="1"/>
  <c r="N619" i="1"/>
  <c r="P619" i="1"/>
  <c r="R619" i="1"/>
  <c r="J621" i="1"/>
  <c r="L621" i="1"/>
  <c r="N621" i="1"/>
  <c r="P621" i="1"/>
  <c r="R621" i="1"/>
  <c r="J623" i="1"/>
  <c r="L623" i="1"/>
  <c r="N623" i="1"/>
  <c r="P623" i="1"/>
  <c r="R623" i="1"/>
  <c r="J625" i="1"/>
  <c r="L625" i="1"/>
  <c r="N625" i="1"/>
  <c r="P625" i="1"/>
  <c r="R625" i="1"/>
  <c r="J627" i="1"/>
  <c r="L627" i="1"/>
  <c r="N627" i="1"/>
  <c r="P627" i="1"/>
  <c r="R627" i="1"/>
  <c r="I628" i="1"/>
  <c r="K628" i="1"/>
  <c r="M628" i="1"/>
  <c r="O628" i="1"/>
  <c r="Q628" i="1"/>
  <c r="J629" i="1"/>
  <c r="L629" i="1"/>
  <c r="N629" i="1"/>
  <c r="P629" i="1"/>
  <c r="R629" i="1"/>
  <c r="I630" i="1"/>
  <c r="K630" i="1"/>
  <c r="M630" i="1"/>
  <c r="O630" i="1"/>
  <c r="Q630" i="1"/>
  <c r="J631" i="1"/>
  <c r="L631" i="1"/>
  <c r="N631" i="1"/>
  <c r="P631" i="1"/>
  <c r="R631" i="1"/>
  <c r="I632" i="1"/>
  <c r="K632" i="1"/>
  <c r="M632" i="1"/>
  <c r="O632" i="1"/>
  <c r="Q632" i="1"/>
  <c r="J633" i="1"/>
  <c r="L633" i="1"/>
  <c r="N633" i="1"/>
  <c r="P633" i="1"/>
  <c r="R633" i="1"/>
  <c r="I634" i="1"/>
  <c r="K634" i="1"/>
  <c r="M634" i="1"/>
  <c r="O634" i="1"/>
  <c r="Q634" i="1"/>
  <c r="J635" i="1"/>
  <c r="L635" i="1"/>
  <c r="N635" i="1"/>
  <c r="P635" i="1"/>
  <c r="R635" i="1"/>
  <c r="I636" i="1"/>
  <c r="K636" i="1"/>
  <c r="M636" i="1"/>
  <c r="O636" i="1"/>
  <c r="Q636" i="1"/>
  <c r="J637" i="1"/>
  <c r="L637" i="1"/>
  <c r="N637" i="1"/>
  <c r="P637" i="1"/>
  <c r="R637" i="1"/>
  <c r="I638" i="1"/>
  <c r="K638" i="1"/>
  <c r="M638" i="1"/>
  <c r="O638" i="1"/>
  <c r="Q638" i="1"/>
  <c r="S638" i="1"/>
  <c r="J639" i="1"/>
  <c r="L639" i="1"/>
  <c r="N639" i="1"/>
  <c r="P639" i="1"/>
  <c r="R639" i="1"/>
  <c r="I640" i="1"/>
  <c r="K640" i="1"/>
  <c r="M640" i="1"/>
  <c r="O640" i="1"/>
  <c r="Q640" i="1"/>
  <c r="S640" i="1"/>
  <c r="J641" i="1"/>
  <c r="L641" i="1"/>
  <c r="N641" i="1"/>
  <c r="P641" i="1"/>
  <c r="R641" i="1"/>
  <c r="I642" i="1"/>
  <c r="K642" i="1"/>
  <c r="M642" i="1"/>
  <c r="O642" i="1"/>
  <c r="Q642" i="1"/>
  <c r="J643" i="1"/>
  <c r="L643" i="1"/>
  <c r="N643" i="1"/>
  <c r="P643" i="1"/>
  <c r="R643" i="1"/>
  <c r="I644" i="1"/>
  <c r="K644" i="1"/>
  <c r="M644" i="1"/>
  <c r="O644" i="1"/>
  <c r="Q644" i="1"/>
  <c r="J645" i="1"/>
  <c r="L645" i="1"/>
  <c r="N645" i="1"/>
  <c r="P645" i="1"/>
  <c r="R645" i="1"/>
  <c r="I646" i="1"/>
  <c r="K646" i="1"/>
  <c r="M646" i="1"/>
  <c r="O646" i="1"/>
  <c r="Q646" i="1"/>
  <c r="J647" i="1"/>
  <c r="L647" i="1"/>
  <c r="N647" i="1"/>
  <c r="P647" i="1"/>
  <c r="R647" i="1"/>
  <c r="I648" i="1"/>
  <c r="K648" i="1"/>
  <c r="M648" i="1"/>
  <c r="O648" i="1"/>
  <c r="Q648" i="1"/>
  <c r="J649" i="1"/>
  <c r="L649" i="1"/>
  <c r="N649" i="1"/>
  <c r="P649" i="1"/>
  <c r="R649" i="1"/>
  <c r="I650" i="1"/>
  <c r="K650" i="1"/>
  <c r="M650" i="1"/>
  <c r="O650" i="1"/>
  <c r="Q650" i="1"/>
  <c r="J651" i="1"/>
  <c r="L651" i="1"/>
  <c r="N651" i="1"/>
  <c r="P651" i="1"/>
  <c r="R651" i="1"/>
  <c r="I652" i="1"/>
  <c r="K652" i="1"/>
  <c r="M652" i="1"/>
  <c r="O652" i="1"/>
  <c r="Q652" i="1"/>
  <c r="J653" i="1"/>
  <c r="L653" i="1"/>
  <c r="N653" i="1"/>
  <c r="P653" i="1"/>
  <c r="R653" i="1"/>
  <c r="I654" i="1"/>
  <c r="K654" i="1"/>
  <c r="M654" i="1"/>
  <c r="O654" i="1"/>
  <c r="Q654" i="1"/>
  <c r="S654" i="1"/>
  <c r="J655" i="1"/>
  <c r="L655" i="1"/>
  <c r="N655" i="1"/>
  <c r="P655" i="1"/>
  <c r="R655" i="1"/>
  <c r="I656" i="1"/>
  <c r="K656" i="1"/>
  <c r="M656" i="1"/>
  <c r="O656" i="1"/>
  <c r="Q656" i="1"/>
  <c r="S656" i="1"/>
  <c r="J657" i="1"/>
  <c r="L657" i="1"/>
  <c r="N657" i="1"/>
  <c r="P657" i="1"/>
  <c r="R657" i="1"/>
  <c r="I658" i="1"/>
  <c r="K658" i="1"/>
  <c r="M658" i="1"/>
  <c r="O658" i="1"/>
  <c r="Q658" i="1"/>
  <c r="S658" i="1"/>
  <c r="J659" i="1"/>
  <c r="L659" i="1"/>
  <c r="N659" i="1"/>
  <c r="P659" i="1"/>
  <c r="R659" i="1"/>
  <c r="I660" i="1"/>
  <c r="K660" i="1"/>
  <c r="M660" i="1"/>
  <c r="O660" i="1"/>
  <c r="Q660" i="1"/>
  <c r="S660" i="1"/>
  <c r="J661" i="1"/>
  <c r="L661" i="1"/>
  <c r="N661" i="1"/>
  <c r="P661" i="1"/>
  <c r="R661" i="1"/>
  <c r="I662" i="1"/>
  <c r="K662" i="1"/>
  <c r="M662" i="1"/>
  <c r="O662" i="1"/>
  <c r="Q662" i="1"/>
  <c r="S662" i="1"/>
  <c r="J663" i="1"/>
  <c r="L663" i="1"/>
  <c r="N663" i="1"/>
  <c r="P663" i="1"/>
  <c r="R663" i="1"/>
  <c r="I664" i="1"/>
  <c r="K664" i="1"/>
  <c r="M664" i="1"/>
  <c r="O664" i="1"/>
  <c r="Q664" i="1"/>
  <c r="S664" i="1"/>
  <c r="J665" i="1"/>
  <c r="L665" i="1"/>
  <c r="N665" i="1"/>
  <c r="P665" i="1"/>
  <c r="R665" i="1"/>
  <c r="I666" i="1"/>
  <c r="K666" i="1"/>
  <c r="M666" i="1"/>
  <c r="O666" i="1"/>
  <c r="Q666" i="1"/>
  <c r="S666" i="1"/>
  <c r="J667" i="1"/>
  <c r="L667" i="1"/>
  <c r="N667" i="1"/>
  <c r="P667" i="1"/>
  <c r="R667" i="1"/>
  <c r="I668" i="1"/>
  <c r="K668" i="1"/>
  <c r="M668" i="1"/>
  <c r="O668" i="1"/>
  <c r="Q668" i="1"/>
  <c r="S668" i="1"/>
  <c r="J669" i="1"/>
  <c r="L669" i="1"/>
  <c r="N669" i="1"/>
  <c r="P669" i="1"/>
  <c r="R669" i="1"/>
  <c r="I670" i="1"/>
  <c r="K670" i="1"/>
  <c r="M670" i="1"/>
  <c r="O670" i="1"/>
  <c r="Q670" i="1"/>
  <c r="S670" i="1"/>
  <c r="J671" i="1"/>
  <c r="L671" i="1"/>
  <c r="N671" i="1"/>
  <c r="P671" i="1"/>
  <c r="R671" i="1"/>
  <c r="I672" i="1"/>
  <c r="K672" i="1"/>
  <c r="M672" i="1"/>
  <c r="O672" i="1"/>
  <c r="Q672" i="1"/>
  <c r="S672" i="1"/>
  <c r="J673" i="1"/>
  <c r="L673" i="1"/>
  <c r="N673" i="1"/>
  <c r="P673" i="1"/>
  <c r="R673" i="1"/>
  <c r="I674" i="1"/>
  <c r="K674" i="1"/>
  <c r="M674" i="1"/>
  <c r="O674" i="1"/>
  <c r="Q674" i="1"/>
  <c r="S674" i="1"/>
  <c r="J675" i="1"/>
  <c r="L675" i="1"/>
  <c r="N675" i="1"/>
  <c r="P675" i="1"/>
  <c r="R675" i="1"/>
  <c r="I676" i="1"/>
  <c r="K676" i="1"/>
  <c r="M676" i="1"/>
  <c r="O676" i="1"/>
  <c r="Q676" i="1"/>
  <c r="S676" i="1"/>
  <c r="J677" i="1"/>
  <c r="L677" i="1"/>
  <c r="N677" i="1"/>
  <c r="P677" i="1"/>
  <c r="R677" i="1"/>
  <c r="I678" i="1"/>
  <c r="K678" i="1"/>
  <c r="M678" i="1"/>
  <c r="O678" i="1"/>
  <c r="Q678" i="1"/>
  <c r="S678" i="1"/>
  <c r="J679" i="1"/>
  <c r="L679" i="1"/>
  <c r="N679" i="1"/>
  <c r="P679" i="1"/>
  <c r="R679" i="1"/>
  <c r="I680" i="1"/>
  <c r="K680" i="1"/>
  <c r="M680" i="1"/>
  <c r="O680" i="1"/>
  <c r="Q680" i="1"/>
  <c r="S680" i="1"/>
  <c r="J681" i="1"/>
  <c r="L681" i="1"/>
  <c r="N681" i="1"/>
  <c r="P681" i="1"/>
  <c r="R681" i="1"/>
  <c r="I682" i="1"/>
  <c r="K682" i="1"/>
  <c r="M682" i="1"/>
  <c r="O682" i="1"/>
  <c r="Q682" i="1"/>
  <c r="J683" i="1"/>
  <c r="L683" i="1"/>
  <c r="N683" i="1"/>
  <c r="P683" i="1"/>
  <c r="R683" i="1"/>
  <c r="I684" i="1"/>
  <c r="K684" i="1"/>
  <c r="M684" i="1"/>
  <c r="O684" i="1"/>
  <c r="Q684" i="1"/>
  <c r="J685" i="1"/>
  <c r="L685" i="1"/>
  <c r="N685" i="1"/>
  <c r="P685" i="1"/>
  <c r="R685" i="1"/>
  <c r="I686" i="1"/>
  <c r="K686" i="1"/>
  <c r="M686" i="1"/>
  <c r="O686" i="1"/>
  <c r="Q686" i="1"/>
  <c r="J687" i="1"/>
  <c r="L687" i="1"/>
  <c r="N687" i="1"/>
  <c r="P687" i="1"/>
  <c r="R687" i="1"/>
  <c r="I688" i="1"/>
  <c r="K688" i="1"/>
  <c r="M688" i="1"/>
  <c r="O688" i="1"/>
  <c r="Q688" i="1"/>
  <c r="J689" i="1"/>
  <c r="L689" i="1"/>
  <c r="N689" i="1"/>
  <c r="P689" i="1"/>
  <c r="R689" i="1"/>
  <c r="I690" i="1"/>
  <c r="K690" i="1"/>
  <c r="M690" i="1"/>
  <c r="O690" i="1"/>
  <c r="Q690" i="1"/>
  <c r="S690" i="1"/>
  <c r="J691" i="1"/>
  <c r="L691" i="1"/>
  <c r="N691" i="1"/>
  <c r="P691" i="1"/>
  <c r="R691" i="1"/>
  <c r="I692" i="1"/>
  <c r="K692" i="1"/>
  <c r="M692" i="1"/>
  <c r="O692" i="1"/>
  <c r="Q692" i="1"/>
  <c r="J693" i="1"/>
  <c r="L693" i="1"/>
  <c r="N693" i="1"/>
  <c r="P693" i="1"/>
  <c r="R693" i="1"/>
  <c r="I694" i="1"/>
  <c r="K694" i="1"/>
  <c r="M694" i="1"/>
  <c r="O694" i="1"/>
  <c r="Q694" i="1"/>
  <c r="J695" i="1"/>
  <c r="L695" i="1"/>
  <c r="N695" i="1"/>
  <c r="P695" i="1"/>
  <c r="R695" i="1"/>
  <c r="I696" i="1"/>
  <c r="K696" i="1"/>
  <c r="M696" i="1"/>
  <c r="O696" i="1"/>
  <c r="Q696" i="1"/>
  <c r="J697" i="1"/>
  <c r="L697" i="1"/>
  <c r="N697" i="1"/>
  <c r="P697" i="1"/>
  <c r="R697" i="1"/>
  <c r="I698" i="1"/>
  <c r="K698" i="1"/>
  <c r="M698" i="1"/>
  <c r="O698" i="1"/>
  <c r="Q698" i="1"/>
  <c r="J699" i="1"/>
  <c r="L699" i="1"/>
  <c r="N699" i="1"/>
  <c r="P699" i="1"/>
  <c r="R699" i="1"/>
  <c r="I700" i="1"/>
  <c r="K700" i="1"/>
  <c r="M700" i="1"/>
  <c r="O700" i="1"/>
  <c r="Q700" i="1"/>
  <c r="S700" i="1"/>
  <c r="J701" i="1"/>
  <c r="L701" i="1"/>
  <c r="N701" i="1"/>
  <c r="P701" i="1"/>
  <c r="R701" i="1"/>
  <c r="I702" i="1"/>
  <c r="K702" i="1"/>
  <c r="M702" i="1"/>
  <c r="O702" i="1"/>
  <c r="Q702" i="1"/>
  <c r="S702" i="1"/>
  <c r="J703" i="1"/>
  <c r="L703" i="1"/>
  <c r="N703" i="1"/>
  <c r="P703" i="1"/>
  <c r="R703" i="1"/>
  <c r="I704" i="1"/>
  <c r="K704" i="1"/>
  <c r="M704" i="1"/>
  <c r="O704" i="1"/>
  <c r="Q704" i="1"/>
  <c r="S704" i="1"/>
  <c r="J705" i="1"/>
  <c r="L705" i="1"/>
  <c r="N705" i="1"/>
  <c r="P705" i="1"/>
  <c r="R705" i="1"/>
  <c r="I706" i="1"/>
  <c r="K706" i="1"/>
  <c r="M706" i="1"/>
  <c r="O706" i="1"/>
  <c r="Q706" i="1"/>
  <c r="S706" i="1"/>
  <c r="J707" i="1"/>
  <c r="L707" i="1"/>
  <c r="N707" i="1"/>
  <c r="P707" i="1"/>
  <c r="R707" i="1"/>
  <c r="I708" i="1"/>
  <c r="K708" i="1"/>
  <c r="M708" i="1"/>
  <c r="O708" i="1"/>
  <c r="Q708" i="1"/>
  <c r="S708" i="1"/>
  <c r="J709" i="1"/>
  <c r="L709" i="1"/>
  <c r="N709" i="1"/>
  <c r="P709" i="1"/>
  <c r="R709" i="1"/>
  <c r="I710" i="1"/>
  <c r="K710" i="1"/>
  <c r="M710" i="1"/>
  <c r="O710" i="1"/>
  <c r="Q710" i="1"/>
  <c r="S710" i="1"/>
  <c r="J711" i="1"/>
  <c r="L711" i="1"/>
  <c r="N711" i="1"/>
  <c r="P711" i="1"/>
  <c r="R711" i="1"/>
  <c r="I712" i="1"/>
  <c r="K712" i="1"/>
  <c r="M712" i="1"/>
  <c r="O712" i="1"/>
  <c r="Q712" i="1"/>
  <c r="J713" i="1"/>
  <c r="L713" i="1"/>
  <c r="N713" i="1"/>
  <c r="P713" i="1"/>
  <c r="R713" i="1"/>
  <c r="I714" i="1"/>
  <c r="K714" i="1"/>
  <c r="M714" i="1"/>
  <c r="O714" i="1"/>
  <c r="Q714" i="1"/>
  <c r="J715" i="1"/>
  <c r="L715" i="1"/>
  <c r="N715" i="1"/>
  <c r="P715" i="1"/>
  <c r="R715" i="1"/>
  <c r="I716" i="1"/>
  <c r="K716" i="1"/>
  <c r="M716" i="1"/>
  <c r="O716" i="1"/>
  <c r="Q716" i="1"/>
  <c r="S716" i="1"/>
  <c r="J717" i="1"/>
  <c r="L717" i="1"/>
  <c r="N717" i="1"/>
  <c r="P717" i="1"/>
  <c r="R717" i="1"/>
  <c r="I718" i="1"/>
  <c r="K718" i="1"/>
  <c r="M718" i="1"/>
  <c r="O718" i="1"/>
  <c r="Q718" i="1"/>
  <c r="S718" i="1"/>
  <c r="J719" i="1"/>
  <c r="L719" i="1"/>
  <c r="N719" i="1"/>
  <c r="P719" i="1"/>
  <c r="R719" i="1"/>
  <c r="I720" i="1"/>
  <c r="K720" i="1"/>
  <c r="M720" i="1"/>
  <c r="O720" i="1"/>
  <c r="Q720" i="1"/>
  <c r="S720" i="1"/>
  <c r="J721" i="1"/>
  <c r="L721" i="1"/>
  <c r="N721" i="1"/>
  <c r="P721" i="1"/>
  <c r="R721" i="1"/>
  <c r="I722" i="1"/>
  <c r="K722" i="1"/>
  <c r="M722" i="1"/>
  <c r="O722" i="1"/>
  <c r="Q722" i="1"/>
  <c r="S722" i="1"/>
  <c r="J723" i="1"/>
  <c r="L723" i="1"/>
  <c r="N723" i="1"/>
  <c r="P723" i="1"/>
  <c r="R723" i="1"/>
  <c r="I724" i="1"/>
  <c r="K724" i="1"/>
  <c r="M724" i="1"/>
  <c r="O724" i="1"/>
  <c r="Q724" i="1"/>
  <c r="S724" i="1"/>
  <c r="J725" i="1"/>
  <c r="L725" i="1"/>
  <c r="N725" i="1"/>
  <c r="P725" i="1"/>
  <c r="R725" i="1"/>
  <c r="I726" i="1"/>
  <c r="K726" i="1"/>
  <c r="M726" i="1"/>
  <c r="O726" i="1"/>
  <c r="Q726" i="1"/>
  <c r="S726" i="1"/>
  <c r="J727" i="1"/>
  <c r="L727" i="1"/>
  <c r="N727" i="1"/>
  <c r="P727" i="1"/>
  <c r="R727" i="1"/>
  <c r="I728" i="1"/>
  <c r="K728" i="1"/>
  <c r="M728" i="1"/>
  <c r="O728" i="1"/>
  <c r="Q728" i="1"/>
  <c r="S728" i="1"/>
  <c r="J729" i="1"/>
  <c r="L729" i="1"/>
  <c r="N729" i="1"/>
  <c r="P729" i="1"/>
  <c r="R729" i="1"/>
  <c r="I730" i="1"/>
  <c r="K730" i="1"/>
  <c r="M730" i="1"/>
  <c r="O730" i="1"/>
  <c r="Q730" i="1"/>
  <c r="S730" i="1"/>
  <c r="J731" i="1"/>
  <c r="L731" i="1"/>
  <c r="N731" i="1"/>
  <c r="P731" i="1"/>
  <c r="R731" i="1"/>
  <c r="I732" i="1"/>
  <c r="K732" i="1"/>
  <c r="M732" i="1"/>
  <c r="O732" i="1"/>
  <c r="Q732" i="1"/>
  <c r="S732" i="1"/>
  <c r="J733" i="1"/>
  <c r="L733" i="1"/>
  <c r="N733" i="1"/>
  <c r="P733" i="1"/>
  <c r="R733" i="1"/>
  <c r="I734" i="1"/>
  <c r="K734" i="1"/>
  <c r="M734" i="1"/>
  <c r="O734" i="1"/>
  <c r="Q734" i="1"/>
  <c r="S734" i="1"/>
  <c r="J735" i="1"/>
  <c r="L735" i="1"/>
  <c r="N735" i="1"/>
  <c r="P735" i="1"/>
  <c r="R735" i="1"/>
  <c r="I736" i="1"/>
  <c r="K736" i="1"/>
  <c r="M736" i="1"/>
  <c r="O736" i="1"/>
  <c r="Q736" i="1"/>
  <c r="S736" i="1"/>
  <c r="J737" i="1"/>
  <c r="L737" i="1"/>
  <c r="N737" i="1"/>
  <c r="P737" i="1"/>
  <c r="R737" i="1"/>
  <c r="I738" i="1"/>
  <c r="K738" i="1"/>
  <c r="M738" i="1"/>
  <c r="O738" i="1"/>
  <c r="Q738" i="1"/>
  <c r="S738" i="1"/>
  <c r="J739" i="1"/>
  <c r="L739" i="1"/>
  <c r="N739" i="1"/>
  <c r="P739" i="1"/>
  <c r="R739" i="1"/>
  <c r="I740" i="1"/>
  <c r="K740" i="1"/>
  <c r="M740" i="1"/>
  <c r="O740" i="1"/>
  <c r="Q740" i="1"/>
  <c r="J741" i="1"/>
  <c r="L741" i="1"/>
  <c r="N741" i="1"/>
  <c r="P741" i="1"/>
  <c r="R741" i="1"/>
  <c r="I742" i="1"/>
  <c r="K742" i="1"/>
  <c r="M742" i="1"/>
  <c r="O742" i="1"/>
  <c r="Q742" i="1"/>
  <c r="J743" i="1"/>
  <c r="L743" i="1"/>
  <c r="N743" i="1"/>
  <c r="P743" i="1"/>
  <c r="R743" i="1"/>
  <c r="I744" i="1"/>
  <c r="K744" i="1"/>
  <c r="M744" i="1"/>
  <c r="O744" i="1"/>
  <c r="Q744" i="1"/>
  <c r="J745" i="1"/>
  <c r="L745" i="1"/>
  <c r="N745" i="1"/>
  <c r="P745" i="1"/>
  <c r="R745" i="1"/>
  <c r="I746" i="1"/>
  <c r="K746" i="1"/>
  <c r="M746" i="1"/>
  <c r="O746" i="1"/>
  <c r="Q746" i="1"/>
  <c r="J747" i="1"/>
  <c r="L747" i="1"/>
  <c r="N747" i="1"/>
  <c r="P747" i="1"/>
  <c r="R747" i="1"/>
  <c r="I748" i="1"/>
  <c r="K748" i="1"/>
  <c r="M748" i="1"/>
  <c r="O748" i="1"/>
  <c r="Q748" i="1"/>
  <c r="J749" i="1"/>
  <c r="L749" i="1"/>
  <c r="N749" i="1"/>
  <c r="P749" i="1"/>
  <c r="R749" i="1"/>
  <c r="I750" i="1"/>
  <c r="K750" i="1"/>
  <c r="M750" i="1"/>
  <c r="O750" i="1"/>
  <c r="Q750" i="1"/>
  <c r="J751" i="1"/>
  <c r="L751" i="1"/>
  <c r="N751" i="1"/>
  <c r="P751" i="1"/>
  <c r="R751" i="1"/>
  <c r="I752" i="1"/>
  <c r="K752" i="1"/>
  <c r="M752" i="1"/>
  <c r="O752" i="1"/>
  <c r="Q752" i="1"/>
  <c r="S752" i="1"/>
  <c r="J753" i="1"/>
  <c r="L753" i="1"/>
  <c r="N753" i="1"/>
  <c r="P753" i="1"/>
  <c r="R753" i="1"/>
  <c r="I754" i="1"/>
  <c r="K754" i="1"/>
  <c r="M754" i="1"/>
  <c r="O754" i="1"/>
  <c r="Q754" i="1"/>
  <c r="S754" i="1"/>
  <c r="J755" i="1"/>
  <c r="L755" i="1"/>
  <c r="N755" i="1"/>
  <c r="P755" i="1"/>
  <c r="R755" i="1"/>
  <c r="I756" i="1"/>
  <c r="K756" i="1"/>
  <c r="M756" i="1"/>
  <c r="O756" i="1"/>
  <c r="Q756" i="1"/>
  <c r="S756" i="1"/>
  <c r="J757" i="1"/>
  <c r="L757" i="1"/>
  <c r="N757" i="1"/>
  <c r="P757" i="1"/>
  <c r="R757" i="1"/>
  <c r="I758" i="1"/>
  <c r="K758" i="1"/>
  <c r="M758" i="1"/>
  <c r="O758" i="1"/>
  <c r="Q758" i="1"/>
  <c r="S758" i="1"/>
  <c r="J759" i="1"/>
  <c r="L759" i="1"/>
  <c r="N759" i="1"/>
  <c r="P759" i="1"/>
  <c r="R759" i="1"/>
  <c r="I760" i="1"/>
  <c r="K760" i="1"/>
  <c r="M760" i="1"/>
  <c r="O760" i="1"/>
  <c r="Q760" i="1"/>
  <c r="S760" i="1"/>
  <c r="J761" i="1"/>
  <c r="L761" i="1"/>
  <c r="N761" i="1"/>
  <c r="P761" i="1"/>
  <c r="R761" i="1"/>
  <c r="I762" i="1"/>
  <c r="K762" i="1"/>
  <c r="M762" i="1"/>
  <c r="O762" i="1"/>
  <c r="Q762" i="1"/>
  <c r="S762" i="1"/>
  <c r="J763" i="1"/>
  <c r="L763" i="1"/>
  <c r="N763" i="1"/>
  <c r="P763" i="1"/>
  <c r="R763" i="1"/>
  <c r="I764" i="1"/>
  <c r="K764" i="1"/>
  <c r="M764" i="1"/>
  <c r="O764" i="1"/>
  <c r="Q764" i="1"/>
  <c r="S764" i="1"/>
  <c r="J765" i="1"/>
  <c r="L765" i="1"/>
  <c r="N765" i="1"/>
  <c r="P765" i="1"/>
  <c r="R765" i="1"/>
  <c r="I766" i="1"/>
  <c r="K766" i="1"/>
  <c r="M766" i="1"/>
  <c r="O766" i="1"/>
  <c r="Q766" i="1"/>
  <c r="S766" i="1"/>
  <c r="J767" i="1"/>
  <c r="L767" i="1"/>
  <c r="N767" i="1"/>
  <c r="P767" i="1"/>
  <c r="R767" i="1"/>
  <c r="I768" i="1"/>
  <c r="K768" i="1"/>
  <c r="M768" i="1"/>
  <c r="O768" i="1"/>
  <c r="Q768" i="1"/>
  <c r="S768" i="1"/>
  <c r="J769" i="1"/>
  <c r="L769" i="1"/>
  <c r="N769" i="1"/>
  <c r="P769" i="1"/>
  <c r="R769" i="1"/>
  <c r="I770" i="1"/>
  <c r="K770" i="1"/>
  <c r="M770" i="1"/>
  <c r="O770" i="1"/>
  <c r="Q770" i="1"/>
  <c r="J771" i="1"/>
  <c r="L771" i="1"/>
  <c r="N771" i="1"/>
  <c r="P771" i="1"/>
  <c r="R771" i="1"/>
  <c r="I772" i="1"/>
  <c r="K772" i="1"/>
  <c r="M772" i="1"/>
  <c r="O772" i="1"/>
  <c r="Q772" i="1"/>
  <c r="J773" i="1"/>
  <c r="L773" i="1"/>
  <c r="N773" i="1"/>
  <c r="P773" i="1"/>
  <c r="R773" i="1"/>
  <c r="I774" i="1"/>
  <c r="K774" i="1"/>
  <c r="M774" i="1"/>
  <c r="O774" i="1"/>
  <c r="Q774" i="1"/>
  <c r="J775" i="1"/>
  <c r="L775" i="1"/>
  <c r="N775" i="1"/>
  <c r="P775" i="1"/>
  <c r="R775" i="1"/>
  <c r="I776" i="1"/>
  <c r="K776" i="1"/>
  <c r="M776" i="1"/>
  <c r="O776" i="1"/>
  <c r="Q776" i="1"/>
  <c r="J777" i="1"/>
  <c r="L777" i="1"/>
  <c r="N777" i="1"/>
  <c r="P777" i="1"/>
  <c r="R777" i="1"/>
  <c r="I778" i="1"/>
  <c r="K778" i="1"/>
  <c r="M778" i="1"/>
  <c r="O778" i="1"/>
  <c r="Q778" i="1"/>
  <c r="J779" i="1"/>
  <c r="L779" i="1"/>
  <c r="N779" i="1"/>
  <c r="P779" i="1"/>
  <c r="R779" i="1"/>
  <c r="I780" i="1"/>
  <c r="K780" i="1"/>
  <c r="M780" i="1"/>
  <c r="O780" i="1"/>
  <c r="Q780" i="1"/>
  <c r="J781" i="1"/>
  <c r="L781" i="1"/>
  <c r="N781" i="1"/>
  <c r="P781" i="1"/>
  <c r="R781" i="1"/>
  <c r="I782" i="1"/>
  <c r="K782" i="1"/>
  <c r="M782" i="1"/>
  <c r="O782" i="1"/>
  <c r="Q782" i="1"/>
  <c r="J783" i="1"/>
  <c r="L783" i="1"/>
  <c r="N783" i="1"/>
  <c r="P783" i="1"/>
  <c r="R783" i="1"/>
  <c r="I784" i="1"/>
  <c r="K784" i="1"/>
  <c r="M784" i="1"/>
  <c r="O784" i="1"/>
  <c r="Q784" i="1"/>
  <c r="J785" i="1"/>
  <c r="L785" i="1"/>
  <c r="N785" i="1"/>
  <c r="P785" i="1"/>
  <c r="R785" i="1"/>
  <c r="I786" i="1"/>
  <c r="K786" i="1"/>
  <c r="M786" i="1"/>
  <c r="O786" i="1"/>
  <c r="Q786" i="1"/>
  <c r="J787" i="1"/>
  <c r="L787" i="1"/>
  <c r="N787" i="1"/>
  <c r="P787" i="1"/>
  <c r="R787" i="1"/>
  <c r="I788" i="1"/>
  <c r="K788" i="1"/>
  <c r="M788" i="1"/>
  <c r="O788" i="1"/>
  <c r="Q788" i="1"/>
  <c r="J789" i="1"/>
  <c r="L789" i="1"/>
  <c r="N789" i="1"/>
  <c r="P789" i="1"/>
  <c r="R789" i="1"/>
  <c r="I790" i="1"/>
  <c r="K790" i="1"/>
  <c r="M790" i="1"/>
  <c r="O790" i="1"/>
  <c r="Q790" i="1"/>
  <c r="J791" i="1"/>
  <c r="L791" i="1"/>
  <c r="N791" i="1"/>
  <c r="P791" i="1"/>
  <c r="R791" i="1"/>
  <c r="I792" i="1"/>
  <c r="K792" i="1"/>
  <c r="M792" i="1"/>
  <c r="O792" i="1"/>
  <c r="Q792" i="1"/>
  <c r="J793" i="1"/>
  <c r="L793" i="1"/>
  <c r="N793" i="1"/>
  <c r="P793" i="1"/>
  <c r="R793" i="1"/>
  <c r="I794" i="1"/>
  <c r="K794" i="1"/>
  <c r="M794" i="1"/>
  <c r="O794" i="1"/>
  <c r="Q794" i="1"/>
  <c r="J795" i="1"/>
  <c r="L795" i="1"/>
  <c r="N795" i="1"/>
  <c r="P795" i="1"/>
  <c r="R795" i="1"/>
  <c r="I796" i="1"/>
  <c r="K796" i="1"/>
  <c r="M796" i="1"/>
  <c r="O796" i="1"/>
  <c r="Q796" i="1"/>
  <c r="J797" i="1"/>
  <c r="L797" i="1"/>
  <c r="N797" i="1"/>
  <c r="P797" i="1"/>
  <c r="R797" i="1"/>
  <c r="I798" i="1"/>
  <c r="K798" i="1"/>
  <c r="M798" i="1"/>
  <c r="O798" i="1"/>
  <c r="Q798" i="1"/>
  <c r="J799" i="1"/>
  <c r="L799" i="1"/>
  <c r="N799" i="1"/>
  <c r="P799" i="1"/>
  <c r="R799" i="1"/>
  <c r="I800" i="1"/>
  <c r="K800" i="1"/>
  <c r="M800" i="1"/>
  <c r="O800" i="1"/>
  <c r="Q800" i="1"/>
  <c r="J801" i="1"/>
  <c r="L801" i="1"/>
  <c r="N801" i="1"/>
  <c r="P801" i="1"/>
  <c r="R801" i="1"/>
  <c r="I802" i="1"/>
  <c r="K802" i="1"/>
  <c r="M802" i="1"/>
  <c r="O802" i="1"/>
  <c r="Q802" i="1"/>
  <c r="S802" i="1"/>
  <c r="J803" i="1"/>
  <c r="L803" i="1"/>
  <c r="N803" i="1"/>
  <c r="P803" i="1"/>
  <c r="R803" i="1"/>
  <c r="I804" i="1"/>
  <c r="K804" i="1"/>
  <c r="M804" i="1"/>
  <c r="O804" i="1"/>
  <c r="Q804" i="1"/>
  <c r="S804" i="1"/>
  <c r="J805" i="1"/>
  <c r="L805" i="1"/>
  <c r="N805" i="1"/>
  <c r="P805" i="1"/>
  <c r="R805" i="1"/>
  <c r="I806" i="1"/>
  <c r="K806" i="1"/>
  <c r="M806" i="1"/>
  <c r="O806" i="1"/>
  <c r="Q806" i="1"/>
  <c r="S806" i="1"/>
  <c r="J807" i="1"/>
  <c r="L807" i="1"/>
  <c r="N807" i="1"/>
  <c r="P807" i="1"/>
  <c r="R807" i="1"/>
  <c r="I808" i="1"/>
  <c r="K808" i="1"/>
  <c r="M808" i="1"/>
  <c r="O808" i="1"/>
  <c r="Q808" i="1"/>
  <c r="J809" i="1"/>
  <c r="L809" i="1"/>
  <c r="N809" i="1"/>
  <c r="P809" i="1"/>
  <c r="R809" i="1"/>
  <c r="I810" i="1"/>
  <c r="K810" i="1"/>
  <c r="M810" i="1"/>
  <c r="O810" i="1"/>
  <c r="Q810" i="1"/>
  <c r="S810" i="1"/>
  <c r="J811" i="1"/>
  <c r="L811" i="1"/>
  <c r="N811" i="1"/>
  <c r="P811" i="1"/>
  <c r="R811" i="1"/>
  <c r="I812" i="1"/>
  <c r="K812" i="1"/>
  <c r="M812" i="1"/>
  <c r="O812" i="1"/>
  <c r="Q812" i="1"/>
  <c r="S812" i="1"/>
  <c r="J813" i="1"/>
  <c r="L813" i="1"/>
  <c r="N813" i="1"/>
  <c r="P813" i="1"/>
  <c r="R813" i="1"/>
  <c r="I814" i="1"/>
  <c r="K814" i="1"/>
  <c r="M814" i="1"/>
  <c r="O814" i="1"/>
  <c r="Q814" i="1"/>
  <c r="S814" i="1"/>
  <c r="J815" i="1"/>
  <c r="L815" i="1"/>
  <c r="N815" i="1"/>
  <c r="P815" i="1"/>
  <c r="R815" i="1"/>
  <c r="I816" i="1"/>
  <c r="K816" i="1"/>
  <c r="M816" i="1"/>
  <c r="O816" i="1"/>
  <c r="Q816" i="1"/>
  <c r="S816" i="1"/>
  <c r="J817" i="1"/>
  <c r="L817" i="1"/>
  <c r="N817" i="1"/>
  <c r="P817" i="1"/>
  <c r="R817" i="1"/>
  <c r="I818" i="1"/>
  <c r="K818" i="1"/>
  <c r="M818" i="1"/>
  <c r="O818" i="1"/>
  <c r="Q818" i="1"/>
  <c r="S818" i="1"/>
  <c r="J819" i="1"/>
  <c r="L819" i="1"/>
  <c r="N819" i="1"/>
  <c r="P819" i="1"/>
  <c r="R819" i="1"/>
  <c r="I820" i="1"/>
  <c r="K820" i="1"/>
  <c r="M820" i="1"/>
  <c r="O820" i="1"/>
  <c r="Q820" i="1"/>
  <c r="J821" i="1"/>
  <c r="L821" i="1"/>
  <c r="N821" i="1"/>
  <c r="P821" i="1"/>
  <c r="R821" i="1"/>
  <c r="I822" i="1"/>
  <c r="K822" i="1"/>
  <c r="M822" i="1"/>
  <c r="O822" i="1"/>
  <c r="Q822" i="1"/>
  <c r="J823" i="1"/>
  <c r="L823" i="1"/>
  <c r="N823" i="1"/>
  <c r="P823" i="1"/>
  <c r="R823" i="1"/>
  <c r="I824" i="1"/>
  <c r="K824" i="1"/>
  <c r="M824" i="1"/>
  <c r="O824" i="1"/>
  <c r="Q824" i="1"/>
  <c r="J825" i="1"/>
  <c r="L825" i="1"/>
  <c r="N825" i="1"/>
  <c r="P825" i="1"/>
  <c r="R825" i="1"/>
  <c r="I826" i="1"/>
  <c r="K826" i="1"/>
  <c r="M826" i="1"/>
  <c r="O826" i="1"/>
  <c r="Q826" i="1"/>
  <c r="J827" i="1"/>
  <c r="L827" i="1"/>
  <c r="N827" i="1"/>
  <c r="P827" i="1"/>
  <c r="R827" i="1"/>
  <c r="I828" i="1"/>
  <c r="K828" i="1"/>
  <c r="M828" i="1"/>
  <c r="O828" i="1"/>
  <c r="Q828" i="1"/>
  <c r="S828" i="1"/>
  <c r="J829" i="1"/>
  <c r="L829" i="1"/>
  <c r="N829" i="1"/>
  <c r="P829" i="1"/>
  <c r="R829" i="1"/>
  <c r="I830" i="1"/>
  <c r="K830" i="1"/>
  <c r="M830" i="1"/>
  <c r="O830" i="1"/>
  <c r="Q830" i="1"/>
  <c r="S830" i="1"/>
  <c r="J831" i="1"/>
  <c r="L831" i="1"/>
  <c r="N831" i="1"/>
  <c r="P831" i="1"/>
  <c r="R831" i="1"/>
  <c r="I832" i="1"/>
  <c r="K832" i="1"/>
  <c r="M832" i="1"/>
  <c r="O832" i="1"/>
  <c r="Q832" i="1"/>
  <c r="S832" i="1"/>
  <c r="J833" i="1"/>
  <c r="L833" i="1"/>
  <c r="N833" i="1"/>
  <c r="P833" i="1"/>
  <c r="R833" i="1"/>
  <c r="I834" i="1"/>
  <c r="K834" i="1"/>
  <c r="M834" i="1"/>
  <c r="O834" i="1"/>
  <c r="Q834" i="1"/>
  <c r="J835" i="1"/>
  <c r="L835" i="1"/>
  <c r="N835" i="1"/>
  <c r="P835" i="1"/>
  <c r="R835" i="1"/>
  <c r="I836" i="1"/>
  <c r="K836" i="1"/>
  <c r="M836" i="1"/>
  <c r="O836" i="1"/>
  <c r="Q836" i="1"/>
  <c r="J837" i="1"/>
  <c r="L837" i="1"/>
  <c r="N837" i="1"/>
  <c r="P837" i="1"/>
  <c r="R837" i="1"/>
  <c r="I838" i="1"/>
  <c r="K838" i="1"/>
  <c r="M838" i="1"/>
  <c r="O838" i="1"/>
  <c r="Q838" i="1"/>
  <c r="J839" i="1"/>
  <c r="L839" i="1"/>
  <c r="N839" i="1"/>
  <c r="P839" i="1"/>
  <c r="R839" i="1"/>
  <c r="I840" i="1"/>
  <c r="K840" i="1"/>
  <c r="M840" i="1"/>
  <c r="O840" i="1"/>
  <c r="Q840" i="1"/>
  <c r="J841" i="1"/>
  <c r="L841" i="1"/>
  <c r="N841" i="1"/>
  <c r="P841" i="1"/>
  <c r="R841" i="1"/>
  <c r="I842" i="1"/>
  <c r="K842" i="1"/>
  <c r="M842" i="1"/>
  <c r="O842" i="1"/>
  <c r="Q842" i="1"/>
  <c r="J843" i="1"/>
  <c r="L843" i="1"/>
  <c r="N843" i="1"/>
  <c r="P843" i="1"/>
  <c r="R843" i="1"/>
  <c r="I844" i="1"/>
  <c r="K844" i="1"/>
  <c r="M844" i="1"/>
  <c r="O844" i="1"/>
  <c r="Q844" i="1"/>
  <c r="J845" i="1"/>
  <c r="L845" i="1"/>
  <c r="N845" i="1"/>
  <c r="P845" i="1"/>
  <c r="R845" i="1"/>
  <c r="I846" i="1"/>
  <c r="K846" i="1"/>
  <c r="M846" i="1"/>
  <c r="O846" i="1"/>
  <c r="Q846" i="1"/>
  <c r="J847" i="1"/>
  <c r="L847" i="1"/>
  <c r="N847" i="1"/>
  <c r="P847" i="1"/>
  <c r="R847" i="1"/>
  <c r="I848" i="1"/>
  <c r="K848" i="1"/>
  <c r="M848" i="1"/>
  <c r="O848" i="1"/>
  <c r="Q848" i="1"/>
  <c r="J849" i="1"/>
  <c r="L849" i="1"/>
  <c r="N849" i="1"/>
  <c r="P849" i="1"/>
  <c r="R849" i="1"/>
  <c r="I850" i="1"/>
  <c r="K850" i="1"/>
  <c r="M850" i="1"/>
  <c r="O850" i="1"/>
  <c r="Q850" i="1"/>
  <c r="J851" i="1"/>
  <c r="L851" i="1"/>
  <c r="N851" i="1"/>
  <c r="P851" i="1"/>
  <c r="R851" i="1"/>
  <c r="I852" i="1"/>
  <c r="K852" i="1"/>
  <c r="M852" i="1"/>
  <c r="O852" i="1"/>
  <c r="Q852" i="1"/>
  <c r="J853" i="1"/>
  <c r="L853" i="1"/>
  <c r="N853" i="1"/>
  <c r="P853" i="1"/>
  <c r="R853" i="1"/>
  <c r="I854" i="1"/>
  <c r="K854" i="1"/>
  <c r="M854" i="1"/>
  <c r="O854" i="1"/>
  <c r="Q854" i="1"/>
  <c r="S854" i="1"/>
  <c r="J855" i="1"/>
  <c r="L855" i="1"/>
  <c r="N855" i="1"/>
  <c r="P855" i="1"/>
  <c r="R855" i="1"/>
  <c r="I856" i="1"/>
  <c r="K856" i="1"/>
  <c r="M856" i="1"/>
  <c r="O856" i="1"/>
  <c r="Q856" i="1"/>
  <c r="J857" i="1"/>
  <c r="L857" i="1"/>
  <c r="N857" i="1"/>
  <c r="P857" i="1"/>
  <c r="R857" i="1"/>
  <c r="I858" i="1"/>
  <c r="K858" i="1"/>
  <c r="M858" i="1"/>
  <c r="O858" i="1"/>
  <c r="Q858" i="1"/>
  <c r="S858" i="1"/>
  <c r="J859" i="1"/>
  <c r="L859" i="1"/>
  <c r="N859" i="1"/>
  <c r="P859" i="1"/>
  <c r="R859" i="1"/>
  <c r="I860" i="1"/>
  <c r="K860" i="1"/>
  <c r="M860" i="1"/>
  <c r="O860" i="1"/>
  <c r="Q860" i="1"/>
  <c r="J861" i="1"/>
  <c r="L861" i="1"/>
  <c r="N861" i="1"/>
  <c r="P861" i="1"/>
  <c r="R861" i="1"/>
  <c r="I862" i="1"/>
  <c r="K862" i="1"/>
  <c r="M862" i="1"/>
  <c r="O862" i="1"/>
  <c r="Q862" i="1"/>
  <c r="J863" i="1"/>
  <c r="L863" i="1"/>
  <c r="N863" i="1"/>
  <c r="P863" i="1"/>
  <c r="R863" i="1"/>
  <c r="I864" i="1"/>
  <c r="K864" i="1"/>
  <c r="M864" i="1"/>
  <c r="O864" i="1"/>
  <c r="Q864" i="1"/>
  <c r="S864" i="1"/>
  <c r="J865" i="1"/>
  <c r="L865" i="1"/>
  <c r="N865" i="1"/>
  <c r="P865" i="1"/>
  <c r="R865" i="1"/>
  <c r="I866" i="1"/>
  <c r="K866" i="1"/>
  <c r="M866" i="1"/>
  <c r="O866" i="1"/>
  <c r="Q866" i="1"/>
  <c r="S866" i="1"/>
  <c r="J867" i="1"/>
  <c r="L867" i="1"/>
  <c r="N867" i="1"/>
  <c r="P867" i="1"/>
  <c r="R867" i="1"/>
  <c r="I868" i="1"/>
  <c r="K868" i="1"/>
  <c r="M868" i="1"/>
  <c r="O868" i="1"/>
  <c r="Q868" i="1"/>
  <c r="S868" i="1"/>
  <c r="J869" i="1"/>
  <c r="L869" i="1"/>
  <c r="N869" i="1"/>
  <c r="P869" i="1"/>
  <c r="R869" i="1"/>
  <c r="I870" i="1"/>
  <c r="K870" i="1"/>
  <c r="M870" i="1"/>
  <c r="O870" i="1"/>
  <c r="Q870" i="1"/>
  <c r="S870" i="1"/>
  <c r="J871" i="1"/>
  <c r="L871" i="1"/>
  <c r="N871" i="1"/>
  <c r="P871" i="1"/>
  <c r="R871" i="1"/>
  <c r="I872" i="1"/>
  <c r="K872" i="1"/>
  <c r="M872" i="1"/>
  <c r="O872" i="1"/>
  <c r="Q872" i="1"/>
  <c r="S872" i="1"/>
  <c r="J873" i="1"/>
  <c r="L873" i="1"/>
  <c r="N873" i="1"/>
  <c r="P873" i="1"/>
  <c r="R873" i="1"/>
  <c r="I874" i="1"/>
  <c r="K874" i="1"/>
  <c r="M874" i="1"/>
  <c r="O874" i="1"/>
  <c r="Q874" i="1"/>
  <c r="S874" i="1"/>
  <c r="J875" i="1"/>
  <c r="L875" i="1"/>
  <c r="N875" i="1"/>
  <c r="P875" i="1"/>
  <c r="R875" i="1"/>
  <c r="I876" i="1"/>
  <c r="K876" i="1"/>
  <c r="M876" i="1"/>
  <c r="O876" i="1"/>
  <c r="Q876" i="1"/>
  <c r="S876" i="1"/>
  <c r="J877" i="1"/>
  <c r="L877" i="1"/>
  <c r="N877" i="1"/>
  <c r="P877" i="1"/>
  <c r="R877" i="1"/>
  <c r="I878" i="1"/>
  <c r="K878" i="1"/>
  <c r="M878" i="1"/>
  <c r="O878" i="1"/>
  <c r="Q878" i="1"/>
  <c r="S878" i="1"/>
  <c r="J879" i="1"/>
  <c r="L879" i="1"/>
  <c r="N879" i="1"/>
  <c r="P879" i="1"/>
  <c r="R879" i="1"/>
  <c r="I880" i="1"/>
  <c r="K880" i="1"/>
  <c r="M880" i="1"/>
  <c r="O880" i="1"/>
  <c r="Q880" i="1"/>
  <c r="S880" i="1"/>
  <c r="J881" i="1"/>
  <c r="L881" i="1"/>
  <c r="N881" i="1"/>
  <c r="P881" i="1"/>
  <c r="R881" i="1"/>
  <c r="I882" i="1"/>
  <c r="K882" i="1"/>
  <c r="M882" i="1"/>
  <c r="O882" i="1"/>
  <c r="Q882" i="1"/>
  <c r="S882" i="1"/>
  <c r="J883" i="1"/>
  <c r="L883" i="1"/>
  <c r="N883" i="1"/>
  <c r="P883" i="1"/>
  <c r="R883" i="1"/>
  <c r="I884" i="1"/>
  <c r="K884" i="1"/>
  <c r="M884" i="1"/>
  <c r="O884" i="1"/>
  <c r="Q884" i="1"/>
  <c r="S884" i="1"/>
  <c r="J885" i="1"/>
  <c r="L885" i="1"/>
  <c r="N885" i="1"/>
  <c r="P885" i="1"/>
  <c r="R885" i="1"/>
  <c r="I886" i="1"/>
  <c r="K886" i="1"/>
  <c r="M886" i="1"/>
  <c r="O886" i="1"/>
  <c r="Q886" i="1"/>
  <c r="J887" i="1"/>
  <c r="L887" i="1"/>
  <c r="N887" i="1"/>
  <c r="P887" i="1"/>
  <c r="R887" i="1"/>
  <c r="I888" i="1"/>
  <c r="K888" i="1"/>
  <c r="M888" i="1"/>
  <c r="O888" i="1"/>
  <c r="Q888" i="1"/>
  <c r="J889" i="1"/>
  <c r="L889" i="1"/>
  <c r="N889" i="1"/>
  <c r="P889" i="1"/>
  <c r="R889" i="1"/>
  <c r="I890" i="1"/>
  <c r="K890" i="1"/>
  <c r="M890" i="1"/>
  <c r="O890" i="1"/>
  <c r="Q890" i="1"/>
  <c r="J891" i="1"/>
  <c r="L891" i="1"/>
  <c r="N891" i="1"/>
  <c r="P891" i="1"/>
  <c r="R891" i="1"/>
  <c r="I892" i="1"/>
  <c r="K892" i="1"/>
  <c r="M892" i="1"/>
  <c r="O892" i="1"/>
  <c r="Q892" i="1"/>
  <c r="J893" i="1"/>
  <c r="L893" i="1"/>
  <c r="N893" i="1"/>
  <c r="P893" i="1"/>
  <c r="R893" i="1"/>
  <c r="I894" i="1"/>
  <c r="K894" i="1"/>
  <c r="M894" i="1"/>
  <c r="O894" i="1"/>
  <c r="Q894" i="1"/>
  <c r="S894" i="1"/>
  <c r="J895" i="1"/>
  <c r="L895" i="1"/>
  <c r="N895" i="1"/>
  <c r="P895" i="1"/>
  <c r="R895" i="1"/>
  <c r="I896" i="1"/>
  <c r="K896" i="1"/>
  <c r="M896" i="1"/>
  <c r="O896" i="1"/>
  <c r="Q896" i="1"/>
  <c r="S896" i="1"/>
  <c r="J897" i="1"/>
  <c r="L897" i="1"/>
  <c r="N897" i="1"/>
  <c r="P897" i="1"/>
  <c r="R897" i="1"/>
  <c r="I898" i="1"/>
  <c r="K898" i="1"/>
  <c r="M898" i="1"/>
  <c r="O898" i="1"/>
  <c r="Q898" i="1"/>
  <c r="J899" i="1"/>
  <c r="L899" i="1"/>
  <c r="N899" i="1"/>
  <c r="P899" i="1"/>
  <c r="R899" i="1"/>
  <c r="I900" i="1"/>
  <c r="K900" i="1"/>
  <c r="M900" i="1"/>
  <c r="O900" i="1"/>
  <c r="Q900" i="1"/>
  <c r="J901" i="1"/>
  <c r="L901" i="1"/>
  <c r="N901" i="1"/>
  <c r="P901" i="1"/>
  <c r="R901" i="1"/>
  <c r="I902" i="1"/>
  <c r="K902" i="1"/>
  <c r="M902" i="1"/>
  <c r="O902" i="1"/>
  <c r="Q902" i="1"/>
  <c r="J903" i="1"/>
  <c r="L903" i="1"/>
  <c r="N903" i="1"/>
  <c r="P903" i="1"/>
  <c r="R903" i="1"/>
  <c r="I904" i="1"/>
  <c r="K904" i="1"/>
  <c r="M904" i="1"/>
  <c r="O904" i="1"/>
  <c r="Q904" i="1"/>
  <c r="J905" i="1"/>
  <c r="L905" i="1"/>
  <c r="N905" i="1"/>
  <c r="P905" i="1"/>
  <c r="R905" i="1"/>
  <c r="I906" i="1"/>
  <c r="K906" i="1"/>
  <c r="M906" i="1"/>
  <c r="O906" i="1"/>
  <c r="Q906" i="1"/>
  <c r="J907" i="1"/>
  <c r="L907" i="1"/>
  <c r="N907" i="1"/>
  <c r="P907" i="1"/>
  <c r="R907" i="1"/>
  <c r="I908" i="1"/>
  <c r="K908" i="1"/>
  <c r="M908" i="1"/>
  <c r="O908" i="1"/>
  <c r="Q908" i="1"/>
  <c r="J909" i="1"/>
  <c r="L909" i="1"/>
  <c r="N909" i="1"/>
  <c r="P909" i="1"/>
  <c r="R909" i="1"/>
  <c r="I910" i="1"/>
  <c r="K910" i="1"/>
  <c r="M910" i="1"/>
  <c r="O910" i="1"/>
  <c r="Q910" i="1"/>
  <c r="J911" i="1"/>
  <c r="L911" i="1"/>
  <c r="N911" i="1"/>
  <c r="P911" i="1"/>
  <c r="R911" i="1"/>
  <c r="I912" i="1"/>
  <c r="K912" i="1"/>
  <c r="M912" i="1"/>
  <c r="O912" i="1"/>
  <c r="Q912" i="1"/>
  <c r="J913" i="1"/>
  <c r="L913" i="1"/>
  <c r="N913" i="1"/>
  <c r="P913" i="1"/>
  <c r="R913" i="1"/>
  <c r="I914" i="1"/>
  <c r="K914" i="1"/>
  <c r="M914" i="1"/>
  <c r="O914" i="1"/>
  <c r="Q914" i="1"/>
  <c r="J915" i="1"/>
  <c r="L915" i="1"/>
  <c r="N915" i="1"/>
  <c r="P915" i="1"/>
  <c r="R915" i="1"/>
  <c r="I916" i="1"/>
  <c r="K916" i="1"/>
  <c r="M916" i="1"/>
  <c r="O916" i="1"/>
  <c r="Q916" i="1"/>
  <c r="S916" i="1"/>
  <c r="J917" i="1"/>
  <c r="L917" i="1"/>
  <c r="N917" i="1"/>
  <c r="P917" i="1"/>
  <c r="R917" i="1"/>
  <c r="I918" i="1"/>
  <c r="K918" i="1"/>
  <c r="M918" i="1"/>
  <c r="O918" i="1"/>
  <c r="Q918" i="1"/>
  <c r="S918" i="1"/>
  <c r="J919" i="1"/>
  <c r="L919" i="1"/>
  <c r="N919" i="1"/>
  <c r="P919" i="1"/>
  <c r="R919" i="1"/>
  <c r="I920" i="1"/>
  <c r="K920" i="1"/>
  <c r="M920" i="1"/>
  <c r="O920" i="1"/>
  <c r="Q920" i="1"/>
  <c r="S920" i="1"/>
  <c r="J921" i="1"/>
  <c r="L921" i="1"/>
  <c r="N921" i="1"/>
  <c r="P921" i="1"/>
  <c r="R921" i="1"/>
  <c r="I922" i="1"/>
  <c r="K922" i="1"/>
  <c r="M922" i="1"/>
  <c r="O922" i="1"/>
  <c r="Q922" i="1"/>
  <c r="S922" i="1"/>
  <c r="J923" i="1"/>
  <c r="L923" i="1"/>
  <c r="N923" i="1"/>
  <c r="P923" i="1"/>
  <c r="R923" i="1"/>
  <c r="I924" i="1"/>
  <c r="K924" i="1"/>
  <c r="M924" i="1"/>
  <c r="O924" i="1"/>
  <c r="Q924" i="1"/>
  <c r="S924" i="1"/>
  <c r="J925" i="1"/>
  <c r="L925" i="1"/>
  <c r="N925" i="1"/>
  <c r="P925" i="1"/>
  <c r="R925" i="1"/>
  <c r="I926" i="1"/>
  <c r="K926" i="1"/>
  <c r="M926" i="1"/>
  <c r="O926" i="1"/>
  <c r="Q926" i="1"/>
  <c r="J927" i="1"/>
  <c r="L927" i="1"/>
  <c r="N927" i="1"/>
  <c r="P927" i="1"/>
  <c r="R927" i="1"/>
  <c r="I928" i="1"/>
  <c r="K928" i="1"/>
  <c r="M928" i="1"/>
  <c r="O928" i="1"/>
  <c r="Q928" i="1"/>
  <c r="J929" i="1"/>
  <c r="L929" i="1"/>
  <c r="N929" i="1"/>
  <c r="P929" i="1"/>
  <c r="R929" i="1"/>
  <c r="I930" i="1"/>
  <c r="K930" i="1"/>
  <c r="M930" i="1"/>
  <c r="O930" i="1"/>
  <c r="Q930" i="1"/>
  <c r="J931" i="1"/>
  <c r="L931" i="1"/>
  <c r="N931" i="1"/>
  <c r="P931" i="1"/>
  <c r="R931" i="1"/>
  <c r="I932" i="1"/>
  <c r="K932" i="1"/>
  <c r="M932" i="1"/>
  <c r="O932" i="1"/>
  <c r="Q932" i="1"/>
  <c r="J933" i="1"/>
  <c r="L933" i="1"/>
  <c r="N933" i="1"/>
  <c r="P933" i="1"/>
  <c r="R933" i="1"/>
  <c r="I934" i="1"/>
  <c r="K934" i="1"/>
  <c r="M934" i="1"/>
  <c r="O934" i="1"/>
  <c r="Q934" i="1"/>
  <c r="J935" i="1"/>
  <c r="L935" i="1"/>
  <c r="N935" i="1"/>
  <c r="P935" i="1"/>
  <c r="R935" i="1"/>
  <c r="I936" i="1"/>
  <c r="K936" i="1"/>
  <c r="M936" i="1"/>
  <c r="O936" i="1"/>
  <c r="Q936" i="1"/>
  <c r="S936" i="1"/>
  <c r="J937" i="1"/>
  <c r="L937" i="1"/>
  <c r="N937" i="1"/>
  <c r="P937" i="1"/>
  <c r="R937" i="1"/>
  <c r="I938" i="1"/>
  <c r="K938" i="1"/>
  <c r="M938" i="1"/>
  <c r="O938" i="1"/>
  <c r="Q938" i="1"/>
  <c r="S938" i="1"/>
  <c r="J939" i="1"/>
  <c r="L939" i="1"/>
  <c r="N939" i="1"/>
  <c r="P939" i="1"/>
  <c r="R939" i="1"/>
  <c r="I940" i="1"/>
  <c r="K940" i="1"/>
  <c r="M940" i="1"/>
  <c r="O940" i="1"/>
  <c r="Q940" i="1"/>
  <c r="S940" i="1"/>
  <c r="J941" i="1"/>
  <c r="L941" i="1"/>
  <c r="N941" i="1"/>
  <c r="P941" i="1"/>
  <c r="R941" i="1"/>
  <c r="I942" i="1"/>
  <c r="K942" i="1"/>
  <c r="M942" i="1"/>
  <c r="O942" i="1"/>
  <c r="Q942" i="1"/>
  <c r="S942" i="1"/>
  <c r="J943" i="1"/>
  <c r="L943" i="1"/>
  <c r="N943" i="1"/>
  <c r="P943" i="1"/>
  <c r="R943" i="1"/>
  <c r="I944" i="1"/>
  <c r="K944" i="1"/>
  <c r="M944" i="1"/>
  <c r="O944" i="1"/>
  <c r="Q944" i="1"/>
  <c r="S944" i="1"/>
  <c r="J945" i="1"/>
  <c r="L945" i="1"/>
  <c r="N945" i="1"/>
  <c r="P945" i="1"/>
  <c r="R945" i="1"/>
  <c r="I946" i="1"/>
  <c r="K946" i="1"/>
  <c r="M946" i="1"/>
  <c r="O946" i="1"/>
  <c r="Q946" i="1"/>
  <c r="S946" i="1"/>
  <c r="J947" i="1"/>
  <c r="L947" i="1"/>
  <c r="N947" i="1"/>
  <c r="P947" i="1"/>
  <c r="R947" i="1"/>
  <c r="I948" i="1"/>
  <c r="K948" i="1"/>
  <c r="M948" i="1"/>
  <c r="O948" i="1"/>
  <c r="Q948" i="1"/>
  <c r="J949" i="1"/>
  <c r="L949" i="1"/>
  <c r="N949" i="1"/>
  <c r="P949" i="1"/>
  <c r="R949" i="1"/>
  <c r="I950" i="1"/>
  <c r="K950" i="1"/>
  <c r="M950" i="1"/>
  <c r="O950" i="1"/>
  <c r="Q950" i="1"/>
  <c r="J951" i="1"/>
  <c r="L951" i="1"/>
  <c r="N951" i="1"/>
  <c r="P951" i="1"/>
  <c r="R951" i="1"/>
  <c r="I952" i="1"/>
  <c r="K952" i="1"/>
  <c r="M952" i="1"/>
  <c r="O952" i="1"/>
  <c r="Q952" i="1"/>
  <c r="J953" i="1"/>
  <c r="L953" i="1"/>
  <c r="N953" i="1"/>
  <c r="P953" i="1"/>
  <c r="R953" i="1"/>
  <c r="I954" i="1"/>
  <c r="K954" i="1"/>
  <c r="M954" i="1"/>
  <c r="O954" i="1"/>
  <c r="Q954" i="1"/>
  <c r="J955" i="1"/>
  <c r="L955" i="1"/>
  <c r="N955" i="1"/>
  <c r="P955" i="1"/>
  <c r="R955" i="1"/>
  <c r="I956" i="1"/>
  <c r="K956" i="1"/>
  <c r="M956" i="1"/>
  <c r="O956" i="1"/>
  <c r="Q956" i="1"/>
  <c r="J957" i="1"/>
  <c r="L957" i="1"/>
  <c r="N957" i="1"/>
  <c r="P957" i="1"/>
  <c r="R957" i="1"/>
  <c r="I958" i="1"/>
  <c r="K958" i="1"/>
  <c r="M958" i="1"/>
  <c r="O958" i="1"/>
  <c r="Q958" i="1"/>
  <c r="J959" i="1"/>
  <c r="L959" i="1"/>
  <c r="N959" i="1"/>
  <c r="P959" i="1"/>
  <c r="R959" i="1"/>
  <c r="I960" i="1"/>
  <c r="K960" i="1"/>
  <c r="M960" i="1"/>
  <c r="O960" i="1"/>
  <c r="Q960" i="1"/>
  <c r="J961" i="1"/>
  <c r="L961" i="1"/>
  <c r="N961" i="1"/>
  <c r="P961" i="1"/>
  <c r="R961" i="1"/>
  <c r="I962" i="1"/>
  <c r="K962" i="1"/>
  <c r="M962" i="1"/>
  <c r="O962" i="1"/>
  <c r="Q962" i="1"/>
  <c r="J963" i="1"/>
  <c r="L963" i="1"/>
  <c r="N963" i="1"/>
  <c r="P963" i="1"/>
  <c r="R963" i="1"/>
  <c r="I964" i="1"/>
  <c r="K964" i="1"/>
  <c r="M964" i="1"/>
  <c r="O964" i="1"/>
  <c r="Q964" i="1"/>
  <c r="J965" i="1"/>
  <c r="L965" i="1"/>
  <c r="N965" i="1"/>
  <c r="P965" i="1"/>
  <c r="R965" i="1"/>
  <c r="I966" i="1"/>
  <c r="K966" i="1"/>
  <c r="M966" i="1"/>
  <c r="O966" i="1"/>
  <c r="Q966" i="1"/>
  <c r="S966" i="1"/>
  <c r="J967" i="1"/>
  <c r="L967" i="1"/>
  <c r="N967" i="1"/>
  <c r="P967" i="1"/>
  <c r="R967" i="1"/>
  <c r="I968" i="1"/>
  <c r="K968" i="1"/>
  <c r="M968" i="1"/>
  <c r="O968" i="1"/>
  <c r="Q968" i="1"/>
  <c r="S968" i="1"/>
  <c r="J969" i="1"/>
  <c r="L969" i="1"/>
  <c r="N969" i="1"/>
  <c r="P969" i="1"/>
  <c r="R969" i="1"/>
  <c r="I970" i="1"/>
  <c r="K970" i="1"/>
  <c r="M970" i="1"/>
  <c r="O970" i="1"/>
  <c r="Q970" i="1"/>
  <c r="S970" i="1"/>
  <c r="J971" i="1"/>
  <c r="L971" i="1"/>
  <c r="N971" i="1"/>
  <c r="P971" i="1"/>
  <c r="R971" i="1"/>
  <c r="I972" i="1"/>
  <c r="K972" i="1"/>
  <c r="M972" i="1"/>
  <c r="O972" i="1"/>
  <c r="Q972" i="1"/>
  <c r="S972" i="1"/>
  <c r="J973" i="1"/>
  <c r="L973" i="1"/>
  <c r="N973" i="1"/>
  <c r="P973" i="1"/>
  <c r="R973" i="1"/>
  <c r="I974" i="1"/>
  <c r="K974" i="1"/>
  <c r="M974" i="1"/>
  <c r="O974" i="1"/>
  <c r="Q974" i="1"/>
  <c r="J975" i="1"/>
  <c r="L975" i="1"/>
  <c r="N975" i="1"/>
  <c r="P975" i="1"/>
  <c r="R975" i="1"/>
  <c r="I976" i="1"/>
  <c r="K976" i="1"/>
  <c r="M976" i="1"/>
  <c r="O976" i="1"/>
  <c r="Q976" i="1"/>
  <c r="J977" i="1"/>
  <c r="L977" i="1"/>
  <c r="N977" i="1"/>
  <c r="P977" i="1"/>
  <c r="R977" i="1"/>
  <c r="I978" i="1"/>
  <c r="K978" i="1"/>
  <c r="M978" i="1"/>
  <c r="O978" i="1"/>
  <c r="Q978" i="1"/>
  <c r="J979" i="1"/>
  <c r="L979" i="1"/>
  <c r="N979" i="1"/>
  <c r="P979" i="1"/>
  <c r="R979" i="1"/>
  <c r="I980" i="1"/>
  <c r="K980" i="1"/>
  <c r="M980" i="1"/>
  <c r="O980" i="1"/>
  <c r="Q980" i="1"/>
  <c r="J981" i="1"/>
  <c r="L981" i="1"/>
  <c r="N981" i="1"/>
  <c r="P981" i="1"/>
  <c r="R981" i="1"/>
  <c r="I982" i="1"/>
  <c r="K982" i="1"/>
  <c r="M982" i="1"/>
  <c r="O982" i="1"/>
  <c r="Q982" i="1"/>
  <c r="J983" i="1"/>
  <c r="L983" i="1"/>
  <c r="N983" i="1"/>
  <c r="P983" i="1"/>
  <c r="R983" i="1"/>
  <c r="I984" i="1"/>
  <c r="K984" i="1"/>
  <c r="M984" i="1"/>
  <c r="O984" i="1"/>
  <c r="Q984" i="1"/>
  <c r="J985" i="1"/>
  <c r="L985" i="1"/>
  <c r="N985" i="1"/>
  <c r="P985" i="1"/>
  <c r="R985" i="1"/>
  <c r="I986" i="1"/>
  <c r="K986" i="1"/>
  <c r="M986" i="1"/>
  <c r="O986" i="1"/>
  <c r="Q986" i="1"/>
  <c r="J987" i="1"/>
  <c r="L987" i="1"/>
  <c r="N987" i="1"/>
  <c r="P987" i="1"/>
  <c r="R987" i="1"/>
  <c r="I988" i="1"/>
  <c r="K988" i="1"/>
  <c r="M988" i="1"/>
  <c r="O988" i="1"/>
  <c r="Q988" i="1"/>
  <c r="J989" i="1"/>
  <c r="L989" i="1"/>
  <c r="N989" i="1"/>
  <c r="P989" i="1"/>
  <c r="R989" i="1"/>
  <c r="I990" i="1"/>
  <c r="K990" i="1"/>
  <c r="M990" i="1"/>
  <c r="O990" i="1"/>
  <c r="Q990" i="1"/>
  <c r="J991" i="1"/>
  <c r="L991" i="1"/>
  <c r="N991" i="1"/>
  <c r="P991" i="1"/>
  <c r="R991" i="1"/>
  <c r="I992" i="1"/>
  <c r="K992" i="1"/>
  <c r="M992" i="1"/>
  <c r="O992" i="1"/>
  <c r="Q992" i="1"/>
  <c r="J993" i="1"/>
  <c r="L993" i="1"/>
  <c r="N993" i="1"/>
  <c r="P993" i="1"/>
  <c r="R993" i="1"/>
  <c r="I994" i="1"/>
  <c r="K994" i="1"/>
  <c r="M994" i="1"/>
  <c r="O994" i="1"/>
  <c r="Q994" i="1"/>
  <c r="J995" i="1"/>
  <c r="L995" i="1"/>
  <c r="N995" i="1"/>
  <c r="P995" i="1"/>
  <c r="R995" i="1"/>
  <c r="I996" i="1"/>
  <c r="K996" i="1"/>
  <c r="M996" i="1"/>
  <c r="O996" i="1"/>
  <c r="Q996" i="1"/>
  <c r="J997" i="1"/>
  <c r="L997" i="1"/>
  <c r="N997" i="1"/>
  <c r="P997" i="1"/>
  <c r="R997" i="1"/>
  <c r="I998" i="1"/>
  <c r="K998" i="1"/>
  <c r="M998" i="1"/>
  <c r="O998" i="1"/>
  <c r="Q998" i="1"/>
  <c r="J999" i="1"/>
  <c r="L999" i="1"/>
  <c r="N999" i="1"/>
  <c r="P999" i="1"/>
  <c r="R999" i="1"/>
  <c r="I1000" i="1"/>
  <c r="K1000" i="1"/>
  <c r="M1000" i="1"/>
  <c r="O1000" i="1"/>
  <c r="Q1000" i="1"/>
  <c r="J1001" i="1"/>
  <c r="L1001" i="1"/>
  <c r="N1001" i="1"/>
  <c r="P1001" i="1"/>
  <c r="R1001" i="1"/>
  <c r="I1002" i="1"/>
  <c r="K1002" i="1"/>
  <c r="M1002" i="1"/>
  <c r="O1002" i="1"/>
  <c r="Q1002" i="1"/>
  <c r="J1003" i="1"/>
  <c r="L1003" i="1"/>
  <c r="N1003" i="1"/>
  <c r="P1003" i="1"/>
  <c r="R1003" i="1"/>
  <c r="I1004" i="1"/>
  <c r="K1004" i="1"/>
  <c r="M1004" i="1"/>
  <c r="O1004" i="1"/>
  <c r="Q1004" i="1"/>
  <c r="S1004" i="1"/>
  <c r="J1005" i="1"/>
  <c r="L1005" i="1"/>
  <c r="N1005" i="1"/>
  <c r="P1005" i="1"/>
  <c r="R1005" i="1"/>
  <c r="I1006" i="1"/>
  <c r="K1006" i="1"/>
  <c r="M1006" i="1"/>
  <c r="O1006" i="1"/>
  <c r="Q1006" i="1"/>
  <c r="J1007" i="1"/>
  <c r="L1007" i="1"/>
  <c r="N1007" i="1"/>
  <c r="P1007" i="1"/>
  <c r="R1007" i="1"/>
  <c r="I1008" i="1"/>
  <c r="K1008" i="1"/>
  <c r="M1008" i="1"/>
  <c r="O1008" i="1"/>
  <c r="T1009" i="1"/>
  <c r="S1009" i="1"/>
  <c r="J1010" i="1"/>
  <c r="N1010" i="1"/>
  <c r="R1010" i="1"/>
  <c r="T1011" i="1"/>
  <c r="S1011" i="1"/>
  <c r="J1012" i="1"/>
  <c r="N1012" i="1"/>
  <c r="T1013" i="1"/>
  <c r="S1013" i="1"/>
  <c r="J1014" i="1"/>
  <c r="N1014" i="1"/>
  <c r="R1014" i="1"/>
  <c r="T1015" i="1"/>
  <c r="S1015" i="1"/>
  <c r="J1016" i="1"/>
  <c r="N1016" i="1"/>
  <c r="T1017" i="1"/>
  <c r="S1017" i="1"/>
  <c r="J1018" i="1"/>
  <c r="N1018" i="1"/>
  <c r="R1018" i="1"/>
  <c r="T1019" i="1"/>
  <c r="S1019" i="1"/>
  <c r="J1020" i="1"/>
  <c r="N1020" i="1"/>
  <c r="T1021" i="1"/>
  <c r="S1021" i="1"/>
  <c r="J1022" i="1"/>
  <c r="N1022" i="1"/>
  <c r="T1023" i="1"/>
  <c r="S1023" i="1"/>
  <c r="J1024" i="1"/>
  <c r="N1024" i="1"/>
  <c r="T1025" i="1"/>
  <c r="S1025" i="1"/>
  <c r="J1026" i="1"/>
  <c r="N1026" i="1"/>
  <c r="T1027" i="1"/>
  <c r="S1027" i="1"/>
  <c r="J1028" i="1"/>
  <c r="N1028" i="1"/>
  <c r="R1028" i="1"/>
  <c r="T1029" i="1"/>
  <c r="S1029" i="1"/>
  <c r="J1030" i="1"/>
  <c r="N1030" i="1"/>
  <c r="T1031" i="1"/>
  <c r="S1031" i="1"/>
  <c r="J1032" i="1"/>
  <c r="N1032" i="1"/>
  <c r="R1032" i="1"/>
  <c r="T1033" i="1"/>
  <c r="S1033" i="1"/>
  <c r="J1034" i="1"/>
  <c r="N1034" i="1"/>
  <c r="T1035" i="1"/>
  <c r="S1035" i="1"/>
  <c r="J1036" i="1"/>
  <c r="N1036" i="1"/>
  <c r="R1036" i="1"/>
  <c r="T1037" i="1"/>
  <c r="S1037" i="1"/>
  <c r="J1038" i="1"/>
  <c r="N1038" i="1"/>
  <c r="T1039" i="1"/>
  <c r="S1039" i="1"/>
  <c r="J1040" i="1"/>
  <c r="N1040" i="1"/>
  <c r="R1040" i="1"/>
  <c r="T1041" i="1"/>
  <c r="S1041" i="1"/>
  <c r="J1042" i="1"/>
  <c r="N1042" i="1"/>
  <c r="R1042" i="1"/>
  <c r="T1043" i="1"/>
  <c r="S1043" i="1"/>
  <c r="J1044" i="1"/>
  <c r="N1044" i="1"/>
  <c r="T1045" i="1"/>
  <c r="S1045" i="1"/>
  <c r="J1046" i="1"/>
  <c r="N1046" i="1"/>
  <c r="R1046" i="1"/>
  <c r="T1047" i="1"/>
  <c r="S1047" i="1"/>
  <c r="J1048" i="1"/>
  <c r="N1048" i="1"/>
  <c r="T1049" i="1"/>
  <c r="S1049" i="1"/>
  <c r="J1050" i="1"/>
  <c r="N1050" i="1"/>
  <c r="R1050" i="1"/>
  <c r="T1051" i="1"/>
  <c r="S1051" i="1"/>
  <c r="J1052" i="1"/>
  <c r="N1052" i="1"/>
  <c r="T1053" i="1"/>
  <c r="S1053" i="1"/>
  <c r="J1054" i="1"/>
  <c r="N1054" i="1"/>
  <c r="R1054" i="1"/>
  <c r="T1055" i="1"/>
  <c r="S1055" i="1"/>
  <c r="J1056" i="1"/>
  <c r="N1056" i="1"/>
  <c r="T1057" i="1"/>
  <c r="S1057" i="1"/>
  <c r="J1058" i="1"/>
  <c r="N1058" i="1"/>
  <c r="R1058" i="1"/>
  <c r="T1059" i="1"/>
  <c r="S1059" i="1"/>
  <c r="J1060" i="1"/>
  <c r="N1060" i="1"/>
  <c r="T1061" i="1"/>
  <c r="S1061" i="1"/>
  <c r="J1062" i="1"/>
  <c r="N1062" i="1"/>
  <c r="T1063" i="1"/>
  <c r="S1063" i="1"/>
  <c r="J1064" i="1"/>
  <c r="N1064" i="1"/>
  <c r="T1065" i="1"/>
  <c r="S1065" i="1"/>
  <c r="J1066" i="1"/>
  <c r="N1066" i="1"/>
  <c r="T1067" i="1"/>
  <c r="S1067" i="1"/>
  <c r="J1068" i="1"/>
  <c r="N1068" i="1"/>
  <c r="R1068" i="1"/>
  <c r="T1069" i="1"/>
  <c r="S1069" i="1"/>
  <c r="J1070" i="1"/>
  <c r="N1070" i="1"/>
  <c r="T1071" i="1"/>
  <c r="S1071" i="1"/>
  <c r="J1072" i="1"/>
  <c r="N1072" i="1"/>
  <c r="R1072" i="1"/>
  <c r="T1073" i="1"/>
  <c r="S1073" i="1"/>
  <c r="J1074" i="1"/>
  <c r="N1074" i="1"/>
  <c r="R1074" i="1"/>
  <c r="T1075" i="1"/>
  <c r="S1075" i="1"/>
  <c r="J1076" i="1"/>
  <c r="N1076" i="1"/>
  <c r="T1077" i="1"/>
  <c r="S1077" i="1"/>
  <c r="J1078" i="1"/>
  <c r="N1078" i="1"/>
  <c r="R1078" i="1"/>
  <c r="T1079" i="1"/>
  <c r="S1079" i="1"/>
  <c r="J1080" i="1"/>
  <c r="N1080" i="1"/>
  <c r="T1081" i="1"/>
  <c r="S1081" i="1"/>
  <c r="J1082" i="1"/>
  <c r="N1082" i="1"/>
  <c r="R1082" i="1"/>
  <c r="T1083" i="1"/>
  <c r="S1083" i="1"/>
  <c r="J1084" i="1"/>
  <c r="N1084" i="1"/>
  <c r="T1085" i="1"/>
  <c r="S1085" i="1"/>
  <c r="J1086" i="1"/>
  <c r="N1086" i="1"/>
  <c r="R1086" i="1"/>
  <c r="T1087" i="1"/>
  <c r="S1087" i="1"/>
  <c r="J1088" i="1"/>
  <c r="N1088" i="1"/>
  <c r="T1089" i="1"/>
  <c r="S1089" i="1"/>
  <c r="J1090" i="1"/>
  <c r="N1090" i="1"/>
  <c r="T1091" i="1"/>
  <c r="S1091" i="1"/>
  <c r="J1092" i="1"/>
  <c r="N1092" i="1"/>
  <c r="R1092" i="1"/>
  <c r="T1093" i="1"/>
  <c r="S1093" i="1"/>
  <c r="J1094" i="1"/>
  <c r="N1094" i="1"/>
  <c r="R1094" i="1"/>
  <c r="T1095" i="1"/>
  <c r="S1095" i="1"/>
  <c r="J1096" i="1"/>
  <c r="N1096" i="1"/>
  <c r="T1097" i="1"/>
  <c r="S1097" i="1"/>
  <c r="J1098" i="1"/>
  <c r="N1098" i="1"/>
  <c r="T1099" i="1"/>
  <c r="S1099" i="1"/>
  <c r="J1100" i="1"/>
  <c r="N1100" i="1"/>
  <c r="R1100" i="1"/>
  <c r="T1101" i="1"/>
  <c r="S1101" i="1"/>
  <c r="J1102" i="1"/>
  <c r="N1102" i="1"/>
  <c r="R1102" i="1"/>
  <c r="T1103" i="1"/>
  <c r="S1103" i="1"/>
  <c r="J1104" i="1"/>
  <c r="N1104" i="1"/>
  <c r="T1105" i="1"/>
  <c r="S1105" i="1"/>
  <c r="J1106" i="1"/>
  <c r="N1106" i="1"/>
  <c r="R1106" i="1"/>
  <c r="T1107" i="1"/>
  <c r="S1107" i="1"/>
  <c r="J1108" i="1"/>
  <c r="N1108" i="1"/>
  <c r="T1109" i="1"/>
  <c r="S1109" i="1"/>
  <c r="J1110" i="1"/>
  <c r="N1110" i="1"/>
  <c r="T1111" i="1"/>
  <c r="S1111" i="1"/>
  <c r="J1112" i="1"/>
  <c r="N1112" i="1"/>
  <c r="R1112" i="1"/>
  <c r="T1113" i="1"/>
  <c r="S1113" i="1"/>
  <c r="J1114" i="1"/>
  <c r="N1114" i="1"/>
  <c r="R1114" i="1"/>
  <c r="T1115" i="1"/>
  <c r="S1115" i="1"/>
  <c r="J1116" i="1"/>
  <c r="N1116" i="1"/>
  <c r="R1116" i="1"/>
  <c r="T1117" i="1"/>
  <c r="S1117" i="1"/>
  <c r="J1118" i="1"/>
  <c r="N1118" i="1"/>
  <c r="R1118" i="1"/>
  <c r="T1119" i="1"/>
  <c r="S1119" i="1"/>
  <c r="J1120" i="1"/>
  <c r="N1120" i="1"/>
  <c r="T1121" i="1"/>
  <c r="S1121" i="1"/>
  <c r="J1122" i="1"/>
  <c r="N1122" i="1"/>
  <c r="T1123" i="1"/>
  <c r="S1123" i="1"/>
  <c r="J1124" i="1"/>
  <c r="N1124" i="1"/>
  <c r="R1124" i="1"/>
  <c r="T1125" i="1"/>
  <c r="S1125" i="1"/>
  <c r="J1126" i="1"/>
  <c r="N1126" i="1"/>
  <c r="R1126" i="1"/>
  <c r="T1127" i="1"/>
  <c r="S1127" i="1"/>
  <c r="J1128" i="1"/>
  <c r="N1128" i="1"/>
  <c r="T1129" i="1"/>
  <c r="S1129" i="1"/>
  <c r="J1130" i="1"/>
  <c r="N1130" i="1"/>
  <c r="T1131" i="1"/>
  <c r="S1131" i="1"/>
  <c r="J1132" i="1"/>
  <c r="N1132" i="1"/>
  <c r="R1132" i="1"/>
  <c r="T1133" i="1"/>
  <c r="S1133" i="1"/>
  <c r="J1134" i="1"/>
  <c r="N1134" i="1"/>
  <c r="R1134" i="1"/>
  <c r="T1135" i="1"/>
  <c r="S1135" i="1"/>
  <c r="J1136" i="1"/>
  <c r="N1136" i="1"/>
  <c r="T1137" i="1"/>
  <c r="S1137" i="1"/>
  <c r="J1138" i="1"/>
  <c r="N1138" i="1"/>
  <c r="T1139" i="1"/>
  <c r="S1139" i="1"/>
  <c r="J1140" i="1"/>
  <c r="N1140" i="1"/>
  <c r="R1140" i="1"/>
  <c r="T1141" i="1"/>
  <c r="S1141" i="1"/>
  <c r="J1142" i="1"/>
  <c r="N1142" i="1"/>
  <c r="R1142" i="1"/>
  <c r="T1143" i="1"/>
  <c r="S1143" i="1"/>
  <c r="J1144" i="1"/>
  <c r="N1144" i="1"/>
  <c r="T1145" i="1"/>
  <c r="S1145" i="1"/>
  <c r="J1146" i="1"/>
  <c r="N1146" i="1"/>
  <c r="T1147" i="1"/>
  <c r="S1147" i="1"/>
  <c r="J1148" i="1"/>
  <c r="N1148" i="1"/>
  <c r="R1148" i="1"/>
  <c r="T1149" i="1"/>
  <c r="S1149" i="1"/>
  <c r="J1150" i="1"/>
  <c r="N1150" i="1"/>
  <c r="R1150" i="1"/>
  <c r="T1151" i="1"/>
  <c r="S1151" i="1"/>
  <c r="J1152" i="1"/>
  <c r="N1152" i="1"/>
  <c r="T1153" i="1"/>
  <c r="S1153" i="1"/>
  <c r="J1154" i="1"/>
  <c r="N1154" i="1"/>
  <c r="T1155" i="1"/>
  <c r="S1155" i="1"/>
  <c r="J1156" i="1"/>
  <c r="N1156" i="1"/>
  <c r="T1157" i="1"/>
  <c r="S1157" i="1"/>
  <c r="J1158" i="1"/>
  <c r="N1158" i="1"/>
  <c r="R1158" i="1"/>
  <c r="T1159" i="1"/>
  <c r="S1159" i="1"/>
  <c r="J1160" i="1"/>
  <c r="N1160" i="1"/>
  <c r="T1161" i="1"/>
  <c r="S1161" i="1"/>
  <c r="J1162" i="1"/>
  <c r="N1162" i="1"/>
  <c r="T1163" i="1"/>
  <c r="S1163" i="1"/>
  <c r="J1164" i="1"/>
  <c r="N1164" i="1"/>
  <c r="R1164" i="1"/>
  <c r="T1165" i="1"/>
  <c r="S1165" i="1"/>
  <c r="J1166" i="1"/>
  <c r="N1166" i="1"/>
  <c r="R1166" i="1"/>
  <c r="T1167" i="1"/>
  <c r="S1167" i="1"/>
  <c r="J1168" i="1"/>
  <c r="N1168" i="1"/>
  <c r="T1169" i="1"/>
  <c r="S1169" i="1"/>
  <c r="J1170" i="1"/>
  <c r="N1170" i="1"/>
  <c r="T1171" i="1"/>
  <c r="S1171" i="1"/>
  <c r="J1172" i="1"/>
  <c r="N1172" i="1"/>
  <c r="R1172" i="1"/>
  <c r="T1173" i="1"/>
  <c r="S1173" i="1"/>
  <c r="J1174" i="1"/>
  <c r="N1174" i="1"/>
  <c r="R1174" i="1"/>
  <c r="T1175" i="1"/>
  <c r="S1175" i="1"/>
  <c r="J1176" i="1"/>
  <c r="N1176" i="1"/>
  <c r="T1177" i="1"/>
  <c r="S1177" i="1"/>
  <c r="J1178" i="1"/>
  <c r="N1178" i="1"/>
  <c r="T1179" i="1"/>
  <c r="S1179" i="1"/>
  <c r="J1180" i="1"/>
  <c r="N1180" i="1"/>
  <c r="R1180" i="1"/>
  <c r="T1181" i="1"/>
  <c r="S1181" i="1"/>
  <c r="J1182" i="1"/>
  <c r="N1182" i="1"/>
  <c r="T1183" i="1"/>
  <c r="S1183" i="1"/>
  <c r="J1184" i="1"/>
  <c r="N1184" i="1"/>
  <c r="R1184" i="1"/>
  <c r="T1185" i="1"/>
  <c r="S1185" i="1"/>
  <c r="J1186" i="1"/>
  <c r="N1186" i="1"/>
  <c r="T1187" i="1"/>
  <c r="S1187" i="1"/>
  <c r="J1188" i="1"/>
  <c r="N1188" i="1"/>
  <c r="R1188" i="1"/>
  <c r="T1189" i="1"/>
  <c r="S1189" i="1"/>
  <c r="J1190" i="1"/>
  <c r="N1190" i="1"/>
  <c r="T1191" i="1"/>
  <c r="S1191" i="1"/>
  <c r="J1192" i="1"/>
  <c r="N1192" i="1"/>
  <c r="R1192" i="1"/>
  <c r="T1193" i="1"/>
  <c r="S1193" i="1"/>
  <c r="J1194" i="1"/>
  <c r="N1194" i="1"/>
  <c r="T1195" i="1"/>
  <c r="S1195" i="1"/>
  <c r="J1196" i="1"/>
  <c r="N1196" i="1"/>
  <c r="R1196" i="1"/>
  <c r="T1197" i="1"/>
  <c r="S1197" i="1"/>
  <c r="J1198" i="1"/>
  <c r="N1198" i="1"/>
  <c r="T1199" i="1"/>
  <c r="S1199" i="1"/>
  <c r="J1200" i="1"/>
  <c r="N1200" i="1"/>
  <c r="R1200" i="1"/>
  <c r="T1201" i="1"/>
  <c r="S1201" i="1"/>
  <c r="J1202" i="1"/>
  <c r="N1202" i="1"/>
  <c r="T1203" i="1"/>
  <c r="S1203" i="1"/>
  <c r="J1204" i="1"/>
  <c r="N1204" i="1"/>
  <c r="R1204" i="1"/>
  <c r="T1205" i="1"/>
  <c r="S1205" i="1"/>
  <c r="J1206" i="1"/>
  <c r="N1206" i="1"/>
  <c r="T1207" i="1"/>
  <c r="S1207" i="1"/>
  <c r="J1208" i="1"/>
  <c r="N1208" i="1"/>
  <c r="R1208" i="1"/>
  <c r="T1209" i="1"/>
  <c r="S1209" i="1"/>
  <c r="J1210" i="1"/>
  <c r="N1210" i="1"/>
  <c r="T1211" i="1"/>
  <c r="S1211" i="1"/>
  <c r="J1212" i="1"/>
  <c r="N1212" i="1"/>
  <c r="R1212" i="1"/>
  <c r="T1213" i="1"/>
  <c r="S1213" i="1"/>
  <c r="J1214" i="1"/>
  <c r="N1214" i="1"/>
  <c r="T1215" i="1"/>
  <c r="S1215" i="1"/>
  <c r="J1216" i="1"/>
  <c r="N1216" i="1"/>
  <c r="R1216" i="1"/>
  <c r="T1217" i="1"/>
  <c r="S1217" i="1"/>
  <c r="J1218" i="1"/>
  <c r="N1218" i="1"/>
  <c r="T1219" i="1"/>
  <c r="S1219" i="1"/>
  <c r="J1220" i="1"/>
  <c r="N1220" i="1"/>
  <c r="R1220" i="1"/>
  <c r="T1221" i="1"/>
  <c r="S1221" i="1"/>
  <c r="J1222" i="1"/>
  <c r="N1222" i="1"/>
  <c r="T1223" i="1"/>
  <c r="S1223" i="1"/>
  <c r="J1224" i="1"/>
  <c r="N1224" i="1"/>
  <c r="R1224" i="1"/>
  <c r="T1225" i="1"/>
  <c r="S1225" i="1"/>
  <c r="J1226" i="1"/>
  <c r="N1226" i="1"/>
  <c r="T1227" i="1"/>
  <c r="S1227" i="1"/>
  <c r="J1228" i="1"/>
  <c r="N1228" i="1"/>
  <c r="R1228" i="1"/>
  <c r="T1229" i="1"/>
  <c r="S1229" i="1"/>
  <c r="J1230" i="1"/>
  <c r="N1230" i="1"/>
  <c r="T1231" i="1"/>
  <c r="S1231" i="1"/>
  <c r="J1232" i="1"/>
  <c r="N1232" i="1"/>
  <c r="R1232" i="1"/>
  <c r="T1233" i="1"/>
  <c r="S1233" i="1"/>
  <c r="J1234" i="1"/>
  <c r="N1234" i="1"/>
  <c r="T1235" i="1"/>
  <c r="S1235" i="1"/>
  <c r="J1236" i="1"/>
  <c r="N1236" i="1"/>
  <c r="R1236" i="1"/>
  <c r="T1237" i="1"/>
  <c r="S1237" i="1"/>
  <c r="J1238" i="1"/>
  <c r="N1238" i="1"/>
  <c r="T1239" i="1"/>
  <c r="S1239" i="1"/>
  <c r="J1240" i="1"/>
  <c r="N1240" i="1"/>
  <c r="T1241" i="1"/>
  <c r="S1241" i="1"/>
  <c r="J1242" i="1"/>
  <c r="N1242" i="1"/>
  <c r="R1242" i="1"/>
  <c r="T1243" i="1"/>
  <c r="S1243" i="1"/>
  <c r="J1244" i="1"/>
  <c r="N1244" i="1"/>
  <c r="R1244" i="1"/>
  <c r="T1245" i="1"/>
  <c r="S1245" i="1"/>
  <c r="J1246" i="1"/>
  <c r="N1246" i="1"/>
  <c r="T1247" i="1"/>
  <c r="S1247" i="1"/>
  <c r="J1248" i="1"/>
  <c r="N1248" i="1"/>
  <c r="T1249" i="1"/>
  <c r="S1249" i="1"/>
  <c r="J1250" i="1"/>
  <c r="N1250" i="1"/>
  <c r="R1250" i="1"/>
  <c r="T1251" i="1"/>
  <c r="S1251" i="1"/>
  <c r="J1252" i="1"/>
  <c r="N1252" i="1"/>
  <c r="R1252" i="1"/>
  <c r="T1253" i="1"/>
  <c r="S1253" i="1"/>
  <c r="J1254" i="1"/>
  <c r="N1254" i="1"/>
  <c r="R1254" i="1"/>
  <c r="T1255" i="1"/>
  <c r="S1255" i="1"/>
  <c r="J1256" i="1"/>
  <c r="N1256" i="1"/>
  <c r="R1256" i="1"/>
  <c r="T1257" i="1"/>
  <c r="S1257" i="1"/>
  <c r="J1258" i="1"/>
  <c r="N1258" i="1"/>
  <c r="T1259" i="1"/>
  <c r="S1259" i="1"/>
  <c r="J1260" i="1"/>
  <c r="N1260" i="1"/>
  <c r="T1261" i="1"/>
  <c r="S1261" i="1"/>
  <c r="J1262" i="1"/>
  <c r="N1262" i="1"/>
  <c r="R1262" i="1"/>
  <c r="T1263" i="1"/>
  <c r="S1263" i="1"/>
  <c r="J1264" i="1"/>
  <c r="N1264" i="1"/>
  <c r="R1264" i="1"/>
  <c r="T1265" i="1"/>
  <c r="S1265" i="1"/>
  <c r="J1266" i="1"/>
  <c r="N1266" i="1"/>
  <c r="R1266" i="1"/>
  <c r="T1267" i="1"/>
  <c r="S1267" i="1"/>
  <c r="J1268" i="1"/>
  <c r="N1268" i="1"/>
  <c r="T1269" i="1"/>
  <c r="S1269" i="1"/>
  <c r="J1270" i="1"/>
  <c r="N1270" i="1"/>
  <c r="R1270" i="1"/>
  <c r="T1271" i="1"/>
  <c r="S1271" i="1"/>
  <c r="J1272" i="1"/>
  <c r="N1272" i="1"/>
  <c r="R1272" i="1"/>
  <c r="T1273" i="1"/>
  <c r="S1273" i="1"/>
  <c r="J1274" i="1"/>
  <c r="N1274" i="1"/>
  <c r="R1274" i="1"/>
  <c r="T1275" i="1"/>
  <c r="S1275" i="1"/>
  <c r="J1276" i="1"/>
  <c r="N1276" i="1"/>
  <c r="R1276" i="1"/>
  <c r="T1277" i="1"/>
  <c r="S1277" i="1"/>
  <c r="J1278" i="1"/>
  <c r="N1278" i="1"/>
  <c r="T1279" i="1"/>
  <c r="S1279" i="1"/>
  <c r="J1280" i="1"/>
  <c r="N1280" i="1"/>
  <c r="R1280" i="1"/>
  <c r="T1281" i="1"/>
  <c r="S1281" i="1"/>
  <c r="J1282" i="1"/>
  <c r="N1282" i="1"/>
  <c r="T1283" i="1"/>
  <c r="S1283" i="1"/>
  <c r="J1284" i="1"/>
  <c r="N1284" i="1"/>
  <c r="R1284" i="1"/>
  <c r="T1285" i="1"/>
  <c r="S1285" i="1"/>
  <c r="J1286" i="1"/>
  <c r="N1286" i="1"/>
  <c r="T1287" i="1"/>
  <c r="S1287" i="1"/>
  <c r="J1288" i="1"/>
  <c r="N1288" i="1"/>
  <c r="T1289" i="1"/>
  <c r="S1289" i="1"/>
  <c r="J1290" i="1"/>
  <c r="N1290" i="1"/>
  <c r="R1290" i="1"/>
  <c r="T1291" i="1"/>
  <c r="S1291" i="1"/>
  <c r="J1292" i="1"/>
  <c r="N1292" i="1"/>
  <c r="R1292" i="1"/>
  <c r="T1293" i="1"/>
  <c r="S1293" i="1"/>
  <c r="J1294" i="1"/>
  <c r="N1294" i="1"/>
  <c r="T1295" i="1"/>
  <c r="S1295" i="1"/>
  <c r="J1296" i="1"/>
  <c r="N1296" i="1"/>
  <c r="T1297" i="1"/>
  <c r="S1297" i="1"/>
  <c r="J1298" i="1"/>
  <c r="N1298" i="1"/>
  <c r="R1298" i="1"/>
  <c r="T1299" i="1"/>
  <c r="S1299" i="1"/>
  <c r="J1300" i="1"/>
  <c r="N1300" i="1"/>
  <c r="R1300" i="1"/>
  <c r="T1301" i="1"/>
  <c r="S1301" i="1"/>
  <c r="J1302" i="1"/>
  <c r="N1302" i="1"/>
  <c r="T1303" i="1"/>
  <c r="S1303" i="1"/>
  <c r="J1304" i="1"/>
  <c r="N1304" i="1"/>
  <c r="T1305" i="1"/>
  <c r="S1305" i="1"/>
  <c r="J1306" i="1"/>
  <c r="N1306" i="1"/>
  <c r="R1306" i="1"/>
  <c r="T1307" i="1"/>
  <c r="S1307" i="1"/>
  <c r="J1308" i="1"/>
  <c r="N1308" i="1"/>
  <c r="R1308" i="1"/>
  <c r="T1309" i="1"/>
  <c r="S1309" i="1"/>
  <c r="J1310" i="1"/>
  <c r="N1310" i="1"/>
  <c r="R1310" i="1"/>
  <c r="T1311" i="1"/>
  <c r="S1311" i="1"/>
  <c r="J1312" i="1"/>
  <c r="N1312" i="1"/>
  <c r="R1312" i="1"/>
  <c r="T1313" i="1"/>
  <c r="S1313" i="1"/>
  <c r="J1314" i="1"/>
  <c r="N1314" i="1"/>
  <c r="T1315" i="1"/>
  <c r="S1315" i="1"/>
  <c r="J1316" i="1"/>
  <c r="N1316" i="1"/>
  <c r="T1317" i="1"/>
  <c r="S1317" i="1"/>
  <c r="J1318" i="1"/>
  <c r="N1318" i="1"/>
  <c r="R1318" i="1"/>
  <c r="T1319" i="1"/>
  <c r="S1319" i="1"/>
  <c r="J1320" i="1"/>
  <c r="N1320" i="1"/>
  <c r="T1321" i="1"/>
  <c r="S1321" i="1"/>
  <c r="J1322" i="1"/>
  <c r="N1322" i="1"/>
  <c r="R1322" i="1"/>
  <c r="T1323" i="1"/>
  <c r="S1323" i="1"/>
  <c r="J1324" i="1"/>
  <c r="N1324" i="1"/>
  <c r="R1324" i="1"/>
  <c r="T1325" i="1"/>
  <c r="S1325" i="1"/>
  <c r="J1326" i="1"/>
  <c r="N1326" i="1"/>
  <c r="T1327" i="1"/>
  <c r="S1327" i="1"/>
  <c r="J1328" i="1"/>
  <c r="N1328" i="1"/>
  <c r="R1328" i="1"/>
  <c r="T1329" i="1"/>
  <c r="S1329" i="1"/>
  <c r="J1330" i="1"/>
  <c r="N1330" i="1"/>
  <c r="T1331" i="1"/>
  <c r="S1331" i="1"/>
  <c r="J1332" i="1"/>
  <c r="N1332" i="1"/>
  <c r="R1332" i="1"/>
  <c r="T1333" i="1"/>
  <c r="S1333" i="1"/>
  <c r="J1334" i="1"/>
  <c r="N1334" i="1"/>
  <c r="T1335" i="1"/>
  <c r="S1335" i="1"/>
  <c r="J1336" i="1"/>
  <c r="N1336" i="1"/>
  <c r="R1336" i="1"/>
  <c r="T1337" i="1"/>
  <c r="S1337" i="1"/>
  <c r="J1338" i="1"/>
  <c r="N1338" i="1"/>
  <c r="T1339" i="1"/>
  <c r="S1339" i="1"/>
  <c r="J1340" i="1"/>
  <c r="N1340" i="1"/>
  <c r="R1340" i="1"/>
  <c r="T1341" i="1"/>
  <c r="S1341" i="1"/>
  <c r="J1342" i="1"/>
  <c r="N1342" i="1"/>
  <c r="T1343" i="1"/>
  <c r="S1343" i="1"/>
  <c r="J1344" i="1"/>
  <c r="N1344" i="1"/>
  <c r="T1345" i="1"/>
  <c r="S1345" i="1"/>
  <c r="J1346" i="1"/>
  <c r="N1346" i="1"/>
  <c r="T1347" i="1"/>
  <c r="S1347" i="1"/>
  <c r="J1348" i="1"/>
  <c r="N1348" i="1"/>
  <c r="T1349" i="1"/>
  <c r="S1349" i="1"/>
  <c r="J1350" i="1"/>
  <c r="N1350" i="1"/>
  <c r="R1350" i="1"/>
  <c r="T1351" i="1"/>
  <c r="J1352" i="1"/>
  <c r="N1352" i="1"/>
  <c r="R1352" i="1"/>
  <c r="T1353" i="1"/>
  <c r="S1353" i="1"/>
  <c r="J1354" i="1"/>
  <c r="N1354" i="1"/>
  <c r="T1355" i="1"/>
  <c r="K1355" i="1"/>
  <c r="O1355" i="1"/>
  <c r="S1355" i="1"/>
  <c r="J1356" i="1"/>
  <c r="N1356" i="1"/>
  <c r="R1356" i="1"/>
  <c r="T1357" i="1"/>
  <c r="K1357" i="1"/>
  <c r="O1357" i="1"/>
  <c r="E2" i="5"/>
  <c r="E3" i="5" s="1"/>
  <c r="J2" i="6"/>
  <c r="N2" i="6"/>
  <c r="R2" i="6"/>
  <c r="J3" i="6"/>
  <c r="N3" i="6"/>
  <c r="R3" i="6"/>
  <c r="J4" i="6"/>
  <c r="N4" i="6"/>
  <c r="J5" i="6"/>
  <c r="N5" i="6"/>
  <c r="J6" i="6"/>
  <c r="N6" i="6"/>
  <c r="R6" i="6"/>
  <c r="J7" i="6"/>
  <c r="N7" i="6"/>
  <c r="J8" i="6"/>
  <c r="N8" i="6"/>
  <c r="R8" i="6"/>
  <c r="J9" i="6"/>
  <c r="N9" i="6"/>
  <c r="J10" i="6"/>
  <c r="N10" i="6"/>
  <c r="R10" i="6"/>
  <c r="J11" i="6"/>
  <c r="N11" i="6"/>
  <c r="R11" i="6"/>
  <c r="J12" i="6"/>
  <c r="N12" i="6"/>
  <c r="J13" i="6"/>
  <c r="N13" i="6"/>
  <c r="R13" i="6"/>
  <c r="J14" i="6"/>
  <c r="N14" i="6"/>
  <c r="J15" i="6"/>
  <c r="N15" i="6"/>
  <c r="J16" i="6"/>
  <c r="N16" i="6"/>
  <c r="R16" i="6"/>
  <c r="J17" i="6"/>
  <c r="N17" i="6"/>
  <c r="J18" i="6"/>
  <c r="N18" i="6"/>
  <c r="J19" i="6"/>
  <c r="N19" i="6"/>
  <c r="J20" i="6"/>
  <c r="N20" i="6"/>
  <c r="R20" i="6"/>
  <c r="J21" i="6"/>
  <c r="N21" i="6"/>
  <c r="J22" i="6"/>
  <c r="N22" i="6"/>
  <c r="R22" i="6"/>
  <c r="J23" i="6"/>
  <c r="N23" i="6"/>
  <c r="J24" i="6"/>
  <c r="N24" i="6"/>
  <c r="R24" i="6"/>
  <c r="J25" i="6"/>
  <c r="N25" i="6"/>
  <c r="J26" i="6"/>
  <c r="N26" i="6"/>
  <c r="J27" i="6"/>
  <c r="N27" i="6"/>
  <c r="R27" i="6"/>
  <c r="J28" i="6"/>
  <c r="N28" i="6"/>
  <c r="J29" i="6"/>
  <c r="N29" i="6"/>
  <c r="J30" i="6"/>
  <c r="N30" i="6"/>
  <c r="R30" i="6"/>
  <c r="J31" i="6"/>
  <c r="N31" i="6"/>
  <c r="J32" i="6"/>
  <c r="N32" i="6"/>
  <c r="J33" i="6"/>
  <c r="N33" i="6"/>
  <c r="J34" i="6"/>
  <c r="N34" i="6"/>
  <c r="R34" i="6"/>
  <c r="J35" i="6"/>
  <c r="N35" i="6"/>
  <c r="J36" i="6"/>
  <c r="N36" i="6"/>
  <c r="R36" i="6"/>
  <c r="J37" i="6"/>
  <c r="N37" i="6"/>
  <c r="J38" i="6"/>
  <c r="N38" i="6"/>
  <c r="R38" i="6"/>
  <c r="J39" i="6"/>
  <c r="N39" i="6"/>
  <c r="R39" i="6"/>
  <c r="J40" i="6"/>
  <c r="N40" i="6"/>
  <c r="R40" i="6"/>
  <c r="J41" i="6"/>
  <c r="N41" i="6"/>
  <c r="J42" i="6"/>
  <c r="N42" i="6"/>
  <c r="R42" i="6"/>
  <c r="J43" i="6"/>
  <c r="N43" i="6"/>
  <c r="J44" i="6"/>
  <c r="N44" i="6"/>
  <c r="R44" i="6"/>
  <c r="J45" i="6"/>
  <c r="N45" i="6"/>
  <c r="J46" i="6"/>
  <c r="N46" i="6"/>
  <c r="R46" i="6"/>
  <c r="J47" i="6"/>
  <c r="N47" i="6"/>
  <c r="J48" i="6"/>
  <c r="N48" i="6"/>
  <c r="R48" i="6"/>
  <c r="J49" i="6"/>
  <c r="N49" i="6"/>
  <c r="J50" i="6"/>
  <c r="N50" i="6"/>
  <c r="J51" i="6"/>
  <c r="N51" i="6"/>
  <c r="R51" i="6"/>
  <c r="J52" i="6"/>
  <c r="N52" i="6"/>
  <c r="J53" i="6"/>
  <c r="N53" i="6"/>
  <c r="R53" i="6"/>
  <c r="J54" i="6"/>
  <c r="N54" i="6"/>
  <c r="R54" i="6"/>
  <c r="J55" i="6"/>
  <c r="N55" i="6"/>
  <c r="J56" i="6"/>
  <c r="N56" i="6"/>
  <c r="R56" i="6"/>
  <c r="J57" i="6"/>
  <c r="N57" i="6"/>
  <c r="J58" i="6"/>
  <c r="N58" i="6"/>
  <c r="R58" i="6"/>
  <c r="J59" i="6"/>
  <c r="N59" i="6"/>
  <c r="J60" i="6"/>
  <c r="N60" i="6"/>
  <c r="R60" i="6"/>
  <c r="J61" i="6"/>
  <c r="N61" i="6"/>
  <c r="J62" i="6"/>
  <c r="N62" i="6"/>
  <c r="J63" i="6"/>
  <c r="N63" i="6"/>
  <c r="J64" i="6"/>
  <c r="N64" i="6"/>
  <c r="R64" i="6"/>
  <c r="J65" i="6"/>
  <c r="N65" i="6"/>
  <c r="J66" i="6"/>
  <c r="N66" i="6"/>
  <c r="R66" i="6"/>
  <c r="J67" i="6"/>
  <c r="N67" i="6"/>
  <c r="J68" i="6"/>
  <c r="N68" i="6"/>
  <c r="R68" i="6"/>
  <c r="J69" i="6"/>
  <c r="N69" i="6"/>
  <c r="R69" i="6"/>
  <c r="J70" i="6"/>
  <c r="N70" i="6"/>
  <c r="J71" i="6"/>
  <c r="N71" i="6"/>
  <c r="R71" i="6"/>
  <c r="J72" i="6"/>
  <c r="N72" i="6"/>
  <c r="R72" i="6"/>
  <c r="J73" i="6"/>
  <c r="N73" i="6"/>
  <c r="J74" i="6"/>
  <c r="N74" i="6"/>
  <c r="J75" i="6"/>
  <c r="N75" i="6"/>
  <c r="R75" i="6"/>
  <c r="J76" i="6"/>
  <c r="N76" i="6"/>
  <c r="R76" i="6"/>
  <c r="J77" i="6"/>
  <c r="N77" i="6"/>
  <c r="J78" i="6"/>
  <c r="N78" i="6"/>
  <c r="R78" i="6"/>
  <c r="J79" i="6"/>
  <c r="N79" i="6"/>
  <c r="J80" i="6"/>
  <c r="N80" i="6"/>
  <c r="R80" i="6"/>
  <c r="J81" i="6"/>
  <c r="N81" i="6"/>
  <c r="J82" i="6"/>
  <c r="N82" i="6"/>
  <c r="R82" i="6"/>
  <c r="J83" i="6"/>
  <c r="N83" i="6"/>
  <c r="J84" i="6"/>
  <c r="N84" i="6"/>
  <c r="R84" i="6"/>
  <c r="J85" i="6"/>
  <c r="N85" i="6"/>
  <c r="J86" i="6"/>
  <c r="N86" i="6"/>
  <c r="R86" i="6"/>
  <c r="J87" i="6"/>
  <c r="N87" i="6"/>
  <c r="J88" i="6"/>
  <c r="N88" i="6"/>
  <c r="R88" i="6"/>
  <c r="J89" i="6"/>
  <c r="N89" i="6"/>
  <c r="R89" i="6"/>
  <c r="J90" i="6"/>
  <c r="N90" i="6"/>
  <c r="J91" i="6"/>
  <c r="N91" i="6"/>
  <c r="R91" i="6"/>
  <c r="J92" i="6"/>
  <c r="N92" i="6"/>
  <c r="R92" i="6"/>
  <c r="J93" i="6"/>
  <c r="N93" i="6"/>
  <c r="R93" i="6"/>
  <c r="J94" i="6"/>
  <c r="N94" i="6"/>
  <c r="J95" i="6"/>
  <c r="N95" i="6"/>
  <c r="J96" i="6"/>
  <c r="N96" i="6"/>
  <c r="R96" i="6"/>
  <c r="J97" i="6"/>
  <c r="N97" i="6"/>
  <c r="R97" i="6"/>
  <c r="J98" i="6"/>
  <c r="N98" i="6"/>
  <c r="R98" i="6"/>
  <c r="J99" i="6"/>
  <c r="N99" i="6"/>
  <c r="R99" i="6"/>
  <c r="J100" i="6"/>
  <c r="N100" i="6"/>
  <c r="J101" i="6"/>
  <c r="N101" i="6"/>
  <c r="R101" i="6"/>
  <c r="J102" i="6"/>
  <c r="N102" i="6"/>
  <c r="J103" i="6"/>
  <c r="N103" i="6"/>
  <c r="R103" i="6"/>
  <c r="J104" i="6"/>
  <c r="N104" i="6"/>
  <c r="J105" i="6"/>
  <c r="N105" i="6"/>
  <c r="R105" i="6"/>
  <c r="J106" i="6"/>
  <c r="N106" i="6"/>
  <c r="J107" i="6"/>
  <c r="N107" i="6"/>
  <c r="R107" i="6"/>
  <c r="J108" i="6"/>
  <c r="N108" i="6"/>
  <c r="J109" i="6"/>
  <c r="N109" i="6"/>
  <c r="J110" i="6"/>
  <c r="N110" i="6"/>
  <c r="R110" i="6"/>
  <c r="J111" i="6"/>
  <c r="N111" i="6"/>
  <c r="J112" i="6"/>
  <c r="N112" i="6"/>
  <c r="R112" i="6"/>
  <c r="J113" i="6"/>
  <c r="N113" i="6"/>
  <c r="J114" i="6"/>
  <c r="N114" i="6"/>
  <c r="R114" i="6"/>
  <c r="J115" i="6"/>
  <c r="N115" i="6"/>
  <c r="J116" i="6"/>
  <c r="N116" i="6"/>
  <c r="J117" i="6"/>
  <c r="N117" i="6"/>
  <c r="R117" i="6"/>
  <c r="J118" i="6"/>
  <c r="N118" i="6"/>
  <c r="J119" i="6"/>
  <c r="N119" i="6"/>
  <c r="R119" i="6"/>
  <c r="J120" i="6"/>
  <c r="N120" i="6"/>
  <c r="J121" i="6"/>
  <c r="N121" i="6"/>
  <c r="J122" i="6"/>
  <c r="N122" i="6"/>
  <c r="R122" i="6"/>
  <c r="J123" i="6"/>
  <c r="N123" i="6"/>
  <c r="J124" i="6"/>
  <c r="N124" i="6"/>
  <c r="R124" i="6"/>
  <c r="J125" i="6"/>
  <c r="N125" i="6"/>
  <c r="J126" i="6"/>
  <c r="N126" i="6"/>
  <c r="R126" i="6"/>
  <c r="J127" i="6"/>
  <c r="N127" i="6"/>
  <c r="J128" i="6"/>
  <c r="N128" i="6"/>
  <c r="R128" i="6"/>
  <c r="J129" i="6"/>
  <c r="N129" i="6"/>
  <c r="R129" i="6"/>
  <c r="J130" i="6"/>
  <c r="N130" i="6"/>
  <c r="J131" i="6"/>
  <c r="N131" i="6"/>
  <c r="R131" i="6"/>
  <c r="J132" i="6"/>
  <c r="N132" i="6"/>
  <c r="J133" i="6"/>
  <c r="N133" i="6"/>
  <c r="R133" i="6"/>
  <c r="J134" i="6"/>
  <c r="N134" i="6"/>
  <c r="R134" i="6"/>
  <c r="J135" i="6"/>
  <c r="N135" i="6"/>
  <c r="J136" i="6"/>
  <c r="N136" i="6"/>
  <c r="R136" i="6"/>
  <c r="J137" i="6"/>
  <c r="N137" i="6"/>
  <c r="J138" i="6"/>
  <c r="N138" i="6"/>
  <c r="R138" i="6"/>
  <c r="J139" i="6"/>
  <c r="N139" i="6"/>
  <c r="J140" i="6"/>
  <c r="N140" i="6"/>
  <c r="J141" i="6"/>
  <c r="N141" i="6"/>
  <c r="R141" i="6"/>
  <c r="J142" i="6"/>
  <c r="N142" i="6"/>
  <c r="R142" i="6"/>
  <c r="J143" i="6"/>
  <c r="N143" i="6"/>
  <c r="J144" i="6"/>
  <c r="N144" i="6"/>
  <c r="J145" i="6"/>
  <c r="N145" i="6"/>
  <c r="J146" i="6"/>
  <c r="N146" i="6"/>
  <c r="J147" i="6"/>
  <c r="N147" i="6"/>
  <c r="R147" i="6"/>
  <c r="J148" i="6"/>
  <c r="N148" i="6"/>
  <c r="J149" i="6"/>
  <c r="N149" i="6"/>
  <c r="R149" i="6"/>
  <c r="J150" i="6"/>
  <c r="N150" i="6"/>
  <c r="J151" i="6"/>
  <c r="N151" i="6"/>
  <c r="J152" i="6"/>
  <c r="N152" i="6"/>
  <c r="R152" i="6"/>
  <c r="J153" i="6"/>
  <c r="N153" i="6"/>
  <c r="J154" i="6"/>
  <c r="N154" i="6"/>
  <c r="J155" i="6"/>
  <c r="N155" i="6"/>
  <c r="R155" i="6"/>
  <c r="J156" i="6"/>
  <c r="N156" i="6"/>
  <c r="J157" i="6"/>
  <c r="N157" i="6"/>
  <c r="R157" i="6"/>
  <c r="J158" i="6"/>
  <c r="N158" i="6"/>
  <c r="J159" i="6"/>
  <c r="N159" i="6"/>
  <c r="R159" i="6"/>
  <c r="J160" i="6"/>
  <c r="N160" i="6"/>
  <c r="J161" i="6"/>
  <c r="N161" i="6"/>
  <c r="R161" i="6"/>
  <c r="J162" i="6"/>
  <c r="N162" i="6"/>
  <c r="J163" i="6"/>
  <c r="N163" i="6"/>
  <c r="J164" i="6"/>
  <c r="N164" i="6"/>
  <c r="R164" i="6"/>
  <c r="J165" i="6"/>
  <c r="N165" i="6"/>
  <c r="J166" i="6"/>
  <c r="N166" i="6"/>
  <c r="R166" i="6"/>
  <c r="J167" i="6"/>
  <c r="N167" i="6"/>
  <c r="J168" i="6"/>
  <c r="N168" i="6"/>
  <c r="J169" i="6"/>
  <c r="N169" i="6"/>
  <c r="R169" i="6"/>
  <c r="J170" i="6"/>
  <c r="N170" i="6"/>
  <c r="J171" i="6"/>
  <c r="N171" i="6"/>
  <c r="R171" i="6"/>
  <c r="J172" i="6"/>
  <c r="N172" i="6"/>
  <c r="R172" i="6"/>
  <c r="J173" i="6"/>
  <c r="N173" i="6"/>
  <c r="J174" i="6"/>
  <c r="N174" i="6"/>
  <c r="R174" i="6"/>
  <c r="J175" i="6"/>
  <c r="N175" i="6"/>
  <c r="J176" i="6"/>
  <c r="N176" i="6"/>
  <c r="R176" i="6"/>
  <c r="J177" i="6"/>
  <c r="N177" i="6"/>
  <c r="R177" i="6"/>
  <c r="J178" i="6"/>
  <c r="N178" i="6"/>
  <c r="J179" i="6"/>
  <c r="N179" i="6"/>
  <c r="J180" i="6"/>
  <c r="N180" i="6"/>
  <c r="R180" i="6"/>
  <c r="J181" i="6"/>
  <c r="N181" i="6"/>
  <c r="J182" i="6"/>
  <c r="N182" i="6"/>
  <c r="J183" i="6"/>
  <c r="N183" i="6"/>
  <c r="R183" i="6"/>
  <c r="J184" i="6"/>
  <c r="N184" i="6"/>
  <c r="J185" i="6"/>
  <c r="N185" i="6"/>
  <c r="R185" i="6"/>
  <c r="J186" i="6"/>
  <c r="N186" i="6"/>
  <c r="J187" i="6"/>
  <c r="N187" i="6"/>
  <c r="R187" i="6"/>
  <c r="J188" i="6"/>
  <c r="N188" i="6"/>
  <c r="R188" i="6"/>
  <c r="J189" i="6"/>
  <c r="N189" i="6"/>
  <c r="J190" i="6"/>
  <c r="N190" i="6"/>
  <c r="J191" i="6"/>
  <c r="N191" i="6"/>
  <c r="J192" i="6"/>
  <c r="N192" i="6"/>
  <c r="J193" i="6"/>
  <c r="N193" i="6"/>
  <c r="J194" i="6"/>
  <c r="N194" i="6"/>
  <c r="J195" i="6"/>
  <c r="N195" i="6"/>
  <c r="J196" i="6"/>
  <c r="N196" i="6"/>
  <c r="J197" i="6"/>
  <c r="N197" i="6"/>
  <c r="J198" i="6"/>
  <c r="N198" i="6"/>
  <c r="J199" i="6"/>
  <c r="N199" i="6"/>
  <c r="J200" i="6"/>
  <c r="N200" i="6"/>
  <c r="J201" i="6"/>
  <c r="N201" i="6"/>
  <c r="J202" i="6"/>
  <c r="N202" i="6"/>
  <c r="J203" i="6"/>
  <c r="N203" i="6"/>
  <c r="J204" i="6"/>
  <c r="N204" i="6"/>
  <c r="J205" i="6"/>
  <c r="N205" i="6"/>
  <c r="J206" i="6"/>
  <c r="N206" i="6"/>
  <c r="J207" i="6"/>
  <c r="N207" i="6"/>
  <c r="J208" i="6"/>
  <c r="N208" i="6"/>
  <c r="J209" i="6"/>
  <c r="N209" i="6"/>
  <c r="J210" i="6"/>
  <c r="N210" i="6"/>
  <c r="J211" i="6"/>
  <c r="N211" i="6"/>
  <c r="J212" i="6"/>
  <c r="N212" i="6"/>
  <c r="J213" i="6"/>
  <c r="N213" i="6"/>
  <c r="J214" i="6"/>
  <c r="N214" i="6"/>
  <c r="J215" i="6"/>
  <c r="N215" i="6"/>
  <c r="J216" i="6"/>
  <c r="N216" i="6"/>
  <c r="J217" i="6"/>
  <c r="N217" i="6"/>
  <c r="J218" i="6"/>
  <c r="N218" i="6"/>
  <c r="J219" i="6"/>
  <c r="N219" i="6"/>
  <c r="J220" i="6"/>
  <c r="N220" i="6"/>
  <c r="J221" i="6"/>
  <c r="N221" i="6"/>
  <c r="J222" i="6"/>
  <c r="N222" i="6"/>
  <c r="J223" i="6"/>
  <c r="N223" i="6"/>
  <c r="J224" i="6"/>
  <c r="N224" i="6"/>
  <c r="J225" i="6"/>
  <c r="N225" i="6"/>
  <c r="J226" i="6"/>
  <c r="N226" i="6"/>
  <c r="J227" i="6"/>
  <c r="N227" i="6"/>
  <c r="J228" i="6"/>
  <c r="N228" i="6"/>
  <c r="J229" i="6"/>
  <c r="N229" i="6"/>
  <c r="J230" i="6"/>
  <c r="N230" i="6"/>
  <c r="J231" i="6"/>
  <c r="N231" i="6"/>
  <c r="J232" i="6"/>
  <c r="N232" i="6"/>
  <c r="J233" i="6"/>
  <c r="N233" i="6"/>
  <c r="J234" i="6"/>
  <c r="N234" i="6"/>
  <c r="J235" i="6"/>
  <c r="N235" i="6"/>
  <c r="J236" i="6"/>
  <c r="N236" i="6"/>
  <c r="J237" i="6"/>
  <c r="N237" i="6"/>
  <c r="J238" i="6"/>
  <c r="N238" i="6"/>
  <c r="J239" i="6"/>
  <c r="N239" i="6"/>
  <c r="J240" i="6"/>
  <c r="N240" i="6"/>
  <c r="J241" i="6"/>
  <c r="N241" i="6"/>
  <c r="J242" i="6"/>
  <c r="N242" i="6"/>
  <c r="J243" i="6"/>
  <c r="N243" i="6"/>
  <c r="J244" i="6"/>
  <c r="N244" i="6"/>
  <c r="J245" i="6"/>
  <c r="N245" i="6"/>
  <c r="J246" i="6"/>
  <c r="N246" i="6"/>
  <c r="J247" i="6"/>
  <c r="N247" i="6"/>
  <c r="J248" i="6"/>
  <c r="N248" i="6"/>
  <c r="J249" i="6"/>
  <c r="N249" i="6"/>
  <c r="J250" i="6"/>
  <c r="N250" i="6"/>
  <c r="J251" i="6"/>
  <c r="N251" i="6"/>
  <c r="J252" i="6"/>
  <c r="N252" i="6"/>
  <c r="J253" i="6"/>
  <c r="N253" i="6"/>
  <c r="J254" i="6"/>
  <c r="N254" i="6"/>
  <c r="J255" i="6"/>
  <c r="N255" i="6"/>
  <c r="J256" i="6"/>
  <c r="N256" i="6"/>
  <c r="J257" i="6"/>
  <c r="N257" i="6"/>
  <c r="J258" i="6"/>
  <c r="N258" i="6"/>
  <c r="J259" i="6"/>
  <c r="N259" i="6"/>
  <c r="J260" i="6"/>
  <c r="N260" i="6"/>
  <c r="J261" i="6"/>
  <c r="N261" i="6"/>
  <c r="J262" i="6"/>
  <c r="N262" i="6"/>
  <c r="J263" i="6"/>
  <c r="N263" i="6"/>
  <c r="J264" i="6"/>
  <c r="N264" i="6"/>
  <c r="J265" i="6"/>
  <c r="N265" i="6"/>
  <c r="J266" i="6"/>
  <c r="N266" i="6"/>
  <c r="J267" i="6"/>
  <c r="N267" i="6"/>
  <c r="J268" i="6"/>
  <c r="N268" i="6"/>
  <c r="J269" i="6"/>
  <c r="N269" i="6"/>
  <c r="J270" i="6"/>
  <c r="N270" i="6"/>
  <c r="J271" i="6"/>
  <c r="N271" i="6"/>
  <c r="J272" i="6"/>
  <c r="N272" i="6"/>
  <c r="J273" i="6"/>
  <c r="N273" i="6"/>
  <c r="J274" i="6"/>
  <c r="N274" i="6"/>
  <c r="J275" i="6"/>
  <c r="N275" i="6"/>
  <c r="J276" i="6"/>
  <c r="N276" i="6"/>
  <c r="J277" i="6"/>
  <c r="N277" i="6"/>
  <c r="J278" i="6"/>
  <c r="N278" i="6"/>
  <c r="J279" i="6"/>
  <c r="N279" i="6"/>
  <c r="J280" i="6"/>
  <c r="N280" i="6"/>
  <c r="J281" i="6"/>
  <c r="N281" i="6"/>
  <c r="J282" i="6"/>
  <c r="N282" i="6"/>
  <c r="J283" i="6"/>
  <c r="N283" i="6"/>
  <c r="J284" i="6"/>
  <c r="N284" i="6"/>
  <c r="J285" i="6"/>
  <c r="N285" i="6"/>
  <c r="J286" i="6"/>
  <c r="N286" i="6"/>
  <c r="J287" i="6"/>
  <c r="N287" i="6"/>
  <c r="J288" i="6"/>
  <c r="N288" i="6"/>
  <c r="J289" i="6"/>
  <c r="N289" i="6"/>
  <c r="J290" i="6"/>
  <c r="N290" i="6"/>
  <c r="J291" i="6"/>
  <c r="N291" i="6"/>
  <c r="J292" i="6"/>
  <c r="N292" i="6"/>
  <c r="J293" i="6"/>
  <c r="N293" i="6"/>
  <c r="J294" i="6"/>
  <c r="N294" i="6"/>
  <c r="J295" i="6"/>
  <c r="N295" i="6"/>
  <c r="J296" i="6"/>
  <c r="N296" i="6"/>
  <c r="J297" i="6"/>
  <c r="N297" i="6"/>
  <c r="J298" i="6"/>
  <c r="N298" i="6"/>
  <c r="J299" i="6"/>
  <c r="N299" i="6"/>
  <c r="J300" i="6"/>
  <c r="N300" i="6"/>
  <c r="J301" i="6"/>
  <c r="N301" i="6"/>
  <c r="J302" i="6"/>
  <c r="N302" i="6"/>
  <c r="J303" i="6"/>
  <c r="N303" i="6"/>
  <c r="J304" i="6"/>
  <c r="N304" i="6"/>
  <c r="J305" i="6"/>
  <c r="N305" i="6"/>
  <c r="J306" i="6"/>
  <c r="N306" i="6"/>
  <c r="J307" i="6"/>
  <c r="N307" i="6"/>
  <c r="J308" i="6"/>
  <c r="N308" i="6"/>
  <c r="J309" i="6"/>
  <c r="N309" i="6"/>
  <c r="J310" i="6"/>
  <c r="N310" i="6"/>
  <c r="J311" i="6"/>
  <c r="N311" i="6"/>
  <c r="J312" i="6"/>
  <c r="N312" i="6"/>
  <c r="J313" i="6"/>
  <c r="N313" i="6"/>
  <c r="J314" i="6"/>
  <c r="N314" i="6"/>
  <c r="J315" i="6"/>
  <c r="N315" i="6"/>
  <c r="J316" i="6"/>
  <c r="N316" i="6"/>
  <c r="J317" i="6"/>
  <c r="N317" i="6"/>
  <c r="J318" i="6"/>
  <c r="N318" i="6"/>
  <c r="J319" i="6"/>
  <c r="N319" i="6"/>
  <c r="J320" i="6"/>
  <c r="N320" i="6"/>
  <c r="J321" i="6"/>
  <c r="N321" i="6"/>
  <c r="J322" i="6"/>
  <c r="N322" i="6"/>
  <c r="J323" i="6"/>
  <c r="N323" i="6"/>
  <c r="J324" i="6"/>
  <c r="N324" i="6"/>
  <c r="J325" i="6"/>
  <c r="N325" i="6"/>
  <c r="J326" i="6"/>
  <c r="N326" i="6"/>
  <c r="J327" i="6"/>
  <c r="N327" i="6"/>
  <c r="J328" i="6"/>
  <c r="N328" i="6"/>
  <c r="J329" i="6"/>
  <c r="N329" i="6"/>
  <c r="J330" i="6"/>
  <c r="N330" i="6"/>
  <c r="J331" i="6"/>
  <c r="N331" i="6"/>
  <c r="J332" i="6"/>
  <c r="N332" i="6"/>
  <c r="J333" i="6"/>
  <c r="N333" i="6"/>
  <c r="J334" i="6"/>
  <c r="N334" i="6"/>
  <c r="J335" i="6"/>
  <c r="N335" i="6"/>
  <c r="J336" i="6"/>
  <c r="N336" i="6"/>
  <c r="J337" i="6"/>
  <c r="N337" i="6"/>
  <c r="J338" i="6"/>
  <c r="N338" i="6"/>
  <c r="J339" i="6"/>
  <c r="N339" i="6"/>
  <c r="J340" i="6"/>
  <c r="N340" i="6"/>
  <c r="J341" i="6"/>
  <c r="N341" i="6"/>
  <c r="J342" i="6"/>
  <c r="N342" i="6"/>
  <c r="J343" i="6"/>
  <c r="N343" i="6"/>
  <c r="J344" i="6"/>
  <c r="N344" i="6"/>
  <c r="J345" i="6"/>
  <c r="N345" i="6"/>
  <c r="J346" i="6"/>
  <c r="N346" i="6"/>
  <c r="J347" i="6"/>
  <c r="N347" i="6"/>
  <c r="J348" i="6"/>
  <c r="N348" i="6"/>
  <c r="J349" i="6"/>
  <c r="N349" i="6"/>
  <c r="J350" i="6"/>
  <c r="N350" i="6"/>
  <c r="J351" i="6"/>
  <c r="N351" i="6"/>
  <c r="J352" i="6"/>
  <c r="N352" i="6"/>
  <c r="J353" i="6"/>
  <c r="N353" i="6"/>
  <c r="J354" i="6"/>
  <c r="N354" i="6"/>
  <c r="J355" i="6"/>
  <c r="N355" i="6"/>
  <c r="J356" i="6"/>
  <c r="N356" i="6"/>
  <c r="J357" i="6"/>
  <c r="N357" i="6"/>
  <c r="J358" i="6"/>
  <c r="N358" i="6"/>
  <c r="J359" i="6"/>
  <c r="N359" i="6"/>
  <c r="J360" i="6"/>
  <c r="N360" i="6"/>
  <c r="J361" i="6"/>
  <c r="N361" i="6"/>
  <c r="J362" i="6"/>
  <c r="N362" i="6"/>
  <c r="J363" i="6"/>
  <c r="N363" i="6"/>
  <c r="J364" i="6"/>
  <c r="N364" i="6"/>
  <c r="J365" i="6"/>
  <c r="N365" i="6"/>
  <c r="J366" i="6"/>
  <c r="N366" i="6"/>
  <c r="J367" i="6"/>
  <c r="N367" i="6"/>
  <c r="J368" i="6"/>
  <c r="N368" i="6"/>
  <c r="J369" i="6"/>
  <c r="N369" i="6"/>
  <c r="J370" i="6"/>
  <c r="N370" i="6"/>
  <c r="J371" i="6"/>
  <c r="N371" i="6"/>
  <c r="J372" i="6"/>
  <c r="N372" i="6"/>
  <c r="J373" i="6"/>
  <c r="N373" i="6"/>
  <c r="J374" i="6"/>
  <c r="N374" i="6"/>
  <c r="J375" i="6"/>
  <c r="N375" i="6"/>
  <c r="J376" i="6"/>
  <c r="N376" i="6"/>
  <c r="J377" i="6"/>
  <c r="N377" i="6"/>
  <c r="J378" i="6"/>
  <c r="N378" i="6"/>
  <c r="J379" i="6"/>
  <c r="N379" i="6"/>
  <c r="J380" i="6"/>
  <c r="N380" i="6"/>
  <c r="J381" i="6"/>
  <c r="N381" i="6"/>
  <c r="J382" i="6"/>
  <c r="N382" i="6"/>
  <c r="J383" i="6"/>
  <c r="N383" i="6"/>
  <c r="J384" i="6"/>
  <c r="N384" i="6"/>
  <c r="J385" i="6"/>
  <c r="N385" i="6"/>
  <c r="J386" i="6"/>
  <c r="N386" i="6"/>
  <c r="J387" i="6"/>
  <c r="N387" i="6"/>
  <c r="J388" i="6"/>
  <c r="N388" i="6"/>
  <c r="J389" i="6"/>
  <c r="N389" i="6"/>
  <c r="J390" i="6"/>
  <c r="N390" i="6"/>
  <c r="J391" i="6"/>
  <c r="N391" i="6"/>
  <c r="J392" i="6"/>
  <c r="N392" i="6"/>
  <c r="J393" i="6"/>
  <c r="N393" i="6"/>
  <c r="J394" i="6"/>
  <c r="N394" i="6"/>
  <c r="J395" i="6"/>
  <c r="N395" i="6"/>
  <c r="J396" i="6"/>
  <c r="N396" i="6"/>
  <c r="J397" i="6"/>
  <c r="N397" i="6"/>
  <c r="J398" i="6"/>
  <c r="N398" i="6"/>
  <c r="J399" i="6"/>
  <c r="N399" i="6"/>
  <c r="J400" i="6"/>
  <c r="N400" i="6"/>
  <c r="J401" i="6"/>
  <c r="N401" i="6"/>
  <c r="J402" i="6"/>
  <c r="N402" i="6"/>
  <c r="J403" i="6"/>
  <c r="N403" i="6"/>
  <c r="J404" i="6"/>
  <c r="N404" i="6"/>
  <c r="J405" i="6"/>
  <c r="N405" i="6"/>
  <c r="J406" i="6"/>
  <c r="N406" i="6"/>
  <c r="J407" i="6"/>
  <c r="N407" i="6"/>
  <c r="J408" i="6"/>
  <c r="N408" i="6"/>
  <c r="J409" i="6"/>
  <c r="N409" i="6"/>
  <c r="J410" i="6"/>
  <c r="N410" i="6"/>
  <c r="J411" i="6"/>
  <c r="N411" i="6"/>
  <c r="J412" i="6"/>
  <c r="N412" i="6"/>
  <c r="J413" i="6"/>
  <c r="N413" i="6"/>
  <c r="J414" i="6"/>
  <c r="N414" i="6"/>
  <c r="J415" i="6"/>
  <c r="N415" i="6"/>
  <c r="J416" i="6"/>
  <c r="N416" i="6"/>
  <c r="J417" i="6"/>
  <c r="N417" i="6"/>
  <c r="J418" i="6"/>
  <c r="N418" i="6"/>
  <c r="J419" i="6"/>
  <c r="N419" i="6"/>
  <c r="J420" i="6"/>
  <c r="N420" i="6"/>
  <c r="J421" i="6"/>
  <c r="N421" i="6"/>
  <c r="J422" i="6"/>
  <c r="N422" i="6"/>
  <c r="J423" i="6"/>
  <c r="N423" i="6"/>
  <c r="M424" i="6"/>
  <c r="T425" i="6"/>
  <c r="R425" i="6"/>
  <c r="P425" i="6"/>
  <c r="N425" i="6"/>
  <c r="L425" i="6"/>
  <c r="J425" i="6"/>
  <c r="Q425" i="6"/>
  <c r="M425" i="6"/>
  <c r="I425" i="6"/>
  <c r="O425" i="6"/>
  <c r="M426" i="6"/>
  <c r="T427" i="6"/>
  <c r="R427" i="6"/>
  <c r="P427" i="6"/>
  <c r="N427" i="6"/>
  <c r="L427" i="6"/>
  <c r="J427" i="6"/>
  <c r="Q427" i="6"/>
  <c r="M427" i="6"/>
  <c r="I427" i="6"/>
  <c r="O427" i="6"/>
  <c r="M428" i="6"/>
  <c r="T429" i="6"/>
  <c r="R429" i="6"/>
  <c r="P429" i="6"/>
  <c r="N429" i="6"/>
  <c r="L429" i="6"/>
  <c r="J429" i="6"/>
  <c r="Q429" i="6"/>
  <c r="M429" i="6"/>
  <c r="I429" i="6"/>
  <c r="O429" i="6"/>
  <c r="M430" i="6"/>
  <c r="T431" i="6"/>
  <c r="R431" i="6"/>
  <c r="P431" i="6"/>
  <c r="N431" i="6"/>
  <c r="L431" i="6"/>
  <c r="J431" i="6"/>
  <c r="Q431" i="6"/>
  <c r="M431" i="6"/>
  <c r="I431" i="6"/>
  <c r="O431" i="6"/>
  <c r="M432" i="6"/>
  <c r="T433" i="6"/>
  <c r="R433" i="6"/>
  <c r="P433" i="6"/>
  <c r="N433" i="6"/>
  <c r="L433" i="6"/>
  <c r="J433" i="6"/>
  <c r="Q433" i="6"/>
  <c r="M433" i="6"/>
  <c r="I433" i="6"/>
  <c r="O433" i="6"/>
  <c r="M434" i="6"/>
  <c r="T435" i="6"/>
  <c r="R435" i="6"/>
  <c r="P435" i="6"/>
  <c r="N435" i="6"/>
  <c r="L435" i="6"/>
  <c r="J435" i="6"/>
  <c r="Q435" i="6"/>
  <c r="M435" i="6"/>
  <c r="I435" i="6"/>
  <c r="O435" i="6"/>
  <c r="M436" i="6"/>
  <c r="T437" i="6"/>
  <c r="R437" i="6"/>
  <c r="P437" i="6"/>
  <c r="N437" i="6"/>
  <c r="L437" i="6"/>
  <c r="J437" i="6"/>
  <c r="Q437" i="6"/>
  <c r="M437" i="6"/>
  <c r="I437" i="6"/>
  <c r="O437" i="6"/>
  <c r="M438" i="6"/>
  <c r="T439" i="6"/>
  <c r="R439" i="6"/>
  <c r="P439" i="6"/>
  <c r="N439" i="6"/>
  <c r="L439" i="6"/>
  <c r="J439" i="6"/>
  <c r="Q439" i="6"/>
  <c r="M439" i="6"/>
  <c r="I439" i="6"/>
  <c r="O439" i="6"/>
  <c r="M440" i="6"/>
  <c r="T441" i="6"/>
  <c r="R441" i="6"/>
  <c r="P441" i="6"/>
  <c r="N441" i="6"/>
  <c r="L441" i="6"/>
  <c r="J441" i="6"/>
  <c r="Q441" i="6"/>
  <c r="M441" i="6"/>
  <c r="I441" i="6"/>
  <c r="O441" i="6"/>
  <c r="M442" i="6"/>
  <c r="T443" i="6"/>
  <c r="R443" i="6"/>
  <c r="P443" i="6"/>
  <c r="N443" i="6"/>
  <c r="L443" i="6"/>
  <c r="J443" i="6"/>
  <c r="Q443" i="6"/>
  <c r="M443" i="6"/>
  <c r="I443" i="6"/>
  <c r="O443" i="6"/>
  <c r="M444" i="6"/>
  <c r="T445" i="6"/>
  <c r="R445" i="6"/>
  <c r="P445" i="6"/>
  <c r="N445" i="6"/>
  <c r="L445" i="6"/>
  <c r="J445" i="6"/>
  <c r="Q445" i="6"/>
  <c r="M445" i="6"/>
  <c r="I445" i="6"/>
  <c r="O445" i="6"/>
  <c r="M446" i="6"/>
  <c r="T447" i="6"/>
  <c r="R447" i="6"/>
  <c r="P447" i="6"/>
  <c r="N447" i="6"/>
  <c r="L447" i="6"/>
  <c r="J447" i="6"/>
  <c r="Q447" i="6"/>
  <c r="M447" i="6"/>
  <c r="I447" i="6"/>
  <c r="O447" i="6"/>
  <c r="M448" i="6"/>
  <c r="T449" i="6"/>
  <c r="R449" i="6"/>
  <c r="P449" i="6"/>
  <c r="N449" i="6"/>
  <c r="L449" i="6"/>
  <c r="J449" i="6"/>
  <c r="Q449" i="6"/>
  <c r="M449" i="6"/>
  <c r="I449" i="6"/>
  <c r="O449" i="6"/>
  <c r="M450" i="6"/>
  <c r="T451" i="6"/>
  <c r="R451" i="6"/>
  <c r="P451" i="6"/>
  <c r="N451" i="6"/>
  <c r="L451" i="6"/>
  <c r="J451" i="6"/>
  <c r="Q451" i="6"/>
  <c r="M451" i="6"/>
  <c r="I451" i="6"/>
  <c r="O451" i="6"/>
  <c r="M452" i="6"/>
  <c r="T453" i="6"/>
  <c r="R453" i="6"/>
  <c r="P453" i="6"/>
  <c r="N453" i="6"/>
  <c r="L453" i="6"/>
  <c r="J453" i="6"/>
  <c r="Q453" i="6"/>
  <c r="M453" i="6"/>
  <c r="I453" i="6"/>
  <c r="O453" i="6"/>
  <c r="M454" i="6"/>
  <c r="T455" i="6"/>
  <c r="R455" i="6"/>
  <c r="P455" i="6"/>
  <c r="N455" i="6"/>
  <c r="L455" i="6"/>
  <c r="J455" i="6"/>
  <c r="Q455" i="6"/>
  <c r="M455" i="6"/>
  <c r="I455" i="6"/>
  <c r="O455" i="6"/>
  <c r="M456" i="6"/>
  <c r="T457" i="6"/>
  <c r="R457" i="6"/>
  <c r="P457" i="6"/>
  <c r="N457" i="6"/>
  <c r="L457" i="6"/>
  <c r="J457" i="6"/>
  <c r="Q457" i="6"/>
  <c r="M457" i="6"/>
  <c r="I457" i="6"/>
  <c r="O457" i="6"/>
  <c r="M458" i="6"/>
  <c r="T459" i="6"/>
  <c r="R459" i="6"/>
  <c r="P459" i="6"/>
  <c r="N459" i="6"/>
  <c r="L459" i="6"/>
  <c r="J459" i="6"/>
  <c r="Q459" i="6"/>
  <c r="M459" i="6"/>
  <c r="I459" i="6"/>
  <c r="O459" i="6"/>
  <c r="M460" i="6"/>
  <c r="T461" i="6"/>
  <c r="R461" i="6"/>
  <c r="P461" i="6"/>
  <c r="N461" i="6"/>
  <c r="L461" i="6"/>
  <c r="J461" i="6"/>
  <c r="Q461" i="6"/>
  <c r="M461" i="6"/>
  <c r="I461" i="6"/>
  <c r="O461" i="6"/>
  <c r="M462" i="6"/>
  <c r="T463" i="6"/>
  <c r="R463" i="6"/>
  <c r="P463" i="6"/>
  <c r="N463" i="6"/>
  <c r="L463" i="6"/>
  <c r="J463" i="6"/>
  <c r="Q463" i="6"/>
  <c r="M463" i="6"/>
  <c r="I463" i="6"/>
  <c r="O463" i="6"/>
  <c r="M464" i="6"/>
  <c r="T465" i="6"/>
  <c r="R465" i="6"/>
  <c r="P465" i="6"/>
  <c r="N465" i="6"/>
  <c r="L465" i="6"/>
  <c r="J465" i="6"/>
  <c r="Q465" i="6"/>
  <c r="M465" i="6"/>
  <c r="I465" i="6"/>
  <c r="O465" i="6"/>
  <c r="M466" i="6"/>
  <c r="T467" i="6"/>
  <c r="R467" i="6"/>
  <c r="P467" i="6"/>
  <c r="N467" i="6"/>
  <c r="L467" i="6"/>
  <c r="J467" i="6"/>
  <c r="Q467" i="6"/>
  <c r="M467" i="6"/>
  <c r="I467" i="6"/>
  <c r="O467" i="6"/>
  <c r="M468" i="6"/>
  <c r="T469" i="6"/>
  <c r="R469" i="6"/>
  <c r="P469" i="6"/>
  <c r="N469" i="6"/>
  <c r="L469" i="6"/>
  <c r="J469" i="6"/>
  <c r="Q469" i="6"/>
  <c r="M469" i="6"/>
  <c r="I469" i="6"/>
  <c r="O469" i="6"/>
  <c r="M470" i="6"/>
  <c r="T471" i="6"/>
  <c r="R471" i="6"/>
  <c r="P471" i="6"/>
  <c r="N471" i="6"/>
  <c r="L471" i="6"/>
  <c r="J471" i="6"/>
  <c r="Q471" i="6"/>
  <c r="M471" i="6"/>
  <c r="I471" i="6"/>
  <c r="O471" i="6"/>
  <c r="M472" i="6"/>
  <c r="T473" i="6"/>
  <c r="R473" i="6"/>
  <c r="P473" i="6"/>
  <c r="N473" i="6"/>
  <c r="L473" i="6"/>
  <c r="J473" i="6"/>
  <c r="Q473" i="6"/>
  <c r="M473" i="6"/>
  <c r="I473" i="6"/>
  <c r="O473" i="6"/>
  <c r="M474" i="6"/>
  <c r="T475" i="6"/>
  <c r="R475" i="6"/>
  <c r="P475" i="6"/>
  <c r="N475" i="6"/>
  <c r="L475" i="6"/>
  <c r="J475" i="6"/>
  <c r="Q475" i="6"/>
  <c r="M475" i="6"/>
  <c r="I475" i="6"/>
  <c r="O475" i="6"/>
  <c r="M476" i="6"/>
  <c r="T477" i="6"/>
  <c r="R477" i="6"/>
  <c r="P477" i="6"/>
  <c r="N477" i="6"/>
  <c r="L477" i="6"/>
  <c r="J477" i="6"/>
  <c r="Q477" i="6"/>
  <c r="M477" i="6"/>
  <c r="I477" i="6"/>
  <c r="O477" i="6"/>
  <c r="M478" i="6"/>
  <c r="T479" i="6"/>
  <c r="R479" i="6"/>
  <c r="P479" i="6"/>
  <c r="N479" i="6"/>
  <c r="L479" i="6"/>
  <c r="J479" i="6"/>
  <c r="Q479" i="6"/>
  <c r="M479" i="6"/>
  <c r="I479" i="6"/>
  <c r="O479" i="6"/>
  <c r="M480" i="6"/>
  <c r="T481" i="6"/>
  <c r="R481" i="6"/>
  <c r="P481" i="6"/>
  <c r="N481" i="6"/>
  <c r="L481" i="6"/>
  <c r="J481" i="6"/>
  <c r="Q481" i="6"/>
  <c r="M481" i="6"/>
  <c r="I481" i="6"/>
  <c r="O481" i="6"/>
  <c r="M482" i="6"/>
  <c r="T483" i="6"/>
  <c r="R483" i="6"/>
  <c r="P483" i="6"/>
  <c r="N483" i="6"/>
  <c r="L483" i="6"/>
  <c r="J483" i="6"/>
  <c r="Q483" i="6"/>
  <c r="M483" i="6"/>
  <c r="I483" i="6"/>
  <c r="O483" i="6"/>
  <c r="M484" i="6"/>
  <c r="T485" i="6"/>
  <c r="R485" i="6"/>
  <c r="P485" i="6"/>
  <c r="N485" i="6"/>
  <c r="L485" i="6"/>
  <c r="J485" i="6"/>
  <c r="Q485" i="6"/>
  <c r="M485" i="6"/>
  <c r="I485" i="6"/>
  <c r="O485" i="6"/>
  <c r="M486" i="6"/>
  <c r="T487" i="6"/>
  <c r="R487" i="6"/>
  <c r="P487" i="6"/>
  <c r="N487" i="6"/>
  <c r="L487" i="6"/>
  <c r="J487" i="6"/>
  <c r="Q487" i="6"/>
  <c r="M487" i="6"/>
  <c r="I487" i="6"/>
  <c r="O487" i="6"/>
  <c r="M488" i="6"/>
  <c r="T489" i="6"/>
  <c r="R489" i="6"/>
  <c r="P489" i="6"/>
  <c r="N489" i="6"/>
  <c r="L489" i="6"/>
  <c r="J489" i="6"/>
  <c r="Q489" i="6"/>
  <c r="M489" i="6"/>
  <c r="I489" i="6"/>
  <c r="O489" i="6"/>
  <c r="M490" i="6"/>
  <c r="T491" i="6"/>
  <c r="R491" i="6"/>
  <c r="P491" i="6"/>
  <c r="N491" i="6"/>
  <c r="L491" i="6"/>
  <c r="J491" i="6"/>
  <c r="Q491" i="6"/>
  <c r="M491" i="6"/>
  <c r="I491" i="6"/>
  <c r="O491" i="6"/>
  <c r="M492" i="6"/>
  <c r="T493" i="6"/>
  <c r="R493" i="6"/>
  <c r="P493" i="6"/>
  <c r="N493" i="6"/>
  <c r="L493" i="6"/>
  <c r="J493" i="6"/>
  <c r="Q493" i="6"/>
  <c r="M493" i="6"/>
  <c r="I493" i="6"/>
  <c r="O493" i="6"/>
  <c r="M494" i="6"/>
  <c r="T495" i="6"/>
  <c r="R495" i="6"/>
  <c r="P495" i="6"/>
  <c r="N495" i="6"/>
  <c r="L495" i="6"/>
  <c r="J495" i="6"/>
  <c r="Q495" i="6"/>
  <c r="M495" i="6"/>
  <c r="I495" i="6"/>
  <c r="O495" i="6"/>
  <c r="M496" i="6"/>
  <c r="T497" i="6"/>
  <c r="R497" i="6"/>
  <c r="P497" i="6"/>
  <c r="N497" i="6"/>
  <c r="L497" i="6"/>
  <c r="J497" i="6"/>
  <c r="Q497" i="6"/>
  <c r="M497" i="6"/>
  <c r="I497" i="6"/>
  <c r="O497" i="6"/>
  <c r="M498" i="6"/>
  <c r="T499" i="6"/>
  <c r="R499" i="6"/>
  <c r="P499" i="6"/>
  <c r="N499" i="6"/>
  <c r="L499" i="6"/>
  <c r="J499" i="6"/>
  <c r="Q499" i="6"/>
  <c r="M499" i="6"/>
  <c r="I499" i="6"/>
  <c r="O499" i="6"/>
  <c r="M500" i="6"/>
  <c r="T501" i="6"/>
  <c r="R501" i="6"/>
  <c r="P501" i="6"/>
  <c r="N501" i="6"/>
  <c r="L501" i="6"/>
  <c r="J501" i="6"/>
  <c r="Q501" i="6"/>
  <c r="M501" i="6"/>
  <c r="I501" i="6"/>
  <c r="O501" i="6"/>
  <c r="M502" i="6"/>
  <c r="T503" i="6"/>
  <c r="R503" i="6"/>
  <c r="P503" i="6"/>
  <c r="N503" i="6"/>
  <c r="L503" i="6"/>
  <c r="J503" i="6"/>
  <c r="Q503" i="6"/>
  <c r="M503" i="6"/>
  <c r="I503" i="6"/>
  <c r="O503" i="6"/>
  <c r="M504" i="6"/>
  <c r="T505" i="6"/>
  <c r="R505" i="6"/>
  <c r="P505" i="6"/>
  <c r="N505" i="6"/>
  <c r="L505" i="6"/>
  <c r="J505" i="6"/>
  <c r="Q505" i="6"/>
  <c r="M505" i="6"/>
  <c r="I505" i="6"/>
  <c r="O505" i="6"/>
  <c r="M506" i="6"/>
  <c r="T507" i="6"/>
  <c r="R507" i="6"/>
  <c r="P507" i="6"/>
  <c r="N507" i="6"/>
  <c r="L507" i="6"/>
  <c r="J507" i="6"/>
  <c r="Q507" i="6"/>
  <c r="M507" i="6"/>
  <c r="I507" i="6"/>
  <c r="O507" i="6"/>
  <c r="M508" i="6"/>
  <c r="T509" i="6"/>
  <c r="R509" i="6"/>
  <c r="P509" i="6"/>
  <c r="N509" i="6"/>
  <c r="L509" i="6"/>
  <c r="J509" i="6"/>
  <c r="Q509" i="6"/>
  <c r="M509" i="6"/>
  <c r="I509" i="6"/>
  <c r="O509" i="6"/>
  <c r="M510" i="6"/>
  <c r="T511" i="6"/>
  <c r="R511" i="6"/>
  <c r="P511" i="6"/>
  <c r="N511" i="6"/>
  <c r="L511" i="6"/>
  <c r="J511" i="6"/>
  <c r="Q511" i="6"/>
  <c r="M511" i="6"/>
  <c r="I511" i="6"/>
  <c r="O511" i="6"/>
  <c r="M512" i="6"/>
  <c r="T513" i="6"/>
  <c r="R513" i="6"/>
  <c r="P513" i="6"/>
  <c r="N513" i="6"/>
  <c r="L513" i="6"/>
  <c r="J513" i="6"/>
  <c r="Q513" i="6"/>
  <c r="M513" i="6"/>
  <c r="I513" i="6"/>
  <c r="O513" i="6"/>
  <c r="M514" i="6"/>
  <c r="T515" i="6"/>
  <c r="R515" i="6"/>
  <c r="P515" i="6"/>
  <c r="N515" i="6"/>
  <c r="L515" i="6"/>
  <c r="J515" i="6"/>
  <c r="Q515" i="6"/>
  <c r="M515" i="6"/>
  <c r="I515" i="6"/>
  <c r="O515" i="6"/>
  <c r="M516" i="6"/>
  <c r="T517" i="6"/>
  <c r="R517" i="6"/>
  <c r="P517" i="6"/>
  <c r="N517" i="6"/>
  <c r="L517" i="6"/>
  <c r="J517" i="6"/>
  <c r="Q517" i="6"/>
  <c r="M517" i="6"/>
  <c r="I517" i="6"/>
  <c r="O517" i="6"/>
  <c r="M518" i="6"/>
  <c r="T519" i="6"/>
  <c r="R519" i="6"/>
  <c r="P519" i="6"/>
  <c r="N519" i="6"/>
  <c r="L519" i="6"/>
  <c r="J519" i="6"/>
  <c r="Q519" i="6"/>
  <c r="M519" i="6"/>
  <c r="I519" i="6"/>
  <c r="O519" i="6"/>
  <c r="M520" i="6"/>
  <c r="T521" i="6"/>
  <c r="R521" i="6"/>
  <c r="P521" i="6"/>
  <c r="N521" i="6"/>
  <c r="L521" i="6"/>
  <c r="J521" i="6"/>
  <c r="Q521" i="6"/>
  <c r="M521" i="6"/>
  <c r="I521" i="6"/>
  <c r="O521" i="6"/>
  <c r="M522" i="6"/>
  <c r="T523" i="6"/>
  <c r="R523" i="6"/>
  <c r="P523" i="6"/>
  <c r="N523" i="6"/>
  <c r="L523" i="6"/>
  <c r="J523" i="6"/>
  <c r="Q523" i="6"/>
  <c r="M523" i="6"/>
  <c r="I523" i="6"/>
  <c r="O523" i="6"/>
  <c r="M524" i="6"/>
  <c r="T525" i="6"/>
  <c r="R525" i="6"/>
  <c r="P525" i="6"/>
  <c r="N525" i="6"/>
  <c r="L525" i="6"/>
  <c r="J525" i="6"/>
  <c r="Q525" i="6"/>
  <c r="M525" i="6"/>
  <c r="I525" i="6"/>
  <c r="O525" i="6"/>
  <c r="M526" i="6"/>
  <c r="T527" i="6"/>
  <c r="R527" i="6"/>
  <c r="P527" i="6"/>
  <c r="N527" i="6"/>
  <c r="L527" i="6"/>
  <c r="J527" i="6"/>
  <c r="Q527" i="6"/>
  <c r="M527" i="6"/>
  <c r="I527" i="6"/>
  <c r="O527" i="6"/>
  <c r="M528" i="6"/>
  <c r="T529" i="6"/>
  <c r="R529" i="6"/>
  <c r="P529" i="6"/>
  <c r="N529" i="6"/>
  <c r="L529" i="6"/>
  <c r="J529" i="6"/>
  <c r="Q529" i="6"/>
  <c r="M529" i="6"/>
  <c r="I529" i="6"/>
  <c r="O529" i="6"/>
  <c r="M530" i="6"/>
  <c r="T531" i="6"/>
  <c r="R531" i="6"/>
  <c r="P531" i="6"/>
  <c r="N531" i="6"/>
  <c r="L531" i="6"/>
  <c r="J531" i="6"/>
  <c r="Q531" i="6"/>
  <c r="M531" i="6"/>
  <c r="I531" i="6"/>
  <c r="O531" i="6"/>
  <c r="M532" i="6"/>
  <c r="T533" i="6"/>
  <c r="R533" i="6"/>
  <c r="P533" i="6"/>
  <c r="N533" i="6"/>
  <c r="L533" i="6"/>
  <c r="J533" i="6"/>
  <c r="Q533" i="6"/>
  <c r="M533" i="6"/>
  <c r="I533" i="6"/>
  <c r="O533" i="6"/>
  <c r="M534" i="6"/>
  <c r="T535" i="6"/>
  <c r="R535" i="6"/>
  <c r="P535" i="6"/>
  <c r="N535" i="6"/>
  <c r="L535" i="6"/>
  <c r="J535" i="6"/>
  <c r="Q535" i="6"/>
  <c r="M535" i="6"/>
  <c r="I535" i="6"/>
  <c r="O535" i="6"/>
  <c r="M536" i="6"/>
  <c r="T537" i="6"/>
  <c r="R537" i="6"/>
  <c r="P537" i="6"/>
  <c r="N537" i="6"/>
  <c r="L537" i="6"/>
  <c r="J537" i="6"/>
  <c r="Q537" i="6"/>
  <c r="M537" i="6"/>
  <c r="I537" i="6"/>
  <c r="O537" i="6"/>
  <c r="M538" i="6"/>
  <c r="T539" i="6"/>
  <c r="R539" i="6"/>
  <c r="P539" i="6"/>
  <c r="N539" i="6"/>
  <c r="L539" i="6"/>
  <c r="J539" i="6"/>
  <c r="Q539" i="6"/>
  <c r="M539" i="6"/>
  <c r="I539" i="6"/>
  <c r="O539" i="6"/>
  <c r="M540" i="6"/>
  <c r="T541" i="6"/>
  <c r="R541" i="6"/>
  <c r="P541" i="6"/>
  <c r="N541" i="6"/>
  <c r="L541" i="6"/>
  <c r="J541" i="6"/>
  <c r="Q541" i="6"/>
  <c r="M541" i="6"/>
  <c r="I541" i="6"/>
  <c r="O541" i="6"/>
  <c r="M542" i="6"/>
  <c r="T543" i="6"/>
  <c r="R543" i="6"/>
  <c r="P543" i="6"/>
  <c r="N543" i="6"/>
  <c r="L543" i="6"/>
  <c r="J543" i="6"/>
  <c r="Q543" i="6"/>
  <c r="M543" i="6"/>
  <c r="I543" i="6"/>
  <c r="O543" i="6"/>
  <c r="M544" i="6"/>
  <c r="T545" i="6"/>
  <c r="R545" i="6"/>
  <c r="P545" i="6"/>
  <c r="N545" i="6"/>
  <c r="L545" i="6"/>
  <c r="J545" i="6"/>
  <c r="Q545" i="6"/>
  <c r="M545" i="6"/>
  <c r="I545" i="6"/>
  <c r="O545" i="6"/>
  <c r="M546" i="6"/>
  <c r="T547" i="6"/>
  <c r="R547" i="6"/>
  <c r="P547" i="6"/>
  <c r="N547" i="6"/>
  <c r="L547" i="6"/>
  <c r="J547" i="6"/>
  <c r="Q547" i="6"/>
  <c r="M547" i="6"/>
  <c r="I547" i="6"/>
  <c r="O547" i="6"/>
  <c r="M548" i="6"/>
  <c r="T549" i="6"/>
  <c r="R549" i="6"/>
  <c r="P549" i="6"/>
  <c r="N549" i="6"/>
  <c r="L549" i="6"/>
  <c r="J549" i="6"/>
  <c r="Q549" i="6"/>
  <c r="M549" i="6"/>
  <c r="I549" i="6"/>
  <c r="O549" i="6"/>
  <c r="M550" i="6"/>
  <c r="T551" i="6"/>
  <c r="R551" i="6"/>
  <c r="P551" i="6"/>
  <c r="N551" i="6"/>
  <c r="L551" i="6"/>
  <c r="J551" i="6"/>
  <c r="Q551" i="6"/>
  <c r="M551" i="6"/>
  <c r="I551" i="6"/>
  <c r="O551" i="6"/>
  <c r="M552" i="6"/>
  <c r="T553" i="6"/>
  <c r="R553" i="6"/>
  <c r="P553" i="6"/>
  <c r="N553" i="6"/>
  <c r="L553" i="6"/>
  <c r="J553" i="6"/>
  <c r="Q553" i="6"/>
  <c r="M553" i="6"/>
  <c r="I553" i="6"/>
  <c r="O553" i="6"/>
  <c r="M554" i="6"/>
  <c r="T555" i="6"/>
  <c r="R555" i="6"/>
  <c r="P555" i="6"/>
  <c r="N555" i="6"/>
  <c r="L555" i="6"/>
  <c r="J555" i="6"/>
  <c r="Q555" i="6"/>
  <c r="M555" i="6"/>
  <c r="I555" i="6"/>
  <c r="O555" i="6"/>
  <c r="M556" i="6"/>
  <c r="T557" i="6"/>
  <c r="R557" i="6"/>
  <c r="P557" i="6"/>
  <c r="N557" i="6"/>
  <c r="L557" i="6"/>
  <c r="J557" i="6"/>
  <c r="Q557" i="6"/>
  <c r="M557" i="6"/>
  <c r="I557" i="6"/>
  <c r="O557" i="6"/>
  <c r="M558" i="6"/>
  <c r="T559" i="6"/>
  <c r="R559" i="6"/>
  <c r="P559" i="6"/>
  <c r="N559" i="6"/>
  <c r="L559" i="6"/>
  <c r="J559" i="6"/>
  <c r="Q559" i="6"/>
  <c r="M559" i="6"/>
  <c r="I559" i="6"/>
  <c r="O559" i="6"/>
  <c r="M560" i="6"/>
  <c r="T561" i="6"/>
  <c r="R561" i="6"/>
  <c r="P561" i="6"/>
  <c r="N561" i="6"/>
  <c r="L561" i="6"/>
  <c r="J561" i="6"/>
  <c r="Q561" i="6"/>
  <c r="M561" i="6"/>
  <c r="I561" i="6"/>
  <c r="O561" i="6"/>
  <c r="M562" i="6"/>
  <c r="T563" i="6"/>
  <c r="R563" i="6"/>
  <c r="P563" i="6"/>
  <c r="N563" i="6"/>
  <c r="L563" i="6"/>
  <c r="J563" i="6"/>
  <c r="Q563" i="6"/>
  <c r="M563" i="6"/>
  <c r="I563" i="6"/>
  <c r="O563" i="6"/>
  <c r="M564" i="6"/>
  <c r="T565" i="6"/>
  <c r="R565" i="6"/>
  <c r="P565" i="6"/>
  <c r="N565" i="6"/>
  <c r="L565" i="6"/>
  <c r="J565" i="6"/>
  <c r="Q565" i="6"/>
  <c r="M565" i="6"/>
  <c r="I565" i="6"/>
  <c r="O565" i="6"/>
  <c r="M566" i="6"/>
  <c r="T567" i="6"/>
  <c r="R567" i="6"/>
  <c r="P567" i="6"/>
  <c r="N567" i="6"/>
  <c r="L567" i="6"/>
  <c r="J567" i="6"/>
  <c r="Q567" i="6"/>
  <c r="M567" i="6"/>
  <c r="I567" i="6"/>
  <c r="O567" i="6"/>
  <c r="M568" i="6"/>
  <c r="T569" i="6"/>
  <c r="R569" i="6"/>
  <c r="P569" i="6"/>
  <c r="N569" i="6"/>
  <c r="L569" i="6"/>
  <c r="J569" i="6"/>
  <c r="Q569" i="6"/>
  <c r="M569" i="6"/>
  <c r="I569" i="6"/>
  <c r="O569" i="6"/>
  <c r="M570" i="6"/>
  <c r="T571" i="6"/>
  <c r="R571" i="6"/>
  <c r="P571" i="6"/>
  <c r="N571" i="6"/>
  <c r="L571" i="6"/>
  <c r="J571" i="6"/>
  <c r="Q571" i="6"/>
  <c r="M571" i="6"/>
  <c r="I571" i="6"/>
  <c r="O571" i="6"/>
  <c r="M572" i="6"/>
  <c r="T573" i="6"/>
  <c r="R573" i="6"/>
  <c r="P573" i="6"/>
  <c r="N573" i="6"/>
  <c r="L573" i="6"/>
  <c r="J573" i="6"/>
  <c r="Q573" i="6"/>
  <c r="M573" i="6"/>
  <c r="I573" i="6"/>
  <c r="O573" i="6"/>
  <c r="M574" i="6"/>
  <c r="T575" i="6"/>
  <c r="R575" i="6"/>
  <c r="P575" i="6"/>
  <c r="N575" i="6"/>
  <c r="L575" i="6"/>
  <c r="J575" i="6"/>
  <c r="Q575" i="6"/>
  <c r="M575" i="6"/>
  <c r="I575" i="6"/>
  <c r="O575" i="6"/>
  <c r="M576" i="6"/>
  <c r="T577" i="6"/>
  <c r="R577" i="6"/>
  <c r="P577" i="6"/>
  <c r="N577" i="6"/>
  <c r="L577" i="6"/>
  <c r="J577" i="6"/>
  <c r="Q577" i="6"/>
  <c r="M577" i="6"/>
  <c r="I577" i="6"/>
  <c r="O577" i="6"/>
  <c r="M578" i="6"/>
  <c r="T579" i="6"/>
  <c r="R579" i="6"/>
  <c r="P579" i="6"/>
  <c r="N579" i="6"/>
  <c r="L579" i="6"/>
  <c r="J579" i="6"/>
  <c r="Q579" i="6"/>
  <c r="M579" i="6"/>
  <c r="I579" i="6"/>
  <c r="O579" i="6"/>
  <c r="M580" i="6"/>
  <c r="T581" i="6"/>
  <c r="R581" i="6"/>
  <c r="P581" i="6"/>
  <c r="N581" i="6"/>
  <c r="L581" i="6"/>
  <c r="J581" i="6"/>
  <c r="Q581" i="6"/>
  <c r="M581" i="6"/>
  <c r="I581" i="6"/>
  <c r="O581" i="6"/>
  <c r="M582" i="6"/>
  <c r="T583" i="6"/>
  <c r="R583" i="6"/>
  <c r="P583" i="6"/>
  <c r="N583" i="6"/>
  <c r="L583" i="6"/>
  <c r="J583" i="6"/>
  <c r="Q583" i="6"/>
  <c r="M583" i="6"/>
  <c r="I583" i="6"/>
  <c r="O583" i="6"/>
  <c r="M584" i="6"/>
  <c r="T585" i="6"/>
  <c r="R585" i="6"/>
  <c r="P585" i="6"/>
  <c r="N585" i="6"/>
  <c r="L585" i="6"/>
  <c r="J585" i="6"/>
  <c r="Q585" i="6"/>
  <c r="M585" i="6"/>
  <c r="I585" i="6"/>
  <c r="O585" i="6"/>
  <c r="M586" i="6"/>
  <c r="T587" i="6"/>
  <c r="R587" i="6"/>
  <c r="P587" i="6"/>
  <c r="N587" i="6"/>
  <c r="L587" i="6"/>
  <c r="J587" i="6"/>
  <c r="Q587" i="6"/>
  <c r="M587" i="6"/>
  <c r="I587" i="6"/>
  <c r="O587" i="6"/>
  <c r="M588" i="6"/>
  <c r="T589" i="6"/>
  <c r="R589" i="6"/>
  <c r="P589" i="6"/>
  <c r="N589" i="6"/>
  <c r="L589" i="6"/>
  <c r="J589" i="6"/>
  <c r="Q589" i="6"/>
  <c r="M589" i="6"/>
  <c r="I589" i="6"/>
  <c r="O589" i="6"/>
  <c r="M590" i="6"/>
  <c r="T591" i="6"/>
  <c r="R591" i="6"/>
  <c r="P591" i="6"/>
  <c r="N591" i="6"/>
  <c r="L591" i="6"/>
  <c r="J591" i="6"/>
  <c r="Q591" i="6"/>
  <c r="M591" i="6"/>
  <c r="I591" i="6"/>
  <c r="O591" i="6"/>
  <c r="M592" i="6"/>
  <c r="T593" i="6"/>
  <c r="R593" i="6"/>
  <c r="P593" i="6"/>
  <c r="N593" i="6"/>
  <c r="L593" i="6"/>
  <c r="J593" i="6"/>
  <c r="Q593" i="6"/>
  <c r="M593" i="6"/>
  <c r="I593" i="6"/>
  <c r="O593" i="6"/>
  <c r="M594" i="6"/>
  <c r="T595" i="6"/>
  <c r="R595" i="6"/>
  <c r="P595" i="6"/>
  <c r="N595" i="6"/>
  <c r="L595" i="6"/>
  <c r="J595" i="6"/>
  <c r="Q595" i="6"/>
  <c r="M595" i="6"/>
  <c r="I595" i="6"/>
  <c r="O595" i="6"/>
  <c r="M596" i="6"/>
  <c r="T597" i="6"/>
  <c r="R597" i="6"/>
  <c r="P597" i="6"/>
  <c r="N597" i="6"/>
  <c r="L597" i="6"/>
  <c r="J597" i="6"/>
  <c r="Q597" i="6"/>
  <c r="M597" i="6"/>
  <c r="I597" i="6"/>
  <c r="O597" i="6"/>
  <c r="M598" i="6"/>
  <c r="T599" i="6"/>
  <c r="R599" i="6"/>
  <c r="P599" i="6"/>
  <c r="N599" i="6"/>
  <c r="L599" i="6"/>
  <c r="J599" i="6"/>
  <c r="Q599" i="6"/>
  <c r="M599" i="6"/>
  <c r="I599" i="6"/>
  <c r="O599" i="6"/>
  <c r="M600" i="6"/>
  <c r="T601" i="6"/>
  <c r="R601" i="6"/>
  <c r="P601" i="6"/>
  <c r="N601" i="6"/>
  <c r="L601" i="6"/>
  <c r="J601" i="6"/>
  <c r="Q601" i="6"/>
  <c r="M601" i="6"/>
  <c r="I601" i="6"/>
  <c r="O601" i="6"/>
  <c r="M602" i="6"/>
  <c r="T603" i="6"/>
  <c r="R603" i="6"/>
  <c r="P603" i="6"/>
  <c r="N603" i="6"/>
  <c r="L603" i="6"/>
  <c r="J603" i="6"/>
  <c r="Q603" i="6"/>
  <c r="M603" i="6"/>
  <c r="I603" i="6"/>
  <c r="O603" i="6"/>
  <c r="M604" i="6"/>
  <c r="T605" i="6"/>
  <c r="R605" i="6"/>
  <c r="P605" i="6"/>
  <c r="N605" i="6"/>
  <c r="L605" i="6"/>
  <c r="J605" i="6"/>
  <c r="Q605" i="6"/>
  <c r="M605" i="6"/>
  <c r="I605" i="6"/>
  <c r="O605" i="6"/>
  <c r="M606" i="6"/>
  <c r="T607" i="6"/>
  <c r="R607" i="6"/>
  <c r="P607" i="6"/>
  <c r="N607" i="6"/>
  <c r="L607" i="6"/>
  <c r="J607" i="6"/>
  <c r="Q607" i="6"/>
  <c r="M607" i="6"/>
  <c r="I607" i="6"/>
  <c r="O607" i="6"/>
  <c r="M608" i="6"/>
  <c r="T609" i="6"/>
  <c r="R609" i="6"/>
  <c r="P609" i="6"/>
  <c r="N609" i="6"/>
  <c r="L609" i="6"/>
  <c r="J609" i="6"/>
  <c r="Q609" i="6"/>
  <c r="M609" i="6"/>
  <c r="I609" i="6"/>
  <c r="O609" i="6"/>
  <c r="M610" i="6"/>
  <c r="T611" i="6"/>
  <c r="R611" i="6"/>
  <c r="P611" i="6"/>
  <c r="N611" i="6"/>
  <c r="L611" i="6"/>
  <c r="J611" i="6"/>
  <c r="Q611" i="6"/>
  <c r="M611" i="6"/>
  <c r="I611" i="6"/>
  <c r="O611" i="6"/>
  <c r="M612" i="6"/>
  <c r="T613" i="6"/>
  <c r="R613" i="6"/>
  <c r="P613" i="6"/>
  <c r="N613" i="6"/>
  <c r="L613" i="6"/>
  <c r="J613" i="6"/>
  <c r="Q613" i="6"/>
  <c r="M613" i="6"/>
  <c r="I613" i="6"/>
  <c r="O613" i="6"/>
  <c r="M614" i="6"/>
  <c r="T615" i="6"/>
  <c r="R615" i="6"/>
  <c r="P615" i="6"/>
  <c r="N615" i="6"/>
  <c r="L615" i="6"/>
  <c r="J615" i="6"/>
  <c r="Q615" i="6"/>
  <c r="M615" i="6"/>
  <c r="I615" i="6"/>
  <c r="O615" i="6"/>
  <c r="M616" i="6"/>
  <c r="T617" i="6"/>
  <c r="R617" i="6"/>
  <c r="P617" i="6"/>
  <c r="N617" i="6"/>
  <c r="L617" i="6"/>
  <c r="J617" i="6"/>
  <c r="Q617" i="6"/>
  <c r="M617" i="6"/>
  <c r="I617" i="6"/>
  <c r="O617" i="6"/>
  <c r="M618" i="6"/>
  <c r="T619" i="6"/>
  <c r="R619" i="6"/>
  <c r="P619" i="6"/>
  <c r="N619" i="6"/>
  <c r="L619" i="6"/>
  <c r="J619" i="6"/>
  <c r="Q619" i="6"/>
  <c r="M619" i="6"/>
  <c r="I619" i="6"/>
  <c r="O619" i="6"/>
  <c r="M620" i="6"/>
  <c r="T621" i="6"/>
  <c r="R621" i="6"/>
  <c r="P621" i="6"/>
  <c r="N621" i="6"/>
  <c r="L621" i="6"/>
  <c r="J621" i="6"/>
  <c r="Q621" i="6"/>
  <c r="M621" i="6"/>
  <c r="I621" i="6"/>
  <c r="O621" i="6"/>
  <c r="M622" i="6"/>
  <c r="T623" i="6"/>
  <c r="R623" i="6"/>
  <c r="P623" i="6"/>
  <c r="N623" i="6"/>
  <c r="L623" i="6"/>
  <c r="J623" i="6"/>
  <c r="Q623" i="6"/>
  <c r="M623" i="6"/>
  <c r="I623" i="6"/>
  <c r="O623" i="6"/>
  <c r="M624" i="6"/>
  <c r="T625" i="6"/>
  <c r="R625" i="6"/>
  <c r="P625" i="6"/>
  <c r="N625" i="6"/>
  <c r="L625" i="6"/>
  <c r="J625" i="6"/>
  <c r="Q625" i="6"/>
  <c r="M625" i="6"/>
  <c r="I625" i="6"/>
  <c r="O625" i="6"/>
  <c r="M626" i="6"/>
  <c r="T627" i="6"/>
  <c r="R627" i="6"/>
  <c r="P627" i="6"/>
  <c r="N627" i="6"/>
  <c r="L627" i="6"/>
  <c r="J627" i="6"/>
  <c r="Q627" i="6"/>
  <c r="M627" i="6"/>
  <c r="I627" i="6"/>
  <c r="O627" i="6"/>
  <c r="M628" i="6"/>
  <c r="T629" i="6"/>
  <c r="R629" i="6"/>
  <c r="P629" i="6"/>
  <c r="N629" i="6"/>
  <c r="L629" i="6"/>
  <c r="J629" i="6"/>
  <c r="Q629" i="6"/>
  <c r="M629" i="6"/>
  <c r="I629" i="6"/>
  <c r="O629" i="6"/>
  <c r="M630" i="6"/>
  <c r="T631" i="6"/>
  <c r="R631" i="6"/>
  <c r="P631" i="6"/>
  <c r="N631" i="6"/>
  <c r="L631" i="6"/>
  <c r="J631" i="6"/>
  <c r="Q631" i="6"/>
  <c r="M631" i="6"/>
  <c r="I631" i="6"/>
  <c r="O631" i="6"/>
  <c r="M632" i="6"/>
  <c r="T633" i="6"/>
  <c r="R633" i="6"/>
  <c r="P633" i="6"/>
  <c r="N633" i="6"/>
  <c r="L633" i="6"/>
  <c r="J633" i="6"/>
  <c r="Q633" i="6"/>
  <c r="M633" i="6"/>
  <c r="I633" i="6"/>
  <c r="O633" i="6"/>
  <c r="M634" i="6"/>
  <c r="T635" i="6"/>
  <c r="R635" i="6"/>
  <c r="P635" i="6"/>
  <c r="N635" i="6"/>
  <c r="L635" i="6"/>
  <c r="J635" i="6"/>
  <c r="Q635" i="6"/>
  <c r="M635" i="6"/>
  <c r="I635" i="6"/>
  <c r="O635" i="6"/>
  <c r="M636" i="6"/>
  <c r="T637" i="6"/>
  <c r="R637" i="6"/>
  <c r="P637" i="6"/>
  <c r="N637" i="6"/>
  <c r="L637" i="6"/>
  <c r="J637" i="6"/>
  <c r="Q637" i="6"/>
  <c r="M637" i="6"/>
  <c r="I637" i="6"/>
  <c r="O637" i="6"/>
  <c r="M638" i="6"/>
  <c r="T639" i="6"/>
  <c r="R639" i="6"/>
  <c r="P639" i="6"/>
  <c r="N639" i="6"/>
  <c r="L639" i="6"/>
  <c r="J639" i="6"/>
  <c r="Q639" i="6"/>
  <c r="M639" i="6"/>
  <c r="I639" i="6"/>
  <c r="O639" i="6"/>
  <c r="M640" i="6"/>
  <c r="T641" i="6"/>
  <c r="R641" i="6"/>
  <c r="P641" i="6"/>
  <c r="N641" i="6"/>
  <c r="L641" i="6"/>
  <c r="J641" i="6"/>
  <c r="Q641" i="6"/>
  <c r="M641" i="6"/>
  <c r="I641" i="6"/>
  <c r="O641" i="6"/>
  <c r="M642" i="6"/>
  <c r="T643" i="6"/>
  <c r="R643" i="6"/>
  <c r="P643" i="6"/>
  <c r="N643" i="6"/>
  <c r="L643" i="6"/>
  <c r="J643" i="6"/>
  <c r="Q643" i="6"/>
  <c r="M643" i="6"/>
  <c r="I643" i="6"/>
  <c r="O643" i="6"/>
  <c r="M644" i="6"/>
  <c r="T645" i="6"/>
  <c r="R645" i="6"/>
  <c r="P645" i="6"/>
  <c r="N645" i="6"/>
  <c r="L645" i="6"/>
  <c r="J645" i="6"/>
  <c r="Q645" i="6"/>
  <c r="M645" i="6"/>
  <c r="I645" i="6"/>
  <c r="O645" i="6"/>
  <c r="M646" i="6"/>
  <c r="T647" i="6"/>
  <c r="R647" i="6"/>
  <c r="P647" i="6"/>
  <c r="N647" i="6"/>
  <c r="L647" i="6"/>
  <c r="J647" i="6"/>
  <c r="Q647" i="6"/>
  <c r="M647" i="6"/>
  <c r="I647" i="6"/>
  <c r="O647" i="6"/>
  <c r="M648" i="6"/>
  <c r="T649" i="6"/>
  <c r="R649" i="6"/>
  <c r="P649" i="6"/>
  <c r="N649" i="6"/>
  <c r="L649" i="6"/>
  <c r="J649" i="6"/>
  <c r="Q649" i="6"/>
  <c r="M649" i="6"/>
  <c r="I649" i="6"/>
  <c r="O649" i="6"/>
  <c r="M650" i="6"/>
  <c r="T651" i="6"/>
  <c r="R651" i="6"/>
  <c r="P651" i="6"/>
  <c r="N651" i="6"/>
  <c r="L651" i="6"/>
  <c r="J651" i="6"/>
  <c r="Q651" i="6"/>
  <c r="M651" i="6"/>
  <c r="I651" i="6"/>
  <c r="O651" i="6"/>
  <c r="M652" i="6"/>
  <c r="T653" i="6"/>
  <c r="R653" i="6"/>
  <c r="P653" i="6"/>
  <c r="N653" i="6"/>
  <c r="L653" i="6"/>
  <c r="J653" i="6"/>
  <c r="Q653" i="6"/>
  <c r="M653" i="6"/>
  <c r="I653" i="6"/>
  <c r="O653" i="6"/>
  <c r="M654" i="6"/>
  <c r="T655" i="6"/>
  <c r="R655" i="6"/>
  <c r="P655" i="6"/>
  <c r="N655" i="6"/>
  <c r="L655" i="6"/>
  <c r="J655" i="6"/>
  <c r="Q655" i="6"/>
  <c r="M655" i="6"/>
  <c r="I655" i="6"/>
  <c r="O655" i="6"/>
  <c r="M656" i="6"/>
  <c r="T657" i="6"/>
  <c r="R657" i="6"/>
  <c r="P657" i="6"/>
  <c r="N657" i="6"/>
  <c r="L657" i="6"/>
  <c r="J657" i="6"/>
  <c r="Q657" i="6"/>
  <c r="M657" i="6"/>
  <c r="I657" i="6"/>
  <c r="O657" i="6"/>
  <c r="M658" i="6"/>
  <c r="T659" i="6"/>
  <c r="R659" i="6"/>
  <c r="P659" i="6"/>
  <c r="N659" i="6"/>
  <c r="L659" i="6"/>
  <c r="J659" i="6"/>
  <c r="Q659" i="6"/>
  <c r="M659" i="6"/>
  <c r="I659" i="6"/>
  <c r="O659" i="6"/>
  <c r="M660" i="6"/>
  <c r="T661" i="6"/>
  <c r="R661" i="6"/>
  <c r="P661" i="6"/>
  <c r="N661" i="6"/>
  <c r="L661" i="6"/>
  <c r="J661" i="6"/>
  <c r="Q661" i="6"/>
  <c r="M661" i="6"/>
  <c r="I661" i="6"/>
  <c r="O661" i="6"/>
  <c r="M662" i="6"/>
  <c r="T663" i="6"/>
  <c r="R663" i="6"/>
  <c r="P663" i="6"/>
  <c r="N663" i="6"/>
  <c r="L663" i="6"/>
  <c r="J663" i="6"/>
  <c r="Q663" i="6"/>
  <c r="M663" i="6"/>
  <c r="I663" i="6"/>
  <c r="O663" i="6"/>
  <c r="M664" i="6"/>
  <c r="T665" i="6"/>
  <c r="R665" i="6"/>
  <c r="P665" i="6"/>
  <c r="N665" i="6"/>
  <c r="L665" i="6"/>
  <c r="J665" i="6"/>
  <c r="S665" i="6"/>
  <c r="Q665" i="6"/>
  <c r="O665" i="6"/>
  <c r="M665" i="6"/>
  <c r="K665" i="6"/>
  <c r="I665" i="6"/>
  <c r="J638" i="1"/>
  <c r="L638" i="1"/>
  <c r="N638" i="1"/>
  <c r="P638" i="1"/>
  <c r="R638" i="1"/>
  <c r="J640" i="1"/>
  <c r="L640" i="1"/>
  <c r="N640" i="1"/>
  <c r="P640" i="1"/>
  <c r="R640" i="1"/>
  <c r="J654" i="1"/>
  <c r="L654" i="1"/>
  <c r="N654" i="1"/>
  <c r="P654" i="1"/>
  <c r="R654" i="1"/>
  <c r="J656" i="1"/>
  <c r="L656" i="1"/>
  <c r="N656" i="1"/>
  <c r="P656" i="1"/>
  <c r="R656" i="1"/>
  <c r="J658" i="1"/>
  <c r="L658" i="1"/>
  <c r="N658" i="1"/>
  <c r="P658" i="1"/>
  <c r="R658" i="1"/>
  <c r="J660" i="1"/>
  <c r="L660" i="1"/>
  <c r="N660" i="1"/>
  <c r="P660" i="1"/>
  <c r="R660" i="1"/>
  <c r="J662" i="1"/>
  <c r="L662" i="1"/>
  <c r="N662" i="1"/>
  <c r="P662" i="1"/>
  <c r="R662" i="1"/>
  <c r="J664" i="1"/>
  <c r="L664" i="1"/>
  <c r="N664" i="1"/>
  <c r="P664" i="1"/>
  <c r="R664" i="1"/>
  <c r="J666" i="1"/>
  <c r="L666" i="1"/>
  <c r="N666" i="1"/>
  <c r="P666" i="1"/>
  <c r="R666" i="1"/>
  <c r="J668" i="1"/>
  <c r="L668" i="1"/>
  <c r="N668" i="1"/>
  <c r="P668" i="1"/>
  <c r="R668" i="1"/>
  <c r="J670" i="1"/>
  <c r="L670" i="1"/>
  <c r="N670" i="1"/>
  <c r="P670" i="1"/>
  <c r="R670" i="1"/>
  <c r="J672" i="1"/>
  <c r="L672" i="1"/>
  <c r="N672" i="1"/>
  <c r="P672" i="1"/>
  <c r="R672" i="1"/>
  <c r="J674" i="1"/>
  <c r="L674" i="1"/>
  <c r="N674" i="1"/>
  <c r="P674" i="1"/>
  <c r="R674" i="1"/>
  <c r="J676" i="1"/>
  <c r="L676" i="1"/>
  <c r="N676" i="1"/>
  <c r="P676" i="1"/>
  <c r="R676" i="1"/>
  <c r="J678" i="1"/>
  <c r="L678" i="1"/>
  <c r="N678" i="1"/>
  <c r="P678" i="1"/>
  <c r="R678" i="1"/>
  <c r="J680" i="1"/>
  <c r="L680" i="1"/>
  <c r="N680" i="1"/>
  <c r="P680" i="1"/>
  <c r="R680" i="1"/>
  <c r="L690" i="1"/>
  <c r="P690" i="1"/>
  <c r="J700" i="1"/>
  <c r="L700" i="1"/>
  <c r="N700" i="1"/>
  <c r="P700" i="1"/>
  <c r="R700" i="1"/>
  <c r="J702" i="1"/>
  <c r="L702" i="1"/>
  <c r="N702" i="1"/>
  <c r="P702" i="1"/>
  <c r="R702" i="1"/>
  <c r="J704" i="1"/>
  <c r="L704" i="1"/>
  <c r="N704" i="1"/>
  <c r="P704" i="1"/>
  <c r="R704" i="1"/>
  <c r="J706" i="1"/>
  <c r="L706" i="1"/>
  <c r="N706" i="1"/>
  <c r="P706" i="1"/>
  <c r="R706" i="1"/>
  <c r="J708" i="1"/>
  <c r="L708" i="1"/>
  <c r="N708" i="1"/>
  <c r="P708" i="1"/>
  <c r="R708" i="1"/>
  <c r="J710" i="1"/>
  <c r="L710" i="1"/>
  <c r="N710" i="1"/>
  <c r="P710" i="1"/>
  <c r="R710" i="1"/>
  <c r="J716" i="1"/>
  <c r="L716" i="1"/>
  <c r="N716" i="1"/>
  <c r="P716" i="1"/>
  <c r="R716" i="1"/>
  <c r="J718" i="1"/>
  <c r="L718" i="1"/>
  <c r="N718" i="1"/>
  <c r="P718" i="1"/>
  <c r="R718" i="1"/>
  <c r="J720" i="1"/>
  <c r="L720" i="1"/>
  <c r="N720" i="1"/>
  <c r="P720" i="1"/>
  <c r="R720" i="1"/>
  <c r="J722" i="1"/>
  <c r="L722" i="1"/>
  <c r="N722" i="1"/>
  <c r="P722" i="1"/>
  <c r="R722" i="1"/>
  <c r="J724" i="1"/>
  <c r="L724" i="1"/>
  <c r="N724" i="1"/>
  <c r="P724" i="1"/>
  <c r="R724" i="1"/>
  <c r="J726" i="1"/>
  <c r="L726" i="1"/>
  <c r="N726" i="1"/>
  <c r="P726" i="1"/>
  <c r="R726" i="1"/>
  <c r="J728" i="1"/>
  <c r="L728" i="1"/>
  <c r="N728" i="1"/>
  <c r="P728" i="1"/>
  <c r="R728" i="1"/>
  <c r="J730" i="1"/>
  <c r="L730" i="1"/>
  <c r="N730" i="1"/>
  <c r="P730" i="1"/>
  <c r="R730" i="1"/>
  <c r="J732" i="1"/>
  <c r="L732" i="1"/>
  <c r="N732" i="1"/>
  <c r="P732" i="1"/>
  <c r="R732" i="1"/>
  <c r="J734" i="1"/>
  <c r="L734" i="1"/>
  <c r="N734" i="1"/>
  <c r="P734" i="1"/>
  <c r="R734" i="1"/>
  <c r="J736" i="1"/>
  <c r="J738" i="1"/>
  <c r="L738" i="1"/>
  <c r="N738" i="1"/>
  <c r="P738" i="1"/>
  <c r="R738" i="1"/>
  <c r="J752" i="1"/>
  <c r="L752" i="1"/>
  <c r="N752" i="1"/>
  <c r="P752" i="1"/>
  <c r="R752" i="1"/>
  <c r="J754" i="1"/>
  <c r="L754" i="1"/>
  <c r="N754" i="1"/>
  <c r="P754" i="1"/>
  <c r="R754" i="1"/>
  <c r="J756" i="1"/>
  <c r="L756" i="1"/>
  <c r="N756" i="1"/>
  <c r="P756" i="1"/>
  <c r="R756" i="1"/>
  <c r="J758" i="1"/>
  <c r="L758" i="1"/>
  <c r="N758" i="1"/>
  <c r="P758" i="1"/>
  <c r="R758" i="1"/>
  <c r="J760" i="1"/>
  <c r="L760" i="1"/>
  <c r="N760" i="1"/>
  <c r="P760" i="1"/>
  <c r="R760" i="1"/>
  <c r="J762" i="1"/>
  <c r="L762" i="1"/>
  <c r="N762" i="1"/>
  <c r="P762" i="1"/>
  <c r="R762" i="1"/>
  <c r="J764" i="1"/>
  <c r="L764" i="1"/>
  <c r="N764" i="1"/>
  <c r="P764" i="1"/>
  <c r="R764" i="1"/>
  <c r="J766" i="1"/>
  <c r="L766" i="1"/>
  <c r="N766" i="1"/>
  <c r="P766" i="1"/>
  <c r="R766" i="1"/>
  <c r="J768" i="1"/>
  <c r="N768" i="1"/>
  <c r="R768" i="1"/>
  <c r="J804" i="1"/>
  <c r="L804" i="1"/>
  <c r="N804" i="1"/>
  <c r="P804" i="1"/>
  <c r="R804" i="1"/>
  <c r="J806" i="1"/>
  <c r="L806" i="1"/>
  <c r="N806" i="1"/>
  <c r="P806" i="1"/>
  <c r="R806" i="1"/>
  <c r="J810" i="1"/>
  <c r="L810" i="1"/>
  <c r="N810" i="1"/>
  <c r="P810" i="1"/>
  <c r="R810" i="1"/>
  <c r="J812" i="1"/>
  <c r="L812" i="1"/>
  <c r="N812" i="1"/>
  <c r="P812" i="1"/>
  <c r="R812" i="1"/>
  <c r="J814" i="1"/>
  <c r="L814" i="1"/>
  <c r="N814" i="1"/>
  <c r="P814" i="1"/>
  <c r="R814" i="1"/>
  <c r="J816" i="1"/>
  <c r="L816" i="1"/>
  <c r="N816" i="1"/>
  <c r="P816" i="1"/>
  <c r="R816" i="1"/>
  <c r="J818" i="1"/>
  <c r="L818" i="1"/>
  <c r="N818" i="1"/>
  <c r="P818" i="1"/>
  <c r="R818" i="1"/>
  <c r="L828" i="1"/>
  <c r="J830" i="1"/>
  <c r="L830" i="1"/>
  <c r="N830" i="1"/>
  <c r="P830" i="1"/>
  <c r="R830" i="1"/>
  <c r="J832" i="1"/>
  <c r="L832" i="1"/>
  <c r="N832" i="1"/>
  <c r="P832" i="1"/>
  <c r="R832" i="1"/>
  <c r="N854" i="1"/>
  <c r="R854" i="1"/>
  <c r="L858" i="1"/>
  <c r="P858" i="1"/>
  <c r="J864" i="1"/>
  <c r="L864" i="1"/>
  <c r="N864" i="1"/>
  <c r="P864" i="1"/>
  <c r="R864" i="1"/>
  <c r="J866" i="1"/>
  <c r="L866" i="1"/>
  <c r="N866" i="1"/>
  <c r="P866" i="1"/>
  <c r="R866" i="1"/>
  <c r="J868" i="1"/>
  <c r="L868" i="1"/>
  <c r="N868" i="1"/>
  <c r="P868" i="1"/>
  <c r="R868" i="1"/>
  <c r="J870" i="1"/>
  <c r="L870" i="1"/>
  <c r="N870" i="1"/>
  <c r="P870" i="1"/>
  <c r="R870" i="1"/>
  <c r="J872" i="1"/>
  <c r="L872" i="1"/>
  <c r="N872" i="1"/>
  <c r="P872" i="1"/>
  <c r="R872" i="1"/>
  <c r="J874" i="1"/>
  <c r="L874" i="1"/>
  <c r="N874" i="1"/>
  <c r="P874" i="1"/>
  <c r="R874" i="1"/>
  <c r="J876" i="1"/>
  <c r="L876" i="1"/>
  <c r="N876" i="1"/>
  <c r="P876" i="1"/>
  <c r="R876" i="1"/>
  <c r="J878" i="1"/>
  <c r="L878" i="1"/>
  <c r="N878" i="1"/>
  <c r="P878" i="1"/>
  <c r="R878" i="1"/>
  <c r="J880" i="1"/>
  <c r="L880" i="1"/>
  <c r="N880" i="1"/>
  <c r="P880" i="1"/>
  <c r="R880" i="1"/>
  <c r="J882" i="1"/>
  <c r="L882" i="1"/>
  <c r="N882" i="1"/>
  <c r="P882" i="1"/>
  <c r="R882" i="1"/>
  <c r="J884" i="1"/>
  <c r="L884" i="1"/>
  <c r="N884" i="1"/>
  <c r="P884" i="1"/>
  <c r="R884" i="1"/>
  <c r="J894" i="1"/>
  <c r="L894" i="1"/>
  <c r="N894" i="1"/>
  <c r="P894" i="1"/>
  <c r="R894" i="1"/>
  <c r="J896" i="1"/>
  <c r="L896" i="1"/>
  <c r="N896" i="1"/>
  <c r="P896" i="1"/>
  <c r="R896" i="1"/>
  <c r="J916" i="1"/>
  <c r="L916" i="1"/>
  <c r="N916" i="1"/>
  <c r="P916" i="1"/>
  <c r="R916" i="1"/>
  <c r="J918" i="1"/>
  <c r="L918" i="1"/>
  <c r="N918" i="1"/>
  <c r="P918" i="1"/>
  <c r="R918" i="1"/>
  <c r="J920" i="1"/>
  <c r="L920" i="1"/>
  <c r="N920" i="1"/>
  <c r="P920" i="1"/>
  <c r="R920" i="1"/>
  <c r="J922" i="1"/>
  <c r="L922" i="1"/>
  <c r="N922" i="1"/>
  <c r="P922" i="1"/>
  <c r="R922" i="1"/>
  <c r="J924" i="1"/>
  <c r="L924" i="1"/>
  <c r="N924" i="1"/>
  <c r="P924" i="1"/>
  <c r="R924" i="1"/>
  <c r="J936" i="1"/>
  <c r="L936" i="1"/>
  <c r="N936" i="1"/>
  <c r="P936" i="1"/>
  <c r="R936" i="1"/>
  <c r="J938" i="1"/>
  <c r="L938" i="1"/>
  <c r="N938" i="1"/>
  <c r="P938" i="1"/>
  <c r="R938" i="1"/>
  <c r="J940" i="1"/>
  <c r="L940" i="1"/>
  <c r="N940" i="1"/>
  <c r="P940" i="1"/>
  <c r="R940" i="1"/>
  <c r="J942" i="1"/>
  <c r="L942" i="1"/>
  <c r="N942" i="1"/>
  <c r="P942" i="1"/>
  <c r="R942" i="1"/>
  <c r="J944" i="1"/>
  <c r="L944" i="1"/>
  <c r="N944" i="1"/>
  <c r="P944" i="1"/>
  <c r="R944" i="1"/>
  <c r="J946" i="1"/>
  <c r="N946" i="1"/>
  <c r="R946" i="1"/>
  <c r="N966" i="1"/>
  <c r="J968" i="1"/>
  <c r="L968" i="1"/>
  <c r="N968" i="1"/>
  <c r="P968" i="1"/>
  <c r="R968" i="1"/>
  <c r="J970" i="1"/>
  <c r="L970" i="1"/>
  <c r="N970" i="1"/>
  <c r="P970" i="1"/>
  <c r="R970" i="1"/>
  <c r="J972" i="1"/>
  <c r="L972" i="1"/>
  <c r="N972" i="1"/>
  <c r="P972" i="1"/>
  <c r="R972" i="1"/>
  <c r="N1004" i="1"/>
  <c r="S1008" i="1"/>
  <c r="Q1008" i="1"/>
  <c r="J1008" i="1"/>
  <c r="L1008" i="1"/>
  <c r="N1008" i="1"/>
  <c r="P1008" i="1"/>
  <c r="T1008" i="1"/>
  <c r="S1012" i="1"/>
  <c r="Q1012" i="1"/>
  <c r="O1012" i="1"/>
  <c r="M1012" i="1"/>
  <c r="K1012" i="1"/>
  <c r="I1012" i="1"/>
  <c r="L1012" i="1"/>
  <c r="P1012" i="1"/>
  <c r="T1012" i="1"/>
  <c r="S1016" i="1"/>
  <c r="Q1016" i="1"/>
  <c r="O1016" i="1"/>
  <c r="M1016" i="1"/>
  <c r="K1016" i="1"/>
  <c r="I1016" i="1"/>
  <c r="L1016" i="1"/>
  <c r="P1016" i="1"/>
  <c r="T1016" i="1"/>
  <c r="S1020" i="1"/>
  <c r="Q1020" i="1"/>
  <c r="O1020" i="1"/>
  <c r="M1020" i="1"/>
  <c r="K1020" i="1"/>
  <c r="I1020" i="1"/>
  <c r="L1020" i="1"/>
  <c r="P1020" i="1"/>
  <c r="T1020" i="1"/>
  <c r="S1022" i="1"/>
  <c r="Q1022" i="1"/>
  <c r="O1022" i="1"/>
  <c r="M1022" i="1"/>
  <c r="K1022" i="1"/>
  <c r="I1022" i="1"/>
  <c r="S1024" i="1"/>
  <c r="Q1024" i="1"/>
  <c r="O1024" i="1"/>
  <c r="M1024" i="1"/>
  <c r="K1024" i="1"/>
  <c r="I1024" i="1"/>
  <c r="L1024" i="1"/>
  <c r="P1024" i="1"/>
  <c r="T1024" i="1"/>
  <c r="S1026" i="1"/>
  <c r="Q1026" i="1"/>
  <c r="O1026" i="1"/>
  <c r="M1026" i="1"/>
  <c r="K1026" i="1"/>
  <c r="I1026" i="1"/>
  <c r="L1026" i="1"/>
  <c r="P1026" i="1"/>
  <c r="T1026" i="1"/>
  <c r="S1030" i="1"/>
  <c r="Q1030" i="1"/>
  <c r="O1030" i="1"/>
  <c r="M1030" i="1"/>
  <c r="K1030" i="1"/>
  <c r="I1030" i="1"/>
  <c r="L1030" i="1"/>
  <c r="P1030" i="1"/>
  <c r="T1030" i="1"/>
  <c r="S1034" i="1"/>
  <c r="Q1034" i="1"/>
  <c r="O1034" i="1"/>
  <c r="M1034" i="1"/>
  <c r="K1034" i="1"/>
  <c r="I1034" i="1"/>
  <c r="L1034" i="1"/>
  <c r="P1034" i="1"/>
  <c r="T1034" i="1"/>
  <c r="S1038" i="1"/>
  <c r="Q1038" i="1"/>
  <c r="O1038" i="1"/>
  <c r="M1038" i="1"/>
  <c r="K1038" i="1"/>
  <c r="I1038" i="1"/>
  <c r="L1038" i="1"/>
  <c r="P1038" i="1"/>
  <c r="T1038" i="1"/>
  <c r="S1044" i="1"/>
  <c r="Q1044" i="1"/>
  <c r="O1044" i="1"/>
  <c r="M1044" i="1"/>
  <c r="K1044" i="1"/>
  <c r="I1044" i="1"/>
  <c r="L1044" i="1"/>
  <c r="P1044" i="1"/>
  <c r="T1044" i="1"/>
  <c r="S1048" i="1"/>
  <c r="Q1048" i="1"/>
  <c r="O1048" i="1"/>
  <c r="M1048" i="1"/>
  <c r="K1048" i="1"/>
  <c r="I1048" i="1"/>
  <c r="L1048" i="1"/>
  <c r="P1048" i="1"/>
  <c r="T1048" i="1"/>
  <c r="S1052" i="1"/>
  <c r="Q1052" i="1"/>
  <c r="O1052" i="1"/>
  <c r="M1052" i="1"/>
  <c r="K1052" i="1"/>
  <c r="I1052" i="1"/>
  <c r="L1052" i="1"/>
  <c r="P1052" i="1"/>
  <c r="T1052" i="1"/>
  <c r="S1056" i="1"/>
  <c r="Q1056" i="1"/>
  <c r="O1056" i="1"/>
  <c r="M1056" i="1"/>
  <c r="K1056" i="1"/>
  <c r="I1056" i="1"/>
  <c r="L1056" i="1"/>
  <c r="P1056" i="1"/>
  <c r="T1056" i="1"/>
  <c r="S1060" i="1"/>
  <c r="Q1060" i="1"/>
  <c r="O1060" i="1"/>
  <c r="M1060" i="1"/>
  <c r="K1060" i="1"/>
  <c r="I1060" i="1"/>
  <c r="L1060" i="1"/>
  <c r="P1060" i="1"/>
  <c r="T1060" i="1"/>
  <c r="S1062" i="1"/>
  <c r="Q1062" i="1"/>
  <c r="O1062" i="1"/>
  <c r="M1062" i="1"/>
  <c r="K1062" i="1"/>
  <c r="I1062" i="1"/>
  <c r="S1064" i="1"/>
  <c r="Q1064" i="1"/>
  <c r="O1064" i="1"/>
  <c r="M1064" i="1"/>
  <c r="K1064" i="1"/>
  <c r="I1064" i="1"/>
  <c r="L1064" i="1"/>
  <c r="P1064" i="1"/>
  <c r="T1064" i="1"/>
  <c r="S1066" i="1"/>
  <c r="Q1066" i="1"/>
  <c r="O1066" i="1"/>
  <c r="M1066" i="1"/>
  <c r="K1066" i="1"/>
  <c r="I1066" i="1"/>
  <c r="L1066" i="1"/>
  <c r="P1066" i="1"/>
  <c r="T1066" i="1"/>
  <c r="S1070" i="1"/>
  <c r="Q1070" i="1"/>
  <c r="O1070" i="1"/>
  <c r="M1070" i="1"/>
  <c r="K1070" i="1"/>
  <c r="I1070" i="1"/>
  <c r="L1070" i="1"/>
  <c r="P1070" i="1"/>
  <c r="T1070" i="1"/>
  <c r="S1076" i="1"/>
  <c r="Q1076" i="1"/>
  <c r="O1076" i="1"/>
  <c r="M1076" i="1"/>
  <c r="K1076" i="1"/>
  <c r="I1076" i="1"/>
  <c r="L1076" i="1"/>
  <c r="P1076" i="1"/>
  <c r="T1076" i="1"/>
  <c r="S1080" i="1"/>
  <c r="Q1080" i="1"/>
  <c r="O1080" i="1"/>
  <c r="M1080" i="1"/>
  <c r="K1080" i="1"/>
  <c r="I1080" i="1"/>
  <c r="L1080" i="1"/>
  <c r="P1080" i="1"/>
  <c r="T1080" i="1"/>
  <c r="S1084" i="1"/>
  <c r="Q1084" i="1"/>
  <c r="O1084" i="1"/>
  <c r="M1084" i="1"/>
  <c r="K1084" i="1"/>
  <c r="I1084" i="1"/>
  <c r="L1084" i="1"/>
  <c r="P1084" i="1"/>
  <c r="T1084" i="1"/>
  <c r="S1088" i="1"/>
  <c r="Q1088" i="1"/>
  <c r="O1088" i="1"/>
  <c r="M1088" i="1"/>
  <c r="K1088" i="1"/>
  <c r="I1088" i="1"/>
  <c r="L1088" i="1"/>
  <c r="P1088" i="1"/>
  <c r="T1088" i="1"/>
  <c r="S1090" i="1"/>
  <c r="Q1090" i="1"/>
  <c r="O1090" i="1"/>
  <c r="M1090" i="1"/>
  <c r="K1090" i="1"/>
  <c r="I1090" i="1"/>
  <c r="L1090" i="1"/>
  <c r="P1090" i="1"/>
  <c r="T1090" i="1"/>
  <c r="S1096" i="1"/>
  <c r="Q1096" i="1"/>
  <c r="O1096" i="1"/>
  <c r="M1096" i="1"/>
  <c r="K1096" i="1"/>
  <c r="I1096" i="1"/>
  <c r="L1096" i="1"/>
  <c r="P1096" i="1"/>
  <c r="T1096" i="1"/>
  <c r="S1098" i="1"/>
  <c r="Q1098" i="1"/>
  <c r="O1098" i="1"/>
  <c r="M1098" i="1"/>
  <c r="K1098" i="1"/>
  <c r="I1098" i="1"/>
  <c r="L1098" i="1"/>
  <c r="P1098" i="1"/>
  <c r="T1098" i="1"/>
  <c r="S1104" i="1"/>
  <c r="Q1104" i="1"/>
  <c r="O1104" i="1"/>
  <c r="M1104" i="1"/>
  <c r="K1104" i="1"/>
  <c r="I1104" i="1"/>
  <c r="L1104" i="1"/>
  <c r="P1104" i="1"/>
  <c r="T1104" i="1"/>
  <c r="S1108" i="1"/>
  <c r="Q1108" i="1"/>
  <c r="O1108" i="1"/>
  <c r="M1108" i="1"/>
  <c r="K1108" i="1"/>
  <c r="I1108" i="1"/>
  <c r="L1108" i="1"/>
  <c r="P1108" i="1"/>
  <c r="T1108" i="1"/>
  <c r="S1110" i="1"/>
  <c r="Q1110" i="1"/>
  <c r="O1110" i="1"/>
  <c r="M1110" i="1"/>
  <c r="K1110" i="1"/>
  <c r="I1110" i="1"/>
  <c r="L1110" i="1"/>
  <c r="P1110" i="1"/>
  <c r="T1110" i="1"/>
  <c r="P1114" i="1"/>
  <c r="T1114" i="1"/>
  <c r="S1120" i="1"/>
  <c r="Q1120" i="1"/>
  <c r="O1120" i="1"/>
  <c r="M1120" i="1"/>
  <c r="K1120" i="1"/>
  <c r="I1120" i="1"/>
  <c r="L1120" i="1"/>
  <c r="P1120" i="1"/>
  <c r="T1120" i="1"/>
  <c r="S1122" i="1"/>
  <c r="Q1122" i="1"/>
  <c r="O1122" i="1"/>
  <c r="M1122" i="1"/>
  <c r="K1122" i="1"/>
  <c r="I1122" i="1"/>
  <c r="L1122" i="1"/>
  <c r="P1122" i="1"/>
  <c r="T1122" i="1"/>
  <c r="S1128" i="1"/>
  <c r="Q1128" i="1"/>
  <c r="O1128" i="1"/>
  <c r="M1128" i="1"/>
  <c r="K1128" i="1"/>
  <c r="I1128" i="1"/>
  <c r="L1128" i="1"/>
  <c r="P1128" i="1"/>
  <c r="T1128" i="1"/>
  <c r="S1130" i="1"/>
  <c r="Q1130" i="1"/>
  <c r="O1130" i="1"/>
  <c r="M1130" i="1"/>
  <c r="K1130" i="1"/>
  <c r="I1130" i="1"/>
  <c r="L1130" i="1"/>
  <c r="P1130" i="1"/>
  <c r="T1130" i="1"/>
  <c r="S1136" i="1"/>
  <c r="Q1136" i="1"/>
  <c r="O1136" i="1"/>
  <c r="M1136" i="1"/>
  <c r="K1136" i="1"/>
  <c r="I1136" i="1"/>
  <c r="L1136" i="1"/>
  <c r="P1136" i="1"/>
  <c r="T1136" i="1"/>
  <c r="S1138" i="1"/>
  <c r="Q1138" i="1"/>
  <c r="O1138" i="1"/>
  <c r="M1138" i="1"/>
  <c r="K1138" i="1"/>
  <c r="I1138" i="1"/>
  <c r="L1138" i="1"/>
  <c r="P1138" i="1"/>
  <c r="T1138" i="1"/>
  <c r="S1144" i="1"/>
  <c r="Q1144" i="1"/>
  <c r="O1144" i="1"/>
  <c r="M1144" i="1"/>
  <c r="K1144" i="1"/>
  <c r="I1144" i="1"/>
  <c r="L1144" i="1"/>
  <c r="P1144" i="1"/>
  <c r="T1144" i="1"/>
  <c r="S1146" i="1"/>
  <c r="Q1146" i="1"/>
  <c r="O1146" i="1"/>
  <c r="M1146" i="1"/>
  <c r="K1146" i="1"/>
  <c r="I1146" i="1"/>
  <c r="L1146" i="1"/>
  <c r="P1146" i="1"/>
  <c r="T1146" i="1"/>
  <c r="S1152" i="1"/>
  <c r="Q1152" i="1"/>
  <c r="O1152" i="1"/>
  <c r="M1152" i="1"/>
  <c r="K1152" i="1"/>
  <c r="I1152" i="1"/>
  <c r="L1152" i="1"/>
  <c r="P1152" i="1"/>
  <c r="T1152" i="1"/>
  <c r="S1154" i="1"/>
  <c r="Q1154" i="1"/>
  <c r="O1154" i="1"/>
  <c r="M1154" i="1"/>
  <c r="K1154" i="1"/>
  <c r="I1154" i="1"/>
  <c r="S1156" i="1"/>
  <c r="Q1156" i="1"/>
  <c r="O1156" i="1"/>
  <c r="M1156" i="1"/>
  <c r="K1156" i="1"/>
  <c r="I1156" i="1"/>
  <c r="L1156" i="1"/>
  <c r="P1156" i="1"/>
  <c r="T1156" i="1"/>
  <c r="S1160" i="1"/>
  <c r="Q1160" i="1"/>
  <c r="O1160" i="1"/>
  <c r="M1160" i="1"/>
  <c r="K1160" i="1"/>
  <c r="I1160" i="1"/>
  <c r="L1160" i="1"/>
  <c r="P1160" i="1"/>
  <c r="T1160" i="1"/>
  <c r="S1162" i="1"/>
  <c r="Q1162" i="1"/>
  <c r="O1162" i="1"/>
  <c r="M1162" i="1"/>
  <c r="K1162" i="1"/>
  <c r="I1162" i="1"/>
  <c r="L1162" i="1"/>
  <c r="P1162" i="1"/>
  <c r="T1162" i="1"/>
  <c r="S1168" i="1"/>
  <c r="Q1168" i="1"/>
  <c r="O1168" i="1"/>
  <c r="M1168" i="1"/>
  <c r="K1168" i="1"/>
  <c r="I1168" i="1"/>
  <c r="L1168" i="1"/>
  <c r="P1168" i="1"/>
  <c r="T1168" i="1"/>
  <c r="S1170" i="1"/>
  <c r="Q1170" i="1"/>
  <c r="O1170" i="1"/>
  <c r="M1170" i="1"/>
  <c r="K1170" i="1"/>
  <c r="I1170" i="1"/>
  <c r="L1170" i="1"/>
  <c r="P1170" i="1"/>
  <c r="T1170" i="1"/>
  <c r="S1176" i="1"/>
  <c r="Q1176" i="1"/>
  <c r="O1176" i="1"/>
  <c r="M1176" i="1"/>
  <c r="K1176" i="1"/>
  <c r="I1176" i="1"/>
  <c r="L1176" i="1"/>
  <c r="P1176" i="1"/>
  <c r="T1176" i="1"/>
  <c r="S1178" i="1"/>
  <c r="Q1178" i="1"/>
  <c r="O1178" i="1"/>
  <c r="M1178" i="1"/>
  <c r="K1178" i="1"/>
  <c r="I1178" i="1"/>
  <c r="P1178" i="1"/>
  <c r="T1178" i="1"/>
  <c r="S1182" i="1"/>
  <c r="Q1182" i="1"/>
  <c r="O1182" i="1"/>
  <c r="M1182" i="1"/>
  <c r="K1182" i="1"/>
  <c r="I1182" i="1"/>
  <c r="L1182" i="1"/>
  <c r="P1182" i="1"/>
  <c r="T1182" i="1"/>
  <c r="S1186" i="1"/>
  <c r="Q1186" i="1"/>
  <c r="O1186" i="1"/>
  <c r="M1186" i="1"/>
  <c r="K1186" i="1"/>
  <c r="I1186" i="1"/>
  <c r="L1186" i="1"/>
  <c r="P1186" i="1"/>
  <c r="T1186" i="1"/>
  <c r="S1190" i="1"/>
  <c r="Q1190" i="1"/>
  <c r="O1190" i="1"/>
  <c r="M1190" i="1"/>
  <c r="K1190" i="1"/>
  <c r="I1190" i="1"/>
  <c r="L1190" i="1"/>
  <c r="P1190" i="1"/>
  <c r="T1190" i="1"/>
  <c r="S1194" i="1"/>
  <c r="Q1194" i="1"/>
  <c r="O1194" i="1"/>
  <c r="M1194" i="1"/>
  <c r="K1194" i="1"/>
  <c r="I1194" i="1"/>
  <c r="L1194" i="1"/>
  <c r="P1194" i="1"/>
  <c r="T1194" i="1"/>
  <c r="S1198" i="1"/>
  <c r="Q1198" i="1"/>
  <c r="O1198" i="1"/>
  <c r="M1198" i="1"/>
  <c r="K1198" i="1"/>
  <c r="I1198" i="1"/>
  <c r="L1198" i="1"/>
  <c r="P1198" i="1"/>
  <c r="T1198" i="1"/>
  <c r="S1202" i="1"/>
  <c r="Q1202" i="1"/>
  <c r="O1202" i="1"/>
  <c r="M1202" i="1"/>
  <c r="K1202" i="1"/>
  <c r="I1202" i="1"/>
  <c r="L1202" i="1"/>
  <c r="P1202" i="1"/>
  <c r="T1202" i="1"/>
  <c r="S1206" i="1"/>
  <c r="Q1206" i="1"/>
  <c r="O1206" i="1"/>
  <c r="M1206" i="1"/>
  <c r="K1206" i="1"/>
  <c r="I1206" i="1"/>
  <c r="L1206" i="1"/>
  <c r="P1206" i="1"/>
  <c r="T1206" i="1"/>
  <c r="S1210" i="1"/>
  <c r="Q1210" i="1"/>
  <c r="O1210" i="1"/>
  <c r="M1210" i="1"/>
  <c r="K1210" i="1"/>
  <c r="I1210" i="1"/>
  <c r="L1210" i="1"/>
  <c r="P1210" i="1"/>
  <c r="T1210" i="1"/>
  <c r="S1214" i="1"/>
  <c r="Q1214" i="1"/>
  <c r="O1214" i="1"/>
  <c r="M1214" i="1"/>
  <c r="K1214" i="1"/>
  <c r="I1214" i="1"/>
  <c r="L1214" i="1"/>
  <c r="P1214" i="1"/>
  <c r="T1214" i="1"/>
  <c r="S1218" i="1"/>
  <c r="Q1218" i="1"/>
  <c r="O1218" i="1"/>
  <c r="M1218" i="1"/>
  <c r="K1218" i="1"/>
  <c r="I1218" i="1"/>
  <c r="L1218" i="1"/>
  <c r="P1218" i="1"/>
  <c r="T1218" i="1"/>
  <c r="S1222" i="1"/>
  <c r="Q1222" i="1"/>
  <c r="O1222" i="1"/>
  <c r="M1222" i="1"/>
  <c r="K1222" i="1"/>
  <c r="I1222" i="1"/>
  <c r="L1222" i="1"/>
  <c r="P1222" i="1"/>
  <c r="T1222" i="1"/>
  <c r="S1226" i="1"/>
  <c r="Q1226" i="1"/>
  <c r="O1226" i="1"/>
  <c r="M1226" i="1"/>
  <c r="K1226" i="1"/>
  <c r="I1226" i="1"/>
  <c r="L1226" i="1"/>
  <c r="P1226" i="1"/>
  <c r="T1226" i="1"/>
  <c r="S1230" i="1"/>
  <c r="Q1230" i="1"/>
  <c r="O1230" i="1"/>
  <c r="M1230" i="1"/>
  <c r="K1230" i="1"/>
  <c r="I1230" i="1"/>
  <c r="L1230" i="1"/>
  <c r="P1230" i="1"/>
  <c r="T1230" i="1"/>
  <c r="S1234" i="1"/>
  <c r="Q1234" i="1"/>
  <c r="O1234" i="1"/>
  <c r="M1234" i="1"/>
  <c r="K1234" i="1"/>
  <c r="I1234" i="1"/>
  <c r="L1234" i="1"/>
  <c r="P1234" i="1"/>
  <c r="T1234" i="1"/>
  <c r="S1238" i="1"/>
  <c r="Q1238" i="1"/>
  <c r="O1238" i="1"/>
  <c r="M1238" i="1"/>
  <c r="K1238" i="1"/>
  <c r="I1238" i="1"/>
  <c r="L1238" i="1"/>
  <c r="P1238" i="1"/>
  <c r="T1238" i="1"/>
  <c r="S1240" i="1"/>
  <c r="Q1240" i="1"/>
  <c r="O1240" i="1"/>
  <c r="M1240" i="1"/>
  <c r="K1240" i="1"/>
  <c r="I1240" i="1"/>
  <c r="L1240" i="1"/>
  <c r="P1240" i="1"/>
  <c r="T1240" i="1"/>
  <c r="S1246" i="1"/>
  <c r="Q1246" i="1"/>
  <c r="O1246" i="1"/>
  <c r="M1246" i="1"/>
  <c r="K1246" i="1"/>
  <c r="I1246" i="1"/>
  <c r="L1246" i="1"/>
  <c r="P1246" i="1"/>
  <c r="T1246" i="1"/>
  <c r="S1248" i="1"/>
  <c r="Q1248" i="1"/>
  <c r="O1248" i="1"/>
  <c r="M1248" i="1"/>
  <c r="K1248" i="1"/>
  <c r="I1248" i="1"/>
  <c r="L1248" i="1"/>
  <c r="P1248" i="1"/>
  <c r="T1248" i="1"/>
  <c r="L1252" i="1"/>
  <c r="P1252" i="1"/>
  <c r="T1252" i="1"/>
  <c r="S1258" i="1"/>
  <c r="Q1258" i="1"/>
  <c r="O1258" i="1"/>
  <c r="M1258" i="1"/>
  <c r="K1258" i="1"/>
  <c r="I1258" i="1"/>
  <c r="L1258" i="1"/>
  <c r="P1258" i="1"/>
  <c r="T1258" i="1"/>
  <c r="S1260" i="1"/>
  <c r="Q1260" i="1"/>
  <c r="O1260" i="1"/>
  <c r="M1260" i="1"/>
  <c r="K1260" i="1"/>
  <c r="I1260" i="1"/>
  <c r="L1260" i="1"/>
  <c r="P1260" i="1"/>
  <c r="T1260" i="1"/>
  <c r="L1264" i="1"/>
  <c r="P1264" i="1"/>
  <c r="T1264" i="1"/>
  <c r="S1268" i="1"/>
  <c r="Q1268" i="1"/>
  <c r="O1268" i="1"/>
  <c r="M1268" i="1"/>
  <c r="K1268" i="1"/>
  <c r="I1268" i="1"/>
  <c r="L1268" i="1"/>
  <c r="P1268" i="1"/>
  <c r="T1268" i="1"/>
  <c r="L1272" i="1"/>
  <c r="P1272" i="1"/>
  <c r="T1272" i="1"/>
  <c r="S1278" i="1"/>
  <c r="Q1278" i="1"/>
  <c r="O1278" i="1"/>
  <c r="M1278" i="1"/>
  <c r="K1278" i="1"/>
  <c r="I1278" i="1"/>
  <c r="L1278" i="1"/>
  <c r="P1278" i="1"/>
  <c r="T1278" i="1"/>
  <c r="S1282" i="1"/>
  <c r="Q1282" i="1"/>
  <c r="O1282" i="1"/>
  <c r="M1282" i="1"/>
  <c r="K1282" i="1"/>
  <c r="I1282" i="1"/>
  <c r="L1282" i="1"/>
  <c r="P1282" i="1"/>
  <c r="T1282" i="1"/>
  <c r="S1286" i="1"/>
  <c r="Q1286" i="1"/>
  <c r="O1286" i="1"/>
  <c r="M1286" i="1"/>
  <c r="K1286" i="1"/>
  <c r="I1286" i="1"/>
  <c r="L1286" i="1"/>
  <c r="P1286" i="1"/>
  <c r="T1286" i="1"/>
  <c r="S1288" i="1"/>
  <c r="Q1288" i="1"/>
  <c r="O1288" i="1"/>
  <c r="M1288" i="1"/>
  <c r="K1288" i="1"/>
  <c r="I1288" i="1"/>
  <c r="P1288" i="1"/>
  <c r="T1288" i="1"/>
  <c r="S1294" i="1"/>
  <c r="Q1294" i="1"/>
  <c r="O1294" i="1"/>
  <c r="M1294" i="1"/>
  <c r="K1294" i="1"/>
  <c r="I1294" i="1"/>
  <c r="L1294" i="1"/>
  <c r="P1294" i="1"/>
  <c r="T1294" i="1"/>
  <c r="S1296" i="1"/>
  <c r="Q1296" i="1"/>
  <c r="O1296" i="1"/>
  <c r="M1296" i="1"/>
  <c r="K1296" i="1"/>
  <c r="I1296" i="1"/>
  <c r="L1296" i="1"/>
  <c r="P1296" i="1"/>
  <c r="T1296" i="1"/>
  <c r="S1302" i="1"/>
  <c r="Q1302" i="1"/>
  <c r="O1302" i="1"/>
  <c r="M1302" i="1"/>
  <c r="K1302" i="1"/>
  <c r="I1302" i="1"/>
  <c r="L1302" i="1"/>
  <c r="P1302" i="1"/>
  <c r="T1302" i="1"/>
  <c r="S1304" i="1"/>
  <c r="Q1304" i="1"/>
  <c r="O1304" i="1"/>
  <c r="M1304" i="1"/>
  <c r="K1304" i="1"/>
  <c r="I1304" i="1"/>
  <c r="L1304" i="1"/>
  <c r="P1304" i="1"/>
  <c r="T1304" i="1"/>
  <c r="L1308" i="1"/>
  <c r="T1308" i="1"/>
  <c r="S1314" i="1"/>
  <c r="Q1314" i="1"/>
  <c r="O1314" i="1"/>
  <c r="M1314" i="1"/>
  <c r="K1314" i="1"/>
  <c r="I1314" i="1"/>
  <c r="L1314" i="1"/>
  <c r="P1314" i="1"/>
  <c r="T1314" i="1"/>
  <c r="S1316" i="1"/>
  <c r="Q1316" i="1"/>
  <c r="O1316" i="1"/>
  <c r="M1316" i="1"/>
  <c r="K1316" i="1"/>
  <c r="I1316" i="1"/>
  <c r="P1316" i="1"/>
  <c r="T1316" i="1"/>
  <c r="S1320" i="1"/>
  <c r="Q1320" i="1"/>
  <c r="O1320" i="1"/>
  <c r="M1320" i="1"/>
  <c r="K1320" i="1"/>
  <c r="I1320" i="1"/>
  <c r="L1320" i="1"/>
  <c r="P1320" i="1"/>
  <c r="T1320" i="1"/>
  <c r="S1326" i="1"/>
  <c r="Q1326" i="1"/>
  <c r="O1326" i="1"/>
  <c r="M1326" i="1"/>
  <c r="K1326" i="1"/>
  <c r="I1326" i="1"/>
  <c r="L1326" i="1"/>
  <c r="P1326" i="1"/>
  <c r="T1326" i="1"/>
  <c r="S1330" i="1"/>
  <c r="Q1330" i="1"/>
  <c r="O1330" i="1"/>
  <c r="M1330" i="1"/>
  <c r="K1330" i="1"/>
  <c r="I1330" i="1"/>
  <c r="L1330" i="1"/>
  <c r="P1330" i="1"/>
  <c r="T1330" i="1"/>
  <c r="S1334" i="1"/>
  <c r="Q1334" i="1"/>
  <c r="O1334" i="1"/>
  <c r="M1334" i="1"/>
  <c r="K1334" i="1"/>
  <c r="I1334" i="1"/>
  <c r="L1334" i="1"/>
  <c r="P1334" i="1"/>
  <c r="T1334" i="1"/>
  <c r="S1338" i="1"/>
  <c r="Q1338" i="1"/>
  <c r="O1338" i="1"/>
  <c r="M1338" i="1"/>
  <c r="K1338" i="1"/>
  <c r="I1338" i="1"/>
  <c r="L1338" i="1"/>
  <c r="P1338" i="1"/>
  <c r="T1338" i="1"/>
  <c r="S1342" i="1"/>
  <c r="Q1342" i="1"/>
  <c r="O1342" i="1"/>
  <c r="M1342" i="1"/>
  <c r="K1342" i="1"/>
  <c r="I1342" i="1"/>
  <c r="L1342" i="1"/>
  <c r="P1342" i="1"/>
  <c r="T1342" i="1"/>
  <c r="S1344" i="1"/>
  <c r="Q1344" i="1"/>
  <c r="O1344" i="1"/>
  <c r="M1344" i="1"/>
  <c r="K1344" i="1"/>
  <c r="I1344" i="1"/>
  <c r="S1346" i="1"/>
  <c r="Q1346" i="1"/>
  <c r="O1346" i="1"/>
  <c r="M1346" i="1"/>
  <c r="K1346" i="1"/>
  <c r="I1346" i="1"/>
  <c r="L1346" i="1"/>
  <c r="P1346" i="1"/>
  <c r="T1346" i="1"/>
  <c r="S1348" i="1"/>
  <c r="Q1348" i="1"/>
  <c r="O1348" i="1"/>
  <c r="M1348" i="1"/>
  <c r="K1348" i="1"/>
  <c r="I1348" i="1"/>
  <c r="L1348" i="1"/>
  <c r="P1348" i="1"/>
  <c r="T1348" i="1"/>
  <c r="S1354" i="1"/>
  <c r="Q1354" i="1"/>
  <c r="O1354" i="1"/>
  <c r="M1354" i="1"/>
  <c r="K1354" i="1"/>
  <c r="I1354" i="1"/>
  <c r="L1354" i="1"/>
  <c r="P1354" i="1"/>
  <c r="T1354" i="1"/>
  <c r="E1" i="4"/>
  <c r="E3" i="4" s="1"/>
  <c r="L2" i="6"/>
  <c r="P2" i="6"/>
  <c r="T2" i="6"/>
  <c r="S4" i="6"/>
  <c r="Q4" i="6"/>
  <c r="O4" i="6"/>
  <c r="M4" i="6"/>
  <c r="K4" i="6"/>
  <c r="I4" i="6"/>
  <c r="P4" i="6"/>
  <c r="T4" i="6"/>
  <c r="S5" i="6"/>
  <c r="Q5" i="6"/>
  <c r="O5" i="6"/>
  <c r="M5" i="6"/>
  <c r="K5" i="6"/>
  <c r="I5" i="6"/>
  <c r="L5" i="6"/>
  <c r="P5" i="6"/>
  <c r="T5" i="6"/>
  <c r="S7" i="6"/>
  <c r="Q7" i="6"/>
  <c r="O7" i="6"/>
  <c r="M7" i="6"/>
  <c r="K7" i="6"/>
  <c r="I7" i="6"/>
  <c r="L7" i="6"/>
  <c r="P7" i="6"/>
  <c r="T7" i="6"/>
  <c r="S9" i="6"/>
  <c r="Q9" i="6"/>
  <c r="O9" i="6"/>
  <c r="M9" i="6"/>
  <c r="K9" i="6"/>
  <c r="I9" i="6"/>
  <c r="L9" i="6"/>
  <c r="P9" i="6"/>
  <c r="T9" i="6"/>
  <c r="L10" i="6"/>
  <c r="P10" i="6"/>
  <c r="T10" i="6"/>
  <c r="S12" i="6"/>
  <c r="Q12" i="6"/>
  <c r="O12" i="6"/>
  <c r="M12" i="6"/>
  <c r="K12" i="6"/>
  <c r="I12" i="6"/>
  <c r="L12" i="6"/>
  <c r="P12" i="6"/>
  <c r="T12" i="6"/>
  <c r="S14" i="6"/>
  <c r="Q14" i="6"/>
  <c r="O14" i="6"/>
  <c r="M14" i="6"/>
  <c r="K14" i="6"/>
  <c r="I14" i="6"/>
  <c r="S15" i="6"/>
  <c r="Q15" i="6"/>
  <c r="O15" i="6"/>
  <c r="M15" i="6"/>
  <c r="K15" i="6"/>
  <c r="I15" i="6"/>
  <c r="L15" i="6"/>
  <c r="P15" i="6"/>
  <c r="T15" i="6"/>
  <c r="L16" i="6"/>
  <c r="S17" i="6"/>
  <c r="Q17" i="6"/>
  <c r="O17" i="6"/>
  <c r="M17" i="6"/>
  <c r="K17" i="6"/>
  <c r="I17" i="6"/>
  <c r="L17" i="6"/>
  <c r="P17" i="6"/>
  <c r="T17" i="6"/>
  <c r="S18" i="6"/>
  <c r="Q18" i="6"/>
  <c r="O18" i="6"/>
  <c r="M18" i="6"/>
  <c r="K18" i="6"/>
  <c r="I18" i="6"/>
  <c r="S19" i="6"/>
  <c r="Q19" i="6"/>
  <c r="O19" i="6"/>
  <c r="M19" i="6"/>
  <c r="K19" i="6"/>
  <c r="I19" i="6"/>
  <c r="L19" i="6"/>
  <c r="P19" i="6"/>
  <c r="T19" i="6"/>
  <c r="S21" i="6"/>
  <c r="Q21" i="6"/>
  <c r="O21" i="6"/>
  <c r="M21" i="6"/>
  <c r="K21" i="6"/>
  <c r="I21" i="6"/>
  <c r="L21" i="6"/>
  <c r="P21" i="6"/>
  <c r="T21" i="6"/>
  <c r="S23" i="6"/>
  <c r="Q23" i="6"/>
  <c r="O23" i="6"/>
  <c r="M23" i="6"/>
  <c r="K23" i="6"/>
  <c r="I23" i="6"/>
  <c r="L23" i="6"/>
  <c r="P23" i="6"/>
  <c r="T23" i="6"/>
  <c r="L24" i="6"/>
  <c r="S25" i="6"/>
  <c r="Q25" i="6"/>
  <c r="O25" i="6"/>
  <c r="M25" i="6"/>
  <c r="K25" i="6"/>
  <c r="I25" i="6"/>
  <c r="S26" i="6"/>
  <c r="Q26" i="6"/>
  <c r="O26" i="6"/>
  <c r="M26" i="6"/>
  <c r="K26" i="6"/>
  <c r="I26" i="6"/>
  <c r="P26" i="6"/>
  <c r="T26" i="6"/>
  <c r="S28" i="6"/>
  <c r="Q28" i="6"/>
  <c r="O28" i="6"/>
  <c r="M28" i="6"/>
  <c r="K28" i="6"/>
  <c r="I28" i="6"/>
  <c r="L28" i="6"/>
  <c r="S29" i="6"/>
  <c r="Q29" i="6"/>
  <c r="O29" i="6"/>
  <c r="M29" i="6"/>
  <c r="K29" i="6"/>
  <c r="I29" i="6"/>
  <c r="L29" i="6"/>
  <c r="P29" i="6"/>
  <c r="T29" i="6"/>
  <c r="S31" i="6"/>
  <c r="Q31" i="6"/>
  <c r="O31" i="6"/>
  <c r="M31" i="6"/>
  <c r="K31" i="6"/>
  <c r="I31" i="6"/>
  <c r="S32" i="6"/>
  <c r="Q32" i="6"/>
  <c r="O32" i="6"/>
  <c r="M32" i="6"/>
  <c r="K32" i="6"/>
  <c r="I32" i="6"/>
  <c r="S33" i="6"/>
  <c r="Q33" i="6"/>
  <c r="O33" i="6"/>
  <c r="M33" i="6"/>
  <c r="K33" i="6"/>
  <c r="I33" i="6"/>
  <c r="L33" i="6"/>
  <c r="P33" i="6"/>
  <c r="T33" i="6"/>
  <c r="S35" i="6"/>
  <c r="Q35" i="6"/>
  <c r="O35" i="6"/>
  <c r="M35" i="6"/>
  <c r="K35" i="6"/>
  <c r="I35" i="6"/>
  <c r="L35" i="6"/>
  <c r="P35" i="6"/>
  <c r="T35" i="6"/>
  <c r="L36" i="6"/>
  <c r="S37" i="6"/>
  <c r="Q37" i="6"/>
  <c r="O37" i="6"/>
  <c r="M37" i="6"/>
  <c r="K37" i="6"/>
  <c r="I37" i="6"/>
  <c r="L37" i="6"/>
  <c r="P37" i="6"/>
  <c r="T37" i="6"/>
  <c r="L38" i="6"/>
  <c r="P38" i="6"/>
  <c r="T38" i="6"/>
  <c r="L39" i="6"/>
  <c r="P39" i="6"/>
  <c r="T39" i="6"/>
  <c r="S41" i="6"/>
  <c r="Q41" i="6"/>
  <c r="O41" i="6"/>
  <c r="M41" i="6"/>
  <c r="K41" i="6"/>
  <c r="I41" i="6"/>
  <c r="L41" i="6"/>
  <c r="P41" i="6"/>
  <c r="T41" i="6"/>
  <c r="S43" i="6"/>
  <c r="Q43" i="6"/>
  <c r="O43" i="6"/>
  <c r="M43" i="6"/>
  <c r="K43" i="6"/>
  <c r="I43" i="6"/>
  <c r="L43" i="6"/>
  <c r="P43" i="6"/>
  <c r="T43" i="6"/>
  <c r="L44" i="6"/>
  <c r="S45" i="6"/>
  <c r="Q45" i="6"/>
  <c r="O45" i="6"/>
  <c r="M45" i="6"/>
  <c r="K45" i="6"/>
  <c r="I45" i="6"/>
  <c r="L45" i="6"/>
  <c r="P45" i="6"/>
  <c r="T45" i="6"/>
  <c r="S47" i="6"/>
  <c r="Q47" i="6"/>
  <c r="O47" i="6"/>
  <c r="M47" i="6"/>
  <c r="K47" i="6"/>
  <c r="I47" i="6"/>
  <c r="L47" i="6"/>
  <c r="P47" i="6"/>
  <c r="T47" i="6"/>
  <c r="S49" i="6"/>
  <c r="Q49" i="6"/>
  <c r="O49" i="6"/>
  <c r="M49" i="6"/>
  <c r="K49" i="6"/>
  <c r="I49" i="6"/>
  <c r="S50" i="6"/>
  <c r="Q50" i="6"/>
  <c r="O50" i="6"/>
  <c r="M50" i="6"/>
  <c r="K50" i="6"/>
  <c r="I50" i="6"/>
  <c r="P50" i="6"/>
  <c r="T50" i="6"/>
  <c r="S52" i="6"/>
  <c r="Q52" i="6"/>
  <c r="O52" i="6"/>
  <c r="M52" i="6"/>
  <c r="K52" i="6"/>
  <c r="I52" i="6"/>
  <c r="L52" i="6"/>
  <c r="P52" i="6"/>
  <c r="T52" i="6"/>
  <c r="L53" i="6"/>
  <c r="P53" i="6"/>
  <c r="T53" i="6"/>
  <c r="S55" i="6"/>
  <c r="Q55" i="6"/>
  <c r="O55" i="6"/>
  <c r="M55" i="6"/>
  <c r="K55" i="6"/>
  <c r="I55" i="6"/>
  <c r="L55" i="6"/>
  <c r="P55" i="6"/>
  <c r="T55" i="6"/>
  <c r="S57" i="6"/>
  <c r="Q57" i="6"/>
  <c r="O57" i="6"/>
  <c r="M57" i="6"/>
  <c r="K57" i="6"/>
  <c r="I57" i="6"/>
  <c r="L57" i="6"/>
  <c r="P57" i="6"/>
  <c r="T57" i="6"/>
  <c r="S59" i="6"/>
  <c r="Q59" i="6"/>
  <c r="O59" i="6"/>
  <c r="M59" i="6"/>
  <c r="K59" i="6"/>
  <c r="I59" i="6"/>
  <c r="P59" i="6"/>
  <c r="T59" i="6"/>
  <c r="S61" i="6"/>
  <c r="Q61" i="6"/>
  <c r="O61" i="6"/>
  <c r="M61" i="6"/>
  <c r="K61" i="6"/>
  <c r="I61" i="6"/>
  <c r="L61" i="6"/>
  <c r="P61" i="6"/>
  <c r="T61" i="6"/>
  <c r="S62" i="6"/>
  <c r="Q62" i="6"/>
  <c r="O62" i="6"/>
  <c r="M62" i="6"/>
  <c r="K62" i="6"/>
  <c r="I62" i="6"/>
  <c r="S63" i="6"/>
  <c r="Q63" i="6"/>
  <c r="O63" i="6"/>
  <c r="M63" i="6"/>
  <c r="K63" i="6"/>
  <c r="I63" i="6"/>
  <c r="L63" i="6"/>
  <c r="P63" i="6"/>
  <c r="T63" i="6"/>
  <c r="S65" i="6"/>
  <c r="Q65" i="6"/>
  <c r="O65" i="6"/>
  <c r="M65" i="6"/>
  <c r="K65" i="6"/>
  <c r="I65" i="6"/>
  <c r="P65" i="6"/>
  <c r="T65" i="6"/>
  <c r="S67" i="6"/>
  <c r="Q67" i="6"/>
  <c r="O67" i="6"/>
  <c r="M67" i="6"/>
  <c r="K67" i="6"/>
  <c r="I67" i="6"/>
  <c r="L67" i="6"/>
  <c r="P67" i="6"/>
  <c r="T67" i="6"/>
  <c r="L68" i="6"/>
  <c r="P68" i="6"/>
  <c r="T68" i="6"/>
  <c r="L69" i="6"/>
  <c r="S70" i="6"/>
  <c r="Q70" i="6"/>
  <c r="O70" i="6"/>
  <c r="M70" i="6"/>
  <c r="K70" i="6"/>
  <c r="I70" i="6"/>
  <c r="L70" i="6"/>
  <c r="P70" i="6"/>
  <c r="T70" i="6"/>
  <c r="L71" i="6"/>
  <c r="P71" i="6"/>
  <c r="T71" i="6"/>
  <c r="S73" i="6"/>
  <c r="Q73" i="6"/>
  <c r="O73" i="6"/>
  <c r="M73" i="6"/>
  <c r="K73" i="6"/>
  <c r="I73" i="6"/>
  <c r="S74" i="6"/>
  <c r="Q74" i="6"/>
  <c r="O74" i="6"/>
  <c r="M74" i="6"/>
  <c r="K74" i="6"/>
  <c r="I74" i="6"/>
  <c r="L74" i="6"/>
  <c r="P74" i="6"/>
  <c r="T74" i="6"/>
  <c r="L75" i="6"/>
  <c r="P75" i="6"/>
  <c r="T75" i="6"/>
  <c r="S77" i="6"/>
  <c r="Q77" i="6"/>
  <c r="O77" i="6"/>
  <c r="M77" i="6"/>
  <c r="K77" i="6"/>
  <c r="I77" i="6"/>
  <c r="L77" i="6"/>
  <c r="P77" i="6"/>
  <c r="T77" i="6"/>
  <c r="S79" i="6"/>
  <c r="Q79" i="6"/>
  <c r="O79" i="6"/>
  <c r="M79" i="6"/>
  <c r="K79" i="6"/>
  <c r="I79" i="6"/>
  <c r="L79" i="6"/>
  <c r="P79" i="6"/>
  <c r="T79" i="6"/>
  <c r="S81" i="6"/>
  <c r="Q81" i="6"/>
  <c r="O81" i="6"/>
  <c r="M81" i="6"/>
  <c r="K81" i="6"/>
  <c r="I81" i="6"/>
  <c r="P81" i="6"/>
  <c r="T81" i="6"/>
  <c r="S83" i="6"/>
  <c r="Q83" i="6"/>
  <c r="O83" i="6"/>
  <c r="M83" i="6"/>
  <c r="K83" i="6"/>
  <c r="I83" i="6"/>
  <c r="P83" i="6"/>
  <c r="T83" i="6"/>
  <c r="S85" i="6"/>
  <c r="Q85" i="6"/>
  <c r="O85" i="6"/>
  <c r="M85" i="6"/>
  <c r="K85" i="6"/>
  <c r="I85" i="6"/>
  <c r="L85" i="6"/>
  <c r="P85" i="6"/>
  <c r="T85" i="6"/>
  <c r="S87" i="6"/>
  <c r="Q87" i="6"/>
  <c r="O87" i="6"/>
  <c r="M87" i="6"/>
  <c r="K87" i="6"/>
  <c r="I87" i="6"/>
  <c r="L87" i="6"/>
  <c r="P87" i="6"/>
  <c r="T87" i="6"/>
  <c r="L88" i="6"/>
  <c r="P88" i="6"/>
  <c r="T88" i="6"/>
  <c r="S90" i="6"/>
  <c r="Q90" i="6"/>
  <c r="O90" i="6"/>
  <c r="M90" i="6"/>
  <c r="K90" i="6"/>
  <c r="I90" i="6"/>
  <c r="L90" i="6"/>
  <c r="P90" i="6"/>
  <c r="T90" i="6"/>
  <c r="L91" i="6"/>
  <c r="P91" i="6"/>
  <c r="T91" i="6"/>
  <c r="S94" i="6"/>
  <c r="Q94" i="6"/>
  <c r="O94" i="6"/>
  <c r="M94" i="6"/>
  <c r="K94" i="6"/>
  <c r="I94" i="6"/>
  <c r="S95" i="6"/>
  <c r="Q95" i="6"/>
  <c r="O95" i="6"/>
  <c r="M95" i="6"/>
  <c r="K95" i="6"/>
  <c r="I95" i="6"/>
  <c r="L95" i="6"/>
  <c r="P95" i="6"/>
  <c r="T95" i="6"/>
  <c r="L96" i="6"/>
  <c r="P96" i="6"/>
  <c r="T96" i="6"/>
  <c r="L97" i="6"/>
  <c r="L98" i="6"/>
  <c r="P98" i="6"/>
  <c r="T98" i="6"/>
  <c r="S100" i="6"/>
  <c r="Q100" i="6"/>
  <c r="O100" i="6"/>
  <c r="M100" i="6"/>
  <c r="K100" i="6"/>
  <c r="I100" i="6"/>
  <c r="L100" i="6"/>
  <c r="P100" i="6"/>
  <c r="T100" i="6"/>
  <c r="S102" i="6"/>
  <c r="Q102" i="6"/>
  <c r="O102" i="6"/>
  <c r="M102" i="6"/>
  <c r="K102" i="6"/>
  <c r="I102" i="6"/>
  <c r="L102" i="6"/>
  <c r="P102" i="6"/>
  <c r="T102" i="6"/>
  <c r="L103" i="6"/>
  <c r="S104" i="6"/>
  <c r="Q104" i="6"/>
  <c r="O104" i="6"/>
  <c r="M104" i="6"/>
  <c r="K104" i="6"/>
  <c r="I104" i="6"/>
  <c r="L104" i="6"/>
  <c r="P104" i="6"/>
  <c r="T104" i="6"/>
  <c r="S106" i="6"/>
  <c r="Q106" i="6"/>
  <c r="O106" i="6"/>
  <c r="M106" i="6"/>
  <c r="K106" i="6"/>
  <c r="I106" i="6"/>
  <c r="L106" i="6"/>
  <c r="P106" i="6"/>
  <c r="T106" i="6"/>
  <c r="S108" i="6"/>
  <c r="Q108" i="6"/>
  <c r="O108" i="6"/>
  <c r="M108" i="6"/>
  <c r="K108" i="6"/>
  <c r="I108" i="6"/>
  <c r="S109" i="6"/>
  <c r="Q109" i="6"/>
  <c r="O109" i="6"/>
  <c r="M109" i="6"/>
  <c r="K109" i="6"/>
  <c r="I109" i="6"/>
  <c r="L109" i="6"/>
  <c r="P109" i="6"/>
  <c r="T109" i="6"/>
  <c r="S111" i="6"/>
  <c r="Q111" i="6"/>
  <c r="O111" i="6"/>
  <c r="M111" i="6"/>
  <c r="K111" i="6"/>
  <c r="I111" i="6"/>
  <c r="L111" i="6"/>
  <c r="P111" i="6"/>
  <c r="T111" i="6"/>
  <c r="S113" i="6"/>
  <c r="Q113" i="6"/>
  <c r="O113" i="6"/>
  <c r="M113" i="6"/>
  <c r="K113" i="6"/>
  <c r="I113" i="6"/>
  <c r="P113" i="6"/>
  <c r="T113" i="6"/>
  <c r="S115" i="6"/>
  <c r="Q115" i="6"/>
  <c r="O115" i="6"/>
  <c r="M115" i="6"/>
  <c r="K115" i="6"/>
  <c r="I115" i="6"/>
  <c r="S116" i="6"/>
  <c r="Q116" i="6"/>
  <c r="O116" i="6"/>
  <c r="M116" i="6"/>
  <c r="K116" i="6"/>
  <c r="I116" i="6"/>
  <c r="L116" i="6"/>
  <c r="P116" i="6"/>
  <c r="T116" i="6"/>
  <c r="P117" i="6"/>
  <c r="T117" i="6"/>
  <c r="S118" i="6"/>
  <c r="Q118" i="6"/>
  <c r="O118" i="6"/>
  <c r="M118" i="6"/>
  <c r="K118" i="6"/>
  <c r="I118" i="6"/>
  <c r="L118" i="6"/>
  <c r="P118" i="6"/>
  <c r="T118" i="6"/>
  <c r="S120" i="6"/>
  <c r="Q120" i="6"/>
  <c r="O120" i="6"/>
  <c r="M120" i="6"/>
  <c r="K120" i="6"/>
  <c r="I120" i="6"/>
  <c r="S121" i="6"/>
  <c r="Q121" i="6"/>
  <c r="O121" i="6"/>
  <c r="M121" i="6"/>
  <c r="K121" i="6"/>
  <c r="I121" i="6"/>
  <c r="L121" i="6"/>
  <c r="P121" i="6"/>
  <c r="T121" i="6"/>
  <c r="L122" i="6"/>
  <c r="S123" i="6"/>
  <c r="Q123" i="6"/>
  <c r="O123" i="6"/>
  <c r="M123" i="6"/>
  <c r="K123" i="6"/>
  <c r="I123" i="6"/>
  <c r="L123" i="6"/>
  <c r="P123" i="6"/>
  <c r="T123" i="6"/>
  <c r="S125" i="6"/>
  <c r="Q125" i="6"/>
  <c r="O125" i="6"/>
  <c r="M125" i="6"/>
  <c r="K125" i="6"/>
  <c r="I125" i="6"/>
  <c r="P125" i="6"/>
  <c r="T125" i="6"/>
  <c r="S127" i="6"/>
  <c r="Q127" i="6"/>
  <c r="O127" i="6"/>
  <c r="M127" i="6"/>
  <c r="K127" i="6"/>
  <c r="I127" i="6"/>
  <c r="L127" i="6"/>
  <c r="P127" i="6"/>
  <c r="T127" i="6"/>
  <c r="L128" i="6"/>
  <c r="P128" i="6"/>
  <c r="T128" i="6"/>
  <c r="S130" i="6"/>
  <c r="Q130" i="6"/>
  <c r="O130" i="6"/>
  <c r="M130" i="6"/>
  <c r="K130" i="6"/>
  <c r="I130" i="6"/>
  <c r="L130" i="6"/>
  <c r="P130" i="6"/>
  <c r="T130" i="6"/>
  <c r="S132" i="6"/>
  <c r="Q132" i="6"/>
  <c r="O132" i="6"/>
  <c r="M132" i="6"/>
  <c r="K132" i="6"/>
  <c r="I132" i="6"/>
  <c r="L132" i="6"/>
  <c r="P132" i="6"/>
  <c r="T132" i="6"/>
  <c r="L133" i="6"/>
  <c r="P133" i="6"/>
  <c r="T133" i="6"/>
  <c r="S135" i="6"/>
  <c r="Q135" i="6"/>
  <c r="O135" i="6"/>
  <c r="M135" i="6"/>
  <c r="K135" i="6"/>
  <c r="I135" i="6"/>
  <c r="L135" i="6"/>
  <c r="P135" i="6"/>
  <c r="T135" i="6"/>
  <c r="S137" i="6"/>
  <c r="Q137" i="6"/>
  <c r="O137" i="6"/>
  <c r="M137" i="6"/>
  <c r="K137" i="6"/>
  <c r="I137" i="6"/>
  <c r="P137" i="6"/>
  <c r="T137" i="6"/>
  <c r="S139" i="6"/>
  <c r="Q139" i="6"/>
  <c r="O139" i="6"/>
  <c r="M139" i="6"/>
  <c r="K139" i="6"/>
  <c r="I139" i="6"/>
  <c r="S140" i="6"/>
  <c r="Q140" i="6"/>
  <c r="O140" i="6"/>
  <c r="M140" i="6"/>
  <c r="K140" i="6"/>
  <c r="I140" i="6"/>
  <c r="L140" i="6"/>
  <c r="P140" i="6"/>
  <c r="T140" i="6"/>
  <c r="L141" i="6"/>
  <c r="P141" i="6"/>
  <c r="T141" i="6"/>
  <c r="S143" i="6"/>
  <c r="Q143" i="6"/>
  <c r="O143" i="6"/>
  <c r="M143" i="6"/>
  <c r="K143" i="6"/>
  <c r="I143" i="6"/>
  <c r="S144" i="6"/>
  <c r="Q144" i="6"/>
  <c r="O144" i="6"/>
  <c r="M144" i="6"/>
  <c r="K144" i="6"/>
  <c r="I144" i="6"/>
  <c r="S145" i="6"/>
  <c r="Q145" i="6"/>
  <c r="O145" i="6"/>
  <c r="M145" i="6"/>
  <c r="K145" i="6"/>
  <c r="I145" i="6"/>
  <c r="S146" i="6"/>
  <c r="Q146" i="6"/>
  <c r="O146" i="6"/>
  <c r="M146" i="6"/>
  <c r="K146" i="6"/>
  <c r="I146" i="6"/>
  <c r="L146" i="6"/>
  <c r="P146" i="6"/>
  <c r="T146" i="6"/>
  <c r="S148" i="6"/>
  <c r="Q148" i="6"/>
  <c r="O148" i="6"/>
  <c r="M148" i="6"/>
  <c r="K148" i="6"/>
  <c r="I148" i="6"/>
  <c r="P148" i="6"/>
  <c r="T148" i="6"/>
  <c r="S150" i="6"/>
  <c r="Q150" i="6"/>
  <c r="O150" i="6"/>
  <c r="M150" i="6"/>
  <c r="K150" i="6"/>
  <c r="I150" i="6"/>
  <c r="S151" i="6"/>
  <c r="Q151" i="6"/>
  <c r="O151" i="6"/>
  <c r="M151" i="6"/>
  <c r="K151" i="6"/>
  <c r="I151" i="6"/>
  <c r="L151" i="6"/>
  <c r="P151" i="6"/>
  <c r="T151" i="6"/>
  <c r="L152" i="6"/>
  <c r="S153" i="6"/>
  <c r="Q153" i="6"/>
  <c r="O153" i="6"/>
  <c r="M153" i="6"/>
  <c r="K153" i="6"/>
  <c r="I153" i="6"/>
  <c r="S154" i="6"/>
  <c r="Q154" i="6"/>
  <c r="O154" i="6"/>
  <c r="M154" i="6"/>
  <c r="K154" i="6"/>
  <c r="I154" i="6"/>
  <c r="P154" i="6"/>
  <c r="T154" i="6"/>
  <c r="S156" i="6"/>
  <c r="Q156" i="6"/>
  <c r="O156" i="6"/>
  <c r="M156" i="6"/>
  <c r="K156" i="6"/>
  <c r="I156" i="6"/>
  <c r="L156" i="6"/>
  <c r="P156" i="6"/>
  <c r="T156" i="6"/>
  <c r="L157" i="6"/>
  <c r="S158" i="6"/>
  <c r="Q158" i="6"/>
  <c r="O158" i="6"/>
  <c r="M158" i="6"/>
  <c r="K158" i="6"/>
  <c r="I158" i="6"/>
  <c r="L158" i="6"/>
  <c r="P158" i="6"/>
  <c r="T158" i="6"/>
  <c r="S160" i="6"/>
  <c r="Q160" i="6"/>
  <c r="O160" i="6"/>
  <c r="M160" i="6"/>
  <c r="K160" i="6"/>
  <c r="I160" i="6"/>
  <c r="P160" i="6"/>
  <c r="T160" i="6"/>
  <c r="S162" i="6"/>
  <c r="Q162" i="6"/>
  <c r="O162" i="6"/>
  <c r="M162" i="6"/>
  <c r="K162" i="6"/>
  <c r="I162" i="6"/>
  <c r="S163" i="6"/>
  <c r="Q163" i="6"/>
  <c r="O163" i="6"/>
  <c r="M163" i="6"/>
  <c r="K163" i="6"/>
  <c r="I163" i="6"/>
  <c r="L163" i="6"/>
  <c r="P163" i="6"/>
  <c r="T163" i="6"/>
  <c r="S165" i="6"/>
  <c r="Q165" i="6"/>
  <c r="O165" i="6"/>
  <c r="M165" i="6"/>
  <c r="K165" i="6"/>
  <c r="I165" i="6"/>
  <c r="L165" i="6"/>
  <c r="P165" i="6"/>
  <c r="T165" i="6"/>
  <c r="S167" i="6"/>
  <c r="Q167" i="6"/>
  <c r="O167" i="6"/>
  <c r="M167" i="6"/>
  <c r="K167" i="6"/>
  <c r="I167" i="6"/>
  <c r="S168" i="6"/>
  <c r="Q168" i="6"/>
  <c r="O168" i="6"/>
  <c r="M168" i="6"/>
  <c r="K168" i="6"/>
  <c r="I168" i="6"/>
  <c r="L168" i="6"/>
  <c r="P168" i="6"/>
  <c r="T168" i="6"/>
  <c r="S170" i="6"/>
  <c r="Q170" i="6"/>
  <c r="O170" i="6"/>
  <c r="M170" i="6"/>
  <c r="K170" i="6"/>
  <c r="I170" i="6"/>
  <c r="L170" i="6"/>
  <c r="P170" i="6"/>
  <c r="T170" i="6"/>
  <c r="P171" i="6"/>
  <c r="T171" i="6"/>
  <c r="S173" i="6"/>
  <c r="Q173" i="6"/>
  <c r="O173" i="6"/>
  <c r="M173" i="6"/>
  <c r="K173" i="6"/>
  <c r="I173" i="6"/>
  <c r="L173" i="6"/>
  <c r="P173" i="6"/>
  <c r="T173" i="6"/>
  <c r="S175" i="6"/>
  <c r="Q175" i="6"/>
  <c r="O175" i="6"/>
  <c r="M175" i="6"/>
  <c r="K175" i="6"/>
  <c r="I175" i="6"/>
  <c r="L175" i="6"/>
  <c r="P175" i="6"/>
  <c r="T175" i="6"/>
  <c r="L176" i="6"/>
  <c r="P176" i="6"/>
  <c r="T176" i="6"/>
  <c r="L177" i="6"/>
  <c r="S178" i="6"/>
  <c r="Q178" i="6"/>
  <c r="O178" i="6"/>
  <c r="M178" i="6"/>
  <c r="K178" i="6"/>
  <c r="I178" i="6"/>
  <c r="S179" i="6"/>
  <c r="Q179" i="6"/>
  <c r="O179" i="6"/>
  <c r="M179" i="6"/>
  <c r="K179" i="6"/>
  <c r="I179" i="6"/>
  <c r="L179" i="6"/>
  <c r="P179" i="6"/>
  <c r="T179" i="6"/>
  <c r="S181" i="6"/>
  <c r="Q181" i="6"/>
  <c r="O181" i="6"/>
  <c r="M181" i="6"/>
  <c r="K181" i="6"/>
  <c r="I181" i="6"/>
  <c r="S182" i="6"/>
  <c r="Q182" i="6"/>
  <c r="O182" i="6"/>
  <c r="M182" i="6"/>
  <c r="K182" i="6"/>
  <c r="I182" i="6"/>
  <c r="L182" i="6"/>
  <c r="P182" i="6"/>
  <c r="T182" i="6"/>
  <c r="S184" i="6"/>
  <c r="Q184" i="6"/>
  <c r="O184" i="6"/>
  <c r="M184" i="6"/>
  <c r="K184" i="6"/>
  <c r="I184" i="6"/>
  <c r="L184" i="6"/>
  <c r="P184" i="6"/>
  <c r="T184" i="6"/>
  <c r="L185" i="6"/>
  <c r="T185" i="6"/>
  <c r="S186" i="6"/>
  <c r="Q186" i="6"/>
  <c r="O186" i="6"/>
  <c r="M186" i="6"/>
  <c r="K186" i="6"/>
  <c r="I186" i="6"/>
  <c r="L186" i="6"/>
  <c r="P186" i="6"/>
  <c r="T186" i="6"/>
  <c r="L187" i="6"/>
  <c r="S189" i="6"/>
  <c r="Q189" i="6"/>
  <c r="O189" i="6"/>
  <c r="M189" i="6"/>
  <c r="K189" i="6"/>
  <c r="I189" i="6"/>
  <c r="S190" i="6"/>
  <c r="Q190" i="6"/>
  <c r="O190" i="6"/>
  <c r="M190" i="6"/>
  <c r="K190" i="6"/>
  <c r="I190" i="6"/>
  <c r="P190" i="6"/>
  <c r="T190" i="6"/>
  <c r="S191" i="6"/>
  <c r="Q191" i="6"/>
  <c r="O191" i="6"/>
  <c r="M191" i="6"/>
  <c r="K191" i="6"/>
  <c r="I191" i="6"/>
  <c r="L191" i="6"/>
  <c r="P191" i="6"/>
  <c r="T191" i="6"/>
  <c r="S192" i="6"/>
  <c r="Q192" i="6"/>
  <c r="O192" i="6"/>
  <c r="M192" i="6"/>
  <c r="K192" i="6"/>
  <c r="I192" i="6"/>
  <c r="L192" i="6"/>
  <c r="P192" i="6"/>
  <c r="S193" i="6"/>
  <c r="Q193" i="6"/>
  <c r="O193" i="6"/>
  <c r="M193" i="6"/>
  <c r="K193" i="6"/>
  <c r="I193" i="6"/>
  <c r="L193" i="6"/>
  <c r="P193" i="6"/>
  <c r="T193" i="6"/>
  <c r="S194" i="6"/>
  <c r="Q194" i="6"/>
  <c r="O194" i="6"/>
  <c r="M194" i="6"/>
  <c r="K194" i="6"/>
  <c r="I194" i="6"/>
  <c r="L194" i="6"/>
  <c r="P194" i="6"/>
  <c r="T194" i="6"/>
  <c r="S195" i="6"/>
  <c r="Q195" i="6"/>
  <c r="O195" i="6"/>
  <c r="M195" i="6"/>
  <c r="K195" i="6"/>
  <c r="I195" i="6"/>
  <c r="L195" i="6"/>
  <c r="P195" i="6"/>
  <c r="T195" i="6"/>
  <c r="S196" i="6"/>
  <c r="Q196" i="6"/>
  <c r="O196" i="6"/>
  <c r="M196" i="6"/>
  <c r="K196" i="6"/>
  <c r="I196" i="6"/>
  <c r="L196" i="6"/>
  <c r="P196" i="6"/>
  <c r="T196" i="6"/>
  <c r="S197" i="6"/>
  <c r="Q197" i="6"/>
  <c r="O197" i="6"/>
  <c r="M197" i="6"/>
  <c r="K197" i="6"/>
  <c r="I197" i="6"/>
  <c r="L197" i="6"/>
  <c r="P197" i="6"/>
  <c r="T197" i="6"/>
  <c r="S198" i="6"/>
  <c r="Q198" i="6"/>
  <c r="O198" i="6"/>
  <c r="M198" i="6"/>
  <c r="K198" i="6"/>
  <c r="I198" i="6"/>
  <c r="L198" i="6"/>
  <c r="P198" i="6"/>
  <c r="T198" i="6"/>
  <c r="S199" i="6"/>
  <c r="Q199" i="6"/>
  <c r="O199" i="6"/>
  <c r="M199" i="6"/>
  <c r="K199" i="6"/>
  <c r="I199" i="6"/>
  <c r="L199" i="6"/>
  <c r="P199" i="6"/>
  <c r="T199" i="6"/>
  <c r="S200" i="6"/>
  <c r="Q200" i="6"/>
  <c r="O200" i="6"/>
  <c r="M200" i="6"/>
  <c r="K200" i="6"/>
  <c r="I200" i="6"/>
  <c r="L200" i="6"/>
  <c r="T200" i="6"/>
  <c r="S201" i="6"/>
  <c r="Q201" i="6"/>
  <c r="O201" i="6"/>
  <c r="M201" i="6"/>
  <c r="K201" i="6"/>
  <c r="I201" i="6"/>
  <c r="L201" i="6"/>
  <c r="P201" i="6"/>
  <c r="T201" i="6"/>
  <c r="S202" i="6"/>
  <c r="Q202" i="6"/>
  <c r="O202" i="6"/>
  <c r="M202" i="6"/>
  <c r="K202" i="6"/>
  <c r="I202" i="6"/>
  <c r="L202" i="6"/>
  <c r="P202" i="6"/>
  <c r="T202" i="6"/>
  <c r="S203" i="6"/>
  <c r="Q203" i="6"/>
  <c r="O203" i="6"/>
  <c r="M203" i="6"/>
  <c r="K203" i="6"/>
  <c r="I203" i="6"/>
  <c r="L203" i="6"/>
  <c r="P203" i="6"/>
  <c r="T203" i="6"/>
  <c r="S204" i="6"/>
  <c r="Q204" i="6"/>
  <c r="O204" i="6"/>
  <c r="M204" i="6"/>
  <c r="K204" i="6"/>
  <c r="I204" i="6"/>
  <c r="L204" i="6"/>
  <c r="P204" i="6"/>
  <c r="T204" i="6"/>
  <c r="S205" i="6"/>
  <c r="Q205" i="6"/>
  <c r="O205" i="6"/>
  <c r="M205" i="6"/>
  <c r="K205" i="6"/>
  <c r="I205" i="6"/>
  <c r="L205" i="6"/>
  <c r="P205" i="6"/>
  <c r="T205" i="6"/>
  <c r="S206" i="6"/>
  <c r="Q206" i="6"/>
  <c r="O206" i="6"/>
  <c r="M206" i="6"/>
  <c r="K206" i="6"/>
  <c r="I206" i="6"/>
  <c r="L206" i="6"/>
  <c r="P206" i="6"/>
  <c r="T206" i="6"/>
  <c r="S207" i="6"/>
  <c r="Q207" i="6"/>
  <c r="O207" i="6"/>
  <c r="M207" i="6"/>
  <c r="K207" i="6"/>
  <c r="I207" i="6"/>
  <c r="L207" i="6"/>
  <c r="P207" i="6"/>
  <c r="T207" i="6"/>
  <c r="S208" i="6"/>
  <c r="Q208" i="6"/>
  <c r="O208" i="6"/>
  <c r="M208" i="6"/>
  <c r="K208" i="6"/>
  <c r="I208" i="6"/>
  <c r="L208" i="6"/>
  <c r="P208" i="6"/>
  <c r="T208" i="6"/>
  <c r="S209" i="6"/>
  <c r="Q209" i="6"/>
  <c r="O209" i="6"/>
  <c r="M209" i="6"/>
  <c r="K209" i="6"/>
  <c r="I209" i="6"/>
  <c r="L209" i="6"/>
  <c r="P209" i="6"/>
  <c r="T209" i="6"/>
  <c r="S210" i="6"/>
  <c r="Q210" i="6"/>
  <c r="O210" i="6"/>
  <c r="M210" i="6"/>
  <c r="K210" i="6"/>
  <c r="I210" i="6"/>
  <c r="L210" i="6"/>
  <c r="P210" i="6"/>
  <c r="T210" i="6"/>
  <c r="S211" i="6"/>
  <c r="Q211" i="6"/>
  <c r="O211" i="6"/>
  <c r="M211" i="6"/>
  <c r="K211" i="6"/>
  <c r="I211" i="6"/>
  <c r="L211" i="6"/>
  <c r="P211" i="6"/>
  <c r="T211" i="6"/>
  <c r="S212" i="6"/>
  <c r="Q212" i="6"/>
  <c r="O212" i="6"/>
  <c r="M212" i="6"/>
  <c r="K212" i="6"/>
  <c r="I212" i="6"/>
  <c r="L212" i="6"/>
  <c r="P212" i="6"/>
  <c r="T212" i="6"/>
  <c r="S213" i="6"/>
  <c r="Q213" i="6"/>
  <c r="O213" i="6"/>
  <c r="M213" i="6"/>
  <c r="K213" i="6"/>
  <c r="I213" i="6"/>
  <c r="L213" i="6"/>
  <c r="P213" i="6"/>
  <c r="T213" i="6"/>
  <c r="S214" i="6"/>
  <c r="Q214" i="6"/>
  <c r="O214" i="6"/>
  <c r="M214" i="6"/>
  <c r="K214" i="6"/>
  <c r="I214" i="6"/>
  <c r="L214" i="6"/>
  <c r="P214" i="6"/>
  <c r="T214" i="6"/>
  <c r="S215" i="6"/>
  <c r="Q215" i="6"/>
  <c r="O215" i="6"/>
  <c r="M215" i="6"/>
  <c r="K215" i="6"/>
  <c r="I215" i="6"/>
  <c r="L215" i="6"/>
  <c r="P215" i="6"/>
  <c r="T215" i="6"/>
  <c r="S216" i="6"/>
  <c r="Q216" i="6"/>
  <c r="O216" i="6"/>
  <c r="M216" i="6"/>
  <c r="K216" i="6"/>
  <c r="I216" i="6"/>
  <c r="L216" i="6"/>
  <c r="P216" i="6"/>
  <c r="T216" i="6"/>
  <c r="S217" i="6"/>
  <c r="Q217" i="6"/>
  <c r="O217" i="6"/>
  <c r="M217" i="6"/>
  <c r="K217" i="6"/>
  <c r="I217" i="6"/>
  <c r="L217" i="6"/>
  <c r="P217" i="6"/>
  <c r="T217" i="6"/>
  <c r="S218" i="6"/>
  <c r="Q218" i="6"/>
  <c r="O218" i="6"/>
  <c r="M218" i="6"/>
  <c r="K218" i="6"/>
  <c r="I218" i="6"/>
  <c r="L218" i="6"/>
  <c r="P218" i="6"/>
  <c r="T218" i="6"/>
  <c r="S219" i="6"/>
  <c r="Q219" i="6"/>
  <c r="O219" i="6"/>
  <c r="M219" i="6"/>
  <c r="K219" i="6"/>
  <c r="I219" i="6"/>
  <c r="L219" i="6"/>
  <c r="P219" i="6"/>
  <c r="T219" i="6"/>
  <c r="S220" i="6"/>
  <c r="Q220" i="6"/>
  <c r="O220" i="6"/>
  <c r="M220" i="6"/>
  <c r="K220" i="6"/>
  <c r="I220" i="6"/>
  <c r="L220" i="6"/>
  <c r="P220" i="6"/>
  <c r="T220" i="6"/>
  <c r="S221" i="6"/>
  <c r="Q221" i="6"/>
  <c r="O221" i="6"/>
  <c r="M221" i="6"/>
  <c r="K221" i="6"/>
  <c r="I221" i="6"/>
  <c r="L221" i="6"/>
  <c r="P221" i="6"/>
  <c r="T221" i="6"/>
  <c r="S222" i="6"/>
  <c r="Q222" i="6"/>
  <c r="O222" i="6"/>
  <c r="M222" i="6"/>
  <c r="K222" i="6"/>
  <c r="I222" i="6"/>
  <c r="L222" i="6"/>
  <c r="P222" i="6"/>
  <c r="T222" i="6"/>
  <c r="S223" i="6"/>
  <c r="Q223" i="6"/>
  <c r="O223" i="6"/>
  <c r="M223" i="6"/>
  <c r="K223" i="6"/>
  <c r="I223" i="6"/>
  <c r="L223" i="6"/>
  <c r="P223" i="6"/>
  <c r="T223" i="6"/>
  <c r="S224" i="6"/>
  <c r="Q224" i="6"/>
  <c r="O224" i="6"/>
  <c r="M224" i="6"/>
  <c r="K224" i="6"/>
  <c r="I224" i="6"/>
  <c r="L224" i="6"/>
  <c r="P224" i="6"/>
  <c r="T224" i="6"/>
  <c r="S225" i="6"/>
  <c r="Q225" i="6"/>
  <c r="O225" i="6"/>
  <c r="M225" i="6"/>
  <c r="K225" i="6"/>
  <c r="I225" i="6"/>
  <c r="L225" i="6"/>
  <c r="P225" i="6"/>
  <c r="T225" i="6"/>
  <c r="S226" i="6"/>
  <c r="Q226" i="6"/>
  <c r="O226" i="6"/>
  <c r="M226" i="6"/>
  <c r="K226" i="6"/>
  <c r="I226" i="6"/>
  <c r="L226" i="6"/>
  <c r="P226" i="6"/>
  <c r="T226" i="6"/>
  <c r="S227" i="6"/>
  <c r="Q227" i="6"/>
  <c r="O227" i="6"/>
  <c r="M227" i="6"/>
  <c r="K227" i="6"/>
  <c r="I227" i="6"/>
  <c r="L227" i="6"/>
  <c r="P227" i="6"/>
  <c r="T227" i="6"/>
  <c r="S228" i="6"/>
  <c r="Q228" i="6"/>
  <c r="O228" i="6"/>
  <c r="M228" i="6"/>
  <c r="K228" i="6"/>
  <c r="I228" i="6"/>
  <c r="L228" i="6"/>
  <c r="P228" i="6"/>
  <c r="T228" i="6"/>
  <c r="S229" i="6"/>
  <c r="Q229" i="6"/>
  <c r="O229" i="6"/>
  <c r="M229" i="6"/>
  <c r="K229" i="6"/>
  <c r="I229" i="6"/>
  <c r="L229" i="6"/>
  <c r="P229" i="6"/>
  <c r="T229" i="6"/>
  <c r="S230" i="6"/>
  <c r="Q230" i="6"/>
  <c r="O230" i="6"/>
  <c r="M230" i="6"/>
  <c r="K230" i="6"/>
  <c r="I230" i="6"/>
  <c r="L230" i="6"/>
  <c r="P230" i="6"/>
  <c r="T230" i="6"/>
  <c r="S231" i="6"/>
  <c r="Q231" i="6"/>
  <c r="O231" i="6"/>
  <c r="M231" i="6"/>
  <c r="K231" i="6"/>
  <c r="I231" i="6"/>
  <c r="L231" i="6"/>
  <c r="P231" i="6"/>
  <c r="T231" i="6"/>
  <c r="S232" i="6"/>
  <c r="Q232" i="6"/>
  <c r="O232" i="6"/>
  <c r="M232" i="6"/>
  <c r="K232" i="6"/>
  <c r="I232" i="6"/>
  <c r="L232" i="6"/>
  <c r="P232" i="6"/>
  <c r="T232" i="6"/>
  <c r="S233" i="6"/>
  <c r="Q233" i="6"/>
  <c r="O233" i="6"/>
  <c r="M233" i="6"/>
  <c r="K233" i="6"/>
  <c r="I233" i="6"/>
  <c r="L233" i="6"/>
  <c r="P233" i="6"/>
  <c r="T233" i="6"/>
  <c r="S234" i="6"/>
  <c r="Q234" i="6"/>
  <c r="O234" i="6"/>
  <c r="M234" i="6"/>
  <c r="K234" i="6"/>
  <c r="I234" i="6"/>
  <c r="L234" i="6"/>
  <c r="P234" i="6"/>
  <c r="T234" i="6"/>
  <c r="S235" i="6"/>
  <c r="Q235" i="6"/>
  <c r="O235" i="6"/>
  <c r="M235" i="6"/>
  <c r="K235" i="6"/>
  <c r="I235" i="6"/>
  <c r="L235" i="6"/>
  <c r="P235" i="6"/>
  <c r="T235" i="6"/>
  <c r="S236" i="6"/>
  <c r="Q236" i="6"/>
  <c r="O236" i="6"/>
  <c r="M236" i="6"/>
  <c r="K236" i="6"/>
  <c r="I236" i="6"/>
  <c r="L236" i="6"/>
  <c r="P236" i="6"/>
  <c r="T236" i="6"/>
  <c r="S237" i="6"/>
  <c r="Q237" i="6"/>
  <c r="O237" i="6"/>
  <c r="M237" i="6"/>
  <c r="K237" i="6"/>
  <c r="I237" i="6"/>
  <c r="L237" i="6"/>
  <c r="P237" i="6"/>
  <c r="T237" i="6"/>
  <c r="S238" i="6"/>
  <c r="Q238" i="6"/>
  <c r="O238" i="6"/>
  <c r="M238" i="6"/>
  <c r="K238" i="6"/>
  <c r="I238" i="6"/>
  <c r="L238" i="6"/>
  <c r="P238" i="6"/>
  <c r="T238" i="6"/>
  <c r="S239" i="6"/>
  <c r="Q239" i="6"/>
  <c r="O239" i="6"/>
  <c r="M239" i="6"/>
  <c r="K239" i="6"/>
  <c r="I239" i="6"/>
  <c r="L239" i="6"/>
  <c r="P239" i="6"/>
  <c r="T239" i="6"/>
  <c r="S240" i="6"/>
  <c r="Q240" i="6"/>
  <c r="O240" i="6"/>
  <c r="M240" i="6"/>
  <c r="K240" i="6"/>
  <c r="I240" i="6"/>
  <c r="L240" i="6"/>
  <c r="P240" i="6"/>
  <c r="T240" i="6"/>
  <c r="S241" i="6"/>
  <c r="Q241" i="6"/>
  <c r="O241" i="6"/>
  <c r="M241" i="6"/>
  <c r="K241" i="6"/>
  <c r="I241" i="6"/>
  <c r="L241" i="6"/>
  <c r="P241" i="6"/>
  <c r="T241" i="6"/>
  <c r="S242" i="6"/>
  <c r="Q242" i="6"/>
  <c r="O242" i="6"/>
  <c r="M242" i="6"/>
  <c r="K242" i="6"/>
  <c r="I242" i="6"/>
  <c r="L242" i="6"/>
  <c r="P242" i="6"/>
  <c r="T242" i="6"/>
  <c r="S243" i="6"/>
  <c r="Q243" i="6"/>
  <c r="O243" i="6"/>
  <c r="M243" i="6"/>
  <c r="K243" i="6"/>
  <c r="I243" i="6"/>
  <c r="L243" i="6"/>
  <c r="P243" i="6"/>
  <c r="T243" i="6"/>
  <c r="S244" i="6"/>
  <c r="Q244" i="6"/>
  <c r="O244" i="6"/>
  <c r="M244" i="6"/>
  <c r="K244" i="6"/>
  <c r="I244" i="6"/>
  <c r="L244" i="6"/>
  <c r="P244" i="6"/>
  <c r="T244" i="6"/>
  <c r="S245" i="6"/>
  <c r="Q245" i="6"/>
  <c r="O245" i="6"/>
  <c r="M245" i="6"/>
  <c r="K245" i="6"/>
  <c r="I245" i="6"/>
  <c r="L245" i="6"/>
  <c r="P245" i="6"/>
  <c r="T245" i="6"/>
  <c r="S246" i="6"/>
  <c r="Q246" i="6"/>
  <c r="O246" i="6"/>
  <c r="M246" i="6"/>
  <c r="K246" i="6"/>
  <c r="I246" i="6"/>
  <c r="L246" i="6"/>
  <c r="P246" i="6"/>
  <c r="T246" i="6"/>
  <c r="S247" i="6"/>
  <c r="Q247" i="6"/>
  <c r="O247" i="6"/>
  <c r="M247" i="6"/>
  <c r="K247" i="6"/>
  <c r="I247" i="6"/>
  <c r="L247" i="6"/>
  <c r="P247" i="6"/>
  <c r="T247" i="6"/>
  <c r="S248" i="6"/>
  <c r="Q248" i="6"/>
  <c r="O248" i="6"/>
  <c r="M248" i="6"/>
  <c r="K248" i="6"/>
  <c r="I248" i="6"/>
  <c r="L248" i="6"/>
  <c r="P248" i="6"/>
  <c r="T248" i="6"/>
  <c r="S249" i="6"/>
  <c r="Q249" i="6"/>
  <c r="O249" i="6"/>
  <c r="M249" i="6"/>
  <c r="K249" i="6"/>
  <c r="I249" i="6"/>
  <c r="L249" i="6"/>
  <c r="P249" i="6"/>
  <c r="T249" i="6"/>
  <c r="S250" i="6"/>
  <c r="Q250" i="6"/>
  <c r="O250" i="6"/>
  <c r="M250" i="6"/>
  <c r="K250" i="6"/>
  <c r="I250" i="6"/>
  <c r="L250" i="6"/>
  <c r="P250" i="6"/>
  <c r="T250" i="6"/>
  <c r="S251" i="6"/>
  <c r="Q251" i="6"/>
  <c r="O251" i="6"/>
  <c r="M251" i="6"/>
  <c r="K251" i="6"/>
  <c r="I251" i="6"/>
  <c r="L251" i="6"/>
  <c r="P251" i="6"/>
  <c r="T251" i="6"/>
  <c r="S252" i="6"/>
  <c r="Q252" i="6"/>
  <c r="O252" i="6"/>
  <c r="M252" i="6"/>
  <c r="K252" i="6"/>
  <c r="I252" i="6"/>
  <c r="L252" i="6"/>
  <c r="P252" i="6"/>
  <c r="T252" i="6"/>
  <c r="S253" i="6"/>
  <c r="Q253" i="6"/>
  <c r="O253" i="6"/>
  <c r="M253" i="6"/>
  <c r="K253" i="6"/>
  <c r="I253" i="6"/>
  <c r="L253" i="6"/>
  <c r="P253" i="6"/>
  <c r="T253" i="6"/>
  <c r="S254" i="6"/>
  <c r="Q254" i="6"/>
  <c r="O254" i="6"/>
  <c r="M254" i="6"/>
  <c r="K254" i="6"/>
  <c r="I254" i="6"/>
  <c r="L254" i="6"/>
  <c r="P254" i="6"/>
  <c r="T254" i="6"/>
  <c r="S255" i="6"/>
  <c r="Q255" i="6"/>
  <c r="O255" i="6"/>
  <c r="M255" i="6"/>
  <c r="K255" i="6"/>
  <c r="I255" i="6"/>
  <c r="L255" i="6"/>
  <c r="P255" i="6"/>
  <c r="T255" i="6"/>
  <c r="S256" i="6"/>
  <c r="Q256" i="6"/>
  <c r="O256" i="6"/>
  <c r="M256" i="6"/>
  <c r="K256" i="6"/>
  <c r="I256" i="6"/>
  <c r="L256" i="6"/>
  <c r="T256" i="6"/>
  <c r="S257" i="6"/>
  <c r="Q257" i="6"/>
  <c r="O257" i="6"/>
  <c r="M257" i="6"/>
  <c r="K257" i="6"/>
  <c r="I257" i="6"/>
  <c r="L257" i="6"/>
  <c r="P257" i="6"/>
  <c r="T257" i="6"/>
  <c r="S258" i="6"/>
  <c r="Q258" i="6"/>
  <c r="O258" i="6"/>
  <c r="M258" i="6"/>
  <c r="K258" i="6"/>
  <c r="I258" i="6"/>
  <c r="L258" i="6"/>
  <c r="P258" i="6"/>
  <c r="T258" i="6"/>
  <c r="S259" i="6"/>
  <c r="Q259" i="6"/>
  <c r="O259" i="6"/>
  <c r="M259" i="6"/>
  <c r="K259" i="6"/>
  <c r="I259" i="6"/>
  <c r="L259" i="6"/>
  <c r="P259" i="6"/>
  <c r="T259" i="6"/>
  <c r="S260" i="6"/>
  <c r="Q260" i="6"/>
  <c r="O260" i="6"/>
  <c r="M260" i="6"/>
  <c r="K260" i="6"/>
  <c r="I260" i="6"/>
  <c r="L260" i="6"/>
  <c r="P260" i="6"/>
  <c r="T260" i="6"/>
  <c r="S261" i="6"/>
  <c r="Q261" i="6"/>
  <c r="O261" i="6"/>
  <c r="M261" i="6"/>
  <c r="K261" i="6"/>
  <c r="I261" i="6"/>
  <c r="L261" i="6"/>
  <c r="P261" i="6"/>
  <c r="T261" i="6"/>
  <c r="S262" i="6"/>
  <c r="Q262" i="6"/>
  <c r="O262" i="6"/>
  <c r="M262" i="6"/>
  <c r="K262" i="6"/>
  <c r="I262" i="6"/>
  <c r="L262" i="6"/>
  <c r="P262" i="6"/>
  <c r="T262" i="6"/>
  <c r="S263" i="6"/>
  <c r="Q263" i="6"/>
  <c r="O263" i="6"/>
  <c r="M263" i="6"/>
  <c r="K263" i="6"/>
  <c r="I263" i="6"/>
  <c r="L263" i="6"/>
  <c r="P263" i="6"/>
  <c r="T263" i="6"/>
  <c r="S264" i="6"/>
  <c r="Q264" i="6"/>
  <c r="O264" i="6"/>
  <c r="M264" i="6"/>
  <c r="K264" i="6"/>
  <c r="I264" i="6"/>
  <c r="L264" i="6"/>
  <c r="P264" i="6"/>
  <c r="T264" i="6"/>
  <c r="S265" i="6"/>
  <c r="Q265" i="6"/>
  <c r="O265" i="6"/>
  <c r="M265" i="6"/>
  <c r="K265" i="6"/>
  <c r="I265" i="6"/>
  <c r="L265" i="6"/>
  <c r="P265" i="6"/>
  <c r="T265" i="6"/>
  <c r="S266" i="6"/>
  <c r="Q266" i="6"/>
  <c r="O266" i="6"/>
  <c r="M266" i="6"/>
  <c r="K266" i="6"/>
  <c r="I266" i="6"/>
  <c r="L266" i="6"/>
  <c r="P266" i="6"/>
  <c r="T266" i="6"/>
  <c r="S267" i="6"/>
  <c r="Q267" i="6"/>
  <c r="O267" i="6"/>
  <c r="M267" i="6"/>
  <c r="K267" i="6"/>
  <c r="I267" i="6"/>
  <c r="L267" i="6"/>
  <c r="P267" i="6"/>
  <c r="T267" i="6"/>
  <c r="S268" i="6"/>
  <c r="Q268" i="6"/>
  <c r="O268" i="6"/>
  <c r="M268" i="6"/>
  <c r="K268" i="6"/>
  <c r="I268" i="6"/>
  <c r="L268" i="6"/>
  <c r="P268" i="6"/>
  <c r="T268" i="6"/>
  <c r="S269" i="6"/>
  <c r="Q269" i="6"/>
  <c r="O269" i="6"/>
  <c r="M269" i="6"/>
  <c r="K269" i="6"/>
  <c r="I269" i="6"/>
  <c r="L269" i="6"/>
  <c r="P269" i="6"/>
  <c r="T269" i="6"/>
  <c r="S270" i="6"/>
  <c r="Q270" i="6"/>
  <c r="O270" i="6"/>
  <c r="M270" i="6"/>
  <c r="K270" i="6"/>
  <c r="I270" i="6"/>
  <c r="L270" i="6"/>
  <c r="P270" i="6"/>
  <c r="T270" i="6"/>
  <c r="S271" i="6"/>
  <c r="Q271" i="6"/>
  <c r="O271" i="6"/>
  <c r="M271" i="6"/>
  <c r="K271" i="6"/>
  <c r="I271" i="6"/>
  <c r="L271" i="6"/>
  <c r="P271" i="6"/>
  <c r="T271" i="6"/>
  <c r="S272" i="6"/>
  <c r="Q272" i="6"/>
  <c r="O272" i="6"/>
  <c r="M272" i="6"/>
  <c r="K272" i="6"/>
  <c r="I272" i="6"/>
  <c r="L272" i="6"/>
  <c r="P272" i="6"/>
  <c r="T272" i="6"/>
  <c r="S273" i="6"/>
  <c r="Q273" i="6"/>
  <c r="O273" i="6"/>
  <c r="M273" i="6"/>
  <c r="K273" i="6"/>
  <c r="I273" i="6"/>
  <c r="L273" i="6"/>
  <c r="P273" i="6"/>
  <c r="T273" i="6"/>
  <c r="S274" i="6"/>
  <c r="Q274" i="6"/>
  <c r="O274" i="6"/>
  <c r="M274" i="6"/>
  <c r="K274" i="6"/>
  <c r="I274" i="6"/>
  <c r="L274" i="6"/>
  <c r="P274" i="6"/>
  <c r="T274" i="6"/>
  <c r="S275" i="6"/>
  <c r="Q275" i="6"/>
  <c r="O275" i="6"/>
  <c r="M275" i="6"/>
  <c r="K275" i="6"/>
  <c r="I275" i="6"/>
  <c r="L275" i="6"/>
  <c r="P275" i="6"/>
  <c r="T275" i="6"/>
  <c r="S276" i="6"/>
  <c r="Q276" i="6"/>
  <c r="O276" i="6"/>
  <c r="M276" i="6"/>
  <c r="K276" i="6"/>
  <c r="I276" i="6"/>
  <c r="L276" i="6"/>
  <c r="P276" i="6"/>
  <c r="T276" i="6"/>
  <c r="S277" i="6"/>
  <c r="Q277" i="6"/>
  <c r="O277" i="6"/>
  <c r="M277" i="6"/>
  <c r="K277" i="6"/>
  <c r="I277" i="6"/>
  <c r="L277" i="6"/>
  <c r="P277" i="6"/>
  <c r="T277" i="6"/>
  <c r="S278" i="6"/>
  <c r="Q278" i="6"/>
  <c r="O278" i="6"/>
  <c r="M278" i="6"/>
  <c r="K278" i="6"/>
  <c r="I278" i="6"/>
  <c r="L278" i="6"/>
  <c r="P278" i="6"/>
  <c r="T278" i="6"/>
  <c r="S279" i="6"/>
  <c r="Q279" i="6"/>
  <c r="O279" i="6"/>
  <c r="M279" i="6"/>
  <c r="K279" i="6"/>
  <c r="I279" i="6"/>
  <c r="L279" i="6"/>
  <c r="P279" i="6"/>
  <c r="T279" i="6"/>
  <c r="S280" i="6"/>
  <c r="Q280" i="6"/>
  <c r="O280" i="6"/>
  <c r="M280" i="6"/>
  <c r="K280" i="6"/>
  <c r="I280" i="6"/>
  <c r="L280" i="6"/>
  <c r="P280" i="6"/>
  <c r="T280" i="6"/>
  <c r="S281" i="6"/>
  <c r="Q281" i="6"/>
  <c r="O281" i="6"/>
  <c r="M281" i="6"/>
  <c r="K281" i="6"/>
  <c r="I281" i="6"/>
  <c r="L281" i="6"/>
  <c r="P281" i="6"/>
  <c r="T281" i="6"/>
  <c r="S282" i="6"/>
  <c r="Q282" i="6"/>
  <c r="O282" i="6"/>
  <c r="M282" i="6"/>
  <c r="K282" i="6"/>
  <c r="I282" i="6"/>
  <c r="L282" i="6"/>
  <c r="P282" i="6"/>
  <c r="T282" i="6"/>
  <c r="S283" i="6"/>
  <c r="Q283" i="6"/>
  <c r="O283" i="6"/>
  <c r="M283" i="6"/>
  <c r="K283" i="6"/>
  <c r="I283" i="6"/>
  <c r="L283" i="6"/>
  <c r="P283" i="6"/>
  <c r="T283" i="6"/>
  <c r="S284" i="6"/>
  <c r="Q284" i="6"/>
  <c r="O284" i="6"/>
  <c r="M284" i="6"/>
  <c r="K284" i="6"/>
  <c r="I284" i="6"/>
  <c r="L284" i="6"/>
  <c r="P284" i="6"/>
  <c r="T284" i="6"/>
  <c r="S285" i="6"/>
  <c r="Q285" i="6"/>
  <c r="O285" i="6"/>
  <c r="M285" i="6"/>
  <c r="K285" i="6"/>
  <c r="I285" i="6"/>
  <c r="L285" i="6"/>
  <c r="P285" i="6"/>
  <c r="T285" i="6"/>
  <c r="S286" i="6"/>
  <c r="Q286" i="6"/>
  <c r="O286" i="6"/>
  <c r="M286" i="6"/>
  <c r="K286" i="6"/>
  <c r="I286" i="6"/>
  <c r="L286" i="6"/>
  <c r="P286" i="6"/>
  <c r="T286" i="6"/>
  <c r="S287" i="6"/>
  <c r="Q287" i="6"/>
  <c r="O287" i="6"/>
  <c r="M287" i="6"/>
  <c r="K287" i="6"/>
  <c r="I287" i="6"/>
  <c r="L287" i="6"/>
  <c r="P287" i="6"/>
  <c r="T287" i="6"/>
  <c r="S288" i="6"/>
  <c r="Q288" i="6"/>
  <c r="O288" i="6"/>
  <c r="M288" i="6"/>
  <c r="K288" i="6"/>
  <c r="I288" i="6"/>
  <c r="L288" i="6"/>
  <c r="P288" i="6"/>
  <c r="T288" i="6"/>
  <c r="S289" i="6"/>
  <c r="Q289" i="6"/>
  <c r="O289" i="6"/>
  <c r="M289" i="6"/>
  <c r="K289" i="6"/>
  <c r="I289" i="6"/>
  <c r="L289" i="6"/>
  <c r="P289" i="6"/>
  <c r="T289" i="6"/>
  <c r="S290" i="6"/>
  <c r="Q290" i="6"/>
  <c r="O290" i="6"/>
  <c r="M290" i="6"/>
  <c r="K290" i="6"/>
  <c r="I290" i="6"/>
  <c r="L290" i="6"/>
  <c r="P290" i="6"/>
  <c r="T290" i="6"/>
  <c r="S291" i="6"/>
  <c r="Q291" i="6"/>
  <c r="O291" i="6"/>
  <c r="M291" i="6"/>
  <c r="K291" i="6"/>
  <c r="I291" i="6"/>
  <c r="L291" i="6"/>
  <c r="P291" i="6"/>
  <c r="T291" i="6"/>
  <c r="S292" i="6"/>
  <c r="Q292" i="6"/>
  <c r="O292" i="6"/>
  <c r="M292" i="6"/>
  <c r="K292" i="6"/>
  <c r="I292" i="6"/>
  <c r="L292" i="6"/>
  <c r="P292" i="6"/>
  <c r="T292" i="6"/>
  <c r="S293" i="6"/>
  <c r="Q293" i="6"/>
  <c r="O293" i="6"/>
  <c r="M293" i="6"/>
  <c r="K293" i="6"/>
  <c r="I293" i="6"/>
  <c r="L293" i="6"/>
  <c r="P293" i="6"/>
  <c r="T293" i="6"/>
  <c r="S294" i="6"/>
  <c r="Q294" i="6"/>
  <c r="O294" i="6"/>
  <c r="M294" i="6"/>
  <c r="K294" i="6"/>
  <c r="I294" i="6"/>
  <c r="L294" i="6"/>
  <c r="P294" i="6"/>
  <c r="T294" i="6"/>
  <c r="S295" i="6"/>
  <c r="Q295" i="6"/>
  <c r="O295" i="6"/>
  <c r="M295" i="6"/>
  <c r="K295" i="6"/>
  <c r="I295" i="6"/>
  <c r="L295" i="6"/>
  <c r="P295" i="6"/>
  <c r="T295" i="6"/>
  <c r="S296" i="6"/>
  <c r="Q296" i="6"/>
  <c r="O296" i="6"/>
  <c r="M296" i="6"/>
  <c r="K296" i="6"/>
  <c r="I296" i="6"/>
  <c r="L296" i="6"/>
  <c r="P296" i="6"/>
  <c r="T296" i="6"/>
  <c r="S297" i="6"/>
  <c r="Q297" i="6"/>
  <c r="O297" i="6"/>
  <c r="M297" i="6"/>
  <c r="K297" i="6"/>
  <c r="I297" i="6"/>
  <c r="L297" i="6"/>
  <c r="P297" i="6"/>
  <c r="T297" i="6"/>
  <c r="S298" i="6"/>
  <c r="Q298" i="6"/>
  <c r="O298" i="6"/>
  <c r="M298" i="6"/>
  <c r="K298" i="6"/>
  <c r="I298" i="6"/>
  <c r="L298" i="6"/>
  <c r="P298" i="6"/>
  <c r="T298" i="6"/>
  <c r="S299" i="6"/>
  <c r="Q299" i="6"/>
  <c r="O299" i="6"/>
  <c r="M299" i="6"/>
  <c r="K299" i="6"/>
  <c r="I299" i="6"/>
  <c r="L299" i="6"/>
  <c r="P299" i="6"/>
  <c r="T299" i="6"/>
  <c r="S300" i="6"/>
  <c r="Q300" i="6"/>
  <c r="O300" i="6"/>
  <c r="M300" i="6"/>
  <c r="K300" i="6"/>
  <c r="I300" i="6"/>
  <c r="L300" i="6"/>
  <c r="P300" i="6"/>
  <c r="T300" i="6"/>
  <c r="S301" i="6"/>
  <c r="Q301" i="6"/>
  <c r="O301" i="6"/>
  <c r="M301" i="6"/>
  <c r="K301" i="6"/>
  <c r="I301" i="6"/>
  <c r="L301" i="6"/>
  <c r="P301" i="6"/>
  <c r="T301" i="6"/>
  <c r="S302" i="6"/>
  <c r="Q302" i="6"/>
  <c r="O302" i="6"/>
  <c r="M302" i="6"/>
  <c r="K302" i="6"/>
  <c r="I302" i="6"/>
  <c r="L302" i="6"/>
  <c r="P302" i="6"/>
  <c r="T302" i="6"/>
  <c r="S303" i="6"/>
  <c r="Q303" i="6"/>
  <c r="O303" i="6"/>
  <c r="M303" i="6"/>
  <c r="K303" i="6"/>
  <c r="I303" i="6"/>
  <c r="L303" i="6"/>
  <c r="P303" i="6"/>
  <c r="T303" i="6"/>
  <c r="S304" i="6"/>
  <c r="Q304" i="6"/>
  <c r="O304" i="6"/>
  <c r="M304" i="6"/>
  <c r="K304" i="6"/>
  <c r="I304" i="6"/>
  <c r="L304" i="6"/>
  <c r="P304" i="6"/>
  <c r="T304" i="6"/>
  <c r="S305" i="6"/>
  <c r="Q305" i="6"/>
  <c r="O305" i="6"/>
  <c r="M305" i="6"/>
  <c r="K305" i="6"/>
  <c r="I305" i="6"/>
  <c r="L305" i="6"/>
  <c r="P305" i="6"/>
  <c r="T305" i="6"/>
  <c r="S306" i="6"/>
  <c r="Q306" i="6"/>
  <c r="O306" i="6"/>
  <c r="M306" i="6"/>
  <c r="K306" i="6"/>
  <c r="I306" i="6"/>
  <c r="L306" i="6"/>
  <c r="P306" i="6"/>
  <c r="T306" i="6"/>
  <c r="S307" i="6"/>
  <c r="Q307" i="6"/>
  <c r="O307" i="6"/>
  <c r="M307" i="6"/>
  <c r="K307" i="6"/>
  <c r="I307" i="6"/>
  <c r="L307" i="6"/>
  <c r="P307" i="6"/>
  <c r="T307" i="6"/>
  <c r="S308" i="6"/>
  <c r="Q308" i="6"/>
  <c r="O308" i="6"/>
  <c r="M308" i="6"/>
  <c r="K308" i="6"/>
  <c r="I308" i="6"/>
  <c r="L308" i="6"/>
  <c r="P308" i="6"/>
  <c r="T308" i="6"/>
  <c r="S309" i="6"/>
  <c r="Q309" i="6"/>
  <c r="O309" i="6"/>
  <c r="M309" i="6"/>
  <c r="K309" i="6"/>
  <c r="I309" i="6"/>
  <c r="L309" i="6"/>
  <c r="P309" i="6"/>
  <c r="T309" i="6"/>
  <c r="S310" i="6"/>
  <c r="Q310" i="6"/>
  <c r="O310" i="6"/>
  <c r="M310" i="6"/>
  <c r="K310" i="6"/>
  <c r="I310" i="6"/>
  <c r="L310" i="6"/>
  <c r="P310" i="6"/>
  <c r="T310" i="6"/>
  <c r="S311" i="6"/>
  <c r="Q311" i="6"/>
  <c r="O311" i="6"/>
  <c r="M311" i="6"/>
  <c r="K311" i="6"/>
  <c r="I311" i="6"/>
  <c r="L311" i="6"/>
  <c r="P311" i="6"/>
  <c r="T311" i="6"/>
  <c r="S312" i="6"/>
  <c r="Q312" i="6"/>
  <c r="O312" i="6"/>
  <c r="M312" i="6"/>
  <c r="K312" i="6"/>
  <c r="I312" i="6"/>
  <c r="L312" i="6"/>
  <c r="P312" i="6"/>
  <c r="T312" i="6"/>
  <c r="S313" i="6"/>
  <c r="Q313" i="6"/>
  <c r="O313" i="6"/>
  <c r="M313" i="6"/>
  <c r="K313" i="6"/>
  <c r="I313" i="6"/>
  <c r="L313" i="6"/>
  <c r="P313" i="6"/>
  <c r="T313" i="6"/>
  <c r="S314" i="6"/>
  <c r="Q314" i="6"/>
  <c r="O314" i="6"/>
  <c r="M314" i="6"/>
  <c r="K314" i="6"/>
  <c r="I314" i="6"/>
  <c r="L314" i="6"/>
  <c r="P314" i="6"/>
  <c r="T314" i="6"/>
  <c r="S315" i="6"/>
  <c r="Q315" i="6"/>
  <c r="O315" i="6"/>
  <c r="M315" i="6"/>
  <c r="K315" i="6"/>
  <c r="I315" i="6"/>
  <c r="L315" i="6"/>
  <c r="P315" i="6"/>
  <c r="T315" i="6"/>
  <c r="S316" i="6"/>
  <c r="Q316" i="6"/>
  <c r="O316" i="6"/>
  <c r="M316" i="6"/>
  <c r="K316" i="6"/>
  <c r="I316" i="6"/>
  <c r="L316" i="6"/>
  <c r="P316" i="6"/>
  <c r="T316" i="6"/>
  <c r="S317" i="6"/>
  <c r="Q317" i="6"/>
  <c r="O317" i="6"/>
  <c r="M317" i="6"/>
  <c r="K317" i="6"/>
  <c r="I317" i="6"/>
  <c r="L317" i="6"/>
  <c r="P317" i="6"/>
  <c r="T317" i="6"/>
  <c r="S318" i="6"/>
  <c r="Q318" i="6"/>
  <c r="O318" i="6"/>
  <c r="M318" i="6"/>
  <c r="K318" i="6"/>
  <c r="I318" i="6"/>
  <c r="L318" i="6"/>
  <c r="P318" i="6"/>
  <c r="T318" i="6"/>
  <c r="S319" i="6"/>
  <c r="Q319" i="6"/>
  <c r="O319" i="6"/>
  <c r="M319" i="6"/>
  <c r="K319" i="6"/>
  <c r="I319" i="6"/>
  <c r="L319" i="6"/>
  <c r="P319" i="6"/>
  <c r="T319" i="6"/>
  <c r="S320" i="6"/>
  <c r="Q320" i="6"/>
  <c r="O320" i="6"/>
  <c r="M320" i="6"/>
  <c r="K320" i="6"/>
  <c r="I320" i="6"/>
  <c r="L320" i="6"/>
  <c r="P320" i="6"/>
  <c r="T320" i="6"/>
  <c r="S321" i="6"/>
  <c r="Q321" i="6"/>
  <c r="O321" i="6"/>
  <c r="M321" i="6"/>
  <c r="K321" i="6"/>
  <c r="I321" i="6"/>
  <c r="L321" i="6"/>
  <c r="P321" i="6"/>
  <c r="T321" i="6"/>
  <c r="S322" i="6"/>
  <c r="Q322" i="6"/>
  <c r="O322" i="6"/>
  <c r="M322" i="6"/>
  <c r="K322" i="6"/>
  <c r="I322" i="6"/>
  <c r="L322" i="6"/>
  <c r="P322" i="6"/>
  <c r="T322" i="6"/>
  <c r="S323" i="6"/>
  <c r="Q323" i="6"/>
  <c r="O323" i="6"/>
  <c r="M323" i="6"/>
  <c r="K323" i="6"/>
  <c r="I323" i="6"/>
  <c r="L323" i="6"/>
  <c r="P323" i="6"/>
  <c r="T323" i="6"/>
  <c r="S324" i="6"/>
  <c r="Q324" i="6"/>
  <c r="O324" i="6"/>
  <c r="M324" i="6"/>
  <c r="K324" i="6"/>
  <c r="I324" i="6"/>
  <c r="L324" i="6"/>
  <c r="P324" i="6"/>
  <c r="T324" i="6"/>
  <c r="S325" i="6"/>
  <c r="Q325" i="6"/>
  <c r="O325" i="6"/>
  <c r="M325" i="6"/>
  <c r="K325" i="6"/>
  <c r="I325" i="6"/>
  <c r="L325" i="6"/>
  <c r="P325" i="6"/>
  <c r="T325" i="6"/>
  <c r="S326" i="6"/>
  <c r="Q326" i="6"/>
  <c r="O326" i="6"/>
  <c r="M326" i="6"/>
  <c r="K326" i="6"/>
  <c r="I326" i="6"/>
  <c r="L326" i="6"/>
  <c r="P326" i="6"/>
  <c r="T326" i="6"/>
  <c r="S327" i="6"/>
  <c r="Q327" i="6"/>
  <c r="O327" i="6"/>
  <c r="M327" i="6"/>
  <c r="K327" i="6"/>
  <c r="I327" i="6"/>
  <c r="L327" i="6"/>
  <c r="P327" i="6"/>
  <c r="T327" i="6"/>
  <c r="S328" i="6"/>
  <c r="Q328" i="6"/>
  <c r="O328" i="6"/>
  <c r="M328" i="6"/>
  <c r="K328" i="6"/>
  <c r="I328" i="6"/>
  <c r="L328" i="6"/>
  <c r="P328" i="6"/>
  <c r="T328" i="6"/>
  <c r="S329" i="6"/>
  <c r="Q329" i="6"/>
  <c r="O329" i="6"/>
  <c r="M329" i="6"/>
  <c r="K329" i="6"/>
  <c r="I329" i="6"/>
  <c r="L329" i="6"/>
  <c r="P329" i="6"/>
  <c r="T329" i="6"/>
  <c r="S330" i="6"/>
  <c r="Q330" i="6"/>
  <c r="O330" i="6"/>
  <c r="M330" i="6"/>
  <c r="K330" i="6"/>
  <c r="I330" i="6"/>
  <c r="L330" i="6"/>
  <c r="P330" i="6"/>
  <c r="T330" i="6"/>
  <c r="S331" i="6"/>
  <c r="Q331" i="6"/>
  <c r="O331" i="6"/>
  <c r="M331" i="6"/>
  <c r="K331" i="6"/>
  <c r="I331" i="6"/>
  <c r="L331" i="6"/>
  <c r="P331" i="6"/>
  <c r="T331" i="6"/>
  <c r="S332" i="6"/>
  <c r="Q332" i="6"/>
  <c r="O332" i="6"/>
  <c r="M332" i="6"/>
  <c r="K332" i="6"/>
  <c r="I332" i="6"/>
  <c r="L332" i="6"/>
  <c r="P332" i="6"/>
  <c r="T332" i="6"/>
  <c r="S333" i="6"/>
  <c r="Q333" i="6"/>
  <c r="O333" i="6"/>
  <c r="M333" i="6"/>
  <c r="K333" i="6"/>
  <c r="I333" i="6"/>
  <c r="L333" i="6"/>
  <c r="P333" i="6"/>
  <c r="T333" i="6"/>
  <c r="S334" i="6"/>
  <c r="Q334" i="6"/>
  <c r="O334" i="6"/>
  <c r="M334" i="6"/>
  <c r="K334" i="6"/>
  <c r="I334" i="6"/>
  <c r="L334" i="6"/>
  <c r="P334" i="6"/>
  <c r="T334" i="6"/>
  <c r="S335" i="6"/>
  <c r="Q335" i="6"/>
  <c r="O335" i="6"/>
  <c r="M335" i="6"/>
  <c r="K335" i="6"/>
  <c r="I335" i="6"/>
  <c r="L335" i="6"/>
  <c r="P335" i="6"/>
  <c r="T335" i="6"/>
  <c r="S336" i="6"/>
  <c r="Q336" i="6"/>
  <c r="O336" i="6"/>
  <c r="M336" i="6"/>
  <c r="K336" i="6"/>
  <c r="I336" i="6"/>
  <c r="L336" i="6"/>
  <c r="P336" i="6"/>
  <c r="T336" i="6"/>
  <c r="S337" i="6"/>
  <c r="Q337" i="6"/>
  <c r="O337" i="6"/>
  <c r="M337" i="6"/>
  <c r="K337" i="6"/>
  <c r="I337" i="6"/>
  <c r="L337" i="6"/>
  <c r="P337" i="6"/>
  <c r="T337" i="6"/>
  <c r="S338" i="6"/>
  <c r="Q338" i="6"/>
  <c r="O338" i="6"/>
  <c r="M338" i="6"/>
  <c r="K338" i="6"/>
  <c r="I338" i="6"/>
  <c r="L338" i="6"/>
  <c r="P338" i="6"/>
  <c r="T338" i="6"/>
  <c r="S339" i="6"/>
  <c r="Q339" i="6"/>
  <c r="O339" i="6"/>
  <c r="M339" i="6"/>
  <c r="K339" i="6"/>
  <c r="I339" i="6"/>
  <c r="L339" i="6"/>
  <c r="P339" i="6"/>
  <c r="T339" i="6"/>
  <c r="S340" i="6"/>
  <c r="Q340" i="6"/>
  <c r="O340" i="6"/>
  <c r="M340" i="6"/>
  <c r="K340" i="6"/>
  <c r="I340" i="6"/>
  <c r="L340" i="6"/>
  <c r="P340" i="6"/>
  <c r="T340" i="6"/>
  <c r="S341" i="6"/>
  <c r="Q341" i="6"/>
  <c r="O341" i="6"/>
  <c r="M341" i="6"/>
  <c r="K341" i="6"/>
  <c r="I341" i="6"/>
  <c r="L341" i="6"/>
  <c r="P341" i="6"/>
  <c r="T341" i="6"/>
  <c r="S342" i="6"/>
  <c r="Q342" i="6"/>
  <c r="O342" i="6"/>
  <c r="M342" i="6"/>
  <c r="K342" i="6"/>
  <c r="I342" i="6"/>
  <c r="L342" i="6"/>
  <c r="P342" i="6"/>
  <c r="T342" i="6"/>
  <c r="S343" i="6"/>
  <c r="Q343" i="6"/>
  <c r="O343" i="6"/>
  <c r="M343" i="6"/>
  <c r="K343" i="6"/>
  <c r="I343" i="6"/>
  <c r="L343" i="6"/>
  <c r="P343" i="6"/>
  <c r="T343" i="6"/>
  <c r="S344" i="6"/>
  <c r="Q344" i="6"/>
  <c r="O344" i="6"/>
  <c r="M344" i="6"/>
  <c r="K344" i="6"/>
  <c r="I344" i="6"/>
  <c r="L344" i="6"/>
  <c r="P344" i="6"/>
  <c r="T344" i="6"/>
  <c r="S345" i="6"/>
  <c r="Q345" i="6"/>
  <c r="O345" i="6"/>
  <c r="M345" i="6"/>
  <c r="K345" i="6"/>
  <c r="I345" i="6"/>
  <c r="L345" i="6"/>
  <c r="P345" i="6"/>
  <c r="T345" i="6"/>
  <c r="S346" i="6"/>
  <c r="Q346" i="6"/>
  <c r="O346" i="6"/>
  <c r="M346" i="6"/>
  <c r="K346" i="6"/>
  <c r="I346" i="6"/>
  <c r="L346" i="6"/>
  <c r="P346" i="6"/>
  <c r="T346" i="6"/>
  <c r="S347" i="6"/>
  <c r="Q347" i="6"/>
  <c r="O347" i="6"/>
  <c r="M347" i="6"/>
  <c r="K347" i="6"/>
  <c r="I347" i="6"/>
  <c r="L347" i="6"/>
  <c r="P347" i="6"/>
  <c r="T347" i="6"/>
  <c r="S348" i="6"/>
  <c r="Q348" i="6"/>
  <c r="O348" i="6"/>
  <c r="M348" i="6"/>
  <c r="K348" i="6"/>
  <c r="I348" i="6"/>
  <c r="L348" i="6"/>
  <c r="P348" i="6"/>
  <c r="T348" i="6"/>
  <c r="S349" i="6"/>
  <c r="Q349" i="6"/>
  <c r="O349" i="6"/>
  <c r="M349" i="6"/>
  <c r="K349" i="6"/>
  <c r="I349" i="6"/>
  <c r="L349" i="6"/>
  <c r="P349" i="6"/>
  <c r="T349" i="6"/>
  <c r="S350" i="6"/>
  <c r="Q350" i="6"/>
  <c r="O350" i="6"/>
  <c r="M350" i="6"/>
  <c r="K350" i="6"/>
  <c r="I350" i="6"/>
  <c r="L350" i="6"/>
  <c r="P350" i="6"/>
  <c r="T350" i="6"/>
  <c r="S351" i="6"/>
  <c r="Q351" i="6"/>
  <c r="O351" i="6"/>
  <c r="M351" i="6"/>
  <c r="K351" i="6"/>
  <c r="I351" i="6"/>
  <c r="L351" i="6"/>
  <c r="P351" i="6"/>
  <c r="T351" i="6"/>
  <c r="S352" i="6"/>
  <c r="Q352" i="6"/>
  <c r="O352" i="6"/>
  <c r="M352" i="6"/>
  <c r="K352" i="6"/>
  <c r="I352" i="6"/>
  <c r="L352" i="6"/>
  <c r="P352" i="6"/>
  <c r="T352" i="6"/>
  <c r="S353" i="6"/>
  <c r="Q353" i="6"/>
  <c r="O353" i="6"/>
  <c r="M353" i="6"/>
  <c r="K353" i="6"/>
  <c r="I353" i="6"/>
  <c r="L353" i="6"/>
  <c r="P353" i="6"/>
  <c r="T353" i="6"/>
  <c r="S354" i="6"/>
  <c r="Q354" i="6"/>
  <c r="O354" i="6"/>
  <c r="M354" i="6"/>
  <c r="K354" i="6"/>
  <c r="I354" i="6"/>
  <c r="L354" i="6"/>
  <c r="P354" i="6"/>
  <c r="T354" i="6"/>
  <c r="S355" i="6"/>
  <c r="Q355" i="6"/>
  <c r="O355" i="6"/>
  <c r="M355" i="6"/>
  <c r="K355" i="6"/>
  <c r="I355" i="6"/>
  <c r="L355" i="6"/>
  <c r="P355" i="6"/>
  <c r="T355" i="6"/>
  <c r="S356" i="6"/>
  <c r="Q356" i="6"/>
  <c r="O356" i="6"/>
  <c r="M356" i="6"/>
  <c r="K356" i="6"/>
  <c r="I356" i="6"/>
  <c r="L356" i="6"/>
  <c r="P356" i="6"/>
  <c r="T356" i="6"/>
  <c r="S357" i="6"/>
  <c r="Q357" i="6"/>
  <c r="O357" i="6"/>
  <c r="M357" i="6"/>
  <c r="K357" i="6"/>
  <c r="I357" i="6"/>
  <c r="L357" i="6"/>
  <c r="P357" i="6"/>
  <c r="T357" i="6"/>
  <c r="S358" i="6"/>
  <c r="Q358" i="6"/>
  <c r="O358" i="6"/>
  <c r="M358" i="6"/>
  <c r="K358" i="6"/>
  <c r="I358" i="6"/>
  <c r="L358" i="6"/>
  <c r="P358" i="6"/>
  <c r="T358" i="6"/>
  <c r="S359" i="6"/>
  <c r="Q359" i="6"/>
  <c r="O359" i="6"/>
  <c r="M359" i="6"/>
  <c r="K359" i="6"/>
  <c r="I359" i="6"/>
  <c r="L359" i="6"/>
  <c r="P359" i="6"/>
  <c r="T359" i="6"/>
  <c r="S360" i="6"/>
  <c r="Q360" i="6"/>
  <c r="O360" i="6"/>
  <c r="M360" i="6"/>
  <c r="K360" i="6"/>
  <c r="I360" i="6"/>
  <c r="L360" i="6"/>
  <c r="P360" i="6"/>
  <c r="T360" i="6"/>
  <c r="S361" i="6"/>
  <c r="Q361" i="6"/>
  <c r="O361" i="6"/>
  <c r="M361" i="6"/>
  <c r="K361" i="6"/>
  <c r="I361" i="6"/>
  <c r="L361" i="6"/>
  <c r="P361" i="6"/>
  <c r="T361" i="6"/>
  <c r="S362" i="6"/>
  <c r="Q362" i="6"/>
  <c r="O362" i="6"/>
  <c r="M362" i="6"/>
  <c r="K362" i="6"/>
  <c r="I362" i="6"/>
  <c r="L362" i="6"/>
  <c r="P362" i="6"/>
  <c r="T362" i="6"/>
  <c r="S363" i="6"/>
  <c r="Q363" i="6"/>
  <c r="O363" i="6"/>
  <c r="M363" i="6"/>
  <c r="K363" i="6"/>
  <c r="I363" i="6"/>
  <c r="L363" i="6"/>
  <c r="P363" i="6"/>
  <c r="T363" i="6"/>
  <c r="S364" i="6"/>
  <c r="Q364" i="6"/>
  <c r="O364" i="6"/>
  <c r="M364" i="6"/>
  <c r="K364" i="6"/>
  <c r="I364" i="6"/>
  <c r="L364" i="6"/>
  <c r="P364" i="6"/>
  <c r="T364" i="6"/>
  <c r="S365" i="6"/>
  <c r="Q365" i="6"/>
  <c r="O365" i="6"/>
  <c r="M365" i="6"/>
  <c r="K365" i="6"/>
  <c r="I365" i="6"/>
  <c r="L365" i="6"/>
  <c r="P365" i="6"/>
  <c r="T365" i="6"/>
  <c r="S366" i="6"/>
  <c r="Q366" i="6"/>
  <c r="O366" i="6"/>
  <c r="M366" i="6"/>
  <c r="K366" i="6"/>
  <c r="I366" i="6"/>
  <c r="L366" i="6"/>
  <c r="P366" i="6"/>
  <c r="T366" i="6"/>
  <c r="S367" i="6"/>
  <c r="Q367" i="6"/>
  <c r="O367" i="6"/>
  <c r="M367" i="6"/>
  <c r="K367" i="6"/>
  <c r="I367" i="6"/>
  <c r="L367" i="6"/>
  <c r="P367" i="6"/>
  <c r="T367" i="6"/>
  <c r="S368" i="6"/>
  <c r="Q368" i="6"/>
  <c r="O368" i="6"/>
  <c r="M368" i="6"/>
  <c r="K368" i="6"/>
  <c r="I368" i="6"/>
  <c r="L368" i="6"/>
  <c r="P368" i="6"/>
  <c r="T368" i="6"/>
  <c r="S369" i="6"/>
  <c r="Q369" i="6"/>
  <c r="O369" i="6"/>
  <c r="M369" i="6"/>
  <c r="K369" i="6"/>
  <c r="I369" i="6"/>
  <c r="L369" i="6"/>
  <c r="P369" i="6"/>
  <c r="T369" i="6"/>
  <c r="S370" i="6"/>
  <c r="Q370" i="6"/>
  <c r="O370" i="6"/>
  <c r="M370" i="6"/>
  <c r="K370" i="6"/>
  <c r="I370" i="6"/>
  <c r="L370" i="6"/>
  <c r="P370" i="6"/>
  <c r="T370" i="6"/>
  <c r="S371" i="6"/>
  <c r="Q371" i="6"/>
  <c r="O371" i="6"/>
  <c r="M371" i="6"/>
  <c r="K371" i="6"/>
  <c r="I371" i="6"/>
  <c r="L371" i="6"/>
  <c r="P371" i="6"/>
  <c r="T371" i="6"/>
  <c r="S372" i="6"/>
  <c r="Q372" i="6"/>
  <c r="O372" i="6"/>
  <c r="M372" i="6"/>
  <c r="K372" i="6"/>
  <c r="I372" i="6"/>
  <c r="L372" i="6"/>
  <c r="P372" i="6"/>
  <c r="T372" i="6"/>
  <c r="S373" i="6"/>
  <c r="Q373" i="6"/>
  <c r="O373" i="6"/>
  <c r="M373" i="6"/>
  <c r="K373" i="6"/>
  <c r="I373" i="6"/>
  <c r="L373" i="6"/>
  <c r="P373" i="6"/>
  <c r="T373" i="6"/>
  <c r="S374" i="6"/>
  <c r="Q374" i="6"/>
  <c r="O374" i="6"/>
  <c r="M374" i="6"/>
  <c r="K374" i="6"/>
  <c r="I374" i="6"/>
  <c r="L374" i="6"/>
  <c r="P374" i="6"/>
  <c r="T374" i="6"/>
  <c r="S375" i="6"/>
  <c r="Q375" i="6"/>
  <c r="O375" i="6"/>
  <c r="M375" i="6"/>
  <c r="K375" i="6"/>
  <c r="I375" i="6"/>
  <c r="L375" i="6"/>
  <c r="P375" i="6"/>
  <c r="T375" i="6"/>
  <c r="S376" i="6"/>
  <c r="Q376" i="6"/>
  <c r="O376" i="6"/>
  <c r="M376" i="6"/>
  <c r="K376" i="6"/>
  <c r="I376" i="6"/>
  <c r="L376" i="6"/>
  <c r="P376" i="6"/>
  <c r="T376" i="6"/>
  <c r="S377" i="6"/>
  <c r="Q377" i="6"/>
  <c r="O377" i="6"/>
  <c r="M377" i="6"/>
  <c r="K377" i="6"/>
  <c r="I377" i="6"/>
  <c r="L377" i="6"/>
  <c r="P377" i="6"/>
  <c r="T377" i="6"/>
  <c r="S378" i="6"/>
  <c r="Q378" i="6"/>
  <c r="O378" i="6"/>
  <c r="M378" i="6"/>
  <c r="K378" i="6"/>
  <c r="I378" i="6"/>
  <c r="L378" i="6"/>
  <c r="P378" i="6"/>
  <c r="T378" i="6"/>
  <c r="S379" i="6"/>
  <c r="Q379" i="6"/>
  <c r="O379" i="6"/>
  <c r="M379" i="6"/>
  <c r="K379" i="6"/>
  <c r="I379" i="6"/>
  <c r="L379" i="6"/>
  <c r="P379" i="6"/>
  <c r="T379" i="6"/>
  <c r="S380" i="6"/>
  <c r="Q380" i="6"/>
  <c r="O380" i="6"/>
  <c r="M380" i="6"/>
  <c r="K380" i="6"/>
  <c r="I380" i="6"/>
  <c r="L380" i="6"/>
  <c r="P380" i="6"/>
  <c r="T380" i="6"/>
  <c r="S381" i="6"/>
  <c r="Q381" i="6"/>
  <c r="O381" i="6"/>
  <c r="M381" i="6"/>
  <c r="K381" i="6"/>
  <c r="I381" i="6"/>
  <c r="L381" i="6"/>
  <c r="P381" i="6"/>
  <c r="T381" i="6"/>
  <c r="S382" i="6"/>
  <c r="Q382" i="6"/>
  <c r="O382" i="6"/>
  <c r="M382" i="6"/>
  <c r="K382" i="6"/>
  <c r="I382" i="6"/>
  <c r="L382" i="6"/>
  <c r="P382" i="6"/>
  <c r="T382" i="6"/>
  <c r="S383" i="6"/>
  <c r="Q383" i="6"/>
  <c r="O383" i="6"/>
  <c r="M383" i="6"/>
  <c r="K383" i="6"/>
  <c r="I383" i="6"/>
  <c r="L383" i="6"/>
  <c r="P383" i="6"/>
  <c r="T383" i="6"/>
  <c r="S384" i="6"/>
  <c r="Q384" i="6"/>
  <c r="O384" i="6"/>
  <c r="M384" i="6"/>
  <c r="K384" i="6"/>
  <c r="I384" i="6"/>
  <c r="L384" i="6"/>
  <c r="P384" i="6"/>
  <c r="T384" i="6"/>
  <c r="S385" i="6"/>
  <c r="Q385" i="6"/>
  <c r="O385" i="6"/>
  <c r="M385" i="6"/>
  <c r="K385" i="6"/>
  <c r="I385" i="6"/>
  <c r="L385" i="6"/>
  <c r="P385" i="6"/>
  <c r="T385" i="6"/>
  <c r="S386" i="6"/>
  <c r="Q386" i="6"/>
  <c r="O386" i="6"/>
  <c r="M386" i="6"/>
  <c r="K386" i="6"/>
  <c r="I386" i="6"/>
  <c r="L386" i="6"/>
  <c r="P386" i="6"/>
  <c r="T386" i="6"/>
  <c r="S387" i="6"/>
  <c r="Q387" i="6"/>
  <c r="O387" i="6"/>
  <c r="M387" i="6"/>
  <c r="K387" i="6"/>
  <c r="I387" i="6"/>
  <c r="L387" i="6"/>
  <c r="P387" i="6"/>
  <c r="T387" i="6"/>
  <c r="S388" i="6"/>
  <c r="Q388" i="6"/>
  <c r="O388" i="6"/>
  <c r="M388" i="6"/>
  <c r="K388" i="6"/>
  <c r="I388" i="6"/>
  <c r="L388" i="6"/>
  <c r="P388" i="6"/>
  <c r="T388" i="6"/>
  <c r="S389" i="6"/>
  <c r="Q389" i="6"/>
  <c r="O389" i="6"/>
  <c r="M389" i="6"/>
  <c r="K389" i="6"/>
  <c r="I389" i="6"/>
  <c r="L389" i="6"/>
  <c r="P389" i="6"/>
  <c r="T389" i="6"/>
  <c r="S390" i="6"/>
  <c r="Q390" i="6"/>
  <c r="O390" i="6"/>
  <c r="M390" i="6"/>
  <c r="K390" i="6"/>
  <c r="I390" i="6"/>
  <c r="L390" i="6"/>
  <c r="P390" i="6"/>
  <c r="T390" i="6"/>
  <c r="S391" i="6"/>
  <c r="Q391" i="6"/>
  <c r="O391" i="6"/>
  <c r="M391" i="6"/>
  <c r="K391" i="6"/>
  <c r="I391" i="6"/>
  <c r="L391" i="6"/>
  <c r="P391" i="6"/>
  <c r="T391" i="6"/>
  <c r="S392" i="6"/>
  <c r="Q392" i="6"/>
  <c r="O392" i="6"/>
  <c r="M392" i="6"/>
  <c r="K392" i="6"/>
  <c r="I392" i="6"/>
  <c r="L392" i="6"/>
  <c r="P392" i="6"/>
  <c r="T392" i="6"/>
  <c r="S393" i="6"/>
  <c r="Q393" i="6"/>
  <c r="O393" i="6"/>
  <c r="M393" i="6"/>
  <c r="K393" i="6"/>
  <c r="I393" i="6"/>
  <c r="L393" i="6"/>
  <c r="P393" i="6"/>
  <c r="T393" i="6"/>
  <c r="S394" i="6"/>
  <c r="Q394" i="6"/>
  <c r="O394" i="6"/>
  <c r="M394" i="6"/>
  <c r="K394" i="6"/>
  <c r="I394" i="6"/>
  <c r="L394" i="6"/>
  <c r="P394" i="6"/>
  <c r="T394" i="6"/>
  <c r="S395" i="6"/>
  <c r="Q395" i="6"/>
  <c r="O395" i="6"/>
  <c r="M395" i="6"/>
  <c r="K395" i="6"/>
  <c r="I395" i="6"/>
  <c r="L395" i="6"/>
  <c r="P395" i="6"/>
  <c r="T395" i="6"/>
  <c r="S396" i="6"/>
  <c r="Q396" i="6"/>
  <c r="O396" i="6"/>
  <c r="M396" i="6"/>
  <c r="K396" i="6"/>
  <c r="I396" i="6"/>
  <c r="L396" i="6"/>
  <c r="P396" i="6"/>
  <c r="T396" i="6"/>
  <c r="S397" i="6"/>
  <c r="Q397" i="6"/>
  <c r="O397" i="6"/>
  <c r="M397" i="6"/>
  <c r="K397" i="6"/>
  <c r="I397" i="6"/>
  <c r="L397" i="6"/>
  <c r="P397" i="6"/>
  <c r="T397" i="6"/>
  <c r="S398" i="6"/>
  <c r="Q398" i="6"/>
  <c r="O398" i="6"/>
  <c r="M398" i="6"/>
  <c r="K398" i="6"/>
  <c r="I398" i="6"/>
  <c r="L398" i="6"/>
  <c r="P398" i="6"/>
  <c r="T398" i="6"/>
  <c r="S399" i="6"/>
  <c r="Q399" i="6"/>
  <c r="O399" i="6"/>
  <c r="M399" i="6"/>
  <c r="K399" i="6"/>
  <c r="I399" i="6"/>
  <c r="L399" i="6"/>
  <c r="P399" i="6"/>
  <c r="T399" i="6"/>
  <c r="S400" i="6"/>
  <c r="Q400" i="6"/>
  <c r="O400" i="6"/>
  <c r="M400" i="6"/>
  <c r="K400" i="6"/>
  <c r="I400" i="6"/>
  <c r="L400" i="6"/>
  <c r="P400" i="6"/>
  <c r="T400" i="6"/>
  <c r="S401" i="6"/>
  <c r="Q401" i="6"/>
  <c r="O401" i="6"/>
  <c r="M401" i="6"/>
  <c r="K401" i="6"/>
  <c r="I401" i="6"/>
  <c r="L401" i="6"/>
  <c r="P401" i="6"/>
  <c r="T401" i="6"/>
  <c r="S402" i="6"/>
  <c r="Q402" i="6"/>
  <c r="O402" i="6"/>
  <c r="M402" i="6"/>
  <c r="K402" i="6"/>
  <c r="I402" i="6"/>
  <c r="L402" i="6"/>
  <c r="P402" i="6"/>
  <c r="T402" i="6"/>
  <c r="S403" i="6"/>
  <c r="Q403" i="6"/>
  <c r="O403" i="6"/>
  <c r="M403" i="6"/>
  <c r="K403" i="6"/>
  <c r="I403" i="6"/>
  <c r="L403" i="6"/>
  <c r="P403" i="6"/>
  <c r="T403" i="6"/>
  <c r="S404" i="6"/>
  <c r="Q404" i="6"/>
  <c r="O404" i="6"/>
  <c r="M404" i="6"/>
  <c r="K404" i="6"/>
  <c r="I404" i="6"/>
  <c r="L404" i="6"/>
  <c r="P404" i="6"/>
  <c r="T404" i="6"/>
  <c r="S405" i="6"/>
  <c r="Q405" i="6"/>
  <c r="O405" i="6"/>
  <c r="M405" i="6"/>
  <c r="K405" i="6"/>
  <c r="I405" i="6"/>
  <c r="L405" i="6"/>
  <c r="P405" i="6"/>
  <c r="T405" i="6"/>
  <c r="S406" i="6"/>
  <c r="Q406" i="6"/>
  <c r="O406" i="6"/>
  <c r="M406" i="6"/>
  <c r="K406" i="6"/>
  <c r="I406" i="6"/>
  <c r="L406" i="6"/>
  <c r="P406" i="6"/>
  <c r="T406" i="6"/>
  <c r="S407" i="6"/>
  <c r="Q407" i="6"/>
  <c r="O407" i="6"/>
  <c r="M407" i="6"/>
  <c r="K407" i="6"/>
  <c r="I407" i="6"/>
  <c r="L407" i="6"/>
  <c r="P407" i="6"/>
  <c r="T407" i="6"/>
  <c r="S408" i="6"/>
  <c r="Q408" i="6"/>
  <c r="O408" i="6"/>
  <c r="M408" i="6"/>
  <c r="K408" i="6"/>
  <c r="I408" i="6"/>
  <c r="L408" i="6"/>
  <c r="P408" i="6"/>
  <c r="T408" i="6"/>
  <c r="S409" i="6"/>
  <c r="Q409" i="6"/>
  <c r="O409" i="6"/>
  <c r="M409" i="6"/>
  <c r="K409" i="6"/>
  <c r="I409" i="6"/>
  <c r="L409" i="6"/>
  <c r="P409" i="6"/>
  <c r="T409" i="6"/>
  <c r="S410" i="6"/>
  <c r="Q410" i="6"/>
  <c r="O410" i="6"/>
  <c r="M410" i="6"/>
  <c r="K410" i="6"/>
  <c r="I410" i="6"/>
  <c r="L410" i="6"/>
  <c r="P410" i="6"/>
  <c r="T410" i="6"/>
  <c r="S411" i="6"/>
  <c r="Q411" i="6"/>
  <c r="O411" i="6"/>
  <c r="M411" i="6"/>
  <c r="K411" i="6"/>
  <c r="I411" i="6"/>
  <c r="L411" i="6"/>
  <c r="P411" i="6"/>
  <c r="T411" i="6"/>
  <c r="S412" i="6"/>
  <c r="Q412" i="6"/>
  <c r="O412" i="6"/>
  <c r="M412" i="6"/>
  <c r="K412" i="6"/>
  <c r="I412" i="6"/>
  <c r="L412" i="6"/>
  <c r="P412" i="6"/>
  <c r="T412" i="6"/>
  <c r="S413" i="6"/>
  <c r="Q413" i="6"/>
  <c r="O413" i="6"/>
  <c r="M413" i="6"/>
  <c r="K413" i="6"/>
  <c r="I413" i="6"/>
  <c r="L413" i="6"/>
  <c r="P413" i="6"/>
  <c r="T413" i="6"/>
  <c r="S414" i="6"/>
  <c r="Q414" i="6"/>
  <c r="O414" i="6"/>
  <c r="M414" i="6"/>
  <c r="K414" i="6"/>
  <c r="I414" i="6"/>
  <c r="L414" i="6"/>
  <c r="P414" i="6"/>
  <c r="T414" i="6"/>
  <c r="S415" i="6"/>
  <c r="Q415" i="6"/>
  <c r="O415" i="6"/>
  <c r="M415" i="6"/>
  <c r="K415" i="6"/>
  <c r="I415" i="6"/>
  <c r="L415" i="6"/>
  <c r="P415" i="6"/>
  <c r="T415" i="6"/>
  <c r="S416" i="6"/>
  <c r="Q416" i="6"/>
  <c r="O416" i="6"/>
  <c r="M416" i="6"/>
  <c r="K416" i="6"/>
  <c r="I416" i="6"/>
  <c r="L416" i="6"/>
  <c r="P416" i="6"/>
  <c r="T416" i="6"/>
  <c r="S417" i="6"/>
  <c r="Q417" i="6"/>
  <c r="O417" i="6"/>
  <c r="M417" i="6"/>
  <c r="K417" i="6"/>
  <c r="I417" i="6"/>
  <c r="L417" i="6"/>
  <c r="P417" i="6"/>
  <c r="T417" i="6"/>
  <c r="S418" i="6"/>
  <c r="Q418" i="6"/>
  <c r="O418" i="6"/>
  <c r="M418" i="6"/>
  <c r="K418" i="6"/>
  <c r="I418" i="6"/>
  <c r="L418" i="6"/>
  <c r="P418" i="6"/>
  <c r="T418" i="6"/>
  <c r="S419" i="6"/>
  <c r="Q419" i="6"/>
  <c r="O419" i="6"/>
  <c r="M419" i="6"/>
  <c r="K419" i="6"/>
  <c r="I419" i="6"/>
  <c r="L419" i="6"/>
  <c r="P419" i="6"/>
  <c r="T419" i="6"/>
  <c r="S420" i="6"/>
  <c r="Q420" i="6"/>
  <c r="O420" i="6"/>
  <c r="M420" i="6"/>
  <c r="K420" i="6"/>
  <c r="I420" i="6"/>
  <c r="L420" i="6"/>
  <c r="P420" i="6"/>
  <c r="T420" i="6"/>
  <c r="S421" i="6"/>
  <c r="Q421" i="6"/>
  <c r="O421" i="6"/>
  <c r="M421" i="6"/>
  <c r="K421" i="6"/>
  <c r="I421" i="6"/>
  <c r="L421" i="6"/>
  <c r="P421" i="6"/>
  <c r="T421" i="6"/>
  <c r="S422" i="6"/>
  <c r="Q422" i="6"/>
  <c r="O422" i="6"/>
  <c r="M422" i="6"/>
  <c r="K422" i="6"/>
  <c r="I422" i="6"/>
  <c r="L422" i="6"/>
  <c r="P422" i="6"/>
  <c r="T422" i="6"/>
  <c r="S423" i="6"/>
  <c r="Q423" i="6"/>
  <c r="O423" i="6"/>
  <c r="M423" i="6"/>
  <c r="K423" i="6"/>
  <c r="I423" i="6"/>
  <c r="L423" i="6"/>
  <c r="P423" i="6"/>
  <c r="T423" i="6"/>
  <c r="Q424" i="6"/>
  <c r="K425" i="6"/>
  <c r="S425" i="6"/>
  <c r="Q426" i="6"/>
  <c r="K427" i="6"/>
  <c r="S427" i="6"/>
  <c r="Q428" i="6"/>
  <c r="K429" i="6"/>
  <c r="S429" i="6"/>
  <c r="Q430" i="6"/>
  <c r="K431" i="6"/>
  <c r="S431" i="6"/>
  <c r="Q432" i="6"/>
  <c r="K433" i="6"/>
  <c r="S433" i="6"/>
  <c r="Q434" i="6"/>
  <c r="K435" i="6"/>
  <c r="S435" i="6"/>
  <c r="Q436" i="6"/>
  <c r="K437" i="6"/>
  <c r="S437" i="6"/>
  <c r="Q438" i="6"/>
  <c r="K439" i="6"/>
  <c r="S439" i="6"/>
  <c r="Q440" i="6"/>
  <c r="K441" i="6"/>
  <c r="S441" i="6"/>
  <c r="Q442" i="6"/>
  <c r="K443" i="6"/>
  <c r="S443" i="6"/>
  <c r="Q444" i="6"/>
  <c r="K445" i="6"/>
  <c r="S445" i="6"/>
  <c r="Q446" i="6"/>
  <c r="K447" i="6"/>
  <c r="S447" i="6"/>
  <c r="Q448" i="6"/>
  <c r="K449" i="6"/>
  <c r="S449" i="6"/>
  <c r="Q450" i="6"/>
  <c r="K451" i="6"/>
  <c r="S451" i="6"/>
  <c r="Q452" i="6"/>
  <c r="K453" i="6"/>
  <c r="S453" i="6"/>
  <c r="Q454" i="6"/>
  <c r="K455" i="6"/>
  <c r="S455" i="6"/>
  <c r="Q456" i="6"/>
  <c r="K457" i="6"/>
  <c r="S457" i="6"/>
  <c r="Q458" i="6"/>
  <c r="K459" i="6"/>
  <c r="S459" i="6"/>
  <c r="Q460" i="6"/>
  <c r="K461" i="6"/>
  <c r="S461" i="6"/>
  <c r="Q462" i="6"/>
  <c r="K463" i="6"/>
  <c r="S463" i="6"/>
  <c r="Q464" i="6"/>
  <c r="K465" i="6"/>
  <c r="S465" i="6"/>
  <c r="Q466" i="6"/>
  <c r="K467" i="6"/>
  <c r="S467" i="6"/>
  <c r="Q468" i="6"/>
  <c r="K469" i="6"/>
  <c r="S469" i="6"/>
  <c r="Q470" i="6"/>
  <c r="K471" i="6"/>
  <c r="S471" i="6"/>
  <c r="Q472" i="6"/>
  <c r="K473" i="6"/>
  <c r="S473" i="6"/>
  <c r="Q474" i="6"/>
  <c r="K475" i="6"/>
  <c r="S475" i="6"/>
  <c r="Q476" i="6"/>
  <c r="K477" i="6"/>
  <c r="S477" i="6"/>
  <c r="Q478" i="6"/>
  <c r="K479" i="6"/>
  <c r="S479" i="6"/>
  <c r="Q480" i="6"/>
  <c r="K481" i="6"/>
  <c r="S481" i="6"/>
  <c r="Q482" i="6"/>
  <c r="K483" i="6"/>
  <c r="S483" i="6"/>
  <c r="Q484" i="6"/>
  <c r="K485" i="6"/>
  <c r="S485" i="6"/>
  <c r="Q486" i="6"/>
  <c r="K487" i="6"/>
  <c r="S487" i="6"/>
  <c r="Q488" i="6"/>
  <c r="K489" i="6"/>
  <c r="S489" i="6"/>
  <c r="Q490" i="6"/>
  <c r="K491" i="6"/>
  <c r="S491" i="6"/>
  <c r="Q492" i="6"/>
  <c r="K493" i="6"/>
  <c r="S493" i="6"/>
  <c r="Q494" i="6"/>
  <c r="K495" i="6"/>
  <c r="S495" i="6"/>
  <c r="Q496" i="6"/>
  <c r="K497" i="6"/>
  <c r="S497" i="6"/>
  <c r="Q498" i="6"/>
  <c r="K499" i="6"/>
  <c r="S499" i="6"/>
  <c r="Q500" i="6"/>
  <c r="K501" i="6"/>
  <c r="S501" i="6"/>
  <c r="Q502" i="6"/>
  <c r="K503" i="6"/>
  <c r="S503" i="6"/>
  <c r="Q504" i="6"/>
  <c r="K505" i="6"/>
  <c r="S505" i="6"/>
  <c r="Q506" i="6"/>
  <c r="K507" i="6"/>
  <c r="S507" i="6"/>
  <c r="Q508" i="6"/>
  <c r="K509" i="6"/>
  <c r="S509" i="6"/>
  <c r="Q510" i="6"/>
  <c r="K511" i="6"/>
  <c r="S511" i="6"/>
  <c r="Q512" i="6"/>
  <c r="K513" i="6"/>
  <c r="S513" i="6"/>
  <c r="Q514" i="6"/>
  <c r="K515" i="6"/>
  <c r="S515" i="6"/>
  <c r="Q516" i="6"/>
  <c r="K517" i="6"/>
  <c r="S517" i="6"/>
  <c r="Q518" i="6"/>
  <c r="K519" i="6"/>
  <c r="S519" i="6"/>
  <c r="Q520" i="6"/>
  <c r="K521" i="6"/>
  <c r="S521" i="6"/>
  <c r="Q522" i="6"/>
  <c r="K523" i="6"/>
  <c r="S523" i="6"/>
  <c r="Q524" i="6"/>
  <c r="K525" i="6"/>
  <c r="S525" i="6"/>
  <c r="Q526" i="6"/>
  <c r="K527" i="6"/>
  <c r="S527" i="6"/>
  <c r="Q528" i="6"/>
  <c r="K529" i="6"/>
  <c r="S529" i="6"/>
  <c r="Q530" i="6"/>
  <c r="K531" i="6"/>
  <c r="S531" i="6"/>
  <c r="Q532" i="6"/>
  <c r="K533" i="6"/>
  <c r="S533" i="6"/>
  <c r="Q534" i="6"/>
  <c r="K535" i="6"/>
  <c r="S535" i="6"/>
  <c r="Q536" i="6"/>
  <c r="K537" i="6"/>
  <c r="S537" i="6"/>
  <c r="Q538" i="6"/>
  <c r="K539" i="6"/>
  <c r="S539" i="6"/>
  <c r="Q540" i="6"/>
  <c r="K541" i="6"/>
  <c r="S541" i="6"/>
  <c r="Q542" i="6"/>
  <c r="K543" i="6"/>
  <c r="S543" i="6"/>
  <c r="Q544" i="6"/>
  <c r="K545" i="6"/>
  <c r="S545" i="6"/>
  <c r="Q546" i="6"/>
  <c r="K547" i="6"/>
  <c r="S547" i="6"/>
  <c r="Q548" i="6"/>
  <c r="K549" i="6"/>
  <c r="S549" i="6"/>
  <c r="Q550" i="6"/>
  <c r="K551" i="6"/>
  <c r="S551" i="6"/>
  <c r="Q552" i="6"/>
  <c r="K553" i="6"/>
  <c r="S553" i="6"/>
  <c r="Q554" i="6"/>
  <c r="K555" i="6"/>
  <c r="S555" i="6"/>
  <c r="Q556" i="6"/>
  <c r="K557" i="6"/>
  <c r="S557" i="6"/>
  <c r="Q558" i="6"/>
  <c r="K559" i="6"/>
  <c r="S559" i="6"/>
  <c r="Q560" i="6"/>
  <c r="K561" i="6"/>
  <c r="S561" i="6"/>
  <c r="Q562" i="6"/>
  <c r="K563" i="6"/>
  <c r="S563" i="6"/>
  <c r="Q564" i="6"/>
  <c r="K565" i="6"/>
  <c r="S565" i="6"/>
  <c r="Q566" i="6"/>
  <c r="K567" i="6"/>
  <c r="S567" i="6"/>
  <c r="Q568" i="6"/>
  <c r="K569" i="6"/>
  <c r="S569" i="6"/>
  <c r="Q570" i="6"/>
  <c r="K571" i="6"/>
  <c r="S571" i="6"/>
  <c r="Q572" i="6"/>
  <c r="K573" i="6"/>
  <c r="S573" i="6"/>
  <c r="Q574" i="6"/>
  <c r="K575" i="6"/>
  <c r="S575" i="6"/>
  <c r="Q576" i="6"/>
  <c r="K577" i="6"/>
  <c r="S577" i="6"/>
  <c r="Q578" i="6"/>
  <c r="K579" i="6"/>
  <c r="S579" i="6"/>
  <c r="Q580" i="6"/>
  <c r="K581" i="6"/>
  <c r="S581" i="6"/>
  <c r="Q582" i="6"/>
  <c r="K583" i="6"/>
  <c r="S583" i="6"/>
  <c r="Q584" i="6"/>
  <c r="K585" i="6"/>
  <c r="S585" i="6"/>
  <c r="Q586" i="6"/>
  <c r="K587" i="6"/>
  <c r="S587" i="6"/>
  <c r="Q588" i="6"/>
  <c r="K589" i="6"/>
  <c r="S589" i="6"/>
  <c r="Q590" i="6"/>
  <c r="K591" i="6"/>
  <c r="S591" i="6"/>
  <c r="Q592" i="6"/>
  <c r="K593" i="6"/>
  <c r="S593" i="6"/>
  <c r="Q594" i="6"/>
  <c r="K595" i="6"/>
  <c r="S595" i="6"/>
  <c r="Q596" i="6"/>
  <c r="K597" i="6"/>
  <c r="S597" i="6"/>
  <c r="Q598" i="6"/>
  <c r="K599" i="6"/>
  <c r="S599" i="6"/>
  <c r="Q600" i="6"/>
  <c r="K601" i="6"/>
  <c r="S601" i="6"/>
  <c r="Q602" i="6"/>
  <c r="K603" i="6"/>
  <c r="S603" i="6"/>
  <c r="Q604" i="6"/>
  <c r="K605" i="6"/>
  <c r="S605" i="6"/>
  <c r="Q606" i="6"/>
  <c r="K607" i="6"/>
  <c r="S607" i="6"/>
  <c r="Q608" i="6"/>
  <c r="K609" i="6"/>
  <c r="S609" i="6"/>
  <c r="Q610" i="6"/>
  <c r="K611" i="6"/>
  <c r="S611" i="6"/>
  <c r="Q612" i="6"/>
  <c r="K613" i="6"/>
  <c r="S613" i="6"/>
  <c r="Q614" i="6"/>
  <c r="K615" i="6"/>
  <c r="S615" i="6"/>
  <c r="Q616" i="6"/>
  <c r="K617" i="6"/>
  <c r="S617" i="6"/>
  <c r="Q618" i="6"/>
  <c r="K619" i="6"/>
  <c r="S619" i="6"/>
  <c r="Q620" i="6"/>
  <c r="K621" i="6"/>
  <c r="S621" i="6"/>
  <c r="Q622" i="6"/>
  <c r="K623" i="6"/>
  <c r="S623" i="6"/>
  <c r="Q624" i="6"/>
  <c r="K625" i="6"/>
  <c r="S625" i="6"/>
  <c r="Q626" i="6"/>
  <c r="K627" i="6"/>
  <c r="S627" i="6"/>
  <c r="Q628" i="6"/>
  <c r="K629" i="6"/>
  <c r="S629" i="6"/>
  <c r="Q630" i="6"/>
  <c r="K631" i="6"/>
  <c r="S631" i="6"/>
  <c r="Q632" i="6"/>
  <c r="K633" i="6"/>
  <c r="S633" i="6"/>
  <c r="Q634" i="6"/>
  <c r="K635" i="6"/>
  <c r="S635" i="6"/>
  <c r="Q636" i="6"/>
  <c r="K637" i="6"/>
  <c r="S637" i="6"/>
  <c r="Q638" i="6"/>
  <c r="K639" i="6"/>
  <c r="S639" i="6"/>
  <c r="Q640" i="6"/>
  <c r="K641" i="6"/>
  <c r="S641" i="6"/>
  <c r="Q642" i="6"/>
  <c r="K643" i="6"/>
  <c r="S643" i="6"/>
  <c r="Q644" i="6"/>
  <c r="K645" i="6"/>
  <c r="S645" i="6"/>
  <c r="Q646" i="6"/>
  <c r="K647" i="6"/>
  <c r="S647" i="6"/>
  <c r="Q648" i="6"/>
  <c r="K649" i="6"/>
  <c r="S649" i="6"/>
  <c r="Q650" i="6"/>
  <c r="K651" i="6"/>
  <c r="S651" i="6"/>
  <c r="Q652" i="6"/>
  <c r="K653" i="6"/>
  <c r="S653" i="6"/>
  <c r="Q654" i="6"/>
  <c r="K655" i="6"/>
  <c r="S655" i="6"/>
  <c r="Q656" i="6"/>
  <c r="K657" i="6"/>
  <c r="S657" i="6"/>
  <c r="Q658" i="6"/>
  <c r="K659" i="6"/>
  <c r="S659" i="6"/>
  <c r="Q660" i="6"/>
  <c r="K661" i="6"/>
  <c r="S661" i="6"/>
  <c r="Q662" i="6"/>
  <c r="K663" i="6"/>
  <c r="S663" i="6"/>
  <c r="Q664" i="6"/>
  <c r="T666" i="6"/>
  <c r="R666" i="6"/>
  <c r="P666" i="6"/>
  <c r="N666" i="6"/>
  <c r="L666" i="6"/>
  <c r="J666" i="6"/>
  <c r="S666" i="6"/>
  <c r="Q666" i="6"/>
  <c r="O666" i="6"/>
  <c r="M666" i="6"/>
  <c r="K666" i="6"/>
  <c r="I666" i="6"/>
  <c r="T668" i="6"/>
  <c r="R668" i="6"/>
  <c r="P668" i="6"/>
  <c r="N668" i="6"/>
  <c r="L668" i="6"/>
  <c r="J668" i="6"/>
  <c r="S668" i="6"/>
  <c r="Q668" i="6"/>
  <c r="O668" i="6"/>
  <c r="M668" i="6"/>
  <c r="K668" i="6"/>
  <c r="I668" i="6"/>
  <c r="T670" i="6"/>
  <c r="R670" i="6"/>
  <c r="P670" i="6"/>
  <c r="N670" i="6"/>
  <c r="L670" i="6"/>
  <c r="J670" i="6"/>
  <c r="S670" i="6"/>
  <c r="Q670" i="6"/>
  <c r="O670" i="6"/>
  <c r="M670" i="6"/>
  <c r="K670" i="6"/>
  <c r="I670" i="6"/>
  <c r="T672" i="6"/>
  <c r="R672" i="6"/>
  <c r="P672" i="6"/>
  <c r="N672" i="6"/>
  <c r="L672" i="6"/>
  <c r="J672" i="6"/>
  <c r="S672" i="6"/>
  <c r="Q672" i="6"/>
  <c r="O672" i="6"/>
  <c r="M672" i="6"/>
  <c r="K672" i="6"/>
  <c r="I672" i="6"/>
  <c r="T674" i="6"/>
  <c r="R674" i="6"/>
  <c r="P674" i="6"/>
  <c r="N674" i="6"/>
  <c r="L674" i="6"/>
  <c r="J674" i="6"/>
  <c r="S674" i="6"/>
  <c r="Q674" i="6"/>
  <c r="O674" i="6"/>
  <c r="M674" i="6"/>
  <c r="K674" i="6"/>
  <c r="I674" i="6"/>
  <c r="T676" i="6"/>
  <c r="R676" i="6"/>
  <c r="P676" i="6"/>
  <c r="N676" i="6"/>
  <c r="L676" i="6"/>
  <c r="J676" i="6"/>
  <c r="S676" i="6"/>
  <c r="Q676" i="6"/>
  <c r="O676" i="6"/>
  <c r="M676" i="6"/>
  <c r="K676" i="6"/>
  <c r="I676" i="6"/>
  <c r="T678" i="6"/>
  <c r="R678" i="6"/>
  <c r="P678" i="6"/>
  <c r="N678" i="6"/>
  <c r="L678" i="6"/>
  <c r="J678" i="6"/>
  <c r="S678" i="6"/>
  <c r="Q678" i="6"/>
  <c r="O678" i="6"/>
  <c r="M678" i="6"/>
  <c r="K678" i="6"/>
  <c r="I678" i="6"/>
  <c r="T680" i="6"/>
  <c r="R680" i="6"/>
  <c r="P680" i="6"/>
  <c r="N680" i="6"/>
  <c r="L680" i="6"/>
  <c r="J680" i="6"/>
  <c r="S680" i="6"/>
  <c r="Q680" i="6"/>
  <c r="O680" i="6"/>
  <c r="M680" i="6"/>
  <c r="K680" i="6"/>
  <c r="I680" i="6"/>
  <c r="T682" i="6"/>
  <c r="R682" i="6"/>
  <c r="P682" i="6"/>
  <c r="N682" i="6"/>
  <c r="L682" i="6"/>
  <c r="J682" i="6"/>
  <c r="S682" i="6"/>
  <c r="Q682" i="6"/>
  <c r="O682" i="6"/>
  <c r="M682" i="6"/>
  <c r="K682" i="6"/>
  <c r="I682" i="6"/>
  <c r="T684" i="6"/>
  <c r="R684" i="6"/>
  <c r="P684" i="6"/>
  <c r="N684" i="6"/>
  <c r="L684" i="6"/>
  <c r="J684" i="6"/>
  <c r="S684" i="6"/>
  <c r="Q684" i="6"/>
  <c r="O684" i="6"/>
  <c r="M684" i="6"/>
  <c r="K684" i="6"/>
  <c r="I684" i="6"/>
  <c r="T686" i="6"/>
  <c r="R686" i="6"/>
  <c r="P686" i="6"/>
  <c r="N686" i="6"/>
  <c r="L686" i="6"/>
  <c r="J686" i="6"/>
  <c r="S686" i="6"/>
  <c r="Q686" i="6"/>
  <c r="O686" i="6"/>
  <c r="M686" i="6"/>
  <c r="K686" i="6"/>
  <c r="I686" i="6"/>
  <c r="T688" i="6"/>
  <c r="R688" i="6"/>
  <c r="P688" i="6"/>
  <c r="N688" i="6"/>
  <c r="L688" i="6"/>
  <c r="J688" i="6"/>
  <c r="S688" i="6"/>
  <c r="Q688" i="6"/>
  <c r="O688" i="6"/>
  <c r="M688" i="6"/>
  <c r="K688" i="6"/>
  <c r="I688" i="6"/>
  <c r="T690" i="6"/>
  <c r="R690" i="6"/>
  <c r="P690" i="6"/>
  <c r="N690" i="6"/>
  <c r="L690" i="6"/>
  <c r="J690" i="6"/>
  <c r="S690" i="6"/>
  <c r="Q690" i="6"/>
  <c r="O690" i="6"/>
  <c r="M690" i="6"/>
  <c r="K690" i="6"/>
  <c r="I690" i="6"/>
  <c r="T692" i="6"/>
  <c r="R692" i="6"/>
  <c r="P692" i="6"/>
  <c r="N692" i="6"/>
  <c r="L692" i="6"/>
  <c r="J692" i="6"/>
  <c r="S692" i="6"/>
  <c r="Q692" i="6"/>
  <c r="O692" i="6"/>
  <c r="M692" i="6"/>
  <c r="K692" i="6"/>
  <c r="I692" i="6"/>
  <c r="T694" i="6"/>
  <c r="R694" i="6"/>
  <c r="P694" i="6"/>
  <c r="N694" i="6"/>
  <c r="L694" i="6"/>
  <c r="J694" i="6"/>
  <c r="S694" i="6"/>
  <c r="Q694" i="6"/>
  <c r="O694" i="6"/>
  <c r="M694" i="6"/>
  <c r="K694" i="6"/>
  <c r="I694" i="6"/>
  <c r="T696" i="6"/>
  <c r="R696" i="6"/>
  <c r="P696" i="6"/>
  <c r="N696" i="6"/>
  <c r="L696" i="6"/>
  <c r="J696" i="6"/>
  <c r="S696" i="6"/>
  <c r="Q696" i="6"/>
  <c r="O696" i="6"/>
  <c r="M696" i="6"/>
  <c r="K696" i="6"/>
  <c r="I696" i="6"/>
  <c r="T698" i="6"/>
  <c r="R698" i="6"/>
  <c r="P698" i="6"/>
  <c r="N698" i="6"/>
  <c r="L698" i="6"/>
  <c r="J698" i="6"/>
  <c r="S698" i="6"/>
  <c r="Q698" i="6"/>
  <c r="O698" i="6"/>
  <c r="M698" i="6"/>
  <c r="K698" i="6"/>
  <c r="I698" i="6"/>
  <c r="T700" i="6"/>
  <c r="R700" i="6"/>
  <c r="P700" i="6"/>
  <c r="N700" i="6"/>
  <c r="L700" i="6"/>
  <c r="J700" i="6"/>
  <c r="S700" i="6"/>
  <c r="Q700" i="6"/>
  <c r="O700" i="6"/>
  <c r="M700" i="6"/>
  <c r="K700" i="6"/>
  <c r="I700" i="6"/>
  <c r="T702" i="6"/>
  <c r="R702" i="6"/>
  <c r="P702" i="6"/>
  <c r="N702" i="6"/>
  <c r="L702" i="6"/>
  <c r="J702" i="6"/>
  <c r="S702" i="6"/>
  <c r="Q702" i="6"/>
  <c r="O702" i="6"/>
  <c r="M702" i="6"/>
  <c r="K702" i="6"/>
  <c r="I702" i="6"/>
  <c r="T704" i="6"/>
  <c r="R704" i="6"/>
  <c r="P704" i="6"/>
  <c r="N704" i="6"/>
  <c r="L704" i="6"/>
  <c r="J704" i="6"/>
  <c r="S704" i="6"/>
  <c r="Q704" i="6"/>
  <c r="O704" i="6"/>
  <c r="M704" i="6"/>
  <c r="K704" i="6"/>
  <c r="I704" i="6"/>
  <c r="T706" i="6"/>
  <c r="R706" i="6"/>
  <c r="P706" i="6"/>
  <c r="N706" i="6"/>
  <c r="L706" i="6"/>
  <c r="J706" i="6"/>
  <c r="S706" i="6"/>
  <c r="Q706" i="6"/>
  <c r="O706" i="6"/>
  <c r="M706" i="6"/>
  <c r="K706" i="6"/>
  <c r="I706" i="6"/>
  <c r="T708" i="6"/>
  <c r="R708" i="6"/>
  <c r="P708" i="6"/>
  <c r="N708" i="6"/>
  <c r="L708" i="6"/>
  <c r="J708" i="6"/>
  <c r="S708" i="6"/>
  <c r="Q708" i="6"/>
  <c r="O708" i="6"/>
  <c r="M708" i="6"/>
  <c r="K708" i="6"/>
  <c r="I708" i="6"/>
  <c r="T710" i="6"/>
  <c r="R710" i="6"/>
  <c r="P710" i="6"/>
  <c r="N710" i="6"/>
  <c r="L710" i="6"/>
  <c r="J710" i="6"/>
  <c r="S710" i="6"/>
  <c r="Q710" i="6"/>
  <c r="O710" i="6"/>
  <c r="M710" i="6"/>
  <c r="K710" i="6"/>
  <c r="I710" i="6"/>
  <c r="T712" i="6"/>
  <c r="R712" i="6"/>
  <c r="P712" i="6"/>
  <c r="N712" i="6"/>
  <c r="L712" i="6"/>
  <c r="J712" i="6"/>
  <c r="S712" i="6"/>
  <c r="Q712" i="6"/>
  <c r="O712" i="6"/>
  <c r="M712" i="6"/>
  <c r="K712" i="6"/>
  <c r="I712" i="6"/>
  <c r="T714" i="6"/>
  <c r="R714" i="6"/>
  <c r="P714" i="6"/>
  <c r="N714" i="6"/>
  <c r="L714" i="6"/>
  <c r="J714" i="6"/>
  <c r="S714" i="6"/>
  <c r="Q714" i="6"/>
  <c r="O714" i="6"/>
  <c r="M714" i="6"/>
  <c r="K714" i="6"/>
  <c r="I714" i="6"/>
  <c r="T716" i="6"/>
  <c r="R716" i="6"/>
  <c r="P716" i="6"/>
  <c r="N716" i="6"/>
  <c r="L716" i="6"/>
  <c r="J716" i="6"/>
  <c r="S716" i="6"/>
  <c r="Q716" i="6"/>
  <c r="O716" i="6"/>
  <c r="M716" i="6"/>
  <c r="K716" i="6"/>
  <c r="I716" i="6"/>
  <c r="T718" i="6"/>
  <c r="R718" i="6"/>
  <c r="P718" i="6"/>
  <c r="N718" i="6"/>
  <c r="L718" i="6"/>
  <c r="J718" i="6"/>
  <c r="S718" i="6"/>
  <c r="Q718" i="6"/>
  <c r="O718" i="6"/>
  <c r="M718" i="6"/>
  <c r="K718" i="6"/>
  <c r="I718" i="6"/>
  <c r="T720" i="6"/>
  <c r="R720" i="6"/>
  <c r="P720" i="6"/>
  <c r="N720" i="6"/>
  <c r="L720" i="6"/>
  <c r="J720" i="6"/>
  <c r="S720" i="6"/>
  <c r="Q720" i="6"/>
  <c r="O720" i="6"/>
  <c r="M720" i="6"/>
  <c r="K720" i="6"/>
  <c r="I720" i="6"/>
  <c r="T722" i="6"/>
  <c r="R722" i="6"/>
  <c r="P722" i="6"/>
  <c r="N722" i="6"/>
  <c r="L722" i="6"/>
  <c r="J722" i="6"/>
  <c r="S722" i="6"/>
  <c r="Q722" i="6"/>
  <c r="O722" i="6"/>
  <c r="M722" i="6"/>
  <c r="K722" i="6"/>
  <c r="I722" i="6"/>
  <c r="T724" i="6"/>
  <c r="R724" i="6"/>
  <c r="P724" i="6"/>
  <c r="N724" i="6"/>
  <c r="L724" i="6"/>
  <c r="J724" i="6"/>
  <c r="S724" i="6"/>
  <c r="Q724" i="6"/>
  <c r="O724" i="6"/>
  <c r="M724" i="6"/>
  <c r="K724" i="6"/>
  <c r="I724" i="6"/>
  <c r="T726" i="6"/>
  <c r="R726" i="6"/>
  <c r="P726" i="6"/>
  <c r="N726" i="6"/>
  <c r="L726" i="6"/>
  <c r="J726" i="6"/>
  <c r="S726" i="6"/>
  <c r="Q726" i="6"/>
  <c r="O726" i="6"/>
  <c r="M726" i="6"/>
  <c r="K726" i="6"/>
  <c r="I726" i="6"/>
  <c r="T728" i="6"/>
  <c r="R728" i="6"/>
  <c r="P728" i="6"/>
  <c r="N728" i="6"/>
  <c r="L728" i="6"/>
  <c r="J728" i="6"/>
  <c r="S728" i="6"/>
  <c r="Q728" i="6"/>
  <c r="O728" i="6"/>
  <c r="M728" i="6"/>
  <c r="K728" i="6"/>
  <c r="I728" i="6"/>
  <c r="T730" i="6"/>
  <c r="R730" i="6"/>
  <c r="P730" i="6"/>
  <c r="N730" i="6"/>
  <c r="L730" i="6"/>
  <c r="J730" i="6"/>
  <c r="S730" i="6"/>
  <c r="Q730" i="6"/>
  <c r="O730" i="6"/>
  <c r="M730" i="6"/>
  <c r="K730" i="6"/>
  <c r="I730" i="6"/>
  <c r="T732" i="6"/>
  <c r="R732" i="6"/>
  <c r="P732" i="6"/>
  <c r="N732" i="6"/>
  <c r="L732" i="6"/>
  <c r="J732" i="6"/>
  <c r="S732" i="6"/>
  <c r="Q732" i="6"/>
  <c r="O732" i="6"/>
  <c r="M732" i="6"/>
  <c r="K732" i="6"/>
  <c r="I732" i="6"/>
  <c r="T734" i="6"/>
  <c r="R734" i="6"/>
  <c r="P734" i="6"/>
  <c r="N734" i="6"/>
  <c r="L734" i="6"/>
  <c r="J734" i="6"/>
  <c r="S734" i="6"/>
  <c r="Q734" i="6"/>
  <c r="O734" i="6"/>
  <c r="M734" i="6"/>
  <c r="K734" i="6"/>
  <c r="I734" i="6"/>
  <c r="T736" i="6"/>
  <c r="R736" i="6"/>
  <c r="P736" i="6"/>
  <c r="N736" i="6"/>
  <c r="L736" i="6"/>
  <c r="J736" i="6"/>
  <c r="S736" i="6"/>
  <c r="Q736" i="6"/>
  <c r="O736" i="6"/>
  <c r="M736" i="6"/>
  <c r="K736" i="6"/>
  <c r="I736" i="6"/>
  <c r="T738" i="6"/>
  <c r="R738" i="6"/>
  <c r="P738" i="6"/>
  <c r="N738" i="6"/>
  <c r="L738" i="6"/>
  <c r="J738" i="6"/>
  <c r="S738" i="6"/>
  <c r="Q738" i="6"/>
  <c r="O738" i="6"/>
  <c r="M738" i="6"/>
  <c r="K738" i="6"/>
  <c r="I738" i="6"/>
  <c r="T740" i="6"/>
  <c r="R740" i="6"/>
  <c r="P740" i="6"/>
  <c r="N740" i="6"/>
  <c r="L740" i="6"/>
  <c r="J740" i="6"/>
  <c r="S740" i="6"/>
  <c r="Q740" i="6"/>
  <c r="O740" i="6"/>
  <c r="M740" i="6"/>
  <c r="K740" i="6"/>
  <c r="I740" i="6"/>
  <c r="T742" i="6"/>
  <c r="R742" i="6"/>
  <c r="P742" i="6"/>
  <c r="N742" i="6"/>
  <c r="L742" i="6"/>
  <c r="J742" i="6"/>
  <c r="S742" i="6"/>
  <c r="Q742" i="6"/>
  <c r="O742" i="6"/>
  <c r="M742" i="6"/>
  <c r="K742" i="6"/>
  <c r="I742" i="6"/>
  <c r="T744" i="6"/>
  <c r="R744" i="6"/>
  <c r="P744" i="6"/>
  <c r="N744" i="6"/>
  <c r="L744" i="6"/>
  <c r="J744" i="6"/>
  <c r="S744" i="6"/>
  <c r="Q744" i="6"/>
  <c r="O744" i="6"/>
  <c r="M744" i="6"/>
  <c r="K744" i="6"/>
  <c r="I744" i="6"/>
  <c r="T746" i="6"/>
  <c r="R746" i="6"/>
  <c r="P746" i="6"/>
  <c r="N746" i="6"/>
  <c r="L746" i="6"/>
  <c r="J746" i="6"/>
  <c r="S746" i="6"/>
  <c r="Q746" i="6"/>
  <c r="O746" i="6"/>
  <c r="M746" i="6"/>
  <c r="K746" i="6"/>
  <c r="I746" i="6"/>
  <c r="T748" i="6"/>
  <c r="R748" i="6"/>
  <c r="P748" i="6"/>
  <c r="N748" i="6"/>
  <c r="L748" i="6"/>
  <c r="J748" i="6"/>
  <c r="S748" i="6"/>
  <c r="Q748" i="6"/>
  <c r="O748" i="6"/>
  <c r="M748" i="6"/>
  <c r="K748" i="6"/>
  <c r="I748" i="6"/>
  <c r="T750" i="6"/>
  <c r="R750" i="6"/>
  <c r="P750" i="6"/>
  <c r="N750" i="6"/>
  <c r="L750" i="6"/>
  <c r="J750" i="6"/>
  <c r="S750" i="6"/>
  <c r="Q750" i="6"/>
  <c r="O750" i="6"/>
  <c r="M750" i="6"/>
  <c r="K750" i="6"/>
  <c r="I750" i="6"/>
  <c r="T752" i="6"/>
  <c r="R752" i="6"/>
  <c r="P752" i="6"/>
  <c r="N752" i="6"/>
  <c r="L752" i="6"/>
  <c r="J752" i="6"/>
  <c r="S752" i="6"/>
  <c r="Q752" i="6"/>
  <c r="O752" i="6"/>
  <c r="M752" i="6"/>
  <c r="K752" i="6"/>
  <c r="I752" i="6"/>
  <c r="T754" i="6"/>
  <c r="R754" i="6"/>
  <c r="P754" i="6"/>
  <c r="N754" i="6"/>
  <c r="L754" i="6"/>
  <c r="J754" i="6"/>
  <c r="S754" i="6"/>
  <c r="Q754" i="6"/>
  <c r="O754" i="6"/>
  <c r="M754" i="6"/>
  <c r="K754" i="6"/>
  <c r="I754" i="6"/>
  <c r="T756" i="6"/>
  <c r="R756" i="6"/>
  <c r="P756" i="6"/>
  <c r="N756" i="6"/>
  <c r="L756" i="6"/>
  <c r="J756" i="6"/>
  <c r="S756" i="6"/>
  <c r="Q756" i="6"/>
  <c r="O756" i="6"/>
  <c r="M756" i="6"/>
  <c r="K756" i="6"/>
  <c r="I756" i="6"/>
  <c r="T758" i="6"/>
  <c r="R758" i="6"/>
  <c r="P758" i="6"/>
  <c r="N758" i="6"/>
  <c r="L758" i="6"/>
  <c r="J758" i="6"/>
  <c r="S758" i="6"/>
  <c r="Q758" i="6"/>
  <c r="O758" i="6"/>
  <c r="M758" i="6"/>
  <c r="K758" i="6"/>
  <c r="I758" i="6"/>
  <c r="T760" i="6"/>
  <c r="R760" i="6"/>
  <c r="P760" i="6"/>
  <c r="N760" i="6"/>
  <c r="L760" i="6"/>
  <c r="J760" i="6"/>
  <c r="S760" i="6"/>
  <c r="Q760" i="6"/>
  <c r="O760" i="6"/>
  <c r="M760" i="6"/>
  <c r="K760" i="6"/>
  <c r="I760" i="6"/>
  <c r="T762" i="6"/>
  <c r="R762" i="6"/>
  <c r="P762" i="6"/>
  <c r="N762" i="6"/>
  <c r="L762" i="6"/>
  <c r="J762" i="6"/>
  <c r="S762" i="6"/>
  <c r="Q762" i="6"/>
  <c r="O762" i="6"/>
  <c r="M762" i="6"/>
  <c r="K762" i="6"/>
  <c r="I762" i="6"/>
  <c r="T764" i="6"/>
  <c r="R764" i="6"/>
  <c r="P764" i="6"/>
  <c r="N764" i="6"/>
  <c r="L764" i="6"/>
  <c r="J764" i="6"/>
  <c r="S764" i="6"/>
  <c r="Q764" i="6"/>
  <c r="O764" i="6"/>
  <c r="M764" i="6"/>
  <c r="K764" i="6"/>
  <c r="I764" i="6"/>
  <c r="T766" i="6"/>
  <c r="R766" i="6"/>
  <c r="P766" i="6"/>
  <c r="N766" i="6"/>
  <c r="L766" i="6"/>
  <c r="J766" i="6"/>
  <c r="S766" i="6"/>
  <c r="Q766" i="6"/>
  <c r="O766" i="6"/>
  <c r="M766" i="6"/>
  <c r="K766" i="6"/>
  <c r="I766" i="6"/>
  <c r="T768" i="6"/>
  <c r="R768" i="6"/>
  <c r="P768" i="6"/>
  <c r="N768" i="6"/>
  <c r="L768" i="6"/>
  <c r="J768" i="6"/>
  <c r="S768" i="6"/>
  <c r="Q768" i="6"/>
  <c r="O768" i="6"/>
  <c r="M768" i="6"/>
  <c r="K768" i="6"/>
  <c r="I768" i="6"/>
  <c r="T770" i="6"/>
  <c r="R770" i="6"/>
  <c r="P770" i="6"/>
  <c r="N770" i="6"/>
  <c r="L770" i="6"/>
  <c r="J770" i="6"/>
  <c r="S770" i="6"/>
  <c r="Q770" i="6"/>
  <c r="O770" i="6"/>
  <c r="M770" i="6"/>
  <c r="K770" i="6"/>
  <c r="I770" i="6"/>
  <c r="T772" i="6"/>
  <c r="R772" i="6"/>
  <c r="P772" i="6"/>
  <c r="N772" i="6"/>
  <c r="L772" i="6"/>
  <c r="J772" i="6"/>
  <c r="S772" i="6"/>
  <c r="Q772" i="6"/>
  <c r="O772" i="6"/>
  <c r="M772" i="6"/>
  <c r="K772" i="6"/>
  <c r="I772" i="6"/>
  <c r="T774" i="6"/>
  <c r="R774" i="6"/>
  <c r="P774" i="6"/>
  <c r="N774" i="6"/>
  <c r="L774" i="6"/>
  <c r="J774" i="6"/>
  <c r="S774" i="6"/>
  <c r="Q774" i="6"/>
  <c r="O774" i="6"/>
  <c r="M774" i="6"/>
  <c r="K774" i="6"/>
  <c r="I774" i="6"/>
  <c r="T776" i="6"/>
  <c r="R776" i="6"/>
  <c r="P776" i="6"/>
  <c r="N776" i="6"/>
  <c r="L776" i="6"/>
  <c r="J776" i="6"/>
  <c r="S776" i="6"/>
  <c r="Q776" i="6"/>
  <c r="O776" i="6"/>
  <c r="M776" i="6"/>
  <c r="K776" i="6"/>
  <c r="I776" i="6"/>
  <c r="T778" i="6"/>
  <c r="R778" i="6"/>
  <c r="P778" i="6"/>
  <c r="N778" i="6"/>
  <c r="L778" i="6"/>
  <c r="J778" i="6"/>
  <c r="S778" i="6"/>
  <c r="Q778" i="6"/>
  <c r="O778" i="6"/>
  <c r="M778" i="6"/>
  <c r="K778" i="6"/>
  <c r="I778" i="6"/>
  <c r="T780" i="6"/>
  <c r="R780" i="6"/>
  <c r="P780" i="6"/>
  <c r="N780" i="6"/>
  <c r="L780" i="6"/>
  <c r="J780" i="6"/>
  <c r="S780" i="6"/>
  <c r="Q780" i="6"/>
  <c r="O780" i="6"/>
  <c r="M780" i="6"/>
  <c r="K780" i="6"/>
  <c r="I780" i="6"/>
  <c r="T782" i="6"/>
  <c r="R782" i="6"/>
  <c r="P782" i="6"/>
  <c r="N782" i="6"/>
  <c r="L782" i="6"/>
  <c r="J782" i="6"/>
  <c r="S782" i="6"/>
  <c r="Q782" i="6"/>
  <c r="O782" i="6"/>
  <c r="M782" i="6"/>
  <c r="K782" i="6"/>
  <c r="I782" i="6"/>
  <c r="T784" i="6"/>
  <c r="R784" i="6"/>
  <c r="P784" i="6"/>
  <c r="N784" i="6"/>
  <c r="L784" i="6"/>
  <c r="J784" i="6"/>
  <c r="S784" i="6"/>
  <c r="Q784" i="6"/>
  <c r="O784" i="6"/>
  <c r="M784" i="6"/>
  <c r="K784" i="6"/>
  <c r="I784" i="6"/>
  <c r="T786" i="6"/>
  <c r="R786" i="6"/>
  <c r="P786" i="6"/>
  <c r="N786" i="6"/>
  <c r="L786" i="6"/>
  <c r="J786" i="6"/>
  <c r="S786" i="6"/>
  <c r="Q786" i="6"/>
  <c r="O786" i="6"/>
  <c r="M786" i="6"/>
  <c r="K786" i="6"/>
  <c r="I786" i="6"/>
  <c r="T788" i="6"/>
  <c r="R788" i="6"/>
  <c r="P788" i="6"/>
  <c r="N788" i="6"/>
  <c r="L788" i="6"/>
  <c r="J788" i="6"/>
  <c r="S788" i="6"/>
  <c r="Q788" i="6"/>
  <c r="O788" i="6"/>
  <c r="M788" i="6"/>
  <c r="K788" i="6"/>
  <c r="I788" i="6"/>
  <c r="T790" i="6"/>
  <c r="R790" i="6"/>
  <c r="P790" i="6"/>
  <c r="N790" i="6"/>
  <c r="L790" i="6"/>
  <c r="J790" i="6"/>
  <c r="S790" i="6"/>
  <c r="Q790" i="6"/>
  <c r="O790" i="6"/>
  <c r="M790" i="6"/>
  <c r="K790" i="6"/>
  <c r="I790" i="6"/>
  <c r="T792" i="6"/>
  <c r="R792" i="6"/>
  <c r="P792" i="6"/>
  <c r="N792" i="6"/>
  <c r="L792" i="6"/>
  <c r="J792" i="6"/>
  <c r="S792" i="6"/>
  <c r="Q792" i="6"/>
  <c r="O792" i="6"/>
  <c r="M792" i="6"/>
  <c r="K792" i="6"/>
  <c r="I792" i="6"/>
  <c r="T794" i="6"/>
  <c r="R794" i="6"/>
  <c r="P794" i="6"/>
  <c r="N794" i="6"/>
  <c r="L794" i="6"/>
  <c r="J794" i="6"/>
  <c r="S794" i="6"/>
  <c r="Q794" i="6"/>
  <c r="O794" i="6"/>
  <c r="M794" i="6"/>
  <c r="K794" i="6"/>
  <c r="I794" i="6"/>
  <c r="T796" i="6"/>
  <c r="R796" i="6"/>
  <c r="P796" i="6"/>
  <c r="N796" i="6"/>
  <c r="L796" i="6"/>
  <c r="J796" i="6"/>
  <c r="S796" i="6"/>
  <c r="Q796" i="6"/>
  <c r="O796" i="6"/>
  <c r="M796" i="6"/>
  <c r="K796" i="6"/>
  <c r="I796" i="6"/>
  <c r="T798" i="6"/>
  <c r="R798" i="6"/>
  <c r="P798" i="6"/>
  <c r="N798" i="6"/>
  <c r="L798" i="6"/>
  <c r="J798" i="6"/>
  <c r="S798" i="6"/>
  <c r="Q798" i="6"/>
  <c r="O798" i="6"/>
  <c r="M798" i="6"/>
  <c r="K798" i="6"/>
  <c r="I798" i="6"/>
  <c r="T800" i="6"/>
  <c r="R800" i="6"/>
  <c r="P800" i="6"/>
  <c r="N800" i="6"/>
  <c r="L800" i="6"/>
  <c r="J800" i="6"/>
  <c r="S800" i="6"/>
  <c r="Q800" i="6"/>
  <c r="O800" i="6"/>
  <c r="M800" i="6"/>
  <c r="K800" i="6"/>
  <c r="I800" i="6"/>
  <c r="T802" i="6"/>
  <c r="R802" i="6"/>
  <c r="P802" i="6"/>
  <c r="N802" i="6"/>
  <c r="L802" i="6"/>
  <c r="J802" i="6"/>
  <c r="S802" i="6"/>
  <c r="Q802" i="6"/>
  <c r="O802" i="6"/>
  <c r="M802" i="6"/>
  <c r="K802" i="6"/>
  <c r="I802" i="6"/>
  <c r="T804" i="6"/>
  <c r="R804" i="6"/>
  <c r="P804" i="6"/>
  <c r="N804" i="6"/>
  <c r="L804" i="6"/>
  <c r="J804" i="6"/>
  <c r="S804" i="6"/>
  <c r="Q804" i="6"/>
  <c r="O804" i="6"/>
  <c r="M804" i="6"/>
  <c r="K804" i="6"/>
  <c r="I804" i="6"/>
  <c r="T806" i="6"/>
  <c r="R806" i="6"/>
  <c r="P806" i="6"/>
  <c r="N806" i="6"/>
  <c r="L806" i="6"/>
  <c r="J806" i="6"/>
  <c r="S806" i="6"/>
  <c r="Q806" i="6"/>
  <c r="O806" i="6"/>
  <c r="M806" i="6"/>
  <c r="K806" i="6"/>
  <c r="I806" i="6"/>
  <c r="T808" i="6"/>
  <c r="R808" i="6"/>
  <c r="P808" i="6"/>
  <c r="N808" i="6"/>
  <c r="L808" i="6"/>
  <c r="J808" i="6"/>
  <c r="S808" i="6"/>
  <c r="Q808" i="6"/>
  <c r="O808" i="6"/>
  <c r="M808" i="6"/>
  <c r="K808" i="6"/>
  <c r="I808" i="6"/>
  <c r="T810" i="6"/>
  <c r="R810" i="6"/>
  <c r="P810" i="6"/>
  <c r="N810" i="6"/>
  <c r="L810" i="6"/>
  <c r="J810" i="6"/>
  <c r="S810" i="6"/>
  <c r="Q810" i="6"/>
  <c r="O810" i="6"/>
  <c r="M810" i="6"/>
  <c r="K810" i="6"/>
  <c r="I810" i="6"/>
  <c r="T812" i="6"/>
  <c r="R812" i="6"/>
  <c r="P812" i="6"/>
  <c r="N812" i="6"/>
  <c r="L812" i="6"/>
  <c r="J812" i="6"/>
  <c r="S812" i="6"/>
  <c r="Q812" i="6"/>
  <c r="O812" i="6"/>
  <c r="M812" i="6"/>
  <c r="K812" i="6"/>
  <c r="I812" i="6"/>
  <c r="T814" i="6"/>
  <c r="R814" i="6"/>
  <c r="P814" i="6"/>
  <c r="N814" i="6"/>
  <c r="L814" i="6"/>
  <c r="J814" i="6"/>
  <c r="S814" i="6"/>
  <c r="Q814" i="6"/>
  <c r="O814" i="6"/>
  <c r="M814" i="6"/>
  <c r="K814" i="6"/>
  <c r="I814" i="6"/>
  <c r="T816" i="6"/>
  <c r="R816" i="6"/>
  <c r="P816" i="6"/>
  <c r="N816" i="6"/>
  <c r="L816" i="6"/>
  <c r="J816" i="6"/>
  <c r="S816" i="6"/>
  <c r="Q816" i="6"/>
  <c r="O816" i="6"/>
  <c r="M816" i="6"/>
  <c r="K816" i="6"/>
  <c r="I816" i="6"/>
  <c r="T818" i="6"/>
  <c r="R818" i="6"/>
  <c r="P818" i="6"/>
  <c r="N818" i="6"/>
  <c r="L818" i="6"/>
  <c r="J818" i="6"/>
  <c r="S818" i="6"/>
  <c r="Q818" i="6"/>
  <c r="O818" i="6"/>
  <c r="M818" i="6"/>
  <c r="K818" i="6"/>
  <c r="I818" i="6"/>
  <c r="T820" i="6"/>
  <c r="R820" i="6"/>
  <c r="P820" i="6"/>
  <c r="N820" i="6"/>
  <c r="L820" i="6"/>
  <c r="J820" i="6"/>
  <c r="S820" i="6"/>
  <c r="Q820" i="6"/>
  <c r="O820" i="6"/>
  <c r="M820" i="6"/>
  <c r="K820" i="6"/>
  <c r="I820" i="6"/>
  <c r="T822" i="6"/>
  <c r="R822" i="6"/>
  <c r="P822" i="6"/>
  <c r="N822" i="6"/>
  <c r="L822" i="6"/>
  <c r="J822" i="6"/>
  <c r="S822" i="6"/>
  <c r="Q822" i="6"/>
  <c r="O822" i="6"/>
  <c r="M822" i="6"/>
  <c r="K822" i="6"/>
  <c r="I822" i="6"/>
  <c r="T824" i="6"/>
  <c r="R824" i="6"/>
  <c r="P824" i="6"/>
  <c r="N824" i="6"/>
  <c r="L824" i="6"/>
  <c r="J824" i="6"/>
  <c r="S824" i="6"/>
  <c r="Q824" i="6"/>
  <c r="O824" i="6"/>
  <c r="M824" i="6"/>
  <c r="K824" i="6"/>
  <c r="I824" i="6"/>
  <c r="T826" i="6"/>
  <c r="R826" i="6"/>
  <c r="P826" i="6"/>
  <c r="N826" i="6"/>
  <c r="L826" i="6"/>
  <c r="J826" i="6"/>
  <c r="S826" i="6"/>
  <c r="Q826" i="6"/>
  <c r="O826" i="6"/>
  <c r="M826" i="6"/>
  <c r="K826" i="6"/>
  <c r="I826" i="6"/>
  <c r="T828" i="6"/>
  <c r="R828" i="6"/>
  <c r="P828" i="6"/>
  <c r="N828" i="6"/>
  <c r="L828" i="6"/>
  <c r="J828" i="6"/>
  <c r="S828" i="6"/>
  <c r="Q828" i="6"/>
  <c r="O828" i="6"/>
  <c r="M828" i="6"/>
  <c r="K828" i="6"/>
  <c r="I828" i="6"/>
  <c r="T830" i="6"/>
  <c r="R830" i="6"/>
  <c r="P830" i="6"/>
  <c r="N830" i="6"/>
  <c r="L830" i="6"/>
  <c r="J830" i="6"/>
  <c r="S830" i="6"/>
  <c r="Q830" i="6"/>
  <c r="O830" i="6"/>
  <c r="M830" i="6"/>
  <c r="K830" i="6"/>
  <c r="I830" i="6"/>
  <c r="T832" i="6"/>
  <c r="R832" i="6"/>
  <c r="P832" i="6"/>
  <c r="N832" i="6"/>
  <c r="L832" i="6"/>
  <c r="J832" i="6"/>
  <c r="S832" i="6"/>
  <c r="Q832" i="6"/>
  <c r="O832" i="6"/>
  <c r="M832" i="6"/>
  <c r="K832" i="6"/>
  <c r="I832" i="6"/>
  <c r="T834" i="6"/>
  <c r="R834" i="6"/>
  <c r="P834" i="6"/>
  <c r="N834" i="6"/>
  <c r="L834" i="6"/>
  <c r="J834" i="6"/>
  <c r="S834" i="6"/>
  <c r="Q834" i="6"/>
  <c r="O834" i="6"/>
  <c r="M834" i="6"/>
  <c r="K834" i="6"/>
  <c r="I834" i="6"/>
  <c r="T836" i="6"/>
  <c r="R836" i="6"/>
  <c r="P836" i="6"/>
  <c r="N836" i="6"/>
  <c r="L836" i="6"/>
  <c r="J836" i="6"/>
  <c r="S836" i="6"/>
  <c r="Q836" i="6"/>
  <c r="O836" i="6"/>
  <c r="M836" i="6"/>
  <c r="K836" i="6"/>
  <c r="I836" i="6"/>
  <c r="T838" i="6"/>
  <c r="R838" i="6"/>
  <c r="P838" i="6"/>
  <c r="N838" i="6"/>
  <c r="L838" i="6"/>
  <c r="J838" i="6"/>
  <c r="S838" i="6"/>
  <c r="Q838" i="6"/>
  <c r="O838" i="6"/>
  <c r="M838" i="6"/>
  <c r="K838" i="6"/>
  <c r="I838" i="6"/>
  <c r="T840" i="6"/>
  <c r="R840" i="6"/>
  <c r="P840" i="6"/>
  <c r="N840" i="6"/>
  <c r="L840" i="6"/>
  <c r="J840" i="6"/>
  <c r="S840" i="6"/>
  <c r="Q840" i="6"/>
  <c r="O840" i="6"/>
  <c r="M840" i="6"/>
  <c r="K840" i="6"/>
  <c r="I840" i="6"/>
  <c r="T842" i="6"/>
  <c r="R842" i="6"/>
  <c r="P842" i="6"/>
  <c r="N842" i="6"/>
  <c r="L842" i="6"/>
  <c r="J842" i="6"/>
  <c r="S842" i="6"/>
  <c r="Q842" i="6"/>
  <c r="O842" i="6"/>
  <c r="M842" i="6"/>
  <c r="K842" i="6"/>
  <c r="I842" i="6"/>
  <c r="T844" i="6"/>
  <c r="R844" i="6"/>
  <c r="P844" i="6"/>
  <c r="N844" i="6"/>
  <c r="L844" i="6"/>
  <c r="J844" i="6"/>
  <c r="S844" i="6"/>
  <c r="Q844" i="6"/>
  <c r="O844" i="6"/>
  <c r="M844" i="6"/>
  <c r="K844" i="6"/>
  <c r="I844" i="6"/>
  <c r="T846" i="6"/>
  <c r="R846" i="6"/>
  <c r="P846" i="6"/>
  <c r="N846" i="6"/>
  <c r="L846" i="6"/>
  <c r="J846" i="6"/>
  <c r="S846" i="6"/>
  <c r="Q846" i="6"/>
  <c r="O846" i="6"/>
  <c r="M846" i="6"/>
  <c r="K846" i="6"/>
  <c r="I846" i="6"/>
  <c r="T848" i="6"/>
  <c r="R848" i="6"/>
  <c r="P848" i="6"/>
  <c r="N848" i="6"/>
  <c r="L848" i="6"/>
  <c r="J848" i="6"/>
  <c r="S848" i="6"/>
  <c r="Q848" i="6"/>
  <c r="O848" i="6"/>
  <c r="M848" i="6"/>
  <c r="K848" i="6"/>
  <c r="I848" i="6"/>
  <c r="T850" i="6"/>
  <c r="R850" i="6"/>
  <c r="P850" i="6"/>
  <c r="N850" i="6"/>
  <c r="L850" i="6"/>
  <c r="J850" i="6"/>
  <c r="S850" i="6"/>
  <c r="Q850" i="6"/>
  <c r="O850" i="6"/>
  <c r="M850" i="6"/>
  <c r="K850" i="6"/>
  <c r="I850" i="6"/>
  <c r="T852" i="6"/>
  <c r="R852" i="6"/>
  <c r="P852" i="6"/>
  <c r="N852" i="6"/>
  <c r="L852" i="6"/>
  <c r="J852" i="6"/>
  <c r="S852" i="6"/>
  <c r="Q852" i="6"/>
  <c r="O852" i="6"/>
  <c r="M852" i="6"/>
  <c r="K852" i="6"/>
  <c r="I852" i="6"/>
  <c r="T854" i="6"/>
  <c r="R854" i="6"/>
  <c r="P854" i="6"/>
  <c r="N854" i="6"/>
  <c r="L854" i="6"/>
  <c r="J854" i="6"/>
  <c r="S854" i="6"/>
  <c r="Q854" i="6"/>
  <c r="O854" i="6"/>
  <c r="M854" i="6"/>
  <c r="K854" i="6"/>
  <c r="I854" i="6"/>
  <c r="T856" i="6"/>
  <c r="R856" i="6"/>
  <c r="P856" i="6"/>
  <c r="N856" i="6"/>
  <c r="L856" i="6"/>
  <c r="J856" i="6"/>
  <c r="S856" i="6"/>
  <c r="Q856" i="6"/>
  <c r="O856" i="6"/>
  <c r="M856" i="6"/>
  <c r="K856" i="6"/>
  <c r="I856" i="6"/>
  <c r="T858" i="6"/>
  <c r="R858" i="6"/>
  <c r="P858" i="6"/>
  <c r="N858" i="6"/>
  <c r="L858" i="6"/>
  <c r="J858" i="6"/>
  <c r="S858" i="6"/>
  <c r="Q858" i="6"/>
  <c r="O858" i="6"/>
  <c r="M858" i="6"/>
  <c r="K858" i="6"/>
  <c r="I858" i="6"/>
  <c r="T860" i="6"/>
  <c r="R860" i="6"/>
  <c r="P860" i="6"/>
  <c r="N860" i="6"/>
  <c r="L860" i="6"/>
  <c r="J860" i="6"/>
  <c r="S860" i="6"/>
  <c r="Q860" i="6"/>
  <c r="O860" i="6"/>
  <c r="M860" i="6"/>
  <c r="K860" i="6"/>
  <c r="I860" i="6"/>
  <c r="T862" i="6"/>
  <c r="R862" i="6"/>
  <c r="P862" i="6"/>
  <c r="N862" i="6"/>
  <c r="L862" i="6"/>
  <c r="J862" i="6"/>
  <c r="S862" i="6"/>
  <c r="Q862" i="6"/>
  <c r="O862" i="6"/>
  <c r="M862" i="6"/>
  <c r="K862" i="6"/>
  <c r="I862" i="6"/>
  <c r="T864" i="6"/>
  <c r="R864" i="6"/>
  <c r="P864" i="6"/>
  <c r="N864" i="6"/>
  <c r="L864" i="6"/>
  <c r="J864" i="6"/>
  <c r="S864" i="6"/>
  <c r="Q864" i="6"/>
  <c r="O864" i="6"/>
  <c r="M864" i="6"/>
  <c r="K864" i="6"/>
  <c r="I864" i="6"/>
  <c r="T866" i="6"/>
  <c r="R866" i="6"/>
  <c r="P866" i="6"/>
  <c r="N866" i="6"/>
  <c r="L866" i="6"/>
  <c r="J866" i="6"/>
  <c r="S866" i="6"/>
  <c r="Q866" i="6"/>
  <c r="O866" i="6"/>
  <c r="M866" i="6"/>
  <c r="K866" i="6"/>
  <c r="I866" i="6"/>
  <c r="T868" i="6"/>
  <c r="R868" i="6"/>
  <c r="P868" i="6"/>
  <c r="N868" i="6"/>
  <c r="L868" i="6"/>
  <c r="J868" i="6"/>
  <c r="S868" i="6"/>
  <c r="Q868" i="6"/>
  <c r="O868" i="6"/>
  <c r="M868" i="6"/>
  <c r="K868" i="6"/>
  <c r="I868" i="6"/>
  <c r="T870" i="6"/>
  <c r="R870" i="6"/>
  <c r="P870" i="6"/>
  <c r="N870" i="6"/>
  <c r="L870" i="6"/>
  <c r="J870" i="6"/>
  <c r="S870" i="6"/>
  <c r="Q870" i="6"/>
  <c r="O870" i="6"/>
  <c r="M870" i="6"/>
  <c r="K870" i="6"/>
  <c r="I870" i="6"/>
  <c r="T872" i="6"/>
  <c r="R872" i="6"/>
  <c r="P872" i="6"/>
  <c r="N872" i="6"/>
  <c r="L872" i="6"/>
  <c r="J872" i="6"/>
  <c r="S872" i="6"/>
  <c r="Q872" i="6"/>
  <c r="O872" i="6"/>
  <c r="M872" i="6"/>
  <c r="K872" i="6"/>
  <c r="I872" i="6"/>
  <c r="T874" i="6"/>
  <c r="R874" i="6"/>
  <c r="P874" i="6"/>
  <c r="N874" i="6"/>
  <c r="L874" i="6"/>
  <c r="J874" i="6"/>
  <c r="S874" i="6"/>
  <c r="Q874" i="6"/>
  <c r="O874" i="6"/>
  <c r="M874" i="6"/>
  <c r="K874" i="6"/>
  <c r="I874" i="6"/>
  <c r="T876" i="6"/>
  <c r="R876" i="6"/>
  <c r="P876" i="6"/>
  <c r="N876" i="6"/>
  <c r="L876" i="6"/>
  <c r="J876" i="6"/>
  <c r="S876" i="6"/>
  <c r="Q876" i="6"/>
  <c r="O876" i="6"/>
  <c r="M876" i="6"/>
  <c r="K876" i="6"/>
  <c r="I876" i="6"/>
  <c r="T878" i="6"/>
  <c r="R878" i="6"/>
  <c r="P878" i="6"/>
  <c r="N878" i="6"/>
  <c r="L878" i="6"/>
  <c r="J878" i="6"/>
  <c r="S878" i="6"/>
  <c r="Q878" i="6"/>
  <c r="O878" i="6"/>
  <c r="M878" i="6"/>
  <c r="K878" i="6"/>
  <c r="I878" i="6"/>
  <c r="T880" i="6"/>
  <c r="R880" i="6"/>
  <c r="P880" i="6"/>
  <c r="N880" i="6"/>
  <c r="L880" i="6"/>
  <c r="J880" i="6"/>
  <c r="S880" i="6"/>
  <c r="Q880" i="6"/>
  <c r="O880" i="6"/>
  <c r="M880" i="6"/>
  <c r="K880" i="6"/>
  <c r="I880" i="6"/>
  <c r="T882" i="6"/>
  <c r="R882" i="6"/>
  <c r="P882" i="6"/>
  <c r="N882" i="6"/>
  <c r="L882" i="6"/>
  <c r="J882" i="6"/>
  <c r="S882" i="6"/>
  <c r="Q882" i="6"/>
  <c r="O882" i="6"/>
  <c r="M882" i="6"/>
  <c r="K882" i="6"/>
  <c r="I882" i="6"/>
  <c r="T884" i="6"/>
  <c r="R884" i="6"/>
  <c r="P884" i="6"/>
  <c r="N884" i="6"/>
  <c r="L884" i="6"/>
  <c r="J884" i="6"/>
  <c r="S884" i="6"/>
  <c r="Q884" i="6"/>
  <c r="O884" i="6"/>
  <c r="M884" i="6"/>
  <c r="K884" i="6"/>
  <c r="I884" i="6"/>
  <c r="T886" i="6"/>
  <c r="R886" i="6"/>
  <c r="P886" i="6"/>
  <c r="N886" i="6"/>
  <c r="L886" i="6"/>
  <c r="J886" i="6"/>
  <c r="S886" i="6"/>
  <c r="Q886" i="6"/>
  <c r="O886" i="6"/>
  <c r="M886" i="6"/>
  <c r="K886" i="6"/>
  <c r="I886" i="6"/>
  <c r="T888" i="6"/>
  <c r="R888" i="6"/>
  <c r="P888" i="6"/>
  <c r="N888" i="6"/>
  <c r="L888" i="6"/>
  <c r="J888" i="6"/>
  <c r="S888" i="6"/>
  <c r="Q888" i="6"/>
  <c r="O888" i="6"/>
  <c r="M888" i="6"/>
  <c r="K888" i="6"/>
  <c r="I888" i="6"/>
  <c r="T890" i="6"/>
  <c r="R890" i="6"/>
  <c r="P890" i="6"/>
  <c r="N890" i="6"/>
  <c r="L890" i="6"/>
  <c r="J890" i="6"/>
  <c r="S890" i="6"/>
  <c r="Q890" i="6"/>
  <c r="O890" i="6"/>
  <c r="M890" i="6"/>
  <c r="K890" i="6"/>
  <c r="I890" i="6"/>
  <c r="T892" i="6"/>
  <c r="R892" i="6"/>
  <c r="P892" i="6"/>
  <c r="N892" i="6"/>
  <c r="L892" i="6"/>
  <c r="J892" i="6"/>
  <c r="S892" i="6"/>
  <c r="Q892" i="6"/>
  <c r="O892" i="6"/>
  <c r="M892" i="6"/>
  <c r="K892" i="6"/>
  <c r="I892" i="6"/>
  <c r="T894" i="6"/>
  <c r="R894" i="6"/>
  <c r="P894" i="6"/>
  <c r="N894" i="6"/>
  <c r="L894" i="6"/>
  <c r="J894" i="6"/>
  <c r="S894" i="6"/>
  <c r="Q894" i="6"/>
  <c r="O894" i="6"/>
  <c r="M894" i="6"/>
  <c r="K894" i="6"/>
  <c r="I894" i="6"/>
  <c r="T896" i="6"/>
  <c r="R896" i="6"/>
  <c r="P896" i="6"/>
  <c r="N896" i="6"/>
  <c r="L896" i="6"/>
  <c r="J896" i="6"/>
  <c r="S896" i="6"/>
  <c r="Q896" i="6"/>
  <c r="O896" i="6"/>
  <c r="M896" i="6"/>
  <c r="K896" i="6"/>
  <c r="I896" i="6"/>
  <c r="T898" i="6"/>
  <c r="R898" i="6"/>
  <c r="P898" i="6"/>
  <c r="N898" i="6"/>
  <c r="L898" i="6"/>
  <c r="J898" i="6"/>
  <c r="S898" i="6"/>
  <c r="Q898" i="6"/>
  <c r="O898" i="6"/>
  <c r="M898" i="6"/>
  <c r="K898" i="6"/>
  <c r="I898" i="6"/>
  <c r="T900" i="6"/>
  <c r="R900" i="6"/>
  <c r="P900" i="6"/>
  <c r="N900" i="6"/>
  <c r="L900" i="6"/>
  <c r="J900" i="6"/>
  <c r="S900" i="6"/>
  <c r="Q900" i="6"/>
  <c r="O900" i="6"/>
  <c r="M900" i="6"/>
  <c r="K900" i="6"/>
  <c r="I900" i="6"/>
  <c r="T902" i="6"/>
  <c r="R902" i="6"/>
  <c r="P902" i="6"/>
  <c r="N902" i="6"/>
  <c r="L902" i="6"/>
  <c r="J902" i="6"/>
  <c r="S902" i="6"/>
  <c r="Q902" i="6"/>
  <c r="O902" i="6"/>
  <c r="M902" i="6"/>
  <c r="K902" i="6"/>
  <c r="I902" i="6"/>
  <c r="T904" i="6"/>
  <c r="R904" i="6"/>
  <c r="P904" i="6"/>
  <c r="N904" i="6"/>
  <c r="L904" i="6"/>
  <c r="J904" i="6"/>
  <c r="S904" i="6"/>
  <c r="Q904" i="6"/>
  <c r="O904" i="6"/>
  <c r="M904" i="6"/>
  <c r="K904" i="6"/>
  <c r="I904" i="6"/>
  <c r="T906" i="6"/>
  <c r="R906" i="6"/>
  <c r="P906" i="6"/>
  <c r="N906" i="6"/>
  <c r="L906" i="6"/>
  <c r="J906" i="6"/>
  <c r="S906" i="6"/>
  <c r="Q906" i="6"/>
  <c r="O906" i="6"/>
  <c r="M906" i="6"/>
  <c r="K906" i="6"/>
  <c r="I906" i="6"/>
  <c r="T908" i="6"/>
  <c r="R908" i="6"/>
  <c r="P908" i="6"/>
  <c r="N908" i="6"/>
  <c r="L908" i="6"/>
  <c r="J908" i="6"/>
  <c r="S908" i="6"/>
  <c r="Q908" i="6"/>
  <c r="O908" i="6"/>
  <c r="M908" i="6"/>
  <c r="K908" i="6"/>
  <c r="I908" i="6"/>
  <c r="T910" i="6"/>
  <c r="R910" i="6"/>
  <c r="P910" i="6"/>
  <c r="N910" i="6"/>
  <c r="L910" i="6"/>
  <c r="J910" i="6"/>
  <c r="S910" i="6"/>
  <c r="Q910" i="6"/>
  <c r="O910" i="6"/>
  <c r="M910" i="6"/>
  <c r="K910" i="6"/>
  <c r="I910" i="6"/>
  <c r="T912" i="6"/>
  <c r="R912" i="6"/>
  <c r="P912" i="6"/>
  <c r="N912" i="6"/>
  <c r="L912" i="6"/>
  <c r="J912" i="6"/>
  <c r="S912" i="6"/>
  <c r="Q912" i="6"/>
  <c r="O912" i="6"/>
  <c r="M912" i="6"/>
  <c r="K912" i="6"/>
  <c r="I912" i="6"/>
  <c r="T914" i="6"/>
  <c r="R914" i="6"/>
  <c r="P914" i="6"/>
  <c r="N914" i="6"/>
  <c r="L914" i="6"/>
  <c r="J914" i="6"/>
  <c r="S914" i="6"/>
  <c r="Q914" i="6"/>
  <c r="O914" i="6"/>
  <c r="M914" i="6"/>
  <c r="K914" i="6"/>
  <c r="I914" i="6"/>
  <c r="T916" i="6"/>
  <c r="R916" i="6"/>
  <c r="P916" i="6"/>
  <c r="N916" i="6"/>
  <c r="L916" i="6"/>
  <c r="J916" i="6"/>
  <c r="S916" i="6"/>
  <c r="Q916" i="6"/>
  <c r="O916" i="6"/>
  <c r="M916" i="6"/>
  <c r="K916" i="6"/>
  <c r="I916" i="6"/>
  <c r="T918" i="6"/>
  <c r="R918" i="6"/>
  <c r="P918" i="6"/>
  <c r="N918" i="6"/>
  <c r="L918" i="6"/>
  <c r="J918" i="6"/>
  <c r="S918" i="6"/>
  <c r="Q918" i="6"/>
  <c r="O918" i="6"/>
  <c r="M918" i="6"/>
  <c r="K918" i="6"/>
  <c r="I918" i="6"/>
  <c r="T920" i="6"/>
  <c r="R920" i="6"/>
  <c r="P920" i="6"/>
  <c r="N920" i="6"/>
  <c r="L920" i="6"/>
  <c r="J920" i="6"/>
  <c r="S920" i="6"/>
  <c r="Q920" i="6"/>
  <c r="O920" i="6"/>
  <c r="M920" i="6"/>
  <c r="K920" i="6"/>
  <c r="I920" i="6"/>
  <c r="T922" i="6"/>
  <c r="R922" i="6"/>
  <c r="P922" i="6"/>
  <c r="N922" i="6"/>
  <c r="L922" i="6"/>
  <c r="J922" i="6"/>
  <c r="S922" i="6"/>
  <c r="Q922" i="6"/>
  <c r="O922" i="6"/>
  <c r="M922" i="6"/>
  <c r="K922" i="6"/>
  <c r="I922" i="6"/>
  <c r="T924" i="6"/>
  <c r="R924" i="6"/>
  <c r="P924" i="6"/>
  <c r="N924" i="6"/>
  <c r="L924" i="6"/>
  <c r="J924" i="6"/>
  <c r="S924" i="6"/>
  <c r="Q924" i="6"/>
  <c r="O924" i="6"/>
  <c r="M924" i="6"/>
  <c r="K924" i="6"/>
  <c r="I924" i="6"/>
  <c r="T926" i="6"/>
  <c r="R926" i="6"/>
  <c r="P926" i="6"/>
  <c r="N926" i="6"/>
  <c r="L926" i="6"/>
  <c r="J926" i="6"/>
  <c r="S926" i="6"/>
  <c r="Q926" i="6"/>
  <c r="O926" i="6"/>
  <c r="M926" i="6"/>
  <c r="K926" i="6"/>
  <c r="I926" i="6"/>
  <c r="T928" i="6"/>
  <c r="R928" i="6"/>
  <c r="P928" i="6"/>
  <c r="N928" i="6"/>
  <c r="L928" i="6"/>
  <c r="J928" i="6"/>
  <c r="S928" i="6"/>
  <c r="Q928" i="6"/>
  <c r="O928" i="6"/>
  <c r="M928" i="6"/>
  <c r="K928" i="6"/>
  <c r="I928" i="6"/>
  <c r="T930" i="6"/>
  <c r="R930" i="6"/>
  <c r="P930" i="6"/>
  <c r="N930" i="6"/>
  <c r="L930" i="6"/>
  <c r="J930" i="6"/>
  <c r="S930" i="6"/>
  <c r="Q930" i="6"/>
  <c r="O930" i="6"/>
  <c r="M930" i="6"/>
  <c r="K930" i="6"/>
  <c r="I930" i="6"/>
  <c r="T932" i="6"/>
  <c r="R932" i="6"/>
  <c r="P932" i="6"/>
  <c r="N932" i="6"/>
  <c r="L932" i="6"/>
  <c r="J932" i="6"/>
  <c r="S932" i="6"/>
  <c r="Q932" i="6"/>
  <c r="O932" i="6"/>
  <c r="M932" i="6"/>
  <c r="K932" i="6"/>
  <c r="I932" i="6"/>
  <c r="T934" i="6"/>
  <c r="R934" i="6"/>
  <c r="P934" i="6"/>
  <c r="N934" i="6"/>
  <c r="L934" i="6"/>
  <c r="J934" i="6"/>
  <c r="S934" i="6"/>
  <c r="Q934" i="6"/>
  <c r="O934" i="6"/>
  <c r="M934" i="6"/>
  <c r="K934" i="6"/>
  <c r="I934" i="6"/>
  <c r="T936" i="6"/>
  <c r="R936" i="6"/>
  <c r="P936" i="6"/>
  <c r="N936" i="6"/>
  <c r="L936" i="6"/>
  <c r="J936" i="6"/>
  <c r="S936" i="6"/>
  <c r="Q936" i="6"/>
  <c r="O936" i="6"/>
  <c r="M936" i="6"/>
  <c r="K936" i="6"/>
  <c r="I936" i="6"/>
  <c r="T938" i="6"/>
  <c r="R938" i="6"/>
  <c r="P938" i="6"/>
  <c r="N938" i="6"/>
  <c r="L938" i="6"/>
  <c r="J938" i="6"/>
  <c r="S938" i="6"/>
  <c r="Q938" i="6"/>
  <c r="O938" i="6"/>
  <c r="M938" i="6"/>
  <c r="K938" i="6"/>
  <c r="I938" i="6"/>
  <c r="T940" i="6"/>
  <c r="R940" i="6"/>
  <c r="P940" i="6"/>
  <c r="N940" i="6"/>
  <c r="L940" i="6"/>
  <c r="J940" i="6"/>
  <c r="S940" i="6"/>
  <c r="Q940" i="6"/>
  <c r="O940" i="6"/>
  <c r="M940" i="6"/>
  <c r="K940" i="6"/>
  <c r="I940" i="6"/>
  <c r="T942" i="6"/>
  <c r="R942" i="6"/>
  <c r="P942" i="6"/>
  <c r="N942" i="6"/>
  <c r="L942" i="6"/>
  <c r="J942" i="6"/>
  <c r="S942" i="6"/>
  <c r="Q942" i="6"/>
  <c r="O942" i="6"/>
  <c r="M942" i="6"/>
  <c r="K942" i="6"/>
  <c r="I942" i="6"/>
  <c r="T944" i="6"/>
  <c r="R944" i="6"/>
  <c r="P944" i="6"/>
  <c r="N944" i="6"/>
  <c r="L944" i="6"/>
  <c r="J944" i="6"/>
  <c r="S944" i="6"/>
  <c r="Q944" i="6"/>
  <c r="O944" i="6"/>
  <c r="M944" i="6"/>
  <c r="K944" i="6"/>
  <c r="I944" i="6"/>
  <c r="T946" i="6"/>
  <c r="R946" i="6"/>
  <c r="P946" i="6"/>
  <c r="N946" i="6"/>
  <c r="L946" i="6"/>
  <c r="J946" i="6"/>
  <c r="S946" i="6"/>
  <c r="Q946" i="6"/>
  <c r="O946" i="6"/>
  <c r="M946" i="6"/>
  <c r="K946" i="6"/>
  <c r="I946" i="6"/>
  <c r="T948" i="6"/>
  <c r="R948" i="6"/>
  <c r="P948" i="6"/>
  <c r="N948" i="6"/>
  <c r="L948" i="6"/>
  <c r="J948" i="6"/>
  <c r="S948" i="6"/>
  <c r="Q948" i="6"/>
  <c r="O948" i="6"/>
  <c r="M948" i="6"/>
  <c r="K948" i="6"/>
  <c r="I948" i="6"/>
  <c r="T950" i="6"/>
  <c r="R950" i="6"/>
  <c r="P950" i="6"/>
  <c r="N950" i="6"/>
  <c r="L950" i="6"/>
  <c r="J950" i="6"/>
  <c r="S950" i="6"/>
  <c r="Q950" i="6"/>
  <c r="O950" i="6"/>
  <c r="M950" i="6"/>
  <c r="K950" i="6"/>
  <c r="I950" i="6"/>
  <c r="T952" i="6"/>
  <c r="R952" i="6"/>
  <c r="P952" i="6"/>
  <c r="N952" i="6"/>
  <c r="L952" i="6"/>
  <c r="J952" i="6"/>
  <c r="S952" i="6"/>
  <c r="Q952" i="6"/>
  <c r="O952" i="6"/>
  <c r="M952" i="6"/>
  <c r="K952" i="6"/>
  <c r="I952" i="6"/>
  <c r="T954" i="6"/>
  <c r="R954" i="6"/>
  <c r="P954" i="6"/>
  <c r="N954" i="6"/>
  <c r="L954" i="6"/>
  <c r="J954" i="6"/>
  <c r="S954" i="6"/>
  <c r="Q954" i="6"/>
  <c r="O954" i="6"/>
  <c r="M954" i="6"/>
  <c r="K954" i="6"/>
  <c r="I954" i="6"/>
  <c r="T956" i="6"/>
  <c r="R956" i="6"/>
  <c r="P956" i="6"/>
  <c r="N956" i="6"/>
  <c r="L956" i="6"/>
  <c r="J956" i="6"/>
  <c r="S956" i="6"/>
  <c r="Q956" i="6"/>
  <c r="O956" i="6"/>
  <c r="M956" i="6"/>
  <c r="K956" i="6"/>
  <c r="I956" i="6"/>
  <c r="T958" i="6"/>
  <c r="R958" i="6"/>
  <c r="P958" i="6"/>
  <c r="N958" i="6"/>
  <c r="L958" i="6"/>
  <c r="J958" i="6"/>
  <c r="S958" i="6"/>
  <c r="Q958" i="6"/>
  <c r="O958" i="6"/>
  <c r="M958" i="6"/>
  <c r="K958" i="6"/>
  <c r="I958" i="6"/>
  <c r="T960" i="6"/>
  <c r="R960" i="6"/>
  <c r="P960" i="6"/>
  <c r="N960" i="6"/>
  <c r="L960" i="6"/>
  <c r="J960" i="6"/>
  <c r="S960" i="6"/>
  <c r="Q960" i="6"/>
  <c r="O960" i="6"/>
  <c r="M960" i="6"/>
  <c r="K960" i="6"/>
  <c r="I960" i="6"/>
  <c r="T962" i="6"/>
  <c r="R962" i="6"/>
  <c r="P962" i="6"/>
  <c r="N962" i="6"/>
  <c r="L962" i="6"/>
  <c r="J962" i="6"/>
  <c r="S962" i="6"/>
  <c r="Q962" i="6"/>
  <c r="O962" i="6"/>
  <c r="M962" i="6"/>
  <c r="K962" i="6"/>
  <c r="I962" i="6"/>
  <c r="T964" i="6"/>
  <c r="R964" i="6"/>
  <c r="P964" i="6"/>
  <c r="N964" i="6"/>
  <c r="L964" i="6"/>
  <c r="J964" i="6"/>
  <c r="S964" i="6"/>
  <c r="Q964" i="6"/>
  <c r="O964" i="6"/>
  <c r="M964" i="6"/>
  <c r="K964" i="6"/>
  <c r="I964" i="6"/>
  <c r="T966" i="6"/>
  <c r="R966" i="6"/>
  <c r="P966" i="6"/>
  <c r="N966" i="6"/>
  <c r="L966" i="6"/>
  <c r="J966" i="6"/>
  <c r="S966" i="6"/>
  <c r="Q966" i="6"/>
  <c r="O966" i="6"/>
  <c r="M966" i="6"/>
  <c r="K966" i="6"/>
  <c r="I966" i="6"/>
  <c r="T968" i="6"/>
  <c r="R968" i="6"/>
  <c r="P968" i="6"/>
  <c r="N968" i="6"/>
  <c r="L968" i="6"/>
  <c r="J968" i="6"/>
  <c r="S968" i="6"/>
  <c r="Q968" i="6"/>
  <c r="O968" i="6"/>
  <c r="M968" i="6"/>
  <c r="K968" i="6"/>
  <c r="I968" i="6"/>
  <c r="T970" i="6"/>
  <c r="R970" i="6"/>
  <c r="P970" i="6"/>
  <c r="N970" i="6"/>
  <c r="L970" i="6"/>
  <c r="J970" i="6"/>
  <c r="S970" i="6"/>
  <c r="Q970" i="6"/>
  <c r="O970" i="6"/>
  <c r="M970" i="6"/>
  <c r="K970" i="6"/>
  <c r="I970" i="6"/>
  <c r="T972" i="6"/>
  <c r="R972" i="6"/>
  <c r="P972" i="6"/>
  <c r="N972" i="6"/>
  <c r="L972" i="6"/>
  <c r="J972" i="6"/>
  <c r="S972" i="6"/>
  <c r="Q972" i="6"/>
  <c r="O972" i="6"/>
  <c r="M972" i="6"/>
  <c r="K972" i="6"/>
  <c r="I972" i="6"/>
  <c r="T974" i="6"/>
  <c r="R974" i="6"/>
  <c r="P974" i="6"/>
  <c r="N974" i="6"/>
  <c r="L974" i="6"/>
  <c r="J974" i="6"/>
  <c r="S974" i="6"/>
  <c r="Q974" i="6"/>
  <c r="O974" i="6"/>
  <c r="M974" i="6"/>
  <c r="K974" i="6"/>
  <c r="I974" i="6"/>
  <c r="T976" i="6"/>
  <c r="R976" i="6"/>
  <c r="P976" i="6"/>
  <c r="N976" i="6"/>
  <c r="L976" i="6"/>
  <c r="J976" i="6"/>
  <c r="S976" i="6"/>
  <c r="Q976" i="6"/>
  <c r="O976" i="6"/>
  <c r="M976" i="6"/>
  <c r="K976" i="6"/>
  <c r="I976" i="6"/>
  <c r="T978" i="6"/>
  <c r="R978" i="6"/>
  <c r="P978" i="6"/>
  <c r="N978" i="6"/>
  <c r="L978" i="6"/>
  <c r="J978" i="6"/>
  <c r="S978" i="6"/>
  <c r="Q978" i="6"/>
  <c r="O978" i="6"/>
  <c r="M978" i="6"/>
  <c r="K978" i="6"/>
  <c r="I978" i="6"/>
  <c r="T980" i="6"/>
  <c r="R980" i="6"/>
  <c r="P980" i="6"/>
  <c r="N980" i="6"/>
  <c r="L980" i="6"/>
  <c r="J980" i="6"/>
  <c r="S980" i="6"/>
  <c r="Q980" i="6"/>
  <c r="O980" i="6"/>
  <c r="M980" i="6"/>
  <c r="K980" i="6"/>
  <c r="I980" i="6"/>
  <c r="T982" i="6"/>
  <c r="R982" i="6"/>
  <c r="P982" i="6"/>
  <c r="N982" i="6"/>
  <c r="L982" i="6"/>
  <c r="J982" i="6"/>
  <c r="S982" i="6"/>
  <c r="Q982" i="6"/>
  <c r="O982" i="6"/>
  <c r="M982" i="6"/>
  <c r="K982" i="6"/>
  <c r="I982" i="6"/>
  <c r="T984" i="6"/>
  <c r="R984" i="6"/>
  <c r="P984" i="6"/>
  <c r="N984" i="6"/>
  <c r="L984" i="6"/>
  <c r="J984" i="6"/>
  <c r="S984" i="6"/>
  <c r="Q984" i="6"/>
  <c r="O984" i="6"/>
  <c r="M984" i="6"/>
  <c r="K984" i="6"/>
  <c r="I984" i="6"/>
  <c r="T986" i="6"/>
  <c r="R986" i="6"/>
  <c r="P986" i="6"/>
  <c r="N986" i="6"/>
  <c r="L986" i="6"/>
  <c r="J986" i="6"/>
  <c r="S986" i="6"/>
  <c r="Q986" i="6"/>
  <c r="O986" i="6"/>
  <c r="M986" i="6"/>
  <c r="K986" i="6"/>
  <c r="I986" i="6"/>
  <c r="T988" i="6"/>
  <c r="R988" i="6"/>
  <c r="P988" i="6"/>
  <c r="N988" i="6"/>
  <c r="L988" i="6"/>
  <c r="J988" i="6"/>
  <c r="S988" i="6"/>
  <c r="Q988" i="6"/>
  <c r="O988" i="6"/>
  <c r="M988" i="6"/>
  <c r="K988" i="6"/>
  <c r="I988" i="6"/>
  <c r="T990" i="6"/>
  <c r="R990" i="6"/>
  <c r="P990" i="6"/>
  <c r="N990" i="6"/>
  <c r="L990" i="6"/>
  <c r="J990" i="6"/>
  <c r="S990" i="6"/>
  <c r="Q990" i="6"/>
  <c r="O990" i="6"/>
  <c r="M990" i="6"/>
  <c r="K990" i="6"/>
  <c r="I990" i="6"/>
  <c r="T992" i="6"/>
  <c r="R992" i="6"/>
  <c r="P992" i="6"/>
  <c r="N992" i="6"/>
  <c r="L992" i="6"/>
  <c r="J992" i="6"/>
  <c r="S992" i="6"/>
  <c r="Q992" i="6"/>
  <c r="O992" i="6"/>
  <c r="M992" i="6"/>
  <c r="K992" i="6"/>
  <c r="I992" i="6"/>
  <c r="T994" i="6"/>
  <c r="R994" i="6"/>
  <c r="P994" i="6"/>
  <c r="N994" i="6"/>
  <c r="L994" i="6"/>
  <c r="J994" i="6"/>
  <c r="S994" i="6"/>
  <c r="Q994" i="6"/>
  <c r="O994" i="6"/>
  <c r="M994" i="6"/>
  <c r="K994" i="6"/>
  <c r="I994" i="6"/>
  <c r="T996" i="6"/>
  <c r="R996" i="6"/>
  <c r="P996" i="6"/>
  <c r="N996" i="6"/>
  <c r="L996" i="6"/>
  <c r="J996" i="6"/>
  <c r="S996" i="6"/>
  <c r="Q996" i="6"/>
  <c r="O996" i="6"/>
  <c r="M996" i="6"/>
  <c r="K996" i="6"/>
  <c r="I996" i="6"/>
  <c r="T998" i="6"/>
  <c r="R998" i="6"/>
  <c r="P998" i="6"/>
  <c r="N998" i="6"/>
  <c r="L998" i="6"/>
  <c r="J998" i="6"/>
  <c r="S998" i="6"/>
  <c r="Q998" i="6"/>
  <c r="O998" i="6"/>
  <c r="M998" i="6"/>
  <c r="K998" i="6"/>
  <c r="I998" i="6"/>
  <c r="T1000" i="6"/>
  <c r="R1000" i="6"/>
  <c r="P1000" i="6"/>
  <c r="N1000" i="6"/>
  <c r="L1000" i="6"/>
  <c r="J1000" i="6"/>
  <c r="S1000" i="6"/>
  <c r="Q1000" i="6"/>
  <c r="O1000" i="6"/>
  <c r="M1000" i="6"/>
  <c r="K1000" i="6"/>
  <c r="I1000" i="6"/>
  <c r="T1002" i="6"/>
  <c r="R1002" i="6"/>
  <c r="P1002" i="6"/>
  <c r="N1002" i="6"/>
  <c r="L1002" i="6"/>
  <c r="J1002" i="6"/>
  <c r="S1002" i="6"/>
  <c r="Q1002" i="6"/>
  <c r="O1002" i="6"/>
  <c r="M1002" i="6"/>
  <c r="K1002" i="6"/>
  <c r="I1002" i="6"/>
  <c r="T1004" i="6"/>
  <c r="R1004" i="6"/>
  <c r="P1004" i="6"/>
  <c r="N1004" i="6"/>
  <c r="L1004" i="6"/>
  <c r="J1004" i="6"/>
  <c r="S1004" i="6"/>
  <c r="Q1004" i="6"/>
  <c r="O1004" i="6"/>
  <c r="M1004" i="6"/>
  <c r="K1004" i="6"/>
  <c r="I1004" i="6"/>
  <c r="T1006" i="6"/>
  <c r="R1006" i="6"/>
  <c r="P1006" i="6"/>
  <c r="N1006" i="6"/>
  <c r="L1006" i="6"/>
  <c r="J1006" i="6"/>
  <c r="S1006" i="6"/>
  <c r="Q1006" i="6"/>
  <c r="O1006" i="6"/>
  <c r="M1006" i="6"/>
  <c r="K1006" i="6"/>
  <c r="I1006" i="6"/>
  <c r="T1008" i="6"/>
  <c r="R1008" i="6"/>
  <c r="P1008" i="6"/>
  <c r="N1008" i="6"/>
  <c r="L1008" i="6"/>
  <c r="J1008" i="6"/>
  <c r="S1008" i="6"/>
  <c r="Q1008" i="6"/>
  <c r="O1008" i="6"/>
  <c r="M1008" i="6"/>
  <c r="K1008" i="6"/>
  <c r="I1008" i="6"/>
  <c r="T1010" i="6"/>
  <c r="R1010" i="6"/>
  <c r="P1010" i="6"/>
  <c r="N1010" i="6"/>
  <c r="L1010" i="6"/>
  <c r="J1010" i="6"/>
  <c r="S1010" i="6"/>
  <c r="Q1010" i="6"/>
  <c r="O1010" i="6"/>
  <c r="M1010" i="6"/>
  <c r="K1010" i="6"/>
  <c r="I1010" i="6"/>
  <c r="T1012" i="6"/>
  <c r="R1012" i="6"/>
  <c r="P1012" i="6"/>
  <c r="N1012" i="6"/>
  <c r="L1012" i="6"/>
  <c r="J1012" i="6"/>
  <c r="S1012" i="6"/>
  <c r="Q1012" i="6"/>
  <c r="O1012" i="6"/>
  <c r="M1012" i="6"/>
  <c r="K1012" i="6"/>
  <c r="I1012" i="6"/>
  <c r="T1014" i="6"/>
  <c r="R1014" i="6"/>
  <c r="P1014" i="6"/>
  <c r="N1014" i="6"/>
  <c r="L1014" i="6"/>
  <c r="J1014" i="6"/>
  <c r="S1014" i="6"/>
  <c r="Q1014" i="6"/>
  <c r="O1014" i="6"/>
  <c r="M1014" i="6"/>
  <c r="K1014" i="6"/>
  <c r="I1014" i="6"/>
  <c r="T1016" i="6"/>
  <c r="R1016" i="6"/>
  <c r="P1016" i="6"/>
  <c r="N1016" i="6"/>
  <c r="L1016" i="6"/>
  <c r="J1016" i="6"/>
  <c r="S1016" i="6"/>
  <c r="Q1016" i="6"/>
  <c r="O1016" i="6"/>
  <c r="M1016" i="6"/>
  <c r="K1016" i="6"/>
  <c r="I1016" i="6"/>
  <c r="T1018" i="6"/>
  <c r="R1018" i="6"/>
  <c r="P1018" i="6"/>
  <c r="N1018" i="6"/>
  <c r="L1018" i="6"/>
  <c r="J1018" i="6"/>
  <c r="S1018" i="6"/>
  <c r="Q1018" i="6"/>
  <c r="O1018" i="6"/>
  <c r="M1018" i="6"/>
  <c r="K1018" i="6"/>
  <c r="I1018" i="6"/>
  <c r="T1020" i="6"/>
  <c r="R1020" i="6"/>
  <c r="P1020" i="6"/>
  <c r="N1020" i="6"/>
  <c r="L1020" i="6"/>
  <c r="J1020" i="6"/>
  <c r="S1020" i="6"/>
  <c r="Q1020" i="6"/>
  <c r="O1020" i="6"/>
  <c r="M1020" i="6"/>
  <c r="K1020" i="6"/>
  <c r="I1020" i="6"/>
  <c r="T1022" i="6"/>
  <c r="R1022" i="6"/>
  <c r="P1022" i="6"/>
  <c r="N1022" i="6"/>
  <c r="L1022" i="6"/>
  <c r="J1022" i="6"/>
  <c r="S1022" i="6"/>
  <c r="Q1022" i="6"/>
  <c r="O1022" i="6"/>
  <c r="M1022" i="6"/>
  <c r="K1022" i="6"/>
  <c r="I1022" i="6"/>
  <c r="T1024" i="6"/>
  <c r="R1024" i="6"/>
  <c r="P1024" i="6"/>
  <c r="N1024" i="6"/>
  <c r="L1024" i="6"/>
  <c r="J1024" i="6"/>
  <c r="S1024" i="6"/>
  <c r="Q1024" i="6"/>
  <c r="O1024" i="6"/>
  <c r="M1024" i="6"/>
  <c r="K1024" i="6"/>
  <c r="I1024" i="6"/>
  <c r="T1026" i="6"/>
  <c r="R1026" i="6"/>
  <c r="P1026" i="6"/>
  <c r="N1026" i="6"/>
  <c r="L1026" i="6"/>
  <c r="J1026" i="6"/>
  <c r="S1026" i="6"/>
  <c r="Q1026" i="6"/>
  <c r="O1026" i="6"/>
  <c r="M1026" i="6"/>
  <c r="K1026" i="6"/>
  <c r="I1026" i="6"/>
  <c r="T1028" i="6"/>
  <c r="R1028" i="6"/>
  <c r="P1028" i="6"/>
  <c r="N1028" i="6"/>
  <c r="L1028" i="6"/>
  <c r="J1028" i="6"/>
  <c r="S1028" i="6"/>
  <c r="Q1028" i="6"/>
  <c r="O1028" i="6"/>
  <c r="M1028" i="6"/>
  <c r="K1028" i="6"/>
  <c r="I1028" i="6"/>
  <c r="T1030" i="6"/>
  <c r="R1030" i="6"/>
  <c r="P1030" i="6"/>
  <c r="N1030" i="6"/>
  <c r="L1030" i="6"/>
  <c r="J1030" i="6"/>
  <c r="S1030" i="6"/>
  <c r="Q1030" i="6"/>
  <c r="O1030" i="6"/>
  <c r="M1030" i="6"/>
  <c r="K1030" i="6"/>
  <c r="I1030" i="6"/>
  <c r="T1032" i="6"/>
  <c r="R1032" i="6"/>
  <c r="P1032" i="6"/>
  <c r="N1032" i="6"/>
  <c r="L1032" i="6"/>
  <c r="J1032" i="6"/>
  <c r="S1032" i="6"/>
  <c r="Q1032" i="6"/>
  <c r="O1032" i="6"/>
  <c r="M1032" i="6"/>
  <c r="K1032" i="6"/>
  <c r="I1032" i="6"/>
  <c r="T1034" i="6"/>
  <c r="R1034" i="6"/>
  <c r="P1034" i="6"/>
  <c r="N1034" i="6"/>
  <c r="L1034" i="6"/>
  <c r="J1034" i="6"/>
  <c r="S1034" i="6"/>
  <c r="Q1034" i="6"/>
  <c r="O1034" i="6"/>
  <c r="M1034" i="6"/>
  <c r="K1034" i="6"/>
  <c r="I1034" i="6"/>
  <c r="T1036" i="6"/>
  <c r="R1036" i="6"/>
  <c r="P1036" i="6"/>
  <c r="N1036" i="6"/>
  <c r="L1036" i="6"/>
  <c r="J1036" i="6"/>
  <c r="S1036" i="6"/>
  <c r="Q1036" i="6"/>
  <c r="O1036" i="6"/>
  <c r="M1036" i="6"/>
  <c r="K1036" i="6"/>
  <c r="I1036" i="6"/>
  <c r="T1038" i="6"/>
  <c r="R1038" i="6"/>
  <c r="P1038" i="6"/>
  <c r="N1038" i="6"/>
  <c r="L1038" i="6"/>
  <c r="J1038" i="6"/>
  <c r="S1038" i="6"/>
  <c r="Q1038" i="6"/>
  <c r="O1038" i="6"/>
  <c r="M1038" i="6"/>
  <c r="K1038" i="6"/>
  <c r="I1038" i="6"/>
  <c r="T1040" i="6"/>
  <c r="R1040" i="6"/>
  <c r="P1040" i="6"/>
  <c r="N1040" i="6"/>
  <c r="L1040" i="6"/>
  <c r="J1040" i="6"/>
  <c r="S1040" i="6"/>
  <c r="Q1040" i="6"/>
  <c r="O1040" i="6"/>
  <c r="M1040" i="6"/>
  <c r="K1040" i="6"/>
  <c r="I1040" i="6"/>
  <c r="T1042" i="6"/>
  <c r="R1042" i="6"/>
  <c r="P1042" i="6"/>
  <c r="N1042" i="6"/>
  <c r="L1042" i="6"/>
  <c r="J1042" i="6"/>
  <c r="S1042" i="6"/>
  <c r="Q1042" i="6"/>
  <c r="O1042" i="6"/>
  <c r="M1042" i="6"/>
  <c r="K1042" i="6"/>
  <c r="I1042" i="6"/>
  <c r="J1009" i="1"/>
  <c r="L1009" i="1"/>
  <c r="N1009" i="1"/>
  <c r="P1009" i="1"/>
  <c r="R1009" i="1"/>
  <c r="J1011" i="1"/>
  <c r="L1011" i="1"/>
  <c r="N1011" i="1"/>
  <c r="P1011" i="1"/>
  <c r="R1011" i="1"/>
  <c r="J1013" i="1"/>
  <c r="L1013" i="1"/>
  <c r="N1013" i="1"/>
  <c r="P1013" i="1"/>
  <c r="R1013" i="1"/>
  <c r="J1015" i="1"/>
  <c r="L1015" i="1"/>
  <c r="N1015" i="1"/>
  <c r="P1015" i="1"/>
  <c r="R1015" i="1"/>
  <c r="J1017" i="1"/>
  <c r="L1017" i="1"/>
  <c r="N1017" i="1"/>
  <c r="P1017" i="1"/>
  <c r="R1017" i="1"/>
  <c r="J1019" i="1"/>
  <c r="L1019" i="1"/>
  <c r="N1019" i="1"/>
  <c r="P1019" i="1"/>
  <c r="R1019" i="1"/>
  <c r="J1021" i="1"/>
  <c r="L1021" i="1"/>
  <c r="N1021" i="1"/>
  <c r="P1021" i="1"/>
  <c r="R1021" i="1"/>
  <c r="J1023" i="1"/>
  <c r="L1023" i="1"/>
  <c r="N1023" i="1"/>
  <c r="P1023" i="1"/>
  <c r="R1023" i="1"/>
  <c r="J1025" i="1"/>
  <c r="L1025" i="1"/>
  <c r="N1025" i="1"/>
  <c r="P1025" i="1"/>
  <c r="R1025" i="1"/>
  <c r="J1027" i="1"/>
  <c r="L1027" i="1"/>
  <c r="N1027" i="1"/>
  <c r="P1027" i="1"/>
  <c r="R1027" i="1"/>
  <c r="J1029" i="1"/>
  <c r="L1029" i="1"/>
  <c r="N1029" i="1"/>
  <c r="P1029" i="1"/>
  <c r="R1029" i="1"/>
  <c r="J1031" i="1"/>
  <c r="L1031" i="1"/>
  <c r="N1031" i="1"/>
  <c r="P1031" i="1"/>
  <c r="R1031" i="1"/>
  <c r="J1033" i="1"/>
  <c r="L1033" i="1"/>
  <c r="N1033" i="1"/>
  <c r="P1033" i="1"/>
  <c r="R1033" i="1"/>
  <c r="J1035" i="1"/>
  <c r="L1035" i="1"/>
  <c r="N1035" i="1"/>
  <c r="P1035" i="1"/>
  <c r="R1035" i="1"/>
  <c r="J1037" i="1"/>
  <c r="L1037" i="1"/>
  <c r="N1037" i="1"/>
  <c r="P1037" i="1"/>
  <c r="R1037" i="1"/>
  <c r="J1039" i="1"/>
  <c r="L1039" i="1"/>
  <c r="N1039" i="1"/>
  <c r="P1039" i="1"/>
  <c r="R1039" i="1"/>
  <c r="J1041" i="1"/>
  <c r="L1041" i="1"/>
  <c r="N1041" i="1"/>
  <c r="P1041" i="1"/>
  <c r="R1041" i="1"/>
  <c r="J1043" i="1"/>
  <c r="L1043" i="1"/>
  <c r="N1043" i="1"/>
  <c r="P1043" i="1"/>
  <c r="R1043" i="1"/>
  <c r="J1045" i="1"/>
  <c r="L1045" i="1"/>
  <c r="N1045" i="1"/>
  <c r="P1045" i="1"/>
  <c r="R1045" i="1"/>
  <c r="J1047" i="1"/>
  <c r="L1047" i="1"/>
  <c r="N1047" i="1"/>
  <c r="P1047" i="1"/>
  <c r="R1047" i="1"/>
  <c r="J1049" i="1"/>
  <c r="L1049" i="1"/>
  <c r="N1049" i="1"/>
  <c r="P1049" i="1"/>
  <c r="R1049" i="1"/>
  <c r="J1051" i="1"/>
  <c r="L1051" i="1"/>
  <c r="N1051" i="1"/>
  <c r="P1051" i="1"/>
  <c r="R1051" i="1"/>
  <c r="J1053" i="1"/>
  <c r="L1053" i="1"/>
  <c r="N1053" i="1"/>
  <c r="P1053" i="1"/>
  <c r="R1053" i="1"/>
  <c r="J1055" i="1"/>
  <c r="L1055" i="1"/>
  <c r="N1055" i="1"/>
  <c r="P1055" i="1"/>
  <c r="R1055" i="1"/>
  <c r="J1057" i="1"/>
  <c r="L1057" i="1"/>
  <c r="N1057" i="1"/>
  <c r="P1057" i="1"/>
  <c r="R1057" i="1"/>
  <c r="J1059" i="1"/>
  <c r="L1059" i="1"/>
  <c r="N1059" i="1"/>
  <c r="P1059" i="1"/>
  <c r="R1059" i="1"/>
  <c r="J1061" i="1"/>
  <c r="L1061" i="1"/>
  <c r="N1061" i="1"/>
  <c r="P1061" i="1"/>
  <c r="R1061" i="1"/>
  <c r="J1063" i="1"/>
  <c r="L1063" i="1"/>
  <c r="N1063" i="1"/>
  <c r="P1063" i="1"/>
  <c r="R1063" i="1"/>
  <c r="J1065" i="1"/>
  <c r="L1065" i="1"/>
  <c r="N1065" i="1"/>
  <c r="P1065" i="1"/>
  <c r="R1065" i="1"/>
  <c r="J1067" i="1"/>
  <c r="L1067" i="1"/>
  <c r="N1067" i="1"/>
  <c r="P1067" i="1"/>
  <c r="R1067" i="1"/>
  <c r="J1069" i="1"/>
  <c r="L1069" i="1"/>
  <c r="N1069" i="1"/>
  <c r="P1069" i="1"/>
  <c r="R1069" i="1"/>
  <c r="J1071" i="1"/>
  <c r="L1071" i="1"/>
  <c r="N1071" i="1"/>
  <c r="P1071" i="1"/>
  <c r="R1071" i="1"/>
  <c r="J1073" i="1"/>
  <c r="L1073" i="1"/>
  <c r="N1073" i="1"/>
  <c r="P1073" i="1"/>
  <c r="R1073" i="1"/>
  <c r="J1075" i="1"/>
  <c r="L1075" i="1"/>
  <c r="N1075" i="1"/>
  <c r="P1075" i="1"/>
  <c r="R1075" i="1"/>
  <c r="J1077" i="1"/>
  <c r="L1077" i="1"/>
  <c r="N1077" i="1"/>
  <c r="P1077" i="1"/>
  <c r="R1077" i="1"/>
  <c r="J1079" i="1"/>
  <c r="L1079" i="1"/>
  <c r="N1079" i="1"/>
  <c r="P1079" i="1"/>
  <c r="R1079" i="1"/>
  <c r="J1081" i="1"/>
  <c r="L1081" i="1"/>
  <c r="N1081" i="1"/>
  <c r="P1081" i="1"/>
  <c r="R1081" i="1"/>
  <c r="J1083" i="1"/>
  <c r="L1083" i="1"/>
  <c r="N1083" i="1"/>
  <c r="P1083" i="1"/>
  <c r="R1083" i="1"/>
  <c r="J1085" i="1"/>
  <c r="L1085" i="1"/>
  <c r="N1085" i="1"/>
  <c r="P1085" i="1"/>
  <c r="R1085" i="1"/>
  <c r="J1087" i="1"/>
  <c r="L1087" i="1"/>
  <c r="N1087" i="1"/>
  <c r="P1087" i="1"/>
  <c r="R1087" i="1"/>
  <c r="J1089" i="1"/>
  <c r="L1089" i="1"/>
  <c r="N1089" i="1"/>
  <c r="P1089" i="1"/>
  <c r="R1089" i="1"/>
  <c r="J1091" i="1"/>
  <c r="L1091" i="1"/>
  <c r="N1091" i="1"/>
  <c r="P1091" i="1"/>
  <c r="R1091" i="1"/>
  <c r="J1093" i="1"/>
  <c r="L1093" i="1"/>
  <c r="N1093" i="1"/>
  <c r="P1093" i="1"/>
  <c r="R1093" i="1"/>
  <c r="J1095" i="1"/>
  <c r="L1095" i="1"/>
  <c r="N1095" i="1"/>
  <c r="P1095" i="1"/>
  <c r="R1095" i="1"/>
  <c r="J1097" i="1"/>
  <c r="L1097" i="1"/>
  <c r="N1097" i="1"/>
  <c r="P1097" i="1"/>
  <c r="R1097" i="1"/>
  <c r="J1099" i="1"/>
  <c r="L1099" i="1"/>
  <c r="N1099" i="1"/>
  <c r="P1099" i="1"/>
  <c r="R1099" i="1"/>
  <c r="J1101" i="1"/>
  <c r="L1101" i="1"/>
  <c r="N1101" i="1"/>
  <c r="P1101" i="1"/>
  <c r="R1101" i="1"/>
  <c r="J1103" i="1"/>
  <c r="L1103" i="1"/>
  <c r="N1103" i="1"/>
  <c r="P1103" i="1"/>
  <c r="R1103" i="1"/>
  <c r="J1105" i="1"/>
  <c r="L1105" i="1"/>
  <c r="N1105" i="1"/>
  <c r="P1105" i="1"/>
  <c r="R1105" i="1"/>
  <c r="J1107" i="1"/>
  <c r="L1107" i="1"/>
  <c r="N1107" i="1"/>
  <c r="P1107" i="1"/>
  <c r="R1107" i="1"/>
  <c r="J1109" i="1"/>
  <c r="L1109" i="1"/>
  <c r="N1109" i="1"/>
  <c r="P1109" i="1"/>
  <c r="R1109" i="1"/>
  <c r="J1111" i="1"/>
  <c r="L1111" i="1"/>
  <c r="N1111" i="1"/>
  <c r="P1111" i="1"/>
  <c r="R1111" i="1"/>
  <c r="J1113" i="1"/>
  <c r="L1113" i="1"/>
  <c r="N1113" i="1"/>
  <c r="P1113" i="1"/>
  <c r="R1113" i="1"/>
  <c r="J1115" i="1"/>
  <c r="L1115" i="1"/>
  <c r="N1115" i="1"/>
  <c r="P1115" i="1"/>
  <c r="R1115" i="1"/>
  <c r="J1117" i="1"/>
  <c r="L1117" i="1"/>
  <c r="N1117" i="1"/>
  <c r="P1117" i="1"/>
  <c r="R1117" i="1"/>
  <c r="J1119" i="1"/>
  <c r="L1119" i="1"/>
  <c r="N1119" i="1"/>
  <c r="P1119" i="1"/>
  <c r="R1119" i="1"/>
  <c r="J1121" i="1"/>
  <c r="L1121" i="1"/>
  <c r="N1121" i="1"/>
  <c r="P1121" i="1"/>
  <c r="R1121" i="1"/>
  <c r="J1123" i="1"/>
  <c r="L1123" i="1"/>
  <c r="N1123" i="1"/>
  <c r="P1123" i="1"/>
  <c r="R1123" i="1"/>
  <c r="J1125" i="1"/>
  <c r="L1125" i="1"/>
  <c r="N1125" i="1"/>
  <c r="P1125" i="1"/>
  <c r="R1125" i="1"/>
  <c r="J1127" i="1"/>
  <c r="L1127" i="1"/>
  <c r="N1127" i="1"/>
  <c r="P1127" i="1"/>
  <c r="R1127" i="1"/>
  <c r="J1129" i="1"/>
  <c r="L1129" i="1"/>
  <c r="N1129" i="1"/>
  <c r="P1129" i="1"/>
  <c r="R1129" i="1"/>
  <c r="J1131" i="1"/>
  <c r="L1131" i="1"/>
  <c r="N1131" i="1"/>
  <c r="P1131" i="1"/>
  <c r="R1131" i="1"/>
  <c r="J1133" i="1"/>
  <c r="L1133" i="1"/>
  <c r="N1133" i="1"/>
  <c r="P1133" i="1"/>
  <c r="R1133" i="1"/>
  <c r="J1135" i="1"/>
  <c r="L1135" i="1"/>
  <c r="N1135" i="1"/>
  <c r="P1135" i="1"/>
  <c r="R1135" i="1"/>
  <c r="J1137" i="1"/>
  <c r="L1137" i="1"/>
  <c r="N1137" i="1"/>
  <c r="P1137" i="1"/>
  <c r="R1137" i="1"/>
  <c r="J1139" i="1"/>
  <c r="L1139" i="1"/>
  <c r="N1139" i="1"/>
  <c r="P1139" i="1"/>
  <c r="R1139" i="1"/>
  <c r="J1141" i="1"/>
  <c r="L1141" i="1"/>
  <c r="N1141" i="1"/>
  <c r="P1141" i="1"/>
  <c r="R1141" i="1"/>
  <c r="J1143" i="1"/>
  <c r="L1143" i="1"/>
  <c r="N1143" i="1"/>
  <c r="P1143" i="1"/>
  <c r="R1143" i="1"/>
  <c r="J1145" i="1"/>
  <c r="L1145" i="1"/>
  <c r="N1145" i="1"/>
  <c r="P1145" i="1"/>
  <c r="R1145" i="1"/>
  <c r="J1147" i="1"/>
  <c r="L1147" i="1"/>
  <c r="N1147" i="1"/>
  <c r="P1147" i="1"/>
  <c r="R1147" i="1"/>
  <c r="J1149" i="1"/>
  <c r="L1149" i="1"/>
  <c r="N1149" i="1"/>
  <c r="P1149" i="1"/>
  <c r="R1149" i="1"/>
  <c r="J1151" i="1"/>
  <c r="L1151" i="1"/>
  <c r="N1151" i="1"/>
  <c r="P1151" i="1"/>
  <c r="R1151" i="1"/>
  <c r="J1153" i="1"/>
  <c r="L1153" i="1"/>
  <c r="N1153" i="1"/>
  <c r="P1153" i="1"/>
  <c r="R1153" i="1"/>
  <c r="J1155" i="1"/>
  <c r="L1155" i="1"/>
  <c r="N1155" i="1"/>
  <c r="P1155" i="1"/>
  <c r="R1155" i="1"/>
  <c r="J1157" i="1"/>
  <c r="L1157" i="1"/>
  <c r="N1157" i="1"/>
  <c r="P1157" i="1"/>
  <c r="R1157" i="1"/>
  <c r="J1159" i="1"/>
  <c r="L1159" i="1"/>
  <c r="N1159" i="1"/>
  <c r="P1159" i="1"/>
  <c r="R1159" i="1"/>
  <c r="J1161" i="1"/>
  <c r="L1161" i="1"/>
  <c r="N1161" i="1"/>
  <c r="P1161" i="1"/>
  <c r="R1161" i="1"/>
  <c r="J1163" i="1"/>
  <c r="L1163" i="1"/>
  <c r="N1163" i="1"/>
  <c r="P1163" i="1"/>
  <c r="R1163" i="1"/>
  <c r="J1165" i="1"/>
  <c r="L1165" i="1"/>
  <c r="N1165" i="1"/>
  <c r="P1165" i="1"/>
  <c r="R1165" i="1"/>
  <c r="J1167" i="1"/>
  <c r="L1167" i="1"/>
  <c r="N1167" i="1"/>
  <c r="P1167" i="1"/>
  <c r="R1167" i="1"/>
  <c r="J1169" i="1"/>
  <c r="L1169" i="1"/>
  <c r="N1169" i="1"/>
  <c r="P1169" i="1"/>
  <c r="R1169" i="1"/>
  <c r="J1171" i="1"/>
  <c r="L1171" i="1"/>
  <c r="N1171" i="1"/>
  <c r="P1171" i="1"/>
  <c r="R1171" i="1"/>
  <c r="J1173" i="1"/>
  <c r="L1173" i="1"/>
  <c r="N1173" i="1"/>
  <c r="P1173" i="1"/>
  <c r="R1173" i="1"/>
  <c r="J1175" i="1"/>
  <c r="L1175" i="1"/>
  <c r="N1175" i="1"/>
  <c r="P1175" i="1"/>
  <c r="R1175" i="1"/>
  <c r="J1177" i="1"/>
  <c r="L1177" i="1"/>
  <c r="N1177" i="1"/>
  <c r="P1177" i="1"/>
  <c r="R1177" i="1"/>
  <c r="J1179" i="1"/>
  <c r="L1179" i="1"/>
  <c r="N1179" i="1"/>
  <c r="P1179" i="1"/>
  <c r="R1179" i="1"/>
  <c r="J1181" i="1"/>
  <c r="L1181" i="1"/>
  <c r="N1181" i="1"/>
  <c r="P1181" i="1"/>
  <c r="R1181" i="1"/>
  <c r="J1183" i="1"/>
  <c r="L1183" i="1"/>
  <c r="N1183" i="1"/>
  <c r="P1183" i="1"/>
  <c r="R1183" i="1"/>
  <c r="J1185" i="1"/>
  <c r="L1185" i="1"/>
  <c r="N1185" i="1"/>
  <c r="P1185" i="1"/>
  <c r="R1185" i="1"/>
  <c r="J1187" i="1"/>
  <c r="L1187" i="1"/>
  <c r="N1187" i="1"/>
  <c r="P1187" i="1"/>
  <c r="R1187" i="1"/>
  <c r="J1189" i="1"/>
  <c r="L1189" i="1"/>
  <c r="N1189" i="1"/>
  <c r="P1189" i="1"/>
  <c r="R1189" i="1"/>
  <c r="J1191" i="1"/>
  <c r="L1191" i="1"/>
  <c r="N1191" i="1"/>
  <c r="P1191" i="1"/>
  <c r="R1191" i="1"/>
  <c r="J1193" i="1"/>
  <c r="L1193" i="1"/>
  <c r="N1193" i="1"/>
  <c r="P1193" i="1"/>
  <c r="R1193" i="1"/>
  <c r="J1195" i="1"/>
  <c r="L1195" i="1"/>
  <c r="N1195" i="1"/>
  <c r="P1195" i="1"/>
  <c r="R1195" i="1"/>
  <c r="J1197" i="1"/>
  <c r="L1197" i="1"/>
  <c r="N1197" i="1"/>
  <c r="P1197" i="1"/>
  <c r="R1197" i="1"/>
  <c r="J1199" i="1"/>
  <c r="L1199" i="1"/>
  <c r="N1199" i="1"/>
  <c r="P1199" i="1"/>
  <c r="R1199" i="1"/>
  <c r="J1201" i="1"/>
  <c r="L1201" i="1"/>
  <c r="N1201" i="1"/>
  <c r="P1201" i="1"/>
  <c r="R1201" i="1"/>
  <c r="J1203" i="1"/>
  <c r="L1203" i="1"/>
  <c r="N1203" i="1"/>
  <c r="P1203" i="1"/>
  <c r="R1203" i="1"/>
  <c r="J1205" i="1"/>
  <c r="L1205" i="1"/>
  <c r="N1205" i="1"/>
  <c r="P1205" i="1"/>
  <c r="R1205" i="1"/>
  <c r="J1207" i="1"/>
  <c r="L1207" i="1"/>
  <c r="N1207" i="1"/>
  <c r="P1207" i="1"/>
  <c r="R1207" i="1"/>
  <c r="J1209" i="1"/>
  <c r="L1209" i="1"/>
  <c r="N1209" i="1"/>
  <c r="P1209" i="1"/>
  <c r="R1209" i="1"/>
  <c r="J1211" i="1"/>
  <c r="L1211" i="1"/>
  <c r="N1211" i="1"/>
  <c r="P1211" i="1"/>
  <c r="R1211" i="1"/>
  <c r="J1213" i="1"/>
  <c r="L1213" i="1"/>
  <c r="N1213" i="1"/>
  <c r="P1213" i="1"/>
  <c r="R1213" i="1"/>
  <c r="J1215" i="1"/>
  <c r="L1215" i="1"/>
  <c r="N1215" i="1"/>
  <c r="P1215" i="1"/>
  <c r="R1215" i="1"/>
  <c r="J1217" i="1"/>
  <c r="L1217" i="1"/>
  <c r="N1217" i="1"/>
  <c r="P1217" i="1"/>
  <c r="R1217" i="1"/>
  <c r="J1219" i="1"/>
  <c r="L1219" i="1"/>
  <c r="N1219" i="1"/>
  <c r="P1219" i="1"/>
  <c r="R1219" i="1"/>
  <c r="J1221" i="1"/>
  <c r="L1221" i="1"/>
  <c r="N1221" i="1"/>
  <c r="P1221" i="1"/>
  <c r="R1221" i="1"/>
  <c r="J1223" i="1"/>
  <c r="L1223" i="1"/>
  <c r="N1223" i="1"/>
  <c r="P1223" i="1"/>
  <c r="R1223" i="1"/>
  <c r="J1225" i="1"/>
  <c r="L1225" i="1"/>
  <c r="N1225" i="1"/>
  <c r="P1225" i="1"/>
  <c r="R1225" i="1"/>
  <c r="J1227" i="1"/>
  <c r="L1227" i="1"/>
  <c r="N1227" i="1"/>
  <c r="P1227" i="1"/>
  <c r="R1227" i="1"/>
  <c r="J1229" i="1"/>
  <c r="L1229" i="1"/>
  <c r="N1229" i="1"/>
  <c r="P1229" i="1"/>
  <c r="R1229" i="1"/>
  <c r="J1231" i="1"/>
  <c r="L1231" i="1"/>
  <c r="N1231" i="1"/>
  <c r="P1231" i="1"/>
  <c r="R1231" i="1"/>
  <c r="J1233" i="1"/>
  <c r="L1233" i="1"/>
  <c r="N1233" i="1"/>
  <c r="P1233" i="1"/>
  <c r="R1233" i="1"/>
  <c r="J1235" i="1"/>
  <c r="L1235" i="1"/>
  <c r="N1235" i="1"/>
  <c r="P1235" i="1"/>
  <c r="R1235" i="1"/>
  <c r="J1237" i="1"/>
  <c r="L1237" i="1"/>
  <c r="N1237" i="1"/>
  <c r="P1237" i="1"/>
  <c r="R1237" i="1"/>
  <c r="J1239" i="1"/>
  <c r="L1239" i="1"/>
  <c r="N1239" i="1"/>
  <c r="P1239" i="1"/>
  <c r="R1239" i="1"/>
  <c r="J1241" i="1"/>
  <c r="L1241" i="1"/>
  <c r="N1241" i="1"/>
  <c r="P1241" i="1"/>
  <c r="R1241" i="1"/>
  <c r="J1243" i="1"/>
  <c r="L1243" i="1"/>
  <c r="N1243" i="1"/>
  <c r="P1243" i="1"/>
  <c r="R1243" i="1"/>
  <c r="J1245" i="1"/>
  <c r="L1245" i="1"/>
  <c r="N1245" i="1"/>
  <c r="P1245" i="1"/>
  <c r="R1245" i="1"/>
  <c r="J1247" i="1"/>
  <c r="L1247" i="1"/>
  <c r="N1247" i="1"/>
  <c r="P1247" i="1"/>
  <c r="R1247" i="1"/>
  <c r="J1249" i="1"/>
  <c r="L1249" i="1"/>
  <c r="N1249" i="1"/>
  <c r="P1249" i="1"/>
  <c r="R1249" i="1"/>
  <c r="J1251" i="1"/>
  <c r="L1251" i="1"/>
  <c r="N1251" i="1"/>
  <c r="P1251" i="1"/>
  <c r="R1251" i="1"/>
  <c r="J1253" i="1"/>
  <c r="L1253" i="1"/>
  <c r="N1253" i="1"/>
  <c r="P1253" i="1"/>
  <c r="R1253" i="1"/>
  <c r="J1255" i="1"/>
  <c r="L1255" i="1"/>
  <c r="N1255" i="1"/>
  <c r="P1255" i="1"/>
  <c r="R1255" i="1"/>
  <c r="J1257" i="1"/>
  <c r="L1257" i="1"/>
  <c r="N1257" i="1"/>
  <c r="P1257" i="1"/>
  <c r="R1257" i="1"/>
  <c r="J1259" i="1"/>
  <c r="L1259" i="1"/>
  <c r="N1259" i="1"/>
  <c r="P1259" i="1"/>
  <c r="R1259" i="1"/>
  <c r="J1261" i="1"/>
  <c r="L1261" i="1"/>
  <c r="N1261" i="1"/>
  <c r="P1261" i="1"/>
  <c r="R1261" i="1"/>
  <c r="J1263" i="1"/>
  <c r="L1263" i="1"/>
  <c r="N1263" i="1"/>
  <c r="P1263" i="1"/>
  <c r="R1263" i="1"/>
  <c r="J1265" i="1"/>
  <c r="L1265" i="1"/>
  <c r="N1265" i="1"/>
  <c r="P1265" i="1"/>
  <c r="R1265" i="1"/>
  <c r="J1267" i="1"/>
  <c r="L1267" i="1"/>
  <c r="N1267" i="1"/>
  <c r="P1267" i="1"/>
  <c r="R1267" i="1"/>
  <c r="J1269" i="1"/>
  <c r="L1269" i="1"/>
  <c r="N1269" i="1"/>
  <c r="P1269" i="1"/>
  <c r="R1269" i="1"/>
  <c r="J1271" i="1"/>
  <c r="L1271" i="1"/>
  <c r="N1271" i="1"/>
  <c r="P1271" i="1"/>
  <c r="R1271" i="1"/>
  <c r="J1273" i="1"/>
  <c r="L1273" i="1"/>
  <c r="N1273" i="1"/>
  <c r="P1273" i="1"/>
  <c r="R1273" i="1"/>
  <c r="J1275" i="1"/>
  <c r="L1275" i="1"/>
  <c r="N1275" i="1"/>
  <c r="P1275" i="1"/>
  <c r="R1275" i="1"/>
  <c r="J1277" i="1"/>
  <c r="L1277" i="1"/>
  <c r="N1277" i="1"/>
  <c r="P1277" i="1"/>
  <c r="R1277" i="1"/>
  <c r="J1279" i="1"/>
  <c r="L1279" i="1"/>
  <c r="N1279" i="1"/>
  <c r="P1279" i="1"/>
  <c r="R1279" i="1"/>
  <c r="J1281" i="1"/>
  <c r="L1281" i="1"/>
  <c r="N1281" i="1"/>
  <c r="P1281" i="1"/>
  <c r="R1281" i="1"/>
  <c r="J1283" i="1"/>
  <c r="L1283" i="1"/>
  <c r="N1283" i="1"/>
  <c r="P1283" i="1"/>
  <c r="R1283" i="1"/>
  <c r="J1285" i="1"/>
  <c r="L1285" i="1"/>
  <c r="N1285" i="1"/>
  <c r="P1285" i="1"/>
  <c r="R1285" i="1"/>
  <c r="J1287" i="1"/>
  <c r="L1287" i="1"/>
  <c r="N1287" i="1"/>
  <c r="P1287" i="1"/>
  <c r="R1287" i="1"/>
  <c r="J1289" i="1"/>
  <c r="L1289" i="1"/>
  <c r="N1289" i="1"/>
  <c r="P1289" i="1"/>
  <c r="R1289" i="1"/>
  <c r="J1291" i="1"/>
  <c r="L1291" i="1"/>
  <c r="N1291" i="1"/>
  <c r="P1291" i="1"/>
  <c r="R1291" i="1"/>
  <c r="J1293" i="1"/>
  <c r="L1293" i="1"/>
  <c r="N1293" i="1"/>
  <c r="P1293" i="1"/>
  <c r="R1293" i="1"/>
  <c r="J1295" i="1"/>
  <c r="L1295" i="1"/>
  <c r="N1295" i="1"/>
  <c r="P1295" i="1"/>
  <c r="R1295" i="1"/>
  <c r="J1297" i="1"/>
  <c r="L1297" i="1"/>
  <c r="N1297" i="1"/>
  <c r="P1297" i="1"/>
  <c r="R1297" i="1"/>
  <c r="J1299" i="1"/>
  <c r="L1299" i="1"/>
  <c r="N1299" i="1"/>
  <c r="P1299" i="1"/>
  <c r="R1299" i="1"/>
  <c r="J1301" i="1"/>
  <c r="L1301" i="1"/>
  <c r="N1301" i="1"/>
  <c r="P1301" i="1"/>
  <c r="R1301" i="1"/>
  <c r="J1303" i="1"/>
  <c r="L1303" i="1"/>
  <c r="N1303" i="1"/>
  <c r="P1303" i="1"/>
  <c r="R1303" i="1"/>
  <c r="J1305" i="1"/>
  <c r="L1305" i="1"/>
  <c r="N1305" i="1"/>
  <c r="P1305" i="1"/>
  <c r="R1305" i="1"/>
  <c r="J1307" i="1"/>
  <c r="L1307" i="1"/>
  <c r="N1307" i="1"/>
  <c r="P1307" i="1"/>
  <c r="R1307" i="1"/>
  <c r="J1309" i="1"/>
  <c r="L1309" i="1"/>
  <c r="N1309" i="1"/>
  <c r="P1309" i="1"/>
  <c r="R1309" i="1"/>
  <c r="J1311" i="1"/>
  <c r="L1311" i="1"/>
  <c r="N1311" i="1"/>
  <c r="P1311" i="1"/>
  <c r="R1311" i="1"/>
  <c r="J1313" i="1"/>
  <c r="L1313" i="1"/>
  <c r="N1313" i="1"/>
  <c r="P1313" i="1"/>
  <c r="R1313" i="1"/>
  <c r="J1315" i="1"/>
  <c r="L1315" i="1"/>
  <c r="N1315" i="1"/>
  <c r="P1315" i="1"/>
  <c r="R1315" i="1"/>
  <c r="J1317" i="1"/>
  <c r="L1317" i="1"/>
  <c r="N1317" i="1"/>
  <c r="P1317" i="1"/>
  <c r="R1317" i="1"/>
  <c r="J1319" i="1"/>
  <c r="L1319" i="1"/>
  <c r="N1319" i="1"/>
  <c r="P1319" i="1"/>
  <c r="R1319" i="1"/>
  <c r="J1321" i="1"/>
  <c r="L1321" i="1"/>
  <c r="N1321" i="1"/>
  <c r="P1321" i="1"/>
  <c r="R1321" i="1"/>
  <c r="J1323" i="1"/>
  <c r="L1323" i="1"/>
  <c r="N1323" i="1"/>
  <c r="P1323" i="1"/>
  <c r="R1323" i="1"/>
  <c r="J1325" i="1"/>
  <c r="L1325" i="1"/>
  <c r="N1325" i="1"/>
  <c r="P1325" i="1"/>
  <c r="R1325" i="1"/>
  <c r="J1327" i="1"/>
  <c r="L1327" i="1"/>
  <c r="N1327" i="1"/>
  <c r="P1327" i="1"/>
  <c r="R1327" i="1"/>
  <c r="J1329" i="1"/>
  <c r="L1329" i="1"/>
  <c r="N1329" i="1"/>
  <c r="P1329" i="1"/>
  <c r="R1329" i="1"/>
  <c r="J1331" i="1"/>
  <c r="L1331" i="1"/>
  <c r="N1331" i="1"/>
  <c r="P1331" i="1"/>
  <c r="R1331" i="1"/>
  <c r="J1333" i="1"/>
  <c r="L1333" i="1"/>
  <c r="N1333" i="1"/>
  <c r="P1333" i="1"/>
  <c r="R1333" i="1"/>
  <c r="J1335" i="1"/>
  <c r="L1335" i="1"/>
  <c r="N1335" i="1"/>
  <c r="P1335" i="1"/>
  <c r="R1335" i="1"/>
  <c r="J1337" i="1"/>
  <c r="L1337" i="1"/>
  <c r="N1337" i="1"/>
  <c r="P1337" i="1"/>
  <c r="R1337" i="1"/>
  <c r="J1339" i="1"/>
  <c r="L1339" i="1"/>
  <c r="N1339" i="1"/>
  <c r="P1339" i="1"/>
  <c r="R1339" i="1"/>
  <c r="J1341" i="1"/>
  <c r="L1341" i="1"/>
  <c r="N1341" i="1"/>
  <c r="P1341" i="1"/>
  <c r="R1341" i="1"/>
  <c r="J1343" i="1"/>
  <c r="L1343" i="1"/>
  <c r="N1343" i="1"/>
  <c r="P1343" i="1"/>
  <c r="R1343" i="1"/>
  <c r="J1345" i="1"/>
  <c r="L1345" i="1"/>
  <c r="N1345" i="1"/>
  <c r="P1345" i="1"/>
  <c r="R1345" i="1"/>
  <c r="J1347" i="1"/>
  <c r="L1347" i="1"/>
  <c r="N1347" i="1"/>
  <c r="P1347" i="1"/>
  <c r="R1347" i="1"/>
  <c r="J1349" i="1"/>
  <c r="L1349" i="1"/>
  <c r="N1349" i="1"/>
  <c r="P1349" i="1"/>
  <c r="R1349" i="1"/>
  <c r="J1351" i="1"/>
  <c r="L1351" i="1"/>
  <c r="N1351" i="1"/>
  <c r="P1351" i="1"/>
  <c r="R1351" i="1"/>
  <c r="J1353" i="1"/>
  <c r="L1353" i="1"/>
  <c r="N1353" i="1"/>
  <c r="P1353" i="1"/>
  <c r="R1353" i="1"/>
  <c r="J1355" i="1"/>
  <c r="L1355" i="1"/>
  <c r="N1355" i="1"/>
  <c r="P1355" i="1"/>
  <c r="R1355" i="1"/>
  <c r="J1357" i="1"/>
  <c r="L1357" i="1"/>
  <c r="N1357" i="1"/>
  <c r="P1357" i="1"/>
  <c r="R1357" i="1"/>
  <c r="T424" i="6"/>
  <c r="R424" i="6"/>
  <c r="P424" i="6"/>
  <c r="N424" i="6"/>
  <c r="L424" i="6"/>
  <c r="J424" i="6"/>
  <c r="K424" i="6"/>
  <c r="O424" i="6"/>
  <c r="S424" i="6"/>
  <c r="T426" i="6"/>
  <c r="R426" i="6"/>
  <c r="P426" i="6"/>
  <c r="N426" i="6"/>
  <c r="L426" i="6"/>
  <c r="J426" i="6"/>
  <c r="K426" i="6"/>
  <c r="O426" i="6"/>
  <c r="S426" i="6"/>
  <c r="T428" i="6"/>
  <c r="R428" i="6"/>
  <c r="P428" i="6"/>
  <c r="N428" i="6"/>
  <c r="L428" i="6"/>
  <c r="J428" i="6"/>
  <c r="K428" i="6"/>
  <c r="O428" i="6"/>
  <c r="S428" i="6"/>
  <c r="T430" i="6"/>
  <c r="R430" i="6"/>
  <c r="P430" i="6"/>
  <c r="N430" i="6"/>
  <c r="L430" i="6"/>
  <c r="J430" i="6"/>
  <c r="K430" i="6"/>
  <c r="O430" i="6"/>
  <c r="S430" i="6"/>
  <c r="T432" i="6"/>
  <c r="R432" i="6"/>
  <c r="P432" i="6"/>
  <c r="N432" i="6"/>
  <c r="L432" i="6"/>
  <c r="J432" i="6"/>
  <c r="K432" i="6"/>
  <c r="O432" i="6"/>
  <c r="S432" i="6"/>
  <c r="T434" i="6"/>
  <c r="R434" i="6"/>
  <c r="P434" i="6"/>
  <c r="N434" i="6"/>
  <c r="L434" i="6"/>
  <c r="J434" i="6"/>
  <c r="K434" i="6"/>
  <c r="O434" i="6"/>
  <c r="S434" i="6"/>
  <c r="T436" i="6"/>
  <c r="R436" i="6"/>
  <c r="P436" i="6"/>
  <c r="N436" i="6"/>
  <c r="L436" i="6"/>
  <c r="J436" i="6"/>
  <c r="K436" i="6"/>
  <c r="O436" i="6"/>
  <c r="S436" i="6"/>
  <c r="T438" i="6"/>
  <c r="R438" i="6"/>
  <c r="P438" i="6"/>
  <c r="N438" i="6"/>
  <c r="L438" i="6"/>
  <c r="J438" i="6"/>
  <c r="K438" i="6"/>
  <c r="O438" i="6"/>
  <c r="S438" i="6"/>
  <c r="T440" i="6"/>
  <c r="R440" i="6"/>
  <c r="P440" i="6"/>
  <c r="N440" i="6"/>
  <c r="L440" i="6"/>
  <c r="J440" i="6"/>
  <c r="K440" i="6"/>
  <c r="O440" i="6"/>
  <c r="S440" i="6"/>
  <c r="T442" i="6"/>
  <c r="R442" i="6"/>
  <c r="P442" i="6"/>
  <c r="N442" i="6"/>
  <c r="L442" i="6"/>
  <c r="J442" i="6"/>
  <c r="K442" i="6"/>
  <c r="O442" i="6"/>
  <c r="S442" i="6"/>
  <c r="T444" i="6"/>
  <c r="R444" i="6"/>
  <c r="P444" i="6"/>
  <c r="N444" i="6"/>
  <c r="L444" i="6"/>
  <c r="J444" i="6"/>
  <c r="K444" i="6"/>
  <c r="O444" i="6"/>
  <c r="S444" i="6"/>
  <c r="T446" i="6"/>
  <c r="R446" i="6"/>
  <c r="P446" i="6"/>
  <c r="N446" i="6"/>
  <c r="L446" i="6"/>
  <c r="J446" i="6"/>
  <c r="K446" i="6"/>
  <c r="O446" i="6"/>
  <c r="S446" i="6"/>
  <c r="T448" i="6"/>
  <c r="R448" i="6"/>
  <c r="P448" i="6"/>
  <c r="N448" i="6"/>
  <c r="L448" i="6"/>
  <c r="J448" i="6"/>
  <c r="K448" i="6"/>
  <c r="O448" i="6"/>
  <c r="S448" i="6"/>
  <c r="T450" i="6"/>
  <c r="R450" i="6"/>
  <c r="P450" i="6"/>
  <c r="N450" i="6"/>
  <c r="L450" i="6"/>
  <c r="J450" i="6"/>
  <c r="K450" i="6"/>
  <c r="O450" i="6"/>
  <c r="S450" i="6"/>
  <c r="T452" i="6"/>
  <c r="R452" i="6"/>
  <c r="P452" i="6"/>
  <c r="N452" i="6"/>
  <c r="L452" i="6"/>
  <c r="J452" i="6"/>
  <c r="K452" i="6"/>
  <c r="O452" i="6"/>
  <c r="S452" i="6"/>
  <c r="T454" i="6"/>
  <c r="R454" i="6"/>
  <c r="P454" i="6"/>
  <c r="N454" i="6"/>
  <c r="L454" i="6"/>
  <c r="J454" i="6"/>
  <c r="K454" i="6"/>
  <c r="O454" i="6"/>
  <c r="S454" i="6"/>
  <c r="T456" i="6"/>
  <c r="R456" i="6"/>
  <c r="P456" i="6"/>
  <c r="N456" i="6"/>
  <c r="L456" i="6"/>
  <c r="J456" i="6"/>
  <c r="K456" i="6"/>
  <c r="O456" i="6"/>
  <c r="S456" i="6"/>
  <c r="T458" i="6"/>
  <c r="R458" i="6"/>
  <c r="P458" i="6"/>
  <c r="N458" i="6"/>
  <c r="L458" i="6"/>
  <c r="J458" i="6"/>
  <c r="K458" i="6"/>
  <c r="O458" i="6"/>
  <c r="S458" i="6"/>
  <c r="T460" i="6"/>
  <c r="R460" i="6"/>
  <c r="P460" i="6"/>
  <c r="N460" i="6"/>
  <c r="L460" i="6"/>
  <c r="J460" i="6"/>
  <c r="K460" i="6"/>
  <c r="O460" i="6"/>
  <c r="S460" i="6"/>
  <c r="T462" i="6"/>
  <c r="R462" i="6"/>
  <c r="P462" i="6"/>
  <c r="N462" i="6"/>
  <c r="L462" i="6"/>
  <c r="J462" i="6"/>
  <c r="K462" i="6"/>
  <c r="O462" i="6"/>
  <c r="S462" i="6"/>
  <c r="T464" i="6"/>
  <c r="R464" i="6"/>
  <c r="P464" i="6"/>
  <c r="N464" i="6"/>
  <c r="L464" i="6"/>
  <c r="J464" i="6"/>
  <c r="K464" i="6"/>
  <c r="O464" i="6"/>
  <c r="S464" i="6"/>
  <c r="T466" i="6"/>
  <c r="R466" i="6"/>
  <c r="P466" i="6"/>
  <c r="N466" i="6"/>
  <c r="L466" i="6"/>
  <c r="J466" i="6"/>
  <c r="K466" i="6"/>
  <c r="O466" i="6"/>
  <c r="S466" i="6"/>
  <c r="T468" i="6"/>
  <c r="R468" i="6"/>
  <c r="P468" i="6"/>
  <c r="N468" i="6"/>
  <c r="L468" i="6"/>
  <c r="J468" i="6"/>
  <c r="K468" i="6"/>
  <c r="O468" i="6"/>
  <c r="S468" i="6"/>
  <c r="T470" i="6"/>
  <c r="R470" i="6"/>
  <c r="P470" i="6"/>
  <c r="N470" i="6"/>
  <c r="L470" i="6"/>
  <c r="J470" i="6"/>
  <c r="K470" i="6"/>
  <c r="O470" i="6"/>
  <c r="S470" i="6"/>
  <c r="T472" i="6"/>
  <c r="R472" i="6"/>
  <c r="P472" i="6"/>
  <c r="N472" i="6"/>
  <c r="L472" i="6"/>
  <c r="J472" i="6"/>
  <c r="K472" i="6"/>
  <c r="O472" i="6"/>
  <c r="S472" i="6"/>
  <c r="T474" i="6"/>
  <c r="R474" i="6"/>
  <c r="P474" i="6"/>
  <c r="N474" i="6"/>
  <c r="L474" i="6"/>
  <c r="J474" i="6"/>
  <c r="K474" i="6"/>
  <c r="O474" i="6"/>
  <c r="S474" i="6"/>
  <c r="T476" i="6"/>
  <c r="R476" i="6"/>
  <c r="P476" i="6"/>
  <c r="N476" i="6"/>
  <c r="L476" i="6"/>
  <c r="J476" i="6"/>
  <c r="K476" i="6"/>
  <c r="O476" i="6"/>
  <c r="S476" i="6"/>
  <c r="T478" i="6"/>
  <c r="R478" i="6"/>
  <c r="P478" i="6"/>
  <c r="N478" i="6"/>
  <c r="L478" i="6"/>
  <c r="J478" i="6"/>
  <c r="K478" i="6"/>
  <c r="O478" i="6"/>
  <c r="S478" i="6"/>
  <c r="T480" i="6"/>
  <c r="R480" i="6"/>
  <c r="P480" i="6"/>
  <c r="N480" i="6"/>
  <c r="L480" i="6"/>
  <c r="J480" i="6"/>
  <c r="K480" i="6"/>
  <c r="O480" i="6"/>
  <c r="S480" i="6"/>
  <c r="T482" i="6"/>
  <c r="R482" i="6"/>
  <c r="P482" i="6"/>
  <c r="N482" i="6"/>
  <c r="L482" i="6"/>
  <c r="J482" i="6"/>
  <c r="K482" i="6"/>
  <c r="O482" i="6"/>
  <c r="S482" i="6"/>
  <c r="T484" i="6"/>
  <c r="R484" i="6"/>
  <c r="P484" i="6"/>
  <c r="N484" i="6"/>
  <c r="L484" i="6"/>
  <c r="J484" i="6"/>
  <c r="K484" i="6"/>
  <c r="O484" i="6"/>
  <c r="S484" i="6"/>
  <c r="T486" i="6"/>
  <c r="R486" i="6"/>
  <c r="P486" i="6"/>
  <c r="N486" i="6"/>
  <c r="L486" i="6"/>
  <c r="J486" i="6"/>
  <c r="K486" i="6"/>
  <c r="O486" i="6"/>
  <c r="S486" i="6"/>
  <c r="T488" i="6"/>
  <c r="R488" i="6"/>
  <c r="P488" i="6"/>
  <c r="N488" i="6"/>
  <c r="L488" i="6"/>
  <c r="J488" i="6"/>
  <c r="K488" i="6"/>
  <c r="O488" i="6"/>
  <c r="S488" i="6"/>
  <c r="T490" i="6"/>
  <c r="R490" i="6"/>
  <c r="P490" i="6"/>
  <c r="N490" i="6"/>
  <c r="L490" i="6"/>
  <c r="J490" i="6"/>
  <c r="K490" i="6"/>
  <c r="O490" i="6"/>
  <c r="S490" i="6"/>
  <c r="T492" i="6"/>
  <c r="R492" i="6"/>
  <c r="P492" i="6"/>
  <c r="N492" i="6"/>
  <c r="L492" i="6"/>
  <c r="J492" i="6"/>
  <c r="K492" i="6"/>
  <c r="O492" i="6"/>
  <c r="S492" i="6"/>
  <c r="T494" i="6"/>
  <c r="R494" i="6"/>
  <c r="P494" i="6"/>
  <c r="N494" i="6"/>
  <c r="L494" i="6"/>
  <c r="J494" i="6"/>
  <c r="K494" i="6"/>
  <c r="O494" i="6"/>
  <c r="S494" i="6"/>
  <c r="T496" i="6"/>
  <c r="R496" i="6"/>
  <c r="P496" i="6"/>
  <c r="N496" i="6"/>
  <c r="L496" i="6"/>
  <c r="J496" i="6"/>
  <c r="K496" i="6"/>
  <c r="O496" i="6"/>
  <c r="S496" i="6"/>
  <c r="T498" i="6"/>
  <c r="R498" i="6"/>
  <c r="P498" i="6"/>
  <c r="N498" i="6"/>
  <c r="L498" i="6"/>
  <c r="J498" i="6"/>
  <c r="K498" i="6"/>
  <c r="O498" i="6"/>
  <c r="S498" i="6"/>
  <c r="T500" i="6"/>
  <c r="R500" i="6"/>
  <c r="P500" i="6"/>
  <c r="N500" i="6"/>
  <c r="L500" i="6"/>
  <c r="J500" i="6"/>
  <c r="K500" i="6"/>
  <c r="O500" i="6"/>
  <c r="S500" i="6"/>
  <c r="T502" i="6"/>
  <c r="R502" i="6"/>
  <c r="P502" i="6"/>
  <c r="N502" i="6"/>
  <c r="L502" i="6"/>
  <c r="J502" i="6"/>
  <c r="K502" i="6"/>
  <c r="O502" i="6"/>
  <c r="S502" i="6"/>
  <c r="T504" i="6"/>
  <c r="R504" i="6"/>
  <c r="P504" i="6"/>
  <c r="N504" i="6"/>
  <c r="L504" i="6"/>
  <c r="J504" i="6"/>
  <c r="K504" i="6"/>
  <c r="O504" i="6"/>
  <c r="S504" i="6"/>
  <c r="T506" i="6"/>
  <c r="R506" i="6"/>
  <c r="P506" i="6"/>
  <c r="N506" i="6"/>
  <c r="L506" i="6"/>
  <c r="J506" i="6"/>
  <c r="K506" i="6"/>
  <c r="O506" i="6"/>
  <c r="S506" i="6"/>
  <c r="T508" i="6"/>
  <c r="R508" i="6"/>
  <c r="P508" i="6"/>
  <c r="N508" i="6"/>
  <c r="L508" i="6"/>
  <c r="J508" i="6"/>
  <c r="K508" i="6"/>
  <c r="O508" i="6"/>
  <c r="S508" i="6"/>
  <c r="T510" i="6"/>
  <c r="R510" i="6"/>
  <c r="P510" i="6"/>
  <c r="N510" i="6"/>
  <c r="L510" i="6"/>
  <c r="J510" i="6"/>
  <c r="K510" i="6"/>
  <c r="O510" i="6"/>
  <c r="S510" i="6"/>
  <c r="T512" i="6"/>
  <c r="R512" i="6"/>
  <c r="P512" i="6"/>
  <c r="N512" i="6"/>
  <c r="L512" i="6"/>
  <c r="J512" i="6"/>
  <c r="K512" i="6"/>
  <c r="O512" i="6"/>
  <c r="S512" i="6"/>
  <c r="T514" i="6"/>
  <c r="R514" i="6"/>
  <c r="P514" i="6"/>
  <c r="N514" i="6"/>
  <c r="L514" i="6"/>
  <c r="J514" i="6"/>
  <c r="K514" i="6"/>
  <c r="O514" i="6"/>
  <c r="S514" i="6"/>
  <c r="T516" i="6"/>
  <c r="R516" i="6"/>
  <c r="P516" i="6"/>
  <c r="N516" i="6"/>
  <c r="L516" i="6"/>
  <c r="J516" i="6"/>
  <c r="K516" i="6"/>
  <c r="O516" i="6"/>
  <c r="S516" i="6"/>
  <c r="T518" i="6"/>
  <c r="R518" i="6"/>
  <c r="P518" i="6"/>
  <c r="N518" i="6"/>
  <c r="L518" i="6"/>
  <c r="J518" i="6"/>
  <c r="K518" i="6"/>
  <c r="O518" i="6"/>
  <c r="S518" i="6"/>
  <c r="T520" i="6"/>
  <c r="R520" i="6"/>
  <c r="P520" i="6"/>
  <c r="N520" i="6"/>
  <c r="L520" i="6"/>
  <c r="J520" i="6"/>
  <c r="K520" i="6"/>
  <c r="O520" i="6"/>
  <c r="S520" i="6"/>
  <c r="T522" i="6"/>
  <c r="R522" i="6"/>
  <c r="P522" i="6"/>
  <c r="N522" i="6"/>
  <c r="L522" i="6"/>
  <c r="J522" i="6"/>
  <c r="K522" i="6"/>
  <c r="O522" i="6"/>
  <c r="S522" i="6"/>
  <c r="T524" i="6"/>
  <c r="R524" i="6"/>
  <c r="P524" i="6"/>
  <c r="N524" i="6"/>
  <c r="L524" i="6"/>
  <c r="J524" i="6"/>
  <c r="K524" i="6"/>
  <c r="O524" i="6"/>
  <c r="S524" i="6"/>
  <c r="T526" i="6"/>
  <c r="R526" i="6"/>
  <c r="P526" i="6"/>
  <c r="N526" i="6"/>
  <c r="L526" i="6"/>
  <c r="J526" i="6"/>
  <c r="K526" i="6"/>
  <c r="O526" i="6"/>
  <c r="S526" i="6"/>
  <c r="T528" i="6"/>
  <c r="R528" i="6"/>
  <c r="P528" i="6"/>
  <c r="N528" i="6"/>
  <c r="L528" i="6"/>
  <c r="J528" i="6"/>
  <c r="K528" i="6"/>
  <c r="O528" i="6"/>
  <c r="S528" i="6"/>
  <c r="T530" i="6"/>
  <c r="R530" i="6"/>
  <c r="P530" i="6"/>
  <c r="N530" i="6"/>
  <c r="L530" i="6"/>
  <c r="J530" i="6"/>
  <c r="K530" i="6"/>
  <c r="O530" i="6"/>
  <c r="S530" i="6"/>
  <c r="T532" i="6"/>
  <c r="R532" i="6"/>
  <c r="P532" i="6"/>
  <c r="N532" i="6"/>
  <c r="L532" i="6"/>
  <c r="J532" i="6"/>
  <c r="K532" i="6"/>
  <c r="O532" i="6"/>
  <c r="S532" i="6"/>
  <c r="T534" i="6"/>
  <c r="R534" i="6"/>
  <c r="P534" i="6"/>
  <c r="N534" i="6"/>
  <c r="L534" i="6"/>
  <c r="J534" i="6"/>
  <c r="K534" i="6"/>
  <c r="O534" i="6"/>
  <c r="S534" i="6"/>
  <c r="T536" i="6"/>
  <c r="R536" i="6"/>
  <c r="P536" i="6"/>
  <c r="N536" i="6"/>
  <c r="L536" i="6"/>
  <c r="J536" i="6"/>
  <c r="K536" i="6"/>
  <c r="O536" i="6"/>
  <c r="S536" i="6"/>
  <c r="T538" i="6"/>
  <c r="R538" i="6"/>
  <c r="P538" i="6"/>
  <c r="N538" i="6"/>
  <c r="L538" i="6"/>
  <c r="J538" i="6"/>
  <c r="K538" i="6"/>
  <c r="O538" i="6"/>
  <c r="S538" i="6"/>
  <c r="T540" i="6"/>
  <c r="R540" i="6"/>
  <c r="P540" i="6"/>
  <c r="N540" i="6"/>
  <c r="L540" i="6"/>
  <c r="J540" i="6"/>
  <c r="K540" i="6"/>
  <c r="O540" i="6"/>
  <c r="S540" i="6"/>
  <c r="T542" i="6"/>
  <c r="R542" i="6"/>
  <c r="P542" i="6"/>
  <c r="N542" i="6"/>
  <c r="L542" i="6"/>
  <c r="J542" i="6"/>
  <c r="K542" i="6"/>
  <c r="O542" i="6"/>
  <c r="S542" i="6"/>
  <c r="T544" i="6"/>
  <c r="R544" i="6"/>
  <c r="P544" i="6"/>
  <c r="N544" i="6"/>
  <c r="L544" i="6"/>
  <c r="J544" i="6"/>
  <c r="K544" i="6"/>
  <c r="O544" i="6"/>
  <c r="S544" i="6"/>
  <c r="T546" i="6"/>
  <c r="R546" i="6"/>
  <c r="P546" i="6"/>
  <c r="N546" i="6"/>
  <c r="L546" i="6"/>
  <c r="J546" i="6"/>
  <c r="K546" i="6"/>
  <c r="O546" i="6"/>
  <c r="S546" i="6"/>
  <c r="T548" i="6"/>
  <c r="R548" i="6"/>
  <c r="P548" i="6"/>
  <c r="N548" i="6"/>
  <c r="L548" i="6"/>
  <c r="J548" i="6"/>
  <c r="K548" i="6"/>
  <c r="O548" i="6"/>
  <c r="S548" i="6"/>
  <c r="T550" i="6"/>
  <c r="R550" i="6"/>
  <c r="P550" i="6"/>
  <c r="N550" i="6"/>
  <c r="L550" i="6"/>
  <c r="J550" i="6"/>
  <c r="K550" i="6"/>
  <c r="O550" i="6"/>
  <c r="S550" i="6"/>
  <c r="T552" i="6"/>
  <c r="R552" i="6"/>
  <c r="P552" i="6"/>
  <c r="N552" i="6"/>
  <c r="L552" i="6"/>
  <c r="J552" i="6"/>
  <c r="K552" i="6"/>
  <c r="O552" i="6"/>
  <c r="S552" i="6"/>
  <c r="T554" i="6"/>
  <c r="R554" i="6"/>
  <c r="P554" i="6"/>
  <c r="N554" i="6"/>
  <c r="L554" i="6"/>
  <c r="J554" i="6"/>
  <c r="K554" i="6"/>
  <c r="O554" i="6"/>
  <c r="S554" i="6"/>
  <c r="T556" i="6"/>
  <c r="R556" i="6"/>
  <c r="P556" i="6"/>
  <c r="N556" i="6"/>
  <c r="L556" i="6"/>
  <c r="J556" i="6"/>
  <c r="K556" i="6"/>
  <c r="O556" i="6"/>
  <c r="S556" i="6"/>
  <c r="T558" i="6"/>
  <c r="R558" i="6"/>
  <c r="P558" i="6"/>
  <c r="N558" i="6"/>
  <c r="L558" i="6"/>
  <c r="J558" i="6"/>
  <c r="K558" i="6"/>
  <c r="O558" i="6"/>
  <c r="S558" i="6"/>
  <c r="T560" i="6"/>
  <c r="R560" i="6"/>
  <c r="P560" i="6"/>
  <c r="N560" i="6"/>
  <c r="L560" i="6"/>
  <c r="J560" i="6"/>
  <c r="K560" i="6"/>
  <c r="O560" i="6"/>
  <c r="S560" i="6"/>
  <c r="T562" i="6"/>
  <c r="R562" i="6"/>
  <c r="P562" i="6"/>
  <c r="N562" i="6"/>
  <c r="L562" i="6"/>
  <c r="J562" i="6"/>
  <c r="K562" i="6"/>
  <c r="O562" i="6"/>
  <c r="S562" i="6"/>
  <c r="T564" i="6"/>
  <c r="R564" i="6"/>
  <c r="P564" i="6"/>
  <c r="N564" i="6"/>
  <c r="L564" i="6"/>
  <c r="J564" i="6"/>
  <c r="K564" i="6"/>
  <c r="O564" i="6"/>
  <c r="S564" i="6"/>
  <c r="T566" i="6"/>
  <c r="R566" i="6"/>
  <c r="P566" i="6"/>
  <c r="N566" i="6"/>
  <c r="L566" i="6"/>
  <c r="J566" i="6"/>
  <c r="K566" i="6"/>
  <c r="O566" i="6"/>
  <c r="S566" i="6"/>
  <c r="T568" i="6"/>
  <c r="R568" i="6"/>
  <c r="P568" i="6"/>
  <c r="N568" i="6"/>
  <c r="L568" i="6"/>
  <c r="J568" i="6"/>
  <c r="K568" i="6"/>
  <c r="O568" i="6"/>
  <c r="S568" i="6"/>
  <c r="T570" i="6"/>
  <c r="R570" i="6"/>
  <c r="P570" i="6"/>
  <c r="N570" i="6"/>
  <c r="L570" i="6"/>
  <c r="J570" i="6"/>
  <c r="K570" i="6"/>
  <c r="O570" i="6"/>
  <c r="S570" i="6"/>
  <c r="T572" i="6"/>
  <c r="R572" i="6"/>
  <c r="P572" i="6"/>
  <c r="N572" i="6"/>
  <c r="L572" i="6"/>
  <c r="J572" i="6"/>
  <c r="K572" i="6"/>
  <c r="O572" i="6"/>
  <c r="S572" i="6"/>
  <c r="T574" i="6"/>
  <c r="R574" i="6"/>
  <c r="P574" i="6"/>
  <c r="N574" i="6"/>
  <c r="L574" i="6"/>
  <c r="J574" i="6"/>
  <c r="K574" i="6"/>
  <c r="O574" i="6"/>
  <c r="S574" i="6"/>
  <c r="T576" i="6"/>
  <c r="R576" i="6"/>
  <c r="P576" i="6"/>
  <c r="N576" i="6"/>
  <c r="L576" i="6"/>
  <c r="J576" i="6"/>
  <c r="K576" i="6"/>
  <c r="O576" i="6"/>
  <c r="S576" i="6"/>
  <c r="T578" i="6"/>
  <c r="R578" i="6"/>
  <c r="P578" i="6"/>
  <c r="N578" i="6"/>
  <c r="L578" i="6"/>
  <c r="J578" i="6"/>
  <c r="K578" i="6"/>
  <c r="O578" i="6"/>
  <c r="S578" i="6"/>
  <c r="T580" i="6"/>
  <c r="R580" i="6"/>
  <c r="P580" i="6"/>
  <c r="N580" i="6"/>
  <c r="L580" i="6"/>
  <c r="J580" i="6"/>
  <c r="K580" i="6"/>
  <c r="O580" i="6"/>
  <c r="S580" i="6"/>
  <c r="T582" i="6"/>
  <c r="R582" i="6"/>
  <c r="P582" i="6"/>
  <c r="N582" i="6"/>
  <c r="L582" i="6"/>
  <c r="J582" i="6"/>
  <c r="K582" i="6"/>
  <c r="O582" i="6"/>
  <c r="S582" i="6"/>
  <c r="T584" i="6"/>
  <c r="R584" i="6"/>
  <c r="P584" i="6"/>
  <c r="N584" i="6"/>
  <c r="L584" i="6"/>
  <c r="J584" i="6"/>
  <c r="K584" i="6"/>
  <c r="O584" i="6"/>
  <c r="S584" i="6"/>
  <c r="T586" i="6"/>
  <c r="R586" i="6"/>
  <c r="P586" i="6"/>
  <c r="N586" i="6"/>
  <c r="L586" i="6"/>
  <c r="J586" i="6"/>
  <c r="K586" i="6"/>
  <c r="O586" i="6"/>
  <c r="S586" i="6"/>
  <c r="T588" i="6"/>
  <c r="R588" i="6"/>
  <c r="P588" i="6"/>
  <c r="N588" i="6"/>
  <c r="L588" i="6"/>
  <c r="J588" i="6"/>
  <c r="K588" i="6"/>
  <c r="O588" i="6"/>
  <c r="S588" i="6"/>
  <c r="T590" i="6"/>
  <c r="R590" i="6"/>
  <c r="P590" i="6"/>
  <c r="N590" i="6"/>
  <c r="L590" i="6"/>
  <c r="J590" i="6"/>
  <c r="K590" i="6"/>
  <c r="O590" i="6"/>
  <c r="S590" i="6"/>
  <c r="T592" i="6"/>
  <c r="R592" i="6"/>
  <c r="P592" i="6"/>
  <c r="N592" i="6"/>
  <c r="L592" i="6"/>
  <c r="J592" i="6"/>
  <c r="K592" i="6"/>
  <c r="O592" i="6"/>
  <c r="S592" i="6"/>
  <c r="T594" i="6"/>
  <c r="R594" i="6"/>
  <c r="P594" i="6"/>
  <c r="N594" i="6"/>
  <c r="L594" i="6"/>
  <c r="J594" i="6"/>
  <c r="K594" i="6"/>
  <c r="O594" i="6"/>
  <c r="S594" i="6"/>
  <c r="T596" i="6"/>
  <c r="R596" i="6"/>
  <c r="P596" i="6"/>
  <c r="N596" i="6"/>
  <c r="L596" i="6"/>
  <c r="J596" i="6"/>
  <c r="K596" i="6"/>
  <c r="O596" i="6"/>
  <c r="S596" i="6"/>
  <c r="T598" i="6"/>
  <c r="R598" i="6"/>
  <c r="P598" i="6"/>
  <c r="N598" i="6"/>
  <c r="L598" i="6"/>
  <c r="J598" i="6"/>
  <c r="K598" i="6"/>
  <c r="O598" i="6"/>
  <c r="S598" i="6"/>
  <c r="T600" i="6"/>
  <c r="R600" i="6"/>
  <c r="P600" i="6"/>
  <c r="N600" i="6"/>
  <c r="L600" i="6"/>
  <c r="J600" i="6"/>
  <c r="K600" i="6"/>
  <c r="O600" i="6"/>
  <c r="S600" i="6"/>
  <c r="T602" i="6"/>
  <c r="R602" i="6"/>
  <c r="P602" i="6"/>
  <c r="N602" i="6"/>
  <c r="L602" i="6"/>
  <c r="J602" i="6"/>
  <c r="K602" i="6"/>
  <c r="O602" i="6"/>
  <c r="S602" i="6"/>
  <c r="T604" i="6"/>
  <c r="R604" i="6"/>
  <c r="P604" i="6"/>
  <c r="N604" i="6"/>
  <c r="L604" i="6"/>
  <c r="J604" i="6"/>
  <c r="K604" i="6"/>
  <c r="O604" i="6"/>
  <c r="S604" i="6"/>
  <c r="T606" i="6"/>
  <c r="R606" i="6"/>
  <c r="P606" i="6"/>
  <c r="N606" i="6"/>
  <c r="L606" i="6"/>
  <c r="J606" i="6"/>
  <c r="K606" i="6"/>
  <c r="O606" i="6"/>
  <c r="S606" i="6"/>
  <c r="T608" i="6"/>
  <c r="R608" i="6"/>
  <c r="P608" i="6"/>
  <c r="N608" i="6"/>
  <c r="L608" i="6"/>
  <c r="J608" i="6"/>
  <c r="K608" i="6"/>
  <c r="O608" i="6"/>
  <c r="S608" i="6"/>
  <c r="T610" i="6"/>
  <c r="R610" i="6"/>
  <c r="P610" i="6"/>
  <c r="N610" i="6"/>
  <c r="L610" i="6"/>
  <c r="J610" i="6"/>
  <c r="K610" i="6"/>
  <c r="O610" i="6"/>
  <c r="S610" i="6"/>
  <c r="T612" i="6"/>
  <c r="R612" i="6"/>
  <c r="P612" i="6"/>
  <c r="N612" i="6"/>
  <c r="L612" i="6"/>
  <c r="J612" i="6"/>
  <c r="K612" i="6"/>
  <c r="O612" i="6"/>
  <c r="S612" i="6"/>
  <c r="T614" i="6"/>
  <c r="R614" i="6"/>
  <c r="P614" i="6"/>
  <c r="N614" i="6"/>
  <c r="L614" i="6"/>
  <c r="J614" i="6"/>
  <c r="K614" i="6"/>
  <c r="O614" i="6"/>
  <c r="S614" i="6"/>
  <c r="T616" i="6"/>
  <c r="R616" i="6"/>
  <c r="P616" i="6"/>
  <c r="N616" i="6"/>
  <c r="L616" i="6"/>
  <c r="J616" i="6"/>
  <c r="K616" i="6"/>
  <c r="O616" i="6"/>
  <c r="S616" i="6"/>
  <c r="T618" i="6"/>
  <c r="R618" i="6"/>
  <c r="P618" i="6"/>
  <c r="N618" i="6"/>
  <c r="L618" i="6"/>
  <c r="J618" i="6"/>
  <c r="K618" i="6"/>
  <c r="O618" i="6"/>
  <c r="S618" i="6"/>
  <c r="T620" i="6"/>
  <c r="R620" i="6"/>
  <c r="P620" i="6"/>
  <c r="N620" i="6"/>
  <c r="L620" i="6"/>
  <c r="J620" i="6"/>
  <c r="K620" i="6"/>
  <c r="O620" i="6"/>
  <c r="S620" i="6"/>
  <c r="T622" i="6"/>
  <c r="R622" i="6"/>
  <c r="P622" i="6"/>
  <c r="N622" i="6"/>
  <c r="L622" i="6"/>
  <c r="J622" i="6"/>
  <c r="K622" i="6"/>
  <c r="O622" i="6"/>
  <c r="S622" i="6"/>
  <c r="T624" i="6"/>
  <c r="R624" i="6"/>
  <c r="P624" i="6"/>
  <c r="N624" i="6"/>
  <c r="L624" i="6"/>
  <c r="J624" i="6"/>
  <c r="K624" i="6"/>
  <c r="O624" i="6"/>
  <c r="S624" i="6"/>
  <c r="T626" i="6"/>
  <c r="R626" i="6"/>
  <c r="P626" i="6"/>
  <c r="N626" i="6"/>
  <c r="L626" i="6"/>
  <c r="J626" i="6"/>
  <c r="K626" i="6"/>
  <c r="O626" i="6"/>
  <c r="S626" i="6"/>
  <c r="T628" i="6"/>
  <c r="R628" i="6"/>
  <c r="P628" i="6"/>
  <c r="N628" i="6"/>
  <c r="L628" i="6"/>
  <c r="J628" i="6"/>
  <c r="K628" i="6"/>
  <c r="O628" i="6"/>
  <c r="S628" i="6"/>
  <c r="T630" i="6"/>
  <c r="R630" i="6"/>
  <c r="P630" i="6"/>
  <c r="N630" i="6"/>
  <c r="L630" i="6"/>
  <c r="J630" i="6"/>
  <c r="K630" i="6"/>
  <c r="O630" i="6"/>
  <c r="S630" i="6"/>
  <c r="T632" i="6"/>
  <c r="R632" i="6"/>
  <c r="P632" i="6"/>
  <c r="N632" i="6"/>
  <c r="L632" i="6"/>
  <c r="J632" i="6"/>
  <c r="K632" i="6"/>
  <c r="O632" i="6"/>
  <c r="S632" i="6"/>
  <c r="T634" i="6"/>
  <c r="R634" i="6"/>
  <c r="P634" i="6"/>
  <c r="N634" i="6"/>
  <c r="L634" i="6"/>
  <c r="J634" i="6"/>
  <c r="K634" i="6"/>
  <c r="O634" i="6"/>
  <c r="S634" i="6"/>
  <c r="T636" i="6"/>
  <c r="R636" i="6"/>
  <c r="P636" i="6"/>
  <c r="N636" i="6"/>
  <c r="L636" i="6"/>
  <c r="J636" i="6"/>
  <c r="K636" i="6"/>
  <c r="O636" i="6"/>
  <c r="S636" i="6"/>
  <c r="T638" i="6"/>
  <c r="R638" i="6"/>
  <c r="P638" i="6"/>
  <c r="N638" i="6"/>
  <c r="L638" i="6"/>
  <c r="J638" i="6"/>
  <c r="K638" i="6"/>
  <c r="O638" i="6"/>
  <c r="S638" i="6"/>
  <c r="T640" i="6"/>
  <c r="R640" i="6"/>
  <c r="P640" i="6"/>
  <c r="N640" i="6"/>
  <c r="L640" i="6"/>
  <c r="J640" i="6"/>
  <c r="K640" i="6"/>
  <c r="O640" i="6"/>
  <c r="S640" i="6"/>
  <c r="T642" i="6"/>
  <c r="R642" i="6"/>
  <c r="P642" i="6"/>
  <c r="N642" i="6"/>
  <c r="L642" i="6"/>
  <c r="J642" i="6"/>
  <c r="K642" i="6"/>
  <c r="O642" i="6"/>
  <c r="S642" i="6"/>
  <c r="T644" i="6"/>
  <c r="R644" i="6"/>
  <c r="P644" i="6"/>
  <c r="N644" i="6"/>
  <c r="L644" i="6"/>
  <c r="J644" i="6"/>
  <c r="K644" i="6"/>
  <c r="O644" i="6"/>
  <c r="S644" i="6"/>
  <c r="T646" i="6"/>
  <c r="R646" i="6"/>
  <c r="P646" i="6"/>
  <c r="N646" i="6"/>
  <c r="L646" i="6"/>
  <c r="J646" i="6"/>
  <c r="K646" i="6"/>
  <c r="O646" i="6"/>
  <c r="S646" i="6"/>
  <c r="T648" i="6"/>
  <c r="R648" i="6"/>
  <c r="P648" i="6"/>
  <c r="N648" i="6"/>
  <c r="L648" i="6"/>
  <c r="J648" i="6"/>
  <c r="K648" i="6"/>
  <c r="O648" i="6"/>
  <c r="S648" i="6"/>
  <c r="T650" i="6"/>
  <c r="R650" i="6"/>
  <c r="P650" i="6"/>
  <c r="N650" i="6"/>
  <c r="L650" i="6"/>
  <c r="J650" i="6"/>
  <c r="K650" i="6"/>
  <c r="O650" i="6"/>
  <c r="S650" i="6"/>
  <c r="T652" i="6"/>
  <c r="R652" i="6"/>
  <c r="P652" i="6"/>
  <c r="N652" i="6"/>
  <c r="L652" i="6"/>
  <c r="J652" i="6"/>
  <c r="K652" i="6"/>
  <c r="O652" i="6"/>
  <c r="S652" i="6"/>
  <c r="T654" i="6"/>
  <c r="R654" i="6"/>
  <c r="P654" i="6"/>
  <c r="N654" i="6"/>
  <c r="L654" i="6"/>
  <c r="J654" i="6"/>
  <c r="K654" i="6"/>
  <c r="O654" i="6"/>
  <c r="S654" i="6"/>
  <c r="T656" i="6"/>
  <c r="R656" i="6"/>
  <c r="P656" i="6"/>
  <c r="N656" i="6"/>
  <c r="L656" i="6"/>
  <c r="J656" i="6"/>
  <c r="K656" i="6"/>
  <c r="O656" i="6"/>
  <c r="S656" i="6"/>
  <c r="T658" i="6"/>
  <c r="R658" i="6"/>
  <c r="P658" i="6"/>
  <c r="N658" i="6"/>
  <c r="L658" i="6"/>
  <c r="J658" i="6"/>
  <c r="K658" i="6"/>
  <c r="O658" i="6"/>
  <c r="S658" i="6"/>
  <c r="T660" i="6"/>
  <c r="R660" i="6"/>
  <c r="P660" i="6"/>
  <c r="N660" i="6"/>
  <c r="L660" i="6"/>
  <c r="J660" i="6"/>
  <c r="K660" i="6"/>
  <c r="O660" i="6"/>
  <c r="S660" i="6"/>
  <c r="T662" i="6"/>
  <c r="R662" i="6"/>
  <c r="P662" i="6"/>
  <c r="N662" i="6"/>
  <c r="L662" i="6"/>
  <c r="J662" i="6"/>
  <c r="K662" i="6"/>
  <c r="O662" i="6"/>
  <c r="S662" i="6"/>
  <c r="T664" i="6"/>
  <c r="R664" i="6"/>
  <c r="P664" i="6"/>
  <c r="N664" i="6"/>
  <c r="L664" i="6"/>
  <c r="J664" i="6"/>
  <c r="K664" i="6"/>
  <c r="O664" i="6"/>
  <c r="S664" i="6"/>
  <c r="T667" i="6"/>
  <c r="R667" i="6"/>
  <c r="P667" i="6"/>
  <c r="N667" i="6"/>
  <c r="L667" i="6"/>
  <c r="J667" i="6"/>
  <c r="S667" i="6"/>
  <c r="Q667" i="6"/>
  <c r="O667" i="6"/>
  <c r="M667" i="6"/>
  <c r="K667" i="6"/>
  <c r="I667" i="6"/>
  <c r="T669" i="6"/>
  <c r="R669" i="6"/>
  <c r="P669" i="6"/>
  <c r="N669" i="6"/>
  <c r="L669" i="6"/>
  <c r="J669" i="6"/>
  <c r="S669" i="6"/>
  <c r="Q669" i="6"/>
  <c r="O669" i="6"/>
  <c r="M669" i="6"/>
  <c r="K669" i="6"/>
  <c r="I669" i="6"/>
  <c r="T671" i="6"/>
  <c r="R671" i="6"/>
  <c r="P671" i="6"/>
  <c r="N671" i="6"/>
  <c r="L671" i="6"/>
  <c r="J671" i="6"/>
  <c r="S671" i="6"/>
  <c r="Q671" i="6"/>
  <c r="O671" i="6"/>
  <c r="M671" i="6"/>
  <c r="K671" i="6"/>
  <c r="I671" i="6"/>
  <c r="T673" i="6"/>
  <c r="R673" i="6"/>
  <c r="P673" i="6"/>
  <c r="N673" i="6"/>
  <c r="L673" i="6"/>
  <c r="J673" i="6"/>
  <c r="S673" i="6"/>
  <c r="Q673" i="6"/>
  <c r="O673" i="6"/>
  <c r="M673" i="6"/>
  <c r="K673" i="6"/>
  <c r="I673" i="6"/>
  <c r="T675" i="6"/>
  <c r="R675" i="6"/>
  <c r="P675" i="6"/>
  <c r="N675" i="6"/>
  <c r="L675" i="6"/>
  <c r="J675" i="6"/>
  <c r="S675" i="6"/>
  <c r="Q675" i="6"/>
  <c r="O675" i="6"/>
  <c r="M675" i="6"/>
  <c r="K675" i="6"/>
  <c r="I675" i="6"/>
  <c r="T677" i="6"/>
  <c r="R677" i="6"/>
  <c r="P677" i="6"/>
  <c r="N677" i="6"/>
  <c r="L677" i="6"/>
  <c r="J677" i="6"/>
  <c r="S677" i="6"/>
  <c r="Q677" i="6"/>
  <c r="O677" i="6"/>
  <c r="M677" i="6"/>
  <c r="K677" i="6"/>
  <c r="I677" i="6"/>
  <c r="T679" i="6"/>
  <c r="R679" i="6"/>
  <c r="P679" i="6"/>
  <c r="N679" i="6"/>
  <c r="L679" i="6"/>
  <c r="J679" i="6"/>
  <c r="S679" i="6"/>
  <c r="Q679" i="6"/>
  <c r="O679" i="6"/>
  <c r="M679" i="6"/>
  <c r="K679" i="6"/>
  <c r="I679" i="6"/>
  <c r="T681" i="6"/>
  <c r="R681" i="6"/>
  <c r="P681" i="6"/>
  <c r="N681" i="6"/>
  <c r="L681" i="6"/>
  <c r="J681" i="6"/>
  <c r="S681" i="6"/>
  <c r="Q681" i="6"/>
  <c r="O681" i="6"/>
  <c r="M681" i="6"/>
  <c r="K681" i="6"/>
  <c r="I681" i="6"/>
  <c r="T683" i="6"/>
  <c r="R683" i="6"/>
  <c r="P683" i="6"/>
  <c r="N683" i="6"/>
  <c r="L683" i="6"/>
  <c r="J683" i="6"/>
  <c r="S683" i="6"/>
  <c r="Q683" i="6"/>
  <c r="O683" i="6"/>
  <c r="M683" i="6"/>
  <c r="K683" i="6"/>
  <c r="I683" i="6"/>
  <c r="T685" i="6"/>
  <c r="R685" i="6"/>
  <c r="P685" i="6"/>
  <c r="N685" i="6"/>
  <c r="L685" i="6"/>
  <c r="J685" i="6"/>
  <c r="S685" i="6"/>
  <c r="Q685" i="6"/>
  <c r="O685" i="6"/>
  <c r="M685" i="6"/>
  <c r="K685" i="6"/>
  <c r="I685" i="6"/>
  <c r="T687" i="6"/>
  <c r="R687" i="6"/>
  <c r="P687" i="6"/>
  <c r="N687" i="6"/>
  <c r="L687" i="6"/>
  <c r="J687" i="6"/>
  <c r="S687" i="6"/>
  <c r="Q687" i="6"/>
  <c r="O687" i="6"/>
  <c r="M687" i="6"/>
  <c r="K687" i="6"/>
  <c r="I687" i="6"/>
  <c r="T689" i="6"/>
  <c r="R689" i="6"/>
  <c r="P689" i="6"/>
  <c r="N689" i="6"/>
  <c r="L689" i="6"/>
  <c r="J689" i="6"/>
  <c r="S689" i="6"/>
  <c r="Q689" i="6"/>
  <c r="O689" i="6"/>
  <c r="M689" i="6"/>
  <c r="K689" i="6"/>
  <c r="I689" i="6"/>
  <c r="T691" i="6"/>
  <c r="R691" i="6"/>
  <c r="P691" i="6"/>
  <c r="N691" i="6"/>
  <c r="L691" i="6"/>
  <c r="J691" i="6"/>
  <c r="S691" i="6"/>
  <c r="Q691" i="6"/>
  <c r="O691" i="6"/>
  <c r="M691" i="6"/>
  <c r="K691" i="6"/>
  <c r="I691" i="6"/>
  <c r="T693" i="6"/>
  <c r="R693" i="6"/>
  <c r="P693" i="6"/>
  <c r="N693" i="6"/>
  <c r="L693" i="6"/>
  <c r="J693" i="6"/>
  <c r="S693" i="6"/>
  <c r="Q693" i="6"/>
  <c r="O693" i="6"/>
  <c r="M693" i="6"/>
  <c r="K693" i="6"/>
  <c r="I693" i="6"/>
  <c r="T695" i="6"/>
  <c r="R695" i="6"/>
  <c r="P695" i="6"/>
  <c r="N695" i="6"/>
  <c r="L695" i="6"/>
  <c r="J695" i="6"/>
  <c r="S695" i="6"/>
  <c r="Q695" i="6"/>
  <c r="O695" i="6"/>
  <c r="M695" i="6"/>
  <c r="K695" i="6"/>
  <c r="I695" i="6"/>
  <c r="T697" i="6"/>
  <c r="R697" i="6"/>
  <c r="P697" i="6"/>
  <c r="N697" i="6"/>
  <c r="L697" i="6"/>
  <c r="J697" i="6"/>
  <c r="S697" i="6"/>
  <c r="Q697" i="6"/>
  <c r="O697" i="6"/>
  <c r="M697" i="6"/>
  <c r="K697" i="6"/>
  <c r="I697" i="6"/>
  <c r="T699" i="6"/>
  <c r="R699" i="6"/>
  <c r="P699" i="6"/>
  <c r="N699" i="6"/>
  <c r="L699" i="6"/>
  <c r="J699" i="6"/>
  <c r="S699" i="6"/>
  <c r="Q699" i="6"/>
  <c r="O699" i="6"/>
  <c r="M699" i="6"/>
  <c r="K699" i="6"/>
  <c r="I699" i="6"/>
  <c r="T701" i="6"/>
  <c r="R701" i="6"/>
  <c r="P701" i="6"/>
  <c r="N701" i="6"/>
  <c r="L701" i="6"/>
  <c r="J701" i="6"/>
  <c r="S701" i="6"/>
  <c r="Q701" i="6"/>
  <c r="O701" i="6"/>
  <c r="M701" i="6"/>
  <c r="K701" i="6"/>
  <c r="I701" i="6"/>
  <c r="T703" i="6"/>
  <c r="R703" i="6"/>
  <c r="P703" i="6"/>
  <c r="N703" i="6"/>
  <c r="L703" i="6"/>
  <c r="J703" i="6"/>
  <c r="S703" i="6"/>
  <c r="Q703" i="6"/>
  <c r="O703" i="6"/>
  <c r="M703" i="6"/>
  <c r="K703" i="6"/>
  <c r="I703" i="6"/>
  <c r="T705" i="6"/>
  <c r="R705" i="6"/>
  <c r="P705" i="6"/>
  <c r="N705" i="6"/>
  <c r="L705" i="6"/>
  <c r="J705" i="6"/>
  <c r="S705" i="6"/>
  <c r="Q705" i="6"/>
  <c r="O705" i="6"/>
  <c r="M705" i="6"/>
  <c r="K705" i="6"/>
  <c r="I705" i="6"/>
  <c r="T707" i="6"/>
  <c r="R707" i="6"/>
  <c r="P707" i="6"/>
  <c r="N707" i="6"/>
  <c r="L707" i="6"/>
  <c r="J707" i="6"/>
  <c r="S707" i="6"/>
  <c r="Q707" i="6"/>
  <c r="O707" i="6"/>
  <c r="M707" i="6"/>
  <c r="K707" i="6"/>
  <c r="I707" i="6"/>
  <c r="T709" i="6"/>
  <c r="R709" i="6"/>
  <c r="P709" i="6"/>
  <c r="N709" i="6"/>
  <c r="L709" i="6"/>
  <c r="J709" i="6"/>
  <c r="S709" i="6"/>
  <c r="Q709" i="6"/>
  <c r="O709" i="6"/>
  <c r="M709" i="6"/>
  <c r="K709" i="6"/>
  <c r="I709" i="6"/>
  <c r="T711" i="6"/>
  <c r="R711" i="6"/>
  <c r="P711" i="6"/>
  <c r="N711" i="6"/>
  <c r="L711" i="6"/>
  <c r="J711" i="6"/>
  <c r="S711" i="6"/>
  <c r="Q711" i="6"/>
  <c r="O711" i="6"/>
  <c r="M711" i="6"/>
  <c r="K711" i="6"/>
  <c r="I711" i="6"/>
  <c r="T713" i="6"/>
  <c r="R713" i="6"/>
  <c r="P713" i="6"/>
  <c r="N713" i="6"/>
  <c r="L713" i="6"/>
  <c r="J713" i="6"/>
  <c r="S713" i="6"/>
  <c r="Q713" i="6"/>
  <c r="O713" i="6"/>
  <c r="M713" i="6"/>
  <c r="K713" i="6"/>
  <c r="I713" i="6"/>
  <c r="T715" i="6"/>
  <c r="R715" i="6"/>
  <c r="P715" i="6"/>
  <c r="N715" i="6"/>
  <c r="L715" i="6"/>
  <c r="J715" i="6"/>
  <c r="S715" i="6"/>
  <c r="Q715" i="6"/>
  <c r="O715" i="6"/>
  <c r="M715" i="6"/>
  <c r="K715" i="6"/>
  <c r="I715" i="6"/>
  <c r="T717" i="6"/>
  <c r="R717" i="6"/>
  <c r="P717" i="6"/>
  <c r="N717" i="6"/>
  <c r="L717" i="6"/>
  <c r="J717" i="6"/>
  <c r="S717" i="6"/>
  <c r="Q717" i="6"/>
  <c r="O717" i="6"/>
  <c r="M717" i="6"/>
  <c r="K717" i="6"/>
  <c r="I717" i="6"/>
  <c r="T719" i="6"/>
  <c r="R719" i="6"/>
  <c r="P719" i="6"/>
  <c r="N719" i="6"/>
  <c r="L719" i="6"/>
  <c r="J719" i="6"/>
  <c r="S719" i="6"/>
  <c r="Q719" i="6"/>
  <c r="O719" i="6"/>
  <c r="M719" i="6"/>
  <c r="K719" i="6"/>
  <c r="I719" i="6"/>
  <c r="T721" i="6"/>
  <c r="R721" i="6"/>
  <c r="P721" i="6"/>
  <c r="N721" i="6"/>
  <c r="L721" i="6"/>
  <c r="J721" i="6"/>
  <c r="S721" i="6"/>
  <c r="Q721" i="6"/>
  <c r="O721" i="6"/>
  <c r="M721" i="6"/>
  <c r="K721" i="6"/>
  <c r="I721" i="6"/>
  <c r="T723" i="6"/>
  <c r="R723" i="6"/>
  <c r="P723" i="6"/>
  <c r="N723" i="6"/>
  <c r="L723" i="6"/>
  <c r="J723" i="6"/>
  <c r="S723" i="6"/>
  <c r="Q723" i="6"/>
  <c r="O723" i="6"/>
  <c r="M723" i="6"/>
  <c r="K723" i="6"/>
  <c r="I723" i="6"/>
  <c r="T725" i="6"/>
  <c r="R725" i="6"/>
  <c r="P725" i="6"/>
  <c r="N725" i="6"/>
  <c r="L725" i="6"/>
  <c r="J725" i="6"/>
  <c r="S725" i="6"/>
  <c r="Q725" i="6"/>
  <c r="O725" i="6"/>
  <c r="M725" i="6"/>
  <c r="K725" i="6"/>
  <c r="I725" i="6"/>
  <c r="T727" i="6"/>
  <c r="R727" i="6"/>
  <c r="P727" i="6"/>
  <c r="N727" i="6"/>
  <c r="L727" i="6"/>
  <c r="J727" i="6"/>
  <c r="S727" i="6"/>
  <c r="Q727" i="6"/>
  <c r="O727" i="6"/>
  <c r="M727" i="6"/>
  <c r="K727" i="6"/>
  <c r="I727" i="6"/>
  <c r="T729" i="6"/>
  <c r="R729" i="6"/>
  <c r="P729" i="6"/>
  <c r="N729" i="6"/>
  <c r="L729" i="6"/>
  <c r="J729" i="6"/>
  <c r="S729" i="6"/>
  <c r="Q729" i="6"/>
  <c r="O729" i="6"/>
  <c r="M729" i="6"/>
  <c r="K729" i="6"/>
  <c r="I729" i="6"/>
  <c r="T731" i="6"/>
  <c r="R731" i="6"/>
  <c r="P731" i="6"/>
  <c r="N731" i="6"/>
  <c r="L731" i="6"/>
  <c r="J731" i="6"/>
  <c r="S731" i="6"/>
  <c r="Q731" i="6"/>
  <c r="O731" i="6"/>
  <c r="M731" i="6"/>
  <c r="K731" i="6"/>
  <c r="I731" i="6"/>
  <c r="T733" i="6"/>
  <c r="R733" i="6"/>
  <c r="P733" i="6"/>
  <c r="N733" i="6"/>
  <c r="L733" i="6"/>
  <c r="J733" i="6"/>
  <c r="S733" i="6"/>
  <c r="Q733" i="6"/>
  <c r="O733" i="6"/>
  <c r="M733" i="6"/>
  <c r="K733" i="6"/>
  <c r="I733" i="6"/>
  <c r="T735" i="6"/>
  <c r="R735" i="6"/>
  <c r="P735" i="6"/>
  <c r="N735" i="6"/>
  <c r="L735" i="6"/>
  <c r="J735" i="6"/>
  <c r="S735" i="6"/>
  <c r="Q735" i="6"/>
  <c r="O735" i="6"/>
  <c r="M735" i="6"/>
  <c r="K735" i="6"/>
  <c r="I735" i="6"/>
  <c r="T737" i="6"/>
  <c r="R737" i="6"/>
  <c r="P737" i="6"/>
  <c r="N737" i="6"/>
  <c r="L737" i="6"/>
  <c r="J737" i="6"/>
  <c r="S737" i="6"/>
  <c r="Q737" i="6"/>
  <c r="O737" i="6"/>
  <c r="M737" i="6"/>
  <c r="K737" i="6"/>
  <c r="I737" i="6"/>
  <c r="T739" i="6"/>
  <c r="R739" i="6"/>
  <c r="P739" i="6"/>
  <c r="N739" i="6"/>
  <c r="L739" i="6"/>
  <c r="J739" i="6"/>
  <c r="S739" i="6"/>
  <c r="Q739" i="6"/>
  <c r="O739" i="6"/>
  <c r="M739" i="6"/>
  <c r="K739" i="6"/>
  <c r="I739" i="6"/>
  <c r="T741" i="6"/>
  <c r="R741" i="6"/>
  <c r="P741" i="6"/>
  <c r="N741" i="6"/>
  <c r="L741" i="6"/>
  <c r="J741" i="6"/>
  <c r="S741" i="6"/>
  <c r="Q741" i="6"/>
  <c r="O741" i="6"/>
  <c r="M741" i="6"/>
  <c r="K741" i="6"/>
  <c r="I741" i="6"/>
  <c r="T743" i="6"/>
  <c r="R743" i="6"/>
  <c r="P743" i="6"/>
  <c r="N743" i="6"/>
  <c r="L743" i="6"/>
  <c r="J743" i="6"/>
  <c r="S743" i="6"/>
  <c r="Q743" i="6"/>
  <c r="O743" i="6"/>
  <c r="M743" i="6"/>
  <c r="K743" i="6"/>
  <c r="I743" i="6"/>
  <c r="T745" i="6"/>
  <c r="R745" i="6"/>
  <c r="P745" i="6"/>
  <c r="N745" i="6"/>
  <c r="L745" i="6"/>
  <c r="J745" i="6"/>
  <c r="S745" i="6"/>
  <c r="Q745" i="6"/>
  <c r="O745" i="6"/>
  <c r="M745" i="6"/>
  <c r="K745" i="6"/>
  <c r="I745" i="6"/>
  <c r="T747" i="6"/>
  <c r="R747" i="6"/>
  <c r="P747" i="6"/>
  <c r="N747" i="6"/>
  <c r="L747" i="6"/>
  <c r="J747" i="6"/>
  <c r="S747" i="6"/>
  <c r="Q747" i="6"/>
  <c r="O747" i="6"/>
  <c r="M747" i="6"/>
  <c r="K747" i="6"/>
  <c r="I747" i="6"/>
  <c r="T749" i="6"/>
  <c r="R749" i="6"/>
  <c r="P749" i="6"/>
  <c r="N749" i="6"/>
  <c r="L749" i="6"/>
  <c r="J749" i="6"/>
  <c r="S749" i="6"/>
  <c r="Q749" i="6"/>
  <c r="O749" i="6"/>
  <c r="M749" i="6"/>
  <c r="K749" i="6"/>
  <c r="I749" i="6"/>
  <c r="T751" i="6"/>
  <c r="R751" i="6"/>
  <c r="P751" i="6"/>
  <c r="N751" i="6"/>
  <c r="L751" i="6"/>
  <c r="J751" i="6"/>
  <c r="S751" i="6"/>
  <c r="Q751" i="6"/>
  <c r="O751" i="6"/>
  <c r="M751" i="6"/>
  <c r="K751" i="6"/>
  <c r="I751" i="6"/>
  <c r="T753" i="6"/>
  <c r="R753" i="6"/>
  <c r="P753" i="6"/>
  <c r="N753" i="6"/>
  <c r="L753" i="6"/>
  <c r="J753" i="6"/>
  <c r="S753" i="6"/>
  <c r="Q753" i="6"/>
  <c r="O753" i="6"/>
  <c r="M753" i="6"/>
  <c r="K753" i="6"/>
  <c r="I753" i="6"/>
  <c r="T755" i="6"/>
  <c r="R755" i="6"/>
  <c r="P755" i="6"/>
  <c r="N755" i="6"/>
  <c r="L755" i="6"/>
  <c r="J755" i="6"/>
  <c r="S755" i="6"/>
  <c r="Q755" i="6"/>
  <c r="O755" i="6"/>
  <c r="M755" i="6"/>
  <c r="K755" i="6"/>
  <c r="I755" i="6"/>
  <c r="T757" i="6"/>
  <c r="R757" i="6"/>
  <c r="P757" i="6"/>
  <c r="N757" i="6"/>
  <c r="L757" i="6"/>
  <c r="J757" i="6"/>
  <c r="S757" i="6"/>
  <c r="Q757" i="6"/>
  <c r="O757" i="6"/>
  <c r="M757" i="6"/>
  <c r="K757" i="6"/>
  <c r="I757" i="6"/>
  <c r="T759" i="6"/>
  <c r="R759" i="6"/>
  <c r="P759" i="6"/>
  <c r="N759" i="6"/>
  <c r="L759" i="6"/>
  <c r="J759" i="6"/>
  <c r="S759" i="6"/>
  <c r="Q759" i="6"/>
  <c r="O759" i="6"/>
  <c r="M759" i="6"/>
  <c r="K759" i="6"/>
  <c r="I759" i="6"/>
  <c r="T761" i="6"/>
  <c r="R761" i="6"/>
  <c r="P761" i="6"/>
  <c r="N761" i="6"/>
  <c r="L761" i="6"/>
  <c r="J761" i="6"/>
  <c r="S761" i="6"/>
  <c r="Q761" i="6"/>
  <c r="O761" i="6"/>
  <c r="M761" i="6"/>
  <c r="K761" i="6"/>
  <c r="I761" i="6"/>
  <c r="T763" i="6"/>
  <c r="R763" i="6"/>
  <c r="P763" i="6"/>
  <c r="N763" i="6"/>
  <c r="L763" i="6"/>
  <c r="J763" i="6"/>
  <c r="S763" i="6"/>
  <c r="Q763" i="6"/>
  <c r="O763" i="6"/>
  <c r="M763" i="6"/>
  <c r="K763" i="6"/>
  <c r="I763" i="6"/>
  <c r="T765" i="6"/>
  <c r="R765" i="6"/>
  <c r="P765" i="6"/>
  <c r="N765" i="6"/>
  <c r="L765" i="6"/>
  <c r="J765" i="6"/>
  <c r="S765" i="6"/>
  <c r="Q765" i="6"/>
  <c r="O765" i="6"/>
  <c r="M765" i="6"/>
  <c r="K765" i="6"/>
  <c r="I765" i="6"/>
  <c r="T767" i="6"/>
  <c r="R767" i="6"/>
  <c r="P767" i="6"/>
  <c r="N767" i="6"/>
  <c r="L767" i="6"/>
  <c r="J767" i="6"/>
  <c r="S767" i="6"/>
  <c r="Q767" i="6"/>
  <c r="O767" i="6"/>
  <c r="M767" i="6"/>
  <c r="K767" i="6"/>
  <c r="I767" i="6"/>
  <c r="T769" i="6"/>
  <c r="R769" i="6"/>
  <c r="P769" i="6"/>
  <c r="N769" i="6"/>
  <c r="L769" i="6"/>
  <c r="J769" i="6"/>
  <c r="S769" i="6"/>
  <c r="Q769" i="6"/>
  <c r="O769" i="6"/>
  <c r="M769" i="6"/>
  <c r="K769" i="6"/>
  <c r="I769" i="6"/>
  <c r="T771" i="6"/>
  <c r="R771" i="6"/>
  <c r="P771" i="6"/>
  <c r="N771" i="6"/>
  <c r="L771" i="6"/>
  <c r="J771" i="6"/>
  <c r="S771" i="6"/>
  <c r="Q771" i="6"/>
  <c r="O771" i="6"/>
  <c r="M771" i="6"/>
  <c r="K771" i="6"/>
  <c r="I771" i="6"/>
  <c r="T773" i="6"/>
  <c r="R773" i="6"/>
  <c r="P773" i="6"/>
  <c r="N773" i="6"/>
  <c r="L773" i="6"/>
  <c r="J773" i="6"/>
  <c r="S773" i="6"/>
  <c r="Q773" i="6"/>
  <c r="O773" i="6"/>
  <c r="M773" i="6"/>
  <c r="K773" i="6"/>
  <c r="I773" i="6"/>
  <c r="T775" i="6"/>
  <c r="R775" i="6"/>
  <c r="P775" i="6"/>
  <c r="N775" i="6"/>
  <c r="L775" i="6"/>
  <c r="J775" i="6"/>
  <c r="S775" i="6"/>
  <c r="Q775" i="6"/>
  <c r="O775" i="6"/>
  <c r="M775" i="6"/>
  <c r="K775" i="6"/>
  <c r="I775" i="6"/>
  <c r="T777" i="6"/>
  <c r="R777" i="6"/>
  <c r="P777" i="6"/>
  <c r="N777" i="6"/>
  <c r="L777" i="6"/>
  <c r="J777" i="6"/>
  <c r="S777" i="6"/>
  <c r="Q777" i="6"/>
  <c r="O777" i="6"/>
  <c r="M777" i="6"/>
  <c r="K777" i="6"/>
  <c r="I777" i="6"/>
  <c r="T779" i="6"/>
  <c r="R779" i="6"/>
  <c r="P779" i="6"/>
  <c r="N779" i="6"/>
  <c r="L779" i="6"/>
  <c r="J779" i="6"/>
  <c r="S779" i="6"/>
  <c r="Q779" i="6"/>
  <c r="O779" i="6"/>
  <c r="M779" i="6"/>
  <c r="K779" i="6"/>
  <c r="I779" i="6"/>
  <c r="T781" i="6"/>
  <c r="R781" i="6"/>
  <c r="P781" i="6"/>
  <c r="N781" i="6"/>
  <c r="L781" i="6"/>
  <c r="J781" i="6"/>
  <c r="S781" i="6"/>
  <c r="Q781" i="6"/>
  <c r="O781" i="6"/>
  <c r="M781" i="6"/>
  <c r="K781" i="6"/>
  <c r="I781" i="6"/>
  <c r="T783" i="6"/>
  <c r="R783" i="6"/>
  <c r="P783" i="6"/>
  <c r="N783" i="6"/>
  <c r="L783" i="6"/>
  <c r="J783" i="6"/>
  <c r="S783" i="6"/>
  <c r="Q783" i="6"/>
  <c r="O783" i="6"/>
  <c r="M783" i="6"/>
  <c r="K783" i="6"/>
  <c r="I783" i="6"/>
  <c r="T785" i="6"/>
  <c r="R785" i="6"/>
  <c r="P785" i="6"/>
  <c r="N785" i="6"/>
  <c r="L785" i="6"/>
  <c r="J785" i="6"/>
  <c r="S785" i="6"/>
  <c r="Q785" i="6"/>
  <c r="O785" i="6"/>
  <c r="M785" i="6"/>
  <c r="K785" i="6"/>
  <c r="I785" i="6"/>
  <c r="T787" i="6"/>
  <c r="R787" i="6"/>
  <c r="P787" i="6"/>
  <c r="N787" i="6"/>
  <c r="L787" i="6"/>
  <c r="J787" i="6"/>
  <c r="S787" i="6"/>
  <c r="Q787" i="6"/>
  <c r="O787" i="6"/>
  <c r="M787" i="6"/>
  <c r="K787" i="6"/>
  <c r="I787" i="6"/>
  <c r="T789" i="6"/>
  <c r="R789" i="6"/>
  <c r="P789" i="6"/>
  <c r="N789" i="6"/>
  <c r="L789" i="6"/>
  <c r="J789" i="6"/>
  <c r="S789" i="6"/>
  <c r="Q789" i="6"/>
  <c r="O789" i="6"/>
  <c r="M789" i="6"/>
  <c r="K789" i="6"/>
  <c r="I789" i="6"/>
  <c r="T791" i="6"/>
  <c r="R791" i="6"/>
  <c r="P791" i="6"/>
  <c r="N791" i="6"/>
  <c r="L791" i="6"/>
  <c r="J791" i="6"/>
  <c r="S791" i="6"/>
  <c r="Q791" i="6"/>
  <c r="O791" i="6"/>
  <c r="M791" i="6"/>
  <c r="K791" i="6"/>
  <c r="I791" i="6"/>
  <c r="T793" i="6"/>
  <c r="R793" i="6"/>
  <c r="P793" i="6"/>
  <c r="N793" i="6"/>
  <c r="L793" i="6"/>
  <c r="J793" i="6"/>
  <c r="S793" i="6"/>
  <c r="Q793" i="6"/>
  <c r="O793" i="6"/>
  <c r="M793" i="6"/>
  <c r="K793" i="6"/>
  <c r="I793" i="6"/>
  <c r="T795" i="6"/>
  <c r="R795" i="6"/>
  <c r="P795" i="6"/>
  <c r="N795" i="6"/>
  <c r="L795" i="6"/>
  <c r="J795" i="6"/>
  <c r="S795" i="6"/>
  <c r="Q795" i="6"/>
  <c r="O795" i="6"/>
  <c r="M795" i="6"/>
  <c r="K795" i="6"/>
  <c r="I795" i="6"/>
  <c r="T797" i="6"/>
  <c r="R797" i="6"/>
  <c r="P797" i="6"/>
  <c r="N797" i="6"/>
  <c r="L797" i="6"/>
  <c r="J797" i="6"/>
  <c r="S797" i="6"/>
  <c r="Q797" i="6"/>
  <c r="O797" i="6"/>
  <c r="M797" i="6"/>
  <c r="K797" i="6"/>
  <c r="I797" i="6"/>
  <c r="T799" i="6"/>
  <c r="R799" i="6"/>
  <c r="P799" i="6"/>
  <c r="N799" i="6"/>
  <c r="L799" i="6"/>
  <c r="J799" i="6"/>
  <c r="S799" i="6"/>
  <c r="Q799" i="6"/>
  <c r="O799" i="6"/>
  <c r="M799" i="6"/>
  <c r="K799" i="6"/>
  <c r="I799" i="6"/>
  <c r="T801" i="6"/>
  <c r="R801" i="6"/>
  <c r="P801" i="6"/>
  <c r="N801" i="6"/>
  <c r="L801" i="6"/>
  <c r="J801" i="6"/>
  <c r="S801" i="6"/>
  <c r="Q801" i="6"/>
  <c r="O801" i="6"/>
  <c r="M801" i="6"/>
  <c r="K801" i="6"/>
  <c r="I801" i="6"/>
  <c r="T803" i="6"/>
  <c r="R803" i="6"/>
  <c r="P803" i="6"/>
  <c r="N803" i="6"/>
  <c r="L803" i="6"/>
  <c r="J803" i="6"/>
  <c r="S803" i="6"/>
  <c r="Q803" i="6"/>
  <c r="O803" i="6"/>
  <c r="M803" i="6"/>
  <c r="K803" i="6"/>
  <c r="I803" i="6"/>
  <c r="T805" i="6"/>
  <c r="R805" i="6"/>
  <c r="P805" i="6"/>
  <c r="N805" i="6"/>
  <c r="L805" i="6"/>
  <c r="J805" i="6"/>
  <c r="S805" i="6"/>
  <c r="Q805" i="6"/>
  <c r="O805" i="6"/>
  <c r="M805" i="6"/>
  <c r="K805" i="6"/>
  <c r="I805" i="6"/>
  <c r="T807" i="6"/>
  <c r="R807" i="6"/>
  <c r="P807" i="6"/>
  <c r="N807" i="6"/>
  <c r="L807" i="6"/>
  <c r="J807" i="6"/>
  <c r="S807" i="6"/>
  <c r="Q807" i="6"/>
  <c r="O807" i="6"/>
  <c r="M807" i="6"/>
  <c r="K807" i="6"/>
  <c r="I807" i="6"/>
  <c r="T809" i="6"/>
  <c r="R809" i="6"/>
  <c r="P809" i="6"/>
  <c r="N809" i="6"/>
  <c r="L809" i="6"/>
  <c r="J809" i="6"/>
  <c r="S809" i="6"/>
  <c r="Q809" i="6"/>
  <c r="O809" i="6"/>
  <c r="M809" i="6"/>
  <c r="K809" i="6"/>
  <c r="I809" i="6"/>
  <c r="T811" i="6"/>
  <c r="R811" i="6"/>
  <c r="P811" i="6"/>
  <c r="N811" i="6"/>
  <c r="L811" i="6"/>
  <c r="J811" i="6"/>
  <c r="S811" i="6"/>
  <c r="Q811" i="6"/>
  <c r="O811" i="6"/>
  <c r="M811" i="6"/>
  <c r="K811" i="6"/>
  <c r="I811" i="6"/>
  <c r="T813" i="6"/>
  <c r="R813" i="6"/>
  <c r="P813" i="6"/>
  <c r="N813" i="6"/>
  <c r="L813" i="6"/>
  <c r="J813" i="6"/>
  <c r="S813" i="6"/>
  <c r="Q813" i="6"/>
  <c r="O813" i="6"/>
  <c r="M813" i="6"/>
  <c r="K813" i="6"/>
  <c r="I813" i="6"/>
  <c r="T815" i="6"/>
  <c r="R815" i="6"/>
  <c r="P815" i="6"/>
  <c r="N815" i="6"/>
  <c r="L815" i="6"/>
  <c r="J815" i="6"/>
  <c r="S815" i="6"/>
  <c r="Q815" i="6"/>
  <c r="O815" i="6"/>
  <c r="M815" i="6"/>
  <c r="K815" i="6"/>
  <c r="I815" i="6"/>
  <c r="T817" i="6"/>
  <c r="R817" i="6"/>
  <c r="P817" i="6"/>
  <c r="N817" i="6"/>
  <c r="L817" i="6"/>
  <c r="J817" i="6"/>
  <c r="S817" i="6"/>
  <c r="Q817" i="6"/>
  <c r="O817" i="6"/>
  <c r="M817" i="6"/>
  <c r="K817" i="6"/>
  <c r="I817" i="6"/>
  <c r="T819" i="6"/>
  <c r="R819" i="6"/>
  <c r="P819" i="6"/>
  <c r="N819" i="6"/>
  <c r="L819" i="6"/>
  <c r="J819" i="6"/>
  <c r="S819" i="6"/>
  <c r="Q819" i="6"/>
  <c r="O819" i="6"/>
  <c r="M819" i="6"/>
  <c r="K819" i="6"/>
  <c r="I819" i="6"/>
  <c r="T821" i="6"/>
  <c r="R821" i="6"/>
  <c r="P821" i="6"/>
  <c r="N821" i="6"/>
  <c r="L821" i="6"/>
  <c r="J821" i="6"/>
  <c r="S821" i="6"/>
  <c r="Q821" i="6"/>
  <c r="O821" i="6"/>
  <c r="M821" i="6"/>
  <c r="K821" i="6"/>
  <c r="I821" i="6"/>
  <c r="T823" i="6"/>
  <c r="R823" i="6"/>
  <c r="P823" i="6"/>
  <c r="N823" i="6"/>
  <c r="L823" i="6"/>
  <c r="J823" i="6"/>
  <c r="S823" i="6"/>
  <c r="Q823" i="6"/>
  <c r="O823" i="6"/>
  <c r="M823" i="6"/>
  <c r="K823" i="6"/>
  <c r="I823" i="6"/>
  <c r="T825" i="6"/>
  <c r="R825" i="6"/>
  <c r="P825" i="6"/>
  <c r="N825" i="6"/>
  <c r="L825" i="6"/>
  <c r="J825" i="6"/>
  <c r="S825" i="6"/>
  <c r="Q825" i="6"/>
  <c r="O825" i="6"/>
  <c r="M825" i="6"/>
  <c r="K825" i="6"/>
  <c r="I825" i="6"/>
  <c r="T827" i="6"/>
  <c r="R827" i="6"/>
  <c r="P827" i="6"/>
  <c r="N827" i="6"/>
  <c r="L827" i="6"/>
  <c r="J827" i="6"/>
  <c r="S827" i="6"/>
  <c r="Q827" i="6"/>
  <c r="O827" i="6"/>
  <c r="M827" i="6"/>
  <c r="K827" i="6"/>
  <c r="I827" i="6"/>
  <c r="T829" i="6"/>
  <c r="R829" i="6"/>
  <c r="P829" i="6"/>
  <c r="N829" i="6"/>
  <c r="L829" i="6"/>
  <c r="J829" i="6"/>
  <c r="S829" i="6"/>
  <c r="Q829" i="6"/>
  <c r="O829" i="6"/>
  <c r="M829" i="6"/>
  <c r="K829" i="6"/>
  <c r="I829" i="6"/>
  <c r="T831" i="6"/>
  <c r="R831" i="6"/>
  <c r="P831" i="6"/>
  <c r="N831" i="6"/>
  <c r="L831" i="6"/>
  <c r="J831" i="6"/>
  <c r="S831" i="6"/>
  <c r="Q831" i="6"/>
  <c r="O831" i="6"/>
  <c r="M831" i="6"/>
  <c r="K831" i="6"/>
  <c r="I831" i="6"/>
  <c r="T833" i="6"/>
  <c r="R833" i="6"/>
  <c r="P833" i="6"/>
  <c r="N833" i="6"/>
  <c r="L833" i="6"/>
  <c r="J833" i="6"/>
  <c r="S833" i="6"/>
  <c r="Q833" i="6"/>
  <c r="O833" i="6"/>
  <c r="M833" i="6"/>
  <c r="K833" i="6"/>
  <c r="I833" i="6"/>
  <c r="T835" i="6"/>
  <c r="R835" i="6"/>
  <c r="P835" i="6"/>
  <c r="N835" i="6"/>
  <c r="L835" i="6"/>
  <c r="J835" i="6"/>
  <c r="S835" i="6"/>
  <c r="Q835" i="6"/>
  <c r="O835" i="6"/>
  <c r="M835" i="6"/>
  <c r="K835" i="6"/>
  <c r="I835" i="6"/>
  <c r="T837" i="6"/>
  <c r="R837" i="6"/>
  <c r="P837" i="6"/>
  <c r="N837" i="6"/>
  <c r="L837" i="6"/>
  <c r="J837" i="6"/>
  <c r="S837" i="6"/>
  <c r="Q837" i="6"/>
  <c r="O837" i="6"/>
  <c r="M837" i="6"/>
  <c r="K837" i="6"/>
  <c r="I837" i="6"/>
  <c r="T839" i="6"/>
  <c r="R839" i="6"/>
  <c r="P839" i="6"/>
  <c r="N839" i="6"/>
  <c r="L839" i="6"/>
  <c r="J839" i="6"/>
  <c r="S839" i="6"/>
  <c r="Q839" i="6"/>
  <c r="O839" i="6"/>
  <c r="M839" i="6"/>
  <c r="K839" i="6"/>
  <c r="I839" i="6"/>
  <c r="T841" i="6"/>
  <c r="R841" i="6"/>
  <c r="P841" i="6"/>
  <c r="N841" i="6"/>
  <c r="L841" i="6"/>
  <c r="J841" i="6"/>
  <c r="S841" i="6"/>
  <c r="Q841" i="6"/>
  <c r="O841" i="6"/>
  <c r="M841" i="6"/>
  <c r="K841" i="6"/>
  <c r="I841" i="6"/>
  <c r="T843" i="6"/>
  <c r="R843" i="6"/>
  <c r="P843" i="6"/>
  <c r="N843" i="6"/>
  <c r="L843" i="6"/>
  <c r="J843" i="6"/>
  <c r="S843" i="6"/>
  <c r="Q843" i="6"/>
  <c r="O843" i="6"/>
  <c r="M843" i="6"/>
  <c r="K843" i="6"/>
  <c r="I843" i="6"/>
  <c r="T845" i="6"/>
  <c r="R845" i="6"/>
  <c r="P845" i="6"/>
  <c r="N845" i="6"/>
  <c r="L845" i="6"/>
  <c r="J845" i="6"/>
  <c r="S845" i="6"/>
  <c r="Q845" i="6"/>
  <c r="O845" i="6"/>
  <c r="M845" i="6"/>
  <c r="K845" i="6"/>
  <c r="I845" i="6"/>
  <c r="T847" i="6"/>
  <c r="R847" i="6"/>
  <c r="P847" i="6"/>
  <c r="N847" i="6"/>
  <c r="L847" i="6"/>
  <c r="J847" i="6"/>
  <c r="S847" i="6"/>
  <c r="Q847" i="6"/>
  <c r="O847" i="6"/>
  <c r="M847" i="6"/>
  <c r="K847" i="6"/>
  <c r="I847" i="6"/>
  <c r="T849" i="6"/>
  <c r="R849" i="6"/>
  <c r="P849" i="6"/>
  <c r="N849" i="6"/>
  <c r="L849" i="6"/>
  <c r="J849" i="6"/>
  <c r="S849" i="6"/>
  <c r="Q849" i="6"/>
  <c r="O849" i="6"/>
  <c r="M849" i="6"/>
  <c r="K849" i="6"/>
  <c r="I849" i="6"/>
  <c r="T851" i="6"/>
  <c r="R851" i="6"/>
  <c r="P851" i="6"/>
  <c r="N851" i="6"/>
  <c r="L851" i="6"/>
  <c r="J851" i="6"/>
  <c r="S851" i="6"/>
  <c r="Q851" i="6"/>
  <c r="O851" i="6"/>
  <c r="M851" i="6"/>
  <c r="K851" i="6"/>
  <c r="I851" i="6"/>
  <c r="T853" i="6"/>
  <c r="R853" i="6"/>
  <c r="P853" i="6"/>
  <c r="N853" i="6"/>
  <c r="L853" i="6"/>
  <c r="J853" i="6"/>
  <c r="S853" i="6"/>
  <c r="Q853" i="6"/>
  <c r="O853" i="6"/>
  <c r="M853" i="6"/>
  <c r="K853" i="6"/>
  <c r="I853" i="6"/>
  <c r="T855" i="6"/>
  <c r="R855" i="6"/>
  <c r="P855" i="6"/>
  <c r="N855" i="6"/>
  <c r="L855" i="6"/>
  <c r="J855" i="6"/>
  <c r="S855" i="6"/>
  <c r="Q855" i="6"/>
  <c r="O855" i="6"/>
  <c r="M855" i="6"/>
  <c r="K855" i="6"/>
  <c r="I855" i="6"/>
  <c r="T857" i="6"/>
  <c r="R857" i="6"/>
  <c r="P857" i="6"/>
  <c r="N857" i="6"/>
  <c r="L857" i="6"/>
  <c r="J857" i="6"/>
  <c r="S857" i="6"/>
  <c r="Q857" i="6"/>
  <c r="O857" i="6"/>
  <c r="M857" i="6"/>
  <c r="K857" i="6"/>
  <c r="I857" i="6"/>
  <c r="T859" i="6"/>
  <c r="R859" i="6"/>
  <c r="P859" i="6"/>
  <c r="N859" i="6"/>
  <c r="L859" i="6"/>
  <c r="J859" i="6"/>
  <c r="S859" i="6"/>
  <c r="Q859" i="6"/>
  <c r="O859" i="6"/>
  <c r="M859" i="6"/>
  <c r="K859" i="6"/>
  <c r="I859" i="6"/>
  <c r="T861" i="6"/>
  <c r="R861" i="6"/>
  <c r="P861" i="6"/>
  <c r="N861" i="6"/>
  <c r="L861" i="6"/>
  <c r="J861" i="6"/>
  <c r="S861" i="6"/>
  <c r="Q861" i="6"/>
  <c r="O861" i="6"/>
  <c r="M861" i="6"/>
  <c r="K861" i="6"/>
  <c r="I861" i="6"/>
  <c r="T863" i="6"/>
  <c r="R863" i="6"/>
  <c r="P863" i="6"/>
  <c r="N863" i="6"/>
  <c r="L863" i="6"/>
  <c r="J863" i="6"/>
  <c r="S863" i="6"/>
  <c r="Q863" i="6"/>
  <c r="O863" i="6"/>
  <c r="M863" i="6"/>
  <c r="K863" i="6"/>
  <c r="I863" i="6"/>
  <c r="T865" i="6"/>
  <c r="R865" i="6"/>
  <c r="P865" i="6"/>
  <c r="N865" i="6"/>
  <c r="L865" i="6"/>
  <c r="J865" i="6"/>
  <c r="S865" i="6"/>
  <c r="Q865" i="6"/>
  <c r="O865" i="6"/>
  <c r="M865" i="6"/>
  <c r="K865" i="6"/>
  <c r="I865" i="6"/>
  <c r="T867" i="6"/>
  <c r="R867" i="6"/>
  <c r="P867" i="6"/>
  <c r="N867" i="6"/>
  <c r="L867" i="6"/>
  <c r="J867" i="6"/>
  <c r="S867" i="6"/>
  <c r="Q867" i="6"/>
  <c r="O867" i="6"/>
  <c r="M867" i="6"/>
  <c r="K867" i="6"/>
  <c r="I867" i="6"/>
  <c r="T869" i="6"/>
  <c r="R869" i="6"/>
  <c r="P869" i="6"/>
  <c r="N869" i="6"/>
  <c r="L869" i="6"/>
  <c r="J869" i="6"/>
  <c r="S869" i="6"/>
  <c r="Q869" i="6"/>
  <c r="O869" i="6"/>
  <c r="M869" i="6"/>
  <c r="K869" i="6"/>
  <c r="I869" i="6"/>
  <c r="T871" i="6"/>
  <c r="R871" i="6"/>
  <c r="P871" i="6"/>
  <c r="N871" i="6"/>
  <c r="L871" i="6"/>
  <c r="J871" i="6"/>
  <c r="S871" i="6"/>
  <c r="Q871" i="6"/>
  <c r="O871" i="6"/>
  <c r="M871" i="6"/>
  <c r="K871" i="6"/>
  <c r="I871" i="6"/>
  <c r="T873" i="6"/>
  <c r="R873" i="6"/>
  <c r="P873" i="6"/>
  <c r="N873" i="6"/>
  <c r="L873" i="6"/>
  <c r="J873" i="6"/>
  <c r="S873" i="6"/>
  <c r="Q873" i="6"/>
  <c r="O873" i="6"/>
  <c r="M873" i="6"/>
  <c r="K873" i="6"/>
  <c r="I873" i="6"/>
  <c r="T875" i="6"/>
  <c r="R875" i="6"/>
  <c r="P875" i="6"/>
  <c r="N875" i="6"/>
  <c r="L875" i="6"/>
  <c r="J875" i="6"/>
  <c r="S875" i="6"/>
  <c r="Q875" i="6"/>
  <c r="O875" i="6"/>
  <c r="M875" i="6"/>
  <c r="K875" i="6"/>
  <c r="I875" i="6"/>
  <c r="T877" i="6"/>
  <c r="R877" i="6"/>
  <c r="P877" i="6"/>
  <c r="N877" i="6"/>
  <c r="L877" i="6"/>
  <c r="J877" i="6"/>
  <c r="S877" i="6"/>
  <c r="Q877" i="6"/>
  <c r="O877" i="6"/>
  <c r="M877" i="6"/>
  <c r="K877" i="6"/>
  <c r="I877" i="6"/>
  <c r="T879" i="6"/>
  <c r="R879" i="6"/>
  <c r="P879" i="6"/>
  <c r="N879" i="6"/>
  <c r="L879" i="6"/>
  <c r="J879" i="6"/>
  <c r="S879" i="6"/>
  <c r="Q879" i="6"/>
  <c r="O879" i="6"/>
  <c r="M879" i="6"/>
  <c r="K879" i="6"/>
  <c r="I879" i="6"/>
  <c r="T881" i="6"/>
  <c r="R881" i="6"/>
  <c r="P881" i="6"/>
  <c r="N881" i="6"/>
  <c r="L881" i="6"/>
  <c r="J881" i="6"/>
  <c r="S881" i="6"/>
  <c r="Q881" i="6"/>
  <c r="O881" i="6"/>
  <c r="M881" i="6"/>
  <c r="K881" i="6"/>
  <c r="I881" i="6"/>
  <c r="T883" i="6"/>
  <c r="R883" i="6"/>
  <c r="P883" i="6"/>
  <c r="N883" i="6"/>
  <c r="L883" i="6"/>
  <c r="J883" i="6"/>
  <c r="S883" i="6"/>
  <c r="Q883" i="6"/>
  <c r="O883" i="6"/>
  <c r="M883" i="6"/>
  <c r="K883" i="6"/>
  <c r="I883" i="6"/>
  <c r="T885" i="6"/>
  <c r="R885" i="6"/>
  <c r="P885" i="6"/>
  <c r="N885" i="6"/>
  <c r="L885" i="6"/>
  <c r="J885" i="6"/>
  <c r="S885" i="6"/>
  <c r="Q885" i="6"/>
  <c r="O885" i="6"/>
  <c r="M885" i="6"/>
  <c r="K885" i="6"/>
  <c r="I885" i="6"/>
  <c r="T887" i="6"/>
  <c r="R887" i="6"/>
  <c r="P887" i="6"/>
  <c r="N887" i="6"/>
  <c r="L887" i="6"/>
  <c r="J887" i="6"/>
  <c r="S887" i="6"/>
  <c r="Q887" i="6"/>
  <c r="O887" i="6"/>
  <c r="M887" i="6"/>
  <c r="K887" i="6"/>
  <c r="I887" i="6"/>
  <c r="T889" i="6"/>
  <c r="R889" i="6"/>
  <c r="P889" i="6"/>
  <c r="N889" i="6"/>
  <c r="L889" i="6"/>
  <c r="J889" i="6"/>
  <c r="S889" i="6"/>
  <c r="Q889" i="6"/>
  <c r="O889" i="6"/>
  <c r="M889" i="6"/>
  <c r="K889" i="6"/>
  <c r="I889" i="6"/>
  <c r="T891" i="6"/>
  <c r="R891" i="6"/>
  <c r="P891" i="6"/>
  <c r="N891" i="6"/>
  <c r="L891" i="6"/>
  <c r="J891" i="6"/>
  <c r="S891" i="6"/>
  <c r="Q891" i="6"/>
  <c r="O891" i="6"/>
  <c r="M891" i="6"/>
  <c r="K891" i="6"/>
  <c r="I891" i="6"/>
  <c r="T893" i="6"/>
  <c r="R893" i="6"/>
  <c r="P893" i="6"/>
  <c r="N893" i="6"/>
  <c r="L893" i="6"/>
  <c r="J893" i="6"/>
  <c r="S893" i="6"/>
  <c r="Q893" i="6"/>
  <c r="O893" i="6"/>
  <c r="M893" i="6"/>
  <c r="K893" i="6"/>
  <c r="I893" i="6"/>
  <c r="T895" i="6"/>
  <c r="R895" i="6"/>
  <c r="P895" i="6"/>
  <c r="N895" i="6"/>
  <c r="L895" i="6"/>
  <c r="J895" i="6"/>
  <c r="S895" i="6"/>
  <c r="Q895" i="6"/>
  <c r="O895" i="6"/>
  <c r="M895" i="6"/>
  <c r="K895" i="6"/>
  <c r="I895" i="6"/>
  <c r="T897" i="6"/>
  <c r="R897" i="6"/>
  <c r="P897" i="6"/>
  <c r="N897" i="6"/>
  <c r="L897" i="6"/>
  <c r="J897" i="6"/>
  <c r="S897" i="6"/>
  <c r="Q897" i="6"/>
  <c r="O897" i="6"/>
  <c r="M897" i="6"/>
  <c r="K897" i="6"/>
  <c r="I897" i="6"/>
  <c r="T899" i="6"/>
  <c r="R899" i="6"/>
  <c r="P899" i="6"/>
  <c r="N899" i="6"/>
  <c r="L899" i="6"/>
  <c r="J899" i="6"/>
  <c r="S899" i="6"/>
  <c r="Q899" i="6"/>
  <c r="O899" i="6"/>
  <c r="M899" i="6"/>
  <c r="K899" i="6"/>
  <c r="I899" i="6"/>
  <c r="T901" i="6"/>
  <c r="R901" i="6"/>
  <c r="P901" i="6"/>
  <c r="N901" i="6"/>
  <c r="L901" i="6"/>
  <c r="J901" i="6"/>
  <c r="S901" i="6"/>
  <c r="Q901" i="6"/>
  <c r="O901" i="6"/>
  <c r="M901" i="6"/>
  <c r="K901" i="6"/>
  <c r="I901" i="6"/>
  <c r="T903" i="6"/>
  <c r="R903" i="6"/>
  <c r="P903" i="6"/>
  <c r="N903" i="6"/>
  <c r="L903" i="6"/>
  <c r="J903" i="6"/>
  <c r="S903" i="6"/>
  <c r="Q903" i="6"/>
  <c r="O903" i="6"/>
  <c r="M903" i="6"/>
  <c r="K903" i="6"/>
  <c r="I903" i="6"/>
  <c r="T905" i="6"/>
  <c r="R905" i="6"/>
  <c r="P905" i="6"/>
  <c r="N905" i="6"/>
  <c r="L905" i="6"/>
  <c r="J905" i="6"/>
  <c r="S905" i="6"/>
  <c r="Q905" i="6"/>
  <c r="O905" i="6"/>
  <c r="M905" i="6"/>
  <c r="K905" i="6"/>
  <c r="I905" i="6"/>
  <c r="T907" i="6"/>
  <c r="R907" i="6"/>
  <c r="P907" i="6"/>
  <c r="N907" i="6"/>
  <c r="L907" i="6"/>
  <c r="J907" i="6"/>
  <c r="S907" i="6"/>
  <c r="Q907" i="6"/>
  <c r="O907" i="6"/>
  <c r="M907" i="6"/>
  <c r="K907" i="6"/>
  <c r="I907" i="6"/>
  <c r="T909" i="6"/>
  <c r="R909" i="6"/>
  <c r="P909" i="6"/>
  <c r="N909" i="6"/>
  <c r="L909" i="6"/>
  <c r="J909" i="6"/>
  <c r="S909" i="6"/>
  <c r="Q909" i="6"/>
  <c r="O909" i="6"/>
  <c r="M909" i="6"/>
  <c r="K909" i="6"/>
  <c r="I909" i="6"/>
  <c r="T911" i="6"/>
  <c r="R911" i="6"/>
  <c r="P911" i="6"/>
  <c r="N911" i="6"/>
  <c r="L911" i="6"/>
  <c r="J911" i="6"/>
  <c r="S911" i="6"/>
  <c r="Q911" i="6"/>
  <c r="O911" i="6"/>
  <c r="M911" i="6"/>
  <c r="K911" i="6"/>
  <c r="I911" i="6"/>
  <c r="T913" i="6"/>
  <c r="R913" i="6"/>
  <c r="P913" i="6"/>
  <c r="N913" i="6"/>
  <c r="L913" i="6"/>
  <c r="J913" i="6"/>
  <c r="S913" i="6"/>
  <c r="Q913" i="6"/>
  <c r="O913" i="6"/>
  <c r="M913" i="6"/>
  <c r="K913" i="6"/>
  <c r="I913" i="6"/>
  <c r="T915" i="6"/>
  <c r="R915" i="6"/>
  <c r="P915" i="6"/>
  <c r="N915" i="6"/>
  <c r="L915" i="6"/>
  <c r="J915" i="6"/>
  <c r="S915" i="6"/>
  <c r="Q915" i="6"/>
  <c r="O915" i="6"/>
  <c r="M915" i="6"/>
  <c r="K915" i="6"/>
  <c r="I915" i="6"/>
  <c r="T917" i="6"/>
  <c r="R917" i="6"/>
  <c r="P917" i="6"/>
  <c r="N917" i="6"/>
  <c r="L917" i="6"/>
  <c r="J917" i="6"/>
  <c r="S917" i="6"/>
  <c r="Q917" i="6"/>
  <c r="O917" i="6"/>
  <c r="M917" i="6"/>
  <c r="K917" i="6"/>
  <c r="I917" i="6"/>
  <c r="T919" i="6"/>
  <c r="R919" i="6"/>
  <c r="P919" i="6"/>
  <c r="N919" i="6"/>
  <c r="L919" i="6"/>
  <c r="J919" i="6"/>
  <c r="S919" i="6"/>
  <c r="Q919" i="6"/>
  <c r="O919" i="6"/>
  <c r="M919" i="6"/>
  <c r="K919" i="6"/>
  <c r="I919" i="6"/>
  <c r="T921" i="6"/>
  <c r="R921" i="6"/>
  <c r="P921" i="6"/>
  <c r="N921" i="6"/>
  <c r="L921" i="6"/>
  <c r="J921" i="6"/>
  <c r="S921" i="6"/>
  <c r="Q921" i="6"/>
  <c r="O921" i="6"/>
  <c r="M921" i="6"/>
  <c r="K921" i="6"/>
  <c r="I921" i="6"/>
  <c r="T923" i="6"/>
  <c r="R923" i="6"/>
  <c r="P923" i="6"/>
  <c r="N923" i="6"/>
  <c r="L923" i="6"/>
  <c r="J923" i="6"/>
  <c r="S923" i="6"/>
  <c r="Q923" i="6"/>
  <c r="O923" i="6"/>
  <c r="M923" i="6"/>
  <c r="K923" i="6"/>
  <c r="I923" i="6"/>
  <c r="T925" i="6"/>
  <c r="R925" i="6"/>
  <c r="P925" i="6"/>
  <c r="N925" i="6"/>
  <c r="L925" i="6"/>
  <c r="J925" i="6"/>
  <c r="S925" i="6"/>
  <c r="Q925" i="6"/>
  <c r="O925" i="6"/>
  <c r="M925" i="6"/>
  <c r="K925" i="6"/>
  <c r="I925" i="6"/>
  <c r="T927" i="6"/>
  <c r="R927" i="6"/>
  <c r="P927" i="6"/>
  <c r="N927" i="6"/>
  <c r="L927" i="6"/>
  <c r="J927" i="6"/>
  <c r="S927" i="6"/>
  <c r="Q927" i="6"/>
  <c r="O927" i="6"/>
  <c r="M927" i="6"/>
  <c r="K927" i="6"/>
  <c r="I927" i="6"/>
  <c r="T929" i="6"/>
  <c r="R929" i="6"/>
  <c r="P929" i="6"/>
  <c r="N929" i="6"/>
  <c r="L929" i="6"/>
  <c r="J929" i="6"/>
  <c r="S929" i="6"/>
  <c r="Q929" i="6"/>
  <c r="O929" i="6"/>
  <c r="M929" i="6"/>
  <c r="K929" i="6"/>
  <c r="I929" i="6"/>
  <c r="T931" i="6"/>
  <c r="R931" i="6"/>
  <c r="P931" i="6"/>
  <c r="N931" i="6"/>
  <c r="L931" i="6"/>
  <c r="J931" i="6"/>
  <c r="S931" i="6"/>
  <c r="Q931" i="6"/>
  <c r="O931" i="6"/>
  <c r="M931" i="6"/>
  <c r="K931" i="6"/>
  <c r="I931" i="6"/>
  <c r="T933" i="6"/>
  <c r="R933" i="6"/>
  <c r="P933" i="6"/>
  <c r="N933" i="6"/>
  <c r="L933" i="6"/>
  <c r="J933" i="6"/>
  <c r="S933" i="6"/>
  <c r="Q933" i="6"/>
  <c r="O933" i="6"/>
  <c r="M933" i="6"/>
  <c r="K933" i="6"/>
  <c r="I933" i="6"/>
  <c r="T935" i="6"/>
  <c r="R935" i="6"/>
  <c r="P935" i="6"/>
  <c r="N935" i="6"/>
  <c r="L935" i="6"/>
  <c r="J935" i="6"/>
  <c r="S935" i="6"/>
  <c r="Q935" i="6"/>
  <c r="O935" i="6"/>
  <c r="M935" i="6"/>
  <c r="K935" i="6"/>
  <c r="I935" i="6"/>
  <c r="T937" i="6"/>
  <c r="R937" i="6"/>
  <c r="P937" i="6"/>
  <c r="N937" i="6"/>
  <c r="L937" i="6"/>
  <c r="J937" i="6"/>
  <c r="S937" i="6"/>
  <c r="Q937" i="6"/>
  <c r="O937" i="6"/>
  <c r="M937" i="6"/>
  <c r="K937" i="6"/>
  <c r="I937" i="6"/>
  <c r="T939" i="6"/>
  <c r="R939" i="6"/>
  <c r="P939" i="6"/>
  <c r="N939" i="6"/>
  <c r="L939" i="6"/>
  <c r="J939" i="6"/>
  <c r="S939" i="6"/>
  <c r="Q939" i="6"/>
  <c r="O939" i="6"/>
  <c r="M939" i="6"/>
  <c r="K939" i="6"/>
  <c r="I939" i="6"/>
  <c r="T941" i="6"/>
  <c r="R941" i="6"/>
  <c r="P941" i="6"/>
  <c r="N941" i="6"/>
  <c r="L941" i="6"/>
  <c r="J941" i="6"/>
  <c r="S941" i="6"/>
  <c r="Q941" i="6"/>
  <c r="O941" i="6"/>
  <c r="M941" i="6"/>
  <c r="K941" i="6"/>
  <c r="I941" i="6"/>
  <c r="T943" i="6"/>
  <c r="R943" i="6"/>
  <c r="P943" i="6"/>
  <c r="N943" i="6"/>
  <c r="L943" i="6"/>
  <c r="J943" i="6"/>
  <c r="S943" i="6"/>
  <c r="Q943" i="6"/>
  <c r="O943" i="6"/>
  <c r="M943" i="6"/>
  <c r="K943" i="6"/>
  <c r="I943" i="6"/>
  <c r="T945" i="6"/>
  <c r="R945" i="6"/>
  <c r="P945" i="6"/>
  <c r="N945" i="6"/>
  <c r="L945" i="6"/>
  <c r="J945" i="6"/>
  <c r="S945" i="6"/>
  <c r="Q945" i="6"/>
  <c r="O945" i="6"/>
  <c r="M945" i="6"/>
  <c r="K945" i="6"/>
  <c r="I945" i="6"/>
  <c r="T947" i="6"/>
  <c r="R947" i="6"/>
  <c r="P947" i="6"/>
  <c r="N947" i="6"/>
  <c r="L947" i="6"/>
  <c r="J947" i="6"/>
  <c r="S947" i="6"/>
  <c r="Q947" i="6"/>
  <c r="O947" i="6"/>
  <c r="M947" i="6"/>
  <c r="K947" i="6"/>
  <c r="I947" i="6"/>
  <c r="T949" i="6"/>
  <c r="R949" i="6"/>
  <c r="P949" i="6"/>
  <c r="N949" i="6"/>
  <c r="L949" i="6"/>
  <c r="J949" i="6"/>
  <c r="S949" i="6"/>
  <c r="Q949" i="6"/>
  <c r="O949" i="6"/>
  <c r="M949" i="6"/>
  <c r="K949" i="6"/>
  <c r="I949" i="6"/>
  <c r="T951" i="6"/>
  <c r="R951" i="6"/>
  <c r="P951" i="6"/>
  <c r="N951" i="6"/>
  <c r="L951" i="6"/>
  <c r="J951" i="6"/>
  <c r="S951" i="6"/>
  <c r="Q951" i="6"/>
  <c r="O951" i="6"/>
  <c r="M951" i="6"/>
  <c r="K951" i="6"/>
  <c r="I951" i="6"/>
  <c r="T953" i="6"/>
  <c r="R953" i="6"/>
  <c r="P953" i="6"/>
  <c r="N953" i="6"/>
  <c r="L953" i="6"/>
  <c r="J953" i="6"/>
  <c r="S953" i="6"/>
  <c r="Q953" i="6"/>
  <c r="O953" i="6"/>
  <c r="M953" i="6"/>
  <c r="K953" i="6"/>
  <c r="I953" i="6"/>
  <c r="T955" i="6"/>
  <c r="R955" i="6"/>
  <c r="P955" i="6"/>
  <c r="N955" i="6"/>
  <c r="L955" i="6"/>
  <c r="J955" i="6"/>
  <c r="S955" i="6"/>
  <c r="Q955" i="6"/>
  <c r="O955" i="6"/>
  <c r="M955" i="6"/>
  <c r="K955" i="6"/>
  <c r="I955" i="6"/>
  <c r="T957" i="6"/>
  <c r="R957" i="6"/>
  <c r="P957" i="6"/>
  <c r="N957" i="6"/>
  <c r="L957" i="6"/>
  <c r="J957" i="6"/>
  <c r="S957" i="6"/>
  <c r="Q957" i="6"/>
  <c r="O957" i="6"/>
  <c r="M957" i="6"/>
  <c r="K957" i="6"/>
  <c r="I957" i="6"/>
  <c r="T959" i="6"/>
  <c r="R959" i="6"/>
  <c r="P959" i="6"/>
  <c r="N959" i="6"/>
  <c r="L959" i="6"/>
  <c r="J959" i="6"/>
  <c r="S959" i="6"/>
  <c r="Q959" i="6"/>
  <c r="O959" i="6"/>
  <c r="M959" i="6"/>
  <c r="K959" i="6"/>
  <c r="I959" i="6"/>
  <c r="T961" i="6"/>
  <c r="R961" i="6"/>
  <c r="P961" i="6"/>
  <c r="N961" i="6"/>
  <c r="L961" i="6"/>
  <c r="J961" i="6"/>
  <c r="S961" i="6"/>
  <c r="Q961" i="6"/>
  <c r="O961" i="6"/>
  <c r="M961" i="6"/>
  <c r="K961" i="6"/>
  <c r="I961" i="6"/>
  <c r="T963" i="6"/>
  <c r="R963" i="6"/>
  <c r="P963" i="6"/>
  <c r="N963" i="6"/>
  <c r="L963" i="6"/>
  <c r="J963" i="6"/>
  <c r="S963" i="6"/>
  <c r="Q963" i="6"/>
  <c r="O963" i="6"/>
  <c r="M963" i="6"/>
  <c r="K963" i="6"/>
  <c r="I963" i="6"/>
  <c r="T965" i="6"/>
  <c r="R965" i="6"/>
  <c r="P965" i="6"/>
  <c r="N965" i="6"/>
  <c r="L965" i="6"/>
  <c r="J965" i="6"/>
  <c r="S965" i="6"/>
  <c r="Q965" i="6"/>
  <c r="O965" i="6"/>
  <c r="M965" i="6"/>
  <c r="K965" i="6"/>
  <c r="I965" i="6"/>
  <c r="T967" i="6"/>
  <c r="R967" i="6"/>
  <c r="P967" i="6"/>
  <c r="N967" i="6"/>
  <c r="L967" i="6"/>
  <c r="J967" i="6"/>
  <c r="S967" i="6"/>
  <c r="Q967" i="6"/>
  <c r="O967" i="6"/>
  <c r="M967" i="6"/>
  <c r="K967" i="6"/>
  <c r="I967" i="6"/>
  <c r="T969" i="6"/>
  <c r="R969" i="6"/>
  <c r="P969" i="6"/>
  <c r="N969" i="6"/>
  <c r="L969" i="6"/>
  <c r="J969" i="6"/>
  <c r="S969" i="6"/>
  <c r="Q969" i="6"/>
  <c r="O969" i="6"/>
  <c r="M969" i="6"/>
  <c r="K969" i="6"/>
  <c r="I969" i="6"/>
  <c r="T971" i="6"/>
  <c r="R971" i="6"/>
  <c r="P971" i="6"/>
  <c r="N971" i="6"/>
  <c r="L971" i="6"/>
  <c r="J971" i="6"/>
  <c r="S971" i="6"/>
  <c r="Q971" i="6"/>
  <c r="O971" i="6"/>
  <c r="M971" i="6"/>
  <c r="K971" i="6"/>
  <c r="I971" i="6"/>
  <c r="T973" i="6"/>
  <c r="R973" i="6"/>
  <c r="P973" i="6"/>
  <c r="N973" i="6"/>
  <c r="L973" i="6"/>
  <c r="J973" i="6"/>
  <c r="S973" i="6"/>
  <c r="Q973" i="6"/>
  <c r="O973" i="6"/>
  <c r="M973" i="6"/>
  <c r="K973" i="6"/>
  <c r="I973" i="6"/>
  <c r="T975" i="6"/>
  <c r="R975" i="6"/>
  <c r="P975" i="6"/>
  <c r="N975" i="6"/>
  <c r="L975" i="6"/>
  <c r="J975" i="6"/>
  <c r="S975" i="6"/>
  <c r="Q975" i="6"/>
  <c r="O975" i="6"/>
  <c r="M975" i="6"/>
  <c r="K975" i="6"/>
  <c r="I975" i="6"/>
  <c r="T977" i="6"/>
  <c r="R977" i="6"/>
  <c r="P977" i="6"/>
  <c r="N977" i="6"/>
  <c r="L977" i="6"/>
  <c r="J977" i="6"/>
  <c r="S977" i="6"/>
  <c r="Q977" i="6"/>
  <c r="O977" i="6"/>
  <c r="M977" i="6"/>
  <c r="K977" i="6"/>
  <c r="I977" i="6"/>
  <c r="T979" i="6"/>
  <c r="R979" i="6"/>
  <c r="P979" i="6"/>
  <c r="N979" i="6"/>
  <c r="L979" i="6"/>
  <c r="J979" i="6"/>
  <c r="S979" i="6"/>
  <c r="Q979" i="6"/>
  <c r="O979" i="6"/>
  <c r="M979" i="6"/>
  <c r="K979" i="6"/>
  <c r="I979" i="6"/>
  <c r="T981" i="6"/>
  <c r="R981" i="6"/>
  <c r="P981" i="6"/>
  <c r="N981" i="6"/>
  <c r="L981" i="6"/>
  <c r="J981" i="6"/>
  <c r="S981" i="6"/>
  <c r="Q981" i="6"/>
  <c r="O981" i="6"/>
  <c r="M981" i="6"/>
  <c r="K981" i="6"/>
  <c r="I981" i="6"/>
  <c r="T983" i="6"/>
  <c r="R983" i="6"/>
  <c r="P983" i="6"/>
  <c r="N983" i="6"/>
  <c r="L983" i="6"/>
  <c r="J983" i="6"/>
  <c r="S983" i="6"/>
  <c r="Q983" i="6"/>
  <c r="O983" i="6"/>
  <c r="M983" i="6"/>
  <c r="K983" i="6"/>
  <c r="I983" i="6"/>
  <c r="T985" i="6"/>
  <c r="R985" i="6"/>
  <c r="P985" i="6"/>
  <c r="N985" i="6"/>
  <c r="L985" i="6"/>
  <c r="J985" i="6"/>
  <c r="S985" i="6"/>
  <c r="Q985" i="6"/>
  <c r="O985" i="6"/>
  <c r="M985" i="6"/>
  <c r="K985" i="6"/>
  <c r="I985" i="6"/>
  <c r="T987" i="6"/>
  <c r="R987" i="6"/>
  <c r="P987" i="6"/>
  <c r="N987" i="6"/>
  <c r="L987" i="6"/>
  <c r="J987" i="6"/>
  <c r="S987" i="6"/>
  <c r="Q987" i="6"/>
  <c r="O987" i="6"/>
  <c r="M987" i="6"/>
  <c r="K987" i="6"/>
  <c r="I987" i="6"/>
  <c r="T989" i="6"/>
  <c r="R989" i="6"/>
  <c r="P989" i="6"/>
  <c r="N989" i="6"/>
  <c r="L989" i="6"/>
  <c r="J989" i="6"/>
  <c r="S989" i="6"/>
  <c r="Q989" i="6"/>
  <c r="O989" i="6"/>
  <c r="M989" i="6"/>
  <c r="K989" i="6"/>
  <c r="I989" i="6"/>
  <c r="T991" i="6"/>
  <c r="R991" i="6"/>
  <c r="P991" i="6"/>
  <c r="N991" i="6"/>
  <c r="L991" i="6"/>
  <c r="J991" i="6"/>
  <c r="S991" i="6"/>
  <c r="Q991" i="6"/>
  <c r="O991" i="6"/>
  <c r="M991" i="6"/>
  <c r="K991" i="6"/>
  <c r="I991" i="6"/>
  <c r="T993" i="6"/>
  <c r="R993" i="6"/>
  <c r="P993" i="6"/>
  <c r="N993" i="6"/>
  <c r="L993" i="6"/>
  <c r="J993" i="6"/>
  <c r="S993" i="6"/>
  <c r="Q993" i="6"/>
  <c r="O993" i="6"/>
  <c r="M993" i="6"/>
  <c r="K993" i="6"/>
  <c r="I993" i="6"/>
  <c r="T995" i="6"/>
  <c r="R995" i="6"/>
  <c r="P995" i="6"/>
  <c r="N995" i="6"/>
  <c r="L995" i="6"/>
  <c r="J995" i="6"/>
  <c r="S995" i="6"/>
  <c r="Q995" i="6"/>
  <c r="O995" i="6"/>
  <c r="M995" i="6"/>
  <c r="K995" i="6"/>
  <c r="I995" i="6"/>
  <c r="T997" i="6"/>
  <c r="R997" i="6"/>
  <c r="P997" i="6"/>
  <c r="N997" i="6"/>
  <c r="L997" i="6"/>
  <c r="J997" i="6"/>
  <c r="S997" i="6"/>
  <c r="Q997" i="6"/>
  <c r="O997" i="6"/>
  <c r="M997" i="6"/>
  <c r="K997" i="6"/>
  <c r="I997" i="6"/>
  <c r="T999" i="6"/>
  <c r="R999" i="6"/>
  <c r="P999" i="6"/>
  <c r="N999" i="6"/>
  <c r="L999" i="6"/>
  <c r="J999" i="6"/>
  <c r="S999" i="6"/>
  <c r="Q999" i="6"/>
  <c r="O999" i="6"/>
  <c r="M999" i="6"/>
  <c r="K999" i="6"/>
  <c r="I999" i="6"/>
  <c r="T1001" i="6"/>
  <c r="R1001" i="6"/>
  <c r="P1001" i="6"/>
  <c r="N1001" i="6"/>
  <c r="L1001" i="6"/>
  <c r="J1001" i="6"/>
  <c r="S1001" i="6"/>
  <c r="Q1001" i="6"/>
  <c r="O1001" i="6"/>
  <c r="M1001" i="6"/>
  <c r="K1001" i="6"/>
  <c r="I1001" i="6"/>
  <c r="T1003" i="6"/>
  <c r="R1003" i="6"/>
  <c r="P1003" i="6"/>
  <c r="N1003" i="6"/>
  <c r="L1003" i="6"/>
  <c r="J1003" i="6"/>
  <c r="S1003" i="6"/>
  <c r="Q1003" i="6"/>
  <c r="O1003" i="6"/>
  <c r="M1003" i="6"/>
  <c r="K1003" i="6"/>
  <c r="I1003" i="6"/>
  <c r="T1005" i="6"/>
  <c r="R1005" i="6"/>
  <c r="P1005" i="6"/>
  <c r="N1005" i="6"/>
  <c r="L1005" i="6"/>
  <c r="J1005" i="6"/>
  <c r="S1005" i="6"/>
  <c r="Q1005" i="6"/>
  <c r="O1005" i="6"/>
  <c r="M1005" i="6"/>
  <c r="K1005" i="6"/>
  <c r="I1005" i="6"/>
  <c r="T1007" i="6"/>
  <c r="R1007" i="6"/>
  <c r="P1007" i="6"/>
  <c r="N1007" i="6"/>
  <c r="L1007" i="6"/>
  <c r="J1007" i="6"/>
  <c r="S1007" i="6"/>
  <c r="Q1007" i="6"/>
  <c r="O1007" i="6"/>
  <c r="M1007" i="6"/>
  <c r="K1007" i="6"/>
  <c r="I1007" i="6"/>
  <c r="T1009" i="6"/>
  <c r="R1009" i="6"/>
  <c r="P1009" i="6"/>
  <c r="N1009" i="6"/>
  <c r="L1009" i="6"/>
  <c r="J1009" i="6"/>
  <c r="S1009" i="6"/>
  <c r="Q1009" i="6"/>
  <c r="O1009" i="6"/>
  <c r="M1009" i="6"/>
  <c r="K1009" i="6"/>
  <c r="I1009" i="6"/>
  <c r="T1011" i="6"/>
  <c r="R1011" i="6"/>
  <c r="P1011" i="6"/>
  <c r="N1011" i="6"/>
  <c r="L1011" i="6"/>
  <c r="J1011" i="6"/>
  <c r="S1011" i="6"/>
  <c r="Q1011" i="6"/>
  <c r="O1011" i="6"/>
  <c r="M1011" i="6"/>
  <c r="K1011" i="6"/>
  <c r="I1011" i="6"/>
  <c r="T1013" i="6"/>
  <c r="R1013" i="6"/>
  <c r="P1013" i="6"/>
  <c r="N1013" i="6"/>
  <c r="L1013" i="6"/>
  <c r="J1013" i="6"/>
  <c r="S1013" i="6"/>
  <c r="Q1013" i="6"/>
  <c r="O1013" i="6"/>
  <c r="M1013" i="6"/>
  <c r="K1013" i="6"/>
  <c r="I1013" i="6"/>
  <c r="T1015" i="6"/>
  <c r="R1015" i="6"/>
  <c r="P1015" i="6"/>
  <c r="N1015" i="6"/>
  <c r="L1015" i="6"/>
  <c r="J1015" i="6"/>
  <c r="S1015" i="6"/>
  <c r="Q1015" i="6"/>
  <c r="O1015" i="6"/>
  <c r="M1015" i="6"/>
  <c r="K1015" i="6"/>
  <c r="I1015" i="6"/>
  <c r="T1017" i="6"/>
  <c r="R1017" i="6"/>
  <c r="P1017" i="6"/>
  <c r="N1017" i="6"/>
  <c r="L1017" i="6"/>
  <c r="J1017" i="6"/>
  <c r="S1017" i="6"/>
  <c r="Q1017" i="6"/>
  <c r="O1017" i="6"/>
  <c r="M1017" i="6"/>
  <c r="K1017" i="6"/>
  <c r="I1017" i="6"/>
  <c r="T1019" i="6"/>
  <c r="R1019" i="6"/>
  <c r="P1019" i="6"/>
  <c r="N1019" i="6"/>
  <c r="L1019" i="6"/>
  <c r="J1019" i="6"/>
  <c r="S1019" i="6"/>
  <c r="Q1019" i="6"/>
  <c r="O1019" i="6"/>
  <c r="M1019" i="6"/>
  <c r="K1019" i="6"/>
  <c r="I1019" i="6"/>
  <c r="T1021" i="6"/>
  <c r="R1021" i="6"/>
  <c r="P1021" i="6"/>
  <c r="N1021" i="6"/>
  <c r="L1021" i="6"/>
  <c r="J1021" i="6"/>
  <c r="S1021" i="6"/>
  <c r="Q1021" i="6"/>
  <c r="O1021" i="6"/>
  <c r="M1021" i="6"/>
  <c r="K1021" i="6"/>
  <c r="I1021" i="6"/>
  <c r="T1023" i="6"/>
  <c r="R1023" i="6"/>
  <c r="P1023" i="6"/>
  <c r="N1023" i="6"/>
  <c r="L1023" i="6"/>
  <c r="J1023" i="6"/>
  <c r="S1023" i="6"/>
  <c r="Q1023" i="6"/>
  <c r="O1023" i="6"/>
  <c r="M1023" i="6"/>
  <c r="K1023" i="6"/>
  <c r="I1023" i="6"/>
  <c r="T1025" i="6"/>
  <c r="R1025" i="6"/>
  <c r="P1025" i="6"/>
  <c r="N1025" i="6"/>
  <c r="L1025" i="6"/>
  <c r="J1025" i="6"/>
  <c r="S1025" i="6"/>
  <c r="Q1025" i="6"/>
  <c r="O1025" i="6"/>
  <c r="M1025" i="6"/>
  <c r="K1025" i="6"/>
  <c r="I1025" i="6"/>
  <c r="T1027" i="6"/>
  <c r="R1027" i="6"/>
  <c r="P1027" i="6"/>
  <c r="N1027" i="6"/>
  <c r="L1027" i="6"/>
  <c r="J1027" i="6"/>
  <c r="S1027" i="6"/>
  <c r="Q1027" i="6"/>
  <c r="O1027" i="6"/>
  <c r="M1027" i="6"/>
  <c r="K1027" i="6"/>
  <c r="I1027" i="6"/>
  <c r="T1029" i="6"/>
  <c r="R1029" i="6"/>
  <c r="P1029" i="6"/>
  <c r="N1029" i="6"/>
  <c r="L1029" i="6"/>
  <c r="J1029" i="6"/>
  <c r="S1029" i="6"/>
  <c r="Q1029" i="6"/>
  <c r="O1029" i="6"/>
  <c r="M1029" i="6"/>
  <c r="K1029" i="6"/>
  <c r="I1029" i="6"/>
  <c r="T1031" i="6"/>
  <c r="R1031" i="6"/>
  <c r="P1031" i="6"/>
  <c r="N1031" i="6"/>
  <c r="L1031" i="6"/>
  <c r="J1031" i="6"/>
  <c r="S1031" i="6"/>
  <c r="Q1031" i="6"/>
  <c r="O1031" i="6"/>
  <c r="M1031" i="6"/>
  <c r="K1031" i="6"/>
  <c r="I1031" i="6"/>
  <c r="T1033" i="6"/>
  <c r="R1033" i="6"/>
  <c r="P1033" i="6"/>
  <c r="N1033" i="6"/>
  <c r="L1033" i="6"/>
  <c r="J1033" i="6"/>
  <c r="S1033" i="6"/>
  <c r="Q1033" i="6"/>
  <c r="O1033" i="6"/>
  <c r="M1033" i="6"/>
  <c r="K1033" i="6"/>
  <c r="I1033" i="6"/>
  <c r="T1035" i="6"/>
  <c r="R1035" i="6"/>
  <c r="P1035" i="6"/>
  <c r="N1035" i="6"/>
  <c r="L1035" i="6"/>
  <c r="J1035" i="6"/>
  <c r="S1035" i="6"/>
  <c r="Q1035" i="6"/>
  <c r="O1035" i="6"/>
  <c r="M1035" i="6"/>
  <c r="K1035" i="6"/>
  <c r="I1035" i="6"/>
  <c r="T1037" i="6"/>
  <c r="R1037" i="6"/>
  <c r="P1037" i="6"/>
  <c r="N1037" i="6"/>
  <c r="L1037" i="6"/>
  <c r="J1037" i="6"/>
  <c r="S1037" i="6"/>
  <c r="Q1037" i="6"/>
  <c r="O1037" i="6"/>
  <c r="M1037" i="6"/>
  <c r="K1037" i="6"/>
  <c r="I1037" i="6"/>
  <c r="T1039" i="6"/>
  <c r="R1039" i="6"/>
  <c r="P1039" i="6"/>
  <c r="N1039" i="6"/>
  <c r="L1039" i="6"/>
  <c r="J1039" i="6"/>
  <c r="S1039" i="6"/>
  <c r="Q1039" i="6"/>
  <c r="O1039" i="6"/>
  <c r="M1039" i="6"/>
  <c r="K1039" i="6"/>
  <c r="I1039" i="6"/>
  <c r="T1041" i="6"/>
  <c r="R1041" i="6"/>
  <c r="P1041" i="6"/>
  <c r="N1041" i="6"/>
  <c r="L1041" i="6"/>
  <c r="J1041" i="6"/>
  <c r="S1041" i="6"/>
  <c r="Q1041" i="6"/>
  <c r="O1041" i="6"/>
  <c r="M1041" i="6"/>
  <c r="K1041" i="6"/>
  <c r="I1041" i="6"/>
  <c r="S1043" i="6"/>
  <c r="R1043" i="6"/>
  <c r="P1043" i="6"/>
  <c r="N1043" i="6"/>
  <c r="L1043" i="6"/>
  <c r="J1043" i="6"/>
  <c r="T1043" i="6"/>
  <c r="Q1043" i="6"/>
  <c r="O1043" i="6"/>
  <c r="M1043" i="6"/>
  <c r="K1043" i="6"/>
  <c r="I1043" i="6"/>
  <c r="S1044" i="6"/>
  <c r="Q1044" i="6"/>
  <c r="O1044" i="6"/>
  <c r="M1044" i="6"/>
  <c r="K1044" i="6"/>
  <c r="I1044" i="6"/>
  <c r="L1044" i="6"/>
  <c r="P1044" i="6"/>
  <c r="T1044" i="6"/>
  <c r="S1045" i="6"/>
  <c r="Q1045" i="6"/>
  <c r="O1045" i="6"/>
  <c r="M1045" i="6"/>
  <c r="K1045" i="6"/>
  <c r="I1045" i="6"/>
  <c r="L1045" i="6"/>
  <c r="P1045" i="6"/>
  <c r="T1045" i="6"/>
  <c r="S1046" i="6"/>
  <c r="Q1046" i="6"/>
  <c r="O1046" i="6"/>
  <c r="M1046" i="6"/>
  <c r="K1046" i="6"/>
  <c r="I1046" i="6"/>
  <c r="L1046" i="6"/>
  <c r="P1046" i="6"/>
  <c r="T1046" i="6"/>
  <c r="S1047" i="6"/>
  <c r="Q1047" i="6"/>
  <c r="O1047" i="6"/>
  <c r="M1047" i="6"/>
  <c r="K1047" i="6"/>
  <c r="I1047" i="6"/>
  <c r="L1047" i="6"/>
  <c r="P1047" i="6"/>
  <c r="T1047" i="6"/>
  <c r="S1048" i="6"/>
  <c r="Q1048" i="6"/>
  <c r="O1048" i="6"/>
  <c r="M1048" i="6"/>
  <c r="K1048" i="6"/>
  <c r="I1048" i="6"/>
  <c r="L1048" i="6"/>
  <c r="P1048" i="6"/>
  <c r="T1048" i="6"/>
  <c r="S1049" i="6"/>
  <c r="Q1049" i="6"/>
  <c r="O1049" i="6"/>
  <c r="M1049" i="6"/>
  <c r="K1049" i="6"/>
  <c r="I1049" i="6"/>
  <c r="L1049" i="6"/>
  <c r="P1049" i="6"/>
  <c r="T1049" i="6"/>
  <c r="S1050" i="6"/>
  <c r="Q1050" i="6"/>
  <c r="O1050" i="6"/>
  <c r="M1050" i="6"/>
  <c r="K1050" i="6"/>
  <c r="I1050" i="6"/>
  <c r="L1050" i="6"/>
  <c r="P1050" i="6"/>
  <c r="T1050" i="6"/>
  <c r="S1051" i="6"/>
  <c r="Q1051" i="6"/>
  <c r="O1051" i="6"/>
  <c r="M1051" i="6"/>
  <c r="K1051" i="6"/>
  <c r="I1051" i="6"/>
  <c r="L1051" i="6"/>
  <c r="P1051" i="6"/>
  <c r="T1051" i="6"/>
  <c r="S1052" i="6"/>
  <c r="Q1052" i="6"/>
  <c r="O1052" i="6"/>
  <c r="M1052" i="6"/>
  <c r="K1052" i="6"/>
  <c r="I1052" i="6"/>
  <c r="L1052" i="6"/>
  <c r="P1052" i="6"/>
  <c r="T1052" i="6"/>
  <c r="S1053" i="6"/>
  <c r="Q1053" i="6"/>
  <c r="O1053" i="6"/>
  <c r="M1053" i="6"/>
  <c r="K1053" i="6"/>
  <c r="I1053" i="6"/>
  <c r="L1053" i="6"/>
  <c r="P1053" i="6"/>
  <c r="T1053" i="6"/>
  <c r="S1054" i="6"/>
  <c r="Q1054" i="6"/>
  <c r="O1054" i="6"/>
  <c r="M1054" i="6"/>
  <c r="K1054" i="6"/>
  <c r="I1054" i="6"/>
  <c r="L1054" i="6"/>
  <c r="P1054" i="6"/>
  <c r="T1054" i="6"/>
  <c r="S1055" i="6"/>
  <c r="Q1055" i="6"/>
  <c r="O1055" i="6"/>
  <c r="M1055" i="6"/>
  <c r="K1055" i="6"/>
  <c r="I1055" i="6"/>
  <c r="L1055" i="6"/>
  <c r="P1055" i="6"/>
  <c r="T1055" i="6"/>
  <c r="S1056" i="6"/>
  <c r="Q1056" i="6"/>
  <c r="O1056" i="6"/>
  <c r="M1056" i="6"/>
  <c r="K1056" i="6"/>
  <c r="I1056" i="6"/>
  <c r="L1056" i="6"/>
  <c r="P1056" i="6"/>
  <c r="T1056" i="6"/>
  <c r="S1057" i="6"/>
  <c r="Q1057" i="6"/>
  <c r="O1057" i="6"/>
  <c r="M1057" i="6"/>
  <c r="K1057" i="6"/>
  <c r="I1057" i="6"/>
  <c r="L1057" i="6"/>
  <c r="P1057" i="6"/>
  <c r="T1057" i="6"/>
  <c r="S1058" i="6"/>
  <c r="Q1058" i="6"/>
  <c r="O1058" i="6"/>
  <c r="M1058" i="6"/>
  <c r="K1058" i="6"/>
  <c r="I1058" i="6"/>
  <c r="L1058" i="6"/>
  <c r="P1058" i="6"/>
  <c r="T1058" i="6"/>
  <c r="S1059" i="6"/>
  <c r="Q1059" i="6"/>
  <c r="O1059" i="6"/>
  <c r="M1059" i="6"/>
  <c r="K1059" i="6"/>
  <c r="I1059" i="6"/>
  <c r="L1059" i="6"/>
  <c r="P1059" i="6"/>
  <c r="T1059" i="6"/>
  <c r="S1060" i="6"/>
  <c r="Q1060" i="6"/>
  <c r="O1060" i="6"/>
  <c r="M1060" i="6"/>
  <c r="K1060" i="6"/>
  <c r="I1060" i="6"/>
  <c r="L1060" i="6"/>
  <c r="P1060" i="6"/>
  <c r="T1060" i="6"/>
  <c r="S1061" i="6"/>
  <c r="Q1061" i="6"/>
  <c r="O1061" i="6"/>
  <c r="M1061" i="6"/>
  <c r="K1061" i="6"/>
  <c r="I1061" i="6"/>
  <c r="L1061" i="6"/>
  <c r="P1061" i="6"/>
  <c r="T1061" i="6"/>
  <c r="S1062" i="6"/>
  <c r="Q1062" i="6"/>
  <c r="O1062" i="6"/>
  <c r="M1062" i="6"/>
  <c r="K1062" i="6"/>
  <c r="I1062" i="6"/>
  <c r="L1062" i="6"/>
  <c r="P1062" i="6"/>
  <c r="T1062" i="6"/>
  <c r="S1063" i="6"/>
  <c r="Q1063" i="6"/>
  <c r="O1063" i="6"/>
  <c r="M1063" i="6"/>
  <c r="K1063" i="6"/>
  <c r="I1063" i="6"/>
  <c r="L1063" i="6"/>
  <c r="P1063" i="6"/>
  <c r="T1063" i="6"/>
  <c r="S1064" i="6"/>
  <c r="Q1064" i="6"/>
  <c r="O1064" i="6"/>
  <c r="M1064" i="6"/>
  <c r="K1064" i="6"/>
  <c r="I1064" i="6"/>
  <c r="L1064" i="6"/>
  <c r="P1064" i="6"/>
  <c r="T1064" i="6"/>
  <c r="S1065" i="6"/>
  <c r="Q1065" i="6"/>
  <c r="O1065" i="6"/>
  <c r="M1065" i="6"/>
  <c r="K1065" i="6"/>
  <c r="I1065" i="6"/>
  <c r="L1065" i="6"/>
  <c r="P1065" i="6"/>
  <c r="T1065" i="6"/>
  <c r="S1066" i="6"/>
  <c r="Q1066" i="6"/>
  <c r="O1066" i="6"/>
  <c r="M1066" i="6"/>
  <c r="K1066" i="6"/>
  <c r="I1066" i="6"/>
  <c r="L1066" i="6"/>
  <c r="P1066" i="6"/>
  <c r="T1066" i="6"/>
  <c r="S1067" i="6"/>
  <c r="Q1067" i="6"/>
  <c r="O1067" i="6"/>
  <c r="M1067" i="6"/>
  <c r="K1067" i="6"/>
  <c r="I1067" i="6"/>
  <c r="L1067" i="6"/>
  <c r="P1067" i="6"/>
  <c r="T1067" i="6"/>
  <c r="S1068" i="6"/>
  <c r="Q1068" i="6"/>
  <c r="O1068" i="6"/>
  <c r="M1068" i="6"/>
  <c r="K1068" i="6"/>
  <c r="I1068" i="6"/>
  <c r="L1068" i="6"/>
  <c r="P1068" i="6"/>
  <c r="T1068" i="6"/>
  <c r="S1069" i="6"/>
  <c r="Q1069" i="6"/>
  <c r="O1069" i="6"/>
  <c r="M1069" i="6"/>
  <c r="K1069" i="6"/>
  <c r="I1069" i="6"/>
  <c r="L1069" i="6"/>
  <c r="P1069" i="6"/>
  <c r="T1069" i="6"/>
  <c r="S1070" i="6"/>
  <c r="Q1070" i="6"/>
  <c r="O1070" i="6"/>
  <c r="M1070" i="6"/>
  <c r="K1070" i="6"/>
  <c r="I1070" i="6"/>
  <c r="L1070" i="6"/>
  <c r="P1070" i="6"/>
  <c r="T1070" i="6"/>
  <c r="S1071" i="6"/>
  <c r="Q1071" i="6"/>
  <c r="O1071" i="6"/>
  <c r="M1071" i="6"/>
  <c r="K1071" i="6"/>
  <c r="I1071" i="6"/>
  <c r="L1071" i="6"/>
  <c r="P1071" i="6"/>
  <c r="T1071" i="6"/>
  <c r="S1072" i="6"/>
  <c r="Q1072" i="6"/>
  <c r="O1072" i="6"/>
  <c r="M1072" i="6"/>
  <c r="K1072" i="6"/>
  <c r="I1072" i="6"/>
  <c r="L1072" i="6"/>
  <c r="P1072" i="6"/>
  <c r="T1072" i="6"/>
  <c r="S1073" i="6"/>
  <c r="Q1073" i="6"/>
  <c r="O1073" i="6"/>
  <c r="M1073" i="6"/>
  <c r="K1073" i="6"/>
  <c r="I1073" i="6"/>
  <c r="L1073" i="6"/>
  <c r="P1073" i="6"/>
  <c r="T1073" i="6"/>
  <c r="S1074" i="6"/>
  <c r="Q1074" i="6"/>
  <c r="O1074" i="6"/>
  <c r="M1074" i="6"/>
  <c r="K1074" i="6"/>
  <c r="I1074" i="6"/>
  <c r="L1074" i="6"/>
  <c r="P1074" i="6"/>
  <c r="T1074" i="6"/>
  <c r="S1075" i="6"/>
  <c r="Q1075" i="6"/>
  <c r="O1075" i="6"/>
  <c r="M1075" i="6"/>
  <c r="K1075" i="6"/>
  <c r="I1075" i="6"/>
  <c r="L1075" i="6"/>
  <c r="P1075" i="6"/>
  <c r="T1075" i="6"/>
  <c r="S1076" i="6"/>
  <c r="Q1076" i="6"/>
  <c r="O1076" i="6"/>
  <c r="M1076" i="6"/>
  <c r="K1076" i="6"/>
  <c r="I1076" i="6"/>
  <c r="L1076" i="6"/>
  <c r="P1076" i="6"/>
  <c r="T1076" i="6"/>
  <c r="S1077" i="6"/>
  <c r="Q1077" i="6"/>
  <c r="O1077" i="6"/>
  <c r="M1077" i="6"/>
  <c r="K1077" i="6"/>
  <c r="I1077" i="6"/>
  <c r="L1077" i="6"/>
  <c r="P1077" i="6"/>
  <c r="T1077" i="6"/>
  <c r="S1078" i="6"/>
  <c r="Q1078" i="6"/>
  <c r="O1078" i="6"/>
  <c r="M1078" i="6"/>
  <c r="K1078" i="6"/>
  <c r="I1078" i="6"/>
  <c r="L1078" i="6"/>
  <c r="P1078" i="6"/>
  <c r="T1078" i="6"/>
  <c r="S1079" i="6"/>
  <c r="Q1079" i="6"/>
  <c r="O1079" i="6"/>
  <c r="M1079" i="6"/>
  <c r="K1079" i="6"/>
  <c r="I1079" i="6"/>
  <c r="L1079" i="6"/>
  <c r="P1079" i="6"/>
  <c r="T1079" i="6"/>
  <c r="S1080" i="6"/>
  <c r="Q1080" i="6"/>
  <c r="O1080" i="6"/>
  <c r="M1080" i="6"/>
  <c r="K1080" i="6"/>
  <c r="I1080" i="6"/>
  <c r="L1080" i="6"/>
  <c r="P1080" i="6"/>
  <c r="T1080" i="6"/>
  <c r="S1081" i="6"/>
  <c r="Q1081" i="6"/>
  <c r="O1081" i="6"/>
  <c r="M1081" i="6"/>
  <c r="K1081" i="6"/>
  <c r="I1081" i="6"/>
  <c r="L1081" i="6"/>
  <c r="P1081" i="6"/>
  <c r="T1081" i="6"/>
  <c r="S1082" i="6"/>
  <c r="Q1082" i="6"/>
  <c r="O1082" i="6"/>
  <c r="M1082" i="6"/>
  <c r="K1082" i="6"/>
  <c r="I1082" i="6"/>
  <c r="L1082" i="6"/>
  <c r="P1082" i="6"/>
  <c r="T1082" i="6"/>
  <c r="S1083" i="6"/>
  <c r="Q1083" i="6"/>
  <c r="O1083" i="6"/>
  <c r="M1083" i="6"/>
  <c r="K1083" i="6"/>
  <c r="I1083" i="6"/>
  <c r="L1083" i="6"/>
  <c r="P1083" i="6"/>
  <c r="T1083" i="6"/>
  <c r="S1084" i="6"/>
  <c r="Q1084" i="6"/>
  <c r="O1084" i="6"/>
  <c r="M1084" i="6"/>
  <c r="K1084" i="6"/>
  <c r="I1084" i="6"/>
  <c r="L1084" i="6"/>
  <c r="P1084" i="6"/>
  <c r="T1084" i="6"/>
  <c r="S1085" i="6"/>
  <c r="Q1085" i="6"/>
  <c r="O1085" i="6"/>
  <c r="M1085" i="6"/>
  <c r="K1085" i="6"/>
  <c r="I1085" i="6"/>
  <c r="L1085" i="6"/>
  <c r="P1085" i="6"/>
  <c r="T1085" i="6"/>
  <c r="S1086" i="6"/>
  <c r="Q1086" i="6"/>
  <c r="O1086" i="6"/>
  <c r="M1086" i="6"/>
  <c r="K1086" i="6"/>
  <c r="I1086" i="6"/>
  <c r="L1086" i="6"/>
  <c r="P1086" i="6"/>
  <c r="T1086" i="6"/>
  <c r="S1087" i="6"/>
  <c r="Q1087" i="6"/>
  <c r="O1087" i="6"/>
  <c r="M1087" i="6"/>
  <c r="K1087" i="6"/>
  <c r="I1087" i="6"/>
  <c r="L1087" i="6"/>
  <c r="P1087" i="6"/>
  <c r="T1087" i="6"/>
  <c r="S1088" i="6"/>
  <c r="Q1088" i="6"/>
  <c r="O1088" i="6"/>
  <c r="M1088" i="6"/>
  <c r="K1088" i="6"/>
  <c r="I1088" i="6"/>
  <c r="L1088" i="6"/>
  <c r="P1088" i="6"/>
  <c r="T1088" i="6"/>
  <c r="T1089" i="6"/>
  <c r="S1089" i="6"/>
  <c r="Q1089" i="6"/>
  <c r="O1089" i="6"/>
  <c r="M1089" i="6"/>
  <c r="K1089" i="6"/>
  <c r="I1089" i="6"/>
  <c r="L1089" i="6"/>
  <c r="P1089" i="6"/>
  <c r="T1090" i="6"/>
  <c r="R1090" i="6"/>
  <c r="P1090" i="6"/>
  <c r="N1090" i="6"/>
  <c r="L1090" i="6"/>
  <c r="J1090" i="6"/>
  <c r="Q1090" i="6"/>
  <c r="M1090" i="6"/>
  <c r="I1090" i="6"/>
  <c r="O1090" i="6"/>
  <c r="T1092" i="6"/>
  <c r="R1092" i="6"/>
  <c r="P1092" i="6"/>
  <c r="N1092" i="6"/>
  <c r="L1092" i="6"/>
  <c r="J1092" i="6"/>
  <c r="Q1092" i="6"/>
  <c r="M1092" i="6"/>
  <c r="I1092" i="6"/>
  <c r="O1092" i="6"/>
  <c r="T1094" i="6"/>
  <c r="R1094" i="6"/>
  <c r="P1094" i="6"/>
  <c r="N1094" i="6"/>
  <c r="L1094" i="6"/>
  <c r="J1094" i="6"/>
  <c r="Q1094" i="6"/>
  <c r="M1094" i="6"/>
  <c r="I1094" i="6"/>
  <c r="O1094" i="6"/>
  <c r="T1096" i="6"/>
  <c r="R1096" i="6"/>
  <c r="P1096" i="6"/>
  <c r="N1096" i="6"/>
  <c r="L1096" i="6"/>
  <c r="J1096" i="6"/>
  <c r="Q1096" i="6"/>
  <c r="M1096" i="6"/>
  <c r="I1096" i="6"/>
  <c r="O1096" i="6"/>
  <c r="T1098" i="6"/>
  <c r="R1098" i="6"/>
  <c r="P1098" i="6"/>
  <c r="N1098" i="6"/>
  <c r="L1098" i="6"/>
  <c r="J1098" i="6"/>
  <c r="Q1098" i="6"/>
  <c r="M1098" i="6"/>
  <c r="I1098" i="6"/>
  <c r="O1098" i="6"/>
  <c r="T1100" i="6"/>
  <c r="R1100" i="6"/>
  <c r="P1100" i="6"/>
  <c r="N1100" i="6"/>
  <c r="L1100" i="6"/>
  <c r="J1100" i="6"/>
  <c r="Q1100" i="6"/>
  <c r="M1100" i="6"/>
  <c r="I1100" i="6"/>
  <c r="O1100" i="6"/>
  <c r="T1102" i="6"/>
  <c r="R1102" i="6"/>
  <c r="P1102" i="6"/>
  <c r="N1102" i="6"/>
  <c r="L1102" i="6"/>
  <c r="J1102" i="6"/>
  <c r="Q1102" i="6"/>
  <c r="M1102" i="6"/>
  <c r="I1102" i="6"/>
  <c r="O1102" i="6"/>
  <c r="T1104" i="6"/>
  <c r="R1104" i="6"/>
  <c r="P1104" i="6"/>
  <c r="N1104" i="6"/>
  <c r="L1104" i="6"/>
  <c r="J1104" i="6"/>
  <c r="Q1104" i="6"/>
  <c r="M1104" i="6"/>
  <c r="I1104" i="6"/>
  <c r="O1104" i="6"/>
  <c r="T1106" i="6"/>
  <c r="R1106" i="6"/>
  <c r="P1106" i="6"/>
  <c r="N1106" i="6"/>
  <c r="L1106" i="6"/>
  <c r="J1106" i="6"/>
  <c r="Q1106" i="6"/>
  <c r="M1106" i="6"/>
  <c r="I1106" i="6"/>
  <c r="O1106" i="6"/>
  <c r="T1108" i="6"/>
  <c r="R1108" i="6"/>
  <c r="P1108" i="6"/>
  <c r="N1108" i="6"/>
  <c r="L1108" i="6"/>
  <c r="J1108" i="6"/>
  <c r="Q1108" i="6"/>
  <c r="M1108" i="6"/>
  <c r="I1108" i="6"/>
  <c r="O1108" i="6"/>
  <c r="T1110" i="6"/>
  <c r="R1110" i="6"/>
  <c r="P1110" i="6"/>
  <c r="N1110" i="6"/>
  <c r="L1110" i="6"/>
  <c r="J1110" i="6"/>
  <c r="Q1110" i="6"/>
  <c r="M1110" i="6"/>
  <c r="I1110" i="6"/>
  <c r="O1110" i="6"/>
  <c r="T1112" i="6"/>
  <c r="R1112" i="6"/>
  <c r="P1112" i="6"/>
  <c r="N1112" i="6"/>
  <c r="L1112" i="6"/>
  <c r="J1112" i="6"/>
  <c r="Q1112" i="6"/>
  <c r="M1112" i="6"/>
  <c r="I1112" i="6"/>
  <c r="O1112" i="6"/>
  <c r="T1114" i="6"/>
  <c r="R1114" i="6"/>
  <c r="P1114" i="6"/>
  <c r="N1114" i="6"/>
  <c r="L1114" i="6"/>
  <c r="J1114" i="6"/>
  <c r="Q1114" i="6"/>
  <c r="M1114" i="6"/>
  <c r="I1114" i="6"/>
  <c r="O1114" i="6"/>
  <c r="T1116" i="6"/>
  <c r="R1116" i="6"/>
  <c r="P1116" i="6"/>
  <c r="N1116" i="6"/>
  <c r="L1116" i="6"/>
  <c r="J1116" i="6"/>
  <c r="Q1116" i="6"/>
  <c r="M1116" i="6"/>
  <c r="I1116" i="6"/>
  <c r="O1116" i="6"/>
  <c r="T1118" i="6"/>
  <c r="R1118" i="6"/>
  <c r="P1118" i="6"/>
  <c r="N1118" i="6"/>
  <c r="L1118" i="6"/>
  <c r="J1118" i="6"/>
  <c r="Q1118" i="6"/>
  <c r="M1118" i="6"/>
  <c r="I1118" i="6"/>
  <c r="O1118" i="6"/>
  <c r="T1120" i="6"/>
  <c r="R1120" i="6"/>
  <c r="P1120" i="6"/>
  <c r="N1120" i="6"/>
  <c r="L1120" i="6"/>
  <c r="J1120" i="6"/>
  <c r="Q1120" i="6"/>
  <c r="M1120" i="6"/>
  <c r="I1120" i="6"/>
  <c r="O1120" i="6"/>
  <c r="T1122" i="6"/>
  <c r="R1122" i="6"/>
  <c r="P1122" i="6"/>
  <c r="N1122" i="6"/>
  <c r="L1122" i="6"/>
  <c r="J1122" i="6"/>
  <c r="Q1122" i="6"/>
  <c r="M1122" i="6"/>
  <c r="I1122" i="6"/>
  <c r="O1122" i="6"/>
  <c r="T1124" i="6"/>
  <c r="R1124" i="6"/>
  <c r="P1124" i="6"/>
  <c r="N1124" i="6"/>
  <c r="L1124" i="6"/>
  <c r="J1124" i="6"/>
  <c r="Q1124" i="6"/>
  <c r="M1124" i="6"/>
  <c r="I1124" i="6"/>
  <c r="O1124" i="6"/>
  <c r="T1126" i="6"/>
  <c r="R1126" i="6"/>
  <c r="P1126" i="6"/>
  <c r="N1126" i="6"/>
  <c r="L1126" i="6"/>
  <c r="J1126" i="6"/>
  <c r="Q1126" i="6"/>
  <c r="M1126" i="6"/>
  <c r="I1126" i="6"/>
  <c r="O1126" i="6"/>
  <c r="T1128" i="6"/>
  <c r="R1128" i="6"/>
  <c r="P1128" i="6"/>
  <c r="N1128" i="6"/>
  <c r="L1128" i="6"/>
  <c r="J1128" i="6"/>
  <c r="Q1128" i="6"/>
  <c r="M1128" i="6"/>
  <c r="I1128" i="6"/>
  <c r="O1128" i="6"/>
  <c r="T1130" i="6"/>
  <c r="R1130" i="6"/>
  <c r="P1130" i="6"/>
  <c r="N1130" i="6"/>
  <c r="L1130" i="6"/>
  <c r="J1130" i="6"/>
  <c r="Q1130" i="6"/>
  <c r="M1130" i="6"/>
  <c r="I1130" i="6"/>
  <c r="O1130" i="6"/>
  <c r="T1132" i="6"/>
  <c r="R1132" i="6"/>
  <c r="P1132" i="6"/>
  <c r="N1132" i="6"/>
  <c r="L1132" i="6"/>
  <c r="J1132" i="6"/>
  <c r="Q1132" i="6"/>
  <c r="M1132" i="6"/>
  <c r="I1132" i="6"/>
  <c r="O1132" i="6"/>
  <c r="T1134" i="6"/>
  <c r="R1134" i="6"/>
  <c r="P1134" i="6"/>
  <c r="N1134" i="6"/>
  <c r="L1134" i="6"/>
  <c r="J1134" i="6"/>
  <c r="Q1134" i="6"/>
  <c r="M1134" i="6"/>
  <c r="I1134" i="6"/>
  <c r="O1134" i="6"/>
  <c r="T1136" i="6"/>
  <c r="R1136" i="6"/>
  <c r="P1136" i="6"/>
  <c r="N1136" i="6"/>
  <c r="L1136" i="6"/>
  <c r="J1136" i="6"/>
  <c r="Q1136" i="6"/>
  <c r="M1136" i="6"/>
  <c r="I1136" i="6"/>
  <c r="O1136" i="6"/>
  <c r="T1138" i="6"/>
  <c r="R1138" i="6"/>
  <c r="P1138" i="6"/>
  <c r="N1138" i="6"/>
  <c r="L1138" i="6"/>
  <c r="J1138" i="6"/>
  <c r="Q1138" i="6"/>
  <c r="M1138" i="6"/>
  <c r="I1138" i="6"/>
  <c r="O1138" i="6"/>
  <c r="T1140" i="6"/>
  <c r="R1140" i="6"/>
  <c r="P1140" i="6"/>
  <c r="N1140" i="6"/>
  <c r="L1140" i="6"/>
  <c r="J1140" i="6"/>
  <c r="Q1140" i="6"/>
  <c r="M1140" i="6"/>
  <c r="I1140" i="6"/>
  <c r="O1140" i="6"/>
  <c r="T1142" i="6"/>
  <c r="R1142" i="6"/>
  <c r="P1142" i="6"/>
  <c r="N1142" i="6"/>
  <c r="L1142" i="6"/>
  <c r="J1142" i="6"/>
  <c r="Q1142" i="6"/>
  <c r="M1142" i="6"/>
  <c r="I1142" i="6"/>
  <c r="O1142" i="6"/>
  <c r="T1144" i="6"/>
  <c r="R1144" i="6"/>
  <c r="P1144" i="6"/>
  <c r="N1144" i="6"/>
  <c r="L1144" i="6"/>
  <c r="J1144" i="6"/>
  <c r="Q1144" i="6"/>
  <c r="M1144" i="6"/>
  <c r="I1144" i="6"/>
  <c r="O1144" i="6"/>
  <c r="T1146" i="6"/>
  <c r="R1146" i="6"/>
  <c r="P1146" i="6"/>
  <c r="N1146" i="6"/>
  <c r="L1146" i="6"/>
  <c r="J1146" i="6"/>
  <c r="Q1146" i="6"/>
  <c r="M1146" i="6"/>
  <c r="I1146" i="6"/>
  <c r="O1146" i="6"/>
  <c r="T1148" i="6"/>
  <c r="R1148" i="6"/>
  <c r="P1148" i="6"/>
  <c r="N1148" i="6"/>
  <c r="L1148" i="6"/>
  <c r="J1148" i="6"/>
  <c r="Q1148" i="6"/>
  <c r="M1148" i="6"/>
  <c r="I1148" i="6"/>
  <c r="O1148" i="6"/>
  <c r="T1150" i="6"/>
  <c r="R1150" i="6"/>
  <c r="P1150" i="6"/>
  <c r="N1150" i="6"/>
  <c r="L1150" i="6"/>
  <c r="J1150" i="6"/>
  <c r="Q1150" i="6"/>
  <c r="M1150" i="6"/>
  <c r="I1150" i="6"/>
  <c r="O1150" i="6"/>
  <c r="T1152" i="6"/>
  <c r="R1152" i="6"/>
  <c r="P1152" i="6"/>
  <c r="N1152" i="6"/>
  <c r="L1152" i="6"/>
  <c r="J1152" i="6"/>
  <c r="Q1152" i="6"/>
  <c r="M1152" i="6"/>
  <c r="I1152" i="6"/>
  <c r="O1152" i="6"/>
  <c r="T1154" i="6"/>
  <c r="R1154" i="6"/>
  <c r="P1154" i="6"/>
  <c r="N1154" i="6"/>
  <c r="L1154" i="6"/>
  <c r="J1154" i="6"/>
  <c r="Q1154" i="6"/>
  <c r="M1154" i="6"/>
  <c r="I1154" i="6"/>
  <c r="O1154" i="6"/>
  <c r="T1156" i="6"/>
  <c r="R1156" i="6"/>
  <c r="P1156" i="6"/>
  <c r="N1156" i="6"/>
  <c r="L1156" i="6"/>
  <c r="J1156" i="6"/>
  <c r="Q1156" i="6"/>
  <c r="M1156" i="6"/>
  <c r="I1156" i="6"/>
  <c r="O1156" i="6"/>
  <c r="T1158" i="6"/>
  <c r="R1158" i="6"/>
  <c r="P1158" i="6"/>
  <c r="N1158" i="6"/>
  <c r="L1158" i="6"/>
  <c r="J1158" i="6"/>
  <c r="Q1158" i="6"/>
  <c r="M1158" i="6"/>
  <c r="I1158" i="6"/>
  <c r="O1158" i="6"/>
  <c r="T1160" i="6"/>
  <c r="R1160" i="6"/>
  <c r="P1160" i="6"/>
  <c r="N1160" i="6"/>
  <c r="L1160" i="6"/>
  <c r="J1160" i="6"/>
  <c r="Q1160" i="6"/>
  <c r="M1160" i="6"/>
  <c r="I1160" i="6"/>
  <c r="O1160" i="6"/>
  <c r="T1162" i="6"/>
  <c r="R1162" i="6"/>
  <c r="P1162" i="6"/>
  <c r="N1162" i="6"/>
  <c r="L1162" i="6"/>
  <c r="J1162" i="6"/>
  <c r="Q1162" i="6"/>
  <c r="M1162" i="6"/>
  <c r="I1162" i="6"/>
  <c r="O1162" i="6"/>
  <c r="T1164" i="6"/>
  <c r="R1164" i="6"/>
  <c r="P1164" i="6"/>
  <c r="N1164" i="6"/>
  <c r="L1164" i="6"/>
  <c r="J1164" i="6"/>
  <c r="Q1164" i="6"/>
  <c r="M1164" i="6"/>
  <c r="I1164" i="6"/>
  <c r="O1164" i="6"/>
  <c r="T1166" i="6"/>
  <c r="R1166" i="6"/>
  <c r="P1166" i="6"/>
  <c r="N1166" i="6"/>
  <c r="L1166" i="6"/>
  <c r="J1166" i="6"/>
  <c r="Q1166" i="6"/>
  <c r="M1166" i="6"/>
  <c r="I1166" i="6"/>
  <c r="O1166" i="6"/>
  <c r="T1168" i="6"/>
  <c r="R1168" i="6"/>
  <c r="P1168" i="6"/>
  <c r="N1168" i="6"/>
  <c r="L1168" i="6"/>
  <c r="J1168" i="6"/>
  <c r="Q1168" i="6"/>
  <c r="M1168" i="6"/>
  <c r="I1168" i="6"/>
  <c r="O1168" i="6"/>
  <c r="T1170" i="6"/>
  <c r="R1170" i="6"/>
  <c r="P1170" i="6"/>
  <c r="N1170" i="6"/>
  <c r="L1170" i="6"/>
  <c r="J1170" i="6"/>
  <c r="Q1170" i="6"/>
  <c r="M1170" i="6"/>
  <c r="I1170" i="6"/>
  <c r="O1170" i="6"/>
  <c r="T1172" i="6"/>
  <c r="R1172" i="6"/>
  <c r="P1172" i="6"/>
  <c r="N1172" i="6"/>
  <c r="L1172" i="6"/>
  <c r="J1172" i="6"/>
  <c r="Q1172" i="6"/>
  <c r="M1172" i="6"/>
  <c r="I1172" i="6"/>
  <c r="O1172" i="6"/>
  <c r="T1174" i="6"/>
  <c r="R1174" i="6"/>
  <c r="P1174" i="6"/>
  <c r="N1174" i="6"/>
  <c r="L1174" i="6"/>
  <c r="J1174" i="6"/>
  <c r="Q1174" i="6"/>
  <c r="M1174" i="6"/>
  <c r="I1174" i="6"/>
  <c r="O1174" i="6"/>
  <c r="T1176" i="6"/>
  <c r="R1176" i="6"/>
  <c r="P1176" i="6"/>
  <c r="N1176" i="6"/>
  <c r="L1176" i="6"/>
  <c r="J1176" i="6"/>
  <c r="Q1176" i="6"/>
  <c r="M1176" i="6"/>
  <c r="I1176" i="6"/>
  <c r="O1176" i="6"/>
  <c r="T1178" i="6"/>
  <c r="R1178" i="6"/>
  <c r="P1178" i="6"/>
  <c r="N1178" i="6"/>
  <c r="L1178" i="6"/>
  <c r="J1178" i="6"/>
  <c r="Q1178" i="6"/>
  <c r="M1178" i="6"/>
  <c r="I1178" i="6"/>
  <c r="O1178" i="6"/>
  <c r="T1180" i="6"/>
  <c r="R1180" i="6"/>
  <c r="P1180" i="6"/>
  <c r="N1180" i="6"/>
  <c r="L1180" i="6"/>
  <c r="J1180" i="6"/>
  <c r="Q1180" i="6"/>
  <c r="M1180" i="6"/>
  <c r="I1180" i="6"/>
  <c r="O1180" i="6"/>
  <c r="T1182" i="6"/>
  <c r="R1182" i="6"/>
  <c r="P1182" i="6"/>
  <c r="N1182" i="6"/>
  <c r="L1182" i="6"/>
  <c r="J1182" i="6"/>
  <c r="Q1182" i="6"/>
  <c r="M1182" i="6"/>
  <c r="I1182" i="6"/>
  <c r="O1182" i="6"/>
  <c r="T1184" i="6"/>
  <c r="R1184" i="6"/>
  <c r="P1184" i="6"/>
  <c r="N1184" i="6"/>
  <c r="L1184" i="6"/>
  <c r="J1184" i="6"/>
  <c r="Q1184" i="6"/>
  <c r="M1184" i="6"/>
  <c r="I1184" i="6"/>
  <c r="O1184" i="6"/>
  <c r="T1186" i="6"/>
  <c r="R1186" i="6"/>
  <c r="P1186" i="6"/>
  <c r="N1186" i="6"/>
  <c r="L1186" i="6"/>
  <c r="J1186" i="6"/>
  <c r="Q1186" i="6"/>
  <c r="M1186" i="6"/>
  <c r="I1186" i="6"/>
  <c r="O1186" i="6"/>
  <c r="T1188" i="6"/>
  <c r="R1188" i="6"/>
  <c r="P1188" i="6"/>
  <c r="N1188" i="6"/>
  <c r="L1188" i="6"/>
  <c r="J1188" i="6"/>
  <c r="Q1188" i="6"/>
  <c r="M1188" i="6"/>
  <c r="I1188" i="6"/>
  <c r="O1188" i="6"/>
  <c r="T1190" i="6"/>
  <c r="R1190" i="6"/>
  <c r="P1190" i="6"/>
  <c r="N1190" i="6"/>
  <c r="L1190" i="6"/>
  <c r="J1190" i="6"/>
  <c r="Q1190" i="6"/>
  <c r="M1190" i="6"/>
  <c r="I1190" i="6"/>
  <c r="O1190" i="6"/>
  <c r="T1192" i="6"/>
  <c r="R1192" i="6"/>
  <c r="P1192" i="6"/>
  <c r="N1192" i="6"/>
  <c r="L1192" i="6"/>
  <c r="J1192" i="6"/>
  <c r="Q1192" i="6"/>
  <c r="M1192" i="6"/>
  <c r="I1192" i="6"/>
  <c r="O1192" i="6"/>
  <c r="T1194" i="6"/>
  <c r="R1194" i="6"/>
  <c r="P1194" i="6"/>
  <c r="N1194" i="6"/>
  <c r="L1194" i="6"/>
  <c r="J1194" i="6"/>
  <c r="Q1194" i="6"/>
  <c r="M1194" i="6"/>
  <c r="I1194" i="6"/>
  <c r="O1194" i="6"/>
  <c r="T1196" i="6"/>
  <c r="R1196" i="6"/>
  <c r="P1196" i="6"/>
  <c r="N1196" i="6"/>
  <c r="L1196" i="6"/>
  <c r="J1196" i="6"/>
  <c r="Q1196" i="6"/>
  <c r="M1196" i="6"/>
  <c r="I1196" i="6"/>
  <c r="O1196" i="6"/>
  <c r="T1198" i="6"/>
  <c r="R1198" i="6"/>
  <c r="P1198" i="6"/>
  <c r="N1198" i="6"/>
  <c r="L1198" i="6"/>
  <c r="J1198" i="6"/>
  <c r="Q1198" i="6"/>
  <c r="M1198" i="6"/>
  <c r="I1198" i="6"/>
  <c r="O1198" i="6"/>
  <c r="T1200" i="6"/>
  <c r="R1200" i="6"/>
  <c r="P1200" i="6"/>
  <c r="N1200" i="6"/>
  <c r="L1200" i="6"/>
  <c r="J1200" i="6"/>
  <c r="Q1200" i="6"/>
  <c r="M1200" i="6"/>
  <c r="I1200" i="6"/>
  <c r="O1200" i="6"/>
  <c r="T1202" i="6"/>
  <c r="R1202" i="6"/>
  <c r="P1202" i="6"/>
  <c r="N1202" i="6"/>
  <c r="L1202" i="6"/>
  <c r="J1202" i="6"/>
  <c r="Q1202" i="6"/>
  <c r="M1202" i="6"/>
  <c r="I1202" i="6"/>
  <c r="O1202" i="6"/>
  <c r="T1204" i="6"/>
  <c r="R1204" i="6"/>
  <c r="P1204" i="6"/>
  <c r="N1204" i="6"/>
  <c r="L1204" i="6"/>
  <c r="J1204" i="6"/>
  <c r="Q1204" i="6"/>
  <c r="M1204" i="6"/>
  <c r="I1204" i="6"/>
  <c r="O1204" i="6"/>
  <c r="T1206" i="6"/>
  <c r="R1206" i="6"/>
  <c r="P1206" i="6"/>
  <c r="N1206" i="6"/>
  <c r="L1206" i="6"/>
  <c r="J1206" i="6"/>
  <c r="Q1206" i="6"/>
  <c r="M1206" i="6"/>
  <c r="I1206" i="6"/>
  <c r="O1206" i="6"/>
  <c r="T1208" i="6"/>
  <c r="R1208" i="6"/>
  <c r="P1208" i="6"/>
  <c r="N1208" i="6"/>
  <c r="L1208" i="6"/>
  <c r="J1208" i="6"/>
  <c r="Q1208" i="6"/>
  <c r="M1208" i="6"/>
  <c r="I1208" i="6"/>
  <c r="O1208" i="6"/>
  <c r="T1210" i="6"/>
  <c r="R1210" i="6"/>
  <c r="P1210" i="6"/>
  <c r="N1210" i="6"/>
  <c r="L1210" i="6"/>
  <c r="J1210" i="6"/>
  <c r="Q1210" i="6"/>
  <c r="M1210" i="6"/>
  <c r="I1210" i="6"/>
  <c r="O1210" i="6"/>
  <c r="T1212" i="6"/>
  <c r="R1212" i="6"/>
  <c r="P1212" i="6"/>
  <c r="N1212" i="6"/>
  <c r="L1212" i="6"/>
  <c r="J1212" i="6"/>
  <c r="Q1212" i="6"/>
  <c r="M1212" i="6"/>
  <c r="I1212" i="6"/>
  <c r="O1212" i="6"/>
  <c r="T1214" i="6"/>
  <c r="R1214" i="6"/>
  <c r="P1214" i="6"/>
  <c r="N1214" i="6"/>
  <c r="L1214" i="6"/>
  <c r="J1214" i="6"/>
  <c r="Q1214" i="6"/>
  <c r="M1214" i="6"/>
  <c r="I1214" i="6"/>
  <c r="O1214" i="6"/>
  <c r="T1216" i="6"/>
  <c r="R1216" i="6"/>
  <c r="P1216" i="6"/>
  <c r="N1216" i="6"/>
  <c r="L1216" i="6"/>
  <c r="J1216" i="6"/>
  <c r="Q1216" i="6"/>
  <c r="M1216" i="6"/>
  <c r="I1216" i="6"/>
  <c r="O1216" i="6"/>
  <c r="T1218" i="6"/>
  <c r="R1218" i="6"/>
  <c r="P1218" i="6"/>
  <c r="N1218" i="6"/>
  <c r="L1218" i="6"/>
  <c r="J1218" i="6"/>
  <c r="Q1218" i="6"/>
  <c r="M1218" i="6"/>
  <c r="I1218" i="6"/>
  <c r="O1218" i="6"/>
  <c r="T1220" i="6"/>
  <c r="R1220" i="6"/>
  <c r="P1220" i="6"/>
  <c r="N1220" i="6"/>
  <c r="L1220" i="6"/>
  <c r="J1220" i="6"/>
  <c r="Q1220" i="6"/>
  <c r="M1220" i="6"/>
  <c r="I1220" i="6"/>
  <c r="O1220" i="6"/>
  <c r="T1222" i="6"/>
  <c r="R1222" i="6"/>
  <c r="P1222" i="6"/>
  <c r="N1222" i="6"/>
  <c r="L1222" i="6"/>
  <c r="J1222" i="6"/>
  <c r="Q1222" i="6"/>
  <c r="M1222" i="6"/>
  <c r="I1222" i="6"/>
  <c r="O1222" i="6"/>
  <c r="T1224" i="6"/>
  <c r="R1224" i="6"/>
  <c r="P1224" i="6"/>
  <c r="N1224" i="6"/>
  <c r="L1224" i="6"/>
  <c r="J1224" i="6"/>
  <c r="Q1224" i="6"/>
  <c r="M1224" i="6"/>
  <c r="I1224" i="6"/>
  <c r="O1224" i="6"/>
  <c r="T1226" i="6"/>
  <c r="R1226" i="6"/>
  <c r="P1226" i="6"/>
  <c r="N1226" i="6"/>
  <c r="L1226" i="6"/>
  <c r="J1226" i="6"/>
  <c r="Q1226" i="6"/>
  <c r="M1226" i="6"/>
  <c r="I1226" i="6"/>
  <c r="O1226" i="6"/>
  <c r="T1228" i="6"/>
  <c r="R1228" i="6"/>
  <c r="P1228" i="6"/>
  <c r="N1228" i="6"/>
  <c r="L1228" i="6"/>
  <c r="J1228" i="6"/>
  <c r="Q1228" i="6"/>
  <c r="M1228" i="6"/>
  <c r="I1228" i="6"/>
  <c r="O1228" i="6"/>
  <c r="T1230" i="6"/>
  <c r="R1230" i="6"/>
  <c r="P1230" i="6"/>
  <c r="N1230" i="6"/>
  <c r="L1230" i="6"/>
  <c r="J1230" i="6"/>
  <c r="Q1230" i="6"/>
  <c r="M1230" i="6"/>
  <c r="I1230" i="6"/>
  <c r="O1230" i="6"/>
  <c r="T1232" i="6"/>
  <c r="R1232" i="6"/>
  <c r="P1232" i="6"/>
  <c r="N1232" i="6"/>
  <c r="L1232" i="6"/>
  <c r="J1232" i="6"/>
  <c r="Q1232" i="6"/>
  <c r="M1232" i="6"/>
  <c r="I1232" i="6"/>
  <c r="O1232" i="6"/>
  <c r="T1234" i="6"/>
  <c r="R1234" i="6"/>
  <c r="P1234" i="6"/>
  <c r="N1234" i="6"/>
  <c r="L1234" i="6"/>
  <c r="J1234" i="6"/>
  <c r="Q1234" i="6"/>
  <c r="M1234" i="6"/>
  <c r="I1234" i="6"/>
  <c r="O1234" i="6"/>
  <c r="T1236" i="6"/>
  <c r="R1236" i="6"/>
  <c r="P1236" i="6"/>
  <c r="N1236" i="6"/>
  <c r="L1236" i="6"/>
  <c r="J1236" i="6"/>
  <c r="Q1236" i="6"/>
  <c r="M1236" i="6"/>
  <c r="I1236" i="6"/>
  <c r="O1236" i="6"/>
  <c r="T1238" i="6"/>
  <c r="R1238" i="6"/>
  <c r="P1238" i="6"/>
  <c r="N1238" i="6"/>
  <c r="L1238" i="6"/>
  <c r="J1238" i="6"/>
  <c r="Q1238" i="6"/>
  <c r="M1238" i="6"/>
  <c r="I1238" i="6"/>
  <c r="O1238" i="6"/>
  <c r="T1240" i="6"/>
  <c r="R1240" i="6"/>
  <c r="P1240" i="6"/>
  <c r="N1240" i="6"/>
  <c r="L1240" i="6"/>
  <c r="J1240" i="6"/>
  <c r="Q1240" i="6"/>
  <c r="M1240" i="6"/>
  <c r="I1240" i="6"/>
  <c r="O1240" i="6"/>
  <c r="T1242" i="6"/>
  <c r="R1242" i="6"/>
  <c r="P1242" i="6"/>
  <c r="N1242" i="6"/>
  <c r="L1242" i="6"/>
  <c r="J1242" i="6"/>
  <c r="Q1242" i="6"/>
  <c r="M1242" i="6"/>
  <c r="I1242" i="6"/>
  <c r="O1242" i="6"/>
  <c r="T1244" i="6"/>
  <c r="R1244" i="6"/>
  <c r="P1244" i="6"/>
  <c r="N1244" i="6"/>
  <c r="L1244" i="6"/>
  <c r="J1244" i="6"/>
  <c r="Q1244" i="6"/>
  <c r="M1244" i="6"/>
  <c r="I1244" i="6"/>
  <c r="O1244" i="6"/>
  <c r="T1246" i="6"/>
  <c r="R1246" i="6"/>
  <c r="P1246" i="6"/>
  <c r="N1246" i="6"/>
  <c r="L1246" i="6"/>
  <c r="J1246" i="6"/>
  <c r="Q1246" i="6"/>
  <c r="M1246" i="6"/>
  <c r="I1246" i="6"/>
  <c r="O1246" i="6"/>
  <c r="T1248" i="6"/>
  <c r="R1248" i="6"/>
  <c r="P1248" i="6"/>
  <c r="N1248" i="6"/>
  <c r="L1248" i="6"/>
  <c r="J1248" i="6"/>
  <c r="Q1248" i="6"/>
  <c r="M1248" i="6"/>
  <c r="I1248" i="6"/>
  <c r="O1248" i="6"/>
  <c r="T1250" i="6"/>
  <c r="R1250" i="6"/>
  <c r="P1250" i="6"/>
  <c r="N1250" i="6"/>
  <c r="L1250" i="6"/>
  <c r="J1250" i="6"/>
  <c r="Q1250" i="6"/>
  <c r="M1250" i="6"/>
  <c r="I1250" i="6"/>
  <c r="O1250" i="6"/>
  <c r="T1252" i="6"/>
  <c r="R1252" i="6"/>
  <c r="P1252" i="6"/>
  <c r="N1252" i="6"/>
  <c r="L1252" i="6"/>
  <c r="J1252" i="6"/>
  <c r="Q1252" i="6"/>
  <c r="M1252" i="6"/>
  <c r="I1252" i="6"/>
  <c r="O1252" i="6"/>
  <c r="T1254" i="6"/>
  <c r="R1254" i="6"/>
  <c r="P1254" i="6"/>
  <c r="N1254" i="6"/>
  <c r="L1254" i="6"/>
  <c r="J1254" i="6"/>
  <c r="Q1254" i="6"/>
  <c r="M1254" i="6"/>
  <c r="I1254" i="6"/>
  <c r="O1254" i="6"/>
  <c r="T1256" i="6"/>
  <c r="R1256" i="6"/>
  <c r="P1256" i="6"/>
  <c r="N1256" i="6"/>
  <c r="L1256" i="6"/>
  <c r="J1256" i="6"/>
  <c r="Q1256" i="6"/>
  <c r="M1256" i="6"/>
  <c r="I1256" i="6"/>
  <c r="O1256" i="6"/>
  <c r="T1258" i="6"/>
  <c r="R1258" i="6"/>
  <c r="P1258" i="6"/>
  <c r="N1258" i="6"/>
  <c r="L1258" i="6"/>
  <c r="J1258" i="6"/>
  <c r="Q1258" i="6"/>
  <c r="M1258" i="6"/>
  <c r="I1258" i="6"/>
  <c r="O1258" i="6"/>
  <c r="T1260" i="6"/>
  <c r="R1260" i="6"/>
  <c r="P1260" i="6"/>
  <c r="N1260" i="6"/>
  <c r="L1260" i="6"/>
  <c r="J1260" i="6"/>
  <c r="Q1260" i="6"/>
  <c r="M1260" i="6"/>
  <c r="I1260" i="6"/>
  <c r="O1260" i="6"/>
  <c r="T1262" i="6"/>
  <c r="R1262" i="6"/>
  <c r="P1262" i="6"/>
  <c r="N1262" i="6"/>
  <c r="L1262" i="6"/>
  <c r="J1262" i="6"/>
  <c r="Q1262" i="6"/>
  <c r="M1262" i="6"/>
  <c r="I1262" i="6"/>
  <c r="O1262" i="6"/>
  <c r="T1264" i="6"/>
  <c r="R1264" i="6"/>
  <c r="P1264" i="6"/>
  <c r="N1264" i="6"/>
  <c r="L1264" i="6"/>
  <c r="J1264" i="6"/>
  <c r="Q1264" i="6"/>
  <c r="M1264" i="6"/>
  <c r="I1264" i="6"/>
  <c r="O1264" i="6"/>
  <c r="T1266" i="6"/>
  <c r="R1266" i="6"/>
  <c r="P1266" i="6"/>
  <c r="N1266" i="6"/>
  <c r="L1266" i="6"/>
  <c r="J1266" i="6"/>
  <c r="Q1266" i="6"/>
  <c r="M1266" i="6"/>
  <c r="I1266" i="6"/>
  <c r="O1266" i="6"/>
  <c r="T1268" i="6"/>
  <c r="R1268" i="6"/>
  <c r="P1268" i="6"/>
  <c r="N1268" i="6"/>
  <c r="L1268" i="6"/>
  <c r="J1268" i="6"/>
  <c r="Q1268" i="6"/>
  <c r="M1268" i="6"/>
  <c r="I1268" i="6"/>
  <c r="O1268" i="6"/>
  <c r="T1270" i="6"/>
  <c r="R1270" i="6"/>
  <c r="P1270" i="6"/>
  <c r="N1270" i="6"/>
  <c r="L1270" i="6"/>
  <c r="J1270" i="6"/>
  <c r="Q1270" i="6"/>
  <c r="M1270" i="6"/>
  <c r="I1270" i="6"/>
  <c r="O1270" i="6"/>
  <c r="T1272" i="6"/>
  <c r="R1272" i="6"/>
  <c r="P1272" i="6"/>
  <c r="N1272" i="6"/>
  <c r="L1272" i="6"/>
  <c r="J1272" i="6"/>
  <c r="Q1272" i="6"/>
  <c r="M1272" i="6"/>
  <c r="I1272" i="6"/>
  <c r="O1272" i="6"/>
  <c r="T1274" i="6"/>
  <c r="R1274" i="6"/>
  <c r="P1274" i="6"/>
  <c r="N1274" i="6"/>
  <c r="L1274" i="6"/>
  <c r="J1274" i="6"/>
  <c r="Q1274" i="6"/>
  <c r="M1274" i="6"/>
  <c r="I1274" i="6"/>
  <c r="O1274" i="6"/>
  <c r="T1276" i="6"/>
  <c r="R1276" i="6"/>
  <c r="P1276" i="6"/>
  <c r="N1276" i="6"/>
  <c r="L1276" i="6"/>
  <c r="J1276" i="6"/>
  <c r="Q1276" i="6"/>
  <c r="M1276" i="6"/>
  <c r="I1276" i="6"/>
  <c r="O1276" i="6"/>
  <c r="T1278" i="6"/>
  <c r="R1278" i="6"/>
  <c r="P1278" i="6"/>
  <c r="N1278" i="6"/>
  <c r="L1278" i="6"/>
  <c r="J1278" i="6"/>
  <c r="Q1278" i="6"/>
  <c r="M1278" i="6"/>
  <c r="I1278" i="6"/>
  <c r="O1278" i="6"/>
  <c r="T1280" i="6"/>
  <c r="R1280" i="6"/>
  <c r="P1280" i="6"/>
  <c r="N1280" i="6"/>
  <c r="L1280" i="6"/>
  <c r="J1280" i="6"/>
  <c r="Q1280" i="6"/>
  <c r="M1280" i="6"/>
  <c r="I1280" i="6"/>
  <c r="O1280" i="6"/>
  <c r="T1282" i="6"/>
  <c r="R1282" i="6"/>
  <c r="P1282" i="6"/>
  <c r="N1282" i="6"/>
  <c r="L1282" i="6"/>
  <c r="J1282" i="6"/>
  <c r="Q1282" i="6"/>
  <c r="M1282" i="6"/>
  <c r="I1282" i="6"/>
  <c r="O1282" i="6"/>
  <c r="T1284" i="6"/>
  <c r="R1284" i="6"/>
  <c r="P1284" i="6"/>
  <c r="N1284" i="6"/>
  <c r="L1284" i="6"/>
  <c r="J1284" i="6"/>
  <c r="Q1284" i="6"/>
  <c r="M1284" i="6"/>
  <c r="I1284" i="6"/>
  <c r="O1284" i="6"/>
  <c r="T1286" i="6"/>
  <c r="R1286" i="6"/>
  <c r="P1286" i="6"/>
  <c r="N1286" i="6"/>
  <c r="L1286" i="6"/>
  <c r="J1286" i="6"/>
  <c r="Q1286" i="6"/>
  <c r="M1286" i="6"/>
  <c r="I1286" i="6"/>
  <c r="O1286" i="6"/>
  <c r="T1288" i="6"/>
  <c r="R1288" i="6"/>
  <c r="P1288" i="6"/>
  <c r="N1288" i="6"/>
  <c r="L1288" i="6"/>
  <c r="J1288" i="6"/>
  <c r="Q1288" i="6"/>
  <c r="M1288" i="6"/>
  <c r="I1288" i="6"/>
  <c r="O1288" i="6"/>
  <c r="T1290" i="6"/>
  <c r="R1290" i="6"/>
  <c r="P1290" i="6"/>
  <c r="N1290" i="6"/>
  <c r="L1290" i="6"/>
  <c r="J1290" i="6"/>
  <c r="Q1290" i="6"/>
  <c r="M1290" i="6"/>
  <c r="I1290" i="6"/>
  <c r="O1290" i="6"/>
  <c r="T1292" i="6"/>
  <c r="R1292" i="6"/>
  <c r="P1292" i="6"/>
  <c r="N1292" i="6"/>
  <c r="L1292" i="6"/>
  <c r="J1292" i="6"/>
  <c r="Q1292" i="6"/>
  <c r="M1292" i="6"/>
  <c r="I1292" i="6"/>
  <c r="O1292" i="6"/>
  <c r="T1294" i="6"/>
  <c r="R1294" i="6"/>
  <c r="P1294" i="6"/>
  <c r="N1294" i="6"/>
  <c r="L1294" i="6"/>
  <c r="J1294" i="6"/>
  <c r="Q1294" i="6"/>
  <c r="M1294" i="6"/>
  <c r="I1294" i="6"/>
  <c r="O1294" i="6"/>
  <c r="T1296" i="6"/>
  <c r="R1296" i="6"/>
  <c r="P1296" i="6"/>
  <c r="N1296" i="6"/>
  <c r="L1296" i="6"/>
  <c r="J1296" i="6"/>
  <c r="Q1296" i="6"/>
  <c r="M1296" i="6"/>
  <c r="I1296" i="6"/>
  <c r="O1296" i="6"/>
  <c r="T1298" i="6"/>
  <c r="R1298" i="6"/>
  <c r="P1298" i="6"/>
  <c r="N1298" i="6"/>
  <c r="L1298" i="6"/>
  <c r="J1298" i="6"/>
  <c r="Q1298" i="6"/>
  <c r="M1298" i="6"/>
  <c r="I1298" i="6"/>
  <c r="O1298" i="6"/>
  <c r="T1300" i="6"/>
  <c r="R1300" i="6"/>
  <c r="P1300" i="6"/>
  <c r="N1300" i="6"/>
  <c r="L1300" i="6"/>
  <c r="J1300" i="6"/>
  <c r="Q1300" i="6"/>
  <c r="M1300" i="6"/>
  <c r="I1300" i="6"/>
  <c r="O1300" i="6"/>
  <c r="T1302" i="6"/>
  <c r="R1302" i="6"/>
  <c r="P1302" i="6"/>
  <c r="N1302" i="6"/>
  <c r="L1302" i="6"/>
  <c r="J1302" i="6"/>
  <c r="Q1302" i="6"/>
  <c r="M1302" i="6"/>
  <c r="I1302" i="6"/>
  <c r="O1302" i="6"/>
  <c r="T1304" i="6"/>
  <c r="R1304" i="6"/>
  <c r="P1304" i="6"/>
  <c r="N1304" i="6"/>
  <c r="L1304" i="6"/>
  <c r="J1304" i="6"/>
  <c r="Q1304" i="6"/>
  <c r="M1304" i="6"/>
  <c r="I1304" i="6"/>
  <c r="O1304" i="6"/>
  <c r="T1306" i="6"/>
  <c r="R1306" i="6"/>
  <c r="P1306" i="6"/>
  <c r="N1306" i="6"/>
  <c r="L1306" i="6"/>
  <c r="J1306" i="6"/>
  <c r="Q1306" i="6"/>
  <c r="M1306" i="6"/>
  <c r="I1306" i="6"/>
  <c r="O1306" i="6"/>
  <c r="T1308" i="6"/>
  <c r="R1308" i="6"/>
  <c r="P1308" i="6"/>
  <c r="N1308" i="6"/>
  <c r="L1308" i="6"/>
  <c r="J1308" i="6"/>
  <c r="Q1308" i="6"/>
  <c r="M1308" i="6"/>
  <c r="I1308" i="6"/>
  <c r="O1308" i="6"/>
  <c r="T1310" i="6"/>
  <c r="R1310" i="6"/>
  <c r="P1310" i="6"/>
  <c r="N1310" i="6"/>
  <c r="L1310" i="6"/>
  <c r="J1310" i="6"/>
  <c r="Q1310" i="6"/>
  <c r="M1310" i="6"/>
  <c r="I1310" i="6"/>
  <c r="O1310" i="6"/>
  <c r="T1312" i="6"/>
  <c r="R1312" i="6"/>
  <c r="P1312" i="6"/>
  <c r="N1312" i="6"/>
  <c r="L1312" i="6"/>
  <c r="J1312" i="6"/>
  <c r="Q1312" i="6"/>
  <c r="M1312" i="6"/>
  <c r="I1312" i="6"/>
  <c r="O1312" i="6"/>
  <c r="T1314" i="6"/>
  <c r="R1314" i="6"/>
  <c r="P1314" i="6"/>
  <c r="N1314" i="6"/>
  <c r="L1314" i="6"/>
  <c r="J1314" i="6"/>
  <c r="Q1314" i="6"/>
  <c r="M1314" i="6"/>
  <c r="I1314" i="6"/>
  <c r="O1314" i="6"/>
  <c r="T1316" i="6"/>
  <c r="R1316" i="6"/>
  <c r="P1316" i="6"/>
  <c r="N1316" i="6"/>
  <c r="L1316" i="6"/>
  <c r="J1316" i="6"/>
  <c r="Q1316" i="6"/>
  <c r="M1316" i="6"/>
  <c r="I1316" i="6"/>
  <c r="O1316" i="6"/>
  <c r="T1318" i="6"/>
  <c r="R1318" i="6"/>
  <c r="P1318" i="6"/>
  <c r="N1318" i="6"/>
  <c r="L1318" i="6"/>
  <c r="J1318" i="6"/>
  <c r="Q1318" i="6"/>
  <c r="M1318" i="6"/>
  <c r="I1318" i="6"/>
  <c r="O1318" i="6"/>
  <c r="T1320" i="6"/>
  <c r="R1320" i="6"/>
  <c r="P1320" i="6"/>
  <c r="N1320" i="6"/>
  <c r="L1320" i="6"/>
  <c r="J1320" i="6"/>
  <c r="Q1320" i="6"/>
  <c r="M1320" i="6"/>
  <c r="I1320" i="6"/>
  <c r="O1320" i="6"/>
  <c r="T1322" i="6"/>
  <c r="R1322" i="6"/>
  <c r="P1322" i="6"/>
  <c r="N1322" i="6"/>
  <c r="L1322" i="6"/>
  <c r="J1322" i="6"/>
  <c r="Q1322" i="6"/>
  <c r="M1322" i="6"/>
  <c r="I1322" i="6"/>
  <c r="O1322" i="6"/>
  <c r="T1324" i="6"/>
  <c r="R1324" i="6"/>
  <c r="P1324" i="6"/>
  <c r="N1324" i="6"/>
  <c r="L1324" i="6"/>
  <c r="J1324" i="6"/>
  <c r="Q1324" i="6"/>
  <c r="M1324" i="6"/>
  <c r="I1324" i="6"/>
  <c r="O1324" i="6"/>
  <c r="T1326" i="6"/>
  <c r="R1326" i="6"/>
  <c r="P1326" i="6"/>
  <c r="N1326" i="6"/>
  <c r="L1326" i="6"/>
  <c r="J1326" i="6"/>
  <c r="Q1326" i="6"/>
  <c r="M1326" i="6"/>
  <c r="I1326" i="6"/>
  <c r="O1326" i="6"/>
  <c r="T1328" i="6"/>
  <c r="R1328" i="6"/>
  <c r="P1328" i="6"/>
  <c r="N1328" i="6"/>
  <c r="L1328" i="6"/>
  <c r="J1328" i="6"/>
  <c r="Q1328" i="6"/>
  <c r="M1328" i="6"/>
  <c r="I1328" i="6"/>
  <c r="O1328" i="6"/>
  <c r="T1330" i="6"/>
  <c r="R1330" i="6"/>
  <c r="P1330" i="6"/>
  <c r="N1330" i="6"/>
  <c r="L1330" i="6"/>
  <c r="J1330" i="6"/>
  <c r="Q1330" i="6"/>
  <c r="M1330" i="6"/>
  <c r="I1330" i="6"/>
  <c r="O1330" i="6"/>
  <c r="T1332" i="6"/>
  <c r="R1332" i="6"/>
  <c r="P1332" i="6"/>
  <c r="N1332" i="6"/>
  <c r="L1332" i="6"/>
  <c r="J1332" i="6"/>
  <c r="Q1332" i="6"/>
  <c r="M1332" i="6"/>
  <c r="I1332" i="6"/>
  <c r="O1332" i="6"/>
  <c r="T1334" i="6"/>
  <c r="R1334" i="6"/>
  <c r="P1334" i="6"/>
  <c r="N1334" i="6"/>
  <c r="L1334" i="6"/>
  <c r="J1334" i="6"/>
  <c r="Q1334" i="6"/>
  <c r="M1334" i="6"/>
  <c r="I1334" i="6"/>
  <c r="O1334" i="6"/>
  <c r="T1336" i="6"/>
  <c r="R1336" i="6"/>
  <c r="P1336" i="6"/>
  <c r="N1336" i="6"/>
  <c r="L1336" i="6"/>
  <c r="J1336" i="6"/>
  <c r="Q1336" i="6"/>
  <c r="M1336" i="6"/>
  <c r="I1336" i="6"/>
  <c r="O1336" i="6"/>
  <c r="T1338" i="6"/>
  <c r="R1338" i="6"/>
  <c r="P1338" i="6"/>
  <c r="N1338" i="6"/>
  <c r="L1338" i="6"/>
  <c r="J1338" i="6"/>
  <c r="Q1338" i="6"/>
  <c r="M1338" i="6"/>
  <c r="I1338" i="6"/>
  <c r="O1338" i="6"/>
  <c r="T1340" i="6"/>
  <c r="R1340" i="6"/>
  <c r="P1340" i="6"/>
  <c r="N1340" i="6"/>
  <c r="L1340" i="6"/>
  <c r="J1340" i="6"/>
  <c r="Q1340" i="6"/>
  <c r="M1340" i="6"/>
  <c r="I1340" i="6"/>
  <c r="O1340" i="6"/>
  <c r="T1342" i="6"/>
  <c r="R1342" i="6"/>
  <c r="P1342" i="6"/>
  <c r="N1342" i="6"/>
  <c r="L1342" i="6"/>
  <c r="J1342" i="6"/>
  <c r="Q1342" i="6"/>
  <c r="M1342" i="6"/>
  <c r="I1342" i="6"/>
  <c r="O1342" i="6"/>
  <c r="T1344" i="6"/>
  <c r="R1344" i="6"/>
  <c r="P1344" i="6"/>
  <c r="N1344" i="6"/>
  <c r="L1344" i="6"/>
  <c r="J1344" i="6"/>
  <c r="Q1344" i="6"/>
  <c r="M1344" i="6"/>
  <c r="I1344" i="6"/>
  <c r="O1344" i="6"/>
  <c r="T1346" i="6"/>
  <c r="R1346" i="6"/>
  <c r="P1346" i="6"/>
  <c r="N1346" i="6"/>
  <c r="L1346" i="6"/>
  <c r="J1346" i="6"/>
  <c r="Q1346" i="6"/>
  <c r="M1346" i="6"/>
  <c r="I1346" i="6"/>
  <c r="O1346" i="6"/>
  <c r="Q1348" i="6"/>
  <c r="Q1352" i="6"/>
  <c r="Q1356" i="6"/>
  <c r="Q1360" i="6"/>
  <c r="Q1364" i="6"/>
  <c r="J1044" i="6"/>
  <c r="N1044" i="6"/>
  <c r="R1044" i="6"/>
  <c r="J1045" i="6"/>
  <c r="N1045" i="6"/>
  <c r="R1045" i="6"/>
  <c r="J1046" i="6"/>
  <c r="N1046" i="6"/>
  <c r="R1046" i="6"/>
  <c r="J1047" i="6"/>
  <c r="N1047" i="6"/>
  <c r="R1047" i="6"/>
  <c r="J1048" i="6"/>
  <c r="N1048" i="6"/>
  <c r="R1048" i="6"/>
  <c r="J1049" i="6"/>
  <c r="N1049" i="6"/>
  <c r="R1049" i="6"/>
  <c r="J1050" i="6"/>
  <c r="N1050" i="6"/>
  <c r="R1050" i="6"/>
  <c r="J1051" i="6"/>
  <c r="N1051" i="6"/>
  <c r="R1051" i="6"/>
  <c r="J1052" i="6"/>
  <c r="N1052" i="6"/>
  <c r="R1052" i="6"/>
  <c r="J1053" i="6"/>
  <c r="N1053" i="6"/>
  <c r="R1053" i="6"/>
  <c r="J1054" i="6"/>
  <c r="N1054" i="6"/>
  <c r="R1054" i="6"/>
  <c r="J1055" i="6"/>
  <c r="N1055" i="6"/>
  <c r="R1055" i="6"/>
  <c r="J1056" i="6"/>
  <c r="N1056" i="6"/>
  <c r="R1056" i="6"/>
  <c r="J1057" i="6"/>
  <c r="N1057" i="6"/>
  <c r="R1057" i="6"/>
  <c r="J1058" i="6"/>
  <c r="N1058" i="6"/>
  <c r="R1058" i="6"/>
  <c r="J1059" i="6"/>
  <c r="N1059" i="6"/>
  <c r="R1059" i="6"/>
  <c r="J1060" i="6"/>
  <c r="N1060" i="6"/>
  <c r="R1060" i="6"/>
  <c r="J1061" i="6"/>
  <c r="N1061" i="6"/>
  <c r="R1061" i="6"/>
  <c r="J1062" i="6"/>
  <c r="N1062" i="6"/>
  <c r="R1062" i="6"/>
  <c r="J1063" i="6"/>
  <c r="N1063" i="6"/>
  <c r="R1063" i="6"/>
  <c r="J1064" i="6"/>
  <c r="N1064" i="6"/>
  <c r="R1064" i="6"/>
  <c r="J1065" i="6"/>
  <c r="N1065" i="6"/>
  <c r="R1065" i="6"/>
  <c r="J1066" i="6"/>
  <c r="N1066" i="6"/>
  <c r="R1066" i="6"/>
  <c r="J1067" i="6"/>
  <c r="N1067" i="6"/>
  <c r="R1067" i="6"/>
  <c r="J1068" i="6"/>
  <c r="N1068" i="6"/>
  <c r="R1068" i="6"/>
  <c r="J1069" i="6"/>
  <c r="N1069" i="6"/>
  <c r="R1069" i="6"/>
  <c r="J1070" i="6"/>
  <c r="N1070" i="6"/>
  <c r="R1070" i="6"/>
  <c r="J1071" i="6"/>
  <c r="N1071" i="6"/>
  <c r="R1071" i="6"/>
  <c r="J1072" i="6"/>
  <c r="N1072" i="6"/>
  <c r="R1072" i="6"/>
  <c r="J1073" i="6"/>
  <c r="N1073" i="6"/>
  <c r="R1073" i="6"/>
  <c r="J1074" i="6"/>
  <c r="N1074" i="6"/>
  <c r="R1074" i="6"/>
  <c r="J1075" i="6"/>
  <c r="N1075" i="6"/>
  <c r="R1075" i="6"/>
  <c r="J1076" i="6"/>
  <c r="N1076" i="6"/>
  <c r="R1076" i="6"/>
  <c r="J1077" i="6"/>
  <c r="N1077" i="6"/>
  <c r="R1077" i="6"/>
  <c r="J1078" i="6"/>
  <c r="N1078" i="6"/>
  <c r="R1078" i="6"/>
  <c r="J1079" i="6"/>
  <c r="N1079" i="6"/>
  <c r="R1079" i="6"/>
  <c r="J1080" i="6"/>
  <c r="N1080" i="6"/>
  <c r="R1080" i="6"/>
  <c r="J1081" i="6"/>
  <c r="N1081" i="6"/>
  <c r="R1081" i="6"/>
  <c r="J1082" i="6"/>
  <c r="N1082" i="6"/>
  <c r="R1082" i="6"/>
  <c r="J1083" i="6"/>
  <c r="N1083" i="6"/>
  <c r="R1083" i="6"/>
  <c r="J1084" i="6"/>
  <c r="N1084" i="6"/>
  <c r="R1084" i="6"/>
  <c r="J1085" i="6"/>
  <c r="N1085" i="6"/>
  <c r="R1085" i="6"/>
  <c r="J1086" i="6"/>
  <c r="N1086" i="6"/>
  <c r="R1086" i="6"/>
  <c r="J1087" i="6"/>
  <c r="N1087" i="6"/>
  <c r="R1087" i="6"/>
  <c r="J1088" i="6"/>
  <c r="N1088" i="6"/>
  <c r="R1088" i="6"/>
  <c r="J1089" i="6"/>
  <c r="N1089" i="6"/>
  <c r="R1089" i="6"/>
  <c r="K1090" i="6"/>
  <c r="S1090" i="6"/>
  <c r="K1092" i="6"/>
  <c r="S1092" i="6"/>
  <c r="K1094" i="6"/>
  <c r="S1094" i="6"/>
  <c r="K1096" i="6"/>
  <c r="S1096" i="6"/>
  <c r="K1098" i="6"/>
  <c r="S1098" i="6"/>
  <c r="K1100" i="6"/>
  <c r="S1100" i="6"/>
  <c r="K1102" i="6"/>
  <c r="S1102" i="6"/>
  <c r="K1104" i="6"/>
  <c r="S1104" i="6"/>
  <c r="K1106" i="6"/>
  <c r="S1106" i="6"/>
  <c r="K1108" i="6"/>
  <c r="S1108" i="6"/>
  <c r="K1110" i="6"/>
  <c r="S1110" i="6"/>
  <c r="K1112" i="6"/>
  <c r="S1112" i="6"/>
  <c r="K1114" i="6"/>
  <c r="S1114" i="6"/>
  <c r="K1116" i="6"/>
  <c r="S1116" i="6"/>
  <c r="K1118" i="6"/>
  <c r="S1118" i="6"/>
  <c r="K1120" i="6"/>
  <c r="S1120" i="6"/>
  <c r="K1122" i="6"/>
  <c r="S1122" i="6"/>
  <c r="K1124" i="6"/>
  <c r="S1124" i="6"/>
  <c r="K1126" i="6"/>
  <c r="S1126" i="6"/>
  <c r="K1128" i="6"/>
  <c r="S1128" i="6"/>
  <c r="K1130" i="6"/>
  <c r="S1130" i="6"/>
  <c r="K1132" i="6"/>
  <c r="S1132" i="6"/>
  <c r="K1134" i="6"/>
  <c r="S1134" i="6"/>
  <c r="K1136" i="6"/>
  <c r="S1136" i="6"/>
  <c r="K1138" i="6"/>
  <c r="S1138" i="6"/>
  <c r="K1140" i="6"/>
  <c r="S1140" i="6"/>
  <c r="K1142" i="6"/>
  <c r="S1142" i="6"/>
  <c r="K1144" i="6"/>
  <c r="S1144" i="6"/>
  <c r="K1146" i="6"/>
  <c r="S1146" i="6"/>
  <c r="K1148" i="6"/>
  <c r="S1148" i="6"/>
  <c r="K1150" i="6"/>
  <c r="S1150" i="6"/>
  <c r="K1152" i="6"/>
  <c r="S1152" i="6"/>
  <c r="K1154" i="6"/>
  <c r="S1154" i="6"/>
  <c r="K1156" i="6"/>
  <c r="S1156" i="6"/>
  <c r="K1158" i="6"/>
  <c r="S1158" i="6"/>
  <c r="K1160" i="6"/>
  <c r="S1160" i="6"/>
  <c r="K1162" i="6"/>
  <c r="S1162" i="6"/>
  <c r="K1164" i="6"/>
  <c r="S1164" i="6"/>
  <c r="K1166" i="6"/>
  <c r="S1166" i="6"/>
  <c r="K1168" i="6"/>
  <c r="S1168" i="6"/>
  <c r="K1170" i="6"/>
  <c r="S1170" i="6"/>
  <c r="K1172" i="6"/>
  <c r="S1172" i="6"/>
  <c r="K1174" i="6"/>
  <c r="S1174" i="6"/>
  <c r="K1176" i="6"/>
  <c r="S1176" i="6"/>
  <c r="K1178" i="6"/>
  <c r="S1178" i="6"/>
  <c r="K1180" i="6"/>
  <c r="S1180" i="6"/>
  <c r="K1182" i="6"/>
  <c r="S1182" i="6"/>
  <c r="K1184" i="6"/>
  <c r="S1184" i="6"/>
  <c r="K1186" i="6"/>
  <c r="S1186" i="6"/>
  <c r="K1188" i="6"/>
  <c r="S1188" i="6"/>
  <c r="K1190" i="6"/>
  <c r="S1190" i="6"/>
  <c r="K1192" i="6"/>
  <c r="S1192" i="6"/>
  <c r="K1194" i="6"/>
  <c r="S1194" i="6"/>
  <c r="K1196" i="6"/>
  <c r="S1196" i="6"/>
  <c r="K1198" i="6"/>
  <c r="S1198" i="6"/>
  <c r="K1200" i="6"/>
  <c r="S1200" i="6"/>
  <c r="K1202" i="6"/>
  <c r="S1202" i="6"/>
  <c r="K1204" i="6"/>
  <c r="S1204" i="6"/>
  <c r="K1206" i="6"/>
  <c r="S1206" i="6"/>
  <c r="K1208" i="6"/>
  <c r="S1208" i="6"/>
  <c r="K1210" i="6"/>
  <c r="S1210" i="6"/>
  <c r="K1212" i="6"/>
  <c r="S1212" i="6"/>
  <c r="K1214" i="6"/>
  <c r="S1214" i="6"/>
  <c r="K1216" i="6"/>
  <c r="S1216" i="6"/>
  <c r="K1218" i="6"/>
  <c r="S1218" i="6"/>
  <c r="K1220" i="6"/>
  <c r="S1220" i="6"/>
  <c r="K1222" i="6"/>
  <c r="S1222" i="6"/>
  <c r="K1224" i="6"/>
  <c r="S1224" i="6"/>
  <c r="K1226" i="6"/>
  <c r="S1226" i="6"/>
  <c r="K1228" i="6"/>
  <c r="S1228" i="6"/>
  <c r="K1230" i="6"/>
  <c r="S1230" i="6"/>
  <c r="K1232" i="6"/>
  <c r="S1232" i="6"/>
  <c r="K1234" i="6"/>
  <c r="S1234" i="6"/>
  <c r="K1236" i="6"/>
  <c r="S1236" i="6"/>
  <c r="K1238" i="6"/>
  <c r="S1238" i="6"/>
  <c r="K1240" i="6"/>
  <c r="S1240" i="6"/>
  <c r="K1242" i="6"/>
  <c r="S1242" i="6"/>
  <c r="K1244" i="6"/>
  <c r="S1244" i="6"/>
  <c r="K1246" i="6"/>
  <c r="S1246" i="6"/>
  <c r="K1248" i="6"/>
  <c r="S1248" i="6"/>
  <c r="K1250" i="6"/>
  <c r="S1250" i="6"/>
  <c r="K1252" i="6"/>
  <c r="S1252" i="6"/>
  <c r="K1254" i="6"/>
  <c r="S1254" i="6"/>
  <c r="K1256" i="6"/>
  <c r="S1256" i="6"/>
  <c r="K1258" i="6"/>
  <c r="S1258" i="6"/>
  <c r="K1260" i="6"/>
  <c r="S1260" i="6"/>
  <c r="K1262" i="6"/>
  <c r="S1262" i="6"/>
  <c r="K1264" i="6"/>
  <c r="S1264" i="6"/>
  <c r="K1266" i="6"/>
  <c r="S1266" i="6"/>
  <c r="K1268" i="6"/>
  <c r="S1268" i="6"/>
  <c r="K1270" i="6"/>
  <c r="S1270" i="6"/>
  <c r="K1272" i="6"/>
  <c r="S1272" i="6"/>
  <c r="K1274" i="6"/>
  <c r="S1274" i="6"/>
  <c r="K1276" i="6"/>
  <c r="S1276" i="6"/>
  <c r="K1278" i="6"/>
  <c r="S1278" i="6"/>
  <c r="K1280" i="6"/>
  <c r="S1280" i="6"/>
  <c r="K1282" i="6"/>
  <c r="S1282" i="6"/>
  <c r="K1284" i="6"/>
  <c r="S1284" i="6"/>
  <c r="K1286" i="6"/>
  <c r="S1286" i="6"/>
  <c r="K1288" i="6"/>
  <c r="S1288" i="6"/>
  <c r="K1290" i="6"/>
  <c r="S1290" i="6"/>
  <c r="K1292" i="6"/>
  <c r="S1292" i="6"/>
  <c r="K1294" i="6"/>
  <c r="S1294" i="6"/>
  <c r="K1296" i="6"/>
  <c r="S1296" i="6"/>
  <c r="K1298" i="6"/>
  <c r="S1298" i="6"/>
  <c r="K1300" i="6"/>
  <c r="S1300" i="6"/>
  <c r="K1302" i="6"/>
  <c r="S1302" i="6"/>
  <c r="K1304" i="6"/>
  <c r="S1304" i="6"/>
  <c r="K1306" i="6"/>
  <c r="S1306" i="6"/>
  <c r="K1308" i="6"/>
  <c r="S1308" i="6"/>
  <c r="K1310" i="6"/>
  <c r="S1310" i="6"/>
  <c r="K1312" i="6"/>
  <c r="S1312" i="6"/>
  <c r="K1314" i="6"/>
  <c r="S1314" i="6"/>
  <c r="K1316" i="6"/>
  <c r="S1316" i="6"/>
  <c r="K1318" i="6"/>
  <c r="S1318" i="6"/>
  <c r="K1320" i="6"/>
  <c r="S1320" i="6"/>
  <c r="K1322" i="6"/>
  <c r="S1322" i="6"/>
  <c r="K1324" i="6"/>
  <c r="S1324" i="6"/>
  <c r="K1326" i="6"/>
  <c r="S1326" i="6"/>
  <c r="K1328" i="6"/>
  <c r="S1328" i="6"/>
  <c r="K1330" i="6"/>
  <c r="S1330" i="6"/>
  <c r="K1332" i="6"/>
  <c r="S1332" i="6"/>
  <c r="K1334" i="6"/>
  <c r="S1334" i="6"/>
  <c r="K1336" i="6"/>
  <c r="S1336" i="6"/>
  <c r="K1338" i="6"/>
  <c r="S1338" i="6"/>
  <c r="K1340" i="6"/>
  <c r="S1340" i="6"/>
  <c r="K1342" i="6"/>
  <c r="S1342" i="6"/>
  <c r="K1344" i="6"/>
  <c r="S1344" i="6"/>
  <c r="K1346" i="6"/>
  <c r="S1346" i="6"/>
  <c r="Q1350" i="6"/>
  <c r="Q1354" i="6"/>
  <c r="Q1358" i="6"/>
  <c r="Q1362" i="6"/>
  <c r="T1091" i="6"/>
  <c r="R1091" i="6"/>
  <c r="P1091" i="6"/>
  <c r="N1091" i="6"/>
  <c r="L1091" i="6"/>
  <c r="J1091" i="6"/>
  <c r="K1091" i="6"/>
  <c r="O1091" i="6"/>
  <c r="S1091" i="6"/>
  <c r="T1093" i="6"/>
  <c r="R1093" i="6"/>
  <c r="P1093" i="6"/>
  <c r="N1093" i="6"/>
  <c r="L1093" i="6"/>
  <c r="J1093" i="6"/>
  <c r="K1093" i="6"/>
  <c r="O1093" i="6"/>
  <c r="S1093" i="6"/>
  <c r="T1095" i="6"/>
  <c r="R1095" i="6"/>
  <c r="P1095" i="6"/>
  <c r="N1095" i="6"/>
  <c r="L1095" i="6"/>
  <c r="J1095" i="6"/>
  <c r="K1095" i="6"/>
  <c r="O1095" i="6"/>
  <c r="S1095" i="6"/>
  <c r="T1097" i="6"/>
  <c r="R1097" i="6"/>
  <c r="P1097" i="6"/>
  <c r="N1097" i="6"/>
  <c r="L1097" i="6"/>
  <c r="J1097" i="6"/>
  <c r="K1097" i="6"/>
  <c r="O1097" i="6"/>
  <c r="S1097" i="6"/>
  <c r="T1099" i="6"/>
  <c r="R1099" i="6"/>
  <c r="P1099" i="6"/>
  <c r="N1099" i="6"/>
  <c r="L1099" i="6"/>
  <c r="J1099" i="6"/>
  <c r="K1099" i="6"/>
  <c r="O1099" i="6"/>
  <c r="S1099" i="6"/>
  <c r="T1101" i="6"/>
  <c r="R1101" i="6"/>
  <c r="P1101" i="6"/>
  <c r="N1101" i="6"/>
  <c r="L1101" i="6"/>
  <c r="J1101" i="6"/>
  <c r="K1101" i="6"/>
  <c r="O1101" i="6"/>
  <c r="S1101" i="6"/>
  <c r="T1103" i="6"/>
  <c r="R1103" i="6"/>
  <c r="P1103" i="6"/>
  <c r="N1103" i="6"/>
  <c r="L1103" i="6"/>
  <c r="J1103" i="6"/>
  <c r="K1103" i="6"/>
  <c r="O1103" i="6"/>
  <c r="S1103" i="6"/>
  <c r="T1105" i="6"/>
  <c r="R1105" i="6"/>
  <c r="P1105" i="6"/>
  <c r="N1105" i="6"/>
  <c r="L1105" i="6"/>
  <c r="J1105" i="6"/>
  <c r="K1105" i="6"/>
  <c r="O1105" i="6"/>
  <c r="S1105" i="6"/>
  <c r="T1107" i="6"/>
  <c r="R1107" i="6"/>
  <c r="P1107" i="6"/>
  <c r="N1107" i="6"/>
  <c r="L1107" i="6"/>
  <c r="J1107" i="6"/>
  <c r="K1107" i="6"/>
  <c r="O1107" i="6"/>
  <c r="S1107" i="6"/>
  <c r="T1109" i="6"/>
  <c r="R1109" i="6"/>
  <c r="P1109" i="6"/>
  <c r="N1109" i="6"/>
  <c r="L1109" i="6"/>
  <c r="J1109" i="6"/>
  <c r="K1109" i="6"/>
  <c r="O1109" i="6"/>
  <c r="S1109" i="6"/>
  <c r="T1111" i="6"/>
  <c r="R1111" i="6"/>
  <c r="P1111" i="6"/>
  <c r="N1111" i="6"/>
  <c r="L1111" i="6"/>
  <c r="J1111" i="6"/>
  <c r="K1111" i="6"/>
  <c r="O1111" i="6"/>
  <c r="S1111" i="6"/>
  <c r="T1113" i="6"/>
  <c r="R1113" i="6"/>
  <c r="P1113" i="6"/>
  <c r="N1113" i="6"/>
  <c r="L1113" i="6"/>
  <c r="J1113" i="6"/>
  <c r="K1113" i="6"/>
  <c r="O1113" i="6"/>
  <c r="S1113" i="6"/>
  <c r="T1115" i="6"/>
  <c r="R1115" i="6"/>
  <c r="P1115" i="6"/>
  <c r="N1115" i="6"/>
  <c r="L1115" i="6"/>
  <c r="J1115" i="6"/>
  <c r="K1115" i="6"/>
  <c r="O1115" i="6"/>
  <c r="S1115" i="6"/>
  <c r="T1117" i="6"/>
  <c r="R1117" i="6"/>
  <c r="P1117" i="6"/>
  <c r="N1117" i="6"/>
  <c r="L1117" i="6"/>
  <c r="J1117" i="6"/>
  <c r="K1117" i="6"/>
  <c r="O1117" i="6"/>
  <c r="S1117" i="6"/>
  <c r="T1119" i="6"/>
  <c r="R1119" i="6"/>
  <c r="P1119" i="6"/>
  <c r="N1119" i="6"/>
  <c r="L1119" i="6"/>
  <c r="J1119" i="6"/>
  <c r="K1119" i="6"/>
  <c r="O1119" i="6"/>
  <c r="S1119" i="6"/>
  <c r="T1121" i="6"/>
  <c r="R1121" i="6"/>
  <c r="P1121" i="6"/>
  <c r="N1121" i="6"/>
  <c r="L1121" i="6"/>
  <c r="J1121" i="6"/>
  <c r="K1121" i="6"/>
  <c r="O1121" i="6"/>
  <c r="S1121" i="6"/>
  <c r="T1123" i="6"/>
  <c r="R1123" i="6"/>
  <c r="P1123" i="6"/>
  <c r="N1123" i="6"/>
  <c r="L1123" i="6"/>
  <c r="J1123" i="6"/>
  <c r="K1123" i="6"/>
  <c r="O1123" i="6"/>
  <c r="S1123" i="6"/>
  <c r="T1125" i="6"/>
  <c r="R1125" i="6"/>
  <c r="P1125" i="6"/>
  <c r="N1125" i="6"/>
  <c r="L1125" i="6"/>
  <c r="J1125" i="6"/>
  <c r="K1125" i="6"/>
  <c r="O1125" i="6"/>
  <c r="S1125" i="6"/>
  <c r="T1127" i="6"/>
  <c r="R1127" i="6"/>
  <c r="P1127" i="6"/>
  <c r="N1127" i="6"/>
  <c r="L1127" i="6"/>
  <c r="J1127" i="6"/>
  <c r="K1127" i="6"/>
  <c r="O1127" i="6"/>
  <c r="S1127" i="6"/>
  <c r="T1129" i="6"/>
  <c r="R1129" i="6"/>
  <c r="P1129" i="6"/>
  <c r="N1129" i="6"/>
  <c r="L1129" i="6"/>
  <c r="J1129" i="6"/>
  <c r="K1129" i="6"/>
  <c r="O1129" i="6"/>
  <c r="S1129" i="6"/>
  <c r="T1131" i="6"/>
  <c r="R1131" i="6"/>
  <c r="P1131" i="6"/>
  <c r="N1131" i="6"/>
  <c r="L1131" i="6"/>
  <c r="J1131" i="6"/>
  <c r="K1131" i="6"/>
  <c r="O1131" i="6"/>
  <c r="S1131" i="6"/>
  <c r="T1133" i="6"/>
  <c r="R1133" i="6"/>
  <c r="P1133" i="6"/>
  <c r="N1133" i="6"/>
  <c r="L1133" i="6"/>
  <c r="J1133" i="6"/>
  <c r="K1133" i="6"/>
  <c r="O1133" i="6"/>
  <c r="S1133" i="6"/>
  <c r="T1135" i="6"/>
  <c r="R1135" i="6"/>
  <c r="P1135" i="6"/>
  <c r="N1135" i="6"/>
  <c r="L1135" i="6"/>
  <c r="J1135" i="6"/>
  <c r="K1135" i="6"/>
  <c r="O1135" i="6"/>
  <c r="S1135" i="6"/>
  <c r="T1137" i="6"/>
  <c r="R1137" i="6"/>
  <c r="P1137" i="6"/>
  <c r="N1137" i="6"/>
  <c r="L1137" i="6"/>
  <c r="J1137" i="6"/>
  <c r="K1137" i="6"/>
  <c r="O1137" i="6"/>
  <c r="S1137" i="6"/>
  <c r="T1139" i="6"/>
  <c r="R1139" i="6"/>
  <c r="P1139" i="6"/>
  <c r="N1139" i="6"/>
  <c r="L1139" i="6"/>
  <c r="J1139" i="6"/>
  <c r="K1139" i="6"/>
  <c r="O1139" i="6"/>
  <c r="S1139" i="6"/>
  <c r="T1141" i="6"/>
  <c r="R1141" i="6"/>
  <c r="P1141" i="6"/>
  <c r="N1141" i="6"/>
  <c r="L1141" i="6"/>
  <c r="J1141" i="6"/>
  <c r="K1141" i="6"/>
  <c r="O1141" i="6"/>
  <c r="S1141" i="6"/>
  <c r="T1143" i="6"/>
  <c r="R1143" i="6"/>
  <c r="P1143" i="6"/>
  <c r="N1143" i="6"/>
  <c r="L1143" i="6"/>
  <c r="J1143" i="6"/>
  <c r="K1143" i="6"/>
  <c r="O1143" i="6"/>
  <c r="S1143" i="6"/>
  <c r="T1145" i="6"/>
  <c r="R1145" i="6"/>
  <c r="P1145" i="6"/>
  <c r="N1145" i="6"/>
  <c r="L1145" i="6"/>
  <c r="J1145" i="6"/>
  <c r="K1145" i="6"/>
  <c r="O1145" i="6"/>
  <c r="S1145" i="6"/>
  <c r="T1147" i="6"/>
  <c r="R1147" i="6"/>
  <c r="P1147" i="6"/>
  <c r="N1147" i="6"/>
  <c r="L1147" i="6"/>
  <c r="J1147" i="6"/>
  <c r="K1147" i="6"/>
  <c r="O1147" i="6"/>
  <c r="S1147" i="6"/>
  <c r="T1149" i="6"/>
  <c r="R1149" i="6"/>
  <c r="P1149" i="6"/>
  <c r="N1149" i="6"/>
  <c r="L1149" i="6"/>
  <c r="J1149" i="6"/>
  <c r="K1149" i="6"/>
  <c r="O1149" i="6"/>
  <c r="S1149" i="6"/>
  <c r="T1151" i="6"/>
  <c r="R1151" i="6"/>
  <c r="P1151" i="6"/>
  <c r="N1151" i="6"/>
  <c r="L1151" i="6"/>
  <c r="J1151" i="6"/>
  <c r="K1151" i="6"/>
  <c r="O1151" i="6"/>
  <c r="S1151" i="6"/>
  <c r="T1153" i="6"/>
  <c r="R1153" i="6"/>
  <c r="P1153" i="6"/>
  <c r="N1153" i="6"/>
  <c r="L1153" i="6"/>
  <c r="J1153" i="6"/>
  <c r="K1153" i="6"/>
  <c r="O1153" i="6"/>
  <c r="S1153" i="6"/>
  <c r="T1155" i="6"/>
  <c r="R1155" i="6"/>
  <c r="P1155" i="6"/>
  <c r="N1155" i="6"/>
  <c r="L1155" i="6"/>
  <c r="J1155" i="6"/>
  <c r="K1155" i="6"/>
  <c r="O1155" i="6"/>
  <c r="S1155" i="6"/>
  <c r="T1157" i="6"/>
  <c r="R1157" i="6"/>
  <c r="P1157" i="6"/>
  <c r="N1157" i="6"/>
  <c r="L1157" i="6"/>
  <c r="J1157" i="6"/>
  <c r="K1157" i="6"/>
  <c r="O1157" i="6"/>
  <c r="S1157" i="6"/>
  <c r="T1159" i="6"/>
  <c r="R1159" i="6"/>
  <c r="P1159" i="6"/>
  <c r="N1159" i="6"/>
  <c r="L1159" i="6"/>
  <c r="J1159" i="6"/>
  <c r="K1159" i="6"/>
  <c r="O1159" i="6"/>
  <c r="S1159" i="6"/>
  <c r="T1161" i="6"/>
  <c r="R1161" i="6"/>
  <c r="P1161" i="6"/>
  <c r="N1161" i="6"/>
  <c r="L1161" i="6"/>
  <c r="J1161" i="6"/>
  <c r="K1161" i="6"/>
  <c r="O1161" i="6"/>
  <c r="S1161" i="6"/>
  <c r="T1163" i="6"/>
  <c r="R1163" i="6"/>
  <c r="P1163" i="6"/>
  <c r="N1163" i="6"/>
  <c r="L1163" i="6"/>
  <c r="J1163" i="6"/>
  <c r="K1163" i="6"/>
  <c r="O1163" i="6"/>
  <c r="S1163" i="6"/>
  <c r="T1165" i="6"/>
  <c r="R1165" i="6"/>
  <c r="P1165" i="6"/>
  <c r="N1165" i="6"/>
  <c r="L1165" i="6"/>
  <c r="J1165" i="6"/>
  <c r="K1165" i="6"/>
  <c r="O1165" i="6"/>
  <c r="S1165" i="6"/>
  <c r="T1167" i="6"/>
  <c r="R1167" i="6"/>
  <c r="P1167" i="6"/>
  <c r="N1167" i="6"/>
  <c r="L1167" i="6"/>
  <c r="J1167" i="6"/>
  <c r="K1167" i="6"/>
  <c r="O1167" i="6"/>
  <c r="S1167" i="6"/>
  <c r="T1169" i="6"/>
  <c r="R1169" i="6"/>
  <c r="P1169" i="6"/>
  <c r="N1169" i="6"/>
  <c r="L1169" i="6"/>
  <c r="J1169" i="6"/>
  <c r="K1169" i="6"/>
  <c r="O1169" i="6"/>
  <c r="S1169" i="6"/>
  <c r="T1171" i="6"/>
  <c r="R1171" i="6"/>
  <c r="P1171" i="6"/>
  <c r="N1171" i="6"/>
  <c r="L1171" i="6"/>
  <c r="J1171" i="6"/>
  <c r="K1171" i="6"/>
  <c r="O1171" i="6"/>
  <c r="S1171" i="6"/>
  <c r="T1173" i="6"/>
  <c r="R1173" i="6"/>
  <c r="P1173" i="6"/>
  <c r="N1173" i="6"/>
  <c r="L1173" i="6"/>
  <c r="J1173" i="6"/>
  <c r="K1173" i="6"/>
  <c r="O1173" i="6"/>
  <c r="S1173" i="6"/>
  <c r="T1175" i="6"/>
  <c r="R1175" i="6"/>
  <c r="P1175" i="6"/>
  <c r="N1175" i="6"/>
  <c r="L1175" i="6"/>
  <c r="J1175" i="6"/>
  <c r="K1175" i="6"/>
  <c r="O1175" i="6"/>
  <c r="S1175" i="6"/>
  <c r="T1177" i="6"/>
  <c r="R1177" i="6"/>
  <c r="P1177" i="6"/>
  <c r="N1177" i="6"/>
  <c r="L1177" i="6"/>
  <c r="J1177" i="6"/>
  <c r="K1177" i="6"/>
  <c r="O1177" i="6"/>
  <c r="S1177" i="6"/>
  <c r="T1179" i="6"/>
  <c r="R1179" i="6"/>
  <c r="P1179" i="6"/>
  <c r="N1179" i="6"/>
  <c r="L1179" i="6"/>
  <c r="J1179" i="6"/>
  <c r="K1179" i="6"/>
  <c r="O1179" i="6"/>
  <c r="S1179" i="6"/>
  <c r="T1181" i="6"/>
  <c r="R1181" i="6"/>
  <c r="P1181" i="6"/>
  <c r="N1181" i="6"/>
  <c r="L1181" i="6"/>
  <c r="J1181" i="6"/>
  <c r="K1181" i="6"/>
  <c r="O1181" i="6"/>
  <c r="S1181" i="6"/>
  <c r="T1183" i="6"/>
  <c r="R1183" i="6"/>
  <c r="P1183" i="6"/>
  <c r="N1183" i="6"/>
  <c r="L1183" i="6"/>
  <c r="J1183" i="6"/>
  <c r="K1183" i="6"/>
  <c r="O1183" i="6"/>
  <c r="S1183" i="6"/>
  <c r="T1185" i="6"/>
  <c r="R1185" i="6"/>
  <c r="P1185" i="6"/>
  <c r="N1185" i="6"/>
  <c r="L1185" i="6"/>
  <c r="J1185" i="6"/>
  <c r="K1185" i="6"/>
  <c r="O1185" i="6"/>
  <c r="S1185" i="6"/>
  <c r="T1187" i="6"/>
  <c r="R1187" i="6"/>
  <c r="P1187" i="6"/>
  <c r="N1187" i="6"/>
  <c r="L1187" i="6"/>
  <c r="J1187" i="6"/>
  <c r="K1187" i="6"/>
  <c r="O1187" i="6"/>
  <c r="S1187" i="6"/>
  <c r="T1189" i="6"/>
  <c r="R1189" i="6"/>
  <c r="P1189" i="6"/>
  <c r="N1189" i="6"/>
  <c r="L1189" i="6"/>
  <c r="J1189" i="6"/>
  <c r="K1189" i="6"/>
  <c r="O1189" i="6"/>
  <c r="S1189" i="6"/>
  <c r="T1191" i="6"/>
  <c r="R1191" i="6"/>
  <c r="P1191" i="6"/>
  <c r="N1191" i="6"/>
  <c r="L1191" i="6"/>
  <c r="J1191" i="6"/>
  <c r="K1191" i="6"/>
  <c r="O1191" i="6"/>
  <c r="S1191" i="6"/>
  <c r="T1193" i="6"/>
  <c r="R1193" i="6"/>
  <c r="P1193" i="6"/>
  <c r="N1193" i="6"/>
  <c r="L1193" i="6"/>
  <c r="J1193" i="6"/>
  <c r="K1193" i="6"/>
  <c r="O1193" i="6"/>
  <c r="S1193" i="6"/>
  <c r="T1195" i="6"/>
  <c r="R1195" i="6"/>
  <c r="P1195" i="6"/>
  <c r="N1195" i="6"/>
  <c r="L1195" i="6"/>
  <c r="J1195" i="6"/>
  <c r="K1195" i="6"/>
  <c r="O1195" i="6"/>
  <c r="S1195" i="6"/>
  <c r="T1197" i="6"/>
  <c r="R1197" i="6"/>
  <c r="P1197" i="6"/>
  <c r="N1197" i="6"/>
  <c r="L1197" i="6"/>
  <c r="J1197" i="6"/>
  <c r="K1197" i="6"/>
  <c r="O1197" i="6"/>
  <c r="S1197" i="6"/>
  <c r="T1199" i="6"/>
  <c r="R1199" i="6"/>
  <c r="P1199" i="6"/>
  <c r="N1199" i="6"/>
  <c r="L1199" i="6"/>
  <c r="J1199" i="6"/>
  <c r="K1199" i="6"/>
  <c r="O1199" i="6"/>
  <c r="S1199" i="6"/>
  <c r="T1201" i="6"/>
  <c r="R1201" i="6"/>
  <c r="P1201" i="6"/>
  <c r="N1201" i="6"/>
  <c r="L1201" i="6"/>
  <c r="J1201" i="6"/>
  <c r="K1201" i="6"/>
  <c r="O1201" i="6"/>
  <c r="S1201" i="6"/>
  <c r="T1203" i="6"/>
  <c r="R1203" i="6"/>
  <c r="P1203" i="6"/>
  <c r="N1203" i="6"/>
  <c r="L1203" i="6"/>
  <c r="J1203" i="6"/>
  <c r="K1203" i="6"/>
  <c r="O1203" i="6"/>
  <c r="S1203" i="6"/>
  <c r="T1205" i="6"/>
  <c r="R1205" i="6"/>
  <c r="P1205" i="6"/>
  <c r="N1205" i="6"/>
  <c r="L1205" i="6"/>
  <c r="J1205" i="6"/>
  <c r="K1205" i="6"/>
  <c r="O1205" i="6"/>
  <c r="S1205" i="6"/>
  <c r="T1207" i="6"/>
  <c r="R1207" i="6"/>
  <c r="P1207" i="6"/>
  <c r="N1207" i="6"/>
  <c r="L1207" i="6"/>
  <c r="J1207" i="6"/>
  <c r="K1207" i="6"/>
  <c r="O1207" i="6"/>
  <c r="S1207" i="6"/>
  <c r="T1209" i="6"/>
  <c r="R1209" i="6"/>
  <c r="P1209" i="6"/>
  <c r="N1209" i="6"/>
  <c r="L1209" i="6"/>
  <c r="J1209" i="6"/>
  <c r="K1209" i="6"/>
  <c r="O1209" i="6"/>
  <c r="S1209" i="6"/>
  <c r="T1211" i="6"/>
  <c r="R1211" i="6"/>
  <c r="P1211" i="6"/>
  <c r="N1211" i="6"/>
  <c r="L1211" i="6"/>
  <c r="J1211" i="6"/>
  <c r="K1211" i="6"/>
  <c r="O1211" i="6"/>
  <c r="S1211" i="6"/>
  <c r="T1213" i="6"/>
  <c r="R1213" i="6"/>
  <c r="P1213" i="6"/>
  <c r="N1213" i="6"/>
  <c r="L1213" i="6"/>
  <c r="J1213" i="6"/>
  <c r="K1213" i="6"/>
  <c r="O1213" i="6"/>
  <c r="S1213" i="6"/>
  <c r="T1215" i="6"/>
  <c r="R1215" i="6"/>
  <c r="P1215" i="6"/>
  <c r="N1215" i="6"/>
  <c r="L1215" i="6"/>
  <c r="J1215" i="6"/>
  <c r="K1215" i="6"/>
  <c r="O1215" i="6"/>
  <c r="S1215" i="6"/>
  <c r="T1217" i="6"/>
  <c r="R1217" i="6"/>
  <c r="P1217" i="6"/>
  <c r="N1217" i="6"/>
  <c r="L1217" i="6"/>
  <c r="J1217" i="6"/>
  <c r="K1217" i="6"/>
  <c r="O1217" i="6"/>
  <c r="S1217" i="6"/>
  <c r="T1219" i="6"/>
  <c r="R1219" i="6"/>
  <c r="P1219" i="6"/>
  <c r="N1219" i="6"/>
  <c r="L1219" i="6"/>
  <c r="J1219" i="6"/>
  <c r="K1219" i="6"/>
  <c r="O1219" i="6"/>
  <c r="S1219" i="6"/>
  <c r="T1221" i="6"/>
  <c r="R1221" i="6"/>
  <c r="P1221" i="6"/>
  <c r="N1221" i="6"/>
  <c r="L1221" i="6"/>
  <c r="J1221" i="6"/>
  <c r="K1221" i="6"/>
  <c r="O1221" i="6"/>
  <c r="S1221" i="6"/>
  <c r="T1223" i="6"/>
  <c r="R1223" i="6"/>
  <c r="P1223" i="6"/>
  <c r="N1223" i="6"/>
  <c r="L1223" i="6"/>
  <c r="J1223" i="6"/>
  <c r="K1223" i="6"/>
  <c r="O1223" i="6"/>
  <c r="S1223" i="6"/>
  <c r="T1225" i="6"/>
  <c r="R1225" i="6"/>
  <c r="P1225" i="6"/>
  <c r="N1225" i="6"/>
  <c r="L1225" i="6"/>
  <c r="J1225" i="6"/>
  <c r="K1225" i="6"/>
  <c r="O1225" i="6"/>
  <c r="S1225" i="6"/>
  <c r="T1227" i="6"/>
  <c r="R1227" i="6"/>
  <c r="P1227" i="6"/>
  <c r="N1227" i="6"/>
  <c r="L1227" i="6"/>
  <c r="J1227" i="6"/>
  <c r="K1227" i="6"/>
  <c r="O1227" i="6"/>
  <c r="S1227" i="6"/>
  <c r="T1229" i="6"/>
  <c r="R1229" i="6"/>
  <c r="P1229" i="6"/>
  <c r="N1229" i="6"/>
  <c r="L1229" i="6"/>
  <c r="J1229" i="6"/>
  <c r="K1229" i="6"/>
  <c r="O1229" i="6"/>
  <c r="S1229" i="6"/>
  <c r="T1231" i="6"/>
  <c r="R1231" i="6"/>
  <c r="P1231" i="6"/>
  <c r="N1231" i="6"/>
  <c r="L1231" i="6"/>
  <c r="J1231" i="6"/>
  <c r="K1231" i="6"/>
  <c r="O1231" i="6"/>
  <c r="S1231" i="6"/>
  <c r="T1233" i="6"/>
  <c r="R1233" i="6"/>
  <c r="P1233" i="6"/>
  <c r="N1233" i="6"/>
  <c r="L1233" i="6"/>
  <c r="J1233" i="6"/>
  <c r="K1233" i="6"/>
  <c r="O1233" i="6"/>
  <c r="S1233" i="6"/>
  <c r="T1235" i="6"/>
  <c r="R1235" i="6"/>
  <c r="P1235" i="6"/>
  <c r="N1235" i="6"/>
  <c r="L1235" i="6"/>
  <c r="J1235" i="6"/>
  <c r="K1235" i="6"/>
  <c r="O1235" i="6"/>
  <c r="S1235" i="6"/>
  <c r="T1237" i="6"/>
  <c r="R1237" i="6"/>
  <c r="P1237" i="6"/>
  <c r="N1237" i="6"/>
  <c r="L1237" i="6"/>
  <c r="J1237" i="6"/>
  <c r="K1237" i="6"/>
  <c r="O1237" i="6"/>
  <c r="S1237" i="6"/>
  <c r="T1239" i="6"/>
  <c r="R1239" i="6"/>
  <c r="P1239" i="6"/>
  <c r="N1239" i="6"/>
  <c r="L1239" i="6"/>
  <c r="J1239" i="6"/>
  <c r="K1239" i="6"/>
  <c r="O1239" i="6"/>
  <c r="S1239" i="6"/>
  <c r="T1241" i="6"/>
  <c r="R1241" i="6"/>
  <c r="P1241" i="6"/>
  <c r="N1241" i="6"/>
  <c r="L1241" i="6"/>
  <c r="J1241" i="6"/>
  <c r="K1241" i="6"/>
  <c r="O1241" i="6"/>
  <c r="S1241" i="6"/>
  <c r="T1243" i="6"/>
  <c r="R1243" i="6"/>
  <c r="P1243" i="6"/>
  <c r="N1243" i="6"/>
  <c r="L1243" i="6"/>
  <c r="J1243" i="6"/>
  <c r="K1243" i="6"/>
  <c r="O1243" i="6"/>
  <c r="S1243" i="6"/>
  <c r="T1245" i="6"/>
  <c r="R1245" i="6"/>
  <c r="P1245" i="6"/>
  <c r="N1245" i="6"/>
  <c r="L1245" i="6"/>
  <c r="J1245" i="6"/>
  <c r="K1245" i="6"/>
  <c r="O1245" i="6"/>
  <c r="S1245" i="6"/>
  <c r="T1247" i="6"/>
  <c r="R1247" i="6"/>
  <c r="P1247" i="6"/>
  <c r="N1247" i="6"/>
  <c r="L1247" i="6"/>
  <c r="J1247" i="6"/>
  <c r="K1247" i="6"/>
  <c r="O1247" i="6"/>
  <c r="S1247" i="6"/>
  <c r="T1249" i="6"/>
  <c r="R1249" i="6"/>
  <c r="P1249" i="6"/>
  <c r="N1249" i="6"/>
  <c r="L1249" i="6"/>
  <c r="J1249" i="6"/>
  <c r="K1249" i="6"/>
  <c r="O1249" i="6"/>
  <c r="S1249" i="6"/>
  <c r="T1251" i="6"/>
  <c r="R1251" i="6"/>
  <c r="P1251" i="6"/>
  <c r="N1251" i="6"/>
  <c r="L1251" i="6"/>
  <c r="J1251" i="6"/>
  <c r="K1251" i="6"/>
  <c r="O1251" i="6"/>
  <c r="S1251" i="6"/>
  <c r="T1253" i="6"/>
  <c r="R1253" i="6"/>
  <c r="P1253" i="6"/>
  <c r="N1253" i="6"/>
  <c r="L1253" i="6"/>
  <c r="J1253" i="6"/>
  <c r="K1253" i="6"/>
  <c r="O1253" i="6"/>
  <c r="S1253" i="6"/>
  <c r="T1255" i="6"/>
  <c r="R1255" i="6"/>
  <c r="P1255" i="6"/>
  <c r="N1255" i="6"/>
  <c r="L1255" i="6"/>
  <c r="J1255" i="6"/>
  <c r="K1255" i="6"/>
  <c r="O1255" i="6"/>
  <c r="S1255" i="6"/>
  <c r="T1257" i="6"/>
  <c r="R1257" i="6"/>
  <c r="P1257" i="6"/>
  <c r="N1257" i="6"/>
  <c r="L1257" i="6"/>
  <c r="J1257" i="6"/>
  <c r="K1257" i="6"/>
  <c r="O1257" i="6"/>
  <c r="S1257" i="6"/>
  <c r="T1259" i="6"/>
  <c r="R1259" i="6"/>
  <c r="P1259" i="6"/>
  <c r="N1259" i="6"/>
  <c r="L1259" i="6"/>
  <c r="J1259" i="6"/>
  <c r="K1259" i="6"/>
  <c r="O1259" i="6"/>
  <c r="S1259" i="6"/>
  <c r="T1261" i="6"/>
  <c r="R1261" i="6"/>
  <c r="P1261" i="6"/>
  <c r="N1261" i="6"/>
  <c r="L1261" i="6"/>
  <c r="J1261" i="6"/>
  <c r="K1261" i="6"/>
  <c r="O1261" i="6"/>
  <c r="S1261" i="6"/>
  <c r="T1263" i="6"/>
  <c r="R1263" i="6"/>
  <c r="P1263" i="6"/>
  <c r="N1263" i="6"/>
  <c r="L1263" i="6"/>
  <c r="J1263" i="6"/>
  <c r="K1263" i="6"/>
  <c r="O1263" i="6"/>
  <c r="S1263" i="6"/>
  <c r="T1265" i="6"/>
  <c r="R1265" i="6"/>
  <c r="P1265" i="6"/>
  <c r="N1265" i="6"/>
  <c r="L1265" i="6"/>
  <c r="J1265" i="6"/>
  <c r="K1265" i="6"/>
  <c r="O1265" i="6"/>
  <c r="S1265" i="6"/>
  <c r="T1267" i="6"/>
  <c r="R1267" i="6"/>
  <c r="P1267" i="6"/>
  <c r="N1267" i="6"/>
  <c r="L1267" i="6"/>
  <c r="J1267" i="6"/>
  <c r="K1267" i="6"/>
  <c r="O1267" i="6"/>
  <c r="S1267" i="6"/>
  <c r="T1269" i="6"/>
  <c r="R1269" i="6"/>
  <c r="P1269" i="6"/>
  <c r="N1269" i="6"/>
  <c r="L1269" i="6"/>
  <c r="J1269" i="6"/>
  <c r="K1269" i="6"/>
  <c r="O1269" i="6"/>
  <c r="S1269" i="6"/>
  <c r="T1271" i="6"/>
  <c r="R1271" i="6"/>
  <c r="P1271" i="6"/>
  <c r="N1271" i="6"/>
  <c r="L1271" i="6"/>
  <c r="J1271" i="6"/>
  <c r="K1271" i="6"/>
  <c r="O1271" i="6"/>
  <c r="S1271" i="6"/>
  <c r="T1273" i="6"/>
  <c r="R1273" i="6"/>
  <c r="P1273" i="6"/>
  <c r="N1273" i="6"/>
  <c r="L1273" i="6"/>
  <c r="J1273" i="6"/>
  <c r="K1273" i="6"/>
  <c r="O1273" i="6"/>
  <c r="S1273" i="6"/>
  <c r="T1275" i="6"/>
  <c r="R1275" i="6"/>
  <c r="P1275" i="6"/>
  <c r="N1275" i="6"/>
  <c r="L1275" i="6"/>
  <c r="J1275" i="6"/>
  <c r="K1275" i="6"/>
  <c r="O1275" i="6"/>
  <c r="S1275" i="6"/>
  <c r="T1277" i="6"/>
  <c r="R1277" i="6"/>
  <c r="P1277" i="6"/>
  <c r="N1277" i="6"/>
  <c r="L1277" i="6"/>
  <c r="J1277" i="6"/>
  <c r="K1277" i="6"/>
  <c r="O1277" i="6"/>
  <c r="S1277" i="6"/>
  <c r="T1279" i="6"/>
  <c r="R1279" i="6"/>
  <c r="P1279" i="6"/>
  <c r="N1279" i="6"/>
  <c r="L1279" i="6"/>
  <c r="J1279" i="6"/>
  <c r="K1279" i="6"/>
  <c r="O1279" i="6"/>
  <c r="S1279" i="6"/>
  <c r="T1281" i="6"/>
  <c r="R1281" i="6"/>
  <c r="P1281" i="6"/>
  <c r="N1281" i="6"/>
  <c r="L1281" i="6"/>
  <c r="J1281" i="6"/>
  <c r="K1281" i="6"/>
  <c r="O1281" i="6"/>
  <c r="S1281" i="6"/>
  <c r="T1283" i="6"/>
  <c r="R1283" i="6"/>
  <c r="P1283" i="6"/>
  <c r="N1283" i="6"/>
  <c r="L1283" i="6"/>
  <c r="J1283" i="6"/>
  <c r="K1283" i="6"/>
  <c r="O1283" i="6"/>
  <c r="S1283" i="6"/>
  <c r="T1285" i="6"/>
  <c r="R1285" i="6"/>
  <c r="P1285" i="6"/>
  <c r="N1285" i="6"/>
  <c r="L1285" i="6"/>
  <c r="J1285" i="6"/>
  <c r="K1285" i="6"/>
  <c r="O1285" i="6"/>
  <c r="S1285" i="6"/>
  <c r="T1287" i="6"/>
  <c r="R1287" i="6"/>
  <c r="P1287" i="6"/>
  <c r="N1287" i="6"/>
  <c r="L1287" i="6"/>
  <c r="J1287" i="6"/>
  <c r="K1287" i="6"/>
  <c r="O1287" i="6"/>
  <c r="S1287" i="6"/>
  <c r="T1289" i="6"/>
  <c r="R1289" i="6"/>
  <c r="P1289" i="6"/>
  <c r="N1289" i="6"/>
  <c r="L1289" i="6"/>
  <c r="J1289" i="6"/>
  <c r="K1289" i="6"/>
  <c r="O1289" i="6"/>
  <c r="S1289" i="6"/>
  <c r="T1291" i="6"/>
  <c r="R1291" i="6"/>
  <c r="P1291" i="6"/>
  <c r="N1291" i="6"/>
  <c r="L1291" i="6"/>
  <c r="J1291" i="6"/>
  <c r="K1291" i="6"/>
  <c r="O1291" i="6"/>
  <c r="S1291" i="6"/>
  <c r="T1293" i="6"/>
  <c r="R1293" i="6"/>
  <c r="P1293" i="6"/>
  <c r="N1293" i="6"/>
  <c r="L1293" i="6"/>
  <c r="J1293" i="6"/>
  <c r="K1293" i="6"/>
  <c r="O1293" i="6"/>
  <c r="S1293" i="6"/>
  <c r="T1295" i="6"/>
  <c r="R1295" i="6"/>
  <c r="P1295" i="6"/>
  <c r="N1295" i="6"/>
  <c r="L1295" i="6"/>
  <c r="J1295" i="6"/>
  <c r="K1295" i="6"/>
  <c r="O1295" i="6"/>
  <c r="S1295" i="6"/>
  <c r="T1297" i="6"/>
  <c r="R1297" i="6"/>
  <c r="P1297" i="6"/>
  <c r="N1297" i="6"/>
  <c r="L1297" i="6"/>
  <c r="J1297" i="6"/>
  <c r="K1297" i="6"/>
  <c r="O1297" i="6"/>
  <c r="S1297" i="6"/>
  <c r="T1299" i="6"/>
  <c r="R1299" i="6"/>
  <c r="P1299" i="6"/>
  <c r="N1299" i="6"/>
  <c r="L1299" i="6"/>
  <c r="J1299" i="6"/>
  <c r="K1299" i="6"/>
  <c r="O1299" i="6"/>
  <c r="S1299" i="6"/>
  <c r="T1301" i="6"/>
  <c r="R1301" i="6"/>
  <c r="P1301" i="6"/>
  <c r="N1301" i="6"/>
  <c r="L1301" i="6"/>
  <c r="J1301" i="6"/>
  <c r="K1301" i="6"/>
  <c r="O1301" i="6"/>
  <c r="S1301" i="6"/>
  <c r="T1303" i="6"/>
  <c r="R1303" i="6"/>
  <c r="P1303" i="6"/>
  <c r="N1303" i="6"/>
  <c r="L1303" i="6"/>
  <c r="J1303" i="6"/>
  <c r="K1303" i="6"/>
  <c r="O1303" i="6"/>
  <c r="S1303" i="6"/>
  <c r="T1305" i="6"/>
  <c r="R1305" i="6"/>
  <c r="P1305" i="6"/>
  <c r="N1305" i="6"/>
  <c r="L1305" i="6"/>
  <c r="J1305" i="6"/>
  <c r="K1305" i="6"/>
  <c r="O1305" i="6"/>
  <c r="S1305" i="6"/>
  <c r="T1307" i="6"/>
  <c r="R1307" i="6"/>
  <c r="P1307" i="6"/>
  <c r="N1307" i="6"/>
  <c r="L1307" i="6"/>
  <c r="J1307" i="6"/>
  <c r="K1307" i="6"/>
  <c r="O1307" i="6"/>
  <c r="S1307" i="6"/>
  <c r="T1309" i="6"/>
  <c r="R1309" i="6"/>
  <c r="P1309" i="6"/>
  <c r="N1309" i="6"/>
  <c r="L1309" i="6"/>
  <c r="J1309" i="6"/>
  <c r="K1309" i="6"/>
  <c r="O1309" i="6"/>
  <c r="S1309" i="6"/>
  <c r="T1311" i="6"/>
  <c r="R1311" i="6"/>
  <c r="P1311" i="6"/>
  <c r="N1311" i="6"/>
  <c r="L1311" i="6"/>
  <c r="J1311" i="6"/>
  <c r="K1311" i="6"/>
  <c r="O1311" i="6"/>
  <c r="S1311" i="6"/>
  <c r="T1313" i="6"/>
  <c r="R1313" i="6"/>
  <c r="P1313" i="6"/>
  <c r="N1313" i="6"/>
  <c r="L1313" i="6"/>
  <c r="J1313" i="6"/>
  <c r="K1313" i="6"/>
  <c r="O1313" i="6"/>
  <c r="S1313" i="6"/>
  <c r="T1315" i="6"/>
  <c r="R1315" i="6"/>
  <c r="P1315" i="6"/>
  <c r="N1315" i="6"/>
  <c r="L1315" i="6"/>
  <c r="J1315" i="6"/>
  <c r="K1315" i="6"/>
  <c r="O1315" i="6"/>
  <c r="S1315" i="6"/>
  <c r="T1317" i="6"/>
  <c r="R1317" i="6"/>
  <c r="P1317" i="6"/>
  <c r="N1317" i="6"/>
  <c r="L1317" i="6"/>
  <c r="J1317" i="6"/>
  <c r="K1317" i="6"/>
  <c r="O1317" i="6"/>
  <c r="S1317" i="6"/>
  <c r="T1319" i="6"/>
  <c r="R1319" i="6"/>
  <c r="P1319" i="6"/>
  <c r="N1319" i="6"/>
  <c r="L1319" i="6"/>
  <c r="J1319" i="6"/>
  <c r="K1319" i="6"/>
  <c r="O1319" i="6"/>
  <c r="S1319" i="6"/>
  <c r="T1321" i="6"/>
  <c r="R1321" i="6"/>
  <c r="P1321" i="6"/>
  <c r="N1321" i="6"/>
  <c r="L1321" i="6"/>
  <c r="J1321" i="6"/>
  <c r="K1321" i="6"/>
  <c r="O1321" i="6"/>
  <c r="S1321" i="6"/>
  <c r="T1323" i="6"/>
  <c r="R1323" i="6"/>
  <c r="P1323" i="6"/>
  <c r="N1323" i="6"/>
  <c r="L1323" i="6"/>
  <c r="J1323" i="6"/>
  <c r="K1323" i="6"/>
  <c r="O1323" i="6"/>
  <c r="S1323" i="6"/>
  <c r="T1325" i="6"/>
  <c r="R1325" i="6"/>
  <c r="P1325" i="6"/>
  <c r="N1325" i="6"/>
  <c r="L1325" i="6"/>
  <c r="J1325" i="6"/>
  <c r="K1325" i="6"/>
  <c r="O1325" i="6"/>
  <c r="S1325" i="6"/>
  <c r="T1327" i="6"/>
  <c r="R1327" i="6"/>
  <c r="P1327" i="6"/>
  <c r="N1327" i="6"/>
  <c r="L1327" i="6"/>
  <c r="J1327" i="6"/>
  <c r="K1327" i="6"/>
  <c r="O1327" i="6"/>
  <c r="S1327" i="6"/>
  <c r="T1329" i="6"/>
  <c r="R1329" i="6"/>
  <c r="P1329" i="6"/>
  <c r="N1329" i="6"/>
  <c r="L1329" i="6"/>
  <c r="J1329" i="6"/>
  <c r="K1329" i="6"/>
  <c r="O1329" i="6"/>
  <c r="S1329" i="6"/>
  <c r="T1331" i="6"/>
  <c r="R1331" i="6"/>
  <c r="P1331" i="6"/>
  <c r="N1331" i="6"/>
  <c r="L1331" i="6"/>
  <c r="J1331" i="6"/>
  <c r="K1331" i="6"/>
  <c r="O1331" i="6"/>
  <c r="S1331" i="6"/>
  <c r="T1333" i="6"/>
  <c r="R1333" i="6"/>
  <c r="P1333" i="6"/>
  <c r="N1333" i="6"/>
  <c r="L1333" i="6"/>
  <c r="J1333" i="6"/>
  <c r="K1333" i="6"/>
  <c r="O1333" i="6"/>
  <c r="S1333" i="6"/>
  <c r="T1335" i="6"/>
  <c r="R1335" i="6"/>
  <c r="P1335" i="6"/>
  <c r="N1335" i="6"/>
  <c r="L1335" i="6"/>
  <c r="J1335" i="6"/>
  <c r="K1335" i="6"/>
  <c r="O1335" i="6"/>
  <c r="S1335" i="6"/>
  <c r="T1337" i="6"/>
  <c r="R1337" i="6"/>
  <c r="P1337" i="6"/>
  <c r="N1337" i="6"/>
  <c r="L1337" i="6"/>
  <c r="J1337" i="6"/>
  <c r="K1337" i="6"/>
  <c r="O1337" i="6"/>
  <c r="S1337" i="6"/>
  <c r="T1339" i="6"/>
  <c r="R1339" i="6"/>
  <c r="P1339" i="6"/>
  <c r="N1339" i="6"/>
  <c r="L1339" i="6"/>
  <c r="J1339" i="6"/>
  <c r="K1339" i="6"/>
  <c r="O1339" i="6"/>
  <c r="S1339" i="6"/>
  <c r="T1341" i="6"/>
  <c r="R1341" i="6"/>
  <c r="P1341" i="6"/>
  <c r="N1341" i="6"/>
  <c r="L1341" i="6"/>
  <c r="J1341" i="6"/>
  <c r="K1341" i="6"/>
  <c r="O1341" i="6"/>
  <c r="S1341" i="6"/>
  <c r="T1343" i="6"/>
  <c r="R1343" i="6"/>
  <c r="P1343" i="6"/>
  <c r="N1343" i="6"/>
  <c r="L1343" i="6"/>
  <c r="J1343" i="6"/>
  <c r="K1343" i="6"/>
  <c r="O1343" i="6"/>
  <c r="S1343" i="6"/>
  <c r="T1345" i="6"/>
  <c r="R1345" i="6"/>
  <c r="P1345" i="6"/>
  <c r="N1345" i="6"/>
  <c r="L1345" i="6"/>
  <c r="J1345" i="6"/>
  <c r="K1345" i="6"/>
  <c r="O1345" i="6"/>
  <c r="S1345" i="6"/>
  <c r="T1347" i="6"/>
  <c r="R1347" i="6"/>
  <c r="P1347" i="6"/>
  <c r="N1347" i="6"/>
  <c r="L1347" i="6"/>
  <c r="J1347" i="6"/>
  <c r="K1347" i="6"/>
  <c r="O1347" i="6"/>
  <c r="S1347" i="6"/>
  <c r="I1348" i="6"/>
  <c r="M1348" i="6"/>
  <c r="T1349" i="6"/>
  <c r="R1349" i="6"/>
  <c r="P1349" i="6"/>
  <c r="N1349" i="6"/>
  <c r="L1349" i="6"/>
  <c r="J1349" i="6"/>
  <c r="K1349" i="6"/>
  <c r="O1349" i="6"/>
  <c r="S1349" i="6"/>
  <c r="I1350" i="6"/>
  <c r="M1350" i="6"/>
  <c r="T1351" i="6"/>
  <c r="R1351" i="6"/>
  <c r="P1351" i="6"/>
  <c r="N1351" i="6"/>
  <c r="L1351" i="6"/>
  <c r="J1351" i="6"/>
  <c r="K1351" i="6"/>
  <c r="O1351" i="6"/>
  <c r="S1351" i="6"/>
  <c r="I1352" i="6"/>
  <c r="M1352" i="6"/>
  <c r="T1353" i="6"/>
  <c r="R1353" i="6"/>
  <c r="P1353" i="6"/>
  <c r="N1353" i="6"/>
  <c r="L1353" i="6"/>
  <c r="J1353" i="6"/>
  <c r="K1353" i="6"/>
  <c r="O1353" i="6"/>
  <c r="S1353" i="6"/>
  <c r="I1354" i="6"/>
  <c r="M1354" i="6"/>
  <c r="T1355" i="6"/>
  <c r="R1355" i="6"/>
  <c r="P1355" i="6"/>
  <c r="N1355" i="6"/>
  <c r="L1355" i="6"/>
  <c r="J1355" i="6"/>
  <c r="K1355" i="6"/>
  <c r="O1355" i="6"/>
  <c r="S1355" i="6"/>
  <c r="I1356" i="6"/>
  <c r="M1356" i="6"/>
  <c r="T1357" i="6"/>
  <c r="R1357" i="6"/>
  <c r="P1357" i="6"/>
  <c r="N1357" i="6"/>
  <c r="L1357" i="6"/>
  <c r="J1357" i="6"/>
  <c r="K1357" i="6"/>
  <c r="O1357" i="6"/>
  <c r="S1357" i="6"/>
  <c r="I1358" i="6"/>
  <c r="M1358" i="6"/>
  <c r="T1359" i="6"/>
  <c r="R1359" i="6"/>
  <c r="P1359" i="6"/>
  <c r="N1359" i="6"/>
  <c r="L1359" i="6"/>
  <c r="J1359" i="6"/>
  <c r="K1359" i="6"/>
  <c r="O1359" i="6"/>
  <c r="S1359" i="6"/>
  <c r="I1360" i="6"/>
  <c r="M1360" i="6"/>
  <c r="T1361" i="6"/>
  <c r="R1361" i="6"/>
  <c r="P1361" i="6"/>
  <c r="N1361" i="6"/>
  <c r="L1361" i="6"/>
  <c r="J1361" i="6"/>
  <c r="K1361" i="6"/>
  <c r="O1361" i="6"/>
  <c r="S1361" i="6"/>
  <c r="I1362" i="6"/>
  <c r="M1362" i="6"/>
  <c r="T1363" i="6"/>
  <c r="R1363" i="6"/>
  <c r="P1363" i="6"/>
  <c r="N1363" i="6"/>
  <c r="L1363" i="6"/>
  <c r="J1363" i="6"/>
  <c r="K1363" i="6"/>
  <c r="O1363" i="6"/>
  <c r="S1363" i="6"/>
  <c r="I1364" i="6"/>
  <c r="M1364" i="6"/>
  <c r="S1365" i="6"/>
  <c r="Q1365" i="6"/>
  <c r="O1365" i="6"/>
  <c r="M1365" i="6"/>
  <c r="K1365" i="6"/>
  <c r="I1365" i="6"/>
  <c r="L1365" i="6"/>
  <c r="P1365" i="6"/>
  <c r="T1365" i="6"/>
  <c r="S1367" i="6"/>
  <c r="Q1367" i="6"/>
  <c r="O1367" i="6"/>
  <c r="M1367" i="6"/>
  <c r="K1367" i="6"/>
  <c r="I1367" i="6"/>
  <c r="L1367" i="6"/>
  <c r="P1367" i="6"/>
  <c r="T1367" i="6"/>
  <c r="S1369" i="6"/>
  <c r="Q1369" i="6"/>
  <c r="O1369" i="6"/>
  <c r="M1369" i="6"/>
  <c r="K1369" i="6"/>
  <c r="I1369" i="6"/>
  <c r="L1369" i="6"/>
  <c r="P1369" i="6"/>
  <c r="T1369" i="6"/>
  <c r="S1371" i="6"/>
  <c r="Q1371" i="6"/>
  <c r="O1371" i="6"/>
  <c r="M1371" i="6"/>
  <c r="K1371" i="6"/>
  <c r="I1371" i="6"/>
  <c r="L1371" i="6"/>
  <c r="P1371" i="6"/>
  <c r="T1371" i="6"/>
  <c r="S1373" i="6"/>
  <c r="Q1373" i="6"/>
  <c r="O1373" i="6"/>
  <c r="M1373" i="6"/>
  <c r="K1373" i="6"/>
  <c r="I1373" i="6"/>
  <c r="L1373" i="6"/>
  <c r="P1373" i="6"/>
  <c r="T1373" i="6"/>
  <c r="S1375" i="6"/>
  <c r="Q1375" i="6"/>
  <c r="O1375" i="6"/>
  <c r="M1375" i="6"/>
  <c r="K1375" i="6"/>
  <c r="I1375" i="6"/>
  <c r="L1375" i="6"/>
  <c r="P1375" i="6"/>
  <c r="T1375" i="6"/>
  <c r="S1377" i="6"/>
  <c r="Q1377" i="6"/>
  <c r="O1377" i="6"/>
  <c r="M1377" i="6"/>
  <c r="K1377" i="6"/>
  <c r="I1377" i="6"/>
  <c r="L1377" i="6"/>
  <c r="P1377" i="6"/>
  <c r="T1377" i="6"/>
  <c r="S1379" i="6"/>
  <c r="Q1379" i="6"/>
  <c r="O1379" i="6"/>
  <c r="M1379" i="6"/>
  <c r="K1379" i="6"/>
  <c r="I1379" i="6"/>
  <c r="L1379" i="6"/>
  <c r="P1379" i="6"/>
  <c r="T1379" i="6"/>
  <c r="S1381" i="6"/>
  <c r="Q1381" i="6"/>
  <c r="O1381" i="6"/>
  <c r="M1381" i="6"/>
  <c r="K1381" i="6"/>
  <c r="I1381" i="6"/>
  <c r="L1381" i="6"/>
  <c r="P1381" i="6"/>
  <c r="T1381" i="6"/>
  <c r="S1383" i="6"/>
  <c r="Q1383" i="6"/>
  <c r="O1383" i="6"/>
  <c r="M1383" i="6"/>
  <c r="K1383" i="6"/>
  <c r="I1383" i="6"/>
  <c r="L1383" i="6"/>
  <c r="P1383" i="6"/>
  <c r="T1383" i="6"/>
  <c r="S1385" i="6"/>
  <c r="Q1385" i="6"/>
  <c r="O1385" i="6"/>
  <c r="M1385" i="6"/>
  <c r="K1385" i="6"/>
  <c r="I1385" i="6"/>
  <c r="L1385" i="6"/>
  <c r="P1385" i="6"/>
  <c r="T1385" i="6"/>
  <c r="S1387" i="6"/>
  <c r="Q1387" i="6"/>
  <c r="O1387" i="6"/>
  <c r="M1387" i="6"/>
  <c r="K1387" i="6"/>
  <c r="I1387" i="6"/>
  <c r="L1387" i="6"/>
  <c r="P1387" i="6"/>
  <c r="T1387" i="6"/>
  <c r="S1389" i="6"/>
  <c r="Q1389" i="6"/>
  <c r="O1389" i="6"/>
  <c r="M1389" i="6"/>
  <c r="K1389" i="6"/>
  <c r="I1389" i="6"/>
  <c r="L1389" i="6"/>
  <c r="P1389" i="6"/>
  <c r="T1389" i="6"/>
  <c r="S1391" i="6"/>
  <c r="Q1391" i="6"/>
  <c r="O1391" i="6"/>
  <c r="M1391" i="6"/>
  <c r="K1391" i="6"/>
  <c r="I1391" i="6"/>
  <c r="L1391" i="6"/>
  <c r="P1391" i="6"/>
  <c r="T1391" i="6"/>
  <c r="S1393" i="6"/>
  <c r="Q1393" i="6"/>
  <c r="O1393" i="6"/>
  <c r="M1393" i="6"/>
  <c r="K1393" i="6"/>
  <c r="I1393" i="6"/>
  <c r="L1393" i="6"/>
  <c r="P1393" i="6"/>
  <c r="T1393" i="6"/>
  <c r="S1395" i="6"/>
  <c r="Q1395" i="6"/>
  <c r="O1395" i="6"/>
  <c r="M1395" i="6"/>
  <c r="K1395" i="6"/>
  <c r="I1395" i="6"/>
  <c r="L1395" i="6"/>
  <c r="P1395" i="6"/>
  <c r="T1395" i="6"/>
  <c r="S1397" i="6"/>
  <c r="Q1397" i="6"/>
  <c r="O1397" i="6"/>
  <c r="M1397" i="6"/>
  <c r="K1397" i="6"/>
  <c r="I1397" i="6"/>
  <c r="L1397" i="6"/>
  <c r="P1397" i="6"/>
  <c r="T1397" i="6"/>
  <c r="S1399" i="6"/>
  <c r="Q1399" i="6"/>
  <c r="O1399" i="6"/>
  <c r="M1399" i="6"/>
  <c r="K1399" i="6"/>
  <c r="I1399" i="6"/>
  <c r="L1399" i="6"/>
  <c r="P1399" i="6"/>
  <c r="T1399" i="6"/>
  <c r="S1401" i="6"/>
  <c r="Q1401" i="6"/>
  <c r="O1401" i="6"/>
  <c r="M1401" i="6"/>
  <c r="K1401" i="6"/>
  <c r="I1401" i="6"/>
  <c r="L1401" i="6"/>
  <c r="P1401" i="6"/>
  <c r="T1401" i="6"/>
  <c r="S1403" i="6"/>
  <c r="Q1403" i="6"/>
  <c r="O1403" i="6"/>
  <c r="M1403" i="6"/>
  <c r="K1403" i="6"/>
  <c r="I1403" i="6"/>
  <c r="L1403" i="6"/>
  <c r="P1403" i="6"/>
  <c r="T1403" i="6"/>
  <c r="S1405" i="6"/>
  <c r="Q1405" i="6"/>
  <c r="O1405" i="6"/>
  <c r="M1405" i="6"/>
  <c r="K1405" i="6"/>
  <c r="I1405" i="6"/>
  <c r="L1405" i="6"/>
  <c r="P1405" i="6"/>
  <c r="T1405" i="6"/>
  <c r="S1407" i="6"/>
  <c r="Q1407" i="6"/>
  <c r="O1407" i="6"/>
  <c r="M1407" i="6"/>
  <c r="K1407" i="6"/>
  <c r="I1407" i="6"/>
  <c r="L1407" i="6"/>
  <c r="P1407" i="6"/>
  <c r="T1407" i="6"/>
  <c r="S1409" i="6"/>
  <c r="Q1409" i="6"/>
  <c r="O1409" i="6"/>
  <c r="M1409" i="6"/>
  <c r="K1409" i="6"/>
  <c r="I1409" i="6"/>
  <c r="L1409" i="6"/>
  <c r="P1409" i="6"/>
  <c r="T1409" i="6"/>
  <c r="S1411" i="6"/>
  <c r="Q1411" i="6"/>
  <c r="O1411" i="6"/>
  <c r="M1411" i="6"/>
  <c r="K1411" i="6"/>
  <c r="I1411" i="6"/>
  <c r="L1411" i="6"/>
  <c r="P1411" i="6"/>
  <c r="T1411" i="6"/>
  <c r="S1413" i="6"/>
  <c r="Q1413" i="6"/>
  <c r="O1413" i="6"/>
  <c r="M1413" i="6"/>
  <c r="K1413" i="6"/>
  <c r="I1413" i="6"/>
  <c r="L1413" i="6"/>
  <c r="P1413" i="6"/>
  <c r="T1413" i="6"/>
  <c r="S1415" i="6"/>
  <c r="Q1415" i="6"/>
  <c r="O1415" i="6"/>
  <c r="M1415" i="6"/>
  <c r="K1415" i="6"/>
  <c r="I1415" i="6"/>
  <c r="L1415" i="6"/>
  <c r="P1415" i="6"/>
  <c r="T1415" i="6"/>
  <c r="S1417" i="6"/>
  <c r="Q1417" i="6"/>
  <c r="O1417" i="6"/>
  <c r="M1417" i="6"/>
  <c r="K1417" i="6"/>
  <c r="I1417" i="6"/>
  <c r="L1417" i="6"/>
  <c r="P1417" i="6"/>
  <c r="T1417" i="6"/>
  <c r="S1419" i="6"/>
  <c r="Q1419" i="6"/>
  <c r="O1419" i="6"/>
  <c r="M1419" i="6"/>
  <c r="K1419" i="6"/>
  <c r="I1419" i="6"/>
  <c r="L1419" i="6"/>
  <c r="P1419" i="6"/>
  <c r="T1419" i="6"/>
  <c r="S1421" i="6"/>
  <c r="Q1421" i="6"/>
  <c r="O1421" i="6"/>
  <c r="M1421" i="6"/>
  <c r="K1421" i="6"/>
  <c r="I1421" i="6"/>
  <c r="L1421" i="6"/>
  <c r="P1421" i="6"/>
  <c r="T1421" i="6"/>
  <c r="S1423" i="6"/>
  <c r="Q1423" i="6"/>
  <c r="O1423" i="6"/>
  <c r="M1423" i="6"/>
  <c r="K1423" i="6"/>
  <c r="I1423" i="6"/>
  <c r="L1423" i="6"/>
  <c r="P1423" i="6"/>
  <c r="T1423" i="6"/>
  <c r="S1425" i="6"/>
  <c r="Q1425" i="6"/>
  <c r="O1425" i="6"/>
  <c r="M1425" i="6"/>
  <c r="K1425" i="6"/>
  <c r="I1425" i="6"/>
  <c r="L1425" i="6"/>
  <c r="P1425" i="6"/>
  <c r="T1425" i="6"/>
  <c r="S1427" i="6"/>
  <c r="Q1427" i="6"/>
  <c r="O1427" i="6"/>
  <c r="M1427" i="6"/>
  <c r="K1427" i="6"/>
  <c r="I1427" i="6"/>
  <c r="L1427" i="6"/>
  <c r="P1427" i="6"/>
  <c r="T1427" i="6"/>
  <c r="S1429" i="6"/>
  <c r="Q1429" i="6"/>
  <c r="O1429" i="6"/>
  <c r="M1429" i="6"/>
  <c r="K1429" i="6"/>
  <c r="I1429" i="6"/>
  <c r="L1429" i="6"/>
  <c r="P1429" i="6"/>
  <c r="T1429" i="6"/>
  <c r="S1431" i="6"/>
  <c r="Q1431" i="6"/>
  <c r="O1431" i="6"/>
  <c r="M1431" i="6"/>
  <c r="K1431" i="6"/>
  <c r="I1431" i="6"/>
  <c r="L1431" i="6"/>
  <c r="P1431" i="6"/>
  <c r="T1431" i="6"/>
  <c r="S1433" i="6"/>
  <c r="Q1433" i="6"/>
  <c r="O1433" i="6"/>
  <c r="M1433" i="6"/>
  <c r="K1433" i="6"/>
  <c r="I1433" i="6"/>
  <c r="L1433" i="6"/>
  <c r="P1433" i="6"/>
  <c r="T1433" i="6"/>
  <c r="S1435" i="6"/>
  <c r="Q1435" i="6"/>
  <c r="O1435" i="6"/>
  <c r="M1435" i="6"/>
  <c r="K1435" i="6"/>
  <c r="I1435" i="6"/>
  <c r="L1435" i="6"/>
  <c r="P1435" i="6"/>
  <c r="T1435" i="6"/>
  <c r="S1437" i="6"/>
  <c r="Q1437" i="6"/>
  <c r="O1437" i="6"/>
  <c r="M1437" i="6"/>
  <c r="K1437" i="6"/>
  <c r="I1437" i="6"/>
  <c r="L1437" i="6"/>
  <c r="P1437" i="6"/>
  <c r="T1437" i="6"/>
  <c r="S1439" i="6"/>
  <c r="Q1439" i="6"/>
  <c r="O1439" i="6"/>
  <c r="M1439" i="6"/>
  <c r="K1439" i="6"/>
  <c r="I1439" i="6"/>
  <c r="L1439" i="6"/>
  <c r="P1439" i="6"/>
  <c r="T1439" i="6"/>
  <c r="S1441" i="6"/>
  <c r="Q1441" i="6"/>
  <c r="O1441" i="6"/>
  <c r="M1441" i="6"/>
  <c r="K1441" i="6"/>
  <c r="I1441" i="6"/>
  <c r="L1441" i="6"/>
  <c r="P1441" i="6"/>
  <c r="T1441" i="6"/>
  <c r="T1444" i="6"/>
  <c r="S1445" i="6"/>
  <c r="T1448" i="6"/>
  <c r="S1449" i="6"/>
  <c r="T1452" i="6"/>
  <c r="S1453" i="6"/>
  <c r="T1456" i="6"/>
  <c r="S1457" i="6"/>
  <c r="R1531" i="6"/>
  <c r="T1348" i="6"/>
  <c r="R1348" i="6"/>
  <c r="P1348" i="6"/>
  <c r="N1348" i="6"/>
  <c r="L1348" i="6"/>
  <c r="J1348" i="6"/>
  <c r="K1348" i="6"/>
  <c r="O1348" i="6"/>
  <c r="S1348" i="6"/>
  <c r="T1350" i="6"/>
  <c r="R1350" i="6"/>
  <c r="P1350" i="6"/>
  <c r="N1350" i="6"/>
  <c r="L1350" i="6"/>
  <c r="J1350" i="6"/>
  <c r="K1350" i="6"/>
  <c r="O1350" i="6"/>
  <c r="S1350" i="6"/>
  <c r="T1352" i="6"/>
  <c r="R1352" i="6"/>
  <c r="P1352" i="6"/>
  <c r="N1352" i="6"/>
  <c r="L1352" i="6"/>
  <c r="J1352" i="6"/>
  <c r="K1352" i="6"/>
  <c r="O1352" i="6"/>
  <c r="S1352" i="6"/>
  <c r="T1354" i="6"/>
  <c r="R1354" i="6"/>
  <c r="P1354" i="6"/>
  <c r="N1354" i="6"/>
  <c r="L1354" i="6"/>
  <c r="J1354" i="6"/>
  <c r="K1354" i="6"/>
  <c r="O1354" i="6"/>
  <c r="S1354" i="6"/>
  <c r="T1356" i="6"/>
  <c r="R1356" i="6"/>
  <c r="P1356" i="6"/>
  <c r="N1356" i="6"/>
  <c r="L1356" i="6"/>
  <c r="J1356" i="6"/>
  <c r="K1356" i="6"/>
  <c r="O1356" i="6"/>
  <c r="S1356" i="6"/>
  <c r="T1358" i="6"/>
  <c r="R1358" i="6"/>
  <c r="P1358" i="6"/>
  <c r="N1358" i="6"/>
  <c r="L1358" i="6"/>
  <c r="J1358" i="6"/>
  <c r="K1358" i="6"/>
  <c r="O1358" i="6"/>
  <c r="S1358" i="6"/>
  <c r="T1360" i="6"/>
  <c r="R1360" i="6"/>
  <c r="P1360" i="6"/>
  <c r="N1360" i="6"/>
  <c r="L1360" i="6"/>
  <c r="J1360" i="6"/>
  <c r="K1360" i="6"/>
  <c r="O1360" i="6"/>
  <c r="S1360" i="6"/>
  <c r="T1362" i="6"/>
  <c r="R1362" i="6"/>
  <c r="P1362" i="6"/>
  <c r="N1362" i="6"/>
  <c r="L1362" i="6"/>
  <c r="J1362" i="6"/>
  <c r="K1362" i="6"/>
  <c r="O1362" i="6"/>
  <c r="S1362" i="6"/>
  <c r="T1364" i="6"/>
  <c r="R1364" i="6"/>
  <c r="P1364" i="6"/>
  <c r="N1364" i="6"/>
  <c r="L1364" i="6"/>
  <c r="J1364" i="6"/>
  <c r="K1364" i="6"/>
  <c r="O1364" i="6"/>
  <c r="S1364" i="6"/>
  <c r="T1366" i="6"/>
  <c r="T1368" i="6"/>
  <c r="T1370" i="6"/>
  <c r="T1372" i="6"/>
  <c r="T1374" i="6"/>
  <c r="T1376" i="6"/>
  <c r="T1378" i="6"/>
  <c r="T1380" i="6"/>
  <c r="T1382" i="6"/>
  <c r="T1384" i="6"/>
  <c r="T1386" i="6"/>
  <c r="T1388" i="6"/>
  <c r="T1390" i="6"/>
  <c r="T1392" i="6"/>
  <c r="T1394" i="6"/>
  <c r="T1396" i="6"/>
  <c r="T1398" i="6"/>
  <c r="T1400" i="6"/>
  <c r="T1402" i="6"/>
  <c r="T1404" i="6"/>
  <c r="T1406" i="6"/>
  <c r="T1408" i="6"/>
  <c r="T1410" i="6"/>
  <c r="T1412" i="6"/>
  <c r="T1414" i="6"/>
  <c r="T1416" i="6"/>
  <c r="T1418" i="6"/>
  <c r="T1420" i="6"/>
  <c r="T1422" i="6"/>
  <c r="T1424" i="6"/>
  <c r="T1426" i="6"/>
  <c r="T1428" i="6"/>
  <c r="T1430" i="6"/>
  <c r="T1432" i="6"/>
  <c r="T1434" i="6"/>
  <c r="T1436" i="6"/>
  <c r="T1438" i="6"/>
  <c r="J1439" i="6"/>
  <c r="N1439" i="6"/>
  <c r="R1439" i="6"/>
  <c r="T1440" i="6"/>
  <c r="J1441" i="6"/>
  <c r="N1441" i="6"/>
  <c r="R1441" i="6"/>
  <c r="T1442" i="6"/>
  <c r="S1443" i="6"/>
  <c r="T1446" i="6"/>
  <c r="S1447" i="6"/>
  <c r="T1450" i="6"/>
  <c r="S1451" i="6"/>
  <c r="T1454" i="6"/>
  <c r="S1455" i="6"/>
  <c r="T1458" i="6"/>
  <c r="S1459" i="6"/>
  <c r="J1443" i="6"/>
  <c r="L1443" i="6"/>
  <c r="N1443" i="6"/>
  <c r="P1443" i="6"/>
  <c r="R1443" i="6"/>
  <c r="T1443" i="6"/>
  <c r="J1445" i="6"/>
  <c r="L1445" i="6"/>
  <c r="N1445" i="6"/>
  <c r="P1445" i="6"/>
  <c r="R1445" i="6"/>
  <c r="T1445" i="6"/>
  <c r="J1447" i="6"/>
  <c r="L1447" i="6"/>
  <c r="N1447" i="6"/>
  <c r="P1447" i="6"/>
  <c r="R1447" i="6"/>
  <c r="T1447" i="6"/>
  <c r="J1449" i="6"/>
  <c r="L1449" i="6"/>
  <c r="N1449" i="6"/>
  <c r="P1449" i="6"/>
  <c r="R1449" i="6"/>
  <c r="T1449" i="6"/>
  <c r="J1451" i="6"/>
  <c r="L1451" i="6"/>
  <c r="N1451" i="6"/>
  <c r="P1451" i="6"/>
  <c r="R1451" i="6"/>
  <c r="T1451" i="6"/>
  <c r="J1453" i="6"/>
  <c r="L1453" i="6"/>
  <c r="N1453" i="6"/>
  <c r="P1453" i="6"/>
  <c r="R1453" i="6"/>
  <c r="T1453" i="6"/>
  <c r="J1455" i="6"/>
  <c r="L1455" i="6"/>
  <c r="N1455" i="6"/>
  <c r="P1455" i="6"/>
  <c r="R1455" i="6"/>
  <c r="T1455" i="6"/>
  <c r="J1457" i="6"/>
  <c r="L1457" i="6"/>
  <c r="N1457" i="6"/>
  <c r="P1457" i="6"/>
  <c r="R1457" i="6"/>
  <c r="T1457" i="6"/>
  <c r="J1459" i="6"/>
  <c r="L1459" i="6"/>
  <c r="N1459" i="6"/>
  <c r="P1459" i="6"/>
  <c r="R1459" i="6"/>
  <c r="T1459" i="6"/>
  <c r="T1462" i="6"/>
  <c r="T1464" i="6"/>
  <c r="T1466" i="6"/>
  <c r="T1468" i="6"/>
  <c r="T1470" i="6"/>
  <c r="T1472" i="6"/>
  <c r="T1474" i="6"/>
  <c r="T1476" i="6"/>
  <c r="T1478" i="6"/>
  <c r="T1480" i="6"/>
  <c r="T1482" i="6"/>
  <c r="T1484" i="6"/>
  <c r="T1486" i="6"/>
  <c r="T1488" i="6"/>
  <c r="T1490" i="6"/>
  <c r="T1492" i="6"/>
  <c r="T1494" i="6"/>
  <c r="T1496" i="6"/>
  <c r="T1498" i="6"/>
  <c r="T1500" i="6"/>
  <c r="T1502" i="6"/>
  <c r="T1504" i="6"/>
  <c r="T1506" i="6"/>
  <c r="T1508" i="6"/>
  <c r="T1510" i="6"/>
  <c r="T1512" i="6"/>
  <c r="T1514" i="6"/>
  <c r="T1516" i="6"/>
  <c r="T1518" i="6"/>
  <c r="T1520" i="6"/>
  <c r="T1522" i="6"/>
  <c r="T1524" i="6"/>
  <c r="T1526" i="6"/>
  <c r="T1528" i="6"/>
  <c r="T1530" i="6"/>
  <c r="J1531" i="6"/>
  <c r="N1531" i="6"/>
  <c r="T1534" i="6"/>
  <c r="T1538" i="6"/>
  <c r="T1542" i="6"/>
  <c r="T1546" i="6"/>
  <c r="T1550" i="6"/>
  <c r="T1554" i="6"/>
  <c r="T1558" i="6"/>
  <c r="J1366" i="6"/>
  <c r="L1366" i="6"/>
  <c r="N1366" i="6"/>
  <c r="P1366" i="6"/>
  <c r="R1366" i="6"/>
  <c r="J1368" i="6"/>
  <c r="L1368" i="6"/>
  <c r="N1368" i="6"/>
  <c r="P1368" i="6"/>
  <c r="R1368" i="6"/>
  <c r="J1370" i="6"/>
  <c r="L1370" i="6"/>
  <c r="N1370" i="6"/>
  <c r="P1370" i="6"/>
  <c r="R1370" i="6"/>
  <c r="J1372" i="6"/>
  <c r="L1372" i="6"/>
  <c r="N1372" i="6"/>
  <c r="P1372" i="6"/>
  <c r="R1372" i="6"/>
  <c r="J1374" i="6"/>
  <c r="L1374" i="6"/>
  <c r="N1374" i="6"/>
  <c r="P1374" i="6"/>
  <c r="R1374" i="6"/>
  <c r="J1376" i="6"/>
  <c r="L1376" i="6"/>
  <c r="N1376" i="6"/>
  <c r="P1376" i="6"/>
  <c r="R1376" i="6"/>
  <c r="J1378" i="6"/>
  <c r="L1378" i="6"/>
  <c r="N1378" i="6"/>
  <c r="P1378" i="6"/>
  <c r="R1378" i="6"/>
  <c r="J1380" i="6"/>
  <c r="L1380" i="6"/>
  <c r="N1380" i="6"/>
  <c r="P1380" i="6"/>
  <c r="R1380" i="6"/>
  <c r="J1382" i="6"/>
  <c r="L1382" i="6"/>
  <c r="N1382" i="6"/>
  <c r="P1382" i="6"/>
  <c r="R1382" i="6"/>
  <c r="J1384" i="6"/>
  <c r="L1384" i="6"/>
  <c r="N1384" i="6"/>
  <c r="P1384" i="6"/>
  <c r="R1384" i="6"/>
  <c r="J1386" i="6"/>
  <c r="L1386" i="6"/>
  <c r="N1386" i="6"/>
  <c r="P1386" i="6"/>
  <c r="R1386" i="6"/>
  <c r="J1388" i="6"/>
  <c r="L1388" i="6"/>
  <c r="N1388" i="6"/>
  <c r="P1388" i="6"/>
  <c r="R1388" i="6"/>
  <c r="J1390" i="6"/>
  <c r="L1390" i="6"/>
  <c r="N1390" i="6"/>
  <c r="P1390" i="6"/>
  <c r="R1390" i="6"/>
  <c r="J1392" i="6"/>
  <c r="L1392" i="6"/>
  <c r="N1392" i="6"/>
  <c r="P1392" i="6"/>
  <c r="R1392" i="6"/>
  <c r="J1394" i="6"/>
  <c r="L1394" i="6"/>
  <c r="N1394" i="6"/>
  <c r="P1394" i="6"/>
  <c r="R1394" i="6"/>
  <c r="J1396" i="6"/>
  <c r="L1396" i="6"/>
  <c r="N1396" i="6"/>
  <c r="P1396" i="6"/>
  <c r="R1396" i="6"/>
  <c r="J1398" i="6"/>
  <c r="L1398" i="6"/>
  <c r="N1398" i="6"/>
  <c r="P1398" i="6"/>
  <c r="R1398" i="6"/>
  <c r="J1400" i="6"/>
  <c r="L1400" i="6"/>
  <c r="N1400" i="6"/>
  <c r="P1400" i="6"/>
  <c r="R1400" i="6"/>
  <c r="J1402" i="6"/>
  <c r="L1402" i="6"/>
  <c r="N1402" i="6"/>
  <c r="P1402" i="6"/>
  <c r="R1402" i="6"/>
  <c r="J1404" i="6"/>
  <c r="L1404" i="6"/>
  <c r="N1404" i="6"/>
  <c r="P1404" i="6"/>
  <c r="R1404" i="6"/>
  <c r="J1406" i="6"/>
  <c r="L1406" i="6"/>
  <c r="N1406" i="6"/>
  <c r="P1406" i="6"/>
  <c r="R1406" i="6"/>
  <c r="J1408" i="6"/>
  <c r="L1408" i="6"/>
  <c r="N1408" i="6"/>
  <c r="P1408" i="6"/>
  <c r="R1408" i="6"/>
  <c r="J1410" i="6"/>
  <c r="L1410" i="6"/>
  <c r="N1410" i="6"/>
  <c r="P1410" i="6"/>
  <c r="R1410" i="6"/>
  <c r="J1412" i="6"/>
  <c r="L1412" i="6"/>
  <c r="N1412" i="6"/>
  <c r="P1412" i="6"/>
  <c r="R1412" i="6"/>
  <c r="J1414" i="6"/>
  <c r="L1414" i="6"/>
  <c r="N1414" i="6"/>
  <c r="P1414" i="6"/>
  <c r="R1414" i="6"/>
  <c r="J1416" i="6"/>
  <c r="L1416" i="6"/>
  <c r="N1416" i="6"/>
  <c r="P1416" i="6"/>
  <c r="R1416" i="6"/>
  <c r="J1418" i="6"/>
  <c r="L1418" i="6"/>
  <c r="N1418" i="6"/>
  <c r="P1418" i="6"/>
  <c r="R1418" i="6"/>
  <c r="J1420" i="6"/>
  <c r="L1420" i="6"/>
  <c r="N1420" i="6"/>
  <c r="P1420" i="6"/>
  <c r="R1420" i="6"/>
  <c r="J1422" i="6"/>
  <c r="L1422" i="6"/>
  <c r="N1422" i="6"/>
  <c r="P1422" i="6"/>
  <c r="R1422" i="6"/>
  <c r="J1424" i="6"/>
  <c r="L1424" i="6"/>
  <c r="N1424" i="6"/>
  <c r="P1424" i="6"/>
  <c r="R1424" i="6"/>
  <c r="J1426" i="6"/>
  <c r="L1426" i="6"/>
  <c r="N1426" i="6"/>
  <c r="P1426" i="6"/>
  <c r="R1426" i="6"/>
  <c r="J1428" i="6"/>
  <c r="L1428" i="6"/>
  <c r="N1428" i="6"/>
  <c r="P1428" i="6"/>
  <c r="R1428" i="6"/>
  <c r="J1430" i="6"/>
  <c r="L1430" i="6"/>
  <c r="N1430" i="6"/>
  <c r="P1430" i="6"/>
  <c r="R1430" i="6"/>
  <c r="J1432" i="6"/>
  <c r="L1432" i="6"/>
  <c r="N1432" i="6"/>
  <c r="P1432" i="6"/>
  <c r="R1432" i="6"/>
  <c r="J1434" i="6"/>
  <c r="L1434" i="6"/>
  <c r="N1434" i="6"/>
  <c r="P1434" i="6"/>
  <c r="R1434" i="6"/>
  <c r="J1436" i="6"/>
  <c r="L1436" i="6"/>
  <c r="N1436" i="6"/>
  <c r="P1436" i="6"/>
  <c r="R1436" i="6"/>
  <c r="J1438" i="6"/>
  <c r="L1438" i="6"/>
  <c r="N1438" i="6"/>
  <c r="P1438" i="6"/>
  <c r="R1438" i="6"/>
  <c r="J1440" i="6"/>
  <c r="L1440" i="6"/>
  <c r="N1440" i="6"/>
  <c r="P1440" i="6"/>
  <c r="R1440" i="6"/>
  <c r="J1442" i="6"/>
  <c r="L1442" i="6"/>
  <c r="N1442" i="6"/>
  <c r="P1442" i="6"/>
  <c r="R1442" i="6"/>
  <c r="I1443" i="6"/>
  <c r="K1443" i="6"/>
  <c r="M1443" i="6"/>
  <c r="O1443" i="6"/>
  <c r="Q1443" i="6"/>
  <c r="J1444" i="6"/>
  <c r="L1444" i="6"/>
  <c r="N1444" i="6"/>
  <c r="P1444" i="6"/>
  <c r="R1444" i="6"/>
  <c r="I1445" i="6"/>
  <c r="K1445" i="6"/>
  <c r="M1445" i="6"/>
  <c r="O1445" i="6"/>
  <c r="Q1445" i="6"/>
  <c r="J1446" i="6"/>
  <c r="L1446" i="6"/>
  <c r="N1446" i="6"/>
  <c r="P1446" i="6"/>
  <c r="R1446" i="6"/>
  <c r="I1447" i="6"/>
  <c r="K1447" i="6"/>
  <c r="M1447" i="6"/>
  <c r="O1447" i="6"/>
  <c r="Q1447" i="6"/>
  <c r="J1448" i="6"/>
  <c r="L1448" i="6"/>
  <c r="N1448" i="6"/>
  <c r="P1448" i="6"/>
  <c r="R1448" i="6"/>
  <c r="I1449" i="6"/>
  <c r="K1449" i="6"/>
  <c r="M1449" i="6"/>
  <c r="O1449" i="6"/>
  <c r="Q1449" i="6"/>
  <c r="J1450" i="6"/>
  <c r="L1450" i="6"/>
  <c r="N1450" i="6"/>
  <c r="P1450" i="6"/>
  <c r="R1450" i="6"/>
  <c r="I1451" i="6"/>
  <c r="K1451" i="6"/>
  <c r="M1451" i="6"/>
  <c r="O1451" i="6"/>
  <c r="Q1451" i="6"/>
  <c r="J1452" i="6"/>
  <c r="L1452" i="6"/>
  <c r="N1452" i="6"/>
  <c r="P1452" i="6"/>
  <c r="R1452" i="6"/>
  <c r="I1453" i="6"/>
  <c r="K1453" i="6"/>
  <c r="M1453" i="6"/>
  <c r="O1453" i="6"/>
  <c r="Q1453" i="6"/>
  <c r="J1454" i="6"/>
  <c r="L1454" i="6"/>
  <c r="N1454" i="6"/>
  <c r="P1454" i="6"/>
  <c r="R1454" i="6"/>
  <c r="I1455" i="6"/>
  <c r="K1455" i="6"/>
  <c r="M1455" i="6"/>
  <c r="O1455" i="6"/>
  <c r="Q1455" i="6"/>
  <c r="J1456" i="6"/>
  <c r="L1456" i="6"/>
  <c r="N1456" i="6"/>
  <c r="P1456" i="6"/>
  <c r="R1456" i="6"/>
  <c r="I1457" i="6"/>
  <c r="K1457" i="6"/>
  <c r="M1457" i="6"/>
  <c r="O1457" i="6"/>
  <c r="Q1457" i="6"/>
  <c r="J1458" i="6"/>
  <c r="L1458" i="6"/>
  <c r="N1458" i="6"/>
  <c r="P1458" i="6"/>
  <c r="R1458" i="6"/>
  <c r="I1459" i="6"/>
  <c r="K1459" i="6"/>
  <c r="M1459" i="6"/>
  <c r="O1459" i="6"/>
  <c r="Q1459" i="6"/>
  <c r="T1460" i="6"/>
  <c r="R1460" i="6"/>
  <c r="P1460" i="6"/>
  <c r="N1460" i="6"/>
  <c r="L1460" i="6"/>
  <c r="J1460" i="6"/>
  <c r="M1460" i="6"/>
  <c r="Q1460" i="6"/>
  <c r="S1461" i="6"/>
  <c r="Q1461" i="6"/>
  <c r="O1461" i="6"/>
  <c r="M1461" i="6"/>
  <c r="K1461" i="6"/>
  <c r="I1461" i="6"/>
  <c r="L1461" i="6"/>
  <c r="P1461" i="6"/>
  <c r="T1461" i="6"/>
  <c r="S1463" i="6"/>
  <c r="Q1463" i="6"/>
  <c r="O1463" i="6"/>
  <c r="M1463" i="6"/>
  <c r="K1463" i="6"/>
  <c r="I1463" i="6"/>
  <c r="L1463" i="6"/>
  <c r="P1463" i="6"/>
  <c r="T1463" i="6"/>
  <c r="S1465" i="6"/>
  <c r="Q1465" i="6"/>
  <c r="O1465" i="6"/>
  <c r="M1465" i="6"/>
  <c r="K1465" i="6"/>
  <c r="I1465" i="6"/>
  <c r="L1465" i="6"/>
  <c r="P1465" i="6"/>
  <c r="T1465" i="6"/>
  <c r="S1467" i="6"/>
  <c r="Q1467" i="6"/>
  <c r="O1467" i="6"/>
  <c r="M1467" i="6"/>
  <c r="K1467" i="6"/>
  <c r="I1467" i="6"/>
  <c r="L1467" i="6"/>
  <c r="P1467" i="6"/>
  <c r="T1467" i="6"/>
  <c r="S1469" i="6"/>
  <c r="Q1469" i="6"/>
  <c r="O1469" i="6"/>
  <c r="M1469" i="6"/>
  <c r="K1469" i="6"/>
  <c r="I1469" i="6"/>
  <c r="L1469" i="6"/>
  <c r="P1469" i="6"/>
  <c r="T1469" i="6"/>
  <c r="S1471" i="6"/>
  <c r="Q1471" i="6"/>
  <c r="O1471" i="6"/>
  <c r="M1471" i="6"/>
  <c r="K1471" i="6"/>
  <c r="I1471" i="6"/>
  <c r="L1471" i="6"/>
  <c r="P1471" i="6"/>
  <c r="T1471" i="6"/>
  <c r="S1473" i="6"/>
  <c r="Q1473" i="6"/>
  <c r="O1473" i="6"/>
  <c r="M1473" i="6"/>
  <c r="K1473" i="6"/>
  <c r="I1473" i="6"/>
  <c r="L1473" i="6"/>
  <c r="P1473" i="6"/>
  <c r="T1473" i="6"/>
  <c r="S1475" i="6"/>
  <c r="Q1475" i="6"/>
  <c r="O1475" i="6"/>
  <c r="M1475" i="6"/>
  <c r="K1475" i="6"/>
  <c r="I1475" i="6"/>
  <c r="L1475" i="6"/>
  <c r="P1475" i="6"/>
  <c r="T1475" i="6"/>
  <c r="S1477" i="6"/>
  <c r="Q1477" i="6"/>
  <c r="O1477" i="6"/>
  <c r="M1477" i="6"/>
  <c r="K1477" i="6"/>
  <c r="I1477" i="6"/>
  <c r="L1477" i="6"/>
  <c r="P1477" i="6"/>
  <c r="T1477" i="6"/>
  <c r="S1479" i="6"/>
  <c r="Q1479" i="6"/>
  <c r="O1479" i="6"/>
  <c r="M1479" i="6"/>
  <c r="K1479" i="6"/>
  <c r="I1479" i="6"/>
  <c r="L1479" i="6"/>
  <c r="P1479" i="6"/>
  <c r="T1479" i="6"/>
  <c r="S1481" i="6"/>
  <c r="Q1481" i="6"/>
  <c r="O1481" i="6"/>
  <c r="M1481" i="6"/>
  <c r="K1481" i="6"/>
  <c r="I1481" i="6"/>
  <c r="L1481" i="6"/>
  <c r="P1481" i="6"/>
  <c r="T1481" i="6"/>
  <c r="S1483" i="6"/>
  <c r="Q1483" i="6"/>
  <c r="O1483" i="6"/>
  <c r="M1483" i="6"/>
  <c r="K1483" i="6"/>
  <c r="I1483" i="6"/>
  <c r="L1483" i="6"/>
  <c r="P1483" i="6"/>
  <c r="T1483" i="6"/>
  <c r="S1485" i="6"/>
  <c r="Q1485" i="6"/>
  <c r="O1485" i="6"/>
  <c r="M1485" i="6"/>
  <c r="K1485" i="6"/>
  <c r="I1485" i="6"/>
  <c r="L1485" i="6"/>
  <c r="P1485" i="6"/>
  <c r="T1485" i="6"/>
  <c r="S1487" i="6"/>
  <c r="Q1487" i="6"/>
  <c r="O1487" i="6"/>
  <c r="M1487" i="6"/>
  <c r="K1487" i="6"/>
  <c r="I1487" i="6"/>
  <c r="L1487" i="6"/>
  <c r="P1487" i="6"/>
  <c r="T1487" i="6"/>
  <c r="S1489" i="6"/>
  <c r="Q1489" i="6"/>
  <c r="O1489" i="6"/>
  <c r="M1489" i="6"/>
  <c r="K1489" i="6"/>
  <c r="I1489" i="6"/>
  <c r="L1489" i="6"/>
  <c r="P1489" i="6"/>
  <c r="T1489" i="6"/>
  <c r="S1491" i="6"/>
  <c r="Q1491" i="6"/>
  <c r="O1491" i="6"/>
  <c r="M1491" i="6"/>
  <c r="K1491" i="6"/>
  <c r="I1491" i="6"/>
  <c r="L1491" i="6"/>
  <c r="P1491" i="6"/>
  <c r="T1491" i="6"/>
  <c r="S1493" i="6"/>
  <c r="Q1493" i="6"/>
  <c r="O1493" i="6"/>
  <c r="M1493" i="6"/>
  <c r="K1493" i="6"/>
  <c r="I1493" i="6"/>
  <c r="L1493" i="6"/>
  <c r="P1493" i="6"/>
  <c r="T1493" i="6"/>
  <c r="S1495" i="6"/>
  <c r="Q1495" i="6"/>
  <c r="O1495" i="6"/>
  <c r="M1495" i="6"/>
  <c r="K1495" i="6"/>
  <c r="I1495" i="6"/>
  <c r="L1495" i="6"/>
  <c r="P1495" i="6"/>
  <c r="T1495" i="6"/>
  <c r="S1497" i="6"/>
  <c r="Q1497" i="6"/>
  <c r="O1497" i="6"/>
  <c r="M1497" i="6"/>
  <c r="K1497" i="6"/>
  <c r="I1497" i="6"/>
  <c r="L1497" i="6"/>
  <c r="P1497" i="6"/>
  <c r="T1497" i="6"/>
  <c r="S1499" i="6"/>
  <c r="Q1499" i="6"/>
  <c r="O1499" i="6"/>
  <c r="M1499" i="6"/>
  <c r="K1499" i="6"/>
  <c r="I1499" i="6"/>
  <c r="L1499" i="6"/>
  <c r="P1499" i="6"/>
  <c r="T1499" i="6"/>
  <c r="S1501" i="6"/>
  <c r="Q1501" i="6"/>
  <c r="O1501" i="6"/>
  <c r="M1501" i="6"/>
  <c r="K1501" i="6"/>
  <c r="I1501" i="6"/>
  <c r="L1501" i="6"/>
  <c r="P1501" i="6"/>
  <c r="T1501" i="6"/>
  <c r="S1503" i="6"/>
  <c r="Q1503" i="6"/>
  <c r="O1503" i="6"/>
  <c r="M1503" i="6"/>
  <c r="K1503" i="6"/>
  <c r="I1503" i="6"/>
  <c r="L1503" i="6"/>
  <c r="P1503" i="6"/>
  <c r="T1503" i="6"/>
  <c r="S1505" i="6"/>
  <c r="Q1505" i="6"/>
  <c r="O1505" i="6"/>
  <c r="M1505" i="6"/>
  <c r="K1505" i="6"/>
  <c r="I1505" i="6"/>
  <c r="L1505" i="6"/>
  <c r="P1505" i="6"/>
  <c r="T1505" i="6"/>
  <c r="S1507" i="6"/>
  <c r="Q1507" i="6"/>
  <c r="O1507" i="6"/>
  <c r="M1507" i="6"/>
  <c r="K1507" i="6"/>
  <c r="I1507" i="6"/>
  <c r="L1507" i="6"/>
  <c r="P1507" i="6"/>
  <c r="T1507" i="6"/>
  <c r="S1509" i="6"/>
  <c r="Q1509" i="6"/>
  <c r="O1509" i="6"/>
  <c r="M1509" i="6"/>
  <c r="K1509" i="6"/>
  <c r="I1509" i="6"/>
  <c r="L1509" i="6"/>
  <c r="P1509" i="6"/>
  <c r="T1509" i="6"/>
  <c r="S1511" i="6"/>
  <c r="Q1511" i="6"/>
  <c r="O1511" i="6"/>
  <c r="M1511" i="6"/>
  <c r="K1511" i="6"/>
  <c r="I1511" i="6"/>
  <c r="L1511" i="6"/>
  <c r="P1511" i="6"/>
  <c r="T1511" i="6"/>
  <c r="S1513" i="6"/>
  <c r="Q1513" i="6"/>
  <c r="O1513" i="6"/>
  <c r="M1513" i="6"/>
  <c r="K1513" i="6"/>
  <c r="I1513" i="6"/>
  <c r="L1513" i="6"/>
  <c r="P1513" i="6"/>
  <c r="T1513" i="6"/>
  <c r="S1515" i="6"/>
  <c r="Q1515" i="6"/>
  <c r="O1515" i="6"/>
  <c r="M1515" i="6"/>
  <c r="K1515" i="6"/>
  <c r="I1515" i="6"/>
  <c r="L1515" i="6"/>
  <c r="P1515" i="6"/>
  <c r="T1515" i="6"/>
  <c r="S1517" i="6"/>
  <c r="Q1517" i="6"/>
  <c r="O1517" i="6"/>
  <c r="M1517" i="6"/>
  <c r="K1517" i="6"/>
  <c r="I1517" i="6"/>
  <c r="L1517" i="6"/>
  <c r="P1517" i="6"/>
  <c r="T1517" i="6"/>
  <c r="S1519" i="6"/>
  <c r="Q1519" i="6"/>
  <c r="O1519" i="6"/>
  <c r="M1519" i="6"/>
  <c r="K1519" i="6"/>
  <c r="I1519" i="6"/>
  <c r="L1519" i="6"/>
  <c r="P1519" i="6"/>
  <c r="T1519" i="6"/>
  <c r="S1521" i="6"/>
  <c r="Q1521" i="6"/>
  <c r="O1521" i="6"/>
  <c r="M1521" i="6"/>
  <c r="K1521" i="6"/>
  <c r="I1521" i="6"/>
  <c r="L1521" i="6"/>
  <c r="P1521" i="6"/>
  <c r="T1521" i="6"/>
  <c r="S1523" i="6"/>
  <c r="Q1523" i="6"/>
  <c r="O1523" i="6"/>
  <c r="M1523" i="6"/>
  <c r="K1523" i="6"/>
  <c r="I1523" i="6"/>
  <c r="L1523" i="6"/>
  <c r="P1523" i="6"/>
  <c r="T1523" i="6"/>
  <c r="S1525" i="6"/>
  <c r="Q1525" i="6"/>
  <c r="O1525" i="6"/>
  <c r="M1525" i="6"/>
  <c r="K1525" i="6"/>
  <c r="I1525" i="6"/>
  <c r="L1525" i="6"/>
  <c r="P1525" i="6"/>
  <c r="T1525" i="6"/>
  <c r="S1527" i="6"/>
  <c r="Q1527" i="6"/>
  <c r="O1527" i="6"/>
  <c r="M1527" i="6"/>
  <c r="K1527" i="6"/>
  <c r="I1527" i="6"/>
  <c r="L1527" i="6"/>
  <c r="P1527" i="6"/>
  <c r="T1527" i="6"/>
  <c r="S1529" i="6"/>
  <c r="Q1529" i="6"/>
  <c r="O1529" i="6"/>
  <c r="M1529" i="6"/>
  <c r="K1529" i="6"/>
  <c r="I1529" i="6"/>
  <c r="L1529" i="6"/>
  <c r="P1529" i="6"/>
  <c r="T1529" i="6"/>
  <c r="S1531" i="6"/>
  <c r="T1531" i="6"/>
  <c r="Q1531" i="6"/>
  <c r="O1531" i="6"/>
  <c r="M1531" i="6"/>
  <c r="K1531" i="6"/>
  <c r="I1531" i="6"/>
  <c r="L1531" i="6"/>
  <c r="P1531" i="6"/>
  <c r="T1532" i="6"/>
  <c r="T1536" i="6"/>
  <c r="T1540" i="6"/>
  <c r="T1544" i="6"/>
  <c r="T1548" i="6"/>
  <c r="T1552" i="6"/>
  <c r="T1556" i="6"/>
  <c r="J1462" i="6"/>
  <c r="L1462" i="6"/>
  <c r="N1462" i="6"/>
  <c r="P1462" i="6"/>
  <c r="R1462" i="6"/>
  <c r="J1464" i="6"/>
  <c r="L1464" i="6"/>
  <c r="N1464" i="6"/>
  <c r="P1464" i="6"/>
  <c r="R1464" i="6"/>
  <c r="J1466" i="6"/>
  <c r="L1466" i="6"/>
  <c r="N1466" i="6"/>
  <c r="P1466" i="6"/>
  <c r="R1466" i="6"/>
  <c r="J1468" i="6"/>
  <c r="L1468" i="6"/>
  <c r="N1468" i="6"/>
  <c r="P1468" i="6"/>
  <c r="R1468" i="6"/>
  <c r="J1470" i="6"/>
  <c r="L1470" i="6"/>
  <c r="N1470" i="6"/>
  <c r="P1470" i="6"/>
  <c r="R1470" i="6"/>
  <c r="J1472" i="6"/>
  <c r="L1472" i="6"/>
  <c r="N1472" i="6"/>
  <c r="P1472" i="6"/>
  <c r="R1472" i="6"/>
  <c r="J1474" i="6"/>
  <c r="L1474" i="6"/>
  <c r="N1474" i="6"/>
  <c r="P1474" i="6"/>
  <c r="R1474" i="6"/>
  <c r="J1476" i="6"/>
  <c r="L1476" i="6"/>
  <c r="N1476" i="6"/>
  <c r="P1476" i="6"/>
  <c r="R1476" i="6"/>
  <c r="J1478" i="6"/>
  <c r="L1478" i="6"/>
  <c r="N1478" i="6"/>
  <c r="P1478" i="6"/>
  <c r="R1478" i="6"/>
  <c r="J1480" i="6"/>
  <c r="L1480" i="6"/>
  <c r="N1480" i="6"/>
  <c r="P1480" i="6"/>
  <c r="R1480" i="6"/>
  <c r="J1482" i="6"/>
  <c r="L1482" i="6"/>
  <c r="N1482" i="6"/>
  <c r="P1482" i="6"/>
  <c r="R1482" i="6"/>
  <c r="J1484" i="6"/>
  <c r="L1484" i="6"/>
  <c r="N1484" i="6"/>
  <c r="P1484" i="6"/>
  <c r="R1484" i="6"/>
  <c r="J1486" i="6"/>
  <c r="L1486" i="6"/>
  <c r="N1486" i="6"/>
  <c r="P1486" i="6"/>
  <c r="R1486" i="6"/>
  <c r="J1488" i="6"/>
  <c r="L1488" i="6"/>
  <c r="N1488" i="6"/>
  <c r="P1488" i="6"/>
  <c r="R1488" i="6"/>
  <c r="J1490" i="6"/>
  <c r="L1490" i="6"/>
  <c r="N1490" i="6"/>
  <c r="P1490" i="6"/>
  <c r="R1490" i="6"/>
  <c r="J1492" i="6"/>
  <c r="L1492" i="6"/>
  <c r="N1492" i="6"/>
  <c r="P1492" i="6"/>
  <c r="R1492" i="6"/>
  <c r="J1494" i="6"/>
  <c r="L1494" i="6"/>
  <c r="N1494" i="6"/>
  <c r="P1494" i="6"/>
  <c r="R1494" i="6"/>
  <c r="J1496" i="6"/>
  <c r="L1496" i="6"/>
  <c r="N1496" i="6"/>
  <c r="P1496" i="6"/>
  <c r="R1496" i="6"/>
  <c r="J1498" i="6"/>
  <c r="L1498" i="6"/>
  <c r="N1498" i="6"/>
  <c r="P1498" i="6"/>
  <c r="R1498" i="6"/>
  <c r="J1500" i="6"/>
  <c r="L1500" i="6"/>
  <c r="N1500" i="6"/>
  <c r="P1500" i="6"/>
  <c r="R1500" i="6"/>
  <c r="J1502" i="6"/>
  <c r="L1502" i="6"/>
  <c r="N1502" i="6"/>
  <c r="P1502" i="6"/>
  <c r="R1502" i="6"/>
  <c r="J1504" i="6"/>
  <c r="L1504" i="6"/>
  <c r="N1504" i="6"/>
  <c r="P1504" i="6"/>
  <c r="R1504" i="6"/>
  <c r="J1506" i="6"/>
  <c r="L1506" i="6"/>
  <c r="N1506" i="6"/>
  <c r="P1506" i="6"/>
  <c r="R1506" i="6"/>
  <c r="J1508" i="6"/>
  <c r="L1508" i="6"/>
  <c r="N1508" i="6"/>
  <c r="P1508" i="6"/>
  <c r="R1508" i="6"/>
  <c r="J1510" i="6"/>
  <c r="L1510" i="6"/>
  <c r="N1510" i="6"/>
  <c r="P1510" i="6"/>
  <c r="R1510" i="6"/>
  <c r="J1512" i="6"/>
  <c r="L1512" i="6"/>
  <c r="N1512" i="6"/>
  <c r="P1512" i="6"/>
  <c r="R1512" i="6"/>
  <c r="J1514" i="6"/>
  <c r="L1514" i="6"/>
  <c r="N1514" i="6"/>
  <c r="P1514" i="6"/>
  <c r="R1514" i="6"/>
  <c r="J1516" i="6"/>
  <c r="L1516" i="6"/>
  <c r="N1516" i="6"/>
  <c r="P1516" i="6"/>
  <c r="R1516" i="6"/>
  <c r="J1518" i="6"/>
  <c r="L1518" i="6"/>
  <c r="N1518" i="6"/>
  <c r="P1518" i="6"/>
  <c r="R1518" i="6"/>
  <c r="J1520" i="6"/>
  <c r="L1520" i="6"/>
  <c r="N1520" i="6"/>
  <c r="P1520" i="6"/>
  <c r="R1520" i="6"/>
  <c r="J1522" i="6"/>
  <c r="L1522" i="6"/>
  <c r="N1522" i="6"/>
  <c r="P1522" i="6"/>
  <c r="R1522" i="6"/>
  <c r="J1524" i="6"/>
  <c r="L1524" i="6"/>
  <c r="N1524" i="6"/>
  <c r="P1524" i="6"/>
  <c r="R1524" i="6"/>
  <c r="J1526" i="6"/>
  <c r="L1526" i="6"/>
  <c r="N1526" i="6"/>
  <c r="P1526" i="6"/>
  <c r="R1526" i="6"/>
  <c r="J1528" i="6"/>
  <c r="L1528" i="6"/>
  <c r="N1528" i="6"/>
  <c r="P1528" i="6"/>
  <c r="R1528" i="6"/>
  <c r="J1530" i="6"/>
  <c r="L1530" i="6"/>
  <c r="N1530" i="6"/>
  <c r="P1530" i="6"/>
  <c r="R1530" i="6"/>
  <c r="S1533" i="6"/>
  <c r="Q1533" i="6"/>
  <c r="O1533" i="6"/>
  <c r="M1533" i="6"/>
  <c r="K1533" i="6"/>
  <c r="I1533" i="6"/>
  <c r="L1533" i="6"/>
  <c r="P1533" i="6"/>
  <c r="T1533" i="6"/>
  <c r="S1535" i="6"/>
  <c r="Q1535" i="6"/>
  <c r="O1535" i="6"/>
  <c r="M1535" i="6"/>
  <c r="K1535" i="6"/>
  <c r="I1535" i="6"/>
  <c r="L1535" i="6"/>
  <c r="P1535" i="6"/>
  <c r="T1535" i="6"/>
  <c r="S1537" i="6"/>
  <c r="Q1537" i="6"/>
  <c r="O1537" i="6"/>
  <c r="M1537" i="6"/>
  <c r="K1537" i="6"/>
  <c r="I1537" i="6"/>
  <c r="L1537" i="6"/>
  <c r="P1537" i="6"/>
  <c r="T1537" i="6"/>
  <c r="S1539" i="6"/>
  <c r="Q1539" i="6"/>
  <c r="O1539" i="6"/>
  <c r="M1539" i="6"/>
  <c r="K1539" i="6"/>
  <c r="I1539" i="6"/>
  <c r="L1539" i="6"/>
  <c r="P1539" i="6"/>
  <c r="T1539" i="6"/>
  <c r="S1541" i="6"/>
  <c r="Q1541" i="6"/>
  <c r="O1541" i="6"/>
  <c r="M1541" i="6"/>
  <c r="K1541" i="6"/>
  <c r="I1541" i="6"/>
  <c r="L1541" i="6"/>
  <c r="P1541" i="6"/>
  <c r="T1541" i="6"/>
  <c r="S1543" i="6"/>
  <c r="Q1543" i="6"/>
  <c r="O1543" i="6"/>
  <c r="M1543" i="6"/>
  <c r="K1543" i="6"/>
  <c r="I1543" i="6"/>
  <c r="L1543" i="6"/>
  <c r="P1543" i="6"/>
  <c r="T1543" i="6"/>
  <c r="S1545" i="6"/>
  <c r="Q1545" i="6"/>
  <c r="O1545" i="6"/>
  <c r="M1545" i="6"/>
  <c r="K1545" i="6"/>
  <c r="I1545" i="6"/>
  <c r="L1545" i="6"/>
  <c r="P1545" i="6"/>
  <c r="T1545" i="6"/>
  <c r="S1547" i="6"/>
  <c r="Q1547" i="6"/>
  <c r="O1547" i="6"/>
  <c r="M1547" i="6"/>
  <c r="K1547" i="6"/>
  <c r="I1547" i="6"/>
  <c r="L1547" i="6"/>
  <c r="P1547" i="6"/>
  <c r="T1547" i="6"/>
  <c r="S1549" i="6"/>
  <c r="Q1549" i="6"/>
  <c r="O1549" i="6"/>
  <c r="M1549" i="6"/>
  <c r="K1549" i="6"/>
  <c r="I1549" i="6"/>
  <c r="L1549" i="6"/>
  <c r="P1549" i="6"/>
  <c r="T1549" i="6"/>
  <c r="S1551" i="6"/>
  <c r="Q1551" i="6"/>
  <c r="O1551" i="6"/>
  <c r="M1551" i="6"/>
  <c r="K1551" i="6"/>
  <c r="I1551" i="6"/>
  <c r="L1551" i="6"/>
  <c r="P1551" i="6"/>
  <c r="T1551" i="6"/>
  <c r="S1553" i="6"/>
  <c r="Q1553" i="6"/>
  <c r="O1553" i="6"/>
  <c r="M1553" i="6"/>
  <c r="K1553" i="6"/>
  <c r="I1553" i="6"/>
  <c r="L1553" i="6"/>
  <c r="P1553" i="6"/>
  <c r="T1553" i="6"/>
  <c r="S1555" i="6"/>
  <c r="Q1555" i="6"/>
  <c r="O1555" i="6"/>
  <c r="M1555" i="6"/>
  <c r="K1555" i="6"/>
  <c r="I1555" i="6"/>
  <c r="L1555" i="6"/>
  <c r="P1555" i="6"/>
  <c r="T1555" i="6"/>
  <c r="S1557" i="6"/>
  <c r="Q1557" i="6"/>
  <c r="O1557" i="6"/>
  <c r="M1557" i="6"/>
  <c r="K1557" i="6"/>
  <c r="I1557" i="6"/>
  <c r="L1557" i="6"/>
  <c r="P1557" i="6"/>
  <c r="T1557" i="6"/>
  <c r="S1559" i="6"/>
  <c r="Q1559" i="6"/>
  <c r="O1559" i="6"/>
  <c r="M1559" i="6"/>
  <c r="K1559" i="6"/>
  <c r="I1559" i="6"/>
  <c r="L1559" i="6"/>
  <c r="P1559" i="6"/>
  <c r="T1559" i="6"/>
  <c r="S1561" i="6"/>
  <c r="Q1561" i="6"/>
  <c r="O1561" i="6"/>
  <c r="M1561" i="6"/>
  <c r="K1561" i="6"/>
  <c r="I1561" i="6"/>
  <c r="L1561" i="6"/>
  <c r="P1561" i="6"/>
  <c r="T1561" i="6"/>
  <c r="S1563" i="6"/>
  <c r="Q1563" i="6"/>
  <c r="O1563" i="6"/>
  <c r="M1563" i="6"/>
  <c r="K1563" i="6"/>
  <c r="I1563" i="6"/>
  <c r="L1563" i="6"/>
  <c r="P1563" i="6"/>
  <c r="T1563" i="6"/>
  <c r="S1565" i="6"/>
  <c r="Q1565" i="6"/>
  <c r="O1565" i="6"/>
  <c r="M1565" i="6"/>
  <c r="K1565" i="6"/>
  <c r="I1565" i="6"/>
  <c r="L1565" i="6"/>
  <c r="P1565" i="6"/>
  <c r="T1565" i="6"/>
  <c r="S1567" i="6"/>
  <c r="Q1567" i="6"/>
  <c r="O1567" i="6"/>
  <c r="M1567" i="6"/>
  <c r="K1567" i="6"/>
  <c r="I1567" i="6"/>
  <c r="L1567" i="6"/>
  <c r="P1567" i="6"/>
  <c r="T1567" i="6"/>
  <c r="S1569" i="6"/>
  <c r="Q1569" i="6"/>
  <c r="O1569" i="6"/>
  <c r="M1569" i="6"/>
  <c r="K1569" i="6"/>
  <c r="I1569" i="6"/>
  <c r="L1569" i="6"/>
  <c r="P1569" i="6"/>
  <c r="T1569" i="6"/>
  <c r="S1571" i="6"/>
  <c r="Q1571" i="6"/>
  <c r="O1571" i="6"/>
  <c r="M1571" i="6"/>
  <c r="K1571" i="6"/>
  <c r="I1571" i="6"/>
  <c r="L1571" i="6"/>
  <c r="P1571" i="6"/>
  <c r="T1571" i="6"/>
  <c r="S1573" i="6"/>
  <c r="Q1573" i="6"/>
  <c r="O1573" i="6"/>
  <c r="M1573" i="6"/>
  <c r="K1573" i="6"/>
  <c r="I1573" i="6"/>
  <c r="L1573" i="6"/>
  <c r="P1573" i="6"/>
  <c r="T1573" i="6"/>
  <c r="S1575" i="6"/>
  <c r="Q1575" i="6"/>
  <c r="O1575" i="6"/>
  <c r="M1575" i="6"/>
  <c r="K1575" i="6"/>
  <c r="I1575" i="6"/>
  <c r="L1575" i="6"/>
  <c r="P1575" i="6"/>
  <c r="T1575" i="6"/>
  <c r="S1577" i="6"/>
  <c r="Q1577" i="6"/>
  <c r="O1577" i="6"/>
  <c r="M1577" i="6"/>
  <c r="K1577" i="6"/>
  <c r="I1577" i="6"/>
  <c r="L1577" i="6"/>
  <c r="P1577" i="6"/>
  <c r="T1577" i="6"/>
  <c r="S1579" i="6"/>
  <c r="Q1579" i="6"/>
  <c r="O1579" i="6"/>
  <c r="M1579" i="6"/>
  <c r="K1579" i="6"/>
  <c r="I1579" i="6"/>
  <c r="L1579" i="6"/>
  <c r="P1579" i="6"/>
  <c r="T1579" i="6"/>
  <c r="S1581" i="6"/>
  <c r="Q1581" i="6"/>
  <c r="O1581" i="6"/>
  <c r="M1581" i="6"/>
  <c r="K1581" i="6"/>
  <c r="I1581" i="6"/>
  <c r="L1581" i="6"/>
  <c r="P1581" i="6"/>
  <c r="T1581" i="6"/>
  <c r="S1583" i="6"/>
  <c r="Q1583" i="6"/>
  <c r="O1583" i="6"/>
  <c r="M1583" i="6"/>
  <c r="K1583" i="6"/>
  <c r="I1583" i="6"/>
  <c r="L1583" i="6"/>
  <c r="P1583" i="6"/>
  <c r="T1583" i="6"/>
  <c r="S1585" i="6"/>
  <c r="Q1585" i="6"/>
  <c r="O1585" i="6"/>
  <c r="M1585" i="6"/>
  <c r="K1585" i="6"/>
  <c r="I1585" i="6"/>
  <c r="L1585" i="6"/>
  <c r="P1585" i="6"/>
  <c r="T1585" i="6"/>
  <c r="S1587" i="6"/>
  <c r="Q1587" i="6"/>
  <c r="O1587" i="6"/>
  <c r="M1587" i="6"/>
  <c r="K1587" i="6"/>
  <c r="I1587" i="6"/>
  <c r="L1587" i="6"/>
  <c r="P1587" i="6"/>
  <c r="T1587" i="6"/>
  <c r="S1589" i="6"/>
  <c r="Q1589" i="6"/>
  <c r="O1589" i="6"/>
  <c r="M1589" i="6"/>
  <c r="K1589" i="6"/>
  <c r="I1589" i="6"/>
  <c r="L1589" i="6"/>
  <c r="P1589" i="6"/>
  <c r="T1589" i="6"/>
  <c r="S1591" i="6"/>
  <c r="Q1591" i="6"/>
  <c r="O1591" i="6"/>
  <c r="M1591" i="6"/>
  <c r="K1591" i="6"/>
  <c r="I1591" i="6"/>
  <c r="L1591" i="6"/>
  <c r="P1591" i="6"/>
  <c r="T1591" i="6"/>
  <c r="S1593" i="6"/>
  <c r="Q1593" i="6"/>
  <c r="O1593" i="6"/>
  <c r="M1593" i="6"/>
  <c r="K1593" i="6"/>
  <c r="I1593" i="6"/>
  <c r="L1593" i="6"/>
  <c r="P1593" i="6"/>
  <c r="T1593" i="6"/>
  <c r="S1595" i="6"/>
  <c r="Q1595" i="6"/>
  <c r="O1595" i="6"/>
  <c r="M1595" i="6"/>
  <c r="K1595" i="6"/>
  <c r="I1595" i="6"/>
  <c r="L1595" i="6"/>
  <c r="P1595" i="6"/>
  <c r="T1595" i="6"/>
  <c r="S1597" i="6"/>
  <c r="Q1597" i="6"/>
  <c r="O1597" i="6"/>
  <c r="M1597" i="6"/>
  <c r="K1597" i="6"/>
  <c r="I1597" i="6"/>
  <c r="L1597" i="6"/>
  <c r="P1597" i="6"/>
  <c r="T1597" i="6"/>
  <c r="S1599" i="6"/>
  <c r="Q1599" i="6"/>
  <c r="O1599" i="6"/>
  <c r="M1599" i="6"/>
  <c r="K1599" i="6"/>
  <c r="I1599" i="6"/>
  <c r="L1599" i="6"/>
  <c r="P1599" i="6"/>
  <c r="T1599" i="6"/>
  <c r="T1604" i="6"/>
  <c r="T1608" i="6"/>
  <c r="T1612" i="6"/>
  <c r="T1616" i="6"/>
  <c r="T1620" i="6"/>
  <c r="T1624" i="6"/>
  <c r="T1628" i="6"/>
  <c r="T1632" i="6"/>
  <c r="T1636" i="6"/>
  <c r="T1640" i="6"/>
  <c r="T1644" i="6"/>
  <c r="T1560" i="6"/>
  <c r="T1562" i="6"/>
  <c r="T1564" i="6"/>
  <c r="T1566" i="6"/>
  <c r="T1568" i="6"/>
  <c r="T1570" i="6"/>
  <c r="T1572" i="6"/>
  <c r="T1574" i="6"/>
  <c r="T1576" i="6"/>
  <c r="T1578" i="6"/>
  <c r="T1580" i="6"/>
  <c r="T1582" i="6"/>
  <c r="T1584" i="6"/>
  <c r="T1586" i="6"/>
  <c r="T1588" i="6"/>
  <c r="T1590" i="6"/>
  <c r="T1592" i="6"/>
  <c r="T1594" i="6"/>
  <c r="T1596" i="6"/>
  <c r="T1598" i="6"/>
  <c r="T1600" i="6"/>
  <c r="T1602" i="6"/>
  <c r="T1606" i="6"/>
  <c r="T1610" i="6"/>
  <c r="T1614" i="6"/>
  <c r="T1618" i="6"/>
  <c r="T1622" i="6"/>
  <c r="T1626" i="6"/>
  <c r="T1630" i="6"/>
  <c r="T1634" i="6"/>
  <c r="T1638" i="6"/>
  <c r="T1642" i="6"/>
  <c r="S1601" i="6"/>
  <c r="Q1601" i="6"/>
  <c r="O1601" i="6"/>
  <c r="M1601" i="6"/>
  <c r="K1601" i="6"/>
  <c r="I1601" i="6"/>
  <c r="L1601" i="6"/>
  <c r="P1601" i="6"/>
  <c r="T1601" i="6"/>
  <c r="S1603" i="6"/>
  <c r="Q1603" i="6"/>
  <c r="O1603" i="6"/>
  <c r="M1603" i="6"/>
  <c r="K1603" i="6"/>
  <c r="I1603" i="6"/>
  <c r="L1603" i="6"/>
  <c r="P1603" i="6"/>
  <c r="T1603" i="6"/>
  <c r="S1605" i="6"/>
  <c r="Q1605" i="6"/>
  <c r="O1605" i="6"/>
  <c r="M1605" i="6"/>
  <c r="K1605" i="6"/>
  <c r="I1605" i="6"/>
  <c r="L1605" i="6"/>
  <c r="P1605" i="6"/>
  <c r="T1605" i="6"/>
  <c r="S1607" i="6"/>
  <c r="Q1607" i="6"/>
  <c r="O1607" i="6"/>
  <c r="M1607" i="6"/>
  <c r="K1607" i="6"/>
  <c r="I1607" i="6"/>
  <c r="L1607" i="6"/>
  <c r="P1607" i="6"/>
  <c r="T1607" i="6"/>
  <c r="S1609" i="6"/>
  <c r="Q1609" i="6"/>
  <c r="O1609" i="6"/>
  <c r="M1609" i="6"/>
  <c r="K1609" i="6"/>
  <c r="I1609" i="6"/>
  <c r="L1609" i="6"/>
  <c r="P1609" i="6"/>
  <c r="T1609" i="6"/>
  <c r="S1611" i="6"/>
  <c r="Q1611" i="6"/>
  <c r="O1611" i="6"/>
  <c r="M1611" i="6"/>
  <c r="K1611" i="6"/>
  <c r="I1611" i="6"/>
  <c r="L1611" i="6"/>
  <c r="P1611" i="6"/>
  <c r="T1611" i="6"/>
  <c r="S1613" i="6"/>
  <c r="Q1613" i="6"/>
  <c r="O1613" i="6"/>
  <c r="M1613" i="6"/>
  <c r="K1613" i="6"/>
  <c r="I1613" i="6"/>
  <c r="L1613" i="6"/>
  <c r="P1613" i="6"/>
  <c r="T1613" i="6"/>
  <c r="S1615" i="6"/>
  <c r="Q1615" i="6"/>
  <c r="O1615" i="6"/>
  <c r="M1615" i="6"/>
  <c r="K1615" i="6"/>
  <c r="I1615" i="6"/>
  <c r="L1615" i="6"/>
  <c r="P1615" i="6"/>
  <c r="T1615" i="6"/>
  <c r="S1617" i="6"/>
  <c r="Q1617" i="6"/>
  <c r="O1617" i="6"/>
  <c r="M1617" i="6"/>
  <c r="K1617" i="6"/>
  <c r="I1617" i="6"/>
  <c r="L1617" i="6"/>
  <c r="P1617" i="6"/>
  <c r="T1617" i="6"/>
  <c r="S1619" i="6"/>
  <c r="Q1619" i="6"/>
  <c r="O1619" i="6"/>
  <c r="M1619" i="6"/>
  <c r="K1619" i="6"/>
  <c r="I1619" i="6"/>
  <c r="L1619" i="6"/>
  <c r="P1619" i="6"/>
  <c r="T1619" i="6"/>
  <c r="S1621" i="6"/>
  <c r="Q1621" i="6"/>
  <c r="O1621" i="6"/>
  <c r="M1621" i="6"/>
  <c r="K1621" i="6"/>
  <c r="I1621" i="6"/>
  <c r="L1621" i="6"/>
  <c r="P1621" i="6"/>
  <c r="T1621" i="6"/>
  <c r="S1623" i="6"/>
  <c r="Q1623" i="6"/>
  <c r="O1623" i="6"/>
  <c r="M1623" i="6"/>
  <c r="K1623" i="6"/>
  <c r="I1623" i="6"/>
  <c r="L1623" i="6"/>
  <c r="P1623" i="6"/>
  <c r="T1623" i="6"/>
  <c r="S1625" i="6"/>
  <c r="Q1625" i="6"/>
  <c r="O1625" i="6"/>
  <c r="M1625" i="6"/>
  <c r="K1625" i="6"/>
  <c r="I1625" i="6"/>
  <c r="L1625" i="6"/>
  <c r="P1625" i="6"/>
  <c r="T1625" i="6"/>
  <c r="S1627" i="6"/>
  <c r="Q1627" i="6"/>
  <c r="O1627" i="6"/>
  <c r="M1627" i="6"/>
  <c r="K1627" i="6"/>
  <c r="I1627" i="6"/>
  <c r="L1627" i="6"/>
  <c r="P1627" i="6"/>
  <c r="T1627" i="6"/>
  <c r="S1629" i="6"/>
  <c r="Q1629" i="6"/>
  <c r="O1629" i="6"/>
  <c r="M1629" i="6"/>
  <c r="K1629" i="6"/>
  <c r="I1629" i="6"/>
  <c r="L1629" i="6"/>
  <c r="P1629" i="6"/>
  <c r="T1629" i="6"/>
  <c r="S1631" i="6"/>
  <c r="Q1631" i="6"/>
  <c r="O1631" i="6"/>
  <c r="M1631" i="6"/>
  <c r="K1631" i="6"/>
  <c r="I1631" i="6"/>
  <c r="L1631" i="6"/>
  <c r="P1631" i="6"/>
  <c r="T1631" i="6"/>
  <c r="S1633" i="6"/>
  <c r="Q1633" i="6"/>
  <c r="O1633" i="6"/>
  <c r="M1633" i="6"/>
  <c r="K1633" i="6"/>
  <c r="I1633" i="6"/>
  <c r="L1633" i="6"/>
  <c r="P1633" i="6"/>
  <c r="T1633" i="6"/>
  <c r="S1635" i="6"/>
  <c r="Q1635" i="6"/>
  <c r="O1635" i="6"/>
  <c r="M1635" i="6"/>
  <c r="K1635" i="6"/>
  <c r="I1635" i="6"/>
  <c r="L1635" i="6"/>
  <c r="P1635" i="6"/>
  <c r="T1635" i="6"/>
  <c r="S1637" i="6"/>
  <c r="Q1637" i="6"/>
  <c r="O1637" i="6"/>
  <c r="M1637" i="6"/>
  <c r="K1637" i="6"/>
  <c r="I1637" i="6"/>
  <c r="L1637" i="6"/>
  <c r="P1637" i="6"/>
  <c r="T1637" i="6"/>
  <c r="S1639" i="6"/>
  <c r="Q1639" i="6"/>
  <c r="O1639" i="6"/>
  <c r="M1639" i="6"/>
  <c r="K1639" i="6"/>
  <c r="I1639" i="6"/>
  <c r="L1639" i="6"/>
  <c r="P1639" i="6"/>
  <c r="T1639" i="6"/>
  <c r="S1641" i="6"/>
  <c r="Q1641" i="6"/>
  <c r="O1641" i="6"/>
  <c r="M1641" i="6"/>
  <c r="K1641" i="6"/>
  <c r="I1641" i="6"/>
  <c r="L1641" i="6"/>
  <c r="P1641" i="6"/>
  <c r="T1641" i="6"/>
  <c r="S1643" i="6"/>
  <c r="Q1643" i="6"/>
  <c r="O1643" i="6"/>
  <c r="M1643" i="6"/>
  <c r="K1643" i="6"/>
  <c r="I1643" i="6"/>
  <c r="L1643" i="6"/>
  <c r="P1643" i="6"/>
  <c r="T1643" i="6"/>
  <c r="S1645" i="6"/>
  <c r="Q1645" i="6"/>
  <c r="O1645" i="6"/>
  <c r="M1645" i="6"/>
  <c r="K1645" i="6"/>
  <c r="I1645" i="6"/>
  <c r="L1645" i="6"/>
  <c r="P1645" i="6"/>
  <c r="T1645" i="6"/>
  <c r="S1647" i="6"/>
  <c r="Q1647" i="6"/>
  <c r="O1647" i="6"/>
  <c r="M1647" i="6"/>
  <c r="K1647" i="6"/>
  <c r="I1647" i="6"/>
  <c r="L1647" i="6"/>
  <c r="P1647" i="6"/>
  <c r="T1647" i="6"/>
  <c r="S1649" i="6"/>
  <c r="Q1649" i="6"/>
  <c r="O1649" i="6"/>
  <c r="M1649" i="6"/>
  <c r="K1649" i="6"/>
  <c r="I1649" i="6"/>
  <c r="L1649" i="6"/>
  <c r="P1649" i="6"/>
  <c r="T1649" i="6"/>
  <c r="S1651" i="6"/>
  <c r="Q1651" i="6"/>
  <c r="O1651" i="6"/>
  <c r="M1651" i="6"/>
  <c r="K1651" i="6"/>
  <c r="I1651" i="6"/>
  <c r="L1651" i="6"/>
  <c r="P1651" i="6"/>
  <c r="T1651" i="6"/>
  <c r="S1653" i="6"/>
  <c r="Q1653" i="6"/>
  <c r="O1653" i="6"/>
  <c r="M1653" i="6"/>
  <c r="K1653" i="6"/>
  <c r="I1653" i="6"/>
  <c r="L1653" i="6"/>
  <c r="P1653" i="6"/>
  <c r="T1653" i="6"/>
  <c r="S1655" i="6"/>
  <c r="Q1655" i="6"/>
  <c r="O1655" i="6"/>
  <c r="M1655" i="6"/>
  <c r="K1655" i="6"/>
  <c r="I1655" i="6"/>
  <c r="L1655" i="6"/>
  <c r="P1655" i="6"/>
  <c r="T1655" i="6"/>
  <c r="S1657" i="6"/>
  <c r="Q1657" i="6"/>
  <c r="O1657" i="6"/>
  <c r="M1657" i="6"/>
  <c r="K1657" i="6"/>
  <c r="I1657" i="6"/>
  <c r="L1657" i="6"/>
  <c r="P1657" i="6"/>
  <c r="T1657" i="6"/>
  <c r="S1659" i="6"/>
  <c r="Q1659" i="6"/>
  <c r="O1659" i="6"/>
  <c r="M1659" i="6"/>
  <c r="K1659" i="6"/>
  <c r="I1659" i="6"/>
  <c r="L1659" i="6"/>
  <c r="P1659" i="6"/>
  <c r="T1659" i="6"/>
  <c r="S1661" i="6"/>
  <c r="Q1661" i="6"/>
  <c r="O1661" i="6"/>
  <c r="M1661" i="6"/>
  <c r="K1661" i="6"/>
  <c r="I1661" i="6"/>
  <c r="L1661" i="6"/>
  <c r="P1661" i="6"/>
  <c r="T1661" i="6"/>
  <c r="S1663" i="6"/>
  <c r="Q1663" i="6"/>
  <c r="O1663" i="6"/>
  <c r="M1663" i="6"/>
  <c r="K1663" i="6"/>
  <c r="I1663" i="6"/>
  <c r="L1663" i="6"/>
  <c r="P1663" i="6"/>
  <c r="T1663" i="6"/>
  <c r="S1665" i="6"/>
  <c r="Q1665" i="6"/>
  <c r="O1665" i="6"/>
  <c r="M1665" i="6"/>
  <c r="K1665" i="6"/>
  <c r="I1665" i="6"/>
  <c r="L1665" i="6"/>
  <c r="P1665" i="6"/>
  <c r="T1665" i="6"/>
  <c r="S1667" i="6"/>
  <c r="Q1667" i="6"/>
  <c r="O1667" i="6"/>
  <c r="M1667" i="6"/>
  <c r="K1667" i="6"/>
  <c r="I1667" i="6"/>
  <c r="L1667" i="6"/>
  <c r="P1667" i="6"/>
  <c r="T1667" i="6"/>
  <c r="S1669" i="6"/>
  <c r="Q1669" i="6"/>
  <c r="O1669" i="6"/>
  <c r="M1669" i="6"/>
  <c r="K1669" i="6"/>
  <c r="I1669" i="6"/>
  <c r="L1669" i="6"/>
  <c r="P1669" i="6"/>
  <c r="T1669" i="6"/>
  <c r="S1671" i="6"/>
  <c r="Q1671" i="6"/>
  <c r="O1671" i="6"/>
  <c r="M1671" i="6"/>
  <c r="K1671" i="6"/>
  <c r="I1671" i="6"/>
  <c r="L1671" i="6"/>
  <c r="P1671" i="6"/>
  <c r="T1671" i="6"/>
  <c r="S1673" i="6"/>
  <c r="Q1673" i="6"/>
  <c r="O1673" i="6"/>
  <c r="M1673" i="6"/>
  <c r="K1673" i="6"/>
  <c r="I1673" i="6"/>
  <c r="L1673" i="6"/>
  <c r="P1673" i="6"/>
  <c r="T1673" i="6"/>
  <c r="S1675" i="6"/>
  <c r="Q1675" i="6"/>
  <c r="O1675" i="6"/>
  <c r="M1675" i="6"/>
  <c r="K1675" i="6"/>
  <c r="I1675" i="6"/>
  <c r="L1675" i="6"/>
  <c r="P1675" i="6"/>
  <c r="T1675" i="6"/>
  <c r="S1677" i="6"/>
  <c r="Q1677" i="6"/>
  <c r="O1677" i="6"/>
  <c r="M1677" i="6"/>
  <c r="K1677" i="6"/>
  <c r="I1677" i="6"/>
  <c r="L1677" i="6"/>
  <c r="P1677" i="6"/>
  <c r="T1677" i="6"/>
  <c r="S1679" i="6"/>
  <c r="Q1679" i="6"/>
  <c r="O1679" i="6"/>
  <c r="M1679" i="6"/>
  <c r="K1679" i="6"/>
  <c r="I1679" i="6"/>
  <c r="L1679" i="6"/>
  <c r="P1679" i="6"/>
  <c r="T1679" i="6"/>
  <c r="S1681" i="6"/>
  <c r="Q1681" i="6"/>
  <c r="O1681" i="6"/>
  <c r="M1681" i="6"/>
  <c r="K1681" i="6"/>
  <c r="I1681" i="6"/>
  <c r="L1681" i="6"/>
  <c r="P1681" i="6"/>
  <c r="T1681" i="6"/>
  <c r="S1683" i="6"/>
  <c r="Q1683" i="6"/>
  <c r="O1683" i="6"/>
  <c r="M1683" i="6"/>
  <c r="K1683" i="6"/>
  <c r="I1683" i="6"/>
  <c r="L1683" i="6"/>
  <c r="P1683" i="6"/>
  <c r="T1683" i="6"/>
  <c r="S1685" i="6"/>
  <c r="Q1685" i="6"/>
  <c r="O1685" i="6"/>
  <c r="T1685" i="6"/>
  <c r="P1685" i="6"/>
  <c r="M1685" i="6"/>
  <c r="K1685" i="6"/>
  <c r="I1685" i="6"/>
  <c r="L1685" i="6"/>
  <c r="R1685" i="6"/>
  <c r="T1688" i="6"/>
  <c r="T1692" i="6"/>
  <c r="T1696" i="6"/>
  <c r="T1700" i="6"/>
  <c r="T1704" i="6"/>
  <c r="T1708" i="6"/>
  <c r="T1712" i="6"/>
  <c r="T1716" i="6"/>
  <c r="T1720" i="6"/>
  <c r="T1724" i="6"/>
  <c r="T1728" i="6"/>
  <c r="T1732" i="6"/>
  <c r="T1736" i="6"/>
  <c r="T1740" i="6"/>
  <c r="T1744" i="6"/>
  <c r="T1748" i="6"/>
  <c r="T1752" i="6"/>
  <c r="T1756" i="6"/>
  <c r="T1760" i="6"/>
  <c r="T1646" i="6"/>
  <c r="T1648" i="6"/>
  <c r="T1650" i="6"/>
  <c r="T1652" i="6"/>
  <c r="T1654" i="6"/>
  <c r="T1656" i="6"/>
  <c r="T1658" i="6"/>
  <c r="T1660" i="6"/>
  <c r="T1662" i="6"/>
  <c r="T1664" i="6"/>
  <c r="T1666" i="6"/>
  <c r="T1668" i="6"/>
  <c r="T1670" i="6"/>
  <c r="T1672" i="6"/>
  <c r="T1674" i="6"/>
  <c r="T1676" i="6"/>
  <c r="T1678" i="6"/>
  <c r="T1680" i="6"/>
  <c r="T1682" i="6"/>
  <c r="T1684" i="6"/>
  <c r="T1686" i="6"/>
  <c r="T1690" i="6"/>
  <c r="T1694" i="6"/>
  <c r="T1698" i="6"/>
  <c r="T1702" i="6"/>
  <c r="T1706" i="6"/>
  <c r="T1710" i="6"/>
  <c r="T1714" i="6"/>
  <c r="T1718" i="6"/>
  <c r="T1722" i="6"/>
  <c r="T1726" i="6"/>
  <c r="T1730" i="6"/>
  <c r="T1734" i="6"/>
  <c r="T1738" i="6"/>
  <c r="T1742" i="6"/>
  <c r="T1746" i="6"/>
  <c r="T1750" i="6"/>
  <c r="T1754" i="6"/>
  <c r="T1758" i="6"/>
  <c r="T1762" i="6"/>
  <c r="R1831" i="6"/>
  <c r="T1764" i="6"/>
  <c r="T1766" i="6"/>
  <c r="T1768" i="6"/>
  <c r="T1770" i="6"/>
  <c r="T1772" i="6"/>
  <c r="T1774" i="6"/>
  <c r="T1776" i="6"/>
  <c r="T1778" i="6"/>
  <c r="T1780" i="6"/>
  <c r="T1782" i="6"/>
  <c r="T1784" i="6"/>
  <c r="T1786" i="6"/>
  <c r="T1788" i="6"/>
  <c r="T1790" i="6"/>
  <c r="T1792" i="6"/>
  <c r="T1794" i="6"/>
  <c r="T1796" i="6"/>
  <c r="T1798" i="6"/>
  <c r="T1800" i="6"/>
  <c r="T1802" i="6"/>
  <c r="T1804" i="6"/>
  <c r="T1806" i="6"/>
  <c r="T1808" i="6"/>
  <c r="T1810" i="6"/>
  <c r="T1812" i="6"/>
  <c r="T1814" i="6"/>
  <c r="T1816" i="6"/>
  <c r="T1818" i="6"/>
  <c r="T1820" i="6"/>
  <c r="T1822" i="6"/>
  <c r="T1824" i="6"/>
  <c r="T1826" i="6"/>
  <c r="T1828" i="6"/>
  <c r="T1830" i="6"/>
  <c r="J1831" i="6"/>
  <c r="N1831" i="6"/>
  <c r="T1833" i="6"/>
  <c r="T1837" i="6"/>
  <c r="T1841" i="6"/>
  <c r="T1845" i="6"/>
  <c r="T1849" i="6"/>
  <c r="T1853" i="6"/>
  <c r="T1857" i="6"/>
  <c r="T1861" i="6"/>
  <c r="R1910" i="6"/>
  <c r="R1914" i="6"/>
  <c r="R1918" i="6"/>
  <c r="J1532" i="6"/>
  <c r="L1532" i="6"/>
  <c r="N1532" i="6"/>
  <c r="P1532" i="6"/>
  <c r="R1532" i="6"/>
  <c r="J1534" i="6"/>
  <c r="L1534" i="6"/>
  <c r="N1534" i="6"/>
  <c r="P1534" i="6"/>
  <c r="R1534" i="6"/>
  <c r="J1536" i="6"/>
  <c r="L1536" i="6"/>
  <c r="N1536" i="6"/>
  <c r="P1536" i="6"/>
  <c r="R1536" i="6"/>
  <c r="J1538" i="6"/>
  <c r="L1538" i="6"/>
  <c r="N1538" i="6"/>
  <c r="P1538" i="6"/>
  <c r="R1538" i="6"/>
  <c r="J1540" i="6"/>
  <c r="L1540" i="6"/>
  <c r="N1540" i="6"/>
  <c r="P1540" i="6"/>
  <c r="R1540" i="6"/>
  <c r="J1542" i="6"/>
  <c r="L1542" i="6"/>
  <c r="N1542" i="6"/>
  <c r="P1542" i="6"/>
  <c r="R1542" i="6"/>
  <c r="J1544" i="6"/>
  <c r="L1544" i="6"/>
  <c r="N1544" i="6"/>
  <c r="P1544" i="6"/>
  <c r="R1544" i="6"/>
  <c r="J1546" i="6"/>
  <c r="L1546" i="6"/>
  <c r="N1546" i="6"/>
  <c r="P1546" i="6"/>
  <c r="R1546" i="6"/>
  <c r="J1548" i="6"/>
  <c r="L1548" i="6"/>
  <c r="N1548" i="6"/>
  <c r="P1548" i="6"/>
  <c r="R1548" i="6"/>
  <c r="J1550" i="6"/>
  <c r="L1550" i="6"/>
  <c r="N1550" i="6"/>
  <c r="P1550" i="6"/>
  <c r="R1550" i="6"/>
  <c r="J1552" i="6"/>
  <c r="L1552" i="6"/>
  <c r="N1552" i="6"/>
  <c r="P1552" i="6"/>
  <c r="R1552" i="6"/>
  <c r="J1554" i="6"/>
  <c r="L1554" i="6"/>
  <c r="N1554" i="6"/>
  <c r="P1554" i="6"/>
  <c r="R1554" i="6"/>
  <c r="J1556" i="6"/>
  <c r="L1556" i="6"/>
  <c r="N1556" i="6"/>
  <c r="P1556" i="6"/>
  <c r="R1556" i="6"/>
  <c r="J1558" i="6"/>
  <c r="L1558" i="6"/>
  <c r="N1558" i="6"/>
  <c r="P1558" i="6"/>
  <c r="R1558" i="6"/>
  <c r="J1560" i="6"/>
  <c r="L1560" i="6"/>
  <c r="N1560" i="6"/>
  <c r="P1560" i="6"/>
  <c r="R1560" i="6"/>
  <c r="J1562" i="6"/>
  <c r="L1562" i="6"/>
  <c r="N1562" i="6"/>
  <c r="P1562" i="6"/>
  <c r="R1562" i="6"/>
  <c r="J1564" i="6"/>
  <c r="L1564" i="6"/>
  <c r="N1564" i="6"/>
  <c r="P1564" i="6"/>
  <c r="R1564" i="6"/>
  <c r="J1566" i="6"/>
  <c r="L1566" i="6"/>
  <c r="N1566" i="6"/>
  <c r="P1566" i="6"/>
  <c r="R1566" i="6"/>
  <c r="J1568" i="6"/>
  <c r="L1568" i="6"/>
  <c r="N1568" i="6"/>
  <c r="P1568" i="6"/>
  <c r="R1568" i="6"/>
  <c r="J1570" i="6"/>
  <c r="L1570" i="6"/>
  <c r="N1570" i="6"/>
  <c r="P1570" i="6"/>
  <c r="R1570" i="6"/>
  <c r="J1572" i="6"/>
  <c r="L1572" i="6"/>
  <c r="N1572" i="6"/>
  <c r="P1572" i="6"/>
  <c r="R1572" i="6"/>
  <c r="J1574" i="6"/>
  <c r="L1574" i="6"/>
  <c r="N1574" i="6"/>
  <c r="P1574" i="6"/>
  <c r="R1574" i="6"/>
  <c r="J1576" i="6"/>
  <c r="L1576" i="6"/>
  <c r="N1576" i="6"/>
  <c r="P1576" i="6"/>
  <c r="R1576" i="6"/>
  <c r="J1578" i="6"/>
  <c r="L1578" i="6"/>
  <c r="N1578" i="6"/>
  <c r="P1578" i="6"/>
  <c r="R1578" i="6"/>
  <c r="J1580" i="6"/>
  <c r="L1580" i="6"/>
  <c r="N1580" i="6"/>
  <c r="P1580" i="6"/>
  <c r="R1580" i="6"/>
  <c r="J1582" i="6"/>
  <c r="L1582" i="6"/>
  <c r="N1582" i="6"/>
  <c r="P1582" i="6"/>
  <c r="R1582" i="6"/>
  <c r="J1584" i="6"/>
  <c r="L1584" i="6"/>
  <c r="N1584" i="6"/>
  <c r="P1584" i="6"/>
  <c r="R1584" i="6"/>
  <c r="J1586" i="6"/>
  <c r="L1586" i="6"/>
  <c r="N1586" i="6"/>
  <c r="P1586" i="6"/>
  <c r="R1586" i="6"/>
  <c r="J1588" i="6"/>
  <c r="L1588" i="6"/>
  <c r="N1588" i="6"/>
  <c r="P1588" i="6"/>
  <c r="R1588" i="6"/>
  <c r="J1590" i="6"/>
  <c r="L1590" i="6"/>
  <c r="N1590" i="6"/>
  <c r="P1590" i="6"/>
  <c r="R1590" i="6"/>
  <c r="J1592" i="6"/>
  <c r="L1592" i="6"/>
  <c r="N1592" i="6"/>
  <c r="P1592" i="6"/>
  <c r="R1592" i="6"/>
  <c r="J1594" i="6"/>
  <c r="L1594" i="6"/>
  <c r="N1594" i="6"/>
  <c r="P1594" i="6"/>
  <c r="R1594" i="6"/>
  <c r="J1596" i="6"/>
  <c r="L1596" i="6"/>
  <c r="N1596" i="6"/>
  <c r="P1596" i="6"/>
  <c r="R1596" i="6"/>
  <c r="J1598" i="6"/>
  <c r="L1598" i="6"/>
  <c r="N1598" i="6"/>
  <c r="P1598" i="6"/>
  <c r="R1598" i="6"/>
  <c r="J1600" i="6"/>
  <c r="L1600" i="6"/>
  <c r="N1600" i="6"/>
  <c r="P1600" i="6"/>
  <c r="R1600" i="6"/>
  <c r="J1602" i="6"/>
  <c r="L1602" i="6"/>
  <c r="N1602" i="6"/>
  <c r="P1602" i="6"/>
  <c r="R1602" i="6"/>
  <c r="J1604" i="6"/>
  <c r="L1604" i="6"/>
  <c r="N1604" i="6"/>
  <c r="P1604" i="6"/>
  <c r="R1604" i="6"/>
  <c r="J1606" i="6"/>
  <c r="L1606" i="6"/>
  <c r="N1606" i="6"/>
  <c r="P1606" i="6"/>
  <c r="R1606" i="6"/>
  <c r="J1608" i="6"/>
  <c r="L1608" i="6"/>
  <c r="N1608" i="6"/>
  <c r="P1608" i="6"/>
  <c r="R1608" i="6"/>
  <c r="J1610" i="6"/>
  <c r="L1610" i="6"/>
  <c r="N1610" i="6"/>
  <c r="P1610" i="6"/>
  <c r="R1610" i="6"/>
  <c r="J1612" i="6"/>
  <c r="L1612" i="6"/>
  <c r="N1612" i="6"/>
  <c r="P1612" i="6"/>
  <c r="R1612" i="6"/>
  <c r="J1614" i="6"/>
  <c r="L1614" i="6"/>
  <c r="N1614" i="6"/>
  <c r="P1614" i="6"/>
  <c r="R1614" i="6"/>
  <c r="J1616" i="6"/>
  <c r="L1616" i="6"/>
  <c r="N1616" i="6"/>
  <c r="P1616" i="6"/>
  <c r="R1616" i="6"/>
  <c r="J1618" i="6"/>
  <c r="L1618" i="6"/>
  <c r="N1618" i="6"/>
  <c r="P1618" i="6"/>
  <c r="R1618" i="6"/>
  <c r="J1620" i="6"/>
  <c r="L1620" i="6"/>
  <c r="N1620" i="6"/>
  <c r="P1620" i="6"/>
  <c r="R1620" i="6"/>
  <c r="J1622" i="6"/>
  <c r="L1622" i="6"/>
  <c r="N1622" i="6"/>
  <c r="P1622" i="6"/>
  <c r="R1622" i="6"/>
  <c r="J1624" i="6"/>
  <c r="L1624" i="6"/>
  <c r="N1624" i="6"/>
  <c r="P1624" i="6"/>
  <c r="R1624" i="6"/>
  <c r="J1626" i="6"/>
  <c r="L1626" i="6"/>
  <c r="N1626" i="6"/>
  <c r="P1626" i="6"/>
  <c r="R1626" i="6"/>
  <c r="J1628" i="6"/>
  <c r="L1628" i="6"/>
  <c r="N1628" i="6"/>
  <c r="P1628" i="6"/>
  <c r="R1628" i="6"/>
  <c r="J1630" i="6"/>
  <c r="L1630" i="6"/>
  <c r="N1630" i="6"/>
  <c r="P1630" i="6"/>
  <c r="R1630" i="6"/>
  <c r="J1632" i="6"/>
  <c r="L1632" i="6"/>
  <c r="N1632" i="6"/>
  <c r="P1632" i="6"/>
  <c r="R1632" i="6"/>
  <c r="J1634" i="6"/>
  <c r="L1634" i="6"/>
  <c r="N1634" i="6"/>
  <c r="P1634" i="6"/>
  <c r="R1634" i="6"/>
  <c r="J1636" i="6"/>
  <c r="L1636" i="6"/>
  <c r="N1636" i="6"/>
  <c r="P1636" i="6"/>
  <c r="R1636" i="6"/>
  <c r="J1638" i="6"/>
  <c r="L1638" i="6"/>
  <c r="N1638" i="6"/>
  <c r="P1638" i="6"/>
  <c r="R1638" i="6"/>
  <c r="J1640" i="6"/>
  <c r="L1640" i="6"/>
  <c r="N1640" i="6"/>
  <c r="P1640" i="6"/>
  <c r="R1640" i="6"/>
  <c r="J1642" i="6"/>
  <c r="L1642" i="6"/>
  <c r="N1642" i="6"/>
  <c r="P1642" i="6"/>
  <c r="R1642" i="6"/>
  <c r="J1644" i="6"/>
  <c r="L1644" i="6"/>
  <c r="N1644" i="6"/>
  <c r="P1644" i="6"/>
  <c r="R1644" i="6"/>
  <c r="J1646" i="6"/>
  <c r="L1646" i="6"/>
  <c r="N1646" i="6"/>
  <c r="P1646" i="6"/>
  <c r="R1646" i="6"/>
  <c r="J1648" i="6"/>
  <c r="L1648" i="6"/>
  <c r="N1648" i="6"/>
  <c r="P1648" i="6"/>
  <c r="R1648" i="6"/>
  <c r="J1650" i="6"/>
  <c r="L1650" i="6"/>
  <c r="N1650" i="6"/>
  <c r="P1650" i="6"/>
  <c r="R1650" i="6"/>
  <c r="J1652" i="6"/>
  <c r="L1652" i="6"/>
  <c r="N1652" i="6"/>
  <c r="P1652" i="6"/>
  <c r="R1652" i="6"/>
  <c r="J1654" i="6"/>
  <c r="L1654" i="6"/>
  <c r="N1654" i="6"/>
  <c r="P1654" i="6"/>
  <c r="R1654" i="6"/>
  <c r="J1656" i="6"/>
  <c r="L1656" i="6"/>
  <c r="N1656" i="6"/>
  <c r="P1656" i="6"/>
  <c r="R1656" i="6"/>
  <c r="J1658" i="6"/>
  <c r="L1658" i="6"/>
  <c r="N1658" i="6"/>
  <c r="P1658" i="6"/>
  <c r="R1658" i="6"/>
  <c r="J1660" i="6"/>
  <c r="L1660" i="6"/>
  <c r="N1660" i="6"/>
  <c r="P1660" i="6"/>
  <c r="R1660" i="6"/>
  <c r="J1662" i="6"/>
  <c r="L1662" i="6"/>
  <c r="N1662" i="6"/>
  <c r="P1662" i="6"/>
  <c r="R1662" i="6"/>
  <c r="J1664" i="6"/>
  <c r="L1664" i="6"/>
  <c r="N1664" i="6"/>
  <c r="P1664" i="6"/>
  <c r="R1664" i="6"/>
  <c r="J1666" i="6"/>
  <c r="L1666" i="6"/>
  <c r="N1666" i="6"/>
  <c r="P1666" i="6"/>
  <c r="R1666" i="6"/>
  <c r="J1668" i="6"/>
  <c r="L1668" i="6"/>
  <c r="N1668" i="6"/>
  <c r="P1668" i="6"/>
  <c r="R1668" i="6"/>
  <c r="J1670" i="6"/>
  <c r="L1670" i="6"/>
  <c r="N1670" i="6"/>
  <c r="P1670" i="6"/>
  <c r="R1670" i="6"/>
  <c r="J1672" i="6"/>
  <c r="L1672" i="6"/>
  <c r="N1672" i="6"/>
  <c r="P1672" i="6"/>
  <c r="R1672" i="6"/>
  <c r="J1674" i="6"/>
  <c r="L1674" i="6"/>
  <c r="N1674" i="6"/>
  <c r="P1674" i="6"/>
  <c r="R1674" i="6"/>
  <c r="J1676" i="6"/>
  <c r="L1676" i="6"/>
  <c r="N1676" i="6"/>
  <c r="P1676" i="6"/>
  <c r="R1676" i="6"/>
  <c r="J1678" i="6"/>
  <c r="L1678" i="6"/>
  <c r="N1678" i="6"/>
  <c r="P1678" i="6"/>
  <c r="R1678" i="6"/>
  <c r="J1680" i="6"/>
  <c r="L1680" i="6"/>
  <c r="N1680" i="6"/>
  <c r="P1680" i="6"/>
  <c r="R1680" i="6"/>
  <c r="J1682" i="6"/>
  <c r="L1682" i="6"/>
  <c r="N1682" i="6"/>
  <c r="P1682" i="6"/>
  <c r="R1682" i="6"/>
  <c r="J1684" i="6"/>
  <c r="L1684" i="6"/>
  <c r="N1684" i="6"/>
  <c r="P1684" i="6"/>
  <c r="R1684" i="6"/>
  <c r="S1687" i="6"/>
  <c r="Q1687" i="6"/>
  <c r="O1687" i="6"/>
  <c r="M1687" i="6"/>
  <c r="K1687" i="6"/>
  <c r="I1687" i="6"/>
  <c r="L1687" i="6"/>
  <c r="P1687" i="6"/>
  <c r="T1687" i="6"/>
  <c r="S1689" i="6"/>
  <c r="Q1689" i="6"/>
  <c r="O1689" i="6"/>
  <c r="M1689" i="6"/>
  <c r="K1689" i="6"/>
  <c r="I1689" i="6"/>
  <c r="L1689" i="6"/>
  <c r="P1689" i="6"/>
  <c r="T1689" i="6"/>
  <c r="S1691" i="6"/>
  <c r="Q1691" i="6"/>
  <c r="O1691" i="6"/>
  <c r="M1691" i="6"/>
  <c r="K1691" i="6"/>
  <c r="I1691" i="6"/>
  <c r="L1691" i="6"/>
  <c r="P1691" i="6"/>
  <c r="T1691" i="6"/>
  <c r="S1693" i="6"/>
  <c r="Q1693" i="6"/>
  <c r="O1693" i="6"/>
  <c r="M1693" i="6"/>
  <c r="K1693" i="6"/>
  <c r="I1693" i="6"/>
  <c r="L1693" i="6"/>
  <c r="P1693" i="6"/>
  <c r="T1693" i="6"/>
  <c r="S1695" i="6"/>
  <c r="Q1695" i="6"/>
  <c r="O1695" i="6"/>
  <c r="M1695" i="6"/>
  <c r="K1695" i="6"/>
  <c r="I1695" i="6"/>
  <c r="L1695" i="6"/>
  <c r="P1695" i="6"/>
  <c r="T1695" i="6"/>
  <c r="S1697" i="6"/>
  <c r="Q1697" i="6"/>
  <c r="O1697" i="6"/>
  <c r="M1697" i="6"/>
  <c r="K1697" i="6"/>
  <c r="I1697" i="6"/>
  <c r="L1697" i="6"/>
  <c r="P1697" i="6"/>
  <c r="T1697" i="6"/>
  <c r="S1699" i="6"/>
  <c r="Q1699" i="6"/>
  <c r="O1699" i="6"/>
  <c r="M1699" i="6"/>
  <c r="K1699" i="6"/>
  <c r="I1699" i="6"/>
  <c r="L1699" i="6"/>
  <c r="P1699" i="6"/>
  <c r="T1699" i="6"/>
  <c r="S1701" i="6"/>
  <c r="Q1701" i="6"/>
  <c r="O1701" i="6"/>
  <c r="M1701" i="6"/>
  <c r="K1701" i="6"/>
  <c r="I1701" i="6"/>
  <c r="L1701" i="6"/>
  <c r="P1701" i="6"/>
  <c r="T1701" i="6"/>
  <c r="S1703" i="6"/>
  <c r="Q1703" i="6"/>
  <c r="O1703" i="6"/>
  <c r="M1703" i="6"/>
  <c r="K1703" i="6"/>
  <c r="I1703" i="6"/>
  <c r="L1703" i="6"/>
  <c r="P1703" i="6"/>
  <c r="T1703" i="6"/>
  <c r="S1705" i="6"/>
  <c r="Q1705" i="6"/>
  <c r="O1705" i="6"/>
  <c r="M1705" i="6"/>
  <c r="K1705" i="6"/>
  <c r="I1705" i="6"/>
  <c r="L1705" i="6"/>
  <c r="P1705" i="6"/>
  <c r="T1705" i="6"/>
  <c r="S1707" i="6"/>
  <c r="Q1707" i="6"/>
  <c r="O1707" i="6"/>
  <c r="M1707" i="6"/>
  <c r="K1707" i="6"/>
  <c r="I1707" i="6"/>
  <c r="L1707" i="6"/>
  <c r="P1707" i="6"/>
  <c r="T1707" i="6"/>
  <c r="S1709" i="6"/>
  <c r="Q1709" i="6"/>
  <c r="O1709" i="6"/>
  <c r="M1709" i="6"/>
  <c r="K1709" i="6"/>
  <c r="I1709" i="6"/>
  <c r="L1709" i="6"/>
  <c r="P1709" i="6"/>
  <c r="T1709" i="6"/>
  <c r="S1711" i="6"/>
  <c r="Q1711" i="6"/>
  <c r="O1711" i="6"/>
  <c r="M1711" i="6"/>
  <c r="K1711" i="6"/>
  <c r="I1711" i="6"/>
  <c r="L1711" i="6"/>
  <c r="P1711" i="6"/>
  <c r="T1711" i="6"/>
  <c r="S1713" i="6"/>
  <c r="Q1713" i="6"/>
  <c r="O1713" i="6"/>
  <c r="M1713" i="6"/>
  <c r="K1713" i="6"/>
  <c r="I1713" i="6"/>
  <c r="L1713" i="6"/>
  <c r="P1713" i="6"/>
  <c r="T1713" i="6"/>
  <c r="S1715" i="6"/>
  <c r="Q1715" i="6"/>
  <c r="O1715" i="6"/>
  <c r="M1715" i="6"/>
  <c r="K1715" i="6"/>
  <c r="I1715" i="6"/>
  <c r="L1715" i="6"/>
  <c r="P1715" i="6"/>
  <c r="T1715" i="6"/>
  <c r="S1717" i="6"/>
  <c r="Q1717" i="6"/>
  <c r="O1717" i="6"/>
  <c r="M1717" i="6"/>
  <c r="K1717" i="6"/>
  <c r="I1717" i="6"/>
  <c r="L1717" i="6"/>
  <c r="P1717" i="6"/>
  <c r="T1717" i="6"/>
  <c r="S1719" i="6"/>
  <c r="Q1719" i="6"/>
  <c r="O1719" i="6"/>
  <c r="M1719" i="6"/>
  <c r="K1719" i="6"/>
  <c r="I1719" i="6"/>
  <c r="L1719" i="6"/>
  <c r="P1719" i="6"/>
  <c r="T1719" i="6"/>
  <c r="S1721" i="6"/>
  <c r="Q1721" i="6"/>
  <c r="O1721" i="6"/>
  <c r="M1721" i="6"/>
  <c r="K1721" i="6"/>
  <c r="I1721" i="6"/>
  <c r="L1721" i="6"/>
  <c r="P1721" i="6"/>
  <c r="T1721" i="6"/>
  <c r="S1723" i="6"/>
  <c r="Q1723" i="6"/>
  <c r="O1723" i="6"/>
  <c r="M1723" i="6"/>
  <c r="K1723" i="6"/>
  <c r="I1723" i="6"/>
  <c r="L1723" i="6"/>
  <c r="P1723" i="6"/>
  <c r="T1723" i="6"/>
  <c r="S1725" i="6"/>
  <c r="Q1725" i="6"/>
  <c r="O1725" i="6"/>
  <c r="M1725" i="6"/>
  <c r="K1725" i="6"/>
  <c r="I1725" i="6"/>
  <c r="L1725" i="6"/>
  <c r="P1725" i="6"/>
  <c r="T1725" i="6"/>
  <c r="S1727" i="6"/>
  <c r="Q1727" i="6"/>
  <c r="O1727" i="6"/>
  <c r="M1727" i="6"/>
  <c r="K1727" i="6"/>
  <c r="I1727" i="6"/>
  <c r="L1727" i="6"/>
  <c r="P1727" i="6"/>
  <c r="T1727" i="6"/>
  <c r="S1729" i="6"/>
  <c r="Q1729" i="6"/>
  <c r="O1729" i="6"/>
  <c r="M1729" i="6"/>
  <c r="K1729" i="6"/>
  <c r="I1729" i="6"/>
  <c r="L1729" i="6"/>
  <c r="P1729" i="6"/>
  <c r="T1729" i="6"/>
  <c r="S1731" i="6"/>
  <c r="Q1731" i="6"/>
  <c r="O1731" i="6"/>
  <c r="M1731" i="6"/>
  <c r="K1731" i="6"/>
  <c r="I1731" i="6"/>
  <c r="L1731" i="6"/>
  <c r="P1731" i="6"/>
  <c r="T1731" i="6"/>
  <c r="S1733" i="6"/>
  <c r="Q1733" i="6"/>
  <c r="O1733" i="6"/>
  <c r="M1733" i="6"/>
  <c r="K1733" i="6"/>
  <c r="I1733" i="6"/>
  <c r="L1733" i="6"/>
  <c r="P1733" i="6"/>
  <c r="T1733" i="6"/>
  <c r="S1735" i="6"/>
  <c r="Q1735" i="6"/>
  <c r="O1735" i="6"/>
  <c r="M1735" i="6"/>
  <c r="K1735" i="6"/>
  <c r="I1735" i="6"/>
  <c r="L1735" i="6"/>
  <c r="P1735" i="6"/>
  <c r="T1735" i="6"/>
  <c r="S1737" i="6"/>
  <c r="Q1737" i="6"/>
  <c r="O1737" i="6"/>
  <c r="M1737" i="6"/>
  <c r="K1737" i="6"/>
  <c r="I1737" i="6"/>
  <c r="L1737" i="6"/>
  <c r="P1737" i="6"/>
  <c r="T1737" i="6"/>
  <c r="S1739" i="6"/>
  <c r="Q1739" i="6"/>
  <c r="O1739" i="6"/>
  <c r="M1739" i="6"/>
  <c r="K1739" i="6"/>
  <c r="I1739" i="6"/>
  <c r="L1739" i="6"/>
  <c r="P1739" i="6"/>
  <c r="T1739" i="6"/>
  <c r="S1741" i="6"/>
  <c r="Q1741" i="6"/>
  <c r="O1741" i="6"/>
  <c r="M1741" i="6"/>
  <c r="K1741" i="6"/>
  <c r="I1741" i="6"/>
  <c r="L1741" i="6"/>
  <c r="P1741" i="6"/>
  <c r="T1741" i="6"/>
  <c r="S1743" i="6"/>
  <c r="Q1743" i="6"/>
  <c r="O1743" i="6"/>
  <c r="M1743" i="6"/>
  <c r="K1743" i="6"/>
  <c r="I1743" i="6"/>
  <c r="L1743" i="6"/>
  <c r="P1743" i="6"/>
  <c r="T1743" i="6"/>
  <c r="S1745" i="6"/>
  <c r="Q1745" i="6"/>
  <c r="O1745" i="6"/>
  <c r="M1745" i="6"/>
  <c r="K1745" i="6"/>
  <c r="I1745" i="6"/>
  <c r="L1745" i="6"/>
  <c r="P1745" i="6"/>
  <c r="T1745" i="6"/>
  <c r="S1747" i="6"/>
  <c r="Q1747" i="6"/>
  <c r="O1747" i="6"/>
  <c r="M1747" i="6"/>
  <c r="K1747" i="6"/>
  <c r="I1747" i="6"/>
  <c r="L1747" i="6"/>
  <c r="P1747" i="6"/>
  <c r="T1747" i="6"/>
  <c r="S1749" i="6"/>
  <c r="Q1749" i="6"/>
  <c r="O1749" i="6"/>
  <c r="M1749" i="6"/>
  <c r="K1749" i="6"/>
  <c r="I1749" i="6"/>
  <c r="L1749" i="6"/>
  <c r="P1749" i="6"/>
  <c r="T1749" i="6"/>
  <c r="S1751" i="6"/>
  <c r="Q1751" i="6"/>
  <c r="O1751" i="6"/>
  <c r="M1751" i="6"/>
  <c r="K1751" i="6"/>
  <c r="I1751" i="6"/>
  <c r="L1751" i="6"/>
  <c r="P1751" i="6"/>
  <c r="T1751" i="6"/>
  <c r="S1753" i="6"/>
  <c r="Q1753" i="6"/>
  <c r="O1753" i="6"/>
  <c r="M1753" i="6"/>
  <c r="K1753" i="6"/>
  <c r="I1753" i="6"/>
  <c r="L1753" i="6"/>
  <c r="P1753" i="6"/>
  <c r="T1753" i="6"/>
  <c r="S1755" i="6"/>
  <c r="Q1755" i="6"/>
  <c r="O1755" i="6"/>
  <c r="M1755" i="6"/>
  <c r="K1755" i="6"/>
  <c r="I1755" i="6"/>
  <c r="L1755" i="6"/>
  <c r="P1755" i="6"/>
  <c r="T1755" i="6"/>
  <c r="S1757" i="6"/>
  <c r="Q1757" i="6"/>
  <c r="O1757" i="6"/>
  <c r="M1757" i="6"/>
  <c r="K1757" i="6"/>
  <c r="I1757" i="6"/>
  <c r="L1757" i="6"/>
  <c r="P1757" i="6"/>
  <c r="T1757" i="6"/>
  <c r="S1759" i="6"/>
  <c r="Q1759" i="6"/>
  <c r="O1759" i="6"/>
  <c r="M1759" i="6"/>
  <c r="K1759" i="6"/>
  <c r="I1759" i="6"/>
  <c r="L1759" i="6"/>
  <c r="P1759" i="6"/>
  <c r="T1759" i="6"/>
  <c r="S1761" i="6"/>
  <c r="Q1761" i="6"/>
  <c r="O1761" i="6"/>
  <c r="M1761" i="6"/>
  <c r="K1761" i="6"/>
  <c r="I1761" i="6"/>
  <c r="L1761" i="6"/>
  <c r="P1761" i="6"/>
  <c r="T1761" i="6"/>
  <c r="S1763" i="6"/>
  <c r="Q1763" i="6"/>
  <c r="O1763" i="6"/>
  <c r="M1763" i="6"/>
  <c r="K1763" i="6"/>
  <c r="I1763" i="6"/>
  <c r="L1763" i="6"/>
  <c r="P1763" i="6"/>
  <c r="T1763" i="6"/>
  <c r="S1765" i="6"/>
  <c r="Q1765" i="6"/>
  <c r="O1765" i="6"/>
  <c r="M1765" i="6"/>
  <c r="K1765" i="6"/>
  <c r="I1765" i="6"/>
  <c r="L1765" i="6"/>
  <c r="P1765" i="6"/>
  <c r="T1765" i="6"/>
  <c r="S1767" i="6"/>
  <c r="Q1767" i="6"/>
  <c r="O1767" i="6"/>
  <c r="M1767" i="6"/>
  <c r="K1767" i="6"/>
  <c r="I1767" i="6"/>
  <c r="L1767" i="6"/>
  <c r="P1767" i="6"/>
  <c r="T1767" i="6"/>
  <c r="S1769" i="6"/>
  <c r="Q1769" i="6"/>
  <c r="O1769" i="6"/>
  <c r="M1769" i="6"/>
  <c r="K1769" i="6"/>
  <c r="I1769" i="6"/>
  <c r="L1769" i="6"/>
  <c r="P1769" i="6"/>
  <c r="T1769" i="6"/>
  <c r="S1771" i="6"/>
  <c r="Q1771" i="6"/>
  <c r="O1771" i="6"/>
  <c r="M1771" i="6"/>
  <c r="K1771" i="6"/>
  <c r="I1771" i="6"/>
  <c r="L1771" i="6"/>
  <c r="P1771" i="6"/>
  <c r="T1771" i="6"/>
  <c r="S1773" i="6"/>
  <c r="Q1773" i="6"/>
  <c r="O1773" i="6"/>
  <c r="M1773" i="6"/>
  <c r="K1773" i="6"/>
  <c r="I1773" i="6"/>
  <c r="L1773" i="6"/>
  <c r="P1773" i="6"/>
  <c r="T1773" i="6"/>
  <c r="S1775" i="6"/>
  <c r="Q1775" i="6"/>
  <c r="O1775" i="6"/>
  <c r="M1775" i="6"/>
  <c r="K1775" i="6"/>
  <c r="I1775" i="6"/>
  <c r="L1775" i="6"/>
  <c r="P1775" i="6"/>
  <c r="T1775" i="6"/>
  <c r="S1777" i="6"/>
  <c r="Q1777" i="6"/>
  <c r="O1777" i="6"/>
  <c r="M1777" i="6"/>
  <c r="K1777" i="6"/>
  <c r="I1777" i="6"/>
  <c r="L1777" i="6"/>
  <c r="P1777" i="6"/>
  <c r="T1777" i="6"/>
  <c r="S1779" i="6"/>
  <c r="Q1779" i="6"/>
  <c r="O1779" i="6"/>
  <c r="M1779" i="6"/>
  <c r="K1779" i="6"/>
  <c r="I1779" i="6"/>
  <c r="L1779" i="6"/>
  <c r="P1779" i="6"/>
  <c r="T1779" i="6"/>
  <c r="S1781" i="6"/>
  <c r="Q1781" i="6"/>
  <c r="O1781" i="6"/>
  <c r="M1781" i="6"/>
  <c r="K1781" i="6"/>
  <c r="I1781" i="6"/>
  <c r="L1781" i="6"/>
  <c r="P1781" i="6"/>
  <c r="T1781" i="6"/>
  <c r="S1783" i="6"/>
  <c r="Q1783" i="6"/>
  <c r="O1783" i="6"/>
  <c r="M1783" i="6"/>
  <c r="K1783" i="6"/>
  <c r="I1783" i="6"/>
  <c r="L1783" i="6"/>
  <c r="P1783" i="6"/>
  <c r="T1783" i="6"/>
  <c r="S1785" i="6"/>
  <c r="Q1785" i="6"/>
  <c r="O1785" i="6"/>
  <c r="M1785" i="6"/>
  <c r="K1785" i="6"/>
  <c r="I1785" i="6"/>
  <c r="L1785" i="6"/>
  <c r="P1785" i="6"/>
  <c r="T1785" i="6"/>
  <c r="S1787" i="6"/>
  <c r="Q1787" i="6"/>
  <c r="O1787" i="6"/>
  <c r="M1787" i="6"/>
  <c r="K1787" i="6"/>
  <c r="I1787" i="6"/>
  <c r="L1787" i="6"/>
  <c r="P1787" i="6"/>
  <c r="T1787" i="6"/>
  <c r="S1789" i="6"/>
  <c r="Q1789" i="6"/>
  <c r="O1789" i="6"/>
  <c r="M1789" i="6"/>
  <c r="K1789" i="6"/>
  <c r="I1789" i="6"/>
  <c r="L1789" i="6"/>
  <c r="P1789" i="6"/>
  <c r="T1789" i="6"/>
  <c r="S1791" i="6"/>
  <c r="Q1791" i="6"/>
  <c r="O1791" i="6"/>
  <c r="M1791" i="6"/>
  <c r="K1791" i="6"/>
  <c r="I1791" i="6"/>
  <c r="L1791" i="6"/>
  <c r="P1791" i="6"/>
  <c r="T1791" i="6"/>
  <c r="S1793" i="6"/>
  <c r="Q1793" i="6"/>
  <c r="O1793" i="6"/>
  <c r="M1793" i="6"/>
  <c r="K1793" i="6"/>
  <c r="I1793" i="6"/>
  <c r="L1793" i="6"/>
  <c r="P1793" i="6"/>
  <c r="T1793" i="6"/>
  <c r="S1795" i="6"/>
  <c r="Q1795" i="6"/>
  <c r="O1795" i="6"/>
  <c r="M1795" i="6"/>
  <c r="K1795" i="6"/>
  <c r="I1795" i="6"/>
  <c r="L1795" i="6"/>
  <c r="P1795" i="6"/>
  <c r="T1795" i="6"/>
  <c r="S1797" i="6"/>
  <c r="Q1797" i="6"/>
  <c r="O1797" i="6"/>
  <c r="M1797" i="6"/>
  <c r="K1797" i="6"/>
  <c r="I1797" i="6"/>
  <c r="L1797" i="6"/>
  <c r="P1797" i="6"/>
  <c r="T1797" i="6"/>
  <c r="S1799" i="6"/>
  <c r="Q1799" i="6"/>
  <c r="O1799" i="6"/>
  <c r="M1799" i="6"/>
  <c r="K1799" i="6"/>
  <c r="I1799" i="6"/>
  <c r="L1799" i="6"/>
  <c r="P1799" i="6"/>
  <c r="T1799" i="6"/>
  <c r="S1801" i="6"/>
  <c r="Q1801" i="6"/>
  <c r="O1801" i="6"/>
  <c r="M1801" i="6"/>
  <c r="K1801" i="6"/>
  <c r="I1801" i="6"/>
  <c r="L1801" i="6"/>
  <c r="P1801" i="6"/>
  <c r="T1801" i="6"/>
  <c r="S1803" i="6"/>
  <c r="Q1803" i="6"/>
  <c r="O1803" i="6"/>
  <c r="M1803" i="6"/>
  <c r="K1803" i="6"/>
  <c r="I1803" i="6"/>
  <c r="L1803" i="6"/>
  <c r="P1803" i="6"/>
  <c r="T1803" i="6"/>
  <c r="S1805" i="6"/>
  <c r="Q1805" i="6"/>
  <c r="O1805" i="6"/>
  <c r="M1805" i="6"/>
  <c r="K1805" i="6"/>
  <c r="I1805" i="6"/>
  <c r="L1805" i="6"/>
  <c r="P1805" i="6"/>
  <c r="T1805" i="6"/>
  <c r="S1807" i="6"/>
  <c r="Q1807" i="6"/>
  <c r="O1807" i="6"/>
  <c r="M1807" i="6"/>
  <c r="K1807" i="6"/>
  <c r="I1807" i="6"/>
  <c r="L1807" i="6"/>
  <c r="P1807" i="6"/>
  <c r="T1807" i="6"/>
  <c r="S1809" i="6"/>
  <c r="Q1809" i="6"/>
  <c r="O1809" i="6"/>
  <c r="M1809" i="6"/>
  <c r="K1809" i="6"/>
  <c r="I1809" i="6"/>
  <c r="L1809" i="6"/>
  <c r="P1809" i="6"/>
  <c r="T1809" i="6"/>
  <c r="S1811" i="6"/>
  <c r="Q1811" i="6"/>
  <c r="O1811" i="6"/>
  <c r="M1811" i="6"/>
  <c r="K1811" i="6"/>
  <c r="I1811" i="6"/>
  <c r="L1811" i="6"/>
  <c r="P1811" i="6"/>
  <c r="T1811" i="6"/>
  <c r="S1813" i="6"/>
  <c r="Q1813" i="6"/>
  <c r="O1813" i="6"/>
  <c r="M1813" i="6"/>
  <c r="K1813" i="6"/>
  <c r="I1813" i="6"/>
  <c r="L1813" i="6"/>
  <c r="P1813" i="6"/>
  <c r="T1813" i="6"/>
  <c r="S1815" i="6"/>
  <c r="Q1815" i="6"/>
  <c r="O1815" i="6"/>
  <c r="M1815" i="6"/>
  <c r="K1815" i="6"/>
  <c r="I1815" i="6"/>
  <c r="L1815" i="6"/>
  <c r="P1815" i="6"/>
  <c r="T1815" i="6"/>
  <c r="S1817" i="6"/>
  <c r="Q1817" i="6"/>
  <c r="O1817" i="6"/>
  <c r="M1817" i="6"/>
  <c r="K1817" i="6"/>
  <c r="I1817" i="6"/>
  <c r="L1817" i="6"/>
  <c r="P1817" i="6"/>
  <c r="T1817" i="6"/>
  <c r="S1819" i="6"/>
  <c r="Q1819" i="6"/>
  <c r="O1819" i="6"/>
  <c r="M1819" i="6"/>
  <c r="K1819" i="6"/>
  <c r="I1819" i="6"/>
  <c r="L1819" i="6"/>
  <c r="P1819" i="6"/>
  <c r="T1819" i="6"/>
  <c r="S1821" i="6"/>
  <c r="Q1821" i="6"/>
  <c r="O1821" i="6"/>
  <c r="M1821" i="6"/>
  <c r="K1821" i="6"/>
  <c r="I1821" i="6"/>
  <c r="L1821" i="6"/>
  <c r="P1821" i="6"/>
  <c r="T1821" i="6"/>
  <c r="S1823" i="6"/>
  <c r="Q1823" i="6"/>
  <c r="O1823" i="6"/>
  <c r="M1823" i="6"/>
  <c r="K1823" i="6"/>
  <c r="I1823" i="6"/>
  <c r="L1823" i="6"/>
  <c r="P1823" i="6"/>
  <c r="T1823" i="6"/>
  <c r="S1825" i="6"/>
  <c r="Q1825" i="6"/>
  <c r="O1825" i="6"/>
  <c r="M1825" i="6"/>
  <c r="K1825" i="6"/>
  <c r="I1825" i="6"/>
  <c r="L1825" i="6"/>
  <c r="P1825" i="6"/>
  <c r="T1825" i="6"/>
  <c r="S1827" i="6"/>
  <c r="Q1827" i="6"/>
  <c r="O1827" i="6"/>
  <c r="M1827" i="6"/>
  <c r="K1827" i="6"/>
  <c r="I1827" i="6"/>
  <c r="L1827" i="6"/>
  <c r="P1827" i="6"/>
  <c r="T1827" i="6"/>
  <c r="S1829" i="6"/>
  <c r="Q1829" i="6"/>
  <c r="O1829" i="6"/>
  <c r="M1829" i="6"/>
  <c r="K1829" i="6"/>
  <c r="I1829" i="6"/>
  <c r="L1829" i="6"/>
  <c r="P1829" i="6"/>
  <c r="T1829" i="6"/>
  <c r="S1831" i="6"/>
  <c r="Q1831" i="6"/>
  <c r="O1831" i="6"/>
  <c r="M1831" i="6"/>
  <c r="K1831" i="6"/>
  <c r="I1831" i="6"/>
  <c r="L1831" i="6"/>
  <c r="P1831" i="6"/>
  <c r="T1831" i="6"/>
  <c r="T1835" i="6"/>
  <c r="T1839" i="6"/>
  <c r="T1843" i="6"/>
  <c r="T1847" i="6"/>
  <c r="T1851" i="6"/>
  <c r="T1855" i="6"/>
  <c r="T1859" i="6"/>
  <c r="T1863" i="6"/>
  <c r="R1912" i="6"/>
  <c r="R1916" i="6"/>
  <c r="T1865" i="6"/>
  <c r="T1867" i="6"/>
  <c r="T1869" i="6"/>
  <c r="T1871" i="6"/>
  <c r="T1873" i="6"/>
  <c r="T1875" i="6"/>
  <c r="T1877" i="6"/>
  <c r="T1879" i="6"/>
  <c r="T1881" i="6"/>
  <c r="T1883" i="6"/>
  <c r="T1885" i="6"/>
  <c r="T1887" i="6"/>
  <c r="T1889" i="6"/>
  <c r="T1891" i="6"/>
  <c r="T1893" i="6"/>
  <c r="T1895" i="6"/>
  <c r="T1897" i="6"/>
  <c r="T1899" i="6"/>
  <c r="T1901" i="6"/>
  <c r="T1903" i="6"/>
  <c r="T1905" i="6"/>
  <c r="T1907" i="6"/>
  <c r="T1909" i="6"/>
  <c r="J1910" i="6"/>
  <c r="N1910" i="6"/>
  <c r="T1911" i="6"/>
  <c r="J1912" i="6"/>
  <c r="N1912" i="6"/>
  <c r="T1913" i="6"/>
  <c r="J1914" i="6"/>
  <c r="N1914" i="6"/>
  <c r="T1915" i="6"/>
  <c r="J1916" i="6"/>
  <c r="N1916" i="6"/>
  <c r="T1917" i="6"/>
  <c r="J1918" i="6"/>
  <c r="N1918" i="6"/>
  <c r="T1919" i="6"/>
  <c r="T1920" i="6"/>
  <c r="R1920" i="6"/>
  <c r="Q1920" i="6"/>
  <c r="O1920" i="6"/>
  <c r="M1920" i="6"/>
  <c r="K1920" i="6"/>
  <c r="I1920" i="6"/>
  <c r="S1920" i="6"/>
  <c r="N1920" i="6"/>
  <c r="J1920" i="6"/>
  <c r="P1920" i="6"/>
  <c r="J1686" i="6"/>
  <c r="L1686" i="6"/>
  <c r="N1686" i="6"/>
  <c r="P1686" i="6"/>
  <c r="R1686" i="6"/>
  <c r="J1688" i="6"/>
  <c r="L1688" i="6"/>
  <c r="N1688" i="6"/>
  <c r="P1688" i="6"/>
  <c r="R1688" i="6"/>
  <c r="J1690" i="6"/>
  <c r="L1690" i="6"/>
  <c r="N1690" i="6"/>
  <c r="P1690" i="6"/>
  <c r="R1690" i="6"/>
  <c r="J1692" i="6"/>
  <c r="L1692" i="6"/>
  <c r="N1692" i="6"/>
  <c r="P1692" i="6"/>
  <c r="R1692" i="6"/>
  <c r="J1694" i="6"/>
  <c r="L1694" i="6"/>
  <c r="N1694" i="6"/>
  <c r="P1694" i="6"/>
  <c r="R1694" i="6"/>
  <c r="J1696" i="6"/>
  <c r="L1696" i="6"/>
  <c r="N1696" i="6"/>
  <c r="P1696" i="6"/>
  <c r="R1696" i="6"/>
  <c r="J1698" i="6"/>
  <c r="L1698" i="6"/>
  <c r="N1698" i="6"/>
  <c r="P1698" i="6"/>
  <c r="R1698" i="6"/>
  <c r="J1700" i="6"/>
  <c r="L1700" i="6"/>
  <c r="N1700" i="6"/>
  <c r="P1700" i="6"/>
  <c r="R1700" i="6"/>
  <c r="J1702" i="6"/>
  <c r="L1702" i="6"/>
  <c r="N1702" i="6"/>
  <c r="P1702" i="6"/>
  <c r="R1702" i="6"/>
  <c r="J1704" i="6"/>
  <c r="L1704" i="6"/>
  <c r="N1704" i="6"/>
  <c r="P1704" i="6"/>
  <c r="R1704" i="6"/>
  <c r="J1706" i="6"/>
  <c r="L1706" i="6"/>
  <c r="N1706" i="6"/>
  <c r="P1706" i="6"/>
  <c r="R1706" i="6"/>
  <c r="J1708" i="6"/>
  <c r="L1708" i="6"/>
  <c r="N1708" i="6"/>
  <c r="P1708" i="6"/>
  <c r="R1708" i="6"/>
  <c r="J1710" i="6"/>
  <c r="L1710" i="6"/>
  <c r="N1710" i="6"/>
  <c r="P1710" i="6"/>
  <c r="R1710" i="6"/>
  <c r="J1712" i="6"/>
  <c r="L1712" i="6"/>
  <c r="N1712" i="6"/>
  <c r="P1712" i="6"/>
  <c r="R1712" i="6"/>
  <c r="J1714" i="6"/>
  <c r="L1714" i="6"/>
  <c r="N1714" i="6"/>
  <c r="P1714" i="6"/>
  <c r="R1714" i="6"/>
  <c r="J1716" i="6"/>
  <c r="L1716" i="6"/>
  <c r="N1716" i="6"/>
  <c r="P1716" i="6"/>
  <c r="R1716" i="6"/>
  <c r="J1718" i="6"/>
  <c r="L1718" i="6"/>
  <c r="N1718" i="6"/>
  <c r="P1718" i="6"/>
  <c r="R1718" i="6"/>
  <c r="J1720" i="6"/>
  <c r="L1720" i="6"/>
  <c r="N1720" i="6"/>
  <c r="P1720" i="6"/>
  <c r="R1720" i="6"/>
  <c r="J1722" i="6"/>
  <c r="L1722" i="6"/>
  <c r="N1722" i="6"/>
  <c r="P1722" i="6"/>
  <c r="R1722" i="6"/>
  <c r="J1724" i="6"/>
  <c r="L1724" i="6"/>
  <c r="N1724" i="6"/>
  <c r="P1724" i="6"/>
  <c r="R1724" i="6"/>
  <c r="J1726" i="6"/>
  <c r="L1726" i="6"/>
  <c r="N1726" i="6"/>
  <c r="P1726" i="6"/>
  <c r="R1726" i="6"/>
  <c r="J1728" i="6"/>
  <c r="L1728" i="6"/>
  <c r="N1728" i="6"/>
  <c r="P1728" i="6"/>
  <c r="R1728" i="6"/>
  <c r="J1730" i="6"/>
  <c r="L1730" i="6"/>
  <c r="N1730" i="6"/>
  <c r="P1730" i="6"/>
  <c r="R1730" i="6"/>
  <c r="J1732" i="6"/>
  <c r="L1732" i="6"/>
  <c r="N1732" i="6"/>
  <c r="P1732" i="6"/>
  <c r="R1732" i="6"/>
  <c r="J1734" i="6"/>
  <c r="L1734" i="6"/>
  <c r="N1734" i="6"/>
  <c r="P1734" i="6"/>
  <c r="R1734" i="6"/>
  <c r="J1736" i="6"/>
  <c r="L1736" i="6"/>
  <c r="N1736" i="6"/>
  <c r="P1736" i="6"/>
  <c r="R1736" i="6"/>
  <c r="J1738" i="6"/>
  <c r="L1738" i="6"/>
  <c r="N1738" i="6"/>
  <c r="P1738" i="6"/>
  <c r="R1738" i="6"/>
  <c r="J1740" i="6"/>
  <c r="L1740" i="6"/>
  <c r="N1740" i="6"/>
  <c r="P1740" i="6"/>
  <c r="R1740" i="6"/>
  <c r="J1742" i="6"/>
  <c r="L1742" i="6"/>
  <c r="N1742" i="6"/>
  <c r="P1742" i="6"/>
  <c r="R1742" i="6"/>
  <c r="J1744" i="6"/>
  <c r="L1744" i="6"/>
  <c r="N1744" i="6"/>
  <c r="P1744" i="6"/>
  <c r="R1744" i="6"/>
  <c r="J1746" i="6"/>
  <c r="L1746" i="6"/>
  <c r="N1746" i="6"/>
  <c r="P1746" i="6"/>
  <c r="R1746" i="6"/>
  <c r="J1748" i="6"/>
  <c r="L1748" i="6"/>
  <c r="N1748" i="6"/>
  <c r="P1748" i="6"/>
  <c r="R1748" i="6"/>
  <c r="J1750" i="6"/>
  <c r="L1750" i="6"/>
  <c r="N1750" i="6"/>
  <c r="P1750" i="6"/>
  <c r="R1750" i="6"/>
  <c r="J1752" i="6"/>
  <c r="L1752" i="6"/>
  <c r="N1752" i="6"/>
  <c r="P1752" i="6"/>
  <c r="R1752" i="6"/>
  <c r="J1754" i="6"/>
  <c r="L1754" i="6"/>
  <c r="N1754" i="6"/>
  <c r="P1754" i="6"/>
  <c r="R1754" i="6"/>
  <c r="J1756" i="6"/>
  <c r="L1756" i="6"/>
  <c r="N1756" i="6"/>
  <c r="P1756" i="6"/>
  <c r="R1756" i="6"/>
  <c r="J1758" i="6"/>
  <c r="L1758" i="6"/>
  <c r="N1758" i="6"/>
  <c r="P1758" i="6"/>
  <c r="R1758" i="6"/>
  <c r="J1760" i="6"/>
  <c r="L1760" i="6"/>
  <c r="N1760" i="6"/>
  <c r="P1760" i="6"/>
  <c r="R1760" i="6"/>
  <c r="J1762" i="6"/>
  <c r="L1762" i="6"/>
  <c r="N1762" i="6"/>
  <c r="P1762" i="6"/>
  <c r="R1762" i="6"/>
  <c r="J1764" i="6"/>
  <c r="L1764" i="6"/>
  <c r="N1764" i="6"/>
  <c r="P1764" i="6"/>
  <c r="R1764" i="6"/>
  <c r="J1766" i="6"/>
  <c r="L1766" i="6"/>
  <c r="N1766" i="6"/>
  <c r="P1766" i="6"/>
  <c r="R1766" i="6"/>
  <c r="J1768" i="6"/>
  <c r="L1768" i="6"/>
  <c r="N1768" i="6"/>
  <c r="P1768" i="6"/>
  <c r="R1768" i="6"/>
  <c r="J1770" i="6"/>
  <c r="L1770" i="6"/>
  <c r="N1770" i="6"/>
  <c r="P1770" i="6"/>
  <c r="R1770" i="6"/>
  <c r="J1772" i="6"/>
  <c r="L1772" i="6"/>
  <c r="N1772" i="6"/>
  <c r="P1772" i="6"/>
  <c r="R1772" i="6"/>
  <c r="J1774" i="6"/>
  <c r="L1774" i="6"/>
  <c r="N1774" i="6"/>
  <c r="P1774" i="6"/>
  <c r="R1774" i="6"/>
  <c r="J1776" i="6"/>
  <c r="L1776" i="6"/>
  <c r="N1776" i="6"/>
  <c r="P1776" i="6"/>
  <c r="R1776" i="6"/>
  <c r="J1778" i="6"/>
  <c r="L1778" i="6"/>
  <c r="N1778" i="6"/>
  <c r="P1778" i="6"/>
  <c r="R1778" i="6"/>
  <c r="J1780" i="6"/>
  <c r="L1780" i="6"/>
  <c r="N1780" i="6"/>
  <c r="P1780" i="6"/>
  <c r="R1780" i="6"/>
  <c r="J1782" i="6"/>
  <c r="L1782" i="6"/>
  <c r="N1782" i="6"/>
  <c r="P1782" i="6"/>
  <c r="R1782" i="6"/>
  <c r="J1784" i="6"/>
  <c r="L1784" i="6"/>
  <c r="N1784" i="6"/>
  <c r="P1784" i="6"/>
  <c r="R1784" i="6"/>
  <c r="J1786" i="6"/>
  <c r="L1786" i="6"/>
  <c r="N1786" i="6"/>
  <c r="P1786" i="6"/>
  <c r="R1786" i="6"/>
  <c r="J1788" i="6"/>
  <c r="L1788" i="6"/>
  <c r="N1788" i="6"/>
  <c r="P1788" i="6"/>
  <c r="R1788" i="6"/>
  <c r="J1790" i="6"/>
  <c r="L1790" i="6"/>
  <c r="N1790" i="6"/>
  <c r="P1790" i="6"/>
  <c r="R1790" i="6"/>
  <c r="J1792" i="6"/>
  <c r="L1792" i="6"/>
  <c r="N1792" i="6"/>
  <c r="P1792" i="6"/>
  <c r="R1792" i="6"/>
  <c r="J1794" i="6"/>
  <c r="L1794" i="6"/>
  <c r="N1794" i="6"/>
  <c r="P1794" i="6"/>
  <c r="R1794" i="6"/>
  <c r="J1796" i="6"/>
  <c r="L1796" i="6"/>
  <c r="N1796" i="6"/>
  <c r="P1796" i="6"/>
  <c r="R1796" i="6"/>
  <c r="J1798" i="6"/>
  <c r="L1798" i="6"/>
  <c r="N1798" i="6"/>
  <c r="P1798" i="6"/>
  <c r="R1798" i="6"/>
  <c r="J1800" i="6"/>
  <c r="L1800" i="6"/>
  <c r="N1800" i="6"/>
  <c r="P1800" i="6"/>
  <c r="R1800" i="6"/>
  <c r="J1802" i="6"/>
  <c r="L1802" i="6"/>
  <c r="N1802" i="6"/>
  <c r="P1802" i="6"/>
  <c r="R1802" i="6"/>
  <c r="J1804" i="6"/>
  <c r="L1804" i="6"/>
  <c r="N1804" i="6"/>
  <c r="P1804" i="6"/>
  <c r="R1804" i="6"/>
  <c r="J1806" i="6"/>
  <c r="L1806" i="6"/>
  <c r="N1806" i="6"/>
  <c r="P1806" i="6"/>
  <c r="R1806" i="6"/>
  <c r="J1808" i="6"/>
  <c r="L1808" i="6"/>
  <c r="N1808" i="6"/>
  <c r="P1808" i="6"/>
  <c r="R1808" i="6"/>
  <c r="J1810" i="6"/>
  <c r="L1810" i="6"/>
  <c r="N1810" i="6"/>
  <c r="P1810" i="6"/>
  <c r="R1810" i="6"/>
  <c r="J1812" i="6"/>
  <c r="L1812" i="6"/>
  <c r="N1812" i="6"/>
  <c r="P1812" i="6"/>
  <c r="R1812" i="6"/>
  <c r="J1814" i="6"/>
  <c r="L1814" i="6"/>
  <c r="N1814" i="6"/>
  <c r="P1814" i="6"/>
  <c r="R1814" i="6"/>
  <c r="J1816" i="6"/>
  <c r="L1816" i="6"/>
  <c r="N1816" i="6"/>
  <c r="P1816" i="6"/>
  <c r="R1816" i="6"/>
  <c r="J1818" i="6"/>
  <c r="L1818" i="6"/>
  <c r="N1818" i="6"/>
  <c r="P1818" i="6"/>
  <c r="R1818" i="6"/>
  <c r="J1820" i="6"/>
  <c r="L1820" i="6"/>
  <c r="N1820" i="6"/>
  <c r="P1820" i="6"/>
  <c r="R1820" i="6"/>
  <c r="J1822" i="6"/>
  <c r="L1822" i="6"/>
  <c r="N1822" i="6"/>
  <c r="P1822" i="6"/>
  <c r="R1822" i="6"/>
  <c r="J1824" i="6"/>
  <c r="L1824" i="6"/>
  <c r="N1824" i="6"/>
  <c r="P1824" i="6"/>
  <c r="R1824" i="6"/>
  <c r="J1826" i="6"/>
  <c r="L1826" i="6"/>
  <c r="N1826" i="6"/>
  <c r="P1826" i="6"/>
  <c r="R1826" i="6"/>
  <c r="J1828" i="6"/>
  <c r="L1828" i="6"/>
  <c r="N1828" i="6"/>
  <c r="P1828" i="6"/>
  <c r="R1828" i="6"/>
  <c r="J1830" i="6"/>
  <c r="L1830" i="6"/>
  <c r="N1830" i="6"/>
  <c r="P1830" i="6"/>
  <c r="R1830" i="6"/>
  <c r="S1832" i="6"/>
  <c r="Q1832" i="6"/>
  <c r="O1832" i="6"/>
  <c r="M1832" i="6"/>
  <c r="K1832" i="6"/>
  <c r="I1832" i="6"/>
  <c r="L1832" i="6"/>
  <c r="P1832" i="6"/>
  <c r="T1832" i="6"/>
  <c r="S1834" i="6"/>
  <c r="Q1834" i="6"/>
  <c r="O1834" i="6"/>
  <c r="M1834" i="6"/>
  <c r="K1834" i="6"/>
  <c r="I1834" i="6"/>
  <c r="L1834" i="6"/>
  <c r="P1834" i="6"/>
  <c r="T1834" i="6"/>
  <c r="S1836" i="6"/>
  <c r="Q1836" i="6"/>
  <c r="O1836" i="6"/>
  <c r="M1836" i="6"/>
  <c r="K1836" i="6"/>
  <c r="I1836" i="6"/>
  <c r="L1836" i="6"/>
  <c r="P1836" i="6"/>
  <c r="T1836" i="6"/>
  <c r="S1838" i="6"/>
  <c r="Q1838" i="6"/>
  <c r="O1838" i="6"/>
  <c r="M1838" i="6"/>
  <c r="K1838" i="6"/>
  <c r="I1838" i="6"/>
  <c r="L1838" i="6"/>
  <c r="P1838" i="6"/>
  <c r="T1838" i="6"/>
  <c r="S1840" i="6"/>
  <c r="Q1840" i="6"/>
  <c r="O1840" i="6"/>
  <c r="M1840" i="6"/>
  <c r="K1840" i="6"/>
  <c r="I1840" i="6"/>
  <c r="L1840" i="6"/>
  <c r="P1840" i="6"/>
  <c r="T1840" i="6"/>
  <c r="S1842" i="6"/>
  <c r="Q1842" i="6"/>
  <c r="O1842" i="6"/>
  <c r="M1842" i="6"/>
  <c r="K1842" i="6"/>
  <c r="I1842" i="6"/>
  <c r="L1842" i="6"/>
  <c r="P1842" i="6"/>
  <c r="T1842" i="6"/>
  <c r="S1844" i="6"/>
  <c r="Q1844" i="6"/>
  <c r="O1844" i="6"/>
  <c r="M1844" i="6"/>
  <c r="K1844" i="6"/>
  <c r="I1844" i="6"/>
  <c r="L1844" i="6"/>
  <c r="P1844" i="6"/>
  <c r="T1844" i="6"/>
  <c r="S1846" i="6"/>
  <c r="Q1846" i="6"/>
  <c r="O1846" i="6"/>
  <c r="M1846" i="6"/>
  <c r="K1846" i="6"/>
  <c r="I1846" i="6"/>
  <c r="L1846" i="6"/>
  <c r="P1846" i="6"/>
  <c r="T1846" i="6"/>
  <c r="S1848" i="6"/>
  <c r="Q1848" i="6"/>
  <c r="O1848" i="6"/>
  <c r="M1848" i="6"/>
  <c r="K1848" i="6"/>
  <c r="I1848" i="6"/>
  <c r="L1848" i="6"/>
  <c r="P1848" i="6"/>
  <c r="T1848" i="6"/>
  <c r="S1850" i="6"/>
  <c r="Q1850" i="6"/>
  <c r="O1850" i="6"/>
  <c r="M1850" i="6"/>
  <c r="K1850" i="6"/>
  <c r="I1850" i="6"/>
  <c r="L1850" i="6"/>
  <c r="P1850" i="6"/>
  <c r="T1850" i="6"/>
  <c r="S1852" i="6"/>
  <c r="Q1852" i="6"/>
  <c r="O1852" i="6"/>
  <c r="M1852" i="6"/>
  <c r="K1852" i="6"/>
  <c r="I1852" i="6"/>
  <c r="L1852" i="6"/>
  <c r="P1852" i="6"/>
  <c r="T1852" i="6"/>
  <c r="S1854" i="6"/>
  <c r="Q1854" i="6"/>
  <c r="O1854" i="6"/>
  <c r="M1854" i="6"/>
  <c r="K1854" i="6"/>
  <c r="I1854" i="6"/>
  <c r="L1854" i="6"/>
  <c r="P1854" i="6"/>
  <c r="T1854" i="6"/>
  <c r="S1856" i="6"/>
  <c r="Q1856" i="6"/>
  <c r="O1856" i="6"/>
  <c r="M1856" i="6"/>
  <c r="K1856" i="6"/>
  <c r="I1856" i="6"/>
  <c r="L1856" i="6"/>
  <c r="P1856" i="6"/>
  <c r="T1856" i="6"/>
  <c r="S1858" i="6"/>
  <c r="Q1858" i="6"/>
  <c r="O1858" i="6"/>
  <c r="M1858" i="6"/>
  <c r="K1858" i="6"/>
  <c r="I1858" i="6"/>
  <c r="L1858" i="6"/>
  <c r="P1858" i="6"/>
  <c r="T1858" i="6"/>
  <c r="S1860" i="6"/>
  <c r="Q1860" i="6"/>
  <c r="O1860" i="6"/>
  <c r="M1860" i="6"/>
  <c r="K1860" i="6"/>
  <c r="I1860" i="6"/>
  <c r="L1860" i="6"/>
  <c r="P1860" i="6"/>
  <c r="T1860" i="6"/>
  <c r="S1862" i="6"/>
  <c r="Q1862" i="6"/>
  <c r="O1862" i="6"/>
  <c r="M1862" i="6"/>
  <c r="K1862" i="6"/>
  <c r="I1862" i="6"/>
  <c r="L1862" i="6"/>
  <c r="P1862" i="6"/>
  <c r="T1862" i="6"/>
  <c r="S1864" i="6"/>
  <c r="Q1864" i="6"/>
  <c r="O1864" i="6"/>
  <c r="M1864" i="6"/>
  <c r="K1864" i="6"/>
  <c r="I1864" i="6"/>
  <c r="L1864" i="6"/>
  <c r="P1864" i="6"/>
  <c r="T1864" i="6"/>
  <c r="S1866" i="6"/>
  <c r="Q1866" i="6"/>
  <c r="O1866" i="6"/>
  <c r="M1866" i="6"/>
  <c r="K1866" i="6"/>
  <c r="I1866" i="6"/>
  <c r="L1866" i="6"/>
  <c r="P1866" i="6"/>
  <c r="T1866" i="6"/>
  <c r="S1868" i="6"/>
  <c r="Q1868" i="6"/>
  <c r="O1868" i="6"/>
  <c r="M1868" i="6"/>
  <c r="K1868" i="6"/>
  <c r="I1868" i="6"/>
  <c r="L1868" i="6"/>
  <c r="P1868" i="6"/>
  <c r="T1868" i="6"/>
  <c r="S1870" i="6"/>
  <c r="Q1870" i="6"/>
  <c r="O1870" i="6"/>
  <c r="M1870" i="6"/>
  <c r="K1870" i="6"/>
  <c r="I1870" i="6"/>
  <c r="L1870" i="6"/>
  <c r="P1870" i="6"/>
  <c r="T1870" i="6"/>
  <c r="S1872" i="6"/>
  <c r="Q1872" i="6"/>
  <c r="O1872" i="6"/>
  <c r="M1872" i="6"/>
  <c r="K1872" i="6"/>
  <c r="I1872" i="6"/>
  <c r="L1872" i="6"/>
  <c r="P1872" i="6"/>
  <c r="T1872" i="6"/>
  <c r="S1874" i="6"/>
  <c r="Q1874" i="6"/>
  <c r="O1874" i="6"/>
  <c r="M1874" i="6"/>
  <c r="K1874" i="6"/>
  <c r="I1874" i="6"/>
  <c r="L1874" i="6"/>
  <c r="P1874" i="6"/>
  <c r="T1874" i="6"/>
  <c r="S1876" i="6"/>
  <c r="Q1876" i="6"/>
  <c r="O1876" i="6"/>
  <c r="M1876" i="6"/>
  <c r="K1876" i="6"/>
  <c r="I1876" i="6"/>
  <c r="L1876" i="6"/>
  <c r="P1876" i="6"/>
  <c r="T1876" i="6"/>
  <c r="S1878" i="6"/>
  <c r="Q1878" i="6"/>
  <c r="O1878" i="6"/>
  <c r="M1878" i="6"/>
  <c r="K1878" i="6"/>
  <c r="I1878" i="6"/>
  <c r="L1878" i="6"/>
  <c r="P1878" i="6"/>
  <c r="T1878" i="6"/>
  <c r="S1880" i="6"/>
  <c r="Q1880" i="6"/>
  <c r="O1880" i="6"/>
  <c r="M1880" i="6"/>
  <c r="K1880" i="6"/>
  <c r="I1880" i="6"/>
  <c r="L1880" i="6"/>
  <c r="P1880" i="6"/>
  <c r="T1880" i="6"/>
  <c r="S1882" i="6"/>
  <c r="Q1882" i="6"/>
  <c r="O1882" i="6"/>
  <c r="M1882" i="6"/>
  <c r="K1882" i="6"/>
  <c r="I1882" i="6"/>
  <c r="L1882" i="6"/>
  <c r="P1882" i="6"/>
  <c r="T1882" i="6"/>
  <c r="S1884" i="6"/>
  <c r="Q1884" i="6"/>
  <c r="O1884" i="6"/>
  <c r="M1884" i="6"/>
  <c r="K1884" i="6"/>
  <c r="I1884" i="6"/>
  <c r="L1884" i="6"/>
  <c r="P1884" i="6"/>
  <c r="T1884" i="6"/>
  <c r="S1886" i="6"/>
  <c r="Q1886" i="6"/>
  <c r="O1886" i="6"/>
  <c r="M1886" i="6"/>
  <c r="K1886" i="6"/>
  <c r="I1886" i="6"/>
  <c r="L1886" i="6"/>
  <c r="P1886" i="6"/>
  <c r="T1886" i="6"/>
  <c r="S1888" i="6"/>
  <c r="Q1888" i="6"/>
  <c r="O1888" i="6"/>
  <c r="M1888" i="6"/>
  <c r="K1888" i="6"/>
  <c r="I1888" i="6"/>
  <c r="L1888" i="6"/>
  <c r="P1888" i="6"/>
  <c r="T1888" i="6"/>
  <c r="S1890" i="6"/>
  <c r="Q1890" i="6"/>
  <c r="O1890" i="6"/>
  <c r="M1890" i="6"/>
  <c r="K1890" i="6"/>
  <c r="I1890" i="6"/>
  <c r="L1890" i="6"/>
  <c r="P1890" i="6"/>
  <c r="T1890" i="6"/>
  <c r="S1892" i="6"/>
  <c r="Q1892" i="6"/>
  <c r="O1892" i="6"/>
  <c r="M1892" i="6"/>
  <c r="K1892" i="6"/>
  <c r="I1892" i="6"/>
  <c r="L1892" i="6"/>
  <c r="P1892" i="6"/>
  <c r="T1892" i="6"/>
  <c r="S1894" i="6"/>
  <c r="Q1894" i="6"/>
  <c r="O1894" i="6"/>
  <c r="M1894" i="6"/>
  <c r="K1894" i="6"/>
  <c r="I1894" i="6"/>
  <c r="L1894" i="6"/>
  <c r="P1894" i="6"/>
  <c r="T1894" i="6"/>
  <c r="S1896" i="6"/>
  <c r="Q1896" i="6"/>
  <c r="O1896" i="6"/>
  <c r="M1896" i="6"/>
  <c r="K1896" i="6"/>
  <c r="I1896" i="6"/>
  <c r="L1896" i="6"/>
  <c r="P1896" i="6"/>
  <c r="T1896" i="6"/>
  <c r="S1898" i="6"/>
  <c r="Q1898" i="6"/>
  <c r="O1898" i="6"/>
  <c r="M1898" i="6"/>
  <c r="K1898" i="6"/>
  <c r="I1898" i="6"/>
  <c r="L1898" i="6"/>
  <c r="P1898" i="6"/>
  <c r="T1898" i="6"/>
  <c r="S1900" i="6"/>
  <c r="Q1900" i="6"/>
  <c r="O1900" i="6"/>
  <c r="M1900" i="6"/>
  <c r="K1900" i="6"/>
  <c r="I1900" i="6"/>
  <c r="L1900" i="6"/>
  <c r="P1900" i="6"/>
  <c r="T1900" i="6"/>
  <c r="S1902" i="6"/>
  <c r="Q1902" i="6"/>
  <c r="O1902" i="6"/>
  <c r="M1902" i="6"/>
  <c r="K1902" i="6"/>
  <c r="I1902" i="6"/>
  <c r="L1902" i="6"/>
  <c r="P1902" i="6"/>
  <c r="T1902" i="6"/>
  <c r="S1904" i="6"/>
  <c r="Q1904" i="6"/>
  <c r="O1904" i="6"/>
  <c r="M1904" i="6"/>
  <c r="K1904" i="6"/>
  <c r="I1904" i="6"/>
  <c r="L1904" i="6"/>
  <c r="P1904" i="6"/>
  <c r="T1904" i="6"/>
  <c r="S1906" i="6"/>
  <c r="Q1906" i="6"/>
  <c r="O1906" i="6"/>
  <c r="M1906" i="6"/>
  <c r="K1906" i="6"/>
  <c r="I1906" i="6"/>
  <c r="L1906" i="6"/>
  <c r="P1906" i="6"/>
  <c r="T1906" i="6"/>
  <c r="S1908" i="6"/>
  <c r="Q1908" i="6"/>
  <c r="O1908" i="6"/>
  <c r="M1908" i="6"/>
  <c r="K1908" i="6"/>
  <c r="I1908" i="6"/>
  <c r="L1908" i="6"/>
  <c r="P1908" i="6"/>
  <c r="T1908" i="6"/>
  <c r="S1910" i="6"/>
  <c r="Q1910" i="6"/>
  <c r="O1910" i="6"/>
  <c r="M1910" i="6"/>
  <c r="K1910" i="6"/>
  <c r="I1910" i="6"/>
  <c r="L1910" i="6"/>
  <c r="P1910" i="6"/>
  <c r="T1910" i="6"/>
  <c r="S1912" i="6"/>
  <c r="Q1912" i="6"/>
  <c r="O1912" i="6"/>
  <c r="M1912" i="6"/>
  <c r="K1912" i="6"/>
  <c r="I1912" i="6"/>
  <c r="L1912" i="6"/>
  <c r="P1912" i="6"/>
  <c r="T1912" i="6"/>
  <c r="S1914" i="6"/>
  <c r="Q1914" i="6"/>
  <c r="O1914" i="6"/>
  <c r="M1914" i="6"/>
  <c r="K1914" i="6"/>
  <c r="I1914" i="6"/>
  <c r="L1914" i="6"/>
  <c r="P1914" i="6"/>
  <c r="T1914" i="6"/>
  <c r="S1916" i="6"/>
  <c r="Q1916" i="6"/>
  <c r="O1916" i="6"/>
  <c r="M1916" i="6"/>
  <c r="K1916" i="6"/>
  <c r="I1916" i="6"/>
  <c r="L1916" i="6"/>
  <c r="P1916" i="6"/>
  <c r="T1916" i="6"/>
  <c r="S1918" i="6"/>
  <c r="Q1918" i="6"/>
  <c r="O1918" i="6"/>
  <c r="M1918" i="6"/>
  <c r="K1918" i="6"/>
  <c r="I1918" i="6"/>
  <c r="L1918" i="6"/>
  <c r="P1918" i="6"/>
  <c r="T1918" i="6"/>
  <c r="T1922" i="6"/>
  <c r="P1968" i="6"/>
  <c r="P1972" i="6"/>
  <c r="P1976" i="6"/>
  <c r="P1980" i="6"/>
  <c r="P1984" i="6"/>
  <c r="T1924" i="6"/>
  <c r="T1928" i="6"/>
  <c r="T1932" i="6"/>
  <c r="T1936" i="6"/>
  <c r="T1940" i="6"/>
  <c r="T1944" i="6"/>
  <c r="T1948" i="6"/>
  <c r="T1952" i="6"/>
  <c r="T1956" i="6"/>
  <c r="T1960" i="6"/>
  <c r="T1964" i="6"/>
  <c r="S1966" i="6"/>
  <c r="Q1966" i="6"/>
  <c r="O1966" i="6"/>
  <c r="M1966" i="6"/>
  <c r="K1966" i="6"/>
  <c r="I1966" i="6"/>
  <c r="R1966" i="6"/>
  <c r="N1966" i="6"/>
  <c r="J1966" i="6"/>
  <c r="T1966" i="6"/>
  <c r="L1966" i="6"/>
  <c r="S1970" i="6"/>
  <c r="Q1970" i="6"/>
  <c r="O1970" i="6"/>
  <c r="M1970" i="6"/>
  <c r="K1970" i="6"/>
  <c r="I1970" i="6"/>
  <c r="R1970" i="6"/>
  <c r="N1970" i="6"/>
  <c r="J1970" i="6"/>
  <c r="T1970" i="6"/>
  <c r="L1970" i="6"/>
  <c r="S1974" i="6"/>
  <c r="Q1974" i="6"/>
  <c r="O1974" i="6"/>
  <c r="M1974" i="6"/>
  <c r="K1974" i="6"/>
  <c r="I1974" i="6"/>
  <c r="R1974" i="6"/>
  <c r="N1974" i="6"/>
  <c r="J1974" i="6"/>
  <c r="T1974" i="6"/>
  <c r="L1974" i="6"/>
  <c r="S1978" i="6"/>
  <c r="Q1978" i="6"/>
  <c r="O1978" i="6"/>
  <c r="M1978" i="6"/>
  <c r="K1978" i="6"/>
  <c r="I1978" i="6"/>
  <c r="R1978" i="6"/>
  <c r="N1978" i="6"/>
  <c r="J1978" i="6"/>
  <c r="T1978" i="6"/>
  <c r="L1978" i="6"/>
  <c r="S1982" i="6"/>
  <c r="Q1982" i="6"/>
  <c r="O1982" i="6"/>
  <c r="M1982" i="6"/>
  <c r="K1982" i="6"/>
  <c r="I1982" i="6"/>
  <c r="R1982" i="6"/>
  <c r="N1982" i="6"/>
  <c r="J1982" i="6"/>
  <c r="T1982" i="6"/>
  <c r="L1982" i="6"/>
  <c r="T1926" i="6"/>
  <c r="T1930" i="6"/>
  <c r="T1934" i="6"/>
  <c r="T1938" i="6"/>
  <c r="T1942" i="6"/>
  <c r="T1946" i="6"/>
  <c r="T1950" i="6"/>
  <c r="T1954" i="6"/>
  <c r="T1958" i="6"/>
  <c r="T1962" i="6"/>
  <c r="S1968" i="6"/>
  <c r="Q1968" i="6"/>
  <c r="O1968" i="6"/>
  <c r="M1968" i="6"/>
  <c r="K1968" i="6"/>
  <c r="I1968" i="6"/>
  <c r="R1968" i="6"/>
  <c r="N1968" i="6"/>
  <c r="J1968" i="6"/>
  <c r="T1968" i="6"/>
  <c r="L1968" i="6"/>
  <c r="S1972" i="6"/>
  <c r="Q1972" i="6"/>
  <c r="O1972" i="6"/>
  <c r="M1972" i="6"/>
  <c r="K1972" i="6"/>
  <c r="I1972" i="6"/>
  <c r="R1972" i="6"/>
  <c r="N1972" i="6"/>
  <c r="J1972" i="6"/>
  <c r="T1972" i="6"/>
  <c r="L1972" i="6"/>
  <c r="S1976" i="6"/>
  <c r="Q1976" i="6"/>
  <c r="O1976" i="6"/>
  <c r="M1976" i="6"/>
  <c r="K1976" i="6"/>
  <c r="I1976" i="6"/>
  <c r="R1976" i="6"/>
  <c r="N1976" i="6"/>
  <c r="J1976" i="6"/>
  <c r="T1976" i="6"/>
  <c r="L1976" i="6"/>
  <c r="S1980" i="6"/>
  <c r="Q1980" i="6"/>
  <c r="O1980" i="6"/>
  <c r="M1980" i="6"/>
  <c r="K1980" i="6"/>
  <c r="I1980" i="6"/>
  <c r="R1980" i="6"/>
  <c r="N1980" i="6"/>
  <c r="J1980" i="6"/>
  <c r="T1980" i="6"/>
  <c r="L1980" i="6"/>
  <c r="S1984" i="6"/>
  <c r="Q1984" i="6"/>
  <c r="O1984" i="6"/>
  <c r="M1984" i="6"/>
  <c r="K1984" i="6"/>
  <c r="I1984" i="6"/>
  <c r="R1984" i="6"/>
  <c r="N1984" i="6"/>
  <c r="J1984" i="6"/>
  <c r="T1984" i="6"/>
  <c r="L1984" i="6"/>
  <c r="J1833" i="6"/>
  <c r="L1833" i="6"/>
  <c r="N1833" i="6"/>
  <c r="P1833" i="6"/>
  <c r="R1833" i="6"/>
  <c r="J1835" i="6"/>
  <c r="L1835" i="6"/>
  <c r="N1835" i="6"/>
  <c r="P1835" i="6"/>
  <c r="R1835" i="6"/>
  <c r="J1837" i="6"/>
  <c r="L1837" i="6"/>
  <c r="N1837" i="6"/>
  <c r="P1837" i="6"/>
  <c r="R1837" i="6"/>
  <c r="J1839" i="6"/>
  <c r="L1839" i="6"/>
  <c r="N1839" i="6"/>
  <c r="P1839" i="6"/>
  <c r="R1839" i="6"/>
  <c r="J1841" i="6"/>
  <c r="L1841" i="6"/>
  <c r="N1841" i="6"/>
  <c r="P1841" i="6"/>
  <c r="R1841" i="6"/>
  <c r="J1843" i="6"/>
  <c r="L1843" i="6"/>
  <c r="N1843" i="6"/>
  <c r="P1843" i="6"/>
  <c r="R1843" i="6"/>
  <c r="J1845" i="6"/>
  <c r="L1845" i="6"/>
  <c r="N1845" i="6"/>
  <c r="P1845" i="6"/>
  <c r="R1845" i="6"/>
  <c r="J1847" i="6"/>
  <c r="L1847" i="6"/>
  <c r="N1847" i="6"/>
  <c r="P1847" i="6"/>
  <c r="R1847" i="6"/>
  <c r="J1849" i="6"/>
  <c r="L1849" i="6"/>
  <c r="N1849" i="6"/>
  <c r="P1849" i="6"/>
  <c r="R1849" i="6"/>
  <c r="J1851" i="6"/>
  <c r="L1851" i="6"/>
  <c r="N1851" i="6"/>
  <c r="P1851" i="6"/>
  <c r="R1851" i="6"/>
  <c r="J1853" i="6"/>
  <c r="L1853" i="6"/>
  <c r="N1853" i="6"/>
  <c r="P1853" i="6"/>
  <c r="R1853" i="6"/>
  <c r="J1855" i="6"/>
  <c r="L1855" i="6"/>
  <c r="N1855" i="6"/>
  <c r="P1855" i="6"/>
  <c r="R1855" i="6"/>
  <c r="J1857" i="6"/>
  <c r="L1857" i="6"/>
  <c r="N1857" i="6"/>
  <c r="P1857" i="6"/>
  <c r="R1857" i="6"/>
  <c r="J1859" i="6"/>
  <c r="L1859" i="6"/>
  <c r="N1859" i="6"/>
  <c r="P1859" i="6"/>
  <c r="R1859" i="6"/>
  <c r="J1861" i="6"/>
  <c r="L1861" i="6"/>
  <c r="N1861" i="6"/>
  <c r="P1861" i="6"/>
  <c r="R1861" i="6"/>
  <c r="J1863" i="6"/>
  <c r="L1863" i="6"/>
  <c r="N1863" i="6"/>
  <c r="P1863" i="6"/>
  <c r="R1863" i="6"/>
  <c r="J1865" i="6"/>
  <c r="L1865" i="6"/>
  <c r="N1865" i="6"/>
  <c r="P1865" i="6"/>
  <c r="R1865" i="6"/>
  <c r="J1867" i="6"/>
  <c r="L1867" i="6"/>
  <c r="N1867" i="6"/>
  <c r="P1867" i="6"/>
  <c r="R1867" i="6"/>
  <c r="J1869" i="6"/>
  <c r="L1869" i="6"/>
  <c r="N1869" i="6"/>
  <c r="P1869" i="6"/>
  <c r="R1869" i="6"/>
  <c r="J1871" i="6"/>
  <c r="L1871" i="6"/>
  <c r="N1871" i="6"/>
  <c r="P1871" i="6"/>
  <c r="R1871" i="6"/>
  <c r="J1873" i="6"/>
  <c r="L1873" i="6"/>
  <c r="N1873" i="6"/>
  <c r="P1873" i="6"/>
  <c r="R1873" i="6"/>
  <c r="J1875" i="6"/>
  <c r="L1875" i="6"/>
  <c r="N1875" i="6"/>
  <c r="P1875" i="6"/>
  <c r="R1875" i="6"/>
  <c r="J1877" i="6"/>
  <c r="L1877" i="6"/>
  <c r="N1877" i="6"/>
  <c r="P1877" i="6"/>
  <c r="R1877" i="6"/>
  <c r="J1879" i="6"/>
  <c r="L1879" i="6"/>
  <c r="N1879" i="6"/>
  <c r="P1879" i="6"/>
  <c r="R1879" i="6"/>
  <c r="J1881" i="6"/>
  <c r="L1881" i="6"/>
  <c r="N1881" i="6"/>
  <c r="P1881" i="6"/>
  <c r="R1881" i="6"/>
  <c r="J1883" i="6"/>
  <c r="L1883" i="6"/>
  <c r="N1883" i="6"/>
  <c r="P1883" i="6"/>
  <c r="R1883" i="6"/>
  <c r="J1885" i="6"/>
  <c r="L1885" i="6"/>
  <c r="N1885" i="6"/>
  <c r="P1885" i="6"/>
  <c r="R1885" i="6"/>
  <c r="J1887" i="6"/>
  <c r="L1887" i="6"/>
  <c r="N1887" i="6"/>
  <c r="P1887" i="6"/>
  <c r="R1887" i="6"/>
  <c r="J1889" i="6"/>
  <c r="L1889" i="6"/>
  <c r="N1889" i="6"/>
  <c r="P1889" i="6"/>
  <c r="R1889" i="6"/>
  <c r="J1891" i="6"/>
  <c r="L1891" i="6"/>
  <c r="N1891" i="6"/>
  <c r="P1891" i="6"/>
  <c r="R1891" i="6"/>
  <c r="J1893" i="6"/>
  <c r="L1893" i="6"/>
  <c r="N1893" i="6"/>
  <c r="P1893" i="6"/>
  <c r="R1893" i="6"/>
  <c r="J1895" i="6"/>
  <c r="L1895" i="6"/>
  <c r="N1895" i="6"/>
  <c r="P1895" i="6"/>
  <c r="R1895" i="6"/>
  <c r="J1897" i="6"/>
  <c r="L1897" i="6"/>
  <c r="N1897" i="6"/>
  <c r="P1897" i="6"/>
  <c r="R1897" i="6"/>
  <c r="J1899" i="6"/>
  <c r="L1899" i="6"/>
  <c r="N1899" i="6"/>
  <c r="P1899" i="6"/>
  <c r="R1899" i="6"/>
  <c r="J1901" i="6"/>
  <c r="L1901" i="6"/>
  <c r="N1901" i="6"/>
  <c r="P1901" i="6"/>
  <c r="R1901" i="6"/>
  <c r="J1903" i="6"/>
  <c r="L1903" i="6"/>
  <c r="N1903" i="6"/>
  <c r="P1903" i="6"/>
  <c r="R1903" i="6"/>
  <c r="J1905" i="6"/>
  <c r="L1905" i="6"/>
  <c r="N1905" i="6"/>
  <c r="P1905" i="6"/>
  <c r="R1905" i="6"/>
  <c r="J1907" i="6"/>
  <c r="L1907" i="6"/>
  <c r="N1907" i="6"/>
  <c r="P1907" i="6"/>
  <c r="R1907" i="6"/>
  <c r="J1909" i="6"/>
  <c r="L1909" i="6"/>
  <c r="N1909" i="6"/>
  <c r="P1909" i="6"/>
  <c r="R1909" i="6"/>
  <c r="J1911" i="6"/>
  <c r="L1911" i="6"/>
  <c r="N1911" i="6"/>
  <c r="P1911" i="6"/>
  <c r="R1911" i="6"/>
  <c r="J1913" i="6"/>
  <c r="L1913" i="6"/>
  <c r="N1913" i="6"/>
  <c r="P1913" i="6"/>
  <c r="R1913" i="6"/>
  <c r="J1915" i="6"/>
  <c r="L1915" i="6"/>
  <c r="N1915" i="6"/>
  <c r="P1915" i="6"/>
  <c r="R1915" i="6"/>
  <c r="J1917" i="6"/>
  <c r="L1917" i="6"/>
  <c r="N1917" i="6"/>
  <c r="P1917" i="6"/>
  <c r="R1917" i="6"/>
  <c r="J1919" i="6"/>
  <c r="L1919" i="6"/>
  <c r="N1919" i="6"/>
  <c r="P1919" i="6"/>
  <c r="R1919" i="6"/>
  <c r="S1921" i="6"/>
  <c r="Q1921" i="6"/>
  <c r="O1921" i="6"/>
  <c r="M1921" i="6"/>
  <c r="K1921" i="6"/>
  <c r="I1921" i="6"/>
  <c r="L1921" i="6"/>
  <c r="P1921" i="6"/>
  <c r="T1921" i="6"/>
  <c r="S1923" i="6"/>
  <c r="Q1923" i="6"/>
  <c r="O1923" i="6"/>
  <c r="M1923" i="6"/>
  <c r="K1923" i="6"/>
  <c r="I1923" i="6"/>
  <c r="L1923" i="6"/>
  <c r="P1923" i="6"/>
  <c r="T1923" i="6"/>
  <c r="S1925" i="6"/>
  <c r="Q1925" i="6"/>
  <c r="O1925" i="6"/>
  <c r="M1925" i="6"/>
  <c r="K1925" i="6"/>
  <c r="I1925" i="6"/>
  <c r="L1925" i="6"/>
  <c r="P1925" i="6"/>
  <c r="T1925" i="6"/>
  <c r="S1927" i="6"/>
  <c r="Q1927" i="6"/>
  <c r="O1927" i="6"/>
  <c r="M1927" i="6"/>
  <c r="K1927" i="6"/>
  <c r="I1927" i="6"/>
  <c r="L1927" i="6"/>
  <c r="P1927" i="6"/>
  <c r="T1927" i="6"/>
  <c r="S1929" i="6"/>
  <c r="Q1929" i="6"/>
  <c r="O1929" i="6"/>
  <c r="M1929" i="6"/>
  <c r="K1929" i="6"/>
  <c r="I1929" i="6"/>
  <c r="L1929" i="6"/>
  <c r="P1929" i="6"/>
  <c r="T1929" i="6"/>
  <c r="S1931" i="6"/>
  <c r="Q1931" i="6"/>
  <c r="O1931" i="6"/>
  <c r="M1931" i="6"/>
  <c r="K1931" i="6"/>
  <c r="I1931" i="6"/>
  <c r="L1931" i="6"/>
  <c r="P1931" i="6"/>
  <c r="T1931" i="6"/>
  <c r="S1933" i="6"/>
  <c r="Q1933" i="6"/>
  <c r="O1933" i="6"/>
  <c r="M1933" i="6"/>
  <c r="K1933" i="6"/>
  <c r="I1933" i="6"/>
  <c r="L1933" i="6"/>
  <c r="P1933" i="6"/>
  <c r="T1933" i="6"/>
  <c r="S1935" i="6"/>
  <c r="Q1935" i="6"/>
  <c r="O1935" i="6"/>
  <c r="M1935" i="6"/>
  <c r="K1935" i="6"/>
  <c r="I1935" i="6"/>
  <c r="L1935" i="6"/>
  <c r="P1935" i="6"/>
  <c r="T1935" i="6"/>
  <c r="S1937" i="6"/>
  <c r="Q1937" i="6"/>
  <c r="O1937" i="6"/>
  <c r="M1937" i="6"/>
  <c r="K1937" i="6"/>
  <c r="I1937" i="6"/>
  <c r="L1937" i="6"/>
  <c r="P1937" i="6"/>
  <c r="T1937" i="6"/>
  <c r="S1939" i="6"/>
  <c r="Q1939" i="6"/>
  <c r="O1939" i="6"/>
  <c r="M1939" i="6"/>
  <c r="K1939" i="6"/>
  <c r="I1939" i="6"/>
  <c r="L1939" i="6"/>
  <c r="P1939" i="6"/>
  <c r="T1939" i="6"/>
  <c r="S1941" i="6"/>
  <c r="Q1941" i="6"/>
  <c r="O1941" i="6"/>
  <c r="M1941" i="6"/>
  <c r="K1941" i="6"/>
  <c r="I1941" i="6"/>
  <c r="L1941" i="6"/>
  <c r="P1941" i="6"/>
  <c r="T1941" i="6"/>
  <c r="S1943" i="6"/>
  <c r="Q1943" i="6"/>
  <c r="O1943" i="6"/>
  <c r="M1943" i="6"/>
  <c r="K1943" i="6"/>
  <c r="I1943" i="6"/>
  <c r="L1943" i="6"/>
  <c r="P1943" i="6"/>
  <c r="T1943" i="6"/>
  <c r="S1945" i="6"/>
  <c r="Q1945" i="6"/>
  <c r="O1945" i="6"/>
  <c r="M1945" i="6"/>
  <c r="K1945" i="6"/>
  <c r="I1945" i="6"/>
  <c r="L1945" i="6"/>
  <c r="P1945" i="6"/>
  <c r="T1945" i="6"/>
  <c r="S1947" i="6"/>
  <c r="Q1947" i="6"/>
  <c r="O1947" i="6"/>
  <c r="M1947" i="6"/>
  <c r="K1947" i="6"/>
  <c r="I1947" i="6"/>
  <c r="L1947" i="6"/>
  <c r="P1947" i="6"/>
  <c r="T1947" i="6"/>
  <c r="S1949" i="6"/>
  <c r="Q1949" i="6"/>
  <c r="O1949" i="6"/>
  <c r="M1949" i="6"/>
  <c r="K1949" i="6"/>
  <c r="I1949" i="6"/>
  <c r="L1949" i="6"/>
  <c r="P1949" i="6"/>
  <c r="T1949" i="6"/>
  <c r="S1951" i="6"/>
  <c r="Q1951" i="6"/>
  <c r="O1951" i="6"/>
  <c r="M1951" i="6"/>
  <c r="K1951" i="6"/>
  <c r="I1951" i="6"/>
  <c r="L1951" i="6"/>
  <c r="P1951" i="6"/>
  <c r="T1951" i="6"/>
  <c r="S1953" i="6"/>
  <c r="Q1953" i="6"/>
  <c r="O1953" i="6"/>
  <c r="M1953" i="6"/>
  <c r="K1953" i="6"/>
  <c r="I1953" i="6"/>
  <c r="L1953" i="6"/>
  <c r="P1953" i="6"/>
  <c r="T1953" i="6"/>
  <c r="S1955" i="6"/>
  <c r="Q1955" i="6"/>
  <c r="O1955" i="6"/>
  <c r="M1955" i="6"/>
  <c r="K1955" i="6"/>
  <c r="I1955" i="6"/>
  <c r="L1955" i="6"/>
  <c r="P1955" i="6"/>
  <c r="T1955" i="6"/>
  <c r="S1957" i="6"/>
  <c r="Q1957" i="6"/>
  <c r="O1957" i="6"/>
  <c r="M1957" i="6"/>
  <c r="K1957" i="6"/>
  <c r="I1957" i="6"/>
  <c r="L1957" i="6"/>
  <c r="P1957" i="6"/>
  <c r="T1957" i="6"/>
  <c r="S1959" i="6"/>
  <c r="Q1959" i="6"/>
  <c r="O1959" i="6"/>
  <c r="M1959" i="6"/>
  <c r="K1959" i="6"/>
  <c r="I1959" i="6"/>
  <c r="L1959" i="6"/>
  <c r="P1959" i="6"/>
  <c r="T1959" i="6"/>
  <c r="S1961" i="6"/>
  <c r="Q1961" i="6"/>
  <c r="O1961" i="6"/>
  <c r="M1961" i="6"/>
  <c r="K1961" i="6"/>
  <c r="I1961" i="6"/>
  <c r="L1961" i="6"/>
  <c r="P1961" i="6"/>
  <c r="T1961" i="6"/>
  <c r="S1963" i="6"/>
  <c r="Q1963" i="6"/>
  <c r="O1963" i="6"/>
  <c r="M1963" i="6"/>
  <c r="K1963" i="6"/>
  <c r="I1963" i="6"/>
  <c r="L1963" i="6"/>
  <c r="P1963" i="6"/>
  <c r="T1963" i="6"/>
  <c r="T1965" i="6"/>
  <c r="R1965" i="6"/>
  <c r="P1965" i="6"/>
  <c r="S1965" i="6"/>
  <c r="O1965" i="6"/>
  <c r="M1965" i="6"/>
  <c r="K1965" i="6"/>
  <c r="I1965" i="6"/>
  <c r="L1965" i="6"/>
  <c r="Q1965" i="6"/>
  <c r="J1922" i="6"/>
  <c r="L1922" i="6"/>
  <c r="N1922" i="6"/>
  <c r="P1922" i="6"/>
  <c r="R1922" i="6"/>
  <c r="J1924" i="6"/>
  <c r="L1924" i="6"/>
  <c r="N1924" i="6"/>
  <c r="P1924" i="6"/>
  <c r="R1924" i="6"/>
  <c r="J1926" i="6"/>
  <c r="L1926" i="6"/>
  <c r="N1926" i="6"/>
  <c r="P1926" i="6"/>
  <c r="R1926" i="6"/>
  <c r="J1928" i="6"/>
  <c r="L1928" i="6"/>
  <c r="N1928" i="6"/>
  <c r="P1928" i="6"/>
  <c r="R1928" i="6"/>
  <c r="J1930" i="6"/>
  <c r="L1930" i="6"/>
  <c r="N1930" i="6"/>
  <c r="P1930" i="6"/>
  <c r="R1930" i="6"/>
  <c r="J1932" i="6"/>
  <c r="L1932" i="6"/>
  <c r="N1932" i="6"/>
  <c r="P1932" i="6"/>
  <c r="R1932" i="6"/>
  <c r="J1934" i="6"/>
  <c r="L1934" i="6"/>
  <c r="N1934" i="6"/>
  <c r="P1934" i="6"/>
  <c r="R1934" i="6"/>
  <c r="J1936" i="6"/>
  <c r="L1936" i="6"/>
  <c r="N1936" i="6"/>
  <c r="P1936" i="6"/>
  <c r="R1936" i="6"/>
  <c r="J1938" i="6"/>
  <c r="L1938" i="6"/>
  <c r="N1938" i="6"/>
  <c r="P1938" i="6"/>
  <c r="R1938" i="6"/>
  <c r="J1940" i="6"/>
  <c r="L1940" i="6"/>
  <c r="N1940" i="6"/>
  <c r="P1940" i="6"/>
  <c r="R1940" i="6"/>
  <c r="J1942" i="6"/>
  <c r="L1942" i="6"/>
  <c r="N1942" i="6"/>
  <c r="P1942" i="6"/>
  <c r="R1942" i="6"/>
  <c r="J1944" i="6"/>
  <c r="L1944" i="6"/>
  <c r="N1944" i="6"/>
  <c r="P1944" i="6"/>
  <c r="R1944" i="6"/>
  <c r="J1946" i="6"/>
  <c r="L1946" i="6"/>
  <c r="N1946" i="6"/>
  <c r="P1946" i="6"/>
  <c r="R1946" i="6"/>
  <c r="J1948" i="6"/>
  <c r="L1948" i="6"/>
  <c r="N1948" i="6"/>
  <c r="P1948" i="6"/>
  <c r="R1948" i="6"/>
  <c r="J1950" i="6"/>
  <c r="L1950" i="6"/>
  <c r="N1950" i="6"/>
  <c r="P1950" i="6"/>
  <c r="R1950" i="6"/>
  <c r="J1952" i="6"/>
  <c r="L1952" i="6"/>
  <c r="N1952" i="6"/>
  <c r="P1952" i="6"/>
  <c r="R1952" i="6"/>
  <c r="J1954" i="6"/>
  <c r="L1954" i="6"/>
  <c r="N1954" i="6"/>
  <c r="P1954" i="6"/>
  <c r="R1954" i="6"/>
  <c r="J1956" i="6"/>
  <c r="L1956" i="6"/>
  <c r="N1956" i="6"/>
  <c r="P1956" i="6"/>
  <c r="R1956" i="6"/>
  <c r="J1958" i="6"/>
  <c r="L1958" i="6"/>
  <c r="N1958" i="6"/>
  <c r="P1958" i="6"/>
  <c r="R1958" i="6"/>
  <c r="J1960" i="6"/>
  <c r="L1960" i="6"/>
  <c r="N1960" i="6"/>
  <c r="P1960" i="6"/>
  <c r="R1960" i="6"/>
  <c r="J1962" i="6"/>
  <c r="L1962" i="6"/>
  <c r="N1962" i="6"/>
  <c r="P1962" i="6"/>
  <c r="R1962" i="6"/>
  <c r="J1964" i="6"/>
  <c r="L1964" i="6"/>
  <c r="N1964" i="6"/>
  <c r="P1964" i="6"/>
  <c r="R1964" i="6"/>
  <c r="T1967" i="6"/>
  <c r="T1969" i="6"/>
  <c r="T1971" i="6"/>
  <c r="T1973" i="6"/>
  <c r="T1975" i="6"/>
  <c r="T1977" i="6"/>
  <c r="T1979" i="6"/>
  <c r="T1981" i="6"/>
  <c r="T1983" i="6"/>
  <c r="T1985" i="6"/>
  <c r="T1986" i="6"/>
  <c r="J1986" i="6"/>
  <c r="L1986" i="6"/>
  <c r="N1986" i="6"/>
  <c r="P1986" i="6"/>
  <c r="R1986" i="6"/>
  <c r="S1987" i="6"/>
  <c r="Q1987" i="6"/>
  <c r="O1987" i="6"/>
  <c r="M1987" i="6"/>
  <c r="K1987" i="6"/>
  <c r="I1987" i="6"/>
  <c r="L1987" i="6"/>
  <c r="P1987" i="6"/>
  <c r="T1987" i="6"/>
  <c r="S1989" i="6"/>
  <c r="Q1989" i="6"/>
  <c r="O1989" i="6"/>
  <c r="M1989" i="6"/>
  <c r="K1989" i="6"/>
  <c r="I1989" i="6"/>
  <c r="L1989" i="6"/>
  <c r="P1989" i="6"/>
  <c r="T1989" i="6"/>
  <c r="S1991" i="6"/>
  <c r="Q1991" i="6"/>
  <c r="O1991" i="6"/>
  <c r="M1991" i="6"/>
  <c r="K1991" i="6"/>
  <c r="I1991" i="6"/>
  <c r="L1991" i="6"/>
  <c r="P1991" i="6"/>
  <c r="T1991" i="6"/>
  <c r="S1993" i="6"/>
  <c r="Q1993" i="6"/>
  <c r="O1993" i="6"/>
  <c r="M1993" i="6"/>
  <c r="K1993" i="6"/>
  <c r="I1993" i="6"/>
  <c r="L1993" i="6"/>
  <c r="P1993" i="6"/>
  <c r="T1993" i="6"/>
  <c r="S1995" i="6"/>
  <c r="Q1995" i="6"/>
  <c r="O1995" i="6"/>
  <c r="M1995" i="6"/>
  <c r="K1995" i="6"/>
  <c r="I1995" i="6"/>
  <c r="L1995" i="6"/>
  <c r="P1995" i="6"/>
  <c r="T1995" i="6"/>
  <c r="S1997" i="6"/>
  <c r="Q1997" i="6"/>
  <c r="O1997" i="6"/>
  <c r="M1997" i="6"/>
  <c r="K1997" i="6"/>
  <c r="I1997" i="6"/>
  <c r="L1997" i="6"/>
  <c r="P1997" i="6"/>
  <c r="T1997" i="6"/>
  <c r="S1999" i="6"/>
  <c r="Q1999" i="6"/>
  <c r="O1999" i="6"/>
  <c r="M1999" i="6"/>
  <c r="K1999" i="6"/>
  <c r="I1999" i="6"/>
  <c r="L1999" i="6"/>
  <c r="P1999" i="6"/>
  <c r="T1999" i="6"/>
  <c r="J1967" i="6"/>
  <c r="L1967" i="6"/>
  <c r="N1967" i="6"/>
  <c r="P1967" i="6"/>
  <c r="R1967" i="6"/>
  <c r="J1969" i="6"/>
  <c r="L1969" i="6"/>
  <c r="N1969" i="6"/>
  <c r="P1969" i="6"/>
  <c r="R1969" i="6"/>
  <c r="J1971" i="6"/>
  <c r="L1971" i="6"/>
  <c r="N1971" i="6"/>
  <c r="P1971" i="6"/>
  <c r="R1971" i="6"/>
  <c r="J1973" i="6"/>
  <c r="L1973" i="6"/>
  <c r="N1973" i="6"/>
  <c r="P1973" i="6"/>
  <c r="R1973" i="6"/>
  <c r="J1975" i="6"/>
  <c r="L1975" i="6"/>
  <c r="N1975" i="6"/>
  <c r="P1975" i="6"/>
  <c r="R1975" i="6"/>
  <c r="J1977" i="6"/>
  <c r="L1977" i="6"/>
  <c r="N1977" i="6"/>
  <c r="P1977" i="6"/>
  <c r="R1977" i="6"/>
  <c r="J1979" i="6"/>
  <c r="L1979" i="6"/>
  <c r="N1979" i="6"/>
  <c r="P1979" i="6"/>
  <c r="R1979" i="6"/>
  <c r="J1981" i="6"/>
  <c r="L1981" i="6"/>
  <c r="N1981" i="6"/>
  <c r="P1981" i="6"/>
  <c r="R1981" i="6"/>
  <c r="J1983" i="6"/>
  <c r="L1983" i="6"/>
  <c r="N1983" i="6"/>
  <c r="P1983" i="6"/>
  <c r="R1983" i="6"/>
  <c r="J1985" i="6"/>
  <c r="L1985" i="6"/>
  <c r="N1985" i="6"/>
  <c r="P1985" i="6"/>
  <c r="R1985" i="6"/>
  <c r="T1988" i="6"/>
  <c r="T1990" i="6"/>
  <c r="T1992" i="6"/>
  <c r="T1994" i="6"/>
  <c r="T1996" i="6"/>
  <c r="T1998" i="6"/>
  <c r="T2000" i="6"/>
  <c r="J1988" i="6"/>
  <c r="L1988" i="6"/>
  <c r="N1988" i="6"/>
  <c r="P1988" i="6"/>
  <c r="R1988" i="6"/>
  <c r="J1990" i="6"/>
  <c r="L1990" i="6"/>
  <c r="N1990" i="6"/>
  <c r="P1990" i="6"/>
  <c r="R1990" i="6"/>
  <c r="J1992" i="6"/>
  <c r="L1992" i="6"/>
  <c r="N1992" i="6"/>
  <c r="P1992" i="6"/>
  <c r="R1992" i="6"/>
  <c r="J1994" i="6"/>
  <c r="L1994" i="6"/>
  <c r="N1994" i="6"/>
  <c r="P1994" i="6"/>
  <c r="R1994" i="6"/>
  <c r="J1996" i="6"/>
  <c r="L1996" i="6"/>
  <c r="N1996" i="6"/>
  <c r="P1996" i="6"/>
  <c r="R1996" i="6"/>
  <c r="J1998" i="6"/>
  <c r="L1998" i="6"/>
  <c r="N1998" i="6"/>
  <c r="P1998" i="6"/>
  <c r="R1998" i="6"/>
  <c r="J2000" i="6"/>
  <c r="L2000" i="6"/>
  <c r="N2000" i="6"/>
  <c r="P2000" i="6"/>
  <c r="R2000" i="6"/>
  <c r="DH65" i="7" l="1"/>
  <c r="DH19" i="7"/>
</calcChain>
</file>

<file path=xl/sharedStrings.xml><?xml version="1.0" encoding="utf-8"?>
<sst xmlns="http://schemas.openxmlformats.org/spreadsheetml/2006/main" count="7298" uniqueCount="997">
  <si>
    <t>Fix</t>
  </si>
  <si>
    <t>Alfa</t>
  </si>
  <si>
    <t>Jajan</t>
  </si>
  <si>
    <t>Kitchen</t>
  </si>
  <si>
    <t>Bathroom</t>
  </si>
  <si>
    <t>Loandry</t>
  </si>
  <si>
    <t>Mio</t>
  </si>
  <si>
    <t>Zela</t>
  </si>
  <si>
    <t>Iqbal</t>
  </si>
  <si>
    <t>Move</t>
  </si>
  <si>
    <t>Sedekah</t>
  </si>
  <si>
    <t>Iqbal (Shopee)</t>
  </si>
  <si>
    <t>Popok</t>
  </si>
  <si>
    <t>Pasar</t>
  </si>
  <si>
    <t>Pepsodent</t>
  </si>
  <si>
    <t>Rinso</t>
  </si>
  <si>
    <t>Bensin</t>
  </si>
  <si>
    <t>Pembalut</t>
  </si>
  <si>
    <t>Rokok</t>
  </si>
  <si>
    <t>Kulkas (Shopee)</t>
  </si>
  <si>
    <t>Lainnya</t>
  </si>
  <si>
    <t>Sendok</t>
  </si>
  <si>
    <t>Bedak</t>
  </si>
  <si>
    <t>Potong Rambut</t>
  </si>
  <si>
    <t>Bracket TV (Shopee)</t>
  </si>
  <si>
    <t>Sunlight</t>
  </si>
  <si>
    <t>Antena TV (Shopee)</t>
  </si>
  <si>
    <t>Sewa Rumah</t>
  </si>
  <si>
    <t>Iuran Komplek</t>
  </si>
  <si>
    <t>Saldo Awal Iqbal</t>
  </si>
  <si>
    <t>Listrik</t>
  </si>
  <si>
    <t>Pinjam uang Adi</t>
  </si>
  <si>
    <t>Paket Internet</t>
  </si>
  <si>
    <t>Gaji Januari 2026</t>
  </si>
  <si>
    <t>Aulia</t>
  </si>
  <si>
    <t>Saldo Awal Zela</t>
  </si>
  <si>
    <t>Tiktok</t>
  </si>
  <si>
    <t>Dikssi Nenek Prawang (Alfa)</t>
  </si>
  <si>
    <t>Total IN</t>
  </si>
  <si>
    <t>In</t>
  </si>
  <si>
    <t>IN (Iqbal) + IN (Zela)</t>
  </si>
  <si>
    <t>TEST</t>
  </si>
  <si>
    <t>Selisih</t>
  </si>
  <si>
    <t>ATM</t>
  </si>
  <si>
    <t>Out</t>
  </si>
  <si>
    <t>-SUMMARY-</t>
  </si>
  <si>
    <t>Cash</t>
  </si>
  <si>
    <t>ATM + Cash</t>
  </si>
  <si>
    <t>* Iqbal kasi ke &amp; dapat dari Zela = ATM/Cash | IN/OUT | Move</t>
  </si>
  <si>
    <t>Date</t>
  </si>
  <si>
    <t>Description</t>
  </si>
  <si>
    <t>ATM/Cash</t>
  </si>
  <si>
    <t>Type</t>
  </si>
  <si>
    <t>Category</t>
  </si>
  <si>
    <t>Amount</t>
  </si>
  <si>
    <t>Column 10</t>
  </si>
  <si>
    <t>Bulan</t>
  </si>
  <si>
    <t>Saldo Awal</t>
  </si>
  <si>
    <t>Istriku</t>
  </si>
  <si>
    <t>Token listrik 100k (65,30 kwh)</t>
  </si>
  <si>
    <t>Byu 10GB</t>
  </si>
  <si>
    <t>Bayar uang Adi</t>
  </si>
  <si>
    <t>Iqbal Shopee (5)</t>
  </si>
  <si>
    <t>Kulkas (2)</t>
  </si>
  <si>
    <t>Potong rambut</t>
  </si>
  <si>
    <t>Bensin eceran</t>
  </si>
  <si>
    <t>Sewa Rumah (Februari 2026)</t>
  </si>
  <si>
    <t>Iuran (Februari 2026)</t>
  </si>
  <si>
    <t>Galon</t>
  </si>
  <si>
    <t>Golda + pisang goreng</t>
  </si>
  <si>
    <t>Byu (2)</t>
  </si>
  <si>
    <t>* Zela dapat dari Iqbal   = ATM/Cash | IN     | Fix
* Zela kasi ke Iqbal        = ATM/Cash | OUT | Move</t>
  </si>
  <si>
    <t>Tatik Tunai</t>
  </si>
  <si>
    <t>Suamiku</t>
  </si>
  <si>
    <t>Terima Tunai</t>
  </si>
  <si>
    <t>Byu 15k (6.5gb)</t>
  </si>
  <si>
    <t>Tarik tunai</t>
  </si>
  <si>
    <t>Molen</t>
  </si>
  <si>
    <t>Terima tunai</t>
  </si>
  <si>
    <t>Semen 2kg</t>
  </si>
  <si>
    <t>Minyakita</t>
  </si>
  <si>
    <t>Hit listrik</t>
  </si>
  <si>
    <t>Piscok</t>
  </si>
  <si>
    <t>Kapal api 60gr</t>
  </si>
  <si>
    <t>Popok Alfa</t>
  </si>
  <si>
    <t>Mancis</t>
  </si>
  <si>
    <t>Bensin Mio - Pertamax 92</t>
  </si>
  <si>
    <t>Pasar kaget+parkir</t>
  </si>
  <si>
    <t>Teh telor</t>
  </si>
  <si>
    <t>Infaq</t>
  </si>
  <si>
    <t>Sate</t>
  </si>
  <si>
    <t>Admin fee</t>
  </si>
  <si>
    <t>Roti Bakar (keju coklat)</t>
  </si>
  <si>
    <t>Seabank/shopee (jajan Alfa )</t>
  </si>
  <si>
    <t>Biar saldo pas, IN = (OUT+ATM+Cash)</t>
  </si>
  <si>
    <t>*****</t>
  </si>
  <si>
    <t>Suamiku (gaji Jan 2026)</t>
  </si>
  <si>
    <t>Tarik Tunai</t>
  </si>
  <si>
    <t>rokok</t>
  </si>
  <si>
    <t>bensin</t>
  </si>
  <si>
    <t>Jajn Alfa</t>
  </si>
  <si>
    <t>Gaji Februari 2026</t>
  </si>
  <si>
    <t>Bensin Motor</t>
  </si>
  <si>
    <t>Byu 6gb</t>
  </si>
  <si>
    <t>Air Kelapa</t>
  </si>
  <si>
    <t>Mamaku</t>
  </si>
  <si>
    <t>Seabank /Shopee(beras 10 kg)</t>
  </si>
  <si>
    <t>Pertalite</t>
  </si>
  <si>
    <t>kuota By.u1&amp;2</t>
  </si>
  <si>
    <t>Sisa saldo seabank (Beli Beras ) TF BRI</t>
  </si>
  <si>
    <t>Shopee</t>
  </si>
  <si>
    <t>Pasar Kaget+parkir ( Dapur )</t>
  </si>
  <si>
    <t>Kulkas</t>
  </si>
  <si>
    <t>Popok + Tisu Basah</t>
  </si>
  <si>
    <t>Bracket TV &amp; Antena</t>
  </si>
  <si>
    <t>Sewa Rumah Athaya 3 (Maret 2026)</t>
  </si>
  <si>
    <t>Seabank/shopee (detergen + ekonomi)</t>
  </si>
  <si>
    <t>Iuran Athaya 3 (Maret 2026)</t>
  </si>
  <si>
    <t>seabank/shopee (Sabunbotol+ spons + tisu)</t>
  </si>
  <si>
    <t>Seabank/shopee (Pembalut)</t>
  </si>
  <si>
    <t>Token listrik 200k</t>
  </si>
  <si>
    <t>Seabank/shopee (Shampo + Odol gigi)</t>
  </si>
  <si>
    <t>Dancow + Yogurt ( Klik Indomaret)</t>
  </si>
  <si>
    <t>Kopi 2 (7000)</t>
  </si>
  <si>
    <t>Santan &amp; kecapmanis</t>
  </si>
  <si>
    <t>Jajan Alfa</t>
  </si>
  <si>
    <t>gula seperempat</t>
  </si>
  <si>
    <t>rak dinding untuk modem wifi</t>
  </si>
  <si>
    <t>Terima TuNai</t>
  </si>
  <si>
    <t>Pertamax</t>
  </si>
  <si>
    <t>Burger&amp;kebab</t>
  </si>
  <si>
    <t>Raiko (Dapur )</t>
  </si>
  <si>
    <t>Ongkir Maxim, lemari baju Mama</t>
  </si>
  <si>
    <t>Infak Jum'at</t>
  </si>
  <si>
    <t>Teh botol (3), Ultramilk (1)</t>
  </si>
  <si>
    <t>Alfa 2 x</t>
  </si>
  <si>
    <t>Cuci Mio</t>
  </si>
  <si>
    <t>Penutup kabel (1)</t>
  </si>
  <si>
    <t>THR 2026</t>
  </si>
  <si>
    <t>kerupuk 2 + Gabin tawar</t>
  </si>
  <si>
    <t>Tepung 2 saous ( dapur )</t>
  </si>
  <si>
    <t>THR dari pak warno</t>
  </si>
  <si>
    <t>saringan Teh ( Dapur )</t>
  </si>
  <si>
    <t>Byu 8gb</t>
  </si>
  <si>
    <t>Bakso bandung kejaksaan</t>
  </si>
  <si>
    <t>Karpet teras</t>
  </si>
  <si>
    <t>Dapur (minyak,jagung,tahu,daunsupcampur)</t>
  </si>
  <si>
    <t>Pompa galon elektrik</t>
  </si>
  <si>
    <t>TarikTunai</t>
  </si>
  <si>
    <t>terima tunai</t>
  </si>
  <si>
    <t>Liquid pink beach (second)</t>
  </si>
  <si>
    <t>sarapan lotek 2+batagor</t>
  </si>
  <si>
    <t>Odol + sikat gigi alfa</t>
  </si>
  <si>
    <t>Ayam pnyet 2</t>
  </si>
  <si>
    <t>Catride (2)</t>
  </si>
  <si>
    <t>Duo Sus (1kg)</t>
  </si>
  <si>
    <t>Catride + liquid tomi</t>
  </si>
  <si>
    <t>Eskrim Jagung (5) + UHT (1) + Yogourt (3)</t>
  </si>
  <si>
    <t>Admin BRI</t>
  </si>
  <si>
    <t>Pasar Kaget ( Dapur ) + Parkir</t>
  </si>
  <si>
    <t>mie goreng</t>
  </si>
  <si>
    <t>Pertamax 26k (20k Zela, 6k Ibal)</t>
  </si>
  <si>
    <t>Paket By.u 3</t>
  </si>
  <si>
    <t>seabank( susu )</t>
  </si>
  <si>
    <t>Americano</t>
  </si>
  <si>
    <t>seabank ( hit)</t>
  </si>
  <si>
    <t>Kampas ganda full set + slider</t>
  </si>
  <si>
    <t>roti+minuman</t>
  </si>
  <si>
    <t>Kulit jok</t>
  </si>
  <si>
    <t>Minyak rem</t>
  </si>
  <si>
    <t>Gorengan</t>
  </si>
  <si>
    <t>paket by.u 4</t>
  </si>
  <si>
    <t>Pertamax 98</t>
  </si>
  <si>
    <t>Kasih Bunda</t>
  </si>
  <si>
    <t>Gaji Maret 2026</t>
  </si>
  <si>
    <t>Pantyliner ( Seabank/Shopee)</t>
  </si>
  <si>
    <t>Wadah Ice Cream ( Seabank/Shopee)</t>
  </si>
  <si>
    <t>Iqbal Shopee (7)</t>
  </si>
  <si>
    <t>Ladaku</t>
  </si>
  <si>
    <t>Bracket TV (2)</t>
  </si>
  <si>
    <t>Antenna TV (2)</t>
  </si>
  <si>
    <t>Cable Duct (2)</t>
  </si>
  <si>
    <t>Trika( Alfagift )</t>
  </si>
  <si>
    <t>Token listrik (200k = 130,70) di shopee</t>
  </si>
  <si>
    <t>Pantyliner ( Alfagift )</t>
  </si>
  <si>
    <t>Kulkas (4)</t>
  </si>
  <si>
    <t>MyRepublic (2)</t>
  </si>
  <si>
    <t>Sewa Rumah (April 2026)</t>
  </si>
  <si>
    <t>Bakso Alfa</t>
  </si>
  <si>
    <t>Iuran (April 2026)</t>
  </si>
  <si>
    <t>Byu (1)</t>
  </si>
  <si>
    <t>Teh telor (tapai+bebek)</t>
  </si>
  <si>
    <t>Paket By.u 5</t>
  </si>
  <si>
    <t>Mie (3), MigiMigi (1 box), Es Krim (1)</t>
  </si>
  <si>
    <t>Suamiku (uang rakit komp aulia)</t>
  </si>
  <si>
    <t>Rokok, kerupuk</t>
  </si>
  <si>
    <t>e-materai</t>
  </si>
  <si>
    <t>bakso Bakar + goreng Pisang</t>
  </si>
  <si>
    <t>Martabak Kacang</t>
  </si>
  <si>
    <t>Mi 3 + Oreo+mancis</t>
  </si>
  <si>
    <t>Alhamdulillah dikasi aulia</t>
  </si>
  <si>
    <t>Bensin Motor Ke PKU</t>
  </si>
  <si>
    <t>tarik tunai</t>
  </si>
  <si>
    <t>Sabun baju</t>
  </si>
  <si>
    <t>Minyak Goreng</t>
  </si>
  <si>
    <t>roti bakar (keju kacang)</t>
  </si>
  <si>
    <t>sabun Mandi</t>
  </si>
  <si>
    <t>Spons + sunlight+lapdapur</t>
  </si>
  <si>
    <t>Admin + Kartu</t>
  </si>
  <si>
    <t>galon</t>
  </si>
  <si>
    <t>Nenek Prawang (Alfa)</t>
  </si>
  <si>
    <t>nipis madu (1) + indomilk kota (2)</t>
  </si>
  <si>
    <t>Tunai (lebih dri duit 100)</t>
  </si>
  <si>
    <t>bolen (6 pcs)</t>
  </si>
  <si>
    <t>gabin, ciki, dll</t>
  </si>
  <si>
    <t>Indomie</t>
  </si>
  <si>
    <t>beras belida (10 kg)</t>
  </si>
  <si>
    <t>pepsodent</t>
  </si>
  <si>
    <t>Oreo</t>
  </si>
  <si>
    <t>pertamax</t>
  </si>
  <si>
    <t>Grosir</t>
  </si>
  <si>
    <t>token (65,30)</t>
  </si>
  <si>
    <t>Sewa Rumah Athaya 3 (Mei 2026)</t>
  </si>
  <si>
    <t>Gula seperempat</t>
  </si>
  <si>
    <t>MyRepublic (3)</t>
  </si>
  <si>
    <t>Sempol</t>
  </si>
  <si>
    <t>Iuran Athaya 3 (Mei 2026)</t>
  </si>
  <si>
    <t>Sate +kerupuk</t>
  </si>
  <si>
    <t>teh telor tapai</t>
  </si>
  <si>
    <t>sate</t>
  </si>
  <si>
    <t>jajan</t>
  </si>
  <si>
    <t>pasar kaget</t>
  </si>
  <si>
    <t>indomie</t>
  </si>
  <si>
    <t>pertalite</t>
  </si>
  <si>
    <t>byu.6</t>
  </si>
  <si>
    <t>jajan alfa</t>
  </si>
  <si>
    <t>parkir giant</t>
  </si>
  <si>
    <t>gas</t>
  </si>
  <si>
    <t>roti gabin</t>
  </si>
  <si>
    <t>Gaji April 2026</t>
  </si>
  <si>
    <t>Teirma Tunai</t>
  </si>
  <si>
    <t>Iqbal Shopee (8)</t>
  </si>
  <si>
    <t>Pasar kaget</t>
  </si>
  <si>
    <t>Kulkas (5)</t>
  </si>
  <si>
    <t>Bracket TV (3)</t>
  </si>
  <si>
    <t>Antenna TV (3)</t>
  </si>
  <si>
    <t>Kable Duct (3)</t>
  </si>
  <si>
    <t>Roti bobo</t>
  </si>
  <si>
    <t>istriku</t>
  </si>
  <si>
    <t>Susu alfa</t>
  </si>
  <si>
    <t>sabun cuci botol</t>
  </si>
  <si>
    <t>byu 7gb (30 hari)</t>
  </si>
  <si>
    <t>Eskrim J Chicken</t>
  </si>
  <si>
    <t>piscok</t>
  </si>
  <si>
    <t>Shopee (Z)</t>
  </si>
  <si>
    <t>service cvt, komstir, busi, seal2 puli belakang</t>
  </si>
  <si>
    <t>Paket by.u 7</t>
  </si>
  <si>
    <t>Admin bank BRI</t>
  </si>
  <si>
    <t>Paket by.u baba</t>
  </si>
  <si>
    <t>CGL</t>
  </si>
  <si>
    <t>Sisa Saldo shopee</t>
  </si>
  <si>
    <t>Paket by.u 8</t>
  </si>
  <si>
    <t>palm sugar + es krim</t>
  </si>
  <si>
    <t>ayam geprek (2)</t>
  </si>
  <si>
    <t>kelapa muda</t>
  </si>
  <si>
    <t>es teh (2)</t>
  </si>
  <si>
    <t>Pasar Kaget</t>
  </si>
  <si>
    <t>bakso bakar, tahu bakar</t>
  </si>
  <si>
    <t>Dikasi oom+nenek(Alfa)</t>
  </si>
  <si>
    <t>saldo Tiktok</t>
  </si>
  <si>
    <t>Paket By.u baba</t>
  </si>
  <si>
    <t>paket nelpon mama</t>
  </si>
  <si>
    <t>Gajian Suamiku ( Maret 2026)</t>
  </si>
  <si>
    <t>lonsay (1) soto (2) kerupuk (1) bakwan (1) tempe (1)</t>
  </si>
  <si>
    <t>parkir stadion</t>
  </si>
  <si>
    <t>Pasar Kget</t>
  </si>
  <si>
    <t>Paket by.u sehari</t>
  </si>
  <si>
    <t>yogurt</t>
  </si>
  <si>
    <t>TF Seabank (shopee+Alfagift)</t>
  </si>
  <si>
    <t>TF BRI dri Seabank</t>
  </si>
  <si>
    <t>teh telor (pinang)</t>
  </si>
  <si>
    <t>Tisu Basah</t>
  </si>
  <si>
    <t>teh telor pinang (2)</t>
  </si>
  <si>
    <t>Tarek Tunai</t>
  </si>
  <si>
    <t>Anto (service Mio)</t>
  </si>
  <si>
    <t>Alfagift(Alfa&amp;zela)</t>
  </si>
  <si>
    <t>Mie (Alfagift)</t>
  </si>
  <si>
    <t>Paket by.u</t>
  </si>
  <si>
    <t>arang (2kg)</t>
  </si>
  <si>
    <t>Kerjaan Tambahan Baba</t>
  </si>
  <si>
    <t>mama lemon</t>
  </si>
  <si>
    <t>TF baba</t>
  </si>
  <si>
    <t>desaku ketumbar (2)</t>
  </si>
  <si>
    <t>roti gabin (2)</t>
  </si>
  <si>
    <t>Gas 2</t>
  </si>
  <si>
    <t>roller, oli gear, seal puli, pempers</t>
  </si>
  <si>
    <t>Botol alfa+Soflen+lipstik(Tokopedia)</t>
  </si>
  <si>
    <t>Gaji (Mei 2026)</t>
  </si>
  <si>
    <t>VT alfa (Temo Eye Eye (Tokopedia)</t>
  </si>
  <si>
    <t>Iqbal Shopee (9)</t>
  </si>
  <si>
    <t>Tehbotol+roti + Yogurt Alfa (Teknisi Wifi)</t>
  </si>
  <si>
    <t>kulkas (6)</t>
  </si>
  <si>
    <t>Wifi MyRepublic (Maret 2026)</t>
  </si>
  <si>
    <t>Kable Duct (4)</t>
  </si>
  <si>
    <t>Service Mio (1) Shopee Zela</t>
  </si>
  <si>
    <t>Piscok + Bakso</t>
  </si>
  <si>
    <t>Anto</t>
  </si>
  <si>
    <t>Bakso Pakde</t>
  </si>
  <si>
    <t>Oli Mesin (Yamalube Hitam)</t>
  </si>
  <si>
    <t>Bedak Zela ( Tokopedia)</t>
  </si>
  <si>
    <t>Parfum Alfa ( Tokopedia)</t>
  </si>
  <si>
    <t>Pindahan lemari</t>
  </si>
  <si>
    <t>Token listrik (65,3)</t>
  </si>
  <si>
    <t>Sewa Rumah Athaya 3 (Juni 2026)</t>
  </si>
  <si>
    <t>Iuran Athaya 3 (Juni 2026)</t>
  </si>
  <si>
    <t>Roti bakat</t>
  </si>
  <si>
    <t>MyRepublic (4)</t>
  </si>
  <si>
    <t xml:space="preserve">Byu (2) </t>
  </si>
  <si>
    <t>cireng</t>
  </si>
  <si>
    <t>Atuk Duri</t>
  </si>
  <si>
    <t>lemon tea</t>
  </si>
  <si>
    <t>Edi</t>
  </si>
  <si>
    <t>Pasar Kaget + Parkir</t>
  </si>
  <si>
    <t>Alfamart ( Tarik tunai dana )</t>
  </si>
  <si>
    <t>Roti Gabin</t>
  </si>
  <si>
    <t>Yogurt 3</t>
  </si>
  <si>
    <t>Es Tebu (2)</t>
  </si>
  <si>
    <t>Ketoprak + gorengab</t>
  </si>
  <si>
    <t>Kasih Baba</t>
  </si>
  <si>
    <t>Royko ayam</t>
  </si>
  <si>
    <t>pulsa Telkomsel</t>
  </si>
  <si>
    <t>Paket byu 7GB</t>
  </si>
  <si>
    <t xml:space="preserve">pinjam bu eli </t>
  </si>
  <si>
    <t>Headset ( tokopedia )</t>
  </si>
  <si>
    <t>ayam penyet ante</t>
  </si>
  <si>
    <t>Soda Api 2 Bngkus ( Shopee)</t>
  </si>
  <si>
    <t>roti gembong</t>
  </si>
  <si>
    <t>TakJil</t>
  </si>
  <si>
    <t>Batrai Tv 2 Pasang + Hit listrik</t>
  </si>
  <si>
    <t>token listrik</t>
  </si>
  <si>
    <t>Uang lebih</t>
  </si>
  <si>
    <t>Tarik Tunia</t>
  </si>
  <si>
    <t>mie goreng rendang, gula seperempat, stik keju (3)</t>
  </si>
  <si>
    <t>gaji Juni 2026</t>
  </si>
  <si>
    <t>Zakat Fitrah</t>
  </si>
  <si>
    <t>Iqbal Shopee (10)</t>
  </si>
  <si>
    <t>Teh telor +lemontea+rokok</t>
  </si>
  <si>
    <t>Cable duct (5)</t>
  </si>
  <si>
    <t>by.u</t>
  </si>
  <si>
    <t>Service Mio (2)</t>
  </si>
  <si>
    <t>Dll</t>
  </si>
  <si>
    <t>Jemuran (1)</t>
  </si>
  <si>
    <t>Kacamata (1)</t>
  </si>
  <si>
    <t>Baju Anak Maya</t>
  </si>
  <si>
    <t>Bu Eli</t>
  </si>
  <si>
    <t>Susu Kntal Manis</t>
  </si>
  <si>
    <t>listrik</t>
  </si>
  <si>
    <t>Topup dana</t>
  </si>
  <si>
    <t>Oli mesin (Yamalube Hitam) 3715 KM</t>
  </si>
  <si>
    <t>rokok (1)</t>
  </si>
  <si>
    <t>ayam ante (2)</t>
  </si>
  <si>
    <t>mie goren rendang dll</t>
  </si>
  <si>
    <t>rokok (2)</t>
  </si>
  <si>
    <t>MyRepublic (5)</t>
  </si>
  <si>
    <t>BMKG</t>
  </si>
  <si>
    <t>THR baba</t>
  </si>
  <si>
    <t>Bakso</t>
  </si>
  <si>
    <t>Admin Kartu</t>
  </si>
  <si>
    <t>Roti Bakar (coklat kacang)</t>
  </si>
  <si>
    <t>Aqua botol (3)</t>
  </si>
  <si>
    <t>Parkir Pasar selasa+ Tambahan Beli Ayam</t>
  </si>
  <si>
    <t>Teh tlor (biasa, tapai, pinang)</t>
  </si>
  <si>
    <t>Bensin motor</t>
  </si>
  <si>
    <t>Iuran Athaya 3 (Juli 2026)</t>
  </si>
  <si>
    <t>Mainan Alfa</t>
  </si>
  <si>
    <t>Sewa Rumah (Juli 2026)</t>
  </si>
  <si>
    <t>Dikasih Nenek</t>
  </si>
  <si>
    <t>Pisang goreng + es jeruk</t>
  </si>
  <si>
    <t>Yogurt Alfa</t>
  </si>
  <si>
    <t>Tahu bakar</t>
  </si>
  <si>
    <t>Kopi 2 bungkus</t>
  </si>
  <si>
    <t>Rokok (3)</t>
  </si>
  <si>
    <t>Alfagift ( Detergen )</t>
  </si>
  <si>
    <t>Stick keju</t>
  </si>
  <si>
    <t>Pempes Alfa + Tisu basah</t>
  </si>
  <si>
    <t>paket byu 7gb</t>
  </si>
  <si>
    <t>Celana Alfa</t>
  </si>
  <si>
    <t>Rokok (4)</t>
  </si>
  <si>
    <t>Aqua Dus</t>
  </si>
  <si>
    <t>Lebih nyatat</t>
  </si>
  <si>
    <t>Seres + Plastik Gula</t>
  </si>
  <si>
    <t>Toserba ( sapudll,lakban dll)</t>
  </si>
  <si>
    <t>token listrik (65.30 kwh)</t>
  </si>
  <si>
    <t>teh es + jajan Alfa</t>
  </si>
  <si>
    <t>BensiN Motor</t>
  </si>
  <si>
    <t>Admin Bank BRI</t>
  </si>
  <si>
    <t>Pinjam Adi</t>
  </si>
  <si>
    <t>Parkir giant</t>
  </si>
  <si>
    <t>shopee paylater Z</t>
  </si>
  <si>
    <t>sayur Manis Pakcoy pasar Kaget</t>
  </si>
  <si>
    <t>roti tawar, santan, ciki jagung</t>
  </si>
  <si>
    <t>Kerupuk</t>
  </si>
  <si>
    <t>jilbab</t>
  </si>
  <si>
    <t>Baju Alfa</t>
  </si>
  <si>
    <t>Lupa Catat</t>
  </si>
  <si>
    <t>token (32,7 kwh)</t>
  </si>
  <si>
    <t>Susu Kotak</t>
  </si>
  <si>
    <t>Baju Koko Alfa</t>
  </si>
  <si>
    <t>sandal alfa</t>
  </si>
  <si>
    <t>om lika</t>
  </si>
  <si>
    <t>Kripik Peyek</t>
  </si>
  <si>
    <t>Jajan Alfa Indomaret</t>
  </si>
  <si>
    <t>ayam dkriuk (6)</t>
  </si>
  <si>
    <t>Grosir ( dapur )</t>
  </si>
  <si>
    <t>golda</t>
  </si>
  <si>
    <t>Kash Baba ( duososes dll )</t>
  </si>
  <si>
    <t>dramamin</t>
  </si>
  <si>
    <t>tiktok</t>
  </si>
  <si>
    <t>susu Alfa + Yogurt</t>
  </si>
  <si>
    <t>Detergn</t>
  </si>
  <si>
    <t>kue kue</t>
  </si>
  <si>
    <t>THR alfa</t>
  </si>
  <si>
    <t>?</t>
  </si>
  <si>
    <t>dbesto (2)</t>
  </si>
  <si>
    <t>sepatu alfa tiktok</t>
  </si>
  <si>
    <t>Pengembalian saldo tiktok</t>
  </si>
  <si>
    <t>roti gepeng</t>
  </si>
  <si>
    <t>roti bakar (tiramisu+keju)</t>
  </si>
  <si>
    <t>Lampu</t>
  </si>
  <si>
    <t>teh botol + green tea</t>
  </si>
  <si>
    <t>sepatu &amp; BH ( Shopee )</t>
  </si>
  <si>
    <t>teh telor</t>
  </si>
  <si>
    <t>Bakso mi ayam</t>
  </si>
  <si>
    <t>Gaji (Juli 2026)</t>
  </si>
  <si>
    <t>Iqbal Shopee (11)</t>
  </si>
  <si>
    <t>Bayr utang Adi</t>
  </si>
  <si>
    <t>Kable Duct (Lunas)</t>
  </si>
  <si>
    <t>Pempes Alf a</t>
  </si>
  <si>
    <t>Service Mio (3)</t>
  </si>
  <si>
    <t>Oli mesin (Castrol) 4488 KM</t>
  </si>
  <si>
    <t>Oli gear (Yamalube Kuning) 4488 KM</t>
  </si>
  <si>
    <t>Dari Baba</t>
  </si>
  <si>
    <t>bakso bakar</t>
  </si>
  <si>
    <t>nasgor simpang melati</t>
  </si>
  <si>
    <t>dkriuk (3 paha atas 1 dada)</t>
  </si>
  <si>
    <t>eakrim alfa</t>
  </si>
  <si>
    <t>Katnbud + Obatnyamuk</t>
  </si>
  <si>
    <t>pdotong rambut</t>
  </si>
  <si>
    <t>Sabun+shampo</t>
  </si>
  <si>
    <t>cuci motor</t>
  </si>
  <si>
    <t>Sepatu Alfa</t>
  </si>
  <si>
    <t>MyRepublic</t>
  </si>
  <si>
    <t>Pake by.u baba</t>
  </si>
  <si>
    <t>roti bakar</t>
  </si>
  <si>
    <t>tahu bakar</t>
  </si>
  <si>
    <t>Bakso kuah &amp; Bakso Bakar</t>
  </si>
  <si>
    <t>athaya 3 (8)</t>
  </si>
  <si>
    <t>Sarapan Pagi</t>
  </si>
  <si>
    <t>iuran (8)</t>
  </si>
  <si>
    <t>Pakettelkomsel 6 Gb 14 hari</t>
  </si>
  <si>
    <t>Token listrik H 7</t>
  </si>
  <si>
    <t>Saldo Tiktok</t>
  </si>
  <si>
    <t>pisang barangan (3)</t>
  </si>
  <si>
    <t>nipis madu</t>
  </si>
  <si>
    <t>Susu Alfa</t>
  </si>
  <si>
    <t>Beras 2 Kg</t>
  </si>
  <si>
    <t>sariroti + Yogurt</t>
  </si>
  <si>
    <t>Pangkas Rambut</t>
  </si>
  <si>
    <t>kopi aren (saka)</t>
  </si>
  <si>
    <t>air kelapa muda</t>
  </si>
  <si>
    <t xml:space="preserve">Teh telor </t>
  </si>
  <si>
    <t>sate 2</t>
  </si>
  <si>
    <t>Bang Indra</t>
  </si>
  <si>
    <t>Yogurt</t>
  </si>
  <si>
    <t xml:space="preserve">diaksih Nenek ( Alfa ?) </t>
  </si>
  <si>
    <t>Service Laptop : Ganti Batrai</t>
  </si>
  <si>
    <t>Es Batu</t>
  </si>
  <si>
    <t xml:space="preserve">Mie + roti + eskrim </t>
  </si>
  <si>
    <t xml:space="preserve">Pempes Alfa </t>
  </si>
  <si>
    <t>ayam krispi unri</t>
  </si>
  <si>
    <t xml:space="preserve">Galon </t>
  </si>
  <si>
    <t>Tisu kering</t>
  </si>
  <si>
    <t xml:space="preserve">Tarik Tunai </t>
  </si>
  <si>
    <t>bakso bakar bang andi</t>
  </si>
  <si>
    <t xml:space="preserve">Terima Tunai </t>
  </si>
  <si>
    <t xml:space="preserve">Rexona </t>
  </si>
  <si>
    <t>Nasi Ramas 3</t>
  </si>
  <si>
    <t>ayam dkriuk</t>
  </si>
  <si>
    <t>Minyak + Beras 5 Kg</t>
  </si>
  <si>
    <t xml:space="preserve">Pasar Kaget + Paekir </t>
  </si>
  <si>
    <t>Admin ATM BRI</t>
  </si>
  <si>
    <t>mie telor + susu</t>
  </si>
  <si>
    <t xml:space="preserve">pempes </t>
  </si>
  <si>
    <t>Adi</t>
  </si>
  <si>
    <t xml:space="preserve">Pembalut </t>
  </si>
  <si>
    <t xml:space="preserve">Mainan Alfa </t>
  </si>
  <si>
    <t>Gomok</t>
  </si>
  <si>
    <t xml:space="preserve">Molen </t>
  </si>
  <si>
    <t>Bakso bakar + sempol</t>
  </si>
  <si>
    <t xml:space="preserve">Tarik tunai </t>
  </si>
  <si>
    <t>Gaji Agustus 2026</t>
  </si>
  <si>
    <t>Rokok (1)</t>
  </si>
  <si>
    <t xml:space="preserve">Bensin motor </t>
  </si>
  <si>
    <t>Kopi</t>
  </si>
  <si>
    <t xml:space="preserve">Martabak </t>
  </si>
  <si>
    <t xml:space="preserve">shampo </t>
  </si>
  <si>
    <t xml:space="preserve">tisu </t>
  </si>
  <si>
    <t>royal</t>
  </si>
  <si>
    <t>BPJS Mama</t>
  </si>
  <si>
    <t xml:space="preserve">mentos </t>
  </si>
  <si>
    <t>Spaylater (Z)</t>
  </si>
  <si>
    <t>Jemuran (2)</t>
  </si>
  <si>
    <t>Kaca Mata (2)</t>
  </si>
  <si>
    <t>Iqbal Shopee (Lunas)</t>
  </si>
  <si>
    <t>Service Mio (4)</t>
  </si>
  <si>
    <t>Token listrik (98 kWh)</t>
  </si>
  <si>
    <t xml:space="preserve">sate </t>
  </si>
  <si>
    <t>Lupa catat</t>
  </si>
  <si>
    <t>Oli Mesin (Yamalube Kuning) 5284 KM</t>
  </si>
  <si>
    <t xml:space="preserve">susu Alfa </t>
  </si>
  <si>
    <t xml:space="preserve">loundry </t>
  </si>
  <si>
    <t>Bakso bakar</t>
  </si>
  <si>
    <t>Ayam Dkriuk</t>
  </si>
  <si>
    <t>Rokok (2)</t>
  </si>
  <si>
    <t xml:space="preserve">Pasar Kaget </t>
  </si>
  <si>
    <t>MyRepublic (6)</t>
  </si>
  <si>
    <t xml:space="preserve">Bensin Motor </t>
  </si>
  <si>
    <t>Iuran Athaya (9)</t>
  </si>
  <si>
    <t>Sewa Rumah (September 2026)</t>
  </si>
  <si>
    <t>pinjam uang Adi</t>
  </si>
  <si>
    <t xml:space="preserve">Ayam geprek 3 </t>
  </si>
  <si>
    <t xml:space="preserve">pasar Kaget </t>
  </si>
  <si>
    <t>Ayam penyet</t>
  </si>
  <si>
    <t xml:space="preserve">bedak Alfa </t>
  </si>
  <si>
    <t>Teh Jumbo</t>
  </si>
  <si>
    <t xml:space="preserve">botol susu + spons Mandi </t>
  </si>
  <si>
    <t>Bensin pertalite</t>
  </si>
  <si>
    <t>Token Listrik (kWh 32,7)</t>
  </si>
  <si>
    <t>Susu+pentol+bolaayam+rotikeju(Alfamart)</t>
  </si>
  <si>
    <t>Admin Fee Kartu</t>
  </si>
  <si>
    <t xml:space="preserve">Admin Dana </t>
  </si>
  <si>
    <t>Alfagift ( Royal )</t>
  </si>
  <si>
    <t>Alfagift ( Mie )</t>
  </si>
  <si>
    <t xml:space="preserve">Tarik Tunai  ( dana ) </t>
  </si>
  <si>
    <t xml:space="preserve">Terima Tunai ( dana ) </t>
  </si>
  <si>
    <t xml:space="preserve">Pasar Kget </t>
  </si>
  <si>
    <t xml:space="preserve">Dana + admin </t>
  </si>
  <si>
    <t xml:space="preserve">Lebih saldo dana </t>
  </si>
  <si>
    <t xml:space="preserve">Bakso + mie ayam </t>
  </si>
  <si>
    <t>( Alfagift ) pempes+susu +mie</t>
  </si>
  <si>
    <t xml:space="preserve">Terima tunai </t>
  </si>
  <si>
    <t>Roti gembong + piscok ( Ulng tahun aina )</t>
  </si>
  <si>
    <t xml:space="preserve">Beras 1,5 kg </t>
  </si>
  <si>
    <t>Plastik gula</t>
  </si>
  <si>
    <t xml:space="preserve">molen </t>
  </si>
  <si>
    <t>Jus+tehtelor+popice</t>
  </si>
  <si>
    <t>Antigores hp baba</t>
  </si>
  <si>
    <t>bakso ante 4 bungkus</t>
  </si>
  <si>
    <t>bensin motor</t>
  </si>
  <si>
    <t>kartu ATM + parkir</t>
  </si>
  <si>
    <t xml:space="preserve">surat kesehatan madani </t>
  </si>
  <si>
    <t>eskrim</t>
  </si>
  <si>
    <t xml:space="preserve">alfa </t>
  </si>
  <si>
    <t>dari baba</t>
  </si>
  <si>
    <t>pasar kaget+parkir</t>
  </si>
  <si>
    <t xml:space="preserve">ayam pop </t>
  </si>
  <si>
    <t xml:space="preserve">mie </t>
  </si>
  <si>
    <t xml:space="preserve">jajan alfa </t>
  </si>
  <si>
    <t xml:space="preserve">Detergen </t>
  </si>
  <si>
    <t xml:space="preserve">jajan Alfa </t>
  </si>
  <si>
    <t xml:space="preserve">sempol+bola Ayam </t>
  </si>
  <si>
    <t xml:space="preserve">Holder HP </t>
  </si>
  <si>
    <t xml:space="preserve">biaya SMS  Notifikasi </t>
  </si>
  <si>
    <t>Bensin Pertalite</t>
  </si>
  <si>
    <t>shopee ( bakso+nuget+saos)</t>
  </si>
  <si>
    <t>suamiku</t>
  </si>
  <si>
    <t>Paket Telkomsel 28 Hari 7g</t>
  </si>
  <si>
    <t xml:space="preserve">Taeik Tunai </t>
  </si>
  <si>
    <t>Afamart ( Tisu basah + Kering )</t>
  </si>
  <si>
    <t>Alfamart ( susu )</t>
  </si>
  <si>
    <t>Alfamart ( Royal )</t>
  </si>
  <si>
    <t>indomaret ( pempes )</t>
  </si>
  <si>
    <t>Minyak goreng</t>
  </si>
  <si>
    <t>mol3n+roti</t>
  </si>
  <si>
    <t>salap tangan</t>
  </si>
  <si>
    <t>bakso bakar+es jeruk</t>
  </si>
  <si>
    <t>Obat nyamuk Hits</t>
  </si>
  <si>
    <t xml:space="preserve">teh telor </t>
  </si>
  <si>
    <t>Tas+jam tuk sample</t>
  </si>
  <si>
    <t xml:space="preserve">Sabun Noda </t>
  </si>
  <si>
    <t xml:space="preserve">yogurt </t>
  </si>
  <si>
    <t xml:space="preserve">pasar kAget </t>
  </si>
  <si>
    <t>kerupuk</t>
  </si>
  <si>
    <t>sabun cuci piring + mie + yogurt( Alfamart )</t>
  </si>
  <si>
    <t xml:space="preserve">Roti Panggang ( tiktok ) </t>
  </si>
  <si>
    <t xml:space="preserve">Bensin </t>
  </si>
  <si>
    <t>molen + gorengan</t>
  </si>
  <si>
    <t>Ayam Gprek  2</t>
  </si>
  <si>
    <t>jajan kue</t>
  </si>
  <si>
    <t>kopi</t>
  </si>
  <si>
    <t>mi goreng ( Afagift )</t>
  </si>
  <si>
    <t>dinamo kipas</t>
  </si>
  <si>
    <t>j chikhen (ayam 3 nasi 2 eskrim 1)</t>
  </si>
  <si>
    <t>Ayam Gprek  1  + Tahu</t>
  </si>
  <si>
    <t>Mainan+buku+krayon</t>
  </si>
  <si>
    <t xml:space="preserve">admin fee  Kartu </t>
  </si>
  <si>
    <t>Iklan Tiktok</t>
  </si>
  <si>
    <t xml:space="preserve">minus ATM </t>
  </si>
  <si>
    <t>Token listrik (65.30)</t>
  </si>
  <si>
    <t>susu alfa 3</t>
  </si>
  <si>
    <t xml:space="preserve">Roti Bakar </t>
  </si>
  <si>
    <t>Dikasih "Alfa "</t>
  </si>
  <si>
    <t>jajan Alfamart yogurt+roti</t>
  </si>
  <si>
    <t xml:space="preserve">detergen </t>
  </si>
  <si>
    <t>Jajan Alfa mbg</t>
  </si>
  <si>
    <t xml:space="preserve">roti bakar </t>
  </si>
  <si>
    <t xml:space="preserve">pasar Kaget  + Parkir </t>
  </si>
  <si>
    <t>Tiktok  ( BH+Bju alfa)</t>
  </si>
  <si>
    <t>kasi baba</t>
  </si>
  <si>
    <t xml:space="preserve">atuk Man / Alfa </t>
  </si>
  <si>
    <t>teh telor tapai (2)</t>
  </si>
  <si>
    <t xml:space="preserve">nenek prawang/Alfa </t>
  </si>
  <si>
    <t xml:space="preserve">Saldo Tiktok </t>
  </si>
  <si>
    <t>mie balap</t>
  </si>
  <si>
    <t>racik nasgor + gula</t>
  </si>
  <si>
    <t>molen</t>
  </si>
  <si>
    <t>teh telor (2)</t>
  </si>
  <si>
    <t>indomie (3) + kerupuk (1)</t>
  </si>
  <si>
    <t>kue-kue</t>
  </si>
  <si>
    <t>saldo tiktok</t>
  </si>
  <si>
    <t xml:space="preserve">CD alfa </t>
  </si>
  <si>
    <t xml:space="preserve">Jajn Alfa </t>
  </si>
  <si>
    <t xml:space="preserve">sabun </t>
  </si>
  <si>
    <t xml:space="preserve">Jajanan pasar Kaget </t>
  </si>
  <si>
    <t xml:space="preserve">galon </t>
  </si>
  <si>
    <t>bakso ante ndut</t>
  </si>
  <si>
    <t>buavita + roti bobo</t>
  </si>
  <si>
    <t xml:space="preserve">Sabun colek </t>
  </si>
  <si>
    <t xml:space="preserve">Paylater  Tiktok </t>
  </si>
  <si>
    <t>ayam+esteh</t>
  </si>
  <si>
    <t>Shampo</t>
  </si>
  <si>
    <t>pencukur elektrik</t>
  </si>
  <si>
    <t>singlet Alfa</t>
  </si>
  <si>
    <t xml:space="preserve">Air Kelapa </t>
  </si>
  <si>
    <t>Tarik tunak</t>
  </si>
  <si>
    <t>Grosir ( Gabin+kopi+tango)</t>
  </si>
  <si>
    <t>gentelgen</t>
  </si>
  <si>
    <t>sabun+tisubasah</t>
  </si>
  <si>
    <t xml:space="preserve">Token Bunda </t>
  </si>
  <si>
    <t xml:space="preserve">Seabank /Shopee(beras 10 kg) </t>
  </si>
  <si>
    <t>Roti O + Kopi Aren</t>
  </si>
  <si>
    <t>Dapat uang dijalan</t>
  </si>
  <si>
    <t>KFC</t>
  </si>
  <si>
    <t>Parkir Aulia Hospital</t>
  </si>
  <si>
    <t>Parkir KFC</t>
  </si>
  <si>
    <t>Ayam penyet + Nasi</t>
  </si>
  <si>
    <t>Mie Ayam + Kerupuk Cabe</t>
  </si>
  <si>
    <t>lem alteko</t>
  </si>
  <si>
    <t>voucher tiktok (gacoan)</t>
  </si>
  <si>
    <t xml:space="preserve">Bunda </t>
  </si>
  <si>
    <t>mi ayam + bakso + krupuk</t>
  </si>
  <si>
    <t xml:space="preserve">mi 3 + Roti </t>
  </si>
  <si>
    <t xml:space="preserve">Pasar Kaget+parkir ( Dapur ) </t>
  </si>
  <si>
    <t>Headset</t>
  </si>
  <si>
    <t>Nasi+ayam</t>
  </si>
  <si>
    <t xml:space="preserve">Teh Telor </t>
  </si>
  <si>
    <t xml:space="preserve">Hit Listrik </t>
  </si>
  <si>
    <t>Mi ayam+bakso2</t>
  </si>
  <si>
    <t xml:space="preserve">tarik Tunai </t>
  </si>
  <si>
    <t>Tomat</t>
  </si>
  <si>
    <t>Bensin mOtor Pertalite</t>
  </si>
  <si>
    <t xml:space="preserve">Tambah Angin </t>
  </si>
  <si>
    <t xml:space="preserve">Roti Gabin 2 </t>
  </si>
  <si>
    <t>susu Alfa 2</t>
  </si>
  <si>
    <t xml:space="preserve">Gas </t>
  </si>
  <si>
    <t>Ayam Shopee</t>
  </si>
  <si>
    <t>Alfa ( botol susu+selang+sikt gigi+sikat botol )</t>
  </si>
  <si>
    <t xml:space="preserve">Pasar Kaget +parkir </t>
  </si>
  <si>
    <t xml:space="preserve">Roti Kukus </t>
  </si>
  <si>
    <t xml:space="preserve">Es Jeruk </t>
  </si>
  <si>
    <t xml:space="preserve">Teh Poci +sate </t>
  </si>
  <si>
    <t xml:space="preserve">Telur gulung </t>
  </si>
  <si>
    <t xml:space="preserve">Bensin Motor pertalite </t>
  </si>
  <si>
    <t>Teh tarik</t>
  </si>
  <si>
    <t>Alfa ( Fee Curcuma Plus Tiktok )</t>
  </si>
  <si>
    <t xml:space="preserve">Nasgor + Ayam nasi 2 </t>
  </si>
  <si>
    <t>Es Teh</t>
  </si>
  <si>
    <t>Top Up Shopee + Pulsa Telkomsel 5rb</t>
  </si>
  <si>
    <t>token listrik 50rb (32,7)</t>
  </si>
  <si>
    <t>masker</t>
  </si>
  <si>
    <t>ayam 3</t>
  </si>
  <si>
    <t>pempes+susu Alfa</t>
  </si>
  <si>
    <t xml:space="preserve">Voucher Tiktok Gacoan </t>
  </si>
  <si>
    <t>Saldo tiktok  1</t>
  </si>
  <si>
    <t>Saldo Tiktok 2</t>
  </si>
  <si>
    <t xml:space="preserve">parkir gcoan </t>
  </si>
  <si>
    <t>roti gabin+ tawar ( Jenguk Mutia )</t>
  </si>
  <si>
    <t>Parkir ekahospital</t>
  </si>
  <si>
    <t xml:space="preserve">Bensin Motor perralite </t>
  </si>
  <si>
    <t xml:space="preserve">mochi eskrim 2 </t>
  </si>
  <si>
    <t xml:space="preserve">Jajan Alfa </t>
  </si>
  <si>
    <t xml:space="preserve">roti kacang Hijau </t>
  </si>
  <si>
    <t xml:space="preserve">Suamiku </t>
  </si>
  <si>
    <t>milku</t>
  </si>
  <si>
    <t xml:space="preserve">Terima TuNai </t>
  </si>
  <si>
    <t>sunlight ungu</t>
  </si>
  <si>
    <t xml:space="preserve">Roti gepeng </t>
  </si>
  <si>
    <t>Gentelgen Baju</t>
  </si>
  <si>
    <t>Mi ayam</t>
  </si>
  <si>
    <t>ayam 2</t>
  </si>
  <si>
    <t>kasih mama</t>
  </si>
  <si>
    <t>terima runai</t>
  </si>
  <si>
    <t>ibuprofen</t>
  </si>
  <si>
    <t>biskuit panda</t>
  </si>
  <si>
    <t>minyak goreng Tropical (1L)</t>
  </si>
  <si>
    <t>indomie goreng rendang</t>
  </si>
  <si>
    <t>pasar + parkir</t>
  </si>
  <si>
    <t>Kue putu</t>
  </si>
  <si>
    <t xml:space="preserve">Gula </t>
  </si>
  <si>
    <t>saldo Tiktok 2</t>
  </si>
  <si>
    <t xml:space="preserve">Infak Jum'at </t>
  </si>
  <si>
    <t xml:space="preserve">momoyo </t>
  </si>
  <si>
    <t xml:space="preserve">Sedekah </t>
  </si>
  <si>
    <t>Teh tarik + Sempol+ Bola² ayam</t>
  </si>
  <si>
    <t xml:space="preserve">Alfa 2 x </t>
  </si>
  <si>
    <t xml:space="preserve">Telor </t>
  </si>
  <si>
    <t>salak + parkir + gorengan</t>
  </si>
  <si>
    <t>Saldo seabank</t>
  </si>
  <si>
    <t xml:space="preserve"> Top Up Shopee</t>
  </si>
  <si>
    <t>Shopee ( minyak 2L+ berss 5 kg )</t>
  </si>
  <si>
    <t xml:space="preserve">trika + pembalut </t>
  </si>
  <si>
    <t xml:space="preserve">Paylater Tiktok Mei </t>
  </si>
  <si>
    <t>susu+tisu</t>
  </si>
  <si>
    <t>parkir MTC</t>
  </si>
  <si>
    <t>roti alfa</t>
  </si>
  <si>
    <t>suamiku (dana )</t>
  </si>
  <si>
    <t>token bunda</t>
  </si>
  <si>
    <t xml:space="preserve">sHopee ( ayam 3 ) </t>
  </si>
  <si>
    <t>infaq jumat</t>
  </si>
  <si>
    <t>sikat gigi</t>
  </si>
  <si>
    <t>sabun mandi</t>
  </si>
  <si>
    <t>sabun cuci piring</t>
  </si>
  <si>
    <t xml:space="preserve">Pasar Kaget + Parkir </t>
  </si>
  <si>
    <t>Iklan Promosi VT</t>
  </si>
  <si>
    <t xml:space="preserve">saringan Teh ( Dapur ) </t>
  </si>
  <si>
    <t>Roti gepeng, gentlegen, teh, susu</t>
  </si>
  <si>
    <t xml:space="preserve">Alfa </t>
  </si>
  <si>
    <t>mie ayam</t>
  </si>
  <si>
    <t xml:space="preserve">Gorengan </t>
  </si>
  <si>
    <t>PHD tiktok</t>
  </si>
  <si>
    <t xml:space="preserve">cas phd outlet </t>
  </si>
  <si>
    <t>Ayam Penyet</t>
  </si>
  <si>
    <t>Gorengan pagi</t>
  </si>
  <si>
    <t>Bensin Pertalite mini</t>
  </si>
  <si>
    <t xml:space="preserve">COD celana Kulot </t>
  </si>
  <si>
    <t xml:space="preserve">sate padeh </t>
  </si>
  <si>
    <t xml:space="preserve">gabin+gepeng </t>
  </si>
  <si>
    <t>COD khiban shopee</t>
  </si>
  <si>
    <t>Shopee ( bakso+sabun batang )</t>
  </si>
  <si>
    <t>Bakso+sotong shopee</t>
  </si>
  <si>
    <t xml:space="preserve">Makan siang Ayam2 </t>
  </si>
  <si>
    <t>....</t>
  </si>
  <si>
    <t>parkir eka hospital</t>
  </si>
  <si>
    <t xml:space="preserve">terima tunai </t>
  </si>
  <si>
    <t>gas (2)</t>
  </si>
  <si>
    <t>mie rendang</t>
  </si>
  <si>
    <t>wafer keju</t>
  </si>
  <si>
    <t>top up emoney shopee (25k)</t>
  </si>
  <si>
    <t xml:space="preserve">sarapan lotek 2+batagor </t>
  </si>
  <si>
    <t>makan siang di mega mulia (4)</t>
  </si>
  <si>
    <t>parkir mega mulia</t>
  </si>
  <si>
    <t>mainan alfa</t>
  </si>
  <si>
    <t>rokok (5)</t>
  </si>
  <si>
    <t>susu</t>
  </si>
  <si>
    <t xml:space="preserve">Pasar Kaget+ parkir </t>
  </si>
  <si>
    <t>Dana Lebih 10 rb Mainan Alfa</t>
  </si>
  <si>
    <t xml:space="preserve">cash dana </t>
  </si>
  <si>
    <t xml:space="preserve">pasar kaget </t>
  </si>
  <si>
    <t xml:space="preserve">susu Alfa ( shopee ) </t>
  </si>
  <si>
    <t>spons cupir+brosmandi(shopee)</t>
  </si>
  <si>
    <t xml:space="preserve">seabank </t>
  </si>
  <si>
    <t>Saldo Tiktok 1</t>
  </si>
  <si>
    <t>eskrim 2</t>
  </si>
  <si>
    <t>nipismadu+rti gepeng</t>
  </si>
  <si>
    <t xml:space="preserve">Admin Kartu </t>
  </si>
  <si>
    <t>Geosir ( kcngijo+sususaset+gulmer+ropeng)</t>
  </si>
  <si>
    <t>pasar Kaget</t>
  </si>
  <si>
    <t>Terima Tunain</t>
  </si>
  <si>
    <t>Roti Tawar</t>
  </si>
  <si>
    <t>Stick keju+roti bobo</t>
  </si>
  <si>
    <t>Mi ayam2+bakso</t>
  </si>
  <si>
    <t xml:space="preserve">roti gepeng + teh </t>
  </si>
  <si>
    <t>seabank(saldotitkok)</t>
  </si>
  <si>
    <t>pasar Kaget+parkir</t>
  </si>
  <si>
    <t xml:space="preserve">grosir </t>
  </si>
  <si>
    <t xml:space="preserve">Pasar Kaget ( Dapur ) + Parkir </t>
  </si>
  <si>
    <t>To serba (iqra'+mobilan+pensilpaket+buku gambar)</t>
  </si>
  <si>
    <t>Toserba ( gembok+spons+sendok)</t>
  </si>
  <si>
    <t>Sarapan gorengan</t>
  </si>
  <si>
    <t xml:space="preserve">Sabun+odol gigi Alfa </t>
  </si>
  <si>
    <t xml:space="preserve">Ayam </t>
  </si>
  <si>
    <t>jjan alfa</t>
  </si>
  <si>
    <t xml:space="preserve">paylater Parfum Tiktok </t>
  </si>
  <si>
    <t xml:space="preserve">Saldo tiktok 1&amp;2 </t>
  </si>
  <si>
    <t>saldo tiktok 2</t>
  </si>
  <si>
    <t>Bensin  motor Ante oji</t>
  </si>
  <si>
    <t xml:space="preserve">Yogurt Alfa </t>
  </si>
  <si>
    <t xml:space="preserve">Bensin Mio </t>
  </si>
  <si>
    <t xml:space="preserve">roti tawar+susu+galon </t>
  </si>
  <si>
    <t>Saldo tiktok 1</t>
  </si>
  <si>
    <t xml:space="preserve">Terim tunai </t>
  </si>
  <si>
    <t>Token 20</t>
  </si>
  <si>
    <t>Iklan Tiktok 2</t>
  </si>
  <si>
    <t>tisu basah+ jajan Alfa</t>
  </si>
  <si>
    <t>bensin Motor</t>
  </si>
  <si>
    <t>komisi tiktok</t>
  </si>
  <si>
    <t>seabank  ( hit)</t>
  </si>
  <si>
    <t>pembalut</t>
  </si>
  <si>
    <t>ayam bakar</t>
  </si>
  <si>
    <t>roti gepeng (2)</t>
  </si>
  <si>
    <t xml:space="preserve">Jajan Alfa + mie </t>
  </si>
  <si>
    <t>pasar</t>
  </si>
  <si>
    <t>???</t>
  </si>
  <si>
    <t>sabun cuci baju</t>
  </si>
  <si>
    <t>Grosir ( mi + permen+ rotigepeng)</t>
  </si>
  <si>
    <t xml:space="preserve">Susu + botol minum </t>
  </si>
  <si>
    <t>Lauk ( shopee Promo) lele+nila+bakso+ceker</t>
  </si>
  <si>
    <t>Cabe+bawang+kentang+dsop(shopee Promo)</t>
  </si>
  <si>
    <t>Beras 10KG</t>
  </si>
  <si>
    <t>Tiktok 2</t>
  </si>
  <si>
    <t>Sempol ayam</t>
  </si>
  <si>
    <t>Teh + Rokok</t>
  </si>
  <si>
    <t xml:space="preserve">Gorengan Pagi </t>
  </si>
  <si>
    <t>Sepeda ( shopee)</t>
  </si>
  <si>
    <t>Tisu basah&amp; kering (shopee)</t>
  </si>
  <si>
    <t>Shopee VIP (Akun 3)</t>
  </si>
  <si>
    <t>Celana Alfa ( shopee promo )</t>
  </si>
  <si>
    <t>Sandal+sabun mndi</t>
  </si>
  <si>
    <t>Qris Tiktok</t>
  </si>
  <si>
    <t xml:space="preserve">Pengembalian dana </t>
  </si>
  <si>
    <t xml:space="preserve">Telor + roti tawar </t>
  </si>
  <si>
    <t>dkriuk</t>
  </si>
  <si>
    <t>jeruk</t>
  </si>
  <si>
    <t>sanmol</t>
  </si>
  <si>
    <t>Saldo tiktok</t>
  </si>
  <si>
    <t xml:space="preserve">Bakso Bakar </t>
  </si>
  <si>
    <t>Doedorant</t>
  </si>
  <si>
    <t>akun shopee 3 + Pulsa Byu. 1</t>
  </si>
  <si>
    <t>Gorengan Pagi</t>
  </si>
  <si>
    <t>saeapan pagi lontong</t>
  </si>
  <si>
    <t xml:space="preserve">rokok </t>
  </si>
  <si>
    <t>Bakso Bakar</t>
  </si>
  <si>
    <t xml:space="preserve">Kue donat  2 </t>
  </si>
  <si>
    <t>Parkir Stadion</t>
  </si>
  <si>
    <t xml:space="preserve">pasar Kaget + parkir </t>
  </si>
  <si>
    <t>sabun cuci( alfamart )</t>
  </si>
  <si>
    <t>Alfamart(minyak+yogurt+rexona)</t>
  </si>
  <si>
    <t xml:space="preserve">Gabin </t>
  </si>
  <si>
    <t>Roti Gepeng+plastik+citato(grosir)</t>
  </si>
  <si>
    <t xml:space="preserve"> Bensin</t>
  </si>
  <si>
    <t>Sempol+teh es</t>
  </si>
  <si>
    <t>Admin fee+kartu</t>
  </si>
  <si>
    <t>Dana ( Ayam Frozen )</t>
  </si>
  <si>
    <t>Ayam Kriuk 2</t>
  </si>
  <si>
    <t>Dana ( saldo)</t>
  </si>
  <si>
    <t xml:space="preserve">Hit listrik </t>
  </si>
  <si>
    <t xml:space="preserve">Pasar Kaget + parkir </t>
  </si>
  <si>
    <t>Grosir mie</t>
  </si>
  <si>
    <t xml:space="preserve">Ibuprofen </t>
  </si>
  <si>
    <t>Roti gepeng+cikitwist + gabin grosir</t>
  </si>
  <si>
    <t>Saldo tiktok 1&amp;2</t>
  </si>
  <si>
    <t xml:space="preserve">Nasgor + sate </t>
  </si>
  <si>
    <t xml:space="preserve">Sisihkan ung Minyak </t>
  </si>
  <si>
    <t xml:space="preserve">tarik tunai  + Admin </t>
  </si>
  <si>
    <t>Pasar Kaget + parkir + admin BRIlink</t>
  </si>
  <si>
    <t>nasgor+bola² ayam</t>
  </si>
  <si>
    <t xml:space="preserve">alfa+kecap </t>
  </si>
  <si>
    <t>mie + bola² Ayam</t>
  </si>
  <si>
    <t xml:space="preserve">Jajan alfa </t>
  </si>
  <si>
    <t>susu + Bros+kainlap ( dapur ) ( shopee)</t>
  </si>
  <si>
    <t>tiktok 2</t>
  </si>
  <si>
    <t xml:space="preserve">Telor+Roti </t>
  </si>
  <si>
    <t xml:space="preserve">Margarin </t>
  </si>
  <si>
    <t xml:space="preserve">sabun cuci piring </t>
  </si>
  <si>
    <t>jajan Alfa</t>
  </si>
  <si>
    <t xml:space="preserve">Tripod </t>
  </si>
  <si>
    <t>Susu+tisu basah</t>
  </si>
  <si>
    <t xml:space="preserve">bakso Bakar + goreng Pisang </t>
  </si>
  <si>
    <t>Minyak Gireng 2L</t>
  </si>
  <si>
    <t xml:space="preserve">Ayam Penyet panam </t>
  </si>
  <si>
    <t>teh &amp; Obat Nyamuk + rotigepeng</t>
  </si>
  <si>
    <t>Bakso ante 4</t>
  </si>
  <si>
    <t>Nasgor</t>
  </si>
  <si>
    <t>Sarapan gorengn</t>
  </si>
  <si>
    <t>Ayam pnyet 3</t>
  </si>
  <si>
    <t>lupa catat</t>
  </si>
  <si>
    <t>Yogurt+eskrim+sikt gigi</t>
  </si>
  <si>
    <t>tatik tunai</t>
  </si>
  <si>
    <t>gorengn  pagi</t>
  </si>
  <si>
    <t>paket byu</t>
  </si>
  <si>
    <t>pasar kaget+✓parkir</t>
  </si>
  <si>
    <t>bakso ante</t>
  </si>
  <si>
    <t>jajan  alfa</t>
  </si>
  <si>
    <t>shopee</t>
  </si>
  <si>
    <t>Kue Putu</t>
  </si>
  <si>
    <t>Seabank(shopee)</t>
  </si>
  <si>
    <t xml:space="preserve">Minyak Goreng </t>
  </si>
  <si>
    <t>kuee pagi</t>
  </si>
  <si>
    <t>Beras belida 5kg</t>
  </si>
  <si>
    <t xml:space="preserve">Roti Tawar </t>
  </si>
  <si>
    <t xml:space="preserve">sabun Mandi </t>
  </si>
  <si>
    <t xml:space="preserve">Pantyliner </t>
  </si>
  <si>
    <t>Saldo Tiktoo 2</t>
  </si>
  <si>
    <t xml:space="preserve">Tisu kering </t>
  </si>
  <si>
    <t>Gemini Pro</t>
  </si>
  <si>
    <t xml:space="preserve">Spons + sunlight+lapdapur </t>
  </si>
  <si>
    <t>martabak keju jagung</t>
  </si>
  <si>
    <t>racik nasgor</t>
  </si>
  <si>
    <t xml:space="preserve">Admin + Kartu </t>
  </si>
  <si>
    <t>ciki jagung</t>
  </si>
  <si>
    <t xml:space="preserve">kue kue pagi </t>
  </si>
  <si>
    <t xml:space="preserve">Mi goreng </t>
  </si>
  <si>
    <t>Santan Kara</t>
  </si>
  <si>
    <t>Kue Kue Pagi</t>
  </si>
  <si>
    <t>Lampu Hannochs 14 Watt</t>
  </si>
  <si>
    <t>Stick Keju Ahh</t>
  </si>
  <si>
    <t>Margarin (Amanda)</t>
  </si>
  <si>
    <t xml:space="preserve">Kue Kue </t>
  </si>
  <si>
    <t>Ayam pnyet2</t>
  </si>
  <si>
    <t>Admin fee kartu</t>
  </si>
  <si>
    <t xml:space="preserve">Tiktok </t>
  </si>
  <si>
    <t>Donat seribuan (10)</t>
  </si>
  <si>
    <t>le mineral (2)</t>
  </si>
  <si>
    <t>Parkir pasar Uka</t>
  </si>
  <si>
    <t>Pasar Uka</t>
  </si>
  <si>
    <t>Galon + energen</t>
  </si>
  <si>
    <t>kue kue Pagi</t>
  </si>
  <si>
    <t xml:space="preserve">Mie Goreng </t>
  </si>
  <si>
    <t xml:space="preserve">Sempol </t>
  </si>
  <si>
    <t xml:space="preserve">Paket by.u baba </t>
  </si>
  <si>
    <t>OUT</t>
  </si>
  <si>
    <t>Grand Total</t>
  </si>
  <si>
    <t>OUT - Ibal</t>
  </si>
  <si>
    <t>OUT - Zela</t>
  </si>
  <si>
    <t>Sewa Rumah (03.2026)</t>
  </si>
  <si>
    <t>Iuran Komplek (03.2026)</t>
  </si>
  <si>
    <t xml:space="preserve">Paket by.u sehari </t>
  </si>
  <si>
    <t xml:space="preserve">Tisu Basah </t>
  </si>
  <si>
    <t xml:space="preserve">Tarek Tunai </t>
  </si>
  <si>
    <t xml:space="preserve">Paket by.u </t>
  </si>
  <si>
    <t xml:space="preserve">Kerjaan Tambahan Baba </t>
  </si>
  <si>
    <t xml:space="preserve">TF baba </t>
  </si>
  <si>
    <t xml:space="preserve">Gas 2 </t>
  </si>
  <si>
    <t xml:space="preserve">Piscok + Bakso </t>
  </si>
  <si>
    <t xml:space="preserve">Bakso Pakde </t>
  </si>
  <si>
    <t xml:space="preserve">Yogurt 3 </t>
  </si>
  <si>
    <t xml:space="preserve">pulsa Telkomsel </t>
  </si>
  <si>
    <t xml:space="preserve">Piscok </t>
  </si>
  <si>
    <t xml:space="preserve">Batrai Tv 2 Pasang + Hit listrik </t>
  </si>
  <si>
    <t xml:space="preserve">Uang lebih </t>
  </si>
  <si>
    <t xml:space="preserve">Tarik Tunia </t>
  </si>
  <si>
    <t xml:space="preserve">by.u </t>
  </si>
  <si>
    <t xml:space="preserve">Topup dana </t>
  </si>
  <si>
    <t xml:space="preserve">THR baba </t>
  </si>
  <si>
    <t xml:space="preserve">Parkir Pasar selasa+ Tambahan Beli Ayam </t>
  </si>
  <si>
    <t xml:space="preserve">Dikasih Nenek </t>
  </si>
  <si>
    <t xml:space="preserve">Kopi 2 bungkus </t>
  </si>
  <si>
    <t xml:space="preserve">Alfagift ( Detergen ) </t>
  </si>
  <si>
    <t xml:space="preserve">Aqua Dus </t>
  </si>
  <si>
    <t xml:space="preserve">Seres + Plastik Gula </t>
  </si>
  <si>
    <t xml:space="preserve">BensiN Motor </t>
  </si>
  <si>
    <t xml:space="preserve">Kerupuk </t>
  </si>
  <si>
    <t xml:space="preserve">Baju Alfa </t>
  </si>
  <si>
    <t xml:space="preserve">Susu Kotak </t>
  </si>
  <si>
    <t xml:space="preserve">Baju Koko Alfa </t>
  </si>
  <si>
    <t xml:space="preserve">Jajan Alfa Indomaret </t>
  </si>
  <si>
    <t xml:space="preserve">Grosir ( dapur ) </t>
  </si>
  <si>
    <t xml:space="preserve">susu Alfa + Yogurt </t>
  </si>
  <si>
    <t xml:space="preserve">Detergn </t>
  </si>
  <si>
    <t xml:space="preserve">THR alfa </t>
  </si>
  <si>
    <t xml:space="preserve">Lampu </t>
  </si>
  <si>
    <t xml:space="preserve">Sate </t>
  </si>
  <si>
    <t xml:space="preserve">sepatu &amp; BH  ( Shopee ) </t>
  </si>
  <si>
    <t xml:space="preserve">Bakso mi ayam </t>
  </si>
  <si>
    <t>User</t>
  </si>
  <si>
    <t>Gaji</t>
  </si>
  <si>
    <t>TikTok</t>
  </si>
  <si>
    <t>IN - ALL</t>
  </si>
  <si>
    <t>Total</t>
  </si>
  <si>
    <t>IN</t>
  </si>
  <si>
    <t>IN - OUT</t>
  </si>
  <si>
    <t>ALL (OUT)</t>
  </si>
  <si>
    <t>ALL (IN)</t>
  </si>
  <si>
    <t>IQBAL (OUT)</t>
  </si>
  <si>
    <t>IQBAL (IN)</t>
  </si>
  <si>
    <t>ZELA (IN)</t>
  </si>
  <si>
    <t>ZELA (OUT)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</si>
</sst>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Rp&quot;#,##0;[Red]\-&quot;Rp&quot;#,##0"/>
    <numFmt numFmtId="164" formatCode="dddd&quot;, &quot;dd&quot; &quot;mmmm&quot; &quot;yyyy"/>
    <numFmt numFmtId="165" formatCode="[$Rp]#,##0"/>
    <numFmt numFmtId="166" formatCode="mm&quot; - &quot;yyyy"/>
    <numFmt numFmtId="167" formatCode="mmmm&quot;  &quot;yyyy"/>
  </numFmts>
  <fonts count="2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0"/>
      <name val="Roboto"/>
    </font>
    <font>
      <sz val="10"/>
      <color rgb="FFFFFFFF"/>
      <name val="Roboto"/>
    </font>
    <font>
      <sz val="10"/>
      <name val="Arial"/>
      <family val="2"/>
    </font>
    <font>
      <b/>
      <sz val="13"/>
      <color rgb="FFFFFFFF"/>
      <name val="Roboto"/>
    </font>
    <font>
      <sz val="10"/>
      <color rgb="FF666666"/>
      <name val="Roboto"/>
    </font>
    <font>
      <b/>
      <sz val="9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CCCCCC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CFE2F3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1C4587"/>
        <bgColor rgb="FF1C4587"/>
      </patternFill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49564C"/>
        <bgColor rgb="FF49564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8761D"/>
        <bgColor rgb="FF38761D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38761D"/>
      </patternFill>
    </fill>
    <fill>
      <patternFill patternType="solid">
        <fgColor theme="7"/>
        <bgColor rgb="FF38761D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165" fontId="2" fillId="0" borderId="0" xfId="0" applyNumberFormat="1" applyFont="1"/>
    <xf numFmtId="0" fontId="2" fillId="0" borderId="0" xfId="0" applyFont="1"/>
    <xf numFmtId="165" fontId="2" fillId="0" borderId="0" xfId="0" applyNumberFormat="1" applyFont="1" applyAlignme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right"/>
    </xf>
    <xf numFmtId="165" fontId="3" fillId="2" borderId="2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wrapText="1"/>
    </xf>
    <xf numFmtId="165" fontId="3" fillId="4" borderId="0" xfId="0" applyNumberFormat="1" applyFont="1" applyFill="1" applyAlignment="1">
      <alignment horizontal="right" vertical="center" wrapText="1"/>
    </xf>
    <xf numFmtId="0" fontId="4" fillId="5" borderId="1" xfId="0" applyFont="1" applyFill="1" applyBorder="1" applyAlignment="1">
      <alignment horizontal="left" wrapText="1"/>
    </xf>
    <xf numFmtId="165" fontId="3" fillId="5" borderId="2" xfId="0" applyNumberFormat="1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horizontal="left" wrapText="1"/>
    </xf>
    <xf numFmtId="165" fontId="7" fillId="4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6" fontId="2" fillId="4" borderId="0" xfId="0" applyNumberFormat="1" applyFont="1" applyFill="1" applyAlignment="1">
      <alignment vertical="center"/>
    </xf>
    <xf numFmtId="166" fontId="10" fillId="8" borderId="0" xfId="0" applyNumberFormat="1" applyFont="1" applyFill="1" applyAlignment="1">
      <alignment vertical="center"/>
    </xf>
    <xf numFmtId="165" fontId="10" fillId="8" borderId="0" xfId="0" applyNumberFormat="1" applyFont="1" applyFill="1" applyAlignment="1">
      <alignment horizontal="right" vertical="center"/>
    </xf>
    <xf numFmtId="165" fontId="11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12" fillId="9" borderId="0" xfId="0" applyNumberFormat="1" applyFont="1" applyFill="1" applyAlignment="1">
      <alignment horizontal="right" vertical="center"/>
    </xf>
    <xf numFmtId="49" fontId="12" fillId="9" borderId="0" xfId="0" applyNumberFormat="1" applyFont="1" applyFill="1" applyAlignment="1">
      <alignment vertical="center"/>
    </xf>
    <xf numFmtId="0" fontId="12" fillId="9" borderId="0" xfId="0" applyFont="1" applyFill="1" applyAlignment="1">
      <alignment horizontal="center" vertical="center"/>
    </xf>
    <xf numFmtId="165" fontId="12" fillId="9" borderId="0" xfId="0" applyNumberFormat="1" applyFont="1" applyFill="1" applyAlignment="1">
      <alignment horizontal="right" vertical="center"/>
    </xf>
    <xf numFmtId="164" fontId="12" fillId="8" borderId="0" xfId="0" applyNumberFormat="1" applyFont="1" applyFill="1" applyAlignment="1">
      <alignment horizontal="right" vertical="center"/>
    </xf>
    <xf numFmtId="49" fontId="12" fillId="8" borderId="0" xfId="0" applyNumberFormat="1" applyFont="1" applyFill="1" applyAlignment="1">
      <alignment vertical="center"/>
    </xf>
    <xf numFmtId="0" fontId="12" fillId="8" borderId="0" xfId="0" applyFont="1" applyFill="1" applyAlignment="1">
      <alignment horizontal="center" vertical="center"/>
    </xf>
    <xf numFmtId="165" fontId="12" fillId="8" borderId="0" xfId="0" applyNumberFormat="1" applyFont="1" applyFill="1" applyAlignment="1">
      <alignment horizontal="right" vertical="center"/>
    </xf>
    <xf numFmtId="0" fontId="12" fillId="9" borderId="0" xfId="0" applyFont="1" applyFill="1" applyAlignment="1">
      <alignment horizontal="center" vertical="center"/>
    </xf>
    <xf numFmtId="165" fontId="12" fillId="8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0" fontId="2" fillId="8" borderId="0" xfId="0" applyFont="1" applyFill="1" applyAlignment="1">
      <alignment horizontal="left"/>
    </xf>
    <xf numFmtId="166" fontId="10" fillId="8" borderId="0" xfId="0" applyNumberFormat="1" applyFont="1" applyFill="1" applyAlignment="1"/>
    <xf numFmtId="165" fontId="10" fillId="8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167" fontId="14" fillId="10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4" fillId="3" borderId="4" xfId="0" applyFont="1" applyFill="1" applyBorder="1" applyAlignment="1">
      <alignment horizontal="center" vertical="center"/>
    </xf>
    <xf numFmtId="167" fontId="14" fillId="3" borderId="4" xfId="0" applyNumberFormat="1" applyFont="1" applyFill="1" applyBorder="1" applyAlignment="1">
      <alignment horizontal="center" vertical="center"/>
    </xf>
    <xf numFmtId="0" fontId="1" fillId="11" borderId="4" xfId="0" applyFont="1" applyFill="1" applyBorder="1"/>
    <xf numFmtId="165" fontId="2" fillId="11" borderId="4" xfId="0" applyNumberFormat="1" applyFont="1" applyFill="1" applyBorder="1"/>
    <xf numFmtId="0" fontId="1" fillId="12" borderId="4" xfId="0" applyFont="1" applyFill="1" applyBorder="1"/>
    <xf numFmtId="165" fontId="2" fillId="12" borderId="4" xfId="0" applyNumberFormat="1" applyFont="1" applyFill="1" applyBorder="1"/>
    <xf numFmtId="0" fontId="14" fillId="3" borderId="4" xfId="0" applyFont="1" applyFill="1" applyBorder="1" applyAlignment="1">
      <alignment vertical="center"/>
    </xf>
    <xf numFmtId="165" fontId="14" fillId="3" borderId="4" xfId="0" applyNumberFormat="1" applyFont="1" applyFill="1" applyBorder="1" applyAlignment="1">
      <alignment vertical="center"/>
    </xf>
    <xf numFmtId="0" fontId="0" fillId="0" borderId="0" xfId="0" applyFont="1" applyAlignment="1"/>
    <xf numFmtId="0" fontId="0" fillId="0" borderId="0" xfId="0" pivotButton="1" applyFont="1" applyAlignment="1"/>
    <xf numFmtId="14" fontId="0" fillId="0" borderId="0" xfId="0" applyNumberFormat="1" applyFont="1" applyAlignment="1"/>
    <xf numFmtId="0" fontId="0" fillId="0" borderId="0" xfId="0" applyNumberFormat="1" applyFont="1" applyAlignment="1"/>
    <xf numFmtId="167" fontId="16" fillId="10" borderId="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/>
    <xf numFmtId="165" fontId="0" fillId="0" borderId="0" xfId="0" applyNumberFormat="1" applyFont="1" applyAlignment="1"/>
    <xf numFmtId="0" fontId="19" fillId="0" borderId="0" xfId="0" applyFont="1" applyAlignment="1"/>
    <xf numFmtId="165" fontId="19" fillId="0" borderId="0" xfId="0" applyNumberFormat="1" applyFont="1" applyAlignment="1"/>
    <xf numFmtId="167" fontId="20" fillId="0" borderId="5" xfId="0" applyNumberFormat="1" applyFont="1" applyFill="1" applyBorder="1" applyAlignment="1">
      <alignment horizontal="center" vertical="center"/>
    </xf>
    <xf numFmtId="0" fontId="21" fillId="0" borderId="5" xfId="0" applyFont="1" applyFill="1" applyBorder="1" applyAlignment="1"/>
    <xf numFmtId="3" fontId="21" fillId="0" borderId="5" xfId="0" applyNumberFormat="1" applyFont="1" applyFill="1" applyBorder="1" applyAlignment="1"/>
    <xf numFmtId="0" fontId="20" fillId="0" borderId="5" xfId="0" applyFont="1" applyFill="1" applyBorder="1"/>
    <xf numFmtId="3" fontId="20" fillId="0" borderId="5" xfId="0" applyNumberFormat="1" applyFont="1" applyFill="1" applyBorder="1"/>
    <xf numFmtId="0" fontId="22" fillId="0" borderId="0" xfId="0" applyFont="1" applyAlignment="1">
      <alignment horizontal="center"/>
    </xf>
    <xf numFmtId="165" fontId="15" fillId="10" borderId="0" xfId="0" applyNumberFormat="1" applyFont="1" applyFill="1" applyBorder="1" applyAlignment="1">
      <alignment vertical="center"/>
    </xf>
    <xf numFmtId="0" fontId="21" fillId="0" borderId="5" xfId="0" applyFont="1" applyFill="1" applyBorder="1" applyAlignment="1">
      <alignment vertical="center"/>
    </xf>
    <xf numFmtId="3" fontId="21" fillId="0" borderId="5" xfId="0" applyNumberFormat="1" applyFont="1" applyFill="1" applyBorder="1" applyAlignment="1">
      <alignment vertical="center"/>
    </xf>
    <xf numFmtId="0" fontId="23" fillId="15" borderId="5" xfId="0" applyFont="1" applyFill="1" applyBorder="1" applyAlignment="1">
      <alignment vertical="center"/>
    </xf>
    <xf numFmtId="167" fontId="23" fillId="15" borderId="5" xfId="0" applyNumberFormat="1" applyFont="1" applyFill="1" applyBorder="1" applyAlignment="1">
      <alignment horizontal="center" vertical="center"/>
    </xf>
    <xf numFmtId="0" fontId="23" fillId="15" borderId="5" xfId="0" applyFont="1" applyFill="1" applyBorder="1"/>
    <xf numFmtId="3" fontId="23" fillId="15" borderId="5" xfId="0" applyNumberFormat="1" applyFont="1" applyFill="1" applyBorder="1"/>
    <xf numFmtId="6" fontId="0" fillId="0" borderId="0" xfId="0" applyNumberFormat="1" applyFont="1" applyAlignment="1"/>
    <xf numFmtId="6" fontId="19" fillId="0" borderId="0" xfId="0" applyNumberFormat="1" applyFont="1" applyAlignment="1"/>
    <xf numFmtId="0" fontId="0" fillId="0" borderId="0" xfId="0" applyFont="1" applyAlignment="1"/>
    <xf numFmtId="165" fontId="3" fillId="3" borderId="2" xfId="0" applyNumberFormat="1" applyFont="1" applyFill="1" applyBorder="1" applyAlignment="1">
      <alignment horizontal="right" vertical="center" wrapText="1"/>
    </xf>
    <xf numFmtId="0" fontId="5" fillId="0" borderId="3" xfId="0" applyFont="1" applyBorder="1"/>
    <xf numFmtId="165" fontId="6" fillId="6" borderId="0" xfId="0" applyNumberFormat="1" applyFont="1" applyFill="1" applyAlignment="1">
      <alignment horizontal="center" vertical="center" wrapText="1"/>
    </xf>
    <xf numFmtId="0" fontId="0" fillId="0" borderId="0" xfId="0" applyFont="1" applyAlignment="1"/>
    <xf numFmtId="165" fontId="7" fillId="7" borderId="2" xfId="0" applyNumberFormat="1" applyFont="1" applyFill="1" applyBorder="1" applyAlignment="1">
      <alignment horizontal="right" vertical="center" wrapText="1"/>
    </xf>
    <xf numFmtId="165" fontId="3" fillId="6" borderId="2" xfId="0" applyNumberFormat="1" applyFont="1" applyFill="1" applyBorder="1" applyAlignment="1">
      <alignment horizontal="right" vertical="center" wrapText="1"/>
    </xf>
    <xf numFmtId="17" fontId="0" fillId="0" borderId="0" xfId="0" applyNumberFormat="1" applyFont="1" applyAlignment="1"/>
    <xf numFmtId="165" fontId="9" fillId="0" borderId="0" xfId="0" applyNumberFormat="1" applyFont="1" applyAlignment="1"/>
    <xf numFmtId="167" fontId="14" fillId="13" borderId="5" xfId="0" applyNumberFormat="1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vertical="center"/>
    </xf>
    <xf numFmtId="167" fontId="14" fillId="10" borderId="6" xfId="0" applyNumberFormat="1" applyFont="1" applyFill="1" applyBorder="1" applyAlignment="1">
      <alignment horizontal="center" vertical="center"/>
    </xf>
    <xf numFmtId="165" fontId="15" fillId="10" borderId="7" xfId="0" applyNumberFormat="1" applyFont="1" applyFill="1" applyBorder="1" applyAlignment="1">
      <alignment vertical="center"/>
    </xf>
    <xf numFmtId="167" fontId="14" fillId="14" borderId="5" xfId="0" applyNumberFormat="1" applyFont="1" applyFill="1" applyBorder="1" applyAlignment="1">
      <alignment horizontal="center" vertical="center"/>
    </xf>
    <xf numFmtId="3" fontId="14" fillId="13" borderId="5" xfId="0" applyNumberFormat="1" applyFont="1" applyFill="1" applyBorder="1" applyAlignment="1">
      <alignment vertical="center"/>
    </xf>
    <xf numFmtId="3" fontId="23" fillId="15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24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4">
    <tableStyle name="Ibal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OUT_1-style" pivot="0" count="4" xr9:uid="{00000000-0011-0000-FFFF-FFFF01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Zela-style" pivot="0" count="4" xr9:uid="{00000000-0011-0000-FFFF-FFFF02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Google Sheets Pivot Table Style" table="0" count="12" xr9:uid="{00000000-0011-0000-FFFF-FFFF03000000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1443164960" name="Chart1" title="Diagram">
          <a:extLst>
            <a:ext uri="{FF2B5EF4-FFF2-40B4-BE49-F238E27FC236}">
              <a16:creationId xmlns:a16="http://schemas.microsoft.com/office/drawing/2014/main" id="{00000000-0008-0000-0100-000020F3045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946277753" name="Chart2" title="Chart">
          <a:extLst>
            <a:ext uri="{FF2B5EF4-FFF2-40B4-BE49-F238E27FC236}">
              <a16:creationId xmlns:a16="http://schemas.microsoft.com/office/drawing/2014/main" id="{00000000-0008-0000-0700-0000790D673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BUQUERQUE" refreshedDate="46286.549160648145" refreshedVersion="7" recordCount="1999" xr:uid="{00000000-000A-0000-FFFF-FFFF00000000}">
  <cacheSource type="worksheet">
    <worksheetSource ref="A1:T2000" sheet="OUT"/>
  </cacheSource>
  <cacheFields count="20">
    <cacheField name="Date" numFmtId="0">
      <sharedItems containsNonDate="0" containsDate="1" containsString="0" containsBlank="1" minDate="2026-01-28T00:00:00" maxDate="2026-09-20T00:00:00"/>
    </cacheField>
    <cacheField name="Description" numFmtId="0">
      <sharedItems containsBlank="1"/>
    </cacheField>
    <cacheField name="ATM/Cash" numFmtId="0">
      <sharedItems containsBlank="1"/>
    </cacheField>
    <cacheField name="Type" numFmtId="0">
      <sharedItems containsBlank="1" count="4">
        <s v="In"/>
        <s v="Out"/>
        <s v="Move"/>
        <m/>
      </sharedItems>
    </cacheField>
    <cacheField name="Category" numFmtId="0">
      <sharedItems containsBlank="1" count="12">
        <s v="Fix"/>
        <s v="Move"/>
        <s v="Iqbal"/>
        <s v="Mio"/>
        <s v="Kitchen"/>
        <s v="Jajan"/>
        <s v="Bathroom"/>
        <s v="Sedekah"/>
        <s v="Alfa"/>
        <s v="Zela"/>
        <s v="Loandry"/>
        <m/>
      </sharedItems>
    </cacheField>
    <cacheField name="Amount" numFmtId="0">
      <sharedItems containsString="0" containsBlank="1" containsNumber="1" containsInteger="1" minValue="-140000" maxValue="4458235"/>
    </cacheField>
    <cacheField name="User" numFmtId="0">
      <sharedItems containsBlank="1" count="3">
        <s v="Ibal"/>
        <s v="Zela"/>
        <m/>
      </sharedItems>
    </cacheField>
    <cacheField name="Bulan" numFmtId="166">
      <sharedItems containsDate="1" containsMixedTypes="1" minDate="2026-01-01T00:00:00" maxDate="2026-09-02T00:00:00" count="10"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s v=""/>
      </sharedItems>
    </cacheField>
    <cacheField name="In" numFmtId="165">
      <sharedItems/>
    </cacheField>
    <cacheField name="Out" numFmtId="165">
      <sharedItems containsSemiMixedTypes="0" containsString="0" containsNumber="1" containsInteger="1" minValue="0" maxValue="12026623"/>
    </cacheField>
    <cacheField name="Fix" numFmtId="165">
      <sharedItems containsSemiMixedTypes="0" containsString="0" containsNumber="1" containsInteger="1" minValue="0" maxValue="3084727"/>
    </cacheField>
    <cacheField name="Bathroom" numFmtId="165">
      <sharedItems containsSemiMixedTypes="0" containsString="0" containsNumber="1" containsInteger="1" minValue="0" maxValue="120488"/>
    </cacheField>
    <cacheField name="Alfa" numFmtId="165">
      <sharedItems containsSemiMixedTypes="0" containsString="0" containsNumber="1" containsInteger="1" minValue="0" maxValue="890962"/>
    </cacheField>
    <cacheField name="Jajan" numFmtId="165">
      <sharedItems/>
    </cacheField>
    <cacheField name="Kitchen" numFmtId="165">
      <sharedItems containsSemiMixedTypes="0" containsString="0" containsNumber="1" containsInteger="1" minValue="0" maxValue="1584204"/>
    </cacheField>
    <cacheField name="Loandry" numFmtId="165">
      <sharedItems containsSemiMixedTypes="0" containsString="0" containsNumber="1" containsInteger="1" minValue="0" maxValue="58396"/>
    </cacheField>
    <cacheField name="Mio" numFmtId="165">
      <sharedItems containsSemiMixedTypes="0" containsString="0" containsNumber="1" containsInteger="1" minValue="0" maxValue="895700"/>
    </cacheField>
    <cacheField name="Sedekah" numFmtId="165">
      <sharedItems containsSemiMixedTypes="0" containsString="0" containsNumber="1" containsInteger="1" minValue="0" maxValue="130000"/>
    </cacheField>
    <cacheField name="Zela" numFmtId="165">
      <sharedItems containsSemiMixedTypes="0" containsString="0" containsNumber="1" containsInteger="1" minValue="0" maxValue="387476"/>
    </cacheField>
    <cacheField name="Iqbal" numFmtId="165">
      <sharedItems containsSemiMixedTypes="0" containsString="0" containsNumber="1" containsInteger="1" minValue="0" maxValue="2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d v="2026-01-28T00:00:00"/>
    <s v="Saldo Awal"/>
    <s v="ATM"/>
    <x v="0"/>
    <x v="0"/>
    <n v="15590"/>
    <x v="0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Pinjam uang Adi"/>
    <s v="ATM"/>
    <x v="0"/>
    <x v="0"/>
    <n v="300000"/>
    <x v="0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Istriku"/>
    <s v="ATM"/>
    <x v="1"/>
    <x v="1"/>
    <n v="150000"/>
    <x v="0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Token listrik 100k (65,30 kwh)"/>
    <s v="ATM"/>
    <x v="1"/>
    <x v="0"/>
    <n v="99450"/>
    <x v="0"/>
    <x v="0"/>
    <e v="#VALUE!"/>
    <n v="475850"/>
    <n v="114450"/>
    <n v="0"/>
    <n v="36400"/>
    <e v="#VALUE!"/>
    <n v="87000"/>
    <n v="0"/>
    <n v="0"/>
    <n v="0"/>
    <n v="0"/>
    <n v="0"/>
  </r>
  <r>
    <d v="2026-01-30T00:00:00"/>
    <s v="Istriku"/>
    <s v="ATM"/>
    <x v="1"/>
    <x v="1"/>
    <n v="50000"/>
    <x v="0"/>
    <x v="0"/>
    <e v="#VALUE!"/>
    <n v="475850"/>
    <n v="114450"/>
    <n v="0"/>
    <n v="36400"/>
    <e v="#VALUE!"/>
    <n v="87000"/>
    <n v="0"/>
    <n v="0"/>
    <n v="0"/>
    <n v="0"/>
    <n v="0"/>
  </r>
  <r>
    <d v="2026-02-02T00:00:00"/>
    <s v="Gaji Januari 2026"/>
    <s v="ATM"/>
    <x v="0"/>
    <x v="0"/>
    <n v="4353235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Byu 10GB"/>
    <s v="ATM"/>
    <x v="1"/>
    <x v="0"/>
    <n v="25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Istriku"/>
    <s v="ATM"/>
    <x v="1"/>
    <x v="1"/>
    <n v="1774441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Bayar uang Adi"/>
    <s v="ATM"/>
    <x v="1"/>
    <x v="0"/>
    <n v="30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Iqbal Shopee (5)"/>
    <s v="ATM"/>
    <x v="1"/>
    <x v="0"/>
    <n v="624137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Kulkas (2)"/>
    <s v="ATM"/>
    <x v="1"/>
    <x v="0"/>
    <n v="279187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3T00:00:00"/>
    <s v="Potong rambut"/>
    <s v="ATM"/>
    <x v="1"/>
    <x v="2"/>
    <n v="3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5T00:00:00"/>
    <s v="Istriku"/>
    <s v="Cash"/>
    <x v="0"/>
    <x v="1"/>
    <n v="5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5T00:00:00"/>
    <s v="Bensin eceran"/>
    <s v="Cash"/>
    <x v="1"/>
    <x v="3"/>
    <n v="12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5T00:00:00"/>
    <s v="Rokok"/>
    <s v="Cash"/>
    <x v="1"/>
    <x v="2"/>
    <n v="16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5T00:00:00"/>
    <s v="Sewa Rumah (Februari 2026)"/>
    <s v="ATM"/>
    <x v="1"/>
    <x v="0"/>
    <n v="1000494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5T00:00:00"/>
    <s v="Iuran (Februari 2026)"/>
    <s v="ATM"/>
    <x v="1"/>
    <x v="0"/>
    <n v="75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5T00:00:00"/>
    <s v="Galon"/>
    <s v="Cash"/>
    <x v="1"/>
    <x v="4"/>
    <n v="4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6T00:00:00"/>
    <s v="Bensin"/>
    <s v="Cash"/>
    <x v="1"/>
    <x v="3"/>
    <n v="18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2T00:00:00"/>
    <s v="Bensin"/>
    <s v="ATM"/>
    <x v="1"/>
    <x v="3"/>
    <n v="2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2T00:00:00"/>
    <s v="Golda + pisang goreng"/>
    <s v="ATM"/>
    <x v="1"/>
    <x v="5"/>
    <n v="17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2T00:00:00"/>
    <s v="Token listrik 100k (65,30 kwh)"/>
    <s v="ATM"/>
    <x v="1"/>
    <x v="0"/>
    <n v="10175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5T00:00:00"/>
    <s v="Rokok"/>
    <s v="ATM"/>
    <x v="1"/>
    <x v="2"/>
    <n v="15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4T00:00:00"/>
    <s v="Byu (2)"/>
    <s v="ATM"/>
    <x v="1"/>
    <x v="0"/>
    <n v="25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Aulia"/>
    <s v="ATM"/>
    <x v="0"/>
    <x v="0"/>
    <n v="30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Istriku"/>
    <s v="ATM"/>
    <x v="1"/>
    <x v="1"/>
    <n v="20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Tatik Tunai"/>
    <s v="ATM"/>
    <x v="2"/>
    <x v="1"/>
    <n v="10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Terima Tunai"/>
    <s v="Cash"/>
    <x v="2"/>
    <x v="1"/>
    <n v="10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Bensin"/>
    <s v="Cash"/>
    <x v="1"/>
    <x v="3"/>
    <n v="24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Molen"/>
    <s v="Cash"/>
    <x v="1"/>
    <x v="5"/>
    <n v="15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Semen 2kg"/>
    <s v="Cash"/>
    <x v="1"/>
    <x v="6"/>
    <n v="6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Istriku"/>
    <s v="Cash"/>
    <x v="1"/>
    <x v="1"/>
    <n v="5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8T00:00:00"/>
    <s v="Istriku"/>
    <s v="Cash"/>
    <x v="1"/>
    <x v="1"/>
    <n v="5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8T00:00:00"/>
    <s v="Istriku"/>
    <s v="ATM"/>
    <x v="0"/>
    <x v="1"/>
    <n v="5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8T00:00:00"/>
    <s v="Istriku"/>
    <s v="ATM"/>
    <x v="0"/>
    <x v="1"/>
    <n v="2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8T00:00:00"/>
    <s v="Rokok"/>
    <s v="ATM"/>
    <x v="1"/>
    <x v="2"/>
    <n v="15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8T00:00:00"/>
    <s v="Mancis"/>
    <s v="ATM"/>
    <x v="1"/>
    <x v="2"/>
    <n v="2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9T00:00:00"/>
    <s v="Tarik tunai"/>
    <s v="ATM"/>
    <x v="2"/>
    <x v="1"/>
    <n v="10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9T00:00:00"/>
    <s v="Terima Tunai"/>
    <s v="Cash"/>
    <x v="2"/>
    <x v="1"/>
    <n v="10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9T00:00:00"/>
    <s v="Bensin Mio - Pertamax 92"/>
    <s v="Cash"/>
    <x v="1"/>
    <x v="3"/>
    <n v="3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9T00:00:00"/>
    <s v="Teh telor"/>
    <s v="Cash"/>
    <x v="1"/>
    <x v="5"/>
    <n v="11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0T00:00:00"/>
    <s v="Infaq"/>
    <s v="Cash"/>
    <x v="1"/>
    <x v="7"/>
    <n v="9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0T00:00:00"/>
    <s v="Admin fee"/>
    <s v="ATM"/>
    <x v="1"/>
    <x v="0"/>
    <n v="6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1T00:00:00"/>
    <s v="Istriku"/>
    <s v="ATM"/>
    <x v="0"/>
    <x v="1"/>
    <n v="2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4T00:00:00"/>
    <s v="Istriku"/>
    <s v="ATM"/>
    <x v="1"/>
    <x v="1"/>
    <n v="39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5T00:00:00"/>
    <s v="Roti Bakar (keju coklat)"/>
    <s v="Cash"/>
    <x v="1"/>
    <x v="5"/>
    <n v="17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6T00:00:00"/>
    <s v="Biar saldo pas, IN = (OUT+ATM+Cash)"/>
    <s v="*****"/>
    <x v="1"/>
    <x v="0"/>
    <n v="-14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6T00:00:00"/>
    <s v="Istriku"/>
    <s v="Cash"/>
    <x v="0"/>
    <x v="1"/>
    <n v="1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6T00:00:00"/>
    <s v="rokok"/>
    <s v="Cash"/>
    <x v="1"/>
    <x v="2"/>
    <n v="14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6T00:00:00"/>
    <s v="bensin"/>
    <s v="Cash"/>
    <x v="1"/>
    <x v="3"/>
    <n v="20000"/>
    <x v="0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3-02T00:00:00"/>
    <s v="Gaji Februari 2026"/>
    <s v="ATM"/>
    <x v="0"/>
    <x v="0"/>
    <n v="4458235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Istriku"/>
    <s v="ATM"/>
    <x v="1"/>
    <x v="1"/>
    <n v="200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Byu 6gb"/>
    <s v="ATM"/>
    <x v="1"/>
    <x v="0"/>
    <n v="1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Mamaku"/>
    <s v="Cash"/>
    <x v="0"/>
    <x v="0"/>
    <n v="2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Pertalite"/>
    <s v="Cash"/>
    <x v="1"/>
    <x v="3"/>
    <n v="29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Istriku"/>
    <s v="ATM"/>
    <x v="0"/>
    <x v="1"/>
    <n v="5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Shopee"/>
    <s v="ATM"/>
    <x v="1"/>
    <x v="0"/>
    <n v="624137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Kulkas"/>
    <s v="ATM"/>
    <x v="1"/>
    <x v="0"/>
    <n v="279187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Bracket TV &amp; Antena"/>
    <s v="ATM"/>
    <x v="1"/>
    <x v="0"/>
    <n v="73682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5T00:00:00"/>
    <s v="Sewa Rumah Athaya 3 (Maret 2026)"/>
    <s v="ATM"/>
    <x v="1"/>
    <x v="0"/>
    <n v="1000416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5T00:00:00"/>
    <s v="Iuran Athaya 3 (Maret 2026)"/>
    <s v="ATM"/>
    <x v="1"/>
    <x v="0"/>
    <n v="7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4T00:00:00"/>
    <s v="Rokok"/>
    <s v="ATM"/>
    <x v="1"/>
    <x v="2"/>
    <n v="1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5T00:00:00"/>
    <s v="Teh telor"/>
    <s v="ATM"/>
    <x v="1"/>
    <x v="5"/>
    <n v="1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6T00:00:00"/>
    <s v="Token listrik 200k"/>
    <s v="ATM"/>
    <x v="1"/>
    <x v="0"/>
    <n v="20175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6T00:00:00"/>
    <s v="Rokok"/>
    <s v="ATM"/>
    <x v="1"/>
    <x v="2"/>
    <n v="1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6T00:00:00"/>
    <s v="Tarik tunai"/>
    <s v="ATM"/>
    <x v="1"/>
    <x v="1"/>
    <n v="5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6T00:00:00"/>
    <s v="Terima tunai"/>
    <s v="Cash"/>
    <x v="0"/>
    <x v="1"/>
    <n v="5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6T00:00:00"/>
    <s v="Kopi 2 (7000)"/>
    <s v="Cash"/>
    <x v="1"/>
    <x v="5"/>
    <n v="14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6T00:00:00"/>
    <s v="gula seperempat"/>
    <s v="Cash"/>
    <x v="1"/>
    <x v="4"/>
    <n v="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6T00:00:00"/>
    <s v="rak dinding untuk modem wifi"/>
    <s v="ATM"/>
    <x v="1"/>
    <x v="5"/>
    <n v="36999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Pertamax"/>
    <s v="Cash"/>
    <x v="1"/>
    <x v="3"/>
    <n v="2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Istriku"/>
    <s v="Cash"/>
    <x v="0"/>
    <x v="1"/>
    <n v="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Istriku"/>
    <s v="Cash"/>
    <x v="0"/>
    <x v="1"/>
    <n v="10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Mamaku"/>
    <s v="Cash"/>
    <x v="0"/>
    <x v="0"/>
    <n v="2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Ongkir Maxim, lemari baju Mama"/>
    <s v="Cash"/>
    <x v="1"/>
    <x v="0"/>
    <n v="7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Pertalite"/>
    <s v="Cash"/>
    <x v="1"/>
    <x v="3"/>
    <n v="28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Teh botol (3), Ultramilk (1)"/>
    <s v="Cash"/>
    <x v="1"/>
    <x v="5"/>
    <n v="18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Cuci Mio"/>
    <s v="Cash"/>
    <x v="1"/>
    <x v="3"/>
    <n v="2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4T00:00:00"/>
    <s v="Penutup kabel (1)"/>
    <s v="ATM"/>
    <x v="1"/>
    <x v="0"/>
    <n v="17541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THR 2026"/>
    <s v="ATM"/>
    <x v="0"/>
    <x v="0"/>
    <n v="2332272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Istriku"/>
    <s v="ATM"/>
    <x v="2"/>
    <x v="0"/>
    <n v="13007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THR dari pak warno"/>
    <s v="ATM"/>
    <x v="0"/>
    <x v="0"/>
    <n v="15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Byu 8gb"/>
    <s v="ATM"/>
    <x v="1"/>
    <x v="0"/>
    <n v="18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Bakso bandung kejaksaan"/>
    <s v="ATM"/>
    <x v="1"/>
    <x v="5"/>
    <n v="58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9T00:00:00"/>
    <s v="Karpet teras"/>
    <s v="ATM"/>
    <x v="1"/>
    <x v="4"/>
    <n v="3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9T00:00:00"/>
    <s v="Pompa galon elektrik"/>
    <s v="ATM"/>
    <x v="1"/>
    <x v="4"/>
    <n v="3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Istriku"/>
    <s v="Cash"/>
    <x v="0"/>
    <x v="1"/>
    <n v="84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Pertalite"/>
    <s v="Cash"/>
    <x v="1"/>
    <x v="3"/>
    <n v="2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Liquid pink beach (second)"/>
    <s v="Cash"/>
    <x v="1"/>
    <x v="2"/>
    <n v="5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Odol + sikat gigi alfa"/>
    <s v="Cash"/>
    <x v="1"/>
    <x v="8"/>
    <n v="9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Catride (2)"/>
    <s v="ATM"/>
    <x v="1"/>
    <x v="2"/>
    <n v="8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Duo Sus (1kg)"/>
    <s v="ATM"/>
    <x v="1"/>
    <x v="5"/>
    <n v="6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Catride + liquid tomi"/>
    <s v="ATM"/>
    <x v="1"/>
    <x v="5"/>
    <n v="19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Catride + liquid tomi"/>
    <s v="Cash"/>
    <x v="0"/>
    <x v="0"/>
    <n v="20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1T00:00:00"/>
    <s v="Eskrim Jagung (5) + UHT (1) + Yogourt (3)"/>
    <s v="Cash"/>
    <x v="1"/>
    <x v="5"/>
    <n v="488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2T00:00:00"/>
    <s v="Pertamax"/>
    <s v="Cash"/>
    <x v="1"/>
    <x v="3"/>
    <n v="3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2T00:00:00"/>
    <s v="Admin BRI"/>
    <s v="ATM"/>
    <x v="1"/>
    <x v="0"/>
    <n v="6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2T00:00:00"/>
    <s v="Galon"/>
    <s v="Cash"/>
    <x v="1"/>
    <x v="4"/>
    <n v="4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5T00:00:00"/>
    <s v="Istriku"/>
    <s v="Cash"/>
    <x v="1"/>
    <x v="1"/>
    <n v="10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5T00:00:00"/>
    <s v="Istriku"/>
    <s v="ATM"/>
    <x v="0"/>
    <x v="1"/>
    <n v="10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5T00:00:00"/>
    <s v="Pertamax 26k (20k Zela, 6k Ibal)"/>
    <s v="Cash"/>
    <x v="1"/>
    <x v="3"/>
    <n v="6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7T00:00:00"/>
    <s v="Istriku"/>
    <s v="ATM"/>
    <x v="1"/>
    <x v="1"/>
    <n v="10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Americano"/>
    <s v="ATM"/>
    <x v="1"/>
    <x v="2"/>
    <n v="2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Kampas ganda full set + slider"/>
    <s v="ATM"/>
    <x v="1"/>
    <x v="3"/>
    <n v="37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Pertalite"/>
    <s v="Cash"/>
    <x v="1"/>
    <x v="3"/>
    <n v="112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Kulit jok"/>
    <s v="ATM"/>
    <x v="1"/>
    <x v="3"/>
    <n v="7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Minyak rem"/>
    <s v="ATM"/>
    <x v="1"/>
    <x v="3"/>
    <n v="15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Gorengan"/>
    <s v="ATM"/>
    <x v="1"/>
    <x v="5"/>
    <n v="1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30T00:00:00"/>
    <s v="Pertamax 98"/>
    <s v="ATM"/>
    <x v="1"/>
    <x v="3"/>
    <n v="30000"/>
    <x v="0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4-02T00:00:00"/>
    <s v="Gaji Maret 2026"/>
    <s v="ATM"/>
    <x v="0"/>
    <x v="0"/>
    <n v="4323235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2T00:00:00"/>
    <s v="Istriku"/>
    <s v="ATM"/>
    <x v="1"/>
    <x v="1"/>
    <n v="1720088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2T00:00:00"/>
    <s v="Iqbal Shopee (7)"/>
    <s v="ATM"/>
    <x v="1"/>
    <x v="0"/>
    <n v="624137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2T00:00:00"/>
    <s v="Bracket TV (2)"/>
    <s v="ATM"/>
    <x v="1"/>
    <x v="0"/>
    <n v="20602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2T00:00:00"/>
    <s v="Antenna TV (2)"/>
    <s v="ATM"/>
    <x v="1"/>
    <x v="0"/>
    <n v="5308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2T00:00:00"/>
    <s v="Cable Duct (2)"/>
    <s v="ATM"/>
    <x v="1"/>
    <x v="0"/>
    <n v="17541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Token listrik (200k = 130,70) di shopee"/>
    <s v="ATM"/>
    <x v="1"/>
    <x v="0"/>
    <n v="200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Kulkas (4)"/>
    <s v="ATM"/>
    <x v="1"/>
    <x v="0"/>
    <n v="279187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MyRepublic (2)"/>
    <s v="ATM"/>
    <x v="1"/>
    <x v="0"/>
    <n v="2331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5T00:00:00"/>
    <s v="Sewa Rumah (April 2026)"/>
    <s v="ATM"/>
    <x v="1"/>
    <x v="0"/>
    <n v="1000403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5T00:00:00"/>
    <s v="Iuran (April 2026)"/>
    <s v="ATM"/>
    <x v="1"/>
    <x v="0"/>
    <n v="75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6T00:00:00"/>
    <s v="Byu (1)"/>
    <s v="ATM"/>
    <x v="1"/>
    <x v="0"/>
    <n v="38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7T00:00:00"/>
    <s v="Teh telor (tapai+bebek)"/>
    <s v="ATM"/>
    <x v="1"/>
    <x v="5"/>
    <n v="26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1T00:00:00"/>
    <s v="Mie (3), MigiMigi (1 box), Es Krim (1)"/>
    <s v="ATM"/>
    <x v="1"/>
    <x v="5"/>
    <n v="24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0T00:00:00"/>
    <s v="Admin BRI"/>
    <s v="ATM"/>
    <x v="1"/>
    <x v="0"/>
    <n v="6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2T00:00:00"/>
    <s v="Rokok, kerupuk"/>
    <s v="ATM"/>
    <x v="1"/>
    <x v="5"/>
    <n v="29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3T00:00:00"/>
    <s v="e-materai"/>
    <s v="ATM"/>
    <x v="1"/>
    <x v="2"/>
    <n v="1007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Istriku"/>
    <s v="ATM"/>
    <x v="1"/>
    <x v="1"/>
    <n v="200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5T00:00:00"/>
    <s v="Teh telor"/>
    <s v="ATM"/>
    <x v="1"/>
    <x v="5"/>
    <n v="11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5T00:00:00"/>
    <s v="Martabak Kacang"/>
    <s v="ATM"/>
    <x v="1"/>
    <x v="5"/>
    <n v="15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Alhamdulillah dikasi aulia"/>
    <s v="ATM"/>
    <x v="0"/>
    <x v="0"/>
    <n v="300000"/>
    <x v="0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5-02T00:00:00"/>
    <s v="Istriku"/>
    <s v="ATM"/>
    <x v="1"/>
    <x v="1"/>
    <n v="2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2T00:00:00"/>
    <s v="tarik tunai"/>
    <s v="ATM"/>
    <x v="1"/>
    <x v="1"/>
    <n v="1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2T00:00:00"/>
    <s v="terima tunai"/>
    <s v="Cash"/>
    <x v="0"/>
    <x v="1"/>
    <n v="1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2T00:00:00"/>
    <s v="roti bakar (keju kacang)"/>
    <s v="Cash"/>
    <x v="1"/>
    <x v="5"/>
    <n v="16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2T00:00:00"/>
    <s v="rokok"/>
    <s v="Cash"/>
    <x v="1"/>
    <x v="2"/>
    <n v="1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2T00:00:00"/>
    <s v="gula seperempat"/>
    <s v="Cash"/>
    <x v="1"/>
    <x v="4"/>
    <n v="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3T00:00:00"/>
    <s v="galon"/>
    <s v="Cash"/>
    <x v="1"/>
    <x v="4"/>
    <n v="4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3T00:00:00"/>
    <s v="nipis madu (1) + indomilk kota (2)"/>
    <s v="Cash"/>
    <x v="1"/>
    <x v="5"/>
    <n v="13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3T00:00:00"/>
    <s v="bolen (6 pcs)"/>
    <s v="Cash"/>
    <x v="1"/>
    <x v="5"/>
    <n v="2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3T00:00:00"/>
    <s v="gabin, ciki, dll"/>
    <s v="Cash"/>
    <x v="1"/>
    <x v="5"/>
    <n v="27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4T00:00:00"/>
    <s v="beras belida (10 kg)"/>
    <s v="Cash"/>
    <x v="1"/>
    <x v="4"/>
    <n v="15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4T00:00:00"/>
    <s v="pepsodent"/>
    <s v="Cash"/>
    <x v="1"/>
    <x v="6"/>
    <n v="13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4T00:00:00"/>
    <s v="pertamax"/>
    <s v="Cash"/>
    <x v="1"/>
    <x v="3"/>
    <n v="3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4T00:00:00"/>
    <s v="token (65,30)"/>
    <s v="ATM"/>
    <x v="1"/>
    <x v="0"/>
    <n v="1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5T00:00:00"/>
    <s v="Sewa Rumah Athaya 3 (Mei 2026)"/>
    <s v="ATM"/>
    <x v="1"/>
    <x v="0"/>
    <n v="1000471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5T00:00:00"/>
    <s v="MyRepublic (3)"/>
    <s v="ATM"/>
    <x v="1"/>
    <x v="0"/>
    <n v="2331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5T00:00:00"/>
    <s v="Iuran Athaya 3 (Mei 2026)"/>
    <s v="ATM"/>
    <x v="1"/>
    <x v="0"/>
    <n v="7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5T00:00:00"/>
    <s v="rokok"/>
    <s v="Cash"/>
    <x v="1"/>
    <x v="2"/>
    <n v="1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5T00:00:00"/>
    <s v="teh telor tapai"/>
    <s v="Cash"/>
    <x v="1"/>
    <x v="2"/>
    <n v="13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5T00:00:00"/>
    <s v="sate"/>
    <s v="Cash"/>
    <x v="1"/>
    <x v="5"/>
    <n v="2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5T00:00:00"/>
    <s v="jajan"/>
    <s v="Cash"/>
    <x v="1"/>
    <x v="5"/>
    <n v="3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6T00:00:00"/>
    <s v="pasar kaget"/>
    <s v="Cash"/>
    <x v="1"/>
    <x v="4"/>
    <n v="4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7T00:00:00"/>
    <s v="pertalite"/>
    <s v="Cash"/>
    <x v="1"/>
    <x v="3"/>
    <n v="2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7T00:00:00"/>
    <s v="jajan alfa"/>
    <s v="Cash"/>
    <x v="1"/>
    <x v="8"/>
    <n v="175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7T00:00:00"/>
    <s v="parkir giant"/>
    <s v="Cash"/>
    <x v="1"/>
    <x v="5"/>
    <n v="3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7T00:00:00"/>
    <s v="gas"/>
    <s v="Cash"/>
    <x v="1"/>
    <x v="4"/>
    <n v="18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7T00:00:00"/>
    <s v="roti gabin"/>
    <s v="Cash"/>
    <x v="1"/>
    <x v="5"/>
    <n v="8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Gaji April 2026"/>
    <s v="ATM"/>
    <x v="0"/>
    <x v="0"/>
    <n v="4398235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Tarik tunai"/>
    <s v="ATM"/>
    <x v="1"/>
    <x v="1"/>
    <n v="4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Teirma Tunai"/>
    <s v="Cash"/>
    <x v="0"/>
    <x v="1"/>
    <n v="4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Iqbal Shopee (8)"/>
    <s v="ATM"/>
    <x v="1"/>
    <x v="0"/>
    <n v="624137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Kulkas (5)"/>
    <s v="ATM"/>
    <x v="1"/>
    <x v="0"/>
    <n v="279187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Bracket TV (3)"/>
    <s v="ATM"/>
    <x v="1"/>
    <x v="0"/>
    <n v="20602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Antenna TV (3)"/>
    <s v="ATM"/>
    <x v="1"/>
    <x v="0"/>
    <n v="5308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Kable Duct (3)"/>
    <s v="ATM"/>
    <x v="1"/>
    <x v="0"/>
    <n v="17541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istriku"/>
    <s v="ATM"/>
    <x v="1"/>
    <x v="1"/>
    <n v="145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istriku"/>
    <s v="Cash"/>
    <x v="1"/>
    <x v="1"/>
    <n v="25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byu 7gb (30 hari)"/>
    <s v="ATM"/>
    <x v="1"/>
    <x v="0"/>
    <n v="38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Istriku"/>
    <s v="ATM"/>
    <x v="1"/>
    <x v="1"/>
    <n v="1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7T00:00:00"/>
    <s v="Eskrim J Chicken"/>
    <s v="ATM"/>
    <x v="1"/>
    <x v="5"/>
    <n v="1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8T00:00:00"/>
    <s v="Shopee (Z)"/>
    <s v="ATM"/>
    <x v="0"/>
    <x v="0"/>
    <n v="3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8T00:00:00"/>
    <s v="service cvt, komstir, busi, seal2 puli belakang"/>
    <s v="ATM"/>
    <x v="1"/>
    <x v="3"/>
    <n v="29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8T00:00:00"/>
    <s v="pertalite"/>
    <s v="ATM"/>
    <x v="1"/>
    <x v="3"/>
    <n v="1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9T00:00:00"/>
    <s v="Istriku"/>
    <s v="ATM"/>
    <x v="1"/>
    <x v="1"/>
    <n v="9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0T00:00:00"/>
    <s v="Admin bank BRI"/>
    <s v="ATM"/>
    <x v="1"/>
    <x v="0"/>
    <n v="6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CGL"/>
    <s v="ATM"/>
    <x v="0"/>
    <x v="0"/>
    <n v="3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tarik tunai"/>
    <s v="ATM"/>
    <x v="1"/>
    <x v="1"/>
    <n v="25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terima tunai"/>
    <s v="Cash"/>
    <x v="0"/>
    <x v="1"/>
    <n v="25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palm sugar + es krim"/>
    <s v="ATM"/>
    <x v="1"/>
    <x v="8"/>
    <n v="239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ayam geprek (2)"/>
    <s v="Cash"/>
    <x v="1"/>
    <x v="4"/>
    <n v="22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kelapa muda"/>
    <s v="Cash"/>
    <x v="1"/>
    <x v="5"/>
    <n v="1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es teh (2)"/>
    <s v="Cash"/>
    <x v="1"/>
    <x v="5"/>
    <n v="1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bakso bakar, tahu bakar"/>
    <s v="Cash"/>
    <x v="1"/>
    <x v="5"/>
    <n v="2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teh telor tapai"/>
    <s v="Cash"/>
    <x v="1"/>
    <x v="5"/>
    <n v="14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pertamax"/>
    <s v="Cash"/>
    <x v="1"/>
    <x v="3"/>
    <n v="25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paket nelpon mama"/>
    <s v="Cash"/>
    <x v="1"/>
    <x v="2"/>
    <n v="3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istriku"/>
    <s v="Cash"/>
    <x v="0"/>
    <x v="1"/>
    <n v="4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4T00:00:00"/>
    <s v="lonsay (1) soto (2) kerupuk (1) bakwan (1) tempe (1)"/>
    <s v="Cash"/>
    <x v="1"/>
    <x v="5"/>
    <n v="33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4T00:00:00"/>
    <s v="parkir stadion"/>
    <s v="Cash"/>
    <x v="1"/>
    <x v="5"/>
    <n v="3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4T00:00:00"/>
    <s v="ayam geprek (2)"/>
    <s v="Cash"/>
    <x v="1"/>
    <x v="4"/>
    <n v="22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4T00:00:00"/>
    <s v="yogurt"/>
    <s v="Cash"/>
    <x v="1"/>
    <x v="8"/>
    <n v="19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4T00:00:00"/>
    <s v="piscok"/>
    <s v="Cash"/>
    <x v="1"/>
    <x v="5"/>
    <n v="2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4T00:00:00"/>
    <s v="teh telor (pinang)"/>
    <s v="Cash"/>
    <x v="1"/>
    <x v="2"/>
    <n v="13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6T00:00:00"/>
    <s v="istriku"/>
    <s v="Cash"/>
    <x v="0"/>
    <x v="1"/>
    <n v="5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6T00:00:00"/>
    <s v="pertamax"/>
    <s v="Cash"/>
    <x v="1"/>
    <x v="3"/>
    <n v="3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6T00:00:00"/>
    <s v="teh telor pinang (2)"/>
    <s v="Cash"/>
    <x v="1"/>
    <x v="2"/>
    <n v="28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7T00:00:00"/>
    <s v="galon"/>
    <s v="Cash"/>
    <x v="1"/>
    <x v="4"/>
    <n v="4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7T00:00:00"/>
    <s v="rokok"/>
    <s v="ATM"/>
    <x v="1"/>
    <x v="2"/>
    <n v="17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Anto (service Mio)"/>
    <s v="ATM"/>
    <x v="0"/>
    <x v="0"/>
    <n v="2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tarik tunai"/>
    <s v="ATM"/>
    <x v="1"/>
    <x v="1"/>
    <n v="2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terima tunai"/>
    <s v="Cash"/>
    <x v="0"/>
    <x v="1"/>
    <n v="20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arang (2kg)"/>
    <s v="Cash"/>
    <x v="1"/>
    <x v="5"/>
    <n v="20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mama lemon"/>
    <s v="Cash"/>
    <x v="1"/>
    <x v="4"/>
    <n v="4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desaku ketumbar (2)"/>
    <s v="Cash"/>
    <x v="1"/>
    <x v="4"/>
    <n v="2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roti gabin (2)"/>
    <s v="Cash"/>
    <x v="1"/>
    <x v="5"/>
    <n v="16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1T00:00:00"/>
    <s v="roller, oli gear, seal puli, pempers"/>
    <s v="Cash"/>
    <x v="1"/>
    <x v="3"/>
    <n v="146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1T00:00:00"/>
    <s v="Istriku"/>
    <s v="Cash"/>
    <x v="1"/>
    <x v="1"/>
    <n v="13000"/>
    <x v="0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6-02T00:00:00"/>
    <s v="Gaji (Mei 2026)"/>
    <s v="ATM"/>
    <x v="0"/>
    <x v="0"/>
    <n v="4383235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Iqbal Shopee (9)"/>
    <s v="ATM"/>
    <x v="1"/>
    <x v="0"/>
    <n v="624137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kulkas (6)"/>
    <s v="ATM"/>
    <x v="1"/>
    <x v="0"/>
    <n v="297904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Kable Duct (4)"/>
    <s v="ATM"/>
    <x v="1"/>
    <x v="0"/>
    <n v="17541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Service Mio (1) Shopee Zela"/>
    <s v="ATM"/>
    <x v="1"/>
    <x v="0"/>
    <n v="92333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Anto"/>
    <s v="ATM"/>
    <x v="1"/>
    <x v="0"/>
    <n v="200336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Istriku"/>
    <s v="ATM"/>
    <x v="1"/>
    <x v="1"/>
    <n v="1561437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Oli Mesin (Yamalube Hitam)"/>
    <s v="ATM"/>
    <x v="1"/>
    <x v="3"/>
    <n v="60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Potong rambut"/>
    <s v="ATM"/>
    <x v="1"/>
    <x v="2"/>
    <n v="30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Istriku"/>
    <s v="ATM"/>
    <x v="1"/>
    <x v="1"/>
    <n v="10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Token listrik (65,3)"/>
    <s v="ATM"/>
    <x v="1"/>
    <x v="0"/>
    <n v="10175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5T00:00:00"/>
    <s v="Sewa Rumah Athaya 3 (Juni 2026)"/>
    <s v="ATM"/>
    <x v="1"/>
    <x v="0"/>
    <n v="1000376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Iuran Athaya 3 (Juni 2026)"/>
    <s v="ATM"/>
    <x v="1"/>
    <x v="0"/>
    <n v="75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MyRepublic (4)"/>
    <s v="ATM"/>
    <x v="1"/>
    <x v="0"/>
    <n v="2331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3T00:00:00"/>
    <s v="Atuk Duri"/>
    <s v="Cash"/>
    <x v="0"/>
    <x v="8"/>
    <n v="50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3T00:00:00"/>
    <s v="Edi"/>
    <s v="Cash"/>
    <x v="0"/>
    <x v="2"/>
    <n v="34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Pertamax"/>
    <s v="Cash"/>
    <x v="1"/>
    <x v="3"/>
    <n v="25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Roti Gabin"/>
    <s v="Cash"/>
    <x v="1"/>
    <x v="5"/>
    <n v="9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Istriku"/>
    <s v="Cash"/>
    <x v="1"/>
    <x v="1"/>
    <n v="30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Es Tebu (2)"/>
    <s v="Cash"/>
    <x v="1"/>
    <x v="5"/>
    <n v="12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Galon"/>
    <s v="Cash"/>
    <x v="1"/>
    <x v="4"/>
    <n v="4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Rokok"/>
    <s v="ATM"/>
    <x v="1"/>
    <x v="2"/>
    <n v="15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7T00:00:00"/>
    <s v="Royko ayam"/>
    <s v="Cash"/>
    <x v="1"/>
    <x v="4"/>
    <n v="4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8T00:00:00"/>
    <s v="Paket byu 7GB"/>
    <s v="ATM"/>
    <x v="1"/>
    <x v="0"/>
    <n v="38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Istriku"/>
    <s v="ATM"/>
    <x v="1"/>
    <x v="1"/>
    <n v="29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0T00:00:00"/>
    <s v="Admin BRI"/>
    <s v="ATM"/>
    <x v="1"/>
    <x v="0"/>
    <n v="6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pinjam bu eli "/>
    <s v="ATM"/>
    <x v="0"/>
    <x v="0"/>
    <n v="400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istriku"/>
    <s v="ATM"/>
    <x v="1"/>
    <x v="1"/>
    <n v="250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ayam penyet ante"/>
    <s v="ATM"/>
    <x v="1"/>
    <x v="4"/>
    <n v="13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roti gembong"/>
    <s v="ATM"/>
    <x v="1"/>
    <x v="5"/>
    <n v="21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2T00:00:00"/>
    <s v="paket nelpon mama"/>
    <s v="ATM"/>
    <x v="1"/>
    <x v="0"/>
    <n v="31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2T00:00:00"/>
    <s v="token listrik"/>
    <s v="ATM"/>
    <x v="1"/>
    <x v="0"/>
    <n v="5175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2T00:00:00"/>
    <s v="rokok"/>
    <s v="ATM"/>
    <x v="1"/>
    <x v="2"/>
    <n v="15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4T00:00:00"/>
    <s v="mie goreng rendang, gula seperempat, stik keju (3)"/>
    <s v="ATM"/>
    <x v="1"/>
    <x v="5"/>
    <n v="10000"/>
    <x v="0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7-01T00:00:00"/>
    <s v="gaji Juni 2026"/>
    <s v="ATM"/>
    <x v="0"/>
    <x v="0"/>
    <n v="4383235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Iqbal Shopee (10)"/>
    <s v="ATM"/>
    <x v="1"/>
    <x v="0"/>
    <n v="624137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Cable duct (5)"/>
    <s v="ATM"/>
    <x v="1"/>
    <x v="0"/>
    <n v="17541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Service Mio (2)"/>
    <s v="ATM"/>
    <x v="1"/>
    <x v="0"/>
    <n v="92333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Dll"/>
    <s v="ATM"/>
    <x v="1"/>
    <x v="0"/>
    <n v="74179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Jemuran (1)"/>
    <s v="ATM"/>
    <x v="1"/>
    <x v="0"/>
    <n v="38206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Kacamata (1)"/>
    <s v="ATM"/>
    <x v="1"/>
    <x v="0"/>
    <n v="33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Bu Eli"/>
    <s v="ATM"/>
    <x v="1"/>
    <x v="0"/>
    <n v="400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listrik"/>
    <s v="ATM"/>
    <x v="1"/>
    <x v="0"/>
    <n v="10083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istriku"/>
    <s v="ATM"/>
    <x v="1"/>
    <x v="1"/>
    <n v="1495239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Oli mesin (Yamalube Hitam) 3715 KM"/>
    <s v="ATM"/>
    <x v="1"/>
    <x v="3"/>
    <n v="65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rokok (1)"/>
    <s v="ATM"/>
    <x v="1"/>
    <x v="2"/>
    <n v="16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ayam ante (2)"/>
    <s v="ATM"/>
    <x v="1"/>
    <x v="4"/>
    <n v="22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2T00:00:00"/>
    <s v="mie goren rendang dll"/>
    <s v="ATM"/>
    <x v="1"/>
    <x v="5"/>
    <n v="215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rokok (2)"/>
    <s v="ATM"/>
    <x v="1"/>
    <x v="2"/>
    <n v="17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MyRepublic (5)"/>
    <s v="ATM"/>
    <x v="1"/>
    <x v="0"/>
    <n v="2331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BMKG"/>
    <s v="ATM"/>
    <x v="0"/>
    <x v="0"/>
    <n v="200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Bakso"/>
    <s v="ATM"/>
    <x v="1"/>
    <x v="5"/>
    <n v="14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Sempol"/>
    <s v="ATM"/>
    <x v="1"/>
    <x v="5"/>
    <n v="10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Roti Bakar (coklat kacang)"/>
    <s v="ATM"/>
    <x v="1"/>
    <x v="5"/>
    <n v="17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Aqua botol (3)"/>
    <s v="ATM"/>
    <x v="1"/>
    <x v="5"/>
    <n v="12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Teh tlor (biasa, tapai, pinang)"/>
    <s v="ATM"/>
    <x v="1"/>
    <x v="2"/>
    <n v="40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Iuran Athaya 3 (Juli 2026)"/>
    <s v="ATM"/>
    <x v="1"/>
    <x v="0"/>
    <n v="75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Sewa Rumah (Juli 2026)"/>
    <s v="ATM"/>
    <x v="1"/>
    <x v="0"/>
    <n v="100046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Istriku"/>
    <s v="ATM"/>
    <x v="1"/>
    <x v="1"/>
    <n v="35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Pisang goreng + es jeruk"/>
    <s v="ATM"/>
    <x v="1"/>
    <x v="2"/>
    <n v="20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6T00:00:00"/>
    <s v="Tahu bakar"/>
    <s v="ATM"/>
    <x v="1"/>
    <x v="2"/>
    <n v="15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6T00:00:00"/>
    <s v="Rokok (3)"/>
    <s v="ATM"/>
    <x v="1"/>
    <x v="2"/>
    <n v="17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6T00:00:00"/>
    <s v="Stick keju"/>
    <s v="ATM"/>
    <x v="1"/>
    <x v="8"/>
    <n v="3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8T00:00:00"/>
    <s v="paket byu 7gb"/>
    <s v="ATM"/>
    <x v="1"/>
    <x v="0"/>
    <n v="38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9T00:00:00"/>
    <s v="Rokok (4)"/>
    <s v="ATM"/>
    <x v="1"/>
    <x v="2"/>
    <n v="16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9T00:00:00"/>
    <s v="Lebih nyatat"/>
    <s v="ATM"/>
    <x v="0"/>
    <x v="0"/>
    <n v="36001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1T00:00:00"/>
    <s v="Pertalite"/>
    <s v="ATM"/>
    <x v="1"/>
    <x v="3"/>
    <n v="30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9T00:00:00"/>
    <s v="yogurt"/>
    <s v="ATM"/>
    <x v="1"/>
    <x v="8"/>
    <n v="102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1T00:00:00"/>
    <s v="istriku"/>
    <s v="ATM"/>
    <x v="0"/>
    <x v="1"/>
    <n v="100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1T00:00:00"/>
    <s v="token listrik (65.30 kwh)"/>
    <s v="ATM"/>
    <x v="1"/>
    <x v="0"/>
    <n v="10074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1T00:00:00"/>
    <s v="istriku"/>
    <s v="ATM"/>
    <x v="1"/>
    <x v="1"/>
    <n v="15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0T00:00:00"/>
    <s v="Admin Bank BRI"/>
    <s v="ATM"/>
    <x v="1"/>
    <x v="0"/>
    <n v="6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9T00:00:00"/>
    <s v="Pinjam Adi"/>
    <s v="ATM"/>
    <x v="0"/>
    <x v="0"/>
    <n v="300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9T00:00:00"/>
    <s v="shopee paylater Z"/>
    <s v="ATM"/>
    <x v="1"/>
    <x v="0"/>
    <n v="45354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9T00:00:00"/>
    <s v="roti tawar, santan, ciki jagung"/>
    <s v="ATM"/>
    <x v="1"/>
    <x v="4"/>
    <n v="455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jilbab"/>
    <s v="ATM"/>
    <x v="1"/>
    <x v="9"/>
    <n v="887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rokok"/>
    <s v="ATM"/>
    <x v="1"/>
    <x v="2"/>
    <n v="16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token (32,7 kwh)"/>
    <s v="ATM"/>
    <x v="1"/>
    <x v="0"/>
    <n v="5175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istriku"/>
    <s v="ATM"/>
    <x v="0"/>
    <x v="1"/>
    <n v="99329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istriku"/>
    <s v="ATM"/>
    <x v="1"/>
    <x v="1"/>
    <n v="100000"/>
    <x v="0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8-01T00:00:00"/>
    <s v="om lika"/>
    <s v="ATM"/>
    <x v="0"/>
    <x v="0"/>
    <n v="106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1T00:00:00"/>
    <s v="tarik tunai"/>
    <s v="ATM"/>
    <x v="1"/>
    <x v="1"/>
    <n v="101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1T00:00:00"/>
    <s v="terima tunai"/>
    <s v="Cash"/>
    <x v="0"/>
    <x v="1"/>
    <n v="101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1T00:00:00"/>
    <s v="ayam dkriuk (6)"/>
    <s v="Cash"/>
    <x v="1"/>
    <x v="4"/>
    <n v="63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1T00:00:00"/>
    <s v="rokok"/>
    <s v="Cash"/>
    <x v="1"/>
    <x v="2"/>
    <n v="16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1T00:00:00"/>
    <s v="golda"/>
    <s v="Cash"/>
    <x v="1"/>
    <x v="2"/>
    <n v="1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1T00:00:00"/>
    <s v="dramamin"/>
    <s v="Cash"/>
    <x v="1"/>
    <x v="2"/>
    <n v="12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1T00:00:00"/>
    <s v="golda"/>
    <s v="ATM"/>
    <x v="1"/>
    <x v="2"/>
    <n v="1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tiktok"/>
    <s v="ATM"/>
    <x v="0"/>
    <x v="0"/>
    <n v="217506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kue kue"/>
    <s v="ATM"/>
    <x v="1"/>
    <x v="5"/>
    <n v="15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?"/>
    <s v="ATM"/>
    <x v="1"/>
    <x v="5"/>
    <n v="143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dbesto (2)"/>
    <s v="ATM"/>
    <x v="1"/>
    <x v="4"/>
    <n v="26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pertalite"/>
    <s v="ATM"/>
    <x v="1"/>
    <x v="3"/>
    <n v="2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roti gepeng"/>
    <s v="ATM"/>
    <x v="1"/>
    <x v="5"/>
    <n v="9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roti bakar (tiramisu+keju)"/>
    <s v="ATM"/>
    <x v="1"/>
    <x v="5"/>
    <n v="21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sate"/>
    <s v="ATM"/>
    <x v="1"/>
    <x v="4"/>
    <n v="15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teh botol + green tea"/>
    <s v="ATM"/>
    <x v="1"/>
    <x v="5"/>
    <n v="87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2T00:00:00"/>
    <s v="teh telor"/>
    <s v="ATM"/>
    <x v="1"/>
    <x v="2"/>
    <n v="11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3T00:00:00"/>
    <s v="Gaji (Juli 2026)"/>
    <s v="ATM"/>
    <x v="0"/>
    <x v="0"/>
    <n v="4383235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3T00:00:00"/>
    <s v="Iqbal Shopee (11)"/>
    <s v="ATM"/>
    <x v="1"/>
    <x v="0"/>
    <n v="624137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3T00:00:00"/>
    <s v="Bayr utang Adi"/>
    <s v="ATM"/>
    <x v="1"/>
    <x v="0"/>
    <n v="30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3T00:00:00"/>
    <s v="Kable Duct (Lunas)"/>
    <s v="ATM"/>
    <x v="1"/>
    <x v="0"/>
    <n v="17541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3T00:00:00"/>
    <s v="Service Mio (3)"/>
    <s v="ATM"/>
    <x v="1"/>
    <x v="0"/>
    <n v="92333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3T00:00:00"/>
    <s v="Oli mesin (Castrol) 4488 KM"/>
    <s v="ATM"/>
    <x v="1"/>
    <x v="3"/>
    <n v="6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3T00:00:00"/>
    <s v="Oli gear (Yamalube Kuning) 4488 KM"/>
    <s v="ATM"/>
    <x v="1"/>
    <x v="3"/>
    <n v="15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3T00:00:00"/>
    <s v="bakso bakar"/>
    <s v="ATM"/>
    <x v="1"/>
    <x v="5"/>
    <n v="1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3T00:00:00"/>
    <s v="nasgor simpang melati"/>
    <s v="ATM"/>
    <x v="1"/>
    <x v="4"/>
    <n v="12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4T00:00:00"/>
    <s v="dkriuk (3 paha atas 1 dada)"/>
    <s v="ATM"/>
    <x v="1"/>
    <x v="4"/>
    <n v="48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4T00:00:00"/>
    <s v="Pertalite"/>
    <s v="ATM"/>
    <x v="1"/>
    <x v="3"/>
    <n v="25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4T00:00:00"/>
    <s v="rokok"/>
    <s v="ATM"/>
    <x v="1"/>
    <x v="2"/>
    <n v="17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4T00:00:00"/>
    <s v="pdotong rambut"/>
    <s v="ATM"/>
    <x v="1"/>
    <x v="2"/>
    <n v="3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4T00:00:00"/>
    <s v="cuci motor"/>
    <s v="ATM"/>
    <x v="1"/>
    <x v="3"/>
    <n v="2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4T00:00:00"/>
    <s v="MyRepublic"/>
    <s v="ATM"/>
    <x v="1"/>
    <x v="0"/>
    <n v="2331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4T00:00:00"/>
    <s v="roti bakar"/>
    <s v="ATM"/>
    <x v="1"/>
    <x v="5"/>
    <n v="19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4T00:00:00"/>
    <s v="tahu bakar"/>
    <s v="ATM"/>
    <x v="1"/>
    <x v="5"/>
    <n v="15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5T00:00:00"/>
    <s v="istriku"/>
    <s v="ATM"/>
    <x v="1"/>
    <x v="1"/>
    <n v="1585102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5T00:00:00"/>
    <s v="athaya 3 (8)"/>
    <s v="ATM"/>
    <x v="1"/>
    <x v="0"/>
    <n v="1000328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5T00:00:00"/>
    <s v="iuran (8)"/>
    <s v="ATM"/>
    <x v="1"/>
    <x v="0"/>
    <n v="75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5T00:00:00"/>
    <s v="Token listrik H 7"/>
    <s v="ATM"/>
    <x v="1"/>
    <x v="0"/>
    <n v="10175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5T00:00:00"/>
    <s v="pisang barangan (3)"/>
    <s v="ATM"/>
    <x v="1"/>
    <x v="2"/>
    <n v="35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7T00:00:00"/>
    <s v="paket byu 7gb"/>
    <s v="ATM"/>
    <x v="1"/>
    <x v="0"/>
    <n v="38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7T00:00:00"/>
    <s v="nipis madu"/>
    <s v="ATM"/>
    <x v="1"/>
    <x v="5"/>
    <n v="1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tarik tunai"/>
    <s v="ATM"/>
    <x v="1"/>
    <x v="1"/>
    <n v="5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terima tunai"/>
    <s v="Cash"/>
    <x v="0"/>
    <x v="1"/>
    <n v="5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pertalite"/>
    <s v="Cash"/>
    <x v="1"/>
    <x v="3"/>
    <n v="2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kopi aren (saka)"/>
    <s v="Cash"/>
    <x v="1"/>
    <x v="5"/>
    <n v="24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air kelapa muda"/>
    <s v="Cash"/>
    <x v="1"/>
    <x v="5"/>
    <n v="1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sate"/>
    <s v="Cash"/>
    <x v="1"/>
    <x v="5"/>
    <n v="6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Bang Indra"/>
    <s v="Cash"/>
    <x v="0"/>
    <x v="0"/>
    <n v="2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Service Laptop : Ganti Batrai"/>
    <s v="ATM"/>
    <x v="0"/>
    <x v="0"/>
    <n v="10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Es Batu"/>
    <s v="Cash"/>
    <x v="1"/>
    <x v="5"/>
    <n v="1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9T00:00:00"/>
    <s v="Bang Indra"/>
    <s v="ATM"/>
    <x v="0"/>
    <x v="0"/>
    <n v="5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9T00:00:00"/>
    <s v="pertalite"/>
    <s v="ATM"/>
    <x v="1"/>
    <x v="3"/>
    <n v="2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9T00:00:00"/>
    <s v="ayam krispi unri"/>
    <s v="ATM"/>
    <x v="1"/>
    <x v="4"/>
    <n v="6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9T00:00:00"/>
    <s v="?"/>
    <s v="ATM"/>
    <x v="1"/>
    <x v="5"/>
    <n v="4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9T00:00:00"/>
    <s v="?"/>
    <s v="ATM"/>
    <x v="1"/>
    <x v="5"/>
    <n v="14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9T00:00:00"/>
    <s v="rokok"/>
    <s v="ATM"/>
    <x v="1"/>
    <x v="2"/>
    <n v="17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0T00:00:00"/>
    <s v="bakso bakar bang andi"/>
    <s v="ATM"/>
    <x v="1"/>
    <x v="5"/>
    <n v="2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0T00:00:00"/>
    <s v="bakso bakar bang andi"/>
    <s v="ATM"/>
    <x v="1"/>
    <x v="5"/>
    <n v="2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0T00:00:00"/>
    <s v="?"/>
    <s v="ATM"/>
    <x v="1"/>
    <x v="5"/>
    <n v="15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0T00:00:00"/>
    <s v="ayam dkriuk"/>
    <s v="ATM"/>
    <x v="1"/>
    <x v="2"/>
    <n v="11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istriku"/>
    <s v="ATM"/>
    <x v="1"/>
    <x v="1"/>
    <n v="1522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Admin ATM BRI"/>
    <s v="ATM"/>
    <x v="1"/>
    <x v="0"/>
    <n v="6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1T00:00:00"/>
    <s v="Adi"/>
    <s v="ATM"/>
    <x v="0"/>
    <x v="0"/>
    <n v="30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1T00:00:00"/>
    <s v="Rokok"/>
    <s v="ATM"/>
    <x v="1"/>
    <x v="2"/>
    <n v="17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1T00:00:00"/>
    <s v="Istriku"/>
    <s v="ATM"/>
    <x v="1"/>
    <x v="1"/>
    <n v="25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1T00:00:00"/>
    <s v="Istriku"/>
    <s v="ATM"/>
    <x v="0"/>
    <x v="1"/>
    <n v="2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2T00:00:00"/>
    <s v="Bakso bakar + sempol"/>
    <s v="ATM"/>
    <x v="1"/>
    <x v="5"/>
    <n v="20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3T00:00:00"/>
    <s v="?"/>
    <s v="ATM"/>
    <x v="1"/>
    <x v="5"/>
    <n v="9000"/>
    <x v="0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9-01T00:00:00"/>
    <s v="Gaji Agustus 2026"/>
    <s v="ATM"/>
    <x v="0"/>
    <x v="0"/>
    <n v="4348235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Rokok (1)"/>
    <s v="ATM"/>
    <x v="1"/>
    <x v="2"/>
    <n v="17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Kopi"/>
    <s v="ATM"/>
    <x v="1"/>
    <x v="2"/>
    <n v="10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Istriku"/>
    <s v="ATM"/>
    <x v="1"/>
    <x v="1"/>
    <n v="1212398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Adi"/>
    <s v="ATM"/>
    <x v="1"/>
    <x v="0"/>
    <n v="600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BPJS Mama"/>
    <s v="ATM"/>
    <x v="1"/>
    <x v="0"/>
    <n v="725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Spaylater (Z)"/>
    <s v="ATM"/>
    <x v="1"/>
    <x v="4"/>
    <n v="1747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Jemuran (2)"/>
    <s v="ATM"/>
    <x v="1"/>
    <x v="0"/>
    <n v="38206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Kaca Mata (2)"/>
    <s v="ATM"/>
    <x v="1"/>
    <x v="0"/>
    <n v="32853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Iqbal Shopee (Lunas)"/>
    <s v="ATM"/>
    <x v="1"/>
    <x v="0"/>
    <n v="624145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Service Mio (4)"/>
    <s v="ATM"/>
    <x v="1"/>
    <x v="0"/>
    <n v="92333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Token listrik (98 kWh)"/>
    <s v="ATM"/>
    <x v="1"/>
    <x v="0"/>
    <n v="15175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3T00:00:00"/>
    <s v="Istriku"/>
    <s v="ATM"/>
    <x v="0"/>
    <x v="1"/>
    <n v="100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3T00:00:00"/>
    <s v="Oli Mesin (Yamalube Kuning) 5284 KM"/>
    <s v="ATM"/>
    <x v="1"/>
    <x v="3"/>
    <n v="65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3T00:00:00"/>
    <s v="Bakso bakar"/>
    <s v="ATM"/>
    <x v="1"/>
    <x v="5"/>
    <n v="15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3T00:00:00"/>
    <s v="Ayam Dkriuk"/>
    <s v="ATM"/>
    <x v="1"/>
    <x v="4"/>
    <n v="24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4T00:00:00"/>
    <s v="Istriku"/>
    <s v="ATM"/>
    <x v="0"/>
    <x v="1"/>
    <n v="10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4T00:00:00"/>
    <s v="Rokok (2)"/>
    <s v="ATM"/>
    <x v="1"/>
    <x v="2"/>
    <n v="17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4T00:00:00"/>
    <s v="MyRepublic (6)"/>
    <s v="ATM"/>
    <x v="1"/>
    <x v="0"/>
    <n v="2331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4T00:00:00"/>
    <s v="Iuran Athaya (9)"/>
    <s v="ATM"/>
    <x v="1"/>
    <x v="0"/>
    <n v="75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05T00:00:00"/>
    <s v="Sewa Rumah (September 2026)"/>
    <s v="ATM"/>
    <x v="1"/>
    <x v="0"/>
    <n v="1000481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4T00:00:00"/>
    <s v="pinjam uang Adi"/>
    <s v="ATM"/>
    <x v="0"/>
    <x v="0"/>
    <n v="500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4T00:00:00"/>
    <s v="Istriku"/>
    <s v="ATM"/>
    <x v="1"/>
    <x v="1"/>
    <n v="502769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6T00:00:00"/>
    <s v="CGL"/>
    <s v="ATM"/>
    <x v="0"/>
    <x v="0"/>
    <n v="100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8T00:00:00"/>
    <s v="Rokok (3)"/>
    <s v="ATM"/>
    <x v="1"/>
    <x v="2"/>
    <n v="17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9T00:00:00"/>
    <s v="Ayam penyet"/>
    <s v="ATM"/>
    <x v="1"/>
    <x v="4"/>
    <n v="36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9T00:00:00"/>
    <s v="Teh Jumbo"/>
    <s v="ATM"/>
    <x v="1"/>
    <x v="5"/>
    <n v="10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9T00:00:00"/>
    <s v="CGL"/>
    <s v="ATM"/>
    <x v="0"/>
    <x v="0"/>
    <n v="150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9T00:00:00"/>
    <s v="Istriku"/>
    <s v="ATM"/>
    <x v="1"/>
    <x v="1"/>
    <n v="100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9T00:00:00"/>
    <s v="Sate"/>
    <s v="ATM"/>
    <x v="1"/>
    <x v="5"/>
    <n v="15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9T00:00:00"/>
    <s v="Rokok (4)"/>
    <s v="ATM"/>
    <x v="1"/>
    <x v="2"/>
    <n v="1700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9-19T00:00:00"/>
    <s v="Token Listrik (kWh 32,7)"/>
    <s v="ATM"/>
    <x v="1"/>
    <x v="0"/>
    <n v="51750"/>
    <x v="0"/>
    <x v="8"/>
    <e v="#VALUE!"/>
    <n v="7093111"/>
    <n v="2972118"/>
    <n v="0"/>
    <n v="55000"/>
    <e v="#VALUE!"/>
    <n v="820700"/>
    <n v="0"/>
    <n v="137000"/>
    <n v="0"/>
    <n v="46126"/>
    <n v="125000"/>
  </r>
  <r>
    <d v="2026-01-28T00:00:00"/>
    <s v="Saldo Awal"/>
    <s v="ATM"/>
    <x v="0"/>
    <x v="0"/>
    <n v="27737"/>
    <x v="1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Suamiku"/>
    <s v="ATM"/>
    <x v="0"/>
    <x v="0"/>
    <n v="150000"/>
    <x v="1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Byu 15k (6.5gb)"/>
    <s v="ATM"/>
    <x v="1"/>
    <x v="0"/>
    <n v="15000"/>
    <x v="1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Tarik tunai"/>
    <s v="ATM"/>
    <x v="2"/>
    <x v="1"/>
    <n v="50000"/>
    <x v="1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Terima tunai"/>
    <s v="Cash"/>
    <x v="2"/>
    <x v="1"/>
    <n v="50000"/>
    <x v="1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Minyakita"/>
    <s v="Cash"/>
    <x v="1"/>
    <x v="4"/>
    <n v="17000"/>
    <x v="1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Hit listrik"/>
    <s v="Cash"/>
    <x v="1"/>
    <x v="4"/>
    <n v="7000"/>
    <x v="1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Piscok"/>
    <s v="Cash"/>
    <x v="1"/>
    <x v="5"/>
    <n v="16000"/>
    <x v="1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Kapal api 60gr"/>
    <s v="Cash"/>
    <x v="1"/>
    <x v="5"/>
    <n v="10000"/>
    <x v="1"/>
    <x v="0"/>
    <e v="#VALUE!"/>
    <n v="475850"/>
    <n v="114450"/>
    <n v="0"/>
    <n v="36400"/>
    <e v="#VALUE!"/>
    <n v="87000"/>
    <n v="0"/>
    <n v="0"/>
    <n v="0"/>
    <n v="0"/>
    <n v="0"/>
  </r>
  <r>
    <d v="2026-01-29T00:00:00"/>
    <s v="Popok Alfa"/>
    <s v="ATM"/>
    <x v="1"/>
    <x v="8"/>
    <n v="36400"/>
    <x v="1"/>
    <x v="0"/>
    <e v="#VALUE!"/>
    <n v="475850"/>
    <n v="114450"/>
    <n v="0"/>
    <n v="36400"/>
    <e v="#VALUE!"/>
    <n v="87000"/>
    <n v="0"/>
    <n v="0"/>
    <n v="0"/>
    <n v="0"/>
    <n v="0"/>
  </r>
  <r>
    <d v="2026-01-30T00:00:00"/>
    <s v="Suamiku"/>
    <s v="ATM"/>
    <x v="0"/>
    <x v="0"/>
    <n v="50000"/>
    <x v="1"/>
    <x v="0"/>
    <e v="#VALUE!"/>
    <n v="475850"/>
    <n v="114450"/>
    <n v="0"/>
    <n v="36400"/>
    <e v="#VALUE!"/>
    <n v="87000"/>
    <n v="0"/>
    <n v="0"/>
    <n v="0"/>
    <n v="0"/>
    <n v="0"/>
  </r>
  <r>
    <d v="2026-01-30T00:00:00"/>
    <s v="Tarik tunai"/>
    <s v="ATM"/>
    <x v="2"/>
    <x v="1"/>
    <n v="100000"/>
    <x v="1"/>
    <x v="0"/>
    <e v="#VALUE!"/>
    <n v="475850"/>
    <n v="114450"/>
    <n v="0"/>
    <n v="36400"/>
    <e v="#VALUE!"/>
    <n v="87000"/>
    <n v="0"/>
    <n v="0"/>
    <n v="0"/>
    <n v="0"/>
    <n v="0"/>
  </r>
  <r>
    <d v="2026-01-30T00:00:00"/>
    <s v="Terima tunai"/>
    <s v="Cash"/>
    <x v="2"/>
    <x v="1"/>
    <n v="100000"/>
    <x v="1"/>
    <x v="0"/>
    <e v="#VALUE!"/>
    <n v="475850"/>
    <n v="114450"/>
    <n v="0"/>
    <n v="36400"/>
    <e v="#VALUE!"/>
    <n v="87000"/>
    <n v="0"/>
    <n v="0"/>
    <n v="0"/>
    <n v="0"/>
    <n v="0"/>
  </r>
  <r>
    <d v="2026-01-30T00:00:00"/>
    <s v="Pasar kaget+parkir"/>
    <s v="Cash"/>
    <x v="1"/>
    <x v="4"/>
    <n v="58000"/>
    <x v="1"/>
    <x v="0"/>
    <e v="#VALUE!"/>
    <n v="475850"/>
    <n v="114450"/>
    <n v="0"/>
    <n v="36400"/>
    <e v="#VALUE!"/>
    <n v="87000"/>
    <n v="0"/>
    <n v="0"/>
    <n v="0"/>
    <n v="0"/>
    <n v="0"/>
  </r>
  <r>
    <d v="2026-01-30T00:00:00"/>
    <s v="Sate"/>
    <s v="Cash"/>
    <x v="1"/>
    <x v="5"/>
    <n v="12000"/>
    <x v="1"/>
    <x v="0"/>
    <e v="#VALUE!"/>
    <n v="475850"/>
    <n v="114450"/>
    <n v="0"/>
    <n v="36400"/>
    <e v="#VALUE!"/>
    <n v="87000"/>
    <n v="0"/>
    <n v="0"/>
    <n v="0"/>
    <n v="0"/>
    <n v="0"/>
  </r>
  <r>
    <d v="2026-01-31T00:00:00"/>
    <s v="Galon"/>
    <s v="Cash"/>
    <x v="1"/>
    <x v="4"/>
    <n v="5000"/>
    <x v="1"/>
    <x v="0"/>
    <e v="#VALUE!"/>
    <n v="475850"/>
    <n v="114450"/>
    <n v="0"/>
    <n v="36400"/>
    <e v="#VALUE!"/>
    <n v="87000"/>
    <n v="0"/>
    <n v="0"/>
    <n v="0"/>
    <n v="0"/>
    <n v="0"/>
  </r>
  <r>
    <d v="2026-02-01T00:00:00"/>
    <s v="Tiktok"/>
    <s v="ATM"/>
    <x v="0"/>
    <x v="0"/>
    <n v="11566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1T00:00:00"/>
    <s v="Seabank/shopee (jajan Alfa )"/>
    <s v="ATM"/>
    <x v="1"/>
    <x v="8"/>
    <n v="12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Suamiku (gaji Jan 2026)"/>
    <s v="ATM"/>
    <x v="0"/>
    <x v="0"/>
    <n v="1774441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Tarik Tunai"/>
    <s v="ATM"/>
    <x v="2"/>
    <x v="1"/>
    <n v="2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Terima Tunai"/>
    <s v="Cash"/>
    <x v="2"/>
    <x v="1"/>
    <n v="2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1T00:00:00"/>
    <s v="Jajn Alfa"/>
    <s v="Cash"/>
    <x v="1"/>
    <x v="8"/>
    <n v="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1T00:00:00"/>
    <s v="Bensin Motor"/>
    <s v="Cash"/>
    <x v="1"/>
    <x v="3"/>
    <n v="2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Rokok"/>
    <s v="Cash"/>
    <x v="1"/>
    <x v="2"/>
    <n v="14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Air Kelapa"/>
    <s v="Cash"/>
    <x v="1"/>
    <x v="5"/>
    <n v="2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Seabank /Shopee(beras 10 kg)"/>
    <s v="ATM"/>
    <x v="1"/>
    <x v="4"/>
    <n v="2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kuota By.u1&amp;2"/>
    <s v="ATM"/>
    <x v="1"/>
    <x v="0"/>
    <n v="3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Sisa saldo seabank (Beli Beras ) TF BRI"/>
    <s v="ATM"/>
    <x v="0"/>
    <x v="1"/>
    <n v="90386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Pasar Kaget+parkir ( Dapur )"/>
    <s v="Cash"/>
    <x v="1"/>
    <x v="4"/>
    <n v="116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Popok + Tisu Basah"/>
    <s v="ATM"/>
    <x v="1"/>
    <x v="8"/>
    <n v="538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Seabank/shopee (detergen + ekonomi)"/>
    <s v="ATM"/>
    <x v="1"/>
    <x v="10"/>
    <n v="181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2T00:00:00"/>
    <s v="seabank/shopee (Sabunbotol+ spons + tisu)"/>
    <s v="ATM"/>
    <x v="1"/>
    <x v="4"/>
    <n v="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3T00:00:00"/>
    <s v="Seabank/shopee (Pembalut)"/>
    <s v="ATM"/>
    <x v="1"/>
    <x v="9"/>
    <n v="6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3T00:00:00"/>
    <s v="Seabank/shopee (Shampo + Odol gigi)"/>
    <s v="ATM"/>
    <x v="1"/>
    <x v="6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3T00:00:00"/>
    <s v="Dancow + Yogurt ( Klik Indomaret)"/>
    <s v="ATM"/>
    <x v="1"/>
    <x v="8"/>
    <n v="48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3T00:00:00"/>
    <s v="Bensin Motor"/>
    <s v="Cash"/>
    <x v="1"/>
    <x v="3"/>
    <n v="2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3T00:00:00"/>
    <s v="Santan &amp; kecapmanis"/>
    <s v="Cash"/>
    <x v="1"/>
    <x v="4"/>
    <n v="21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4T00:00:00"/>
    <s v="Jajan Alfa"/>
    <s v="Cash"/>
    <x v="1"/>
    <x v="8"/>
    <n v="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4T00:00:00"/>
    <s v="Tarik Tunai"/>
    <s v="ATM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4T00:00:00"/>
    <s v="Terima TuNai"/>
    <s v="Cash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4T00:00:00"/>
    <s v="Burger&amp;kebab"/>
    <s v="Cash"/>
    <x v="1"/>
    <x v="5"/>
    <n v="27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5T00:00:00"/>
    <s v="Suamiku"/>
    <s v="Cash"/>
    <x v="1"/>
    <x v="1"/>
    <n v="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4T00:00:00"/>
    <s v="Raiko (Dapur )"/>
    <s v="Cash"/>
    <x v="1"/>
    <x v="4"/>
    <n v="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6T00:00:00"/>
    <s v="Infak Jum'at"/>
    <s v="Cash"/>
    <x v="1"/>
    <x v="7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6T00:00:00"/>
    <s v="Alfa 2 x"/>
    <s v="Cash"/>
    <x v="1"/>
    <x v="8"/>
    <n v="7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6T00:00:00"/>
    <s v="Tarik Tunai"/>
    <s v="ATM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6T00:00:00"/>
    <s v="Terima Tunai"/>
    <s v="Cash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6T00:00:00"/>
    <s v="kerupuk 2 + Gabin tawar"/>
    <s v="Cash"/>
    <x v="1"/>
    <x v="5"/>
    <n v="18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7T00:00:00"/>
    <s v="Tepung 2 saous ( dapur )"/>
    <s v="Cash"/>
    <x v="1"/>
    <x v="4"/>
    <n v="22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7T00:00:00"/>
    <s v="saringan Teh ( Dapur )"/>
    <s v="Cash"/>
    <x v="1"/>
    <x v="4"/>
    <n v="6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7T00:00:00"/>
    <s v="Alfa"/>
    <s v="Cash"/>
    <x v="1"/>
    <x v="8"/>
    <n v="2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7T00:00:00"/>
    <s v="Molen"/>
    <s v="Cash"/>
    <x v="1"/>
    <x v="5"/>
    <n v="3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Dapur (minyak,jagung,tahu,daunsupcampur)"/>
    <s v="Cash"/>
    <x v="1"/>
    <x v="4"/>
    <n v="3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TarikTunai"/>
    <s v="ATM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terima tunai"/>
    <s v="Cash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sarapan lotek 2+batagor"/>
    <s v="Cash"/>
    <x v="1"/>
    <x v="5"/>
    <n v="2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Ayam pnyet 2"/>
    <s v="Cash"/>
    <x v="1"/>
    <x v="5"/>
    <n v="32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Tarik Tunai"/>
    <s v="ATM"/>
    <x v="2"/>
    <x v="1"/>
    <n v="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Terima Tunai"/>
    <s v="Cash"/>
    <x v="2"/>
    <x v="1"/>
    <n v="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Piscok"/>
    <s v="Cash"/>
    <x v="1"/>
    <x v="5"/>
    <n v="16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Rokok"/>
    <s v="Cash"/>
    <x v="1"/>
    <x v="2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9T00:00:00"/>
    <s v="Tarik Tunai"/>
    <s v="ATM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9T00:00:00"/>
    <s v="Terima Tunai"/>
    <s v="Cash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9T00:00:00"/>
    <s v="Pasar Kaget ( Dapur ) + Parkir"/>
    <s v="Cash"/>
    <x v="1"/>
    <x v="4"/>
    <n v="1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0T00:00:00"/>
    <s v="bensin"/>
    <s v="Cash"/>
    <x v="1"/>
    <x v="3"/>
    <n v="2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0T00:00:00"/>
    <s v="mie goreng"/>
    <s v="Cash"/>
    <x v="1"/>
    <x v="5"/>
    <n v="8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08T00:00:00"/>
    <s v="Paket By.u 3"/>
    <s v="ATM"/>
    <x v="1"/>
    <x v="0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0T00:00:00"/>
    <s v="seabank( susu )"/>
    <s v="ATM"/>
    <x v="1"/>
    <x v="8"/>
    <n v="36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0T00:00:00"/>
    <s v="seabank ( hit)"/>
    <s v="ATM"/>
    <x v="1"/>
    <x v="4"/>
    <n v="11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1T00:00:00"/>
    <s v="roti+minuman"/>
    <s v="Cash"/>
    <x v="1"/>
    <x v="5"/>
    <n v="22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1T00:00:00"/>
    <s v="Tarik tunai"/>
    <s v="ATM"/>
    <x v="2"/>
    <x v="1"/>
    <n v="1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1T00:00:00"/>
    <s v="Terima Tunai"/>
    <s v="Cash"/>
    <x v="2"/>
    <x v="1"/>
    <n v="1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2T00:00:00"/>
    <s v="paket by.u 4"/>
    <s v="ATM"/>
    <x v="1"/>
    <x v="0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2T00:00:00"/>
    <s v="Kasih Bunda"/>
    <s v="ATM"/>
    <x v="1"/>
    <x v="7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3T00:00:00"/>
    <s v="Pantyliner ( Seabank/Shopee)"/>
    <s v="ATM"/>
    <x v="1"/>
    <x v="9"/>
    <n v="11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3T00:00:00"/>
    <s v="Wadah Ice Cream ( Seabank/Shopee)"/>
    <s v="ATM"/>
    <x v="1"/>
    <x v="4"/>
    <n v="771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3T00:00:00"/>
    <s v="Ladaku"/>
    <s v="Cash"/>
    <x v="1"/>
    <x v="4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3T00:00:00"/>
    <s v="Jajan Alfa"/>
    <s v="Cash"/>
    <x v="1"/>
    <x v="8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3T00:00:00"/>
    <s v="Infak Jum'at"/>
    <s v="Cash"/>
    <x v="1"/>
    <x v="7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4T00:00:00"/>
    <s v="Trika( Alfagift )"/>
    <s v="ATM"/>
    <x v="1"/>
    <x v="10"/>
    <n v="11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4T00:00:00"/>
    <s v="Pantyliner ( Alfagift )"/>
    <s v="ATM"/>
    <x v="1"/>
    <x v="9"/>
    <n v="66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3T00:00:00"/>
    <s v="Pasar Kaget ( Dapur ) + Parkir"/>
    <s v="Cash"/>
    <x v="1"/>
    <x v="4"/>
    <n v="97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4T00:00:00"/>
    <s v="Bakso Alfa"/>
    <s v="Cash"/>
    <x v="1"/>
    <x v="8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4T00:00:00"/>
    <s v="Bensin Motor"/>
    <s v="Cash"/>
    <x v="1"/>
    <x v="3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5T00:00:00"/>
    <s v="Jajan Alfa"/>
    <s v="Cash"/>
    <x v="1"/>
    <x v="8"/>
    <n v="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5T00:00:00"/>
    <s v="Paket By.u 5"/>
    <s v="ATM"/>
    <x v="1"/>
    <x v="0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Suamiku (uang rakit komp aulia)"/>
    <s v="ATM"/>
    <x v="0"/>
    <x v="0"/>
    <n v="2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Tarik tunai"/>
    <s v="ATM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Terima TuNai"/>
    <s v="Cash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5T00:00:00"/>
    <s v="bakso Bakar + goreng Pisang"/>
    <s v="Cash"/>
    <x v="1"/>
    <x v="5"/>
    <n v="2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Galon"/>
    <s v="Cash"/>
    <x v="1"/>
    <x v="4"/>
    <n v="4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Mi 3 + Oreo+mancis"/>
    <s v="Cash"/>
    <x v="1"/>
    <x v="5"/>
    <n v="21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Bensin Motor Ke PKU"/>
    <s v="Cash"/>
    <x v="1"/>
    <x v="3"/>
    <n v="2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Sabun baju"/>
    <s v="Cash"/>
    <x v="1"/>
    <x v="10"/>
    <n v="12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Minyak Goreng"/>
    <s v="Cash"/>
    <x v="1"/>
    <x v="4"/>
    <n v="18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sabun Mandi"/>
    <s v="ATM"/>
    <x v="1"/>
    <x v="6"/>
    <n v="13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Spons + sunlight+lapdapur"/>
    <s v="ATM"/>
    <x v="1"/>
    <x v="4"/>
    <n v="25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Admin + Kartu"/>
    <s v="ATM"/>
    <x v="1"/>
    <x v="0"/>
    <n v="9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6T00:00:00"/>
    <s v="Nenek Prawang (Alfa)"/>
    <s v="Cash"/>
    <x v="0"/>
    <x v="0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Tunai (lebih dri duit 100)"/>
    <s v="Cash"/>
    <x v="0"/>
    <x v="0"/>
    <n v="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Indomie"/>
    <s v="ATM"/>
    <x v="1"/>
    <x v="5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Mancis"/>
    <s v="ATM"/>
    <x v="1"/>
    <x v="5"/>
    <n v="2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Oreo"/>
    <s v="ATM"/>
    <x v="1"/>
    <x v="5"/>
    <n v="9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Grosir"/>
    <s v="ATM"/>
    <x v="1"/>
    <x v="4"/>
    <n v="29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Bensin"/>
    <s v="Cash"/>
    <x v="1"/>
    <x v="3"/>
    <n v="2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Gula seperempat"/>
    <s v="Cash"/>
    <x v="1"/>
    <x v="4"/>
    <n v="5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Sempol"/>
    <s v="Cash"/>
    <x v="1"/>
    <x v="5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Sate +kerupuk"/>
    <s v="Cash"/>
    <x v="1"/>
    <x v="5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7T00:00:00"/>
    <s v="Suamiku"/>
    <s v="Cash"/>
    <x v="0"/>
    <x v="0"/>
    <n v="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8T00:00:00"/>
    <s v="Tarik Tunai"/>
    <s v="ATM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8T00:00:00"/>
    <s v="Terima Tunai"/>
    <s v="Cash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9T00:00:00"/>
    <s v="Sempol"/>
    <s v="Cash"/>
    <x v="1"/>
    <x v="5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9T00:00:00"/>
    <s v="indomie"/>
    <s v="Cash"/>
    <x v="1"/>
    <x v="5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9T00:00:00"/>
    <s v="byu.6"/>
    <s v="ATM"/>
    <x v="1"/>
    <x v="0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19T00:00:00"/>
    <s v="Suamiku"/>
    <s v="ATM"/>
    <x v="1"/>
    <x v="1"/>
    <n v="2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1T00:00:00"/>
    <s v="Suamiku"/>
    <s v="ATM"/>
    <x v="1"/>
    <x v="1"/>
    <n v="2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0T00:00:00"/>
    <s v="Tarik Tunai"/>
    <s v="ATM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0T00:00:00"/>
    <s v="Terima Tunai"/>
    <s v="Cash"/>
    <x v="2"/>
    <x v="1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0T00:00:00"/>
    <s v="Popok"/>
    <s v="Cash"/>
    <x v="1"/>
    <x v="8"/>
    <n v="42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0T00:00:00"/>
    <s v="Pasar kaget"/>
    <s v="Cash"/>
    <x v="1"/>
    <x v="4"/>
    <n v="10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0T00:00:00"/>
    <s v="Galon"/>
    <s v="Cash"/>
    <x v="1"/>
    <x v="4"/>
    <n v="4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2T00:00:00"/>
    <s v="Indomie"/>
    <s v="Cash"/>
    <x v="1"/>
    <x v="5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2T00:00:00"/>
    <s v="Roti bobo"/>
    <s v="Cash"/>
    <x v="1"/>
    <x v="8"/>
    <n v="2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2T00:00:00"/>
    <s v="Susu alfa"/>
    <s v="ATM"/>
    <x v="1"/>
    <x v="8"/>
    <n v="36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2T00:00:00"/>
    <s v="sabun cuci botol"/>
    <s v="ATM"/>
    <x v="1"/>
    <x v="4"/>
    <n v="235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4T00:00:00"/>
    <s v="Suamiku"/>
    <s v="ATM"/>
    <x v="0"/>
    <x v="0"/>
    <n v="39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4T00:00:00"/>
    <s v="piscok"/>
    <s v="Cash"/>
    <x v="1"/>
    <x v="5"/>
    <n v="16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4T00:00:00"/>
    <s v="Tarik tunai"/>
    <s v="ATM"/>
    <x v="1"/>
    <x v="1"/>
    <n v="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4T00:00:00"/>
    <s v="Terima Tunai"/>
    <s v="Cash"/>
    <x v="0"/>
    <x v="1"/>
    <n v="5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3T00:00:00"/>
    <s v="Paket by.u 7"/>
    <s v="ATM"/>
    <x v="1"/>
    <x v="0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5T00:00:00"/>
    <s v="Paket by.u baba"/>
    <s v="ATM"/>
    <x v="1"/>
    <x v="0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5T00:00:00"/>
    <s v="Sisa Saldo shopee"/>
    <s v="ATM"/>
    <x v="0"/>
    <x v="1"/>
    <n v="61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5T00:00:00"/>
    <s v="Paket by.u 8"/>
    <s v="ATM"/>
    <x v="1"/>
    <x v="0"/>
    <n v="15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6T00:00:00"/>
    <s v="Biar saldo pas, IN = (OUT+ATM+Cash)"/>
    <s v="*****"/>
    <x v="1"/>
    <x v="4"/>
    <n v="-6486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6T00:00:00"/>
    <s v="Suamiku"/>
    <s v="Cash"/>
    <x v="1"/>
    <x v="1"/>
    <n v="1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6T00:00:00"/>
    <s v="Galon"/>
    <s v="Cash"/>
    <x v="1"/>
    <x v="4"/>
    <n v="4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7T00:00:00"/>
    <s v="Pasar Kaget"/>
    <s v="Cash"/>
    <x v="1"/>
    <x v="4"/>
    <n v="40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2-28T00:00:00"/>
    <s v="Dikasi oom+nenek(Alfa)"/>
    <s v="Cash"/>
    <x v="0"/>
    <x v="0"/>
    <n v="29000"/>
    <x v="1"/>
    <x v="1"/>
    <e v="#VALUE!"/>
    <n v="6908733"/>
    <n v="2440568"/>
    <n v="34500"/>
    <n v="293800"/>
    <e v="#VALUE!"/>
    <n v="992724"/>
    <n v="41600"/>
    <n v="249000"/>
    <n v="129000"/>
    <n v="24100"/>
    <n v="121000"/>
  </r>
  <r>
    <d v="2026-03-02T00:00:00"/>
    <s v="saldo Tiktok"/>
    <s v="ATM"/>
    <x v="0"/>
    <x v="0"/>
    <n v="11576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Paket By.u baba"/>
    <s v="ATM"/>
    <x v="1"/>
    <x v="0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Gajian Suamiku ( Maret 2026)"/>
    <s v="ATM"/>
    <x v="0"/>
    <x v="0"/>
    <n v="20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Tarik Tunai"/>
    <s v="ATM"/>
    <x v="1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Terima Tunai"/>
    <s v="Cash"/>
    <x v="0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Pasar Kget"/>
    <s v="Cash"/>
    <x v="1"/>
    <x v="4"/>
    <n v="2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Paket by.u sehari"/>
    <s v="ATM"/>
    <x v="1"/>
    <x v="0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TF Seabank (shopee+Alfagift)"/>
    <s v="ATM"/>
    <x v="1"/>
    <x v="0"/>
    <n v="1126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TF BRI dri Seabank"/>
    <s v="ATM"/>
    <x v="0"/>
    <x v="1"/>
    <n v="126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Tisu Basah"/>
    <s v="Cash"/>
    <x v="1"/>
    <x v="8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Bensin Motor"/>
    <s v="Cash"/>
    <x v="1"/>
    <x v="3"/>
    <n v="2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TF BRI dri Seabank"/>
    <s v="ATM"/>
    <x v="0"/>
    <x v="1"/>
    <n v="16045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Tarek Tunai"/>
    <s v="ATM"/>
    <x v="1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Terima Tunai"/>
    <s v="Cash"/>
    <x v="0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2T00:00:00"/>
    <s v="Alfagift(Alfa&amp;zela)"/>
    <s v="ATM"/>
    <x v="1"/>
    <x v="8"/>
    <n v="117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Mie (Alfagift)"/>
    <s v="ATM"/>
    <x v="1"/>
    <x v="5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Paket by.u"/>
    <s v="ATM"/>
    <x v="1"/>
    <x v="0"/>
    <n v="1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Kerjaan Tambahan Baba"/>
    <s v="ATM"/>
    <x v="0"/>
    <x v="0"/>
    <n v="15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TF baba"/>
    <s v="ATM"/>
    <x v="1"/>
    <x v="1"/>
    <n v="5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Galon"/>
    <s v="Cash"/>
    <x v="1"/>
    <x v="4"/>
    <n v="4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3T00:00:00"/>
    <s v="Gas 2"/>
    <s v="Cash"/>
    <x v="1"/>
    <x v="4"/>
    <n v="36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4T00:00:00"/>
    <s v="Botol alfa+Soflen+lipstik(Tokopedia)"/>
    <s v="ATM"/>
    <x v="1"/>
    <x v="9"/>
    <n v="77384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4T00:00:00"/>
    <s v="VT alfa (Temo Eye Eye (Tokopedia)"/>
    <s v="ATM"/>
    <x v="1"/>
    <x v="8"/>
    <n v="41588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4T00:00:00"/>
    <s v="Tehbotol+roti + Yogurt Alfa (Teknisi Wifi)"/>
    <s v="ATM"/>
    <x v="1"/>
    <x v="5"/>
    <n v="268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4T00:00:00"/>
    <s v="Wifi MyRepublic (Maret 2026)"/>
    <s v="ATM"/>
    <x v="1"/>
    <x v="0"/>
    <n v="2331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5T00:00:00"/>
    <s v="Bensin"/>
    <s v="Cash"/>
    <x v="1"/>
    <x v="3"/>
    <n v="195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4T00:00:00"/>
    <s v="Piscok + Bakso"/>
    <s v="Cash"/>
    <x v="1"/>
    <x v="5"/>
    <n v="26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5T00:00:00"/>
    <s v="Bakso Pakde"/>
    <s v="Cash"/>
    <x v="1"/>
    <x v="5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7T00:00:00"/>
    <s v="Galon"/>
    <s v="Cash"/>
    <x v="1"/>
    <x v="4"/>
    <n v="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6T00:00:00"/>
    <s v="Bedak Zela ( Tokopedia)"/>
    <s v="ATM"/>
    <x v="1"/>
    <x v="9"/>
    <n v="47778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6T00:00:00"/>
    <s v="Parfum Alfa ( Tokopedia)"/>
    <s v="ATM"/>
    <x v="1"/>
    <x v="8"/>
    <n v="20777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Pindahan lemari"/>
    <s v="ATM"/>
    <x v="1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Tarik tunai"/>
    <s v="ATM"/>
    <x v="1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terima tunai"/>
    <s v="Cash"/>
    <x v="0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Roti bakat"/>
    <s v="Cash"/>
    <x v="1"/>
    <x v="5"/>
    <n v="17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cireng"/>
    <s v="Cash"/>
    <x v="1"/>
    <x v="5"/>
    <n v="13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8T00:00:00"/>
    <s v="lemon tea"/>
    <s v="Cash"/>
    <x v="1"/>
    <x v="5"/>
    <n v="6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9T00:00:00"/>
    <s v="Pasar Kaget + Parkir"/>
    <s v="Cash"/>
    <x v="1"/>
    <x v="4"/>
    <n v="61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9T00:00:00"/>
    <s v="Alfamart ( Tarik tunai dana )"/>
    <s v="ATM"/>
    <x v="1"/>
    <x v="1"/>
    <n v="5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9T00:00:00"/>
    <s v="Terima Tunai"/>
    <s v="Cash"/>
    <x v="0"/>
    <x v="1"/>
    <n v="5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09T00:00:00"/>
    <s v="Yogurt 3"/>
    <s v="Cash"/>
    <x v="1"/>
    <x v="5"/>
    <n v="66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0T00:00:00"/>
    <s v="Ketoprak + gorengab"/>
    <s v="Cash"/>
    <x v="1"/>
    <x v="5"/>
    <n v="2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1T00:00:00"/>
    <s v="Kasih Baba"/>
    <s v="Cash"/>
    <x v="1"/>
    <x v="3"/>
    <n v="2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1T00:00:00"/>
    <s v="pulsa Telkomsel"/>
    <s v="ATM"/>
    <x v="1"/>
    <x v="0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1T00:00:00"/>
    <s v="Galon"/>
    <s v="Cash"/>
    <x v="1"/>
    <x v="4"/>
    <n v="4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1T00:00:00"/>
    <s v="Tarik Tunai"/>
    <s v="ATM"/>
    <x v="1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1T00:00:00"/>
    <s v="Terima Tunai"/>
    <s v="Cash"/>
    <x v="0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1T00:00:00"/>
    <s v="Piscok"/>
    <s v="Cash"/>
    <x v="1"/>
    <x v="5"/>
    <n v="2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1T00:00:00"/>
    <s v="Headset ( tokopedia )"/>
    <s v="ATM"/>
    <x v="1"/>
    <x v="9"/>
    <n v="19999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2T00:00:00"/>
    <s v="Soda Api 2 Bngkus ( Shopee)"/>
    <s v="ATM"/>
    <x v="1"/>
    <x v="6"/>
    <n v="13473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2T00:00:00"/>
    <s v="TakJil"/>
    <s v="Cash"/>
    <x v="1"/>
    <x v="5"/>
    <n v="3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4T00:00:00"/>
    <s v="Batrai Tv 2 Pasang + Hit listrik"/>
    <s v="Cash"/>
    <x v="1"/>
    <x v="4"/>
    <n v="29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4T00:00:00"/>
    <s v="Uang lebih"/>
    <s v="Cash"/>
    <x v="0"/>
    <x v="0"/>
    <n v="71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3T00:00:00"/>
    <s v="Tarik Tunia"/>
    <s v="ATM"/>
    <x v="1"/>
    <x v="1"/>
    <n v="15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3T00:00:00"/>
    <s v="Terima Tunai"/>
    <s v="Cash"/>
    <x v="0"/>
    <x v="1"/>
    <n v="15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4T00:00:00"/>
    <s v="Zakat Fitrah"/>
    <s v="Cash"/>
    <x v="1"/>
    <x v="7"/>
    <n v="13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4T00:00:00"/>
    <s v="Teh telor +lemontea+rokok"/>
    <s v="Cash"/>
    <x v="1"/>
    <x v="5"/>
    <n v="31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5T00:00:00"/>
    <s v="by.u"/>
    <s v="ATM"/>
    <x v="1"/>
    <x v="0"/>
    <n v="1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5T00:00:00"/>
    <s v="Tarik Tunai"/>
    <s v="ATM"/>
    <x v="1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5T00:00:00"/>
    <s v="Terima Tunai"/>
    <s v="Cash"/>
    <x v="0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5T00:00:00"/>
    <s v="Bensin"/>
    <s v="Cash"/>
    <x v="1"/>
    <x v="3"/>
    <n v="3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5T00:00:00"/>
    <s v="Baju Anak Maya"/>
    <s v="Cash"/>
    <x v="1"/>
    <x v="9"/>
    <n v="7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5T00:00:00"/>
    <s v="Susu Kntal Manis"/>
    <s v="Cash"/>
    <x v="1"/>
    <x v="5"/>
    <n v="127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5T00:00:00"/>
    <s v="sate"/>
    <s v="Cash"/>
    <x v="1"/>
    <x v="5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Topup dana"/>
    <s v="ATM"/>
    <x v="1"/>
    <x v="0"/>
    <n v="3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Bensin Motor"/>
    <s v="Cash"/>
    <x v="1"/>
    <x v="3"/>
    <n v="2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Tarik tunai"/>
    <s v="ATM"/>
    <x v="1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Terima tunai"/>
    <s v="Cash"/>
    <x v="0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Pasar Kaget + Parkir"/>
    <s v="Cash"/>
    <x v="1"/>
    <x v="4"/>
    <n v="1638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Galon"/>
    <s v="Cash"/>
    <x v="1"/>
    <x v="4"/>
    <n v="3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THR baba"/>
    <s v="ATM"/>
    <x v="0"/>
    <x v="0"/>
    <n v="13007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6T00:00:00"/>
    <s v="Admin Kartu"/>
    <s v="ATM"/>
    <x v="1"/>
    <x v="0"/>
    <n v="6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Tarik Tunai"/>
    <s v="ATM"/>
    <x v="1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Terima Tunai"/>
    <s v="Cash"/>
    <x v="0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Parkir Pasar selasa+ Tambahan Beli Ayam"/>
    <s v="Cash"/>
    <x v="1"/>
    <x v="4"/>
    <n v="3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Bensin motor"/>
    <s v="Cash"/>
    <x v="1"/>
    <x v="3"/>
    <n v="12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Mainan Alfa"/>
    <s v="Cash"/>
    <x v="1"/>
    <x v="8"/>
    <n v="2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Dikasih Nenek"/>
    <s v="Cash"/>
    <x v="0"/>
    <x v="0"/>
    <n v="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Yogurt Alfa"/>
    <s v="Cash"/>
    <x v="1"/>
    <x v="5"/>
    <n v="87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Kopi 2 bungkus"/>
    <s v="Cash"/>
    <x v="1"/>
    <x v="5"/>
    <n v="14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Alfagift ( Detergen )"/>
    <s v="ATM"/>
    <x v="1"/>
    <x v="10"/>
    <n v="132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Pempes Alfa + Tisu basah"/>
    <s v="ATM"/>
    <x v="1"/>
    <x v="8"/>
    <n v="538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7T00:00:00"/>
    <s v="Celana Alfa"/>
    <s v="Cash"/>
    <x v="1"/>
    <x v="8"/>
    <n v="3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Aqua Dus"/>
    <s v="Cash"/>
    <x v="1"/>
    <x v="4"/>
    <n v="3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Seres + Plastik Gula"/>
    <s v="Cash"/>
    <x v="1"/>
    <x v="4"/>
    <n v="8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Toserba ( sapudll,lakban dll)"/>
    <s v="ATM"/>
    <x v="1"/>
    <x v="4"/>
    <n v="73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Tarik Tunai"/>
    <s v="ATM"/>
    <x v="1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Terima Tunai"/>
    <s v="Cash"/>
    <x v="0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teh es + jajan Alfa"/>
    <s v="Cash"/>
    <x v="1"/>
    <x v="5"/>
    <n v="2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BensiN Motor"/>
    <s v="Cash"/>
    <x v="1"/>
    <x v="3"/>
    <n v="3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Yogurt Alfa"/>
    <s v="Cash"/>
    <x v="1"/>
    <x v="5"/>
    <n v="93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Parkir giant"/>
    <s v="Cash"/>
    <x v="1"/>
    <x v="0"/>
    <n v="3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sayur Manis Pakcoy pasar Kaget"/>
    <s v="Cash"/>
    <x v="1"/>
    <x v="4"/>
    <n v="4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Kerupuk"/>
    <s v="Cash"/>
    <x v="1"/>
    <x v="4"/>
    <n v="42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Baju Alfa"/>
    <s v="ATM"/>
    <x v="1"/>
    <x v="8"/>
    <n v="10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8T00:00:00"/>
    <s v="Lupa Catat"/>
    <s v="Cash"/>
    <x v="1"/>
    <x v="5"/>
    <n v="7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9T00:00:00"/>
    <s v="Susu Kotak"/>
    <s v="ATM"/>
    <x v="1"/>
    <x v="8"/>
    <n v="167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9T00:00:00"/>
    <s v="Baju Koko Alfa"/>
    <s v="ATM"/>
    <x v="1"/>
    <x v="8"/>
    <n v="676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9T00:00:00"/>
    <s v="sandal alfa"/>
    <s v="ATM"/>
    <x v="1"/>
    <x v="8"/>
    <n v="27865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19T00:00:00"/>
    <s v="Kripik Peyek"/>
    <s v="Cash"/>
    <x v="1"/>
    <x v="4"/>
    <n v="12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Jajan Alfa Indomaret"/>
    <s v="Cash"/>
    <x v="1"/>
    <x v="5"/>
    <n v="182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Tarik Tunai"/>
    <s v="ATM"/>
    <x v="1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Terima Tunai"/>
    <s v="Cash"/>
    <x v="0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Grosir ( dapur )"/>
    <s v="Cash"/>
    <x v="1"/>
    <x v="4"/>
    <n v="88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Kash Baba ( duososes dll )"/>
    <s v="Cash"/>
    <x v="1"/>
    <x v="1"/>
    <n v="84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Pasar Kaget"/>
    <s v="Cash"/>
    <x v="1"/>
    <x v="4"/>
    <n v="388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0T00:00:00"/>
    <s v="susu Alfa + Yogurt"/>
    <s v="ATM"/>
    <x v="1"/>
    <x v="8"/>
    <n v="499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2T00:00:00"/>
    <s v="Detergn"/>
    <s v="ATM"/>
    <x v="1"/>
    <x v="10"/>
    <n v="278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3T00:00:00"/>
    <s v="THR alfa"/>
    <s v="Cash"/>
    <x v="0"/>
    <x v="8"/>
    <n v="171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3T00:00:00"/>
    <s v="Bensin"/>
    <s v="Cash"/>
    <x v="1"/>
    <x v="3"/>
    <n v="3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3T00:00:00"/>
    <s v="sepatu alfa tiktok"/>
    <s v="ATM"/>
    <x v="1"/>
    <x v="8"/>
    <n v="39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3T00:00:00"/>
    <s v="Pengembalian saldo tiktok"/>
    <s v="ATM"/>
    <x v="0"/>
    <x v="1"/>
    <n v="66865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3T00:00:00"/>
    <s v="Lampu"/>
    <s v="Cash"/>
    <x v="1"/>
    <x v="6"/>
    <n v="3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3T00:00:00"/>
    <s v="Sate"/>
    <s v="Cash"/>
    <x v="1"/>
    <x v="5"/>
    <n v="1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4T00:00:00"/>
    <s v="sepatu &amp; BH ( Shopee )"/>
    <s v="ATM"/>
    <x v="1"/>
    <x v="8"/>
    <n v="114312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5T00:00:00"/>
    <s v="Bakso mi ayam"/>
    <s v="Cash"/>
    <x v="1"/>
    <x v="5"/>
    <n v="43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5T00:00:00"/>
    <s v="Bensin"/>
    <s v="Cash"/>
    <x v="1"/>
    <x v="3"/>
    <n v="2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5T00:00:00"/>
    <s v="Tarik Tunai"/>
    <s v="ATM"/>
    <x v="1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5T00:00:00"/>
    <s v="Terima Tunai"/>
    <s v="Cash"/>
    <x v="0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5T00:00:00"/>
    <s v="Pempes Alf a"/>
    <s v="Cash"/>
    <x v="1"/>
    <x v="8"/>
    <n v="425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6T00:00:00"/>
    <s v="Bakso mi ayam"/>
    <s v="Cash"/>
    <x v="1"/>
    <x v="5"/>
    <n v="44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7T00:00:00"/>
    <s v="Dari Baba"/>
    <s v="ATM"/>
    <x v="0"/>
    <x v="0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7T00:00:00"/>
    <s v="Tarik Tunai"/>
    <s v="ATM"/>
    <x v="1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7T00:00:00"/>
    <s v="Terima Tunai"/>
    <s v="Cash"/>
    <x v="0"/>
    <x v="1"/>
    <n v="2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7T00:00:00"/>
    <s v="Pasar Kaget"/>
    <s v="Cash"/>
    <x v="1"/>
    <x v="4"/>
    <n v="88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7T00:00:00"/>
    <s v="eakrim alfa"/>
    <s v="Cash"/>
    <x v="1"/>
    <x v="5"/>
    <n v="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6T00:00:00"/>
    <s v="Katnbud + Obatnyamuk"/>
    <s v="Cash"/>
    <x v="1"/>
    <x v="4"/>
    <n v="16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Sabun+shampo"/>
    <s v="ATM"/>
    <x v="1"/>
    <x v="6"/>
    <n v="72015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Sepatu Alfa"/>
    <s v="ATM"/>
    <x v="1"/>
    <x v="8"/>
    <n v="32575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7T00:00:00"/>
    <s v="Pake by.u baba"/>
    <s v="ATM"/>
    <x v="1"/>
    <x v="0"/>
    <n v="1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Air Kelapa"/>
    <s v="Cash"/>
    <x v="1"/>
    <x v="5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Bensin motor"/>
    <s v="Cash"/>
    <x v="1"/>
    <x v="3"/>
    <n v="2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Bakso kuah &amp; Bakso Bakar"/>
    <s v="Cash"/>
    <x v="1"/>
    <x v="5"/>
    <n v="21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8T00:00:00"/>
    <s v="Sarapan Pagi"/>
    <s v="Cash"/>
    <x v="1"/>
    <x v="5"/>
    <n v="3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9T00:00:00"/>
    <s v="Pakettelkomsel 6 Gb 14 hari"/>
    <s v="ATM"/>
    <x v="1"/>
    <x v="0"/>
    <n v="2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9T00:00:00"/>
    <s v="Saldo Tiktok"/>
    <s v="ATM"/>
    <x v="0"/>
    <x v="0"/>
    <n v="12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9T00:00:00"/>
    <s v="Tarik Tunai"/>
    <s v="ATM"/>
    <x v="1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9T00:00:00"/>
    <s v="Terima Tunai"/>
    <s v="Cash"/>
    <x v="0"/>
    <x v="1"/>
    <n v="10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9T00:00:00"/>
    <s v="Susu Alfa"/>
    <s v="ATM"/>
    <x v="1"/>
    <x v="8"/>
    <n v="36645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9T00:00:00"/>
    <s v="Beras 2 Kg"/>
    <s v="Cash"/>
    <x v="1"/>
    <x v="4"/>
    <n v="32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9T00:00:00"/>
    <s v="sariroti + Yogurt"/>
    <s v="Cash"/>
    <x v="1"/>
    <x v="5"/>
    <n v="232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29T00:00:00"/>
    <s v="Pangkas Rambut"/>
    <s v="Cash"/>
    <x v="1"/>
    <x v="2"/>
    <n v="3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30T00:00:00"/>
    <s v="Teh telor "/>
    <s v="Cash"/>
    <x v="1"/>
    <x v="5"/>
    <n v="11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30T00:00:00"/>
    <s v="sate 2"/>
    <s v="Cash"/>
    <x v="1"/>
    <x v="5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31T00:00:00"/>
    <s v="Sunlight"/>
    <s v="Cash"/>
    <x v="1"/>
    <x v="4"/>
    <n v="10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31T00:00:00"/>
    <s v="Yogurt"/>
    <s v="Cash"/>
    <x v="1"/>
    <x v="5"/>
    <n v="9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31T00:00:00"/>
    <s v="diaksih Nenek ( Alfa ?) "/>
    <s v="Cash"/>
    <x v="0"/>
    <x v="8"/>
    <n v="5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31T00:00:00"/>
    <s v="Mie + roti + eskrim "/>
    <s v="Cash"/>
    <x v="1"/>
    <x v="5"/>
    <n v="230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3-31T00:00:00"/>
    <s v="Pempes Alfa "/>
    <s v="ATM"/>
    <x v="1"/>
    <x v="8"/>
    <n v="46700"/>
    <x v="1"/>
    <x v="2"/>
    <e v="#VALUE!"/>
    <n v="12026623"/>
    <n v="2865413"/>
    <n v="120488"/>
    <n v="890962"/>
    <e v="#VALUE!"/>
    <n v="1152600"/>
    <n v="41000"/>
    <n v="895700"/>
    <n v="130000"/>
    <n v="215161"/>
    <n v="215000"/>
  </r>
  <r>
    <d v="2026-04-02T00:00:00"/>
    <s v="Suamiku"/>
    <s v="ATM"/>
    <x v="0"/>
    <x v="0"/>
    <n v="1720088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2T00:00:00"/>
    <s v="Galon "/>
    <s v="Cash"/>
    <x v="1"/>
    <x v="4"/>
    <n v="33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Tisu kering"/>
    <s v="ATM"/>
    <x v="1"/>
    <x v="4"/>
    <n v="34868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Tisu Basah"/>
    <s v="ATM"/>
    <x v="1"/>
    <x v="8"/>
    <n v="16352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Tarik Tunai "/>
    <s v="ATM"/>
    <x v="1"/>
    <x v="1"/>
    <n v="4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Terima Tunai "/>
    <s v="Cash"/>
    <x v="0"/>
    <x v="1"/>
    <n v="4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Rexona "/>
    <s v="Cash"/>
    <x v="1"/>
    <x v="9"/>
    <n v="14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Nasi Ramas 3"/>
    <s v="Cash"/>
    <x v="1"/>
    <x v="4"/>
    <n v="34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Minyak + Beras 5 Kg"/>
    <s v="Cash"/>
    <x v="1"/>
    <x v="4"/>
    <n v="115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3T00:00:00"/>
    <s v="Pasar Kaget + Paekir "/>
    <s v="Cash"/>
    <x v="1"/>
    <x v="4"/>
    <n v="177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mie telor + susu"/>
    <s v="Cash"/>
    <x v="1"/>
    <x v="5"/>
    <n v="18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pempes "/>
    <s v="ATM"/>
    <x v="1"/>
    <x v="8"/>
    <n v="429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Pembalut "/>
    <s v="ATM"/>
    <x v="1"/>
    <x v="9"/>
    <n v="383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Mainan Alfa "/>
    <s v="ATM"/>
    <x v="1"/>
    <x v="8"/>
    <n v="32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Gomok"/>
    <s v="Cash"/>
    <x v="1"/>
    <x v="3"/>
    <n v="15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Molen "/>
    <s v="Cash"/>
    <x v="1"/>
    <x v="5"/>
    <n v="12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Tarik tunai "/>
    <s v="ATM"/>
    <x v="1"/>
    <x v="1"/>
    <n v="1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Terima Tunai "/>
    <s v="Cash"/>
    <x v="0"/>
    <x v="1"/>
    <n v="1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Bensin motor "/>
    <s v="Cash"/>
    <x v="1"/>
    <x v="3"/>
    <n v="3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Martabak "/>
    <s v="Cash"/>
    <x v="1"/>
    <x v="5"/>
    <n v="2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shampo "/>
    <s v="ATM"/>
    <x v="1"/>
    <x v="6"/>
    <n v="199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tisu "/>
    <s v="ATM"/>
    <x v="1"/>
    <x v="4"/>
    <n v="125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royal"/>
    <s v="ATM"/>
    <x v="1"/>
    <x v="10"/>
    <n v="135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4T00:00:00"/>
    <s v="mentos "/>
    <s v="ATM"/>
    <x v="1"/>
    <x v="5"/>
    <n v="48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6T00:00:00"/>
    <s v="Galon"/>
    <s v="Cash"/>
    <x v="1"/>
    <x v="4"/>
    <n v="5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7T00:00:00"/>
    <s v="jajan alfa"/>
    <s v="Cash"/>
    <x v="1"/>
    <x v="5"/>
    <n v="5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8T00:00:00"/>
    <s v="Bensin motor "/>
    <s v="Cash"/>
    <x v="1"/>
    <x v="3"/>
    <n v="3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9T00:00:00"/>
    <s v="Molen "/>
    <s v="Cash"/>
    <x v="1"/>
    <x v="5"/>
    <n v="1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9T00:00:00"/>
    <s v="sate "/>
    <s v="Cash"/>
    <x v="1"/>
    <x v="5"/>
    <n v="1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06T00:00:00"/>
    <s v="Lupa catat"/>
    <s v="Cash"/>
    <x v="1"/>
    <x v="5"/>
    <n v="5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0T00:00:00"/>
    <s v="susu Alfa "/>
    <s v="ATM"/>
    <x v="1"/>
    <x v="8"/>
    <n v="55867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0T00:00:00"/>
    <s v="loundry "/>
    <s v="ATM"/>
    <x v="1"/>
    <x v="10"/>
    <n v="19996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0T00:00:00"/>
    <s v="Tarik Tunai "/>
    <s v="ATM"/>
    <x v="1"/>
    <x v="1"/>
    <n v="2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0T00:00:00"/>
    <s v="Terima Tunai "/>
    <s v="Cash"/>
    <x v="0"/>
    <x v="1"/>
    <n v="2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0T00:00:00"/>
    <s v="Pasar Kaget "/>
    <s v="Cash"/>
    <x v="1"/>
    <x v="4"/>
    <n v="178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2T00:00:00"/>
    <s v="Bensin Motor "/>
    <s v="Cash"/>
    <x v="1"/>
    <x v="3"/>
    <n v="22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2T00:00:00"/>
    <s v="Tarik Tunai "/>
    <s v="ATM"/>
    <x v="1"/>
    <x v="1"/>
    <n v="1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2T00:00:00"/>
    <s v="Terima Tunai "/>
    <s v="Cash"/>
    <x v="0"/>
    <x v="1"/>
    <n v="1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2T00:00:00"/>
    <s v="Galon "/>
    <s v="Cash"/>
    <x v="1"/>
    <x v="4"/>
    <n v="4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2T00:00:00"/>
    <s v="jajan"/>
    <s v="Cash"/>
    <x v="1"/>
    <x v="5"/>
    <n v="18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2T00:00:00"/>
    <s v="Ayam geprek 3 "/>
    <s v="Cash"/>
    <x v="1"/>
    <x v="4"/>
    <n v="27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3T00:00:00"/>
    <s v="pasar Kaget "/>
    <s v="Cash"/>
    <x v="1"/>
    <x v="4"/>
    <n v="51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3T00:00:00"/>
    <s v="bedak Alfa "/>
    <s v="ATM"/>
    <x v="1"/>
    <x v="8"/>
    <n v="152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5T00:00:00"/>
    <s v="botol susu + spons Mandi "/>
    <s v="ATM"/>
    <x v="1"/>
    <x v="8"/>
    <n v="3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6T00:00:00"/>
    <s v="Bensin pertalite"/>
    <s v="Cash"/>
    <x v="1"/>
    <x v="3"/>
    <n v="2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6T00:00:00"/>
    <s v="Kopi 2 bungkus"/>
    <s v="Cash"/>
    <x v="1"/>
    <x v="5"/>
    <n v="2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5T00:00:00"/>
    <s v="Tarik Tunai "/>
    <s v="ATM"/>
    <x v="1"/>
    <x v="1"/>
    <n v="1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5T00:00:00"/>
    <s v="Terima Tunai "/>
    <s v="Cash"/>
    <x v="0"/>
    <x v="1"/>
    <n v="1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5T00:00:00"/>
    <s v="Susu+pentol+bolaayam+rotikeju(Alfamart)"/>
    <s v="Cash"/>
    <x v="1"/>
    <x v="5"/>
    <n v="49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6T00:00:00"/>
    <s v="Admin Fee Kartu"/>
    <s v="ATM"/>
    <x v="1"/>
    <x v="0"/>
    <n v="6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7T00:00:00"/>
    <s v="Admin Dana "/>
    <s v="ATM"/>
    <x v="1"/>
    <x v="0"/>
    <n v="5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7T00:00:00"/>
    <s v="Alfagift ( Royal )"/>
    <s v="ATM"/>
    <x v="1"/>
    <x v="10"/>
    <n v="139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7T00:00:00"/>
    <s v="Alfagift ( Mie )"/>
    <s v="ATM"/>
    <x v="1"/>
    <x v="4"/>
    <n v="8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7T00:00:00"/>
    <s v="Tarik Tunai  ( dana ) "/>
    <s v="ATM"/>
    <x v="1"/>
    <x v="1"/>
    <n v="15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7T00:00:00"/>
    <s v="Terima Tunai ( dana ) "/>
    <s v="Cash"/>
    <x v="0"/>
    <x v="1"/>
    <n v="15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7T00:00:00"/>
    <s v="Pasar Kget "/>
    <s v="Cash"/>
    <x v="1"/>
    <x v="4"/>
    <n v="15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8T00:00:00"/>
    <s v="Galon "/>
    <s v="Cash"/>
    <x v="1"/>
    <x v="4"/>
    <n v="4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7T00:00:00"/>
    <s v="Dana + admin "/>
    <s v="ATM"/>
    <x v="1"/>
    <x v="1"/>
    <n v="5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9T00:00:00"/>
    <s v="Lebih saldo dana "/>
    <s v="ATM"/>
    <x v="0"/>
    <x v="1"/>
    <n v="175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9T00:00:00"/>
    <s v="Bakso + mie ayam "/>
    <s v="ATM"/>
    <x v="1"/>
    <x v="5"/>
    <n v="5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0T00:00:00"/>
    <s v="( Alfagift ) pempes+susu +mie"/>
    <s v="ATM"/>
    <x v="1"/>
    <x v="8"/>
    <n v="904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0T00:00:00"/>
    <s v="Tarik Tunai "/>
    <s v="ATM"/>
    <x v="1"/>
    <x v="1"/>
    <n v="1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0T00:00:00"/>
    <s v="Terima tunai "/>
    <s v="Cash"/>
    <x v="0"/>
    <x v="1"/>
    <n v="1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0T00:00:00"/>
    <s v="Roti gembong + piscok ( Ulng tahun aina )"/>
    <s v="Cash"/>
    <x v="1"/>
    <x v="5"/>
    <n v="46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1T00:00:00"/>
    <s v="Beras 1,5 kg "/>
    <s v="Cash"/>
    <x v="1"/>
    <x v="4"/>
    <n v="26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1T00:00:00"/>
    <s v="Plastik gula"/>
    <s v="Cash"/>
    <x v="1"/>
    <x v="4"/>
    <n v="5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1T00:00:00"/>
    <s v="Bensin Motor "/>
    <s v="Cash"/>
    <x v="1"/>
    <x v="3"/>
    <n v="2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2T00:00:00"/>
    <s v="jajan alfa"/>
    <s v="Cash"/>
    <x v="1"/>
    <x v="5"/>
    <n v="3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18T00:00:00"/>
    <s v="molen "/>
    <s v="Cash"/>
    <x v="1"/>
    <x v="5"/>
    <n v="7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2T00:00:00"/>
    <s v="Saldo Tiktok"/>
    <s v="ATM"/>
    <x v="0"/>
    <x v="0"/>
    <n v="181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2T00:00:00"/>
    <s v="Tarik tunai"/>
    <s v="ATM"/>
    <x v="1"/>
    <x v="1"/>
    <n v="2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2T00:00:00"/>
    <s v="Terima Tunai "/>
    <s v="Cash"/>
    <x v="0"/>
    <x v="1"/>
    <n v="2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2T00:00:00"/>
    <s v="Jus+tehtelor+popice"/>
    <s v="Cash"/>
    <x v="1"/>
    <x v="5"/>
    <n v="26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2T00:00:00"/>
    <s v="Antigores hp baba"/>
    <s v="Cash"/>
    <x v="1"/>
    <x v="2"/>
    <n v="7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3T00:00:00"/>
    <s v="bakso ante 4 bungkus"/>
    <s v="Cash"/>
    <x v="1"/>
    <x v="5"/>
    <n v="2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3T00:00:00"/>
    <s v="bensin motor"/>
    <s v="Cash"/>
    <x v="1"/>
    <x v="3"/>
    <n v="24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kartu ATM + parkir"/>
    <s v="Cash"/>
    <x v="1"/>
    <x v="9"/>
    <n v="26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surat kesehatan madani "/>
    <s v="Cash"/>
    <x v="1"/>
    <x v="2"/>
    <n v="57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eskrim"/>
    <s v="Cash"/>
    <x v="1"/>
    <x v="5"/>
    <n v="157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galon"/>
    <s v="Cash"/>
    <x v="1"/>
    <x v="4"/>
    <n v="5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alfa "/>
    <s v="Cash"/>
    <x v="1"/>
    <x v="5"/>
    <n v="4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dari baba"/>
    <s v="ATM"/>
    <x v="0"/>
    <x v="0"/>
    <n v="2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tarik tunai"/>
    <s v="ATM"/>
    <x v="1"/>
    <x v="1"/>
    <n v="2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terima tunai"/>
    <s v="Cash"/>
    <x v="0"/>
    <x v="1"/>
    <n v="20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4T00:00:00"/>
    <s v="pasar kaget+parkir"/>
    <s v="Cash"/>
    <x v="1"/>
    <x v="4"/>
    <n v="1153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5T00:00:00"/>
    <s v="ayam pop "/>
    <s v="Cash"/>
    <x v="1"/>
    <x v="5"/>
    <n v="11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7T00:00:00"/>
    <s v="mie "/>
    <s v="Cash"/>
    <x v="1"/>
    <x v="4"/>
    <n v="1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7T00:00:00"/>
    <s v="jajan alfa "/>
    <s v="Cash"/>
    <x v="1"/>
    <x v="5"/>
    <n v="9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7T00:00:00"/>
    <s v="Detergen "/>
    <s v="Cash"/>
    <x v="1"/>
    <x v="10"/>
    <n v="11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6T00:00:00"/>
    <s v="jajan Alfa "/>
    <s v="Cash"/>
    <x v="1"/>
    <x v="5"/>
    <n v="3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6T00:00:00"/>
    <s v="sempol+bola Ayam "/>
    <s v="Cash"/>
    <x v="1"/>
    <x v="5"/>
    <n v="2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6T00:00:00"/>
    <s v="Holder HP "/>
    <s v="ATM"/>
    <x v="1"/>
    <x v="9"/>
    <n v="122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8T00:00:00"/>
    <s v="biaya SMS  Notifikasi "/>
    <s v="ATM"/>
    <x v="1"/>
    <x v="0"/>
    <n v="75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30T00:00:00"/>
    <s v="Bensin Pertalite"/>
    <s v="Cash"/>
    <x v="1"/>
    <x v="3"/>
    <n v="20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4-29T00:00:00"/>
    <s v="pasar Kaget "/>
    <s v="Cash"/>
    <x v="1"/>
    <x v="5"/>
    <n v="16000"/>
    <x v="1"/>
    <x v="3"/>
    <e v="#VALUE!"/>
    <n v="8253441"/>
    <n v="2554300"/>
    <n v="19900"/>
    <n v="282719"/>
    <e v="#VALUE!"/>
    <n v="964968"/>
    <n v="58396"/>
    <n v="181000"/>
    <n v="0"/>
    <n v="90500"/>
    <n v="74070"/>
  </r>
  <r>
    <d v="2026-05-05T00:00:00"/>
    <s v="saldo Tiktok"/>
    <s v="ATM"/>
    <x v="0"/>
    <x v="0"/>
    <n v="47874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6T00:00:00"/>
    <s v="shopee ( bakso+nuget+saos)"/>
    <s v="ATM"/>
    <x v="1"/>
    <x v="4"/>
    <n v="485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suamiku"/>
    <s v="ATM"/>
    <x v="0"/>
    <x v="0"/>
    <n v="14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suamiku"/>
    <s v="Cash"/>
    <x v="0"/>
    <x v="0"/>
    <n v="25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Paket Telkomsel 28 Hari 7g"/>
    <s v="ATM"/>
    <x v="1"/>
    <x v="0"/>
    <n v="3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Taeik Tunai "/>
    <s v="ATM"/>
    <x v="1"/>
    <x v="1"/>
    <n v="2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Terima Tunai "/>
    <s v="Cash"/>
    <x v="0"/>
    <x v="1"/>
    <n v="2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Pasar Kaget "/>
    <s v="Cash"/>
    <x v="1"/>
    <x v="4"/>
    <n v="121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Afamart ( Tisu basah + Kering )"/>
    <s v="ATM"/>
    <x v="1"/>
    <x v="8"/>
    <n v="344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Alfamart ( susu )"/>
    <s v="ATM"/>
    <x v="1"/>
    <x v="8"/>
    <n v="399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Alfamart ( Royal )"/>
    <s v="ATM"/>
    <x v="1"/>
    <x v="10"/>
    <n v="139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8T00:00:00"/>
    <s v="indomaret ( pempes )"/>
    <s v="ATM"/>
    <x v="1"/>
    <x v="8"/>
    <n v="359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9T00:00:00"/>
    <s v="Minyak goreng"/>
    <s v="Cash"/>
    <x v="1"/>
    <x v="4"/>
    <n v="21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9T00:00:00"/>
    <s v="mol3n+roti"/>
    <s v="Cash"/>
    <x v="1"/>
    <x v="5"/>
    <n v="14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9T00:00:00"/>
    <s v="salap tangan"/>
    <s v="Cash"/>
    <x v="1"/>
    <x v="9"/>
    <n v="6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09T00:00:00"/>
    <s v="bakso bakar+es jeruk"/>
    <s v="Cash"/>
    <x v="1"/>
    <x v="5"/>
    <n v="33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Tarik tunai "/>
    <s v="ATM"/>
    <x v="1"/>
    <x v="1"/>
    <n v="1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Terima Tunai "/>
    <s v="Cash"/>
    <x v="0"/>
    <x v="1"/>
    <n v="1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Bensin Motor "/>
    <s v="Cash"/>
    <x v="1"/>
    <x v="3"/>
    <n v="265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yogurt"/>
    <s v="Cash"/>
    <x v="1"/>
    <x v="5"/>
    <n v="65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Obat nyamuk Hits"/>
    <s v="Cash"/>
    <x v="1"/>
    <x v="4"/>
    <n v="121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teh telor "/>
    <s v="Cash"/>
    <x v="1"/>
    <x v="5"/>
    <n v="13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Piscok"/>
    <s v="Cash"/>
    <x v="1"/>
    <x v="5"/>
    <n v="2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rokok"/>
    <s v="Cash"/>
    <x v="1"/>
    <x v="2"/>
    <n v="1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0T00:00:00"/>
    <s v="Suamiku"/>
    <s v="ATM"/>
    <x v="0"/>
    <x v="0"/>
    <n v="1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1T00:00:00"/>
    <s v="Tas+jam tuk sample"/>
    <s v="ATM"/>
    <x v="1"/>
    <x v="9"/>
    <n v="41011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1T00:00:00"/>
    <s v="Sabun Noda "/>
    <s v="ATM"/>
    <x v="1"/>
    <x v="10"/>
    <n v="18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1T00:00:00"/>
    <s v="yogurt "/>
    <s v="Cash"/>
    <x v="1"/>
    <x v="5"/>
    <n v="78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1T00:00:00"/>
    <s v="Tarik Tunai "/>
    <s v="ATM"/>
    <x v="1"/>
    <x v="1"/>
    <n v="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1T00:00:00"/>
    <s v="Terima Tunai "/>
    <s v="Cash"/>
    <x v="0"/>
    <x v="1"/>
    <n v="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1T00:00:00"/>
    <s v="pasar kAget "/>
    <s v="Cash"/>
    <x v="1"/>
    <x v="4"/>
    <n v="3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1T00:00:00"/>
    <s v="Lupa catat"/>
    <s v="Cash"/>
    <x v="1"/>
    <x v="5"/>
    <n v="66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2T00:00:00"/>
    <s v="kerupuk"/>
    <s v="Cash"/>
    <x v="1"/>
    <x v="5"/>
    <n v="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2T00:00:00"/>
    <s v="sabun cuci piring + mie + yogurt( Alfamart )"/>
    <s v="ATM"/>
    <x v="1"/>
    <x v="4"/>
    <n v="344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3T00:00:00"/>
    <s v="Roti Panggang ( tiktok ) "/>
    <s v="ATM"/>
    <x v="1"/>
    <x v="5"/>
    <n v="33196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4T00:00:00"/>
    <s v="Tarik Tunai "/>
    <s v="ATM"/>
    <x v="1"/>
    <x v="1"/>
    <n v="2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4T00:00:00"/>
    <s v="Terima Tunai "/>
    <s v="Cash"/>
    <x v="0"/>
    <x v="1"/>
    <n v="2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3T00:00:00"/>
    <s v="suamiku"/>
    <s v="Cash"/>
    <x v="1"/>
    <x v="5"/>
    <n v="1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4T00:00:00"/>
    <s v="Bensin "/>
    <s v="Cash"/>
    <x v="1"/>
    <x v="3"/>
    <n v="2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4T00:00:00"/>
    <s v="molen + gorengan"/>
    <s v="Cash"/>
    <x v="1"/>
    <x v="5"/>
    <n v="2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4T00:00:00"/>
    <s v="Ayam Gprek  2"/>
    <s v="Cash"/>
    <x v="1"/>
    <x v="4"/>
    <n v="18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4T00:00:00"/>
    <s v="rokok"/>
    <s v="Cash"/>
    <x v="1"/>
    <x v="2"/>
    <n v="16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4T00:00:00"/>
    <s v="galon"/>
    <s v="Cash"/>
    <x v="1"/>
    <x v="4"/>
    <n v="4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5T00:00:00"/>
    <s v="jajan kue"/>
    <s v="Cash"/>
    <x v="1"/>
    <x v="5"/>
    <n v="12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5T00:00:00"/>
    <s v="kopi"/>
    <s v="Cash"/>
    <x v="1"/>
    <x v="2"/>
    <n v="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6T00:00:00"/>
    <s v="Lupa Catat"/>
    <s v="ATM"/>
    <x v="1"/>
    <x v="5"/>
    <n v="3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6T00:00:00"/>
    <s v="mi goreng ( Afagift )"/>
    <s v="ATM"/>
    <x v="1"/>
    <x v="4"/>
    <n v="112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6T00:00:00"/>
    <s v="tarik tunai"/>
    <s v="ATM"/>
    <x v="1"/>
    <x v="1"/>
    <n v="1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6T00:00:00"/>
    <s v="terima tunai"/>
    <s v="Cash"/>
    <x v="0"/>
    <x v="1"/>
    <n v="1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6T00:00:00"/>
    <s v="rokok"/>
    <s v="Cash"/>
    <x v="1"/>
    <x v="2"/>
    <n v="16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7T00:00:00"/>
    <s v="dinamo kipas"/>
    <s v="ATM"/>
    <x v="1"/>
    <x v="0"/>
    <n v="7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7T00:00:00"/>
    <s v="j chikhen (ayam 3 nasi 2 eskrim 1)"/>
    <s v="ATM"/>
    <x v="1"/>
    <x v="5"/>
    <n v="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6T00:00:00"/>
    <s v="Ayam Gprek  1  + Tahu"/>
    <s v="Cash"/>
    <x v="1"/>
    <x v="4"/>
    <n v="1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5T00:00:00"/>
    <s v="pasar Kaget "/>
    <s v="Cash"/>
    <x v="1"/>
    <x v="4"/>
    <n v="96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5T00:00:00"/>
    <s v="sate "/>
    <s v="Cash"/>
    <x v="1"/>
    <x v="5"/>
    <n v="9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7T00:00:00"/>
    <s v="Bensin Motor "/>
    <s v="Cash"/>
    <x v="1"/>
    <x v="3"/>
    <n v="2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7T00:00:00"/>
    <s v="Mainan+buku+krayon"/>
    <s v="ATM"/>
    <x v="1"/>
    <x v="8"/>
    <n v="57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6T00:00:00"/>
    <s v="admin fee  Kartu "/>
    <s v="ATM"/>
    <x v="1"/>
    <x v="0"/>
    <n v="65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8T00:00:00"/>
    <s v="Shopee (Z)"/>
    <s v="ATM"/>
    <x v="0"/>
    <x v="0"/>
    <n v="2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8T00:00:00"/>
    <s v="Iklan Tiktok"/>
    <s v="ATM"/>
    <x v="1"/>
    <x v="0"/>
    <n v="333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8T00:00:00"/>
    <s v="minus ATM "/>
    <s v="ATM"/>
    <x v="1"/>
    <x v="0"/>
    <n v="85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7T00:00:00"/>
    <s v="sate "/>
    <s v="Cash"/>
    <x v="1"/>
    <x v="5"/>
    <n v="1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8T00:00:00"/>
    <s v="jajan alfa "/>
    <s v="Cash"/>
    <x v="1"/>
    <x v="5"/>
    <n v="3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6T00:00:00"/>
    <s v="suamiku"/>
    <s v="Cash"/>
    <x v="1"/>
    <x v="5"/>
    <n v="16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9T00:00:00"/>
    <s v="Suamiku"/>
    <s v="ATM"/>
    <x v="0"/>
    <x v="0"/>
    <n v="9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9T00:00:00"/>
    <s v="Token listrik (65.30)"/>
    <s v="ATM"/>
    <x v="1"/>
    <x v="0"/>
    <n v="98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9T00:00:00"/>
    <s v="susu alfa 3"/>
    <s v="ATM"/>
    <x v="1"/>
    <x v="8"/>
    <n v="357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19T00:00:00"/>
    <s v="Roti Bakar "/>
    <s v="Cash"/>
    <x v="1"/>
    <x v="5"/>
    <n v="2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0T00:00:00"/>
    <s v="Tarik tunai "/>
    <s v="ATM"/>
    <x v="1"/>
    <x v="1"/>
    <n v="1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0T00:00:00"/>
    <s v="Terima Tunai "/>
    <s v="Cash"/>
    <x v="0"/>
    <x v="1"/>
    <n v="1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0T00:00:00"/>
    <s v="Galon "/>
    <s v="Cash"/>
    <x v="1"/>
    <x v="4"/>
    <n v="4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0T00:00:00"/>
    <s v="Bensin Motor "/>
    <s v="Cash"/>
    <x v="1"/>
    <x v="3"/>
    <n v="2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0T00:00:00"/>
    <s v="rokok"/>
    <s v="Cash"/>
    <x v="1"/>
    <x v="2"/>
    <n v="16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0T00:00:00"/>
    <s v="Dikasih &quot;Alfa &quot;"/>
    <s v="Cash"/>
    <x v="0"/>
    <x v="8"/>
    <n v="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0T00:00:00"/>
    <s v="jajan Alfamart yogurt+roti"/>
    <s v="Cash"/>
    <x v="1"/>
    <x v="5"/>
    <n v="16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1T00:00:00"/>
    <s v="detergen "/>
    <s v="Cash"/>
    <x v="1"/>
    <x v="10"/>
    <n v="11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2T00:00:00"/>
    <s v="Jajan Alfa mbg"/>
    <s v="Cash"/>
    <x v="1"/>
    <x v="5"/>
    <n v="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1T00:00:00"/>
    <s v="roti bakar "/>
    <s v="Cash"/>
    <x v="1"/>
    <x v="5"/>
    <n v="19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2T00:00:00"/>
    <s v="pasar Kaget  + Parkir "/>
    <s v="Cash"/>
    <x v="1"/>
    <x v="4"/>
    <n v="1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3T00:00:00"/>
    <s v="suamiku"/>
    <s v="Cash"/>
    <x v="1"/>
    <x v="1"/>
    <n v="4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4T00:00:00"/>
    <s v="tarik tunai"/>
    <s v="ATM"/>
    <x v="1"/>
    <x v="1"/>
    <n v="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4T00:00:00"/>
    <s v="terima tunai"/>
    <s v="Cash"/>
    <x v="0"/>
    <x v="1"/>
    <n v="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5T00:00:00"/>
    <s v="Tiktok  ( BH+Bju alfa)"/>
    <s v="ATM"/>
    <x v="1"/>
    <x v="8"/>
    <n v="63572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6T00:00:00"/>
    <s v="kasi baba"/>
    <s v="Cash"/>
    <x v="1"/>
    <x v="1"/>
    <n v="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7T00:00:00"/>
    <s v="tarik tunai"/>
    <s v="ATM"/>
    <x v="1"/>
    <x v="1"/>
    <n v="1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7T00:00:00"/>
    <s v="terima tunai"/>
    <s v="Cash"/>
    <x v="0"/>
    <x v="1"/>
    <n v="1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7T00:00:00"/>
    <s v="atuk Man / Alfa "/>
    <s v="Cash"/>
    <x v="0"/>
    <x v="8"/>
    <n v="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7T00:00:00"/>
    <s v="nipis madu"/>
    <s v="Cash"/>
    <x v="1"/>
    <x v="5"/>
    <n v="36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7T00:00:00"/>
    <s v="pertamax"/>
    <s v="Cash"/>
    <x v="1"/>
    <x v="3"/>
    <n v="5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7T00:00:00"/>
    <s v="teh telor tapai (2)"/>
    <s v="Cash"/>
    <x v="1"/>
    <x v="2"/>
    <n v="28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7T00:00:00"/>
    <s v="nenek prawang/Alfa "/>
    <s v="Cash"/>
    <x v="0"/>
    <x v="8"/>
    <n v="2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9T00:00:00"/>
    <s v="pasar Kaget "/>
    <s v="Cash"/>
    <x v="1"/>
    <x v="4"/>
    <n v="884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29T00:00:00"/>
    <s v="Saldo Tiktok "/>
    <s v="ATM"/>
    <x v="0"/>
    <x v="0"/>
    <n v="110284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tarik tunai"/>
    <s v="ATM"/>
    <x v="1"/>
    <x v="1"/>
    <n v="1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terima tunai"/>
    <s v="Cash"/>
    <x v="0"/>
    <x v="1"/>
    <n v="10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mie balap"/>
    <s v="Cash"/>
    <x v="1"/>
    <x v="5"/>
    <n v="8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racik nasgor + gula"/>
    <s v="Cash"/>
    <x v="1"/>
    <x v="4"/>
    <n v="75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molen"/>
    <s v="Cash"/>
    <x v="1"/>
    <x v="5"/>
    <n v="10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0T00:00:00"/>
    <s v="pertamax"/>
    <s v="Cash"/>
    <x v="1"/>
    <x v="3"/>
    <n v="245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1T00:00:00"/>
    <s v="teh telor (2)"/>
    <s v="Cash"/>
    <x v="1"/>
    <x v="2"/>
    <n v="24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1T00:00:00"/>
    <s v="suamiku"/>
    <s v="Cash"/>
    <x v="0"/>
    <x v="0"/>
    <n v="13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5-31T00:00:00"/>
    <s v="indomie (3) + kerupuk (1)"/>
    <s v="Cash"/>
    <x v="1"/>
    <x v="4"/>
    <n v="15000"/>
    <x v="1"/>
    <x v="4"/>
    <e v="#VALUE!"/>
    <n v="9490497"/>
    <n v="2703418"/>
    <n v="13000"/>
    <n v="326872"/>
    <e v="#VALUE!"/>
    <n v="902100"/>
    <n v="42900"/>
    <n v="732000"/>
    <n v="0"/>
    <n v="47011"/>
    <n v="251000"/>
  </r>
  <r>
    <d v="2026-06-01T00:00:00"/>
    <s v="pertamax"/>
    <s v="Cash"/>
    <x v="1"/>
    <x v="3"/>
    <n v="24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1T00:00:00"/>
    <s v="tarik tunai"/>
    <s v="ATM"/>
    <x v="1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1T00:00:00"/>
    <s v="terima tunai"/>
    <s v="Cash"/>
    <x v="0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1T00:00:00"/>
    <s v="kue-kue"/>
    <s v="Cash"/>
    <x v="1"/>
    <x v="5"/>
    <n v="14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1T00:00:00"/>
    <s v="saldo tiktok"/>
    <s v="ATM"/>
    <x v="0"/>
    <x v="0"/>
    <n v="12582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1T00:00:00"/>
    <s v="Tarik Tunai "/>
    <s v="ATM"/>
    <x v="1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1T00:00:00"/>
    <s v="Terima Tunai "/>
    <s v="Cash"/>
    <x v="0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CD alfa "/>
    <s v="Cash"/>
    <x v="1"/>
    <x v="8"/>
    <n v="32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1T00:00:00"/>
    <s v="sabun "/>
    <s v="Cash"/>
    <x v="1"/>
    <x v="6"/>
    <n v="165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1T00:00:00"/>
    <s v="Jajanan pasar Kaget "/>
    <s v="Cash"/>
    <x v="1"/>
    <x v="5"/>
    <n v="34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1T00:00:00"/>
    <s v="galon "/>
    <s v="Cash"/>
    <x v="1"/>
    <x v="4"/>
    <n v="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suamiku"/>
    <s v="ATM"/>
    <x v="0"/>
    <x v="0"/>
    <n v="1561437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tarik tunai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terima tunai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bakso ante ndut"/>
    <s v="Cash"/>
    <x v="1"/>
    <x v="5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buavita + roti bobo"/>
    <s v="Cash"/>
    <x v="1"/>
    <x v="5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rokok"/>
    <s v="Cash"/>
    <x v="1"/>
    <x v="2"/>
    <n v="27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2T00:00:00"/>
    <s v="suamiku"/>
    <s v="ATM"/>
    <x v="0"/>
    <x v="0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3T00:00:00"/>
    <s v="susu Alfa "/>
    <s v="ATM"/>
    <x v="1"/>
    <x v="8"/>
    <n v="278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3T00:00:00"/>
    <s v="Sabun colek "/>
    <s v="ATM"/>
    <x v="1"/>
    <x v="9"/>
    <n v="234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3T00:00:00"/>
    <s v="Pembalut "/>
    <s v="ATM"/>
    <x v="1"/>
    <x v="4"/>
    <n v="52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3T00:00:00"/>
    <s v="Paylater  Tiktok "/>
    <s v="ATM"/>
    <x v="1"/>
    <x v="0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3T00:00:00"/>
    <s v="Baju Alfa"/>
    <s v="ATM"/>
    <x v="1"/>
    <x v="8"/>
    <n v="29519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3T00:00:00"/>
    <s v="ayam+esteh"/>
    <s v="Cash"/>
    <x v="1"/>
    <x v="4"/>
    <n v="3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Shampo"/>
    <s v="ATM"/>
    <x v="1"/>
    <x v="6"/>
    <n v="21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jajan"/>
    <s v="Cash"/>
    <x v="1"/>
    <x v="8"/>
    <n v="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pencukur elektrik"/>
    <s v="ATM"/>
    <x v="1"/>
    <x v="2"/>
    <n v="73694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5T00:00:00"/>
    <s v="singlet Alfa"/>
    <s v="ATM"/>
    <x v="1"/>
    <x v="8"/>
    <n v="43245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Tarik tunak"/>
    <s v="ATM"/>
    <x v="1"/>
    <x v="1"/>
    <n v="2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Terima Tunai "/>
    <s v="Cash"/>
    <x v="0"/>
    <x v="1"/>
    <n v="2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Gorengan"/>
    <s v="Cash"/>
    <x v="1"/>
    <x v="5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Grosir ( Gabin+kopi+tango)"/>
    <s v="Cash"/>
    <x v="1"/>
    <x v="5"/>
    <n v="31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4T00:00:00"/>
    <s v="gentelgen"/>
    <s v="Cash"/>
    <x v="1"/>
    <x v="10"/>
    <n v="105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5T00:00:00"/>
    <s v="sabun+tisubasah"/>
    <s v="Cash"/>
    <x v="1"/>
    <x v="8"/>
    <n v="285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5T00:00:00"/>
    <s v="Token Bunda "/>
    <s v="ATM"/>
    <x v="1"/>
    <x v="0"/>
    <n v="51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Roti O + Kopi Aren"/>
    <s v="ATM"/>
    <x v="1"/>
    <x v="5"/>
    <n v="2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Dapat uang dijalan"/>
    <s v="Cash"/>
    <x v="0"/>
    <x v="0"/>
    <n v="1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KFC"/>
    <s v="ATM"/>
    <x v="1"/>
    <x v="4"/>
    <n v="48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Parkir Aulia Hospital"/>
    <s v="Cash"/>
    <x v="1"/>
    <x v="9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Parkir KFC"/>
    <s v="ATM"/>
    <x v="1"/>
    <x v="4"/>
    <n v="1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Ayam penyet + Nasi"/>
    <s v="ATM"/>
    <x v="1"/>
    <x v="4"/>
    <n v="1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6T00:00:00"/>
    <s v="Mie Ayam + Kerupuk Cabe"/>
    <s v="ATM"/>
    <x v="1"/>
    <x v="4"/>
    <n v="19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5T00:00:00"/>
    <s v="Pasar Kaget"/>
    <s v="Cash"/>
    <x v="1"/>
    <x v="4"/>
    <n v="1335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7T00:00:00"/>
    <s v="Tarik tunai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7T00:00:00"/>
    <s v="Terima tunai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7T00:00:00"/>
    <s v="lem alteko"/>
    <s v="Cash"/>
    <x v="1"/>
    <x v="4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7T00:00:00"/>
    <s v="voucher tiktok (gacoan)"/>
    <s v="ATM"/>
    <x v="1"/>
    <x v="5"/>
    <n v="825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8T00:00:00"/>
    <s v="Bunda "/>
    <s v="ATM"/>
    <x v="1"/>
    <x v="0"/>
    <n v="5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7T00:00:00"/>
    <s v="mi ayam + bakso + krupuk"/>
    <s v="Cash"/>
    <x v="1"/>
    <x v="5"/>
    <n v="3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9T00:00:00"/>
    <s v="Pertalite"/>
    <s v="Cash"/>
    <x v="1"/>
    <x v="3"/>
    <n v="1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7T00:00:00"/>
    <s v="mi 3 + Roti "/>
    <s v="Cash"/>
    <x v="1"/>
    <x v="5"/>
    <n v="12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8T00:00:00"/>
    <s v="pasar kaget+parkir"/>
    <s v="Cash"/>
    <x v="1"/>
    <x v="5"/>
    <n v="3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9T00:00:00"/>
    <s v="Headset"/>
    <s v="ATM"/>
    <x v="1"/>
    <x v="2"/>
    <n v="295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8T00:00:00"/>
    <s v="Tarik Tunai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8T00:00:00"/>
    <s v="Terima Tunai 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9T00:00:00"/>
    <s v="Nasi+ayam"/>
    <s v="Cash"/>
    <x v="1"/>
    <x v="4"/>
    <n v="1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09T00:00:00"/>
    <s v="Teh Telor "/>
    <s v="Cash"/>
    <x v="1"/>
    <x v="5"/>
    <n v="1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0T00:00:00"/>
    <s v="Hit Listrik "/>
    <s v="ATM"/>
    <x v="1"/>
    <x v="0"/>
    <n v="925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0T00:00:00"/>
    <s v="jajan alfa"/>
    <s v="Cash"/>
    <x v="1"/>
    <x v="5"/>
    <n v="4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0T00:00:00"/>
    <s v="Mi ayam+bakso2"/>
    <s v="Cash"/>
    <x v="1"/>
    <x v="4"/>
    <n v="4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1T00:00:00"/>
    <s v="tarik Tunai 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1T00:00:00"/>
    <s v="Terima Tunai 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1T00:00:00"/>
    <s v="Tomat"/>
    <s v="Cash"/>
    <x v="1"/>
    <x v="4"/>
    <n v="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1T00:00:00"/>
    <s v="Bensin mOtor Pertalite"/>
    <s v="Cash"/>
    <x v="1"/>
    <x v="3"/>
    <n v="22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1T00:00:00"/>
    <s v="Tambah Angin "/>
    <s v="Cash"/>
    <x v="1"/>
    <x v="3"/>
    <n v="6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1T00:00:00"/>
    <s v="Galon "/>
    <s v="Cash"/>
    <x v="1"/>
    <x v="4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1T00:00:00"/>
    <s v="Roti Gabin 2 "/>
    <s v="Cash"/>
    <x v="1"/>
    <x v="5"/>
    <n v="16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1T00:00:00"/>
    <s v="Roti Bakar "/>
    <s v="Cash"/>
    <x v="1"/>
    <x v="5"/>
    <n v="19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1T00:00:00"/>
    <s v="susu Alfa 2"/>
    <s v="Cash"/>
    <x v="1"/>
    <x v="8"/>
    <n v="28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2T00:00:00"/>
    <s v="Gas "/>
    <s v="Cash"/>
    <x v="1"/>
    <x v="4"/>
    <n v="18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2T00:00:00"/>
    <s v="jajan alfa "/>
    <s v="Cash"/>
    <x v="1"/>
    <x v="5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2T00:00:00"/>
    <s v="Ayam Shopee"/>
    <s v="ATM"/>
    <x v="1"/>
    <x v="4"/>
    <n v="3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2T00:00:00"/>
    <s v="pulsa Telkomsel"/>
    <s v="ATM"/>
    <x v="1"/>
    <x v="9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2T00:00:00"/>
    <s v="Alfa ( botol susu+selang+sikt gigi+sikat botol )"/>
    <s v="ATM"/>
    <x v="1"/>
    <x v="8"/>
    <n v="6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2T00:00:00"/>
    <s v="Tarik Tunai 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2T00:00:00"/>
    <s v="Terima Tunai 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2T00:00:00"/>
    <s v="Pasar Kaget +parkir "/>
    <s v="Cash"/>
    <x v="1"/>
    <x v="4"/>
    <n v="92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Roti Kukus "/>
    <s v="ATM"/>
    <x v="1"/>
    <x v="5"/>
    <n v="6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Es Jeruk "/>
    <s v="ATM"/>
    <x v="1"/>
    <x v="5"/>
    <n v="8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Teh Poci +sate "/>
    <s v="ATM"/>
    <x v="1"/>
    <x v="5"/>
    <n v="2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Tisu Basah"/>
    <s v="ATM"/>
    <x v="1"/>
    <x v="8"/>
    <n v="9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Telur gulung "/>
    <s v="Cash"/>
    <x v="1"/>
    <x v="5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Tarik Tunai 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Terima Tunai 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Bensin Motor pertalite "/>
    <s v="Cash"/>
    <x v="1"/>
    <x v="3"/>
    <n v="2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Teh tarik"/>
    <s v="Cash"/>
    <x v="1"/>
    <x v="5"/>
    <n v="2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Alfa ( Fee Curcuma Plus Tiktok )"/>
    <s v="ATM"/>
    <x v="0"/>
    <x v="8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4T00:00:00"/>
    <s v="Nasgor + Ayam nasi 2 "/>
    <s v="Cash"/>
    <x v="1"/>
    <x v="4"/>
    <n v="36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4T00:00:00"/>
    <s v="Es Teh"/>
    <s v="Cash"/>
    <x v="1"/>
    <x v="5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3T00:00:00"/>
    <s v="suamiku"/>
    <s v="ATM"/>
    <x v="0"/>
    <x v="0"/>
    <n v="29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4T00:00:00"/>
    <s v="Top Up Shopee + Pulsa Telkomsel 5rb"/>
    <s v="ATM"/>
    <x v="1"/>
    <x v="0"/>
    <n v="12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7T00:00:00"/>
    <s v="token listrik 50rb (32,7)"/>
    <s v="ATM"/>
    <x v="1"/>
    <x v="0"/>
    <n v="5175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4T00:00:00"/>
    <s v="masker"/>
    <s v="ATM"/>
    <x v="1"/>
    <x v="2"/>
    <n v="12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5T00:00:00"/>
    <s v="ayam 3"/>
    <s v="ATM"/>
    <x v="1"/>
    <x v="4"/>
    <n v="3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5T00:00:00"/>
    <s v="pempes+susu Alfa"/>
    <s v="ATM"/>
    <x v="1"/>
    <x v="8"/>
    <n v="568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Voucher Tiktok Gacoan "/>
    <s v="ATM"/>
    <x v="1"/>
    <x v="5"/>
    <n v="552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Saldo tiktok  1"/>
    <s v="ATM"/>
    <x v="0"/>
    <x v="0"/>
    <n v="489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Saldo Tiktok 2"/>
    <s v="ATM"/>
    <x v="0"/>
    <x v="0"/>
    <n v="15384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Tarik Tunai "/>
    <s v="ATM"/>
    <x v="1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Terima Tunai "/>
    <s v="Cash"/>
    <x v="0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Tarik Tunai 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Terima Tunai 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parkir gcoan "/>
    <s v="Cash"/>
    <x v="1"/>
    <x v="5"/>
    <n v="2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roti gabin+ tawar ( Jenguk Mutia )"/>
    <s v="Cash"/>
    <x v="1"/>
    <x v="5"/>
    <n v="31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Parkir ekahospital"/>
    <s v="Cash"/>
    <x v="1"/>
    <x v="5"/>
    <n v="4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Bensin Motor perralite "/>
    <s v="Cash"/>
    <x v="1"/>
    <x v="3"/>
    <n v="2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6T00:00:00"/>
    <s v="mochi eskrim 2 "/>
    <s v="Cash"/>
    <x v="1"/>
    <x v="5"/>
    <n v="9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7T00:00:00"/>
    <s v="Jajan Alfa "/>
    <s v="Cash"/>
    <x v="1"/>
    <x v="5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7T00:00:00"/>
    <s v="Grosir"/>
    <s v="Cash"/>
    <x v="1"/>
    <x v="4"/>
    <n v="4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9T00:00:00"/>
    <s v="roti kacang Hijau "/>
    <s v="Cash"/>
    <x v="1"/>
    <x v="5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9T00:00:00"/>
    <s v="Suamiku "/>
    <s v="ATM"/>
    <x v="0"/>
    <x v="0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9T00:00:00"/>
    <s v="Tarik Tunai 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9T00:00:00"/>
    <s v="Terima Tunai 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19T00:00:00"/>
    <s v="Pasar Kaget "/>
    <s v="Cash"/>
    <x v="1"/>
    <x v="4"/>
    <n v="13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Saldo Tiktok"/>
    <s v="ATM"/>
    <x v="0"/>
    <x v="0"/>
    <n v="45324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Tarik Tunai "/>
    <s v="ATM"/>
    <x v="1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Terima Tunai "/>
    <s v="Cash"/>
    <x v="0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galon"/>
    <s v="Cash"/>
    <x v="1"/>
    <x v="4"/>
    <n v="4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nipis madu"/>
    <s v="Cash"/>
    <x v="1"/>
    <x v="5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milku"/>
    <s v="Cash"/>
    <x v="1"/>
    <x v="5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pertalite"/>
    <s v="Cash"/>
    <x v="1"/>
    <x v="3"/>
    <n v="2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suamiku"/>
    <s v="ATM"/>
    <x v="0"/>
    <x v="0"/>
    <n v="2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tarik tunai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terima tunai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1T00:00:00"/>
    <s v="sunlight ungu"/>
    <s v="Cash"/>
    <x v="1"/>
    <x v="4"/>
    <n v="94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2T00:00:00"/>
    <s v="roti gepeng"/>
    <s v="Cash"/>
    <x v="1"/>
    <x v="5"/>
    <n v="9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2T00:00:00"/>
    <s v="kopi"/>
    <s v="Cash"/>
    <x v="1"/>
    <x v="2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3T00:00:00"/>
    <s v="Tarik Tunai"/>
    <s v="ATM"/>
    <x v="1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3T00:00:00"/>
    <s v="Terima Tunai "/>
    <s v="Cash"/>
    <x v="0"/>
    <x v="1"/>
    <n v="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3T00:00:00"/>
    <s v="Roti gepeng "/>
    <s v="Cash"/>
    <x v="1"/>
    <x v="5"/>
    <n v="9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3T00:00:00"/>
    <s v="Gentelgen Baju"/>
    <s v="Cash"/>
    <x v="1"/>
    <x v="10"/>
    <n v="11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2T00:00:00"/>
    <s v="Mi ayam"/>
    <s v="Cash"/>
    <x v="1"/>
    <x v="4"/>
    <n v="17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2T00:00:00"/>
    <s v="ayam 2"/>
    <s v="Cash"/>
    <x v="1"/>
    <x v="4"/>
    <n v="22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2T00:00:00"/>
    <s v="pasar Kaget "/>
    <s v="Cash"/>
    <x v="1"/>
    <x v="4"/>
    <n v="41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3T00:00:00"/>
    <s v="kasih mama"/>
    <s v="Cash"/>
    <x v="1"/>
    <x v="0"/>
    <n v="6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4T00:00:00"/>
    <s v="suamiku"/>
    <s v="ATM"/>
    <x v="0"/>
    <x v="0"/>
    <n v="15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4T00:00:00"/>
    <s v="tarik tunai"/>
    <s v="ATM"/>
    <x v="1"/>
    <x v="1"/>
    <n v="2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4T00:00:00"/>
    <s v="terima runai"/>
    <s v="Cash"/>
    <x v="0"/>
    <x v="1"/>
    <n v="2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5T00:00:00"/>
    <s v="pertalite"/>
    <s v="Cash"/>
    <x v="1"/>
    <x v="3"/>
    <n v="2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4T00:00:00"/>
    <s v="ibuprofen"/>
    <s v="Cash"/>
    <x v="1"/>
    <x v="2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4T00:00:00"/>
    <s v="roti gepeng"/>
    <s v="Cash"/>
    <x v="1"/>
    <x v="5"/>
    <n v="9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4T00:00:00"/>
    <s v="biskuit panda"/>
    <s v="Cash"/>
    <x v="1"/>
    <x v="5"/>
    <n v="9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4T00:00:00"/>
    <s v="minyak goreng Tropical (1L)"/>
    <s v="Cash"/>
    <x v="1"/>
    <x v="4"/>
    <n v="24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6T00:00:00"/>
    <s v="indomie goreng rendang"/>
    <s v="Cash"/>
    <x v="1"/>
    <x v="4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6T00:00:00"/>
    <s v="pasar + parkir"/>
    <s v="Cash"/>
    <x v="1"/>
    <x v="4"/>
    <n v="1036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6T00:00:00"/>
    <s v="rokok"/>
    <s v="Cash"/>
    <x v="1"/>
    <x v="2"/>
    <n v="1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7T00:00:00"/>
    <s v="Kue putu"/>
    <s v="Cash"/>
    <x v="1"/>
    <x v="5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7T00:00:00"/>
    <s v="Gula "/>
    <s v="Cash"/>
    <x v="1"/>
    <x v="4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8T00:00:00"/>
    <s v="saldo Tiktok 2"/>
    <s v="ATM"/>
    <x v="0"/>
    <x v="0"/>
    <n v="6573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8T00:00:00"/>
    <s v="Tarik Tunai "/>
    <s v="ATM"/>
    <x v="1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8T00:00:00"/>
    <s v="Terima tunai "/>
    <s v="Cash"/>
    <x v="0"/>
    <x v="1"/>
    <n v="10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8T00:00:00"/>
    <s v="Bensin Pertalite"/>
    <s v="Cash"/>
    <x v="1"/>
    <x v="3"/>
    <n v="2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8T00:00:00"/>
    <s v="momoyo "/>
    <s v="ATM"/>
    <x v="1"/>
    <x v="5"/>
    <n v="99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8T00:00:00"/>
    <s v="Sedekah "/>
    <s v="Cash"/>
    <x v="1"/>
    <x v="7"/>
    <n v="5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8T00:00:00"/>
    <s v="Teh tarik + Sempol+ Bola² ayam"/>
    <s v="Cash"/>
    <x v="1"/>
    <x v="5"/>
    <n v="3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9T00:00:00"/>
    <s v="Telor "/>
    <s v="Cash"/>
    <x v="1"/>
    <x v="4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29T00:00:00"/>
    <s v="salak + parkir + gorengan"/>
    <s v="Cash"/>
    <x v="1"/>
    <x v="5"/>
    <n v="21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30T00:00:00"/>
    <s v="Saldo Tiktok"/>
    <s v="ATM"/>
    <x v="0"/>
    <x v="0"/>
    <n v="14355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30T00:00:00"/>
    <s v="Shopee"/>
    <s v="ATM"/>
    <x v="1"/>
    <x v="0"/>
    <n v="205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30T00:00:00"/>
    <s v="Saldo seabank"/>
    <s v="ATM"/>
    <x v="0"/>
    <x v="0"/>
    <n v="22855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6-30T00:00:00"/>
    <s v=" Top Up Shopee"/>
    <s v="ATM"/>
    <x v="1"/>
    <x v="0"/>
    <n v="10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7-01T00:00:00"/>
    <s v="Suamiku "/>
    <s v="ATM"/>
    <x v="0"/>
    <x v="0"/>
    <n v="1495239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Shopee ( minyak 2L+ berss 5 kg )"/>
    <s v="ATM"/>
    <x v="1"/>
    <x v="4"/>
    <n v="118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trika + pembalut "/>
    <s v="ATM"/>
    <x v="1"/>
    <x v="9"/>
    <n v="14125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Paylater Tiktok Mei "/>
    <s v="ATM"/>
    <x v="1"/>
    <x v="9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susu+tisu"/>
    <s v="ATM"/>
    <x v="1"/>
    <x v="8"/>
    <n v="53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pertalite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6-30T00:00:00"/>
    <s v="parkir MTC"/>
    <s v="Cash"/>
    <x v="1"/>
    <x v="5"/>
    <n v="3000"/>
    <x v="1"/>
    <x v="5"/>
    <e v="#VALUE!"/>
    <n v="9155672"/>
    <n v="3084727"/>
    <n v="37500"/>
    <n v="317864"/>
    <e v="#VALUE!"/>
    <n v="985700"/>
    <n v="21500"/>
    <n v="265000"/>
    <n v="5000"/>
    <n v="33400"/>
    <n v="232194"/>
  </r>
  <r>
    <d v="2026-07-01T00:00:00"/>
    <s v="roti alfa"/>
    <s v="Cash"/>
    <x v="1"/>
    <x v="5"/>
    <n v="2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Tarik Tunai 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Terima Tunai 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1T00:00:00"/>
    <s v="suamiku (dana )"/>
    <s v="ATM"/>
    <x v="1"/>
    <x v="5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2T00:00:00"/>
    <s v="token bunda"/>
    <s v="ATM"/>
    <x v="1"/>
    <x v="0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sHopee ( ayam 3 ) "/>
    <s v="ATM"/>
    <x v="1"/>
    <x v="4"/>
    <n v="25973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infaq jumat"/>
    <s v="Cash"/>
    <x v="1"/>
    <x v="7"/>
    <n v="25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galon"/>
    <s v="Cash"/>
    <x v="1"/>
    <x v="4"/>
    <n v="4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sikat gigi"/>
    <s v="Cash"/>
    <x v="1"/>
    <x v="6"/>
    <n v="81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sabun mandi"/>
    <s v="Cash"/>
    <x v="1"/>
    <x v="6"/>
    <n v="169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sabun cuci piring"/>
    <s v="Cash"/>
    <x v="1"/>
    <x v="4"/>
    <n v="75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Tarik Tunai 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Terima Tunai 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Pasar Kaget + Parkir "/>
    <s v="Cash"/>
    <x v="1"/>
    <x v="4"/>
    <n v="16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Tarik Tunai 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Terima Tunai 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3T00:00:00"/>
    <s v="Iklan Promosi VT"/>
    <s v="ATM"/>
    <x v="1"/>
    <x v="9"/>
    <n v="333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Gorengan"/>
    <s v="Cash"/>
    <x v="1"/>
    <x v="5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Teh telor"/>
    <s v="Cash"/>
    <x v="1"/>
    <x v="2"/>
    <n v="13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Pertalite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Roti gepeng, gentlegen, teh, susu"/>
    <s v="Cash"/>
    <x v="1"/>
    <x v="5"/>
    <n v="3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Suamiku"/>
    <s v="ATM"/>
    <x v="0"/>
    <x v="0"/>
    <n v="3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Parkir ekahospital"/>
    <s v="Cash"/>
    <x v="1"/>
    <x v="2"/>
    <n v="2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Tarik tunai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terima tunai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mie ayam"/>
    <s v="Cash"/>
    <x v="1"/>
    <x v="4"/>
    <n v="1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5T00:00:00"/>
    <s v="pertalite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6T00:00:00"/>
    <s v="Parkir ekahospital"/>
    <s v="Cash"/>
    <x v="1"/>
    <x v="2"/>
    <n v="3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6T00:00:00"/>
    <s v="Gorengan "/>
    <s v="Cash"/>
    <x v="1"/>
    <x v="5"/>
    <n v="1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7T00:00:00"/>
    <s v="PHD tiktok"/>
    <s v="ATM"/>
    <x v="1"/>
    <x v="5"/>
    <n v="4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7T00:00:00"/>
    <s v="cas phd outlet "/>
    <s v="Cash"/>
    <x v="1"/>
    <x v="5"/>
    <n v="3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7T00:00:00"/>
    <s v="Ayam Penyet"/>
    <s v="Cash"/>
    <x v="1"/>
    <x v="4"/>
    <n v="16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8T00:00:00"/>
    <s v="Tarik Tunai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8T00:00:00"/>
    <s v="Terima Tunai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8T00:00:00"/>
    <s v="Gorengan pagi"/>
    <s v="Cash"/>
    <x v="1"/>
    <x v="5"/>
    <n v="1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8T00:00:00"/>
    <s v="Bensin Pertalite mini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8T00:00:00"/>
    <s v="COD celana Kulot "/>
    <s v="Cash"/>
    <x v="1"/>
    <x v="9"/>
    <n v="3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4T00:00:00"/>
    <s v="sate padeh "/>
    <s v="Cash"/>
    <x v="1"/>
    <x v="5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8T00:00:00"/>
    <s v="galon "/>
    <s v="Cash"/>
    <x v="1"/>
    <x v="4"/>
    <n v="3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8T00:00:00"/>
    <s v="gabin+gepeng "/>
    <s v="Cash"/>
    <x v="1"/>
    <x v="5"/>
    <n v="1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9T00:00:00"/>
    <s v="COD khiban shopee"/>
    <s v="Cash"/>
    <x v="1"/>
    <x v="9"/>
    <n v="23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9T00:00:00"/>
    <s v="Shopee ( bakso+sabun batang )"/>
    <s v="ATM"/>
    <x v="1"/>
    <x v="4"/>
    <n v="32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9T00:00:00"/>
    <s v="Tarik Tunai 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9T00:00:00"/>
    <s v="Terima Tunai 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0T00:00:00"/>
    <s v="Bakso+sotong shopee"/>
    <s v="ATM"/>
    <x v="1"/>
    <x v="4"/>
    <n v="318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0T00:00:00"/>
    <s v="Makan siang Ayam2 "/>
    <s v="ATM"/>
    <x v="1"/>
    <x v="4"/>
    <n v="2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0T00:00:00"/>
    <s v="...."/>
    <s v="Cash"/>
    <x v="1"/>
    <x v="5"/>
    <n v="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09T00:00:00"/>
    <s v="parkir eka hospital"/>
    <s v="Cash"/>
    <x v="1"/>
    <x v="2"/>
    <n v="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0T00:00:00"/>
    <s v="tarik tunai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0T00:00:00"/>
    <s v="terima tunai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0T00:00:00"/>
    <s v="gas (2)"/>
    <s v="Cash"/>
    <x v="1"/>
    <x v="4"/>
    <n v="36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0T00:00:00"/>
    <s v="mie rendang"/>
    <s v="Cash"/>
    <x v="1"/>
    <x v="4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0T00:00:00"/>
    <s v="wafer keju"/>
    <s v="Cash"/>
    <x v="1"/>
    <x v="5"/>
    <n v="3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0T00:00:00"/>
    <s v="pertalite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1T00:00:00"/>
    <s v="suamiku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top up emoney shopee (25k)"/>
    <s v="ATM"/>
    <x v="1"/>
    <x v="5"/>
    <n v="275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makan siang di mega mulia (4)"/>
    <s v="Cash"/>
    <x v="1"/>
    <x v="4"/>
    <n v="84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parkir mega mulia"/>
    <s v="Cash"/>
    <x v="1"/>
    <x v="4"/>
    <n v="15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mainan alfa"/>
    <s v="ATM"/>
    <x v="1"/>
    <x v="8"/>
    <n v="7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tarik tunai"/>
    <s v="ATM"/>
    <x v="1"/>
    <x v="1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terima tunai"/>
    <s v="Cash"/>
    <x v="0"/>
    <x v="1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tarik tunai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terima tunai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pertalite"/>
    <s v="Cash"/>
    <x v="1"/>
    <x v="3"/>
    <n v="1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1T00:00:00"/>
    <s v="rokok (5)"/>
    <s v="Cash"/>
    <x v="1"/>
    <x v="2"/>
    <n v="1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1T00:00:00"/>
    <s v="roti gepeng"/>
    <s v="Cash"/>
    <x v="1"/>
    <x v="8"/>
    <n v="9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1T00:00:00"/>
    <s v="susu"/>
    <s v="Cash"/>
    <x v="1"/>
    <x v="8"/>
    <n v="4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7T00:00:00"/>
    <s v="Pasar Kaget+ parkir "/>
    <s v="Cash"/>
    <x v="1"/>
    <x v="4"/>
    <n v="111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Dana Lebih 10 rb Mainan Alfa"/>
    <s v="ATM"/>
    <x v="1"/>
    <x v="1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2T00:00:00"/>
    <s v="cash dana "/>
    <s v="Cash"/>
    <x v="0"/>
    <x v="1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3T00:00:00"/>
    <s v="Saldo Tiktok 2"/>
    <s v="ATM"/>
    <x v="0"/>
    <x v="0"/>
    <n v="1443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3T00:00:00"/>
    <s v="Tarik tunai 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3T00:00:00"/>
    <s v="Terima Tunai 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3T00:00:00"/>
    <s v="jajan alfa "/>
    <s v="Cash"/>
    <x v="1"/>
    <x v="5"/>
    <n v="4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4T00:00:00"/>
    <s v="alfa "/>
    <s v="Cash"/>
    <x v="1"/>
    <x v="5"/>
    <n v="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4T00:00:00"/>
    <s v="Galon "/>
    <s v="Cash"/>
    <x v="1"/>
    <x v="4"/>
    <n v="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3T00:00:00"/>
    <s v="pasar kaget "/>
    <s v="Cash"/>
    <x v="1"/>
    <x v="4"/>
    <n v="86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4T00:00:00"/>
    <s v="susu Alfa ( shopee ) "/>
    <s v="ATM"/>
    <x v="1"/>
    <x v="8"/>
    <n v="305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4T00:00:00"/>
    <s v="spons cupir+brosmandi(shopee)"/>
    <s v="ATM"/>
    <x v="1"/>
    <x v="6"/>
    <n v="1572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4T00:00:00"/>
    <s v="seabank "/>
    <s v="ATM"/>
    <x v="0"/>
    <x v="1"/>
    <n v="2501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5T00:00:00"/>
    <s v="bensin"/>
    <s v="Cash"/>
    <x v="1"/>
    <x v="3"/>
    <n v="145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5T00:00:00"/>
    <s v="Saldo Tiktok 1"/>
    <s v="ATM"/>
    <x v="0"/>
    <x v="0"/>
    <n v="303108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5T00:00:00"/>
    <s v="Tarik tunai"/>
    <s v="ATM"/>
    <x v="1"/>
    <x v="1"/>
    <n v="1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5T00:00:00"/>
    <s v="terima tunai"/>
    <s v="Cash"/>
    <x v="0"/>
    <x v="1"/>
    <n v="1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5T00:00:00"/>
    <s v="eskrim 2"/>
    <s v="Cash"/>
    <x v="1"/>
    <x v="5"/>
    <n v="93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5T00:00:00"/>
    <s v="nipismadu+rti gepeng"/>
    <s v="Cash"/>
    <x v="1"/>
    <x v="5"/>
    <n v="14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5T00:00:00"/>
    <s v="rokok"/>
    <s v="Cash"/>
    <x v="1"/>
    <x v="2"/>
    <n v="1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6T00:00:00"/>
    <s v="Admin Kartu "/>
    <s v="ATM"/>
    <x v="1"/>
    <x v="0"/>
    <n v="8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7T00:00:00"/>
    <s v="Tarik tunai "/>
    <s v="ATM"/>
    <x v="1"/>
    <x v="1"/>
    <n v="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7T00:00:00"/>
    <s v="Terima tunai "/>
    <s v="Cash"/>
    <x v="0"/>
    <x v="1"/>
    <n v="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7T00:00:00"/>
    <s v="Geosir ( kcngijo+sususaset+gulmer+ropeng)"/>
    <s v="Cash"/>
    <x v="1"/>
    <x v="4"/>
    <n v="305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7T00:00:00"/>
    <s v="Bensin motor 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7T00:00:00"/>
    <s v="pasar Kaget"/>
    <s v="Cash"/>
    <x v="1"/>
    <x v="4"/>
    <n v="109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4T00:00:00"/>
    <s v="Shampo"/>
    <s v="ATM"/>
    <x v="1"/>
    <x v="6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8T00:00:00"/>
    <s v="Tarik Tunai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8T00:00:00"/>
    <s v="Terima Tunain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8T00:00:00"/>
    <s v="Suamiku"/>
    <s v="ATM"/>
    <x v="1"/>
    <x v="1"/>
    <n v="1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8T00:00:00"/>
    <s v="Roti Tawar"/>
    <s v="Cash"/>
    <x v="1"/>
    <x v="5"/>
    <n v="1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8T00:00:00"/>
    <s v="Stick keju+roti bobo"/>
    <s v="Cash"/>
    <x v="1"/>
    <x v="5"/>
    <n v="11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8T00:00:00"/>
    <s v="Mi ayam2+bakso"/>
    <s v="Cash"/>
    <x v="1"/>
    <x v="4"/>
    <n v="48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19T00:00:00"/>
    <s v="roti gepeng + teh "/>
    <s v="Cash"/>
    <x v="1"/>
    <x v="5"/>
    <n v="1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0T00:00:00"/>
    <s v="seabank(saldotitkok)"/>
    <s v="ATM"/>
    <x v="0"/>
    <x v="0"/>
    <n v="49001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0T00:00:00"/>
    <s v="Tarik Tunai"/>
    <s v="ATM"/>
    <x v="1"/>
    <x v="1"/>
    <n v="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0T00:00:00"/>
    <s v="Terima Tunai "/>
    <s v="Cash"/>
    <x v="0"/>
    <x v="1"/>
    <n v="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0T00:00:00"/>
    <s v="pasar Kaget+parkir"/>
    <s v="Cash"/>
    <x v="1"/>
    <x v="4"/>
    <n v="3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0T00:00:00"/>
    <s v="grosir "/>
    <s v="Cash"/>
    <x v="1"/>
    <x v="4"/>
    <n v="21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1T00:00:00"/>
    <s v="jajan alfa"/>
    <s v="Cash"/>
    <x v="1"/>
    <x v="5"/>
    <n v="52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2T00:00:00"/>
    <s v="Saldo Tiktok "/>
    <s v="ATM"/>
    <x v="0"/>
    <x v="0"/>
    <n v="23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2T00:00:00"/>
    <s v="Tarik Tunai "/>
    <s v="ATM"/>
    <x v="1"/>
    <x v="1"/>
    <n v="2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2T00:00:00"/>
    <s v="Terima tunai "/>
    <s v="Cash"/>
    <x v="0"/>
    <x v="1"/>
    <n v="2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2T00:00:00"/>
    <s v="To serba (iqra'+mobilan+pensilpaket+buku gambar)"/>
    <s v="Cash"/>
    <x v="1"/>
    <x v="8"/>
    <n v="58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3T00:00:00"/>
    <s v="Toserba ( gembok+spons+sendok)"/>
    <s v="Cash"/>
    <x v="1"/>
    <x v="0"/>
    <n v="3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3T00:00:00"/>
    <s v="Bensin Pertalite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3T00:00:00"/>
    <s v="Sarapan gorengan"/>
    <s v="Cash"/>
    <x v="1"/>
    <x v="5"/>
    <n v="12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3T00:00:00"/>
    <s v="Sabun+odol gigi Alfa "/>
    <s v="Cash"/>
    <x v="1"/>
    <x v="8"/>
    <n v="365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3T00:00:00"/>
    <s v="Ayam "/>
    <s v="Cash"/>
    <x v="1"/>
    <x v="4"/>
    <n v="11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4T00:00:00"/>
    <s v="jjan alfa"/>
    <s v="Cash"/>
    <x v="1"/>
    <x v="5"/>
    <n v="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4T00:00:00"/>
    <s v="paylater Parfum Tiktok "/>
    <s v="ATM"/>
    <x v="1"/>
    <x v="9"/>
    <n v="42651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4T00:00:00"/>
    <s v="Saldo tiktok 1&amp;2 "/>
    <s v="ATM"/>
    <x v="0"/>
    <x v="0"/>
    <n v="117565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4T00:00:00"/>
    <s v="saldo tiktok 2"/>
    <s v="ATM"/>
    <x v="0"/>
    <x v="0"/>
    <n v="3873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4T00:00:00"/>
    <s v="Tarik tunai 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4T00:00:00"/>
    <s v="Terima tunai 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4T00:00:00"/>
    <s v="Pasar Kaget "/>
    <s v="Cash"/>
    <x v="1"/>
    <x v="4"/>
    <n v="86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5T00:00:00"/>
    <s v="Bensin  motor Ante oji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5T00:00:00"/>
    <s v="Tarik tunai "/>
    <s v="ATM"/>
    <x v="1"/>
    <x v="1"/>
    <n v="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5T00:00:00"/>
    <s v="Terima tunai "/>
    <s v="Cash"/>
    <x v="0"/>
    <x v="1"/>
    <n v="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5T00:00:00"/>
    <s v="Yogurt Alfa "/>
    <s v="Cash"/>
    <x v="1"/>
    <x v="5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5T00:00:00"/>
    <s v="Bensin Mio "/>
    <s v="Cash"/>
    <x v="1"/>
    <x v="3"/>
    <n v="14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6T00:00:00"/>
    <s v="roti tawar+susu+galon "/>
    <s v="Cash"/>
    <x v="1"/>
    <x v="4"/>
    <n v="23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6T00:00:00"/>
    <s v="Rokok"/>
    <s v="Cash"/>
    <x v="1"/>
    <x v="2"/>
    <n v="17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7T00:00:00"/>
    <s v="Saldo Tiktok 2"/>
    <s v="ATM"/>
    <x v="0"/>
    <x v="0"/>
    <n v="128046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7T00:00:00"/>
    <s v="Saldo tiktok 1"/>
    <s v="ATM"/>
    <x v="0"/>
    <x v="0"/>
    <n v="29766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7T00:00:00"/>
    <s v="Tarik tunai "/>
    <s v="ATM"/>
    <x v="1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7T00:00:00"/>
    <s v="Terim tunai "/>
    <s v="Cash"/>
    <x v="0"/>
    <x v="1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7T00:00:00"/>
    <s v="Token 20"/>
    <s v="ATM"/>
    <x v="1"/>
    <x v="0"/>
    <n v="2175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7T00:00:00"/>
    <s v="Iklan Tiktok 2"/>
    <s v="ATM"/>
    <x v="1"/>
    <x v="0"/>
    <n v="333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7T00:00:00"/>
    <s v="tisu basah+ jajan Alfa"/>
    <s v="Cash"/>
    <x v="1"/>
    <x v="8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7T00:00:00"/>
    <s v="Roti gepeng "/>
    <s v="Cash"/>
    <x v="1"/>
    <x v="5"/>
    <n v="9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7T00:00:00"/>
    <s v="bensin Motor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komisi tiktok"/>
    <s v="ATM"/>
    <x v="0"/>
    <x v="0"/>
    <n v="141449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tarik tunai"/>
    <s v="ATM"/>
    <x v="1"/>
    <x v="1"/>
    <n v="1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terima tunai"/>
    <s v="Cash"/>
    <x v="0"/>
    <x v="1"/>
    <n v="15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pertalite"/>
    <s v="Cash"/>
    <x v="1"/>
    <x v="3"/>
    <n v="2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pembalut"/>
    <s v="Cash"/>
    <x v="1"/>
    <x v="9"/>
    <n v="487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sate"/>
    <s v="Cash"/>
    <x v="1"/>
    <x v="4"/>
    <n v="16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ayam bakar"/>
    <s v="Cash"/>
    <x v="1"/>
    <x v="4"/>
    <n v="1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0T00:00:00"/>
    <s v="roti gepeng (2)"/>
    <s v="Cash"/>
    <x v="1"/>
    <x v="5"/>
    <n v="18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9T00:00:00"/>
    <s v="Pasar kaget"/>
    <s v="Cash"/>
    <x v="1"/>
    <x v="4"/>
    <n v="2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9T00:00:00"/>
    <s v="molen"/>
    <s v="Cash"/>
    <x v="1"/>
    <x v="5"/>
    <n v="5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29T00:00:00"/>
    <s v="Jajan Alfa + mie "/>
    <s v="Cash"/>
    <x v="1"/>
    <x v="5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tiktok"/>
    <s v="ATM"/>
    <x v="0"/>
    <x v="0"/>
    <n v="9859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suamiku"/>
    <s v="ATM"/>
    <x v="1"/>
    <x v="1"/>
    <n v="99329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suamiku"/>
    <s v="Cash"/>
    <x v="0"/>
    <x v="0"/>
    <n v="10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pasar"/>
    <s v="Cash"/>
    <x v="1"/>
    <x v="4"/>
    <n v="9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mie rendang"/>
    <s v="Cash"/>
    <x v="1"/>
    <x v="4"/>
    <n v="10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???"/>
    <s v="Cash"/>
    <x v="1"/>
    <x v="5"/>
    <n v="138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7-31T00:00:00"/>
    <s v="sabun cuci baju"/>
    <s v="Cash"/>
    <x v="1"/>
    <x v="10"/>
    <n v="11000"/>
    <x v="1"/>
    <x v="6"/>
    <e v="#VALUE!"/>
    <n v="9905717"/>
    <n v="3048680"/>
    <n v="50720"/>
    <n v="294200"/>
    <e v="#VALUE!"/>
    <n v="1360773"/>
    <n v="11000"/>
    <n v="338500"/>
    <n v="2500"/>
    <n v="387476"/>
    <n v="231000"/>
  </r>
  <r>
    <d v="2026-08-01T00:00:00"/>
    <s v="galon"/>
    <s v="Cash"/>
    <x v="1"/>
    <x v="4"/>
    <n v="3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1T00:00:00"/>
    <s v="kue kue"/>
    <s v="Cash"/>
    <x v="1"/>
    <x v="5"/>
    <n v="16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5T00:00:00"/>
    <s v="Suamiku"/>
    <s v="ATM"/>
    <x v="0"/>
    <x v="0"/>
    <n v="1585102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5T00:00:00"/>
    <s v="Tarik tunai "/>
    <s v="ATM"/>
    <x v="1"/>
    <x v="1"/>
    <n v="1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5T00:00:00"/>
    <s v="Terima tunai "/>
    <s v="Cash"/>
    <x v="0"/>
    <x v="1"/>
    <n v="1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5T00:00:00"/>
    <s v="Grosir ( mi + permen+ rotigepeng)"/>
    <s v="Cash"/>
    <x v="1"/>
    <x v="4"/>
    <n v="27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Susu + botol minum "/>
    <s v="ATM"/>
    <x v="1"/>
    <x v="8"/>
    <n v="62471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Lauk ( shopee Promo) lele+nila+bakso+ceker"/>
    <s v="ATM"/>
    <x v="1"/>
    <x v="4"/>
    <n v="43104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Galon "/>
    <s v="Cash"/>
    <x v="1"/>
    <x v="4"/>
    <n v="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Cabe+bawang+kentang+dsop(shopee Promo)"/>
    <s v="Cash"/>
    <x v="1"/>
    <x v="4"/>
    <n v="2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Beras 10KG"/>
    <s v="ATM"/>
    <x v="1"/>
    <x v="4"/>
    <n v="15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Tiktok 2"/>
    <s v="ATM"/>
    <x v="0"/>
    <x v="0"/>
    <n v="225826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Bensin "/>
    <s v="Cash"/>
    <x v="1"/>
    <x v="3"/>
    <n v="2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Sempol ayam"/>
    <s v="Cash"/>
    <x v="1"/>
    <x v="5"/>
    <n v="13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Tarik Tunai "/>
    <s v="ATM"/>
    <x v="1"/>
    <x v="1"/>
    <n v="15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Terima tunai "/>
    <s v="Cash"/>
    <x v="0"/>
    <x v="1"/>
    <n v="15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6T00:00:00"/>
    <s v="Teh + Rokok"/>
    <s v="Cash"/>
    <x v="1"/>
    <x v="2"/>
    <n v="22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7T00:00:00"/>
    <s v="Pasar Kaget+ parkir "/>
    <s v="Cash"/>
    <x v="1"/>
    <x v="4"/>
    <n v="126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7T00:00:00"/>
    <s v="Gorengan Pagi "/>
    <s v="Cash"/>
    <x v="1"/>
    <x v="5"/>
    <n v="12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Sepeda ( shopee)"/>
    <s v="ATM"/>
    <x v="1"/>
    <x v="8"/>
    <n v="191633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Tiktok"/>
    <s v="ATM"/>
    <x v="0"/>
    <x v="0"/>
    <n v="37639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8T00:00:00"/>
    <s v="Tisu basah&amp; kering (shopee)"/>
    <s v="ATM"/>
    <x v="1"/>
    <x v="8"/>
    <n v="4611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9T00:00:00"/>
    <s v="Shopee VIP (Akun 3)"/>
    <s v="ATM"/>
    <x v="1"/>
    <x v="0"/>
    <n v="305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9T00:00:00"/>
    <s v="Celana Alfa ( shopee promo )"/>
    <s v="ATM"/>
    <x v="1"/>
    <x v="5"/>
    <n v="1189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09T00:00:00"/>
    <s v="Sandal+sabun mndi"/>
    <s v="ATM"/>
    <x v="1"/>
    <x v="8"/>
    <n v="38555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0T00:00:00"/>
    <s v="Qris Tiktok"/>
    <s v="ATM"/>
    <x v="1"/>
    <x v="1"/>
    <n v="123205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0T00:00:00"/>
    <s v="Pengembalian dana "/>
    <s v="ATM"/>
    <x v="0"/>
    <x v="1"/>
    <n v="123205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0T00:00:00"/>
    <s v="Tarik Tunai "/>
    <s v="ATM"/>
    <x v="1"/>
    <x v="1"/>
    <n v="1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Terima Tunai "/>
    <s v="Cash"/>
    <x v="0"/>
    <x v="1"/>
    <n v="1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Galon "/>
    <s v="Cash"/>
    <x v="1"/>
    <x v="4"/>
    <n v="3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Gorengan Pagi "/>
    <s v="Cash"/>
    <x v="1"/>
    <x v="5"/>
    <n v="1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Telor + roti tawar "/>
    <s v="Cash"/>
    <x v="1"/>
    <x v="4"/>
    <n v="27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dkriuk"/>
    <s v="ATM"/>
    <x v="1"/>
    <x v="4"/>
    <n v="36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jeruk"/>
    <s v="Cash"/>
    <x v="1"/>
    <x v="5"/>
    <n v="1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bensin"/>
    <s v="Cash"/>
    <x v="1"/>
    <x v="3"/>
    <n v="22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sanmol"/>
    <s v="Cash"/>
    <x v="1"/>
    <x v="8"/>
    <n v="23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suamiku"/>
    <s v="ATM"/>
    <x v="1"/>
    <x v="2"/>
    <n v="16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suamiku"/>
    <s v="ATM"/>
    <x v="0"/>
    <x v="0"/>
    <n v="17522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suamiku"/>
    <s v="ATM"/>
    <x v="1"/>
    <x v="2"/>
    <n v="19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1T00:00:00"/>
    <s v="Saldo tiktok"/>
    <s v="ATM"/>
    <x v="0"/>
    <x v="0"/>
    <n v="48001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3T00:00:00"/>
    <s v="Bakso Bakar "/>
    <s v="ATM"/>
    <x v="1"/>
    <x v="5"/>
    <n v="2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3T00:00:00"/>
    <s v="Bensin "/>
    <s v="ATM"/>
    <x v="1"/>
    <x v="3"/>
    <n v="2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3T00:00:00"/>
    <s v="Doedorant"/>
    <s v="ATM"/>
    <x v="1"/>
    <x v="6"/>
    <n v="14491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3T00:00:00"/>
    <s v="akun shopee 3 + Pulsa Byu. 1"/>
    <s v="ATM"/>
    <x v="1"/>
    <x v="10"/>
    <n v="5448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3T00:00:00"/>
    <s v="Suamiku"/>
    <s v="ATM"/>
    <x v="1"/>
    <x v="2"/>
    <n v="3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4T00:00:00"/>
    <s v="Tarik tunai "/>
    <s v="ATM"/>
    <x v="1"/>
    <x v="1"/>
    <n v="2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4T00:00:00"/>
    <s v="Terima Tunai "/>
    <s v="Cash"/>
    <x v="0"/>
    <x v="1"/>
    <n v="2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5T00:00:00"/>
    <s v="Gorengan Pagi"/>
    <s v="ATM"/>
    <x v="1"/>
    <x v="5"/>
    <n v="9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5T00:00:00"/>
    <s v="saeapan pagi lontong"/>
    <s v="ATM"/>
    <x v="1"/>
    <x v="4"/>
    <n v="24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5T00:00:00"/>
    <s v="rokok "/>
    <s v="ATM"/>
    <x v="1"/>
    <x v="2"/>
    <n v="17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5T00:00:00"/>
    <s v="Bakso Bakar"/>
    <s v="ATM"/>
    <x v="1"/>
    <x v="5"/>
    <n v="2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6T00:00:00"/>
    <s v="Kue donat  2 "/>
    <s v="ATM"/>
    <x v="1"/>
    <x v="8"/>
    <n v="585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7T00:00:00"/>
    <s v="Tarik tunai "/>
    <s v="ATM"/>
    <x v="1"/>
    <x v="1"/>
    <n v="2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7T00:00:00"/>
    <s v="Terima Tunai"/>
    <s v="Cash"/>
    <x v="0"/>
    <x v="1"/>
    <n v="2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4T00:00:00"/>
    <s v="Pasar Kaget "/>
    <s v="Cash"/>
    <x v="1"/>
    <x v="4"/>
    <n v="19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6T00:00:00"/>
    <s v="Galon "/>
    <s v="Cash"/>
    <x v="1"/>
    <x v="4"/>
    <n v="3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5T00:00:00"/>
    <s v="Parkir Stadion"/>
    <s v="Cash"/>
    <x v="1"/>
    <x v="5"/>
    <n v="2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7T00:00:00"/>
    <s v="pasar Kaget + parkir "/>
    <s v="Cash"/>
    <x v="1"/>
    <x v="4"/>
    <n v="7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7T00:00:00"/>
    <s v="sabun cuci( alfamart )"/>
    <s v="Cash"/>
    <x v="1"/>
    <x v="10"/>
    <n v="38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8T00:00:00"/>
    <s v="Alfamart(minyak+yogurt+rexona)"/>
    <s v="ATM"/>
    <x v="1"/>
    <x v="4"/>
    <n v="404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9T00:00:00"/>
    <s v="Suamiku"/>
    <s v="ATM"/>
    <x v="1"/>
    <x v="1"/>
    <n v="9775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8T00:00:00"/>
    <s v="Gabin "/>
    <s v="Cash"/>
    <x v="1"/>
    <x v="5"/>
    <n v="8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9T00:00:00"/>
    <s v="jajan alfa"/>
    <s v="Cash"/>
    <x v="1"/>
    <x v="5"/>
    <n v="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9T00:00:00"/>
    <s v="Roti Gepeng+plastik+citato(grosir)"/>
    <s v="Cash"/>
    <x v="1"/>
    <x v="5"/>
    <n v="2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9T00:00:00"/>
    <s v=" Bensin"/>
    <s v="Cash"/>
    <x v="1"/>
    <x v="5"/>
    <n v="1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9T00:00:00"/>
    <s v="Sempol+teh es"/>
    <s v="Cash"/>
    <x v="1"/>
    <x v="3"/>
    <n v="1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19T00:00:00"/>
    <s v="Admin fee+kartu"/>
    <s v="ATM"/>
    <x v="1"/>
    <x v="0"/>
    <n v="1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Jajan Alfa "/>
    <s v="Cash"/>
    <x v="1"/>
    <x v="5"/>
    <n v="4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Bensin Motor "/>
    <s v="Cash"/>
    <x v="1"/>
    <x v="3"/>
    <n v="2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Saldo Tiktok 1"/>
    <s v="ATM"/>
    <x v="0"/>
    <x v="0"/>
    <n v="30933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Tarik Tunai "/>
    <s v="ATM"/>
    <x v="1"/>
    <x v="1"/>
    <n v="15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Terima Tunai "/>
    <s v="Cash"/>
    <x v="0"/>
    <x v="1"/>
    <n v="15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Dana ( Ayam Frozen )"/>
    <s v="Cash"/>
    <x v="1"/>
    <x v="4"/>
    <n v="48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Ayam Kriuk 2"/>
    <s v="Cash"/>
    <x v="1"/>
    <x v="4"/>
    <n v="27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Galon "/>
    <s v="Cash"/>
    <x v="1"/>
    <x v="4"/>
    <n v="3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0T00:00:00"/>
    <s v="Dana ( saldo)"/>
    <s v="Cash"/>
    <x v="1"/>
    <x v="4"/>
    <n v="2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1T00:00:00"/>
    <s v="Suamiku"/>
    <s v="ATM"/>
    <x v="0"/>
    <x v="0"/>
    <n v="25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1T00:00:00"/>
    <s v="Tarik tunai"/>
    <s v="ATM"/>
    <x v="1"/>
    <x v="1"/>
    <n v="1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1T00:00:00"/>
    <s v="Terima tunai"/>
    <s v="Cash"/>
    <x v="0"/>
    <x v="1"/>
    <n v="1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1T00:00:00"/>
    <s v="Hit listrik "/>
    <s v="ATM"/>
    <x v="1"/>
    <x v="4"/>
    <n v="217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1T00:00:00"/>
    <s v="Pasar Kaget + parkir "/>
    <s v="Cash"/>
    <x v="1"/>
    <x v="4"/>
    <n v="17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2T00:00:00"/>
    <s v="Tarik Tunai "/>
    <s v="ATM"/>
    <x v="1"/>
    <x v="1"/>
    <n v="15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2T00:00:00"/>
    <s v="terima tunai"/>
    <s v="Cash"/>
    <x v="0"/>
    <x v="1"/>
    <n v="15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2T00:00:00"/>
    <s v="Suamiku "/>
    <s v="Cash"/>
    <x v="1"/>
    <x v="5"/>
    <n v="12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4T00:00:00"/>
    <s v="Bensin "/>
    <s v="Cash"/>
    <x v="1"/>
    <x v="3"/>
    <n v="2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5T00:00:00"/>
    <s v="Galon "/>
    <s v="Cash"/>
    <x v="1"/>
    <x v="4"/>
    <n v="3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5T00:00:00"/>
    <s v="Grosir mie"/>
    <s v="Cash"/>
    <x v="1"/>
    <x v="4"/>
    <n v="1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4T00:00:00"/>
    <s v="jjan alfa"/>
    <s v="Cash"/>
    <x v="1"/>
    <x v="5"/>
    <n v="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4T00:00:00"/>
    <s v="sate"/>
    <s v="Cash"/>
    <x v="1"/>
    <x v="5"/>
    <n v="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4T00:00:00"/>
    <s v="Lupa catat"/>
    <s v="Cash"/>
    <x v="1"/>
    <x v="5"/>
    <n v="1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5T00:00:00"/>
    <s v="pasar Kaget "/>
    <s v="Cash"/>
    <x v="1"/>
    <x v="4"/>
    <n v="82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Suamiku"/>
    <s v="ATM"/>
    <x v="0"/>
    <x v="0"/>
    <n v="309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Tarik tunai "/>
    <s v="ATM"/>
    <x v="1"/>
    <x v="1"/>
    <n v="2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Terima tunai "/>
    <s v="Cash"/>
    <x v="0"/>
    <x v="1"/>
    <n v="20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Ibuprofen "/>
    <s v="Cash"/>
    <x v="1"/>
    <x v="2"/>
    <n v="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Roti gepeng+cikitwist + gabin grosir"/>
    <s v="Cash"/>
    <x v="1"/>
    <x v="5"/>
    <n v="3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Pembalut "/>
    <s v="Cash"/>
    <x v="1"/>
    <x v="9"/>
    <n v="405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Saldo tiktok 1&amp;2"/>
    <s v="ATM"/>
    <x v="0"/>
    <x v="0"/>
    <n v="53472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Nasgor + sate "/>
    <s v="Cash"/>
    <x v="1"/>
    <x v="4"/>
    <n v="32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Susu Alfa"/>
    <s v="Cash"/>
    <x v="1"/>
    <x v="8"/>
    <n v="145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Bensin "/>
    <s v="Cash"/>
    <x v="1"/>
    <x v="3"/>
    <n v="2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6T00:00:00"/>
    <s v="Sisihkan ung Minyak "/>
    <s v="Cash"/>
    <x v="1"/>
    <x v="3"/>
    <n v="12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8T00:00:00"/>
    <s v="Suamiku "/>
    <s v="Cash"/>
    <x v="1"/>
    <x v="7"/>
    <n v="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8T00:00:00"/>
    <s v="tarik tunai  + Admin "/>
    <s v="ATM"/>
    <x v="1"/>
    <x v="1"/>
    <n v="154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8T00:00:00"/>
    <s v="Terima Tunai "/>
    <s v="Cash"/>
    <x v="0"/>
    <x v="1"/>
    <n v="15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9T00:00:00"/>
    <s v="Galon "/>
    <s v="Cash"/>
    <x v="1"/>
    <x v="4"/>
    <n v="4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8T00:00:00"/>
    <s v="Pasar Kaget + parkir + admin BRIlink"/>
    <s v="Cash"/>
    <x v="1"/>
    <x v="4"/>
    <n v="111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9T00:00:00"/>
    <s v="nasgor+bola² ayam"/>
    <s v="Cash"/>
    <x v="1"/>
    <x v="4"/>
    <n v="2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9T00:00:00"/>
    <s v="alfa+kecap "/>
    <s v="Cash"/>
    <x v="1"/>
    <x v="4"/>
    <n v="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29T00:00:00"/>
    <s v="mie + bola² Ayam"/>
    <s v="Cash"/>
    <x v="1"/>
    <x v="4"/>
    <n v="16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30T00:00:00"/>
    <s v="Gas "/>
    <s v="Cash"/>
    <x v="1"/>
    <x v="4"/>
    <n v="18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31T00:00:00"/>
    <s v="Jajan alfa "/>
    <s v="Cash"/>
    <x v="1"/>
    <x v="5"/>
    <n v="5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31T00:00:00"/>
    <s v="susu + Bros+kainlap ( dapur ) ( shopee)"/>
    <s v="ATM"/>
    <x v="1"/>
    <x v="8"/>
    <n v="18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30T00:00:00"/>
    <s v="tiktok 2"/>
    <s v="ATM"/>
    <x v="0"/>
    <x v="0"/>
    <n v="11567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8-31T00:00:00"/>
    <s v="Nenek Prawang (Alfa)"/>
    <s v="ATM"/>
    <x v="0"/>
    <x v="0"/>
    <n v="50000"/>
    <x v="1"/>
    <x v="7"/>
    <e v="#VALUE!"/>
    <n v="9573570"/>
    <n v="2533689"/>
    <n v="14491"/>
    <n v="452769"/>
    <e v="#VALUE!"/>
    <n v="1584204"/>
    <n v="43448"/>
    <n v="329000"/>
    <n v="5000"/>
    <n v="40500"/>
    <n v="295000"/>
  </r>
  <r>
    <d v="2026-09-01T00:00:00"/>
    <s v="Tarik Tunai "/>
    <s v="ATM"/>
    <x v="1"/>
    <x v="1"/>
    <n v="5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Terima Tunai "/>
    <s v="Cash"/>
    <x v="0"/>
    <x v="1"/>
    <n v="5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Telor+Roti "/>
    <s v="Cash"/>
    <x v="1"/>
    <x v="4"/>
    <n v="31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Margarin "/>
    <s v="Cash"/>
    <x v="1"/>
    <x v="4"/>
    <n v="7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1T00:00:00"/>
    <s v="sabun cuci piring "/>
    <s v="Cash"/>
    <x v="1"/>
    <x v="4"/>
    <n v="1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jajan alfa"/>
    <s v="Cash"/>
    <x v="1"/>
    <x v="5"/>
    <n v="5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jajan Alfa"/>
    <s v="Cash"/>
    <x v="1"/>
    <x v="5"/>
    <n v="5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suamiku"/>
    <s v="ATM"/>
    <x v="0"/>
    <x v="0"/>
    <n v="1212398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Tripod "/>
    <s v="ATM"/>
    <x v="1"/>
    <x v="9"/>
    <n v="46126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Susu+tisu basah"/>
    <s v="ATM"/>
    <x v="1"/>
    <x v="8"/>
    <n v="55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Suamiku"/>
    <s v="ATM"/>
    <x v="1"/>
    <x v="1"/>
    <n v="10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Tarik Tunai"/>
    <s v="ATM"/>
    <x v="1"/>
    <x v="1"/>
    <n v="20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Terima Tunai "/>
    <s v="Cash"/>
    <x v="0"/>
    <x v="1"/>
    <n v="20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Minyak Gireng 2L"/>
    <s v="Cash"/>
    <x v="1"/>
    <x v="4"/>
    <n v="38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Roti Tawar"/>
    <s v="Cash"/>
    <x v="1"/>
    <x v="5"/>
    <n v="11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2T00:00:00"/>
    <s v="Pertalite"/>
    <s v="Cash"/>
    <x v="1"/>
    <x v="3"/>
    <n v="2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3T00:00:00"/>
    <s v="Galon "/>
    <s v="Cash"/>
    <x v="1"/>
    <x v="4"/>
    <n v="4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3T00:00:00"/>
    <s v="Ayam Penyet panam "/>
    <s v="ATM"/>
    <x v="1"/>
    <x v="4"/>
    <n v="92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4T00:00:00"/>
    <s v="Suamiku"/>
    <s v="ATM"/>
    <x v="1"/>
    <x v="1"/>
    <n v="1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4T00:00:00"/>
    <s v="Pasar Kaget "/>
    <s v="Cash"/>
    <x v="1"/>
    <x v="4"/>
    <n v="125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4T00:00:00"/>
    <s v="Tarik Tunai "/>
    <s v="ATM"/>
    <x v="1"/>
    <x v="1"/>
    <n v="5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4T00:00:00"/>
    <s v="Terima Tunai "/>
    <s v="Cash"/>
    <x v="0"/>
    <x v="1"/>
    <n v="5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4T00:00:00"/>
    <s v="teh &amp; Obat Nyamuk + rotigepeng"/>
    <s v="Cash"/>
    <x v="1"/>
    <x v="5"/>
    <n v="22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5T00:00:00"/>
    <s v="Bakso ante 4"/>
    <s v="Cash"/>
    <x v="1"/>
    <x v="4"/>
    <n v="2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5T00:00:00"/>
    <s v="Nasgor"/>
    <s v="Cash"/>
    <x v="1"/>
    <x v="4"/>
    <n v="12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6T00:00:00"/>
    <s v="Tarik tunai"/>
    <s v="ATM"/>
    <x v="1"/>
    <x v="1"/>
    <n v="10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6T00:00:00"/>
    <s v="Terima Tunai"/>
    <s v="Cash"/>
    <x v="0"/>
    <x v="1"/>
    <n v="10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6T00:00:00"/>
    <s v="Bensin"/>
    <s v="Cash"/>
    <x v="1"/>
    <x v="3"/>
    <n v="2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6T00:00:00"/>
    <s v="Sarapan gorengn"/>
    <s v="Cash"/>
    <x v="1"/>
    <x v="5"/>
    <n v="14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6T00:00:00"/>
    <s v="Ayam pnyet 3"/>
    <s v="Cash"/>
    <x v="1"/>
    <x v="4"/>
    <n v="53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6T00:00:00"/>
    <s v="lupa catat"/>
    <s v="Cash"/>
    <x v="1"/>
    <x v="4"/>
    <n v="1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6T00:00:00"/>
    <s v="Yogurt+eskrim+sikt gigi"/>
    <s v="ATM"/>
    <x v="1"/>
    <x v="5"/>
    <n v="25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6T00:00:00"/>
    <s v="tatik tunai"/>
    <s v="ATM"/>
    <x v="1"/>
    <x v="1"/>
    <n v="20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7T00:00:00"/>
    <s v="Terima tunai"/>
    <s v="Cash"/>
    <x v="0"/>
    <x v="1"/>
    <n v="20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7T00:00:00"/>
    <s v="gorengn  pagi"/>
    <s v="Cash"/>
    <x v="1"/>
    <x v="5"/>
    <n v="12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7T00:00:00"/>
    <s v="paket byu"/>
    <s v="ATM"/>
    <x v="1"/>
    <x v="2"/>
    <n v="15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7T00:00:00"/>
    <s v="pasar kaget+✓parkir"/>
    <s v="Cash"/>
    <x v="1"/>
    <x v="4"/>
    <n v="9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8T00:00:00"/>
    <s v="bakso ante"/>
    <s v="Cash"/>
    <x v="1"/>
    <x v="4"/>
    <n v="2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8T00:00:00"/>
    <s v="galon"/>
    <s v="Cash"/>
    <x v="1"/>
    <x v="4"/>
    <n v="4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8T00:00:00"/>
    <s v="rokok"/>
    <s v="Cash"/>
    <x v="1"/>
    <x v="2"/>
    <n v="17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8T00:00:00"/>
    <s v="Pertalite"/>
    <s v="Cash"/>
    <x v="1"/>
    <x v="3"/>
    <n v="2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8T00:00:00"/>
    <s v="kue kue"/>
    <s v="Cash"/>
    <x v="1"/>
    <x v="5"/>
    <n v="13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9T00:00:00"/>
    <s v="jajan  alfa"/>
    <s v="Cash"/>
    <x v="1"/>
    <x v="5"/>
    <n v="5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9T00:00:00"/>
    <s v="shopee"/>
    <s v="ATM"/>
    <x v="1"/>
    <x v="4"/>
    <n v="5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7T00:00:00"/>
    <s v="suamiku"/>
    <s v="ATM"/>
    <x v="1"/>
    <x v="2"/>
    <n v="15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09T00:00:00"/>
    <s v="Kue Putu"/>
    <s v="Cash"/>
    <x v="1"/>
    <x v="5"/>
    <n v="1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10T00:00:00"/>
    <s v="Seabank(shopee)"/>
    <s v="ATM"/>
    <x v="0"/>
    <x v="1"/>
    <n v="28988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10T00:00:00"/>
    <s v="Bensin "/>
    <s v="Cash"/>
    <x v="1"/>
    <x v="3"/>
    <n v="12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10T00:00:00"/>
    <s v="Tatik Tunai"/>
    <s v="ATM"/>
    <x v="1"/>
    <x v="1"/>
    <n v="25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10T00:00:00"/>
    <s v="Terima Tunai"/>
    <s v="Cash"/>
    <x v="0"/>
    <x v="1"/>
    <n v="25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d v="2026-09-10T00:00:00"/>
    <s v="kuee pagi"/>
    <s v="Cash"/>
    <x v="1"/>
    <x v="4"/>
    <n v="20000"/>
    <x v="1"/>
    <x v="8"/>
    <e v="#VALUE!"/>
    <n v="7093111"/>
    <n v="2972118"/>
    <n v="0"/>
    <n v="55000"/>
    <e v="#VALUE!"/>
    <n v="820700"/>
    <n v="0"/>
    <n v="137000"/>
    <n v="0"/>
    <n v="46126"/>
    <n v="12500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  <r>
    <m/>
    <m/>
    <m/>
    <x v="3"/>
    <x v="11"/>
    <m/>
    <x v="2"/>
    <x v="9"/>
    <e v="#VALUE!"/>
    <n v="0"/>
    <n v="0"/>
    <n v="0"/>
    <n v="0"/>
    <e v="#VALUE!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SUMMARY 3" cacheId="6" applyNumberFormats="0" applyBorderFormats="0" applyFontFormats="0" applyPatternFormats="0" applyAlignmentFormats="0" applyWidthHeightFormats="0" dataCaption="" updatedVersion="7" colGrandTotals="0" compact="0" compactData="0">
  <location ref="B35:K47" firstHeaderRow="1" firstDataRow="2" firstDataCol="1" rowPageCount="2" colPageCount="1"/>
  <pivotFields count="20">
    <pivotField name="Date" compact="0" numFmtId="164" outline="0" multipleItemSelectionAllowed="1" showAll="0"/>
    <pivotField name="Description" compact="0" outline="0" multipleItemSelectionAllowed="1" showAll="0"/>
    <pivotField name="ATM/Cash" compact="0" outline="0" multipleItemSelectionAllowed="1" showAll="0"/>
    <pivotField name="Type" axis="axisPage" compact="0" outline="0" multipleItemSelectionAllowed="1" showAll="0">
      <items count="5">
        <item h="1" x="0"/>
        <item x="1"/>
        <item h="1" x="2"/>
        <item h="1" x="3"/>
        <item t="default"/>
      </items>
    </pivotField>
    <pivotField name="OUT - Zela" axis="axisRow" compact="0" outline="0" multipleItemSelectionAllowed="1" showAll="0" sortType="ascending">
      <items count="13">
        <item x="8"/>
        <item x="6"/>
        <item x="0"/>
        <item x="2"/>
        <item x="5"/>
        <item x="4"/>
        <item x="10"/>
        <item x="3"/>
        <item h="1" x="1"/>
        <item x="7"/>
        <item x="9"/>
        <item h="1" x="11"/>
        <item t="default"/>
      </items>
    </pivotField>
    <pivotField name="Amount" dataField="1" compact="0" numFmtId="165" outline="0" multipleItemSelectionAllowed="1" showAll="0"/>
    <pivotField name="User" axis="axisPage" compact="0" outline="0" multipleItemSelectionAllowed="1" showAll="0">
      <items count="4">
        <item h="1" x="0"/>
        <item x="1"/>
        <item h="1" x="2"/>
        <item t="default"/>
      </items>
    </pivotField>
    <pivotField name="Bulan" axis="axisCol" compact="0" outline="0" multipleItemSelectionAllowed="1" showAll="0" sortType="ascending">
      <items count="11"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" compact="0" numFmtId="165" outline="0" multipleItemSelectionAllowed="1" showAll="0"/>
    <pivotField name="Out" compact="0" numFmtId="165" outline="0" multipleItemSelectionAllowed="1" showAll="0"/>
    <pivotField name="Fix" compact="0" numFmtId="165" outline="0" multipleItemSelectionAllowed="1" showAll="0"/>
    <pivotField name="Bathroom" compact="0" numFmtId="165" outline="0" multipleItemSelectionAllowed="1" showAll="0"/>
    <pivotField name="Alfa" compact="0" numFmtId="165" outline="0" multipleItemSelectionAllowed="1" showAll="0"/>
    <pivotField name="Jajan" compact="0" numFmtId="165" outline="0" multipleItemSelectionAllowed="1" showAll="0"/>
    <pivotField name="Kitchen" compact="0" numFmtId="165" outline="0" multipleItemSelectionAllowed="1" showAll="0"/>
    <pivotField name="Loandry" compact="0" numFmtId="165" outline="0" multipleItemSelectionAllowed="1" showAll="0"/>
    <pivotField name="Mio" compact="0" numFmtId="165" outline="0" multipleItemSelectionAllowed="1" showAll="0"/>
    <pivotField name="Sedekah" compact="0" numFmtId="165" outline="0" multipleItemSelectionAllowed="1" showAll="0"/>
    <pivotField name="Zela" compact="0" numFmtId="165" outline="0" multipleItemSelectionAllowed="1" showAll="0"/>
    <pivotField name="Iqbal" compact="0" numFmtId="165" outline="0" multipleItemSelectionAllowe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Fields count="1">
    <field x="7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pageFields count="2">
    <pageField fld="3" hier="0"/>
    <pageField fld="6" hier="0"/>
  </pageFields>
  <dataFields count="1">
    <dataField name="OUT" fld="5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ash_Flow_3" displayName="Cash_Flow_3" ref="A4:T1357">
  <autoFilter ref="A4:T1357" xr:uid="{00000000-0009-0000-0100-000002000000}"/>
  <tableColumns count="20">
    <tableColumn id="1" xr3:uid="{00000000-0010-0000-0000-000001000000}" name="Date"/>
    <tableColumn id="2" xr3:uid="{00000000-0010-0000-0000-000002000000}" name="Description"/>
    <tableColumn id="3" xr3:uid="{00000000-0010-0000-0000-000003000000}" name="ATM/Cash"/>
    <tableColumn id="4" xr3:uid="{00000000-0010-0000-0000-000004000000}" name="Type"/>
    <tableColumn id="5" xr3:uid="{00000000-0010-0000-0000-000005000000}" name="Category"/>
    <tableColumn id="6" xr3:uid="{00000000-0010-0000-0000-000006000000}" name="Amount"/>
    <tableColumn id="7" xr3:uid="{00000000-0010-0000-0000-000007000000}" name="Column 10"/>
    <tableColumn id="8" xr3:uid="{00000000-0010-0000-0000-000008000000}" name="Bulan"/>
    <tableColumn id="9" xr3:uid="{00000000-0010-0000-0000-000009000000}" name="In"/>
    <tableColumn id="10" xr3:uid="{00000000-0010-0000-0000-00000A000000}" name="Out"/>
    <tableColumn id="11" xr3:uid="{00000000-0010-0000-0000-00000B000000}" name="Fix"/>
    <tableColumn id="12" xr3:uid="{00000000-0010-0000-0000-00000C000000}" name="Bathroom"/>
    <tableColumn id="13" xr3:uid="{00000000-0010-0000-0000-00000D000000}" name="Alfa"/>
    <tableColumn id="14" xr3:uid="{00000000-0010-0000-0000-00000E000000}" name="Jajan"/>
    <tableColumn id="15" xr3:uid="{00000000-0010-0000-0000-00000F000000}" name="Kitchen"/>
    <tableColumn id="16" xr3:uid="{00000000-0010-0000-0000-000010000000}" name="Loandry"/>
    <tableColumn id="17" xr3:uid="{00000000-0010-0000-0000-000011000000}" name="Mio"/>
    <tableColumn id="18" xr3:uid="{00000000-0010-0000-0000-000012000000}" name="Sedekah"/>
    <tableColumn id="19" xr3:uid="{00000000-0010-0000-0000-000013000000}" name="Zela"/>
    <tableColumn id="20" xr3:uid="{00000000-0010-0000-0000-000014000000}" name="Iqbal"/>
  </tableColumns>
  <tableStyleInfo name="OUT_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sh_Flow" displayName="Cash_Flow" ref="A4:F1359">
  <autoFilter ref="A4:F1359" xr:uid="{00000000-0009-0000-0100-000001000000}"/>
  <tableColumns count="6">
    <tableColumn id="1" xr3:uid="{00000000-0010-0000-0100-000001000000}" name="Date"/>
    <tableColumn id="2" xr3:uid="{00000000-0010-0000-0100-000002000000}" name="Description"/>
    <tableColumn id="3" xr3:uid="{00000000-0010-0000-0100-000003000000}" name="ATM/Cash"/>
    <tableColumn id="4" xr3:uid="{00000000-0010-0000-0100-000004000000}" name="Type"/>
    <tableColumn id="5" xr3:uid="{00000000-0010-0000-0100-000005000000}" name="Category"/>
    <tableColumn id="6" xr3:uid="{00000000-0010-0000-0100-000006000000}" name="Amount"/>
  </tableColumns>
  <tableStyleInfo name="Iba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_Flow_2" displayName="Cash_Flow_2" ref="A4:F1359">
  <autoFilter ref="A4:F1359" xr:uid="{00000000-0009-0000-0100-000003000000}">
    <filterColumn colId="0">
      <filters>
        <dateGroupItem year="2026" month="9" dateTimeGrouping="month"/>
      </filters>
    </filterColumn>
    <filterColumn colId="3">
      <filters>
        <filter val="In"/>
      </filters>
    </filterColumn>
    <filterColumn colId="4">
      <filters>
        <filter val="TikTok"/>
      </filters>
    </filterColumn>
  </autoFilter>
  <tableColumns count="6">
    <tableColumn id="1" xr3:uid="{00000000-0010-0000-0200-000001000000}" name="Date"/>
    <tableColumn id="2" xr3:uid="{00000000-0010-0000-0200-000002000000}" name="Description"/>
    <tableColumn id="3" xr3:uid="{00000000-0010-0000-0200-000003000000}" name="ATM/Cash"/>
    <tableColumn id="4" xr3:uid="{00000000-0010-0000-0200-000004000000}" name="Type"/>
    <tableColumn id="5" xr3:uid="{00000000-0010-0000-0200-000005000000}" name="Category"/>
    <tableColumn id="6" xr3:uid="{00000000-0010-0000-0200-000006000000}" name="Amount"/>
  </tableColumns>
  <tableStyleInfo name="Zel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T1357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23.85546875" customWidth="1"/>
    <col min="2" max="2" width="45.5703125" customWidth="1"/>
    <col min="3" max="4" width="15.140625" customWidth="1"/>
    <col min="5" max="5" width="15.28515625" customWidth="1"/>
    <col min="6" max="6" width="26" customWidth="1"/>
    <col min="7" max="7" width="1.42578125" customWidth="1"/>
    <col min="8" max="8" width="13.28515625" customWidth="1"/>
    <col min="9" max="11" width="11.42578125" customWidth="1"/>
    <col min="12" max="12" width="12.85546875" customWidth="1"/>
    <col min="13" max="14" width="10.140625" customWidth="1"/>
    <col min="15" max="15" width="11.28515625" customWidth="1"/>
    <col min="16" max="16" width="11.5703125" customWidth="1"/>
    <col min="17" max="17" width="10.140625" customWidth="1"/>
    <col min="18" max="18" width="12" customWidth="1"/>
    <col min="19" max="19" width="9.28515625" customWidth="1"/>
    <col min="20" max="20" width="10.140625" customWidth="1"/>
  </cols>
  <sheetData>
    <row r="1" spans="1:20" ht="12.75" x14ac:dyDescent="0.2">
      <c r="A1" s="9" t="s">
        <v>39</v>
      </c>
      <c r="B1" s="11">
        <f>SUMIFS(Cash_Flow_3[Amount],Cash_Flow_3[Type],"In",Cash_Flow_3[Category],"Fix")-SUMIFS(Cash_Flow_3[Amount],Cash_Flow_3[Type],"Out",Cash_Flow_3[Category],"Move")</f>
        <v>11528011</v>
      </c>
      <c r="C1" s="5"/>
      <c r="D1" s="12" t="s">
        <v>43</v>
      </c>
      <c r="E1" s="92">
        <f>SUMIFS(Cash_Flow_3[Amount],Cash_Flow_3[ATM/Cash],"ATM",Cash_Flow_3[Type],"In")
-SUMIFS(Cash_Flow_3[Amount],Cash_Flow_3[ATM/Cash],"ATM",Cash_Flow_3[Type],"Out")
-SUMIFS(Cash_Flow_3[Amount],Cash_Flow_3[ATM/Cash],"ATM",Cash_Flow_3[Type],"Move")</f>
        <v>1228691</v>
      </c>
      <c r="F1" s="93"/>
      <c r="G1" s="13"/>
      <c r="H1" s="94" t="s">
        <v>45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spans="1:20" ht="12.75" x14ac:dyDescent="0.2">
      <c r="A2" s="14" t="s">
        <v>44</v>
      </c>
      <c r="B2" s="15">
        <f>SUMIFS(Cash_Flow_3[Amount],Cash_Flow_3[Type],"Out",Cash_Flow_3[Category],"&lt;&gt;Move")</f>
        <v>11407430</v>
      </c>
      <c r="C2" s="5"/>
      <c r="D2" s="16" t="s">
        <v>46</v>
      </c>
      <c r="E2" s="96">
        <f>SUMIFS(Cash_Flow_3[Amount],Cash_Flow_3[ATM/Cash],"Cash",Cash_Flow_3[Type],"In")
-SUMIFS(Cash_Flow_3[Amount],Cash_Flow_3[ATM/Cash],"Cash",Cash_Flow_3[Type],"Out")
+SUMIFS(Cash_Flow_3[Amount],Cash_Flow_3[ATM/Cash],"Cash",Cash_Flow_3[Type],"Move")</f>
        <v>96700</v>
      </c>
      <c r="F2" s="93"/>
      <c r="G2" s="17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</row>
    <row r="3" spans="1:20" ht="12.75" x14ac:dyDescent="0.2">
      <c r="A3" s="18"/>
      <c r="B3" s="3"/>
      <c r="C3" s="3"/>
      <c r="D3" s="19" t="s">
        <v>47</v>
      </c>
      <c r="E3" s="97">
        <f>SUM(E1:F2)</f>
        <v>1325391</v>
      </c>
      <c r="F3" s="93"/>
      <c r="G3" s="13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</row>
    <row r="4" spans="1:20" ht="22.5" customHeight="1" x14ac:dyDescent="0.2">
      <c r="A4" s="21" t="s">
        <v>49</v>
      </c>
      <c r="B4" s="21" t="s">
        <v>50</v>
      </c>
      <c r="C4" s="21" t="s">
        <v>51</v>
      </c>
      <c r="D4" s="21" t="s">
        <v>52</v>
      </c>
      <c r="E4" s="21" t="s">
        <v>53</v>
      </c>
      <c r="F4" s="21" t="s">
        <v>54</v>
      </c>
      <c r="G4" s="21" t="s">
        <v>55</v>
      </c>
      <c r="H4" s="22" t="s">
        <v>56</v>
      </c>
      <c r="I4" s="22" t="s">
        <v>39</v>
      </c>
      <c r="J4" s="22" t="s">
        <v>44</v>
      </c>
      <c r="K4" s="22" t="s">
        <v>0</v>
      </c>
      <c r="L4" s="22" t="s">
        <v>4</v>
      </c>
      <c r="M4" s="22" t="s">
        <v>1</v>
      </c>
      <c r="N4" s="22" t="s">
        <v>2</v>
      </c>
      <c r="O4" s="22" t="s">
        <v>3</v>
      </c>
      <c r="P4" s="22" t="s">
        <v>5</v>
      </c>
      <c r="Q4" s="22" t="s">
        <v>6</v>
      </c>
      <c r="R4" s="22" t="s">
        <v>10</v>
      </c>
      <c r="S4" s="22" t="s">
        <v>7</v>
      </c>
      <c r="T4" s="22" t="s">
        <v>8</v>
      </c>
    </row>
    <row r="5" spans="1:20" ht="22.5" customHeight="1" x14ac:dyDescent="0.2">
      <c r="A5" s="23">
        <v>46050</v>
      </c>
      <c r="B5" s="24" t="s">
        <v>57</v>
      </c>
      <c r="C5" s="25" t="s">
        <v>43</v>
      </c>
      <c r="D5" s="25" t="s">
        <v>39</v>
      </c>
      <c r="E5" s="25" t="s">
        <v>0</v>
      </c>
      <c r="F5" s="26">
        <v>15590</v>
      </c>
      <c r="G5" s="27"/>
      <c r="H5" s="28">
        <f t="shared" ref="H5:H1357" si="0">IF(A5="","", DATE(YEAR(A5),MONTH(A5),1)
)</f>
        <v>46023</v>
      </c>
      <c r="I5" s="29">
        <f>SUMIFS(Cash_Flow_3[Amount],Cash_Flow_3[Bulan],H5,Cash_Flow_3[Type],"In")</f>
        <v>543327</v>
      </c>
      <c r="J5" s="29">
        <f>SUMIFS(Cash_Flow_3[Amount],Cash_Flow_3[Bulan],H5,Cash_Flow_3[Type],"Out")</f>
        <v>475850</v>
      </c>
      <c r="K5" s="29">
        <f>SUMIFS(Cash_Flow_3[Amount],Cash_Flow_3[Bulan],H5,Cash_Flow_3[Type],"Out",Cash_Flow_3[Category],"Fix")</f>
        <v>114450</v>
      </c>
      <c r="L5" s="29">
        <f>SUMIFS(Cash_Flow_3[Amount],Cash_Flow_3[Bulan],H5,Cash_Flow_3[Type],"Out",Cash_Flow_3[Category],"Bathroom")</f>
        <v>0</v>
      </c>
      <c r="M5" s="29">
        <f>SUMIFS(Cash_Flow_3[Amount],Cash_Flow_3[Bulan],H5,Cash_Flow_3[Type],"Out",Cash_Flow_3[Category],"Alfa")</f>
        <v>36400</v>
      </c>
      <c r="N5" s="29">
        <f>SUMIFS(Cash_Flow_3[Amount],Cash_Flow_3[Bulan],H5,Cash_Flow_3[Type],"Out",Cash_Flow_3[Category],"Jajan")</f>
        <v>38000</v>
      </c>
      <c r="O5" s="29">
        <f>SUMIFS(Cash_Flow_3[Amount],Cash_Flow_3[Bulan],H5,Cash_Flow_3[Type],"Out",Cash_Flow_3[Category],"Kitchen")</f>
        <v>87000</v>
      </c>
      <c r="P5" s="29">
        <f>SUMIFS(Cash_Flow_3[Amount],Cash_Flow_3[Bulan],H5,Cash_Flow_3[Type],"Out",Cash_Flow_3[Category],"Loandry")</f>
        <v>0</v>
      </c>
      <c r="Q5" s="29">
        <f>SUMIFS(Cash_Flow_3[Amount],Cash_Flow_3[Bulan],H5,Cash_Flow_3[Type],"Out",Cash_Flow_3[Category],"Mio")</f>
        <v>0</v>
      </c>
      <c r="R5" s="29">
        <f>SUMIFS(Cash_Flow_3[Amount],Cash_Flow_3[Bulan],H5,Cash_Flow_3[Type],"Out",Cash_Flow_3[Category],"Sedekah")</f>
        <v>0</v>
      </c>
      <c r="S5" s="29">
        <f>SUMIFS(Cash_Flow_3[Amount],Cash_Flow_3[Bulan],H5,Cash_Flow_3[Type],"Out",Cash_Flow_3[Category],"Zela")</f>
        <v>0</v>
      </c>
      <c r="T5" s="29">
        <f>SUMIFS(Cash_Flow_3[Amount],Cash_Flow_3[Bulan],H5,Cash_Flow_3[Type],"Out",Cash_Flow_3[Category],"Iqbal")</f>
        <v>0</v>
      </c>
    </row>
    <row r="6" spans="1:20" ht="22.5" customHeight="1" x14ac:dyDescent="0.2">
      <c r="A6" s="23">
        <v>46051</v>
      </c>
      <c r="B6" s="24" t="s">
        <v>31</v>
      </c>
      <c r="C6" s="25" t="s">
        <v>43</v>
      </c>
      <c r="D6" s="25" t="s">
        <v>39</v>
      </c>
      <c r="E6" s="25" t="s">
        <v>0</v>
      </c>
      <c r="F6" s="26">
        <v>300000</v>
      </c>
      <c r="G6" s="27"/>
      <c r="H6" s="28">
        <f t="shared" si="0"/>
        <v>46023</v>
      </c>
      <c r="I6" s="29">
        <f>SUMIFS(Cash_Flow_3[Amount],Cash_Flow_3[Bulan],H6,Cash_Flow_3[Type],"In")</f>
        <v>543327</v>
      </c>
      <c r="J6" s="29">
        <f>SUMIFS(Cash_Flow_3[Amount],Cash_Flow_3[Bulan],H6,Cash_Flow_3[Type],"Out")</f>
        <v>475850</v>
      </c>
      <c r="K6" s="29">
        <f>SUMIFS(Cash_Flow_3[Amount],Cash_Flow_3[Bulan],H6,Cash_Flow_3[Type],"Out",Cash_Flow_3[Category],"Fix")</f>
        <v>114450</v>
      </c>
      <c r="L6" s="29">
        <f>SUMIFS(Cash_Flow_3[Amount],Cash_Flow_3[Bulan],H6,Cash_Flow_3[Type],"Out",Cash_Flow_3[Category],"Bathroom")</f>
        <v>0</v>
      </c>
      <c r="M6" s="29">
        <f>SUMIFS(Cash_Flow_3[Amount],Cash_Flow_3[Bulan],H6,Cash_Flow_3[Type],"Out",Cash_Flow_3[Category],"Alfa")</f>
        <v>36400</v>
      </c>
      <c r="N6" s="29">
        <f>SUMIFS(Cash_Flow_3[Amount],Cash_Flow_3[Bulan],H6,Cash_Flow_3[Type],"Out",Cash_Flow_3[Category],"Jajan")</f>
        <v>38000</v>
      </c>
      <c r="O6" s="29">
        <f>SUMIFS(Cash_Flow_3[Amount],Cash_Flow_3[Bulan],H6,Cash_Flow_3[Type],"Out",Cash_Flow_3[Category],"Kitchen")</f>
        <v>87000</v>
      </c>
      <c r="P6" s="29">
        <f>SUMIFS(Cash_Flow_3[Amount],Cash_Flow_3[Bulan],H6,Cash_Flow_3[Type],"Out",Cash_Flow_3[Category],"Loandry")</f>
        <v>0</v>
      </c>
      <c r="Q6" s="29">
        <f>SUMIFS(Cash_Flow_3[Amount],Cash_Flow_3[Bulan],H6,Cash_Flow_3[Type],"Out",Cash_Flow_3[Category],"Mio")</f>
        <v>0</v>
      </c>
      <c r="R6" s="29">
        <f>SUMIFS(Cash_Flow_3[Amount],Cash_Flow_3[Bulan],H6,Cash_Flow_3[Type],"Out",Cash_Flow_3[Category],"Sedekah")</f>
        <v>0</v>
      </c>
      <c r="S6" s="29">
        <f>SUMIFS(Cash_Flow_3[Amount],Cash_Flow_3[Bulan],H6,Cash_Flow_3[Type],"Out",Cash_Flow_3[Category],"Zela")</f>
        <v>0</v>
      </c>
      <c r="T6" s="29">
        <f>SUMIFS(Cash_Flow_3[Amount],Cash_Flow_3[Bulan],H6,Cash_Flow_3[Type],"Out",Cash_Flow_3[Category],"Iqbal")</f>
        <v>0</v>
      </c>
    </row>
    <row r="7" spans="1:20" ht="22.5" customHeight="1" x14ac:dyDescent="0.2">
      <c r="A7" s="23">
        <v>46051</v>
      </c>
      <c r="B7" s="24" t="s">
        <v>58</v>
      </c>
      <c r="C7" s="25" t="s">
        <v>43</v>
      </c>
      <c r="D7" s="25" t="s">
        <v>44</v>
      </c>
      <c r="E7" s="25" t="s">
        <v>9</v>
      </c>
      <c r="F7" s="26">
        <v>150000</v>
      </c>
      <c r="G7" s="27"/>
      <c r="H7" s="28">
        <f t="shared" si="0"/>
        <v>46023</v>
      </c>
      <c r="I7" s="29">
        <f>SUMIFS(Cash_Flow_3[Amount],Cash_Flow_3[Bulan],H7,Cash_Flow_3[Type],"In")</f>
        <v>543327</v>
      </c>
      <c r="J7" s="29">
        <f>SUMIFS(Cash_Flow_3[Amount],Cash_Flow_3[Bulan],H7,Cash_Flow_3[Type],"Out")</f>
        <v>475850</v>
      </c>
      <c r="K7" s="29">
        <f>SUMIFS(Cash_Flow_3[Amount],Cash_Flow_3[Bulan],H7,Cash_Flow_3[Type],"Out",Cash_Flow_3[Category],"Fix")</f>
        <v>114450</v>
      </c>
      <c r="L7" s="29">
        <f>SUMIFS(Cash_Flow_3[Amount],Cash_Flow_3[Bulan],H7,Cash_Flow_3[Type],"Out",Cash_Flow_3[Category],"Bathroom")</f>
        <v>0</v>
      </c>
      <c r="M7" s="29">
        <f>SUMIFS(Cash_Flow_3[Amount],Cash_Flow_3[Bulan],H7,Cash_Flow_3[Type],"Out",Cash_Flow_3[Category],"Alfa")</f>
        <v>36400</v>
      </c>
      <c r="N7" s="29">
        <f>SUMIFS(Cash_Flow_3[Amount],Cash_Flow_3[Bulan],H7,Cash_Flow_3[Type],"Out",Cash_Flow_3[Category],"Jajan")</f>
        <v>38000</v>
      </c>
      <c r="O7" s="29">
        <f>SUMIFS(Cash_Flow_3[Amount],Cash_Flow_3[Bulan],H7,Cash_Flow_3[Type],"Out",Cash_Flow_3[Category],"Kitchen")</f>
        <v>87000</v>
      </c>
      <c r="P7" s="29">
        <f>SUMIFS(Cash_Flow_3[Amount],Cash_Flow_3[Bulan],H7,Cash_Flow_3[Type],"Out",Cash_Flow_3[Category],"Loandry")</f>
        <v>0</v>
      </c>
      <c r="Q7" s="29">
        <f>SUMIFS(Cash_Flow_3[Amount],Cash_Flow_3[Bulan],H7,Cash_Flow_3[Type],"Out",Cash_Flow_3[Category],"Mio")</f>
        <v>0</v>
      </c>
      <c r="R7" s="29">
        <f>SUMIFS(Cash_Flow_3[Amount],Cash_Flow_3[Bulan],H7,Cash_Flow_3[Type],"Out",Cash_Flow_3[Category],"Sedekah")</f>
        <v>0</v>
      </c>
      <c r="S7" s="29">
        <f>SUMIFS(Cash_Flow_3[Amount],Cash_Flow_3[Bulan],H7,Cash_Flow_3[Type],"Out",Cash_Flow_3[Category],"Zela")</f>
        <v>0</v>
      </c>
      <c r="T7" s="29">
        <f>SUMIFS(Cash_Flow_3[Amount],Cash_Flow_3[Bulan],H7,Cash_Flow_3[Type],"Out",Cash_Flow_3[Category],"Iqbal")</f>
        <v>0</v>
      </c>
    </row>
    <row r="8" spans="1:20" ht="22.5" customHeight="1" x14ac:dyDescent="0.2">
      <c r="A8" s="23">
        <v>46051</v>
      </c>
      <c r="B8" s="24" t="s">
        <v>59</v>
      </c>
      <c r="C8" s="25" t="s">
        <v>43</v>
      </c>
      <c r="D8" s="25" t="s">
        <v>44</v>
      </c>
      <c r="E8" s="25" t="s">
        <v>0</v>
      </c>
      <c r="F8" s="26">
        <v>99450</v>
      </c>
      <c r="G8" s="27"/>
      <c r="H8" s="28">
        <f t="shared" si="0"/>
        <v>46023</v>
      </c>
      <c r="I8" s="29">
        <f>SUMIFS(Cash_Flow_3[Amount],Cash_Flow_3[Bulan],H8,Cash_Flow_3[Type],"In")</f>
        <v>543327</v>
      </c>
      <c r="J8" s="29">
        <f>SUMIFS(Cash_Flow_3[Amount],Cash_Flow_3[Bulan],H8,Cash_Flow_3[Type],"Out")</f>
        <v>475850</v>
      </c>
      <c r="K8" s="29">
        <f>SUMIFS(Cash_Flow_3[Amount],Cash_Flow_3[Bulan],H8,Cash_Flow_3[Type],"Out",Cash_Flow_3[Category],"Fix")</f>
        <v>114450</v>
      </c>
      <c r="L8" s="29">
        <f>SUMIFS(Cash_Flow_3[Amount],Cash_Flow_3[Bulan],H8,Cash_Flow_3[Type],"Out",Cash_Flow_3[Category],"Bathroom")</f>
        <v>0</v>
      </c>
      <c r="M8" s="29">
        <f>SUMIFS(Cash_Flow_3[Amount],Cash_Flow_3[Bulan],H8,Cash_Flow_3[Type],"Out",Cash_Flow_3[Category],"Alfa")</f>
        <v>36400</v>
      </c>
      <c r="N8" s="29">
        <f>SUMIFS(Cash_Flow_3[Amount],Cash_Flow_3[Bulan],H8,Cash_Flow_3[Type],"Out",Cash_Flow_3[Category],"Jajan")</f>
        <v>38000</v>
      </c>
      <c r="O8" s="29">
        <f>SUMIFS(Cash_Flow_3[Amount],Cash_Flow_3[Bulan],H8,Cash_Flow_3[Type],"Out",Cash_Flow_3[Category],"Kitchen")</f>
        <v>87000</v>
      </c>
      <c r="P8" s="29">
        <f>SUMIFS(Cash_Flow_3[Amount],Cash_Flow_3[Bulan],H8,Cash_Flow_3[Type],"Out",Cash_Flow_3[Category],"Loandry")</f>
        <v>0</v>
      </c>
      <c r="Q8" s="29">
        <f>SUMIFS(Cash_Flow_3[Amount],Cash_Flow_3[Bulan],H8,Cash_Flow_3[Type],"Out",Cash_Flow_3[Category],"Mio")</f>
        <v>0</v>
      </c>
      <c r="R8" s="29">
        <f>SUMIFS(Cash_Flow_3[Amount],Cash_Flow_3[Bulan],H8,Cash_Flow_3[Type],"Out",Cash_Flow_3[Category],"Sedekah")</f>
        <v>0</v>
      </c>
      <c r="S8" s="29">
        <f>SUMIFS(Cash_Flow_3[Amount],Cash_Flow_3[Bulan],H8,Cash_Flow_3[Type],"Out",Cash_Flow_3[Category],"Zela")</f>
        <v>0</v>
      </c>
      <c r="T8" s="29">
        <f>SUMIFS(Cash_Flow_3[Amount],Cash_Flow_3[Bulan],H8,Cash_Flow_3[Type],"Out",Cash_Flow_3[Category],"Iqbal")</f>
        <v>0</v>
      </c>
    </row>
    <row r="9" spans="1:20" ht="22.5" customHeight="1" x14ac:dyDescent="0.2">
      <c r="A9" s="23">
        <v>46052</v>
      </c>
      <c r="B9" s="24" t="s">
        <v>58</v>
      </c>
      <c r="C9" s="25" t="s">
        <v>43</v>
      </c>
      <c r="D9" s="25" t="s">
        <v>44</v>
      </c>
      <c r="E9" s="25" t="s">
        <v>9</v>
      </c>
      <c r="F9" s="26">
        <v>50000</v>
      </c>
      <c r="G9" s="27"/>
      <c r="H9" s="28">
        <f t="shared" si="0"/>
        <v>46023</v>
      </c>
      <c r="I9" s="29">
        <f>SUMIFS(Cash_Flow_3[Amount],Cash_Flow_3[Bulan],H9,Cash_Flow_3[Type],"In")</f>
        <v>543327</v>
      </c>
      <c r="J9" s="29">
        <f>SUMIFS(Cash_Flow_3[Amount],Cash_Flow_3[Bulan],H9,Cash_Flow_3[Type],"Out")</f>
        <v>475850</v>
      </c>
      <c r="K9" s="29">
        <f>SUMIFS(Cash_Flow_3[Amount],Cash_Flow_3[Bulan],H9,Cash_Flow_3[Type],"Out",Cash_Flow_3[Category],"Fix")</f>
        <v>114450</v>
      </c>
      <c r="L9" s="29">
        <f>SUMIFS(Cash_Flow_3[Amount],Cash_Flow_3[Bulan],H9,Cash_Flow_3[Type],"Out",Cash_Flow_3[Category],"Bathroom")</f>
        <v>0</v>
      </c>
      <c r="M9" s="29">
        <f>SUMIFS(Cash_Flow_3[Amount],Cash_Flow_3[Bulan],H9,Cash_Flow_3[Type],"Out",Cash_Flow_3[Category],"Alfa")</f>
        <v>36400</v>
      </c>
      <c r="N9" s="29">
        <f>SUMIFS(Cash_Flow_3[Amount],Cash_Flow_3[Bulan],H9,Cash_Flow_3[Type],"Out",Cash_Flow_3[Category],"Jajan")</f>
        <v>38000</v>
      </c>
      <c r="O9" s="29">
        <f>SUMIFS(Cash_Flow_3[Amount],Cash_Flow_3[Bulan],H9,Cash_Flow_3[Type],"Out",Cash_Flow_3[Category],"Kitchen")</f>
        <v>87000</v>
      </c>
      <c r="P9" s="29">
        <f>SUMIFS(Cash_Flow_3[Amount],Cash_Flow_3[Bulan],H9,Cash_Flow_3[Type],"Out",Cash_Flow_3[Category],"Loandry")</f>
        <v>0</v>
      </c>
      <c r="Q9" s="29">
        <f>SUMIFS(Cash_Flow_3[Amount],Cash_Flow_3[Bulan],H9,Cash_Flow_3[Type],"Out",Cash_Flow_3[Category],"Mio")</f>
        <v>0</v>
      </c>
      <c r="R9" s="29">
        <f>SUMIFS(Cash_Flow_3[Amount],Cash_Flow_3[Bulan],H9,Cash_Flow_3[Type],"Out",Cash_Flow_3[Category],"Sedekah")</f>
        <v>0</v>
      </c>
      <c r="S9" s="29">
        <f>SUMIFS(Cash_Flow_3[Amount],Cash_Flow_3[Bulan],H9,Cash_Flow_3[Type],"Out",Cash_Flow_3[Category],"Zela")</f>
        <v>0</v>
      </c>
      <c r="T9" s="29">
        <f>SUMIFS(Cash_Flow_3[Amount],Cash_Flow_3[Bulan],H9,Cash_Flow_3[Type],"Out",Cash_Flow_3[Category],"Iqbal")</f>
        <v>0</v>
      </c>
    </row>
    <row r="10" spans="1:20" ht="22.5" customHeight="1" x14ac:dyDescent="0.2">
      <c r="A10" s="23">
        <v>46055</v>
      </c>
      <c r="B10" s="24" t="s">
        <v>33</v>
      </c>
      <c r="C10" s="25" t="s">
        <v>43</v>
      </c>
      <c r="D10" s="25" t="s">
        <v>39</v>
      </c>
      <c r="E10" s="25" t="s">
        <v>0</v>
      </c>
      <c r="F10" s="26">
        <v>4353235</v>
      </c>
      <c r="G10" s="27"/>
      <c r="H10" s="28">
        <f t="shared" si="0"/>
        <v>46054</v>
      </c>
      <c r="I10" s="29">
        <f>SUMIFS(Cash_Flow_3[Amount],Cash_Flow_3[Bulan],H10,Cash_Flow_3[Type],"In")</f>
        <v>7073728</v>
      </c>
      <c r="J10" s="29">
        <f>SUMIFS(Cash_Flow_3[Amount],Cash_Flow_3[Bulan],H10,Cash_Flow_3[Type],"Out")</f>
        <v>6908733</v>
      </c>
      <c r="K10" s="29">
        <f>SUMIFS(Cash_Flow_3[Amount],Cash_Flow_3[Bulan],H10,Cash_Flow_3[Type],"Out",Cash_Flow_3[Category],"Fix")</f>
        <v>2440568</v>
      </c>
      <c r="L10" s="29">
        <f>SUMIFS(Cash_Flow_3[Amount],Cash_Flow_3[Bulan],H10,Cash_Flow_3[Type],"Out",Cash_Flow_3[Category],"Bathroom")</f>
        <v>34500</v>
      </c>
      <c r="M10" s="29">
        <f>SUMIFS(Cash_Flow_3[Amount],Cash_Flow_3[Bulan],H10,Cash_Flow_3[Type],"Out",Cash_Flow_3[Category],"Alfa")</f>
        <v>293800</v>
      </c>
      <c r="N10" s="29">
        <f>SUMIFS(Cash_Flow_3[Amount],Cash_Flow_3[Bulan],H10,Cash_Flow_3[Type],"Out",Cash_Flow_3[Category],"Jajan")</f>
        <v>364000</v>
      </c>
      <c r="O10" s="29">
        <f>SUMIFS(Cash_Flow_3[Amount],Cash_Flow_3[Bulan],H10,Cash_Flow_3[Type],"Out",Cash_Flow_3[Category],"Kitchen")</f>
        <v>992724</v>
      </c>
      <c r="P10" s="29">
        <f>SUMIFS(Cash_Flow_3[Amount],Cash_Flow_3[Bulan],H10,Cash_Flow_3[Type],"Out",Cash_Flow_3[Category],"Loandry")</f>
        <v>41600</v>
      </c>
      <c r="Q10" s="29">
        <f>SUMIFS(Cash_Flow_3[Amount],Cash_Flow_3[Bulan],H10,Cash_Flow_3[Type],"Out",Cash_Flow_3[Category],"Mio")</f>
        <v>249000</v>
      </c>
      <c r="R10" s="29">
        <f>SUMIFS(Cash_Flow_3[Amount],Cash_Flow_3[Bulan],H10,Cash_Flow_3[Type],"Out",Cash_Flow_3[Category],"Sedekah")</f>
        <v>129000</v>
      </c>
      <c r="S10" s="29">
        <f>SUMIFS(Cash_Flow_3[Amount],Cash_Flow_3[Bulan],H10,Cash_Flow_3[Type],"Out",Cash_Flow_3[Category],"Zela")</f>
        <v>24100</v>
      </c>
      <c r="T10" s="29">
        <f>SUMIFS(Cash_Flow_3[Amount],Cash_Flow_3[Bulan],H10,Cash_Flow_3[Type],"Out",Cash_Flow_3[Category],"Iqbal")</f>
        <v>121000</v>
      </c>
    </row>
    <row r="11" spans="1:20" ht="22.5" customHeight="1" x14ac:dyDescent="0.2">
      <c r="A11" s="23">
        <v>46055</v>
      </c>
      <c r="B11" s="24" t="s">
        <v>60</v>
      </c>
      <c r="C11" s="25" t="s">
        <v>43</v>
      </c>
      <c r="D11" s="25" t="s">
        <v>44</v>
      </c>
      <c r="E11" s="25" t="s">
        <v>0</v>
      </c>
      <c r="F11" s="26">
        <v>25000</v>
      </c>
      <c r="G11" s="27"/>
      <c r="H11" s="28">
        <f t="shared" si="0"/>
        <v>46054</v>
      </c>
      <c r="I11" s="29">
        <f>SUMIFS(Cash_Flow_3[Amount],Cash_Flow_3[Bulan],H11,Cash_Flow_3[Type],"In")</f>
        <v>7073728</v>
      </c>
      <c r="J11" s="29">
        <f>SUMIFS(Cash_Flow_3[Amount],Cash_Flow_3[Bulan],H11,Cash_Flow_3[Type],"Out")</f>
        <v>6908733</v>
      </c>
      <c r="K11" s="29">
        <f>SUMIFS(Cash_Flow_3[Amount],Cash_Flow_3[Bulan],H11,Cash_Flow_3[Type],"Out",Cash_Flow_3[Category],"Fix")</f>
        <v>2440568</v>
      </c>
      <c r="L11" s="29">
        <f>SUMIFS(Cash_Flow_3[Amount],Cash_Flow_3[Bulan],H11,Cash_Flow_3[Type],"Out",Cash_Flow_3[Category],"Bathroom")</f>
        <v>34500</v>
      </c>
      <c r="M11" s="29">
        <f>SUMIFS(Cash_Flow_3[Amount],Cash_Flow_3[Bulan],H11,Cash_Flow_3[Type],"Out",Cash_Flow_3[Category],"Alfa")</f>
        <v>293800</v>
      </c>
      <c r="N11" s="29">
        <f>SUMIFS(Cash_Flow_3[Amount],Cash_Flow_3[Bulan],H11,Cash_Flow_3[Type],"Out",Cash_Flow_3[Category],"Jajan")</f>
        <v>364000</v>
      </c>
      <c r="O11" s="29">
        <f>SUMIFS(Cash_Flow_3[Amount],Cash_Flow_3[Bulan],H11,Cash_Flow_3[Type],"Out",Cash_Flow_3[Category],"Kitchen")</f>
        <v>992724</v>
      </c>
      <c r="P11" s="29">
        <f>SUMIFS(Cash_Flow_3[Amount],Cash_Flow_3[Bulan],H11,Cash_Flow_3[Type],"Out",Cash_Flow_3[Category],"Loandry")</f>
        <v>41600</v>
      </c>
      <c r="Q11" s="29">
        <f>SUMIFS(Cash_Flow_3[Amount],Cash_Flow_3[Bulan],H11,Cash_Flow_3[Type],"Out",Cash_Flow_3[Category],"Mio")</f>
        <v>249000</v>
      </c>
      <c r="R11" s="29">
        <f>SUMIFS(Cash_Flow_3[Amount],Cash_Flow_3[Bulan],H11,Cash_Flow_3[Type],"Out",Cash_Flow_3[Category],"Sedekah")</f>
        <v>129000</v>
      </c>
      <c r="S11" s="29">
        <f>SUMIFS(Cash_Flow_3[Amount],Cash_Flow_3[Bulan],H11,Cash_Flow_3[Type],"Out",Cash_Flow_3[Category],"Zela")</f>
        <v>24100</v>
      </c>
      <c r="T11" s="29">
        <f>SUMIFS(Cash_Flow_3[Amount],Cash_Flow_3[Bulan],H11,Cash_Flow_3[Type],"Out",Cash_Flow_3[Category],"Iqbal")</f>
        <v>121000</v>
      </c>
    </row>
    <row r="12" spans="1:20" ht="22.5" customHeight="1" x14ac:dyDescent="0.2">
      <c r="A12" s="23">
        <v>46055</v>
      </c>
      <c r="B12" s="24" t="s">
        <v>58</v>
      </c>
      <c r="C12" s="25" t="s">
        <v>43</v>
      </c>
      <c r="D12" s="25" t="s">
        <v>44</v>
      </c>
      <c r="E12" s="25" t="s">
        <v>9</v>
      </c>
      <c r="F12" s="26">
        <v>1774441</v>
      </c>
      <c r="G12" s="27"/>
      <c r="H12" s="28">
        <f t="shared" si="0"/>
        <v>46054</v>
      </c>
      <c r="I12" s="29">
        <f>SUMIFS(Cash_Flow_3[Amount],Cash_Flow_3[Bulan],H12,Cash_Flow_3[Type],"In")</f>
        <v>7073728</v>
      </c>
      <c r="J12" s="29">
        <f>SUMIFS(Cash_Flow_3[Amount],Cash_Flow_3[Bulan],H12,Cash_Flow_3[Type],"Out")</f>
        <v>6908733</v>
      </c>
      <c r="K12" s="29">
        <f>SUMIFS(Cash_Flow_3[Amount],Cash_Flow_3[Bulan],H12,Cash_Flow_3[Type],"Out",Cash_Flow_3[Category],"Fix")</f>
        <v>2440568</v>
      </c>
      <c r="L12" s="29">
        <f>SUMIFS(Cash_Flow_3[Amount],Cash_Flow_3[Bulan],H12,Cash_Flow_3[Type],"Out",Cash_Flow_3[Category],"Bathroom")</f>
        <v>34500</v>
      </c>
      <c r="M12" s="29">
        <f>SUMIFS(Cash_Flow_3[Amount],Cash_Flow_3[Bulan],H12,Cash_Flow_3[Type],"Out",Cash_Flow_3[Category],"Alfa")</f>
        <v>293800</v>
      </c>
      <c r="N12" s="29">
        <f>SUMIFS(Cash_Flow_3[Amount],Cash_Flow_3[Bulan],H12,Cash_Flow_3[Type],"Out",Cash_Flow_3[Category],"Jajan")</f>
        <v>364000</v>
      </c>
      <c r="O12" s="29">
        <f>SUMIFS(Cash_Flow_3[Amount],Cash_Flow_3[Bulan],H12,Cash_Flow_3[Type],"Out",Cash_Flow_3[Category],"Kitchen")</f>
        <v>992724</v>
      </c>
      <c r="P12" s="29">
        <f>SUMIFS(Cash_Flow_3[Amount],Cash_Flow_3[Bulan],H12,Cash_Flow_3[Type],"Out",Cash_Flow_3[Category],"Loandry")</f>
        <v>41600</v>
      </c>
      <c r="Q12" s="29">
        <f>SUMIFS(Cash_Flow_3[Amount],Cash_Flow_3[Bulan],H12,Cash_Flow_3[Type],"Out",Cash_Flow_3[Category],"Mio")</f>
        <v>249000</v>
      </c>
      <c r="R12" s="29">
        <f>SUMIFS(Cash_Flow_3[Amount],Cash_Flow_3[Bulan],H12,Cash_Flow_3[Type],"Out",Cash_Flow_3[Category],"Sedekah")</f>
        <v>129000</v>
      </c>
      <c r="S12" s="29">
        <f>SUMIFS(Cash_Flow_3[Amount],Cash_Flow_3[Bulan],H12,Cash_Flow_3[Type],"Out",Cash_Flow_3[Category],"Zela")</f>
        <v>24100</v>
      </c>
      <c r="T12" s="29">
        <f>SUMIFS(Cash_Flow_3[Amount],Cash_Flow_3[Bulan],H12,Cash_Flow_3[Type],"Out",Cash_Flow_3[Category],"Iqbal")</f>
        <v>121000</v>
      </c>
    </row>
    <row r="13" spans="1:20" ht="22.5" customHeight="1" x14ac:dyDescent="0.2">
      <c r="A13" s="23">
        <v>46055</v>
      </c>
      <c r="B13" s="24" t="s">
        <v>61</v>
      </c>
      <c r="C13" s="25" t="s">
        <v>43</v>
      </c>
      <c r="D13" s="25" t="s">
        <v>44</v>
      </c>
      <c r="E13" s="25" t="s">
        <v>0</v>
      </c>
      <c r="F13" s="26">
        <v>300000</v>
      </c>
      <c r="G13" s="27"/>
      <c r="H13" s="28">
        <f t="shared" si="0"/>
        <v>46054</v>
      </c>
      <c r="I13" s="29">
        <f>SUMIFS(Cash_Flow_3[Amount],Cash_Flow_3[Bulan],H13,Cash_Flow_3[Type],"In")</f>
        <v>7073728</v>
      </c>
      <c r="J13" s="29">
        <f>SUMIFS(Cash_Flow_3[Amount],Cash_Flow_3[Bulan],H13,Cash_Flow_3[Type],"Out")</f>
        <v>6908733</v>
      </c>
      <c r="K13" s="29">
        <f>SUMIFS(Cash_Flow_3[Amount],Cash_Flow_3[Bulan],H13,Cash_Flow_3[Type],"Out",Cash_Flow_3[Category],"Fix")</f>
        <v>2440568</v>
      </c>
      <c r="L13" s="29">
        <f>SUMIFS(Cash_Flow_3[Amount],Cash_Flow_3[Bulan],H13,Cash_Flow_3[Type],"Out",Cash_Flow_3[Category],"Bathroom")</f>
        <v>34500</v>
      </c>
      <c r="M13" s="29">
        <f>SUMIFS(Cash_Flow_3[Amount],Cash_Flow_3[Bulan],H13,Cash_Flow_3[Type],"Out",Cash_Flow_3[Category],"Alfa")</f>
        <v>293800</v>
      </c>
      <c r="N13" s="29">
        <f>SUMIFS(Cash_Flow_3[Amount],Cash_Flow_3[Bulan],H13,Cash_Flow_3[Type],"Out",Cash_Flow_3[Category],"Jajan")</f>
        <v>364000</v>
      </c>
      <c r="O13" s="29">
        <f>SUMIFS(Cash_Flow_3[Amount],Cash_Flow_3[Bulan],H13,Cash_Flow_3[Type],"Out",Cash_Flow_3[Category],"Kitchen")</f>
        <v>992724</v>
      </c>
      <c r="P13" s="29">
        <f>SUMIFS(Cash_Flow_3[Amount],Cash_Flow_3[Bulan],H13,Cash_Flow_3[Type],"Out",Cash_Flow_3[Category],"Loandry")</f>
        <v>41600</v>
      </c>
      <c r="Q13" s="29">
        <f>SUMIFS(Cash_Flow_3[Amount],Cash_Flow_3[Bulan],H13,Cash_Flow_3[Type],"Out",Cash_Flow_3[Category],"Mio")</f>
        <v>249000</v>
      </c>
      <c r="R13" s="29">
        <f>SUMIFS(Cash_Flow_3[Amount],Cash_Flow_3[Bulan],H13,Cash_Flow_3[Type],"Out",Cash_Flow_3[Category],"Sedekah")</f>
        <v>129000</v>
      </c>
      <c r="S13" s="29">
        <f>SUMIFS(Cash_Flow_3[Amount],Cash_Flow_3[Bulan],H13,Cash_Flow_3[Type],"Out",Cash_Flow_3[Category],"Zela")</f>
        <v>24100</v>
      </c>
      <c r="T13" s="29">
        <f>SUMIFS(Cash_Flow_3[Amount],Cash_Flow_3[Bulan],H13,Cash_Flow_3[Type],"Out",Cash_Flow_3[Category],"Iqbal")</f>
        <v>121000</v>
      </c>
    </row>
    <row r="14" spans="1:20" ht="22.5" customHeight="1" x14ac:dyDescent="0.2">
      <c r="A14" s="23">
        <v>46055</v>
      </c>
      <c r="B14" s="24" t="s">
        <v>62</v>
      </c>
      <c r="C14" s="25" t="s">
        <v>43</v>
      </c>
      <c r="D14" s="25" t="s">
        <v>44</v>
      </c>
      <c r="E14" s="25" t="s">
        <v>0</v>
      </c>
      <c r="F14" s="26">
        <v>624137</v>
      </c>
      <c r="G14" s="27"/>
      <c r="H14" s="28">
        <f t="shared" si="0"/>
        <v>46054</v>
      </c>
      <c r="I14" s="29">
        <f>SUMIFS(Cash_Flow_3[Amount],Cash_Flow_3[Bulan],H14,Cash_Flow_3[Type],"In")</f>
        <v>7073728</v>
      </c>
      <c r="J14" s="29">
        <f>SUMIFS(Cash_Flow_3[Amount],Cash_Flow_3[Bulan],H14,Cash_Flow_3[Type],"Out")</f>
        <v>6908733</v>
      </c>
      <c r="K14" s="29">
        <f>SUMIFS(Cash_Flow_3[Amount],Cash_Flow_3[Bulan],H14,Cash_Flow_3[Type],"Out",Cash_Flow_3[Category],"Fix")</f>
        <v>2440568</v>
      </c>
      <c r="L14" s="29">
        <f>SUMIFS(Cash_Flow_3[Amount],Cash_Flow_3[Bulan],H14,Cash_Flow_3[Type],"Out",Cash_Flow_3[Category],"Bathroom")</f>
        <v>34500</v>
      </c>
      <c r="M14" s="29">
        <f>SUMIFS(Cash_Flow_3[Amount],Cash_Flow_3[Bulan],H14,Cash_Flow_3[Type],"Out",Cash_Flow_3[Category],"Alfa")</f>
        <v>293800</v>
      </c>
      <c r="N14" s="29">
        <f>SUMIFS(Cash_Flow_3[Amount],Cash_Flow_3[Bulan],H14,Cash_Flow_3[Type],"Out",Cash_Flow_3[Category],"Jajan")</f>
        <v>364000</v>
      </c>
      <c r="O14" s="29">
        <f>SUMIFS(Cash_Flow_3[Amount],Cash_Flow_3[Bulan],H14,Cash_Flow_3[Type],"Out",Cash_Flow_3[Category],"Kitchen")</f>
        <v>992724</v>
      </c>
      <c r="P14" s="29">
        <f>SUMIFS(Cash_Flow_3[Amount],Cash_Flow_3[Bulan],H14,Cash_Flow_3[Type],"Out",Cash_Flow_3[Category],"Loandry")</f>
        <v>41600</v>
      </c>
      <c r="Q14" s="29">
        <f>SUMIFS(Cash_Flow_3[Amount],Cash_Flow_3[Bulan],H14,Cash_Flow_3[Type],"Out",Cash_Flow_3[Category],"Mio")</f>
        <v>249000</v>
      </c>
      <c r="R14" s="29">
        <f>SUMIFS(Cash_Flow_3[Amount],Cash_Flow_3[Bulan],H14,Cash_Flow_3[Type],"Out",Cash_Flow_3[Category],"Sedekah")</f>
        <v>129000</v>
      </c>
      <c r="S14" s="29">
        <f>SUMIFS(Cash_Flow_3[Amount],Cash_Flow_3[Bulan],H14,Cash_Flow_3[Type],"Out",Cash_Flow_3[Category],"Zela")</f>
        <v>24100</v>
      </c>
      <c r="T14" s="29">
        <f>SUMIFS(Cash_Flow_3[Amount],Cash_Flow_3[Bulan],H14,Cash_Flow_3[Type],"Out",Cash_Flow_3[Category],"Iqbal")</f>
        <v>121000</v>
      </c>
    </row>
    <row r="15" spans="1:20" ht="22.5" customHeight="1" x14ac:dyDescent="0.2">
      <c r="A15" s="23">
        <v>46055</v>
      </c>
      <c r="B15" s="24" t="s">
        <v>63</v>
      </c>
      <c r="C15" s="25" t="s">
        <v>43</v>
      </c>
      <c r="D15" s="25" t="s">
        <v>44</v>
      </c>
      <c r="E15" s="25" t="s">
        <v>0</v>
      </c>
      <c r="F15" s="26">
        <v>279187</v>
      </c>
      <c r="G15" s="27"/>
      <c r="H15" s="28">
        <f t="shared" si="0"/>
        <v>46054</v>
      </c>
      <c r="I15" s="29">
        <f>SUMIFS(Cash_Flow_3[Amount],Cash_Flow_3[Bulan],H15,Cash_Flow_3[Type],"In")</f>
        <v>7073728</v>
      </c>
      <c r="J15" s="29">
        <f>SUMIFS(Cash_Flow_3[Amount],Cash_Flow_3[Bulan],H15,Cash_Flow_3[Type],"Out")</f>
        <v>6908733</v>
      </c>
      <c r="K15" s="29">
        <f>SUMIFS(Cash_Flow_3[Amount],Cash_Flow_3[Bulan],H15,Cash_Flow_3[Type],"Out",Cash_Flow_3[Category],"Fix")</f>
        <v>2440568</v>
      </c>
      <c r="L15" s="29">
        <f>SUMIFS(Cash_Flow_3[Amount],Cash_Flow_3[Bulan],H15,Cash_Flow_3[Type],"Out",Cash_Flow_3[Category],"Bathroom")</f>
        <v>34500</v>
      </c>
      <c r="M15" s="29">
        <f>SUMIFS(Cash_Flow_3[Amount],Cash_Flow_3[Bulan],H15,Cash_Flow_3[Type],"Out",Cash_Flow_3[Category],"Alfa")</f>
        <v>293800</v>
      </c>
      <c r="N15" s="29">
        <f>SUMIFS(Cash_Flow_3[Amount],Cash_Flow_3[Bulan],H15,Cash_Flow_3[Type],"Out",Cash_Flow_3[Category],"Jajan")</f>
        <v>364000</v>
      </c>
      <c r="O15" s="29">
        <f>SUMIFS(Cash_Flow_3[Amount],Cash_Flow_3[Bulan],H15,Cash_Flow_3[Type],"Out",Cash_Flow_3[Category],"Kitchen")</f>
        <v>992724</v>
      </c>
      <c r="P15" s="29">
        <f>SUMIFS(Cash_Flow_3[Amount],Cash_Flow_3[Bulan],H15,Cash_Flow_3[Type],"Out",Cash_Flow_3[Category],"Loandry")</f>
        <v>41600</v>
      </c>
      <c r="Q15" s="29">
        <f>SUMIFS(Cash_Flow_3[Amount],Cash_Flow_3[Bulan],H15,Cash_Flow_3[Type],"Out",Cash_Flow_3[Category],"Mio")</f>
        <v>249000</v>
      </c>
      <c r="R15" s="29">
        <f>SUMIFS(Cash_Flow_3[Amount],Cash_Flow_3[Bulan],H15,Cash_Flow_3[Type],"Out",Cash_Flow_3[Category],"Sedekah")</f>
        <v>129000</v>
      </c>
      <c r="S15" s="29">
        <f>SUMIFS(Cash_Flow_3[Amount],Cash_Flow_3[Bulan],H15,Cash_Flow_3[Type],"Out",Cash_Flow_3[Category],"Zela")</f>
        <v>24100</v>
      </c>
      <c r="T15" s="29">
        <f>SUMIFS(Cash_Flow_3[Amount],Cash_Flow_3[Bulan],H15,Cash_Flow_3[Type],"Out",Cash_Flow_3[Category],"Iqbal")</f>
        <v>121000</v>
      </c>
    </row>
    <row r="16" spans="1:20" ht="22.5" customHeight="1" x14ac:dyDescent="0.2">
      <c r="A16" s="23">
        <v>46056</v>
      </c>
      <c r="B16" s="24" t="s">
        <v>64</v>
      </c>
      <c r="C16" s="25" t="s">
        <v>43</v>
      </c>
      <c r="D16" s="25" t="s">
        <v>44</v>
      </c>
      <c r="E16" s="25" t="s">
        <v>8</v>
      </c>
      <c r="F16" s="26">
        <v>30000</v>
      </c>
      <c r="G16" s="27"/>
      <c r="H16" s="28">
        <f t="shared" si="0"/>
        <v>46054</v>
      </c>
      <c r="I16" s="29">
        <f>SUMIFS(Cash_Flow_3[Amount],Cash_Flow_3[Bulan],H16,Cash_Flow_3[Type],"In")</f>
        <v>7073728</v>
      </c>
      <c r="J16" s="29">
        <f>SUMIFS(Cash_Flow_3[Amount],Cash_Flow_3[Bulan],H16,Cash_Flow_3[Type],"Out")</f>
        <v>6908733</v>
      </c>
      <c r="K16" s="29">
        <f>SUMIFS(Cash_Flow_3[Amount],Cash_Flow_3[Bulan],H16,Cash_Flow_3[Type],"Out",Cash_Flow_3[Category],"Fix")</f>
        <v>2440568</v>
      </c>
      <c r="L16" s="29">
        <f>SUMIFS(Cash_Flow_3[Amount],Cash_Flow_3[Bulan],H16,Cash_Flow_3[Type],"Out",Cash_Flow_3[Category],"Bathroom")</f>
        <v>34500</v>
      </c>
      <c r="M16" s="29">
        <f>SUMIFS(Cash_Flow_3[Amount],Cash_Flow_3[Bulan],H16,Cash_Flow_3[Type],"Out",Cash_Flow_3[Category],"Alfa")</f>
        <v>293800</v>
      </c>
      <c r="N16" s="29">
        <f>SUMIFS(Cash_Flow_3[Amount],Cash_Flow_3[Bulan],H16,Cash_Flow_3[Type],"Out",Cash_Flow_3[Category],"Jajan")</f>
        <v>364000</v>
      </c>
      <c r="O16" s="29">
        <f>SUMIFS(Cash_Flow_3[Amount],Cash_Flow_3[Bulan],H16,Cash_Flow_3[Type],"Out",Cash_Flow_3[Category],"Kitchen")</f>
        <v>992724</v>
      </c>
      <c r="P16" s="29">
        <f>SUMIFS(Cash_Flow_3[Amount],Cash_Flow_3[Bulan],H16,Cash_Flow_3[Type],"Out",Cash_Flow_3[Category],"Loandry")</f>
        <v>41600</v>
      </c>
      <c r="Q16" s="29">
        <f>SUMIFS(Cash_Flow_3[Amount],Cash_Flow_3[Bulan],H16,Cash_Flow_3[Type],"Out",Cash_Flow_3[Category],"Mio")</f>
        <v>249000</v>
      </c>
      <c r="R16" s="29">
        <f>SUMIFS(Cash_Flow_3[Amount],Cash_Flow_3[Bulan],H16,Cash_Flow_3[Type],"Out",Cash_Flow_3[Category],"Sedekah")</f>
        <v>129000</v>
      </c>
      <c r="S16" s="29">
        <f>SUMIFS(Cash_Flow_3[Amount],Cash_Flow_3[Bulan],H16,Cash_Flow_3[Type],"Out",Cash_Flow_3[Category],"Zela")</f>
        <v>24100</v>
      </c>
      <c r="T16" s="29">
        <f>SUMIFS(Cash_Flow_3[Amount],Cash_Flow_3[Bulan],H16,Cash_Flow_3[Type],"Out",Cash_Flow_3[Category],"Iqbal")</f>
        <v>121000</v>
      </c>
    </row>
    <row r="17" spans="1:20" ht="22.5" customHeight="1" x14ac:dyDescent="0.2">
      <c r="A17" s="23">
        <v>46058</v>
      </c>
      <c r="B17" s="24" t="s">
        <v>58</v>
      </c>
      <c r="C17" s="25" t="s">
        <v>46</v>
      </c>
      <c r="D17" s="25" t="s">
        <v>39</v>
      </c>
      <c r="E17" s="25" t="s">
        <v>9</v>
      </c>
      <c r="F17" s="26">
        <v>50000</v>
      </c>
      <c r="G17" s="27"/>
      <c r="H17" s="28">
        <f t="shared" si="0"/>
        <v>46054</v>
      </c>
      <c r="I17" s="29">
        <f>SUMIFS(Cash_Flow_3[Amount],Cash_Flow_3[Bulan],H17,Cash_Flow_3[Type],"In")</f>
        <v>7073728</v>
      </c>
      <c r="J17" s="29">
        <f>SUMIFS(Cash_Flow_3[Amount],Cash_Flow_3[Bulan],H17,Cash_Flow_3[Type],"Out")</f>
        <v>6908733</v>
      </c>
      <c r="K17" s="29">
        <f>SUMIFS(Cash_Flow_3[Amount],Cash_Flow_3[Bulan],H17,Cash_Flow_3[Type],"Out",Cash_Flow_3[Category],"Fix")</f>
        <v>2440568</v>
      </c>
      <c r="L17" s="29">
        <f>SUMIFS(Cash_Flow_3[Amount],Cash_Flow_3[Bulan],H17,Cash_Flow_3[Type],"Out",Cash_Flow_3[Category],"Bathroom")</f>
        <v>34500</v>
      </c>
      <c r="M17" s="29">
        <f>SUMIFS(Cash_Flow_3[Amount],Cash_Flow_3[Bulan],H17,Cash_Flow_3[Type],"Out",Cash_Flow_3[Category],"Alfa")</f>
        <v>293800</v>
      </c>
      <c r="N17" s="29">
        <f>SUMIFS(Cash_Flow_3[Amount],Cash_Flow_3[Bulan],H17,Cash_Flow_3[Type],"Out",Cash_Flow_3[Category],"Jajan")</f>
        <v>364000</v>
      </c>
      <c r="O17" s="29">
        <f>SUMIFS(Cash_Flow_3[Amount],Cash_Flow_3[Bulan],H17,Cash_Flow_3[Type],"Out",Cash_Flow_3[Category],"Kitchen")</f>
        <v>992724</v>
      </c>
      <c r="P17" s="29">
        <f>SUMIFS(Cash_Flow_3[Amount],Cash_Flow_3[Bulan],H17,Cash_Flow_3[Type],"Out",Cash_Flow_3[Category],"Loandry")</f>
        <v>41600</v>
      </c>
      <c r="Q17" s="29">
        <f>SUMIFS(Cash_Flow_3[Amount],Cash_Flow_3[Bulan],H17,Cash_Flow_3[Type],"Out",Cash_Flow_3[Category],"Mio")</f>
        <v>249000</v>
      </c>
      <c r="R17" s="29">
        <f>SUMIFS(Cash_Flow_3[Amount],Cash_Flow_3[Bulan],H17,Cash_Flow_3[Type],"Out",Cash_Flow_3[Category],"Sedekah")</f>
        <v>129000</v>
      </c>
      <c r="S17" s="29">
        <f>SUMIFS(Cash_Flow_3[Amount],Cash_Flow_3[Bulan],H17,Cash_Flow_3[Type],"Out",Cash_Flow_3[Category],"Zela")</f>
        <v>24100</v>
      </c>
      <c r="T17" s="29">
        <f>SUMIFS(Cash_Flow_3[Amount],Cash_Flow_3[Bulan],H17,Cash_Flow_3[Type],"Out",Cash_Flow_3[Category],"Iqbal")</f>
        <v>121000</v>
      </c>
    </row>
    <row r="18" spans="1:20" ht="22.5" customHeight="1" x14ac:dyDescent="0.2">
      <c r="A18" s="23">
        <v>46058</v>
      </c>
      <c r="B18" s="24" t="s">
        <v>65</v>
      </c>
      <c r="C18" s="25" t="s">
        <v>46</v>
      </c>
      <c r="D18" s="25" t="s">
        <v>44</v>
      </c>
      <c r="E18" s="25" t="s">
        <v>6</v>
      </c>
      <c r="F18" s="26">
        <v>12000</v>
      </c>
      <c r="G18" s="27"/>
      <c r="H18" s="28">
        <f t="shared" si="0"/>
        <v>46054</v>
      </c>
      <c r="I18" s="29">
        <f>SUMIFS(Cash_Flow_3[Amount],Cash_Flow_3[Bulan],H18,Cash_Flow_3[Type],"In")</f>
        <v>7073728</v>
      </c>
      <c r="J18" s="29">
        <f>SUMIFS(Cash_Flow_3[Amount],Cash_Flow_3[Bulan],H18,Cash_Flow_3[Type],"Out")</f>
        <v>6908733</v>
      </c>
      <c r="K18" s="29">
        <f>SUMIFS(Cash_Flow_3[Amount],Cash_Flow_3[Bulan],H18,Cash_Flow_3[Type],"Out",Cash_Flow_3[Category],"Fix")</f>
        <v>2440568</v>
      </c>
      <c r="L18" s="29">
        <f>SUMIFS(Cash_Flow_3[Amount],Cash_Flow_3[Bulan],H18,Cash_Flow_3[Type],"Out",Cash_Flow_3[Category],"Bathroom")</f>
        <v>34500</v>
      </c>
      <c r="M18" s="29">
        <f>SUMIFS(Cash_Flow_3[Amount],Cash_Flow_3[Bulan],H18,Cash_Flow_3[Type],"Out",Cash_Flow_3[Category],"Alfa")</f>
        <v>293800</v>
      </c>
      <c r="N18" s="29">
        <f>SUMIFS(Cash_Flow_3[Amount],Cash_Flow_3[Bulan],H18,Cash_Flow_3[Type],"Out",Cash_Flow_3[Category],"Jajan")</f>
        <v>364000</v>
      </c>
      <c r="O18" s="29">
        <f>SUMIFS(Cash_Flow_3[Amount],Cash_Flow_3[Bulan],H18,Cash_Flow_3[Type],"Out",Cash_Flow_3[Category],"Kitchen")</f>
        <v>992724</v>
      </c>
      <c r="P18" s="29">
        <f>SUMIFS(Cash_Flow_3[Amount],Cash_Flow_3[Bulan],H18,Cash_Flow_3[Type],"Out",Cash_Flow_3[Category],"Loandry")</f>
        <v>41600</v>
      </c>
      <c r="Q18" s="29">
        <f>SUMIFS(Cash_Flow_3[Amount],Cash_Flow_3[Bulan],H18,Cash_Flow_3[Type],"Out",Cash_Flow_3[Category],"Mio")</f>
        <v>249000</v>
      </c>
      <c r="R18" s="29">
        <f>SUMIFS(Cash_Flow_3[Amount],Cash_Flow_3[Bulan],H18,Cash_Flow_3[Type],"Out",Cash_Flow_3[Category],"Sedekah")</f>
        <v>129000</v>
      </c>
      <c r="S18" s="29">
        <f>SUMIFS(Cash_Flow_3[Amount],Cash_Flow_3[Bulan],H18,Cash_Flow_3[Type],"Out",Cash_Flow_3[Category],"Zela")</f>
        <v>24100</v>
      </c>
      <c r="T18" s="29">
        <f>SUMIFS(Cash_Flow_3[Amount],Cash_Flow_3[Bulan],H18,Cash_Flow_3[Type],"Out",Cash_Flow_3[Category],"Iqbal")</f>
        <v>121000</v>
      </c>
    </row>
    <row r="19" spans="1:20" ht="22.5" customHeight="1" x14ac:dyDescent="0.2">
      <c r="A19" s="23">
        <v>46058</v>
      </c>
      <c r="B19" s="24" t="s">
        <v>18</v>
      </c>
      <c r="C19" s="25" t="s">
        <v>46</v>
      </c>
      <c r="D19" s="25" t="s">
        <v>44</v>
      </c>
      <c r="E19" s="25" t="s">
        <v>8</v>
      </c>
      <c r="F19" s="26">
        <v>16000</v>
      </c>
      <c r="G19" s="27"/>
      <c r="H19" s="28">
        <f t="shared" si="0"/>
        <v>46054</v>
      </c>
      <c r="I19" s="29">
        <f>SUMIFS(Cash_Flow_3[Amount],Cash_Flow_3[Bulan],H19,Cash_Flow_3[Type],"In")</f>
        <v>7073728</v>
      </c>
      <c r="J19" s="29">
        <f>SUMIFS(Cash_Flow_3[Amount],Cash_Flow_3[Bulan],H19,Cash_Flow_3[Type],"Out")</f>
        <v>6908733</v>
      </c>
      <c r="K19" s="29">
        <f>SUMIFS(Cash_Flow_3[Amount],Cash_Flow_3[Bulan],H19,Cash_Flow_3[Type],"Out",Cash_Flow_3[Category],"Fix")</f>
        <v>2440568</v>
      </c>
      <c r="L19" s="29">
        <f>SUMIFS(Cash_Flow_3[Amount],Cash_Flow_3[Bulan],H19,Cash_Flow_3[Type],"Out",Cash_Flow_3[Category],"Bathroom")</f>
        <v>34500</v>
      </c>
      <c r="M19" s="29">
        <f>SUMIFS(Cash_Flow_3[Amount],Cash_Flow_3[Bulan],H19,Cash_Flow_3[Type],"Out",Cash_Flow_3[Category],"Alfa")</f>
        <v>293800</v>
      </c>
      <c r="N19" s="29">
        <f>SUMIFS(Cash_Flow_3[Amount],Cash_Flow_3[Bulan],H19,Cash_Flow_3[Type],"Out",Cash_Flow_3[Category],"Jajan")</f>
        <v>364000</v>
      </c>
      <c r="O19" s="29">
        <f>SUMIFS(Cash_Flow_3[Amount],Cash_Flow_3[Bulan],H19,Cash_Flow_3[Type],"Out",Cash_Flow_3[Category],"Kitchen")</f>
        <v>992724</v>
      </c>
      <c r="P19" s="29">
        <f>SUMIFS(Cash_Flow_3[Amount],Cash_Flow_3[Bulan],H19,Cash_Flow_3[Type],"Out",Cash_Flow_3[Category],"Loandry")</f>
        <v>41600</v>
      </c>
      <c r="Q19" s="29">
        <f>SUMIFS(Cash_Flow_3[Amount],Cash_Flow_3[Bulan],H19,Cash_Flow_3[Type],"Out",Cash_Flow_3[Category],"Mio")</f>
        <v>249000</v>
      </c>
      <c r="R19" s="29">
        <f>SUMIFS(Cash_Flow_3[Amount],Cash_Flow_3[Bulan],H19,Cash_Flow_3[Type],"Out",Cash_Flow_3[Category],"Sedekah")</f>
        <v>129000</v>
      </c>
      <c r="S19" s="29">
        <f>SUMIFS(Cash_Flow_3[Amount],Cash_Flow_3[Bulan],H19,Cash_Flow_3[Type],"Out",Cash_Flow_3[Category],"Zela")</f>
        <v>24100</v>
      </c>
      <c r="T19" s="29">
        <f>SUMIFS(Cash_Flow_3[Amount],Cash_Flow_3[Bulan],H19,Cash_Flow_3[Type],"Out",Cash_Flow_3[Category],"Iqbal")</f>
        <v>121000</v>
      </c>
    </row>
    <row r="20" spans="1:20" ht="22.5" customHeight="1" x14ac:dyDescent="0.2">
      <c r="A20" s="23">
        <v>46058</v>
      </c>
      <c r="B20" s="24" t="s">
        <v>66</v>
      </c>
      <c r="C20" s="25" t="s">
        <v>43</v>
      </c>
      <c r="D20" s="25" t="s">
        <v>44</v>
      </c>
      <c r="E20" s="25" t="s">
        <v>0</v>
      </c>
      <c r="F20" s="26">
        <v>1000494</v>
      </c>
      <c r="G20" s="27"/>
      <c r="H20" s="28">
        <f t="shared" si="0"/>
        <v>46054</v>
      </c>
      <c r="I20" s="29">
        <f>SUMIFS(Cash_Flow_3[Amount],Cash_Flow_3[Bulan],H20,Cash_Flow_3[Type],"In")</f>
        <v>7073728</v>
      </c>
      <c r="J20" s="29">
        <f>SUMIFS(Cash_Flow_3[Amount],Cash_Flow_3[Bulan],H20,Cash_Flow_3[Type],"Out")</f>
        <v>6908733</v>
      </c>
      <c r="K20" s="29">
        <f>SUMIFS(Cash_Flow_3[Amount],Cash_Flow_3[Bulan],H20,Cash_Flow_3[Type],"Out",Cash_Flow_3[Category],"Fix")</f>
        <v>2440568</v>
      </c>
      <c r="L20" s="29">
        <f>SUMIFS(Cash_Flow_3[Amount],Cash_Flow_3[Bulan],H20,Cash_Flow_3[Type],"Out",Cash_Flow_3[Category],"Bathroom")</f>
        <v>34500</v>
      </c>
      <c r="M20" s="29">
        <f>SUMIFS(Cash_Flow_3[Amount],Cash_Flow_3[Bulan],H20,Cash_Flow_3[Type],"Out",Cash_Flow_3[Category],"Alfa")</f>
        <v>293800</v>
      </c>
      <c r="N20" s="29">
        <f>SUMIFS(Cash_Flow_3[Amount],Cash_Flow_3[Bulan],H20,Cash_Flow_3[Type],"Out",Cash_Flow_3[Category],"Jajan")</f>
        <v>364000</v>
      </c>
      <c r="O20" s="29">
        <f>SUMIFS(Cash_Flow_3[Amount],Cash_Flow_3[Bulan],H20,Cash_Flow_3[Type],"Out",Cash_Flow_3[Category],"Kitchen")</f>
        <v>992724</v>
      </c>
      <c r="P20" s="29">
        <f>SUMIFS(Cash_Flow_3[Amount],Cash_Flow_3[Bulan],H20,Cash_Flow_3[Type],"Out",Cash_Flow_3[Category],"Loandry")</f>
        <v>41600</v>
      </c>
      <c r="Q20" s="29">
        <f>SUMIFS(Cash_Flow_3[Amount],Cash_Flow_3[Bulan],H20,Cash_Flow_3[Type],"Out",Cash_Flow_3[Category],"Mio")</f>
        <v>249000</v>
      </c>
      <c r="R20" s="29">
        <f>SUMIFS(Cash_Flow_3[Amount],Cash_Flow_3[Bulan],H20,Cash_Flow_3[Type],"Out",Cash_Flow_3[Category],"Sedekah")</f>
        <v>129000</v>
      </c>
      <c r="S20" s="29">
        <f>SUMIFS(Cash_Flow_3[Amount],Cash_Flow_3[Bulan],H20,Cash_Flow_3[Type],"Out",Cash_Flow_3[Category],"Zela")</f>
        <v>24100</v>
      </c>
      <c r="T20" s="29">
        <f>SUMIFS(Cash_Flow_3[Amount],Cash_Flow_3[Bulan],H20,Cash_Flow_3[Type],"Out",Cash_Flow_3[Category],"Iqbal")</f>
        <v>121000</v>
      </c>
    </row>
    <row r="21" spans="1:20" ht="22.5" customHeight="1" x14ac:dyDescent="0.2">
      <c r="A21" s="23">
        <v>46058</v>
      </c>
      <c r="B21" s="24" t="s">
        <v>67</v>
      </c>
      <c r="C21" s="25" t="s">
        <v>43</v>
      </c>
      <c r="D21" s="25" t="s">
        <v>44</v>
      </c>
      <c r="E21" s="25" t="s">
        <v>0</v>
      </c>
      <c r="F21" s="26">
        <v>75000</v>
      </c>
      <c r="G21" s="27"/>
      <c r="H21" s="28">
        <f t="shared" si="0"/>
        <v>46054</v>
      </c>
      <c r="I21" s="29">
        <f>SUMIFS(Cash_Flow_3[Amount],Cash_Flow_3[Bulan],H21,Cash_Flow_3[Type],"In")</f>
        <v>7073728</v>
      </c>
      <c r="J21" s="29">
        <f>SUMIFS(Cash_Flow_3[Amount],Cash_Flow_3[Bulan],H21,Cash_Flow_3[Type],"Out")</f>
        <v>6908733</v>
      </c>
      <c r="K21" s="29">
        <f>SUMIFS(Cash_Flow_3[Amount],Cash_Flow_3[Bulan],H21,Cash_Flow_3[Type],"Out",Cash_Flow_3[Category],"Fix")</f>
        <v>2440568</v>
      </c>
      <c r="L21" s="29">
        <f>SUMIFS(Cash_Flow_3[Amount],Cash_Flow_3[Bulan],H21,Cash_Flow_3[Type],"Out",Cash_Flow_3[Category],"Bathroom")</f>
        <v>34500</v>
      </c>
      <c r="M21" s="29">
        <f>SUMIFS(Cash_Flow_3[Amount],Cash_Flow_3[Bulan],H21,Cash_Flow_3[Type],"Out",Cash_Flow_3[Category],"Alfa")</f>
        <v>293800</v>
      </c>
      <c r="N21" s="29">
        <f>SUMIFS(Cash_Flow_3[Amount],Cash_Flow_3[Bulan],H21,Cash_Flow_3[Type],"Out",Cash_Flow_3[Category],"Jajan")</f>
        <v>364000</v>
      </c>
      <c r="O21" s="29">
        <f>SUMIFS(Cash_Flow_3[Amount],Cash_Flow_3[Bulan],H21,Cash_Flow_3[Type],"Out",Cash_Flow_3[Category],"Kitchen")</f>
        <v>992724</v>
      </c>
      <c r="P21" s="29">
        <f>SUMIFS(Cash_Flow_3[Amount],Cash_Flow_3[Bulan],H21,Cash_Flow_3[Type],"Out",Cash_Flow_3[Category],"Loandry")</f>
        <v>41600</v>
      </c>
      <c r="Q21" s="29">
        <f>SUMIFS(Cash_Flow_3[Amount],Cash_Flow_3[Bulan],H21,Cash_Flow_3[Type],"Out",Cash_Flow_3[Category],"Mio")</f>
        <v>249000</v>
      </c>
      <c r="R21" s="29">
        <f>SUMIFS(Cash_Flow_3[Amount],Cash_Flow_3[Bulan],H21,Cash_Flow_3[Type],"Out",Cash_Flow_3[Category],"Sedekah")</f>
        <v>129000</v>
      </c>
      <c r="S21" s="29">
        <f>SUMIFS(Cash_Flow_3[Amount],Cash_Flow_3[Bulan],H21,Cash_Flow_3[Type],"Out",Cash_Flow_3[Category],"Zela")</f>
        <v>24100</v>
      </c>
      <c r="T21" s="29">
        <f>SUMIFS(Cash_Flow_3[Amount],Cash_Flow_3[Bulan],H21,Cash_Flow_3[Type],"Out",Cash_Flow_3[Category],"Iqbal")</f>
        <v>121000</v>
      </c>
    </row>
    <row r="22" spans="1:20" ht="22.5" customHeight="1" x14ac:dyDescent="0.2">
      <c r="A22" s="23">
        <v>46058</v>
      </c>
      <c r="B22" s="24" t="s">
        <v>68</v>
      </c>
      <c r="C22" s="25" t="s">
        <v>46</v>
      </c>
      <c r="D22" s="25" t="s">
        <v>44</v>
      </c>
      <c r="E22" s="25" t="s">
        <v>3</v>
      </c>
      <c r="F22" s="26">
        <v>4000</v>
      </c>
      <c r="G22" s="27"/>
      <c r="H22" s="28">
        <f t="shared" si="0"/>
        <v>46054</v>
      </c>
      <c r="I22" s="29">
        <f>SUMIFS(Cash_Flow_3[Amount],Cash_Flow_3[Bulan],H22,Cash_Flow_3[Type],"In")</f>
        <v>7073728</v>
      </c>
      <c r="J22" s="29">
        <f>SUMIFS(Cash_Flow_3[Amount],Cash_Flow_3[Bulan],H22,Cash_Flow_3[Type],"Out")</f>
        <v>6908733</v>
      </c>
      <c r="K22" s="29">
        <f>SUMIFS(Cash_Flow_3[Amount],Cash_Flow_3[Bulan],H22,Cash_Flow_3[Type],"Out",Cash_Flow_3[Category],"Fix")</f>
        <v>2440568</v>
      </c>
      <c r="L22" s="29">
        <f>SUMIFS(Cash_Flow_3[Amount],Cash_Flow_3[Bulan],H22,Cash_Flow_3[Type],"Out",Cash_Flow_3[Category],"Bathroom")</f>
        <v>34500</v>
      </c>
      <c r="M22" s="29">
        <f>SUMIFS(Cash_Flow_3[Amount],Cash_Flow_3[Bulan],H22,Cash_Flow_3[Type],"Out",Cash_Flow_3[Category],"Alfa")</f>
        <v>293800</v>
      </c>
      <c r="N22" s="29">
        <f>SUMIFS(Cash_Flow_3[Amount],Cash_Flow_3[Bulan],H22,Cash_Flow_3[Type],"Out",Cash_Flow_3[Category],"Jajan")</f>
        <v>364000</v>
      </c>
      <c r="O22" s="29">
        <f>SUMIFS(Cash_Flow_3[Amount],Cash_Flow_3[Bulan],H22,Cash_Flow_3[Type],"Out",Cash_Flow_3[Category],"Kitchen")</f>
        <v>992724</v>
      </c>
      <c r="P22" s="29">
        <f>SUMIFS(Cash_Flow_3[Amount],Cash_Flow_3[Bulan],H22,Cash_Flow_3[Type],"Out",Cash_Flow_3[Category],"Loandry")</f>
        <v>41600</v>
      </c>
      <c r="Q22" s="29">
        <f>SUMIFS(Cash_Flow_3[Amount],Cash_Flow_3[Bulan],H22,Cash_Flow_3[Type],"Out",Cash_Flow_3[Category],"Mio")</f>
        <v>249000</v>
      </c>
      <c r="R22" s="29">
        <f>SUMIFS(Cash_Flow_3[Amount],Cash_Flow_3[Bulan],H22,Cash_Flow_3[Type],"Out",Cash_Flow_3[Category],"Sedekah")</f>
        <v>129000</v>
      </c>
      <c r="S22" s="29">
        <f>SUMIFS(Cash_Flow_3[Amount],Cash_Flow_3[Bulan],H22,Cash_Flow_3[Type],"Out",Cash_Flow_3[Category],"Zela")</f>
        <v>24100</v>
      </c>
      <c r="T22" s="29">
        <f>SUMIFS(Cash_Flow_3[Amount],Cash_Flow_3[Bulan],H22,Cash_Flow_3[Type],"Out",Cash_Flow_3[Category],"Iqbal")</f>
        <v>121000</v>
      </c>
    </row>
    <row r="23" spans="1:20" ht="22.5" customHeight="1" x14ac:dyDescent="0.2">
      <c r="A23" s="23">
        <v>46059</v>
      </c>
      <c r="B23" s="24" t="s">
        <v>16</v>
      </c>
      <c r="C23" s="25" t="s">
        <v>46</v>
      </c>
      <c r="D23" s="25" t="s">
        <v>44</v>
      </c>
      <c r="E23" s="25" t="s">
        <v>6</v>
      </c>
      <c r="F23" s="26">
        <v>18000</v>
      </c>
      <c r="G23" s="27"/>
      <c r="H23" s="28">
        <f t="shared" si="0"/>
        <v>46054</v>
      </c>
      <c r="I23" s="29">
        <f>SUMIFS(Cash_Flow_3[Amount],Cash_Flow_3[Bulan],H23,Cash_Flow_3[Type],"In")</f>
        <v>7073728</v>
      </c>
      <c r="J23" s="29">
        <f>SUMIFS(Cash_Flow_3[Amount],Cash_Flow_3[Bulan],H23,Cash_Flow_3[Type],"Out")</f>
        <v>6908733</v>
      </c>
      <c r="K23" s="29">
        <f>SUMIFS(Cash_Flow_3[Amount],Cash_Flow_3[Bulan],H23,Cash_Flow_3[Type],"Out",Cash_Flow_3[Category],"Fix")</f>
        <v>2440568</v>
      </c>
      <c r="L23" s="29">
        <f>SUMIFS(Cash_Flow_3[Amount],Cash_Flow_3[Bulan],H23,Cash_Flow_3[Type],"Out",Cash_Flow_3[Category],"Bathroom")</f>
        <v>34500</v>
      </c>
      <c r="M23" s="29">
        <f>SUMIFS(Cash_Flow_3[Amount],Cash_Flow_3[Bulan],H23,Cash_Flow_3[Type],"Out",Cash_Flow_3[Category],"Alfa")</f>
        <v>293800</v>
      </c>
      <c r="N23" s="29">
        <f>SUMIFS(Cash_Flow_3[Amount],Cash_Flow_3[Bulan],H23,Cash_Flow_3[Type],"Out",Cash_Flow_3[Category],"Jajan")</f>
        <v>364000</v>
      </c>
      <c r="O23" s="29">
        <f>SUMIFS(Cash_Flow_3[Amount],Cash_Flow_3[Bulan],H23,Cash_Flow_3[Type],"Out",Cash_Flow_3[Category],"Kitchen")</f>
        <v>992724</v>
      </c>
      <c r="P23" s="29">
        <f>SUMIFS(Cash_Flow_3[Amount],Cash_Flow_3[Bulan],H23,Cash_Flow_3[Type],"Out",Cash_Flow_3[Category],"Loandry")</f>
        <v>41600</v>
      </c>
      <c r="Q23" s="29">
        <f>SUMIFS(Cash_Flow_3[Amount],Cash_Flow_3[Bulan],H23,Cash_Flow_3[Type],"Out",Cash_Flow_3[Category],"Mio")</f>
        <v>249000</v>
      </c>
      <c r="R23" s="29">
        <f>SUMIFS(Cash_Flow_3[Amount],Cash_Flow_3[Bulan],H23,Cash_Flow_3[Type],"Out",Cash_Flow_3[Category],"Sedekah")</f>
        <v>129000</v>
      </c>
      <c r="S23" s="29">
        <f>SUMIFS(Cash_Flow_3[Amount],Cash_Flow_3[Bulan],H23,Cash_Flow_3[Type],"Out",Cash_Flow_3[Category],"Zela")</f>
        <v>24100</v>
      </c>
      <c r="T23" s="29">
        <f>SUMIFS(Cash_Flow_3[Amount],Cash_Flow_3[Bulan],H23,Cash_Flow_3[Type],"Out",Cash_Flow_3[Category],"Iqbal")</f>
        <v>121000</v>
      </c>
    </row>
    <row r="24" spans="1:20" ht="22.5" customHeight="1" x14ac:dyDescent="0.2">
      <c r="A24" s="23">
        <v>46065</v>
      </c>
      <c r="B24" s="24" t="s">
        <v>16</v>
      </c>
      <c r="C24" s="25" t="s">
        <v>43</v>
      </c>
      <c r="D24" s="25" t="s">
        <v>44</v>
      </c>
      <c r="E24" s="25" t="s">
        <v>6</v>
      </c>
      <c r="F24" s="26">
        <v>20000</v>
      </c>
      <c r="G24" s="27"/>
      <c r="H24" s="28">
        <f t="shared" si="0"/>
        <v>46054</v>
      </c>
      <c r="I24" s="29">
        <f>SUMIFS(Cash_Flow_3[Amount],Cash_Flow_3[Bulan],H24,Cash_Flow_3[Type],"In")</f>
        <v>7073728</v>
      </c>
      <c r="J24" s="29">
        <f>SUMIFS(Cash_Flow_3[Amount],Cash_Flow_3[Bulan],H24,Cash_Flow_3[Type],"Out")</f>
        <v>6908733</v>
      </c>
      <c r="K24" s="29">
        <f>SUMIFS(Cash_Flow_3[Amount],Cash_Flow_3[Bulan],H24,Cash_Flow_3[Type],"Out",Cash_Flow_3[Category],"Fix")</f>
        <v>2440568</v>
      </c>
      <c r="L24" s="29">
        <f>SUMIFS(Cash_Flow_3[Amount],Cash_Flow_3[Bulan],H24,Cash_Flow_3[Type],"Out",Cash_Flow_3[Category],"Bathroom")</f>
        <v>34500</v>
      </c>
      <c r="M24" s="29">
        <f>SUMIFS(Cash_Flow_3[Amount],Cash_Flow_3[Bulan],H24,Cash_Flow_3[Type],"Out",Cash_Flow_3[Category],"Alfa")</f>
        <v>293800</v>
      </c>
      <c r="N24" s="29">
        <f>SUMIFS(Cash_Flow_3[Amount],Cash_Flow_3[Bulan],H24,Cash_Flow_3[Type],"Out",Cash_Flow_3[Category],"Jajan")</f>
        <v>364000</v>
      </c>
      <c r="O24" s="29">
        <f>SUMIFS(Cash_Flow_3[Amount],Cash_Flow_3[Bulan],H24,Cash_Flow_3[Type],"Out",Cash_Flow_3[Category],"Kitchen")</f>
        <v>992724</v>
      </c>
      <c r="P24" s="29">
        <f>SUMIFS(Cash_Flow_3[Amount],Cash_Flow_3[Bulan],H24,Cash_Flow_3[Type],"Out",Cash_Flow_3[Category],"Loandry")</f>
        <v>41600</v>
      </c>
      <c r="Q24" s="29">
        <f>SUMIFS(Cash_Flow_3[Amount],Cash_Flow_3[Bulan],H24,Cash_Flow_3[Type],"Out",Cash_Flow_3[Category],"Mio")</f>
        <v>249000</v>
      </c>
      <c r="R24" s="29">
        <f>SUMIFS(Cash_Flow_3[Amount],Cash_Flow_3[Bulan],H24,Cash_Flow_3[Type],"Out",Cash_Flow_3[Category],"Sedekah")</f>
        <v>129000</v>
      </c>
      <c r="S24" s="29">
        <f>SUMIFS(Cash_Flow_3[Amount],Cash_Flow_3[Bulan],H24,Cash_Flow_3[Type],"Out",Cash_Flow_3[Category],"Zela")</f>
        <v>24100</v>
      </c>
      <c r="T24" s="29">
        <f>SUMIFS(Cash_Flow_3[Amount],Cash_Flow_3[Bulan],H24,Cash_Flow_3[Type],"Out",Cash_Flow_3[Category],"Iqbal")</f>
        <v>121000</v>
      </c>
    </row>
    <row r="25" spans="1:20" ht="22.5" customHeight="1" x14ac:dyDescent="0.2">
      <c r="A25" s="23">
        <v>46065</v>
      </c>
      <c r="B25" s="24" t="s">
        <v>69</v>
      </c>
      <c r="C25" s="25" t="s">
        <v>43</v>
      </c>
      <c r="D25" s="25" t="s">
        <v>44</v>
      </c>
      <c r="E25" s="25" t="s">
        <v>2</v>
      </c>
      <c r="F25" s="26">
        <v>17000</v>
      </c>
      <c r="G25" s="27"/>
      <c r="H25" s="28">
        <f t="shared" si="0"/>
        <v>46054</v>
      </c>
      <c r="I25" s="29">
        <f>SUMIFS(Cash_Flow_3[Amount],Cash_Flow_3[Bulan],H25,Cash_Flow_3[Type],"In")</f>
        <v>7073728</v>
      </c>
      <c r="J25" s="29">
        <f>SUMIFS(Cash_Flow_3[Amount],Cash_Flow_3[Bulan],H25,Cash_Flow_3[Type],"Out")</f>
        <v>6908733</v>
      </c>
      <c r="K25" s="29">
        <f>SUMIFS(Cash_Flow_3[Amount],Cash_Flow_3[Bulan],H25,Cash_Flow_3[Type],"Out",Cash_Flow_3[Category],"Fix")</f>
        <v>2440568</v>
      </c>
      <c r="L25" s="29">
        <f>SUMIFS(Cash_Flow_3[Amount],Cash_Flow_3[Bulan],H25,Cash_Flow_3[Type],"Out",Cash_Flow_3[Category],"Bathroom")</f>
        <v>34500</v>
      </c>
      <c r="M25" s="29">
        <f>SUMIFS(Cash_Flow_3[Amount],Cash_Flow_3[Bulan],H25,Cash_Flow_3[Type],"Out",Cash_Flow_3[Category],"Alfa")</f>
        <v>293800</v>
      </c>
      <c r="N25" s="29">
        <f>SUMIFS(Cash_Flow_3[Amount],Cash_Flow_3[Bulan],H25,Cash_Flow_3[Type],"Out",Cash_Flow_3[Category],"Jajan")</f>
        <v>364000</v>
      </c>
      <c r="O25" s="29">
        <f>SUMIFS(Cash_Flow_3[Amount],Cash_Flow_3[Bulan],H25,Cash_Flow_3[Type],"Out",Cash_Flow_3[Category],"Kitchen")</f>
        <v>992724</v>
      </c>
      <c r="P25" s="29">
        <f>SUMIFS(Cash_Flow_3[Amount],Cash_Flow_3[Bulan],H25,Cash_Flow_3[Type],"Out",Cash_Flow_3[Category],"Loandry")</f>
        <v>41600</v>
      </c>
      <c r="Q25" s="29">
        <f>SUMIFS(Cash_Flow_3[Amount],Cash_Flow_3[Bulan],H25,Cash_Flow_3[Type],"Out",Cash_Flow_3[Category],"Mio")</f>
        <v>249000</v>
      </c>
      <c r="R25" s="29">
        <f>SUMIFS(Cash_Flow_3[Amount],Cash_Flow_3[Bulan],H25,Cash_Flow_3[Type],"Out",Cash_Flow_3[Category],"Sedekah")</f>
        <v>129000</v>
      </c>
      <c r="S25" s="29">
        <f>SUMIFS(Cash_Flow_3[Amount],Cash_Flow_3[Bulan],H25,Cash_Flow_3[Type],"Out",Cash_Flow_3[Category],"Zela")</f>
        <v>24100</v>
      </c>
      <c r="T25" s="29">
        <f>SUMIFS(Cash_Flow_3[Amount],Cash_Flow_3[Bulan],H25,Cash_Flow_3[Type],"Out",Cash_Flow_3[Category],"Iqbal")</f>
        <v>121000</v>
      </c>
    </row>
    <row r="26" spans="1:20" ht="22.5" customHeight="1" x14ac:dyDescent="0.2">
      <c r="A26" s="23">
        <v>46065</v>
      </c>
      <c r="B26" s="24" t="s">
        <v>59</v>
      </c>
      <c r="C26" s="25" t="s">
        <v>43</v>
      </c>
      <c r="D26" s="25" t="s">
        <v>44</v>
      </c>
      <c r="E26" s="25" t="s">
        <v>0</v>
      </c>
      <c r="F26" s="26">
        <v>101750</v>
      </c>
      <c r="G26" s="27"/>
      <c r="H26" s="28">
        <f t="shared" si="0"/>
        <v>46054</v>
      </c>
      <c r="I26" s="29">
        <f>SUMIFS(Cash_Flow_3[Amount],Cash_Flow_3[Bulan],H26,Cash_Flow_3[Type],"In")</f>
        <v>7073728</v>
      </c>
      <c r="J26" s="29">
        <f>SUMIFS(Cash_Flow_3[Amount],Cash_Flow_3[Bulan],H26,Cash_Flow_3[Type],"Out")</f>
        <v>6908733</v>
      </c>
      <c r="K26" s="29">
        <f>SUMIFS(Cash_Flow_3[Amount],Cash_Flow_3[Bulan],H26,Cash_Flow_3[Type],"Out",Cash_Flow_3[Category],"Fix")</f>
        <v>2440568</v>
      </c>
      <c r="L26" s="29">
        <f>SUMIFS(Cash_Flow_3[Amount],Cash_Flow_3[Bulan],H26,Cash_Flow_3[Type],"Out",Cash_Flow_3[Category],"Bathroom")</f>
        <v>34500</v>
      </c>
      <c r="M26" s="29">
        <f>SUMIFS(Cash_Flow_3[Amount],Cash_Flow_3[Bulan],H26,Cash_Flow_3[Type],"Out",Cash_Flow_3[Category],"Alfa")</f>
        <v>293800</v>
      </c>
      <c r="N26" s="29">
        <f>SUMIFS(Cash_Flow_3[Amount],Cash_Flow_3[Bulan],H26,Cash_Flow_3[Type],"Out",Cash_Flow_3[Category],"Jajan")</f>
        <v>364000</v>
      </c>
      <c r="O26" s="29">
        <f>SUMIFS(Cash_Flow_3[Amount],Cash_Flow_3[Bulan],H26,Cash_Flow_3[Type],"Out",Cash_Flow_3[Category],"Kitchen")</f>
        <v>992724</v>
      </c>
      <c r="P26" s="29">
        <f>SUMIFS(Cash_Flow_3[Amount],Cash_Flow_3[Bulan],H26,Cash_Flow_3[Type],"Out",Cash_Flow_3[Category],"Loandry")</f>
        <v>41600</v>
      </c>
      <c r="Q26" s="29">
        <f>SUMIFS(Cash_Flow_3[Amount],Cash_Flow_3[Bulan],H26,Cash_Flow_3[Type],"Out",Cash_Flow_3[Category],"Mio")</f>
        <v>249000</v>
      </c>
      <c r="R26" s="29">
        <f>SUMIFS(Cash_Flow_3[Amount],Cash_Flow_3[Bulan],H26,Cash_Flow_3[Type],"Out",Cash_Flow_3[Category],"Sedekah")</f>
        <v>129000</v>
      </c>
      <c r="S26" s="29">
        <f>SUMIFS(Cash_Flow_3[Amount],Cash_Flow_3[Bulan],H26,Cash_Flow_3[Type],"Out",Cash_Flow_3[Category],"Zela")</f>
        <v>24100</v>
      </c>
      <c r="T26" s="29">
        <f>SUMIFS(Cash_Flow_3[Amount],Cash_Flow_3[Bulan],H26,Cash_Flow_3[Type],"Out",Cash_Flow_3[Category],"Iqbal")</f>
        <v>121000</v>
      </c>
    </row>
    <row r="27" spans="1:20" ht="22.5" customHeight="1" x14ac:dyDescent="0.2">
      <c r="A27" s="23">
        <v>46068</v>
      </c>
      <c r="B27" s="24" t="s">
        <v>18</v>
      </c>
      <c r="C27" s="25" t="s">
        <v>43</v>
      </c>
      <c r="D27" s="25" t="s">
        <v>44</v>
      </c>
      <c r="E27" s="25" t="s">
        <v>8</v>
      </c>
      <c r="F27" s="26">
        <v>15000</v>
      </c>
      <c r="G27" s="27"/>
      <c r="H27" s="28">
        <f t="shared" si="0"/>
        <v>46054</v>
      </c>
      <c r="I27" s="29">
        <f>SUMIFS(Cash_Flow_3[Amount],Cash_Flow_3[Bulan],H27,Cash_Flow_3[Type],"In")</f>
        <v>7073728</v>
      </c>
      <c r="J27" s="29">
        <f>SUMIFS(Cash_Flow_3[Amount],Cash_Flow_3[Bulan],H27,Cash_Flow_3[Type],"Out")</f>
        <v>6908733</v>
      </c>
      <c r="K27" s="29">
        <f>SUMIFS(Cash_Flow_3[Amount],Cash_Flow_3[Bulan],H27,Cash_Flow_3[Type],"Out",Cash_Flow_3[Category],"Fix")</f>
        <v>2440568</v>
      </c>
      <c r="L27" s="29">
        <f>SUMIFS(Cash_Flow_3[Amount],Cash_Flow_3[Bulan],H27,Cash_Flow_3[Type],"Out",Cash_Flow_3[Category],"Bathroom")</f>
        <v>34500</v>
      </c>
      <c r="M27" s="29">
        <f>SUMIFS(Cash_Flow_3[Amount],Cash_Flow_3[Bulan],H27,Cash_Flow_3[Type],"Out",Cash_Flow_3[Category],"Alfa")</f>
        <v>293800</v>
      </c>
      <c r="N27" s="29">
        <f>SUMIFS(Cash_Flow_3[Amount],Cash_Flow_3[Bulan],H27,Cash_Flow_3[Type],"Out",Cash_Flow_3[Category],"Jajan")</f>
        <v>364000</v>
      </c>
      <c r="O27" s="29">
        <f>SUMIFS(Cash_Flow_3[Amount],Cash_Flow_3[Bulan],H27,Cash_Flow_3[Type],"Out",Cash_Flow_3[Category],"Kitchen")</f>
        <v>992724</v>
      </c>
      <c r="P27" s="29">
        <f>SUMIFS(Cash_Flow_3[Amount],Cash_Flow_3[Bulan],H27,Cash_Flow_3[Type],"Out",Cash_Flow_3[Category],"Loandry")</f>
        <v>41600</v>
      </c>
      <c r="Q27" s="29">
        <f>SUMIFS(Cash_Flow_3[Amount],Cash_Flow_3[Bulan],H27,Cash_Flow_3[Type],"Out",Cash_Flow_3[Category],"Mio")</f>
        <v>249000</v>
      </c>
      <c r="R27" s="29">
        <f>SUMIFS(Cash_Flow_3[Amount],Cash_Flow_3[Bulan],H27,Cash_Flow_3[Type],"Out",Cash_Flow_3[Category],"Sedekah")</f>
        <v>129000</v>
      </c>
      <c r="S27" s="29">
        <f>SUMIFS(Cash_Flow_3[Amount],Cash_Flow_3[Bulan],H27,Cash_Flow_3[Type],"Out",Cash_Flow_3[Category],"Zela")</f>
        <v>24100</v>
      </c>
      <c r="T27" s="29">
        <f>SUMIFS(Cash_Flow_3[Amount],Cash_Flow_3[Bulan],H27,Cash_Flow_3[Type],"Out",Cash_Flow_3[Category],"Iqbal")</f>
        <v>121000</v>
      </c>
    </row>
    <row r="28" spans="1:20" ht="22.5" customHeight="1" x14ac:dyDescent="0.2">
      <c r="A28" s="23">
        <v>46067</v>
      </c>
      <c r="B28" s="24" t="s">
        <v>317</v>
      </c>
      <c r="C28" s="25" t="s">
        <v>43</v>
      </c>
      <c r="D28" s="25" t="s">
        <v>44</v>
      </c>
      <c r="E28" s="25" t="s">
        <v>0</v>
      </c>
      <c r="F28" s="26">
        <v>25000</v>
      </c>
      <c r="G28" s="27"/>
      <c r="H28" s="28">
        <f t="shared" si="0"/>
        <v>46054</v>
      </c>
      <c r="I28" s="29">
        <f>SUMIFS(Cash_Flow_3[Amount],Cash_Flow_3[Bulan],H28,Cash_Flow_3[Type],"In")</f>
        <v>7073728</v>
      </c>
      <c r="J28" s="29">
        <f>SUMIFS(Cash_Flow_3[Amount],Cash_Flow_3[Bulan],H28,Cash_Flow_3[Type],"Out")</f>
        <v>6908733</v>
      </c>
      <c r="K28" s="29">
        <f>SUMIFS(Cash_Flow_3[Amount],Cash_Flow_3[Bulan],H28,Cash_Flow_3[Type],"Out",Cash_Flow_3[Category],"Fix")</f>
        <v>2440568</v>
      </c>
      <c r="L28" s="29">
        <f>SUMIFS(Cash_Flow_3[Amount],Cash_Flow_3[Bulan],H28,Cash_Flow_3[Type],"Out",Cash_Flow_3[Category],"Bathroom")</f>
        <v>34500</v>
      </c>
      <c r="M28" s="29">
        <f>SUMIFS(Cash_Flow_3[Amount],Cash_Flow_3[Bulan],H28,Cash_Flow_3[Type],"Out",Cash_Flow_3[Category],"Alfa")</f>
        <v>293800</v>
      </c>
      <c r="N28" s="29">
        <f>SUMIFS(Cash_Flow_3[Amount],Cash_Flow_3[Bulan],H28,Cash_Flow_3[Type],"Out",Cash_Flow_3[Category],"Jajan")</f>
        <v>364000</v>
      </c>
      <c r="O28" s="29">
        <f>SUMIFS(Cash_Flow_3[Amount],Cash_Flow_3[Bulan],H28,Cash_Flow_3[Type],"Out",Cash_Flow_3[Category],"Kitchen")</f>
        <v>992724</v>
      </c>
      <c r="P28" s="29">
        <f>SUMIFS(Cash_Flow_3[Amount],Cash_Flow_3[Bulan],H28,Cash_Flow_3[Type],"Out",Cash_Flow_3[Category],"Loandry")</f>
        <v>41600</v>
      </c>
      <c r="Q28" s="29">
        <f>SUMIFS(Cash_Flow_3[Amount],Cash_Flow_3[Bulan],H28,Cash_Flow_3[Type],"Out",Cash_Flow_3[Category],"Mio")</f>
        <v>249000</v>
      </c>
      <c r="R28" s="29">
        <f>SUMIFS(Cash_Flow_3[Amount],Cash_Flow_3[Bulan],H28,Cash_Flow_3[Type],"Out",Cash_Flow_3[Category],"Sedekah")</f>
        <v>129000</v>
      </c>
      <c r="S28" s="29">
        <f>SUMIFS(Cash_Flow_3[Amount],Cash_Flow_3[Bulan],H28,Cash_Flow_3[Type],"Out",Cash_Flow_3[Category],"Zela")</f>
        <v>24100</v>
      </c>
      <c r="T28" s="29">
        <f>SUMIFS(Cash_Flow_3[Amount],Cash_Flow_3[Bulan],H28,Cash_Flow_3[Type],"Out",Cash_Flow_3[Category],"Iqbal")</f>
        <v>121000</v>
      </c>
    </row>
    <row r="29" spans="1:20" ht="22.5" customHeight="1" x14ac:dyDescent="0.2">
      <c r="A29" s="23">
        <v>46069</v>
      </c>
      <c r="B29" s="24" t="s">
        <v>34</v>
      </c>
      <c r="C29" s="25" t="s">
        <v>43</v>
      </c>
      <c r="D29" s="25" t="s">
        <v>39</v>
      </c>
      <c r="E29" s="25" t="s">
        <v>0</v>
      </c>
      <c r="F29" s="26">
        <v>300000</v>
      </c>
      <c r="G29" s="27"/>
      <c r="H29" s="28">
        <f t="shared" si="0"/>
        <v>46054</v>
      </c>
      <c r="I29" s="29">
        <f>SUMIFS(Cash_Flow_3[Amount],Cash_Flow_3[Bulan],H29,Cash_Flow_3[Type],"In")</f>
        <v>7073728</v>
      </c>
      <c r="J29" s="29">
        <f>SUMIFS(Cash_Flow_3[Amount],Cash_Flow_3[Bulan],H29,Cash_Flow_3[Type],"Out")</f>
        <v>6908733</v>
      </c>
      <c r="K29" s="29">
        <f>SUMIFS(Cash_Flow_3[Amount],Cash_Flow_3[Bulan],H29,Cash_Flow_3[Type],"Out",Cash_Flow_3[Category],"Fix")</f>
        <v>2440568</v>
      </c>
      <c r="L29" s="29">
        <f>SUMIFS(Cash_Flow_3[Amount],Cash_Flow_3[Bulan],H29,Cash_Flow_3[Type],"Out",Cash_Flow_3[Category],"Bathroom")</f>
        <v>34500</v>
      </c>
      <c r="M29" s="29">
        <f>SUMIFS(Cash_Flow_3[Amount],Cash_Flow_3[Bulan],H29,Cash_Flow_3[Type],"Out",Cash_Flow_3[Category],"Alfa")</f>
        <v>293800</v>
      </c>
      <c r="N29" s="29">
        <f>SUMIFS(Cash_Flow_3[Amount],Cash_Flow_3[Bulan],H29,Cash_Flow_3[Type],"Out",Cash_Flow_3[Category],"Jajan")</f>
        <v>364000</v>
      </c>
      <c r="O29" s="29">
        <f>SUMIFS(Cash_Flow_3[Amount],Cash_Flow_3[Bulan],H29,Cash_Flow_3[Type],"Out",Cash_Flow_3[Category],"Kitchen")</f>
        <v>992724</v>
      </c>
      <c r="P29" s="29">
        <f>SUMIFS(Cash_Flow_3[Amount],Cash_Flow_3[Bulan],H29,Cash_Flow_3[Type],"Out",Cash_Flow_3[Category],"Loandry")</f>
        <v>41600</v>
      </c>
      <c r="Q29" s="29">
        <f>SUMIFS(Cash_Flow_3[Amount],Cash_Flow_3[Bulan],H29,Cash_Flow_3[Type],"Out",Cash_Flow_3[Category],"Mio")</f>
        <v>249000</v>
      </c>
      <c r="R29" s="29">
        <f>SUMIFS(Cash_Flow_3[Amount],Cash_Flow_3[Bulan],H29,Cash_Flow_3[Type],"Out",Cash_Flow_3[Category],"Sedekah")</f>
        <v>129000</v>
      </c>
      <c r="S29" s="29">
        <f>SUMIFS(Cash_Flow_3[Amount],Cash_Flow_3[Bulan],H29,Cash_Flow_3[Type],"Out",Cash_Flow_3[Category],"Zela")</f>
        <v>24100</v>
      </c>
      <c r="T29" s="29">
        <f>SUMIFS(Cash_Flow_3[Amount],Cash_Flow_3[Bulan],H29,Cash_Flow_3[Type],"Out",Cash_Flow_3[Category],"Iqbal")</f>
        <v>121000</v>
      </c>
    </row>
    <row r="30" spans="1:20" ht="22.5" customHeight="1" x14ac:dyDescent="0.2">
      <c r="A30" s="23">
        <v>46069</v>
      </c>
      <c r="B30" s="24" t="s">
        <v>58</v>
      </c>
      <c r="C30" s="25" t="s">
        <v>43</v>
      </c>
      <c r="D30" s="25" t="s">
        <v>44</v>
      </c>
      <c r="E30" s="25" t="s">
        <v>9</v>
      </c>
      <c r="F30" s="26">
        <v>200000</v>
      </c>
      <c r="G30" s="27"/>
      <c r="H30" s="28">
        <f t="shared" si="0"/>
        <v>46054</v>
      </c>
      <c r="I30" s="29">
        <f>SUMIFS(Cash_Flow_3[Amount],Cash_Flow_3[Bulan],H30,Cash_Flow_3[Type],"In")</f>
        <v>7073728</v>
      </c>
      <c r="J30" s="29">
        <f>SUMIFS(Cash_Flow_3[Amount],Cash_Flow_3[Bulan],H30,Cash_Flow_3[Type],"Out")</f>
        <v>6908733</v>
      </c>
      <c r="K30" s="29">
        <f>SUMIFS(Cash_Flow_3[Amount],Cash_Flow_3[Bulan],H30,Cash_Flow_3[Type],"Out",Cash_Flow_3[Category],"Fix")</f>
        <v>2440568</v>
      </c>
      <c r="L30" s="29">
        <f>SUMIFS(Cash_Flow_3[Amount],Cash_Flow_3[Bulan],H30,Cash_Flow_3[Type],"Out",Cash_Flow_3[Category],"Bathroom")</f>
        <v>34500</v>
      </c>
      <c r="M30" s="29">
        <f>SUMIFS(Cash_Flow_3[Amount],Cash_Flow_3[Bulan],H30,Cash_Flow_3[Type],"Out",Cash_Flow_3[Category],"Alfa")</f>
        <v>293800</v>
      </c>
      <c r="N30" s="29">
        <f>SUMIFS(Cash_Flow_3[Amount],Cash_Flow_3[Bulan],H30,Cash_Flow_3[Type],"Out",Cash_Flow_3[Category],"Jajan")</f>
        <v>364000</v>
      </c>
      <c r="O30" s="29">
        <f>SUMIFS(Cash_Flow_3[Amount],Cash_Flow_3[Bulan],H30,Cash_Flow_3[Type],"Out",Cash_Flow_3[Category],"Kitchen")</f>
        <v>992724</v>
      </c>
      <c r="P30" s="29">
        <f>SUMIFS(Cash_Flow_3[Amount],Cash_Flow_3[Bulan],H30,Cash_Flow_3[Type],"Out",Cash_Flow_3[Category],"Loandry")</f>
        <v>41600</v>
      </c>
      <c r="Q30" s="29">
        <f>SUMIFS(Cash_Flow_3[Amount],Cash_Flow_3[Bulan],H30,Cash_Flow_3[Type],"Out",Cash_Flow_3[Category],"Mio")</f>
        <v>249000</v>
      </c>
      <c r="R30" s="29">
        <f>SUMIFS(Cash_Flow_3[Amount],Cash_Flow_3[Bulan],H30,Cash_Flow_3[Type],"Out",Cash_Flow_3[Category],"Sedekah")</f>
        <v>129000</v>
      </c>
      <c r="S30" s="29">
        <f>SUMIFS(Cash_Flow_3[Amount],Cash_Flow_3[Bulan],H30,Cash_Flow_3[Type],"Out",Cash_Flow_3[Category],"Zela")</f>
        <v>24100</v>
      </c>
      <c r="T30" s="29">
        <f>SUMIFS(Cash_Flow_3[Amount],Cash_Flow_3[Bulan],H30,Cash_Flow_3[Type],"Out",Cash_Flow_3[Category],"Iqbal")</f>
        <v>121000</v>
      </c>
    </row>
    <row r="31" spans="1:20" ht="22.5" customHeight="1" x14ac:dyDescent="0.2">
      <c r="A31" s="23">
        <v>46069</v>
      </c>
      <c r="B31" s="24" t="s">
        <v>72</v>
      </c>
      <c r="C31" s="25" t="s">
        <v>43</v>
      </c>
      <c r="D31" s="25" t="s">
        <v>9</v>
      </c>
      <c r="E31" s="25" t="s">
        <v>9</v>
      </c>
      <c r="F31" s="26">
        <v>100000</v>
      </c>
      <c r="G31" s="27"/>
      <c r="H31" s="28">
        <f t="shared" si="0"/>
        <v>46054</v>
      </c>
      <c r="I31" s="29">
        <f>SUMIFS(Cash_Flow_3[Amount],Cash_Flow_3[Bulan],H31,Cash_Flow_3[Type],"In")</f>
        <v>7073728</v>
      </c>
      <c r="J31" s="29">
        <f>SUMIFS(Cash_Flow_3[Amount],Cash_Flow_3[Bulan],H31,Cash_Flow_3[Type],"Out")</f>
        <v>6908733</v>
      </c>
      <c r="K31" s="29">
        <f>SUMIFS(Cash_Flow_3[Amount],Cash_Flow_3[Bulan],H31,Cash_Flow_3[Type],"Out",Cash_Flow_3[Category],"Fix")</f>
        <v>2440568</v>
      </c>
      <c r="L31" s="29">
        <f>SUMIFS(Cash_Flow_3[Amount],Cash_Flow_3[Bulan],H31,Cash_Flow_3[Type],"Out",Cash_Flow_3[Category],"Bathroom")</f>
        <v>34500</v>
      </c>
      <c r="M31" s="29">
        <f>SUMIFS(Cash_Flow_3[Amount],Cash_Flow_3[Bulan],H31,Cash_Flow_3[Type],"Out",Cash_Flow_3[Category],"Alfa")</f>
        <v>293800</v>
      </c>
      <c r="N31" s="29">
        <f>SUMIFS(Cash_Flow_3[Amount],Cash_Flow_3[Bulan],H31,Cash_Flow_3[Type],"Out",Cash_Flow_3[Category],"Jajan")</f>
        <v>364000</v>
      </c>
      <c r="O31" s="29">
        <f>SUMIFS(Cash_Flow_3[Amount],Cash_Flow_3[Bulan],H31,Cash_Flow_3[Type],"Out",Cash_Flow_3[Category],"Kitchen")</f>
        <v>992724</v>
      </c>
      <c r="P31" s="29">
        <f>SUMIFS(Cash_Flow_3[Amount],Cash_Flow_3[Bulan],H31,Cash_Flow_3[Type],"Out",Cash_Flow_3[Category],"Loandry")</f>
        <v>41600</v>
      </c>
      <c r="Q31" s="29">
        <f>SUMIFS(Cash_Flow_3[Amount],Cash_Flow_3[Bulan],H31,Cash_Flow_3[Type],"Out",Cash_Flow_3[Category],"Mio")</f>
        <v>249000</v>
      </c>
      <c r="R31" s="29">
        <f>SUMIFS(Cash_Flow_3[Amount],Cash_Flow_3[Bulan],H31,Cash_Flow_3[Type],"Out",Cash_Flow_3[Category],"Sedekah")</f>
        <v>129000</v>
      </c>
      <c r="S31" s="29">
        <f>SUMIFS(Cash_Flow_3[Amount],Cash_Flow_3[Bulan],H31,Cash_Flow_3[Type],"Out",Cash_Flow_3[Category],"Zela")</f>
        <v>24100</v>
      </c>
      <c r="T31" s="29">
        <f>SUMIFS(Cash_Flow_3[Amount],Cash_Flow_3[Bulan],H31,Cash_Flow_3[Type],"Out",Cash_Flow_3[Category],"Iqbal")</f>
        <v>121000</v>
      </c>
    </row>
    <row r="32" spans="1:20" ht="22.5" customHeight="1" x14ac:dyDescent="0.2">
      <c r="A32" s="23">
        <v>46069</v>
      </c>
      <c r="B32" s="24" t="s">
        <v>74</v>
      </c>
      <c r="C32" s="25" t="s">
        <v>46</v>
      </c>
      <c r="D32" s="25" t="s">
        <v>9</v>
      </c>
      <c r="E32" s="25" t="s">
        <v>9</v>
      </c>
      <c r="F32" s="26">
        <v>100000</v>
      </c>
      <c r="G32" s="27"/>
      <c r="H32" s="28">
        <f t="shared" si="0"/>
        <v>46054</v>
      </c>
      <c r="I32" s="29">
        <f>SUMIFS(Cash_Flow_3[Amount],Cash_Flow_3[Bulan],H32,Cash_Flow_3[Type],"In")</f>
        <v>7073728</v>
      </c>
      <c r="J32" s="29">
        <f>SUMIFS(Cash_Flow_3[Amount],Cash_Flow_3[Bulan],H32,Cash_Flow_3[Type],"Out")</f>
        <v>6908733</v>
      </c>
      <c r="K32" s="29">
        <f>SUMIFS(Cash_Flow_3[Amount],Cash_Flow_3[Bulan],H32,Cash_Flow_3[Type],"Out",Cash_Flow_3[Category],"Fix")</f>
        <v>2440568</v>
      </c>
      <c r="L32" s="29">
        <f>SUMIFS(Cash_Flow_3[Amount],Cash_Flow_3[Bulan],H32,Cash_Flow_3[Type],"Out",Cash_Flow_3[Category],"Bathroom")</f>
        <v>34500</v>
      </c>
      <c r="M32" s="29">
        <f>SUMIFS(Cash_Flow_3[Amount],Cash_Flow_3[Bulan],H32,Cash_Flow_3[Type],"Out",Cash_Flow_3[Category],"Alfa")</f>
        <v>293800</v>
      </c>
      <c r="N32" s="29">
        <f>SUMIFS(Cash_Flow_3[Amount],Cash_Flow_3[Bulan],H32,Cash_Flow_3[Type],"Out",Cash_Flow_3[Category],"Jajan")</f>
        <v>364000</v>
      </c>
      <c r="O32" s="29">
        <f>SUMIFS(Cash_Flow_3[Amount],Cash_Flow_3[Bulan],H32,Cash_Flow_3[Type],"Out",Cash_Flow_3[Category],"Kitchen")</f>
        <v>992724</v>
      </c>
      <c r="P32" s="29">
        <f>SUMIFS(Cash_Flow_3[Amount],Cash_Flow_3[Bulan],H32,Cash_Flow_3[Type],"Out",Cash_Flow_3[Category],"Loandry")</f>
        <v>41600</v>
      </c>
      <c r="Q32" s="29">
        <f>SUMIFS(Cash_Flow_3[Amount],Cash_Flow_3[Bulan],H32,Cash_Flow_3[Type],"Out",Cash_Flow_3[Category],"Mio")</f>
        <v>249000</v>
      </c>
      <c r="R32" s="29">
        <f>SUMIFS(Cash_Flow_3[Amount],Cash_Flow_3[Bulan],H32,Cash_Flow_3[Type],"Out",Cash_Flow_3[Category],"Sedekah")</f>
        <v>129000</v>
      </c>
      <c r="S32" s="29">
        <f>SUMIFS(Cash_Flow_3[Amount],Cash_Flow_3[Bulan],H32,Cash_Flow_3[Type],"Out",Cash_Flow_3[Category],"Zela")</f>
        <v>24100</v>
      </c>
      <c r="T32" s="29">
        <f>SUMIFS(Cash_Flow_3[Amount],Cash_Flow_3[Bulan],H32,Cash_Flow_3[Type],"Out",Cash_Flow_3[Category],"Iqbal")</f>
        <v>121000</v>
      </c>
    </row>
    <row r="33" spans="1:20" ht="22.5" customHeight="1" x14ac:dyDescent="0.2">
      <c r="A33" s="23">
        <v>46069</v>
      </c>
      <c r="B33" s="24" t="s">
        <v>16</v>
      </c>
      <c r="C33" s="25" t="s">
        <v>46</v>
      </c>
      <c r="D33" s="25" t="s">
        <v>44</v>
      </c>
      <c r="E33" s="25" t="s">
        <v>6</v>
      </c>
      <c r="F33" s="26">
        <v>24000</v>
      </c>
      <c r="G33" s="27"/>
      <c r="H33" s="28">
        <f t="shared" si="0"/>
        <v>46054</v>
      </c>
      <c r="I33" s="29">
        <f>SUMIFS(Cash_Flow_3[Amount],Cash_Flow_3[Bulan],H33,Cash_Flow_3[Type],"In")</f>
        <v>7073728</v>
      </c>
      <c r="J33" s="29">
        <f>SUMIFS(Cash_Flow_3[Amount],Cash_Flow_3[Bulan],H33,Cash_Flow_3[Type],"Out")</f>
        <v>6908733</v>
      </c>
      <c r="K33" s="29">
        <f>SUMIFS(Cash_Flow_3[Amount],Cash_Flow_3[Bulan],H33,Cash_Flow_3[Type],"Out",Cash_Flow_3[Category],"Fix")</f>
        <v>2440568</v>
      </c>
      <c r="L33" s="29">
        <f>SUMIFS(Cash_Flow_3[Amount],Cash_Flow_3[Bulan],H33,Cash_Flow_3[Type],"Out",Cash_Flow_3[Category],"Bathroom")</f>
        <v>34500</v>
      </c>
      <c r="M33" s="29">
        <f>SUMIFS(Cash_Flow_3[Amount],Cash_Flow_3[Bulan],H33,Cash_Flow_3[Type],"Out",Cash_Flow_3[Category],"Alfa")</f>
        <v>293800</v>
      </c>
      <c r="N33" s="29">
        <f>SUMIFS(Cash_Flow_3[Amount],Cash_Flow_3[Bulan],H33,Cash_Flow_3[Type],"Out",Cash_Flow_3[Category],"Jajan")</f>
        <v>364000</v>
      </c>
      <c r="O33" s="29">
        <f>SUMIFS(Cash_Flow_3[Amount],Cash_Flow_3[Bulan],H33,Cash_Flow_3[Type],"Out",Cash_Flow_3[Category],"Kitchen")</f>
        <v>992724</v>
      </c>
      <c r="P33" s="29">
        <f>SUMIFS(Cash_Flow_3[Amount],Cash_Flow_3[Bulan],H33,Cash_Flow_3[Type],"Out",Cash_Flow_3[Category],"Loandry")</f>
        <v>41600</v>
      </c>
      <c r="Q33" s="29">
        <f>SUMIFS(Cash_Flow_3[Amount],Cash_Flow_3[Bulan],H33,Cash_Flow_3[Type],"Out",Cash_Flow_3[Category],"Mio")</f>
        <v>249000</v>
      </c>
      <c r="R33" s="29">
        <f>SUMIFS(Cash_Flow_3[Amount],Cash_Flow_3[Bulan],H33,Cash_Flow_3[Type],"Out",Cash_Flow_3[Category],"Sedekah")</f>
        <v>129000</v>
      </c>
      <c r="S33" s="29">
        <f>SUMIFS(Cash_Flow_3[Amount],Cash_Flow_3[Bulan],H33,Cash_Flow_3[Type],"Out",Cash_Flow_3[Category],"Zela")</f>
        <v>24100</v>
      </c>
      <c r="T33" s="29">
        <f>SUMIFS(Cash_Flow_3[Amount],Cash_Flow_3[Bulan],H33,Cash_Flow_3[Type],"Out",Cash_Flow_3[Category],"Iqbal")</f>
        <v>121000</v>
      </c>
    </row>
    <row r="34" spans="1:20" ht="22.5" customHeight="1" x14ac:dyDescent="0.2">
      <c r="A34" s="23">
        <v>46069</v>
      </c>
      <c r="B34" s="24" t="s">
        <v>77</v>
      </c>
      <c r="C34" s="25" t="s">
        <v>46</v>
      </c>
      <c r="D34" s="25" t="s">
        <v>44</v>
      </c>
      <c r="E34" s="25" t="s">
        <v>2</v>
      </c>
      <c r="F34" s="26">
        <v>15000</v>
      </c>
      <c r="G34" s="27"/>
      <c r="H34" s="28">
        <f t="shared" si="0"/>
        <v>46054</v>
      </c>
      <c r="I34" s="29">
        <f>SUMIFS(Cash_Flow_3[Amount],Cash_Flow_3[Bulan],H34,Cash_Flow_3[Type],"In")</f>
        <v>7073728</v>
      </c>
      <c r="J34" s="29">
        <f>SUMIFS(Cash_Flow_3[Amount],Cash_Flow_3[Bulan],H34,Cash_Flow_3[Type],"Out")</f>
        <v>6908733</v>
      </c>
      <c r="K34" s="29">
        <f>SUMIFS(Cash_Flow_3[Amount],Cash_Flow_3[Bulan],H34,Cash_Flow_3[Type],"Out",Cash_Flow_3[Category],"Fix")</f>
        <v>2440568</v>
      </c>
      <c r="L34" s="29">
        <f>SUMIFS(Cash_Flow_3[Amount],Cash_Flow_3[Bulan],H34,Cash_Flow_3[Type],"Out",Cash_Flow_3[Category],"Bathroom")</f>
        <v>34500</v>
      </c>
      <c r="M34" s="29">
        <f>SUMIFS(Cash_Flow_3[Amount],Cash_Flow_3[Bulan],H34,Cash_Flow_3[Type],"Out",Cash_Flow_3[Category],"Alfa")</f>
        <v>293800</v>
      </c>
      <c r="N34" s="29">
        <f>SUMIFS(Cash_Flow_3[Amount],Cash_Flow_3[Bulan],H34,Cash_Flow_3[Type],"Out",Cash_Flow_3[Category],"Jajan")</f>
        <v>364000</v>
      </c>
      <c r="O34" s="29">
        <f>SUMIFS(Cash_Flow_3[Amount],Cash_Flow_3[Bulan],H34,Cash_Flow_3[Type],"Out",Cash_Flow_3[Category],"Kitchen")</f>
        <v>992724</v>
      </c>
      <c r="P34" s="29">
        <f>SUMIFS(Cash_Flow_3[Amount],Cash_Flow_3[Bulan],H34,Cash_Flow_3[Type],"Out",Cash_Flow_3[Category],"Loandry")</f>
        <v>41600</v>
      </c>
      <c r="Q34" s="29">
        <f>SUMIFS(Cash_Flow_3[Amount],Cash_Flow_3[Bulan],H34,Cash_Flow_3[Type],"Out",Cash_Flow_3[Category],"Mio")</f>
        <v>249000</v>
      </c>
      <c r="R34" s="29">
        <f>SUMIFS(Cash_Flow_3[Amount],Cash_Flow_3[Bulan],H34,Cash_Flow_3[Type],"Out",Cash_Flow_3[Category],"Sedekah")</f>
        <v>129000</v>
      </c>
      <c r="S34" s="29">
        <f>SUMIFS(Cash_Flow_3[Amount],Cash_Flow_3[Bulan],H34,Cash_Flow_3[Type],"Out",Cash_Flow_3[Category],"Zela")</f>
        <v>24100</v>
      </c>
      <c r="T34" s="29">
        <f>SUMIFS(Cash_Flow_3[Amount],Cash_Flow_3[Bulan],H34,Cash_Flow_3[Type],"Out",Cash_Flow_3[Category],"Iqbal")</f>
        <v>121000</v>
      </c>
    </row>
    <row r="35" spans="1:20" ht="22.5" customHeight="1" x14ac:dyDescent="0.2">
      <c r="A35" s="23">
        <v>46069</v>
      </c>
      <c r="B35" s="24" t="s">
        <v>79</v>
      </c>
      <c r="C35" s="25" t="s">
        <v>46</v>
      </c>
      <c r="D35" s="25" t="s">
        <v>44</v>
      </c>
      <c r="E35" s="25" t="s">
        <v>4</v>
      </c>
      <c r="F35" s="26">
        <v>6000</v>
      </c>
      <c r="G35" s="27"/>
      <c r="H35" s="28">
        <f t="shared" si="0"/>
        <v>46054</v>
      </c>
      <c r="I35" s="29">
        <f>SUMIFS(Cash_Flow_3[Amount],Cash_Flow_3[Bulan],H35,Cash_Flow_3[Type],"In")</f>
        <v>7073728</v>
      </c>
      <c r="J35" s="29">
        <f>SUMIFS(Cash_Flow_3[Amount],Cash_Flow_3[Bulan],H35,Cash_Flow_3[Type],"Out")</f>
        <v>6908733</v>
      </c>
      <c r="K35" s="29">
        <f>SUMIFS(Cash_Flow_3[Amount],Cash_Flow_3[Bulan],H35,Cash_Flow_3[Type],"Out",Cash_Flow_3[Category],"Fix")</f>
        <v>2440568</v>
      </c>
      <c r="L35" s="29">
        <f>SUMIFS(Cash_Flow_3[Amount],Cash_Flow_3[Bulan],H35,Cash_Flow_3[Type],"Out",Cash_Flow_3[Category],"Bathroom")</f>
        <v>34500</v>
      </c>
      <c r="M35" s="29">
        <f>SUMIFS(Cash_Flow_3[Amount],Cash_Flow_3[Bulan],H35,Cash_Flow_3[Type],"Out",Cash_Flow_3[Category],"Alfa")</f>
        <v>293800</v>
      </c>
      <c r="N35" s="29">
        <f>SUMIFS(Cash_Flow_3[Amount],Cash_Flow_3[Bulan],H35,Cash_Flow_3[Type],"Out",Cash_Flow_3[Category],"Jajan")</f>
        <v>364000</v>
      </c>
      <c r="O35" s="29">
        <f>SUMIFS(Cash_Flow_3[Amount],Cash_Flow_3[Bulan],H35,Cash_Flow_3[Type],"Out",Cash_Flow_3[Category],"Kitchen")</f>
        <v>992724</v>
      </c>
      <c r="P35" s="29">
        <f>SUMIFS(Cash_Flow_3[Amount],Cash_Flow_3[Bulan],H35,Cash_Flow_3[Type],"Out",Cash_Flow_3[Category],"Loandry")</f>
        <v>41600</v>
      </c>
      <c r="Q35" s="29">
        <f>SUMIFS(Cash_Flow_3[Amount],Cash_Flow_3[Bulan],H35,Cash_Flow_3[Type],"Out",Cash_Flow_3[Category],"Mio")</f>
        <v>249000</v>
      </c>
      <c r="R35" s="29">
        <f>SUMIFS(Cash_Flow_3[Amount],Cash_Flow_3[Bulan],H35,Cash_Flow_3[Type],"Out",Cash_Flow_3[Category],"Sedekah")</f>
        <v>129000</v>
      </c>
      <c r="S35" s="29">
        <f>SUMIFS(Cash_Flow_3[Amount],Cash_Flow_3[Bulan],H35,Cash_Flow_3[Type],"Out",Cash_Flow_3[Category],"Zela")</f>
        <v>24100</v>
      </c>
      <c r="T35" s="29">
        <f>SUMIFS(Cash_Flow_3[Amount],Cash_Flow_3[Bulan],H35,Cash_Flow_3[Type],"Out",Cash_Flow_3[Category],"Iqbal")</f>
        <v>121000</v>
      </c>
    </row>
    <row r="36" spans="1:20" ht="22.5" customHeight="1" x14ac:dyDescent="0.2">
      <c r="A36" s="23">
        <v>46070</v>
      </c>
      <c r="B36" s="24" t="s">
        <v>58</v>
      </c>
      <c r="C36" s="25" t="s">
        <v>46</v>
      </c>
      <c r="D36" s="25" t="s">
        <v>44</v>
      </c>
      <c r="E36" s="25" t="s">
        <v>9</v>
      </c>
      <c r="F36" s="26">
        <v>50000</v>
      </c>
      <c r="G36" s="27"/>
      <c r="H36" s="28">
        <f t="shared" si="0"/>
        <v>46054</v>
      </c>
      <c r="I36" s="29">
        <f>SUMIFS(Cash_Flow_3[Amount],Cash_Flow_3[Bulan],H36,Cash_Flow_3[Type],"In")</f>
        <v>7073728</v>
      </c>
      <c r="J36" s="29">
        <f>SUMIFS(Cash_Flow_3[Amount],Cash_Flow_3[Bulan],H36,Cash_Flow_3[Type],"Out")</f>
        <v>6908733</v>
      </c>
      <c r="K36" s="29">
        <f>SUMIFS(Cash_Flow_3[Amount],Cash_Flow_3[Bulan],H36,Cash_Flow_3[Type],"Out",Cash_Flow_3[Category],"Fix")</f>
        <v>2440568</v>
      </c>
      <c r="L36" s="29">
        <f>SUMIFS(Cash_Flow_3[Amount],Cash_Flow_3[Bulan],H36,Cash_Flow_3[Type],"Out",Cash_Flow_3[Category],"Bathroom")</f>
        <v>34500</v>
      </c>
      <c r="M36" s="29">
        <f>SUMIFS(Cash_Flow_3[Amount],Cash_Flow_3[Bulan],H36,Cash_Flow_3[Type],"Out",Cash_Flow_3[Category],"Alfa")</f>
        <v>293800</v>
      </c>
      <c r="N36" s="29">
        <f>SUMIFS(Cash_Flow_3[Amount],Cash_Flow_3[Bulan],H36,Cash_Flow_3[Type],"Out",Cash_Flow_3[Category],"Jajan")</f>
        <v>364000</v>
      </c>
      <c r="O36" s="29">
        <f>SUMIFS(Cash_Flow_3[Amount],Cash_Flow_3[Bulan],H36,Cash_Flow_3[Type],"Out",Cash_Flow_3[Category],"Kitchen")</f>
        <v>992724</v>
      </c>
      <c r="P36" s="29">
        <f>SUMIFS(Cash_Flow_3[Amount],Cash_Flow_3[Bulan],H36,Cash_Flow_3[Type],"Out",Cash_Flow_3[Category],"Loandry")</f>
        <v>41600</v>
      </c>
      <c r="Q36" s="29">
        <f>SUMIFS(Cash_Flow_3[Amount],Cash_Flow_3[Bulan],H36,Cash_Flow_3[Type],"Out",Cash_Flow_3[Category],"Mio")</f>
        <v>249000</v>
      </c>
      <c r="R36" s="29">
        <f>SUMIFS(Cash_Flow_3[Amount],Cash_Flow_3[Bulan],H36,Cash_Flow_3[Type],"Out",Cash_Flow_3[Category],"Sedekah")</f>
        <v>129000</v>
      </c>
      <c r="S36" s="29">
        <f>SUMIFS(Cash_Flow_3[Amount],Cash_Flow_3[Bulan],H36,Cash_Flow_3[Type],"Out",Cash_Flow_3[Category],"Zela")</f>
        <v>24100</v>
      </c>
      <c r="T36" s="29">
        <f>SUMIFS(Cash_Flow_3[Amount],Cash_Flow_3[Bulan],H36,Cash_Flow_3[Type],"Out",Cash_Flow_3[Category],"Iqbal")</f>
        <v>121000</v>
      </c>
    </row>
    <row r="37" spans="1:20" ht="22.5" customHeight="1" x14ac:dyDescent="0.2">
      <c r="A37" s="23">
        <v>46071</v>
      </c>
      <c r="B37" s="24" t="s">
        <v>58</v>
      </c>
      <c r="C37" s="25" t="s">
        <v>46</v>
      </c>
      <c r="D37" s="25" t="s">
        <v>44</v>
      </c>
      <c r="E37" s="25" t="s">
        <v>9</v>
      </c>
      <c r="F37" s="26">
        <v>5000</v>
      </c>
      <c r="G37" s="27"/>
      <c r="H37" s="28">
        <f t="shared" si="0"/>
        <v>46054</v>
      </c>
      <c r="I37" s="29">
        <f>SUMIFS(Cash_Flow_3[Amount],Cash_Flow_3[Bulan],H37,Cash_Flow_3[Type],"In")</f>
        <v>7073728</v>
      </c>
      <c r="J37" s="29">
        <f>SUMIFS(Cash_Flow_3[Amount],Cash_Flow_3[Bulan],H37,Cash_Flow_3[Type],"Out")</f>
        <v>6908733</v>
      </c>
      <c r="K37" s="29">
        <f>SUMIFS(Cash_Flow_3[Amount],Cash_Flow_3[Bulan],H37,Cash_Flow_3[Type],"Out",Cash_Flow_3[Category],"Fix")</f>
        <v>2440568</v>
      </c>
      <c r="L37" s="29">
        <f>SUMIFS(Cash_Flow_3[Amount],Cash_Flow_3[Bulan],H37,Cash_Flow_3[Type],"Out",Cash_Flow_3[Category],"Bathroom")</f>
        <v>34500</v>
      </c>
      <c r="M37" s="29">
        <f>SUMIFS(Cash_Flow_3[Amount],Cash_Flow_3[Bulan],H37,Cash_Flow_3[Type],"Out",Cash_Flow_3[Category],"Alfa")</f>
        <v>293800</v>
      </c>
      <c r="N37" s="29">
        <f>SUMIFS(Cash_Flow_3[Amount],Cash_Flow_3[Bulan],H37,Cash_Flow_3[Type],"Out",Cash_Flow_3[Category],"Jajan")</f>
        <v>364000</v>
      </c>
      <c r="O37" s="29">
        <f>SUMIFS(Cash_Flow_3[Amount],Cash_Flow_3[Bulan],H37,Cash_Flow_3[Type],"Out",Cash_Flow_3[Category],"Kitchen")</f>
        <v>992724</v>
      </c>
      <c r="P37" s="29">
        <f>SUMIFS(Cash_Flow_3[Amount],Cash_Flow_3[Bulan],H37,Cash_Flow_3[Type],"Out",Cash_Flow_3[Category],"Loandry")</f>
        <v>41600</v>
      </c>
      <c r="Q37" s="29">
        <f>SUMIFS(Cash_Flow_3[Amount],Cash_Flow_3[Bulan],H37,Cash_Flow_3[Type],"Out",Cash_Flow_3[Category],"Mio")</f>
        <v>249000</v>
      </c>
      <c r="R37" s="29">
        <f>SUMIFS(Cash_Flow_3[Amount],Cash_Flow_3[Bulan],H37,Cash_Flow_3[Type],"Out",Cash_Flow_3[Category],"Sedekah")</f>
        <v>129000</v>
      </c>
      <c r="S37" s="29">
        <f>SUMIFS(Cash_Flow_3[Amount],Cash_Flow_3[Bulan],H37,Cash_Flow_3[Type],"Out",Cash_Flow_3[Category],"Zela")</f>
        <v>24100</v>
      </c>
      <c r="T37" s="29">
        <f>SUMIFS(Cash_Flow_3[Amount],Cash_Flow_3[Bulan],H37,Cash_Flow_3[Type],"Out",Cash_Flow_3[Category],"Iqbal")</f>
        <v>121000</v>
      </c>
    </row>
    <row r="38" spans="1:20" ht="22.5" customHeight="1" x14ac:dyDescent="0.2">
      <c r="A38" s="23">
        <v>46071</v>
      </c>
      <c r="B38" s="24" t="s">
        <v>58</v>
      </c>
      <c r="C38" s="25" t="s">
        <v>43</v>
      </c>
      <c r="D38" s="25" t="s">
        <v>39</v>
      </c>
      <c r="E38" s="25" t="s">
        <v>9</v>
      </c>
      <c r="F38" s="26">
        <v>50000</v>
      </c>
      <c r="G38" s="27"/>
      <c r="H38" s="28">
        <f t="shared" si="0"/>
        <v>46054</v>
      </c>
      <c r="I38" s="29">
        <f>SUMIFS(Cash_Flow_3[Amount],Cash_Flow_3[Bulan],H38,Cash_Flow_3[Type],"In")</f>
        <v>7073728</v>
      </c>
      <c r="J38" s="29">
        <f>SUMIFS(Cash_Flow_3[Amount],Cash_Flow_3[Bulan],H38,Cash_Flow_3[Type],"Out")</f>
        <v>6908733</v>
      </c>
      <c r="K38" s="29">
        <f>SUMIFS(Cash_Flow_3[Amount],Cash_Flow_3[Bulan],H38,Cash_Flow_3[Type],"Out",Cash_Flow_3[Category],"Fix")</f>
        <v>2440568</v>
      </c>
      <c r="L38" s="29">
        <f>SUMIFS(Cash_Flow_3[Amount],Cash_Flow_3[Bulan],H38,Cash_Flow_3[Type],"Out",Cash_Flow_3[Category],"Bathroom")</f>
        <v>34500</v>
      </c>
      <c r="M38" s="29">
        <f>SUMIFS(Cash_Flow_3[Amount],Cash_Flow_3[Bulan],H38,Cash_Flow_3[Type],"Out",Cash_Flow_3[Category],"Alfa")</f>
        <v>293800</v>
      </c>
      <c r="N38" s="29">
        <f>SUMIFS(Cash_Flow_3[Amount],Cash_Flow_3[Bulan],H38,Cash_Flow_3[Type],"Out",Cash_Flow_3[Category],"Jajan")</f>
        <v>364000</v>
      </c>
      <c r="O38" s="29">
        <f>SUMIFS(Cash_Flow_3[Amount],Cash_Flow_3[Bulan],H38,Cash_Flow_3[Type],"Out",Cash_Flow_3[Category],"Kitchen")</f>
        <v>992724</v>
      </c>
      <c r="P38" s="29">
        <f>SUMIFS(Cash_Flow_3[Amount],Cash_Flow_3[Bulan],H38,Cash_Flow_3[Type],"Out",Cash_Flow_3[Category],"Loandry")</f>
        <v>41600</v>
      </c>
      <c r="Q38" s="29">
        <f>SUMIFS(Cash_Flow_3[Amount],Cash_Flow_3[Bulan],H38,Cash_Flow_3[Type],"Out",Cash_Flow_3[Category],"Mio")</f>
        <v>249000</v>
      </c>
      <c r="R38" s="29">
        <f>SUMIFS(Cash_Flow_3[Amount],Cash_Flow_3[Bulan],H38,Cash_Flow_3[Type],"Out",Cash_Flow_3[Category],"Sedekah")</f>
        <v>129000</v>
      </c>
      <c r="S38" s="29">
        <f>SUMIFS(Cash_Flow_3[Amount],Cash_Flow_3[Bulan],H38,Cash_Flow_3[Type],"Out",Cash_Flow_3[Category],"Zela")</f>
        <v>24100</v>
      </c>
      <c r="T38" s="29">
        <f>SUMIFS(Cash_Flow_3[Amount],Cash_Flow_3[Bulan],H38,Cash_Flow_3[Type],"Out",Cash_Flow_3[Category],"Iqbal")</f>
        <v>121000</v>
      </c>
    </row>
    <row r="39" spans="1:20" ht="22.5" customHeight="1" x14ac:dyDescent="0.2">
      <c r="A39" s="23">
        <v>46071</v>
      </c>
      <c r="B39" s="24" t="s">
        <v>58</v>
      </c>
      <c r="C39" s="25" t="s">
        <v>43</v>
      </c>
      <c r="D39" s="25" t="s">
        <v>39</v>
      </c>
      <c r="E39" s="25" t="s">
        <v>9</v>
      </c>
      <c r="F39" s="26">
        <v>20000</v>
      </c>
      <c r="G39" s="27"/>
      <c r="H39" s="28">
        <f t="shared" si="0"/>
        <v>46054</v>
      </c>
      <c r="I39" s="29">
        <f>SUMIFS(Cash_Flow_3[Amount],Cash_Flow_3[Bulan],H39,Cash_Flow_3[Type],"In")</f>
        <v>7073728</v>
      </c>
      <c r="J39" s="29">
        <f>SUMIFS(Cash_Flow_3[Amount],Cash_Flow_3[Bulan],H39,Cash_Flow_3[Type],"Out")</f>
        <v>6908733</v>
      </c>
      <c r="K39" s="29">
        <f>SUMIFS(Cash_Flow_3[Amount],Cash_Flow_3[Bulan],H39,Cash_Flow_3[Type],"Out",Cash_Flow_3[Category],"Fix")</f>
        <v>2440568</v>
      </c>
      <c r="L39" s="29">
        <f>SUMIFS(Cash_Flow_3[Amount],Cash_Flow_3[Bulan],H39,Cash_Flow_3[Type],"Out",Cash_Flow_3[Category],"Bathroom")</f>
        <v>34500</v>
      </c>
      <c r="M39" s="29">
        <f>SUMIFS(Cash_Flow_3[Amount],Cash_Flow_3[Bulan],H39,Cash_Flow_3[Type],"Out",Cash_Flow_3[Category],"Alfa")</f>
        <v>293800</v>
      </c>
      <c r="N39" s="29">
        <f>SUMIFS(Cash_Flow_3[Amount],Cash_Flow_3[Bulan],H39,Cash_Flow_3[Type],"Out",Cash_Flow_3[Category],"Jajan")</f>
        <v>364000</v>
      </c>
      <c r="O39" s="29">
        <f>SUMIFS(Cash_Flow_3[Amount],Cash_Flow_3[Bulan],H39,Cash_Flow_3[Type],"Out",Cash_Flow_3[Category],"Kitchen")</f>
        <v>992724</v>
      </c>
      <c r="P39" s="29">
        <f>SUMIFS(Cash_Flow_3[Amount],Cash_Flow_3[Bulan],H39,Cash_Flow_3[Type],"Out",Cash_Flow_3[Category],"Loandry")</f>
        <v>41600</v>
      </c>
      <c r="Q39" s="29">
        <f>SUMIFS(Cash_Flow_3[Amount],Cash_Flow_3[Bulan],H39,Cash_Flow_3[Type],"Out",Cash_Flow_3[Category],"Mio")</f>
        <v>249000</v>
      </c>
      <c r="R39" s="29">
        <f>SUMIFS(Cash_Flow_3[Amount],Cash_Flow_3[Bulan],H39,Cash_Flow_3[Type],"Out",Cash_Flow_3[Category],"Sedekah")</f>
        <v>129000</v>
      </c>
      <c r="S39" s="29">
        <f>SUMIFS(Cash_Flow_3[Amount],Cash_Flow_3[Bulan],H39,Cash_Flow_3[Type],"Out",Cash_Flow_3[Category],"Zela")</f>
        <v>24100</v>
      </c>
      <c r="T39" s="29">
        <f>SUMIFS(Cash_Flow_3[Amount],Cash_Flow_3[Bulan],H39,Cash_Flow_3[Type],"Out",Cash_Flow_3[Category],"Iqbal")</f>
        <v>121000</v>
      </c>
    </row>
    <row r="40" spans="1:20" ht="22.5" customHeight="1" x14ac:dyDescent="0.2">
      <c r="A40" s="23">
        <v>46071</v>
      </c>
      <c r="B40" s="24" t="s">
        <v>18</v>
      </c>
      <c r="C40" s="25" t="s">
        <v>43</v>
      </c>
      <c r="D40" s="25" t="s">
        <v>44</v>
      </c>
      <c r="E40" s="25" t="s">
        <v>8</v>
      </c>
      <c r="F40" s="26">
        <v>15000</v>
      </c>
      <c r="G40" s="27"/>
      <c r="H40" s="28">
        <f t="shared" si="0"/>
        <v>46054</v>
      </c>
      <c r="I40" s="29">
        <f>SUMIFS(Cash_Flow_3[Amount],Cash_Flow_3[Bulan],H40,Cash_Flow_3[Type],"In")</f>
        <v>7073728</v>
      </c>
      <c r="J40" s="29">
        <f>SUMIFS(Cash_Flow_3[Amount],Cash_Flow_3[Bulan],H40,Cash_Flow_3[Type],"Out")</f>
        <v>6908733</v>
      </c>
      <c r="K40" s="29">
        <f>SUMIFS(Cash_Flow_3[Amount],Cash_Flow_3[Bulan],H40,Cash_Flow_3[Type],"Out",Cash_Flow_3[Category],"Fix")</f>
        <v>2440568</v>
      </c>
      <c r="L40" s="29">
        <f>SUMIFS(Cash_Flow_3[Amount],Cash_Flow_3[Bulan],H40,Cash_Flow_3[Type],"Out",Cash_Flow_3[Category],"Bathroom")</f>
        <v>34500</v>
      </c>
      <c r="M40" s="29">
        <f>SUMIFS(Cash_Flow_3[Amount],Cash_Flow_3[Bulan],H40,Cash_Flow_3[Type],"Out",Cash_Flow_3[Category],"Alfa")</f>
        <v>293800</v>
      </c>
      <c r="N40" s="29">
        <f>SUMIFS(Cash_Flow_3[Amount],Cash_Flow_3[Bulan],H40,Cash_Flow_3[Type],"Out",Cash_Flow_3[Category],"Jajan")</f>
        <v>364000</v>
      </c>
      <c r="O40" s="29">
        <f>SUMIFS(Cash_Flow_3[Amount],Cash_Flow_3[Bulan],H40,Cash_Flow_3[Type],"Out",Cash_Flow_3[Category],"Kitchen")</f>
        <v>992724</v>
      </c>
      <c r="P40" s="29">
        <f>SUMIFS(Cash_Flow_3[Amount],Cash_Flow_3[Bulan],H40,Cash_Flow_3[Type],"Out",Cash_Flow_3[Category],"Loandry")</f>
        <v>41600</v>
      </c>
      <c r="Q40" s="29">
        <f>SUMIFS(Cash_Flow_3[Amount],Cash_Flow_3[Bulan],H40,Cash_Flow_3[Type],"Out",Cash_Flow_3[Category],"Mio")</f>
        <v>249000</v>
      </c>
      <c r="R40" s="29">
        <f>SUMIFS(Cash_Flow_3[Amount],Cash_Flow_3[Bulan],H40,Cash_Flow_3[Type],"Out",Cash_Flow_3[Category],"Sedekah")</f>
        <v>129000</v>
      </c>
      <c r="S40" s="29">
        <f>SUMIFS(Cash_Flow_3[Amount],Cash_Flow_3[Bulan],H40,Cash_Flow_3[Type],"Out",Cash_Flow_3[Category],"Zela")</f>
        <v>24100</v>
      </c>
      <c r="T40" s="29">
        <f>SUMIFS(Cash_Flow_3[Amount],Cash_Flow_3[Bulan],H40,Cash_Flow_3[Type],"Out",Cash_Flow_3[Category],"Iqbal")</f>
        <v>121000</v>
      </c>
    </row>
    <row r="41" spans="1:20" ht="22.5" customHeight="1" x14ac:dyDescent="0.2">
      <c r="A41" s="23">
        <v>46071</v>
      </c>
      <c r="B41" s="24" t="s">
        <v>85</v>
      </c>
      <c r="C41" s="25" t="s">
        <v>43</v>
      </c>
      <c r="D41" s="25" t="s">
        <v>44</v>
      </c>
      <c r="E41" s="25" t="s">
        <v>8</v>
      </c>
      <c r="F41" s="26">
        <v>2000</v>
      </c>
      <c r="G41" s="27"/>
      <c r="H41" s="28">
        <f t="shared" si="0"/>
        <v>46054</v>
      </c>
      <c r="I41" s="29">
        <f>SUMIFS(Cash_Flow_3[Amount],Cash_Flow_3[Bulan],H41,Cash_Flow_3[Type],"In")</f>
        <v>7073728</v>
      </c>
      <c r="J41" s="29">
        <f>SUMIFS(Cash_Flow_3[Amount],Cash_Flow_3[Bulan],H41,Cash_Flow_3[Type],"Out")</f>
        <v>6908733</v>
      </c>
      <c r="K41" s="29">
        <f>SUMIFS(Cash_Flow_3[Amount],Cash_Flow_3[Bulan],H41,Cash_Flow_3[Type],"Out",Cash_Flow_3[Category],"Fix")</f>
        <v>2440568</v>
      </c>
      <c r="L41" s="29">
        <f>SUMIFS(Cash_Flow_3[Amount],Cash_Flow_3[Bulan],H41,Cash_Flow_3[Type],"Out",Cash_Flow_3[Category],"Bathroom")</f>
        <v>34500</v>
      </c>
      <c r="M41" s="29">
        <f>SUMIFS(Cash_Flow_3[Amount],Cash_Flow_3[Bulan],H41,Cash_Flow_3[Type],"Out",Cash_Flow_3[Category],"Alfa")</f>
        <v>293800</v>
      </c>
      <c r="N41" s="29">
        <f>SUMIFS(Cash_Flow_3[Amount],Cash_Flow_3[Bulan],H41,Cash_Flow_3[Type],"Out",Cash_Flow_3[Category],"Jajan")</f>
        <v>364000</v>
      </c>
      <c r="O41" s="29">
        <f>SUMIFS(Cash_Flow_3[Amount],Cash_Flow_3[Bulan],H41,Cash_Flow_3[Type],"Out",Cash_Flow_3[Category],"Kitchen")</f>
        <v>992724</v>
      </c>
      <c r="P41" s="29">
        <f>SUMIFS(Cash_Flow_3[Amount],Cash_Flow_3[Bulan],H41,Cash_Flow_3[Type],"Out",Cash_Flow_3[Category],"Loandry")</f>
        <v>41600</v>
      </c>
      <c r="Q41" s="29">
        <f>SUMIFS(Cash_Flow_3[Amount],Cash_Flow_3[Bulan],H41,Cash_Flow_3[Type],"Out",Cash_Flow_3[Category],"Mio")</f>
        <v>249000</v>
      </c>
      <c r="R41" s="29">
        <f>SUMIFS(Cash_Flow_3[Amount],Cash_Flow_3[Bulan],H41,Cash_Flow_3[Type],"Out",Cash_Flow_3[Category],"Sedekah")</f>
        <v>129000</v>
      </c>
      <c r="S41" s="29">
        <f>SUMIFS(Cash_Flow_3[Amount],Cash_Flow_3[Bulan],H41,Cash_Flow_3[Type],"Out",Cash_Flow_3[Category],"Zela")</f>
        <v>24100</v>
      </c>
      <c r="T41" s="29">
        <f>SUMIFS(Cash_Flow_3[Amount],Cash_Flow_3[Bulan],H41,Cash_Flow_3[Type],"Out",Cash_Flow_3[Category],"Iqbal")</f>
        <v>121000</v>
      </c>
    </row>
    <row r="42" spans="1:20" ht="22.5" customHeight="1" x14ac:dyDescent="0.2">
      <c r="A42" s="23">
        <v>46072</v>
      </c>
      <c r="B42" s="24" t="s">
        <v>76</v>
      </c>
      <c r="C42" s="25" t="s">
        <v>43</v>
      </c>
      <c r="D42" s="25" t="s">
        <v>9</v>
      </c>
      <c r="E42" s="25" t="s">
        <v>9</v>
      </c>
      <c r="F42" s="26">
        <v>100000</v>
      </c>
      <c r="G42" s="27"/>
      <c r="H42" s="28">
        <f t="shared" si="0"/>
        <v>46054</v>
      </c>
      <c r="I42" s="29">
        <f>SUMIFS(Cash_Flow_3[Amount],Cash_Flow_3[Bulan],H42,Cash_Flow_3[Type],"In")</f>
        <v>7073728</v>
      </c>
      <c r="J42" s="29">
        <f>SUMIFS(Cash_Flow_3[Amount],Cash_Flow_3[Bulan],H42,Cash_Flow_3[Type],"Out")</f>
        <v>6908733</v>
      </c>
      <c r="K42" s="29">
        <f>SUMIFS(Cash_Flow_3[Amount],Cash_Flow_3[Bulan],H42,Cash_Flow_3[Type],"Out",Cash_Flow_3[Category],"Fix")</f>
        <v>2440568</v>
      </c>
      <c r="L42" s="29">
        <f>SUMIFS(Cash_Flow_3[Amount],Cash_Flow_3[Bulan],H42,Cash_Flow_3[Type],"Out",Cash_Flow_3[Category],"Bathroom")</f>
        <v>34500</v>
      </c>
      <c r="M42" s="29">
        <f>SUMIFS(Cash_Flow_3[Amount],Cash_Flow_3[Bulan],H42,Cash_Flow_3[Type],"Out",Cash_Flow_3[Category],"Alfa")</f>
        <v>293800</v>
      </c>
      <c r="N42" s="29">
        <f>SUMIFS(Cash_Flow_3[Amount],Cash_Flow_3[Bulan],H42,Cash_Flow_3[Type],"Out",Cash_Flow_3[Category],"Jajan")</f>
        <v>364000</v>
      </c>
      <c r="O42" s="29">
        <f>SUMIFS(Cash_Flow_3[Amount],Cash_Flow_3[Bulan],H42,Cash_Flow_3[Type],"Out",Cash_Flow_3[Category],"Kitchen")</f>
        <v>992724</v>
      </c>
      <c r="P42" s="29">
        <f>SUMIFS(Cash_Flow_3[Amount],Cash_Flow_3[Bulan],H42,Cash_Flow_3[Type],"Out",Cash_Flow_3[Category],"Loandry")</f>
        <v>41600</v>
      </c>
      <c r="Q42" s="29">
        <f>SUMIFS(Cash_Flow_3[Amount],Cash_Flow_3[Bulan],H42,Cash_Flow_3[Type],"Out",Cash_Flow_3[Category],"Mio")</f>
        <v>249000</v>
      </c>
      <c r="R42" s="29">
        <f>SUMIFS(Cash_Flow_3[Amount],Cash_Flow_3[Bulan],H42,Cash_Flow_3[Type],"Out",Cash_Flow_3[Category],"Sedekah")</f>
        <v>129000</v>
      </c>
      <c r="S42" s="29">
        <f>SUMIFS(Cash_Flow_3[Amount],Cash_Flow_3[Bulan],H42,Cash_Flow_3[Type],"Out",Cash_Flow_3[Category],"Zela")</f>
        <v>24100</v>
      </c>
      <c r="T42" s="29">
        <f>SUMIFS(Cash_Flow_3[Amount],Cash_Flow_3[Bulan],H42,Cash_Flow_3[Type],"Out",Cash_Flow_3[Category],"Iqbal")</f>
        <v>121000</v>
      </c>
    </row>
    <row r="43" spans="1:20" ht="22.5" customHeight="1" x14ac:dyDescent="0.2">
      <c r="A43" s="23">
        <v>46072</v>
      </c>
      <c r="B43" s="24" t="s">
        <v>78</v>
      </c>
      <c r="C43" s="25" t="s">
        <v>46</v>
      </c>
      <c r="D43" s="25" t="s">
        <v>9</v>
      </c>
      <c r="E43" s="25" t="s">
        <v>9</v>
      </c>
      <c r="F43" s="26">
        <v>100000</v>
      </c>
      <c r="G43" s="27"/>
      <c r="H43" s="28">
        <f t="shared" si="0"/>
        <v>46054</v>
      </c>
      <c r="I43" s="29">
        <f>SUMIFS(Cash_Flow_3[Amount],Cash_Flow_3[Bulan],H43,Cash_Flow_3[Type],"In")</f>
        <v>7073728</v>
      </c>
      <c r="J43" s="29">
        <f>SUMIFS(Cash_Flow_3[Amount],Cash_Flow_3[Bulan],H43,Cash_Flow_3[Type],"Out")</f>
        <v>6908733</v>
      </c>
      <c r="K43" s="29">
        <f>SUMIFS(Cash_Flow_3[Amount],Cash_Flow_3[Bulan],H43,Cash_Flow_3[Type],"Out",Cash_Flow_3[Category],"Fix")</f>
        <v>2440568</v>
      </c>
      <c r="L43" s="29">
        <f>SUMIFS(Cash_Flow_3[Amount],Cash_Flow_3[Bulan],H43,Cash_Flow_3[Type],"Out",Cash_Flow_3[Category],"Bathroom")</f>
        <v>34500</v>
      </c>
      <c r="M43" s="29">
        <f>SUMIFS(Cash_Flow_3[Amount],Cash_Flow_3[Bulan],H43,Cash_Flow_3[Type],"Out",Cash_Flow_3[Category],"Alfa")</f>
        <v>293800</v>
      </c>
      <c r="N43" s="29">
        <f>SUMIFS(Cash_Flow_3[Amount],Cash_Flow_3[Bulan],H43,Cash_Flow_3[Type],"Out",Cash_Flow_3[Category],"Jajan")</f>
        <v>364000</v>
      </c>
      <c r="O43" s="29">
        <f>SUMIFS(Cash_Flow_3[Amount],Cash_Flow_3[Bulan],H43,Cash_Flow_3[Type],"Out",Cash_Flow_3[Category],"Kitchen")</f>
        <v>992724</v>
      </c>
      <c r="P43" s="29">
        <f>SUMIFS(Cash_Flow_3[Amount],Cash_Flow_3[Bulan],H43,Cash_Flow_3[Type],"Out",Cash_Flow_3[Category],"Loandry")</f>
        <v>41600</v>
      </c>
      <c r="Q43" s="29">
        <f>SUMIFS(Cash_Flow_3[Amount],Cash_Flow_3[Bulan],H43,Cash_Flow_3[Type],"Out",Cash_Flow_3[Category],"Mio")</f>
        <v>249000</v>
      </c>
      <c r="R43" s="29">
        <f>SUMIFS(Cash_Flow_3[Amount],Cash_Flow_3[Bulan],H43,Cash_Flow_3[Type],"Out",Cash_Flow_3[Category],"Sedekah")</f>
        <v>129000</v>
      </c>
      <c r="S43" s="29">
        <f>SUMIFS(Cash_Flow_3[Amount],Cash_Flow_3[Bulan],H43,Cash_Flow_3[Type],"Out",Cash_Flow_3[Category],"Zela")</f>
        <v>24100</v>
      </c>
      <c r="T43" s="29">
        <f>SUMIFS(Cash_Flow_3[Amount],Cash_Flow_3[Bulan],H43,Cash_Flow_3[Type],"Out",Cash_Flow_3[Category],"Iqbal")</f>
        <v>121000</v>
      </c>
    </row>
    <row r="44" spans="1:20" ht="22.5" customHeight="1" x14ac:dyDescent="0.2">
      <c r="A44" s="23">
        <v>46072</v>
      </c>
      <c r="B44" s="24" t="s">
        <v>86</v>
      </c>
      <c r="C44" s="25" t="s">
        <v>46</v>
      </c>
      <c r="D44" s="25" t="s">
        <v>44</v>
      </c>
      <c r="E44" s="25" t="s">
        <v>6</v>
      </c>
      <c r="F44" s="26">
        <v>30000</v>
      </c>
      <c r="G44" s="27"/>
      <c r="H44" s="28">
        <f t="shared" si="0"/>
        <v>46054</v>
      </c>
      <c r="I44" s="29">
        <f>SUMIFS(Cash_Flow_3[Amount],Cash_Flow_3[Bulan],H44,Cash_Flow_3[Type],"In")</f>
        <v>7073728</v>
      </c>
      <c r="J44" s="29">
        <f>SUMIFS(Cash_Flow_3[Amount],Cash_Flow_3[Bulan],H44,Cash_Flow_3[Type],"Out")</f>
        <v>6908733</v>
      </c>
      <c r="K44" s="29">
        <f>SUMIFS(Cash_Flow_3[Amount],Cash_Flow_3[Bulan],H44,Cash_Flow_3[Type],"Out",Cash_Flow_3[Category],"Fix")</f>
        <v>2440568</v>
      </c>
      <c r="L44" s="29">
        <f>SUMIFS(Cash_Flow_3[Amount],Cash_Flow_3[Bulan],H44,Cash_Flow_3[Type],"Out",Cash_Flow_3[Category],"Bathroom")</f>
        <v>34500</v>
      </c>
      <c r="M44" s="29">
        <f>SUMIFS(Cash_Flow_3[Amount],Cash_Flow_3[Bulan],H44,Cash_Flow_3[Type],"Out",Cash_Flow_3[Category],"Alfa")</f>
        <v>293800</v>
      </c>
      <c r="N44" s="29">
        <f>SUMIFS(Cash_Flow_3[Amount],Cash_Flow_3[Bulan],H44,Cash_Flow_3[Type],"Out",Cash_Flow_3[Category],"Jajan")</f>
        <v>364000</v>
      </c>
      <c r="O44" s="29">
        <f>SUMIFS(Cash_Flow_3[Amount],Cash_Flow_3[Bulan],H44,Cash_Flow_3[Type],"Out",Cash_Flow_3[Category],"Kitchen")</f>
        <v>992724</v>
      </c>
      <c r="P44" s="29">
        <f>SUMIFS(Cash_Flow_3[Amount],Cash_Flow_3[Bulan],H44,Cash_Flow_3[Type],"Out",Cash_Flow_3[Category],"Loandry")</f>
        <v>41600</v>
      </c>
      <c r="Q44" s="29">
        <f>SUMIFS(Cash_Flow_3[Amount],Cash_Flow_3[Bulan],H44,Cash_Flow_3[Type],"Out",Cash_Flow_3[Category],"Mio")</f>
        <v>249000</v>
      </c>
      <c r="R44" s="29">
        <f>SUMIFS(Cash_Flow_3[Amount],Cash_Flow_3[Bulan],H44,Cash_Flow_3[Type],"Out",Cash_Flow_3[Category],"Sedekah")</f>
        <v>129000</v>
      </c>
      <c r="S44" s="29">
        <f>SUMIFS(Cash_Flow_3[Amount],Cash_Flow_3[Bulan],H44,Cash_Flow_3[Type],"Out",Cash_Flow_3[Category],"Zela")</f>
        <v>24100</v>
      </c>
      <c r="T44" s="29">
        <f>SUMIFS(Cash_Flow_3[Amount],Cash_Flow_3[Bulan],H44,Cash_Flow_3[Type],"Out",Cash_Flow_3[Category],"Iqbal")</f>
        <v>121000</v>
      </c>
    </row>
    <row r="45" spans="1:20" ht="22.5" customHeight="1" x14ac:dyDescent="0.2">
      <c r="A45" s="23">
        <v>46072</v>
      </c>
      <c r="B45" s="24" t="s">
        <v>88</v>
      </c>
      <c r="C45" s="25" t="s">
        <v>46</v>
      </c>
      <c r="D45" s="25" t="s">
        <v>44</v>
      </c>
      <c r="E45" s="25" t="s">
        <v>2</v>
      </c>
      <c r="F45" s="26">
        <v>11000</v>
      </c>
      <c r="G45" s="27"/>
      <c r="H45" s="28">
        <f t="shared" si="0"/>
        <v>46054</v>
      </c>
      <c r="I45" s="29">
        <f>SUMIFS(Cash_Flow_3[Amount],Cash_Flow_3[Bulan],H45,Cash_Flow_3[Type],"In")</f>
        <v>7073728</v>
      </c>
      <c r="J45" s="29">
        <f>SUMIFS(Cash_Flow_3[Amount],Cash_Flow_3[Bulan],H45,Cash_Flow_3[Type],"Out")</f>
        <v>6908733</v>
      </c>
      <c r="K45" s="29">
        <f>SUMIFS(Cash_Flow_3[Amount],Cash_Flow_3[Bulan],H45,Cash_Flow_3[Type],"Out",Cash_Flow_3[Category],"Fix")</f>
        <v>2440568</v>
      </c>
      <c r="L45" s="29">
        <f>SUMIFS(Cash_Flow_3[Amount],Cash_Flow_3[Bulan],H45,Cash_Flow_3[Type],"Out",Cash_Flow_3[Category],"Bathroom")</f>
        <v>34500</v>
      </c>
      <c r="M45" s="29">
        <f>SUMIFS(Cash_Flow_3[Amount],Cash_Flow_3[Bulan],H45,Cash_Flow_3[Type],"Out",Cash_Flow_3[Category],"Alfa")</f>
        <v>293800</v>
      </c>
      <c r="N45" s="29">
        <f>SUMIFS(Cash_Flow_3[Amount],Cash_Flow_3[Bulan],H45,Cash_Flow_3[Type],"Out",Cash_Flow_3[Category],"Jajan")</f>
        <v>364000</v>
      </c>
      <c r="O45" s="29">
        <f>SUMIFS(Cash_Flow_3[Amount],Cash_Flow_3[Bulan],H45,Cash_Flow_3[Type],"Out",Cash_Flow_3[Category],"Kitchen")</f>
        <v>992724</v>
      </c>
      <c r="P45" s="29">
        <f>SUMIFS(Cash_Flow_3[Amount],Cash_Flow_3[Bulan],H45,Cash_Flow_3[Type],"Out",Cash_Flow_3[Category],"Loandry")</f>
        <v>41600</v>
      </c>
      <c r="Q45" s="29">
        <f>SUMIFS(Cash_Flow_3[Amount],Cash_Flow_3[Bulan],H45,Cash_Flow_3[Type],"Out",Cash_Flow_3[Category],"Mio")</f>
        <v>249000</v>
      </c>
      <c r="R45" s="29">
        <f>SUMIFS(Cash_Flow_3[Amount],Cash_Flow_3[Bulan],H45,Cash_Flow_3[Type],"Out",Cash_Flow_3[Category],"Sedekah")</f>
        <v>129000</v>
      </c>
      <c r="S45" s="29">
        <f>SUMIFS(Cash_Flow_3[Amount],Cash_Flow_3[Bulan],H45,Cash_Flow_3[Type],"Out",Cash_Flow_3[Category],"Zela")</f>
        <v>24100</v>
      </c>
      <c r="T45" s="29">
        <f>SUMIFS(Cash_Flow_3[Amount],Cash_Flow_3[Bulan],H45,Cash_Flow_3[Type],"Out",Cash_Flow_3[Category],"Iqbal")</f>
        <v>121000</v>
      </c>
    </row>
    <row r="46" spans="1:20" ht="22.5" customHeight="1" x14ac:dyDescent="0.2">
      <c r="A46" s="23">
        <v>46073</v>
      </c>
      <c r="B46" s="24" t="s">
        <v>89</v>
      </c>
      <c r="C46" s="25" t="s">
        <v>46</v>
      </c>
      <c r="D46" s="25" t="s">
        <v>44</v>
      </c>
      <c r="E46" s="25" t="s">
        <v>10</v>
      </c>
      <c r="F46" s="26">
        <v>9000</v>
      </c>
      <c r="G46" s="27"/>
      <c r="H46" s="28">
        <f t="shared" si="0"/>
        <v>46054</v>
      </c>
      <c r="I46" s="29">
        <f>SUMIFS(Cash_Flow_3[Amount],Cash_Flow_3[Bulan],H46,Cash_Flow_3[Type],"In")</f>
        <v>7073728</v>
      </c>
      <c r="J46" s="29">
        <f>SUMIFS(Cash_Flow_3[Amount],Cash_Flow_3[Bulan],H46,Cash_Flow_3[Type],"Out")</f>
        <v>6908733</v>
      </c>
      <c r="K46" s="29">
        <f>SUMIFS(Cash_Flow_3[Amount],Cash_Flow_3[Bulan],H46,Cash_Flow_3[Type],"Out",Cash_Flow_3[Category],"Fix")</f>
        <v>2440568</v>
      </c>
      <c r="L46" s="29">
        <f>SUMIFS(Cash_Flow_3[Amount],Cash_Flow_3[Bulan],H46,Cash_Flow_3[Type],"Out",Cash_Flow_3[Category],"Bathroom")</f>
        <v>34500</v>
      </c>
      <c r="M46" s="29">
        <f>SUMIFS(Cash_Flow_3[Amount],Cash_Flow_3[Bulan],H46,Cash_Flow_3[Type],"Out",Cash_Flow_3[Category],"Alfa")</f>
        <v>293800</v>
      </c>
      <c r="N46" s="29">
        <f>SUMIFS(Cash_Flow_3[Amount],Cash_Flow_3[Bulan],H46,Cash_Flow_3[Type],"Out",Cash_Flow_3[Category],"Jajan")</f>
        <v>364000</v>
      </c>
      <c r="O46" s="29">
        <f>SUMIFS(Cash_Flow_3[Amount],Cash_Flow_3[Bulan],H46,Cash_Flow_3[Type],"Out",Cash_Flow_3[Category],"Kitchen")</f>
        <v>992724</v>
      </c>
      <c r="P46" s="29">
        <f>SUMIFS(Cash_Flow_3[Amount],Cash_Flow_3[Bulan],H46,Cash_Flow_3[Type],"Out",Cash_Flow_3[Category],"Loandry")</f>
        <v>41600</v>
      </c>
      <c r="Q46" s="29">
        <f>SUMIFS(Cash_Flow_3[Amount],Cash_Flow_3[Bulan],H46,Cash_Flow_3[Type],"Out",Cash_Flow_3[Category],"Mio")</f>
        <v>249000</v>
      </c>
      <c r="R46" s="29">
        <f>SUMIFS(Cash_Flow_3[Amount],Cash_Flow_3[Bulan],H46,Cash_Flow_3[Type],"Out",Cash_Flow_3[Category],"Sedekah")</f>
        <v>129000</v>
      </c>
      <c r="S46" s="29">
        <f>SUMIFS(Cash_Flow_3[Amount],Cash_Flow_3[Bulan],H46,Cash_Flow_3[Type],"Out",Cash_Flow_3[Category],"Zela")</f>
        <v>24100</v>
      </c>
      <c r="T46" s="29">
        <f>SUMIFS(Cash_Flow_3[Amount],Cash_Flow_3[Bulan],H46,Cash_Flow_3[Type],"Out",Cash_Flow_3[Category],"Iqbal")</f>
        <v>121000</v>
      </c>
    </row>
    <row r="47" spans="1:20" ht="22.5" customHeight="1" x14ac:dyDescent="0.2">
      <c r="A47" s="23">
        <v>46073</v>
      </c>
      <c r="B47" s="24" t="s">
        <v>91</v>
      </c>
      <c r="C47" s="25" t="s">
        <v>43</v>
      </c>
      <c r="D47" s="25" t="s">
        <v>44</v>
      </c>
      <c r="E47" s="25" t="s">
        <v>0</v>
      </c>
      <c r="F47" s="26">
        <v>6000</v>
      </c>
      <c r="G47" s="27"/>
      <c r="H47" s="28">
        <f t="shared" si="0"/>
        <v>46054</v>
      </c>
      <c r="I47" s="29">
        <f>SUMIFS(Cash_Flow_3[Amount],Cash_Flow_3[Bulan],H47,Cash_Flow_3[Type],"In")</f>
        <v>7073728</v>
      </c>
      <c r="J47" s="29">
        <f>SUMIFS(Cash_Flow_3[Amount],Cash_Flow_3[Bulan],H47,Cash_Flow_3[Type],"Out")</f>
        <v>6908733</v>
      </c>
      <c r="K47" s="29">
        <f>SUMIFS(Cash_Flow_3[Amount],Cash_Flow_3[Bulan],H47,Cash_Flow_3[Type],"Out",Cash_Flow_3[Category],"Fix")</f>
        <v>2440568</v>
      </c>
      <c r="L47" s="29">
        <f>SUMIFS(Cash_Flow_3[Amount],Cash_Flow_3[Bulan],H47,Cash_Flow_3[Type],"Out",Cash_Flow_3[Category],"Bathroom")</f>
        <v>34500</v>
      </c>
      <c r="M47" s="29">
        <f>SUMIFS(Cash_Flow_3[Amount],Cash_Flow_3[Bulan],H47,Cash_Flow_3[Type],"Out",Cash_Flow_3[Category],"Alfa")</f>
        <v>293800</v>
      </c>
      <c r="N47" s="29">
        <f>SUMIFS(Cash_Flow_3[Amount],Cash_Flow_3[Bulan],H47,Cash_Flow_3[Type],"Out",Cash_Flow_3[Category],"Jajan")</f>
        <v>364000</v>
      </c>
      <c r="O47" s="29">
        <f>SUMIFS(Cash_Flow_3[Amount],Cash_Flow_3[Bulan],H47,Cash_Flow_3[Type],"Out",Cash_Flow_3[Category],"Kitchen")</f>
        <v>992724</v>
      </c>
      <c r="P47" s="29">
        <f>SUMIFS(Cash_Flow_3[Amount],Cash_Flow_3[Bulan],H47,Cash_Flow_3[Type],"Out",Cash_Flow_3[Category],"Loandry")</f>
        <v>41600</v>
      </c>
      <c r="Q47" s="29">
        <f>SUMIFS(Cash_Flow_3[Amount],Cash_Flow_3[Bulan],H47,Cash_Flow_3[Type],"Out",Cash_Flow_3[Category],"Mio")</f>
        <v>249000</v>
      </c>
      <c r="R47" s="29">
        <f>SUMIFS(Cash_Flow_3[Amount],Cash_Flow_3[Bulan],H47,Cash_Flow_3[Type],"Out",Cash_Flow_3[Category],"Sedekah")</f>
        <v>129000</v>
      </c>
      <c r="S47" s="29">
        <f>SUMIFS(Cash_Flow_3[Amount],Cash_Flow_3[Bulan],H47,Cash_Flow_3[Type],"Out",Cash_Flow_3[Category],"Zela")</f>
        <v>24100</v>
      </c>
      <c r="T47" s="29">
        <f>SUMIFS(Cash_Flow_3[Amount],Cash_Flow_3[Bulan],H47,Cash_Flow_3[Type],"Out",Cash_Flow_3[Category],"Iqbal")</f>
        <v>121000</v>
      </c>
    </row>
    <row r="48" spans="1:20" ht="22.5" customHeight="1" x14ac:dyDescent="0.2">
      <c r="A48" s="23">
        <v>46074</v>
      </c>
      <c r="B48" s="24" t="s">
        <v>58</v>
      </c>
      <c r="C48" s="25" t="s">
        <v>43</v>
      </c>
      <c r="D48" s="25" t="s">
        <v>39</v>
      </c>
      <c r="E48" s="25" t="s">
        <v>9</v>
      </c>
      <c r="F48" s="26">
        <v>20000</v>
      </c>
      <c r="G48" s="27"/>
      <c r="H48" s="28">
        <f t="shared" si="0"/>
        <v>46054</v>
      </c>
      <c r="I48" s="29">
        <f>SUMIFS(Cash_Flow_3[Amount],Cash_Flow_3[Bulan],H48,Cash_Flow_3[Type],"In")</f>
        <v>7073728</v>
      </c>
      <c r="J48" s="29">
        <f>SUMIFS(Cash_Flow_3[Amount],Cash_Flow_3[Bulan],H48,Cash_Flow_3[Type],"Out")</f>
        <v>6908733</v>
      </c>
      <c r="K48" s="29">
        <f>SUMIFS(Cash_Flow_3[Amount],Cash_Flow_3[Bulan],H48,Cash_Flow_3[Type],"Out",Cash_Flow_3[Category],"Fix")</f>
        <v>2440568</v>
      </c>
      <c r="L48" s="29">
        <f>SUMIFS(Cash_Flow_3[Amount],Cash_Flow_3[Bulan],H48,Cash_Flow_3[Type],"Out",Cash_Flow_3[Category],"Bathroom")</f>
        <v>34500</v>
      </c>
      <c r="M48" s="29">
        <f>SUMIFS(Cash_Flow_3[Amount],Cash_Flow_3[Bulan],H48,Cash_Flow_3[Type],"Out",Cash_Flow_3[Category],"Alfa")</f>
        <v>293800</v>
      </c>
      <c r="N48" s="29">
        <f>SUMIFS(Cash_Flow_3[Amount],Cash_Flow_3[Bulan],H48,Cash_Flow_3[Type],"Out",Cash_Flow_3[Category],"Jajan")</f>
        <v>364000</v>
      </c>
      <c r="O48" s="29">
        <f>SUMIFS(Cash_Flow_3[Amount],Cash_Flow_3[Bulan],H48,Cash_Flow_3[Type],"Out",Cash_Flow_3[Category],"Kitchen")</f>
        <v>992724</v>
      </c>
      <c r="P48" s="29">
        <f>SUMIFS(Cash_Flow_3[Amount],Cash_Flow_3[Bulan],H48,Cash_Flow_3[Type],"Out",Cash_Flow_3[Category],"Loandry")</f>
        <v>41600</v>
      </c>
      <c r="Q48" s="29">
        <f>SUMIFS(Cash_Flow_3[Amount],Cash_Flow_3[Bulan],H48,Cash_Flow_3[Type],"Out",Cash_Flow_3[Category],"Mio")</f>
        <v>249000</v>
      </c>
      <c r="R48" s="29">
        <f>SUMIFS(Cash_Flow_3[Amount],Cash_Flow_3[Bulan],H48,Cash_Flow_3[Type],"Out",Cash_Flow_3[Category],"Sedekah")</f>
        <v>129000</v>
      </c>
      <c r="S48" s="29">
        <f>SUMIFS(Cash_Flow_3[Amount],Cash_Flow_3[Bulan],H48,Cash_Flow_3[Type],"Out",Cash_Flow_3[Category],"Zela")</f>
        <v>24100</v>
      </c>
      <c r="T48" s="29">
        <f>SUMIFS(Cash_Flow_3[Amount],Cash_Flow_3[Bulan],H48,Cash_Flow_3[Type],"Out",Cash_Flow_3[Category],"Iqbal")</f>
        <v>121000</v>
      </c>
    </row>
    <row r="49" spans="1:20" ht="22.5" customHeight="1" x14ac:dyDescent="0.2">
      <c r="A49" s="23">
        <v>46077</v>
      </c>
      <c r="B49" s="24" t="s">
        <v>58</v>
      </c>
      <c r="C49" s="25" t="s">
        <v>43</v>
      </c>
      <c r="D49" s="25" t="s">
        <v>44</v>
      </c>
      <c r="E49" s="25" t="s">
        <v>9</v>
      </c>
      <c r="F49" s="26">
        <v>39000</v>
      </c>
      <c r="G49" s="27"/>
      <c r="H49" s="28">
        <f t="shared" si="0"/>
        <v>46054</v>
      </c>
      <c r="I49" s="29">
        <f>SUMIFS(Cash_Flow_3[Amount],Cash_Flow_3[Bulan],H49,Cash_Flow_3[Type],"In")</f>
        <v>7073728</v>
      </c>
      <c r="J49" s="29">
        <f>SUMIFS(Cash_Flow_3[Amount],Cash_Flow_3[Bulan],H49,Cash_Flow_3[Type],"Out")</f>
        <v>6908733</v>
      </c>
      <c r="K49" s="29">
        <f>SUMIFS(Cash_Flow_3[Amount],Cash_Flow_3[Bulan],H49,Cash_Flow_3[Type],"Out",Cash_Flow_3[Category],"Fix")</f>
        <v>2440568</v>
      </c>
      <c r="L49" s="29">
        <f>SUMIFS(Cash_Flow_3[Amount],Cash_Flow_3[Bulan],H49,Cash_Flow_3[Type],"Out",Cash_Flow_3[Category],"Bathroom")</f>
        <v>34500</v>
      </c>
      <c r="M49" s="29">
        <f>SUMIFS(Cash_Flow_3[Amount],Cash_Flow_3[Bulan],H49,Cash_Flow_3[Type],"Out",Cash_Flow_3[Category],"Alfa")</f>
        <v>293800</v>
      </c>
      <c r="N49" s="29">
        <f>SUMIFS(Cash_Flow_3[Amount],Cash_Flow_3[Bulan],H49,Cash_Flow_3[Type],"Out",Cash_Flow_3[Category],"Jajan")</f>
        <v>364000</v>
      </c>
      <c r="O49" s="29">
        <f>SUMIFS(Cash_Flow_3[Amount],Cash_Flow_3[Bulan],H49,Cash_Flow_3[Type],"Out",Cash_Flow_3[Category],"Kitchen")</f>
        <v>992724</v>
      </c>
      <c r="P49" s="29">
        <f>SUMIFS(Cash_Flow_3[Amount],Cash_Flow_3[Bulan],H49,Cash_Flow_3[Type],"Out",Cash_Flow_3[Category],"Loandry")</f>
        <v>41600</v>
      </c>
      <c r="Q49" s="29">
        <f>SUMIFS(Cash_Flow_3[Amount],Cash_Flow_3[Bulan],H49,Cash_Flow_3[Type],"Out",Cash_Flow_3[Category],"Mio")</f>
        <v>249000</v>
      </c>
      <c r="R49" s="29">
        <f>SUMIFS(Cash_Flow_3[Amount],Cash_Flow_3[Bulan],H49,Cash_Flow_3[Type],"Out",Cash_Flow_3[Category],"Sedekah")</f>
        <v>129000</v>
      </c>
      <c r="S49" s="29">
        <f>SUMIFS(Cash_Flow_3[Amount],Cash_Flow_3[Bulan],H49,Cash_Flow_3[Type],"Out",Cash_Flow_3[Category],"Zela")</f>
        <v>24100</v>
      </c>
      <c r="T49" s="29">
        <f>SUMIFS(Cash_Flow_3[Amount],Cash_Flow_3[Bulan],H49,Cash_Flow_3[Type],"Out",Cash_Flow_3[Category],"Iqbal")</f>
        <v>121000</v>
      </c>
    </row>
    <row r="50" spans="1:20" ht="22.5" customHeight="1" x14ac:dyDescent="0.2">
      <c r="A50" s="23">
        <v>46078</v>
      </c>
      <c r="B50" s="24" t="s">
        <v>92</v>
      </c>
      <c r="C50" s="25" t="s">
        <v>46</v>
      </c>
      <c r="D50" s="25" t="s">
        <v>44</v>
      </c>
      <c r="E50" s="25" t="s">
        <v>2</v>
      </c>
      <c r="F50" s="26">
        <v>17000</v>
      </c>
      <c r="G50" s="27"/>
      <c r="H50" s="28">
        <f t="shared" si="0"/>
        <v>46054</v>
      </c>
      <c r="I50" s="29">
        <f>SUMIFS(Cash_Flow_3[Amount],Cash_Flow_3[Bulan],H50,Cash_Flow_3[Type],"In")</f>
        <v>7073728</v>
      </c>
      <c r="J50" s="29">
        <f>SUMIFS(Cash_Flow_3[Amount],Cash_Flow_3[Bulan],H50,Cash_Flow_3[Type],"Out")</f>
        <v>6908733</v>
      </c>
      <c r="K50" s="29">
        <f>SUMIFS(Cash_Flow_3[Amount],Cash_Flow_3[Bulan],H50,Cash_Flow_3[Type],"Out",Cash_Flow_3[Category],"Fix")</f>
        <v>2440568</v>
      </c>
      <c r="L50" s="29">
        <f>SUMIFS(Cash_Flow_3[Amount],Cash_Flow_3[Bulan],H50,Cash_Flow_3[Type],"Out",Cash_Flow_3[Category],"Bathroom")</f>
        <v>34500</v>
      </c>
      <c r="M50" s="29">
        <f>SUMIFS(Cash_Flow_3[Amount],Cash_Flow_3[Bulan],H50,Cash_Flow_3[Type],"Out",Cash_Flow_3[Category],"Alfa")</f>
        <v>293800</v>
      </c>
      <c r="N50" s="29">
        <f>SUMIFS(Cash_Flow_3[Amount],Cash_Flow_3[Bulan],H50,Cash_Flow_3[Type],"Out",Cash_Flow_3[Category],"Jajan")</f>
        <v>364000</v>
      </c>
      <c r="O50" s="29">
        <f>SUMIFS(Cash_Flow_3[Amount],Cash_Flow_3[Bulan],H50,Cash_Flow_3[Type],"Out",Cash_Flow_3[Category],"Kitchen")</f>
        <v>992724</v>
      </c>
      <c r="P50" s="29">
        <f>SUMIFS(Cash_Flow_3[Amount],Cash_Flow_3[Bulan],H50,Cash_Flow_3[Type],"Out",Cash_Flow_3[Category],"Loandry")</f>
        <v>41600</v>
      </c>
      <c r="Q50" s="29">
        <f>SUMIFS(Cash_Flow_3[Amount],Cash_Flow_3[Bulan],H50,Cash_Flow_3[Type],"Out",Cash_Flow_3[Category],"Mio")</f>
        <v>249000</v>
      </c>
      <c r="R50" s="29">
        <f>SUMIFS(Cash_Flow_3[Amount],Cash_Flow_3[Bulan],H50,Cash_Flow_3[Type],"Out",Cash_Flow_3[Category],"Sedekah")</f>
        <v>129000</v>
      </c>
      <c r="S50" s="29">
        <f>SUMIFS(Cash_Flow_3[Amount],Cash_Flow_3[Bulan],H50,Cash_Flow_3[Type],"Out",Cash_Flow_3[Category],"Zela")</f>
        <v>24100</v>
      </c>
      <c r="T50" s="29">
        <f>SUMIFS(Cash_Flow_3[Amount],Cash_Flow_3[Bulan],H50,Cash_Flow_3[Type],"Out",Cash_Flow_3[Category],"Iqbal")</f>
        <v>121000</v>
      </c>
    </row>
    <row r="51" spans="1:20" ht="22.5" customHeight="1" x14ac:dyDescent="0.2">
      <c r="A51" s="23">
        <v>46079</v>
      </c>
      <c r="B51" s="24" t="s">
        <v>94</v>
      </c>
      <c r="C51" s="25" t="s">
        <v>95</v>
      </c>
      <c r="D51" s="25" t="s">
        <v>44</v>
      </c>
      <c r="E51" s="25" t="s">
        <v>0</v>
      </c>
      <c r="F51" s="26">
        <v>-140000</v>
      </c>
      <c r="G51" s="27"/>
      <c r="H51" s="28">
        <f t="shared" si="0"/>
        <v>46054</v>
      </c>
      <c r="I51" s="29">
        <f>SUMIFS(Cash_Flow_3[Amount],Cash_Flow_3[Bulan],H51,Cash_Flow_3[Type],"In")</f>
        <v>7073728</v>
      </c>
      <c r="J51" s="29">
        <f>SUMIFS(Cash_Flow_3[Amount],Cash_Flow_3[Bulan],H51,Cash_Flow_3[Type],"Out")</f>
        <v>6908733</v>
      </c>
      <c r="K51" s="29">
        <f>SUMIFS(Cash_Flow_3[Amount],Cash_Flow_3[Bulan],H51,Cash_Flow_3[Type],"Out",Cash_Flow_3[Category],"Fix")</f>
        <v>2440568</v>
      </c>
      <c r="L51" s="29">
        <f>SUMIFS(Cash_Flow_3[Amount],Cash_Flow_3[Bulan],H51,Cash_Flow_3[Type],"Out",Cash_Flow_3[Category],"Bathroom")</f>
        <v>34500</v>
      </c>
      <c r="M51" s="29">
        <f>SUMIFS(Cash_Flow_3[Amount],Cash_Flow_3[Bulan],H51,Cash_Flow_3[Type],"Out",Cash_Flow_3[Category],"Alfa")</f>
        <v>293800</v>
      </c>
      <c r="N51" s="29">
        <f>SUMIFS(Cash_Flow_3[Amount],Cash_Flow_3[Bulan],H51,Cash_Flow_3[Type],"Out",Cash_Flow_3[Category],"Jajan")</f>
        <v>364000</v>
      </c>
      <c r="O51" s="29">
        <f>SUMIFS(Cash_Flow_3[Amount],Cash_Flow_3[Bulan],H51,Cash_Flow_3[Type],"Out",Cash_Flow_3[Category],"Kitchen")</f>
        <v>992724</v>
      </c>
      <c r="P51" s="29">
        <f>SUMIFS(Cash_Flow_3[Amount],Cash_Flow_3[Bulan],H51,Cash_Flow_3[Type],"Out",Cash_Flow_3[Category],"Loandry")</f>
        <v>41600</v>
      </c>
      <c r="Q51" s="29">
        <f>SUMIFS(Cash_Flow_3[Amount],Cash_Flow_3[Bulan],H51,Cash_Flow_3[Type],"Out",Cash_Flow_3[Category],"Mio")</f>
        <v>249000</v>
      </c>
      <c r="R51" s="29">
        <f>SUMIFS(Cash_Flow_3[Amount],Cash_Flow_3[Bulan],H51,Cash_Flow_3[Type],"Out",Cash_Flow_3[Category],"Sedekah")</f>
        <v>129000</v>
      </c>
      <c r="S51" s="29">
        <f>SUMIFS(Cash_Flow_3[Amount],Cash_Flow_3[Bulan],H51,Cash_Flow_3[Type],"Out",Cash_Flow_3[Category],"Zela")</f>
        <v>24100</v>
      </c>
      <c r="T51" s="29">
        <f>SUMIFS(Cash_Flow_3[Amount],Cash_Flow_3[Bulan],H51,Cash_Flow_3[Type],"Out",Cash_Flow_3[Category],"Iqbal")</f>
        <v>121000</v>
      </c>
    </row>
    <row r="52" spans="1:20" ht="22.5" customHeight="1" x14ac:dyDescent="0.2">
      <c r="A52" s="23">
        <v>46079</v>
      </c>
      <c r="B52" s="24" t="s">
        <v>58</v>
      </c>
      <c r="C52" s="25" t="s">
        <v>46</v>
      </c>
      <c r="D52" s="25" t="s">
        <v>39</v>
      </c>
      <c r="E52" s="25" t="s">
        <v>9</v>
      </c>
      <c r="F52" s="26">
        <v>10000</v>
      </c>
      <c r="G52" s="27"/>
      <c r="H52" s="28">
        <f t="shared" si="0"/>
        <v>46054</v>
      </c>
      <c r="I52" s="29">
        <f>SUMIFS(Cash_Flow_3[Amount],Cash_Flow_3[Bulan],H52,Cash_Flow_3[Type],"In")</f>
        <v>7073728</v>
      </c>
      <c r="J52" s="29">
        <f>SUMIFS(Cash_Flow_3[Amount],Cash_Flow_3[Bulan],H52,Cash_Flow_3[Type],"Out")</f>
        <v>6908733</v>
      </c>
      <c r="K52" s="29">
        <f>SUMIFS(Cash_Flow_3[Amount],Cash_Flow_3[Bulan],H52,Cash_Flow_3[Type],"Out",Cash_Flow_3[Category],"Fix")</f>
        <v>2440568</v>
      </c>
      <c r="L52" s="29">
        <f>SUMIFS(Cash_Flow_3[Amount],Cash_Flow_3[Bulan],H52,Cash_Flow_3[Type],"Out",Cash_Flow_3[Category],"Bathroom")</f>
        <v>34500</v>
      </c>
      <c r="M52" s="29">
        <f>SUMIFS(Cash_Flow_3[Amount],Cash_Flow_3[Bulan],H52,Cash_Flow_3[Type],"Out",Cash_Flow_3[Category],"Alfa")</f>
        <v>293800</v>
      </c>
      <c r="N52" s="29">
        <f>SUMIFS(Cash_Flow_3[Amount],Cash_Flow_3[Bulan],H52,Cash_Flow_3[Type],"Out",Cash_Flow_3[Category],"Jajan")</f>
        <v>364000</v>
      </c>
      <c r="O52" s="29">
        <f>SUMIFS(Cash_Flow_3[Amount],Cash_Flow_3[Bulan],H52,Cash_Flow_3[Type],"Out",Cash_Flow_3[Category],"Kitchen")</f>
        <v>992724</v>
      </c>
      <c r="P52" s="29">
        <f>SUMIFS(Cash_Flow_3[Amount],Cash_Flow_3[Bulan],H52,Cash_Flow_3[Type],"Out",Cash_Flow_3[Category],"Loandry")</f>
        <v>41600</v>
      </c>
      <c r="Q52" s="29">
        <f>SUMIFS(Cash_Flow_3[Amount],Cash_Flow_3[Bulan],H52,Cash_Flow_3[Type],"Out",Cash_Flow_3[Category],"Mio")</f>
        <v>249000</v>
      </c>
      <c r="R52" s="29">
        <f>SUMIFS(Cash_Flow_3[Amount],Cash_Flow_3[Bulan],H52,Cash_Flow_3[Type],"Out",Cash_Flow_3[Category],"Sedekah")</f>
        <v>129000</v>
      </c>
      <c r="S52" s="29">
        <f>SUMIFS(Cash_Flow_3[Amount],Cash_Flow_3[Bulan],H52,Cash_Flow_3[Type],"Out",Cash_Flow_3[Category],"Zela")</f>
        <v>24100</v>
      </c>
      <c r="T52" s="29">
        <f>SUMIFS(Cash_Flow_3[Amount],Cash_Flow_3[Bulan],H52,Cash_Flow_3[Type],"Out",Cash_Flow_3[Category],"Iqbal")</f>
        <v>121000</v>
      </c>
    </row>
    <row r="53" spans="1:20" ht="22.5" customHeight="1" x14ac:dyDescent="0.2">
      <c r="A53" s="23">
        <v>46079</v>
      </c>
      <c r="B53" s="24" t="s">
        <v>98</v>
      </c>
      <c r="C53" s="25" t="s">
        <v>46</v>
      </c>
      <c r="D53" s="25" t="s">
        <v>44</v>
      </c>
      <c r="E53" s="25" t="s">
        <v>8</v>
      </c>
      <c r="F53" s="26">
        <v>14000</v>
      </c>
      <c r="G53" s="27"/>
      <c r="H53" s="28">
        <f t="shared" si="0"/>
        <v>46054</v>
      </c>
      <c r="I53" s="29">
        <f>SUMIFS(Cash_Flow_3[Amount],Cash_Flow_3[Bulan],H53,Cash_Flow_3[Type],"In")</f>
        <v>7073728</v>
      </c>
      <c r="J53" s="29">
        <f>SUMIFS(Cash_Flow_3[Amount],Cash_Flow_3[Bulan],H53,Cash_Flow_3[Type],"Out")</f>
        <v>6908733</v>
      </c>
      <c r="K53" s="29">
        <f>SUMIFS(Cash_Flow_3[Amount],Cash_Flow_3[Bulan],H53,Cash_Flow_3[Type],"Out",Cash_Flow_3[Category],"Fix")</f>
        <v>2440568</v>
      </c>
      <c r="L53" s="29">
        <f>SUMIFS(Cash_Flow_3[Amount],Cash_Flow_3[Bulan],H53,Cash_Flow_3[Type],"Out",Cash_Flow_3[Category],"Bathroom")</f>
        <v>34500</v>
      </c>
      <c r="M53" s="29">
        <f>SUMIFS(Cash_Flow_3[Amount],Cash_Flow_3[Bulan],H53,Cash_Flow_3[Type],"Out",Cash_Flow_3[Category],"Alfa")</f>
        <v>293800</v>
      </c>
      <c r="N53" s="29">
        <f>SUMIFS(Cash_Flow_3[Amount],Cash_Flow_3[Bulan],H53,Cash_Flow_3[Type],"Out",Cash_Flow_3[Category],"Jajan")</f>
        <v>364000</v>
      </c>
      <c r="O53" s="29">
        <f>SUMIFS(Cash_Flow_3[Amount],Cash_Flow_3[Bulan],H53,Cash_Flow_3[Type],"Out",Cash_Flow_3[Category],"Kitchen")</f>
        <v>992724</v>
      </c>
      <c r="P53" s="29">
        <f>SUMIFS(Cash_Flow_3[Amount],Cash_Flow_3[Bulan],H53,Cash_Flow_3[Type],"Out",Cash_Flow_3[Category],"Loandry")</f>
        <v>41600</v>
      </c>
      <c r="Q53" s="29">
        <f>SUMIFS(Cash_Flow_3[Amount],Cash_Flow_3[Bulan],H53,Cash_Flow_3[Type],"Out",Cash_Flow_3[Category],"Mio")</f>
        <v>249000</v>
      </c>
      <c r="R53" s="29">
        <f>SUMIFS(Cash_Flow_3[Amount],Cash_Flow_3[Bulan],H53,Cash_Flow_3[Type],"Out",Cash_Flow_3[Category],"Sedekah")</f>
        <v>129000</v>
      </c>
      <c r="S53" s="29">
        <f>SUMIFS(Cash_Flow_3[Amount],Cash_Flow_3[Bulan],H53,Cash_Flow_3[Type],"Out",Cash_Flow_3[Category],"Zela")</f>
        <v>24100</v>
      </c>
      <c r="T53" s="29">
        <f>SUMIFS(Cash_Flow_3[Amount],Cash_Flow_3[Bulan],H53,Cash_Flow_3[Type],"Out",Cash_Flow_3[Category],"Iqbal")</f>
        <v>121000</v>
      </c>
    </row>
    <row r="54" spans="1:20" ht="22.5" customHeight="1" x14ac:dyDescent="0.2">
      <c r="A54" s="23">
        <v>46079</v>
      </c>
      <c r="B54" s="24" t="s">
        <v>99</v>
      </c>
      <c r="C54" s="25" t="s">
        <v>46</v>
      </c>
      <c r="D54" s="25" t="s">
        <v>44</v>
      </c>
      <c r="E54" s="25" t="s">
        <v>6</v>
      </c>
      <c r="F54" s="26">
        <v>20000</v>
      </c>
      <c r="G54" s="27"/>
      <c r="H54" s="28">
        <f t="shared" si="0"/>
        <v>46054</v>
      </c>
      <c r="I54" s="29">
        <f>SUMIFS(Cash_Flow_3[Amount],Cash_Flow_3[Bulan],H54,Cash_Flow_3[Type],"In")</f>
        <v>7073728</v>
      </c>
      <c r="J54" s="29">
        <f>SUMIFS(Cash_Flow_3[Amount],Cash_Flow_3[Bulan],H54,Cash_Flow_3[Type],"Out")</f>
        <v>6908733</v>
      </c>
      <c r="K54" s="29">
        <f>SUMIFS(Cash_Flow_3[Amount],Cash_Flow_3[Bulan],H54,Cash_Flow_3[Type],"Out",Cash_Flow_3[Category],"Fix")</f>
        <v>2440568</v>
      </c>
      <c r="L54" s="29">
        <f>SUMIFS(Cash_Flow_3[Amount],Cash_Flow_3[Bulan],H54,Cash_Flow_3[Type],"Out",Cash_Flow_3[Category],"Bathroom")</f>
        <v>34500</v>
      </c>
      <c r="M54" s="29">
        <f>SUMIFS(Cash_Flow_3[Amount],Cash_Flow_3[Bulan],H54,Cash_Flow_3[Type],"Out",Cash_Flow_3[Category],"Alfa")</f>
        <v>293800</v>
      </c>
      <c r="N54" s="29">
        <f>SUMIFS(Cash_Flow_3[Amount],Cash_Flow_3[Bulan],H54,Cash_Flow_3[Type],"Out",Cash_Flow_3[Category],"Jajan")</f>
        <v>364000</v>
      </c>
      <c r="O54" s="29">
        <f>SUMIFS(Cash_Flow_3[Amount],Cash_Flow_3[Bulan],H54,Cash_Flow_3[Type],"Out",Cash_Flow_3[Category],"Kitchen")</f>
        <v>992724</v>
      </c>
      <c r="P54" s="29">
        <f>SUMIFS(Cash_Flow_3[Amount],Cash_Flow_3[Bulan],H54,Cash_Flow_3[Type],"Out",Cash_Flow_3[Category],"Loandry")</f>
        <v>41600</v>
      </c>
      <c r="Q54" s="29">
        <f>SUMIFS(Cash_Flow_3[Amount],Cash_Flow_3[Bulan],H54,Cash_Flow_3[Type],"Out",Cash_Flow_3[Category],"Mio")</f>
        <v>249000</v>
      </c>
      <c r="R54" s="29">
        <f>SUMIFS(Cash_Flow_3[Amount],Cash_Flow_3[Bulan],H54,Cash_Flow_3[Type],"Out",Cash_Flow_3[Category],"Sedekah")</f>
        <v>129000</v>
      </c>
      <c r="S54" s="29">
        <f>SUMIFS(Cash_Flow_3[Amount],Cash_Flow_3[Bulan],H54,Cash_Flow_3[Type],"Out",Cash_Flow_3[Category],"Zela")</f>
        <v>24100</v>
      </c>
      <c r="T54" s="29">
        <f>SUMIFS(Cash_Flow_3[Amount],Cash_Flow_3[Bulan],H54,Cash_Flow_3[Type],"Out",Cash_Flow_3[Category],"Iqbal")</f>
        <v>121000</v>
      </c>
    </row>
    <row r="55" spans="1:20" ht="22.5" customHeight="1" x14ac:dyDescent="0.2">
      <c r="A55" s="23">
        <v>46050</v>
      </c>
      <c r="B55" s="24" t="s">
        <v>57</v>
      </c>
      <c r="C55" s="25" t="s">
        <v>43</v>
      </c>
      <c r="D55" s="25" t="s">
        <v>39</v>
      </c>
      <c r="E55" s="25" t="s">
        <v>0</v>
      </c>
      <c r="F55" s="26">
        <v>27737</v>
      </c>
      <c r="G55" s="27"/>
      <c r="H55" s="28">
        <f t="shared" si="0"/>
        <v>46023</v>
      </c>
      <c r="I55" s="29">
        <f>SUMIFS(Cash_Flow_3[Amount],Cash_Flow_3[Bulan],H55,Cash_Flow_3[Type],"In")</f>
        <v>543327</v>
      </c>
      <c r="J55" s="29">
        <f>SUMIFS(Cash_Flow_3[Amount],Cash_Flow_3[Bulan],H55,Cash_Flow_3[Type],"Out")</f>
        <v>475850</v>
      </c>
      <c r="K55" s="29">
        <f>SUMIFS(Cash_Flow_3[Amount],Cash_Flow_3[Bulan],H55,Cash_Flow_3[Type],"Out",Cash_Flow_3[Category],"Fix")</f>
        <v>114450</v>
      </c>
      <c r="L55" s="29">
        <f>SUMIFS(Cash_Flow_3[Amount],Cash_Flow_3[Bulan],H55,Cash_Flow_3[Type],"Out",Cash_Flow_3[Category],"Bathroom")</f>
        <v>0</v>
      </c>
      <c r="M55" s="29">
        <f>SUMIFS(Cash_Flow_3[Amount],Cash_Flow_3[Bulan],H55,Cash_Flow_3[Type],"Out",Cash_Flow_3[Category],"Alfa")</f>
        <v>36400</v>
      </c>
      <c r="N55" s="29">
        <f>SUMIFS(Cash_Flow_3[Amount],Cash_Flow_3[Bulan],H55,Cash_Flow_3[Type],"Out",Cash_Flow_3[Category],"Jajan")</f>
        <v>38000</v>
      </c>
      <c r="O55" s="29">
        <f>SUMIFS(Cash_Flow_3[Amount],Cash_Flow_3[Bulan],H55,Cash_Flow_3[Type],"Out",Cash_Flow_3[Category],"Kitchen")</f>
        <v>87000</v>
      </c>
      <c r="P55" s="29">
        <f>SUMIFS(Cash_Flow_3[Amount],Cash_Flow_3[Bulan],H55,Cash_Flow_3[Type],"Out",Cash_Flow_3[Category],"Loandry")</f>
        <v>0</v>
      </c>
      <c r="Q55" s="29">
        <f>SUMIFS(Cash_Flow_3[Amount],Cash_Flow_3[Bulan],H55,Cash_Flow_3[Type],"Out",Cash_Flow_3[Category],"Mio")</f>
        <v>0</v>
      </c>
      <c r="R55" s="29">
        <f>SUMIFS(Cash_Flow_3[Amount],Cash_Flow_3[Bulan],H55,Cash_Flow_3[Type],"Out",Cash_Flow_3[Category],"Sedekah")</f>
        <v>0</v>
      </c>
      <c r="S55" s="29">
        <f>SUMIFS(Cash_Flow_3[Amount],Cash_Flow_3[Bulan],H55,Cash_Flow_3[Type],"Out",Cash_Flow_3[Category],"Zela")</f>
        <v>0</v>
      </c>
      <c r="T55" s="29">
        <f>SUMIFS(Cash_Flow_3[Amount],Cash_Flow_3[Bulan],H55,Cash_Flow_3[Type],"Out",Cash_Flow_3[Category],"Iqbal")</f>
        <v>0</v>
      </c>
    </row>
    <row r="56" spans="1:20" ht="22.5" customHeight="1" x14ac:dyDescent="0.2">
      <c r="A56" s="23">
        <v>46051</v>
      </c>
      <c r="B56" s="24" t="s">
        <v>73</v>
      </c>
      <c r="C56" s="25" t="s">
        <v>43</v>
      </c>
      <c r="D56" s="25" t="s">
        <v>39</v>
      </c>
      <c r="E56" s="25" t="s">
        <v>0</v>
      </c>
      <c r="F56" s="26">
        <v>150000</v>
      </c>
      <c r="G56" s="27"/>
      <c r="H56" s="28">
        <f t="shared" si="0"/>
        <v>46023</v>
      </c>
      <c r="I56" s="29">
        <f>SUMIFS(Cash_Flow_3[Amount],Cash_Flow_3[Bulan],H56,Cash_Flow_3[Type],"In")</f>
        <v>543327</v>
      </c>
      <c r="J56" s="29">
        <f>SUMIFS(Cash_Flow_3[Amount],Cash_Flow_3[Bulan],H56,Cash_Flow_3[Type],"Out")</f>
        <v>475850</v>
      </c>
      <c r="K56" s="29">
        <f>SUMIFS(Cash_Flow_3[Amount],Cash_Flow_3[Bulan],H56,Cash_Flow_3[Type],"Out",Cash_Flow_3[Category],"Fix")</f>
        <v>114450</v>
      </c>
      <c r="L56" s="29">
        <f>SUMIFS(Cash_Flow_3[Amount],Cash_Flow_3[Bulan],H56,Cash_Flow_3[Type],"Out",Cash_Flow_3[Category],"Bathroom")</f>
        <v>0</v>
      </c>
      <c r="M56" s="29">
        <f>SUMIFS(Cash_Flow_3[Amount],Cash_Flow_3[Bulan],H56,Cash_Flow_3[Type],"Out",Cash_Flow_3[Category],"Alfa")</f>
        <v>36400</v>
      </c>
      <c r="N56" s="29">
        <f>SUMIFS(Cash_Flow_3[Amount],Cash_Flow_3[Bulan],H56,Cash_Flow_3[Type],"Out",Cash_Flow_3[Category],"Jajan")</f>
        <v>38000</v>
      </c>
      <c r="O56" s="29">
        <f>SUMIFS(Cash_Flow_3[Amount],Cash_Flow_3[Bulan],H56,Cash_Flow_3[Type],"Out",Cash_Flow_3[Category],"Kitchen")</f>
        <v>87000</v>
      </c>
      <c r="P56" s="29">
        <f>SUMIFS(Cash_Flow_3[Amount],Cash_Flow_3[Bulan],H56,Cash_Flow_3[Type],"Out",Cash_Flow_3[Category],"Loandry")</f>
        <v>0</v>
      </c>
      <c r="Q56" s="29">
        <f>SUMIFS(Cash_Flow_3[Amount],Cash_Flow_3[Bulan],H56,Cash_Flow_3[Type],"Out",Cash_Flow_3[Category],"Mio")</f>
        <v>0</v>
      </c>
      <c r="R56" s="29">
        <f>SUMIFS(Cash_Flow_3[Amount],Cash_Flow_3[Bulan],H56,Cash_Flow_3[Type],"Out",Cash_Flow_3[Category],"Sedekah")</f>
        <v>0</v>
      </c>
      <c r="S56" s="29">
        <f>SUMIFS(Cash_Flow_3[Amount],Cash_Flow_3[Bulan],H56,Cash_Flow_3[Type],"Out",Cash_Flow_3[Category],"Zela")</f>
        <v>0</v>
      </c>
      <c r="T56" s="29">
        <f>SUMIFS(Cash_Flow_3[Amount],Cash_Flow_3[Bulan],H56,Cash_Flow_3[Type],"Out",Cash_Flow_3[Category],"Iqbal")</f>
        <v>0</v>
      </c>
    </row>
    <row r="57" spans="1:20" ht="22.5" customHeight="1" x14ac:dyDescent="0.2">
      <c r="A57" s="23">
        <v>46051</v>
      </c>
      <c r="B57" s="24" t="s">
        <v>75</v>
      </c>
      <c r="C57" s="25" t="s">
        <v>43</v>
      </c>
      <c r="D57" s="25" t="s">
        <v>44</v>
      </c>
      <c r="E57" s="25" t="s">
        <v>0</v>
      </c>
      <c r="F57" s="26">
        <v>15000</v>
      </c>
      <c r="G57" s="27"/>
      <c r="H57" s="28">
        <f t="shared" si="0"/>
        <v>46023</v>
      </c>
      <c r="I57" s="29">
        <f>SUMIFS(Cash_Flow_3[Amount],Cash_Flow_3[Bulan],H57,Cash_Flow_3[Type],"In")</f>
        <v>543327</v>
      </c>
      <c r="J57" s="29">
        <f>SUMIFS(Cash_Flow_3[Amount],Cash_Flow_3[Bulan],H57,Cash_Flow_3[Type],"Out")</f>
        <v>475850</v>
      </c>
      <c r="K57" s="29">
        <f>SUMIFS(Cash_Flow_3[Amount],Cash_Flow_3[Bulan],H57,Cash_Flow_3[Type],"Out",Cash_Flow_3[Category],"Fix")</f>
        <v>114450</v>
      </c>
      <c r="L57" s="29">
        <f>SUMIFS(Cash_Flow_3[Amount],Cash_Flow_3[Bulan],H57,Cash_Flow_3[Type],"Out",Cash_Flow_3[Category],"Bathroom")</f>
        <v>0</v>
      </c>
      <c r="M57" s="29">
        <f>SUMIFS(Cash_Flow_3[Amount],Cash_Flow_3[Bulan],H57,Cash_Flow_3[Type],"Out",Cash_Flow_3[Category],"Alfa")</f>
        <v>36400</v>
      </c>
      <c r="N57" s="29">
        <f>SUMIFS(Cash_Flow_3[Amount],Cash_Flow_3[Bulan],H57,Cash_Flow_3[Type],"Out",Cash_Flow_3[Category],"Jajan")</f>
        <v>38000</v>
      </c>
      <c r="O57" s="29">
        <f>SUMIFS(Cash_Flow_3[Amount],Cash_Flow_3[Bulan],H57,Cash_Flow_3[Type],"Out",Cash_Flow_3[Category],"Kitchen")</f>
        <v>87000</v>
      </c>
      <c r="P57" s="29">
        <f>SUMIFS(Cash_Flow_3[Amount],Cash_Flow_3[Bulan],H57,Cash_Flow_3[Type],"Out",Cash_Flow_3[Category],"Loandry")</f>
        <v>0</v>
      </c>
      <c r="Q57" s="29">
        <f>SUMIFS(Cash_Flow_3[Amount],Cash_Flow_3[Bulan],H57,Cash_Flow_3[Type],"Out",Cash_Flow_3[Category],"Mio")</f>
        <v>0</v>
      </c>
      <c r="R57" s="29">
        <f>SUMIFS(Cash_Flow_3[Amount],Cash_Flow_3[Bulan],H57,Cash_Flow_3[Type],"Out",Cash_Flow_3[Category],"Sedekah")</f>
        <v>0</v>
      </c>
      <c r="S57" s="29">
        <f>SUMIFS(Cash_Flow_3[Amount],Cash_Flow_3[Bulan],H57,Cash_Flow_3[Type],"Out",Cash_Flow_3[Category],"Zela")</f>
        <v>0</v>
      </c>
      <c r="T57" s="29">
        <f>SUMIFS(Cash_Flow_3[Amount],Cash_Flow_3[Bulan],H57,Cash_Flow_3[Type],"Out",Cash_Flow_3[Category],"Iqbal")</f>
        <v>0</v>
      </c>
    </row>
    <row r="58" spans="1:20" ht="22.5" customHeight="1" x14ac:dyDescent="0.2">
      <c r="A58" s="23">
        <v>46051</v>
      </c>
      <c r="B58" s="24" t="s">
        <v>76</v>
      </c>
      <c r="C58" s="25" t="s">
        <v>43</v>
      </c>
      <c r="D58" s="25" t="s">
        <v>9</v>
      </c>
      <c r="E58" s="25" t="s">
        <v>9</v>
      </c>
      <c r="F58" s="26">
        <v>50000</v>
      </c>
      <c r="G58" s="27"/>
      <c r="H58" s="28">
        <f t="shared" si="0"/>
        <v>46023</v>
      </c>
      <c r="I58" s="29">
        <f>SUMIFS(Cash_Flow_3[Amount],Cash_Flow_3[Bulan],H58,Cash_Flow_3[Type],"In")</f>
        <v>543327</v>
      </c>
      <c r="J58" s="29">
        <f>SUMIFS(Cash_Flow_3[Amount],Cash_Flow_3[Bulan],H58,Cash_Flow_3[Type],"Out")</f>
        <v>475850</v>
      </c>
      <c r="K58" s="29">
        <f>SUMIFS(Cash_Flow_3[Amount],Cash_Flow_3[Bulan],H58,Cash_Flow_3[Type],"Out",Cash_Flow_3[Category],"Fix")</f>
        <v>114450</v>
      </c>
      <c r="L58" s="29">
        <f>SUMIFS(Cash_Flow_3[Amount],Cash_Flow_3[Bulan],H58,Cash_Flow_3[Type],"Out",Cash_Flow_3[Category],"Bathroom")</f>
        <v>0</v>
      </c>
      <c r="M58" s="29">
        <f>SUMIFS(Cash_Flow_3[Amount],Cash_Flow_3[Bulan],H58,Cash_Flow_3[Type],"Out",Cash_Flow_3[Category],"Alfa")</f>
        <v>36400</v>
      </c>
      <c r="N58" s="29">
        <f>SUMIFS(Cash_Flow_3[Amount],Cash_Flow_3[Bulan],H58,Cash_Flow_3[Type],"Out",Cash_Flow_3[Category],"Jajan")</f>
        <v>38000</v>
      </c>
      <c r="O58" s="29">
        <f>SUMIFS(Cash_Flow_3[Amount],Cash_Flow_3[Bulan],H58,Cash_Flow_3[Type],"Out",Cash_Flow_3[Category],"Kitchen")</f>
        <v>87000</v>
      </c>
      <c r="P58" s="29">
        <f>SUMIFS(Cash_Flow_3[Amount],Cash_Flow_3[Bulan],H58,Cash_Flow_3[Type],"Out",Cash_Flow_3[Category],"Loandry")</f>
        <v>0</v>
      </c>
      <c r="Q58" s="29">
        <f>SUMIFS(Cash_Flow_3[Amount],Cash_Flow_3[Bulan],H58,Cash_Flow_3[Type],"Out",Cash_Flow_3[Category],"Mio")</f>
        <v>0</v>
      </c>
      <c r="R58" s="29">
        <f>SUMIFS(Cash_Flow_3[Amount],Cash_Flow_3[Bulan],H58,Cash_Flow_3[Type],"Out",Cash_Flow_3[Category],"Sedekah")</f>
        <v>0</v>
      </c>
      <c r="S58" s="29">
        <f>SUMIFS(Cash_Flow_3[Amount],Cash_Flow_3[Bulan],H58,Cash_Flow_3[Type],"Out",Cash_Flow_3[Category],"Zela")</f>
        <v>0</v>
      </c>
      <c r="T58" s="29">
        <f>SUMIFS(Cash_Flow_3[Amount],Cash_Flow_3[Bulan],H58,Cash_Flow_3[Type],"Out",Cash_Flow_3[Category],"Iqbal")</f>
        <v>0</v>
      </c>
    </row>
    <row r="59" spans="1:20" ht="22.5" customHeight="1" x14ac:dyDescent="0.2">
      <c r="A59" s="23">
        <v>46051</v>
      </c>
      <c r="B59" s="24" t="s">
        <v>78</v>
      </c>
      <c r="C59" s="25" t="s">
        <v>46</v>
      </c>
      <c r="D59" s="25" t="s">
        <v>9</v>
      </c>
      <c r="E59" s="25" t="s">
        <v>9</v>
      </c>
      <c r="F59" s="26">
        <v>50000</v>
      </c>
      <c r="G59" s="27"/>
      <c r="H59" s="28">
        <f t="shared" si="0"/>
        <v>46023</v>
      </c>
      <c r="I59" s="29">
        <f>SUMIFS(Cash_Flow_3[Amount],Cash_Flow_3[Bulan],H59,Cash_Flow_3[Type],"In")</f>
        <v>543327</v>
      </c>
      <c r="J59" s="29">
        <f>SUMIFS(Cash_Flow_3[Amount],Cash_Flow_3[Bulan],H59,Cash_Flow_3[Type],"Out")</f>
        <v>475850</v>
      </c>
      <c r="K59" s="29">
        <f>SUMIFS(Cash_Flow_3[Amount],Cash_Flow_3[Bulan],H59,Cash_Flow_3[Type],"Out",Cash_Flow_3[Category],"Fix")</f>
        <v>114450</v>
      </c>
      <c r="L59" s="29">
        <f>SUMIFS(Cash_Flow_3[Amount],Cash_Flow_3[Bulan],H59,Cash_Flow_3[Type],"Out",Cash_Flow_3[Category],"Bathroom")</f>
        <v>0</v>
      </c>
      <c r="M59" s="29">
        <f>SUMIFS(Cash_Flow_3[Amount],Cash_Flow_3[Bulan],H59,Cash_Flow_3[Type],"Out",Cash_Flow_3[Category],"Alfa")</f>
        <v>36400</v>
      </c>
      <c r="N59" s="29">
        <f>SUMIFS(Cash_Flow_3[Amount],Cash_Flow_3[Bulan],H59,Cash_Flow_3[Type],"Out",Cash_Flow_3[Category],"Jajan")</f>
        <v>38000</v>
      </c>
      <c r="O59" s="29">
        <f>SUMIFS(Cash_Flow_3[Amount],Cash_Flow_3[Bulan],H59,Cash_Flow_3[Type],"Out",Cash_Flow_3[Category],"Kitchen")</f>
        <v>87000</v>
      </c>
      <c r="P59" s="29">
        <f>SUMIFS(Cash_Flow_3[Amount],Cash_Flow_3[Bulan],H59,Cash_Flow_3[Type],"Out",Cash_Flow_3[Category],"Loandry")</f>
        <v>0</v>
      </c>
      <c r="Q59" s="29">
        <f>SUMIFS(Cash_Flow_3[Amount],Cash_Flow_3[Bulan],H59,Cash_Flow_3[Type],"Out",Cash_Flow_3[Category],"Mio")</f>
        <v>0</v>
      </c>
      <c r="R59" s="29">
        <f>SUMIFS(Cash_Flow_3[Amount],Cash_Flow_3[Bulan],H59,Cash_Flow_3[Type],"Out",Cash_Flow_3[Category],"Sedekah")</f>
        <v>0</v>
      </c>
      <c r="S59" s="29">
        <f>SUMIFS(Cash_Flow_3[Amount],Cash_Flow_3[Bulan],H59,Cash_Flow_3[Type],"Out",Cash_Flow_3[Category],"Zela")</f>
        <v>0</v>
      </c>
      <c r="T59" s="29">
        <f>SUMIFS(Cash_Flow_3[Amount],Cash_Flow_3[Bulan],H59,Cash_Flow_3[Type],"Out",Cash_Flow_3[Category],"Iqbal")</f>
        <v>0</v>
      </c>
    </row>
    <row r="60" spans="1:20" ht="22.5" customHeight="1" x14ac:dyDescent="0.2">
      <c r="A60" s="23">
        <v>46051</v>
      </c>
      <c r="B60" s="24" t="s">
        <v>80</v>
      </c>
      <c r="C60" s="25" t="s">
        <v>46</v>
      </c>
      <c r="D60" s="25" t="s">
        <v>44</v>
      </c>
      <c r="E60" s="25" t="s">
        <v>3</v>
      </c>
      <c r="F60" s="26">
        <v>17000</v>
      </c>
      <c r="G60" s="27"/>
      <c r="H60" s="28">
        <f t="shared" si="0"/>
        <v>46023</v>
      </c>
      <c r="I60" s="29">
        <f>SUMIFS(Cash_Flow_3[Amount],Cash_Flow_3[Bulan],H60,Cash_Flow_3[Type],"In")</f>
        <v>543327</v>
      </c>
      <c r="J60" s="29">
        <f>SUMIFS(Cash_Flow_3[Amount],Cash_Flow_3[Bulan],H60,Cash_Flow_3[Type],"Out")</f>
        <v>475850</v>
      </c>
      <c r="K60" s="29">
        <f>SUMIFS(Cash_Flow_3[Amount],Cash_Flow_3[Bulan],H60,Cash_Flow_3[Type],"Out",Cash_Flow_3[Category],"Fix")</f>
        <v>114450</v>
      </c>
      <c r="L60" s="29">
        <f>SUMIFS(Cash_Flow_3[Amount],Cash_Flow_3[Bulan],H60,Cash_Flow_3[Type],"Out",Cash_Flow_3[Category],"Bathroom")</f>
        <v>0</v>
      </c>
      <c r="M60" s="29">
        <f>SUMIFS(Cash_Flow_3[Amount],Cash_Flow_3[Bulan],H60,Cash_Flow_3[Type],"Out",Cash_Flow_3[Category],"Alfa")</f>
        <v>36400</v>
      </c>
      <c r="N60" s="29">
        <f>SUMIFS(Cash_Flow_3[Amount],Cash_Flow_3[Bulan],H60,Cash_Flow_3[Type],"Out",Cash_Flow_3[Category],"Jajan")</f>
        <v>38000</v>
      </c>
      <c r="O60" s="29">
        <f>SUMIFS(Cash_Flow_3[Amount],Cash_Flow_3[Bulan],H60,Cash_Flow_3[Type],"Out",Cash_Flow_3[Category],"Kitchen")</f>
        <v>87000</v>
      </c>
      <c r="P60" s="29">
        <f>SUMIFS(Cash_Flow_3[Amount],Cash_Flow_3[Bulan],H60,Cash_Flow_3[Type],"Out",Cash_Flow_3[Category],"Loandry")</f>
        <v>0</v>
      </c>
      <c r="Q60" s="29">
        <f>SUMIFS(Cash_Flow_3[Amount],Cash_Flow_3[Bulan],H60,Cash_Flow_3[Type],"Out",Cash_Flow_3[Category],"Mio")</f>
        <v>0</v>
      </c>
      <c r="R60" s="29">
        <f>SUMIFS(Cash_Flow_3[Amount],Cash_Flow_3[Bulan],H60,Cash_Flow_3[Type],"Out",Cash_Flow_3[Category],"Sedekah")</f>
        <v>0</v>
      </c>
      <c r="S60" s="29">
        <f>SUMIFS(Cash_Flow_3[Amount],Cash_Flow_3[Bulan],H60,Cash_Flow_3[Type],"Out",Cash_Flow_3[Category],"Zela")</f>
        <v>0</v>
      </c>
      <c r="T60" s="29">
        <f>SUMIFS(Cash_Flow_3[Amount],Cash_Flow_3[Bulan],H60,Cash_Flow_3[Type],"Out",Cash_Flow_3[Category],"Iqbal")</f>
        <v>0</v>
      </c>
    </row>
    <row r="61" spans="1:20" ht="22.5" customHeight="1" x14ac:dyDescent="0.2">
      <c r="A61" s="23">
        <v>46051</v>
      </c>
      <c r="B61" s="24" t="s">
        <v>81</v>
      </c>
      <c r="C61" s="25" t="s">
        <v>46</v>
      </c>
      <c r="D61" s="25" t="s">
        <v>44</v>
      </c>
      <c r="E61" s="25" t="s">
        <v>3</v>
      </c>
      <c r="F61" s="26">
        <v>7000</v>
      </c>
      <c r="G61" s="27"/>
      <c r="H61" s="28">
        <f t="shared" si="0"/>
        <v>46023</v>
      </c>
      <c r="I61" s="29">
        <f>SUMIFS(Cash_Flow_3[Amount],Cash_Flow_3[Bulan],H61,Cash_Flow_3[Type],"In")</f>
        <v>543327</v>
      </c>
      <c r="J61" s="29">
        <f>SUMIFS(Cash_Flow_3[Amount],Cash_Flow_3[Bulan],H61,Cash_Flow_3[Type],"Out")</f>
        <v>475850</v>
      </c>
      <c r="K61" s="29">
        <f>SUMIFS(Cash_Flow_3[Amount],Cash_Flow_3[Bulan],H61,Cash_Flow_3[Type],"Out",Cash_Flow_3[Category],"Fix")</f>
        <v>114450</v>
      </c>
      <c r="L61" s="29">
        <f>SUMIFS(Cash_Flow_3[Amount],Cash_Flow_3[Bulan],H61,Cash_Flow_3[Type],"Out",Cash_Flow_3[Category],"Bathroom")</f>
        <v>0</v>
      </c>
      <c r="M61" s="29">
        <f>SUMIFS(Cash_Flow_3[Amount],Cash_Flow_3[Bulan],H61,Cash_Flow_3[Type],"Out",Cash_Flow_3[Category],"Alfa")</f>
        <v>36400</v>
      </c>
      <c r="N61" s="29">
        <f>SUMIFS(Cash_Flow_3[Amount],Cash_Flow_3[Bulan],H61,Cash_Flow_3[Type],"Out",Cash_Flow_3[Category],"Jajan")</f>
        <v>38000</v>
      </c>
      <c r="O61" s="29">
        <f>SUMIFS(Cash_Flow_3[Amount],Cash_Flow_3[Bulan],H61,Cash_Flow_3[Type],"Out",Cash_Flow_3[Category],"Kitchen")</f>
        <v>87000</v>
      </c>
      <c r="P61" s="29">
        <f>SUMIFS(Cash_Flow_3[Amount],Cash_Flow_3[Bulan],H61,Cash_Flow_3[Type],"Out",Cash_Flow_3[Category],"Loandry")</f>
        <v>0</v>
      </c>
      <c r="Q61" s="29">
        <f>SUMIFS(Cash_Flow_3[Amount],Cash_Flow_3[Bulan],H61,Cash_Flow_3[Type],"Out",Cash_Flow_3[Category],"Mio")</f>
        <v>0</v>
      </c>
      <c r="R61" s="29">
        <f>SUMIFS(Cash_Flow_3[Amount],Cash_Flow_3[Bulan],H61,Cash_Flow_3[Type],"Out",Cash_Flow_3[Category],"Sedekah")</f>
        <v>0</v>
      </c>
      <c r="S61" s="29">
        <f>SUMIFS(Cash_Flow_3[Amount],Cash_Flow_3[Bulan],H61,Cash_Flow_3[Type],"Out",Cash_Flow_3[Category],"Zela")</f>
        <v>0</v>
      </c>
      <c r="T61" s="29">
        <f>SUMIFS(Cash_Flow_3[Amount],Cash_Flow_3[Bulan],H61,Cash_Flow_3[Type],"Out",Cash_Flow_3[Category],"Iqbal")</f>
        <v>0</v>
      </c>
    </row>
    <row r="62" spans="1:20" ht="22.5" customHeight="1" x14ac:dyDescent="0.2">
      <c r="A62" s="23">
        <v>46051</v>
      </c>
      <c r="B62" s="24" t="s">
        <v>82</v>
      </c>
      <c r="C62" s="25" t="s">
        <v>46</v>
      </c>
      <c r="D62" s="25" t="s">
        <v>44</v>
      </c>
      <c r="E62" s="25" t="s">
        <v>2</v>
      </c>
      <c r="F62" s="26">
        <v>16000</v>
      </c>
      <c r="G62" s="27"/>
      <c r="H62" s="28">
        <f t="shared" si="0"/>
        <v>46023</v>
      </c>
      <c r="I62" s="29">
        <f>SUMIFS(Cash_Flow_3[Amount],Cash_Flow_3[Bulan],H62,Cash_Flow_3[Type],"In")</f>
        <v>543327</v>
      </c>
      <c r="J62" s="29">
        <f>SUMIFS(Cash_Flow_3[Amount],Cash_Flow_3[Bulan],H62,Cash_Flow_3[Type],"Out")</f>
        <v>475850</v>
      </c>
      <c r="K62" s="29">
        <f>SUMIFS(Cash_Flow_3[Amount],Cash_Flow_3[Bulan],H62,Cash_Flow_3[Type],"Out",Cash_Flow_3[Category],"Fix")</f>
        <v>114450</v>
      </c>
      <c r="L62" s="29">
        <f>SUMIFS(Cash_Flow_3[Amount],Cash_Flow_3[Bulan],H62,Cash_Flow_3[Type],"Out",Cash_Flow_3[Category],"Bathroom")</f>
        <v>0</v>
      </c>
      <c r="M62" s="29">
        <f>SUMIFS(Cash_Flow_3[Amount],Cash_Flow_3[Bulan],H62,Cash_Flow_3[Type],"Out",Cash_Flow_3[Category],"Alfa")</f>
        <v>36400</v>
      </c>
      <c r="N62" s="29">
        <f>SUMIFS(Cash_Flow_3[Amount],Cash_Flow_3[Bulan],H62,Cash_Flow_3[Type],"Out",Cash_Flow_3[Category],"Jajan")</f>
        <v>38000</v>
      </c>
      <c r="O62" s="29">
        <f>SUMIFS(Cash_Flow_3[Amount],Cash_Flow_3[Bulan],H62,Cash_Flow_3[Type],"Out",Cash_Flow_3[Category],"Kitchen")</f>
        <v>87000</v>
      </c>
      <c r="P62" s="29">
        <f>SUMIFS(Cash_Flow_3[Amount],Cash_Flow_3[Bulan],H62,Cash_Flow_3[Type],"Out",Cash_Flow_3[Category],"Loandry")</f>
        <v>0</v>
      </c>
      <c r="Q62" s="29">
        <f>SUMIFS(Cash_Flow_3[Amount],Cash_Flow_3[Bulan],H62,Cash_Flow_3[Type],"Out",Cash_Flow_3[Category],"Mio")</f>
        <v>0</v>
      </c>
      <c r="R62" s="29">
        <f>SUMIFS(Cash_Flow_3[Amount],Cash_Flow_3[Bulan],H62,Cash_Flow_3[Type],"Out",Cash_Flow_3[Category],"Sedekah")</f>
        <v>0</v>
      </c>
      <c r="S62" s="29">
        <f>SUMIFS(Cash_Flow_3[Amount],Cash_Flow_3[Bulan],H62,Cash_Flow_3[Type],"Out",Cash_Flow_3[Category],"Zela")</f>
        <v>0</v>
      </c>
      <c r="T62" s="29">
        <f>SUMIFS(Cash_Flow_3[Amount],Cash_Flow_3[Bulan],H62,Cash_Flow_3[Type],"Out",Cash_Flow_3[Category],"Iqbal")</f>
        <v>0</v>
      </c>
    </row>
    <row r="63" spans="1:20" ht="22.5" customHeight="1" x14ac:dyDescent="0.2">
      <c r="A63" s="23">
        <v>46051</v>
      </c>
      <c r="B63" s="24" t="s">
        <v>83</v>
      </c>
      <c r="C63" s="25" t="s">
        <v>46</v>
      </c>
      <c r="D63" s="25" t="s">
        <v>44</v>
      </c>
      <c r="E63" s="25" t="s">
        <v>2</v>
      </c>
      <c r="F63" s="26">
        <v>10000</v>
      </c>
      <c r="G63" s="27"/>
      <c r="H63" s="28">
        <f t="shared" si="0"/>
        <v>46023</v>
      </c>
      <c r="I63" s="29">
        <f>SUMIFS(Cash_Flow_3[Amount],Cash_Flow_3[Bulan],H63,Cash_Flow_3[Type],"In")</f>
        <v>543327</v>
      </c>
      <c r="J63" s="29">
        <f>SUMIFS(Cash_Flow_3[Amount],Cash_Flow_3[Bulan],H63,Cash_Flow_3[Type],"Out")</f>
        <v>475850</v>
      </c>
      <c r="K63" s="29">
        <f>SUMIFS(Cash_Flow_3[Amount],Cash_Flow_3[Bulan],H63,Cash_Flow_3[Type],"Out",Cash_Flow_3[Category],"Fix")</f>
        <v>114450</v>
      </c>
      <c r="L63" s="29">
        <f>SUMIFS(Cash_Flow_3[Amount],Cash_Flow_3[Bulan],H63,Cash_Flow_3[Type],"Out",Cash_Flow_3[Category],"Bathroom")</f>
        <v>0</v>
      </c>
      <c r="M63" s="29">
        <f>SUMIFS(Cash_Flow_3[Amount],Cash_Flow_3[Bulan],H63,Cash_Flow_3[Type],"Out",Cash_Flow_3[Category],"Alfa")</f>
        <v>36400</v>
      </c>
      <c r="N63" s="29">
        <f>SUMIFS(Cash_Flow_3[Amount],Cash_Flow_3[Bulan],H63,Cash_Flow_3[Type],"Out",Cash_Flow_3[Category],"Jajan")</f>
        <v>38000</v>
      </c>
      <c r="O63" s="29">
        <f>SUMIFS(Cash_Flow_3[Amount],Cash_Flow_3[Bulan],H63,Cash_Flow_3[Type],"Out",Cash_Flow_3[Category],"Kitchen")</f>
        <v>87000</v>
      </c>
      <c r="P63" s="29">
        <f>SUMIFS(Cash_Flow_3[Amount],Cash_Flow_3[Bulan],H63,Cash_Flow_3[Type],"Out",Cash_Flow_3[Category],"Loandry")</f>
        <v>0</v>
      </c>
      <c r="Q63" s="29">
        <f>SUMIFS(Cash_Flow_3[Amount],Cash_Flow_3[Bulan],H63,Cash_Flow_3[Type],"Out",Cash_Flow_3[Category],"Mio")</f>
        <v>0</v>
      </c>
      <c r="R63" s="29">
        <f>SUMIFS(Cash_Flow_3[Amount],Cash_Flow_3[Bulan],H63,Cash_Flow_3[Type],"Out",Cash_Flow_3[Category],"Sedekah")</f>
        <v>0</v>
      </c>
      <c r="S63" s="29">
        <f>SUMIFS(Cash_Flow_3[Amount],Cash_Flow_3[Bulan],H63,Cash_Flow_3[Type],"Out",Cash_Flow_3[Category],"Zela")</f>
        <v>0</v>
      </c>
      <c r="T63" s="29">
        <f>SUMIFS(Cash_Flow_3[Amount],Cash_Flow_3[Bulan],H63,Cash_Flow_3[Type],"Out",Cash_Flow_3[Category],"Iqbal")</f>
        <v>0</v>
      </c>
    </row>
    <row r="64" spans="1:20" ht="22.5" customHeight="1" x14ac:dyDescent="0.2">
      <c r="A64" s="23">
        <v>46051</v>
      </c>
      <c r="B64" s="24" t="s">
        <v>84</v>
      </c>
      <c r="C64" s="25" t="s">
        <v>43</v>
      </c>
      <c r="D64" s="25" t="s">
        <v>44</v>
      </c>
      <c r="E64" s="25" t="s">
        <v>1</v>
      </c>
      <c r="F64" s="26">
        <v>36400</v>
      </c>
      <c r="G64" s="27"/>
      <c r="H64" s="28">
        <f t="shared" si="0"/>
        <v>46023</v>
      </c>
      <c r="I64" s="29">
        <f>SUMIFS(Cash_Flow_3[Amount],Cash_Flow_3[Bulan],H64,Cash_Flow_3[Type],"In")</f>
        <v>543327</v>
      </c>
      <c r="J64" s="29">
        <f>SUMIFS(Cash_Flow_3[Amount],Cash_Flow_3[Bulan],H64,Cash_Flow_3[Type],"Out")</f>
        <v>475850</v>
      </c>
      <c r="K64" s="29">
        <f>SUMIFS(Cash_Flow_3[Amount],Cash_Flow_3[Bulan],H64,Cash_Flow_3[Type],"Out",Cash_Flow_3[Category],"Fix")</f>
        <v>114450</v>
      </c>
      <c r="L64" s="29">
        <f>SUMIFS(Cash_Flow_3[Amount],Cash_Flow_3[Bulan],H64,Cash_Flow_3[Type],"Out",Cash_Flow_3[Category],"Bathroom")</f>
        <v>0</v>
      </c>
      <c r="M64" s="29">
        <f>SUMIFS(Cash_Flow_3[Amount],Cash_Flow_3[Bulan],H64,Cash_Flow_3[Type],"Out",Cash_Flow_3[Category],"Alfa")</f>
        <v>36400</v>
      </c>
      <c r="N64" s="29">
        <f>SUMIFS(Cash_Flow_3[Amount],Cash_Flow_3[Bulan],H64,Cash_Flow_3[Type],"Out",Cash_Flow_3[Category],"Jajan")</f>
        <v>38000</v>
      </c>
      <c r="O64" s="29">
        <f>SUMIFS(Cash_Flow_3[Amount],Cash_Flow_3[Bulan],H64,Cash_Flow_3[Type],"Out",Cash_Flow_3[Category],"Kitchen")</f>
        <v>87000</v>
      </c>
      <c r="P64" s="29">
        <f>SUMIFS(Cash_Flow_3[Amount],Cash_Flow_3[Bulan],H64,Cash_Flow_3[Type],"Out",Cash_Flow_3[Category],"Loandry")</f>
        <v>0</v>
      </c>
      <c r="Q64" s="29">
        <f>SUMIFS(Cash_Flow_3[Amount],Cash_Flow_3[Bulan],H64,Cash_Flow_3[Type],"Out",Cash_Flow_3[Category],"Mio")</f>
        <v>0</v>
      </c>
      <c r="R64" s="29">
        <f>SUMIFS(Cash_Flow_3[Amount],Cash_Flow_3[Bulan],H64,Cash_Flow_3[Type],"Out",Cash_Flow_3[Category],"Sedekah")</f>
        <v>0</v>
      </c>
      <c r="S64" s="29">
        <f>SUMIFS(Cash_Flow_3[Amount],Cash_Flow_3[Bulan],H64,Cash_Flow_3[Type],"Out",Cash_Flow_3[Category],"Zela")</f>
        <v>0</v>
      </c>
      <c r="T64" s="29">
        <f>SUMIFS(Cash_Flow_3[Amount],Cash_Flow_3[Bulan],H64,Cash_Flow_3[Type],"Out",Cash_Flow_3[Category],"Iqbal")</f>
        <v>0</v>
      </c>
    </row>
    <row r="65" spans="1:20" ht="22.5" customHeight="1" x14ac:dyDescent="0.2">
      <c r="A65" s="23">
        <v>46052</v>
      </c>
      <c r="B65" s="24" t="s">
        <v>73</v>
      </c>
      <c r="C65" s="25" t="s">
        <v>43</v>
      </c>
      <c r="D65" s="25" t="s">
        <v>39</v>
      </c>
      <c r="E65" s="25" t="s">
        <v>0</v>
      </c>
      <c r="F65" s="26">
        <v>50000</v>
      </c>
      <c r="G65" s="27"/>
      <c r="H65" s="28">
        <f t="shared" si="0"/>
        <v>46023</v>
      </c>
      <c r="I65" s="29">
        <f>SUMIFS(Cash_Flow_3[Amount],Cash_Flow_3[Bulan],H65,Cash_Flow_3[Type],"In")</f>
        <v>543327</v>
      </c>
      <c r="J65" s="29">
        <f>SUMIFS(Cash_Flow_3[Amount],Cash_Flow_3[Bulan],H65,Cash_Flow_3[Type],"Out")</f>
        <v>475850</v>
      </c>
      <c r="K65" s="29">
        <f>SUMIFS(Cash_Flow_3[Amount],Cash_Flow_3[Bulan],H65,Cash_Flow_3[Type],"Out",Cash_Flow_3[Category],"Fix")</f>
        <v>114450</v>
      </c>
      <c r="L65" s="29">
        <f>SUMIFS(Cash_Flow_3[Amount],Cash_Flow_3[Bulan],H65,Cash_Flow_3[Type],"Out",Cash_Flow_3[Category],"Bathroom")</f>
        <v>0</v>
      </c>
      <c r="M65" s="29">
        <f>SUMIFS(Cash_Flow_3[Amount],Cash_Flow_3[Bulan],H65,Cash_Flow_3[Type],"Out",Cash_Flow_3[Category],"Alfa")</f>
        <v>36400</v>
      </c>
      <c r="N65" s="29">
        <f>SUMIFS(Cash_Flow_3[Amount],Cash_Flow_3[Bulan],H65,Cash_Flow_3[Type],"Out",Cash_Flow_3[Category],"Jajan")</f>
        <v>38000</v>
      </c>
      <c r="O65" s="29">
        <f>SUMIFS(Cash_Flow_3[Amount],Cash_Flow_3[Bulan],H65,Cash_Flow_3[Type],"Out",Cash_Flow_3[Category],"Kitchen")</f>
        <v>87000</v>
      </c>
      <c r="P65" s="29">
        <f>SUMIFS(Cash_Flow_3[Amount],Cash_Flow_3[Bulan],H65,Cash_Flow_3[Type],"Out",Cash_Flow_3[Category],"Loandry")</f>
        <v>0</v>
      </c>
      <c r="Q65" s="29">
        <f>SUMIFS(Cash_Flow_3[Amount],Cash_Flow_3[Bulan],H65,Cash_Flow_3[Type],"Out",Cash_Flow_3[Category],"Mio")</f>
        <v>0</v>
      </c>
      <c r="R65" s="29">
        <f>SUMIFS(Cash_Flow_3[Amount],Cash_Flow_3[Bulan],H65,Cash_Flow_3[Type],"Out",Cash_Flow_3[Category],"Sedekah")</f>
        <v>0</v>
      </c>
      <c r="S65" s="29">
        <f>SUMIFS(Cash_Flow_3[Amount],Cash_Flow_3[Bulan],H65,Cash_Flow_3[Type],"Out",Cash_Flow_3[Category],"Zela")</f>
        <v>0</v>
      </c>
      <c r="T65" s="29">
        <f>SUMIFS(Cash_Flow_3[Amount],Cash_Flow_3[Bulan],H65,Cash_Flow_3[Type],"Out",Cash_Flow_3[Category],"Iqbal")</f>
        <v>0</v>
      </c>
    </row>
    <row r="66" spans="1:20" ht="22.5" customHeight="1" x14ac:dyDescent="0.2">
      <c r="A66" s="23">
        <v>46052</v>
      </c>
      <c r="B66" s="24" t="s">
        <v>76</v>
      </c>
      <c r="C66" s="25" t="s">
        <v>43</v>
      </c>
      <c r="D66" s="25" t="s">
        <v>9</v>
      </c>
      <c r="E66" s="25" t="s">
        <v>9</v>
      </c>
      <c r="F66" s="26">
        <v>100000</v>
      </c>
      <c r="G66" s="27"/>
      <c r="H66" s="28">
        <f t="shared" si="0"/>
        <v>46023</v>
      </c>
      <c r="I66" s="29">
        <f>SUMIFS(Cash_Flow_3[Amount],Cash_Flow_3[Bulan],H66,Cash_Flow_3[Type],"In")</f>
        <v>543327</v>
      </c>
      <c r="J66" s="29">
        <f>SUMIFS(Cash_Flow_3[Amount],Cash_Flow_3[Bulan],H66,Cash_Flow_3[Type],"Out")</f>
        <v>475850</v>
      </c>
      <c r="K66" s="29">
        <f>SUMIFS(Cash_Flow_3[Amount],Cash_Flow_3[Bulan],H66,Cash_Flow_3[Type],"Out",Cash_Flow_3[Category],"Fix")</f>
        <v>114450</v>
      </c>
      <c r="L66" s="29">
        <f>SUMIFS(Cash_Flow_3[Amount],Cash_Flow_3[Bulan],H66,Cash_Flow_3[Type],"Out",Cash_Flow_3[Category],"Bathroom")</f>
        <v>0</v>
      </c>
      <c r="M66" s="29">
        <f>SUMIFS(Cash_Flow_3[Amount],Cash_Flow_3[Bulan],H66,Cash_Flow_3[Type],"Out",Cash_Flow_3[Category],"Alfa")</f>
        <v>36400</v>
      </c>
      <c r="N66" s="29">
        <f>SUMIFS(Cash_Flow_3[Amount],Cash_Flow_3[Bulan],H66,Cash_Flow_3[Type],"Out",Cash_Flow_3[Category],"Jajan")</f>
        <v>38000</v>
      </c>
      <c r="O66" s="29">
        <f>SUMIFS(Cash_Flow_3[Amount],Cash_Flow_3[Bulan],H66,Cash_Flow_3[Type],"Out",Cash_Flow_3[Category],"Kitchen")</f>
        <v>87000</v>
      </c>
      <c r="P66" s="29">
        <f>SUMIFS(Cash_Flow_3[Amount],Cash_Flow_3[Bulan],H66,Cash_Flow_3[Type],"Out",Cash_Flow_3[Category],"Loandry")</f>
        <v>0</v>
      </c>
      <c r="Q66" s="29">
        <f>SUMIFS(Cash_Flow_3[Amount],Cash_Flow_3[Bulan],H66,Cash_Flow_3[Type],"Out",Cash_Flow_3[Category],"Mio")</f>
        <v>0</v>
      </c>
      <c r="R66" s="29">
        <f>SUMIFS(Cash_Flow_3[Amount],Cash_Flow_3[Bulan],H66,Cash_Flow_3[Type],"Out",Cash_Flow_3[Category],"Sedekah")</f>
        <v>0</v>
      </c>
      <c r="S66" s="29">
        <f>SUMIFS(Cash_Flow_3[Amount],Cash_Flow_3[Bulan],H66,Cash_Flow_3[Type],"Out",Cash_Flow_3[Category],"Zela")</f>
        <v>0</v>
      </c>
      <c r="T66" s="29">
        <f>SUMIFS(Cash_Flow_3[Amount],Cash_Flow_3[Bulan],H66,Cash_Flow_3[Type],"Out",Cash_Flow_3[Category],"Iqbal")</f>
        <v>0</v>
      </c>
    </row>
    <row r="67" spans="1:20" ht="22.5" customHeight="1" x14ac:dyDescent="0.2">
      <c r="A67" s="23">
        <v>46052</v>
      </c>
      <c r="B67" s="24" t="s">
        <v>78</v>
      </c>
      <c r="C67" s="25" t="s">
        <v>46</v>
      </c>
      <c r="D67" s="25" t="s">
        <v>9</v>
      </c>
      <c r="E67" s="25" t="s">
        <v>9</v>
      </c>
      <c r="F67" s="26">
        <v>100000</v>
      </c>
      <c r="G67" s="27"/>
      <c r="H67" s="28">
        <f t="shared" si="0"/>
        <v>46023</v>
      </c>
      <c r="I67" s="29">
        <f>SUMIFS(Cash_Flow_3[Amount],Cash_Flow_3[Bulan],H67,Cash_Flow_3[Type],"In")</f>
        <v>543327</v>
      </c>
      <c r="J67" s="29">
        <f>SUMIFS(Cash_Flow_3[Amount],Cash_Flow_3[Bulan],H67,Cash_Flow_3[Type],"Out")</f>
        <v>475850</v>
      </c>
      <c r="K67" s="29">
        <f>SUMIFS(Cash_Flow_3[Amount],Cash_Flow_3[Bulan],H67,Cash_Flow_3[Type],"Out",Cash_Flow_3[Category],"Fix")</f>
        <v>114450</v>
      </c>
      <c r="L67" s="29">
        <f>SUMIFS(Cash_Flow_3[Amount],Cash_Flow_3[Bulan],H67,Cash_Flow_3[Type],"Out",Cash_Flow_3[Category],"Bathroom")</f>
        <v>0</v>
      </c>
      <c r="M67" s="29">
        <f>SUMIFS(Cash_Flow_3[Amount],Cash_Flow_3[Bulan],H67,Cash_Flow_3[Type],"Out",Cash_Flow_3[Category],"Alfa")</f>
        <v>36400</v>
      </c>
      <c r="N67" s="29">
        <f>SUMIFS(Cash_Flow_3[Amount],Cash_Flow_3[Bulan],H67,Cash_Flow_3[Type],"Out",Cash_Flow_3[Category],"Jajan")</f>
        <v>38000</v>
      </c>
      <c r="O67" s="29">
        <f>SUMIFS(Cash_Flow_3[Amount],Cash_Flow_3[Bulan],H67,Cash_Flow_3[Type],"Out",Cash_Flow_3[Category],"Kitchen")</f>
        <v>87000</v>
      </c>
      <c r="P67" s="29">
        <f>SUMIFS(Cash_Flow_3[Amount],Cash_Flow_3[Bulan],H67,Cash_Flow_3[Type],"Out",Cash_Flow_3[Category],"Loandry")</f>
        <v>0</v>
      </c>
      <c r="Q67" s="29">
        <f>SUMIFS(Cash_Flow_3[Amount],Cash_Flow_3[Bulan],H67,Cash_Flow_3[Type],"Out",Cash_Flow_3[Category],"Mio")</f>
        <v>0</v>
      </c>
      <c r="R67" s="29">
        <f>SUMIFS(Cash_Flow_3[Amount],Cash_Flow_3[Bulan],H67,Cash_Flow_3[Type],"Out",Cash_Flow_3[Category],"Sedekah")</f>
        <v>0</v>
      </c>
      <c r="S67" s="29">
        <f>SUMIFS(Cash_Flow_3[Amount],Cash_Flow_3[Bulan],H67,Cash_Flow_3[Type],"Out",Cash_Flow_3[Category],"Zela")</f>
        <v>0</v>
      </c>
      <c r="T67" s="29">
        <f>SUMIFS(Cash_Flow_3[Amount],Cash_Flow_3[Bulan],H67,Cash_Flow_3[Type],"Out",Cash_Flow_3[Category],"Iqbal")</f>
        <v>0</v>
      </c>
    </row>
    <row r="68" spans="1:20" ht="22.5" customHeight="1" x14ac:dyDescent="0.2">
      <c r="A68" s="23">
        <v>46052</v>
      </c>
      <c r="B68" s="24" t="s">
        <v>87</v>
      </c>
      <c r="C68" s="25" t="s">
        <v>46</v>
      </c>
      <c r="D68" s="25" t="s">
        <v>44</v>
      </c>
      <c r="E68" s="25" t="s">
        <v>3</v>
      </c>
      <c r="F68" s="31">
        <v>58000</v>
      </c>
      <c r="G68" s="27"/>
      <c r="H68" s="28">
        <f t="shared" si="0"/>
        <v>46023</v>
      </c>
      <c r="I68" s="29">
        <f>SUMIFS(Cash_Flow_3[Amount],Cash_Flow_3[Bulan],H68,Cash_Flow_3[Type],"In")</f>
        <v>543327</v>
      </c>
      <c r="J68" s="29">
        <f>SUMIFS(Cash_Flow_3[Amount],Cash_Flow_3[Bulan],H68,Cash_Flow_3[Type],"Out")</f>
        <v>475850</v>
      </c>
      <c r="K68" s="29">
        <f>SUMIFS(Cash_Flow_3[Amount],Cash_Flow_3[Bulan],H68,Cash_Flow_3[Type],"Out",Cash_Flow_3[Category],"Fix")</f>
        <v>114450</v>
      </c>
      <c r="L68" s="29">
        <f>SUMIFS(Cash_Flow_3[Amount],Cash_Flow_3[Bulan],H68,Cash_Flow_3[Type],"Out",Cash_Flow_3[Category],"Bathroom")</f>
        <v>0</v>
      </c>
      <c r="M68" s="29">
        <f>SUMIFS(Cash_Flow_3[Amount],Cash_Flow_3[Bulan],H68,Cash_Flow_3[Type],"Out",Cash_Flow_3[Category],"Alfa")</f>
        <v>36400</v>
      </c>
      <c r="N68" s="29">
        <f>SUMIFS(Cash_Flow_3[Amount],Cash_Flow_3[Bulan],H68,Cash_Flow_3[Type],"Out",Cash_Flow_3[Category],"Jajan")</f>
        <v>38000</v>
      </c>
      <c r="O68" s="29">
        <f>SUMIFS(Cash_Flow_3[Amount],Cash_Flow_3[Bulan],H68,Cash_Flow_3[Type],"Out",Cash_Flow_3[Category],"Kitchen")</f>
        <v>87000</v>
      </c>
      <c r="P68" s="29">
        <f>SUMIFS(Cash_Flow_3[Amount],Cash_Flow_3[Bulan],H68,Cash_Flow_3[Type],"Out",Cash_Flow_3[Category],"Loandry")</f>
        <v>0</v>
      </c>
      <c r="Q68" s="29">
        <f>SUMIFS(Cash_Flow_3[Amount],Cash_Flow_3[Bulan],H68,Cash_Flow_3[Type],"Out",Cash_Flow_3[Category],"Mio")</f>
        <v>0</v>
      </c>
      <c r="R68" s="29">
        <f>SUMIFS(Cash_Flow_3[Amount],Cash_Flow_3[Bulan],H68,Cash_Flow_3[Type],"Out",Cash_Flow_3[Category],"Sedekah")</f>
        <v>0</v>
      </c>
      <c r="S68" s="29">
        <f>SUMIFS(Cash_Flow_3[Amount],Cash_Flow_3[Bulan],H68,Cash_Flow_3[Type],"Out",Cash_Flow_3[Category],"Zela")</f>
        <v>0</v>
      </c>
      <c r="T68" s="29">
        <f>SUMIFS(Cash_Flow_3[Amount],Cash_Flow_3[Bulan],H68,Cash_Flow_3[Type],"Out",Cash_Flow_3[Category],"Iqbal")</f>
        <v>0</v>
      </c>
    </row>
    <row r="69" spans="1:20" ht="22.5" customHeight="1" x14ac:dyDescent="0.2">
      <c r="A69" s="23">
        <v>46052</v>
      </c>
      <c r="B69" s="24" t="s">
        <v>90</v>
      </c>
      <c r="C69" s="25" t="s">
        <v>46</v>
      </c>
      <c r="D69" s="25" t="s">
        <v>44</v>
      </c>
      <c r="E69" s="25" t="s">
        <v>2</v>
      </c>
      <c r="F69" s="26">
        <v>12000</v>
      </c>
      <c r="G69" s="27"/>
      <c r="H69" s="28">
        <f t="shared" si="0"/>
        <v>46023</v>
      </c>
      <c r="I69" s="29">
        <f>SUMIFS(Cash_Flow_3[Amount],Cash_Flow_3[Bulan],H69,Cash_Flow_3[Type],"In")</f>
        <v>543327</v>
      </c>
      <c r="J69" s="29">
        <f>SUMIFS(Cash_Flow_3[Amount],Cash_Flow_3[Bulan],H69,Cash_Flow_3[Type],"Out")</f>
        <v>475850</v>
      </c>
      <c r="K69" s="29">
        <f>SUMIFS(Cash_Flow_3[Amount],Cash_Flow_3[Bulan],H69,Cash_Flow_3[Type],"Out",Cash_Flow_3[Category],"Fix")</f>
        <v>114450</v>
      </c>
      <c r="L69" s="29">
        <f>SUMIFS(Cash_Flow_3[Amount],Cash_Flow_3[Bulan],H69,Cash_Flow_3[Type],"Out",Cash_Flow_3[Category],"Bathroom")</f>
        <v>0</v>
      </c>
      <c r="M69" s="29">
        <f>SUMIFS(Cash_Flow_3[Amount],Cash_Flow_3[Bulan],H69,Cash_Flow_3[Type],"Out",Cash_Flow_3[Category],"Alfa")</f>
        <v>36400</v>
      </c>
      <c r="N69" s="29">
        <f>SUMIFS(Cash_Flow_3[Amount],Cash_Flow_3[Bulan],H69,Cash_Flow_3[Type],"Out",Cash_Flow_3[Category],"Jajan")</f>
        <v>38000</v>
      </c>
      <c r="O69" s="29">
        <f>SUMIFS(Cash_Flow_3[Amount],Cash_Flow_3[Bulan],H69,Cash_Flow_3[Type],"Out",Cash_Flow_3[Category],"Kitchen")</f>
        <v>87000</v>
      </c>
      <c r="P69" s="29">
        <f>SUMIFS(Cash_Flow_3[Amount],Cash_Flow_3[Bulan],H69,Cash_Flow_3[Type],"Out",Cash_Flow_3[Category],"Loandry")</f>
        <v>0</v>
      </c>
      <c r="Q69" s="29">
        <f>SUMIFS(Cash_Flow_3[Amount],Cash_Flow_3[Bulan],H69,Cash_Flow_3[Type],"Out",Cash_Flow_3[Category],"Mio")</f>
        <v>0</v>
      </c>
      <c r="R69" s="29">
        <f>SUMIFS(Cash_Flow_3[Amount],Cash_Flow_3[Bulan],H69,Cash_Flow_3[Type],"Out",Cash_Flow_3[Category],"Sedekah")</f>
        <v>0</v>
      </c>
      <c r="S69" s="29">
        <f>SUMIFS(Cash_Flow_3[Amount],Cash_Flow_3[Bulan],H69,Cash_Flow_3[Type],"Out",Cash_Flow_3[Category],"Zela")</f>
        <v>0</v>
      </c>
      <c r="T69" s="29">
        <f>SUMIFS(Cash_Flow_3[Amount],Cash_Flow_3[Bulan],H69,Cash_Flow_3[Type],"Out",Cash_Flow_3[Category],"Iqbal")</f>
        <v>0</v>
      </c>
    </row>
    <row r="70" spans="1:20" ht="22.5" customHeight="1" x14ac:dyDescent="0.2">
      <c r="A70" s="23">
        <v>46053</v>
      </c>
      <c r="B70" s="24" t="s">
        <v>68</v>
      </c>
      <c r="C70" s="25" t="s">
        <v>46</v>
      </c>
      <c r="D70" s="25" t="s">
        <v>44</v>
      </c>
      <c r="E70" s="25" t="s">
        <v>3</v>
      </c>
      <c r="F70" s="26">
        <v>5000</v>
      </c>
      <c r="G70" s="27"/>
      <c r="H70" s="28">
        <f t="shared" si="0"/>
        <v>46023</v>
      </c>
      <c r="I70" s="29">
        <f>SUMIFS(Cash_Flow_3[Amount],Cash_Flow_3[Bulan],H70,Cash_Flow_3[Type],"In")</f>
        <v>543327</v>
      </c>
      <c r="J70" s="29">
        <f>SUMIFS(Cash_Flow_3[Amount],Cash_Flow_3[Bulan],H70,Cash_Flow_3[Type],"Out")</f>
        <v>475850</v>
      </c>
      <c r="K70" s="29">
        <f>SUMIFS(Cash_Flow_3[Amount],Cash_Flow_3[Bulan],H70,Cash_Flow_3[Type],"Out",Cash_Flow_3[Category],"Fix")</f>
        <v>114450</v>
      </c>
      <c r="L70" s="29">
        <f>SUMIFS(Cash_Flow_3[Amount],Cash_Flow_3[Bulan],H70,Cash_Flow_3[Type],"Out",Cash_Flow_3[Category],"Bathroom")</f>
        <v>0</v>
      </c>
      <c r="M70" s="29">
        <f>SUMIFS(Cash_Flow_3[Amount],Cash_Flow_3[Bulan],H70,Cash_Flow_3[Type],"Out",Cash_Flow_3[Category],"Alfa")</f>
        <v>36400</v>
      </c>
      <c r="N70" s="29">
        <f>SUMIFS(Cash_Flow_3[Amount],Cash_Flow_3[Bulan],H70,Cash_Flow_3[Type],"Out",Cash_Flow_3[Category],"Jajan")</f>
        <v>38000</v>
      </c>
      <c r="O70" s="29">
        <f>SUMIFS(Cash_Flow_3[Amount],Cash_Flow_3[Bulan],H70,Cash_Flow_3[Type],"Out",Cash_Flow_3[Category],"Kitchen")</f>
        <v>87000</v>
      </c>
      <c r="P70" s="29">
        <f>SUMIFS(Cash_Flow_3[Amount],Cash_Flow_3[Bulan],H70,Cash_Flow_3[Type],"Out",Cash_Flow_3[Category],"Loandry")</f>
        <v>0</v>
      </c>
      <c r="Q70" s="29">
        <f>SUMIFS(Cash_Flow_3[Amount],Cash_Flow_3[Bulan],H70,Cash_Flow_3[Type],"Out",Cash_Flow_3[Category],"Mio")</f>
        <v>0</v>
      </c>
      <c r="R70" s="29">
        <f>SUMIFS(Cash_Flow_3[Amount],Cash_Flow_3[Bulan],H70,Cash_Flow_3[Type],"Out",Cash_Flow_3[Category],"Sedekah")</f>
        <v>0</v>
      </c>
      <c r="S70" s="29">
        <f>SUMIFS(Cash_Flow_3[Amount],Cash_Flow_3[Bulan],H70,Cash_Flow_3[Type],"Out",Cash_Flow_3[Category],"Zela")</f>
        <v>0</v>
      </c>
      <c r="T70" s="29">
        <f>SUMIFS(Cash_Flow_3[Amount],Cash_Flow_3[Bulan],H70,Cash_Flow_3[Type],"Out",Cash_Flow_3[Category],"Iqbal")</f>
        <v>0</v>
      </c>
    </row>
    <row r="71" spans="1:20" ht="22.5" customHeight="1" x14ac:dyDescent="0.2">
      <c r="A71" s="23">
        <v>46054</v>
      </c>
      <c r="B71" s="24" t="s">
        <v>36</v>
      </c>
      <c r="C71" s="25" t="s">
        <v>43</v>
      </c>
      <c r="D71" s="25" t="s">
        <v>39</v>
      </c>
      <c r="E71" s="25" t="s">
        <v>0</v>
      </c>
      <c r="F71" s="26">
        <v>11566</v>
      </c>
      <c r="G71" s="27"/>
      <c r="H71" s="28">
        <f t="shared" si="0"/>
        <v>46054</v>
      </c>
      <c r="I71" s="29">
        <f>SUMIFS(Cash_Flow_3[Amount],Cash_Flow_3[Bulan],H71,Cash_Flow_3[Type],"In")</f>
        <v>7073728</v>
      </c>
      <c r="J71" s="29">
        <f>SUMIFS(Cash_Flow_3[Amount],Cash_Flow_3[Bulan],H71,Cash_Flow_3[Type],"Out")</f>
        <v>6908733</v>
      </c>
      <c r="K71" s="29">
        <f>SUMIFS(Cash_Flow_3[Amount],Cash_Flow_3[Bulan],H71,Cash_Flow_3[Type],"Out",Cash_Flow_3[Category],"Fix")</f>
        <v>2440568</v>
      </c>
      <c r="L71" s="29">
        <f>SUMIFS(Cash_Flow_3[Amount],Cash_Flow_3[Bulan],H71,Cash_Flow_3[Type],"Out",Cash_Flow_3[Category],"Bathroom")</f>
        <v>34500</v>
      </c>
      <c r="M71" s="29">
        <f>SUMIFS(Cash_Flow_3[Amount],Cash_Flow_3[Bulan],H71,Cash_Flow_3[Type],"Out",Cash_Flow_3[Category],"Alfa")</f>
        <v>293800</v>
      </c>
      <c r="N71" s="29">
        <f>SUMIFS(Cash_Flow_3[Amount],Cash_Flow_3[Bulan],H71,Cash_Flow_3[Type],"Out",Cash_Flow_3[Category],"Jajan")</f>
        <v>364000</v>
      </c>
      <c r="O71" s="29">
        <f>SUMIFS(Cash_Flow_3[Amount],Cash_Flow_3[Bulan],H71,Cash_Flow_3[Type],"Out",Cash_Flow_3[Category],"Kitchen")</f>
        <v>992724</v>
      </c>
      <c r="P71" s="29">
        <f>SUMIFS(Cash_Flow_3[Amount],Cash_Flow_3[Bulan],H71,Cash_Flow_3[Type],"Out",Cash_Flow_3[Category],"Loandry")</f>
        <v>41600</v>
      </c>
      <c r="Q71" s="29">
        <f>SUMIFS(Cash_Flow_3[Amount],Cash_Flow_3[Bulan],H71,Cash_Flow_3[Type],"Out",Cash_Flow_3[Category],"Mio")</f>
        <v>249000</v>
      </c>
      <c r="R71" s="29">
        <f>SUMIFS(Cash_Flow_3[Amount],Cash_Flow_3[Bulan],H71,Cash_Flow_3[Type],"Out",Cash_Flow_3[Category],"Sedekah")</f>
        <v>129000</v>
      </c>
      <c r="S71" s="29">
        <f>SUMIFS(Cash_Flow_3[Amount],Cash_Flow_3[Bulan],H71,Cash_Flow_3[Type],"Out",Cash_Flow_3[Category],"Zela")</f>
        <v>24100</v>
      </c>
      <c r="T71" s="29">
        <f>SUMIFS(Cash_Flow_3[Amount],Cash_Flow_3[Bulan],H71,Cash_Flow_3[Type],"Out",Cash_Flow_3[Category],"Iqbal")</f>
        <v>121000</v>
      </c>
    </row>
    <row r="72" spans="1:20" ht="22.5" customHeight="1" x14ac:dyDescent="0.2">
      <c r="A72" s="23">
        <v>46054</v>
      </c>
      <c r="B72" s="24" t="s">
        <v>93</v>
      </c>
      <c r="C72" s="25" t="s">
        <v>43</v>
      </c>
      <c r="D72" s="25" t="s">
        <v>44</v>
      </c>
      <c r="E72" s="25" t="s">
        <v>1</v>
      </c>
      <c r="F72" s="26">
        <v>12500</v>
      </c>
      <c r="G72" s="27"/>
      <c r="H72" s="28">
        <f t="shared" si="0"/>
        <v>46054</v>
      </c>
      <c r="I72" s="29">
        <f>SUMIFS(Cash_Flow_3[Amount],Cash_Flow_3[Bulan],H72,Cash_Flow_3[Type],"In")</f>
        <v>7073728</v>
      </c>
      <c r="J72" s="29">
        <f>SUMIFS(Cash_Flow_3[Amount],Cash_Flow_3[Bulan],H72,Cash_Flow_3[Type],"Out")</f>
        <v>6908733</v>
      </c>
      <c r="K72" s="29">
        <f>SUMIFS(Cash_Flow_3[Amount],Cash_Flow_3[Bulan],H72,Cash_Flow_3[Type],"Out",Cash_Flow_3[Category],"Fix")</f>
        <v>2440568</v>
      </c>
      <c r="L72" s="29">
        <f>SUMIFS(Cash_Flow_3[Amount],Cash_Flow_3[Bulan],H72,Cash_Flow_3[Type],"Out",Cash_Flow_3[Category],"Bathroom")</f>
        <v>34500</v>
      </c>
      <c r="M72" s="29">
        <f>SUMIFS(Cash_Flow_3[Amount],Cash_Flow_3[Bulan],H72,Cash_Flow_3[Type],"Out",Cash_Flow_3[Category],"Alfa")</f>
        <v>293800</v>
      </c>
      <c r="N72" s="29">
        <f>SUMIFS(Cash_Flow_3[Amount],Cash_Flow_3[Bulan],H72,Cash_Flow_3[Type],"Out",Cash_Flow_3[Category],"Jajan")</f>
        <v>364000</v>
      </c>
      <c r="O72" s="29">
        <f>SUMIFS(Cash_Flow_3[Amount],Cash_Flow_3[Bulan],H72,Cash_Flow_3[Type],"Out",Cash_Flow_3[Category],"Kitchen")</f>
        <v>992724</v>
      </c>
      <c r="P72" s="29">
        <f>SUMIFS(Cash_Flow_3[Amount],Cash_Flow_3[Bulan],H72,Cash_Flow_3[Type],"Out",Cash_Flow_3[Category],"Loandry")</f>
        <v>41600</v>
      </c>
      <c r="Q72" s="29">
        <f>SUMIFS(Cash_Flow_3[Amount],Cash_Flow_3[Bulan],H72,Cash_Flow_3[Type],"Out",Cash_Flow_3[Category],"Mio")</f>
        <v>249000</v>
      </c>
      <c r="R72" s="29">
        <f>SUMIFS(Cash_Flow_3[Amount],Cash_Flow_3[Bulan],H72,Cash_Flow_3[Type],"Out",Cash_Flow_3[Category],"Sedekah")</f>
        <v>129000</v>
      </c>
      <c r="S72" s="29">
        <f>SUMIFS(Cash_Flow_3[Amount],Cash_Flow_3[Bulan],H72,Cash_Flow_3[Type],"Out",Cash_Flow_3[Category],"Zela")</f>
        <v>24100</v>
      </c>
      <c r="T72" s="29">
        <f>SUMIFS(Cash_Flow_3[Amount],Cash_Flow_3[Bulan],H72,Cash_Flow_3[Type],"Out",Cash_Flow_3[Category],"Iqbal")</f>
        <v>121000</v>
      </c>
    </row>
    <row r="73" spans="1:20" ht="22.5" customHeight="1" x14ac:dyDescent="0.2">
      <c r="A73" s="23">
        <v>46055</v>
      </c>
      <c r="B73" s="24" t="s">
        <v>96</v>
      </c>
      <c r="C73" s="25" t="s">
        <v>43</v>
      </c>
      <c r="D73" s="25" t="s">
        <v>39</v>
      </c>
      <c r="E73" s="25" t="s">
        <v>0</v>
      </c>
      <c r="F73" s="26">
        <v>1774441</v>
      </c>
      <c r="G73" s="27"/>
      <c r="H73" s="28">
        <f t="shared" si="0"/>
        <v>46054</v>
      </c>
      <c r="I73" s="29">
        <f>SUMIFS(Cash_Flow_3[Amount],Cash_Flow_3[Bulan],H73,Cash_Flow_3[Type],"In")</f>
        <v>7073728</v>
      </c>
      <c r="J73" s="29">
        <f>SUMIFS(Cash_Flow_3[Amount],Cash_Flow_3[Bulan],H73,Cash_Flow_3[Type],"Out")</f>
        <v>6908733</v>
      </c>
      <c r="K73" s="29">
        <f>SUMIFS(Cash_Flow_3[Amount],Cash_Flow_3[Bulan],H73,Cash_Flow_3[Type],"Out",Cash_Flow_3[Category],"Fix")</f>
        <v>2440568</v>
      </c>
      <c r="L73" s="29">
        <f>SUMIFS(Cash_Flow_3[Amount],Cash_Flow_3[Bulan],H73,Cash_Flow_3[Type],"Out",Cash_Flow_3[Category],"Bathroom")</f>
        <v>34500</v>
      </c>
      <c r="M73" s="29">
        <f>SUMIFS(Cash_Flow_3[Amount],Cash_Flow_3[Bulan],H73,Cash_Flow_3[Type],"Out",Cash_Flow_3[Category],"Alfa")</f>
        <v>293800</v>
      </c>
      <c r="N73" s="29">
        <f>SUMIFS(Cash_Flow_3[Amount],Cash_Flow_3[Bulan],H73,Cash_Flow_3[Type],"Out",Cash_Flow_3[Category],"Jajan")</f>
        <v>364000</v>
      </c>
      <c r="O73" s="29">
        <f>SUMIFS(Cash_Flow_3[Amount],Cash_Flow_3[Bulan],H73,Cash_Flow_3[Type],"Out",Cash_Flow_3[Category],"Kitchen")</f>
        <v>992724</v>
      </c>
      <c r="P73" s="29">
        <f>SUMIFS(Cash_Flow_3[Amount],Cash_Flow_3[Bulan],H73,Cash_Flow_3[Type],"Out",Cash_Flow_3[Category],"Loandry")</f>
        <v>41600</v>
      </c>
      <c r="Q73" s="29">
        <f>SUMIFS(Cash_Flow_3[Amount],Cash_Flow_3[Bulan],H73,Cash_Flow_3[Type],"Out",Cash_Flow_3[Category],"Mio")</f>
        <v>249000</v>
      </c>
      <c r="R73" s="29">
        <f>SUMIFS(Cash_Flow_3[Amount],Cash_Flow_3[Bulan],H73,Cash_Flow_3[Type],"Out",Cash_Flow_3[Category],"Sedekah")</f>
        <v>129000</v>
      </c>
      <c r="S73" s="29">
        <f>SUMIFS(Cash_Flow_3[Amount],Cash_Flow_3[Bulan],H73,Cash_Flow_3[Type],"Out",Cash_Flow_3[Category],"Zela")</f>
        <v>24100</v>
      </c>
      <c r="T73" s="29">
        <f>SUMIFS(Cash_Flow_3[Amount],Cash_Flow_3[Bulan],H73,Cash_Flow_3[Type],"Out",Cash_Flow_3[Category],"Iqbal")</f>
        <v>121000</v>
      </c>
    </row>
    <row r="74" spans="1:20" ht="22.5" customHeight="1" x14ac:dyDescent="0.2">
      <c r="A74" s="23">
        <v>46055</v>
      </c>
      <c r="B74" s="24" t="s">
        <v>482</v>
      </c>
      <c r="C74" s="25" t="s">
        <v>43</v>
      </c>
      <c r="D74" s="25" t="s">
        <v>9</v>
      </c>
      <c r="E74" s="25" t="s">
        <v>9</v>
      </c>
      <c r="F74" s="26">
        <v>200000</v>
      </c>
      <c r="G74" s="27"/>
      <c r="H74" s="28">
        <f t="shared" si="0"/>
        <v>46054</v>
      </c>
      <c r="I74" s="29">
        <f>SUMIFS(Cash_Flow_3[Amount],Cash_Flow_3[Bulan],H74,Cash_Flow_3[Type],"In")</f>
        <v>7073728</v>
      </c>
      <c r="J74" s="29">
        <f>SUMIFS(Cash_Flow_3[Amount],Cash_Flow_3[Bulan],H74,Cash_Flow_3[Type],"Out")</f>
        <v>6908733</v>
      </c>
      <c r="K74" s="29">
        <f>SUMIFS(Cash_Flow_3[Amount],Cash_Flow_3[Bulan],H74,Cash_Flow_3[Type],"Out",Cash_Flow_3[Category],"Fix")</f>
        <v>2440568</v>
      </c>
      <c r="L74" s="29">
        <f>SUMIFS(Cash_Flow_3[Amount],Cash_Flow_3[Bulan],H74,Cash_Flow_3[Type],"Out",Cash_Flow_3[Category],"Bathroom")</f>
        <v>34500</v>
      </c>
      <c r="M74" s="29">
        <f>SUMIFS(Cash_Flow_3[Amount],Cash_Flow_3[Bulan],H74,Cash_Flow_3[Type],"Out",Cash_Flow_3[Category],"Alfa")</f>
        <v>293800</v>
      </c>
      <c r="N74" s="29">
        <f>SUMIFS(Cash_Flow_3[Amount],Cash_Flow_3[Bulan],H74,Cash_Flow_3[Type],"Out",Cash_Flow_3[Category],"Jajan")</f>
        <v>364000</v>
      </c>
      <c r="O74" s="29">
        <f>SUMIFS(Cash_Flow_3[Amount],Cash_Flow_3[Bulan],H74,Cash_Flow_3[Type],"Out",Cash_Flow_3[Category],"Kitchen")</f>
        <v>992724</v>
      </c>
      <c r="P74" s="29">
        <f>SUMIFS(Cash_Flow_3[Amount],Cash_Flow_3[Bulan],H74,Cash_Flow_3[Type],"Out",Cash_Flow_3[Category],"Loandry")</f>
        <v>41600</v>
      </c>
      <c r="Q74" s="29">
        <f>SUMIFS(Cash_Flow_3[Amount],Cash_Flow_3[Bulan],H74,Cash_Flow_3[Type],"Out",Cash_Flow_3[Category],"Mio")</f>
        <v>249000</v>
      </c>
      <c r="R74" s="29">
        <f>SUMIFS(Cash_Flow_3[Amount],Cash_Flow_3[Bulan],H74,Cash_Flow_3[Type],"Out",Cash_Flow_3[Category],"Sedekah")</f>
        <v>129000</v>
      </c>
      <c r="S74" s="29">
        <f>SUMIFS(Cash_Flow_3[Amount],Cash_Flow_3[Bulan],H74,Cash_Flow_3[Type],"Out",Cash_Flow_3[Category],"Zela")</f>
        <v>24100</v>
      </c>
      <c r="T74" s="29">
        <f>SUMIFS(Cash_Flow_3[Amount],Cash_Flow_3[Bulan],H74,Cash_Flow_3[Type],"Out",Cash_Flow_3[Category],"Iqbal")</f>
        <v>121000</v>
      </c>
    </row>
    <row r="75" spans="1:20" ht="22.5" customHeight="1" x14ac:dyDescent="0.2">
      <c r="A75" s="23">
        <v>46055</v>
      </c>
      <c r="B75" s="24" t="s">
        <v>484</v>
      </c>
      <c r="C75" s="25" t="s">
        <v>46</v>
      </c>
      <c r="D75" s="25" t="s">
        <v>9</v>
      </c>
      <c r="E75" s="25" t="s">
        <v>9</v>
      </c>
      <c r="F75" s="26">
        <v>200000</v>
      </c>
      <c r="G75" s="27"/>
      <c r="H75" s="28">
        <f t="shared" si="0"/>
        <v>46054</v>
      </c>
      <c r="I75" s="29">
        <f>SUMIFS(Cash_Flow_3[Amount],Cash_Flow_3[Bulan],H75,Cash_Flow_3[Type],"In")</f>
        <v>7073728</v>
      </c>
      <c r="J75" s="29">
        <f>SUMIFS(Cash_Flow_3[Amount],Cash_Flow_3[Bulan],H75,Cash_Flow_3[Type],"Out")</f>
        <v>6908733</v>
      </c>
      <c r="K75" s="29">
        <f>SUMIFS(Cash_Flow_3[Amount],Cash_Flow_3[Bulan],H75,Cash_Flow_3[Type],"Out",Cash_Flow_3[Category],"Fix")</f>
        <v>2440568</v>
      </c>
      <c r="L75" s="29">
        <f>SUMIFS(Cash_Flow_3[Amount],Cash_Flow_3[Bulan],H75,Cash_Flow_3[Type],"Out",Cash_Flow_3[Category],"Bathroom")</f>
        <v>34500</v>
      </c>
      <c r="M75" s="29">
        <f>SUMIFS(Cash_Flow_3[Amount],Cash_Flow_3[Bulan],H75,Cash_Flow_3[Type],"Out",Cash_Flow_3[Category],"Alfa")</f>
        <v>293800</v>
      </c>
      <c r="N75" s="29">
        <f>SUMIFS(Cash_Flow_3[Amount],Cash_Flow_3[Bulan],H75,Cash_Flow_3[Type],"Out",Cash_Flow_3[Category],"Jajan")</f>
        <v>364000</v>
      </c>
      <c r="O75" s="29">
        <f>SUMIFS(Cash_Flow_3[Amount],Cash_Flow_3[Bulan],H75,Cash_Flow_3[Type],"Out",Cash_Flow_3[Category],"Kitchen")</f>
        <v>992724</v>
      </c>
      <c r="P75" s="29">
        <f>SUMIFS(Cash_Flow_3[Amount],Cash_Flow_3[Bulan],H75,Cash_Flow_3[Type],"Out",Cash_Flow_3[Category],"Loandry")</f>
        <v>41600</v>
      </c>
      <c r="Q75" s="29">
        <f>SUMIFS(Cash_Flow_3[Amount],Cash_Flow_3[Bulan],H75,Cash_Flow_3[Type],"Out",Cash_Flow_3[Category],"Mio")</f>
        <v>249000</v>
      </c>
      <c r="R75" s="29">
        <f>SUMIFS(Cash_Flow_3[Amount],Cash_Flow_3[Bulan],H75,Cash_Flow_3[Type],"Out",Cash_Flow_3[Category],"Sedekah")</f>
        <v>129000</v>
      </c>
      <c r="S75" s="29">
        <f>SUMIFS(Cash_Flow_3[Amount],Cash_Flow_3[Bulan],H75,Cash_Flow_3[Type],"Out",Cash_Flow_3[Category],"Zela")</f>
        <v>24100</v>
      </c>
      <c r="T75" s="29">
        <f>SUMIFS(Cash_Flow_3[Amount],Cash_Flow_3[Bulan],H75,Cash_Flow_3[Type],"Out",Cash_Flow_3[Category],"Iqbal")</f>
        <v>121000</v>
      </c>
    </row>
    <row r="76" spans="1:20" ht="22.5" customHeight="1" x14ac:dyDescent="0.2">
      <c r="A76" s="23">
        <v>46054</v>
      </c>
      <c r="B76" s="24" t="s">
        <v>631</v>
      </c>
      <c r="C76" s="25" t="s">
        <v>46</v>
      </c>
      <c r="D76" s="25" t="s">
        <v>44</v>
      </c>
      <c r="E76" s="25" t="s">
        <v>1</v>
      </c>
      <c r="F76" s="26">
        <v>5000</v>
      </c>
      <c r="G76" s="27"/>
      <c r="H76" s="28">
        <f t="shared" si="0"/>
        <v>46054</v>
      </c>
      <c r="I76" s="29">
        <f>SUMIFS(Cash_Flow_3[Amount],Cash_Flow_3[Bulan],H76,Cash_Flow_3[Type],"In")</f>
        <v>7073728</v>
      </c>
      <c r="J76" s="29">
        <f>SUMIFS(Cash_Flow_3[Amount],Cash_Flow_3[Bulan],H76,Cash_Flow_3[Type],"Out")</f>
        <v>6908733</v>
      </c>
      <c r="K76" s="29">
        <f>SUMIFS(Cash_Flow_3[Amount],Cash_Flow_3[Bulan],H76,Cash_Flow_3[Type],"Out",Cash_Flow_3[Category],"Fix")</f>
        <v>2440568</v>
      </c>
      <c r="L76" s="29">
        <f>SUMIFS(Cash_Flow_3[Amount],Cash_Flow_3[Bulan],H76,Cash_Flow_3[Type],"Out",Cash_Flow_3[Category],"Bathroom")</f>
        <v>34500</v>
      </c>
      <c r="M76" s="29">
        <f>SUMIFS(Cash_Flow_3[Amount],Cash_Flow_3[Bulan],H76,Cash_Flow_3[Type],"Out",Cash_Flow_3[Category],"Alfa")</f>
        <v>293800</v>
      </c>
      <c r="N76" s="29">
        <f>SUMIFS(Cash_Flow_3[Amount],Cash_Flow_3[Bulan],H76,Cash_Flow_3[Type],"Out",Cash_Flow_3[Category],"Jajan")</f>
        <v>364000</v>
      </c>
      <c r="O76" s="29">
        <f>SUMIFS(Cash_Flow_3[Amount],Cash_Flow_3[Bulan],H76,Cash_Flow_3[Type],"Out",Cash_Flow_3[Category],"Kitchen")</f>
        <v>992724</v>
      </c>
      <c r="P76" s="29">
        <f>SUMIFS(Cash_Flow_3[Amount],Cash_Flow_3[Bulan],H76,Cash_Flow_3[Type],"Out",Cash_Flow_3[Category],"Loandry")</f>
        <v>41600</v>
      </c>
      <c r="Q76" s="29">
        <f>SUMIFS(Cash_Flow_3[Amount],Cash_Flow_3[Bulan],H76,Cash_Flow_3[Type],"Out",Cash_Flow_3[Category],"Mio")</f>
        <v>249000</v>
      </c>
      <c r="R76" s="29">
        <f>SUMIFS(Cash_Flow_3[Amount],Cash_Flow_3[Bulan],H76,Cash_Flow_3[Type],"Out",Cash_Flow_3[Category],"Sedekah")</f>
        <v>129000</v>
      </c>
      <c r="S76" s="29">
        <f>SUMIFS(Cash_Flow_3[Amount],Cash_Flow_3[Bulan],H76,Cash_Flow_3[Type],"Out",Cash_Flow_3[Category],"Zela")</f>
        <v>24100</v>
      </c>
      <c r="T76" s="29">
        <f>SUMIFS(Cash_Flow_3[Amount],Cash_Flow_3[Bulan],H76,Cash_Flow_3[Type],"Out",Cash_Flow_3[Category],"Iqbal")</f>
        <v>121000</v>
      </c>
    </row>
    <row r="77" spans="1:20" ht="22.5" customHeight="1" x14ac:dyDescent="0.2">
      <c r="A77" s="23">
        <v>46054</v>
      </c>
      <c r="B77" s="24" t="s">
        <v>526</v>
      </c>
      <c r="C77" s="25" t="s">
        <v>46</v>
      </c>
      <c r="D77" s="25" t="s">
        <v>44</v>
      </c>
      <c r="E77" s="25" t="s">
        <v>6</v>
      </c>
      <c r="F77" s="26">
        <v>20000</v>
      </c>
      <c r="G77" s="27"/>
      <c r="H77" s="28">
        <f t="shared" si="0"/>
        <v>46054</v>
      </c>
      <c r="I77" s="29">
        <f>SUMIFS(Cash_Flow_3[Amount],Cash_Flow_3[Bulan],H77,Cash_Flow_3[Type],"In")</f>
        <v>7073728</v>
      </c>
      <c r="J77" s="29">
        <f>SUMIFS(Cash_Flow_3[Amount],Cash_Flow_3[Bulan],H77,Cash_Flow_3[Type],"Out")</f>
        <v>6908733</v>
      </c>
      <c r="K77" s="29">
        <f>SUMIFS(Cash_Flow_3[Amount],Cash_Flow_3[Bulan],H77,Cash_Flow_3[Type],"Out",Cash_Flow_3[Category],"Fix")</f>
        <v>2440568</v>
      </c>
      <c r="L77" s="29">
        <f>SUMIFS(Cash_Flow_3[Amount],Cash_Flow_3[Bulan],H77,Cash_Flow_3[Type],"Out",Cash_Flow_3[Category],"Bathroom")</f>
        <v>34500</v>
      </c>
      <c r="M77" s="29">
        <f>SUMIFS(Cash_Flow_3[Amount],Cash_Flow_3[Bulan],H77,Cash_Flow_3[Type],"Out",Cash_Flow_3[Category],"Alfa")</f>
        <v>293800</v>
      </c>
      <c r="N77" s="29">
        <f>SUMIFS(Cash_Flow_3[Amount],Cash_Flow_3[Bulan],H77,Cash_Flow_3[Type],"Out",Cash_Flow_3[Category],"Jajan")</f>
        <v>364000</v>
      </c>
      <c r="O77" s="29">
        <f>SUMIFS(Cash_Flow_3[Amount],Cash_Flow_3[Bulan],H77,Cash_Flow_3[Type],"Out",Cash_Flow_3[Category],"Kitchen")</f>
        <v>992724</v>
      </c>
      <c r="P77" s="29">
        <f>SUMIFS(Cash_Flow_3[Amount],Cash_Flow_3[Bulan],H77,Cash_Flow_3[Type],"Out",Cash_Flow_3[Category],"Loandry")</f>
        <v>41600</v>
      </c>
      <c r="Q77" s="29">
        <f>SUMIFS(Cash_Flow_3[Amount],Cash_Flow_3[Bulan],H77,Cash_Flow_3[Type],"Out",Cash_Flow_3[Category],"Mio")</f>
        <v>249000</v>
      </c>
      <c r="R77" s="29">
        <f>SUMIFS(Cash_Flow_3[Amount],Cash_Flow_3[Bulan],H77,Cash_Flow_3[Type],"Out",Cash_Flow_3[Category],"Sedekah")</f>
        <v>129000</v>
      </c>
      <c r="S77" s="29">
        <f>SUMIFS(Cash_Flow_3[Amount],Cash_Flow_3[Bulan],H77,Cash_Flow_3[Type],"Out",Cash_Flow_3[Category],"Zela")</f>
        <v>24100</v>
      </c>
      <c r="T77" s="29">
        <f>SUMIFS(Cash_Flow_3[Amount],Cash_Flow_3[Bulan],H77,Cash_Flow_3[Type],"Out",Cash_Flow_3[Category],"Iqbal")</f>
        <v>121000</v>
      </c>
    </row>
    <row r="78" spans="1:20" ht="22.5" customHeight="1" x14ac:dyDescent="0.2">
      <c r="A78" s="23">
        <v>46055</v>
      </c>
      <c r="B78" s="24" t="s">
        <v>18</v>
      </c>
      <c r="C78" s="25" t="s">
        <v>46</v>
      </c>
      <c r="D78" s="25" t="s">
        <v>44</v>
      </c>
      <c r="E78" s="25" t="s">
        <v>8</v>
      </c>
      <c r="F78" s="26">
        <v>14000</v>
      </c>
      <c r="G78" s="27"/>
      <c r="H78" s="28">
        <f t="shared" si="0"/>
        <v>46054</v>
      </c>
      <c r="I78" s="29">
        <f>SUMIFS(Cash_Flow_3[Amount],Cash_Flow_3[Bulan],H78,Cash_Flow_3[Type],"In")</f>
        <v>7073728</v>
      </c>
      <c r="J78" s="29">
        <f>SUMIFS(Cash_Flow_3[Amount],Cash_Flow_3[Bulan],H78,Cash_Flow_3[Type],"Out")</f>
        <v>6908733</v>
      </c>
      <c r="K78" s="29">
        <f>SUMIFS(Cash_Flow_3[Amount],Cash_Flow_3[Bulan],H78,Cash_Flow_3[Type],"Out",Cash_Flow_3[Category],"Fix")</f>
        <v>2440568</v>
      </c>
      <c r="L78" s="29">
        <f>SUMIFS(Cash_Flow_3[Amount],Cash_Flow_3[Bulan],H78,Cash_Flow_3[Type],"Out",Cash_Flow_3[Category],"Bathroom")</f>
        <v>34500</v>
      </c>
      <c r="M78" s="29">
        <f>SUMIFS(Cash_Flow_3[Amount],Cash_Flow_3[Bulan],H78,Cash_Flow_3[Type],"Out",Cash_Flow_3[Category],"Alfa")</f>
        <v>293800</v>
      </c>
      <c r="N78" s="29">
        <f>SUMIFS(Cash_Flow_3[Amount],Cash_Flow_3[Bulan],H78,Cash_Flow_3[Type],"Out",Cash_Flow_3[Category],"Jajan")</f>
        <v>364000</v>
      </c>
      <c r="O78" s="29">
        <f>SUMIFS(Cash_Flow_3[Amount],Cash_Flow_3[Bulan],H78,Cash_Flow_3[Type],"Out",Cash_Flow_3[Category],"Kitchen")</f>
        <v>992724</v>
      </c>
      <c r="P78" s="29">
        <f>SUMIFS(Cash_Flow_3[Amount],Cash_Flow_3[Bulan],H78,Cash_Flow_3[Type],"Out",Cash_Flow_3[Category],"Loandry")</f>
        <v>41600</v>
      </c>
      <c r="Q78" s="29">
        <f>SUMIFS(Cash_Flow_3[Amount],Cash_Flow_3[Bulan],H78,Cash_Flow_3[Type],"Out",Cash_Flow_3[Category],"Mio")</f>
        <v>249000</v>
      </c>
      <c r="R78" s="29">
        <f>SUMIFS(Cash_Flow_3[Amount],Cash_Flow_3[Bulan],H78,Cash_Flow_3[Type],"Out",Cash_Flow_3[Category],"Sedekah")</f>
        <v>129000</v>
      </c>
      <c r="S78" s="29">
        <f>SUMIFS(Cash_Flow_3[Amount],Cash_Flow_3[Bulan],H78,Cash_Flow_3[Type],"Out",Cash_Flow_3[Category],"Zela")</f>
        <v>24100</v>
      </c>
      <c r="T78" s="29">
        <f>SUMIFS(Cash_Flow_3[Amount],Cash_Flow_3[Bulan],H78,Cash_Flow_3[Type],"Out",Cash_Flow_3[Category],"Iqbal")</f>
        <v>121000</v>
      </c>
    </row>
    <row r="79" spans="1:20" ht="22.5" customHeight="1" x14ac:dyDescent="0.2">
      <c r="A79" s="23">
        <v>46055</v>
      </c>
      <c r="B79" s="24" t="s">
        <v>643</v>
      </c>
      <c r="C79" s="25" t="s">
        <v>46</v>
      </c>
      <c r="D79" s="25" t="s">
        <v>44</v>
      </c>
      <c r="E79" s="25" t="s">
        <v>2</v>
      </c>
      <c r="F79" s="26">
        <v>20000</v>
      </c>
      <c r="G79" s="27"/>
      <c r="H79" s="28">
        <f t="shared" si="0"/>
        <v>46054</v>
      </c>
      <c r="I79" s="29">
        <f>SUMIFS(Cash_Flow_3[Amount],Cash_Flow_3[Bulan],H79,Cash_Flow_3[Type],"In")</f>
        <v>7073728</v>
      </c>
      <c r="J79" s="29">
        <f>SUMIFS(Cash_Flow_3[Amount],Cash_Flow_3[Bulan],H79,Cash_Flow_3[Type],"Out")</f>
        <v>6908733</v>
      </c>
      <c r="K79" s="29">
        <f>SUMIFS(Cash_Flow_3[Amount],Cash_Flow_3[Bulan],H79,Cash_Flow_3[Type],"Out",Cash_Flow_3[Category],"Fix")</f>
        <v>2440568</v>
      </c>
      <c r="L79" s="29">
        <f>SUMIFS(Cash_Flow_3[Amount],Cash_Flow_3[Bulan],H79,Cash_Flow_3[Type],"Out",Cash_Flow_3[Category],"Bathroom")</f>
        <v>34500</v>
      </c>
      <c r="M79" s="29">
        <f>SUMIFS(Cash_Flow_3[Amount],Cash_Flow_3[Bulan],H79,Cash_Flow_3[Type],"Out",Cash_Flow_3[Category],"Alfa")</f>
        <v>293800</v>
      </c>
      <c r="N79" s="29">
        <f>SUMIFS(Cash_Flow_3[Amount],Cash_Flow_3[Bulan],H79,Cash_Flow_3[Type],"Out",Cash_Flow_3[Category],"Jajan")</f>
        <v>364000</v>
      </c>
      <c r="O79" s="29">
        <f>SUMIFS(Cash_Flow_3[Amount],Cash_Flow_3[Bulan],H79,Cash_Flow_3[Type],"Out",Cash_Flow_3[Category],"Kitchen")</f>
        <v>992724</v>
      </c>
      <c r="P79" s="29">
        <f>SUMIFS(Cash_Flow_3[Amount],Cash_Flow_3[Bulan],H79,Cash_Flow_3[Type],"Out",Cash_Flow_3[Category],"Loandry")</f>
        <v>41600</v>
      </c>
      <c r="Q79" s="29">
        <f>SUMIFS(Cash_Flow_3[Amount],Cash_Flow_3[Bulan],H79,Cash_Flow_3[Type],"Out",Cash_Flow_3[Category],"Mio")</f>
        <v>249000</v>
      </c>
      <c r="R79" s="29">
        <f>SUMIFS(Cash_Flow_3[Amount],Cash_Flow_3[Bulan],H79,Cash_Flow_3[Type],"Out",Cash_Flow_3[Category],"Sedekah")</f>
        <v>129000</v>
      </c>
      <c r="S79" s="29">
        <f>SUMIFS(Cash_Flow_3[Amount],Cash_Flow_3[Bulan],H79,Cash_Flow_3[Type],"Out",Cash_Flow_3[Category],"Zela")</f>
        <v>24100</v>
      </c>
      <c r="T79" s="29">
        <f>SUMIFS(Cash_Flow_3[Amount],Cash_Flow_3[Bulan],H79,Cash_Flow_3[Type],"Out",Cash_Flow_3[Category],"Iqbal")</f>
        <v>121000</v>
      </c>
    </row>
    <row r="80" spans="1:20" ht="22.5" customHeight="1" x14ac:dyDescent="0.2">
      <c r="A80" s="23">
        <v>46055</v>
      </c>
      <c r="B80" s="24" t="s">
        <v>649</v>
      </c>
      <c r="C80" s="25" t="s">
        <v>43</v>
      </c>
      <c r="D80" s="25" t="s">
        <v>44</v>
      </c>
      <c r="E80" s="25" t="s">
        <v>3</v>
      </c>
      <c r="F80" s="26">
        <v>250000</v>
      </c>
      <c r="G80" s="27"/>
      <c r="H80" s="28">
        <f t="shared" si="0"/>
        <v>46054</v>
      </c>
      <c r="I80" s="29">
        <f>SUMIFS(Cash_Flow_3[Amount],Cash_Flow_3[Bulan],H80,Cash_Flow_3[Type],"In")</f>
        <v>7073728</v>
      </c>
      <c r="J80" s="29">
        <f>SUMIFS(Cash_Flow_3[Amount],Cash_Flow_3[Bulan],H80,Cash_Flow_3[Type],"Out")</f>
        <v>6908733</v>
      </c>
      <c r="K80" s="29">
        <f>SUMIFS(Cash_Flow_3[Amount],Cash_Flow_3[Bulan],H80,Cash_Flow_3[Type],"Out",Cash_Flow_3[Category],"Fix")</f>
        <v>2440568</v>
      </c>
      <c r="L80" s="29">
        <f>SUMIFS(Cash_Flow_3[Amount],Cash_Flow_3[Bulan],H80,Cash_Flow_3[Type],"Out",Cash_Flow_3[Category],"Bathroom")</f>
        <v>34500</v>
      </c>
      <c r="M80" s="29">
        <f>SUMIFS(Cash_Flow_3[Amount],Cash_Flow_3[Bulan],H80,Cash_Flow_3[Type],"Out",Cash_Flow_3[Category],"Alfa")</f>
        <v>293800</v>
      </c>
      <c r="N80" s="29">
        <f>SUMIFS(Cash_Flow_3[Amount],Cash_Flow_3[Bulan],H80,Cash_Flow_3[Type],"Out",Cash_Flow_3[Category],"Jajan")</f>
        <v>364000</v>
      </c>
      <c r="O80" s="29">
        <f>SUMIFS(Cash_Flow_3[Amount],Cash_Flow_3[Bulan],H80,Cash_Flow_3[Type],"Out",Cash_Flow_3[Category],"Kitchen")</f>
        <v>992724</v>
      </c>
      <c r="P80" s="29">
        <f>SUMIFS(Cash_Flow_3[Amount],Cash_Flow_3[Bulan],H80,Cash_Flow_3[Type],"Out",Cash_Flow_3[Category],"Loandry")</f>
        <v>41600</v>
      </c>
      <c r="Q80" s="29">
        <f>SUMIFS(Cash_Flow_3[Amount],Cash_Flow_3[Bulan],H80,Cash_Flow_3[Type],"Out",Cash_Flow_3[Category],"Mio")</f>
        <v>249000</v>
      </c>
      <c r="R80" s="29">
        <f>SUMIFS(Cash_Flow_3[Amount],Cash_Flow_3[Bulan],H80,Cash_Flow_3[Type],"Out",Cash_Flow_3[Category],"Sedekah")</f>
        <v>129000</v>
      </c>
      <c r="S80" s="29">
        <f>SUMIFS(Cash_Flow_3[Amount],Cash_Flow_3[Bulan],H80,Cash_Flow_3[Type],"Out",Cash_Flow_3[Category],"Zela")</f>
        <v>24100</v>
      </c>
      <c r="T80" s="29">
        <f>SUMIFS(Cash_Flow_3[Amount],Cash_Flow_3[Bulan],H80,Cash_Flow_3[Type],"Out",Cash_Flow_3[Category],"Iqbal")</f>
        <v>121000</v>
      </c>
    </row>
    <row r="81" spans="1:20" ht="22.5" customHeight="1" x14ac:dyDescent="0.2">
      <c r="A81" s="23">
        <v>46055</v>
      </c>
      <c r="B81" s="24" t="s">
        <v>108</v>
      </c>
      <c r="C81" s="25" t="s">
        <v>43</v>
      </c>
      <c r="D81" s="25" t="s">
        <v>44</v>
      </c>
      <c r="E81" s="25" t="s">
        <v>0</v>
      </c>
      <c r="F81" s="26">
        <v>30000</v>
      </c>
      <c r="G81" s="27"/>
      <c r="H81" s="28">
        <f t="shared" si="0"/>
        <v>46054</v>
      </c>
      <c r="I81" s="29">
        <f>SUMIFS(Cash_Flow_3[Amount],Cash_Flow_3[Bulan],H81,Cash_Flow_3[Type],"In")</f>
        <v>7073728</v>
      </c>
      <c r="J81" s="29">
        <f>SUMIFS(Cash_Flow_3[Amount],Cash_Flow_3[Bulan],H81,Cash_Flow_3[Type],"Out")</f>
        <v>6908733</v>
      </c>
      <c r="K81" s="29">
        <f>SUMIFS(Cash_Flow_3[Amount],Cash_Flow_3[Bulan],H81,Cash_Flow_3[Type],"Out",Cash_Flow_3[Category],"Fix")</f>
        <v>2440568</v>
      </c>
      <c r="L81" s="29">
        <f>SUMIFS(Cash_Flow_3[Amount],Cash_Flow_3[Bulan],H81,Cash_Flow_3[Type],"Out",Cash_Flow_3[Category],"Bathroom")</f>
        <v>34500</v>
      </c>
      <c r="M81" s="29">
        <f>SUMIFS(Cash_Flow_3[Amount],Cash_Flow_3[Bulan],H81,Cash_Flow_3[Type],"Out",Cash_Flow_3[Category],"Alfa")</f>
        <v>293800</v>
      </c>
      <c r="N81" s="29">
        <f>SUMIFS(Cash_Flow_3[Amount],Cash_Flow_3[Bulan],H81,Cash_Flow_3[Type],"Out",Cash_Flow_3[Category],"Jajan")</f>
        <v>364000</v>
      </c>
      <c r="O81" s="29">
        <f>SUMIFS(Cash_Flow_3[Amount],Cash_Flow_3[Bulan],H81,Cash_Flow_3[Type],"Out",Cash_Flow_3[Category],"Kitchen")</f>
        <v>992724</v>
      </c>
      <c r="P81" s="29">
        <f>SUMIFS(Cash_Flow_3[Amount],Cash_Flow_3[Bulan],H81,Cash_Flow_3[Type],"Out",Cash_Flow_3[Category],"Loandry")</f>
        <v>41600</v>
      </c>
      <c r="Q81" s="29">
        <f>SUMIFS(Cash_Flow_3[Amount],Cash_Flow_3[Bulan],H81,Cash_Flow_3[Type],"Out",Cash_Flow_3[Category],"Mio")</f>
        <v>249000</v>
      </c>
      <c r="R81" s="29">
        <f>SUMIFS(Cash_Flow_3[Amount],Cash_Flow_3[Bulan],H81,Cash_Flow_3[Type],"Out",Cash_Flow_3[Category],"Sedekah")</f>
        <v>129000</v>
      </c>
      <c r="S81" s="29">
        <f>SUMIFS(Cash_Flow_3[Amount],Cash_Flow_3[Bulan],H81,Cash_Flow_3[Type],"Out",Cash_Flow_3[Category],"Zela")</f>
        <v>24100</v>
      </c>
      <c r="T81" s="29">
        <f>SUMIFS(Cash_Flow_3[Amount],Cash_Flow_3[Bulan],H81,Cash_Flow_3[Type],"Out",Cash_Flow_3[Category],"Iqbal")</f>
        <v>121000</v>
      </c>
    </row>
    <row r="82" spans="1:20" ht="22.5" customHeight="1" x14ac:dyDescent="0.2">
      <c r="A82" s="23">
        <v>46055</v>
      </c>
      <c r="B82" s="24" t="s">
        <v>109</v>
      </c>
      <c r="C82" s="25" t="s">
        <v>43</v>
      </c>
      <c r="D82" s="25" t="s">
        <v>39</v>
      </c>
      <c r="E82" s="25" t="s">
        <v>9</v>
      </c>
      <c r="F82" s="26">
        <v>90386</v>
      </c>
      <c r="G82" s="27"/>
      <c r="H82" s="28">
        <f t="shared" si="0"/>
        <v>46054</v>
      </c>
      <c r="I82" s="29">
        <f>SUMIFS(Cash_Flow_3[Amount],Cash_Flow_3[Bulan],H82,Cash_Flow_3[Type],"In")</f>
        <v>7073728</v>
      </c>
      <c r="J82" s="29">
        <f>SUMIFS(Cash_Flow_3[Amount],Cash_Flow_3[Bulan],H82,Cash_Flow_3[Type],"Out")</f>
        <v>6908733</v>
      </c>
      <c r="K82" s="29">
        <f>SUMIFS(Cash_Flow_3[Amount],Cash_Flow_3[Bulan],H82,Cash_Flow_3[Type],"Out",Cash_Flow_3[Category],"Fix")</f>
        <v>2440568</v>
      </c>
      <c r="L82" s="29">
        <f>SUMIFS(Cash_Flow_3[Amount],Cash_Flow_3[Bulan],H82,Cash_Flow_3[Type],"Out",Cash_Flow_3[Category],"Bathroom")</f>
        <v>34500</v>
      </c>
      <c r="M82" s="29">
        <f>SUMIFS(Cash_Flow_3[Amount],Cash_Flow_3[Bulan],H82,Cash_Flow_3[Type],"Out",Cash_Flow_3[Category],"Alfa")</f>
        <v>293800</v>
      </c>
      <c r="N82" s="29">
        <f>SUMIFS(Cash_Flow_3[Amount],Cash_Flow_3[Bulan],H82,Cash_Flow_3[Type],"Out",Cash_Flow_3[Category],"Jajan")</f>
        <v>364000</v>
      </c>
      <c r="O82" s="29">
        <f>SUMIFS(Cash_Flow_3[Amount],Cash_Flow_3[Bulan],H82,Cash_Flow_3[Type],"Out",Cash_Flow_3[Category],"Kitchen")</f>
        <v>992724</v>
      </c>
      <c r="P82" s="29">
        <f>SUMIFS(Cash_Flow_3[Amount],Cash_Flow_3[Bulan],H82,Cash_Flow_3[Type],"Out",Cash_Flow_3[Category],"Loandry")</f>
        <v>41600</v>
      </c>
      <c r="Q82" s="29">
        <f>SUMIFS(Cash_Flow_3[Amount],Cash_Flow_3[Bulan],H82,Cash_Flow_3[Type],"Out",Cash_Flow_3[Category],"Mio")</f>
        <v>249000</v>
      </c>
      <c r="R82" s="29">
        <f>SUMIFS(Cash_Flow_3[Amount],Cash_Flow_3[Bulan],H82,Cash_Flow_3[Type],"Out",Cash_Flow_3[Category],"Sedekah")</f>
        <v>129000</v>
      </c>
      <c r="S82" s="29">
        <f>SUMIFS(Cash_Flow_3[Amount],Cash_Flow_3[Bulan],H82,Cash_Flow_3[Type],"Out",Cash_Flow_3[Category],"Zela")</f>
        <v>24100</v>
      </c>
      <c r="T82" s="29">
        <f>SUMIFS(Cash_Flow_3[Amount],Cash_Flow_3[Bulan],H82,Cash_Flow_3[Type],"Out",Cash_Flow_3[Category],"Iqbal")</f>
        <v>121000</v>
      </c>
    </row>
    <row r="83" spans="1:20" ht="22.5" customHeight="1" x14ac:dyDescent="0.2">
      <c r="A83" s="23">
        <v>46055</v>
      </c>
      <c r="B83" s="24" t="s">
        <v>662</v>
      </c>
      <c r="C83" s="25" t="s">
        <v>46</v>
      </c>
      <c r="D83" s="25" t="s">
        <v>44</v>
      </c>
      <c r="E83" s="25" t="s">
        <v>3</v>
      </c>
      <c r="F83" s="26">
        <v>116000</v>
      </c>
      <c r="G83" s="27"/>
      <c r="H83" s="28">
        <f t="shared" si="0"/>
        <v>46054</v>
      </c>
      <c r="I83" s="29">
        <f>SUMIFS(Cash_Flow_3[Amount],Cash_Flow_3[Bulan],H83,Cash_Flow_3[Type],"In")</f>
        <v>7073728</v>
      </c>
      <c r="J83" s="29">
        <f>SUMIFS(Cash_Flow_3[Amount],Cash_Flow_3[Bulan],H83,Cash_Flow_3[Type],"Out")</f>
        <v>6908733</v>
      </c>
      <c r="K83" s="29">
        <f>SUMIFS(Cash_Flow_3[Amount],Cash_Flow_3[Bulan],H83,Cash_Flow_3[Type],"Out",Cash_Flow_3[Category],"Fix")</f>
        <v>2440568</v>
      </c>
      <c r="L83" s="29">
        <f>SUMIFS(Cash_Flow_3[Amount],Cash_Flow_3[Bulan],H83,Cash_Flow_3[Type],"Out",Cash_Flow_3[Category],"Bathroom")</f>
        <v>34500</v>
      </c>
      <c r="M83" s="29">
        <f>SUMIFS(Cash_Flow_3[Amount],Cash_Flow_3[Bulan],H83,Cash_Flow_3[Type],"Out",Cash_Flow_3[Category],"Alfa")</f>
        <v>293800</v>
      </c>
      <c r="N83" s="29">
        <f>SUMIFS(Cash_Flow_3[Amount],Cash_Flow_3[Bulan],H83,Cash_Flow_3[Type],"Out",Cash_Flow_3[Category],"Jajan")</f>
        <v>364000</v>
      </c>
      <c r="O83" s="29">
        <f>SUMIFS(Cash_Flow_3[Amount],Cash_Flow_3[Bulan],H83,Cash_Flow_3[Type],"Out",Cash_Flow_3[Category],"Kitchen")</f>
        <v>992724</v>
      </c>
      <c r="P83" s="29">
        <f>SUMIFS(Cash_Flow_3[Amount],Cash_Flow_3[Bulan],H83,Cash_Flow_3[Type],"Out",Cash_Flow_3[Category],"Loandry")</f>
        <v>41600</v>
      </c>
      <c r="Q83" s="29">
        <f>SUMIFS(Cash_Flow_3[Amount],Cash_Flow_3[Bulan],H83,Cash_Flow_3[Type],"Out",Cash_Flow_3[Category],"Mio")</f>
        <v>249000</v>
      </c>
      <c r="R83" s="29">
        <f>SUMIFS(Cash_Flow_3[Amount],Cash_Flow_3[Bulan],H83,Cash_Flow_3[Type],"Out",Cash_Flow_3[Category],"Sedekah")</f>
        <v>129000</v>
      </c>
      <c r="S83" s="29">
        <f>SUMIFS(Cash_Flow_3[Amount],Cash_Flow_3[Bulan],H83,Cash_Flow_3[Type],"Out",Cash_Flow_3[Category],"Zela")</f>
        <v>24100</v>
      </c>
      <c r="T83" s="29">
        <f>SUMIFS(Cash_Flow_3[Amount],Cash_Flow_3[Bulan],H83,Cash_Flow_3[Type],"Out",Cash_Flow_3[Category],"Iqbal")</f>
        <v>121000</v>
      </c>
    </row>
    <row r="84" spans="1:20" ht="22.5" customHeight="1" x14ac:dyDescent="0.2">
      <c r="A84" s="23">
        <v>46055</v>
      </c>
      <c r="B84" s="24" t="s">
        <v>113</v>
      </c>
      <c r="C84" s="25" t="s">
        <v>43</v>
      </c>
      <c r="D84" s="25" t="s">
        <v>44</v>
      </c>
      <c r="E84" s="25" t="s">
        <v>1</v>
      </c>
      <c r="F84" s="26">
        <v>53800</v>
      </c>
      <c r="G84" s="27"/>
      <c r="H84" s="28">
        <f t="shared" si="0"/>
        <v>46054</v>
      </c>
      <c r="I84" s="29">
        <f>SUMIFS(Cash_Flow_3[Amount],Cash_Flow_3[Bulan],H84,Cash_Flow_3[Type],"In")</f>
        <v>7073728</v>
      </c>
      <c r="J84" s="29">
        <f>SUMIFS(Cash_Flow_3[Amount],Cash_Flow_3[Bulan],H84,Cash_Flow_3[Type],"Out")</f>
        <v>6908733</v>
      </c>
      <c r="K84" s="29">
        <f>SUMIFS(Cash_Flow_3[Amount],Cash_Flow_3[Bulan],H84,Cash_Flow_3[Type],"Out",Cash_Flow_3[Category],"Fix")</f>
        <v>2440568</v>
      </c>
      <c r="L84" s="29">
        <f>SUMIFS(Cash_Flow_3[Amount],Cash_Flow_3[Bulan],H84,Cash_Flow_3[Type],"Out",Cash_Flow_3[Category],"Bathroom")</f>
        <v>34500</v>
      </c>
      <c r="M84" s="29">
        <f>SUMIFS(Cash_Flow_3[Amount],Cash_Flow_3[Bulan],H84,Cash_Flow_3[Type],"Out",Cash_Flow_3[Category],"Alfa")</f>
        <v>293800</v>
      </c>
      <c r="N84" s="29">
        <f>SUMIFS(Cash_Flow_3[Amount],Cash_Flow_3[Bulan],H84,Cash_Flow_3[Type],"Out",Cash_Flow_3[Category],"Jajan")</f>
        <v>364000</v>
      </c>
      <c r="O84" s="29">
        <f>SUMIFS(Cash_Flow_3[Amount],Cash_Flow_3[Bulan],H84,Cash_Flow_3[Type],"Out",Cash_Flow_3[Category],"Kitchen")</f>
        <v>992724</v>
      </c>
      <c r="P84" s="29">
        <f>SUMIFS(Cash_Flow_3[Amount],Cash_Flow_3[Bulan],H84,Cash_Flow_3[Type],"Out",Cash_Flow_3[Category],"Loandry")</f>
        <v>41600</v>
      </c>
      <c r="Q84" s="29">
        <f>SUMIFS(Cash_Flow_3[Amount],Cash_Flow_3[Bulan],H84,Cash_Flow_3[Type],"Out",Cash_Flow_3[Category],"Mio")</f>
        <v>249000</v>
      </c>
      <c r="R84" s="29">
        <f>SUMIFS(Cash_Flow_3[Amount],Cash_Flow_3[Bulan],H84,Cash_Flow_3[Type],"Out",Cash_Flow_3[Category],"Sedekah")</f>
        <v>129000</v>
      </c>
      <c r="S84" s="29">
        <f>SUMIFS(Cash_Flow_3[Amount],Cash_Flow_3[Bulan],H84,Cash_Flow_3[Type],"Out",Cash_Flow_3[Category],"Zela")</f>
        <v>24100</v>
      </c>
      <c r="T84" s="29">
        <f>SUMIFS(Cash_Flow_3[Amount],Cash_Flow_3[Bulan],H84,Cash_Flow_3[Type],"Out",Cash_Flow_3[Category],"Iqbal")</f>
        <v>121000</v>
      </c>
    </row>
    <row r="85" spans="1:20" ht="22.5" customHeight="1" x14ac:dyDescent="0.2">
      <c r="A85" s="23">
        <v>46055</v>
      </c>
      <c r="B85" s="24" t="s">
        <v>116</v>
      </c>
      <c r="C85" s="25" t="s">
        <v>43</v>
      </c>
      <c r="D85" s="25" t="s">
        <v>44</v>
      </c>
      <c r="E85" s="25" t="s">
        <v>5</v>
      </c>
      <c r="F85" s="26">
        <v>18100</v>
      </c>
      <c r="G85" s="27"/>
      <c r="H85" s="28">
        <f t="shared" si="0"/>
        <v>46054</v>
      </c>
      <c r="I85" s="29">
        <f>SUMIFS(Cash_Flow_3[Amount],Cash_Flow_3[Bulan],H85,Cash_Flow_3[Type],"In")</f>
        <v>7073728</v>
      </c>
      <c r="J85" s="29">
        <f>SUMIFS(Cash_Flow_3[Amount],Cash_Flow_3[Bulan],H85,Cash_Flow_3[Type],"Out")</f>
        <v>6908733</v>
      </c>
      <c r="K85" s="29">
        <f>SUMIFS(Cash_Flow_3[Amount],Cash_Flow_3[Bulan],H85,Cash_Flow_3[Type],"Out",Cash_Flow_3[Category],"Fix")</f>
        <v>2440568</v>
      </c>
      <c r="L85" s="29">
        <f>SUMIFS(Cash_Flow_3[Amount],Cash_Flow_3[Bulan],H85,Cash_Flow_3[Type],"Out",Cash_Flow_3[Category],"Bathroom")</f>
        <v>34500</v>
      </c>
      <c r="M85" s="29">
        <f>SUMIFS(Cash_Flow_3[Amount],Cash_Flow_3[Bulan],H85,Cash_Flow_3[Type],"Out",Cash_Flow_3[Category],"Alfa")</f>
        <v>293800</v>
      </c>
      <c r="N85" s="29">
        <f>SUMIFS(Cash_Flow_3[Amount],Cash_Flow_3[Bulan],H85,Cash_Flow_3[Type],"Out",Cash_Flow_3[Category],"Jajan")</f>
        <v>364000</v>
      </c>
      <c r="O85" s="29">
        <f>SUMIFS(Cash_Flow_3[Amount],Cash_Flow_3[Bulan],H85,Cash_Flow_3[Type],"Out",Cash_Flow_3[Category],"Kitchen")</f>
        <v>992724</v>
      </c>
      <c r="P85" s="29">
        <f>SUMIFS(Cash_Flow_3[Amount],Cash_Flow_3[Bulan],H85,Cash_Flow_3[Type],"Out",Cash_Flow_3[Category],"Loandry")</f>
        <v>41600</v>
      </c>
      <c r="Q85" s="29">
        <f>SUMIFS(Cash_Flow_3[Amount],Cash_Flow_3[Bulan],H85,Cash_Flow_3[Type],"Out",Cash_Flow_3[Category],"Mio")</f>
        <v>249000</v>
      </c>
      <c r="R85" s="29">
        <f>SUMIFS(Cash_Flow_3[Amount],Cash_Flow_3[Bulan],H85,Cash_Flow_3[Type],"Out",Cash_Flow_3[Category],"Sedekah")</f>
        <v>129000</v>
      </c>
      <c r="S85" s="29">
        <f>SUMIFS(Cash_Flow_3[Amount],Cash_Flow_3[Bulan],H85,Cash_Flow_3[Type],"Out",Cash_Flow_3[Category],"Zela")</f>
        <v>24100</v>
      </c>
      <c r="T85" s="29">
        <f>SUMIFS(Cash_Flow_3[Amount],Cash_Flow_3[Bulan],H85,Cash_Flow_3[Type],"Out",Cash_Flow_3[Category],"Iqbal")</f>
        <v>121000</v>
      </c>
    </row>
    <row r="86" spans="1:20" ht="22.5" customHeight="1" x14ac:dyDescent="0.2">
      <c r="A86" s="23">
        <v>46055</v>
      </c>
      <c r="B86" s="24" t="s">
        <v>118</v>
      </c>
      <c r="C86" s="25" t="s">
        <v>43</v>
      </c>
      <c r="D86" s="25" t="s">
        <v>44</v>
      </c>
      <c r="E86" s="25" t="s">
        <v>3</v>
      </c>
      <c r="F86" s="26">
        <v>50000</v>
      </c>
      <c r="G86" s="27"/>
      <c r="H86" s="28">
        <f t="shared" si="0"/>
        <v>46054</v>
      </c>
      <c r="I86" s="29">
        <f>SUMIFS(Cash_Flow_3[Amount],Cash_Flow_3[Bulan],H86,Cash_Flow_3[Type],"In")</f>
        <v>7073728</v>
      </c>
      <c r="J86" s="29">
        <f>SUMIFS(Cash_Flow_3[Amount],Cash_Flow_3[Bulan],H86,Cash_Flow_3[Type],"Out")</f>
        <v>6908733</v>
      </c>
      <c r="K86" s="29">
        <f>SUMIFS(Cash_Flow_3[Amount],Cash_Flow_3[Bulan],H86,Cash_Flow_3[Type],"Out",Cash_Flow_3[Category],"Fix")</f>
        <v>2440568</v>
      </c>
      <c r="L86" s="29">
        <f>SUMIFS(Cash_Flow_3[Amount],Cash_Flow_3[Bulan],H86,Cash_Flow_3[Type],"Out",Cash_Flow_3[Category],"Bathroom")</f>
        <v>34500</v>
      </c>
      <c r="M86" s="29">
        <f>SUMIFS(Cash_Flow_3[Amount],Cash_Flow_3[Bulan],H86,Cash_Flow_3[Type],"Out",Cash_Flow_3[Category],"Alfa")</f>
        <v>293800</v>
      </c>
      <c r="N86" s="29">
        <f>SUMIFS(Cash_Flow_3[Amount],Cash_Flow_3[Bulan],H86,Cash_Flow_3[Type],"Out",Cash_Flow_3[Category],"Jajan")</f>
        <v>364000</v>
      </c>
      <c r="O86" s="29">
        <f>SUMIFS(Cash_Flow_3[Amount],Cash_Flow_3[Bulan],H86,Cash_Flow_3[Type],"Out",Cash_Flow_3[Category],"Kitchen")</f>
        <v>992724</v>
      </c>
      <c r="P86" s="29">
        <f>SUMIFS(Cash_Flow_3[Amount],Cash_Flow_3[Bulan],H86,Cash_Flow_3[Type],"Out",Cash_Flow_3[Category],"Loandry")</f>
        <v>41600</v>
      </c>
      <c r="Q86" s="29">
        <f>SUMIFS(Cash_Flow_3[Amount],Cash_Flow_3[Bulan],H86,Cash_Flow_3[Type],"Out",Cash_Flow_3[Category],"Mio")</f>
        <v>249000</v>
      </c>
      <c r="R86" s="29">
        <f>SUMIFS(Cash_Flow_3[Amount],Cash_Flow_3[Bulan],H86,Cash_Flow_3[Type],"Out",Cash_Flow_3[Category],"Sedekah")</f>
        <v>129000</v>
      </c>
      <c r="S86" s="29">
        <f>SUMIFS(Cash_Flow_3[Amount],Cash_Flow_3[Bulan],H86,Cash_Flow_3[Type],"Out",Cash_Flow_3[Category],"Zela")</f>
        <v>24100</v>
      </c>
      <c r="T86" s="29">
        <f>SUMIFS(Cash_Flow_3[Amount],Cash_Flow_3[Bulan],H86,Cash_Flow_3[Type],"Out",Cash_Flow_3[Category],"Iqbal")</f>
        <v>121000</v>
      </c>
    </row>
    <row r="87" spans="1:20" ht="22.5" customHeight="1" x14ac:dyDescent="0.2">
      <c r="A87" s="23">
        <v>46056</v>
      </c>
      <c r="B87" s="24" t="s">
        <v>119</v>
      </c>
      <c r="C87" s="25" t="s">
        <v>43</v>
      </c>
      <c r="D87" s="25" t="s">
        <v>44</v>
      </c>
      <c r="E87" s="25" t="s">
        <v>7</v>
      </c>
      <c r="F87" s="26">
        <v>6000</v>
      </c>
      <c r="G87" s="27"/>
      <c r="H87" s="28">
        <f t="shared" si="0"/>
        <v>46054</v>
      </c>
      <c r="I87" s="29">
        <f>SUMIFS(Cash_Flow_3[Amount],Cash_Flow_3[Bulan],H87,Cash_Flow_3[Type],"In")</f>
        <v>7073728</v>
      </c>
      <c r="J87" s="29">
        <f>SUMIFS(Cash_Flow_3[Amount],Cash_Flow_3[Bulan],H87,Cash_Flow_3[Type],"Out")</f>
        <v>6908733</v>
      </c>
      <c r="K87" s="29">
        <f>SUMIFS(Cash_Flow_3[Amount],Cash_Flow_3[Bulan],H87,Cash_Flow_3[Type],"Out",Cash_Flow_3[Category],"Fix")</f>
        <v>2440568</v>
      </c>
      <c r="L87" s="29">
        <f>SUMIFS(Cash_Flow_3[Amount],Cash_Flow_3[Bulan],H87,Cash_Flow_3[Type],"Out",Cash_Flow_3[Category],"Bathroom")</f>
        <v>34500</v>
      </c>
      <c r="M87" s="29">
        <f>SUMIFS(Cash_Flow_3[Amount],Cash_Flow_3[Bulan],H87,Cash_Flow_3[Type],"Out",Cash_Flow_3[Category],"Alfa")</f>
        <v>293800</v>
      </c>
      <c r="N87" s="29">
        <f>SUMIFS(Cash_Flow_3[Amount],Cash_Flow_3[Bulan],H87,Cash_Flow_3[Type],"Out",Cash_Flow_3[Category],"Jajan")</f>
        <v>364000</v>
      </c>
      <c r="O87" s="29">
        <f>SUMIFS(Cash_Flow_3[Amount],Cash_Flow_3[Bulan],H87,Cash_Flow_3[Type],"Out",Cash_Flow_3[Category],"Kitchen")</f>
        <v>992724</v>
      </c>
      <c r="P87" s="29">
        <f>SUMIFS(Cash_Flow_3[Amount],Cash_Flow_3[Bulan],H87,Cash_Flow_3[Type],"Out",Cash_Flow_3[Category],"Loandry")</f>
        <v>41600</v>
      </c>
      <c r="Q87" s="29">
        <f>SUMIFS(Cash_Flow_3[Amount],Cash_Flow_3[Bulan],H87,Cash_Flow_3[Type],"Out",Cash_Flow_3[Category],"Mio")</f>
        <v>249000</v>
      </c>
      <c r="R87" s="29">
        <f>SUMIFS(Cash_Flow_3[Amount],Cash_Flow_3[Bulan],H87,Cash_Flow_3[Type],"Out",Cash_Flow_3[Category],"Sedekah")</f>
        <v>129000</v>
      </c>
      <c r="S87" s="29">
        <f>SUMIFS(Cash_Flow_3[Amount],Cash_Flow_3[Bulan],H87,Cash_Flow_3[Type],"Out",Cash_Flow_3[Category],"Zela")</f>
        <v>24100</v>
      </c>
      <c r="T87" s="29">
        <f>SUMIFS(Cash_Flow_3[Amount],Cash_Flow_3[Bulan],H87,Cash_Flow_3[Type],"Out",Cash_Flow_3[Category],"Iqbal")</f>
        <v>121000</v>
      </c>
    </row>
    <row r="88" spans="1:20" ht="22.5" customHeight="1" x14ac:dyDescent="0.2">
      <c r="A88" s="23">
        <v>46056</v>
      </c>
      <c r="B88" s="24" t="s">
        <v>121</v>
      </c>
      <c r="C88" s="25" t="s">
        <v>43</v>
      </c>
      <c r="D88" s="25" t="s">
        <v>44</v>
      </c>
      <c r="E88" s="25" t="s">
        <v>4</v>
      </c>
      <c r="F88" s="26">
        <v>15000</v>
      </c>
      <c r="G88" s="27"/>
      <c r="H88" s="28">
        <f t="shared" si="0"/>
        <v>46054</v>
      </c>
      <c r="I88" s="29">
        <f>SUMIFS(Cash_Flow_3[Amount],Cash_Flow_3[Bulan],H88,Cash_Flow_3[Type],"In")</f>
        <v>7073728</v>
      </c>
      <c r="J88" s="29">
        <f>SUMIFS(Cash_Flow_3[Amount],Cash_Flow_3[Bulan],H88,Cash_Flow_3[Type],"Out")</f>
        <v>6908733</v>
      </c>
      <c r="K88" s="29">
        <f>SUMIFS(Cash_Flow_3[Amount],Cash_Flow_3[Bulan],H88,Cash_Flow_3[Type],"Out",Cash_Flow_3[Category],"Fix")</f>
        <v>2440568</v>
      </c>
      <c r="L88" s="29">
        <f>SUMIFS(Cash_Flow_3[Amount],Cash_Flow_3[Bulan],H88,Cash_Flow_3[Type],"Out",Cash_Flow_3[Category],"Bathroom")</f>
        <v>34500</v>
      </c>
      <c r="M88" s="29">
        <f>SUMIFS(Cash_Flow_3[Amount],Cash_Flow_3[Bulan],H88,Cash_Flow_3[Type],"Out",Cash_Flow_3[Category],"Alfa")</f>
        <v>293800</v>
      </c>
      <c r="N88" s="29">
        <f>SUMIFS(Cash_Flow_3[Amount],Cash_Flow_3[Bulan],H88,Cash_Flow_3[Type],"Out",Cash_Flow_3[Category],"Jajan")</f>
        <v>364000</v>
      </c>
      <c r="O88" s="29">
        <f>SUMIFS(Cash_Flow_3[Amount],Cash_Flow_3[Bulan],H88,Cash_Flow_3[Type],"Out",Cash_Flow_3[Category],"Kitchen")</f>
        <v>992724</v>
      </c>
      <c r="P88" s="29">
        <f>SUMIFS(Cash_Flow_3[Amount],Cash_Flow_3[Bulan],H88,Cash_Flow_3[Type],"Out",Cash_Flow_3[Category],"Loandry")</f>
        <v>41600</v>
      </c>
      <c r="Q88" s="29">
        <f>SUMIFS(Cash_Flow_3[Amount],Cash_Flow_3[Bulan],H88,Cash_Flow_3[Type],"Out",Cash_Flow_3[Category],"Mio")</f>
        <v>249000</v>
      </c>
      <c r="R88" s="29">
        <f>SUMIFS(Cash_Flow_3[Amount],Cash_Flow_3[Bulan],H88,Cash_Flow_3[Type],"Out",Cash_Flow_3[Category],"Sedekah")</f>
        <v>129000</v>
      </c>
      <c r="S88" s="29">
        <f>SUMIFS(Cash_Flow_3[Amount],Cash_Flow_3[Bulan],H88,Cash_Flow_3[Type],"Out",Cash_Flow_3[Category],"Zela")</f>
        <v>24100</v>
      </c>
      <c r="T88" s="29">
        <f>SUMIFS(Cash_Flow_3[Amount],Cash_Flow_3[Bulan],H88,Cash_Flow_3[Type],"Out",Cash_Flow_3[Category],"Iqbal")</f>
        <v>121000</v>
      </c>
    </row>
    <row r="89" spans="1:20" ht="22.5" customHeight="1" x14ac:dyDescent="0.2">
      <c r="A89" s="23">
        <v>46056</v>
      </c>
      <c r="B89" s="24" t="s">
        <v>122</v>
      </c>
      <c r="C89" s="25" t="s">
        <v>43</v>
      </c>
      <c r="D89" s="25" t="s">
        <v>44</v>
      </c>
      <c r="E89" s="25" t="s">
        <v>1</v>
      </c>
      <c r="F89" s="26">
        <v>48500</v>
      </c>
      <c r="G89" s="27"/>
      <c r="H89" s="28">
        <f t="shared" si="0"/>
        <v>46054</v>
      </c>
      <c r="I89" s="29">
        <f>SUMIFS(Cash_Flow_3[Amount],Cash_Flow_3[Bulan],H89,Cash_Flow_3[Type],"In")</f>
        <v>7073728</v>
      </c>
      <c r="J89" s="29">
        <f>SUMIFS(Cash_Flow_3[Amount],Cash_Flow_3[Bulan],H89,Cash_Flow_3[Type],"Out")</f>
        <v>6908733</v>
      </c>
      <c r="K89" s="29">
        <f>SUMIFS(Cash_Flow_3[Amount],Cash_Flow_3[Bulan],H89,Cash_Flow_3[Type],"Out",Cash_Flow_3[Category],"Fix")</f>
        <v>2440568</v>
      </c>
      <c r="L89" s="29">
        <f>SUMIFS(Cash_Flow_3[Amount],Cash_Flow_3[Bulan],H89,Cash_Flow_3[Type],"Out",Cash_Flow_3[Category],"Bathroom")</f>
        <v>34500</v>
      </c>
      <c r="M89" s="29">
        <f>SUMIFS(Cash_Flow_3[Amount],Cash_Flow_3[Bulan],H89,Cash_Flow_3[Type],"Out",Cash_Flow_3[Category],"Alfa")</f>
        <v>293800</v>
      </c>
      <c r="N89" s="29">
        <f>SUMIFS(Cash_Flow_3[Amount],Cash_Flow_3[Bulan],H89,Cash_Flow_3[Type],"Out",Cash_Flow_3[Category],"Jajan")</f>
        <v>364000</v>
      </c>
      <c r="O89" s="29">
        <f>SUMIFS(Cash_Flow_3[Amount],Cash_Flow_3[Bulan],H89,Cash_Flow_3[Type],"Out",Cash_Flow_3[Category],"Kitchen")</f>
        <v>992724</v>
      </c>
      <c r="P89" s="29">
        <f>SUMIFS(Cash_Flow_3[Amount],Cash_Flow_3[Bulan],H89,Cash_Flow_3[Type],"Out",Cash_Flow_3[Category],"Loandry")</f>
        <v>41600</v>
      </c>
      <c r="Q89" s="29">
        <f>SUMIFS(Cash_Flow_3[Amount],Cash_Flow_3[Bulan],H89,Cash_Flow_3[Type],"Out",Cash_Flow_3[Category],"Mio")</f>
        <v>249000</v>
      </c>
      <c r="R89" s="29">
        <f>SUMIFS(Cash_Flow_3[Amount],Cash_Flow_3[Bulan],H89,Cash_Flow_3[Type],"Out",Cash_Flow_3[Category],"Sedekah")</f>
        <v>129000</v>
      </c>
      <c r="S89" s="29">
        <f>SUMIFS(Cash_Flow_3[Amount],Cash_Flow_3[Bulan],H89,Cash_Flow_3[Type],"Out",Cash_Flow_3[Category],"Zela")</f>
        <v>24100</v>
      </c>
      <c r="T89" s="29">
        <f>SUMIFS(Cash_Flow_3[Amount],Cash_Flow_3[Bulan],H89,Cash_Flow_3[Type],"Out",Cash_Flow_3[Category],"Iqbal")</f>
        <v>121000</v>
      </c>
    </row>
    <row r="90" spans="1:20" ht="22.5" customHeight="1" x14ac:dyDescent="0.2">
      <c r="A90" s="23">
        <v>46056</v>
      </c>
      <c r="B90" s="24" t="s">
        <v>526</v>
      </c>
      <c r="C90" s="25" t="s">
        <v>46</v>
      </c>
      <c r="D90" s="25" t="s">
        <v>44</v>
      </c>
      <c r="E90" s="25" t="s">
        <v>6</v>
      </c>
      <c r="F90" s="26">
        <v>20000</v>
      </c>
      <c r="G90" s="27"/>
      <c r="H90" s="28">
        <f t="shared" si="0"/>
        <v>46054</v>
      </c>
      <c r="I90" s="29">
        <f>SUMIFS(Cash_Flow_3[Amount],Cash_Flow_3[Bulan],H90,Cash_Flow_3[Type],"In")</f>
        <v>7073728</v>
      </c>
      <c r="J90" s="29">
        <f>SUMIFS(Cash_Flow_3[Amount],Cash_Flow_3[Bulan],H90,Cash_Flow_3[Type],"Out")</f>
        <v>6908733</v>
      </c>
      <c r="K90" s="29">
        <f>SUMIFS(Cash_Flow_3[Amount],Cash_Flow_3[Bulan],H90,Cash_Flow_3[Type],"Out",Cash_Flow_3[Category],"Fix")</f>
        <v>2440568</v>
      </c>
      <c r="L90" s="29">
        <f>SUMIFS(Cash_Flow_3[Amount],Cash_Flow_3[Bulan],H90,Cash_Flow_3[Type],"Out",Cash_Flow_3[Category],"Bathroom")</f>
        <v>34500</v>
      </c>
      <c r="M90" s="29">
        <f>SUMIFS(Cash_Flow_3[Amount],Cash_Flow_3[Bulan],H90,Cash_Flow_3[Type],"Out",Cash_Flow_3[Category],"Alfa")</f>
        <v>293800</v>
      </c>
      <c r="N90" s="29">
        <f>SUMIFS(Cash_Flow_3[Amount],Cash_Flow_3[Bulan],H90,Cash_Flow_3[Type],"Out",Cash_Flow_3[Category],"Jajan")</f>
        <v>364000</v>
      </c>
      <c r="O90" s="29">
        <f>SUMIFS(Cash_Flow_3[Amount],Cash_Flow_3[Bulan],H90,Cash_Flow_3[Type],"Out",Cash_Flow_3[Category],"Kitchen")</f>
        <v>992724</v>
      </c>
      <c r="P90" s="29">
        <f>SUMIFS(Cash_Flow_3[Amount],Cash_Flow_3[Bulan],H90,Cash_Flow_3[Type],"Out",Cash_Flow_3[Category],"Loandry")</f>
        <v>41600</v>
      </c>
      <c r="Q90" s="29">
        <f>SUMIFS(Cash_Flow_3[Amount],Cash_Flow_3[Bulan],H90,Cash_Flow_3[Type],"Out",Cash_Flow_3[Category],"Mio")</f>
        <v>249000</v>
      </c>
      <c r="R90" s="29">
        <f>SUMIFS(Cash_Flow_3[Amount],Cash_Flow_3[Bulan],H90,Cash_Flow_3[Type],"Out",Cash_Flow_3[Category],"Sedekah")</f>
        <v>129000</v>
      </c>
      <c r="S90" s="29">
        <f>SUMIFS(Cash_Flow_3[Amount],Cash_Flow_3[Bulan],H90,Cash_Flow_3[Type],"Out",Cash_Flow_3[Category],"Zela")</f>
        <v>24100</v>
      </c>
      <c r="T90" s="29">
        <f>SUMIFS(Cash_Flow_3[Amount],Cash_Flow_3[Bulan],H90,Cash_Flow_3[Type],"Out",Cash_Flow_3[Category],"Iqbal")</f>
        <v>121000</v>
      </c>
    </row>
    <row r="91" spans="1:20" ht="22.5" customHeight="1" x14ac:dyDescent="0.2">
      <c r="A91" s="23">
        <v>46056</v>
      </c>
      <c r="B91" s="24" t="s">
        <v>124</v>
      </c>
      <c r="C91" s="25" t="s">
        <v>46</v>
      </c>
      <c r="D91" s="25" t="s">
        <v>44</v>
      </c>
      <c r="E91" s="25" t="s">
        <v>3</v>
      </c>
      <c r="F91" s="26">
        <v>21000</v>
      </c>
      <c r="G91" s="27"/>
      <c r="H91" s="28">
        <f t="shared" si="0"/>
        <v>46054</v>
      </c>
      <c r="I91" s="29">
        <f>SUMIFS(Cash_Flow_3[Amount],Cash_Flow_3[Bulan],H91,Cash_Flow_3[Type],"In")</f>
        <v>7073728</v>
      </c>
      <c r="J91" s="29">
        <f>SUMIFS(Cash_Flow_3[Amount],Cash_Flow_3[Bulan],H91,Cash_Flow_3[Type],"Out")</f>
        <v>6908733</v>
      </c>
      <c r="K91" s="29">
        <f>SUMIFS(Cash_Flow_3[Amount],Cash_Flow_3[Bulan],H91,Cash_Flow_3[Type],"Out",Cash_Flow_3[Category],"Fix")</f>
        <v>2440568</v>
      </c>
      <c r="L91" s="29">
        <f>SUMIFS(Cash_Flow_3[Amount],Cash_Flow_3[Bulan],H91,Cash_Flow_3[Type],"Out",Cash_Flow_3[Category],"Bathroom")</f>
        <v>34500</v>
      </c>
      <c r="M91" s="29">
        <f>SUMIFS(Cash_Flow_3[Amount],Cash_Flow_3[Bulan],H91,Cash_Flow_3[Type],"Out",Cash_Flow_3[Category],"Alfa")</f>
        <v>293800</v>
      </c>
      <c r="N91" s="29">
        <f>SUMIFS(Cash_Flow_3[Amount],Cash_Flow_3[Bulan],H91,Cash_Flow_3[Type],"Out",Cash_Flow_3[Category],"Jajan")</f>
        <v>364000</v>
      </c>
      <c r="O91" s="29">
        <f>SUMIFS(Cash_Flow_3[Amount],Cash_Flow_3[Bulan],H91,Cash_Flow_3[Type],"Out",Cash_Flow_3[Category],"Kitchen")</f>
        <v>992724</v>
      </c>
      <c r="P91" s="29">
        <f>SUMIFS(Cash_Flow_3[Amount],Cash_Flow_3[Bulan],H91,Cash_Flow_3[Type],"Out",Cash_Flow_3[Category],"Loandry")</f>
        <v>41600</v>
      </c>
      <c r="Q91" s="29">
        <f>SUMIFS(Cash_Flow_3[Amount],Cash_Flow_3[Bulan],H91,Cash_Flow_3[Type],"Out",Cash_Flow_3[Category],"Mio")</f>
        <v>249000</v>
      </c>
      <c r="R91" s="29">
        <f>SUMIFS(Cash_Flow_3[Amount],Cash_Flow_3[Bulan],H91,Cash_Flow_3[Type],"Out",Cash_Flow_3[Category],"Sedekah")</f>
        <v>129000</v>
      </c>
      <c r="S91" s="29">
        <f>SUMIFS(Cash_Flow_3[Amount],Cash_Flow_3[Bulan],H91,Cash_Flow_3[Type],"Out",Cash_Flow_3[Category],"Zela")</f>
        <v>24100</v>
      </c>
      <c r="T91" s="29">
        <f>SUMIFS(Cash_Flow_3[Amount],Cash_Flow_3[Bulan],H91,Cash_Flow_3[Type],"Out",Cash_Flow_3[Category],"Iqbal")</f>
        <v>121000</v>
      </c>
    </row>
    <row r="92" spans="1:20" ht="22.5" customHeight="1" x14ac:dyDescent="0.2">
      <c r="A92" s="23">
        <v>46057</v>
      </c>
      <c r="B92" s="24" t="s">
        <v>125</v>
      </c>
      <c r="C92" s="25" t="s">
        <v>46</v>
      </c>
      <c r="D92" s="25" t="s">
        <v>44</v>
      </c>
      <c r="E92" s="25" t="s">
        <v>1</v>
      </c>
      <c r="F92" s="26">
        <v>5000</v>
      </c>
      <c r="G92" s="27"/>
      <c r="H92" s="28">
        <f t="shared" si="0"/>
        <v>46054</v>
      </c>
      <c r="I92" s="29">
        <f>SUMIFS(Cash_Flow_3[Amount],Cash_Flow_3[Bulan],H92,Cash_Flow_3[Type],"In")</f>
        <v>7073728</v>
      </c>
      <c r="J92" s="29">
        <f>SUMIFS(Cash_Flow_3[Amount],Cash_Flow_3[Bulan],H92,Cash_Flow_3[Type],"Out")</f>
        <v>6908733</v>
      </c>
      <c r="K92" s="29">
        <f>SUMIFS(Cash_Flow_3[Amount],Cash_Flow_3[Bulan],H92,Cash_Flow_3[Type],"Out",Cash_Flow_3[Category],"Fix")</f>
        <v>2440568</v>
      </c>
      <c r="L92" s="29">
        <f>SUMIFS(Cash_Flow_3[Amount],Cash_Flow_3[Bulan],H92,Cash_Flow_3[Type],"Out",Cash_Flow_3[Category],"Bathroom")</f>
        <v>34500</v>
      </c>
      <c r="M92" s="29">
        <f>SUMIFS(Cash_Flow_3[Amount],Cash_Flow_3[Bulan],H92,Cash_Flow_3[Type],"Out",Cash_Flow_3[Category],"Alfa")</f>
        <v>293800</v>
      </c>
      <c r="N92" s="29">
        <f>SUMIFS(Cash_Flow_3[Amount],Cash_Flow_3[Bulan],H92,Cash_Flow_3[Type],"Out",Cash_Flow_3[Category],"Jajan")</f>
        <v>364000</v>
      </c>
      <c r="O92" s="29">
        <f>SUMIFS(Cash_Flow_3[Amount],Cash_Flow_3[Bulan],H92,Cash_Flow_3[Type],"Out",Cash_Flow_3[Category],"Kitchen")</f>
        <v>992724</v>
      </c>
      <c r="P92" s="29">
        <f>SUMIFS(Cash_Flow_3[Amount],Cash_Flow_3[Bulan],H92,Cash_Flow_3[Type],"Out",Cash_Flow_3[Category],"Loandry")</f>
        <v>41600</v>
      </c>
      <c r="Q92" s="29">
        <f>SUMIFS(Cash_Flow_3[Amount],Cash_Flow_3[Bulan],H92,Cash_Flow_3[Type],"Out",Cash_Flow_3[Category],"Mio")</f>
        <v>249000</v>
      </c>
      <c r="R92" s="29">
        <f>SUMIFS(Cash_Flow_3[Amount],Cash_Flow_3[Bulan],H92,Cash_Flow_3[Type],"Out",Cash_Flow_3[Category],"Sedekah")</f>
        <v>129000</v>
      </c>
      <c r="S92" s="29">
        <f>SUMIFS(Cash_Flow_3[Amount],Cash_Flow_3[Bulan],H92,Cash_Flow_3[Type],"Out",Cash_Flow_3[Category],"Zela")</f>
        <v>24100</v>
      </c>
      <c r="T92" s="29">
        <f>SUMIFS(Cash_Flow_3[Amount],Cash_Flow_3[Bulan],H92,Cash_Flow_3[Type],"Out",Cash_Flow_3[Category],"Iqbal")</f>
        <v>121000</v>
      </c>
    </row>
    <row r="93" spans="1:20" ht="22.5" customHeight="1" x14ac:dyDescent="0.2">
      <c r="A93" s="23">
        <v>46057</v>
      </c>
      <c r="B93" s="24" t="s">
        <v>482</v>
      </c>
      <c r="C93" s="25" t="s">
        <v>43</v>
      </c>
      <c r="D93" s="25" t="s">
        <v>9</v>
      </c>
      <c r="E93" s="25" t="s">
        <v>9</v>
      </c>
      <c r="F93" s="26">
        <v>100000</v>
      </c>
      <c r="G93" s="27"/>
      <c r="H93" s="28">
        <f t="shared" si="0"/>
        <v>46054</v>
      </c>
      <c r="I93" s="29">
        <f>SUMIFS(Cash_Flow_3[Amount],Cash_Flow_3[Bulan],H93,Cash_Flow_3[Type],"In")</f>
        <v>7073728</v>
      </c>
      <c r="J93" s="29">
        <f>SUMIFS(Cash_Flow_3[Amount],Cash_Flow_3[Bulan],H93,Cash_Flow_3[Type],"Out")</f>
        <v>6908733</v>
      </c>
      <c r="K93" s="29">
        <f>SUMIFS(Cash_Flow_3[Amount],Cash_Flow_3[Bulan],H93,Cash_Flow_3[Type],"Out",Cash_Flow_3[Category],"Fix")</f>
        <v>2440568</v>
      </c>
      <c r="L93" s="29">
        <f>SUMIFS(Cash_Flow_3[Amount],Cash_Flow_3[Bulan],H93,Cash_Flow_3[Type],"Out",Cash_Flow_3[Category],"Bathroom")</f>
        <v>34500</v>
      </c>
      <c r="M93" s="29">
        <f>SUMIFS(Cash_Flow_3[Amount],Cash_Flow_3[Bulan],H93,Cash_Flow_3[Type],"Out",Cash_Flow_3[Category],"Alfa")</f>
        <v>293800</v>
      </c>
      <c r="N93" s="29">
        <f>SUMIFS(Cash_Flow_3[Amount],Cash_Flow_3[Bulan],H93,Cash_Flow_3[Type],"Out",Cash_Flow_3[Category],"Jajan")</f>
        <v>364000</v>
      </c>
      <c r="O93" s="29">
        <f>SUMIFS(Cash_Flow_3[Amount],Cash_Flow_3[Bulan],H93,Cash_Flow_3[Type],"Out",Cash_Flow_3[Category],"Kitchen")</f>
        <v>992724</v>
      </c>
      <c r="P93" s="29">
        <f>SUMIFS(Cash_Flow_3[Amount],Cash_Flow_3[Bulan],H93,Cash_Flow_3[Type],"Out",Cash_Flow_3[Category],"Loandry")</f>
        <v>41600</v>
      </c>
      <c r="Q93" s="29">
        <f>SUMIFS(Cash_Flow_3[Amount],Cash_Flow_3[Bulan],H93,Cash_Flow_3[Type],"Out",Cash_Flow_3[Category],"Mio")</f>
        <v>249000</v>
      </c>
      <c r="R93" s="29">
        <f>SUMIFS(Cash_Flow_3[Amount],Cash_Flow_3[Bulan],H93,Cash_Flow_3[Type],"Out",Cash_Flow_3[Category],"Sedekah")</f>
        <v>129000</v>
      </c>
      <c r="S93" s="29">
        <f>SUMIFS(Cash_Flow_3[Amount],Cash_Flow_3[Bulan],H93,Cash_Flow_3[Type],"Out",Cash_Flow_3[Category],"Zela")</f>
        <v>24100</v>
      </c>
      <c r="T93" s="29">
        <f>SUMIFS(Cash_Flow_3[Amount],Cash_Flow_3[Bulan],H93,Cash_Flow_3[Type],"Out",Cash_Flow_3[Category],"Iqbal")</f>
        <v>121000</v>
      </c>
    </row>
    <row r="94" spans="1:20" ht="22.5" customHeight="1" x14ac:dyDescent="0.2">
      <c r="A94" s="23">
        <v>46057</v>
      </c>
      <c r="B94" s="24" t="s">
        <v>704</v>
      </c>
      <c r="C94" s="25" t="s">
        <v>46</v>
      </c>
      <c r="D94" s="25" t="s">
        <v>9</v>
      </c>
      <c r="E94" s="25" t="s">
        <v>9</v>
      </c>
      <c r="F94" s="26">
        <v>100000</v>
      </c>
      <c r="G94" s="27"/>
      <c r="H94" s="28">
        <f t="shared" si="0"/>
        <v>46054</v>
      </c>
      <c r="I94" s="29">
        <f>SUMIFS(Cash_Flow_3[Amount],Cash_Flow_3[Bulan],H94,Cash_Flow_3[Type],"In")</f>
        <v>7073728</v>
      </c>
      <c r="J94" s="29">
        <f>SUMIFS(Cash_Flow_3[Amount],Cash_Flow_3[Bulan],H94,Cash_Flow_3[Type],"Out")</f>
        <v>6908733</v>
      </c>
      <c r="K94" s="29">
        <f>SUMIFS(Cash_Flow_3[Amount],Cash_Flow_3[Bulan],H94,Cash_Flow_3[Type],"Out",Cash_Flow_3[Category],"Fix")</f>
        <v>2440568</v>
      </c>
      <c r="L94" s="29">
        <f>SUMIFS(Cash_Flow_3[Amount],Cash_Flow_3[Bulan],H94,Cash_Flow_3[Type],"Out",Cash_Flow_3[Category],"Bathroom")</f>
        <v>34500</v>
      </c>
      <c r="M94" s="29">
        <f>SUMIFS(Cash_Flow_3[Amount],Cash_Flow_3[Bulan],H94,Cash_Flow_3[Type],"Out",Cash_Flow_3[Category],"Alfa")</f>
        <v>293800</v>
      </c>
      <c r="N94" s="29">
        <f>SUMIFS(Cash_Flow_3[Amount],Cash_Flow_3[Bulan],H94,Cash_Flow_3[Type],"Out",Cash_Flow_3[Category],"Jajan")</f>
        <v>364000</v>
      </c>
      <c r="O94" s="29">
        <f>SUMIFS(Cash_Flow_3[Amount],Cash_Flow_3[Bulan],H94,Cash_Flow_3[Type],"Out",Cash_Flow_3[Category],"Kitchen")</f>
        <v>992724</v>
      </c>
      <c r="P94" s="29">
        <f>SUMIFS(Cash_Flow_3[Amount],Cash_Flow_3[Bulan],H94,Cash_Flow_3[Type],"Out",Cash_Flow_3[Category],"Loandry")</f>
        <v>41600</v>
      </c>
      <c r="Q94" s="29">
        <f>SUMIFS(Cash_Flow_3[Amount],Cash_Flow_3[Bulan],H94,Cash_Flow_3[Type],"Out",Cash_Flow_3[Category],"Mio")</f>
        <v>249000</v>
      </c>
      <c r="R94" s="29">
        <f>SUMIFS(Cash_Flow_3[Amount],Cash_Flow_3[Bulan],H94,Cash_Flow_3[Type],"Out",Cash_Flow_3[Category],"Sedekah")</f>
        <v>129000</v>
      </c>
      <c r="S94" s="29">
        <f>SUMIFS(Cash_Flow_3[Amount],Cash_Flow_3[Bulan],H94,Cash_Flow_3[Type],"Out",Cash_Flow_3[Category],"Zela")</f>
        <v>24100</v>
      </c>
      <c r="T94" s="29">
        <f>SUMIFS(Cash_Flow_3[Amount],Cash_Flow_3[Bulan],H94,Cash_Flow_3[Type],"Out",Cash_Flow_3[Category],"Iqbal")</f>
        <v>121000</v>
      </c>
    </row>
    <row r="95" spans="1:20" ht="22.5" customHeight="1" x14ac:dyDescent="0.2">
      <c r="A95" s="23">
        <v>46057</v>
      </c>
      <c r="B95" s="24" t="s">
        <v>130</v>
      </c>
      <c r="C95" s="25" t="s">
        <v>46</v>
      </c>
      <c r="D95" s="25" t="s">
        <v>44</v>
      </c>
      <c r="E95" s="25" t="s">
        <v>2</v>
      </c>
      <c r="F95" s="26">
        <v>27000</v>
      </c>
      <c r="G95" s="27"/>
      <c r="H95" s="28">
        <f t="shared" si="0"/>
        <v>46054</v>
      </c>
      <c r="I95" s="29">
        <f>SUMIFS(Cash_Flow_3[Amount],Cash_Flow_3[Bulan],H95,Cash_Flow_3[Type],"In")</f>
        <v>7073728</v>
      </c>
      <c r="J95" s="29">
        <f>SUMIFS(Cash_Flow_3[Amount],Cash_Flow_3[Bulan],H95,Cash_Flow_3[Type],"Out")</f>
        <v>6908733</v>
      </c>
      <c r="K95" s="29">
        <f>SUMIFS(Cash_Flow_3[Amount],Cash_Flow_3[Bulan],H95,Cash_Flow_3[Type],"Out",Cash_Flow_3[Category],"Fix")</f>
        <v>2440568</v>
      </c>
      <c r="L95" s="29">
        <f>SUMIFS(Cash_Flow_3[Amount],Cash_Flow_3[Bulan],H95,Cash_Flow_3[Type],"Out",Cash_Flow_3[Category],"Bathroom")</f>
        <v>34500</v>
      </c>
      <c r="M95" s="29">
        <f>SUMIFS(Cash_Flow_3[Amount],Cash_Flow_3[Bulan],H95,Cash_Flow_3[Type],"Out",Cash_Flow_3[Category],"Alfa")</f>
        <v>293800</v>
      </c>
      <c r="N95" s="29">
        <f>SUMIFS(Cash_Flow_3[Amount],Cash_Flow_3[Bulan],H95,Cash_Flow_3[Type],"Out",Cash_Flow_3[Category],"Jajan")</f>
        <v>364000</v>
      </c>
      <c r="O95" s="29">
        <f>SUMIFS(Cash_Flow_3[Amount],Cash_Flow_3[Bulan],H95,Cash_Flow_3[Type],"Out",Cash_Flow_3[Category],"Kitchen")</f>
        <v>992724</v>
      </c>
      <c r="P95" s="29">
        <f>SUMIFS(Cash_Flow_3[Amount],Cash_Flow_3[Bulan],H95,Cash_Flow_3[Type],"Out",Cash_Flow_3[Category],"Loandry")</f>
        <v>41600</v>
      </c>
      <c r="Q95" s="29">
        <f>SUMIFS(Cash_Flow_3[Amount],Cash_Flow_3[Bulan],H95,Cash_Flow_3[Type],"Out",Cash_Flow_3[Category],"Mio")</f>
        <v>249000</v>
      </c>
      <c r="R95" s="29">
        <f>SUMIFS(Cash_Flow_3[Amount],Cash_Flow_3[Bulan],H95,Cash_Flow_3[Type],"Out",Cash_Flow_3[Category],"Sedekah")</f>
        <v>129000</v>
      </c>
      <c r="S95" s="29">
        <f>SUMIFS(Cash_Flow_3[Amount],Cash_Flow_3[Bulan],H95,Cash_Flow_3[Type],"Out",Cash_Flow_3[Category],"Zela")</f>
        <v>24100</v>
      </c>
      <c r="T95" s="29">
        <f>SUMIFS(Cash_Flow_3[Amount],Cash_Flow_3[Bulan],H95,Cash_Flow_3[Type],"Out",Cash_Flow_3[Category],"Iqbal")</f>
        <v>121000</v>
      </c>
    </row>
    <row r="96" spans="1:20" ht="22.5" customHeight="1" x14ac:dyDescent="0.2">
      <c r="A96" s="23">
        <v>46058</v>
      </c>
      <c r="B96" s="24" t="s">
        <v>73</v>
      </c>
      <c r="C96" s="25" t="s">
        <v>46</v>
      </c>
      <c r="D96" s="25" t="s">
        <v>44</v>
      </c>
      <c r="E96" s="25" t="s">
        <v>9</v>
      </c>
      <c r="F96" s="26">
        <v>50000</v>
      </c>
      <c r="G96" s="27"/>
      <c r="H96" s="28">
        <f t="shared" si="0"/>
        <v>46054</v>
      </c>
      <c r="I96" s="29">
        <f>SUMIFS(Cash_Flow_3[Amount],Cash_Flow_3[Bulan],H96,Cash_Flow_3[Type],"In")</f>
        <v>7073728</v>
      </c>
      <c r="J96" s="29">
        <f>SUMIFS(Cash_Flow_3[Amount],Cash_Flow_3[Bulan],H96,Cash_Flow_3[Type],"Out")</f>
        <v>6908733</v>
      </c>
      <c r="K96" s="29">
        <f>SUMIFS(Cash_Flow_3[Amount],Cash_Flow_3[Bulan],H96,Cash_Flow_3[Type],"Out",Cash_Flow_3[Category],"Fix")</f>
        <v>2440568</v>
      </c>
      <c r="L96" s="29">
        <f>SUMIFS(Cash_Flow_3[Amount],Cash_Flow_3[Bulan],H96,Cash_Flow_3[Type],"Out",Cash_Flow_3[Category],"Bathroom")</f>
        <v>34500</v>
      </c>
      <c r="M96" s="29">
        <f>SUMIFS(Cash_Flow_3[Amount],Cash_Flow_3[Bulan],H96,Cash_Flow_3[Type],"Out",Cash_Flow_3[Category],"Alfa")</f>
        <v>293800</v>
      </c>
      <c r="N96" s="29">
        <f>SUMIFS(Cash_Flow_3[Amount],Cash_Flow_3[Bulan],H96,Cash_Flow_3[Type],"Out",Cash_Flow_3[Category],"Jajan")</f>
        <v>364000</v>
      </c>
      <c r="O96" s="29">
        <f>SUMIFS(Cash_Flow_3[Amount],Cash_Flow_3[Bulan],H96,Cash_Flow_3[Type],"Out",Cash_Flow_3[Category],"Kitchen")</f>
        <v>992724</v>
      </c>
      <c r="P96" s="29">
        <f>SUMIFS(Cash_Flow_3[Amount],Cash_Flow_3[Bulan],H96,Cash_Flow_3[Type],"Out",Cash_Flow_3[Category],"Loandry")</f>
        <v>41600</v>
      </c>
      <c r="Q96" s="29">
        <f>SUMIFS(Cash_Flow_3[Amount],Cash_Flow_3[Bulan],H96,Cash_Flow_3[Type],"Out",Cash_Flow_3[Category],"Mio")</f>
        <v>249000</v>
      </c>
      <c r="R96" s="29">
        <f>SUMIFS(Cash_Flow_3[Amount],Cash_Flow_3[Bulan],H96,Cash_Flow_3[Type],"Out",Cash_Flow_3[Category],"Sedekah")</f>
        <v>129000</v>
      </c>
      <c r="S96" s="29">
        <f>SUMIFS(Cash_Flow_3[Amount],Cash_Flow_3[Bulan],H96,Cash_Flow_3[Type],"Out",Cash_Flow_3[Category],"Zela")</f>
        <v>24100</v>
      </c>
      <c r="T96" s="29">
        <f>SUMIFS(Cash_Flow_3[Amount],Cash_Flow_3[Bulan],H96,Cash_Flow_3[Type],"Out",Cash_Flow_3[Category],"Iqbal")</f>
        <v>121000</v>
      </c>
    </row>
    <row r="97" spans="1:20" ht="22.5" customHeight="1" x14ac:dyDescent="0.2">
      <c r="A97" s="23">
        <v>46057</v>
      </c>
      <c r="B97" s="24" t="s">
        <v>131</v>
      </c>
      <c r="C97" s="25" t="s">
        <v>46</v>
      </c>
      <c r="D97" s="25" t="s">
        <v>44</v>
      </c>
      <c r="E97" s="25" t="s">
        <v>3</v>
      </c>
      <c r="F97" s="26">
        <v>5000</v>
      </c>
      <c r="G97" s="27"/>
      <c r="H97" s="28">
        <f t="shared" si="0"/>
        <v>46054</v>
      </c>
      <c r="I97" s="29">
        <f>SUMIFS(Cash_Flow_3[Amount],Cash_Flow_3[Bulan],H97,Cash_Flow_3[Type],"In")</f>
        <v>7073728</v>
      </c>
      <c r="J97" s="29">
        <f>SUMIFS(Cash_Flow_3[Amount],Cash_Flow_3[Bulan],H97,Cash_Flow_3[Type],"Out")</f>
        <v>6908733</v>
      </c>
      <c r="K97" s="29">
        <f>SUMIFS(Cash_Flow_3[Amount],Cash_Flow_3[Bulan],H97,Cash_Flow_3[Type],"Out",Cash_Flow_3[Category],"Fix")</f>
        <v>2440568</v>
      </c>
      <c r="L97" s="29">
        <f>SUMIFS(Cash_Flow_3[Amount],Cash_Flow_3[Bulan],H97,Cash_Flow_3[Type],"Out",Cash_Flow_3[Category],"Bathroom")</f>
        <v>34500</v>
      </c>
      <c r="M97" s="29">
        <f>SUMIFS(Cash_Flow_3[Amount],Cash_Flow_3[Bulan],H97,Cash_Flow_3[Type],"Out",Cash_Flow_3[Category],"Alfa")</f>
        <v>293800</v>
      </c>
      <c r="N97" s="29">
        <f>SUMIFS(Cash_Flow_3[Amount],Cash_Flow_3[Bulan],H97,Cash_Flow_3[Type],"Out",Cash_Flow_3[Category],"Jajan")</f>
        <v>364000</v>
      </c>
      <c r="O97" s="29">
        <f>SUMIFS(Cash_Flow_3[Amount],Cash_Flow_3[Bulan],H97,Cash_Flow_3[Type],"Out",Cash_Flow_3[Category],"Kitchen")</f>
        <v>992724</v>
      </c>
      <c r="P97" s="29">
        <f>SUMIFS(Cash_Flow_3[Amount],Cash_Flow_3[Bulan],H97,Cash_Flow_3[Type],"Out",Cash_Flow_3[Category],"Loandry")</f>
        <v>41600</v>
      </c>
      <c r="Q97" s="29">
        <f>SUMIFS(Cash_Flow_3[Amount],Cash_Flow_3[Bulan],H97,Cash_Flow_3[Type],"Out",Cash_Flow_3[Category],"Mio")</f>
        <v>249000</v>
      </c>
      <c r="R97" s="29">
        <f>SUMIFS(Cash_Flow_3[Amount],Cash_Flow_3[Bulan],H97,Cash_Flow_3[Type],"Out",Cash_Flow_3[Category],"Sedekah")</f>
        <v>129000</v>
      </c>
      <c r="S97" s="29">
        <f>SUMIFS(Cash_Flow_3[Amount],Cash_Flow_3[Bulan],H97,Cash_Flow_3[Type],"Out",Cash_Flow_3[Category],"Zela")</f>
        <v>24100</v>
      </c>
      <c r="T97" s="29">
        <f>SUMIFS(Cash_Flow_3[Amount],Cash_Flow_3[Bulan],H97,Cash_Flow_3[Type],"Out",Cash_Flow_3[Category],"Iqbal")</f>
        <v>121000</v>
      </c>
    </row>
    <row r="98" spans="1:20" ht="22.5" customHeight="1" x14ac:dyDescent="0.2">
      <c r="A98" s="23">
        <v>46059</v>
      </c>
      <c r="B98" s="24" t="s">
        <v>720</v>
      </c>
      <c r="C98" s="25" t="s">
        <v>46</v>
      </c>
      <c r="D98" s="25" t="s">
        <v>44</v>
      </c>
      <c r="E98" s="25" t="s">
        <v>10</v>
      </c>
      <c r="F98" s="26">
        <v>10000</v>
      </c>
      <c r="G98" s="27"/>
      <c r="H98" s="28">
        <f t="shared" si="0"/>
        <v>46054</v>
      </c>
      <c r="I98" s="29">
        <f>SUMIFS(Cash_Flow_3[Amount],Cash_Flow_3[Bulan],H98,Cash_Flow_3[Type],"In")</f>
        <v>7073728</v>
      </c>
      <c r="J98" s="29">
        <f>SUMIFS(Cash_Flow_3[Amount],Cash_Flow_3[Bulan],H98,Cash_Flow_3[Type],"Out")</f>
        <v>6908733</v>
      </c>
      <c r="K98" s="29">
        <f>SUMIFS(Cash_Flow_3[Amount],Cash_Flow_3[Bulan],H98,Cash_Flow_3[Type],"Out",Cash_Flow_3[Category],"Fix")</f>
        <v>2440568</v>
      </c>
      <c r="L98" s="29">
        <f>SUMIFS(Cash_Flow_3[Amount],Cash_Flow_3[Bulan],H98,Cash_Flow_3[Type],"Out",Cash_Flow_3[Category],"Bathroom")</f>
        <v>34500</v>
      </c>
      <c r="M98" s="29">
        <f>SUMIFS(Cash_Flow_3[Amount],Cash_Flow_3[Bulan],H98,Cash_Flow_3[Type],"Out",Cash_Flow_3[Category],"Alfa")</f>
        <v>293800</v>
      </c>
      <c r="N98" s="29">
        <f>SUMIFS(Cash_Flow_3[Amount],Cash_Flow_3[Bulan],H98,Cash_Flow_3[Type],"Out",Cash_Flow_3[Category],"Jajan")</f>
        <v>364000</v>
      </c>
      <c r="O98" s="29">
        <f>SUMIFS(Cash_Flow_3[Amount],Cash_Flow_3[Bulan],H98,Cash_Flow_3[Type],"Out",Cash_Flow_3[Category],"Kitchen")</f>
        <v>992724</v>
      </c>
      <c r="P98" s="29">
        <f>SUMIFS(Cash_Flow_3[Amount],Cash_Flow_3[Bulan],H98,Cash_Flow_3[Type],"Out",Cash_Flow_3[Category],"Loandry")</f>
        <v>41600</v>
      </c>
      <c r="Q98" s="29">
        <f>SUMIFS(Cash_Flow_3[Amount],Cash_Flow_3[Bulan],H98,Cash_Flow_3[Type],"Out",Cash_Flow_3[Category],"Mio")</f>
        <v>249000</v>
      </c>
      <c r="R98" s="29">
        <f>SUMIFS(Cash_Flow_3[Amount],Cash_Flow_3[Bulan],H98,Cash_Flow_3[Type],"Out",Cash_Flow_3[Category],"Sedekah")</f>
        <v>129000</v>
      </c>
      <c r="S98" s="29">
        <f>SUMIFS(Cash_Flow_3[Amount],Cash_Flow_3[Bulan],H98,Cash_Flow_3[Type],"Out",Cash_Flow_3[Category],"Zela")</f>
        <v>24100</v>
      </c>
      <c r="T98" s="29">
        <f>SUMIFS(Cash_Flow_3[Amount],Cash_Flow_3[Bulan],H98,Cash_Flow_3[Type],"Out",Cash_Flow_3[Category],"Iqbal")</f>
        <v>121000</v>
      </c>
    </row>
    <row r="99" spans="1:20" ht="22.5" customHeight="1" x14ac:dyDescent="0.2">
      <c r="A99" s="23">
        <v>46059</v>
      </c>
      <c r="B99" s="24" t="s">
        <v>724</v>
      </c>
      <c r="C99" s="25" t="s">
        <v>46</v>
      </c>
      <c r="D99" s="25" t="s">
        <v>44</v>
      </c>
      <c r="E99" s="25" t="s">
        <v>1</v>
      </c>
      <c r="F99" s="26">
        <v>7000</v>
      </c>
      <c r="G99" s="27"/>
      <c r="H99" s="28">
        <f t="shared" si="0"/>
        <v>46054</v>
      </c>
      <c r="I99" s="29">
        <f>SUMIFS(Cash_Flow_3[Amount],Cash_Flow_3[Bulan],H99,Cash_Flow_3[Type],"In")</f>
        <v>7073728</v>
      </c>
      <c r="J99" s="29">
        <f>SUMIFS(Cash_Flow_3[Amount],Cash_Flow_3[Bulan],H99,Cash_Flow_3[Type],"Out")</f>
        <v>6908733</v>
      </c>
      <c r="K99" s="29">
        <f>SUMIFS(Cash_Flow_3[Amount],Cash_Flow_3[Bulan],H99,Cash_Flow_3[Type],"Out",Cash_Flow_3[Category],"Fix")</f>
        <v>2440568</v>
      </c>
      <c r="L99" s="29">
        <f>SUMIFS(Cash_Flow_3[Amount],Cash_Flow_3[Bulan],H99,Cash_Flow_3[Type],"Out",Cash_Flow_3[Category],"Bathroom")</f>
        <v>34500</v>
      </c>
      <c r="M99" s="29">
        <f>SUMIFS(Cash_Flow_3[Amount],Cash_Flow_3[Bulan],H99,Cash_Flow_3[Type],"Out",Cash_Flow_3[Category],"Alfa")</f>
        <v>293800</v>
      </c>
      <c r="N99" s="29">
        <f>SUMIFS(Cash_Flow_3[Amount],Cash_Flow_3[Bulan],H99,Cash_Flow_3[Type],"Out",Cash_Flow_3[Category],"Jajan")</f>
        <v>364000</v>
      </c>
      <c r="O99" s="29">
        <f>SUMIFS(Cash_Flow_3[Amount],Cash_Flow_3[Bulan],H99,Cash_Flow_3[Type],"Out",Cash_Flow_3[Category],"Kitchen")</f>
        <v>992724</v>
      </c>
      <c r="P99" s="29">
        <f>SUMIFS(Cash_Flow_3[Amount],Cash_Flow_3[Bulan],H99,Cash_Flow_3[Type],"Out",Cash_Flow_3[Category],"Loandry")</f>
        <v>41600</v>
      </c>
      <c r="Q99" s="29">
        <f>SUMIFS(Cash_Flow_3[Amount],Cash_Flow_3[Bulan],H99,Cash_Flow_3[Type],"Out",Cash_Flow_3[Category],"Mio")</f>
        <v>249000</v>
      </c>
      <c r="R99" s="29">
        <f>SUMIFS(Cash_Flow_3[Amount],Cash_Flow_3[Bulan],H99,Cash_Flow_3[Type],"Out",Cash_Flow_3[Category],"Sedekah")</f>
        <v>129000</v>
      </c>
      <c r="S99" s="29">
        <f>SUMIFS(Cash_Flow_3[Amount],Cash_Flow_3[Bulan],H99,Cash_Flow_3[Type],"Out",Cash_Flow_3[Category],"Zela")</f>
        <v>24100</v>
      </c>
      <c r="T99" s="29">
        <f>SUMIFS(Cash_Flow_3[Amount],Cash_Flow_3[Bulan],H99,Cash_Flow_3[Type],"Out",Cash_Flow_3[Category],"Iqbal")</f>
        <v>121000</v>
      </c>
    </row>
    <row r="100" spans="1:20" ht="22.5" customHeight="1" x14ac:dyDescent="0.2">
      <c r="A100" s="23">
        <v>46059</v>
      </c>
      <c r="B100" s="24" t="s">
        <v>482</v>
      </c>
      <c r="C100" s="25" t="s">
        <v>43</v>
      </c>
      <c r="D100" s="25" t="s">
        <v>9</v>
      </c>
      <c r="E100" s="25" t="s">
        <v>9</v>
      </c>
      <c r="F100" s="26">
        <v>100000</v>
      </c>
      <c r="G100" s="27"/>
      <c r="H100" s="28">
        <f t="shared" si="0"/>
        <v>46054</v>
      </c>
      <c r="I100" s="29">
        <f>SUMIFS(Cash_Flow_3[Amount],Cash_Flow_3[Bulan],H100,Cash_Flow_3[Type],"In")</f>
        <v>7073728</v>
      </c>
      <c r="J100" s="29">
        <f>SUMIFS(Cash_Flow_3[Amount],Cash_Flow_3[Bulan],H100,Cash_Flow_3[Type],"Out")</f>
        <v>6908733</v>
      </c>
      <c r="K100" s="29">
        <f>SUMIFS(Cash_Flow_3[Amount],Cash_Flow_3[Bulan],H100,Cash_Flow_3[Type],"Out",Cash_Flow_3[Category],"Fix")</f>
        <v>2440568</v>
      </c>
      <c r="L100" s="29">
        <f>SUMIFS(Cash_Flow_3[Amount],Cash_Flow_3[Bulan],H100,Cash_Flow_3[Type],"Out",Cash_Flow_3[Category],"Bathroom")</f>
        <v>34500</v>
      </c>
      <c r="M100" s="29">
        <f>SUMIFS(Cash_Flow_3[Amount],Cash_Flow_3[Bulan],H100,Cash_Flow_3[Type],"Out",Cash_Flow_3[Category],"Alfa")</f>
        <v>293800</v>
      </c>
      <c r="N100" s="29">
        <f>SUMIFS(Cash_Flow_3[Amount],Cash_Flow_3[Bulan],H100,Cash_Flow_3[Type],"Out",Cash_Flow_3[Category],"Jajan")</f>
        <v>364000</v>
      </c>
      <c r="O100" s="29">
        <f>SUMIFS(Cash_Flow_3[Amount],Cash_Flow_3[Bulan],H100,Cash_Flow_3[Type],"Out",Cash_Flow_3[Category],"Kitchen")</f>
        <v>992724</v>
      </c>
      <c r="P100" s="29">
        <f>SUMIFS(Cash_Flow_3[Amount],Cash_Flow_3[Bulan],H100,Cash_Flow_3[Type],"Out",Cash_Flow_3[Category],"Loandry")</f>
        <v>41600</v>
      </c>
      <c r="Q100" s="29">
        <f>SUMIFS(Cash_Flow_3[Amount],Cash_Flow_3[Bulan],H100,Cash_Flow_3[Type],"Out",Cash_Flow_3[Category],"Mio")</f>
        <v>249000</v>
      </c>
      <c r="R100" s="29">
        <f>SUMIFS(Cash_Flow_3[Amount],Cash_Flow_3[Bulan],H100,Cash_Flow_3[Type],"Out",Cash_Flow_3[Category],"Sedekah")</f>
        <v>129000</v>
      </c>
      <c r="S100" s="29">
        <f>SUMIFS(Cash_Flow_3[Amount],Cash_Flow_3[Bulan],H100,Cash_Flow_3[Type],"Out",Cash_Flow_3[Category],"Zela")</f>
        <v>24100</v>
      </c>
      <c r="T100" s="29">
        <f>SUMIFS(Cash_Flow_3[Amount],Cash_Flow_3[Bulan],H100,Cash_Flow_3[Type],"Out",Cash_Flow_3[Category],"Iqbal")</f>
        <v>121000</v>
      </c>
    </row>
    <row r="101" spans="1:20" ht="22.5" customHeight="1" x14ac:dyDescent="0.2">
      <c r="A101" s="23">
        <v>46059</v>
      </c>
      <c r="B101" s="24" t="s">
        <v>484</v>
      </c>
      <c r="C101" s="25" t="s">
        <v>46</v>
      </c>
      <c r="D101" s="25" t="s">
        <v>9</v>
      </c>
      <c r="E101" s="25" t="s">
        <v>9</v>
      </c>
      <c r="F101" s="26">
        <v>100000</v>
      </c>
      <c r="G101" s="27"/>
      <c r="H101" s="28">
        <f t="shared" si="0"/>
        <v>46054</v>
      </c>
      <c r="I101" s="29">
        <f>SUMIFS(Cash_Flow_3[Amount],Cash_Flow_3[Bulan],H101,Cash_Flow_3[Type],"In")</f>
        <v>7073728</v>
      </c>
      <c r="J101" s="29">
        <f>SUMIFS(Cash_Flow_3[Amount],Cash_Flow_3[Bulan],H101,Cash_Flow_3[Type],"Out")</f>
        <v>6908733</v>
      </c>
      <c r="K101" s="29">
        <f>SUMIFS(Cash_Flow_3[Amount],Cash_Flow_3[Bulan],H101,Cash_Flow_3[Type],"Out",Cash_Flow_3[Category],"Fix")</f>
        <v>2440568</v>
      </c>
      <c r="L101" s="29">
        <f>SUMIFS(Cash_Flow_3[Amount],Cash_Flow_3[Bulan],H101,Cash_Flow_3[Type],"Out",Cash_Flow_3[Category],"Bathroom")</f>
        <v>34500</v>
      </c>
      <c r="M101" s="29">
        <f>SUMIFS(Cash_Flow_3[Amount],Cash_Flow_3[Bulan],H101,Cash_Flow_3[Type],"Out",Cash_Flow_3[Category],"Alfa")</f>
        <v>293800</v>
      </c>
      <c r="N101" s="29">
        <f>SUMIFS(Cash_Flow_3[Amount],Cash_Flow_3[Bulan],H101,Cash_Flow_3[Type],"Out",Cash_Flow_3[Category],"Jajan")</f>
        <v>364000</v>
      </c>
      <c r="O101" s="29">
        <f>SUMIFS(Cash_Flow_3[Amount],Cash_Flow_3[Bulan],H101,Cash_Flow_3[Type],"Out",Cash_Flow_3[Category],"Kitchen")</f>
        <v>992724</v>
      </c>
      <c r="P101" s="29">
        <f>SUMIFS(Cash_Flow_3[Amount],Cash_Flow_3[Bulan],H101,Cash_Flow_3[Type],"Out",Cash_Flow_3[Category],"Loandry")</f>
        <v>41600</v>
      </c>
      <c r="Q101" s="29">
        <f>SUMIFS(Cash_Flow_3[Amount],Cash_Flow_3[Bulan],H101,Cash_Flow_3[Type],"Out",Cash_Flow_3[Category],"Mio")</f>
        <v>249000</v>
      </c>
      <c r="R101" s="29">
        <f>SUMIFS(Cash_Flow_3[Amount],Cash_Flow_3[Bulan],H101,Cash_Flow_3[Type],"Out",Cash_Flow_3[Category],"Sedekah")</f>
        <v>129000</v>
      </c>
      <c r="S101" s="29">
        <f>SUMIFS(Cash_Flow_3[Amount],Cash_Flow_3[Bulan],H101,Cash_Flow_3[Type],"Out",Cash_Flow_3[Category],"Zela")</f>
        <v>24100</v>
      </c>
      <c r="T101" s="29">
        <f>SUMIFS(Cash_Flow_3[Amount],Cash_Flow_3[Bulan],H101,Cash_Flow_3[Type],"Out",Cash_Flow_3[Category],"Iqbal")</f>
        <v>121000</v>
      </c>
    </row>
    <row r="102" spans="1:20" ht="22.5" customHeight="1" x14ac:dyDescent="0.2">
      <c r="A102" s="23">
        <v>46059</v>
      </c>
      <c r="B102" s="24" t="s">
        <v>139</v>
      </c>
      <c r="C102" s="25" t="s">
        <v>46</v>
      </c>
      <c r="D102" s="25" t="s">
        <v>44</v>
      </c>
      <c r="E102" s="25" t="s">
        <v>2</v>
      </c>
      <c r="F102" s="26">
        <v>18000</v>
      </c>
      <c r="G102" s="27"/>
      <c r="H102" s="28">
        <f t="shared" si="0"/>
        <v>46054</v>
      </c>
      <c r="I102" s="29">
        <f>SUMIFS(Cash_Flow_3[Amount],Cash_Flow_3[Bulan],H102,Cash_Flow_3[Type],"In")</f>
        <v>7073728</v>
      </c>
      <c r="J102" s="29">
        <f>SUMIFS(Cash_Flow_3[Amount],Cash_Flow_3[Bulan],H102,Cash_Flow_3[Type],"Out")</f>
        <v>6908733</v>
      </c>
      <c r="K102" s="29">
        <f>SUMIFS(Cash_Flow_3[Amount],Cash_Flow_3[Bulan],H102,Cash_Flow_3[Type],"Out",Cash_Flow_3[Category],"Fix")</f>
        <v>2440568</v>
      </c>
      <c r="L102" s="29">
        <f>SUMIFS(Cash_Flow_3[Amount],Cash_Flow_3[Bulan],H102,Cash_Flow_3[Type],"Out",Cash_Flow_3[Category],"Bathroom")</f>
        <v>34500</v>
      </c>
      <c r="M102" s="29">
        <f>SUMIFS(Cash_Flow_3[Amount],Cash_Flow_3[Bulan],H102,Cash_Flow_3[Type],"Out",Cash_Flow_3[Category],"Alfa")</f>
        <v>293800</v>
      </c>
      <c r="N102" s="29">
        <f>SUMIFS(Cash_Flow_3[Amount],Cash_Flow_3[Bulan],H102,Cash_Flow_3[Type],"Out",Cash_Flow_3[Category],"Jajan")</f>
        <v>364000</v>
      </c>
      <c r="O102" s="29">
        <f>SUMIFS(Cash_Flow_3[Amount],Cash_Flow_3[Bulan],H102,Cash_Flow_3[Type],"Out",Cash_Flow_3[Category],"Kitchen")</f>
        <v>992724</v>
      </c>
      <c r="P102" s="29">
        <f>SUMIFS(Cash_Flow_3[Amount],Cash_Flow_3[Bulan],H102,Cash_Flow_3[Type],"Out",Cash_Flow_3[Category],"Loandry")</f>
        <v>41600</v>
      </c>
      <c r="Q102" s="29">
        <f>SUMIFS(Cash_Flow_3[Amount],Cash_Flow_3[Bulan],H102,Cash_Flow_3[Type],"Out",Cash_Flow_3[Category],"Mio")</f>
        <v>249000</v>
      </c>
      <c r="R102" s="29">
        <f>SUMIFS(Cash_Flow_3[Amount],Cash_Flow_3[Bulan],H102,Cash_Flow_3[Type],"Out",Cash_Flow_3[Category],"Sedekah")</f>
        <v>129000</v>
      </c>
      <c r="S102" s="29">
        <f>SUMIFS(Cash_Flow_3[Amount],Cash_Flow_3[Bulan],H102,Cash_Flow_3[Type],"Out",Cash_Flow_3[Category],"Zela")</f>
        <v>24100</v>
      </c>
      <c r="T102" s="29">
        <f>SUMIFS(Cash_Flow_3[Amount],Cash_Flow_3[Bulan],H102,Cash_Flow_3[Type],"Out",Cash_Flow_3[Category],"Iqbal")</f>
        <v>121000</v>
      </c>
    </row>
    <row r="103" spans="1:20" ht="22.5" customHeight="1" x14ac:dyDescent="0.2">
      <c r="A103" s="23">
        <v>46060</v>
      </c>
      <c r="B103" s="24" t="s">
        <v>140</v>
      </c>
      <c r="C103" s="25" t="s">
        <v>46</v>
      </c>
      <c r="D103" s="25" t="s">
        <v>44</v>
      </c>
      <c r="E103" s="25" t="s">
        <v>3</v>
      </c>
      <c r="F103" s="26">
        <v>22000</v>
      </c>
      <c r="G103" s="27"/>
      <c r="H103" s="28">
        <f t="shared" si="0"/>
        <v>46054</v>
      </c>
      <c r="I103" s="29">
        <f>SUMIFS(Cash_Flow_3[Amount],Cash_Flow_3[Bulan],H103,Cash_Flow_3[Type],"In")</f>
        <v>7073728</v>
      </c>
      <c r="J103" s="29">
        <f>SUMIFS(Cash_Flow_3[Amount],Cash_Flow_3[Bulan],H103,Cash_Flow_3[Type],"Out")</f>
        <v>6908733</v>
      </c>
      <c r="K103" s="29">
        <f>SUMIFS(Cash_Flow_3[Amount],Cash_Flow_3[Bulan],H103,Cash_Flow_3[Type],"Out",Cash_Flow_3[Category],"Fix")</f>
        <v>2440568</v>
      </c>
      <c r="L103" s="29">
        <f>SUMIFS(Cash_Flow_3[Amount],Cash_Flow_3[Bulan],H103,Cash_Flow_3[Type],"Out",Cash_Flow_3[Category],"Bathroom")</f>
        <v>34500</v>
      </c>
      <c r="M103" s="29">
        <f>SUMIFS(Cash_Flow_3[Amount],Cash_Flow_3[Bulan],H103,Cash_Flow_3[Type],"Out",Cash_Flow_3[Category],"Alfa")</f>
        <v>293800</v>
      </c>
      <c r="N103" s="29">
        <f>SUMIFS(Cash_Flow_3[Amount],Cash_Flow_3[Bulan],H103,Cash_Flow_3[Type],"Out",Cash_Flow_3[Category],"Jajan")</f>
        <v>364000</v>
      </c>
      <c r="O103" s="29">
        <f>SUMIFS(Cash_Flow_3[Amount],Cash_Flow_3[Bulan],H103,Cash_Flow_3[Type],"Out",Cash_Flow_3[Category],"Kitchen")</f>
        <v>992724</v>
      </c>
      <c r="P103" s="29">
        <f>SUMIFS(Cash_Flow_3[Amount],Cash_Flow_3[Bulan],H103,Cash_Flow_3[Type],"Out",Cash_Flow_3[Category],"Loandry")</f>
        <v>41600</v>
      </c>
      <c r="Q103" s="29">
        <f>SUMIFS(Cash_Flow_3[Amount],Cash_Flow_3[Bulan],H103,Cash_Flow_3[Type],"Out",Cash_Flow_3[Category],"Mio")</f>
        <v>249000</v>
      </c>
      <c r="R103" s="29">
        <f>SUMIFS(Cash_Flow_3[Amount],Cash_Flow_3[Bulan],H103,Cash_Flow_3[Type],"Out",Cash_Flow_3[Category],"Sedekah")</f>
        <v>129000</v>
      </c>
      <c r="S103" s="29">
        <f>SUMIFS(Cash_Flow_3[Amount],Cash_Flow_3[Bulan],H103,Cash_Flow_3[Type],"Out",Cash_Flow_3[Category],"Zela")</f>
        <v>24100</v>
      </c>
      <c r="T103" s="29">
        <f>SUMIFS(Cash_Flow_3[Amount],Cash_Flow_3[Bulan],H103,Cash_Flow_3[Type],"Out",Cash_Flow_3[Category],"Iqbal")</f>
        <v>121000</v>
      </c>
    </row>
    <row r="104" spans="1:20" ht="22.5" customHeight="1" x14ac:dyDescent="0.2">
      <c r="A104" s="23">
        <v>46060</v>
      </c>
      <c r="B104" s="24" t="s">
        <v>744</v>
      </c>
      <c r="C104" s="25" t="s">
        <v>46</v>
      </c>
      <c r="D104" s="25" t="s">
        <v>44</v>
      </c>
      <c r="E104" s="25" t="s">
        <v>3</v>
      </c>
      <c r="F104" s="26">
        <v>6500</v>
      </c>
      <c r="G104" s="27"/>
      <c r="H104" s="28">
        <f t="shared" si="0"/>
        <v>46054</v>
      </c>
      <c r="I104" s="29">
        <f>SUMIFS(Cash_Flow_3[Amount],Cash_Flow_3[Bulan],H104,Cash_Flow_3[Type],"In")</f>
        <v>7073728</v>
      </c>
      <c r="J104" s="29">
        <f>SUMIFS(Cash_Flow_3[Amount],Cash_Flow_3[Bulan],H104,Cash_Flow_3[Type],"Out")</f>
        <v>6908733</v>
      </c>
      <c r="K104" s="29">
        <f>SUMIFS(Cash_Flow_3[Amount],Cash_Flow_3[Bulan],H104,Cash_Flow_3[Type],"Out",Cash_Flow_3[Category],"Fix")</f>
        <v>2440568</v>
      </c>
      <c r="L104" s="29">
        <f>SUMIFS(Cash_Flow_3[Amount],Cash_Flow_3[Bulan],H104,Cash_Flow_3[Type],"Out",Cash_Flow_3[Category],"Bathroom")</f>
        <v>34500</v>
      </c>
      <c r="M104" s="29">
        <f>SUMIFS(Cash_Flow_3[Amount],Cash_Flow_3[Bulan],H104,Cash_Flow_3[Type],"Out",Cash_Flow_3[Category],"Alfa")</f>
        <v>293800</v>
      </c>
      <c r="N104" s="29">
        <f>SUMIFS(Cash_Flow_3[Amount],Cash_Flow_3[Bulan],H104,Cash_Flow_3[Type],"Out",Cash_Flow_3[Category],"Jajan")</f>
        <v>364000</v>
      </c>
      <c r="O104" s="29">
        <f>SUMIFS(Cash_Flow_3[Amount],Cash_Flow_3[Bulan],H104,Cash_Flow_3[Type],"Out",Cash_Flow_3[Category],"Kitchen")</f>
        <v>992724</v>
      </c>
      <c r="P104" s="29">
        <f>SUMIFS(Cash_Flow_3[Amount],Cash_Flow_3[Bulan],H104,Cash_Flow_3[Type],"Out",Cash_Flow_3[Category],"Loandry")</f>
        <v>41600</v>
      </c>
      <c r="Q104" s="29">
        <f>SUMIFS(Cash_Flow_3[Amount],Cash_Flow_3[Bulan],H104,Cash_Flow_3[Type],"Out",Cash_Flow_3[Category],"Mio")</f>
        <v>249000</v>
      </c>
      <c r="R104" s="29">
        <f>SUMIFS(Cash_Flow_3[Amount],Cash_Flow_3[Bulan],H104,Cash_Flow_3[Type],"Out",Cash_Flow_3[Category],"Sedekah")</f>
        <v>129000</v>
      </c>
      <c r="S104" s="29">
        <f>SUMIFS(Cash_Flow_3[Amount],Cash_Flow_3[Bulan],H104,Cash_Flow_3[Type],"Out",Cash_Flow_3[Category],"Zela")</f>
        <v>24100</v>
      </c>
      <c r="T104" s="29">
        <f>SUMIFS(Cash_Flow_3[Amount],Cash_Flow_3[Bulan],H104,Cash_Flow_3[Type],"Out",Cash_Flow_3[Category],"Iqbal")</f>
        <v>121000</v>
      </c>
    </row>
    <row r="105" spans="1:20" ht="22.5" customHeight="1" x14ac:dyDescent="0.2">
      <c r="A105" s="23">
        <v>46060</v>
      </c>
      <c r="B105" s="24" t="s">
        <v>746</v>
      </c>
      <c r="C105" s="25" t="s">
        <v>46</v>
      </c>
      <c r="D105" s="25" t="s">
        <v>44</v>
      </c>
      <c r="E105" s="25" t="s">
        <v>1</v>
      </c>
      <c r="F105" s="26">
        <v>20000</v>
      </c>
      <c r="G105" s="27"/>
      <c r="H105" s="28">
        <f t="shared" si="0"/>
        <v>46054</v>
      </c>
      <c r="I105" s="29">
        <f>SUMIFS(Cash_Flow_3[Amount],Cash_Flow_3[Bulan],H105,Cash_Flow_3[Type],"In")</f>
        <v>7073728</v>
      </c>
      <c r="J105" s="29">
        <f>SUMIFS(Cash_Flow_3[Amount],Cash_Flow_3[Bulan],H105,Cash_Flow_3[Type],"Out")</f>
        <v>6908733</v>
      </c>
      <c r="K105" s="29">
        <f>SUMIFS(Cash_Flow_3[Amount],Cash_Flow_3[Bulan],H105,Cash_Flow_3[Type],"Out",Cash_Flow_3[Category],"Fix")</f>
        <v>2440568</v>
      </c>
      <c r="L105" s="29">
        <f>SUMIFS(Cash_Flow_3[Amount],Cash_Flow_3[Bulan],H105,Cash_Flow_3[Type],"Out",Cash_Flow_3[Category],"Bathroom")</f>
        <v>34500</v>
      </c>
      <c r="M105" s="29">
        <f>SUMIFS(Cash_Flow_3[Amount],Cash_Flow_3[Bulan],H105,Cash_Flow_3[Type],"Out",Cash_Flow_3[Category],"Alfa")</f>
        <v>293800</v>
      </c>
      <c r="N105" s="29">
        <f>SUMIFS(Cash_Flow_3[Amount],Cash_Flow_3[Bulan],H105,Cash_Flow_3[Type],"Out",Cash_Flow_3[Category],"Jajan")</f>
        <v>364000</v>
      </c>
      <c r="O105" s="29">
        <f>SUMIFS(Cash_Flow_3[Amount],Cash_Flow_3[Bulan],H105,Cash_Flow_3[Type],"Out",Cash_Flow_3[Category],"Kitchen")</f>
        <v>992724</v>
      </c>
      <c r="P105" s="29">
        <f>SUMIFS(Cash_Flow_3[Amount],Cash_Flow_3[Bulan],H105,Cash_Flow_3[Type],"Out",Cash_Flow_3[Category],"Loandry")</f>
        <v>41600</v>
      </c>
      <c r="Q105" s="29">
        <f>SUMIFS(Cash_Flow_3[Amount],Cash_Flow_3[Bulan],H105,Cash_Flow_3[Type],"Out",Cash_Flow_3[Category],"Mio")</f>
        <v>249000</v>
      </c>
      <c r="R105" s="29">
        <f>SUMIFS(Cash_Flow_3[Amount],Cash_Flow_3[Bulan],H105,Cash_Flow_3[Type],"Out",Cash_Flow_3[Category],"Sedekah")</f>
        <v>129000</v>
      </c>
      <c r="S105" s="29">
        <f>SUMIFS(Cash_Flow_3[Amount],Cash_Flow_3[Bulan],H105,Cash_Flow_3[Type],"Out",Cash_Flow_3[Category],"Zela")</f>
        <v>24100</v>
      </c>
      <c r="T105" s="29">
        <f>SUMIFS(Cash_Flow_3[Amount],Cash_Flow_3[Bulan],H105,Cash_Flow_3[Type],"Out",Cash_Flow_3[Category],"Iqbal")</f>
        <v>121000</v>
      </c>
    </row>
    <row r="106" spans="1:20" ht="22.5" customHeight="1" x14ac:dyDescent="0.2">
      <c r="A106" s="23">
        <v>46060</v>
      </c>
      <c r="B106" s="24" t="s">
        <v>497</v>
      </c>
      <c r="C106" s="25" t="s">
        <v>46</v>
      </c>
      <c r="D106" s="25" t="s">
        <v>44</v>
      </c>
      <c r="E106" s="25" t="s">
        <v>2</v>
      </c>
      <c r="F106" s="26">
        <v>3000</v>
      </c>
      <c r="G106" s="27"/>
      <c r="H106" s="28">
        <f t="shared" si="0"/>
        <v>46054</v>
      </c>
      <c r="I106" s="29">
        <f>SUMIFS(Cash_Flow_3[Amount],Cash_Flow_3[Bulan],H106,Cash_Flow_3[Type],"In")</f>
        <v>7073728</v>
      </c>
      <c r="J106" s="29">
        <f>SUMIFS(Cash_Flow_3[Amount],Cash_Flow_3[Bulan],H106,Cash_Flow_3[Type],"Out")</f>
        <v>6908733</v>
      </c>
      <c r="K106" s="29">
        <f>SUMIFS(Cash_Flow_3[Amount],Cash_Flow_3[Bulan],H106,Cash_Flow_3[Type],"Out",Cash_Flow_3[Category],"Fix")</f>
        <v>2440568</v>
      </c>
      <c r="L106" s="29">
        <f>SUMIFS(Cash_Flow_3[Amount],Cash_Flow_3[Bulan],H106,Cash_Flow_3[Type],"Out",Cash_Flow_3[Category],"Bathroom")</f>
        <v>34500</v>
      </c>
      <c r="M106" s="29">
        <f>SUMIFS(Cash_Flow_3[Amount],Cash_Flow_3[Bulan],H106,Cash_Flow_3[Type],"Out",Cash_Flow_3[Category],"Alfa")</f>
        <v>293800</v>
      </c>
      <c r="N106" s="29">
        <f>SUMIFS(Cash_Flow_3[Amount],Cash_Flow_3[Bulan],H106,Cash_Flow_3[Type],"Out",Cash_Flow_3[Category],"Jajan")</f>
        <v>364000</v>
      </c>
      <c r="O106" s="29">
        <f>SUMIFS(Cash_Flow_3[Amount],Cash_Flow_3[Bulan],H106,Cash_Flow_3[Type],"Out",Cash_Flow_3[Category],"Kitchen")</f>
        <v>992724</v>
      </c>
      <c r="P106" s="29">
        <f>SUMIFS(Cash_Flow_3[Amount],Cash_Flow_3[Bulan],H106,Cash_Flow_3[Type],"Out",Cash_Flow_3[Category],"Loandry")</f>
        <v>41600</v>
      </c>
      <c r="Q106" s="29">
        <f>SUMIFS(Cash_Flow_3[Amount],Cash_Flow_3[Bulan],H106,Cash_Flow_3[Type],"Out",Cash_Flow_3[Category],"Mio")</f>
        <v>249000</v>
      </c>
      <c r="R106" s="29">
        <f>SUMIFS(Cash_Flow_3[Amount],Cash_Flow_3[Bulan],H106,Cash_Flow_3[Type],"Out",Cash_Flow_3[Category],"Sedekah")</f>
        <v>129000</v>
      </c>
      <c r="S106" s="29">
        <f>SUMIFS(Cash_Flow_3[Amount],Cash_Flow_3[Bulan],H106,Cash_Flow_3[Type],"Out",Cash_Flow_3[Category],"Zela")</f>
        <v>24100</v>
      </c>
      <c r="T106" s="29">
        <f>SUMIFS(Cash_Flow_3[Amount],Cash_Flow_3[Bulan],H106,Cash_Flow_3[Type],"Out",Cash_Flow_3[Category],"Iqbal")</f>
        <v>121000</v>
      </c>
    </row>
    <row r="107" spans="1:20" ht="22.5" customHeight="1" x14ac:dyDescent="0.2">
      <c r="A107" s="23">
        <v>46061</v>
      </c>
      <c r="B107" s="24" t="s">
        <v>146</v>
      </c>
      <c r="C107" s="25" t="s">
        <v>46</v>
      </c>
      <c r="D107" s="25" t="s">
        <v>44</v>
      </c>
      <c r="E107" s="25" t="s">
        <v>3</v>
      </c>
      <c r="F107" s="26">
        <v>35000</v>
      </c>
      <c r="G107" s="27"/>
      <c r="H107" s="28">
        <f t="shared" si="0"/>
        <v>46054</v>
      </c>
      <c r="I107" s="29">
        <f>SUMIFS(Cash_Flow_3[Amount],Cash_Flow_3[Bulan],H107,Cash_Flow_3[Type],"In")</f>
        <v>7073728</v>
      </c>
      <c r="J107" s="29">
        <f>SUMIFS(Cash_Flow_3[Amount],Cash_Flow_3[Bulan],H107,Cash_Flow_3[Type],"Out")</f>
        <v>6908733</v>
      </c>
      <c r="K107" s="29">
        <f>SUMIFS(Cash_Flow_3[Amount],Cash_Flow_3[Bulan],H107,Cash_Flow_3[Type],"Out",Cash_Flow_3[Category],"Fix")</f>
        <v>2440568</v>
      </c>
      <c r="L107" s="29">
        <f>SUMIFS(Cash_Flow_3[Amount],Cash_Flow_3[Bulan],H107,Cash_Flow_3[Type],"Out",Cash_Flow_3[Category],"Bathroom")</f>
        <v>34500</v>
      </c>
      <c r="M107" s="29">
        <f>SUMIFS(Cash_Flow_3[Amount],Cash_Flow_3[Bulan],H107,Cash_Flow_3[Type],"Out",Cash_Flow_3[Category],"Alfa")</f>
        <v>293800</v>
      </c>
      <c r="N107" s="29">
        <f>SUMIFS(Cash_Flow_3[Amount],Cash_Flow_3[Bulan],H107,Cash_Flow_3[Type],"Out",Cash_Flow_3[Category],"Jajan")</f>
        <v>364000</v>
      </c>
      <c r="O107" s="29">
        <f>SUMIFS(Cash_Flow_3[Amount],Cash_Flow_3[Bulan],H107,Cash_Flow_3[Type],"Out",Cash_Flow_3[Category],"Kitchen")</f>
        <v>992724</v>
      </c>
      <c r="P107" s="29">
        <f>SUMIFS(Cash_Flow_3[Amount],Cash_Flow_3[Bulan],H107,Cash_Flow_3[Type],"Out",Cash_Flow_3[Category],"Loandry")</f>
        <v>41600</v>
      </c>
      <c r="Q107" s="29">
        <f>SUMIFS(Cash_Flow_3[Amount],Cash_Flow_3[Bulan],H107,Cash_Flow_3[Type],"Out",Cash_Flow_3[Category],"Mio")</f>
        <v>249000</v>
      </c>
      <c r="R107" s="29">
        <f>SUMIFS(Cash_Flow_3[Amount],Cash_Flow_3[Bulan],H107,Cash_Flow_3[Type],"Out",Cash_Flow_3[Category],"Sedekah")</f>
        <v>129000</v>
      </c>
      <c r="S107" s="29">
        <f>SUMIFS(Cash_Flow_3[Amount],Cash_Flow_3[Bulan],H107,Cash_Flow_3[Type],"Out",Cash_Flow_3[Category],"Zela")</f>
        <v>24100</v>
      </c>
      <c r="T107" s="29">
        <f>SUMIFS(Cash_Flow_3[Amount],Cash_Flow_3[Bulan],H107,Cash_Flow_3[Type],"Out",Cash_Flow_3[Category],"Iqbal")</f>
        <v>121000</v>
      </c>
    </row>
    <row r="108" spans="1:20" ht="22.5" customHeight="1" x14ac:dyDescent="0.2">
      <c r="A108" s="23">
        <v>46061</v>
      </c>
      <c r="B108" s="24" t="s">
        <v>148</v>
      </c>
      <c r="C108" s="25" t="s">
        <v>43</v>
      </c>
      <c r="D108" s="25" t="s">
        <v>9</v>
      </c>
      <c r="E108" s="25" t="s">
        <v>9</v>
      </c>
      <c r="F108" s="26">
        <v>100000</v>
      </c>
      <c r="G108" s="27"/>
      <c r="H108" s="28">
        <f t="shared" si="0"/>
        <v>46054</v>
      </c>
      <c r="I108" s="29">
        <f>SUMIFS(Cash_Flow_3[Amount],Cash_Flow_3[Bulan],H108,Cash_Flow_3[Type],"In")</f>
        <v>7073728</v>
      </c>
      <c r="J108" s="29">
        <f>SUMIFS(Cash_Flow_3[Amount],Cash_Flow_3[Bulan],H108,Cash_Flow_3[Type],"Out")</f>
        <v>6908733</v>
      </c>
      <c r="K108" s="29">
        <f>SUMIFS(Cash_Flow_3[Amount],Cash_Flow_3[Bulan],H108,Cash_Flow_3[Type],"Out",Cash_Flow_3[Category],"Fix")</f>
        <v>2440568</v>
      </c>
      <c r="L108" s="29">
        <f>SUMIFS(Cash_Flow_3[Amount],Cash_Flow_3[Bulan],H108,Cash_Flow_3[Type],"Out",Cash_Flow_3[Category],"Bathroom")</f>
        <v>34500</v>
      </c>
      <c r="M108" s="29">
        <f>SUMIFS(Cash_Flow_3[Amount],Cash_Flow_3[Bulan],H108,Cash_Flow_3[Type],"Out",Cash_Flow_3[Category],"Alfa")</f>
        <v>293800</v>
      </c>
      <c r="N108" s="29">
        <f>SUMIFS(Cash_Flow_3[Amount],Cash_Flow_3[Bulan],H108,Cash_Flow_3[Type],"Out",Cash_Flow_3[Category],"Jajan")</f>
        <v>364000</v>
      </c>
      <c r="O108" s="29">
        <f>SUMIFS(Cash_Flow_3[Amount],Cash_Flow_3[Bulan],H108,Cash_Flow_3[Type],"Out",Cash_Flow_3[Category],"Kitchen")</f>
        <v>992724</v>
      </c>
      <c r="P108" s="29">
        <f>SUMIFS(Cash_Flow_3[Amount],Cash_Flow_3[Bulan],H108,Cash_Flow_3[Type],"Out",Cash_Flow_3[Category],"Loandry")</f>
        <v>41600</v>
      </c>
      <c r="Q108" s="29">
        <f>SUMIFS(Cash_Flow_3[Amount],Cash_Flow_3[Bulan],H108,Cash_Flow_3[Type],"Out",Cash_Flow_3[Category],"Mio")</f>
        <v>249000</v>
      </c>
      <c r="R108" s="29">
        <f>SUMIFS(Cash_Flow_3[Amount],Cash_Flow_3[Bulan],H108,Cash_Flow_3[Type],"Out",Cash_Flow_3[Category],"Sedekah")</f>
        <v>129000</v>
      </c>
      <c r="S108" s="29">
        <f>SUMIFS(Cash_Flow_3[Amount],Cash_Flow_3[Bulan],H108,Cash_Flow_3[Type],"Out",Cash_Flow_3[Category],"Zela")</f>
        <v>24100</v>
      </c>
      <c r="T108" s="29">
        <f>SUMIFS(Cash_Flow_3[Amount],Cash_Flow_3[Bulan],H108,Cash_Flow_3[Type],"Out",Cash_Flow_3[Category],"Iqbal")</f>
        <v>121000</v>
      </c>
    </row>
    <row r="109" spans="1:20" ht="22.5" customHeight="1" x14ac:dyDescent="0.2">
      <c r="A109" s="23">
        <v>46061</v>
      </c>
      <c r="B109" s="24" t="s">
        <v>763</v>
      </c>
      <c r="C109" s="25" t="s">
        <v>46</v>
      </c>
      <c r="D109" s="25" t="s">
        <v>9</v>
      </c>
      <c r="E109" s="25" t="s">
        <v>9</v>
      </c>
      <c r="F109" s="26">
        <v>100000</v>
      </c>
      <c r="G109" s="27"/>
      <c r="H109" s="28">
        <f t="shared" si="0"/>
        <v>46054</v>
      </c>
      <c r="I109" s="29">
        <f>SUMIFS(Cash_Flow_3[Amount],Cash_Flow_3[Bulan],H109,Cash_Flow_3[Type],"In")</f>
        <v>7073728</v>
      </c>
      <c r="J109" s="29">
        <f>SUMIFS(Cash_Flow_3[Amount],Cash_Flow_3[Bulan],H109,Cash_Flow_3[Type],"Out")</f>
        <v>6908733</v>
      </c>
      <c r="K109" s="29">
        <f>SUMIFS(Cash_Flow_3[Amount],Cash_Flow_3[Bulan],H109,Cash_Flow_3[Type],"Out",Cash_Flow_3[Category],"Fix")</f>
        <v>2440568</v>
      </c>
      <c r="L109" s="29">
        <f>SUMIFS(Cash_Flow_3[Amount],Cash_Flow_3[Bulan],H109,Cash_Flow_3[Type],"Out",Cash_Flow_3[Category],"Bathroom")</f>
        <v>34500</v>
      </c>
      <c r="M109" s="29">
        <f>SUMIFS(Cash_Flow_3[Amount],Cash_Flow_3[Bulan],H109,Cash_Flow_3[Type],"Out",Cash_Flow_3[Category],"Alfa")</f>
        <v>293800</v>
      </c>
      <c r="N109" s="29">
        <f>SUMIFS(Cash_Flow_3[Amount],Cash_Flow_3[Bulan],H109,Cash_Flow_3[Type],"Out",Cash_Flow_3[Category],"Jajan")</f>
        <v>364000</v>
      </c>
      <c r="O109" s="29">
        <f>SUMIFS(Cash_Flow_3[Amount],Cash_Flow_3[Bulan],H109,Cash_Flow_3[Type],"Out",Cash_Flow_3[Category],"Kitchen")</f>
        <v>992724</v>
      </c>
      <c r="P109" s="29">
        <f>SUMIFS(Cash_Flow_3[Amount],Cash_Flow_3[Bulan],H109,Cash_Flow_3[Type],"Out",Cash_Flow_3[Category],"Loandry")</f>
        <v>41600</v>
      </c>
      <c r="Q109" s="29">
        <f>SUMIFS(Cash_Flow_3[Amount],Cash_Flow_3[Bulan],H109,Cash_Flow_3[Type],"Out",Cash_Flow_3[Category],"Mio")</f>
        <v>249000</v>
      </c>
      <c r="R109" s="29">
        <f>SUMIFS(Cash_Flow_3[Amount],Cash_Flow_3[Bulan],H109,Cash_Flow_3[Type],"Out",Cash_Flow_3[Category],"Sedekah")</f>
        <v>129000</v>
      </c>
      <c r="S109" s="29">
        <f>SUMIFS(Cash_Flow_3[Amount],Cash_Flow_3[Bulan],H109,Cash_Flow_3[Type],"Out",Cash_Flow_3[Category],"Zela")</f>
        <v>24100</v>
      </c>
      <c r="T109" s="29">
        <f>SUMIFS(Cash_Flow_3[Amount],Cash_Flow_3[Bulan],H109,Cash_Flow_3[Type],"Out",Cash_Flow_3[Category],"Iqbal")</f>
        <v>121000</v>
      </c>
    </row>
    <row r="110" spans="1:20" ht="22.5" customHeight="1" x14ac:dyDescent="0.2">
      <c r="A110" s="23">
        <v>46061</v>
      </c>
      <c r="B110" s="24" t="s">
        <v>768</v>
      </c>
      <c r="C110" s="25" t="s">
        <v>46</v>
      </c>
      <c r="D110" s="25" t="s">
        <v>44</v>
      </c>
      <c r="E110" s="25" t="s">
        <v>2</v>
      </c>
      <c r="F110" s="26">
        <v>20000</v>
      </c>
      <c r="G110" s="27"/>
      <c r="H110" s="28">
        <f t="shared" si="0"/>
        <v>46054</v>
      </c>
      <c r="I110" s="29">
        <f>SUMIFS(Cash_Flow_3[Amount],Cash_Flow_3[Bulan],H110,Cash_Flow_3[Type],"In")</f>
        <v>7073728</v>
      </c>
      <c r="J110" s="29">
        <f>SUMIFS(Cash_Flow_3[Amount],Cash_Flow_3[Bulan],H110,Cash_Flow_3[Type],"Out")</f>
        <v>6908733</v>
      </c>
      <c r="K110" s="29">
        <f>SUMIFS(Cash_Flow_3[Amount],Cash_Flow_3[Bulan],H110,Cash_Flow_3[Type],"Out",Cash_Flow_3[Category],"Fix")</f>
        <v>2440568</v>
      </c>
      <c r="L110" s="29">
        <f>SUMIFS(Cash_Flow_3[Amount],Cash_Flow_3[Bulan],H110,Cash_Flow_3[Type],"Out",Cash_Flow_3[Category],"Bathroom")</f>
        <v>34500</v>
      </c>
      <c r="M110" s="29">
        <f>SUMIFS(Cash_Flow_3[Amount],Cash_Flow_3[Bulan],H110,Cash_Flow_3[Type],"Out",Cash_Flow_3[Category],"Alfa")</f>
        <v>293800</v>
      </c>
      <c r="N110" s="29">
        <f>SUMIFS(Cash_Flow_3[Amount],Cash_Flow_3[Bulan],H110,Cash_Flow_3[Type],"Out",Cash_Flow_3[Category],"Jajan")</f>
        <v>364000</v>
      </c>
      <c r="O110" s="29">
        <f>SUMIFS(Cash_Flow_3[Amount],Cash_Flow_3[Bulan],H110,Cash_Flow_3[Type],"Out",Cash_Flow_3[Category],"Kitchen")</f>
        <v>992724</v>
      </c>
      <c r="P110" s="29">
        <f>SUMIFS(Cash_Flow_3[Amount],Cash_Flow_3[Bulan],H110,Cash_Flow_3[Type],"Out",Cash_Flow_3[Category],"Loandry")</f>
        <v>41600</v>
      </c>
      <c r="Q110" s="29">
        <f>SUMIFS(Cash_Flow_3[Amount],Cash_Flow_3[Bulan],H110,Cash_Flow_3[Type],"Out",Cash_Flow_3[Category],"Mio")</f>
        <v>249000</v>
      </c>
      <c r="R110" s="29">
        <f>SUMIFS(Cash_Flow_3[Amount],Cash_Flow_3[Bulan],H110,Cash_Flow_3[Type],"Out",Cash_Flow_3[Category],"Sedekah")</f>
        <v>129000</v>
      </c>
      <c r="S110" s="29">
        <f>SUMIFS(Cash_Flow_3[Amount],Cash_Flow_3[Bulan],H110,Cash_Flow_3[Type],"Out",Cash_Flow_3[Category],"Zela")</f>
        <v>24100</v>
      </c>
      <c r="T110" s="29">
        <f>SUMIFS(Cash_Flow_3[Amount],Cash_Flow_3[Bulan],H110,Cash_Flow_3[Type],"Out",Cash_Flow_3[Category],"Iqbal")</f>
        <v>121000</v>
      </c>
    </row>
    <row r="111" spans="1:20" ht="22.5" customHeight="1" x14ac:dyDescent="0.2">
      <c r="A111" s="23">
        <v>46061</v>
      </c>
      <c r="B111" s="24" t="s">
        <v>153</v>
      </c>
      <c r="C111" s="25" t="s">
        <v>46</v>
      </c>
      <c r="D111" s="25" t="s">
        <v>44</v>
      </c>
      <c r="E111" s="25" t="s">
        <v>2</v>
      </c>
      <c r="F111" s="26">
        <v>32000</v>
      </c>
      <c r="G111" s="27"/>
      <c r="H111" s="28">
        <f t="shared" si="0"/>
        <v>46054</v>
      </c>
      <c r="I111" s="29">
        <f>SUMIFS(Cash_Flow_3[Amount],Cash_Flow_3[Bulan],H111,Cash_Flow_3[Type],"In")</f>
        <v>7073728</v>
      </c>
      <c r="J111" s="29">
        <f>SUMIFS(Cash_Flow_3[Amount],Cash_Flow_3[Bulan],H111,Cash_Flow_3[Type],"Out")</f>
        <v>6908733</v>
      </c>
      <c r="K111" s="29">
        <f>SUMIFS(Cash_Flow_3[Amount],Cash_Flow_3[Bulan],H111,Cash_Flow_3[Type],"Out",Cash_Flow_3[Category],"Fix")</f>
        <v>2440568</v>
      </c>
      <c r="L111" s="29">
        <f>SUMIFS(Cash_Flow_3[Amount],Cash_Flow_3[Bulan],H111,Cash_Flow_3[Type],"Out",Cash_Flow_3[Category],"Bathroom")</f>
        <v>34500</v>
      </c>
      <c r="M111" s="29">
        <f>SUMIFS(Cash_Flow_3[Amount],Cash_Flow_3[Bulan],H111,Cash_Flow_3[Type],"Out",Cash_Flow_3[Category],"Alfa")</f>
        <v>293800</v>
      </c>
      <c r="N111" s="29">
        <f>SUMIFS(Cash_Flow_3[Amount],Cash_Flow_3[Bulan],H111,Cash_Flow_3[Type],"Out",Cash_Flow_3[Category],"Jajan")</f>
        <v>364000</v>
      </c>
      <c r="O111" s="29">
        <f>SUMIFS(Cash_Flow_3[Amount],Cash_Flow_3[Bulan],H111,Cash_Flow_3[Type],"Out",Cash_Flow_3[Category],"Kitchen")</f>
        <v>992724</v>
      </c>
      <c r="P111" s="29">
        <f>SUMIFS(Cash_Flow_3[Amount],Cash_Flow_3[Bulan],H111,Cash_Flow_3[Type],"Out",Cash_Flow_3[Category],"Loandry")</f>
        <v>41600</v>
      </c>
      <c r="Q111" s="29">
        <f>SUMIFS(Cash_Flow_3[Amount],Cash_Flow_3[Bulan],H111,Cash_Flow_3[Type],"Out",Cash_Flow_3[Category],"Mio")</f>
        <v>249000</v>
      </c>
      <c r="R111" s="29">
        <f>SUMIFS(Cash_Flow_3[Amount],Cash_Flow_3[Bulan],H111,Cash_Flow_3[Type],"Out",Cash_Flow_3[Category],"Sedekah")</f>
        <v>129000</v>
      </c>
      <c r="S111" s="29">
        <f>SUMIFS(Cash_Flow_3[Amount],Cash_Flow_3[Bulan],H111,Cash_Flow_3[Type],"Out",Cash_Flow_3[Category],"Zela")</f>
        <v>24100</v>
      </c>
      <c r="T111" s="29">
        <f>SUMIFS(Cash_Flow_3[Amount],Cash_Flow_3[Bulan],H111,Cash_Flow_3[Type],"Out",Cash_Flow_3[Category],"Iqbal")</f>
        <v>121000</v>
      </c>
    </row>
    <row r="112" spans="1:20" ht="22.5" customHeight="1" x14ac:dyDescent="0.2">
      <c r="A112" s="23">
        <v>46061</v>
      </c>
      <c r="B112" s="24" t="s">
        <v>482</v>
      </c>
      <c r="C112" s="25" t="s">
        <v>43</v>
      </c>
      <c r="D112" s="25" t="s">
        <v>9</v>
      </c>
      <c r="E112" s="25" t="s">
        <v>9</v>
      </c>
      <c r="F112" s="26">
        <v>50000</v>
      </c>
      <c r="G112" s="27"/>
      <c r="H112" s="28">
        <f t="shared" si="0"/>
        <v>46054</v>
      </c>
      <c r="I112" s="29">
        <f>SUMIFS(Cash_Flow_3[Amount],Cash_Flow_3[Bulan],H112,Cash_Flow_3[Type],"In")</f>
        <v>7073728</v>
      </c>
      <c r="J112" s="29">
        <f>SUMIFS(Cash_Flow_3[Amount],Cash_Flow_3[Bulan],H112,Cash_Flow_3[Type],"Out")</f>
        <v>6908733</v>
      </c>
      <c r="K112" s="29">
        <f>SUMIFS(Cash_Flow_3[Amount],Cash_Flow_3[Bulan],H112,Cash_Flow_3[Type],"Out",Cash_Flow_3[Category],"Fix")</f>
        <v>2440568</v>
      </c>
      <c r="L112" s="29">
        <f>SUMIFS(Cash_Flow_3[Amount],Cash_Flow_3[Bulan],H112,Cash_Flow_3[Type],"Out",Cash_Flow_3[Category],"Bathroom")</f>
        <v>34500</v>
      </c>
      <c r="M112" s="29">
        <f>SUMIFS(Cash_Flow_3[Amount],Cash_Flow_3[Bulan],H112,Cash_Flow_3[Type],"Out",Cash_Flow_3[Category],"Alfa")</f>
        <v>293800</v>
      </c>
      <c r="N112" s="29">
        <f>SUMIFS(Cash_Flow_3[Amount],Cash_Flow_3[Bulan],H112,Cash_Flow_3[Type],"Out",Cash_Flow_3[Category],"Jajan")</f>
        <v>364000</v>
      </c>
      <c r="O112" s="29">
        <f>SUMIFS(Cash_Flow_3[Amount],Cash_Flow_3[Bulan],H112,Cash_Flow_3[Type],"Out",Cash_Flow_3[Category],"Kitchen")</f>
        <v>992724</v>
      </c>
      <c r="P112" s="29">
        <f>SUMIFS(Cash_Flow_3[Amount],Cash_Flow_3[Bulan],H112,Cash_Flow_3[Type],"Out",Cash_Flow_3[Category],"Loandry")</f>
        <v>41600</v>
      </c>
      <c r="Q112" s="29">
        <f>SUMIFS(Cash_Flow_3[Amount],Cash_Flow_3[Bulan],H112,Cash_Flow_3[Type],"Out",Cash_Flow_3[Category],"Mio")</f>
        <v>249000</v>
      </c>
      <c r="R112" s="29">
        <f>SUMIFS(Cash_Flow_3[Amount],Cash_Flow_3[Bulan],H112,Cash_Flow_3[Type],"Out",Cash_Flow_3[Category],"Sedekah")</f>
        <v>129000</v>
      </c>
      <c r="S112" s="29">
        <f>SUMIFS(Cash_Flow_3[Amount],Cash_Flow_3[Bulan],H112,Cash_Flow_3[Type],"Out",Cash_Flow_3[Category],"Zela")</f>
        <v>24100</v>
      </c>
      <c r="T112" s="29">
        <f>SUMIFS(Cash_Flow_3[Amount],Cash_Flow_3[Bulan],H112,Cash_Flow_3[Type],"Out",Cash_Flow_3[Category],"Iqbal")</f>
        <v>121000</v>
      </c>
    </row>
    <row r="113" spans="1:20" ht="22.5" customHeight="1" x14ac:dyDescent="0.2">
      <c r="A113" s="23">
        <v>46061</v>
      </c>
      <c r="B113" s="24" t="s">
        <v>484</v>
      </c>
      <c r="C113" s="25" t="s">
        <v>46</v>
      </c>
      <c r="D113" s="25" t="s">
        <v>9</v>
      </c>
      <c r="E113" s="25" t="s">
        <v>9</v>
      </c>
      <c r="F113" s="26">
        <v>50000</v>
      </c>
      <c r="G113" s="27"/>
      <c r="H113" s="28">
        <f t="shared" si="0"/>
        <v>46054</v>
      </c>
      <c r="I113" s="29">
        <f>SUMIFS(Cash_Flow_3[Amount],Cash_Flow_3[Bulan],H113,Cash_Flow_3[Type],"In")</f>
        <v>7073728</v>
      </c>
      <c r="J113" s="29">
        <f>SUMIFS(Cash_Flow_3[Amount],Cash_Flow_3[Bulan],H113,Cash_Flow_3[Type],"Out")</f>
        <v>6908733</v>
      </c>
      <c r="K113" s="29">
        <f>SUMIFS(Cash_Flow_3[Amount],Cash_Flow_3[Bulan],H113,Cash_Flow_3[Type],"Out",Cash_Flow_3[Category],"Fix")</f>
        <v>2440568</v>
      </c>
      <c r="L113" s="29">
        <f>SUMIFS(Cash_Flow_3[Amount],Cash_Flow_3[Bulan],H113,Cash_Flow_3[Type],"Out",Cash_Flow_3[Category],"Bathroom")</f>
        <v>34500</v>
      </c>
      <c r="M113" s="29">
        <f>SUMIFS(Cash_Flow_3[Amount],Cash_Flow_3[Bulan],H113,Cash_Flow_3[Type],"Out",Cash_Flow_3[Category],"Alfa")</f>
        <v>293800</v>
      </c>
      <c r="N113" s="29">
        <f>SUMIFS(Cash_Flow_3[Amount],Cash_Flow_3[Bulan],H113,Cash_Flow_3[Type],"Out",Cash_Flow_3[Category],"Jajan")</f>
        <v>364000</v>
      </c>
      <c r="O113" s="29">
        <f>SUMIFS(Cash_Flow_3[Amount],Cash_Flow_3[Bulan],H113,Cash_Flow_3[Type],"Out",Cash_Flow_3[Category],"Kitchen")</f>
        <v>992724</v>
      </c>
      <c r="P113" s="29">
        <f>SUMIFS(Cash_Flow_3[Amount],Cash_Flow_3[Bulan],H113,Cash_Flow_3[Type],"Out",Cash_Flow_3[Category],"Loandry")</f>
        <v>41600</v>
      </c>
      <c r="Q113" s="29">
        <f>SUMIFS(Cash_Flow_3[Amount],Cash_Flow_3[Bulan],H113,Cash_Flow_3[Type],"Out",Cash_Flow_3[Category],"Mio")</f>
        <v>249000</v>
      </c>
      <c r="R113" s="29">
        <f>SUMIFS(Cash_Flow_3[Amount],Cash_Flow_3[Bulan],H113,Cash_Flow_3[Type],"Out",Cash_Flow_3[Category],"Sedekah")</f>
        <v>129000</v>
      </c>
      <c r="S113" s="29">
        <f>SUMIFS(Cash_Flow_3[Amount],Cash_Flow_3[Bulan],H113,Cash_Flow_3[Type],"Out",Cash_Flow_3[Category],"Zela")</f>
        <v>24100</v>
      </c>
      <c r="T113" s="29">
        <f>SUMIFS(Cash_Flow_3[Amount],Cash_Flow_3[Bulan],H113,Cash_Flow_3[Type],"Out",Cash_Flow_3[Category],"Iqbal")</f>
        <v>121000</v>
      </c>
    </row>
    <row r="114" spans="1:20" ht="22.5" customHeight="1" x14ac:dyDescent="0.2">
      <c r="A114" s="23">
        <v>46061</v>
      </c>
      <c r="B114" s="24" t="s">
        <v>82</v>
      </c>
      <c r="C114" s="25" t="s">
        <v>46</v>
      </c>
      <c r="D114" s="25" t="s">
        <v>44</v>
      </c>
      <c r="E114" s="25" t="s">
        <v>2</v>
      </c>
      <c r="F114" s="26">
        <v>16000</v>
      </c>
      <c r="G114" s="27"/>
      <c r="H114" s="28">
        <f t="shared" si="0"/>
        <v>46054</v>
      </c>
      <c r="I114" s="29">
        <f>SUMIFS(Cash_Flow_3[Amount],Cash_Flow_3[Bulan],H114,Cash_Flow_3[Type],"In")</f>
        <v>7073728</v>
      </c>
      <c r="J114" s="29">
        <f>SUMIFS(Cash_Flow_3[Amount],Cash_Flow_3[Bulan],H114,Cash_Flow_3[Type],"Out")</f>
        <v>6908733</v>
      </c>
      <c r="K114" s="29">
        <f>SUMIFS(Cash_Flow_3[Amount],Cash_Flow_3[Bulan],H114,Cash_Flow_3[Type],"Out",Cash_Flow_3[Category],"Fix")</f>
        <v>2440568</v>
      </c>
      <c r="L114" s="29">
        <f>SUMIFS(Cash_Flow_3[Amount],Cash_Flow_3[Bulan],H114,Cash_Flow_3[Type],"Out",Cash_Flow_3[Category],"Bathroom")</f>
        <v>34500</v>
      </c>
      <c r="M114" s="29">
        <f>SUMIFS(Cash_Flow_3[Amount],Cash_Flow_3[Bulan],H114,Cash_Flow_3[Type],"Out",Cash_Flow_3[Category],"Alfa")</f>
        <v>293800</v>
      </c>
      <c r="N114" s="29">
        <f>SUMIFS(Cash_Flow_3[Amount],Cash_Flow_3[Bulan],H114,Cash_Flow_3[Type],"Out",Cash_Flow_3[Category],"Jajan")</f>
        <v>364000</v>
      </c>
      <c r="O114" s="29">
        <f>SUMIFS(Cash_Flow_3[Amount],Cash_Flow_3[Bulan],H114,Cash_Flow_3[Type],"Out",Cash_Flow_3[Category],"Kitchen")</f>
        <v>992724</v>
      </c>
      <c r="P114" s="29">
        <f>SUMIFS(Cash_Flow_3[Amount],Cash_Flow_3[Bulan],H114,Cash_Flow_3[Type],"Out",Cash_Flow_3[Category],"Loandry")</f>
        <v>41600</v>
      </c>
      <c r="Q114" s="29">
        <f>SUMIFS(Cash_Flow_3[Amount],Cash_Flow_3[Bulan],H114,Cash_Flow_3[Type],"Out",Cash_Flow_3[Category],"Mio")</f>
        <v>249000</v>
      </c>
      <c r="R114" s="29">
        <f>SUMIFS(Cash_Flow_3[Amount],Cash_Flow_3[Bulan],H114,Cash_Flow_3[Type],"Out",Cash_Flow_3[Category],"Sedekah")</f>
        <v>129000</v>
      </c>
      <c r="S114" s="29">
        <f>SUMIFS(Cash_Flow_3[Amount],Cash_Flow_3[Bulan],H114,Cash_Flow_3[Type],"Out",Cash_Flow_3[Category],"Zela")</f>
        <v>24100</v>
      </c>
      <c r="T114" s="29">
        <f>SUMIFS(Cash_Flow_3[Amount],Cash_Flow_3[Bulan],H114,Cash_Flow_3[Type],"Out",Cash_Flow_3[Category],"Iqbal")</f>
        <v>121000</v>
      </c>
    </row>
    <row r="115" spans="1:20" ht="22.5" customHeight="1" x14ac:dyDescent="0.2">
      <c r="A115" s="23">
        <v>46061</v>
      </c>
      <c r="B115" s="24" t="s">
        <v>18</v>
      </c>
      <c r="C115" s="25" t="s">
        <v>46</v>
      </c>
      <c r="D115" s="25" t="s">
        <v>44</v>
      </c>
      <c r="E115" s="25" t="s">
        <v>8</v>
      </c>
      <c r="F115" s="26">
        <v>15000</v>
      </c>
      <c r="G115" s="27"/>
      <c r="H115" s="28">
        <f t="shared" si="0"/>
        <v>46054</v>
      </c>
      <c r="I115" s="29">
        <f>SUMIFS(Cash_Flow_3[Amount],Cash_Flow_3[Bulan],H115,Cash_Flow_3[Type],"In")</f>
        <v>7073728</v>
      </c>
      <c r="J115" s="29">
        <f>SUMIFS(Cash_Flow_3[Amount],Cash_Flow_3[Bulan],H115,Cash_Flow_3[Type],"Out")</f>
        <v>6908733</v>
      </c>
      <c r="K115" s="29">
        <f>SUMIFS(Cash_Flow_3[Amount],Cash_Flow_3[Bulan],H115,Cash_Flow_3[Type],"Out",Cash_Flow_3[Category],"Fix")</f>
        <v>2440568</v>
      </c>
      <c r="L115" s="29">
        <f>SUMIFS(Cash_Flow_3[Amount],Cash_Flow_3[Bulan],H115,Cash_Flow_3[Type],"Out",Cash_Flow_3[Category],"Bathroom")</f>
        <v>34500</v>
      </c>
      <c r="M115" s="29">
        <f>SUMIFS(Cash_Flow_3[Amount],Cash_Flow_3[Bulan],H115,Cash_Flow_3[Type],"Out",Cash_Flow_3[Category],"Alfa")</f>
        <v>293800</v>
      </c>
      <c r="N115" s="29">
        <f>SUMIFS(Cash_Flow_3[Amount],Cash_Flow_3[Bulan],H115,Cash_Flow_3[Type],"Out",Cash_Flow_3[Category],"Jajan")</f>
        <v>364000</v>
      </c>
      <c r="O115" s="29">
        <f>SUMIFS(Cash_Flow_3[Amount],Cash_Flow_3[Bulan],H115,Cash_Flow_3[Type],"Out",Cash_Flow_3[Category],"Kitchen")</f>
        <v>992724</v>
      </c>
      <c r="P115" s="29">
        <f>SUMIFS(Cash_Flow_3[Amount],Cash_Flow_3[Bulan],H115,Cash_Flow_3[Type],"Out",Cash_Flow_3[Category],"Loandry")</f>
        <v>41600</v>
      </c>
      <c r="Q115" s="29">
        <f>SUMIFS(Cash_Flow_3[Amount],Cash_Flow_3[Bulan],H115,Cash_Flow_3[Type],"Out",Cash_Flow_3[Category],"Mio")</f>
        <v>249000</v>
      </c>
      <c r="R115" s="29">
        <f>SUMIFS(Cash_Flow_3[Amount],Cash_Flow_3[Bulan],H115,Cash_Flow_3[Type],"Out",Cash_Flow_3[Category],"Sedekah")</f>
        <v>129000</v>
      </c>
      <c r="S115" s="29">
        <f>SUMIFS(Cash_Flow_3[Amount],Cash_Flow_3[Bulan],H115,Cash_Flow_3[Type],"Out",Cash_Flow_3[Category],"Zela")</f>
        <v>24100</v>
      </c>
      <c r="T115" s="29">
        <f>SUMIFS(Cash_Flow_3[Amount],Cash_Flow_3[Bulan],H115,Cash_Flow_3[Type],"Out",Cash_Flow_3[Category],"Iqbal")</f>
        <v>121000</v>
      </c>
    </row>
    <row r="116" spans="1:20" ht="22.5" customHeight="1" x14ac:dyDescent="0.2">
      <c r="A116" s="23">
        <v>46062</v>
      </c>
      <c r="B116" s="24" t="s">
        <v>97</v>
      </c>
      <c r="C116" s="25" t="s">
        <v>43</v>
      </c>
      <c r="D116" s="25" t="s">
        <v>9</v>
      </c>
      <c r="E116" s="25" t="s">
        <v>9</v>
      </c>
      <c r="F116" s="26">
        <v>100000</v>
      </c>
      <c r="G116" s="27"/>
      <c r="H116" s="28">
        <f t="shared" si="0"/>
        <v>46054</v>
      </c>
      <c r="I116" s="29">
        <f>SUMIFS(Cash_Flow_3[Amount],Cash_Flow_3[Bulan],H116,Cash_Flow_3[Type],"In")</f>
        <v>7073728</v>
      </c>
      <c r="J116" s="29">
        <f>SUMIFS(Cash_Flow_3[Amount],Cash_Flow_3[Bulan],H116,Cash_Flow_3[Type],"Out")</f>
        <v>6908733</v>
      </c>
      <c r="K116" s="29">
        <f>SUMIFS(Cash_Flow_3[Amount],Cash_Flow_3[Bulan],H116,Cash_Flow_3[Type],"Out",Cash_Flow_3[Category],"Fix")</f>
        <v>2440568</v>
      </c>
      <c r="L116" s="29">
        <f>SUMIFS(Cash_Flow_3[Amount],Cash_Flow_3[Bulan],H116,Cash_Flow_3[Type],"Out",Cash_Flow_3[Category],"Bathroom")</f>
        <v>34500</v>
      </c>
      <c r="M116" s="29">
        <f>SUMIFS(Cash_Flow_3[Amount],Cash_Flow_3[Bulan],H116,Cash_Flow_3[Type],"Out",Cash_Flow_3[Category],"Alfa")</f>
        <v>293800</v>
      </c>
      <c r="N116" s="29">
        <f>SUMIFS(Cash_Flow_3[Amount],Cash_Flow_3[Bulan],H116,Cash_Flow_3[Type],"Out",Cash_Flow_3[Category],"Jajan")</f>
        <v>364000</v>
      </c>
      <c r="O116" s="29">
        <f>SUMIFS(Cash_Flow_3[Amount],Cash_Flow_3[Bulan],H116,Cash_Flow_3[Type],"Out",Cash_Flow_3[Category],"Kitchen")</f>
        <v>992724</v>
      </c>
      <c r="P116" s="29">
        <f>SUMIFS(Cash_Flow_3[Amount],Cash_Flow_3[Bulan],H116,Cash_Flow_3[Type],"Out",Cash_Flow_3[Category],"Loandry")</f>
        <v>41600</v>
      </c>
      <c r="Q116" s="29">
        <f>SUMIFS(Cash_Flow_3[Amount],Cash_Flow_3[Bulan],H116,Cash_Flow_3[Type],"Out",Cash_Flow_3[Category],"Mio")</f>
        <v>249000</v>
      </c>
      <c r="R116" s="29">
        <f>SUMIFS(Cash_Flow_3[Amount],Cash_Flow_3[Bulan],H116,Cash_Flow_3[Type],"Out",Cash_Flow_3[Category],"Sedekah")</f>
        <v>129000</v>
      </c>
      <c r="S116" s="29">
        <f>SUMIFS(Cash_Flow_3[Amount],Cash_Flow_3[Bulan],H116,Cash_Flow_3[Type],"Out",Cash_Flow_3[Category],"Zela")</f>
        <v>24100</v>
      </c>
      <c r="T116" s="29">
        <f>SUMIFS(Cash_Flow_3[Amount],Cash_Flow_3[Bulan],H116,Cash_Flow_3[Type],"Out",Cash_Flow_3[Category],"Iqbal")</f>
        <v>121000</v>
      </c>
    </row>
    <row r="117" spans="1:20" ht="22.5" customHeight="1" x14ac:dyDescent="0.2">
      <c r="A117" s="23">
        <v>46062</v>
      </c>
      <c r="B117" s="24" t="s">
        <v>74</v>
      </c>
      <c r="C117" s="25" t="s">
        <v>46</v>
      </c>
      <c r="D117" s="25" t="s">
        <v>9</v>
      </c>
      <c r="E117" s="25" t="s">
        <v>9</v>
      </c>
      <c r="F117" s="26">
        <v>100000</v>
      </c>
      <c r="G117" s="27"/>
      <c r="H117" s="28">
        <f t="shared" si="0"/>
        <v>46054</v>
      </c>
      <c r="I117" s="29">
        <f>SUMIFS(Cash_Flow_3[Amount],Cash_Flow_3[Bulan],H117,Cash_Flow_3[Type],"In")</f>
        <v>7073728</v>
      </c>
      <c r="J117" s="29">
        <f>SUMIFS(Cash_Flow_3[Amount],Cash_Flow_3[Bulan],H117,Cash_Flow_3[Type],"Out")</f>
        <v>6908733</v>
      </c>
      <c r="K117" s="29">
        <f>SUMIFS(Cash_Flow_3[Amount],Cash_Flow_3[Bulan],H117,Cash_Flow_3[Type],"Out",Cash_Flow_3[Category],"Fix")</f>
        <v>2440568</v>
      </c>
      <c r="L117" s="29">
        <f>SUMIFS(Cash_Flow_3[Amount],Cash_Flow_3[Bulan],H117,Cash_Flow_3[Type],"Out",Cash_Flow_3[Category],"Bathroom")</f>
        <v>34500</v>
      </c>
      <c r="M117" s="29">
        <f>SUMIFS(Cash_Flow_3[Amount],Cash_Flow_3[Bulan],H117,Cash_Flow_3[Type],"Out",Cash_Flow_3[Category],"Alfa")</f>
        <v>293800</v>
      </c>
      <c r="N117" s="29">
        <f>SUMIFS(Cash_Flow_3[Amount],Cash_Flow_3[Bulan],H117,Cash_Flow_3[Type],"Out",Cash_Flow_3[Category],"Jajan")</f>
        <v>364000</v>
      </c>
      <c r="O117" s="29">
        <f>SUMIFS(Cash_Flow_3[Amount],Cash_Flow_3[Bulan],H117,Cash_Flow_3[Type],"Out",Cash_Flow_3[Category],"Kitchen")</f>
        <v>992724</v>
      </c>
      <c r="P117" s="29">
        <f>SUMIFS(Cash_Flow_3[Amount],Cash_Flow_3[Bulan],H117,Cash_Flow_3[Type],"Out",Cash_Flow_3[Category],"Loandry")</f>
        <v>41600</v>
      </c>
      <c r="Q117" s="29">
        <f>SUMIFS(Cash_Flow_3[Amount],Cash_Flow_3[Bulan],H117,Cash_Flow_3[Type],"Out",Cash_Flow_3[Category],"Mio")</f>
        <v>249000</v>
      </c>
      <c r="R117" s="29">
        <f>SUMIFS(Cash_Flow_3[Amount],Cash_Flow_3[Bulan],H117,Cash_Flow_3[Type],"Out",Cash_Flow_3[Category],"Sedekah")</f>
        <v>129000</v>
      </c>
      <c r="S117" s="29">
        <f>SUMIFS(Cash_Flow_3[Amount],Cash_Flow_3[Bulan],H117,Cash_Flow_3[Type],"Out",Cash_Flow_3[Category],"Zela")</f>
        <v>24100</v>
      </c>
      <c r="T117" s="29">
        <f>SUMIFS(Cash_Flow_3[Amount],Cash_Flow_3[Bulan],H117,Cash_Flow_3[Type],"Out",Cash_Flow_3[Category],"Iqbal")</f>
        <v>121000</v>
      </c>
    </row>
    <row r="118" spans="1:20" ht="22.5" customHeight="1" x14ac:dyDescent="0.2">
      <c r="A118" s="23">
        <v>46062</v>
      </c>
      <c r="B118" s="24" t="s">
        <v>795</v>
      </c>
      <c r="C118" s="25" t="s">
        <v>46</v>
      </c>
      <c r="D118" s="25" t="s">
        <v>44</v>
      </c>
      <c r="E118" s="25" t="s">
        <v>3</v>
      </c>
      <c r="F118" s="26">
        <v>110000</v>
      </c>
      <c r="G118" s="27"/>
      <c r="H118" s="28">
        <f t="shared" si="0"/>
        <v>46054</v>
      </c>
      <c r="I118" s="29">
        <f>SUMIFS(Cash_Flow_3[Amount],Cash_Flow_3[Bulan],H118,Cash_Flow_3[Type],"In")</f>
        <v>7073728</v>
      </c>
      <c r="J118" s="29">
        <f>SUMIFS(Cash_Flow_3[Amount],Cash_Flow_3[Bulan],H118,Cash_Flow_3[Type],"Out")</f>
        <v>6908733</v>
      </c>
      <c r="K118" s="29">
        <f>SUMIFS(Cash_Flow_3[Amount],Cash_Flow_3[Bulan],H118,Cash_Flow_3[Type],"Out",Cash_Flow_3[Category],"Fix")</f>
        <v>2440568</v>
      </c>
      <c r="L118" s="29">
        <f>SUMIFS(Cash_Flow_3[Amount],Cash_Flow_3[Bulan],H118,Cash_Flow_3[Type],"Out",Cash_Flow_3[Category],"Bathroom")</f>
        <v>34500</v>
      </c>
      <c r="M118" s="29">
        <f>SUMIFS(Cash_Flow_3[Amount],Cash_Flow_3[Bulan],H118,Cash_Flow_3[Type],"Out",Cash_Flow_3[Category],"Alfa")</f>
        <v>293800</v>
      </c>
      <c r="N118" s="29">
        <f>SUMIFS(Cash_Flow_3[Amount],Cash_Flow_3[Bulan],H118,Cash_Flow_3[Type],"Out",Cash_Flow_3[Category],"Jajan")</f>
        <v>364000</v>
      </c>
      <c r="O118" s="29">
        <f>SUMIFS(Cash_Flow_3[Amount],Cash_Flow_3[Bulan],H118,Cash_Flow_3[Type],"Out",Cash_Flow_3[Category],"Kitchen")</f>
        <v>992724</v>
      </c>
      <c r="P118" s="29">
        <f>SUMIFS(Cash_Flow_3[Amount],Cash_Flow_3[Bulan],H118,Cash_Flow_3[Type],"Out",Cash_Flow_3[Category],"Loandry")</f>
        <v>41600</v>
      </c>
      <c r="Q118" s="29">
        <f>SUMIFS(Cash_Flow_3[Amount],Cash_Flow_3[Bulan],H118,Cash_Flow_3[Type],"Out",Cash_Flow_3[Category],"Mio")</f>
        <v>249000</v>
      </c>
      <c r="R118" s="29">
        <f>SUMIFS(Cash_Flow_3[Amount],Cash_Flow_3[Bulan],H118,Cash_Flow_3[Type],"Out",Cash_Flow_3[Category],"Sedekah")</f>
        <v>129000</v>
      </c>
      <c r="S118" s="29">
        <f>SUMIFS(Cash_Flow_3[Amount],Cash_Flow_3[Bulan],H118,Cash_Flow_3[Type],"Out",Cash_Flow_3[Category],"Zela")</f>
        <v>24100</v>
      </c>
      <c r="T118" s="29">
        <f>SUMIFS(Cash_Flow_3[Amount],Cash_Flow_3[Bulan],H118,Cash_Flow_3[Type],"Out",Cash_Flow_3[Category],"Iqbal")</f>
        <v>121000</v>
      </c>
    </row>
    <row r="119" spans="1:20" ht="22.5" customHeight="1" x14ac:dyDescent="0.2">
      <c r="A119" s="23">
        <v>46063</v>
      </c>
      <c r="B119" s="24" t="s">
        <v>99</v>
      </c>
      <c r="C119" s="25" t="s">
        <v>46</v>
      </c>
      <c r="D119" s="25" t="s">
        <v>44</v>
      </c>
      <c r="E119" s="25" t="s">
        <v>6</v>
      </c>
      <c r="F119" s="26">
        <v>20000</v>
      </c>
      <c r="G119" s="27"/>
      <c r="H119" s="28">
        <f t="shared" si="0"/>
        <v>46054</v>
      </c>
      <c r="I119" s="29">
        <f>SUMIFS(Cash_Flow_3[Amount],Cash_Flow_3[Bulan],H119,Cash_Flow_3[Type],"In")</f>
        <v>7073728</v>
      </c>
      <c r="J119" s="29">
        <f>SUMIFS(Cash_Flow_3[Amount],Cash_Flow_3[Bulan],H119,Cash_Flow_3[Type],"Out")</f>
        <v>6908733</v>
      </c>
      <c r="K119" s="29">
        <f>SUMIFS(Cash_Flow_3[Amount],Cash_Flow_3[Bulan],H119,Cash_Flow_3[Type],"Out",Cash_Flow_3[Category],"Fix")</f>
        <v>2440568</v>
      </c>
      <c r="L119" s="29">
        <f>SUMIFS(Cash_Flow_3[Amount],Cash_Flow_3[Bulan],H119,Cash_Flow_3[Type],"Out",Cash_Flow_3[Category],"Bathroom")</f>
        <v>34500</v>
      </c>
      <c r="M119" s="29">
        <f>SUMIFS(Cash_Flow_3[Amount],Cash_Flow_3[Bulan],H119,Cash_Flow_3[Type],"Out",Cash_Flow_3[Category],"Alfa")</f>
        <v>293800</v>
      </c>
      <c r="N119" s="29">
        <f>SUMIFS(Cash_Flow_3[Amount],Cash_Flow_3[Bulan],H119,Cash_Flow_3[Type],"Out",Cash_Flow_3[Category],"Jajan")</f>
        <v>364000</v>
      </c>
      <c r="O119" s="29">
        <f>SUMIFS(Cash_Flow_3[Amount],Cash_Flow_3[Bulan],H119,Cash_Flow_3[Type],"Out",Cash_Flow_3[Category],"Kitchen")</f>
        <v>992724</v>
      </c>
      <c r="P119" s="29">
        <f>SUMIFS(Cash_Flow_3[Amount],Cash_Flow_3[Bulan],H119,Cash_Flow_3[Type],"Out",Cash_Flow_3[Category],"Loandry")</f>
        <v>41600</v>
      </c>
      <c r="Q119" s="29">
        <f>SUMIFS(Cash_Flow_3[Amount],Cash_Flow_3[Bulan],H119,Cash_Flow_3[Type],"Out",Cash_Flow_3[Category],"Mio")</f>
        <v>249000</v>
      </c>
      <c r="R119" s="29">
        <f>SUMIFS(Cash_Flow_3[Amount],Cash_Flow_3[Bulan],H119,Cash_Flow_3[Type],"Out",Cash_Flow_3[Category],"Sedekah")</f>
        <v>129000</v>
      </c>
      <c r="S119" s="29">
        <f>SUMIFS(Cash_Flow_3[Amount],Cash_Flow_3[Bulan],H119,Cash_Flow_3[Type],"Out",Cash_Flow_3[Category],"Zela")</f>
        <v>24100</v>
      </c>
      <c r="T119" s="29">
        <f>SUMIFS(Cash_Flow_3[Amount],Cash_Flow_3[Bulan],H119,Cash_Flow_3[Type],"Out",Cash_Flow_3[Category],"Iqbal")</f>
        <v>121000</v>
      </c>
    </row>
    <row r="120" spans="1:20" ht="22.5" customHeight="1" x14ac:dyDescent="0.2">
      <c r="A120" s="23">
        <v>46063</v>
      </c>
      <c r="B120" s="24" t="s">
        <v>160</v>
      </c>
      <c r="C120" s="25" t="s">
        <v>46</v>
      </c>
      <c r="D120" s="25" t="s">
        <v>44</v>
      </c>
      <c r="E120" s="25" t="s">
        <v>2</v>
      </c>
      <c r="F120" s="26">
        <v>8000</v>
      </c>
      <c r="G120" s="27"/>
      <c r="H120" s="28">
        <f t="shared" si="0"/>
        <v>46054</v>
      </c>
      <c r="I120" s="29">
        <f>SUMIFS(Cash_Flow_3[Amount],Cash_Flow_3[Bulan],H120,Cash_Flow_3[Type],"In")</f>
        <v>7073728</v>
      </c>
      <c r="J120" s="29">
        <f>SUMIFS(Cash_Flow_3[Amount],Cash_Flow_3[Bulan],H120,Cash_Flow_3[Type],"Out")</f>
        <v>6908733</v>
      </c>
      <c r="K120" s="29">
        <f>SUMIFS(Cash_Flow_3[Amount],Cash_Flow_3[Bulan],H120,Cash_Flow_3[Type],"Out",Cash_Flow_3[Category],"Fix")</f>
        <v>2440568</v>
      </c>
      <c r="L120" s="29">
        <f>SUMIFS(Cash_Flow_3[Amount],Cash_Flow_3[Bulan],H120,Cash_Flow_3[Type],"Out",Cash_Flow_3[Category],"Bathroom")</f>
        <v>34500</v>
      </c>
      <c r="M120" s="29">
        <f>SUMIFS(Cash_Flow_3[Amount],Cash_Flow_3[Bulan],H120,Cash_Flow_3[Type],"Out",Cash_Flow_3[Category],"Alfa")</f>
        <v>293800</v>
      </c>
      <c r="N120" s="29">
        <f>SUMIFS(Cash_Flow_3[Amount],Cash_Flow_3[Bulan],H120,Cash_Flow_3[Type],"Out",Cash_Flow_3[Category],"Jajan")</f>
        <v>364000</v>
      </c>
      <c r="O120" s="29">
        <f>SUMIFS(Cash_Flow_3[Amount],Cash_Flow_3[Bulan],H120,Cash_Flow_3[Type],"Out",Cash_Flow_3[Category],"Kitchen")</f>
        <v>992724</v>
      </c>
      <c r="P120" s="29">
        <f>SUMIFS(Cash_Flow_3[Amount],Cash_Flow_3[Bulan],H120,Cash_Flow_3[Type],"Out",Cash_Flow_3[Category],"Loandry")</f>
        <v>41600</v>
      </c>
      <c r="Q120" s="29">
        <f>SUMIFS(Cash_Flow_3[Amount],Cash_Flow_3[Bulan],H120,Cash_Flow_3[Type],"Out",Cash_Flow_3[Category],"Mio")</f>
        <v>249000</v>
      </c>
      <c r="R120" s="29">
        <f>SUMIFS(Cash_Flow_3[Amount],Cash_Flow_3[Bulan],H120,Cash_Flow_3[Type],"Out",Cash_Flow_3[Category],"Sedekah")</f>
        <v>129000</v>
      </c>
      <c r="S120" s="29">
        <f>SUMIFS(Cash_Flow_3[Amount],Cash_Flow_3[Bulan],H120,Cash_Flow_3[Type],"Out",Cash_Flow_3[Category],"Zela")</f>
        <v>24100</v>
      </c>
      <c r="T120" s="29">
        <f>SUMIFS(Cash_Flow_3[Amount],Cash_Flow_3[Bulan],H120,Cash_Flow_3[Type],"Out",Cash_Flow_3[Category],"Iqbal")</f>
        <v>121000</v>
      </c>
    </row>
    <row r="121" spans="1:20" ht="22.5" customHeight="1" x14ac:dyDescent="0.2">
      <c r="A121" s="23">
        <v>46061</v>
      </c>
      <c r="B121" s="24" t="s">
        <v>162</v>
      </c>
      <c r="C121" s="25" t="s">
        <v>43</v>
      </c>
      <c r="D121" s="25" t="s">
        <v>44</v>
      </c>
      <c r="E121" s="25" t="s">
        <v>0</v>
      </c>
      <c r="F121" s="26">
        <v>15000</v>
      </c>
      <c r="G121" s="27"/>
      <c r="H121" s="28">
        <f t="shared" si="0"/>
        <v>46054</v>
      </c>
      <c r="I121" s="29">
        <f>SUMIFS(Cash_Flow_3[Amount],Cash_Flow_3[Bulan],H121,Cash_Flow_3[Type],"In")</f>
        <v>7073728</v>
      </c>
      <c r="J121" s="29">
        <f>SUMIFS(Cash_Flow_3[Amount],Cash_Flow_3[Bulan],H121,Cash_Flow_3[Type],"Out")</f>
        <v>6908733</v>
      </c>
      <c r="K121" s="29">
        <f>SUMIFS(Cash_Flow_3[Amount],Cash_Flow_3[Bulan],H121,Cash_Flow_3[Type],"Out",Cash_Flow_3[Category],"Fix")</f>
        <v>2440568</v>
      </c>
      <c r="L121" s="29">
        <f>SUMIFS(Cash_Flow_3[Amount],Cash_Flow_3[Bulan],H121,Cash_Flow_3[Type],"Out",Cash_Flow_3[Category],"Bathroom")</f>
        <v>34500</v>
      </c>
      <c r="M121" s="29">
        <f>SUMIFS(Cash_Flow_3[Amount],Cash_Flow_3[Bulan],H121,Cash_Flow_3[Type],"Out",Cash_Flow_3[Category],"Alfa")</f>
        <v>293800</v>
      </c>
      <c r="N121" s="29">
        <f>SUMIFS(Cash_Flow_3[Amount],Cash_Flow_3[Bulan],H121,Cash_Flow_3[Type],"Out",Cash_Flow_3[Category],"Jajan")</f>
        <v>364000</v>
      </c>
      <c r="O121" s="29">
        <f>SUMIFS(Cash_Flow_3[Amount],Cash_Flow_3[Bulan],H121,Cash_Flow_3[Type],"Out",Cash_Flow_3[Category],"Kitchen")</f>
        <v>992724</v>
      </c>
      <c r="P121" s="29">
        <f>SUMIFS(Cash_Flow_3[Amount],Cash_Flow_3[Bulan],H121,Cash_Flow_3[Type],"Out",Cash_Flow_3[Category],"Loandry")</f>
        <v>41600</v>
      </c>
      <c r="Q121" s="29">
        <f>SUMIFS(Cash_Flow_3[Amount],Cash_Flow_3[Bulan],H121,Cash_Flow_3[Type],"Out",Cash_Flow_3[Category],"Mio")</f>
        <v>249000</v>
      </c>
      <c r="R121" s="29">
        <f>SUMIFS(Cash_Flow_3[Amount],Cash_Flow_3[Bulan],H121,Cash_Flow_3[Type],"Out",Cash_Flow_3[Category],"Sedekah")</f>
        <v>129000</v>
      </c>
      <c r="S121" s="29">
        <f>SUMIFS(Cash_Flow_3[Amount],Cash_Flow_3[Bulan],H121,Cash_Flow_3[Type],"Out",Cash_Flow_3[Category],"Zela")</f>
        <v>24100</v>
      </c>
      <c r="T121" s="29">
        <f>SUMIFS(Cash_Flow_3[Amount],Cash_Flow_3[Bulan],H121,Cash_Flow_3[Type],"Out",Cash_Flow_3[Category],"Iqbal")</f>
        <v>121000</v>
      </c>
    </row>
    <row r="122" spans="1:20" ht="22.5" customHeight="1" x14ac:dyDescent="0.2">
      <c r="A122" s="23">
        <v>46063</v>
      </c>
      <c r="B122" s="24" t="s">
        <v>163</v>
      </c>
      <c r="C122" s="25" t="s">
        <v>43</v>
      </c>
      <c r="D122" s="25" t="s">
        <v>44</v>
      </c>
      <c r="E122" s="25" t="s">
        <v>1</v>
      </c>
      <c r="F122" s="26">
        <v>36000</v>
      </c>
      <c r="G122" s="27"/>
      <c r="H122" s="28">
        <f t="shared" si="0"/>
        <v>46054</v>
      </c>
      <c r="I122" s="29">
        <f>SUMIFS(Cash_Flow_3[Amount],Cash_Flow_3[Bulan],H122,Cash_Flow_3[Type],"In")</f>
        <v>7073728</v>
      </c>
      <c r="J122" s="29">
        <f>SUMIFS(Cash_Flow_3[Amount],Cash_Flow_3[Bulan],H122,Cash_Flow_3[Type],"Out")</f>
        <v>6908733</v>
      </c>
      <c r="K122" s="29">
        <f>SUMIFS(Cash_Flow_3[Amount],Cash_Flow_3[Bulan],H122,Cash_Flow_3[Type],"Out",Cash_Flow_3[Category],"Fix")</f>
        <v>2440568</v>
      </c>
      <c r="L122" s="29">
        <f>SUMIFS(Cash_Flow_3[Amount],Cash_Flow_3[Bulan],H122,Cash_Flow_3[Type],"Out",Cash_Flow_3[Category],"Bathroom")</f>
        <v>34500</v>
      </c>
      <c r="M122" s="29">
        <f>SUMIFS(Cash_Flow_3[Amount],Cash_Flow_3[Bulan],H122,Cash_Flow_3[Type],"Out",Cash_Flow_3[Category],"Alfa")</f>
        <v>293800</v>
      </c>
      <c r="N122" s="29">
        <f>SUMIFS(Cash_Flow_3[Amount],Cash_Flow_3[Bulan],H122,Cash_Flow_3[Type],"Out",Cash_Flow_3[Category],"Jajan")</f>
        <v>364000</v>
      </c>
      <c r="O122" s="29">
        <f>SUMIFS(Cash_Flow_3[Amount],Cash_Flow_3[Bulan],H122,Cash_Flow_3[Type],"Out",Cash_Flow_3[Category],"Kitchen")</f>
        <v>992724</v>
      </c>
      <c r="P122" s="29">
        <f>SUMIFS(Cash_Flow_3[Amount],Cash_Flow_3[Bulan],H122,Cash_Flow_3[Type],"Out",Cash_Flow_3[Category],"Loandry")</f>
        <v>41600</v>
      </c>
      <c r="Q122" s="29">
        <f>SUMIFS(Cash_Flow_3[Amount],Cash_Flow_3[Bulan],H122,Cash_Flow_3[Type],"Out",Cash_Flow_3[Category],"Mio")</f>
        <v>249000</v>
      </c>
      <c r="R122" s="29">
        <f>SUMIFS(Cash_Flow_3[Amount],Cash_Flow_3[Bulan],H122,Cash_Flow_3[Type],"Out",Cash_Flow_3[Category],"Sedekah")</f>
        <v>129000</v>
      </c>
      <c r="S122" s="29">
        <f>SUMIFS(Cash_Flow_3[Amount],Cash_Flow_3[Bulan],H122,Cash_Flow_3[Type],"Out",Cash_Flow_3[Category],"Zela")</f>
        <v>24100</v>
      </c>
      <c r="T122" s="29">
        <f>SUMIFS(Cash_Flow_3[Amount],Cash_Flow_3[Bulan],H122,Cash_Flow_3[Type],"Out",Cash_Flow_3[Category],"Iqbal")</f>
        <v>121000</v>
      </c>
    </row>
    <row r="123" spans="1:20" ht="22.5" customHeight="1" x14ac:dyDescent="0.2">
      <c r="A123" s="23">
        <v>46063</v>
      </c>
      <c r="B123" s="24" t="s">
        <v>816</v>
      </c>
      <c r="C123" s="25" t="s">
        <v>43</v>
      </c>
      <c r="D123" s="25" t="s">
        <v>44</v>
      </c>
      <c r="E123" s="25" t="s">
        <v>3</v>
      </c>
      <c r="F123" s="26">
        <v>11500</v>
      </c>
      <c r="G123" s="27"/>
      <c r="H123" s="28">
        <f t="shared" si="0"/>
        <v>46054</v>
      </c>
      <c r="I123" s="29">
        <f>SUMIFS(Cash_Flow_3[Amount],Cash_Flow_3[Bulan],H123,Cash_Flow_3[Type],"In")</f>
        <v>7073728</v>
      </c>
      <c r="J123" s="29">
        <f>SUMIFS(Cash_Flow_3[Amount],Cash_Flow_3[Bulan],H123,Cash_Flow_3[Type],"Out")</f>
        <v>6908733</v>
      </c>
      <c r="K123" s="29">
        <f>SUMIFS(Cash_Flow_3[Amount],Cash_Flow_3[Bulan],H123,Cash_Flow_3[Type],"Out",Cash_Flow_3[Category],"Fix")</f>
        <v>2440568</v>
      </c>
      <c r="L123" s="29">
        <f>SUMIFS(Cash_Flow_3[Amount],Cash_Flow_3[Bulan],H123,Cash_Flow_3[Type],"Out",Cash_Flow_3[Category],"Bathroom")</f>
        <v>34500</v>
      </c>
      <c r="M123" s="29">
        <f>SUMIFS(Cash_Flow_3[Amount],Cash_Flow_3[Bulan],H123,Cash_Flow_3[Type],"Out",Cash_Flow_3[Category],"Alfa")</f>
        <v>293800</v>
      </c>
      <c r="N123" s="29">
        <f>SUMIFS(Cash_Flow_3[Amount],Cash_Flow_3[Bulan],H123,Cash_Flow_3[Type],"Out",Cash_Flow_3[Category],"Jajan")</f>
        <v>364000</v>
      </c>
      <c r="O123" s="29">
        <f>SUMIFS(Cash_Flow_3[Amount],Cash_Flow_3[Bulan],H123,Cash_Flow_3[Type],"Out",Cash_Flow_3[Category],"Kitchen")</f>
        <v>992724</v>
      </c>
      <c r="P123" s="29">
        <f>SUMIFS(Cash_Flow_3[Amount],Cash_Flow_3[Bulan],H123,Cash_Flow_3[Type],"Out",Cash_Flow_3[Category],"Loandry")</f>
        <v>41600</v>
      </c>
      <c r="Q123" s="29">
        <f>SUMIFS(Cash_Flow_3[Amount],Cash_Flow_3[Bulan],H123,Cash_Flow_3[Type],"Out",Cash_Flow_3[Category],"Mio")</f>
        <v>249000</v>
      </c>
      <c r="R123" s="29">
        <f>SUMIFS(Cash_Flow_3[Amount],Cash_Flow_3[Bulan],H123,Cash_Flow_3[Type],"Out",Cash_Flow_3[Category],"Sedekah")</f>
        <v>129000</v>
      </c>
      <c r="S123" s="29">
        <f>SUMIFS(Cash_Flow_3[Amount],Cash_Flow_3[Bulan],H123,Cash_Flow_3[Type],"Out",Cash_Flow_3[Category],"Zela")</f>
        <v>24100</v>
      </c>
      <c r="T123" s="29">
        <f>SUMIFS(Cash_Flow_3[Amount],Cash_Flow_3[Bulan],H123,Cash_Flow_3[Type],"Out",Cash_Flow_3[Category],"Iqbal")</f>
        <v>121000</v>
      </c>
    </row>
    <row r="124" spans="1:20" ht="22.5" customHeight="1" x14ac:dyDescent="0.2">
      <c r="A124" s="23">
        <v>46064</v>
      </c>
      <c r="B124" s="24" t="s">
        <v>167</v>
      </c>
      <c r="C124" s="25" t="s">
        <v>46</v>
      </c>
      <c r="D124" s="25" t="s">
        <v>44</v>
      </c>
      <c r="E124" s="25" t="s">
        <v>2</v>
      </c>
      <c r="F124" s="26">
        <v>22000</v>
      </c>
      <c r="G124" s="27"/>
      <c r="H124" s="28">
        <f t="shared" si="0"/>
        <v>46054</v>
      </c>
      <c r="I124" s="29">
        <f>SUMIFS(Cash_Flow_3[Amount],Cash_Flow_3[Bulan],H124,Cash_Flow_3[Type],"In")</f>
        <v>7073728</v>
      </c>
      <c r="J124" s="29">
        <f>SUMIFS(Cash_Flow_3[Amount],Cash_Flow_3[Bulan],H124,Cash_Flow_3[Type],"Out")</f>
        <v>6908733</v>
      </c>
      <c r="K124" s="29">
        <f>SUMIFS(Cash_Flow_3[Amount],Cash_Flow_3[Bulan],H124,Cash_Flow_3[Type],"Out",Cash_Flow_3[Category],"Fix")</f>
        <v>2440568</v>
      </c>
      <c r="L124" s="29">
        <f>SUMIFS(Cash_Flow_3[Amount],Cash_Flow_3[Bulan],H124,Cash_Flow_3[Type],"Out",Cash_Flow_3[Category],"Bathroom")</f>
        <v>34500</v>
      </c>
      <c r="M124" s="29">
        <f>SUMIFS(Cash_Flow_3[Amount],Cash_Flow_3[Bulan],H124,Cash_Flow_3[Type],"Out",Cash_Flow_3[Category],"Alfa")</f>
        <v>293800</v>
      </c>
      <c r="N124" s="29">
        <f>SUMIFS(Cash_Flow_3[Amount],Cash_Flow_3[Bulan],H124,Cash_Flow_3[Type],"Out",Cash_Flow_3[Category],"Jajan")</f>
        <v>364000</v>
      </c>
      <c r="O124" s="29">
        <f>SUMIFS(Cash_Flow_3[Amount],Cash_Flow_3[Bulan],H124,Cash_Flow_3[Type],"Out",Cash_Flow_3[Category],"Kitchen")</f>
        <v>992724</v>
      </c>
      <c r="P124" s="29">
        <f>SUMIFS(Cash_Flow_3[Amount],Cash_Flow_3[Bulan],H124,Cash_Flow_3[Type],"Out",Cash_Flow_3[Category],"Loandry")</f>
        <v>41600</v>
      </c>
      <c r="Q124" s="29">
        <f>SUMIFS(Cash_Flow_3[Amount],Cash_Flow_3[Bulan],H124,Cash_Flow_3[Type],"Out",Cash_Flow_3[Category],"Mio")</f>
        <v>249000</v>
      </c>
      <c r="R124" s="29">
        <f>SUMIFS(Cash_Flow_3[Amount],Cash_Flow_3[Bulan],H124,Cash_Flow_3[Type],"Out",Cash_Flow_3[Category],"Sedekah")</f>
        <v>129000</v>
      </c>
      <c r="S124" s="29">
        <f>SUMIFS(Cash_Flow_3[Amount],Cash_Flow_3[Bulan],H124,Cash_Flow_3[Type],"Out",Cash_Flow_3[Category],"Zela")</f>
        <v>24100</v>
      </c>
      <c r="T124" s="29">
        <f>SUMIFS(Cash_Flow_3[Amount],Cash_Flow_3[Bulan],H124,Cash_Flow_3[Type],"Out",Cash_Flow_3[Category],"Iqbal")</f>
        <v>121000</v>
      </c>
    </row>
    <row r="125" spans="1:20" ht="22.5" customHeight="1" x14ac:dyDescent="0.2">
      <c r="A125" s="23">
        <v>46064</v>
      </c>
      <c r="B125" s="24" t="s">
        <v>76</v>
      </c>
      <c r="C125" s="25" t="s">
        <v>43</v>
      </c>
      <c r="D125" s="25" t="s">
        <v>9</v>
      </c>
      <c r="E125" s="25" t="s">
        <v>9</v>
      </c>
      <c r="F125" s="26">
        <v>150000</v>
      </c>
      <c r="G125" s="27"/>
      <c r="H125" s="28">
        <f t="shared" si="0"/>
        <v>46054</v>
      </c>
      <c r="I125" s="29">
        <f>SUMIFS(Cash_Flow_3[Amount],Cash_Flow_3[Bulan],H125,Cash_Flow_3[Type],"In")</f>
        <v>7073728</v>
      </c>
      <c r="J125" s="29">
        <f>SUMIFS(Cash_Flow_3[Amount],Cash_Flow_3[Bulan],H125,Cash_Flow_3[Type],"Out")</f>
        <v>6908733</v>
      </c>
      <c r="K125" s="29">
        <f>SUMIFS(Cash_Flow_3[Amount],Cash_Flow_3[Bulan],H125,Cash_Flow_3[Type],"Out",Cash_Flow_3[Category],"Fix")</f>
        <v>2440568</v>
      </c>
      <c r="L125" s="29">
        <f>SUMIFS(Cash_Flow_3[Amount],Cash_Flow_3[Bulan],H125,Cash_Flow_3[Type],"Out",Cash_Flow_3[Category],"Bathroom")</f>
        <v>34500</v>
      </c>
      <c r="M125" s="29">
        <f>SUMIFS(Cash_Flow_3[Amount],Cash_Flow_3[Bulan],H125,Cash_Flow_3[Type],"Out",Cash_Flow_3[Category],"Alfa")</f>
        <v>293800</v>
      </c>
      <c r="N125" s="29">
        <f>SUMIFS(Cash_Flow_3[Amount],Cash_Flow_3[Bulan],H125,Cash_Flow_3[Type],"Out",Cash_Flow_3[Category],"Jajan")</f>
        <v>364000</v>
      </c>
      <c r="O125" s="29">
        <f>SUMIFS(Cash_Flow_3[Amount],Cash_Flow_3[Bulan],H125,Cash_Flow_3[Type],"Out",Cash_Flow_3[Category],"Kitchen")</f>
        <v>992724</v>
      </c>
      <c r="P125" s="29">
        <f>SUMIFS(Cash_Flow_3[Amount],Cash_Flow_3[Bulan],H125,Cash_Flow_3[Type],"Out",Cash_Flow_3[Category],"Loandry")</f>
        <v>41600</v>
      </c>
      <c r="Q125" s="29">
        <f>SUMIFS(Cash_Flow_3[Amount],Cash_Flow_3[Bulan],H125,Cash_Flow_3[Type],"Out",Cash_Flow_3[Category],"Mio")</f>
        <v>249000</v>
      </c>
      <c r="R125" s="29">
        <f>SUMIFS(Cash_Flow_3[Amount],Cash_Flow_3[Bulan],H125,Cash_Flow_3[Type],"Out",Cash_Flow_3[Category],"Sedekah")</f>
        <v>129000</v>
      </c>
      <c r="S125" s="29">
        <f>SUMIFS(Cash_Flow_3[Amount],Cash_Flow_3[Bulan],H125,Cash_Flow_3[Type],"Out",Cash_Flow_3[Category],"Zela")</f>
        <v>24100</v>
      </c>
      <c r="T125" s="29">
        <f>SUMIFS(Cash_Flow_3[Amount],Cash_Flow_3[Bulan],H125,Cash_Flow_3[Type],"Out",Cash_Flow_3[Category],"Iqbal")</f>
        <v>121000</v>
      </c>
    </row>
    <row r="126" spans="1:20" ht="22.5" customHeight="1" x14ac:dyDescent="0.2">
      <c r="A126" s="23">
        <v>46064</v>
      </c>
      <c r="B126" s="24" t="s">
        <v>74</v>
      </c>
      <c r="C126" s="25" t="s">
        <v>46</v>
      </c>
      <c r="D126" s="25" t="s">
        <v>9</v>
      </c>
      <c r="E126" s="25" t="s">
        <v>9</v>
      </c>
      <c r="F126" s="26">
        <v>150000</v>
      </c>
      <c r="G126" s="27"/>
      <c r="H126" s="28">
        <f t="shared" si="0"/>
        <v>46054</v>
      </c>
      <c r="I126" s="29">
        <f>SUMIFS(Cash_Flow_3[Amount],Cash_Flow_3[Bulan],H126,Cash_Flow_3[Type],"In")</f>
        <v>7073728</v>
      </c>
      <c r="J126" s="29">
        <f>SUMIFS(Cash_Flow_3[Amount],Cash_Flow_3[Bulan],H126,Cash_Flow_3[Type],"Out")</f>
        <v>6908733</v>
      </c>
      <c r="K126" s="29">
        <f>SUMIFS(Cash_Flow_3[Amount],Cash_Flow_3[Bulan],H126,Cash_Flow_3[Type],"Out",Cash_Flow_3[Category],"Fix")</f>
        <v>2440568</v>
      </c>
      <c r="L126" s="29">
        <f>SUMIFS(Cash_Flow_3[Amount],Cash_Flow_3[Bulan],H126,Cash_Flow_3[Type],"Out",Cash_Flow_3[Category],"Bathroom")</f>
        <v>34500</v>
      </c>
      <c r="M126" s="29">
        <f>SUMIFS(Cash_Flow_3[Amount],Cash_Flow_3[Bulan],H126,Cash_Flow_3[Type],"Out",Cash_Flow_3[Category],"Alfa")</f>
        <v>293800</v>
      </c>
      <c r="N126" s="29">
        <f>SUMIFS(Cash_Flow_3[Amount],Cash_Flow_3[Bulan],H126,Cash_Flow_3[Type],"Out",Cash_Flow_3[Category],"Jajan")</f>
        <v>364000</v>
      </c>
      <c r="O126" s="29">
        <f>SUMIFS(Cash_Flow_3[Amount],Cash_Flow_3[Bulan],H126,Cash_Flow_3[Type],"Out",Cash_Flow_3[Category],"Kitchen")</f>
        <v>992724</v>
      </c>
      <c r="P126" s="29">
        <f>SUMIFS(Cash_Flow_3[Amount],Cash_Flow_3[Bulan],H126,Cash_Flow_3[Type],"Out",Cash_Flow_3[Category],"Loandry")</f>
        <v>41600</v>
      </c>
      <c r="Q126" s="29">
        <f>SUMIFS(Cash_Flow_3[Amount],Cash_Flow_3[Bulan],H126,Cash_Flow_3[Type],"Out",Cash_Flow_3[Category],"Mio")</f>
        <v>249000</v>
      </c>
      <c r="R126" s="29">
        <f>SUMIFS(Cash_Flow_3[Amount],Cash_Flow_3[Bulan],H126,Cash_Flow_3[Type],"Out",Cash_Flow_3[Category],"Sedekah")</f>
        <v>129000</v>
      </c>
      <c r="S126" s="29">
        <f>SUMIFS(Cash_Flow_3[Amount],Cash_Flow_3[Bulan],H126,Cash_Flow_3[Type],"Out",Cash_Flow_3[Category],"Zela")</f>
        <v>24100</v>
      </c>
      <c r="T126" s="29">
        <f>SUMIFS(Cash_Flow_3[Amount],Cash_Flow_3[Bulan],H126,Cash_Flow_3[Type],"Out",Cash_Flow_3[Category],"Iqbal")</f>
        <v>121000</v>
      </c>
    </row>
    <row r="127" spans="1:20" ht="22.5" customHeight="1" x14ac:dyDescent="0.2">
      <c r="A127" s="23">
        <v>46065</v>
      </c>
      <c r="B127" s="24" t="s">
        <v>171</v>
      </c>
      <c r="C127" s="25" t="s">
        <v>43</v>
      </c>
      <c r="D127" s="25" t="s">
        <v>44</v>
      </c>
      <c r="E127" s="25" t="s">
        <v>0</v>
      </c>
      <c r="F127" s="26">
        <v>15000</v>
      </c>
      <c r="G127" s="27"/>
      <c r="H127" s="28">
        <f t="shared" si="0"/>
        <v>46054</v>
      </c>
      <c r="I127" s="29">
        <f>SUMIFS(Cash_Flow_3[Amount],Cash_Flow_3[Bulan],H127,Cash_Flow_3[Type],"In")</f>
        <v>7073728</v>
      </c>
      <c r="J127" s="29">
        <f>SUMIFS(Cash_Flow_3[Amount],Cash_Flow_3[Bulan],H127,Cash_Flow_3[Type],"Out")</f>
        <v>6908733</v>
      </c>
      <c r="K127" s="29">
        <f>SUMIFS(Cash_Flow_3[Amount],Cash_Flow_3[Bulan],H127,Cash_Flow_3[Type],"Out",Cash_Flow_3[Category],"Fix")</f>
        <v>2440568</v>
      </c>
      <c r="L127" s="29">
        <f>SUMIFS(Cash_Flow_3[Amount],Cash_Flow_3[Bulan],H127,Cash_Flow_3[Type],"Out",Cash_Flow_3[Category],"Bathroom")</f>
        <v>34500</v>
      </c>
      <c r="M127" s="29">
        <f>SUMIFS(Cash_Flow_3[Amount],Cash_Flow_3[Bulan],H127,Cash_Flow_3[Type],"Out",Cash_Flow_3[Category],"Alfa")</f>
        <v>293800</v>
      </c>
      <c r="N127" s="29">
        <f>SUMIFS(Cash_Flow_3[Amount],Cash_Flow_3[Bulan],H127,Cash_Flow_3[Type],"Out",Cash_Flow_3[Category],"Jajan")</f>
        <v>364000</v>
      </c>
      <c r="O127" s="29">
        <f>SUMIFS(Cash_Flow_3[Amount],Cash_Flow_3[Bulan],H127,Cash_Flow_3[Type],"Out",Cash_Flow_3[Category],"Kitchen")</f>
        <v>992724</v>
      </c>
      <c r="P127" s="29">
        <f>SUMIFS(Cash_Flow_3[Amount],Cash_Flow_3[Bulan],H127,Cash_Flow_3[Type],"Out",Cash_Flow_3[Category],"Loandry")</f>
        <v>41600</v>
      </c>
      <c r="Q127" s="29">
        <f>SUMIFS(Cash_Flow_3[Amount],Cash_Flow_3[Bulan],H127,Cash_Flow_3[Type],"Out",Cash_Flow_3[Category],"Mio")</f>
        <v>249000</v>
      </c>
      <c r="R127" s="29">
        <f>SUMIFS(Cash_Flow_3[Amount],Cash_Flow_3[Bulan],H127,Cash_Flow_3[Type],"Out",Cash_Flow_3[Category],"Sedekah")</f>
        <v>129000</v>
      </c>
      <c r="S127" s="29">
        <f>SUMIFS(Cash_Flow_3[Amount],Cash_Flow_3[Bulan],H127,Cash_Flow_3[Type],"Out",Cash_Flow_3[Category],"Zela")</f>
        <v>24100</v>
      </c>
      <c r="T127" s="29">
        <f>SUMIFS(Cash_Flow_3[Amount],Cash_Flow_3[Bulan],H127,Cash_Flow_3[Type],"Out",Cash_Flow_3[Category],"Iqbal")</f>
        <v>121000</v>
      </c>
    </row>
    <row r="128" spans="1:20" ht="22.5" customHeight="1" x14ac:dyDescent="0.2">
      <c r="A128" s="23">
        <v>46065</v>
      </c>
      <c r="B128" s="24" t="s">
        <v>173</v>
      </c>
      <c r="C128" s="25" t="s">
        <v>43</v>
      </c>
      <c r="D128" s="25" t="s">
        <v>44</v>
      </c>
      <c r="E128" s="25" t="s">
        <v>10</v>
      </c>
      <c r="F128" s="26">
        <v>100000</v>
      </c>
      <c r="G128" s="27"/>
      <c r="H128" s="28">
        <f t="shared" si="0"/>
        <v>46054</v>
      </c>
      <c r="I128" s="29">
        <f>SUMIFS(Cash_Flow_3[Amount],Cash_Flow_3[Bulan],H128,Cash_Flow_3[Type],"In")</f>
        <v>7073728</v>
      </c>
      <c r="J128" s="29">
        <f>SUMIFS(Cash_Flow_3[Amount],Cash_Flow_3[Bulan],H128,Cash_Flow_3[Type],"Out")</f>
        <v>6908733</v>
      </c>
      <c r="K128" s="29">
        <f>SUMIFS(Cash_Flow_3[Amount],Cash_Flow_3[Bulan],H128,Cash_Flow_3[Type],"Out",Cash_Flow_3[Category],"Fix")</f>
        <v>2440568</v>
      </c>
      <c r="L128" s="29">
        <f>SUMIFS(Cash_Flow_3[Amount],Cash_Flow_3[Bulan],H128,Cash_Flow_3[Type],"Out",Cash_Flow_3[Category],"Bathroom")</f>
        <v>34500</v>
      </c>
      <c r="M128" s="29">
        <f>SUMIFS(Cash_Flow_3[Amount],Cash_Flow_3[Bulan],H128,Cash_Flow_3[Type],"Out",Cash_Flow_3[Category],"Alfa")</f>
        <v>293800</v>
      </c>
      <c r="N128" s="29">
        <f>SUMIFS(Cash_Flow_3[Amount],Cash_Flow_3[Bulan],H128,Cash_Flow_3[Type],"Out",Cash_Flow_3[Category],"Jajan")</f>
        <v>364000</v>
      </c>
      <c r="O128" s="29">
        <f>SUMIFS(Cash_Flow_3[Amount],Cash_Flow_3[Bulan],H128,Cash_Flow_3[Type],"Out",Cash_Flow_3[Category],"Kitchen")</f>
        <v>992724</v>
      </c>
      <c r="P128" s="29">
        <f>SUMIFS(Cash_Flow_3[Amount],Cash_Flow_3[Bulan],H128,Cash_Flow_3[Type],"Out",Cash_Flow_3[Category],"Loandry")</f>
        <v>41600</v>
      </c>
      <c r="Q128" s="29">
        <f>SUMIFS(Cash_Flow_3[Amount],Cash_Flow_3[Bulan],H128,Cash_Flow_3[Type],"Out",Cash_Flow_3[Category],"Mio")</f>
        <v>249000</v>
      </c>
      <c r="R128" s="29">
        <f>SUMIFS(Cash_Flow_3[Amount],Cash_Flow_3[Bulan],H128,Cash_Flow_3[Type],"Out",Cash_Flow_3[Category],"Sedekah")</f>
        <v>129000</v>
      </c>
      <c r="S128" s="29">
        <f>SUMIFS(Cash_Flow_3[Amount],Cash_Flow_3[Bulan],H128,Cash_Flow_3[Type],"Out",Cash_Flow_3[Category],"Zela")</f>
        <v>24100</v>
      </c>
      <c r="T128" s="29">
        <f>SUMIFS(Cash_Flow_3[Amount],Cash_Flow_3[Bulan],H128,Cash_Flow_3[Type],"Out",Cash_Flow_3[Category],"Iqbal")</f>
        <v>121000</v>
      </c>
    </row>
    <row r="129" spans="1:20" ht="22.5" customHeight="1" x14ac:dyDescent="0.2">
      <c r="A129" s="23">
        <v>46066</v>
      </c>
      <c r="B129" s="24" t="s">
        <v>175</v>
      </c>
      <c r="C129" s="25" t="s">
        <v>43</v>
      </c>
      <c r="D129" s="25" t="s">
        <v>44</v>
      </c>
      <c r="E129" s="25" t="s">
        <v>7</v>
      </c>
      <c r="F129" s="26">
        <v>11500</v>
      </c>
      <c r="G129" s="27"/>
      <c r="H129" s="28">
        <f t="shared" si="0"/>
        <v>46054</v>
      </c>
      <c r="I129" s="29">
        <f>SUMIFS(Cash_Flow_3[Amount],Cash_Flow_3[Bulan],H129,Cash_Flow_3[Type],"In")</f>
        <v>7073728</v>
      </c>
      <c r="J129" s="29">
        <f>SUMIFS(Cash_Flow_3[Amount],Cash_Flow_3[Bulan],H129,Cash_Flow_3[Type],"Out")</f>
        <v>6908733</v>
      </c>
      <c r="K129" s="29">
        <f>SUMIFS(Cash_Flow_3[Amount],Cash_Flow_3[Bulan],H129,Cash_Flow_3[Type],"Out",Cash_Flow_3[Category],"Fix")</f>
        <v>2440568</v>
      </c>
      <c r="L129" s="29">
        <f>SUMIFS(Cash_Flow_3[Amount],Cash_Flow_3[Bulan],H129,Cash_Flow_3[Type],"Out",Cash_Flow_3[Category],"Bathroom")</f>
        <v>34500</v>
      </c>
      <c r="M129" s="29">
        <f>SUMIFS(Cash_Flow_3[Amount],Cash_Flow_3[Bulan],H129,Cash_Flow_3[Type],"Out",Cash_Flow_3[Category],"Alfa")</f>
        <v>293800</v>
      </c>
      <c r="N129" s="29">
        <f>SUMIFS(Cash_Flow_3[Amount],Cash_Flow_3[Bulan],H129,Cash_Flow_3[Type],"Out",Cash_Flow_3[Category],"Jajan")</f>
        <v>364000</v>
      </c>
      <c r="O129" s="29">
        <f>SUMIFS(Cash_Flow_3[Amount],Cash_Flow_3[Bulan],H129,Cash_Flow_3[Type],"Out",Cash_Flow_3[Category],"Kitchen")</f>
        <v>992724</v>
      </c>
      <c r="P129" s="29">
        <f>SUMIFS(Cash_Flow_3[Amount],Cash_Flow_3[Bulan],H129,Cash_Flow_3[Type],"Out",Cash_Flow_3[Category],"Loandry")</f>
        <v>41600</v>
      </c>
      <c r="Q129" s="29">
        <f>SUMIFS(Cash_Flow_3[Amount],Cash_Flow_3[Bulan],H129,Cash_Flow_3[Type],"Out",Cash_Flow_3[Category],"Mio")</f>
        <v>249000</v>
      </c>
      <c r="R129" s="29">
        <f>SUMIFS(Cash_Flow_3[Amount],Cash_Flow_3[Bulan],H129,Cash_Flow_3[Type],"Out",Cash_Flow_3[Category],"Sedekah")</f>
        <v>129000</v>
      </c>
      <c r="S129" s="29">
        <f>SUMIFS(Cash_Flow_3[Amount],Cash_Flow_3[Bulan],H129,Cash_Flow_3[Type],"Out",Cash_Flow_3[Category],"Zela")</f>
        <v>24100</v>
      </c>
      <c r="T129" s="29">
        <f>SUMIFS(Cash_Flow_3[Amount],Cash_Flow_3[Bulan],H129,Cash_Flow_3[Type],"Out",Cash_Flow_3[Category],"Iqbal")</f>
        <v>121000</v>
      </c>
    </row>
    <row r="130" spans="1:20" ht="22.5" customHeight="1" x14ac:dyDescent="0.2">
      <c r="A130" s="23">
        <v>46066</v>
      </c>
      <c r="B130" s="24" t="s">
        <v>176</v>
      </c>
      <c r="C130" s="25" t="s">
        <v>43</v>
      </c>
      <c r="D130" s="25" t="s">
        <v>44</v>
      </c>
      <c r="E130" s="25" t="s">
        <v>3</v>
      </c>
      <c r="F130" s="26">
        <v>7710</v>
      </c>
      <c r="G130" s="27"/>
      <c r="H130" s="28">
        <f t="shared" si="0"/>
        <v>46054</v>
      </c>
      <c r="I130" s="29">
        <f>SUMIFS(Cash_Flow_3[Amount],Cash_Flow_3[Bulan],H130,Cash_Flow_3[Type],"In")</f>
        <v>7073728</v>
      </c>
      <c r="J130" s="29">
        <f>SUMIFS(Cash_Flow_3[Amount],Cash_Flow_3[Bulan],H130,Cash_Flow_3[Type],"Out")</f>
        <v>6908733</v>
      </c>
      <c r="K130" s="29">
        <f>SUMIFS(Cash_Flow_3[Amount],Cash_Flow_3[Bulan],H130,Cash_Flow_3[Type],"Out",Cash_Flow_3[Category],"Fix")</f>
        <v>2440568</v>
      </c>
      <c r="L130" s="29">
        <f>SUMIFS(Cash_Flow_3[Amount],Cash_Flow_3[Bulan],H130,Cash_Flow_3[Type],"Out",Cash_Flow_3[Category],"Bathroom")</f>
        <v>34500</v>
      </c>
      <c r="M130" s="29">
        <f>SUMIFS(Cash_Flow_3[Amount],Cash_Flow_3[Bulan],H130,Cash_Flow_3[Type],"Out",Cash_Flow_3[Category],"Alfa")</f>
        <v>293800</v>
      </c>
      <c r="N130" s="29">
        <f>SUMIFS(Cash_Flow_3[Amount],Cash_Flow_3[Bulan],H130,Cash_Flow_3[Type],"Out",Cash_Flow_3[Category],"Jajan")</f>
        <v>364000</v>
      </c>
      <c r="O130" s="29">
        <f>SUMIFS(Cash_Flow_3[Amount],Cash_Flow_3[Bulan],H130,Cash_Flow_3[Type],"Out",Cash_Flow_3[Category],"Kitchen")</f>
        <v>992724</v>
      </c>
      <c r="P130" s="29">
        <f>SUMIFS(Cash_Flow_3[Amount],Cash_Flow_3[Bulan],H130,Cash_Flow_3[Type],"Out",Cash_Flow_3[Category],"Loandry")</f>
        <v>41600</v>
      </c>
      <c r="Q130" s="29">
        <f>SUMIFS(Cash_Flow_3[Amount],Cash_Flow_3[Bulan],H130,Cash_Flow_3[Type],"Out",Cash_Flow_3[Category],"Mio")</f>
        <v>249000</v>
      </c>
      <c r="R130" s="29">
        <f>SUMIFS(Cash_Flow_3[Amount],Cash_Flow_3[Bulan],H130,Cash_Flow_3[Type],"Out",Cash_Flow_3[Category],"Sedekah")</f>
        <v>129000</v>
      </c>
      <c r="S130" s="29">
        <f>SUMIFS(Cash_Flow_3[Amount],Cash_Flow_3[Bulan],H130,Cash_Flow_3[Type],"Out",Cash_Flow_3[Category],"Zela")</f>
        <v>24100</v>
      </c>
      <c r="T130" s="29">
        <f>SUMIFS(Cash_Flow_3[Amount],Cash_Flow_3[Bulan],H130,Cash_Flow_3[Type],"Out",Cash_Flow_3[Category],"Iqbal")</f>
        <v>121000</v>
      </c>
    </row>
    <row r="131" spans="1:20" ht="22.5" customHeight="1" x14ac:dyDescent="0.2">
      <c r="A131" s="23">
        <v>46066</v>
      </c>
      <c r="B131" s="24" t="s">
        <v>178</v>
      </c>
      <c r="C131" s="25" t="s">
        <v>46</v>
      </c>
      <c r="D131" s="25" t="s">
        <v>44</v>
      </c>
      <c r="E131" s="25" t="s">
        <v>3</v>
      </c>
      <c r="F131" s="26">
        <v>10000</v>
      </c>
      <c r="G131" s="27"/>
      <c r="H131" s="28">
        <f t="shared" si="0"/>
        <v>46054</v>
      </c>
      <c r="I131" s="29">
        <f>SUMIFS(Cash_Flow_3[Amount],Cash_Flow_3[Bulan],H131,Cash_Flow_3[Type],"In")</f>
        <v>7073728</v>
      </c>
      <c r="J131" s="29">
        <f>SUMIFS(Cash_Flow_3[Amount],Cash_Flow_3[Bulan],H131,Cash_Flow_3[Type],"Out")</f>
        <v>6908733</v>
      </c>
      <c r="K131" s="29">
        <f>SUMIFS(Cash_Flow_3[Amount],Cash_Flow_3[Bulan],H131,Cash_Flow_3[Type],"Out",Cash_Flow_3[Category],"Fix")</f>
        <v>2440568</v>
      </c>
      <c r="L131" s="29">
        <f>SUMIFS(Cash_Flow_3[Amount],Cash_Flow_3[Bulan],H131,Cash_Flow_3[Type],"Out",Cash_Flow_3[Category],"Bathroom")</f>
        <v>34500</v>
      </c>
      <c r="M131" s="29">
        <f>SUMIFS(Cash_Flow_3[Amount],Cash_Flow_3[Bulan],H131,Cash_Flow_3[Type],"Out",Cash_Flow_3[Category],"Alfa")</f>
        <v>293800</v>
      </c>
      <c r="N131" s="29">
        <f>SUMIFS(Cash_Flow_3[Amount],Cash_Flow_3[Bulan],H131,Cash_Flow_3[Type],"Out",Cash_Flow_3[Category],"Jajan")</f>
        <v>364000</v>
      </c>
      <c r="O131" s="29">
        <f>SUMIFS(Cash_Flow_3[Amount],Cash_Flow_3[Bulan],H131,Cash_Flow_3[Type],"Out",Cash_Flow_3[Category],"Kitchen")</f>
        <v>992724</v>
      </c>
      <c r="P131" s="29">
        <f>SUMIFS(Cash_Flow_3[Amount],Cash_Flow_3[Bulan],H131,Cash_Flow_3[Type],"Out",Cash_Flow_3[Category],"Loandry")</f>
        <v>41600</v>
      </c>
      <c r="Q131" s="29">
        <f>SUMIFS(Cash_Flow_3[Amount],Cash_Flow_3[Bulan],H131,Cash_Flow_3[Type],"Out",Cash_Flow_3[Category],"Mio")</f>
        <v>249000</v>
      </c>
      <c r="R131" s="29">
        <f>SUMIFS(Cash_Flow_3[Amount],Cash_Flow_3[Bulan],H131,Cash_Flow_3[Type],"Out",Cash_Flow_3[Category],"Sedekah")</f>
        <v>129000</v>
      </c>
      <c r="S131" s="29">
        <f>SUMIFS(Cash_Flow_3[Amount],Cash_Flow_3[Bulan],H131,Cash_Flow_3[Type],"Out",Cash_Flow_3[Category],"Zela")</f>
        <v>24100</v>
      </c>
      <c r="T131" s="29">
        <f>SUMIFS(Cash_Flow_3[Amount],Cash_Flow_3[Bulan],H131,Cash_Flow_3[Type],"Out",Cash_Flow_3[Category],"Iqbal")</f>
        <v>121000</v>
      </c>
    </row>
    <row r="132" spans="1:20" ht="22.5" customHeight="1" x14ac:dyDescent="0.2">
      <c r="A132" s="23">
        <v>46066</v>
      </c>
      <c r="B132" s="24" t="s">
        <v>700</v>
      </c>
      <c r="C132" s="25" t="s">
        <v>46</v>
      </c>
      <c r="D132" s="25" t="s">
        <v>44</v>
      </c>
      <c r="E132" s="25" t="s">
        <v>1</v>
      </c>
      <c r="F132" s="26">
        <v>10000</v>
      </c>
      <c r="G132" s="27"/>
      <c r="H132" s="28">
        <f t="shared" si="0"/>
        <v>46054</v>
      </c>
      <c r="I132" s="29">
        <f>SUMIFS(Cash_Flow_3[Amount],Cash_Flow_3[Bulan],H132,Cash_Flow_3[Type],"In")</f>
        <v>7073728</v>
      </c>
      <c r="J132" s="29">
        <f>SUMIFS(Cash_Flow_3[Amount],Cash_Flow_3[Bulan],H132,Cash_Flow_3[Type],"Out")</f>
        <v>6908733</v>
      </c>
      <c r="K132" s="29">
        <f>SUMIFS(Cash_Flow_3[Amount],Cash_Flow_3[Bulan],H132,Cash_Flow_3[Type],"Out",Cash_Flow_3[Category],"Fix")</f>
        <v>2440568</v>
      </c>
      <c r="L132" s="29">
        <f>SUMIFS(Cash_Flow_3[Amount],Cash_Flow_3[Bulan],H132,Cash_Flow_3[Type],"Out",Cash_Flow_3[Category],"Bathroom")</f>
        <v>34500</v>
      </c>
      <c r="M132" s="29">
        <f>SUMIFS(Cash_Flow_3[Amount],Cash_Flow_3[Bulan],H132,Cash_Flow_3[Type],"Out",Cash_Flow_3[Category],"Alfa")</f>
        <v>293800</v>
      </c>
      <c r="N132" s="29">
        <f>SUMIFS(Cash_Flow_3[Amount],Cash_Flow_3[Bulan],H132,Cash_Flow_3[Type],"Out",Cash_Flow_3[Category],"Jajan")</f>
        <v>364000</v>
      </c>
      <c r="O132" s="29">
        <f>SUMIFS(Cash_Flow_3[Amount],Cash_Flow_3[Bulan],H132,Cash_Flow_3[Type],"Out",Cash_Flow_3[Category],"Kitchen")</f>
        <v>992724</v>
      </c>
      <c r="P132" s="29">
        <f>SUMIFS(Cash_Flow_3[Amount],Cash_Flow_3[Bulan],H132,Cash_Flow_3[Type],"Out",Cash_Flow_3[Category],"Loandry")</f>
        <v>41600</v>
      </c>
      <c r="Q132" s="29">
        <f>SUMIFS(Cash_Flow_3[Amount],Cash_Flow_3[Bulan],H132,Cash_Flow_3[Type],"Out",Cash_Flow_3[Category],"Mio")</f>
        <v>249000</v>
      </c>
      <c r="R132" s="29">
        <f>SUMIFS(Cash_Flow_3[Amount],Cash_Flow_3[Bulan],H132,Cash_Flow_3[Type],"Out",Cash_Flow_3[Category],"Sedekah")</f>
        <v>129000</v>
      </c>
      <c r="S132" s="29">
        <f>SUMIFS(Cash_Flow_3[Amount],Cash_Flow_3[Bulan],H132,Cash_Flow_3[Type],"Out",Cash_Flow_3[Category],"Zela")</f>
        <v>24100</v>
      </c>
      <c r="T132" s="29">
        <f>SUMIFS(Cash_Flow_3[Amount],Cash_Flow_3[Bulan],H132,Cash_Flow_3[Type],"Out",Cash_Flow_3[Category],"Iqbal")</f>
        <v>121000</v>
      </c>
    </row>
    <row r="133" spans="1:20" ht="22.5" customHeight="1" x14ac:dyDescent="0.2">
      <c r="A133" s="23">
        <v>46066</v>
      </c>
      <c r="B133" s="24" t="s">
        <v>720</v>
      </c>
      <c r="C133" s="25" t="s">
        <v>46</v>
      </c>
      <c r="D133" s="25" t="s">
        <v>44</v>
      </c>
      <c r="E133" s="25" t="s">
        <v>10</v>
      </c>
      <c r="F133" s="26">
        <v>10000</v>
      </c>
      <c r="G133" s="27"/>
      <c r="H133" s="28">
        <f t="shared" si="0"/>
        <v>46054</v>
      </c>
      <c r="I133" s="29">
        <f>SUMIFS(Cash_Flow_3[Amount],Cash_Flow_3[Bulan],H133,Cash_Flow_3[Type],"In")</f>
        <v>7073728</v>
      </c>
      <c r="J133" s="29">
        <f>SUMIFS(Cash_Flow_3[Amount],Cash_Flow_3[Bulan],H133,Cash_Flow_3[Type],"Out")</f>
        <v>6908733</v>
      </c>
      <c r="K133" s="29">
        <f>SUMIFS(Cash_Flow_3[Amount],Cash_Flow_3[Bulan],H133,Cash_Flow_3[Type],"Out",Cash_Flow_3[Category],"Fix")</f>
        <v>2440568</v>
      </c>
      <c r="L133" s="29">
        <f>SUMIFS(Cash_Flow_3[Amount],Cash_Flow_3[Bulan],H133,Cash_Flow_3[Type],"Out",Cash_Flow_3[Category],"Bathroom")</f>
        <v>34500</v>
      </c>
      <c r="M133" s="29">
        <f>SUMIFS(Cash_Flow_3[Amount],Cash_Flow_3[Bulan],H133,Cash_Flow_3[Type],"Out",Cash_Flow_3[Category],"Alfa")</f>
        <v>293800</v>
      </c>
      <c r="N133" s="29">
        <f>SUMIFS(Cash_Flow_3[Amount],Cash_Flow_3[Bulan],H133,Cash_Flow_3[Type],"Out",Cash_Flow_3[Category],"Jajan")</f>
        <v>364000</v>
      </c>
      <c r="O133" s="29">
        <f>SUMIFS(Cash_Flow_3[Amount],Cash_Flow_3[Bulan],H133,Cash_Flow_3[Type],"Out",Cash_Flow_3[Category],"Kitchen")</f>
        <v>992724</v>
      </c>
      <c r="P133" s="29">
        <f>SUMIFS(Cash_Flow_3[Amount],Cash_Flow_3[Bulan],H133,Cash_Flow_3[Type],"Out",Cash_Flow_3[Category],"Loandry")</f>
        <v>41600</v>
      </c>
      <c r="Q133" s="29">
        <f>SUMIFS(Cash_Flow_3[Amount],Cash_Flow_3[Bulan],H133,Cash_Flow_3[Type],"Out",Cash_Flow_3[Category],"Mio")</f>
        <v>249000</v>
      </c>
      <c r="R133" s="29">
        <f>SUMIFS(Cash_Flow_3[Amount],Cash_Flow_3[Bulan],H133,Cash_Flow_3[Type],"Out",Cash_Flow_3[Category],"Sedekah")</f>
        <v>129000</v>
      </c>
      <c r="S133" s="29">
        <f>SUMIFS(Cash_Flow_3[Amount],Cash_Flow_3[Bulan],H133,Cash_Flow_3[Type],"Out",Cash_Flow_3[Category],"Zela")</f>
        <v>24100</v>
      </c>
      <c r="T133" s="29">
        <f>SUMIFS(Cash_Flow_3[Amount],Cash_Flow_3[Bulan],H133,Cash_Flow_3[Type],"Out",Cash_Flow_3[Category],"Iqbal")</f>
        <v>121000</v>
      </c>
    </row>
    <row r="134" spans="1:20" ht="22.5" customHeight="1" x14ac:dyDescent="0.2">
      <c r="A134" s="23">
        <v>46067</v>
      </c>
      <c r="B134" s="24" t="s">
        <v>182</v>
      </c>
      <c r="C134" s="25" t="s">
        <v>43</v>
      </c>
      <c r="D134" s="25" t="s">
        <v>44</v>
      </c>
      <c r="E134" s="25" t="s">
        <v>5</v>
      </c>
      <c r="F134" s="26">
        <v>11500</v>
      </c>
      <c r="G134" s="27"/>
      <c r="H134" s="28">
        <f t="shared" si="0"/>
        <v>46054</v>
      </c>
      <c r="I134" s="29">
        <f>SUMIFS(Cash_Flow_3[Amount],Cash_Flow_3[Bulan],H134,Cash_Flow_3[Type],"In")</f>
        <v>7073728</v>
      </c>
      <c r="J134" s="29">
        <f>SUMIFS(Cash_Flow_3[Amount],Cash_Flow_3[Bulan],H134,Cash_Flow_3[Type],"Out")</f>
        <v>6908733</v>
      </c>
      <c r="K134" s="29">
        <f>SUMIFS(Cash_Flow_3[Amount],Cash_Flow_3[Bulan],H134,Cash_Flow_3[Type],"Out",Cash_Flow_3[Category],"Fix")</f>
        <v>2440568</v>
      </c>
      <c r="L134" s="29">
        <f>SUMIFS(Cash_Flow_3[Amount],Cash_Flow_3[Bulan],H134,Cash_Flow_3[Type],"Out",Cash_Flow_3[Category],"Bathroom")</f>
        <v>34500</v>
      </c>
      <c r="M134" s="29">
        <f>SUMIFS(Cash_Flow_3[Amount],Cash_Flow_3[Bulan],H134,Cash_Flow_3[Type],"Out",Cash_Flow_3[Category],"Alfa")</f>
        <v>293800</v>
      </c>
      <c r="N134" s="29">
        <f>SUMIFS(Cash_Flow_3[Amount],Cash_Flow_3[Bulan],H134,Cash_Flow_3[Type],"Out",Cash_Flow_3[Category],"Jajan")</f>
        <v>364000</v>
      </c>
      <c r="O134" s="29">
        <f>SUMIFS(Cash_Flow_3[Amount],Cash_Flow_3[Bulan],H134,Cash_Flow_3[Type],"Out",Cash_Flow_3[Category],"Kitchen")</f>
        <v>992724</v>
      </c>
      <c r="P134" s="29">
        <f>SUMIFS(Cash_Flow_3[Amount],Cash_Flow_3[Bulan],H134,Cash_Flow_3[Type],"Out",Cash_Flow_3[Category],"Loandry")</f>
        <v>41600</v>
      </c>
      <c r="Q134" s="29">
        <f>SUMIFS(Cash_Flow_3[Amount],Cash_Flow_3[Bulan],H134,Cash_Flow_3[Type],"Out",Cash_Flow_3[Category],"Mio")</f>
        <v>249000</v>
      </c>
      <c r="R134" s="29">
        <f>SUMIFS(Cash_Flow_3[Amount],Cash_Flow_3[Bulan],H134,Cash_Flow_3[Type],"Out",Cash_Flow_3[Category],"Sedekah")</f>
        <v>129000</v>
      </c>
      <c r="S134" s="29">
        <f>SUMIFS(Cash_Flow_3[Amount],Cash_Flow_3[Bulan],H134,Cash_Flow_3[Type],"Out",Cash_Flow_3[Category],"Zela")</f>
        <v>24100</v>
      </c>
      <c r="T134" s="29">
        <f>SUMIFS(Cash_Flow_3[Amount],Cash_Flow_3[Bulan],H134,Cash_Flow_3[Type],"Out",Cash_Flow_3[Category],"Iqbal")</f>
        <v>121000</v>
      </c>
    </row>
    <row r="135" spans="1:20" ht="22.5" customHeight="1" x14ac:dyDescent="0.2">
      <c r="A135" s="23">
        <v>46067</v>
      </c>
      <c r="B135" s="24" t="s">
        <v>184</v>
      </c>
      <c r="C135" s="25" t="s">
        <v>43</v>
      </c>
      <c r="D135" s="25" t="s">
        <v>44</v>
      </c>
      <c r="E135" s="25" t="s">
        <v>7</v>
      </c>
      <c r="F135" s="26">
        <v>6600</v>
      </c>
      <c r="G135" s="27"/>
      <c r="H135" s="28">
        <f t="shared" si="0"/>
        <v>46054</v>
      </c>
      <c r="I135" s="29">
        <f>SUMIFS(Cash_Flow_3[Amount],Cash_Flow_3[Bulan],H135,Cash_Flow_3[Type],"In")</f>
        <v>7073728</v>
      </c>
      <c r="J135" s="29">
        <f>SUMIFS(Cash_Flow_3[Amount],Cash_Flow_3[Bulan],H135,Cash_Flow_3[Type],"Out")</f>
        <v>6908733</v>
      </c>
      <c r="K135" s="29">
        <f>SUMIFS(Cash_Flow_3[Amount],Cash_Flow_3[Bulan],H135,Cash_Flow_3[Type],"Out",Cash_Flow_3[Category],"Fix")</f>
        <v>2440568</v>
      </c>
      <c r="L135" s="29">
        <f>SUMIFS(Cash_Flow_3[Amount],Cash_Flow_3[Bulan],H135,Cash_Flow_3[Type],"Out",Cash_Flow_3[Category],"Bathroom")</f>
        <v>34500</v>
      </c>
      <c r="M135" s="29">
        <f>SUMIFS(Cash_Flow_3[Amount],Cash_Flow_3[Bulan],H135,Cash_Flow_3[Type],"Out",Cash_Flow_3[Category],"Alfa")</f>
        <v>293800</v>
      </c>
      <c r="N135" s="29">
        <f>SUMIFS(Cash_Flow_3[Amount],Cash_Flow_3[Bulan],H135,Cash_Flow_3[Type],"Out",Cash_Flow_3[Category],"Jajan")</f>
        <v>364000</v>
      </c>
      <c r="O135" s="29">
        <f>SUMIFS(Cash_Flow_3[Amount],Cash_Flow_3[Bulan],H135,Cash_Flow_3[Type],"Out",Cash_Flow_3[Category],"Kitchen")</f>
        <v>992724</v>
      </c>
      <c r="P135" s="29">
        <f>SUMIFS(Cash_Flow_3[Amount],Cash_Flow_3[Bulan],H135,Cash_Flow_3[Type],"Out",Cash_Flow_3[Category],"Loandry")</f>
        <v>41600</v>
      </c>
      <c r="Q135" s="29">
        <f>SUMIFS(Cash_Flow_3[Amount],Cash_Flow_3[Bulan],H135,Cash_Flow_3[Type],"Out",Cash_Flow_3[Category],"Mio")</f>
        <v>249000</v>
      </c>
      <c r="R135" s="29">
        <f>SUMIFS(Cash_Flow_3[Amount],Cash_Flow_3[Bulan],H135,Cash_Flow_3[Type],"Out",Cash_Flow_3[Category],"Sedekah")</f>
        <v>129000</v>
      </c>
      <c r="S135" s="29">
        <f>SUMIFS(Cash_Flow_3[Amount],Cash_Flow_3[Bulan],H135,Cash_Flow_3[Type],"Out",Cash_Flow_3[Category],"Zela")</f>
        <v>24100</v>
      </c>
      <c r="T135" s="29">
        <f>SUMIFS(Cash_Flow_3[Amount],Cash_Flow_3[Bulan],H135,Cash_Flow_3[Type],"Out",Cash_Flow_3[Category],"Iqbal")</f>
        <v>121000</v>
      </c>
    </row>
    <row r="136" spans="1:20" ht="22.5" customHeight="1" x14ac:dyDescent="0.2">
      <c r="A136" s="23">
        <v>46066</v>
      </c>
      <c r="B136" s="24" t="s">
        <v>159</v>
      </c>
      <c r="C136" s="25" t="s">
        <v>46</v>
      </c>
      <c r="D136" s="25" t="s">
        <v>44</v>
      </c>
      <c r="E136" s="25" t="s">
        <v>3</v>
      </c>
      <c r="F136" s="26">
        <v>97000</v>
      </c>
      <c r="G136" s="27"/>
      <c r="H136" s="28">
        <f t="shared" si="0"/>
        <v>46054</v>
      </c>
      <c r="I136" s="29">
        <f>SUMIFS(Cash_Flow_3[Amount],Cash_Flow_3[Bulan],H136,Cash_Flow_3[Type],"In")</f>
        <v>7073728</v>
      </c>
      <c r="J136" s="29">
        <f>SUMIFS(Cash_Flow_3[Amount],Cash_Flow_3[Bulan],H136,Cash_Flow_3[Type],"Out")</f>
        <v>6908733</v>
      </c>
      <c r="K136" s="29">
        <f>SUMIFS(Cash_Flow_3[Amount],Cash_Flow_3[Bulan],H136,Cash_Flow_3[Type],"Out",Cash_Flow_3[Category],"Fix")</f>
        <v>2440568</v>
      </c>
      <c r="L136" s="29">
        <f>SUMIFS(Cash_Flow_3[Amount],Cash_Flow_3[Bulan],H136,Cash_Flow_3[Type],"Out",Cash_Flow_3[Category],"Bathroom")</f>
        <v>34500</v>
      </c>
      <c r="M136" s="29">
        <f>SUMIFS(Cash_Flow_3[Amount],Cash_Flow_3[Bulan],H136,Cash_Flow_3[Type],"Out",Cash_Flow_3[Category],"Alfa")</f>
        <v>293800</v>
      </c>
      <c r="N136" s="29">
        <f>SUMIFS(Cash_Flow_3[Amount],Cash_Flow_3[Bulan],H136,Cash_Flow_3[Type],"Out",Cash_Flow_3[Category],"Jajan")</f>
        <v>364000</v>
      </c>
      <c r="O136" s="29">
        <f>SUMIFS(Cash_Flow_3[Amount],Cash_Flow_3[Bulan],H136,Cash_Flow_3[Type],"Out",Cash_Flow_3[Category],"Kitchen")</f>
        <v>992724</v>
      </c>
      <c r="P136" s="29">
        <f>SUMIFS(Cash_Flow_3[Amount],Cash_Flow_3[Bulan],H136,Cash_Flow_3[Type],"Out",Cash_Flow_3[Category],"Loandry")</f>
        <v>41600</v>
      </c>
      <c r="Q136" s="29">
        <f>SUMIFS(Cash_Flow_3[Amount],Cash_Flow_3[Bulan],H136,Cash_Flow_3[Type],"Out",Cash_Flow_3[Category],"Mio")</f>
        <v>249000</v>
      </c>
      <c r="R136" s="29">
        <f>SUMIFS(Cash_Flow_3[Amount],Cash_Flow_3[Bulan],H136,Cash_Flow_3[Type],"Out",Cash_Flow_3[Category],"Sedekah")</f>
        <v>129000</v>
      </c>
      <c r="S136" s="29">
        <f>SUMIFS(Cash_Flow_3[Amount],Cash_Flow_3[Bulan],H136,Cash_Flow_3[Type],"Out",Cash_Flow_3[Category],"Zela")</f>
        <v>24100</v>
      </c>
      <c r="T136" s="29">
        <f>SUMIFS(Cash_Flow_3[Amount],Cash_Flow_3[Bulan],H136,Cash_Flow_3[Type],"Out",Cash_Flow_3[Category],"Iqbal")</f>
        <v>121000</v>
      </c>
    </row>
    <row r="137" spans="1:20" ht="22.5" customHeight="1" x14ac:dyDescent="0.2">
      <c r="A137" s="23">
        <v>46067</v>
      </c>
      <c r="B137" s="24" t="s">
        <v>188</v>
      </c>
      <c r="C137" s="25" t="s">
        <v>46</v>
      </c>
      <c r="D137" s="25" t="s">
        <v>44</v>
      </c>
      <c r="E137" s="25" t="s">
        <v>1</v>
      </c>
      <c r="F137" s="26">
        <v>10000</v>
      </c>
      <c r="G137" s="27"/>
      <c r="H137" s="28">
        <f t="shared" si="0"/>
        <v>46054</v>
      </c>
      <c r="I137" s="29">
        <f>SUMIFS(Cash_Flow_3[Amount],Cash_Flow_3[Bulan],H137,Cash_Flow_3[Type],"In")</f>
        <v>7073728</v>
      </c>
      <c r="J137" s="29">
        <f>SUMIFS(Cash_Flow_3[Amount],Cash_Flow_3[Bulan],H137,Cash_Flow_3[Type],"Out")</f>
        <v>6908733</v>
      </c>
      <c r="K137" s="29">
        <f>SUMIFS(Cash_Flow_3[Amount],Cash_Flow_3[Bulan],H137,Cash_Flow_3[Type],"Out",Cash_Flow_3[Category],"Fix")</f>
        <v>2440568</v>
      </c>
      <c r="L137" s="29">
        <f>SUMIFS(Cash_Flow_3[Amount],Cash_Flow_3[Bulan],H137,Cash_Flow_3[Type],"Out",Cash_Flow_3[Category],"Bathroom")</f>
        <v>34500</v>
      </c>
      <c r="M137" s="29">
        <f>SUMIFS(Cash_Flow_3[Amount],Cash_Flow_3[Bulan],H137,Cash_Flow_3[Type],"Out",Cash_Flow_3[Category],"Alfa")</f>
        <v>293800</v>
      </c>
      <c r="N137" s="29">
        <f>SUMIFS(Cash_Flow_3[Amount],Cash_Flow_3[Bulan],H137,Cash_Flow_3[Type],"Out",Cash_Flow_3[Category],"Jajan")</f>
        <v>364000</v>
      </c>
      <c r="O137" s="29">
        <f>SUMIFS(Cash_Flow_3[Amount],Cash_Flow_3[Bulan],H137,Cash_Flow_3[Type],"Out",Cash_Flow_3[Category],"Kitchen")</f>
        <v>992724</v>
      </c>
      <c r="P137" s="29">
        <f>SUMIFS(Cash_Flow_3[Amount],Cash_Flow_3[Bulan],H137,Cash_Flow_3[Type],"Out",Cash_Flow_3[Category],"Loandry")</f>
        <v>41600</v>
      </c>
      <c r="Q137" s="29">
        <f>SUMIFS(Cash_Flow_3[Amount],Cash_Flow_3[Bulan],H137,Cash_Flow_3[Type],"Out",Cash_Flow_3[Category],"Mio")</f>
        <v>249000</v>
      </c>
      <c r="R137" s="29">
        <f>SUMIFS(Cash_Flow_3[Amount],Cash_Flow_3[Bulan],H137,Cash_Flow_3[Type],"Out",Cash_Flow_3[Category],"Sedekah")</f>
        <v>129000</v>
      </c>
      <c r="S137" s="29">
        <f>SUMIFS(Cash_Flow_3[Amount],Cash_Flow_3[Bulan],H137,Cash_Flow_3[Type],"Out",Cash_Flow_3[Category],"Zela")</f>
        <v>24100</v>
      </c>
      <c r="T137" s="29">
        <f>SUMIFS(Cash_Flow_3[Amount],Cash_Flow_3[Bulan],H137,Cash_Flow_3[Type],"Out",Cash_Flow_3[Category],"Iqbal")</f>
        <v>121000</v>
      </c>
    </row>
    <row r="138" spans="1:20" ht="22.5" customHeight="1" x14ac:dyDescent="0.2">
      <c r="A138" s="23">
        <v>46067</v>
      </c>
      <c r="B138" s="24" t="s">
        <v>526</v>
      </c>
      <c r="C138" s="25" t="s">
        <v>46</v>
      </c>
      <c r="D138" s="25" t="s">
        <v>44</v>
      </c>
      <c r="E138" s="25" t="s">
        <v>6</v>
      </c>
      <c r="F138" s="26">
        <v>15000</v>
      </c>
      <c r="G138" s="27"/>
      <c r="H138" s="28">
        <f t="shared" si="0"/>
        <v>46054</v>
      </c>
      <c r="I138" s="29">
        <f>SUMIFS(Cash_Flow_3[Amount],Cash_Flow_3[Bulan],H138,Cash_Flow_3[Type],"In")</f>
        <v>7073728</v>
      </c>
      <c r="J138" s="29">
        <f>SUMIFS(Cash_Flow_3[Amount],Cash_Flow_3[Bulan],H138,Cash_Flow_3[Type],"Out")</f>
        <v>6908733</v>
      </c>
      <c r="K138" s="29">
        <f>SUMIFS(Cash_Flow_3[Amount],Cash_Flow_3[Bulan],H138,Cash_Flow_3[Type],"Out",Cash_Flow_3[Category],"Fix")</f>
        <v>2440568</v>
      </c>
      <c r="L138" s="29">
        <f>SUMIFS(Cash_Flow_3[Amount],Cash_Flow_3[Bulan],H138,Cash_Flow_3[Type],"Out",Cash_Flow_3[Category],"Bathroom")</f>
        <v>34500</v>
      </c>
      <c r="M138" s="29">
        <f>SUMIFS(Cash_Flow_3[Amount],Cash_Flow_3[Bulan],H138,Cash_Flow_3[Type],"Out",Cash_Flow_3[Category],"Alfa")</f>
        <v>293800</v>
      </c>
      <c r="N138" s="29">
        <f>SUMIFS(Cash_Flow_3[Amount],Cash_Flow_3[Bulan],H138,Cash_Flow_3[Type],"Out",Cash_Flow_3[Category],"Jajan")</f>
        <v>364000</v>
      </c>
      <c r="O138" s="29">
        <f>SUMIFS(Cash_Flow_3[Amount],Cash_Flow_3[Bulan],H138,Cash_Flow_3[Type],"Out",Cash_Flow_3[Category],"Kitchen")</f>
        <v>992724</v>
      </c>
      <c r="P138" s="29">
        <f>SUMIFS(Cash_Flow_3[Amount],Cash_Flow_3[Bulan],H138,Cash_Flow_3[Type],"Out",Cash_Flow_3[Category],"Loandry")</f>
        <v>41600</v>
      </c>
      <c r="Q138" s="29">
        <f>SUMIFS(Cash_Flow_3[Amount],Cash_Flow_3[Bulan],H138,Cash_Flow_3[Type],"Out",Cash_Flow_3[Category],"Mio")</f>
        <v>249000</v>
      </c>
      <c r="R138" s="29">
        <f>SUMIFS(Cash_Flow_3[Amount],Cash_Flow_3[Bulan],H138,Cash_Flow_3[Type],"Out",Cash_Flow_3[Category],"Sedekah")</f>
        <v>129000</v>
      </c>
      <c r="S138" s="29">
        <f>SUMIFS(Cash_Flow_3[Amount],Cash_Flow_3[Bulan],H138,Cash_Flow_3[Type],"Out",Cash_Flow_3[Category],"Zela")</f>
        <v>24100</v>
      </c>
      <c r="T138" s="29">
        <f>SUMIFS(Cash_Flow_3[Amount],Cash_Flow_3[Bulan],H138,Cash_Flow_3[Type],"Out",Cash_Flow_3[Category],"Iqbal")</f>
        <v>121000</v>
      </c>
    </row>
    <row r="139" spans="1:20" ht="22.5" customHeight="1" x14ac:dyDescent="0.2">
      <c r="A139" s="23">
        <v>46068</v>
      </c>
      <c r="B139" s="24" t="s">
        <v>125</v>
      </c>
      <c r="C139" s="25" t="s">
        <v>46</v>
      </c>
      <c r="D139" s="25" t="s">
        <v>44</v>
      </c>
      <c r="E139" s="25" t="s">
        <v>1</v>
      </c>
      <c r="F139" s="26">
        <v>5000</v>
      </c>
      <c r="G139" s="27"/>
      <c r="H139" s="28">
        <f t="shared" si="0"/>
        <v>46054</v>
      </c>
      <c r="I139" s="29">
        <f>SUMIFS(Cash_Flow_3[Amount],Cash_Flow_3[Bulan],H139,Cash_Flow_3[Type],"In")</f>
        <v>7073728</v>
      </c>
      <c r="J139" s="29">
        <f>SUMIFS(Cash_Flow_3[Amount],Cash_Flow_3[Bulan],H139,Cash_Flow_3[Type],"Out")</f>
        <v>6908733</v>
      </c>
      <c r="K139" s="29">
        <f>SUMIFS(Cash_Flow_3[Amount],Cash_Flow_3[Bulan],H139,Cash_Flow_3[Type],"Out",Cash_Flow_3[Category],"Fix")</f>
        <v>2440568</v>
      </c>
      <c r="L139" s="29">
        <f>SUMIFS(Cash_Flow_3[Amount],Cash_Flow_3[Bulan],H139,Cash_Flow_3[Type],"Out",Cash_Flow_3[Category],"Bathroom")</f>
        <v>34500</v>
      </c>
      <c r="M139" s="29">
        <f>SUMIFS(Cash_Flow_3[Amount],Cash_Flow_3[Bulan],H139,Cash_Flow_3[Type],"Out",Cash_Flow_3[Category],"Alfa")</f>
        <v>293800</v>
      </c>
      <c r="N139" s="29">
        <f>SUMIFS(Cash_Flow_3[Amount],Cash_Flow_3[Bulan],H139,Cash_Flow_3[Type],"Out",Cash_Flow_3[Category],"Jajan")</f>
        <v>364000</v>
      </c>
      <c r="O139" s="29">
        <f>SUMIFS(Cash_Flow_3[Amount],Cash_Flow_3[Bulan],H139,Cash_Flow_3[Type],"Out",Cash_Flow_3[Category],"Kitchen")</f>
        <v>992724</v>
      </c>
      <c r="P139" s="29">
        <f>SUMIFS(Cash_Flow_3[Amount],Cash_Flow_3[Bulan],H139,Cash_Flow_3[Type],"Out",Cash_Flow_3[Category],"Loandry")</f>
        <v>41600</v>
      </c>
      <c r="Q139" s="29">
        <f>SUMIFS(Cash_Flow_3[Amount],Cash_Flow_3[Bulan],H139,Cash_Flow_3[Type],"Out",Cash_Flow_3[Category],"Mio")</f>
        <v>249000</v>
      </c>
      <c r="R139" s="29">
        <f>SUMIFS(Cash_Flow_3[Amount],Cash_Flow_3[Bulan],H139,Cash_Flow_3[Type],"Out",Cash_Flow_3[Category],"Sedekah")</f>
        <v>129000</v>
      </c>
      <c r="S139" s="29">
        <f>SUMIFS(Cash_Flow_3[Amount],Cash_Flow_3[Bulan],H139,Cash_Flow_3[Type],"Out",Cash_Flow_3[Category],"Zela")</f>
        <v>24100</v>
      </c>
      <c r="T139" s="29">
        <f>SUMIFS(Cash_Flow_3[Amount],Cash_Flow_3[Bulan],H139,Cash_Flow_3[Type],"Out",Cash_Flow_3[Category],"Iqbal")</f>
        <v>121000</v>
      </c>
    </row>
    <row r="140" spans="1:20" ht="22.5" customHeight="1" x14ac:dyDescent="0.2">
      <c r="A140" s="23">
        <v>46068</v>
      </c>
      <c r="B140" s="24" t="s">
        <v>192</v>
      </c>
      <c r="C140" s="25" t="s">
        <v>43</v>
      </c>
      <c r="D140" s="25" t="s">
        <v>44</v>
      </c>
      <c r="E140" s="25" t="s">
        <v>0</v>
      </c>
      <c r="F140" s="26">
        <v>15000</v>
      </c>
      <c r="G140" s="27"/>
      <c r="H140" s="28">
        <f t="shared" si="0"/>
        <v>46054</v>
      </c>
      <c r="I140" s="29">
        <f>SUMIFS(Cash_Flow_3[Amount],Cash_Flow_3[Bulan],H140,Cash_Flow_3[Type],"In")</f>
        <v>7073728</v>
      </c>
      <c r="J140" s="29">
        <f>SUMIFS(Cash_Flow_3[Amount],Cash_Flow_3[Bulan],H140,Cash_Flow_3[Type],"Out")</f>
        <v>6908733</v>
      </c>
      <c r="K140" s="29">
        <f>SUMIFS(Cash_Flow_3[Amount],Cash_Flow_3[Bulan],H140,Cash_Flow_3[Type],"Out",Cash_Flow_3[Category],"Fix")</f>
        <v>2440568</v>
      </c>
      <c r="L140" s="29">
        <f>SUMIFS(Cash_Flow_3[Amount],Cash_Flow_3[Bulan],H140,Cash_Flow_3[Type],"Out",Cash_Flow_3[Category],"Bathroom")</f>
        <v>34500</v>
      </c>
      <c r="M140" s="29">
        <f>SUMIFS(Cash_Flow_3[Amount],Cash_Flow_3[Bulan],H140,Cash_Flow_3[Type],"Out",Cash_Flow_3[Category],"Alfa")</f>
        <v>293800</v>
      </c>
      <c r="N140" s="29">
        <f>SUMIFS(Cash_Flow_3[Amount],Cash_Flow_3[Bulan],H140,Cash_Flow_3[Type],"Out",Cash_Flow_3[Category],"Jajan")</f>
        <v>364000</v>
      </c>
      <c r="O140" s="29">
        <f>SUMIFS(Cash_Flow_3[Amount],Cash_Flow_3[Bulan],H140,Cash_Flow_3[Type],"Out",Cash_Flow_3[Category],"Kitchen")</f>
        <v>992724</v>
      </c>
      <c r="P140" s="29">
        <f>SUMIFS(Cash_Flow_3[Amount],Cash_Flow_3[Bulan],H140,Cash_Flow_3[Type],"Out",Cash_Flow_3[Category],"Loandry")</f>
        <v>41600</v>
      </c>
      <c r="Q140" s="29">
        <f>SUMIFS(Cash_Flow_3[Amount],Cash_Flow_3[Bulan],H140,Cash_Flow_3[Type],"Out",Cash_Flow_3[Category],"Mio")</f>
        <v>249000</v>
      </c>
      <c r="R140" s="29">
        <f>SUMIFS(Cash_Flow_3[Amount],Cash_Flow_3[Bulan],H140,Cash_Flow_3[Type],"Out",Cash_Flow_3[Category],"Sedekah")</f>
        <v>129000</v>
      </c>
      <c r="S140" s="29">
        <f>SUMIFS(Cash_Flow_3[Amount],Cash_Flow_3[Bulan],H140,Cash_Flow_3[Type],"Out",Cash_Flow_3[Category],"Zela")</f>
        <v>24100</v>
      </c>
      <c r="T140" s="29">
        <f>SUMIFS(Cash_Flow_3[Amount],Cash_Flow_3[Bulan],H140,Cash_Flow_3[Type],"Out",Cash_Flow_3[Category],"Iqbal")</f>
        <v>121000</v>
      </c>
    </row>
    <row r="141" spans="1:20" ht="22.5" customHeight="1" x14ac:dyDescent="0.2">
      <c r="A141" s="23">
        <v>46069</v>
      </c>
      <c r="B141" s="24" t="s">
        <v>194</v>
      </c>
      <c r="C141" s="25" t="s">
        <v>43</v>
      </c>
      <c r="D141" s="25" t="s">
        <v>39</v>
      </c>
      <c r="E141" s="25" t="s">
        <v>0</v>
      </c>
      <c r="F141" s="26">
        <v>200000</v>
      </c>
      <c r="G141" s="27"/>
      <c r="H141" s="28">
        <f t="shared" si="0"/>
        <v>46054</v>
      </c>
      <c r="I141" s="29">
        <f>SUMIFS(Cash_Flow_3[Amount],Cash_Flow_3[Bulan],H141,Cash_Flow_3[Type],"In")</f>
        <v>7073728</v>
      </c>
      <c r="J141" s="29">
        <f>SUMIFS(Cash_Flow_3[Amount],Cash_Flow_3[Bulan],H141,Cash_Flow_3[Type],"Out")</f>
        <v>6908733</v>
      </c>
      <c r="K141" s="29">
        <f>SUMIFS(Cash_Flow_3[Amount],Cash_Flow_3[Bulan],H141,Cash_Flow_3[Type],"Out",Cash_Flow_3[Category],"Fix")</f>
        <v>2440568</v>
      </c>
      <c r="L141" s="29">
        <f>SUMIFS(Cash_Flow_3[Amount],Cash_Flow_3[Bulan],H141,Cash_Flow_3[Type],"Out",Cash_Flow_3[Category],"Bathroom")</f>
        <v>34500</v>
      </c>
      <c r="M141" s="29">
        <f>SUMIFS(Cash_Flow_3[Amount],Cash_Flow_3[Bulan],H141,Cash_Flow_3[Type],"Out",Cash_Flow_3[Category],"Alfa")</f>
        <v>293800</v>
      </c>
      <c r="N141" s="29">
        <f>SUMIFS(Cash_Flow_3[Amount],Cash_Flow_3[Bulan],H141,Cash_Flow_3[Type],"Out",Cash_Flow_3[Category],"Jajan")</f>
        <v>364000</v>
      </c>
      <c r="O141" s="29">
        <f>SUMIFS(Cash_Flow_3[Amount],Cash_Flow_3[Bulan],H141,Cash_Flow_3[Type],"Out",Cash_Flow_3[Category],"Kitchen")</f>
        <v>992724</v>
      </c>
      <c r="P141" s="29">
        <f>SUMIFS(Cash_Flow_3[Amount],Cash_Flow_3[Bulan],H141,Cash_Flow_3[Type],"Out",Cash_Flow_3[Category],"Loandry")</f>
        <v>41600</v>
      </c>
      <c r="Q141" s="29">
        <f>SUMIFS(Cash_Flow_3[Amount],Cash_Flow_3[Bulan],H141,Cash_Flow_3[Type],"Out",Cash_Flow_3[Category],"Mio")</f>
        <v>249000</v>
      </c>
      <c r="R141" s="29">
        <f>SUMIFS(Cash_Flow_3[Amount],Cash_Flow_3[Bulan],H141,Cash_Flow_3[Type],"Out",Cash_Flow_3[Category],"Sedekah")</f>
        <v>129000</v>
      </c>
      <c r="S141" s="29">
        <f>SUMIFS(Cash_Flow_3[Amount],Cash_Flow_3[Bulan],H141,Cash_Flow_3[Type],"Out",Cash_Flow_3[Category],"Zela")</f>
        <v>24100</v>
      </c>
      <c r="T141" s="29">
        <f>SUMIFS(Cash_Flow_3[Amount],Cash_Flow_3[Bulan],H141,Cash_Flow_3[Type],"Out",Cash_Flow_3[Category],"Iqbal")</f>
        <v>121000</v>
      </c>
    </row>
    <row r="142" spans="1:20" ht="22.5" customHeight="1" x14ac:dyDescent="0.2">
      <c r="A142" s="23">
        <v>46069</v>
      </c>
      <c r="B142" s="24" t="s">
        <v>499</v>
      </c>
      <c r="C142" s="25" t="s">
        <v>43</v>
      </c>
      <c r="D142" s="25" t="s">
        <v>9</v>
      </c>
      <c r="E142" s="25" t="s">
        <v>9</v>
      </c>
      <c r="F142" s="26">
        <v>100000</v>
      </c>
      <c r="G142" s="27"/>
      <c r="H142" s="28">
        <f t="shared" si="0"/>
        <v>46054</v>
      </c>
      <c r="I142" s="29">
        <f>SUMIFS(Cash_Flow_3[Amount],Cash_Flow_3[Bulan],H142,Cash_Flow_3[Type],"In")</f>
        <v>7073728</v>
      </c>
      <c r="J142" s="29">
        <f>SUMIFS(Cash_Flow_3[Amount],Cash_Flow_3[Bulan],H142,Cash_Flow_3[Type],"Out")</f>
        <v>6908733</v>
      </c>
      <c r="K142" s="29">
        <f>SUMIFS(Cash_Flow_3[Amount],Cash_Flow_3[Bulan],H142,Cash_Flow_3[Type],"Out",Cash_Flow_3[Category],"Fix")</f>
        <v>2440568</v>
      </c>
      <c r="L142" s="29">
        <f>SUMIFS(Cash_Flow_3[Amount],Cash_Flow_3[Bulan],H142,Cash_Flow_3[Type],"Out",Cash_Flow_3[Category],"Bathroom")</f>
        <v>34500</v>
      </c>
      <c r="M142" s="29">
        <f>SUMIFS(Cash_Flow_3[Amount],Cash_Flow_3[Bulan],H142,Cash_Flow_3[Type],"Out",Cash_Flow_3[Category],"Alfa")</f>
        <v>293800</v>
      </c>
      <c r="N142" s="29">
        <f>SUMIFS(Cash_Flow_3[Amount],Cash_Flow_3[Bulan],H142,Cash_Flow_3[Type],"Out",Cash_Flow_3[Category],"Jajan")</f>
        <v>364000</v>
      </c>
      <c r="O142" s="29">
        <f>SUMIFS(Cash_Flow_3[Amount],Cash_Flow_3[Bulan],H142,Cash_Flow_3[Type],"Out",Cash_Flow_3[Category],"Kitchen")</f>
        <v>992724</v>
      </c>
      <c r="P142" s="29">
        <f>SUMIFS(Cash_Flow_3[Amount],Cash_Flow_3[Bulan],H142,Cash_Flow_3[Type],"Out",Cash_Flow_3[Category],"Loandry")</f>
        <v>41600</v>
      </c>
      <c r="Q142" s="29">
        <f>SUMIFS(Cash_Flow_3[Amount],Cash_Flow_3[Bulan],H142,Cash_Flow_3[Type],"Out",Cash_Flow_3[Category],"Mio")</f>
        <v>249000</v>
      </c>
      <c r="R142" s="29">
        <f>SUMIFS(Cash_Flow_3[Amount],Cash_Flow_3[Bulan],H142,Cash_Flow_3[Type],"Out",Cash_Flow_3[Category],"Sedekah")</f>
        <v>129000</v>
      </c>
      <c r="S142" s="29">
        <f>SUMIFS(Cash_Flow_3[Amount],Cash_Flow_3[Bulan],H142,Cash_Flow_3[Type],"Out",Cash_Flow_3[Category],"Zela")</f>
        <v>24100</v>
      </c>
      <c r="T142" s="29">
        <f>SUMIFS(Cash_Flow_3[Amount],Cash_Flow_3[Bulan],H142,Cash_Flow_3[Type],"Out",Cash_Flow_3[Category],"Iqbal")</f>
        <v>121000</v>
      </c>
    </row>
    <row r="143" spans="1:20" ht="22.5" customHeight="1" x14ac:dyDescent="0.2">
      <c r="A143" s="23">
        <v>46069</v>
      </c>
      <c r="B143" s="24" t="s">
        <v>704</v>
      </c>
      <c r="C143" s="25" t="s">
        <v>46</v>
      </c>
      <c r="D143" s="25" t="s">
        <v>9</v>
      </c>
      <c r="E143" s="25" t="s">
        <v>9</v>
      </c>
      <c r="F143" s="26">
        <v>100000</v>
      </c>
      <c r="G143" s="27"/>
      <c r="H143" s="28">
        <f t="shared" si="0"/>
        <v>46054</v>
      </c>
      <c r="I143" s="29">
        <f>SUMIFS(Cash_Flow_3[Amount],Cash_Flow_3[Bulan],H143,Cash_Flow_3[Type],"In")</f>
        <v>7073728</v>
      </c>
      <c r="J143" s="29">
        <f>SUMIFS(Cash_Flow_3[Amount],Cash_Flow_3[Bulan],H143,Cash_Flow_3[Type],"Out")</f>
        <v>6908733</v>
      </c>
      <c r="K143" s="29">
        <f>SUMIFS(Cash_Flow_3[Amount],Cash_Flow_3[Bulan],H143,Cash_Flow_3[Type],"Out",Cash_Flow_3[Category],"Fix")</f>
        <v>2440568</v>
      </c>
      <c r="L143" s="29">
        <f>SUMIFS(Cash_Flow_3[Amount],Cash_Flow_3[Bulan],H143,Cash_Flow_3[Type],"Out",Cash_Flow_3[Category],"Bathroom")</f>
        <v>34500</v>
      </c>
      <c r="M143" s="29">
        <f>SUMIFS(Cash_Flow_3[Amount],Cash_Flow_3[Bulan],H143,Cash_Flow_3[Type],"Out",Cash_Flow_3[Category],"Alfa")</f>
        <v>293800</v>
      </c>
      <c r="N143" s="29">
        <f>SUMIFS(Cash_Flow_3[Amount],Cash_Flow_3[Bulan],H143,Cash_Flow_3[Type],"Out",Cash_Flow_3[Category],"Jajan")</f>
        <v>364000</v>
      </c>
      <c r="O143" s="29">
        <f>SUMIFS(Cash_Flow_3[Amount],Cash_Flow_3[Bulan],H143,Cash_Flow_3[Type],"Out",Cash_Flow_3[Category],"Kitchen")</f>
        <v>992724</v>
      </c>
      <c r="P143" s="29">
        <f>SUMIFS(Cash_Flow_3[Amount],Cash_Flow_3[Bulan],H143,Cash_Flow_3[Type],"Out",Cash_Flow_3[Category],"Loandry")</f>
        <v>41600</v>
      </c>
      <c r="Q143" s="29">
        <f>SUMIFS(Cash_Flow_3[Amount],Cash_Flow_3[Bulan],H143,Cash_Flow_3[Type],"Out",Cash_Flow_3[Category],"Mio")</f>
        <v>249000</v>
      </c>
      <c r="R143" s="29">
        <f>SUMIFS(Cash_Flow_3[Amount],Cash_Flow_3[Bulan],H143,Cash_Flow_3[Type],"Out",Cash_Flow_3[Category],"Sedekah")</f>
        <v>129000</v>
      </c>
      <c r="S143" s="29">
        <f>SUMIFS(Cash_Flow_3[Amount],Cash_Flow_3[Bulan],H143,Cash_Flow_3[Type],"Out",Cash_Flow_3[Category],"Zela")</f>
        <v>24100</v>
      </c>
      <c r="T143" s="29">
        <f>SUMIFS(Cash_Flow_3[Amount],Cash_Flow_3[Bulan],H143,Cash_Flow_3[Type],"Out",Cash_Flow_3[Category],"Iqbal")</f>
        <v>121000</v>
      </c>
    </row>
    <row r="144" spans="1:20" ht="22.5" customHeight="1" x14ac:dyDescent="0.2">
      <c r="A144" s="23">
        <v>46068</v>
      </c>
      <c r="B144" s="24" t="s">
        <v>887</v>
      </c>
      <c r="C144" s="25" t="s">
        <v>46</v>
      </c>
      <c r="D144" s="25" t="s">
        <v>44</v>
      </c>
      <c r="E144" s="25" t="s">
        <v>2</v>
      </c>
      <c r="F144" s="26">
        <v>20000</v>
      </c>
      <c r="G144" s="27"/>
      <c r="H144" s="28">
        <f t="shared" si="0"/>
        <v>46054</v>
      </c>
      <c r="I144" s="29">
        <f>SUMIFS(Cash_Flow_3[Amount],Cash_Flow_3[Bulan],H144,Cash_Flow_3[Type],"In")</f>
        <v>7073728</v>
      </c>
      <c r="J144" s="29">
        <f>SUMIFS(Cash_Flow_3[Amount],Cash_Flow_3[Bulan],H144,Cash_Flow_3[Type],"Out")</f>
        <v>6908733</v>
      </c>
      <c r="K144" s="29">
        <f>SUMIFS(Cash_Flow_3[Amount],Cash_Flow_3[Bulan],H144,Cash_Flow_3[Type],"Out",Cash_Flow_3[Category],"Fix")</f>
        <v>2440568</v>
      </c>
      <c r="L144" s="29">
        <f>SUMIFS(Cash_Flow_3[Amount],Cash_Flow_3[Bulan],H144,Cash_Flow_3[Type],"Out",Cash_Flow_3[Category],"Bathroom")</f>
        <v>34500</v>
      </c>
      <c r="M144" s="29">
        <f>SUMIFS(Cash_Flow_3[Amount],Cash_Flow_3[Bulan],H144,Cash_Flow_3[Type],"Out",Cash_Flow_3[Category],"Alfa")</f>
        <v>293800</v>
      </c>
      <c r="N144" s="29">
        <f>SUMIFS(Cash_Flow_3[Amount],Cash_Flow_3[Bulan],H144,Cash_Flow_3[Type],"Out",Cash_Flow_3[Category],"Jajan")</f>
        <v>364000</v>
      </c>
      <c r="O144" s="29">
        <f>SUMIFS(Cash_Flow_3[Amount],Cash_Flow_3[Bulan],H144,Cash_Flow_3[Type],"Out",Cash_Flow_3[Category],"Kitchen")</f>
        <v>992724</v>
      </c>
      <c r="P144" s="29">
        <f>SUMIFS(Cash_Flow_3[Amount],Cash_Flow_3[Bulan],H144,Cash_Flow_3[Type],"Out",Cash_Flow_3[Category],"Loandry")</f>
        <v>41600</v>
      </c>
      <c r="Q144" s="29">
        <f>SUMIFS(Cash_Flow_3[Amount],Cash_Flow_3[Bulan],H144,Cash_Flow_3[Type],"Out",Cash_Flow_3[Category],"Mio")</f>
        <v>249000</v>
      </c>
      <c r="R144" s="29">
        <f>SUMIFS(Cash_Flow_3[Amount],Cash_Flow_3[Bulan],H144,Cash_Flow_3[Type],"Out",Cash_Flow_3[Category],"Sedekah")</f>
        <v>129000</v>
      </c>
      <c r="S144" s="29">
        <f>SUMIFS(Cash_Flow_3[Amount],Cash_Flow_3[Bulan],H144,Cash_Flow_3[Type],"Out",Cash_Flow_3[Category],"Zela")</f>
        <v>24100</v>
      </c>
      <c r="T144" s="29">
        <f>SUMIFS(Cash_Flow_3[Amount],Cash_Flow_3[Bulan],H144,Cash_Flow_3[Type],"Out",Cash_Flow_3[Category],"Iqbal")</f>
        <v>121000</v>
      </c>
    </row>
    <row r="145" spans="1:20" ht="22.5" customHeight="1" x14ac:dyDescent="0.2">
      <c r="A145" s="23">
        <v>46069</v>
      </c>
      <c r="B145" s="24" t="s">
        <v>480</v>
      </c>
      <c r="C145" s="25" t="s">
        <v>46</v>
      </c>
      <c r="D145" s="25" t="s">
        <v>44</v>
      </c>
      <c r="E145" s="25" t="s">
        <v>3</v>
      </c>
      <c r="F145" s="26">
        <v>4000</v>
      </c>
      <c r="G145" s="27"/>
      <c r="H145" s="28">
        <f t="shared" si="0"/>
        <v>46054</v>
      </c>
      <c r="I145" s="29">
        <f>SUMIFS(Cash_Flow_3[Amount],Cash_Flow_3[Bulan],H145,Cash_Flow_3[Type],"In")</f>
        <v>7073728</v>
      </c>
      <c r="J145" s="29">
        <f>SUMIFS(Cash_Flow_3[Amount],Cash_Flow_3[Bulan],H145,Cash_Flow_3[Type],"Out")</f>
        <v>6908733</v>
      </c>
      <c r="K145" s="29">
        <f>SUMIFS(Cash_Flow_3[Amount],Cash_Flow_3[Bulan],H145,Cash_Flow_3[Type],"Out",Cash_Flow_3[Category],"Fix")</f>
        <v>2440568</v>
      </c>
      <c r="L145" s="29">
        <f>SUMIFS(Cash_Flow_3[Amount],Cash_Flow_3[Bulan],H145,Cash_Flow_3[Type],"Out",Cash_Flow_3[Category],"Bathroom")</f>
        <v>34500</v>
      </c>
      <c r="M145" s="29">
        <f>SUMIFS(Cash_Flow_3[Amount],Cash_Flow_3[Bulan],H145,Cash_Flow_3[Type],"Out",Cash_Flow_3[Category],"Alfa")</f>
        <v>293800</v>
      </c>
      <c r="N145" s="29">
        <f>SUMIFS(Cash_Flow_3[Amount],Cash_Flow_3[Bulan],H145,Cash_Flow_3[Type],"Out",Cash_Flow_3[Category],"Jajan")</f>
        <v>364000</v>
      </c>
      <c r="O145" s="29">
        <f>SUMIFS(Cash_Flow_3[Amount],Cash_Flow_3[Bulan],H145,Cash_Flow_3[Type],"Out",Cash_Flow_3[Category],"Kitchen")</f>
        <v>992724</v>
      </c>
      <c r="P145" s="29">
        <f>SUMIFS(Cash_Flow_3[Amount],Cash_Flow_3[Bulan],H145,Cash_Flow_3[Type],"Out",Cash_Flow_3[Category],"Loandry")</f>
        <v>41600</v>
      </c>
      <c r="Q145" s="29">
        <f>SUMIFS(Cash_Flow_3[Amount],Cash_Flow_3[Bulan],H145,Cash_Flow_3[Type],"Out",Cash_Flow_3[Category],"Mio")</f>
        <v>249000</v>
      </c>
      <c r="R145" s="29">
        <f>SUMIFS(Cash_Flow_3[Amount],Cash_Flow_3[Bulan],H145,Cash_Flow_3[Type],"Out",Cash_Flow_3[Category],"Sedekah")</f>
        <v>129000</v>
      </c>
      <c r="S145" s="29">
        <f>SUMIFS(Cash_Flow_3[Amount],Cash_Flow_3[Bulan],H145,Cash_Flow_3[Type],"Out",Cash_Flow_3[Category],"Zela")</f>
        <v>24100</v>
      </c>
      <c r="T145" s="29">
        <f>SUMIFS(Cash_Flow_3[Amount],Cash_Flow_3[Bulan],H145,Cash_Flow_3[Type],"Out",Cash_Flow_3[Category],"Iqbal")</f>
        <v>121000</v>
      </c>
    </row>
    <row r="146" spans="1:20" ht="22.5" customHeight="1" x14ac:dyDescent="0.2">
      <c r="A146" s="23">
        <v>46069</v>
      </c>
      <c r="B146" s="24" t="s">
        <v>199</v>
      </c>
      <c r="C146" s="25" t="s">
        <v>46</v>
      </c>
      <c r="D146" s="25" t="s">
        <v>44</v>
      </c>
      <c r="E146" s="25" t="s">
        <v>2</v>
      </c>
      <c r="F146" s="26">
        <v>21000</v>
      </c>
      <c r="G146" s="27"/>
      <c r="H146" s="28">
        <f t="shared" si="0"/>
        <v>46054</v>
      </c>
      <c r="I146" s="29">
        <f>SUMIFS(Cash_Flow_3[Amount],Cash_Flow_3[Bulan],H146,Cash_Flow_3[Type],"In")</f>
        <v>7073728</v>
      </c>
      <c r="J146" s="29">
        <f>SUMIFS(Cash_Flow_3[Amount],Cash_Flow_3[Bulan],H146,Cash_Flow_3[Type],"Out")</f>
        <v>6908733</v>
      </c>
      <c r="K146" s="29">
        <f>SUMIFS(Cash_Flow_3[Amount],Cash_Flow_3[Bulan],H146,Cash_Flow_3[Type],"Out",Cash_Flow_3[Category],"Fix")</f>
        <v>2440568</v>
      </c>
      <c r="L146" s="29">
        <f>SUMIFS(Cash_Flow_3[Amount],Cash_Flow_3[Bulan],H146,Cash_Flow_3[Type],"Out",Cash_Flow_3[Category],"Bathroom")</f>
        <v>34500</v>
      </c>
      <c r="M146" s="29">
        <f>SUMIFS(Cash_Flow_3[Amount],Cash_Flow_3[Bulan],H146,Cash_Flow_3[Type],"Out",Cash_Flow_3[Category],"Alfa")</f>
        <v>293800</v>
      </c>
      <c r="N146" s="29">
        <f>SUMIFS(Cash_Flow_3[Amount],Cash_Flow_3[Bulan],H146,Cash_Flow_3[Type],"Out",Cash_Flow_3[Category],"Jajan")</f>
        <v>364000</v>
      </c>
      <c r="O146" s="29">
        <f>SUMIFS(Cash_Flow_3[Amount],Cash_Flow_3[Bulan],H146,Cash_Flow_3[Type],"Out",Cash_Flow_3[Category],"Kitchen")</f>
        <v>992724</v>
      </c>
      <c r="P146" s="29">
        <f>SUMIFS(Cash_Flow_3[Amount],Cash_Flow_3[Bulan],H146,Cash_Flow_3[Type],"Out",Cash_Flow_3[Category],"Loandry")</f>
        <v>41600</v>
      </c>
      <c r="Q146" s="29">
        <f>SUMIFS(Cash_Flow_3[Amount],Cash_Flow_3[Bulan],H146,Cash_Flow_3[Type],"Out",Cash_Flow_3[Category],"Mio")</f>
        <v>249000</v>
      </c>
      <c r="R146" s="29">
        <f>SUMIFS(Cash_Flow_3[Amount],Cash_Flow_3[Bulan],H146,Cash_Flow_3[Type],"Out",Cash_Flow_3[Category],"Sedekah")</f>
        <v>129000</v>
      </c>
      <c r="S146" s="29">
        <f>SUMIFS(Cash_Flow_3[Amount],Cash_Flow_3[Bulan],H146,Cash_Flow_3[Type],"Out",Cash_Flow_3[Category],"Zela")</f>
        <v>24100</v>
      </c>
      <c r="T146" s="29">
        <f>SUMIFS(Cash_Flow_3[Amount],Cash_Flow_3[Bulan],H146,Cash_Flow_3[Type],"Out",Cash_Flow_3[Category],"Iqbal")</f>
        <v>121000</v>
      </c>
    </row>
    <row r="147" spans="1:20" ht="22.5" customHeight="1" x14ac:dyDescent="0.2">
      <c r="A147" s="23">
        <v>46069</v>
      </c>
      <c r="B147" s="24" t="s">
        <v>201</v>
      </c>
      <c r="C147" s="25" t="s">
        <v>46</v>
      </c>
      <c r="D147" s="25" t="s">
        <v>44</v>
      </c>
      <c r="E147" s="25" t="s">
        <v>6</v>
      </c>
      <c r="F147" s="26">
        <v>25000</v>
      </c>
      <c r="G147" s="27"/>
      <c r="H147" s="28">
        <f t="shared" si="0"/>
        <v>46054</v>
      </c>
      <c r="I147" s="29">
        <f>SUMIFS(Cash_Flow_3[Amount],Cash_Flow_3[Bulan],H147,Cash_Flow_3[Type],"In")</f>
        <v>7073728</v>
      </c>
      <c r="J147" s="29">
        <f>SUMIFS(Cash_Flow_3[Amount],Cash_Flow_3[Bulan],H147,Cash_Flow_3[Type],"Out")</f>
        <v>6908733</v>
      </c>
      <c r="K147" s="29">
        <f>SUMIFS(Cash_Flow_3[Amount],Cash_Flow_3[Bulan],H147,Cash_Flow_3[Type],"Out",Cash_Flow_3[Category],"Fix")</f>
        <v>2440568</v>
      </c>
      <c r="L147" s="29">
        <f>SUMIFS(Cash_Flow_3[Amount],Cash_Flow_3[Bulan],H147,Cash_Flow_3[Type],"Out",Cash_Flow_3[Category],"Bathroom")</f>
        <v>34500</v>
      </c>
      <c r="M147" s="29">
        <f>SUMIFS(Cash_Flow_3[Amount],Cash_Flow_3[Bulan],H147,Cash_Flow_3[Type],"Out",Cash_Flow_3[Category],"Alfa")</f>
        <v>293800</v>
      </c>
      <c r="N147" s="29">
        <f>SUMIFS(Cash_Flow_3[Amount],Cash_Flow_3[Bulan],H147,Cash_Flow_3[Type],"Out",Cash_Flow_3[Category],"Jajan")</f>
        <v>364000</v>
      </c>
      <c r="O147" s="29">
        <f>SUMIFS(Cash_Flow_3[Amount],Cash_Flow_3[Bulan],H147,Cash_Flow_3[Type],"Out",Cash_Flow_3[Category],"Kitchen")</f>
        <v>992724</v>
      </c>
      <c r="P147" s="29">
        <f>SUMIFS(Cash_Flow_3[Amount],Cash_Flow_3[Bulan],H147,Cash_Flow_3[Type],"Out",Cash_Flow_3[Category],"Loandry")</f>
        <v>41600</v>
      </c>
      <c r="Q147" s="29">
        <f>SUMIFS(Cash_Flow_3[Amount],Cash_Flow_3[Bulan],H147,Cash_Flow_3[Type],"Out",Cash_Flow_3[Category],"Mio")</f>
        <v>249000</v>
      </c>
      <c r="R147" s="29">
        <f>SUMIFS(Cash_Flow_3[Amount],Cash_Flow_3[Bulan],H147,Cash_Flow_3[Type],"Out",Cash_Flow_3[Category],"Sedekah")</f>
        <v>129000</v>
      </c>
      <c r="S147" s="29">
        <f>SUMIFS(Cash_Flow_3[Amount],Cash_Flow_3[Bulan],H147,Cash_Flow_3[Type],"Out",Cash_Flow_3[Category],"Zela")</f>
        <v>24100</v>
      </c>
      <c r="T147" s="29">
        <f>SUMIFS(Cash_Flow_3[Amount],Cash_Flow_3[Bulan],H147,Cash_Flow_3[Type],"Out",Cash_Flow_3[Category],"Iqbal")</f>
        <v>121000</v>
      </c>
    </row>
    <row r="148" spans="1:20" ht="22.5" customHeight="1" x14ac:dyDescent="0.2">
      <c r="A148" s="23">
        <v>46069</v>
      </c>
      <c r="B148" s="24" t="s">
        <v>203</v>
      </c>
      <c r="C148" s="25" t="s">
        <v>46</v>
      </c>
      <c r="D148" s="25" t="s">
        <v>44</v>
      </c>
      <c r="E148" s="25" t="s">
        <v>5</v>
      </c>
      <c r="F148" s="26">
        <v>12000</v>
      </c>
      <c r="G148" s="27"/>
      <c r="H148" s="28">
        <f t="shared" si="0"/>
        <v>46054</v>
      </c>
      <c r="I148" s="29">
        <f>SUMIFS(Cash_Flow_3[Amount],Cash_Flow_3[Bulan],H148,Cash_Flow_3[Type],"In")</f>
        <v>7073728</v>
      </c>
      <c r="J148" s="29">
        <f>SUMIFS(Cash_Flow_3[Amount],Cash_Flow_3[Bulan],H148,Cash_Flow_3[Type],"Out")</f>
        <v>6908733</v>
      </c>
      <c r="K148" s="29">
        <f>SUMIFS(Cash_Flow_3[Amount],Cash_Flow_3[Bulan],H148,Cash_Flow_3[Type],"Out",Cash_Flow_3[Category],"Fix")</f>
        <v>2440568</v>
      </c>
      <c r="L148" s="29">
        <f>SUMIFS(Cash_Flow_3[Amount],Cash_Flow_3[Bulan],H148,Cash_Flow_3[Type],"Out",Cash_Flow_3[Category],"Bathroom")</f>
        <v>34500</v>
      </c>
      <c r="M148" s="29">
        <f>SUMIFS(Cash_Flow_3[Amount],Cash_Flow_3[Bulan],H148,Cash_Flow_3[Type],"Out",Cash_Flow_3[Category],"Alfa")</f>
        <v>293800</v>
      </c>
      <c r="N148" s="29">
        <f>SUMIFS(Cash_Flow_3[Amount],Cash_Flow_3[Bulan],H148,Cash_Flow_3[Type],"Out",Cash_Flow_3[Category],"Jajan")</f>
        <v>364000</v>
      </c>
      <c r="O148" s="29">
        <f>SUMIFS(Cash_Flow_3[Amount],Cash_Flow_3[Bulan],H148,Cash_Flow_3[Type],"Out",Cash_Flow_3[Category],"Kitchen")</f>
        <v>992724</v>
      </c>
      <c r="P148" s="29">
        <f>SUMIFS(Cash_Flow_3[Amount],Cash_Flow_3[Bulan],H148,Cash_Flow_3[Type],"Out",Cash_Flow_3[Category],"Loandry")</f>
        <v>41600</v>
      </c>
      <c r="Q148" s="29">
        <f>SUMIFS(Cash_Flow_3[Amount],Cash_Flow_3[Bulan],H148,Cash_Flow_3[Type],"Out",Cash_Flow_3[Category],"Mio")</f>
        <v>249000</v>
      </c>
      <c r="R148" s="29">
        <f>SUMIFS(Cash_Flow_3[Amount],Cash_Flow_3[Bulan],H148,Cash_Flow_3[Type],"Out",Cash_Flow_3[Category],"Sedekah")</f>
        <v>129000</v>
      </c>
      <c r="S148" s="29">
        <f>SUMIFS(Cash_Flow_3[Amount],Cash_Flow_3[Bulan],H148,Cash_Flow_3[Type],"Out",Cash_Flow_3[Category],"Zela")</f>
        <v>24100</v>
      </c>
      <c r="T148" s="29">
        <f>SUMIFS(Cash_Flow_3[Amount],Cash_Flow_3[Bulan],H148,Cash_Flow_3[Type],"Out",Cash_Flow_3[Category],"Iqbal")</f>
        <v>121000</v>
      </c>
    </row>
    <row r="149" spans="1:20" ht="22.5" customHeight="1" x14ac:dyDescent="0.2">
      <c r="A149" s="23">
        <v>46069</v>
      </c>
      <c r="B149" s="24" t="s">
        <v>906</v>
      </c>
      <c r="C149" s="25" t="s">
        <v>46</v>
      </c>
      <c r="D149" s="25" t="s">
        <v>44</v>
      </c>
      <c r="E149" s="25" t="s">
        <v>3</v>
      </c>
      <c r="F149" s="26">
        <v>18000</v>
      </c>
      <c r="G149" s="27"/>
      <c r="H149" s="28">
        <f t="shared" si="0"/>
        <v>46054</v>
      </c>
      <c r="I149" s="29">
        <f>SUMIFS(Cash_Flow_3[Amount],Cash_Flow_3[Bulan],H149,Cash_Flow_3[Type],"In")</f>
        <v>7073728</v>
      </c>
      <c r="J149" s="29">
        <f>SUMIFS(Cash_Flow_3[Amount],Cash_Flow_3[Bulan],H149,Cash_Flow_3[Type],"Out")</f>
        <v>6908733</v>
      </c>
      <c r="K149" s="29">
        <f>SUMIFS(Cash_Flow_3[Amount],Cash_Flow_3[Bulan],H149,Cash_Flow_3[Type],"Out",Cash_Flow_3[Category],"Fix")</f>
        <v>2440568</v>
      </c>
      <c r="L149" s="29">
        <f>SUMIFS(Cash_Flow_3[Amount],Cash_Flow_3[Bulan],H149,Cash_Flow_3[Type],"Out",Cash_Flow_3[Category],"Bathroom")</f>
        <v>34500</v>
      </c>
      <c r="M149" s="29">
        <f>SUMIFS(Cash_Flow_3[Amount],Cash_Flow_3[Bulan],H149,Cash_Flow_3[Type],"Out",Cash_Flow_3[Category],"Alfa")</f>
        <v>293800</v>
      </c>
      <c r="N149" s="29">
        <f>SUMIFS(Cash_Flow_3[Amount],Cash_Flow_3[Bulan],H149,Cash_Flow_3[Type],"Out",Cash_Flow_3[Category],"Jajan")</f>
        <v>364000</v>
      </c>
      <c r="O149" s="29">
        <f>SUMIFS(Cash_Flow_3[Amount],Cash_Flow_3[Bulan],H149,Cash_Flow_3[Type],"Out",Cash_Flow_3[Category],"Kitchen")</f>
        <v>992724</v>
      </c>
      <c r="P149" s="29">
        <f>SUMIFS(Cash_Flow_3[Amount],Cash_Flow_3[Bulan],H149,Cash_Flow_3[Type],"Out",Cash_Flow_3[Category],"Loandry")</f>
        <v>41600</v>
      </c>
      <c r="Q149" s="29">
        <f>SUMIFS(Cash_Flow_3[Amount],Cash_Flow_3[Bulan],H149,Cash_Flow_3[Type],"Out",Cash_Flow_3[Category],"Mio")</f>
        <v>249000</v>
      </c>
      <c r="R149" s="29">
        <f>SUMIFS(Cash_Flow_3[Amount],Cash_Flow_3[Bulan],H149,Cash_Flow_3[Type],"Out",Cash_Flow_3[Category],"Sedekah")</f>
        <v>129000</v>
      </c>
      <c r="S149" s="29">
        <f>SUMIFS(Cash_Flow_3[Amount],Cash_Flow_3[Bulan],H149,Cash_Flow_3[Type],"Out",Cash_Flow_3[Category],"Zela")</f>
        <v>24100</v>
      </c>
      <c r="T149" s="29">
        <f>SUMIFS(Cash_Flow_3[Amount],Cash_Flow_3[Bulan],H149,Cash_Flow_3[Type],"Out",Cash_Flow_3[Category],"Iqbal")</f>
        <v>121000</v>
      </c>
    </row>
    <row r="150" spans="1:20" ht="22.5" customHeight="1" x14ac:dyDescent="0.2">
      <c r="A150" s="23">
        <v>46070</v>
      </c>
      <c r="B150" s="24" t="s">
        <v>910</v>
      </c>
      <c r="C150" s="25" t="s">
        <v>43</v>
      </c>
      <c r="D150" s="25" t="s">
        <v>44</v>
      </c>
      <c r="E150" s="25" t="s">
        <v>4</v>
      </c>
      <c r="F150" s="26">
        <v>13500</v>
      </c>
      <c r="G150" s="27"/>
      <c r="H150" s="28">
        <f t="shared" si="0"/>
        <v>46054</v>
      </c>
      <c r="I150" s="29">
        <f>SUMIFS(Cash_Flow_3[Amount],Cash_Flow_3[Bulan],H150,Cash_Flow_3[Type],"In")</f>
        <v>7073728</v>
      </c>
      <c r="J150" s="29">
        <f>SUMIFS(Cash_Flow_3[Amount],Cash_Flow_3[Bulan],H150,Cash_Flow_3[Type],"Out")</f>
        <v>6908733</v>
      </c>
      <c r="K150" s="29">
        <f>SUMIFS(Cash_Flow_3[Amount],Cash_Flow_3[Bulan],H150,Cash_Flow_3[Type],"Out",Cash_Flow_3[Category],"Fix")</f>
        <v>2440568</v>
      </c>
      <c r="L150" s="29">
        <f>SUMIFS(Cash_Flow_3[Amount],Cash_Flow_3[Bulan],H150,Cash_Flow_3[Type],"Out",Cash_Flow_3[Category],"Bathroom")</f>
        <v>34500</v>
      </c>
      <c r="M150" s="29">
        <f>SUMIFS(Cash_Flow_3[Amount],Cash_Flow_3[Bulan],H150,Cash_Flow_3[Type],"Out",Cash_Flow_3[Category],"Alfa")</f>
        <v>293800</v>
      </c>
      <c r="N150" s="29">
        <f>SUMIFS(Cash_Flow_3[Amount],Cash_Flow_3[Bulan],H150,Cash_Flow_3[Type],"Out",Cash_Flow_3[Category],"Jajan")</f>
        <v>364000</v>
      </c>
      <c r="O150" s="29">
        <f>SUMIFS(Cash_Flow_3[Amount],Cash_Flow_3[Bulan],H150,Cash_Flow_3[Type],"Out",Cash_Flow_3[Category],"Kitchen")</f>
        <v>992724</v>
      </c>
      <c r="P150" s="29">
        <f>SUMIFS(Cash_Flow_3[Amount],Cash_Flow_3[Bulan],H150,Cash_Flow_3[Type],"Out",Cash_Flow_3[Category],"Loandry")</f>
        <v>41600</v>
      </c>
      <c r="Q150" s="29">
        <f>SUMIFS(Cash_Flow_3[Amount],Cash_Flow_3[Bulan],H150,Cash_Flow_3[Type],"Out",Cash_Flow_3[Category],"Mio")</f>
        <v>249000</v>
      </c>
      <c r="R150" s="29">
        <f>SUMIFS(Cash_Flow_3[Amount],Cash_Flow_3[Bulan],H150,Cash_Flow_3[Type],"Out",Cash_Flow_3[Category],"Sedekah")</f>
        <v>129000</v>
      </c>
      <c r="S150" s="29">
        <f>SUMIFS(Cash_Flow_3[Amount],Cash_Flow_3[Bulan],H150,Cash_Flow_3[Type],"Out",Cash_Flow_3[Category],"Zela")</f>
        <v>24100</v>
      </c>
      <c r="T150" s="29">
        <f>SUMIFS(Cash_Flow_3[Amount],Cash_Flow_3[Bulan],H150,Cash_Flow_3[Type],"Out",Cash_Flow_3[Category],"Iqbal")</f>
        <v>121000</v>
      </c>
    </row>
    <row r="151" spans="1:20" ht="22.5" customHeight="1" x14ac:dyDescent="0.2">
      <c r="A151" s="23">
        <v>46070</v>
      </c>
      <c r="B151" s="24" t="s">
        <v>915</v>
      </c>
      <c r="C151" s="25" t="s">
        <v>43</v>
      </c>
      <c r="D151" s="25" t="s">
        <v>44</v>
      </c>
      <c r="E151" s="25" t="s">
        <v>3</v>
      </c>
      <c r="F151" s="26">
        <v>25500</v>
      </c>
      <c r="G151" s="27"/>
      <c r="H151" s="28">
        <f t="shared" si="0"/>
        <v>46054</v>
      </c>
      <c r="I151" s="29">
        <f>SUMIFS(Cash_Flow_3[Amount],Cash_Flow_3[Bulan],H151,Cash_Flow_3[Type],"In")</f>
        <v>7073728</v>
      </c>
      <c r="J151" s="29">
        <f>SUMIFS(Cash_Flow_3[Amount],Cash_Flow_3[Bulan],H151,Cash_Flow_3[Type],"Out")</f>
        <v>6908733</v>
      </c>
      <c r="K151" s="29">
        <f>SUMIFS(Cash_Flow_3[Amount],Cash_Flow_3[Bulan],H151,Cash_Flow_3[Type],"Out",Cash_Flow_3[Category],"Fix")</f>
        <v>2440568</v>
      </c>
      <c r="L151" s="29">
        <f>SUMIFS(Cash_Flow_3[Amount],Cash_Flow_3[Bulan],H151,Cash_Flow_3[Type],"Out",Cash_Flow_3[Category],"Bathroom")</f>
        <v>34500</v>
      </c>
      <c r="M151" s="29">
        <f>SUMIFS(Cash_Flow_3[Amount],Cash_Flow_3[Bulan],H151,Cash_Flow_3[Type],"Out",Cash_Flow_3[Category],"Alfa")</f>
        <v>293800</v>
      </c>
      <c r="N151" s="29">
        <f>SUMIFS(Cash_Flow_3[Amount],Cash_Flow_3[Bulan],H151,Cash_Flow_3[Type],"Out",Cash_Flow_3[Category],"Jajan")</f>
        <v>364000</v>
      </c>
      <c r="O151" s="29">
        <f>SUMIFS(Cash_Flow_3[Amount],Cash_Flow_3[Bulan],H151,Cash_Flow_3[Type],"Out",Cash_Flow_3[Category],"Kitchen")</f>
        <v>992724</v>
      </c>
      <c r="P151" s="29">
        <f>SUMIFS(Cash_Flow_3[Amount],Cash_Flow_3[Bulan],H151,Cash_Flow_3[Type],"Out",Cash_Flow_3[Category],"Loandry")</f>
        <v>41600</v>
      </c>
      <c r="Q151" s="29">
        <f>SUMIFS(Cash_Flow_3[Amount],Cash_Flow_3[Bulan],H151,Cash_Flow_3[Type],"Out",Cash_Flow_3[Category],"Mio")</f>
        <v>249000</v>
      </c>
      <c r="R151" s="29">
        <f>SUMIFS(Cash_Flow_3[Amount],Cash_Flow_3[Bulan],H151,Cash_Flow_3[Type],"Out",Cash_Flow_3[Category],"Sedekah")</f>
        <v>129000</v>
      </c>
      <c r="S151" s="29">
        <f>SUMIFS(Cash_Flow_3[Amount],Cash_Flow_3[Bulan],H151,Cash_Flow_3[Type],"Out",Cash_Flow_3[Category],"Zela")</f>
        <v>24100</v>
      </c>
      <c r="T151" s="29">
        <f>SUMIFS(Cash_Flow_3[Amount],Cash_Flow_3[Bulan],H151,Cash_Flow_3[Type],"Out",Cash_Flow_3[Category],"Iqbal")</f>
        <v>121000</v>
      </c>
    </row>
    <row r="152" spans="1:20" ht="22.5" customHeight="1" x14ac:dyDescent="0.2">
      <c r="A152" s="23">
        <v>46069</v>
      </c>
      <c r="B152" s="24" t="s">
        <v>918</v>
      </c>
      <c r="C152" s="25" t="s">
        <v>43</v>
      </c>
      <c r="D152" s="25" t="s">
        <v>44</v>
      </c>
      <c r="E152" s="25" t="s">
        <v>0</v>
      </c>
      <c r="F152" s="26">
        <v>9000</v>
      </c>
      <c r="G152" s="27"/>
      <c r="H152" s="28">
        <f t="shared" si="0"/>
        <v>46054</v>
      </c>
      <c r="I152" s="29">
        <f>SUMIFS(Cash_Flow_3[Amount],Cash_Flow_3[Bulan],H152,Cash_Flow_3[Type],"In")</f>
        <v>7073728</v>
      </c>
      <c r="J152" s="29">
        <f>SUMIFS(Cash_Flow_3[Amount],Cash_Flow_3[Bulan],H152,Cash_Flow_3[Type],"Out")</f>
        <v>6908733</v>
      </c>
      <c r="K152" s="29">
        <f>SUMIFS(Cash_Flow_3[Amount],Cash_Flow_3[Bulan],H152,Cash_Flow_3[Type],"Out",Cash_Flow_3[Category],"Fix")</f>
        <v>2440568</v>
      </c>
      <c r="L152" s="29">
        <f>SUMIFS(Cash_Flow_3[Amount],Cash_Flow_3[Bulan],H152,Cash_Flow_3[Type],"Out",Cash_Flow_3[Category],"Bathroom")</f>
        <v>34500</v>
      </c>
      <c r="M152" s="29">
        <f>SUMIFS(Cash_Flow_3[Amount],Cash_Flow_3[Bulan],H152,Cash_Flow_3[Type],"Out",Cash_Flow_3[Category],"Alfa")</f>
        <v>293800</v>
      </c>
      <c r="N152" s="29">
        <f>SUMIFS(Cash_Flow_3[Amount],Cash_Flow_3[Bulan],H152,Cash_Flow_3[Type],"Out",Cash_Flow_3[Category],"Jajan")</f>
        <v>364000</v>
      </c>
      <c r="O152" s="29">
        <f>SUMIFS(Cash_Flow_3[Amount],Cash_Flow_3[Bulan],H152,Cash_Flow_3[Type],"Out",Cash_Flow_3[Category],"Kitchen")</f>
        <v>992724</v>
      </c>
      <c r="P152" s="29">
        <f>SUMIFS(Cash_Flow_3[Amount],Cash_Flow_3[Bulan],H152,Cash_Flow_3[Type],"Out",Cash_Flow_3[Category],"Loandry")</f>
        <v>41600</v>
      </c>
      <c r="Q152" s="29">
        <f>SUMIFS(Cash_Flow_3[Amount],Cash_Flow_3[Bulan],H152,Cash_Flow_3[Type],"Out",Cash_Flow_3[Category],"Mio")</f>
        <v>249000</v>
      </c>
      <c r="R152" s="29">
        <f>SUMIFS(Cash_Flow_3[Amount],Cash_Flow_3[Bulan],H152,Cash_Flow_3[Type],"Out",Cash_Flow_3[Category],"Sedekah")</f>
        <v>129000</v>
      </c>
      <c r="S152" s="29">
        <f>SUMIFS(Cash_Flow_3[Amount],Cash_Flow_3[Bulan],H152,Cash_Flow_3[Type],"Out",Cash_Flow_3[Category],"Zela")</f>
        <v>24100</v>
      </c>
      <c r="T152" s="29">
        <f>SUMIFS(Cash_Flow_3[Amount],Cash_Flow_3[Bulan],H152,Cash_Flow_3[Type],"Out",Cash_Flow_3[Category],"Iqbal")</f>
        <v>121000</v>
      </c>
    </row>
    <row r="153" spans="1:20" ht="22.5" customHeight="1" x14ac:dyDescent="0.2">
      <c r="A153" s="23">
        <v>46069</v>
      </c>
      <c r="B153" s="24" t="s">
        <v>210</v>
      </c>
      <c r="C153" s="25" t="s">
        <v>46</v>
      </c>
      <c r="D153" s="25" t="s">
        <v>39</v>
      </c>
      <c r="E153" s="25" t="s">
        <v>0</v>
      </c>
      <c r="F153" s="26">
        <v>15000</v>
      </c>
      <c r="G153" s="27"/>
      <c r="H153" s="28">
        <f t="shared" si="0"/>
        <v>46054</v>
      </c>
      <c r="I153" s="29">
        <f>SUMIFS(Cash_Flow_3[Amount],Cash_Flow_3[Bulan],H153,Cash_Flow_3[Type],"In")</f>
        <v>7073728</v>
      </c>
      <c r="J153" s="29">
        <f>SUMIFS(Cash_Flow_3[Amount],Cash_Flow_3[Bulan],H153,Cash_Flow_3[Type],"Out")</f>
        <v>6908733</v>
      </c>
      <c r="K153" s="29">
        <f>SUMIFS(Cash_Flow_3[Amount],Cash_Flow_3[Bulan],H153,Cash_Flow_3[Type],"Out",Cash_Flow_3[Category],"Fix")</f>
        <v>2440568</v>
      </c>
      <c r="L153" s="29">
        <f>SUMIFS(Cash_Flow_3[Amount],Cash_Flow_3[Bulan],H153,Cash_Flow_3[Type],"Out",Cash_Flow_3[Category],"Bathroom")</f>
        <v>34500</v>
      </c>
      <c r="M153" s="29">
        <f>SUMIFS(Cash_Flow_3[Amount],Cash_Flow_3[Bulan],H153,Cash_Flow_3[Type],"Out",Cash_Flow_3[Category],"Alfa")</f>
        <v>293800</v>
      </c>
      <c r="N153" s="29">
        <f>SUMIFS(Cash_Flow_3[Amount],Cash_Flow_3[Bulan],H153,Cash_Flow_3[Type],"Out",Cash_Flow_3[Category],"Jajan")</f>
        <v>364000</v>
      </c>
      <c r="O153" s="29">
        <f>SUMIFS(Cash_Flow_3[Amount],Cash_Flow_3[Bulan],H153,Cash_Flow_3[Type],"Out",Cash_Flow_3[Category],"Kitchen")</f>
        <v>992724</v>
      </c>
      <c r="P153" s="29">
        <f>SUMIFS(Cash_Flow_3[Amount],Cash_Flow_3[Bulan],H153,Cash_Flow_3[Type],"Out",Cash_Flow_3[Category],"Loandry")</f>
        <v>41600</v>
      </c>
      <c r="Q153" s="29">
        <f>SUMIFS(Cash_Flow_3[Amount],Cash_Flow_3[Bulan],H153,Cash_Flow_3[Type],"Out",Cash_Flow_3[Category],"Mio")</f>
        <v>249000</v>
      </c>
      <c r="R153" s="29">
        <f>SUMIFS(Cash_Flow_3[Amount],Cash_Flow_3[Bulan],H153,Cash_Flow_3[Type],"Out",Cash_Flow_3[Category],"Sedekah")</f>
        <v>129000</v>
      </c>
      <c r="S153" s="29">
        <f>SUMIFS(Cash_Flow_3[Amount],Cash_Flow_3[Bulan],H153,Cash_Flow_3[Type],"Out",Cash_Flow_3[Category],"Zela")</f>
        <v>24100</v>
      </c>
      <c r="T153" s="29">
        <f>SUMIFS(Cash_Flow_3[Amount],Cash_Flow_3[Bulan],H153,Cash_Flow_3[Type],"Out",Cash_Flow_3[Category],"Iqbal")</f>
        <v>121000</v>
      </c>
    </row>
    <row r="154" spans="1:20" ht="22.5" customHeight="1" x14ac:dyDescent="0.2">
      <c r="A154" s="23">
        <v>46070</v>
      </c>
      <c r="B154" s="24" t="s">
        <v>212</v>
      </c>
      <c r="C154" s="25" t="s">
        <v>46</v>
      </c>
      <c r="D154" s="25" t="s">
        <v>39</v>
      </c>
      <c r="E154" s="25" t="s">
        <v>0</v>
      </c>
      <c r="F154" s="26">
        <v>50000</v>
      </c>
      <c r="G154" s="27"/>
      <c r="H154" s="28">
        <f t="shared" si="0"/>
        <v>46054</v>
      </c>
      <c r="I154" s="29">
        <f>SUMIFS(Cash_Flow_3[Amount],Cash_Flow_3[Bulan],H154,Cash_Flow_3[Type],"In")</f>
        <v>7073728</v>
      </c>
      <c r="J154" s="29">
        <f>SUMIFS(Cash_Flow_3[Amount],Cash_Flow_3[Bulan],H154,Cash_Flow_3[Type],"Out")</f>
        <v>6908733</v>
      </c>
      <c r="K154" s="29">
        <f>SUMIFS(Cash_Flow_3[Amount],Cash_Flow_3[Bulan],H154,Cash_Flow_3[Type],"Out",Cash_Flow_3[Category],"Fix")</f>
        <v>2440568</v>
      </c>
      <c r="L154" s="29">
        <f>SUMIFS(Cash_Flow_3[Amount],Cash_Flow_3[Bulan],H154,Cash_Flow_3[Type],"Out",Cash_Flow_3[Category],"Bathroom")</f>
        <v>34500</v>
      </c>
      <c r="M154" s="29">
        <f>SUMIFS(Cash_Flow_3[Amount],Cash_Flow_3[Bulan],H154,Cash_Flow_3[Type],"Out",Cash_Flow_3[Category],"Alfa")</f>
        <v>293800</v>
      </c>
      <c r="N154" s="29">
        <f>SUMIFS(Cash_Flow_3[Amount],Cash_Flow_3[Bulan],H154,Cash_Flow_3[Type],"Out",Cash_Flow_3[Category],"Jajan")</f>
        <v>364000</v>
      </c>
      <c r="O154" s="29">
        <f>SUMIFS(Cash_Flow_3[Amount],Cash_Flow_3[Bulan],H154,Cash_Flow_3[Type],"Out",Cash_Flow_3[Category],"Kitchen")</f>
        <v>992724</v>
      </c>
      <c r="P154" s="29">
        <f>SUMIFS(Cash_Flow_3[Amount],Cash_Flow_3[Bulan],H154,Cash_Flow_3[Type],"Out",Cash_Flow_3[Category],"Loandry")</f>
        <v>41600</v>
      </c>
      <c r="Q154" s="29">
        <f>SUMIFS(Cash_Flow_3[Amount],Cash_Flow_3[Bulan],H154,Cash_Flow_3[Type],"Out",Cash_Flow_3[Category],"Mio")</f>
        <v>249000</v>
      </c>
      <c r="R154" s="29">
        <f>SUMIFS(Cash_Flow_3[Amount],Cash_Flow_3[Bulan],H154,Cash_Flow_3[Type],"Out",Cash_Flow_3[Category],"Sedekah")</f>
        <v>129000</v>
      </c>
      <c r="S154" s="29">
        <f>SUMIFS(Cash_Flow_3[Amount],Cash_Flow_3[Bulan],H154,Cash_Flow_3[Type],"Out",Cash_Flow_3[Category],"Zela")</f>
        <v>24100</v>
      </c>
      <c r="T154" s="29">
        <f>SUMIFS(Cash_Flow_3[Amount],Cash_Flow_3[Bulan],H154,Cash_Flow_3[Type],"Out",Cash_Flow_3[Category],"Iqbal")</f>
        <v>121000</v>
      </c>
    </row>
    <row r="155" spans="1:20" ht="22.5" customHeight="1" x14ac:dyDescent="0.2">
      <c r="A155" s="23">
        <v>46070</v>
      </c>
      <c r="B155" s="24" t="s">
        <v>215</v>
      </c>
      <c r="C155" s="25" t="s">
        <v>43</v>
      </c>
      <c r="D155" s="25" t="s">
        <v>44</v>
      </c>
      <c r="E155" s="25" t="s">
        <v>2</v>
      </c>
      <c r="F155" s="26">
        <v>10000</v>
      </c>
      <c r="G155" s="27"/>
      <c r="H155" s="28">
        <f t="shared" si="0"/>
        <v>46054</v>
      </c>
      <c r="I155" s="29">
        <f>SUMIFS(Cash_Flow_3[Amount],Cash_Flow_3[Bulan],H155,Cash_Flow_3[Type],"In")</f>
        <v>7073728</v>
      </c>
      <c r="J155" s="29">
        <f>SUMIFS(Cash_Flow_3[Amount],Cash_Flow_3[Bulan],H155,Cash_Flow_3[Type],"Out")</f>
        <v>6908733</v>
      </c>
      <c r="K155" s="29">
        <f>SUMIFS(Cash_Flow_3[Amount],Cash_Flow_3[Bulan],H155,Cash_Flow_3[Type],"Out",Cash_Flow_3[Category],"Fix")</f>
        <v>2440568</v>
      </c>
      <c r="L155" s="29">
        <f>SUMIFS(Cash_Flow_3[Amount],Cash_Flow_3[Bulan],H155,Cash_Flow_3[Type],"Out",Cash_Flow_3[Category],"Bathroom")</f>
        <v>34500</v>
      </c>
      <c r="M155" s="29">
        <f>SUMIFS(Cash_Flow_3[Amount],Cash_Flow_3[Bulan],H155,Cash_Flow_3[Type],"Out",Cash_Flow_3[Category],"Alfa")</f>
        <v>293800</v>
      </c>
      <c r="N155" s="29">
        <f>SUMIFS(Cash_Flow_3[Amount],Cash_Flow_3[Bulan],H155,Cash_Flow_3[Type],"Out",Cash_Flow_3[Category],"Jajan")</f>
        <v>364000</v>
      </c>
      <c r="O155" s="29">
        <f>SUMIFS(Cash_Flow_3[Amount],Cash_Flow_3[Bulan],H155,Cash_Flow_3[Type],"Out",Cash_Flow_3[Category],"Kitchen")</f>
        <v>992724</v>
      </c>
      <c r="P155" s="29">
        <f>SUMIFS(Cash_Flow_3[Amount],Cash_Flow_3[Bulan],H155,Cash_Flow_3[Type],"Out",Cash_Flow_3[Category],"Loandry")</f>
        <v>41600</v>
      </c>
      <c r="Q155" s="29">
        <f>SUMIFS(Cash_Flow_3[Amount],Cash_Flow_3[Bulan],H155,Cash_Flow_3[Type],"Out",Cash_Flow_3[Category],"Mio")</f>
        <v>249000</v>
      </c>
      <c r="R155" s="29">
        <f>SUMIFS(Cash_Flow_3[Amount],Cash_Flow_3[Bulan],H155,Cash_Flow_3[Type],"Out",Cash_Flow_3[Category],"Sedekah")</f>
        <v>129000</v>
      </c>
      <c r="S155" s="29">
        <f>SUMIFS(Cash_Flow_3[Amount],Cash_Flow_3[Bulan],H155,Cash_Flow_3[Type],"Out",Cash_Flow_3[Category],"Zela")</f>
        <v>24100</v>
      </c>
      <c r="T155" s="29">
        <f>SUMIFS(Cash_Flow_3[Amount],Cash_Flow_3[Bulan],H155,Cash_Flow_3[Type],"Out",Cash_Flow_3[Category],"Iqbal")</f>
        <v>121000</v>
      </c>
    </row>
    <row r="156" spans="1:20" ht="22.5" customHeight="1" x14ac:dyDescent="0.2">
      <c r="A156" s="23">
        <v>46070</v>
      </c>
      <c r="B156" s="24" t="s">
        <v>85</v>
      </c>
      <c r="C156" s="25" t="s">
        <v>43</v>
      </c>
      <c r="D156" s="25" t="s">
        <v>44</v>
      </c>
      <c r="E156" s="25" t="s">
        <v>2</v>
      </c>
      <c r="F156" s="26">
        <v>2000</v>
      </c>
      <c r="G156" s="27"/>
      <c r="H156" s="28">
        <f t="shared" si="0"/>
        <v>46054</v>
      </c>
      <c r="I156" s="29">
        <f>SUMIFS(Cash_Flow_3[Amount],Cash_Flow_3[Bulan],H156,Cash_Flow_3[Type],"In")</f>
        <v>7073728</v>
      </c>
      <c r="J156" s="29">
        <f>SUMIFS(Cash_Flow_3[Amount],Cash_Flow_3[Bulan],H156,Cash_Flow_3[Type],"Out")</f>
        <v>6908733</v>
      </c>
      <c r="K156" s="29">
        <f>SUMIFS(Cash_Flow_3[Amount],Cash_Flow_3[Bulan],H156,Cash_Flow_3[Type],"Out",Cash_Flow_3[Category],"Fix")</f>
        <v>2440568</v>
      </c>
      <c r="L156" s="29">
        <f>SUMIFS(Cash_Flow_3[Amount],Cash_Flow_3[Bulan],H156,Cash_Flow_3[Type],"Out",Cash_Flow_3[Category],"Bathroom")</f>
        <v>34500</v>
      </c>
      <c r="M156" s="29">
        <f>SUMIFS(Cash_Flow_3[Amount],Cash_Flow_3[Bulan],H156,Cash_Flow_3[Type],"Out",Cash_Flow_3[Category],"Alfa")</f>
        <v>293800</v>
      </c>
      <c r="N156" s="29">
        <f>SUMIFS(Cash_Flow_3[Amount],Cash_Flow_3[Bulan],H156,Cash_Flow_3[Type],"Out",Cash_Flow_3[Category],"Jajan")</f>
        <v>364000</v>
      </c>
      <c r="O156" s="29">
        <f>SUMIFS(Cash_Flow_3[Amount],Cash_Flow_3[Bulan],H156,Cash_Flow_3[Type],"Out",Cash_Flow_3[Category],"Kitchen")</f>
        <v>992724</v>
      </c>
      <c r="P156" s="29">
        <f>SUMIFS(Cash_Flow_3[Amount],Cash_Flow_3[Bulan],H156,Cash_Flow_3[Type],"Out",Cash_Flow_3[Category],"Loandry")</f>
        <v>41600</v>
      </c>
      <c r="Q156" s="29">
        <f>SUMIFS(Cash_Flow_3[Amount],Cash_Flow_3[Bulan],H156,Cash_Flow_3[Type],"Out",Cash_Flow_3[Category],"Mio")</f>
        <v>249000</v>
      </c>
      <c r="R156" s="29">
        <f>SUMIFS(Cash_Flow_3[Amount],Cash_Flow_3[Bulan],H156,Cash_Flow_3[Type],"Out",Cash_Flow_3[Category],"Sedekah")</f>
        <v>129000</v>
      </c>
      <c r="S156" s="29">
        <f>SUMIFS(Cash_Flow_3[Amount],Cash_Flow_3[Bulan],H156,Cash_Flow_3[Type],"Out",Cash_Flow_3[Category],"Zela")</f>
        <v>24100</v>
      </c>
      <c r="T156" s="29">
        <f>SUMIFS(Cash_Flow_3[Amount],Cash_Flow_3[Bulan],H156,Cash_Flow_3[Type],"Out",Cash_Flow_3[Category],"Iqbal")</f>
        <v>121000</v>
      </c>
    </row>
    <row r="157" spans="1:20" ht="22.5" customHeight="1" x14ac:dyDescent="0.2">
      <c r="A157" s="23">
        <v>46070</v>
      </c>
      <c r="B157" s="24" t="s">
        <v>218</v>
      </c>
      <c r="C157" s="25" t="s">
        <v>43</v>
      </c>
      <c r="D157" s="25" t="s">
        <v>44</v>
      </c>
      <c r="E157" s="25" t="s">
        <v>2</v>
      </c>
      <c r="F157" s="26">
        <v>9000</v>
      </c>
      <c r="G157" s="27"/>
      <c r="H157" s="28">
        <f t="shared" si="0"/>
        <v>46054</v>
      </c>
      <c r="I157" s="29">
        <f>SUMIFS(Cash_Flow_3[Amount],Cash_Flow_3[Bulan],H157,Cash_Flow_3[Type],"In")</f>
        <v>7073728</v>
      </c>
      <c r="J157" s="29">
        <f>SUMIFS(Cash_Flow_3[Amount],Cash_Flow_3[Bulan],H157,Cash_Flow_3[Type],"Out")</f>
        <v>6908733</v>
      </c>
      <c r="K157" s="29">
        <f>SUMIFS(Cash_Flow_3[Amount],Cash_Flow_3[Bulan],H157,Cash_Flow_3[Type],"Out",Cash_Flow_3[Category],"Fix")</f>
        <v>2440568</v>
      </c>
      <c r="L157" s="29">
        <f>SUMIFS(Cash_Flow_3[Amount],Cash_Flow_3[Bulan],H157,Cash_Flow_3[Type],"Out",Cash_Flow_3[Category],"Bathroom")</f>
        <v>34500</v>
      </c>
      <c r="M157" s="29">
        <f>SUMIFS(Cash_Flow_3[Amount],Cash_Flow_3[Bulan],H157,Cash_Flow_3[Type],"Out",Cash_Flow_3[Category],"Alfa")</f>
        <v>293800</v>
      </c>
      <c r="N157" s="29">
        <f>SUMIFS(Cash_Flow_3[Amount],Cash_Flow_3[Bulan],H157,Cash_Flow_3[Type],"Out",Cash_Flow_3[Category],"Jajan")</f>
        <v>364000</v>
      </c>
      <c r="O157" s="29">
        <f>SUMIFS(Cash_Flow_3[Amount],Cash_Flow_3[Bulan],H157,Cash_Flow_3[Type],"Out",Cash_Flow_3[Category],"Kitchen")</f>
        <v>992724</v>
      </c>
      <c r="P157" s="29">
        <f>SUMIFS(Cash_Flow_3[Amount],Cash_Flow_3[Bulan],H157,Cash_Flow_3[Type],"Out",Cash_Flow_3[Category],"Loandry")</f>
        <v>41600</v>
      </c>
      <c r="Q157" s="29">
        <f>SUMIFS(Cash_Flow_3[Amount],Cash_Flow_3[Bulan],H157,Cash_Flow_3[Type],"Out",Cash_Flow_3[Category],"Mio")</f>
        <v>249000</v>
      </c>
      <c r="R157" s="29">
        <f>SUMIFS(Cash_Flow_3[Amount],Cash_Flow_3[Bulan],H157,Cash_Flow_3[Type],"Out",Cash_Flow_3[Category],"Sedekah")</f>
        <v>129000</v>
      </c>
      <c r="S157" s="29">
        <f>SUMIFS(Cash_Flow_3[Amount],Cash_Flow_3[Bulan],H157,Cash_Flow_3[Type],"Out",Cash_Flow_3[Category],"Zela")</f>
        <v>24100</v>
      </c>
      <c r="T157" s="29">
        <f>SUMIFS(Cash_Flow_3[Amount],Cash_Flow_3[Bulan],H157,Cash_Flow_3[Type],"Out",Cash_Flow_3[Category],"Iqbal")</f>
        <v>121000</v>
      </c>
    </row>
    <row r="158" spans="1:20" ht="22.5" customHeight="1" x14ac:dyDescent="0.2">
      <c r="A158" s="23">
        <v>46070</v>
      </c>
      <c r="B158" s="24" t="s">
        <v>220</v>
      </c>
      <c r="C158" s="25" t="s">
        <v>43</v>
      </c>
      <c r="D158" s="25" t="s">
        <v>44</v>
      </c>
      <c r="E158" s="25" t="s">
        <v>3</v>
      </c>
      <c r="F158" s="26">
        <v>29000</v>
      </c>
      <c r="G158" s="27"/>
      <c r="H158" s="28">
        <f t="shared" si="0"/>
        <v>46054</v>
      </c>
      <c r="I158" s="29">
        <f>SUMIFS(Cash_Flow_3[Amount],Cash_Flow_3[Bulan],H158,Cash_Flow_3[Type],"In")</f>
        <v>7073728</v>
      </c>
      <c r="J158" s="29">
        <f>SUMIFS(Cash_Flow_3[Amount],Cash_Flow_3[Bulan],H158,Cash_Flow_3[Type],"Out")</f>
        <v>6908733</v>
      </c>
      <c r="K158" s="29">
        <f>SUMIFS(Cash_Flow_3[Amount],Cash_Flow_3[Bulan],H158,Cash_Flow_3[Type],"Out",Cash_Flow_3[Category],"Fix")</f>
        <v>2440568</v>
      </c>
      <c r="L158" s="29">
        <f>SUMIFS(Cash_Flow_3[Amount],Cash_Flow_3[Bulan],H158,Cash_Flow_3[Type],"Out",Cash_Flow_3[Category],"Bathroom")</f>
        <v>34500</v>
      </c>
      <c r="M158" s="29">
        <f>SUMIFS(Cash_Flow_3[Amount],Cash_Flow_3[Bulan],H158,Cash_Flow_3[Type],"Out",Cash_Flow_3[Category],"Alfa")</f>
        <v>293800</v>
      </c>
      <c r="N158" s="29">
        <f>SUMIFS(Cash_Flow_3[Amount],Cash_Flow_3[Bulan],H158,Cash_Flow_3[Type],"Out",Cash_Flow_3[Category],"Jajan")</f>
        <v>364000</v>
      </c>
      <c r="O158" s="29">
        <f>SUMIFS(Cash_Flow_3[Amount],Cash_Flow_3[Bulan],H158,Cash_Flow_3[Type],"Out",Cash_Flow_3[Category],"Kitchen")</f>
        <v>992724</v>
      </c>
      <c r="P158" s="29">
        <f>SUMIFS(Cash_Flow_3[Amount],Cash_Flow_3[Bulan],H158,Cash_Flow_3[Type],"Out",Cash_Flow_3[Category],"Loandry")</f>
        <v>41600</v>
      </c>
      <c r="Q158" s="29">
        <f>SUMIFS(Cash_Flow_3[Amount],Cash_Flow_3[Bulan],H158,Cash_Flow_3[Type],"Out",Cash_Flow_3[Category],"Mio")</f>
        <v>249000</v>
      </c>
      <c r="R158" s="29">
        <f>SUMIFS(Cash_Flow_3[Amount],Cash_Flow_3[Bulan],H158,Cash_Flow_3[Type],"Out",Cash_Flow_3[Category],"Sedekah")</f>
        <v>129000</v>
      </c>
      <c r="S158" s="29">
        <f>SUMIFS(Cash_Flow_3[Amount],Cash_Flow_3[Bulan],H158,Cash_Flow_3[Type],"Out",Cash_Flow_3[Category],"Zela")</f>
        <v>24100</v>
      </c>
      <c r="T158" s="29">
        <f>SUMIFS(Cash_Flow_3[Amount],Cash_Flow_3[Bulan],H158,Cash_Flow_3[Type],"Out",Cash_Flow_3[Category],"Iqbal")</f>
        <v>121000</v>
      </c>
    </row>
    <row r="159" spans="1:20" ht="22.5" customHeight="1" x14ac:dyDescent="0.2">
      <c r="A159" s="23">
        <v>46070</v>
      </c>
      <c r="B159" s="24" t="s">
        <v>595</v>
      </c>
      <c r="C159" s="25" t="s">
        <v>46</v>
      </c>
      <c r="D159" s="25" t="s">
        <v>44</v>
      </c>
      <c r="E159" s="25" t="s">
        <v>6</v>
      </c>
      <c r="F159" s="26">
        <v>25000</v>
      </c>
      <c r="G159" s="27"/>
      <c r="H159" s="28">
        <f t="shared" si="0"/>
        <v>46054</v>
      </c>
      <c r="I159" s="29">
        <f>SUMIFS(Cash_Flow_3[Amount],Cash_Flow_3[Bulan],H159,Cash_Flow_3[Type],"In")</f>
        <v>7073728</v>
      </c>
      <c r="J159" s="29">
        <f>SUMIFS(Cash_Flow_3[Amount],Cash_Flow_3[Bulan],H159,Cash_Flow_3[Type],"Out")</f>
        <v>6908733</v>
      </c>
      <c r="K159" s="29">
        <f>SUMIFS(Cash_Flow_3[Amount],Cash_Flow_3[Bulan],H159,Cash_Flow_3[Type],"Out",Cash_Flow_3[Category],"Fix")</f>
        <v>2440568</v>
      </c>
      <c r="L159" s="29">
        <f>SUMIFS(Cash_Flow_3[Amount],Cash_Flow_3[Bulan],H159,Cash_Flow_3[Type],"Out",Cash_Flow_3[Category],"Bathroom")</f>
        <v>34500</v>
      </c>
      <c r="M159" s="29">
        <f>SUMIFS(Cash_Flow_3[Amount],Cash_Flow_3[Bulan],H159,Cash_Flow_3[Type],"Out",Cash_Flow_3[Category],"Alfa")</f>
        <v>293800</v>
      </c>
      <c r="N159" s="29">
        <f>SUMIFS(Cash_Flow_3[Amount],Cash_Flow_3[Bulan],H159,Cash_Flow_3[Type],"Out",Cash_Flow_3[Category],"Jajan")</f>
        <v>364000</v>
      </c>
      <c r="O159" s="29">
        <f>SUMIFS(Cash_Flow_3[Amount],Cash_Flow_3[Bulan],H159,Cash_Flow_3[Type],"Out",Cash_Flow_3[Category],"Kitchen")</f>
        <v>992724</v>
      </c>
      <c r="P159" s="29">
        <f>SUMIFS(Cash_Flow_3[Amount],Cash_Flow_3[Bulan],H159,Cash_Flow_3[Type],"Out",Cash_Flow_3[Category],"Loandry")</f>
        <v>41600</v>
      </c>
      <c r="Q159" s="29">
        <f>SUMIFS(Cash_Flow_3[Amount],Cash_Flow_3[Bulan],H159,Cash_Flow_3[Type],"Out",Cash_Flow_3[Category],"Mio")</f>
        <v>249000</v>
      </c>
      <c r="R159" s="29">
        <f>SUMIFS(Cash_Flow_3[Amount],Cash_Flow_3[Bulan],H159,Cash_Flow_3[Type],"Out",Cash_Flow_3[Category],"Sedekah")</f>
        <v>129000</v>
      </c>
      <c r="S159" s="29">
        <f>SUMIFS(Cash_Flow_3[Amount],Cash_Flow_3[Bulan],H159,Cash_Flow_3[Type],"Out",Cash_Flow_3[Category],"Zela")</f>
        <v>24100</v>
      </c>
      <c r="T159" s="29">
        <f>SUMIFS(Cash_Flow_3[Amount],Cash_Flow_3[Bulan],H159,Cash_Flow_3[Type],"Out",Cash_Flow_3[Category],"Iqbal")</f>
        <v>121000</v>
      </c>
    </row>
    <row r="160" spans="1:20" ht="22.5" customHeight="1" x14ac:dyDescent="0.2">
      <c r="A160" s="23">
        <v>46070</v>
      </c>
      <c r="B160" s="24" t="s">
        <v>223</v>
      </c>
      <c r="C160" s="25" t="s">
        <v>46</v>
      </c>
      <c r="D160" s="25" t="s">
        <v>44</v>
      </c>
      <c r="E160" s="25" t="s">
        <v>3</v>
      </c>
      <c r="F160" s="26">
        <v>5500</v>
      </c>
      <c r="G160" s="27"/>
      <c r="H160" s="28">
        <f t="shared" si="0"/>
        <v>46054</v>
      </c>
      <c r="I160" s="29">
        <f>SUMIFS(Cash_Flow_3[Amount],Cash_Flow_3[Bulan],H160,Cash_Flow_3[Type],"In")</f>
        <v>7073728</v>
      </c>
      <c r="J160" s="29">
        <f>SUMIFS(Cash_Flow_3[Amount],Cash_Flow_3[Bulan],H160,Cash_Flow_3[Type],"Out")</f>
        <v>6908733</v>
      </c>
      <c r="K160" s="29">
        <f>SUMIFS(Cash_Flow_3[Amount],Cash_Flow_3[Bulan],H160,Cash_Flow_3[Type],"Out",Cash_Flow_3[Category],"Fix")</f>
        <v>2440568</v>
      </c>
      <c r="L160" s="29">
        <f>SUMIFS(Cash_Flow_3[Amount],Cash_Flow_3[Bulan],H160,Cash_Flow_3[Type],"Out",Cash_Flow_3[Category],"Bathroom")</f>
        <v>34500</v>
      </c>
      <c r="M160" s="29">
        <f>SUMIFS(Cash_Flow_3[Amount],Cash_Flow_3[Bulan],H160,Cash_Flow_3[Type],"Out",Cash_Flow_3[Category],"Alfa")</f>
        <v>293800</v>
      </c>
      <c r="N160" s="29">
        <f>SUMIFS(Cash_Flow_3[Amount],Cash_Flow_3[Bulan],H160,Cash_Flow_3[Type],"Out",Cash_Flow_3[Category],"Jajan")</f>
        <v>364000</v>
      </c>
      <c r="O160" s="29">
        <f>SUMIFS(Cash_Flow_3[Amount],Cash_Flow_3[Bulan],H160,Cash_Flow_3[Type],"Out",Cash_Flow_3[Category],"Kitchen")</f>
        <v>992724</v>
      </c>
      <c r="P160" s="29">
        <f>SUMIFS(Cash_Flow_3[Amount],Cash_Flow_3[Bulan],H160,Cash_Flow_3[Type],"Out",Cash_Flow_3[Category],"Loandry")</f>
        <v>41600</v>
      </c>
      <c r="Q160" s="29">
        <f>SUMIFS(Cash_Flow_3[Amount],Cash_Flow_3[Bulan],H160,Cash_Flow_3[Type],"Out",Cash_Flow_3[Category],"Mio")</f>
        <v>249000</v>
      </c>
      <c r="R160" s="29">
        <f>SUMIFS(Cash_Flow_3[Amount],Cash_Flow_3[Bulan],H160,Cash_Flow_3[Type],"Out",Cash_Flow_3[Category],"Sedekah")</f>
        <v>129000</v>
      </c>
      <c r="S160" s="29">
        <f>SUMIFS(Cash_Flow_3[Amount],Cash_Flow_3[Bulan],H160,Cash_Flow_3[Type],"Out",Cash_Flow_3[Category],"Zela")</f>
        <v>24100</v>
      </c>
      <c r="T160" s="29">
        <f>SUMIFS(Cash_Flow_3[Amount],Cash_Flow_3[Bulan],H160,Cash_Flow_3[Type],"Out",Cash_Flow_3[Category],"Iqbal")</f>
        <v>121000</v>
      </c>
    </row>
    <row r="161" spans="1:20" ht="22.5" customHeight="1" x14ac:dyDescent="0.2">
      <c r="A161" s="23">
        <v>46070</v>
      </c>
      <c r="B161" s="24" t="s">
        <v>938</v>
      </c>
      <c r="C161" s="25" t="s">
        <v>46</v>
      </c>
      <c r="D161" s="25" t="s">
        <v>44</v>
      </c>
      <c r="E161" s="25" t="s">
        <v>2</v>
      </c>
      <c r="F161" s="26">
        <v>10000</v>
      </c>
      <c r="G161" s="27"/>
      <c r="H161" s="28">
        <f t="shared" si="0"/>
        <v>46054</v>
      </c>
      <c r="I161" s="29">
        <f>SUMIFS(Cash_Flow_3[Amount],Cash_Flow_3[Bulan],H161,Cash_Flow_3[Type],"In")</f>
        <v>7073728</v>
      </c>
      <c r="J161" s="29">
        <f>SUMIFS(Cash_Flow_3[Amount],Cash_Flow_3[Bulan],H161,Cash_Flow_3[Type],"Out")</f>
        <v>6908733</v>
      </c>
      <c r="K161" s="29">
        <f>SUMIFS(Cash_Flow_3[Amount],Cash_Flow_3[Bulan],H161,Cash_Flow_3[Type],"Out",Cash_Flow_3[Category],"Fix")</f>
        <v>2440568</v>
      </c>
      <c r="L161" s="29">
        <f>SUMIFS(Cash_Flow_3[Amount],Cash_Flow_3[Bulan],H161,Cash_Flow_3[Type],"Out",Cash_Flow_3[Category],"Bathroom")</f>
        <v>34500</v>
      </c>
      <c r="M161" s="29">
        <f>SUMIFS(Cash_Flow_3[Amount],Cash_Flow_3[Bulan],H161,Cash_Flow_3[Type],"Out",Cash_Flow_3[Category],"Alfa")</f>
        <v>293800</v>
      </c>
      <c r="N161" s="29">
        <f>SUMIFS(Cash_Flow_3[Amount],Cash_Flow_3[Bulan],H161,Cash_Flow_3[Type],"Out",Cash_Flow_3[Category],"Jajan")</f>
        <v>364000</v>
      </c>
      <c r="O161" s="29">
        <f>SUMIFS(Cash_Flow_3[Amount],Cash_Flow_3[Bulan],H161,Cash_Flow_3[Type],"Out",Cash_Flow_3[Category],"Kitchen")</f>
        <v>992724</v>
      </c>
      <c r="P161" s="29">
        <f>SUMIFS(Cash_Flow_3[Amount],Cash_Flow_3[Bulan],H161,Cash_Flow_3[Type],"Out",Cash_Flow_3[Category],"Loandry")</f>
        <v>41600</v>
      </c>
      <c r="Q161" s="29">
        <f>SUMIFS(Cash_Flow_3[Amount],Cash_Flow_3[Bulan],H161,Cash_Flow_3[Type],"Out",Cash_Flow_3[Category],"Mio")</f>
        <v>249000</v>
      </c>
      <c r="R161" s="29">
        <f>SUMIFS(Cash_Flow_3[Amount],Cash_Flow_3[Bulan],H161,Cash_Flow_3[Type],"Out",Cash_Flow_3[Category],"Sedekah")</f>
        <v>129000</v>
      </c>
      <c r="S161" s="29">
        <f>SUMIFS(Cash_Flow_3[Amount],Cash_Flow_3[Bulan],H161,Cash_Flow_3[Type],"Out",Cash_Flow_3[Category],"Zela")</f>
        <v>24100</v>
      </c>
      <c r="T161" s="29">
        <f>SUMIFS(Cash_Flow_3[Amount],Cash_Flow_3[Bulan],H161,Cash_Flow_3[Type],"Out",Cash_Flow_3[Category],"Iqbal")</f>
        <v>121000</v>
      </c>
    </row>
    <row r="162" spans="1:20" ht="22.5" customHeight="1" x14ac:dyDescent="0.2">
      <c r="A162" s="23">
        <v>46070</v>
      </c>
      <c r="B162" s="24" t="s">
        <v>227</v>
      </c>
      <c r="C162" s="25" t="s">
        <v>46</v>
      </c>
      <c r="D162" s="25" t="s">
        <v>44</v>
      </c>
      <c r="E162" s="25" t="s">
        <v>2</v>
      </c>
      <c r="F162" s="26">
        <v>15000</v>
      </c>
      <c r="G162" s="27"/>
      <c r="H162" s="28">
        <f t="shared" si="0"/>
        <v>46054</v>
      </c>
      <c r="I162" s="29">
        <f>SUMIFS(Cash_Flow_3[Amount],Cash_Flow_3[Bulan],H162,Cash_Flow_3[Type],"In")</f>
        <v>7073728</v>
      </c>
      <c r="J162" s="29">
        <f>SUMIFS(Cash_Flow_3[Amount],Cash_Flow_3[Bulan],H162,Cash_Flow_3[Type],"Out")</f>
        <v>6908733</v>
      </c>
      <c r="K162" s="29">
        <f>SUMIFS(Cash_Flow_3[Amount],Cash_Flow_3[Bulan],H162,Cash_Flow_3[Type],"Out",Cash_Flow_3[Category],"Fix")</f>
        <v>2440568</v>
      </c>
      <c r="L162" s="29">
        <f>SUMIFS(Cash_Flow_3[Amount],Cash_Flow_3[Bulan],H162,Cash_Flow_3[Type],"Out",Cash_Flow_3[Category],"Bathroom")</f>
        <v>34500</v>
      </c>
      <c r="M162" s="29">
        <f>SUMIFS(Cash_Flow_3[Amount],Cash_Flow_3[Bulan],H162,Cash_Flow_3[Type],"Out",Cash_Flow_3[Category],"Alfa")</f>
        <v>293800</v>
      </c>
      <c r="N162" s="29">
        <f>SUMIFS(Cash_Flow_3[Amount],Cash_Flow_3[Bulan],H162,Cash_Flow_3[Type],"Out",Cash_Flow_3[Category],"Jajan")</f>
        <v>364000</v>
      </c>
      <c r="O162" s="29">
        <f>SUMIFS(Cash_Flow_3[Amount],Cash_Flow_3[Bulan],H162,Cash_Flow_3[Type],"Out",Cash_Flow_3[Category],"Kitchen")</f>
        <v>992724</v>
      </c>
      <c r="P162" s="29">
        <f>SUMIFS(Cash_Flow_3[Amount],Cash_Flow_3[Bulan],H162,Cash_Flow_3[Type],"Out",Cash_Flow_3[Category],"Loandry")</f>
        <v>41600</v>
      </c>
      <c r="Q162" s="29">
        <f>SUMIFS(Cash_Flow_3[Amount],Cash_Flow_3[Bulan],H162,Cash_Flow_3[Type],"Out",Cash_Flow_3[Category],"Mio")</f>
        <v>249000</v>
      </c>
      <c r="R162" s="29">
        <f>SUMIFS(Cash_Flow_3[Amount],Cash_Flow_3[Bulan],H162,Cash_Flow_3[Type],"Out",Cash_Flow_3[Category],"Sedekah")</f>
        <v>129000</v>
      </c>
      <c r="S162" s="29">
        <f>SUMIFS(Cash_Flow_3[Amount],Cash_Flow_3[Bulan],H162,Cash_Flow_3[Type],"Out",Cash_Flow_3[Category],"Zela")</f>
        <v>24100</v>
      </c>
      <c r="T162" s="29">
        <f>SUMIFS(Cash_Flow_3[Amount],Cash_Flow_3[Bulan],H162,Cash_Flow_3[Type],"Out",Cash_Flow_3[Category],"Iqbal")</f>
        <v>121000</v>
      </c>
    </row>
    <row r="163" spans="1:20" ht="22.5" customHeight="1" x14ac:dyDescent="0.2">
      <c r="A163" s="23">
        <v>46070</v>
      </c>
      <c r="B163" s="24" t="s">
        <v>73</v>
      </c>
      <c r="C163" s="25" t="s">
        <v>46</v>
      </c>
      <c r="D163" s="25" t="s">
        <v>39</v>
      </c>
      <c r="E163" s="25" t="s">
        <v>0</v>
      </c>
      <c r="F163" s="26">
        <v>5000</v>
      </c>
      <c r="G163" s="27"/>
      <c r="H163" s="28">
        <f t="shared" si="0"/>
        <v>46054</v>
      </c>
      <c r="I163" s="29">
        <f>SUMIFS(Cash_Flow_3[Amount],Cash_Flow_3[Bulan],H163,Cash_Flow_3[Type],"In")</f>
        <v>7073728</v>
      </c>
      <c r="J163" s="29">
        <f>SUMIFS(Cash_Flow_3[Amount],Cash_Flow_3[Bulan],H163,Cash_Flow_3[Type],"Out")</f>
        <v>6908733</v>
      </c>
      <c r="K163" s="29">
        <f>SUMIFS(Cash_Flow_3[Amount],Cash_Flow_3[Bulan],H163,Cash_Flow_3[Type],"Out",Cash_Flow_3[Category],"Fix")</f>
        <v>2440568</v>
      </c>
      <c r="L163" s="29">
        <f>SUMIFS(Cash_Flow_3[Amount],Cash_Flow_3[Bulan],H163,Cash_Flow_3[Type],"Out",Cash_Flow_3[Category],"Bathroom")</f>
        <v>34500</v>
      </c>
      <c r="M163" s="29">
        <f>SUMIFS(Cash_Flow_3[Amount],Cash_Flow_3[Bulan],H163,Cash_Flow_3[Type],"Out",Cash_Flow_3[Category],"Alfa")</f>
        <v>293800</v>
      </c>
      <c r="N163" s="29">
        <f>SUMIFS(Cash_Flow_3[Amount],Cash_Flow_3[Bulan],H163,Cash_Flow_3[Type],"Out",Cash_Flow_3[Category],"Jajan")</f>
        <v>364000</v>
      </c>
      <c r="O163" s="29">
        <f>SUMIFS(Cash_Flow_3[Amount],Cash_Flow_3[Bulan],H163,Cash_Flow_3[Type],"Out",Cash_Flow_3[Category],"Kitchen")</f>
        <v>992724</v>
      </c>
      <c r="P163" s="29">
        <f>SUMIFS(Cash_Flow_3[Amount],Cash_Flow_3[Bulan],H163,Cash_Flow_3[Type],"Out",Cash_Flow_3[Category],"Loandry")</f>
        <v>41600</v>
      </c>
      <c r="Q163" s="29">
        <f>SUMIFS(Cash_Flow_3[Amount],Cash_Flow_3[Bulan],H163,Cash_Flow_3[Type],"Out",Cash_Flow_3[Category],"Mio")</f>
        <v>249000</v>
      </c>
      <c r="R163" s="29">
        <f>SUMIFS(Cash_Flow_3[Amount],Cash_Flow_3[Bulan],H163,Cash_Flow_3[Type],"Out",Cash_Flow_3[Category],"Sedekah")</f>
        <v>129000</v>
      </c>
      <c r="S163" s="29">
        <f>SUMIFS(Cash_Flow_3[Amount],Cash_Flow_3[Bulan],H163,Cash_Flow_3[Type],"Out",Cash_Flow_3[Category],"Zela")</f>
        <v>24100</v>
      </c>
      <c r="T163" s="29">
        <f>SUMIFS(Cash_Flow_3[Amount],Cash_Flow_3[Bulan],H163,Cash_Flow_3[Type],"Out",Cash_Flow_3[Category],"Iqbal")</f>
        <v>121000</v>
      </c>
    </row>
    <row r="164" spans="1:20" ht="22.5" customHeight="1" x14ac:dyDescent="0.2">
      <c r="A164" s="23">
        <v>46071</v>
      </c>
      <c r="B164" s="24" t="s">
        <v>97</v>
      </c>
      <c r="C164" s="25" t="s">
        <v>43</v>
      </c>
      <c r="D164" s="25" t="s">
        <v>9</v>
      </c>
      <c r="E164" s="25" t="s">
        <v>9</v>
      </c>
      <c r="F164" s="26">
        <v>100000</v>
      </c>
      <c r="G164" s="27"/>
      <c r="H164" s="28">
        <f t="shared" si="0"/>
        <v>46054</v>
      </c>
      <c r="I164" s="29">
        <f>SUMIFS(Cash_Flow_3[Amount],Cash_Flow_3[Bulan],H164,Cash_Flow_3[Type],"In")</f>
        <v>7073728</v>
      </c>
      <c r="J164" s="29">
        <f>SUMIFS(Cash_Flow_3[Amount],Cash_Flow_3[Bulan],H164,Cash_Flow_3[Type],"Out")</f>
        <v>6908733</v>
      </c>
      <c r="K164" s="29">
        <f>SUMIFS(Cash_Flow_3[Amount],Cash_Flow_3[Bulan],H164,Cash_Flow_3[Type],"Out",Cash_Flow_3[Category],"Fix")</f>
        <v>2440568</v>
      </c>
      <c r="L164" s="29">
        <f>SUMIFS(Cash_Flow_3[Amount],Cash_Flow_3[Bulan],H164,Cash_Flow_3[Type],"Out",Cash_Flow_3[Category],"Bathroom")</f>
        <v>34500</v>
      </c>
      <c r="M164" s="29">
        <f>SUMIFS(Cash_Flow_3[Amount],Cash_Flow_3[Bulan],H164,Cash_Flow_3[Type],"Out",Cash_Flow_3[Category],"Alfa")</f>
        <v>293800</v>
      </c>
      <c r="N164" s="29">
        <f>SUMIFS(Cash_Flow_3[Amount],Cash_Flow_3[Bulan],H164,Cash_Flow_3[Type],"Out",Cash_Flow_3[Category],"Jajan")</f>
        <v>364000</v>
      </c>
      <c r="O164" s="29">
        <f>SUMIFS(Cash_Flow_3[Amount],Cash_Flow_3[Bulan],H164,Cash_Flow_3[Type],"Out",Cash_Flow_3[Category],"Kitchen")</f>
        <v>992724</v>
      </c>
      <c r="P164" s="29">
        <f>SUMIFS(Cash_Flow_3[Amount],Cash_Flow_3[Bulan],H164,Cash_Flow_3[Type],"Out",Cash_Flow_3[Category],"Loandry")</f>
        <v>41600</v>
      </c>
      <c r="Q164" s="29">
        <f>SUMIFS(Cash_Flow_3[Amount],Cash_Flow_3[Bulan],H164,Cash_Flow_3[Type],"Out",Cash_Flow_3[Category],"Mio")</f>
        <v>249000</v>
      </c>
      <c r="R164" s="29">
        <f>SUMIFS(Cash_Flow_3[Amount],Cash_Flow_3[Bulan],H164,Cash_Flow_3[Type],"Out",Cash_Flow_3[Category],"Sedekah")</f>
        <v>129000</v>
      </c>
      <c r="S164" s="29">
        <f>SUMIFS(Cash_Flow_3[Amount],Cash_Flow_3[Bulan],H164,Cash_Flow_3[Type],"Out",Cash_Flow_3[Category],"Zela")</f>
        <v>24100</v>
      </c>
      <c r="T164" s="29">
        <f>SUMIFS(Cash_Flow_3[Amount],Cash_Flow_3[Bulan],H164,Cash_Flow_3[Type],"Out",Cash_Flow_3[Category],"Iqbal")</f>
        <v>121000</v>
      </c>
    </row>
    <row r="165" spans="1:20" ht="22.5" customHeight="1" x14ac:dyDescent="0.2">
      <c r="A165" s="23">
        <v>46071</v>
      </c>
      <c r="B165" s="24" t="s">
        <v>484</v>
      </c>
      <c r="C165" s="25" t="s">
        <v>46</v>
      </c>
      <c r="D165" s="25" t="s">
        <v>9</v>
      </c>
      <c r="E165" s="25" t="s">
        <v>9</v>
      </c>
      <c r="F165" s="26">
        <v>100000</v>
      </c>
      <c r="G165" s="27"/>
      <c r="H165" s="28">
        <f t="shared" si="0"/>
        <v>46054</v>
      </c>
      <c r="I165" s="29">
        <f>SUMIFS(Cash_Flow_3[Amount],Cash_Flow_3[Bulan],H165,Cash_Flow_3[Type],"In")</f>
        <v>7073728</v>
      </c>
      <c r="J165" s="29">
        <f>SUMIFS(Cash_Flow_3[Amount],Cash_Flow_3[Bulan],H165,Cash_Flow_3[Type],"Out")</f>
        <v>6908733</v>
      </c>
      <c r="K165" s="29">
        <f>SUMIFS(Cash_Flow_3[Amount],Cash_Flow_3[Bulan],H165,Cash_Flow_3[Type],"Out",Cash_Flow_3[Category],"Fix")</f>
        <v>2440568</v>
      </c>
      <c r="L165" s="29">
        <f>SUMIFS(Cash_Flow_3[Amount],Cash_Flow_3[Bulan],H165,Cash_Flow_3[Type],"Out",Cash_Flow_3[Category],"Bathroom")</f>
        <v>34500</v>
      </c>
      <c r="M165" s="29">
        <f>SUMIFS(Cash_Flow_3[Amount],Cash_Flow_3[Bulan],H165,Cash_Flow_3[Type],"Out",Cash_Flow_3[Category],"Alfa")</f>
        <v>293800</v>
      </c>
      <c r="N165" s="29">
        <f>SUMIFS(Cash_Flow_3[Amount],Cash_Flow_3[Bulan],H165,Cash_Flow_3[Type],"Out",Cash_Flow_3[Category],"Jajan")</f>
        <v>364000</v>
      </c>
      <c r="O165" s="29">
        <f>SUMIFS(Cash_Flow_3[Amount],Cash_Flow_3[Bulan],H165,Cash_Flow_3[Type],"Out",Cash_Flow_3[Category],"Kitchen")</f>
        <v>992724</v>
      </c>
      <c r="P165" s="29">
        <f>SUMIFS(Cash_Flow_3[Amount],Cash_Flow_3[Bulan],H165,Cash_Flow_3[Type],"Out",Cash_Flow_3[Category],"Loandry")</f>
        <v>41600</v>
      </c>
      <c r="Q165" s="29">
        <f>SUMIFS(Cash_Flow_3[Amount],Cash_Flow_3[Bulan],H165,Cash_Flow_3[Type],"Out",Cash_Flow_3[Category],"Mio")</f>
        <v>249000</v>
      </c>
      <c r="R165" s="29">
        <f>SUMIFS(Cash_Flow_3[Amount],Cash_Flow_3[Bulan],H165,Cash_Flow_3[Type],"Out",Cash_Flow_3[Category],"Sedekah")</f>
        <v>129000</v>
      </c>
      <c r="S165" s="29">
        <f>SUMIFS(Cash_Flow_3[Amount],Cash_Flow_3[Bulan],H165,Cash_Flow_3[Type],"Out",Cash_Flow_3[Category],"Zela")</f>
        <v>24100</v>
      </c>
      <c r="T165" s="29">
        <f>SUMIFS(Cash_Flow_3[Amount],Cash_Flow_3[Bulan],H165,Cash_Flow_3[Type],"Out",Cash_Flow_3[Category],"Iqbal")</f>
        <v>121000</v>
      </c>
    </row>
    <row r="166" spans="1:20" ht="22.5" customHeight="1" x14ac:dyDescent="0.2">
      <c r="A166" s="23">
        <v>46072</v>
      </c>
      <c r="B166" s="24" t="s">
        <v>938</v>
      </c>
      <c r="C166" s="25" t="s">
        <v>46</v>
      </c>
      <c r="D166" s="25" t="s">
        <v>44</v>
      </c>
      <c r="E166" s="25" t="s">
        <v>2</v>
      </c>
      <c r="F166" s="26">
        <v>15000</v>
      </c>
      <c r="G166" s="27"/>
      <c r="H166" s="28">
        <f t="shared" si="0"/>
        <v>46054</v>
      </c>
      <c r="I166" s="29">
        <f>SUMIFS(Cash_Flow_3[Amount],Cash_Flow_3[Bulan],H166,Cash_Flow_3[Type],"In")</f>
        <v>7073728</v>
      </c>
      <c r="J166" s="29">
        <f>SUMIFS(Cash_Flow_3[Amount],Cash_Flow_3[Bulan],H166,Cash_Flow_3[Type],"Out")</f>
        <v>6908733</v>
      </c>
      <c r="K166" s="29">
        <f>SUMIFS(Cash_Flow_3[Amount],Cash_Flow_3[Bulan],H166,Cash_Flow_3[Type],"Out",Cash_Flow_3[Category],"Fix")</f>
        <v>2440568</v>
      </c>
      <c r="L166" s="29">
        <f>SUMIFS(Cash_Flow_3[Amount],Cash_Flow_3[Bulan],H166,Cash_Flow_3[Type],"Out",Cash_Flow_3[Category],"Bathroom")</f>
        <v>34500</v>
      </c>
      <c r="M166" s="29">
        <f>SUMIFS(Cash_Flow_3[Amount],Cash_Flow_3[Bulan],H166,Cash_Flow_3[Type],"Out",Cash_Flow_3[Category],"Alfa")</f>
        <v>293800</v>
      </c>
      <c r="N166" s="29">
        <f>SUMIFS(Cash_Flow_3[Amount],Cash_Flow_3[Bulan],H166,Cash_Flow_3[Type],"Out",Cash_Flow_3[Category],"Jajan")</f>
        <v>364000</v>
      </c>
      <c r="O166" s="29">
        <f>SUMIFS(Cash_Flow_3[Amount],Cash_Flow_3[Bulan],H166,Cash_Flow_3[Type],"Out",Cash_Flow_3[Category],"Kitchen")</f>
        <v>992724</v>
      </c>
      <c r="P166" s="29">
        <f>SUMIFS(Cash_Flow_3[Amount],Cash_Flow_3[Bulan],H166,Cash_Flow_3[Type],"Out",Cash_Flow_3[Category],"Loandry")</f>
        <v>41600</v>
      </c>
      <c r="Q166" s="29">
        <f>SUMIFS(Cash_Flow_3[Amount],Cash_Flow_3[Bulan],H166,Cash_Flow_3[Type],"Out",Cash_Flow_3[Category],"Mio")</f>
        <v>249000</v>
      </c>
      <c r="R166" s="29">
        <f>SUMIFS(Cash_Flow_3[Amount],Cash_Flow_3[Bulan],H166,Cash_Flow_3[Type],"Out",Cash_Flow_3[Category],"Sedekah")</f>
        <v>129000</v>
      </c>
      <c r="S166" s="29">
        <f>SUMIFS(Cash_Flow_3[Amount],Cash_Flow_3[Bulan],H166,Cash_Flow_3[Type],"Out",Cash_Flow_3[Category],"Zela")</f>
        <v>24100</v>
      </c>
      <c r="T166" s="29">
        <f>SUMIFS(Cash_Flow_3[Amount],Cash_Flow_3[Bulan],H166,Cash_Flow_3[Type],"Out",Cash_Flow_3[Category],"Iqbal")</f>
        <v>121000</v>
      </c>
    </row>
    <row r="167" spans="1:20" ht="22.5" customHeight="1" x14ac:dyDescent="0.2">
      <c r="A167" s="23">
        <v>46072</v>
      </c>
      <c r="B167" s="24" t="s">
        <v>232</v>
      </c>
      <c r="C167" s="25" t="s">
        <v>46</v>
      </c>
      <c r="D167" s="25" t="s">
        <v>44</v>
      </c>
      <c r="E167" s="25" t="s">
        <v>2</v>
      </c>
      <c r="F167" s="26">
        <v>10000</v>
      </c>
      <c r="G167" s="27"/>
      <c r="H167" s="28">
        <f t="shared" si="0"/>
        <v>46054</v>
      </c>
      <c r="I167" s="29">
        <f>SUMIFS(Cash_Flow_3[Amount],Cash_Flow_3[Bulan],H167,Cash_Flow_3[Type],"In")</f>
        <v>7073728</v>
      </c>
      <c r="J167" s="29">
        <f>SUMIFS(Cash_Flow_3[Amount],Cash_Flow_3[Bulan],H167,Cash_Flow_3[Type],"Out")</f>
        <v>6908733</v>
      </c>
      <c r="K167" s="29">
        <f>SUMIFS(Cash_Flow_3[Amount],Cash_Flow_3[Bulan],H167,Cash_Flow_3[Type],"Out",Cash_Flow_3[Category],"Fix")</f>
        <v>2440568</v>
      </c>
      <c r="L167" s="29">
        <f>SUMIFS(Cash_Flow_3[Amount],Cash_Flow_3[Bulan],H167,Cash_Flow_3[Type],"Out",Cash_Flow_3[Category],"Bathroom")</f>
        <v>34500</v>
      </c>
      <c r="M167" s="29">
        <f>SUMIFS(Cash_Flow_3[Amount],Cash_Flow_3[Bulan],H167,Cash_Flow_3[Type],"Out",Cash_Flow_3[Category],"Alfa")</f>
        <v>293800</v>
      </c>
      <c r="N167" s="29">
        <f>SUMIFS(Cash_Flow_3[Amount],Cash_Flow_3[Bulan],H167,Cash_Flow_3[Type],"Out",Cash_Flow_3[Category],"Jajan")</f>
        <v>364000</v>
      </c>
      <c r="O167" s="29">
        <f>SUMIFS(Cash_Flow_3[Amount],Cash_Flow_3[Bulan],H167,Cash_Flow_3[Type],"Out",Cash_Flow_3[Category],"Kitchen")</f>
        <v>992724</v>
      </c>
      <c r="P167" s="29">
        <f>SUMIFS(Cash_Flow_3[Amount],Cash_Flow_3[Bulan],H167,Cash_Flow_3[Type],"Out",Cash_Flow_3[Category],"Loandry")</f>
        <v>41600</v>
      </c>
      <c r="Q167" s="29">
        <f>SUMIFS(Cash_Flow_3[Amount],Cash_Flow_3[Bulan],H167,Cash_Flow_3[Type],"Out",Cash_Flow_3[Category],"Mio")</f>
        <v>249000</v>
      </c>
      <c r="R167" s="29">
        <f>SUMIFS(Cash_Flow_3[Amount],Cash_Flow_3[Bulan],H167,Cash_Flow_3[Type],"Out",Cash_Flow_3[Category],"Sedekah")</f>
        <v>129000</v>
      </c>
      <c r="S167" s="29">
        <f>SUMIFS(Cash_Flow_3[Amount],Cash_Flow_3[Bulan],H167,Cash_Flow_3[Type],"Out",Cash_Flow_3[Category],"Zela")</f>
        <v>24100</v>
      </c>
      <c r="T167" s="29">
        <f>SUMIFS(Cash_Flow_3[Amount],Cash_Flow_3[Bulan],H167,Cash_Flow_3[Type],"Out",Cash_Flow_3[Category],"Iqbal")</f>
        <v>121000</v>
      </c>
    </row>
    <row r="168" spans="1:20" ht="22.5" customHeight="1" x14ac:dyDescent="0.2">
      <c r="A168" s="23">
        <v>46072</v>
      </c>
      <c r="B168" s="24" t="s">
        <v>234</v>
      </c>
      <c r="C168" s="25" t="s">
        <v>43</v>
      </c>
      <c r="D168" s="25" t="s">
        <v>44</v>
      </c>
      <c r="E168" s="25" t="s">
        <v>0</v>
      </c>
      <c r="F168" s="26">
        <v>15000</v>
      </c>
      <c r="G168" s="27"/>
      <c r="H168" s="28">
        <f t="shared" si="0"/>
        <v>46054</v>
      </c>
      <c r="I168" s="29">
        <f>SUMIFS(Cash_Flow_3[Amount],Cash_Flow_3[Bulan],H168,Cash_Flow_3[Type],"In")</f>
        <v>7073728</v>
      </c>
      <c r="J168" s="29">
        <f>SUMIFS(Cash_Flow_3[Amount],Cash_Flow_3[Bulan],H168,Cash_Flow_3[Type],"Out")</f>
        <v>6908733</v>
      </c>
      <c r="K168" s="29">
        <f>SUMIFS(Cash_Flow_3[Amount],Cash_Flow_3[Bulan],H168,Cash_Flow_3[Type],"Out",Cash_Flow_3[Category],"Fix")</f>
        <v>2440568</v>
      </c>
      <c r="L168" s="29">
        <f>SUMIFS(Cash_Flow_3[Amount],Cash_Flow_3[Bulan],H168,Cash_Flow_3[Type],"Out",Cash_Flow_3[Category],"Bathroom")</f>
        <v>34500</v>
      </c>
      <c r="M168" s="29">
        <f>SUMIFS(Cash_Flow_3[Amount],Cash_Flow_3[Bulan],H168,Cash_Flow_3[Type],"Out",Cash_Flow_3[Category],"Alfa")</f>
        <v>293800</v>
      </c>
      <c r="N168" s="29">
        <f>SUMIFS(Cash_Flow_3[Amount],Cash_Flow_3[Bulan],H168,Cash_Flow_3[Type],"Out",Cash_Flow_3[Category],"Jajan")</f>
        <v>364000</v>
      </c>
      <c r="O168" s="29">
        <f>SUMIFS(Cash_Flow_3[Amount],Cash_Flow_3[Bulan],H168,Cash_Flow_3[Type],"Out",Cash_Flow_3[Category],"Kitchen")</f>
        <v>992724</v>
      </c>
      <c r="P168" s="29">
        <f>SUMIFS(Cash_Flow_3[Amount],Cash_Flow_3[Bulan],H168,Cash_Flow_3[Type],"Out",Cash_Flow_3[Category],"Loandry")</f>
        <v>41600</v>
      </c>
      <c r="Q168" s="29">
        <f>SUMIFS(Cash_Flow_3[Amount],Cash_Flow_3[Bulan],H168,Cash_Flow_3[Type],"Out",Cash_Flow_3[Category],"Mio")</f>
        <v>249000</v>
      </c>
      <c r="R168" s="29">
        <f>SUMIFS(Cash_Flow_3[Amount],Cash_Flow_3[Bulan],H168,Cash_Flow_3[Type],"Out",Cash_Flow_3[Category],"Sedekah")</f>
        <v>129000</v>
      </c>
      <c r="S168" s="29">
        <f>SUMIFS(Cash_Flow_3[Amount],Cash_Flow_3[Bulan],H168,Cash_Flow_3[Type],"Out",Cash_Flow_3[Category],"Zela")</f>
        <v>24100</v>
      </c>
      <c r="T168" s="29">
        <f>SUMIFS(Cash_Flow_3[Amount],Cash_Flow_3[Bulan],H168,Cash_Flow_3[Type],"Out",Cash_Flow_3[Category],"Iqbal")</f>
        <v>121000</v>
      </c>
    </row>
    <row r="169" spans="1:20" ht="22.5" customHeight="1" x14ac:dyDescent="0.2">
      <c r="A169" s="23">
        <v>46072</v>
      </c>
      <c r="B169" s="24" t="s">
        <v>73</v>
      </c>
      <c r="C169" s="25" t="s">
        <v>43</v>
      </c>
      <c r="D169" s="25" t="s">
        <v>44</v>
      </c>
      <c r="E169" s="25" t="s">
        <v>9</v>
      </c>
      <c r="F169" s="26">
        <v>20000</v>
      </c>
      <c r="G169" s="27"/>
      <c r="H169" s="28">
        <f t="shared" si="0"/>
        <v>46054</v>
      </c>
      <c r="I169" s="29">
        <f>SUMIFS(Cash_Flow_3[Amount],Cash_Flow_3[Bulan],H169,Cash_Flow_3[Type],"In")</f>
        <v>7073728</v>
      </c>
      <c r="J169" s="29">
        <f>SUMIFS(Cash_Flow_3[Amount],Cash_Flow_3[Bulan],H169,Cash_Flow_3[Type],"Out")</f>
        <v>6908733</v>
      </c>
      <c r="K169" s="29">
        <f>SUMIFS(Cash_Flow_3[Amount],Cash_Flow_3[Bulan],H169,Cash_Flow_3[Type],"Out",Cash_Flow_3[Category],"Fix")</f>
        <v>2440568</v>
      </c>
      <c r="L169" s="29">
        <f>SUMIFS(Cash_Flow_3[Amount],Cash_Flow_3[Bulan],H169,Cash_Flow_3[Type],"Out",Cash_Flow_3[Category],"Bathroom")</f>
        <v>34500</v>
      </c>
      <c r="M169" s="29">
        <f>SUMIFS(Cash_Flow_3[Amount],Cash_Flow_3[Bulan],H169,Cash_Flow_3[Type],"Out",Cash_Flow_3[Category],"Alfa")</f>
        <v>293800</v>
      </c>
      <c r="N169" s="29">
        <f>SUMIFS(Cash_Flow_3[Amount],Cash_Flow_3[Bulan],H169,Cash_Flow_3[Type],"Out",Cash_Flow_3[Category],"Jajan")</f>
        <v>364000</v>
      </c>
      <c r="O169" s="29">
        <f>SUMIFS(Cash_Flow_3[Amount],Cash_Flow_3[Bulan],H169,Cash_Flow_3[Type],"Out",Cash_Flow_3[Category],"Kitchen")</f>
        <v>992724</v>
      </c>
      <c r="P169" s="29">
        <f>SUMIFS(Cash_Flow_3[Amount],Cash_Flow_3[Bulan],H169,Cash_Flow_3[Type],"Out",Cash_Flow_3[Category],"Loandry")</f>
        <v>41600</v>
      </c>
      <c r="Q169" s="29">
        <f>SUMIFS(Cash_Flow_3[Amount],Cash_Flow_3[Bulan],H169,Cash_Flow_3[Type],"Out",Cash_Flow_3[Category],"Mio")</f>
        <v>249000</v>
      </c>
      <c r="R169" s="29">
        <f>SUMIFS(Cash_Flow_3[Amount],Cash_Flow_3[Bulan],H169,Cash_Flow_3[Type],"Out",Cash_Flow_3[Category],"Sedekah")</f>
        <v>129000</v>
      </c>
      <c r="S169" s="29">
        <f>SUMIFS(Cash_Flow_3[Amount],Cash_Flow_3[Bulan],H169,Cash_Flow_3[Type],"Out",Cash_Flow_3[Category],"Zela")</f>
        <v>24100</v>
      </c>
      <c r="T169" s="29">
        <f>SUMIFS(Cash_Flow_3[Amount],Cash_Flow_3[Bulan],H169,Cash_Flow_3[Type],"Out",Cash_Flow_3[Category],"Iqbal")</f>
        <v>121000</v>
      </c>
    </row>
    <row r="170" spans="1:20" ht="22.5" customHeight="1" x14ac:dyDescent="0.2">
      <c r="A170" s="23">
        <v>46074</v>
      </c>
      <c r="B170" s="24" t="s">
        <v>73</v>
      </c>
      <c r="C170" s="25" t="s">
        <v>43</v>
      </c>
      <c r="D170" s="25" t="s">
        <v>44</v>
      </c>
      <c r="E170" s="25" t="s">
        <v>9</v>
      </c>
      <c r="F170" s="26">
        <v>20000</v>
      </c>
      <c r="G170" s="27"/>
      <c r="H170" s="28">
        <f t="shared" si="0"/>
        <v>46054</v>
      </c>
      <c r="I170" s="29">
        <f>SUMIFS(Cash_Flow_3[Amount],Cash_Flow_3[Bulan],H170,Cash_Flow_3[Type],"In")</f>
        <v>7073728</v>
      </c>
      <c r="J170" s="29">
        <f>SUMIFS(Cash_Flow_3[Amount],Cash_Flow_3[Bulan],H170,Cash_Flow_3[Type],"Out")</f>
        <v>6908733</v>
      </c>
      <c r="K170" s="29">
        <f>SUMIFS(Cash_Flow_3[Amount],Cash_Flow_3[Bulan],H170,Cash_Flow_3[Type],"Out",Cash_Flow_3[Category],"Fix")</f>
        <v>2440568</v>
      </c>
      <c r="L170" s="29">
        <f>SUMIFS(Cash_Flow_3[Amount],Cash_Flow_3[Bulan],H170,Cash_Flow_3[Type],"Out",Cash_Flow_3[Category],"Bathroom")</f>
        <v>34500</v>
      </c>
      <c r="M170" s="29">
        <f>SUMIFS(Cash_Flow_3[Amount],Cash_Flow_3[Bulan],H170,Cash_Flow_3[Type],"Out",Cash_Flow_3[Category],"Alfa")</f>
        <v>293800</v>
      </c>
      <c r="N170" s="29">
        <f>SUMIFS(Cash_Flow_3[Amount],Cash_Flow_3[Bulan],H170,Cash_Flow_3[Type],"Out",Cash_Flow_3[Category],"Jajan")</f>
        <v>364000</v>
      </c>
      <c r="O170" s="29">
        <f>SUMIFS(Cash_Flow_3[Amount],Cash_Flow_3[Bulan],H170,Cash_Flow_3[Type],"Out",Cash_Flow_3[Category],"Kitchen")</f>
        <v>992724</v>
      </c>
      <c r="P170" s="29">
        <f>SUMIFS(Cash_Flow_3[Amount],Cash_Flow_3[Bulan],H170,Cash_Flow_3[Type],"Out",Cash_Flow_3[Category],"Loandry")</f>
        <v>41600</v>
      </c>
      <c r="Q170" s="29">
        <f>SUMIFS(Cash_Flow_3[Amount],Cash_Flow_3[Bulan],H170,Cash_Flow_3[Type],"Out",Cash_Flow_3[Category],"Mio")</f>
        <v>249000</v>
      </c>
      <c r="R170" s="29">
        <f>SUMIFS(Cash_Flow_3[Amount],Cash_Flow_3[Bulan],H170,Cash_Flow_3[Type],"Out",Cash_Flow_3[Category],"Sedekah")</f>
        <v>129000</v>
      </c>
      <c r="S170" s="29">
        <f>SUMIFS(Cash_Flow_3[Amount],Cash_Flow_3[Bulan],H170,Cash_Flow_3[Type],"Out",Cash_Flow_3[Category],"Zela")</f>
        <v>24100</v>
      </c>
      <c r="T170" s="29">
        <f>SUMIFS(Cash_Flow_3[Amount],Cash_Flow_3[Bulan],H170,Cash_Flow_3[Type],"Out",Cash_Flow_3[Category],"Iqbal")</f>
        <v>121000</v>
      </c>
    </row>
    <row r="171" spans="1:20" ht="22.5" customHeight="1" x14ac:dyDescent="0.2">
      <c r="A171" s="23">
        <v>46073</v>
      </c>
      <c r="B171" s="24" t="s">
        <v>482</v>
      </c>
      <c r="C171" s="25" t="s">
        <v>43</v>
      </c>
      <c r="D171" s="25" t="s">
        <v>9</v>
      </c>
      <c r="E171" s="25" t="s">
        <v>9</v>
      </c>
      <c r="F171" s="26">
        <v>100000</v>
      </c>
      <c r="G171" s="27"/>
      <c r="H171" s="28">
        <f t="shared" si="0"/>
        <v>46054</v>
      </c>
      <c r="I171" s="29">
        <f>SUMIFS(Cash_Flow_3[Amount],Cash_Flow_3[Bulan],H171,Cash_Flow_3[Type],"In")</f>
        <v>7073728</v>
      </c>
      <c r="J171" s="29">
        <f>SUMIFS(Cash_Flow_3[Amount],Cash_Flow_3[Bulan],H171,Cash_Flow_3[Type],"Out")</f>
        <v>6908733</v>
      </c>
      <c r="K171" s="29">
        <f>SUMIFS(Cash_Flow_3[Amount],Cash_Flow_3[Bulan],H171,Cash_Flow_3[Type],"Out",Cash_Flow_3[Category],"Fix")</f>
        <v>2440568</v>
      </c>
      <c r="L171" s="29">
        <f>SUMIFS(Cash_Flow_3[Amount],Cash_Flow_3[Bulan],H171,Cash_Flow_3[Type],"Out",Cash_Flow_3[Category],"Bathroom")</f>
        <v>34500</v>
      </c>
      <c r="M171" s="29">
        <f>SUMIFS(Cash_Flow_3[Amount],Cash_Flow_3[Bulan],H171,Cash_Flow_3[Type],"Out",Cash_Flow_3[Category],"Alfa")</f>
        <v>293800</v>
      </c>
      <c r="N171" s="29">
        <f>SUMIFS(Cash_Flow_3[Amount],Cash_Flow_3[Bulan],H171,Cash_Flow_3[Type],"Out",Cash_Flow_3[Category],"Jajan")</f>
        <v>364000</v>
      </c>
      <c r="O171" s="29">
        <f>SUMIFS(Cash_Flow_3[Amount],Cash_Flow_3[Bulan],H171,Cash_Flow_3[Type],"Out",Cash_Flow_3[Category],"Kitchen")</f>
        <v>992724</v>
      </c>
      <c r="P171" s="29">
        <f>SUMIFS(Cash_Flow_3[Amount],Cash_Flow_3[Bulan],H171,Cash_Flow_3[Type],"Out",Cash_Flow_3[Category],"Loandry")</f>
        <v>41600</v>
      </c>
      <c r="Q171" s="29">
        <f>SUMIFS(Cash_Flow_3[Amount],Cash_Flow_3[Bulan],H171,Cash_Flow_3[Type],"Out",Cash_Flow_3[Category],"Mio")</f>
        <v>249000</v>
      </c>
      <c r="R171" s="29">
        <f>SUMIFS(Cash_Flow_3[Amount],Cash_Flow_3[Bulan],H171,Cash_Flow_3[Type],"Out",Cash_Flow_3[Category],"Sedekah")</f>
        <v>129000</v>
      </c>
      <c r="S171" s="29">
        <f>SUMIFS(Cash_Flow_3[Amount],Cash_Flow_3[Bulan],H171,Cash_Flow_3[Type],"Out",Cash_Flow_3[Category],"Zela")</f>
        <v>24100</v>
      </c>
      <c r="T171" s="29">
        <f>SUMIFS(Cash_Flow_3[Amount],Cash_Flow_3[Bulan],H171,Cash_Flow_3[Type],"Out",Cash_Flow_3[Category],"Iqbal")</f>
        <v>121000</v>
      </c>
    </row>
    <row r="172" spans="1:20" ht="22.5" customHeight="1" x14ac:dyDescent="0.2">
      <c r="A172" s="23">
        <v>46073</v>
      </c>
      <c r="B172" s="24" t="s">
        <v>484</v>
      </c>
      <c r="C172" s="25" t="s">
        <v>46</v>
      </c>
      <c r="D172" s="25" t="s">
        <v>9</v>
      </c>
      <c r="E172" s="25" t="s">
        <v>9</v>
      </c>
      <c r="F172" s="26">
        <v>100000</v>
      </c>
      <c r="G172" s="27"/>
      <c r="H172" s="28">
        <f t="shared" si="0"/>
        <v>46054</v>
      </c>
      <c r="I172" s="29">
        <f>SUMIFS(Cash_Flow_3[Amount],Cash_Flow_3[Bulan],H172,Cash_Flow_3[Type],"In")</f>
        <v>7073728</v>
      </c>
      <c r="J172" s="29">
        <f>SUMIFS(Cash_Flow_3[Amount],Cash_Flow_3[Bulan],H172,Cash_Flow_3[Type],"Out")</f>
        <v>6908733</v>
      </c>
      <c r="K172" s="29">
        <f>SUMIFS(Cash_Flow_3[Amount],Cash_Flow_3[Bulan],H172,Cash_Flow_3[Type],"Out",Cash_Flow_3[Category],"Fix")</f>
        <v>2440568</v>
      </c>
      <c r="L172" s="29">
        <f>SUMIFS(Cash_Flow_3[Amount],Cash_Flow_3[Bulan],H172,Cash_Flow_3[Type],"Out",Cash_Flow_3[Category],"Bathroom")</f>
        <v>34500</v>
      </c>
      <c r="M172" s="29">
        <f>SUMIFS(Cash_Flow_3[Amount],Cash_Flow_3[Bulan],H172,Cash_Flow_3[Type],"Out",Cash_Flow_3[Category],"Alfa")</f>
        <v>293800</v>
      </c>
      <c r="N172" s="29">
        <f>SUMIFS(Cash_Flow_3[Amount],Cash_Flow_3[Bulan],H172,Cash_Flow_3[Type],"Out",Cash_Flow_3[Category],"Jajan")</f>
        <v>364000</v>
      </c>
      <c r="O172" s="29">
        <f>SUMIFS(Cash_Flow_3[Amount],Cash_Flow_3[Bulan],H172,Cash_Flow_3[Type],"Out",Cash_Flow_3[Category],"Kitchen")</f>
        <v>992724</v>
      </c>
      <c r="P172" s="29">
        <f>SUMIFS(Cash_Flow_3[Amount],Cash_Flow_3[Bulan],H172,Cash_Flow_3[Type],"Out",Cash_Flow_3[Category],"Loandry")</f>
        <v>41600</v>
      </c>
      <c r="Q172" s="29">
        <f>SUMIFS(Cash_Flow_3[Amount],Cash_Flow_3[Bulan],H172,Cash_Flow_3[Type],"Out",Cash_Flow_3[Category],"Mio")</f>
        <v>249000</v>
      </c>
      <c r="R172" s="29">
        <f>SUMIFS(Cash_Flow_3[Amount],Cash_Flow_3[Bulan],H172,Cash_Flow_3[Type],"Out",Cash_Flow_3[Category],"Sedekah")</f>
        <v>129000</v>
      </c>
      <c r="S172" s="29">
        <f>SUMIFS(Cash_Flow_3[Amount],Cash_Flow_3[Bulan],H172,Cash_Flow_3[Type],"Out",Cash_Flow_3[Category],"Zela")</f>
        <v>24100</v>
      </c>
      <c r="T172" s="29">
        <f>SUMIFS(Cash_Flow_3[Amount],Cash_Flow_3[Bulan],H172,Cash_Flow_3[Type],"Out",Cash_Flow_3[Category],"Iqbal")</f>
        <v>121000</v>
      </c>
    </row>
    <row r="173" spans="1:20" ht="22.5" customHeight="1" x14ac:dyDescent="0.2">
      <c r="A173" s="23">
        <v>46073</v>
      </c>
      <c r="B173" s="24" t="s">
        <v>12</v>
      </c>
      <c r="C173" s="25" t="s">
        <v>46</v>
      </c>
      <c r="D173" s="25" t="s">
        <v>44</v>
      </c>
      <c r="E173" s="25" t="s">
        <v>1</v>
      </c>
      <c r="F173" s="26">
        <v>42500</v>
      </c>
      <c r="G173" s="27"/>
      <c r="H173" s="28">
        <f t="shared" si="0"/>
        <v>46054</v>
      </c>
      <c r="I173" s="29">
        <f>SUMIFS(Cash_Flow_3[Amount],Cash_Flow_3[Bulan],H173,Cash_Flow_3[Type],"In")</f>
        <v>7073728</v>
      </c>
      <c r="J173" s="29">
        <f>SUMIFS(Cash_Flow_3[Amount],Cash_Flow_3[Bulan],H173,Cash_Flow_3[Type],"Out")</f>
        <v>6908733</v>
      </c>
      <c r="K173" s="29">
        <f>SUMIFS(Cash_Flow_3[Amount],Cash_Flow_3[Bulan],H173,Cash_Flow_3[Type],"Out",Cash_Flow_3[Category],"Fix")</f>
        <v>2440568</v>
      </c>
      <c r="L173" s="29">
        <f>SUMIFS(Cash_Flow_3[Amount],Cash_Flow_3[Bulan],H173,Cash_Flow_3[Type],"Out",Cash_Flow_3[Category],"Bathroom")</f>
        <v>34500</v>
      </c>
      <c r="M173" s="29">
        <f>SUMIFS(Cash_Flow_3[Amount],Cash_Flow_3[Bulan],H173,Cash_Flow_3[Type],"Out",Cash_Flow_3[Category],"Alfa")</f>
        <v>293800</v>
      </c>
      <c r="N173" s="29">
        <f>SUMIFS(Cash_Flow_3[Amount],Cash_Flow_3[Bulan],H173,Cash_Flow_3[Type],"Out",Cash_Flow_3[Category],"Jajan")</f>
        <v>364000</v>
      </c>
      <c r="O173" s="29">
        <f>SUMIFS(Cash_Flow_3[Amount],Cash_Flow_3[Bulan],H173,Cash_Flow_3[Type],"Out",Cash_Flow_3[Category],"Kitchen")</f>
        <v>992724</v>
      </c>
      <c r="P173" s="29">
        <f>SUMIFS(Cash_Flow_3[Amount],Cash_Flow_3[Bulan],H173,Cash_Flow_3[Type],"Out",Cash_Flow_3[Category],"Loandry")</f>
        <v>41600</v>
      </c>
      <c r="Q173" s="29">
        <f>SUMIFS(Cash_Flow_3[Amount],Cash_Flow_3[Bulan],H173,Cash_Flow_3[Type],"Out",Cash_Flow_3[Category],"Mio")</f>
        <v>249000</v>
      </c>
      <c r="R173" s="29">
        <f>SUMIFS(Cash_Flow_3[Amount],Cash_Flow_3[Bulan],H173,Cash_Flow_3[Type],"Out",Cash_Flow_3[Category],"Sedekah")</f>
        <v>129000</v>
      </c>
      <c r="S173" s="29">
        <f>SUMIFS(Cash_Flow_3[Amount],Cash_Flow_3[Bulan],H173,Cash_Flow_3[Type],"Out",Cash_Flow_3[Category],"Zela")</f>
        <v>24100</v>
      </c>
      <c r="T173" s="29">
        <f>SUMIFS(Cash_Flow_3[Amount],Cash_Flow_3[Bulan],H173,Cash_Flow_3[Type],"Out",Cash_Flow_3[Category],"Iqbal")</f>
        <v>121000</v>
      </c>
    </row>
    <row r="174" spans="1:20" ht="22.5" customHeight="1" x14ac:dyDescent="0.2">
      <c r="A174" s="23">
        <v>46073</v>
      </c>
      <c r="B174" s="24" t="s">
        <v>242</v>
      </c>
      <c r="C174" s="25" t="s">
        <v>46</v>
      </c>
      <c r="D174" s="25" t="s">
        <v>44</v>
      </c>
      <c r="E174" s="25" t="s">
        <v>3</v>
      </c>
      <c r="F174" s="26">
        <v>100000</v>
      </c>
      <c r="G174" s="27"/>
      <c r="H174" s="28">
        <f t="shared" si="0"/>
        <v>46054</v>
      </c>
      <c r="I174" s="29">
        <f>SUMIFS(Cash_Flow_3[Amount],Cash_Flow_3[Bulan],H174,Cash_Flow_3[Type],"In")</f>
        <v>7073728</v>
      </c>
      <c r="J174" s="29">
        <f>SUMIFS(Cash_Flow_3[Amount],Cash_Flow_3[Bulan],H174,Cash_Flow_3[Type],"Out")</f>
        <v>6908733</v>
      </c>
      <c r="K174" s="29">
        <f>SUMIFS(Cash_Flow_3[Amount],Cash_Flow_3[Bulan],H174,Cash_Flow_3[Type],"Out",Cash_Flow_3[Category],"Fix")</f>
        <v>2440568</v>
      </c>
      <c r="L174" s="29">
        <f>SUMIFS(Cash_Flow_3[Amount],Cash_Flow_3[Bulan],H174,Cash_Flow_3[Type],"Out",Cash_Flow_3[Category],"Bathroom")</f>
        <v>34500</v>
      </c>
      <c r="M174" s="29">
        <f>SUMIFS(Cash_Flow_3[Amount],Cash_Flow_3[Bulan],H174,Cash_Flow_3[Type],"Out",Cash_Flow_3[Category],"Alfa")</f>
        <v>293800</v>
      </c>
      <c r="N174" s="29">
        <f>SUMIFS(Cash_Flow_3[Amount],Cash_Flow_3[Bulan],H174,Cash_Flow_3[Type],"Out",Cash_Flow_3[Category],"Jajan")</f>
        <v>364000</v>
      </c>
      <c r="O174" s="29">
        <f>SUMIFS(Cash_Flow_3[Amount],Cash_Flow_3[Bulan],H174,Cash_Flow_3[Type],"Out",Cash_Flow_3[Category],"Kitchen")</f>
        <v>992724</v>
      </c>
      <c r="P174" s="29">
        <f>SUMIFS(Cash_Flow_3[Amount],Cash_Flow_3[Bulan],H174,Cash_Flow_3[Type],"Out",Cash_Flow_3[Category],"Loandry")</f>
        <v>41600</v>
      </c>
      <c r="Q174" s="29">
        <f>SUMIFS(Cash_Flow_3[Amount],Cash_Flow_3[Bulan],H174,Cash_Flow_3[Type],"Out",Cash_Flow_3[Category],"Mio")</f>
        <v>249000</v>
      </c>
      <c r="R174" s="29">
        <f>SUMIFS(Cash_Flow_3[Amount],Cash_Flow_3[Bulan],H174,Cash_Flow_3[Type],"Out",Cash_Flow_3[Category],"Sedekah")</f>
        <v>129000</v>
      </c>
      <c r="S174" s="29">
        <f>SUMIFS(Cash_Flow_3[Amount],Cash_Flow_3[Bulan],H174,Cash_Flow_3[Type],"Out",Cash_Flow_3[Category],"Zela")</f>
        <v>24100</v>
      </c>
      <c r="T174" s="29">
        <f>SUMIFS(Cash_Flow_3[Amount],Cash_Flow_3[Bulan],H174,Cash_Flow_3[Type],"Out",Cash_Flow_3[Category],"Iqbal")</f>
        <v>121000</v>
      </c>
    </row>
    <row r="175" spans="1:20" ht="22.5" customHeight="1" x14ac:dyDescent="0.2">
      <c r="A175" s="23">
        <v>46073</v>
      </c>
      <c r="B175" s="24" t="s">
        <v>68</v>
      </c>
      <c r="C175" s="25" t="s">
        <v>46</v>
      </c>
      <c r="D175" s="25" t="s">
        <v>44</v>
      </c>
      <c r="E175" s="25" t="s">
        <v>3</v>
      </c>
      <c r="F175" s="26">
        <v>4000</v>
      </c>
      <c r="G175" s="27"/>
      <c r="H175" s="28">
        <f t="shared" si="0"/>
        <v>46054</v>
      </c>
      <c r="I175" s="29">
        <f>SUMIFS(Cash_Flow_3[Amount],Cash_Flow_3[Bulan],H175,Cash_Flow_3[Type],"In")</f>
        <v>7073728</v>
      </c>
      <c r="J175" s="29">
        <f>SUMIFS(Cash_Flow_3[Amount],Cash_Flow_3[Bulan],H175,Cash_Flow_3[Type],"Out")</f>
        <v>6908733</v>
      </c>
      <c r="K175" s="29">
        <f>SUMIFS(Cash_Flow_3[Amount],Cash_Flow_3[Bulan],H175,Cash_Flow_3[Type],"Out",Cash_Flow_3[Category],"Fix")</f>
        <v>2440568</v>
      </c>
      <c r="L175" s="29">
        <f>SUMIFS(Cash_Flow_3[Amount],Cash_Flow_3[Bulan],H175,Cash_Flow_3[Type],"Out",Cash_Flow_3[Category],"Bathroom")</f>
        <v>34500</v>
      </c>
      <c r="M175" s="29">
        <f>SUMIFS(Cash_Flow_3[Amount],Cash_Flow_3[Bulan],H175,Cash_Flow_3[Type],"Out",Cash_Flow_3[Category],"Alfa")</f>
        <v>293800</v>
      </c>
      <c r="N175" s="29">
        <f>SUMIFS(Cash_Flow_3[Amount],Cash_Flow_3[Bulan],H175,Cash_Flow_3[Type],"Out",Cash_Flow_3[Category],"Jajan")</f>
        <v>364000</v>
      </c>
      <c r="O175" s="29">
        <f>SUMIFS(Cash_Flow_3[Amount],Cash_Flow_3[Bulan],H175,Cash_Flow_3[Type],"Out",Cash_Flow_3[Category],"Kitchen")</f>
        <v>992724</v>
      </c>
      <c r="P175" s="29">
        <f>SUMIFS(Cash_Flow_3[Amount],Cash_Flow_3[Bulan],H175,Cash_Flow_3[Type],"Out",Cash_Flow_3[Category],"Loandry")</f>
        <v>41600</v>
      </c>
      <c r="Q175" s="29">
        <f>SUMIFS(Cash_Flow_3[Amount],Cash_Flow_3[Bulan],H175,Cash_Flow_3[Type],"Out",Cash_Flow_3[Category],"Mio")</f>
        <v>249000</v>
      </c>
      <c r="R175" s="29">
        <f>SUMIFS(Cash_Flow_3[Amount],Cash_Flow_3[Bulan],H175,Cash_Flow_3[Type],"Out",Cash_Flow_3[Category],"Sedekah")</f>
        <v>129000</v>
      </c>
      <c r="S175" s="29">
        <f>SUMIFS(Cash_Flow_3[Amount],Cash_Flow_3[Bulan],H175,Cash_Flow_3[Type],"Out",Cash_Flow_3[Category],"Zela")</f>
        <v>24100</v>
      </c>
      <c r="T175" s="29">
        <f>SUMIFS(Cash_Flow_3[Amount],Cash_Flow_3[Bulan],H175,Cash_Flow_3[Type],"Out",Cash_Flow_3[Category],"Iqbal")</f>
        <v>121000</v>
      </c>
    </row>
    <row r="176" spans="1:20" ht="22.5" customHeight="1" x14ac:dyDescent="0.2">
      <c r="A176" s="23">
        <v>46075</v>
      </c>
      <c r="B176" s="24" t="s">
        <v>215</v>
      </c>
      <c r="C176" s="25" t="s">
        <v>46</v>
      </c>
      <c r="D176" s="25" t="s">
        <v>44</v>
      </c>
      <c r="E176" s="25" t="s">
        <v>2</v>
      </c>
      <c r="F176" s="26">
        <v>10000</v>
      </c>
      <c r="G176" s="27"/>
      <c r="H176" s="28">
        <f t="shared" si="0"/>
        <v>46054</v>
      </c>
      <c r="I176" s="29">
        <f>SUMIFS(Cash_Flow_3[Amount],Cash_Flow_3[Bulan],H176,Cash_Flow_3[Type],"In")</f>
        <v>7073728</v>
      </c>
      <c r="J176" s="29">
        <f>SUMIFS(Cash_Flow_3[Amount],Cash_Flow_3[Bulan],H176,Cash_Flow_3[Type],"Out")</f>
        <v>6908733</v>
      </c>
      <c r="K176" s="29">
        <f>SUMIFS(Cash_Flow_3[Amount],Cash_Flow_3[Bulan],H176,Cash_Flow_3[Type],"Out",Cash_Flow_3[Category],"Fix")</f>
        <v>2440568</v>
      </c>
      <c r="L176" s="29">
        <f>SUMIFS(Cash_Flow_3[Amount],Cash_Flow_3[Bulan],H176,Cash_Flow_3[Type],"Out",Cash_Flow_3[Category],"Bathroom")</f>
        <v>34500</v>
      </c>
      <c r="M176" s="29">
        <f>SUMIFS(Cash_Flow_3[Amount],Cash_Flow_3[Bulan],H176,Cash_Flow_3[Type],"Out",Cash_Flow_3[Category],"Alfa")</f>
        <v>293800</v>
      </c>
      <c r="N176" s="29">
        <f>SUMIFS(Cash_Flow_3[Amount],Cash_Flow_3[Bulan],H176,Cash_Flow_3[Type],"Out",Cash_Flow_3[Category],"Jajan")</f>
        <v>364000</v>
      </c>
      <c r="O176" s="29">
        <f>SUMIFS(Cash_Flow_3[Amount],Cash_Flow_3[Bulan],H176,Cash_Flow_3[Type],"Out",Cash_Flow_3[Category],"Kitchen")</f>
        <v>992724</v>
      </c>
      <c r="P176" s="29">
        <f>SUMIFS(Cash_Flow_3[Amount],Cash_Flow_3[Bulan],H176,Cash_Flow_3[Type],"Out",Cash_Flow_3[Category],"Loandry")</f>
        <v>41600</v>
      </c>
      <c r="Q176" s="29">
        <f>SUMIFS(Cash_Flow_3[Amount],Cash_Flow_3[Bulan],H176,Cash_Flow_3[Type],"Out",Cash_Flow_3[Category],"Mio")</f>
        <v>249000</v>
      </c>
      <c r="R176" s="29">
        <f>SUMIFS(Cash_Flow_3[Amount],Cash_Flow_3[Bulan],H176,Cash_Flow_3[Type],"Out",Cash_Flow_3[Category],"Sedekah")</f>
        <v>129000</v>
      </c>
      <c r="S176" s="29">
        <f>SUMIFS(Cash_Flow_3[Amount],Cash_Flow_3[Bulan],H176,Cash_Flow_3[Type],"Out",Cash_Flow_3[Category],"Zela")</f>
        <v>24100</v>
      </c>
      <c r="T176" s="29">
        <f>SUMIFS(Cash_Flow_3[Amount],Cash_Flow_3[Bulan],H176,Cash_Flow_3[Type],"Out",Cash_Flow_3[Category],"Iqbal")</f>
        <v>121000</v>
      </c>
    </row>
    <row r="177" spans="1:20" ht="22.5" customHeight="1" x14ac:dyDescent="0.2">
      <c r="A177" s="23">
        <v>46075</v>
      </c>
      <c r="B177" s="24" t="s">
        <v>247</v>
      </c>
      <c r="C177" s="25" t="s">
        <v>46</v>
      </c>
      <c r="D177" s="25" t="s">
        <v>44</v>
      </c>
      <c r="E177" s="25" t="s">
        <v>1</v>
      </c>
      <c r="F177" s="26">
        <v>2000</v>
      </c>
      <c r="G177" s="27"/>
      <c r="H177" s="28">
        <f t="shared" si="0"/>
        <v>46054</v>
      </c>
      <c r="I177" s="29">
        <f>SUMIFS(Cash_Flow_3[Amount],Cash_Flow_3[Bulan],H177,Cash_Flow_3[Type],"In")</f>
        <v>7073728</v>
      </c>
      <c r="J177" s="29">
        <f>SUMIFS(Cash_Flow_3[Amount],Cash_Flow_3[Bulan],H177,Cash_Flow_3[Type],"Out")</f>
        <v>6908733</v>
      </c>
      <c r="K177" s="29">
        <f>SUMIFS(Cash_Flow_3[Amount],Cash_Flow_3[Bulan],H177,Cash_Flow_3[Type],"Out",Cash_Flow_3[Category],"Fix")</f>
        <v>2440568</v>
      </c>
      <c r="L177" s="29">
        <f>SUMIFS(Cash_Flow_3[Amount],Cash_Flow_3[Bulan],H177,Cash_Flow_3[Type],"Out",Cash_Flow_3[Category],"Bathroom")</f>
        <v>34500</v>
      </c>
      <c r="M177" s="29">
        <f>SUMIFS(Cash_Flow_3[Amount],Cash_Flow_3[Bulan],H177,Cash_Flow_3[Type],"Out",Cash_Flow_3[Category],"Alfa")</f>
        <v>293800</v>
      </c>
      <c r="N177" s="29">
        <f>SUMIFS(Cash_Flow_3[Amount],Cash_Flow_3[Bulan],H177,Cash_Flow_3[Type],"Out",Cash_Flow_3[Category],"Jajan")</f>
        <v>364000</v>
      </c>
      <c r="O177" s="29">
        <f>SUMIFS(Cash_Flow_3[Amount],Cash_Flow_3[Bulan],H177,Cash_Flow_3[Type],"Out",Cash_Flow_3[Category],"Kitchen")</f>
        <v>992724</v>
      </c>
      <c r="P177" s="29">
        <f>SUMIFS(Cash_Flow_3[Amount],Cash_Flow_3[Bulan],H177,Cash_Flow_3[Type],"Out",Cash_Flow_3[Category],"Loandry")</f>
        <v>41600</v>
      </c>
      <c r="Q177" s="29">
        <f>SUMIFS(Cash_Flow_3[Amount],Cash_Flow_3[Bulan],H177,Cash_Flow_3[Type],"Out",Cash_Flow_3[Category],"Mio")</f>
        <v>249000</v>
      </c>
      <c r="R177" s="29">
        <f>SUMIFS(Cash_Flow_3[Amount],Cash_Flow_3[Bulan],H177,Cash_Flow_3[Type],"Out",Cash_Flow_3[Category],"Sedekah")</f>
        <v>129000</v>
      </c>
      <c r="S177" s="29">
        <f>SUMIFS(Cash_Flow_3[Amount],Cash_Flow_3[Bulan],H177,Cash_Flow_3[Type],"Out",Cash_Flow_3[Category],"Zela")</f>
        <v>24100</v>
      </c>
      <c r="T177" s="29">
        <f>SUMIFS(Cash_Flow_3[Amount],Cash_Flow_3[Bulan],H177,Cash_Flow_3[Type],"Out",Cash_Flow_3[Category],"Iqbal")</f>
        <v>121000</v>
      </c>
    </row>
    <row r="178" spans="1:20" ht="22.5" customHeight="1" x14ac:dyDescent="0.2">
      <c r="A178" s="23">
        <v>46075</v>
      </c>
      <c r="B178" s="24" t="s">
        <v>249</v>
      </c>
      <c r="C178" s="25" t="s">
        <v>43</v>
      </c>
      <c r="D178" s="25" t="s">
        <v>44</v>
      </c>
      <c r="E178" s="25" t="s">
        <v>1</v>
      </c>
      <c r="F178" s="26">
        <v>36500</v>
      </c>
      <c r="G178" s="27"/>
      <c r="H178" s="28">
        <f t="shared" si="0"/>
        <v>46054</v>
      </c>
      <c r="I178" s="29">
        <f>SUMIFS(Cash_Flow_3[Amount],Cash_Flow_3[Bulan],H178,Cash_Flow_3[Type],"In")</f>
        <v>7073728</v>
      </c>
      <c r="J178" s="29">
        <f>SUMIFS(Cash_Flow_3[Amount],Cash_Flow_3[Bulan],H178,Cash_Flow_3[Type],"Out")</f>
        <v>6908733</v>
      </c>
      <c r="K178" s="29">
        <f>SUMIFS(Cash_Flow_3[Amount],Cash_Flow_3[Bulan],H178,Cash_Flow_3[Type],"Out",Cash_Flow_3[Category],"Fix")</f>
        <v>2440568</v>
      </c>
      <c r="L178" s="29">
        <f>SUMIFS(Cash_Flow_3[Amount],Cash_Flow_3[Bulan],H178,Cash_Flow_3[Type],"Out",Cash_Flow_3[Category],"Bathroom")</f>
        <v>34500</v>
      </c>
      <c r="M178" s="29">
        <f>SUMIFS(Cash_Flow_3[Amount],Cash_Flow_3[Bulan],H178,Cash_Flow_3[Type],"Out",Cash_Flow_3[Category],"Alfa")</f>
        <v>293800</v>
      </c>
      <c r="N178" s="29">
        <f>SUMIFS(Cash_Flow_3[Amount],Cash_Flow_3[Bulan],H178,Cash_Flow_3[Type],"Out",Cash_Flow_3[Category],"Jajan")</f>
        <v>364000</v>
      </c>
      <c r="O178" s="29">
        <f>SUMIFS(Cash_Flow_3[Amount],Cash_Flow_3[Bulan],H178,Cash_Flow_3[Type],"Out",Cash_Flow_3[Category],"Kitchen")</f>
        <v>992724</v>
      </c>
      <c r="P178" s="29">
        <f>SUMIFS(Cash_Flow_3[Amount],Cash_Flow_3[Bulan],H178,Cash_Flow_3[Type],"Out",Cash_Flow_3[Category],"Loandry")</f>
        <v>41600</v>
      </c>
      <c r="Q178" s="29">
        <f>SUMIFS(Cash_Flow_3[Amount],Cash_Flow_3[Bulan],H178,Cash_Flow_3[Type],"Out",Cash_Flow_3[Category],"Mio")</f>
        <v>249000</v>
      </c>
      <c r="R178" s="29">
        <f>SUMIFS(Cash_Flow_3[Amount],Cash_Flow_3[Bulan],H178,Cash_Flow_3[Type],"Out",Cash_Flow_3[Category],"Sedekah")</f>
        <v>129000</v>
      </c>
      <c r="S178" s="29">
        <f>SUMIFS(Cash_Flow_3[Amount],Cash_Flow_3[Bulan],H178,Cash_Flow_3[Type],"Out",Cash_Flow_3[Category],"Zela")</f>
        <v>24100</v>
      </c>
      <c r="T178" s="29">
        <f>SUMIFS(Cash_Flow_3[Amount],Cash_Flow_3[Bulan],H178,Cash_Flow_3[Type],"Out",Cash_Flow_3[Category],"Iqbal")</f>
        <v>121000</v>
      </c>
    </row>
    <row r="179" spans="1:20" ht="22.5" customHeight="1" x14ac:dyDescent="0.2">
      <c r="A179" s="23">
        <v>46075</v>
      </c>
      <c r="B179" s="24" t="s">
        <v>250</v>
      </c>
      <c r="C179" s="25" t="s">
        <v>43</v>
      </c>
      <c r="D179" s="25" t="s">
        <v>44</v>
      </c>
      <c r="E179" s="25" t="s">
        <v>3</v>
      </c>
      <c r="F179" s="31">
        <v>23500</v>
      </c>
      <c r="G179" s="27"/>
      <c r="H179" s="28">
        <f t="shared" si="0"/>
        <v>46054</v>
      </c>
      <c r="I179" s="29">
        <f>SUMIFS(Cash_Flow_3[Amount],Cash_Flow_3[Bulan],H179,Cash_Flow_3[Type],"In")</f>
        <v>7073728</v>
      </c>
      <c r="J179" s="29">
        <f>SUMIFS(Cash_Flow_3[Amount],Cash_Flow_3[Bulan],H179,Cash_Flow_3[Type],"Out")</f>
        <v>6908733</v>
      </c>
      <c r="K179" s="29">
        <f>SUMIFS(Cash_Flow_3[Amount],Cash_Flow_3[Bulan],H179,Cash_Flow_3[Type],"Out",Cash_Flow_3[Category],"Fix")</f>
        <v>2440568</v>
      </c>
      <c r="L179" s="29">
        <f>SUMIFS(Cash_Flow_3[Amount],Cash_Flow_3[Bulan],H179,Cash_Flow_3[Type],"Out",Cash_Flow_3[Category],"Bathroom")</f>
        <v>34500</v>
      </c>
      <c r="M179" s="29">
        <f>SUMIFS(Cash_Flow_3[Amount],Cash_Flow_3[Bulan],H179,Cash_Flow_3[Type],"Out",Cash_Flow_3[Category],"Alfa")</f>
        <v>293800</v>
      </c>
      <c r="N179" s="29">
        <f>SUMIFS(Cash_Flow_3[Amount],Cash_Flow_3[Bulan],H179,Cash_Flow_3[Type],"Out",Cash_Flow_3[Category],"Jajan")</f>
        <v>364000</v>
      </c>
      <c r="O179" s="29">
        <f>SUMIFS(Cash_Flow_3[Amount],Cash_Flow_3[Bulan],H179,Cash_Flow_3[Type],"Out",Cash_Flow_3[Category],"Kitchen")</f>
        <v>992724</v>
      </c>
      <c r="P179" s="29">
        <f>SUMIFS(Cash_Flow_3[Amount],Cash_Flow_3[Bulan],H179,Cash_Flow_3[Type],"Out",Cash_Flow_3[Category],"Loandry")</f>
        <v>41600</v>
      </c>
      <c r="Q179" s="29">
        <f>SUMIFS(Cash_Flow_3[Amount],Cash_Flow_3[Bulan],H179,Cash_Flow_3[Type],"Out",Cash_Flow_3[Category],"Mio")</f>
        <v>249000</v>
      </c>
      <c r="R179" s="29">
        <f>SUMIFS(Cash_Flow_3[Amount],Cash_Flow_3[Bulan],H179,Cash_Flow_3[Type],"Out",Cash_Flow_3[Category],"Sedekah")</f>
        <v>129000</v>
      </c>
      <c r="S179" s="29">
        <f>SUMIFS(Cash_Flow_3[Amount],Cash_Flow_3[Bulan],H179,Cash_Flow_3[Type],"Out",Cash_Flow_3[Category],"Zela")</f>
        <v>24100</v>
      </c>
      <c r="T179" s="29">
        <f>SUMIFS(Cash_Flow_3[Amount],Cash_Flow_3[Bulan],H179,Cash_Flow_3[Type],"Out",Cash_Flow_3[Category],"Iqbal")</f>
        <v>121000</v>
      </c>
    </row>
    <row r="180" spans="1:20" ht="22.5" customHeight="1" x14ac:dyDescent="0.2">
      <c r="A180" s="23">
        <v>46077</v>
      </c>
      <c r="B180" s="24" t="s">
        <v>73</v>
      </c>
      <c r="C180" s="25" t="s">
        <v>43</v>
      </c>
      <c r="D180" s="25" t="s">
        <v>39</v>
      </c>
      <c r="E180" s="25" t="s">
        <v>0</v>
      </c>
      <c r="F180" s="26">
        <v>39000</v>
      </c>
      <c r="G180" s="27"/>
      <c r="H180" s="28">
        <f t="shared" si="0"/>
        <v>46054</v>
      </c>
      <c r="I180" s="29">
        <f>SUMIFS(Cash_Flow_3[Amount],Cash_Flow_3[Bulan],H180,Cash_Flow_3[Type],"In")</f>
        <v>7073728</v>
      </c>
      <c r="J180" s="29">
        <f>SUMIFS(Cash_Flow_3[Amount],Cash_Flow_3[Bulan],H180,Cash_Flow_3[Type],"Out")</f>
        <v>6908733</v>
      </c>
      <c r="K180" s="29">
        <f>SUMIFS(Cash_Flow_3[Amount],Cash_Flow_3[Bulan],H180,Cash_Flow_3[Type],"Out",Cash_Flow_3[Category],"Fix")</f>
        <v>2440568</v>
      </c>
      <c r="L180" s="29">
        <f>SUMIFS(Cash_Flow_3[Amount],Cash_Flow_3[Bulan],H180,Cash_Flow_3[Type],"Out",Cash_Flow_3[Category],"Bathroom")</f>
        <v>34500</v>
      </c>
      <c r="M180" s="29">
        <f>SUMIFS(Cash_Flow_3[Amount],Cash_Flow_3[Bulan],H180,Cash_Flow_3[Type],"Out",Cash_Flow_3[Category],"Alfa")</f>
        <v>293800</v>
      </c>
      <c r="N180" s="29">
        <f>SUMIFS(Cash_Flow_3[Amount],Cash_Flow_3[Bulan],H180,Cash_Flow_3[Type],"Out",Cash_Flow_3[Category],"Jajan")</f>
        <v>364000</v>
      </c>
      <c r="O180" s="29">
        <f>SUMIFS(Cash_Flow_3[Amount],Cash_Flow_3[Bulan],H180,Cash_Flow_3[Type],"Out",Cash_Flow_3[Category],"Kitchen")</f>
        <v>992724</v>
      </c>
      <c r="P180" s="29">
        <f>SUMIFS(Cash_Flow_3[Amount],Cash_Flow_3[Bulan],H180,Cash_Flow_3[Type],"Out",Cash_Flow_3[Category],"Loandry")</f>
        <v>41600</v>
      </c>
      <c r="Q180" s="29">
        <f>SUMIFS(Cash_Flow_3[Amount],Cash_Flow_3[Bulan],H180,Cash_Flow_3[Type],"Out",Cash_Flow_3[Category],"Mio")</f>
        <v>249000</v>
      </c>
      <c r="R180" s="29">
        <f>SUMIFS(Cash_Flow_3[Amount],Cash_Flow_3[Bulan],H180,Cash_Flow_3[Type],"Out",Cash_Flow_3[Category],"Sedekah")</f>
        <v>129000</v>
      </c>
      <c r="S180" s="29">
        <f>SUMIFS(Cash_Flow_3[Amount],Cash_Flow_3[Bulan],H180,Cash_Flow_3[Type],"Out",Cash_Flow_3[Category],"Zela")</f>
        <v>24100</v>
      </c>
      <c r="T180" s="29">
        <f>SUMIFS(Cash_Flow_3[Amount],Cash_Flow_3[Bulan],H180,Cash_Flow_3[Type],"Out",Cash_Flow_3[Category],"Iqbal")</f>
        <v>121000</v>
      </c>
    </row>
    <row r="181" spans="1:20" ht="22.5" customHeight="1" x14ac:dyDescent="0.2">
      <c r="A181" s="23">
        <v>46077</v>
      </c>
      <c r="B181" s="24" t="s">
        <v>253</v>
      </c>
      <c r="C181" s="25" t="s">
        <v>46</v>
      </c>
      <c r="D181" s="25" t="s">
        <v>44</v>
      </c>
      <c r="E181" s="25" t="s">
        <v>2</v>
      </c>
      <c r="F181" s="26">
        <v>16000</v>
      </c>
      <c r="G181" s="27"/>
      <c r="H181" s="28">
        <f t="shared" si="0"/>
        <v>46054</v>
      </c>
      <c r="I181" s="29">
        <f>SUMIFS(Cash_Flow_3[Amount],Cash_Flow_3[Bulan],H181,Cash_Flow_3[Type],"In")</f>
        <v>7073728</v>
      </c>
      <c r="J181" s="29">
        <f>SUMIFS(Cash_Flow_3[Amount],Cash_Flow_3[Bulan],H181,Cash_Flow_3[Type],"Out")</f>
        <v>6908733</v>
      </c>
      <c r="K181" s="29">
        <f>SUMIFS(Cash_Flow_3[Amount],Cash_Flow_3[Bulan],H181,Cash_Flow_3[Type],"Out",Cash_Flow_3[Category],"Fix")</f>
        <v>2440568</v>
      </c>
      <c r="L181" s="29">
        <f>SUMIFS(Cash_Flow_3[Amount],Cash_Flow_3[Bulan],H181,Cash_Flow_3[Type],"Out",Cash_Flow_3[Category],"Bathroom")</f>
        <v>34500</v>
      </c>
      <c r="M181" s="29">
        <f>SUMIFS(Cash_Flow_3[Amount],Cash_Flow_3[Bulan],H181,Cash_Flow_3[Type],"Out",Cash_Flow_3[Category],"Alfa")</f>
        <v>293800</v>
      </c>
      <c r="N181" s="29">
        <f>SUMIFS(Cash_Flow_3[Amount],Cash_Flow_3[Bulan],H181,Cash_Flow_3[Type],"Out",Cash_Flow_3[Category],"Jajan")</f>
        <v>364000</v>
      </c>
      <c r="O181" s="29">
        <f>SUMIFS(Cash_Flow_3[Amount],Cash_Flow_3[Bulan],H181,Cash_Flow_3[Type],"Out",Cash_Flow_3[Category],"Kitchen")</f>
        <v>992724</v>
      </c>
      <c r="P181" s="29">
        <f>SUMIFS(Cash_Flow_3[Amount],Cash_Flow_3[Bulan],H181,Cash_Flow_3[Type],"Out",Cash_Flow_3[Category],"Loandry")</f>
        <v>41600</v>
      </c>
      <c r="Q181" s="29">
        <f>SUMIFS(Cash_Flow_3[Amount],Cash_Flow_3[Bulan],H181,Cash_Flow_3[Type],"Out",Cash_Flow_3[Category],"Mio")</f>
        <v>249000</v>
      </c>
      <c r="R181" s="29">
        <f>SUMIFS(Cash_Flow_3[Amount],Cash_Flow_3[Bulan],H181,Cash_Flow_3[Type],"Out",Cash_Flow_3[Category],"Sedekah")</f>
        <v>129000</v>
      </c>
      <c r="S181" s="29">
        <f>SUMIFS(Cash_Flow_3[Amount],Cash_Flow_3[Bulan],H181,Cash_Flow_3[Type],"Out",Cash_Flow_3[Category],"Zela")</f>
        <v>24100</v>
      </c>
      <c r="T181" s="29">
        <f>SUMIFS(Cash_Flow_3[Amount],Cash_Flow_3[Bulan],H181,Cash_Flow_3[Type],"Out",Cash_Flow_3[Category],"Iqbal")</f>
        <v>121000</v>
      </c>
    </row>
    <row r="182" spans="1:20" ht="22.5" customHeight="1" x14ac:dyDescent="0.2">
      <c r="A182" s="23">
        <v>46077</v>
      </c>
      <c r="B182" s="24" t="s">
        <v>499</v>
      </c>
      <c r="C182" s="25" t="s">
        <v>43</v>
      </c>
      <c r="D182" s="25" t="s">
        <v>44</v>
      </c>
      <c r="E182" s="25" t="s">
        <v>9</v>
      </c>
      <c r="F182" s="26">
        <v>50000</v>
      </c>
      <c r="G182" s="27"/>
      <c r="H182" s="28">
        <f t="shared" si="0"/>
        <v>46054</v>
      </c>
      <c r="I182" s="29">
        <f>SUMIFS(Cash_Flow_3[Amount],Cash_Flow_3[Bulan],H182,Cash_Flow_3[Type],"In")</f>
        <v>7073728</v>
      </c>
      <c r="J182" s="29">
        <f>SUMIFS(Cash_Flow_3[Amount],Cash_Flow_3[Bulan],H182,Cash_Flow_3[Type],"Out")</f>
        <v>6908733</v>
      </c>
      <c r="K182" s="29">
        <f>SUMIFS(Cash_Flow_3[Amount],Cash_Flow_3[Bulan],H182,Cash_Flow_3[Type],"Out",Cash_Flow_3[Category],"Fix")</f>
        <v>2440568</v>
      </c>
      <c r="L182" s="29">
        <f>SUMIFS(Cash_Flow_3[Amount],Cash_Flow_3[Bulan],H182,Cash_Flow_3[Type],"Out",Cash_Flow_3[Category],"Bathroom")</f>
        <v>34500</v>
      </c>
      <c r="M182" s="29">
        <f>SUMIFS(Cash_Flow_3[Amount],Cash_Flow_3[Bulan],H182,Cash_Flow_3[Type],"Out",Cash_Flow_3[Category],"Alfa")</f>
        <v>293800</v>
      </c>
      <c r="N182" s="29">
        <f>SUMIFS(Cash_Flow_3[Amount],Cash_Flow_3[Bulan],H182,Cash_Flow_3[Type],"Out",Cash_Flow_3[Category],"Jajan")</f>
        <v>364000</v>
      </c>
      <c r="O182" s="29">
        <f>SUMIFS(Cash_Flow_3[Amount],Cash_Flow_3[Bulan],H182,Cash_Flow_3[Type],"Out",Cash_Flow_3[Category],"Kitchen")</f>
        <v>992724</v>
      </c>
      <c r="P182" s="29">
        <f>SUMIFS(Cash_Flow_3[Amount],Cash_Flow_3[Bulan],H182,Cash_Flow_3[Type],"Out",Cash_Flow_3[Category],"Loandry")</f>
        <v>41600</v>
      </c>
      <c r="Q182" s="29">
        <f>SUMIFS(Cash_Flow_3[Amount],Cash_Flow_3[Bulan],H182,Cash_Flow_3[Type],"Out",Cash_Flow_3[Category],"Mio")</f>
        <v>249000</v>
      </c>
      <c r="R182" s="29">
        <f>SUMIFS(Cash_Flow_3[Amount],Cash_Flow_3[Bulan],H182,Cash_Flow_3[Type],"Out",Cash_Flow_3[Category],"Sedekah")</f>
        <v>129000</v>
      </c>
      <c r="S182" s="29">
        <f>SUMIFS(Cash_Flow_3[Amount],Cash_Flow_3[Bulan],H182,Cash_Flow_3[Type],"Out",Cash_Flow_3[Category],"Zela")</f>
        <v>24100</v>
      </c>
      <c r="T182" s="29">
        <f>SUMIFS(Cash_Flow_3[Amount],Cash_Flow_3[Bulan],H182,Cash_Flow_3[Type],"Out",Cash_Flow_3[Category],"Iqbal")</f>
        <v>121000</v>
      </c>
    </row>
    <row r="183" spans="1:20" ht="22.5" customHeight="1" x14ac:dyDescent="0.2">
      <c r="A183" s="23">
        <v>46077</v>
      </c>
      <c r="B183" s="24" t="s">
        <v>484</v>
      </c>
      <c r="C183" s="25" t="s">
        <v>46</v>
      </c>
      <c r="D183" s="25" t="s">
        <v>39</v>
      </c>
      <c r="E183" s="25" t="s">
        <v>9</v>
      </c>
      <c r="F183" s="26">
        <v>50000</v>
      </c>
      <c r="G183" s="27"/>
      <c r="H183" s="28">
        <f t="shared" si="0"/>
        <v>46054</v>
      </c>
      <c r="I183" s="29">
        <f>SUMIFS(Cash_Flow_3[Amount],Cash_Flow_3[Bulan],H183,Cash_Flow_3[Type],"In")</f>
        <v>7073728</v>
      </c>
      <c r="J183" s="29">
        <f>SUMIFS(Cash_Flow_3[Amount],Cash_Flow_3[Bulan],H183,Cash_Flow_3[Type],"Out")</f>
        <v>6908733</v>
      </c>
      <c r="K183" s="29">
        <f>SUMIFS(Cash_Flow_3[Amount],Cash_Flow_3[Bulan],H183,Cash_Flow_3[Type],"Out",Cash_Flow_3[Category],"Fix")</f>
        <v>2440568</v>
      </c>
      <c r="L183" s="29">
        <f>SUMIFS(Cash_Flow_3[Amount],Cash_Flow_3[Bulan],H183,Cash_Flow_3[Type],"Out",Cash_Flow_3[Category],"Bathroom")</f>
        <v>34500</v>
      </c>
      <c r="M183" s="29">
        <f>SUMIFS(Cash_Flow_3[Amount],Cash_Flow_3[Bulan],H183,Cash_Flow_3[Type],"Out",Cash_Flow_3[Category],"Alfa")</f>
        <v>293800</v>
      </c>
      <c r="N183" s="29">
        <f>SUMIFS(Cash_Flow_3[Amount],Cash_Flow_3[Bulan],H183,Cash_Flow_3[Type],"Out",Cash_Flow_3[Category],"Jajan")</f>
        <v>364000</v>
      </c>
      <c r="O183" s="29">
        <f>SUMIFS(Cash_Flow_3[Amount],Cash_Flow_3[Bulan],H183,Cash_Flow_3[Type],"Out",Cash_Flow_3[Category],"Kitchen")</f>
        <v>992724</v>
      </c>
      <c r="P183" s="29">
        <f>SUMIFS(Cash_Flow_3[Amount],Cash_Flow_3[Bulan],H183,Cash_Flow_3[Type],"Out",Cash_Flow_3[Category],"Loandry")</f>
        <v>41600</v>
      </c>
      <c r="Q183" s="29">
        <f>SUMIFS(Cash_Flow_3[Amount],Cash_Flow_3[Bulan],H183,Cash_Flow_3[Type],"Out",Cash_Flow_3[Category],"Mio")</f>
        <v>249000</v>
      </c>
      <c r="R183" s="29">
        <f>SUMIFS(Cash_Flow_3[Amount],Cash_Flow_3[Bulan],H183,Cash_Flow_3[Type],"Out",Cash_Flow_3[Category],"Sedekah")</f>
        <v>129000</v>
      </c>
      <c r="S183" s="29">
        <f>SUMIFS(Cash_Flow_3[Amount],Cash_Flow_3[Bulan],H183,Cash_Flow_3[Type],"Out",Cash_Flow_3[Category],"Zela")</f>
        <v>24100</v>
      </c>
      <c r="T183" s="29">
        <f>SUMIFS(Cash_Flow_3[Amount],Cash_Flow_3[Bulan],H183,Cash_Flow_3[Type],"Out",Cash_Flow_3[Category],"Iqbal")</f>
        <v>121000</v>
      </c>
    </row>
    <row r="184" spans="1:20" ht="22.5" customHeight="1" x14ac:dyDescent="0.2">
      <c r="A184" s="23">
        <v>46076</v>
      </c>
      <c r="B184" s="24" t="s">
        <v>256</v>
      </c>
      <c r="C184" s="25" t="s">
        <v>43</v>
      </c>
      <c r="D184" s="25" t="s">
        <v>44</v>
      </c>
      <c r="E184" s="25" t="s">
        <v>0</v>
      </c>
      <c r="F184" s="26">
        <v>15000</v>
      </c>
      <c r="G184" s="27"/>
      <c r="H184" s="28">
        <f t="shared" si="0"/>
        <v>46054</v>
      </c>
      <c r="I184" s="29">
        <f>SUMIFS(Cash_Flow_3[Amount],Cash_Flow_3[Bulan],H184,Cash_Flow_3[Type],"In")</f>
        <v>7073728</v>
      </c>
      <c r="J184" s="29">
        <f>SUMIFS(Cash_Flow_3[Amount],Cash_Flow_3[Bulan],H184,Cash_Flow_3[Type],"Out")</f>
        <v>6908733</v>
      </c>
      <c r="K184" s="29">
        <f>SUMIFS(Cash_Flow_3[Amount],Cash_Flow_3[Bulan],H184,Cash_Flow_3[Type],"Out",Cash_Flow_3[Category],"Fix")</f>
        <v>2440568</v>
      </c>
      <c r="L184" s="29">
        <f>SUMIFS(Cash_Flow_3[Amount],Cash_Flow_3[Bulan],H184,Cash_Flow_3[Type],"Out",Cash_Flow_3[Category],"Bathroom")</f>
        <v>34500</v>
      </c>
      <c r="M184" s="29">
        <f>SUMIFS(Cash_Flow_3[Amount],Cash_Flow_3[Bulan],H184,Cash_Flow_3[Type],"Out",Cash_Flow_3[Category],"Alfa")</f>
        <v>293800</v>
      </c>
      <c r="N184" s="29">
        <f>SUMIFS(Cash_Flow_3[Amount],Cash_Flow_3[Bulan],H184,Cash_Flow_3[Type],"Out",Cash_Flow_3[Category],"Jajan")</f>
        <v>364000</v>
      </c>
      <c r="O184" s="29">
        <f>SUMIFS(Cash_Flow_3[Amount],Cash_Flow_3[Bulan],H184,Cash_Flow_3[Type],"Out",Cash_Flow_3[Category],"Kitchen")</f>
        <v>992724</v>
      </c>
      <c r="P184" s="29">
        <f>SUMIFS(Cash_Flow_3[Amount],Cash_Flow_3[Bulan],H184,Cash_Flow_3[Type],"Out",Cash_Flow_3[Category],"Loandry")</f>
        <v>41600</v>
      </c>
      <c r="Q184" s="29">
        <f>SUMIFS(Cash_Flow_3[Amount],Cash_Flow_3[Bulan],H184,Cash_Flow_3[Type],"Out",Cash_Flow_3[Category],"Mio")</f>
        <v>249000</v>
      </c>
      <c r="R184" s="29">
        <f>SUMIFS(Cash_Flow_3[Amount],Cash_Flow_3[Bulan],H184,Cash_Flow_3[Type],"Out",Cash_Flow_3[Category],"Sedekah")</f>
        <v>129000</v>
      </c>
      <c r="S184" s="29">
        <f>SUMIFS(Cash_Flow_3[Amount],Cash_Flow_3[Bulan],H184,Cash_Flow_3[Type],"Out",Cash_Flow_3[Category],"Zela")</f>
        <v>24100</v>
      </c>
      <c r="T184" s="29">
        <f>SUMIFS(Cash_Flow_3[Amount],Cash_Flow_3[Bulan],H184,Cash_Flow_3[Type],"Out",Cash_Flow_3[Category],"Iqbal")</f>
        <v>121000</v>
      </c>
    </row>
    <row r="185" spans="1:20" ht="22.5" customHeight="1" x14ac:dyDescent="0.2">
      <c r="A185" s="23">
        <v>46078</v>
      </c>
      <c r="B185" s="24" t="s">
        <v>939</v>
      </c>
      <c r="C185" s="25" t="s">
        <v>43</v>
      </c>
      <c r="D185" s="25" t="s">
        <v>44</v>
      </c>
      <c r="E185" s="25" t="s">
        <v>0</v>
      </c>
      <c r="F185" s="26">
        <v>15000</v>
      </c>
      <c r="G185" s="27"/>
      <c r="H185" s="28">
        <f t="shared" si="0"/>
        <v>46054</v>
      </c>
      <c r="I185" s="29">
        <f>SUMIFS(Cash_Flow_3[Amount],Cash_Flow_3[Bulan],H185,Cash_Flow_3[Type],"In")</f>
        <v>7073728</v>
      </c>
      <c r="J185" s="29">
        <f>SUMIFS(Cash_Flow_3[Amount],Cash_Flow_3[Bulan],H185,Cash_Flow_3[Type],"Out")</f>
        <v>6908733</v>
      </c>
      <c r="K185" s="29">
        <f>SUMIFS(Cash_Flow_3[Amount],Cash_Flow_3[Bulan],H185,Cash_Flow_3[Type],"Out",Cash_Flow_3[Category],"Fix")</f>
        <v>2440568</v>
      </c>
      <c r="L185" s="29">
        <f>SUMIFS(Cash_Flow_3[Amount],Cash_Flow_3[Bulan],H185,Cash_Flow_3[Type],"Out",Cash_Flow_3[Category],"Bathroom")</f>
        <v>34500</v>
      </c>
      <c r="M185" s="29">
        <f>SUMIFS(Cash_Flow_3[Amount],Cash_Flow_3[Bulan],H185,Cash_Flow_3[Type],"Out",Cash_Flow_3[Category],"Alfa")</f>
        <v>293800</v>
      </c>
      <c r="N185" s="29">
        <f>SUMIFS(Cash_Flow_3[Amount],Cash_Flow_3[Bulan],H185,Cash_Flow_3[Type],"Out",Cash_Flow_3[Category],"Jajan")</f>
        <v>364000</v>
      </c>
      <c r="O185" s="29">
        <f>SUMIFS(Cash_Flow_3[Amount],Cash_Flow_3[Bulan],H185,Cash_Flow_3[Type],"Out",Cash_Flow_3[Category],"Kitchen")</f>
        <v>992724</v>
      </c>
      <c r="P185" s="29">
        <f>SUMIFS(Cash_Flow_3[Amount],Cash_Flow_3[Bulan],H185,Cash_Flow_3[Type],"Out",Cash_Flow_3[Category],"Loandry")</f>
        <v>41600</v>
      </c>
      <c r="Q185" s="29">
        <f>SUMIFS(Cash_Flow_3[Amount],Cash_Flow_3[Bulan],H185,Cash_Flow_3[Type],"Out",Cash_Flow_3[Category],"Mio")</f>
        <v>249000</v>
      </c>
      <c r="R185" s="29">
        <f>SUMIFS(Cash_Flow_3[Amount],Cash_Flow_3[Bulan],H185,Cash_Flow_3[Type],"Out",Cash_Flow_3[Category],"Sedekah")</f>
        <v>129000</v>
      </c>
      <c r="S185" s="29">
        <f>SUMIFS(Cash_Flow_3[Amount],Cash_Flow_3[Bulan],H185,Cash_Flow_3[Type],"Out",Cash_Flow_3[Category],"Zela")</f>
        <v>24100</v>
      </c>
      <c r="T185" s="29">
        <f>SUMIFS(Cash_Flow_3[Amount],Cash_Flow_3[Bulan],H185,Cash_Flow_3[Type],"Out",Cash_Flow_3[Category],"Iqbal")</f>
        <v>121000</v>
      </c>
    </row>
    <row r="186" spans="1:20" ht="22.5" customHeight="1" x14ac:dyDescent="0.2">
      <c r="A186" s="23">
        <v>46078</v>
      </c>
      <c r="B186" s="24" t="s">
        <v>260</v>
      </c>
      <c r="C186" s="25" t="s">
        <v>43</v>
      </c>
      <c r="D186" s="25" t="s">
        <v>39</v>
      </c>
      <c r="E186" s="25" t="s">
        <v>9</v>
      </c>
      <c r="F186" s="26">
        <v>6100</v>
      </c>
      <c r="G186" s="27"/>
      <c r="H186" s="28">
        <f t="shared" si="0"/>
        <v>46054</v>
      </c>
      <c r="I186" s="29">
        <f>SUMIFS(Cash_Flow_3[Amount],Cash_Flow_3[Bulan],H186,Cash_Flow_3[Type],"In")</f>
        <v>7073728</v>
      </c>
      <c r="J186" s="29">
        <f>SUMIFS(Cash_Flow_3[Amount],Cash_Flow_3[Bulan],H186,Cash_Flow_3[Type],"Out")</f>
        <v>6908733</v>
      </c>
      <c r="K186" s="29">
        <f>SUMIFS(Cash_Flow_3[Amount],Cash_Flow_3[Bulan],H186,Cash_Flow_3[Type],"Out",Cash_Flow_3[Category],"Fix")</f>
        <v>2440568</v>
      </c>
      <c r="L186" s="29">
        <f>SUMIFS(Cash_Flow_3[Amount],Cash_Flow_3[Bulan],H186,Cash_Flow_3[Type],"Out",Cash_Flow_3[Category],"Bathroom")</f>
        <v>34500</v>
      </c>
      <c r="M186" s="29">
        <f>SUMIFS(Cash_Flow_3[Amount],Cash_Flow_3[Bulan],H186,Cash_Flow_3[Type],"Out",Cash_Flow_3[Category],"Alfa")</f>
        <v>293800</v>
      </c>
      <c r="N186" s="29">
        <f>SUMIFS(Cash_Flow_3[Amount],Cash_Flow_3[Bulan],H186,Cash_Flow_3[Type],"Out",Cash_Flow_3[Category],"Jajan")</f>
        <v>364000</v>
      </c>
      <c r="O186" s="29">
        <f>SUMIFS(Cash_Flow_3[Amount],Cash_Flow_3[Bulan],H186,Cash_Flow_3[Type],"Out",Cash_Flow_3[Category],"Kitchen")</f>
        <v>992724</v>
      </c>
      <c r="P186" s="29">
        <f>SUMIFS(Cash_Flow_3[Amount],Cash_Flow_3[Bulan],H186,Cash_Flow_3[Type],"Out",Cash_Flow_3[Category],"Loandry")</f>
        <v>41600</v>
      </c>
      <c r="Q186" s="29">
        <f>SUMIFS(Cash_Flow_3[Amount],Cash_Flow_3[Bulan],H186,Cash_Flow_3[Type],"Out",Cash_Flow_3[Category],"Mio")</f>
        <v>249000</v>
      </c>
      <c r="R186" s="29">
        <f>SUMIFS(Cash_Flow_3[Amount],Cash_Flow_3[Bulan],H186,Cash_Flow_3[Type],"Out",Cash_Flow_3[Category],"Sedekah")</f>
        <v>129000</v>
      </c>
      <c r="S186" s="29">
        <f>SUMIFS(Cash_Flow_3[Amount],Cash_Flow_3[Bulan],H186,Cash_Flow_3[Type],"Out",Cash_Flow_3[Category],"Zela")</f>
        <v>24100</v>
      </c>
      <c r="T186" s="29">
        <f>SUMIFS(Cash_Flow_3[Amount],Cash_Flow_3[Bulan],H186,Cash_Flow_3[Type],"Out",Cash_Flow_3[Category],"Iqbal")</f>
        <v>121000</v>
      </c>
    </row>
    <row r="187" spans="1:20" ht="22.5" customHeight="1" x14ac:dyDescent="0.2">
      <c r="A187" s="23">
        <v>46078</v>
      </c>
      <c r="B187" s="24" t="s">
        <v>261</v>
      </c>
      <c r="C187" s="25" t="s">
        <v>43</v>
      </c>
      <c r="D187" s="25" t="s">
        <v>44</v>
      </c>
      <c r="E187" s="25" t="s">
        <v>0</v>
      </c>
      <c r="F187" s="26">
        <v>15000</v>
      </c>
      <c r="G187" s="27"/>
      <c r="H187" s="28">
        <f t="shared" si="0"/>
        <v>46054</v>
      </c>
      <c r="I187" s="29">
        <f>SUMIFS(Cash_Flow_3[Amount],Cash_Flow_3[Bulan],H187,Cash_Flow_3[Type],"In")</f>
        <v>7073728</v>
      </c>
      <c r="J187" s="29">
        <f>SUMIFS(Cash_Flow_3[Amount],Cash_Flow_3[Bulan],H187,Cash_Flow_3[Type],"Out")</f>
        <v>6908733</v>
      </c>
      <c r="K187" s="29">
        <f>SUMIFS(Cash_Flow_3[Amount],Cash_Flow_3[Bulan],H187,Cash_Flow_3[Type],"Out",Cash_Flow_3[Category],"Fix")</f>
        <v>2440568</v>
      </c>
      <c r="L187" s="29">
        <f>SUMIFS(Cash_Flow_3[Amount],Cash_Flow_3[Bulan],H187,Cash_Flow_3[Type],"Out",Cash_Flow_3[Category],"Bathroom")</f>
        <v>34500</v>
      </c>
      <c r="M187" s="29">
        <f>SUMIFS(Cash_Flow_3[Amount],Cash_Flow_3[Bulan],H187,Cash_Flow_3[Type],"Out",Cash_Flow_3[Category],"Alfa")</f>
        <v>293800</v>
      </c>
      <c r="N187" s="29">
        <f>SUMIFS(Cash_Flow_3[Amount],Cash_Flow_3[Bulan],H187,Cash_Flow_3[Type],"Out",Cash_Flow_3[Category],"Jajan")</f>
        <v>364000</v>
      </c>
      <c r="O187" s="29">
        <f>SUMIFS(Cash_Flow_3[Amount],Cash_Flow_3[Bulan],H187,Cash_Flow_3[Type],"Out",Cash_Flow_3[Category],"Kitchen")</f>
        <v>992724</v>
      </c>
      <c r="P187" s="29">
        <f>SUMIFS(Cash_Flow_3[Amount],Cash_Flow_3[Bulan],H187,Cash_Flow_3[Type],"Out",Cash_Flow_3[Category],"Loandry")</f>
        <v>41600</v>
      </c>
      <c r="Q187" s="29">
        <f>SUMIFS(Cash_Flow_3[Amount],Cash_Flow_3[Bulan],H187,Cash_Flow_3[Type],"Out",Cash_Flow_3[Category],"Mio")</f>
        <v>249000</v>
      </c>
      <c r="R187" s="29">
        <f>SUMIFS(Cash_Flow_3[Amount],Cash_Flow_3[Bulan],H187,Cash_Flow_3[Type],"Out",Cash_Flow_3[Category],"Sedekah")</f>
        <v>129000</v>
      </c>
      <c r="S187" s="29">
        <f>SUMIFS(Cash_Flow_3[Amount],Cash_Flow_3[Bulan],H187,Cash_Flow_3[Type],"Out",Cash_Flow_3[Category],"Zela")</f>
        <v>24100</v>
      </c>
      <c r="T187" s="29">
        <f>SUMIFS(Cash_Flow_3[Amount],Cash_Flow_3[Bulan],H187,Cash_Flow_3[Type],"Out",Cash_Flow_3[Category],"Iqbal")</f>
        <v>121000</v>
      </c>
    </row>
    <row r="188" spans="1:20" ht="22.5" customHeight="1" x14ac:dyDescent="0.2">
      <c r="A188" s="23">
        <v>46079</v>
      </c>
      <c r="B188" s="24" t="s">
        <v>94</v>
      </c>
      <c r="C188" s="25" t="s">
        <v>95</v>
      </c>
      <c r="D188" s="25" t="s">
        <v>44</v>
      </c>
      <c r="E188" s="25" t="s">
        <v>3</v>
      </c>
      <c r="F188" s="26">
        <v>-6486</v>
      </c>
      <c r="G188" s="27"/>
      <c r="H188" s="28">
        <f t="shared" si="0"/>
        <v>46054</v>
      </c>
      <c r="I188" s="29">
        <f>SUMIFS(Cash_Flow_3[Amount],Cash_Flow_3[Bulan],H188,Cash_Flow_3[Type],"In")</f>
        <v>7073728</v>
      </c>
      <c r="J188" s="29">
        <f>SUMIFS(Cash_Flow_3[Amount],Cash_Flow_3[Bulan],H188,Cash_Flow_3[Type],"Out")</f>
        <v>6908733</v>
      </c>
      <c r="K188" s="29">
        <f>SUMIFS(Cash_Flow_3[Amount],Cash_Flow_3[Bulan],H188,Cash_Flow_3[Type],"Out",Cash_Flow_3[Category],"Fix")</f>
        <v>2440568</v>
      </c>
      <c r="L188" s="29">
        <f>SUMIFS(Cash_Flow_3[Amount],Cash_Flow_3[Bulan],H188,Cash_Flow_3[Type],"Out",Cash_Flow_3[Category],"Bathroom")</f>
        <v>34500</v>
      </c>
      <c r="M188" s="29">
        <f>SUMIFS(Cash_Flow_3[Amount],Cash_Flow_3[Bulan],H188,Cash_Flow_3[Type],"Out",Cash_Flow_3[Category],"Alfa")</f>
        <v>293800</v>
      </c>
      <c r="N188" s="29">
        <f>SUMIFS(Cash_Flow_3[Amount],Cash_Flow_3[Bulan],H188,Cash_Flow_3[Type],"Out",Cash_Flow_3[Category],"Jajan")</f>
        <v>364000</v>
      </c>
      <c r="O188" s="29">
        <f>SUMIFS(Cash_Flow_3[Amount],Cash_Flow_3[Bulan],H188,Cash_Flow_3[Type],"Out",Cash_Flow_3[Category],"Kitchen")</f>
        <v>992724</v>
      </c>
      <c r="P188" s="29">
        <f>SUMIFS(Cash_Flow_3[Amount],Cash_Flow_3[Bulan],H188,Cash_Flow_3[Type],"Out",Cash_Flow_3[Category],"Loandry")</f>
        <v>41600</v>
      </c>
      <c r="Q188" s="29">
        <f>SUMIFS(Cash_Flow_3[Amount],Cash_Flow_3[Bulan],H188,Cash_Flow_3[Type],"Out",Cash_Flow_3[Category],"Mio")</f>
        <v>249000</v>
      </c>
      <c r="R188" s="29">
        <f>SUMIFS(Cash_Flow_3[Amount],Cash_Flow_3[Bulan],H188,Cash_Flow_3[Type],"Out",Cash_Flow_3[Category],"Sedekah")</f>
        <v>129000</v>
      </c>
      <c r="S188" s="29">
        <f>SUMIFS(Cash_Flow_3[Amount],Cash_Flow_3[Bulan],H188,Cash_Flow_3[Type],"Out",Cash_Flow_3[Category],"Zela")</f>
        <v>24100</v>
      </c>
      <c r="T188" s="29">
        <f>SUMIFS(Cash_Flow_3[Amount],Cash_Flow_3[Bulan],H188,Cash_Flow_3[Type],"Out",Cash_Flow_3[Category],"Iqbal")</f>
        <v>121000</v>
      </c>
    </row>
    <row r="189" spans="1:20" ht="22.5" customHeight="1" x14ac:dyDescent="0.2">
      <c r="A189" s="23">
        <v>46079</v>
      </c>
      <c r="B189" s="24" t="s">
        <v>73</v>
      </c>
      <c r="C189" s="25" t="s">
        <v>46</v>
      </c>
      <c r="D189" s="25" t="s">
        <v>44</v>
      </c>
      <c r="E189" s="25" t="s">
        <v>9</v>
      </c>
      <c r="F189" s="26">
        <v>10000</v>
      </c>
      <c r="G189" s="27"/>
      <c r="H189" s="28">
        <f t="shared" si="0"/>
        <v>46054</v>
      </c>
      <c r="I189" s="29">
        <f>SUMIFS(Cash_Flow_3[Amount],Cash_Flow_3[Bulan],H189,Cash_Flow_3[Type],"In")</f>
        <v>7073728</v>
      </c>
      <c r="J189" s="29">
        <f>SUMIFS(Cash_Flow_3[Amount],Cash_Flow_3[Bulan],H189,Cash_Flow_3[Type],"Out")</f>
        <v>6908733</v>
      </c>
      <c r="K189" s="29">
        <f>SUMIFS(Cash_Flow_3[Amount],Cash_Flow_3[Bulan],H189,Cash_Flow_3[Type],"Out",Cash_Flow_3[Category],"Fix")</f>
        <v>2440568</v>
      </c>
      <c r="L189" s="29">
        <f>SUMIFS(Cash_Flow_3[Amount],Cash_Flow_3[Bulan],H189,Cash_Flow_3[Type],"Out",Cash_Flow_3[Category],"Bathroom")</f>
        <v>34500</v>
      </c>
      <c r="M189" s="29">
        <f>SUMIFS(Cash_Flow_3[Amount],Cash_Flow_3[Bulan],H189,Cash_Flow_3[Type],"Out",Cash_Flow_3[Category],"Alfa")</f>
        <v>293800</v>
      </c>
      <c r="N189" s="29">
        <f>SUMIFS(Cash_Flow_3[Amount],Cash_Flow_3[Bulan],H189,Cash_Flow_3[Type],"Out",Cash_Flow_3[Category],"Jajan")</f>
        <v>364000</v>
      </c>
      <c r="O189" s="29">
        <f>SUMIFS(Cash_Flow_3[Amount],Cash_Flow_3[Bulan],H189,Cash_Flow_3[Type],"Out",Cash_Flow_3[Category],"Kitchen")</f>
        <v>992724</v>
      </c>
      <c r="P189" s="29">
        <f>SUMIFS(Cash_Flow_3[Amount],Cash_Flow_3[Bulan],H189,Cash_Flow_3[Type],"Out",Cash_Flow_3[Category],"Loandry")</f>
        <v>41600</v>
      </c>
      <c r="Q189" s="29">
        <f>SUMIFS(Cash_Flow_3[Amount],Cash_Flow_3[Bulan],H189,Cash_Flow_3[Type],"Out",Cash_Flow_3[Category],"Mio")</f>
        <v>249000</v>
      </c>
      <c r="R189" s="29">
        <f>SUMIFS(Cash_Flow_3[Amount],Cash_Flow_3[Bulan],H189,Cash_Flow_3[Type],"Out",Cash_Flow_3[Category],"Sedekah")</f>
        <v>129000</v>
      </c>
      <c r="S189" s="29">
        <f>SUMIFS(Cash_Flow_3[Amount],Cash_Flow_3[Bulan],H189,Cash_Flow_3[Type],"Out",Cash_Flow_3[Category],"Zela")</f>
        <v>24100</v>
      </c>
      <c r="T189" s="29">
        <f>SUMIFS(Cash_Flow_3[Amount],Cash_Flow_3[Bulan],H189,Cash_Flow_3[Type],"Out",Cash_Flow_3[Category],"Iqbal")</f>
        <v>121000</v>
      </c>
    </row>
    <row r="190" spans="1:20" ht="22.5" customHeight="1" x14ac:dyDescent="0.2">
      <c r="A190" s="23">
        <v>46079</v>
      </c>
      <c r="B190" s="24" t="s">
        <v>68</v>
      </c>
      <c r="C190" s="25" t="s">
        <v>46</v>
      </c>
      <c r="D190" s="25" t="s">
        <v>44</v>
      </c>
      <c r="E190" s="25" t="s">
        <v>3</v>
      </c>
      <c r="F190" s="26">
        <v>4000</v>
      </c>
      <c r="G190" s="27"/>
      <c r="H190" s="28">
        <f t="shared" si="0"/>
        <v>46054</v>
      </c>
      <c r="I190" s="29">
        <f>SUMIFS(Cash_Flow_3[Amount],Cash_Flow_3[Bulan],H190,Cash_Flow_3[Type],"In")</f>
        <v>7073728</v>
      </c>
      <c r="J190" s="29">
        <f>SUMIFS(Cash_Flow_3[Amount],Cash_Flow_3[Bulan],H190,Cash_Flow_3[Type],"Out")</f>
        <v>6908733</v>
      </c>
      <c r="K190" s="29">
        <f>SUMIFS(Cash_Flow_3[Amount],Cash_Flow_3[Bulan],H190,Cash_Flow_3[Type],"Out",Cash_Flow_3[Category],"Fix")</f>
        <v>2440568</v>
      </c>
      <c r="L190" s="29">
        <f>SUMIFS(Cash_Flow_3[Amount],Cash_Flow_3[Bulan],H190,Cash_Flow_3[Type],"Out",Cash_Flow_3[Category],"Bathroom")</f>
        <v>34500</v>
      </c>
      <c r="M190" s="29">
        <f>SUMIFS(Cash_Flow_3[Amount],Cash_Flow_3[Bulan],H190,Cash_Flow_3[Type],"Out",Cash_Flow_3[Category],"Alfa")</f>
        <v>293800</v>
      </c>
      <c r="N190" s="29">
        <f>SUMIFS(Cash_Flow_3[Amount],Cash_Flow_3[Bulan],H190,Cash_Flow_3[Type],"Out",Cash_Flow_3[Category],"Jajan")</f>
        <v>364000</v>
      </c>
      <c r="O190" s="29">
        <f>SUMIFS(Cash_Flow_3[Amount],Cash_Flow_3[Bulan],H190,Cash_Flow_3[Type],"Out",Cash_Flow_3[Category],"Kitchen")</f>
        <v>992724</v>
      </c>
      <c r="P190" s="29">
        <f>SUMIFS(Cash_Flow_3[Amount],Cash_Flow_3[Bulan],H190,Cash_Flow_3[Type],"Out",Cash_Flow_3[Category],"Loandry")</f>
        <v>41600</v>
      </c>
      <c r="Q190" s="29">
        <f>SUMIFS(Cash_Flow_3[Amount],Cash_Flow_3[Bulan],H190,Cash_Flow_3[Type],"Out",Cash_Flow_3[Category],"Mio")</f>
        <v>249000</v>
      </c>
      <c r="R190" s="29">
        <f>SUMIFS(Cash_Flow_3[Amount],Cash_Flow_3[Bulan],H190,Cash_Flow_3[Type],"Out",Cash_Flow_3[Category],"Sedekah")</f>
        <v>129000</v>
      </c>
      <c r="S190" s="29">
        <f>SUMIFS(Cash_Flow_3[Amount],Cash_Flow_3[Bulan],H190,Cash_Flow_3[Type],"Out",Cash_Flow_3[Category],"Zela")</f>
        <v>24100</v>
      </c>
      <c r="T190" s="29">
        <f>SUMIFS(Cash_Flow_3[Amount],Cash_Flow_3[Bulan],H190,Cash_Flow_3[Type],"Out",Cash_Flow_3[Category],"Iqbal")</f>
        <v>121000</v>
      </c>
    </row>
    <row r="191" spans="1:20" ht="22.5" customHeight="1" x14ac:dyDescent="0.2">
      <c r="A191" s="23">
        <v>46080</v>
      </c>
      <c r="B191" s="24" t="s">
        <v>524</v>
      </c>
      <c r="C191" s="25" t="s">
        <v>46</v>
      </c>
      <c r="D191" s="25" t="s">
        <v>44</v>
      </c>
      <c r="E191" s="25" t="s">
        <v>3</v>
      </c>
      <c r="F191" s="26">
        <v>40000</v>
      </c>
      <c r="G191" s="27"/>
      <c r="H191" s="28">
        <f t="shared" si="0"/>
        <v>46054</v>
      </c>
      <c r="I191" s="29">
        <f>SUMIFS(Cash_Flow_3[Amount],Cash_Flow_3[Bulan],H191,Cash_Flow_3[Type],"In")</f>
        <v>7073728</v>
      </c>
      <c r="J191" s="29">
        <f>SUMIFS(Cash_Flow_3[Amount],Cash_Flow_3[Bulan],H191,Cash_Flow_3[Type],"Out")</f>
        <v>6908733</v>
      </c>
      <c r="K191" s="29">
        <f>SUMIFS(Cash_Flow_3[Amount],Cash_Flow_3[Bulan],H191,Cash_Flow_3[Type],"Out",Cash_Flow_3[Category],"Fix")</f>
        <v>2440568</v>
      </c>
      <c r="L191" s="29">
        <f>SUMIFS(Cash_Flow_3[Amount],Cash_Flow_3[Bulan],H191,Cash_Flow_3[Type],"Out",Cash_Flow_3[Category],"Bathroom")</f>
        <v>34500</v>
      </c>
      <c r="M191" s="29">
        <f>SUMIFS(Cash_Flow_3[Amount],Cash_Flow_3[Bulan],H191,Cash_Flow_3[Type],"Out",Cash_Flow_3[Category],"Alfa")</f>
        <v>293800</v>
      </c>
      <c r="N191" s="29">
        <f>SUMIFS(Cash_Flow_3[Amount],Cash_Flow_3[Bulan],H191,Cash_Flow_3[Type],"Out",Cash_Flow_3[Category],"Jajan")</f>
        <v>364000</v>
      </c>
      <c r="O191" s="29">
        <f>SUMIFS(Cash_Flow_3[Amount],Cash_Flow_3[Bulan],H191,Cash_Flow_3[Type],"Out",Cash_Flow_3[Category],"Kitchen")</f>
        <v>992724</v>
      </c>
      <c r="P191" s="29">
        <f>SUMIFS(Cash_Flow_3[Amount],Cash_Flow_3[Bulan],H191,Cash_Flow_3[Type],"Out",Cash_Flow_3[Category],"Loandry")</f>
        <v>41600</v>
      </c>
      <c r="Q191" s="29">
        <f>SUMIFS(Cash_Flow_3[Amount],Cash_Flow_3[Bulan],H191,Cash_Flow_3[Type],"Out",Cash_Flow_3[Category],"Mio")</f>
        <v>249000</v>
      </c>
      <c r="R191" s="29">
        <f>SUMIFS(Cash_Flow_3[Amount],Cash_Flow_3[Bulan],H191,Cash_Flow_3[Type],"Out",Cash_Flow_3[Category],"Sedekah")</f>
        <v>129000</v>
      </c>
      <c r="S191" s="29">
        <f>SUMIFS(Cash_Flow_3[Amount],Cash_Flow_3[Bulan],H191,Cash_Flow_3[Type],"Out",Cash_Flow_3[Category],"Zela")</f>
        <v>24100</v>
      </c>
      <c r="T191" s="29">
        <f>SUMIFS(Cash_Flow_3[Amount],Cash_Flow_3[Bulan],H191,Cash_Flow_3[Type],"Out",Cash_Flow_3[Category],"Iqbal")</f>
        <v>121000</v>
      </c>
    </row>
    <row r="192" spans="1:20" ht="22.5" customHeight="1" x14ac:dyDescent="0.2">
      <c r="A192" s="23">
        <v>46081</v>
      </c>
      <c r="B192" s="24" t="s">
        <v>268</v>
      </c>
      <c r="C192" s="25" t="s">
        <v>46</v>
      </c>
      <c r="D192" s="25" t="s">
        <v>39</v>
      </c>
      <c r="E192" s="25" t="s">
        <v>0</v>
      </c>
      <c r="F192" s="26">
        <v>29000</v>
      </c>
      <c r="G192" s="27"/>
      <c r="H192" s="28">
        <f t="shared" si="0"/>
        <v>46054</v>
      </c>
      <c r="I192" s="29">
        <f>SUMIFS(Cash_Flow_3[Amount],Cash_Flow_3[Bulan],H192,Cash_Flow_3[Type],"In")</f>
        <v>7073728</v>
      </c>
      <c r="J192" s="29">
        <f>SUMIFS(Cash_Flow_3[Amount],Cash_Flow_3[Bulan],H192,Cash_Flow_3[Type],"Out")</f>
        <v>6908733</v>
      </c>
      <c r="K192" s="29">
        <f>SUMIFS(Cash_Flow_3[Amount],Cash_Flow_3[Bulan],H192,Cash_Flow_3[Type],"Out",Cash_Flow_3[Category],"Fix")</f>
        <v>2440568</v>
      </c>
      <c r="L192" s="29">
        <f>SUMIFS(Cash_Flow_3[Amount],Cash_Flow_3[Bulan],H192,Cash_Flow_3[Type],"Out",Cash_Flow_3[Category],"Bathroom")</f>
        <v>34500</v>
      </c>
      <c r="M192" s="29">
        <f>SUMIFS(Cash_Flow_3[Amount],Cash_Flow_3[Bulan],H192,Cash_Flow_3[Type],"Out",Cash_Flow_3[Category],"Alfa")</f>
        <v>293800</v>
      </c>
      <c r="N192" s="29">
        <f>SUMIFS(Cash_Flow_3[Amount],Cash_Flow_3[Bulan],H192,Cash_Flow_3[Type],"Out",Cash_Flow_3[Category],"Jajan")</f>
        <v>364000</v>
      </c>
      <c r="O192" s="29">
        <f>SUMIFS(Cash_Flow_3[Amount],Cash_Flow_3[Bulan],H192,Cash_Flow_3[Type],"Out",Cash_Flow_3[Category],"Kitchen")</f>
        <v>992724</v>
      </c>
      <c r="P192" s="29">
        <f>SUMIFS(Cash_Flow_3[Amount],Cash_Flow_3[Bulan],H192,Cash_Flow_3[Type],"Out",Cash_Flow_3[Category],"Loandry")</f>
        <v>41600</v>
      </c>
      <c r="Q192" s="29">
        <f>SUMIFS(Cash_Flow_3[Amount],Cash_Flow_3[Bulan],H192,Cash_Flow_3[Type],"Out",Cash_Flow_3[Category],"Mio")</f>
        <v>249000</v>
      </c>
      <c r="R192" s="29">
        <f>SUMIFS(Cash_Flow_3[Amount],Cash_Flow_3[Bulan],H192,Cash_Flow_3[Type],"Out",Cash_Flow_3[Category],"Sedekah")</f>
        <v>129000</v>
      </c>
      <c r="S192" s="29">
        <f>SUMIFS(Cash_Flow_3[Amount],Cash_Flow_3[Bulan],H192,Cash_Flow_3[Type],"Out",Cash_Flow_3[Category],"Zela")</f>
        <v>24100</v>
      </c>
      <c r="T192" s="29">
        <f>SUMIFS(Cash_Flow_3[Amount],Cash_Flow_3[Bulan],H192,Cash_Flow_3[Type],"Out",Cash_Flow_3[Category],"Iqbal")</f>
        <v>121000</v>
      </c>
    </row>
    <row r="193" spans="1:20" ht="22.5" customHeight="1" x14ac:dyDescent="0.2">
      <c r="A193" s="23">
        <v>46083</v>
      </c>
      <c r="B193" s="24" t="s">
        <v>101</v>
      </c>
      <c r="C193" s="25" t="s">
        <v>43</v>
      </c>
      <c r="D193" s="25" t="s">
        <v>39</v>
      </c>
      <c r="E193" s="25" t="s">
        <v>0</v>
      </c>
      <c r="F193" s="26">
        <v>4458235</v>
      </c>
      <c r="G193" s="27"/>
      <c r="H193" s="28">
        <f t="shared" si="0"/>
        <v>46082</v>
      </c>
      <c r="I193" s="29">
        <f>SUMIFS(Cash_Flow_3[Amount],Cash_Flow_3[Bulan],H193,Cash_Flow_3[Type],"In")</f>
        <v>13015393</v>
      </c>
      <c r="J193" s="29">
        <f>SUMIFS(Cash_Flow_3[Amount],Cash_Flow_3[Bulan],H193,Cash_Flow_3[Type],"Out")</f>
        <v>10475288</v>
      </c>
      <c r="K193" s="29">
        <f>SUMIFS(Cash_Flow_3[Amount],Cash_Flow_3[Bulan],H193,Cash_Flow_3[Type],"Out",Cash_Flow_3[Category],"Fix")</f>
        <v>2908413</v>
      </c>
      <c r="L193" s="29">
        <f>SUMIFS(Cash_Flow_3[Amount],Cash_Flow_3[Bulan],H193,Cash_Flow_3[Type],"Out",Cash_Flow_3[Category],"Bathroom")</f>
        <v>48473</v>
      </c>
      <c r="M193" s="29">
        <f>SUMIFS(Cash_Flow_3[Amount],Cash_Flow_3[Bulan],H193,Cash_Flow_3[Type],"Out",Cash_Flow_3[Category],"Alfa")</f>
        <v>775042</v>
      </c>
      <c r="N193" s="29">
        <f>SUMIFS(Cash_Flow_3[Amount],Cash_Flow_3[Bulan],H193,Cash_Flow_3[Type],"Out",Cash_Flow_3[Category],"Jajan")</f>
        <v>795099</v>
      </c>
      <c r="O193" s="29">
        <f>SUMIFS(Cash_Flow_3[Amount],Cash_Flow_3[Bulan],H193,Cash_Flow_3[Type],"Out",Cash_Flow_3[Category],"Kitchen")</f>
        <v>1003600</v>
      </c>
      <c r="P193" s="29">
        <f>SUMIFS(Cash_Flow_3[Amount],Cash_Flow_3[Bulan],H193,Cash_Flow_3[Type],"Out",Cash_Flow_3[Category],"Loandry")</f>
        <v>41000</v>
      </c>
      <c r="Q193" s="29">
        <f>SUMIFS(Cash_Flow_3[Amount],Cash_Flow_3[Bulan],H193,Cash_Flow_3[Type],"Out",Cash_Flow_3[Category],"Mio")</f>
        <v>364500</v>
      </c>
      <c r="R193" s="29">
        <f>SUMIFS(Cash_Flow_3[Amount],Cash_Flow_3[Bulan],H193,Cash_Flow_3[Type],"Out",Cash_Flow_3[Category],"Sedekah")</f>
        <v>130000</v>
      </c>
      <c r="S193" s="29">
        <f>SUMIFS(Cash_Flow_3[Amount],Cash_Flow_3[Bulan],H193,Cash_Flow_3[Type],"Out",Cash_Flow_3[Category],"Zela")</f>
        <v>215161</v>
      </c>
      <c r="T193" s="29">
        <f>SUMIFS(Cash_Flow_3[Amount],Cash_Flow_3[Bulan],H193,Cash_Flow_3[Type],"Out",Cash_Flow_3[Category],"Iqbal")</f>
        <v>160000</v>
      </c>
    </row>
    <row r="194" spans="1:20" ht="22.5" customHeight="1" x14ac:dyDescent="0.2">
      <c r="A194" s="23">
        <v>46083</v>
      </c>
      <c r="B194" s="24" t="s">
        <v>58</v>
      </c>
      <c r="C194" s="25" t="s">
        <v>43</v>
      </c>
      <c r="D194" s="25" t="s">
        <v>44</v>
      </c>
      <c r="E194" s="25" t="s">
        <v>9</v>
      </c>
      <c r="F194" s="26">
        <v>2000000</v>
      </c>
      <c r="G194" s="27"/>
      <c r="H194" s="28">
        <f t="shared" si="0"/>
        <v>46082</v>
      </c>
      <c r="I194" s="29">
        <f>SUMIFS(Cash_Flow_3[Amount],Cash_Flow_3[Bulan],H194,Cash_Flow_3[Type],"In")</f>
        <v>13015393</v>
      </c>
      <c r="J194" s="29">
        <f>SUMIFS(Cash_Flow_3[Amount],Cash_Flow_3[Bulan],H194,Cash_Flow_3[Type],"Out")</f>
        <v>10475288</v>
      </c>
      <c r="K194" s="29">
        <f>SUMIFS(Cash_Flow_3[Amount],Cash_Flow_3[Bulan],H194,Cash_Flow_3[Type],"Out",Cash_Flow_3[Category],"Fix")</f>
        <v>2908413</v>
      </c>
      <c r="L194" s="29">
        <f>SUMIFS(Cash_Flow_3[Amount],Cash_Flow_3[Bulan],H194,Cash_Flow_3[Type],"Out",Cash_Flow_3[Category],"Bathroom")</f>
        <v>48473</v>
      </c>
      <c r="M194" s="29">
        <f>SUMIFS(Cash_Flow_3[Amount],Cash_Flow_3[Bulan],H194,Cash_Flow_3[Type],"Out",Cash_Flow_3[Category],"Alfa")</f>
        <v>775042</v>
      </c>
      <c r="N194" s="29">
        <f>SUMIFS(Cash_Flow_3[Amount],Cash_Flow_3[Bulan],H194,Cash_Flow_3[Type],"Out",Cash_Flow_3[Category],"Jajan")</f>
        <v>795099</v>
      </c>
      <c r="O194" s="29">
        <f>SUMIFS(Cash_Flow_3[Amount],Cash_Flow_3[Bulan],H194,Cash_Flow_3[Type],"Out",Cash_Flow_3[Category],"Kitchen")</f>
        <v>1003600</v>
      </c>
      <c r="P194" s="29">
        <f>SUMIFS(Cash_Flow_3[Amount],Cash_Flow_3[Bulan],H194,Cash_Flow_3[Type],"Out",Cash_Flow_3[Category],"Loandry")</f>
        <v>41000</v>
      </c>
      <c r="Q194" s="29">
        <f>SUMIFS(Cash_Flow_3[Amount],Cash_Flow_3[Bulan],H194,Cash_Flow_3[Type],"Out",Cash_Flow_3[Category],"Mio")</f>
        <v>364500</v>
      </c>
      <c r="R194" s="29">
        <f>SUMIFS(Cash_Flow_3[Amount],Cash_Flow_3[Bulan],H194,Cash_Flow_3[Type],"Out",Cash_Flow_3[Category],"Sedekah")</f>
        <v>130000</v>
      </c>
      <c r="S194" s="29">
        <f>SUMIFS(Cash_Flow_3[Amount],Cash_Flow_3[Bulan],H194,Cash_Flow_3[Type],"Out",Cash_Flow_3[Category],"Zela")</f>
        <v>215161</v>
      </c>
      <c r="T194" s="29">
        <f>SUMIFS(Cash_Flow_3[Amount],Cash_Flow_3[Bulan],H194,Cash_Flow_3[Type],"Out",Cash_Flow_3[Category],"Iqbal")</f>
        <v>160000</v>
      </c>
    </row>
    <row r="195" spans="1:20" ht="22.5" customHeight="1" x14ac:dyDescent="0.2">
      <c r="A195" s="23">
        <v>46084</v>
      </c>
      <c r="B195" s="24" t="s">
        <v>103</v>
      </c>
      <c r="C195" s="25" t="s">
        <v>43</v>
      </c>
      <c r="D195" s="25" t="s">
        <v>44</v>
      </c>
      <c r="E195" s="25" t="s">
        <v>0</v>
      </c>
      <c r="F195" s="26">
        <v>15000</v>
      </c>
      <c r="G195" s="27"/>
      <c r="H195" s="28">
        <f t="shared" si="0"/>
        <v>46082</v>
      </c>
      <c r="I195" s="29">
        <f>SUMIFS(Cash_Flow_3[Amount],Cash_Flow_3[Bulan],H195,Cash_Flow_3[Type],"In")</f>
        <v>13015393</v>
      </c>
      <c r="J195" s="29">
        <f>SUMIFS(Cash_Flow_3[Amount],Cash_Flow_3[Bulan],H195,Cash_Flow_3[Type],"Out")</f>
        <v>10475288</v>
      </c>
      <c r="K195" s="29">
        <f>SUMIFS(Cash_Flow_3[Amount],Cash_Flow_3[Bulan],H195,Cash_Flow_3[Type],"Out",Cash_Flow_3[Category],"Fix")</f>
        <v>2908413</v>
      </c>
      <c r="L195" s="29">
        <f>SUMIFS(Cash_Flow_3[Amount],Cash_Flow_3[Bulan],H195,Cash_Flow_3[Type],"Out",Cash_Flow_3[Category],"Bathroom")</f>
        <v>48473</v>
      </c>
      <c r="M195" s="29">
        <f>SUMIFS(Cash_Flow_3[Amount],Cash_Flow_3[Bulan],H195,Cash_Flow_3[Type],"Out",Cash_Flow_3[Category],"Alfa")</f>
        <v>775042</v>
      </c>
      <c r="N195" s="29">
        <f>SUMIFS(Cash_Flow_3[Amount],Cash_Flow_3[Bulan],H195,Cash_Flow_3[Type],"Out",Cash_Flow_3[Category],"Jajan")</f>
        <v>795099</v>
      </c>
      <c r="O195" s="29">
        <f>SUMIFS(Cash_Flow_3[Amount],Cash_Flow_3[Bulan],H195,Cash_Flow_3[Type],"Out",Cash_Flow_3[Category],"Kitchen")</f>
        <v>1003600</v>
      </c>
      <c r="P195" s="29">
        <f>SUMIFS(Cash_Flow_3[Amount],Cash_Flow_3[Bulan],H195,Cash_Flow_3[Type],"Out",Cash_Flow_3[Category],"Loandry")</f>
        <v>41000</v>
      </c>
      <c r="Q195" s="29">
        <f>SUMIFS(Cash_Flow_3[Amount],Cash_Flow_3[Bulan],H195,Cash_Flow_3[Type],"Out",Cash_Flow_3[Category],"Mio")</f>
        <v>364500</v>
      </c>
      <c r="R195" s="29">
        <f>SUMIFS(Cash_Flow_3[Amount],Cash_Flow_3[Bulan],H195,Cash_Flow_3[Type],"Out",Cash_Flow_3[Category],"Sedekah")</f>
        <v>130000</v>
      </c>
      <c r="S195" s="29">
        <f>SUMIFS(Cash_Flow_3[Amount],Cash_Flow_3[Bulan],H195,Cash_Flow_3[Type],"Out",Cash_Flow_3[Category],"Zela")</f>
        <v>215161</v>
      </c>
      <c r="T195" s="29">
        <f>SUMIFS(Cash_Flow_3[Amount],Cash_Flow_3[Bulan],H195,Cash_Flow_3[Type],"Out",Cash_Flow_3[Category],"Iqbal")</f>
        <v>160000</v>
      </c>
    </row>
    <row r="196" spans="1:20" ht="22.5" customHeight="1" x14ac:dyDescent="0.2">
      <c r="A196" s="23">
        <v>46084</v>
      </c>
      <c r="B196" s="24" t="s">
        <v>105</v>
      </c>
      <c r="C196" s="25" t="s">
        <v>46</v>
      </c>
      <c r="D196" s="25" t="s">
        <v>39</v>
      </c>
      <c r="E196" s="25" t="s">
        <v>0</v>
      </c>
      <c r="F196" s="26">
        <v>20000</v>
      </c>
      <c r="G196" s="27"/>
      <c r="H196" s="28">
        <f t="shared" si="0"/>
        <v>46082</v>
      </c>
      <c r="I196" s="29">
        <f>SUMIFS(Cash_Flow_3[Amount],Cash_Flow_3[Bulan],H196,Cash_Flow_3[Type],"In")</f>
        <v>13015393</v>
      </c>
      <c r="J196" s="29">
        <f>SUMIFS(Cash_Flow_3[Amount],Cash_Flow_3[Bulan],H196,Cash_Flow_3[Type],"Out")</f>
        <v>10475288</v>
      </c>
      <c r="K196" s="29">
        <f>SUMIFS(Cash_Flow_3[Amount],Cash_Flow_3[Bulan],H196,Cash_Flow_3[Type],"Out",Cash_Flow_3[Category],"Fix")</f>
        <v>2908413</v>
      </c>
      <c r="L196" s="29">
        <f>SUMIFS(Cash_Flow_3[Amount],Cash_Flow_3[Bulan],H196,Cash_Flow_3[Type],"Out",Cash_Flow_3[Category],"Bathroom")</f>
        <v>48473</v>
      </c>
      <c r="M196" s="29">
        <f>SUMIFS(Cash_Flow_3[Amount],Cash_Flow_3[Bulan],H196,Cash_Flow_3[Type],"Out",Cash_Flow_3[Category],"Alfa")</f>
        <v>775042</v>
      </c>
      <c r="N196" s="29">
        <f>SUMIFS(Cash_Flow_3[Amount],Cash_Flow_3[Bulan],H196,Cash_Flow_3[Type],"Out",Cash_Flow_3[Category],"Jajan")</f>
        <v>795099</v>
      </c>
      <c r="O196" s="29">
        <f>SUMIFS(Cash_Flow_3[Amount],Cash_Flow_3[Bulan],H196,Cash_Flow_3[Type],"Out",Cash_Flow_3[Category],"Kitchen")</f>
        <v>1003600</v>
      </c>
      <c r="P196" s="29">
        <f>SUMIFS(Cash_Flow_3[Amount],Cash_Flow_3[Bulan],H196,Cash_Flow_3[Type],"Out",Cash_Flow_3[Category],"Loandry")</f>
        <v>41000</v>
      </c>
      <c r="Q196" s="29">
        <f>SUMIFS(Cash_Flow_3[Amount],Cash_Flow_3[Bulan],H196,Cash_Flow_3[Type],"Out",Cash_Flow_3[Category],"Mio")</f>
        <v>364500</v>
      </c>
      <c r="R196" s="29">
        <f>SUMIFS(Cash_Flow_3[Amount],Cash_Flow_3[Bulan],H196,Cash_Flow_3[Type],"Out",Cash_Flow_3[Category],"Sedekah")</f>
        <v>130000</v>
      </c>
      <c r="S196" s="29">
        <f>SUMIFS(Cash_Flow_3[Amount],Cash_Flow_3[Bulan],H196,Cash_Flow_3[Type],"Out",Cash_Flow_3[Category],"Zela")</f>
        <v>215161</v>
      </c>
      <c r="T196" s="29">
        <f>SUMIFS(Cash_Flow_3[Amount],Cash_Flow_3[Bulan],H196,Cash_Flow_3[Type],"Out",Cash_Flow_3[Category],"Iqbal")</f>
        <v>160000</v>
      </c>
    </row>
    <row r="197" spans="1:20" ht="22.5" customHeight="1" x14ac:dyDescent="0.2">
      <c r="A197" s="23">
        <v>46084</v>
      </c>
      <c r="B197" s="24" t="s">
        <v>107</v>
      </c>
      <c r="C197" s="25" t="s">
        <v>46</v>
      </c>
      <c r="D197" s="25" t="s">
        <v>44</v>
      </c>
      <c r="E197" s="25" t="s">
        <v>6</v>
      </c>
      <c r="F197" s="26">
        <v>29000</v>
      </c>
      <c r="G197" s="27"/>
      <c r="H197" s="28">
        <f t="shared" si="0"/>
        <v>46082</v>
      </c>
      <c r="I197" s="29">
        <f>SUMIFS(Cash_Flow_3[Amount],Cash_Flow_3[Bulan],H197,Cash_Flow_3[Type],"In")</f>
        <v>13015393</v>
      </c>
      <c r="J197" s="29">
        <f>SUMIFS(Cash_Flow_3[Amount],Cash_Flow_3[Bulan],H197,Cash_Flow_3[Type],"Out")</f>
        <v>10475288</v>
      </c>
      <c r="K197" s="29">
        <f>SUMIFS(Cash_Flow_3[Amount],Cash_Flow_3[Bulan],H197,Cash_Flow_3[Type],"Out",Cash_Flow_3[Category],"Fix")</f>
        <v>2908413</v>
      </c>
      <c r="L197" s="29">
        <f>SUMIFS(Cash_Flow_3[Amount],Cash_Flow_3[Bulan],H197,Cash_Flow_3[Type],"Out",Cash_Flow_3[Category],"Bathroom")</f>
        <v>48473</v>
      </c>
      <c r="M197" s="29">
        <f>SUMIFS(Cash_Flow_3[Amount],Cash_Flow_3[Bulan],H197,Cash_Flow_3[Type],"Out",Cash_Flow_3[Category],"Alfa")</f>
        <v>775042</v>
      </c>
      <c r="N197" s="29">
        <f>SUMIFS(Cash_Flow_3[Amount],Cash_Flow_3[Bulan],H197,Cash_Flow_3[Type],"Out",Cash_Flow_3[Category],"Jajan")</f>
        <v>795099</v>
      </c>
      <c r="O197" s="29">
        <f>SUMIFS(Cash_Flow_3[Amount],Cash_Flow_3[Bulan],H197,Cash_Flow_3[Type],"Out",Cash_Flow_3[Category],"Kitchen")</f>
        <v>1003600</v>
      </c>
      <c r="P197" s="29">
        <f>SUMIFS(Cash_Flow_3[Amount],Cash_Flow_3[Bulan],H197,Cash_Flow_3[Type],"Out",Cash_Flow_3[Category],"Loandry")</f>
        <v>41000</v>
      </c>
      <c r="Q197" s="29">
        <f>SUMIFS(Cash_Flow_3[Amount],Cash_Flow_3[Bulan],H197,Cash_Flow_3[Type],"Out",Cash_Flow_3[Category],"Mio")</f>
        <v>364500</v>
      </c>
      <c r="R197" s="29">
        <f>SUMIFS(Cash_Flow_3[Amount],Cash_Flow_3[Bulan],H197,Cash_Flow_3[Type],"Out",Cash_Flow_3[Category],"Sedekah")</f>
        <v>130000</v>
      </c>
      <c r="S197" s="29">
        <f>SUMIFS(Cash_Flow_3[Amount],Cash_Flow_3[Bulan],H197,Cash_Flow_3[Type],"Out",Cash_Flow_3[Category],"Zela")</f>
        <v>215161</v>
      </c>
      <c r="T197" s="29">
        <f>SUMIFS(Cash_Flow_3[Amount],Cash_Flow_3[Bulan],H197,Cash_Flow_3[Type],"Out",Cash_Flow_3[Category],"Iqbal")</f>
        <v>160000</v>
      </c>
    </row>
    <row r="198" spans="1:20" ht="22.5" customHeight="1" x14ac:dyDescent="0.2">
      <c r="A198" s="23">
        <v>46084</v>
      </c>
      <c r="B198" s="24" t="s">
        <v>58</v>
      </c>
      <c r="C198" s="25" t="s">
        <v>43</v>
      </c>
      <c r="D198" s="25" t="s">
        <v>39</v>
      </c>
      <c r="E198" s="25" t="s">
        <v>9</v>
      </c>
      <c r="F198" s="26">
        <v>50000</v>
      </c>
      <c r="G198" s="27"/>
      <c r="H198" s="28">
        <f t="shared" si="0"/>
        <v>46082</v>
      </c>
      <c r="I198" s="29">
        <f>SUMIFS(Cash_Flow_3[Amount],Cash_Flow_3[Bulan],H198,Cash_Flow_3[Type],"In")</f>
        <v>13015393</v>
      </c>
      <c r="J198" s="29">
        <f>SUMIFS(Cash_Flow_3[Amount],Cash_Flow_3[Bulan],H198,Cash_Flow_3[Type],"Out")</f>
        <v>10475288</v>
      </c>
      <c r="K198" s="29">
        <f>SUMIFS(Cash_Flow_3[Amount],Cash_Flow_3[Bulan],H198,Cash_Flow_3[Type],"Out",Cash_Flow_3[Category],"Fix")</f>
        <v>2908413</v>
      </c>
      <c r="L198" s="29">
        <f>SUMIFS(Cash_Flow_3[Amount],Cash_Flow_3[Bulan],H198,Cash_Flow_3[Type],"Out",Cash_Flow_3[Category],"Bathroom")</f>
        <v>48473</v>
      </c>
      <c r="M198" s="29">
        <f>SUMIFS(Cash_Flow_3[Amount],Cash_Flow_3[Bulan],H198,Cash_Flow_3[Type],"Out",Cash_Flow_3[Category],"Alfa")</f>
        <v>775042</v>
      </c>
      <c r="N198" s="29">
        <f>SUMIFS(Cash_Flow_3[Amount],Cash_Flow_3[Bulan],H198,Cash_Flow_3[Type],"Out",Cash_Flow_3[Category],"Jajan")</f>
        <v>795099</v>
      </c>
      <c r="O198" s="29">
        <f>SUMIFS(Cash_Flow_3[Amount],Cash_Flow_3[Bulan],H198,Cash_Flow_3[Type],"Out",Cash_Flow_3[Category],"Kitchen")</f>
        <v>1003600</v>
      </c>
      <c r="P198" s="29">
        <f>SUMIFS(Cash_Flow_3[Amount],Cash_Flow_3[Bulan],H198,Cash_Flow_3[Type],"Out",Cash_Flow_3[Category],"Loandry")</f>
        <v>41000</v>
      </c>
      <c r="Q198" s="29">
        <f>SUMIFS(Cash_Flow_3[Amount],Cash_Flow_3[Bulan],H198,Cash_Flow_3[Type],"Out",Cash_Flow_3[Category],"Mio")</f>
        <v>364500</v>
      </c>
      <c r="R198" s="29">
        <f>SUMIFS(Cash_Flow_3[Amount],Cash_Flow_3[Bulan],H198,Cash_Flow_3[Type],"Out",Cash_Flow_3[Category],"Sedekah")</f>
        <v>130000</v>
      </c>
      <c r="S198" s="29">
        <f>SUMIFS(Cash_Flow_3[Amount],Cash_Flow_3[Bulan],H198,Cash_Flow_3[Type],"Out",Cash_Flow_3[Category],"Zela")</f>
        <v>215161</v>
      </c>
      <c r="T198" s="29">
        <f>SUMIFS(Cash_Flow_3[Amount],Cash_Flow_3[Bulan],H198,Cash_Flow_3[Type],"Out",Cash_Flow_3[Category],"Iqbal")</f>
        <v>160000</v>
      </c>
    </row>
    <row r="199" spans="1:20" ht="22.5" customHeight="1" x14ac:dyDescent="0.2">
      <c r="A199" s="23">
        <v>46084</v>
      </c>
      <c r="B199" s="24" t="s">
        <v>110</v>
      </c>
      <c r="C199" s="25" t="s">
        <v>43</v>
      </c>
      <c r="D199" s="25" t="s">
        <v>44</v>
      </c>
      <c r="E199" s="25" t="s">
        <v>0</v>
      </c>
      <c r="F199" s="26">
        <v>624137</v>
      </c>
      <c r="G199" s="27"/>
      <c r="H199" s="28">
        <f t="shared" si="0"/>
        <v>46082</v>
      </c>
      <c r="I199" s="29">
        <f>SUMIFS(Cash_Flow_3[Amount],Cash_Flow_3[Bulan],H199,Cash_Flow_3[Type],"In")</f>
        <v>13015393</v>
      </c>
      <c r="J199" s="29">
        <f>SUMIFS(Cash_Flow_3[Amount],Cash_Flow_3[Bulan],H199,Cash_Flow_3[Type],"Out")</f>
        <v>10475288</v>
      </c>
      <c r="K199" s="29">
        <f>SUMIFS(Cash_Flow_3[Amount],Cash_Flow_3[Bulan],H199,Cash_Flow_3[Type],"Out",Cash_Flow_3[Category],"Fix")</f>
        <v>2908413</v>
      </c>
      <c r="L199" s="29">
        <f>SUMIFS(Cash_Flow_3[Amount],Cash_Flow_3[Bulan],H199,Cash_Flow_3[Type],"Out",Cash_Flow_3[Category],"Bathroom")</f>
        <v>48473</v>
      </c>
      <c r="M199" s="29">
        <f>SUMIFS(Cash_Flow_3[Amount],Cash_Flow_3[Bulan],H199,Cash_Flow_3[Type],"Out",Cash_Flow_3[Category],"Alfa")</f>
        <v>775042</v>
      </c>
      <c r="N199" s="29">
        <f>SUMIFS(Cash_Flow_3[Amount],Cash_Flow_3[Bulan],H199,Cash_Flow_3[Type],"Out",Cash_Flow_3[Category],"Jajan")</f>
        <v>795099</v>
      </c>
      <c r="O199" s="29">
        <f>SUMIFS(Cash_Flow_3[Amount],Cash_Flow_3[Bulan],H199,Cash_Flow_3[Type],"Out",Cash_Flow_3[Category],"Kitchen")</f>
        <v>1003600</v>
      </c>
      <c r="P199" s="29">
        <f>SUMIFS(Cash_Flow_3[Amount],Cash_Flow_3[Bulan],H199,Cash_Flow_3[Type],"Out",Cash_Flow_3[Category],"Loandry")</f>
        <v>41000</v>
      </c>
      <c r="Q199" s="29">
        <f>SUMIFS(Cash_Flow_3[Amount],Cash_Flow_3[Bulan],H199,Cash_Flow_3[Type],"Out",Cash_Flow_3[Category],"Mio")</f>
        <v>364500</v>
      </c>
      <c r="R199" s="29">
        <f>SUMIFS(Cash_Flow_3[Amount],Cash_Flow_3[Bulan],H199,Cash_Flow_3[Type],"Out",Cash_Flow_3[Category],"Sedekah")</f>
        <v>130000</v>
      </c>
      <c r="S199" s="29">
        <f>SUMIFS(Cash_Flow_3[Amount],Cash_Flow_3[Bulan],H199,Cash_Flow_3[Type],"Out",Cash_Flow_3[Category],"Zela")</f>
        <v>215161</v>
      </c>
      <c r="T199" s="29">
        <f>SUMIFS(Cash_Flow_3[Amount],Cash_Flow_3[Bulan],H199,Cash_Flow_3[Type],"Out",Cash_Flow_3[Category],"Iqbal")</f>
        <v>160000</v>
      </c>
    </row>
    <row r="200" spans="1:20" ht="22.5" customHeight="1" x14ac:dyDescent="0.2">
      <c r="A200" s="23">
        <v>46084</v>
      </c>
      <c r="B200" s="24" t="s">
        <v>112</v>
      </c>
      <c r="C200" s="25" t="s">
        <v>43</v>
      </c>
      <c r="D200" s="25" t="s">
        <v>44</v>
      </c>
      <c r="E200" s="25" t="s">
        <v>0</v>
      </c>
      <c r="F200" s="26">
        <v>279187</v>
      </c>
      <c r="G200" s="27"/>
      <c r="H200" s="28">
        <f t="shared" si="0"/>
        <v>46082</v>
      </c>
      <c r="I200" s="29">
        <f>SUMIFS(Cash_Flow_3[Amount],Cash_Flow_3[Bulan],H200,Cash_Flow_3[Type],"In")</f>
        <v>13015393</v>
      </c>
      <c r="J200" s="29">
        <f>SUMIFS(Cash_Flow_3[Amount],Cash_Flow_3[Bulan],H200,Cash_Flow_3[Type],"Out")</f>
        <v>10475288</v>
      </c>
      <c r="K200" s="29">
        <f>SUMIFS(Cash_Flow_3[Amount],Cash_Flow_3[Bulan],H200,Cash_Flow_3[Type],"Out",Cash_Flow_3[Category],"Fix")</f>
        <v>2908413</v>
      </c>
      <c r="L200" s="29">
        <f>SUMIFS(Cash_Flow_3[Amount],Cash_Flow_3[Bulan],H200,Cash_Flow_3[Type],"Out",Cash_Flow_3[Category],"Bathroom")</f>
        <v>48473</v>
      </c>
      <c r="M200" s="29">
        <f>SUMIFS(Cash_Flow_3[Amount],Cash_Flow_3[Bulan],H200,Cash_Flow_3[Type],"Out",Cash_Flow_3[Category],"Alfa")</f>
        <v>775042</v>
      </c>
      <c r="N200" s="29">
        <f>SUMIFS(Cash_Flow_3[Amount],Cash_Flow_3[Bulan],H200,Cash_Flow_3[Type],"Out",Cash_Flow_3[Category],"Jajan")</f>
        <v>795099</v>
      </c>
      <c r="O200" s="29">
        <f>SUMIFS(Cash_Flow_3[Amount],Cash_Flow_3[Bulan],H200,Cash_Flow_3[Type],"Out",Cash_Flow_3[Category],"Kitchen")</f>
        <v>1003600</v>
      </c>
      <c r="P200" s="29">
        <f>SUMIFS(Cash_Flow_3[Amount],Cash_Flow_3[Bulan],H200,Cash_Flow_3[Type],"Out",Cash_Flow_3[Category],"Loandry")</f>
        <v>41000</v>
      </c>
      <c r="Q200" s="29">
        <f>SUMIFS(Cash_Flow_3[Amount],Cash_Flow_3[Bulan],H200,Cash_Flow_3[Type],"Out",Cash_Flow_3[Category],"Mio")</f>
        <v>364500</v>
      </c>
      <c r="R200" s="29">
        <f>SUMIFS(Cash_Flow_3[Amount],Cash_Flow_3[Bulan],H200,Cash_Flow_3[Type],"Out",Cash_Flow_3[Category],"Sedekah")</f>
        <v>130000</v>
      </c>
      <c r="S200" s="29">
        <f>SUMIFS(Cash_Flow_3[Amount],Cash_Flow_3[Bulan],H200,Cash_Flow_3[Type],"Out",Cash_Flow_3[Category],"Zela")</f>
        <v>215161</v>
      </c>
      <c r="T200" s="29">
        <f>SUMIFS(Cash_Flow_3[Amount],Cash_Flow_3[Bulan],H200,Cash_Flow_3[Type],"Out",Cash_Flow_3[Category],"Iqbal")</f>
        <v>160000</v>
      </c>
    </row>
    <row r="201" spans="1:20" ht="22.5" customHeight="1" x14ac:dyDescent="0.2">
      <c r="A201" s="23">
        <v>46084</v>
      </c>
      <c r="B201" s="24" t="s">
        <v>114</v>
      </c>
      <c r="C201" s="25" t="s">
        <v>43</v>
      </c>
      <c r="D201" s="25" t="s">
        <v>44</v>
      </c>
      <c r="E201" s="25" t="s">
        <v>0</v>
      </c>
      <c r="F201" s="26">
        <v>73682</v>
      </c>
      <c r="G201" s="27"/>
      <c r="H201" s="28">
        <f t="shared" si="0"/>
        <v>46082</v>
      </c>
      <c r="I201" s="29">
        <f>SUMIFS(Cash_Flow_3[Amount],Cash_Flow_3[Bulan],H201,Cash_Flow_3[Type],"In")</f>
        <v>13015393</v>
      </c>
      <c r="J201" s="29">
        <f>SUMIFS(Cash_Flow_3[Amount],Cash_Flow_3[Bulan],H201,Cash_Flow_3[Type],"Out")</f>
        <v>10475288</v>
      </c>
      <c r="K201" s="29">
        <f>SUMIFS(Cash_Flow_3[Amount],Cash_Flow_3[Bulan],H201,Cash_Flow_3[Type],"Out",Cash_Flow_3[Category],"Fix")</f>
        <v>2908413</v>
      </c>
      <c r="L201" s="29">
        <f>SUMIFS(Cash_Flow_3[Amount],Cash_Flow_3[Bulan],H201,Cash_Flow_3[Type],"Out",Cash_Flow_3[Category],"Bathroom")</f>
        <v>48473</v>
      </c>
      <c r="M201" s="29">
        <f>SUMIFS(Cash_Flow_3[Amount],Cash_Flow_3[Bulan],H201,Cash_Flow_3[Type],"Out",Cash_Flow_3[Category],"Alfa")</f>
        <v>775042</v>
      </c>
      <c r="N201" s="29">
        <f>SUMIFS(Cash_Flow_3[Amount],Cash_Flow_3[Bulan],H201,Cash_Flow_3[Type],"Out",Cash_Flow_3[Category],"Jajan")</f>
        <v>795099</v>
      </c>
      <c r="O201" s="29">
        <f>SUMIFS(Cash_Flow_3[Amount],Cash_Flow_3[Bulan],H201,Cash_Flow_3[Type],"Out",Cash_Flow_3[Category],"Kitchen")</f>
        <v>1003600</v>
      </c>
      <c r="P201" s="29">
        <f>SUMIFS(Cash_Flow_3[Amount],Cash_Flow_3[Bulan],H201,Cash_Flow_3[Type],"Out",Cash_Flow_3[Category],"Loandry")</f>
        <v>41000</v>
      </c>
      <c r="Q201" s="29">
        <f>SUMIFS(Cash_Flow_3[Amount],Cash_Flow_3[Bulan],H201,Cash_Flow_3[Type],"Out",Cash_Flow_3[Category],"Mio")</f>
        <v>364500</v>
      </c>
      <c r="R201" s="29">
        <f>SUMIFS(Cash_Flow_3[Amount],Cash_Flow_3[Bulan],H201,Cash_Flow_3[Type],"Out",Cash_Flow_3[Category],"Sedekah")</f>
        <v>130000</v>
      </c>
      <c r="S201" s="29">
        <f>SUMIFS(Cash_Flow_3[Amount],Cash_Flow_3[Bulan],H201,Cash_Flow_3[Type],"Out",Cash_Flow_3[Category],"Zela")</f>
        <v>215161</v>
      </c>
      <c r="T201" s="29">
        <f>SUMIFS(Cash_Flow_3[Amount],Cash_Flow_3[Bulan],H201,Cash_Flow_3[Type],"Out",Cash_Flow_3[Category],"Iqbal")</f>
        <v>160000</v>
      </c>
    </row>
    <row r="202" spans="1:20" ht="22.5" customHeight="1" x14ac:dyDescent="0.2">
      <c r="A202" s="23">
        <v>46086</v>
      </c>
      <c r="B202" s="24" t="s">
        <v>944</v>
      </c>
      <c r="C202" s="25" t="s">
        <v>43</v>
      </c>
      <c r="D202" s="25" t="s">
        <v>44</v>
      </c>
      <c r="E202" s="25" t="s">
        <v>0</v>
      </c>
      <c r="F202" s="26">
        <v>1000416</v>
      </c>
      <c r="G202" s="27"/>
      <c r="H202" s="28">
        <f t="shared" si="0"/>
        <v>46082</v>
      </c>
      <c r="I202" s="29">
        <f>SUMIFS(Cash_Flow_3[Amount],Cash_Flow_3[Bulan],H202,Cash_Flow_3[Type],"In")</f>
        <v>13015393</v>
      </c>
      <c r="J202" s="29">
        <f>SUMIFS(Cash_Flow_3[Amount],Cash_Flow_3[Bulan],H202,Cash_Flow_3[Type],"Out")</f>
        <v>10475288</v>
      </c>
      <c r="K202" s="29">
        <f>SUMIFS(Cash_Flow_3[Amount],Cash_Flow_3[Bulan],H202,Cash_Flow_3[Type],"Out",Cash_Flow_3[Category],"Fix")</f>
        <v>2908413</v>
      </c>
      <c r="L202" s="29">
        <f>SUMIFS(Cash_Flow_3[Amount],Cash_Flow_3[Bulan],H202,Cash_Flow_3[Type],"Out",Cash_Flow_3[Category],"Bathroom")</f>
        <v>48473</v>
      </c>
      <c r="M202" s="29">
        <f>SUMIFS(Cash_Flow_3[Amount],Cash_Flow_3[Bulan],H202,Cash_Flow_3[Type],"Out",Cash_Flow_3[Category],"Alfa")</f>
        <v>775042</v>
      </c>
      <c r="N202" s="29">
        <f>SUMIFS(Cash_Flow_3[Amount],Cash_Flow_3[Bulan],H202,Cash_Flow_3[Type],"Out",Cash_Flow_3[Category],"Jajan")</f>
        <v>795099</v>
      </c>
      <c r="O202" s="29">
        <f>SUMIFS(Cash_Flow_3[Amount],Cash_Flow_3[Bulan],H202,Cash_Flow_3[Type],"Out",Cash_Flow_3[Category],"Kitchen")</f>
        <v>1003600</v>
      </c>
      <c r="P202" s="29">
        <f>SUMIFS(Cash_Flow_3[Amount],Cash_Flow_3[Bulan],H202,Cash_Flow_3[Type],"Out",Cash_Flow_3[Category],"Loandry")</f>
        <v>41000</v>
      </c>
      <c r="Q202" s="29">
        <f>SUMIFS(Cash_Flow_3[Amount],Cash_Flow_3[Bulan],H202,Cash_Flow_3[Type],"Out",Cash_Flow_3[Category],"Mio")</f>
        <v>364500</v>
      </c>
      <c r="R202" s="29">
        <f>SUMIFS(Cash_Flow_3[Amount],Cash_Flow_3[Bulan],H202,Cash_Flow_3[Type],"Out",Cash_Flow_3[Category],"Sedekah")</f>
        <v>130000</v>
      </c>
      <c r="S202" s="29">
        <f>SUMIFS(Cash_Flow_3[Amount],Cash_Flow_3[Bulan],H202,Cash_Flow_3[Type],"Out",Cash_Flow_3[Category],"Zela")</f>
        <v>215161</v>
      </c>
      <c r="T202" s="29">
        <f>SUMIFS(Cash_Flow_3[Amount],Cash_Flow_3[Bulan],H202,Cash_Flow_3[Type],"Out",Cash_Flow_3[Category],"Iqbal")</f>
        <v>160000</v>
      </c>
    </row>
    <row r="203" spans="1:20" ht="22.5" customHeight="1" x14ac:dyDescent="0.2">
      <c r="A203" s="23">
        <v>46086</v>
      </c>
      <c r="B203" s="24" t="s">
        <v>945</v>
      </c>
      <c r="C203" s="25" t="s">
        <v>43</v>
      </c>
      <c r="D203" s="25" t="s">
        <v>44</v>
      </c>
      <c r="E203" s="25" t="s">
        <v>0</v>
      </c>
      <c r="F203" s="26">
        <v>75000</v>
      </c>
      <c r="G203" s="27"/>
      <c r="H203" s="28">
        <f t="shared" si="0"/>
        <v>46082</v>
      </c>
      <c r="I203" s="29">
        <f>SUMIFS(Cash_Flow_3[Amount],Cash_Flow_3[Bulan],H203,Cash_Flow_3[Type],"In")</f>
        <v>13015393</v>
      </c>
      <c r="J203" s="29">
        <f>SUMIFS(Cash_Flow_3[Amount],Cash_Flow_3[Bulan],H203,Cash_Flow_3[Type],"Out")</f>
        <v>10475288</v>
      </c>
      <c r="K203" s="29">
        <f>SUMIFS(Cash_Flow_3[Amount],Cash_Flow_3[Bulan],H203,Cash_Flow_3[Type],"Out",Cash_Flow_3[Category],"Fix")</f>
        <v>2908413</v>
      </c>
      <c r="L203" s="29">
        <f>SUMIFS(Cash_Flow_3[Amount],Cash_Flow_3[Bulan],H203,Cash_Flow_3[Type],"Out",Cash_Flow_3[Category],"Bathroom")</f>
        <v>48473</v>
      </c>
      <c r="M203" s="29">
        <f>SUMIFS(Cash_Flow_3[Amount],Cash_Flow_3[Bulan],H203,Cash_Flow_3[Type],"Out",Cash_Flow_3[Category],"Alfa")</f>
        <v>775042</v>
      </c>
      <c r="N203" s="29">
        <f>SUMIFS(Cash_Flow_3[Amount],Cash_Flow_3[Bulan],H203,Cash_Flow_3[Type],"Out",Cash_Flow_3[Category],"Jajan")</f>
        <v>795099</v>
      </c>
      <c r="O203" s="29">
        <f>SUMIFS(Cash_Flow_3[Amount],Cash_Flow_3[Bulan],H203,Cash_Flow_3[Type],"Out",Cash_Flow_3[Category],"Kitchen")</f>
        <v>1003600</v>
      </c>
      <c r="P203" s="29">
        <f>SUMIFS(Cash_Flow_3[Amount],Cash_Flow_3[Bulan],H203,Cash_Flow_3[Type],"Out",Cash_Flow_3[Category],"Loandry")</f>
        <v>41000</v>
      </c>
      <c r="Q203" s="29">
        <f>SUMIFS(Cash_Flow_3[Amount],Cash_Flow_3[Bulan],H203,Cash_Flow_3[Type],"Out",Cash_Flow_3[Category],"Mio")</f>
        <v>364500</v>
      </c>
      <c r="R203" s="29">
        <f>SUMIFS(Cash_Flow_3[Amount],Cash_Flow_3[Bulan],H203,Cash_Flow_3[Type],"Out",Cash_Flow_3[Category],"Sedekah")</f>
        <v>130000</v>
      </c>
      <c r="S203" s="29">
        <f>SUMIFS(Cash_Flow_3[Amount],Cash_Flow_3[Bulan],H203,Cash_Flow_3[Type],"Out",Cash_Flow_3[Category],"Zela")</f>
        <v>215161</v>
      </c>
      <c r="T203" s="29">
        <f>SUMIFS(Cash_Flow_3[Amount],Cash_Flow_3[Bulan],H203,Cash_Flow_3[Type],"Out",Cash_Flow_3[Category],"Iqbal")</f>
        <v>160000</v>
      </c>
    </row>
    <row r="204" spans="1:20" ht="22.5" customHeight="1" x14ac:dyDescent="0.2">
      <c r="A204" s="23">
        <v>46085</v>
      </c>
      <c r="B204" s="24" t="s">
        <v>18</v>
      </c>
      <c r="C204" s="25" t="s">
        <v>43</v>
      </c>
      <c r="D204" s="25" t="s">
        <v>44</v>
      </c>
      <c r="E204" s="25" t="s">
        <v>8</v>
      </c>
      <c r="F204" s="26">
        <v>15000</v>
      </c>
      <c r="G204" s="27"/>
      <c r="H204" s="28">
        <f t="shared" si="0"/>
        <v>46082</v>
      </c>
      <c r="I204" s="29">
        <f>SUMIFS(Cash_Flow_3[Amount],Cash_Flow_3[Bulan],H204,Cash_Flow_3[Type],"In")</f>
        <v>13015393</v>
      </c>
      <c r="J204" s="29">
        <f>SUMIFS(Cash_Flow_3[Amount],Cash_Flow_3[Bulan],H204,Cash_Flow_3[Type],"Out")</f>
        <v>10475288</v>
      </c>
      <c r="K204" s="29">
        <f>SUMIFS(Cash_Flow_3[Amount],Cash_Flow_3[Bulan],H204,Cash_Flow_3[Type],"Out",Cash_Flow_3[Category],"Fix")</f>
        <v>2908413</v>
      </c>
      <c r="L204" s="29">
        <f>SUMIFS(Cash_Flow_3[Amount],Cash_Flow_3[Bulan],H204,Cash_Flow_3[Type],"Out",Cash_Flow_3[Category],"Bathroom")</f>
        <v>48473</v>
      </c>
      <c r="M204" s="29">
        <f>SUMIFS(Cash_Flow_3[Amount],Cash_Flow_3[Bulan],H204,Cash_Flow_3[Type],"Out",Cash_Flow_3[Category],"Alfa")</f>
        <v>775042</v>
      </c>
      <c r="N204" s="29">
        <f>SUMIFS(Cash_Flow_3[Amount],Cash_Flow_3[Bulan],H204,Cash_Flow_3[Type],"Out",Cash_Flow_3[Category],"Jajan")</f>
        <v>795099</v>
      </c>
      <c r="O204" s="29">
        <f>SUMIFS(Cash_Flow_3[Amount],Cash_Flow_3[Bulan],H204,Cash_Flow_3[Type],"Out",Cash_Flow_3[Category],"Kitchen")</f>
        <v>1003600</v>
      </c>
      <c r="P204" s="29">
        <f>SUMIFS(Cash_Flow_3[Amount],Cash_Flow_3[Bulan],H204,Cash_Flow_3[Type],"Out",Cash_Flow_3[Category],"Loandry")</f>
        <v>41000</v>
      </c>
      <c r="Q204" s="29">
        <f>SUMIFS(Cash_Flow_3[Amount],Cash_Flow_3[Bulan],H204,Cash_Flow_3[Type],"Out",Cash_Flow_3[Category],"Mio")</f>
        <v>364500</v>
      </c>
      <c r="R204" s="29">
        <f>SUMIFS(Cash_Flow_3[Amount],Cash_Flow_3[Bulan],H204,Cash_Flow_3[Type],"Out",Cash_Flow_3[Category],"Sedekah")</f>
        <v>130000</v>
      </c>
      <c r="S204" s="29">
        <f>SUMIFS(Cash_Flow_3[Amount],Cash_Flow_3[Bulan],H204,Cash_Flow_3[Type],"Out",Cash_Flow_3[Category],"Zela")</f>
        <v>215161</v>
      </c>
      <c r="T204" s="29">
        <f>SUMIFS(Cash_Flow_3[Amount],Cash_Flow_3[Bulan],H204,Cash_Flow_3[Type],"Out",Cash_Flow_3[Category],"Iqbal")</f>
        <v>160000</v>
      </c>
    </row>
    <row r="205" spans="1:20" ht="22.5" customHeight="1" x14ac:dyDescent="0.2">
      <c r="A205" s="23">
        <v>46086</v>
      </c>
      <c r="B205" s="24" t="s">
        <v>88</v>
      </c>
      <c r="C205" s="25" t="s">
        <v>43</v>
      </c>
      <c r="D205" s="25" t="s">
        <v>44</v>
      </c>
      <c r="E205" s="25" t="s">
        <v>2</v>
      </c>
      <c r="F205" s="26">
        <v>10000</v>
      </c>
      <c r="G205" s="27"/>
      <c r="H205" s="28">
        <f t="shared" si="0"/>
        <v>46082</v>
      </c>
      <c r="I205" s="29">
        <f>SUMIFS(Cash_Flow_3[Amount],Cash_Flow_3[Bulan],H205,Cash_Flow_3[Type],"In")</f>
        <v>13015393</v>
      </c>
      <c r="J205" s="29">
        <f>SUMIFS(Cash_Flow_3[Amount],Cash_Flow_3[Bulan],H205,Cash_Flow_3[Type],"Out")</f>
        <v>10475288</v>
      </c>
      <c r="K205" s="29">
        <f>SUMIFS(Cash_Flow_3[Amount],Cash_Flow_3[Bulan],H205,Cash_Flow_3[Type],"Out",Cash_Flow_3[Category],"Fix")</f>
        <v>2908413</v>
      </c>
      <c r="L205" s="29">
        <f>SUMIFS(Cash_Flow_3[Amount],Cash_Flow_3[Bulan],H205,Cash_Flow_3[Type],"Out",Cash_Flow_3[Category],"Bathroom")</f>
        <v>48473</v>
      </c>
      <c r="M205" s="29">
        <f>SUMIFS(Cash_Flow_3[Amount],Cash_Flow_3[Bulan],H205,Cash_Flow_3[Type],"Out",Cash_Flow_3[Category],"Alfa")</f>
        <v>775042</v>
      </c>
      <c r="N205" s="29">
        <f>SUMIFS(Cash_Flow_3[Amount],Cash_Flow_3[Bulan],H205,Cash_Flow_3[Type],"Out",Cash_Flow_3[Category],"Jajan")</f>
        <v>795099</v>
      </c>
      <c r="O205" s="29">
        <f>SUMIFS(Cash_Flow_3[Amount],Cash_Flow_3[Bulan],H205,Cash_Flow_3[Type],"Out",Cash_Flow_3[Category],"Kitchen")</f>
        <v>1003600</v>
      </c>
      <c r="P205" s="29">
        <f>SUMIFS(Cash_Flow_3[Amount],Cash_Flow_3[Bulan],H205,Cash_Flow_3[Type],"Out",Cash_Flow_3[Category],"Loandry")</f>
        <v>41000</v>
      </c>
      <c r="Q205" s="29">
        <f>SUMIFS(Cash_Flow_3[Amount],Cash_Flow_3[Bulan],H205,Cash_Flow_3[Type],"Out",Cash_Flow_3[Category],"Mio")</f>
        <v>364500</v>
      </c>
      <c r="R205" s="29">
        <f>SUMIFS(Cash_Flow_3[Amount],Cash_Flow_3[Bulan],H205,Cash_Flow_3[Type],"Out",Cash_Flow_3[Category],"Sedekah")</f>
        <v>130000</v>
      </c>
      <c r="S205" s="29">
        <f>SUMIFS(Cash_Flow_3[Amount],Cash_Flow_3[Bulan],H205,Cash_Flow_3[Type],"Out",Cash_Flow_3[Category],"Zela")</f>
        <v>215161</v>
      </c>
      <c r="T205" s="29">
        <f>SUMIFS(Cash_Flow_3[Amount],Cash_Flow_3[Bulan],H205,Cash_Flow_3[Type],"Out",Cash_Flow_3[Category],"Iqbal")</f>
        <v>160000</v>
      </c>
    </row>
    <row r="206" spans="1:20" ht="22.5" customHeight="1" x14ac:dyDescent="0.2">
      <c r="A206" s="23">
        <v>46087</v>
      </c>
      <c r="B206" s="24" t="s">
        <v>120</v>
      </c>
      <c r="C206" s="25" t="s">
        <v>43</v>
      </c>
      <c r="D206" s="25" t="s">
        <v>44</v>
      </c>
      <c r="E206" s="25" t="s">
        <v>0</v>
      </c>
      <c r="F206" s="26">
        <v>201750</v>
      </c>
      <c r="G206" s="27"/>
      <c r="H206" s="28">
        <f t="shared" si="0"/>
        <v>46082</v>
      </c>
      <c r="I206" s="29">
        <f>SUMIFS(Cash_Flow_3[Amount],Cash_Flow_3[Bulan],H206,Cash_Flow_3[Type],"In")</f>
        <v>13015393</v>
      </c>
      <c r="J206" s="29">
        <f>SUMIFS(Cash_Flow_3[Amount],Cash_Flow_3[Bulan],H206,Cash_Flow_3[Type],"Out")</f>
        <v>10475288</v>
      </c>
      <c r="K206" s="29">
        <f>SUMIFS(Cash_Flow_3[Amount],Cash_Flow_3[Bulan],H206,Cash_Flow_3[Type],"Out",Cash_Flow_3[Category],"Fix")</f>
        <v>2908413</v>
      </c>
      <c r="L206" s="29">
        <f>SUMIFS(Cash_Flow_3[Amount],Cash_Flow_3[Bulan],H206,Cash_Flow_3[Type],"Out",Cash_Flow_3[Category],"Bathroom")</f>
        <v>48473</v>
      </c>
      <c r="M206" s="29">
        <f>SUMIFS(Cash_Flow_3[Amount],Cash_Flow_3[Bulan],H206,Cash_Flow_3[Type],"Out",Cash_Flow_3[Category],"Alfa")</f>
        <v>775042</v>
      </c>
      <c r="N206" s="29">
        <f>SUMIFS(Cash_Flow_3[Amount],Cash_Flow_3[Bulan],H206,Cash_Flow_3[Type],"Out",Cash_Flow_3[Category],"Jajan")</f>
        <v>795099</v>
      </c>
      <c r="O206" s="29">
        <f>SUMIFS(Cash_Flow_3[Amount],Cash_Flow_3[Bulan],H206,Cash_Flow_3[Type],"Out",Cash_Flow_3[Category],"Kitchen")</f>
        <v>1003600</v>
      </c>
      <c r="P206" s="29">
        <f>SUMIFS(Cash_Flow_3[Amount],Cash_Flow_3[Bulan],H206,Cash_Flow_3[Type],"Out",Cash_Flow_3[Category],"Loandry")</f>
        <v>41000</v>
      </c>
      <c r="Q206" s="29">
        <f>SUMIFS(Cash_Flow_3[Amount],Cash_Flow_3[Bulan],H206,Cash_Flow_3[Type],"Out",Cash_Flow_3[Category],"Mio")</f>
        <v>364500</v>
      </c>
      <c r="R206" s="29">
        <f>SUMIFS(Cash_Flow_3[Amount],Cash_Flow_3[Bulan],H206,Cash_Flow_3[Type],"Out",Cash_Flow_3[Category],"Sedekah")</f>
        <v>130000</v>
      </c>
      <c r="S206" s="29">
        <f>SUMIFS(Cash_Flow_3[Amount],Cash_Flow_3[Bulan],H206,Cash_Flow_3[Type],"Out",Cash_Flow_3[Category],"Zela")</f>
        <v>215161</v>
      </c>
      <c r="T206" s="29">
        <f>SUMIFS(Cash_Flow_3[Amount],Cash_Flow_3[Bulan],H206,Cash_Flow_3[Type],"Out",Cash_Flow_3[Category],"Iqbal")</f>
        <v>160000</v>
      </c>
    </row>
    <row r="207" spans="1:20" ht="22.5" customHeight="1" x14ac:dyDescent="0.2">
      <c r="A207" s="23">
        <v>46087</v>
      </c>
      <c r="B207" s="24" t="s">
        <v>18</v>
      </c>
      <c r="C207" s="25" t="s">
        <v>43</v>
      </c>
      <c r="D207" s="25" t="s">
        <v>44</v>
      </c>
      <c r="E207" s="25" t="s">
        <v>8</v>
      </c>
      <c r="F207" s="26">
        <v>15000</v>
      </c>
      <c r="G207" s="27"/>
      <c r="H207" s="28">
        <f t="shared" si="0"/>
        <v>46082</v>
      </c>
      <c r="I207" s="29">
        <f>SUMIFS(Cash_Flow_3[Amount],Cash_Flow_3[Bulan],H207,Cash_Flow_3[Type],"In")</f>
        <v>13015393</v>
      </c>
      <c r="J207" s="29">
        <f>SUMIFS(Cash_Flow_3[Amount],Cash_Flow_3[Bulan],H207,Cash_Flow_3[Type],"Out")</f>
        <v>10475288</v>
      </c>
      <c r="K207" s="29">
        <f>SUMIFS(Cash_Flow_3[Amount],Cash_Flow_3[Bulan],H207,Cash_Flow_3[Type],"Out",Cash_Flow_3[Category],"Fix")</f>
        <v>2908413</v>
      </c>
      <c r="L207" s="29">
        <f>SUMIFS(Cash_Flow_3[Amount],Cash_Flow_3[Bulan],H207,Cash_Flow_3[Type],"Out",Cash_Flow_3[Category],"Bathroom")</f>
        <v>48473</v>
      </c>
      <c r="M207" s="29">
        <f>SUMIFS(Cash_Flow_3[Amount],Cash_Flow_3[Bulan],H207,Cash_Flow_3[Type],"Out",Cash_Flow_3[Category],"Alfa")</f>
        <v>775042</v>
      </c>
      <c r="N207" s="29">
        <f>SUMIFS(Cash_Flow_3[Amount],Cash_Flow_3[Bulan],H207,Cash_Flow_3[Type],"Out",Cash_Flow_3[Category],"Jajan")</f>
        <v>795099</v>
      </c>
      <c r="O207" s="29">
        <f>SUMIFS(Cash_Flow_3[Amount],Cash_Flow_3[Bulan],H207,Cash_Flow_3[Type],"Out",Cash_Flow_3[Category],"Kitchen")</f>
        <v>1003600</v>
      </c>
      <c r="P207" s="29">
        <f>SUMIFS(Cash_Flow_3[Amount],Cash_Flow_3[Bulan],H207,Cash_Flow_3[Type],"Out",Cash_Flow_3[Category],"Loandry")</f>
        <v>41000</v>
      </c>
      <c r="Q207" s="29">
        <f>SUMIFS(Cash_Flow_3[Amount],Cash_Flow_3[Bulan],H207,Cash_Flow_3[Type],"Out",Cash_Flow_3[Category],"Mio")</f>
        <v>364500</v>
      </c>
      <c r="R207" s="29">
        <f>SUMIFS(Cash_Flow_3[Amount],Cash_Flow_3[Bulan],H207,Cash_Flow_3[Type],"Out",Cash_Flow_3[Category],"Sedekah")</f>
        <v>130000</v>
      </c>
      <c r="S207" s="29">
        <f>SUMIFS(Cash_Flow_3[Amount],Cash_Flow_3[Bulan],H207,Cash_Flow_3[Type],"Out",Cash_Flow_3[Category],"Zela")</f>
        <v>215161</v>
      </c>
      <c r="T207" s="29">
        <f>SUMIFS(Cash_Flow_3[Amount],Cash_Flow_3[Bulan],H207,Cash_Flow_3[Type],"Out",Cash_Flow_3[Category],"Iqbal")</f>
        <v>160000</v>
      </c>
    </row>
    <row r="208" spans="1:20" ht="22.5" customHeight="1" x14ac:dyDescent="0.2">
      <c r="A208" s="23">
        <v>46087</v>
      </c>
      <c r="B208" s="24" t="s">
        <v>76</v>
      </c>
      <c r="C208" s="25" t="s">
        <v>43</v>
      </c>
      <c r="D208" s="25" t="s">
        <v>44</v>
      </c>
      <c r="E208" s="25" t="s">
        <v>9</v>
      </c>
      <c r="F208" s="26">
        <v>50000</v>
      </c>
      <c r="G208" s="27"/>
      <c r="H208" s="28">
        <f t="shared" si="0"/>
        <v>46082</v>
      </c>
      <c r="I208" s="29">
        <f>SUMIFS(Cash_Flow_3[Amount],Cash_Flow_3[Bulan],H208,Cash_Flow_3[Type],"In")</f>
        <v>13015393</v>
      </c>
      <c r="J208" s="29">
        <f>SUMIFS(Cash_Flow_3[Amount],Cash_Flow_3[Bulan],H208,Cash_Flow_3[Type],"Out")</f>
        <v>10475288</v>
      </c>
      <c r="K208" s="29">
        <f>SUMIFS(Cash_Flow_3[Amount],Cash_Flow_3[Bulan],H208,Cash_Flow_3[Type],"Out",Cash_Flow_3[Category],"Fix")</f>
        <v>2908413</v>
      </c>
      <c r="L208" s="29">
        <f>SUMIFS(Cash_Flow_3[Amount],Cash_Flow_3[Bulan],H208,Cash_Flow_3[Type],"Out",Cash_Flow_3[Category],"Bathroom")</f>
        <v>48473</v>
      </c>
      <c r="M208" s="29">
        <f>SUMIFS(Cash_Flow_3[Amount],Cash_Flow_3[Bulan],H208,Cash_Flow_3[Type],"Out",Cash_Flow_3[Category],"Alfa")</f>
        <v>775042</v>
      </c>
      <c r="N208" s="29">
        <f>SUMIFS(Cash_Flow_3[Amount],Cash_Flow_3[Bulan],H208,Cash_Flow_3[Type],"Out",Cash_Flow_3[Category],"Jajan")</f>
        <v>795099</v>
      </c>
      <c r="O208" s="29">
        <f>SUMIFS(Cash_Flow_3[Amount],Cash_Flow_3[Bulan],H208,Cash_Flow_3[Type],"Out",Cash_Flow_3[Category],"Kitchen")</f>
        <v>1003600</v>
      </c>
      <c r="P208" s="29">
        <f>SUMIFS(Cash_Flow_3[Amount],Cash_Flow_3[Bulan],H208,Cash_Flow_3[Type],"Out",Cash_Flow_3[Category],"Loandry")</f>
        <v>41000</v>
      </c>
      <c r="Q208" s="29">
        <f>SUMIFS(Cash_Flow_3[Amount],Cash_Flow_3[Bulan],H208,Cash_Flow_3[Type],"Out",Cash_Flow_3[Category],"Mio")</f>
        <v>364500</v>
      </c>
      <c r="R208" s="29">
        <f>SUMIFS(Cash_Flow_3[Amount],Cash_Flow_3[Bulan],H208,Cash_Flow_3[Type],"Out",Cash_Flow_3[Category],"Sedekah")</f>
        <v>130000</v>
      </c>
      <c r="S208" s="29">
        <f>SUMIFS(Cash_Flow_3[Amount],Cash_Flow_3[Bulan],H208,Cash_Flow_3[Type],"Out",Cash_Flow_3[Category],"Zela")</f>
        <v>215161</v>
      </c>
      <c r="T208" s="29">
        <f>SUMIFS(Cash_Flow_3[Amount],Cash_Flow_3[Bulan],H208,Cash_Flow_3[Type],"Out",Cash_Flow_3[Category],"Iqbal")</f>
        <v>160000</v>
      </c>
    </row>
    <row r="209" spans="1:20" ht="22.5" customHeight="1" x14ac:dyDescent="0.2">
      <c r="A209" s="23">
        <v>46087</v>
      </c>
      <c r="B209" s="24" t="s">
        <v>78</v>
      </c>
      <c r="C209" s="25" t="s">
        <v>46</v>
      </c>
      <c r="D209" s="25" t="s">
        <v>39</v>
      </c>
      <c r="E209" s="25" t="s">
        <v>9</v>
      </c>
      <c r="F209" s="26">
        <v>50000</v>
      </c>
      <c r="G209" s="27"/>
      <c r="H209" s="28">
        <f t="shared" si="0"/>
        <v>46082</v>
      </c>
      <c r="I209" s="29">
        <f>SUMIFS(Cash_Flow_3[Amount],Cash_Flow_3[Bulan],H209,Cash_Flow_3[Type],"In")</f>
        <v>13015393</v>
      </c>
      <c r="J209" s="29">
        <f>SUMIFS(Cash_Flow_3[Amount],Cash_Flow_3[Bulan],H209,Cash_Flow_3[Type],"Out")</f>
        <v>10475288</v>
      </c>
      <c r="K209" s="29">
        <f>SUMIFS(Cash_Flow_3[Amount],Cash_Flow_3[Bulan],H209,Cash_Flow_3[Type],"Out",Cash_Flow_3[Category],"Fix")</f>
        <v>2908413</v>
      </c>
      <c r="L209" s="29">
        <f>SUMIFS(Cash_Flow_3[Amount],Cash_Flow_3[Bulan],H209,Cash_Flow_3[Type],"Out",Cash_Flow_3[Category],"Bathroom")</f>
        <v>48473</v>
      </c>
      <c r="M209" s="29">
        <f>SUMIFS(Cash_Flow_3[Amount],Cash_Flow_3[Bulan],H209,Cash_Flow_3[Type],"Out",Cash_Flow_3[Category],"Alfa")</f>
        <v>775042</v>
      </c>
      <c r="N209" s="29">
        <f>SUMIFS(Cash_Flow_3[Amount],Cash_Flow_3[Bulan],H209,Cash_Flow_3[Type],"Out",Cash_Flow_3[Category],"Jajan")</f>
        <v>795099</v>
      </c>
      <c r="O209" s="29">
        <f>SUMIFS(Cash_Flow_3[Amount],Cash_Flow_3[Bulan],H209,Cash_Flow_3[Type],"Out",Cash_Flow_3[Category],"Kitchen")</f>
        <v>1003600</v>
      </c>
      <c r="P209" s="29">
        <f>SUMIFS(Cash_Flow_3[Amount],Cash_Flow_3[Bulan],H209,Cash_Flow_3[Type],"Out",Cash_Flow_3[Category],"Loandry")</f>
        <v>41000</v>
      </c>
      <c r="Q209" s="29">
        <f>SUMIFS(Cash_Flow_3[Amount],Cash_Flow_3[Bulan],H209,Cash_Flow_3[Type],"Out",Cash_Flow_3[Category],"Mio")</f>
        <v>364500</v>
      </c>
      <c r="R209" s="29">
        <f>SUMIFS(Cash_Flow_3[Amount],Cash_Flow_3[Bulan],H209,Cash_Flow_3[Type],"Out",Cash_Flow_3[Category],"Sedekah")</f>
        <v>130000</v>
      </c>
      <c r="S209" s="29">
        <f>SUMIFS(Cash_Flow_3[Amount],Cash_Flow_3[Bulan],H209,Cash_Flow_3[Type],"Out",Cash_Flow_3[Category],"Zela")</f>
        <v>215161</v>
      </c>
      <c r="T209" s="29">
        <f>SUMIFS(Cash_Flow_3[Amount],Cash_Flow_3[Bulan],H209,Cash_Flow_3[Type],"Out",Cash_Flow_3[Category],"Iqbal")</f>
        <v>160000</v>
      </c>
    </row>
    <row r="210" spans="1:20" ht="22.5" customHeight="1" x14ac:dyDescent="0.2">
      <c r="A210" s="23">
        <v>46087</v>
      </c>
      <c r="B210" s="24" t="s">
        <v>123</v>
      </c>
      <c r="C210" s="25" t="s">
        <v>46</v>
      </c>
      <c r="D210" s="25" t="s">
        <v>44</v>
      </c>
      <c r="E210" s="25" t="s">
        <v>2</v>
      </c>
      <c r="F210" s="26">
        <v>14000</v>
      </c>
      <c r="G210" s="27"/>
      <c r="H210" s="28">
        <f t="shared" si="0"/>
        <v>46082</v>
      </c>
      <c r="I210" s="29">
        <f>SUMIFS(Cash_Flow_3[Amount],Cash_Flow_3[Bulan],H210,Cash_Flow_3[Type],"In")</f>
        <v>13015393</v>
      </c>
      <c r="J210" s="29">
        <f>SUMIFS(Cash_Flow_3[Amount],Cash_Flow_3[Bulan],H210,Cash_Flow_3[Type],"Out")</f>
        <v>10475288</v>
      </c>
      <c r="K210" s="29">
        <f>SUMIFS(Cash_Flow_3[Amount],Cash_Flow_3[Bulan],H210,Cash_Flow_3[Type],"Out",Cash_Flow_3[Category],"Fix")</f>
        <v>2908413</v>
      </c>
      <c r="L210" s="29">
        <f>SUMIFS(Cash_Flow_3[Amount],Cash_Flow_3[Bulan],H210,Cash_Flow_3[Type],"Out",Cash_Flow_3[Category],"Bathroom")</f>
        <v>48473</v>
      </c>
      <c r="M210" s="29">
        <f>SUMIFS(Cash_Flow_3[Amount],Cash_Flow_3[Bulan],H210,Cash_Flow_3[Type],"Out",Cash_Flow_3[Category],"Alfa")</f>
        <v>775042</v>
      </c>
      <c r="N210" s="29">
        <f>SUMIFS(Cash_Flow_3[Amount],Cash_Flow_3[Bulan],H210,Cash_Flow_3[Type],"Out",Cash_Flow_3[Category],"Jajan")</f>
        <v>795099</v>
      </c>
      <c r="O210" s="29">
        <f>SUMIFS(Cash_Flow_3[Amount],Cash_Flow_3[Bulan],H210,Cash_Flow_3[Type],"Out",Cash_Flow_3[Category],"Kitchen")</f>
        <v>1003600</v>
      </c>
      <c r="P210" s="29">
        <f>SUMIFS(Cash_Flow_3[Amount],Cash_Flow_3[Bulan],H210,Cash_Flow_3[Type],"Out",Cash_Flow_3[Category],"Loandry")</f>
        <v>41000</v>
      </c>
      <c r="Q210" s="29">
        <f>SUMIFS(Cash_Flow_3[Amount],Cash_Flow_3[Bulan],H210,Cash_Flow_3[Type],"Out",Cash_Flow_3[Category],"Mio")</f>
        <v>364500</v>
      </c>
      <c r="R210" s="29">
        <f>SUMIFS(Cash_Flow_3[Amount],Cash_Flow_3[Bulan],H210,Cash_Flow_3[Type],"Out",Cash_Flow_3[Category],"Sedekah")</f>
        <v>130000</v>
      </c>
      <c r="S210" s="29">
        <f>SUMIFS(Cash_Flow_3[Amount],Cash_Flow_3[Bulan],H210,Cash_Flow_3[Type],"Out",Cash_Flow_3[Category],"Zela")</f>
        <v>215161</v>
      </c>
      <c r="T210" s="29">
        <f>SUMIFS(Cash_Flow_3[Amount],Cash_Flow_3[Bulan],H210,Cash_Flow_3[Type],"Out",Cash_Flow_3[Category],"Iqbal")</f>
        <v>160000</v>
      </c>
    </row>
    <row r="211" spans="1:20" ht="22.5" customHeight="1" x14ac:dyDescent="0.2">
      <c r="A211" s="23">
        <v>46087</v>
      </c>
      <c r="B211" s="24" t="s">
        <v>126</v>
      </c>
      <c r="C211" s="25" t="s">
        <v>46</v>
      </c>
      <c r="D211" s="25" t="s">
        <v>44</v>
      </c>
      <c r="E211" s="25" t="s">
        <v>3</v>
      </c>
      <c r="F211" s="26">
        <v>5000</v>
      </c>
      <c r="G211" s="27"/>
      <c r="H211" s="28">
        <f t="shared" si="0"/>
        <v>46082</v>
      </c>
      <c r="I211" s="29">
        <f>SUMIFS(Cash_Flow_3[Amount],Cash_Flow_3[Bulan],H211,Cash_Flow_3[Type],"In")</f>
        <v>13015393</v>
      </c>
      <c r="J211" s="29">
        <f>SUMIFS(Cash_Flow_3[Amount],Cash_Flow_3[Bulan],H211,Cash_Flow_3[Type],"Out")</f>
        <v>10475288</v>
      </c>
      <c r="K211" s="29">
        <f>SUMIFS(Cash_Flow_3[Amount],Cash_Flow_3[Bulan],H211,Cash_Flow_3[Type],"Out",Cash_Flow_3[Category],"Fix")</f>
        <v>2908413</v>
      </c>
      <c r="L211" s="29">
        <f>SUMIFS(Cash_Flow_3[Amount],Cash_Flow_3[Bulan],H211,Cash_Flow_3[Type],"Out",Cash_Flow_3[Category],"Bathroom")</f>
        <v>48473</v>
      </c>
      <c r="M211" s="29">
        <f>SUMIFS(Cash_Flow_3[Amount],Cash_Flow_3[Bulan],H211,Cash_Flow_3[Type],"Out",Cash_Flow_3[Category],"Alfa")</f>
        <v>775042</v>
      </c>
      <c r="N211" s="29">
        <f>SUMIFS(Cash_Flow_3[Amount],Cash_Flow_3[Bulan],H211,Cash_Flow_3[Type],"Out",Cash_Flow_3[Category],"Jajan")</f>
        <v>795099</v>
      </c>
      <c r="O211" s="29">
        <f>SUMIFS(Cash_Flow_3[Amount],Cash_Flow_3[Bulan],H211,Cash_Flow_3[Type],"Out",Cash_Flow_3[Category],"Kitchen")</f>
        <v>1003600</v>
      </c>
      <c r="P211" s="29">
        <f>SUMIFS(Cash_Flow_3[Amount],Cash_Flow_3[Bulan],H211,Cash_Flow_3[Type],"Out",Cash_Flow_3[Category],"Loandry")</f>
        <v>41000</v>
      </c>
      <c r="Q211" s="29">
        <f>SUMIFS(Cash_Flow_3[Amount],Cash_Flow_3[Bulan],H211,Cash_Flow_3[Type],"Out",Cash_Flow_3[Category],"Mio")</f>
        <v>364500</v>
      </c>
      <c r="R211" s="29">
        <f>SUMIFS(Cash_Flow_3[Amount],Cash_Flow_3[Bulan],H211,Cash_Flow_3[Type],"Out",Cash_Flow_3[Category],"Sedekah")</f>
        <v>130000</v>
      </c>
      <c r="S211" s="29">
        <f>SUMIFS(Cash_Flow_3[Amount],Cash_Flow_3[Bulan],H211,Cash_Flow_3[Type],"Out",Cash_Flow_3[Category],"Zela")</f>
        <v>215161</v>
      </c>
      <c r="T211" s="29">
        <f>SUMIFS(Cash_Flow_3[Amount],Cash_Flow_3[Bulan],H211,Cash_Flow_3[Type],"Out",Cash_Flow_3[Category],"Iqbal")</f>
        <v>160000</v>
      </c>
    </row>
    <row r="212" spans="1:20" ht="22.5" customHeight="1" x14ac:dyDescent="0.2">
      <c r="A212" s="23">
        <v>46087</v>
      </c>
      <c r="B212" s="24" t="s">
        <v>127</v>
      </c>
      <c r="C212" s="25" t="s">
        <v>43</v>
      </c>
      <c r="D212" s="25" t="s">
        <v>44</v>
      </c>
      <c r="E212" s="25" t="s">
        <v>2</v>
      </c>
      <c r="F212" s="26">
        <v>36999</v>
      </c>
      <c r="G212" s="27"/>
      <c r="H212" s="28">
        <f t="shared" si="0"/>
        <v>46082</v>
      </c>
      <c r="I212" s="29">
        <f>SUMIFS(Cash_Flow_3[Amount],Cash_Flow_3[Bulan],H212,Cash_Flow_3[Type],"In")</f>
        <v>13015393</v>
      </c>
      <c r="J212" s="29">
        <f>SUMIFS(Cash_Flow_3[Amount],Cash_Flow_3[Bulan],H212,Cash_Flow_3[Type],"Out")</f>
        <v>10475288</v>
      </c>
      <c r="K212" s="29">
        <f>SUMIFS(Cash_Flow_3[Amount],Cash_Flow_3[Bulan],H212,Cash_Flow_3[Type],"Out",Cash_Flow_3[Category],"Fix")</f>
        <v>2908413</v>
      </c>
      <c r="L212" s="29">
        <f>SUMIFS(Cash_Flow_3[Amount],Cash_Flow_3[Bulan],H212,Cash_Flow_3[Type],"Out",Cash_Flow_3[Category],"Bathroom")</f>
        <v>48473</v>
      </c>
      <c r="M212" s="29">
        <f>SUMIFS(Cash_Flow_3[Amount],Cash_Flow_3[Bulan],H212,Cash_Flow_3[Type],"Out",Cash_Flow_3[Category],"Alfa")</f>
        <v>775042</v>
      </c>
      <c r="N212" s="29">
        <f>SUMIFS(Cash_Flow_3[Amount],Cash_Flow_3[Bulan],H212,Cash_Flow_3[Type],"Out",Cash_Flow_3[Category],"Jajan")</f>
        <v>795099</v>
      </c>
      <c r="O212" s="29">
        <f>SUMIFS(Cash_Flow_3[Amount],Cash_Flow_3[Bulan],H212,Cash_Flow_3[Type],"Out",Cash_Flow_3[Category],"Kitchen")</f>
        <v>1003600</v>
      </c>
      <c r="P212" s="29">
        <f>SUMIFS(Cash_Flow_3[Amount],Cash_Flow_3[Bulan],H212,Cash_Flow_3[Type],"Out",Cash_Flow_3[Category],"Loandry")</f>
        <v>41000</v>
      </c>
      <c r="Q212" s="29">
        <f>SUMIFS(Cash_Flow_3[Amount],Cash_Flow_3[Bulan],H212,Cash_Flow_3[Type],"Out",Cash_Flow_3[Category],"Mio")</f>
        <v>364500</v>
      </c>
      <c r="R212" s="29">
        <f>SUMIFS(Cash_Flow_3[Amount],Cash_Flow_3[Bulan],H212,Cash_Flow_3[Type],"Out",Cash_Flow_3[Category],"Sedekah")</f>
        <v>130000</v>
      </c>
      <c r="S212" s="29">
        <f>SUMIFS(Cash_Flow_3[Amount],Cash_Flow_3[Bulan],H212,Cash_Flow_3[Type],"Out",Cash_Flow_3[Category],"Zela")</f>
        <v>215161</v>
      </c>
      <c r="T212" s="29">
        <f>SUMIFS(Cash_Flow_3[Amount],Cash_Flow_3[Bulan],H212,Cash_Flow_3[Type],"Out",Cash_Flow_3[Category],"Iqbal")</f>
        <v>160000</v>
      </c>
    </row>
    <row r="213" spans="1:20" ht="22.5" customHeight="1" x14ac:dyDescent="0.2">
      <c r="A213" s="23">
        <v>46089</v>
      </c>
      <c r="B213" s="24" t="s">
        <v>129</v>
      </c>
      <c r="C213" s="25" t="s">
        <v>46</v>
      </c>
      <c r="D213" s="25" t="s">
        <v>44</v>
      </c>
      <c r="E213" s="25" t="s">
        <v>6</v>
      </c>
      <c r="F213" s="26">
        <v>20000</v>
      </c>
      <c r="G213" s="27"/>
      <c r="H213" s="28">
        <f t="shared" si="0"/>
        <v>46082</v>
      </c>
      <c r="I213" s="29">
        <f>SUMIFS(Cash_Flow_3[Amount],Cash_Flow_3[Bulan],H213,Cash_Flow_3[Type],"In")</f>
        <v>13015393</v>
      </c>
      <c r="J213" s="29">
        <f>SUMIFS(Cash_Flow_3[Amount],Cash_Flow_3[Bulan],H213,Cash_Flow_3[Type],"Out")</f>
        <v>10475288</v>
      </c>
      <c r="K213" s="29">
        <f>SUMIFS(Cash_Flow_3[Amount],Cash_Flow_3[Bulan],H213,Cash_Flow_3[Type],"Out",Cash_Flow_3[Category],"Fix")</f>
        <v>2908413</v>
      </c>
      <c r="L213" s="29">
        <f>SUMIFS(Cash_Flow_3[Amount],Cash_Flow_3[Bulan],H213,Cash_Flow_3[Type],"Out",Cash_Flow_3[Category],"Bathroom")</f>
        <v>48473</v>
      </c>
      <c r="M213" s="29">
        <f>SUMIFS(Cash_Flow_3[Amount],Cash_Flow_3[Bulan],H213,Cash_Flow_3[Type],"Out",Cash_Flow_3[Category],"Alfa")</f>
        <v>775042</v>
      </c>
      <c r="N213" s="29">
        <f>SUMIFS(Cash_Flow_3[Amount],Cash_Flow_3[Bulan],H213,Cash_Flow_3[Type],"Out",Cash_Flow_3[Category],"Jajan")</f>
        <v>795099</v>
      </c>
      <c r="O213" s="29">
        <f>SUMIFS(Cash_Flow_3[Amount],Cash_Flow_3[Bulan],H213,Cash_Flow_3[Type],"Out",Cash_Flow_3[Category],"Kitchen")</f>
        <v>1003600</v>
      </c>
      <c r="P213" s="29">
        <f>SUMIFS(Cash_Flow_3[Amount],Cash_Flow_3[Bulan],H213,Cash_Flow_3[Type],"Out",Cash_Flow_3[Category],"Loandry")</f>
        <v>41000</v>
      </c>
      <c r="Q213" s="29">
        <f>SUMIFS(Cash_Flow_3[Amount],Cash_Flow_3[Bulan],H213,Cash_Flow_3[Type],"Out",Cash_Flow_3[Category],"Mio")</f>
        <v>364500</v>
      </c>
      <c r="R213" s="29">
        <f>SUMIFS(Cash_Flow_3[Amount],Cash_Flow_3[Bulan],H213,Cash_Flow_3[Type],"Out",Cash_Flow_3[Category],"Sedekah")</f>
        <v>130000</v>
      </c>
      <c r="S213" s="29">
        <f>SUMIFS(Cash_Flow_3[Amount],Cash_Flow_3[Bulan],H213,Cash_Flow_3[Type],"Out",Cash_Flow_3[Category],"Zela")</f>
        <v>215161</v>
      </c>
      <c r="T213" s="29">
        <f>SUMIFS(Cash_Flow_3[Amount],Cash_Flow_3[Bulan],H213,Cash_Flow_3[Type],"Out",Cash_Flow_3[Category],"Iqbal")</f>
        <v>160000</v>
      </c>
    </row>
    <row r="214" spans="1:20" ht="22.5" customHeight="1" x14ac:dyDescent="0.2">
      <c r="A214" s="23">
        <v>46089</v>
      </c>
      <c r="B214" s="24" t="s">
        <v>58</v>
      </c>
      <c r="C214" s="25" t="s">
        <v>46</v>
      </c>
      <c r="D214" s="25" t="s">
        <v>39</v>
      </c>
      <c r="E214" s="25" t="s">
        <v>9</v>
      </c>
      <c r="F214" s="26">
        <v>5000</v>
      </c>
      <c r="G214" s="27"/>
      <c r="H214" s="28">
        <f t="shared" si="0"/>
        <v>46082</v>
      </c>
      <c r="I214" s="29">
        <f>SUMIFS(Cash_Flow_3[Amount],Cash_Flow_3[Bulan],H214,Cash_Flow_3[Type],"In")</f>
        <v>13015393</v>
      </c>
      <c r="J214" s="29">
        <f>SUMIFS(Cash_Flow_3[Amount],Cash_Flow_3[Bulan],H214,Cash_Flow_3[Type],"Out")</f>
        <v>10475288</v>
      </c>
      <c r="K214" s="29">
        <f>SUMIFS(Cash_Flow_3[Amount],Cash_Flow_3[Bulan],H214,Cash_Flow_3[Type],"Out",Cash_Flow_3[Category],"Fix")</f>
        <v>2908413</v>
      </c>
      <c r="L214" s="29">
        <f>SUMIFS(Cash_Flow_3[Amount],Cash_Flow_3[Bulan],H214,Cash_Flow_3[Type],"Out",Cash_Flow_3[Category],"Bathroom")</f>
        <v>48473</v>
      </c>
      <c r="M214" s="29">
        <f>SUMIFS(Cash_Flow_3[Amount],Cash_Flow_3[Bulan],H214,Cash_Flow_3[Type],"Out",Cash_Flow_3[Category],"Alfa")</f>
        <v>775042</v>
      </c>
      <c r="N214" s="29">
        <f>SUMIFS(Cash_Flow_3[Amount],Cash_Flow_3[Bulan],H214,Cash_Flow_3[Type],"Out",Cash_Flow_3[Category],"Jajan")</f>
        <v>795099</v>
      </c>
      <c r="O214" s="29">
        <f>SUMIFS(Cash_Flow_3[Amount],Cash_Flow_3[Bulan],H214,Cash_Flow_3[Type],"Out",Cash_Flow_3[Category],"Kitchen")</f>
        <v>1003600</v>
      </c>
      <c r="P214" s="29">
        <f>SUMIFS(Cash_Flow_3[Amount],Cash_Flow_3[Bulan],H214,Cash_Flow_3[Type],"Out",Cash_Flow_3[Category],"Loandry")</f>
        <v>41000</v>
      </c>
      <c r="Q214" s="29">
        <f>SUMIFS(Cash_Flow_3[Amount],Cash_Flow_3[Bulan],H214,Cash_Flow_3[Type],"Out",Cash_Flow_3[Category],"Mio")</f>
        <v>364500</v>
      </c>
      <c r="R214" s="29">
        <f>SUMIFS(Cash_Flow_3[Amount],Cash_Flow_3[Bulan],H214,Cash_Flow_3[Type],"Out",Cash_Flow_3[Category],"Sedekah")</f>
        <v>130000</v>
      </c>
      <c r="S214" s="29">
        <f>SUMIFS(Cash_Flow_3[Amount],Cash_Flow_3[Bulan],H214,Cash_Flow_3[Type],"Out",Cash_Flow_3[Category],"Zela")</f>
        <v>215161</v>
      </c>
      <c r="T214" s="29">
        <f>SUMIFS(Cash_Flow_3[Amount],Cash_Flow_3[Bulan],H214,Cash_Flow_3[Type],"Out",Cash_Flow_3[Category],"Iqbal")</f>
        <v>160000</v>
      </c>
    </row>
    <row r="215" spans="1:20" ht="22.5" customHeight="1" x14ac:dyDescent="0.2">
      <c r="A215" s="23">
        <v>46089</v>
      </c>
      <c r="B215" s="24" t="s">
        <v>58</v>
      </c>
      <c r="C215" s="25" t="s">
        <v>46</v>
      </c>
      <c r="D215" s="25" t="s">
        <v>39</v>
      </c>
      <c r="E215" s="25" t="s">
        <v>9</v>
      </c>
      <c r="F215" s="26">
        <v>100000</v>
      </c>
      <c r="G215" s="27"/>
      <c r="H215" s="28">
        <f t="shared" si="0"/>
        <v>46082</v>
      </c>
      <c r="I215" s="29">
        <f>SUMIFS(Cash_Flow_3[Amount],Cash_Flow_3[Bulan],H215,Cash_Flow_3[Type],"In")</f>
        <v>13015393</v>
      </c>
      <c r="J215" s="29">
        <f>SUMIFS(Cash_Flow_3[Amount],Cash_Flow_3[Bulan],H215,Cash_Flow_3[Type],"Out")</f>
        <v>10475288</v>
      </c>
      <c r="K215" s="29">
        <f>SUMIFS(Cash_Flow_3[Amount],Cash_Flow_3[Bulan],H215,Cash_Flow_3[Type],"Out",Cash_Flow_3[Category],"Fix")</f>
        <v>2908413</v>
      </c>
      <c r="L215" s="29">
        <f>SUMIFS(Cash_Flow_3[Amount],Cash_Flow_3[Bulan],H215,Cash_Flow_3[Type],"Out",Cash_Flow_3[Category],"Bathroom")</f>
        <v>48473</v>
      </c>
      <c r="M215" s="29">
        <f>SUMIFS(Cash_Flow_3[Amount],Cash_Flow_3[Bulan],H215,Cash_Flow_3[Type],"Out",Cash_Flow_3[Category],"Alfa")</f>
        <v>775042</v>
      </c>
      <c r="N215" s="29">
        <f>SUMIFS(Cash_Flow_3[Amount],Cash_Flow_3[Bulan],H215,Cash_Flow_3[Type],"Out",Cash_Flow_3[Category],"Jajan")</f>
        <v>795099</v>
      </c>
      <c r="O215" s="29">
        <f>SUMIFS(Cash_Flow_3[Amount],Cash_Flow_3[Bulan],H215,Cash_Flow_3[Type],"Out",Cash_Flow_3[Category],"Kitchen")</f>
        <v>1003600</v>
      </c>
      <c r="P215" s="29">
        <f>SUMIFS(Cash_Flow_3[Amount],Cash_Flow_3[Bulan],H215,Cash_Flow_3[Type],"Out",Cash_Flow_3[Category],"Loandry")</f>
        <v>41000</v>
      </c>
      <c r="Q215" s="29">
        <f>SUMIFS(Cash_Flow_3[Amount],Cash_Flow_3[Bulan],H215,Cash_Flow_3[Type],"Out",Cash_Flow_3[Category],"Mio")</f>
        <v>364500</v>
      </c>
      <c r="R215" s="29">
        <f>SUMIFS(Cash_Flow_3[Amount],Cash_Flow_3[Bulan],H215,Cash_Flow_3[Type],"Out",Cash_Flow_3[Category],"Sedekah")</f>
        <v>130000</v>
      </c>
      <c r="S215" s="29">
        <f>SUMIFS(Cash_Flow_3[Amount],Cash_Flow_3[Bulan],H215,Cash_Flow_3[Type],"Out",Cash_Flow_3[Category],"Zela")</f>
        <v>215161</v>
      </c>
      <c r="T215" s="29">
        <f>SUMIFS(Cash_Flow_3[Amount],Cash_Flow_3[Bulan],H215,Cash_Flow_3[Type],"Out",Cash_Flow_3[Category],"Iqbal")</f>
        <v>160000</v>
      </c>
    </row>
    <row r="216" spans="1:20" ht="22.5" customHeight="1" x14ac:dyDescent="0.2">
      <c r="A216" s="23">
        <v>46089</v>
      </c>
      <c r="B216" s="24" t="s">
        <v>105</v>
      </c>
      <c r="C216" s="25" t="s">
        <v>46</v>
      </c>
      <c r="D216" s="25" t="s">
        <v>39</v>
      </c>
      <c r="E216" s="25" t="s">
        <v>0</v>
      </c>
      <c r="F216" s="26">
        <v>25000</v>
      </c>
      <c r="G216" s="27"/>
      <c r="H216" s="28">
        <f t="shared" si="0"/>
        <v>46082</v>
      </c>
      <c r="I216" s="29">
        <f>SUMIFS(Cash_Flow_3[Amount],Cash_Flow_3[Bulan],H216,Cash_Flow_3[Type],"In")</f>
        <v>13015393</v>
      </c>
      <c r="J216" s="29">
        <f>SUMIFS(Cash_Flow_3[Amount],Cash_Flow_3[Bulan],H216,Cash_Flow_3[Type],"Out")</f>
        <v>10475288</v>
      </c>
      <c r="K216" s="29">
        <f>SUMIFS(Cash_Flow_3[Amount],Cash_Flow_3[Bulan],H216,Cash_Flow_3[Type],"Out",Cash_Flow_3[Category],"Fix")</f>
        <v>2908413</v>
      </c>
      <c r="L216" s="29">
        <f>SUMIFS(Cash_Flow_3[Amount],Cash_Flow_3[Bulan],H216,Cash_Flow_3[Type],"Out",Cash_Flow_3[Category],"Bathroom")</f>
        <v>48473</v>
      </c>
      <c r="M216" s="29">
        <f>SUMIFS(Cash_Flow_3[Amount],Cash_Flow_3[Bulan],H216,Cash_Flow_3[Type],"Out",Cash_Flow_3[Category],"Alfa")</f>
        <v>775042</v>
      </c>
      <c r="N216" s="29">
        <f>SUMIFS(Cash_Flow_3[Amount],Cash_Flow_3[Bulan],H216,Cash_Flow_3[Type],"Out",Cash_Flow_3[Category],"Jajan")</f>
        <v>795099</v>
      </c>
      <c r="O216" s="29">
        <f>SUMIFS(Cash_Flow_3[Amount],Cash_Flow_3[Bulan],H216,Cash_Flow_3[Type],"Out",Cash_Flow_3[Category],"Kitchen")</f>
        <v>1003600</v>
      </c>
      <c r="P216" s="29">
        <f>SUMIFS(Cash_Flow_3[Amount],Cash_Flow_3[Bulan],H216,Cash_Flow_3[Type],"Out",Cash_Flow_3[Category],"Loandry")</f>
        <v>41000</v>
      </c>
      <c r="Q216" s="29">
        <f>SUMIFS(Cash_Flow_3[Amount],Cash_Flow_3[Bulan],H216,Cash_Flow_3[Type],"Out",Cash_Flow_3[Category],"Mio")</f>
        <v>364500</v>
      </c>
      <c r="R216" s="29">
        <f>SUMIFS(Cash_Flow_3[Amount],Cash_Flow_3[Bulan],H216,Cash_Flow_3[Type],"Out",Cash_Flow_3[Category],"Sedekah")</f>
        <v>130000</v>
      </c>
      <c r="S216" s="29">
        <f>SUMIFS(Cash_Flow_3[Amount],Cash_Flow_3[Bulan],H216,Cash_Flow_3[Type],"Out",Cash_Flow_3[Category],"Zela")</f>
        <v>215161</v>
      </c>
      <c r="T216" s="29">
        <f>SUMIFS(Cash_Flow_3[Amount],Cash_Flow_3[Bulan],H216,Cash_Flow_3[Type],"Out",Cash_Flow_3[Category],"Iqbal")</f>
        <v>160000</v>
      </c>
    </row>
    <row r="217" spans="1:20" ht="22.5" customHeight="1" x14ac:dyDescent="0.2">
      <c r="A217" s="23">
        <v>46089</v>
      </c>
      <c r="B217" s="24" t="s">
        <v>132</v>
      </c>
      <c r="C217" s="25" t="s">
        <v>46</v>
      </c>
      <c r="D217" s="25" t="s">
        <v>44</v>
      </c>
      <c r="E217" s="25" t="s">
        <v>0</v>
      </c>
      <c r="F217" s="26">
        <v>75000</v>
      </c>
      <c r="G217" s="27"/>
      <c r="H217" s="28">
        <f t="shared" si="0"/>
        <v>46082</v>
      </c>
      <c r="I217" s="29">
        <f>SUMIFS(Cash_Flow_3[Amount],Cash_Flow_3[Bulan],H217,Cash_Flow_3[Type],"In")</f>
        <v>13015393</v>
      </c>
      <c r="J217" s="29">
        <f>SUMIFS(Cash_Flow_3[Amount],Cash_Flow_3[Bulan],H217,Cash_Flow_3[Type],"Out")</f>
        <v>10475288</v>
      </c>
      <c r="K217" s="29">
        <f>SUMIFS(Cash_Flow_3[Amount],Cash_Flow_3[Bulan],H217,Cash_Flow_3[Type],"Out",Cash_Flow_3[Category],"Fix")</f>
        <v>2908413</v>
      </c>
      <c r="L217" s="29">
        <f>SUMIFS(Cash_Flow_3[Amount],Cash_Flow_3[Bulan],H217,Cash_Flow_3[Type],"Out",Cash_Flow_3[Category],"Bathroom")</f>
        <v>48473</v>
      </c>
      <c r="M217" s="29">
        <f>SUMIFS(Cash_Flow_3[Amount],Cash_Flow_3[Bulan],H217,Cash_Flow_3[Type],"Out",Cash_Flow_3[Category],"Alfa")</f>
        <v>775042</v>
      </c>
      <c r="N217" s="29">
        <f>SUMIFS(Cash_Flow_3[Amount],Cash_Flow_3[Bulan],H217,Cash_Flow_3[Type],"Out",Cash_Flow_3[Category],"Jajan")</f>
        <v>795099</v>
      </c>
      <c r="O217" s="29">
        <f>SUMIFS(Cash_Flow_3[Amount],Cash_Flow_3[Bulan],H217,Cash_Flow_3[Type],"Out",Cash_Flow_3[Category],"Kitchen")</f>
        <v>1003600</v>
      </c>
      <c r="P217" s="29">
        <f>SUMIFS(Cash_Flow_3[Amount],Cash_Flow_3[Bulan],H217,Cash_Flow_3[Type],"Out",Cash_Flow_3[Category],"Loandry")</f>
        <v>41000</v>
      </c>
      <c r="Q217" s="29">
        <f>SUMIFS(Cash_Flow_3[Amount],Cash_Flow_3[Bulan],H217,Cash_Flow_3[Type],"Out",Cash_Flow_3[Category],"Mio")</f>
        <v>364500</v>
      </c>
      <c r="R217" s="29">
        <f>SUMIFS(Cash_Flow_3[Amount],Cash_Flow_3[Bulan],H217,Cash_Flow_3[Type],"Out",Cash_Flow_3[Category],"Sedekah")</f>
        <v>130000</v>
      </c>
      <c r="S217" s="29">
        <f>SUMIFS(Cash_Flow_3[Amount],Cash_Flow_3[Bulan],H217,Cash_Flow_3[Type],"Out",Cash_Flow_3[Category],"Zela")</f>
        <v>215161</v>
      </c>
      <c r="T217" s="29">
        <f>SUMIFS(Cash_Flow_3[Amount],Cash_Flow_3[Bulan],H217,Cash_Flow_3[Type],"Out",Cash_Flow_3[Category],"Iqbal")</f>
        <v>160000</v>
      </c>
    </row>
    <row r="218" spans="1:20" ht="22.5" customHeight="1" x14ac:dyDescent="0.2">
      <c r="A218" s="23">
        <v>46089</v>
      </c>
      <c r="B218" s="24" t="s">
        <v>107</v>
      </c>
      <c r="C218" s="25" t="s">
        <v>46</v>
      </c>
      <c r="D218" s="25" t="s">
        <v>44</v>
      </c>
      <c r="E218" s="25" t="s">
        <v>6</v>
      </c>
      <c r="F218" s="26">
        <v>28000</v>
      </c>
      <c r="G218" s="27"/>
      <c r="H218" s="28">
        <f t="shared" si="0"/>
        <v>46082</v>
      </c>
      <c r="I218" s="29">
        <f>SUMIFS(Cash_Flow_3[Amount],Cash_Flow_3[Bulan],H218,Cash_Flow_3[Type],"In")</f>
        <v>13015393</v>
      </c>
      <c r="J218" s="29">
        <f>SUMIFS(Cash_Flow_3[Amount],Cash_Flow_3[Bulan],H218,Cash_Flow_3[Type],"Out")</f>
        <v>10475288</v>
      </c>
      <c r="K218" s="29">
        <f>SUMIFS(Cash_Flow_3[Amount],Cash_Flow_3[Bulan],H218,Cash_Flow_3[Type],"Out",Cash_Flow_3[Category],"Fix")</f>
        <v>2908413</v>
      </c>
      <c r="L218" s="29">
        <f>SUMIFS(Cash_Flow_3[Amount],Cash_Flow_3[Bulan],H218,Cash_Flow_3[Type],"Out",Cash_Flow_3[Category],"Bathroom")</f>
        <v>48473</v>
      </c>
      <c r="M218" s="29">
        <f>SUMIFS(Cash_Flow_3[Amount],Cash_Flow_3[Bulan],H218,Cash_Flow_3[Type],"Out",Cash_Flow_3[Category],"Alfa")</f>
        <v>775042</v>
      </c>
      <c r="N218" s="29">
        <f>SUMIFS(Cash_Flow_3[Amount],Cash_Flow_3[Bulan],H218,Cash_Flow_3[Type],"Out",Cash_Flow_3[Category],"Jajan")</f>
        <v>795099</v>
      </c>
      <c r="O218" s="29">
        <f>SUMIFS(Cash_Flow_3[Amount],Cash_Flow_3[Bulan],H218,Cash_Flow_3[Type],"Out",Cash_Flow_3[Category],"Kitchen")</f>
        <v>1003600</v>
      </c>
      <c r="P218" s="29">
        <f>SUMIFS(Cash_Flow_3[Amount],Cash_Flow_3[Bulan],H218,Cash_Flow_3[Type],"Out",Cash_Flow_3[Category],"Loandry")</f>
        <v>41000</v>
      </c>
      <c r="Q218" s="29">
        <f>SUMIFS(Cash_Flow_3[Amount],Cash_Flow_3[Bulan],H218,Cash_Flow_3[Type],"Out",Cash_Flow_3[Category],"Mio")</f>
        <v>364500</v>
      </c>
      <c r="R218" s="29">
        <f>SUMIFS(Cash_Flow_3[Amount],Cash_Flow_3[Bulan],H218,Cash_Flow_3[Type],"Out",Cash_Flow_3[Category],"Sedekah")</f>
        <v>130000</v>
      </c>
      <c r="S218" s="29">
        <f>SUMIFS(Cash_Flow_3[Amount],Cash_Flow_3[Bulan],H218,Cash_Flow_3[Type],"Out",Cash_Flow_3[Category],"Zela")</f>
        <v>215161</v>
      </c>
      <c r="T218" s="29">
        <f>SUMIFS(Cash_Flow_3[Amount],Cash_Flow_3[Bulan],H218,Cash_Flow_3[Type],"Out",Cash_Flow_3[Category],"Iqbal")</f>
        <v>160000</v>
      </c>
    </row>
    <row r="219" spans="1:20" ht="22.5" customHeight="1" x14ac:dyDescent="0.2">
      <c r="A219" s="23">
        <v>46089</v>
      </c>
      <c r="B219" s="24" t="s">
        <v>134</v>
      </c>
      <c r="C219" s="25" t="s">
        <v>46</v>
      </c>
      <c r="D219" s="25" t="s">
        <v>44</v>
      </c>
      <c r="E219" s="25" t="s">
        <v>0</v>
      </c>
      <c r="F219" s="26">
        <v>18000</v>
      </c>
      <c r="G219" s="27"/>
      <c r="H219" s="28">
        <f t="shared" si="0"/>
        <v>46082</v>
      </c>
      <c r="I219" s="29">
        <f>SUMIFS(Cash_Flow_3[Amount],Cash_Flow_3[Bulan],H219,Cash_Flow_3[Type],"In")</f>
        <v>13015393</v>
      </c>
      <c r="J219" s="29">
        <f>SUMIFS(Cash_Flow_3[Amount],Cash_Flow_3[Bulan],H219,Cash_Flow_3[Type],"Out")</f>
        <v>10475288</v>
      </c>
      <c r="K219" s="29">
        <f>SUMIFS(Cash_Flow_3[Amount],Cash_Flow_3[Bulan],H219,Cash_Flow_3[Type],"Out",Cash_Flow_3[Category],"Fix")</f>
        <v>2908413</v>
      </c>
      <c r="L219" s="29">
        <f>SUMIFS(Cash_Flow_3[Amount],Cash_Flow_3[Bulan],H219,Cash_Flow_3[Type],"Out",Cash_Flow_3[Category],"Bathroom")</f>
        <v>48473</v>
      </c>
      <c r="M219" s="29">
        <f>SUMIFS(Cash_Flow_3[Amount],Cash_Flow_3[Bulan],H219,Cash_Flow_3[Type],"Out",Cash_Flow_3[Category],"Alfa")</f>
        <v>775042</v>
      </c>
      <c r="N219" s="29">
        <f>SUMIFS(Cash_Flow_3[Amount],Cash_Flow_3[Bulan],H219,Cash_Flow_3[Type],"Out",Cash_Flow_3[Category],"Jajan")</f>
        <v>795099</v>
      </c>
      <c r="O219" s="29">
        <f>SUMIFS(Cash_Flow_3[Amount],Cash_Flow_3[Bulan],H219,Cash_Flow_3[Type],"Out",Cash_Flow_3[Category],"Kitchen")</f>
        <v>1003600</v>
      </c>
      <c r="P219" s="29">
        <f>SUMIFS(Cash_Flow_3[Amount],Cash_Flow_3[Bulan],H219,Cash_Flow_3[Type],"Out",Cash_Flow_3[Category],"Loandry")</f>
        <v>41000</v>
      </c>
      <c r="Q219" s="29">
        <f>SUMIFS(Cash_Flow_3[Amount],Cash_Flow_3[Bulan],H219,Cash_Flow_3[Type],"Out",Cash_Flow_3[Category],"Mio")</f>
        <v>364500</v>
      </c>
      <c r="R219" s="29">
        <f>SUMIFS(Cash_Flow_3[Amount],Cash_Flow_3[Bulan],H219,Cash_Flow_3[Type],"Out",Cash_Flow_3[Category],"Sedekah")</f>
        <v>130000</v>
      </c>
      <c r="S219" s="29">
        <f>SUMIFS(Cash_Flow_3[Amount],Cash_Flow_3[Bulan],H219,Cash_Flow_3[Type],"Out",Cash_Flow_3[Category],"Zela")</f>
        <v>215161</v>
      </c>
      <c r="T219" s="29">
        <f>SUMIFS(Cash_Flow_3[Amount],Cash_Flow_3[Bulan],H219,Cash_Flow_3[Type],"Out",Cash_Flow_3[Category],"Iqbal")</f>
        <v>160000</v>
      </c>
    </row>
    <row r="220" spans="1:20" ht="22.5" customHeight="1" x14ac:dyDescent="0.2">
      <c r="A220" s="23">
        <v>46089</v>
      </c>
      <c r="B220" s="24" t="s">
        <v>136</v>
      </c>
      <c r="C220" s="25" t="s">
        <v>46</v>
      </c>
      <c r="D220" s="25" t="s">
        <v>44</v>
      </c>
      <c r="E220" s="25" t="s">
        <v>6</v>
      </c>
      <c r="F220" s="26">
        <v>20000</v>
      </c>
      <c r="G220" s="27"/>
      <c r="H220" s="28">
        <f t="shared" si="0"/>
        <v>46082</v>
      </c>
      <c r="I220" s="29">
        <f>SUMIFS(Cash_Flow_3[Amount],Cash_Flow_3[Bulan],H220,Cash_Flow_3[Type],"In")</f>
        <v>13015393</v>
      </c>
      <c r="J220" s="29">
        <f>SUMIFS(Cash_Flow_3[Amount],Cash_Flow_3[Bulan],H220,Cash_Flow_3[Type],"Out")</f>
        <v>10475288</v>
      </c>
      <c r="K220" s="29">
        <f>SUMIFS(Cash_Flow_3[Amount],Cash_Flow_3[Bulan],H220,Cash_Flow_3[Type],"Out",Cash_Flow_3[Category],"Fix")</f>
        <v>2908413</v>
      </c>
      <c r="L220" s="29">
        <f>SUMIFS(Cash_Flow_3[Amount],Cash_Flow_3[Bulan],H220,Cash_Flow_3[Type],"Out",Cash_Flow_3[Category],"Bathroom")</f>
        <v>48473</v>
      </c>
      <c r="M220" s="29">
        <f>SUMIFS(Cash_Flow_3[Amount],Cash_Flow_3[Bulan],H220,Cash_Flow_3[Type],"Out",Cash_Flow_3[Category],"Alfa")</f>
        <v>775042</v>
      </c>
      <c r="N220" s="29">
        <f>SUMIFS(Cash_Flow_3[Amount],Cash_Flow_3[Bulan],H220,Cash_Flow_3[Type],"Out",Cash_Flow_3[Category],"Jajan")</f>
        <v>795099</v>
      </c>
      <c r="O220" s="29">
        <f>SUMIFS(Cash_Flow_3[Amount],Cash_Flow_3[Bulan],H220,Cash_Flow_3[Type],"Out",Cash_Flow_3[Category],"Kitchen")</f>
        <v>1003600</v>
      </c>
      <c r="P220" s="29">
        <f>SUMIFS(Cash_Flow_3[Amount],Cash_Flow_3[Bulan],H220,Cash_Flow_3[Type],"Out",Cash_Flow_3[Category],"Loandry")</f>
        <v>41000</v>
      </c>
      <c r="Q220" s="29">
        <f>SUMIFS(Cash_Flow_3[Amount],Cash_Flow_3[Bulan],H220,Cash_Flow_3[Type],"Out",Cash_Flow_3[Category],"Mio")</f>
        <v>364500</v>
      </c>
      <c r="R220" s="29">
        <f>SUMIFS(Cash_Flow_3[Amount],Cash_Flow_3[Bulan],H220,Cash_Flow_3[Type],"Out",Cash_Flow_3[Category],"Sedekah")</f>
        <v>130000</v>
      </c>
      <c r="S220" s="29">
        <f>SUMIFS(Cash_Flow_3[Amount],Cash_Flow_3[Bulan],H220,Cash_Flow_3[Type],"Out",Cash_Flow_3[Category],"Zela")</f>
        <v>215161</v>
      </c>
      <c r="T220" s="29">
        <f>SUMIFS(Cash_Flow_3[Amount],Cash_Flow_3[Bulan],H220,Cash_Flow_3[Type],"Out",Cash_Flow_3[Category],"Iqbal")</f>
        <v>160000</v>
      </c>
    </row>
    <row r="221" spans="1:20" ht="22.5" customHeight="1" x14ac:dyDescent="0.2">
      <c r="A221" s="23">
        <v>46095</v>
      </c>
      <c r="B221" s="24" t="s">
        <v>137</v>
      </c>
      <c r="C221" s="25" t="s">
        <v>43</v>
      </c>
      <c r="D221" s="25" t="s">
        <v>44</v>
      </c>
      <c r="E221" s="25" t="s">
        <v>0</v>
      </c>
      <c r="F221" s="26">
        <v>17541</v>
      </c>
      <c r="G221" s="27"/>
      <c r="H221" s="28">
        <f t="shared" si="0"/>
        <v>46082</v>
      </c>
      <c r="I221" s="29">
        <f>SUMIFS(Cash_Flow_3[Amount],Cash_Flow_3[Bulan],H221,Cash_Flow_3[Type],"In")</f>
        <v>13015393</v>
      </c>
      <c r="J221" s="29">
        <f>SUMIFS(Cash_Flow_3[Amount],Cash_Flow_3[Bulan],H221,Cash_Flow_3[Type],"Out")</f>
        <v>10475288</v>
      </c>
      <c r="K221" s="29">
        <f>SUMIFS(Cash_Flow_3[Amount],Cash_Flow_3[Bulan],H221,Cash_Flow_3[Type],"Out",Cash_Flow_3[Category],"Fix")</f>
        <v>2908413</v>
      </c>
      <c r="L221" s="29">
        <f>SUMIFS(Cash_Flow_3[Amount],Cash_Flow_3[Bulan],H221,Cash_Flow_3[Type],"Out",Cash_Flow_3[Category],"Bathroom")</f>
        <v>48473</v>
      </c>
      <c r="M221" s="29">
        <f>SUMIFS(Cash_Flow_3[Amount],Cash_Flow_3[Bulan],H221,Cash_Flow_3[Type],"Out",Cash_Flow_3[Category],"Alfa")</f>
        <v>775042</v>
      </c>
      <c r="N221" s="29">
        <f>SUMIFS(Cash_Flow_3[Amount],Cash_Flow_3[Bulan],H221,Cash_Flow_3[Type],"Out",Cash_Flow_3[Category],"Jajan")</f>
        <v>795099</v>
      </c>
      <c r="O221" s="29">
        <f>SUMIFS(Cash_Flow_3[Amount],Cash_Flow_3[Bulan],H221,Cash_Flow_3[Type],"Out",Cash_Flow_3[Category],"Kitchen")</f>
        <v>1003600</v>
      </c>
      <c r="P221" s="29">
        <f>SUMIFS(Cash_Flow_3[Amount],Cash_Flow_3[Bulan],H221,Cash_Flow_3[Type],"Out",Cash_Flow_3[Category],"Loandry")</f>
        <v>41000</v>
      </c>
      <c r="Q221" s="29">
        <f>SUMIFS(Cash_Flow_3[Amount],Cash_Flow_3[Bulan],H221,Cash_Flow_3[Type],"Out",Cash_Flow_3[Category],"Mio")</f>
        <v>364500</v>
      </c>
      <c r="R221" s="29">
        <f>SUMIFS(Cash_Flow_3[Amount],Cash_Flow_3[Bulan],H221,Cash_Flow_3[Type],"Out",Cash_Flow_3[Category],"Sedekah")</f>
        <v>130000</v>
      </c>
      <c r="S221" s="29">
        <f>SUMIFS(Cash_Flow_3[Amount],Cash_Flow_3[Bulan],H221,Cash_Flow_3[Type],"Out",Cash_Flow_3[Category],"Zela")</f>
        <v>215161</v>
      </c>
      <c r="T221" s="29">
        <f>SUMIFS(Cash_Flow_3[Amount],Cash_Flow_3[Bulan],H221,Cash_Flow_3[Type],"Out",Cash_Flow_3[Category],"Iqbal")</f>
        <v>160000</v>
      </c>
    </row>
    <row r="222" spans="1:20" ht="22.5" customHeight="1" x14ac:dyDescent="0.2">
      <c r="A222" s="23">
        <v>46097</v>
      </c>
      <c r="B222" s="24" t="s">
        <v>138</v>
      </c>
      <c r="C222" s="25" t="s">
        <v>43</v>
      </c>
      <c r="D222" s="25" t="s">
        <v>39</v>
      </c>
      <c r="E222" s="25" t="s">
        <v>0</v>
      </c>
      <c r="F222" s="26">
        <v>2332272</v>
      </c>
      <c r="G222" s="27"/>
      <c r="H222" s="28">
        <f t="shared" si="0"/>
        <v>46082</v>
      </c>
      <c r="I222" s="29">
        <f>SUMIFS(Cash_Flow_3[Amount],Cash_Flow_3[Bulan],H222,Cash_Flow_3[Type],"In")</f>
        <v>13015393</v>
      </c>
      <c r="J222" s="29">
        <f>SUMIFS(Cash_Flow_3[Amount],Cash_Flow_3[Bulan],H222,Cash_Flow_3[Type],"Out")</f>
        <v>10475288</v>
      </c>
      <c r="K222" s="29">
        <f>SUMIFS(Cash_Flow_3[Amount],Cash_Flow_3[Bulan],H222,Cash_Flow_3[Type],"Out",Cash_Flow_3[Category],"Fix")</f>
        <v>2908413</v>
      </c>
      <c r="L222" s="29">
        <f>SUMIFS(Cash_Flow_3[Amount],Cash_Flow_3[Bulan],H222,Cash_Flow_3[Type],"Out",Cash_Flow_3[Category],"Bathroom")</f>
        <v>48473</v>
      </c>
      <c r="M222" s="29">
        <f>SUMIFS(Cash_Flow_3[Amount],Cash_Flow_3[Bulan],H222,Cash_Flow_3[Type],"Out",Cash_Flow_3[Category],"Alfa")</f>
        <v>775042</v>
      </c>
      <c r="N222" s="29">
        <f>SUMIFS(Cash_Flow_3[Amount],Cash_Flow_3[Bulan],H222,Cash_Flow_3[Type],"Out",Cash_Flow_3[Category],"Jajan")</f>
        <v>795099</v>
      </c>
      <c r="O222" s="29">
        <f>SUMIFS(Cash_Flow_3[Amount],Cash_Flow_3[Bulan],H222,Cash_Flow_3[Type],"Out",Cash_Flow_3[Category],"Kitchen")</f>
        <v>1003600</v>
      </c>
      <c r="P222" s="29">
        <f>SUMIFS(Cash_Flow_3[Amount],Cash_Flow_3[Bulan],H222,Cash_Flow_3[Type],"Out",Cash_Flow_3[Category],"Loandry")</f>
        <v>41000</v>
      </c>
      <c r="Q222" s="29">
        <f>SUMIFS(Cash_Flow_3[Amount],Cash_Flow_3[Bulan],H222,Cash_Flow_3[Type],"Out",Cash_Flow_3[Category],"Mio")</f>
        <v>364500</v>
      </c>
      <c r="R222" s="29">
        <f>SUMIFS(Cash_Flow_3[Amount],Cash_Flow_3[Bulan],H222,Cash_Flow_3[Type],"Out",Cash_Flow_3[Category],"Sedekah")</f>
        <v>130000</v>
      </c>
      <c r="S222" s="29">
        <f>SUMIFS(Cash_Flow_3[Amount],Cash_Flow_3[Bulan],H222,Cash_Flow_3[Type],"Out",Cash_Flow_3[Category],"Zela")</f>
        <v>215161</v>
      </c>
      <c r="T222" s="29">
        <f>SUMIFS(Cash_Flow_3[Amount],Cash_Flow_3[Bulan],H222,Cash_Flow_3[Type],"Out",Cash_Flow_3[Category],"Iqbal")</f>
        <v>160000</v>
      </c>
    </row>
    <row r="223" spans="1:20" ht="22.5" customHeight="1" x14ac:dyDescent="0.2">
      <c r="A223" s="23">
        <v>46097</v>
      </c>
      <c r="B223" s="24" t="s">
        <v>58</v>
      </c>
      <c r="C223" s="25" t="s">
        <v>43</v>
      </c>
      <c r="D223" s="25" t="s">
        <v>9</v>
      </c>
      <c r="E223" s="25" t="s">
        <v>0</v>
      </c>
      <c r="F223" s="26">
        <v>1300700</v>
      </c>
      <c r="G223" s="27"/>
      <c r="H223" s="28">
        <f t="shared" si="0"/>
        <v>46082</v>
      </c>
      <c r="I223" s="29">
        <f>SUMIFS(Cash_Flow_3[Amount],Cash_Flow_3[Bulan],H223,Cash_Flow_3[Type],"In")</f>
        <v>13015393</v>
      </c>
      <c r="J223" s="29">
        <f>SUMIFS(Cash_Flow_3[Amount],Cash_Flow_3[Bulan],H223,Cash_Flow_3[Type],"Out")</f>
        <v>10475288</v>
      </c>
      <c r="K223" s="29">
        <f>SUMIFS(Cash_Flow_3[Amount],Cash_Flow_3[Bulan],H223,Cash_Flow_3[Type],"Out",Cash_Flow_3[Category],"Fix")</f>
        <v>2908413</v>
      </c>
      <c r="L223" s="29">
        <f>SUMIFS(Cash_Flow_3[Amount],Cash_Flow_3[Bulan],H223,Cash_Flow_3[Type],"Out",Cash_Flow_3[Category],"Bathroom")</f>
        <v>48473</v>
      </c>
      <c r="M223" s="29">
        <f>SUMIFS(Cash_Flow_3[Amount],Cash_Flow_3[Bulan],H223,Cash_Flow_3[Type],"Out",Cash_Flow_3[Category],"Alfa")</f>
        <v>775042</v>
      </c>
      <c r="N223" s="29">
        <f>SUMIFS(Cash_Flow_3[Amount],Cash_Flow_3[Bulan],H223,Cash_Flow_3[Type],"Out",Cash_Flow_3[Category],"Jajan")</f>
        <v>795099</v>
      </c>
      <c r="O223" s="29">
        <f>SUMIFS(Cash_Flow_3[Amount],Cash_Flow_3[Bulan],H223,Cash_Flow_3[Type],"Out",Cash_Flow_3[Category],"Kitchen")</f>
        <v>1003600</v>
      </c>
      <c r="P223" s="29">
        <f>SUMIFS(Cash_Flow_3[Amount],Cash_Flow_3[Bulan],H223,Cash_Flow_3[Type],"Out",Cash_Flow_3[Category],"Loandry")</f>
        <v>41000</v>
      </c>
      <c r="Q223" s="29">
        <f>SUMIFS(Cash_Flow_3[Amount],Cash_Flow_3[Bulan],H223,Cash_Flow_3[Type],"Out",Cash_Flow_3[Category],"Mio")</f>
        <v>364500</v>
      </c>
      <c r="R223" s="29">
        <f>SUMIFS(Cash_Flow_3[Amount],Cash_Flow_3[Bulan],H223,Cash_Flow_3[Type],"Out",Cash_Flow_3[Category],"Sedekah")</f>
        <v>130000</v>
      </c>
      <c r="S223" s="29">
        <f>SUMIFS(Cash_Flow_3[Amount],Cash_Flow_3[Bulan],H223,Cash_Flow_3[Type],"Out",Cash_Flow_3[Category],"Zela")</f>
        <v>215161</v>
      </c>
      <c r="T223" s="29">
        <f>SUMIFS(Cash_Flow_3[Amount],Cash_Flow_3[Bulan],H223,Cash_Flow_3[Type],"Out",Cash_Flow_3[Category],"Iqbal")</f>
        <v>160000</v>
      </c>
    </row>
    <row r="224" spans="1:20" ht="22.5" customHeight="1" x14ac:dyDescent="0.2">
      <c r="A224" s="23">
        <v>46098</v>
      </c>
      <c r="B224" s="24" t="s">
        <v>141</v>
      </c>
      <c r="C224" s="25" t="s">
        <v>43</v>
      </c>
      <c r="D224" s="25" t="s">
        <v>39</v>
      </c>
      <c r="E224" s="25" t="s">
        <v>0</v>
      </c>
      <c r="F224" s="26">
        <v>150000</v>
      </c>
      <c r="G224" s="27"/>
      <c r="H224" s="28">
        <f t="shared" si="0"/>
        <v>46082</v>
      </c>
      <c r="I224" s="29">
        <f>SUMIFS(Cash_Flow_3[Amount],Cash_Flow_3[Bulan],H224,Cash_Flow_3[Type],"In")</f>
        <v>13015393</v>
      </c>
      <c r="J224" s="29">
        <f>SUMIFS(Cash_Flow_3[Amount],Cash_Flow_3[Bulan],H224,Cash_Flow_3[Type],"Out")</f>
        <v>10475288</v>
      </c>
      <c r="K224" s="29">
        <f>SUMIFS(Cash_Flow_3[Amount],Cash_Flow_3[Bulan],H224,Cash_Flow_3[Type],"Out",Cash_Flow_3[Category],"Fix")</f>
        <v>2908413</v>
      </c>
      <c r="L224" s="29">
        <f>SUMIFS(Cash_Flow_3[Amount],Cash_Flow_3[Bulan],H224,Cash_Flow_3[Type],"Out",Cash_Flow_3[Category],"Bathroom")</f>
        <v>48473</v>
      </c>
      <c r="M224" s="29">
        <f>SUMIFS(Cash_Flow_3[Amount],Cash_Flow_3[Bulan],H224,Cash_Flow_3[Type],"Out",Cash_Flow_3[Category],"Alfa")</f>
        <v>775042</v>
      </c>
      <c r="N224" s="29">
        <f>SUMIFS(Cash_Flow_3[Amount],Cash_Flow_3[Bulan],H224,Cash_Flow_3[Type],"Out",Cash_Flow_3[Category],"Jajan")</f>
        <v>795099</v>
      </c>
      <c r="O224" s="29">
        <f>SUMIFS(Cash_Flow_3[Amount],Cash_Flow_3[Bulan],H224,Cash_Flow_3[Type],"Out",Cash_Flow_3[Category],"Kitchen")</f>
        <v>1003600</v>
      </c>
      <c r="P224" s="29">
        <f>SUMIFS(Cash_Flow_3[Amount],Cash_Flow_3[Bulan],H224,Cash_Flow_3[Type],"Out",Cash_Flow_3[Category],"Loandry")</f>
        <v>41000</v>
      </c>
      <c r="Q224" s="29">
        <f>SUMIFS(Cash_Flow_3[Amount],Cash_Flow_3[Bulan],H224,Cash_Flow_3[Type],"Out",Cash_Flow_3[Category],"Mio")</f>
        <v>364500</v>
      </c>
      <c r="R224" s="29">
        <f>SUMIFS(Cash_Flow_3[Amount],Cash_Flow_3[Bulan],H224,Cash_Flow_3[Type],"Out",Cash_Flow_3[Category],"Sedekah")</f>
        <v>130000</v>
      </c>
      <c r="S224" s="29">
        <f>SUMIFS(Cash_Flow_3[Amount],Cash_Flow_3[Bulan],H224,Cash_Flow_3[Type],"Out",Cash_Flow_3[Category],"Zela")</f>
        <v>215161</v>
      </c>
      <c r="T224" s="29">
        <f>SUMIFS(Cash_Flow_3[Amount],Cash_Flow_3[Bulan],H224,Cash_Flow_3[Type],"Out",Cash_Flow_3[Category],"Iqbal")</f>
        <v>160000</v>
      </c>
    </row>
    <row r="225" spans="1:20" ht="22.5" customHeight="1" x14ac:dyDescent="0.2">
      <c r="A225" s="23">
        <v>46099</v>
      </c>
      <c r="B225" s="24" t="s">
        <v>143</v>
      </c>
      <c r="C225" s="25" t="s">
        <v>43</v>
      </c>
      <c r="D225" s="25" t="s">
        <v>44</v>
      </c>
      <c r="E225" s="25" t="s">
        <v>0</v>
      </c>
      <c r="F225" s="26">
        <v>18000</v>
      </c>
      <c r="G225" s="27"/>
      <c r="H225" s="28">
        <f t="shared" si="0"/>
        <v>46082</v>
      </c>
      <c r="I225" s="29">
        <f>SUMIFS(Cash_Flow_3[Amount],Cash_Flow_3[Bulan],H225,Cash_Flow_3[Type],"In")</f>
        <v>13015393</v>
      </c>
      <c r="J225" s="29">
        <f>SUMIFS(Cash_Flow_3[Amount],Cash_Flow_3[Bulan],H225,Cash_Flow_3[Type],"Out")</f>
        <v>10475288</v>
      </c>
      <c r="K225" s="29">
        <f>SUMIFS(Cash_Flow_3[Amount],Cash_Flow_3[Bulan],H225,Cash_Flow_3[Type],"Out",Cash_Flow_3[Category],"Fix")</f>
        <v>2908413</v>
      </c>
      <c r="L225" s="29">
        <f>SUMIFS(Cash_Flow_3[Amount],Cash_Flow_3[Bulan],H225,Cash_Flow_3[Type],"Out",Cash_Flow_3[Category],"Bathroom")</f>
        <v>48473</v>
      </c>
      <c r="M225" s="29">
        <f>SUMIFS(Cash_Flow_3[Amount],Cash_Flow_3[Bulan],H225,Cash_Flow_3[Type],"Out",Cash_Flow_3[Category],"Alfa")</f>
        <v>775042</v>
      </c>
      <c r="N225" s="29">
        <f>SUMIFS(Cash_Flow_3[Amount],Cash_Flow_3[Bulan],H225,Cash_Flow_3[Type],"Out",Cash_Flow_3[Category],"Jajan")</f>
        <v>795099</v>
      </c>
      <c r="O225" s="29">
        <f>SUMIFS(Cash_Flow_3[Amount],Cash_Flow_3[Bulan],H225,Cash_Flow_3[Type],"Out",Cash_Flow_3[Category],"Kitchen")</f>
        <v>1003600</v>
      </c>
      <c r="P225" s="29">
        <f>SUMIFS(Cash_Flow_3[Amount],Cash_Flow_3[Bulan],H225,Cash_Flow_3[Type],"Out",Cash_Flow_3[Category],"Loandry")</f>
        <v>41000</v>
      </c>
      <c r="Q225" s="29">
        <f>SUMIFS(Cash_Flow_3[Amount],Cash_Flow_3[Bulan],H225,Cash_Flow_3[Type],"Out",Cash_Flow_3[Category],"Mio")</f>
        <v>364500</v>
      </c>
      <c r="R225" s="29">
        <f>SUMIFS(Cash_Flow_3[Amount],Cash_Flow_3[Bulan],H225,Cash_Flow_3[Type],"Out",Cash_Flow_3[Category],"Sedekah")</f>
        <v>130000</v>
      </c>
      <c r="S225" s="29">
        <f>SUMIFS(Cash_Flow_3[Amount],Cash_Flow_3[Bulan],H225,Cash_Flow_3[Type],"Out",Cash_Flow_3[Category],"Zela")</f>
        <v>215161</v>
      </c>
      <c r="T225" s="29">
        <f>SUMIFS(Cash_Flow_3[Amount],Cash_Flow_3[Bulan],H225,Cash_Flow_3[Type],"Out",Cash_Flow_3[Category],"Iqbal")</f>
        <v>160000</v>
      </c>
    </row>
    <row r="226" spans="1:20" ht="22.5" customHeight="1" x14ac:dyDescent="0.2">
      <c r="A226" s="23">
        <v>46099</v>
      </c>
      <c r="B226" s="24" t="s">
        <v>144</v>
      </c>
      <c r="C226" s="25" t="s">
        <v>43</v>
      </c>
      <c r="D226" s="25" t="s">
        <v>44</v>
      </c>
      <c r="E226" s="25" t="s">
        <v>2</v>
      </c>
      <c r="F226" s="26">
        <v>58000</v>
      </c>
      <c r="G226" s="27"/>
      <c r="H226" s="28">
        <f t="shared" si="0"/>
        <v>46082</v>
      </c>
      <c r="I226" s="29">
        <f>SUMIFS(Cash_Flow_3[Amount],Cash_Flow_3[Bulan],H226,Cash_Flow_3[Type],"In")</f>
        <v>13015393</v>
      </c>
      <c r="J226" s="29">
        <f>SUMIFS(Cash_Flow_3[Amount],Cash_Flow_3[Bulan],H226,Cash_Flow_3[Type],"Out")</f>
        <v>10475288</v>
      </c>
      <c r="K226" s="29">
        <f>SUMIFS(Cash_Flow_3[Amount],Cash_Flow_3[Bulan],H226,Cash_Flow_3[Type],"Out",Cash_Flow_3[Category],"Fix")</f>
        <v>2908413</v>
      </c>
      <c r="L226" s="29">
        <f>SUMIFS(Cash_Flow_3[Amount],Cash_Flow_3[Bulan],H226,Cash_Flow_3[Type],"Out",Cash_Flow_3[Category],"Bathroom")</f>
        <v>48473</v>
      </c>
      <c r="M226" s="29">
        <f>SUMIFS(Cash_Flow_3[Amount],Cash_Flow_3[Bulan],H226,Cash_Flow_3[Type],"Out",Cash_Flow_3[Category],"Alfa")</f>
        <v>775042</v>
      </c>
      <c r="N226" s="29">
        <f>SUMIFS(Cash_Flow_3[Amount],Cash_Flow_3[Bulan],H226,Cash_Flow_3[Type],"Out",Cash_Flow_3[Category],"Jajan")</f>
        <v>795099</v>
      </c>
      <c r="O226" s="29">
        <f>SUMIFS(Cash_Flow_3[Amount],Cash_Flow_3[Bulan],H226,Cash_Flow_3[Type],"Out",Cash_Flow_3[Category],"Kitchen")</f>
        <v>1003600</v>
      </c>
      <c r="P226" s="29">
        <f>SUMIFS(Cash_Flow_3[Amount],Cash_Flow_3[Bulan],H226,Cash_Flow_3[Type],"Out",Cash_Flow_3[Category],"Loandry")</f>
        <v>41000</v>
      </c>
      <c r="Q226" s="29">
        <f>SUMIFS(Cash_Flow_3[Amount],Cash_Flow_3[Bulan],H226,Cash_Flow_3[Type],"Out",Cash_Flow_3[Category],"Mio")</f>
        <v>364500</v>
      </c>
      <c r="R226" s="29">
        <f>SUMIFS(Cash_Flow_3[Amount],Cash_Flow_3[Bulan],H226,Cash_Flow_3[Type],"Out",Cash_Flow_3[Category],"Sedekah")</f>
        <v>130000</v>
      </c>
      <c r="S226" s="29">
        <f>SUMIFS(Cash_Flow_3[Amount],Cash_Flow_3[Bulan],H226,Cash_Flow_3[Type],"Out",Cash_Flow_3[Category],"Zela")</f>
        <v>215161</v>
      </c>
      <c r="T226" s="29">
        <f>SUMIFS(Cash_Flow_3[Amount],Cash_Flow_3[Bulan],H226,Cash_Flow_3[Type],"Out",Cash_Flow_3[Category],"Iqbal")</f>
        <v>160000</v>
      </c>
    </row>
    <row r="227" spans="1:20" ht="22.5" customHeight="1" x14ac:dyDescent="0.2">
      <c r="A227" s="23">
        <v>46100</v>
      </c>
      <c r="B227" s="24" t="s">
        <v>145</v>
      </c>
      <c r="C227" s="25" t="s">
        <v>43</v>
      </c>
      <c r="D227" s="25" t="s">
        <v>44</v>
      </c>
      <c r="E227" s="25" t="s">
        <v>3</v>
      </c>
      <c r="F227" s="26">
        <v>35000</v>
      </c>
      <c r="G227" s="27"/>
      <c r="H227" s="28">
        <f t="shared" si="0"/>
        <v>46082</v>
      </c>
      <c r="I227" s="29">
        <f>SUMIFS(Cash_Flow_3[Amount],Cash_Flow_3[Bulan],H227,Cash_Flow_3[Type],"In")</f>
        <v>13015393</v>
      </c>
      <c r="J227" s="29">
        <f>SUMIFS(Cash_Flow_3[Amount],Cash_Flow_3[Bulan],H227,Cash_Flow_3[Type],"Out")</f>
        <v>10475288</v>
      </c>
      <c r="K227" s="29">
        <f>SUMIFS(Cash_Flow_3[Amount],Cash_Flow_3[Bulan],H227,Cash_Flow_3[Type],"Out",Cash_Flow_3[Category],"Fix")</f>
        <v>2908413</v>
      </c>
      <c r="L227" s="29">
        <f>SUMIFS(Cash_Flow_3[Amount],Cash_Flow_3[Bulan],H227,Cash_Flow_3[Type],"Out",Cash_Flow_3[Category],"Bathroom")</f>
        <v>48473</v>
      </c>
      <c r="M227" s="29">
        <f>SUMIFS(Cash_Flow_3[Amount],Cash_Flow_3[Bulan],H227,Cash_Flow_3[Type],"Out",Cash_Flow_3[Category],"Alfa")</f>
        <v>775042</v>
      </c>
      <c r="N227" s="29">
        <f>SUMIFS(Cash_Flow_3[Amount],Cash_Flow_3[Bulan],H227,Cash_Flow_3[Type],"Out",Cash_Flow_3[Category],"Jajan")</f>
        <v>795099</v>
      </c>
      <c r="O227" s="29">
        <f>SUMIFS(Cash_Flow_3[Amount],Cash_Flow_3[Bulan],H227,Cash_Flow_3[Type],"Out",Cash_Flow_3[Category],"Kitchen")</f>
        <v>1003600</v>
      </c>
      <c r="P227" s="29">
        <f>SUMIFS(Cash_Flow_3[Amount],Cash_Flow_3[Bulan],H227,Cash_Flow_3[Type],"Out",Cash_Flow_3[Category],"Loandry")</f>
        <v>41000</v>
      </c>
      <c r="Q227" s="29">
        <f>SUMIFS(Cash_Flow_3[Amount],Cash_Flow_3[Bulan],H227,Cash_Flow_3[Type],"Out",Cash_Flow_3[Category],"Mio")</f>
        <v>364500</v>
      </c>
      <c r="R227" s="29">
        <f>SUMIFS(Cash_Flow_3[Amount],Cash_Flow_3[Bulan],H227,Cash_Flow_3[Type],"Out",Cash_Flow_3[Category],"Sedekah")</f>
        <v>130000</v>
      </c>
      <c r="S227" s="29">
        <f>SUMIFS(Cash_Flow_3[Amount],Cash_Flow_3[Bulan],H227,Cash_Flow_3[Type],"Out",Cash_Flow_3[Category],"Zela")</f>
        <v>215161</v>
      </c>
      <c r="T227" s="29">
        <f>SUMIFS(Cash_Flow_3[Amount],Cash_Flow_3[Bulan],H227,Cash_Flow_3[Type],"Out",Cash_Flow_3[Category],"Iqbal")</f>
        <v>160000</v>
      </c>
    </row>
    <row r="228" spans="1:20" ht="22.5" customHeight="1" x14ac:dyDescent="0.2">
      <c r="A228" s="23">
        <v>46100</v>
      </c>
      <c r="B228" s="24" t="s">
        <v>147</v>
      </c>
      <c r="C228" s="25" t="s">
        <v>43</v>
      </c>
      <c r="D228" s="25" t="s">
        <v>44</v>
      </c>
      <c r="E228" s="25" t="s">
        <v>3</v>
      </c>
      <c r="F228" s="26">
        <v>35000</v>
      </c>
      <c r="G228" s="27"/>
      <c r="H228" s="28">
        <f t="shared" si="0"/>
        <v>46082</v>
      </c>
      <c r="I228" s="29">
        <f>SUMIFS(Cash_Flow_3[Amount],Cash_Flow_3[Bulan],H228,Cash_Flow_3[Type],"In")</f>
        <v>13015393</v>
      </c>
      <c r="J228" s="29">
        <f>SUMIFS(Cash_Flow_3[Amount],Cash_Flow_3[Bulan],H228,Cash_Flow_3[Type],"Out")</f>
        <v>10475288</v>
      </c>
      <c r="K228" s="29">
        <f>SUMIFS(Cash_Flow_3[Amount],Cash_Flow_3[Bulan],H228,Cash_Flow_3[Type],"Out",Cash_Flow_3[Category],"Fix")</f>
        <v>2908413</v>
      </c>
      <c r="L228" s="29">
        <f>SUMIFS(Cash_Flow_3[Amount],Cash_Flow_3[Bulan],H228,Cash_Flow_3[Type],"Out",Cash_Flow_3[Category],"Bathroom")</f>
        <v>48473</v>
      </c>
      <c r="M228" s="29">
        <f>SUMIFS(Cash_Flow_3[Amount],Cash_Flow_3[Bulan],H228,Cash_Flow_3[Type],"Out",Cash_Flow_3[Category],"Alfa")</f>
        <v>775042</v>
      </c>
      <c r="N228" s="29">
        <f>SUMIFS(Cash_Flow_3[Amount],Cash_Flow_3[Bulan],H228,Cash_Flow_3[Type],"Out",Cash_Flow_3[Category],"Jajan")</f>
        <v>795099</v>
      </c>
      <c r="O228" s="29">
        <f>SUMIFS(Cash_Flow_3[Amount],Cash_Flow_3[Bulan],H228,Cash_Flow_3[Type],"Out",Cash_Flow_3[Category],"Kitchen")</f>
        <v>1003600</v>
      </c>
      <c r="P228" s="29">
        <f>SUMIFS(Cash_Flow_3[Amount],Cash_Flow_3[Bulan],H228,Cash_Flow_3[Type],"Out",Cash_Flow_3[Category],"Loandry")</f>
        <v>41000</v>
      </c>
      <c r="Q228" s="29">
        <f>SUMIFS(Cash_Flow_3[Amount],Cash_Flow_3[Bulan],H228,Cash_Flow_3[Type],"Out",Cash_Flow_3[Category],"Mio")</f>
        <v>364500</v>
      </c>
      <c r="R228" s="29">
        <f>SUMIFS(Cash_Flow_3[Amount],Cash_Flow_3[Bulan],H228,Cash_Flow_3[Type],"Out",Cash_Flow_3[Category],"Sedekah")</f>
        <v>130000</v>
      </c>
      <c r="S228" s="29">
        <f>SUMIFS(Cash_Flow_3[Amount],Cash_Flow_3[Bulan],H228,Cash_Flow_3[Type],"Out",Cash_Flow_3[Category],"Zela")</f>
        <v>215161</v>
      </c>
      <c r="T228" s="29">
        <f>SUMIFS(Cash_Flow_3[Amount],Cash_Flow_3[Bulan],H228,Cash_Flow_3[Type],"Out",Cash_Flow_3[Category],"Iqbal")</f>
        <v>160000</v>
      </c>
    </row>
    <row r="229" spans="1:20" ht="22.5" customHeight="1" x14ac:dyDescent="0.2">
      <c r="A229" s="23">
        <v>46101</v>
      </c>
      <c r="B229" s="24" t="s">
        <v>58</v>
      </c>
      <c r="C229" s="25" t="s">
        <v>46</v>
      </c>
      <c r="D229" s="25" t="s">
        <v>39</v>
      </c>
      <c r="E229" s="25" t="s">
        <v>9</v>
      </c>
      <c r="F229" s="26">
        <v>84000</v>
      </c>
      <c r="G229" s="27"/>
      <c r="H229" s="28">
        <f t="shared" si="0"/>
        <v>46082</v>
      </c>
      <c r="I229" s="29">
        <f>SUMIFS(Cash_Flow_3[Amount],Cash_Flow_3[Bulan],H229,Cash_Flow_3[Type],"In")</f>
        <v>13015393</v>
      </c>
      <c r="J229" s="29">
        <f>SUMIFS(Cash_Flow_3[Amount],Cash_Flow_3[Bulan],H229,Cash_Flow_3[Type],"Out")</f>
        <v>10475288</v>
      </c>
      <c r="K229" s="29">
        <f>SUMIFS(Cash_Flow_3[Amount],Cash_Flow_3[Bulan],H229,Cash_Flow_3[Type],"Out",Cash_Flow_3[Category],"Fix")</f>
        <v>2908413</v>
      </c>
      <c r="L229" s="29">
        <f>SUMIFS(Cash_Flow_3[Amount],Cash_Flow_3[Bulan],H229,Cash_Flow_3[Type],"Out",Cash_Flow_3[Category],"Bathroom")</f>
        <v>48473</v>
      </c>
      <c r="M229" s="29">
        <f>SUMIFS(Cash_Flow_3[Amount],Cash_Flow_3[Bulan],H229,Cash_Flow_3[Type],"Out",Cash_Flow_3[Category],"Alfa")</f>
        <v>775042</v>
      </c>
      <c r="N229" s="29">
        <f>SUMIFS(Cash_Flow_3[Amount],Cash_Flow_3[Bulan],H229,Cash_Flow_3[Type],"Out",Cash_Flow_3[Category],"Jajan")</f>
        <v>795099</v>
      </c>
      <c r="O229" s="29">
        <f>SUMIFS(Cash_Flow_3[Amount],Cash_Flow_3[Bulan],H229,Cash_Flow_3[Type],"Out",Cash_Flow_3[Category],"Kitchen")</f>
        <v>1003600</v>
      </c>
      <c r="P229" s="29">
        <f>SUMIFS(Cash_Flow_3[Amount],Cash_Flow_3[Bulan],H229,Cash_Flow_3[Type],"Out",Cash_Flow_3[Category],"Loandry")</f>
        <v>41000</v>
      </c>
      <c r="Q229" s="29">
        <f>SUMIFS(Cash_Flow_3[Amount],Cash_Flow_3[Bulan],H229,Cash_Flow_3[Type],"Out",Cash_Flow_3[Category],"Mio")</f>
        <v>364500</v>
      </c>
      <c r="R229" s="29">
        <f>SUMIFS(Cash_Flow_3[Amount],Cash_Flow_3[Bulan],H229,Cash_Flow_3[Type],"Out",Cash_Flow_3[Category],"Sedekah")</f>
        <v>130000</v>
      </c>
      <c r="S229" s="29">
        <f>SUMIFS(Cash_Flow_3[Amount],Cash_Flow_3[Bulan],H229,Cash_Flow_3[Type],"Out",Cash_Flow_3[Category],"Zela")</f>
        <v>215161</v>
      </c>
      <c r="T229" s="29">
        <f>SUMIFS(Cash_Flow_3[Amount],Cash_Flow_3[Bulan],H229,Cash_Flow_3[Type],"Out",Cash_Flow_3[Category],"Iqbal")</f>
        <v>160000</v>
      </c>
    </row>
    <row r="230" spans="1:20" ht="22.5" customHeight="1" x14ac:dyDescent="0.2">
      <c r="A230" s="23">
        <v>46101</v>
      </c>
      <c r="B230" s="24" t="s">
        <v>107</v>
      </c>
      <c r="C230" s="25" t="s">
        <v>46</v>
      </c>
      <c r="D230" s="25" t="s">
        <v>44</v>
      </c>
      <c r="E230" s="25" t="s">
        <v>6</v>
      </c>
      <c r="F230" s="26">
        <v>25000</v>
      </c>
      <c r="G230" s="27"/>
      <c r="H230" s="28">
        <f t="shared" si="0"/>
        <v>46082</v>
      </c>
      <c r="I230" s="29">
        <f>SUMIFS(Cash_Flow_3[Amount],Cash_Flow_3[Bulan],H230,Cash_Flow_3[Type],"In")</f>
        <v>13015393</v>
      </c>
      <c r="J230" s="29">
        <f>SUMIFS(Cash_Flow_3[Amount],Cash_Flow_3[Bulan],H230,Cash_Flow_3[Type],"Out")</f>
        <v>10475288</v>
      </c>
      <c r="K230" s="29">
        <f>SUMIFS(Cash_Flow_3[Amount],Cash_Flow_3[Bulan],H230,Cash_Flow_3[Type],"Out",Cash_Flow_3[Category],"Fix")</f>
        <v>2908413</v>
      </c>
      <c r="L230" s="29">
        <f>SUMIFS(Cash_Flow_3[Amount],Cash_Flow_3[Bulan],H230,Cash_Flow_3[Type],"Out",Cash_Flow_3[Category],"Bathroom")</f>
        <v>48473</v>
      </c>
      <c r="M230" s="29">
        <f>SUMIFS(Cash_Flow_3[Amount],Cash_Flow_3[Bulan],H230,Cash_Flow_3[Type],"Out",Cash_Flow_3[Category],"Alfa")</f>
        <v>775042</v>
      </c>
      <c r="N230" s="29">
        <f>SUMIFS(Cash_Flow_3[Amount],Cash_Flow_3[Bulan],H230,Cash_Flow_3[Type],"Out",Cash_Flow_3[Category],"Jajan")</f>
        <v>795099</v>
      </c>
      <c r="O230" s="29">
        <f>SUMIFS(Cash_Flow_3[Amount],Cash_Flow_3[Bulan],H230,Cash_Flow_3[Type],"Out",Cash_Flow_3[Category],"Kitchen")</f>
        <v>1003600</v>
      </c>
      <c r="P230" s="29">
        <f>SUMIFS(Cash_Flow_3[Amount],Cash_Flow_3[Bulan],H230,Cash_Flow_3[Type],"Out",Cash_Flow_3[Category],"Loandry")</f>
        <v>41000</v>
      </c>
      <c r="Q230" s="29">
        <f>SUMIFS(Cash_Flow_3[Amount],Cash_Flow_3[Bulan],H230,Cash_Flow_3[Type],"Out",Cash_Flow_3[Category],"Mio")</f>
        <v>364500</v>
      </c>
      <c r="R230" s="29">
        <f>SUMIFS(Cash_Flow_3[Amount],Cash_Flow_3[Bulan],H230,Cash_Flow_3[Type],"Out",Cash_Flow_3[Category],"Sedekah")</f>
        <v>130000</v>
      </c>
      <c r="S230" s="29">
        <f>SUMIFS(Cash_Flow_3[Amount],Cash_Flow_3[Bulan],H230,Cash_Flow_3[Type],"Out",Cash_Flow_3[Category],"Zela")</f>
        <v>215161</v>
      </c>
      <c r="T230" s="29">
        <f>SUMIFS(Cash_Flow_3[Amount],Cash_Flow_3[Bulan],H230,Cash_Flow_3[Type],"Out",Cash_Flow_3[Category],"Iqbal")</f>
        <v>160000</v>
      </c>
    </row>
    <row r="231" spans="1:20" ht="22.5" customHeight="1" x14ac:dyDescent="0.2">
      <c r="A231" s="23">
        <v>46101</v>
      </c>
      <c r="B231" s="24" t="s">
        <v>150</v>
      </c>
      <c r="C231" s="25" t="s">
        <v>46</v>
      </c>
      <c r="D231" s="25" t="s">
        <v>44</v>
      </c>
      <c r="E231" s="25" t="s">
        <v>8</v>
      </c>
      <c r="F231" s="26">
        <v>50000</v>
      </c>
      <c r="G231" s="27"/>
      <c r="H231" s="28">
        <f t="shared" si="0"/>
        <v>46082</v>
      </c>
      <c r="I231" s="29">
        <f>SUMIFS(Cash_Flow_3[Amount],Cash_Flow_3[Bulan],H231,Cash_Flow_3[Type],"In")</f>
        <v>13015393</v>
      </c>
      <c r="J231" s="29">
        <f>SUMIFS(Cash_Flow_3[Amount],Cash_Flow_3[Bulan],H231,Cash_Flow_3[Type],"Out")</f>
        <v>10475288</v>
      </c>
      <c r="K231" s="29">
        <f>SUMIFS(Cash_Flow_3[Amount],Cash_Flow_3[Bulan],H231,Cash_Flow_3[Type],"Out",Cash_Flow_3[Category],"Fix")</f>
        <v>2908413</v>
      </c>
      <c r="L231" s="29">
        <f>SUMIFS(Cash_Flow_3[Amount],Cash_Flow_3[Bulan],H231,Cash_Flow_3[Type],"Out",Cash_Flow_3[Category],"Bathroom")</f>
        <v>48473</v>
      </c>
      <c r="M231" s="29">
        <f>SUMIFS(Cash_Flow_3[Amount],Cash_Flow_3[Bulan],H231,Cash_Flow_3[Type],"Out",Cash_Flow_3[Category],"Alfa")</f>
        <v>775042</v>
      </c>
      <c r="N231" s="29">
        <f>SUMIFS(Cash_Flow_3[Amount],Cash_Flow_3[Bulan],H231,Cash_Flow_3[Type],"Out",Cash_Flow_3[Category],"Jajan")</f>
        <v>795099</v>
      </c>
      <c r="O231" s="29">
        <f>SUMIFS(Cash_Flow_3[Amount],Cash_Flow_3[Bulan],H231,Cash_Flow_3[Type],"Out",Cash_Flow_3[Category],"Kitchen")</f>
        <v>1003600</v>
      </c>
      <c r="P231" s="29">
        <f>SUMIFS(Cash_Flow_3[Amount],Cash_Flow_3[Bulan],H231,Cash_Flow_3[Type],"Out",Cash_Flow_3[Category],"Loandry")</f>
        <v>41000</v>
      </c>
      <c r="Q231" s="29">
        <f>SUMIFS(Cash_Flow_3[Amount],Cash_Flow_3[Bulan],H231,Cash_Flow_3[Type],"Out",Cash_Flow_3[Category],"Mio")</f>
        <v>364500</v>
      </c>
      <c r="R231" s="29">
        <f>SUMIFS(Cash_Flow_3[Amount],Cash_Flow_3[Bulan],H231,Cash_Flow_3[Type],"Out",Cash_Flow_3[Category],"Sedekah")</f>
        <v>130000</v>
      </c>
      <c r="S231" s="29">
        <f>SUMIFS(Cash_Flow_3[Amount],Cash_Flow_3[Bulan],H231,Cash_Flow_3[Type],"Out",Cash_Flow_3[Category],"Zela")</f>
        <v>215161</v>
      </c>
      <c r="T231" s="29">
        <f>SUMIFS(Cash_Flow_3[Amount],Cash_Flow_3[Bulan],H231,Cash_Flow_3[Type],"Out",Cash_Flow_3[Category],"Iqbal")</f>
        <v>160000</v>
      </c>
    </row>
    <row r="232" spans="1:20" ht="22.5" customHeight="1" x14ac:dyDescent="0.2">
      <c r="A232" s="23">
        <v>46101</v>
      </c>
      <c r="B232" s="24" t="s">
        <v>152</v>
      </c>
      <c r="C232" s="25" t="s">
        <v>46</v>
      </c>
      <c r="D232" s="25" t="s">
        <v>44</v>
      </c>
      <c r="E232" s="25" t="s">
        <v>1</v>
      </c>
      <c r="F232" s="26">
        <v>9000</v>
      </c>
      <c r="G232" s="27"/>
      <c r="H232" s="28">
        <f t="shared" si="0"/>
        <v>46082</v>
      </c>
      <c r="I232" s="29">
        <f>SUMIFS(Cash_Flow_3[Amount],Cash_Flow_3[Bulan],H232,Cash_Flow_3[Type],"In")</f>
        <v>13015393</v>
      </c>
      <c r="J232" s="29">
        <f>SUMIFS(Cash_Flow_3[Amount],Cash_Flow_3[Bulan],H232,Cash_Flow_3[Type],"Out")</f>
        <v>10475288</v>
      </c>
      <c r="K232" s="29">
        <f>SUMIFS(Cash_Flow_3[Amount],Cash_Flow_3[Bulan],H232,Cash_Flow_3[Type],"Out",Cash_Flow_3[Category],"Fix")</f>
        <v>2908413</v>
      </c>
      <c r="L232" s="29">
        <f>SUMIFS(Cash_Flow_3[Amount],Cash_Flow_3[Bulan],H232,Cash_Flow_3[Type],"Out",Cash_Flow_3[Category],"Bathroom")</f>
        <v>48473</v>
      </c>
      <c r="M232" s="29">
        <f>SUMIFS(Cash_Flow_3[Amount],Cash_Flow_3[Bulan],H232,Cash_Flow_3[Type],"Out",Cash_Flow_3[Category],"Alfa")</f>
        <v>775042</v>
      </c>
      <c r="N232" s="29">
        <f>SUMIFS(Cash_Flow_3[Amount],Cash_Flow_3[Bulan],H232,Cash_Flow_3[Type],"Out",Cash_Flow_3[Category],"Jajan")</f>
        <v>795099</v>
      </c>
      <c r="O232" s="29">
        <f>SUMIFS(Cash_Flow_3[Amount],Cash_Flow_3[Bulan],H232,Cash_Flow_3[Type],"Out",Cash_Flow_3[Category],"Kitchen")</f>
        <v>1003600</v>
      </c>
      <c r="P232" s="29">
        <f>SUMIFS(Cash_Flow_3[Amount],Cash_Flow_3[Bulan],H232,Cash_Flow_3[Type],"Out",Cash_Flow_3[Category],"Loandry")</f>
        <v>41000</v>
      </c>
      <c r="Q232" s="29">
        <f>SUMIFS(Cash_Flow_3[Amount],Cash_Flow_3[Bulan],H232,Cash_Flow_3[Type],"Out",Cash_Flow_3[Category],"Mio")</f>
        <v>364500</v>
      </c>
      <c r="R232" s="29">
        <f>SUMIFS(Cash_Flow_3[Amount],Cash_Flow_3[Bulan],H232,Cash_Flow_3[Type],"Out",Cash_Flow_3[Category],"Sedekah")</f>
        <v>130000</v>
      </c>
      <c r="S232" s="29">
        <f>SUMIFS(Cash_Flow_3[Amount],Cash_Flow_3[Bulan],H232,Cash_Flow_3[Type],"Out",Cash_Flow_3[Category],"Zela")</f>
        <v>215161</v>
      </c>
      <c r="T232" s="29">
        <f>SUMIFS(Cash_Flow_3[Amount],Cash_Flow_3[Bulan],H232,Cash_Flow_3[Type],"Out",Cash_Flow_3[Category],"Iqbal")</f>
        <v>160000</v>
      </c>
    </row>
    <row r="233" spans="1:20" ht="22.5" customHeight="1" x14ac:dyDescent="0.2">
      <c r="A233" s="23">
        <v>46101</v>
      </c>
      <c r="B233" s="24" t="s">
        <v>154</v>
      </c>
      <c r="C233" s="25" t="s">
        <v>43</v>
      </c>
      <c r="D233" s="25" t="s">
        <v>44</v>
      </c>
      <c r="E233" s="25" t="s">
        <v>8</v>
      </c>
      <c r="F233" s="26">
        <v>80000</v>
      </c>
      <c r="G233" s="27"/>
      <c r="H233" s="28">
        <f t="shared" si="0"/>
        <v>46082</v>
      </c>
      <c r="I233" s="29">
        <f>SUMIFS(Cash_Flow_3[Amount],Cash_Flow_3[Bulan],H233,Cash_Flow_3[Type],"In")</f>
        <v>13015393</v>
      </c>
      <c r="J233" s="29">
        <f>SUMIFS(Cash_Flow_3[Amount],Cash_Flow_3[Bulan],H233,Cash_Flow_3[Type],"Out")</f>
        <v>10475288</v>
      </c>
      <c r="K233" s="29">
        <f>SUMIFS(Cash_Flow_3[Amount],Cash_Flow_3[Bulan],H233,Cash_Flow_3[Type],"Out",Cash_Flow_3[Category],"Fix")</f>
        <v>2908413</v>
      </c>
      <c r="L233" s="29">
        <f>SUMIFS(Cash_Flow_3[Amount],Cash_Flow_3[Bulan],H233,Cash_Flow_3[Type],"Out",Cash_Flow_3[Category],"Bathroom")</f>
        <v>48473</v>
      </c>
      <c r="M233" s="29">
        <f>SUMIFS(Cash_Flow_3[Amount],Cash_Flow_3[Bulan],H233,Cash_Flow_3[Type],"Out",Cash_Flow_3[Category],"Alfa")</f>
        <v>775042</v>
      </c>
      <c r="N233" s="29">
        <f>SUMIFS(Cash_Flow_3[Amount],Cash_Flow_3[Bulan],H233,Cash_Flow_3[Type],"Out",Cash_Flow_3[Category],"Jajan")</f>
        <v>795099</v>
      </c>
      <c r="O233" s="29">
        <f>SUMIFS(Cash_Flow_3[Amount],Cash_Flow_3[Bulan],H233,Cash_Flow_3[Type],"Out",Cash_Flow_3[Category],"Kitchen")</f>
        <v>1003600</v>
      </c>
      <c r="P233" s="29">
        <f>SUMIFS(Cash_Flow_3[Amount],Cash_Flow_3[Bulan],H233,Cash_Flow_3[Type],"Out",Cash_Flow_3[Category],"Loandry")</f>
        <v>41000</v>
      </c>
      <c r="Q233" s="29">
        <f>SUMIFS(Cash_Flow_3[Amount],Cash_Flow_3[Bulan],H233,Cash_Flow_3[Type],"Out",Cash_Flow_3[Category],"Mio")</f>
        <v>364500</v>
      </c>
      <c r="R233" s="29">
        <f>SUMIFS(Cash_Flow_3[Amount],Cash_Flow_3[Bulan],H233,Cash_Flow_3[Type],"Out",Cash_Flow_3[Category],"Sedekah")</f>
        <v>130000</v>
      </c>
      <c r="S233" s="29">
        <f>SUMIFS(Cash_Flow_3[Amount],Cash_Flow_3[Bulan],H233,Cash_Flow_3[Type],"Out",Cash_Flow_3[Category],"Zela")</f>
        <v>215161</v>
      </c>
      <c r="T233" s="29">
        <f>SUMIFS(Cash_Flow_3[Amount],Cash_Flow_3[Bulan],H233,Cash_Flow_3[Type],"Out",Cash_Flow_3[Category],"Iqbal")</f>
        <v>160000</v>
      </c>
    </row>
    <row r="234" spans="1:20" ht="22.5" customHeight="1" x14ac:dyDescent="0.2">
      <c r="A234" s="23">
        <v>46101</v>
      </c>
      <c r="B234" s="24" t="s">
        <v>155</v>
      </c>
      <c r="C234" s="25" t="s">
        <v>43</v>
      </c>
      <c r="D234" s="25" t="s">
        <v>44</v>
      </c>
      <c r="E234" s="25" t="s">
        <v>2</v>
      </c>
      <c r="F234" s="26">
        <v>60000</v>
      </c>
      <c r="G234" s="27"/>
      <c r="H234" s="28">
        <f t="shared" si="0"/>
        <v>46082</v>
      </c>
      <c r="I234" s="29">
        <f>SUMIFS(Cash_Flow_3[Amount],Cash_Flow_3[Bulan],H234,Cash_Flow_3[Type],"In")</f>
        <v>13015393</v>
      </c>
      <c r="J234" s="29">
        <f>SUMIFS(Cash_Flow_3[Amount],Cash_Flow_3[Bulan],H234,Cash_Flow_3[Type],"Out")</f>
        <v>10475288</v>
      </c>
      <c r="K234" s="29">
        <f>SUMIFS(Cash_Flow_3[Amount],Cash_Flow_3[Bulan],H234,Cash_Flow_3[Type],"Out",Cash_Flow_3[Category],"Fix")</f>
        <v>2908413</v>
      </c>
      <c r="L234" s="29">
        <f>SUMIFS(Cash_Flow_3[Amount],Cash_Flow_3[Bulan],H234,Cash_Flow_3[Type],"Out",Cash_Flow_3[Category],"Bathroom")</f>
        <v>48473</v>
      </c>
      <c r="M234" s="29">
        <f>SUMIFS(Cash_Flow_3[Amount],Cash_Flow_3[Bulan],H234,Cash_Flow_3[Type],"Out",Cash_Flow_3[Category],"Alfa")</f>
        <v>775042</v>
      </c>
      <c r="N234" s="29">
        <f>SUMIFS(Cash_Flow_3[Amount],Cash_Flow_3[Bulan],H234,Cash_Flow_3[Type],"Out",Cash_Flow_3[Category],"Jajan")</f>
        <v>795099</v>
      </c>
      <c r="O234" s="29">
        <f>SUMIFS(Cash_Flow_3[Amount],Cash_Flow_3[Bulan],H234,Cash_Flow_3[Type],"Out",Cash_Flow_3[Category],"Kitchen")</f>
        <v>1003600</v>
      </c>
      <c r="P234" s="29">
        <f>SUMIFS(Cash_Flow_3[Amount],Cash_Flow_3[Bulan],H234,Cash_Flow_3[Type],"Out",Cash_Flow_3[Category],"Loandry")</f>
        <v>41000</v>
      </c>
      <c r="Q234" s="29">
        <f>SUMIFS(Cash_Flow_3[Amount],Cash_Flow_3[Bulan],H234,Cash_Flow_3[Type],"Out",Cash_Flow_3[Category],"Mio")</f>
        <v>364500</v>
      </c>
      <c r="R234" s="29">
        <f>SUMIFS(Cash_Flow_3[Amount],Cash_Flow_3[Bulan],H234,Cash_Flow_3[Type],"Out",Cash_Flow_3[Category],"Sedekah")</f>
        <v>130000</v>
      </c>
      <c r="S234" s="29">
        <f>SUMIFS(Cash_Flow_3[Amount],Cash_Flow_3[Bulan],H234,Cash_Flow_3[Type],"Out",Cash_Flow_3[Category],"Zela")</f>
        <v>215161</v>
      </c>
      <c r="T234" s="29">
        <f>SUMIFS(Cash_Flow_3[Amount],Cash_Flow_3[Bulan],H234,Cash_Flow_3[Type],"Out",Cash_Flow_3[Category],"Iqbal")</f>
        <v>160000</v>
      </c>
    </row>
    <row r="235" spans="1:20" ht="22.5" customHeight="1" x14ac:dyDescent="0.2">
      <c r="A235" s="23">
        <v>46101</v>
      </c>
      <c r="B235" s="24" t="s">
        <v>156</v>
      </c>
      <c r="C235" s="25" t="s">
        <v>43</v>
      </c>
      <c r="D235" s="25" t="s">
        <v>44</v>
      </c>
      <c r="E235" s="25" t="s">
        <v>2</v>
      </c>
      <c r="F235" s="26">
        <v>195000</v>
      </c>
      <c r="G235" s="27"/>
      <c r="H235" s="28">
        <f t="shared" si="0"/>
        <v>46082</v>
      </c>
      <c r="I235" s="29">
        <f>SUMIFS(Cash_Flow_3[Amount],Cash_Flow_3[Bulan],H235,Cash_Flow_3[Type],"In")</f>
        <v>13015393</v>
      </c>
      <c r="J235" s="29">
        <f>SUMIFS(Cash_Flow_3[Amount],Cash_Flow_3[Bulan],H235,Cash_Flow_3[Type],"Out")</f>
        <v>10475288</v>
      </c>
      <c r="K235" s="29">
        <f>SUMIFS(Cash_Flow_3[Amount],Cash_Flow_3[Bulan],H235,Cash_Flow_3[Type],"Out",Cash_Flow_3[Category],"Fix")</f>
        <v>2908413</v>
      </c>
      <c r="L235" s="29">
        <f>SUMIFS(Cash_Flow_3[Amount],Cash_Flow_3[Bulan],H235,Cash_Flow_3[Type],"Out",Cash_Flow_3[Category],"Bathroom")</f>
        <v>48473</v>
      </c>
      <c r="M235" s="29">
        <f>SUMIFS(Cash_Flow_3[Amount],Cash_Flow_3[Bulan],H235,Cash_Flow_3[Type],"Out",Cash_Flow_3[Category],"Alfa")</f>
        <v>775042</v>
      </c>
      <c r="N235" s="29">
        <f>SUMIFS(Cash_Flow_3[Amount],Cash_Flow_3[Bulan],H235,Cash_Flow_3[Type],"Out",Cash_Flow_3[Category],"Jajan")</f>
        <v>795099</v>
      </c>
      <c r="O235" s="29">
        <f>SUMIFS(Cash_Flow_3[Amount],Cash_Flow_3[Bulan],H235,Cash_Flow_3[Type],"Out",Cash_Flow_3[Category],"Kitchen")</f>
        <v>1003600</v>
      </c>
      <c r="P235" s="29">
        <f>SUMIFS(Cash_Flow_3[Amount],Cash_Flow_3[Bulan],H235,Cash_Flow_3[Type],"Out",Cash_Flow_3[Category],"Loandry")</f>
        <v>41000</v>
      </c>
      <c r="Q235" s="29">
        <f>SUMIFS(Cash_Flow_3[Amount],Cash_Flow_3[Bulan],H235,Cash_Flow_3[Type],"Out",Cash_Flow_3[Category],"Mio")</f>
        <v>364500</v>
      </c>
      <c r="R235" s="29">
        <f>SUMIFS(Cash_Flow_3[Amount],Cash_Flow_3[Bulan],H235,Cash_Flow_3[Type],"Out",Cash_Flow_3[Category],"Sedekah")</f>
        <v>130000</v>
      </c>
      <c r="S235" s="29">
        <f>SUMIFS(Cash_Flow_3[Amount],Cash_Flow_3[Bulan],H235,Cash_Flow_3[Type],"Out",Cash_Flow_3[Category],"Zela")</f>
        <v>215161</v>
      </c>
      <c r="T235" s="29">
        <f>SUMIFS(Cash_Flow_3[Amount],Cash_Flow_3[Bulan],H235,Cash_Flow_3[Type],"Out",Cash_Flow_3[Category],"Iqbal")</f>
        <v>160000</v>
      </c>
    </row>
    <row r="236" spans="1:20" ht="22.5" customHeight="1" x14ac:dyDescent="0.2">
      <c r="A236" s="23">
        <v>46101</v>
      </c>
      <c r="B236" s="24" t="s">
        <v>156</v>
      </c>
      <c r="C236" s="25" t="s">
        <v>46</v>
      </c>
      <c r="D236" s="25" t="s">
        <v>39</v>
      </c>
      <c r="E236" s="25" t="s">
        <v>0</v>
      </c>
      <c r="F236" s="26">
        <v>200000</v>
      </c>
      <c r="G236" s="27"/>
      <c r="H236" s="28">
        <f t="shared" si="0"/>
        <v>46082</v>
      </c>
      <c r="I236" s="29">
        <f>SUMIFS(Cash_Flow_3[Amount],Cash_Flow_3[Bulan],H236,Cash_Flow_3[Type],"In")</f>
        <v>13015393</v>
      </c>
      <c r="J236" s="29">
        <f>SUMIFS(Cash_Flow_3[Amount],Cash_Flow_3[Bulan],H236,Cash_Flow_3[Type],"Out")</f>
        <v>10475288</v>
      </c>
      <c r="K236" s="29">
        <f>SUMIFS(Cash_Flow_3[Amount],Cash_Flow_3[Bulan],H236,Cash_Flow_3[Type],"Out",Cash_Flow_3[Category],"Fix")</f>
        <v>2908413</v>
      </c>
      <c r="L236" s="29">
        <f>SUMIFS(Cash_Flow_3[Amount],Cash_Flow_3[Bulan],H236,Cash_Flow_3[Type],"Out",Cash_Flow_3[Category],"Bathroom")</f>
        <v>48473</v>
      </c>
      <c r="M236" s="29">
        <f>SUMIFS(Cash_Flow_3[Amount],Cash_Flow_3[Bulan],H236,Cash_Flow_3[Type],"Out",Cash_Flow_3[Category],"Alfa")</f>
        <v>775042</v>
      </c>
      <c r="N236" s="29">
        <f>SUMIFS(Cash_Flow_3[Amount],Cash_Flow_3[Bulan],H236,Cash_Flow_3[Type],"Out",Cash_Flow_3[Category],"Jajan")</f>
        <v>795099</v>
      </c>
      <c r="O236" s="29">
        <f>SUMIFS(Cash_Flow_3[Amount],Cash_Flow_3[Bulan],H236,Cash_Flow_3[Type],"Out",Cash_Flow_3[Category],"Kitchen")</f>
        <v>1003600</v>
      </c>
      <c r="P236" s="29">
        <f>SUMIFS(Cash_Flow_3[Amount],Cash_Flow_3[Bulan],H236,Cash_Flow_3[Type],"Out",Cash_Flow_3[Category],"Loandry")</f>
        <v>41000</v>
      </c>
      <c r="Q236" s="29">
        <f>SUMIFS(Cash_Flow_3[Amount],Cash_Flow_3[Bulan],H236,Cash_Flow_3[Type],"Out",Cash_Flow_3[Category],"Mio")</f>
        <v>364500</v>
      </c>
      <c r="R236" s="29">
        <f>SUMIFS(Cash_Flow_3[Amount],Cash_Flow_3[Bulan],H236,Cash_Flow_3[Type],"Out",Cash_Flow_3[Category],"Sedekah")</f>
        <v>130000</v>
      </c>
      <c r="S236" s="29">
        <f>SUMIFS(Cash_Flow_3[Amount],Cash_Flow_3[Bulan],H236,Cash_Flow_3[Type],"Out",Cash_Flow_3[Category],"Zela")</f>
        <v>215161</v>
      </c>
      <c r="T236" s="29">
        <f>SUMIFS(Cash_Flow_3[Amount],Cash_Flow_3[Bulan],H236,Cash_Flow_3[Type],"Out",Cash_Flow_3[Category],"Iqbal")</f>
        <v>160000</v>
      </c>
    </row>
    <row r="237" spans="1:20" ht="22.5" customHeight="1" x14ac:dyDescent="0.2">
      <c r="A237" s="23">
        <v>46102</v>
      </c>
      <c r="B237" s="24" t="s">
        <v>157</v>
      </c>
      <c r="C237" s="25" t="s">
        <v>46</v>
      </c>
      <c r="D237" s="25" t="s">
        <v>44</v>
      </c>
      <c r="E237" s="25" t="s">
        <v>2</v>
      </c>
      <c r="F237" s="26">
        <v>48800</v>
      </c>
      <c r="G237" s="27"/>
      <c r="H237" s="28">
        <f t="shared" si="0"/>
        <v>46082</v>
      </c>
      <c r="I237" s="29">
        <f>SUMIFS(Cash_Flow_3[Amount],Cash_Flow_3[Bulan],H237,Cash_Flow_3[Type],"In")</f>
        <v>13015393</v>
      </c>
      <c r="J237" s="29">
        <f>SUMIFS(Cash_Flow_3[Amount],Cash_Flow_3[Bulan],H237,Cash_Flow_3[Type],"Out")</f>
        <v>10475288</v>
      </c>
      <c r="K237" s="29">
        <f>SUMIFS(Cash_Flow_3[Amount],Cash_Flow_3[Bulan],H237,Cash_Flow_3[Type],"Out",Cash_Flow_3[Category],"Fix")</f>
        <v>2908413</v>
      </c>
      <c r="L237" s="29">
        <f>SUMIFS(Cash_Flow_3[Amount],Cash_Flow_3[Bulan],H237,Cash_Flow_3[Type],"Out",Cash_Flow_3[Category],"Bathroom")</f>
        <v>48473</v>
      </c>
      <c r="M237" s="29">
        <f>SUMIFS(Cash_Flow_3[Amount],Cash_Flow_3[Bulan],H237,Cash_Flow_3[Type],"Out",Cash_Flow_3[Category],"Alfa")</f>
        <v>775042</v>
      </c>
      <c r="N237" s="29">
        <f>SUMIFS(Cash_Flow_3[Amount],Cash_Flow_3[Bulan],H237,Cash_Flow_3[Type],"Out",Cash_Flow_3[Category],"Jajan")</f>
        <v>795099</v>
      </c>
      <c r="O237" s="29">
        <f>SUMIFS(Cash_Flow_3[Amount],Cash_Flow_3[Bulan],H237,Cash_Flow_3[Type],"Out",Cash_Flow_3[Category],"Kitchen")</f>
        <v>1003600</v>
      </c>
      <c r="P237" s="29">
        <f>SUMIFS(Cash_Flow_3[Amount],Cash_Flow_3[Bulan],H237,Cash_Flow_3[Type],"Out",Cash_Flow_3[Category],"Loandry")</f>
        <v>41000</v>
      </c>
      <c r="Q237" s="29">
        <f>SUMIFS(Cash_Flow_3[Amount],Cash_Flow_3[Bulan],H237,Cash_Flow_3[Type],"Out",Cash_Flow_3[Category],"Mio")</f>
        <v>364500</v>
      </c>
      <c r="R237" s="29">
        <f>SUMIFS(Cash_Flow_3[Amount],Cash_Flow_3[Bulan],H237,Cash_Flow_3[Type],"Out",Cash_Flow_3[Category],"Sedekah")</f>
        <v>130000</v>
      </c>
      <c r="S237" s="29">
        <f>SUMIFS(Cash_Flow_3[Amount],Cash_Flow_3[Bulan],H237,Cash_Flow_3[Type],"Out",Cash_Flow_3[Category],"Zela")</f>
        <v>215161</v>
      </c>
      <c r="T237" s="29">
        <f>SUMIFS(Cash_Flow_3[Amount],Cash_Flow_3[Bulan],H237,Cash_Flow_3[Type],"Out",Cash_Flow_3[Category],"Iqbal")</f>
        <v>160000</v>
      </c>
    </row>
    <row r="238" spans="1:20" ht="22.5" customHeight="1" x14ac:dyDescent="0.2">
      <c r="A238" s="23">
        <v>46103</v>
      </c>
      <c r="B238" s="24" t="s">
        <v>129</v>
      </c>
      <c r="C238" s="25" t="s">
        <v>46</v>
      </c>
      <c r="D238" s="25" t="s">
        <v>44</v>
      </c>
      <c r="E238" s="25" t="s">
        <v>6</v>
      </c>
      <c r="F238" s="26">
        <v>30000</v>
      </c>
      <c r="G238" s="27"/>
      <c r="H238" s="28">
        <f t="shared" si="0"/>
        <v>46082</v>
      </c>
      <c r="I238" s="29">
        <f>SUMIFS(Cash_Flow_3[Amount],Cash_Flow_3[Bulan],H238,Cash_Flow_3[Type],"In")</f>
        <v>13015393</v>
      </c>
      <c r="J238" s="29">
        <f>SUMIFS(Cash_Flow_3[Amount],Cash_Flow_3[Bulan],H238,Cash_Flow_3[Type],"Out")</f>
        <v>10475288</v>
      </c>
      <c r="K238" s="29">
        <f>SUMIFS(Cash_Flow_3[Amount],Cash_Flow_3[Bulan],H238,Cash_Flow_3[Type],"Out",Cash_Flow_3[Category],"Fix")</f>
        <v>2908413</v>
      </c>
      <c r="L238" s="29">
        <f>SUMIFS(Cash_Flow_3[Amount],Cash_Flow_3[Bulan],H238,Cash_Flow_3[Type],"Out",Cash_Flow_3[Category],"Bathroom")</f>
        <v>48473</v>
      </c>
      <c r="M238" s="29">
        <f>SUMIFS(Cash_Flow_3[Amount],Cash_Flow_3[Bulan],H238,Cash_Flow_3[Type],"Out",Cash_Flow_3[Category],"Alfa")</f>
        <v>775042</v>
      </c>
      <c r="N238" s="29">
        <f>SUMIFS(Cash_Flow_3[Amount],Cash_Flow_3[Bulan],H238,Cash_Flow_3[Type],"Out",Cash_Flow_3[Category],"Jajan")</f>
        <v>795099</v>
      </c>
      <c r="O238" s="29">
        <f>SUMIFS(Cash_Flow_3[Amount],Cash_Flow_3[Bulan],H238,Cash_Flow_3[Type],"Out",Cash_Flow_3[Category],"Kitchen")</f>
        <v>1003600</v>
      </c>
      <c r="P238" s="29">
        <f>SUMIFS(Cash_Flow_3[Amount],Cash_Flow_3[Bulan],H238,Cash_Flow_3[Type],"Out",Cash_Flow_3[Category],"Loandry")</f>
        <v>41000</v>
      </c>
      <c r="Q238" s="29">
        <f>SUMIFS(Cash_Flow_3[Amount],Cash_Flow_3[Bulan],H238,Cash_Flow_3[Type],"Out",Cash_Flow_3[Category],"Mio")</f>
        <v>364500</v>
      </c>
      <c r="R238" s="29">
        <f>SUMIFS(Cash_Flow_3[Amount],Cash_Flow_3[Bulan],H238,Cash_Flow_3[Type],"Out",Cash_Flow_3[Category],"Sedekah")</f>
        <v>130000</v>
      </c>
      <c r="S238" s="29">
        <f>SUMIFS(Cash_Flow_3[Amount],Cash_Flow_3[Bulan],H238,Cash_Flow_3[Type],"Out",Cash_Flow_3[Category],"Zela")</f>
        <v>215161</v>
      </c>
      <c r="T238" s="29">
        <f>SUMIFS(Cash_Flow_3[Amount],Cash_Flow_3[Bulan],H238,Cash_Flow_3[Type],"Out",Cash_Flow_3[Category],"Iqbal")</f>
        <v>160000</v>
      </c>
    </row>
    <row r="239" spans="1:20" ht="22.5" customHeight="1" x14ac:dyDescent="0.2">
      <c r="A239" s="23">
        <v>46103</v>
      </c>
      <c r="B239" s="24" t="s">
        <v>158</v>
      </c>
      <c r="C239" s="25" t="s">
        <v>43</v>
      </c>
      <c r="D239" s="25" t="s">
        <v>44</v>
      </c>
      <c r="E239" s="25" t="s">
        <v>0</v>
      </c>
      <c r="F239" s="26">
        <v>6000</v>
      </c>
      <c r="G239" s="27"/>
      <c r="H239" s="28">
        <f t="shared" si="0"/>
        <v>46082</v>
      </c>
      <c r="I239" s="29">
        <f>SUMIFS(Cash_Flow_3[Amount],Cash_Flow_3[Bulan],H239,Cash_Flow_3[Type],"In")</f>
        <v>13015393</v>
      </c>
      <c r="J239" s="29">
        <f>SUMIFS(Cash_Flow_3[Amount],Cash_Flow_3[Bulan],H239,Cash_Flow_3[Type],"Out")</f>
        <v>10475288</v>
      </c>
      <c r="K239" s="29">
        <f>SUMIFS(Cash_Flow_3[Amount],Cash_Flow_3[Bulan],H239,Cash_Flow_3[Type],"Out",Cash_Flow_3[Category],"Fix")</f>
        <v>2908413</v>
      </c>
      <c r="L239" s="29">
        <f>SUMIFS(Cash_Flow_3[Amount],Cash_Flow_3[Bulan],H239,Cash_Flow_3[Type],"Out",Cash_Flow_3[Category],"Bathroom")</f>
        <v>48473</v>
      </c>
      <c r="M239" s="29">
        <f>SUMIFS(Cash_Flow_3[Amount],Cash_Flow_3[Bulan],H239,Cash_Flow_3[Type],"Out",Cash_Flow_3[Category],"Alfa")</f>
        <v>775042</v>
      </c>
      <c r="N239" s="29">
        <f>SUMIFS(Cash_Flow_3[Amount],Cash_Flow_3[Bulan],H239,Cash_Flow_3[Type],"Out",Cash_Flow_3[Category],"Jajan")</f>
        <v>795099</v>
      </c>
      <c r="O239" s="29">
        <f>SUMIFS(Cash_Flow_3[Amount],Cash_Flow_3[Bulan],H239,Cash_Flow_3[Type],"Out",Cash_Flow_3[Category],"Kitchen")</f>
        <v>1003600</v>
      </c>
      <c r="P239" s="29">
        <f>SUMIFS(Cash_Flow_3[Amount],Cash_Flow_3[Bulan],H239,Cash_Flow_3[Type],"Out",Cash_Flow_3[Category],"Loandry")</f>
        <v>41000</v>
      </c>
      <c r="Q239" s="29">
        <f>SUMIFS(Cash_Flow_3[Amount],Cash_Flow_3[Bulan],H239,Cash_Flow_3[Type],"Out",Cash_Flow_3[Category],"Mio")</f>
        <v>364500</v>
      </c>
      <c r="R239" s="29">
        <f>SUMIFS(Cash_Flow_3[Amount],Cash_Flow_3[Bulan],H239,Cash_Flow_3[Type],"Out",Cash_Flow_3[Category],"Sedekah")</f>
        <v>130000</v>
      </c>
      <c r="S239" s="29">
        <f>SUMIFS(Cash_Flow_3[Amount],Cash_Flow_3[Bulan],H239,Cash_Flow_3[Type],"Out",Cash_Flow_3[Category],"Zela")</f>
        <v>215161</v>
      </c>
      <c r="T239" s="29">
        <f>SUMIFS(Cash_Flow_3[Amount],Cash_Flow_3[Bulan],H239,Cash_Flow_3[Type],"Out",Cash_Flow_3[Category],"Iqbal")</f>
        <v>160000</v>
      </c>
    </row>
    <row r="240" spans="1:20" ht="22.5" customHeight="1" x14ac:dyDescent="0.2">
      <c r="A240" s="23">
        <v>46103</v>
      </c>
      <c r="B240" s="24" t="s">
        <v>68</v>
      </c>
      <c r="C240" s="25" t="s">
        <v>46</v>
      </c>
      <c r="D240" s="25" t="s">
        <v>44</v>
      </c>
      <c r="E240" s="25" t="s">
        <v>3</v>
      </c>
      <c r="F240" s="26">
        <v>4000</v>
      </c>
      <c r="G240" s="27"/>
      <c r="H240" s="28">
        <f t="shared" si="0"/>
        <v>46082</v>
      </c>
      <c r="I240" s="29">
        <f>SUMIFS(Cash_Flow_3[Amount],Cash_Flow_3[Bulan],H240,Cash_Flow_3[Type],"In")</f>
        <v>13015393</v>
      </c>
      <c r="J240" s="29">
        <f>SUMIFS(Cash_Flow_3[Amount],Cash_Flow_3[Bulan],H240,Cash_Flow_3[Type],"Out")</f>
        <v>10475288</v>
      </c>
      <c r="K240" s="29">
        <f>SUMIFS(Cash_Flow_3[Amount],Cash_Flow_3[Bulan],H240,Cash_Flow_3[Type],"Out",Cash_Flow_3[Category],"Fix")</f>
        <v>2908413</v>
      </c>
      <c r="L240" s="29">
        <f>SUMIFS(Cash_Flow_3[Amount],Cash_Flow_3[Bulan],H240,Cash_Flow_3[Type],"Out",Cash_Flow_3[Category],"Bathroom")</f>
        <v>48473</v>
      </c>
      <c r="M240" s="29">
        <f>SUMIFS(Cash_Flow_3[Amount],Cash_Flow_3[Bulan],H240,Cash_Flow_3[Type],"Out",Cash_Flow_3[Category],"Alfa")</f>
        <v>775042</v>
      </c>
      <c r="N240" s="29">
        <f>SUMIFS(Cash_Flow_3[Amount],Cash_Flow_3[Bulan],H240,Cash_Flow_3[Type],"Out",Cash_Flow_3[Category],"Jajan")</f>
        <v>795099</v>
      </c>
      <c r="O240" s="29">
        <f>SUMIFS(Cash_Flow_3[Amount],Cash_Flow_3[Bulan],H240,Cash_Flow_3[Type],"Out",Cash_Flow_3[Category],"Kitchen")</f>
        <v>1003600</v>
      </c>
      <c r="P240" s="29">
        <f>SUMIFS(Cash_Flow_3[Amount],Cash_Flow_3[Bulan],H240,Cash_Flow_3[Type],"Out",Cash_Flow_3[Category],"Loandry")</f>
        <v>41000</v>
      </c>
      <c r="Q240" s="29">
        <f>SUMIFS(Cash_Flow_3[Amount],Cash_Flow_3[Bulan],H240,Cash_Flow_3[Type],"Out",Cash_Flow_3[Category],"Mio")</f>
        <v>364500</v>
      </c>
      <c r="R240" s="29">
        <f>SUMIFS(Cash_Flow_3[Amount],Cash_Flow_3[Bulan],H240,Cash_Flow_3[Type],"Out",Cash_Flow_3[Category],"Sedekah")</f>
        <v>130000</v>
      </c>
      <c r="S240" s="29">
        <f>SUMIFS(Cash_Flow_3[Amount],Cash_Flow_3[Bulan],H240,Cash_Flow_3[Type],"Out",Cash_Flow_3[Category],"Zela")</f>
        <v>215161</v>
      </c>
      <c r="T240" s="29">
        <f>SUMIFS(Cash_Flow_3[Amount],Cash_Flow_3[Bulan],H240,Cash_Flow_3[Type],"Out",Cash_Flow_3[Category],"Iqbal")</f>
        <v>160000</v>
      </c>
    </row>
    <row r="241" spans="1:20" ht="22.5" customHeight="1" x14ac:dyDescent="0.2">
      <c r="A241" s="23">
        <v>46106</v>
      </c>
      <c r="B241" s="24" t="s">
        <v>58</v>
      </c>
      <c r="C241" s="25" t="s">
        <v>46</v>
      </c>
      <c r="D241" s="25" t="s">
        <v>44</v>
      </c>
      <c r="E241" s="25" t="s">
        <v>9</v>
      </c>
      <c r="F241" s="26">
        <v>100000</v>
      </c>
      <c r="G241" s="27"/>
      <c r="H241" s="28">
        <f t="shared" si="0"/>
        <v>46082</v>
      </c>
      <c r="I241" s="29">
        <f>SUMIFS(Cash_Flow_3[Amount],Cash_Flow_3[Bulan],H241,Cash_Flow_3[Type],"In")</f>
        <v>13015393</v>
      </c>
      <c r="J241" s="29">
        <f>SUMIFS(Cash_Flow_3[Amount],Cash_Flow_3[Bulan],H241,Cash_Flow_3[Type],"Out")</f>
        <v>10475288</v>
      </c>
      <c r="K241" s="29">
        <f>SUMIFS(Cash_Flow_3[Amount],Cash_Flow_3[Bulan],H241,Cash_Flow_3[Type],"Out",Cash_Flow_3[Category],"Fix")</f>
        <v>2908413</v>
      </c>
      <c r="L241" s="29">
        <f>SUMIFS(Cash_Flow_3[Amount],Cash_Flow_3[Bulan],H241,Cash_Flow_3[Type],"Out",Cash_Flow_3[Category],"Bathroom")</f>
        <v>48473</v>
      </c>
      <c r="M241" s="29">
        <f>SUMIFS(Cash_Flow_3[Amount],Cash_Flow_3[Bulan],H241,Cash_Flow_3[Type],"Out",Cash_Flow_3[Category],"Alfa")</f>
        <v>775042</v>
      </c>
      <c r="N241" s="29">
        <f>SUMIFS(Cash_Flow_3[Amount],Cash_Flow_3[Bulan],H241,Cash_Flow_3[Type],"Out",Cash_Flow_3[Category],"Jajan")</f>
        <v>795099</v>
      </c>
      <c r="O241" s="29">
        <f>SUMIFS(Cash_Flow_3[Amount],Cash_Flow_3[Bulan],H241,Cash_Flow_3[Type],"Out",Cash_Flow_3[Category],"Kitchen")</f>
        <v>1003600</v>
      </c>
      <c r="P241" s="29">
        <f>SUMIFS(Cash_Flow_3[Amount],Cash_Flow_3[Bulan],H241,Cash_Flow_3[Type],"Out",Cash_Flow_3[Category],"Loandry")</f>
        <v>41000</v>
      </c>
      <c r="Q241" s="29">
        <f>SUMIFS(Cash_Flow_3[Amount],Cash_Flow_3[Bulan],H241,Cash_Flow_3[Type],"Out",Cash_Flow_3[Category],"Mio")</f>
        <v>364500</v>
      </c>
      <c r="R241" s="29">
        <f>SUMIFS(Cash_Flow_3[Amount],Cash_Flow_3[Bulan],H241,Cash_Flow_3[Type],"Out",Cash_Flow_3[Category],"Sedekah")</f>
        <v>130000</v>
      </c>
      <c r="S241" s="29">
        <f>SUMIFS(Cash_Flow_3[Amount],Cash_Flow_3[Bulan],H241,Cash_Flow_3[Type],"Out",Cash_Flow_3[Category],"Zela")</f>
        <v>215161</v>
      </c>
      <c r="T241" s="29">
        <f>SUMIFS(Cash_Flow_3[Amount],Cash_Flow_3[Bulan],H241,Cash_Flow_3[Type],"Out",Cash_Flow_3[Category],"Iqbal")</f>
        <v>160000</v>
      </c>
    </row>
    <row r="242" spans="1:20" ht="22.5" customHeight="1" x14ac:dyDescent="0.2">
      <c r="A242" s="23">
        <v>46106</v>
      </c>
      <c r="B242" s="24" t="s">
        <v>58</v>
      </c>
      <c r="C242" s="25" t="s">
        <v>43</v>
      </c>
      <c r="D242" s="25" t="s">
        <v>39</v>
      </c>
      <c r="E242" s="25" t="s">
        <v>9</v>
      </c>
      <c r="F242" s="26">
        <v>100000</v>
      </c>
      <c r="G242" s="27"/>
      <c r="H242" s="28">
        <f t="shared" si="0"/>
        <v>46082</v>
      </c>
      <c r="I242" s="29">
        <f>SUMIFS(Cash_Flow_3[Amount],Cash_Flow_3[Bulan],H242,Cash_Flow_3[Type],"In")</f>
        <v>13015393</v>
      </c>
      <c r="J242" s="29">
        <f>SUMIFS(Cash_Flow_3[Amount],Cash_Flow_3[Bulan],H242,Cash_Flow_3[Type],"Out")</f>
        <v>10475288</v>
      </c>
      <c r="K242" s="29">
        <f>SUMIFS(Cash_Flow_3[Amount],Cash_Flow_3[Bulan],H242,Cash_Flow_3[Type],"Out",Cash_Flow_3[Category],"Fix")</f>
        <v>2908413</v>
      </c>
      <c r="L242" s="29">
        <f>SUMIFS(Cash_Flow_3[Amount],Cash_Flow_3[Bulan],H242,Cash_Flow_3[Type],"Out",Cash_Flow_3[Category],"Bathroom")</f>
        <v>48473</v>
      </c>
      <c r="M242" s="29">
        <f>SUMIFS(Cash_Flow_3[Amount],Cash_Flow_3[Bulan],H242,Cash_Flow_3[Type],"Out",Cash_Flow_3[Category],"Alfa")</f>
        <v>775042</v>
      </c>
      <c r="N242" s="29">
        <f>SUMIFS(Cash_Flow_3[Amount],Cash_Flow_3[Bulan],H242,Cash_Flow_3[Type],"Out",Cash_Flow_3[Category],"Jajan")</f>
        <v>795099</v>
      </c>
      <c r="O242" s="29">
        <f>SUMIFS(Cash_Flow_3[Amount],Cash_Flow_3[Bulan],H242,Cash_Flow_3[Type],"Out",Cash_Flow_3[Category],"Kitchen")</f>
        <v>1003600</v>
      </c>
      <c r="P242" s="29">
        <f>SUMIFS(Cash_Flow_3[Amount],Cash_Flow_3[Bulan],H242,Cash_Flow_3[Type],"Out",Cash_Flow_3[Category],"Loandry")</f>
        <v>41000</v>
      </c>
      <c r="Q242" s="29">
        <f>SUMIFS(Cash_Flow_3[Amount],Cash_Flow_3[Bulan],H242,Cash_Flow_3[Type],"Out",Cash_Flow_3[Category],"Mio")</f>
        <v>364500</v>
      </c>
      <c r="R242" s="29">
        <f>SUMIFS(Cash_Flow_3[Amount],Cash_Flow_3[Bulan],H242,Cash_Flow_3[Type],"Out",Cash_Flow_3[Category],"Sedekah")</f>
        <v>130000</v>
      </c>
      <c r="S242" s="29">
        <f>SUMIFS(Cash_Flow_3[Amount],Cash_Flow_3[Bulan],H242,Cash_Flow_3[Type],"Out",Cash_Flow_3[Category],"Zela")</f>
        <v>215161</v>
      </c>
      <c r="T242" s="29">
        <f>SUMIFS(Cash_Flow_3[Amount],Cash_Flow_3[Bulan],H242,Cash_Flow_3[Type],"Out",Cash_Flow_3[Category],"Iqbal")</f>
        <v>160000</v>
      </c>
    </row>
    <row r="243" spans="1:20" ht="22.5" customHeight="1" x14ac:dyDescent="0.2">
      <c r="A243" s="23">
        <v>46106</v>
      </c>
      <c r="B243" s="24" t="s">
        <v>161</v>
      </c>
      <c r="C243" s="25" t="s">
        <v>46</v>
      </c>
      <c r="D243" s="25" t="s">
        <v>44</v>
      </c>
      <c r="E243" s="25" t="s">
        <v>6</v>
      </c>
      <c r="F243" s="26">
        <v>6000</v>
      </c>
      <c r="G243" s="27"/>
      <c r="H243" s="28">
        <f t="shared" si="0"/>
        <v>46082</v>
      </c>
      <c r="I243" s="29">
        <f>SUMIFS(Cash_Flow_3[Amount],Cash_Flow_3[Bulan],H243,Cash_Flow_3[Type],"In")</f>
        <v>13015393</v>
      </c>
      <c r="J243" s="29">
        <f>SUMIFS(Cash_Flow_3[Amount],Cash_Flow_3[Bulan],H243,Cash_Flow_3[Type],"Out")</f>
        <v>10475288</v>
      </c>
      <c r="K243" s="29">
        <f>SUMIFS(Cash_Flow_3[Amount],Cash_Flow_3[Bulan],H243,Cash_Flow_3[Type],"Out",Cash_Flow_3[Category],"Fix")</f>
        <v>2908413</v>
      </c>
      <c r="L243" s="29">
        <f>SUMIFS(Cash_Flow_3[Amount],Cash_Flow_3[Bulan],H243,Cash_Flow_3[Type],"Out",Cash_Flow_3[Category],"Bathroom")</f>
        <v>48473</v>
      </c>
      <c r="M243" s="29">
        <f>SUMIFS(Cash_Flow_3[Amount],Cash_Flow_3[Bulan],H243,Cash_Flow_3[Type],"Out",Cash_Flow_3[Category],"Alfa")</f>
        <v>775042</v>
      </c>
      <c r="N243" s="29">
        <f>SUMIFS(Cash_Flow_3[Amount],Cash_Flow_3[Bulan],H243,Cash_Flow_3[Type],"Out",Cash_Flow_3[Category],"Jajan")</f>
        <v>795099</v>
      </c>
      <c r="O243" s="29">
        <f>SUMIFS(Cash_Flow_3[Amount],Cash_Flow_3[Bulan],H243,Cash_Flow_3[Type],"Out",Cash_Flow_3[Category],"Kitchen")</f>
        <v>1003600</v>
      </c>
      <c r="P243" s="29">
        <f>SUMIFS(Cash_Flow_3[Amount],Cash_Flow_3[Bulan],H243,Cash_Flow_3[Type],"Out",Cash_Flow_3[Category],"Loandry")</f>
        <v>41000</v>
      </c>
      <c r="Q243" s="29">
        <f>SUMIFS(Cash_Flow_3[Amount],Cash_Flow_3[Bulan],H243,Cash_Flow_3[Type],"Out",Cash_Flow_3[Category],"Mio")</f>
        <v>364500</v>
      </c>
      <c r="R243" s="29">
        <f>SUMIFS(Cash_Flow_3[Amount],Cash_Flow_3[Bulan],H243,Cash_Flow_3[Type],"Out",Cash_Flow_3[Category],"Sedekah")</f>
        <v>130000</v>
      </c>
      <c r="S243" s="29">
        <f>SUMIFS(Cash_Flow_3[Amount],Cash_Flow_3[Bulan],H243,Cash_Flow_3[Type],"Out",Cash_Flow_3[Category],"Zela")</f>
        <v>215161</v>
      </c>
      <c r="T243" s="29">
        <f>SUMIFS(Cash_Flow_3[Amount],Cash_Flow_3[Bulan],H243,Cash_Flow_3[Type],"Out",Cash_Flow_3[Category],"Iqbal")</f>
        <v>160000</v>
      </c>
    </row>
    <row r="244" spans="1:20" ht="22.5" customHeight="1" x14ac:dyDescent="0.2">
      <c r="A244" s="23">
        <v>46083</v>
      </c>
      <c r="B244" s="24" t="s">
        <v>269</v>
      </c>
      <c r="C244" s="25" t="s">
        <v>43</v>
      </c>
      <c r="D244" s="25" t="s">
        <v>39</v>
      </c>
      <c r="E244" s="25" t="s">
        <v>0</v>
      </c>
      <c r="F244" s="26">
        <v>11576</v>
      </c>
      <c r="G244" s="27"/>
      <c r="H244" s="28">
        <f t="shared" si="0"/>
        <v>46082</v>
      </c>
      <c r="I244" s="29">
        <f>SUMIFS(Cash_Flow_3[Amount],Cash_Flow_3[Bulan],H244,Cash_Flow_3[Type],"In")</f>
        <v>13015393</v>
      </c>
      <c r="J244" s="29">
        <f>SUMIFS(Cash_Flow_3[Amount],Cash_Flow_3[Bulan],H244,Cash_Flow_3[Type],"Out")</f>
        <v>10475288</v>
      </c>
      <c r="K244" s="29">
        <f>SUMIFS(Cash_Flow_3[Amount],Cash_Flow_3[Bulan],H244,Cash_Flow_3[Type],"Out",Cash_Flow_3[Category],"Fix")</f>
        <v>2908413</v>
      </c>
      <c r="L244" s="29">
        <f>SUMIFS(Cash_Flow_3[Amount],Cash_Flow_3[Bulan],H244,Cash_Flow_3[Type],"Out",Cash_Flow_3[Category],"Bathroom")</f>
        <v>48473</v>
      </c>
      <c r="M244" s="29">
        <f>SUMIFS(Cash_Flow_3[Amount],Cash_Flow_3[Bulan],H244,Cash_Flow_3[Type],"Out",Cash_Flow_3[Category],"Alfa")</f>
        <v>775042</v>
      </c>
      <c r="N244" s="29">
        <f>SUMIFS(Cash_Flow_3[Amount],Cash_Flow_3[Bulan],H244,Cash_Flow_3[Type],"Out",Cash_Flow_3[Category],"Jajan")</f>
        <v>795099</v>
      </c>
      <c r="O244" s="29">
        <f>SUMIFS(Cash_Flow_3[Amount],Cash_Flow_3[Bulan],H244,Cash_Flow_3[Type],"Out",Cash_Flow_3[Category],"Kitchen")</f>
        <v>1003600</v>
      </c>
      <c r="P244" s="29">
        <f>SUMIFS(Cash_Flow_3[Amount],Cash_Flow_3[Bulan],H244,Cash_Flow_3[Type],"Out",Cash_Flow_3[Category],"Loandry")</f>
        <v>41000</v>
      </c>
      <c r="Q244" s="29">
        <f>SUMIFS(Cash_Flow_3[Amount],Cash_Flow_3[Bulan],H244,Cash_Flow_3[Type],"Out",Cash_Flow_3[Category],"Mio")</f>
        <v>364500</v>
      </c>
      <c r="R244" s="29">
        <f>SUMIFS(Cash_Flow_3[Amount],Cash_Flow_3[Bulan],H244,Cash_Flow_3[Type],"Out",Cash_Flow_3[Category],"Sedekah")</f>
        <v>130000</v>
      </c>
      <c r="S244" s="29">
        <f>SUMIFS(Cash_Flow_3[Amount],Cash_Flow_3[Bulan],H244,Cash_Flow_3[Type],"Out",Cash_Flow_3[Category],"Zela")</f>
        <v>215161</v>
      </c>
      <c r="T244" s="29">
        <f>SUMIFS(Cash_Flow_3[Amount],Cash_Flow_3[Bulan],H244,Cash_Flow_3[Type],"Out",Cash_Flow_3[Category],"Iqbal")</f>
        <v>160000</v>
      </c>
    </row>
    <row r="245" spans="1:20" ht="22.5" customHeight="1" x14ac:dyDescent="0.2">
      <c r="A245" s="23">
        <v>46083</v>
      </c>
      <c r="B245" s="24" t="s">
        <v>270</v>
      </c>
      <c r="C245" s="25" t="s">
        <v>43</v>
      </c>
      <c r="D245" s="25" t="s">
        <v>44</v>
      </c>
      <c r="E245" s="25" t="s">
        <v>0</v>
      </c>
      <c r="F245" s="26">
        <v>10000</v>
      </c>
      <c r="G245" s="27"/>
      <c r="H245" s="28">
        <f t="shared" si="0"/>
        <v>46082</v>
      </c>
      <c r="I245" s="29">
        <f>SUMIFS(Cash_Flow_3[Amount],Cash_Flow_3[Bulan],H245,Cash_Flow_3[Type],"In")</f>
        <v>13015393</v>
      </c>
      <c r="J245" s="29">
        <f>SUMIFS(Cash_Flow_3[Amount],Cash_Flow_3[Bulan],H245,Cash_Flow_3[Type],"Out")</f>
        <v>10475288</v>
      </c>
      <c r="K245" s="29">
        <f>SUMIFS(Cash_Flow_3[Amount],Cash_Flow_3[Bulan],H245,Cash_Flow_3[Type],"Out",Cash_Flow_3[Category],"Fix")</f>
        <v>2908413</v>
      </c>
      <c r="L245" s="29">
        <f>SUMIFS(Cash_Flow_3[Amount],Cash_Flow_3[Bulan],H245,Cash_Flow_3[Type],"Out",Cash_Flow_3[Category],"Bathroom")</f>
        <v>48473</v>
      </c>
      <c r="M245" s="29">
        <f>SUMIFS(Cash_Flow_3[Amount],Cash_Flow_3[Bulan],H245,Cash_Flow_3[Type],"Out",Cash_Flow_3[Category],"Alfa")</f>
        <v>775042</v>
      </c>
      <c r="N245" s="29">
        <f>SUMIFS(Cash_Flow_3[Amount],Cash_Flow_3[Bulan],H245,Cash_Flow_3[Type],"Out",Cash_Flow_3[Category],"Jajan")</f>
        <v>795099</v>
      </c>
      <c r="O245" s="29">
        <f>SUMIFS(Cash_Flow_3[Amount],Cash_Flow_3[Bulan],H245,Cash_Flow_3[Type],"Out",Cash_Flow_3[Category],"Kitchen")</f>
        <v>1003600</v>
      </c>
      <c r="P245" s="29">
        <f>SUMIFS(Cash_Flow_3[Amount],Cash_Flow_3[Bulan],H245,Cash_Flow_3[Type],"Out",Cash_Flow_3[Category],"Loandry")</f>
        <v>41000</v>
      </c>
      <c r="Q245" s="29">
        <f>SUMIFS(Cash_Flow_3[Amount],Cash_Flow_3[Bulan],H245,Cash_Flow_3[Type],"Out",Cash_Flow_3[Category],"Mio")</f>
        <v>364500</v>
      </c>
      <c r="R245" s="29">
        <f>SUMIFS(Cash_Flow_3[Amount],Cash_Flow_3[Bulan],H245,Cash_Flow_3[Type],"Out",Cash_Flow_3[Category],"Sedekah")</f>
        <v>130000</v>
      </c>
      <c r="S245" s="29">
        <f>SUMIFS(Cash_Flow_3[Amount],Cash_Flow_3[Bulan],H245,Cash_Flow_3[Type],"Out",Cash_Flow_3[Category],"Zela")</f>
        <v>215161</v>
      </c>
      <c r="T245" s="29">
        <f>SUMIFS(Cash_Flow_3[Amount],Cash_Flow_3[Bulan],H245,Cash_Flow_3[Type],"Out",Cash_Flow_3[Category],"Iqbal")</f>
        <v>160000</v>
      </c>
    </row>
    <row r="246" spans="1:20" ht="22.5" customHeight="1" x14ac:dyDescent="0.2">
      <c r="A246" s="23">
        <v>46083</v>
      </c>
      <c r="B246" s="24" t="s">
        <v>272</v>
      </c>
      <c r="C246" s="25" t="s">
        <v>43</v>
      </c>
      <c r="D246" s="25" t="s">
        <v>39</v>
      </c>
      <c r="E246" s="25" t="s">
        <v>0</v>
      </c>
      <c r="F246" s="26">
        <v>2000000</v>
      </c>
      <c r="G246" s="27"/>
      <c r="H246" s="28">
        <f t="shared" si="0"/>
        <v>46082</v>
      </c>
      <c r="I246" s="29">
        <f>SUMIFS(Cash_Flow_3[Amount],Cash_Flow_3[Bulan],H246,Cash_Flow_3[Type],"In")</f>
        <v>13015393</v>
      </c>
      <c r="J246" s="29">
        <f>SUMIFS(Cash_Flow_3[Amount],Cash_Flow_3[Bulan],H246,Cash_Flow_3[Type],"Out")</f>
        <v>10475288</v>
      </c>
      <c r="K246" s="29">
        <f>SUMIFS(Cash_Flow_3[Amount],Cash_Flow_3[Bulan],H246,Cash_Flow_3[Type],"Out",Cash_Flow_3[Category],"Fix")</f>
        <v>2908413</v>
      </c>
      <c r="L246" s="29">
        <f>SUMIFS(Cash_Flow_3[Amount],Cash_Flow_3[Bulan],H246,Cash_Flow_3[Type],"Out",Cash_Flow_3[Category],"Bathroom")</f>
        <v>48473</v>
      </c>
      <c r="M246" s="29">
        <f>SUMIFS(Cash_Flow_3[Amount],Cash_Flow_3[Bulan],H246,Cash_Flow_3[Type],"Out",Cash_Flow_3[Category],"Alfa")</f>
        <v>775042</v>
      </c>
      <c r="N246" s="29">
        <f>SUMIFS(Cash_Flow_3[Amount],Cash_Flow_3[Bulan],H246,Cash_Flow_3[Type],"Out",Cash_Flow_3[Category],"Jajan")</f>
        <v>795099</v>
      </c>
      <c r="O246" s="29">
        <f>SUMIFS(Cash_Flow_3[Amount],Cash_Flow_3[Bulan],H246,Cash_Flow_3[Type],"Out",Cash_Flow_3[Category],"Kitchen")</f>
        <v>1003600</v>
      </c>
      <c r="P246" s="29">
        <f>SUMIFS(Cash_Flow_3[Amount],Cash_Flow_3[Bulan],H246,Cash_Flow_3[Type],"Out",Cash_Flow_3[Category],"Loandry")</f>
        <v>41000</v>
      </c>
      <c r="Q246" s="29">
        <f>SUMIFS(Cash_Flow_3[Amount],Cash_Flow_3[Bulan],H246,Cash_Flow_3[Type],"Out",Cash_Flow_3[Category],"Mio")</f>
        <v>364500</v>
      </c>
      <c r="R246" s="29">
        <f>SUMIFS(Cash_Flow_3[Amount],Cash_Flow_3[Bulan],H246,Cash_Flow_3[Type],"Out",Cash_Flow_3[Category],"Sedekah")</f>
        <v>130000</v>
      </c>
      <c r="S246" s="29">
        <f>SUMIFS(Cash_Flow_3[Amount],Cash_Flow_3[Bulan],H246,Cash_Flow_3[Type],"Out",Cash_Flow_3[Category],"Zela")</f>
        <v>215161</v>
      </c>
      <c r="T246" s="29">
        <f>SUMIFS(Cash_Flow_3[Amount],Cash_Flow_3[Bulan],H246,Cash_Flow_3[Type],"Out",Cash_Flow_3[Category],"Iqbal")</f>
        <v>160000</v>
      </c>
    </row>
    <row r="247" spans="1:20" ht="22.5" customHeight="1" x14ac:dyDescent="0.2">
      <c r="A247" s="23">
        <v>46083</v>
      </c>
      <c r="B247" s="24" t="s">
        <v>97</v>
      </c>
      <c r="C247" s="25" t="s">
        <v>43</v>
      </c>
      <c r="D247" s="25" t="s">
        <v>44</v>
      </c>
      <c r="E247" s="25" t="s">
        <v>9</v>
      </c>
      <c r="F247" s="26">
        <v>200000</v>
      </c>
      <c r="G247" s="27"/>
      <c r="H247" s="28">
        <f t="shared" si="0"/>
        <v>46082</v>
      </c>
      <c r="I247" s="29">
        <f>SUMIFS(Cash_Flow_3[Amount],Cash_Flow_3[Bulan],H247,Cash_Flow_3[Type],"In")</f>
        <v>13015393</v>
      </c>
      <c r="J247" s="29">
        <f>SUMIFS(Cash_Flow_3[Amount],Cash_Flow_3[Bulan],H247,Cash_Flow_3[Type],"Out")</f>
        <v>10475288</v>
      </c>
      <c r="K247" s="29">
        <f>SUMIFS(Cash_Flow_3[Amount],Cash_Flow_3[Bulan],H247,Cash_Flow_3[Type],"Out",Cash_Flow_3[Category],"Fix")</f>
        <v>2908413</v>
      </c>
      <c r="L247" s="29">
        <f>SUMIFS(Cash_Flow_3[Amount],Cash_Flow_3[Bulan],H247,Cash_Flow_3[Type],"Out",Cash_Flow_3[Category],"Bathroom")</f>
        <v>48473</v>
      </c>
      <c r="M247" s="29">
        <f>SUMIFS(Cash_Flow_3[Amount],Cash_Flow_3[Bulan],H247,Cash_Flow_3[Type],"Out",Cash_Flow_3[Category],"Alfa")</f>
        <v>775042</v>
      </c>
      <c r="N247" s="29">
        <f>SUMIFS(Cash_Flow_3[Amount],Cash_Flow_3[Bulan],H247,Cash_Flow_3[Type],"Out",Cash_Flow_3[Category],"Jajan")</f>
        <v>795099</v>
      </c>
      <c r="O247" s="29">
        <f>SUMIFS(Cash_Flow_3[Amount],Cash_Flow_3[Bulan],H247,Cash_Flow_3[Type],"Out",Cash_Flow_3[Category],"Kitchen")</f>
        <v>1003600</v>
      </c>
      <c r="P247" s="29">
        <f>SUMIFS(Cash_Flow_3[Amount],Cash_Flow_3[Bulan],H247,Cash_Flow_3[Type],"Out",Cash_Flow_3[Category],"Loandry")</f>
        <v>41000</v>
      </c>
      <c r="Q247" s="29">
        <f>SUMIFS(Cash_Flow_3[Amount],Cash_Flow_3[Bulan],H247,Cash_Flow_3[Type],"Out",Cash_Flow_3[Category],"Mio")</f>
        <v>364500</v>
      </c>
      <c r="R247" s="29">
        <f>SUMIFS(Cash_Flow_3[Amount],Cash_Flow_3[Bulan],H247,Cash_Flow_3[Type],"Out",Cash_Flow_3[Category],"Sedekah")</f>
        <v>130000</v>
      </c>
      <c r="S247" s="29">
        <f>SUMIFS(Cash_Flow_3[Amount],Cash_Flow_3[Bulan],H247,Cash_Flow_3[Type],"Out",Cash_Flow_3[Category],"Zela")</f>
        <v>215161</v>
      </c>
      <c r="T247" s="29">
        <f>SUMIFS(Cash_Flow_3[Amount],Cash_Flow_3[Bulan],H247,Cash_Flow_3[Type],"Out",Cash_Flow_3[Category],"Iqbal")</f>
        <v>160000</v>
      </c>
    </row>
    <row r="248" spans="1:20" ht="22.5" customHeight="1" x14ac:dyDescent="0.2">
      <c r="A248" s="23">
        <v>46083</v>
      </c>
      <c r="B248" s="24" t="s">
        <v>484</v>
      </c>
      <c r="C248" s="25" t="s">
        <v>46</v>
      </c>
      <c r="D248" s="25" t="s">
        <v>39</v>
      </c>
      <c r="E248" s="25" t="s">
        <v>9</v>
      </c>
      <c r="F248" s="26">
        <v>200000</v>
      </c>
      <c r="G248" s="27"/>
      <c r="H248" s="28">
        <f t="shared" si="0"/>
        <v>46082</v>
      </c>
      <c r="I248" s="29">
        <f>SUMIFS(Cash_Flow_3[Amount],Cash_Flow_3[Bulan],H248,Cash_Flow_3[Type],"In")</f>
        <v>13015393</v>
      </c>
      <c r="J248" s="29">
        <f>SUMIFS(Cash_Flow_3[Amount],Cash_Flow_3[Bulan],H248,Cash_Flow_3[Type],"Out")</f>
        <v>10475288</v>
      </c>
      <c r="K248" s="29">
        <f>SUMIFS(Cash_Flow_3[Amount],Cash_Flow_3[Bulan],H248,Cash_Flow_3[Type],"Out",Cash_Flow_3[Category],"Fix")</f>
        <v>2908413</v>
      </c>
      <c r="L248" s="29">
        <f>SUMIFS(Cash_Flow_3[Amount],Cash_Flow_3[Bulan],H248,Cash_Flow_3[Type],"Out",Cash_Flow_3[Category],"Bathroom")</f>
        <v>48473</v>
      </c>
      <c r="M248" s="29">
        <f>SUMIFS(Cash_Flow_3[Amount],Cash_Flow_3[Bulan],H248,Cash_Flow_3[Type],"Out",Cash_Flow_3[Category],"Alfa")</f>
        <v>775042</v>
      </c>
      <c r="N248" s="29">
        <f>SUMIFS(Cash_Flow_3[Amount],Cash_Flow_3[Bulan],H248,Cash_Flow_3[Type],"Out",Cash_Flow_3[Category],"Jajan")</f>
        <v>795099</v>
      </c>
      <c r="O248" s="29">
        <f>SUMIFS(Cash_Flow_3[Amount],Cash_Flow_3[Bulan],H248,Cash_Flow_3[Type],"Out",Cash_Flow_3[Category],"Kitchen")</f>
        <v>1003600</v>
      </c>
      <c r="P248" s="29">
        <f>SUMIFS(Cash_Flow_3[Amount],Cash_Flow_3[Bulan],H248,Cash_Flow_3[Type],"Out",Cash_Flow_3[Category],"Loandry")</f>
        <v>41000</v>
      </c>
      <c r="Q248" s="29">
        <f>SUMIFS(Cash_Flow_3[Amount],Cash_Flow_3[Bulan],H248,Cash_Flow_3[Type],"Out",Cash_Flow_3[Category],"Mio")</f>
        <v>364500</v>
      </c>
      <c r="R248" s="29">
        <f>SUMIFS(Cash_Flow_3[Amount],Cash_Flow_3[Bulan],H248,Cash_Flow_3[Type],"Out",Cash_Flow_3[Category],"Sedekah")</f>
        <v>130000</v>
      </c>
      <c r="S248" s="29">
        <f>SUMIFS(Cash_Flow_3[Amount],Cash_Flow_3[Bulan],H248,Cash_Flow_3[Type],"Out",Cash_Flow_3[Category],"Zela")</f>
        <v>215161</v>
      </c>
      <c r="T248" s="29">
        <f>SUMIFS(Cash_Flow_3[Amount],Cash_Flow_3[Bulan],H248,Cash_Flow_3[Type],"Out",Cash_Flow_3[Category],"Iqbal")</f>
        <v>160000</v>
      </c>
    </row>
    <row r="249" spans="1:20" ht="22.5" customHeight="1" x14ac:dyDescent="0.2">
      <c r="A249" s="23">
        <v>46083</v>
      </c>
      <c r="B249" s="24" t="s">
        <v>545</v>
      </c>
      <c r="C249" s="25" t="s">
        <v>46</v>
      </c>
      <c r="D249" s="25" t="s">
        <v>44</v>
      </c>
      <c r="E249" s="25" t="s">
        <v>3</v>
      </c>
      <c r="F249" s="26">
        <v>210000</v>
      </c>
      <c r="G249" s="27"/>
      <c r="H249" s="28">
        <f t="shared" si="0"/>
        <v>46082</v>
      </c>
      <c r="I249" s="29">
        <f>SUMIFS(Cash_Flow_3[Amount],Cash_Flow_3[Bulan],H249,Cash_Flow_3[Type],"In")</f>
        <v>13015393</v>
      </c>
      <c r="J249" s="29">
        <f>SUMIFS(Cash_Flow_3[Amount],Cash_Flow_3[Bulan],H249,Cash_Flow_3[Type],"Out")</f>
        <v>10475288</v>
      </c>
      <c r="K249" s="29">
        <f>SUMIFS(Cash_Flow_3[Amount],Cash_Flow_3[Bulan],H249,Cash_Flow_3[Type],"Out",Cash_Flow_3[Category],"Fix")</f>
        <v>2908413</v>
      </c>
      <c r="L249" s="29">
        <f>SUMIFS(Cash_Flow_3[Amount],Cash_Flow_3[Bulan],H249,Cash_Flow_3[Type],"Out",Cash_Flow_3[Category],"Bathroom")</f>
        <v>48473</v>
      </c>
      <c r="M249" s="29">
        <f>SUMIFS(Cash_Flow_3[Amount],Cash_Flow_3[Bulan],H249,Cash_Flow_3[Type],"Out",Cash_Flow_3[Category],"Alfa")</f>
        <v>775042</v>
      </c>
      <c r="N249" s="29">
        <f>SUMIFS(Cash_Flow_3[Amount],Cash_Flow_3[Bulan],H249,Cash_Flow_3[Type],"Out",Cash_Flow_3[Category],"Jajan")</f>
        <v>795099</v>
      </c>
      <c r="O249" s="29">
        <f>SUMIFS(Cash_Flow_3[Amount],Cash_Flow_3[Bulan],H249,Cash_Flow_3[Type],"Out",Cash_Flow_3[Category],"Kitchen")</f>
        <v>1003600</v>
      </c>
      <c r="P249" s="29">
        <f>SUMIFS(Cash_Flow_3[Amount],Cash_Flow_3[Bulan],H249,Cash_Flow_3[Type],"Out",Cash_Flow_3[Category],"Loandry")</f>
        <v>41000</v>
      </c>
      <c r="Q249" s="29">
        <f>SUMIFS(Cash_Flow_3[Amount],Cash_Flow_3[Bulan],H249,Cash_Flow_3[Type],"Out",Cash_Flow_3[Category],"Mio")</f>
        <v>364500</v>
      </c>
      <c r="R249" s="29">
        <f>SUMIFS(Cash_Flow_3[Amount],Cash_Flow_3[Bulan],H249,Cash_Flow_3[Type],"Out",Cash_Flow_3[Category],"Sedekah")</f>
        <v>130000</v>
      </c>
      <c r="S249" s="29">
        <f>SUMIFS(Cash_Flow_3[Amount],Cash_Flow_3[Bulan],H249,Cash_Flow_3[Type],"Out",Cash_Flow_3[Category],"Zela")</f>
        <v>215161</v>
      </c>
      <c r="T249" s="29">
        <f>SUMIFS(Cash_Flow_3[Amount],Cash_Flow_3[Bulan],H249,Cash_Flow_3[Type],"Out",Cash_Flow_3[Category],"Iqbal")</f>
        <v>160000</v>
      </c>
    </row>
    <row r="250" spans="1:20" ht="22.5" customHeight="1" x14ac:dyDescent="0.2">
      <c r="A250" s="23">
        <v>46083</v>
      </c>
      <c r="B250" s="24" t="s">
        <v>946</v>
      </c>
      <c r="C250" s="25" t="s">
        <v>43</v>
      </c>
      <c r="D250" s="25" t="s">
        <v>44</v>
      </c>
      <c r="E250" s="25" t="s">
        <v>0</v>
      </c>
      <c r="F250" s="26">
        <v>10000</v>
      </c>
      <c r="G250" s="27"/>
      <c r="H250" s="28">
        <f t="shared" si="0"/>
        <v>46082</v>
      </c>
      <c r="I250" s="29">
        <f>SUMIFS(Cash_Flow_3[Amount],Cash_Flow_3[Bulan],H250,Cash_Flow_3[Type],"In")</f>
        <v>13015393</v>
      </c>
      <c r="J250" s="29">
        <f>SUMIFS(Cash_Flow_3[Amount],Cash_Flow_3[Bulan],H250,Cash_Flow_3[Type],"Out")</f>
        <v>10475288</v>
      </c>
      <c r="K250" s="29">
        <f>SUMIFS(Cash_Flow_3[Amount],Cash_Flow_3[Bulan],H250,Cash_Flow_3[Type],"Out",Cash_Flow_3[Category],"Fix")</f>
        <v>2908413</v>
      </c>
      <c r="L250" s="29">
        <f>SUMIFS(Cash_Flow_3[Amount],Cash_Flow_3[Bulan],H250,Cash_Flow_3[Type],"Out",Cash_Flow_3[Category],"Bathroom")</f>
        <v>48473</v>
      </c>
      <c r="M250" s="29">
        <f>SUMIFS(Cash_Flow_3[Amount],Cash_Flow_3[Bulan],H250,Cash_Flow_3[Type],"Out",Cash_Flow_3[Category],"Alfa")</f>
        <v>775042</v>
      </c>
      <c r="N250" s="29">
        <f>SUMIFS(Cash_Flow_3[Amount],Cash_Flow_3[Bulan],H250,Cash_Flow_3[Type],"Out",Cash_Flow_3[Category],"Jajan")</f>
        <v>795099</v>
      </c>
      <c r="O250" s="29">
        <f>SUMIFS(Cash_Flow_3[Amount],Cash_Flow_3[Bulan],H250,Cash_Flow_3[Type],"Out",Cash_Flow_3[Category],"Kitchen")</f>
        <v>1003600</v>
      </c>
      <c r="P250" s="29">
        <f>SUMIFS(Cash_Flow_3[Amount],Cash_Flow_3[Bulan],H250,Cash_Flow_3[Type],"Out",Cash_Flow_3[Category],"Loandry")</f>
        <v>41000</v>
      </c>
      <c r="Q250" s="29">
        <f>SUMIFS(Cash_Flow_3[Amount],Cash_Flow_3[Bulan],H250,Cash_Flow_3[Type],"Out",Cash_Flow_3[Category],"Mio")</f>
        <v>364500</v>
      </c>
      <c r="R250" s="29">
        <f>SUMIFS(Cash_Flow_3[Amount],Cash_Flow_3[Bulan],H250,Cash_Flow_3[Type],"Out",Cash_Flow_3[Category],"Sedekah")</f>
        <v>130000</v>
      </c>
      <c r="S250" s="29">
        <f>SUMIFS(Cash_Flow_3[Amount],Cash_Flow_3[Bulan],H250,Cash_Flow_3[Type],"Out",Cash_Flow_3[Category],"Zela")</f>
        <v>215161</v>
      </c>
      <c r="T250" s="29">
        <f>SUMIFS(Cash_Flow_3[Amount],Cash_Flow_3[Bulan],H250,Cash_Flow_3[Type],"Out",Cash_Flow_3[Category],"Iqbal")</f>
        <v>160000</v>
      </c>
    </row>
    <row r="251" spans="1:20" ht="22.5" customHeight="1" x14ac:dyDescent="0.2">
      <c r="A251" s="23">
        <v>46083</v>
      </c>
      <c r="B251" s="24" t="s">
        <v>278</v>
      </c>
      <c r="C251" s="25" t="s">
        <v>43</v>
      </c>
      <c r="D251" s="25" t="s">
        <v>44</v>
      </c>
      <c r="E251" s="25" t="s">
        <v>0</v>
      </c>
      <c r="F251" s="26">
        <v>112600</v>
      </c>
      <c r="G251" s="27"/>
      <c r="H251" s="28">
        <f t="shared" si="0"/>
        <v>46082</v>
      </c>
      <c r="I251" s="29">
        <f>SUMIFS(Cash_Flow_3[Amount],Cash_Flow_3[Bulan],H251,Cash_Flow_3[Type],"In")</f>
        <v>13015393</v>
      </c>
      <c r="J251" s="29">
        <f>SUMIFS(Cash_Flow_3[Amount],Cash_Flow_3[Bulan],H251,Cash_Flow_3[Type],"Out")</f>
        <v>10475288</v>
      </c>
      <c r="K251" s="29">
        <f>SUMIFS(Cash_Flow_3[Amount],Cash_Flow_3[Bulan],H251,Cash_Flow_3[Type],"Out",Cash_Flow_3[Category],"Fix")</f>
        <v>2908413</v>
      </c>
      <c r="L251" s="29">
        <f>SUMIFS(Cash_Flow_3[Amount],Cash_Flow_3[Bulan],H251,Cash_Flow_3[Type],"Out",Cash_Flow_3[Category],"Bathroom")</f>
        <v>48473</v>
      </c>
      <c r="M251" s="29">
        <f>SUMIFS(Cash_Flow_3[Amount],Cash_Flow_3[Bulan],H251,Cash_Flow_3[Type],"Out",Cash_Flow_3[Category],"Alfa")</f>
        <v>775042</v>
      </c>
      <c r="N251" s="29">
        <f>SUMIFS(Cash_Flow_3[Amount],Cash_Flow_3[Bulan],H251,Cash_Flow_3[Type],"Out",Cash_Flow_3[Category],"Jajan")</f>
        <v>795099</v>
      </c>
      <c r="O251" s="29">
        <f>SUMIFS(Cash_Flow_3[Amount],Cash_Flow_3[Bulan],H251,Cash_Flow_3[Type],"Out",Cash_Flow_3[Category],"Kitchen")</f>
        <v>1003600</v>
      </c>
      <c r="P251" s="29">
        <f>SUMIFS(Cash_Flow_3[Amount],Cash_Flow_3[Bulan],H251,Cash_Flow_3[Type],"Out",Cash_Flow_3[Category],"Loandry")</f>
        <v>41000</v>
      </c>
      <c r="Q251" s="29">
        <f>SUMIFS(Cash_Flow_3[Amount],Cash_Flow_3[Bulan],H251,Cash_Flow_3[Type],"Out",Cash_Flow_3[Category],"Mio")</f>
        <v>364500</v>
      </c>
      <c r="R251" s="29">
        <f>SUMIFS(Cash_Flow_3[Amount],Cash_Flow_3[Bulan],H251,Cash_Flow_3[Type],"Out",Cash_Flow_3[Category],"Sedekah")</f>
        <v>130000</v>
      </c>
      <c r="S251" s="29">
        <f>SUMIFS(Cash_Flow_3[Amount],Cash_Flow_3[Bulan],H251,Cash_Flow_3[Type],"Out",Cash_Flow_3[Category],"Zela")</f>
        <v>215161</v>
      </c>
      <c r="T251" s="29">
        <f>SUMIFS(Cash_Flow_3[Amount],Cash_Flow_3[Bulan],H251,Cash_Flow_3[Type],"Out",Cash_Flow_3[Category],"Iqbal")</f>
        <v>160000</v>
      </c>
    </row>
    <row r="252" spans="1:20" ht="22.5" customHeight="1" x14ac:dyDescent="0.2">
      <c r="A252" s="23">
        <v>46083</v>
      </c>
      <c r="B252" s="24" t="s">
        <v>279</v>
      </c>
      <c r="C252" s="25" t="s">
        <v>43</v>
      </c>
      <c r="D252" s="25" t="s">
        <v>39</v>
      </c>
      <c r="E252" s="25" t="s">
        <v>9</v>
      </c>
      <c r="F252" s="26">
        <v>12600</v>
      </c>
      <c r="G252" s="27"/>
      <c r="H252" s="28">
        <f t="shared" si="0"/>
        <v>46082</v>
      </c>
      <c r="I252" s="29">
        <f>SUMIFS(Cash_Flow_3[Amount],Cash_Flow_3[Bulan],H252,Cash_Flow_3[Type],"In")</f>
        <v>13015393</v>
      </c>
      <c r="J252" s="29">
        <f>SUMIFS(Cash_Flow_3[Amount],Cash_Flow_3[Bulan],H252,Cash_Flow_3[Type],"Out")</f>
        <v>10475288</v>
      </c>
      <c r="K252" s="29">
        <f>SUMIFS(Cash_Flow_3[Amount],Cash_Flow_3[Bulan],H252,Cash_Flow_3[Type],"Out",Cash_Flow_3[Category],"Fix")</f>
        <v>2908413</v>
      </c>
      <c r="L252" s="29">
        <f>SUMIFS(Cash_Flow_3[Amount],Cash_Flow_3[Bulan],H252,Cash_Flow_3[Type],"Out",Cash_Flow_3[Category],"Bathroom")</f>
        <v>48473</v>
      </c>
      <c r="M252" s="29">
        <f>SUMIFS(Cash_Flow_3[Amount],Cash_Flow_3[Bulan],H252,Cash_Flow_3[Type],"Out",Cash_Flow_3[Category],"Alfa")</f>
        <v>775042</v>
      </c>
      <c r="N252" s="29">
        <f>SUMIFS(Cash_Flow_3[Amount],Cash_Flow_3[Bulan],H252,Cash_Flow_3[Type],"Out",Cash_Flow_3[Category],"Jajan")</f>
        <v>795099</v>
      </c>
      <c r="O252" s="29">
        <f>SUMIFS(Cash_Flow_3[Amount],Cash_Flow_3[Bulan],H252,Cash_Flow_3[Type],"Out",Cash_Flow_3[Category],"Kitchen")</f>
        <v>1003600</v>
      </c>
      <c r="P252" s="29">
        <f>SUMIFS(Cash_Flow_3[Amount],Cash_Flow_3[Bulan],H252,Cash_Flow_3[Type],"Out",Cash_Flow_3[Category],"Loandry")</f>
        <v>41000</v>
      </c>
      <c r="Q252" s="29">
        <f>SUMIFS(Cash_Flow_3[Amount],Cash_Flow_3[Bulan],H252,Cash_Flow_3[Type],"Out",Cash_Flow_3[Category],"Mio")</f>
        <v>364500</v>
      </c>
      <c r="R252" s="29">
        <f>SUMIFS(Cash_Flow_3[Amount],Cash_Flow_3[Bulan],H252,Cash_Flow_3[Type],"Out",Cash_Flow_3[Category],"Sedekah")</f>
        <v>130000</v>
      </c>
      <c r="S252" s="29">
        <f>SUMIFS(Cash_Flow_3[Amount],Cash_Flow_3[Bulan],H252,Cash_Flow_3[Type],"Out",Cash_Flow_3[Category],"Zela")</f>
        <v>215161</v>
      </c>
      <c r="T252" s="29">
        <f>SUMIFS(Cash_Flow_3[Amount],Cash_Flow_3[Bulan],H252,Cash_Flow_3[Type],"Out",Cash_Flow_3[Category],"Iqbal")</f>
        <v>160000</v>
      </c>
    </row>
    <row r="253" spans="1:20" ht="22.5" customHeight="1" x14ac:dyDescent="0.2">
      <c r="A253" s="23">
        <v>46083</v>
      </c>
      <c r="B253" s="24" t="s">
        <v>947</v>
      </c>
      <c r="C253" s="25" t="s">
        <v>46</v>
      </c>
      <c r="D253" s="25" t="s">
        <v>44</v>
      </c>
      <c r="E253" s="25" t="s">
        <v>1</v>
      </c>
      <c r="F253" s="26">
        <v>10000</v>
      </c>
      <c r="G253" s="27"/>
      <c r="H253" s="28">
        <f t="shared" si="0"/>
        <v>46082</v>
      </c>
      <c r="I253" s="29">
        <f>SUMIFS(Cash_Flow_3[Amount],Cash_Flow_3[Bulan],H253,Cash_Flow_3[Type],"In")</f>
        <v>13015393</v>
      </c>
      <c r="J253" s="29">
        <f>SUMIFS(Cash_Flow_3[Amount],Cash_Flow_3[Bulan],H253,Cash_Flow_3[Type],"Out")</f>
        <v>10475288</v>
      </c>
      <c r="K253" s="29">
        <f>SUMIFS(Cash_Flow_3[Amount],Cash_Flow_3[Bulan],H253,Cash_Flow_3[Type],"Out",Cash_Flow_3[Category],"Fix")</f>
        <v>2908413</v>
      </c>
      <c r="L253" s="29">
        <f>SUMIFS(Cash_Flow_3[Amount],Cash_Flow_3[Bulan],H253,Cash_Flow_3[Type],"Out",Cash_Flow_3[Category],"Bathroom")</f>
        <v>48473</v>
      </c>
      <c r="M253" s="29">
        <f>SUMIFS(Cash_Flow_3[Amount],Cash_Flow_3[Bulan],H253,Cash_Flow_3[Type],"Out",Cash_Flow_3[Category],"Alfa")</f>
        <v>775042</v>
      </c>
      <c r="N253" s="29">
        <f>SUMIFS(Cash_Flow_3[Amount],Cash_Flow_3[Bulan],H253,Cash_Flow_3[Type],"Out",Cash_Flow_3[Category],"Jajan")</f>
        <v>795099</v>
      </c>
      <c r="O253" s="29">
        <f>SUMIFS(Cash_Flow_3[Amount],Cash_Flow_3[Bulan],H253,Cash_Flow_3[Type],"Out",Cash_Flow_3[Category],"Kitchen")</f>
        <v>1003600</v>
      </c>
      <c r="P253" s="29">
        <f>SUMIFS(Cash_Flow_3[Amount],Cash_Flow_3[Bulan],H253,Cash_Flow_3[Type],"Out",Cash_Flow_3[Category],"Loandry")</f>
        <v>41000</v>
      </c>
      <c r="Q253" s="29">
        <f>SUMIFS(Cash_Flow_3[Amount],Cash_Flow_3[Bulan],H253,Cash_Flow_3[Type],"Out",Cash_Flow_3[Category],"Mio")</f>
        <v>364500</v>
      </c>
      <c r="R253" s="29">
        <f>SUMIFS(Cash_Flow_3[Amount],Cash_Flow_3[Bulan],H253,Cash_Flow_3[Type],"Out",Cash_Flow_3[Category],"Sedekah")</f>
        <v>130000</v>
      </c>
      <c r="S253" s="29">
        <f>SUMIFS(Cash_Flow_3[Amount],Cash_Flow_3[Bulan],H253,Cash_Flow_3[Type],"Out",Cash_Flow_3[Category],"Zela")</f>
        <v>215161</v>
      </c>
      <c r="T253" s="29">
        <f>SUMIFS(Cash_Flow_3[Amount],Cash_Flow_3[Bulan],H253,Cash_Flow_3[Type],"Out",Cash_Flow_3[Category],"Iqbal")</f>
        <v>160000</v>
      </c>
    </row>
    <row r="254" spans="1:20" ht="22.5" customHeight="1" x14ac:dyDescent="0.2">
      <c r="A254" s="23">
        <v>46083</v>
      </c>
      <c r="B254" s="24" t="s">
        <v>526</v>
      </c>
      <c r="C254" s="25" t="s">
        <v>46</v>
      </c>
      <c r="D254" s="25" t="s">
        <v>44</v>
      </c>
      <c r="E254" s="25" t="s">
        <v>6</v>
      </c>
      <c r="F254" s="26">
        <v>20000</v>
      </c>
      <c r="G254" s="27"/>
      <c r="H254" s="28">
        <f t="shared" si="0"/>
        <v>46082</v>
      </c>
      <c r="I254" s="29">
        <f>SUMIFS(Cash_Flow_3[Amount],Cash_Flow_3[Bulan],H254,Cash_Flow_3[Type],"In")</f>
        <v>13015393</v>
      </c>
      <c r="J254" s="29">
        <f>SUMIFS(Cash_Flow_3[Amount],Cash_Flow_3[Bulan],H254,Cash_Flow_3[Type],"Out")</f>
        <v>10475288</v>
      </c>
      <c r="K254" s="29">
        <f>SUMIFS(Cash_Flow_3[Amount],Cash_Flow_3[Bulan],H254,Cash_Flow_3[Type],"Out",Cash_Flow_3[Category],"Fix")</f>
        <v>2908413</v>
      </c>
      <c r="L254" s="29">
        <f>SUMIFS(Cash_Flow_3[Amount],Cash_Flow_3[Bulan],H254,Cash_Flow_3[Type],"Out",Cash_Flow_3[Category],"Bathroom")</f>
        <v>48473</v>
      </c>
      <c r="M254" s="29">
        <f>SUMIFS(Cash_Flow_3[Amount],Cash_Flow_3[Bulan],H254,Cash_Flow_3[Type],"Out",Cash_Flow_3[Category],"Alfa")</f>
        <v>775042</v>
      </c>
      <c r="N254" s="29">
        <f>SUMIFS(Cash_Flow_3[Amount],Cash_Flow_3[Bulan],H254,Cash_Flow_3[Type],"Out",Cash_Flow_3[Category],"Jajan")</f>
        <v>795099</v>
      </c>
      <c r="O254" s="29">
        <f>SUMIFS(Cash_Flow_3[Amount],Cash_Flow_3[Bulan],H254,Cash_Flow_3[Type],"Out",Cash_Flow_3[Category],"Kitchen")</f>
        <v>1003600</v>
      </c>
      <c r="P254" s="29">
        <f>SUMIFS(Cash_Flow_3[Amount],Cash_Flow_3[Bulan],H254,Cash_Flow_3[Type],"Out",Cash_Flow_3[Category],"Loandry")</f>
        <v>41000</v>
      </c>
      <c r="Q254" s="29">
        <f>SUMIFS(Cash_Flow_3[Amount],Cash_Flow_3[Bulan],H254,Cash_Flow_3[Type],"Out",Cash_Flow_3[Category],"Mio")</f>
        <v>364500</v>
      </c>
      <c r="R254" s="29">
        <f>SUMIFS(Cash_Flow_3[Amount],Cash_Flow_3[Bulan],H254,Cash_Flow_3[Type],"Out",Cash_Flow_3[Category],"Sedekah")</f>
        <v>130000</v>
      </c>
      <c r="S254" s="29">
        <f>SUMIFS(Cash_Flow_3[Amount],Cash_Flow_3[Bulan],H254,Cash_Flow_3[Type],"Out",Cash_Flow_3[Category],"Zela")</f>
        <v>215161</v>
      </c>
      <c r="T254" s="29">
        <f>SUMIFS(Cash_Flow_3[Amount],Cash_Flow_3[Bulan],H254,Cash_Flow_3[Type],"Out",Cash_Flow_3[Category],"Iqbal")</f>
        <v>160000</v>
      </c>
    </row>
    <row r="255" spans="1:20" ht="22.5" customHeight="1" x14ac:dyDescent="0.2">
      <c r="A255" s="23">
        <v>46083</v>
      </c>
      <c r="B255" s="24" t="s">
        <v>279</v>
      </c>
      <c r="C255" s="25" t="s">
        <v>43</v>
      </c>
      <c r="D255" s="25" t="s">
        <v>39</v>
      </c>
      <c r="E255" s="25" t="s">
        <v>9</v>
      </c>
      <c r="F255" s="26">
        <v>16045</v>
      </c>
      <c r="G255" s="27"/>
      <c r="H255" s="28">
        <f t="shared" si="0"/>
        <v>46082</v>
      </c>
      <c r="I255" s="29">
        <f>SUMIFS(Cash_Flow_3[Amount],Cash_Flow_3[Bulan],H255,Cash_Flow_3[Type],"In")</f>
        <v>13015393</v>
      </c>
      <c r="J255" s="29">
        <f>SUMIFS(Cash_Flow_3[Amount],Cash_Flow_3[Bulan],H255,Cash_Flow_3[Type],"Out")</f>
        <v>10475288</v>
      </c>
      <c r="K255" s="29">
        <f>SUMIFS(Cash_Flow_3[Amount],Cash_Flow_3[Bulan],H255,Cash_Flow_3[Type],"Out",Cash_Flow_3[Category],"Fix")</f>
        <v>2908413</v>
      </c>
      <c r="L255" s="29">
        <f>SUMIFS(Cash_Flow_3[Amount],Cash_Flow_3[Bulan],H255,Cash_Flow_3[Type],"Out",Cash_Flow_3[Category],"Bathroom")</f>
        <v>48473</v>
      </c>
      <c r="M255" s="29">
        <f>SUMIFS(Cash_Flow_3[Amount],Cash_Flow_3[Bulan],H255,Cash_Flow_3[Type],"Out",Cash_Flow_3[Category],"Alfa")</f>
        <v>775042</v>
      </c>
      <c r="N255" s="29">
        <f>SUMIFS(Cash_Flow_3[Amount],Cash_Flow_3[Bulan],H255,Cash_Flow_3[Type],"Out",Cash_Flow_3[Category],"Jajan")</f>
        <v>795099</v>
      </c>
      <c r="O255" s="29">
        <f>SUMIFS(Cash_Flow_3[Amount],Cash_Flow_3[Bulan],H255,Cash_Flow_3[Type],"Out",Cash_Flow_3[Category],"Kitchen")</f>
        <v>1003600</v>
      </c>
      <c r="P255" s="29">
        <f>SUMIFS(Cash_Flow_3[Amount],Cash_Flow_3[Bulan],H255,Cash_Flow_3[Type],"Out",Cash_Flow_3[Category],"Loandry")</f>
        <v>41000</v>
      </c>
      <c r="Q255" s="29">
        <f>SUMIFS(Cash_Flow_3[Amount],Cash_Flow_3[Bulan],H255,Cash_Flow_3[Type],"Out",Cash_Flow_3[Category],"Mio")</f>
        <v>364500</v>
      </c>
      <c r="R255" s="29">
        <f>SUMIFS(Cash_Flow_3[Amount],Cash_Flow_3[Bulan],H255,Cash_Flow_3[Type],"Out",Cash_Flow_3[Category],"Sedekah")</f>
        <v>130000</v>
      </c>
      <c r="S255" s="29">
        <f>SUMIFS(Cash_Flow_3[Amount],Cash_Flow_3[Bulan],H255,Cash_Flow_3[Type],"Out",Cash_Flow_3[Category],"Zela")</f>
        <v>215161</v>
      </c>
      <c r="T255" s="29">
        <f>SUMIFS(Cash_Flow_3[Amount],Cash_Flow_3[Bulan],H255,Cash_Flow_3[Type],"Out",Cash_Flow_3[Category],"Iqbal")</f>
        <v>160000</v>
      </c>
    </row>
    <row r="256" spans="1:20" ht="22.5" customHeight="1" x14ac:dyDescent="0.2">
      <c r="A256" s="23">
        <v>46083</v>
      </c>
      <c r="B256" s="24" t="s">
        <v>948</v>
      </c>
      <c r="C256" s="25" t="s">
        <v>43</v>
      </c>
      <c r="D256" s="25" t="s">
        <v>44</v>
      </c>
      <c r="E256" s="25" t="s">
        <v>9</v>
      </c>
      <c r="F256" s="26">
        <v>100000</v>
      </c>
      <c r="G256" s="27"/>
      <c r="H256" s="28">
        <f t="shared" si="0"/>
        <v>46082</v>
      </c>
      <c r="I256" s="29">
        <f>SUMIFS(Cash_Flow_3[Amount],Cash_Flow_3[Bulan],H256,Cash_Flow_3[Type],"In")</f>
        <v>13015393</v>
      </c>
      <c r="J256" s="29">
        <f>SUMIFS(Cash_Flow_3[Amount],Cash_Flow_3[Bulan],H256,Cash_Flow_3[Type],"Out")</f>
        <v>10475288</v>
      </c>
      <c r="K256" s="29">
        <f>SUMIFS(Cash_Flow_3[Amount],Cash_Flow_3[Bulan],H256,Cash_Flow_3[Type],"Out",Cash_Flow_3[Category],"Fix")</f>
        <v>2908413</v>
      </c>
      <c r="L256" s="29">
        <f>SUMIFS(Cash_Flow_3[Amount],Cash_Flow_3[Bulan],H256,Cash_Flow_3[Type],"Out",Cash_Flow_3[Category],"Bathroom")</f>
        <v>48473</v>
      </c>
      <c r="M256" s="29">
        <f>SUMIFS(Cash_Flow_3[Amount],Cash_Flow_3[Bulan],H256,Cash_Flow_3[Type],"Out",Cash_Flow_3[Category],"Alfa")</f>
        <v>775042</v>
      </c>
      <c r="N256" s="29">
        <f>SUMIFS(Cash_Flow_3[Amount],Cash_Flow_3[Bulan],H256,Cash_Flow_3[Type],"Out",Cash_Flow_3[Category],"Jajan")</f>
        <v>795099</v>
      </c>
      <c r="O256" s="29">
        <f>SUMIFS(Cash_Flow_3[Amount],Cash_Flow_3[Bulan],H256,Cash_Flow_3[Type],"Out",Cash_Flow_3[Category],"Kitchen")</f>
        <v>1003600</v>
      </c>
      <c r="P256" s="29">
        <f>SUMIFS(Cash_Flow_3[Amount],Cash_Flow_3[Bulan],H256,Cash_Flow_3[Type],"Out",Cash_Flow_3[Category],"Loandry")</f>
        <v>41000</v>
      </c>
      <c r="Q256" s="29">
        <f>SUMIFS(Cash_Flow_3[Amount],Cash_Flow_3[Bulan],H256,Cash_Flow_3[Type],"Out",Cash_Flow_3[Category],"Mio")</f>
        <v>364500</v>
      </c>
      <c r="R256" s="29">
        <f>SUMIFS(Cash_Flow_3[Amount],Cash_Flow_3[Bulan],H256,Cash_Flow_3[Type],"Out",Cash_Flow_3[Category],"Sedekah")</f>
        <v>130000</v>
      </c>
      <c r="S256" s="29">
        <f>SUMIFS(Cash_Flow_3[Amount],Cash_Flow_3[Bulan],H256,Cash_Flow_3[Type],"Out",Cash_Flow_3[Category],"Zela")</f>
        <v>215161</v>
      </c>
      <c r="T256" s="29">
        <f>SUMIFS(Cash_Flow_3[Amount],Cash_Flow_3[Bulan],H256,Cash_Flow_3[Type],"Out",Cash_Flow_3[Category],"Iqbal")</f>
        <v>160000</v>
      </c>
    </row>
    <row r="257" spans="1:20" ht="22.5" customHeight="1" x14ac:dyDescent="0.2">
      <c r="A257" s="23">
        <v>46083</v>
      </c>
      <c r="B257" s="24" t="s">
        <v>484</v>
      </c>
      <c r="C257" s="25" t="s">
        <v>46</v>
      </c>
      <c r="D257" s="25" t="s">
        <v>39</v>
      </c>
      <c r="E257" s="25" t="s">
        <v>9</v>
      </c>
      <c r="F257" s="26">
        <v>100000</v>
      </c>
      <c r="G257" s="27"/>
      <c r="H257" s="28">
        <f t="shared" si="0"/>
        <v>46082</v>
      </c>
      <c r="I257" s="29">
        <f>SUMIFS(Cash_Flow_3[Amount],Cash_Flow_3[Bulan],H257,Cash_Flow_3[Type],"In")</f>
        <v>13015393</v>
      </c>
      <c r="J257" s="29">
        <f>SUMIFS(Cash_Flow_3[Amount],Cash_Flow_3[Bulan],H257,Cash_Flow_3[Type],"Out")</f>
        <v>10475288</v>
      </c>
      <c r="K257" s="29">
        <f>SUMIFS(Cash_Flow_3[Amount],Cash_Flow_3[Bulan],H257,Cash_Flow_3[Type],"Out",Cash_Flow_3[Category],"Fix")</f>
        <v>2908413</v>
      </c>
      <c r="L257" s="29">
        <f>SUMIFS(Cash_Flow_3[Amount],Cash_Flow_3[Bulan],H257,Cash_Flow_3[Type],"Out",Cash_Flow_3[Category],"Bathroom")</f>
        <v>48473</v>
      </c>
      <c r="M257" s="29">
        <f>SUMIFS(Cash_Flow_3[Amount],Cash_Flow_3[Bulan],H257,Cash_Flow_3[Type],"Out",Cash_Flow_3[Category],"Alfa")</f>
        <v>775042</v>
      </c>
      <c r="N257" s="29">
        <f>SUMIFS(Cash_Flow_3[Amount],Cash_Flow_3[Bulan],H257,Cash_Flow_3[Type],"Out",Cash_Flow_3[Category],"Jajan")</f>
        <v>795099</v>
      </c>
      <c r="O257" s="29">
        <f>SUMIFS(Cash_Flow_3[Amount],Cash_Flow_3[Bulan],H257,Cash_Flow_3[Type],"Out",Cash_Flow_3[Category],"Kitchen")</f>
        <v>1003600</v>
      </c>
      <c r="P257" s="29">
        <f>SUMIFS(Cash_Flow_3[Amount],Cash_Flow_3[Bulan],H257,Cash_Flow_3[Type],"Out",Cash_Flow_3[Category],"Loandry")</f>
        <v>41000</v>
      </c>
      <c r="Q257" s="29">
        <f>SUMIFS(Cash_Flow_3[Amount],Cash_Flow_3[Bulan],H257,Cash_Flow_3[Type],"Out",Cash_Flow_3[Category],"Mio")</f>
        <v>364500</v>
      </c>
      <c r="R257" s="29">
        <f>SUMIFS(Cash_Flow_3[Amount],Cash_Flow_3[Bulan],H257,Cash_Flow_3[Type],"Out",Cash_Flow_3[Category],"Sedekah")</f>
        <v>130000</v>
      </c>
      <c r="S257" s="29">
        <f>SUMIFS(Cash_Flow_3[Amount],Cash_Flow_3[Bulan],H257,Cash_Flow_3[Type],"Out",Cash_Flow_3[Category],"Zela")</f>
        <v>215161</v>
      </c>
      <c r="T257" s="29">
        <f>SUMIFS(Cash_Flow_3[Amount],Cash_Flow_3[Bulan],H257,Cash_Flow_3[Type],"Out",Cash_Flow_3[Category],"Iqbal")</f>
        <v>160000</v>
      </c>
    </row>
    <row r="258" spans="1:20" ht="22.5" customHeight="1" x14ac:dyDescent="0.2">
      <c r="A258" s="23">
        <v>46083</v>
      </c>
      <c r="B258" s="24" t="s">
        <v>285</v>
      </c>
      <c r="C258" s="25" t="s">
        <v>43</v>
      </c>
      <c r="D258" s="25" t="s">
        <v>44</v>
      </c>
      <c r="E258" s="25" t="s">
        <v>1</v>
      </c>
      <c r="F258" s="26">
        <v>117000</v>
      </c>
      <c r="G258" s="27"/>
      <c r="H258" s="28">
        <f t="shared" si="0"/>
        <v>46082</v>
      </c>
      <c r="I258" s="29">
        <f>SUMIFS(Cash_Flow_3[Amount],Cash_Flow_3[Bulan],H258,Cash_Flow_3[Type],"In")</f>
        <v>13015393</v>
      </c>
      <c r="J258" s="29">
        <f>SUMIFS(Cash_Flow_3[Amount],Cash_Flow_3[Bulan],H258,Cash_Flow_3[Type],"Out")</f>
        <v>10475288</v>
      </c>
      <c r="K258" s="29">
        <f>SUMIFS(Cash_Flow_3[Amount],Cash_Flow_3[Bulan],H258,Cash_Flow_3[Type],"Out",Cash_Flow_3[Category],"Fix")</f>
        <v>2908413</v>
      </c>
      <c r="L258" s="29">
        <f>SUMIFS(Cash_Flow_3[Amount],Cash_Flow_3[Bulan],H258,Cash_Flow_3[Type],"Out",Cash_Flow_3[Category],"Bathroom")</f>
        <v>48473</v>
      </c>
      <c r="M258" s="29">
        <f>SUMIFS(Cash_Flow_3[Amount],Cash_Flow_3[Bulan],H258,Cash_Flow_3[Type],"Out",Cash_Flow_3[Category],"Alfa")</f>
        <v>775042</v>
      </c>
      <c r="N258" s="29">
        <f>SUMIFS(Cash_Flow_3[Amount],Cash_Flow_3[Bulan],H258,Cash_Flow_3[Type],"Out",Cash_Flow_3[Category],"Jajan")</f>
        <v>795099</v>
      </c>
      <c r="O258" s="29">
        <f>SUMIFS(Cash_Flow_3[Amount],Cash_Flow_3[Bulan],H258,Cash_Flow_3[Type],"Out",Cash_Flow_3[Category],"Kitchen")</f>
        <v>1003600</v>
      </c>
      <c r="P258" s="29">
        <f>SUMIFS(Cash_Flow_3[Amount],Cash_Flow_3[Bulan],H258,Cash_Flow_3[Type],"Out",Cash_Flow_3[Category],"Loandry")</f>
        <v>41000</v>
      </c>
      <c r="Q258" s="29">
        <f>SUMIFS(Cash_Flow_3[Amount],Cash_Flow_3[Bulan],H258,Cash_Flow_3[Type],"Out",Cash_Flow_3[Category],"Mio")</f>
        <v>364500</v>
      </c>
      <c r="R258" s="29">
        <f>SUMIFS(Cash_Flow_3[Amount],Cash_Flow_3[Bulan],H258,Cash_Flow_3[Type],"Out",Cash_Flow_3[Category],"Sedekah")</f>
        <v>130000</v>
      </c>
      <c r="S258" s="29">
        <f>SUMIFS(Cash_Flow_3[Amount],Cash_Flow_3[Bulan],H258,Cash_Flow_3[Type],"Out",Cash_Flow_3[Category],"Zela")</f>
        <v>215161</v>
      </c>
      <c r="T258" s="29">
        <f>SUMIFS(Cash_Flow_3[Amount],Cash_Flow_3[Bulan],H258,Cash_Flow_3[Type],"Out",Cash_Flow_3[Category],"Iqbal")</f>
        <v>160000</v>
      </c>
    </row>
    <row r="259" spans="1:20" ht="22.5" customHeight="1" x14ac:dyDescent="0.2">
      <c r="A259" s="23">
        <v>46084</v>
      </c>
      <c r="B259" s="24" t="s">
        <v>286</v>
      </c>
      <c r="C259" s="25" t="s">
        <v>43</v>
      </c>
      <c r="D259" s="25" t="s">
        <v>44</v>
      </c>
      <c r="E259" s="25" t="s">
        <v>2</v>
      </c>
      <c r="F259" s="26">
        <v>10000</v>
      </c>
      <c r="G259" s="27"/>
      <c r="H259" s="28">
        <f t="shared" si="0"/>
        <v>46082</v>
      </c>
      <c r="I259" s="29">
        <f>SUMIFS(Cash_Flow_3[Amount],Cash_Flow_3[Bulan],H259,Cash_Flow_3[Type],"In")</f>
        <v>13015393</v>
      </c>
      <c r="J259" s="29">
        <f>SUMIFS(Cash_Flow_3[Amount],Cash_Flow_3[Bulan],H259,Cash_Flow_3[Type],"Out")</f>
        <v>10475288</v>
      </c>
      <c r="K259" s="29">
        <f>SUMIFS(Cash_Flow_3[Amount],Cash_Flow_3[Bulan],H259,Cash_Flow_3[Type],"Out",Cash_Flow_3[Category],"Fix")</f>
        <v>2908413</v>
      </c>
      <c r="L259" s="29">
        <f>SUMIFS(Cash_Flow_3[Amount],Cash_Flow_3[Bulan],H259,Cash_Flow_3[Type],"Out",Cash_Flow_3[Category],"Bathroom")</f>
        <v>48473</v>
      </c>
      <c r="M259" s="29">
        <f>SUMIFS(Cash_Flow_3[Amount],Cash_Flow_3[Bulan],H259,Cash_Flow_3[Type],"Out",Cash_Flow_3[Category],"Alfa")</f>
        <v>775042</v>
      </c>
      <c r="N259" s="29">
        <f>SUMIFS(Cash_Flow_3[Amount],Cash_Flow_3[Bulan],H259,Cash_Flow_3[Type],"Out",Cash_Flow_3[Category],"Jajan")</f>
        <v>795099</v>
      </c>
      <c r="O259" s="29">
        <f>SUMIFS(Cash_Flow_3[Amount],Cash_Flow_3[Bulan],H259,Cash_Flow_3[Type],"Out",Cash_Flow_3[Category],"Kitchen")</f>
        <v>1003600</v>
      </c>
      <c r="P259" s="29">
        <f>SUMIFS(Cash_Flow_3[Amount],Cash_Flow_3[Bulan],H259,Cash_Flow_3[Type],"Out",Cash_Flow_3[Category],"Loandry")</f>
        <v>41000</v>
      </c>
      <c r="Q259" s="29">
        <f>SUMIFS(Cash_Flow_3[Amount],Cash_Flow_3[Bulan],H259,Cash_Flow_3[Type],"Out",Cash_Flow_3[Category],"Mio")</f>
        <v>364500</v>
      </c>
      <c r="R259" s="29">
        <f>SUMIFS(Cash_Flow_3[Amount],Cash_Flow_3[Bulan],H259,Cash_Flow_3[Type],"Out",Cash_Flow_3[Category],"Sedekah")</f>
        <v>130000</v>
      </c>
      <c r="S259" s="29">
        <f>SUMIFS(Cash_Flow_3[Amount],Cash_Flow_3[Bulan],H259,Cash_Flow_3[Type],"Out",Cash_Flow_3[Category],"Zela")</f>
        <v>215161</v>
      </c>
      <c r="T259" s="29">
        <f>SUMIFS(Cash_Flow_3[Amount],Cash_Flow_3[Bulan],H259,Cash_Flow_3[Type],"Out",Cash_Flow_3[Category],"Iqbal")</f>
        <v>160000</v>
      </c>
    </row>
    <row r="260" spans="1:20" ht="22.5" customHeight="1" x14ac:dyDescent="0.2">
      <c r="A260" s="23">
        <v>46084</v>
      </c>
      <c r="B260" s="24" t="s">
        <v>949</v>
      </c>
      <c r="C260" s="25" t="s">
        <v>43</v>
      </c>
      <c r="D260" s="25" t="s">
        <v>44</v>
      </c>
      <c r="E260" s="25" t="s">
        <v>0</v>
      </c>
      <c r="F260" s="26">
        <v>15000</v>
      </c>
      <c r="G260" s="27"/>
      <c r="H260" s="28">
        <f t="shared" si="0"/>
        <v>46082</v>
      </c>
      <c r="I260" s="29">
        <f>SUMIFS(Cash_Flow_3[Amount],Cash_Flow_3[Bulan],H260,Cash_Flow_3[Type],"In")</f>
        <v>13015393</v>
      </c>
      <c r="J260" s="29">
        <f>SUMIFS(Cash_Flow_3[Amount],Cash_Flow_3[Bulan],H260,Cash_Flow_3[Type],"Out")</f>
        <v>10475288</v>
      </c>
      <c r="K260" s="29">
        <f>SUMIFS(Cash_Flow_3[Amount],Cash_Flow_3[Bulan],H260,Cash_Flow_3[Type],"Out",Cash_Flow_3[Category],"Fix")</f>
        <v>2908413</v>
      </c>
      <c r="L260" s="29">
        <f>SUMIFS(Cash_Flow_3[Amount],Cash_Flow_3[Bulan],H260,Cash_Flow_3[Type],"Out",Cash_Flow_3[Category],"Bathroom")</f>
        <v>48473</v>
      </c>
      <c r="M260" s="29">
        <f>SUMIFS(Cash_Flow_3[Amount],Cash_Flow_3[Bulan],H260,Cash_Flow_3[Type],"Out",Cash_Flow_3[Category],"Alfa")</f>
        <v>775042</v>
      </c>
      <c r="N260" s="29">
        <f>SUMIFS(Cash_Flow_3[Amount],Cash_Flow_3[Bulan],H260,Cash_Flow_3[Type],"Out",Cash_Flow_3[Category],"Jajan")</f>
        <v>795099</v>
      </c>
      <c r="O260" s="29">
        <f>SUMIFS(Cash_Flow_3[Amount],Cash_Flow_3[Bulan],H260,Cash_Flow_3[Type],"Out",Cash_Flow_3[Category],"Kitchen")</f>
        <v>1003600</v>
      </c>
      <c r="P260" s="29">
        <f>SUMIFS(Cash_Flow_3[Amount],Cash_Flow_3[Bulan],H260,Cash_Flow_3[Type],"Out",Cash_Flow_3[Category],"Loandry")</f>
        <v>41000</v>
      </c>
      <c r="Q260" s="29">
        <f>SUMIFS(Cash_Flow_3[Amount],Cash_Flow_3[Bulan],H260,Cash_Flow_3[Type],"Out",Cash_Flow_3[Category],"Mio")</f>
        <v>364500</v>
      </c>
      <c r="R260" s="29">
        <f>SUMIFS(Cash_Flow_3[Amount],Cash_Flow_3[Bulan],H260,Cash_Flow_3[Type],"Out",Cash_Flow_3[Category],"Sedekah")</f>
        <v>130000</v>
      </c>
      <c r="S260" s="29">
        <f>SUMIFS(Cash_Flow_3[Amount],Cash_Flow_3[Bulan],H260,Cash_Flow_3[Type],"Out",Cash_Flow_3[Category],"Zela")</f>
        <v>215161</v>
      </c>
      <c r="T260" s="29">
        <f>SUMIFS(Cash_Flow_3[Amount],Cash_Flow_3[Bulan],H260,Cash_Flow_3[Type],"Out",Cash_Flow_3[Category],"Iqbal")</f>
        <v>160000</v>
      </c>
    </row>
    <row r="261" spans="1:20" ht="22.5" customHeight="1" x14ac:dyDescent="0.2">
      <c r="A261" s="23">
        <v>46084</v>
      </c>
      <c r="B261" s="24" t="s">
        <v>950</v>
      </c>
      <c r="C261" s="25" t="s">
        <v>43</v>
      </c>
      <c r="D261" s="25" t="s">
        <v>39</v>
      </c>
      <c r="E261" s="25" t="s">
        <v>0</v>
      </c>
      <c r="F261" s="26">
        <v>150000</v>
      </c>
      <c r="G261" s="27"/>
      <c r="H261" s="28">
        <f t="shared" si="0"/>
        <v>46082</v>
      </c>
      <c r="I261" s="29">
        <f>SUMIFS(Cash_Flow_3[Amount],Cash_Flow_3[Bulan],H261,Cash_Flow_3[Type],"In")</f>
        <v>13015393</v>
      </c>
      <c r="J261" s="29">
        <f>SUMIFS(Cash_Flow_3[Amount],Cash_Flow_3[Bulan],H261,Cash_Flow_3[Type],"Out")</f>
        <v>10475288</v>
      </c>
      <c r="K261" s="29">
        <f>SUMIFS(Cash_Flow_3[Amount],Cash_Flow_3[Bulan],H261,Cash_Flow_3[Type],"Out",Cash_Flow_3[Category],"Fix")</f>
        <v>2908413</v>
      </c>
      <c r="L261" s="29">
        <f>SUMIFS(Cash_Flow_3[Amount],Cash_Flow_3[Bulan],H261,Cash_Flow_3[Type],"Out",Cash_Flow_3[Category],"Bathroom")</f>
        <v>48473</v>
      </c>
      <c r="M261" s="29">
        <f>SUMIFS(Cash_Flow_3[Amount],Cash_Flow_3[Bulan],H261,Cash_Flow_3[Type],"Out",Cash_Flow_3[Category],"Alfa")</f>
        <v>775042</v>
      </c>
      <c r="N261" s="29">
        <f>SUMIFS(Cash_Flow_3[Amount],Cash_Flow_3[Bulan],H261,Cash_Flow_3[Type],"Out",Cash_Flow_3[Category],"Jajan")</f>
        <v>795099</v>
      </c>
      <c r="O261" s="29">
        <f>SUMIFS(Cash_Flow_3[Amount],Cash_Flow_3[Bulan],H261,Cash_Flow_3[Type],"Out",Cash_Flow_3[Category],"Kitchen")</f>
        <v>1003600</v>
      </c>
      <c r="P261" s="29">
        <f>SUMIFS(Cash_Flow_3[Amount],Cash_Flow_3[Bulan],H261,Cash_Flow_3[Type],"Out",Cash_Flow_3[Category],"Loandry")</f>
        <v>41000</v>
      </c>
      <c r="Q261" s="29">
        <f>SUMIFS(Cash_Flow_3[Amount],Cash_Flow_3[Bulan],H261,Cash_Flow_3[Type],"Out",Cash_Flow_3[Category],"Mio")</f>
        <v>364500</v>
      </c>
      <c r="R261" s="29">
        <f>SUMIFS(Cash_Flow_3[Amount],Cash_Flow_3[Bulan],H261,Cash_Flow_3[Type],"Out",Cash_Flow_3[Category],"Sedekah")</f>
        <v>130000</v>
      </c>
      <c r="S261" s="29">
        <f>SUMIFS(Cash_Flow_3[Amount],Cash_Flow_3[Bulan],H261,Cash_Flow_3[Type],"Out",Cash_Flow_3[Category],"Zela")</f>
        <v>215161</v>
      </c>
      <c r="T261" s="29">
        <f>SUMIFS(Cash_Flow_3[Amount],Cash_Flow_3[Bulan],H261,Cash_Flow_3[Type],"Out",Cash_Flow_3[Category],"Iqbal")</f>
        <v>160000</v>
      </c>
    </row>
    <row r="262" spans="1:20" ht="22.5" customHeight="1" x14ac:dyDescent="0.2">
      <c r="A262" s="23">
        <v>46084</v>
      </c>
      <c r="B262" s="24" t="s">
        <v>951</v>
      </c>
      <c r="C262" s="25" t="s">
        <v>43</v>
      </c>
      <c r="D262" s="25" t="s">
        <v>44</v>
      </c>
      <c r="E262" s="25" t="s">
        <v>0</v>
      </c>
      <c r="F262" s="26">
        <v>50000</v>
      </c>
      <c r="G262" s="27"/>
      <c r="H262" s="28">
        <f t="shared" si="0"/>
        <v>46082</v>
      </c>
      <c r="I262" s="29">
        <f>SUMIFS(Cash_Flow_3[Amount],Cash_Flow_3[Bulan],H262,Cash_Flow_3[Type],"In")</f>
        <v>13015393</v>
      </c>
      <c r="J262" s="29">
        <f>SUMIFS(Cash_Flow_3[Amount],Cash_Flow_3[Bulan],H262,Cash_Flow_3[Type],"Out")</f>
        <v>10475288</v>
      </c>
      <c r="K262" s="29">
        <f>SUMIFS(Cash_Flow_3[Amount],Cash_Flow_3[Bulan],H262,Cash_Flow_3[Type],"Out",Cash_Flow_3[Category],"Fix")</f>
        <v>2908413</v>
      </c>
      <c r="L262" s="29">
        <f>SUMIFS(Cash_Flow_3[Amount],Cash_Flow_3[Bulan],H262,Cash_Flow_3[Type],"Out",Cash_Flow_3[Category],"Bathroom")</f>
        <v>48473</v>
      </c>
      <c r="M262" s="29">
        <f>SUMIFS(Cash_Flow_3[Amount],Cash_Flow_3[Bulan],H262,Cash_Flow_3[Type],"Out",Cash_Flow_3[Category],"Alfa")</f>
        <v>775042</v>
      </c>
      <c r="N262" s="29">
        <f>SUMIFS(Cash_Flow_3[Amount],Cash_Flow_3[Bulan],H262,Cash_Flow_3[Type],"Out",Cash_Flow_3[Category],"Jajan")</f>
        <v>795099</v>
      </c>
      <c r="O262" s="29">
        <f>SUMIFS(Cash_Flow_3[Amount],Cash_Flow_3[Bulan],H262,Cash_Flow_3[Type],"Out",Cash_Flow_3[Category],"Kitchen")</f>
        <v>1003600</v>
      </c>
      <c r="P262" s="29">
        <f>SUMIFS(Cash_Flow_3[Amount],Cash_Flow_3[Bulan],H262,Cash_Flow_3[Type],"Out",Cash_Flow_3[Category],"Loandry")</f>
        <v>41000</v>
      </c>
      <c r="Q262" s="29">
        <f>SUMIFS(Cash_Flow_3[Amount],Cash_Flow_3[Bulan],H262,Cash_Flow_3[Type],"Out",Cash_Flow_3[Category],"Mio")</f>
        <v>364500</v>
      </c>
      <c r="R262" s="29">
        <f>SUMIFS(Cash_Flow_3[Amount],Cash_Flow_3[Bulan],H262,Cash_Flow_3[Type],"Out",Cash_Flow_3[Category],"Sedekah")</f>
        <v>130000</v>
      </c>
      <c r="S262" s="29">
        <f>SUMIFS(Cash_Flow_3[Amount],Cash_Flow_3[Bulan],H262,Cash_Flow_3[Type],"Out",Cash_Flow_3[Category],"Zela")</f>
        <v>215161</v>
      </c>
      <c r="T262" s="29">
        <f>SUMIFS(Cash_Flow_3[Amount],Cash_Flow_3[Bulan],H262,Cash_Flow_3[Type],"Out",Cash_Flow_3[Category],"Iqbal")</f>
        <v>160000</v>
      </c>
    </row>
    <row r="263" spans="1:20" ht="22.5" customHeight="1" x14ac:dyDescent="0.2">
      <c r="A263" s="23">
        <v>46084</v>
      </c>
      <c r="B263" s="24" t="s">
        <v>480</v>
      </c>
      <c r="C263" s="25" t="s">
        <v>46</v>
      </c>
      <c r="D263" s="25" t="s">
        <v>44</v>
      </c>
      <c r="E263" s="25" t="s">
        <v>3</v>
      </c>
      <c r="F263" s="26">
        <v>4000</v>
      </c>
      <c r="G263" s="27"/>
      <c r="H263" s="28">
        <f t="shared" si="0"/>
        <v>46082</v>
      </c>
      <c r="I263" s="29">
        <f>SUMIFS(Cash_Flow_3[Amount],Cash_Flow_3[Bulan],H263,Cash_Flow_3[Type],"In")</f>
        <v>13015393</v>
      </c>
      <c r="J263" s="29">
        <f>SUMIFS(Cash_Flow_3[Amount],Cash_Flow_3[Bulan],H263,Cash_Flow_3[Type],"Out")</f>
        <v>10475288</v>
      </c>
      <c r="K263" s="29">
        <f>SUMIFS(Cash_Flow_3[Amount],Cash_Flow_3[Bulan],H263,Cash_Flow_3[Type],"Out",Cash_Flow_3[Category],"Fix")</f>
        <v>2908413</v>
      </c>
      <c r="L263" s="29">
        <f>SUMIFS(Cash_Flow_3[Amount],Cash_Flow_3[Bulan],H263,Cash_Flow_3[Type],"Out",Cash_Flow_3[Category],"Bathroom")</f>
        <v>48473</v>
      </c>
      <c r="M263" s="29">
        <f>SUMIFS(Cash_Flow_3[Amount],Cash_Flow_3[Bulan],H263,Cash_Flow_3[Type],"Out",Cash_Flow_3[Category],"Alfa")</f>
        <v>775042</v>
      </c>
      <c r="N263" s="29">
        <f>SUMIFS(Cash_Flow_3[Amount],Cash_Flow_3[Bulan],H263,Cash_Flow_3[Type],"Out",Cash_Flow_3[Category],"Jajan")</f>
        <v>795099</v>
      </c>
      <c r="O263" s="29">
        <f>SUMIFS(Cash_Flow_3[Amount],Cash_Flow_3[Bulan],H263,Cash_Flow_3[Type],"Out",Cash_Flow_3[Category],"Kitchen")</f>
        <v>1003600</v>
      </c>
      <c r="P263" s="29">
        <f>SUMIFS(Cash_Flow_3[Amount],Cash_Flow_3[Bulan],H263,Cash_Flow_3[Type],"Out",Cash_Flow_3[Category],"Loandry")</f>
        <v>41000</v>
      </c>
      <c r="Q263" s="29">
        <f>SUMIFS(Cash_Flow_3[Amount],Cash_Flow_3[Bulan],H263,Cash_Flow_3[Type],"Out",Cash_Flow_3[Category],"Mio")</f>
        <v>364500</v>
      </c>
      <c r="R263" s="29">
        <f>SUMIFS(Cash_Flow_3[Amount],Cash_Flow_3[Bulan],H263,Cash_Flow_3[Type],"Out",Cash_Flow_3[Category],"Sedekah")</f>
        <v>130000</v>
      </c>
      <c r="S263" s="29">
        <f>SUMIFS(Cash_Flow_3[Amount],Cash_Flow_3[Bulan],H263,Cash_Flow_3[Type],"Out",Cash_Flow_3[Category],"Zela")</f>
        <v>215161</v>
      </c>
      <c r="T263" s="29">
        <f>SUMIFS(Cash_Flow_3[Amount],Cash_Flow_3[Bulan],H263,Cash_Flow_3[Type],"Out",Cash_Flow_3[Category],"Iqbal")</f>
        <v>160000</v>
      </c>
    </row>
    <row r="264" spans="1:20" ht="22.5" customHeight="1" x14ac:dyDescent="0.2">
      <c r="A264" s="23">
        <v>46084</v>
      </c>
      <c r="B264" s="24" t="s">
        <v>952</v>
      </c>
      <c r="C264" s="25" t="s">
        <v>46</v>
      </c>
      <c r="D264" s="25" t="s">
        <v>44</v>
      </c>
      <c r="E264" s="25" t="s">
        <v>3</v>
      </c>
      <c r="F264" s="26">
        <v>36000</v>
      </c>
      <c r="G264" s="27"/>
      <c r="H264" s="28">
        <f t="shared" si="0"/>
        <v>46082</v>
      </c>
      <c r="I264" s="29">
        <f>SUMIFS(Cash_Flow_3[Amount],Cash_Flow_3[Bulan],H264,Cash_Flow_3[Type],"In")</f>
        <v>13015393</v>
      </c>
      <c r="J264" s="29">
        <f>SUMIFS(Cash_Flow_3[Amount],Cash_Flow_3[Bulan],H264,Cash_Flow_3[Type],"Out")</f>
        <v>10475288</v>
      </c>
      <c r="K264" s="29">
        <f>SUMIFS(Cash_Flow_3[Amount],Cash_Flow_3[Bulan],H264,Cash_Flow_3[Type],"Out",Cash_Flow_3[Category],"Fix")</f>
        <v>2908413</v>
      </c>
      <c r="L264" s="29">
        <f>SUMIFS(Cash_Flow_3[Amount],Cash_Flow_3[Bulan],H264,Cash_Flow_3[Type],"Out",Cash_Flow_3[Category],"Bathroom")</f>
        <v>48473</v>
      </c>
      <c r="M264" s="29">
        <f>SUMIFS(Cash_Flow_3[Amount],Cash_Flow_3[Bulan],H264,Cash_Flow_3[Type],"Out",Cash_Flow_3[Category],"Alfa")</f>
        <v>775042</v>
      </c>
      <c r="N264" s="29">
        <f>SUMIFS(Cash_Flow_3[Amount],Cash_Flow_3[Bulan],H264,Cash_Flow_3[Type],"Out",Cash_Flow_3[Category],"Jajan")</f>
        <v>795099</v>
      </c>
      <c r="O264" s="29">
        <f>SUMIFS(Cash_Flow_3[Amount],Cash_Flow_3[Bulan],H264,Cash_Flow_3[Type],"Out",Cash_Flow_3[Category],"Kitchen")</f>
        <v>1003600</v>
      </c>
      <c r="P264" s="29">
        <f>SUMIFS(Cash_Flow_3[Amount],Cash_Flow_3[Bulan],H264,Cash_Flow_3[Type],"Out",Cash_Flow_3[Category],"Loandry")</f>
        <v>41000</v>
      </c>
      <c r="Q264" s="29">
        <f>SUMIFS(Cash_Flow_3[Amount],Cash_Flow_3[Bulan],H264,Cash_Flow_3[Type],"Out",Cash_Flow_3[Category],"Mio")</f>
        <v>364500</v>
      </c>
      <c r="R264" s="29">
        <f>SUMIFS(Cash_Flow_3[Amount],Cash_Flow_3[Bulan],H264,Cash_Flow_3[Type],"Out",Cash_Flow_3[Category],"Sedekah")</f>
        <v>130000</v>
      </c>
      <c r="S264" s="29">
        <f>SUMIFS(Cash_Flow_3[Amount],Cash_Flow_3[Bulan],H264,Cash_Flow_3[Type],"Out",Cash_Flow_3[Category],"Zela")</f>
        <v>215161</v>
      </c>
      <c r="T264" s="29">
        <f>SUMIFS(Cash_Flow_3[Amount],Cash_Flow_3[Bulan],H264,Cash_Flow_3[Type],"Out",Cash_Flow_3[Category],"Iqbal")</f>
        <v>160000</v>
      </c>
    </row>
    <row r="265" spans="1:20" ht="22.5" customHeight="1" x14ac:dyDescent="0.2">
      <c r="A265" s="23">
        <v>46085</v>
      </c>
      <c r="B265" s="24" t="s">
        <v>296</v>
      </c>
      <c r="C265" s="25" t="s">
        <v>43</v>
      </c>
      <c r="D265" s="25" t="s">
        <v>44</v>
      </c>
      <c r="E265" s="25" t="s">
        <v>7</v>
      </c>
      <c r="F265" s="26">
        <v>77384</v>
      </c>
      <c r="G265" s="27"/>
      <c r="H265" s="28">
        <f t="shared" si="0"/>
        <v>46082</v>
      </c>
      <c r="I265" s="29">
        <f>SUMIFS(Cash_Flow_3[Amount],Cash_Flow_3[Bulan],H265,Cash_Flow_3[Type],"In")</f>
        <v>13015393</v>
      </c>
      <c r="J265" s="29">
        <f>SUMIFS(Cash_Flow_3[Amount],Cash_Flow_3[Bulan],H265,Cash_Flow_3[Type],"Out")</f>
        <v>10475288</v>
      </c>
      <c r="K265" s="29">
        <f>SUMIFS(Cash_Flow_3[Amount],Cash_Flow_3[Bulan],H265,Cash_Flow_3[Type],"Out",Cash_Flow_3[Category],"Fix")</f>
        <v>2908413</v>
      </c>
      <c r="L265" s="29">
        <f>SUMIFS(Cash_Flow_3[Amount],Cash_Flow_3[Bulan],H265,Cash_Flow_3[Type],"Out",Cash_Flow_3[Category],"Bathroom")</f>
        <v>48473</v>
      </c>
      <c r="M265" s="29">
        <f>SUMIFS(Cash_Flow_3[Amount],Cash_Flow_3[Bulan],H265,Cash_Flow_3[Type],"Out",Cash_Flow_3[Category],"Alfa")</f>
        <v>775042</v>
      </c>
      <c r="N265" s="29">
        <f>SUMIFS(Cash_Flow_3[Amount],Cash_Flow_3[Bulan],H265,Cash_Flow_3[Type],"Out",Cash_Flow_3[Category],"Jajan")</f>
        <v>795099</v>
      </c>
      <c r="O265" s="29">
        <f>SUMIFS(Cash_Flow_3[Amount],Cash_Flow_3[Bulan],H265,Cash_Flow_3[Type],"Out",Cash_Flow_3[Category],"Kitchen")</f>
        <v>1003600</v>
      </c>
      <c r="P265" s="29">
        <f>SUMIFS(Cash_Flow_3[Amount],Cash_Flow_3[Bulan],H265,Cash_Flow_3[Type],"Out",Cash_Flow_3[Category],"Loandry")</f>
        <v>41000</v>
      </c>
      <c r="Q265" s="29">
        <f>SUMIFS(Cash_Flow_3[Amount],Cash_Flow_3[Bulan],H265,Cash_Flow_3[Type],"Out",Cash_Flow_3[Category],"Mio")</f>
        <v>364500</v>
      </c>
      <c r="R265" s="29">
        <f>SUMIFS(Cash_Flow_3[Amount],Cash_Flow_3[Bulan],H265,Cash_Flow_3[Type],"Out",Cash_Flow_3[Category],"Sedekah")</f>
        <v>130000</v>
      </c>
      <c r="S265" s="29">
        <f>SUMIFS(Cash_Flow_3[Amount],Cash_Flow_3[Bulan],H265,Cash_Flow_3[Type],"Out",Cash_Flow_3[Category],"Zela")</f>
        <v>215161</v>
      </c>
      <c r="T265" s="29">
        <f>SUMIFS(Cash_Flow_3[Amount],Cash_Flow_3[Bulan],H265,Cash_Flow_3[Type],"Out",Cash_Flow_3[Category],"Iqbal")</f>
        <v>160000</v>
      </c>
    </row>
    <row r="266" spans="1:20" ht="22.5" customHeight="1" x14ac:dyDescent="0.2">
      <c r="A266" s="23">
        <v>46085</v>
      </c>
      <c r="B266" s="24" t="s">
        <v>298</v>
      </c>
      <c r="C266" s="25" t="s">
        <v>43</v>
      </c>
      <c r="D266" s="25" t="s">
        <v>44</v>
      </c>
      <c r="E266" s="25" t="s">
        <v>1</v>
      </c>
      <c r="F266" s="26">
        <v>41588</v>
      </c>
      <c r="G266" s="27"/>
      <c r="H266" s="28">
        <f t="shared" si="0"/>
        <v>46082</v>
      </c>
      <c r="I266" s="29">
        <f>SUMIFS(Cash_Flow_3[Amount],Cash_Flow_3[Bulan],H266,Cash_Flow_3[Type],"In")</f>
        <v>13015393</v>
      </c>
      <c r="J266" s="29">
        <f>SUMIFS(Cash_Flow_3[Amount],Cash_Flow_3[Bulan],H266,Cash_Flow_3[Type],"Out")</f>
        <v>10475288</v>
      </c>
      <c r="K266" s="29">
        <f>SUMIFS(Cash_Flow_3[Amount],Cash_Flow_3[Bulan],H266,Cash_Flow_3[Type],"Out",Cash_Flow_3[Category],"Fix")</f>
        <v>2908413</v>
      </c>
      <c r="L266" s="29">
        <f>SUMIFS(Cash_Flow_3[Amount],Cash_Flow_3[Bulan],H266,Cash_Flow_3[Type],"Out",Cash_Flow_3[Category],"Bathroom")</f>
        <v>48473</v>
      </c>
      <c r="M266" s="29">
        <f>SUMIFS(Cash_Flow_3[Amount],Cash_Flow_3[Bulan],H266,Cash_Flow_3[Type],"Out",Cash_Flow_3[Category],"Alfa")</f>
        <v>775042</v>
      </c>
      <c r="N266" s="29">
        <f>SUMIFS(Cash_Flow_3[Amount],Cash_Flow_3[Bulan],H266,Cash_Flow_3[Type],"Out",Cash_Flow_3[Category],"Jajan")</f>
        <v>795099</v>
      </c>
      <c r="O266" s="29">
        <f>SUMIFS(Cash_Flow_3[Amount],Cash_Flow_3[Bulan],H266,Cash_Flow_3[Type],"Out",Cash_Flow_3[Category],"Kitchen")</f>
        <v>1003600</v>
      </c>
      <c r="P266" s="29">
        <f>SUMIFS(Cash_Flow_3[Amount],Cash_Flow_3[Bulan],H266,Cash_Flow_3[Type],"Out",Cash_Flow_3[Category],"Loandry")</f>
        <v>41000</v>
      </c>
      <c r="Q266" s="29">
        <f>SUMIFS(Cash_Flow_3[Amount],Cash_Flow_3[Bulan],H266,Cash_Flow_3[Type],"Out",Cash_Flow_3[Category],"Mio")</f>
        <v>364500</v>
      </c>
      <c r="R266" s="29">
        <f>SUMIFS(Cash_Flow_3[Amount],Cash_Flow_3[Bulan],H266,Cash_Flow_3[Type],"Out",Cash_Flow_3[Category],"Sedekah")</f>
        <v>130000</v>
      </c>
      <c r="S266" s="29">
        <f>SUMIFS(Cash_Flow_3[Amount],Cash_Flow_3[Bulan],H266,Cash_Flow_3[Type],"Out",Cash_Flow_3[Category],"Zela")</f>
        <v>215161</v>
      </c>
      <c r="T266" s="29">
        <f>SUMIFS(Cash_Flow_3[Amount],Cash_Flow_3[Bulan],H266,Cash_Flow_3[Type],"Out",Cash_Flow_3[Category],"Iqbal")</f>
        <v>160000</v>
      </c>
    </row>
    <row r="267" spans="1:20" ht="22.5" customHeight="1" x14ac:dyDescent="0.2">
      <c r="A267" s="23">
        <v>46085</v>
      </c>
      <c r="B267" s="24" t="s">
        <v>300</v>
      </c>
      <c r="C267" s="25" t="s">
        <v>43</v>
      </c>
      <c r="D267" s="25" t="s">
        <v>44</v>
      </c>
      <c r="E267" s="25" t="s">
        <v>2</v>
      </c>
      <c r="F267" s="26">
        <v>26800</v>
      </c>
      <c r="G267" s="27"/>
      <c r="H267" s="28">
        <f t="shared" si="0"/>
        <v>46082</v>
      </c>
      <c r="I267" s="29">
        <f>SUMIFS(Cash_Flow_3[Amount],Cash_Flow_3[Bulan],H267,Cash_Flow_3[Type],"In")</f>
        <v>13015393</v>
      </c>
      <c r="J267" s="29">
        <f>SUMIFS(Cash_Flow_3[Amount],Cash_Flow_3[Bulan],H267,Cash_Flow_3[Type],"Out")</f>
        <v>10475288</v>
      </c>
      <c r="K267" s="29">
        <f>SUMIFS(Cash_Flow_3[Amount],Cash_Flow_3[Bulan],H267,Cash_Flow_3[Type],"Out",Cash_Flow_3[Category],"Fix")</f>
        <v>2908413</v>
      </c>
      <c r="L267" s="29">
        <f>SUMIFS(Cash_Flow_3[Amount],Cash_Flow_3[Bulan],H267,Cash_Flow_3[Type],"Out",Cash_Flow_3[Category],"Bathroom")</f>
        <v>48473</v>
      </c>
      <c r="M267" s="29">
        <f>SUMIFS(Cash_Flow_3[Amount],Cash_Flow_3[Bulan],H267,Cash_Flow_3[Type],"Out",Cash_Flow_3[Category],"Alfa")</f>
        <v>775042</v>
      </c>
      <c r="N267" s="29">
        <f>SUMIFS(Cash_Flow_3[Amount],Cash_Flow_3[Bulan],H267,Cash_Flow_3[Type],"Out",Cash_Flow_3[Category],"Jajan")</f>
        <v>795099</v>
      </c>
      <c r="O267" s="29">
        <f>SUMIFS(Cash_Flow_3[Amount],Cash_Flow_3[Bulan],H267,Cash_Flow_3[Type],"Out",Cash_Flow_3[Category],"Kitchen")</f>
        <v>1003600</v>
      </c>
      <c r="P267" s="29">
        <f>SUMIFS(Cash_Flow_3[Amount],Cash_Flow_3[Bulan],H267,Cash_Flow_3[Type],"Out",Cash_Flow_3[Category],"Loandry")</f>
        <v>41000</v>
      </c>
      <c r="Q267" s="29">
        <f>SUMIFS(Cash_Flow_3[Amount],Cash_Flow_3[Bulan],H267,Cash_Flow_3[Type],"Out",Cash_Flow_3[Category],"Mio")</f>
        <v>364500</v>
      </c>
      <c r="R267" s="29">
        <f>SUMIFS(Cash_Flow_3[Amount],Cash_Flow_3[Bulan],H267,Cash_Flow_3[Type],"Out",Cash_Flow_3[Category],"Sedekah")</f>
        <v>130000</v>
      </c>
      <c r="S267" s="29">
        <f>SUMIFS(Cash_Flow_3[Amount],Cash_Flow_3[Bulan],H267,Cash_Flow_3[Type],"Out",Cash_Flow_3[Category],"Zela")</f>
        <v>215161</v>
      </c>
      <c r="T267" s="29">
        <f>SUMIFS(Cash_Flow_3[Amount],Cash_Flow_3[Bulan],H267,Cash_Flow_3[Type],"Out",Cash_Flow_3[Category],"Iqbal")</f>
        <v>160000</v>
      </c>
    </row>
    <row r="268" spans="1:20" ht="22.5" customHeight="1" x14ac:dyDescent="0.2">
      <c r="A268" s="23">
        <v>46085</v>
      </c>
      <c r="B268" s="24" t="s">
        <v>302</v>
      </c>
      <c r="C268" s="25" t="s">
        <v>43</v>
      </c>
      <c r="D268" s="25" t="s">
        <v>44</v>
      </c>
      <c r="E268" s="25" t="s">
        <v>0</v>
      </c>
      <c r="F268" s="26">
        <v>233100</v>
      </c>
      <c r="G268" s="27"/>
      <c r="H268" s="28">
        <f t="shared" si="0"/>
        <v>46082</v>
      </c>
      <c r="I268" s="29">
        <f>SUMIFS(Cash_Flow_3[Amount],Cash_Flow_3[Bulan],H268,Cash_Flow_3[Type],"In")</f>
        <v>13015393</v>
      </c>
      <c r="J268" s="29">
        <f>SUMIFS(Cash_Flow_3[Amount],Cash_Flow_3[Bulan],H268,Cash_Flow_3[Type],"Out")</f>
        <v>10475288</v>
      </c>
      <c r="K268" s="29">
        <f>SUMIFS(Cash_Flow_3[Amount],Cash_Flow_3[Bulan],H268,Cash_Flow_3[Type],"Out",Cash_Flow_3[Category],"Fix")</f>
        <v>2908413</v>
      </c>
      <c r="L268" s="29">
        <f>SUMIFS(Cash_Flow_3[Amount],Cash_Flow_3[Bulan],H268,Cash_Flow_3[Type],"Out",Cash_Flow_3[Category],"Bathroom")</f>
        <v>48473</v>
      </c>
      <c r="M268" s="29">
        <f>SUMIFS(Cash_Flow_3[Amount],Cash_Flow_3[Bulan],H268,Cash_Flow_3[Type],"Out",Cash_Flow_3[Category],"Alfa")</f>
        <v>775042</v>
      </c>
      <c r="N268" s="29">
        <f>SUMIFS(Cash_Flow_3[Amount],Cash_Flow_3[Bulan],H268,Cash_Flow_3[Type],"Out",Cash_Flow_3[Category],"Jajan")</f>
        <v>795099</v>
      </c>
      <c r="O268" s="29">
        <f>SUMIFS(Cash_Flow_3[Amount],Cash_Flow_3[Bulan],H268,Cash_Flow_3[Type],"Out",Cash_Flow_3[Category],"Kitchen")</f>
        <v>1003600</v>
      </c>
      <c r="P268" s="29">
        <f>SUMIFS(Cash_Flow_3[Amount],Cash_Flow_3[Bulan],H268,Cash_Flow_3[Type],"Out",Cash_Flow_3[Category],"Loandry")</f>
        <v>41000</v>
      </c>
      <c r="Q268" s="29">
        <f>SUMIFS(Cash_Flow_3[Amount],Cash_Flow_3[Bulan],H268,Cash_Flow_3[Type],"Out",Cash_Flow_3[Category],"Mio")</f>
        <v>364500</v>
      </c>
      <c r="R268" s="29">
        <f>SUMIFS(Cash_Flow_3[Amount],Cash_Flow_3[Bulan],H268,Cash_Flow_3[Type],"Out",Cash_Flow_3[Category],"Sedekah")</f>
        <v>130000</v>
      </c>
      <c r="S268" s="29">
        <f>SUMIFS(Cash_Flow_3[Amount],Cash_Flow_3[Bulan],H268,Cash_Flow_3[Type],"Out",Cash_Flow_3[Category],"Zela")</f>
        <v>215161</v>
      </c>
      <c r="T268" s="29">
        <f>SUMIFS(Cash_Flow_3[Amount],Cash_Flow_3[Bulan],H268,Cash_Flow_3[Type],"Out",Cash_Flow_3[Category],"Iqbal")</f>
        <v>160000</v>
      </c>
    </row>
    <row r="269" spans="1:20" ht="22.5" customHeight="1" x14ac:dyDescent="0.2">
      <c r="A269" s="23">
        <v>46086</v>
      </c>
      <c r="B269" s="24" t="s">
        <v>16</v>
      </c>
      <c r="C269" s="25" t="s">
        <v>46</v>
      </c>
      <c r="D269" s="25" t="s">
        <v>44</v>
      </c>
      <c r="E269" s="25" t="s">
        <v>6</v>
      </c>
      <c r="F269" s="26">
        <v>19500</v>
      </c>
      <c r="G269" s="27"/>
      <c r="H269" s="28">
        <f t="shared" si="0"/>
        <v>46082</v>
      </c>
      <c r="I269" s="29">
        <f>SUMIFS(Cash_Flow_3[Amount],Cash_Flow_3[Bulan],H269,Cash_Flow_3[Type],"In")</f>
        <v>13015393</v>
      </c>
      <c r="J269" s="29">
        <f>SUMIFS(Cash_Flow_3[Amount],Cash_Flow_3[Bulan],H269,Cash_Flow_3[Type],"Out")</f>
        <v>10475288</v>
      </c>
      <c r="K269" s="29">
        <f>SUMIFS(Cash_Flow_3[Amount],Cash_Flow_3[Bulan],H269,Cash_Flow_3[Type],"Out",Cash_Flow_3[Category],"Fix")</f>
        <v>2908413</v>
      </c>
      <c r="L269" s="29">
        <f>SUMIFS(Cash_Flow_3[Amount],Cash_Flow_3[Bulan],H269,Cash_Flow_3[Type],"Out",Cash_Flow_3[Category],"Bathroom")</f>
        <v>48473</v>
      </c>
      <c r="M269" s="29">
        <f>SUMIFS(Cash_Flow_3[Amount],Cash_Flow_3[Bulan],H269,Cash_Flow_3[Type],"Out",Cash_Flow_3[Category],"Alfa")</f>
        <v>775042</v>
      </c>
      <c r="N269" s="29">
        <f>SUMIFS(Cash_Flow_3[Amount],Cash_Flow_3[Bulan],H269,Cash_Flow_3[Type],"Out",Cash_Flow_3[Category],"Jajan")</f>
        <v>795099</v>
      </c>
      <c r="O269" s="29">
        <f>SUMIFS(Cash_Flow_3[Amount],Cash_Flow_3[Bulan],H269,Cash_Flow_3[Type],"Out",Cash_Flow_3[Category],"Kitchen")</f>
        <v>1003600</v>
      </c>
      <c r="P269" s="29">
        <f>SUMIFS(Cash_Flow_3[Amount],Cash_Flow_3[Bulan],H269,Cash_Flow_3[Type],"Out",Cash_Flow_3[Category],"Loandry")</f>
        <v>41000</v>
      </c>
      <c r="Q269" s="29">
        <f>SUMIFS(Cash_Flow_3[Amount],Cash_Flow_3[Bulan],H269,Cash_Flow_3[Type],"Out",Cash_Flow_3[Category],"Mio")</f>
        <v>364500</v>
      </c>
      <c r="R269" s="29">
        <f>SUMIFS(Cash_Flow_3[Amount],Cash_Flow_3[Bulan],H269,Cash_Flow_3[Type],"Out",Cash_Flow_3[Category],"Sedekah")</f>
        <v>130000</v>
      </c>
      <c r="S269" s="29">
        <f>SUMIFS(Cash_Flow_3[Amount],Cash_Flow_3[Bulan],H269,Cash_Flow_3[Type],"Out",Cash_Flow_3[Category],"Zela")</f>
        <v>215161</v>
      </c>
      <c r="T269" s="29">
        <f>SUMIFS(Cash_Flow_3[Amount],Cash_Flow_3[Bulan],H269,Cash_Flow_3[Type],"Out",Cash_Flow_3[Category],"Iqbal")</f>
        <v>160000</v>
      </c>
    </row>
    <row r="270" spans="1:20" ht="22.5" customHeight="1" x14ac:dyDescent="0.2">
      <c r="A270" s="23">
        <v>46085</v>
      </c>
      <c r="B270" s="24" t="s">
        <v>953</v>
      </c>
      <c r="C270" s="25" t="s">
        <v>46</v>
      </c>
      <c r="D270" s="25" t="s">
        <v>44</v>
      </c>
      <c r="E270" s="25" t="s">
        <v>2</v>
      </c>
      <c r="F270" s="26">
        <v>26000</v>
      </c>
      <c r="G270" s="27"/>
      <c r="H270" s="28">
        <f t="shared" si="0"/>
        <v>46082</v>
      </c>
      <c r="I270" s="29">
        <f>SUMIFS(Cash_Flow_3[Amount],Cash_Flow_3[Bulan],H270,Cash_Flow_3[Type],"In")</f>
        <v>13015393</v>
      </c>
      <c r="J270" s="29">
        <f>SUMIFS(Cash_Flow_3[Amount],Cash_Flow_3[Bulan],H270,Cash_Flow_3[Type],"Out")</f>
        <v>10475288</v>
      </c>
      <c r="K270" s="29">
        <f>SUMIFS(Cash_Flow_3[Amount],Cash_Flow_3[Bulan],H270,Cash_Flow_3[Type],"Out",Cash_Flow_3[Category],"Fix")</f>
        <v>2908413</v>
      </c>
      <c r="L270" s="29">
        <f>SUMIFS(Cash_Flow_3[Amount],Cash_Flow_3[Bulan],H270,Cash_Flow_3[Type],"Out",Cash_Flow_3[Category],"Bathroom")</f>
        <v>48473</v>
      </c>
      <c r="M270" s="29">
        <f>SUMIFS(Cash_Flow_3[Amount],Cash_Flow_3[Bulan],H270,Cash_Flow_3[Type],"Out",Cash_Flow_3[Category],"Alfa")</f>
        <v>775042</v>
      </c>
      <c r="N270" s="29">
        <f>SUMIFS(Cash_Flow_3[Amount],Cash_Flow_3[Bulan],H270,Cash_Flow_3[Type],"Out",Cash_Flow_3[Category],"Jajan")</f>
        <v>795099</v>
      </c>
      <c r="O270" s="29">
        <f>SUMIFS(Cash_Flow_3[Amount],Cash_Flow_3[Bulan],H270,Cash_Flow_3[Type],"Out",Cash_Flow_3[Category],"Kitchen")</f>
        <v>1003600</v>
      </c>
      <c r="P270" s="29">
        <f>SUMIFS(Cash_Flow_3[Amount],Cash_Flow_3[Bulan],H270,Cash_Flow_3[Type],"Out",Cash_Flow_3[Category],"Loandry")</f>
        <v>41000</v>
      </c>
      <c r="Q270" s="29">
        <f>SUMIFS(Cash_Flow_3[Amount],Cash_Flow_3[Bulan],H270,Cash_Flow_3[Type],"Out",Cash_Flow_3[Category],"Mio")</f>
        <v>364500</v>
      </c>
      <c r="R270" s="29">
        <f>SUMIFS(Cash_Flow_3[Amount],Cash_Flow_3[Bulan],H270,Cash_Flow_3[Type],"Out",Cash_Flow_3[Category],"Sedekah")</f>
        <v>130000</v>
      </c>
      <c r="S270" s="29">
        <f>SUMIFS(Cash_Flow_3[Amount],Cash_Flow_3[Bulan],H270,Cash_Flow_3[Type],"Out",Cash_Flow_3[Category],"Zela")</f>
        <v>215161</v>
      </c>
      <c r="T270" s="29">
        <f>SUMIFS(Cash_Flow_3[Amount],Cash_Flow_3[Bulan],H270,Cash_Flow_3[Type],"Out",Cash_Flow_3[Category],"Iqbal")</f>
        <v>160000</v>
      </c>
    </row>
    <row r="271" spans="1:20" ht="22.5" customHeight="1" x14ac:dyDescent="0.2">
      <c r="A271" s="23">
        <v>46086</v>
      </c>
      <c r="B271" s="24" t="s">
        <v>954</v>
      </c>
      <c r="C271" s="25" t="s">
        <v>46</v>
      </c>
      <c r="D271" s="25" t="s">
        <v>44</v>
      </c>
      <c r="E271" s="25" t="s">
        <v>2</v>
      </c>
      <c r="F271" s="26">
        <v>10000</v>
      </c>
      <c r="G271" s="27"/>
      <c r="H271" s="28">
        <f t="shared" si="0"/>
        <v>46082</v>
      </c>
      <c r="I271" s="29">
        <f>SUMIFS(Cash_Flow_3[Amount],Cash_Flow_3[Bulan],H271,Cash_Flow_3[Type],"In")</f>
        <v>13015393</v>
      </c>
      <c r="J271" s="29">
        <f>SUMIFS(Cash_Flow_3[Amount],Cash_Flow_3[Bulan],H271,Cash_Flow_3[Type],"Out")</f>
        <v>10475288</v>
      </c>
      <c r="K271" s="29">
        <f>SUMIFS(Cash_Flow_3[Amount],Cash_Flow_3[Bulan],H271,Cash_Flow_3[Type],"Out",Cash_Flow_3[Category],"Fix")</f>
        <v>2908413</v>
      </c>
      <c r="L271" s="29">
        <f>SUMIFS(Cash_Flow_3[Amount],Cash_Flow_3[Bulan],H271,Cash_Flow_3[Type],"Out",Cash_Flow_3[Category],"Bathroom")</f>
        <v>48473</v>
      </c>
      <c r="M271" s="29">
        <f>SUMIFS(Cash_Flow_3[Amount],Cash_Flow_3[Bulan],H271,Cash_Flow_3[Type],"Out",Cash_Flow_3[Category],"Alfa")</f>
        <v>775042</v>
      </c>
      <c r="N271" s="29">
        <f>SUMIFS(Cash_Flow_3[Amount],Cash_Flow_3[Bulan],H271,Cash_Flow_3[Type],"Out",Cash_Flow_3[Category],"Jajan")</f>
        <v>795099</v>
      </c>
      <c r="O271" s="29">
        <f>SUMIFS(Cash_Flow_3[Amount],Cash_Flow_3[Bulan],H271,Cash_Flow_3[Type],"Out",Cash_Flow_3[Category],"Kitchen")</f>
        <v>1003600</v>
      </c>
      <c r="P271" s="29">
        <f>SUMIFS(Cash_Flow_3[Amount],Cash_Flow_3[Bulan],H271,Cash_Flow_3[Type],"Out",Cash_Flow_3[Category],"Loandry")</f>
        <v>41000</v>
      </c>
      <c r="Q271" s="29">
        <f>SUMIFS(Cash_Flow_3[Amount],Cash_Flow_3[Bulan],H271,Cash_Flow_3[Type],"Out",Cash_Flow_3[Category],"Mio")</f>
        <v>364500</v>
      </c>
      <c r="R271" s="29">
        <f>SUMIFS(Cash_Flow_3[Amount],Cash_Flow_3[Bulan],H271,Cash_Flow_3[Type],"Out",Cash_Flow_3[Category],"Sedekah")</f>
        <v>130000</v>
      </c>
      <c r="S271" s="29">
        <f>SUMIFS(Cash_Flow_3[Amount],Cash_Flow_3[Bulan],H271,Cash_Flow_3[Type],"Out",Cash_Flow_3[Category],"Zela")</f>
        <v>215161</v>
      </c>
      <c r="T271" s="29">
        <f>SUMIFS(Cash_Flow_3[Amount],Cash_Flow_3[Bulan],H271,Cash_Flow_3[Type],"Out",Cash_Flow_3[Category],"Iqbal")</f>
        <v>160000</v>
      </c>
    </row>
    <row r="272" spans="1:20" ht="22.5" customHeight="1" x14ac:dyDescent="0.2">
      <c r="A272" s="23">
        <v>46088</v>
      </c>
      <c r="B272" s="24" t="s">
        <v>480</v>
      </c>
      <c r="C272" s="25" t="s">
        <v>46</v>
      </c>
      <c r="D272" s="25" t="s">
        <v>44</v>
      </c>
      <c r="E272" s="25" t="s">
        <v>3</v>
      </c>
      <c r="F272" s="26">
        <v>5000</v>
      </c>
      <c r="G272" s="27"/>
      <c r="H272" s="28">
        <f t="shared" si="0"/>
        <v>46082</v>
      </c>
      <c r="I272" s="29">
        <f>SUMIFS(Cash_Flow_3[Amount],Cash_Flow_3[Bulan],H272,Cash_Flow_3[Type],"In")</f>
        <v>13015393</v>
      </c>
      <c r="J272" s="29">
        <f>SUMIFS(Cash_Flow_3[Amount],Cash_Flow_3[Bulan],H272,Cash_Flow_3[Type],"Out")</f>
        <v>10475288</v>
      </c>
      <c r="K272" s="29">
        <f>SUMIFS(Cash_Flow_3[Amount],Cash_Flow_3[Bulan],H272,Cash_Flow_3[Type],"Out",Cash_Flow_3[Category],"Fix")</f>
        <v>2908413</v>
      </c>
      <c r="L272" s="29">
        <f>SUMIFS(Cash_Flow_3[Amount],Cash_Flow_3[Bulan],H272,Cash_Flow_3[Type],"Out",Cash_Flow_3[Category],"Bathroom")</f>
        <v>48473</v>
      </c>
      <c r="M272" s="29">
        <f>SUMIFS(Cash_Flow_3[Amount],Cash_Flow_3[Bulan],H272,Cash_Flow_3[Type],"Out",Cash_Flow_3[Category],"Alfa")</f>
        <v>775042</v>
      </c>
      <c r="N272" s="29">
        <f>SUMIFS(Cash_Flow_3[Amount],Cash_Flow_3[Bulan],H272,Cash_Flow_3[Type],"Out",Cash_Flow_3[Category],"Jajan")</f>
        <v>795099</v>
      </c>
      <c r="O272" s="29">
        <f>SUMIFS(Cash_Flow_3[Amount],Cash_Flow_3[Bulan],H272,Cash_Flow_3[Type],"Out",Cash_Flow_3[Category],"Kitchen")</f>
        <v>1003600</v>
      </c>
      <c r="P272" s="29">
        <f>SUMIFS(Cash_Flow_3[Amount],Cash_Flow_3[Bulan],H272,Cash_Flow_3[Type],"Out",Cash_Flow_3[Category],"Loandry")</f>
        <v>41000</v>
      </c>
      <c r="Q272" s="29">
        <f>SUMIFS(Cash_Flow_3[Amount],Cash_Flow_3[Bulan],H272,Cash_Flow_3[Type],"Out",Cash_Flow_3[Category],"Mio")</f>
        <v>364500</v>
      </c>
      <c r="R272" s="29">
        <f>SUMIFS(Cash_Flow_3[Amount],Cash_Flow_3[Bulan],H272,Cash_Flow_3[Type],"Out",Cash_Flow_3[Category],"Sedekah")</f>
        <v>130000</v>
      </c>
      <c r="S272" s="29">
        <f>SUMIFS(Cash_Flow_3[Amount],Cash_Flow_3[Bulan],H272,Cash_Flow_3[Type],"Out",Cash_Flow_3[Category],"Zela")</f>
        <v>215161</v>
      </c>
      <c r="T272" s="29">
        <f>SUMIFS(Cash_Flow_3[Amount],Cash_Flow_3[Bulan],H272,Cash_Flow_3[Type],"Out",Cash_Flow_3[Category],"Iqbal")</f>
        <v>160000</v>
      </c>
    </row>
    <row r="273" spans="1:20" ht="22.5" customHeight="1" x14ac:dyDescent="0.2">
      <c r="A273" s="23">
        <v>46087</v>
      </c>
      <c r="B273" s="24" t="s">
        <v>309</v>
      </c>
      <c r="C273" s="25" t="s">
        <v>43</v>
      </c>
      <c r="D273" s="25" t="s">
        <v>44</v>
      </c>
      <c r="E273" s="25" t="s">
        <v>7</v>
      </c>
      <c r="F273" s="26">
        <v>47778</v>
      </c>
      <c r="G273" s="27"/>
      <c r="H273" s="28">
        <f t="shared" si="0"/>
        <v>46082</v>
      </c>
      <c r="I273" s="29">
        <f>SUMIFS(Cash_Flow_3[Amount],Cash_Flow_3[Bulan],H273,Cash_Flow_3[Type],"In")</f>
        <v>13015393</v>
      </c>
      <c r="J273" s="29">
        <f>SUMIFS(Cash_Flow_3[Amount],Cash_Flow_3[Bulan],H273,Cash_Flow_3[Type],"Out")</f>
        <v>10475288</v>
      </c>
      <c r="K273" s="29">
        <f>SUMIFS(Cash_Flow_3[Amount],Cash_Flow_3[Bulan],H273,Cash_Flow_3[Type],"Out",Cash_Flow_3[Category],"Fix")</f>
        <v>2908413</v>
      </c>
      <c r="L273" s="29">
        <f>SUMIFS(Cash_Flow_3[Amount],Cash_Flow_3[Bulan],H273,Cash_Flow_3[Type],"Out",Cash_Flow_3[Category],"Bathroom")</f>
        <v>48473</v>
      </c>
      <c r="M273" s="29">
        <f>SUMIFS(Cash_Flow_3[Amount],Cash_Flow_3[Bulan],H273,Cash_Flow_3[Type],"Out",Cash_Flow_3[Category],"Alfa")</f>
        <v>775042</v>
      </c>
      <c r="N273" s="29">
        <f>SUMIFS(Cash_Flow_3[Amount],Cash_Flow_3[Bulan],H273,Cash_Flow_3[Type],"Out",Cash_Flow_3[Category],"Jajan")</f>
        <v>795099</v>
      </c>
      <c r="O273" s="29">
        <f>SUMIFS(Cash_Flow_3[Amount],Cash_Flow_3[Bulan],H273,Cash_Flow_3[Type],"Out",Cash_Flow_3[Category],"Kitchen")</f>
        <v>1003600</v>
      </c>
      <c r="P273" s="29">
        <f>SUMIFS(Cash_Flow_3[Amount],Cash_Flow_3[Bulan],H273,Cash_Flow_3[Type],"Out",Cash_Flow_3[Category],"Loandry")</f>
        <v>41000</v>
      </c>
      <c r="Q273" s="29">
        <f>SUMIFS(Cash_Flow_3[Amount],Cash_Flow_3[Bulan],H273,Cash_Flow_3[Type],"Out",Cash_Flow_3[Category],"Mio")</f>
        <v>364500</v>
      </c>
      <c r="R273" s="29">
        <f>SUMIFS(Cash_Flow_3[Amount],Cash_Flow_3[Bulan],H273,Cash_Flow_3[Type],"Out",Cash_Flow_3[Category],"Sedekah")</f>
        <v>130000</v>
      </c>
      <c r="S273" s="29">
        <f>SUMIFS(Cash_Flow_3[Amount],Cash_Flow_3[Bulan],H273,Cash_Flow_3[Type],"Out",Cash_Flow_3[Category],"Zela")</f>
        <v>215161</v>
      </c>
      <c r="T273" s="29">
        <f>SUMIFS(Cash_Flow_3[Amount],Cash_Flow_3[Bulan],H273,Cash_Flow_3[Type],"Out",Cash_Flow_3[Category],"Iqbal")</f>
        <v>160000</v>
      </c>
    </row>
    <row r="274" spans="1:20" ht="22.5" customHeight="1" x14ac:dyDescent="0.2">
      <c r="A274" s="23">
        <v>46087</v>
      </c>
      <c r="B274" s="24" t="s">
        <v>310</v>
      </c>
      <c r="C274" s="25" t="s">
        <v>43</v>
      </c>
      <c r="D274" s="25" t="s">
        <v>44</v>
      </c>
      <c r="E274" s="25" t="s">
        <v>1</v>
      </c>
      <c r="F274" s="26">
        <v>20777</v>
      </c>
      <c r="G274" s="27"/>
      <c r="H274" s="28">
        <f t="shared" si="0"/>
        <v>46082</v>
      </c>
      <c r="I274" s="29">
        <f>SUMIFS(Cash_Flow_3[Amount],Cash_Flow_3[Bulan],H274,Cash_Flow_3[Type],"In")</f>
        <v>13015393</v>
      </c>
      <c r="J274" s="29">
        <f>SUMIFS(Cash_Flow_3[Amount],Cash_Flow_3[Bulan],H274,Cash_Flow_3[Type],"Out")</f>
        <v>10475288</v>
      </c>
      <c r="K274" s="29">
        <f>SUMIFS(Cash_Flow_3[Amount],Cash_Flow_3[Bulan],H274,Cash_Flow_3[Type],"Out",Cash_Flow_3[Category],"Fix")</f>
        <v>2908413</v>
      </c>
      <c r="L274" s="29">
        <f>SUMIFS(Cash_Flow_3[Amount],Cash_Flow_3[Bulan],H274,Cash_Flow_3[Type],"Out",Cash_Flow_3[Category],"Bathroom")</f>
        <v>48473</v>
      </c>
      <c r="M274" s="29">
        <f>SUMIFS(Cash_Flow_3[Amount],Cash_Flow_3[Bulan],H274,Cash_Flow_3[Type],"Out",Cash_Flow_3[Category],"Alfa")</f>
        <v>775042</v>
      </c>
      <c r="N274" s="29">
        <f>SUMIFS(Cash_Flow_3[Amount],Cash_Flow_3[Bulan],H274,Cash_Flow_3[Type],"Out",Cash_Flow_3[Category],"Jajan")</f>
        <v>795099</v>
      </c>
      <c r="O274" s="29">
        <f>SUMIFS(Cash_Flow_3[Amount],Cash_Flow_3[Bulan],H274,Cash_Flow_3[Type],"Out",Cash_Flow_3[Category],"Kitchen")</f>
        <v>1003600</v>
      </c>
      <c r="P274" s="29">
        <f>SUMIFS(Cash_Flow_3[Amount],Cash_Flow_3[Bulan],H274,Cash_Flow_3[Type],"Out",Cash_Flow_3[Category],"Loandry")</f>
        <v>41000</v>
      </c>
      <c r="Q274" s="29">
        <f>SUMIFS(Cash_Flow_3[Amount],Cash_Flow_3[Bulan],H274,Cash_Flow_3[Type],"Out",Cash_Flow_3[Category],"Mio")</f>
        <v>364500</v>
      </c>
      <c r="R274" s="29">
        <f>SUMIFS(Cash_Flow_3[Amount],Cash_Flow_3[Bulan],H274,Cash_Flow_3[Type],"Out",Cash_Flow_3[Category],"Sedekah")</f>
        <v>130000</v>
      </c>
      <c r="S274" s="29">
        <f>SUMIFS(Cash_Flow_3[Amount],Cash_Flow_3[Bulan],H274,Cash_Flow_3[Type],"Out",Cash_Flow_3[Category],"Zela")</f>
        <v>215161</v>
      </c>
      <c r="T274" s="29">
        <f>SUMIFS(Cash_Flow_3[Amount],Cash_Flow_3[Bulan],H274,Cash_Flow_3[Type],"Out",Cash_Flow_3[Category],"Iqbal")</f>
        <v>160000</v>
      </c>
    </row>
    <row r="275" spans="1:20" ht="22.5" customHeight="1" x14ac:dyDescent="0.2">
      <c r="A275" s="23">
        <v>46089</v>
      </c>
      <c r="B275" s="24" t="s">
        <v>311</v>
      </c>
      <c r="C275" s="25" t="s">
        <v>43</v>
      </c>
      <c r="D275" s="25" t="s">
        <v>44</v>
      </c>
      <c r="E275" s="25" t="s">
        <v>9</v>
      </c>
      <c r="F275" s="26">
        <v>100000</v>
      </c>
      <c r="G275" s="27"/>
      <c r="H275" s="28">
        <f t="shared" si="0"/>
        <v>46082</v>
      </c>
      <c r="I275" s="29">
        <f>SUMIFS(Cash_Flow_3[Amount],Cash_Flow_3[Bulan],H275,Cash_Flow_3[Type],"In")</f>
        <v>13015393</v>
      </c>
      <c r="J275" s="29">
        <f>SUMIFS(Cash_Flow_3[Amount],Cash_Flow_3[Bulan],H275,Cash_Flow_3[Type],"Out")</f>
        <v>10475288</v>
      </c>
      <c r="K275" s="29">
        <f>SUMIFS(Cash_Flow_3[Amount],Cash_Flow_3[Bulan],H275,Cash_Flow_3[Type],"Out",Cash_Flow_3[Category],"Fix")</f>
        <v>2908413</v>
      </c>
      <c r="L275" s="29">
        <f>SUMIFS(Cash_Flow_3[Amount],Cash_Flow_3[Bulan],H275,Cash_Flow_3[Type],"Out",Cash_Flow_3[Category],"Bathroom")</f>
        <v>48473</v>
      </c>
      <c r="M275" s="29">
        <f>SUMIFS(Cash_Flow_3[Amount],Cash_Flow_3[Bulan],H275,Cash_Flow_3[Type],"Out",Cash_Flow_3[Category],"Alfa")</f>
        <v>775042</v>
      </c>
      <c r="N275" s="29">
        <f>SUMIFS(Cash_Flow_3[Amount],Cash_Flow_3[Bulan],H275,Cash_Flow_3[Type],"Out",Cash_Flow_3[Category],"Jajan")</f>
        <v>795099</v>
      </c>
      <c r="O275" s="29">
        <f>SUMIFS(Cash_Flow_3[Amount],Cash_Flow_3[Bulan],H275,Cash_Flow_3[Type],"Out",Cash_Flow_3[Category],"Kitchen")</f>
        <v>1003600</v>
      </c>
      <c r="P275" s="29">
        <f>SUMIFS(Cash_Flow_3[Amount],Cash_Flow_3[Bulan],H275,Cash_Flow_3[Type],"Out",Cash_Flow_3[Category],"Loandry")</f>
        <v>41000</v>
      </c>
      <c r="Q275" s="29">
        <f>SUMIFS(Cash_Flow_3[Amount],Cash_Flow_3[Bulan],H275,Cash_Flow_3[Type],"Out",Cash_Flow_3[Category],"Mio")</f>
        <v>364500</v>
      </c>
      <c r="R275" s="29">
        <f>SUMIFS(Cash_Flow_3[Amount],Cash_Flow_3[Bulan],H275,Cash_Flow_3[Type],"Out",Cash_Flow_3[Category],"Sedekah")</f>
        <v>130000</v>
      </c>
      <c r="S275" s="29">
        <f>SUMIFS(Cash_Flow_3[Amount],Cash_Flow_3[Bulan],H275,Cash_Flow_3[Type],"Out",Cash_Flow_3[Category],"Zela")</f>
        <v>215161</v>
      </c>
      <c r="T275" s="29">
        <f>SUMIFS(Cash_Flow_3[Amount],Cash_Flow_3[Bulan],H275,Cash_Flow_3[Type],"Out",Cash_Flow_3[Category],"Iqbal")</f>
        <v>160000</v>
      </c>
    </row>
    <row r="276" spans="1:20" ht="22.5" customHeight="1" x14ac:dyDescent="0.2">
      <c r="A276" s="23">
        <v>46089</v>
      </c>
      <c r="B276" s="24" t="s">
        <v>76</v>
      </c>
      <c r="C276" s="25" t="s">
        <v>43</v>
      </c>
      <c r="D276" s="25" t="s">
        <v>44</v>
      </c>
      <c r="E276" s="25" t="s">
        <v>9</v>
      </c>
      <c r="F276" s="26">
        <v>100000</v>
      </c>
      <c r="G276" s="27"/>
      <c r="H276" s="28">
        <f t="shared" si="0"/>
        <v>46082</v>
      </c>
      <c r="I276" s="29">
        <f>SUMIFS(Cash_Flow_3[Amount],Cash_Flow_3[Bulan],H276,Cash_Flow_3[Type],"In")</f>
        <v>13015393</v>
      </c>
      <c r="J276" s="29">
        <f>SUMIFS(Cash_Flow_3[Amount],Cash_Flow_3[Bulan],H276,Cash_Flow_3[Type],"Out")</f>
        <v>10475288</v>
      </c>
      <c r="K276" s="29">
        <f>SUMIFS(Cash_Flow_3[Amount],Cash_Flow_3[Bulan],H276,Cash_Flow_3[Type],"Out",Cash_Flow_3[Category],"Fix")</f>
        <v>2908413</v>
      </c>
      <c r="L276" s="29">
        <f>SUMIFS(Cash_Flow_3[Amount],Cash_Flow_3[Bulan],H276,Cash_Flow_3[Type],"Out",Cash_Flow_3[Category],"Bathroom")</f>
        <v>48473</v>
      </c>
      <c r="M276" s="29">
        <f>SUMIFS(Cash_Flow_3[Amount],Cash_Flow_3[Bulan],H276,Cash_Flow_3[Type],"Out",Cash_Flow_3[Category],"Alfa")</f>
        <v>775042</v>
      </c>
      <c r="N276" s="29">
        <f>SUMIFS(Cash_Flow_3[Amount],Cash_Flow_3[Bulan],H276,Cash_Flow_3[Type],"Out",Cash_Flow_3[Category],"Jajan")</f>
        <v>795099</v>
      </c>
      <c r="O276" s="29">
        <f>SUMIFS(Cash_Flow_3[Amount],Cash_Flow_3[Bulan],H276,Cash_Flow_3[Type],"Out",Cash_Flow_3[Category],"Kitchen")</f>
        <v>1003600</v>
      </c>
      <c r="P276" s="29">
        <f>SUMIFS(Cash_Flow_3[Amount],Cash_Flow_3[Bulan],H276,Cash_Flow_3[Type],"Out",Cash_Flow_3[Category],"Loandry")</f>
        <v>41000</v>
      </c>
      <c r="Q276" s="29">
        <f>SUMIFS(Cash_Flow_3[Amount],Cash_Flow_3[Bulan],H276,Cash_Flow_3[Type],"Out",Cash_Flow_3[Category],"Mio")</f>
        <v>364500</v>
      </c>
      <c r="R276" s="29">
        <f>SUMIFS(Cash_Flow_3[Amount],Cash_Flow_3[Bulan],H276,Cash_Flow_3[Type],"Out",Cash_Flow_3[Category],"Sedekah")</f>
        <v>130000</v>
      </c>
      <c r="S276" s="29">
        <f>SUMIFS(Cash_Flow_3[Amount],Cash_Flow_3[Bulan],H276,Cash_Flow_3[Type],"Out",Cash_Flow_3[Category],"Zela")</f>
        <v>215161</v>
      </c>
      <c r="T276" s="29">
        <f>SUMIFS(Cash_Flow_3[Amount],Cash_Flow_3[Bulan],H276,Cash_Flow_3[Type],"Out",Cash_Flow_3[Category],"Iqbal")</f>
        <v>160000</v>
      </c>
    </row>
    <row r="277" spans="1:20" ht="22.5" customHeight="1" x14ac:dyDescent="0.2">
      <c r="A277" s="23">
        <v>46089</v>
      </c>
      <c r="B277" s="24" t="s">
        <v>149</v>
      </c>
      <c r="C277" s="25" t="s">
        <v>46</v>
      </c>
      <c r="D277" s="25" t="s">
        <v>39</v>
      </c>
      <c r="E277" s="25" t="s">
        <v>9</v>
      </c>
      <c r="F277" s="26">
        <v>100000</v>
      </c>
      <c r="G277" s="27"/>
      <c r="H277" s="28">
        <f t="shared" si="0"/>
        <v>46082</v>
      </c>
      <c r="I277" s="29">
        <f>SUMIFS(Cash_Flow_3[Amount],Cash_Flow_3[Bulan],H277,Cash_Flow_3[Type],"In")</f>
        <v>13015393</v>
      </c>
      <c r="J277" s="29">
        <f>SUMIFS(Cash_Flow_3[Amount],Cash_Flow_3[Bulan],H277,Cash_Flow_3[Type],"Out")</f>
        <v>10475288</v>
      </c>
      <c r="K277" s="29">
        <f>SUMIFS(Cash_Flow_3[Amount],Cash_Flow_3[Bulan],H277,Cash_Flow_3[Type],"Out",Cash_Flow_3[Category],"Fix")</f>
        <v>2908413</v>
      </c>
      <c r="L277" s="29">
        <f>SUMIFS(Cash_Flow_3[Amount],Cash_Flow_3[Bulan],H277,Cash_Flow_3[Type],"Out",Cash_Flow_3[Category],"Bathroom")</f>
        <v>48473</v>
      </c>
      <c r="M277" s="29">
        <f>SUMIFS(Cash_Flow_3[Amount],Cash_Flow_3[Bulan],H277,Cash_Flow_3[Type],"Out",Cash_Flow_3[Category],"Alfa")</f>
        <v>775042</v>
      </c>
      <c r="N277" s="29">
        <f>SUMIFS(Cash_Flow_3[Amount],Cash_Flow_3[Bulan],H277,Cash_Flow_3[Type],"Out",Cash_Flow_3[Category],"Jajan")</f>
        <v>795099</v>
      </c>
      <c r="O277" s="29">
        <f>SUMIFS(Cash_Flow_3[Amount],Cash_Flow_3[Bulan],H277,Cash_Flow_3[Type],"Out",Cash_Flow_3[Category],"Kitchen")</f>
        <v>1003600</v>
      </c>
      <c r="P277" s="29">
        <f>SUMIFS(Cash_Flow_3[Amount],Cash_Flow_3[Bulan],H277,Cash_Flow_3[Type],"Out",Cash_Flow_3[Category],"Loandry")</f>
        <v>41000</v>
      </c>
      <c r="Q277" s="29">
        <f>SUMIFS(Cash_Flow_3[Amount],Cash_Flow_3[Bulan],H277,Cash_Flow_3[Type],"Out",Cash_Flow_3[Category],"Mio")</f>
        <v>364500</v>
      </c>
      <c r="R277" s="29">
        <f>SUMIFS(Cash_Flow_3[Amount],Cash_Flow_3[Bulan],H277,Cash_Flow_3[Type],"Out",Cash_Flow_3[Category],"Sedekah")</f>
        <v>130000</v>
      </c>
      <c r="S277" s="29">
        <f>SUMIFS(Cash_Flow_3[Amount],Cash_Flow_3[Bulan],H277,Cash_Flow_3[Type],"Out",Cash_Flow_3[Category],"Zela")</f>
        <v>215161</v>
      </c>
      <c r="T277" s="29">
        <f>SUMIFS(Cash_Flow_3[Amount],Cash_Flow_3[Bulan],H277,Cash_Flow_3[Type],"Out",Cash_Flow_3[Category],"Iqbal")</f>
        <v>160000</v>
      </c>
    </row>
    <row r="278" spans="1:20" ht="22.5" customHeight="1" x14ac:dyDescent="0.2">
      <c r="A278" s="23">
        <v>46089</v>
      </c>
      <c r="B278" s="24" t="s">
        <v>315</v>
      </c>
      <c r="C278" s="25" t="s">
        <v>46</v>
      </c>
      <c r="D278" s="25" t="s">
        <v>44</v>
      </c>
      <c r="E278" s="25" t="s">
        <v>2</v>
      </c>
      <c r="F278" s="26">
        <v>17000</v>
      </c>
      <c r="G278" s="27"/>
      <c r="H278" s="28">
        <f t="shared" si="0"/>
        <v>46082</v>
      </c>
      <c r="I278" s="29">
        <f>SUMIFS(Cash_Flow_3[Amount],Cash_Flow_3[Bulan],H278,Cash_Flow_3[Type],"In")</f>
        <v>13015393</v>
      </c>
      <c r="J278" s="29">
        <f>SUMIFS(Cash_Flow_3[Amount],Cash_Flow_3[Bulan],H278,Cash_Flow_3[Type],"Out")</f>
        <v>10475288</v>
      </c>
      <c r="K278" s="29">
        <f>SUMIFS(Cash_Flow_3[Amount],Cash_Flow_3[Bulan],H278,Cash_Flow_3[Type],"Out",Cash_Flow_3[Category],"Fix")</f>
        <v>2908413</v>
      </c>
      <c r="L278" s="29">
        <f>SUMIFS(Cash_Flow_3[Amount],Cash_Flow_3[Bulan],H278,Cash_Flow_3[Type],"Out",Cash_Flow_3[Category],"Bathroom")</f>
        <v>48473</v>
      </c>
      <c r="M278" s="29">
        <f>SUMIFS(Cash_Flow_3[Amount],Cash_Flow_3[Bulan],H278,Cash_Flow_3[Type],"Out",Cash_Flow_3[Category],"Alfa")</f>
        <v>775042</v>
      </c>
      <c r="N278" s="29">
        <f>SUMIFS(Cash_Flow_3[Amount],Cash_Flow_3[Bulan],H278,Cash_Flow_3[Type],"Out",Cash_Flow_3[Category],"Jajan")</f>
        <v>795099</v>
      </c>
      <c r="O278" s="29">
        <f>SUMIFS(Cash_Flow_3[Amount],Cash_Flow_3[Bulan],H278,Cash_Flow_3[Type],"Out",Cash_Flow_3[Category],"Kitchen")</f>
        <v>1003600</v>
      </c>
      <c r="P278" s="29">
        <f>SUMIFS(Cash_Flow_3[Amount],Cash_Flow_3[Bulan],H278,Cash_Flow_3[Type],"Out",Cash_Flow_3[Category],"Loandry")</f>
        <v>41000</v>
      </c>
      <c r="Q278" s="29">
        <f>SUMIFS(Cash_Flow_3[Amount],Cash_Flow_3[Bulan],H278,Cash_Flow_3[Type],"Out",Cash_Flow_3[Category],"Mio")</f>
        <v>364500</v>
      </c>
      <c r="R278" s="29">
        <f>SUMIFS(Cash_Flow_3[Amount],Cash_Flow_3[Bulan],H278,Cash_Flow_3[Type],"Out",Cash_Flow_3[Category],"Sedekah")</f>
        <v>130000</v>
      </c>
      <c r="S278" s="29">
        <f>SUMIFS(Cash_Flow_3[Amount],Cash_Flow_3[Bulan],H278,Cash_Flow_3[Type],"Out",Cash_Flow_3[Category],"Zela")</f>
        <v>215161</v>
      </c>
      <c r="T278" s="29">
        <f>SUMIFS(Cash_Flow_3[Amount],Cash_Flow_3[Bulan],H278,Cash_Flow_3[Type],"Out",Cash_Flow_3[Category],"Iqbal")</f>
        <v>160000</v>
      </c>
    </row>
    <row r="279" spans="1:20" ht="22.5" customHeight="1" x14ac:dyDescent="0.2">
      <c r="A279" s="23">
        <v>46089</v>
      </c>
      <c r="B279" s="24" t="s">
        <v>318</v>
      </c>
      <c r="C279" s="25" t="s">
        <v>46</v>
      </c>
      <c r="D279" s="25" t="s">
        <v>44</v>
      </c>
      <c r="E279" s="25" t="s">
        <v>2</v>
      </c>
      <c r="F279" s="26">
        <v>13000</v>
      </c>
      <c r="G279" s="27"/>
      <c r="H279" s="28">
        <f t="shared" si="0"/>
        <v>46082</v>
      </c>
      <c r="I279" s="29">
        <f>SUMIFS(Cash_Flow_3[Amount],Cash_Flow_3[Bulan],H279,Cash_Flow_3[Type],"In")</f>
        <v>13015393</v>
      </c>
      <c r="J279" s="29">
        <f>SUMIFS(Cash_Flow_3[Amount],Cash_Flow_3[Bulan],H279,Cash_Flow_3[Type],"Out")</f>
        <v>10475288</v>
      </c>
      <c r="K279" s="29">
        <f>SUMIFS(Cash_Flow_3[Amount],Cash_Flow_3[Bulan],H279,Cash_Flow_3[Type],"Out",Cash_Flow_3[Category],"Fix")</f>
        <v>2908413</v>
      </c>
      <c r="L279" s="29">
        <f>SUMIFS(Cash_Flow_3[Amount],Cash_Flow_3[Bulan],H279,Cash_Flow_3[Type],"Out",Cash_Flow_3[Category],"Bathroom")</f>
        <v>48473</v>
      </c>
      <c r="M279" s="29">
        <f>SUMIFS(Cash_Flow_3[Amount],Cash_Flow_3[Bulan],H279,Cash_Flow_3[Type],"Out",Cash_Flow_3[Category],"Alfa")</f>
        <v>775042</v>
      </c>
      <c r="N279" s="29">
        <f>SUMIFS(Cash_Flow_3[Amount],Cash_Flow_3[Bulan],H279,Cash_Flow_3[Type],"Out",Cash_Flow_3[Category],"Jajan")</f>
        <v>795099</v>
      </c>
      <c r="O279" s="29">
        <f>SUMIFS(Cash_Flow_3[Amount],Cash_Flow_3[Bulan],H279,Cash_Flow_3[Type],"Out",Cash_Flow_3[Category],"Kitchen")</f>
        <v>1003600</v>
      </c>
      <c r="P279" s="29">
        <f>SUMIFS(Cash_Flow_3[Amount],Cash_Flow_3[Bulan],H279,Cash_Flow_3[Type],"Out",Cash_Flow_3[Category],"Loandry")</f>
        <v>41000</v>
      </c>
      <c r="Q279" s="29">
        <f>SUMIFS(Cash_Flow_3[Amount],Cash_Flow_3[Bulan],H279,Cash_Flow_3[Type],"Out",Cash_Flow_3[Category],"Mio")</f>
        <v>364500</v>
      </c>
      <c r="R279" s="29">
        <f>SUMIFS(Cash_Flow_3[Amount],Cash_Flow_3[Bulan],H279,Cash_Flow_3[Type],"Out",Cash_Flow_3[Category],"Sedekah")</f>
        <v>130000</v>
      </c>
      <c r="S279" s="29">
        <f>SUMIFS(Cash_Flow_3[Amount],Cash_Flow_3[Bulan],H279,Cash_Flow_3[Type],"Out",Cash_Flow_3[Category],"Zela")</f>
        <v>215161</v>
      </c>
      <c r="T279" s="29">
        <f>SUMIFS(Cash_Flow_3[Amount],Cash_Flow_3[Bulan],H279,Cash_Flow_3[Type],"Out",Cash_Flow_3[Category],"Iqbal")</f>
        <v>160000</v>
      </c>
    </row>
    <row r="280" spans="1:20" ht="22.5" customHeight="1" x14ac:dyDescent="0.2">
      <c r="A280" s="23">
        <v>46089</v>
      </c>
      <c r="B280" s="24" t="s">
        <v>320</v>
      </c>
      <c r="C280" s="25" t="s">
        <v>46</v>
      </c>
      <c r="D280" s="25" t="s">
        <v>44</v>
      </c>
      <c r="E280" s="25" t="s">
        <v>2</v>
      </c>
      <c r="F280" s="26">
        <v>6000</v>
      </c>
      <c r="G280" s="27"/>
      <c r="H280" s="28">
        <f t="shared" si="0"/>
        <v>46082</v>
      </c>
      <c r="I280" s="29">
        <f>SUMIFS(Cash_Flow_3[Amount],Cash_Flow_3[Bulan],H280,Cash_Flow_3[Type],"In")</f>
        <v>13015393</v>
      </c>
      <c r="J280" s="29">
        <f>SUMIFS(Cash_Flow_3[Amount],Cash_Flow_3[Bulan],H280,Cash_Flow_3[Type],"Out")</f>
        <v>10475288</v>
      </c>
      <c r="K280" s="29">
        <f>SUMIFS(Cash_Flow_3[Amount],Cash_Flow_3[Bulan],H280,Cash_Flow_3[Type],"Out",Cash_Flow_3[Category],"Fix")</f>
        <v>2908413</v>
      </c>
      <c r="L280" s="29">
        <f>SUMIFS(Cash_Flow_3[Amount],Cash_Flow_3[Bulan],H280,Cash_Flow_3[Type],"Out",Cash_Flow_3[Category],"Bathroom")</f>
        <v>48473</v>
      </c>
      <c r="M280" s="29">
        <f>SUMIFS(Cash_Flow_3[Amount],Cash_Flow_3[Bulan],H280,Cash_Flow_3[Type],"Out",Cash_Flow_3[Category],"Alfa")</f>
        <v>775042</v>
      </c>
      <c r="N280" s="29">
        <f>SUMIFS(Cash_Flow_3[Amount],Cash_Flow_3[Bulan],H280,Cash_Flow_3[Type],"Out",Cash_Flow_3[Category],"Jajan")</f>
        <v>795099</v>
      </c>
      <c r="O280" s="29">
        <f>SUMIFS(Cash_Flow_3[Amount],Cash_Flow_3[Bulan],H280,Cash_Flow_3[Type],"Out",Cash_Flow_3[Category],"Kitchen")</f>
        <v>1003600</v>
      </c>
      <c r="P280" s="29">
        <f>SUMIFS(Cash_Flow_3[Amount],Cash_Flow_3[Bulan],H280,Cash_Flow_3[Type],"Out",Cash_Flow_3[Category],"Loandry")</f>
        <v>41000</v>
      </c>
      <c r="Q280" s="29">
        <f>SUMIFS(Cash_Flow_3[Amount],Cash_Flow_3[Bulan],H280,Cash_Flow_3[Type],"Out",Cash_Flow_3[Category],"Mio")</f>
        <v>364500</v>
      </c>
      <c r="R280" s="29">
        <f>SUMIFS(Cash_Flow_3[Amount],Cash_Flow_3[Bulan],H280,Cash_Flow_3[Type],"Out",Cash_Flow_3[Category],"Sedekah")</f>
        <v>130000</v>
      </c>
      <c r="S280" s="29">
        <f>SUMIFS(Cash_Flow_3[Amount],Cash_Flow_3[Bulan],H280,Cash_Flow_3[Type],"Out",Cash_Flow_3[Category],"Zela")</f>
        <v>215161</v>
      </c>
      <c r="T280" s="29">
        <f>SUMIFS(Cash_Flow_3[Amount],Cash_Flow_3[Bulan],H280,Cash_Flow_3[Type],"Out",Cash_Flow_3[Category],"Iqbal")</f>
        <v>160000</v>
      </c>
    </row>
    <row r="281" spans="1:20" ht="22.5" customHeight="1" x14ac:dyDescent="0.2">
      <c r="A281" s="23">
        <v>46090</v>
      </c>
      <c r="B281" s="24" t="s">
        <v>742</v>
      </c>
      <c r="C281" s="25" t="s">
        <v>46</v>
      </c>
      <c r="D281" s="25" t="s">
        <v>44</v>
      </c>
      <c r="E281" s="25" t="s">
        <v>3</v>
      </c>
      <c r="F281" s="26">
        <v>61000</v>
      </c>
      <c r="G281" s="27"/>
      <c r="H281" s="28">
        <f t="shared" si="0"/>
        <v>46082</v>
      </c>
      <c r="I281" s="29">
        <f>SUMIFS(Cash_Flow_3[Amount],Cash_Flow_3[Bulan],H281,Cash_Flow_3[Type],"In")</f>
        <v>13015393</v>
      </c>
      <c r="J281" s="29">
        <f>SUMIFS(Cash_Flow_3[Amount],Cash_Flow_3[Bulan],H281,Cash_Flow_3[Type],"Out")</f>
        <v>10475288</v>
      </c>
      <c r="K281" s="29">
        <f>SUMIFS(Cash_Flow_3[Amount],Cash_Flow_3[Bulan],H281,Cash_Flow_3[Type],"Out",Cash_Flow_3[Category],"Fix")</f>
        <v>2908413</v>
      </c>
      <c r="L281" s="29">
        <f>SUMIFS(Cash_Flow_3[Amount],Cash_Flow_3[Bulan],H281,Cash_Flow_3[Type],"Out",Cash_Flow_3[Category],"Bathroom")</f>
        <v>48473</v>
      </c>
      <c r="M281" s="29">
        <f>SUMIFS(Cash_Flow_3[Amount],Cash_Flow_3[Bulan],H281,Cash_Flow_3[Type],"Out",Cash_Flow_3[Category],"Alfa")</f>
        <v>775042</v>
      </c>
      <c r="N281" s="29">
        <f>SUMIFS(Cash_Flow_3[Amount],Cash_Flow_3[Bulan],H281,Cash_Flow_3[Type],"Out",Cash_Flow_3[Category],"Jajan")</f>
        <v>795099</v>
      </c>
      <c r="O281" s="29">
        <f>SUMIFS(Cash_Flow_3[Amount],Cash_Flow_3[Bulan],H281,Cash_Flow_3[Type],"Out",Cash_Flow_3[Category],"Kitchen")</f>
        <v>1003600</v>
      </c>
      <c r="P281" s="29">
        <f>SUMIFS(Cash_Flow_3[Amount],Cash_Flow_3[Bulan],H281,Cash_Flow_3[Type],"Out",Cash_Flow_3[Category],"Loandry")</f>
        <v>41000</v>
      </c>
      <c r="Q281" s="29">
        <f>SUMIFS(Cash_Flow_3[Amount],Cash_Flow_3[Bulan],H281,Cash_Flow_3[Type],"Out",Cash_Flow_3[Category],"Mio")</f>
        <v>364500</v>
      </c>
      <c r="R281" s="29">
        <f>SUMIFS(Cash_Flow_3[Amount],Cash_Flow_3[Bulan],H281,Cash_Flow_3[Type],"Out",Cash_Flow_3[Category],"Sedekah")</f>
        <v>130000</v>
      </c>
      <c r="S281" s="29">
        <f>SUMIFS(Cash_Flow_3[Amount],Cash_Flow_3[Bulan],H281,Cash_Flow_3[Type],"Out",Cash_Flow_3[Category],"Zela")</f>
        <v>215161</v>
      </c>
      <c r="T281" s="29">
        <f>SUMIFS(Cash_Flow_3[Amount],Cash_Flow_3[Bulan],H281,Cash_Flow_3[Type],"Out",Cash_Flow_3[Category],"Iqbal")</f>
        <v>160000</v>
      </c>
    </row>
    <row r="282" spans="1:20" ht="22.5" customHeight="1" x14ac:dyDescent="0.2">
      <c r="A282" s="23">
        <v>46090</v>
      </c>
      <c r="B282" s="24" t="s">
        <v>323</v>
      </c>
      <c r="C282" s="25" t="s">
        <v>43</v>
      </c>
      <c r="D282" s="25" t="s">
        <v>44</v>
      </c>
      <c r="E282" s="25" t="s">
        <v>9</v>
      </c>
      <c r="F282" s="26">
        <v>50000</v>
      </c>
      <c r="G282" s="27"/>
      <c r="H282" s="28">
        <f t="shared" si="0"/>
        <v>46082</v>
      </c>
      <c r="I282" s="29">
        <f>SUMIFS(Cash_Flow_3[Amount],Cash_Flow_3[Bulan],H282,Cash_Flow_3[Type],"In")</f>
        <v>13015393</v>
      </c>
      <c r="J282" s="29">
        <f>SUMIFS(Cash_Flow_3[Amount],Cash_Flow_3[Bulan],H282,Cash_Flow_3[Type],"Out")</f>
        <v>10475288</v>
      </c>
      <c r="K282" s="29">
        <f>SUMIFS(Cash_Flow_3[Amount],Cash_Flow_3[Bulan],H282,Cash_Flow_3[Type],"Out",Cash_Flow_3[Category],"Fix")</f>
        <v>2908413</v>
      </c>
      <c r="L282" s="29">
        <f>SUMIFS(Cash_Flow_3[Amount],Cash_Flow_3[Bulan],H282,Cash_Flow_3[Type],"Out",Cash_Flow_3[Category],"Bathroom")</f>
        <v>48473</v>
      </c>
      <c r="M282" s="29">
        <f>SUMIFS(Cash_Flow_3[Amount],Cash_Flow_3[Bulan],H282,Cash_Flow_3[Type],"Out",Cash_Flow_3[Category],"Alfa")</f>
        <v>775042</v>
      </c>
      <c r="N282" s="29">
        <f>SUMIFS(Cash_Flow_3[Amount],Cash_Flow_3[Bulan],H282,Cash_Flow_3[Type],"Out",Cash_Flow_3[Category],"Jajan")</f>
        <v>795099</v>
      </c>
      <c r="O282" s="29">
        <f>SUMIFS(Cash_Flow_3[Amount],Cash_Flow_3[Bulan],H282,Cash_Flow_3[Type],"Out",Cash_Flow_3[Category],"Kitchen")</f>
        <v>1003600</v>
      </c>
      <c r="P282" s="29">
        <f>SUMIFS(Cash_Flow_3[Amount],Cash_Flow_3[Bulan],H282,Cash_Flow_3[Type],"Out",Cash_Flow_3[Category],"Loandry")</f>
        <v>41000</v>
      </c>
      <c r="Q282" s="29">
        <f>SUMIFS(Cash_Flow_3[Amount],Cash_Flow_3[Bulan],H282,Cash_Flow_3[Type],"Out",Cash_Flow_3[Category],"Mio")</f>
        <v>364500</v>
      </c>
      <c r="R282" s="29">
        <f>SUMIFS(Cash_Flow_3[Amount],Cash_Flow_3[Bulan],H282,Cash_Flow_3[Type],"Out",Cash_Flow_3[Category],"Sedekah")</f>
        <v>130000</v>
      </c>
      <c r="S282" s="29">
        <f>SUMIFS(Cash_Flow_3[Amount],Cash_Flow_3[Bulan],H282,Cash_Flow_3[Type],"Out",Cash_Flow_3[Category],"Zela")</f>
        <v>215161</v>
      </c>
      <c r="T282" s="29">
        <f>SUMIFS(Cash_Flow_3[Amount],Cash_Flow_3[Bulan],H282,Cash_Flow_3[Type],"Out",Cash_Flow_3[Category],"Iqbal")</f>
        <v>160000</v>
      </c>
    </row>
    <row r="283" spans="1:20" ht="22.5" customHeight="1" x14ac:dyDescent="0.2">
      <c r="A283" s="23">
        <v>46090</v>
      </c>
      <c r="B283" s="24" t="s">
        <v>484</v>
      </c>
      <c r="C283" s="25" t="s">
        <v>46</v>
      </c>
      <c r="D283" s="25" t="s">
        <v>39</v>
      </c>
      <c r="E283" s="25" t="s">
        <v>9</v>
      </c>
      <c r="F283" s="26">
        <v>50000</v>
      </c>
      <c r="G283" s="27"/>
      <c r="H283" s="28">
        <f t="shared" si="0"/>
        <v>46082</v>
      </c>
      <c r="I283" s="29">
        <f>SUMIFS(Cash_Flow_3[Amount],Cash_Flow_3[Bulan],H283,Cash_Flow_3[Type],"In")</f>
        <v>13015393</v>
      </c>
      <c r="J283" s="29">
        <f>SUMIFS(Cash_Flow_3[Amount],Cash_Flow_3[Bulan],H283,Cash_Flow_3[Type],"Out")</f>
        <v>10475288</v>
      </c>
      <c r="K283" s="29">
        <f>SUMIFS(Cash_Flow_3[Amount],Cash_Flow_3[Bulan],H283,Cash_Flow_3[Type],"Out",Cash_Flow_3[Category],"Fix")</f>
        <v>2908413</v>
      </c>
      <c r="L283" s="29">
        <f>SUMIFS(Cash_Flow_3[Amount],Cash_Flow_3[Bulan],H283,Cash_Flow_3[Type],"Out",Cash_Flow_3[Category],"Bathroom")</f>
        <v>48473</v>
      </c>
      <c r="M283" s="29">
        <f>SUMIFS(Cash_Flow_3[Amount],Cash_Flow_3[Bulan],H283,Cash_Flow_3[Type],"Out",Cash_Flow_3[Category],"Alfa")</f>
        <v>775042</v>
      </c>
      <c r="N283" s="29">
        <f>SUMIFS(Cash_Flow_3[Amount],Cash_Flow_3[Bulan],H283,Cash_Flow_3[Type],"Out",Cash_Flow_3[Category],"Jajan")</f>
        <v>795099</v>
      </c>
      <c r="O283" s="29">
        <f>SUMIFS(Cash_Flow_3[Amount],Cash_Flow_3[Bulan],H283,Cash_Flow_3[Type],"Out",Cash_Flow_3[Category],"Kitchen")</f>
        <v>1003600</v>
      </c>
      <c r="P283" s="29">
        <f>SUMIFS(Cash_Flow_3[Amount],Cash_Flow_3[Bulan],H283,Cash_Flow_3[Type],"Out",Cash_Flow_3[Category],"Loandry")</f>
        <v>41000</v>
      </c>
      <c r="Q283" s="29">
        <f>SUMIFS(Cash_Flow_3[Amount],Cash_Flow_3[Bulan],H283,Cash_Flow_3[Type],"Out",Cash_Flow_3[Category],"Mio")</f>
        <v>364500</v>
      </c>
      <c r="R283" s="29">
        <f>SUMIFS(Cash_Flow_3[Amount],Cash_Flow_3[Bulan],H283,Cash_Flow_3[Type],"Out",Cash_Flow_3[Category],"Sedekah")</f>
        <v>130000</v>
      </c>
      <c r="S283" s="29">
        <f>SUMIFS(Cash_Flow_3[Amount],Cash_Flow_3[Bulan],H283,Cash_Flow_3[Type],"Out",Cash_Flow_3[Category],"Zela")</f>
        <v>215161</v>
      </c>
      <c r="T283" s="29">
        <f>SUMIFS(Cash_Flow_3[Amount],Cash_Flow_3[Bulan],H283,Cash_Flow_3[Type],"Out",Cash_Flow_3[Category],"Iqbal")</f>
        <v>160000</v>
      </c>
    </row>
    <row r="284" spans="1:20" ht="22.5" customHeight="1" x14ac:dyDescent="0.2">
      <c r="A284" s="23">
        <v>46090</v>
      </c>
      <c r="B284" s="24" t="s">
        <v>955</v>
      </c>
      <c r="C284" s="25" t="s">
        <v>46</v>
      </c>
      <c r="D284" s="25" t="s">
        <v>44</v>
      </c>
      <c r="E284" s="25" t="s">
        <v>2</v>
      </c>
      <c r="F284" s="26">
        <v>6600</v>
      </c>
      <c r="G284" s="27"/>
      <c r="H284" s="28">
        <f t="shared" si="0"/>
        <v>46082</v>
      </c>
      <c r="I284" s="29">
        <f>SUMIFS(Cash_Flow_3[Amount],Cash_Flow_3[Bulan],H284,Cash_Flow_3[Type],"In")</f>
        <v>13015393</v>
      </c>
      <c r="J284" s="29">
        <f>SUMIFS(Cash_Flow_3[Amount],Cash_Flow_3[Bulan],H284,Cash_Flow_3[Type],"Out")</f>
        <v>10475288</v>
      </c>
      <c r="K284" s="29">
        <f>SUMIFS(Cash_Flow_3[Amount],Cash_Flow_3[Bulan],H284,Cash_Flow_3[Type],"Out",Cash_Flow_3[Category],"Fix")</f>
        <v>2908413</v>
      </c>
      <c r="L284" s="29">
        <f>SUMIFS(Cash_Flow_3[Amount],Cash_Flow_3[Bulan],H284,Cash_Flow_3[Type],"Out",Cash_Flow_3[Category],"Bathroom")</f>
        <v>48473</v>
      </c>
      <c r="M284" s="29">
        <f>SUMIFS(Cash_Flow_3[Amount],Cash_Flow_3[Bulan],H284,Cash_Flow_3[Type],"Out",Cash_Flow_3[Category],"Alfa")</f>
        <v>775042</v>
      </c>
      <c r="N284" s="29">
        <f>SUMIFS(Cash_Flow_3[Amount],Cash_Flow_3[Bulan],H284,Cash_Flow_3[Type],"Out",Cash_Flow_3[Category],"Jajan")</f>
        <v>795099</v>
      </c>
      <c r="O284" s="29">
        <f>SUMIFS(Cash_Flow_3[Amount],Cash_Flow_3[Bulan],H284,Cash_Flow_3[Type],"Out",Cash_Flow_3[Category],"Kitchen")</f>
        <v>1003600</v>
      </c>
      <c r="P284" s="29">
        <f>SUMIFS(Cash_Flow_3[Amount],Cash_Flow_3[Bulan],H284,Cash_Flow_3[Type],"Out",Cash_Flow_3[Category],"Loandry")</f>
        <v>41000</v>
      </c>
      <c r="Q284" s="29">
        <f>SUMIFS(Cash_Flow_3[Amount],Cash_Flow_3[Bulan],H284,Cash_Flow_3[Type],"Out",Cash_Flow_3[Category],"Mio")</f>
        <v>364500</v>
      </c>
      <c r="R284" s="29">
        <f>SUMIFS(Cash_Flow_3[Amount],Cash_Flow_3[Bulan],H284,Cash_Flow_3[Type],"Out",Cash_Flow_3[Category],"Sedekah")</f>
        <v>130000</v>
      </c>
      <c r="S284" s="29">
        <f>SUMIFS(Cash_Flow_3[Amount],Cash_Flow_3[Bulan],H284,Cash_Flow_3[Type],"Out",Cash_Flow_3[Category],"Zela")</f>
        <v>215161</v>
      </c>
      <c r="T284" s="29">
        <f>SUMIFS(Cash_Flow_3[Amount],Cash_Flow_3[Bulan],H284,Cash_Flow_3[Type],"Out",Cash_Flow_3[Category],"Iqbal")</f>
        <v>160000</v>
      </c>
    </row>
    <row r="285" spans="1:20" ht="22.5" customHeight="1" x14ac:dyDescent="0.2">
      <c r="A285" s="23">
        <v>46091</v>
      </c>
      <c r="B285" s="24" t="s">
        <v>327</v>
      </c>
      <c r="C285" s="25" t="s">
        <v>46</v>
      </c>
      <c r="D285" s="25" t="s">
        <v>44</v>
      </c>
      <c r="E285" s="25" t="s">
        <v>2</v>
      </c>
      <c r="F285" s="26">
        <v>20000</v>
      </c>
      <c r="G285" s="27"/>
      <c r="H285" s="28">
        <f t="shared" si="0"/>
        <v>46082</v>
      </c>
      <c r="I285" s="29">
        <f>SUMIFS(Cash_Flow_3[Amount],Cash_Flow_3[Bulan],H285,Cash_Flow_3[Type],"In")</f>
        <v>13015393</v>
      </c>
      <c r="J285" s="29">
        <f>SUMIFS(Cash_Flow_3[Amount],Cash_Flow_3[Bulan],H285,Cash_Flow_3[Type],"Out")</f>
        <v>10475288</v>
      </c>
      <c r="K285" s="29">
        <f>SUMIFS(Cash_Flow_3[Amount],Cash_Flow_3[Bulan],H285,Cash_Flow_3[Type],"Out",Cash_Flow_3[Category],"Fix")</f>
        <v>2908413</v>
      </c>
      <c r="L285" s="29">
        <f>SUMIFS(Cash_Flow_3[Amount],Cash_Flow_3[Bulan],H285,Cash_Flow_3[Type],"Out",Cash_Flow_3[Category],"Bathroom")</f>
        <v>48473</v>
      </c>
      <c r="M285" s="29">
        <f>SUMIFS(Cash_Flow_3[Amount],Cash_Flow_3[Bulan],H285,Cash_Flow_3[Type],"Out",Cash_Flow_3[Category],"Alfa")</f>
        <v>775042</v>
      </c>
      <c r="N285" s="29">
        <f>SUMIFS(Cash_Flow_3[Amount],Cash_Flow_3[Bulan],H285,Cash_Flow_3[Type],"Out",Cash_Flow_3[Category],"Jajan")</f>
        <v>795099</v>
      </c>
      <c r="O285" s="29">
        <f>SUMIFS(Cash_Flow_3[Amount],Cash_Flow_3[Bulan],H285,Cash_Flow_3[Type],"Out",Cash_Flow_3[Category],"Kitchen")</f>
        <v>1003600</v>
      </c>
      <c r="P285" s="29">
        <f>SUMIFS(Cash_Flow_3[Amount],Cash_Flow_3[Bulan],H285,Cash_Flow_3[Type],"Out",Cash_Flow_3[Category],"Loandry")</f>
        <v>41000</v>
      </c>
      <c r="Q285" s="29">
        <f>SUMIFS(Cash_Flow_3[Amount],Cash_Flow_3[Bulan],H285,Cash_Flow_3[Type],"Out",Cash_Flow_3[Category],"Mio")</f>
        <v>364500</v>
      </c>
      <c r="R285" s="29">
        <f>SUMIFS(Cash_Flow_3[Amount],Cash_Flow_3[Bulan],H285,Cash_Flow_3[Type],"Out",Cash_Flow_3[Category],"Sedekah")</f>
        <v>130000</v>
      </c>
      <c r="S285" s="29">
        <f>SUMIFS(Cash_Flow_3[Amount],Cash_Flow_3[Bulan],H285,Cash_Flow_3[Type],"Out",Cash_Flow_3[Category],"Zela")</f>
        <v>215161</v>
      </c>
      <c r="T285" s="29">
        <f>SUMIFS(Cash_Flow_3[Amount],Cash_Flow_3[Bulan],H285,Cash_Flow_3[Type],"Out",Cash_Flow_3[Category],"Iqbal")</f>
        <v>160000</v>
      </c>
    </row>
    <row r="286" spans="1:20" ht="22.5" customHeight="1" x14ac:dyDescent="0.2">
      <c r="A286" s="23">
        <v>46092</v>
      </c>
      <c r="B286" s="24" t="s">
        <v>328</v>
      </c>
      <c r="C286" s="25" t="s">
        <v>46</v>
      </c>
      <c r="D286" s="25" t="s">
        <v>44</v>
      </c>
      <c r="E286" s="25" t="s">
        <v>6</v>
      </c>
      <c r="F286" s="26">
        <v>20000</v>
      </c>
      <c r="G286" s="27"/>
      <c r="H286" s="28">
        <f t="shared" si="0"/>
        <v>46082</v>
      </c>
      <c r="I286" s="29">
        <f>SUMIFS(Cash_Flow_3[Amount],Cash_Flow_3[Bulan],H286,Cash_Flow_3[Type],"In")</f>
        <v>13015393</v>
      </c>
      <c r="J286" s="29">
        <f>SUMIFS(Cash_Flow_3[Amount],Cash_Flow_3[Bulan],H286,Cash_Flow_3[Type],"Out")</f>
        <v>10475288</v>
      </c>
      <c r="K286" s="29">
        <f>SUMIFS(Cash_Flow_3[Amount],Cash_Flow_3[Bulan],H286,Cash_Flow_3[Type],"Out",Cash_Flow_3[Category],"Fix")</f>
        <v>2908413</v>
      </c>
      <c r="L286" s="29">
        <f>SUMIFS(Cash_Flow_3[Amount],Cash_Flow_3[Bulan],H286,Cash_Flow_3[Type],"Out",Cash_Flow_3[Category],"Bathroom")</f>
        <v>48473</v>
      </c>
      <c r="M286" s="29">
        <f>SUMIFS(Cash_Flow_3[Amount],Cash_Flow_3[Bulan],H286,Cash_Flow_3[Type],"Out",Cash_Flow_3[Category],"Alfa")</f>
        <v>775042</v>
      </c>
      <c r="N286" s="29">
        <f>SUMIFS(Cash_Flow_3[Amount],Cash_Flow_3[Bulan],H286,Cash_Flow_3[Type],"Out",Cash_Flow_3[Category],"Jajan")</f>
        <v>795099</v>
      </c>
      <c r="O286" s="29">
        <f>SUMIFS(Cash_Flow_3[Amount],Cash_Flow_3[Bulan],H286,Cash_Flow_3[Type],"Out",Cash_Flow_3[Category],"Kitchen")</f>
        <v>1003600</v>
      </c>
      <c r="P286" s="29">
        <f>SUMIFS(Cash_Flow_3[Amount],Cash_Flow_3[Bulan],H286,Cash_Flow_3[Type],"Out",Cash_Flow_3[Category],"Loandry")</f>
        <v>41000</v>
      </c>
      <c r="Q286" s="29">
        <f>SUMIFS(Cash_Flow_3[Amount],Cash_Flow_3[Bulan],H286,Cash_Flow_3[Type],"Out",Cash_Flow_3[Category],"Mio")</f>
        <v>364500</v>
      </c>
      <c r="R286" s="29">
        <f>SUMIFS(Cash_Flow_3[Amount],Cash_Flow_3[Bulan],H286,Cash_Flow_3[Type],"Out",Cash_Flow_3[Category],"Sedekah")</f>
        <v>130000</v>
      </c>
      <c r="S286" s="29">
        <f>SUMIFS(Cash_Flow_3[Amount],Cash_Flow_3[Bulan],H286,Cash_Flow_3[Type],"Out",Cash_Flow_3[Category],"Zela")</f>
        <v>215161</v>
      </c>
      <c r="T286" s="29">
        <f>SUMIFS(Cash_Flow_3[Amount],Cash_Flow_3[Bulan],H286,Cash_Flow_3[Type],"Out",Cash_Flow_3[Category],"Iqbal")</f>
        <v>160000</v>
      </c>
    </row>
    <row r="287" spans="1:20" ht="22.5" customHeight="1" x14ac:dyDescent="0.2">
      <c r="A287" s="23">
        <v>46092</v>
      </c>
      <c r="B287" s="24" t="s">
        <v>956</v>
      </c>
      <c r="C287" s="25" t="s">
        <v>43</v>
      </c>
      <c r="D287" s="25" t="s">
        <v>44</v>
      </c>
      <c r="E287" s="25" t="s">
        <v>0</v>
      </c>
      <c r="F287" s="26">
        <v>10000</v>
      </c>
      <c r="G287" s="27"/>
      <c r="H287" s="28">
        <f t="shared" si="0"/>
        <v>46082</v>
      </c>
      <c r="I287" s="29">
        <f>SUMIFS(Cash_Flow_3[Amount],Cash_Flow_3[Bulan],H287,Cash_Flow_3[Type],"In")</f>
        <v>13015393</v>
      </c>
      <c r="J287" s="29">
        <f>SUMIFS(Cash_Flow_3[Amount],Cash_Flow_3[Bulan],H287,Cash_Flow_3[Type],"Out")</f>
        <v>10475288</v>
      </c>
      <c r="K287" s="29">
        <f>SUMIFS(Cash_Flow_3[Amount],Cash_Flow_3[Bulan],H287,Cash_Flow_3[Type],"Out",Cash_Flow_3[Category],"Fix")</f>
        <v>2908413</v>
      </c>
      <c r="L287" s="29">
        <f>SUMIFS(Cash_Flow_3[Amount],Cash_Flow_3[Bulan],H287,Cash_Flow_3[Type],"Out",Cash_Flow_3[Category],"Bathroom")</f>
        <v>48473</v>
      </c>
      <c r="M287" s="29">
        <f>SUMIFS(Cash_Flow_3[Amount],Cash_Flow_3[Bulan],H287,Cash_Flow_3[Type],"Out",Cash_Flow_3[Category],"Alfa")</f>
        <v>775042</v>
      </c>
      <c r="N287" s="29">
        <f>SUMIFS(Cash_Flow_3[Amount],Cash_Flow_3[Bulan],H287,Cash_Flow_3[Type],"Out",Cash_Flow_3[Category],"Jajan")</f>
        <v>795099</v>
      </c>
      <c r="O287" s="29">
        <f>SUMIFS(Cash_Flow_3[Amount],Cash_Flow_3[Bulan],H287,Cash_Flow_3[Type],"Out",Cash_Flow_3[Category],"Kitchen")</f>
        <v>1003600</v>
      </c>
      <c r="P287" s="29">
        <f>SUMIFS(Cash_Flow_3[Amount],Cash_Flow_3[Bulan],H287,Cash_Flow_3[Type],"Out",Cash_Flow_3[Category],"Loandry")</f>
        <v>41000</v>
      </c>
      <c r="Q287" s="29">
        <f>SUMIFS(Cash_Flow_3[Amount],Cash_Flow_3[Bulan],H287,Cash_Flow_3[Type],"Out",Cash_Flow_3[Category],"Mio")</f>
        <v>364500</v>
      </c>
      <c r="R287" s="29">
        <f>SUMIFS(Cash_Flow_3[Amount],Cash_Flow_3[Bulan],H287,Cash_Flow_3[Type],"Out",Cash_Flow_3[Category],"Sedekah")</f>
        <v>130000</v>
      </c>
      <c r="S287" s="29">
        <f>SUMIFS(Cash_Flow_3[Amount],Cash_Flow_3[Bulan],H287,Cash_Flow_3[Type],"Out",Cash_Flow_3[Category],"Zela")</f>
        <v>215161</v>
      </c>
      <c r="T287" s="29">
        <f>SUMIFS(Cash_Flow_3[Amount],Cash_Flow_3[Bulan],H287,Cash_Flow_3[Type],"Out",Cash_Flow_3[Category],"Iqbal")</f>
        <v>160000</v>
      </c>
    </row>
    <row r="288" spans="1:20" ht="22.5" customHeight="1" x14ac:dyDescent="0.2">
      <c r="A288" s="23">
        <v>46092</v>
      </c>
      <c r="B288" s="24" t="s">
        <v>480</v>
      </c>
      <c r="C288" s="25" t="s">
        <v>46</v>
      </c>
      <c r="D288" s="25" t="s">
        <v>44</v>
      </c>
      <c r="E288" s="25" t="s">
        <v>3</v>
      </c>
      <c r="F288" s="26">
        <v>4000</v>
      </c>
      <c r="G288" s="27"/>
      <c r="H288" s="28">
        <f t="shared" si="0"/>
        <v>46082</v>
      </c>
      <c r="I288" s="29">
        <f>SUMIFS(Cash_Flow_3[Amount],Cash_Flow_3[Bulan],H288,Cash_Flow_3[Type],"In")</f>
        <v>13015393</v>
      </c>
      <c r="J288" s="29">
        <f>SUMIFS(Cash_Flow_3[Amount],Cash_Flow_3[Bulan],H288,Cash_Flow_3[Type],"Out")</f>
        <v>10475288</v>
      </c>
      <c r="K288" s="29">
        <f>SUMIFS(Cash_Flow_3[Amount],Cash_Flow_3[Bulan],H288,Cash_Flow_3[Type],"Out",Cash_Flow_3[Category],"Fix")</f>
        <v>2908413</v>
      </c>
      <c r="L288" s="29">
        <f>SUMIFS(Cash_Flow_3[Amount],Cash_Flow_3[Bulan],H288,Cash_Flow_3[Type],"Out",Cash_Flow_3[Category],"Bathroom")</f>
        <v>48473</v>
      </c>
      <c r="M288" s="29">
        <f>SUMIFS(Cash_Flow_3[Amount],Cash_Flow_3[Bulan],H288,Cash_Flow_3[Type],"Out",Cash_Flow_3[Category],"Alfa")</f>
        <v>775042</v>
      </c>
      <c r="N288" s="29">
        <f>SUMIFS(Cash_Flow_3[Amount],Cash_Flow_3[Bulan],H288,Cash_Flow_3[Type],"Out",Cash_Flow_3[Category],"Jajan")</f>
        <v>795099</v>
      </c>
      <c r="O288" s="29">
        <f>SUMIFS(Cash_Flow_3[Amount],Cash_Flow_3[Bulan],H288,Cash_Flow_3[Type],"Out",Cash_Flow_3[Category],"Kitchen")</f>
        <v>1003600</v>
      </c>
      <c r="P288" s="29">
        <f>SUMIFS(Cash_Flow_3[Amount],Cash_Flow_3[Bulan],H288,Cash_Flow_3[Type],"Out",Cash_Flow_3[Category],"Loandry")</f>
        <v>41000</v>
      </c>
      <c r="Q288" s="29">
        <f>SUMIFS(Cash_Flow_3[Amount],Cash_Flow_3[Bulan],H288,Cash_Flow_3[Type],"Out",Cash_Flow_3[Category],"Mio")</f>
        <v>364500</v>
      </c>
      <c r="R288" s="29">
        <f>SUMIFS(Cash_Flow_3[Amount],Cash_Flow_3[Bulan],H288,Cash_Flow_3[Type],"Out",Cash_Flow_3[Category],"Sedekah")</f>
        <v>130000</v>
      </c>
      <c r="S288" s="29">
        <f>SUMIFS(Cash_Flow_3[Amount],Cash_Flow_3[Bulan],H288,Cash_Flow_3[Type],"Out",Cash_Flow_3[Category],"Zela")</f>
        <v>215161</v>
      </c>
      <c r="T288" s="29">
        <f>SUMIFS(Cash_Flow_3[Amount],Cash_Flow_3[Bulan],H288,Cash_Flow_3[Type],"Out",Cash_Flow_3[Category],"Iqbal")</f>
        <v>160000</v>
      </c>
    </row>
    <row r="289" spans="1:20" ht="22.5" customHeight="1" x14ac:dyDescent="0.2">
      <c r="A289" s="23">
        <v>46092</v>
      </c>
      <c r="B289" s="24" t="s">
        <v>482</v>
      </c>
      <c r="C289" s="25" t="s">
        <v>43</v>
      </c>
      <c r="D289" s="25" t="s">
        <v>44</v>
      </c>
      <c r="E289" s="25" t="s">
        <v>9</v>
      </c>
      <c r="F289" s="26">
        <v>100000</v>
      </c>
      <c r="G289" s="27"/>
      <c r="H289" s="28">
        <f t="shared" si="0"/>
        <v>46082</v>
      </c>
      <c r="I289" s="29">
        <f>SUMIFS(Cash_Flow_3[Amount],Cash_Flow_3[Bulan],H289,Cash_Flow_3[Type],"In")</f>
        <v>13015393</v>
      </c>
      <c r="J289" s="29">
        <f>SUMIFS(Cash_Flow_3[Amount],Cash_Flow_3[Bulan],H289,Cash_Flow_3[Type],"Out")</f>
        <v>10475288</v>
      </c>
      <c r="K289" s="29">
        <f>SUMIFS(Cash_Flow_3[Amount],Cash_Flow_3[Bulan],H289,Cash_Flow_3[Type],"Out",Cash_Flow_3[Category],"Fix")</f>
        <v>2908413</v>
      </c>
      <c r="L289" s="29">
        <f>SUMIFS(Cash_Flow_3[Amount],Cash_Flow_3[Bulan],H289,Cash_Flow_3[Type],"Out",Cash_Flow_3[Category],"Bathroom")</f>
        <v>48473</v>
      </c>
      <c r="M289" s="29">
        <f>SUMIFS(Cash_Flow_3[Amount],Cash_Flow_3[Bulan],H289,Cash_Flow_3[Type],"Out",Cash_Flow_3[Category],"Alfa")</f>
        <v>775042</v>
      </c>
      <c r="N289" s="29">
        <f>SUMIFS(Cash_Flow_3[Amount],Cash_Flow_3[Bulan],H289,Cash_Flow_3[Type],"Out",Cash_Flow_3[Category],"Jajan")</f>
        <v>795099</v>
      </c>
      <c r="O289" s="29">
        <f>SUMIFS(Cash_Flow_3[Amount],Cash_Flow_3[Bulan],H289,Cash_Flow_3[Type],"Out",Cash_Flow_3[Category],"Kitchen")</f>
        <v>1003600</v>
      </c>
      <c r="P289" s="29">
        <f>SUMIFS(Cash_Flow_3[Amount],Cash_Flow_3[Bulan],H289,Cash_Flow_3[Type],"Out",Cash_Flow_3[Category],"Loandry")</f>
        <v>41000</v>
      </c>
      <c r="Q289" s="29">
        <f>SUMIFS(Cash_Flow_3[Amount],Cash_Flow_3[Bulan],H289,Cash_Flow_3[Type],"Out",Cash_Flow_3[Category],"Mio")</f>
        <v>364500</v>
      </c>
      <c r="R289" s="29">
        <f>SUMIFS(Cash_Flow_3[Amount],Cash_Flow_3[Bulan],H289,Cash_Flow_3[Type],"Out",Cash_Flow_3[Category],"Sedekah")</f>
        <v>130000</v>
      </c>
      <c r="S289" s="29">
        <f>SUMIFS(Cash_Flow_3[Amount],Cash_Flow_3[Bulan],H289,Cash_Flow_3[Type],"Out",Cash_Flow_3[Category],"Zela")</f>
        <v>215161</v>
      </c>
      <c r="T289" s="29">
        <f>SUMIFS(Cash_Flow_3[Amount],Cash_Flow_3[Bulan],H289,Cash_Flow_3[Type],"Out",Cash_Flow_3[Category],"Iqbal")</f>
        <v>160000</v>
      </c>
    </row>
    <row r="290" spans="1:20" ht="22.5" customHeight="1" x14ac:dyDescent="0.2">
      <c r="A290" s="23">
        <v>46092</v>
      </c>
      <c r="B290" s="24" t="s">
        <v>484</v>
      </c>
      <c r="C290" s="25" t="s">
        <v>46</v>
      </c>
      <c r="D290" s="25" t="s">
        <v>39</v>
      </c>
      <c r="E290" s="25" t="s">
        <v>9</v>
      </c>
      <c r="F290" s="26">
        <v>100000</v>
      </c>
      <c r="G290" s="27"/>
      <c r="H290" s="28">
        <f t="shared" si="0"/>
        <v>46082</v>
      </c>
      <c r="I290" s="29">
        <f>SUMIFS(Cash_Flow_3[Amount],Cash_Flow_3[Bulan],H290,Cash_Flow_3[Type],"In")</f>
        <v>13015393</v>
      </c>
      <c r="J290" s="29">
        <f>SUMIFS(Cash_Flow_3[Amount],Cash_Flow_3[Bulan],H290,Cash_Flow_3[Type],"Out")</f>
        <v>10475288</v>
      </c>
      <c r="K290" s="29">
        <f>SUMIFS(Cash_Flow_3[Amount],Cash_Flow_3[Bulan],H290,Cash_Flow_3[Type],"Out",Cash_Flow_3[Category],"Fix")</f>
        <v>2908413</v>
      </c>
      <c r="L290" s="29">
        <f>SUMIFS(Cash_Flow_3[Amount],Cash_Flow_3[Bulan],H290,Cash_Flow_3[Type],"Out",Cash_Flow_3[Category],"Bathroom")</f>
        <v>48473</v>
      </c>
      <c r="M290" s="29">
        <f>SUMIFS(Cash_Flow_3[Amount],Cash_Flow_3[Bulan],H290,Cash_Flow_3[Type],"Out",Cash_Flow_3[Category],"Alfa")</f>
        <v>775042</v>
      </c>
      <c r="N290" s="29">
        <f>SUMIFS(Cash_Flow_3[Amount],Cash_Flow_3[Bulan],H290,Cash_Flow_3[Type],"Out",Cash_Flow_3[Category],"Jajan")</f>
        <v>795099</v>
      </c>
      <c r="O290" s="29">
        <f>SUMIFS(Cash_Flow_3[Amount],Cash_Flow_3[Bulan],H290,Cash_Flow_3[Type],"Out",Cash_Flow_3[Category],"Kitchen")</f>
        <v>1003600</v>
      </c>
      <c r="P290" s="29">
        <f>SUMIFS(Cash_Flow_3[Amount],Cash_Flow_3[Bulan],H290,Cash_Flow_3[Type],"Out",Cash_Flow_3[Category],"Loandry")</f>
        <v>41000</v>
      </c>
      <c r="Q290" s="29">
        <f>SUMIFS(Cash_Flow_3[Amount],Cash_Flow_3[Bulan],H290,Cash_Flow_3[Type],"Out",Cash_Flow_3[Category],"Mio")</f>
        <v>364500</v>
      </c>
      <c r="R290" s="29">
        <f>SUMIFS(Cash_Flow_3[Amount],Cash_Flow_3[Bulan],H290,Cash_Flow_3[Type],"Out",Cash_Flow_3[Category],"Sedekah")</f>
        <v>130000</v>
      </c>
      <c r="S290" s="29">
        <f>SUMIFS(Cash_Flow_3[Amount],Cash_Flow_3[Bulan],H290,Cash_Flow_3[Type],"Out",Cash_Flow_3[Category],"Zela")</f>
        <v>215161</v>
      </c>
      <c r="T290" s="29">
        <f>SUMIFS(Cash_Flow_3[Amount],Cash_Flow_3[Bulan],H290,Cash_Flow_3[Type],"Out",Cash_Flow_3[Category],"Iqbal")</f>
        <v>160000</v>
      </c>
    </row>
    <row r="291" spans="1:20" ht="22.5" customHeight="1" x14ac:dyDescent="0.2">
      <c r="A291" s="23">
        <v>46092</v>
      </c>
      <c r="B291" s="24" t="s">
        <v>957</v>
      </c>
      <c r="C291" s="25" t="s">
        <v>46</v>
      </c>
      <c r="D291" s="25" t="s">
        <v>44</v>
      </c>
      <c r="E291" s="25" t="s">
        <v>2</v>
      </c>
      <c r="F291" s="26">
        <v>20000</v>
      </c>
      <c r="G291" s="27"/>
      <c r="H291" s="28">
        <f t="shared" si="0"/>
        <v>46082</v>
      </c>
      <c r="I291" s="29">
        <f>SUMIFS(Cash_Flow_3[Amount],Cash_Flow_3[Bulan],H291,Cash_Flow_3[Type],"In")</f>
        <v>13015393</v>
      </c>
      <c r="J291" s="29">
        <f>SUMIFS(Cash_Flow_3[Amount],Cash_Flow_3[Bulan],H291,Cash_Flow_3[Type],"Out")</f>
        <v>10475288</v>
      </c>
      <c r="K291" s="29">
        <f>SUMIFS(Cash_Flow_3[Amount],Cash_Flow_3[Bulan],H291,Cash_Flow_3[Type],"Out",Cash_Flow_3[Category],"Fix")</f>
        <v>2908413</v>
      </c>
      <c r="L291" s="29">
        <f>SUMIFS(Cash_Flow_3[Amount],Cash_Flow_3[Bulan],H291,Cash_Flow_3[Type],"Out",Cash_Flow_3[Category],"Bathroom")</f>
        <v>48473</v>
      </c>
      <c r="M291" s="29">
        <f>SUMIFS(Cash_Flow_3[Amount],Cash_Flow_3[Bulan],H291,Cash_Flow_3[Type],"Out",Cash_Flow_3[Category],"Alfa")</f>
        <v>775042</v>
      </c>
      <c r="N291" s="29">
        <f>SUMIFS(Cash_Flow_3[Amount],Cash_Flow_3[Bulan],H291,Cash_Flow_3[Type],"Out",Cash_Flow_3[Category],"Jajan")</f>
        <v>795099</v>
      </c>
      <c r="O291" s="29">
        <f>SUMIFS(Cash_Flow_3[Amount],Cash_Flow_3[Bulan],H291,Cash_Flow_3[Type],"Out",Cash_Flow_3[Category],"Kitchen")</f>
        <v>1003600</v>
      </c>
      <c r="P291" s="29">
        <f>SUMIFS(Cash_Flow_3[Amount],Cash_Flow_3[Bulan],H291,Cash_Flow_3[Type],"Out",Cash_Flow_3[Category],"Loandry")</f>
        <v>41000</v>
      </c>
      <c r="Q291" s="29">
        <f>SUMIFS(Cash_Flow_3[Amount],Cash_Flow_3[Bulan],H291,Cash_Flow_3[Type],"Out",Cash_Flow_3[Category],"Mio")</f>
        <v>364500</v>
      </c>
      <c r="R291" s="29">
        <f>SUMIFS(Cash_Flow_3[Amount],Cash_Flow_3[Bulan],H291,Cash_Flow_3[Type],"Out",Cash_Flow_3[Category],"Sedekah")</f>
        <v>130000</v>
      </c>
      <c r="S291" s="29">
        <f>SUMIFS(Cash_Flow_3[Amount],Cash_Flow_3[Bulan],H291,Cash_Flow_3[Type],"Out",Cash_Flow_3[Category],"Zela")</f>
        <v>215161</v>
      </c>
      <c r="T291" s="29">
        <f>SUMIFS(Cash_Flow_3[Amount],Cash_Flow_3[Bulan],H291,Cash_Flow_3[Type],"Out",Cash_Flow_3[Category],"Iqbal")</f>
        <v>160000</v>
      </c>
    </row>
    <row r="292" spans="1:20" ht="22.5" customHeight="1" x14ac:dyDescent="0.2">
      <c r="A292" s="23">
        <v>46092</v>
      </c>
      <c r="B292" s="24" t="s">
        <v>333</v>
      </c>
      <c r="C292" s="25" t="s">
        <v>43</v>
      </c>
      <c r="D292" s="25" t="s">
        <v>44</v>
      </c>
      <c r="E292" s="25" t="s">
        <v>7</v>
      </c>
      <c r="F292" s="26">
        <v>19999</v>
      </c>
      <c r="G292" s="27"/>
      <c r="H292" s="28">
        <f t="shared" si="0"/>
        <v>46082</v>
      </c>
      <c r="I292" s="29">
        <f>SUMIFS(Cash_Flow_3[Amount],Cash_Flow_3[Bulan],H292,Cash_Flow_3[Type],"In")</f>
        <v>13015393</v>
      </c>
      <c r="J292" s="29">
        <f>SUMIFS(Cash_Flow_3[Amount],Cash_Flow_3[Bulan],H292,Cash_Flow_3[Type],"Out")</f>
        <v>10475288</v>
      </c>
      <c r="K292" s="29">
        <f>SUMIFS(Cash_Flow_3[Amount],Cash_Flow_3[Bulan],H292,Cash_Flow_3[Type],"Out",Cash_Flow_3[Category],"Fix")</f>
        <v>2908413</v>
      </c>
      <c r="L292" s="29">
        <f>SUMIFS(Cash_Flow_3[Amount],Cash_Flow_3[Bulan],H292,Cash_Flow_3[Type],"Out",Cash_Flow_3[Category],"Bathroom")</f>
        <v>48473</v>
      </c>
      <c r="M292" s="29">
        <f>SUMIFS(Cash_Flow_3[Amount],Cash_Flow_3[Bulan],H292,Cash_Flow_3[Type],"Out",Cash_Flow_3[Category],"Alfa")</f>
        <v>775042</v>
      </c>
      <c r="N292" s="29">
        <f>SUMIFS(Cash_Flow_3[Amount],Cash_Flow_3[Bulan],H292,Cash_Flow_3[Type],"Out",Cash_Flow_3[Category],"Jajan")</f>
        <v>795099</v>
      </c>
      <c r="O292" s="29">
        <f>SUMIFS(Cash_Flow_3[Amount],Cash_Flow_3[Bulan],H292,Cash_Flow_3[Type],"Out",Cash_Flow_3[Category],"Kitchen")</f>
        <v>1003600</v>
      </c>
      <c r="P292" s="29">
        <f>SUMIFS(Cash_Flow_3[Amount],Cash_Flow_3[Bulan],H292,Cash_Flow_3[Type],"Out",Cash_Flow_3[Category],"Loandry")</f>
        <v>41000</v>
      </c>
      <c r="Q292" s="29">
        <f>SUMIFS(Cash_Flow_3[Amount],Cash_Flow_3[Bulan],H292,Cash_Flow_3[Type],"Out",Cash_Flow_3[Category],"Mio")</f>
        <v>364500</v>
      </c>
      <c r="R292" s="29">
        <f>SUMIFS(Cash_Flow_3[Amount],Cash_Flow_3[Bulan],H292,Cash_Flow_3[Type],"Out",Cash_Flow_3[Category],"Sedekah")</f>
        <v>130000</v>
      </c>
      <c r="S292" s="29">
        <f>SUMIFS(Cash_Flow_3[Amount],Cash_Flow_3[Bulan],H292,Cash_Flow_3[Type],"Out",Cash_Flow_3[Category],"Zela")</f>
        <v>215161</v>
      </c>
      <c r="T292" s="29">
        <f>SUMIFS(Cash_Flow_3[Amount],Cash_Flow_3[Bulan],H292,Cash_Flow_3[Type],"Out",Cash_Flow_3[Category],"Iqbal")</f>
        <v>160000</v>
      </c>
    </row>
    <row r="293" spans="1:20" ht="22.5" customHeight="1" x14ac:dyDescent="0.2">
      <c r="A293" s="23">
        <v>46093</v>
      </c>
      <c r="B293" s="24" t="s">
        <v>335</v>
      </c>
      <c r="C293" s="25" t="s">
        <v>43</v>
      </c>
      <c r="D293" s="25" t="s">
        <v>44</v>
      </c>
      <c r="E293" s="25" t="s">
        <v>4</v>
      </c>
      <c r="F293" s="26">
        <v>13473</v>
      </c>
      <c r="G293" s="27"/>
      <c r="H293" s="28">
        <f t="shared" si="0"/>
        <v>46082</v>
      </c>
      <c r="I293" s="29">
        <f>SUMIFS(Cash_Flow_3[Amount],Cash_Flow_3[Bulan],H293,Cash_Flow_3[Type],"In")</f>
        <v>13015393</v>
      </c>
      <c r="J293" s="29">
        <f>SUMIFS(Cash_Flow_3[Amount],Cash_Flow_3[Bulan],H293,Cash_Flow_3[Type],"Out")</f>
        <v>10475288</v>
      </c>
      <c r="K293" s="29">
        <f>SUMIFS(Cash_Flow_3[Amount],Cash_Flow_3[Bulan],H293,Cash_Flow_3[Type],"Out",Cash_Flow_3[Category],"Fix")</f>
        <v>2908413</v>
      </c>
      <c r="L293" s="29">
        <f>SUMIFS(Cash_Flow_3[Amount],Cash_Flow_3[Bulan],H293,Cash_Flow_3[Type],"Out",Cash_Flow_3[Category],"Bathroom")</f>
        <v>48473</v>
      </c>
      <c r="M293" s="29">
        <f>SUMIFS(Cash_Flow_3[Amount],Cash_Flow_3[Bulan],H293,Cash_Flow_3[Type],"Out",Cash_Flow_3[Category],"Alfa")</f>
        <v>775042</v>
      </c>
      <c r="N293" s="29">
        <f>SUMIFS(Cash_Flow_3[Amount],Cash_Flow_3[Bulan],H293,Cash_Flow_3[Type],"Out",Cash_Flow_3[Category],"Jajan")</f>
        <v>795099</v>
      </c>
      <c r="O293" s="29">
        <f>SUMIFS(Cash_Flow_3[Amount],Cash_Flow_3[Bulan],H293,Cash_Flow_3[Type],"Out",Cash_Flow_3[Category],"Kitchen")</f>
        <v>1003600</v>
      </c>
      <c r="P293" s="29">
        <f>SUMIFS(Cash_Flow_3[Amount],Cash_Flow_3[Bulan],H293,Cash_Flow_3[Type],"Out",Cash_Flow_3[Category],"Loandry")</f>
        <v>41000</v>
      </c>
      <c r="Q293" s="29">
        <f>SUMIFS(Cash_Flow_3[Amount],Cash_Flow_3[Bulan],H293,Cash_Flow_3[Type],"Out",Cash_Flow_3[Category],"Mio")</f>
        <v>364500</v>
      </c>
      <c r="R293" s="29">
        <f>SUMIFS(Cash_Flow_3[Amount],Cash_Flow_3[Bulan],H293,Cash_Flow_3[Type],"Out",Cash_Flow_3[Category],"Sedekah")</f>
        <v>130000</v>
      </c>
      <c r="S293" s="29">
        <f>SUMIFS(Cash_Flow_3[Amount],Cash_Flow_3[Bulan],H293,Cash_Flow_3[Type],"Out",Cash_Flow_3[Category],"Zela")</f>
        <v>215161</v>
      </c>
      <c r="T293" s="29">
        <f>SUMIFS(Cash_Flow_3[Amount],Cash_Flow_3[Bulan],H293,Cash_Flow_3[Type],"Out",Cash_Flow_3[Category],"Iqbal")</f>
        <v>160000</v>
      </c>
    </row>
    <row r="294" spans="1:20" ht="22.5" customHeight="1" x14ac:dyDescent="0.2">
      <c r="A294" s="23">
        <v>46093</v>
      </c>
      <c r="B294" s="24" t="s">
        <v>337</v>
      </c>
      <c r="C294" s="25" t="s">
        <v>46</v>
      </c>
      <c r="D294" s="25" t="s">
        <v>44</v>
      </c>
      <c r="E294" s="25" t="s">
        <v>2</v>
      </c>
      <c r="F294" s="26">
        <v>30000</v>
      </c>
      <c r="G294" s="27"/>
      <c r="H294" s="28">
        <f t="shared" si="0"/>
        <v>46082</v>
      </c>
      <c r="I294" s="29">
        <f>SUMIFS(Cash_Flow_3[Amount],Cash_Flow_3[Bulan],H294,Cash_Flow_3[Type],"In")</f>
        <v>13015393</v>
      </c>
      <c r="J294" s="29">
        <f>SUMIFS(Cash_Flow_3[Amount],Cash_Flow_3[Bulan],H294,Cash_Flow_3[Type],"Out")</f>
        <v>10475288</v>
      </c>
      <c r="K294" s="29">
        <f>SUMIFS(Cash_Flow_3[Amount],Cash_Flow_3[Bulan],H294,Cash_Flow_3[Type],"Out",Cash_Flow_3[Category],"Fix")</f>
        <v>2908413</v>
      </c>
      <c r="L294" s="29">
        <f>SUMIFS(Cash_Flow_3[Amount],Cash_Flow_3[Bulan],H294,Cash_Flow_3[Type],"Out",Cash_Flow_3[Category],"Bathroom")</f>
        <v>48473</v>
      </c>
      <c r="M294" s="29">
        <f>SUMIFS(Cash_Flow_3[Amount],Cash_Flow_3[Bulan],H294,Cash_Flow_3[Type],"Out",Cash_Flow_3[Category],"Alfa")</f>
        <v>775042</v>
      </c>
      <c r="N294" s="29">
        <f>SUMIFS(Cash_Flow_3[Amount],Cash_Flow_3[Bulan],H294,Cash_Flow_3[Type],"Out",Cash_Flow_3[Category],"Jajan")</f>
        <v>795099</v>
      </c>
      <c r="O294" s="29">
        <f>SUMIFS(Cash_Flow_3[Amount],Cash_Flow_3[Bulan],H294,Cash_Flow_3[Type],"Out",Cash_Flow_3[Category],"Kitchen")</f>
        <v>1003600</v>
      </c>
      <c r="P294" s="29">
        <f>SUMIFS(Cash_Flow_3[Amount],Cash_Flow_3[Bulan],H294,Cash_Flow_3[Type],"Out",Cash_Flow_3[Category],"Loandry")</f>
        <v>41000</v>
      </c>
      <c r="Q294" s="29">
        <f>SUMIFS(Cash_Flow_3[Amount],Cash_Flow_3[Bulan],H294,Cash_Flow_3[Type],"Out",Cash_Flow_3[Category],"Mio")</f>
        <v>364500</v>
      </c>
      <c r="R294" s="29">
        <f>SUMIFS(Cash_Flow_3[Amount],Cash_Flow_3[Bulan],H294,Cash_Flow_3[Type],"Out",Cash_Flow_3[Category],"Sedekah")</f>
        <v>130000</v>
      </c>
      <c r="S294" s="29">
        <f>SUMIFS(Cash_Flow_3[Amount],Cash_Flow_3[Bulan],H294,Cash_Flow_3[Type],"Out",Cash_Flow_3[Category],"Zela")</f>
        <v>215161</v>
      </c>
      <c r="T294" s="29">
        <f>SUMIFS(Cash_Flow_3[Amount],Cash_Flow_3[Bulan],H294,Cash_Flow_3[Type],"Out",Cash_Flow_3[Category],"Iqbal")</f>
        <v>160000</v>
      </c>
    </row>
    <row r="295" spans="1:20" ht="22.5" customHeight="1" x14ac:dyDescent="0.2">
      <c r="A295" s="23">
        <v>46095</v>
      </c>
      <c r="B295" s="24" t="s">
        <v>958</v>
      </c>
      <c r="C295" s="25" t="s">
        <v>46</v>
      </c>
      <c r="D295" s="25" t="s">
        <v>44</v>
      </c>
      <c r="E295" s="25" t="s">
        <v>3</v>
      </c>
      <c r="F295" s="26">
        <v>29000</v>
      </c>
      <c r="G295" s="27"/>
      <c r="H295" s="28">
        <f t="shared" si="0"/>
        <v>46082</v>
      </c>
      <c r="I295" s="29">
        <f>SUMIFS(Cash_Flow_3[Amount],Cash_Flow_3[Bulan],H295,Cash_Flow_3[Type],"In")</f>
        <v>13015393</v>
      </c>
      <c r="J295" s="29">
        <f>SUMIFS(Cash_Flow_3[Amount],Cash_Flow_3[Bulan],H295,Cash_Flow_3[Type],"Out")</f>
        <v>10475288</v>
      </c>
      <c r="K295" s="29">
        <f>SUMIFS(Cash_Flow_3[Amount],Cash_Flow_3[Bulan],H295,Cash_Flow_3[Type],"Out",Cash_Flow_3[Category],"Fix")</f>
        <v>2908413</v>
      </c>
      <c r="L295" s="29">
        <f>SUMIFS(Cash_Flow_3[Amount],Cash_Flow_3[Bulan],H295,Cash_Flow_3[Type],"Out",Cash_Flow_3[Category],"Bathroom")</f>
        <v>48473</v>
      </c>
      <c r="M295" s="29">
        <f>SUMIFS(Cash_Flow_3[Amount],Cash_Flow_3[Bulan],H295,Cash_Flow_3[Type],"Out",Cash_Flow_3[Category],"Alfa")</f>
        <v>775042</v>
      </c>
      <c r="N295" s="29">
        <f>SUMIFS(Cash_Flow_3[Amount],Cash_Flow_3[Bulan],H295,Cash_Flow_3[Type],"Out",Cash_Flow_3[Category],"Jajan")</f>
        <v>795099</v>
      </c>
      <c r="O295" s="29">
        <f>SUMIFS(Cash_Flow_3[Amount],Cash_Flow_3[Bulan],H295,Cash_Flow_3[Type],"Out",Cash_Flow_3[Category],"Kitchen")</f>
        <v>1003600</v>
      </c>
      <c r="P295" s="29">
        <f>SUMIFS(Cash_Flow_3[Amount],Cash_Flow_3[Bulan],H295,Cash_Flow_3[Type],"Out",Cash_Flow_3[Category],"Loandry")</f>
        <v>41000</v>
      </c>
      <c r="Q295" s="29">
        <f>SUMIFS(Cash_Flow_3[Amount],Cash_Flow_3[Bulan],H295,Cash_Flow_3[Type],"Out",Cash_Flow_3[Category],"Mio")</f>
        <v>364500</v>
      </c>
      <c r="R295" s="29">
        <f>SUMIFS(Cash_Flow_3[Amount],Cash_Flow_3[Bulan],H295,Cash_Flow_3[Type],"Out",Cash_Flow_3[Category],"Sedekah")</f>
        <v>130000</v>
      </c>
      <c r="S295" s="29">
        <f>SUMIFS(Cash_Flow_3[Amount],Cash_Flow_3[Bulan],H295,Cash_Flow_3[Type],"Out",Cash_Flow_3[Category],"Zela")</f>
        <v>215161</v>
      </c>
      <c r="T295" s="29">
        <f>SUMIFS(Cash_Flow_3[Amount],Cash_Flow_3[Bulan],H295,Cash_Flow_3[Type],"Out",Cash_Flow_3[Category],"Iqbal")</f>
        <v>160000</v>
      </c>
    </row>
    <row r="296" spans="1:20" ht="22.5" customHeight="1" x14ac:dyDescent="0.2">
      <c r="A296" s="23">
        <v>46095</v>
      </c>
      <c r="B296" s="24" t="s">
        <v>959</v>
      </c>
      <c r="C296" s="25" t="s">
        <v>46</v>
      </c>
      <c r="D296" s="25" t="s">
        <v>39</v>
      </c>
      <c r="E296" s="25" t="s">
        <v>0</v>
      </c>
      <c r="F296" s="26">
        <v>7100</v>
      </c>
      <c r="G296" s="27"/>
      <c r="H296" s="28">
        <f t="shared" si="0"/>
        <v>46082</v>
      </c>
      <c r="I296" s="29">
        <f>SUMIFS(Cash_Flow_3[Amount],Cash_Flow_3[Bulan],H296,Cash_Flow_3[Type],"In")</f>
        <v>13015393</v>
      </c>
      <c r="J296" s="29">
        <f>SUMIFS(Cash_Flow_3[Amount],Cash_Flow_3[Bulan],H296,Cash_Flow_3[Type],"Out")</f>
        <v>10475288</v>
      </c>
      <c r="K296" s="29">
        <f>SUMIFS(Cash_Flow_3[Amount],Cash_Flow_3[Bulan],H296,Cash_Flow_3[Type],"Out",Cash_Flow_3[Category],"Fix")</f>
        <v>2908413</v>
      </c>
      <c r="L296" s="29">
        <f>SUMIFS(Cash_Flow_3[Amount],Cash_Flow_3[Bulan],H296,Cash_Flow_3[Type],"Out",Cash_Flow_3[Category],"Bathroom")</f>
        <v>48473</v>
      </c>
      <c r="M296" s="29">
        <f>SUMIFS(Cash_Flow_3[Amount],Cash_Flow_3[Bulan],H296,Cash_Flow_3[Type],"Out",Cash_Flow_3[Category],"Alfa")</f>
        <v>775042</v>
      </c>
      <c r="N296" s="29">
        <f>SUMIFS(Cash_Flow_3[Amount],Cash_Flow_3[Bulan],H296,Cash_Flow_3[Type],"Out",Cash_Flow_3[Category],"Jajan")</f>
        <v>795099</v>
      </c>
      <c r="O296" s="29">
        <f>SUMIFS(Cash_Flow_3[Amount],Cash_Flow_3[Bulan],H296,Cash_Flow_3[Type],"Out",Cash_Flow_3[Category],"Kitchen")</f>
        <v>1003600</v>
      </c>
      <c r="P296" s="29">
        <f>SUMIFS(Cash_Flow_3[Amount],Cash_Flow_3[Bulan],H296,Cash_Flow_3[Type],"Out",Cash_Flow_3[Category],"Loandry")</f>
        <v>41000</v>
      </c>
      <c r="Q296" s="29">
        <f>SUMIFS(Cash_Flow_3[Amount],Cash_Flow_3[Bulan],H296,Cash_Flow_3[Type],"Out",Cash_Flow_3[Category],"Mio")</f>
        <v>364500</v>
      </c>
      <c r="R296" s="29">
        <f>SUMIFS(Cash_Flow_3[Amount],Cash_Flow_3[Bulan],H296,Cash_Flow_3[Type],"Out",Cash_Flow_3[Category],"Sedekah")</f>
        <v>130000</v>
      </c>
      <c r="S296" s="29">
        <f>SUMIFS(Cash_Flow_3[Amount],Cash_Flow_3[Bulan],H296,Cash_Flow_3[Type],"Out",Cash_Flow_3[Category],"Zela")</f>
        <v>215161</v>
      </c>
      <c r="T296" s="29">
        <f>SUMIFS(Cash_Flow_3[Amount],Cash_Flow_3[Bulan],H296,Cash_Flow_3[Type],"Out",Cash_Flow_3[Category],"Iqbal")</f>
        <v>160000</v>
      </c>
    </row>
    <row r="297" spans="1:20" ht="22.5" customHeight="1" x14ac:dyDescent="0.2">
      <c r="A297" s="23">
        <v>46094</v>
      </c>
      <c r="B297" s="24" t="s">
        <v>960</v>
      </c>
      <c r="C297" s="25" t="s">
        <v>43</v>
      </c>
      <c r="D297" s="25" t="s">
        <v>44</v>
      </c>
      <c r="E297" s="25" t="s">
        <v>9</v>
      </c>
      <c r="F297" s="26">
        <v>150000</v>
      </c>
      <c r="G297" s="27"/>
      <c r="H297" s="28">
        <f t="shared" si="0"/>
        <v>46082</v>
      </c>
      <c r="I297" s="29">
        <f>SUMIFS(Cash_Flow_3[Amount],Cash_Flow_3[Bulan],H297,Cash_Flow_3[Type],"In")</f>
        <v>13015393</v>
      </c>
      <c r="J297" s="29">
        <f>SUMIFS(Cash_Flow_3[Amount],Cash_Flow_3[Bulan],H297,Cash_Flow_3[Type],"Out")</f>
        <v>10475288</v>
      </c>
      <c r="K297" s="29">
        <f>SUMIFS(Cash_Flow_3[Amount],Cash_Flow_3[Bulan],H297,Cash_Flow_3[Type],"Out",Cash_Flow_3[Category],"Fix")</f>
        <v>2908413</v>
      </c>
      <c r="L297" s="29">
        <f>SUMIFS(Cash_Flow_3[Amount],Cash_Flow_3[Bulan],H297,Cash_Flow_3[Type],"Out",Cash_Flow_3[Category],"Bathroom")</f>
        <v>48473</v>
      </c>
      <c r="M297" s="29">
        <f>SUMIFS(Cash_Flow_3[Amount],Cash_Flow_3[Bulan],H297,Cash_Flow_3[Type],"Out",Cash_Flow_3[Category],"Alfa")</f>
        <v>775042</v>
      </c>
      <c r="N297" s="29">
        <f>SUMIFS(Cash_Flow_3[Amount],Cash_Flow_3[Bulan],H297,Cash_Flow_3[Type],"Out",Cash_Flow_3[Category],"Jajan")</f>
        <v>795099</v>
      </c>
      <c r="O297" s="29">
        <f>SUMIFS(Cash_Flow_3[Amount],Cash_Flow_3[Bulan],H297,Cash_Flow_3[Type],"Out",Cash_Flow_3[Category],"Kitchen")</f>
        <v>1003600</v>
      </c>
      <c r="P297" s="29">
        <f>SUMIFS(Cash_Flow_3[Amount],Cash_Flow_3[Bulan],H297,Cash_Flow_3[Type],"Out",Cash_Flow_3[Category],"Loandry")</f>
        <v>41000</v>
      </c>
      <c r="Q297" s="29">
        <f>SUMIFS(Cash_Flow_3[Amount],Cash_Flow_3[Bulan],H297,Cash_Flow_3[Type],"Out",Cash_Flow_3[Category],"Mio")</f>
        <v>364500</v>
      </c>
      <c r="R297" s="29">
        <f>SUMIFS(Cash_Flow_3[Amount],Cash_Flow_3[Bulan],H297,Cash_Flow_3[Type],"Out",Cash_Flow_3[Category],"Sedekah")</f>
        <v>130000</v>
      </c>
      <c r="S297" s="29">
        <f>SUMIFS(Cash_Flow_3[Amount],Cash_Flow_3[Bulan],H297,Cash_Flow_3[Type],"Out",Cash_Flow_3[Category],"Zela")</f>
        <v>215161</v>
      </c>
      <c r="T297" s="29">
        <f>SUMIFS(Cash_Flow_3[Amount],Cash_Flow_3[Bulan],H297,Cash_Flow_3[Type],"Out",Cash_Flow_3[Category],"Iqbal")</f>
        <v>160000</v>
      </c>
    </row>
    <row r="298" spans="1:20" ht="22.5" customHeight="1" x14ac:dyDescent="0.2">
      <c r="A298" s="23">
        <v>46094</v>
      </c>
      <c r="B298" s="24" t="s">
        <v>484</v>
      </c>
      <c r="C298" s="25" t="s">
        <v>46</v>
      </c>
      <c r="D298" s="25" t="s">
        <v>39</v>
      </c>
      <c r="E298" s="25" t="s">
        <v>9</v>
      </c>
      <c r="F298" s="26">
        <v>150000</v>
      </c>
      <c r="G298" s="27"/>
      <c r="H298" s="28">
        <f t="shared" si="0"/>
        <v>46082</v>
      </c>
      <c r="I298" s="29">
        <f>SUMIFS(Cash_Flow_3[Amount],Cash_Flow_3[Bulan],H298,Cash_Flow_3[Type],"In")</f>
        <v>13015393</v>
      </c>
      <c r="J298" s="29">
        <f>SUMIFS(Cash_Flow_3[Amount],Cash_Flow_3[Bulan],H298,Cash_Flow_3[Type],"Out")</f>
        <v>10475288</v>
      </c>
      <c r="K298" s="29">
        <f>SUMIFS(Cash_Flow_3[Amount],Cash_Flow_3[Bulan],H298,Cash_Flow_3[Type],"Out",Cash_Flow_3[Category],"Fix")</f>
        <v>2908413</v>
      </c>
      <c r="L298" s="29">
        <f>SUMIFS(Cash_Flow_3[Amount],Cash_Flow_3[Bulan],H298,Cash_Flow_3[Type],"Out",Cash_Flow_3[Category],"Bathroom")</f>
        <v>48473</v>
      </c>
      <c r="M298" s="29">
        <f>SUMIFS(Cash_Flow_3[Amount],Cash_Flow_3[Bulan],H298,Cash_Flow_3[Type],"Out",Cash_Flow_3[Category],"Alfa")</f>
        <v>775042</v>
      </c>
      <c r="N298" s="29">
        <f>SUMIFS(Cash_Flow_3[Amount],Cash_Flow_3[Bulan],H298,Cash_Flow_3[Type],"Out",Cash_Flow_3[Category],"Jajan")</f>
        <v>795099</v>
      </c>
      <c r="O298" s="29">
        <f>SUMIFS(Cash_Flow_3[Amount],Cash_Flow_3[Bulan],H298,Cash_Flow_3[Type],"Out",Cash_Flow_3[Category],"Kitchen")</f>
        <v>1003600</v>
      </c>
      <c r="P298" s="29">
        <f>SUMIFS(Cash_Flow_3[Amount],Cash_Flow_3[Bulan],H298,Cash_Flow_3[Type],"Out",Cash_Flow_3[Category],"Loandry")</f>
        <v>41000</v>
      </c>
      <c r="Q298" s="29">
        <f>SUMIFS(Cash_Flow_3[Amount],Cash_Flow_3[Bulan],H298,Cash_Flow_3[Type],"Out",Cash_Flow_3[Category],"Mio")</f>
        <v>364500</v>
      </c>
      <c r="R298" s="29">
        <f>SUMIFS(Cash_Flow_3[Amount],Cash_Flow_3[Bulan],H298,Cash_Flow_3[Type],"Out",Cash_Flow_3[Category],"Sedekah")</f>
        <v>130000</v>
      </c>
      <c r="S298" s="29">
        <f>SUMIFS(Cash_Flow_3[Amount],Cash_Flow_3[Bulan],H298,Cash_Flow_3[Type],"Out",Cash_Flow_3[Category],"Zela")</f>
        <v>215161</v>
      </c>
      <c r="T298" s="29">
        <f>SUMIFS(Cash_Flow_3[Amount],Cash_Flow_3[Bulan],H298,Cash_Flow_3[Type],"Out",Cash_Flow_3[Category],"Iqbal")</f>
        <v>160000</v>
      </c>
    </row>
    <row r="299" spans="1:20" ht="22.5" customHeight="1" x14ac:dyDescent="0.2">
      <c r="A299" s="23">
        <v>46095</v>
      </c>
      <c r="B299" s="24" t="s">
        <v>344</v>
      </c>
      <c r="C299" s="25" t="s">
        <v>46</v>
      </c>
      <c r="D299" s="25" t="s">
        <v>44</v>
      </c>
      <c r="E299" s="25" t="s">
        <v>10</v>
      </c>
      <c r="F299" s="26">
        <v>130000</v>
      </c>
      <c r="G299" s="27"/>
      <c r="H299" s="28">
        <f t="shared" si="0"/>
        <v>46082</v>
      </c>
      <c r="I299" s="29">
        <f>SUMIFS(Cash_Flow_3[Amount],Cash_Flow_3[Bulan],H299,Cash_Flow_3[Type],"In")</f>
        <v>13015393</v>
      </c>
      <c r="J299" s="29">
        <f>SUMIFS(Cash_Flow_3[Amount],Cash_Flow_3[Bulan],H299,Cash_Flow_3[Type],"Out")</f>
        <v>10475288</v>
      </c>
      <c r="K299" s="29">
        <f>SUMIFS(Cash_Flow_3[Amount],Cash_Flow_3[Bulan],H299,Cash_Flow_3[Type],"Out",Cash_Flow_3[Category],"Fix")</f>
        <v>2908413</v>
      </c>
      <c r="L299" s="29">
        <f>SUMIFS(Cash_Flow_3[Amount],Cash_Flow_3[Bulan],H299,Cash_Flow_3[Type],"Out",Cash_Flow_3[Category],"Bathroom")</f>
        <v>48473</v>
      </c>
      <c r="M299" s="29">
        <f>SUMIFS(Cash_Flow_3[Amount],Cash_Flow_3[Bulan],H299,Cash_Flow_3[Type],"Out",Cash_Flow_3[Category],"Alfa")</f>
        <v>775042</v>
      </c>
      <c r="N299" s="29">
        <f>SUMIFS(Cash_Flow_3[Amount],Cash_Flow_3[Bulan],H299,Cash_Flow_3[Type],"Out",Cash_Flow_3[Category],"Jajan")</f>
        <v>795099</v>
      </c>
      <c r="O299" s="29">
        <f>SUMIFS(Cash_Flow_3[Amount],Cash_Flow_3[Bulan],H299,Cash_Flow_3[Type],"Out",Cash_Flow_3[Category],"Kitchen")</f>
        <v>1003600</v>
      </c>
      <c r="P299" s="29">
        <f>SUMIFS(Cash_Flow_3[Amount],Cash_Flow_3[Bulan],H299,Cash_Flow_3[Type],"Out",Cash_Flow_3[Category],"Loandry")</f>
        <v>41000</v>
      </c>
      <c r="Q299" s="29">
        <f>SUMIFS(Cash_Flow_3[Amount],Cash_Flow_3[Bulan],H299,Cash_Flow_3[Type],"Out",Cash_Flow_3[Category],"Mio")</f>
        <v>364500</v>
      </c>
      <c r="R299" s="29">
        <f>SUMIFS(Cash_Flow_3[Amount],Cash_Flow_3[Bulan],H299,Cash_Flow_3[Type],"Out",Cash_Flow_3[Category],"Sedekah")</f>
        <v>130000</v>
      </c>
      <c r="S299" s="29">
        <f>SUMIFS(Cash_Flow_3[Amount],Cash_Flow_3[Bulan],H299,Cash_Flow_3[Type],"Out",Cash_Flow_3[Category],"Zela")</f>
        <v>215161</v>
      </c>
      <c r="T299" s="29">
        <f>SUMIFS(Cash_Flow_3[Amount],Cash_Flow_3[Bulan],H299,Cash_Flow_3[Type],"Out",Cash_Flow_3[Category],"Iqbal")</f>
        <v>160000</v>
      </c>
    </row>
    <row r="300" spans="1:20" ht="22.5" customHeight="1" x14ac:dyDescent="0.2">
      <c r="A300" s="23">
        <v>46095</v>
      </c>
      <c r="B300" s="24" t="s">
        <v>346</v>
      </c>
      <c r="C300" s="25" t="s">
        <v>46</v>
      </c>
      <c r="D300" s="25" t="s">
        <v>44</v>
      </c>
      <c r="E300" s="25" t="s">
        <v>2</v>
      </c>
      <c r="F300" s="26">
        <v>31000</v>
      </c>
      <c r="G300" s="27"/>
      <c r="H300" s="28">
        <f t="shared" si="0"/>
        <v>46082</v>
      </c>
      <c r="I300" s="29">
        <f>SUMIFS(Cash_Flow_3[Amount],Cash_Flow_3[Bulan],H300,Cash_Flow_3[Type],"In")</f>
        <v>13015393</v>
      </c>
      <c r="J300" s="29">
        <f>SUMIFS(Cash_Flow_3[Amount],Cash_Flow_3[Bulan],H300,Cash_Flow_3[Type],"Out")</f>
        <v>10475288</v>
      </c>
      <c r="K300" s="29">
        <f>SUMIFS(Cash_Flow_3[Amount],Cash_Flow_3[Bulan],H300,Cash_Flow_3[Type],"Out",Cash_Flow_3[Category],"Fix")</f>
        <v>2908413</v>
      </c>
      <c r="L300" s="29">
        <f>SUMIFS(Cash_Flow_3[Amount],Cash_Flow_3[Bulan],H300,Cash_Flow_3[Type],"Out",Cash_Flow_3[Category],"Bathroom")</f>
        <v>48473</v>
      </c>
      <c r="M300" s="29">
        <f>SUMIFS(Cash_Flow_3[Amount],Cash_Flow_3[Bulan],H300,Cash_Flow_3[Type],"Out",Cash_Flow_3[Category],"Alfa")</f>
        <v>775042</v>
      </c>
      <c r="N300" s="29">
        <f>SUMIFS(Cash_Flow_3[Amount],Cash_Flow_3[Bulan],H300,Cash_Flow_3[Type],"Out",Cash_Flow_3[Category],"Jajan")</f>
        <v>795099</v>
      </c>
      <c r="O300" s="29">
        <f>SUMIFS(Cash_Flow_3[Amount],Cash_Flow_3[Bulan],H300,Cash_Flow_3[Type],"Out",Cash_Flow_3[Category],"Kitchen")</f>
        <v>1003600</v>
      </c>
      <c r="P300" s="29">
        <f>SUMIFS(Cash_Flow_3[Amount],Cash_Flow_3[Bulan],H300,Cash_Flow_3[Type],"Out",Cash_Flow_3[Category],"Loandry")</f>
        <v>41000</v>
      </c>
      <c r="Q300" s="29">
        <f>SUMIFS(Cash_Flow_3[Amount],Cash_Flow_3[Bulan],H300,Cash_Flow_3[Type],"Out",Cash_Flow_3[Category],"Mio")</f>
        <v>364500</v>
      </c>
      <c r="R300" s="29">
        <f>SUMIFS(Cash_Flow_3[Amount],Cash_Flow_3[Bulan],H300,Cash_Flow_3[Type],"Out",Cash_Flow_3[Category],"Sedekah")</f>
        <v>130000</v>
      </c>
      <c r="S300" s="29">
        <f>SUMIFS(Cash_Flow_3[Amount],Cash_Flow_3[Bulan],H300,Cash_Flow_3[Type],"Out",Cash_Flow_3[Category],"Zela")</f>
        <v>215161</v>
      </c>
      <c r="T300" s="29">
        <f>SUMIFS(Cash_Flow_3[Amount],Cash_Flow_3[Bulan],H300,Cash_Flow_3[Type],"Out",Cash_Flow_3[Category],"Iqbal")</f>
        <v>160000</v>
      </c>
    </row>
    <row r="301" spans="1:20" ht="22.5" customHeight="1" x14ac:dyDescent="0.2">
      <c r="A301" s="23">
        <v>46096</v>
      </c>
      <c r="B301" s="24" t="s">
        <v>961</v>
      </c>
      <c r="C301" s="25" t="s">
        <v>43</v>
      </c>
      <c r="D301" s="25" t="s">
        <v>44</v>
      </c>
      <c r="E301" s="25" t="s">
        <v>0</v>
      </c>
      <c r="F301" s="26">
        <v>15000</v>
      </c>
      <c r="G301" s="27"/>
      <c r="H301" s="28">
        <f t="shared" si="0"/>
        <v>46082</v>
      </c>
      <c r="I301" s="29">
        <f>SUMIFS(Cash_Flow_3[Amount],Cash_Flow_3[Bulan],H301,Cash_Flow_3[Type],"In")</f>
        <v>13015393</v>
      </c>
      <c r="J301" s="29">
        <f>SUMIFS(Cash_Flow_3[Amount],Cash_Flow_3[Bulan],H301,Cash_Flow_3[Type],"Out")</f>
        <v>10475288</v>
      </c>
      <c r="K301" s="29">
        <f>SUMIFS(Cash_Flow_3[Amount],Cash_Flow_3[Bulan],H301,Cash_Flow_3[Type],"Out",Cash_Flow_3[Category],"Fix")</f>
        <v>2908413</v>
      </c>
      <c r="L301" s="29">
        <f>SUMIFS(Cash_Flow_3[Amount],Cash_Flow_3[Bulan],H301,Cash_Flow_3[Type],"Out",Cash_Flow_3[Category],"Bathroom")</f>
        <v>48473</v>
      </c>
      <c r="M301" s="29">
        <f>SUMIFS(Cash_Flow_3[Amount],Cash_Flow_3[Bulan],H301,Cash_Flow_3[Type],"Out",Cash_Flow_3[Category],"Alfa")</f>
        <v>775042</v>
      </c>
      <c r="N301" s="29">
        <f>SUMIFS(Cash_Flow_3[Amount],Cash_Flow_3[Bulan],H301,Cash_Flow_3[Type],"Out",Cash_Flow_3[Category],"Jajan")</f>
        <v>795099</v>
      </c>
      <c r="O301" s="29">
        <f>SUMIFS(Cash_Flow_3[Amount],Cash_Flow_3[Bulan],H301,Cash_Flow_3[Type],"Out",Cash_Flow_3[Category],"Kitchen")</f>
        <v>1003600</v>
      </c>
      <c r="P301" s="29">
        <f>SUMIFS(Cash_Flow_3[Amount],Cash_Flow_3[Bulan],H301,Cash_Flow_3[Type],"Out",Cash_Flow_3[Category],"Loandry")</f>
        <v>41000</v>
      </c>
      <c r="Q301" s="29">
        <f>SUMIFS(Cash_Flow_3[Amount],Cash_Flow_3[Bulan],H301,Cash_Flow_3[Type],"Out",Cash_Flow_3[Category],"Mio")</f>
        <v>364500</v>
      </c>
      <c r="R301" s="29">
        <f>SUMIFS(Cash_Flow_3[Amount],Cash_Flow_3[Bulan],H301,Cash_Flow_3[Type],"Out",Cash_Flow_3[Category],"Sedekah")</f>
        <v>130000</v>
      </c>
      <c r="S301" s="29">
        <f>SUMIFS(Cash_Flow_3[Amount],Cash_Flow_3[Bulan],H301,Cash_Flow_3[Type],"Out",Cash_Flow_3[Category],"Zela")</f>
        <v>215161</v>
      </c>
      <c r="T301" s="29">
        <f>SUMIFS(Cash_Flow_3[Amount],Cash_Flow_3[Bulan],H301,Cash_Flow_3[Type],"Out",Cash_Flow_3[Category],"Iqbal")</f>
        <v>160000</v>
      </c>
    </row>
    <row r="302" spans="1:20" ht="22.5" customHeight="1" x14ac:dyDescent="0.2">
      <c r="A302" s="23">
        <v>46096</v>
      </c>
      <c r="B302" s="24" t="s">
        <v>482</v>
      </c>
      <c r="C302" s="25" t="s">
        <v>43</v>
      </c>
      <c r="D302" s="25" t="s">
        <v>44</v>
      </c>
      <c r="E302" s="25" t="s">
        <v>9</v>
      </c>
      <c r="F302" s="26">
        <v>200000</v>
      </c>
      <c r="G302" s="27"/>
      <c r="H302" s="28">
        <f t="shared" si="0"/>
        <v>46082</v>
      </c>
      <c r="I302" s="29">
        <f>SUMIFS(Cash_Flow_3[Amount],Cash_Flow_3[Bulan],H302,Cash_Flow_3[Type],"In")</f>
        <v>13015393</v>
      </c>
      <c r="J302" s="29">
        <f>SUMIFS(Cash_Flow_3[Amount],Cash_Flow_3[Bulan],H302,Cash_Flow_3[Type],"Out")</f>
        <v>10475288</v>
      </c>
      <c r="K302" s="29">
        <f>SUMIFS(Cash_Flow_3[Amount],Cash_Flow_3[Bulan],H302,Cash_Flow_3[Type],"Out",Cash_Flow_3[Category],"Fix")</f>
        <v>2908413</v>
      </c>
      <c r="L302" s="29">
        <f>SUMIFS(Cash_Flow_3[Amount],Cash_Flow_3[Bulan],H302,Cash_Flow_3[Type],"Out",Cash_Flow_3[Category],"Bathroom")</f>
        <v>48473</v>
      </c>
      <c r="M302" s="29">
        <f>SUMIFS(Cash_Flow_3[Amount],Cash_Flow_3[Bulan],H302,Cash_Flow_3[Type],"Out",Cash_Flow_3[Category],"Alfa")</f>
        <v>775042</v>
      </c>
      <c r="N302" s="29">
        <f>SUMIFS(Cash_Flow_3[Amount],Cash_Flow_3[Bulan],H302,Cash_Flow_3[Type],"Out",Cash_Flow_3[Category],"Jajan")</f>
        <v>795099</v>
      </c>
      <c r="O302" s="29">
        <f>SUMIFS(Cash_Flow_3[Amount],Cash_Flow_3[Bulan],H302,Cash_Flow_3[Type],"Out",Cash_Flow_3[Category],"Kitchen")</f>
        <v>1003600</v>
      </c>
      <c r="P302" s="29">
        <f>SUMIFS(Cash_Flow_3[Amount],Cash_Flow_3[Bulan],H302,Cash_Flow_3[Type],"Out",Cash_Flow_3[Category],"Loandry")</f>
        <v>41000</v>
      </c>
      <c r="Q302" s="29">
        <f>SUMIFS(Cash_Flow_3[Amount],Cash_Flow_3[Bulan],H302,Cash_Flow_3[Type],"Out",Cash_Flow_3[Category],"Mio")</f>
        <v>364500</v>
      </c>
      <c r="R302" s="29">
        <f>SUMIFS(Cash_Flow_3[Amount],Cash_Flow_3[Bulan],H302,Cash_Flow_3[Type],"Out",Cash_Flow_3[Category],"Sedekah")</f>
        <v>130000</v>
      </c>
      <c r="S302" s="29">
        <f>SUMIFS(Cash_Flow_3[Amount],Cash_Flow_3[Bulan],H302,Cash_Flow_3[Type],"Out",Cash_Flow_3[Category],"Zela")</f>
        <v>215161</v>
      </c>
      <c r="T302" s="29">
        <f>SUMIFS(Cash_Flow_3[Amount],Cash_Flow_3[Bulan],H302,Cash_Flow_3[Type],"Out",Cash_Flow_3[Category],"Iqbal")</f>
        <v>160000</v>
      </c>
    </row>
    <row r="303" spans="1:20" ht="22.5" customHeight="1" x14ac:dyDescent="0.2">
      <c r="A303" s="23">
        <v>46096</v>
      </c>
      <c r="B303" s="24" t="s">
        <v>484</v>
      </c>
      <c r="C303" s="25" t="s">
        <v>46</v>
      </c>
      <c r="D303" s="25" t="s">
        <v>39</v>
      </c>
      <c r="E303" s="25" t="s">
        <v>9</v>
      </c>
      <c r="F303" s="26">
        <v>200000</v>
      </c>
      <c r="G303" s="27"/>
      <c r="H303" s="28">
        <f t="shared" si="0"/>
        <v>46082</v>
      </c>
      <c r="I303" s="29">
        <f>SUMIFS(Cash_Flow_3[Amount],Cash_Flow_3[Bulan],H303,Cash_Flow_3[Type],"In")</f>
        <v>13015393</v>
      </c>
      <c r="J303" s="29">
        <f>SUMIFS(Cash_Flow_3[Amount],Cash_Flow_3[Bulan],H303,Cash_Flow_3[Type],"Out")</f>
        <v>10475288</v>
      </c>
      <c r="K303" s="29">
        <f>SUMIFS(Cash_Flow_3[Amount],Cash_Flow_3[Bulan],H303,Cash_Flow_3[Type],"Out",Cash_Flow_3[Category],"Fix")</f>
        <v>2908413</v>
      </c>
      <c r="L303" s="29">
        <f>SUMIFS(Cash_Flow_3[Amount],Cash_Flow_3[Bulan],H303,Cash_Flow_3[Type],"Out",Cash_Flow_3[Category],"Bathroom")</f>
        <v>48473</v>
      </c>
      <c r="M303" s="29">
        <f>SUMIFS(Cash_Flow_3[Amount],Cash_Flow_3[Bulan],H303,Cash_Flow_3[Type],"Out",Cash_Flow_3[Category],"Alfa")</f>
        <v>775042</v>
      </c>
      <c r="N303" s="29">
        <f>SUMIFS(Cash_Flow_3[Amount],Cash_Flow_3[Bulan],H303,Cash_Flow_3[Type],"Out",Cash_Flow_3[Category],"Jajan")</f>
        <v>795099</v>
      </c>
      <c r="O303" s="29">
        <f>SUMIFS(Cash_Flow_3[Amount],Cash_Flow_3[Bulan],H303,Cash_Flow_3[Type],"Out",Cash_Flow_3[Category],"Kitchen")</f>
        <v>1003600</v>
      </c>
      <c r="P303" s="29">
        <f>SUMIFS(Cash_Flow_3[Amount],Cash_Flow_3[Bulan],H303,Cash_Flow_3[Type],"Out",Cash_Flow_3[Category],"Loandry")</f>
        <v>41000</v>
      </c>
      <c r="Q303" s="29">
        <f>SUMIFS(Cash_Flow_3[Amount],Cash_Flow_3[Bulan],H303,Cash_Flow_3[Type],"Out",Cash_Flow_3[Category],"Mio")</f>
        <v>364500</v>
      </c>
      <c r="R303" s="29">
        <f>SUMIFS(Cash_Flow_3[Amount],Cash_Flow_3[Bulan],H303,Cash_Flow_3[Type],"Out",Cash_Flow_3[Category],"Sedekah")</f>
        <v>130000</v>
      </c>
      <c r="S303" s="29">
        <f>SUMIFS(Cash_Flow_3[Amount],Cash_Flow_3[Bulan],H303,Cash_Flow_3[Type],"Out",Cash_Flow_3[Category],"Zela")</f>
        <v>215161</v>
      </c>
      <c r="T303" s="29">
        <f>SUMIFS(Cash_Flow_3[Amount],Cash_Flow_3[Bulan],H303,Cash_Flow_3[Type],"Out",Cash_Flow_3[Category],"Iqbal")</f>
        <v>160000</v>
      </c>
    </row>
    <row r="304" spans="1:20" ht="22.5" customHeight="1" x14ac:dyDescent="0.2">
      <c r="A304" s="23">
        <v>46096</v>
      </c>
      <c r="B304" s="24" t="s">
        <v>595</v>
      </c>
      <c r="C304" s="25" t="s">
        <v>46</v>
      </c>
      <c r="D304" s="25" t="s">
        <v>44</v>
      </c>
      <c r="E304" s="25" t="s">
        <v>6</v>
      </c>
      <c r="F304" s="26">
        <v>30000</v>
      </c>
      <c r="G304" s="27"/>
      <c r="H304" s="28">
        <f t="shared" si="0"/>
        <v>46082</v>
      </c>
      <c r="I304" s="29">
        <f>SUMIFS(Cash_Flow_3[Amount],Cash_Flow_3[Bulan],H304,Cash_Flow_3[Type],"In")</f>
        <v>13015393</v>
      </c>
      <c r="J304" s="29">
        <f>SUMIFS(Cash_Flow_3[Amount],Cash_Flow_3[Bulan],H304,Cash_Flow_3[Type],"Out")</f>
        <v>10475288</v>
      </c>
      <c r="K304" s="29">
        <f>SUMIFS(Cash_Flow_3[Amount],Cash_Flow_3[Bulan],H304,Cash_Flow_3[Type],"Out",Cash_Flow_3[Category],"Fix")</f>
        <v>2908413</v>
      </c>
      <c r="L304" s="29">
        <f>SUMIFS(Cash_Flow_3[Amount],Cash_Flow_3[Bulan],H304,Cash_Flow_3[Type],"Out",Cash_Flow_3[Category],"Bathroom")</f>
        <v>48473</v>
      </c>
      <c r="M304" s="29">
        <f>SUMIFS(Cash_Flow_3[Amount],Cash_Flow_3[Bulan],H304,Cash_Flow_3[Type],"Out",Cash_Flow_3[Category],"Alfa")</f>
        <v>775042</v>
      </c>
      <c r="N304" s="29">
        <f>SUMIFS(Cash_Flow_3[Amount],Cash_Flow_3[Bulan],H304,Cash_Flow_3[Type],"Out",Cash_Flow_3[Category],"Jajan")</f>
        <v>795099</v>
      </c>
      <c r="O304" s="29">
        <f>SUMIFS(Cash_Flow_3[Amount],Cash_Flow_3[Bulan],H304,Cash_Flow_3[Type],"Out",Cash_Flow_3[Category],"Kitchen")</f>
        <v>1003600</v>
      </c>
      <c r="P304" s="29">
        <f>SUMIFS(Cash_Flow_3[Amount],Cash_Flow_3[Bulan],H304,Cash_Flow_3[Type],"Out",Cash_Flow_3[Category],"Loandry")</f>
        <v>41000</v>
      </c>
      <c r="Q304" s="29">
        <f>SUMIFS(Cash_Flow_3[Amount],Cash_Flow_3[Bulan],H304,Cash_Flow_3[Type],"Out",Cash_Flow_3[Category],"Mio")</f>
        <v>364500</v>
      </c>
      <c r="R304" s="29">
        <f>SUMIFS(Cash_Flow_3[Amount],Cash_Flow_3[Bulan],H304,Cash_Flow_3[Type],"Out",Cash_Flow_3[Category],"Sedekah")</f>
        <v>130000</v>
      </c>
      <c r="S304" s="29">
        <f>SUMIFS(Cash_Flow_3[Amount],Cash_Flow_3[Bulan],H304,Cash_Flow_3[Type],"Out",Cash_Flow_3[Category],"Zela")</f>
        <v>215161</v>
      </c>
      <c r="T304" s="29">
        <f>SUMIFS(Cash_Flow_3[Amount],Cash_Flow_3[Bulan],H304,Cash_Flow_3[Type],"Out",Cash_Flow_3[Category],"Iqbal")</f>
        <v>160000</v>
      </c>
    </row>
    <row r="305" spans="1:20" ht="22.5" customHeight="1" x14ac:dyDescent="0.2">
      <c r="A305" s="23">
        <v>46096</v>
      </c>
      <c r="B305" s="24" t="s">
        <v>353</v>
      </c>
      <c r="C305" s="25" t="s">
        <v>46</v>
      </c>
      <c r="D305" s="25" t="s">
        <v>44</v>
      </c>
      <c r="E305" s="25" t="s">
        <v>7</v>
      </c>
      <c r="F305" s="26">
        <v>70000</v>
      </c>
      <c r="G305" s="27"/>
      <c r="H305" s="28">
        <f t="shared" si="0"/>
        <v>46082</v>
      </c>
      <c r="I305" s="29">
        <f>SUMIFS(Cash_Flow_3[Amount],Cash_Flow_3[Bulan],H305,Cash_Flow_3[Type],"In")</f>
        <v>13015393</v>
      </c>
      <c r="J305" s="29">
        <f>SUMIFS(Cash_Flow_3[Amount],Cash_Flow_3[Bulan],H305,Cash_Flow_3[Type],"Out")</f>
        <v>10475288</v>
      </c>
      <c r="K305" s="29">
        <f>SUMIFS(Cash_Flow_3[Amount],Cash_Flow_3[Bulan],H305,Cash_Flow_3[Type],"Out",Cash_Flow_3[Category],"Fix")</f>
        <v>2908413</v>
      </c>
      <c r="L305" s="29">
        <f>SUMIFS(Cash_Flow_3[Amount],Cash_Flow_3[Bulan],H305,Cash_Flow_3[Type],"Out",Cash_Flow_3[Category],"Bathroom")</f>
        <v>48473</v>
      </c>
      <c r="M305" s="29">
        <f>SUMIFS(Cash_Flow_3[Amount],Cash_Flow_3[Bulan],H305,Cash_Flow_3[Type],"Out",Cash_Flow_3[Category],"Alfa")</f>
        <v>775042</v>
      </c>
      <c r="N305" s="29">
        <f>SUMIFS(Cash_Flow_3[Amount],Cash_Flow_3[Bulan],H305,Cash_Flow_3[Type],"Out",Cash_Flow_3[Category],"Jajan")</f>
        <v>795099</v>
      </c>
      <c r="O305" s="29">
        <f>SUMIFS(Cash_Flow_3[Amount],Cash_Flow_3[Bulan],H305,Cash_Flow_3[Type],"Out",Cash_Flow_3[Category],"Kitchen")</f>
        <v>1003600</v>
      </c>
      <c r="P305" s="29">
        <f>SUMIFS(Cash_Flow_3[Amount],Cash_Flow_3[Bulan],H305,Cash_Flow_3[Type],"Out",Cash_Flow_3[Category],"Loandry")</f>
        <v>41000</v>
      </c>
      <c r="Q305" s="29">
        <f>SUMIFS(Cash_Flow_3[Amount],Cash_Flow_3[Bulan],H305,Cash_Flow_3[Type],"Out",Cash_Flow_3[Category],"Mio")</f>
        <v>364500</v>
      </c>
      <c r="R305" s="29">
        <f>SUMIFS(Cash_Flow_3[Amount],Cash_Flow_3[Bulan],H305,Cash_Flow_3[Type],"Out",Cash_Flow_3[Category],"Sedekah")</f>
        <v>130000</v>
      </c>
      <c r="S305" s="29">
        <f>SUMIFS(Cash_Flow_3[Amount],Cash_Flow_3[Bulan],H305,Cash_Flow_3[Type],"Out",Cash_Flow_3[Category],"Zela")</f>
        <v>215161</v>
      </c>
      <c r="T305" s="29">
        <f>SUMIFS(Cash_Flow_3[Amount],Cash_Flow_3[Bulan],H305,Cash_Flow_3[Type],"Out",Cash_Flow_3[Category],"Iqbal")</f>
        <v>160000</v>
      </c>
    </row>
    <row r="306" spans="1:20" ht="22.5" customHeight="1" x14ac:dyDescent="0.2">
      <c r="A306" s="23">
        <v>46096</v>
      </c>
      <c r="B306" s="24" t="s">
        <v>355</v>
      </c>
      <c r="C306" s="25" t="s">
        <v>46</v>
      </c>
      <c r="D306" s="25" t="s">
        <v>44</v>
      </c>
      <c r="E306" s="25" t="s">
        <v>2</v>
      </c>
      <c r="F306" s="26">
        <v>12700</v>
      </c>
      <c r="G306" s="27"/>
      <c r="H306" s="28">
        <f t="shared" si="0"/>
        <v>46082</v>
      </c>
      <c r="I306" s="29">
        <f>SUMIFS(Cash_Flow_3[Amount],Cash_Flow_3[Bulan],H306,Cash_Flow_3[Type],"In")</f>
        <v>13015393</v>
      </c>
      <c r="J306" s="29">
        <f>SUMIFS(Cash_Flow_3[Amount],Cash_Flow_3[Bulan],H306,Cash_Flow_3[Type],"Out")</f>
        <v>10475288</v>
      </c>
      <c r="K306" s="29">
        <f>SUMIFS(Cash_Flow_3[Amount],Cash_Flow_3[Bulan],H306,Cash_Flow_3[Type],"Out",Cash_Flow_3[Category],"Fix")</f>
        <v>2908413</v>
      </c>
      <c r="L306" s="29">
        <f>SUMIFS(Cash_Flow_3[Amount],Cash_Flow_3[Bulan],H306,Cash_Flow_3[Type],"Out",Cash_Flow_3[Category],"Bathroom")</f>
        <v>48473</v>
      </c>
      <c r="M306" s="29">
        <f>SUMIFS(Cash_Flow_3[Amount],Cash_Flow_3[Bulan],H306,Cash_Flow_3[Type],"Out",Cash_Flow_3[Category],"Alfa")</f>
        <v>775042</v>
      </c>
      <c r="N306" s="29">
        <f>SUMIFS(Cash_Flow_3[Amount],Cash_Flow_3[Bulan],H306,Cash_Flow_3[Type],"Out",Cash_Flow_3[Category],"Jajan")</f>
        <v>795099</v>
      </c>
      <c r="O306" s="29">
        <f>SUMIFS(Cash_Flow_3[Amount],Cash_Flow_3[Bulan],H306,Cash_Flow_3[Type],"Out",Cash_Flow_3[Category],"Kitchen")</f>
        <v>1003600</v>
      </c>
      <c r="P306" s="29">
        <f>SUMIFS(Cash_Flow_3[Amount],Cash_Flow_3[Bulan],H306,Cash_Flow_3[Type],"Out",Cash_Flow_3[Category],"Loandry")</f>
        <v>41000</v>
      </c>
      <c r="Q306" s="29">
        <f>SUMIFS(Cash_Flow_3[Amount],Cash_Flow_3[Bulan],H306,Cash_Flow_3[Type],"Out",Cash_Flow_3[Category],"Mio")</f>
        <v>364500</v>
      </c>
      <c r="R306" s="29">
        <f>SUMIFS(Cash_Flow_3[Amount],Cash_Flow_3[Bulan],H306,Cash_Flow_3[Type],"Out",Cash_Flow_3[Category],"Sedekah")</f>
        <v>130000</v>
      </c>
      <c r="S306" s="29">
        <f>SUMIFS(Cash_Flow_3[Amount],Cash_Flow_3[Bulan],H306,Cash_Flow_3[Type],"Out",Cash_Flow_3[Category],"Zela")</f>
        <v>215161</v>
      </c>
      <c r="T306" s="29">
        <f>SUMIFS(Cash_Flow_3[Amount],Cash_Flow_3[Bulan],H306,Cash_Flow_3[Type],"Out",Cash_Flow_3[Category],"Iqbal")</f>
        <v>160000</v>
      </c>
    </row>
    <row r="307" spans="1:20" ht="22.5" customHeight="1" x14ac:dyDescent="0.2">
      <c r="A307" s="23">
        <v>46096</v>
      </c>
      <c r="B307" s="24" t="s">
        <v>229</v>
      </c>
      <c r="C307" s="25" t="s">
        <v>46</v>
      </c>
      <c r="D307" s="25" t="s">
        <v>44</v>
      </c>
      <c r="E307" s="25" t="s">
        <v>2</v>
      </c>
      <c r="F307" s="26">
        <v>10000</v>
      </c>
      <c r="G307" s="27"/>
      <c r="H307" s="28">
        <f t="shared" si="0"/>
        <v>46082</v>
      </c>
      <c r="I307" s="29">
        <f>SUMIFS(Cash_Flow_3[Amount],Cash_Flow_3[Bulan],H307,Cash_Flow_3[Type],"In")</f>
        <v>13015393</v>
      </c>
      <c r="J307" s="29">
        <f>SUMIFS(Cash_Flow_3[Amount],Cash_Flow_3[Bulan],H307,Cash_Flow_3[Type],"Out")</f>
        <v>10475288</v>
      </c>
      <c r="K307" s="29">
        <f>SUMIFS(Cash_Flow_3[Amount],Cash_Flow_3[Bulan],H307,Cash_Flow_3[Type],"Out",Cash_Flow_3[Category],"Fix")</f>
        <v>2908413</v>
      </c>
      <c r="L307" s="29">
        <f>SUMIFS(Cash_Flow_3[Amount],Cash_Flow_3[Bulan],H307,Cash_Flow_3[Type],"Out",Cash_Flow_3[Category],"Bathroom")</f>
        <v>48473</v>
      </c>
      <c r="M307" s="29">
        <f>SUMIFS(Cash_Flow_3[Amount],Cash_Flow_3[Bulan],H307,Cash_Flow_3[Type],"Out",Cash_Flow_3[Category],"Alfa")</f>
        <v>775042</v>
      </c>
      <c r="N307" s="29">
        <f>SUMIFS(Cash_Flow_3[Amount],Cash_Flow_3[Bulan],H307,Cash_Flow_3[Type],"Out",Cash_Flow_3[Category],"Jajan")</f>
        <v>795099</v>
      </c>
      <c r="O307" s="29">
        <f>SUMIFS(Cash_Flow_3[Amount],Cash_Flow_3[Bulan],H307,Cash_Flow_3[Type],"Out",Cash_Flow_3[Category],"Kitchen")</f>
        <v>1003600</v>
      </c>
      <c r="P307" s="29">
        <f>SUMIFS(Cash_Flow_3[Amount],Cash_Flow_3[Bulan],H307,Cash_Flow_3[Type],"Out",Cash_Flow_3[Category],"Loandry")</f>
        <v>41000</v>
      </c>
      <c r="Q307" s="29">
        <f>SUMIFS(Cash_Flow_3[Amount],Cash_Flow_3[Bulan],H307,Cash_Flow_3[Type],"Out",Cash_Flow_3[Category],"Mio")</f>
        <v>364500</v>
      </c>
      <c r="R307" s="29">
        <f>SUMIFS(Cash_Flow_3[Amount],Cash_Flow_3[Bulan],H307,Cash_Flow_3[Type],"Out",Cash_Flow_3[Category],"Sedekah")</f>
        <v>130000</v>
      </c>
      <c r="S307" s="29">
        <f>SUMIFS(Cash_Flow_3[Amount],Cash_Flow_3[Bulan],H307,Cash_Flow_3[Type],"Out",Cash_Flow_3[Category],"Zela")</f>
        <v>215161</v>
      </c>
      <c r="T307" s="29">
        <f>SUMIFS(Cash_Flow_3[Amount],Cash_Flow_3[Bulan],H307,Cash_Flow_3[Type],"Out",Cash_Flow_3[Category],"Iqbal")</f>
        <v>160000</v>
      </c>
    </row>
    <row r="308" spans="1:20" ht="22.5" customHeight="1" x14ac:dyDescent="0.2">
      <c r="A308" s="23">
        <v>46097</v>
      </c>
      <c r="B308" s="24" t="s">
        <v>962</v>
      </c>
      <c r="C308" s="25" t="s">
        <v>43</v>
      </c>
      <c r="D308" s="25" t="s">
        <v>44</v>
      </c>
      <c r="E308" s="25" t="s">
        <v>0</v>
      </c>
      <c r="F308" s="26">
        <v>30000</v>
      </c>
      <c r="G308" s="27"/>
      <c r="H308" s="28">
        <f t="shared" si="0"/>
        <v>46082</v>
      </c>
      <c r="I308" s="29">
        <f>SUMIFS(Cash_Flow_3[Amount],Cash_Flow_3[Bulan],H308,Cash_Flow_3[Type],"In")</f>
        <v>13015393</v>
      </c>
      <c r="J308" s="29">
        <f>SUMIFS(Cash_Flow_3[Amount],Cash_Flow_3[Bulan],H308,Cash_Flow_3[Type],"Out")</f>
        <v>10475288</v>
      </c>
      <c r="K308" s="29">
        <f>SUMIFS(Cash_Flow_3[Amount],Cash_Flow_3[Bulan],H308,Cash_Flow_3[Type],"Out",Cash_Flow_3[Category],"Fix")</f>
        <v>2908413</v>
      </c>
      <c r="L308" s="29">
        <f>SUMIFS(Cash_Flow_3[Amount],Cash_Flow_3[Bulan],H308,Cash_Flow_3[Type],"Out",Cash_Flow_3[Category],"Bathroom")</f>
        <v>48473</v>
      </c>
      <c r="M308" s="29">
        <f>SUMIFS(Cash_Flow_3[Amount],Cash_Flow_3[Bulan],H308,Cash_Flow_3[Type],"Out",Cash_Flow_3[Category],"Alfa")</f>
        <v>775042</v>
      </c>
      <c r="N308" s="29">
        <f>SUMIFS(Cash_Flow_3[Amount],Cash_Flow_3[Bulan],H308,Cash_Flow_3[Type],"Out",Cash_Flow_3[Category],"Jajan")</f>
        <v>795099</v>
      </c>
      <c r="O308" s="29">
        <f>SUMIFS(Cash_Flow_3[Amount],Cash_Flow_3[Bulan],H308,Cash_Flow_3[Type],"Out",Cash_Flow_3[Category],"Kitchen")</f>
        <v>1003600</v>
      </c>
      <c r="P308" s="29">
        <f>SUMIFS(Cash_Flow_3[Amount],Cash_Flow_3[Bulan],H308,Cash_Flow_3[Type],"Out",Cash_Flow_3[Category],"Loandry")</f>
        <v>41000</v>
      </c>
      <c r="Q308" s="29">
        <f>SUMIFS(Cash_Flow_3[Amount],Cash_Flow_3[Bulan],H308,Cash_Flow_3[Type],"Out",Cash_Flow_3[Category],"Mio")</f>
        <v>364500</v>
      </c>
      <c r="R308" s="29">
        <f>SUMIFS(Cash_Flow_3[Amount],Cash_Flow_3[Bulan],H308,Cash_Flow_3[Type],"Out",Cash_Flow_3[Category],"Sedekah")</f>
        <v>130000</v>
      </c>
      <c r="S308" s="29">
        <f>SUMIFS(Cash_Flow_3[Amount],Cash_Flow_3[Bulan],H308,Cash_Flow_3[Type],"Out",Cash_Flow_3[Category],"Zela")</f>
        <v>215161</v>
      </c>
      <c r="T308" s="29">
        <f>SUMIFS(Cash_Flow_3[Amount],Cash_Flow_3[Bulan],H308,Cash_Flow_3[Type],"Out",Cash_Flow_3[Category],"Iqbal")</f>
        <v>160000</v>
      </c>
    </row>
    <row r="309" spans="1:20" ht="22.5" customHeight="1" x14ac:dyDescent="0.2">
      <c r="A309" s="23">
        <v>46097</v>
      </c>
      <c r="B309" s="24" t="s">
        <v>526</v>
      </c>
      <c r="C309" s="25" t="s">
        <v>46</v>
      </c>
      <c r="D309" s="25" t="s">
        <v>44</v>
      </c>
      <c r="E309" s="25" t="s">
        <v>6</v>
      </c>
      <c r="F309" s="26">
        <v>25000</v>
      </c>
      <c r="G309" s="27"/>
      <c r="H309" s="28">
        <f t="shared" si="0"/>
        <v>46082</v>
      </c>
      <c r="I309" s="29">
        <f>SUMIFS(Cash_Flow_3[Amount],Cash_Flow_3[Bulan],H309,Cash_Flow_3[Type],"In")</f>
        <v>13015393</v>
      </c>
      <c r="J309" s="29">
        <f>SUMIFS(Cash_Flow_3[Amount],Cash_Flow_3[Bulan],H309,Cash_Flow_3[Type],"Out")</f>
        <v>10475288</v>
      </c>
      <c r="K309" s="29">
        <f>SUMIFS(Cash_Flow_3[Amount],Cash_Flow_3[Bulan],H309,Cash_Flow_3[Type],"Out",Cash_Flow_3[Category],"Fix")</f>
        <v>2908413</v>
      </c>
      <c r="L309" s="29">
        <f>SUMIFS(Cash_Flow_3[Amount],Cash_Flow_3[Bulan],H309,Cash_Flow_3[Type],"Out",Cash_Flow_3[Category],"Bathroom")</f>
        <v>48473</v>
      </c>
      <c r="M309" s="29">
        <f>SUMIFS(Cash_Flow_3[Amount],Cash_Flow_3[Bulan],H309,Cash_Flow_3[Type],"Out",Cash_Flow_3[Category],"Alfa")</f>
        <v>775042</v>
      </c>
      <c r="N309" s="29">
        <f>SUMIFS(Cash_Flow_3[Amount],Cash_Flow_3[Bulan],H309,Cash_Flow_3[Type],"Out",Cash_Flow_3[Category],"Jajan")</f>
        <v>795099</v>
      </c>
      <c r="O309" s="29">
        <f>SUMIFS(Cash_Flow_3[Amount],Cash_Flow_3[Bulan],H309,Cash_Flow_3[Type],"Out",Cash_Flow_3[Category],"Kitchen")</f>
        <v>1003600</v>
      </c>
      <c r="P309" s="29">
        <f>SUMIFS(Cash_Flow_3[Amount],Cash_Flow_3[Bulan],H309,Cash_Flow_3[Type],"Out",Cash_Flow_3[Category],"Loandry")</f>
        <v>41000</v>
      </c>
      <c r="Q309" s="29">
        <f>SUMIFS(Cash_Flow_3[Amount],Cash_Flow_3[Bulan],H309,Cash_Flow_3[Type],"Out",Cash_Flow_3[Category],"Mio")</f>
        <v>364500</v>
      </c>
      <c r="R309" s="29">
        <f>SUMIFS(Cash_Flow_3[Amount],Cash_Flow_3[Bulan],H309,Cash_Flow_3[Type],"Out",Cash_Flow_3[Category],"Sedekah")</f>
        <v>130000</v>
      </c>
      <c r="S309" s="29">
        <f>SUMIFS(Cash_Flow_3[Amount],Cash_Flow_3[Bulan],H309,Cash_Flow_3[Type],"Out",Cash_Flow_3[Category],"Zela")</f>
        <v>215161</v>
      </c>
      <c r="T309" s="29">
        <f>SUMIFS(Cash_Flow_3[Amount],Cash_Flow_3[Bulan],H309,Cash_Flow_3[Type],"Out",Cash_Flow_3[Category],"Iqbal")</f>
        <v>160000</v>
      </c>
    </row>
    <row r="310" spans="1:20" ht="22.5" customHeight="1" x14ac:dyDescent="0.2">
      <c r="A310" s="23">
        <v>46097</v>
      </c>
      <c r="B310" s="24" t="s">
        <v>499</v>
      </c>
      <c r="C310" s="25" t="s">
        <v>43</v>
      </c>
      <c r="D310" s="25" t="s">
        <v>44</v>
      </c>
      <c r="E310" s="25" t="s">
        <v>9</v>
      </c>
      <c r="F310" s="26">
        <v>100000</v>
      </c>
      <c r="G310" s="27"/>
      <c r="H310" s="28">
        <f t="shared" si="0"/>
        <v>46082</v>
      </c>
      <c r="I310" s="29">
        <f>SUMIFS(Cash_Flow_3[Amount],Cash_Flow_3[Bulan],H310,Cash_Flow_3[Type],"In")</f>
        <v>13015393</v>
      </c>
      <c r="J310" s="29">
        <f>SUMIFS(Cash_Flow_3[Amount],Cash_Flow_3[Bulan],H310,Cash_Flow_3[Type],"Out")</f>
        <v>10475288</v>
      </c>
      <c r="K310" s="29">
        <f>SUMIFS(Cash_Flow_3[Amount],Cash_Flow_3[Bulan],H310,Cash_Flow_3[Type],"Out",Cash_Flow_3[Category],"Fix")</f>
        <v>2908413</v>
      </c>
      <c r="L310" s="29">
        <f>SUMIFS(Cash_Flow_3[Amount],Cash_Flow_3[Bulan],H310,Cash_Flow_3[Type],"Out",Cash_Flow_3[Category],"Bathroom")</f>
        <v>48473</v>
      </c>
      <c r="M310" s="29">
        <f>SUMIFS(Cash_Flow_3[Amount],Cash_Flow_3[Bulan],H310,Cash_Flow_3[Type],"Out",Cash_Flow_3[Category],"Alfa")</f>
        <v>775042</v>
      </c>
      <c r="N310" s="29">
        <f>SUMIFS(Cash_Flow_3[Amount],Cash_Flow_3[Bulan],H310,Cash_Flow_3[Type],"Out",Cash_Flow_3[Category],"Jajan")</f>
        <v>795099</v>
      </c>
      <c r="O310" s="29">
        <f>SUMIFS(Cash_Flow_3[Amount],Cash_Flow_3[Bulan],H310,Cash_Flow_3[Type],"Out",Cash_Flow_3[Category],"Kitchen")</f>
        <v>1003600</v>
      </c>
      <c r="P310" s="29">
        <f>SUMIFS(Cash_Flow_3[Amount],Cash_Flow_3[Bulan],H310,Cash_Flow_3[Type],"Out",Cash_Flow_3[Category],"Loandry")</f>
        <v>41000</v>
      </c>
      <c r="Q310" s="29">
        <f>SUMIFS(Cash_Flow_3[Amount],Cash_Flow_3[Bulan],H310,Cash_Flow_3[Type],"Out",Cash_Flow_3[Category],"Mio")</f>
        <v>364500</v>
      </c>
      <c r="R310" s="29">
        <f>SUMIFS(Cash_Flow_3[Amount],Cash_Flow_3[Bulan],H310,Cash_Flow_3[Type],"Out",Cash_Flow_3[Category],"Sedekah")</f>
        <v>130000</v>
      </c>
      <c r="S310" s="29">
        <f>SUMIFS(Cash_Flow_3[Amount],Cash_Flow_3[Bulan],H310,Cash_Flow_3[Type],"Out",Cash_Flow_3[Category],"Zela")</f>
        <v>215161</v>
      </c>
      <c r="T310" s="29">
        <f>SUMIFS(Cash_Flow_3[Amount],Cash_Flow_3[Bulan],H310,Cash_Flow_3[Type],"Out",Cash_Flow_3[Category],"Iqbal")</f>
        <v>160000</v>
      </c>
    </row>
    <row r="311" spans="1:20" ht="22.5" customHeight="1" x14ac:dyDescent="0.2">
      <c r="A311" s="23">
        <v>46097</v>
      </c>
      <c r="B311" s="24" t="s">
        <v>550</v>
      </c>
      <c r="C311" s="25" t="s">
        <v>46</v>
      </c>
      <c r="D311" s="25" t="s">
        <v>39</v>
      </c>
      <c r="E311" s="25" t="s">
        <v>9</v>
      </c>
      <c r="F311" s="26">
        <v>100000</v>
      </c>
      <c r="G311" s="27"/>
      <c r="H311" s="28">
        <f t="shared" si="0"/>
        <v>46082</v>
      </c>
      <c r="I311" s="29">
        <f>SUMIFS(Cash_Flow_3[Amount],Cash_Flow_3[Bulan],H311,Cash_Flow_3[Type],"In")</f>
        <v>13015393</v>
      </c>
      <c r="J311" s="29">
        <f>SUMIFS(Cash_Flow_3[Amount],Cash_Flow_3[Bulan],H311,Cash_Flow_3[Type],"Out")</f>
        <v>10475288</v>
      </c>
      <c r="K311" s="29">
        <f>SUMIFS(Cash_Flow_3[Amount],Cash_Flow_3[Bulan],H311,Cash_Flow_3[Type],"Out",Cash_Flow_3[Category],"Fix")</f>
        <v>2908413</v>
      </c>
      <c r="L311" s="29">
        <f>SUMIFS(Cash_Flow_3[Amount],Cash_Flow_3[Bulan],H311,Cash_Flow_3[Type],"Out",Cash_Flow_3[Category],"Bathroom")</f>
        <v>48473</v>
      </c>
      <c r="M311" s="29">
        <f>SUMIFS(Cash_Flow_3[Amount],Cash_Flow_3[Bulan],H311,Cash_Flow_3[Type],"Out",Cash_Flow_3[Category],"Alfa")</f>
        <v>775042</v>
      </c>
      <c r="N311" s="29">
        <f>SUMIFS(Cash_Flow_3[Amount],Cash_Flow_3[Bulan],H311,Cash_Flow_3[Type],"Out",Cash_Flow_3[Category],"Jajan")</f>
        <v>795099</v>
      </c>
      <c r="O311" s="29">
        <f>SUMIFS(Cash_Flow_3[Amount],Cash_Flow_3[Bulan],H311,Cash_Flow_3[Type],"Out",Cash_Flow_3[Category],"Kitchen")</f>
        <v>1003600</v>
      </c>
      <c r="P311" s="29">
        <f>SUMIFS(Cash_Flow_3[Amount],Cash_Flow_3[Bulan],H311,Cash_Flow_3[Type],"Out",Cash_Flow_3[Category],"Loandry")</f>
        <v>41000</v>
      </c>
      <c r="Q311" s="29">
        <f>SUMIFS(Cash_Flow_3[Amount],Cash_Flow_3[Bulan],H311,Cash_Flow_3[Type],"Out",Cash_Flow_3[Category],"Mio")</f>
        <v>364500</v>
      </c>
      <c r="R311" s="29">
        <f>SUMIFS(Cash_Flow_3[Amount],Cash_Flow_3[Bulan],H311,Cash_Flow_3[Type],"Out",Cash_Flow_3[Category],"Sedekah")</f>
        <v>130000</v>
      </c>
      <c r="S311" s="29">
        <f>SUMIFS(Cash_Flow_3[Amount],Cash_Flow_3[Bulan],H311,Cash_Flow_3[Type],"Out",Cash_Flow_3[Category],"Zela")</f>
        <v>215161</v>
      </c>
      <c r="T311" s="29">
        <f>SUMIFS(Cash_Flow_3[Amount],Cash_Flow_3[Bulan],H311,Cash_Flow_3[Type],"Out",Cash_Flow_3[Category],"Iqbal")</f>
        <v>160000</v>
      </c>
    </row>
    <row r="312" spans="1:20" ht="22.5" customHeight="1" x14ac:dyDescent="0.2">
      <c r="A312" s="23">
        <v>46097</v>
      </c>
      <c r="B312" s="24" t="s">
        <v>742</v>
      </c>
      <c r="C312" s="25" t="s">
        <v>46</v>
      </c>
      <c r="D312" s="25" t="s">
        <v>44</v>
      </c>
      <c r="E312" s="25" t="s">
        <v>3</v>
      </c>
      <c r="F312" s="26">
        <v>163800</v>
      </c>
      <c r="G312" s="27"/>
      <c r="H312" s="28">
        <f t="shared" si="0"/>
        <v>46082</v>
      </c>
      <c r="I312" s="29">
        <f>SUMIFS(Cash_Flow_3[Amount],Cash_Flow_3[Bulan],H312,Cash_Flow_3[Type],"In")</f>
        <v>13015393</v>
      </c>
      <c r="J312" s="29">
        <f>SUMIFS(Cash_Flow_3[Amount],Cash_Flow_3[Bulan],H312,Cash_Flow_3[Type],"Out")</f>
        <v>10475288</v>
      </c>
      <c r="K312" s="29">
        <f>SUMIFS(Cash_Flow_3[Amount],Cash_Flow_3[Bulan],H312,Cash_Flow_3[Type],"Out",Cash_Flow_3[Category],"Fix")</f>
        <v>2908413</v>
      </c>
      <c r="L312" s="29">
        <f>SUMIFS(Cash_Flow_3[Amount],Cash_Flow_3[Bulan],H312,Cash_Flow_3[Type],"Out",Cash_Flow_3[Category],"Bathroom")</f>
        <v>48473</v>
      </c>
      <c r="M312" s="29">
        <f>SUMIFS(Cash_Flow_3[Amount],Cash_Flow_3[Bulan],H312,Cash_Flow_3[Type],"Out",Cash_Flow_3[Category],"Alfa")</f>
        <v>775042</v>
      </c>
      <c r="N312" s="29">
        <f>SUMIFS(Cash_Flow_3[Amount],Cash_Flow_3[Bulan],H312,Cash_Flow_3[Type],"Out",Cash_Flow_3[Category],"Jajan")</f>
        <v>795099</v>
      </c>
      <c r="O312" s="29">
        <f>SUMIFS(Cash_Flow_3[Amount],Cash_Flow_3[Bulan],H312,Cash_Flow_3[Type],"Out",Cash_Flow_3[Category],"Kitchen")</f>
        <v>1003600</v>
      </c>
      <c r="P312" s="29">
        <f>SUMIFS(Cash_Flow_3[Amount],Cash_Flow_3[Bulan],H312,Cash_Flow_3[Type],"Out",Cash_Flow_3[Category],"Loandry")</f>
        <v>41000</v>
      </c>
      <c r="Q312" s="29">
        <f>SUMIFS(Cash_Flow_3[Amount],Cash_Flow_3[Bulan],H312,Cash_Flow_3[Type],"Out",Cash_Flow_3[Category],"Mio")</f>
        <v>364500</v>
      </c>
      <c r="R312" s="29">
        <f>SUMIFS(Cash_Flow_3[Amount],Cash_Flow_3[Bulan],H312,Cash_Flow_3[Type],"Out",Cash_Flow_3[Category],"Sedekah")</f>
        <v>130000</v>
      </c>
      <c r="S312" s="29">
        <f>SUMIFS(Cash_Flow_3[Amount],Cash_Flow_3[Bulan],H312,Cash_Flow_3[Type],"Out",Cash_Flow_3[Category],"Zela")</f>
        <v>215161</v>
      </c>
      <c r="T312" s="29">
        <f>SUMIFS(Cash_Flow_3[Amount],Cash_Flow_3[Bulan],H312,Cash_Flow_3[Type],"Out",Cash_Flow_3[Category],"Iqbal")</f>
        <v>160000</v>
      </c>
    </row>
    <row r="313" spans="1:20" ht="22.5" customHeight="1" x14ac:dyDescent="0.2">
      <c r="A313" s="23">
        <v>46097</v>
      </c>
      <c r="B313" s="24" t="s">
        <v>480</v>
      </c>
      <c r="C313" s="25" t="s">
        <v>46</v>
      </c>
      <c r="D313" s="25" t="s">
        <v>44</v>
      </c>
      <c r="E313" s="25" t="s">
        <v>3</v>
      </c>
      <c r="F313" s="26">
        <v>3000</v>
      </c>
      <c r="G313" s="27"/>
      <c r="H313" s="28">
        <f t="shared" si="0"/>
        <v>46082</v>
      </c>
      <c r="I313" s="29">
        <f>SUMIFS(Cash_Flow_3[Amount],Cash_Flow_3[Bulan],H313,Cash_Flow_3[Type],"In")</f>
        <v>13015393</v>
      </c>
      <c r="J313" s="29">
        <f>SUMIFS(Cash_Flow_3[Amount],Cash_Flow_3[Bulan],H313,Cash_Flow_3[Type],"Out")</f>
        <v>10475288</v>
      </c>
      <c r="K313" s="29">
        <f>SUMIFS(Cash_Flow_3[Amount],Cash_Flow_3[Bulan],H313,Cash_Flow_3[Type],"Out",Cash_Flow_3[Category],"Fix")</f>
        <v>2908413</v>
      </c>
      <c r="L313" s="29">
        <f>SUMIFS(Cash_Flow_3[Amount],Cash_Flow_3[Bulan],H313,Cash_Flow_3[Type],"Out",Cash_Flow_3[Category],"Bathroom")</f>
        <v>48473</v>
      </c>
      <c r="M313" s="29">
        <f>SUMIFS(Cash_Flow_3[Amount],Cash_Flow_3[Bulan],H313,Cash_Flow_3[Type],"Out",Cash_Flow_3[Category],"Alfa")</f>
        <v>775042</v>
      </c>
      <c r="N313" s="29">
        <f>SUMIFS(Cash_Flow_3[Amount],Cash_Flow_3[Bulan],H313,Cash_Flow_3[Type],"Out",Cash_Flow_3[Category],"Jajan")</f>
        <v>795099</v>
      </c>
      <c r="O313" s="29">
        <f>SUMIFS(Cash_Flow_3[Amount],Cash_Flow_3[Bulan],H313,Cash_Flow_3[Type],"Out",Cash_Flow_3[Category],"Kitchen")</f>
        <v>1003600</v>
      </c>
      <c r="P313" s="29">
        <f>SUMIFS(Cash_Flow_3[Amount],Cash_Flow_3[Bulan],H313,Cash_Flow_3[Type],"Out",Cash_Flow_3[Category],"Loandry")</f>
        <v>41000</v>
      </c>
      <c r="Q313" s="29">
        <f>SUMIFS(Cash_Flow_3[Amount],Cash_Flow_3[Bulan],H313,Cash_Flow_3[Type],"Out",Cash_Flow_3[Category],"Mio")</f>
        <v>364500</v>
      </c>
      <c r="R313" s="29">
        <f>SUMIFS(Cash_Flow_3[Amount],Cash_Flow_3[Bulan],H313,Cash_Flow_3[Type],"Out",Cash_Flow_3[Category],"Sedekah")</f>
        <v>130000</v>
      </c>
      <c r="S313" s="29">
        <f>SUMIFS(Cash_Flow_3[Amount],Cash_Flow_3[Bulan],H313,Cash_Flow_3[Type],"Out",Cash_Flow_3[Category],"Zela")</f>
        <v>215161</v>
      </c>
      <c r="T313" s="29">
        <f>SUMIFS(Cash_Flow_3[Amount],Cash_Flow_3[Bulan],H313,Cash_Flow_3[Type],"Out",Cash_Flow_3[Category],"Iqbal")</f>
        <v>160000</v>
      </c>
    </row>
    <row r="314" spans="1:20" ht="22.5" customHeight="1" x14ac:dyDescent="0.2">
      <c r="A314" s="23">
        <v>46097</v>
      </c>
      <c r="B314" s="24" t="s">
        <v>963</v>
      </c>
      <c r="C314" s="25" t="s">
        <v>43</v>
      </c>
      <c r="D314" s="25" t="s">
        <v>39</v>
      </c>
      <c r="E314" s="25" t="s">
        <v>0</v>
      </c>
      <c r="F314" s="26">
        <v>1300700</v>
      </c>
      <c r="G314" s="27"/>
      <c r="H314" s="28">
        <f t="shared" si="0"/>
        <v>46082</v>
      </c>
      <c r="I314" s="29">
        <f>SUMIFS(Cash_Flow_3[Amount],Cash_Flow_3[Bulan],H314,Cash_Flow_3[Type],"In")</f>
        <v>13015393</v>
      </c>
      <c r="J314" s="29">
        <f>SUMIFS(Cash_Flow_3[Amount],Cash_Flow_3[Bulan],H314,Cash_Flow_3[Type],"Out")</f>
        <v>10475288</v>
      </c>
      <c r="K314" s="29">
        <f>SUMIFS(Cash_Flow_3[Amount],Cash_Flow_3[Bulan],H314,Cash_Flow_3[Type],"Out",Cash_Flow_3[Category],"Fix")</f>
        <v>2908413</v>
      </c>
      <c r="L314" s="29">
        <f>SUMIFS(Cash_Flow_3[Amount],Cash_Flow_3[Bulan],H314,Cash_Flow_3[Type],"Out",Cash_Flow_3[Category],"Bathroom")</f>
        <v>48473</v>
      </c>
      <c r="M314" s="29">
        <f>SUMIFS(Cash_Flow_3[Amount],Cash_Flow_3[Bulan],H314,Cash_Flow_3[Type],"Out",Cash_Flow_3[Category],"Alfa")</f>
        <v>775042</v>
      </c>
      <c r="N314" s="29">
        <f>SUMIFS(Cash_Flow_3[Amount],Cash_Flow_3[Bulan],H314,Cash_Flow_3[Type],"Out",Cash_Flow_3[Category],"Jajan")</f>
        <v>795099</v>
      </c>
      <c r="O314" s="29">
        <f>SUMIFS(Cash_Flow_3[Amount],Cash_Flow_3[Bulan],H314,Cash_Flow_3[Type],"Out",Cash_Flow_3[Category],"Kitchen")</f>
        <v>1003600</v>
      </c>
      <c r="P314" s="29">
        <f>SUMIFS(Cash_Flow_3[Amount],Cash_Flow_3[Bulan],H314,Cash_Flow_3[Type],"Out",Cash_Flow_3[Category],"Loandry")</f>
        <v>41000</v>
      </c>
      <c r="Q314" s="29">
        <f>SUMIFS(Cash_Flow_3[Amount],Cash_Flow_3[Bulan],H314,Cash_Flow_3[Type],"Out",Cash_Flow_3[Category],"Mio")</f>
        <v>364500</v>
      </c>
      <c r="R314" s="29">
        <f>SUMIFS(Cash_Flow_3[Amount],Cash_Flow_3[Bulan],H314,Cash_Flow_3[Type],"Out",Cash_Flow_3[Category],"Sedekah")</f>
        <v>130000</v>
      </c>
      <c r="S314" s="29">
        <f>SUMIFS(Cash_Flow_3[Amount],Cash_Flow_3[Bulan],H314,Cash_Flow_3[Type],"Out",Cash_Flow_3[Category],"Zela")</f>
        <v>215161</v>
      </c>
      <c r="T314" s="29">
        <f>SUMIFS(Cash_Flow_3[Amount],Cash_Flow_3[Bulan],H314,Cash_Flow_3[Type],"Out",Cash_Flow_3[Category],"Iqbal")</f>
        <v>160000</v>
      </c>
    </row>
    <row r="315" spans="1:20" ht="22.5" customHeight="1" x14ac:dyDescent="0.2">
      <c r="A315" s="23">
        <v>46097</v>
      </c>
      <c r="B315" s="24" t="s">
        <v>784</v>
      </c>
      <c r="C315" s="25" t="s">
        <v>43</v>
      </c>
      <c r="D315" s="25" t="s">
        <v>44</v>
      </c>
      <c r="E315" s="25" t="s">
        <v>0</v>
      </c>
      <c r="F315" s="26">
        <v>6000</v>
      </c>
      <c r="G315" s="27"/>
      <c r="H315" s="28">
        <f t="shared" si="0"/>
        <v>46082</v>
      </c>
      <c r="I315" s="29">
        <f>SUMIFS(Cash_Flow_3[Amount],Cash_Flow_3[Bulan],H315,Cash_Flow_3[Type],"In")</f>
        <v>13015393</v>
      </c>
      <c r="J315" s="29">
        <f>SUMIFS(Cash_Flow_3[Amount],Cash_Flow_3[Bulan],H315,Cash_Flow_3[Type],"Out")</f>
        <v>10475288</v>
      </c>
      <c r="K315" s="29">
        <f>SUMIFS(Cash_Flow_3[Amount],Cash_Flow_3[Bulan],H315,Cash_Flow_3[Type],"Out",Cash_Flow_3[Category],"Fix")</f>
        <v>2908413</v>
      </c>
      <c r="L315" s="29">
        <f>SUMIFS(Cash_Flow_3[Amount],Cash_Flow_3[Bulan],H315,Cash_Flow_3[Type],"Out",Cash_Flow_3[Category],"Bathroom")</f>
        <v>48473</v>
      </c>
      <c r="M315" s="29">
        <f>SUMIFS(Cash_Flow_3[Amount],Cash_Flow_3[Bulan],H315,Cash_Flow_3[Type],"Out",Cash_Flow_3[Category],"Alfa")</f>
        <v>775042</v>
      </c>
      <c r="N315" s="29">
        <f>SUMIFS(Cash_Flow_3[Amount],Cash_Flow_3[Bulan],H315,Cash_Flow_3[Type],"Out",Cash_Flow_3[Category],"Jajan")</f>
        <v>795099</v>
      </c>
      <c r="O315" s="29">
        <f>SUMIFS(Cash_Flow_3[Amount],Cash_Flow_3[Bulan],H315,Cash_Flow_3[Type],"Out",Cash_Flow_3[Category],"Kitchen")</f>
        <v>1003600</v>
      </c>
      <c r="P315" s="29">
        <f>SUMIFS(Cash_Flow_3[Amount],Cash_Flow_3[Bulan],H315,Cash_Flow_3[Type],"Out",Cash_Flow_3[Category],"Loandry")</f>
        <v>41000</v>
      </c>
      <c r="Q315" s="29">
        <f>SUMIFS(Cash_Flow_3[Amount],Cash_Flow_3[Bulan],H315,Cash_Flow_3[Type],"Out",Cash_Flow_3[Category],"Mio")</f>
        <v>364500</v>
      </c>
      <c r="R315" s="29">
        <f>SUMIFS(Cash_Flow_3[Amount],Cash_Flow_3[Bulan],H315,Cash_Flow_3[Type],"Out",Cash_Flow_3[Category],"Sedekah")</f>
        <v>130000</v>
      </c>
      <c r="S315" s="29">
        <f>SUMIFS(Cash_Flow_3[Amount],Cash_Flow_3[Bulan],H315,Cash_Flow_3[Type],"Out",Cash_Flow_3[Category],"Zela")</f>
        <v>215161</v>
      </c>
      <c r="T315" s="29">
        <f>SUMIFS(Cash_Flow_3[Amount],Cash_Flow_3[Bulan],H315,Cash_Flow_3[Type],"Out",Cash_Flow_3[Category],"Iqbal")</f>
        <v>160000</v>
      </c>
    </row>
    <row r="316" spans="1:20" ht="22.5" customHeight="1" x14ac:dyDescent="0.2">
      <c r="A316" s="23">
        <v>46098</v>
      </c>
      <c r="B316" s="24" t="s">
        <v>482</v>
      </c>
      <c r="C316" s="25" t="s">
        <v>43</v>
      </c>
      <c r="D316" s="25" t="s">
        <v>44</v>
      </c>
      <c r="E316" s="25" t="s">
        <v>9</v>
      </c>
      <c r="F316" s="26">
        <v>200000</v>
      </c>
      <c r="G316" s="27"/>
      <c r="H316" s="28">
        <f t="shared" si="0"/>
        <v>46082</v>
      </c>
      <c r="I316" s="29">
        <f>SUMIFS(Cash_Flow_3[Amount],Cash_Flow_3[Bulan],H316,Cash_Flow_3[Type],"In")</f>
        <v>13015393</v>
      </c>
      <c r="J316" s="29">
        <f>SUMIFS(Cash_Flow_3[Amount],Cash_Flow_3[Bulan],H316,Cash_Flow_3[Type],"Out")</f>
        <v>10475288</v>
      </c>
      <c r="K316" s="29">
        <f>SUMIFS(Cash_Flow_3[Amount],Cash_Flow_3[Bulan],H316,Cash_Flow_3[Type],"Out",Cash_Flow_3[Category],"Fix")</f>
        <v>2908413</v>
      </c>
      <c r="L316" s="29">
        <f>SUMIFS(Cash_Flow_3[Amount],Cash_Flow_3[Bulan],H316,Cash_Flow_3[Type],"Out",Cash_Flow_3[Category],"Bathroom")</f>
        <v>48473</v>
      </c>
      <c r="M316" s="29">
        <f>SUMIFS(Cash_Flow_3[Amount],Cash_Flow_3[Bulan],H316,Cash_Flow_3[Type],"Out",Cash_Flow_3[Category],"Alfa")</f>
        <v>775042</v>
      </c>
      <c r="N316" s="29">
        <f>SUMIFS(Cash_Flow_3[Amount],Cash_Flow_3[Bulan],H316,Cash_Flow_3[Type],"Out",Cash_Flow_3[Category],"Jajan")</f>
        <v>795099</v>
      </c>
      <c r="O316" s="29">
        <f>SUMIFS(Cash_Flow_3[Amount],Cash_Flow_3[Bulan],H316,Cash_Flow_3[Type],"Out",Cash_Flow_3[Category],"Kitchen")</f>
        <v>1003600</v>
      </c>
      <c r="P316" s="29">
        <f>SUMIFS(Cash_Flow_3[Amount],Cash_Flow_3[Bulan],H316,Cash_Flow_3[Type],"Out",Cash_Flow_3[Category],"Loandry")</f>
        <v>41000</v>
      </c>
      <c r="Q316" s="29">
        <f>SUMIFS(Cash_Flow_3[Amount],Cash_Flow_3[Bulan],H316,Cash_Flow_3[Type],"Out",Cash_Flow_3[Category],"Mio")</f>
        <v>364500</v>
      </c>
      <c r="R316" s="29">
        <f>SUMIFS(Cash_Flow_3[Amount],Cash_Flow_3[Bulan],H316,Cash_Flow_3[Type],"Out",Cash_Flow_3[Category],"Sedekah")</f>
        <v>130000</v>
      </c>
      <c r="S316" s="29">
        <f>SUMIFS(Cash_Flow_3[Amount],Cash_Flow_3[Bulan],H316,Cash_Flow_3[Type],"Out",Cash_Flow_3[Category],"Zela")</f>
        <v>215161</v>
      </c>
      <c r="T316" s="29">
        <f>SUMIFS(Cash_Flow_3[Amount],Cash_Flow_3[Bulan],H316,Cash_Flow_3[Type],"Out",Cash_Flow_3[Category],"Iqbal")</f>
        <v>160000</v>
      </c>
    </row>
    <row r="317" spans="1:20" ht="22.5" customHeight="1" x14ac:dyDescent="0.2">
      <c r="A317" s="23">
        <v>46098</v>
      </c>
      <c r="B317" s="24" t="s">
        <v>484</v>
      </c>
      <c r="C317" s="25" t="s">
        <v>46</v>
      </c>
      <c r="D317" s="25" t="s">
        <v>39</v>
      </c>
      <c r="E317" s="25" t="s">
        <v>9</v>
      </c>
      <c r="F317" s="26">
        <v>200000</v>
      </c>
      <c r="G317" s="27"/>
      <c r="H317" s="28">
        <f t="shared" si="0"/>
        <v>46082</v>
      </c>
      <c r="I317" s="29">
        <f>SUMIFS(Cash_Flow_3[Amount],Cash_Flow_3[Bulan],H317,Cash_Flow_3[Type],"In")</f>
        <v>13015393</v>
      </c>
      <c r="J317" s="29">
        <f>SUMIFS(Cash_Flow_3[Amount],Cash_Flow_3[Bulan],H317,Cash_Flow_3[Type],"Out")</f>
        <v>10475288</v>
      </c>
      <c r="K317" s="29">
        <f>SUMIFS(Cash_Flow_3[Amount],Cash_Flow_3[Bulan],H317,Cash_Flow_3[Type],"Out",Cash_Flow_3[Category],"Fix")</f>
        <v>2908413</v>
      </c>
      <c r="L317" s="29">
        <f>SUMIFS(Cash_Flow_3[Amount],Cash_Flow_3[Bulan],H317,Cash_Flow_3[Type],"Out",Cash_Flow_3[Category],"Bathroom")</f>
        <v>48473</v>
      </c>
      <c r="M317" s="29">
        <f>SUMIFS(Cash_Flow_3[Amount],Cash_Flow_3[Bulan],H317,Cash_Flow_3[Type],"Out",Cash_Flow_3[Category],"Alfa")</f>
        <v>775042</v>
      </c>
      <c r="N317" s="29">
        <f>SUMIFS(Cash_Flow_3[Amount],Cash_Flow_3[Bulan],H317,Cash_Flow_3[Type],"Out",Cash_Flow_3[Category],"Jajan")</f>
        <v>795099</v>
      </c>
      <c r="O317" s="29">
        <f>SUMIFS(Cash_Flow_3[Amount],Cash_Flow_3[Bulan],H317,Cash_Flow_3[Type],"Out",Cash_Flow_3[Category],"Kitchen")</f>
        <v>1003600</v>
      </c>
      <c r="P317" s="29">
        <f>SUMIFS(Cash_Flow_3[Amount],Cash_Flow_3[Bulan],H317,Cash_Flow_3[Type],"Out",Cash_Flow_3[Category],"Loandry")</f>
        <v>41000</v>
      </c>
      <c r="Q317" s="29">
        <f>SUMIFS(Cash_Flow_3[Amount],Cash_Flow_3[Bulan],H317,Cash_Flow_3[Type],"Out",Cash_Flow_3[Category],"Mio")</f>
        <v>364500</v>
      </c>
      <c r="R317" s="29">
        <f>SUMIFS(Cash_Flow_3[Amount],Cash_Flow_3[Bulan],H317,Cash_Flow_3[Type],"Out",Cash_Flow_3[Category],"Sedekah")</f>
        <v>130000</v>
      </c>
      <c r="S317" s="29">
        <f>SUMIFS(Cash_Flow_3[Amount],Cash_Flow_3[Bulan],H317,Cash_Flow_3[Type],"Out",Cash_Flow_3[Category],"Zela")</f>
        <v>215161</v>
      </c>
      <c r="T317" s="29">
        <f>SUMIFS(Cash_Flow_3[Amount],Cash_Flow_3[Bulan],H317,Cash_Flow_3[Type],"Out",Cash_Flow_3[Category],"Iqbal")</f>
        <v>160000</v>
      </c>
    </row>
    <row r="318" spans="1:20" ht="22.5" customHeight="1" x14ac:dyDescent="0.2">
      <c r="A318" s="23">
        <v>46098</v>
      </c>
      <c r="B318" s="24" t="s">
        <v>964</v>
      </c>
      <c r="C318" s="25" t="s">
        <v>46</v>
      </c>
      <c r="D318" s="25" t="s">
        <v>44</v>
      </c>
      <c r="E318" s="25" t="s">
        <v>0</v>
      </c>
      <c r="F318" s="26">
        <v>3000</v>
      </c>
      <c r="G318" s="27"/>
      <c r="H318" s="28">
        <f t="shared" si="0"/>
        <v>46082</v>
      </c>
      <c r="I318" s="29">
        <f>SUMIFS(Cash_Flow_3[Amount],Cash_Flow_3[Bulan],H318,Cash_Flow_3[Type],"In")</f>
        <v>13015393</v>
      </c>
      <c r="J318" s="29">
        <f>SUMIFS(Cash_Flow_3[Amount],Cash_Flow_3[Bulan],H318,Cash_Flow_3[Type],"Out")</f>
        <v>10475288</v>
      </c>
      <c r="K318" s="29">
        <f>SUMIFS(Cash_Flow_3[Amount],Cash_Flow_3[Bulan],H318,Cash_Flow_3[Type],"Out",Cash_Flow_3[Category],"Fix")</f>
        <v>2908413</v>
      </c>
      <c r="L318" s="29">
        <f>SUMIFS(Cash_Flow_3[Amount],Cash_Flow_3[Bulan],H318,Cash_Flow_3[Type],"Out",Cash_Flow_3[Category],"Bathroom")</f>
        <v>48473</v>
      </c>
      <c r="M318" s="29">
        <f>SUMIFS(Cash_Flow_3[Amount],Cash_Flow_3[Bulan],H318,Cash_Flow_3[Type],"Out",Cash_Flow_3[Category],"Alfa")</f>
        <v>775042</v>
      </c>
      <c r="N318" s="29">
        <f>SUMIFS(Cash_Flow_3[Amount],Cash_Flow_3[Bulan],H318,Cash_Flow_3[Type],"Out",Cash_Flow_3[Category],"Jajan")</f>
        <v>795099</v>
      </c>
      <c r="O318" s="29">
        <f>SUMIFS(Cash_Flow_3[Amount],Cash_Flow_3[Bulan],H318,Cash_Flow_3[Type],"Out",Cash_Flow_3[Category],"Kitchen")</f>
        <v>1003600</v>
      </c>
      <c r="P318" s="29">
        <f>SUMIFS(Cash_Flow_3[Amount],Cash_Flow_3[Bulan],H318,Cash_Flow_3[Type],"Out",Cash_Flow_3[Category],"Loandry")</f>
        <v>41000</v>
      </c>
      <c r="Q318" s="29">
        <f>SUMIFS(Cash_Flow_3[Amount],Cash_Flow_3[Bulan],H318,Cash_Flow_3[Type],"Out",Cash_Flow_3[Category],"Mio")</f>
        <v>364500</v>
      </c>
      <c r="R318" s="29">
        <f>SUMIFS(Cash_Flow_3[Amount],Cash_Flow_3[Bulan],H318,Cash_Flow_3[Type],"Out",Cash_Flow_3[Category],"Sedekah")</f>
        <v>130000</v>
      </c>
      <c r="S318" s="29">
        <f>SUMIFS(Cash_Flow_3[Amount],Cash_Flow_3[Bulan],H318,Cash_Flow_3[Type],"Out",Cash_Flow_3[Category],"Zela")</f>
        <v>215161</v>
      </c>
      <c r="T318" s="29">
        <f>SUMIFS(Cash_Flow_3[Amount],Cash_Flow_3[Bulan],H318,Cash_Flow_3[Type],"Out",Cash_Flow_3[Category],"Iqbal")</f>
        <v>160000</v>
      </c>
    </row>
    <row r="319" spans="1:20" ht="22.5" customHeight="1" x14ac:dyDescent="0.2">
      <c r="A319" s="23">
        <v>46098</v>
      </c>
      <c r="B319" s="24" t="s">
        <v>502</v>
      </c>
      <c r="C319" s="25" t="s">
        <v>46</v>
      </c>
      <c r="D319" s="25" t="s">
        <v>44</v>
      </c>
      <c r="E319" s="25" t="s">
        <v>6</v>
      </c>
      <c r="F319" s="26">
        <v>12000</v>
      </c>
      <c r="G319" s="27"/>
      <c r="H319" s="28">
        <f t="shared" si="0"/>
        <v>46082</v>
      </c>
      <c r="I319" s="29">
        <f>SUMIFS(Cash_Flow_3[Amount],Cash_Flow_3[Bulan],H319,Cash_Flow_3[Type],"In")</f>
        <v>13015393</v>
      </c>
      <c r="J319" s="29">
        <f>SUMIFS(Cash_Flow_3[Amount],Cash_Flow_3[Bulan],H319,Cash_Flow_3[Type],"Out")</f>
        <v>10475288</v>
      </c>
      <c r="K319" s="29">
        <f>SUMIFS(Cash_Flow_3[Amount],Cash_Flow_3[Bulan],H319,Cash_Flow_3[Type],"Out",Cash_Flow_3[Category],"Fix")</f>
        <v>2908413</v>
      </c>
      <c r="L319" s="29">
        <f>SUMIFS(Cash_Flow_3[Amount],Cash_Flow_3[Bulan],H319,Cash_Flow_3[Type],"Out",Cash_Flow_3[Category],"Bathroom")</f>
        <v>48473</v>
      </c>
      <c r="M319" s="29">
        <f>SUMIFS(Cash_Flow_3[Amount],Cash_Flow_3[Bulan],H319,Cash_Flow_3[Type],"Out",Cash_Flow_3[Category],"Alfa")</f>
        <v>775042</v>
      </c>
      <c r="N319" s="29">
        <f>SUMIFS(Cash_Flow_3[Amount],Cash_Flow_3[Bulan],H319,Cash_Flow_3[Type],"Out",Cash_Flow_3[Category],"Jajan")</f>
        <v>795099</v>
      </c>
      <c r="O319" s="29">
        <f>SUMIFS(Cash_Flow_3[Amount],Cash_Flow_3[Bulan],H319,Cash_Flow_3[Type],"Out",Cash_Flow_3[Category],"Kitchen")</f>
        <v>1003600</v>
      </c>
      <c r="P319" s="29">
        <f>SUMIFS(Cash_Flow_3[Amount],Cash_Flow_3[Bulan],H319,Cash_Flow_3[Type],"Out",Cash_Flow_3[Category],"Loandry")</f>
        <v>41000</v>
      </c>
      <c r="Q319" s="29">
        <f>SUMIFS(Cash_Flow_3[Amount],Cash_Flow_3[Bulan],H319,Cash_Flow_3[Type],"Out",Cash_Flow_3[Category],"Mio")</f>
        <v>364500</v>
      </c>
      <c r="R319" s="29">
        <f>SUMIFS(Cash_Flow_3[Amount],Cash_Flow_3[Bulan],H319,Cash_Flow_3[Type],"Out",Cash_Flow_3[Category],"Sedekah")</f>
        <v>130000</v>
      </c>
      <c r="S319" s="29">
        <f>SUMIFS(Cash_Flow_3[Amount],Cash_Flow_3[Bulan],H319,Cash_Flow_3[Type],"Out",Cash_Flow_3[Category],"Zela")</f>
        <v>215161</v>
      </c>
      <c r="T319" s="29">
        <f>SUMIFS(Cash_Flow_3[Amount],Cash_Flow_3[Bulan],H319,Cash_Flow_3[Type],"Out",Cash_Flow_3[Category],"Iqbal")</f>
        <v>160000</v>
      </c>
    </row>
    <row r="320" spans="1:20" ht="22.5" customHeight="1" x14ac:dyDescent="0.2">
      <c r="A320" s="23">
        <v>46098</v>
      </c>
      <c r="B320" s="24" t="s">
        <v>495</v>
      </c>
      <c r="C320" s="25" t="s">
        <v>46</v>
      </c>
      <c r="D320" s="25" t="s">
        <v>44</v>
      </c>
      <c r="E320" s="25" t="s">
        <v>1</v>
      </c>
      <c r="F320" s="26">
        <v>25000</v>
      </c>
      <c r="G320" s="27"/>
      <c r="H320" s="28">
        <f t="shared" si="0"/>
        <v>46082</v>
      </c>
      <c r="I320" s="29">
        <f>SUMIFS(Cash_Flow_3[Amount],Cash_Flow_3[Bulan],H320,Cash_Flow_3[Type],"In")</f>
        <v>13015393</v>
      </c>
      <c r="J320" s="29">
        <f>SUMIFS(Cash_Flow_3[Amount],Cash_Flow_3[Bulan],H320,Cash_Flow_3[Type],"Out")</f>
        <v>10475288</v>
      </c>
      <c r="K320" s="29">
        <f>SUMIFS(Cash_Flow_3[Amount],Cash_Flow_3[Bulan],H320,Cash_Flow_3[Type],"Out",Cash_Flow_3[Category],"Fix")</f>
        <v>2908413</v>
      </c>
      <c r="L320" s="29">
        <f>SUMIFS(Cash_Flow_3[Amount],Cash_Flow_3[Bulan],H320,Cash_Flow_3[Type],"Out",Cash_Flow_3[Category],"Bathroom")</f>
        <v>48473</v>
      </c>
      <c r="M320" s="29">
        <f>SUMIFS(Cash_Flow_3[Amount],Cash_Flow_3[Bulan],H320,Cash_Flow_3[Type],"Out",Cash_Flow_3[Category],"Alfa")</f>
        <v>775042</v>
      </c>
      <c r="N320" s="29">
        <f>SUMIFS(Cash_Flow_3[Amount],Cash_Flow_3[Bulan],H320,Cash_Flow_3[Type],"Out",Cash_Flow_3[Category],"Jajan")</f>
        <v>795099</v>
      </c>
      <c r="O320" s="29">
        <f>SUMIFS(Cash_Flow_3[Amount],Cash_Flow_3[Bulan],H320,Cash_Flow_3[Type],"Out",Cash_Flow_3[Category],"Kitchen")</f>
        <v>1003600</v>
      </c>
      <c r="P320" s="29">
        <f>SUMIFS(Cash_Flow_3[Amount],Cash_Flow_3[Bulan],H320,Cash_Flow_3[Type],"Out",Cash_Flow_3[Category],"Loandry")</f>
        <v>41000</v>
      </c>
      <c r="Q320" s="29">
        <f>SUMIFS(Cash_Flow_3[Amount],Cash_Flow_3[Bulan],H320,Cash_Flow_3[Type],"Out",Cash_Flow_3[Category],"Mio")</f>
        <v>364500</v>
      </c>
      <c r="R320" s="29">
        <f>SUMIFS(Cash_Flow_3[Amount],Cash_Flow_3[Bulan],H320,Cash_Flow_3[Type],"Out",Cash_Flow_3[Category],"Sedekah")</f>
        <v>130000</v>
      </c>
      <c r="S320" s="29">
        <f>SUMIFS(Cash_Flow_3[Amount],Cash_Flow_3[Bulan],H320,Cash_Flow_3[Type],"Out",Cash_Flow_3[Category],"Zela")</f>
        <v>215161</v>
      </c>
      <c r="T320" s="29">
        <f>SUMIFS(Cash_Flow_3[Amount],Cash_Flow_3[Bulan],H320,Cash_Flow_3[Type],"Out",Cash_Flow_3[Category],"Iqbal")</f>
        <v>160000</v>
      </c>
    </row>
    <row r="321" spans="1:20" ht="22.5" customHeight="1" x14ac:dyDescent="0.2">
      <c r="A321" s="23">
        <v>46098</v>
      </c>
      <c r="B321" s="24" t="s">
        <v>965</v>
      </c>
      <c r="C321" s="25" t="s">
        <v>46</v>
      </c>
      <c r="D321" s="25" t="s">
        <v>39</v>
      </c>
      <c r="E321" s="25" t="s">
        <v>0</v>
      </c>
      <c r="F321" s="26">
        <v>5000</v>
      </c>
      <c r="G321" s="27"/>
      <c r="H321" s="28">
        <f t="shared" si="0"/>
        <v>46082</v>
      </c>
      <c r="I321" s="29">
        <f>SUMIFS(Cash_Flow_3[Amount],Cash_Flow_3[Bulan],H321,Cash_Flow_3[Type],"In")</f>
        <v>13015393</v>
      </c>
      <c r="J321" s="29">
        <f>SUMIFS(Cash_Flow_3[Amount],Cash_Flow_3[Bulan],H321,Cash_Flow_3[Type],"Out")</f>
        <v>10475288</v>
      </c>
      <c r="K321" s="29">
        <f>SUMIFS(Cash_Flow_3[Amount],Cash_Flow_3[Bulan],H321,Cash_Flow_3[Type],"Out",Cash_Flow_3[Category],"Fix")</f>
        <v>2908413</v>
      </c>
      <c r="L321" s="29">
        <f>SUMIFS(Cash_Flow_3[Amount],Cash_Flow_3[Bulan],H321,Cash_Flow_3[Type],"Out",Cash_Flow_3[Category],"Bathroom")</f>
        <v>48473</v>
      </c>
      <c r="M321" s="29">
        <f>SUMIFS(Cash_Flow_3[Amount],Cash_Flow_3[Bulan],H321,Cash_Flow_3[Type],"Out",Cash_Flow_3[Category],"Alfa")</f>
        <v>775042</v>
      </c>
      <c r="N321" s="29">
        <f>SUMIFS(Cash_Flow_3[Amount],Cash_Flow_3[Bulan],H321,Cash_Flow_3[Type],"Out",Cash_Flow_3[Category],"Jajan")</f>
        <v>795099</v>
      </c>
      <c r="O321" s="29">
        <f>SUMIFS(Cash_Flow_3[Amount],Cash_Flow_3[Bulan],H321,Cash_Flow_3[Type],"Out",Cash_Flow_3[Category],"Kitchen")</f>
        <v>1003600</v>
      </c>
      <c r="P321" s="29">
        <f>SUMIFS(Cash_Flow_3[Amount],Cash_Flow_3[Bulan],H321,Cash_Flow_3[Type],"Out",Cash_Flow_3[Category],"Loandry")</f>
        <v>41000</v>
      </c>
      <c r="Q321" s="29">
        <f>SUMIFS(Cash_Flow_3[Amount],Cash_Flow_3[Bulan],H321,Cash_Flow_3[Type],"Out",Cash_Flow_3[Category],"Mio")</f>
        <v>364500</v>
      </c>
      <c r="R321" s="29">
        <f>SUMIFS(Cash_Flow_3[Amount],Cash_Flow_3[Bulan],H321,Cash_Flow_3[Type],"Out",Cash_Flow_3[Category],"Sedekah")</f>
        <v>130000</v>
      </c>
      <c r="S321" s="29">
        <f>SUMIFS(Cash_Flow_3[Amount],Cash_Flow_3[Bulan],H321,Cash_Flow_3[Type],"Out",Cash_Flow_3[Category],"Zela")</f>
        <v>215161</v>
      </c>
      <c r="T321" s="29">
        <f>SUMIFS(Cash_Flow_3[Amount],Cash_Flow_3[Bulan],H321,Cash_Flow_3[Type],"Out",Cash_Flow_3[Category],"Iqbal")</f>
        <v>160000</v>
      </c>
    </row>
    <row r="322" spans="1:20" ht="22.5" customHeight="1" x14ac:dyDescent="0.2">
      <c r="A322" s="23">
        <v>46098</v>
      </c>
      <c r="B322" s="24" t="s">
        <v>378</v>
      </c>
      <c r="C322" s="25" t="s">
        <v>46</v>
      </c>
      <c r="D322" s="25" t="s">
        <v>44</v>
      </c>
      <c r="E322" s="25" t="s">
        <v>2</v>
      </c>
      <c r="F322" s="26">
        <v>8700</v>
      </c>
      <c r="G322" s="27"/>
      <c r="H322" s="28">
        <f t="shared" si="0"/>
        <v>46082</v>
      </c>
      <c r="I322" s="29">
        <f>SUMIFS(Cash_Flow_3[Amount],Cash_Flow_3[Bulan],H322,Cash_Flow_3[Type],"In")</f>
        <v>13015393</v>
      </c>
      <c r="J322" s="29">
        <f>SUMIFS(Cash_Flow_3[Amount],Cash_Flow_3[Bulan],H322,Cash_Flow_3[Type],"Out")</f>
        <v>10475288</v>
      </c>
      <c r="K322" s="29">
        <f>SUMIFS(Cash_Flow_3[Amount],Cash_Flow_3[Bulan],H322,Cash_Flow_3[Type],"Out",Cash_Flow_3[Category],"Fix")</f>
        <v>2908413</v>
      </c>
      <c r="L322" s="29">
        <f>SUMIFS(Cash_Flow_3[Amount],Cash_Flow_3[Bulan],H322,Cash_Flow_3[Type],"Out",Cash_Flow_3[Category],"Bathroom")</f>
        <v>48473</v>
      </c>
      <c r="M322" s="29">
        <f>SUMIFS(Cash_Flow_3[Amount],Cash_Flow_3[Bulan],H322,Cash_Flow_3[Type],"Out",Cash_Flow_3[Category],"Alfa")</f>
        <v>775042</v>
      </c>
      <c r="N322" s="29">
        <f>SUMIFS(Cash_Flow_3[Amount],Cash_Flow_3[Bulan],H322,Cash_Flow_3[Type],"Out",Cash_Flow_3[Category],"Jajan")</f>
        <v>795099</v>
      </c>
      <c r="O322" s="29">
        <f>SUMIFS(Cash_Flow_3[Amount],Cash_Flow_3[Bulan],H322,Cash_Flow_3[Type],"Out",Cash_Flow_3[Category],"Kitchen")</f>
        <v>1003600</v>
      </c>
      <c r="P322" s="29">
        <f>SUMIFS(Cash_Flow_3[Amount],Cash_Flow_3[Bulan],H322,Cash_Flow_3[Type],"Out",Cash_Flow_3[Category],"Loandry")</f>
        <v>41000</v>
      </c>
      <c r="Q322" s="29">
        <f>SUMIFS(Cash_Flow_3[Amount],Cash_Flow_3[Bulan],H322,Cash_Flow_3[Type],"Out",Cash_Flow_3[Category],"Mio")</f>
        <v>364500</v>
      </c>
      <c r="R322" s="29">
        <f>SUMIFS(Cash_Flow_3[Amount],Cash_Flow_3[Bulan],H322,Cash_Flow_3[Type],"Out",Cash_Flow_3[Category],"Sedekah")</f>
        <v>130000</v>
      </c>
      <c r="S322" s="29">
        <f>SUMIFS(Cash_Flow_3[Amount],Cash_Flow_3[Bulan],H322,Cash_Flow_3[Type],"Out",Cash_Flow_3[Category],"Zela")</f>
        <v>215161</v>
      </c>
      <c r="T322" s="29">
        <f>SUMIFS(Cash_Flow_3[Amount],Cash_Flow_3[Bulan],H322,Cash_Flow_3[Type],"Out",Cash_Flow_3[Category],"Iqbal")</f>
        <v>160000</v>
      </c>
    </row>
    <row r="323" spans="1:20" ht="22.5" customHeight="1" x14ac:dyDescent="0.2">
      <c r="A323" s="23">
        <v>46098</v>
      </c>
      <c r="B323" s="24" t="s">
        <v>966</v>
      </c>
      <c r="C323" s="25" t="s">
        <v>46</v>
      </c>
      <c r="D323" s="25" t="s">
        <v>44</v>
      </c>
      <c r="E323" s="25" t="s">
        <v>2</v>
      </c>
      <c r="F323" s="26">
        <v>14000</v>
      </c>
      <c r="G323" s="27"/>
      <c r="H323" s="28">
        <f t="shared" si="0"/>
        <v>46082</v>
      </c>
      <c r="I323" s="29">
        <f>SUMIFS(Cash_Flow_3[Amount],Cash_Flow_3[Bulan],H323,Cash_Flow_3[Type],"In")</f>
        <v>13015393</v>
      </c>
      <c r="J323" s="29">
        <f>SUMIFS(Cash_Flow_3[Amount],Cash_Flow_3[Bulan],H323,Cash_Flow_3[Type],"Out")</f>
        <v>10475288</v>
      </c>
      <c r="K323" s="29">
        <f>SUMIFS(Cash_Flow_3[Amount],Cash_Flow_3[Bulan],H323,Cash_Flow_3[Type],"Out",Cash_Flow_3[Category],"Fix")</f>
        <v>2908413</v>
      </c>
      <c r="L323" s="29">
        <f>SUMIFS(Cash_Flow_3[Amount],Cash_Flow_3[Bulan],H323,Cash_Flow_3[Type],"Out",Cash_Flow_3[Category],"Bathroom")</f>
        <v>48473</v>
      </c>
      <c r="M323" s="29">
        <f>SUMIFS(Cash_Flow_3[Amount],Cash_Flow_3[Bulan],H323,Cash_Flow_3[Type],"Out",Cash_Flow_3[Category],"Alfa")</f>
        <v>775042</v>
      </c>
      <c r="N323" s="29">
        <f>SUMIFS(Cash_Flow_3[Amount],Cash_Flow_3[Bulan],H323,Cash_Flow_3[Type],"Out",Cash_Flow_3[Category],"Jajan")</f>
        <v>795099</v>
      </c>
      <c r="O323" s="29">
        <f>SUMIFS(Cash_Flow_3[Amount],Cash_Flow_3[Bulan],H323,Cash_Flow_3[Type],"Out",Cash_Flow_3[Category],"Kitchen")</f>
        <v>1003600</v>
      </c>
      <c r="P323" s="29">
        <f>SUMIFS(Cash_Flow_3[Amount],Cash_Flow_3[Bulan],H323,Cash_Flow_3[Type],"Out",Cash_Flow_3[Category],"Loandry")</f>
        <v>41000</v>
      </c>
      <c r="Q323" s="29">
        <f>SUMIFS(Cash_Flow_3[Amount],Cash_Flow_3[Bulan],H323,Cash_Flow_3[Type],"Out",Cash_Flow_3[Category],"Mio")</f>
        <v>364500</v>
      </c>
      <c r="R323" s="29">
        <f>SUMIFS(Cash_Flow_3[Amount],Cash_Flow_3[Bulan],H323,Cash_Flow_3[Type],"Out",Cash_Flow_3[Category],"Sedekah")</f>
        <v>130000</v>
      </c>
      <c r="S323" s="29">
        <f>SUMIFS(Cash_Flow_3[Amount],Cash_Flow_3[Bulan],H323,Cash_Flow_3[Type],"Out",Cash_Flow_3[Category],"Zela")</f>
        <v>215161</v>
      </c>
      <c r="T323" s="29">
        <f>SUMIFS(Cash_Flow_3[Amount],Cash_Flow_3[Bulan],H323,Cash_Flow_3[Type],"Out",Cash_Flow_3[Category],"Iqbal")</f>
        <v>160000</v>
      </c>
    </row>
    <row r="324" spans="1:20" ht="22.5" customHeight="1" x14ac:dyDescent="0.2">
      <c r="A324" s="23">
        <v>46098</v>
      </c>
      <c r="B324" s="24" t="s">
        <v>967</v>
      </c>
      <c r="C324" s="25" t="s">
        <v>43</v>
      </c>
      <c r="D324" s="25" t="s">
        <v>44</v>
      </c>
      <c r="E324" s="25" t="s">
        <v>5</v>
      </c>
      <c r="F324" s="26">
        <v>13200</v>
      </c>
      <c r="G324" s="27"/>
      <c r="H324" s="28">
        <f t="shared" si="0"/>
        <v>46082</v>
      </c>
      <c r="I324" s="29">
        <f>SUMIFS(Cash_Flow_3[Amount],Cash_Flow_3[Bulan],H324,Cash_Flow_3[Type],"In")</f>
        <v>13015393</v>
      </c>
      <c r="J324" s="29">
        <f>SUMIFS(Cash_Flow_3[Amount],Cash_Flow_3[Bulan],H324,Cash_Flow_3[Type],"Out")</f>
        <v>10475288</v>
      </c>
      <c r="K324" s="29">
        <f>SUMIFS(Cash_Flow_3[Amount],Cash_Flow_3[Bulan],H324,Cash_Flow_3[Type],"Out",Cash_Flow_3[Category],"Fix")</f>
        <v>2908413</v>
      </c>
      <c r="L324" s="29">
        <f>SUMIFS(Cash_Flow_3[Amount],Cash_Flow_3[Bulan],H324,Cash_Flow_3[Type],"Out",Cash_Flow_3[Category],"Bathroom")</f>
        <v>48473</v>
      </c>
      <c r="M324" s="29">
        <f>SUMIFS(Cash_Flow_3[Amount],Cash_Flow_3[Bulan],H324,Cash_Flow_3[Type],"Out",Cash_Flow_3[Category],"Alfa")</f>
        <v>775042</v>
      </c>
      <c r="N324" s="29">
        <f>SUMIFS(Cash_Flow_3[Amount],Cash_Flow_3[Bulan],H324,Cash_Flow_3[Type],"Out",Cash_Flow_3[Category],"Jajan")</f>
        <v>795099</v>
      </c>
      <c r="O324" s="29">
        <f>SUMIFS(Cash_Flow_3[Amount],Cash_Flow_3[Bulan],H324,Cash_Flow_3[Type],"Out",Cash_Flow_3[Category],"Kitchen")</f>
        <v>1003600</v>
      </c>
      <c r="P324" s="29">
        <f>SUMIFS(Cash_Flow_3[Amount],Cash_Flow_3[Bulan],H324,Cash_Flow_3[Type],"Out",Cash_Flow_3[Category],"Loandry")</f>
        <v>41000</v>
      </c>
      <c r="Q324" s="29">
        <f>SUMIFS(Cash_Flow_3[Amount],Cash_Flow_3[Bulan],H324,Cash_Flow_3[Type],"Out",Cash_Flow_3[Category],"Mio")</f>
        <v>364500</v>
      </c>
      <c r="R324" s="29">
        <f>SUMIFS(Cash_Flow_3[Amount],Cash_Flow_3[Bulan],H324,Cash_Flow_3[Type],"Out",Cash_Flow_3[Category],"Sedekah")</f>
        <v>130000</v>
      </c>
      <c r="S324" s="29">
        <f>SUMIFS(Cash_Flow_3[Amount],Cash_Flow_3[Bulan],H324,Cash_Flow_3[Type],"Out",Cash_Flow_3[Category],"Zela")</f>
        <v>215161</v>
      </c>
      <c r="T324" s="29">
        <f>SUMIFS(Cash_Flow_3[Amount],Cash_Flow_3[Bulan],H324,Cash_Flow_3[Type],"Out",Cash_Flow_3[Category],"Iqbal")</f>
        <v>160000</v>
      </c>
    </row>
    <row r="325" spans="1:20" ht="22.5" customHeight="1" x14ac:dyDescent="0.2">
      <c r="A325" s="23">
        <v>46098</v>
      </c>
      <c r="B325" s="24" t="s">
        <v>384</v>
      </c>
      <c r="C325" s="25" t="s">
        <v>43</v>
      </c>
      <c r="D325" s="25" t="s">
        <v>44</v>
      </c>
      <c r="E325" s="25" t="s">
        <v>1</v>
      </c>
      <c r="F325" s="26">
        <v>53800</v>
      </c>
      <c r="G325" s="27"/>
      <c r="H325" s="28">
        <f t="shared" si="0"/>
        <v>46082</v>
      </c>
      <c r="I325" s="29">
        <f>SUMIFS(Cash_Flow_3[Amount],Cash_Flow_3[Bulan],H325,Cash_Flow_3[Type],"In")</f>
        <v>13015393</v>
      </c>
      <c r="J325" s="29">
        <f>SUMIFS(Cash_Flow_3[Amount],Cash_Flow_3[Bulan],H325,Cash_Flow_3[Type],"Out")</f>
        <v>10475288</v>
      </c>
      <c r="K325" s="29">
        <f>SUMIFS(Cash_Flow_3[Amount],Cash_Flow_3[Bulan],H325,Cash_Flow_3[Type],"Out",Cash_Flow_3[Category],"Fix")</f>
        <v>2908413</v>
      </c>
      <c r="L325" s="29">
        <f>SUMIFS(Cash_Flow_3[Amount],Cash_Flow_3[Bulan],H325,Cash_Flow_3[Type],"Out",Cash_Flow_3[Category],"Bathroom")</f>
        <v>48473</v>
      </c>
      <c r="M325" s="29">
        <f>SUMIFS(Cash_Flow_3[Amount],Cash_Flow_3[Bulan],H325,Cash_Flow_3[Type],"Out",Cash_Flow_3[Category],"Alfa")</f>
        <v>775042</v>
      </c>
      <c r="N325" s="29">
        <f>SUMIFS(Cash_Flow_3[Amount],Cash_Flow_3[Bulan],H325,Cash_Flow_3[Type],"Out",Cash_Flow_3[Category],"Jajan")</f>
        <v>795099</v>
      </c>
      <c r="O325" s="29">
        <f>SUMIFS(Cash_Flow_3[Amount],Cash_Flow_3[Bulan],H325,Cash_Flow_3[Type],"Out",Cash_Flow_3[Category],"Kitchen")</f>
        <v>1003600</v>
      </c>
      <c r="P325" s="29">
        <f>SUMIFS(Cash_Flow_3[Amount],Cash_Flow_3[Bulan],H325,Cash_Flow_3[Type],"Out",Cash_Flow_3[Category],"Loandry")</f>
        <v>41000</v>
      </c>
      <c r="Q325" s="29">
        <f>SUMIFS(Cash_Flow_3[Amount],Cash_Flow_3[Bulan],H325,Cash_Flow_3[Type],"Out",Cash_Flow_3[Category],"Mio")</f>
        <v>364500</v>
      </c>
      <c r="R325" s="29">
        <f>SUMIFS(Cash_Flow_3[Amount],Cash_Flow_3[Bulan],H325,Cash_Flow_3[Type],"Out",Cash_Flow_3[Category],"Sedekah")</f>
        <v>130000</v>
      </c>
      <c r="S325" s="29">
        <f>SUMIFS(Cash_Flow_3[Amount],Cash_Flow_3[Bulan],H325,Cash_Flow_3[Type],"Out",Cash_Flow_3[Category],"Zela")</f>
        <v>215161</v>
      </c>
      <c r="T325" s="29">
        <f>SUMIFS(Cash_Flow_3[Amount],Cash_Flow_3[Bulan],H325,Cash_Flow_3[Type],"Out",Cash_Flow_3[Category],"Iqbal")</f>
        <v>160000</v>
      </c>
    </row>
    <row r="326" spans="1:20" ht="22.5" customHeight="1" x14ac:dyDescent="0.2">
      <c r="A326" s="23">
        <v>46098</v>
      </c>
      <c r="B326" s="24" t="s">
        <v>386</v>
      </c>
      <c r="C326" s="25" t="s">
        <v>46</v>
      </c>
      <c r="D326" s="25" t="s">
        <v>44</v>
      </c>
      <c r="E326" s="25" t="s">
        <v>1</v>
      </c>
      <c r="F326" s="26">
        <v>35000</v>
      </c>
      <c r="G326" s="27"/>
      <c r="H326" s="28">
        <f t="shared" si="0"/>
        <v>46082</v>
      </c>
      <c r="I326" s="29">
        <f>SUMIFS(Cash_Flow_3[Amount],Cash_Flow_3[Bulan],H326,Cash_Flow_3[Type],"In")</f>
        <v>13015393</v>
      </c>
      <c r="J326" s="29">
        <f>SUMIFS(Cash_Flow_3[Amount],Cash_Flow_3[Bulan],H326,Cash_Flow_3[Type],"Out")</f>
        <v>10475288</v>
      </c>
      <c r="K326" s="29">
        <f>SUMIFS(Cash_Flow_3[Amount],Cash_Flow_3[Bulan],H326,Cash_Flow_3[Type],"Out",Cash_Flow_3[Category],"Fix")</f>
        <v>2908413</v>
      </c>
      <c r="L326" s="29">
        <f>SUMIFS(Cash_Flow_3[Amount],Cash_Flow_3[Bulan],H326,Cash_Flow_3[Type],"Out",Cash_Flow_3[Category],"Bathroom")</f>
        <v>48473</v>
      </c>
      <c r="M326" s="29">
        <f>SUMIFS(Cash_Flow_3[Amount],Cash_Flow_3[Bulan],H326,Cash_Flow_3[Type],"Out",Cash_Flow_3[Category],"Alfa")</f>
        <v>775042</v>
      </c>
      <c r="N326" s="29">
        <f>SUMIFS(Cash_Flow_3[Amount],Cash_Flow_3[Bulan],H326,Cash_Flow_3[Type],"Out",Cash_Flow_3[Category],"Jajan")</f>
        <v>795099</v>
      </c>
      <c r="O326" s="29">
        <f>SUMIFS(Cash_Flow_3[Amount],Cash_Flow_3[Bulan],H326,Cash_Flow_3[Type],"Out",Cash_Flow_3[Category],"Kitchen")</f>
        <v>1003600</v>
      </c>
      <c r="P326" s="29">
        <f>SUMIFS(Cash_Flow_3[Amount],Cash_Flow_3[Bulan],H326,Cash_Flow_3[Type],"Out",Cash_Flow_3[Category],"Loandry")</f>
        <v>41000</v>
      </c>
      <c r="Q326" s="29">
        <f>SUMIFS(Cash_Flow_3[Amount],Cash_Flow_3[Bulan],H326,Cash_Flow_3[Type],"Out",Cash_Flow_3[Category],"Mio")</f>
        <v>364500</v>
      </c>
      <c r="R326" s="29">
        <f>SUMIFS(Cash_Flow_3[Amount],Cash_Flow_3[Bulan],H326,Cash_Flow_3[Type],"Out",Cash_Flow_3[Category],"Sedekah")</f>
        <v>130000</v>
      </c>
      <c r="S326" s="29">
        <f>SUMIFS(Cash_Flow_3[Amount],Cash_Flow_3[Bulan],H326,Cash_Flow_3[Type],"Out",Cash_Flow_3[Category],"Zela")</f>
        <v>215161</v>
      </c>
      <c r="T326" s="29">
        <f>SUMIFS(Cash_Flow_3[Amount],Cash_Flow_3[Bulan],H326,Cash_Flow_3[Type],"Out",Cash_Flow_3[Category],"Iqbal")</f>
        <v>160000</v>
      </c>
    </row>
    <row r="327" spans="1:20" ht="22.5" customHeight="1" x14ac:dyDescent="0.2">
      <c r="A327" s="23">
        <v>46099</v>
      </c>
      <c r="B327" s="24" t="s">
        <v>968</v>
      </c>
      <c r="C327" s="25" t="s">
        <v>46</v>
      </c>
      <c r="D327" s="25" t="s">
        <v>44</v>
      </c>
      <c r="E327" s="25" t="s">
        <v>3</v>
      </c>
      <c r="F327" s="26">
        <v>35000</v>
      </c>
      <c r="G327" s="27"/>
      <c r="H327" s="28">
        <f t="shared" si="0"/>
        <v>46082</v>
      </c>
      <c r="I327" s="29">
        <f>SUMIFS(Cash_Flow_3[Amount],Cash_Flow_3[Bulan],H327,Cash_Flow_3[Type],"In")</f>
        <v>13015393</v>
      </c>
      <c r="J327" s="29">
        <f>SUMIFS(Cash_Flow_3[Amount],Cash_Flow_3[Bulan],H327,Cash_Flow_3[Type],"Out")</f>
        <v>10475288</v>
      </c>
      <c r="K327" s="29">
        <f>SUMIFS(Cash_Flow_3[Amount],Cash_Flow_3[Bulan],H327,Cash_Flow_3[Type],"Out",Cash_Flow_3[Category],"Fix")</f>
        <v>2908413</v>
      </c>
      <c r="L327" s="29">
        <f>SUMIFS(Cash_Flow_3[Amount],Cash_Flow_3[Bulan],H327,Cash_Flow_3[Type],"Out",Cash_Flow_3[Category],"Bathroom")</f>
        <v>48473</v>
      </c>
      <c r="M327" s="29">
        <f>SUMIFS(Cash_Flow_3[Amount],Cash_Flow_3[Bulan],H327,Cash_Flow_3[Type],"Out",Cash_Flow_3[Category],"Alfa")</f>
        <v>775042</v>
      </c>
      <c r="N327" s="29">
        <f>SUMIFS(Cash_Flow_3[Amount],Cash_Flow_3[Bulan],H327,Cash_Flow_3[Type],"Out",Cash_Flow_3[Category],"Jajan")</f>
        <v>795099</v>
      </c>
      <c r="O327" s="29">
        <f>SUMIFS(Cash_Flow_3[Amount],Cash_Flow_3[Bulan],H327,Cash_Flow_3[Type],"Out",Cash_Flow_3[Category],"Kitchen")</f>
        <v>1003600</v>
      </c>
      <c r="P327" s="29">
        <f>SUMIFS(Cash_Flow_3[Amount],Cash_Flow_3[Bulan],H327,Cash_Flow_3[Type],"Out",Cash_Flow_3[Category],"Loandry")</f>
        <v>41000</v>
      </c>
      <c r="Q327" s="29">
        <f>SUMIFS(Cash_Flow_3[Amount],Cash_Flow_3[Bulan],H327,Cash_Flow_3[Type],"Out",Cash_Flow_3[Category],"Mio")</f>
        <v>364500</v>
      </c>
      <c r="R327" s="29">
        <f>SUMIFS(Cash_Flow_3[Amount],Cash_Flow_3[Bulan],H327,Cash_Flow_3[Type],"Out",Cash_Flow_3[Category],"Sedekah")</f>
        <v>130000</v>
      </c>
      <c r="S327" s="29">
        <f>SUMIFS(Cash_Flow_3[Amount],Cash_Flow_3[Bulan],H327,Cash_Flow_3[Type],"Out",Cash_Flow_3[Category],"Zela")</f>
        <v>215161</v>
      </c>
      <c r="T327" s="29">
        <f>SUMIFS(Cash_Flow_3[Amount],Cash_Flow_3[Bulan],H327,Cash_Flow_3[Type],"Out",Cash_Flow_3[Category],"Iqbal")</f>
        <v>160000</v>
      </c>
    </row>
    <row r="328" spans="1:20" ht="22.5" customHeight="1" x14ac:dyDescent="0.2">
      <c r="A328" s="23">
        <v>46099</v>
      </c>
      <c r="B328" s="24" t="s">
        <v>969</v>
      </c>
      <c r="C328" s="25" t="s">
        <v>46</v>
      </c>
      <c r="D328" s="25" t="s">
        <v>44</v>
      </c>
      <c r="E328" s="25" t="s">
        <v>3</v>
      </c>
      <c r="F328" s="26">
        <v>8000</v>
      </c>
      <c r="G328" s="27"/>
      <c r="H328" s="28">
        <f t="shared" si="0"/>
        <v>46082</v>
      </c>
      <c r="I328" s="29">
        <f>SUMIFS(Cash_Flow_3[Amount],Cash_Flow_3[Bulan],H328,Cash_Flow_3[Type],"In")</f>
        <v>13015393</v>
      </c>
      <c r="J328" s="29">
        <f>SUMIFS(Cash_Flow_3[Amount],Cash_Flow_3[Bulan],H328,Cash_Flow_3[Type],"Out")</f>
        <v>10475288</v>
      </c>
      <c r="K328" s="29">
        <f>SUMIFS(Cash_Flow_3[Amount],Cash_Flow_3[Bulan],H328,Cash_Flow_3[Type],"Out",Cash_Flow_3[Category],"Fix")</f>
        <v>2908413</v>
      </c>
      <c r="L328" s="29">
        <f>SUMIFS(Cash_Flow_3[Amount],Cash_Flow_3[Bulan],H328,Cash_Flow_3[Type],"Out",Cash_Flow_3[Category],"Bathroom")</f>
        <v>48473</v>
      </c>
      <c r="M328" s="29">
        <f>SUMIFS(Cash_Flow_3[Amount],Cash_Flow_3[Bulan],H328,Cash_Flow_3[Type],"Out",Cash_Flow_3[Category],"Alfa")</f>
        <v>775042</v>
      </c>
      <c r="N328" s="29">
        <f>SUMIFS(Cash_Flow_3[Amount],Cash_Flow_3[Bulan],H328,Cash_Flow_3[Type],"Out",Cash_Flow_3[Category],"Jajan")</f>
        <v>795099</v>
      </c>
      <c r="O328" s="29">
        <f>SUMIFS(Cash_Flow_3[Amount],Cash_Flow_3[Bulan],H328,Cash_Flow_3[Type],"Out",Cash_Flow_3[Category],"Kitchen")</f>
        <v>1003600</v>
      </c>
      <c r="P328" s="29">
        <f>SUMIFS(Cash_Flow_3[Amount],Cash_Flow_3[Bulan],H328,Cash_Flow_3[Type],"Out",Cash_Flow_3[Category],"Loandry")</f>
        <v>41000</v>
      </c>
      <c r="Q328" s="29">
        <f>SUMIFS(Cash_Flow_3[Amount],Cash_Flow_3[Bulan],H328,Cash_Flow_3[Type],"Out",Cash_Flow_3[Category],"Mio")</f>
        <v>364500</v>
      </c>
      <c r="R328" s="29">
        <f>SUMIFS(Cash_Flow_3[Amount],Cash_Flow_3[Bulan],H328,Cash_Flow_3[Type],"Out",Cash_Flow_3[Category],"Sedekah")</f>
        <v>130000</v>
      </c>
      <c r="S328" s="29">
        <f>SUMIFS(Cash_Flow_3[Amount],Cash_Flow_3[Bulan],H328,Cash_Flow_3[Type],"Out",Cash_Flow_3[Category],"Zela")</f>
        <v>215161</v>
      </c>
      <c r="T328" s="29">
        <f>SUMIFS(Cash_Flow_3[Amount],Cash_Flow_3[Bulan],H328,Cash_Flow_3[Type],"Out",Cash_Flow_3[Category],"Iqbal")</f>
        <v>160000</v>
      </c>
    </row>
    <row r="329" spans="1:20" ht="22.5" customHeight="1" x14ac:dyDescent="0.2">
      <c r="A329" s="23">
        <v>46099</v>
      </c>
      <c r="B329" s="24" t="s">
        <v>391</v>
      </c>
      <c r="C329" s="25" t="s">
        <v>43</v>
      </c>
      <c r="D329" s="25" t="s">
        <v>44</v>
      </c>
      <c r="E329" s="25" t="s">
        <v>3</v>
      </c>
      <c r="F329" s="26">
        <v>73000</v>
      </c>
      <c r="G329" s="27"/>
      <c r="H329" s="28">
        <f t="shared" si="0"/>
        <v>46082</v>
      </c>
      <c r="I329" s="29">
        <f>SUMIFS(Cash_Flow_3[Amount],Cash_Flow_3[Bulan],H329,Cash_Flow_3[Type],"In")</f>
        <v>13015393</v>
      </c>
      <c r="J329" s="29">
        <f>SUMIFS(Cash_Flow_3[Amount],Cash_Flow_3[Bulan],H329,Cash_Flow_3[Type],"Out")</f>
        <v>10475288</v>
      </c>
      <c r="K329" s="29">
        <f>SUMIFS(Cash_Flow_3[Amount],Cash_Flow_3[Bulan],H329,Cash_Flow_3[Type],"Out",Cash_Flow_3[Category],"Fix")</f>
        <v>2908413</v>
      </c>
      <c r="L329" s="29">
        <f>SUMIFS(Cash_Flow_3[Amount],Cash_Flow_3[Bulan],H329,Cash_Flow_3[Type],"Out",Cash_Flow_3[Category],"Bathroom")</f>
        <v>48473</v>
      </c>
      <c r="M329" s="29">
        <f>SUMIFS(Cash_Flow_3[Amount],Cash_Flow_3[Bulan],H329,Cash_Flow_3[Type],"Out",Cash_Flow_3[Category],"Alfa")</f>
        <v>775042</v>
      </c>
      <c r="N329" s="29">
        <f>SUMIFS(Cash_Flow_3[Amount],Cash_Flow_3[Bulan],H329,Cash_Flow_3[Type],"Out",Cash_Flow_3[Category],"Jajan")</f>
        <v>795099</v>
      </c>
      <c r="O329" s="29">
        <f>SUMIFS(Cash_Flow_3[Amount],Cash_Flow_3[Bulan],H329,Cash_Flow_3[Type],"Out",Cash_Flow_3[Category],"Kitchen")</f>
        <v>1003600</v>
      </c>
      <c r="P329" s="29">
        <f>SUMIFS(Cash_Flow_3[Amount],Cash_Flow_3[Bulan],H329,Cash_Flow_3[Type],"Out",Cash_Flow_3[Category],"Loandry")</f>
        <v>41000</v>
      </c>
      <c r="Q329" s="29">
        <f>SUMIFS(Cash_Flow_3[Amount],Cash_Flow_3[Bulan],H329,Cash_Flow_3[Type],"Out",Cash_Flow_3[Category],"Mio")</f>
        <v>364500</v>
      </c>
      <c r="R329" s="29">
        <f>SUMIFS(Cash_Flow_3[Amount],Cash_Flow_3[Bulan],H329,Cash_Flow_3[Type],"Out",Cash_Flow_3[Category],"Sedekah")</f>
        <v>130000</v>
      </c>
      <c r="S329" s="29">
        <f>SUMIFS(Cash_Flow_3[Amount],Cash_Flow_3[Bulan],H329,Cash_Flow_3[Type],"Out",Cash_Flow_3[Category],"Zela")</f>
        <v>215161</v>
      </c>
      <c r="T329" s="29">
        <f>SUMIFS(Cash_Flow_3[Amount],Cash_Flow_3[Bulan],H329,Cash_Flow_3[Type],"Out",Cash_Flow_3[Category],"Iqbal")</f>
        <v>160000</v>
      </c>
    </row>
    <row r="330" spans="1:20" ht="22.5" customHeight="1" x14ac:dyDescent="0.2">
      <c r="A330" s="23">
        <v>46099</v>
      </c>
      <c r="B330" s="24" t="s">
        <v>482</v>
      </c>
      <c r="C330" s="25" t="s">
        <v>43</v>
      </c>
      <c r="D330" s="25" t="s">
        <v>44</v>
      </c>
      <c r="E330" s="25" t="s">
        <v>9</v>
      </c>
      <c r="F330" s="26">
        <v>200000</v>
      </c>
      <c r="G330" s="27"/>
      <c r="H330" s="28">
        <f t="shared" si="0"/>
        <v>46082</v>
      </c>
      <c r="I330" s="29">
        <f>SUMIFS(Cash_Flow_3[Amount],Cash_Flow_3[Bulan],H330,Cash_Flow_3[Type],"In")</f>
        <v>13015393</v>
      </c>
      <c r="J330" s="29">
        <f>SUMIFS(Cash_Flow_3[Amount],Cash_Flow_3[Bulan],H330,Cash_Flow_3[Type],"Out")</f>
        <v>10475288</v>
      </c>
      <c r="K330" s="29">
        <f>SUMIFS(Cash_Flow_3[Amount],Cash_Flow_3[Bulan],H330,Cash_Flow_3[Type],"Out",Cash_Flow_3[Category],"Fix")</f>
        <v>2908413</v>
      </c>
      <c r="L330" s="29">
        <f>SUMIFS(Cash_Flow_3[Amount],Cash_Flow_3[Bulan],H330,Cash_Flow_3[Type],"Out",Cash_Flow_3[Category],"Bathroom")</f>
        <v>48473</v>
      </c>
      <c r="M330" s="29">
        <f>SUMIFS(Cash_Flow_3[Amount],Cash_Flow_3[Bulan],H330,Cash_Flow_3[Type],"Out",Cash_Flow_3[Category],"Alfa")</f>
        <v>775042</v>
      </c>
      <c r="N330" s="29">
        <f>SUMIFS(Cash_Flow_3[Amount],Cash_Flow_3[Bulan],H330,Cash_Flow_3[Type],"Out",Cash_Flow_3[Category],"Jajan")</f>
        <v>795099</v>
      </c>
      <c r="O330" s="29">
        <f>SUMIFS(Cash_Flow_3[Amount],Cash_Flow_3[Bulan],H330,Cash_Flow_3[Type],"Out",Cash_Flow_3[Category],"Kitchen")</f>
        <v>1003600</v>
      </c>
      <c r="P330" s="29">
        <f>SUMIFS(Cash_Flow_3[Amount],Cash_Flow_3[Bulan],H330,Cash_Flow_3[Type],"Out",Cash_Flow_3[Category],"Loandry")</f>
        <v>41000</v>
      </c>
      <c r="Q330" s="29">
        <f>SUMIFS(Cash_Flow_3[Amount],Cash_Flow_3[Bulan],H330,Cash_Flow_3[Type],"Out",Cash_Flow_3[Category],"Mio")</f>
        <v>364500</v>
      </c>
      <c r="R330" s="29">
        <f>SUMIFS(Cash_Flow_3[Amount],Cash_Flow_3[Bulan],H330,Cash_Flow_3[Type],"Out",Cash_Flow_3[Category],"Sedekah")</f>
        <v>130000</v>
      </c>
      <c r="S330" s="29">
        <f>SUMIFS(Cash_Flow_3[Amount],Cash_Flow_3[Bulan],H330,Cash_Flow_3[Type],"Out",Cash_Flow_3[Category],"Zela")</f>
        <v>215161</v>
      </c>
      <c r="T330" s="29">
        <f>SUMIFS(Cash_Flow_3[Amount],Cash_Flow_3[Bulan],H330,Cash_Flow_3[Type],"Out",Cash_Flow_3[Category],"Iqbal")</f>
        <v>160000</v>
      </c>
    </row>
    <row r="331" spans="1:20" ht="22.5" customHeight="1" x14ac:dyDescent="0.2">
      <c r="A331" s="23">
        <v>46099</v>
      </c>
      <c r="B331" s="24" t="s">
        <v>484</v>
      </c>
      <c r="C331" s="25" t="s">
        <v>46</v>
      </c>
      <c r="D331" s="25" t="s">
        <v>39</v>
      </c>
      <c r="E331" s="25" t="s">
        <v>9</v>
      </c>
      <c r="F331" s="26">
        <v>200000</v>
      </c>
      <c r="G331" s="27"/>
      <c r="H331" s="28">
        <f t="shared" si="0"/>
        <v>46082</v>
      </c>
      <c r="I331" s="29">
        <f>SUMIFS(Cash_Flow_3[Amount],Cash_Flow_3[Bulan],H331,Cash_Flow_3[Type],"In")</f>
        <v>13015393</v>
      </c>
      <c r="J331" s="29">
        <f>SUMIFS(Cash_Flow_3[Amount],Cash_Flow_3[Bulan],H331,Cash_Flow_3[Type],"Out")</f>
        <v>10475288</v>
      </c>
      <c r="K331" s="29">
        <f>SUMIFS(Cash_Flow_3[Amount],Cash_Flow_3[Bulan],H331,Cash_Flow_3[Type],"Out",Cash_Flow_3[Category],"Fix")</f>
        <v>2908413</v>
      </c>
      <c r="L331" s="29">
        <f>SUMIFS(Cash_Flow_3[Amount],Cash_Flow_3[Bulan],H331,Cash_Flow_3[Type],"Out",Cash_Flow_3[Category],"Bathroom")</f>
        <v>48473</v>
      </c>
      <c r="M331" s="29">
        <f>SUMIFS(Cash_Flow_3[Amount],Cash_Flow_3[Bulan],H331,Cash_Flow_3[Type],"Out",Cash_Flow_3[Category],"Alfa")</f>
        <v>775042</v>
      </c>
      <c r="N331" s="29">
        <f>SUMIFS(Cash_Flow_3[Amount],Cash_Flow_3[Bulan],H331,Cash_Flow_3[Type],"Out",Cash_Flow_3[Category],"Jajan")</f>
        <v>795099</v>
      </c>
      <c r="O331" s="29">
        <f>SUMIFS(Cash_Flow_3[Amount],Cash_Flow_3[Bulan],H331,Cash_Flow_3[Type],"Out",Cash_Flow_3[Category],"Kitchen")</f>
        <v>1003600</v>
      </c>
      <c r="P331" s="29">
        <f>SUMIFS(Cash_Flow_3[Amount],Cash_Flow_3[Bulan],H331,Cash_Flow_3[Type],"Out",Cash_Flow_3[Category],"Loandry")</f>
        <v>41000</v>
      </c>
      <c r="Q331" s="29">
        <f>SUMIFS(Cash_Flow_3[Amount],Cash_Flow_3[Bulan],H331,Cash_Flow_3[Type],"Out",Cash_Flow_3[Category],"Mio")</f>
        <v>364500</v>
      </c>
      <c r="R331" s="29">
        <f>SUMIFS(Cash_Flow_3[Amount],Cash_Flow_3[Bulan],H331,Cash_Flow_3[Type],"Out",Cash_Flow_3[Category],"Sedekah")</f>
        <v>130000</v>
      </c>
      <c r="S331" s="29">
        <f>SUMIFS(Cash_Flow_3[Amount],Cash_Flow_3[Bulan],H331,Cash_Flow_3[Type],"Out",Cash_Flow_3[Category],"Zela")</f>
        <v>215161</v>
      </c>
      <c r="T331" s="29">
        <f>SUMIFS(Cash_Flow_3[Amount],Cash_Flow_3[Bulan],H331,Cash_Flow_3[Type],"Out",Cash_Flow_3[Category],"Iqbal")</f>
        <v>160000</v>
      </c>
    </row>
    <row r="332" spans="1:20" ht="22.5" customHeight="1" x14ac:dyDescent="0.2">
      <c r="A332" s="23">
        <v>46099</v>
      </c>
      <c r="B332" s="24" t="s">
        <v>393</v>
      </c>
      <c r="C332" s="25" t="s">
        <v>46</v>
      </c>
      <c r="D332" s="25" t="s">
        <v>44</v>
      </c>
      <c r="E332" s="25" t="s">
        <v>2</v>
      </c>
      <c r="F332" s="26">
        <v>25000</v>
      </c>
      <c r="G332" s="27"/>
      <c r="H332" s="28">
        <f t="shared" si="0"/>
        <v>46082</v>
      </c>
      <c r="I332" s="29">
        <f>SUMIFS(Cash_Flow_3[Amount],Cash_Flow_3[Bulan],H332,Cash_Flow_3[Type],"In")</f>
        <v>13015393</v>
      </c>
      <c r="J332" s="29">
        <f>SUMIFS(Cash_Flow_3[Amount],Cash_Flow_3[Bulan],H332,Cash_Flow_3[Type],"Out")</f>
        <v>10475288</v>
      </c>
      <c r="K332" s="29">
        <f>SUMIFS(Cash_Flow_3[Amount],Cash_Flow_3[Bulan],H332,Cash_Flow_3[Type],"Out",Cash_Flow_3[Category],"Fix")</f>
        <v>2908413</v>
      </c>
      <c r="L332" s="29">
        <f>SUMIFS(Cash_Flow_3[Amount],Cash_Flow_3[Bulan],H332,Cash_Flow_3[Type],"Out",Cash_Flow_3[Category],"Bathroom")</f>
        <v>48473</v>
      </c>
      <c r="M332" s="29">
        <f>SUMIFS(Cash_Flow_3[Amount],Cash_Flow_3[Bulan],H332,Cash_Flow_3[Type],"Out",Cash_Flow_3[Category],"Alfa")</f>
        <v>775042</v>
      </c>
      <c r="N332" s="29">
        <f>SUMIFS(Cash_Flow_3[Amount],Cash_Flow_3[Bulan],H332,Cash_Flow_3[Type],"Out",Cash_Flow_3[Category],"Jajan")</f>
        <v>795099</v>
      </c>
      <c r="O332" s="29">
        <f>SUMIFS(Cash_Flow_3[Amount],Cash_Flow_3[Bulan],H332,Cash_Flow_3[Type],"Out",Cash_Flow_3[Category],"Kitchen")</f>
        <v>1003600</v>
      </c>
      <c r="P332" s="29">
        <f>SUMIFS(Cash_Flow_3[Amount],Cash_Flow_3[Bulan],H332,Cash_Flow_3[Type],"Out",Cash_Flow_3[Category],"Loandry")</f>
        <v>41000</v>
      </c>
      <c r="Q332" s="29">
        <f>SUMIFS(Cash_Flow_3[Amount],Cash_Flow_3[Bulan],H332,Cash_Flow_3[Type],"Out",Cash_Flow_3[Category],"Mio")</f>
        <v>364500</v>
      </c>
      <c r="R332" s="29">
        <f>SUMIFS(Cash_Flow_3[Amount],Cash_Flow_3[Bulan],H332,Cash_Flow_3[Type],"Out",Cash_Flow_3[Category],"Sedekah")</f>
        <v>130000</v>
      </c>
      <c r="S332" s="29">
        <f>SUMIFS(Cash_Flow_3[Amount],Cash_Flow_3[Bulan],H332,Cash_Flow_3[Type],"Out",Cash_Flow_3[Category],"Zela")</f>
        <v>215161</v>
      </c>
      <c r="T332" s="29">
        <f>SUMIFS(Cash_Flow_3[Amount],Cash_Flow_3[Bulan],H332,Cash_Flow_3[Type],"Out",Cash_Flow_3[Category],"Iqbal")</f>
        <v>160000</v>
      </c>
    </row>
    <row r="333" spans="1:20" ht="22.5" customHeight="1" x14ac:dyDescent="0.2">
      <c r="A333" s="23">
        <v>46099</v>
      </c>
      <c r="B333" s="24" t="s">
        <v>970</v>
      </c>
      <c r="C333" s="25" t="s">
        <v>46</v>
      </c>
      <c r="D333" s="25" t="s">
        <v>44</v>
      </c>
      <c r="E333" s="25" t="s">
        <v>6</v>
      </c>
      <c r="F333" s="26">
        <v>30000</v>
      </c>
      <c r="G333" s="27"/>
      <c r="H333" s="28">
        <f t="shared" si="0"/>
        <v>46082</v>
      </c>
      <c r="I333" s="29">
        <f>SUMIFS(Cash_Flow_3[Amount],Cash_Flow_3[Bulan],H333,Cash_Flow_3[Type],"In")</f>
        <v>13015393</v>
      </c>
      <c r="J333" s="29">
        <f>SUMIFS(Cash_Flow_3[Amount],Cash_Flow_3[Bulan],H333,Cash_Flow_3[Type],"Out")</f>
        <v>10475288</v>
      </c>
      <c r="K333" s="29">
        <f>SUMIFS(Cash_Flow_3[Amount],Cash_Flow_3[Bulan],H333,Cash_Flow_3[Type],"Out",Cash_Flow_3[Category],"Fix")</f>
        <v>2908413</v>
      </c>
      <c r="L333" s="29">
        <f>SUMIFS(Cash_Flow_3[Amount],Cash_Flow_3[Bulan],H333,Cash_Flow_3[Type],"Out",Cash_Flow_3[Category],"Bathroom")</f>
        <v>48473</v>
      </c>
      <c r="M333" s="29">
        <f>SUMIFS(Cash_Flow_3[Amount],Cash_Flow_3[Bulan],H333,Cash_Flow_3[Type],"Out",Cash_Flow_3[Category],"Alfa")</f>
        <v>775042</v>
      </c>
      <c r="N333" s="29">
        <f>SUMIFS(Cash_Flow_3[Amount],Cash_Flow_3[Bulan],H333,Cash_Flow_3[Type],"Out",Cash_Flow_3[Category],"Jajan")</f>
        <v>795099</v>
      </c>
      <c r="O333" s="29">
        <f>SUMIFS(Cash_Flow_3[Amount],Cash_Flow_3[Bulan],H333,Cash_Flow_3[Type],"Out",Cash_Flow_3[Category],"Kitchen")</f>
        <v>1003600</v>
      </c>
      <c r="P333" s="29">
        <f>SUMIFS(Cash_Flow_3[Amount],Cash_Flow_3[Bulan],H333,Cash_Flow_3[Type],"Out",Cash_Flow_3[Category],"Loandry")</f>
        <v>41000</v>
      </c>
      <c r="Q333" s="29">
        <f>SUMIFS(Cash_Flow_3[Amount],Cash_Flow_3[Bulan],H333,Cash_Flow_3[Type],"Out",Cash_Flow_3[Category],"Mio")</f>
        <v>364500</v>
      </c>
      <c r="R333" s="29">
        <f>SUMIFS(Cash_Flow_3[Amount],Cash_Flow_3[Bulan],H333,Cash_Flow_3[Type],"Out",Cash_Flow_3[Category],"Sedekah")</f>
        <v>130000</v>
      </c>
      <c r="S333" s="29">
        <f>SUMIFS(Cash_Flow_3[Amount],Cash_Flow_3[Bulan],H333,Cash_Flow_3[Type],"Out",Cash_Flow_3[Category],"Zela")</f>
        <v>215161</v>
      </c>
      <c r="T333" s="29">
        <f>SUMIFS(Cash_Flow_3[Amount],Cash_Flow_3[Bulan],H333,Cash_Flow_3[Type],"Out",Cash_Flow_3[Category],"Iqbal")</f>
        <v>160000</v>
      </c>
    </row>
    <row r="334" spans="1:20" ht="22.5" customHeight="1" x14ac:dyDescent="0.2">
      <c r="A334" s="23">
        <v>46099</v>
      </c>
      <c r="B334" s="24" t="s">
        <v>806</v>
      </c>
      <c r="C334" s="25" t="s">
        <v>46</v>
      </c>
      <c r="D334" s="25" t="s">
        <v>44</v>
      </c>
      <c r="E334" s="25" t="s">
        <v>2</v>
      </c>
      <c r="F334" s="26">
        <v>9300</v>
      </c>
      <c r="G334" s="27"/>
      <c r="H334" s="28">
        <f t="shared" si="0"/>
        <v>46082</v>
      </c>
      <c r="I334" s="29">
        <f>SUMIFS(Cash_Flow_3[Amount],Cash_Flow_3[Bulan],H334,Cash_Flow_3[Type],"In")</f>
        <v>13015393</v>
      </c>
      <c r="J334" s="29">
        <f>SUMIFS(Cash_Flow_3[Amount],Cash_Flow_3[Bulan],H334,Cash_Flow_3[Type],"Out")</f>
        <v>10475288</v>
      </c>
      <c r="K334" s="29">
        <f>SUMIFS(Cash_Flow_3[Amount],Cash_Flow_3[Bulan],H334,Cash_Flow_3[Type],"Out",Cash_Flow_3[Category],"Fix")</f>
        <v>2908413</v>
      </c>
      <c r="L334" s="29">
        <f>SUMIFS(Cash_Flow_3[Amount],Cash_Flow_3[Bulan],H334,Cash_Flow_3[Type],"Out",Cash_Flow_3[Category],"Bathroom")</f>
        <v>48473</v>
      </c>
      <c r="M334" s="29">
        <f>SUMIFS(Cash_Flow_3[Amount],Cash_Flow_3[Bulan],H334,Cash_Flow_3[Type],"Out",Cash_Flow_3[Category],"Alfa")</f>
        <v>775042</v>
      </c>
      <c r="N334" s="29">
        <f>SUMIFS(Cash_Flow_3[Amount],Cash_Flow_3[Bulan],H334,Cash_Flow_3[Type],"Out",Cash_Flow_3[Category],"Jajan")</f>
        <v>795099</v>
      </c>
      <c r="O334" s="29">
        <f>SUMIFS(Cash_Flow_3[Amount],Cash_Flow_3[Bulan],H334,Cash_Flow_3[Type],"Out",Cash_Flow_3[Category],"Kitchen")</f>
        <v>1003600</v>
      </c>
      <c r="P334" s="29">
        <f>SUMIFS(Cash_Flow_3[Amount],Cash_Flow_3[Bulan],H334,Cash_Flow_3[Type],"Out",Cash_Flow_3[Category],"Loandry")</f>
        <v>41000</v>
      </c>
      <c r="Q334" s="29">
        <f>SUMIFS(Cash_Flow_3[Amount],Cash_Flow_3[Bulan],H334,Cash_Flow_3[Type],"Out",Cash_Flow_3[Category],"Mio")</f>
        <v>364500</v>
      </c>
      <c r="R334" s="29">
        <f>SUMIFS(Cash_Flow_3[Amount],Cash_Flow_3[Bulan],H334,Cash_Flow_3[Type],"Out",Cash_Flow_3[Category],"Sedekah")</f>
        <v>130000</v>
      </c>
      <c r="S334" s="29">
        <f>SUMIFS(Cash_Flow_3[Amount],Cash_Flow_3[Bulan],H334,Cash_Flow_3[Type],"Out",Cash_Flow_3[Category],"Zela")</f>
        <v>215161</v>
      </c>
      <c r="T334" s="29">
        <f>SUMIFS(Cash_Flow_3[Amount],Cash_Flow_3[Bulan],H334,Cash_Flow_3[Type],"Out",Cash_Flow_3[Category],"Iqbal")</f>
        <v>160000</v>
      </c>
    </row>
    <row r="335" spans="1:20" ht="22.5" customHeight="1" x14ac:dyDescent="0.2">
      <c r="A335" s="23">
        <v>46099</v>
      </c>
      <c r="B335" s="24" t="s">
        <v>397</v>
      </c>
      <c r="C335" s="25" t="s">
        <v>46</v>
      </c>
      <c r="D335" s="25" t="s">
        <v>44</v>
      </c>
      <c r="E335" s="25" t="s">
        <v>0</v>
      </c>
      <c r="F335" s="26">
        <v>3000</v>
      </c>
      <c r="G335" s="27"/>
      <c r="H335" s="28">
        <f t="shared" si="0"/>
        <v>46082</v>
      </c>
      <c r="I335" s="29">
        <f>SUMIFS(Cash_Flow_3[Amount],Cash_Flow_3[Bulan],H335,Cash_Flow_3[Type],"In")</f>
        <v>13015393</v>
      </c>
      <c r="J335" s="29">
        <f>SUMIFS(Cash_Flow_3[Amount],Cash_Flow_3[Bulan],H335,Cash_Flow_3[Type],"Out")</f>
        <v>10475288</v>
      </c>
      <c r="K335" s="29">
        <f>SUMIFS(Cash_Flow_3[Amount],Cash_Flow_3[Bulan],H335,Cash_Flow_3[Type],"Out",Cash_Flow_3[Category],"Fix")</f>
        <v>2908413</v>
      </c>
      <c r="L335" s="29">
        <f>SUMIFS(Cash_Flow_3[Amount],Cash_Flow_3[Bulan],H335,Cash_Flow_3[Type],"Out",Cash_Flow_3[Category],"Bathroom")</f>
        <v>48473</v>
      </c>
      <c r="M335" s="29">
        <f>SUMIFS(Cash_Flow_3[Amount],Cash_Flow_3[Bulan],H335,Cash_Flow_3[Type],"Out",Cash_Flow_3[Category],"Alfa")</f>
        <v>775042</v>
      </c>
      <c r="N335" s="29">
        <f>SUMIFS(Cash_Flow_3[Amount],Cash_Flow_3[Bulan],H335,Cash_Flow_3[Type],"Out",Cash_Flow_3[Category],"Jajan")</f>
        <v>795099</v>
      </c>
      <c r="O335" s="29">
        <f>SUMIFS(Cash_Flow_3[Amount],Cash_Flow_3[Bulan],H335,Cash_Flow_3[Type],"Out",Cash_Flow_3[Category],"Kitchen")</f>
        <v>1003600</v>
      </c>
      <c r="P335" s="29">
        <f>SUMIFS(Cash_Flow_3[Amount],Cash_Flow_3[Bulan],H335,Cash_Flow_3[Type],"Out",Cash_Flow_3[Category],"Loandry")</f>
        <v>41000</v>
      </c>
      <c r="Q335" s="29">
        <f>SUMIFS(Cash_Flow_3[Amount],Cash_Flow_3[Bulan],H335,Cash_Flow_3[Type],"Out",Cash_Flow_3[Category],"Mio")</f>
        <v>364500</v>
      </c>
      <c r="R335" s="29">
        <f>SUMIFS(Cash_Flow_3[Amount],Cash_Flow_3[Bulan],H335,Cash_Flow_3[Type],"Out",Cash_Flow_3[Category],"Sedekah")</f>
        <v>130000</v>
      </c>
      <c r="S335" s="29">
        <f>SUMIFS(Cash_Flow_3[Amount],Cash_Flow_3[Bulan],H335,Cash_Flow_3[Type],"Out",Cash_Flow_3[Category],"Zela")</f>
        <v>215161</v>
      </c>
      <c r="T335" s="29">
        <f>SUMIFS(Cash_Flow_3[Amount],Cash_Flow_3[Bulan],H335,Cash_Flow_3[Type],"Out",Cash_Flow_3[Category],"Iqbal")</f>
        <v>160000</v>
      </c>
    </row>
    <row r="336" spans="1:20" ht="22.5" customHeight="1" x14ac:dyDescent="0.2">
      <c r="A336" s="23">
        <v>46099</v>
      </c>
      <c r="B336" s="24" t="s">
        <v>399</v>
      </c>
      <c r="C336" s="25" t="s">
        <v>46</v>
      </c>
      <c r="D336" s="25" t="s">
        <v>44</v>
      </c>
      <c r="E336" s="25" t="s">
        <v>3</v>
      </c>
      <c r="F336" s="26">
        <v>4000</v>
      </c>
      <c r="G336" s="27"/>
      <c r="H336" s="28">
        <f t="shared" si="0"/>
        <v>46082</v>
      </c>
      <c r="I336" s="29">
        <f>SUMIFS(Cash_Flow_3[Amount],Cash_Flow_3[Bulan],H336,Cash_Flow_3[Type],"In")</f>
        <v>13015393</v>
      </c>
      <c r="J336" s="29">
        <f>SUMIFS(Cash_Flow_3[Amount],Cash_Flow_3[Bulan],H336,Cash_Flow_3[Type],"Out")</f>
        <v>10475288</v>
      </c>
      <c r="K336" s="29">
        <f>SUMIFS(Cash_Flow_3[Amount],Cash_Flow_3[Bulan],H336,Cash_Flow_3[Type],"Out",Cash_Flow_3[Category],"Fix")</f>
        <v>2908413</v>
      </c>
      <c r="L336" s="29">
        <f>SUMIFS(Cash_Flow_3[Amount],Cash_Flow_3[Bulan],H336,Cash_Flow_3[Type],"Out",Cash_Flow_3[Category],"Bathroom")</f>
        <v>48473</v>
      </c>
      <c r="M336" s="29">
        <f>SUMIFS(Cash_Flow_3[Amount],Cash_Flow_3[Bulan],H336,Cash_Flow_3[Type],"Out",Cash_Flow_3[Category],"Alfa")</f>
        <v>775042</v>
      </c>
      <c r="N336" s="29">
        <f>SUMIFS(Cash_Flow_3[Amount],Cash_Flow_3[Bulan],H336,Cash_Flow_3[Type],"Out",Cash_Flow_3[Category],"Jajan")</f>
        <v>795099</v>
      </c>
      <c r="O336" s="29">
        <f>SUMIFS(Cash_Flow_3[Amount],Cash_Flow_3[Bulan],H336,Cash_Flow_3[Type],"Out",Cash_Flow_3[Category],"Kitchen")</f>
        <v>1003600</v>
      </c>
      <c r="P336" s="29">
        <f>SUMIFS(Cash_Flow_3[Amount],Cash_Flow_3[Bulan],H336,Cash_Flow_3[Type],"Out",Cash_Flow_3[Category],"Loandry")</f>
        <v>41000</v>
      </c>
      <c r="Q336" s="29">
        <f>SUMIFS(Cash_Flow_3[Amount],Cash_Flow_3[Bulan],H336,Cash_Flow_3[Type],"Out",Cash_Flow_3[Category],"Mio")</f>
        <v>364500</v>
      </c>
      <c r="R336" s="29">
        <f>SUMIFS(Cash_Flow_3[Amount],Cash_Flow_3[Bulan],H336,Cash_Flow_3[Type],"Out",Cash_Flow_3[Category],"Sedekah")</f>
        <v>130000</v>
      </c>
      <c r="S336" s="29">
        <f>SUMIFS(Cash_Flow_3[Amount],Cash_Flow_3[Bulan],H336,Cash_Flow_3[Type],"Out",Cash_Flow_3[Category],"Zela")</f>
        <v>215161</v>
      </c>
      <c r="T336" s="29">
        <f>SUMIFS(Cash_Flow_3[Amount],Cash_Flow_3[Bulan],H336,Cash_Flow_3[Type],"Out",Cash_Flow_3[Category],"Iqbal")</f>
        <v>160000</v>
      </c>
    </row>
    <row r="337" spans="1:20" ht="22.5" customHeight="1" x14ac:dyDescent="0.2">
      <c r="A337" s="23">
        <v>46099</v>
      </c>
      <c r="B337" s="24" t="s">
        <v>971</v>
      </c>
      <c r="C337" s="25" t="s">
        <v>46</v>
      </c>
      <c r="D337" s="25" t="s">
        <v>44</v>
      </c>
      <c r="E337" s="25" t="s">
        <v>3</v>
      </c>
      <c r="F337" s="26">
        <v>42000</v>
      </c>
      <c r="G337" s="27"/>
      <c r="H337" s="28">
        <f t="shared" si="0"/>
        <v>46082</v>
      </c>
      <c r="I337" s="29">
        <f>SUMIFS(Cash_Flow_3[Amount],Cash_Flow_3[Bulan],H337,Cash_Flow_3[Type],"In")</f>
        <v>13015393</v>
      </c>
      <c r="J337" s="29">
        <f>SUMIFS(Cash_Flow_3[Amount],Cash_Flow_3[Bulan],H337,Cash_Flow_3[Type],"Out")</f>
        <v>10475288</v>
      </c>
      <c r="K337" s="29">
        <f>SUMIFS(Cash_Flow_3[Amount],Cash_Flow_3[Bulan],H337,Cash_Flow_3[Type],"Out",Cash_Flow_3[Category],"Fix")</f>
        <v>2908413</v>
      </c>
      <c r="L337" s="29">
        <f>SUMIFS(Cash_Flow_3[Amount],Cash_Flow_3[Bulan],H337,Cash_Flow_3[Type],"Out",Cash_Flow_3[Category],"Bathroom")</f>
        <v>48473</v>
      </c>
      <c r="M337" s="29">
        <f>SUMIFS(Cash_Flow_3[Amount],Cash_Flow_3[Bulan],H337,Cash_Flow_3[Type],"Out",Cash_Flow_3[Category],"Alfa")</f>
        <v>775042</v>
      </c>
      <c r="N337" s="29">
        <f>SUMIFS(Cash_Flow_3[Amount],Cash_Flow_3[Bulan],H337,Cash_Flow_3[Type],"Out",Cash_Flow_3[Category],"Jajan")</f>
        <v>795099</v>
      </c>
      <c r="O337" s="29">
        <f>SUMIFS(Cash_Flow_3[Amount],Cash_Flow_3[Bulan],H337,Cash_Flow_3[Type],"Out",Cash_Flow_3[Category],"Kitchen")</f>
        <v>1003600</v>
      </c>
      <c r="P337" s="29">
        <f>SUMIFS(Cash_Flow_3[Amount],Cash_Flow_3[Bulan],H337,Cash_Flow_3[Type],"Out",Cash_Flow_3[Category],"Loandry")</f>
        <v>41000</v>
      </c>
      <c r="Q337" s="29">
        <f>SUMIFS(Cash_Flow_3[Amount],Cash_Flow_3[Bulan],H337,Cash_Flow_3[Type],"Out",Cash_Flow_3[Category],"Mio")</f>
        <v>364500</v>
      </c>
      <c r="R337" s="29">
        <f>SUMIFS(Cash_Flow_3[Amount],Cash_Flow_3[Bulan],H337,Cash_Flow_3[Type],"Out",Cash_Flow_3[Category],"Sedekah")</f>
        <v>130000</v>
      </c>
      <c r="S337" s="29">
        <f>SUMIFS(Cash_Flow_3[Amount],Cash_Flow_3[Bulan],H337,Cash_Flow_3[Type],"Out",Cash_Flow_3[Category],"Zela")</f>
        <v>215161</v>
      </c>
      <c r="T337" s="29">
        <f>SUMIFS(Cash_Flow_3[Amount],Cash_Flow_3[Bulan],H337,Cash_Flow_3[Type],"Out",Cash_Flow_3[Category],"Iqbal")</f>
        <v>160000</v>
      </c>
    </row>
    <row r="338" spans="1:20" ht="22.5" customHeight="1" x14ac:dyDescent="0.2">
      <c r="A338" s="23">
        <v>46099</v>
      </c>
      <c r="B338" s="24" t="s">
        <v>972</v>
      </c>
      <c r="C338" s="25" t="s">
        <v>43</v>
      </c>
      <c r="D338" s="25" t="s">
        <v>44</v>
      </c>
      <c r="E338" s="25" t="s">
        <v>1</v>
      </c>
      <c r="F338" s="26">
        <v>105000</v>
      </c>
      <c r="G338" s="27"/>
      <c r="H338" s="28">
        <f t="shared" si="0"/>
        <v>46082</v>
      </c>
      <c r="I338" s="29">
        <f>SUMIFS(Cash_Flow_3[Amount],Cash_Flow_3[Bulan],H338,Cash_Flow_3[Type],"In")</f>
        <v>13015393</v>
      </c>
      <c r="J338" s="29">
        <f>SUMIFS(Cash_Flow_3[Amount],Cash_Flow_3[Bulan],H338,Cash_Flow_3[Type],"Out")</f>
        <v>10475288</v>
      </c>
      <c r="K338" s="29">
        <f>SUMIFS(Cash_Flow_3[Amount],Cash_Flow_3[Bulan],H338,Cash_Flow_3[Type],"Out",Cash_Flow_3[Category],"Fix")</f>
        <v>2908413</v>
      </c>
      <c r="L338" s="29">
        <f>SUMIFS(Cash_Flow_3[Amount],Cash_Flow_3[Bulan],H338,Cash_Flow_3[Type],"Out",Cash_Flow_3[Category],"Bathroom")</f>
        <v>48473</v>
      </c>
      <c r="M338" s="29">
        <f>SUMIFS(Cash_Flow_3[Amount],Cash_Flow_3[Bulan],H338,Cash_Flow_3[Type],"Out",Cash_Flow_3[Category],"Alfa")</f>
        <v>775042</v>
      </c>
      <c r="N338" s="29">
        <f>SUMIFS(Cash_Flow_3[Amount],Cash_Flow_3[Bulan],H338,Cash_Flow_3[Type],"Out",Cash_Flow_3[Category],"Jajan")</f>
        <v>795099</v>
      </c>
      <c r="O338" s="29">
        <f>SUMIFS(Cash_Flow_3[Amount],Cash_Flow_3[Bulan],H338,Cash_Flow_3[Type],"Out",Cash_Flow_3[Category],"Kitchen")</f>
        <v>1003600</v>
      </c>
      <c r="P338" s="29">
        <f>SUMIFS(Cash_Flow_3[Amount],Cash_Flow_3[Bulan],H338,Cash_Flow_3[Type],"Out",Cash_Flow_3[Category],"Loandry")</f>
        <v>41000</v>
      </c>
      <c r="Q338" s="29">
        <f>SUMIFS(Cash_Flow_3[Amount],Cash_Flow_3[Bulan],H338,Cash_Flow_3[Type],"Out",Cash_Flow_3[Category],"Mio")</f>
        <v>364500</v>
      </c>
      <c r="R338" s="29">
        <f>SUMIFS(Cash_Flow_3[Amount],Cash_Flow_3[Bulan],H338,Cash_Flow_3[Type],"Out",Cash_Flow_3[Category],"Sedekah")</f>
        <v>130000</v>
      </c>
      <c r="S338" s="29">
        <f>SUMIFS(Cash_Flow_3[Amount],Cash_Flow_3[Bulan],H338,Cash_Flow_3[Type],"Out",Cash_Flow_3[Category],"Zela")</f>
        <v>215161</v>
      </c>
      <c r="T338" s="29">
        <f>SUMIFS(Cash_Flow_3[Amount],Cash_Flow_3[Bulan],H338,Cash_Flow_3[Type],"Out",Cash_Flow_3[Category],"Iqbal")</f>
        <v>160000</v>
      </c>
    </row>
    <row r="339" spans="1:20" ht="22.5" customHeight="1" x14ac:dyDescent="0.2">
      <c r="A339" s="23">
        <v>46099</v>
      </c>
      <c r="B339" s="24" t="s">
        <v>404</v>
      </c>
      <c r="C339" s="25" t="s">
        <v>46</v>
      </c>
      <c r="D339" s="25" t="s">
        <v>44</v>
      </c>
      <c r="E339" s="25" t="s">
        <v>0</v>
      </c>
      <c r="F339" s="26">
        <v>7000</v>
      </c>
      <c r="G339" s="27"/>
      <c r="H339" s="28">
        <f t="shared" si="0"/>
        <v>46082</v>
      </c>
      <c r="I339" s="29">
        <f>SUMIFS(Cash_Flow_3[Amount],Cash_Flow_3[Bulan],H339,Cash_Flow_3[Type],"In")</f>
        <v>13015393</v>
      </c>
      <c r="J339" s="29">
        <f>SUMIFS(Cash_Flow_3[Amount],Cash_Flow_3[Bulan],H339,Cash_Flow_3[Type],"Out")</f>
        <v>10475288</v>
      </c>
      <c r="K339" s="29">
        <f>SUMIFS(Cash_Flow_3[Amount],Cash_Flow_3[Bulan],H339,Cash_Flow_3[Type],"Out",Cash_Flow_3[Category],"Fix")</f>
        <v>2908413</v>
      </c>
      <c r="L339" s="29">
        <f>SUMIFS(Cash_Flow_3[Amount],Cash_Flow_3[Bulan],H339,Cash_Flow_3[Type],"Out",Cash_Flow_3[Category],"Bathroom")</f>
        <v>48473</v>
      </c>
      <c r="M339" s="29">
        <f>SUMIFS(Cash_Flow_3[Amount],Cash_Flow_3[Bulan],H339,Cash_Flow_3[Type],"Out",Cash_Flow_3[Category],"Alfa")</f>
        <v>775042</v>
      </c>
      <c r="N339" s="29">
        <f>SUMIFS(Cash_Flow_3[Amount],Cash_Flow_3[Bulan],H339,Cash_Flow_3[Type],"Out",Cash_Flow_3[Category],"Jajan")</f>
        <v>795099</v>
      </c>
      <c r="O339" s="29">
        <f>SUMIFS(Cash_Flow_3[Amount],Cash_Flow_3[Bulan],H339,Cash_Flow_3[Type],"Out",Cash_Flow_3[Category],"Kitchen")</f>
        <v>1003600</v>
      </c>
      <c r="P339" s="29">
        <f>SUMIFS(Cash_Flow_3[Amount],Cash_Flow_3[Bulan],H339,Cash_Flow_3[Type],"Out",Cash_Flow_3[Category],"Loandry")</f>
        <v>41000</v>
      </c>
      <c r="Q339" s="29">
        <f>SUMIFS(Cash_Flow_3[Amount],Cash_Flow_3[Bulan],H339,Cash_Flow_3[Type],"Out",Cash_Flow_3[Category],"Mio")</f>
        <v>364500</v>
      </c>
      <c r="R339" s="29">
        <f>SUMIFS(Cash_Flow_3[Amount],Cash_Flow_3[Bulan],H339,Cash_Flow_3[Type],"Out",Cash_Flow_3[Category],"Sedekah")</f>
        <v>130000</v>
      </c>
      <c r="S339" s="29">
        <f>SUMIFS(Cash_Flow_3[Amount],Cash_Flow_3[Bulan],H339,Cash_Flow_3[Type],"Out",Cash_Flow_3[Category],"Zela")</f>
        <v>215161</v>
      </c>
      <c r="T339" s="29">
        <f>SUMIFS(Cash_Flow_3[Amount],Cash_Flow_3[Bulan],H339,Cash_Flow_3[Type],"Out",Cash_Flow_3[Category],"Iqbal")</f>
        <v>160000</v>
      </c>
    </row>
    <row r="340" spans="1:20" ht="22.5" customHeight="1" x14ac:dyDescent="0.2">
      <c r="A340" s="23">
        <v>46100</v>
      </c>
      <c r="B340" s="24" t="s">
        <v>973</v>
      </c>
      <c r="C340" s="25" t="s">
        <v>43</v>
      </c>
      <c r="D340" s="25" t="s">
        <v>44</v>
      </c>
      <c r="E340" s="25" t="s">
        <v>1</v>
      </c>
      <c r="F340" s="26">
        <v>16700</v>
      </c>
      <c r="G340" s="27"/>
      <c r="H340" s="28">
        <f t="shared" si="0"/>
        <v>46082</v>
      </c>
      <c r="I340" s="29">
        <f>SUMIFS(Cash_Flow_3[Amount],Cash_Flow_3[Bulan],H340,Cash_Flow_3[Type],"In")</f>
        <v>13015393</v>
      </c>
      <c r="J340" s="29">
        <f>SUMIFS(Cash_Flow_3[Amount],Cash_Flow_3[Bulan],H340,Cash_Flow_3[Type],"Out")</f>
        <v>10475288</v>
      </c>
      <c r="K340" s="29">
        <f>SUMIFS(Cash_Flow_3[Amount],Cash_Flow_3[Bulan],H340,Cash_Flow_3[Type],"Out",Cash_Flow_3[Category],"Fix")</f>
        <v>2908413</v>
      </c>
      <c r="L340" s="29">
        <f>SUMIFS(Cash_Flow_3[Amount],Cash_Flow_3[Bulan],H340,Cash_Flow_3[Type],"Out",Cash_Flow_3[Category],"Bathroom")</f>
        <v>48473</v>
      </c>
      <c r="M340" s="29">
        <f>SUMIFS(Cash_Flow_3[Amount],Cash_Flow_3[Bulan],H340,Cash_Flow_3[Type],"Out",Cash_Flow_3[Category],"Alfa")</f>
        <v>775042</v>
      </c>
      <c r="N340" s="29">
        <f>SUMIFS(Cash_Flow_3[Amount],Cash_Flow_3[Bulan],H340,Cash_Flow_3[Type],"Out",Cash_Flow_3[Category],"Jajan")</f>
        <v>795099</v>
      </c>
      <c r="O340" s="29">
        <f>SUMIFS(Cash_Flow_3[Amount],Cash_Flow_3[Bulan],H340,Cash_Flow_3[Type],"Out",Cash_Flow_3[Category],"Kitchen")</f>
        <v>1003600</v>
      </c>
      <c r="P340" s="29">
        <f>SUMIFS(Cash_Flow_3[Amount],Cash_Flow_3[Bulan],H340,Cash_Flow_3[Type],"Out",Cash_Flow_3[Category],"Loandry")</f>
        <v>41000</v>
      </c>
      <c r="Q340" s="29">
        <f>SUMIFS(Cash_Flow_3[Amount],Cash_Flow_3[Bulan],H340,Cash_Flow_3[Type],"Out",Cash_Flow_3[Category],"Mio")</f>
        <v>364500</v>
      </c>
      <c r="R340" s="29">
        <f>SUMIFS(Cash_Flow_3[Amount],Cash_Flow_3[Bulan],H340,Cash_Flow_3[Type],"Out",Cash_Flow_3[Category],"Sedekah")</f>
        <v>130000</v>
      </c>
      <c r="S340" s="29">
        <f>SUMIFS(Cash_Flow_3[Amount],Cash_Flow_3[Bulan],H340,Cash_Flow_3[Type],"Out",Cash_Flow_3[Category],"Zela")</f>
        <v>215161</v>
      </c>
      <c r="T340" s="29">
        <f>SUMIFS(Cash_Flow_3[Amount],Cash_Flow_3[Bulan],H340,Cash_Flow_3[Type],"Out",Cash_Flow_3[Category],"Iqbal")</f>
        <v>160000</v>
      </c>
    </row>
    <row r="341" spans="1:20" ht="22.5" customHeight="1" x14ac:dyDescent="0.2">
      <c r="A341" s="23">
        <v>46100</v>
      </c>
      <c r="B341" s="24" t="s">
        <v>974</v>
      </c>
      <c r="C341" s="25" t="s">
        <v>43</v>
      </c>
      <c r="D341" s="25" t="s">
        <v>44</v>
      </c>
      <c r="E341" s="25" t="s">
        <v>1</v>
      </c>
      <c r="F341" s="26">
        <v>67600</v>
      </c>
      <c r="G341" s="27"/>
      <c r="H341" s="28">
        <f t="shared" si="0"/>
        <v>46082</v>
      </c>
      <c r="I341" s="29">
        <f>SUMIFS(Cash_Flow_3[Amount],Cash_Flow_3[Bulan],H341,Cash_Flow_3[Type],"In")</f>
        <v>13015393</v>
      </c>
      <c r="J341" s="29">
        <f>SUMIFS(Cash_Flow_3[Amount],Cash_Flow_3[Bulan],H341,Cash_Flow_3[Type],"Out")</f>
        <v>10475288</v>
      </c>
      <c r="K341" s="29">
        <f>SUMIFS(Cash_Flow_3[Amount],Cash_Flow_3[Bulan],H341,Cash_Flow_3[Type],"Out",Cash_Flow_3[Category],"Fix")</f>
        <v>2908413</v>
      </c>
      <c r="L341" s="29">
        <f>SUMIFS(Cash_Flow_3[Amount],Cash_Flow_3[Bulan],H341,Cash_Flow_3[Type],"Out",Cash_Flow_3[Category],"Bathroom")</f>
        <v>48473</v>
      </c>
      <c r="M341" s="29">
        <f>SUMIFS(Cash_Flow_3[Amount],Cash_Flow_3[Bulan],H341,Cash_Flow_3[Type],"Out",Cash_Flow_3[Category],"Alfa")</f>
        <v>775042</v>
      </c>
      <c r="N341" s="29">
        <f>SUMIFS(Cash_Flow_3[Amount],Cash_Flow_3[Bulan],H341,Cash_Flow_3[Type],"Out",Cash_Flow_3[Category],"Jajan")</f>
        <v>795099</v>
      </c>
      <c r="O341" s="29">
        <f>SUMIFS(Cash_Flow_3[Amount],Cash_Flow_3[Bulan],H341,Cash_Flow_3[Type],"Out",Cash_Flow_3[Category],"Kitchen")</f>
        <v>1003600</v>
      </c>
      <c r="P341" s="29">
        <f>SUMIFS(Cash_Flow_3[Amount],Cash_Flow_3[Bulan],H341,Cash_Flow_3[Type],"Out",Cash_Flow_3[Category],"Loandry")</f>
        <v>41000</v>
      </c>
      <c r="Q341" s="29">
        <f>SUMIFS(Cash_Flow_3[Amount],Cash_Flow_3[Bulan],H341,Cash_Flow_3[Type],"Out",Cash_Flow_3[Category],"Mio")</f>
        <v>364500</v>
      </c>
      <c r="R341" s="29">
        <f>SUMIFS(Cash_Flow_3[Amount],Cash_Flow_3[Bulan],H341,Cash_Flow_3[Type],"Out",Cash_Flow_3[Category],"Sedekah")</f>
        <v>130000</v>
      </c>
      <c r="S341" s="29">
        <f>SUMIFS(Cash_Flow_3[Amount],Cash_Flow_3[Bulan],H341,Cash_Flow_3[Type],"Out",Cash_Flow_3[Category],"Zela")</f>
        <v>215161</v>
      </c>
      <c r="T341" s="29">
        <f>SUMIFS(Cash_Flow_3[Amount],Cash_Flow_3[Bulan],H341,Cash_Flow_3[Type],"Out",Cash_Flow_3[Category],"Iqbal")</f>
        <v>160000</v>
      </c>
    </row>
    <row r="342" spans="1:20" ht="22.5" customHeight="1" x14ac:dyDescent="0.2">
      <c r="A342" s="23">
        <v>46100</v>
      </c>
      <c r="B342" s="24" t="s">
        <v>408</v>
      </c>
      <c r="C342" s="25" t="s">
        <v>43</v>
      </c>
      <c r="D342" s="25" t="s">
        <v>44</v>
      </c>
      <c r="E342" s="25" t="s">
        <v>1</v>
      </c>
      <c r="F342" s="26">
        <v>27865</v>
      </c>
      <c r="G342" s="27"/>
      <c r="H342" s="28">
        <f t="shared" si="0"/>
        <v>46082</v>
      </c>
      <c r="I342" s="29">
        <f>SUMIFS(Cash_Flow_3[Amount],Cash_Flow_3[Bulan],H342,Cash_Flow_3[Type],"In")</f>
        <v>13015393</v>
      </c>
      <c r="J342" s="29">
        <f>SUMIFS(Cash_Flow_3[Amount],Cash_Flow_3[Bulan],H342,Cash_Flow_3[Type],"Out")</f>
        <v>10475288</v>
      </c>
      <c r="K342" s="29">
        <f>SUMIFS(Cash_Flow_3[Amount],Cash_Flow_3[Bulan],H342,Cash_Flow_3[Type],"Out",Cash_Flow_3[Category],"Fix")</f>
        <v>2908413</v>
      </c>
      <c r="L342" s="29">
        <f>SUMIFS(Cash_Flow_3[Amount],Cash_Flow_3[Bulan],H342,Cash_Flow_3[Type],"Out",Cash_Flow_3[Category],"Bathroom")</f>
        <v>48473</v>
      </c>
      <c r="M342" s="29">
        <f>SUMIFS(Cash_Flow_3[Amount],Cash_Flow_3[Bulan],H342,Cash_Flow_3[Type],"Out",Cash_Flow_3[Category],"Alfa")</f>
        <v>775042</v>
      </c>
      <c r="N342" s="29">
        <f>SUMIFS(Cash_Flow_3[Amount],Cash_Flow_3[Bulan],H342,Cash_Flow_3[Type],"Out",Cash_Flow_3[Category],"Jajan")</f>
        <v>795099</v>
      </c>
      <c r="O342" s="29">
        <f>SUMIFS(Cash_Flow_3[Amount],Cash_Flow_3[Bulan],H342,Cash_Flow_3[Type],"Out",Cash_Flow_3[Category],"Kitchen")</f>
        <v>1003600</v>
      </c>
      <c r="P342" s="29">
        <f>SUMIFS(Cash_Flow_3[Amount],Cash_Flow_3[Bulan],H342,Cash_Flow_3[Type],"Out",Cash_Flow_3[Category],"Loandry")</f>
        <v>41000</v>
      </c>
      <c r="Q342" s="29">
        <f>SUMIFS(Cash_Flow_3[Amount],Cash_Flow_3[Bulan],H342,Cash_Flow_3[Type],"Out",Cash_Flow_3[Category],"Mio")</f>
        <v>364500</v>
      </c>
      <c r="R342" s="29">
        <f>SUMIFS(Cash_Flow_3[Amount],Cash_Flow_3[Bulan],H342,Cash_Flow_3[Type],"Out",Cash_Flow_3[Category],"Sedekah")</f>
        <v>130000</v>
      </c>
      <c r="S342" s="29">
        <f>SUMIFS(Cash_Flow_3[Amount],Cash_Flow_3[Bulan],H342,Cash_Flow_3[Type],"Out",Cash_Flow_3[Category],"Zela")</f>
        <v>215161</v>
      </c>
      <c r="T342" s="29">
        <f>SUMIFS(Cash_Flow_3[Amount],Cash_Flow_3[Bulan],H342,Cash_Flow_3[Type],"Out",Cash_Flow_3[Category],"Iqbal")</f>
        <v>160000</v>
      </c>
    </row>
    <row r="343" spans="1:20" ht="22.5" customHeight="1" x14ac:dyDescent="0.2">
      <c r="A343" s="23">
        <v>46100</v>
      </c>
      <c r="B343" s="24" t="s">
        <v>410</v>
      </c>
      <c r="C343" s="25" t="s">
        <v>46</v>
      </c>
      <c r="D343" s="25" t="s">
        <v>44</v>
      </c>
      <c r="E343" s="25" t="s">
        <v>3</v>
      </c>
      <c r="F343" s="26">
        <v>120000</v>
      </c>
      <c r="G343" s="27"/>
      <c r="H343" s="28">
        <f t="shared" si="0"/>
        <v>46082</v>
      </c>
      <c r="I343" s="29">
        <f>SUMIFS(Cash_Flow_3[Amount],Cash_Flow_3[Bulan],H343,Cash_Flow_3[Type],"In")</f>
        <v>13015393</v>
      </c>
      <c r="J343" s="29">
        <f>SUMIFS(Cash_Flow_3[Amount],Cash_Flow_3[Bulan],H343,Cash_Flow_3[Type],"Out")</f>
        <v>10475288</v>
      </c>
      <c r="K343" s="29">
        <f>SUMIFS(Cash_Flow_3[Amount],Cash_Flow_3[Bulan],H343,Cash_Flow_3[Type],"Out",Cash_Flow_3[Category],"Fix")</f>
        <v>2908413</v>
      </c>
      <c r="L343" s="29">
        <f>SUMIFS(Cash_Flow_3[Amount],Cash_Flow_3[Bulan],H343,Cash_Flow_3[Type],"Out",Cash_Flow_3[Category],"Bathroom")</f>
        <v>48473</v>
      </c>
      <c r="M343" s="29">
        <f>SUMIFS(Cash_Flow_3[Amount],Cash_Flow_3[Bulan],H343,Cash_Flow_3[Type],"Out",Cash_Flow_3[Category],"Alfa")</f>
        <v>775042</v>
      </c>
      <c r="N343" s="29">
        <f>SUMIFS(Cash_Flow_3[Amount],Cash_Flow_3[Bulan],H343,Cash_Flow_3[Type],"Out",Cash_Flow_3[Category],"Jajan")</f>
        <v>795099</v>
      </c>
      <c r="O343" s="29">
        <f>SUMIFS(Cash_Flow_3[Amount],Cash_Flow_3[Bulan],H343,Cash_Flow_3[Type],"Out",Cash_Flow_3[Category],"Kitchen")</f>
        <v>1003600</v>
      </c>
      <c r="P343" s="29">
        <f>SUMIFS(Cash_Flow_3[Amount],Cash_Flow_3[Bulan],H343,Cash_Flow_3[Type],"Out",Cash_Flow_3[Category],"Loandry")</f>
        <v>41000</v>
      </c>
      <c r="Q343" s="29">
        <f>SUMIFS(Cash_Flow_3[Amount],Cash_Flow_3[Bulan],H343,Cash_Flow_3[Type],"Out",Cash_Flow_3[Category],"Mio")</f>
        <v>364500</v>
      </c>
      <c r="R343" s="29">
        <f>SUMIFS(Cash_Flow_3[Amount],Cash_Flow_3[Bulan],H343,Cash_Flow_3[Type],"Out",Cash_Flow_3[Category],"Sedekah")</f>
        <v>130000</v>
      </c>
      <c r="S343" s="29">
        <f>SUMIFS(Cash_Flow_3[Amount],Cash_Flow_3[Bulan],H343,Cash_Flow_3[Type],"Out",Cash_Flow_3[Category],"Zela")</f>
        <v>215161</v>
      </c>
      <c r="T343" s="29">
        <f>SUMIFS(Cash_Flow_3[Amount],Cash_Flow_3[Bulan],H343,Cash_Flow_3[Type],"Out",Cash_Flow_3[Category],"Iqbal")</f>
        <v>160000</v>
      </c>
    </row>
    <row r="344" spans="1:20" ht="22.5" customHeight="1" x14ac:dyDescent="0.2">
      <c r="A344" s="23">
        <v>46101</v>
      </c>
      <c r="B344" s="24" t="s">
        <v>975</v>
      </c>
      <c r="C344" s="25" t="s">
        <v>46</v>
      </c>
      <c r="D344" s="25" t="s">
        <v>44</v>
      </c>
      <c r="E344" s="25" t="s">
        <v>2</v>
      </c>
      <c r="F344" s="26">
        <v>18200</v>
      </c>
      <c r="G344" s="27"/>
      <c r="H344" s="28">
        <f t="shared" si="0"/>
        <v>46082</v>
      </c>
      <c r="I344" s="29">
        <f>SUMIFS(Cash_Flow_3[Amount],Cash_Flow_3[Bulan],H344,Cash_Flow_3[Type],"In")</f>
        <v>13015393</v>
      </c>
      <c r="J344" s="29">
        <f>SUMIFS(Cash_Flow_3[Amount],Cash_Flow_3[Bulan],H344,Cash_Flow_3[Type],"Out")</f>
        <v>10475288</v>
      </c>
      <c r="K344" s="29">
        <f>SUMIFS(Cash_Flow_3[Amount],Cash_Flow_3[Bulan],H344,Cash_Flow_3[Type],"Out",Cash_Flow_3[Category],"Fix")</f>
        <v>2908413</v>
      </c>
      <c r="L344" s="29">
        <f>SUMIFS(Cash_Flow_3[Amount],Cash_Flow_3[Bulan],H344,Cash_Flow_3[Type],"Out",Cash_Flow_3[Category],"Bathroom")</f>
        <v>48473</v>
      </c>
      <c r="M344" s="29">
        <f>SUMIFS(Cash_Flow_3[Amount],Cash_Flow_3[Bulan],H344,Cash_Flow_3[Type],"Out",Cash_Flow_3[Category],"Alfa")</f>
        <v>775042</v>
      </c>
      <c r="N344" s="29">
        <f>SUMIFS(Cash_Flow_3[Amount],Cash_Flow_3[Bulan],H344,Cash_Flow_3[Type],"Out",Cash_Flow_3[Category],"Jajan")</f>
        <v>795099</v>
      </c>
      <c r="O344" s="29">
        <f>SUMIFS(Cash_Flow_3[Amount],Cash_Flow_3[Bulan],H344,Cash_Flow_3[Type],"Out",Cash_Flow_3[Category],"Kitchen")</f>
        <v>1003600</v>
      </c>
      <c r="P344" s="29">
        <f>SUMIFS(Cash_Flow_3[Amount],Cash_Flow_3[Bulan],H344,Cash_Flow_3[Type],"Out",Cash_Flow_3[Category],"Loandry")</f>
        <v>41000</v>
      </c>
      <c r="Q344" s="29">
        <f>SUMIFS(Cash_Flow_3[Amount],Cash_Flow_3[Bulan],H344,Cash_Flow_3[Type],"Out",Cash_Flow_3[Category],"Mio")</f>
        <v>364500</v>
      </c>
      <c r="R344" s="29">
        <f>SUMIFS(Cash_Flow_3[Amount],Cash_Flow_3[Bulan],H344,Cash_Flow_3[Type],"Out",Cash_Flow_3[Category],"Sedekah")</f>
        <v>130000</v>
      </c>
      <c r="S344" s="29">
        <f>SUMIFS(Cash_Flow_3[Amount],Cash_Flow_3[Bulan],H344,Cash_Flow_3[Type],"Out",Cash_Flow_3[Category],"Zela")</f>
        <v>215161</v>
      </c>
      <c r="T344" s="29">
        <f>SUMIFS(Cash_Flow_3[Amount],Cash_Flow_3[Bulan],H344,Cash_Flow_3[Type],"Out",Cash_Flow_3[Category],"Iqbal")</f>
        <v>160000</v>
      </c>
    </row>
    <row r="345" spans="1:20" ht="22.5" customHeight="1" x14ac:dyDescent="0.2">
      <c r="A345" s="23">
        <v>46101</v>
      </c>
      <c r="B345" s="24" t="s">
        <v>482</v>
      </c>
      <c r="C345" s="25" t="s">
        <v>43</v>
      </c>
      <c r="D345" s="25" t="s">
        <v>44</v>
      </c>
      <c r="E345" s="25" t="s">
        <v>9</v>
      </c>
      <c r="F345" s="26">
        <v>200000</v>
      </c>
      <c r="G345" s="27"/>
      <c r="H345" s="28">
        <f t="shared" si="0"/>
        <v>46082</v>
      </c>
      <c r="I345" s="29">
        <f>SUMIFS(Cash_Flow_3[Amount],Cash_Flow_3[Bulan],H345,Cash_Flow_3[Type],"In")</f>
        <v>13015393</v>
      </c>
      <c r="J345" s="29">
        <f>SUMIFS(Cash_Flow_3[Amount],Cash_Flow_3[Bulan],H345,Cash_Flow_3[Type],"Out")</f>
        <v>10475288</v>
      </c>
      <c r="K345" s="29">
        <f>SUMIFS(Cash_Flow_3[Amount],Cash_Flow_3[Bulan],H345,Cash_Flow_3[Type],"Out",Cash_Flow_3[Category],"Fix")</f>
        <v>2908413</v>
      </c>
      <c r="L345" s="29">
        <f>SUMIFS(Cash_Flow_3[Amount],Cash_Flow_3[Bulan],H345,Cash_Flow_3[Type],"Out",Cash_Flow_3[Category],"Bathroom")</f>
        <v>48473</v>
      </c>
      <c r="M345" s="29">
        <f>SUMIFS(Cash_Flow_3[Amount],Cash_Flow_3[Bulan],H345,Cash_Flow_3[Type],"Out",Cash_Flow_3[Category],"Alfa")</f>
        <v>775042</v>
      </c>
      <c r="N345" s="29">
        <f>SUMIFS(Cash_Flow_3[Amount],Cash_Flow_3[Bulan],H345,Cash_Flow_3[Type],"Out",Cash_Flow_3[Category],"Jajan")</f>
        <v>795099</v>
      </c>
      <c r="O345" s="29">
        <f>SUMIFS(Cash_Flow_3[Amount],Cash_Flow_3[Bulan],H345,Cash_Flow_3[Type],"Out",Cash_Flow_3[Category],"Kitchen")</f>
        <v>1003600</v>
      </c>
      <c r="P345" s="29">
        <f>SUMIFS(Cash_Flow_3[Amount],Cash_Flow_3[Bulan],H345,Cash_Flow_3[Type],"Out",Cash_Flow_3[Category],"Loandry")</f>
        <v>41000</v>
      </c>
      <c r="Q345" s="29">
        <f>SUMIFS(Cash_Flow_3[Amount],Cash_Flow_3[Bulan],H345,Cash_Flow_3[Type],"Out",Cash_Flow_3[Category],"Mio")</f>
        <v>364500</v>
      </c>
      <c r="R345" s="29">
        <f>SUMIFS(Cash_Flow_3[Amount],Cash_Flow_3[Bulan],H345,Cash_Flow_3[Type],"Out",Cash_Flow_3[Category],"Sedekah")</f>
        <v>130000</v>
      </c>
      <c r="S345" s="29">
        <f>SUMIFS(Cash_Flow_3[Amount],Cash_Flow_3[Bulan],H345,Cash_Flow_3[Type],"Out",Cash_Flow_3[Category],"Zela")</f>
        <v>215161</v>
      </c>
      <c r="T345" s="29">
        <f>SUMIFS(Cash_Flow_3[Amount],Cash_Flow_3[Bulan],H345,Cash_Flow_3[Type],"Out",Cash_Flow_3[Category],"Iqbal")</f>
        <v>160000</v>
      </c>
    </row>
    <row r="346" spans="1:20" ht="22.5" customHeight="1" x14ac:dyDescent="0.2">
      <c r="A346" s="23">
        <v>46101</v>
      </c>
      <c r="B346" s="24" t="s">
        <v>484</v>
      </c>
      <c r="C346" s="25" t="s">
        <v>46</v>
      </c>
      <c r="D346" s="25" t="s">
        <v>39</v>
      </c>
      <c r="E346" s="25" t="s">
        <v>9</v>
      </c>
      <c r="F346" s="26">
        <v>200000</v>
      </c>
      <c r="G346" s="27"/>
      <c r="H346" s="28">
        <f t="shared" si="0"/>
        <v>46082</v>
      </c>
      <c r="I346" s="29">
        <f>SUMIFS(Cash_Flow_3[Amount],Cash_Flow_3[Bulan],H346,Cash_Flow_3[Type],"In")</f>
        <v>13015393</v>
      </c>
      <c r="J346" s="29">
        <f>SUMIFS(Cash_Flow_3[Amount],Cash_Flow_3[Bulan],H346,Cash_Flow_3[Type],"Out")</f>
        <v>10475288</v>
      </c>
      <c r="K346" s="29">
        <f>SUMIFS(Cash_Flow_3[Amount],Cash_Flow_3[Bulan],H346,Cash_Flow_3[Type],"Out",Cash_Flow_3[Category],"Fix")</f>
        <v>2908413</v>
      </c>
      <c r="L346" s="29">
        <f>SUMIFS(Cash_Flow_3[Amount],Cash_Flow_3[Bulan],H346,Cash_Flow_3[Type],"Out",Cash_Flow_3[Category],"Bathroom")</f>
        <v>48473</v>
      </c>
      <c r="M346" s="29">
        <f>SUMIFS(Cash_Flow_3[Amount],Cash_Flow_3[Bulan],H346,Cash_Flow_3[Type],"Out",Cash_Flow_3[Category],"Alfa")</f>
        <v>775042</v>
      </c>
      <c r="N346" s="29">
        <f>SUMIFS(Cash_Flow_3[Amount],Cash_Flow_3[Bulan],H346,Cash_Flow_3[Type],"Out",Cash_Flow_3[Category],"Jajan")</f>
        <v>795099</v>
      </c>
      <c r="O346" s="29">
        <f>SUMIFS(Cash_Flow_3[Amount],Cash_Flow_3[Bulan],H346,Cash_Flow_3[Type],"Out",Cash_Flow_3[Category],"Kitchen")</f>
        <v>1003600</v>
      </c>
      <c r="P346" s="29">
        <f>SUMIFS(Cash_Flow_3[Amount],Cash_Flow_3[Bulan],H346,Cash_Flow_3[Type],"Out",Cash_Flow_3[Category],"Loandry")</f>
        <v>41000</v>
      </c>
      <c r="Q346" s="29">
        <f>SUMIFS(Cash_Flow_3[Amount],Cash_Flow_3[Bulan],H346,Cash_Flow_3[Type],"Out",Cash_Flow_3[Category],"Mio")</f>
        <v>364500</v>
      </c>
      <c r="R346" s="29">
        <f>SUMIFS(Cash_Flow_3[Amount],Cash_Flow_3[Bulan],H346,Cash_Flow_3[Type],"Out",Cash_Flow_3[Category],"Sedekah")</f>
        <v>130000</v>
      </c>
      <c r="S346" s="29">
        <f>SUMIFS(Cash_Flow_3[Amount],Cash_Flow_3[Bulan],H346,Cash_Flow_3[Type],"Out",Cash_Flow_3[Category],"Zela")</f>
        <v>215161</v>
      </c>
      <c r="T346" s="29">
        <f>SUMIFS(Cash_Flow_3[Amount],Cash_Flow_3[Bulan],H346,Cash_Flow_3[Type],"Out",Cash_Flow_3[Category],"Iqbal")</f>
        <v>160000</v>
      </c>
    </row>
    <row r="347" spans="1:20" ht="22.5" customHeight="1" x14ac:dyDescent="0.2">
      <c r="A347" s="23">
        <v>46101</v>
      </c>
      <c r="B347" s="24" t="s">
        <v>976</v>
      </c>
      <c r="C347" s="25" t="s">
        <v>46</v>
      </c>
      <c r="D347" s="25" t="s">
        <v>44</v>
      </c>
      <c r="E347" s="25" t="s">
        <v>3</v>
      </c>
      <c r="F347" s="26">
        <v>88000</v>
      </c>
      <c r="G347" s="27"/>
      <c r="H347" s="28">
        <f t="shared" si="0"/>
        <v>46082</v>
      </c>
      <c r="I347" s="29">
        <f>SUMIFS(Cash_Flow_3[Amount],Cash_Flow_3[Bulan],H347,Cash_Flow_3[Type],"In")</f>
        <v>13015393</v>
      </c>
      <c r="J347" s="29">
        <f>SUMIFS(Cash_Flow_3[Amount],Cash_Flow_3[Bulan],H347,Cash_Flow_3[Type],"Out")</f>
        <v>10475288</v>
      </c>
      <c r="K347" s="29">
        <f>SUMIFS(Cash_Flow_3[Amount],Cash_Flow_3[Bulan],H347,Cash_Flow_3[Type],"Out",Cash_Flow_3[Category],"Fix")</f>
        <v>2908413</v>
      </c>
      <c r="L347" s="29">
        <f>SUMIFS(Cash_Flow_3[Amount],Cash_Flow_3[Bulan],H347,Cash_Flow_3[Type],"Out",Cash_Flow_3[Category],"Bathroom")</f>
        <v>48473</v>
      </c>
      <c r="M347" s="29">
        <f>SUMIFS(Cash_Flow_3[Amount],Cash_Flow_3[Bulan],H347,Cash_Flow_3[Type],"Out",Cash_Flow_3[Category],"Alfa")</f>
        <v>775042</v>
      </c>
      <c r="N347" s="29">
        <f>SUMIFS(Cash_Flow_3[Amount],Cash_Flow_3[Bulan],H347,Cash_Flow_3[Type],"Out",Cash_Flow_3[Category],"Jajan")</f>
        <v>795099</v>
      </c>
      <c r="O347" s="29">
        <f>SUMIFS(Cash_Flow_3[Amount],Cash_Flow_3[Bulan],H347,Cash_Flow_3[Type],"Out",Cash_Flow_3[Category],"Kitchen")</f>
        <v>1003600</v>
      </c>
      <c r="P347" s="29">
        <f>SUMIFS(Cash_Flow_3[Amount],Cash_Flow_3[Bulan],H347,Cash_Flow_3[Type],"Out",Cash_Flow_3[Category],"Loandry")</f>
        <v>41000</v>
      </c>
      <c r="Q347" s="29">
        <f>SUMIFS(Cash_Flow_3[Amount],Cash_Flow_3[Bulan],H347,Cash_Flow_3[Type],"Out",Cash_Flow_3[Category],"Mio")</f>
        <v>364500</v>
      </c>
      <c r="R347" s="29">
        <f>SUMIFS(Cash_Flow_3[Amount],Cash_Flow_3[Bulan],H347,Cash_Flow_3[Type],"Out",Cash_Flow_3[Category],"Sedekah")</f>
        <v>130000</v>
      </c>
      <c r="S347" s="29">
        <f>SUMIFS(Cash_Flow_3[Amount],Cash_Flow_3[Bulan],H347,Cash_Flow_3[Type],"Out",Cash_Flow_3[Category],"Zela")</f>
        <v>215161</v>
      </c>
      <c r="T347" s="29">
        <f>SUMIFS(Cash_Flow_3[Amount],Cash_Flow_3[Bulan],H347,Cash_Flow_3[Type],"Out",Cash_Flow_3[Category],"Iqbal")</f>
        <v>160000</v>
      </c>
    </row>
    <row r="348" spans="1:20" ht="22.5" customHeight="1" x14ac:dyDescent="0.2">
      <c r="A348" s="23">
        <v>46101</v>
      </c>
      <c r="B348" s="24" t="s">
        <v>415</v>
      </c>
      <c r="C348" s="25" t="s">
        <v>46</v>
      </c>
      <c r="D348" s="25" t="s">
        <v>44</v>
      </c>
      <c r="E348" s="25" t="s">
        <v>9</v>
      </c>
      <c r="F348" s="26">
        <v>84000</v>
      </c>
      <c r="G348" s="27"/>
      <c r="H348" s="28">
        <f t="shared" si="0"/>
        <v>46082</v>
      </c>
      <c r="I348" s="29">
        <f>SUMIFS(Cash_Flow_3[Amount],Cash_Flow_3[Bulan],H348,Cash_Flow_3[Type],"In")</f>
        <v>13015393</v>
      </c>
      <c r="J348" s="29">
        <f>SUMIFS(Cash_Flow_3[Amount],Cash_Flow_3[Bulan],H348,Cash_Flow_3[Type],"Out")</f>
        <v>10475288</v>
      </c>
      <c r="K348" s="29">
        <f>SUMIFS(Cash_Flow_3[Amount],Cash_Flow_3[Bulan],H348,Cash_Flow_3[Type],"Out",Cash_Flow_3[Category],"Fix")</f>
        <v>2908413</v>
      </c>
      <c r="L348" s="29">
        <f>SUMIFS(Cash_Flow_3[Amount],Cash_Flow_3[Bulan],H348,Cash_Flow_3[Type],"Out",Cash_Flow_3[Category],"Bathroom")</f>
        <v>48473</v>
      </c>
      <c r="M348" s="29">
        <f>SUMIFS(Cash_Flow_3[Amount],Cash_Flow_3[Bulan],H348,Cash_Flow_3[Type],"Out",Cash_Flow_3[Category],"Alfa")</f>
        <v>775042</v>
      </c>
      <c r="N348" s="29">
        <f>SUMIFS(Cash_Flow_3[Amount],Cash_Flow_3[Bulan],H348,Cash_Flow_3[Type],"Out",Cash_Flow_3[Category],"Jajan")</f>
        <v>795099</v>
      </c>
      <c r="O348" s="29">
        <f>SUMIFS(Cash_Flow_3[Amount],Cash_Flow_3[Bulan],H348,Cash_Flow_3[Type],"Out",Cash_Flow_3[Category],"Kitchen")</f>
        <v>1003600</v>
      </c>
      <c r="P348" s="29">
        <f>SUMIFS(Cash_Flow_3[Amount],Cash_Flow_3[Bulan],H348,Cash_Flow_3[Type],"Out",Cash_Flow_3[Category],"Loandry")</f>
        <v>41000</v>
      </c>
      <c r="Q348" s="29">
        <f>SUMIFS(Cash_Flow_3[Amount],Cash_Flow_3[Bulan],H348,Cash_Flow_3[Type],"Out",Cash_Flow_3[Category],"Mio")</f>
        <v>364500</v>
      </c>
      <c r="R348" s="29">
        <f>SUMIFS(Cash_Flow_3[Amount],Cash_Flow_3[Bulan],H348,Cash_Flow_3[Type],"Out",Cash_Flow_3[Category],"Sedekah")</f>
        <v>130000</v>
      </c>
      <c r="S348" s="29">
        <f>SUMIFS(Cash_Flow_3[Amount],Cash_Flow_3[Bulan],H348,Cash_Flow_3[Type],"Out",Cash_Flow_3[Category],"Zela")</f>
        <v>215161</v>
      </c>
      <c r="T348" s="29">
        <f>SUMIFS(Cash_Flow_3[Amount],Cash_Flow_3[Bulan],H348,Cash_Flow_3[Type],"Out",Cash_Flow_3[Category],"Iqbal")</f>
        <v>160000</v>
      </c>
    </row>
    <row r="349" spans="1:20" ht="22.5" customHeight="1" x14ac:dyDescent="0.2">
      <c r="A349" s="23">
        <v>46101</v>
      </c>
      <c r="B349" s="24" t="s">
        <v>524</v>
      </c>
      <c r="C349" s="25" t="s">
        <v>46</v>
      </c>
      <c r="D349" s="25" t="s">
        <v>44</v>
      </c>
      <c r="E349" s="25" t="s">
        <v>3</v>
      </c>
      <c r="F349" s="26">
        <v>38800</v>
      </c>
      <c r="G349" s="27"/>
      <c r="H349" s="28">
        <f t="shared" si="0"/>
        <v>46082</v>
      </c>
      <c r="I349" s="29">
        <f>SUMIFS(Cash_Flow_3[Amount],Cash_Flow_3[Bulan],H349,Cash_Flow_3[Type],"In")</f>
        <v>13015393</v>
      </c>
      <c r="J349" s="29">
        <f>SUMIFS(Cash_Flow_3[Amount],Cash_Flow_3[Bulan],H349,Cash_Flow_3[Type],"Out")</f>
        <v>10475288</v>
      </c>
      <c r="K349" s="29">
        <f>SUMIFS(Cash_Flow_3[Amount],Cash_Flow_3[Bulan],H349,Cash_Flow_3[Type],"Out",Cash_Flow_3[Category],"Fix")</f>
        <v>2908413</v>
      </c>
      <c r="L349" s="29">
        <f>SUMIFS(Cash_Flow_3[Amount],Cash_Flow_3[Bulan],H349,Cash_Flow_3[Type],"Out",Cash_Flow_3[Category],"Bathroom")</f>
        <v>48473</v>
      </c>
      <c r="M349" s="29">
        <f>SUMIFS(Cash_Flow_3[Amount],Cash_Flow_3[Bulan],H349,Cash_Flow_3[Type],"Out",Cash_Flow_3[Category],"Alfa")</f>
        <v>775042</v>
      </c>
      <c r="N349" s="29">
        <f>SUMIFS(Cash_Flow_3[Amount],Cash_Flow_3[Bulan],H349,Cash_Flow_3[Type],"Out",Cash_Flow_3[Category],"Jajan")</f>
        <v>795099</v>
      </c>
      <c r="O349" s="29">
        <f>SUMIFS(Cash_Flow_3[Amount],Cash_Flow_3[Bulan],H349,Cash_Flow_3[Type],"Out",Cash_Flow_3[Category],"Kitchen")</f>
        <v>1003600</v>
      </c>
      <c r="P349" s="29">
        <f>SUMIFS(Cash_Flow_3[Amount],Cash_Flow_3[Bulan],H349,Cash_Flow_3[Type],"Out",Cash_Flow_3[Category],"Loandry")</f>
        <v>41000</v>
      </c>
      <c r="Q349" s="29">
        <f>SUMIFS(Cash_Flow_3[Amount],Cash_Flow_3[Bulan],H349,Cash_Flow_3[Type],"Out",Cash_Flow_3[Category],"Mio")</f>
        <v>364500</v>
      </c>
      <c r="R349" s="29">
        <f>SUMIFS(Cash_Flow_3[Amount],Cash_Flow_3[Bulan],H349,Cash_Flow_3[Type],"Out",Cash_Flow_3[Category],"Sedekah")</f>
        <v>130000</v>
      </c>
      <c r="S349" s="29">
        <f>SUMIFS(Cash_Flow_3[Amount],Cash_Flow_3[Bulan],H349,Cash_Flow_3[Type],"Out",Cash_Flow_3[Category],"Zela")</f>
        <v>215161</v>
      </c>
      <c r="T349" s="29">
        <f>SUMIFS(Cash_Flow_3[Amount],Cash_Flow_3[Bulan],H349,Cash_Flow_3[Type],"Out",Cash_Flow_3[Category],"Iqbal")</f>
        <v>160000</v>
      </c>
    </row>
    <row r="350" spans="1:20" ht="22.5" customHeight="1" x14ac:dyDescent="0.2">
      <c r="A350" s="23">
        <v>46101</v>
      </c>
      <c r="B350" s="24" t="s">
        <v>977</v>
      </c>
      <c r="C350" s="25" t="s">
        <v>43</v>
      </c>
      <c r="D350" s="25" t="s">
        <v>44</v>
      </c>
      <c r="E350" s="25" t="s">
        <v>1</v>
      </c>
      <c r="F350" s="26">
        <v>49900</v>
      </c>
      <c r="G350" s="27"/>
      <c r="H350" s="28">
        <f t="shared" si="0"/>
        <v>46082</v>
      </c>
      <c r="I350" s="29">
        <f>SUMIFS(Cash_Flow_3[Amount],Cash_Flow_3[Bulan],H350,Cash_Flow_3[Type],"In")</f>
        <v>13015393</v>
      </c>
      <c r="J350" s="29">
        <f>SUMIFS(Cash_Flow_3[Amount],Cash_Flow_3[Bulan],H350,Cash_Flow_3[Type],"Out")</f>
        <v>10475288</v>
      </c>
      <c r="K350" s="29">
        <f>SUMIFS(Cash_Flow_3[Amount],Cash_Flow_3[Bulan],H350,Cash_Flow_3[Type],"Out",Cash_Flow_3[Category],"Fix")</f>
        <v>2908413</v>
      </c>
      <c r="L350" s="29">
        <f>SUMIFS(Cash_Flow_3[Amount],Cash_Flow_3[Bulan],H350,Cash_Flow_3[Type],"Out",Cash_Flow_3[Category],"Bathroom")</f>
        <v>48473</v>
      </c>
      <c r="M350" s="29">
        <f>SUMIFS(Cash_Flow_3[Amount],Cash_Flow_3[Bulan],H350,Cash_Flow_3[Type],"Out",Cash_Flow_3[Category],"Alfa")</f>
        <v>775042</v>
      </c>
      <c r="N350" s="29">
        <f>SUMIFS(Cash_Flow_3[Amount],Cash_Flow_3[Bulan],H350,Cash_Flow_3[Type],"Out",Cash_Flow_3[Category],"Jajan")</f>
        <v>795099</v>
      </c>
      <c r="O350" s="29">
        <f>SUMIFS(Cash_Flow_3[Amount],Cash_Flow_3[Bulan],H350,Cash_Flow_3[Type],"Out",Cash_Flow_3[Category],"Kitchen")</f>
        <v>1003600</v>
      </c>
      <c r="P350" s="29">
        <f>SUMIFS(Cash_Flow_3[Amount],Cash_Flow_3[Bulan],H350,Cash_Flow_3[Type],"Out",Cash_Flow_3[Category],"Loandry")</f>
        <v>41000</v>
      </c>
      <c r="Q350" s="29">
        <f>SUMIFS(Cash_Flow_3[Amount],Cash_Flow_3[Bulan],H350,Cash_Flow_3[Type],"Out",Cash_Flow_3[Category],"Mio")</f>
        <v>364500</v>
      </c>
      <c r="R350" s="29">
        <f>SUMIFS(Cash_Flow_3[Amount],Cash_Flow_3[Bulan],H350,Cash_Flow_3[Type],"Out",Cash_Flow_3[Category],"Sedekah")</f>
        <v>130000</v>
      </c>
      <c r="S350" s="29">
        <f>SUMIFS(Cash_Flow_3[Amount],Cash_Flow_3[Bulan],H350,Cash_Flow_3[Type],"Out",Cash_Flow_3[Category],"Zela")</f>
        <v>215161</v>
      </c>
      <c r="T350" s="29">
        <f>SUMIFS(Cash_Flow_3[Amount],Cash_Flow_3[Bulan],H350,Cash_Flow_3[Type],"Out",Cash_Flow_3[Category],"Iqbal")</f>
        <v>160000</v>
      </c>
    </row>
    <row r="351" spans="1:20" ht="22.5" customHeight="1" x14ac:dyDescent="0.2">
      <c r="A351" s="23">
        <v>46103</v>
      </c>
      <c r="B351" s="24" t="s">
        <v>978</v>
      </c>
      <c r="C351" s="25" t="s">
        <v>43</v>
      </c>
      <c r="D351" s="25" t="s">
        <v>44</v>
      </c>
      <c r="E351" s="25" t="s">
        <v>5</v>
      </c>
      <c r="F351" s="26">
        <v>27800</v>
      </c>
      <c r="G351" s="27"/>
      <c r="H351" s="28">
        <f t="shared" si="0"/>
        <v>46082</v>
      </c>
      <c r="I351" s="29">
        <f>SUMIFS(Cash_Flow_3[Amount],Cash_Flow_3[Bulan],H351,Cash_Flow_3[Type],"In")</f>
        <v>13015393</v>
      </c>
      <c r="J351" s="29">
        <f>SUMIFS(Cash_Flow_3[Amount],Cash_Flow_3[Bulan],H351,Cash_Flow_3[Type],"Out")</f>
        <v>10475288</v>
      </c>
      <c r="K351" s="29">
        <f>SUMIFS(Cash_Flow_3[Amount],Cash_Flow_3[Bulan],H351,Cash_Flow_3[Type],"Out",Cash_Flow_3[Category],"Fix")</f>
        <v>2908413</v>
      </c>
      <c r="L351" s="29">
        <f>SUMIFS(Cash_Flow_3[Amount],Cash_Flow_3[Bulan],H351,Cash_Flow_3[Type],"Out",Cash_Flow_3[Category],"Bathroom")</f>
        <v>48473</v>
      </c>
      <c r="M351" s="29">
        <f>SUMIFS(Cash_Flow_3[Amount],Cash_Flow_3[Bulan],H351,Cash_Flow_3[Type],"Out",Cash_Flow_3[Category],"Alfa")</f>
        <v>775042</v>
      </c>
      <c r="N351" s="29">
        <f>SUMIFS(Cash_Flow_3[Amount],Cash_Flow_3[Bulan],H351,Cash_Flow_3[Type],"Out",Cash_Flow_3[Category],"Jajan")</f>
        <v>795099</v>
      </c>
      <c r="O351" s="29">
        <f>SUMIFS(Cash_Flow_3[Amount],Cash_Flow_3[Bulan],H351,Cash_Flow_3[Type],"Out",Cash_Flow_3[Category],"Kitchen")</f>
        <v>1003600</v>
      </c>
      <c r="P351" s="29">
        <f>SUMIFS(Cash_Flow_3[Amount],Cash_Flow_3[Bulan],H351,Cash_Flow_3[Type],"Out",Cash_Flow_3[Category],"Loandry")</f>
        <v>41000</v>
      </c>
      <c r="Q351" s="29">
        <f>SUMIFS(Cash_Flow_3[Amount],Cash_Flow_3[Bulan],H351,Cash_Flow_3[Type],"Out",Cash_Flow_3[Category],"Mio")</f>
        <v>364500</v>
      </c>
      <c r="R351" s="29">
        <f>SUMIFS(Cash_Flow_3[Amount],Cash_Flow_3[Bulan],H351,Cash_Flow_3[Type],"Out",Cash_Flow_3[Category],"Sedekah")</f>
        <v>130000</v>
      </c>
      <c r="S351" s="29">
        <f>SUMIFS(Cash_Flow_3[Amount],Cash_Flow_3[Bulan],H351,Cash_Flow_3[Type],"Out",Cash_Flow_3[Category],"Zela")</f>
        <v>215161</v>
      </c>
      <c r="T351" s="29">
        <f>SUMIFS(Cash_Flow_3[Amount],Cash_Flow_3[Bulan],H351,Cash_Flow_3[Type],"Out",Cash_Flow_3[Category],"Iqbal")</f>
        <v>160000</v>
      </c>
    </row>
    <row r="352" spans="1:20" ht="22.5" customHeight="1" x14ac:dyDescent="0.2">
      <c r="A352" s="23">
        <v>46104</v>
      </c>
      <c r="B352" s="24" t="s">
        <v>979</v>
      </c>
      <c r="C352" s="25" t="s">
        <v>46</v>
      </c>
      <c r="D352" s="25" t="s">
        <v>39</v>
      </c>
      <c r="E352" s="25" t="s">
        <v>1</v>
      </c>
      <c r="F352" s="26">
        <v>171000</v>
      </c>
      <c r="G352" s="27"/>
      <c r="H352" s="28">
        <f t="shared" si="0"/>
        <v>46082</v>
      </c>
      <c r="I352" s="29">
        <f>SUMIFS(Cash_Flow_3[Amount],Cash_Flow_3[Bulan],H352,Cash_Flow_3[Type],"In")</f>
        <v>13015393</v>
      </c>
      <c r="J352" s="29">
        <f>SUMIFS(Cash_Flow_3[Amount],Cash_Flow_3[Bulan],H352,Cash_Flow_3[Type],"Out")</f>
        <v>10475288</v>
      </c>
      <c r="K352" s="29">
        <f>SUMIFS(Cash_Flow_3[Amount],Cash_Flow_3[Bulan],H352,Cash_Flow_3[Type],"Out",Cash_Flow_3[Category],"Fix")</f>
        <v>2908413</v>
      </c>
      <c r="L352" s="29">
        <f>SUMIFS(Cash_Flow_3[Amount],Cash_Flow_3[Bulan],H352,Cash_Flow_3[Type],"Out",Cash_Flow_3[Category],"Bathroom")</f>
        <v>48473</v>
      </c>
      <c r="M352" s="29">
        <f>SUMIFS(Cash_Flow_3[Amount],Cash_Flow_3[Bulan],H352,Cash_Flow_3[Type],"Out",Cash_Flow_3[Category],"Alfa")</f>
        <v>775042</v>
      </c>
      <c r="N352" s="29">
        <f>SUMIFS(Cash_Flow_3[Amount],Cash_Flow_3[Bulan],H352,Cash_Flow_3[Type],"Out",Cash_Flow_3[Category],"Jajan")</f>
        <v>795099</v>
      </c>
      <c r="O352" s="29">
        <f>SUMIFS(Cash_Flow_3[Amount],Cash_Flow_3[Bulan],H352,Cash_Flow_3[Type],"Out",Cash_Flow_3[Category],"Kitchen")</f>
        <v>1003600</v>
      </c>
      <c r="P352" s="29">
        <f>SUMIFS(Cash_Flow_3[Amount],Cash_Flow_3[Bulan],H352,Cash_Flow_3[Type],"Out",Cash_Flow_3[Category],"Loandry")</f>
        <v>41000</v>
      </c>
      <c r="Q352" s="29">
        <f>SUMIFS(Cash_Flow_3[Amount],Cash_Flow_3[Bulan],H352,Cash_Flow_3[Type],"Out",Cash_Flow_3[Category],"Mio")</f>
        <v>364500</v>
      </c>
      <c r="R352" s="29">
        <f>SUMIFS(Cash_Flow_3[Amount],Cash_Flow_3[Bulan],H352,Cash_Flow_3[Type],"Out",Cash_Flow_3[Category],"Sedekah")</f>
        <v>130000</v>
      </c>
      <c r="S352" s="29">
        <f>SUMIFS(Cash_Flow_3[Amount],Cash_Flow_3[Bulan],H352,Cash_Flow_3[Type],"Out",Cash_Flow_3[Category],"Zela")</f>
        <v>215161</v>
      </c>
      <c r="T352" s="29">
        <f>SUMIFS(Cash_Flow_3[Amount],Cash_Flow_3[Bulan],H352,Cash_Flow_3[Type],"Out",Cash_Flow_3[Category],"Iqbal")</f>
        <v>160000</v>
      </c>
    </row>
    <row r="353" spans="1:20" ht="22.5" customHeight="1" x14ac:dyDescent="0.2">
      <c r="A353" s="23">
        <v>46104</v>
      </c>
      <c r="B353" s="24" t="s">
        <v>595</v>
      </c>
      <c r="C353" s="25" t="s">
        <v>46</v>
      </c>
      <c r="D353" s="25" t="s">
        <v>44</v>
      </c>
      <c r="E353" s="25" t="s">
        <v>6</v>
      </c>
      <c r="F353" s="26">
        <v>30000</v>
      </c>
      <c r="G353" s="27"/>
      <c r="H353" s="28">
        <f t="shared" si="0"/>
        <v>46082</v>
      </c>
      <c r="I353" s="29">
        <f>SUMIFS(Cash_Flow_3[Amount],Cash_Flow_3[Bulan],H353,Cash_Flow_3[Type],"In")</f>
        <v>13015393</v>
      </c>
      <c r="J353" s="29">
        <f>SUMIFS(Cash_Flow_3[Amount],Cash_Flow_3[Bulan],H353,Cash_Flow_3[Type],"Out")</f>
        <v>10475288</v>
      </c>
      <c r="K353" s="29">
        <f>SUMIFS(Cash_Flow_3[Amount],Cash_Flow_3[Bulan],H353,Cash_Flow_3[Type],"Out",Cash_Flow_3[Category],"Fix")</f>
        <v>2908413</v>
      </c>
      <c r="L353" s="29">
        <f>SUMIFS(Cash_Flow_3[Amount],Cash_Flow_3[Bulan],H353,Cash_Flow_3[Type],"Out",Cash_Flow_3[Category],"Bathroom")</f>
        <v>48473</v>
      </c>
      <c r="M353" s="29">
        <f>SUMIFS(Cash_Flow_3[Amount],Cash_Flow_3[Bulan],H353,Cash_Flow_3[Type],"Out",Cash_Flow_3[Category],"Alfa")</f>
        <v>775042</v>
      </c>
      <c r="N353" s="29">
        <f>SUMIFS(Cash_Flow_3[Amount],Cash_Flow_3[Bulan],H353,Cash_Flow_3[Type],"Out",Cash_Flow_3[Category],"Jajan")</f>
        <v>795099</v>
      </c>
      <c r="O353" s="29">
        <f>SUMIFS(Cash_Flow_3[Amount],Cash_Flow_3[Bulan],H353,Cash_Flow_3[Type],"Out",Cash_Flow_3[Category],"Kitchen")</f>
        <v>1003600</v>
      </c>
      <c r="P353" s="29">
        <f>SUMIFS(Cash_Flow_3[Amount],Cash_Flow_3[Bulan],H353,Cash_Flow_3[Type],"Out",Cash_Flow_3[Category],"Loandry")</f>
        <v>41000</v>
      </c>
      <c r="Q353" s="29">
        <f>SUMIFS(Cash_Flow_3[Amount],Cash_Flow_3[Bulan],H353,Cash_Flow_3[Type],"Out",Cash_Flow_3[Category],"Mio")</f>
        <v>364500</v>
      </c>
      <c r="R353" s="29">
        <f>SUMIFS(Cash_Flow_3[Amount],Cash_Flow_3[Bulan],H353,Cash_Flow_3[Type],"Out",Cash_Flow_3[Category],"Sedekah")</f>
        <v>130000</v>
      </c>
      <c r="S353" s="29">
        <f>SUMIFS(Cash_Flow_3[Amount],Cash_Flow_3[Bulan],H353,Cash_Flow_3[Type],"Out",Cash_Flow_3[Category],"Zela")</f>
        <v>215161</v>
      </c>
      <c r="T353" s="29">
        <f>SUMIFS(Cash_Flow_3[Amount],Cash_Flow_3[Bulan],H353,Cash_Flow_3[Type],"Out",Cash_Flow_3[Category],"Iqbal")</f>
        <v>160000</v>
      </c>
    </row>
    <row r="354" spans="1:20" ht="22.5" customHeight="1" x14ac:dyDescent="0.2">
      <c r="A354" s="23">
        <v>46104</v>
      </c>
      <c r="B354" s="24" t="s">
        <v>424</v>
      </c>
      <c r="C354" s="25" t="s">
        <v>43</v>
      </c>
      <c r="D354" s="25" t="s">
        <v>44</v>
      </c>
      <c r="E354" s="25" t="s">
        <v>1</v>
      </c>
      <c r="F354" s="26">
        <v>39000</v>
      </c>
      <c r="G354" s="27"/>
      <c r="H354" s="28">
        <f t="shared" si="0"/>
        <v>46082</v>
      </c>
      <c r="I354" s="29">
        <f>SUMIFS(Cash_Flow_3[Amount],Cash_Flow_3[Bulan],H354,Cash_Flow_3[Type],"In")</f>
        <v>13015393</v>
      </c>
      <c r="J354" s="29">
        <f>SUMIFS(Cash_Flow_3[Amount],Cash_Flow_3[Bulan],H354,Cash_Flow_3[Type],"Out")</f>
        <v>10475288</v>
      </c>
      <c r="K354" s="29">
        <f>SUMIFS(Cash_Flow_3[Amount],Cash_Flow_3[Bulan],H354,Cash_Flow_3[Type],"Out",Cash_Flow_3[Category],"Fix")</f>
        <v>2908413</v>
      </c>
      <c r="L354" s="29">
        <f>SUMIFS(Cash_Flow_3[Amount],Cash_Flow_3[Bulan],H354,Cash_Flow_3[Type],"Out",Cash_Flow_3[Category],"Bathroom")</f>
        <v>48473</v>
      </c>
      <c r="M354" s="29">
        <f>SUMIFS(Cash_Flow_3[Amount],Cash_Flow_3[Bulan],H354,Cash_Flow_3[Type],"Out",Cash_Flow_3[Category],"Alfa")</f>
        <v>775042</v>
      </c>
      <c r="N354" s="29">
        <f>SUMIFS(Cash_Flow_3[Amount],Cash_Flow_3[Bulan],H354,Cash_Flow_3[Type],"Out",Cash_Flow_3[Category],"Jajan")</f>
        <v>795099</v>
      </c>
      <c r="O354" s="29">
        <f>SUMIFS(Cash_Flow_3[Amount],Cash_Flow_3[Bulan],H354,Cash_Flow_3[Type],"Out",Cash_Flow_3[Category],"Kitchen")</f>
        <v>1003600</v>
      </c>
      <c r="P354" s="29">
        <f>SUMIFS(Cash_Flow_3[Amount],Cash_Flow_3[Bulan],H354,Cash_Flow_3[Type],"Out",Cash_Flow_3[Category],"Loandry")</f>
        <v>41000</v>
      </c>
      <c r="Q354" s="29">
        <f>SUMIFS(Cash_Flow_3[Amount],Cash_Flow_3[Bulan],H354,Cash_Flow_3[Type],"Out",Cash_Flow_3[Category],"Mio")</f>
        <v>364500</v>
      </c>
      <c r="R354" s="29">
        <f>SUMIFS(Cash_Flow_3[Amount],Cash_Flow_3[Bulan],H354,Cash_Flow_3[Type],"Out",Cash_Flow_3[Category],"Sedekah")</f>
        <v>130000</v>
      </c>
      <c r="S354" s="29">
        <f>SUMIFS(Cash_Flow_3[Amount],Cash_Flow_3[Bulan],H354,Cash_Flow_3[Type],"Out",Cash_Flow_3[Category],"Zela")</f>
        <v>215161</v>
      </c>
      <c r="T354" s="29">
        <f>SUMIFS(Cash_Flow_3[Amount],Cash_Flow_3[Bulan],H354,Cash_Flow_3[Type],"Out",Cash_Flow_3[Category],"Iqbal")</f>
        <v>160000</v>
      </c>
    </row>
    <row r="355" spans="1:20" ht="22.5" customHeight="1" x14ac:dyDescent="0.2">
      <c r="A355" s="23">
        <v>46104</v>
      </c>
      <c r="B355" s="24" t="s">
        <v>425</v>
      </c>
      <c r="C355" s="25" t="s">
        <v>43</v>
      </c>
      <c r="D355" s="25" t="s">
        <v>39</v>
      </c>
      <c r="E355" s="25" t="s">
        <v>9</v>
      </c>
      <c r="F355" s="26">
        <v>66865</v>
      </c>
      <c r="G355" s="27"/>
      <c r="H355" s="28">
        <f t="shared" si="0"/>
        <v>46082</v>
      </c>
      <c r="I355" s="29">
        <f>SUMIFS(Cash_Flow_3[Amount],Cash_Flow_3[Bulan],H355,Cash_Flow_3[Type],"In")</f>
        <v>13015393</v>
      </c>
      <c r="J355" s="29">
        <f>SUMIFS(Cash_Flow_3[Amount],Cash_Flow_3[Bulan],H355,Cash_Flow_3[Type],"Out")</f>
        <v>10475288</v>
      </c>
      <c r="K355" s="29">
        <f>SUMIFS(Cash_Flow_3[Amount],Cash_Flow_3[Bulan],H355,Cash_Flow_3[Type],"Out",Cash_Flow_3[Category],"Fix")</f>
        <v>2908413</v>
      </c>
      <c r="L355" s="29">
        <f>SUMIFS(Cash_Flow_3[Amount],Cash_Flow_3[Bulan],H355,Cash_Flow_3[Type],"Out",Cash_Flow_3[Category],"Bathroom")</f>
        <v>48473</v>
      </c>
      <c r="M355" s="29">
        <f>SUMIFS(Cash_Flow_3[Amount],Cash_Flow_3[Bulan],H355,Cash_Flow_3[Type],"Out",Cash_Flow_3[Category],"Alfa")</f>
        <v>775042</v>
      </c>
      <c r="N355" s="29">
        <f>SUMIFS(Cash_Flow_3[Amount],Cash_Flow_3[Bulan],H355,Cash_Flow_3[Type],"Out",Cash_Flow_3[Category],"Jajan")</f>
        <v>795099</v>
      </c>
      <c r="O355" s="29">
        <f>SUMIFS(Cash_Flow_3[Amount],Cash_Flow_3[Bulan],H355,Cash_Flow_3[Type],"Out",Cash_Flow_3[Category],"Kitchen")</f>
        <v>1003600</v>
      </c>
      <c r="P355" s="29">
        <f>SUMIFS(Cash_Flow_3[Amount],Cash_Flow_3[Bulan],H355,Cash_Flow_3[Type],"Out",Cash_Flow_3[Category],"Loandry")</f>
        <v>41000</v>
      </c>
      <c r="Q355" s="29">
        <f>SUMIFS(Cash_Flow_3[Amount],Cash_Flow_3[Bulan],H355,Cash_Flow_3[Type],"Out",Cash_Flow_3[Category],"Mio")</f>
        <v>364500</v>
      </c>
      <c r="R355" s="29">
        <f>SUMIFS(Cash_Flow_3[Amount],Cash_Flow_3[Bulan],H355,Cash_Flow_3[Type],"Out",Cash_Flow_3[Category],"Sedekah")</f>
        <v>130000</v>
      </c>
      <c r="S355" s="29">
        <f>SUMIFS(Cash_Flow_3[Amount],Cash_Flow_3[Bulan],H355,Cash_Flow_3[Type],"Out",Cash_Flow_3[Category],"Zela")</f>
        <v>215161</v>
      </c>
      <c r="T355" s="29">
        <f>SUMIFS(Cash_Flow_3[Amount],Cash_Flow_3[Bulan],H355,Cash_Flow_3[Type],"Out",Cash_Flow_3[Category],"Iqbal")</f>
        <v>160000</v>
      </c>
    </row>
    <row r="356" spans="1:20" ht="22.5" customHeight="1" x14ac:dyDescent="0.2">
      <c r="A356" s="23">
        <v>46104</v>
      </c>
      <c r="B356" s="24" t="s">
        <v>980</v>
      </c>
      <c r="C356" s="25" t="s">
        <v>46</v>
      </c>
      <c r="D356" s="25" t="s">
        <v>44</v>
      </c>
      <c r="E356" s="25" t="s">
        <v>4</v>
      </c>
      <c r="F356" s="26">
        <v>35000</v>
      </c>
      <c r="G356" s="27"/>
      <c r="H356" s="28">
        <f t="shared" si="0"/>
        <v>46082</v>
      </c>
      <c r="I356" s="29">
        <f>SUMIFS(Cash_Flow_3[Amount],Cash_Flow_3[Bulan],H356,Cash_Flow_3[Type],"In")</f>
        <v>13015393</v>
      </c>
      <c r="J356" s="29">
        <f>SUMIFS(Cash_Flow_3[Amount],Cash_Flow_3[Bulan],H356,Cash_Flow_3[Type],"Out")</f>
        <v>10475288</v>
      </c>
      <c r="K356" s="29">
        <f>SUMIFS(Cash_Flow_3[Amount],Cash_Flow_3[Bulan],H356,Cash_Flow_3[Type],"Out",Cash_Flow_3[Category],"Fix")</f>
        <v>2908413</v>
      </c>
      <c r="L356" s="29">
        <f>SUMIFS(Cash_Flow_3[Amount],Cash_Flow_3[Bulan],H356,Cash_Flow_3[Type],"Out",Cash_Flow_3[Category],"Bathroom")</f>
        <v>48473</v>
      </c>
      <c r="M356" s="29">
        <f>SUMIFS(Cash_Flow_3[Amount],Cash_Flow_3[Bulan],H356,Cash_Flow_3[Type],"Out",Cash_Flow_3[Category],"Alfa")</f>
        <v>775042</v>
      </c>
      <c r="N356" s="29">
        <f>SUMIFS(Cash_Flow_3[Amount],Cash_Flow_3[Bulan],H356,Cash_Flow_3[Type],"Out",Cash_Flow_3[Category],"Jajan")</f>
        <v>795099</v>
      </c>
      <c r="O356" s="29">
        <f>SUMIFS(Cash_Flow_3[Amount],Cash_Flow_3[Bulan],H356,Cash_Flow_3[Type],"Out",Cash_Flow_3[Category],"Kitchen")</f>
        <v>1003600</v>
      </c>
      <c r="P356" s="29">
        <f>SUMIFS(Cash_Flow_3[Amount],Cash_Flow_3[Bulan],H356,Cash_Flow_3[Type],"Out",Cash_Flow_3[Category],"Loandry")</f>
        <v>41000</v>
      </c>
      <c r="Q356" s="29">
        <f>SUMIFS(Cash_Flow_3[Amount],Cash_Flow_3[Bulan],H356,Cash_Flow_3[Type],"Out",Cash_Flow_3[Category],"Mio")</f>
        <v>364500</v>
      </c>
      <c r="R356" s="29">
        <f>SUMIFS(Cash_Flow_3[Amount],Cash_Flow_3[Bulan],H356,Cash_Flow_3[Type],"Out",Cash_Flow_3[Category],"Sedekah")</f>
        <v>130000</v>
      </c>
      <c r="S356" s="29">
        <f>SUMIFS(Cash_Flow_3[Amount],Cash_Flow_3[Bulan],H356,Cash_Flow_3[Type],"Out",Cash_Flow_3[Category],"Zela")</f>
        <v>215161</v>
      </c>
      <c r="T356" s="29">
        <f>SUMIFS(Cash_Flow_3[Amount],Cash_Flow_3[Bulan],H356,Cash_Flow_3[Type],"Out",Cash_Flow_3[Category],"Iqbal")</f>
        <v>160000</v>
      </c>
    </row>
    <row r="357" spans="1:20" ht="22.5" customHeight="1" x14ac:dyDescent="0.2">
      <c r="A357" s="23">
        <v>46104</v>
      </c>
      <c r="B357" s="24" t="s">
        <v>981</v>
      </c>
      <c r="C357" s="25" t="s">
        <v>46</v>
      </c>
      <c r="D357" s="25" t="s">
        <v>44</v>
      </c>
      <c r="E357" s="25" t="s">
        <v>2</v>
      </c>
      <c r="F357" s="26">
        <v>15000</v>
      </c>
      <c r="G357" s="27"/>
      <c r="H357" s="28">
        <f t="shared" si="0"/>
        <v>46082</v>
      </c>
      <c r="I357" s="29">
        <f>SUMIFS(Cash_Flow_3[Amount],Cash_Flow_3[Bulan],H357,Cash_Flow_3[Type],"In")</f>
        <v>13015393</v>
      </c>
      <c r="J357" s="29">
        <f>SUMIFS(Cash_Flow_3[Amount],Cash_Flow_3[Bulan],H357,Cash_Flow_3[Type],"Out")</f>
        <v>10475288</v>
      </c>
      <c r="K357" s="29">
        <f>SUMIFS(Cash_Flow_3[Amount],Cash_Flow_3[Bulan],H357,Cash_Flow_3[Type],"Out",Cash_Flow_3[Category],"Fix")</f>
        <v>2908413</v>
      </c>
      <c r="L357" s="29">
        <f>SUMIFS(Cash_Flow_3[Amount],Cash_Flow_3[Bulan],H357,Cash_Flow_3[Type],"Out",Cash_Flow_3[Category],"Bathroom")</f>
        <v>48473</v>
      </c>
      <c r="M357" s="29">
        <f>SUMIFS(Cash_Flow_3[Amount],Cash_Flow_3[Bulan],H357,Cash_Flow_3[Type],"Out",Cash_Flow_3[Category],"Alfa")</f>
        <v>775042</v>
      </c>
      <c r="N357" s="29">
        <f>SUMIFS(Cash_Flow_3[Amount],Cash_Flow_3[Bulan],H357,Cash_Flow_3[Type],"Out",Cash_Flow_3[Category],"Jajan")</f>
        <v>795099</v>
      </c>
      <c r="O357" s="29">
        <f>SUMIFS(Cash_Flow_3[Amount],Cash_Flow_3[Bulan],H357,Cash_Flow_3[Type],"Out",Cash_Flow_3[Category],"Kitchen")</f>
        <v>1003600</v>
      </c>
      <c r="P357" s="29">
        <f>SUMIFS(Cash_Flow_3[Amount],Cash_Flow_3[Bulan],H357,Cash_Flow_3[Type],"Out",Cash_Flow_3[Category],"Loandry")</f>
        <v>41000</v>
      </c>
      <c r="Q357" s="29">
        <f>SUMIFS(Cash_Flow_3[Amount],Cash_Flow_3[Bulan],H357,Cash_Flow_3[Type],"Out",Cash_Flow_3[Category],"Mio")</f>
        <v>364500</v>
      </c>
      <c r="R357" s="29">
        <f>SUMIFS(Cash_Flow_3[Amount],Cash_Flow_3[Bulan],H357,Cash_Flow_3[Type],"Out",Cash_Flow_3[Category],"Sedekah")</f>
        <v>130000</v>
      </c>
      <c r="S357" s="29">
        <f>SUMIFS(Cash_Flow_3[Amount],Cash_Flow_3[Bulan],H357,Cash_Flow_3[Type],"Out",Cash_Flow_3[Category],"Zela")</f>
        <v>215161</v>
      </c>
      <c r="T357" s="29">
        <f>SUMIFS(Cash_Flow_3[Amount],Cash_Flow_3[Bulan],H357,Cash_Flow_3[Type],"Out",Cash_Flow_3[Category],"Iqbal")</f>
        <v>160000</v>
      </c>
    </row>
    <row r="358" spans="1:20" ht="22.5" customHeight="1" x14ac:dyDescent="0.2">
      <c r="A358" s="23">
        <v>46105</v>
      </c>
      <c r="B358" s="24" t="s">
        <v>982</v>
      </c>
      <c r="C358" s="25" t="s">
        <v>43</v>
      </c>
      <c r="D358" s="25" t="s">
        <v>44</v>
      </c>
      <c r="E358" s="25" t="s">
        <v>1</v>
      </c>
      <c r="F358" s="26">
        <v>114312</v>
      </c>
      <c r="G358" s="27"/>
      <c r="H358" s="28">
        <f t="shared" si="0"/>
        <v>46082</v>
      </c>
      <c r="I358" s="29">
        <f>SUMIFS(Cash_Flow_3[Amount],Cash_Flow_3[Bulan],H358,Cash_Flow_3[Type],"In")</f>
        <v>13015393</v>
      </c>
      <c r="J358" s="29">
        <f>SUMIFS(Cash_Flow_3[Amount],Cash_Flow_3[Bulan],H358,Cash_Flow_3[Type],"Out")</f>
        <v>10475288</v>
      </c>
      <c r="K358" s="29">
        <f>SUMIFS(Cash_Flow_3[Amount],Cash_Flow_3[Bulan],H358,Cash_Flow_3[Type],"Out",Cash_Flow_3[Category],"Fix")</f>
        <v>2908413</v>
      </c>
      <c r="L358" s="29">
        <f>SUMIFS(Cash_Flow_3[Amount],Cash_Flow_3[Bulan],H358,Cash_Flow_3[Type],"Out",Cash_Flow_3[Category],"Bathroom")</f>
        <v>48473</v>
      </c>
      <c r="M358" s="29">
        <f>SUMIFS(Cash_Flow_3[Amount],Cash_Flow_3[Bulan],H358,Cash_Flow_3[Type],"Out",Cash_Flow_3[Category],"Alfa")</f>
        <v>775042</v>
      </c>
      <c r="N358" s="29">
        <f>SUMIFS(Cash_Flow_3[Amount],Cash_Flow_3[Bulan],H358,Cash_Flow_3[Type],"Out",Cash_Flow_3[Category],"Jajan")</f>
        <v>795099</v>
      </c>
      <c r="O358" s="29">
        <f>SUMIFS(Cash_Flow_3[Amount],Cash_Flow_3[Bulan],H358,Cash_Flow_3[Type],"Out",Cash_Flow_3[Category],"Kitchen")</f>
        <v>1003600</v>
      </c>
      <c r="P358" s="29">
        <f>SUMIFS(Cash_Flow_3[Amount],Cash_Flow_3[Bulan],H358,Cash_Flow_3[Type],"Out",Cash_Flow_3[Category],"Loandry")</f>
        <v>41000</v>
      </c>
      <c r="Q358" s="29">
        <f>SUMIFS(Cash_Flow_3[Amount],Cash_Flow_3[Bulan],H358,Cash_Flow_3[Type],"Out",Cash_Flow_3[Category],"Mio")</f>
        <v>364500</v>
      </c>
      <c r="R358" s="29">
        <f>SUMIFS(Cash_Flow_3[Amount],Cash_Flow_3[Bulan],H358,Cash_Flow_3[Type],"Out",Cash_Flow_3[Category],"Sedekah")</f>
        <v>130000</v>
      </c>
      <c r="S358" s="29">
        <f>SUMIFS(Cash_Flow_3[Amount],Cash_Flow_3[Bulan],H358,Cash_Flow_3[Type],"Out",Cash_Flow_3[Category],"Zela")</f>
        <v>215161</v>
      </c>
      <c r="T358" s="29">
        <f>SUMIFS(Cash_Flow_3[Amount],Cash_Flow_3[Bulan],H358,Cash_Flow_3[Type],"Out",Cash_Flow_3[Category],"Iqbal")</f>
        <v>160000</v>
      </c>
    </row>
    <row r="359" spans="1:20" ht="22.5" customHeight="1" x14ac:dyDescent="0.2">
      <c r="A359" s="23">
        <v>46106</v>
      </c>
      <c r="B359" s="24" t="s">
        <v>983</v>
      </c>
      <c r="C359" s="25" t="s">
        <v>46</v>
      </c>
      <c r="D359" s="25" t="s">
        <v>44</v>
      </c>
      <c r="E359" s="25" t="s">
        <v>2</v>
      </c>
      <c r="F359" s="26">
        <v>43000</v>
      </c>
      <c r="G359" s="27"/>
      <c r="H359" s="28">
        <f t="shared" si="0"/>
        <v>46082</v>
      </c>
      <c r="I359" s="29">
        <f>SUMIFS(Cash_Flow_3[Amount],Cash_Flow_3[Bulan],H359,Cash_Flow_3[Type],"In")</f>
        <v>13015393</v>
      </c>
      <c r="J359" s="29">
        <f>SUMIFS(Cash_Flow_3[Amount],Cash_Flow_3[Bulan],H359,Cash_Flow_3[Type],"Out")</f>
        <v>10475288</v>
      </c>
      <c r="K359" s="29">
        <f>SUMIFS(Cash_Flow_3[Amount],Cash_Flow_3[Bulan],H359,Cash_Flow_3[Type],"Out",Cash_Flow_3[Category],"Fix")</f>
        <v>2908413</v>
      </c>
      <c r="L359" s="29">
        <f>SUMIFS(Cash_Flow_3[Amount],Cash_Flow_3[Bulan],H359,Cash_Flow_3[Type],"Out",Cash_Flow_3[Category],"Bathroom")</f>
        <v>48473</v>
      </c>
      <c r="M359" s="29">
        <f>SUMIFS(Cash_Flow_3[Amount],Cash_Flow_3[Bulan],H359,Cash_Flow_3[Type],"Out",Cash_Flow_3[Category],"Alfa")</f>
        <v>775042</v>
      </c>
      <c r="N359" s="29">
        <f>SUMIFS(Cash_Flow_3[Amount],Cash_Flow_3[Bulan],H359,Cash_Flow_3[Type],"Out",Cash_Flow_3[Category],"Jajan")</f>
        <v>795099</v>
      </c>
      <c r="O359" s="29">
        <f>SUMIFS(Cash_Flow_3[Amount],Cash_Flow_3[Bulan],H359,Cash_Flow_3[Type],"Out",Cash_Flow_3[Category],"Kitchen")</f>
        <v>1003600</v>
      </c>
      <c r="P359" s="29">
        <f>SUMIFS(Cash_Flow_3[Amount],Cash_Flow_3[Bulan],H359,Cash_Flow_3[Type],"Out",Cash_Flow_3[Category],"Loandry")</f>
        <v>41000</v>
      </c>
      <c r="Q359" s="29">
        <f>SUMIFS(Cash_Flow_3[Amount],Cash_Flow_3[Bulan],H359,Cash_Flow_3[Type],"Out",Cash_Flow_3[Category],"Mio")</f>
        <v>364500</v>
      </c>
      <c r="R359" s="29">
        <f>SUMIFS(Cash_Flow_3[Amount],Cash_Flow_3[Bulan],H359,Cash_Flow_3[Type],"Out",Cash_Flow_3[Category],"Sedekah")</f>
        <v>130000</v>
      </c>
      <c r="S359" s="29">
        <f>SUMIFS(Cash_Flow_3[Amount],Cash_Flow_3[Bulan],H359,Cash_Flow_3[Type],"Out",Cash_Flow_3[Category],"Zela")</f>
        <v>215161</v>
      </c>
      <c r="T359" s="29">
        <f>SUMIFS(Cash_Flow_3[Amount],Cash_Flow_3[Bulan],H359,Cash_Flow_3[Type],"Out",Cash_Flow_3[Category],"Iqbal")</f>
        <v>160000</v>
      </c>
    </row>
    <row r="360" spans="1:20" ht="22.5" customHeight="1" x14ac:dyDescent="0.2">
      <c r="A360" s="23">
        <v>46106</v>
      </c>
      <c r="B360" s="24" t="s">
        <v>595</v>
      </c>
      <c r="C360" s="25" t="s">
        <v>46</v>
      </c>
      <c r="D360" s="25" t="s">
        <v>44</v>
      </c>
      <c r="E360" s="25" t="s">
        <v>6</v>
      </c>
      <c r="F360" s="26">
        <v>20000</v>
      </c>
      <c r="G360" s="27"/>
      <c r="H360" s="28">
        <f t="shared" si="0"/>
        <v>46082</v>
      </c>
      <c r="I360" s="29">
        <f>SUMIFS(Cash_Flow_3[Amount],Cash_Flow_3[Bulan],H360,Cash_Flow_3[Type],"In")</f>
        <v>13015393</v>
      </c>
      <c r="J360" s="29">
        <f>SUMIFS(Cash_Flow_3[Amount],Cash_Flow_3[Bulan],H360,Cash_Flow_3[Type],"Out")</f>
        <v>10475288</v>
      </c>
      <c r="K360" s="29">
        <f>SUMIFS(Cash_Flow_3[Amount],Cash_Flow_3[Bulan],H360,Cash_Flow_3[Type],"Out",Cash_Flow_3[Category],"Fix")</f>
        <v>2908413</v>
      </c>
      <c r="L360" s="29">
        <f>SUMIFS(Cash_Flow_3[Amount],Cash_Flow_3[Bulan],H360,Cash_Flow_3[Type],"Out",Cash_Flow_3[Category],"Bathroom")</f>
        <v>48473</v>
      </c>
      <c r="M360" s="29">
        <f>SUMIFS(Cash_Flow_3[Amount],Cash_Flow_3[Bulan],H360,Cash_Flow_3[Type],"Out",Cash_Flow_3[Category],"Alfa")</f>
        <v>775042</v>
      </c>
      <c r="N360" s="29">
        <f>SUMIFS(Cash_Flow_3[Amount],Cash_Flow_3[Bulan],H360,Cash_Flow_3[Type],"Out",Cash_Flow_3[Category],"Jajan")</f>
        <v>795099</v>
      </c>
      <c r="O360" s="29">
        <f>SUMIFS(Cash_Flow_3[Amount],Cash_Flow_3[Bulan],H360,Cash_Flow_3[Type],"Out",Cash_Flow_3[Category],"Kitchen")</f>
        <v>1003600</v>
      </c>
      <c r="P360" s="29">
        <f>SUMIFS(Cash_Flow_3[Amount],Cash_Flow_3[Bulan],H360,Cash_Flow_3[Type],"Out",Cash_Flow_3[Category],"Loandry")</f>
        <v>41000</v>
      </c>
      <c r="Q360" s="29">
        <f>SUMIFS(Cash_Flow_3[Amount],Cash_Flow_3[Bulan],H360,Cash_Flow_3[Type],"Out",Cash_Flow_3[Category],"Mio")</f>
        <v>364500</v>
      </c>
      <c r="R360" s="29">
        <f>SUMIFS(Cash_Flow_3[Amount],Cash_Flow_3[Bulan],H360,Cash_Flow_3[Type],"Out",Cash_Flow_3[Category],"Sedekah")</f>
        <v>130000</v>
      </c>
      <c r="S360" s="29">
        <f>SUMIFS(Cash_Flow_3[Amount],Cash_Flow_3[Bulan],H360,Cash_Flow_3[Type],"Out",Cash_Flow_3[Category],"Zela")</f>
        <v>215161</v>
      </c>
      <c r="T360" s="29">
        <f>SUMIFS(Cash_Flow_3[Amount],Cash_Flow_3[Bulan],H360,Cash_Flow_3[Type],"Out",Cash_Flow_3[Category],"Iqbal")</f>
        <v>160000</v>
      </c>
    </row>
    <row r="361" spans="1:20" ht="22.5" customHeight="1" x14ac:dyDescent="0.2">
      <c r="A361" s="23">
        <v>46106</v>
      </c>
      <c r="B361" s="24" t="s">
        <v>482</v>
      </c>
      <c r="C361" s="25" t="s">
        <v>43</v>
      </c>
      <c r="D361" s="25" t="s">
        <v>44</v>
      </c>
      <c r="E361" s="25" t="s">
        <v>9</v>
      </c>
      <c r="F361" s="26">
        <v>100000</v>
      </c>
      <c r="G361" s="27"/>
      <c r="H361" s="28">
        <f t="shared" si="0"/>
        <v>46082</v>
      </c>
      <c r="I361" s="29">
        <f>SUMIFS(Cash_Flow_3[Amount],Cash_Flow_3[Bulan],H361,Cash_Flow_3[Type],"In")</f>
        <v>13015393</v>
      </c>
      <c r="J361" s="29">
        <f>SUMIFS(Cash_Flow_3[Amount],Cash_Flow_3[Bulan],H361,Cash_Flow_3[Type],"Out")</f>
        <v>10475288</v>
      </c>
      <c r="K361" s="29">
        <f>SUMIFS(Cash_Flow_3[Amount],Cash_Flow_3[Bulan],H361,Cash_Flow_3[Type],"Out",Cash_Flow_3[Category],"Fix")</f>
        <v>2908413</v>
      </c>
      <c r="L361" s="29">
        <f>SUMIFS(Cash_Flow_3[Amount],Cash_Flow_3[Bulan],H361,Cash_Flow_3[Type],"Out",Cash_Flow_3[Category],"Bathroom")</f>
        <v>48473</v>
      </c>
      <c r="M361" s="29">
        <f>SUMIFS(Cash_Flow_3[Amount],Cash_Flow_3[Bulan],H361,Cash_Flow_3[Type],"Out",Cash_Flow_3[Category],"Alfa")</f>
        <v>775042</v>
      </c>
      <c r="N361" s="29">
        <f>SUMIFS(Cash_Flow_3[Amount],Cash_Flow_3[Bulan],H361,Cash_Flow_3[Type],"Out",Cash_Flow_3[Category],"Jajan")</f>
        <v>795099</v>
      </c>
      <c r="O361" s="29">
        <f>SUMIFS(Cash_Flow_3[Amount],Cash_Flow_3[Bulan],H361,Cash_Flow_3[Type],"Out",Cash_Flow_3[Category],"Kitchen")</f>
        <v>1003600</v>
      </c>
      <c r="P361" s="29">
        <f>SUMIFS(Cash_Flow_3[Amount],Cash_Flow_3[Bulan],H361,Cash_Flow_3[Type],"Out",Cash_Flow_3[Category],"Loandry")</f>
        <v>41000</v>
      </c>
      <c r="Q361" s="29">
        <f>SUMIFS(Cash_Flow_3[Amount],Cash_Flow_3[Bulan],H361,Cash_Flow_3[Type],"Out",Cash_Flow_3[Category],"Mio")</f>
        <v>364500</v>
      </c>
      <c r="R361" s="29">
        <f>SUMIFS(Cash_Flow_3[Amount],Cash_Flow_3[Bulan],H361,Cash_Flow_3[Type],"Out",Cash_Flow_3[Category],"Sedekah")</f>
        <v>130000</v>
      </c>
      <c r="S361" s="29">
        <f>SUMIFS(Cash_Flow_3[Amount],Cash_Flow_3[Bulan],H361,Cash_Flow_3[Type],"Out",Cash_Flow_3[Category],"Zela")</f>
        <v>215161</v>
      </c>
      <c r="T361" s="29">
        <f>SUMIFS(Cash_Flow_3[Amount],Cash_Flow_3[Bulan],H361,Cash_Flow_3[Type],"Out",Cash_Flow_3[Category],"Iqbal")</f>
        <v>160000</v>
      </c>
    </row>
    <row r="362" spans="1:20" ht="22.5" customHeight="1" x14ac:dyDescent="0.2">
      <c r="A362" s="23">
        <v>46106</v>
      </c>
      <c r="B362" s="24" t="s">
        <v>484</v>
      </c>
      <c r="C362" s="25" t="s">
        <v>46</v>
      </c>
      <c r="D362" s="25" t="s">
        <v>39</v>
      </c>
      <c r="E362" s="25" t="s">
        <v>9</v>
      </c>
      <c r="F362" s="26">
        <v>100000</v>
      </c>
      <c r="G362" s="27"/>
      <c r="H362" s="28">
        <f t="shared" si="0"/>
        <v>46082</v>
      </c>
      <c r="I362" s="29">
        <f>SUMIFS(Cash_Flow_3[Amount],Cash_Flow_3[Bulan],H362,Cash_Flow_3[Type],"In")</f>
        <v>13015393</v>
      </c>
      <c r="J362" s="29">
        <f>SUMIFS(Cash_Flow_3[Amount],Cash_Flow_3[Bulan],H362,Cash_Flow_3[Type],"Out")</f>
        <v>10475288</v>
      </c>
      <c r="K362" s="29">
        <f>SUMIFS(Cash_Flow_3[Amount],Cash_Flow_3[Bulan],H362,Cash_Flow_3[Type],"Out",Cash_Flow_3[Category],"Fix")</f>
        <v>2908413</v>
      </c>
      <c r="L362" s="29">
        <f>SUMIFS(Cash_Flow_3[Amount],Cash_Flow_3[Bulan],H362,Cash_Flow_3[Type],"Out",Cash_Flow_3[Category],"Bathroom")</f>
        <v>48473</v>
      </c>
      <c r="M362" s="29">
        <f>SUMIFS(Cash_Flow_3[Amount],Cash_Flow_3[Bulan],H362,Cash_Flow_3[Type],"Out",Cash_Flow_3[Category],"Alfa")</f>
        <v>775042</v>
      </c>
      <c r="N362" s="29">
        <f>SUMIFS(Cash_Flow_3[Amount],Cash_Flow_3[Bulan],H362,Cash_Flow_3[Type],"Out",Cash_Flow_3[Category],"Jajan")</f>
        <v>795099</v>
      </c>
      <c r="O362" s="29">
        <f>SUMIFS(Cash_Flow_3[Amount],Cash_Flow_3[Bulan],H362,Cash_Flow_3[Type],"Out",Cash_Flow_3[Category],"Kitchen")</f>
        <v>1003600</v>
      </c>
      <c r="P362" s="29">
        <f>SUMIFS(Cash_Flow_3[Amount],Cash_Flow_3[Bulan],H362,Cash_Flow_3[Type],"Out",Cash_Flow_3[Category],"Loandry")</f>
        <v>41000</v>
      </c>
      <c r="Q362" s="29">
        <f>SUMIFS(Cash_Flow_3[Amount],Cash_Flow_3[Bulan],H362,Cash_Flow_3[Type],"Out",Cash_Flow_3[Category],"Mio")</f>
        <v>364500</v>
      </c>
      <c r="R362" s="29">
        <f>SUMIFS(Cash_Flow_3[Amount],Cash_Flow_3[Bulan],H362,Cash_Flow_3[Type],"Out",Cash_Flow_3[Category],"Sedekah")</f>
        <v>130000</v>
      </c>
      <c r="S362" s="29">
        <f>SUMIFS(Cash_Flow_3[Amount],Cash_Flow_3[Bulan],H362,Cash_Flow_3[Type],"Out",Cash_Flow_3[Category],"Zela")</f>
        <v>215161</v>
      </c>
      <c r="T362" s="29">
        <f>SUMIFS(Cash_Flow_3[Amount],Cash_Flow_3[Bulan],H362,Cash_Flow_3[Type],"Out",Cash_Flow_3[Category],"Iqbal")</f>
        <v>160000</v>
      </c>
    </row>
    <row r="363" spans="1:20" ht="22.5" customHeight="1" x14ac:dyDescent="0.2">
      <c r="A363" s="23">
        <v>46106</v>
      </c>
      <c r="B363" s="24" t="s">
        <v>437</v>
      </c>
      <c r="C363" s="25" t="s">
        <v>46</v>
      </c>
      <c r="D363" s="25" t="s">
        <v>44</v>
      </c>
      <c r="E363" s="25" t="s">
        <v>1</v>
      </c>
      <c r="F363" s="26">
        <v>42500</v>
      </c>
      <c r="G363" s="27"/>
      <c r="H363" s="28">
        <f t="shared" si="0"/>
        <v>46082</v>
      </c>
      <c r="I363" s="29">
        <f>SUMIFS(Cash_Flow_3[Amount],Cash_Flow_3[Bulan],H363,Cash_Flow_3[Type],"In")</f>
        <v>13015393</v>
      </c>
      <c r="J363" s="29">
        <f>SUMIFS(Cash_Flow_3[Amount],Cash_Flow_3[Bulan],H363,Cash_Flow_3[Type],"Out")</f>
        <v>10475288</v>
      </c>
      <c r="K363" s="29">
        <f>SUMIFS(Cash_Flow_3[Amount],Cash_Flow_3[Bulan],H363,Cash_Flow_3[Type],"Out",Cash_Flow_3[Category],"Fix")</f>
        <v>2908413</v>
      </c>
      <c r="L363" s="29">
        <f>SUMIFS(Cash_Flow_3[Amount],Cash_Flow_3[Bulan],H363,Cash_Flow_3[Type],"Out",Cash_Flow_3[Category],"Bathroom")</f>
        <v>48473</v>
      </c>
      <c r="M363" s="29">
        <f>SUMIFS(Cash_Flow_3[Amount],Cash_Flow_3[Bulan],H363,Cash_Flow_3[Type],"Out",Cash_Flow_3[Category],"Alfa")</f>
        <v>775042</v>
      </c>
      <c r="N363" s="29">
        <f>SUMIFS(Cash_Flow_3[Amount],Cash_Flow_3[Bulan],H363,Cash_Flow_3[Type],"Out",Cash_Flow_3[Category],"Jajan")</f>
        <v>795099</v>
      </c>
      <c r="O363" s="29">
        <f>SUMIFS(Cash_Flow_3[Amount],Cash_Flow_3[Bulan],H363,Cash_Flow_3[Type],"Out",Cash_Flow_3[Category],"Kitchen")</f>
        <v>1003600</v>
      </c>
      <c r="P363" s="29">
        <f>SUMIFS(Cash_Flow_3[Amount],Cash_Flow_3[Bulan],H363,Cash_Flow_3[Type],"Out",Cash_Flow_3[Category],"Loandry")</f>
        <v>41000</v>
      </c>
      <c r="Q363" s="29">
        <f>SUMIFS(Cash_Flow_3[Amount],Cash_Flow_3[Bulan],H363,Cash_Flow_3[Type],"Out",Cash_Flow_3[Category],"Mio")</f>
        <v>364500</v>
      </c>
      <c r="R363" s="29">
        <f>SUMIFS(Cash_Flow_3[Amount],Cash_Flow_3[Bulan],H363,Cash_Flow_3[Type],"Out",Cash_Flow_3[Category],"Sedekah")</f>
        <v>130000</v>
      </c>
      <c r="S363" s="29">
        <f>SUMIFS(Cash_Flow_3[Amount],Cash_Flow_3[Bulan],H363,Cash_Flow_3[Type],"Out",Cash_Flow_3[Category],"Zela")</f>
        <v>215161</v>
      </c>
      <c r="T363" s="29">
        <f>SUMIFS(Cash_Flow_3[Amount],Cash_Flow_3[Bulan],H363,Cash_Flow_3[Type],"Out",Cash_Flow_3[Category],"Iqbal")</f>
        <v>160000</v>
      </c>
    </row>
    <row r="364" spans="1:20" ht="22.5" customHeight="1" x14ac:dyDescent="0.2">
      <c r="A364" s="23"/>
      <c r="B364" s="24"/>
      <c r="C364" s="25"/>
      <c r="D364" s="25"/>
      <c r="E364" s="25"/>
      <c r="F364" s="26"/>
      <c r="G364" s="27"/>
      <c r="H364" s="28" t="str">
        <f t="shared" si="0"/>
        <v/>
      </c>
      <c r="I364" s="29">
        <f>SUMIFS(Cash_Flow_3[Amount],Cash_Flow_3[Bulan],H364,Cash_Flow_3[Type],"In")</f>
        <v>0</v>
      </c>
      <c r="J364" s="29">
        <f>SUMIFS(Cash_Flow_3[Amount],Cash_Flow_3[Bulan],H364,Cash_Flow_3[Type],"Out")</f>
        <v>0</v>
      </c>
      <c r="K364" s="29">
        <f>SUMIFS(Cash_Flow_3[Amount],Cash_Flow_3[Bulan],H364,Cash_Flow_3[Type],"Out",Cash_Flow_3[Category],"Fix")</f>
        <v>0</v>
      </c>
      <c r="L364" s="29">
        <f>SUMIFS(Cash_Flow_3[Amount],Cash_Flow_3[Bulan],H364,Cash_Flow_3[Type],"Out",Cash_Flow_3[Category],"Bathroom")</f>
        <v>0</v>
      </c>
      <c r="M364" s="29">
        <f>SUMIFS(Cash_Flow_3[Amount],Cash_Flow_3[Bulan],H364,Cash_Flow_3[Type],"Out",Cash_Flow_3[Category],"Alfa")</f>
        <v>0</v>
      </c>
      <c r="N364" s="29">
        <f>SUMIFS(Cash_Flow_3[Amount],Cash_Flow_3[Bulan],H364,Cash_Flow_3[Type],"Out",Cash_Flow_3[Category],"Jajan")</f>
        <v>0</v>
      </c>
      <c r="O364" s="29">
        <f>SUMIFS(Cash_Flow_3[Amount],Cash_Flow_3[Bulan],H364,Cash_Flow_3[Type],"Out",Cash_Flow_3[Category],"Kitchen")</f>
        <v>0</v>
      </c>
      <c r="P364" s="29">
        <f>SUMIFS(Cash_Flow_3[Amount],Cash_Flow_3[Bulan],H364,Cash_Flow_3[Type],"Out",Cash_Flow_3[Category],"Loandry")</f>
        <v>0</v>
      </c>
      <c r="Q364" s="29">
        <f>SUMIFS(Cash_Flow_3[Amount],Cash_Flow_3[Bulan],H364,Cash_Flow_3[Type],"Out",Cash_Flow_3[Category],"Mio")</f>
        <v>0</v>
      </c>
      <c r="R364" s="29">
        <f>SUMIFS(Cash_Flow_3[Amount],Cash_Flow_3[Bulan],H364,Cash_Flow_3[Type],"Out",Cash_Flow_3[Category],"Sedekah")</f>
        <v>0</v>
      </c>
      <c r="S364" s="29">
        <f>SUMIFS(Cash_Flow_3[Amount],Cash_Flow_3[Bulan],H364,Cash_Flow_3[Type],"Out",Cash_Flow_3[Category],"Zela")</f>
        <v>0</v>
      </c>
      <c r="T364" s="29">
        <f>SUMIFS(Cash_Flow_3[Amount],Cash_Flow_3[Bulan],H364,Cash_Flow_3[Type],"Out",Cash_Flow_3[Category],"Iqbal")</f>
        <v>0</v>
      </c>
    </row>
    <row r="365" spans="1:20" ht="22.5" customHeight="1" x14ac:dyDescent="0.2">
      <c r="A365" s="23"/>
      <c r="B365" s="24"/>
      <c r="C365" s="25"/>
      <c r="D365" s="25"/>
      <c r="E365" s="25"/>
      <c r="F365" s="26"/>
      <c r="G365" s="27"/>
      <c r="H365" s="28" t="str">
        <f t="shared" si="0"/>
        <v/>
      </c>
      <c r="I365" s="29">
        <f>SUMIFS(Cash_Flow_3[Amount],Cash_Flow_3[Bulan],H365,Cash_Flow_3[Type],"In")</f>
        <v>0</v>
      </c>
      <c r="J365" s="29">
        <f>SUMIFS(Cash_Flow_3[Amount],Cash_Flow_3[Bulan],H365,Cash_Flow_3[Type],"Out")</f>
        <v>0</v>
      </c>
      <c r="K365" s="29">
        <f>SUMIFS(Cash_Flow_3[Amount],Cash_Flow_3[Bulan],H365,Cash_Flow_3[Type],"Out",Cash_Flow_3[Category],"Fix")</f>
        <v>0</v>
      </c>
      <c r="L365" s="29">
        <f>SUMIFS(Cash_Flow_3[Amount],Cash_Flow_3[Bulan],H365,Cash_Flow_3[Type],"Out",Cash_Flow_3[Category],"Bathroom")</f>
        <v>0</v>
      </c>
      <c r="M365" s="29">
        <f>SUMIFS(Cash_Flow_3[Amount],Cash_Flow_3[Bulan],H365,Cash_Flow_3[Type],"Out",Cash_Flow_3[Category],"Alfa")</f>
        <v>0</v>
      </c>
      <c r="N365" s="29">
        <f>SUMIFS(Cash_Flow_3[Amount],Cash_Flow_3[Bulan],H365,Cash_Flow_3[Type],"Out",Cash_Flow_3[Category],"Jajan")</f>
        <v>0</v>
      </c>
      <c r="O365" s="29">
        <f>SUMIFS(Cash_Flow_3[Amount],Cash_Flow_3[Bulan],H365,Cash_Flow_3[Type],"Out",Cash_Flow_3[Category],"Kitchen")</f>
        <v>0</v>
      </c>
      <c r="P365" s="29">
        <f>SUMIFS(Cash_Flow_3[Amount],Cash_Flow_3[Bulan],H365,Cash_Flow_3[Type],"Out",Cash_Flow_3[Category],"Loandry")</f>
        <v>0</v>
      </c>
      <c r="Q365" s="29">
        <f>SUMIFS(Cash_Flow_3[Amount],Cash_Flow_3[Bulan],H365,Cash_Flow_3[Type],"Out",Cash_Flow_3[Category],"Mio")</f>
        <v>0</v>
      </c>
      <c r="R365" s="29">
        <f>SUMIFS(Cash_Flow_3[Amount],Cash_Flow_3[Bulan],H365,Cash_Flow_3[Type],"Out",Cash_Flow_3[Category],"Sedekah")</f>
        <v>0</v>
      </c>
      <c r="S365" s="29">
        <f>SUMIFS(Cash_Flow_3[Amount],Cash_Flow_3[Bulan],H365,Cash_Flow_3[Type],"Out",Cash_Flow_3[Category],"Zela")</f>
        <v>0</v>
      </c>
      <c r="T365" s="29">
        <f>SUMIFS(Cash_Flow_3[Amount],Cash_Flow_3[Bulan],H365,Cash_Flow_3[Type],"Out",Cash_Flow_3[Category],"Iqbal")</f>
        <v>0</v>
      </c>
    </row>
    <row r="366" spans="1:20" ht="22.5" customHeight="1" x14ac:dyDescent="0.2">
      <c r="A366" s="23"/>
      <c r="B366" s="24"/>
      <c r="C366" s="25"/>
      <c r="D366" s="25"/>
      <c r="E366" s="25"/>
      <c r="F366" s="26"/>
      <c r="G366" s="27"/>
      <c r="H366" s="28" t="str">
        <f t="shared" si="0"/>
        <v/>
      </c>
      <c r="I366" s="29">
        <f>SUMIFS(Cash_Flow_3[Amount],Cash_Flow_3[Bulan],H366,Cash_Flow_3[Type],"In")</f>
        <v>0</v>
      </c>
      <c r="J366" s="29">
        <f>SUMIFS(Cash_Flow_3[Amount],Cash_Flow_3[Bulan],H366,Cash_Flow_3[Type],"Out")</f>
        <v>0</v>
      </c>
      <c r="K366" s="29">
        <f>SUMIFS(Cash_Flow_3[Amount],Cash_Flow_3[Bulan],H366,Cash_Flow_3[Type],"Out",Cash_Flow_3[Category],"Fix")</f>
        <v>0</v>
      </c>
      <c r="L366" s="29">
        <f>SUMIFS(Cash_Flow_3[Amount],Cash_Flow_3[Bulan],H366,Cash_Flow_3[Type],"Out",Cash_Flow_3[Category],"Bathroom")</f>
        <v>0</v>
      </c>
      <c r="M366" s="29">
        <f>SUMIFS(Cash_Flow_3[Amount],Cash_Flow_3[Bulan],H366,Cash_Flow_3[Type],"Out",Cash_Flow_3[Category],"Alfa")</f>
        <v>0</v>
      </c>
      <c r="N366" s="29">
        <f>SUMIFS(Cash_Flow_3[Amount],Cash_Flow_3[Bulan],H366,Cash_Flow_3[Type],"Out",Cash_Flow_3[Category],"Jajan")</f>
        <v>0</v>
      </c>
      <c r="O366" s="29">
        <f>SUMIFS(Cash_Flow_3[Amount],Cash_Flow_3[Bulan],H366,Cash_Flow_3[Type],"Out",Cash_Flow_3[Category],"Kitchen")</f>
        <v>0</v>
      </c>
      <c r="P366" s="29">
        <f>SUMIFS(Cash_Flow_3[Amount],Cash_Flow_3[Bulan],H366,Cash_Flow_3[Type],"Out",Cash_Flow_3[Category],"Loandry")</f>
        <v>0</v>
      </c>
      <c r="Q366" s="29">
        <f>SUMIFS(Cash_Flow_3[Amount],Cash_Flow_3[Bulan],H366,Cash_Flow_3[Type],"Out",Cash_Flow_3[Category],"Mio")</f>
        <v>0</v>
      </c>
      <c r="R366" s="29">
        <f>SUMIFS(Cash_Flow_3[Amount],Cash_Flow_3[Bulan],H366,Cash_Flow_3[Type],"Out",Cash_Flow_3[Category],"Sedekah")</f>
        <v>0</v>
      </c>
      <c r="S366" s="29">
        <f>SUMIFS(Cash_Flow_3[Amount],Cash_Flow_3[Bulan],H366,Cash_Flow_3[Type],"Out",Cash_Flow_3[Category],"Zela")</f>
        <v>0</v>
      </c>
      <c r="T366" s="29">
        <f>SUMIFS(Cash_Flow_3[Amount],Cash_Flow_3[Bulan],H366,Cash_Flow_3[Type],"Out",Cash_Flow_3[Category],"Iqbal")</f>
        <v>0</v>
      </c>
    </row>
    <row r="367" spans="1:20" ht="22.5" customHeight="1" x14ac:dyDescent="0.2">
      <c r="A367" s="23"/>
      <c r="B367" s="24"/>
      <c r="C367" s="25"/>
      <c r="D367" s="25"/>
      <c r="E367" s="25"/>
      <c r="F367" s="26"/>
      <c r="G367" s="27"/>
      <c r="H367" s="28" t="str">
        <f t="shared" si="0"/>
        <v/>
      </c>
      <c r="I367" s="29">
        <f>SUMIFS(Cash_Flow_3[Amount],Cash_Flow_3[Bulan],H367,Cash_Flow_3[Type],"In")</f>
        <v>0</v>
      </c>
      <c r="J367" s="29">
        <f>SUMIFS(Cash_Flow_3[Amount],Cash_Flow_3[Bulan],H367,Cash_Flow_3[Type],"Out")</f>
        <v>0</v>
      </c>
      <c r="K367" s="29">
        <f>SUMIFS(Cash_Flow_3[Amount],Cash_Flow_3[Bulan],H367,Cash_Flow_3[Type],"Out",Cash_Flow_3[Category],"Fix")</f>
        <v>0</v>
      </c>
      <c r="L367" s="29">
        <f>SUMIFS(Cash_Flow_3[Amount],Cash_Flow_3[Bulan],H367,Cash_Flow_3[Type],"Out",Cash_Flow_3[Category],"Bathroom")</f>
        <v>0</v>
      </c>
      <c r="M367" s="29">
        <f>SUMIFS(Cash_Flow_3[Amount],Cash_Flow_3[Bulan],H367,Cash_Flow_3[Type],"Out",Cash_Flow_3[Category],"Alfa")</f>
        <v>0</v>
      </c>
      <c r="N367" s="29">
        <f>SUMIFS(Cash_Flow_3[Amount],Cash_Flow_3[Bulan],H367,Cash_Flow_3[Type],"Out",Cash_Flow_3[Category],"Jajan")</f>
        <v>0</v>
      </c>
      <c r="O367" s="29">
        <f>SUMIFS(Cash_Flow_3[Amount],Cash_Flow_3[Bulan],H367,Cash_Flow_3[Type],"Out",Cash_Flow_3[Category],"Kitchen")</f>
        <v>0</v>
      </c>
      <c r="P367" s="29">
        <f>SUMIFS(Cash_Flow_3[Amount],Cash_Flow_3[Bulan],H367,Cash_Flow_3[Type],"Out",Cash_Flow_3[Category],"Loandry")</f>
        <v>0</v>
      </c>
      <c r="Q367" s="29">
        <f>SUMIFS(Cash_Flow_3[Amount],Cash_Flow_3[Bulan],H367,Cash_Flow_3[Type],"Out",Cash_Flow_3[Category],"Mio")</f>
        <v>0</v>
      </c>
      <c r="R367" s="29">
        <f>SUMIFS(Cash_Flow_3[Amount],Cash_Flow_3[Bulan],H367,Cash_Flow_3[Type],"Out",Cash_Flow_3[Category],"Sedekah")</f>
        <v>0</v>
      </c>
      <c r="S367" s="29">
        <f>SUMIFS(Cash_Flow_3[Amount],Cash_Flow_3[Bulan],H367,Cash_Flow_3[Type],"Out",Cash_Flow_3[Category],"Zela")</f>
        <v>0</v>
      </c>
      <c r="T367" s="29">
        <f>SUMIFS(Cash_Flow_3[Amount],Cash_Flow_3[Bulan],H367,Cash_Flow_3[Type],"Out",Cash_Flow_3[Category],"Iqbal")</f>
        <v>0</v>
      </c>
    </row>
    <row r="368" spans="1:20" ht="22.5" customHeight="1" x14ac:dyDescent="0.2">
      <c r="A368" s="23"/>
      <c r="B368" s="24"/>
      <c r="C368" s="25"/>
      <c r="D368" s="25"/>
      <c r="E368" s="25"/>
      <c r="F368" s="26"/>
      <c r="G368" s="27"/>
      <c r="H368" s="28" t="str">
        <f t="shared" si="0"/>
        <v/>
      </c>
      <c r="I368" s="29">
        <f>SUMIFS(Cash_Flow_3[Amount],Cash_Flow_3[Bulan],H368,Cash_Flow_3[Type],"In")</f>
        <v>0</v>
      </c>
      <c r="J368" s="29">
        <f>SUMIFS(Cash_Flow_3[Amount],Cash_Flow_3[Bulan],H368,Cash_Flow_3[Type],"Out")</f>
        <v>0</v>
      </c>
      <c r="K368" s="29">
        <f>SUMIFS(Cash_Flow_3[Amount],Cash_Flow_3[Bulan],H368,Cash_Flow_3[Type],"Out",Cash_Flow_3[Category],"Fix")</f>
        <v>0</v>
      </c>
      <c r="L368" s="29">
        <f>SUMIFS(Cash_Flow_3[Amount],Cash_Flow_3[Bulan],H368,Cash_Flow_3[Type],"Out",Cash_Flow_3[Category],"Bathroom")</f>
        <v>0</v>
      </c>
      <c r="M368" s="29">
        <f>SUMIFS(Cash_Flow_3[Amount],Cash_Flow_3[Bulan],H368,Cash_Flow_3[Type],"Out",Cash_Flow_3[Category],"Alfa")</f>
        <v>0</v>
      </c>
      <c r="N368" s="29">
        <f>SUMIFS(Cash_Flow_3[Amount],Cash_Flow_3[Bulan],H368,Cash_Flow_3[Type],"Out",Cash_Flow_3[Category],"Jajan")</f>
        <v>0</v>
      </c>
      <c r="O368" s="29">
        <f>SUMIFS(Cash_Flow_3[Amount],Cash_Flow_3[Bulan],H368,Cash_Flow_3[Type],"Out",Cash_Flow_3[Category],"Kitchen")</f>
        <v>0</v>
      </c>
      <c r="P368" s="29">
        <f>SUMIFS(Cash_Flow_3[Amount],Cash_Flow_3[Bulan],H368,Cash_Flow_3[Type],"Out",Cash_Flow_3[Category],"Loandry")</f>
        <v>0</v>
      </c>
      <c r="Q368" s="29">
        <f>SUMIFS(Cash_Flow_3[Amount],Cash_Flow_3[Bulan],H368,Cash_Flow_3[Type],"Out",Cash_Flow_3[Category],"Mio")</f>
        <v>0</v>
      </c>
      <c r="R368" s="29">
        <f>SUMIFS(Cash_Flow_3[Amount],Cash_Flow_3[Bulan],H368,Cash_Flow_3[Type],"Out",Cash_Flow_3[Category],"Sedekah")</f>
        <v>0</v>
      </c>
      <c r="S368" s="29">
        <f>SUMIFS(Cash_Flow_3[Amount],Cash_Flow_3[Bulan],H368,Cash_Flow_3[Type],"Out",Cash_Flow_3[Category],"Zela")</f>
        <v>0</v>
      </c>
      <c r="T368" s="29">
        <f>SUMIFS(Cash_Flow_3[Amount],Cash_Flow_3[Bulan],H368,Cash_Flow_3[Type],"Out",Cash_Flow_3[Category],"Iqbal")</f>
        <v>0</v>
      </c>
    </row>
    <row r="369" spans="1:20" ht="22.5" customHeight="1" x14ac:dyDescent="0.2">
      <c r="A369" s="23"/>
      <c r="B369" s="24"/>
      <c r="C369" s="25"/>
      <c r="D369" s="25"/>
      <c r="E369" s="25"/>
      <c r="F369" s="26"/>
      <c r="G369" s="27"/>
      <c r="H369" s="28" t="str">
        <f t="shared" si="0"/>
        <v/>
      </c>
      <c r="I369" s="29">
        <f>SUMIFS(Cash_Flow_3[Amount],Cash_Flow_3[Bulan],H369,Cash_Flow_3[Type],"In")</f>
        <v>0</v>
      </c>
      <c r="J369" s="29">
        <f>SUMIFS(Cash_Flow_3[Amount],Cash_Flow_3[Bulan],H369,Cash_Flow_3[Type],"Out")</f>
        <v>0</v>
      </c>
      <c r="K369" s="29">
        <f>SUMIFS(Cash_Flow_3[Amount],Cash_Flow_3[Bulan],H369,Cash_Flow_3[Type],"Out",Cash_Flow_3[Category],"Fix")</f>
        <v>0</v>
      </c>
      <c r="L369" s="29">
        <f>SUMIFS(Cash_Flow_3[Amount],Cash_Flow_3[Bulan],H369,Cash_Flow_3[Type],"Out",Cash_Flow_3[Category],"Bathroom")</f>
        <v>0</v>
      </c>
      <c r="M369" s="29">
        <f>SUMIFS(Cash_Flow_3[Amount],Cash_Flow_3[Bulan],H369,Cash_Flow_3[Type],"Out",Cash_Flow_3[Category],"Alfa")</f>
        <v>0</v>
      </c>
      <c r="N369" s="29">
        <f>SUMIFS(Cash_Flow_3[Amount],Cash_Flow_3[Bulan],H369,Cash_Flow_3[Type],"Out",Cash_Flow_3[Category],"Jajan")</f>
        <v>0</v>
      </c>
      <c r="O369" s="29">
        <f>SUMIFS(Cash_Flow_3[Amount],Cash_Flow_3[Bulan],H369,Cash_Flow_3[Type],"Out",Cash_Flow_3[Category],"Kitchen")</f>
        <v>0</v>
      </c>
      <c r="P369" s="29">
        <f>SUMIFS(Cash_Flow_3[Amount],Cash_Flow_3[Bulan],H369,Cash_Flow_3[Type],"Out",Cash_Flow_3[Category],"Loandry")</f>
        <v>0</v>
      </c>
      <c r="Q369" s="29">
        <f>SUMIFS(Cash_Flow_3[Amount],Cash_Flow_3[Bulan],H369,Cash_Flow_3[Type],"Out",Cash_Flow_3[Category],"Mio")</f>
        <v>0</v>
      </c>
      <c r="R369" s="29">
        <f>SUMIFS(Cash_Flow_3[Amount],Cash_Flow_3[Bulan],H369,Cash_Flow_3[Type],"Out",Cash_Flow_3[Category],"Sedekah")</f>
        <v>0</v>
      </c>
      <c r="S369" s="29">
        <f>SUMIFS(Cash_Flow_3[Amount],Cash_Flow_3[Bulan],H369,Cash_Flow_3[Type],"Out",Cash_Flow_3[Category],"Zela")</f>
        <v>0</v>
      </c>
      <c r="T369" s="29">
        <f>SUMIFS(Cash_Flow_3[Amount],Cash_Flow_3[Bulan],H369,Cash_Flow_3[Type],"Out",Cash_Flow_3[Category],"Iqbal")</f>
        <v>0</v>
      </c>
    </row>
    <row r="370" spans="1:20" ht="22.5" customHeight="1" x14ac:dyDescent="0.2">
      <c r="A370" s="23"/>
      <c r="B370" s="24"/>
      <c r="C370" s="25"/>
      <c r="D370" s="25"/>
      <c r="E370" s="25"/>
      <c r="F370" s="26"/>
      <c r="G370" s="27"/>
      <c r="H370" s="28" t="str">
        <f t="shared" si="0"/>
        <v/>
      </c>
      <c r="I370" s="29">
        <f>SUMIFS(Cash_Flow_3[Amount],Cash_Flow_3[Bulan],H370,Cash_Flow_3[Type],"In")</f>
        <v>0</v>
      </c>
      <c r="J370" s="29">
        <f>SUMIFS(Cash_Flow_3[Amount],Cash_Flow_3[Bulan],H370,Cash_Flow_3[Type],"Out")</f>
        <v>0</v>
      </c>
      <c r="K370" s="29">
        <f>SUMIFS(Cash_Flow_3[Amount],Cash_Flow_3[Bulan],H370,Cash_Flow_3[Type],"Out",Cash_Flow_3[Category],"Fix")</f>
        <v>0</v>
      </c>
      <c r="L370" s="29">
        <f>SUMIFS(Cash_Flow_3[Amount],Cash_Flow_3[Bulan],H370,Cash_Flow_3[Type],"Out",Cash_Flow_3[Category],"Bathroom")</f>
        <v>0</v>
      </c>
      <c r="M370" s="29">
        <f>SUMIFS(Cash_Flow_3[Amount],Cash_Flow_3[Bulan],H370,Cash_Flow_3[Type],"Out",Cash_Flow_3[Category],"Alfa")</f>
        <v>0</v>
      </c>
      <c r="N370" s="29">
        <f>SUMIFS(Cash_Flow_3[Amount],Cash_Flow_3[Bulan],H370,Cash_Flow_3[Type],"Out",Cash_Flow_3[Category],"Jajan")</f>
        <v>0</v>
      </c>
      <c r="O370" s="29">
        <f>SUMIFS(Cash_Flow_3[Amount],Cash_Flow_3[Bulan],H370,Cash_Flow_3[Type],"Out",Cash_Flow_3[Category],"Kitchen")</f>
        <v>0</v>
      </c>
      <c r="P370" s="29">
        <f>SUMIFS(Cash_Flow_3[Amount],Cash_Flow_3[Bulan],H370,Cash_Flow_3[Type],"Out",Cash_Flow_3[Category],"Loandry")</f>
        <v>0</v>
      </c>
      <c r="Q370" s="29">
        <f>SUMIFS(Cash_Flow_3[Amount],Cash_Flow_3[Bulan],H370,Cash_Flow_3[Type],"Out",Cash_Flow_3[Category],"Mio")</f>
        <v>0</v>
      </c>
      <c r="R370" s="29">
        <f>SUMIFS(Cash_Flow_3[Amount],Cash_Flow_3[Bulan],H370,Cash_Flow_3[Type],"Out",Cash_Flow_3[Category],"Sedekah")</f>
        <v>0</v>
      </c>
      <c r="S370" s="29">
        <f>SUMIFS(Cash_Flow_3[Amount],Cash_Flow_3[Bulan],H370,Cash_Flow_3[Type],"Out",Cash_Flow_3[Category],"Zela")</f>
        <v>0</v>
      </c>
      <c r="T370" s="29">
        <f>SUMIFS(Cash_Flow_3[Amount],Cash_Flow_3[Bulan],H370,Cash_Flow_3[Type],"Out",Cash_Flow_3[Category],"Iqbal")</f>
        <v>0</v>
      </c>
    </row>
    <row r="371" spans="1:20" ht="22.5" customHeight="1" x14ac:dyDescent="0.2">
      <c r="A371" s="23"/>
      <c r="B371" s="24"/>
      <c r="C371" s="25"/>
      <c r="D371" s="25"/>
      <c r="E371" s="25"/>
      <c r="F371" s="26"/>
      <c r="G371" s="27"/>
      <c r="H371" s="28" t="str">
        <f t="shared" si="0"/>
        <v/>
      </c>
      <c r="I371" s="29">
        <f>SUMIFS(Cash_Flow_3[Amount],Cash_Flow_3[Bulan],H371,Cash_Flow_3[Type],"In")</f>
        <v>0</v>
      </c>
      <c r="J371" s="29">
        <f>SUMIFS(Cash_Flow_3[Amount],Cash_Flow_3[Bulan],H371,Cash_Flow_3[Type],"Out")</f>
        <v>0</v>
      </c>
      <c r="K371" s="29">
        <f>SUMIFS(Cash_Flow_3[Amount],Cash_Flow_3[Bulan],H371,Cash_Flow_3[Type],"Out",Cash_Flow_3[Category],"Fix")</f>
        <v>0</v>
      </c>
      <c r="L371" s="29">
        <f>SUMIFS(Cash_Flow_3[Amount],Cash_Flow_3[Bulan],H371,Cash_Flow_3[Type],"Out",Cash_Flow_3[Category],"Bathroom")</f>
        <v>0</v>
      </c>
      <c r="M371" s="29">
        <f>SUMIFS(Cash_Flow_3[Amount],Cash_Flow_3[Bulan],H371,Cash_Flow_3[Type],"Out",Cash_Flow_3[Category],"Alfa")</f>
        <v>0</v>
      </c>
      <c r="N371" s="29">
        <f>SUMIFS(Cash_Flow_3[Amount],Cash_Flow_3[Bulan],H371,Cash_Flow_3[Type],"Out",Cash_Flow_3[Category],"Jajan")</f>
        <v>0</v>
      </c>
      <c r="O371" s="29">
        <f>SUMIFS(Cash_Flow_3[Amount],Cash_Flow_3[Bulan],H371,Cash_Flow_3[Type],"Out",Cash_Flow_3[Category],"Kitchen")</f>
        <v>0</v>
      </c>
      <c r="P371" s="29">
        <f>SUMIFS(Cash_Flow_3[Amount],Cash_Flow_3[Bulan],H371,Cash_Flow_3[Type],"Out",Cash_Flow_3[Category],"Loandry")</f>
        <v>0</v>
      </c>
      <c r="Q371" s="29">
        <f>SUMIFS(Cash_Flow_3[Amount],Cash_Flow_3[Bulan],H371,Cash_Flow_3[Type],"Out",Cash_Flow_3[Category],"Mio")</f>
        <v>0</v>
      </c>
      <c r="R371" s="29">
        <f>SUMIFS(Cash_Flow_3[Amount],Cash_Flow_3[Bulan],H371,Cash_Flow_3[Type],"Out",Cash_Flow_3[Category],"Sedekah")</f>
        <v>0</v>
      </c>
      <c r="S371" s="29">
        <f>SUMIFS(Cash_Flow_3[Amount],Cash_Flow_3[Bulan],H371,Cash_Flow_3[Type],"Out",Cash_Flow_3[Category],"Zela")</f>
        <v>0</v>
      </c>
      <c r="T371" s="29">
        <f>SUMIFS(Cash_Flow_3[Amount],Cash_Flow_3[Bulan],H371,Cash_Flow_3[Type],"Out",Cash_Flow_3[Category],"Iqbal")</f>
        <v>0</v>
      </c>
    </row>
    <row r="372" spans="1:20" ht="22.5" customHeight="1" x14ac:dyDescent="0.2">
      <c r="A372" s="23"/>
      <c r="B372" s="24"/>
      <c r="C372" s="25"/>
      <c r="D372" s="25"/>
      <c r="E372" s="25"/>
      <c r="F372" s="26"/>
      <c r="G372" s="27"/>
      <c r="H372" s="28" t="str">
        <f t="shared" si="0"/>
        <v/>
      </c>
      <c r="I372" s="29">
        <f>SUMIFS(Cash_Flow_3[Amount],Cash_Flow_3[Bulan],H372,Cash_Flow_3[Type],"In")</f>
        <v>0</v>
      </c>
      <c r="J372" s="29">
        <f>SUMIFS(Cash_Flow_3[Amount],Cash_Flow_3[Bulan],H372,Cash_Flow_3[Type],"Out")</f>
        <v>0</v>
      </c>
      <c r="K372" s="29">
        <f>SUMIFS(Cash_Flow_3[Amount],Cash_Flow_3[Bulan],H372,Cash_Flow_3[Type],"Out",Cash_Flow_3[Category],"Fix")</f>
        <v>0</v>
      </c>
      <c r="L372" s="29">
        <f>SUMIFS(Cash_Flow_3[Amount],Cash_Flow_3[Bulan],H372,Cash_Flow_3[Type],"Out",Cash_Flow_3[Category],"Bathroom")</f>
        <v>0</v>
      </c>
      <c r="M372" s="29">
        <f>SUMIFS(Cash_Flow_3[Amount],Cash_Flow_3[Bulan],H372,Cash_Flow_3[Type],"Out",Cash_Flow_3[Category],"Alfa")</f>
        <v>0</v>
      </c>
      <c r="N372" s="29">
        <f>SUMIFS(Cash_Flow_3[Amount],Cash_Flow_3[Bulan],H372,Cash_Flow_3[Type],"Out",Cash_Flow_3[Category],"Jajan")</f>
        <v>0</v>
      </c>
      <c r="O372" s="29">
        <f>SUMIFS(Cash_Flow_3[Amount],Cash_Flow_3[Bulan],H372,Cash_Flow_3[Type],"Out",Cash_Flow_3[Category],"Kitchen")</f>
        <v>0</v>
      </c>
      <c r="P372" s="29">
        <f>SUMIFS(Cash_Flow_3[Amount],Cash_Flow_3[Bulan],H372,Cash_Flow_3[Type],"Out",Cash_Flow_3[Category],"Loandry")</f>
        <v>0</v>
      </c>
      <c r="Q372" s="29">
        <f>SUMIFS(Cash_Flow_3[Amount],Cash_Flow_3[Bulan],H372,Cash_Flow_3[Type],"Out",Cash_Flow_3[Category],"Mio")</f>
        <v>0</v>
      </c>
      <c r="R372" s="29">
        <f>SUMIFS(Cash_Flow_3[Amount],Cash_Flow_3[Bulan],H372,Cash_Flow_3[Type],"Out",Cash_Flow_3[Category],"Sedekah")</f>
        <v>0</v>
      </c>
      <c r="S372" s="29">
        <f>SUMIFS(Cash_Flow_3[Amount],Cash_Flow_3[Bulan],H372,Cash_Flow_3[Type],"Out",Cash_Flow_3[Category],"Zela")</f>
        <v>0</v>
      </c>
      <c r="T372" s="29">
        <f>SUMIFS(Cash_Flow_3[Amount],Cash_Flow_3[Bulan],H372,Cash_Flow_3[Type],"Out",Cash_Flow_3[Category],"Iqbal")</f>
        <v>0</v>
      </c>
    </row>
    <row r="373" spans="1:20" ht="22.5" customHeight="1" x14ac:dyDescent="0.2">
      <c r="A373" s="23"/>
      <c r="B373" s="24"/>
      <c r="C373" s="25"/>
      <c r="D373" s="25"/>
      <c r="E373" s="25"/>
      <c r="F373" s="26"/>
      <c r="G373" s="27"/>
      <c r="H373" s="28" t="str">
        <f t="shared" si="0"/>
        <v/>
      </c>
      <c r="I373" s="29">
        <f>SUMIFS(Cash_Flow_3[Amount],Cash_Flow_3[Bulan],H373,Cash_Flow_3[Type],"In")</f>
        <v>0</v>
      </c>
      <c r="J373" s="29">
        <f>SUMIFS(Cash_Flow_3[Amount],Cash_Flow_3[Bulan],H373,Cash_Flow_3[Type],"Out")</f>
        <v>0</v>
      </c>
      <c r="K373" s="29">
        <f>SUMIFS(Cash_Flow_3[Amount],Cash_Flow_3[Bulan],H373,Cash_Flow_3[Type],"Out",Cash_Flow_3[Category],"Fix")</f>
        <v>0</v>
      </c>
      <c r="L373" s="29">
        <f>SUMIFS(Cash_Flow_3[Amount],Cash_Flow_3[Bulan],H373,Cash_Flow_3[Type],"Out",Cash_Flow_3[Category],"Bathroom")</f>
        <v>0</v>
      </c>
      <c r="M373" s="29">
        <f>SUMIFS(Cash_Flow_3[Amount],Cash_Flow_3[Bulan],H373,Cash_Flow_3[Type],"Out",Cash_Flow_3[Category],"Alfa")</f>
        <v>0</v>
      </c>
      <c r="N373" s="29">
        <f>SUMIFS(Cash_Flow_3[Amount],Cash_Flow_3[Bulan],H373,Cash_Flow_3[Type],"Out",Cash_Flow_3[Category],"Jajan")</f>
        <v>0</v>
      </c>
      <c r="O373" s="29">
        <f>SUMIFS(Cash_Flow_3[Amount],Cash_Flow_3[Bulan],H373,Cash_Flow_3[Type],"Out",Cash_Flow_3[Category],"Kitchen")</f>
        <v>0</v>
      </c>
      <c r="P373" s="29">
        <f>SUMIFS(Cash_Flow_3[Amount],Cash_Flow_3[Bulan],H373,Cash_Flow_3[Type],"Out",Cash_Flow_3[Category],"Loandry")</f>
        <v>0</v>
      </c>
      <c r="Q373" s="29">
        <f>SUMIFS(Cash_Flow_3[Amount],Cash_Flow_3[Bulan],H373,Cash_Flow_3[Type],"Out",Cash_Flow_3[Category],"Mio")</f>
        <v>0</v>
      </c>
      <c r="R373" s="29">
        <f>SUMIFS(Cash_Flow_3[Amount],Cash_Flow_3[Bulan],H373,Cash_Flow_3[Type],"Out",Cash_Flow_3[Category],"Sedekah")</f>
        <v>0</v>
      </c>
      <c r="S373" s="29">
        <f>SUMIFS(Cash_Flow_3[Amount],Cash_Flow_3[Bulan],H373,Cash_Flow_3[Type],"Out",Cash_Flow_3[Category],"Zela")</f>
        <v>0</v>
      </c>
      <c r="T373" s="29">
        <f>SUMIFS(Cash_Flow_3[Amount],Cash_Flow_3[Bulan],H373,Cash_Flow_3[Type],"Out",Cash_Flow_3[Category],"Iqbal")</f>
        <v>0</v>
      </c>
    </row>
    <row r="374" spans="1:20" ht="22.5" customHeight="1" x14ac:dyDescent="0.2">
      <c r="A374" s="23"/>
      <c r="B374" s="24"/>
      <c r="C374" s="25"/>
      <c r="D374" s="25"/>
      <c r="E374" s="25"/>
      <c r="F374" s="26"/>
      <c r="G374" s="27"/>
      <c r="H374" s="28" t="str">
        <f t="shared" si="0"/>
        <v/>
      </c>
      <c r="I374" s="29">
        <f>SUMIFS(Cash_Flow_3[Amount],Cash_Flow_3[Bulan],H374,Cash_Flow_3[Type],"In")</f>
        <v>0</v>
      </c>
      <c r="J374" s="29">
        <f>SUMIFS(Cash_Flow_3[Amount],Cash_Flow_3[Bulan],H374,Cash_Flow_3[Type],"Out")</f>
        <v>0</v>
      </c>
      <c r="K374" s="29">
        <f>SUMIFS(Cash_Flow_3[Amount],Cash_Flow_3[Bulan],H374,Cash_Flow_3[Type],"Out",Cash_Flow_3[Category],"Fix")</f>
        <v>0</v>
      </c>
      <c r="L374" s="29">
        <f>SUMIFS(Cash_Flow_3[Amount],Cash_Flow_3[Bulan],H374,Cash_Flow_3[Type],"Out",Cash_Flow_3[Category],"Bathroom")</f>
        <v>0</v>
      </c>
      <c r="M374" s="29">
        <f>SUMIFS(Cash_Flow_3[Amount],Cash_Flow_3[Bulan],H374,Cash_Flow_3[Type],"Out",Cash_Flow_3[Category],"Alfa")</f>
        <v>0</v>
      </c>
      <c r="N374" s="29">
        <f>SUMIFS(Cash_Flow_3[Amount],Cash_Flow_3[Bulan],H374,Cash_Flow_3[Type],"Out",Cash_Flow_3[Category],"Jajan")</f>
        <v>0</v>
      </c>
      <c r="O374" s="29">
        <f>SUMIFS(Cash_Flow_3[Amount],Cash_Flow_3[Bulan],H374,Cash_Flow_3[Type],"Out",Cash_Flow_3[Category],"Kitchen")</f>
        <v>0</v>
      </c>
      <c r="P374" s="29">
        <f>SUMIFS(Cash_Flow_3[Amount],Cash_Flow_3[Bulan],H374,Cash_Flow_3[Type],"Out",Cash_Flow_3[Category],"Loandry")</f>
        <v>0</v>
      </c>
      <c r="Q374" s="29">
        <f>SUMIFS(Cash_Flow_3[Amount],Cash_Flow_3[Bulan],H374,Cash_Flow_3[Type],"Out",Cash_Flow_3[Category],"Mio")</f>
        <v>0</v>
      </c>
      <c r="R374" s="29">
        <f>SUMIFS(Cash_Flow_3[Amount],Cash_Flow_3[Bulan],H374,Cash_Flow_3[Type],"Out",Cash_Flow_3[Category],"Sedekah")</f>
        <v>0</v>
      </c>
      <c r="S374" s="29">
        <f>SUMIFS(Cash_Flow_3[Amount],Cash_Flow_3[Bulan],H374,Cash_Flow_3[Type],"Out",Cash_Flow_3[Category],"Zela")</f>
        <v>0</v>
      </c>
      <c r="T374" s="29">
        <f>SUMIFS(Cash_Flow_3[Amount],Cash_Flow_3[Bulan],H374,Cash_Flow_3[Type],"Out",Cash_Flow_3[Category],"Iqbal")</f>
        <v>0</v>
      </c>
    </row>
    <row r="375" spans="1:20" ht="22.5" customHeight="1" x14ac:dyDescent="0.2">
      <c r="A375" s="23"/>
      <c r="B375" s="24"/>
      <c r="C375" s="25"/>
      <c r="D375" s="25"/>
      <c r="E375" s="25"/>
      <c r="F375" s="26"/>
      <c r="G375" s="27"/>
      <c r="H375" s="28" t="str">
        <f t="shared" si="0"/>
        <v/>
      </c>
      <c r="I375" s="29">
        <f>SUMIFS(Cash_Flow_3[Amount],Cash_Flow_3[Bulan],H375,Cash_Flow_3[Type],"In")</f>
        <v>0</v>
      </c>
      <c r="J375" s="29">
        <f>SUMIFS(Cash_Flow_3[Amount],Cash_Flow_3[Bulan],H375,Cash_Flow_3[Type],"Out")</f>
        <v>0</v>
      </c>
      <c r="K375" s="29">
        <f>SUMIFS(Cash_Flow_3[Amount],Cash_Flow_3[Bulan],H375,Cash_Flow_3[Type],"Out",Cash_Flow_3[Category],"Fix")</f>
        <v>0</v>
      </c>
      <c r="L375" s="29">
        <f>SUMIFS(Cash_Flow_3[Amount],Cash_Flow_3[Bulan],H375,Cash_Flow_3[Type],"Out",Cash_Flow_3[Category],"Bathroom")</f>
        <v>0</v>
      </c>
      <c r="M375" s="29">
        <f>SUMIFS(Cash_Flow_3[Amount],Cash_Flow_3[Bulan],H375,Cash_Flow_3[Type],"Out",Cash_Flow_3[Category],"Alfa")</f>
        <v>0</v>
      </c>
      <c r="N375" s="29">
        <f>SUMIFS(Cash_Flow_3[Amount],Cash_Flow_3[Bulan],H375,Cash_Flow_3[Type],"Out",Cash_Flow_3[Category],"Jajan")</f>
        <v>0</v>
      </c>
      <c r="O375" s="29">
        <f>SUMIFS(Cash_Flow_3[Amount],Cash_Flow_3[Bulan],H375,Cash_Flow_3[Type],"Out",Cash_Flow_3[Category],"Kitchen")</f>
        <v>0</v>
      </c>
      <c r="P375" s="29">
        <f>SUMIFS(Cash_Flow_3[Amount],Cash_Flow_3[Bulan],H375,Cash_Flow_3[Type],"Out",Cash_Flow_3[Category],"Loandry")</f>
        <v>0</v>
      </c>
      <c r="Q375" s="29">
        <f>SUMIFS(Cash_Flow_3[Amount],Cash_Flow_3[Bulan],H375,Cash_Flow_3[Type],"Out",Cash_Flow_3[Category],"Mio")</f>
        <v>0</v>
      </c>
      <c r="R375" s="29">
        <f>SUMIFS(Cash_Flow_3[Amount],Cash_Flow_3[Bulan],H375,Cash_Flow_3[Type],"Out",Cash_Flow_3[Category],"Sedekah")</f>
        <v>0</v>
      </c>
      <c r="S375" s="29">
        <f>SUMIFS(Cash_Flow_3[Amount],Cash_Flow_3[Bulan],H375,Cash_Flow_3[Type],"Out",Cash_Flow_3[Category],"Zela")</f>
        <v>0</v>
      </c>
      <c r="T375" s="29">
        <f>SUMIFS(Cash_Flow_3[Amount],Cash_Flow_3[Bulan],H375,Cash_Flow_3[Type],"Out",Cash_Flow_3[Category],"Iqbal")</f>
        <v>0</v>
      </c>
    </row>
    <row r="376" spans="1:20" ht="22.5" customHeight="1" x14ac:dyDescent="0.2">
      <c r="A376" s="23"/>
      <c r="B376" s="24"/>
      <c r="C376" s="25"/>
      <c r="D376" s="25"/>
      <c r="E376" s="25"/>
      <c r="F376" s="26"/>
      <c r="G376" s="27"/>
      <c r="H376" s="28" t="str">
        <f t="shared" si="0"/>
        <v/>
      </c>
      <c r="I376" s="29">
        <f>SUMIFS(Cash_Flow_3[Amount],Cash_Flow_3[Bulan],H376,Cash_Flow_3[Type],"In")</f>
        <v>0</v>
      </c>
      <c r="J376" s="29">
        <f>SUMIFS(Cash_Flow_3[Amount],Cash_Flow_3[Bulan],H376,Cash_Flow_3[Type],"Out")</f>
        <v>0</v>
      </c>
      <c r="K376" s="29">
        <f>SUMIFS(Cash_Flow_3[Amount],Cash_Flow_3[Bulan],H376,Cash_Flow_3[Type],"Out",Cash_Flow_3[Category],"Fix")</f>
        <v>0</v>
      </c>
      <c r="L376" s="29">
        <f>SUMIFS(Cash_Flow_3[Amount],Cash_Flow_3[Bulan],H376,Cash_Flow_3[Type],"Out",Cash_Flow_3[Category],"Bathroom")</f>
        <v>0</v>
      </c>
      <c r="M376" s="29">
        <f>SUMIFS(Cash_Flow_3[Amount],Cash_Flow_3[Bulan],H376,Cash_Flow_3[Type],"Out",Cash_Flow_3[Category],"Alfa")</f>
        <v>0</v>
      </c>
      <c r="N376" s="29">
        <f>SUMIFS(Cash_Flow_3[Amount],Cash_Flow_3[Bulan],H376,Cash_Flow_3[Type],"Out",Cash_Flow_3[Category],"Jajan")</f>
        <v>0</v>
      </c>
      <c r="O376" s="29">
        <f>SUMIFS(Cash_Flow_3[Amount],Cash_Flow_3[Bulan],H376,Cash_Flow_3[Type],"Out",Cash_Flow_3[Category],"Kitchen")</f>
        <v>0</v>
      </c>
      <c r="P376" s="29">
        <f>SUMIFS(Cash_Flow_3[Amount],Cash_Flow_3[Bulan],H376,Cash_Flow_3[Type],"Out",Cash_Flow_3[Category],"Loandry")</f>
        <v>0</v>
      </c>
      <c r="Q376" s="29">
        <f>SUMIFS(Cash_Flow_3[Amount],Cash_Flow_3[Bulan],H376,Cash_Flow_3[Type],"Out",Cash_Flow_3[Category],"Mio")</f>
        <v>0</v>
      </c>
      <c r="R376" s="29">
        <f>SUMIFS(Cash_Flow_3[Amount],Cash_Flow_3[Bulan],H376,Cash_Flow_3[Type],"Out",Cash_Flow_3[Category],"Sedekah")</f>
        <v>0</v>
      </c>
      <c r="S376" s="29">
        <f>SUMIFS(Cash_Flow_3[Amount],Cash_Flow_3[Bulan],H376,Cash_Flow_3[Type],"Out",Cash_Flow_3[Category],"Zela")</f>
        <v>0</v>
      </c>
      <c r="T376" s="29">
        <f>SUMIFS(Cash_Flow_3[Amount],Cash_Flow_3[Bulan],H376,Cash_Flow_3[Type],"Out",Cash_Flow_3[Category],"Iqbal")</f>
        <v>0</v>
      </c>
    </row>
    <row r="377" spans="1:20" ht="22.5" customHeight="1" x14ac:dyDescent="0.2">
      <c r="A377" s="23"/>
      <c r="B377" s="24"/>
      <c r="C377" s="25"/>
      <c r="D377" s="25"/>
      <c r="E377" s="25"/>
      <c r="F377" s="26"/>
      <c r="G377" s="27"/>
      <c r="H377" s="28" t="str">
        <f t="shared" si="0"/>
        <v/>
      </c>
      <c r="I377" s="29">
        <f>SUMIFS(Cash_Flow_3[Amount],Cash_Flow_3[Bulan],H377,Cash_Flow_3[Type],"In")</f>
        <v>0</v>
      </c>
      <c r="J377" s="29">
        <f>SUMIFS(Cash_Flow_3[Amount],Cash_Flow_3[Bulan],H377,Cash_Flow_3[Type],"Out")</f>
        <v>0</v>
      </c>
      <c r="K377" s="29">
        <f>SUMIFS(Cash_Flow_3[Amount],Cash_Flow_3[Bulan],H377,Cash_Flow_3[Type],"Out",Cash_Flow_3[Category],"Fix")</f>
        <v>0</v>
      </c>
      <c r="L377" s="29">
        <f>SUMIFS(Cash_Flow_3[Amount],Cash_Flow_3[Bulan],H377,Cash_Flow_3[Type],"Out",Cash_Flow_3[Category],"Bathroom")</f>
        <v>0</v>
      </c>
      <c r="M377" s="29">
        <f>SUMIFS(Cash_Flow_3[Amount],Cash_Flow_3[Bulan],H377,Cash_Flow_3[Type],"Out",Cash_Flow_3[Category],"Alfa")</f>
        <v>0</v>
      </c>
      <c r="N377" s="29">
        <f>SUMIFS(Cash_Flow_3[Amount],Cash_Flow_3[Bulan],H377,Cash_Flow_3[Type],"Out",Cash_Flow_3[Category],"Jajan")</f>
        <v>0</v>
      </c>
      <c r="O377" s="29">
        <f>SUMIFS(Cash_Flow_3[Amount],Cash_Flow_3[Bulan],H377,Cash_Flow_3[Type],"Out",Cash_Flow_3[Category],"Kitchen")</f>
        <v>0</v>
      </c>
      <c r="P377" s="29">
        <f>SUMIFS(Cash_Flow_3[Amount],Cash_Flow_3[Bulan],H377,Cash_Flow_3[Type],"Out",Cash_Flow_3[Category],"Loandry")</f>
        <v>0</v>
      </c>
      <c r="Q377" s="29">
        <f>SUMIFS(Cash_Flow_3[Amount],Cash_Flow_3[Bulan],H377,Cash_Flow_3[Type],"Out",Cash_Flow_3[Category],"Mio")</f>
        <v>0</v>
      </c>
      <c r="R377" s="29">
        <f>SUMIFS(Cash_Flow_3[Amount],Cash_Flow_3[Bulan],H377,Cash_Flow_3[Type],"Out",Cash_Flow_3[Category],"Sedekah")</f>
        <v>0</v>
      </c>
      <c r="S377" s="29">
        <f>SUMIFS(Cash_Flow_3[Amount],Cash_Flow_3[Bulan],H377,Cash_Flow_3[Type],"Out",Cash_Flow_3[Category],"Zela")</f>
        <v>0</v>
      </c>
      <c r="T377" s="29">
        <f>SUMIFS(Cash_Flow_3[Amount],Cash_Flow_3[Bulan],H377,Cash_Flow_3[Type],"Out",Cash_Flow_3[Category],"Iqbal")</f>
        <v>0</v>
      </c>
    </row>
    <row r="378" spans="1:20" ht="22.5" customHeight="1" x14ac:dyDescent="0.2">
      <c r="A378" s="23"/>
      <c r="B378" s="24"/>
      <c r="C378" s="25"/>
      <c r="D378" s="25"/>
      <c r="E378" s="25"/>
      <c r="F378" s="26"/>
      <c r="G378" s="27"/>
      <c r="H378" s="28" t="str">
        <f t="shared" si="0"/>
        <v/>
      </c>
      <c r="I378" s="29">
        <f>SUMIFS(Cash_Flow_3[Amount],Cash_Flow_3[Bulan],H378,Cash_Flow_3[Type],"In")</f>
        <v>0</v>
      </c>
      <c r="J378" s="29">
        <f>SUMIFS(Cash_Flow_3[Amount],Cash_Flow_3[Bulan],H378,Cash_Flow_3[Type],"Out")</f>
        <v>0</v>
      </c>
      <c r="K378" s="29">
        <f>SUMIFS(Cash_Flow_3[Amount],Cash_Flow_3[Bulan],H378,Cash_Flow_3[Type],"Out",Cash_Flow_3[Category],"Fix")</f>
        <v>0</v>
      </c>
      <c r="L378" s="29">
        <f>SUMIFS(Cash_Flow_3[Amount],Cash_Flow_3[Bulan],H378,Cash_Flow_3[Type],"Out",Cash_Flow_3[Category],"Bathroom")</f>
        <v>0</v>
      </c>
      <c r="M378" s="29">
        <f>SUMIFS(Cash_Flow_3[Amount],Cash_Flow_3[Bulan],H378,Cash_Flow_3[Type],"Out",Cash_Flow_3[Category],"Alfa")</f>
        <v>0</v>
      </c>
      <c r="N378" s="29">
        <f>SUMIFS(Cash_Flow_3[Amount],Cash_Flow_3[Bulan],H378,Cash_Flow_3[Type],"Out",Cash_Flow_3[Category],"Jajan")</f>
        <v>0</v>
      </c>
      <c r="O378" s="29">
        <f>SUMIFS(Cash_Flow_3[Amount],Cash_Flow_3[Bulan],H378,Cash_Flow_3[Type],"Out",Cash_Flow_3[Category],"Kitchen")</f>
        <v>0</v>
      </c>
      <c r="P378" s="29">
        <f>SUMIFS(Cash_Flow_3[Amount],Cash_Flow_3[Bulan],H378,Cash_Flow_3[Type],"Out",Cash_Flow_3[Category],"Loandry")</f>
        <v>0</v>
      </c>
      <c r="Q378" s="29">
        <f>SUMIFS(Cash_Flow_3[Amount],Cash_Flow_3[Bulan],H378,Cash_Flow_3[Type],"Out",Cash_Flow_3[Category],"Mio")</f>
        <v>0</v>
      </c>
      <c r="R378" s="29">
        <f>SUMIFS(Cash_Flow_3[Amount],Cash_Flow_3[Bulan],H378,Cash_Flow_3[Type],"Out",Cash_Flow_3[Category],"Sedekah")</f>
        <v>0</v>
      </c>
      <c r="S378" s="29">
        <f>SUMIFS(Cash_Flow_3[Amount],Cash_Flow_3[Bulan],H378,Cash_Flow_3[Type],"Out",Cash_Flow_3[Category],"Zela")</f>
        <v>0</v>
      </c>
      <c r="T378" s="29">
        <f>SUMIFS(Cash_Flow_3[Amount],Cash_Flow_3[Bulan],H378,Cash_Flow_3[Type],"Out",Cash_Flow_3[Category],"Iqbal")</f>
        <v>0</v>
      </c>
    </row>
    <row r="379" spans="1:20" ht="22.5" customHeight="1" x14ac:dyDescent="0.2">
      <c r="A379" s="23"/>
      <c r="B379" s="24"/>
      <c r="C379" s="25"/>
      <c r="D379" s="25"/>
      <c r="E379" s="25"/>
      <c r="F379" s="26"/>
      <c r="G379" s="27"/>
      <c r="H379" s="28" t="str">
        <f t="shared" si="0"/>
        <v/>
      </c>
      <c r="I379" s="29">
        <f>SUMIFS(Cash_Flow_3[Amount],Cash_Flow_3[Bulan],H379,Cash_Flow_3[Type],"In")</f>
        <v>0</v>
      </c>
      <c r="J379" s="29">
        <f>SUMIFS(Cash_Flow_3[Amount],Cash_Flow_3[Bulan],H379,Cash_Flow_3[Type],"Out")</f>
        <v>0</v>
      </c>
      <c r="K379" s="29">
        <f>SUMIFS(Cash_Flow_3[Amount],Cash_Flow_3[Bulan],H379,Cash_Flow_3[Type],"Out",Cash_Flow_3[Category],"Fix")</f>
        <v>0</v>
      </c>
      <c r="L379" s="29">
        <f>SUMIFS(Cash_Flow_3[Amount],Cash_Flow_3[Bulan],H379,Cash_Flow_3[Type],"Out",Cash_Flow_3[Category],"Bathroom")</f>
        <v>0</v>
      </c>
      <c r="M379" s="29">
        <f>SUMIFS(Cash_Flow_3[Amount],Cash_Flow_3[Bulan],H379,Cash_Flow_3[Type],"Out",Cash_Flow_3[Category],"Alfa")</f>
        <v>0</v>
      </c>
      <c r="N379" s="29">
        <f>SUMIFS(Cash_Flow_3[Amount],Cash_Flow_3[Bulan],H379,Cash_Flow_3[Type],"Out",Cash_Flow_3[Category],"Jajan")</f>
        <v>0</v>
      </c>
      <c r="O379" s="29">
        <f>SUMIFS(Cash_Flow_3[Amount],Cash_Flow_3[Bulan],H379,Cash_Flow_3[Type],"Out",Cash_Flow_3[Category],"Kitchen")</f>
        <v>0</v>
      </c>
      <c r="P379" s="29">
        <f>SUMIFS(Cash_Flow_3[Amount],Cash_Flow_3[Bulan],H379,Cash_Flow_3[Type],"Out",Cash_Flow_3[Category],"Loandry")</f>
        <v>0</v>
      </c>
      <c r="Q379" s="29">
        <f>SUMIFS(Cash_Flow_3[Amount],Cash_Flow_3[Bulan],H379,Cash_Flow_3[Type],"Out",Cash_Flow_3[Category],"Mio")</f>
        <v>0</v>
      </c>
      <c r="R379" s="29">
        <f>SUMIFS(Cash_Flow_3[Amount],Cash_Flow_3[Bulan],H379,Cash_Flow_3[Type],"Out",Cash_Flow_3[Category],"Sedekah")</f>
        <v>0</v>
      </c>
      <c r="S379" s="29">
        <f>SUMIFS(Cash_Flow_3[Amount],Cash_Flow_3[Bulan],H379,Cash_Flow_3[Type],"Out",Cash_Flow_3[Category],"Zela")</f>
        <v>0</v>
      </c>
      <c r="T379" s="29">
        <f>SUMIFS(Cash_Flow_3[Amount],Cash_Flow_3[Bulan],H379,Cash_Flow_3[Type],"Out",Cash_Flow_3[Category],"Iqbal")</f>
        <v>0</v>
      </c>
    </row>
    <row r="380" spans="1:20" ht="22.5" customHeight="1" x14ac:dyDescent="0.2">
      <c r="A380" s="23"/>
      <c r="B380" s="24"/>
      <c r="C380" s="25"/>
      <c r="D380" s="25"/>
      <c r="E380" s="25"/>
      <c r="F380" s="26"/>
      <c r="G380" s="27"/>
      <c r="H380" s="28" t="str">
        <f t="shared" si="0"/>
        <v/>
      </c>
      <c r="I380" s="29">
        <f>SUMIFS(Cash_Flow_3[Amount],Cash_Flow_3[Bulan],H380,Cash_Flow_3[Type],"In")</f>
        <v>0</v>
      </c>
      <c r="J380" s="29">
        <f>SUMIFS(Cash_Flow_3[Amount],Cash_Flow_3[Bulan],H380,Cash_Flow_3[Type],"Out")</f>
        <v>0</v>
      </c>
      <c r="K380" s="29">
        <f>SUMIFS(Cash_Flow_3[Amount],Cash_Flow_3[Bulan],H380,Cash_Flow_3[Type],"Out",Cash_Flow_3[Category],"Fix")</f>
        <v>0</v>
      </c>
      <c r="L380" s="29">
        <f>SUMIFS(Cash_Flow_3[Amount],Cash_Flow_3[Bulan],H380,Cash_Flow_3[Type],"Out",Cash_Flow_3[Category],"Bathroom")</f>
        <v>0</v>
      </c>
      <c r="M380" s="29">
        <f>SUMIFS(Cash_Flow_3[Amount],Cash_Flow_3[Bulan],H380,Cash_Flow_3[Type],"Out",Cash_Flow_3[Category],"Alfa")</f>
        <v>0</v>
      </c>
      <c r="N380" s="29">
        <f>SUMIFS(Cash_Flow_3[Amount],Cash_Flow_3[Bulan],H380,Cash_Flow_3[Type],"Out",Cash_Flow_3[Category],"Jajan")</f>
        <v>0</v>
      </c>
      <c r="O380" s="29">
        <f>SUMIFS(Cash_Flow_3[Amount],Cash_Flow_3[Bulan],H380,Cash_Flow_3[Type],"Out",Cash_Flow_3[Category],"Kitchen")</f>
        <v>0</v>
      </c>
      <c r="P380" s="29">
        <f>SUMIFS(Cash_Flow_3[Amount],Cash_Flow_3[Bulan],H380,Cash_Flow_3[Type],"Out",Cash_Flow_3[Category],"Loandry")</f>
        <v>0</v>
      </c>
      <c r="Q380" s="29">
        <f>SUMIFS(Cash_Flow_3[Amount],Cash_Flow_3[Bulan],H380,Cash_Flow_3[Type],"Out",Cash_Flow_3[Category],"Mio")</f>
        <v>0</v>
      </c>
      <c r="R380" s="29">
        <f>SUMIFS(Cash_Flow_3[Amount],Cash_Flow_3[Bulan],H380,Cash_Flow_3[Type],"Out",Cash_Flow_3[Category],"Sedekah")</f>
        <v>0</v>
      </c>
      <c r="S380" s="29">
        <f>SUMIFS(Cash_Flow_3[Amount],Cash_Flow_3[Bulan],H380,Cash_Flow_3[Type],"Out",Cash_Flow_3[Category],"Zela")</f>
        <v>0</v>
      </c>
      <c r="T380" s="29">
        <f>SUMIFS(Cash_Flow_3[Amount],Cash_Flow_3[Bulan],H380,Cash_Flow_3[Type],"Out",Cash_Flow_3[Category],"Iqbal")</f>
        <v>0</v>
      </c>
    </row>
    <row r="381" spans="1:20" ht="22.5" customHeight="1" x14ac:dyDescent="0.2">
      <c r="A381" s="23"/>
      <c r="B381" s="24"/>
      <c r="C381" s="25"/>
      <c r="D381" s="25"/>
      <c r="E381" s="25"/>
      <c r="F381" s="26"/>
      <c r="G381" s="27"/>
      <c r="H381" s="28" t="str">
        <f t="shared" si="0"/>
        <v/>
      </c>
      <c r="I381" s="29">
        <f>SUMIFS(Cash_Flow_3[Amount],Cash_Flow_3[Bulan],H381,Cash_Flow_3[Type],"In")</f>
        <v>0</v>
      </c>
      <c r="J381" s="29">
        <f>SUMIFS(Cash_Flow_3[Amount],Cash_Flow_3[Bulan],H381,Cash_Flow_3[Type],"Out")</f>
        <v>0</v>
      </c>
      <c r="K381" s="29">
        <f>SUMIFS(Cash_Flow_3[Amount],Cash_Flow_3[Bulan],H381,Cash_Flow_3[Type],"Out",Cash_Flow_3[Category],"Fix")</f>
        <v>0</v>
      </c>
      <c r="L381" s="29">
        <f>SUMIFS(Cash_Flow_3[Amount],Cash_Flow_3[Bulan],H381,Cash_Flow_3[Type],"Out",Cash_Flow_3[Category],"Bathroom")</f>
        <v>0</v>
      </c>
      <c r="M381" s="29">
        <f>SUMIFS(Cash_Flow_3[Amount],Cash_Flow_3[Bulan],H381,Cash_Flow_3[Type],"Out",Cash_Flow_3[Category],"Alfa")</f>
        <v>0</v>
      </c>
      <c r="N381" s="29">
        <f>SUMIFS(Cash_Flow_3[Amount],Cash_Flow_3[Bulan],H381,Cash_Flow_3[Type],"Out",Cash_Flow_3[Category],"Jajan")</f>
        <v>0</v>
      </c>
      <c r="O381" s="29">
        <f>SUMIFS(Cash_Flow_3[Amount],Cash_Flow_3[Bulan],H381,Cash_Flow_3[Type],"Out",Cash_Flow_3[Category],"Kitchen")</f>
        <v>0</v>
      </c>
      <c r="P381" s="29">
        <f>SUMIFS(Cash_Flow_3[Amount],Cash_Flow_3[Bulan],H381,Cash_Flow_3[Type],"Out",Cash_Flow_3[Category],"Loandry")</f>
        <v>0</v>
      </c>
      <c r="Q381" s="29">
        <f>SUMIFS(Cash_Flow_3[Amount],Cash_Flow_3[Bulan],H381,Cash_Flow_3[Type],"Out",Cash_Flow_3[Category],"Mio")</f>
        <v>0</v>
      </c>
      <c r="R381" s="29">
        <f>SUMIFS(Cash_Flow_3[Amount],Cash_Flow_3[Bulan],H381,Cash_Flow_3[Type],"Out",Cash_Flow_3[Category],"Sedekah")</f>
        <v>0</v>
      </c>
      <c r="S381" s="29">
        <f>SUMIFS(Cash_Flow_3[Amount],Cash_Flow_3[Bulan],H381,Cash_Flow_3[Type],"Out",Cash_Flow_3[Category],"Zela")</f>
        <v>0</v>
      </c>
      <c r="T381" s="29">
        <f>SUMIFS(Cash_Flow_3[Amount],Cash_Flow_3[Bulan],H381,Cash_Flow_3[Type],"Out",Cash_Flow_3[Category],"Iqbal")</f>
        <v>0</v>
      </c>
    </row>
    <row r="382" spans="1:20" ht="22.5" customHeight="1" x14ac:dyDescent="0.2">
      <c r="A382" s="23"/>
      <c r="B382" s="24"/>
      <c r="C382" s="25"/>
      <c r="D382" s="25"/>
      <c r="E382" s="25"/>
      <c r="F382" s="26"/>
      <c r="G382" s="27"/>
      <c r="H382" s="28" t="str">
        <f t="shared" si="0"/>
        <v/>
      </c>
      <c r="I382" s="29">
        <f>SUMIFS(Cash_Flow_3[Amount],Cash_Flow_3[Bulan],H382,Cash_Flow_3[Type],"In")</f>
        <v>0</v>
      </c>
      <c r="J382" s="29">
        <f>SUMIFS(Cash_Flow_3[Amount],Cash_Flow_3[Bulan],H382,Cash_Flow_3[Type],"Out")</f>
        <v>0</v>
      </c>
      <c r="K382" s="29">
        <f>SUMIFS(Cash_Flow_3[Amount],Cash_Flow_3[Bulan],H382,Cash_Flow_3[Type],"Out",Cash_Flow_3[Category],"Fix")</f>
        <v>0</v>
      </c>
      <c r="L382" s="29">
        <f>SUMIFS(Cash_Flow_3[Amount],Cash_Flow_3[Bulan],H382,Cash_Flow_3[Type],"Out",Cash_Flow_3[Category],"Bathroom")</f>
        <v>0</v>
      </c>
      <c r="M382" s="29">
        <f>SUMIFS(Cash_Flow_3[Amount],Cash_Flow_3[Bulan],H382,Cash_Flow_3[Type],"Out",Cash_Flow_3[Category],"Alfa")</f>
        <v>0</v>
      </c>
      <c r="N382" s="29">
        <f>SUMIFS(Cash_Flow_3[Amount],Cash_Flow_3[Bulan],H382,Cash_Flow_3[Type],"Out",Cash_Flow_3[Category],"Jajan")</f>
        <v>0</v>
      </c>
      <c r="O382" s="29">
        <f>SUMIFS(Cash_Flow_3[Amount],Cash_Flow_3[Bulan],H382,Cash_Flow_3[Type],"Out",Cash_Flow_3[Category],"Kitchen")</f>
        <v>0</v>
      </c>
      <c r="P382" s="29">
        <f>SUMIFS(Cash_Flow_3[Amount],Cash_Flow_3[Bulan],H382,Cash_Flow_3[Type],"Out",Cash_Flow_3[Category],"Loandry")</f>
        <v>0</v>
      </c>
      <c r="Q382" s="29">
        <f>SUMIFS(Cash_Flow_3[Amount],Cash_Flow_3[Bulan],H382,Cash_Flow_3[Type],"Out",Cash_Flow_3[Category],"Mio")</f>
        <v>0</v>
      </c>
      <c r="R382" s="29">
        <f>SUMIFS(Cash_Flow_3[Amount],Cash_Flow_3[Bulan],H382,Cash_Flow_3[Type],"Out",Cash_Flow_3[Category],"Sedekah")</f>
        <v>0</v>
      </c>
      <c r="S382" s="29">
        <f>SUMIFS(Cash_Flow_3[Amount],Cash_Flow_3[Bulan],H382,Cash_Flow_3[Type],"Out",Cash_Flow_3[Category],"Zela")</f>
        <v>0</v>
      </c>
      <c r="T382" s="29">
        <f>SUMIFS(Cash_Flow_3[Amount],Cash_Flow_3[Bulan],H382,Cash_Flow_3[Type],"Out",Cash_Flow_3[Category],"Iqbal")</f>
        <v>0</v>
      </c>
    </row>
    <row r="383" spans="1:20" ht="22.5" customHeight="1" x14ac:dyDescent="0.2">
      <c r="A383" s="23"/>
      <c r="B383" s="24"/>
      <c r="C383" s="25"/>
      <c r="D383" s="25"/>
      <c r="E383" s="25"/>
      <c r="F383" s="26"/>
      <c r="G383" s="27"/>
      <c r="H383" s="28" t="str">
        <f t="shared" si="0"/>
        <v/>
      </c>
      <c r="I383" s="29">
        <f>SUMIFS(Cash_Flow_3[Amount],Cash_Flow_3[Bulan],H383,Cash_Flow_3[Type],"In")</f>
        <v>0</v>
      </c>
      <c r="J383" s="29">
        <f>SUMIFS(Cash_Flow_3[Amount],Cash_Flow_3[Bulan],H383,Cash_Flow_3[Type],"Out")</f>
        <v>0</v>
      </c>
      <c r="K383" s="29">
        <f>SUMIFS(Cash_Flow_3[Amount],Cash_Flow_3[Bulan],H383,Cash_Flow_3[Type],"Out",Cash_Flow_3[Category],"Fix")</f>
        <v>0</v>
      </c>
      <c r="L383" s="29">
        <f>SUMIFS(Cash_Flow_3[Amount],Cash_Flow_3[Bulan],H383,Cash_Flow_3[Type],"Out",Cash_Flow_3[Category],"Bathroom")</f>
        <v>0</v>
      </c>
      <c r="M383" s="29">
        <f>SUMIFS(Cash_Flow_3[Amount],Cash_Flow_3[Bulan],H383,Cash_Flow_3[Type],"Out",Cash_Flow_3[Category],"Alfa")</f>
        <v>0</v>
      </c>
      <c r="N383" s="29">
        <f>SUMIFS(Cash_Flow_3[Amount],Cash_Flow_3[Bulan],H383,Cash_Flow_3[Type],"Out",Cash_Flow_3[Category],"Jajan")</f>
        <v>0</v>
      </c>
      <c r="O383" s="29">
        <f>SUMIFS(Cash_Flow_3[Amount],Cash_Flow_3[Bulan],H383,Cash_Flow_3[Type],"Out",Cash_Flow_3[Category],"Kitchen")</f>
        <v>0</v>
      </c>
      <c r="P383" s="29">
        <f>SUMIFS(Cash_Flow_3[Amount],Cash_Flow_3[Bulan],H383,Cash_Flow_3[Type],"Out",Cash_Flow_3[Category],"Loandry")</f>
        <v>0</v>
      </c>
      <c r="Q383" s="29">
        <f>SUMIFS(Cash_Flow_3[Amount],Cash_Flow_3[Bulan],H383,Cash_Flow_3[Type],"Out",Cash_Flow_3[Category],"Mio")</f>
        <v>0</v>
      </c>
      <c r="R383" s="29">
        <f>SUMIFS(Cash_Flow_3[Amount],Cash_Flow_3[Bulan],H383,Cash_Flow_3[Type],"Out",Cash_Flow_3[Category],"Sedekah")</f>
        <v>0</v>
      </c>
      <c r="S383" s="29">
        <f>SUMIFS(Cash_Flow_3[Amount],Cash_Flow_3[Bulan],H383,Cash_Flow_3[Type],"Out",Cash_Flow_3[Category],"Zela")</f>
        <v>0</v>
      </c>
      <c r="T383" s="29">
        <f>SUMIFS(Cash_Flow_3[Amount],Cash_Flow_3[Bulan],H383,Cash_Flow_3[Type],"Out",Cash_Flow_3[Category],"Iqbal")</f>
        <v>0</v>
      </c>
    </row>
    <row r="384" spans="1:20" ht="22.5" customHeight="1" x14ac:dyDescent="0.2">
      <c r="A384" s="23"/>
      <c r="B384" s="24"/>
      <c r="C384" s="25"/>
      <c r="D384" s="25"/>
      <c r="E384" s="25"/>
      <c r="F384" s="26"/>
      <c r="G384" s="27"/>
      <c r="H384" s="28" t="str">
        <f t="shared" si="0"/>
        <v/>
      </c>
      <c r="I384" s="29">
        <f>SUMIFS(Cash_Flow_3[Amount],Cash_Flow_3[Bulan],H384,Cash_Flow_3[Type],"In")</f>
        <v>0</v>
      </c>
      <c r="J384" s="29">
        <f>SUMIFS(Cash_Flow_3[Amount],Cash_Flow_3[Bulan],H384,Cash_Flow_3[Type],"Out")</f>
        <v>0</v>
      </c>
      <c r="K384" s="29">
        <f>SUMIFS(Cash_Flow_3[Amount],Cash_Flow_3[Bulan],H384,Cash_Flow_3[Type],"Out",Cash_Flow_3[Category],"Fix")</f>
        <v>0</v>
      </c>
      <c r="L384" s="29">
        <f>SUMIFS(Cash_Flow_3[Amount],Cash_Flow_3[Bulan],H384,Cash_Flow_3[Type],"Out",Cash_Flow_3[Category],"Bathroom")</f>
        <v>0</v>
      </c>
      <c r="M384" s="29">
        <f>SUMIFS(Cash_Flow_3[Amount],Cash_Flow_3[Bulan],H384,Cash_Flow_3[Type],"Out",Cash_Flow_3[Category],"Alfa")</f>
        <v>0</v>
      </c>
      <c r="N384" s="29">
        <f>SUMIFS(Cash_Flow_3[Amount],Cash_Flow_3[Bulan],H384,Cash_Flow_3[Type],"Out",Cash_Flow_3[Category],"Jajan")</f>
        <v>0</v>
      </c>
      <c r="O384" s="29">
        <f>SUMIFS(Cash_Flow_3[Amount],Cash_Flow_3[Bulan],H384,Cash_Flow_3[Type],"Out",Cash_Flow_3[Category],"Kitchen")</f>
        <v>0</v>
      </c>
      <c r="P384" s="29">
        <f>SUMIFS(Cash_Flow_3[Amount],Cash_Flow_3[Bulan],H384,Cash_Flow_3[Type],"Out",Cash_Flow_3[Category],"Loandry")</f>
        <v>0</v>
      </c>
      <c r="Q384" s="29">
        <f>SUMIFS(Cash_Flow_3[Amount],Cash_Flow_3[Bulan],H384,Cash_Flow_3[Type],"Out",Cash_Flow_3[Category],"Mio")</f>
        <v>0</v>
      </c>
      <c r="R384" s="29">
        <f>SUMIFS(Cash_Flow_3[Amount],Cash_Flow_3[Bulan],H384,Cash_Flow_3[Type],"Out",Cash_Flow_3[Category],"Sedekah")</f>
        <v>0</v>
      </c>
      <c r="S384" s="29">
        <f>SUMIFS(Cash_Flow_3[Amount],Cash_Flow_3[Bulan],H384,Cash_Flow_3[Type],"Out",Cash_Flow_3[Category],"Zela")</f>
        <v>0</v>
      </c>
      <c r="T384" s="29">
        <f>SUMIFS(Cash_Flow_3[Amount],Cash_Flow_3[Bulan],H384,Cash_Flow_3[Type],"Out",Cash_Flow_3[Category],"Iqbal")</f>
        <v>0</v>
      </c>
    </row>
    <row r="385" spans="1:20" ht="22.5" customHeight="1" x14ac:dyDescent="0.2">
      <c r="A385" s="23"/>
      <c r="B385" s="24"/>
      <c r="C385" s="25"/>
      <c r="D385" s="25"/>
      <c r="E385" s="25"/>
      <c r="F385" s="26"/>
      <c r="G385" s="27"/>
      <c r="H385" s="28" t="str">
        <f t="shared" si="0"/>
        <v/>
      </c>
      <c r="I385" s="29">
        <f>SUMIFS(Cash_Flow_3[Amount],Cash_Flow_3[Bulan],H385,Cash_Flow_3[Type],"In")</f>
        <v>0</v>
      </c>
      <c r="J385" s="29">
        <f>SUMIFS(Cash_Flow_3[Amount],Cash_Flow_3[Bulan],H385,Cash_Flow_3[Type],"Out")</f>
        <v>0</v>
      </c>
      <c r="K385" s="29">
        <f>SUMIFS(Cash_Flow_3[Amount],Cash_Flow_3[Bulan],H385,Cash_Flow_3[Type],"Out",Cash_Flow_3[Category],"Fix")</f>
        <v>0</v>
      </c>
      <c r="L385" s="29">
        <f>SUMIFS(Cash_Flow_3[Amount],Cash_Flow_3[Bulan],H385,Cash_Flow_3[Type],"Out",Cash_Flow_3[Category],"Bathroom")</f>
        <v>0</v>
      </c>
      <c r="M385" s="29">
        <f>SUMIFS(Cash_Flow_3[Amount],Cash_Flow_3[Bulan],H385,Cash_Flow_3[Type],"Out",Cash_Flow_3[Category],"Alfa")</f>
        <v>0</v>
      </c>
      <c r="N385" s="29">
        <f>SUMIFS(Cash_Flow_3[Amount],Cash_Flow_3[Bulan],H385,Cash_Flow_3[Type],"Out",Cash_Flow_3[Category],"Jajan")</f>
        <v>0</v>
      </c>
      <c r="O385" s="29">
        <f>SUMIFS(Cash_Flow_3[Amount],Cash_Flow_3[Bulan],H385,Cash_Flow_3[Type],"Out",Cash_Flow_3[Category],"Kitchen")</f>
        <v>0</v>
      </c>
      <c r="P385" s="29">
        <f>SUMIFS(Cash_Flow_3[Amount],Cash_Flow_3[Bulan],H385,Cash_Flow_3[Type],"Out",Cash_Flow_3[Category],"Loandry")</f>
        <v>0</v>
      </c>
      <c r="Q385" s="29">
        <f>SUMIFS(Cash_Flow_3[Amount],Cash_Flow_3[Bulan],H385,Cash_Flow_3[Type],"Out",Cash_Flow_3[Category],"Mio")</f>
        <v>0</v>
      </c>
      <c r="R385" s="29">
        <f>SUMIFS(Cash_Flow_3[Amount],Cash_Flow_3[Bulan],H385,Cash_Flow_3[Type],"Out",Cash_Flow_3[Category],"Sedekah")</f>
        <v>0</v>
      </c>
      <c r="S385" s="29">
        <f>SUMIFS(Cash_Flow_3[Amount],Cash_Flow_3[Bulan],H385,Cash_Flow_3[Type],"Out",Cash_Flow_3[Category],"Zela")</f>
        <v>0</v>
      </c>
      <c r="T385" s="29">
        <f>SUMIFS(Cash_Flow_3[Amount],Cash_Flow_3[Bulan],H385,Cash_Flow_3[Type],"Out",Cash_Flow_3[Category],"Iqbal")</f>
        <v>0</v>
      </c>
    </row>
    <row r="386" spans="1:20" ht="22.5" customHeight="1" x14ac:dyDescent="0.2">
      <c r="A386" s="23"/>
      <c r="B386" s="24"/>
      <c r="C386" s="25"/>
      <c r="D386" s="25"/>
      <c r="E386" s="25"/>
      <c r="F386" s="26"/>
      <c r="G386" s="27"/>
      <c r="H386" s="28" t="str">
        <f t="shared" si="0"/>
        <v/>
      </c>
      <c r="I386" s="29">
        <f>SUMIFS(Cash_Flow_3[Amount],Cash_Flow_3[Bulan],H386,Cash_Flow_3[Type],"In")</f>
        <v>0</v>
      </c>
      <c r="J386" s="29">
        <f>SUMIFS(Cash_Flow_3[Amount],Cash_Flow_3[Bulan],H386,Cash_Flow_3[Type],"Out")</f>
        <v>0</v>
      </c>
      <c r="K386" s="29">
        <f>SUMIFS(Cash_Flow_3[Amount],Cash_Flow_3[Bulan],H386,Cash_Flow_3[Type],"Out",Cash_Flow_3[Category],"Fix")</f>
        <v>0</v>
      </c>
      <c r="L386" s="29">
        <f>SUMIFS(Cash_Flow_3[Amount],Cash_Flow_3[Bulan],H386,Cash_Flow_3[Type],"Out",Cash_Flow_3[Category],"Bathroom")</f>
        <v>0</v>
      </c>
      <c r="M386" s="29">
        <f>SUMIFS(Cash_Flow_3[Amount],Cash_Flow_3[Bulan],H386,Cash_Flow_3[Type],"Out",Cash_Flow_3[Category],"Alfa")</f>
        <v>0</v>
      </c>
      <c r="N386" s="29">
        <f>SUMIFS(Cash_Flow_3[Amount],Cash_Flow_3[Bulan],H386,Cash_Flow_3[Type],"Out",Cash_Flow_3[Category],"Jajan")</f>
        <v>0</v>
      </c>
      <c r="O386" s="29">
        <f>SUMIFS(Cash_Flow_3[Amount],Cash_Flow_3[Bulan],H386,Cash_Flow_3[Type],"Out",Cash_Flow_3[Category],"Kitchen")</f>
        <v>0</v>
      </c>
      <c r="P386" s="29">
        <f>SUMIFS(Cash_Flow_3[Amount],Cash_Flow_3[Bulan],H386,Cash_Flow_3[Type],"Out",Cash_Flow_3[Category],"Loandry")</f>
        <v>0</v>
      </c>
      <c r="Q386" s="29">
        <f>SUMIFS(Cash_Flow_3[Amount],Cash_Flow_3[Bulan],H386,Cash_Flow_3[Type],"Out",Cash_Flow_3[Category],"Mio")</f>
        <v>0</v>
      </c>
      <c r="R386" s="29">
        <f>SUMIFS(Cash_Flow_3[Amount],Cash_Flow_3[Bulan],H386,Cash_Flow_3[Type],"Out",Cash_Flow_3[Category],"Sedekah")</f>
        <v>0</v>
      </c>
      <c r="S386" s="29">
        <f>SUMIFS(Cash_Flow_3[Amount],Cash_Flow_3[Bulan],H386,Cash_Flow_3[Type],"Out",Cash_Flow_3[Category],"Zela")</f>
        <v>0</v>
      </c>
      <c r="T386" s="29">
        <f>SUMIFS(Cash_Flow_3[Amount],Cash_Flow_3[Bulan],H386,Cash_Flow_3[Type],"Out",Cash_Flow_3[Category],"Iqbal")</f>
        <v>0</v>
      </c>
    </row>
    <row r="387" spans="1:20" ht="22.5" customHeight="1" x14ac:dyDescent="0.2">
      <c r="A387" s="23"/>
      <c r="B387" s="24"/>
      <c r="C387" s="25"/>
      <c r="D387" s="25"/>
      <c r="E387" s="25"/>
      <c r="F387" s="26"/>
      <c r="G387" s="27"/>
      <c r="H387" s="28" t="str">
        <f t="shared" si="0"/>
        <v/>
      </c>
      <c r="I387" s="29">
        <f>SUMIFS(Cash_Flow_3[Amount],Cash_Flow_3[Bulan],H387,Cash_Flow_3[Type],"In")</f>
        <v>0</v>
      </c>
      <c r="J387" s="29">
        <f>SUMIFS(Cash_Flow_3[Amount],Cash_Flow_3[Bulan],H387,Cash_Flow_3[Type],"Out")</f>
        <v>0</v>
      </c>
      <c r="K387" s="29">
        <f>SUMIFS(Cash_Flow_3[Amount],Cash_Flow_3[Bulan],H387,Cash_Flow_3[Type],"Out",Cash_Flow_3[Category],"Fix")</f>
        <v>0</v>
      </c>
      <c r="L387" s="29">
        <f>SUMIFS(Cash_Flow_3[Amount],Cash_Flow_3[Bulan],H387,Cash_Flow_3[Type],"Out",Cash_Flow_3[Category],"Bathroom")</f>
        <v>0</v>
      </c>
      <c r="M387" s="29">
        <f>SUMIFS(Cash_Flow_3[Amount],Cash_Flow_3[Bulan],H387,Cash_Flow_3[Type],"Out",Cash_Flow_3[Category],"Alfa")</f>
        <v>0</v>
      </c>
      <c r="N387" s="29">
        <f>SUMIFS(Cash_Flow_3[Amount],Cash_Flow_3[Bulan],H387,Cash_Flow_3[Type],"Out",Cash_Flow_3[Category],"Jajan")</f>
        <v>0</v>
      </c>
      <c r="O387" s="29">
        <f>SUMIFS(Cash_Flow_3[Amount],Cash_Flow_3[Bulan],H387,Cash_Flow_3[Type],"Out",Cash_Flow_3[Category],"Kitchen")</f>
        <v>0</v>
      </c>
      <c r="P387" s="29">
        <f>SUMIFS(Cash_Flow_3[Amount],Cash_Flow_3[Bulan],H387,Cash_Flow_3[Type],"Out",Cash_Flow_3[Category],"Loandry")</f>
        <v>0</v>
      </c>
      <c r="Q387" s="29">
        <f>SUMIFS(Cash_Flow_3[Amount],Cash_Flow_3[Bulan],H387,Cash_Flow_3[Type],"Out",Cash_Flow_3[Category],"Mio")</f>
        <v>0</v>
      </c>
      <c r="R387" s="29">
        <f>SUMIFS(Cash_Flow_3[Amount],Cash_Flow_3[Bulan],H387,Cash_Flow_3[Type],"Out",Cash_Flow_3[Category],"Sedekah")</f>
        <v>0</v>
      </c>
      <c r="S387" s="29">
        <f>SUMIFS(Cash_Flow_3[Amount],Cash_Flow_3[Bulan],H387,Cash_Flow_3[Type],"Out",Cash_Flow_3[Category],"Zela")</f>
        <v>0</v>
      </c>
      <c r="T387" s="29">
        <f>SUMIFS(Cash_Flow_3[Amount],Cash_Flow_3[Bulan],H387,Cash_Flow_3[Type],"Out",Cash_Flow_3[Category],"Iqbal")</f>
        <v>0</v>
      </c>
    </row>
    <row r="388" spans="1:20" ht="22.5" customHeight="1" x14ac:dyDescent="0.2">
      <c r="A388" s="23"/>
      <c r="B388" s="24"/>
      <c r="C388" s="25"/>
      <c r="D388" s="25"/>
      <c r="E388" s="25"/>
      <c r="F388" s="26"/>
      <c r="G388" s="27"/>
      <c r="H388" s="28" t="str">
        <f t="shared" si="0"/>
        <v/>
      </c>
      <c r="I388" s="29">
        <f>SUMIFS(Cash_Flow_3[Amount],Cash_Flow_3[Bulan],H388,Cash_Flow_3[Type],"In")</f>
        <v>0</v>
      </c>
      <c r="J388" s="29">
        <f>SUMIFS(Cash_Flow_3[Amount],Cash_Flow_3[Bulan],H388,Cash_Flow_3[Type],"Out")</f>
        <v>0</v>
      </c>
      <c r="K388" s="29">
        <f>SUMIFS(Cash_Flow_3[Amount],Cash_Flow_3[Bulan],H388,Cash_Flow_3[Type],"Out",Cash_Flow_3[Category],"Fix")</f>
        <v>0</v>
      </c>
      <c r="L388" s="29">
        <f>SUMIFS(Cash_Flow_3[Amount],Cash_Flow_3[Bulan],H388,Cash_Flow_3[Type],"Out",Cash_Flow_3[Category],"Bathroom")</f>
        <v>0</v>
      </c>
      <c r="M388" s="29">
        <f>SUMIFS(Cash_Flow_3[Amount],Cash_Flow_3[Bulan],H388,Cash_Flow_3[Type],"Out",Cash_Flow_3[Category],"Alfa")</f>
        <v>0</v>
      </c>
      <c r="N388" s="29">
        <f>SUMIFS(Cash_Flow_3[Amount],Cash_Flow_3[Bulan],H388,Cash_Flow_3[Type],"Out",Cash_Flow_3[Category],"Jajan")</f>
        <v>0</v>
      </c>
      <c r="O388" s="29">
        <f>SUMIFS(Cash_Flow_3[Amount],Cash_Flow_3[Bulan],H388,Cash_Flow_3[Type],"Out",Cash_Flow_3[Category],"Kitchen")</f>
        <v>0</v>
      </c>
      <c r="P388" s="29">
        <f>SUMIFS(Cash_Flow_3[Amount],Cash_Flow_3[Bulan],H388,Cash_Flow_3[Type],"Out",Cash_Flow_3[Category],"Loandry")</f>
        <v>0</v>
      </c>
      <c r="Q388" s="29">
        <f>SUMIFS(Cash_Flow_3[Amount],Cash_Flow_3[Bulan],H388,Cash_Flow_3[Type],"Out",Cash_Flow_3[Category],"Mio")</f>
        <v>0</v>
      </c>
      <c r="R388" s="29">
        <f>SUMIFS(Cash_Flow_3[Amount],Cash_Flow_3[Bulan],H388,Cash_Flow_3[Type],"Out",Cash_Flow_3[Category],"Sedekah")</f>
        <v>0</v>
      </c>
      <c r="S388" s="29">
        <f>SUMIFS(Cash_Flow_3[Amount],Cash_Flow_3[Bulan],H388,Cash_Flow_3[Type],"Out",Cash_Flow_3[Category],"Zela")</f>
        <v>0</v>
      </c>
      <c r="T388" s="29">
        <f>SUMIFS(Cash_Flow_3[Amount],Cash_Flow_3[Bulan],H388,Cash_Flow_3[Type],"Out",Cash_Flow_3[Category],"Iqbal")</f>
        <v>0</v>
      </c>
    </row>
    <row r="389" spans="1:20" ht="22.5" customHeight="1" x14ac:dyDescent="0.2">
      <c r="A389" s="23"/>
      <c r="B389" s="24"/>
      <c r="C389" s="25"/>
      <c r="D389" s="25"/>
      <c r="E389" s="25"/>
      <c r="F389" s="26"/>
      <c r="G389" s="27"/>
      <c r="H389" s="28" t="str">
        <f t="shared" si="0"/>
        <v/>
      </c>
      <c r="I389" s="29">
        <f>SUMIFS(Cash_Flow_3[Amount],Cash_Flow_3[Bulan],H389,Cash_Flow_3[Type],"In")</f>
        <v>0</v>
      </c>
      <c r="J389" s="29">
        <f>SUMIFS(Cash_Flow_3[Amount],Cash_Flow_3[Bulan],H389,Cash_Flow_3[Type],"Out")</f>
        <v>0</v>
      </c>
      <c r="K389" s="29">
        <f>SUMIFS(Cash_Flow_3[Amount],Cash_Flow_3[Bulan],H389,Cash_Flow_3[Type],"Out",Cash_Flow_3[Category],"Fix")</f>
        <v>0</v>
      </c>
      <c r="L389" s="29">
        <f>SUMIFS(Cash_Flow_3[Amount],Cash_Flow_3[Bulan],H389,Cash_Flow_3[Type],"Out",Cash_Flow_3[Category],"Bathroom")</f>
        <v>0</v>
      </c>
      <c r="M389" s="29">
        <f>SUMIFS(Cash_Flow_3[Amount],Cash_Flow_3[Bulan],H389,Cash_Flow_3[Type],"Out",Cash_Flow_3[Category],"Alfa")</f>
        <v>0</v>
      </c>
      <c r="N389" s="29">
        <f>SUMIFS(Cash_Flow_3[Amount],Cash_Flow_3[Bulan],H389,Cash_Flow_3[Type],"Out",Cash_Flow_3[Category],"Jajan")</f>
        <v>0</v>
      </c>
      <c r="O389" s="29">
        <f>SUMIFS(Cash_Flow_3[Amount],Cash_Flow_3[Bulan],H389,Cash_Flow_3[Type],"Out",Cash_Flow_3[Category],"Kitchen")</f>
        <v>0</v>
      </c>
      <c r="P389" s="29">
        <f>SUMIFS(Cash_Flow_3[Amount],Cash_Flow_3[Bulan],H389,Cash_Flow_3[Type],"Out",Cash_Flow_3[Category],"Loandry")</f>
        <v>0</v>
      </c>
      <c r="Q389" s="29">
        <f>SUMIFS(Cash_Flow_3[Amount],Cash_Flow_3[Bulan],H389,Cash_Flow_3[Type],"Out",Cash_Flow_3[Category],"Mio")</f>
        <v>0</v>
      </c>
      <c r="R389" s="29">
        <f>SUMIFS(Cash_Flow_3[Amount],Cash_Flow_3[Bulan],H389,Cash_Flow_3[Type],"Out",Cash_Flow_3[Category],"Sedekah")</f>
        <v>0</v>
      </c>
      <c r="S389" s="29">
        <f>SUMIFS(Cash_Flow_3[Amount],Cash_Flow_3[Bulan],H389,Cash_Flow_3[Type],"Out",Cash_Flow_3[Category],"Zela")</f>
        <v>0</v>
      </c>
      <c r="T389" s="29">
        <f>SUMIFS(Cash_Flow_3[Amount],Cash_Flow_3[Bulan],H389,Cash_Flow_3[Type],"Out",Cash_Flow_3[Category],"Iqbal")</f>
        <v>0</v>
      </c>
    </row>
    <row r="390" spans="1:20" ht="22.5" customHeight="1" x14ac:dyDescent="0.2">
      <c r="A390" s="23"/>
      <c r="B390" s="24"/>
      <c r="C390" s="25"/>
      <c r="D390" s="25"/>
      <c r="E390" s="25"/>
      <c r="F390" s="26"/>
      <c r="G390" s="27"/>
      <c r="H390" s="28" t="str">
        <f t="shared" si="0"/>
        <v/>
      </c>
      <c r="I390" s="29">
        <f>SUMIFS(Cash_Flow_3[Amount],Cash_Flow_3[Bulan],H390,Cash_Flow_3[Type],"In")</f>
        <v>0</v>
      </c>
      <c r="J390" s="29">
        <f>SUMIFS(Cash_Flow_3[Amount],Cash_Flow_3[Bulan],H390,Cash_Flow_3[Type],"Out")</f>
        <v>0</v>
      </c>
      <c r="K390" s="29">
        <f>SUMIFS(Cash_Flow_3[Amount],Cash_Flow_3[Bulan],H390,Cash_Flow_3[Type],"Out",Cash_Flow_3[Category],"Fix")</f>
        <v>0</v>
      </c>
      <c r="L390" s="29">
        <f>SUMIFS(Cash_Flow_3[Amount],Cash_Flow_3[Bulan],H390,Cash_Flow_3[Type],"Out",Cash_Flow_3[Category],"Bathroom")</f>
        <v>0</v>
      </c>
      <c r="M390" s="29">
        <f>SUMIFS(Cash_Flow_3[Amount],Cash_Flow_3[Bulan],H390,Cash_Flow_3[Type],"Out",Cash_Flow_3[Category],"Alfa")</f>
        <v>0</v>
      </c>
      <c r="N390" s="29">
        <f>SUMIFS(Cash_Flow_3[Amount],Cash_Flow_3[Bulan],H390,Cash_Flow_3[Type],"Out",Cash_Flow_3[Category],"Jajan")</f>
        <v>0</v>
      </c>
      <c r="O390" s="29">
        <f>SUMIFS(Cash_Flow_3[Amount],Cash_Flow_3[Bulan],H390,Cash_Flow_3[Type],"Out",Cash_Flow_3[Category],"Kitchen")</f>
        <v>0</v>
      </c>
      <c r="P390" s="29">
        <f>SUMIFS(Cash_Flow_3[Amount],Cash_Flow_3[Bulan],H390,Cash_Flow_3[Type],"Out",Cash_Flow_3[Category],"Loandry")</f>
        <v>0</v>
      </c>
      <c r="Q390" s="29">
        <f>SUMIFS(Cash_Flow_3[Amount],Cash_Flow_3[Bulan],H390,Cash_Flow_3[Type],"Out",Cash_Flow_3[Category],"Mio")</f>
        <v>0</v>
      </c>
      <c r="R390" s="29">
        <f>SUMIFS(Cash_Flow_3[Amount],Cash_Flow_3[Bulan],H390,Cash_Flow_3[Type],"Out",Cash_Flow_3[Category],"Sedekah")</f>
        <v>0</v>
      </c>
      <c r="S390" s="29">
        <f>SUMIFS(Cash_Flow_3[Amount],Cash_Flow_3[Bulan],H390,Cash_Flow_3[Type],"Out",Cash_Flow_3[Category],"Zela")</f>
        <v>0</v>
      </c>
      <c r="T390" s="29">
        <f>SUMIFS(Cash_Flow_3[Amount],Cash_Flow_3[Bulan],H390,Cash_Flow_3[Type],"Out",Cash_Flow_3[Category],"Iqbal")</f>
        <v>0</v>
      </c>
    </row>
    <row r="391" spans="1:20" ht="22.5" customHeight="1" x14ac:dyDescent="0.2">
      <c r="A391" s="23"/>
      <c r="B391" s="24"/>
      <c r="C391" s="25"/>
      <c r="D391" s="25"/>
      <c r="E391" s="25"/>
      <c r="F391" s="26"/>
      <c r="G391" s="27"/>
      <c r="H391" s="28" t="str">
        <f t="shared" si="0"/>
        <v/>
      </c>
      <c r="I391" s="29">
        <f>SUMIFS(Cash_Flow_3[Amount],Cash_Flow_3[Bulan],H391,Cash_Flow_3[Type],"In")</f>
        <v>0</v>
      </c>
      <c r="J391" s="29">
        <f>SUMIFS(Cash_Flow_3[Amount],Cash_Flow_3[Bulan],H391,Cash_Flow_3[Type],"Out")</f>
        <v>0</v>
      </c>
      <c r="K391" s="29">
        <f>SUMIFS(Cash_Flow_3[Amount],Cash_Flow_3[Bulan],H391,Cash_Flow_3[Type],"Out",Cash_Flow_3[Category],"Fix")</f>
        <v>0</v>
      </c>
      <c r="L391" s="29">
        <f>SUMIFS(Cash_Flow_3[Amount],Cash_Flow_3[Bulan],H391,Cash_Flow_3[Type],"Out",Cash_Flow_3[Category],"Bathroom")</f>
        <v>0</v>
      </c>
      <c r="M391" s="29">
        <f>SUMIFS(Cash_Flow_3[Amount],Cash_Flow_3[Bulan],H391,Cash_Flow_3[Type],"Out",Cash_Flow_3[Category],"Alfa")</f>
        <v>0</v>
      </c>
      <c r="N391" s="29">
        <f>SUMIFS(Cash_Flow_3[Amount],Cash_Flow_3[Bulan],H391,Cash_Flow_3[Type],"Out",Cash_Flow_3[Category],"Jajan")</f>
        <v>0</v>
      </c>
      <c r="O391" s="29">
        <f>SUMIFS(Cash_Flow_3[Amount],Cash_Flow_3[Bulan],H391,Cash_Flow_3[Type],"Out",Cash_Flow_3[Category],"Kitchen")</f>
        <v>0</v>
      </c>
      <c r="P391" s="29">
        <f>SUMIFS(Cash_Flow_3[Amount],Cash_Flow_3[Bulan],H391,Cash_Flow_3[Type],"Out",Cash_Flow_3[Category],"Loandry")</f>
        <v>0</v>
      </c>
      <c r="Q391" s="29">
        <f>SUMIFS(Cash_Flow_3[Amount],Cash_Flow_3[Bulan],H391,Cash_Flow_3[Type],"Out",Cash_Flow_3[Category],"Mio")</f>
        <v>0</v>
      </c>
      <c r="R391" s="29">
        <f>SUMIFS(Cash_Flow_3[Amount],Cash_Flow_3[Bulan],H391,Cash_Flow_3[Type],"Out",Cash_Flow_3[Category],"Sedekah")</f>
        <v>0</v>
      </c>
      <c r="S391" s="29">
        <f>SUMIFS(Cash_Flow_3[Amount],Cash_Flow_3[Bulan],H391,Cash_Flow_3[Type],"Out",Cash_Flow_3[Category],"Zela")</f>
        <v>0</v>
      </c>
      <c r="T391" s="29">
        <f>SUMIFS(Cash_Flow_3[Amount],Cash_Flow_3[Bulan],H391,Cash_Flow_3[Type],"Out",Cash_Flow_3[Category],"Iqbal")</f>
        <v>0</v>
      </c>
    </row>
    <row r="392" spans="1:20" ht="22.5" customHeight="1" x14ac:dyDescent="0.2">
      <c r="A392" s="23"/>
      <c r="B392" s="24"/>
      <c r="C392" s="25"/>
      <c r="D392" s="25"/>
      <c r="E392" s="25"/>
      <c r="F392" s="26"/>
      <c r="G392" s="27"/>
      <c r="H392" s="28" t="str">
        <f t="shared" si="0"/>
        <v/>
      </c>
      <c r="I392" s="29">
        <f>SUMIFS(Cash_Flow_3[Amount],Cash_Flow_3[Bulan],H392,Cash_Flow_3[Type],"In")</f>
        <v>0</v>
      </c>
      <c r="J392" s="29">
        <f>SUMIFS(Cash_Flow_3[Amount],Cash_Flow_3[Bulan],H392,Cash_Flow_3[Type],"Out")</f>
        <v>0</v>
      </c>
      <c r="K392" s="29">
        <f>SUMIFS(Cash_Flow_3[Amount],Cash_Flow_3[Bulan],H392,Cash_Flow_3[Type],"Out",Cash_Flow_3[Category],"Fix")</f>
        <v>0</v>
      </c>
      <c r="L392" s="29">
        <f>SUMIFS(Cash_Flow_3[Amount],Cash_Flow_3[Bulan],H392,Cash_Flow_3[Type],"Out",Cash_Flow_3[Category],"Bathroom")</f>
        <v>0</v>
      </c>
      <c r="M392" s="29">
        <f>SUMIFS(Cash_Flow_3[Amount],Cash_Flow_3[Bulan],H392,Cash_Flow_3[Type],"Out",Cash_Flow_3[Category],"Alfa")</f>
        <v>0</v>
      </c>
      <c r="N392" s="29">
        <f>SUMIFS(Cash_Flow_3[Amount],Cash_Flow_3[Bulan],H392,Cash_Flow_3[Type],"Out",Cash_Flow_3[Category],"Jajan")</f>
        <v>0</v>
      </c>
      <c r="O392" s="29">
        <f>SUMIFS(Cash_Flow_3[Amount],Cash_Flow_3[Bulan],H392,Cash_Flow_3[Type],"Out",Cash_Flow_3[Category],"Kitchen")</f>
        <v>0</v>
      </c>
      <c r="P392" s="29">
        <f>SUMIFS(Cash_Flow_3[Amount],Cash_Flow_3[Bulan],H392,Cash_Flow_3[Type],"Out",Cash_Flow_3[Category],"Loandry")</f>
        <v>0</v>
      </c>
      <c r="Q392" s="29">
        <f>SUMIFS(Cash_Flow_3[Amount],Cash_Flow_3[Bulan],H392,Cash_Flow_3[Type],"Out",Cash_Flow_3[Category],"Mio")</f>
        <v>0</v>
      </c>
      <c r="R392" s="29">
        <f>SUMIFS(Cash_Flow_3[Amount],Cash_Flow_3[Bulan],H392,Cash_Flow_3[Type],"Out",Cash_Flow_3[Category],"Sedekah")</f>
        <v>0</v>
      </c>
      <c r="S392" s="29">
        <f>SUMIFS(Cash_Flow_3[Amount],Cash_Flow_3[Bulan],H392,Cash_Flow_3[Type],"Out",Cash_Flow_3[Category],"Zela")</f>
        <v>0</v>
      </c>
      <c r="T392" s="29">
        <f>SUMIFS(Cash_Flow_3[Amount],Cash_Flow_3[Bulan],H392,Cash_Flow_3[Type],"Out",Cash_Flow_3[Category],"Iqbal")</f>
        <v>0</v>
      </c>
    </row>
    <row r="393" spans="1:20" ht="22.5" customHeight="1" x14ac:dyDescent="0.2">
      <c r="A393" s="23"/>
      <c r="B393" s="24"/>
      <c r="C393" s="25"/>
      <c r="D393" s="25"/>
      <c r="E393" s="25"/>
      <c r="F393" s="26"/>
      <c r="G393" s="27"/>
      <c r="H393" s="28" t="str">
        <f t="shared" si="0"/>
        <v/>
      </c>
      <c r="I393" s="29">
        <f>SUMIFS(Cash_Flow_3[Amount],Cash_Flow_3[Bulan],H393,Cash_Flow_3[Type],"In")</f>
        <v>0</v>
      </c>
      <c r="J393" s="29">
        <f>SUMIFS(Cash_Flow_3[Amount],Cash_Flow_3[Bulan],H393,Cash_Flow_3[Type],"Out")</f>
        <v>0</v>
      </c>
      <c r="K393" s="29">
        <f>SUMIFS(Cash_Flow_3[Amount],Cash_Flow_3[Bulan],H393,Cash_Flow_3[Type],"Out",Cash_Flow_3[Category],"Fix")</f>
        <v>0</v>
      </c>
      <c r="L393" s="29">
        <f>SUMIFS(Cash_Flow_3[Amount],Cash_Flow_3[Bulan],H393,Cash_Flow_3[Type],"Out",Cash_Flow_3[Category],"Bathroom")</f>
        <v>0</v>
      </c>
      <c r="M393" s="29">
        <f>SUMIFS(Cash_Flow_3[Amount],Cash_Flow_3[Bulan],H393,Cash_Flow_3[Type],"Out",Cash_Flow_3[Category],"Alfa")</f>
        <v>0</v>
      </c>
      <c r="N393" s="29">
        <f>SUMIFS(Cash_Flow_3[Amount],Cash_Flow_3[Bulan],H393,Cash_Flow_3[Type],"Out",Cash_Flow_3[Category],"Jajan")</f>
        <v>0</v>
      </c>
      <c r="O393" s="29">
        <f>SUMIFS(Cash_Flow_3[Amount],Cash_Flow_3[Bulan],H393,Cash_Flow_3[Type],"Out",Cash_Flow_3[Category],"Kitchen")</f>
        <v>0</v>
      </c>
      <c r="P393" s="29">
        <f>SUMIFS(Cash_Flow_3[Amount],Cash_Flow_3[Bulan],H393,Cash_Flow_3[Type],"Out",Cash_Flow_3[Category],"Loandry")</f>
        <v>0</v>
      </c>
      <c r="Q393" s="29">
        <f>SUMIFS(Cash_Flow_3[Amount],Cash_Flow_3[Bulan],H393,Cash_Flow_3[Type],"Out",Cash_Flow_3[Category],"Mio")</f>
        <v>0</v>
      </c>
      <c r="R393" s="29">
        <f>SUMIFS(Cash_Flow_3[Amount],Cash_Flow_3[Bulan],H393,Cash_Flow_3[Type],"Out",Cash_Flow_3[Category],"Sedekah")</f>
        <v>0</v>
      </c>
      <c r="S393" s="29">
        <f>SUMIFS(Cash_Flow_3[Amount],Cash_Flow_3[Bulan],H393,Cash_Flow_3[Type],"Out",Cash_Flow_3[Category],"Zela")</f>
        <v>0</v>
      </c>
      <c r="T393" s="29">
        <f>SUMIFS(Cash_Flow_3[Amount],Cash_Flow_3[Bulan],H393,Cash_Flow_3[Type],"Out",Cash_Flow_3[Category],"Iqbal")</f>
        <v>0</v>
      </c>
    </row>
    <row r="394" spans="1:20" ht="22.5" customHeight="1" x14ac:dyDescent="0.2">
      <c r="A394" s="23"/>
      <c r="B394" s="24"/>
      <c r="C394" s="25"/>
      <c r="D394" s="25"/>
      <c r="E394" s="25"/>
      <c r="F394" s="26"/>
      <c r="G394" s="27"/>
      <c r="H394" s="28" t="str">
        <f t="shared" si="0"/>
        <v/>
      </c>
      <c r="I394" s="29">
        <f>SUMIFS(Cash_Flow_3[Amount],Cash_Flow_3[Bulan],H394,Cash_Flow_3[Type],"In")</f>
        <v>0</v>
      </c>
      <c r="J394" s="29">
        <f>SUMIFS(Cash_Flow_3[Amount],Cash_Flow_3[Bulan],H394,Cash_Flow_3[Type],"Out")</f>
        <v>0</v>
      </c>
      <c r="K394" s="29">
        <f>SUMIFS(Cash_Flow_3[Amount],Cash_Flow_3[Bulan],H394,Cash_Flow_3[Type],"Out",Cash_Flow_3[Category],"Fix")</f>
        <v>0</v>
      </c>
      <c r="L394" s="29">
        <f>SUMIFS(Cash_Flow_3[Amount],Cash_Flow_3[Bulan],H394,Cash_Flow_3[Type],"Out",Cash_Flow_3[Category],"Bathroom")</f>
        <v>0</v>
      </c>
      <c r="M394" s="29">
        <f>SUMIFS(Cash_Flow_3[Amount],Cash_Flow_3[Bulan],H394,Cash_Flow_3[Type],"Out",Cash_Flow_3[Category],"Alfa")</f>
        <v>0</v>
      </c>
      <c r="N394" s="29">
        <f>SUMIFS(Cash_Flow_3[Amount],Cash_Flow_3[Bulan],H394,Cash_Flow_3[Type],"Out",Cash_Flow_3[Category],"Jajan")</f>
        <v>0</v>
      </c>
      <c r="O394" s="29">
        <f>SUMIFS(Cash_Flow_3[Amount],Cash_Flow_3[Bulan],H394,Cash_Flow_3[Type],"Out",Cash_Flow_3[Category],"Kitchen")</f>
        <v>0</v>
      </c>
      <c r="P394" s="29">
        <f>SUMIFS(Cash_Flow_3[Amount],Cash_Flow_3[Bulan],H394,Cash_Flow_3[Type],"Out",Cash_Flow_3[Category],"Loandry")</f>
        <v>0</v>
      </c>
      <c r="Q394" s="29">
        <f>SUMIFS(Cash_Flow_3[Amount],Cash_Flow_3[Bulan],H394,Cash_Flow_3[Type],"Out",Cash_Flow_3[Category],"Mio")</f>
        <v>0</v>
      </c>
      <c r="R394" s="29">
        <f>SUMIFS(Cash_Flow_3[Amount],Cash_Flow_3[Bulan],H394,Cash_Flow_3[Type],"Out",Cash_Flow_3[Category],"Sedekah")</f>
        <v>0</v>
      </c>
      <c r="S394" s="29">
        <f>SUMIFS(Cash_Flow_3[Amount],Cash_Flow_3[Bulan],H394,Cash_Flow_3[Type],"Out",Cash_Flow_3[Category],"Zela")</f>
        <v>0</v>
      </c>
      <c r="T394" s="29">
        <f>SUMIFS(Cash_Flow_3[Amount],Cash_Flow_3[Bulan],H394,Cash_Flow_3[Type],"Out",Cash_Flow_3[Category],"Iqbal")</f>
        <v>0</v>
      </c>
    </row>
    <row r="395" spans="1:20" ht="22.5" customHeight="1" x14ac:dyDescent="0.2">
      <c r="A395" s="23"/>
      <c r="B395" s="24"/>
      <c r="C395" s="25"/>
      <c r="D395" s="25"/>
      <c r="E395" s="25"/>
      <c r="F395" s="26"/>
      <c r="G395" s="27"/>
      <c r="H395" s="28" t="str">
        <f t="shared" si="0"/>
        <v/>
      </c>
      <c r="I395" s="29">
        <f>SUMIFS(Cash_Flow_3[Amount],Cash_Flow_3[Bulan],H395,Cash_Flow_3[Type],"In")</f>
        <v>0</v>
      </c>
      <c r="J395" s="29">
        <f>SUMIFS(Cash_Flow_3[Amount],Cash_Flow_3[Bulan],H395,Cash_Flow_3[Type],"Out")</f>
        <v>0</v>
      </c>
      <c r="K395" s="29">
        <f>SUMIFS(Cash_Flow_3[Amount],Cash_Flow_3[Bulan],H395,Cash_Flow_3[Type],"Out",Cash_Flow_3[Category],"Fix")</f>
        <v>0</v>
      </c>
      <c r="L395" s="29">
        <f>SUMIFS(Cash_Flow_3[Amount],Cash_Flow_3[Bulan],H395,Cash_Flow_3[Type],"Out",Cash_Flow_3[Category],"Bathroom")</f>
        <v>0</v>
      </c>
      <c r="M395" s="29">
        <f>SUMIFS(Cash_Flow_3[Amount],Cash_Flow_3[Bulan],H395,Cash_Flow_3[Type],"Out",Cash_Flow_3[Category],"Alfa")</f>
        <v>0</v>
      </c>
      <c r="N395" s="29">
        <f>SUMIFS(Cash_Flow_3[Amount],Cash_Flow_3[Bulan],H395,Cash_Flow_3[Type],"Out",Cash_Flow_3[Category],"Jajan")</f>
        <v>0</v>
      </c>
      <c r="O395" s="29">
        <f>SUMIFS(Cash_Flow_3[Amount],Cash_Flow_3[Bulan],H395,Cash_Flow_3[Type],"Out",Cash_Flow_3[Category],"Kitchen")</f>
        <v>0</v>
      </c>
      <c r="P395" s="29">
        <f>SUMIFS(Cash_Flow_3[Amount],Cash_Flow_3[Bulan],H395,Cash_Flow_3[Type],"Out",Cash_Flow_3[Category],"Loandry")</f>
        <v>0</v>
      </c>
      <c r="Q395" s="29">
        <f>SUMIFS(Cash_Flow_3[Amount],Cash_Flow_3[Bulan],H395,Cash_Flow_3[Type],"Out",Cash_Flow_3[Category],"Mio")</f>
        <v>0</v>
      </c>
      <c r="R395" s="29">
        <f>SUMIFS(Cash_Flow_3[Amount],Cash_Flow_3[Bulan],H395,Cash_Flow_3[Type],"Out",Cash_Flow_3[Category],"Sedekah")</f>
        <v>0</v>
      </c>
      <c r="S395" s="29">
        <f>SUMIFS(Cash_Flow_3[Amount],Cash_Flow_3[Bulan],H395,Cash_Flow_3[Type],"Out",Cash_Flow_3[Category],"Zela")</f>
        <v>0</v>
      </c>
      <c r="T395" s="29">
        <f>SUMIFS(Cash_Flow_3[Amount],Cash_Flow_3[Bulan],H395,Cash_Flow_3[Type],"Out",Cash_Flow_3[Category],"Iqbal")</f>
        <v>0</v>
      </c>
    </row>
    <row r="396" spans="1:20" ht="22.5" customHeight="1" x14ac:dyDescent="0.2">
      <c r="A396" s="23"/>
      <c r="B396" s="24"/>
      <c r="C396" s="25"/>
      <c r="D396" s="25"/>
      <c r="E396" s="25"/>
      <c r="F396" s="26"/>
      <c r="G396" s="27"/>
      <c r="H396" s="28" t="str">
        <f t="shared" si="0"/>
        <v/>
      </c>
      <c r="I396" s="29">
        <f>SUMIFS(Cash_Flow_3[Amount],Cash_Flow_3[Bulan],H396,Cash_Flow_3[Type],"In")</f>
        <v>0</v>
      </c>
      <c r="J396" s="29">
        <f>SUMIFS(Cash_Flow_3[Amount],Cash_Flow_3[Bulan],H396,Cash_Flow_3[Type],"Out")</f>
        <v>0</v>
      </c>
      <c r="K396" s="29">
        <f>SUMIFS(Cash_Flow_3[Amount],Cash_Flow_3[Bulan],H396,Cash_Flow_3[Type],"Out",Cash_Flow_3[Category],"Fix")</f>
        <v>0</v>
      </c>
      <c r="L396" s="29">
        <f>SUMIFS(Cash_Flow_3[Amount],Cash_Flow_3[Bulan],H396,Cash_Flow_3[Type],"Out",Cash_Flow_3[Category],"Bathroom")</f>
        <v>0</v>
      </c>
      <c r="M396" s="29">
        <f>SUMIFS(Cash_Flow_3[Amount],Cash_Flow_3[Bulan],H396,Cash_Flow_3[Type],"Out",Cash_Flow_3[Category],"Alfa")</f>
        <v>0</v>
      </c>
      <c r="N396" s="29">
        <f>SUMIFS(Cash_Flow_3[Amount],Cash_Flow_3[Bulan],H396,Cash_Flow_3[Type],"Out",Cash_Flow_3[Category],"Jajan")</f>
        <v>0</v>
      </c>
      <c r="O396" s="29">
        <f>SUMIFS(Cash_Flow_3[Amount],Cash_Flow_3[Bulan],H396,Cash_Flow_3[Type],"Out",Cash_Flow_3[Category],"Kitchen")</f>
        <v>0</v>
      </c>
      <c r="P396" s="29">
        <f>SUMIFS(Cash_Flow_3[Amount],Cash_Flow_3[Bulan],H396,Cash_Flow_3[Type],"Out",Cash_Flow_3[Category],"Loandry")</f>
        <v>0</v>
      </c>
      <c r="Q396" s="29">
        <f>SUMIFS(Cash_Flow_3[Amount],Cash_Flow_3[Bulan],H396,Cash_Flow_3[Type],"Out",Cash_Flow_3[Category],"Mio")</f>
        <v>0</v>
      </c>
      <c r="R396" s="29">
        <f>SUMIFS(Cash_Flow_3[Amount],Cash_Flow_3[Bulan],H396,Cash_Flow_3[Type],"Out",Cash_Flow_3[Category],"Sedekah")</f>
        <v>0</v>
      </c>
      <c r="S396" s="29">
        <f>SUMIFS(Cash_Flow_3[Amount],Cash_Flow_3[Bulan],H396,Cash_Flow_3[Type],"Out",Cash_Flow_3[Category],"Zela")</f>
        <v>0</v>
      </c>
      <c r="T396" s="29">
        <f>SUMIFS(Cash_Flow_3[Amount],Cash_Flow_3[Bulan],H396,Cash_Flow_3[Type],"Out",Cash_Flow_3[Category],"Iqbal")</f>
        <v>0</v>
      </c>
    </row>
    <row r="397" spans="1:20" ht="22.5" customHeight="1" x14ac:dyDescent="0.2">
      <c r="A397" s="23"/>
      <c r="B397" s="24"/>
      <c r="C397" s="25"/>
      <c r="D397" s="25"/>
      <c r="E397" s="25"/>
      <c r="F397" s="26"/>
      <c r="G397" s="27"/>
      <c r="H397" s="28" t="str">
        <f t="shared" si="0"/>
        <v/>
      </c>
      <c r="I397" s="29">
        <f>SUMIFS(Cash_Flow_3[Amount],Cash_Flow_3[Bulan],H397,Cash_Flow_3[Type],"In")</f>
        <v>0</v>
      </c>
      <c r="J397" s="29">
        <f>SUMIFS(Cash_Flow_3[Amount],Cash_Flow_3[Bulan],H397,Cash_Flow_3[Type],"Out")</f>
        <v>0</v>
      </c>
      <c r="K397" s="29">
        <f>SUMIFS(Cash_Flow_3[Amount],Cash_Flow_3[Bulan],H397,Cash_Flow_3[Type],"Out",Cash_Flow_3[Category],"Fix")</f>
        <v>0</v>
      </c>
      <c r="L397" s="29">
        <f>SUMIFS(Cash_Flow_3[Amount],Cash_Flow_3[Bulan],H397,Cash_Flow_3[Type],"Out",Cash_Flow_3[Category],"Bathroom")</f>
        <v>0</v>
      </c>
      <c r="M397" s="29">
        <f>SUMIFS(Cash_Flow_3[Amount],Cash_Flow_3[Bulan],H397,Cash_Flow_3[Type],"Out",Cash_Flow_3[Category],"Alfa")</f>
        <v>0</v>
      </c>
      <c r="N397" s="29">
        <f>SUMIFS(Cash_Flow_3[Amount],Cash_Flow_3[Bulan],H397,Cash_Flow_3[Type],"Out",Cash_Flow_3[Category],"Jajan")</f>
        <v>0</v>
      </c>
      <c r="O397" s="29">
        <f>SUMIFS(Cash_Flow_3[Amount],Cash_Flow_3[Bulan],H397,Cash_Flow_3[Type],"Out",Cash_Flow_3[Category],"Kitchen")</f>
        <v>0</v>
      </c>
      <c r="P397" s="29">
        <f>SUMIFS(Cash_Flow_3[Amount],Cash_Flow_3[Bulan],H397,Cash_Flow_3[Type],"Out",Cash_Flow_3[Category],"Loandry")</f>
        <v>0</v>
      </c>
      <c r="Q397" s="29">
        <f>SUMIFS(Cash_Flow_3[Amount],Cash_Flow_3[Bulan],H397,Cash_Flow_3[Type],"Out",Cash_Flow_3[Category],"Mio")</f>
        <v>0</v>
      </c>
      <c r="R397" s="29">
        <f>SUMIFS(Cash_Flow_3[Amount],Cash_Flow_3[Bulan],H397,Cash_Flow_3[Type],"Out",Cash_Flow_3[Category],"Sedekah")</f>
        <v>0</v>
      </c>
      <c r="S397" s="29">
        <f>SUMIFS(Cash_Flow_3[Amount],Cash_Flow_3[Bulan],H397,Cash_Flow_3[Type],"Out",Cash_Flow_3[Category],"Zela")</f>
        <v>0</v>
      </c>
      <c r="T397" s="29">
        <f>SUMIFS(Cash_Flow_3[Amount],Cash_Flow_3[Bulan],H397,Cash_Flow_3[Type],"Out",Cash_Flow_3[Category],"Iqbal")</f>
        <v>0</v>
      </c>
    </row>
    <row r="398" spans="1:20" ht="22.5" customHeight="1" x14ac:dyDescent="0.2">
      <c r="A398" s="23"/>
      <c r="B398" s="24"/>
      <c r="C398" s="25"/>
      <c r="D398" s="25"/>
      <c r="E398" s="25"/>
      <c r="F398" s="26"/>
      <c r="G398" s="27"/>
      <c r="H398" s="28" t="str">
        <f t="shared" si="0"/>
        <v/>
      </c>
      <c r="I398" s="29">
        <f>SUMIFS(Cash_Flow_3[Amount],Cash_Flow_3[Bulan],H398,Cash_Flow_3[Type],"In")</f>
        <v>0</v>
      </c>
      <c r="J398" s="29">
        <f>SUMIFS(Cash_Flow_3[Amount],Cash_Flow_3[Bulan],H398,Cash_Flow_3[Type],"Out")</f>
        <v>0</v>
      </c>
      <c r="K398" s="29">
        <f>SUMIFS(Cash_Flow_3[Amount],Cash_Flow_3[Bulan],H398,Cash_Flow_3[Type],"Out",Cash_Flow_3[Category],"Fix")</f>
        <v>0</v>
      </c>
      <c r="L398" s="29">
        <f>SUMIFS(Cash_Flow_3[Amount],Cash_Flow_3[Bulan],H398,Cash_Flow_3[Type],"Out",Cash_Flow_3[Category],"Bathroom")</f>
        <v>0</v>
      </c>
      <c r="M398" s="29">
        <f>SUMIFS(Cash_Flow_3[Amount],Cash_Flow_3[Bulan],H398,Cash_Flow_3[Type],"Out",Cash_Flow_3[Category],"Alfa")</f>
        <v>0</v>
      </c>
      <c r="N398" s="29">
        <f>SUMIFS(Cash_Flow_3[Amount],Cash_Flow_3[Bulan],H398,Cash_Flow_3[Type],"Out",Cash_Flow_3[Category],"Jajan")</f>
        <v>0</v>
      </c>
      <c r="O398" s="29">
        <f>SUMIFS(Cash_Flow_3[Amount],Cash_Flow_3[Bulan],H398,Cash_Flow_3[Type],"Out",Cash_Flow_3[Category],"Kitchen")</f>
        <v>0</v>
      </c>
      <c r="P398" s="29">
        <f>SUMIFS(Cash_Flow_3[Amount],Cash_Flow_3[Bulan],H398,Cash_Flow_3[Type],"Out",Cash_Flow_3[Category],"Loandry")</f>
        <v>0</v>
      </c>
      <c r="Q398" s="29">
        <f>SUMIFS(Cash_Flow_3[Amount],Cash_Flow_3[Bulan],H398,Cash_Flow_3[Type],"Out",Cash_Flow_3[Category],"Mio")</f>
        <v>0</v>
      </c>
      <c r="R398" s="29">
        <f>SUMIFS(Cash_Flow_3[Amount],Cash_Flow_3[Bulan],H398,Cash_Flow_3[Type],"Out",Cash_Flow_3[Category],"Sedekah")</f>
        <v>0</v>
      </c>
      <c r="S398" s="29">
        <f>SUMIFS(Cash_Flow_3[Amount],Cash_Flow_3[Bulan],H398,Cash_Flow_3[Type],"Out",Cash_Flow_3[Category],"Zela")</f>
        <v>0</v>
      </c>
      <c r="T398" s="29">
        <f>SUMIFS(Cash_Flow_3[Amount],Cash_Flow_3[Bulan],H398,Cash_Flow_3[Type],"Out",Cash_Flow_3[Category],"Iqbal")</f>
        <v>0</v>
      </c>
    </row>
    <row r="399" spans="1:20" ht="22.5" customHeight="1" x14ac:dyDescent="0.2">
      <c r="A399" s="23"/>
      <c r="B399" s="24"/>
      <c r="C399" s="25"/>
      <c r="D399" s="25"/>
      <c r="E399" s="25"/>
      <c r="F399" s="26"/>
      <c r="G399" s="27"/>
      <c r="H399" s="28" t="str">
        <f t="shared" si="0"/>
        <v/>
      </c>
      <c r="I399" s="29">
        <f>SUMIFS(Cash_Flow_3[Amount],Cash_Flow_3[Bulan],H399,Cash_Flow_3[Type],"In")</f>
        <v>0</v>
      </c>
      <c r="J399" s="29">
        <f>SUMIFS(Cash_Flow_3[Amount],Cash_Flow_3[Bulan],H399,Cash_Flow_3[Type],"Out")</f>
        <v>0</v>
      </c>
      <c r="K399" s="29">
        <f>SUMIFS(Cash_Flow_3[Amount],Cash_Flow_3[Bulan],H399,Cash_Flow_3[Type],"Out",Cash_Flow_3[Category],"Fix")</f>
        <v>0</v>
      </c>
      <c r="L399" s="29">
        <f>SUMIFS(Cash_Flow_3[Amount],Cash_Flow_3[Bulan],H399,Cash_Flow_3[Type],"Out",Cash_Flow_3[Category],"Bathroom")</f>
        <v>0</v>
      </c>
      <c r="M399" s="29">
        <f>SUMIFS(Cash_Flow_3[Amount],Cash_Flow_3[Bulan],H399,Cash_Flow_3[Type],"Out",Cash_Flow_3[Category],"Alfa")</f>
        <v>0</v>
      </c>
      <c r="N399" s="29">
        <f>SUMIFS(Cash_Flow_3[Amount],Cash_Flow_3[Bulan],H399,Cash_Flow_3[Type],"Out",Cash_Flow_3[Category],"Jajan")</f>
        <v>0</v>
      </c>
      <c r="O399" s="29">
        <f>SUMIFS(Cash_Flow_3[Amount],Cash_Flow_3[Bulan],H399,Cash_Flow_3[Type],"Out",Cash_Flow_3[Category],"Kitchen")</f>
        <v>0</v>
      </c>
      <c r="P399" s="29">
        <f>SUMIFS(Cash_Flow_3[Amount],Cash_Flow_3[Bulan],H399,Cash_Flow_3[Type],"Out",Cash_Flow_3[Category],"Loandry")</f>
        <v>0</v>
      </c>
      <c r="Q399" s="29">
        <f>SUMIFS(Cash_Flow_3[Amount],Cash_Flow_3[Bulan],H399,Cash_Flow_3[Type],"Out",Cash_Flow_3[Category],"Mio")</f>
        <v>0</v>
      </c>
      <c r="R399" s="29">
        <f>SUMIFS(Cash_Flow_3[Amount],Cash_Flow_3[Bulan],H399,Cash_Flow_3[Type],"Out",Cash_Flow_3[Category],"Sedekah")</f>
        <v>0</v>
      </c>
      <c r="S399" s="29">
        <f>SUMIFS(Cash_Flow_3[Amount],Cash_Flow_3[Bulan],H399,Cash_Flow_3[Type],"Out",Cash_Flow_3[Category],"Zela")</f>
        <v>0</v>
      </c>
      <c r="T399" s="29">
        <f>SUMIFS(Cash_Flow_3[Amount],Cash_Flow_3[Bulan],H399,Cash_Flow_3[Type],"Out",Cash_Flow_3[Category],"Iqbal")</f>
        <v>0</v>
      </c>
    </row>
    <row r="400" spans="1:20" ht="22.5" customHeight="1" x14ac:dyDescent="0.2">
      <c r="A400" s="23"/>
      <c r="B400" s="24"/>
      <c r="C400" s="25"/>
      <c r="D400" s="25"/>
      <c r="E400" s="25"/>
      <c r="F400" s="26"/>
      <c r="G400" s="27"/>
      <c r="H400" s="28" t="str">
        <f t="shared" si="0"/>
        <v/>
      </c>
      <c r="I400" s="29">
        <f>SUMIFS(Cash_Flow_3[Amount],Cash_Flow_3[Bulan],H400,Cash_Flow_3[Type],"In")</f>
        <v>0</v>
      </c>
      <c r="J400" s="29">
        <f>SUMIFS(Cash_Flow_3[Amount],Cash_Flow_3[Bulan],H400,Cash_Flow_3[Type],"Out")</f>
        <v>0</v>
      </c>
      <c r="K400" s="29">
        <f>SUMIFS(Cash_Flow_3[Amount],Cash_Flow_3[Bulan],H400,Cash_Flow_3[Type],"Out",Cash_Flow_3[Category],"Fix")</f>
        <v>0</v>
      </c>
      <c r="L400" s="29">
        <f>SUMIFS(Cash_Flow_3[Amount],Cash_Flow_3[Bulan],H400,Cash_Flow_3[Type],"Out",Cash_Flow_3[Category],"Bathroom")</f>
        <v>0</v>
      </c>
      <c r="M400" s="29">
        <f>SUMIFS(Cash_Flow_3[Amount],Cash_Flow_3[Bulan],H400,Cash_Flow_3[Type],"Out",Cash_Flow_3[Category],"Alfa")</f>
        <v>0</v>
      </c>
      <c r="N400" s="29">
        <f>SUMIFS(Cash_Flow_3[Amount],Cash_Flow_3[Bulan],H400,Cash_Flow_3[Type],"Out",Cash_Flow_3[Category],"Jajan")</f>
        <v>0</v>
      </c>
      <c r="O400" s="29">
        <f>SUMIFS(Cash_Flow_3[Amount],Cash_Flow_3[Bulan],H400,Cash_Flow_3[Type],"Out",Cash_Flow_3[Category],"Kitchen")</f>
        <v>0</v>
      </c>
      <c r="P400" s="29">
        <f>SUMIFS(Cash_Flow_3[Amount],Cash_Flow_3[Bulan],H400,Cash_Flow_3[Type],"Out",Cash_Flow_3[Category],"Loandry")</f>
        <v>0</v>
      </c>
      <c r="Q400" s="29">
        <f>SUMIFS(Cash_Flow_3[Amount],Cash_Flow_3[Bulan],H400,Cash_Flow_3[Type],"Out",Cash_Flow_3[Category],"Mio")</f>
        <v>0</v>
      </c>
      <c r="R400" s="29">
        <f>SUMIFS(Cash_Flow_3[Amount],Cash_Flow_3[Bulan],H400,Cash_Flow_3[Type],"Out",Cash_Flow_3[Category],"Sedekah")</f>
        <v>0</v>
      </c>
      <c r="S400" s="29">
        <f>SUMIFS(Cash_Flow_3[Amount],Cash_Flow_3[Bulan],H400,Cash_Flow_3[Type],"Out",Cash_Flow_3[Category],"Zela")</f>
        <v>0</v>
      </c>
      <c r="T400" s="29">
        <f>SUMIFS(Cash_Flow_3[Amount],Cash_Flow_3[Bulan],H400,Cash_Flow_3[Type],"Out",Cash_Flow_3[Category],"Iqbal")</f>
        <v>0</v>
      </c>
    </row>
    <row r="401" spans="1:20" ht="22.5" customHeight="1" x14ac:dyDescent="0.2">
      <c r="A401" s="23"/>
      <c r="B401" s="24"/>
      <c r="C401" s="25"/>
      <c r="D401" s="25"/>
      <c r="E401" s="25"/>
      <c r="F401" s="26"/>
      <c r="G401" s="27"/>
      <c r="H401" s="28" t="str">
        <f t="shared" si="0"/>
        <v/>
      </c>
      <c r="I401" s="29">
        <f>SUMIFS(Cash_Flow_3[Amount],Cash_Flow_3[Bulan],H401,Cash_Flow_3[Type],"In")</f>
        <v>0</v>
      </c>
      <c r="J401" s="29">
        <f>SUMIFS(Cash_Flow_3[Amount],Cash_Flow_3[Bulan],H401,Cash_Flow_3[Type],"Out")</f>
        <v>0</v>
      </c>
      <c r="K401" s="29">
        <f>SUMIFS(Cash_Flow_3[Amount],Cash_Flow_3[Bulan],H401,Cash_Flow_3[Type],"Out",Cash_Flow_3[Category],"Fix")</f>
        <v>0</v>
      </c>
      <c r="L401" s="29">
        <f>SUMIFS(Cash_Flow_3[Amount],Cash_Flow_3[Bulan],H401,Cash_Flow_3[Type],"Out",Cash_Flow_3[Category],"Bathroom")</f>
        <v>0</v>
      </c>
      <c r="M401" s="29">
        <f>SUMIFS(Cash_Flow_3[Amount],Cash_Flow_3[Bulan],H401,Cash_Flow_3[Type],"Out",Cash_Flow_3[Category],"Alfa")</f>
        <v>0</v>
      </c>
      <c r="N401" s="29">
        <f>SUMIFS(Cash_Flow_3[Amount],Cash_Flow_3[Bulan],H401,Cash_Flow_3[Type],"Out",Cash_Flow_3[Category],"Jajan")</f>
        <v>0</v>
      </c>
      <c r="O401" s="29">
        <f>SUMIFS(Cash_Flow_3[Amount],Cash_Flow_3[Bulan],H401,Cash_Flow_3[Type],"Out",Cash_Flow_3[Category],"Kitchen")</f>
        <v>0</v>
      </c>
      <c r="P401" s="29">
        <f>SUMIFS(Cash_Flow_3[Amount],Cash_Flow_3[Bulan],H401,Cash_Flow_3[Type],"Out",Cash_Flow_3[Category],"Loandry")</f>
        <v>0</v>
      </c>
      <c r="Q401" s="29">
        <f>SUMIFS(Cash_Flow_3[Amount],Cash_Flow_3[Bulan],H401,Cash_Flow_3[Type],"Out",Cash_Flow_3[Category],"Mio")</f>
        <v>0</v>
      </c>
      <c r="R401" s="29">
        <f>SUMIFS(Cash_Flow_3[Amount],Cash_Flow_3[Bulan],H401,Cash_Flow_3[Type],"Out",Cash_Flow_3[Category],"Sedekah")</f>
        <v>0</v>
      </c>
      <c r="S401" s="29">
        <f>SUMIFS(Cash_Flow_3[Amount],Cash_Flow_3[Bulan],H401,Cash_Flow_3[Type],"Out",Cash_Flow_3[Category],"Zela")</f>
        <v>0</v>
      </c>
      <c r="T401" s="29">
        <f>SUMIFS(Cash_Flow_3[Amount],Cash_Flow_3[Bulan],H401,Cash_Flow_3[Type],"Out",Cash_Flow_3[Category],"Iqbal")</f>
        <v>0</v>
      </c>
    </row>
    <row r="402" spans="1:20" ht="22.5" customHeight="1" x14ac:dyDescent="0.2">
      <c r="A402" s="23"/>
      <c r="B402" s="24"/>
      <c r="C402" s="25"/>
      <c r="D402" s="25"/>
      <c r="E402" s="25"/>
      <c r="F402" s="26"/>
      <c r="G402" s="27"/>
      <c r="H402" s="28" t="str">
        <f t="shared" si="0"/>
        <v/>
      </c>
      <c r="I402" s="29">
        <f>SUMIFS(Cash_Flow_3[Amount],Cash_Flow_3[Bulan],H402,Cash_Flow_3[Type],"In")</f>
        <v>0</v>
      </c>
      <c r="J402" s="29">
        <f>SUMIFS(Cash_Flow_3[Amount],Cash_Flow_3[Bulan],H402,Cash_Flow_3[Type],"Out")</f>
        <v>0</v>
      </c>
      <c r="K402" s="29">
        <f>SUMIFS(Cash_Flow_3[Amount],Cash_Flow_3[Bulan],H402,Cash_Flow_3[Type],"Out",Cash_Flow_3[Category],"Fix")</f>
        <v>0</v>
      </c>
      <c r="L402" s="29">
        <f>SUMIFS(Cash_Flow_3[Amount],Cash_Flow_3[Bulan],H402,Cash_Flow_3[Type],"Out",Cash_Flow_3[Category],"Bathroom")</f>
        <v>0</v>
      </c>
      <c r="M402" s="29">
        <f>SUMIFS(Cash_Flow_3[Amount],Cash_Flow_3[Bulan],H402,Cash_Flow_3[Type],"Out",Cash_Flow_3[Category],"Alfa")</f>
        <v>0</v>
      </c>
      <c r="N402" s="29">
        <f>SUMIFS(Cash_Flow_3[Amount],Cash_Flow_3[Bulan],H402,Cash_Flow_3[Type],"Out",Cash_Flow_3[Category],"Jajan")</f>
        <v>0</v>
      </c>
      <c r="O402" s="29">
        <f>SUMIFS(Cash_Flow_3[Amount],Cash_Flow_3[Bulan],H402,Cash_Flow_3[Type],"Out",Cash_Flow_3[Category],"Kitchen")</f>
        <v>0</v>
      </c>
      <c r="P402" s="29">
        <f>SUMIFS(Cash_Flow_3[Amount],Cash_Flow_3[Bulan],H402,Cash_Flow_3[Type],"Out",Cash_Flow_3[Category],"Loandry")</f>
        <v>0</v>
      </c>
      <c r="Q402" s="29">
        <f>SUMIFS(Cash_Flow_3[Amount],Cash_Flow_3[Bulan],H402,Cash_Flow_3[Type],"Out",Cash_Flow_3[Category],"Mio")</f>
        <v>0</v>
      </c>
      <c r="R402" s="29">
        <f>SUMIFS(Cash_Flow_3[Amount],Cash_Flow_3[Bulan],H402,Cash_Flow_3[Type],"Out",Cash_Flow_3[Category],"Sedekah")</f>
        <v>0</v>
      </c>
      <c r="S402" s="29">
        <f>SUMIFS(Cash_Flow_3[Amount],Cash_Flow_3[Bulan],H402,Cash_Flow_3[Type],"Out",Cash_Flow_3[Category],"Zela")</f>
        <v>0</v>
      </c>
      <c r="T402" s="29">
        <f>SUMIFS(Cash_Flow_3[Amount],Cash_Flow_3[Bulan],H402,Cash_Flow_3[Type],"Out",Cash_Flow_3[Category],"Iqbal")</f>
        <v>0</v>
      </c>
    </row>
    <row r="403" spans="1:20" ht="22.5" customHeight="1" x14ac:dyDescent="0.2">
      <c r="A403" s="23"/>
      <c r="B403" s="24"/>
      <c r="C403" s="25"/>
      <c r="D403" s="25"/>
      <c r="E403" s="25"/>
      <c r="F403" s="26"/>
      <c r="G403" s="27"/>
      <c r="H403" s="28" t="str">
        <f t="shared" si="0"/>
        <v/>
      </c>
      <c r="I403" s="29">
        <f>SUMIFS(Cash_Flow_3[Amount],Cash_Flow_3[Bulan],H403,Cash_Flow_3[Type],"In")</f>
        <v>0</v>
      </c>
      <c r="J403" s="29">
        <f>SUMIFS(Cash_Flow_3[Amount],Cash_Flow_3[Bulan],H403,Cash_Flow_3[Type],"Out")</f>
        <v>0</v>
      </c>
      <c r="K403" s="29">
        <f>SUMIFS(Cash_Flow_3[Amount],Cash_Flow_3[Bulan],H403,Cash_Flow_3[Type],"Out",Cash_Flow_3[Category],"Fix")</f>
        <v>0</v>
      </c>
      <c r="L403" s="29">
        <f>SUMIFS(Cash_Flow_3[Amount],Cash_Flow_3[Bulan],H403,Cash_Flow_3[Type],"Out",Cash_Flow_3[Category],"Bathroom")</f>
        <v>0</v>
      </c>
      <c r="M403" s="29">
        <f>SUMIFS(Cash_Flow_3[Amount],Cash_Flow_3[Bulan],H403,Cash_Flow_3[Type],"Out",Cash_Flow_3[Category],"Alfa")</f>
        <v>0</v>
      </c>
      <c r="N403" s="29">
        <f>SUMIFS(Cash_Flow_3[Amount],Cash_Flow_3[Bulan],H403,Cash_Flow_3[Type],"Out",Cash_Flow_3[Category],"Jajan")</f>
        <v>0</v>
      </c>
      <c r="O403" s="29">
        <f>SUMIFS(Cash_Flow_3[Amount],Cash_Flow_3[Bulan],H403,Cash_Flow_3[Type],"Out",Cash_Flow_3[Category],"Kitchen")</f>
        <v>0</v>
      </c>
      <c r="P403" s="29">
        <f>SUMIFS(Cash_Flow_3[Amount],Cash_Flow_3[Bulan],H403,Cash_Flow_3[Type],"Out",Cash_Flow_3[Category],"Loandry")</f>
        <v>0</v>
      </c>
      <c r="Q403" s="29">
        <f>SUMIFS(Cash_Flow_3[Amount],Cash_Flow_3[Bulan],H403,Cash_Flow_3[Type],"Out",Cash_Flow_3[Category],"Mio")</f>
        <v>0</v>
      </c>
      <c r="R403" s="29">
        <f>SUMIFS(Cash_Flow_3[Amount],Cash_Flow_3[Bulan],H403,Cash_Flow_3[Type],"Out",Cash_Flow_3[Category],"Sedekah")</f>
        <v>0</v>
      </c>
      <c r="S403" s="29">
        <f>SUMIFS(Cash_Flow_3[Amount],Cash_Flow_3[Bulan],H403,Cash_Flow_3[Type],"Out",Cash_Flow_3[Category],"Zela")</f>
        <v>0</v>
      </c>
      <c r="T403" s="29">
        <f>SUMIFS(Cash_Flow_3[Amount],Cash_Flow_3[Bulan],H403,Cash_Flow_3[Type],"Out",Cash_Flow_3[Category],"Iqbal")</f>
        <v>0</v>
      </c>
    </row>
    <row r="404" spans="1:20" ht="22.5" customHeight="1" x14ac:dyDescent="0.2">
      <c r="A404" s="23"/>
      <c r="B404" s="24"/>
      <c r="C404" s="25"/>
      <c r="D404" s="25"/>
      <c r="E404" s="25"/>
      <c r="F404" s="26"/>
      <c r="G404" s="27"/>
      <c r="H404" s="28" t="str">
        <f t="shared" si="0"/>
        <v/>
      </c>
      <c r="I404" s="29">
        <f>SUMIFS(Cash_Flow_3[Amount],Cash_Flow_3[Bulan],H404,Cash_Flow_3[Type],"In")</f>
        <v>0</v>
      </c>
      <c r="J404" s="29">
        <f>SUMIFS(Cash_Flow_3[Amount],Cash_Flow_3[Bulan],H404,Cash_Flow_3[Type],"Out")</f>
        <v>0</v>
      </c>
      <c r="K404" s="29">
        <f>SUMIFS(Cash_Flow_3[Amount],Cash_Flow_3[Bulan],H404,Cash_Flow_3[Type],"Out",Cash_Flow_3[Category],"Fix")</f>
        <v>0</v>
      </c>
      <c r="L404" s="29">
        <f>SUMIFS(Cash_Flow_3[Amount],Cash_Flow_3[Bulan],H404,Cash_Flow_3[Type],"Out",Cash_Flow_3[Category],"Bathroom")</f>
        <v>0</v>
      </c>
      <c r="M404" s="29">
        <f>SUMIFS(Cash_Flow_3[Amount],Cash_Flow_3[Bulan],H404,Cash_Flow_3[Type],"Out",Cash_Flow_3[Category],"Alfa")</f>
        <v>0</v>
      </c>
      <c r="N404" s="29">
        <f>SUMIFS(Cash_Flow_3[Amount],Cash_Flow_3[Bulan],H404,Cash_Flow_3[Type],"Out",Cash_Flow_3[Category],"Jajan")</f>
        <v>0</v>
      </c>
      <c r="O404" s="29">
        <f>SUMIFS(Cash_Flow_3[Amount],Cash_Flow_3[Bulan],H404,Cash_Flow_3[Type],"Out",Cash_Flow_3[Category],"Kitchen")</f>
        <v>0</v>
      </c>
      <c r="P404" s="29">
        <f>SUMIFS(Cash_Flow_3[Amount],Cash_Flow_3[Bulan],H404,Cash_Flow_3[Type],"Out",Cash_Flow_3[Category],"Loandry")</f>
        <v>0</v>
      </c>
      <c r="Q404" s="29">
        <f>SUMIFS(Cash_Flow_3[Amount],Cash_Flow_3[Bulan],H404,Cash_Flow_3[Type],"Out",Cash_Flow_3[Category],"Mio")</f>
        <v>0</v>
      </c>
      <c r="R404" s="29">
        <f>SUMIFS(Cash_Flow_3[Amount],Cash_Flow_3[Bulan],H404,Cash_Flow_3[Type],"Out",Cash_Flow_3[Category],"Sedekah")</f>
        <v>0</v>
      </c>
      <c r="S404" s="29">
        <f>SUMIFS(Cash_Flow_3[Amount],Cash_Flow_3[Bulan],H404,Cash_Flow_3[Type],"Out",Cash_Flow_3[Category],"Zela")</f>
        <v>0</v>
      </c>
      <c r="T404" s="29">
        <f>SUMIFS(Cash_Flow_3[Amount],Cash_Flow_3[Bulan],H404,Cash_Flow_3[Type],"Out",Cash_Flow_3[Category],"Iqbal")</f>
        <v>0</v>
      </c>
    </row>
    <row r="405" spans="1:20" ht="22.5" customHeight="1" x14ac:dyDescent="0.2">
      <c r="A405" s="23"/>
      <c r="B405" s="24"/>
      <c r="C405" s="25"/>
      <c r="D405" s="25"/>
      <c r="E405" s="25"/>
      <c r="F405" s="26"/>
      <c r="G405" s="27"/>
      <c r="H405" s="28" t="str">
        <f t="shared" si="0"/>
        <v/>
      </c>
      <c r="I405" s="29">
        <f>SUMIFS(Cash_Flow_3[Amount],Cash_Flow_3[Bulan],H405,Cash_Flow_3[Type],"In")</f>
        <v>0</v>
      </c>
      <c r="J405" s="29">
        <f>SUMIFS(Cash_Flow_3[Amount],Cash_Flow_3[Bulan],H405,Cash_Flow_3[Type],"Out")</f>
        <v>0</v>
      </c>
      <c r="K405" s="29">
        <f>SUMIFS(Cash_Flow_3[Amount],Cash_Flow_3[Bulan],H405,Cash_Flow_3[Type],"Out",Cash_Flow_3[Category],"Fix")</f>
        <v>0</v>
      </c>
      <c r="L405" s="29">
        <f>SUMIFS(Cash_Flow_3[Amount],Cash_Flow_3[Bulan],H405,Cash_Flow_3[Type],"Out",Cash_Flow_3[Category],"Bathroom")</f>
        <v>0</v>
      </c>
      <c r="M405" s="29">
        <f>SUMIFS(Cash_Flow_3[Amount],Cash_Flow_3[Bulan],H405,Cash_Flow_3[Type],"Out",Cash_Flow_3[Category],"Alfa")</f>
        <v>0</v>
      </c>
      <c r="N405" s="29">
        <f>SUMIFS(Cash_Flow_3[Amount],Cash_Flow_3[Bulan],H405,Cash_Flow_3[Type],"Out",Cash_Flow_3[Category],"Jajan")</f>
        <v>0</v>
      </c>
      <c r="O405" s="29">
        <f>SUMIFS(Cash_Flow_3[Amount],Cash_Flow_3[Bulan],H405,Cash_Flow_3[Type],"Out",Cash_Flow_3[Category],"Kitchen")</f>
        <v>0</v>
      </c>
      <c r="P405" s="29">
        <f>SUMIFS(Cash_Flow_3[Amount],Cash_Flow_3[Bulan],H405,Cash_Flow_3[Type],"Out",Cash_Flow_3[Category],"Loandry")</f>
        <v>0</v>
      </c>
      <c r="Q405" s="29">
        <f>SUMIFS(Cash_Flow_3[Amount],Cash_Flow_3[Bulan],H405,Cash_Flow_3[Type],"Out",Cash_Flow_3[Category],"Mio")</f>
        <v>0</v>
      </c>
      <c r="R405" s="29">
        <f>SUMIFS(Cash_Flow_3[Amount],Cash_Flow_3[Bulan],H405,Cash_Flow_3[Type],"Out",Cash_Flow_3[Category],"Sedekah")</f>
        <v>0</v>
      </c>
      <c r="S405" s="29">
        <f>SUMIFS(Cash_Flow_3[Amount],Cash_Flow_3[Bulan],H405,Cash_Flow_3[Type],"Out",Cash_Flow_3[Category],"Zela")</f>
        <v>0</v>
      </c>
      <c r="T405" s="29">
        <f>SUMIFS(Cash_Flow_3[Amount],Cash_Flow_3[Bulan],H405,Cash_Flow_3[Type],"Out",Cash_Flow_3[Category],"Iqbal")</f>
        <v>0</v>
      </c>
    </row>
    <row r="406" spans="1:20" ht="22.5" customHeight="1" x14ac:dyDescent="0.2">
      <c r="A406" s="23"/>
      <c r="B406" s="24"/>
      <c r="C406" s="25"/>
      <c r="D406" s="25"/>
      <c r="E406" s="25"/>
      <c r="F406" s="26"/>
      <c r="G406" s="27"/>
      <c r="H406" s="28" t="str">
        <f t="shared" si="0"/>
        <v/>
      </c>
      <c r="I406" s="29">
        <f>SUMIFS(Cash_Flow_3[Amount],Cash_Flow_3[Bulan],H406,Cash_Flow_3[Type],"In")</f>
        <v>0</v>
      </c>
      <c r="J406" s="29">
        <f>SUMIFS(Cash_Flow_3[Amount],Cash_Flow_3[Bulan],H406,Cash_Flow_3[Type],"Out")</f>
        <v>0</v>
      </c>
      <c r="K406" s="29">
        <f>SUMIFS(Cash_Flow_3[Amount],Cash_Flow_3[Bulan],H406,Cash_Flow_3[Type],"Out",Cash_Flow_3[Category],"Fix")</f>
        <v>0</v>
      </c>
      <c r="L406" s="29">
        <f>SUMIFS(Cash_Flow_3[Amount],Cash_Flow_3[Bulan],H406,Cash_Flow_3[Type],"Out",Cash_Flow_3[Category],"Bathroom")</f>
        <v>0</v>
      </c>
      <c r="M406" s="29">
        <f>SUMIFS(Cash_Flow_3[Amount],Cash_Flow_3[Bulan],H406,Cash_Flow_3[Type],"Out",Cash_Flow_3[Category],"Alfa")</f>
        <v>0</v>
      </c>
      <c r="N406" s="29">
        <f>SUMIFS(Cash_Flow_3[Amount],Cash_Flow_3[Bulan],H406,Cash_Flow_3[Type],"Out",Cash_Flow_3[Category],"Jajan")</f>
        <v>0</v>
      </c>
      <c r="O406" s="29">
        <f>SUMIFS(Cash_Flow_3[Amount],Cash_Flow_3[Bulan],H406,Cash_Flow_3[Type],"Out",Cash_Flow_3[Category],"Kitchen")</f>
        <v>0</v>
      </c>
      <c r="P406" s="29">
        <f>SUMIFS(Cash_Flow_3[Amount],Cash_Flow_3[Bulan],H406,Cash_Flow_3[Type],"Out",Cash_Flow_3[Category],"Loandry")</f>
        <v>0</v>
      </c>
      <c r="Q406" s="29">
        <f>SUMIFS(Cash_Flow_3[Amount],Cash_Flow_3[Bulan],H406,Cash_Flow_3[Type],"Out",Cash_Flow_3[Category],"Mio")</f>
        <v>0</v>
      </c>
      <c r="R406" s="29">
        <f>SUMIFS(Cash_Flow_3[Amount],Cash_Flow_3[Bulan],H406,Cash_Flow_3[Type],"Out",Cash_Flow_3[Category],"Sedekah")</f>
        <v>0</v>
      </c>
      <c r="S406" s="29">
        <f>SUMIFS(Cash_Flow_3[Amount],Cash_Flow_3[Bulan],H406,Cash_Flow_3[Type],"Out",Cash_Flow_3[Category],"Zela")</f>
        <v>0</v>
      </c>
      <c r="T406" s="29">
        <f>SUMIFS(Cash_Flow_3[Amount],Cash_Flow_3[Bulan],H406,Cash_Flow_3[Type],"Out",Cash_Flow_3[Category],"Iqbal")</f>
        <v>0</v>
      </c>
    </row>
    <row r="407" spans="1:20" ht="22.5" customHeight="1" x14ac:dyDescent="0.2">
      <c r="A407" s="23"/>
      <c r="B407" s="24"/>
      <c r="C407" s="25"/>
      <c r="D407" s="25"/>
      <c r="E407" s="25"/>
      <c r="F407" s="26"/>
      <c r="G407" s="27"/>
      <c r="H407" s="28" t="str">
        <f t="shared" si="0"/>
        <v/>
      </c>
      <c r="I407" s="29">
        <f>SUMIFS(Cash_Flow_3[Amount],Cash_Flow_3[Bulan],H407,Cash_Flow_3[Type],"In")</f>
        <v>0</v>
      </c>
      <c r="J407" s="29">
        <f>SUMIFS(Cash_Flow_3[Amount],Cash_Flow_3[Bulan],H407,Cash_Flow_3[Type],"Out")</f>
        <v>0</v>
      </c>
      <c r="K407" s="29">
        <f>SUMIFS(Cash_Flow_3[Amount],Cash_Flow_3[Bulan],H407,Cash_Flow_3[Type],"Out",Cash_Flow_3[Category],"Fix")</f>
        <v>0</v>
      </c>
      <c r="L407" s="29">
        <f>SUMIFS(Cash_Flow_3[Amount],Cash_Flow_3[Bulan],H407,Cash_Flow_3[Type],"Out",Cash_Flow_3[Category],"Bathroom")</f>
        <v>0</v>
      </c>
      <c r="M407" s="29">
        <f>SUMIFS(Cash_Flow_3[Amount],Cash_Flow_3[Bulan],H407,Cash_Flow_3[Type],"Out",Cash_Flow_3[Category],"Alfa")</f>
        <v>0</v>
      </c>
      <c r="N407" s="29">
        <f>SUMIFS(Cash_Flow_3[Amount],Cash_Flow_3[Bulan],H407,Cash_Flow_3[Type],"Out",Cash_Flow_3[Category],"Jajan")</f>
        <v>0</v>
      </c>
      <c r="O407" s="29">
        <f>SUMIFS(Cash_Flow_3[Amount],Cash_Flow_3[Bulan],H407,Cash_Flow_3[Type],"Out",Cash_Flow_3[Category],"Kitchen")</f>
        <v>0</v>
      </c>
      <c r="P407" s="29">
        <f>SUMIFS(Cash_Flow_3[Amount],Cash_Flow_3[Bulan],H407,Cash_Flow_3[Type],"Out",Cash_Flow_3[Category],"Loandry")</f>
        <v>0</v>
      </c>
      <c r="Q407" s="29">
        <f>SUMIFS(Cash_Flow_3[Amount],Cash_Flow_3[Bulan],H407,Cash_Flow_3[Type],"Out",Cash_Flow_3[Category],"Mio")</f>
        <v>0</v>
      </c>
      <c r="R407" s="29">
        <f>SUMIFS(Cash_Flow_3[Amount],Cash_Flow_3[Bulan],H407,Cash_Flow_3[Type],"Out",Cash_Flow_3[Category],"Sedekah")</f>
        <v>0</v>
      </c>
      <c r="S407" s="29">
        <f>SUMIFS(Cash_Flow_3[Amount],Cash_Flow_3[Bulan],H407,Cash_Flow_3[Type],"Out",Cash_Flow_3[Category],"Zela")</f>
        <v>0</v>
      </c>
      <c r="T407" s="29">
        <f>SUMIFS(Cash_Flow_3[Amount],Cash_Flow_3[Bulan],H407,Cash_Flow_3[Type],"Out",Cash_Flow_3[Category],"Iqbal")</f>
        <v>0</v>
      </c>
    </row>
    <row r="408" spans="1:20" ht="22.5" customHeight="1" x14ac:dyDescent="0.2">
      <c r="A408" s="23"/>
      <c r="B408" s="24"/>
      <c r="C408" s="25"/>
      <c r="D408" s="25"/>
      <c r="E408" s="25"/>
      <c r="F408" s="26"/>
      <c r="G408" s="27"/>
      <c r="H408" s="28" t="str">
        <f t="shared" si="0"/>
        <v/>
      </c>
      <c r="I408" s="29">
        <f>SUMIFS(Cash_Flow_3[Amount],Cash_Flow_3[Bulan],H408,Cash_Flow_3[Type],"In")</f>
        <v>0</v>
      </c>
      <c r="J408" s="29">
        <f>SUMIFS(Cash_Flow_3[Amount],Cash_Flow_3[Bulan],H408,Cash_Flow_3[Type],"Out")</f>
        <v>0</v>
      </c>
      <c r="K408" s="29">
        <f>SUMIFS(Cash_Flow_3[Amount],Cash_Flow_3[Bulan],H408,Cash_Flow_3[Type],"Out",Cash_Flow_3[Category],"Fix")</f>
        <v>0</v>
      </c>
      <c r="L408" s="29">
        <f>SUMIFS(Cash_Flow_3[Amount],Cash_Flow_3[Bulan],H408,Cash_Flow_3[Type],"Out",Cash_Flow_3[Category],"Bathroom")</f>
        <v>0</v>
      </c>
      <c r="M408" s="29">
        <f>SUMIFS(Cash_Flow_3[Amount],Cash_Flow_3[Bulan],H408,Cash_Flow_3[Type],"Out",Cash_Flow_3[Category],"Alfa")</f>
        <v>0</v>
      </c>
      <c r="N408" s="29">
        <f>SUMIFS(Cash_Flow_3[Amount],Cash_Flow_3[Bulan],H408,Cash_Flow_3[Type],"Out",Cash_Flow_3[Category],"Jajan")</f>
        <v>0</v>
      </c>
      <c r="O408" s="29">
        <f>SUMIFS(Cash_Flow_3[Amount],Cash_Flow_3[Bulan],H408,Cash_Flow_3[Type],"Out",Cash_Flow_3[Category],"Kitchen")</f>
        <v>0</v>
      </c>
      <c r="P408" s="29">
        <f>SUMIFS(Cash_Flow_3[Amount],Cash_Flow_3[Bulan],H408,Cash_Flow_3[Type],"Out",Cash_Flow_3[Category],"Loandry")</f>
        <v>0</v>
      </c>
      <c r="Q408" s="29">
        <f>SUMIFS(Cash_Flow_3[Amount],Cash_Flow_3[Bulan],H408,Cash_Flow_3[Type],"Out",Cash_Flow_3[Category],"Mio")</f>
        <v>0</v>
      </c>
      <c r="R408" s="29">
        <f>SUMIFS(Cash_Flow_3[Amount],Cash_Flow_3[Bulan],H408,Cash_Flow_3[Type],"Out",Cash_Flow_3[Category],"Sedekah")</f>
        <v>0</v>
      </c>
      <c r="S408" s="29">
        <f>SUMIFS(Cash_Flow_3[Amount],Cash_Flow_3[Bulan],H408,Cash_Flow_3[Type],"Out",Cash_Flow_3[Category],"Zela")</f>
        <v>0</v>
      </c>
      <c r="T408" s="29">
        <f>SUMIFS(Cash_Flow_3[Amount],Cash_Flow_3[Bulan],H408,Cash_Flow_3[Type],"Out",Cash_Flow_3[Category],"Iqbal")</f>
        <v>0</v>
      </c>
    </row>
    <row r="409" spans="1:20" ht="22.5" customHeight="1" x14ac:dyDescent="0.2">
      <c r="A409" s="23"/>
      <c r="B409" s="24"/>
      <c r="C409" s="25"/>
      <c r="D409" s="25"/>
      <c r="E409" s="25"/>
      <c r="F409" s="26"/>
      <c r="G409" s="27"/>
      <c r="H409" s="28" t="str">
        <f t="shared" si="0"/>
        <v/>
      </c>
      <c r="I409" s="29">
        <f>SUMIFS(Cash_Flow_3[Amount],Cash_Flow_3[Bulan],H409,Cash_Flow_3[Type],"In")</f>
        <v>0</v>
      </c>
      <c r="J409" s="29">
        <f>SUMIFS(Cash_Flow_3[Amount],Cash_Flow_3[Bulan],H409,Cash_Flow_3[Type],"Out")</f>
        <v>0</v>
      </c>
      <c r="K409" s="29">
        <f>SUMIFS(Cash_Flow_3[Amount],Cash_Flow_3[Bulan],H409,Cash_Flow_3[Type],"Out",Cash_Flow_3[Category],"Fix")</f>
        <v>0</v>
      </c>
      <c r="L409" s="29">
        <f>SUMIFS(Cash_Flow_3[Amount],Cash_Flow_3[Bulan],H409,Cash_Flow_3[Type],"Out",Cash_Flow_3[Category],"Bathroom")</f>
        <v>0</v>
      </c>
      <c r="M409" s="29">
        <f>SUMIFS(Cash_Flow_3[Amount],Cash_Flow_3[Bulan],H409,Cash_Flow_3[Type],"Out",Cash_Flow_3[Category],"Alfa")</f>
        <v>0</v>
      </c>
      <c r="N409" s="29">
        <f>SUMIFS(Cash_Flow_3[Amount],Cash_Flow_3[Bulan],H409,Cash_Flow_3[Type],"Out",Cash_Flow_3[Category],"Jajan")</f>
        <v>0</v>
      </c>
      <c r="O409" s="29">
        <f>SUMIFS(Cash_Flow_3[Amount],Cash_Flow_3[Bulan],H409,Cash_Flow_3[Type],"Out",Cash_Flow_3[Category],"Kitchen")</f>
        <v>0</v>
      </c>
      <c r="P409" s="29">
        <f>SUMIFS(Cash_Flow_3[Amount],Cash_Flow_3[Bulan],H409,Cash_Flow_3[Type],"Out",Cash_Flow_3[Category],"Loandry")</f>
        <v>0</v>
      </c>
      <c r="Q409" s="29">
        <f>SUMIFS(Cash_Flow_3[Amount],Cash_Flow_3[Bulan],H409,Cash_Flow_3[Type],"Out",Cash_Flow_3[Category],"Mio")</f>
        <v>0</v>
      </c>
      <c r="R409" s="29">
        <f>SUMIFS(Cash_Flow_3[Amount],Cash_Flow_3[Bulan],H409,Cash_Flow_3[Type],"Out",Cash_Flow_3[Category],"Sedekah")</f>
        <v>0</v>
      </c>
      <c r="S409" s="29">
        <f>SUMIFS(Cash_Flow_3[Amount],Cash_Flow_3[Bulan],H409,Cash_Flow_3[Type],"Out",Cash_Flow_3[Category],"Zela")</f>
        <v>0</v>
      </c>
      <c r="T409" s="29">
        <f>SUMIFS(Cash_Flow_3[Amount],Cash_Flow_3[Bulan],H409,Cash_Flow_3[Type],"Out",Cash_Flow_3[Category],"Iqbal")</f>
        <v>0</v>
      </c>
    </row>
    <row r="410" spans="1:20" ht="22.5" customHeight="1" x14ac:dyDescent="0.2">
      <c r="A410" s="23"/>
      <c r="B410" s="24"/>
      <c r="C410" s="25"/>
      <c r="D410" s="25"/>
      <c r="E410" s="25"/>
      <c r="F410" s="26"/>
      <c r="G410" s="27"/>
      <c r="H410" s="28" t="str">
        <f t="shared" si="0"/>
        <v/>
      </c>
      <c r="I410" s="29">
        <f>SUMIFS(Cash_Flow_3[Amount],Cash_Flow_3[Bulan],H410,Cash_Flow_3[Type],"In")</f>
        <v>0</v>
      </c>
      <c r="J410" s="29">
        <f>SUMIFS(Cash_Flow_3[Amount],Cash_Flow_3[Bulan],H410,Cash_Flow_3[Type],"Out")</f>
        <v>0</v>
      </c>
      <c r="K410" s="29">
        <f>SUMIFS(Cash_Flow_3[Amount],Cash_Flow_3[Bulan],H410,Cash_Flow_3[Type],"Out",Cash_Flow_3[Category],"Fix")</f>
        <v>0</v>
      </c>
      <c r="L410" s="29">
        <f>SUMIFS(Cash_Flow_3[Amount],Cash_Flow_3[Bulan],H410,Cash_Flow_3[Type],"Out",Cash_Flow_3[Category],"Bathroom")</f>
        <v>0</v>
      </c>
      <c r="M410" s="29">
        <f>SUMIFS(Cash_Flow_3[Amount],Cash_Flow_3[Bulan],H410,Cash_Flow_3[Type],"Out",Cash_Flow_3[Category],"Alfa")</f>
        <v>0</v>
      </c>
      <c r="N410" s="29">
        <f>SUMIFS(Cash_Flow_3[Amount],Cash_Flow_3[Bulan],H410,Cash_Flow_3[Type],"Out",Cash_Flow_3[Category],"Jajan")</f>
        <v>0</v>
      </c>
      <c r="O410" s="29">
        <f>SUMIFS(Cash_Flow_3[Amount],Cash_Flow_3[Bulan],H410,Cash_Flow_3[Type],"Out",Cash_Flow_3[Category],"Kitchen")</f>
        <v>0</v>
      </c>
      <c r="P410" s="29">
        <f>SUMIFS(Cash_Flow_3[Amount],Cash_Flow_3[Bulan],H410,Cash_Flow_3[Type],"Out",Cash_Flow_3[Category],"Loandry")</f>
        <v>0</v>
      </c>
      <c r="Q410" s="29">
        <f>SUMIFS(Cash_Flow_3[Amount],Cash_Flow_3[Bulan],H410,Cash_Flow_3[Type],"Out",Cash_Flow_3[Category],"Mio")</f>
        <v>0</v>
      </c>
      <c r="R410" s="29">
        <f>SUMIFS(Cash_Flow_3[Amount],Cash_Flow_3[Bulan],H410,Cash_Flow_3[Type],"Out",Cash_Flow_3[Category],"Sedekah")</f>
        <v>0</v>
      </c>
      <c r="S410" s="29">
        <f>SUMIFS(Cash_Flow_3[Amount],Cash_Flow_3[Bulan],H410,Cash_Flow_3[Type],"Out",Cash_Flow_3[Category],"Zela")</f>
        <v>0</v>
      </c>
      <c r="T410" s="29">
        <f>SUMIFS(Cash_Flow_3[Amount],Cash_Flow_3[Bulan],H410,Cash_Flow_3[Type],"Out",Cash_Flow_3[Category],"Iqbal")</f>
        <v>0</v>
      </c>
    </row>
    <row r="411" spans="1:20" ht="22.5" customHeight="1" x14ac:dyDescent="0.2">
      <c r="A411" s="23"/>
      <c r="B411" s="24"/>
      <c r="C411" s="25"/>
      <c r="D411" s="25"/>
      <c r="E411" s="25"/>
      <c r="F411" s="26"/>
      <c r="G411" s="27"/>
      <c r="H411" s="28" t="str">
        <f t="shared" si="0"/>
        <v/>
      </c>
      <c r="I411" s="29">
        <f>SUMIFS(Cash_Flow_3[Amount],Cash_Flow_3[Bulan],H411,Cash_Flow_3[Type],"In")</f>
        <v>0</v>
      </c>
      <c r="J411" s="29">
        <f>SUMIFS(Cash_Flow_3[Amount],Cash_Flow_3[Bulan],H411,Cash_Flow_3[Type],"Out")</f>
        <v>0</v>
      </c>
      <c r="K411" s="29">
        <f>SUMIFS(Cash_Flow_3[Amount],Cash_Flow_3[Bulan],H411,Cash_Flow_3[Type],"Out",Cash_Flow_3[Category],"Fix")</f>
        <v>0</v>
      </c>
      <c r="L411" s="29">
        <f>SUMIFS(Cash_Flow_3[Amount],Cash_Flow_3[Bulan],H411,Cash_Flow_3[Type],"Out",Cash_Flow_3[Category],"Bathroom")</f>
        <v>0</v>
      </c>
      <c r="M411" s="29">
        <f>SUMIFS(Cash_Flow_3[Amount],Cash_Flow_3[Bulan],H411,Cash_Flow_3[Type],"Out",Cash_Flow_3[Category],"Alfa")</f>
        <v>0</v>
      </c>
      <c r="N411" s="29">
        <f>SUMIFS(Cash_Flow_3[Amount],Cash_Flow_3[Bulan],H411,Cash_Flow_3[Type],"Out",Cash_Flow_3[Category],"Jajan")</f>
        <v>0</v>
      </c>
      <c r="O411" s="29">
        <f>SUMIFS(Cash_Flow_3[Amount],Cash_Flow_3[Bulan],H411,Cash_Flow_3[Type],"Out",Cash_Flow_3[Category],"Kitchen")</f>
        <v>0</v>
      </c>
      <c r="P411" s="29">
        <f>SUMIFS(Cash_Flow_3[Amount],Cash_Flow_3[Bulan],H411,Cash_Flow_3[Type],"Out",Cash_Flow_3[Category],"Loandry")</f>
        <v>0</v>
      </c>
      <c r="Q411" s="29">
        <f>SUMIFS(Cash_Flow_3[Amount],Cash_Flow_3[Bulan],H411,Cash_Flow_3[Type],"Out",Cash_Flow_3[Category],"Mio")</f>
        <v>0</v>
      </c>
      <c r="R411" s="29">
        <f>SUMIFS(Cash_Flow_3[Amount],Cash_Flow_3[Bulan],H411,Cash_Flow_3[Type],"Out",Cash_Flow_3[Category],"Sedekah")</f>
        <v>0</v>
      </c>
      <c r="S411" s="29">
        <f>SUMIFS(Cash_Flow_3[Amount],Cash_Flow_3[Bulan],H411,Cash_Flow_3[Type],"Out",Cash_Flow_3[Category],"Zela")</f>
        <v>0</v>
      </c>
      <c r="T411" s="29">
        <f>SUMIFS(Cash_Flow_3[Amount],Cash_Flow_3[Bulan],H411,Cash_Flow_3[Type],"Out",Cash_Flow_3[Category],"Iqbal")</f>
        <v>0</v>
      </c>
    </row>
    <row r="412" spans="1:20" ht="22.5" customHeight="1" x14ac:dyDescent="0.2">
      <c r="A412" s="23"/>
      <c r="B412" s="24"/>
      <c r="C412" s="25"/>
      <c r="D412" s="25"/>
      <c r="E412" s="25"/>
      <c r="F412" s="26"/>
      <c r="G412" s="27"/>
      <c r="H412" s="28" t="str">
        <f t="shared" si="0"/>
        <v/>
      </c>
      <c r="I412" s="29">
        <f>SUMIFS(Cash_Flow_3[Amount],Cash_Flow_3[Bulan],H412,Cash_Flow_3[Type],"In")</f>
        <v>0</v>
      </c>
      <c r="J412" s="29">
        <f>SUMIFS(Cash_Flow_3[Amount],Cash_Flow_3[Bulan],H412,Cash_Flow_3[Type],"Out")</f>
        <v>0</v>
      </c>
      <c r="K412" s="29">
        <f>SUMIFS(Cash_Flow_3[Amount],Cash_Flow_3[Bulan],H412,Cash_Flow_3[Type],"Out",Cash_Flow_3[Category],"Fix")</f>
        <v>0</v>
      </c>
      <c r="L412" s="29">
        <f>SUMIFS(Cash_Flow_3[Amount],Cash_Flow_3[Bulan],H412,Cash_Flow_3[Type],"Out",Cash_Flow_3[Category],"Bathroom")</f>
        <v>0</v>
      </c>
      <c r="M412" s="29">
        <f>SUMIFS(Cash_Flow_3[Amount],Cash_Flow_3[Bulan],H412,Cash_Flow_3[Type],"Out",Cash_Flow_3[Category],"Alfa")</f>
        <v>0</v>
      </c>
      <c r="N412" s="29">
        <f>SUMIFS(Cash_Flow_3[Amount],Cash_Flow_3[Bulan],H412,Cash_Flow_3[Type],"Out",Cash_Flow_3[Category],"Jajan")</f>
        <v>0</v>
      </c>
      <c r="O412" s="29">
        <f>SUMIFS(Cash_Flow_3[Amount],Cash_Flow_3[Bulan],H412,Cash_Flow_3[Type],"Out",Cash_Flow_3[Category],"Kitchen")</f>
        <v>0</v>
      </c>
      <c r="P412" s="29">
        <f>SUMIFS(Cash_Flow_3[Amount],Cash_Flow_3[Bulan],H412,Cash_Flow_3[Type],"Out",Cash_Flow_3[Category],"Loandry")</f>
        <v>0</v>
      </c>
      <c r="Q412" s="29">
        <f>SUMIFS(Cash_Flow_3[Amount],Cash_Flow_3[Bulan],H412,Cash_Flow_3[Type],"Out",Cash_Flow_3[Category],"Mio")</f>
        <v>0</v>
      </c>
      <c r="R412" s="29">
        <f>SUMIFS(Cash_Flow_3[Amount],Cash_Flow_3[Bulan],H412,Cash_Flow_3[Type],"Out",Cash_Flow_3[Category],"Sedekah")</f>
        <v>0</v>
      </c>
      <c r="S412" s="29">
        <f>SUMIFS(Cash_Flow_3[Amount],Cash_Flow_3[Bulan],H412,Cash_Flow_3[Type],"Out",Cash_Flow_3[Category],"Zela")</f>
        <v>0</v>
      </c>
      <c r="T412" s="29">
        <f>SUMIFS(Cash_Flow_3[Amount],Cash_Flow_3[Bulan],H412,Cash_Flow_3[Type],"Out",Cash_Flow_3[Category],"Iqbal")</f>
        <v>0</v>
      </c>
    </row>
    <row r="413" spans="1:20" ht="22.5" customHeight="1" x14ac:dyDescent="0.2">
      <c r="A413" s="23"/>
      <c r="B413" s="24"/>
      <c r="C413" s="25"/>
      <c r="D413" s="25"/>
      <c r="E413" s="25"/>
      <c r="F413" s="26"/>
      <c r="G413" s="27"/>
      <c r="H413" s="28" t="str">
        <f t="shared" si="0"/>
        <v/>
      </c>
      <c r="I413" s="29">
        <f>SUMIFS(Cash_Flow_3[Amount],Cash_Flow_3[Bulan],H413,Cash_Flow_3[Type],"In")</f>
        <v>0</v>
      </c>
      <c r="J413" s="29">
        <f>SUMIFS(Cash_Flow_3[Amount],Cash_Flow_3[Bulan],H413,Cash_Flow_3[Type],"Out")</f>
        <v>0</v>
      </c>
      <c r="K413" s="29">
        <f>SUMIFS(Cash_Flow_3[Amount],Cash_Flow_3[Bulan],H413,Cash_Flow_3[Type],"Out",Cash_Flow_3[Category],"Fix")</f>
        <v>0</v>
      </c>
      <c r="L413" s="29">
        <f>SUMIFS(Cash_Flow_3[Amount],Cash_Flow_3[Bulan],H413,Cash_Flow_3[Type],"Out",Cash_Flow_3[Category],"Bathroom")</f>
        <v>0</v>
      </c>
      <c r="M413" s="29">
        <f>SUMIFS(Cash_Flow_3[Amount],Cash_Flow_3[Bulan],H413,Cash_Flow_3[Type],"Out",Cash_Flow_3[Category],"Alfa")</f>
        <v>0</v>
      </c>
      <c r="N413" s="29">
        <f>SUMIFS(Cash_Flow_3[Amount],Cash_Flow_3[Bulan],H413,Cash_Flow_3[Type],"Out",Cash_Flow_3[Category],"Jajan")</f>
        <v>0</v>
      </c>
      <c r="O413" s="29">
        <f>SUMIFS(Cash_Flow_3[Amount],Cash_Flow_3[Bulan],H413,Cash_Flow_3[Type],"Out",Cash_Flow_3[Category],"Kitchen")</f>
        <v>0</v>
      </c>
      <c r="P413" s="29">
        <f>SUMIFS(Cash_Flow_3[Amount],Cash_Flow_3[Bulan],H413,Cash_Flow_3[Type],"Out",Cash_Flow_3[Category],"Loandry")</f>
        <v>0</v>
      </c>
      <c r="Q413" s="29">
        <f>SUMIFS(Cash_Flow_3[Amount],Cash_Flow_3[Bulan],H413,Cash_Flow_3[Type],"Out",Cash_Flow_3[Category],"Mio")</f>
        <v>0</v>
      </c>
      <c r="R413" s="29">
        <f>SUMIFS(Cash_Flow_3[Amount],Cash_Flow_3[Bulan],H413,Cash_Flow_3[Type],"Out",Cash_Flow_3[Category],"Sedekah")</f>
        <v>0</v>
      </c>
      <c r="S413" s="29">
        <f>SUMIFS(Cash_Flow_3[Amount],Cash_Flow_3[Bulan],H413,Cash_Flow_3[Type],"Out",Cash_Flow_3[Category],"Zela")</f>
        <v>0</v>
      </c>
      <c r="T413" s="29">
        <f>SUMIFS(Cash_Flow_3[Amount],Cash_Flow_3[Bulan],H413,Cash_Flow_3[Type],"Out",Cash_Flow_3[Category],"Iqbal")</f>
        <v>0</v>
      </c>
    </row>
    <row r="414" spans="1:20" ht="22.5" customHeight="1" x14ac:dyDescent="0.2">
      <c r="A414" s="23"/>
      <c r="B414" s="24"/>
      <c r="C414" s="25"/>
      <c r="D414" s="25"/>
      <c r="E414" s="25"/>
      <c r="F414" s="26"/>
      <c r="G414" s="27"/>
      <c r="H414" s="28" t="str">
        <f t="shared" si="0"/>
        <v/>
      </c>
      <c r="I414" s="29">
        <f>SUMIFS(Cash_Flow_3[Amount],Cash_Flow_3[Bulan],H414,Cash_Flow_3[Type],"In")</f>
        <v>0</v>
      </c>
      <c r="J414" s="29">
        <f>SUMIFS(Cash_Flow_3[Amount],Cash_Flow_3[Bulan],H414,Cash_Flow_3[Type],"Out")</f>
        <v>0</v>
      </c>
      <c r="K414" s="29">
        <f>SUMIFS(Cash_Flow_3[Amount],Cash_Flow_3[Bulan],H414,Cash_Flow_3[Type],"Out",Cash_Flow_3[Category],"Fix")</f>
        <v>0</v>
      </c>
      <c r="L414" s="29">
        <f>SUMIFS(Cash_Flow_3[Amount],Cash_Flow_3[Bulan],H414,Cash_Flow_3[Type],"Out",Cash_Flow_3[Category],"Bathroom")</f>
        <v>0</v>
      </c>
      <c r="M414" s="29">
        <f>SUMIFS(Cash_Flow_3[Amount],Cash_Flow_3[Bulan],H414,Cash_Flow_3[Type],"Out",Cash_Flow_3[Category],"Alfa")</f>
        <v>0</v>
      </c>
      <c r="N414" s="29">
        <f>SUMIFS(Cash_Flow_3[Amount],Cash_Flow_3[Bulan],H414,Cash_Flow_3[Type],"Out",Cash_Flow_3[Category],"Jajan")</f>
        <v>0</v>
      </c>
      <c r="O414" s="29">
        <f>SUMIFS(Cash_Flow_3[Amount],Cash_Flow_3[Bulan],H414,Cash_Flow_3[Type],"Out",Cash_Flow_3[Category],"Kitchen")</f>
        <v>0</v>
      </c>
      <c r="P414" s="29">
        <f>SUMIFS(Cash_Flow_3[Amount],Cash_Flow_3[Bulan],H414,Cash_Flow_3[Type],"Out",Cash_Flow_3[Category],"Loandry")</f>
        <v>0</v>
      </c>
      <c r="Q414" s="29">
        <f>SUMIFS(Cash_Flow_3[Amount],Cash_Flow_3[Bulan],H414,Cash_Flow_3[Type],"Out",Cash_Flow_3[Category],"Mio")</f>
        <v>0</v>
      </c>
      <c r="R414" s="29">
        <f>SUMIFS(Cash_Flow_3[Amount],Cash_Flow_3[Bulan],H414,Cash_Flow_3[Type],"Out",Cash_Flow_3[Category],"Sedekah")</f>
        <v>0</v>
      </c>
      <c r="S414" s="29">
        <f>SUMIFS(Cash_Flow_3[Amount],Cash_Flow_3[Bulan],H414,Cash_Flow_3[Type],"Out",Cash_Flow_3[Category],"Zela")</f>
        <v>0</v>
      </c>
      <c r="T414" s="29">
        <f>SUMIFS(Cash_Flow_3[Amount],Cash_Flow_3[Bulan],H414,Cash_Flow_3[Type],"Out",Cash_Flow_3[Category],"Iqbal")</f>
        <v>0</v>
      </c>
    </row>
    <row r="415" spans="1:20" ht="22.5" customHeight="1" x14ac:dyDescent="0.2">
      <c r="A415" s="23"/>
      <c r="B415" s="24"/>
      <c r="C415" s="25"/>
      <c r="D415" s="25"/>
      <c r="E415" s="25"/>
      <c r="F415" s="26"/>
      <c r="G415" s="27"/>
      <c r="H415" s="28" t="str">
        <f t="shared" si="0"/>
        <v/>
      </c>
      <c r="I415" s="29">
        <f>SUMIFS(Cash_Flow_3[Amount],Cash_Flow_3[Bulan],H415,Cash_Flow_3[Type],"In")</f>
        <v>0</v>
      </c>
      <c r="J415" s="29">
        <f>SUMIFS(Cash_Flow_3[Amount],Cash_Flow_3[Bulan],H415,Cash_Flow_3[Type],"Out")</f>
        <v>0</v>
      </c>
      <c r="K415" s="29">
        <f>SUMIFS(Cash_Flow_3[Amount],Cash_Flow_3[Bulan],H415,Cash_Flow_3[Type],"Out",Cash_Flow_3[Category],"Fix")</f>
        <v>0</v>
      </c>
      <c r="L415" s="29">
        <f>SUMIFS(Cash_Flow_3[Amount],Cash_Flow_3[Bulan],H415,Cash_Flow_3[Type],"Out",Cash_Flow_3[Category],"Bathroom")</f>
        <v>0</v>
      </c>
      <c r="M415" s="29">
        <f>SUMIFS(Cash_Flow_3[Amount],Cash_Flow_3[Bulan],H415,Cash_Flow_3[Type],"Out",Cash_Flow_3[Category],"Alfa")</f>
        <v>0</v>
      </c>
      <c r="N415" s="29">
        <f>SUMIFS(Cash_Flow_3[Amount],Cash_Flow_3[Bulan],H415,Cash_Flow_3[Type],"Out",Cash_Flow_3[Category],"Jajan")</f>
        <v>0</v>
      </c>
      <c r="O415" s="29">
        <f>SUMIFS(Cash_Flow_3[Amount],Cash_Flow_3[Bulan],H415,Cash_Flow_3[Type],"Out",Cash_Flow_3[Category],"Kitchen")</f>
        <v>0</v>
      </c>
      <c r="P415" s="29">
        <f>SUMIFS(Cash_Flow_3[Amount],Cash_Flow_3[Bulan],H415,Cash_Flow_3[Type],"Out",Cash_Flow_3[Category],"Loandry")</f>
        <v>0</v>
      </c>
      <c r="Q415" s="29">
        <f>SUMIFS(Cash_Flow_3[Amount],Cash_Flow_3[Bulan],H415,Cash_Flow_3[Type],"Out",Cash_Flow_3[Category],"Mio")</f>
        <v>0</v>
      </c>
      <c r="R415" s="29">
        <f>SUMIFS(Cash_Flow_3[Amount],Cash_Flow_3[Bulan],H415,Cash_Flow_3[Type],"Out",Cash_Flow_3[Category],"Sedekah")</f>
        <v>0</v>
      </c>
      <c r="S415" s="29">
        <f>SUMIFS(Cash_Flow_3[Amount],Cash_Flow_3[Bulan],H415,Cash_Flow_3[Type],"Out",Cash_Flow_3[Category],"Zela")</f>
        <v>0</v>
      </c>
      <c r="T415" s="29">
        <f>SUMIFS(Cash_Flow_3[Amount],Cash_Flow_3[Bulan],H415,Cash_Flow_3[Type],"Out",Cash_Flow_3[Category],"Iqbal")</f>
        <v>0</v>
      </c>
    </row>
    <row r="416" spans="1:20" ht="22.5" customHeight="1" x14ac:dyDescent="0.2">
      <c r="A416" s="23"/>
      <c r="B416" s="24"/>
      <c r="C416" s="25"/>
      <c r="D416" s="25"/>
      <c r="E416" s="25"/>
      <c r="F416" s="26"/>
      <c r="G416" s="27"/>
      <c r="H416" s="28" t="str">
        <f t="shared" si="0"/>
        <v/>
      </c>
      <c r="I416" s="29">
        <f>SUMIFS(Cash_Flow_3[Amount],Cash_Flow_3[Bulan],H416,Cash_Flow_3[Type],"In")</f>
        <v>0</v>
      </c>
      <c r="J416" s="29">
        <f>SUMIFS(Cash_Flow_3[Amount],Cash_Flow_3[Bulan],H416,Cash_Flow_3[Type],"Out")</f>
        <v>0</v>
      </c>
      <c r="K416" s="29">
        <f>SUMIFS(Cash_Flow_3[Amount],Cash_Flow_3[Bulan],H416,Cash_Flow_3[Type],"Out",Cash_Flow_3[Category],"Fix")</f>
        <v>0</v>
      </c>
      <c r="L416" s="29">
        <f>SUMIFS(Cash_Flow_3[Amount],Cash_Flow_3[Bulan],H416,Cash_Flow_3[Type],"Out",Cash_Flow_3[Category],"Bathroom")</f>
        <v>0</v>
      </c>
      <c r="M416" s="29">
        <f>SUMIFS(Cash_Flow_3[Amount],Cash_Flow_3[Bulan],H416,Cash_Flow_3[Type],"Out",Cash_Flow_3[Category],"Alfa")</f>
        <v>0</v>
      </c>
      <c r="N416" s="29">
        <f>SUMIFS(Cash_Flow_3[Amount],Cash_Flow_3[Bulan],H416,Cash_Flow_3[Type],"Out",Cash_Flow_3[Category],"Jajan")</f>
        <v>0</v>
      </c>
      <c r="O416" s="29">
        <f>SUMIFS(Cash_Flow_3[Amount],Cash_Flow_3[Bulan],H416,Cash_Flow_3[Type],"Out",Cash_Flow_3[Category],"Kitchen")</f>
        <v>0</v>
      </c>
      <c r="P416" s="29">
        <f>SUMIFS(Cash_Flow_3[Amount],Cash_Flow_3[Bulan],H416,Cash_Flow_3[Type],"Out",Cash_Flow_3[Category],"Loandry")</f>
        <v>0</v>
      </c>
      <c r="Q416" s="29">
        <f>SUMIFS(Cash_Flow_3[Amount],Cash_Flow_3[Bulan],H416,Cash_Flow_3[Type],"Out",Cash_Flow_3[Category],"Mio")</f>
        <v>0</v>
      </c>
      <c r="R416" s="29">
        <f>SUMIFS(Cash_Flow_3[Amount],Cash_Flow_3[Bulan],H416,Cash_Flow_3[Type],"Out",Cash_Flow_3[Category],"Sedekah")</f>
        <v>0</v>
      </c>
      <c r="S416" s="29">
        <f>SUMIFS(Cash_Flow_3[Amount],Cash_Flow_3[Bulan],H416,Cash_Flow_3[Type],"Out",Cash_Flow_3[Category],"Zela")</f>
        <v>0</v>
      </c>
      <c r="T416" s="29">
        <f>SUMIFS(Cash_Flow_3[Amount],Cash_Flow_3[Bulan],H416,Cash_Flow_3[Type],"Out",Cash_Flow_3[Category],"Iqbal")</f>
        <v>0</v>
      </c>
    </row>
    <row r="417" spans="1:20" ht="22.5" customHeight="1" x14ac:dyDescent="0.2">
      <c r="A417" s="23"/>
      <c r="B417" s="24"/>
      <c r="C417" s="25"/>
      <c r="D417" s="25"/>
      <c r="E417" s="25"/>
      <c r="F417" s="26"/>
      <c r="G417" s="27"/>
      <c r="H417" s="28" t="str">
        <f t="shared" si="0"/>
        <v/>
      </c>
      <c r="I417" s="29">
        <f>SUMIFS(Cash_Flow_3[Amount],Cash_Flow_3[Bulan],H417,Cash_Flow_3[Type],"In")</f>
        <v>0</v>
      </c>
      <c r="J417" s="29">
        <f>SUMIFS(Cash_Flow_3[Amount],Cash_Flow_3[Bulan],H417,Cash_Flow_3[Type],"Out")</f>
        <v>0</v>
      </c>
      <c r="K417" s="29">
        <f>SUMIFS(Cash_Flow_3[Amount],Cash_Flow_3[Bulan],H417,Cash_Flow_3[Type],"Out",Cash_Flow_3[Category],"Fix")</f>
        <v>0</v>
      </c>
      <c r="L417" s="29">
        <f>SUMIFS(Cash_Flow_3[Amount],Cash_Flow_3[Bulan],H417,Cash_Flow_3[Type],"Out",Cash_Flow_3[Category],"Bathroom")</f>
        <v>0</v>
      </c>
      <c r="M417" s="29">
        <f>SUMIFS(Cash_Flow_3[Amount],Cash_Flow_3[Bulan],H417,Cash_Flow_3[Type],"Out",Cash_Flow_3[Category],"Alfa")</f>
        <v>0</v>
      </c>
      <c r="N417" s="29">
        <f>SUMIFS(Cash_Flow_3[Amount],Cash_Flow_3[Bulan],H417,Cash_Flow_3[Type],"Out",Cash_Flow_3[Category],"Jajan")</f>
        <v>0</v>
      </c>
      <c r="O417" s="29">
        <f>SUMIFS(Cash_Flow_3[Amount],Cash_Flow_3[Bulan],H417,Cash_Flow_3[Type],"Out",Cash_Flow_3[Category],"Kitchen")</f>
        <v>0</v>
      </c>
      <c r="P417" s="29">
        <f>SUMIFS(Cash_Flow_3[Amount],Cash_Flow_3[Bulan],H417,Cash_Flow_3[Type],"Out",Cash_Flow_3[Category],"Loandry")</f>
        <v>0</v>
      </c>
      <c r="Q417" s="29">
        <f>SUMIFS(Cash_Flow_3[Amount],Cash_Flow_3[Bulan],H417,Cash_Flow_3[Type],"Out",Cash_Flow_3[Category],"Mio")</f>
        <v>0</v>
      </c>
      <c r="R417" s="29">
        <f>SUMIFS(Cash_Flow_3[Amount],Cash_Flow_3[Bulan],H417,Cash_Flow_3[Type],"Out",Cash_Flow_3[Category],"Sedekah")</f>
        <v>0</v>
      </c>
      <c r="S417" s="29">
        <f>SUMIFS(Cash_Flow_3[Amount],Cash_Flow_3[Bulan],H417,Cash_Flow_3[Type],"Out",Cash_Flow_3[Category],"Zela")</f>
        <v>0</v>
      </c>
      <c r="T417" s="29">
        <f>SUMIFS(Cash_Flow_3[Amount],Cash_Flow_3[Bulan],H417,Cash_Flow_3[Type],"Out",Cash_Flow_3[Category],"Iqbal")</f>
        <v>0</v>
      </c>
    </row>
    <row r="418" spans="1:20" ht="22.5" customHeight="1" x14ac:dyDescent="0.2">
      <c r="A418" s="23"/>
      <c r="B418" s="24"/>
      <c r="C418" s="25"/>
      <c r="D418" s="25"/>
      <c r="E418" s="25"/>
      <c r="F418" s="26"/>
      <c r="G418" s="27"/>
      <c r="H418" s="28" t="str">
        <f t="shared" si="0"/>
        <v/>
      </c>
      <c r="I418" s="29">
        <f>SUMIFS(Cash_Flow_3[Amount],Cash_Flow_3[Bulan],H418,Cash_Flow_3[Type],"In")</f>
        <v>0</v>
      </c>
      <c r="J418" s="29">
        <f>SUMIFS(Cash_Flow_3[Amount],Cash_Flow_3[Bulan],H418,Cash_Flow_3[Type],"Out")</f>
        <v>0</v>
      </c>
      <c r="K418" s="29">
        <f>SUMIFS(Cash_Flow_3[Amount],Cash_Flow_3[Bulan],H418,Cash_Flow_3[Type],"Out",Cash_Flow_3[Category],"Fix")</f>
        <v>0</v>
      </c>
      <c r="L418" s="29">
        <f>SUMIFS(Cash_Flow_3[Amount],Cash_Flow_3[Bulan],H418,Cash_Flow_3[Type],"Out",Cash_Flow_3[Category],"Bathroom")</f>
        <v>0</v>
      </c>
      <c r="M418" s="29">
        <f>SUMIFS(Cash_Flow_3[Amount],Cash_Flow_3[Bulan],H418,Cash_Flow_3[Type],"Out",Cash_Flow_3[Category],"Alfa")</f>
        <v>0</v>
      </c>
      <c r="N418" s="29">
        <f>SUMIFS(Cash_Flow_3[Amount],Cash_Flow_3[Bulan],H418,Cash_Flow_3[Type],"Out",Cash_Flow_3[Category],"Jajan")</f>
        <v>0</v>
      </c>
      <c r="O418" s="29">
        <f>SUMIFS(Cash_Flow_3[Amount],Cash_Flow_3[Bulan],H418,Cash_Flow_3[Type],"Out",Cash_Flow_3[Category],"Kitchen")</f>
        <v>0</v>
      </c>
      <c r="P418" s="29">
        <f>SUMIFS(Cash_Flow_3[Amount],Cash_Flow_3[Bulan],H418,Cash_Flow_3[Type],"Out",Cash_Flow_3[Category],"Loandry")</f>
        <v>0</v>
      </c>
      <c r="Q418" s="29">
        <f>SUMIFS(Cash_Flow_3[Amount],Cash_Flow_3[Bulan],H418,Cash_Flow_3[Type],"Out",Cash_Flow_3[Category],"Mio")</f>
        <v>0</v>
      </c>
      <c r="R418" s="29">
        <f>SUMIFS(Cash_Flow_3[Amount],Cash_Flow_3[Bulan],H418,Cash_Flow_3[Type],"Out",Cash_Flow_3[Category],"Sedekah")</f>
        <v>0</v>
      </c>
      <c r="S418" s="29">
        <f>SUMIFS(Cash_Flow_3[Amount],Cash_Flow_3[Bulan],H418,Cash_Flow_3[Type],"Out",Cash_Flow_3[Category],"Zela")</f>
        <v>0</v>
      </c>
      <c r="T418" s="29">
        <f>SUMIFS(Cash_Flow_3[Amount],Cash_Flow_3[Bulan],H418,Cash_Flow_3[Type],"Out",Cash_Flow_3[Category],"Iqbal")</f>
        <v>0</v>
      </c>
    </row>
    <row r="419" spans="1:20" ht="22.5" customHeight="1" x14ac:dyDescent="0.2">
      <c r="A419" s="23"/>
      <c r="B419" s="24"/>
      <c r="C419" s="25"/>
      <c r="D419" s="25"/>
      <c r="E419" s="25"/>
      <c r="F419" s="26"/>
      <c r="G419" s="27"/>
      <c r="H419" s="28" t="str">
        <f t="shared" si="0"/>
        <v/>
      </c>
      <c r="I419" s="29">
        <f>SUMIFS(Cash_Flow_3[Amount],Cash_Flow_3[Bulan],H419,Cash_Flow_3[Type],"In")</f>
        <v>0</v>
      </c>
      <c r="J419" s="29">
        <f>SUMIFS(Cash_Flow_3[Amount],Cash_Flow_3[Bulan],H419,Cash_Flow_3[Type],"Out")</f>
        <v>0</v>
      </c>
      <c r="K419" s="29">
        <f>SUMIFS(Cash_Flow_3[Amount],Cash_Flow_3[Bulan],H419,Cash_Flow_3[Type],"Out",Cash_Flow_3[Category],"Fix")</f>
        <v>0</v>
      </c>
      <c r="L419" s="29">
        <f>SUMIFS(Cash_Flow_3[Amount],Cash_Flow_3[Bulan],H419,Cash_Flow_3[Type],"Out",Cash_Flow_3[Category],"Bathroom")</f>
        <v>0</v>
      </c>
      <c r="M419" s="29">
        <f>SUMIFS(Cash_Flow_3[Amount],Cash_Flow_3[Bulan],H419,Cash_Flow_3[Type],"Out",Cash_Flow_3[Category],"Alfa")</f>
        <v>0</v>
      </c>
      <c r="N419" s="29">
        <f>SUMIFS(Cash_Flow_3[Amount],Cash_Flow_3[Bulan],H419,Cash_Flow_3[Type],"Out",Cash_Flow_3[Category],"Jajan")</f>
        <v>0</v>
      </c>
      <c r="O419" s="29">
        <f>SUMIFS(Cash_Flow_3[Amount],Cash_Flow_3[Bulan],H419,Cash_Flow_3[Type],"Out",Cash_Flow_3[Category],"Kitchen")</f>
        <v>0</v>
      </c>
      <c r="P419" s="29">
        <f>SUMIFS(Cash_Flow_3[Amount],Cash_Flow_3[Bulan],H419,Cash_Flow_3[Type],"Out",Cash_Flow_3[Category],"Loandry")</f>
        <v>0</v>
      </c>
      <c r="Q419" s="29">
        <f>SUMIFS(Cash_Flow_3[Amount],Cash_Flow_3[Bulan],H419,Cash_Flow_3[Type],"Out",Cash_Flow_3[Category],"Mio")</f>
        <v>0</v>
      </c>
      <c r="R419" s="29">
        <f>SUMIFS(Cash_Flow_3[Amount],Cash_Flow_3[Bulan],H419,Cash_Flow_3[Type],"Out",Cash_Flow_3[Category],"Sedekah")</f>
        <v>0</v>
      </c>
      <c r="S419" s="29">
        <f>SUMIFS(Cash_Flow_3[Amount],Cash_Flow_3[Bulan],H419,Cash_Flow_3[Type],"Out",Cash_Flow_3[Category],"Zela")</f>
        <v>0</v>
      </c>
      <c r="T419" s="29">
        <f>SUMIFS(Cash_Flow_3[Amount],Cash_Flow_3[Bulan],H419,Cash_Flow_3[Type],"Out",Cash_Flow_3[Category],"Iqbal")</f>
        <v>0</v>
      </c>
    </row>
    <row r="420" spans="1:20" ht="22.5" customHeight="1" x14ac:dyDescent="0.2">
      <c r="A420" s="23"/>
      <c r="B420" s="24"/>
      <c r="C420" s="25"/>
      <c r="D420" s="25"/>
      <c r="E420" s="25"/>
      <c r="F420" s="26"/>
      <c r="G420" s="27"/>
      <c r="H420" s="28" t="str">
        <f t="shared" si="0"/>
        <v/>
      </c>
      <c r="I420" s="29">
        <f>SUMIFS(Cash_Flow_3[Amount],Cash_Flow_3[Bulan],H420,Cash_Flow_3[Type],"In")</f>
        <v>0</v>
      </c>
      <c r="J420" s="29">
        <f>SUMIFS(Cash_Flow_3[Amount],Cash_Flow_3[Bulan],H420,Cash_Flow_3[Type],"Out")</f>
        <v>0</v>
      </c>
      <c r="K420" s="29">
        <f>SUMIFS(Cash_Flow_3[Amount],Cash_Flow_3[Bulan],H420,Cash_Flow_3[Type],"Out",Cash_Flow_3[Category],"Fix")</f>
        <v>0</v>
      </c>
      <c r="L420" s="29">
        <f>SUMIFS(Cash_Flow_3[Amount],Cash_Flow_3[Bulan],H420,Cash_Flow_3[Type],"Out",Cash_Flow_3[Category],"Bathroom")</f>
        <v>0</v>
      </c>
      <c r="M420" s="29">
        <f>SUMIFS(Cash_Flow_3[Amount],Cash_Flow_3[Bulan],H420,Cash_Flow_3[Type],"Out",Cash_Flow_3[Category],"Alfa")</f>
        <v>0</v>
      </c>
      <c r="N420" s="29">
        <f>SUMIFS(Cash_Flow_3[Amount],Cash_Flow_3[Bulan],H420,Cash_Flow_3[Type],"Out",Cash_Flow_3[Category],"Jajan")</f>
        <v>0</v>
      </c>
      <c r="O420" s="29">
        <f>SUMIFS(Cash_Flow_3[Amount],Cash_Flow_3[Bulan],H420,Cash_Flow_3[Type],"Out",Cash_Flow_3[Category],"Kitchen")</f>
        <v>0</v>
      </c>
      <c r="P420" s="29">
        <f>SUMIFS(Cash_Flow_3[Amount],Cash_Flow_3[Bulan],H420,Cash_Flow_3[Type],"Out",Cash_Flow_3[Category],"Loandry")</f>
        <v>0</v>
      </c>
      <c r="Q420" s="29">
        <f>SUMIFS(Cash_Flow_3[Amount],Cash_Flow_3[Bulan],H420,Cash_Flow_3[Type],"Out",Cash_Flow_3[Category],"Mio")</f>
        <v>0</v>
      </c>
      <c r="R420" s="29">
        <f>SUMIFS(Cash_Flow_3[Amount],Cash_Flow_3[Bulan],H420,Cash_Flow_3[Type],"Out",Cash_Flow_3[Category],"Sedekah")</f>
        <v>0</v>
      </c>
      <c r="S420" s="29">
        <f>SUMIFS(Cash_Flow_3[Amount],Cash_Flow_3[Bulan],H420,Cash_Flow_3[Type],"Out",Cash_Flow_3[Category],"Zela")</f>
        <v>0</v>
      </c>
      <c r="T420" s="29">
        <f>SUMIFS(Cash_Flow_3[Amount],Cash_Flow_3[Bulan],H420,Cash_Flow_3[Type],"Out",Cash_Flow_3[Category],"Iqbal")</f>
        <v>0</v>
      </c>
    </row>
    <row r="421" spans="1:20" ht="22.5" customHeight="1" x14ac:dyDescent="0.2">
      <c r="A421" s="23"/>
      <c r="B421" s="24"/>
      <c r="C421" s="25"/>
      <c r="D421" s="25"/>
      <c r="E421" s="25"/>
      <c r="F421" s="26"/>
      <c r="G421" s="27"/>
      <c r="H421" s="28" t="str">
        <f t="shared" si="0"/>
        <v/>
      </c>
      <c r="I421" s="29">
        <f>SUMIFS(Cash_Flow_3[Amount],Cash_Flow_3[Bulan],H421,Cash_Flow_3[Type],"In")</f>
        <v>0</v>
      </c>
      <c r="J421" s="29">
        <f>SUMIFS(Cash_Flow_3[Amount],Cash_Flow_3[Bulan],H421,Cash_Flow_3[Type],"Out")</f>
        <v>0</v>
      </c>
      <c r="K421" s="29">
        <f>SUMIFS(Cash_Flow_3[Amount],Cash_Flow_3[Bulan],H421,Cash_Flow_3[Type],"Out",Cash_Flow_3[Category],"Fix")</f>
        <v>0</v>
      </c>
      <c r="L421" s="29">
        <f>SUMIFS(Cash_Flow_3[Amount],Cash_Flow_3[Bulan],H421,Cash_Flow_3[Type],"Out",Cash_Flow_3[Category],"Bathroom")</f>
        <v>0</v>
      </c>
      <c r="M421" s="29">
        <f>SUMIFS(Cash_Flow_3[Amount],Cash_Flow_3[Bulan],H421,Cash_Flow_3[Type],"Out",Cash_Flow_3[Category],"Alfa")</f>
        <v>0</v>
      </c>
      <c r="N421" s="29">
        <f>SUMIFS(Cash_Flow_3[Amount],Cash_Flow_3[Bulan],H421,Cash_Flow_3[Type],"Out",Cash_Flow_3[Category],"Jajan")</f>
        <v>0</v>
      </c>
      <c r="O421" s="29">
        <f>SUMIFS(Cash_Flow_3[Amount],Cash_Flow_3[Bulan],H421,Cash_Flow_3[Type],"Out",Cash_Flow_3[Category],"Kitchen")</f>
        <v>0</v>
      </c>
      <c r="P421" s="29">
        <f>SUMIFS(Cash_Flow_3[Amount],Cash_Flow_3[Bulan],H421,Cash_Flow_3[Type],"Out",Cash_Flow_3[Category],"Loandry")</f>
        <v>0</v>
      </c>
      <c r="Q421" s="29">
        <f>SUMIFS(Cash_Flow_3[Amount],Cash_Flow_3[Bulan],H421,Cash_Flow_3[Type],"Out",Cash_Flow_3[Category],"Mio")</f>
        <v>0</v>
      </c>
      <c r="R421" s="29">
        <f>SUMIFS(Cash_Flow_3[Amount],Cash_Flow_3[Bulan],H421,Cash_Flow_3[Type],"Out",Cash_Flow_3[Category],"Sedekah")</f>
        <v>0</v>
      </c>
      <c r="S421" s="29">
        <f>SUMIFS(Cash_Flow_3[Amount],Cash_Flow_3[Bulan],H421,Cash_Flow_3[Type],"Out",Cash_Flow_3[Category],"Zela")</f>
        <v>0</v>
      </c>
      <c r="T421" s="29">
        <f>SUMIFS(Cash_Flow_3[Amount],Cash_Flow_3[Bulan],H421,Cash_Flow_3[Type],"Out",Cash_Flow_3[Category],"Iqbal")</f>
        <v>0</v>
      </c>
    </row>
    <row r="422" spans="1:20" ht="22.5" customHeight="1" x14ac:dyDescent="0.2">
      <c r="A422" s="23"/>
      <c r="B422" s="24"/>
      <c r="C422" s="25"/>
      <c r="D422" s="25"/>
      <c r="E422" s="25"/>
      <c r="F422" s="26"/>
      <c r="G422" s="27"/>
      <c r="H422" s="28" t="str">
        <f t="shared" si="0"/>
        <v/>
      </c>
      <c r="I422" s="29">
        <f>SUMIFS(Cash_Flow_3[Amount],Cash_Flow_3[Bulan],H422,Cash_Flow_3[Type],"In")</f>
        <v>0</v>
      </c>
      <c r="J422" s="29">
        <f>SUMIFS(Cash_Flow_3[Amount],Cash_Flow_3[Bulan],H422,Cash_Flow_3[Type],"Out")</f>
        <v>0</v>
      </c>
      <c r="K422" s="29">
        <f>SUMIFS(Cash_Flow_3[Amount],Cash_Flow_3[Bulan],H422,Cash_Flow_3[Type],"Out",Cash_Flow_3[Category],"Fix")</f>
        <v>0</v>
      </c>
      <c r="L422" s="29">
        <f>SUMIFS(Cash_Flow_3[Amount],Cash_Flow_3[Bulan],H422,Cash_Flow_3[Type],"Out",Cash_Flow_3[Category],"Bathroom")</f>
        <v>0</v>
      </c>
      <c r="M422" s="29">
        <f>SUMIFS(Cash_Flow_3[Amount],Cash_Flow_3[Bulan],H422,Cash_Flow_3[Type],"Out",Cash_Flow_3[Category],"Alfa")</f>
        <v>0</v>
      </c>
      <c r="N422" s="29">
        <f>SUMIFS(Cash_Flow_3[Amount],Cash_Flow_3[Bulan],H422,Cash_Flow_3[Type],"Out",Cash_Flow_3[Category],"Jajan")</f>
        <v>0</v>
      </c>
      <c r="O422" s="29">
        <f>SUMIFS(Cash_Flow_3[Amount],Cash_Flow_3[Bulan],H422,Cash_Flow_3[Type],"Out",Cash_Flow_3[Category],"Kitchen")</f>
        <v>0</v>
      </c>
      <c r="P422" s="29">
        <f>SUMIFS(Cash_Flow_3[Amount],Cash_Flow_3[Bulan],H422,Cash_Flow_3[Type],"Out",Cash_Flow_3[Category],"Loandry")</f>
        <v>0</v>
      </c>
      <c r="Q422" s="29">
        <f>SUMIFS(Cash_Flow_3[Amount],Cash_Flow_3[Bulan],H422,Cash_Flow_3[Type],"Out",Cash_Flow_3[Category],"Mio")</f>
        <v>0</v>
      </c>
      <c r="R422" s="29">
        <f>SUMIFS(Cash_Flow_3[Amount],Cash_Flow_3[Bulan],H422,Cash_Flow_3[Type],"Out",Cash_Flow_3[Category],"Sedekah")</f>
        <v>0</v>
      </c>
      <c r="S422" s="29">
        <f>SUMIFS(Cash_Flow_3[Amount],Cash_Flow_3[Bulan],H422,Cash_Flow_3[Type],"Out",Cash_Flow_3[Category],"Zela")</f>
        <v>0</v>
      </c>
      <c r="T422" s="29">
        <f>SUMIFS(Cash_Flow_3[Amount],Cash_Flow_3[Bulan],H422,Cash_Flow_3[Type],"Out",Cash_Flow_3[Category],"Iqbal")</f>
        <v>0</v>
      </c>
    </row>
    <row r="423" spans="1:20" ht="22.5" customHeight="1" x14ac:dyDescent="0.2">
      <c r="A423" s="23"/>
      <c r="B423" s="24"/>
      <c r="C423" s="25"/>
      <c r="D423" s="25"/>
      <c r="E423" s="25"/>
      <c r="F423" s="26"/>
      <c r="G423" s="27"/>
      <c r="H423" s="28" t="str">
        <f t="shared" si="0"/>
        <v/>
      </c>
      <c r="I423" s="29">
        <f>SUMIFS(Cash_Flow_3[Amount],Cash_Flow_3[Bulan],H423,Cash_Flow_3[Type],"In")</f>
        <v>0</v>
      </c>
      <c r="J423" s="29">
        <f>SUMIFS(Cash_Flow_3[Amount],Cash_Flow_3[Bulan],H423,Cash_Flow_3[Type],"Out")</f>
        <v>0</v>
      </c>
      <c r="K423" s="29">
        <f>SUMIFS(Cash_Flow_3[Amount],Cash_Flow_3[Bulan],H423,Cash_Flow_3[Type],"Out",Cash_Flow_3[Category],"Fix")</f>
        <v>0</v>
      </c>
      <c r="L423" s="29">
        <f>SUMIFS(Cash_Flow_3[Amount],Cash_Flow_3[Bulan],H423,Cash_Flow_3[Type],"Out",Cash_Flow_3[Category],"Bathroom")</f>
        <v>0</v>
      </c>
      <c r="M423" s="29">
        <f>SUMIFS(Cash_Flow_3[Amount],Cash_Flow_3[Bulan],H423,Cash_Flow_3[Type],"Out",Cash_Flow_3[Category],"Alfa")</f>
        <v>0</v>
      </c>
      <c r="N423" s="29">
        <f>SUMIFS(Cash_Flow_3[Amount],Cash_Flow_3[Bulan],H423,Cash_Flow_3[Type],"Out",Cash_Flow_3[Category],"Jajan")</f>
        <v>0</v>
      </c>
      <c r="O423" s="29">
        <f>SUMIFS(Cash_Flow_3[Amount],Cash_Flow_3[Bulan],H423,Cash_Flow_3[Type],"Out",Cash_Flow_3[Category],"Kitchen")</f>
        <v>0</v>
      </c>
      <c r="P423" s="29">
        <f>SUMIFS(Cash_Flow_3[Amount],Cash_Flow_3[Bulan],H423,Cash_Flow_3[Type],"Out",Cash_Flow_3[Category],"Loandry")</f>
        <v>0</v>
      </c>
      <c r="Q423" s="29">
        <f>SUMIFS(Cash_Flow_3[Amount],Cash_Flow_3[Bulan],H423,Cash_Flow_3[Type],"Out",Cash_Flow_3[Category],"Mio")</f>
        <v>0</v>
      </c>
      <c r="R423" s="29">
        <f>SUMIFS(Cash_Flow_3[Amount],Cash_Flow_3[Bulan],H423,Cash_Flow_3[Type],"Out",Cash_Flow_3[Category],"Sedekah")</f>
        <v>0</v>
      </c>
      <c r="S423" s="29">
        <f>SUMIFS(Cash_Flow_3[Amount],Cash_Flow_3[Bulan],H423,Cash_Flow_3[Type],"Out",Cash_Flow_3[Category],"Zela")</f>
        <v>0</v>
      </c>
      <c r="T423" s="29">
        <f>SUMIFS(Cash_Flow_3[Amount],Cash_Flow_3[Bulan],H423,Cash_Flow_3[Type],"Out",Cash_Flow_3[Category],"Iqbal")</f>
        <v>0</v>
      </c>
    </row>
    <row r="424" spans="1:20" ht="22.5" customHeight="1" x14ac:dyDescent="0.2">
      <c r="A424" s="23"/>
      <c r="B424" s="24"/>
      <c r="C424" s="25"/>
      <c r="D424" s="25"/>
      <c r="E424" s="25"/>
      <c r="F424" s="26"/>
      <c r="G424" s="27"/>
      <c r="H424" s="28" t="str">
        <f t="shared" si="0"/>
        <v/>
      </c>
      <c r="I424" s="29">
        <f>SUMIFS(Cash_Flow_3[Amount],Cash_Flow_3[Bulan],H424,Cash_Flow_3[Type],"In")</f>
        <v>0</v>
      </c>
      <c r="J424" s="29">
        <f>SUMIFS(Cash_Flow_3[Amount],Cash_Flow_3[Bulan],H424,Cash_Flow_3[Type],"Out")</f>
        <v>0</v>
      </c>
      <c r="K424" s="29">
        <f>SUMIFS(Cash_Flow_3[Amount],Cash_Flow_3[Bulan],H424,Cash_Flow_3[Type],"Out",Cash_Flow_3[Category],"Fix")</f>
        <v>0</v>
      </c>
      <c r="L424" s="29">
        <f>SUMIFS(Cash_Flow_3[Amount],Cash_Flow_3[Bulan],H424,Cash_Flow_3[Type],"Out",Cash_Flow_3[Category],"Bathroom")</f>
        <v>0</v>
      </c>
      <c r="M424" s="29">
        <f>SUMIFS(Cash_Flow_3[Amount],Cash_Flow_3[Bulan],H424,Cash_Flow_3[Type],"Out",Cash_Flow_3[Category],"Alfa")</f>
        <v>0</v>
      </c>
      <c r="N424" s="29">
        <f>SUMIFS(Cash_Flow_3[Amount],Cash_Flow_3[Bulan],H424,Cash_Flow_3[Type],"Out",Cash_Flow_3[Category],"Jajan")</f>
        <v>0</v>
      </c>
      <c r="O424" s="29">
        <f>SUMIFS(Cash_Flow_3[Amount],Cash_Flow_3[Bulan],H424,Cash_Flow_3[Type],"Out",Cash_Flow_3[Category],"Kitchen")</f>
        <v>0</v>
      </c>
      <c r="P424" s="29">
        <f>SUMIFS(Cash_Flow_3[Amount],Cash_Flow_3[Bulan],H424,Cash_Flow_3[Type],"Out",Cash_Flow_3[Category],"Loandry")</f>
        <v>0</v>
      </c>
      <c r="Q424" s="29">
        <f>SUMIFS(Cash_Flow_3[Amount],Cash_Flow_3[Bulan],H424,Cash_Flow_3[Type],"Out",Cash_Flow_3[Category],"Mio")</f>
        <v>0</v>
      </c>
      <c r="R424" s="29">
        <f>SUMIFS(Cash_Flow_3[Amount],Cash_Flow_3[Bulan],H424,Cash_Flow_3[Type],"Out",Cash_Flow_3[Category],"Sedekah")</f>
        <v>0</v>
      </c>
      <c r="S424" s="29">
        <f>SUMIFS(Cash_Flow_3[Amount],Cash_Flow_3[Bulan],H424,Cash_Flow_3[Type],"Out",Cash_Flow_3[Category],"Zela")</f>
        <v>0</v>
      </c>
      <c r="T424" s="29">
        <f>SUMIFS(Cash_Flow_3[Amount],Cash_Flow_3[Bulan],H424,Cash_Flow_3[Type],"Out",Cash_Flow_3[Category],"Iqbal")</f>
        <v>0</v>
      </c>
    </row>
    <row r="425" spans="1:20" ht="22.5" customHeight="1" x14ac:dyDescent="0.2">
      <c r="A425" s="23"/>
      <c r="B425" s="24"/>
      <c r="C425" s="25"/>
      <c r="D425" s="25"/>
      <c r="E425" s="25"/>
      <c r="F425" s="26"/>
      <c r="G425" s="27"/>
      <c r="H425" s="28" t="str">
        <f t="shared" si="0"/>
        <v/>
      </c>
      <c r="I425" s="29">
        <f>SUMIFS(Cash_Flow_3[Amount],Cash_Flow_3[Bulan],H425,Cash_Flow_3[Type],"In")</f>
        <v>0</v>
      </c>
      <c r="J425" s="29">
        <f>SUMIFS(Cash_Flow_3[Amount],Cash_Flow_3[Bulan],H425,Cash_Flow_3[Type],"Out")</f>
        <v>0</v>
      </c>
      <c r="K425" s="29">
        <f>SUMIFS(Cash_Flow_3[Amount],Cash_Flow_3[Bulan],H425,Cash_Flow_3[Type],"Out",Cash_Flow_3[Category],"Fix")</f>
        <v>0</v>
      </c>
      <c r="L425" s="29">
        <f>SUMIFS(Cash_Flow_3[Amount],Cash_Flow_3[Bulan],H425,Cash_Flow_3[Type],"Out",Cash_Flow_3[Category],"Bathroom")</f>
        <v>0</v>
      </c>
      <c r="M425" s="29">
        <f>SUMIFS(Cash_Flow_3[Amount],Cash_Flow_3[Bulan],H425,Cash_Flow_3[Type],"Out",Cash_Flow_3[Category],"Alfa")</f>
        <v>0</v>
      </c>
      <c r="N425" s="29">
        <f>SUMIFS(Cash_Flow_3[Amount],Cash_Flow_3[Bulan],H425,Cash_Flow_3[Type],"Out",Cash_Flow_3[Category],"Jajan")</f>
        <v>0</v>
      </c>
      <c r="O425" s="29">
        <f>SUMIFS(Cash_Flow_3[Amount],Cash_Flow_3[Bulan],H425,Cash_Flow_3[Type],"Out",Cash_Flow_3[Category],"Kitchen")</f>
        <v>0</v>
      </c>
      <c r="P425" s="29">
        <f>SUMIFS(Cash_Flow_3[Amount],Cash_Flow_3[Bulan],H425,Cash_Flow_3[Type],"Out",Cash_Flow_3[Category],"Loandry")</f>
        <v>0</v>
      </c>
      <c r="Q425" s="29">
        <f>SUMIFS(Cash_Flow_3[Amount],Cash_Flow_3[Bulan],H425,Cash_Flow_3[Type],"Out",Cash_Flow_3[Category],"Mio")</f>
        <v>0</v>
      </c>
      <c r="R425" s="29">
        <f>SUMIFS(Cash_Flow_3[Amount],Cash_Flow_3[Bulan],H425,Cash_Flow_3[Type],"Out",Cash_Flow_3[Category],"Sedekah")</f>
        <v>0</v>
      </c>
      <c r="S425" s="29">
        <f>SUMIFS(Cash_Flow_3[Amount],Cash_Flow_3[Bulan],H425,Cash_Flow_3[Type],"Out",Cash_Flow_3[Category],"Zela")</f>
        <v>0</v>
      </c>
      <c r="T425" s="29">
        <f>SUMIFS(Cash_Flow_3[Amount],Cash_Flow_3[Bulan],H425,Cash_Flow_3[Type],"Out",Cash_Flow_3[Category],"Iqbal")</f>
        <v>0</v>
      </c>
    </row>
    <row r="426" spans="1:20" ht="22.5" customHeight="1" x14ac:dyDescent="0.2">
      <c r="A426" s="23"/>
      <c r="B426" s="24"/>
      <c r="C426" s="25"/>
      <c r="D426" s="25"/>
      <c r="E426" s="25"/>
      <c r="F426" s="26"/>
      <c r="G426" s="27"/>
      <c r="H426" s="28" t="str">
        <f t="shared" si="0"/>
        <v/>
      </c>
      <c r="I426" s="29">
        <f>SUMIFS(Cash_Flow_3[Amount],Cash_Flow_3[Bulan],H426,Cash_Flow_3[Type],"In")</f>
        <v>0</v>
      </c>
      <c r="J426" s="29">
        <f>SUMIFS(Cash_Flow_3[Amount],Cash_Flow_3[Bulan],H426,Cash_Flow_3[Type],"Out")</f>
        <v>0</v>
      </c>
      <c r="K426" s="29">
        <f>SUMIFS(Cash_Flow_3[Amount],Cash_Flow_3[Bulan],H426,Cash_Flow_3[Type],"Out",Cash_Flow_3[Category],"Fix")</f>
        <v>0</v>
      </c>
      <c r="L426" s="29">
        <f>SUMIFS(Cash_Flow_3[Amount],Cash_Flow_3[Bulan],H426,Cash_Flow_3[Type],"Out",Cash_Flow_3[Category],"Bathroom")</f>
        <v>0</v>
      </c>
      <c r="M426" s="29">
        <f>SUMIFS(Cash_Flow_3[Amount],Cash_Flow_3[Bulan],H426,Cash_Flow_3[Type],"Out",Cash_Flow_3[Category],"Alfa")</f>
        <v>0</v>
      </c>
      <c r="N426" s="29">
        <f>SUMIFS(Cash_Flow_3[Amount],Cash_Flow_3[Bulan],H426,Cash_Flow_3[Type],"Out",Cash_Flow_3[Category],"Jajan")</f>
        <v>0</v>
      </c>
      <c r="O426" s="29">
        <f>SUMIFS(Cash_Flow_3[Amount],Cash_Flow_3[Bulan],H426,Cash_Flow_3[Type],"Out",Cash_Flow_3[Category],"Kitchen")</f>
        <v>0</v>
      </c>
      <c r="P426" s="29">
        <f>SUMIFS(Cash_Flow_3[Amount],Cash_Flow_3[Bulan],H426,Cash_Flow_3[Type],"Out",Cash_Flow_3[Category],"Loandry")</f>
        <v>0</v>
      </c>
      <c r="Q426" s="29">
        <f>SUMIFS(Cash_Flow_3[Amount],Cash_Flow_3[Bulan],H426,Cash_Flow_3[Type],"Out",Cash_Flow_3[Category],"Mio")</f>
        <v>0</v>
      </c>
      <c r="R426" s="29">
        <f>SUMIFS(Cash_Flow_3[Amount],Cash_Flow_3[Bulan],H426,Cash_Flow_3[Type],"Out",Cash_Flow_3[Category],"Sedekah")</f>
        <v>0</v>
      </c>
      <c r="S426" s="29">
        <f>SUMIFS(Cash_Flow_3[Amount],Cash_Flow_3[Bulan],H426,Cash_Flow_3[Type],"Out",Cash_Flow_3[Category],"Zela")</f>
        <v>0</v>
      </c>
      <c r="T426" s="29">
        <f>SUMIFS(Cash_Flow_3[Amount],Cash_Flow_3[Bulan],H426,Cash_Flow_3[Type],"Out",Cash_Flow_3[Category],"Iqbal")</f>
        <v>0</v>
      </c>
    </row>
    <row r="427" spans="1:20" ht="22.5" customHeight="1" x14ac:dyDescent="0.2">
      <c r="A427" s="23"/>
      <c r="B427" s="24"/>
      <c r="C427" s="25"/>
      <c r="D427" s="25"/>
      <c r="E427" s="25"/>
      <c r="F427" s="26"/>
      <c r="G427" s="27"/>
      <c r="H427" s="28" t="str">
        <f t="shared" si="0"/>
        <v/>
      </c>
      <c r="I427" s="29">
        <f>SUMIFS(Cash_Flow_3[Amount],Cash_Flow_3[Bulan],H427,Cash_Flow_3[Type],"In")</f>
        <v>0</v>
      </c>
      <c r="J427" s="29">
        <f>SUMIFS(Cash_Flow_3[Amount],Cash_Flow_3[Bulan],H427,Cash_Flow_3[Type],"Out")</f>
        <v>0</v>
      </c>
      <c r="K427" s="29">
        <f>SUMIFS(Cash_Flow_3[Amount],Cash_Flow_3[Bulan],H427,Cash_Flow_3[Type],"Out",Cash_Flow_3[Category],"Fix")</f>
        <v>0</v>
      </c>
      <c r="L427" s="29">
        <f>SUMIFS(Cash_Flow_3[Amount],Cash_Flow_3[Bulan],H427,Cash_Flow_3[Type],"Out",Cash_Flow_3[Category],"Bathroom")</f>
        <v>0</v>
      </c>
      <c r="M427" s="29">
        <f>SUMIFS(Cash_Flow_3[Amount],Cash_Flow_3[Bulan],H427,Cash_Flow_3[Type],"Out",Cash_Flow_3[Category],"Alfa")</f>
        <v>0</v>
      </c>
      <c r="N427" s="29">
        <f>SUMIFS(Cash_Flow_3[Amount],Cash_Flow_3[Bulan],H427,Cash_Flow_3[Type],"Out",Cash_Flow_3[Category],"Jajan")</f>
        <v>0</v>
      </c>
      <c r="O427" s="29">
        <f>SUMIFS(Cash_Flow_3[Amount],Cash_Flow_3[Bulan],H427,Cash_Flow_3[Type],"Out",Cash_Flow_3[Category],"Kitchen")</f>
        <v>0</v>
      </c>
      <c r="P427" s="29">
        <f>SUMIFS(Cash_Flow_3[Amount],Cash_Flow_3[Bulan],H427,Cash_Flow_3[Type],"Out",Cash_Flow_3[Category],"Loandry")</f>
        <v>0</v>
      </c>
      <c r="Q427" s="29">
        <f>SUMIFS(Cash_Flow_3[Amount],Cash_Flow_3[Bulan],H427,Cash_Flow_3[Type],"Out",Cash_Flow_3[Category],"Mio")</f>
        <v>0</v>
      </c>
      <c r="R427" s="29">
        <f>SUMIFS(Cash_Flow_3[Amount],Cash_Flow_3[Bulan],H427,Cash_Flow_3[Type],"Out",Cash_Flow_3[Category],"Sedekah")</f>
        <v>0</v>
      </c>
      <c r="S427" s="29">
        <f>SUMIFS(Cash_Flow_3[Amount],Cash_Flow_3[Bulan],H427,Cash_Flow_3[Type],"Out",Cash_Flow_3[Category],"Zela")</f>
        <v>0</v>
      </c>
      <c r="T427" s="29">
        <f>SUMIFS(Cash_Flow_3[Amount],Cash_Flow_3[Bulan],H427,Cash_Flow_3[Type],"Out",Cash_Flow_3[Category],"Iqbal")</f>
        <v>0</v>
      </c>
    </row>
    <row r="428" spans="1:20" ht="22.5" customHeight="1" x14ac:dyDescent="0.2">
      <c r="A428" s="23"/>
      <c r="B428" s="24"/>
      <c r="C428" s="25"/>
      <c r="D428" s="25"/>
      <c r="E428" s="25"/>
      <c r="F428" s="26"/>
      <c r="G428" s="27"/>
      <c r="H428" s="28" t="str">
        <f t="shared" si="0"/>
        <v/>
      </c>
      <c r="I428" s="29">
        <f>SUMIFS(Cash_Flow_3[Amount],Cash_Flow_3[Bulan],H428,Cash_Flow_3[Type],"In")</f>
        <v>0</v>
      </c>
      <c r="J428" s="29">
        <f>SUMIFS(Cash_Flow_3[Amount],Cash_Flow_3[Bulan],H428,Cash_Flow_3[Type],"Out")</f>
        <v>0</v>
      </c>
      <c r="K428" s="29">
        <f>SUMIFS(Cash_Flow_3[Amount],Cash_Flow_3[Bulan],H428,Cash_Flow_3[Type],"Out",Cash_Flow_3[Category],"Fix")</f>
        <v>0</v>
      </c>
      <c r="L428" s="29">
        <f>SUMIFS(Cash_Flow_3[Amount],Cash_Flow_3[Bulan],H428,Cash_Flow_3[Type],"Out",Cash_Flow_3[Category],"Bathroom")</f>
        <v>0</v>
      </c>
      <c r="M428" s="29">
        <f>SUMIFS(Cash_Flow_3[Amount],Cash_Flow_3[Bulan],H428,Cash_Flow_3[Type],"Out",Cash_Flow_3[Category],"Alfa")</f>
        <v>0</v>
      </c>
      <c r="N428" s="29">
        <f>SUMIFS(Cash_Flow_3[Amount],Cash_Flow_3[Bulan],H428,Cash_Flow_3[Type],"Out",Cash_Flow_3[Category],"Jajan")</f>
        <v>0</v>
      </c>
      <c r="O428" s="29">
        <f>SUMIFS(Cash_Flow_3[Amount],Cash_Flow_3[Bulan],H428,Cash_Flow_3[Type],"Out",Cash_Flow_3[Category],"Kitchen")</f>
        <v>0</v>
      </c>
      <c r="P428" s="29">
        <f>SUMIFS(Cash_Flow_3[Amount],Cash_Flow_3[Bulan],H428,Cash_Flow_3[Type],"Out",Cash_Flow_3[Category],"Loandry")</f>
        <v>0</v>
      </c>
      <c r="Q428" s="29">
        <f>SUMIFS(Cash_Flow_3[Amount],Cash_Flow_3[Bulan],H428,Cash_Flow_3[Type],"Out",Cash_Flow_3[Category],"Mio")</f>
        <v>0</v>
      </c>
      <c r="R428" s="29">
        <f>SUMIFS(Cash_Flow_3[Amount],Cash_Flow_3[Bulan],H428,Cash_Flow_3[Type],"Out",Cash_Flow_3[Category],"Sedekah")</f>
        <v>0</v>
      </c>
      <c r="S428" s="29">
        <f>SUMIFS(Cash_Flow_3[Amount],Cash_Flow_3[Bulan],H428,Cash_Flow_3[Type],"Out",Cash_Flow_3[Category],"Zela")</f>
        <v>0</v>
      </c>
      <c r="T428" s="29">
        <f>SUMIFS(Cash_Flow_3[Amount],Cash_Flow_3[Bulan],H428,Cash_Flow_3[Type],"Out",Cash_Flow_3[Category],"Iqbal")</f>
        <v>0</v>
      </c>
    </row>
    <row r="429" spans="1:20" ht="22.5" customHeight="1" x14ac:dyDescent="0.2">
      <c r="A429" s="23"/>
      <c r="B429" s="24"/>
      <c r="C429" s="25"/>
      <c r="D429" s="25"/>
      <c r="E429" s="25"/>
      <c r="F429" s="26"/>
      <c r="G429" s="27"/>
      <c r="H429" s="28" t="str">
        <f t="shared" si="0"/>
        <v/>
      </c>
      <c r="I429" s="29">
        <f>SUMIFS(Cash_Flow_3[Amount],Cash_Flow_3[Bulan],H429,Cash_Flow_3[Type],"In")</f>
        <v>0</v>
      </c>
      <c r="J429" s="29">
        <f>SUMIFS(Cash_Flow_3[Amount],Cash_Flow_3[Bulan],H429,Cash_Flow_3[Type],"Out")</f>
        <v>0</v>
      </c>
      <c r="K429" s="29">
        <f>SUMIFS(Cash_Flow_3[Amount],Cash_Flow_3[Bulan],H429,Cash_Flow_3[Type],"Out",Cash_Flow_3[Category],"Fix")</f>
        <v>0</v>
      </c>
      <c r="L429" s="29">
        <f>SUMIFS(Cash_Flow_3[Amount],Cash_Flow_3[Bulan],H429,Cash_Flow_3[Type],"Out",Cash_Flow_3[Category],"Bathroom")</f>
        <v>0</v>
      </c>
      <c r="M429" s="29">
        <f>SUMIFS(Cash_Flow_3[Amount],Cash_Flow_3[Bulan],H429,Cash_Flow_3[Type],"Out",Cash_Flow_3[Category],"Alfa")</f>
        <v>0</v>
      </c>
      <c r="N429" s="29">
        <f>SUMIFS(Cash_Flow_3[Amount],Cash_Flow_3[Bulan],H429,Cash_Flow_3[Type],"Out",Cash_Flow_3[Category],"Jajan")</f>
        <v>0</v>
      </c>
      <c r="O429" s="29">
        <f>SUMIFS(Cash_Flow_3[Amount],Cash_Flow_3[Bulan],H429,Cash_Flow_3[Type],"Out",Cash_Flow_3[Category],"Kitchen")</f>
        <v>0</v>
      </c>
      <c r="P429" s="29">
        <f>SUMIFS(Cash_Flow_3[Amount],Cash_Flow_3[Bulan],H429,Cash_Flow_3[Type],"Out",Cash_Flow_3[Category],"Loandry")</f>
        <v>0</v>
      </c>
      <c r="Q429" s="29">
        <f>SUMIFS(Cash_Flow_3[Amount],Cash_Flow_3[Bulan],H429,Cash_Flow_3[Type],"Out",Cash_Flow_3[Category],"Mio")</f>
        <v>0</v>
      </c>
      <c r="R429" s="29">
        <f>SUMIFS(Cash_Flow_3[Amount],Cash_Flow_3[Bulan],H429,Cash_Flow_3[Type],"Out",Cash_Flow_3[Category],"Sedekah")</f>
        <v>0</v>
      </c>
      <c r="S429" s="29">
        <f>SUMIFS(Cash_Flow_3[Amount],Cash_Flow_3[Bulan],H429,Cash_Flow_3[Type],"Out",Cash_Flow_3[Category],"Zela")</f>
        <v>0</v>
      </c>
      <c r="T429" s="29">
        <f>SUMIFS(Cash_Flow_3[Amount],Cash_Flow_3[Bulan],H429,Cash_Flow_3[Type],"Out",Cash_Flow_3[Category],"Iqbal")</f>
        <v>0</v>
      </c>
    </row>
    <row r="430" spans="1:20" ht="22.5" customHeight="1" x14ac:dyDescent="0.2">
      <c r="A430" s="23"/>
      <c r="B430" s="24"/>
      <c r="C430" s="25"/>
      <c r="D430" s="25"/>
      <c r="E430" s="25"/>
      <c r="F430" s="26"/>
      <c r="G430" s="27"/>
      <c r="H430" s="28" t="str">
        <f t="shared" si="0"/>
        <v/>
      </c>
      <c r="I430" s="29">
        <f>SUMIFS(Cash_Flow_3[Amount],Cash_Flow_3[Bulan],H430,Cash_Flow_3[Type],"In")</f>
        <v>0</v>
      </c>
      <c r="J430" s="29">
        <f>SUMIFS(Cash_Flow_3[Amount],Cash_Flow_3[Bulan],H430,Cash_Flow_3[Type],"Out")</f>
        <v>0</v>
      </c>
      <c r="K430" s="29">
        <f>SUMIFS(Cash_Flow_3[Amount],Cash_Flow_3[Bulan],H430,Cash_Flow_3[Type],"Out",Cash_Flow_3[Category],"Fix")</f>
        <v>0</v>
      </c>
      <c r="L430" s="29">
        <f>SUMIFS(Cash_Flow_3[Amount],Cash_Flow_3[Bulan],H430,Cash_Flow_3[Type],"Out",Cash_Flow_3[Category],"Bathroom")</f>
        <v>0</v>
      </c>
      <c r="M430" s="29">
        <f>SUMIFS(Cash_Flow_3[Amount],Cash_Flow_3[Bulan],H430,Cash_Flow_3[Type],"Out",Cash_Flow_3[Category],"Alfa")</f>
        <v>0</v>
      </c>
      <c r="N430" s="29">
        <f>SUMIFS(Cash_Flow_3[Amount],Cash_Flow_3[Bulan],H430,Cash_Flow_3[Type],"Out",Cash_Flow_3[Category],"Jajan")</f>
        <v>0</v>
      </c>
      <c r="O430" s="29">
        <f>SUMIFS(Cash_Flow_3[Amount],Cash_Flow_3[Bulan],H430,Cash_Flow_3[Type],"Out",Cash_Flow_3[Category],"Kitchen")</f>
        <v>0</v>
      </c>
      <c r="P430" s="29">
        <f>SUMIFS(Cash_Flow_3[Amount],Cash_Flow_3[Bulan],H430,Cash_Flow_3[Type],"Out",Cash_Flow_3[Category],"Loandry")</f>
        <v>0</v>
      </c>
      <c r="Q430" s="29">
        <f>SUMIFS(Cash_Flow_3[Amount],Cash_Flow_3[Bulan],H430,Cash_Flow_3[Type],"Out",Cash_Flow_3[Category],"Mio")</f>
        <v>0</v>
      </c>
      <c r="R430" s="29">
        <f>SUMIFS(Cash_Flow_3[Amount],Cash_Flow_3[Bulan],H430,Cash_Flow_3[Type],"Out",Cash_Flow_3[Category],"Sedekah")</f>
        <v>0</v>
      </c>
      <c r="S430" s="29">
        <f>SUMIFS(Cash_Flow_3[Amount],Cash_Flow_3[Bulan],H430,Cash_Flow_3[Type],"Out",Cash_Flow_3[Category],"Zela")</f>
        <v>0</v>
      </c>
      <c r="T430" s="29">
        <f>SUMIFS(Cash_Flow_3[Amount],Cash_Flow_3[Bulan],H430,Cash_Flow_3[Type],"Out",Cash_Flow_3[Category],"Iqbal")</f>
        <v>0</v>
      </c>
    </row>
    <row r="431" spans="1:20" ht="22.5" customHeight="1" x14ac:dyDescent="0.2">
      <c r="A431" s="23"/>
      <c r="B431" s="24"/>
      <c r="C431" s="25"/>
      <c r="D431" s="25"/>
      <c r="E431" s="25"/>
      <c r="F431" s="26"/>
      <c r="G431" s="27"/>
      <c r="H431" s="28" t="str">
        <f t="shared" si="0"/>
        <v/>
      </c>
      <c r="I431" s="29">
        <f>SUMIFS(Cash_Flow_3[Amount],Cash_Flow_3[Bulan],H431,Cash_Flow_3[Type],"In")</f>
        <v>0</v>
      </c>
      <c r="J431" s="29">
        <f>SUMIFS(Cash_Flow_3[Amount],Cash_Flow_3[Bulan],H431,Cash_Flow_3[Type],"Out")</f>
        <v>0</v>
      </c>
      <c r="K431" s="29">
        <f>SUMIFS(Cash_Flow_3[Amount],Cash_Flow_3[Bulan],H431,Cash_Flow_3[Type],"Out",Cash_Flow_3[Category],"Fix")</f>
        <v>0</v>
      </c>
      <c r="L431" s="29">
        <f>SUMIFS(Cash_Flow_3[Amount],Cash_Flow_3[Bulan],H431,Cash_Flow_3[Type],"Out",Cash_Flow_3[Category],"Bathroom")</f>
        <v>0</v>
      </c>
      <c r="M431" s="29">
        <f>SUMIFS(Cash_Flow_3[Amount],Cash_Flow_3[Bulan],H431,Cash_Flow_3[Type],"Out",Cash_Flow_3[Category],"Alfa")</f>
        <v>0</v>
      </c>
      <c r="N431" s="29">
        <f>SUMIFS(Cash_Flow_3[Amount],Cash_Flow_3[Bulan],H431,Cash_Flow_3[Type],"Out",Cash_Flow_3[Category],"Jajan")</f>
        <v>0</v>
      </c>
      <c r="O431" s="29">
        <f>SUMIFS(Cash_Flow_3[Amount],Cash_Flow_3[Bulan],H431,Cash_Flow_3[Type],"Out",Cash_Flow_3[Category],"Kitchen")</f>
        <v>0</v>
      </c>
      <c r="P431" s="29">
        <f>SUMIFS(Cash_Flow_3[Amount],Cash_Flow_3[Bulan],H431,Cash_Flow_3[Type],"Out",Cash_Flow_3[Category],"Loandry")</f>
        <v>0</v>
      </c>
      <c r="Q431" s="29">
        <f>SUMIFS(Cash_Flow_3[Amount],Cash_Flow_3[Bulan],H431,Cash_Flow_3[Type],"Out",Cash_Flow_3[Category],"Mio")</f>
        <v>0</v>
      </c>
      <c r="R431" s="29">
        <f>SUMIFS(Cash_Flow_3[Amount],Cash_Flow_3[Bulan],H431,Cash_Flow_3[Type],"Out",Cash_Flow_3[Category],"Sedekah")</f>
        <v>0</v>
      </c>
      <c r="S431" s="29">
        <f>SUMIFS(Cash_Flow_3[Amount],Cash_Flow_3[Bulan],H431,Cash_Flow_3[Type],"Out",Cash_Flow_3[Category],"Zela")</f>
        <v>0</v>
      </c>
      <c r="T431" s="29">
        <f>SUMIFS(Cash_Flow_3[Amount],Cash_Flow_3[Bulan],H431,Cash_Flow_3[Type],"Out",Cash_Flow_3[Category],"Iqbal")</f>
        <v>0</v>
      </c>
    </row>
    <row r="432" spans="1:20" ht="22.5" customHeight="1" x14ac:dyDescent="0.2">
      <c r="A432" s="23"/>
      <c r="B432" s="24"/>
      <c r="C432" s="25"/>
      <c r="D432" s="25"/>
      <c r="E432" s="25"/>
      <c r="F432" s="26"/>
      <c r="G432" s="27"/>
      <c r="H432" s="28" t="str">
        <f t="shared" si="0"/>
        <v/>
      </c>
      <c r="I432" s="29">
        <f>SUMIFS(Cash_Flow_3[Amount],Cash_Flow_3[Bulan],H432,Cash_Flow_3[Type],"In")</f>
        <v>0</v>
      </c>
      <c r="J432" s="29">
        <f>SUMIFS(Cash_Flow_3[Amount],Cash_Flow_3[Bulan],H432,Cash_Flow_3[Type],"Out")</f>
        <v>0</v>
      </c>
      <c r="K432" s="29">
        <f>SUMIFS(Cash_Flow_3[Amount],Cash_Flow_3[Bulan],H432,Cash_Flow_3[Type],"Out",Cash_Flow_3[Category],"Fix")</f>
        <v>0</v>
      </c>
      <c r="L432" s="29">
        <f>SUMIFS(Cash_Flow_3[Amount],Cash_Flow_3[Bulan],H432,Cash_Flow_3[Type],"Out",Cash_Flow_3[Category],"Bathroom")</f>
        <v>0</v>
      </c>
      <c r="M432" s="29">
        <f>SUMIFS(Cash_Flow_3[Amount],Cash_Flow_3[Bulan],H432,Cash_Flow_3[Type],"Out",Cash_Flow_3[Category],"Alfa")</f>
        <v>0</v>
      </c>
      <c r="N432" s="29">
        <f>SUMIFS(Cash_Flow_3[Amount],Cash_Flow_3[Bulan],H432,Cash_Flow_3[Type],"Out",Cash_Flow_3[Category],"Jajan")</f>
        <v>0</v>
      </c>
      <c r="O432" s="29">
        <f>SUMIFS(Cash_Flow_3[Amount],Cash_Flow_3[Bulan],H432,Cash_Flow_3[Type],"Out",Cash_Flow_3[Category],"Kitchen")</f>
        <v>0</v>
      </c>
      <c r="P432" s="29">
        <f>SUMIFS(Cash_Flow_3[Amount],Cash_Flow_3[Bulan],H432,Cash_Flow_3[Type],"Out",Cash_Flow_3[Category],"Loandry")</f>
        <v>0</v>
      </c>
      <c r="Q432" s="29">
        <f>SUMIFS(Cash_Flow_3[Amount],Cash_Flow_3[Bulan],H432,Cash_Flow_3[Type],"Out",Cash_Flow_3[Category],"Mio")</f>
        <v>0</v>
      </c>
      <c r="R432" s="29">
        <f>SUMIFS(Cash_Flow_3[Amount],Cash_Flow_3[Bulan],H432,Cash_Flow_3[Type],"Out",Cash_Flow_3[Category],"Sedekah")</f>
        <v>0</v>
      </c>
      <c r="S432" s="29">
        <f>SUMIFS(Cash_Flow_3[Amount],Cash_Flow_3[Bulan],H432,Cash_Flow_3[Type],"Out",Cash_Flow_3[Category],"Zela")</f>
        <v>0</v>
      </c>
      <c r="T432" s="29">
        <f>SUMIFS(Cash_Flow_3[Amount],Cash_Flow_3[Bulan],H432,Cash_Flow_3[Type],"Out",Cash_Flow_3[Category],"Iqbal")</f>
        <v>0</v>
      </c>
    </row>
    <row r="433" spans="1:20" ht="22.5" customHeight="1" x14ac:dyDescent="0.2">
      <c r="A433" s="23"/>
      <c r="B433" s="24"/>
      <c r="C433" s="25"/>
      <c r="D433" s="25"/>
      <c r="E433" s="25"/>
      <c r="F433" s="26"/>
      <c r="G433" s="27"/>
      <c r="H433" s="28" t="str">
        <f t="shared" si="0"/>
        <v/>
      </c>
      <c r="I433" s="29">
        <f>SUMIFS(Cash_Flow_3[Amount],Cash_Flow_3[Bulan],H433,Cash_Flow_3[Type],"In")</f>
        <v>0</v>
      </c>
      <c r="J433" s="29">
        <f>SUMIFS(Cash_Flow_3[Amount],Cash_Flow_3[Bulan],H433,Cash_Flow_3[Type],"Out")</f>
        <v>0</v>
      </c>
      <c r="K433" s="29">
        <f>SUMIFS(Cash_Flow_3[Amount],Cash_Flow_3[Bulan],H433,Cash_Flow_3[Type],"Out",Cash_Flow_3[Category],"Fix")</f>
        <v>0</v>
      </c>
      <c r="L433" s="29">
        <f>SUMIFS(Cash_Flow_3[Amount],Cash_Flow_3[Bulan],H433,Cash_Flow_3[Type],"Out",Cash_Flow_3[Category],"Bathroom")</f>
        <v>0</v>
      </c>
      <c r="M433" s="29">
        <f>SUMIFS(Cash_Flow_3[Amount],Cash_Flow_3[Bulan],H433,Cash_Flow_3[Type],"Out",Cash_Flow_3[Category],"Alfa")</f>
        <v>0</v>
      </c>
      <c r="N433" s="29">
        <f>SUMIFS(Cash_Flow_3[Amount],Cash_Flow_3[Bulan],H433,Cash_Flow_3[Type],"Out",Cash_Flow_3[Category],"Jajan")</f>
        <v>0</v>
      </c>
      <c r="O433" s="29">
        <f>SUMIFS(Cash_Flow_3[Amount],Cash_Flow_3[Bulan],H433,Cash_Flow_3[Type],"Out",Cash_Flow_3[Category],"Kitchen")</f>
        <v>0</v>
      </c>
      <c r="P433" s="29">
        <f>SUMIFS(Cash_Flow_3[Amount],Cash_Flow_3[Bulan],H433,Cash_Flow_3[Type],"Out",Cash_Flow_3[Category],"Loandry")</f>
        <v>0</v>
      </c>
      <c r="Q433" s="29">
        <f>SUMIFS(Cash_Flow_3[Amount],Cash_Flow_3[Bulan],H433,Cash_Flow_3[Type],"Out",Cash_Flow_3[Category],"Mio")</f>
        <v>0</v>
      </c>
      <c r="R433" s="29">
        <f>SUMIFS(Cash_Flow_3[Amount],Cash_Flow_3[Bulan],H433,Cash_Flow_3[Type],"Out",Cash_Flow_3[Category],"Sedekah")</f>
        <v>0</v>
      </c>
      <c r="S433" s="29">
        <f>SUMIFS(Cash_Flow_3[Amount],Cash_Flow_3[Bulan],H433,Cash_Flow_3[Type],"Out",Cash_Flow_3[Category],"Zela")</f>
        <v>0</v>
      </c>
      <c r="T433" s="29">
        <f>SUMIFS(Cash_Flow_3[Amount],Cash_Flow_3[Bulan],H433,Cash_Flow_3[Type],"Out",Cash_Flow_3[Category],"Iqbal")</f>
        <v>0</v>
      </c>
    </row>
    <row r="434" spans="1:20" ht="22.5" customHeight="1" x14ac:dyDescent="0.2">
      <c r="A434" s="23"/>
      <c r="B434" s="24"/>
      <c r="C434" s="25"/>
      <c r="D434" s="25"/>
      <c r="E434" s="25"/>
      <c r="F434" s="26"/>
      <c r="G434" s="27"/>
      <c r="H434" s="28" t="str">
        <f t="shared" si="0"/>
        <v/>
      </c>
      <c r="I434" s="29">
        <f>SUMIFS(Cash_Flow_3[Amount],Cash_Flow_3[Bulan],H434,Cash_Flow_3[Type],"In")</f>
        <v>0</v>
      </c>
      <c r="J434" s="29">
        <f>SUMIFS(Cash_Flow_3[Amount],Cash_Flow_3[Bulan],H434,Cash_Flow_3[Type],"Out")</f>
        <v>0</v>
      </c>
      <c r="K434" s="29">
        <f>SUMIFS(Cash_Flow_3[Amount],Cash_Flow_3[Bulan],H434,Cash_Flow_3[Type],"Out",Cash_Flow_3[Category],"Fix")</f>
        <v>0</v>
      </c>
      <c r="L434" s="29">
        <f>SUMIFS(Cash_Flow_3[Amount],Cash_Flow_3[Bulan],H434,Cash_Flow_3[Type],"Out",Cash_Flow_3[Category],"Bathroom")</f>
        <v>0</v>
      </c>
      <c r="M434" s="29">
        <f>SUMIFS(Cash_Flow_3[Amount],Cash_Flow_3[Bulan],H434,Cash_Flow_3[Type],"Out",Cash_Flow_3[Category],"Alfa")</f>
        <v>0</v>
      </c>
      <c r="N434" s="29">
        <f>SUMIFS(Cash_Flow_3[Amount],Cash_Flow_3[Bulan],H434,Cash_Flow_3[Type],"Out",Cash_Flow_3[Category],"Jajan")</f>
        <v>0</v>
      </c>
      <c r="O434" s="29">
        <f>SUMIFS(Cash_Flow_3[Amount],Cash_Flow_3[Bulan],H434,Cash_Flow_3[Type],"Out",Cash_Flow_3[Category],"Kitchen")</f>
        <v>0</v>
      </c>
      <c r="P434" s="29">
        <f>SUMIFS(Cash_Flow_3[Amount],Cash_Flow_3[Bulan],H434,Cash_Flow_3[Type],"Out",Cash_Flow_3[Category],"Loandry")</f>
        <v>0</v>
      </c>
      <c r="Q434" s="29">
        <f>SUMIFS(Cash_Flow_3[Amount],Cash_Flow_3[Bulan],H434,Cash_Flow_3[Type],"Out",Cash_Flow_3[Category],"Mio")</f>
        <v>0</v>
      </c>
      <c r="R434" s="29">
        <f>SUMIFS(Cash_Flow_3[Amount],Cash_Flow_3[Bulan],H434,Cash_Flow_3[Type],"Out",Cash_Flow_3[Category],"Sedekah")</f>
        <v>0</v>
      </c>
      <c r="S434" s="29">
        <f>SUMIFS(Cash_Flow_3[Amount],Cash_Flow_3[Bulan],H434,Cash_Flow_3[Type],"Out",Cash_Flow_3[Category],"Zela")</f>
        <v>0</v>
      </c>
      <c r="T434" s="29">
        <f>SUMIFS(Cash_Flow_3[Amount],Cash_Flow_3[Bulan],H434,Cash_Flow_3[Type],"Out",Cash_Flow_3[Category],"Iqbal")</f>
        <v>0</v>
      </c>
    </row>
    <row r="435" spans="1:20" ht="22.5" customHeight="1" x14ac:dyDescent="0.2">
      <c r="A435" s="23"/>
      <c r="B435" s="24"/>
      <c r="C435" s="25"/>
      <c r="D435" s="25"/>
      <c r="E435" s="25"/>
      <c r="F435" s="26"/>
      <c r="G435" s="27"/>
      <c r="H435" s="28" t="str">
        <f t="shared" si="0"/>
        <v/>
      </c>
      <c r="I435" s="29">
        <f>SUMIFS(Cash_Flow_3[Amount],Cash_Flow_3[Bulan],H435,Cash_Flow_3[Type],"In")</f>
        <v>0</v>
      </c>
      <c r="J435" s="29">
        <f>SUMIFS(Cash_Flow_3[Amount],Cash_Flow_3[Bulan],H435,Cash_Flow_3[Type],"Out")</f>
        <v>0</v>
      </c>
      <c r="K435" s="29">
        <f>SUMIFS(Cash_Flow_3[Amount],Cash_Flow_3[Bulan],H435,Cash_Flow_3[Type],"Out",Cash_Flow_3[Category],"Fix")</f>
        <v>0</v>
      </c>
      <c r="L435" s="29">
        <f>SUMIFS(Cash_Flow_3[Amount],Cash_Flow_3[Bulan],H435,Cash_Flow_3[Type],"Out",Cash_Flow_3[Category],"Bathroom")</f>
        <v>0</v>
      </c>
      <c r="M435" s="29">
        <f>SUMIFS(Cash_Flow_3[Amount],Cash_Flow_3[Bulan],H435,Cash_Flow_3[Type],"Out",Cash_Flow_3[Category],"Alfa")</f>
        <v>0</v>
      </c>
      <c r="N435" s="29">
        <f>SUMIFS(Cash_Flow_3[Amount],Cash_Flow_3[Bulan],H435,Cash_Flow_3[Type],"Out",Cash_Flow_3[Category],"Jajan")</f>
        <v>0</v>
      </c>
      <c r="O435" s="29">
        <f>SUMIFS(Cash_Flow_3[Amount],Cash_Flow_3[Bulan],H435,Cash_Flow_3[Type],"Out",Cash_Flow_3[Category],"Kitchen")</f>
        <v>0</v>
      </c>
      <c r="P435" s="29">
        <f>SUMIFS(Cash_Flow_3[Amount],Cash_Flow_3[Bulan],H435,Cash_Flow_3[Type],"Out",Cash_Flow_3[Category],"Loandry")</f>
        <v>0</v>
      </c>
      <c r="Q435" s="29">
        <f>SUMIFS(Cash_Flow_3[Amount],Cash_Flow_3[Bulan],H435,Cash_Flow_3[Type],"Out",Cash_Flow_3[Category],"Mio")</f>
        <v>0</v>
      </c>
      <c r="R435" s="29">
        <f>SUMIFS(Cash_Flow_3[Amount],Cash_Flow_3[Bulan],H435,Cash_Flow_3[Type],"Out",Cash_Flow_3[Category],"Sedekah")</f>
        <v>0</v>
      </c>
      <c r="S435" s="29">
        <f>SUMIFS(Cash_Flow_3[Amount],Cash_Flow_3[Bulan],H435,Cash_Flow_3[Type],"Out",Cash_Flow_3[Category],"Zela")</f>
        <v>0</v>
      </c>
      <c r="T435" s="29">
        <f>SUMIFS(Cash_Flow_3[Amount],Cash_Flow_3[Bulan],H435,Cash_Flow_3[Type],"Out",Cash_Flow_3[Category],"Iqbal")</f>
        <v>0</v>
      </c>
    </row>
    <row r="436" spans="1:20" ht="22.5" customHeight="1" x14ac:dyDescent="0.2">
      <c r="A436" s="23"/>
      <c r="B436" s="24"/>
      <c r="C436" s="25"/>
      <c r="D436" s="25"/>
      <c r="E436" s="25"/>
      <c r="F436" s="26"/>
      <c r="G436" s="27"/>
      <c r="H436" s="28" t="str">
        <f t="shared" si="0"/>
        <v/>
      </c>
      <c r="I436" s="29">
        <f>SUMIFS(Cash_Flow_3[Amount],Cash_Flow_3[Bulan],H436,Cash_Flow_3[Type],"In")</f>
        <v>0</v>
      </c>
      <c r="J436" s="29">
        <f>SUMIFS(Cash_Flow_3[Amount],Cash_Flow_3[Bulan],H436,Cash_Flow_3[Type],"Out")</f>
        <v>0</v>
      </c>
      <c r="K436" s="29">
        <f>SUMIFS(Cash_Flow_3[Amount],Cash_Flow_3[Bulan],H436,Cash_Flow_3[Type],"Out",Cash_Flow_3[Category],"Fix")</f>
        <v>0</v>
      </c>
      <c r="L436" s="29">
        <f>SUMIFS(Cash_Flow_3[Amount],Cash_Flow_3[Bulan],H436,Cash_Flow_3[Type],"Out",Cash_Flow_3[Category],"Bathroom")</f>
        <v>0</v>
      </c>
      <c r="M436" s="29">
        <f>SUMIFS(Cash_Flow_3[Amount],Cash_Flow_3[Bulan],H436,Cash_Flow_3[Type],"Out",Cash_Flow_3[Category],"Alfa")</f>
        <v>0</v>
      </c>
      <c r="N436" s="29">
        <f>SUMIFS(Cash_Flow_3[Amount],Cash_Flow_3[Bulan],H436,Cash_Flow_3[Type],"Out",Cash_Flow_3[Category],"Jajan")</f>
        <v>0</v>
      </c>
      <c r="O436" s="29">
        <f>SUMIFS(Cash_Flow_3[Amount],Cash_Flow_3[Bulan],H436,Cash_Flow_3[Type],"Out",Cash_Flow_3[Category],"Kitchen")</f>
        <v>0</v>
      </c>
      <c r="P436" s="29">
        <f>SUMIFS(Cash_Flow_3[Amount],Cash_Flow_3[Bulan],H436,Cash_Flow_3[Type],"Out",Cash_Flow_3[Category],"Loandry")</f>
        <v>0</v>
      </c>
      <c r="Q436" s="29">
        <f>SUMIFS(Cash_Flow_3[Amount],Cash_Flow_3[Bulan],H436,Cash_Flow_3[Type],"Out",Cash_Flow_3[Category],"Mio")</f>
        <v>0</v>
      </c>
      <c r="R436" s="29">
        <f>SUMIFS(Cash_Flow_3[Amount],Cash_Flow_3[Bulan],H436,Cash_Flow_3[Type],"Out",Cash_Flow_3[Category],"Sedekah")</f>
        <v>0</v>
      </c>
      <c r="S436" s="29">
        <f>SUMIFS(Cash_Flow_3[Amount],Cash_Flow_3[Bulan],H436,Cash_Flow_3[Type],"Out",Cash_Flow_3[Category],"Zela")</f>
        <v>0</v>
      </c>
      <c r="T436" s="29">
        <f>SUMIFS(Cash_Flow_3[Amount],Cash_Flow_3[Bulan],H436,Cash_Flow_3[Type],"Out",Cash_Flow_3[Category],"Iqbal")</f>
        <v>0</v>
      </c>
    </row>
    <row r="437" spans="1:20" ht="22.5" customHeight="1" x14ac:dyDescent="0.2">
      <c r="A437" s="23"/>
      <c r="B437" s="24"/>
      <c r="C437" s="25"/>
      <c r="D437" s="25"/>
      <c r="E437" s="25"/>
      <c r="F437" s="26"/>
      <c r="G437" s="27"/>
      <c r="H437" s="28" t="str">
        <f t="shared" si="0"/>
        <v/>
      </c>
      <c r="I437" s="29">
        <f>SUMIFS(Cash_Flow_3[Amount],Cash_Flow_3[Bulan],H437,Cash_Flow_3[Type],"In")</f>
        <v>0</v>
      </c>
      <c r="J437" s="29">
        <f>SUMIFS(Cash_Flow_3[Amount],Cash_Flow_3[Bulan],H437,Cash_Flow_3[Type],"Out")</f>
        <v>0</v>
      </c>
      <c r="K437" s="29">
        <f>SUMIFS(Cash_Flow_3[Amount],Cash_Flow_3[Bulan],H437,Cash_Flow_3[Type],"Out",Cash_Flow_3[Category],"Fix")</f>
        <v>0</v>
      </c>
      <c r="L437" s="29">
        <f>SUMIFS(Cash_Flow_3[Amount],Cash_Flow_3[Bulan],H437,Cash_Flow_3[Type],"Out",Cash_Flow_3[Category],"Bathroom")</f>
        <v>0</v>
      </c>
      <c r="M437" s="29">
        <f>SUMIFS(Cash_Flow_3[Amount],Cash_Flow_3[Bulan],H437,Cash_Flow_3[Type],"Out",Cash_Flow_3[Category],"Alfa")</f>
        <v>0</v>
      </c>
      <c r="N437" s="29">
        <f>SUMIFS(Cash_Flow_3[Amount],Cash_Flow_3[Bulan],H437,Cash_Flow_3[Type],"Out",Cash_Flow_3[Category],"Jajan")</f>
        <v>0</v>
      </c>
      <c r="O437" s="29">
        <f>SUMIFS(Cash_Flow_3[Amount],Cash_Flow_3[Bulan],H437,Cash_Flow_3[Type],"Out",Cash_Flow_3[Category],"Kitchen")</f>
        <v>0</v>
      </c>
      <c r="P437" s="29">
        <f>SUMIFS(Cash_Flow_3[Amount],Cash_Flow_3[Bulan],H437,Cash_Flow_3[Type],"Out",Cash_Flow_3[Category],"Loandry")</f>
        <v>0</v>
      </c>
      <c r="Q437" s="29">
        <f>SUMIFS(Cash_Flow_3[Amount],Cash_Flow_3[Bulan],H437,Cash_Flow_3[Type],"Out",Cash_Flow_3[Category],"Mio")</f>
        <v>0</v>
      </c>
      <c r="R437" s="29">
        <f>SUMIFS(Cash_Flow_3[Amount],Cash_Flow_3[Bulan],H437,Cash_Flow_3[Type],"Out",Cash_Flow_3[Category],"Sedekah")</f>
        <v>0</v>
      </c>
      <c r="S437" s="29">
        <f>SUMIFS(Cash_Flow_3[Amount],Cash_Flow_3[Bulan],H437,Cash_Flow_3[Type],"Out",Cash_Flow_3[Category],"Zela")</f>
        <v>0</v>
      </c>
      <c r="T437" s="29">
        <f>SUMIFS(Cash_Flow_3[Amount],Cash_Flow_3[Bulan],H437,Cash_Flow_3[Type],"Out",Cash_Flow_3[Category],"Iqbal")</f>
        <v>0</v>
      </c>
    </row>
    <row r="438" spans="1:20" ht="22.5" customHeight="1" x14ac:dyDescent="0.2">
      <c r="A438" s="23"/>
      <c r="B438" s="24"/>
      <c r="C438" s="25"/>
      <c r="D438" s="25"/>
      <c r="E438" s="25"/>
      <c r="F438" s="26"/>
      <c r="G438" s="27"/>
      <c r="H438" s="28" t="str">
        <f t="shared" si="0"/>
        <v/>
      </c>
      <c r="I438" s="29">
        <f>SUMIFS(Cash_Flow_3[Amount],Cash_Flow_3[Bulan],H438,Cash_Flow_3[Type],"In")</f>
        <v>0</v>
      </c>
      <c r="J438" s="29">
        <f>SUMIFS(Cash_Flow_3[Amount],Cash_Flow_3[Bulan],H438,Cash_Flow_3[Type],"Out")</f>
        <v>0</v>
      </c>
      <c r="K438" s="29">
        <f>SUMIFS(Cash_Flow_3[Amount],Cash_Flow_3[Bulan],H438,Cash_Flow_3[Type],"Out",Cash_Flow_3[Category],"Fix")</f>
        <v>0</v>
      </c>
      <c r="L438" s="29">
        <f>SUMIFS(Cash_Flow_3[Amount],Cash_Flow_3[Bulan],H438,Cash_Flow_3[Type],"Out",Cash_Flow_3[Category],"Bathroom")</f>
        <v>0</v>
      </c>
      <c r="M438" s="29">
        <f>SUMIFS(Cash_Flow_3[Amount],Cash_Flow_3[Bulan],H438,Cash_Flow_3[Type],"Out",Cash_Flow_3[Category],"Alfa")</f>
        <v>0</v>
      </c>
      <c r="N438" s="29">
        <f>SUMIFS(Cash_Flow_3[Amount],Cash_Flow_3[Bulan],H438,Cash_Flow_3[Type],"Out",Cash_Flow_3[Category],"Jajan")</f>
        <v>0</v>
      </c>
      <c r="O438" s="29">
        <f>SUMIFS(Cash_Flow_3[Amount],Cash_Flow_3[Bulan],H438,Cash_Flow_3[Type],"Out",Cash_Flow_3[Category],"Kitchen")</f>
        <v>0</v>
      </c>
      <c r="P438" s="29">
        <f>SUMIFS(Cash_Flow_3[Amount],Cash_Flow_3[Bulan],H438,Cash_Flow_3[Type],"Out",Cash_Flow_3[Category],"Loandry")</f>
        <v>0</v>
      </c>
      <c r="Q438" s="29">
        <f>SUMIFS(Cash_Flow_3[Amount],Cash_Flow_3[Bulan],H438,Cash_Flow_3[Type],"Out",Cash_Flow_3[Category],"Mio")</f>
        <v>0</v>
      </c>
      <c r="R438" s="29">
        <f>SUMIFS(Cash_Flow_3[Amount],Cash_Flow_3[Bulan],H438,Cash_Flow_3[Type],"Out",Cash_Flow_3[Category],"Sedekah")</f>
        <v>0</v>
      </c>
      <c r="S438" s="29">
        <f>SUMIFS(Cash_Flow_3[Amount],Cash_Flow_3[Bulan],H438,Cash_Flow_3[Type],"Out",Cash_Flow_3[Category],"Zela")</f>
        <v>0</v>
      </c>
      <c r="T438" s="29">
        <f>SUMIFS(Cash_Flow_3[Amount],Cash_Flow_3[Bulan],H438,Cash_Flow_3[Type],"Out",Cash_Flow_3[Category],"Iqbal")</f>
        <v>0</v>
      </c>
    </row>
    <row r="439" spans="1:20" ht="22.5" customHeight="1" x14ac:dyDescent="0.2">
      <c r="A439" s="23"/>
      <c r="B439" s="24"/>
      <c r="C439" s="25"/>
      <c r="D439" s="25"/>
      <c r="E439" s="25"/>
      <c r="F439" s="26"/>
      <c r="G439" s="27"/>
      <c r="H439" s="28" t="str">
        <f t="shared" si="0"/>
        <v/>
      </c>
      <c r="I439" s="29">
        <f>SUMIFS(Cash_Flow_3[Amount],Cash_Flow_3[Bulan],H439,Cash_Flow_3[Type],"In")</f>
        <v>0</v>
      </c>
      <c r="J439" s="29">
        <f>SUMIFS(Cash_Flow_3[Amount],Cash_Flow_3[Bulan],H439,Cash_Flow_3[Type],"Out")</f>
        <v>0</v>
      </c>
      <c r="K439" s="29">
        <f>SUMIFS(Cash_Flow_3[Amount],Cash_Flow_3[Bulan],H439,Cash_Flow_3[Type],"Out",Cash_Flow_3[Category],"Fix")</f>
        <v>0</v>
      </c>
      <c r="L439" s="29">
        <f>SUMIFS(Cash_Flow_3[Amount],Cash_Flow_3[Bulan],H439,Cash_Flow_3[Type],"Out",Cash_Flow_3[Category],"Bathroom")</f>
        <v>0</v>
      </c>
      <c r="M439" s="29">
        <f>SUMIFS(Cash_Flow_3[Amount],Cash_Flow_3[Bulan],H439,Cash_Flow_3[Type],"Out",Cash_Flow_3[Category],"Alfa")</f>
        <v>0</v>
      </c>
      <c r="N439" s="29">
        <f>SUMIFS(Cash_Flow_3[Amount],Cash_Flow_3[Bulan],H439,Cash_Flow_3[Type],"Out",Cash_Flow_3[Category],"Jajan")</f>
        <v>0</v>
      </c>
      <c r="O439" s="29">
        <f>SUMIFS(Cash_Flow_3[Amount],Cash_Flow_3[Bulan],H439,Cash_Flow_3[Type],"Out",Cash_Flow_3[Category],"Kitchen")</f>
        <v>0</v>
      </c>
      <c r="P439" s="29">
        <f>SUMIFS(Cash_Flow_3[Amount],Cash_Flow_3[Bulan],H439,Cash_Flow_3[Type],"Out",Cash_Flow_3[Category],"Loandry")</f>
        <v>0</v>
      </c>
      <c r="Q439" s="29">
        <f>SUMIFS(Cash_Flow_3[Amount],Cash_Flow_3[Bulan],H439,Cash_Flow_3[Type],"Out",Cash_Flow_3[Category],"Mio")</f>
        <v>0</v>
      </c>
      <c r="R439" s="29">
        <f>SUMIFS(Cash_Flow_3[Amount],Cash_Flow_3[Bulan],H439,Cash_Flow_3[Type],"Out",Cash_Flow_3[Category],"Sedekah")</f>
        <v>0</v>
      </c>
      <c r="S439" s="29">
        <f>SUMIFS(Cash_Flow_3[Amount],Cash_Flow_3[Bulan],H439,Cash_Flow_3[Type],"Out",Cash_Flow_3[Category],"Zela")</f>
        <v>0</v>
      </c>
      <c r="T439" s="29">
        <f>SUMIFS(Cash_Flow_3[Amount],Cash_Flow_3[Bulan],H439,Cash_Flow_3[Type],"Out",Cash_Flow_3[Category],"Iqbal")</f>
        <v>0</v>
      </c>
    </row>
    <row r="440" spans="1:20" ht="22.5" customHeight="1" x14ac:dyDescent="0.2">
      <c r="A440" s="23"/>
      <c r="B440" s="24"/>
      <c r="C440" s="25"/>
      <c r="D440" s="25"/>
      <c r="E440" s="25"/>
      <c r="F440" s="26"/>
      <c r="G440" s="27"/>
      <c r="H440" s="28" t="str">
        <f t="shared" si="0"/>
        <v/>
      </c>
      <c r="I440" s="29">
        <f>SUMIFS(Cash_Flow_3[Amount],Cash_Flow_3[Bulan],H440,Cash_Flow_3[Type],"In")</f>
        <v>0</v>
      </c>
      <c r="J440" s="29">
        <f>SUMIFS(Cash_Flow_3[Amount],Cash_Flow_3[Bulan],H440,Cash_Flow_3[Type],"Out")</f>
        <v>0</v>
      </c>
      <c r="K440" s="29">
        <f>SUMIFS(Cash_Flow_3[Amount],Cash_Flow_3[Bulan],H440,Cash_Flow_3[Type],"Out",Cash_Flow_3[Category],"Fix")</f>
        <v>0</v>
      </c>
      <c r="L440" s="29">
        <f>SUMIFS(Cash_Flow_3[Amount],Cash_Flow_3[Bulan],H440,Cash_Flow_3[Type],"Out",Cash_Flow_3[Category],"Bathroom")</f>
        <v>0</v>
      </c>
      <c r="M440" s="29">
        <f>SUMIFS(Cash_Flow_3[Amount],Cash_Flow_3[Bulan],H440,Cash_Flow_3[Type],"Out",Cash_Flow_3[Category],"Alfa")</f>
        <v>0</v>
      </c>
      <c r="N440" s="29">
        <f>SUMIFS(Cash_Flow_3[Amount],Cash_Flow_3[Bulan],H440,Cash_Flow_3[Type],"Out",Cash_Flow_3[Category],"Jajan")</f>
        <v>0</v>
      </c>
      <c r="O440" s="29">
        <f>SUMIFS(Cash_Flow_3[Amount],Cash_Flow_3[Bulan],H440,Cash_Flow_3[Type],"Out",Cash_Flow_3[Category],"Kitchen")</f>
        <v>0</v>
      </c>
      <c r="P440" s="29">
        <f>SUMIFS(Cash_Flow_3[Amount],Cash_Flow_3[Bulan],H440,Cash_Flow_3[Type],"Out",Cash_Flow_3[Category],"Loandry")</f>
        <v>0</v>
      </c>
      <c r="Q440" s="29">
        <f>SUMIFS(Cash_Flow_3[Amount],Cash_Flow_3[Bulan],H440,Cash_Flow_3[Type],"Out",Cash_Flow_3[Category],"Mio")</f>
        <v>0</v>
      </c>
      <c r="R440" s="29">
        <f>SUMIFS(Cash_Flow_3[Amount],Cash_Flow_3[Bulan],H440,Cash_Flow_3[Type],"Out",Cash_Flow_3[Category],"Sedekah")</f>
        <v>0</v>
      </c>
      <c r="S440" s="29">
        <f>SUMIFS(Cash_Flow_3[Amount],Cash_Flow_3[Bulan],H440,Cash_Flow_3[Type],"Out",Cash_Flow_3[Category],"Zela")</f>
        <v>0</v>
      </c>
      <c r="T440" s="29">
        <f>SUMIFS(Cash_Flow_3[Amount],Cash_Flow_3[Bulan],H440,Cash_Flow_3[Type],"Out",Cash_Flow_3[Category],"Iqbal")</f>
        <v>0</v>
      </c>
    </row>
    <row r="441" spans="1:20" ht="22.5" customHeight="1" x14ac:dyDescent="0.2">
      <c r="A441" s="23"/>
      <c r="B441" s="24"/>
      <c r="C441" s="25"/>
      <c r="D441" s="25"/>
      <c r="E441" s="25"/>
      <c r="F441" s="26"/>
      <c r="G441" s="27"/>
      <c r="H441" s="28" t="str">
        <f t="shared" si="0"/>
        <v/>
      </c>
      <c r="I441" s="29">
        <f>SUMIFS(Cash_Flow_3[Amount],Cash_Flow_3[Bulan],H441,Cash_Flow_3[Type],"In")</f>
        <v>0</v>
      </c>
      <c r="J441" s="29">
        <f>SUMIFS(Cash_Flow_3[Amount],Cash_Flow_3[Bulan],H441,Cash_Flow_3[Type],"Out")</f>
        <v>0</v>
      </c>
      <c r="K441" s="29">
        <f>SUMIFS(Cash_Flow_3[Amount],Cash_Flow_3[Bulan],H441,Cash_Flow_3[Type],"Out",Cash_Flow_3[Category],"Fix")</f>
        <v>0</v>
      </c>
      <c r="L441" s="29">
        <f>SUMIFS(Cash_Flow_3[Amount],Cash_Flow_3[Bulan],H441,Cash_Flow_3[Type],"Out",Cash_Flow_3[Category],"Bathroom")</f>
        <v>0</v>
      </c>
      <c r="M441" s="29">
        <f>SUMIFS(Cash_Flow_3[Amount],Cash_Flow_3[Bulan],H441,Cash_Flow_3[Type],"Out",Cash_Flow_3[Category],"Alfa")</f>
        <v>0</v>
      </c>
      <c r="N441" s="29">
        <f>SUMIFS(Cash_Flow_3[Amount],Cash_Flow_3[Bulan],H441,Cash_Flow_3[Type],"Out",Cash_Flow_3[Category],"Jajan")</f>
        <v>0</v>
      </c>
      <c r="O441" s="29">
        <f>SUMIFS(Cash_Flow_3[Amount],Cash_Flow_3[Bulan],H441,Cash_Flow_3[Type],"Out",Cash_Flow_3[Category],"Kitchen")</f>
        <v>0</v>
      </c>
      <c r="P441" s="29">
        <f>SUMIFS(Cash_Flow_3[Amount],Cash_Flow_3[Bulan],H441,Cash_Flow_3[Type],"Out",Cash_Flow_3[Category],"Loandry")</f>
        <v>0</v>
      </c>
      <c r="Q441" s="29">
        <f>SUMIFS(Cash_Flow_3[Amount],Cash_Flow_3[Bulan],H441,Cash_Flow_3[Type],"Out",Cash_Flow_3[Category],"Mio")</f>
        <v>0</v>
      </c>
      <c r="R441" s="29">
        <f>SUMIFS(Cash_Flow_3[Amount],Cash_Flow_3[Bulan],H441,Cash_Flow_3[Type],"Out",Cash_Flow_3[Category],"Sedekah")</f>
        <v>0</v>
      </c>
      <c r="S441" s="29">
        <f>SUMIFS(Cash_Flow_3[Amount],Cash_Flow_3[Bulan],H441,Cash_Flow_3[Type],"Out",Cash_Flow_3[Category],"Zela")</f>
        <v>0</v>
      </c>
      <c r="T441" s="29">
        <f>SUMIFS(Cash_Flow_3[Amount],Cash_Flow_3[Bulan],H441,Cash_Flow_3[Type],"Out",Cash_Flow_3[Category],"Iqbal")</f>
        <v>0</v>
      </c>
    </row>
    <row r="442" spans="1:20" ht="22.5" customHeight="1" x14ac:dyDescent="0.2">
      <c r="A442" s="23"/>
      <c r="B442" s="24"/>
      <c r="C442" s="25"/>
      <c r="D442" s="25"/>
      <c r="E442" s="25"/>
      <c r="F442" s="26"/>
      <c r="G442" s="27"/>
      <c r="H442" s="28" t="str">
        <f t="shared" si="0"/>
        <v/>
      </c>
      <c r="I442" s="29">
        <f>SUMIFS(Cash_Flow_3[Amount],Cash_Flow_3[Bulan],H442,Cash_Flow_3[Type],"In")</f>
        <v>0</v>
      </c>
      <c r="J442" s="29">
        <f>SUMIFS(Cash_Flow_3[Amount],Cash_Flow_3[Bulan],H442,Cash_Flow_3[Type],"Out")</f>
        <v>0</v>
      </c>
      <c r="K442" s="29">
        <f>SUMIFS(Cash_Flow_3[Amount],Cash_Flow_3[Bulan],H442,Cash_Flow_3[Type],"Out",Cash_Flow_3[Category],"Fix")</f>
        <v>0</v>
      </c>
      <c r="L442" s="29">
        <f>SUMIFS(Cash_Flow_3[Amount],Cash_Flow_3[Bulan],H442,Cash_Flow_3[Type],"Out",Cash_Flow_3[Category],"Bathroom")</f>
        <v>0</v>
      </c>
      <c r="M442" s="29">
        <f>SUMIFS(Cash_Flow_3[Amount],Cash_Flow_3[Bulan],H442,Cash_Flow_3[Type],"Out",Cash_Flow_3[Category],"Alfa")</f>
        <v>0</v>
      </c>
      <c r="N442" s="29">
        <f>SUMIFS(Cash_Flow_3[Amount],Cash_Flow_3[Bulan],H442,Cash_Flow_3[Type],"Out",Cash_Flow_3[Category],"Jajan")</f>
        <v>0</v>
      </c>
      <c r="O442" s="29">
        <f>SUMIFS(Cash_Flow_3[Amount],Cash_Flow_3[Bulan],H442,Cash_Flow_3[Type],"Out",Cash_Flow_3[Category],"Kitchen")</f>
        <v>0</v>
      </c>
      <c r="P442" s="29">
        <f>SUMIFS(Cash_Flow_3[Amount],Cash_Flow_3[Bulan],H442,Cash_Flow_3[Type],"Out",Cash_Flow_3[Category],"Loandry")</f>
        <v>0</v>
      </c>
      <c r="Q442" s="29">
        <f>SUMIFS(Cash_Flow_3[Amount],Cash_Flow_3[Bulan],H442,Cash_Flow_3[Type],"Out",Cash_Flow_3[Category],"Mio")</f>
        <v>0</v>
      </c>
      <c r="R442" s="29">
        <f>SUMIFS(Cash_Flow_3[Amount],Cash_Flow_3[Bulan],H442,Cash_Flow_3[Type],"Out",Cash_Flow_3[Category],"Sedekah")</f>
        <v>0</v>
      </c>
      <c r="S442" s="29">
        <f>SUMIFS(Cash_Flow_3[Amount],Cash_Flow_3[Bulan],H442,Cash_Flow_3[Type],"Out",Cash_Flow_3[Category],"Zela")</f>
        <v>0</v>
      </c>
      <c r="T442" s="29">
        <f>SUMIFS(Cash_Flow_3[Amount],Cash_Flow_3[Bulan],H442,Cash_Flow_3[Type],"Out",Cash_Flow_3[Category],"Iqbal")</f>
        <v>0</v>
      </c>
    </row>
    <row r="443" spans="1:20" ht="22.5" customHeight="1" x14ac:dyDescent="0.2">
      <c r="A443" s="23"/>
      <c r="B443" s="24"/>
      <c r="C443" s="25"/>
      <c r="D443" s="25"/>
      <c r="E443" s="25"/>
      <c r="F443" s="26"/>
      <c r="G443" s="27"/>
      <c r="H443" s="28" t="str">
        <f t="shared" si="0"/>
        <v/>
      </c>
      <c r="I443" s="29">
        <f>SUMIFS(Cash_Flow_3[Amount],Cash_Flow_3[Bulan],H443,Cash_Flow_3[Type],"In")</f>
        <v>0</v>
      </c>
      <c r="J443" s="29">
        <f>SUMIFS(Cash_Flow_3[Amount],Cash_Flow_3[Bulan],H443,Cash_Flow_3[Type],"Out")</f>
        <v>0</v>
      </c>
      <c r="K443" s="29">
        <f>SUMIFS(Cash_Flow_3[Amount],Cash_Flow_3[Bulan],H443,Cash_Flow_3[Type],"Out",Cash_Flow_3[Category],"Fix")</f>
        <v>0</v>
      </c>
      <c r="L443" s="29">
        <f>SUMIFS(Cash_Flow_3[Amount],Cash_Flow_3[Bulan],H443,Cash_Flow_3[Type],"Out",Cash_Flow_3[Category],"Bathroom")</f>
        <v>0</v>
      </c>
      <c r="M443" s="29">
        <f>SUMIFS(Cash_Flow_3[Amount],Cash_Flow_3[Bulan],H443,Cash_Flow_3[Type],"Out",Cash_Flow_3[Category],"Alfa")</f>
        <v>0</v>
      </c>
      <c r="N443" s="29">
        <f>SUMIFS(Cash_Flow_3[Amount],Cash_Flow_3[Bulan],H443,Cash_Flow_3[Type],"Out",Cash_Flow_3[Category],"Jajan")</f>
        <v>0</v>
      </c>
      <c r="O443" s="29">
        <f>SUMIFS(Cash_Flow_3[Amount],Cash_Flow_3[Bulan],H443,Cash_Flow_3[Type],"Out",Cash_Flow_3[Category],"Kitchen")</f>
        <v>0</v>
      </c>
      <c r="P443" s="29">
        <f>SUMIFS(Cash_Flow_3[Amount],Cash_Flow_3[Bulan],H443,Cash_Flow_3[Type],"Out",Cash_Flow_3[Category],"Loandry")</f>
        <v>0</v>
      </c>
      <c r="Q443" s="29">
        <f>SUMIFS(Cash_Flow_3[Amount],Cash_Flow_3[Bulan],H443,Cash_Flow_3[Type],"Out",Cash_Flow_3[Category],"Mio")</f>
        <v>0</v>
      </c>
      <c r="R443" s="29">
        <f>SUMIFS(Cash_Flow_3[Amount],Cash_Flow_3[Bulan],H443,Cash_Flow_3[Type],"Out",Cash_Flow_3[Category],"Sedekah")</f>
        <v>0</v>
      </c>
      <c r="S443" s="29">
        <f>SUMIFS(Cash_Flow_3[Amount],Cash_Flow_3[Bulan],H443,Cash_Flow_3[Type],"Out",Cash_Flow_3[Category],"Zela")</f>
        <v>0</v>
      </c>
      <c r="T443" s="29">
        <f>SUMIFS(Cash_Flow_3[Amount],Cash_Flow_3[Bulan],H443,Cash_Flow_3[Type],"Out",Cash_Flow_3[Category],"Iqbal")</f>
        <v>0</v>
      </c>
    </row>
    <row r="444" spans="1:20" ht="22.5" customHeight="1" x14ac:dyDescent="0.2">
      <c r="A444" s="23"/>
      <c r="B444" s="24"/>
      <c r="C444" s="25"/>
      <c r="D444" s="25"/>
      <c r="E444" s="25"/>
      <c r="F444" s="26"/>
      <c r="G444" s="27"/>
      <c r="H444" s="28" t="str">
        <f t="shared" si="0"/>
        <v/>
      </c>
      <c r="I444" s="29">
        <f>SUMIFS(Cash_Flow_3[Amount],Cash_Flow_3[Bulan],H444,Cash_Flow_3[Type],"In")</f>
        <v>0</v>
      </c>
      <c r="J444" s="29">
        <f>SUMIFS(Cash_Flow_3[Amount],Cash_Flow_3[Bulan],H444,Cash_Flow_3[Type],"Out")</f>
        <v>0</v>
      </c>
      <c r="K444" s="29">
        <f>SUMIFS(Cash_Flow_3[Amount],Cash_Flow_3[Bulan],H444,Cash_Flow_3[Type],"Out",Cash_Flow_3[Category],"Fix")</f>
        <v>0</v>
      </c>
      <c r="L444" s="29">
        <f>SUMIFS(Cash_Flow_3[Amount],Cash_Flow_3[Bulan],H444,Cash_Flow_3[Type],"Out",Cash_Flow_3[Category],"Bathroom")</f>
        <v>0</v>
      </c>
      <c r="M444" s="29">
        <f>SUMIFS(Cash_Flow_3[Amount],Cash_Flow_3[Bulan],H444,Cash_Flow_3[Type],"Out",Cash_Flow_3[Category],"Alfa")</f>
        <v>0</v>
      </c>
      <c r="N444" s="29">
        <f>SUMIFS(Cash_Flow_3[Amount],Cash_Flow_3[Bulan],H444,Cash_Flow_3[Type],"Out",Cash_Flow_3[Category],"Jajan")</f>
        <v>0</v>
      </c>
      <c r="O444" s="29">
        <f>SUMIFS(Cash_Flow_3[Amount],Cash_Flow_3[Bulan],H444,Cash_Flow_3[Type],"Out",Cash_Flow_3[Category],"Kitchen")</f>
        <v>0</v>
      </c>
      <c r="P444" s="29">
        <f>SUMIFS(Cash_Flow_3[Amount],Cash_Flow_3[Bulan],H444,Cash_Flow_3[Type],"Out",Cash_Flow_3[Category],"Loandry")</f>
        <v>0</v>
      </c>
      <c r="Q444" s="29">
        <f>SUMIFS(Cash_Flow_3[Amount],Cash_Flow_3[Bulan],H444,Cash_Flow_3[Type],"Out",Cash_Flow_3[Category],"Mio")</f>
        <v>0</v>
      </c>
      <c r="R444" s="29">
        <f>SUMIFS(Cash_Flow_3[Amount],Cash_Flow_3[Bulan],H444,Cash_Flow_3[Type],"Out",Cash_Flow_3[Category],"Sedekah")</f>
        <v>0</v>
      </c>
      <c r="S444" s="29">
        <f>SUMIFS(Cash_Flow_3[Amount],Cash_Flow_3[Bulan],H444,Cash_Flow_3[Type],"Out",Cash_Flow_3[Category],"Zela")</f>
        <v>0</v>
      </c>
      <c r="T444" s="29">
        <f>SUMIFS(Cash_Flow_3[Amount],Cash_Flow_3[Bulan],H444,Cash_Flow_3[Type],"Out",Cash_Flow_3[Category],"Iqbal")</f>
        <v>0</v>
      </c>
    </row>
    <row r="445" spans="1:20" ht="22.5" customHeight="1" x14ac:dyDescent="0.2">
      <c r="A445" s="23"/>
      <c r="B445" s="24"/>
      <c r="C445" s="25"/>
      <c r="D445" s="25"/>
      <c r="E445" s="25"/>
      <c r="F445" s="26"/>
      <c r="G445" s="27"/>
      <c r="H445" s="28" t="str">
        <f t="shared" si="0"/>
        <v/>
      </c>
      <c r="I445" s="29">
        <f>SUMIFS(Cash_Flow_3[Amount],Cash_Flow_3[Bulan],H445,Cash_Flow_3[Type],"In")</f>
        <v>0</v>
      </c>
      <c r="J445" s="29">
        <f>SUMIFS(Cash_Flow_3[Amount],Cash_Flow_3[Bulan],H445,Cash_Flow_3[Type],"Out")</f>
        <v>0</v>
      </c>
      <c r="K445" s="29">
        <f>SUMIFS(Cash_Flow_3[Amount],Cash_Flow_3[Bulan],H445,Cash_Flow_3[Type],"Out",Cash_Flow_3[Category],"Fix")</f>
        <v>0</v>
      </c>
      <c r="L445" s="29">
        <f>SUMIFS(Cash_Flow_3[Amount],Cash_Flow_3[Bulan],H445,Cash_Flow_3[Type],"Out",Cash_Flow_3[Category],"Bathroom")</f>
        <v>0</v>
      </c>
      <c r="M445" s="29">
        <f>SUMIFS(Cash_Flow_3[Amount],Cash_Flow_3[Bulan],H445,Cash_Flow_3[Type],"Out",Cash_Flow_3[Category],"Alfa")</f>
        <v>0</v>
      </c>
      <c r="N445" s="29">
        <f>SUMIFS(Cash_Flow_3[Amount],Cash_Flow_3[Bulan],H445,Cash_Flow_3[Type],"Out",Cash_Flow_3[Category],"Jajan")</f>
        <v>0</v>
      </c>
      <c r="O445" s="29">
        <f>SUMIFS(Cash_Flow_3[Amount],Cash_Flow_3[Bulan],H445,Cash_Flow_3[Type],"Out",Cash_Flow_3[Category],"Kitchen")</f>
        <v>0</v>
      </c>
      <c r="P445" s="29">
        <f>SUMIFS(Cash_Flow_3[Amount],Cash_Flow_3[Bulan],H445,Cash_Flow_3[Type],"Out",Cash_Flow_3[Category],"Loandry")</f>
        <v>0</v>
      </c>
      <c r="Q445" s="29">
        <f>SUMIFS(Cash_Flow_3[Amount],Cash_Flow_3[Bulan],H445,Cash_Flow_3[Type],"Out",Cash_Flow_3[Category],"Mio")</f>
        <v>0</v>
      </c>
      <c r="R445" s="29">
        <f>SUMIFS(Cash_Flow_3[Amount],Cash_Flow_3[Bulan],H445,Cash_Flow_3[Type],"Out",Cash_Flow_3[Category],"Sedekah")</f>
        <v>0</v>
      </c>
      <c r="S445" s="29">
        <f>SUMIFS(Cash_Flow_3[Amount],Cash_Flow_3[Bulan],H445,Cash_Flow_3[Type],"Out",Cash_Flow_3[Category],"Zela")</f>
        <v>0</v>
      </c>
      <c r="T445" s="29">
        <f>SUMIFS(Cash_Flow_3[Amount],Cash_Flow_3[Bulan],H445,Cash_Flow_3[Type],"Out",Cash_Flow_3[Category],"Iqbal")</f>
        <v>0</v>
      </c>
    </row>
    <row r="446" spans="1:20" ht="22.5" customHeight="1" x14ac:dyDescent="0.2">
      <c r="A446" s="23"/>
      <c r="B446" s="24"/>
      <c r="C446" s="25"/>
      <c r="D446" s="25"/>
      <c r="E446" s="25"/>
      <c r="F446" s="26"/>
      <c r="G446" s="27"/>
      <c r="H446" s="28" t="str">
        <f t="shared" si="0"/>
        <v/>
      </c>
      <c r="I446" s="29">
        <f>SUMIFS(Cash_Flow_3[Amount],Cash_Flow_3[Bulan],H446,Cash_Flow_3[Type],"In")</f>
        <v>0</v>
      </c>
      <c r="J446" s="29">
        <f>SUMIFS(Cash_Flow_3[Amount],Cash_Flow_3[Bulan],H446,Cash_Flow_3[Type],"Out")</f>
        <v>0</v>
      </c>
      <c r="K446" s="29">
        <f>SUMIFS(Cash_Flow_3[Amount],Cash_Flow_3[Bulan],H446,Cash_Flow_3[Type],"Out",Cash_Flow_3[Category],"Fix")</f>
        <v>0</v>
      </c>
      <c r="L446" s="29">
        <f>SUMIFS(Cash_Flow_3[Amount],Cash_Flow_3[Bulan],H446,Cash_Flow_3[Type],"Out",Cash_Flow_3[Category],"Bathroom")</f>
        <v>0</v>
      </c>
      <c r="M446" s="29">
        <f>SUMIFS(Cash_Flow_3[Amount],Cash_Flow_3[Bulan],H446,Cash_Flow_3[Type],"Out",Cash_Flow_3[Category],"Alfa")</f>
        <v>0</v>
      </c>
      <c r="N446" s="29">
        <f>SUMIFS(Cash_Flow_3[Amount],Cash_Flow_3[Bulan],H446,Cash_Flow_3[Type],"Out",Cash_Flow_3[Category],"Jajan")</f>
        <v>0</v>
      </c>
      <c r="O446" s="29">
        <f>SUMIFS(Cash_Flow_3[Amount],Cash_Flow_3[Bulan],H446,Cash_Flow_3[Type],"Out",Cash_Flow_3[Category],"Kitchen")</f>
        <v>0</v>
      </c>
      <c r="P446" s="29">
        <f>SUMIFS(Cash_Flow_3[Amount],Cash_Flow_3[Bulan],H446,Cash_Flow_3[Type],"Out",Cash_Flow_3[Category],"Loandry")</f>
        <v>0</v>
      </c>
      <c r="Q446" s="29">
        <f>SUMIFS(Cash_Flow_3[Amount],Cash_Flow_3[Bulan],H446,Cash_Flow_3[Type],"Out",Cash_Flow_3[Category],"Mio")</f>
        <v>0</v>
      </c>
      <c r="R446" s="29">
        <f>SUMIFS(Cash_Flow_3[Amount],Cash_Flow_3[Bulan],H446,Cash_Flow_3[Type],"Out",Cash_Flow_3[Category],"Sedekah")</f>
        <v>0</v>
      </c>
      <c r="S446" s="29">
        <f>SUMIFS(Cash_Flow_3[Amount],Cash_Flow_3[Bulan],H446,Cash_Flow_3[Type],"Out",Cash_Flow_3[Category],"Zela")</f>
        <v>0</v>
      </c>
      <c r="T446" s="29">
        <f>SUMIFS(Cash_Flow_3[Amount],Cash_Flow_3[Bulan],H446,Cash_Flow_3[Type],"Out",Cash_Flow_3[Category],"Iqbal")</f>
        <v>0</v>
      </c>
    </row>
    <row r="447" spans="1:20" ht="22.5" customHeight="1" x14ac:dyDescent="0.2">
      <c r="A447" s="23"/>
      <c r="B447" s="24"/>
      <c r="C447" s="25"/>
      <c r="D447" s="25"/>
      <c r="E447" s="25"/>
      <c r="F447" s="26"/>
      <c r="G447" s="27"/>
      <c r="H447" s="28" t="str">
        <f t="shared" si="0"/>
        <v/>
      </c>
      <c r="I447" s="29">
        <f>SUMIFS(Cash_Flow_3[Amount],Cash_Flow_3[Bulan],H447,Cash_Flow_3[Type],"In")</f>
        <v>0</v>
      </c>
      <c r="J447" s="29">
        <f>SUMIFS(Cash_Flow_3[Amount],Cash_Flow_3[Bulan],H447,Cash_Flow_3[Type],"Out")</f>
        <v>0</v>
      </c>
      <c r="K447" s="29">
        <f>SUMIFS(Cash_Flow_3[Amount],Cash_Flow_3[Bulan],H447,Cash_Flow_3[Type],"Out",Cash_Flow_3[Category],"Fix")</f>
        <v>0</v>
      </c>
      <c r="L447" s="29">
        <f>SUMIFS(Cash_Flow_3[Amount],Cash_Flow_3[Bulan],H447,Cash_Flow_3[Type],"Out",Cash_Flow_3[Category],"Bathroom")</f>
        <v>0</v>
      </c>
      <c r="M447" s="29">
        <f>SUMIFS(Cash_Flow_3[Amount],Cash_Flow_3[Bulan],H447,Cash_Flow_3[Type],"Out",Cash_Flow_3[Category],"Alfa")</f>
        <v>0</v>
      </c>
      <c r="N447" s="29">
        <f>SUMIFS(Cash_Flow_3[Amount],Cash_Flow_3[Bulan],H447,Cash_Flow_3[Type],"Out",Cash_Flow_3[Category],"Jajan")</f>
        <v>0</v>
      </c>
      <c r="O447" s="29">
        <f>SUMIFS(Cash_Flow_3[Amount],Cash_Flow_3[Bulan],H447,Cash_Flow_3[Type],"Out",Cash_Flow_3[Category],"Kitchen")</f>
        <v>0</v>
      </c>
      <c r="P447" s="29">
        <f>SUMIFS(Cash_Flow_3[Amount],Cash_Flow_3[Bulan],H447,Cash_Flow_3[Type],"Out",Cash_Flow_3[Category],"Loandry")</f>
        <v>0</v>
      </c>
      <c r="Q447" s="29">
        <f>SUMIFS(Cash_Flow_3[Amount],Cash_Flow_3[Bulan],H447,Cash_Flow_3[Type],"Out",Cash_Flow_3[Category],"Mio")</f>
        <v>0</v>
      </c>
      <c r="R447" s="29">
        <f>SUMIFS(Cash_Flow_3[Amount],Cash_Flow_3[Bulan],H447,Cash_Flow_3[Type],"Out",Cash_Flow_3[Category],"Sedekah")</f>
        <v>0</v>
      </c>
      <c r="S447" s="29">
        <f>SUMIFS(Cash_Flow_3[Amount],Cash_Flow_3[Bulan],H447,Cash_Flow_3[Type],"Out",Cash_Flow_3[Category],"Zela")</f>
        <v>0</v>
      </c>
      <c r="T447" s="29">
        <f>SUMIFS(Cash_Flow_3[Amount],Cash_Flow_3[Bulan],H447,Cash_Flow_3[Type],"Out",Cash_Flow_3[Category],"Iqbal")</f>
        <v>0</v>
      </c>
    </row>
    <row r="448" spans="1:20" ht="22.5" customHeight="1" x14ac:dyDescent="0.2">
      <c r="A448" s="23"/>
      <c r="B448" s="24"/>
      <c r="C448" s="25"/>
      <c r="D448" s="25"/>
      <c r="E448" s="25"/>
      <c r="F448" s="26"/>
      <c r="G448" s="27"/>
      <c r="H448" s="28" t="str">
        <f t="shared" si="0"/>
        <v/>
      </c>
      <c r="I448" s="29">
        <f>SUMIFS(Cash_Flow_3[Amount],Cash_Flow_3[Bulan],H448,Cash_Flow_3[Type],"In")</f>
        <v>0</v>
      </c>
      <c r="J448" s="29">
        <f>SUMIFS(Cash_Flow_3[Amount],Cash_Flow_3[Bulan],H448,Cash_Flow_3[Type],"Out")</f>
        <v>0</v>
      </c>
      <c r="K448" s="29">
        <f>SUMIFS(Cash_Flow_3[Amount],Cash_Flow_3[Bulan],H448,Cash_Flow_3[Type],"Out",Cash_Flow_3[Category],"Fix")</f>
        <v>0</v>
      </c>
      <c r="L448" s="29">
        <f>SUMIFS(Cash_Flow_3[Amount],Cash_Flow_3[Bulan],H448,Cash_Flow_3[Type],"Out",Cash_Flow_3[Category],"Bathroom")</f>
        <v>0</v>
      </c>
      <c r="M448" s="29">
        <f>SUMIFS(Cash_Flow_3[Amount],Cash_Flow_3[Bulan],H448,Cash_Flow_3[Type],"Out",Cash_Flow_3[Category],"Alfa")</f>
        <v>0</v>
      </c>
      <c r="N448" s="29">
        <f>SUMIFS(Cash_Flow_3[Amount],Cash_Flow_3[Bulan],H448,Cash_Flow_3[Type],"Out",Cash_Flow_3[Category],"Jajan")</f>
        <v>0</v>
      </c>
      <c r="O448" s="29">
        <f>SUMIFS(Cash_Flow_3[Amount],Cash_Flow_3[Bulan],H448,Cash_Flow_3[Type],"Out",Cash_Flow_3[Category],"Kitchen")</f>
        <v>0</v>
      </c>
      <c r="P448" s="29">
        <f>SUMIFS(Cash_Flow_3[Amount],Cash_Flow_3[Bulan],H448,Cash_Flow_3[Type],"Out",Cash_Flow_3[Category],"Loandry")</f>
        <v>0</v>
      </c>
      <c r="Q448" s="29">
        <f>SUMIFS(Cash_Flow_3[Amount],Cash_Flow_3[Bulan],H448,Cash_Flow_3[Type],"Out",Cash_Flow_3[Category],"Mio")</f>
        <v>0</v>
      </c>
      <c r="R448" s="29">
        <f>SUMIFS(Cash_Flow_3[Amount],Cash_Flow_3[Bulan],H448,Cash_Flow_3[Type],"Out",Cash_Flow_3[Category],"Sedekah")</f>
        <v>0</v>
      </c>
      <c r="S448" s="29">
        <f>SUMIFS(Cash_Flow_3[Amount],Cash_Flow_3[Bulan],H448,Cash_Flow_3[Type],"Out",Cash_Flow_3[Category],"Zela")</f>
        <v>0</v>
      </c>
      <c r="T448" s="29">
        <f>SUMIFS(Cash_Flow_3[Amount],Cash_Flow_3[Bulan],H448,Cash_Flow_3[Type],"Out",Cash_Flow_3[Category],"Iqbal")</f>
        <v>0</v>
      </c>
    </row>
    <row r="449" spans="1:20" ht="22.5" customHeight="1" x14ac:dyDescent="0.2">
      <c r="A449" s="23"/>
      <c r="B449" s="24"/>
      <c r="C449" s="25"/>
      <c r="D449" s="25"/>
      <c r="E449" s="25"/>
      <c r="F449" s="26"/>
      <c r="G449" s="27"/>
      <c r="H449" s="28" t="str">
        <f t="shared" si="0"/>
        <v/>
      </c>
      <c r="I449" s="29">
        <f>SUMIFS(Cash_Flow_3[Amount],Cash_Flow_3[Bulan],H449,Cash_Flow_3[Type],"In")</f>
        <v>0</v>
      </c>
      <c r="J449" s="29">
        <f>SUMIFS(Cash_Flow_3[Amount],Cash_Flow_3[Bulan],H449,Cash_Flow_3[Type],"Out")</f>
        <v>0</v>
      </c>
      <c r="K449" s="29">
        <f>SUMIFS(Cash_Flow_3[Amount],Cash_Flow_3[Bulan],H449,Cash_Flow_3[Type],"Out",Cash_Flow_3[Category],"Fix")</f>
        <v>0</v>
      </c>
      <c r="L449" s="29">
        <f>SUMIFS(Cash_Flow_3[Amount],Cash_Flow_3[Bulan],H449,Cash_Flow_3[Type],"Out",Cash_Flow_3[Category],"Bathroom")</f>
        <v>0</v>
      </c>
      <c r="M449" s="29">
        <f>SUMIFS(Cash_Flow_3[Amount],Cash_Flow_3[Bulan],H449,Cash_Flow_3[Type],"Out",Cash_Flow_3[Category],"Alfa")</f>
        <v>0</v>
      </c>
      <c r="N449" s="29">
        <f>SUMIFS(Cash_Flow_3[Amount],Cash_Flow_3[Bulan],H449,Cash_Flow_3[Type],"Out",Cash_Flow_3[Category],"Jajan")</f>
        <v>0</v>
      </c>
      <c r="O449" s="29">
        <f>SUMIFS(Cash_Flow_3[Amount],Cash_Flow_3[Bulan],H449,Cash_Flow_3[Type],"Out",Cash_Flow_3[Category],"Kitchen")</f>
        <v>0</v>
      </c>
      <c r="P449" s="29">
        <f>SUMIFS(Cash_Flow_3[Amount],Cash_Flow_3[Bulan],H449,Cash_Flow_3[Type],"Out",Cash_Flow_3[Category],"Loandry")</f>
        <v>0</v>
      </c>
      <c r="Q449" s="29">
        <f>SUMIFS(Cash_Flow_3[Amount],Cash_Flow_3[Bulan],H449,Cash_Flow_3[Type],"Out",Cash_Flow_3[Category],"Mio")</f>
        <v>0</v>
      </c>
      <c r="R449" s="29">
        <f>SUMIFS(Cash_Flow_3[Amount],Cash_Flow_3[Bulan],H449,Cash_Flow_3[Type],"Out",Cash_Flow_3[Category],"Sedekah")</f>
        <v>0</v>
      </c>
      <c r="S449" s="29">
        <f>SUMIFS(Cash_Flow_3[Amount],Cash_Flow_3[Bulan],H449,Cash_Flow_3[Type],"Out",Cash_Flow_3[Category],"Zela")</f>
        <v>0</v>
      </c>
      <c r="T449" s="29">
        <f>SUMIFS(Cash_Flow_3[Amount],Cash_Flow_3[Bulan],H449,Cash_Flow_3[Type],"Out",Cash_Flow_3[Category],"Iqbal")</f>
        <v>0</v>
      </c>
    </row>
    <row r="450" spans="1:20" ht="22.5" customHeight="1" x14ac:dyDescent="0.2">
      <c r="A450" s="23"/>
      <c r="B450" s="24"/>
      <c r="C450" s="25"/>
      <c r="D450" s="25"/>
      <c r="E450" s="25"/>
      <c r="F450" s="26"/>
      <c r="G450" s="27"/>
      <c r="H450" s="28" t="str">
        <f t="shared" si="0"/>
        <v/>
      </c>
      <c r="I450" s="29">
        <f>SUMIFS(Cash_Flow_3[Amount],Cash_Flow_3[Bulan],H450,Cash_Flow_3[Type],"In")</f>
        <v>0</v>
      </c>
      <c r="J450" s="29">
        <f>SUMIFS(Cash_Flow_3[Amount],Cash_Flow_3[Bulan],H450,Cash_Flow_3[Type],"Out")</f>
        <v>0</v>
      </c>
      <c r="K450" s="29">
        <f>SUMIFS(Cash_Flow_3[Amount],Cash_Flow_3[Bulan],H450,Cash_Flow_3[Type],"Out",Cash_Flow_3[Category],"Fix")</f>
        <v>0</v>
      </c>
      <c r="L450" s="29">
        <f>SUMIFS(Cash_Flow_3[Amount],Cash_Flow_3[Bulan],H450,Cash_Flow_3[Type],"Out",Cash_Flow_3[Category],"Bathroom")</f>
        <v>0</v>
      </c>
      <c r="M450" s="29">
        <f>SUMIFS(Cash_Flow_3[Amount],Cash_Flow_3[Bulan],H450,Cash_Flow_3[Type],"Out",Cash_Flow_3[Category],"Alfa")</f>
        <v>0</v>
      </c>
      <c r="N450" s="29">
        <f>SUMIFS(Cash_Flow_3[Amount],Cash_Flow_3[Bulan],H450,Cash_Flow_3[Type],"Out",Cash_Flow_3[Category],"Jajan")</f>
        <v>0</v>
      </c>
      <c r="O450" s="29">
        <f>SUMIFS(Cash_Flow_3[Amount],Cash_Flow_3[Bulan],H450,Cash_Flow_3[Type],"Out",Cash_Flow_3[Category],"Kitchen")</f>
        <v>0</v>
      </c>
      <c r="P450" s="29">
        <f>SUMIFS(Cash_Flow_3[Amount],Cash_Flow_3[Bulan],H450,Cash_Flow_3[Type],"Out",Cash_Flow_3[Category],"Loandry")</f>
        <v>0</v>
      </c>
      <c r="Q450" s="29">
        <f>SUMIFS(Cash_Flow_3[Amount],Cash_Flow_3[Bulan],H450,Cash_Flow_3[Type],"Out",Cash_Flow_3[Category],"Mio")</f>
        <v>0</v>
      </c>
      <c r="R450" s="29">
        <f>SUMIFS(Cash_Flow_3[Amount],Cash_Flow_3[Bulan],H450,Cash_Flow_3[Type],"Out",Cash_Flow_3[Category],"Sedekah")</f>
        <v>0</v>
      </c>
      <c r="S450" s="29">
        <f>SUMIFS(Cash_Flow_3[Amount],Cash_Flow_3[Bulan],H450,Cash_Flow_3[Type],"Out",Cash_Flow_3[Category],"Zela")</f>
        <v>0</v>
      </c>
      <c r="T450" s="29">
        <f>SUMIFS(Cash_Flow_3[Amount],Cash_Flow_3[Bulan],H450,Cash_Flow_3[Type],"Out",Cash_Flow_3[Category],"Iqbal")</f>
        <v>0</v>
      </c>
    </row>
    <row r="451" spans="1:20" ht="22.5" customHeight="1" x14ac:dyDescent="0.2">
      <c r="A451" s="23"/>
      <c r="B451" s="24"/>
      <c r="C451" s="25"/>
      <c r="D451" s="25"/>
      <c r="E451" s="25"/>
      <c r="F451" s="26"/>
      <c r="G451" s="27"/>
      <c r="H451" s="28" t="str">
        <f t="shared" si="0"/>
        <v/>
      </c>
      <c r="I451" s="29">
        <f>SUMIFS(Cash_Flow_3[Amount],Cash_Flow_3[Bulan],H451,Cash_Flow_3[Type],"In")</f>
        <v>0</v>
      </c>
      <c r="J451" s="29">
        <f>SUMIFS(Cash_Flow_3[Amount],Cash_Flow_3[Bulan],H451,Cash_Flow_3[Type],"Out")</f>
        <v>0</v>
      </c>
      <c r="K451" s="29">
        <f>SUMIFS(Cash_Flow_3[Amount],Cash_Flow_3[Bulan],H451,Cash_Flow_3[Type],"Out",Cash_Flow_3[Category],"Fix")</f>
        <v>0</v>
      </c>
      <c r="L451" s="29">
        <f>SUMIFS(Cash_Flow_3[Amount],Cash_Flow_3[Bulan],H451,Cash_Flow_3[Type],"Out",Cash_Flow_3[Category],"Bathroom")</f>
        <v>0</v>
      </c>
      <c r="M451" s="29">
        <f>SUMIFS(Cash_Flow_3[Amount],Cash_Flow_3[Bulan],H451,Cash_Flow_3[Type],"Out",Cash_Flow_3[Category],"Alfa")</f>
        <v>0</v>
      </c>
      <c r="N451" s="29">
        <f>SUMIFS(Cash_Flow_3[Amount],Cash_Flow_3[Bulan],H451,Cash_Flow_3[Type],"Out",Cash_Flow_3[Category],"Jajan")</f>
        <v>0</v>
      </c>
      <c r="O451" s="29">
        <f>SUMIFS(Cash_Flow_3[Amount],Cash_Flow_3[Bulan],H451,Cash_Flow_3[Type],"Out",Cash_Flow_3[Category],"Kitchen")</f>
        <v>0</v>
      </c>
      <c r="P451" s="29">
        <f>SUMIFS(Cash_Flow_3[Amount],Cash_Flow_3[Bulan],H451,Cash_Flow_3[Type],"Out",Cash_Flow_3[Category],"Loandry")</f>
        <v>0</v>
      </c>
      <c r="Q451" s="29">
        <f>SUMIFS(Cash_Flow_3[Amount],Cash_Flow_3[Bulan],H451,Cash_Flow_3[Type],"Out",Cash_Flow_3[Category],"Mio")</f>
        <v>0</v>
      </c>
      <c r="R451" s="29">
        <f>SUMIFS(Cash_Flow_3[Amount],Cash_Flow_3[Bulan],H451,Cash_Flow_3[Type],"Out",Cash_Flow_3[Category],"Sedekah")</f>
        <v>0</v>
      </c>
      <c r="S451" s="29">
        <f>SUMIFS(Cash_Flow_3[Amount],Cash_Flow_3[Bulan],H451,Cash_Flow_3[Type],"Out",Cash_Flow_3[Category],"Zela")</f>
        <v>0</v>
      </c>
      <c r="T451" s="29">
        <f>SUMIFS(Cash_Flow_3[Amount],Cash_Flow_3[Bulan],H451,Cash_Flow_3[Type],"Out",Cash_Flow_3[Category],"Iqbal")</f>
        <v>0</v>
      </c>
    </row>
    <row r="452" spans="1:20" ht="22.5" customHeight="1" x14ac:dyDescent="0.2">
      <c r="A452" s="23"/>
      <c r="B452" s="24"/>
      <c r="C452" s="25"/>
      <c r="D452" s="25"/>
      <c r="E452" s="25"/>
      <c r="F452" s="26"/>
      <c r="G452" s="27"/>
      <c r="H452" s="28" t="str">
        <f t="shared" si="0"/>
        <v/>
      </c>
      <c r="I452" s="29">
        <f>SUMIFS(Cash_Flow_3[Amount],Cash_Flow_3[Bulan],H452,Cash_Flow_3[Type],"In")</f>
        <v>0</v>
      </c>
      <c r="J452" s="29">
        <f>SUMIFS(Cash_Flow_3[Amount],Cash_Flow_3[Bulan],H452,Cash_Flow_3[Type],"Out")</f>
        <v>0</v>
      </c>
      <c r="K452" s="29">
        <f>SUMIFS(Cash_Flow_3[Amount],Cash_Flow_3[Bulan],H452,Cash_Flow_3[Type],"Out",Cash_Flow_3[Category],"Fix")</f>
        <v>0</v>
      </c>
      <c r="L452" s="29">
        <f>SUMIFS(Cash_Flow_3[Amount],Cash_Flow_3[Bulan],H452,Cash_Flow_3[Type],"Out",Cash_Flow_3[Category],"Bathroom")</f>
        <v>0</v>
      </c>
      <c r="M452" s="29">
        <f>SUMIFS(Cash_Flow_3[Amount],Cash_Flow_3[Bulan],H452,Cash_Flow_3[Type],"Out",Cash_Flow_3[Category],"Alfa")</f>
        <v>0</v>
      </c>
      <c r="N452" s="29">
        <f>SUMIFS(Cash_Flow_3[Amount],Cash_Flow_3[Bulan],H452,Cash_Flow_3[Type],"Out",Cash_Flow_3[Category],"Jajan")</f>
        <v>0</v>
      </c>
      <c r="O452" s="29">
        <f>SUMIFS(Cash_Flow_3[Amount],Cash_Flow_3[Bulan],H452,Cash_Flow_3[Type],"Out",Cash_Flow_3[Category],"Kitchen")</f>
        <v>0</v>
      </c>
      <c r="P452" s="29">
        <f>SUMIFS(Cash_Flow_3[Amount],Cash_Flow_3[Bulan],H452,Cash_Flow_3[Type],"Out",Cash_Flow_3[Category],"Loandry")</f>
        <v>0</v>
      </c>
      <c r="Q452" s="29">
        <f>SUMIFS(Cash_Flow_3[Amount],Cash_Flow_3[Bulan],H452,Cash_Flow_3[Type],"Out",Cash_Flow_3[Category],"Mio")</f>
        <v>0</v>
      </c>
      <c r="R452" s="29">
        <f>SUMIFS(Cash_Flow_3[Amount],Cash_Flow_3[Bulan],H452,Cash_Flow_3[Type],"Out",Cash_Flow_3[Category],"Sedekah")</f>
        <v>0</v>
      </c>
      <c r="S452" s="29">
        <f>SUMIFS(Cash_Flow_3[Amount],Cash_Flow_3[Bulan],H452,Cash_Flow_3[Type],"Out",Cash_Flow_3[Category],"Zela")</f>
        <v>0</v>
      </c>
      <c r="T452" s="29">
        <f>SUMIFS(Cash_Flow_3[Amount],Cash_Flow_3[Bulan],H452,Cash_Flow_3[Type],"Out",Cash_Flow_3[Category],"Iqbal")</f>
        <v>0</v>
      </c>
    </row>
    <row r="453" spans="1:20" ht="22.5" customHeight="1" x14ac:dyDescent="0.2">
      <c r="A453" s="23"/>
      <c r="B453" s="24"/>
      <c r="C453" s="25"/>
      <c r="D453" s="25"/>
      <c r="E453" s="25"/>
      <c r="F453" s="26"/>
      <c r="G453" s="27"/>
      <c r="H453" s="28" t="str">
        <f t="shared" si="0"/>
        <v/>
      </c>
      <c r="I453" s="29">
        <f>SUMIFS(Cash_Flow_3[Amount],Cash_Flow_3[Bulan],H453,Cash_Flow_3[Type],"In")</f>
        <v>0</v>
      </c>
      <c r="J453" s="29">
        <f>SUMIFS(Cash_Flow_3[Amount],Cash_Flow_3[Bulan],H453,Cash_Flow_3[Type],"Out")</f>
        <v>0</v>
      </c>
      <c r="K453" s="29">
        <f>SUMIFS(Cash_Flow_3[Amount],Cash_Flow_3[Bulan],H453,Cash_Flow_3[Type],"Out",Cash_Flow_3[Category],"Fix")</f>
        <v>0</v>
      </c>
      <c r="L453" s="29">
        <f>SUMIFS(Cash_Flow_3[Amount],Cash_Flow_3[Bulan],H453,Cash_Flow_3[Type],"Out",Cash_Flow_3[Category],"Bathroom")</f>
        <v>0</v>
      </c>
      <c r="M453" s="29">
        <f>SUMIFS(Cash_Flow_3[Amount],Cash_Flow_3[Bulan],H453,Cash_Flow_3[Type],"Out",Cash_Flow_3[Category],"Alfa")</f>
        <v>0</v>
      </c>
      <c r="N453" s="29">
        <f>SUMIFS(Cash_Flow_3[Amount],Cash_Flow_3[Bulan],H453,Cash_Flow_3[Type],"Out",Cash_Flow_3[Category],"Jajan")</f>
        <v>0</v>
      </c>
      <c r="O453" s="29">
        <f>SUMIFS(Cash_Flow_3[Amount],Cash_Flow_3[Bulan],H453,Cash_Flow_3[Type],"Out",Cash_Flow_3[Category],"Kitchen")</f>
        <v>0</v>
      </c>
      <c r="P453" s="29">
        <f>SUMIFS(Cash_Flow_3[Amount],Cash_Flow_3[Bulan],H453,Cash_Flow_3[Type],"Out",Cash_Flow_3[Category],"Loandry")</f>
        <v>0</v>
      </c>
      <c r="Q453" s="29">
        <f>SUMIFS(Cash_Flow_3[Amount],Cash_Flow_3[Bulan],H453,Cash_Flow_3[Type],"Out",Cash_Flow_3[Category],"Mio")</f>
        <v>0</v>
      </c>
      <c r="R453" s="29">
        <f>SUMIFS(Cash_Flow_3[Amount],Cash_Flow_3[Bulan],H453,Cash_Flow_3[Type],"Out",Cash_Flow_3[Category],"Sedekah")</f>
        <v>0</v>
      </c>
      <c r="S453" s="29">
        <f>SUMIFS(Cash_Flow_3[Amount],Cash_Flow_3[Bulan],H453,Cash_Flow_3[Type],"Out",Cash_Flow_3[Category],"Zela")</f>
        <v>0</v>
      </c>
      <c r="T453" s="29">
        <f>SUMIFS(Cash_Flow_3[Amount],Cash_Flow_3[Bulan],H453,Cash_Flow_3[Type],"Out",Cash_Flow_3[Category],"Iqbal")</f>
        <v>0</v>
      </c>
    </row>
    <row r="454" spans="1:20" ht="22.5" customHeight="1" x14ac:dyDescent="0.2">
      <c r="A454" s="23"/>
      <c r="B454" s="24"/>
      <c r="C454" s="25"/>
      <c r="D454" s="25"/>
      <c r="E454" s="25"/>
      <c r="F454" s="26"/>
      <c r="G454" s="27"/>
      <c r="H454" s="28" t="str">
        <f t="shared" si="0"/>
        <v/>
      </c>
      <c r="I454" s="29">
        <f>SUMIFS(Cash_Flow_3[Amount],Cash_Flow_3[Bulan],H454,Cash_Flow_3[Type],"In")</f>
        <v>0</v>
      </c>
      <c r="J454" s="29">
        <f>SUMIFS(Cash_Flow_3[Amount],Cash_Flow_3[Bulan],H454,Cash_Flow_3[Type],"Out")</f>
        <v>0</v>
      </c>
      <c r="K454" s="29">
        <f>SUMIFS(Cash_Flow_3[Amount],Cash_Flow_3[Bulan],H454,Cash_Flow_3[Type],"Out",Cash_Flow_3[Category],"Fix")</f>
        <v>0</v>
      </c>
      <c r="L454" s="29">
        <f>SUMIFS(Cash_Flow_3[Amount],Cash_Flow_3[Bulan],H454,Cash_Flow_3[Type],"Out",Cash_Flow_3[Category],"Bathroom")</f>
        <v>0</v>
      </c>
      <c r="M454" s="29">
        <f>SUMIFS(Cash_Flow_3[Amount],Cash_Flow_3[Bulan],H454,Cash_Flow_3[Type],"Out",Cash_Flow_3[Category],"Alfa")</f>
        <v>0</v>
      </c>
      <c r="N454" s="29">
        <f>SUMIFS(Cash_Flow_3[Amount],Cash_Flow_3[Bulan],H454,Cash_Flow_3[Type],"Out",Cash_Flow_3[Category],"Jajan")</f>
        <v>0</v>
      </c>
      <c r="O454" s="29">
        <f>SUMIFS(Cash_Flow_3[Amount],Cash_Flow_3[Bulan],H454,Cash_Flow_3[Type],"Out",Cash_Flow_3[Category],"Kitchen")</f>
        <v>0</v>
      </c>
      <c r="P454" s="29">
        <f>SUMIFS(Cash_Flow_3[Amount],Cash_Flow_3[Bulan],H454,Cash_Flow_3[Type],"Out",Cash_Flow_3[Category],"Loandry")</f>
        <v>0</v>
      </c>
      <c r="Q454" s="29">
        <f>SUMIFS(Cash_Flow_3[Amount],Cash_Flow_3[Bulan],H454,Cash_Flow_3[Type],"Out",Cash_Flow_3[Category],"Mio")</f>
        <v>0</v>
      </c>
      <c r="R454" s="29">
        <f>SUMIFS(Cash_Flow_3[Amount],Cash_Flow_3[Bulan],H454,Cash_Flow_3[Type],"Out",Cash_Flow_3[Category],"Sedekah")</f>
        <v>0</v>
      </c>
      <c r="S454" s="29">
        <f>SUMIFS(Cash_Flow_3[Amount],Cash_Flow_3[Bulan],H454,Cash_Flow_3[Type],"Out",Cash_Flow_3[Category],"Zela")</f>
        <v>0</v>
      </c>
      <c r="T454" s="29">
        <f>SUMIFS(Cash_Flow_3[Amount],Cash_Flow_3[Bulan],H454,Cash_Flow_3[Type],"Out",Cash_Flow_3[Category],"Iqbal")</f>
        <v>0</v>
      </c>
    </row>
    <row r="455" spans="1:20" ht="22.5" customHeight="1" x14ac:dyDescent="0.2">
      <c r="A455" s="23"/>
      <c r="B455" s="24"/>
      <c r="C455" s="25"/>
      <c r="D455" s="25"/>
      <c r="E455" s="25"/>
      <c r="F455" s="26"/>
      <c r="G455" s="27"/>
      <c r="H455" s="28" t="str">
        <f t="shared" si="0"/>
        <v/>
      </c>
      <c r="I455" s="29">
        <f>SUMIFS(Cash_Flow_3[Amount],Cash_Flow_3[Bulan],H455,Cash_Flow_3[Type],"In")</f>
        <v>0</v>
      </c>
      <c r="J455" s="29">
        <f>SUMIFS(Cash_Flow_3[Amount],Cash_Flow_3[Bulan],H455,Cash_Flow_3[Type],"Out")</f>
        <v>0</v>
      </c>
      <c r="K455" s="29">
        <f>SUMIFS(Cash_Flow_3[Amount],Cash_Flow_3[Bulan],H455,Cash_Flow_3[Type],"Out",Cash_Flow_3[Category],"Fix")</f>
        <v>0</v>
      </c>
      <c r="L455" s="29">
        <f>SUMIFS(Cash_Flow_3[Amount],Cash_Flow_3[Bulan],H455,Cash_Flow_3[Type],"Out",Cash_Flow_3[Category],"Bathroom")</f>
        <v>0</v>
      </c>
      <c r="M455" s="29">
        <f>SUMIFS(Cash_Flow_3[Amount],Cash_Flow_3[Bulan],H455,Cash_Flow_3[Type],"Out",Cash_Flow_3[Category],"Alfa")</f>
        <v>0</v>
      </c>
      <c r="N455" s="29">
        <f>SUMIFS(Cash_Flow_3[Amount],Cash_Flow_3[Bulan],H455,Cash_Flow_3[Type],"Out",Cash_Flow_3[Category],"Jajan")</f>
        <v>0</v>
      </c>
      <c r="O455" s="29">
        <f>SUMIFS(Cash_Flow_3[Amount],Cash_Flow_3[Bulan],H455,Cash_Flow_3[Type],"Out",Cash_Flow_3[Category],"Kitchen")</f>
        <v>0</v>
      </c>
      <c r="P455" s="29">
        <f>SUMIFS(Cash_Flow_3[Amount],Cash_Flow_3[Bulan],H455,Cash_Flow_3[Type],"Out",Cash_Flow_3[Category],"Loandry")</f>
        <v>0</v>
      </c>
      <c r="Q455" s="29">
        <f>SUMIFS(Cash_Flow_3[Amount],Cash_Flow_3[Bulan],H455,Cash_Flow_3[Type],"Out",Cash_Flow_3[Category],"Mio")</f>
        <v>0</v>
      </c>
      <c r="R455" s="29">
        <f>SUMIFS(Cash_Flow_3[Amount],Cash_Flow_3[Bulan],H455,Cash_Flow_3[Type],"Out",Cash_Flow_3[Category],"Sedekah")</f>
        <v>0</v>
      </c>
      <c r="S455" s="29">
        <f>SUMIFS(Cash_Flow_3[Amount],Cash_Flow_3[Bulan],H455,Cash_Flow_3[Type],"Out",Cash_Flow_3[Category],"Zela")</f>
        <v>0</v>
      </c>
      <c r="T455" s="29">
        <f>SUMIFS(Cash_Flow_3[Amount],Cash_Flow_3[Bulan],H455,Cash_Flow_3[Type],"Out",Cash_Flow_3[Category],"Iqbal")</f>
        <v>0</v>
      </c>
    </row>
    <row r="456" spans="1:20" ht="22.5" customHeight="1" x14ac:dyDescent="0.2">
      <c r="A456" s="23"/>
      <c r="B456" s="24"/>
      <c r="C456" s="25"/>
      <c r="D456" s="25"/>
      <c r="E456" s="25"/>
      <c r="F456" s="26"/>
      <c r="G456" s="27"/>
      <c r="H456" s="28" t="str">
        <f t="shared" si="0"/>
        <v/>
      </c>
      <c r="I456" s="29">
        <f>SUMIFS(Cash_Flow_3[Amount],Cash_Flow_3[Bulan],H456,Cash_Flow_3[Type],"In")</f>
        <v>0</v>
      </c>
      <c r="J456" s="29">
        <f>SUMIFS(Cash_Flow_3[Amount],Cash_Flow_3[Bulan],H456,Cash_Flow_3[Type],"Out")</f>
        <v>0</v>
      </c>
      <c r="K456" s="29">
        <f>SUMIFS(Cash_Flow_3[Amount],Cash_Flow_3[Bulan],H456,Cash_Flow_3[Type],"Out",Cash_Flow_3[Category],"Fix")</f>
        <v>0</v>
      </c>
      <c r="L456" s="29">
        <f>SUMIFS(Cash_Flow_3[Amount],Cash_Flow_3[Bulan],H456,Cash_Flow_3[Type],"Out",Cash_Flow_3[Category],"Bathroom")</f>
        <v>0</v>
      </c>
      <c r="M456" s="29">
        <f>SUMIFS(Cash_Flow_3[Amount],Cash_Flow_3[Bulan],H456,Cash_Flow_3[Type],"Out",Cash_Flow_3[Category],"Alfa")</f>
        <v>0</v>
      </c>
      <c r="N456" s="29">
        <f>SUMIFS(Cash_Flow_3[Amount],Cash_Flow_3[Bulan],H456,Cash_Flow_3[Type],"Out",Cash_Flow_3[Category],"Jajan")</f>
        <v>0</v>
      </c>
      <c r="O456" s="29">
        <f>SUMIFS(Cash_Flow_3[Amount],Cash_Flow_3[Bulan],H456,Cash_Flow_3[Type],"Out",Cash_Flow_3[Category],"Kitchen")</f>
        <v>0</v>
      </c>
      <c r="P456" s="29">
        <f>SUMIFS(Cash_Flow_3[Amount],Cash_Flow_3[Bulan],H456,Cash_Flow_3[Type],"Out",Cash_Flow_3[Category],"Loandry")</f>
        <v>0</v>
      </c>
      <c r="Q456" s="29">
        <f>SUMIFS(Cash_Flow_3[Amount],Cash_Flow_3[Bulan],H456,Cash_Flow_3[Type],"Out",Cash_Flow_3[Category],"Mio")</f>
        <v>0</v>
      </c>
      <c r="R456" s="29">
        <f>SUMIFS(Cash_Flow_3[Amount],Cash_Flow_3[Bulan],H456,Cash_Flow_3[Type],"Out",Cash_Flow_3[Category],"Sedekah")</f>
        <v>0</v>
      </c>
      <c r="S456" s="29">
        <f>SUMIFS(Cash_Flow_3[Amount],Cash_Flow_3[Bulan],H456,Cash_Flow_3[Type],"Out",Cash_Flow_3[Category],"Zela")</f>
        <v>0</v>
      </c>
      <c r="T456" s="29">
        <f>SUMIFS(Cash_Flow_3[Amount],Cash_Flow_3[Bulan],H456,Cash_Flow_3[Type],"Out",Cash_Flow_3[Category],"Iqbal")</f>
        <v>0</v>
      </c>
    </row>
    <row r="457" spans="1:20" ht="22.5" customHeight="1" x14ac:dyDescent="0.2">
      <c r="A457" s="23"/>
      <c r="B457" s="24"/>
      <c r="C457" s="25"/>
      <c r="D457" s="25"/>
      <c r="E457" s="25"/>
      <c r="F457" s="26"/>
      <c r="G457" s="27"/>
      <c r="H457" s="28" t="str">
        <f t="shared" si="0"/>
        <v/>
      </c>
      <c r="I457" s="29">
        <f>SUMIFS(Cash_Flow_3[Amount],Cash_Flow_3[Bulan],H457,Cash_Flow_3[Type],"In")</f>
        <v>0</v>
      </c>
      <c r="J457" s="29">
        <f>SUMIFS(Cash_Flow_3[Amount],Cash_Flow_3[Bulan],H457,Cash_Flow_3[Type],"Out")</f>
        <v>0</v>
      </c>
      <c r="K457" s="29">
        <f>SUMIFS(Cash_Flow_3[Amount],Cash_Flow_3[Bulan],H457,Cash_Flow_3[Type],"Out",Cash_Flow_3[Category],"Fix")</f>
        <v>0</v>
      </c>
      <c r="L457" s="29">
        <f>SUMIFS(Cash_Flow_3[Amount],Cash_Flow_3[Bulan],H457,Cash_Flow_3[Type],"Out",Cash_Flow_3[Category],"Bathroom")</f>
        <v>0</v>
      </c>
      <c r="M457" s="29">
        <f>SUMIFS(Cash_Flow_3[Amount],Cash_Flow_3[Bulan],H457,Cash_Flow_3[Type],"Out",Cash_Flow_3[Category],"Alfa")</f>
        <v>0</v>
      </c>
      <c r="N457" s="29">
        <f>SUMIFS(Cash_Flow_3[Amount],Cash_Flow_3[Bulan],H457,Cash_Flow_3[Type],"Out",Cash_Flow_3[Category],"Jajan")</f>
        <v>0</v>
      </c>
      <c r="O457" s="29">
        <f>SUMIFS(Cash_Flow_3[Amount],Cash_Flow_3[Bulan],H457,Cash_Flow_3[Type],"Out",Cash_Flow_3[Category],"Kitchen")</f>
        <v>0</v>
      </c>
      <c r="P457" s="29">
        <f>SUMIFS(Cash_Flow_3[Amount],Cash_Flow_3[Bulan],H457,Cash_Flow_3[Type],"Out",Cash_Flow_3[Category],"Loandry")</f>
        <v>0</v>
      </c>
      <c r="Q457" s="29">
        <f>SUMIFS(Cash_Flow_3[Amount],Cash_Flow_3[Bulan],H457,Cash_Flow_3[Type],"Out",Cash_Flow_3[Category],"Mio")</f>
        <v>0</v>
      </c>
      <c r="R457" s="29">
        <f>SUMIFS(Cash_Flow_3[Amount],Cash_Flow_3[Bulan],H457,Cash_Flow_3[Type],"Out",Cash_Flow_3[Category],"Sedekah")</f>
        <v>0</v>
      </c>
      <c r="S457" s="29">
        <f>SUMIFS(Cash_Flow_3[Amount],Cash_Flow_3[Bulan],H457,Cash_Flow_3[Type],"Out",Cash_Flow_3[Category],"Zela")</f>
        <v>0</v>
      </c>
      <c r="T457" s="29">
        <f>SUMIFS(Cash_Flow_3[Amount],Cash_Flow_3[Bulan],H457,Cash_Flow_3[Type],"Out",Cash_Flow_3[Category],"Iqbal")</f>
        <v>0</v>
      </c>
    </row>
    <row r="458" spans="1:20" ht="22.5" customHeight="1" x14ac:dyDescent="0.2">
      <c r="A458" s="23"/>
      <c r="B458" s="24"/>
      <c r="C458" s="25"/>
      <c r="D458" s="25"/>
      <c r="E458" s="25"/>
      <c r="F458" s="26"/>
      <c r="G458" s="27"/>
      <c r="H458" s="28" t="str">
        <f t="shared" si="0"/>
        <v/>
      </c>
      <c r="I458" s="29">
        <f>SUMIFS(Cash_Flow_3[Amount],Cash_Flow_3[Bulan],H458,Cash_Flow_3[Type],"In")</f>
        <v>0</v>
      </c>
      <c r="J458" s="29">
        <f>SUMIFS(Cash_Flow_3[Amount],Cash_Flow_3[Bulan],H458,Cash_Flow_3[Type],"Out")</f>
        <v>0</v>
      </c>
      <c r="K458" s="29">
        <f>SUMIFS(Cash_Flow_3[Amount],Cash_Flow_3[Bulan],H458,Cash_Flow_3[Type],"Out",Cash_Flow_3[Category],"Fix")</f>
        <v>0</v>
      </c>
      <c r="L458" s="29">
        <f>SUMIFS(Cash_Flow_3[Amount],Cash_Flow_3[Bulan],H458,Cash_Flow_3[Type],"Out",Cash_Flow_3[Category],"Bathroom")</f>
        <v>0</v>
      </c>
      <c r="M458" s="29">
        <f>SUMIFS(Cash_Flow_3[Amount],Cash_Flow_3[Bulan],H458,Cash_Flow_3[Type],"Out",Cash_Flow_3[Category],"Alfa")</f>
        <v>0</v>
      </c>
      <c r="N458" s="29">
        <f>SUMIFS(Cash_Flow_3[Amount],Cash_Flow_3[Bulan],H458,Cash_Flow_3[Type],"Out",Cash_Flow_3[Category],"Jajan")</f>
        <v>0</v>
      </c>
      <c r="O458" s="29">
        <f>SUMIFS(Cash_Flow_3[Amount],Cash_Flow_3[Bulan],H458,Cash_Flow_3[Type],"Out",Cash_Flow_3[Category],"Kitchen")</f>
        <v>0</v>
      </c>
      <c r="P458" s="29">
        <f>SUMIFS(Cash_Flow_3[Amount],Cash_Flow_3[Bulan],H458,Cash_Flow_3[Type],"Out",Cash_Flow_3[Category],"Loandry")</f>
        <v>0</v>
      </c>
      <c r="Q458" s="29">
        <f>SUMIFS(Cash_Flow_3[Amount],Cash_Flow_3[Bulan],H458,Cash_Flow_3[Type],"Out",Cash_Flow_3[Category],"Mio")</f>
        <v>0</v>
      </c>
      <c r="R458" s="29">
        <f>SUMIFS(Cash_Flow_3[Amount],Cash_Flow_3[Bulan],H458,Cash_Flow_3[Type],"Out",Cash_Flow_3[Category],"Sedekah")</f>
        <v>0</v>
      </c>
      <c r="S458" s="29">
        <f>SUMIFS(Cash_Flow_3[Amount],Cash_Flow_3[Bulan],H458,Cash_Flow_3[Type],"Out",Cash_Flow_3[Category],"Zela")</f>
        <v>0</v>
      </c>
      <c r="T458" s="29">
        <f>SUMIFS(Cash_Flow_3[Amount],Cash_Flow_3[Bulan],H458,Cash_Flow_3[Type],"Out",Cash_Flow_3[Category],"Iqbal")</f>
        <v>0</v>
      </c>
    </row>
    <row r="459" spans="1:20" ht="22.5" customHeight="1" x14ac:dyDescent="0.2">
      <c r="A459" s="23"/>
      <c r="B459" s="24"/>
      <c r="C459" s="25"/>
      <c r="D459" s="25"/>
      <c r="E459" s="25"/>
      <c r="F459" s="26"/>
      <c r="G459" s="27"/>
      <c r="H459" s="28" t="str">
        <f t="shared" si="0"/>
        <v/>
      </c>
      <c r="I459" s="29">
        <f>SUMIFS(Cash_Flow_3[Amount],Cash_Flow_3[Bulan],H459,Cash_Flow_3[Type],"In")</f>
        <v>0</v>
      </c>
      <c r="J459" s="29">
        <f>SUMIFS(Cash_Flow_3[Amount],Cash_Flow_3[Bulan],H459,Cash_Flow_3[Type],"Out")</f>
        <v>0</v>
      </c>
      <c r="K459" s="29">
        <f>SUMIFS(Cash_Flow_3[Amount],Cash_Flow_3[Bulan],H459,Cash_Flow_3[Type],"Out",Cash_Flow_3[Category],"Fix")</f>
        <v>0</v>
      </c>
      <c r="L459" s="29">
        <f>SUMIFS(Cash_Flow_3[Amount],Cash_Flow_3[Bulan],H459,Cash_Flow_3[Type],"Out",Cash_Flow_3[Category],"Bathroom")</f>
        <v>0</v>
      </c>
      <c r="M459" s="29">
        <f>SUMIFS(Cash_Flow_3[Amount],Cash_Flow_3[Bulan],H459,Cash_Flow_3[Type],"Out",Cash_Flow_3[Category],"Alfa")</f>
        <v>0</v>
      </c>
      <c r="N459" s="29">
        <f>SUMIFS(Cash_Flow_3[Amount],Cash_Flow_3[Bulan],H459,Cash_Flow_3[Type],"Out",Cash_Flow_3[Category],"Jajan")</f>
        <v>0</v>
      </c>
      <c r="O459" s="29">
        <f>SUMIFS(Cash_Flow_3[Amount],Cash_Flow_3[Bulan],H459,Cash_Flow_3[Type],"Out",Cash_Flow_3[Category],"Kitchen")</f>
        <v>0</v>
      </c>
      <c r="P459" s="29">
        <f>SUMIFS(Cash_Flow_3[Amount],Cash_Flow_3[Bulan],H459,Cash_Flow_3[Type],"Out",Cash_Flow_3[Category],"Loandry")</f>
        <v>0</v>
      </c>
      <c r="Q459" s="29">
        <f>SUMIFS(Cash_Flow_3[Amount],Cash_Flow_3[Bulan],H459,Cash_Flow_3[Type],"Out",Cash_Flow_3[Category],"Mio")</f>
        <v>0</v>
      </c>
      <c r="R459" s="29">
        <f>SUMIFS(Cash_Flow_3[Amount],Cash_Flow_3[Bulan],H459,Cash_Flow_3[Type],"Out",Cash_Flow_3[Category],"Sedekah")</f>
        <v>0</v>
      </c>
      <c r="S459" s="29">
        <f>SUMIFS(Cash_Flow_3[Amount],Cash_Flow_3[Bulan],H459,Cash_Flow_3[Type],"Out",Cash_Flow_3[Category],"Zela")</f>
        <v>0</v>
      </c>
      <c r="T459" s="29">
        <f>SUMIFS(Cash_Flow_3[Amount],Cash_Flow_3[Bulan],H459,Cash_Flow_3[Type],"Out",Cash_Flow_3[Category],"Iqbal")</f>
        <v>0</v>
      </c>
    </row>
    <row r="460" spans="1:20" ht="22.5" customHeight="1" x14ac:dyDescent="0.2">
      <c r="A460" s="23"/>
      <c r="B460" s="24"/>
      <c r="C460" s="25"/>
      <c r="D460" s="25"/>
      <c r="E460" s="25"/>
      <c r="F460" s="26"/>
      <c r="G460" s="27"/>
      <c r="H460" s="28" t="str">
        <f t="shared" si="0"/>
        <v/>
      </c>
      <c r="I460" s="29">
        <f>SUMIFS(Cash_Flow_3[Amount],Cash_Flow_3[Bulan],H460,Cash_Flow_3[Type],"In")</f>
        <v>0</v>
      </c>
      <c r="J460" s="29">
        <f>SUMIFS(Cash_Flow_3[Amount],Cash_Flow_3[Bulan],H460,Cash_Flow_3[Type],"Out")</f>
        <v>0</v>
      </c>
      <c r="K460" s="29">
        <f>SUMIFS(Cash_Flow_3[Amount],Cash_Flow_3[Bulan],H460,Cash_Flow_3[Type],"Out",Cash_Flow_3[Category],"Fix")</f>
        <v>0</v>
      </c>
      <c r="L460" s="29">
        <f>SUMIFS(Cash_Flow_3[Amount],Cash_Flow_3[Bulan],H460,Cash_Flow_3[Type],"Out",Cash_Flow_3[Category],"Bathroom")</f>
        <v>0</v>
      </c>
      <c r="M460" s="29">
        <f>SUMIFS(Cash_Flow_3[Amount],Cash_Flow_3[Bulan],H460,Cash_Flow_3[Type],"Out",Cash_Flow_3[Category],"Alfa")</f>
        <v>0</v>
      </c>
      <c r="N460" s="29">
        <f>SUMIFS(Cash_Flow_3[Amount],Cash_Flow_3[Bulan],H460,Cash_Flow_3[Type],"Out",Cash_Flow_3[Category],"Jajan")</f>
        <v>0</v>
      </c>
      <c r="O460" s="29">
        <f>SUMIFS(Cash_Flow_3[Amount],Cash_Flow_3[Bulan],H460,Cash_Flow_3[Type],"Out",Cash_Flow_3[Category],"Kitchen")</f>
        <v>0</v>
      </c>
      <c r="P460" s="29">
        <f>SUMIFS(Cash_Flow_3[Amount],Cash_Flow_3[Bulan],H460,Cash_Flow_3[Type],"Out",Cash_Flow_3[Category],"Loandry")</f>
        <v>0</v>
      </c>
      <c r="Q460" s="29">
        <f>SUMIFS(Cash_Flow_3[Amount],Cash_Flow_3[Bulan],H460,Cash_Flow_3[Type],"Out",Cash_Flow_3[Category],"Mio")</f>
        <v>0</v>
      </c>
      <c r="R460" s="29">
        <f>SUMIFS(Cash_Flow_3[Amount],Cash_Flow_3[Bulan],H460,Cash_Flow_3[Type],"Out",Cash_Flow_3[Category],"Sedekah")</f>
        <v>0</v>
      </c>
      <c r="S460" s="29">
        <f>SUMIFS(Cash_Flow_3[Amount],Cash_Flow_3[Bulan],H460,Cash_Flow_3[Type],"Out",Cash_Flow_3[Category],"Zela")</f>
        <v>0</v>
      </c>
      <c r="T460" s="29">
        <f>SUMIFS(Cash_Flow_3[Amount],Cash_Flow_3[Bulan],H460,Cash_Flow_3[Type],"Out",Cash_Flow_3[Category],"Iqbal")</f>
        <v>0</v>
      </c>
    </row>
    <row r="461" spans="1:20" ht="22.5" customHeight="1" x14ac:dyDescent="0.2">
      <c r="A461" s="23"/>
      <c r="B461" s="24"/>
      <c r="C461" s="25"/>
      <c r="D461" s="25"/>
      <c r="E461" s="25"/>
      <c r="F461" s="26"/>
      <c r="G461" s="27"/>
      <c r="H461" s="28" t="str">
        <f t="shared" si="0"/>
        <v/>
      </c>
      <c r="I461" s="29">
        <f>SUMIFS(Cash_Flow_3[Amount],Cash_Flow_3[Bulan],H461,Cash_Flow_3[Type],"In")</f>
        <v>0</v>
      </c>
      <c r="J461" s="29">
        <f>SUMIFS(Cash_Flow_3[Amount],Cash_Flow_3[Bulan],H461,Cash_Flow_3[Type],"Out")</f>
        <v>0</v>
      </c>
      <c r="K461" s="29">
        <f>SUMIFS(Cash_Flow_3[Amount],Cash_Flow_3[Bulan],H461,Cash_Flow_3[Type],"Out",Cash_Flow_3[Category],"Fix")</f>
        <v>0</v>
      </c>
      <c r="L461" s="29">
        <f>SUMIFS(Cash_Flow_3[Amount],Cash_Flow_3[Bulan],H461,Cash_Flow_3[Type],"Out",Cash_Flow_3[Category],"Bathroom")</f>
        <v>0</v>
      </c>
      <c r="M461" s="29">
        <f>SUMIFS(Cash_Flow_3[Amount],Cash_Flow_3[Bulan],H461,Cash_Flow_3[Type],"Out",Cash_Flow_3[Category],"Alfa")</f>
        <v>0</v>
      </c>
      <c r="N461" s="29">
        <f>SUMIFS(Cash_Flow_3[Amount],Cash_Flow_3[Bulan],H461,Cash_Flow_3[Type],"Out",Cash_Flow_3[Category],"Jajan")</f>
        <v>0</v>
      </c>
      <c r="O461" s="29">
        <f>SUMIFS(Cash_Flow_3[Amount],Cash_Flow_3[Bulan],H461,Cash_Flow_3[Type],"Out",Cash_Flow_3[Category],"Kitchen")</f>
        <v>0</v>
      </c>
      <c r="P461" s="29">
        <f>SUMIFS(Cash_Flow_3[Amount],Cash_Flow_3[Bulan],H461,Cash_Flow_3[Type],"Out",Cash_Flow_3[Category],"Loandry")</f>
        <v>0</v>
      </c>
      <c r="Q461" s="29">
        <f>SUMIFS(Cash_Flow_3[Amount],Cash_Flow_3[Bulan],H461,Cash_Flow_3[Type],"Out",Cash_Flow_3[Category],"Mio")</f>
        <v>0</v>
      </c>
      <c r="R461" s="29">
        <f>SUMIFS(Cash_Flow_3[Amount],Cash_Flow_3[Bulan],H461,Cash_Flow_3[Type],"Out",Cash_Flow_3[Category],"Sedekah")</f>
        <v>0</v>
      </c>
      <c r="S461" s="29">
        <f>SUMIFS(Cash_Flow_3[Amount],Cash_Flow_3[Bulan],H461,Cash_Flow_3[Type],"Out",Cash_Flow_3[Category],"Zela")</f>
        <v>0</v>
      </c>
      <c r="T461" s="29">
        <f>SUMIFS(Cash_Flow_3[Amount],Cash_Flow_3[Bulan],H461,Cash_Flow_3[Type],"Out",Cash_Flow_3[Category],"Iqbal")</f>
        <v>0</v>
      </c>
    </row>
    <row r="462" spans="1:20" ht="22.5" customHeight="1" x14ac:dyDescent="0.2">
      <c r="A462" s="23"/>
      <c r="B462" s="24"/>
      <c r="C462" s="25"/>
      <c r="D462" s="25"/>
      <c r="E462" s="25"/>
      <c r="F462" s="26"/>
      <c r="G462" s="27"/>
      <c r="H462" s="28" t="str">
        <f t="shared" si="0"/>
        <v/>
      </c>
      <c r="I462" s="29">
        <f>SUMIFS(Cash_Flow_3[Amount],Cash_Flow_3[Bulan],H462,Cash_Flow_3[Type],"In")</f>
        <v>0</v>
      </c>
      <c r="J462" s="29">
        <f>SUMIFS(Cash_Flow_3[Amount],Cash_Flow_3[Bulan],H462,Cash_Flow_3[Type],"Out")</f>
        <v>0</v>
      </c>
      <c r="K462" s="29">
        <f>SUMIFS(Cash_Flow_3[Amount],Cash_Flow_3[Bulan],H462,Cash_Flow_3[Type],"Out",Cash_Flow_3[Category],"Fix")</f>
        <v>0</v>
      </c>
      <c r="L462" s="29">
        <f>SUMIFS(Cash_Flow_3[Amount],Cash_Flow_3[Bulan],H462,Cash_Flow_3[Type],"Out",Cash_Flow_3[Category],"Bathroom")</f>
        <v>0</v>
      </c>
      <c r="M462" s="29">
        <f>SUMIFS(Cash_Flow_3[Amount],Cash_Flow_3[Bulan],H462,Cash_Flow_3[Type],"Out",Cash_Flow_3[Category],"Alfa")</f>
        <v>0</v>
      </c>
      <c r="N462" s="29">
        <f>SUMIFS(Cash_Flow_3[Amount],Cash_Flow_3[Bulan],H462,Cash_Flow_3[Type],"Out",Cash_Flow_3[Category],"Jajan")</f>
        <v>0</v>
      </c>
      <c r="O462" s="29">
        <f>SUMIFS(Cash_Flow_3[Amount],Cash_Flow_3[Bulan],H462,Cash_Flow_3[Type],"Out",Cash_Flow_3[Category],"Kitchen")</f>
        <v>0</v>
      </c>
      <c r="P462" s="29">
        <f>SUMIFS(Cash_Flow_3[Amount],Cash_Flow_3[Bulan],H462,Cash_Flow_3[Type],"Out",Cash_Flow_3[Category],"Loandry")</f>
        <v>0</v>
      </c>
      <c r="Q462" s="29">
        <f>SUMIFS(Cash_Flow_3[Amount],Cash_Flow_3[Bulan],H462,Cash_Flow_3[Type],"Out",Cash_Flow_3[Category],"Mio")</f>
        <v>0</v>
      </c>
      <c r="R462" s="29">
        <f>SUMIFS(Cash_Flow_3[Amount],Cash_Flow_3[Bulan],H462,Cash_Flow_3[Type],"Out",Cash_Flow_3[Category],"Sedekah")</f>
        <v>0</v>
      </c>
      <c r="S462" s="29">
        <f>SUMIFS(Cash_Flow_3[Amount],Cash_Flow_3[Bulan],H462,Cash_Flow_3[Type],"Out",Cash_Flow_3[Category],"Zela")</f>
        <v>0</v>
      </c>
      <c r="T462" s="29">
        <f>SUMIFS(Cash_Flow_3[Amount],Cash_Flow_3[Bulan],H462,Cash_Flow_3[Type],"Out",Cash_Flow_3[Category],"Iqbal")</f>
        <v>0</v>
      </c>
    </row>
    <row r="463" spans="1:20" ht="22.5" customHeight="1" x14ac:dyDescent="0.2">
      <c r="A463" s="23"/>
      <c r="B463" s="24"/>
      <c r="C463" s="25"/>
      <c r="D463" s="25"/>
      <c r="E463" s="25"/>
      <c r="F463" s="26"/>
      <c r="G463" s="27"/>
      <c r="H463" s="28" t="str">
        <f t="shared" si="0"/>
        <v/>
      </c>
      <c r="I463" s="29">
        <f>SUMIFS(Cash_Flow_3[Amount],Cash_Flow_3[Bulan],H463,Cash_Flow_3[Type],"In")</f>
        <v>0</v>
      </c>
      <c r="J463" s="29">
        <f>SUMIFS(Cash_Flow_3[Amount],Cash_Flow_3[Bulan],H463,Cash_Flow_3[Type],"Out")</f>
        <v>0</v>
      </c>
      <c r="K463" s="29">
        <f>SUMIFS(Cash_Flow_3[Amount],Cash_Flow_3[Bulan],H463,Cash_Flow_3[Type],"Out",Cash_Flow_3[Category],"Fix")</f>
        <v>0</v>
      </c>
      <c r="L463" s="29">
        <f>SUMIFS(Cash_Flow_3[Amount],Cash_Flow_3[Bulan],H463,Cash_Flow_3[Type],"Out",Cash_Flow_3[Category],"Bathroom")</f>
        <v>0</v>
      </c>
      <c r="M463" s="29">
        <f>SUMIFS(Cash_Flow_3[Amount],Cash_Flow_3[Bulan],H463,Cash_Flow_3[Type],"Out",Cash_Flow_3[Category],"Alfa")</f>
        <v>0</v>
      </c>
      <c r="N463" s="29">
        <f>SUMIFS(Cash_Flow_3[Amount],Cash_Flow_3[Bulan],H463,Cash_Flow_3[Type],"Out",Cash_Flow_3[Category],"Jajan")</f>
        <v>0</v>
      </c>
      <c r="O463" s="29">
        <f>SUMIFS(Cash_Flow_3[Amount],Cash_Flow_3[Bulan],H463,Cash_Flow_3[Type],"Out",Cash_Flow_3[Category],"Kitchen")</f>
        <v>0</v>
      </c>
      <c r="P463" s="29">
        <f>SUMIFS(Cash_Flow_3[Amount],Cash_Flow_3[Bulan],H463,Cash_Flow_3[Type],"Out",Cash_Flow_3[Category],"Loandry")</f>
        <v>0</v>
      </c>
      <c r="Q463" s="29">
        <f>SUMIFS(Cash_Flow_3[Amount],Cash_Flow_3[Bulan],H463,Cash_Flow_3[Type],"Out",Cash_Flow_3[Category],"Mio")</f>
        <v>0</v>
      </c>
      <c r="R463" s="29">
        <f>SUMIFS(Cash_Flow_3[Amount],Cash_Flow_3[Bulan],H463,Cash_Flow_3[Type],"Out",Cash_Flow_3[Category],"Sedekah")</f>
        <v>0</v>
      </c>
      <c r="S463" s="29">
        <f>SUMIFS(Cash_Flow_3[Amount],Cash_Flow_3[Bulan],H463,Cash_Flow_3[Type],"Out",Cash_Flow_3[Category],"Zela")</f>
        <v>0</v>
      </c>
      <c r="T463" s="29">
        <f>SUMIFS(Cash_Flow_3[Amount],Cash_Flow_3[Bulan],H463,Cash_Flow_3[Type],"Out",Cash_Flow_3[Category],"Iqbal")</f>
        <v>0</v>
      </c>
    </row>
    <row r="464" spans="1:20" ht="22.5" customHeight="1" x14ac:dyDescent="0.2">
      <c r="A464" s="23"/>
      <c r="B464" s="24"/>
      <c r="C464" s="25"/>
      <c r="D464" s="25"/>
      <c r="E464" s="25"/>
      <c r="F464" s="26"/>
      <c r="G464" s="27"/>
      <c r="H464" s="28" t="str">
        <f t="shared" si="0"/>
        <v/>
      </c>
      <c r="I464" s="29">
        <f>SUMIFS(Cash_Flow_3[Amount],Cash_Flow_3[Bulan],H464,Cash_Flow_3[Type],"In")</f>
        <v>0</v>
      </c>
      <c r="J464" s="29">
        <f>SUMIFS(Cash_Flow_3[Amount],Cash_Flow_3[Bulan],H464,Cash_Flow_3[Type],"Out")</f>
        <v>0</v>
      </c>
      <c r="K464" s="29">
        <f>SUMIFS(Cash_Flow_3[Amount],Cash_Flow_3[Bulan],H464,Cash_Flow_3[Type],"Out",Cash_Flow_3[Category],"Fix")</f>
        <v>0</v>
      </c>
      <c r="L464" s="29">
        <f>SUMIFS(Cash_Flow_3[Amount],Cash_Flow_3[Bulan],H464,Cash_Flow_3[Type],"Out",Cash_Flow_3[Category],"Bathroom")</f>
        <v>0</v>
      </c>
      <c r="M464" s="29">
        <f>SUMIFS(Cash_Flow_3[Amount],Cash_Flow_3[Bulan],H464,Cash_Flow_3[Type],"Out",Cash_Flow_3[Category],"Alfa")</f>
        <v>0</v>
      </c>
      <c r="N464" s="29">
        <f>SUMIFS(Cash_Flow_3[Amount],Cash_Flow_3[Bulan],H464,Cash_Flow_3[Type],"Out",Cash_Flow_3[Category],"Jajan")</f>
        <v>0</v>
      </c>
      <c r="O464" s="29">
        <f>SUMIFS(Cash_Flow_3[Amount],Cash_Flow_3[Bulan],H464,Cash_Flow_3[Type],"Out",Cash_Flow_3[Category],"Kitchen")</f>
        <v>0</v>
      </c>
      <c r="P464" s="29">
        <f>SUMIFS(Cash_Flow_3[Amount],Cash_Flow_3[Bulan],H464,Cash_Flow_3[Type],"Out",Cash_Flow_3[Category],"Loandry")</f>
        <v>0</v>
      </c>
      <c r="Q464" s="29">
        <f>SUMIFS(Cash_Flow_3[Amount],Cash_Flow_3[Bulan],H464,Cash_Flow_3[Type],"Out",Cash_Flow_3[Category],"Mio")</f>
        <v>0</v>
      </c>
      <c r="R464" s="29">
        <f>SUMIFS(Cash_Flow_3[Amount],Cash_Flow_3[Bulan],H464,Cash_Flow_3[Type],"Out",Cash_Flow_3[Category],"Sedekah")</f>
        <v>0</v>
      </c>
      <c r="S464" s="29">
        <f>SUMIFS(Cash_Flow_3[Amount],Cash_Flow_3[Bulan],H464,Cash_Flow_3[Type],"Out",Cash_Flow_3[Category],"Zela")</f>
        <v>0</v>
      </c>
      <c r="T464" s="29">
        <f>SUMIFS(Cash_Flow_3[Amount],Cash_Flow_3[Bulan],H464,Cash_Flow_3[Type],"Out",Cash_Flow_3[Category],"Iqbal")</f>
        <v>0</v>
      </c>
    </row>
    <row r="465" spans="1:20" ht="22.5" customHeight="1" x14ac:dyDescent="0.2">
      <c r="A465" s="23"/>
      <c r="B465" s="24"/>
      <c r="C465" s="25"/>
      <c r="D465" s="25"/>
      <c r="E465" s="25"/>
      <c r="F465" s="26"/>
      <c r="G465" s="27"/>
      <c r="H465" s="28" t="str">
        <f t="shared" si="0"/>
        <v/>
      </c>
      <c r="I465" s="29">
        <f>SUMIFS(Cash_Flow_3[Amount],Cash_Flow_3[Bulan],H465,Cash_Flow_3[Type],"In")</f>
        <v>0</v>
      </c>
      <c r="J465" s="29">
        <f>SUMIFS(Cash_Flow_3[Amount],Cash_Flow_3[Bulan],H465,Cash_Flow_3[Type],"Out")</f>
        <v>0</v>
      </c>
      <c r="K465" s="29">
        <f>SUMIFS(Cash_Flow_3[Amount],Cash_Flow_3[Bulan],H465,Cash_Flow_3[Type],"Out",Cash_Flow_3[Category],"Fix")</f>
        <v>0</v>
      </c>
      <c r="L465" s="29">
        <f>SUMIFS(Cash_Flow_3[Amount],Cash_Flow_3[Bulan],H465,Cash_Flow_3[Type],"Out",Cash_Flow_3[Category],"Bathroom")</f>
        <v>0</v>
      </c>
      <c r="M465" s="29">
        <f>SUMIFS(Cash_Flow_3[Amount],Cash_Flow_3[Bulan],H465,Cash_Flow_3[Type],"Out",Cash_Flow_3[Category],"Alfa")</f>
        <v>0</v>
      </c>
      <c r="N465" s="29">
        <f>SUMIFS(Cash_Flow_3[Amount],Cash_Flow_3[Bulan],H465,Cash_Flow_3[Type],"Out",Cash_Flow_3[Category],"Jajan")</f>
        <v>0</v>
      </c>
      <c r="O465" s="29">
        <f>SUMIFS(Cash_Flow_3[Amount],Cash_Flow_3[Bulan],H465,Cash_Flow_3[Type],"Out",Cash_Flow_3[Category],"Kitchen")</f>
        <v>0</v>
      </c>
      <c r="P465" s="29">
        <f>SUMIFS(Cash_Flow_3[Amount],Cash_Flow_3[Bulan],H465,Cash_Flow_3[Type],"Out",Cash_Flow_3[Category],"Loandry")</f>
        <v>0</v>
      </c>
      <c r="Q465" s="29">
        <f>SUMIFS(Cash_Flow_3[Amount],Cash_Flow_3[Bulan],H465,Cash_Flow_3[Type],"Out",Cash_Flow_3[Category],"Mio")</f>
        <v>0</v>
      </c>
      <c r="R465" s="29">
        <f>SUMIFS(Cash_Flow_3[Amount],Cash_Flow_3[Bulan],H465,Cash_Flow_3[Type],"Out",Cash_Flow_3[Category],"Sedekah")</f>
        <v>0</v>
      </c>
      <c r="S465" s="29">
        <f>SUMIFS(Cash_Flow_3[Amount],Cash_Flow_3[Bulan],H465,Cash_Flow_3[Type],"Out",Cash_Flow_3[Category],"Zela")</f>
        <v>0</v>
      </c>
      <c r="T465" s="29">
        <f>SUMIFS(Cash_Flow_3[Amount],Cash_Flow_3[Bulan],H465,Cash_Flow_3[Type],"Out",Cash_Flow_3[Category],"Iqbal")</f>
        <v>0</v>
      </c>
    </row>
    <row r="466" spans="1:20" ht="22.5" customHeight="1" x14ac:dyDescent="0.2">
      <c r="A466" s="23"/>
      <c r="B466" s="24"/>
      <c r="C466" s="25"/>
      <c r="D466" s="25"/>
      <c r="E466" s="25"/>
      <c r="F466" s="26"/>
      <c r="G466" s="27"/>
      <c r="H466" s="28" t="str">
        <f t="shared" si="0"/>
        <v/>
      </c>
      <c r="I466" s="29">
        <f>SUMIFS(Cash_Flow_3[Amount],Cash_Flow_3[Bulan],H466,Cash_Flow_3[Type],"In")</f>
        <v>0</v>
      </c>
      <c r="J466" s="29">
        <f>SUMIFS(Cash_Flow_3[Amount],Cash_Flow_3[Bulan],H466,Cash_Flow_3[Type],"Out")</f>
        <v>0</v>
      </c>
      <c r="K466" s="29">
        <f>SUMIFS(Cash_Flow_3[Amount],Cash_Flow_3[Bulan],H466,Cash_Flow_3[Type],"Out",Cash_Flow_3[Category],"Fix")</f>
        <v>0</v>
      </c>
      <c r="L466" s="29">
        <f>SUMIFS(Cash_Flow_3[Amount],Cash_Flow_3[Bulan],H466,Cash_Flow_3[Type],"Out",Cash_Flow_3[Category],"Bathroom")</f>
        <v>0</v>
      </c>
      <c r="M466" s="29">
        <f>SUMIFS(Cash_Flow_3[Amount],Cash_Flow_3[Bulan],H466,Cash_Flow_3[Type],"Out",Cash_Flow_3[Category],"Alfa")</f>
        <v>0</v>
      </c>
      <c r="N466" s="29">
        <f>SUMIFS(Cash_Flow_3[Amount],Cash_Flow_3[Bulan],H466,Cash_Flow_3[Type],"Out",Cash_Flow_3[Category],"Jajan")</f>
        <v>0</v>
      </c>
      <c r="O466" s="29">
        <f>SUMIFS(Cash_Flow_3[Amount],Cash_Flow_3[Bulan],H466,Cash_Flow_3[Type],"Out",Cash_Flow_3[Category],"Kitchen")</f>
        <v>0</v>
      </c>
      <c r="P466" s="29">
        <f>SUMIFS(Cash_Flow_3[Amount],Cash_Flow_3[Bulan],H466,Cash_Flow_3[Type],"Out",Cash_Flow_3[Category],"Loandry")</f>
        <v>0</v>
      </c>
      <c r="Q466" s="29">
        <f>SUMIFS(Cash_Flow_3[Amount],Cash_Flow_3[Bulan],H466,Cash_Flow_3[Type],"Out",Cash_Flow_3[Category],"Mio")</f>
        <v>0</v>
      </c>
      <c r="R466" s="29">
        <f>SUMIFS(Cash_Flow_3[Amount],Cash_Flow_3[Bulan],H466,Cash_Flow_3[Type],"Out",Cash_Flow_3[Category],"Sedekah")</f>
        <v>0</v>
      </c>
      <c r="S466" s="29">
        <f>SUMIFS(Cash_Flow_3[Amount],Cash_Flow_3[Bulan],H466,Cash_Flow_3[Type],"Out",Cash_Flow_3[Category],"Zela")</f>
        <v>0</v>
      </c>
      <c r="T466" s="29">
        <f>SUMIFS(Cash_Flow_3[Amount],Cash_Flow_3[Bulan],H466,Cash_Flow_3[Type],"Out",Cash_Flow_3[Category],"Iqbal")</f>
        <v>0</v>
      </c>
    </row>
    <row r="467" spans="1:20" ht="22.5" customHeight="1" x14ac:dyDescent="0.2">
      <c r="A467" s="23"/>
      <c r="B467" s="24"/>
      <c r="C467" s="25"/>
      <c r="D467" s="25"/>
      <c r="E467" s="25"/>
      <c r="F467" s="26"/>
      <c r="G467" s="27"/>
      <c r="H467" s="28" t="str">
        <f t="shared" si="0"/>
        <v/>
      </c>
      <c r="I467" s="29">
        <f>SUMIFS(Cash_Flow_3[Amount],Cash_Flow_3[Bulan],H467,Cash_Flow_3[Type],"In")</f>
        <v>0</v>
      </c>
      <c r="J467" s="29">
        <f>SUMIFS(Cash_Flow_3[Amount],Cash_Flow_3[Bulan],H467,Cash_Flow_3[Type],"Out")</f>
        <v>0</v>
      </c>
      <c r="K467" s="29">
        <f>SUMIFS(Cash_Flow_3[Amount],Cash_Flow_3[Bulan],H467,Cash_Flow_3[Type],"Out",Cash_Flow_3[Category],"Fix")</f>
        <v>0</v>
      </c>
      <c r="L467" s="29">
        <f>SUMIFS(Cash_Flow_3[Amount],Cash_Flow_3[Bulan],H467,Cash_Flow_3[Type],"Out",Cash_Flow_3[Category],"Bathroom")</f>
        <v>0</v>
      </c>
      <c r="M467" s="29">
        <f>SUMIFS(Cash_Flow_3[Amount],Cash_Flow_3[Bulan],H467,Cash_Flow_3[Type],"Out",Cash_Flow_3[Category],"Alfa")</f>
        <v>0</v>
      </c>
      <c r="N467" s="29">
        <f>SUMIFS(Cash_Flow_3[Amount],Cash_Flow_3[Bulan],H467,Cash_Flow_3[Type],"Out",Cash_Flow_3[Category],"Jajan")</f>
        <v>0</v>
      </c>
      <c r="O467" s="29">
        <f>SUMIFS(Cash_Flow_3[Amount],Cash_Flow_3[Bulan],H467,Cash_Flow_3[Type],"Out",Cash_Flow_3[Category],"Kitchen")</f>
        <v>0</v>
      </c>
      <c r="P467" s="29">
        <f>SUMIFS(Cash_Flow_3[Amount],Cash_Flow_3[Bulan],H467,Cash_Flow_3[Type],"Out",Cash_Flow_3[Category],"Loandry")</f>
        <v>0</v>
      </c>
      <c r="Q467" s="29">
        <f>SUMIFS(Cash_Flow_3[Amount],Cash_Flow_3[Bulan],H467,Cash_Flow_3[Type],"Out",Cash_Flow_3[Category],"Mio")</f>
        <v>0</v>
      </c>
      <c r="R467" s="29">
        <f>SUMIFS(Cash_Flow_3[Amount],Cash_Flow_3[Bulan],H467,Cash_Flow_3[Type],"Out",Cash_Flow_3[Category],"Sedekah")</f>
        <v>0</v>
      </c>
      <c r="S467" s="29">
        <f>SUMIFS(Cash_Flow_3[Amount],Cash_Flow_3[Bulan],H467,Cash_Flow_3[Type],"Out",Cash_Flow_3[Category],"Zela")</f>
        <v>0</v>
      </c>
      <c r="T467" s="29">
        <f>SUMIFS(Cash_Flow_3[Amount],Cash_Flow_3[Bulan],H467,Cash_Flow_3[Type],"Out",Cash_Flow_3[Category],"Iqbal")</f>
        <v>0</v>
      </c>
    </row>
    <row r="468" spans="1:20" ht="22.5" customHeight="1" x14ac:dyDescent="0.2">
      <c r="A468" s="23"/>
      <c r="B468" s="24"/>
      <c r="C468" s="25"/>
      <c r="D468" s="25"/>
      <c r="E468" s="25"/>
      <c r="F468" s="26"/>
      <c r="G468" s="27"/>
      <c r="H468" s="28" t="str">
        <f t="shared" si="0"/>
        <v/>
      </c>
      <c r="I468" s="29">
        <f>SUMIFS(Cash_Flow_3[Amount],Cash_Flow_3[Bulan],H468,Cash_Flow_3[Type],"In")</f>
        <v>0</v>
      </c>
      <c r="J468" s="29">
        <f>SUMIFS(Cash_Flow_3[Amount],Cash_Flow_3[Bulan],H468,Cash_Flow_3[Type],"Out")</f>
        <v>0</v>
      </c>
      <c r="K468" s="29">
        <f>SUMIFS(Cash_Flow_3[Amount],Cash_Flow_3[Bulan],H468,Cash_Flow_3[Type],"Out",Cash_Flow_3[Category],"Fix")</f>
        <v>0</v>
      </c>
      <c r="L468" s="29">
        <f>SUMIFS(Cash_Flow_3[Amount],Cash_Flow_3[Bulan],H468,Cash_Flow_3[Type],"Out",Cash_Flow_3[Category],"Bathroom")</f>
        <v>0</v>
      </c>
      <c r="M468" s="29">
        <f>SUMIFS(Cash_Flow_3[Amount],Cash_Flow_3[Bulan],H468,Cash_Flow_3[Type],"Out",Cash_Flow_3[Category],"Alfa")</f>
        <v>0</v>
      </c>
      <c r="N468" s="29">
        <f>SUMIFS(Cash_Flow_3[Amount],Cash_Flow_3[Bulan],H468,Cash_Flow_3[Type],"Out",Cash_Flow_3[Category],"Jajan")</f>
        <v>0</v>
      </c>
      <c r="O468" s="29">
        <f>SUMIFS(Cash_Flow_3[Amount],Cash_Flow_3[Bulan],H468,Cash_Flow_3[Type],"Out",Cash_Flow_3[Category],"Kitchen")</f>
        <v>0</v>
      </c>
      <c r="P468" s="29">
        <f>SUMIFS(Cash_Flow_3[Amount],Cash_Flow_3[Bulan],H468,Cash_Flow_3[Type],"Out",Cash_Flow_3[Category],"Loandry")</f>
        <v>0</v>
      </c>
      <c r="Q468" s="29">
        <f>SUMIFS(Cash_Flow_3[Amount],Cash_Flow_3[Bulan],H468,Cash_Flow_3[Type],"Out",Cash_Flow_3[Category],"Mio")</f>
        <v>0</v>
      </c>
      <c r="R468" s="29">
        <f>SUMIFS(Cash_Flow_3[Amount],Cash_Flow_3[Bulan],H468,Cash_Flow_3[Type],"Out",Cash_Flow_3[Category],"Sedekah")</f>
        <v>0</v>
      </c>
      <c r="S468" s="29">
        <f>SUMIFS(Cash_Flow_3[Amount],Cash_Flow_3[Bulan],H468,Cash_Flow_3[Type],"Out",Cash_Flow_3[Category],"Zela")</f>
        <v>0</v>
      </c>
      <c r="T468" s="29">
        <f>SUMIFS(Cash_Flow_3[Amount],Cash_Flow_3[Bulan],H468,Cash_Flow_3[Type],"Out",Cash_Flow_3[Category],"Iqbal")</f>
        <v>0</v>
      </c>
    </row>
    <row r="469" spans="1:20" ht="22.5" customHeight="1" x14ac:dyDescent="0.2">
      <c r="A469" s="23"/>
      <c r="B469" s="24"/>
      <c r="C469" s="25"/>
      <c r="D469" s="25"/>
      <c r="E469" s="25"/>
      <c r="F469" s="26"/>
      <c r="G469" s="27"/>
      <c r="H469" s="28" t="str">
        <f t="shared" si="0"/>
        <v/>
      </c>
      <c r="I469" s="29">
        <f>SUMIFS(Cash_Flow_3[Amount],Cash_Flow_3[Bulan],H469,Cash_Flow_3[Type],"In")</f>
        <v>0</v>
      </c>
      <c r="J469" s="29">
        <f>SUMIFS(Cash_Flow_3[Amount],Cash_Flow_3[Bulan],H469,Cash_Flow_3[Type],"Out")</f>
        <v>0</v>
      </c>
      <c r="K469" s="29">
        <f>SUMIFS(Cash_Flow_3[Amount],Cash_Flow_3[Bulan],H469,Cash_Flow_3[Type],"Out",Cash_Flow_3[Category],"Fix")</f>
        <v>0</v>
      </c>
      <c r="L469" s="29">
        <f>SUMIFS(Cash_Flow_3[Amount],Cash_Flow_3[Bulan],H469,Cash_Flow_3[Type],"Out",Cash_Flow_3[Category],"Bathroom")</f>
        <v>0</v>
      </c>
      <c r="M469" s="29">
        <f>SUMIFS(Cash_Flow_3[Amount],Cash_Flow_3[Bulan],H469,Cash_Flow_3[Type],"Out",Cash_Flow_3[Category],"Alfa")</f>
        <v>0</v>
      </c>
      <c r="N469" s="29">
        <f>SUMIFS(Cash_Flow_3[Amount],Cash_Flow_3[Bulan],H469,Cash_Flow_3[Type],"Out",Cash_Flow_3[Category],"Jajan")</f>
        <v>0</v>
      </c>
      <c r="O469" s="29">
        <f>SUMIFS(Cash_Flow_3[Amount],Cash_Flow_3[Bulan],H469,Cash_Flow_3[Type],"Out",Cash_Flow_3[Category],"Kitchen")</f>
        <v>0</v>
      </c>
      <c r="P469" s="29">
        <f>SUMIFS(Cash_Flow_3[Amount],Cash_Flow_3[Bulan],H469,Cash_Flow_3[Type],"Out",Cash_Flow_3[Category],"Loandry")</f>
        <v>0</v>
      </c>
      <c r="Q469" s="29">
        <f>SUMIFS(Cash_Flow_3[Amount],Cash_Flow_3[Bulan],H469,Cash_Flow_3[Type],"Out",Cash_Flow_3[Category],"Mio")</f>
        <v>0</v>
      </c>
      <c r="R469" s="29">
        <f>SUMIFS(Cash_Flow_3[Amount],Cash_Flow_3[Bulan],H469,Cash_Flow_3[Type],"Out",Cash_Flow_3[Category],"Sedekah")</f>
        <v>0</v>
      </c>
      <c r="S469" s="29">
        <f>SUMIFS(Cash_Flow_3[Amount],Cash_Flow_3[Bulan],H469,Cash_Flow_3[Type],"Out",Cash_Flow_3[Category],"Zela")</f>
        <v>0</v>
      </c>
      <c r="T469" s="29">
        <f>SUMIFS(Cash_Flow_3[Amount],Cash_Flow_3[Bulan],H469,Cash_Flow_3[Type],"Out",Cash_Flow_3[Category],"Iqbal")</f>
        <v>0</v>
      </c>
    </row>
    <row r="470" spans="1:20" ht="22.5" customHeight="1" x14ac:dyDescent="0.2">
      <c r="A470" s="23"/>
      <c r="B470" s="24"/>
      <c r="C470" s="25"/>
      <c r="D470" s="25"/>
      <c r="E470" s="25"/>
      <c r="F470" s="26"/>
      <c r="G470" s="27"/>
      <c r="H470" s="28" t="str">
        <f t="shared" si="0"/>
        <v/>
      </c>
      <c r="I470" s="29">
        <f>SUMIFS(Cash_Flow_3[Amount],Cash_Flow_3[Bulan],H470,Cash_Flow_3[Type],"In")</f>
        <v>0</v>
      </c>
      <c r="J470" s="29">
        <f>SUMIFS(Cash_Flow_3[Amount],Cash_Flow_3[Bulan],H470,Cash_Flow_3[Type],"Out")</f>
        <v>0</v>
      </c>
      <c r="K470" s="29">
        <f>SUMIFS(Cash_Flow_3[Amount],Cash_Flow_3[Bulan],H470,Cash_Flow_3[Type],"Out",Cash_Flow_3[Category],"Fix")</f>
        <v>0</v>
      </c>
      <c r="L470" s="29">
        <f>SUMIFS(Cash_Flow_3[Amount],Cash_Flow_3[Bulan],H470,Cash_Flow_3[Type],"Out",Cash_Flow_3[Category],"Bathroom")</f>
        <v>0</v>
      </c>
      <c r="M470" s="29">
        <f>SUMIFS(Cash_Flow_3[Amount],Cash_Flow_3[Bulan],H470,Cash_Flow_3[Type],"Out",Cash_Flow_3[Category],"Alfa")</f>
        <v>0</v>
      </c>
      <c r="N470" s="29">
        <f>SUMIFS(Cash_Flow_3[Amount],Cash_Flow_3[Bulan],H470,Cash_Flow_3[Type],"Out",Cash_Flow_3[Category],"Jajan")</f>
        <v>0</v>
      </c>
      <c r="O470" s="29">
        <f>SUMIFS(Cash_Flow_3[Amount],Cash_Flow_3[Bulan],H470,Cash_Flow_3[Type],"Out",Cash_Flow_3[Category],"Kitchen")</f>
        <v>0</v>
      </c>
      <c r="P470" s="29">
        <f>SUMIFS(Cash_Flow_3[Amount],Cash_Flow_3[Bulan],H470,Cash_Flow_3[Type],"Out",Cash_Flow_3[Category],"Loandry")</f>
        <v>0</v>
      </c>
      <c r="Q470" s="29">
        <f>SUMIFS(Cash_Flow_3[Amount],Cash_Flow_3[Bulan],H470,Cash_Flow_3[Type],"Out",Cash_Flow_3[Category],"Mio")</f>
        <v>0</v>
      </c>
      <c r="R470" s="29">
        <f>SUMIFS(Cash_Flow_3[Amount],Cash_Flow_3[Bulan],H470,Cash_Flow_3[Type],"Out",Cash_Flow_3[Category],"Sedekah")</f>
        <v>0</v>
      </c>
      <c r="S470" s="29">
        <f>SUMIFS(Cash_Flow_3[Amount],Cash_Flow_3[Bulan],H470,Cash_Flow_3[Type],"Out",Cash_Flow_3[Category],"Zela")</f>
        <v>0</v>
      </c>
      <c r="T470" s="29">
        <f>SUMIFS(Cash_Flow_3[Amount],Cash_Flow_3[Bulan],H470,Cash_Flow_3[Type],"Out",Cash_Flow_3[Category],"Iqbal")</f>
        <v>0</v>
      </c>
    </row>
    <row r="471" spans="1:20" ht="22.5" customHeight="1" x14ac:dyDescent="0.2">
      <c r="A471" s="23"/>
      <c r="B471" s="24"/>
      <c r="C471" s="25"/>
      <c r="D471" s="25"/>
      <c r="E471" s="25"/>
      <c r="F471" s="26"/>
      <c r="G471" s="27"/>
      <c r="H471" s="28" t="str">
        <f t="shared" si="0"/>
        <v/>
      </c>
      <c r="I471" s="29">
        <f>SUMIFS(Cash_Flow_3[Amount],Cash_Flow_3[Bulan],H471,Cash_Flow_3[Type],"In")</f>
        <v>0</v>
      </c>
      <c r="J471" s="29">
        <f>SUMIFS(Cash_Flow_3[Amount],Cash_Flow_3[Bulan],H471,Cash_Flow_3[Type],"Out")</f>
        <v>0</v>
      </c>
      <c r="K471" s="29">
        <f>SUMIFS(Cash_Flow_3[Amount],Cash_Flow_3[Bulan],H471,Cash_Flow_3[Type],"Out",Cash_Flow_3[Category],"Fix")</f>
        <v>0</v>
      </c>
      <c r="L471" s="29">
        <f>SUMIFS(Cash_Flow_3[Amount],Cash_Flow_3[Bulan],H471,Cash_Flow_3[Type],"Out",Cash_Flow_3[Category],"Bathroom")</f>
        <v>0</v>
      </c>
      <c r="M471" s="29">
        <f>SUMIFS(Cash_Flow_3[Amount],Cash_Flow_3[Bulan],H471,Cash_Flow_3[Type],"Out",Cash_Flow_3[Category],"Alfa")</f>
        <v>0</v>
      </c>
      <c r="N471" s="29">
        <f>SUMIFS(Cash_Flow_3[Amount],Cash_Flow_3[Bulan],H471,Cash_Flow_3[Type],"Out",Cash_Flow_3[Category],"Jajan")</f>
        <v>0</v>
      </c>
      <c r="O471" s="29">
        <f>SUMIFS(Cash_Flow_3[Amount],Cash_Flow_3[Bulan],H471,Cash_Flow_3[Type],"Out",Cash_Flow_3[Category],"Kitchen")</f>
        <v>0</v>
      </c>
      <c r="P471" s="29">
        <f>SUMIFS(Cash_Flow_3[Amount],Cash_Flow_3[Bulan],H471,Cash_Flow_3[Type],"Out",Cash_Flow_3[Category],"Loandry")</f>
        <v>0</v>
      </c>
      <c r="Q471" s="29">
        <f>SUMIFS(Cash_Flow_3[Amount],Cash_Flow_3[Bulan],H471,Cash_Flow_3[Type],"Out",Cash_Flow_3[Category],"Mio")</f>
        <v>0</v>
      </c>
      <c r="R471" s="29">
        <f>SUMIFS(Cash_Flow_3[Amount],Cash_Flow_3[Bulan],H471,Cash_Flow_3[Type],"Out",Cash_Flow_3[Category],"Sedekah")</f>
        <v>0</v>
      </c>
      <c r="S471" s="29">
        <f>SUMIFS(Cash_Flow_3[Amount],Cash_Flow_3[Bulan],H471,Cash_Flow_3[Type],"Out",Cash_Flow_3[Category],"Zela")</f>
        <v>0</v>
      </c>
      <c r="T471" s="29">
        <f>SUMIFS(Cash_Flow_3[Amount],Cash_Flow_3[Bulan],H471,Cash_Flow_3[Type],"Out",Cash_Flow_3[Category],"Iqbal")</f>
        <v>0</v>
      </c>
    </row>
    <row r="472" spans="1:20" ht="22.5" customHeight="1" x14ac:dyDescent="0.2">
      <c r="A472" s="23"/>
      <c r="B472" s="24"/>
      <c r="C472" s="25"/>
      <c r="D472" s="25"/>
      <c r="E472" s="25"/>
      <c r="F472" s="26"/>
      <c r="G472" s="27"/>
      <c r="H472" s="28" t="str">
        <f t="shared" si="0"/>
        <v/>
      </c>
      <c r="I472" s="29">
        <f>SUMIFS(Cash_Flow_3[Amount],Cash_Flow_3[Bulan],H472,Cash_Flow_3[Type],"In")</f>
        <v>0</v>
      </c>
      <c r="J472" s="29">
        <f>SUMIFS(Cash_Flow_3[Amount],Cash_Flow_3[Bulan],H472,Cash_Flow_3[Type],"Out")</f>
        <v>0</v>
      </c>
      <c r="K472" s="29">
        <f>SUMIFS(Cash_Flow_3[Amount],Cash_Flow_3[Bulan],H472,Cash_Flow_3[Type],"Out",Cash_Flow_3[Category],"Fix")</f>
        <v>0</v>
      </c>
      <c r="L472" s="29">
        <f>SUMIFS(Cash_Flow_3[Amount],Cash_Flow_3[Bulan],H472,Cash_Flow_3[Type],"Out",Cash_Flow_3[Category],"Bathroom")</f>
        <v>0</v>
      </c>
      <c r="M472" s="29">
        <f>SUMIFS(Cash_Flow_3[Amount],Cash_Flow_3[Bulan],H472,Cash_Flow_3[Type],"Out",Cash_Flow_3[Category],"Alfa")</f>
        <v>0</v>
      </c>
      <c r="N472" s="29">
        <f>SUMIFS(Cash_Flow_3[Amount],Cash_Flow_3[Bulan],H472,Cash_Flow_3[Type],"Out",Cash_Flow_3[Category],"Jajan")</f>
        <v>0</v>
      </c>
      <c r="O472" s="29">
        <f>SUMIFS(Cash_Flow_3[Amount],Cash_Flow_3[Bulan],H472,Cash_Flow_3[Type],"Out",Cash_Flow_3[Category],"Kitchen")</f>
        <v>0</v>
      </c>
      <c r="P472" s="29">
        <f>SUMIFS(Cash_Flow_3[Amount],Cash_Flow_3[Bulan],H472,Cash_Flow_3[Type],"Out",Cash_Flow_3[Category],"Loandry")</f>
        <v>0</v>
      </c>
      <c r="Q472" s="29">
        <f>SUMIFS(Cash_Flow_3[Amount],Cash_Flow_3[Bulan],H472,Cash_Flow_3[Type],"Out",Cash_Flow_3[Category],"Mio")</f>
        <v>0</v>
      </c>
      <c r="R472" s="29">
        <f>SUMIFS(Cash_Flow_3[Amount],Cash_Flow_3[Bulan],H472,Cash_Flow_3[Type],"Out",Cash_Flow_3[Category],"Sedekah")</f>
        <v>0</v>
      </c>
      <c r="S472" s="29">
        <f>SUMIFS(Cash_Flow_3[Amount],Cash_Flow_3[Bulan],H472,Cash_Flow_3[Type],"Out",Cash_Flow_3[Category],"Zela")</f>
        <v>0</v>
      </c>
      <c r="T472" s="29">
        <f>SUMIFS(Cash_Flow_3[Amount],Cash_Flow_3[Bulan],H472,Cash_Flow_3[Type],"Out",Cash_Flow_3[Category],"Iqbal")</f>
        <v>0</v>
      </c>
    </row>
    <row r="473" spans="1:20" ht="22.5" customHeight="1" x14ac:dyDescent="0.2">
      <c r="A473" s="23"/>
      <c r="B473" s="24"/>
      <c r="C473" s="25"/>
      <c r="D473" s="25"/>
      <c r="E473" s="25"/>
      <c r="F473" s="26"/>
      <c r="G473" s="27"/>
      <c r="H473" s="28" t="str">
        <f t="shared" si="0"/>
        <v/>
      </c>
      <c r="I473" s="29">
        <f>SUMIFS(Cash_Flow_3[Amount],Cash_Flow_3[Bulan],H473,Cash_Flow_3[Type],"In")</f>
        <v>0</v>
      </c>
      <c r="J473" s="29">
        <f>SUMIFS(Cash_Flow_3[Amount],Cash_Flow_3[Bulan],H473,Cash_Flow_3[Type],"Out")</f>
        <v>0</v>
      </c>
      <c r="K473" s="29">
        <f>SUMIFS(Cash_Flow_3[Amount],Cash_Flow_3[Bulan],H473,Cash_Flow_3[Type],"Out",Cash_Flow_3[Category],"Fix")</f>
        <v>0</v>
      </c>
      <c r="L473" s="29">
        <f>SUMIFS(Cash_Flow_3[Amount],Cash_Flow_3[Bulan],H473,Cash_Flow_3[Type],"Out",Cash_Flow_3[Category],"Bathroom")</f>
        <v>0</v>
      </c>
      <c r="M473" s="29">
        <f>SUMIFS(Cash_Flow_3[Amount],Cash_Flow_3[Bulan],H473,Cash_Flow_3[Type],"Out",Cash_Flow_3[Category],"Alfa")</f>
        <v>0</v>
      </c>
      <c r="N473" s="29">
        <f>SUMIFS(Cash_Flow_3[Amount],Cash_Flow_3[Bulan],H473,Cash_Flow_3[Type],"Out",Cash_Flow_3[Category],"Jajan")</f>
        <v>0</v>
      </c>
      <c r="O473" s="29">
        <f>SUMIFS(Cash_Flow_3[Amount],Cash_Flow_3[Bulan],H473,Cash_Flow_3[Type],"Out",Cash_Flow_3[Category],"Kitchen")</f>
        <v>0</v>
      </c>
      <c r="P473" s="29">
        <f>SUMIFS(Cash_Flow_3[Amount],Cash_Flow_3[Bulan],H473,Cash_Flow_3[Type],"Out",Cash_Flow_3[Category],"Loandry")</f>
        <v>0</v>
      </c>
      <c r="Q473" s="29">
        <f>SUMIFS(Cash_Flow_3[Amount],Cash_Flow_3[Bulan],H473,Cash_Flow_3[Type],"Out",Cash_Flow_3[Category],"Mio")</f>
        <v>0</v>
      </c>
      <c r="R473" s="29">
        <f>SUMIFS(Cash_Flow_3[Amount],Cash_Flow_3[Bulan],H473,Cash_Flow_3[Type],"Out",Cash_Flow_3[Category],"Sedekah")</f>
        <v>0</v>
      </c>
      <c r="S473" s="29">
        <f>SUMIFS(Cash_Flow_3[Amount],Cash_Flow_3[Bulan],H473,Cash_Flow_3[Type],"Out",Cash_Flow_3[Category],"Zela")</f>
        <v>0</v>
      </c>
      <c r="T473" s="29">
        <f>SUMIFS(Cash_Flow_3[Amount],Cash_Flow_3[Bulan],H473,Cash_Flow_3[Type],"Out",Cash_Flow_3[Category],"Iqbal")</f>
        <v>0</v>
      </c>
    </row>
    <row r="474" spans="1:20" ht="22.5" customHeight="1" x14ac:dyDescent="0.2">
      <c r="A474" s="23"/>
      <c r="B474" s="24"/>
      <c r="C474" s="25"/>
      <c r="D474" s="25"/>
      <c r="E474" s="25"/>
      <c r="F474" s="26"/>
      <c r="G474" s="27"/>
      <c r="H474" s="28" t="str">
        <f t="shared" si="0"/>
        <v/>
      </c>
      <c r="I474" s="29">
        <f>SUMIFS(Cash_Flow_3[Amount],Cash_Flow_3[Bulan],H474,Cash_Flow_3[Type],"In")</f>
        <v>0</v>
      </c>
      <c r="J474" s="29">
        <f>SUMIFS(Cash_Flow_3[Amount],Cash_Flow_3[Bulan],H474,Cash_Flow_3[Type],"Out")</f>
        <v>0</v>
      </c>
      <c r="K474" s="29">
        <f>SUMIFS(Cash_Flow_3[Amount],Cash_Flow_3[Bulan],H474,Cash_Flow_3[Type],"Out",Cash_Flow_3[Category],"Fix")</f>
        <v>0</v>
      </c>
      <c r="L474" s="29">
        <f>SUMIFS(Cash_Flow_3[Amount],Cash_Flow_3[Bulan],H474,Cash_Flow_3[Type],"Out",Cash_Flow_3[Category],"Bathroom")</f>
        <v>0</v>
      </c>
      <c r="M474" s="29">
        <f>SUMIFS(Cash_Flow_3[Amount],Cash_Flow_3[Bulan],H474,Cash_Flow_3[Type],"Out",Cash_Flow_3[Category],"Alfa")</f>
        <v>0</v>
      </c>
      <c r="N474" s="29">
        <f>SUMIFS(Cash_Flow_3[Amount],Cash_Flow_3[Bulan],H474,Cash_Flow_3[Type],"Out",Cash_Flow_3[Category],"Jajan")</f>
        <v>0</v>
      </c>
      <c r="O474" s="29">
        <f>SUMIFS(Cash_Flow_3[Amount],Cash_Flow_3[Bulan],H474,Cash_Flow_3[Type],"Out",Cash_Flow_3[Category],"Kitchen")</f>
        <v>0</v>
      </c>
      <c r="P474" s="29">
        <f>SUMIFS(Cash_Flow_3[Amount],Cash_Flow_3[Bulan],H474,Cash_Flow_3[Type],"Out",Cash_Flow_3[Category],"Loandry")</f>
        <v>0</v>
      </c>
      <c r="Q474" s="29">
        <f>SUMIFS(Cash_Flow_3[Amount],Cash_Flow_3[Bulan],H474,Cash_Flow_3[Type],"Out",Cash_Flow_3[Category],"Mio")</f>
        <v>0</v>
      </c>
      <c r="R474" s="29">
        <f>SUMIFS(Cash_Flow_3[Amount],Cash_Flow_3[Bulan],H474,Cash_Flow_3[Type],"Out",Cash_Flow_3[Category],"Sedekah")</f>
        <v>0</v>
      </c>
      <c r="S474" s="29">
        <f>SUMIFS(Cash_Flow_3[Amount],Cash_Flow_3[Bulan],H474,Cash_Flow_3[Type],"Out",Cash_Flow_3[Category],"Zela")</f>
        <v>0</v>
      </c>
      <c r="T474" s="29">
        <f>SUMIFS(Cash_Flow_3[Amount],Cash_Flow_3[Bulan],H474,Cash_Flow_3[Type],"Out",Cash_Flow_3[Category],"Iqbal")</f>
        <v>0</v>
      </c>
    </row>
    <row r="475" spans="1:20" ht="22.5" customHeight="1" x14ac:dyDescent="0.2">
      <c r="A475" s="23"/>
      <c r="B475" s="24"/>
      <c r="C475" s="25"/>
      <c r="D475" s="25"/>
      <c r="E475" s="25"/>
      <c r="F475" s="26"/>
      <c r="G475" s="27"/>
      <c r="H475" s="28" t="str">
        <f t="shared" si="0"/>
        <v/>
      </c>
      <c r="I475" s="29">
        <f>SUMIFS(Cash_Flow_3[Amount],Cash_Flow_3[Bulan],H475,Cash_Flow_3[Type],"In")</f>
        <v>0</v>
      </c>
      <c r="J475" s="29">
        <f>SUMIFS(Cash_Flow_3[Amount],Cash_Flow_3[Bulan],H475,Cash_Flow_3[Type],"Out")</f>
        <v>0</v>
      </c>
      <c r="K475" s="29">
        <f>SUMIFS(Cash_Flow_3[Amount],Cash_Flow_3[Bulan],H475,Cash_Flow_3[Type],"Out",Cash_Flow_3[Category],"Fix")</f>
        <v>0</v>
      </c>
      <c r="L475" s="29">
        <f>SUMIFS(Cash_Flow_3[Amount],Cash_Flow_3[Bulan],H475,Cash_Flow_3[Type],"Out",Cash_Flow_3[Category],"Bathroom")</f>
        <v>0</v>
      </c>
      <c r="M475" s="29">
        <f>SUMIFS(Cash_Flow_3[Amount],Cash_Flow_3[Bulan],H475,Cash_Flow_3[Type],"Out",Cash_Flow_3[Category],"Alfa")</f>
        <v>0</v>
      </c>
      <c r="N475" s="29">
        <f>SUMIFS(Cash_Flow_3[Amount],Cash_Flow_3[Bulan],H475,Cash_Flow_3[Type],"Out",Cash_Flow_3[Category],"Jajan")</f>
        <v>0</v>
      </c>
      <c r="O475" s="29">
        <f>SUMIFS(Cash_Flow_3[Amount],Cash_Flow_3[Bulan],H475,Cash_Flow_3[Type],"Out",Cash_Flow_3[Category],"Kitchen")</f>
        <v>0</v>
      </c>
      <c r="P475" s="29">
        <f>SUMIFS(Cash_Flow_3[Amount],Cash_Flow_3[Bulan],H475,Cash_Flow_3[Type],"Out",Cash_Flow_3[Category],"Loandry")</f>
        <v>0</v>
      </c>
      <c r="Q475" s="29">
        <f>SUMIFS(Cash_Flow_3[Amount],Cash_Flow_3[Bulan],H475,Cash_Flow_3[Type],"Out",Cash_Flow_3[Category],"Mio")</f>
        <v>0</v>
      </c>
      <c r="R475" s="29">
        <f>SUMIFS(Cash_Flow_3[Amount],Cash_Flow_3[Bulan],H475,Cash_Flow_3[Type],"Out",Cash_Flow_3[Category],"Sedekah")</f>
        <v>0</v>
      </c>
      <c r="S475" s="29">
        <f>SUMIFS(Cash_Flow_3[Amount],Cash_Flow_3[Bulan],H475,Cash_Flow_3[Type],"Out",Cash_Flow_3[Category],"Zela")</f>
        <v>0</v>
      </c>
      <c r="T475" s="29">
        <f>SUMIFS(Cash_Flow_3[Amount],Cash_Flow_3[Bulan],H475,Cash_Flow_3[Type],"Out",Cash_Flow_3[Category],"Iqbal")</f>
        <v>0</v>
      </c>
    </row>
    <row r="476" spans="1:20" ht="22.5" customHeight="1" x14ac:dyDescent="0.2">
      <c r="A476" s="23"/>
      <c r="B476" s="24"/>
      <c r="C476" s="25"/>
      <c r="D476" s="25"/>
      <c r="E476" s="25"/>
      <c r="F476" s="26"/>
      <c r="G476" s="27"/>
      <c r="H476" s="28" t="str">
        <f t="shared" si="0"/>
        <v/>
      </c>
      <c r="I476" s="29">
        <f>SUMIFS(Cash_Flow_3[Amount],Cash_Flow_3[Bulan],H476,Cash_Flow_3[Type],"In")</f>
        <v>0</v>
      </c>
      <c r="J476" s="29">
        <f>SUMIFS(Cash_Flow_3[Amount],Cash_Flow_3[Bulan],H476,Cash_Flow_3[Type],"Out")</f>
        <v>0</v>
      </c>
      <c r="K476" s="29">
        <f>SUMIFS(Cash_Flow_3[Amount],Cash_Flow_3[Bulan],H476,Cash_Flow_3[Type],"Out",Cash_Flow_3[Category],"Fix")</f>
        <v>0</v>
      </c>
      <c r="L476" s="29">
        <f>SUMIFS(Cash_Flow_3[Amount],Cash_Flow_3[Bulan],H476,Cash_Flow_3[Type],"Out",Cash_Flow_3[Category],"Bathroom")</f>
        <v>0</v>
      </c>
      <c r="M476" s="29">
        <f>SUMIFS(Cash_Flow_3[Amount],Cash_Flow_3[Bulan],H476,Cash_Flow_3[Type],"Out",Cash_Flow_3[Category],"Alfa")</f>
        <v>0</v>
      </c>
      <c r="N476" s="29">
        <f>SUMIFS(Cash_Flow_3[Amount],Cash_Flow_3[Bulan],H476,Cash_Flow_3[Type],"Out",Cash_Flow_3[Category],"Jajan")</f>
        <v>0</v>
      </c>
      <c r="O476" s="29">
        <f>SUMIFS(Cash_Flow_3[Amount],Cash_Flow_3[Bulan],H476,Cash_Flow_3[Type],"Out",Cash_Flow_3[Category],"Kitchen")</f>
        <v>0</v>
      </c>
      <c r="P476" s="29">
        <f>SUMIFS(Cash_Flow_3[Amount],Cash_Flow_3[Bulan],H476,Cash_Flow_3[Type],"Out",Cash_Flow_3[Category],"Loandry")</f>
        <v>0</v>
      </c>
      <c r="Q476" s="29">
        <f>SUMIFS(Cash_Flow_3[Amount],Cash_Flow_3[Bulan],H476,Cash_Flow_3[Type],"Out",Cash_Flow_3[Category],"Mio")</f>
        <v>0</v>
      </c>
      <c r="R476" s="29">
        <f>SUMIFS(Cash_Flow_3[Amount],Cash_Flow_3[Bulan],H476,Cash_Flow_3[Type],"Out",Cash_Flow_3[Category],"Sedekah")</f>
        <v>0</v>
      </c>
      <c r="S476" s="29">
        <f>SUMIFS(Cash_Flow_3[Amount],Cash_Flow_3[Bulan],H476,Cash_Flow_3[Type],"Out",Cash_Flow_3[Category],"Zela")</f>
        <v>0</v>
      </c>
      <c r="T476" s="29">
        <f>SUMIFS(Cash_Flow_3[Amount],Cash_Flow_3[Bulan],H476,Cash_Flow_3[Type],"Out",Cash_Flow_3[Category],"Iqbal")</f>
        <v>0</v>
      </c>
    </row>
    <row r="477" spans="1:20" ht="22.5" customHeight="1" x14ac:dyDescent="0.2">
      <c r="A477" s="23"/>
      <c r="B477" s="24"/>
      <c r="C477" s="25"/>
      <c r="D477" s="25"/>
      <c r="E477" s="25"/>
      <c r="F477" s="26"/>
      <c r="G477" s="27"/>
      <c r="H477" s="28" t="str">
        <f t="shared" si="0"/>
        <v/>
      </c>
      <c r="I477" s="29">
        <f>SUMIFS(Cash_Flow_3[Amount],Cash_Flow_3[Bulan],H477,Cash_Flow_3[Type],"In")</f>
        <v>0</v>
      </c>
      <c r="J477" s="29">
        <f>SUMIFS(Cash_Flow_3[Amount],Cash_Flow_3[Bulan],H477,Cash_Flow_3[Type],"Out")</f>
        <v>0</v>
      </c>
      <c r="K477" s="29">
        <f>SUMIFS(Cash_Flow_3[Amount],Cash_Flow_3[Bulan],H477,Cash_Flow_3[Type],"Out",Cash_Flow_3[Category],"Fix")</f>
        <v>0</v>
      </c>
      <c r="L477" s="29">
        <f>SUMIFS(Cash_Flow_3[Amount],Cash_Flow_3[Bulan],H477,Cash_Flow_3[Type],"Out",Cash_Flow_3[Category],"Bathroom")</f>
        <v>0</v>
      </c>
      <c r="M477" s="29">
        <f>SUMIFS(Cash_Flow_3[Amount],Cash_Flow_3[Bulan],H477,Cash_Flow_3[Type],"Out",Cash_Flow_3[Category],"Alfa")</f>
        <v>0</v>
      </c>
      <c r="N477" s="29">
        <f>SUMIFS(Cash_Flow_3[Amount],Cash_Flow_3[Bulan],H477,Cash_Flow_3[Type],"Out",Cash_Flow_3[Category],"Jajan")</f>
        <v>0</v>
      </c>
      <c r="O477" s="29">
        <f>SUMIFS(Cash_Flow_3[Amount],Cash_Flow_3[Bulan],H477,Cash_Flow_3[Type],"Out",Cash_Flow_3[Category],"Kitchen")</f>
        <v>0</v>
      </c>
      <c r="P477" s="29">
        <f>SUMIFS(Cash_Flow_3[Amount],Cash_Flow_3[Bulan],H477,Cash_Flow_3[Type],"Out",Cash_Flow_3[Category],"Loandry")</f>
        <v>0</v>
      </c>
      <c r="Q477" s="29">
        <f>SUMIFS(Cash_Flow_3[Amount],Cash_Flow_3[Bulan],H477,Cash_Flow_3[Type],"Out",Cash_Flow_3[Category],"Mio")</f>
        <v>0</v>
      </c>
      <c r="R477" s="29">
        <f>SUMIFS(Cash_Flow_3[Amount],Cash_Flow_3[Bulan],H477,Cash_Flow_3[Type],"Out",Cash_Flow_3[Category],"Sedekah")</f>
        <v>0</v>
      </c>
      <c r="S477" s="29">
        <f>SUMIFS(Cash_Flow_3[Amount],Cash_Flow_3[Bulan],H477,Cash_Flow_3[Type],"Out",Cash_Flow_3[Category],"Zela")</f>
        <v>0</v>
      </c>
      <c r="T477" s="29">
        <f>SUMIFS(Cash_Flow_3[Amount],Cash_Flow_3[Bulan],H477,Cash_Flow_3[Type],"Out",Cash_Flow_3[Category],"Iqbal")</f>
        <v>0</v>
      </c>
    </row>
    <row r="478" spans="1:20" ht="22.5" customHeight="1" x14ac:dyDescent="0.2">
      <c r="A478" s="23"/>
      <c r="B478" s="24"/>
      <c r="C478" s="25"/>
      <c r="D478" s="25"/>
      <c r="E478" s="25"/>
      <c r="F478" s="26"/>
      <c r="G478" s="27"/>
      <c r="H478" s="28" t="str">
        <f t="shared" si="0"/>
        <v/>
      </c>
      <c r="I478" s="29">
        <f>SUMIFS(Cash_Flow_3[Amount],Cash_Flow_3[Bulan],H478,Cash_Flow_3[Type],"In")</f>
        <v>0</v>
      </c>
      <c r="J478" s="29">
        <f>SUMIFS(Cash_Flow_3[Amount],Cash_Flow_3[Bulan],H478,Cash_Flow_3[Type],"Out")</f>
        <v>0</v>
      </c>
      <c r="K478" s="29">
        <f>SUMIFS(Cash_Flow_3[Amount],Cash_Flow_3[Bulan],H478,Cash_Flow_3[Type],"Out",Cash_Flow_3[Category],"Fix")</f>
        <v>0</v>
      </c>
      <c r="L478" s="29">
        <f>SUMIFS(Cash_Flow_3[Amount],Cash_Flow_3[Bulan],H478,Cash_Flow_3[Type],"Out",Cash_Flow_3[Category],"Bathroom")</f>
        <v>0</v>
      </c>
      <c r="M478" s="29">
        <f>SUMIFS(Cash_Flow_3[Amount],Cash_Flow_3[Bulan],H478,Cash_Flow_3[Type],"Out",Cash_Flow_3[Category],"Alfa")</f>
        <v>0</v>
      </c>
      <c r="N478" s="29">
        <f>SUMIFS(Cash_Flow_3[Amount],Cash_Flow_3[Bulan],H478,Cash_Flow_3[Type],"Out",Cash_Flow_3[Category],"Jajan")</f>
        <v>0</v>
      </c>
      <c r="O478" s="29">
        <f>SUMIFS(Cash_Flow_3[Amount],Cash_Flow_3[Bulan],H478,Cash_Flow_3[Type],"Out",Cash_Flow_3[Category],"Kitchen")</f>
        <v>0</v>
      </c>
      <c r="P478" s="29">
        <f>SUMIFS(Cash_Flow_3[Amount],Cash_Flow_3[Bulan],H478,Cash_Flow_3[Type],"Out",Cash_Flow_3[Category],"Loandry")</f>
        <v>0</v>
      </c>
      <c r="Q478" s="29">
        <f>SUMIFS(Cash_Flow_3[Amount],Cash_Flow_3[Bulan],H478,Cash_Flow_3[Type],"Out",Cash_Flow_3[Category],"Mio")</f>
        <v>0</v>
      </c>
      <c r="R478" s="29">
        <f>SUMIFS(Cash_Flow_3[Amount],Cash_Flow_3[Bulan],H478,Cash_Flow_3[Type],"Out",Cash_Flow_3[Category],"Sedekah")</f>
        <v>0</v>
      </c>
      <c r="S478" s="29">
        <f>SUMIFS(Cash_Flow_3[Amount],Cash_Flow_3[Bulan],H478,Cash_Flow_3[Type],"Out",Cash_Flow_3[Category],"Zela")</f>
        <v>0</v>
      </c>
      <c r="T478" s="29">
        <f>SUMIFS(Cash_Flow_3[Amount],Cash_Flow_3[Bulan],H478,Cash_Flow_3[Type],"Out",Cash_Flow_3[Category],"Iqbal")</f>
        <v>0</v>
      </c>
    </row>
    <row r="479" spans="1:20" ht="22.5" customHeight="1" x14ac:dyDescent="0.2">
      <c r="A479" s="23"/>
      <c r="B479" s="24"/>
      <c r="C479" s="25"/>
      <c r="D479" s="25"/>
      <c r="E479" s="25"/>
      <c r="F479" s="26"/>
      <c r="G479" s="27"/>
      <c r="H479" s="28" t="str">
        <f t="shared" si="0"/>
        <v/>
      </c>
      <c r="I479" s="29">
        <f>SUMIFS(Cash_Flow_3[Amount],Cash_Flow_3[Bulan],H479,Cash_Flow_3[Type],"In")</f>
        <v>0</v>
      </c>
      <c r="J479" s="29">
        <f>SUMIFS(Cash_Flow_3[Amount],Cash_Flow_3[Bulan],H479,Cash_Flow_3[Type],"Out")</f>
        <v>0</v>
      </c>
      <c r="K479" s="29">
        <f>SUMIFS(Cash_Flow_3[Amount],Cash_Flow_3[Bulan],H479,Cash_Flow_3[Type],"Out",Cash_Flow_3[Category],"Fix")</f>
        <v>0</v>
      </c>
      <c r="L479" s="29">
        <f>SUMIFS(Cash_Flow_3[Amount],Cash_Flow_3[Bulan],H479,Cash_Flow_3[Type],"Out",Cash_Flow_3[Category],"Bathroom")</f>
        <v>0</v>
      </c>
      <c r="M479" s="29">
        <f>SUMIFS(Cash_Flow_3[Amount],Cash_Flow_3[Bulan],H479,Cash_Flow_3[Type],"Out",Cash_Flow_3[Category],"Alfa")</f>
        <v>0</v>
      </c>
      <c r="N479" s="29">
        <f>SUMIFS(Cash_Flow_3[Amount],Cash_Flow_3[Bulan],H479,Cash_Flow_3[Type],"Out",Cash_Flow_3[Category],"Jajan")</f>
        <v>0</v>
      </c>
      <c r="O479" s="29">
        <f>SUMIFS(Cash_Flow_3[Amount],Cash_Flow_3[Bulan],H479,Cash_Flow_3[Type],"Out",Cash_Flow_3[Category],"Kitchen")</f>
        <v>0</v>
      </c>
      <c r="P479" s="29">
        <f>SUMIFS(Cash_Flow_3[Amount],Cash_Flow_3[Bulan],H479,Cash_Flow_3[Type],"Out",Cash_Flow_3[Category],"Loandry")</f>
        <v>0</v>
      </c>
      <c r="Q479" s="29">
        <f>SUMIFS(Cash_Flow_3[Amount],Cash_Flow_3[Bulan],H479,Cash_Flow_3[Type],"Out",Cash_Flow_3[Category],"Mio")</f>
        <v>0</v>
      </c>
      <c r="R479" s="29">
        <f>SUMIFS(Cash_Flow_3[Amount],Cash_Flow_3[Bulan],H479,Cash_Flow_3[Type],"Out",Cash_Flow_3[Category],"Sedekah")</f>
        <v>0</v>
      </c>
      <c r="S479" s="29">
        <f>SUMIFS(Cash_Flow_3[Amount],Cash_Flow_3[Bulan],H479,Cash_Flow_3[Type],"Out",Cash_Flow_3[Category],"Zela")</f>
        <v>0</v>
      </c>
      <c r="T479" s="29">
        <f>SUMIFS(Cash_Flow_3[Amount],Cash_Flow_3[Bulan],H479,Cash_Flow_3[Type],"Out",Cash_Flow_3[Category],"Iqbal")</f>
        <v>0</v>
      </c>
    </row>
    <row r="480" spans="1:20" ht="22.5" customHeight="1" x14ac:dyDescent="0.2">
      <c r="A480" s="23"/>
      <c r="B480" s="24"/>
      <c r="C480" s="25"/>
      <c r="D480" s="25"/>
      <c r="E480" s="25"/>
      <c r="F480" s="26"/>
      <c r="G480" s="27"/>
      <c r="H480" s="28" t="str">
        <f t="shared" si="0"/>
        <v/>
      </c>
      <c r="I480" s="29">
        <f>SUMIFS(Cash_Flow_3[Amount],Cash_Flow_3[Bulan],H480,Cash_Flow_3[Type],"In")</f>
        <v>0</v>
      </c>
      <c r="J480" s="29">
        <f>SUMIFS(Cash_Flow_3[Amount],Cash_Flow_3[Bulan],H480,Cash_Flow_3[Type],"Out")</f>
        <v>0</v>
      </c>
      <c r="K480" s="29">
        <f>SUMIFS(Cash_Flow_3[Amount],Cash_Flow_3[Bulan],H480,Cash_Flow_3[Type],"Out",Cash_Flow_3[Category],"Fix")</f>
        <v>0</v>
      </c>
      <c r="L480" s="29">
        <f>SUMIFS(Cash_Flow_3[Amount],Cash_Flow_3[Bulan],H480,Cash_Flow_3[Type],"Out",Cash_Flow_3[Category],"Bathroom")</f>
        <v>0</v>
      </c>
      <c r="M480" s="29">
        <f>SUMIFS(Cash_Flow_3[Amount],Cash_Flow_3[Bulan],H480,Cash_Flow_3[Type],"Out",Cash_Flow_3[Category],"Alfa")</f>
        <v>0</v>
      </c>
      <c r="N480" s="29">
        <f>SUMIFS(Cash_Flow_3[Amount],Cash_Flow_3[Bulan],H480,Cash_Flow_3[Type],"Out",Cash_Flow_3[Category],"Jajan")</f>
        <v>0</v>
      </c>
      <c r="O480" s="29">
        <f>SUMIFS(Cash_Flow_3[Amount],Cash_Flow_3[Bulan],H480,Cash_Flow_3[Type],"Out",Cash_Flow_3[Category],"Kitchen")</f>
        <v>0</v>
      </c>
      <c r="P480" s="29">
        <f>SUMIFS(Cash_Flow_3[Amount],Cash_Flow_3[Bulan],H480,Cash_Flow_3[Type],"Out",Cash_Flow_3[Category],"Loandry")</f>
        <v>0</v>
      </c>
      <c r="Q480" s="29">
        <f>SUMIFS(Cash_Flow_3[Amount],Cash_Flow_3[Bulan],H480,Cash_Flow_3[Type],"Out",Cash_Flow_3[Category],"Mio")</f>
        <v>0</v>
      </c>
      <c r="R480" s="29">
        <f>SUMIFS(Cash_Flow_3[Amount],Cash_Flow_3[Bulan],H480,Cash_Flow_3[Type],"Out",Cash_Flow_3[Category],"Sedekah")</f>
        <v>0</v>
      </c>
      <c r="S480" s="29">
        <f>SUMIFS(Cash_Flow_3[Amount],Cash_Flow_3[Bulan],H480,Cash_Flow_3[Type],"Out",Cash_Flow_3[Category],"Zela")</f>
        <v>0</v>
      </c>
      <c r="T480" s="29">
        <f>SUMIFS(Cash_Flow_3[Amount],Cash_Flow_3[Bulan],H480,Cash_Flow_3[Type],"Out",Cash_Flow_3[Category],"Iqbal")</f>
        <v>0</v>
      </c>
    </row>
    <row r="481" spans="1:20" ht="22.5" customHeight="1" x14ac:dyDescent="0.2">
      <c r="A481" s="23"/>
      <c r="B481" s="24"/>
      <c r="C481" s="25"/>
      <c r="D481" s="25"/>
      <c r="E481" s="25"/>
      <c r="F481" s="26"/>
      <c r="G481" s="27"/>
      <c r="H481" s="28" t="str">
        <f t="shared" si="0"/>
        <v/>
      </c>
      <c r="I481" s="29">
        <f>SUMIFS(Cash_Flow_3[Amount],Cash_Flow_3[Bulan],H481,Cash_Flow_3[Type],"In")</f>
        <v>0</v>
      </c>
      <c r="J481" s="29">
        <f>SUMIFS(Cash_Flow_3[Amount],Cash_Flow_3[Bulan],H481,Cash_Flow_3[Type],"Out")</f>
        <v>0</v>
      </c>
      <c r="K481" s="29">
        <f>SUMIFS(Cash_Flow_3[Amount],Cash_Flow_3[Bulan],H481,Cash_Flow_3[Type],"Out",Cash_Flow_3[Category],"Fix")</f>
        <v>0</v>
      </c>
      <c r="L481" s="29">
        <f>SUMIFS(Cash_Flow_3[Amount],Cash_Flow_3[Bulan],H481,Cash_Flow_3[Type],"Out",Cash_Flow_3[Category],"Bathroom")</f>
        <v>0</v>
      </c>
      <c r="M481" s="29">
        <f>SUMIFS(Cash_Flow_3[Amount],Cash_Flow_3[Bulan],H481,Cash_Flow_3[Type],"Out",Cash_Flow_3[Category],"Alfa")</f>
        <v>0</v>
      </c>
      <c r="N481" s="29">
        <f>SUMIFS(Cash_Flow_3[Amount],Cash_Flow_3[Bulan],H481,Cash_Flow_3[Type],"Out",Cash_Flow_3[Category],"Jajan")</f>
        <v>0</v>
      </c>
      <c r="O481" s="29">
        <f>SUMIFS(Cash_Flow_3[Amount],Cash_Flow_3[Bulan],H481,Cash_Flow_3[Type],"Out",Cash_Flow_3[Category],"Kitchen")</f>
        <v>0</v>
      </c>
      <c r="P481" s="29">
        <f>SUMIFS(Cash_Flow_3[Amount],Cash_Flow_3[Bulan],H481,Cash_Flow_3[Type],"Out",Cash_Flow_3[Category],"Loandry")</f>
        <v>0</v>
      </c>
      <c r="Q481" s="29">
        <f>SUMIFS(Cash_Flow_3[Amount],Cash_Flow_3[Bulan],H481,Cash_Flow_3[Type],"Out",Cash_Flow_3[Category],"Mio")</f>
        <v>0</v>
      </c>
      <c r="R481" s="29">
        <f>SUMIFS(Cash_Flow_3[Amount],Cash_Flow_3[Bulan],H481,Cash_Flow_3[Type],"Out",Cash_Flow_3[Category],"Sedekah")</f>
        <v>0</v>
      </c>
      <c r="S481" s="29">
        <f>SUMIFS(Cash_Flow_3[Amount],Cash_Flow_3[Bulan],H481,Cash_Flow_3[Type],"Out",Cash_Flow_3[Category],"Zela")</f>
        <v>0</v>
      </c>
      <c r="T481" s="29">
        <f>SUMIFS(Cash_Flow_3[Amount],Cash_Flow_3[Bulan],H481,Cash_Flow_3[Type],"Out",Cash_Flow_3[Category],"Iqbal")</f>
        <v>0</v>
      </c>
    </row>
    <row r="482" spans="1:20" ht="22.5" customHeight="1" x14ac:dyDescent="0.2">
      <c r="A482" s="23"/>
      <c r="B482" s="24"/>
      <c r="C482" s="25"/>
      <c r="D482" s="25"/>
      <c r="E482" s="25"/>
      <c r="F482" s="26"/>
      <c r="G482" s="27"/>
      <c r="H482" s="28" t="str">
        <f t="shared" si="0"/>
        <v/>
      </c>
      <c r="I482" s="29">
        <f>SUMIFS(Cash_Flow_3[Amount],Cash_Flow_3[Bulan],H482,Cash_Flow_3[Type],"In")</f>
        <v>0</v>
      </c>
      <c r="J482" s="29">
        <f>SUMIFS(Cash_Flow_3[Amount],Cash_Flow_3[Bulan],H482,Cash_Flow_3[Type],"Out")</f>
        <v>0</v>
      </c>
      <c r="K482" s="29">
        <f>SUMIFS(Cash_Flow_3[Amount],Cash_Flow_3[Bulan],H482,Cash_Flow_3[Type],"Out",Cash_Flow_3[Category],"Fix")</f>
        <v>0</v>
      </c>
      <c r="L482" s="29">
        <f>SUMIFS(Cash_Flow_3[Amount],Cash_Flow_3[Bulan],H482,Cash_Flow_3[Type],"Out",Cash_Flow_3[Category],"Bathroom")</f>
        <v>0</v>
      </c>
      <c r="M482" s="29">
        <f>SUMIFS(Cash_Flow_3[Amount],Cash_Flow_3[Bulan],H482,Cash_Flow_3[Type],"Out",Cash_Flow_3[Category],"Alfa")</f>
        <v>0</v>
      </c>
      <c r="N482" s="29">
        <f>SUMIFS(Cash_Flow_3[Amount],Cash_Flow_3[Bulan],H482,Cash_Flow_3[Type],"Out",Cash_Flow_3[Category],"Jajan")</f>
        <v>0</v>
      </c>
      <c r="O482" s="29">
        <f>SUMIFS(Cash_Flow_3[Amount],Cash_Flow_3[Bulan],H482,Cash_Flow_3[Type],"Out",Cash_Flow_3[Category],"Kitchen")</f>
        <v>0</v>
      </c>
      <c r="P482" s="29">
        <f>SUMIFS(Cash_Flow_3[Amount],Cash_Flow_3[Bulan],H482,Cash_Flow_3[Type],"Out",Cash_Flow_3[Category],"Loandry")</f>
        <v>0</v>
      </c>
      <c r="Q482" s="29">
        <f>SUMIFS(Cash_Flow_3[Amount],Cash_Flow_3[Bulan],H482,Cash_Flow_3[Type],"Out",Cash_Flow_3[Category],"Mio")</f>
        <v>0</v>
      </c>
      <c r="R482" s="29">
        <f>SUMIFS(Cash_Flow_3[Amount],Cash_Flow_3[Bulan],H482,Cash_Flow_3[Type],"Out",Cash_Flow_3[Category],"Sedekah")</f>
        <v>0</v>
      </c>
      <c r="S482" s="29">
        <f>SUMIFS(Cash_Flow_3[Amount],Cash_Flow_3[Bulan],H482,Cash_Flow_3[Type],"Out",Cash_Flow_3[Category],"Zela")</f>
        <v>0</v>
      </c>
      <c r="T482" s="29">
        <f>SUMIFS(Cash_Flow_3[Amount],Cash_Flow_3[Bulan],H482,Cash_Flow_3[Type],"Out",Cash_Flow_3[Category],"Iqbal")</f>
        <v>0</v>
      </c>
    </row>
    <row r="483" spans="1:20" ht="22.5" customHeight="1" x14ac:dyDescent="0.2">
      <c r="A483" s="23"/>
      <c r="B483" s="24"/>
      <c r="C483" s="25"/>
      <c r="D483" s="25"/>
      <c r="E483" s="25"/>
      <c r="F483" s="26"/>
      <c r="G483" s="27"/>
      <c r="H483" s="28" t="str">
        <f t="shared" si="0"/>
        <v/>
      </c>
      <c r="I483" s="29">
        <f>SUMIFS(Cash_Flow_3[Amount],Cash_Flow_3[Bulan],H483,Cash_Flow_3[Type],"In")</f>
        <v>0</v>
      </c>
      <c r="J483" s="29">
        <f>SUMIFS(Cash_Flow_3[Amount],Cash_Flow_3[Bulan],H483,Cash_Flow_3[Type],"Out")</f>
        <v>0</v>
      </c>
      <c r="K483" s="29">
        <f>SUMIFS(Cash_Flow_3[Amount],Cash_Flow_3[Bulan],H483,Cash_Flow_3[Type],"Out",Cash_Flow_3[Category],"Fix")</f>
        <v>0</v>
      </c>
      <c r="L483" s="29">
        <f>SUMIFS(Cash_Flow_3[Amount],Cash_Flow_3[Bulan],H483,Cash_Flow_3[Type],"Out",Cash_Flow_3[Category],"Bathroom")</f>
        <v>0</v>
      </c>
      <c r="M483" s="29">
        <f>SUMIFS(Cash_Flow_3[Amount],Cash_Flow_3[Bulan],H483,Cash_Flow_3[Type],"Out",Cash_Flow_3[Category],"Alfa")</f>
        <v>0</v>
      </c>
      <c r="N483" s="29">
        <f>SUMIFS(Cash_Flow_3[Amount],Cash_Flow_3[Bulan],H483,Cash_Flow_3[Type],"Out",Cash_Flow_3[Category],"Jajan")</f>
        <v>0</v>
      </c>
      <c r="O483" s="29">
        <f>SUMIFS(Cash_Flow_3[Amount],Cash_Flow_3[Bulan],H483,Cash_Flow_3[Type],"Out",Cash_Flow_3[Category],"Kitchen")</f>
        <v>0</v>
      </c>
      <c r="P483" s="29">
        <f>SUMIFS(Cash_Flow_3[Amount],Cash_Flow_3[Bulan],H483,Cash_Flow_3[Type],"Out",Cash_Flow_3[Category],"Loandry")</f>
        <v>0</v>
      </c>
      <c r="Q483" s="29">
        <f>SUMIFS(Cash_Flow_3[Amount],Cash_Flow_3[Bulan],H483,Cash_Flow_3[Type],"Out",Cash_Flow_3[Category],"Mio")</f>
        <v>0</v>
      </c>
      <c r="R483" s="29">
        <f>SUMIFS(Cash_Flow_3[Amount],Cash_Flow_3[Bulan],H483,Cash_Flow_3[Type],"Out",Cash_Flow_3[Category],"Sedekah")</f>
        <v>0</v>
      </c>
      <c r="S483" s="29">
        <f>SUMIFS(Cash_Flow_3[Amount],Cash_Flow_3[Bulan],H483,Cash_Flow_3[Type],"Out",Cash_Flow_3[Category],"Zela")</f>
        <v>0</v>
      </c>
      <c r="T483" s="29">
        <f>SUMIFS(Cash_Flow_3[Amount],Cash_Flow_3[Bulan],H483,Cash_Flow_3[Type],"Out",Cash_Flow_3[Category],"Iqbal")</f>
        <v>0</v>
      </c>
    </row>
    <row r="484" spans="1:20" ht="22.5" customHeight="1" x14ac:dyDescent="0.2">
      <c r="A484" s="23"/>
      <c r="B484" s="24"/>
      <c r="C484" s="25"/>
      <c r="D484" s="25"/>
      <c r="E484" s="25"/>
      <c r="F484" s="26"/>
      <c r="G484" s="27"/>
      <c r="H484" s="28" t="str">
        <f t="shared" si="0"/>
        <v/>
      </c>
      <c r="I484" s="29">
        <f>SUMIFS(Cash_Flow_3[Amount],Cash_Flow_3[Bulan],H484,Cash_Flow_3[Type],"In")</f>
        <v>0</v>
      </c>
      <c r="J484" s="29">
        <f>SUMIFS(Cash_Flow_3[Amount],Cash_Flow_3[Bulan],H484,Cash_Flow_3[Type],"Out")</f>
        <v>0</v>
      </c>
      <c r="K484" s="29">
        <f>SUMIFS(Cash_Flow_3[Amount],Cash_Flow_3[Bulan],H484,Cash_Flow_3[Type],"Out",Cash_Flow_3[Category],"Fix")</f>
        <v>0</v>
      </c>
      <c r="L484" s="29">
        <f>SUMIFS(Cash_Flow_3[Amount],Cash_Flow_3[Bulan],H484,Cash_Flow_3[Type],"Out",Cash_Flow_3[Category],"Bathroom")</f>
        <v>0</v>
      </c>
      <c r="M484" s="29">
        <f>SUMIFS(Cash_Flow_3[Amount],Cash_Flow_3[Bulan],H484,Cash_Flow_3[Type],"Out",Cash_Flow_3[Category],"Alfa")</f>
        <v>0</v>
      </c>
      <c r="N484" s="29">
        <f>SUMIFS(Cash_Flow_3[Amount],Cash_Flow_3[Bulan],H484,Cash_Flow_3[Type],"Out",Cash_Flow_3[Category],"Jajan")</f>
        <v>0</v>
      </c>
      <c r="O484" s="29">
        <f>SUMIFS(Cash_Flow_3[Amount],Cash_Flow_3[Bulan],H484,Cash_Flow_3[Type],"Out",Cash_Flow_3[Category],"Kitchen")</f>
        <v>0</v>
      </c>
      <c r="P484" s="29">
        <f>SUMIFS(Cash_Flow_3[Amount],Cash_Flow_3[Bulan],H484,Cash_Flow_3[Type],"Out",Cash_Flow_3[Category],"Loandry")</f>
        <v>0</v>
      </c>
      <c r="Q484" s="29">
        <f>SUMIFS(Cash_Flow_3[Amount],Cash_Flow_3[Bulan],H484,Cash_Flow_3[Type],"Out",Cash_Flow_3[Category],"Mio")</f>
        <v>0</v>
      </c>
      <c r="R484" s="29">
        <f>SUMIFS(Cash_Flow_3[Amount],Cash_Flow_3[Bulan],H484,Cash_Flow_3[Type],"Out",Cash_Flow_3[Category],"Sedekah")</f>
        <v>0</v>
      </c>
      <c r="S484" s="29">
        <f>SUMIFS(Cash_Flow_3[Amount],Cash_Flow_3[Bulan],H484,Cash_Flow_3[Type],"Out",Cash_Flow_3[Category],"Zela")</f>
        <v>0</v>
      </c>
      <c r="T484" s="29">
        <f>SUMIFS(Cash_Flow_3[Amount],Cash_Flow_3[Bulan],H484,Cash_Flow_3[Type],"Out",Cash_Flow_3[Category],"Iqbal")</f>
        <v>0</v>
      </c>
    </row>
    <row r="485" spans="1:20" ht="22.5" customHeight="1" x14ac:dyDescent="0.2">
      <c r="A485" s="23"/>
      <c r="B485" s="24"/>
      <c r="C485" s="25"/>
      <c r="D485" s="25"/>
      <c r="E485" s="25"/>
      <c r="F485" s="26"/>
      <c r="G485" s="27"/>
      <c r="H485" s="28" t="str">
        <f t="shared" si="0"/>
        <v/>
      </c>
      <c r="I485" s="29">
        <f>SUMIFS(Cash_Flow_3[Amount],Cash_Flow_3[Bulan],H485,Cash_Flow_3[Type],"In")</f>
        <v>0</v>
      </c>
      <c r="J485" s="29">
        <f>SUMIFS(Cash_Flow_3[Amount],Cash_Flow_3[Bulan],H485,Cash_Flow_3[Type],"Out")</f>
        <v>0</v>
      </c>
      <c r="K485" s="29">
        <f>SUMIFS(Cash_Flow_3[Amount],Cash_Flow_3[Bulan],H485,Cash_Flow_3[Type],"Out",Cash_Flow_3[Category],"Fix")</f>
        <v>0</v>
      </c>
      <c r="L485" s="29">
        <f>SUMIFS(Cash_Flow_3[Amount],Cash_Flow_3[Bulan],H485,Cash_Flow_3[Type],"Out",Cash_Flow_3[Category],"Bathroom")</f>
        <v>0</v>
      </c>
      <c r="M485" s="29">
        <f>SUMIFS(Cash_Flow_3[Amount],Cash_Flow_3[Bulan],H485,Cash_Flow_3[Type],"Out",Cash_Flow_3[Category],"Alfa")</f>
        <v>0</v>
      </c>
      <c r="N485" s="29">
        <f>SUMIFS(Cash_Flow_3[Amount],Cash_Flow_3[Bulan],H485,Cash_Flow_3[Type],"Out",Cash_Flow_3[Category],"Jajan")</f>
        <v>0</v>
      </c>
      <c r="O485" s="29">
        <f>SUMIFS(Cash_Flow_3[Amount],Cash_Flow_3[Bulan],H485,Cash_Flow_3[Type],"Out",Cash_Flow_3[Category],"Kitchen")</f>
        <v>0</v>
      </c>
      <c r="P485" s="29">
        <f>SUMIFS(Cash_Flow_3[Amount],Cash_Flow_3[Bulan],H485,Cash_Flow_3[Type],"Out",Cash_Flow_3[Category],"Loandry")</f>
        <v>0</v>
      </c>
      <c r="Q485" s="29">
        <f>SUMIFS(Cash_Flow_3[Amount],Cash_Flow_3[Bulan],H485,Cash_Flow_3[Type],"Out",Cash_Flow_3[Category],"Mio")</f>
        <v>0</v>
      </c>
      <c r="R485" s="29">
        <f>SUMIFS(Cash_Flow_3[Amount],Cash_Flow_3[Bulan],H485,Cash_Flow_3[Type],"Out",Cash_Flow_3[Category],"Sedekah")</f>
        <v>0</v>
      </c>
      <c r="S485" s="29">
        <f>SUMIFS(Cash_Flow_3[Amount],Cash_Flow_3[Bulan],H485,Cash_Flow_3[Type],"Out",Cash_Flow_3[Category],"Zela")</f>
        <v>0</v>
      </c>
      <c r="T485" s="29">
        <f>SUMIFS(Cash_Flow_3[Amount],Cash_Flow_3[Bulan],H485,Cash_Flow_3[Type],"Out",Cash_Flow_3[Category],"Iqbal")</f>
        <v>0</v>
      </c>
    </row>
    <row r="486" spans="1:20" ht="22.5" customHeight="1" x14ac:dyDescent="0.2">
      <c r="A486" s="23"/>
      <c r="B486" s="24"/>
      <c r="C486" s="25"/>
      <c r="D486" s="25"/>
      <c r="E486" s="25"/>
      <c r="F486" s="26"/>
      <c r="G486" s="27"/>
      <c r="H486" s="28" t="str">
        <f t="shared" si="0"/>
        <v/>
      </c>
      <c r="I486" s="29">
        <f>SUMIFS(Cash_Flow_3[Amount],Cash_Flow_3[Bulan],H486,Cash_Flow_3[Type],"In")</f>
        <v>0</v>
      </c>
      <c r="J486" s="29">
        <f>SUMIFS(Cash_Flow_3[Amount],Cash_Flow_3[Bulan],H486,Cash_Flow_3[Type],"Out")</f>
        <v>0</v>
      </c>
      <c r="K486" s="29">
        <f>SUMIFS(Cash_Flow_3[Amount],Cash_Flow_3[Bulan],H486,Cash_Flow_3[Type],"Out",Cash_Flow_3[Category],"Fix")</f>
        <v>0</v>
      </c>
      <c r="L486" s="29">
        <f>SUMIFS(Cash_Flow_3[Amount],Cash_Flow_3[Bulan],H486,Cash_Flow_3[Type],"Out",Cash_Flow_3[Category],"Bathroom")</f>
        <v>0</v>
      </c>
      <c r="M486" s="29">
        <f>SUMIFS(Cash_Flow_3[Amount],Cash_Flow_3[Bulan],H486,Cash_Flow_3[Type],"Out",Cash_Flow_3[Category],"Alfa")</f>
        <v>0</v>
      </c>
      <c r="N486" s="29">
        <f>SUMIFS(Cash_Flow_3[Amount],Cash_Flow_3[Bulan],H486,Cash_Flow_3[Type],"Out",Cash_Flow_3[Category],"Jajan")</f>
        <v>0</v>
      </c>
      <c r="O486" s="29">
        <f>SUMIFS(Cash_Flow_3[Amount],Cash_Flow_3[Bulan],H486,Cash_Flow_3[Type],"Out",Cash_Flow_3[Category],"Kitchen")</f>
        <v>0</v>
      </c>
      <c r="P486" s="29">
        <f>SUMIFS(Cash_Flow_3[Amount],Cash_Flow_3[Bulan],H486,Cash_Flow_3[Type],"Out",Cash_Flow_3[Category],"Loandry")</f>
        <v>0</v>
      </c>
      <c r="Q486" s="29">
        <f>SUMIFS(Cash_Flow_3[Amount],Cash_Flow_3[Bulan],H486,Cash_Flow_3[Type],"Out",Cash_Flow_3[Category],"Mio")</f>
        <v>0</v>
      </c>
      <c r="R486" s="29">
        <f>SUMIFS(Cash_Flow_3[Amount],Cash_Flow_3[Bulan],H486,Cash_Flow_3[Type],"Out",Cash_Flow_3[Category],"Sedekah")</f>
        <v>0</v>
      </c>
      <c r="S486" s="29">
        <f>SUMIFS(Cash_Flow_3[Amount],Cash_Flow_3[Bulan],H486,Cash_Flow_3[Type],"Out",Cash_Flow_3[Category],"Zela")</f>
        <v>0</v>
      </c>
      <c r="T486" s="29">
        <f>SUMIFS(Cash_Flow_3[Amount],Cash_Flow_3[Bulan],H486,Cash_Flow_3[Type],"Out",Cash_Flow_3[Category],"Iqbal")</f>
        <v>0</v>
      </c>
    </row>
    <row r="487" spans="1:20" ht="22.5" customHeight="1" x14ac:dyDescent="0.2">
      <c r="A487" s="23"/>
      <c r="B487" s="24"/>
      <c r="C487" s="25"/>
      <c r="D487" s="25"/>
      <c r="E487" s="25"/>
      <c r="F487" s="26"/>
      <c r="G487" s="27"/>
      <c r="H487" s="28" t="str">
        <f t="shared" si="0"/>
        <v/>
      </c>
      <c r="I487" s="29">
        <f>SUMIFS(Cash_Flow_3[Amount],Cash_Flow_3[Bulan],H487,Cash_Flow_3[Type],"In")</f>
        <v>0</v>
      </c>
      <c r="J487" s="29">
        <f>SUMIFS(Cash_Flow_3[Amount],Cash_Flow_3[Bulan],H487,Cash_Flow_3[Type],"Out")</f>
        <v>0</v>
      </c>
      <c r="K487" s="29">
        <f>SUMIFS(Cash_Flow_3[Amount],Cash_Flow_3[Bulan],H487,Cash_Flow_3[Type],"Out",Cash_Flow_3[Category],"Fix")</f>
        <v>0</v>
      </c>
      <c r="L487" s="29">
        <f>SUMIFS(Cash_Flow_3[Amount],Cash_Flow_3[Bulan],H487,Cash_Flow_3[Type],"Out",Cash_Flow_3[Category],"Bathroom")</f>
        <v>0</v>
      </c>
      <c r="M487" s="29">
        <f>SUMIFS(Cash_Flow_3[Amount],Cash_Flow_3[Bulan],H487,Cash_Flow_3[Type],"Out",Cash_Flow_3[Category],"Alfa")</f>
        <v>0</v>
      </c>
      <c r="N487" s="29">
        <f>SUMIFS(Cash_Flow_3[Amount],Cash_Flow_3[Bulan],H487,Cash_Flow_3[Type],"Out",Cash_Flow_3[Category],"Jajan")</f>
        <v>0</v>
      </c>
      <c r="O487" s="29">
        <f>SUMIFS(Cash_Flow_3[Amount],Cash_Flow_3[Bulan],H487,Cash_Flow_3[Type],"Out",Cash_Flow_3[Category],"Kitchen")</f>
        <v>0</v>
      </c>
      <c r="P487" s="29">
        <f>SUMIFS(Cash_Flow_3[Amount],Cash_Flow_3[Bulan],H487,Cash_Flow_3[Type],"Out",Cash_Flow_3[Category],"Loandry")</f>
        <v>0</v>
      </c>
      <c r="Q487" s="29">
        <f>SUMIFS(Cash_Flow_3[Amount],Cash_Flow_3[Bulan],H487,Cash_Flow_3[Type],"Out",Cash_Flow_3[Category],"Mio")</f>
        <v>0</v>
      </c>
      <c r="R487" s="29">
        <f>SUMIFS(Cash_Flow_3[Amount],Cash_Flow_3[Bulan],H487,Cash_Flow_3[Type],"Out",Cash_Flow_3[Category],"Sedekah")</f>
        <v>0</v>
      </c>
      <c r="S487" s="29">
        <f>SUMIFS(Cash_Flow_3[Amount],Cash_Flow_3[Bulan],H487,Cash_Flow_3[Type],"Out",Cash_Flow_3[Category],"Zela")</f>
        <v>0</v>
      </c>
      <c r="T487" s="29">
        <f>SUMIFS(Cash_Flow_3[Amount],Cash_Flow_3[Bulan],H487,Cash_Flow_3[Type],"Out",Cash_Flow_3[Category],"Iqbal")</f>
        <v>0</v>
      </c>
    </row>
    <row r="488" spans="1:20" ht="22.5" customHeight="1" x14ac:dyDescent="0.2">
      <c r="A488" s="23"/>
      <c r="B488" s="24"/>
      <c r="C488" s="25"/>
      <c r="D488" s="25"/>
      <c r="E488" s="25"/>
      <c r="F488" s="26"/>
      <c r="G488" s="27"/>
      <c r="H488" s="28" t="str">
        <f t="shared" si="0"/>
        <v/>
      </c>
      <c r="I488" s="29">
        <f>SUMIFS(Cash_Flow_3[Amount],Cash_Flow_3[Bulan],H488,Cash_Flow_3[Type],"In")</f>
        <v>0</v>
      </c>
      <c r="J488" s="29">
        <f>SUMIFS(Cash_Flow_3[Amount],Cash_Flow_3[Bulan],H488,Cash_Flow_3[Type],"Out")</f>
        <v>0</v>
      </c>
      <c r="K488" s="29">
        <f>SUMIFS(Cash_Flow_3[Amount],Cash_Flow_3[Bulan],H488,Cash_Flow_3[Type],"Out",Cash_Flow_3[Category],"Fix")</f>
        <v>0</v>
      </c>
      <c r="L488" s="29">
        <f>SUMIFS(Cash_Flow_3[Amount],Cash_Flow_3[Bulan],H488,Cash_Flow_3[Type],"Out",Cash_Flow_3[Category],"Bathroom")</f>
        <v>0</v>
      </c>
      <c r="M488" s="29">
        <f>SUMIFS(Cash_Flow_3[Amount],Cash_Flow_3[Bulan],H488,Cash_Flow_3[Type],"Out",Cash_Flow_3[Category],"Alfa")</f>
        <v>0</v>
      </c>
      <c r="N488" s="29">
        <f>SUMIFS(Cash_Flow_3[Amount],Cash_Flow_3[Bulan],H488,Cash_Flow_3[Type],"Out",Cash_Flow_3[Category],"Jajan")</f>
        <v>0</v>
      </c>
      <c r="O488" s="29">
        <f>SUMIFS(Cash_Flow_3[Amount],Cash_Flow_3[Bulan],H488,Cash_Flow_3[Type],"Out",Cash_Flow_3[Category],"Kitchen")</f>
        <v>0</v>
      </c>
      <c r="P488" s="29">
        <f>SUMIFS(Cash_Flow_3[Amount],Cash_Flow_3[Bulan],H488,Cash_Flow_3[Type],"Out",Cash_Flow_3[Category],"Loandry")</f>
        <v>0</v>
      </c>
      <c r="Q488" s="29">
        <f>SUMIFS(Cash_Flow_3[Amount],Cash_Flow_3[Bulan],H488,Cash_Flow_3[Type],"Out",Cash_Flow_3[Category],"Mio")</f>
        <v>0</v>
      </c>
      <c r="R488" s="29">
        <f>SUMIFS(Cash_Flow_3[Amount],Cash_Flow_3[Bulan],H488,Cash_Flow_3[Type],"Out",Cash_Flow_3[Category],"Sedekah")</f>
        <v>0</v>
      </c>
      <c r="S488" s="29">
        <f>SUMIFS(Cash_Flow_3[Amount],Cash_Flow_3[Bulan],H488,Cash_Flow_3[Type],"Out",Cash_Flow_3[Category],"Zela")</f>
        <v>0</v>
      </c>
      <c r="T488" s="29">
        <f>SUMIFS(Cash_Flow_3[Amount],Cash_Flow_3[Bulan],H488,Cash_Flow_3[Type],"Out",Cash_Flow_3[Category],"Iqbal")</f>
        <v>0</v>
      </c>
    </row>
    <row r="489" spans="1:20" ht="22.5" customHeight="1" x14ac:dyDescent="0.2">
      <c r="A489" s="23"/>
      <c r="B489" s="24"/>
      <c r="C489" s="25"/>
      <c r="D489" s="25"/>
      <c r="E489" s="25"/>
      <c r="F489" s="26"/>
      <c r="G489" s="27"/>
      <c r="H489" s="28" t="str">
        <f t="shared" si="0"/>
        <v/>
      </c>
      <c r="I489" s="29">
        <f>SUMIFS(Cash_Flow_3[Amount],Cash_Flow_3[Bulan],H489,Cash_Flow_3[Type],"In")</f>
        <v>0</v>
      </c>
      <c r="J489" s="29">
        <f>SUMIFS(Cash_Flow_3[Amount],Cash_Flow_3[Bulan],H489,Cash_Flow_3[Type],"Out")</f>
        <v>0</v>
      </c>
      <c r="K489" s="29">
        <f>SUMIFS(Cash_Flow_3[Amount],Cash_Flow_3[Bulan],H489,Cash_Flow_3[Type],"Out",Cash_Flow_3[Category],"Fix")</f>
        <v>0</v>
      </c>
      <c r="L489" s="29">
        <f>SUMIFS(Cash_Flow_3[Amount],Cash_Flow_3[Bulan],H489,Cash_Flow_3[Type],"Out",Cash_Flow_3[Category],"Bathroom")</f>
        <v>0</v>
      </c>
      <c r="M489" s="29">
        <f>SUMIFS(Cash_Flow_3[Amount],Cash_Flow_3[Bulan],H489,Cash_Flow_3[Type],"Out",Cash_Flow_3[Category],"Alfa")</f>
        <v>0</v>
      </c>
      <c r="N489" s="29">
        <f>SUMIFS(Cash_Flow_3[Amount],Cash_Flow_3[Bulan],H489,Cash_Flow_3[Type],"Out",Cash_Flow_3[Category],"Jajan")</f>
        <v>0</v>
      </c>
      <c r="O489" s="29">
        <f>SUMIFS(Cash_Flow_3[Amount],Cash_Flow_3[Bulan],H489,Cash_Flow_3[Type],"Out",Cash_Flow_3[Category],"Kitchen")</f>
        <v>0</v>
      </c>
      <c r="P489" s="29">
        <f>SUMIFS(Cash_Flow_3[Amount],Cash_Flow_3[Bulan],H489,Cash_Flow_3[Type],"Out",Cash_Flow_3[Category],"Loandry")</f>
        <v>0</v>
      </c>
      <c r="Q489" s="29">
        <f>SUMIFS(Cash_Flow_3[Amount],Cash_Flow_3[Bulan],H489,Cash_Flow_3[Type],"Out",Cash_Flow_3[Category],"Mio")</f>
        <v>0</v>
      </c>
      <c r="R489" s="29">
        <f>SUMIFS(Cash_Flow_3[Amount],Cash_Flow_3[Bulan],H489,Cash_Flow_3[Type],"Out",Cash_Flow_3[Category],"Sedekah")</f>
        <v>0</v>
      </c>
      <c r="S489" s="29">
        <f>SUMIFS(Cash_Flow_3[Amount],Cash_Flow_3[Bulan],H489,Cash_Flow_3[Type],"Out",Cash_Flow_3[Category],"Zela")</f>
        <v>0</v>
      </c>
      <c r="T489" s="29">
        <f>SUMIFS(Cash_Flow_3[Amount],Cash_Flow_3[Bulan],H489,Cash_Flow_3[Type],"Out",Cash_Flow_3[Category],"Iqbal")</f>
        <v>0</v>
      </c>
    </row>
    <row r="490" spans="1:20" ht="22.5" customHeight="1" x14ac:dyDescent="0.2">
      <c r="A490" s="23"/>
      <c r="B490" s="24"/>
      <c r="C490" s="25"/>
      <c r="D490" s="25"/>
      <c r="E490" s="25"/>
      <c r="F490" s="26"/>
      <c r="G490" s="27"/>
      <c r="H490" s="28" t="str">
        <f t="shared" si="0"/>
        <v/>
      </c>
      <c r="I490" s="29">
        <f>SUMIFS(Cash_Flow_3[Amount],Cash_Flow_3[Bulan],H490,Cash_Flow_3[Type],"In")</f>
        <v>0</v>
      </c>
      <c r="J490" s="29">
        <f>SUMIFS(Cash_Flow_3[Amount],Cash_Flow_3[Bulan],H490,Cash_Flow_3[Type],"Out")</f>
        <v>0</v>
      </c>
      <c r="K490" s="29">
        <f>SUMIFS(Cash_Flow_3[Amount],Cash_Flow_3[Bulan],H490,Cash_Flow_3[Type],"Out",Cash_Flow_3[Category],"Fix")</f>
        <v>0</v>
      </c>
      <c r="L490" s="29">
        <f>SUMIFS(Cash_Flow_3[Amount],Cash_Flow_3[Bulan],H490,Cash_Flow_3[Type],"Out",Cash_Flow_3[Category],"Bathroom")</f>
        <v>0</v>
      </c>
      <c r="M490" s="29">
        <f>SUMIFS(Cash_Flow_3[Amount],Cash_Flow_3[Bulan],H490,Cash_Flow_3[Type],"Out",Cash_Flow_3[Category],"Alfa")</f>
        <v>0</v>
      </c>
      <c r="N490" s="29">
        <f>SUMIFS(Cash_Flow_3[Amount],Cash_Flow_3[Bulan],H490,Cash_Flow_3[Type],"Out",Cash_Flow_3[Category],"Jajan")</f>
        <v>0</v>
      </c>
      <c r="O490" s="29">
        <f>SUMIFS(Cash_Flow_3[Amount],Cash_Flow_3[Bulan],H490,Cash_Flow_3[Type],"Out",Cash_Flow_3[Category],"Kitchen")</f>
        <v>0</v>
      </c>
      <c r="P490" s="29">
        <f>SUMIFS(Cash_Flow_3[Amount],Cash_Flow_3[Bulan],H490,Cash_Flow_3[Type],"Out",Cash_Flow_3[Category],"Loandry")</f>
        <v>0</v>
      </c>
      <c r="Q490" s="29">
        <f>SUMIFS(Cash_Flow_3[Amount],Cash_Flow_3[Bulan],H490,Cash_Flow_3[Type],"Out",Cash_Flow_3[Category],"Mio")</f>
        <v>0</v>
      </c>
      <c r="R490" s="29">
        <f>SUMIFS(Cash_Flow_3[Amount],Cash_Flow_3[Bulan],H490,Cash_Flow_3[Type],"Out",Cash_Flow_3[Category],"Sedekah")</f>
        <v>0</v>
      </c>
      <c r="S490" s="29">
        <f>SUMIFS(Cash_Flow_3[Amount],Cash_Flow_3[Bulan],H490,Cash_Flow_3[Type],"Out",Cash_Flow_3[Category],"Zela")</f>
        <v>0</v>
      </c>
      <c r="T490" s="29">
        <f>SUMIFS(Cash_Flow_3[Amount],Cash_Flow_3[Bulan],H490,Cash_Flow_3[Type],"Out",Cash_Flow_3[Category],"Iqbal")</f>
        <v>0</v>
      </c>
    </row>
    <row r="491" spans="1:20" ht="22.5" customHeight="1" x14ac:dyDescent="0.2">
      <c r="A491" s="23"/>
      <c r="B491" s="24"/>
      <c r="C491" s="25"/>
      <c r="D491" s="25"/>
      <c r="E491" s="25"/>
      <c r="F491" s="26"/>
      <c r="G491" s="27"/>
      <c r="H491" s="28" t="str">
        <f t="shared" si="0"/>
        <v/>
      </c>
      <c r="I491" s="29">
        <f>SUMIFS(Cash_Flow_3[Amount],Cash_Flow_3[Bulan],H491,Cash_Flow_3[Type],"In")</f>
        <v>0</v>
      </c>
      <c r="J491" s="29">
        <f>SUMIFS(Cash_Flow_3[Amount],Cash_Flow_3[Bulan],H491,Cash_Flow_3[Type],"Out")</f>
        <v>0</v>
      </c>
      <c r="K491" s="29">
        <f>SUMIFS(Cash_Flow_3[Amount],Cash_Flow_3[Bulan],H491,Cash_Flow_3[Type],"Out",Cash_Flow_3[Category],"Fix")</f>
        <v>0</v>
      </c>
      <c r="L491" s="29">
        <f>SUMIFS(Cash_Flow_3[Amount],Cash_Flow_3[Bulan],H491,Cash_Flow_3[Type],"Out",Cash_Flow_3[Category],"Bathroom")</f>
        <v>0</v>
      </c>
      <c r="M491" s="29">
        <f>SUMIFS(Cash_Flow_3[Amount],Cash_Flow_3[Bulan],H491,Cash_Flow_3[Type],"Out",Cash_Flow_3[Category],"Alfa")</f>
        <v>0</v>
      </c>
      <c r="N491" s="29">
        <f>SUMIFS(Cash_Flow_3[Amount],Cash_Flow_3[Bulan],H491,Cash_Flow_3[Type],"Out",Cash_Flow_3[Category],"Jajan")</f>
        <v>0</v>
      </c>
      <c r="O491" s="29">
        <f>SUMIFS(Cash_Flow_3[Amount],Cash_Flow_3[Bulan],H491,Cash_Flow_3[Type],"Out",Cash_Flow_3[Category],"Kitchen")</f>
        <v>0</v>
      </c>
      <c r="P491" s="29">
        <f>SUMIFS(Cash_Flow_3[Amount],Cash_Flow_3[Bulan],H491,Cash_Flow_3[Type],"Out",Cash_Flow_3[Category],"Loandry")</f>
        <v>0</v>
      </c>
      <c r="Q491" s="29">
        <f>SUMIFS(Cash_Flow_3[Amount],Cash_Flow_3[Bulan],H491,Cash_Flow_3[Type],"Out",Cash_Flow_3[Category],"Mio")</f>
        <v>0</v>
      </c>
      <c r="R491" s="29">
        <f>SUMIFS(Cash_Flow_3[Amount],Cash_Flow_3[Bulan],H491,Cash_Flow_3[Type],"Out",Cash_Flow_3[Category],"Sedekah")</f>
        <v>0</v>
      </c>
      <c r="S491" s="29">
        <f>SUMIFS(Cash_Flow_3[Amount],Cash_Flow_3[Bulan],H491,Cash_Flow_3[Type],"Out",Cash_Flow_3[Category],"Zela")</f>
        <v>0</v>
      </c>
      <c r="T491" s="29">
        <f>SUMIFS(Cash_Flow_3[Amount],Cash_Flow_3[Bulan],H491,Cash_Flow_3[Type],"Out",Cash_Flow_3[Category],"Iqbal")</f>
        <v>0</v>
      </c>
    </row>
    <row r="492" spans="1:20" ht="22.5" customHeight="1" x14ac:dyDescent="0.2">
      <c r="A492" s="23"/>
      <c r="B492" s="24"/>
      <c r="C492" s="25"/>
      <c r="D492" s="25"/>
      <c r="E492" s="25"/>
      <c r="F492" s="26"/>
      <c r="G492" s="27"/>
      <c r="H492" s="28" t="str">
        <f t="shared" si="0"/>
        <v/>
      </c>
      <c r="I492" s="29">
        <f>SUMIFS(Cash_Flow_3[Amount],Cash_Flow_3[Bulan],H492,Cash_Flow_3[Type],"In")</f>
        <v>0</v>
      </c>
      <c r="J492" s="29">
        <f>SUMIFS(Cash_Flow_3[Amount],Cash_Flow_3[Bulan],H492,Cash_Flow_3[Type],"Out")</f>
        <v>0</v>
      </c>
      <c r="K492" s="29">
        <f>SUMIFS(Cash_Flow_3[Amount],Cash_Flow_3[Bulan],H492,Cash_Flow_3[Type],"Out",Cash_Flow_3[Category],"Fix")</f>
        <v>0</v>
      </c>
      <c r="L492" s="29">
        <f>SUMIFS(Cash_Flow_3[Amount],Cash_Flow_3[Bulan],H492,Cash_Flow_3[Type],"Out",Cash_Flow_3[Category],"Bathroom")</f>
        <v>0</v>
      </c>
      <c r="M492" s="29">
        <f>SUMIFS(Cash_Flow_3[Amount],Cash_Flow_3[Bulan],H492,Cash_Flow_3[Type],"Out",Cash_Flow_3[Category],"Alfa")</f>
        <v>0</v>
      </c>
      <c r="N492" s="29">
        <f>SUMIFS(Cash_Flow_3[Amount],Cash_Flow_3[Bulan],H492,Cash_Flow_3[Type],"Out",Cash_Flow_3[Category],"Jajan")</f>
        <v>0</v>
      </c>
      <c r="O492" s="29">
        <f>SUMIFS(Cash_Flow_3[Amount],Cash_Flow_3[Bulan],H492,Cash_Flow_3[Type],"Out",Cash_Flow_3[Category],"Kitchen")</f>
        <v>0</v>
      </c>
      <c r="P492" s="29">
        <f>SUMIFS(Cash_Flow_3[Amount],Cash_Flow_3[Bulan],H492,Cash_Flow_3[Type],"Out",Cash_Flow_3[Category],"Loandry")</f>
        <v>0</v>
      </c>
      <c r="Q492" s="29">
        <f>SUMIFS(Cash_Flow_3[Amount],Cash_Flow_3[Bulan],H492,Cash_Flow_3[Type],"Out",Cash_Flow_3[Category],"Mio")</f>
        <v>0</v>
      </c>
      <c r="R492" s="29">
        <f>SUMIFS(Cash_Flow_3[Amount],Cash_Flow_3[Bulan],H492,Cash_Flow_3[Type],"Out",Cash_Flow_3[Category],"Sedekah")</f>
        <v>0</v>
      </c>
      <c r="S492" s="29">
        <f>SUMIFS(Cash_Flow_3[Amount],Cash_Flow_3[Bulan],H492,Cash_Flow_3[Type],"Out",Cash_Flow_3[Category],"Zela")</f>
        <v>0</v>
      </c>
      <c r="T492" s="29">
        <f>SUMIFS(Cash_Flow_3[Amount],Cash_Flow_3[Bulan],H492,Cash_Flow_3[Type],"Out",Cash_Flow_3[Category],"Iqbal")</f>
        <v>0</v>
      </c>
    </row>
    <row r="493" spans="1:20" ht="22.5" customHeight="1" x14ac:dyDescent="0.2">
      <c r="A493" s="23"/>
      <c r="B493" s="24"/>
      <c r="C493" s="25"/>
      <c r="D493" s="25"/>
      <c r="E493" s="25"/>
      <c r="F493" s="26"/>
      <c r="G493" s="27"/>
      <c r="H493" s="28" t="str">
        <f t="shared" si="0"/>
        <v/>
      </c>
      <c r="I493" s="29">
        <f>SUMIFS(Cash_Flow_3[Amount],Cash_Flow_3[Bulan],H493,Cash_Flow_3[Type],"In")</f>
        <v>0</v>
      </c>
      <c r="J493" s="29">
        <f>SUMIFS(Cash_Flow_3[Amount],Cash_Flow_3[Bulan],H493,Cash_Flow_3[Type],"Out")</f>
        <v>0</v>
      </c>
      <c r="K493" s="29">
        <f>SUMIFS(Cash_Flow_3[Amount],Cash_Flow_3[Bulan],H493,Cash_Flow_3[Type],"Out",Cash_Flow_3[Category],"Fix")</f>
        <v>0</v>
      </c>
      <c r="L493" s="29">
        <f>SUMIFS(Cash_Flow_3[Amount],Cash_Flow_3[Bulan],H493,Cash_Flow_3[Type],"Out",Cash_Flow_3[Category],"Bathroom")</f>
        <v>0</v>
      </c>
      <c r="M493" s="29">
        <f>SUMIFS(Cash_Flow_3[Amount],Cash_Flow_3[Bulan],H493,Cash_Flow_3[Type],"Out",Cash_Flow_3[Category],"Alfa")</f>
        <v>0</v>
      </c>
      <c r="N493" s="29">
        <f>SUMIFS(Cash_Flow_3[Amount],Cash_Flow_3[Bulan],H493,Cash_Flow_3[Type],"Out",Cash_Flow_3[Category],"Jajan")</f>
        <v>0</v>
      </c>
      <c r="O493" s="29">
        <f>SUMIFS(Cash_Flow_3[Amount],Cash_Flow_3[Bulan],H493,Cash_Flow_3[Type],"Out",Cash_Flow_3[Category],"Kitchen")</f>
        <v>0</v>
      </c>
      <c r="P493" s="29">
        <f>SUMIFS(Cash_Flow_3[Amount],Cash_Flow_3[Bulan],H493,Cash_Flow_3[Type],"Out",Cash_Flow_3[Category],"Loandry")</f>
        <v>0</v>
      </c>
      <c r="Q493" s="29">
        <f>SUMIFS(Cash_Flow_3[Amount],Cash_Flow_3[Bulan],H493,Cash_Flow_3[Type],"Out",Cash_Flow_3[Category],"Mio")</f>
        <v>0</v>
      </c>
      <c r="R493" s="29">
        <f>SUMIFS(Cash_Flow_3[Amount],Cash_Flow_3[Bulan],H493,Cash_Flow_3[Type],"Out",Cash_Flow_3[Category],"Sedekah")</f>
        <v>0</v>
      </c>
      <c r="S493" s="29">
        <f>SUMIFS(Cash_Flow_3[Amount],Cash_Flow_3[Bulan],H493,Cash_Flow_3[Type],"Out",Cash_Flow_3[Category],"Zela")</f>
        <v>0</v>
      </c>
      <c r="T493" s="29">
        <f>SUMIFS(Cash_Flow_3[Amount],Cash_Flow_3[Bulan],H493,Cash_Flow_3[Type],"Out",Cash_Flow_3[Category],"Iqbal")</f>
        <v>0</v>
      </c>
    </row>
    <row r="494" spans="1:20" ht="22.5" customHeight="1" x14ac:dyDescent="0.2">
      <c r="A494" s="23"/>
      <c r="B494" s="24"/>
      <c r="C494" s="25"/>
      <c r="D494" s="25"/>
      <c r="E494" s="25"/>
      <c r="F494" s="26"/>
      <c r="G494" s="27"/>
      <c r="H494" s="28" t="str">
        <f t="shared" si="0"/>
        <v/>
      </c>
      <c r="I494" s="29">
        <f>SUMIFS(Cash_Flow_3[Amount],Cash_Flow_3[Bulan],H494,Cash_Flow_3[Type],"In")</f>
        <v>0</v>
      </c>
      <c r="J494" s="29">
        <f>SUMIFS(Cash_Flow_3[Amount],Cash_Flow_3[Bulan],H494,Cash_Flow_3[Type],"Out")</f>
        <v>0</v>
      </c>
      <c r="K494" s="29">
        <f>SUMIFS(Cash_Flow_3[Amount],Cash_Flow_3[Bulan],H494,Cash_Flow_3[Type],"Out",Cash_Flow_3[Category],"Fix")</f>
        <v>0</v>
      </c>
      <c r="L494" s="29">
        <f>SUMIFS(Cash_Flow_3[Amount],Cash_Flow_3[Bulan],H494,Cash_Flow_3[Type],"Out",Cash_Flow_3[Category],"Bathroom")</f>
        <v>0</v>
      </c>
      <c r="M494" s="29">
        <f>SUMIFS(Cash_Flow_3[Amount],Cash_Flow_3[Bulan],H494,Cash_Flow_3[Type],"Out",Cash_Flow_3[Category],"Alfa")</f>
        <v>0</v>
      </c>
      <c r="N494" s="29">
        <f>SUMIFS(Cash_Flow_3[Amount],Cash_Flow_3[Bulan],H494,Cash_Flow_3[Type],"Out",Cash_Flow_3[Category],"Jajan")</f>
        <v>0</v>
      </c>
      <c r="O494" s="29">
        <f>SUMIFS(Cash_Flow_3[Amount],Cash_Flow_3[Bulan],H494,Cash_Flow_3[Type],"Out",Cash_Flow_3[Category],"Kitchen")</f>
        <v>0</v>
      </c>
      <c r="P494" s="29">
        <f>SUMIFS(Cash_Flow_3[Amount],Cash_Flow_3[Bulan],H494,Cash_Flow_3[Type],"Out",Cash_Flow_3[Category],"Loandry")</f>
        <v>0</v>
      </c>
      <c r="Q494" s="29">
        <f>SUMIFS(Cash_Flow_3[Amount],Cash_Flow_3[Bulan],H494,Cash_Flow_3[Type],"Out",Cash_Flow_3[Category],"Mio")</f>
        <v>0</v>
      </c>
      <c r="R494" s="29">
        <f>SUMIFS(Cash_Flow_3[Amount],Cash_Flow_3[Bulan],H494,Cash_Flow_3[Type],"Out",Cash_Flow_3[Category],"Sedekah")</f>
        <v>0</v>
      </c>
      <c r="S494" s="29">
        <f>SUMIFS(Cash_Flow_3[Amount],Cash_Flow_3[Bulan],H494,Cash_Flow_3[Type],"Out",Cash_Flow_3[Category],"Zela")</f>
        <v>0</v>
      </c>
      <c r="T494" s="29">
        <f>SUMIFS(Cash_Flow_3[Amount],Cash_Flow_3[Bulan],H494,Cash_Flow_3[Type],"Out",Cash_Flow_3[Category],"Iqbal")</f>
        <v>0</v>
      </c>
    </row>
    <row r="495" spans="1:20" ht="22.5" customHeight="1" x14ac:dyDescent="0.2">
      <c r="A495" s="23"/>
      <c r="B495" s="24"/>
      <c r="C495" s="25"/>
      <c r="D495" s="25"/>
      <c r="E495" s="25"/>
      <c r="F495" s="26"/>
      <c r="G495" s="27"/>
      <c r="H495" s="28" t="str">
        <f t="shared" si="0"/>
        <v/>
      </c>
      <c r="I495" s="29">
        <f>SUMIFS(Cash_Flow_3[Amount],Cash_Flow_3[Bulan],H495,Cash_Flow_3[Type],"In")</f>
        <v>0</v>
      </c>
      <c r="J495" s="29">
        <f>SUMIFS(Cash_Flow_3[Amount],Cash_Flow_3[Bulan],H495,Cash_Flow_3[Type],"Out")</f>
        <v>0</v>
      </c>
      <c r="K495" s="29">
        <f>SUMIFS(Cash_Flow_3[Amount],Cash_Flow_3[Bulan],H495,Cash_Flow_3[Type],"Out",Cash_Flow_3[Category],"Fix")</f>
        <v>0</v>
      </c>
      <c r="L495" s="29">
        <f>SUMIFS(Cash_Flow_3[Amount],Cash_Flow_3[Bulan],H495,Cash_Flow_3[Type],"Out",Cash_Flow_3[Category],"Bathroom")</f>
        <v>0</v>
      </c>
      <c r="M495" s="29">
        <f>SUMIFS(Cash_Flow_3[Amount],Cash_Flow_3[Bulan],H495,Cash_Flow_3[Type],"Out",Cash_Flow_3[Category],"Alfa")</f>
        <v>0</v>
      </c>
      <c r="N495" s="29">
        <f>SUMIFS(Cash_Flow_3[Amount],Cash_Flow_3[Bulan],H495,Cash_Flow_3[Type],"Out",Cash_Flow_3[Category],"Jajan")</f>
        <v>0</v>
      </c>
      <c r="O495" s="29">
        <f>SUMIFS(Cash_Flow_3[Amount],Cash_Flow_3[Bulan],H495,Cash_Flow_3[Type],"Out",Cash_Flow_3[Category],"Kitchen")</f>
        <v>0</v>
      </c>
      <c r="P495" s="29">
        <f>SUMIFS(Cash_Flow_3[Amount],Cash_Flow_3[Bulan],H495,Cash_Flow_3[Type],"Out",Cash_Flow_3[Category],"Loandry")</f>
        <v>0</v>
      </c>
      <c r="Q495" s="29">
        <f>SUMIFS(Cash_Flow_3[Amount],Cash_Flow_3[Bulan],H495,Cash_Flow_3[Type],"Out",Cash_Flow_3[Category],"Mio")</f>
        <v>0</v>
      </c>
      <c r="R495" s="29">
        <f>SUMIFS(Cash_Flow_3[Amount],Cash_Flow_3[Bulan],H495,Cash_Flow_3[Type],"Out",Cash_Flow_3[Category],"Sedekah")</f>
        <v>0</v>
      </c>
      <c r="S495" s="29">
        <f>SUMIFS(Cash_Flow_3[Amount],Cash_Flow_3[Bulan],H495,Cash_Flow_3[Type],"Out",Cash_Flow_3[Category],"Zela")</f>
        <v>0</v>
      </c>
      <c r="T495" s="29">
        <f>SUMIFS(Cash_Flow_3[Amount],Cash_Flow_3[Bulan],H495,Cash_Flow_3[Type],"Out",Cash_Flow_3[Category],"Iqbal")</f>
        <v>0</v>
      </c>
    </row>
    <row r="496" spans="1:20" ht="22.5" customHeight="1" x14ac:dyDescent="0.2">
      <c r="A496" s="23"/>
      <c r="B496" s="24"/>
      <c r="C496" s="25"/>
      <c r="D496" s="25"/>
      <c r="E496" s="25"/>
      <c r="F496" s="26"/>
      <c r="G496" s="27"/>
      <c r="H496" s="28" t="str">
        <f t="shared" si="0"/>
        <v/>
      </c>
      <c r="I496" s="29">
        <f>SUMIFS(Cash_Flow_3[Amount],Cash_Flow_3[Bulan],H496,Cash_Flow_3[Type],"In")</f>
        <v>0</v>
      </c>
      <c r="J496" s="29">
        <f>SUMIFS(Cash_Flow_3[Amount],Cash_Flow_3[Bulan],H496,Cash_Flow_3[Type],"Out")</f>
        <v>0</v>
      </c>
      <c r="K496" s="29">
        <f>SUMIFS(Cash_Flow_3[Amount],Cash_Flow_3[Bulan],H496,Cash_Flow_3[Type],"Out",Cash_Flow_3[Category],"Fix")</f>
        <v>0</v>
      </c>
      <c r="L496" s="29">
        <f>SUMIFS(Cash_Flow_3[Amount],Cash_Flow_3[Bulan],H496,Cash_Flow_3[Type],"Out",Cash_Flow_3[Category],"Bathroom")</f>
        <v>0</v>
      </c>
      <c r="M496" s="29">
        <f>SUMIFS(Cash_Flow_3[Amount],Cash_Flow_3[Bulan],H496,Cash_Flow_3[Type],"Out",Cash_Flow_3[Category],"Alfa")</f>
        <v>0</v>
      </c>
      <c r="N496" s="29">
        <f>SUMIFS(Cash_Flow_3[Amount],Cash_Flow_3[Bulan],H496,Cash_Flow_3[Type],"Out",Cash_Flow_3[Category],"Jajan")</f>
        <v>0</v>
      </c>
      <c r="O496" s="29">
        <f>SUMIFS(Cash_Flow_3[Amount],Cash_Flow_3[Bulan],H496,Cash_Flow_3[Type],"Out",Cash_Flow_3[Category],"Kitchen")</f>
        <v>0</v>
      </c>
      <c r="P496" s="29">
        <f>SUMIFS(Cash_Flow_3[Amount],Cash_Flow_3[Bulan],H496,Cash_Flow_3[Type],"Out",Cash_Flow_3[Category],"Loandry")</f>
        <v>0</v>
      </c>
      <c r="Q496" s="29">
        <f>SUMIFS(Cash_Flow_3[Amount],Cash_Flow_3[Bulan],H496,Cash_Flow_3[Type],"Out",Cash_Flow_3[Category],"Mio")</f>
        <v>0</v>
      </c>
      <c r="R496" s="29">
        <f>SUMIFS(Cash_Flow_3[Amount],Cash_Flow_3[Bulan],H496,Cash_Flow_3[Type],"Out",Cash_Flow_3[Category],"Sedekah")</f>
        <v>0</v>
      </c>
      <c r="S496" s="29">
        <f>SUMIFS(Cash_Flow_3[Amount],Cash_Flow_3[Bulan],H496,Cash_Flow_3[Type],"Out",Cash_Flow_3[Category],"Zela")</f>
        <v>0</v>
      </c>
      <c r="T496" s="29">
        <f>SUMIFS(Cash_Flow_3[Amount],Cash_Flow_3[Bulan],H496,Cash_Flow_3[Type],"Out",Cash_Flow_3[Category],"Iqbal")</f>
        <v>0</v>
      </c>
    </row>
    <row r="497" spans="1:20" ht="22.5" customHeight="1" x14ac:dyDescent="0.2">
      <c r="A497" s="23"/>
      <c r="B497" s="24"/>
      <c r="C497" s="25"/>
      <c r="D497" s="25"/>
      <c r="E497" s="25"/>
      <c r="F497" s="26"/>
      <c r="G497" s="27"/>
      <c r="H497" s="28" t="str">
        <f t="shared" si="0"/>
        <v/>
      </c>
      <c r="I497" s="29">
        <f>SUMIFS(Cash_Flow_3[Amount],Cash_Flow_3[Bulan],H497,Cash_Flow_3[Type],"In")</f>
        <v>0</v>
      </c>
      <c r="J497" s="29">
        <f>SUMIFS(Cash_Flow_3[Amount],Cash_Flow_3[Bulan],H497,Cash_Flow_3[Type],"Out")</f>
        <v>0</v>
      </c>
      <c r="K497" s="29">
        <f>SUMIFS(Cash_Flow_3[Amount],Cash_Flow_3[Bulan],H497,Cash_Flow_3[Type],"Out",Cash_Flow_3[Category],"Fix")</f>
        <v>0</v>
      </c>
      <c r="L497" s="29">
        <f>SUMIFS(Cash_Flow_3[Amount],Cash_Flow_3[Bulan],H497,Cash_Flow_3[Type],"Out",Cash_Flow_3[Category],"Bathroom")</f>
        <v>0</v>
      </c>
      <c r="M497" s="29">
        <f>SUMIFS(Cash_Flow_3[Amount],Cash_Flow_3[Bulan],H497,Cash_Flow_3[Type],"Out",Cash_Flow_3[Category],"Alfa")</f>
        <v>0</v>
      </c>
      <c r="N497" s="29">
        <f>SUMIFS(Cash_Flow_3[Amount],Cash_Flow_3[Bulan],H497,Cash_Flow_3[Type],"Out",Cash_Flow_3[Category],"Jajan")</f>
        <v>0</v>
      </c>
      <c r="O497" s="29">
        <f>SUMIFS(Cash_Flow_3[Amount],Cash_Flow_3[Bulan],H497,Cash_Flow_3[Type],"Out",Cash_Flow_3[Category],"Kitchen")</f>
        <v>0</v>
      </c>
      <c r="P497" s="29">
        <f>SUMIFS(Cash_Flow_3[Amount],Cash_Flow_3[Bulan],H497,Cash_Flow_3[Type],"Out",Cash_Flow_3[Category],"Loandry")</f>
        <v>0</v>
      </c>
      <c r="Q497" s="29">
        <f>SUMIFS(Cash_Flow_3[Amount],Cash_Flow_3[Bulan],H497,Cash_Flow_3[Type],"Out",Cash_Flow_3[Category],"Mio")</f>
        <v>0</v>
      </c>
      <c r="R497" s="29">
        <f>SUMIFS(Cash_Flow_3[Amount],Cash_Flow_3[Bulan],H497,Cash_Flow_3[Type],"Out",Cash_Flow_3[Category],"Sedekah")</f>
        <v>0</v>
      </c>
      <c r="S497" s="29">
        <f>SUMIFS(Cash_Flow_3[Amount],Cash_Flow_3[Bulan],H497,Cash_Flow_3[Type],"Out",Cash_Flow_3[Category],"Zela")</f>
        <v>0</v>
      </c>
      <c r="T497" s="29">
        <f>SUMIFS(Cash_Flow_3[Amount],Cash_Flow_3[Bulan],H497,Cash_Flow_3[Type],"Out",Cash_Flow_3[Category],"Iqbal")</f>
        <v>0</v>
      </c>
    </row>
    <row r="498" spans="1:20" ht="22.5" customHeight="1" x14ac:dyDescent="0.2">
      <c r="A498" s="23"/>
      <c r="B498" s="24"/>
      <c r="C498" s="25"/>
      <c r="D498" s="25"/>
      <c r="E498" s="25"/>
      <c r="F498" s="26"/>
      <c r="G498" s="27"/>
      <c r="H498" s="28" t="str">
        <f t="shared" si="0"/>
        <v/>
      </c>
      <c r="I498" s="29">
        <f>SUMIFS(Cash_Flow_3[Amount],Cash_Flow_3[Bulan],H498,Cash_Flow_3[Type],"In")</f>
        <v>0</v>
      </c>
      <c r="J498" s="29">
        <f>SUMIFS(Cash_Flow_3[Amount],Cash_Flow_3[Bulan],H498,Cash_Flow_3[Type],"Out")</f>
        <v>0</v>
      </c>
      <c r="K498" s="29">
        <f>SUMIFS(Cash_Flow_3[Amount],Cash_Flow_3[Bulan],H498,Cash_Flow_3[Type],"Out",Cash_Flow_3[Category],"Fix")</f>
        <v>0</v>
      </c>
      <c r="L498" s="29">
        <f>SUMIFS(Cash_Flow_3[Amount],Cash_Flow_3[Bulan],H498,Cash_Flow_3[Type],"Out",Cash_Flow_3[Category],"Bathroom")</f>
        <v>0</v>
      </c>
      <c r="M498" s="29">
        <f>SUMIFS(Cash_Flow_3[Amount],Cash_Flow_3[Bulan],H498,Cash_Flow_3[Type],"Out",Cash_Flow_3[Category],"Alfa")</f>
        <v>0</v>
      </c>
      <c r="N498" s="29">
        <f>SUMIFS(Cash_Flow_3[Amount],Cash_Flow_3[Bulan],H498,Cash_Flow_3[Type],"Out",Cash_Flow_3[Category],"Jajan")</f>
        <v>0</v>
      </c>
      <c r="O498" s="29">
        <f>SUMIFS(Cash_Flow_3[Amount],Cash_Flow_3[Bulan],H498,Cash_Flow_3[Type],"Out",Cash_Flow_3[Category],"Kitchen")</f>
        <v>0</v>
      </c>
      <c r="P498" s="29">
        <f>SUMIFS(Cash_Flow_3[Amount],Cash_Flow_3[Bulan],H498,Cash_Flow_3[Type],"Out",Cash_Flow_3[Category],"Loandry")</f>
        <v>0</v>
      </c>
      <c r="Q498" s="29">
        <f>SUMIFS(Cash_Flow_3[Amount],Cash_Flow_3[Bulan],H498,Cash_Flow_3[Type],"Out",Cash_Flow_3[Category],"Mio")</f>
        <v>0</v>
      </c>
      <c r="R498" s="29">
        <f>SUMIFS(Cash_Flow_3[Amount],Cash_Flow_3[Bulan],H498,Cash_Flow_3[Type],"Out",Cash_Flow_3[Category],"Sedekah")</f>
        <v>0</v>
      </c>
      <c r="S498" s="29">
        <f>SUMIFS(Cash_Flow_3[Amount],Cash_Flow_3[Bulan],H498,Cash_Flow_3[Type],"Out",Cash_Flow_3[Category],"Zela")</f>
        <v>0</v>
      </c>
      <c r="T498" s="29">
        <f>SUMIFS(Cash_Flow_3[Amount],Cash_Flow_3[Bulan],H498,Cash_Flow_3[Type],"Out",Cash_Flow_3[Category],"Iqbal")</f>
        <v>0</v>
      </c>
    </row>
    <row r="499" spans="1:20" ht="22.5" customHeight="1" x14ac:dyDescent="0.2">
      <c r="A499" s="23"/>
      <c r="B499" s="24"/>
      <c r="C499" s="25"/>
      <c r="D499" s="25"/>
      <c r="E499" s="25"/>
      <c r="F499" s="26"/>
      <c r="G499" s="27"/>
      <c r="H499" s="28" t="str">
        <f t="shared" si="0"/>
        <v/>
      </c>
      <c r="I499" s="29">
        <f>SUMIFS(Cash_Flow_3[Amount],Cash_Flow_3[Bulan],H499,Cash_Flow_3[Type],"In")</f>
        <v>0</v>
      </c>
      <c r="J499" s="29">
        <f>SUMIFS(Cash_Flow_3[Amount],Cash_Flow_3[Bulan],H499,Cash_Flow_3[Type],"Out")</f>
        <v>0</v>
      </c>
      <c r="K499" s="29">
        <f>SUMIFS(Cash_Flow_3[Amount],Cash_Flow_3[Bulan],H499,Cash_Flow_3[Type],"Out",Cash_Flow_3[Category],"Fix")</f>
        <v>0</v>
      </c>
      <c r="L499" s="29">
        <f>SUMIFS(Cash_Flow_3[Amount],Cash_Flow_3[Bulan],H499,Cash_Flow_3[Type],"Out",Cash_Flow_3[Category],"Bathroom")</f>
        <v>0</v>
      </c>
      <c r="M499" s="29">
        <f>SUMIFS(Cash_Flow_3[Amount],Cash_Flow_3[Bulan],H499,Cash_Flow_3[Type],"Out",Cash_Flow_3[Category],"Alfa")</f>
        <v>0</v>
      </c>
      <c r="N499" s="29">
        <f>SUMIFS(Cash_Flow_3[Amount],Cash_Flow_3[Bulan],H499,Cash_Flow_3[Type],"Out",Cash_Flow_3[Category],"Jajan")</f>
        <v>0</v>
      </c>
      <c r="O499" s="29">
        <f>SUMIFS(Cash_Flow_3[Amount],Cash_Flow_3[Bulan],H499,Cash_Flow_3[Type],"Out",Cash_Flow_3[Category],"Kitchen")</f>
        <v>0</v>
      </c>
      <c r="P499" s="29">
        <f>SUMIFS(Cash_Flow_3[Amount],Cash_Flow_3[Bulan],H499,Cash_Flow_3[Type],"Out",Cash_Flow_3[Category],"Loandry")</f>
        <v>0</v>
      </c>
      <c r="Q499" s="29">
        <f>SUMIFS(Cash_Flow_3[Amount],Cash_Flow_3[Bulan],H499,Cash_Flow_3[Type],"Out",Cash_Flow_3[Category],"Mio")</f>
        <v>0</v>
      </c>
      <c r="R499" s="29">
        <f>SUMIFS(Cash_Flow_3[Amount],Cash_Flow_3[Bulan],H499,Cash_Flow_3[Type],"Out",Cash_Flow_3[Category],"Sedekah")</f>
        <v>0</v>
      </c>
      <c r="S499" s="29">
        <f>SUMIFS(Cash_Flow_3[Amount],Cash_Flow_3[Bulan],H499,Cash_Flow_3[Type],"Out",Cash_Flow_3[Category],"Zela")</f>
        <v>0</v>
      </c>
      <c r="T499" s="29">
        <f>SUMIFS(Cash_Flow_3[Amount],Cash_Flow_3[Bulan],H499,Cash_Flow_3[Type],"Out",Cash_Flow_3[Category],"Iqbal")</f>
        <v>0</v>
      </c>
    </row>
    <row r="500" spans="1:20" ht="22.5" customHeight="1" x14ac:dyDescent="0.2">
      <c r="A500" s="23"/>
      <c r="B500" s="24"/>
      <c r="C500" s="25"/>
      <c r="D500" s="25"/>
      <c r="E500" s="25"/>
      <c r="F500" s="26"/>
      <c r="G500" s="27"/>
      <c r="H500" s="28" t="str">
        <f t="shared" si="0"/>
        <v/>
      </c>
      <c r="I500" s="29">
        <f>SUMIFS(Cash_Flow_3[Amount],Cash_Flow_3[Bulan],H500,Cash_Flow_3[Type],"In")</f>
        <v>0</v>
      </c>
      <c r="J500" s="29">
        <f>SUMIFS(Cash_Flow_3[Amount],Cash_Flow_3[Bulan],H500,Cash_Flow_3[Type],"Out")</f>
        <v>0</v>
      </c>
      <c r="K500" s="29">
        <f>SUMIFS(Cash_Flow_3[Amount],Cash_Flow_3[Bulan],H500,Cash_Flow_3[Type],"Out",Cash_Flow_3[Category],"Fix")</f>
        <v>0</v>
      </c>
      <c r="L500" s="29">
        <f>SUMIFS(Cash_Flow_3[Amount],Cash_Flow_3[Bulan],H500,Cash_Flow_3[Type],"Out",Cash_Flow_3[Category],"Bathroom")</f>
        <v>0</v>
      </c>
      <c r="M500" s="29">
        <f>SUMIFS(Cash_Flow_3[Amount],Cash_Flow_3[Bulan],H500,Cash_Flow_3[Type],"Out",Cash_Flow_3[Category],"Alfa")</f>
        <v>0</v>
      </c>
      <c r="N500" s="29">
        <f>SUMIFS(Cash_Flow_3[Amount],Cash_Flow_3[Bulan],H500,Cash_Flow_3[Type],"Out",Cash_Flow_3[Category],"Jajan")</f>
        <v>0</v>
      </c>
      <c r="O500" s="29">
        <f>SUMIFS(Cash_Flow_3[Amount],Cash_Flow_3[Bulan],H500,Cash_Flow_3[Type],"Out",Cash_Flow_3[Category],"Kitchen")</f>
        <v>0</v>
      </c>
      <c r="P500" s="29">
        <f>SUMIFS(Cash_Flow_3[Amount],Cash_Flow_3[Bulan],H500,Cash_Flow_3[Type],"Out",Cash_Flow_3[Category],"Loandry")</f>
        <v>0</v>
      </c>
      <c r="Q500" s="29">
        <f>SUMIFS(Cash_Flow_3[Amount],Cash_Flow_3[Bulan],H500,Cash_Flow_3[Type],"Out",Cash_Flow_3[Category],"Mio")</f>
        <v>0</v>
      </c>
      <c r="R500" s="29">
        <f>SUMIFS(Cash_Flow_3[Amount],Cash_Flow_3[Bulan],H500,Cash_Flow_3[Type],"Out",Cash_Flow_3[Category],"Sedekah")</f>
        <v>0</v>
      </c>
      <c r="S500" s="29">
        <f>SUMIFS(Cash_Flow_3[Amount],Cash_Flow_3[Bulan],H500,Cash_Flow_3[Type],"Out",Cash_Flow_3[Category],"Zela")</f>
        <v>0</v>
      </c>
      <c r="T500" s="29">
        <f>SUMIFS(Cash_Flow_3[Amount],Cash_Flow_3[Bulan],H500,Cash_Flow_3[Type],"Out",Cash_Flow_3[Category],"Iqbal")</f>
        <v>0</v>
      </c>
    </row>
    <row r="501" spans="1:20" ht="22.5" customHeight="1" x14ac:dyDescent="0.2">
      <c r="A501" s="23"/>
      <c r="B501" s="24"/>
      <c r="C501" s="25"/>
      <c r="D501" s="25"/>
      <c r="E501" s="25"/>
      <c r="F501" s="26"/>
      <c r="G501" s="27"/>
      <c r="H501" s="28" t="str">
        <f t="shared" si="0"/>
        <v/>
      </c>
      <c r="I501" s="29">
        <f>SUMIFS(Cash_Flow_3[Amount],Cash_Flow_3[Bulan],H501,Cash_Flow_3[Type],"In")</f>
        <v>0</v>
      </c>
      <c r="J501" s="29">
        <f>SUMIFS(Cash_Flow_3[Amount],Cash_Flow_3[Bulan],H501,Cash_Flow_3[Type],"Out")</f>
        <v>0</v>
      </c>
      <c r="K501" s="29">
        <f>SUMIFS(Cash_Flow_3[Amount],Cash_Flow_3[Bulan],H501,Cash_Flow_3[Type],"Out",Cash_Flow_3[Category],"Fix")</f>
        <v>0</v>
      </c>
      <c r="L501" s="29">
        <f>SUMIFS(Cash_Flow_3[Amount],Cash_Flow_3[Bulan],H501,Cash_Flow_3[Type],"Out",Cash_Flow_3[Category],"Bathroom")</f>
        <v>0</v>
      </c>
      <c r="M501" s="29">
        <f>SUMIFS(Cash_Flow_3[Amount],Cash_Flow_3[Bulan],H501,Cash_Flow_3[Type],"Out",Cash_Flow_3[Category],"Alfa")</f>
        <v>0</v>
      </c>
      <c r="N501" s="29">
        <f>SUMIFS(Cash_Flow_3[Amount],Cash_Flow_3[Bulan],H501,Cash_Flow_3[Type],"Out",Cash_Flow_3[Category],"Jajan")</f>
        <v>0</v>
      </c>
      <c r="O501" s="29">
        <f>SUMIFS(Cash_Flow_3[Amount],Cash_Flow_3[Bulan],H501,Cash_Flow_3[Type],"Out",Cash_Flow_3[Category],"Kitchen")</f>
        <v>0</v>
      </c>
      <c r="P501" s="29">
        <f>SUMIFS(Cash_Flow_3[Amount],Cash_Flow_3[Bulan],H501,Cash_Flow_3[Type],"Out",Cash_Flow_3[Category],"Loandry")</f>
        <v>0</v>
      </c>
      <c r="Q501" s="29">
        <f>SUMIFS(Cash_Flow_3[Amount],Cash_Flow_3[Bulan],H501,Cash_Flow_3[Type],"Out",Cash_Flow_3[Category],"Mio")</f>
        <v>0</v>
      </c>
      <c r="R501" s="29">
        <f>SUMIFS(Cash_Flow_3[Amount],Cash_Flow_3[Bulan],H501,Cash_Flow_3[Type],"Out",Cash_Flow_3[Category],"Sedekah")</f>
        <v>0</v>
      </c>
      <c r="S501" s="29">
        <f>SUMIFS(Cash_Flow_3[Amount],Cash_Flow_3[Bulan],H501,Cash_Flow_3[Type],"Out",Cash_Flow_3[Category],"Zela")</f>
        <v>0</v>
      </c>
      <c r="T501" s="29">
        <f>SUMIFS(Cash_Flow_3[Amount],Cash_Flow_3[Bulan],H501,Cash_Flow_3[Type],"Out",Cash_Flow_3[Category],"Iqbal")</f>
        <v>0</v>
      </c>
    </row>
    <row r="502" spans="1:20" ht="22.5" customHeight="1" x14ac:dyDescent="0.2">
      <c r="A502" s="23"/>
      <c r="B502" s="24"/>
      <c r="C502" s="25"/>
      <c r="D502" s="25"/>
      <c r="E502" s="25"/>
      <c r="F502" s="26"/>
      <c r="G502" s="27"/>
      <c r="H502" s="28" t="str">
        <f t="shared" si="0"/>
        <v/>
      </c>
      <c r="I502" s="29">
        <f>SUMIFS(Cash_Flow_3[Amount],Cash_Flow_3[Bulan],H502,Cash_Flow_3[Type],"In")</f>
        <v>0</v>
      </c>
      <c r="J502" s="29">
        <f>SUMIFS(Cash_Flow_3[Amount],Cash_Flow_3[Bulan],H502,Cash_Flow_3[Type],"Out")</f>
        <v>0</v>
      </c>
      <c r="K502" s="29">
        <f>SUMIFS(Cash_Flow_3[Amount],Cash_Flow_3[Bulan],H502,Cash_Flow_3[Type],"Out",Cash_Flow_3[Category],"Fix")</f>
        <v>0</v>
      </c>
      <c r="L502" s="29">
        <f>SUMIFS(Cash_Flow_3[Amount],Cash_Flow_3[Bulan],H502,Cash_Flow_3[Type],"Out",Cash_Flow_3[Category],"Bathroom")</f>
        <v>0</v>
      </c>
      <c r="M502" s="29">
        <f>SUMIFS(Cash_Flow_3[Amount],Cash_Flow_3[Bulan],H502,Cash_Flow_3[Type],"Out",Cash_Flow_3[Category],"Alfa")</f>
        <v>0</v>
      </c>
      <c r="N502" s="29">
        <f>SUMIFS(Cash_Flow_3[Amount],Cash_Flow_3[Bulan],H502,Cash_Flow_3[Type],"Out",Cash_Flow_3[Category],"Jajan")</f>
        <v>0</v>
      </c>
      <c r="O502" s="29">
        <f>SUMIFS(Cash_Flow_3[Amount],Cash_Flow_3[Bulan],H502,Cash_Flow_3[Type],"Out",Cash_Flow_3[Category],"Kitchen")</f>
        <v>0</v>
      </c>
      <c r="P502" s="29">
        <f>SUMIFS(Cash_Flow_3[Amount],Cash_Flow_3[Bulan],H502,Cash_Flow_3[Type],"Out",Cash_Flow_3[Category],"Loandry")</f>
        <v>0</v>
      </c>
      <c r="Q502" s="29">
        <f>SUMIFS(Cash_Flow_3[Amount],Cash_Flow_3[Bulan],H502,Cash_Flow_3[Type],"Out",Cash_Flow_3[Category],"Mio")</f>
        <v>0</v>
      </c>
      <c r="R502" s="29">
        <f>SUMIFS(Cash_Flow_3[Amount],Cash_Flow_3[Bulan],H502,Cash_Flow_3[Type],"Out",Cash_Flow_3[Category],"Sedekah")</f>
        <v>0</v>
      </c>
      <c r="S502" s="29">
        <f>SUMIFS(Cash_Flow_3[Amount],Cash_Flow_3[Bulan],H502,Cash_Flow_3[Type],"Out",Cash_Flow_3[Category],"Zela")</f>
        <v>0</v>
      </c>
      <c r="T502" s="29">
        <f>SUMIFS(Cash_Flow_3[Amount],Cash_Flow_3[Bulan],H502,Cash_Flow_3[Type],"Out",Cash_Flow_3[Category],"Iqbal")</f>
        <v>0</v>
      </c>
    </row>
    <row r="503" spans="1:20" ht="22.5" customHeight="1" x14ac:dyDescent="0.2">
      <c r="A503" s="23"/>
      <c r="B503" s="24"/>
      <c r="C503" s="25"/>
      <c r="D503" s="25"/>
      <c r="E503" s="25"/>
      <c r="F503" s="26"/>
      <c r="G503" s="27"/>
      <c r="H503" s="28" t="str">
        <f t="shared" si="0"/>
        <v/>
      </c>
      <c r="I503" s="29">
        <f>SUMIFS(Cash_Flow_3[Amount],Cash_Flow_3[Bulan],H503,Cash_Flow_3[Type],"In")</f>
        <v>0</v>
      </c>
      <c r="J503" s="29">
        <f>SUMIFS(Cash_Flow_3[Amount],Cash_Flow_3[Bulan],H503,Cash_Flow_3[Type],"Out")</f>
        <v>0</v>
      </c>
      <c r="K503" s="29">
        <f>SUMIFS(Cash_Flow_3[Amount],Cash_Flow_3[Bulan],H503,Cash_Flow_3[Type],"Out",Cash_Flow_3[Category],"Fix")</f>
        <v>0</v>
      </c>
      <c r="L503" s="29">
        <f>SUMIFS(Cash_Flow_3[Amount],Cash_Flow_3[Bulan],H503,Cash_Flow_3[Type],"Out",Cash_Flow_3[Category],"Bathroom")</f>
        <v>0</v>
      </c>
      <c r="M503" s="29">
        <f>SUMIFS(Cash_Flow_3[Amount],Cash_Flow_3[Bulan],H503,Cash_Flow_3[Type],"Out",Cash_Flow_3[Category],"Alfa")</f>
        <v>0</v>
      </c>
      <c r="N503" s="29">
        <f>SUMIFS(Cash_Flow_3[Amount],Cash_Flow_3[Bulan],H503,Cash_Flow_3[Type],"Out",Cash_Flow_3[Category],"Jajan")</f>
        <v>0</v>
      </c>
      <c r="O503" s="29">
        <f>SUMIFS(Cash_Flow_3[Amount],Cash_Flow_3[Bulan],H503,Cash_Flow_3[Type],"Out",Cash_Flow_3[Category],"Kitchen")</f>
        <v>0</v>
      </c>
      <c r="P503" s="29">
        <f>SUMIFS(Cash_Flow_3[Amount],Cash_Flow_3[Bulan],H503,Cash_Flow_3[Type],"Out",Cash_Flow_3[Category],"Loandry")</f>
        <v>0</v>
      </c>
      <c r="Q503" s="29">
        <f>SUMIFS(Cash_Flow_3[Amount],Cash_Flow_3[Bulan],H503,Cash_Flow_3[Type],"Out",Cash_Flow_3[Category],"Mio")</f>
        <v>0</v>
      </c>
      <c r="R503" s="29">
        <f>SUMIFS(Cash_Flow_3[Amount],Cash_Flow_3[Bulan],H503,Cash_Flow_3[Type],"Out",Cash_Flow_3[Category],"Sedekah")</f>
        <v>0</v>
      </c>
      <c r="S503" s="29">
        <f>SUMIFS(Cash_Flow_3[Amount],Cash_Flow_3[Bulan],H503,Cash_Flow_3[Type],"Out",Cash_Flow_3[Category],"Zela")</f>
        <v>0</v>
      </c>
      <c r="T503" s="29">
        <f>SUMIFS(Cash_Flow_3[Amount],Cash_Flow_3[Bulan],H503,Cash_Flow_3[Type],"Out",Cash_Flow_3[Category],"Iqbal")</f>
        <v>0</v>
      </c>
    </row>
    <row r="504" spans="1:20" ht="22.5" customHeight="1" x14ac:dyDescent="0.2">
      <c r="A504" s="23"/>
      <c r="B504" s="24"/>
      <c r="C504" s="25"/>
      <c r="D504" s="25"/>
      <c r="E504" s="25"/>
      <c r="F504" s="26"/>
      <c r="G504" s="27"/>
      <c r="H504" s="28" t="str">
        <f t="shared" si="0"/>
        <v/>
      </c>
      <c r="I504" s="29">
        <f>SUMIFS(Cash_Flow_3[Amount],Cash_Flow_3[Bulan],H504,Cash_Flow_3[Type],"In")</f>
        <v>0</v>
      </c>
      <c r="J504" s="29">
        <f>SUMIFS(Cash_Flow_3[Amount],Cash_Flow_3[Bulan],H504,Cash_Flow_3[Type],"Out")</f>
        <v>0</v>
      </c>
      <c r="K504" s="29">
        <f>SUMIFS(Cash_Flow_3[Amount],Cash_Flow_3[Bulan],H504,Cash_Flow_3[Type],"Out",Cash_Flow_3[Category],"Fix")</f>
        <v>0</v>
      </c>
      <c r="L504" s="29">
        <f>SUMIFS(Cash_Flow_3[Amount],Cash_Flow_3[Bulan],H504,Cash_Flow_3[Type],"Out",Cash_Flow_3[Category],"Bathroom")</f>
        <v>0</v>
      </c>
      <c r="M504" s="29">
        <f>SUMIFS(Cash_Flow_3[Amount],Cash_Flow_3[Bulan],H504,Cash_Flow_3[Type],"Out",Cash_Flow_3[Category],"Alfa")</f>
        <v>0</v>
      </c>
      <c r="N504" s="29">
        <f>SUMIFS(Cash_Flow_3[Amount],Cash_Flow_3[Bulan],H504,Cash_Flow_3[Type],"Out",Cash_Flow_3[Category],"Jajan")</f>
        <v>0</v>
      </c>
      <c r="O504" s="29">
        <f>SUMIFS(Cash_Flow_3[Amount],Cash_Flow_3[Bulan],H504,Cash_Flow_3[Type],"Out",Cash_Flow_3[Category],"Kitchen")</f>
        <v>0</v>
      </c>
      <c r="P504" s="29">
        <f>SUMIFS(Cash_Flow_3[Amount],Cash_Flow_3[Bulan],H504,Cash_Flow_3[Type],"Out",Cash_Flow_3[Category],"Loandry")</f>
        <v>0</v>
      </c>
      <c r="Q504" s="29">
        <f>SUMIFS(Cash_Flow_3[Amount],Cash_Flow_3[Bulan],H504,Cash_Flow_3[Type],"Out",Cash_Flow_3[Category],"Mio")</f>
        <v>0</v>
      </c>
      <c r="R504" s="29">
        <f>SUMIFS(Cash_Flow_3[Amount],Cash_Flow_3[Bulan],H504,Cash_Flow_3[Type],"Out",Cash_Flow_3[Category],"Sedekah")</f>
        <v>0</v>
      </c>
      <c r="S504" s="29">
        <f>SUMIFS(Cash_Flow_3[Amount],Cash_Flow_3[Bulan],H504,Cash_Flow_3[Type],"Out",Cash_Flow_3[Category],"Zela")</f>
        <v>0</v>
      </c>
      <c r="T504" s="29">
        <f>SUMIFS(Cash_Flow_3[Amount],Cash_Flow_3[Bulan],H504,Cash_Flow_3[Type],"Out",Cash_Flow_3[Category],"Iqbal")</f>
        <v>0</v>
      </c>
    </row>
    <row r="505" spans="1:20" ht="22.5" customHeight="1" x14ac:dyDescent="0.2">
      <c r="A505" s="23"/>
      <c r="B505" s="24"/>
      <c r="C505" s="25"/>
      <c r="D505" s="25"/>
      <c r="E505" s="25"/>
      <c r="F505" s="26"/>
      <c r="G505" s="27"/>
      <c r="H505" s="28" t="str">
        <f t="shared" si="0"/>
        <v/>
      </c>
      <c r="I505" s="29">
        <f>SUMIFS(Cash_Flow_3[Amount],Cash_Flow_3[Bulan],H505,Cash_Flow_3[Type],"In")</f>
        <v>0</v>
      </c>
      <c r="J505" s="29">
        <f>SUMIFS(Cash_Flow_3[Amount],Cash_Flow_3[Bulan],H505,Cash_Flow_3[Type],"Out")</f>
        <v>0</v>
      </c>
      <c r="K505" s="29">
        <f>SUMIFS(Cash_Flow_3[Amount],Cash_Flow_3[Bulan],H505,Cash_Flow_3[Type],"Out",Cash_Flow_3[Category],"Fix")</f>
        <v>0</v>
      </c>
      <c r="L505" s="29">
        <f>SUMIFS(Cash_Flow_3[Amount],Cash_Flow_3[Bulan],H505,Cash_Flow_3[Type],"Out",Cash_Flow_3[Category],"Bathroom")</f>
        <v>0</v>
      </c>
      <c r="M505" s="29">
        <f>SUMIFS(Cash_Flow_3[Amount],Cash_Flow_3[Bulan],H505,Cash_Flow_3[Type],"Out",Cash_Flow_3[Category],"Alfa")</f>
        <v>0</v>
      </c>
      <c r="N505" s="29">
        <f>SUMIFS(Cash_Flow_3[Amount],Cash_Flow_3[Bulan],H505,Cash_Flow_3[Type],"Out",Cash_Flow_3[Category],"Jajan")</f>
        <v>0</v>
      </c>
      <c r="O505" s="29">
        <f>SUMIFS(Cash_Flow_3[Amount],Cash_Flow_3[Bulan],H505,Cash_Flow_3[Type],"Out",Cash_Flow_3[Category],"Kitchen")</f>
        <v>0</v>
      </c>
      <c r="P505" s="29">
        <f>SUMIFS(Cash_Flow_3[Amount],Cash_Flow_3[Bulan],H505,Cash_Flow_3[Type],"Out",Cash_Flow_3[Category],"Loandry")</f>
        <v>0</v>
      </c>
      <c r="Q505" s="29">
        <f>SUMIFS(Cash_Flow_3[Amount],Cash_Flow_3[Bulan],H505,Cash_Flow_3[Type],"Out",Cash_Flow_3[Category],"Mio")</f>
        <v>0</v>
      </c>
      <c r="R505" s="29">
        <f>SUMIFS(Cash_Flow_3[Amount],Cash_Flow_3[Bulan],H505,Cash_Flow_3[Type],"Out",Cash_Flow_3[Category],"Sedekah")</f>
        <v>0</v>
      </c>
      <c r="S505" s="29">
        <f>SUMIFS(Cash_Flow_3[Amount],Cash_Flow_3[Bulan],H505,Cash_Flow_3[Type],"Out",Cash_Flow_3[Category],"Zela")</f>
        <v>0</v>
      </c>
      <c r="T505" s="29">
        <f>SUMIFS(Cash_Flow_3[Amount],Cash_Flow_3[Bulan],H505,Cash_Flow_3[Type],"Out",Cash_Flow_3[Category],"Iqbal")</f>
        <v>0</v>
      </c>
    </row>
    <row r="506" spans="1:20" ht="22.5" customHeight="1" x14ac:dyDescent="0.2">
      <c r="A506" s="23"/>
      <c r="B506" s="24"/>
      <c r="C506" s="25"/>
      <c r="D506" s="25"/>
      <c r="E506" s="25"/>
      <c r="F506" s="26"/>
      <c r="G506" s="27"/>
      <c r="H506" s="28" t="str">
        <f t="shared" si="0"/>
        <v/>
      </c>
      <c r="I506" s="29">
        <f>SUMIFS(Cash_Flow_3[Amount],Cash_Flow_3[Bulan],H506,Cash_Flow_3[Type],"In")</f>
        <v>0</v>
      </c>
      <c r="J506" s="29">
        <f>SUMIFS(Cash_Flow_3[Amount],Cash_Flow_3[Bulan],H506,Cash_Flow_3[Type],"Out")</f>
        <v>0</v>
      </c>
      <c r="K506" s="29">
        <f>SUMIFS(Cash_Flow_3[Amount],Cash_Flow_3[Bulan],H506,Cash_Flow_3[Type],"Out",Cash_Flow_3[Category],"Fix")</f>
        <v>0</v>
      </c>
      <c r="L506" s="29">
        <f>SUMIFS(Cash_Flow_3[Amount],Cash_Flow_3[Bulan],H506,Cash_Flow_3[Type],"Out",Cash_Flow_3[Category],"Bathroom")</f>
        <v>0</v>
      </c>
      <c r="M506" s="29">
        <f>SUMIFS(Cash_Flow_3[Amount],Cash_Flow_3[Bulan],H506,Cash_Flow_3[Type],"Out",Cash_Flow_3[Category],"Alfa")</f>
        <v>0</v>
      </c>
      <c r="N506" s="29">
        <f>SUMIFS(Cash_Flow_3[Amount],Cash_Flow_3[Bulan],H506,Cash_Flow_3[Type],"Out",Cash_Flow_3[Category],"Jajan")</f>
        <v>0</v>
      </c>
      <c r="O506" s="29">
        <f>SUMIFS(Cash_Flow_3[Amount],Cash_Flow_3[Bulan],H506,Cash_Flow_3[Type],"Out",Cash_Flow_3[Category],"Kitchen")</f>
        <v>0</v>
      </c>
      <c r="P506" s="29">
        <f>SUMIFS(Cash_Flow_3[Amount],Cash_Flow_3[Bulan],H506,Cash_Flow_3[Type],"Out",Cash_Flow_3[Category],"Loandry")</f>
        <v>0</v>
      </c>
      <c r="Q506" s="29">
        <f>SUMIFS(Cash_Flow_3[Amount],Cash_Flow_3[Bulan],H506,Cash_Flow_3[Type],"Out",Cash_Flow_3[Category],"Mio")</f>
        <v>0</v>
      </c>
      <c r="R506" s="29">
        <f>SUMIFS(Cash_Flow_3[Amount],Cash_Flow_3[Bulan],H506,Cash_Flow_3[Type],"Out",Cash_Flow_3[Category],"Sedekah")</f>
        <v>0</v>
      </c>
      <c r="S506" s="29">
        <f>SUMIFS(Cash_Flow_3[Amount],Cash_Flow_3[Bulan],H506,Cash_Flow_3[Type],"Out",Cash_Flow_3[Category],"Zela")</f>
        <v>0</v>
      </c>
      <c r="T506" s="29">
        <f>SUMIFS(Cash_Flow_3[Amount],Cash_Flow_3[Bulan],H506,Cash_Flow_3[Type],"Out",Cash_Flow_3[Category],"Iqbal")</f>
        <v>0</v>
      </c>
    </row>
    <row r="507" spans="1:20" ht="22.5" customHeight="1" x14ac:dyDescent="0.2">
      <c r="A507" s="23"/>
      <c r="B507" s="24"/>
      <c r="C507" s="25"/>
      <c r="D507" s="25"/>
      <c r="E507" s="25"/>
      <c r="F507" s="26"/>
      <c r="G507" s="27"/>
      <c r="H507" s="28" t="str">
        <f t="shared" si="0"/>
        <v/>
      </c>
      <c r="I507" s="29">
        <f>SUMIFS(Cash_Flow_3[Amount],Cash_Flow_3[Bulan],H507,Cash_Flow_3[Type],"In")</f>
        <v>0</v>
      </c>
      <c r="J507" s="29">
        <f>SUMIFS(Cash_Flow_3[Amount],Cash_Flow_3[Bulan],H507,Cash_Flow_3[Type],"Out")</f>
        <v>0</v>
      </c>
      <c r="K507" s="29">
        <f>SUMIFS(Cash_Flow_3[Amount],Cash_Flow_3[Bulan],H507,Cash_Flow_3[Type],"Out",Cash_Flow_3[Category],"Fix")</f>
        <v>0</v>
      </c>
      <c r="L507" s="29">
        <f>SUMIFS(Cash_Flow_3[Amount],Cash_Flow_3[Bulan],H507,Cash_Flow_3[Type],"Out",Cash_Flow_3[Category],"Bathroom")</f>
        <v>0</v>
      </c>
      <c r="M507" s="29">
        <f>SUMIFS(Cash_Flow_3[Amount],Cash_Flow_3[Bulan],H507,Cash_Flow_3[Type],"Out",Cash_Flow_3[Category],"Alfa")</f>
        <v>0</v>
      </c>
      <c r="N507" s="29">
        <f>SUMIFS(Cash_Flow_3[Amount],Cash_Flow_3[Bulan],H507,Cash_Flow_3[Type],"Out",Cash_Flow_3[Category],"Jajan")</f>
        <v>0</v>
      </c>
      <c r="O507" s="29">
        <f>SUMIFS(Cash_Flow_3[Amount],Cash_Flow_3[Bulan],H507,Cash_Flow_3[Type],"Out",Cash_Flow_3[Category],"Kitchen")</f>
        <v>0</v>
      </c>
      <c r="P507" s="29">
        <f>SUMIFS(Cash_Flow_3[Amount],Cash_Flow_3[Bulan],H507,Cash_Flow_3[Type],"Out",Cash_Flow_3[Category],"Loandry")</f>
        <v>0</v>
      </c>
      <c r="Q507" s="29">
        <f>SUMIFS(Cash_Flow_3[Amount],Cash_Flow_3[Bulan],H507,Cash_Flow_3[Type],"Out",Cash_Flow_3[Category],"Mio")</f>
        <v>0</v>
      </c>
      <c r="R507" s="29">
        <f>SUMIFS(Cash_Flow_3[Amount],Cash_Flow_3[Bulan],H507,Cash_Flow_3[Type],"Out",Cash_Flow_3[Category],"Sedekah")</f>
        <v>0</v>
      </c>
      <c r="S507" s="29">
        <f>SUMIFS(Cash_Flow_3[Amount],Cash_Flow_3[Bulan],H507,Cash_Flow_3[Type],"Out",Cash_Flow_3[Category],"Zela")</f>
        <v>0</v>
      </c>
      <c r="T507" s="29">
        <f>SUMIFS(Cash_Flow_3[Amount],Cash_Flow_3[Bulan],H507,Cash_Flow_3[Type],"Out",Cash_Flow_3[Category],"Iqbal")</f>
        <v>0</v>
      </c>
    </row>
    <row r="508" spans="1:20" ht="22.5" customHeight="1" x14ac:dyDescent="0.2">
      <c r="A508" s="23"/>
      <c r="B508" s="24"/>
      <c r="C508" s="25"/>
      <c r="D508" s="25"/>
      <c r="E508" s="25"/>
      <c r="F508" s="26"/>
      <c r="G508" s="27"/>
      <c r="H508" s="28" t="str">
        <f t="shared" si="0"/>
        <v/>
      </c>
      <c r="I508" s="29">
        <f>SUMIFS(Cash_Flow_3[Amount],Cash_Flow_3[Bulan],H508,Cash_Flow_3[Type],"In")</f>
        <v>0</v>
      </c>
      <c r="J508" s="29">
        <f>SUMIFS(Cash_Flow_3[Amount],Cash_Flow_3[Bulan],H508,Cash_Flow_3[Type],"Out")</f>
        <v>0</v>
      </c>
      <c r="K508" s="29">
        <f>SUMIFS(Cash_Flow_3[Amount],Cash_Flow_3[Bulan],H508,Cash_Flow_3[Type],"Out",Cash_Flow_3[Category],"Fix")</f>
        <v>0</v>
      </c>
      <c r="L508" s="29">
        <f>SUMIFS(Cash_Flow_3[Amount],Cash_Flow_3[Bulan],H508,Cash_Flow_3[Type],"Out",Cash_Flow_3[Category],"Bathroom")</f>
        <v>0</v>
      </c>
      <c r="M508" s="29">
        <f>SUMIFS(Cash_Flow_3[Amount],Cash_Flow_3[Bulan],H508,Cash_Flow_3[Type],"Out",Cash_Flow_3[Category],"Alfa")</f>
        <v>0</v>
      </c>
      <c r="N508" s="29">
        <f>SUMIFS(Cash_Flow_3[Amount],Cash_Flow_3[Bulan],H508,Cash_Flow_3[Type],"Out",Cash_Flow_3[Category],"Jajan")</f>
        <v>0</v>
      </c>
      <c r="O508" s="29">
        <f>SUMIFS(Cash_Flow_3[Amount],Cash_Flow_3[Bulan],H508,Cash_Flow_3[Type],"Out",Cash_Flow_3[Category],"Kitchen")</f>
        <v>0</v>
      </c>
      <c r="P508" s="29">
        <f>SUMIFS(Cash_Flow_3[Amount],Cash_Flow_3[Bulan],H508,Cash_Flow_3[Type],"Out",Cash_Flow_3[Category],"Loandry")</f>
        <v>0</v>
      </c>
      <c r="Q508" s="29">
        <f>SUMIFS(Cash_Flow_3[Amount],Cash_Flow_3[Bulan],H508,Cash_Flow_3[Type],"Out",Cash_Flow_3[Category],"Mio")</f>
        <v>0</v>
      </c>
      <c r="R508" s="29">
        <f>SUMIFS(Cash_Flow_3[Amount],Cash_Flow_3[Bulan],H508,Cash_Flow_3[Type],"Out",Cash_Flow_3[Category],"Sedekah")</f>
        <v>0</v>
      </c>
      <c r="S508" s="29">
        <f>SUMIFS(Cash_Flow_3[Amount],Cash_Flow_3[Bulan],H508,Cash_Flow_3[Type],"Out",Cash_Flow_3[Category],"Zela")</f>
        <v>0</v>
      </c>
      <c r="T508" s="29">
        <f>SUMIFS(Cash_Flow_3[Amount],Cash_Flow_3[Bulan],H508,Cash_Flow_3[Type],"Out",Cash_Flow_3[Category],"Iqbal")</f>
        <v>0</v>
      </c>
    </row>
    <row r="509" spans="1:20" ht="22.5" customHeight="1" x14ac:dyDescent="0.2">
      <c r="A509" s="23"/>
      <c r="B509" s="24"/>
      <c r="C509" s="25"/>
      <c r="D509" s="25"/>
      <c r="E509" s="25"/>
      <c r="F509" s="26"/>
      <c r="G509" s="27"/>
      <c r="H509" s="28" t="str">
        <f t="shared" si="0"/>
        <v/>
      </c>
      <c r="I509" s="29">
        <f>SUMIFS(Cash_Flow_3[Amount],Cash_Flow_3[Bulan],H509,Cash_Flow_3[Type],"In")</f>
        <v>0</v>
      </c>
      <c r="J509" s="29">
        <f>SUMIFS(Cash_Flow_3[Amount],Cash_Flow_3[Bulan],H509,Cash_Flow_3[Type],"Out")</f>
        <v>0</v>
      </c>
      <c r="K509" s="29">
        <f>SUMIFS(Cash_Flow_3[Amount],Cash_Flow_3[Bulan],H509,Cash_Flow_3[Type],"Out",Cash_Flow_3[Category],"Fix")</f>
        <v>0</v>
      </c>
      <c r="L509" s="29">
        <f>SUMIFS(Cash_Flow_3[Amount],Cash_Flow_3[Bulan],H509,Cash_Flow_3[Type],"Out",Cash_Flow_3[Category],"Bathroom")</f>
        <v>0</v>
      </c>
      <c r="M509" s="29">
        <f>SUMIFS(Cash_Flow_3[Amount],Cash_Flow_3[Bulan],H509,Cash_Flow_3[Type],"Out",Cash_Flow_3[Category],"Alfa")</f>
        <v>0</v>
      </c>
      <c r="N509" s="29">
        <f>SUMIFS(Cash_Flow_3[Amount],Cash_Flow_3[Bulan],H509,Cash_Flow_3[Type],"Out",Cash_Flow_3[Category],"Jajan")</f>
        <v>0</v>
      </c>
      <c r="O509" s="29">
        <f>SUMIFS(Cash_Flow_3[Amount],Cash_Flow_3[Bulan],H509,Cash_Flow_3[Type],"Out",Cash_Flow_3[Category],"Kitchen")</f>
        <v>0</v>
      </c>
      <c r="P509" s="29">
        <f>SUMIFS(Cash_Flow_3[Amount],Cash_Flow_3[Bulan],H509,Cash_Flow_3[Type],"Out",Cash_Flow_3[Category],"Loandry")</f>
        <v>0</v>
      </c>
      <c r="Q509" s="29">
        <f>SUMIFS(Cash_Flow_3[Amount],Cash_Flow_3[Bulan],H509,Cash_Flow_3[Type],"Out",Cash_Flow_3[Category],"Mio")</f>
        <v>0</v>
      </c>
      <c r="R509" s="29">
        <f>SUMIFS(Cash_Flow_3[Amount],Cash_Flow_3[Bulan],H509,Cash_Flow_3[Type],"Out",Cash_Flow_3[Category],"Sedekah")</f>
        <v>0</v>
      </c>
      <c r="S509" s="29">
        <f>SUMIFS(Cash_Flow_3[Amount],Cash_Flow_3[Bulan],H509,Cash_Flow_3[Type],"Out",Cash_Flow_3[Category],"Zela")</f>
        <v>0</v>
      </c>
      <c r="T509" s="29">
        <f>SUMIFS(Cash_Flow_3[Amount],Cash_Flow_3[Bulan],H509,Cash_Flow_3[Type],"Out",Cash_Flow_3[Category],"Iqbal")</f>
        <v>0</v>
      </c>
    </row>
    <row r="510" spans="1:20" ht="22.5" customHeight="1" x14ac:dyDescent="0.2">
      <c r="A510" s="23"/>
      <c r="B510" s="24"/>
      <c r="C510" s="25"/>
      <c r="D510" s="25"/>
      <c r="E510" s="25"/>
      <c r="F510" s="26"/>
      <c r="G510" s="27"/>
      <c r="H510" s="28" t="str">
        <f t="shared" si="0"/>
        <v/>
      </c>
      <c r="I510" s="29">
        <f>SUMIFS(Cash_Flow_3[Amount],Cash_Flow_3[Bulan],H510,Cash_Flow_3[Type],"In")</f>
        <v>0</v>
      </c>
      <c r="J510" s="29">
        <f>SUMIFS(Cash_Flow_3[Amount],Cash_Flow_3[Bulan],H510,Cash_Flow_3[Type],"Out")</f>
        <v>0</v>
      </c>
      <c r="K510" s="29">
        <f>SUMIFS(Cash_Flow_3[Amount],Cash_Flow_3[Bulan],H510,Cash_Flow_3[Type],"Out",Cash_Flow_3[Category],"Fix")</f>
        <v>0</v>
      </c>
      <c r="L510" s="29">
        <f>SUMIFS(Cash_Flow_3[Amount],Cash_Flow_3[Bulan],H510,Cash_Flow_3[Type],"Out",Cash_Flow_3[Category],"Bathroom")</f>
        <v>0</v>
      </c>
      <c r="M510" s="29">
        <f>SUMIFS(Cash_Flow_3[Amount],Cash_Flow_3[Bulan],H510,Cash_Flow_3[Type],"Out",Cash_Flow_3[Category],"Alfa")</f>
        <v>0</v>
      </c>
      <c r="N510" s="29">
        <f>SUMIFS(Cash_Flow_3[Amount],Cash_Flow_3[Bulan],H510,Cash_Flow_3[Type],"Out",Cash_Flow_3[Category],"Jajan")</f>
        <v>0</v>
      </c>
      <c r="O510" s="29">
        <f>SUMIFS(Cash_Flow_3[Amount],Cash_Flow_3[Bulan],H510,Cash_Flow_3[Type],"Out",Cash_Flow_3[Category],"Kitchen")</f>
        <v>0</v>
      </c>
      <c r="P510" s="29">
        <f>SUMIFS(Cash_Flow_3[Amount],Cash_Flow_3[Bulan],H510,Cash_Flow_3[Type],"Out",Cash_Flow_3[Category],"Loandry")</f>
        <v>0</v>
      </c>
      <c r="Q510" s="29">
        <f>SUMIFS(Cash_Flow_3[Amount],Cash_Flow_3[Bulan],H510,Cash_Flow_3[Type],"Out",Cash_Flow_3[Category],"Mio")</f>
        <v>0</v>
      </c>
      <c r="R510" s="29">
        <f>SUMIFS(Cash_Flow_3[Amount],Cash_Flow_3[Bulan],H510,Cash_Flow_3[Type],"Out",Cash_Flow_3[Category],"Sedekah")</f>
        <v>0</v>
      </c>
      <c r="S510" s="29">
        <f>SUMIFS(Cash_Flow_3[Amount],Cash_Flow_3[Bulan],H510,Cash_Flow_3[Type],"Out",Cash_Flow_3[Category],"Zela")</f>
        <v>0</v>
      </c>
      <c r="T510" s="29">
        <f>SUMIFS(Cash_Flow_3[Amount],Cash_Flow_3[Bulan],H510,Cash_Flow_3[Type],"Out",Cash_Flow_3[Category],"Iqbal")</f>
        <v>0</v>
      </c>
    </row>
    <row r="511" spans="1:20" ht="22.5" customHeight="1" x14ac:dyDescent="0.2">
      <c r="A511" s="23"/>
      <c r="B511" s="24"/>
      <c r="C511" s="25"/>
      <c r="D511" s="25"/>
      <c r="E511" s="25"/>
      <c r="F511" s="26"/>
      <c r="G511" s="27"/>
      <c r="H511" s="28" t="str">
        <f t="shared" si="0"/>
        <v/>
      </c>
      <c r="I511" s="29">
        <f>SUMIFS(Cash_Flow_3[Amount],Cash_Flow_3[Bulan],H511,Cash_Flow_3[Type],"In")</f>
        <v>0</v>
      </c>
      <c r="J511" s="29">
        <f>SUMIFS(Cash_Flow_3[Amount],Cash_Flow_3[Bulan],H511,Cash_Flow_3[Type],"Out")</f>
        <v>0</v>
      </c>
      <c r="K511" s="29">
        <f>SUMIFS(Cash_Flow_3[Amount],Cash_Flow_3[Bulan],H511,Cash_Flow_3[Type],"Out",Cash_Flow_3[Category],"Fix")</f>
        <v>0</v>
      </c>
      <c r="L511" s="29">
        <f>SUMIFS(Cash_Flow_3[Amount],Cash_Flow_3[Bulan],H511,Cash_Flow_3[Type],"Out",Cash_Flow_3[Category],"Bathroom")</f>
        <v>0</v>
      </c>
      <c r="M511" s="29">
        <f>SUMIFS(Cash_Flow_3[Amount],Cash_Flow_3[Bulan],H511,Cash_Flow_3[Type],"Out",Cash_Flow_3[Category],"Alfa")</f>
        <v>0</v>
      </c>
      <c r="N511" s="29">
        <f>SUMIFS(Cash_Flow_3[Amount],Cash_Flow_3[Bulan],H511,Cash_Flow_3[Type],"Out",Cash_Flow_3[Category],"Jajan")</f>
        <v>0</v>
      </c>
      <c r="O511" s="29">
        <f>SUMIFS(Cash_Flow_3[Amount],Cash_Flow_3[Bulan],H511,Cash_Flow_3[Type],"Out",Cash_Flow_3[Category],"Kitchen")</f>
        <v>0</v>
      </c>
      <c r="P511" s="29">
        <f>SUMIFS(Cash_Flow_3[Amount],Cash_Flow_3[Bulan],H511,Cash_Flow_3[Type],"Out",Cash_Flow_3[Category],"Loandry")</f>
        <v>0</v>
      </c>
      <c r="Q511" s="29">
        <f>SUMIFS(Cash_Flow_3[Amount],Cash_Flow_3[Bulan],H511,Cash_Flow_3[Type],"Out",Cash_Flow_3[Category],"Mio")</f>
        <v>0</v>
      </c>
      <c r="R511" s="29">
        <f>SUMIFS(Cash_Flow_3[Amount],Cash_Flow_3[Bulan],H511,Cash_Flow_3[Type],"Out",Cash_Flow_3[Category],"Sedekah")</f>
        <v>0</v>
      </c>
      <c r="S511" s="29">
        <f>SUMIFS(Cash_Flow_3[Amount],Cash_Flow_3[Bulan],H511,Cash_Flow_3[Type],"Out",Cash_Flow_3[Category],"Zela")</f>
        <v>0</v>
      </c>
      <c r="T511" s="29">
        <f>SUMIFS(Cash_Flow_3[Amount],Cash_Flow_3[Bulan],H511,Cash_Flow_3[Type],"Out",Cash_Flow_3[Category],"Iqbal")</f>
        <v>0</v>
      </c>
    </row>
    <row r="512" spans="1:20" ht="22.5" customHeight="1" x14ac:dyDescent="0.2">
      <c r="A512" s="23"/>
      <c r="B512" s="24"/>
      <c r="C512" s="25"/>
      <c r="D512" s="25"/>
      <c r="E512" s="25"/>
      <c r="F512" s="26"/>
      <c r="G512" s="27"/>
      <c r="H512" s="28" t="str">
        <f t="shared" si="0"/>
        <v/>
      </c>
      <c r="I512" s="29">
        <f>SUMIFS(Cash_Flow_3[Amount],Cash_Flow_3[Bulan],H512,Cash_Flow_3[Type],"In")</f>
        <v>0</v>
      </c>
      <c r="J512" s="29">
        <f>SUMIFS(Cash_Flow_3[Amount],Cash_Flow_3[Bulan],H512,Cash_Flow_3[Type],"Out")</f>
        <v>0</v>
      </c>
      <c r="K512" s="29">
        <f>SUMIFS(Cash_Flow_3[Amount],Cash_Flow_3[Bulan],H512,Cash_Flow_3[Type],"Out",Cash_Flow_3[Category],"Fix")</f>
        <v>0</v>
      </c>
      <c r="L512" s="29">
        <f>SUMIFS(Cash_Flow_3[Amount],Cash_Flow_3[Bulan],H512,Cash_Flow_3[Type],"Out",Cash_Flow_3[Category],"Bathroom")</f>
        <v>0</v>
      </c>
      <c r="M512" s="29">
        <f>SUMIFS(Cash_Flow_3[Amount],Cash_Flow_3[Bulan],H512,Cash_Flow_3[Type],"Out",Cash_Flow_3[Category],"Alfa")</f>
        <v>0</v>
      </c>
      <c r="N512" s="29">
        <f>SUMIFS(Cash_Flow_3[Amount],Cash_Flow_3[Bulan],H512,Cash_Flow_3[Type],"Out",Cash_Flow_3[Category],"Jajan")</f>
        <v>0</v>
      </c>
      <c r="O512" s="29">
        <f>SUMIFS(Cash_Flow_3[Amount],Cash_Flow_3[Bulan],H512,Cash_Flow_3[Type],"Out",Cash_Flow_3[Category],"Kitchen")</f>
        <v>0</v>
      </c>
      <c r="P512" s="29">
        <f>SUMIFS(Cash_Flow_3[Amount],Cash_Flow_3[Bulan],H512,Cash_Flow_3[Type],"Out",Cash_Flow_3[Category],"Loandry")</f>
        <v>0</v>
      </c>
      <c r="Q512" s="29">
        <f>SUMIFS(Cash_Flow_3[Amount],Cash_Flow_3[Bulan],H512,Cash_Flow_3[Type],"Out",Cash_Flow_3[Category],"Mio")</f>
        <v>0</v>
      </c>
      <c r="R512" s="29">
        <f>SUMIFS(Cash_Flow_3[Amount],Cash_Flow_3[Bulan],H512,Cash_Flow_3[Type],"Out",Cash_Flow_3[Category],"Sedekah")</f>
        <v>0</v>
      </c>
      <c r="S512" s="29">
        <f>SUMIFS(Cash_Flow_3[Amount],Cash_Flow_3[Bulan],H512,Cash_Flow_3[Type],"Out",Cash_Flow_3[Category],"Zela")</f>
        <v>0</v>
      </c>
      <c r="T512" s="29">
        <f>SUMIFS(Cash_Flow_3[Amount],Cash_Flow_3[Bulan],H512,Cash_Flow_3[Type],"Out",Cash_Flow_3[Category],"Iqbal")</f>
        <v>0</v>
      </c>
    </row>
    <row r="513" spans="1:20" ht="22.5" customHeight="1" x14ac:dyDescent="0.2">
      <c r="A513" s="23"/>
      <c r="B513" s="24"/>
      <c r="C513" s="25"/>
      <c r="D513" s="25"/>
      <c r="E513" s="25"/>
      <c r="F513" s="26"/>
      <c r="G513" s="27"/>
      <c r="H513" s="28" t="str">
        <f t="shared" si="0"/>
        <v/>
      </c>
      <c r="I513" s="29">
        <f>SUMIFS(Cash_Flow_3[Amount],Cash_Flow_3[Bulan],H513,Cash_Flow_3[Type],"In")</f>
        <v>0</v>
      </c>
      <c r="J513" s="29">
        <f>SUMIFS(Cash_Flow_3[Amount],Cash_Flow_3[Bulan],H513,Cash_Flow_3[Type],"Out")</f>
        <v>0</v>
      </c>
      <c r="K513" s="29">
        <f>SUMIFS(Cash_Flow_3[Amount],Cash_Flow_3[Bulan],H513,Cash_Flow_3[Type],"Out",Cash_Flow_3[Category],"Fix")</f>
        <v>0</v>
      </c>
      <c r="L513" s="29">
        <f>SUMIFS(Cash_Flow_3[Amount],Cash_Flow_3[Bulan],H513,Cash_Flow_3[Type],"Out",Cash_Flow_3[Category],"Bathroom")</f>
        <v>0</v>
      </c>
      <c r="M513" s="29">
        <f>SUMIFS(Cash_Flow_3[Amount],Cash_Flow_3[Bulan],H513,Cash_Flow_3[Type],"Out",Cash_Flow_3[Category],"Alfa")</f>
        <v>0</v>
      </c>
      <c r="N513" s="29">
        <f>SUMIFS(Cash_Flow_3[Amount],Cash_Flow_3[Bulan],H513,Cash_Flow_3[Type],"Out",Cash_Flow_3[Category],"Jajan")</f>
        <v>0</v>
      </c>
      <c r="O513" s="29">
        <f>SUMIFS(Cash_Flow_3[Amount],Cash_Flow_3[Bulan],H513,Cash_Flow_3[Type],"Out",Cash_Flow_3[Category],"Kitchen")</f>
        <v>0</v>
      </c>
      <c r="P513" s="29">
        <f>SUMIFS(Cash_Flow_3[Amount],Cash_Flow_3[Bulan],H513,Cash_Flow_3[Type],"Out",Cash_Flow_3[Category],"Loandry")</f>
        <v>0</v>
      </c>
      <c r="Q513" s="29">
        <f>SUMIFS(Cash_Flow_3[Amount],Cash_Flow_3[Bulan],H513,Cash_Flow_3[Type],"Out",Cash_Flow_3[Category],"Mio")</f>
        <v>0</v>
      </c>
      <c r="R513" s="29">
        <f>SUMIFS(Cash_Flow_3[Amount],Cash_Flow_3[Bulan],H513,Cash_Flow_3[Type],"Out",Cash_Flow_3[Category],"Sedekah")</f>
        <v>0</v>
      </c>
      <c r="S513" s="29">
        <f>SUMIFS(Cash_Flow_3[Amount],Cash_Flow_3[Bulan],H513,Cash_Flow_3[Type],"Out",Cash_Flow_3[Category],"Zela")</f>
        <v>0</v>
      </c>
      <c r="T513" s="29">
        <f>SUMIFS(Cash_Flow_3[Amount],Cash_Flow_3[Bulan],H513,Cash_Flow_3[Type],"Out",Cash_Flow_3[Category],"Iqbal")</f>
        <v>0</v>
      </c>
    </row>
    <row r="514" spans="1:20" ht="22.5" customHeight="1" x14ac:dyDescent="0.2">
      <c r="A514" s="23"/>
      <c r="B514" s="24"/>
      <c r="C514" s="25"/>
      <c r="D514" s="25"/>
      <c r="E514" s="25"/>
      <c r="F514" s="26"/>
      <c r="G514" s="27"/>
      <c r="H514" s="28" t="str">
        <f t="shared" si="0"/>
        <v/>
      </c>
      <c r="I514" s="29">
        <f>SUMIFS(Cash_Flow_3[Amount],Cash_Flow_3[Bulan],H514,Cash_Flow_3[Type],"In")</f>
        <v>0</v>
      </c>
      <c r="J514" s="29">
        <f>SUMIFS(Cash_Flow_3[Amount],Cash_Flow_3[Bulan],H514,Cash_Flow_3[Type],"Out")</f>
        <v>0</v>
      </c>
      <c r="K514" s="29">
        <f>SUMIFS(Cash_Flow_3[Amount],Cash_Flow_3[Bulan],H514,Cash_Flow_3[Type],"Out",Cash_Flow_3[Category],"Fix")</f>
        <v>0</v>
      </c>
      <c r="L514" s="29">
        <f>SUMIFS(Cash_Flow_3[Amount],Cash_Flow_3[Bulan],H514,Cash_Flow_3[Type],"Out",Cash_Flow_3[Category],"Bathroom")</f>
        <v>0</v>
      </c>
      <c r="M514" s="29">
        <f>SUMIFS(Cash_Flow_3[Amount],Cash_Flow_3[Bulan],H514,Cash_Flow_3[Type],"Out",Cash_Flow_3[Category],"Alfa")</f>
        <v>0</v>
      </c>
      <c r="N514" s="29">
        <f>SUMIFS(Cash_Flow_3[Amount],Cash_Flow_3[Bulan],H514,Cash_Flow_3[Type],"Out",Cash_Flow_3[Category],"Jajan")</f>
        <v>0</v>
      </c>
      <c r="O514" s="29">
        <f>SUMIFS(Cash_Flow_3[Amount],Cash_Flow_3[Bulan],H514,Cash_Flow_3[Type],"Out",Cash_Flow_3[Category],"Kitchen")</f>
        <v>0</v>
      </c>
      <c r="P514" s="29">
        <f>SUMIFS(Cash_Flow_3[Amount],Cash_Flow_3[Bulan],H514,Cash_Flow_3[Type],"Out",Cash_Flow_3[Category],"Loandry")</f>
        <v>0</v>
      </c>
      <c r="Q514" s="29">
        <f>SUMIFS(Cash_Flow_3[Amount],Cash_Flow_3[Bulan],H514,Cash_Flow_3[Type],"Out",Cash_Flow_3[Category],"Mio")</f>
        <v>0</v>
      </c>
      <c r="R514" s="29">
        <f>SUMIFS(Cash_Flow_3[Amount],Cash_Flow_3[Bulan],H514,Cash_Flow_3[Type],"Out",Cash_Flow_3[Category],"Sedekah")</f>
        <v>0</v>
      </c>
      <c r="S514" s="29">
        <f>SUMIFS(Cash_Flow_3[Amount],Cash_Flow_3[Bulan],H514,Cash_Flow_3[Type],"Out",Cash_Flow_3[Category],"Zela")</f>
        <v>0</v>
      </c>
      <c r="T514" s="29">
        <f>SUMIFS(Cash_Flow_3[Amount],Cash_Flow_3[Bulan],H514,Cash_Flow_3[Type],"Out",Cash_Flow_3[Category],"Iqbal")</f>
        <v>0</v>
      </c>
    </row>
    <row r="515" spans="1:20" ht="22.5" customHeight="1" x14ac:dyDescent="0.2">
      <c r="A515" s="23"/>
      <c r="B515" s="24"/>
      <c r="C515" s="25"/>
      <c r="D515" s="25"/>
      <c r="E515" s="25"/>
      <c r="F515" s="26"/>
      <c r="G515" s="27"/>
      <c r="H515" s="28" t="str">
        <f t="shared" si="0"/>
        <v/>
      </c>
      <c r="I515" s="29">
        <f>SUMIFS(Cash_Flow_3[Amount],Cash_Flow_3[Bulan],H515,Cash_Flow_3[Type],"In")</f>
        <v>0</v>
      </c>
      <c r="J515" s="29">
        <f>SUMIFS(Cash_Flow_3[Amount],Cash_Flow_3[Bulan],H515,Cash_Flow_3[Type],"Out")</f>
        <v>0</v>
      </c>
      <c r="K515" s="29">
        <f>SUMIFS(Cash_Flow_3[Amount],Cash_Flow_3[Bulan],H515,Cash_Flow_3[Type],"Out",Cash_Flow_3[Category],"Fix")</f>
        <v>0</v>
      </c>
      <c r="L515" s="29">
        <f>SUMIFS(Cash_Flow_3[Amount],Cash_Flow_3[Bulan],H515,Cash_Flow_3[Type],"Out",Cash_Flow_3[Category],"Bathroom")</f>
        <v>0</v>
      </c>
      <c r="M515" s="29">
        <f>SUMIFS(Cash_Flow_3[Amount],Cash_Flow_3[Bulan],H515,Cash_Flow_3[Type],"Out",Cash_Flow_3[Category],"Alfa")</f>
        <v>0</v>
      </c>
      <c r="N515" s="29">
        <f>SUMIFS(Cash_Flow_3[Amount],Cash_Flow_3[Bulan],H515,Cash_Flow_3[Type],"Out",Cash_Flow_3[Category],"Jajan")</f>
        <v>0</v>
      </c>
      <c r="O515" s="29">
        <f>SUMIFS(Cash_Flow_3[Amount],Cash_Flow_3[Bulan],H515,Cash_Flow_3[Type],"Out",Cash_Flow_3[Category],"Kitchen")</f>
        <v>0</v>
      </c>
      <c r="P515" s="29">
        <f>SUMIFS(Cash_Flow_3[Amount],Cash_Flow_3[Bulan],H515,Cash_Flow_3[Type],"Out",Cash_Flow_3[Category],"Loandry")</f>
        <v>0</v>
      </c>
      <c r="Q515" s="29">
        <f>SUMIFS(Cash_Flow_3[Amount],Cash_Flow_3[Bulan],H515,Cash_Flow_3[Type],"Out",Cash_Flow_3[Category],"Mio")</f>
        <v>0</v>
      </c>
      <c r="R515" s="29">
        <f>SUMIFS(Cash_Flow_3[Amount],Cash_Flow_3[Bulan],H515,Cash_Flow_3[Type],"Out",Cash_Flow_3[Category],"Sedekah")</f>
        <v>0</v>
      </c>
      <c r="S515" s="29">
        <f>SUMIFS(Cash_Flow_3[Amount],Cash_Flow_3[Bulan],H515,Cash_Flow_3[Type],"Out",Cash_Flow_3[Category],"Zela")</f>
        <v>0</v>
      </c>
      <c r="T515" s="29">
        <f>SUMIFS(Cash_Flow_3[Amount],Cash_Flow_3[Bulan],H515,Cash_Flow_3[Type],"Out",Cash_Flow_3[Category],"Iqbal")</f>
        <v>0</v>
      </c>
    </row>
    <row r="516" spans="1:20" ht="22.5" customHeight="1" x14ac:dyDescent="0.2">
      <c r="A516" s="23"/>
      <c r="B516" s="24"/>
      <c r="C516" s="25"/>
      <c r="D516" s="25"/>
      <c r="E516" s="25"/>
      <c r="F516" s="26"/>
      <c r="G516" s="27"/>
      <c r="H516" s="28" t="str">
        <f t="shared" si="0"/>
        <v/>
      </c>
      <c r="I516" s="29">
        <f>SUMIFS(Cash_Flow_3[Amount],Cash_Flow_3[Bulan],H516,Cash_Flow_3[Type],"In")</f>
        <v>0</v>
      </c>
      <c r="J516" s="29">
        <f>SUMIFS(Cash_Flow_3[Amount],Cash_Flow_3[Bulan],H516,Cash_Flow_3[Type],"Out")</f>
        <v>0</v>
      </c>
      <c r="K516" s="29">
        <f>SUMIFS(Cash_Flow_3[Amount],Cash_Flow_3[Bulan],H516,Cash_Flow_3[Type],"Out",Cash_Flow_3[Category],"Fix")</f>
        <v>0</v>
      </c>
      <c r="L516" s="29">
        <f>SUMIFS(Cash_Flow_3[Amount],Cash_Flow_3[Bulan],H516,Cash_Flow_3[Type],"Out",Cash_Flow_3[Category],"Bathroom")</f>
        <v>0</v>
      </c>
      <c r="M516" s="29">
        <f>SUMIFS(Cash_Flow_3[Amount],Cash_Flow_3[Bulan],H516,Cash_Flow_3[Type],"Out",Cash_Flow_3[Category],"Alfa")</f>
        <v>0</v>
      </c>
      <c r="N516" s="29">
        <f>SUMIFS(Cash_Flow_3[Amount],Cash_Flow_3[Bulan],H516,Cash_Flow_3[Type],"Out",Cash_Flow_3[Category],"Jajan")</f>
        <v>0</v>
      </c>
      <c r="O516" s="29">
        <f>SUMIFS(Cash_Flow_3[Amount],Cash_Flow_3[Bulan],H516,Cash_Flow_3[Type],"Out",Cash_Flow_3[Category],"Kitchen")</f>
        <v>0</v>
      </c>
      <c r="P516" s="29">
        <f>SUMIFS(Cash_Flow_3[Amount],Cash_Flow_3[Bulan],H516,Cash_Flow_3[Type],"Out",Cash_Flow_3[Category],"Loandry")</f>
        <v>0</v>
      </c>
      <c r="Q516" s="29">
        <f>SUMIFS(Cash_Flow_3[Amount],Cash_Flow_3[Bulan],H516,Cash_Flow_3[Type],"Out",Cash_Flow_3[Category],"Mio")</f>
        <v>0</v>
      </c>
      <c r="R516" s="29">
        <f>SUMIFS(Cash_Flow_3[Amount],Cash_Flow_3[Bulan],H516,Cash_Flow_3[Type],"Out",Cash_Flow_3[Category],"Sedekah")</f>
        <v>0</v>
      </c>
      <c r="S516" s="29">
        <f>SUMIFS(Cash_Flow_3[Amount],Cash_Flow_3[Bulan],H516,Cash_Flow_3[Type],"Out",Cash_Flow_3[Category],"Zela")</f>
        <v>0</v>
      </c>
      <c r="T516" s="29">
        <f>SUMIFS(Cash_Flow_3[Amount],Cash_Flow_3[Bulan],H516,Cash_Flow_3[Type],"Out",Cash_Flow_3[Category],"Iqbal")</f>
        <v>0</v>
      </c>
    </row>
    <row r="517" spans="1:20" ht="22.5" customHeight="1" x14ac:dyDescent="0.2">
      <c r="A517" s="23"/>
      <c r="B517" s="24"/>
      <c r="C517" s="25"/>
      <c r="D517" s="25"/>
      <c r="E517" s="25"/>
      <c r="F517" s="26"/>
      <c r="G517" s="27"/>
      <c r="H517" s="28" t="str">
        <f t="shared" si="0"/>
        <v/>
      </c>
      <c r="I517" s="29">
        <f>SUMIFS(Cash_Flow_3[Amount],Cash_Flow_3[Bulan],H517,Cash_Flow_3[Type],"In")</f>
        <v>0</v>
      </c>
      <c r="J517" s="29">
        <f>SUMIFS(Cash_Flow_3[Amount],Cash_Flow_3[Bulan],H517,Cash_Flow_3[Type],"Out")</f>
        <v>0</v>
      </c>
      <c r="K517" s="29">
        <f>SUMIFS(Cash_Flow_3[Amount],Cash_Flow_3[Bulan],H517,Cash_Flow_3[Type],"Out",Cash_Flow_3[Category],"Fix")</f>
        <v>0</v>
      </c>
      <c r="L517" s="29">
        <f>SUMIFS(Cash_Flow_3[Amount],Cash_Flow_3[Bulan],H517,Cash_Flow_3[Type],"Out",Cash_Flow_3[Category],"Bathroom")</f>
        <v>0</v>
      </c>
      <c r="M517" s="29">
        <f>SUMIFS(Cash_Flow_3[Amount],Cash_Flow_3[Bulan],H517,Cash_Flow_3[Type],"Out",Cash_Flow_3[Category],"Alfa")</f>
        <v>0</v>
      </c>
      <c r="N517" s="29">
        <f>SUMIFS(Cash_Flow_3[Amount],Cash_Flow_3[Bulan],H517,Cash_Flow_3[Type],"Out",Cash_Flow_3[Category],"Jajan")</f>
        <v>0</v>
      </c>
      <c r="O517" s="29">
        <f>SUMIFS(Cash_Flow_3[Amount],Cash_Flow_3[Bulan],H517,Cash_Flow_3[Type],"Out",Cash_Flow_3[Category],"Kitchen")</f>
        <v>0</v>
      </c>
      <c r="P517" s="29">
        <f>SUMIFS(Cash_Flow_3[Amount],Cash_Flow_3[Bulan],H517,Cash_Flow_3[Type],"Out",Cash_Flow_3[Category],"Loandry")</f>
        <v>0</v>
      </c>
      <c r="Q517" s="29">
        <f>SUMIFS(Cash_Flow_3[Amount],Cash_Flow_3[Bulan],H517,Cash_Flow_3[Type],"Out",Cash_Flow_3[Category],"Mio")</f>
        <v>0</v>
      </c>
      <c r="R517" s="29">
        <f>SUMIFS(Cash_Flow_3[Amount],Cash_Flow_3[Bulan],H517,Cash_Flow_3[Type],"Out",Cash_Flow_3[Category],"Sedekah")</f>
        <v>0</v>
      </c>
      <c r="S517" s="29">
        <f>SUMIFS(Cash_Flow_3[Amount],Cash_Flow_3[Bulan],H517,Cash_Flow_3[Type],"Out",Cash_Flow_3[Category],"Zela")</f>
        <v>0</v>
      </c>
      <c r="T517" s="29">
        <f>SUMIFS(Cash_Flow_3[Amount],Cash_Flow_3[Bulan],H517,Cash_Flow_3[Type],"Out",Cash_Flow_3[Category],"Iqbal")</f>
        <v>0</v>
      </c>
    </row>
    <row r="518" spans="1:20" ht="22.5" customHeight="1" x14ac:dyDescent="0.2">
      <c r="A518" s="23"/>
      <c r="B518" s="24"/>
      <c r="C518" s="25"/>
      <c r="D518" s="25"/>
      <c r="E518" s="25"/>
      <c r="F518" s="26"/>
      <c r="G518" s="27"/>
      <c r="H518" s="28" t="str">
        <f t="shared" si="0"/>
        <v/>
      </c>
      <c r="I518" s="29">
        <f>SUMIFS(Cash_Flow_3[Amount],Cash_Flow_3[Bulan],H518,Cash_Flow_3[Type],"In")</f>
        <v>0</v>
      </c>
      <c r="J518" s="29">
        <f>SUMIFS(Cash_Flow_3[Amount],Cash_Flow_3[Bulan],H518,Cash_Flow_3[Type],"Out")</f>
        <v>0</v>
      </c>
      <c r="K518" s="29">
        <f>SUMIFS(Cash_Flow_3[Amount],Cash_Flow_3[Bulan],H518,Cash_Flow_3[Type],"Out",Cash_Flow_3[Category],"Fix")</f>
        <v>0</v>
      </c>
      <c r="L518" s="29">
        <f>SUMIFS(Cash_Flow_3[Amount],Cash_Flow_3[Bulan],H518,Cash_Flow_3[Type],"Out",Cash_Flow_3[Category],"Bathroom")</f>
        <v>0</v>
      </c>
      <c r="M518" s="29">
        <f>SUMIFS(Cash_Flow_3[Amount],Cash_Flow_3[Bulan],H518,Cash_Flow_3[Type],"Out",Cash_Flow_3[Category],"Alfa")</f>
        <v>0</v>
      </c>
      <c r="N518" s="29">
        <f>SUMIFS(Cash_Flow_3[Amount],Cash_Flow_3[Bulan],H518,Cash_Flow_3[Type],"Out",Cash_Flow_3[Category],"Jajan")</f>
        <v>0</v>
      </c>
      <c r="O518" s="29">
        <f>SUMIFS(Cash_Flow_3[Amount],Cash_Flow_3[Bulan],H518,Cash_Flow_3[Type],"Out",Cash_Flow_3[Category],"Kitchen")</f>
        <v>0</v>
      </c>
      <c r="P518" s="29">
        <f>SUMIFS(Cash_Flow_3[Amount],Cash_Flow_3[Bulan],H518,Cash_Flow_3[Type],"Out",Cash_Flow_3[Category],"Loandry")</f>
        <v>0</v>
      </c>
      <c r="Q518" s="29">
        <f>SUMIFS(Cash_Flow_3[Amount],Cash_Flow_3[Bulan],H518,Cash_Flow_3[Type],"Out",Cash_Flow_3[Category],"Mio")</f>
        <v>0</v>
      </c>
      <c r="R518" s="29">
        <f>SUMIFS(Cash_Flow_3[Amount],Cash_Flow_3[Bulan],H518,Cash_Flow_3[Type],"Out",Cash_Flow_3[Category],"Sedekah")</f>
        <v>0</v>
      </c>
      <c r="S518" s="29">
        <f>SUMIFS(Cash_Flow_3[Amount],Cash_Flow_3[Bulan],H518,Cash_Flow_3[Type],"Out",Cash_Flow_3[Category],"Zela")</f>
        <v>0</v>
      </c>
      <c r="T518" s="29">
        <f>SUMIFS(Cash_Flow_3[Amount],Cash_Flow_3[Bulan],H518,Cash_Flow_3[Type],"Out",Cash_Flow_3[Category],"Iqbal")</f>
        <v>0</v>
      </c>
    </row>
    <row r="519" spans="1:20" ht="22.5" customHeight="1" x14ac:dyDescent="0.2">
      <c r="A519" s="23"/>
      <c r="B519" s="24"/>
      <c r="C519" s="25"/>
      <c r="D519" s="25"/>
      <c r="E519" s="25"/>
      <c r="F519" s="26"/>
      <c r="G519" s="27"/>
      <c r="H519" s="28" t="str">
        <f t="shared" si="0"/>
        <v/>
      </c>
      <c r="I519" s="29">
        <f>SUMIFS(Cash_Flow_3[Amount],Cash_Flow_3[Bulan],H519,Cash_Flow_3[Type],"In")</f>
        <v>0</v>
      </c>
      <c r="J519" s="29">
        <f>SUMIFS(Cash_Flow_3[Amount],Cash_Flow_3[Bulan],H519,Cash_Flow_3[Type],"Out")</f>
        <v>0</v>
      </c>
      <c r="K519" s="29">
        <f>SUMIFS(Cash_Flow_3[Amount],Cash_Flow_3[Bulan],H519,Cash_Flow_3[Type],"Out",Cash_Flow_3[Category],"Fix")</f>
        <v>0</v>
      </c>
      <c r="L519" s="29">
        <f>SUMIFS(Cash_Flow_3[Amount],Cash_Flow_3[Bulan],H519,Cash_Flow_3[Type],"Out",Cash_Flow_3[Category],"Bathroom")</f>
        <v>0</v>
      </c>
      <c r="M519" s="29">
        <f>SUMIFS(Cash_Flow_3[Amount],Cash_Flow_3[Bulan],H519,Cash_Flow_3[Type],"Out",Cash_Flow_3[Category],"Alfa")</f>
        <v>0</v>
      </c>
      <c r="N519" s="29">
        <f>SUMIFS(Cash_Flow_3[Amount],Cash_Flow_3[Bulan],H519,Cash_Flow_3[Type],"Out",Cash_Flow_3[Category],"Jajan")</f>
        <v>0</v>
      </c>
      <c r="O519" s="29">
        <f>SUMIFS(Cash_Flow_3[Amount],Cash_Flow_3[Bulan],H519,Cash_Flow_3[Type],"Out",Cash_Flow_3[Category],"Kitchen")</f>
        <v>0</v>
      </c>
      <c r="P519" s="29">
        <f>SUMIFS(Cash_Flow_3[Amount],Cash_Flow_3[Bulan],H519,Cash_Flow_3[Type],"Out",Cash_Flow_3[Category],"Loandry")</f>
        <v>0</v>
      </c>
      <c r="Q519" s="29">
        <f>SUMIFS(Cash_Flow_3[Amount],Cash_Flow_3[Bulan],H519,Cash_Flow_3[Type],"Out",Cash_Flow_3[Category],"Mio")</f>
        <v>0</v>
      </c>
      <c r="R519" s="29">
        <f>SUMIFS(Cash_Flow_3[Amount],Cash_Flow_3[Bulan],H519,Cash_Flow_3[Type],"Out",Cash_Flow_3[Category],"Sedekah")</f>
        <v>0</v>
      </c>
      <c r="S519" s="29">
        <f>SUMIFS(Cash_Flow_3[Amount],Cash_Flow_3[Bulan],H519,Cash_Flow_3[Type],"Out",Cash_Flow_3[Category],"Zela")</f>
        <v>0</v>
      </c>
      <c r="T519" s="29">
        <f>SUMIFS(Cash_Flow_3[Amount],Cash_Flow_3[Bulan],H519,Cash_Flow_3[Type],"Out",Cash_Flow_3[Category],"Iqbal")</f>
        <v>0</v>
      </c>
    </row>
    <row r="520" spans="1:20" ht="22.5" customHeight="1" x14ac:dyDescent="0.2">
      <c r="A520" s="23"/>
      <c r="B520" s="24"/>
      <c r="C520" s="25"/>
      <c r="D520" s="25"/>
      <c r="E520" s="25"/>
      <c r="F520" s="26"/>
      <c r="G520" s="27"/>
      <c r="H520" s="28" t="str">
        <f t="shared" si="0"/>
        <v/>
      </c>
      <c r="I520" s="29">
        <f>SUMIFS(Cash_Flow_3[Amount],Cash_Flow_3[Bulan],H520,Cash_Flow_3[Type],"In")</f>
        <v>0</v>
      </c>
      <c r="J520" s="29">
        <f>SUMIFS(Cash_Flow_3[Amount],Cash_Flow_3[Bulan],H520,Cash_Flow_3[Type],"Out")</f>
        <v>0</v>
      </c>
      <c r="K520" s="29">
        <f>SUMIFS(Cash_Flow_3[Amount],Cash_Flow_3[Bulan],H520,Cash_Flow_3[Type],"Out",Cash_Flow_3[Category],"Fix")</f>
        <v>0</v>
      </c>
      <c r="L520" s="29">
        <f>SUMIFS(Cash_Flow_3[Amount],Cash_Flow_3[Bulan],H520,Cash_Flow_3[Type],"Out",Cash_Flow_3[Category],"Bathroom")</f>
        <v>0</v>
      </c>
      <c r="M520" s="29">
        <f>SUMIFS(Cash_Flow_3[Amount],Cash_Flow_3[Bulan],H520,Cash_Flow_3[Type],"Out",Cash_Flow_3[Category],"Alfa")</f>
        <v>0</v>
      </c>
      <c r="N520" s="29">
        <f>SUMIFS(Cash_Flow_3[Amount],Cash_Flow_3[Bulan],H520,Cash_Flow_3[Type],"Out",Cash_Flow_3[Category],"Jajan")</f>
        <v>0</v>
      </c>
      <c r="O520" s="29">
        <f>SUMIFS(Cash_Flow_3[Amount],Cash_Flow_3[Bulan],H520,Cash_Flow_3[Type],"Out",Cash_Flow_3[Category],"Kitchen")</f>
        <v>0</v>
      </c>
      <c r="P520" s="29">
        <f>SUMIFS(Cash_Flow_3[Amount],Cash_Flow_3[Bulan],H520,Cash_Flow_3[Type],"Out",Cash_Flow_3[Category],"Loandry")</f>
        <v>0</v>
      </c>
      <c r="Q520" s="29">
        <f>SUMIFS(Cash_Flow_3[Amount],Cash_Flow_3[Bulan],H520,Cash_Flow_3[Type],"Out",Cash_Flow_3[Category],"Mio")</f>
        <v>0</v>
      </c>
      <c r="R520" s="29">
        <f>SUMIFS(Cash_Flow_3[Amount],Cash_Flow_3[Bulan],H520,Cash_Flow_3[Type],"Out",Cash_Flow_3[Category],"Sedekah")</f>
        <v>0</v>
      </c>
      <c r="S520" s="29">
        <f>SUMIFS(Cash_Flow_3[Amount],Cash_Flow_3[Bulan],H520,Cash_Flow_3[Type],"Out",Cash_Flow_3[Category],"Zela")</f>
        <v>0</v>
      </c>
      <c r="T520" s="29">
        <f>SUMIFS(Cash_Flow_3[Amount],Cash_Flow_3[Bulan],H520,Cash_Flow_3[Type],"Out",Cash_Flow_3[Category],"Iqbal")</f>
        <v>0</v>
      </c>
    </row>
    <row r="521" spans="1:20" ht="22.5" customHeight="1" x14ac:dyDescent="0.2">
      <c r="A521" s="23"/>
      <c r="B521" s="24"/>
      <c r="C521" s="25"/>
      <c r="D521" s="25"/>
      <c r="E521" s="25"/>
      <c r="F521" s="26"/>
      <c r="G521" s="27"/>
      <c r="H521" s="28" t="str">
        <f t="shared" si="0"/>
        <v/>
      </c>
      <c r="I521" s="29">
        <f>SUMIFS(Cash_Flow_3[Amount],Cash_Flow_3[Bulan],H521,Cash_Flow_3[Type],"In")</f>
        <v>0</v>
      </c>
      <c r="J521" s="29">
        <f>SUMIFS(Cash_Flow_3[Amount],Cash_Flow_3[Bulan],H521,Cash_Flow_3[Type],"Out")</f>
        <v>0</v>
      </c>
      <c r="K521" s="29">
        <f>SUMIFS(Cash_Flow_3[Amount],Cash_Flow_3[Bulan],H521,Cash_Flow_3[Type],"Out",Cash_Flow_3[Category],"Fix")</f>
        <v>0</v>
      </c>
      <c r="L521" s="29">
        <f>SUMIFS(Cash_Flow_3[Amount],Cash_Flow_3[Bulan],H521,Cash_Flow_3[Type],"Out",Cash_Flow_3[Category],"Bathroom")</f>
        <v>0</v>
      </c>
      <c r="M521" s="29">
        <f>SUMIFS(Cash_Flow_3[Amount],Cash_Flow_3[Bulan],H521,Cash_Flow_3[Type],"Out",Cash_Flow_3[Category],"Alfa")</f>
        <v>0</v>
      </c>
      <c r="N521" s="29">
        <f>SUMIFS(Cash_Flow_3[Amount],Cash_Flow_3[Bulan],H521,Cash_Flow_3[Type],"Out",Cash_Flow_3[Category],"Jajan")</f>
        <v>0</v>
      </c>
      <c r="O521" s="29">
        <f>SUMIFS(Cash_Flow_3[Amount],Cash_Flow_3[Bulan],H521,Cash_Flow_3[Type],"Out",Cash_Flow_3[Category],"Kitchen")</f>
        <v>0</v>
      </c>
      <c r="P521" s="29">
        <f>SUMIFS(Cash_Flow_3[Amount],Cash_Flow_3[Bulan],H521,Cash_Flow_3[Type],"Out",Cash_Flow_3[Category],"Loandry")</f>
        <v>0</v>
      </c>
      <c r="Q521" s="29">
        <f>SUMIFS(Cash_Flow_3[Amount],Cash_Flow_3[Bulan],H521,Cash_Flow_3[Type],"Out",Cash_Flow_3[Category],"Mio")</f>
        <v>0</v>
      </c>
      <c r="R521" s="29">
        <f>SUMIFS(Cash_Flow_3[Amount],Cash_Flow_3[Bulan],H521,Cash_Flow_3[Type],"Out",Cash_Flow_3[Category],"Sedekah")</f>
        <v>0</v>
      </c>
      <c r="S521" s="29">
        <f>SUMIFS(Cash_Flow_3[Amount],Cash_Flow_3[Bulan],H521,Cash_Flow_3[Type],"Out",Cash_Flow_3[Category],"Zela")</f>
        <v>0</v>
      </c>
      <c r="T521" s="29">
        <f>SUMIFS(Cash_Flow_3[Amount],Cash_Flow_3[Bulan],H521,Cash_Flow_3[Type],"Out",Cash_Flow_3[Category],"Iqbal")</f>
        <v>0</v>
      </c>
    </row>
    <row r="522" spans="1:20" ht="22.5" customHeight="1" x14ac:dyDescent="0.2">
      <c r="A522" s="23"/>
      <c r="B522" s="24"/>
      <c r="C522" s="25"/>
      <c r="D522" s="25"/>
      <c r="E522" s="25"/>
      <c r="F522" s="26"/>
      <c r="G522" s="27"/>
      <c r="H522" s="28" t="str">
        <f t="shared" si="0"/>
        <v/>
      </c>
      <c r="I522" s="29">
        <f>SUMIFS(Cash_Flow_3[Amount],Cash_Flow_3[Bulan],H522,Cash_Flow_3[Type],"In")</f>
        <v>0</v>
      </c>
      <c r="J522" s="29">
        <f>SUMIFS(Cash_Flow_3[Amount],Cash_Flow_3[Bulan],H522,Cash_Flow_3[Type],"Out")</f>
        <v>0</v>
      </c>
      <c r="K522" s="29">
        <f>SUMIFS(Cash_Flow_3[Amount],Cash_Flow_3[Bulan],H522,Cash_Flow_3[Type],"Out",Cash_Flow_3[Category],"Fix")</f>
        <v>0</v>
      </c>
      <c r="L522" s="29">
        <f>SUMIFS(Cash_Flow_3[Amount],Cash_Flow_3[Bulan],H522,Cash_Flow_3[Type],"Out",Cash_Flow_3[Category],"Bathroom")</f>
        <v>0</v>
      </c>
      <c r="M522" s="29">
        <f>SUMIFS(Cash_Flow_3[Amount],Cash_Flow_3[Bulan],H522,Cash_Flow_3[Type],"Out",Cash_Flow_3[Category],"Alfa")</f>
        <v>0</v>
      </c>
      <c r="N522" s="29">
        <f>SUMIFS(Cash_Flow_3[Amount],Cash_Flow_3[Bulan],H522,Cash_Flow_3[Type],"Out",Cash_Flow_3[Category],"Jajan")</f>
        <v>0</v>
      </c>
      <c r="O522" s="29">
        <f>SUMIFS(Cash_Flow_3[Amount],Cash_Flow_3[Bulan],H522,Cash_Flow_3[Type],"Out",Cash_Flow_3[Category],"Kitchen")</f>
        <v>0</v>
      </c>
      <c r="P522" s="29">
        <f>SUMIFS(Cash_Flow_3[Amount],Cash_Flow_3[Bulan],H522,Cash_Flow_3[Type],"Out",Cash_Flow_3[Category],"Loandry")</f>
        <v>0</v>
      </c>
      <c r="Q522" s="29">
        <f>SUMIFS(Cash_Flow_3[Amount],Cash_Flow_3[Bulan],H522,Cash_Flow_3[Type],"Out",Cash_Flow_3[Category],"Mio")</f>
        <v>0</v>
      </c>
      <c r="R522" s="29">
        <f>SUMIFS(Cash_Flow_3[Amount],Cash_Flow_3[Bulan],H522,Cash_Flow_3[Type],"Out",Cash_Flow_3[Category],"Sedekah")</f>
        <v>0</v>
      </c>
      <c r="S522" s="29">
        <f>SUMIFS(Cash_Flow_3[Amount],Cash_Flow_3[Bulan],H522,Cash_Flow_3[Type],"Out",Cash_Flow_3[Category],"Zela")</f>
        <v>0</v>
      </c>
      <c r="T522" s="29">
        <f>SUMIFS(Cash_Flow_3[Amount],Cash_Flow_3[Bulan],H522,Cash_Flow_3[Type],"Out",Cash_Flow_3[Category],"Iqbal")</f>
        <v>0</v>
      </c>
    </row>
    <row r="523" spans="1:20" ht="22.5" customHeight="1" x14ac:dyDescent="0.2">
      <c r="A523" s="23"/>
      <c r="B523" s="24"/>
      <c r="C523" s="25"/>
      <c r="D523" s="25"/>
      <c r="E523" s="25"/>
      <c r="F523" s="26"/>
      <c r="G523" s="27"/>
      <c r="H523" s="28" t="str">
        <f t="shared" si="0"/>
        <v/>
      </c>
      <c r="I523" s="29">
        <f>SUMIFS(Cash_Flow_3[Amount],Cash_Flow_3[Bulan],H523,Cash_Flow_3[Type],"In")</f>
        <v>0</v>
      </c>
      <c r="J523" s="29">
        <f>SUMIFS(Cash_Flow_3[Amount],Cash_Flow_3[Bulan],H523,Cash_Flow_3[Type],"Out")</f>
        <v>0</v>
      </c>
      <c r="K523" s="29">
        <f>SUMIFS(Cash_Flow_3[Amount],Cash_Flow_3[Bulan],H523,Cash_Flow_3[Type],"Out",Cash_Flow_3[Category],"Fix")</f>
        <v>0</v>
      </c>
      <c r="L523" s="29">
        <f>SUMIFS(Cash_Flow_3[Amount],Cash_Flow_3[Bulan],H523,Cash_Flow_3[Type],"Out",Cash_Flow_3[Category],"Bathroom")</f>
        <v>0</v>
      </c>
      <c r="M523" s="29">
        <f>SUMIFS(Cash_Flow_3[Amount],Cash_Flow_3[Bulan],H523,Cash_Flow_3[Type],"Out",Cash_Flow_3[Category],"Alfa")</f>
        <v>0</v>
      </c>
      <c r="N523" s="29">
        <f>SUMIFS(Cash_Flow_3[Amount],Cash_Flow_3[Bulan],H523,Cash_Flow_3[Type],"Out",Cash_Flow_3[Category],"Jajan")</f>
        <v>0</v>
      </c>
      <c r="O523" s="29">
        <f>SUMIFS(Cash_Flow_3[Amount],Cash_Flow_3[Bulan],H523,Cash_Flow_3[Type],"Out",Cash_Flow_3[Category],"Kitchen")</f>
        <v>0</v>
      </c>
      <c r="P523" s="29">
        <f>SUMIFS(Cash_Flow_3[Amount],Cash_Flow_3[Bulan],H523,Cash_Flow_3[Type],"Out",Cash_Flow_3[Category],"Loandry")</f>
        <v>0</v>
      </c>
      <c r="Q523" s="29">
        <f>SUMIFS(Cash_Flow_3[Amount],Cash_Flow_3[Bulan],H523,Cash_Flow_3[Type],"Out",Cash_Flow_3[Category],"Mio")</f>
        <v>0</v>
      </c>
      <c r="R523" s="29">
        <f>SUMIFS(Cash_Flow_3[Amount],Cash_Flow_3[Bulan],H523,Cash_Flow_3[Type],"Out",Cash_Flow_3[Category],"Sedekah")</f>
        <v>0</v>
      </c>
      <c r="S523" s="29">
        <f>SUMIFS(Cash_Flow_3[Amount],Cash_Flow_3[Bulan],H523,Cash_Flow_3[Type],"Out",Cash_Flow_3[Category],"Zela")</f>
        <v>0</v>
      </c>
      <c r="T523" s="29">
        <f>SUMIFS(Cash_Flow_3[Amount],Cash_Flow_3[Bulan],H523,Cash_Flow_3[Type],"Out",Cash_Flow_3[Category],"Iqbal")</f>
        <v>0</v>
      </c>
    </row>
    <row r="524" spans="1:20" ht="22.5" customHeight="1" x14ac:dyDescent="0.2">
      <c r="A524" s="23"/>
      <c r="B524" s="24"/>
      <c r="C524" s="25"/>
      <c r="D524" s="25"/>
      <c r="E524" s="25"/>
      <c r="F524" s="26"/>
      <c r="G524" s="27"/>
      <c r="H524" s="28" t="str">
        <f t="shared" si="0"/>
        <v/>
      </c>
      <c r="I524" s="29">
        <f>SUMIFS(Cash_Flow_3[Amount],Cash_Flow_3[Bulan],H524,Cash_Flow_3[Type],"In")</f>
        <v>0</v>
      </c>
      <c r="J524" s="29">
        <f>SUMIFS(Cash_Flow_3[Amount],Cash_Flow_3[Bulan],H524,Cash_Flow_3[Type],"Out")</f>
        <v>0</v>
      </c>
      <c r="K524" s="29">
        <f>SUMIFS(Cash_Flow_3[Amount],Cash_Flow_3[Bulan],H524,Cash_Flow_3[Type],"Out",Cash_Flow_3[Category],"Fix")</f>
        <v>0</v>
      </c>
      <c r="L524" s="29">
        <f>SUMIFS(Cash_Flow_3[Amount],Cash_Flow_3[Bulan],H524,Cash_Flow_3[Type],"Out",Cash_Flow_3[Category],"Bathroom")</f>
        <v>0</v>
      </c>
      <c r="M524" s="29">
        <f>SUMIFS(Cash_Flow_3[Amount],Cash_Flow_3[Bulan],H524,Cash_Flow_3[Type],"Out",Cash_Flow_3[Category],"Alfa")</f>
        <v>0</v>
      </c>
      <c r="N524" s="29">
        <f>SUMIFS(Cash_Flow_3[Amount],Cash_Flow_3[Bulan],H524,Cash_Flow_3[Type],"Out",Cash_Flow_3[Category],"Jajan")</f>
        <v>0</v>
      </c>
      <c r="O524" s="29">
        <f>SUMIFS(Cash_Flow_3[Amount],Cash_Flow_3[Bulan],H524,Cash_Flow_3[Type],"Out",Cash_Flow_3[Category],"Kitchen")</f>
        <v>0</v>
      </c>
      <c r="P524" s="29">
        <f>SUMIFS(Cash_Flow_3[Amount],Cash_Flow_3[Bulan],H524,Cash_Flow_3[Type],"Out",Cash_Flow_3[Category],"Loandry")</f>
        <v>0</v>
      </c>
      <c r="Q524" s="29">
        <f>SUMIFS(Cash_Flow_3[Amount],Cash_Flow_3[Bulan],H524,Cash_Flow_3[Type],"Out",Cash_Flow_3[Category],"Mio")</f>
        <v>0</v>
      </c>
      <c r="R524" s="29">
        <f>SUMIFS(Cash_Flow_3[Amount],Cash_Flow_3[Bulan],H524,Cash_Flow_3[Type],"Out",Cash_Flow_3[Category],"Sedekah")</f>
        <v>0</v>
      </c>
      <c r="S524" s="29">
        <f>SUMIFS(Cash_Flow_3[Amount],Cash_Flow_3[Bulan],H524,Cash_Flow_3[Type],"Out",Cash_Flow_3[Category],"Zela")</f>
        <v>0</v>
      </c>
      <c r="T524" s="29">
        <f>SUMIFS(Cash_Flow_3[Amount],Cash_Flow_3[Bulan],H524,Cash_Flow_3[Type],"Out",Cash_Flow_3[Category],"Iqbal")</f>
        <v>0</v>
      </c>
    </row>
    <row r="525" spans="1:20" ht="22.5" customHeight="1" x14ac:dyDescent="0.2">
      <c r="A525" s="23"/>
      <c r="B525" s="24"/>
      <c r="C525" s="25"/>
      <c r="D525" s="25"/>
      <c r="E525" s="25"/>
      <c r="F525" s="26"/>
      <c r="G525" s="27"/>
      <c r="H525" s="28" t="str">
        <f t="shared" si="0"/>
        <v/>
      </c>
      <c r="I525" s="29">
        <f>SUMIFS(Cash_Flow_3[Amount],Cash_Flow_3[Bulan],H525,Cash_Flow_3[Type],"In")</f>
        <v>0</v>
      </c>
      <c r="J525" s="29">
        <f>SUMIFS(Cash_Flow_3[Amount],Cash_Flow_3[Bulan],H525,Cash_Flow_3[Type],"Out")</f>
        <v>0</v>
      </c>
      <c r="K525" s="29">
        <f>SUMIFS(Cash_Flow_3[Amount],Cash_Flow_3[Bulan],H525,Cash_Flow_3[Type],"Out",Cash_Flow_3[Category],"Fix")</f>
        <v>0</v>
      </c>
      <c r="L525" s="29">
        <f>SUMIFS(Cash_Flow_3[Amount],Cash_Flow_3[Bulan],H525,Cash_Flow_3[Type],"Out",Cash_Flow_3[Category],"Bathroom")</f>
        <v>0</v>
      </c>
      <c r="M525" s="29">
        <f>SUMIFS(Cash_Flow_3[Amount],Cash_Flow_3[Bulan],H525,Cash_Flow_3[Type],"Out",Cash_Flow_3[Category],"Alfa")</f>
        <v>0</v>
      </c>
      <c r="N525" s="29">
        <f>SUMIFS(Cash_Flow_3[Amount],Cash_Flow_3[Bulan],H525,Cash_Flow_3[Type],"Out",Cash_Flow_3[Category],"Jajan")</f>
        <v>0</v>
      </c>
      <c r="O525" s="29">
        <f>SUMIFS(Cash_Flow_3[Amount],Cash_Flow_3[Bulan],H525,Cash_Flow_3[Type],"Out",Cash_Flow_3[Category],"Kitchen")</f>
        <v>0</v>
      </c>
      <c r="P525" s="29">
        <f>SUMIFS(Cash_Flow_3[Amount],Cash_Flow_3[Bulan],H525,Cash_Flow_3[Type],"Out",Cash_Flow_3[Category],"Loandry")</f>
        <v>0</v>
      </c>
      <c r="Q525" s="29">
        <f>SUMIFS(Cash_Flow_3[Amount],Cash_Flow_3[Bulan],H525,Cash_Flow_3[Type],"Out",Cash_Flow_3[Category],"Mio")</f>
        <v>0</v>
      </c>
      <c r="R525" s="29">
        <f>SUMIFS(Cash_Flow_3[Amount],Cash_Flow_3[Bulan],H525,Cash_Flow_3[Type],"Out",Cash_Flow_3[Category],"Sedekah")</f>
        <v>0</v>
      </c>
      <c r="S525" s="29">
        <f>SUMIFS(Cash_Flow_3[Amount],Cash_Flow_3[Bulan],H525,Cash_Flow_3[Type],"Out",Cash_Flow_3[Category],"Zela")</f>
        <v>0</v>
      </c>
      <c r="T525" s="29">
        <f>SUMIFS(Cash_Flow_3[Amount],Cash_Flow_3[Bulan],H525,Cash_Flow_3[Type],"Out",Cash_Flow_3[Category],"Iqbal")</f>
        <v>0</v>
      </c>
    </row>
    <row r="526" spans="1:20" ht="22.5" customHeight="1" x14ac:dyDescent="0.2">
      <c r="A526" s="23"/>
      <c r="B526" s="24"/>
      <c r="C526" s="25"/>
      <c r="D526" s="25"/>
      <c r="E526" s="25"/>
      <c r="F526" s="26"/>
      <c r="G526" s="27"/>
      <c r="H526" s="28" t="str">
        <f t="shared" si="0"/>
        <v/>
      </c>
      <c r="I526" s="29">
        <f>SUMIFS(Cash_Flow_3[Amount],Cash_Flow_3[Bulan],H526,Cash_Flow_3[Type],"In")</f>
        <v>0</v>
      </c>
      <c r="J526" s="29">
        <f>SUMIFS(Cash_Flow_3[Amount],Cash_Flow_3[Bulan],H526,Cash_Flow_3[Type],"Out")</f>
        <v>0</v>
      </c>
      <c r="K526" s="29">
        <f>SUMIFS(Cash_Flow_3[Amount],Cash_Flow_3[Bulan],H526,Cash_Flow_3[Type],"Out",Cash_Flow_3[Category],"Fix")</f>
        <v>0</v>
      </c>
      <c r="L526" s="29">
        <f>SUMIFS(Cash_Flow_3[Amount],Cash_Flow_3[Bulan],H526,Cash_Flow_3[Type],"Out",Cash_Flow_3[Category],"Bathroom")</f>
        <v>0</v>
      </c>
      <c r="M526" s="29">
        <f>SUMIFS(Cash_Flow_3[Amount],Cash_Flow_3[Bulan],H526,Cash_Flow_3[Type],"Out",Cash_Flow_3[Category],"Alfa")</f>
        <v>0</v>
      </c>
      <c r="N526" s="29">
        <f>SUMIFS(Cash_Flow_3[Amount],Cash_Flow_3[Bulan],H526,Cash_Flow_3[Type],"Out",Cash_Flow_3[Category],"Jajan")</f>
        <v>0</v>
      </c>
      <c r="O526" s="29">
        <f>SUMIFS(Cash_Flow_3[Amount],Cash_Flow_3[Bulan],H526,Cash_Flow_3[Type],"Out",Cash_Flow_3[Category],"Kitchen")</f>
        <v>0</v>
      </c>
      <c r="P526" s="29">
        <f>SUMIFS(Cash_Flow_3[Amount],Cash_Flow_3[Bulan],H526,Cash_Flow_3[Type],"Out",Cash_Flow_3[Category],"Loandry")</f>
        <v>0</v>
      </c>
      <c r="Q526" s="29">
        <f>SUMIFS(Cash_Flow_3[Amount],Cash_Flow_3[Bulan],H526,Cash_Flow_3[Type],"Out",Cash_Flow_3[Category],"Mio")</f>
        <v>0</v>
      </c>
      <c r="R526" s="29">
        <f>SUMIFS(Cash_Flow_3[Amount],Cash_Flow_3[Bulan],H526,Cash_Flow_3[Type],"Out",Cash_Flow_3[Category],"Sedekah")</f>
        <v>0</v>
      </c>
      <c r="S526" s="29">
        <f>SUMIFS(Cash_Flow_3[Amount],Cash_Flow_3[Bulan],H526,Cash_Flow_3[Type],"Out",Cash_Flow_3[Category],"Zela")</f>
        <v>0</v>
      </c>
      <c r="T526" s="29">
        <f>SUMIFS(Cash_Flow_3[Amount],Cash_Flow_3[Bulan],H526,Cash_Flow_3[Type],"Out",Cash_Flow_3[Category],"Iqbal")</f>
        <v>0</v>
      </c>
    </row>
    <row r="527" spans="1:20" ht="22.5" customHeight="1" x14ac:dyDescent="0.2">
      <c r="A527" s="23"/>
      <c r="B527" s="24"/>
      <c r="C527" s="25"/>
      <c r="D527" s="25"/>
      <c r="E527" s="25"/>
      <c r="F527" s="26"/>
      <c r="G527" s="27"/>
      <c r="H527" s="28" t="str">
        <f t="shared" si="0"/>
        <v/>
      </c>
      <c r="I527" s="29">
        <f>SUMIFS(Cash_Flow_3[Amount],Cash_Flow_3[Bulan],H527,Cash_Flow_3[Type],"In")</f>
        <v>0</v>
      </c>
      <c r="J527" s="29">
        <f>SUMIFS(Cash_Flow_3[Amount],Cash_Flow_3[Bulan],H527,Cash_Flow_3[Type],"Out")</f>
        <v>0</v>
      </c>
      <c r="K527" s="29">
        <f>SUMIFS(Cash_Flow_3[Amount],Cash_Flow_3[Bulan],H527,Cash_Flow_3[Type],"Out",Cash_Flow_3[Category],"Fix")</f>
        <v>0</v>
      </c>
      <c r="L527" s="29">
        <f>SUMIFS(Cash_Flow_3[Amount],Cash_Flow_3[Bulan],H527,Cash_Flow_3[Type],"Out",Cash_Flow_3[Category],"Bathroom")</f>
        <v>0</v>
      </c>
      <c r="M527" s="29">
        <f>SUMIFS(Cash_Flow_3[Amount],Cash_Flow_3[Bulan],H527,Cash_Flow_3[Type],"Out",Cash_Flow_3[Category],"Alfa")</f>
        <v>0</v>
      </c>
      <c r="N527" s="29">
        <f>SUMIFS(Cash_Flow_3[Amount],Cash_Flow_3[Bulan],H527,Cash_Flow_3[Type],"Out",Cash_Flow_3[Category],"Jajan")</f>
        <v>0</v>
      </c>
      <c r="O527" s="29">
        <f>SUMIFS(Cash_Flow_3[Amount],Cash_Flow_3[Bulan],H527,Cash_Flow_3[Type],"Out",Cash_Flow_3[Category],"Kitchen")</f>
        <v>0</v>
      </c>
      <c r="P527" s="29">
        <f>SUMIFS(Cash_Flow_3[Amount],Cash_Flow_3[Bulan],H527,Cash_Flow_3[Type],"Out",Cash_Flow_3[Category],"Loandry")</f>
        <v>0</v>
      </c>
      <c r="Q527" s="29">
        <f>SUMIFS(Cash_Flow_3[Amount],Cash_Flow_3[Bulan],H527,Cash_Flow_3[Type],"Out",Cash_Flow_3[Category],"Mio")</f>
        <v>0</v>
      </c>
      <c r="R527" s="29">
        <f>SUMIFS(Cash_Flow_3[Amount],Cash_Flow_3[Bulan],H527,Cash_Flow_3[Type],"Out",Cash_Flow_3[Category],"Sedekah")</f>
        <v>0</v>
      </c>
      <c r="S527" s="29">
        <f>SUMIFS(Cash_Flow_3[Amount],Cash_Flow_3[Bulan],H527,Cash_Flow_3[Type],"Out",Cash_Flow_3[Category],"Zela")</f>
        <v>0</v>
      </c>
      <c r="T527" s="29">
        <f>SUMIFS(Cash_Flow_3[Amount],Cash_Flow_3[Bulan],H527,Cash_Flow_3[Type],"Out",Cash_Flow_3[Category],"Iqbal")</f>
        <v>0</v>
      </c>
    </row>
    <row r="528" spans="1:20" ht="22.5" customHeight="1" x14ac:dyDescent="0.2">
      <c r="A528" s="23"/>
      <c r="B528" s="24"/>
      <c r="C528" s="25"/>
      <c r="D528" s="25"/>
      <c r="E528" s="25"/>
      <c r="F528" s="26"/>
      <c r="G528" s="27"/>
      <c r="H528" s="28" t="str">
        <f t="shared" si="0"/>
        <v/>
      </c>
      <c r="I528" s="29">
        <f>SUMIFS(Cash_Flow_3[Amount],Cash_Flow_3[Bulan],H528,Cash_Flow_3[Type],"In")</f>
        <v>0</v>
      </c>
      <c r="J528" s="29">
        <f>SUMIFS(Cash_Flow_3[Amount],Cash_Flow_3[Bulan],H528,Cash_Flow_3[Type],"Out")</f>
        <v>0</v>
      </c>
      <c r="K528" s="29">
        <f>SUMIFS(Cash_Flow_3[Amount],Cash_Flow_3[Bulan],H528,Cash_Flow_3[Type],"Out",Cash_Flow_3[Category],"Fix")</f>
        <v>0</v>
      </c>
      <c r="L528" s="29">
        <f>SUMIFS(Cash_Flow_3[Amount],Cash_Flow_3[Bulan],H528,Cash_Flow_3[Type],"Out",Cash_Flow_3[Category],"Bathroom")</f>
        <v>0</v>
      </c>
      <c r="M528" s="29">
        <f>SUMIFS(Cash_Flow_3[Amount],Cash_Flow_3[Bulan],H528,Cash_Flow_3[Type],"Out",Cash_Flow_3[Category],"Alfa")</f>
        <v>0</v>
      </c>
      <c r="N528" s="29">
        <f>SUMIFS(Cash_Flow_3[Amount],Cash_Flow_3[Bulan],H528,Cash_Flow_3[Type],"Out",Cash_Flow_3[Category],"Jajan")</f>
        <v>0</v>
      </c>
      <c r="O528" s="29">
        <f>SUMIFS(Cash_Flow_3[Amount],Cash_Flow_3[Bulan],H528,Cash_Flow_3[Type],"Out",Cash_Flow_3[Category],"Kitchen")</f>
        <v>0</v>
      </c>
      <c r="P528" s="29">
        <f>SUMIFS(Cash_Flow_3[Amount],Cash_Flow_3[Bulan],H528,Cash_Flow_3[Type],"Out",Cash_Flow_3[Category],"Loandry")</f>
        <v>0</v>
      </c>
      <c r="Q528" s="29">
        <f>SUMIFS(Cash_Flow_3[Amount],Cash_Flow_3[Bulan],H528,Cash_Flow_3[Type],"Out",Cash_Flow_3[Category],"Mio")</f>
        <v>0</v>
      </c>
      <c r="R528" s="29">
        <f>SUMIFS(Cash_Flow_3[Amount],Cash_Flow_3[Bulan],H528,Cash_Flow_3[Type],"Out",Cash_Flow_3[Category],"Sedekah")</f>
        <v>0</v>
      </c>
      <c r="S528" s="29">
        <f>SUMIFS(Cash_Flow_3[Amount],Cash_Flow_3[Bulan],H528,Cash_Flow_3[Type],"Out",Cash_Flow_3[Category],"Zela")</f>
        <v>0</v>
      </c>
      <c r="T528" s="29">
        <f>SUMIFS(Cash_Flow_3[Amount],Cash_Flow_3[Bulan],H528,Cash_Flow_3[Type],"Out",Cash_Flow_3[Category],"Iqbal")</f>
        <v>0</v>
      </c>
    </row>
    <row r="529" spans="1:20" ht="22.5" customHeight="1" x14ac:dyDescent="0.2">
      <c r="A529" s="23"/>
      <c r="B529" s="24"/>
      <c r="C529" s="25"/>
      <c r="D529" s="25"/>
      <c r="E529" s="25"/>
      <c r="F529" s="26"/>
      <c r="G529" s="27"/>
      <c r="H529" s="28" t="str">
        <f t="shared" si="0"/>
        <v/>
      </c>
      <c r="I529" s="29">
        <f>SUMIFS(Cash_Flow_3[Amount],Cash_Flow_3[Bulan],H529,Cash_Flow_3[Type],"In")</f>
        <v>0</v>
      </c>
      <c r="J529" s="29">
        <f>SUMIFS(Cash_Flow_3[Amount],Cash_Flow_3[Bulan],H529,Cash_Flow_3[Type],"Out")</f>
        <v>0</v>
      </c>
      <c r="K529" s="29">
        <f>SUMIFS(Cash_Flow_3[Amount],Cash_Flow_3[Bulan],H529,Cash_Flow_3[Type],"Out",Cash_Flow_3[Category],"Fix")</f>
        <v>0</v>
      </c>
      <c r="L529" s="29">
        <f>SUMIFS(Cash_Flow_3[Amount],Cash_Flow_3[Bulan],H529,Cash_Flow_3[Type],"Out",Cash_Flow_3[Category],"Bathroom")</f>
        <v>0</v>
      </c>
      <c r="M529" s="29">
        <f>SUMIFS(Cash_Flow_3[Amount],Cash_Flow_3[Bulan],H529,Cash_Flow_3[Type],"Out",Cash_Flow_3[Category],"Alfa")</f>
        <v>0</v>
      </c>
      <c r="N529" s="29">
        <f>SUMIFS(Cash_Flow_3[Amount],Cash_Flow_3[Bulan],H529,Cash_Flow_3[Type],"Out",Cash_Flow_3[Category],"Jajan")</f>
        <v>0</v>
      </c>
      <c r="O529" s="29">
        <f>SUMIFS(Cash_Flow_3[Amount],Cash_Flow_3[Bulan],H529,Cash_Flow_3[Type],"Out",Cash_Flow_3[Category],"Kitchen")</f>
        <v>0</v>
      </c>
      <c r="P529" s="29">
        <f>SUMIFS(Cash_Flow_3[Amount],Cash_Flow_3[Bulan],H529,Cash_Flow_3[Type],"Out",Cash_Flow_3[Category],"Loandry")</f>
        <v>0</v>
      </c>
      <c r="Q529" s="29">
        <f>SUMIFS(Cash_Flow_3[Amount],Cash_Flow_3[Bulan],H529,Cash_Flow_3[Type],"Out",Cash_Flow_3[Category],"Mio")</f>
        <v>0</v>
      </c>
      <c r="R529" s="29">
        <f>SUMIFS(Cash_Flow_3[Amount],Cash_Flow_3[Bulan],H529,Cash_Flow_3[Type],"Out",Cash_Flow_3[Category],"Sedekah")</f>
        <v>0</v>
      </c>
      <c r="S529" s="29">
        <f>SUMIFS(Cash_Flow_3[Amount],Cash_Flow_3[Bulan],H529,Cash_Flow_3[Type],"Out",Cash_Flow_3[Category],"Zela")</f>
        <v>0</v>
      </c>
      <c r="T529" s="29">
        <f>SUMIFS(Cash_Flow_3[Amount],Cash_Flow_3[Bulan],H529,Cash_Flow_3[Type],"Out",Cash_Flow_3[Category],"Iqbal")</f>
        <v>0</v>
      </c>
    </row>
    <row r="530" spans="1:20" ht="22.5" customHeight="1" x14ac:dyDescent="0.2">
      <c r="A530" s="23"/>
      <c r="B530" s="24"/>
      <c r="C530" s="25"/>
      <c r="D530" s="25"/>
      <c r="E530" s="25"/>
      <c r="F530" s="26"/>
      <c r="G530" s="27"/>
      <c r="H530" s="28" t="str">
        <f t="shared" si="0"/>
        <v/>
      </c>
      <c r="I530" s="29">
        <f>SUMIFS(Cash_Flow_3[Amount],Cash_Flow_3[Bulan],H530,Cash_Flow_3[Type],"In")</f>
        <v>0</v>
      </c>
      <c r="J530" s="29">
        <f>SUMIFS(Cash_Flow_3[Amount],Cash_Flow_3[Bulan],H530,Cash_Flow_3[Type],"Out")</f>
        <v>0</v>
      </c>
      <c r="K530" s="29">
        <f>SUMIFS(Cash_Flow_3[Amount],Cash_Flow_3[Bulan],H530,Cash_Flow_3[Type],"Out",Cash_Flow_3[Category],"Fix")</f>
        <v>0</v>
      </c>
      <c r="L530" s="29">
        <f>SUMIFS(Cash_Flow_3[Amount],Cash_Flow_3[Bulan],H530,Cash_Flow_3[Type],"Out",Cash_Flow_3[Category],"Bathroom")</f>
        <v>0</v>
      </c>
      <c r="M530" s="29">
        <f>SUMIFS(Cash_Flow_3[Amount],Cash_Flow_3[Bulan],H530,Cash_Flow_3[Type],"Out",Cash_Flow_3[Category],"Alfa")</f>
        <v>0</v>
      </c>
      <c r="N530" s="29">
        <f>SUMIFS(Cash_Flow_3[Amount],Cash_Flow_3[Bulan],H530,Cash_Flow_3[Type],"Out",Cash_Flow_3[Category],"Jajan")</f>
        <v>0</v>
      </c>
      <c r="O530" s="29">
        <f>SUMIFS(Cash_Flow_3[Amount],Cash_Flow_3[Bulan],H530,Cash_Flow_3[Type],"Out",Cash_Flow_3[Category],"Kitchen")</f>
        <v>0</v>
      </c>
      <c r="P530" s="29">
        <f>SUMIFS(Cash_Flow_3[Amount],Cash_Flow_3[Bulan],H530,Cash_Flow_3[Type],"Out",Cash_Flow_3[Category],"Loandry")</f>
        <v>0</v>
      </c>
      <c r="Q530" s="29">
        <f>SUMIFS(Cash_Flow_3[Amount],Cash_Flow_3[Bulan],H530,Cash_Flow_3[Type],"Out",Cash_Flow_3[Category],"Mio")</f>
        <v>0</v>
      </c>
      <c r="R530" s="29">
        <f>SUMIFS(Cash_Flow_3[Amount],Cash_Flow_3[Bulan],H530,Cash_Flow_3[Type],"Out",Cash_Flow_3[Category],"Sedekah")</f>
        <v>0</v>
      </c>
      <c r="S530" s="29">
        <f>SUMIFS(Cash_Flow_3[Amount],Cash_Flow_3[Bulan],H530,Cash_Flow_3[Type],"Out",Cash_Flow_3[Category],"Zela")</f>
        <v>0</v>
      </c>
      <c r="T530" s="29">
        <f>SUMIFS(Cash_Flow_3[Amount],Cash_Flow_3[Bulan],H530,Cash_Flow_3[Type],"Out",Cash_Flow_3[Category],"Iqbal")</f>
        <v>0</v>
      </c>
    </row>
    <row r="531" spans="1:20" ht="22.5" customHeight="1" x14ac:dyDescent="0.2">
      <c r="A531" s="23"/>
      <c r="B531" s="24"/>
      <c r="C531" s="25"/>
      <c r="D531" s="25"/>
      <c r="E531" s="25"/>
      <c r="F531" s="26"/>
      <c r="G531" s="27"/>
      <c r="H531" s="28" t="str">
        <f t="shared" si="0"/>
        <v/>
      </c>
      <c r="I531" s="29">
        <f>SUMIFS(Cash_Flow_3[Amount],Cash_Flow_3[Bulan],H531,Cash_Flow_3[Type],"In")</f>
        <v>0</v>
      </c>
      <c r="J531" s="29">
        <f>SUMIFS(Cash_Flow_3[Amount],Cash_Flow_3[Bulan],H531,Cash_Flow_3[Type],"Out")</f>
        <v>0</v>
      </c>
      <c r="K531" s="29">
        <f>SUMIFS(Cash_Flow_3[Amount],Cash_Flow_3[Bulan],H531,Cash_Flow_3[Type],"Out",Cash_Flow_3[Category],"Fix")</f>
        <v>0</v>
      </c>
      <c r="L531" s="29">
        <f>SUMIFS(Cash_Flow_3[Amount],Cash_Flow_3[Bulan],H531,Cash_Flow_3[Type],"Out",Cash_Flow_3[Category],"Bathroom")</f>
        <v>0</v>
      </c>
      <c r="M531" s="29">
        <f>SUMIFS(Cash_Flow_3[Amount],Cash_Flow_3[Bulan],H531,Cash_Flow_3[Type],"Out",Cash_Flow_3[Category],"Alfa")</f>
        <v>0</v>
      </c>
      <c r="N531" s="29">
        <f>SUMIFS(Cash_Flow_3[Amount],Cash_Flow_3[Bulan],H531,Cash_Flow_3[Type],"Out",Cash_Flow_3[Category],"Jajan")</f>
        <v>0</v>
      </c>
      <c r="O531" s="29">
        <f>SUMIFS(Cash_Flow_3[Amount],Cash_Flow_3[Bulan],H531,Cash_Flow_3[Type],"Out",Cash_Flow_3[Category],"Kitchen")</f>
        <v>0</v>
      </c>
      <c r="P531" s="29">
        <f>SUMIFS(Cash_Flow_3[Amount],Cash_Flow_3[Bulan],H531,Cash_Flow_3[Type],"Out",Cash_Flow_3[Category],"Loandry")</f>
        <v>0</v>
      </c>
      <c r="Q531" s="29">
        <f>SUMIFS(Cash_Flow_3[Amount],Cash_Flow_3[Bulan],H531,Cash_Flow_3[Type],"Out",Cash_Flow_3[Category],"Mio")</f>
        <v>0</v>
      </c>
      <c r="R531" s="29">
        <f>SUMIFS(Cash_Flow_3[Amount],Cash_Flow_3[Bulan],H531,Cash_Flow_3[Type],"Out",Cash_Flow_3[Category],"Sedekah")</f>
        <v>0</v>
      </c>
      <c r="S531" s="29">
        <f>SUMIFS(Cash_Flow_3[Amount],Cash_Flow_3[Bulan],H531,Cash_Flow_3[Type],"Out",Cash_Flow_3[Category],"Zela")</f>
        <v>0</v>
      </c>
      <c r="T531" s="29">
        <f>SUMIFS(Cash_Flow_3[Amount],Cash_Flow_3[Bulan],H531,Cash_Flow_3[Type],"Out",Cash_Flow_3[Category],"Iqbal")</f>
        <v>0</v>
      </c>
    </row>
    <row r="532" spans="1:20" ht="22.5" customHeight="1" x14ac:dyDescent="0.2">
      <c r="A532" s="23"/>
      <c r="B532" s="24"/>
      <c r="C532" s="25"/>
      <c r="D532" s="25"/>
      <c r="E532" s="25"/>
      <c r="F532" s="26"/>
      <c r="G532" s="27"/>
      <c r="H532" s="28" t="str">
        <f t="shared" si="0"/>
        <v/>
      </c>
      <c r="I532" s="29">
        <f>SUMIFS(Cash_Flow_3[Amount],Cash_Flow_3[Bulan],H532,Cash_Flow_3[Type],"In")</f>
        <v>0</v>
      </c>
      <c r="J532" s="29">
        <f>SUMIFS(Cash_Flow_3[Amount],Cash_Flow_3[Bulan],H532,Cash_Flow_3[Type],"Out")</f>
        <v>0</v>
      </c>
      <c r="K532" s="29">
        <f>SUMIFS(Cash_Flow_3[Amount],Cash_Flow_3[Bulan],H532,Cash_Flow_3[Type],"Out",Cash_Flow_3[Category],"Fix")</f>
        <v>0</v>
      </c>
      <c r="L532" s="29">
        <f>SUMIFS(Cash_Flow_3[Amount],Cash_Flow_3[Bulan],H532,Cash_Flow_3[Type],"Out",Cash_Flow_3[Category],"Bathroom")</f>
        <v>0</v>
      </c>
      <c r="M532" s="29">
        <f>SUMIFS(Cash_Flow_3[Amount],Cash_Flow_3[Bulan],H532,Cash_Flow_3[Type],"Out",Cash_Flow_3[Category],"Alfa")</f>
        <v>0</v>
      </c>
      <c r="N532" s="29">
        <f>SUMIFS(Cash_Flow_3[Amount],Cash_Flow_3[Bulan],H532,Cash_Flow_3[Type],"Out",Cash_Flow_3[Category],"Jajan")</f>
        <v>0</v>
      </c>
      <c r="O532" s="29">
        <f>SUMIFS(Cash_Flow_3[Amount],Cash_Flow_3[Bulan],H532,Cash_Flow_3[Type],"Out",Cash_Flow_3[Category],"Kitchen")</f>
        <v>0</v>
      </c>
      <c r="P532" s="29">
        <f>SUMIFS(Cash_Flow_3[Amount],Cash_Flow_3[Bulan],H532,Cash_Flow_3[Type],"Out",Cash_Flow_3[Category],"Loandry")</f>
        <v>0</v>
      </c>
      <c r="Q532" s="29">
        <f>SUMIFS(Cash_Flow_3[Amount],Cash_Flow_3[Bulan],H532,Cash_Flow_3[Type],"Out",Cash_Flow_3[Category],"Mio")</f>
        <v>0</v>
      </c>
      <c r="R532" s="29">
        <f>SUMIFS(Cash_Flow_3[Amount],Cash_Flow_3[Bulan],H532,Cash_Flow_3[Type],"Out",Cash_Flow_3[Category],"Sedekah")</f>
        <v>0</v>
      </c>
      <c r="S532" s="29">
        <f>SUMIFS(Cash_Flow_3[Amount],Cash_Flow_3[Bulan],H532,Cash_Flow_3[Type],"Out",Cash_Flow_3[Category],"Zela")</f>
        <v>0</v>
      </c>
      <c r="T532" s="29">
        <f>SUMIFS(Cash_Flow_3[Amount],Cash_Flow_3[Bulan],H532,Cash_Flow_3[Type],"Out",Cash_Flow_3[Category],"Iqbal")</f>
        <v>0</v>
      </c>
    </row>
    <row r="533" spans="1:20" ht="22.5" customHeight="1" x14ac:dyDescent="0.2">
      <c r="A533" s="23"/>
      <c r="B533" s="24"/>
      <c r="C533" s="25"/>
      <c r="D533" s="25"/>
      <c r="E533" s="25"/>
      <c r="F533" s="26"/>
      <c r="G533" s="27"/>
      <c r="H533" s="28" t="str">
        <f t="shared" si="0"/>
        <v/>
      </c>
      <c r="I533" s="29">
        <f>SUMIFS(Cash_Flow_3[Amount],Cash_Flow_3[Bulan],H533,Cash_Flow_3[Type],"In")</f>
        <v>0</v>
      </c>
      <c r="J533" s="29">
        <f>SUMIFS(Cash_Flow_3[Amount],Cash_Flow_3[Bulan],H533,Cash_Flow_3[Type],"Out")</f>
        <v>0</v>
      </c>
      <c r="K533" s="29">
        <f>SUMIFS(Cash_Flow_3[Amount],Cash_Flow_3[Bulan],H533,Cash_Flow_3[Type],"Out",Cash_Flow_3[Category],"Fix")</f>
        <v>0</v>
      </c>
      <c r="L533" s="29">
        <f>SUMIFS(Cash_Flow_3[Amount],Cash_Flow_3[Bulan],H533,Cash_Flow_3[Type],"Out",Cash_Flow_3[Category],"Bathroom")</f>
        <v>0</v>
      </c>
      <c r="M533" s="29">
        <f>SUMIFS(Cash_Flow_3[Amount],Cash_Flow_3[Bulan],H533,Cash_Flow_3[Type],"Out",Cash_Flow_3[Category],"Alfa")</f>
        <v>0</v>
      </c>
      <c r="N533" s="29">
        <f>SUMIFS(Cash_Flow_3[Amount],Cash_Flow_3[Bulan],H533,Cash_Flow_3[Type],"Out",Cash_Flow_3[Category],"Jajan")</f>
        <v>0</v>
      </c>
      <c r="O533" s="29">
        <f>SUMIFS(Cash_Flow_3[Amount],Cash_Flow_3[Bulan],H533,Cash_Flow_3[Type],"Out",Cash_Flow_3[Category],"Kitchen")</f>
        <v>0</v>
      </c>
      <c r="P533" s="29">
        <f>SUMIFS(Cash_Flow_3[Amount],Cash_Flow_3[Bulan],H533,Cash_Flow_3[Type],"Out",Cash_Flow_3[Category],"Loandry")</f>
        <v>0</v>
      </c>
      <c r="Q533" s="29">
        <f>SUMIFS(Cash_Flow_3[Amount],Cash_Flow_3[Bulan],H533,Cash_Flow_3[Type],"Out",Cash_Flow_3[Category],"Mio")</f>
        <v>0</v>
      </c>
      <c r="R533" s="29">
        <f>SUMIFS(Cash_Flow_3[Amount],Cash_Flow_3[Bulan],H533,Cash_Flow_3[Type],"Out",Cash_Flow_3[Category],"Sedekah")</f>
        <v>0</v>
      </c>
      <c r="S533" s="29">
        <f>SUMIFS(Cash_Flow_3[Amount],Cash_Flow_3[Bulan],H533,Cash_Flow_3[Type],"Out",Cash_Flow_3[Category],"Zela")</f>
        <v>0</v>
      </c>
      <c r="T533" s="29">
        <f>SUMIFS(Cash_Flow_3[Amount],Cash_Flow_3[Bulan],H533,Cash_Flow_3[Type],"Out",Cash_Flow_3[Category],"Iqbal")</f>
        <v>0</v>
      </c>
    </row>
    <row r="534" spans="1:20" ht="22.5" customHeight="1" x14ac:dyDescent="0.2">
      <c r="A534" s="23"/>
      <c r="B534" s="24"/>
      <c r="C534" s="25"/>
      <c r="D534" s="25"/>
      <c r="E534" s="25"/>
      <c r="F534" s="26"/>
      <c r="G534" s="27"/>
      <c r="H534" s="28" t="str">
        <f t="shared" si="0"/>
        <v/>
      </c>
      <c r="I534" s="29">
        <f>SUMIFS(Cash_Flow_3[Amount],Cash_Flow_3[Bulan],H534,Cash_Flow_3[Type],"In")</f>
        <v>0</v>
      </c>
      <c r="J534" s="29">
        <f>SUMIFS(Cash_Flow_3[Amount],Cash_Flow_3[Bulan],H534,Cash_Flow_3[Type],"Out")</f>
        <v>0</v>
      </c>
      <c r="K534" s="29">
        <f>SUMIFS(Cash_Flow_3[Amount],Cash_Flow_3[Bulan],H534,Cash_Flow_3[Type],"Out",Cash_Flow_3[Category],"Fix")</f>
        <v>0</v>
      </c>
      <c r="L534" s="29">
        <f>SUMIFS(Cash_Flow_3[Amount],Cash_Flow_3[Bulan],H534,Cash_Flow_3[Type],"Out",Cash_Flow_3[Category],"Bathroom")</f>
        <v>0</v>
      </c>
      <c r="M534" s="29">
        <f>SUMIFS(Cash_Flow_3[Amount],Cash_Flow_3[Bulan],H534,Cash_Flow_3[Type],"Out",Cash_Flow_3[Category],"Alfa")</f>
        <v>0</v>
      </c>
      <c r="N534" s="29">
        <f>SUMIFS(Cash_Flow_3[Amount],Cash_Flow_3[Bulan],H534,Cash_Flow_3[Type],"Out",Cash_Flow_3[Category],"Jajan")</f>
        <v>0</v>
      </c>
      <c r="O534" s="29">
        <f>SUMIFS(Cash_Flow_3[Amount],Cash_Flow_3[Bulan],H534,Cash_Flow_3[Type],"Out",Cash_Flow_3[Category],"Kitchen")</f>
        <v>0</v>
      </c>
      <c r="P534" s="29">
        <f>SUMIFS(Cash_Flow_3[Amount],Cash_Flow_3[Bulan],H534,Cash_Flow_3[Type],"Out",Cash_Flow_3[Category],"Loandry")</f>
        <v>0</v>
      </c>
      <c r="Q534" s="29">
        <f>SUMIFS(Cash_Flow_3[Amount],Cash_Flow_3[Bulan],H534,Cash_Flow_3[Type],"Out",Cash_Flow_3[Category],"Mio")</f>
        <v>0</v>
      </c>
      <c r="R534" s="29">
        <f>SUMIFS(Cash_Flow_3[Amount],Cash_Flow_3[Bulan],H534,Cash_Flow_3[Type],"Out",Cash_Flow_3[Category],"Sedekah")</f>
        <v>0</v>
      </c>
      <c r="S534" s="29">
        <f>SUMIFS(Cash_Flow_3[Amount],Cash_Flow_3[Bulan],H534,Cash_Flow_3[Type],"Out",Cash_Flow_3[Category],"Zela")</f>
        <v>0</v>
      </c>
      <c r="T534" s="29">
        <f>SUMIFS(Cash_Flow_3[Amount],Cash_Flow_3[Bulan],H534,Cash_Flow_3[Type],"Out",Cash_Flow_3[Category],"Iqbal")</f>
        <v>0</v>
      </c>
    </row>
    <row r="535" spans="1:20" ht="22.5" customHeight="1" x14ac:dyDescent="0.2">
      <c r="A535" s="23"/>
      <c r="B535" s="24"/>
      <c r="C535" s="25"/>
      <c r="D535" s="25"/>
      <c r="E535" s="25"/>
      <c r="F535" s="26"/>
      <c r="G535" s="27"/>
      <c r="H535" s="28" t="str">
        <f t="shared" si="0"/>
        <v/>
      </c>
      <c r="I535" s="29">
        <f>SUMIFS(Cash_Flow_3[Amount],Cash_Flow_3[Bulan],H535,Cash_Flow_3[Type],"In")</f>
        <v>0</v>
      </c>
      <c r="J535" s="29">
        <f>SUMIFS(Cash_Flow_3[Amount],Cash_Flow_3[Bulan],H535,Cash_Flow_3[Type],"Out")</f>
        <v>0</v>
      </c>
      <c r="K535" s="29">
        <f>SUMIFS(Cash_Flow_3[Amount],Cash_Flow_3[Bulan],H535,Cash_Flow_3[Type],"Out",Cash_Flow_3[Category],"Fix")</f>
        <v>0</v>
      </c>
      <c r="L535" s="29">
        <f>SUMIFS(Cash_Flow_3[Amount],Cash_Flow_3[Bulan],H535,Cash_Flow_3[Type],"Out",Cash_Flow_3[Category],"Bathroom")</f>
        <v>0</v>
      </c>
      <c r="M535" s="29">
        <f>SUMIFS(Cash_Flow_3[Amount],Cash_Flow_3[Bulan],H535,Cash_Flow_3[Type],"Out",Cash_Flow_3[Category],"Alfa")</f>
        <v>0</v>
      </c>
      <c r="N535" s="29">
        <f>SUMIFS(Cash_Flow_3[Amount],Cash_Flow_3[Bulan],H535,Cash_Flow_3[Type],"Out",Cash_Flow_3[Category],"Jajan")</f>
        <v>0</v>
      </c>
      <c r="O535" s="29">
        <f>SUMIFS(Cash_Flow_3[Amount],Cash_Flow_3[Bulan],H535,Cash_Flow_3[Type],"Out",Cash_Flow_3[Category],"Kitchen")</f>
        <v>0</v>
      </c>
      <c r="P535" s="29">
        <f>SUMIFS(Cash_Flow_3[Amount],Cash_Flow_3[Bulan],H535,Cash_Flow_3[Type],"Out",Cash_Flow_3[Category],"Loandry")</f>
        <v>0</v>
      </c>
      <c r="Q535" s="29">
        <f>SUMIFS(Cash_Flow_3[Amount],Cash_Flow_3[Bulan],H535,Cash_Flow_3[Type],"Out",Cash_Flow_3[Category],"Mio")</f>
        <v>0</v>
      </c>
      <c r="R535" s="29">
        <f>SUMIFS(Cash_Flow_3[Amount],Cash_Flow_3[Bulan],H535,Cash_Flow_3[Type],"Out",Cash_Flow_3[Category],"Sedekah")</f>
        <v>0</v>
      </c>
      <c r="S535" s="29">
        <f>SUMIFS(Cash_Flow_3[Amount],Cash_Flow_3[Bulan],H535,Cash_Flow_3[Type],"Out",Cash_Flow_3[Category],"Zela")</f>
        <v>0</v>
      </c>
      <c r="T535" s="29">
        <f>SUMIFS(Cash_Flow_3[Amount],Cash_Flow_3[Bulan],H535,Cash_Flow_3[Type],"Out",Cash_Flow_3[Category],"Iqbal")</f>
        <v>0</v>
      </c>
    </row>
    <row r="536" spans="1:20" ht="22.5" customHeight="1" x14ac:dyDescent="0.2">
      <c r="A536" s="23"/>
      <c r="B536" s="24"/>
      <c r="C536" s="25"/>
      <c r="D536" s="25"/>
      <c r="E536" s="25"/>
      <c r="F536" s="26"/>
      <c r="G536" s="27"/>
      <c r="H536" s="28" t="str">
        <f t="shared" si="0"/>
        <v/>
      </c>
      <c r="I536" s="29">
        <f>SUMIFS(Cash_Flow_3[Amount],Cash_Flow_3[Bulan],H536,Cash_Flow_3[Type],"In")</f>
        <v>0</v>
      </c>
      <c r="J536" s="29">
        <f>SUMIFS(Cash_Flow_3[Amount],Cash_Flow_3[Bulan],H536,Cash_Flow_3[Type],"Out")</f>
        <v>0</v>
      </c>
      <c r="K536" s="29">
        <f>SUMIFS(Cash_Flow_3[Amount],Cash_Flow_3[Bulan],H536,Cash_Flow_3[Type],"Out",Cash_Flow_3[Category],"Fix")</f>
        <v>0</v>
      </c>
      <c r="L536" s="29">
        <f>SUMIFS(Cash_Flow_3[Amount],Cash_Flow_3[Bulan],H536,Cash_Flow_3[Type],"Out",Cash_Flow_3[Category],"Bathroom")</f>
        <v>0</v>
      </c>
      <c r="M536" s="29">
        <f>SUMIFS(Cash_Flow_3[Amount],Cash_Flow_3[Bulan],H536,Cash_Flow_3[Type],"Out",Cash_Flow_3[Category],"Alfa")</f>
        <v>0</v>
      </c>
      <c r="N536" s="29">
        <f>SUMIFS(Cash_Flow_3[Amount],Cash_Flow_3[Bulan],H536,Cash_Flow_3[Type],"Out",Cash_Flow_3[Category],"Jajan")</f>
        <v>0</v>
      </c>
      <c r="O536" s="29">
        <f>SUMIFS(Cash_Flow_3[Amount],Cash_Flow_3[Bulan],H536,Cash_Flow_3[Type],"Out",Cash_Flow_3[Category],"Kitchen")</f>
        <v>0</v>
      </c>
      <c r="P536" s="29">
        <f>SUMIFS(Cash_Flow_3[Amount],Cash_Flow_3[Bulan],H536,Cash_Flow_3[Type],"Out",Cash_Flow_3[Category],"Loandry")</f>
        <v>0</v>
      </c>
      <c r="Q536" s="29">
        <f>SUMIFS(Cash_Flow_3[Amount],Cash_Flow_3[Bulan],H536,Cash_Flow_3[Type],"Out",Cash_Flow_3[Category],"Mio")</f>
        <v>0</v>
      </c>
      <c r="R536" s="29">
        <f>SUMIFS(Cash_Flow_3[Amount],Cash_Flow_3[Bulan],H536,Cash_Flow_3[Type],"Out",Cash_Flow_3[Category],"Sedekah")</f>
        <v>0</v>
      </c>
      <c r="S536" s="29">
        <f>SUMIFS(Cash_Flow_3[Amount],Cash_Flow_3[Bulan],H536,Cash_Flow_3[Type],"Out",Cash_Flow_3[Category],"Zela")</f>
        <v>0</v>
      </c>
      <c r="T536" s="29">
        <f>SUMIFS(Cash_Flow_3[Amount],Cash_Flow_3[Bulan],H536,Cash_Flow_3[Type],"Out",Cash_Flow_3[Category],"Iqbal")</f>
        <v>0</v>
      </c>
    </row>
    <row r="537" spans="1:20" ht="22.5" customHeight="1" x14ac:dyDescent="0.2">
      <c r="A537" s="23"/>
      <c r="B537" s="24"/>
      <c r="C537" s="25"/>
      <c r="D537" s="25"/>
      <c r="E537" s="25"/>
      <c r="F537" s="26"/>
      <c r="G537" s="27"/>
      <c r="H537" s="28" t="str">
        <f t="shared" si="0"/>
        <v/>
      </c>
      <c r="I537" s="29">
        <f>SUMIFS(Cash_Flow_3[Amount],Cash_Flow_3[Bulan],H537,Cash_Flow_3[Type],"In")</f>
        <v>0</v>
      </c>
      <c r="J537" s="29">
        <f>SUMIFS(Cash_Flow_3[Amount],Cash_Flow_3[Bulan],H537,Cash_Flow_3[Type],"Out")</f>
        <v>0</v>
      </c>
      <c r="K537" s="29">
        <f>SUMIFS(Cash_Flow_3[Amount],Cash_Flow_3[Bulan],H537,Cash_Flow_3[Type],"Out",Cash_Flow_3[Category],"Fix")</f>
        <v>0</v>
      </c>
      <c r="L537" s="29">
        <f>SUMIFS(Cash_Flow_3[Amount],Cash_Flow_3[Bulan],H537,Cash_Flow_3[Type],"Out",Cash_Flow_3[Category],"Bathroom")</f>
        <v>0</v>
      </c>
      <c r="M537" s="29">
        <f>SUMIFS(Cash_Flow_3[Amount],Cash_Flow_3[Bulan],H537,Cash_Flow_3[Type],"Out",Cash_Flow_3[Category],"Alfa")</f>
        <v>0</v>
      </c>
      <c r="N537" s="29">
        <f>SUMIFS(Cash_Flow_3[Amount],Cash_Flow_3[Bulan],H537,Cash_Flow_3[Type],"Out",Cash_Flow_3[Category],"Jajan")</f>
        <v>0</v>
      </c>
      <c r="O537" s="29">
        <f>SUMIFS(Cash_Flow_3[Amount],Cash_Flow_3[Bulan],H537,Cash_Flow_3[Type],"Out",Cash_Flow_3[Category],"Kitchen")</f>
        <v>0</v>
      </c>
      <c r="P537" s="29">
        <f>SUMIFS(Cash_Flow_3[Amount],Cash_Flow_3[Bulan],H537,Cash_Flow_3[Type],"Out",Cash_Flow_3[Category],"Loandry")</f>
        <v>0</v>
      </c>
      <c r="Q537" s="29">
        <f>SUMIFS(Cash_Flow_3[Amount],Cash_Flow_3[Bulan],H537,Cash_Flow_3[Type],"Out",Cash_Flow_3[Category],"Mio")</f>
        <v>0</v>
      </c>
      <c r="R537" s="29">
        <f>SUMIFS(Cash_Flow_3[Amount],Cash_Flow_3[Bulan],H537,Cash_Flow_3[Type],"Out",Cash_Flow_3[Category],"Sedekah")</f>
        <v>0</v>
      </c>
      <c r="S537" s="29">
        <f>SUMIFS(Cash_Flow_3[Amount],Cash_Flow_3[Bulan],H537,Cash_Flow_3[Type],"Out",Cash_Flow_3[Category],"Zela")</f>
        <v>0</v>
      </c>
      <c r="T537" s="29">
        <f>SUMIFS(Cash_Flow_3[Amount],Cash_Flow_3[Bulan],H537,Cash_Flow_3[Type],"Out",Cash_Flow_3[Category],"Iqbal")</f>
        <v>0</v>
      </c>
    </row>
    <row r="538" spans="1:20" ht="22.5" customHeight="1" x14ac:dyDescent="0.2">
      <c r="A538" s="23"/>
      <c r="B538" s="24"/>
      <c r="C538" s="25"/>
      <c r="D538" s="25"/>
      <c r="E538" s="25"/>
      <c r="F538" s="26"/>
      <c r="G538" s="27"/>
      <c r="H538" s="28" t="str">
        <f t="shared" si="0"/>
        <v/>
      </c>
      <c r="I538" s="29">
        <f>SUMIFS(Cash_Flow_3[Amount],Cash_Flow_3[Bulan],H538,Cash_Flow_3[Type],"In")</f>
        <v>0</v>
      </c>
      <c r="J538" s="29">
        <f>SUMIFS(Cash_Flow_3[Amount],Cash_Flow_3[Bulan],H538,Cash_Flow_3[Type],"Out")</f>
        <v>0</v>
      </c>
      <c r="K538" s="29">
        <f>SUMIFS(Cash_Flow_3[Amount],Cash_Flow_3[Bulan],H538,Cash_Flow_3[Type],"Out",Cash_Flow_3[Category],"Fix")</f>
        <v>0</v>
      </c>
      <c r="L538" s="29">
        <f>SUMIFS(Cash_Flow_3[Amount],Cash_Flow_3[Bulan],H538,Cash_Flow_3[Type],"Out",Cash_Flow_3[Category],"Bathroom")</f>
        <v>0</v>
      </c>
      <c r="M538" s="29">
        <f>SUMIFS(Cash_Flow_3[Amount],Cash_Flow_3[Bulan],H538,Cash_Flow_3[Type],"Out",Cash_Flow_3[Category],"Alfa")</f>
        <v>0</v>
      </c>
      <c r="N538" s="29">
        <f>SUMIFS(Cash_Flow_3[Amount],Cash_Flow_3[Bulan],H538,Cash_Flow_3[Type],"Out",Cash_Flow_3[Category],"Jajan")</f>
        <v>0</v>
      </c>
      <c r="O538" s="29">
        <f>SUMIFS(Cash_Flow_3[Amount],Cash_Flow_3[Bulan],H538,Cash_Flow_3[Type],"Out",Cash_Flow_3[Category],"Kitchen")</f>
        <v>0</v>
      </c>
      <c r="P538" s="29">
        <f>SUMIFS(Cash_Flow_3[Amount],Cash_Flow_3[Bulan],H538,Cash_Flow_3[Type],"Out",Cash_Flow_3[Category],"Loandry")</f>
        <v>0</v>
      </c>
      <c r="Q538" s="29">
        <f>SUMIFS(Cash_Flow_3[Amount],Cash_Flow_3[Bulan],H538,Cash_Flow_3[Type],"Out",Cash_Flow_3[Category],"Mio")</f>
        <v>0</v>
      </c>
      <c r="R538" s="29">
        <f>SUMIFS(Cash_Flow_3[Amount],Cash_Flow_3[Bulan],H538,Cash_Flow_3[Type],"Out",Cash_Flow_3[Category],"Sedekah")</f>
        <v>0</v>
      </c>
      <c r="S538" s="29">
        <f>SUMIFS(Cash_Flow_3[Amount],Cash_Flow_3[Bulan],H538,Cash_Flow_3[Type],"Out",Cash_Flow_3[Category],"Zela")</f>
        <v>0</v>
      </c>
      <c r="T538" s="29">
        <f>SUMIFS(Cash_Flow_3[Amount],Cash_Flow_3[Bulan],H538,Cash_Flow_3[Type],"Out",Cash_Flow_3[Category],"Iqbal")</f>
        <v>0</v>
      </c>
    </row>
    <row r="539" spans="1:20" ht="22.5" customHeight="1" x14ac:dyDescent="0.2">
      <c r="A539" s="23"/>
      <c r="B539" s="24"/>
      <c r="C539" s="25"/>
      <c r="D539" s="25"/>
      <c r="E539" s="25"/>
      <c r="F539" s="26"/>
      <c r="G539" s="27"/>
      <c r="H539" s="28" t="str">
        <f t="shared" si="0"/>
        <v/>
      </c>
      <c r="I539" s="29">
        <f>SUMIFS(Cash_Flow_3[Amount],Cash_Flow_3[Bulan],H539,Cash_Flow_3[Type],"In")</f>
        <v>0</v>
      </c>
      <c r="J539" s="29">
        <f>SUMIFS(Cash_Flow_3[Amount],Cash_Flow_3[Bulan],H539,Cash_Flow_3[Type],"Out")</f>
        <v>0</v>
      </c>
      <c r="K539" s="29">
        <f>SUMIFS(Cash_Flow_3[Amount],Cash_Flow_3[Bulan],H539,Cash_Flow_3[Type],"Out",Cash_Flow_3[Category],"Fix")</f>
        <v>0</v>
      </c>
      <c r="L539" s="29">
        <f>SUMIFS(Cash_Flow_3[Amount],Cash_Flow_3[Bulan],H539,Cash_Flow_3[Type],"Out",Cash_Flow_3[Category],"Bathroom")</f>
        <v>0</v>
      </c>
      <c r="M539" s="29">
        <f>SUMIFS(Cash_Flow_3[Amount],Cash_Flow_3[Bulan],H539,Cash_Flow_3[Type],"Out",Cash_Flow_3[Category],"Alfa")</f>
        <v>0</v>
      </c>
      <c r="N539" s="29">
        <f>SUMIFS(Cash_Flow_3[Amount],Cash_Flow_3[Bulan],H539,Cash_Flow_3[Type],"Out",Cash_Flow_3[Category],"Jajan")</f>
        <v>0</v>
      </c>
      <c r="O539" s="29">
        <f>SUMIFS(Cash_Flow_3[Amount],Cash_Flow_3[Bulan],H539,Cash_Flow_3[Type],"Out",Cash_Flow_3[Category],"Kitchen")</f>
        <v>0</v>
      </c>
      <c r="P539" s="29">
        <f>SUMIFS(Cash_Flow_3[Amount],Cash_Flow_3[Bulan],H539,Cash_Flow_3[Type],"Out",Cash_Flow_3[Category],"Loandry")</f>
        <v>0</v>
      </c>
      <c r="Q539" s="29">
        <f>SUMIFS(Cash_Flow_3[Amount],Cash_Flow_3[Bulan],H539,Cash_Flow_3[Type],"Out",Cash_Flow_3[Category],"Mio")</f>
        <v>0</v>
      </c>
      <c r="R539" s="29">
        <f>SUMIFS(Cash_Flow_3[Amount],Cash_Flow_3[Bulan],H539,Cash_Flow_3[Type],"Out",Cash_Flow_3[Category],"Sedekah")</f>
        <v>0</v>
      </c>
      <c r="S539" s="29">
        <f>SUMIFS(Cash_Flow_3[Amount],Cash_Flow_3[Bulan],H539,Cash_Flow_3[Type],"Out",Cash_Flow_3[Category],"Zela")</f>
        <v>0</v>
      </c>
      <c r="T539" s="29">
        <f>SUMIFS(Cash_Flow_3[Amount],Cash_Flow_3[Bulan],H539,Cash_Flow_3[Type],"Out",Cash_Flow_3[Category],"Iqbal")</f>
        <v>0</v>
      </c>
    </row>
    <row r="540" spans="1:20" ht="22.5" customHeight="1" x14ac:dyDescent="0.2">
      <c r="A540" s="23"/>
      <c r="B540" s="24"/>
      <c r="C540" s="25"/>
      <c r="D540" s="25"/>
      <c r="E540" s="25"/>
      <c r="F540" s="26"/>
      <c r="G540" s="27"/>
      <c r="H540" s="28" t="str">
        <f t="shared" si="0"/>
        <v/>
      </c>
      <c r="I540" s="29">
        <f>SUMIFS(Cash_Flow_3[Amount],Cash_Flow_3[Bulan],H540,Cash_Flow_3[Type],"In")</f>
        <v>0</v>
      </c>
      <c r="J540" s="29">
        <f>SUMIFS(Cash_Flow_3[Amount],Cash_Flow_3[Bulan],H540,Cash_Flow_3[Type],"Out")</f>
        <v>0</v>
      </c>
      <c r="K540" s="29">
        <f>SUMIFS(Cash_Flow_3[Amount],Cash_Flow_3[Bulan],H540,Cash_Flow_3[Type],"Out",Cash_Flow_3[Category],"Fix")</f>
        <v>0</v>
      </c>
      <c r="L540" s="29">
        <f>SUMIFS(Cash_Flow_3[Amount],Cash_Flow_3[Bulan],H540,Cash_Flow_3[Type],"Out",Cash_Flow_3[Category],"Bathroom")</f>
        <v>0</v>
      </c>
      <c r="M540" s="29">
        <f>SUMIFS(Cash_Flow_3[Amount],Cash_Flow_3[Bulan],H540,Cash_Flow_3[Type],"Out",Cash_Flow_3[Category],"Alfa")</f>
        <v>0</v>
      </c>
      <c r="N540" s="29">
        <f>SUMIFS(Cash_Flow_3[Amount],Cash_Flow_3[Bulan],H540,Cash_Flow_3[Type],"Out",Cash_Flow_3[Category],"Jajan")</f>
        <v>0</v>
      </c>
      <c r="O540" s="29">
        <f>SUMIFS(Cash_Flow_3[Amount],Cash_Flow_3[Bulan],H540,Cash_Flow_3[Type],"Out",Cash_Flow_3[Category],"Kitchen")</f>
        <v>0</v>
      </c>
      <c r="P540" s="29">
        <f>SUMIFS(Cash_Flow_3[Amount],Cash_Flow_3[Bulan],H540,Cash_Flow_3[Type],"Out",Cash_Flow_3[Category],"Loandry")</f>
        <v>0</v>
      </c>
      <c r="Q540" s="29">
        <f>SUMIFS(Cash_Flow_3[Amount],Cash_Flow_3[Bulan],H540,Cash_Flow_3[Type],"Out",Cash_Flow_3[Category],"Mio")</f>
        <v>0</v>
      </c>
      <c r="R540" s="29">
        <f>SUMIFS(Cash_Flow_3[Amount],Cash_Flow_3[Bulan],H540,Cash_Flow_3[Type],"Out",Cash_Flow_3[Category],"Sedekah")</f>
        <v>0</v>
      </c>
      <c r="S540" s="29">
        <f>SUMIFS(Cash_Flow_3[Amount],Cash_Flow_3[Bulan],H540,Cash_Flow_3[Type],"Out",Cash_Flow_3[Category],"Zela")</f>
        <v>0</v>
      </c>
      <c r="T540" s="29">
        <f>SUMIFS(Cash_Flow_3[Amount],Cash_Flow_3[Bulan],H540,Cash_Flow_3[Type],"Out",Cash_Flow_3[Category],"Iqbal")</f>
        <v>0</v>
      </c>
    </row>
    <row r="541" spans="1:20" ht="22.5" customHeight="1" x14ac:dyDescent="0.2">
      <c r="A541" s="23"/>
      <c r="B541" s="24"/>
      <c r="C541" s="25"/>
      <c r="D541" s="25"/>
      <c r="E541" s="25"/>
      <c r="F541" s="26"/>
      <c r="G541" s="27"/>
      <c r="H541" s="28" t="str">
        <f t="shared" si="0"/>
        <v/>
      </c>
      <c r="I541" s="29">
        <f>SUMIFS(Cash_Flow_3[Amount],Cash_Flow_3[Bulan],H541,Cash_Flow_3[Type],"In")</f>
        <v>0</v>
      </c>
      <c r="J541" s="29">
        <f>SUMIFS(Cash_Flow_3[Amount],Cash_Flow_3[Bulan],H541,Cash_Flow_3[Type],"Out")</f>
        <v>0</v>
      </c>
      <c r="K541" s="29">
        <f>SUMIFS(Cash_Flow_3[Amount],Cash_Flow_3[Bulan],H541,Cash_Flow_3[Type],"Out",Cash_Flow_3[Category],"Fix")</f>
        <v>0</v>
      </c>
      <c r="L541" s="29">
        <f>SUMIFS(Cash_Flow_3[Amount],Cash_Flow_3[Bulan],H541,Cash_Flow_3[Type],"Out",Cash_Flow_3[Category],"Bathroom")</f>
        <v>0</v>
      </c>
      <c r="M541" s="29">
        <f>SUMIFS(Cash_Flow_3[Amount],Cash_Flow_3[Bulan],H541,Cash_Flow_3[Type],"Out",Cash_Flow_3[Category],"Alfa")</f>
        <v>0</v>
      </c>
      <c r="N541" s="29">
        <f>SUMIFS(Cash_Flow_3[Amount],Cash_Flow_3[Bulan],H541,Cash_Flow_3[Type],"Out",Cash_Flow_3[Category],"Jajan")</f>
        <v>0</v>
      </c>
      <c r="O541" s="29">
        <f>SUMIFS(Cash_Flow_3[Amount],Cash_Flow_3[Bulan],H541,Cash_Flow_3[Type],"Out",Cash_Flow_3[Category],"Kitchen")</f>
        <v>0</v>
      </c>
      <c r="P541" s="29">
        <f>SUMIFS(Cash_Flow_3[Amount],Cash_Flow_3[Bulan],H541,Cash_Flow_3[Type],"Out",Cash_Flow_3[Category],"Loandry")</f>
        <v>0</v>
      </c>
      <c r="Q541" s="29">
        <f>SUMIFS(Cash_Flow_3[Amount],Cash_Flow_3[Bulan],H541,Cash_Flow_3[Type],"Out",Cash_Flow_3[Category],"Mio")</f>
        <v>0</v>
      </c>
      <c r="R541" s="29">
        <f>SUMIFS(Cash_Flow_3[Amount],Cash_Flow_3[Bulan],H541,Cash_Flow_3[Type],"Out",Cash_Flow_3[Category],"Sedekah")</f>
        <v>0</v>
      </c>
      <c r="S541" s="29">
        <f>SUMIFS(Cash_Flow_3[Amount],Cash_Flow_3[Bulan],H541,Cash_Flow_3[Type],"Out",Cash_Flow_3[Category],"Zela")</f>
        <v>0</v>
      </c>
      <c r="T541" s="29">
        <f>SUMIFS(Cash_Flow_3[Amount],Cash_Flow_3[Bulan],H541,Cash_Flow_3[Type],"Out",Cash_Flow_3[Category],"Iqbal")</f>
        <v>0</v>
      </c>
    </row>
    <row r="542" spans="1:20" ht="22.5" customHeight="1" x14ac:dyDescent="0.2">
      <c r="A542" s="23"/>
      <c r="B542" s="24"/>
      <c r="C542" s="25"/>
      <c r="D542" s="25"/>
      <c r="E542" s="25"/>
      <c r="F542" s="26"/>
      <c r="G542" s="27"/>
      <c r="H542" s="28" t="str">
        <f t="shared" si="0"/>
        <v/>
      </c>
      <c r="I542" s="29">
        <f>SUMIFS(Cash_Flow_3[Amount],Cash_Flow_3[Bulan],H542,Cash_Flow_3[Type],"In")</f>
        <v>0</v>
      </c>
      <c r="J542" s="29">
        <f>SUMIFS(Cash_Flow_3[Amount],Cash_Flow_3[Bulan],H542,Cash_Flow_3[Type],"Out")</f>
        <v>0</v>
      </c>
      <c r="K542" s="29">
        <f>SUMIFS(Cash_Flow_3[Amount],Cash_Flow_3[Bulan],H542,Cash_Flow_3[Type],"Out",Cash_Flow_3[Category],"Fix")</f>
        <v>0</v>
      </c>
      <c r="L542" s="29">
        <f>SUMIFS(Cash_Flow_3[Amount],Cash_Flow_3[Bulan],H542,Cash_Flow_3[Type],"Out",Cash_Flow_3[Category],"Bathroom")</f>
        <v>0</v>
      </c>
      <c r="M542" s="29">
        <f>SUMIFS(Cash_Flow_3[Amount],Cash_Flow_3[Bulan],H542,Cash_Flow_3[Type],"Out",Cash_Flow_3[Category],"Alfa")</f>
        <v>0</v>
      </c>
      <c r="N542" s="29">
        <f>SUMIFS(Cash_Flow_3[Amount],Cash_Flow_3[Bulan],H542,Cash_Flow_3[Type],"Out",Cash_Flow_3[Category],"Jajan")</f>
        <v>0</v>
      </c>
      <c r="O542" s="29">
        <f>SUMIFS(Cash_Flow_3[Amount],Cash_Flow_3[Bulan],H542,Cash_Flow_3[Type],"Out",Cash_Flow_3[Category],"Kitchen")</f>
        <v>0</v>
      </c>
      <c r="P542" s="29">
        <f>SUMIFS(Cash_Flow_3[Amount],Cash_Flow_3[Bulan],H542,Cash_Flow_3[Type],"Out",Cash_Flow_3[Category],"Loandry")</f>
        <v>0</v>
      </c>
      <c r="Q542" s="29">
        <f>SUMIFS(Cash_Flow_3[Amount],Cash_Flow_3[Bulan],H542,Cash_Flow_3[Type],"Out",Cash_Flow_3[Category],"Mio")</f>
        <v>0</v>
      </c>
      <c r="R542" s="29">
        <f>SUMIFS(Cash_Flow_3[Amount],Cash_Flow_3[Bulan],H542,Cash_Flow_3[Type],"Out",Cash_Flow_3[Category],"Sedekah")</f>
        <v>0</v>
      </c>
      <c r="S542" s="29">
        <f>SUMIFS(Cash_Flow_3[Amount],Cash_Flow_3[Bulan],H542,Cash_Flow_3[Type],"Out",Cash_Flow_3[Category],"Zela")</f>
        <v>0</v>
      </c>
      <c r="T542" s="29">
        <f>SUMIFS(Cash_Flow_3[Amount],Cash_Flow_3[Bulan],H542,Cash_Flow_3[Type],"Out",Cash_Flow_3[Category],"Iqbal")</f>
        <v>0</v>
      </c>
    </row>
    <row r="543" spans="1:20" ht="22.5" customHeight="1" x14ac:dyDescent="0.2">
      <c r="A543" s="23"/>
      <c r="B543" s="24"/>
      <c r="C543" s="25"/>
      <c r="D543" s="25"/>
      <c r="E543" s="25"/>
      <c r="F543" s="26"/>
      <c r="G543" s="27"/>
      <c r="H543" s="28" t="str">
        <f t="shared" si="0"/>
        <v/>
      </c>
      <c r="I543" s="29">
        <f>SUMIFS(Cash_Flow_3[Amount],Cash_Flow_3[Bulan],H543,Cash_Flow_3[Type],"In")</f>
        <v>0</v>
      </c>
      <c r="J543" s="29">
        <f>SUMIFS(Cash_Flow_3[Amount],Cash_Flow_3[Bulan],H543,Cash_Flow_3[Type],"Out")</f>
        <v>0</v>
      </c>
      <c r="K543" s="29">
        <f>SUMIFS(Cash_Flow_3[Amount],Cash_Flow_3[Bulan],H543,Cash_Flow_3[Type],"Out",Cash_Flow_3[Category],"Fix")</f>
        <v>0</v>
      </c>
      <c r="L543" s="29">
        <f>SUMIFS(Cash_Flow_3[Amount],Cash_Flow_3[Bulan],H543,Cash_Flow_3[Type],"Out",Cash_Flow_3[Category],"Bathroom")</f>
        <v>0</v>
      </c>
      <c r="M543" s="29">
        <f>SUMIFS(Cash_Flow_3[Amount],Cash_Flow_3[Bulan],H543,Cash_Flow_3[Type],"Out",Cash_Flow_3[Category],"Alfa")</f>
        <v>0</v>
      </c>
      <c r="N543" s="29">
        <f>SUMIFS(Cash_Flow_3[Amount],Cash_Flow_3[Bulan],H543,Cash_Flow_3[Type],"Out",Cash_Flow_3[Category],"Jajan")</f>
        <v>0</v>
      </c>
      <c r="O543" s="29">
        <f>SUMIFS(Cash_Flow_3[Amount],Cash_Flow_3[Bulan],H543,Cash_Flow_3[Type],"Out",Cash_Flow_3[Category],"Kitchen")</f>
        <v>0</v>
      </c>
      <c r="P543" s="29">
        <f>SUMIFS(Cash_Flow_3[Amount],Cash_Flow_3[Bulan],H543,Cash_Flow_3[Type],"Out",Cash_Flow_3[Category],"Loandry")</f>
        <v>0</v>
      </c>
      <c r="Q543" s="29">
        <f>SUMIFS(Cash_Flow_3[Amount],Cash_Flow_3[Bulan],H543,Cash_Flow_3[Type],"Out",Cash_Flow_3[Category],"Mio")</f>
        <v>0</v>
      </c>
      <c r="R543" s="29">
        <f>SUMIFS(Cash_Flow_3[Amount],Cash_Flow_3[Bulan],H543,Cash_Flow_3[Type],"Out",Cash_Flow_3[Category],"Sedekah")</f>
        <v>0</v>
      </c>
      <c r="S543" s="29">
        <f>SUMIFS(Cash_Flow_3[Amount],Cash_Flow_3[Bulan],H543,Cash_Flow_3[Type],"Out",Cash_Flow_3[Category],"Zela")</f>
        <v>0</v>
      </c>
      <c r="T543" s="29">
        <f>SUMIFS(Cash_Flow_3[Amount],Cash_Flow_3[Bulan],H543,Cash_Flow_3[Type],"Out",Cash_Flow_3[Category],"Iqbal")</f>
        <v>0</v>
      </c>
    </row>
    <row r="544" spans="1:20" ht="22.5" customHeight="1" x14ac:dyDescent="0.2">
      <c r="A544" s="23"/>
      <c r="B544" s="24"/>
      <c r="C544" s="25"/>
      <c r="D544" s="25"/>
      <c r="E544" s="25"/>
      <c r="F544" s="26"/>
      <c r="G544" s="27"/>
      <c r="H544" s="28" t="str">
        <f t="shared" si="0"/>
        <v/>
      </c>
      <c r="I544" s="29">
        <f>SUMIFS(Cash_Flow_3[Amount],Cash_Flow_3[Bulan],H544,Cash_Flow_3[Type],"In")</f>
        <v>0</v>
      </c>
      <c r="J544" s="29">
        <f>SUMIFS(Cash_Flow_3[Amount],Cash_Flow_3[Bulan],H544,Cash_Flow_3[Type],"Out")</f>
        <v>0</v>
      </c>
      <c r="K544" s="29">
        <f>SUMIFS(Cash_Flow_3[Amount],Cash_Flow_3[Bulan],H544,Cash_Flow_3[Type],"Out",Cash_Flow_3[Category],"Fix")</f>
        <v>0</v>
      </c>
      <c r="L544" s="29">
        <f>SUMIFS(Cash_Flow_3[Amount],Cash_Flow_3[Bulan],H544,Cash_Flow_3[Type],"Out",Cash_Flow_3[Category],"Bathroom")</f>
        <v>0</v>
      </c>
      <c r="M544" s="29">
        <f>SUMIFS(Cash_Flow_3[Amount],Cash_Flow_3[Bulan],H544,Cash_Flow_3[Type],"Out",Cash_Flow_3[Category],"Alfa")</f>
        <v>0</v>
      </c>
      <c r="N544" s="29">
        <f>SUMIFS(Cash_Flow_3[Amount],Cash_Flow_3[Bulan],H544,Cash_Flow_3[Type],"Out",Cash_Flow_3[Category],"Jajan")</f>
        <v>0</v>
      </c>
      <c r="O544" s="29">
        <f>SUMIFS(Cash_Flow_3[Amount],Cash_Flow_3[Bulan],H544,Cash_Flow_3[Type],"Out",Cash_Flow_3[Category],"Kitchen")</f>
        <v>0</v>
      </c>
      <c r="P544" s="29">
        <f>SUMIFS(Cash_Flow_3[Amount],Cash_Flow_3[Bulan],H544,Cash_Flow_3[Type],"Out",Cash_Flow_3[Category],"Loandry")</f>
        <v>0</v>
      </c>
      <c r="Q544" s="29">
        <f>SUMIFS(Cash_Flow_3[Amount],Cash_Flow_3[Bulan],H544,Cash_Flow_3[Type],"Out",Cash_Flow_3[Category],"Mio")</f>
        <v>0</v>
      </c>
      <c r="R544" s="29">
        <f>SUMIFS(Cash_Flow_3[Amount],Cash_Flow_3[Bulan],H544,Cash_Flow_3[Type],"Out",Cash_Flow_3[Category],"Sedekah")</f>
        <v>0</v>
      </c>
      <c r="S544" s="29">
        <f>SUMIFS(Cash_Flow_3[Amount],Cash_Flow_3[Bulan],H544,Cash_Flow_3[Type],"Out",Cash_Flow_3[Category],"Zela")</f>
        <v>0</v>
      </c>
      <c r="T544" s="29">
        <f>SUMIFS(Cash_Flow_3[Amount],Cash_Flow_3[Bulan],H544,Cash_Flow_3[Type],"Out",Cash_Flow_3[Category],"Iqbal")</f>
        <v>0</v>
      </c>
    </row>
    <row r="545" spans="1:20" ht="22.5" customHeight="1" x14ac:dyDescent="0.2">
      <c r="A545" s="23"/>
      <c r="B545" s="24"/>
      <c r="C545" s="25"/>
      <c r="D545" s="25"/>
      <c r="E545" s="25"/>
      <c r="F545" s="26"/>
      <c r="G545" s="27"/>
      <c r="H545" s="28" t="str">
        <f t="shared" si="0"/>
        <v/>
      </c>
      <c r="I545" s="29">
        <f>SUMIFS(Cash_Flow_3[Amount],Cash_Flow_3[Bulan],H545,Cash_Flow_3[Type],"In")</f>
        <v>0</v>
      </c>
      <c r="J545" s="29">
        <f>SUMIFS(Cash_Flow_3[Amount],Cash_Flow_3[Bulan],H545,Cash_Flow_3[Type],"Out")</f>
        <v>0</v>
      </c>
      <c r="K545" s="29">
        <f>SUMIFS(Cash_Flow_3[Amount],Cash_Flow_3[Bulan],H545,Cash_Flow_3[Type],"Out",Cash_Flow_3[Category],"Fix")</f>
        <v>0</v>
      </c>
      <c r="L545" s="29">
        <f>SUMIFS(Cash_Flow_3[Amount],Cash_Flow_3[Bulan],H545,Cash_Flow_3[Type],"Out",Cash_Flow_3[Category],"Bathroom")</f>
        <v>0</v>
      </c>
      <c r="M545" s="29">
        <f>SUMIFS(Cash_Flow_3[Amount],Cash_Flow_3[Bulan],H545,Cash_Flow_3[Type],"Out",Cash_Flow_3[Category],"Alfa")</f>
        <v>0</v>
      </c>
      <c r="N545" s="29">
        <f>SUMIFS(Cash_Flow_3[Amount],Cash_Flow_3[Bulan],H545,Cash_Flow_3[Type],"Out",Cash_Flow_3[Category],"Jajan")</f>
        <v>0</v>
      </c>
      <c r="O545" s="29">
        <f>SUMIFS(Cash_Flow_3[Amount],Cash_Flow_3[Bulan],H545,Cash_Flow_3[Type],"Out",Cash_Flow_3[Category],"Kitchen")</f>
        <v>0</v>
      </c>
      <c r="P545" s="29">
        <f>SUMIFS(Cash_Flow_3[Amount],Cash_Flow_3[Bulan],H545,Cash_Flow_3[Type],"Out",Cash_Flow_3[Category],"Loandry")</f>
        <v>0</v>
      </c>
      <c r="Q545" s="29">
        <f>SUMIFS(Cash_Flow_3[Amount],Cash_Flow_3[Bulan],H545,Cash_Flow_3[Type],"Out",Cash_Flow_3[Category],"Mio")</f>
        <v>0</v>
      </c>
      <c r="R545" s="29">
        <f>SUMIFS(Cash_Flow_3[Amount],Cash_Flow_3[Bulan],H545,Cash_Flow_3[Type],"Out",Cash_Flow_3[Category],"Sedekah")</f>
        <v>0</v>
      </c>
      <c r="S545" s="29">
        <f>SUMIFS(Cash_Flow_3[Amount],Cash_Flow_3[Bulan],H545,Cash_Flow_3[Type],"Out",Cash_Flow_3[Category],"Zela")</f>
        <v>0</v>
      </c>
      <c r="T545" s="29">
        <f>SUMIFS(Cash_Flow_3[Amount],Cash_Flow_3[Bulan],H545,Cash_Flow_3[Type],"Out",Cash_Flow_3[Category],"Iqbal")</f>
        <v>0</v>
      </c>
    </row>
    <row r="546" spans="1:20" ht="22.5" customHeight="1" x14ac:dyDescent="0.2">
      <c r="A546" s="23"/>
      <c r="B546" s="24"/>
      <c r="C546" s="25"/>
      <c r="D546" s="25"/>
      <c r="E546" s="25"/>
      <c r="F546" s="26"/>
      <c r="G546" s="27"/>
      <c r="H546" s="28" t="str">
        <f t="shared" si="0"/>
        <v/>
      </c>
      <c r="I546" s="29">
        <f>SUMIFS(Cash_Flow_3[Amount],Cash_Flow_3[Bulan],H546,Cash_Flow_3[Type],"In")</f>
        <v>0</v>
      </c>
      <c r="J546" s="29">
        <f>SUMIFS(Cash_Flow_3[Amount],Cash_Flow_3[Bulan],H546,Cash_Flow_3[Type],"Out")</f>
        <v>0</v>
      </c>
      <c r="K546" s="29">
        <f>SUMIFS(Cash_Flow_3[Amount],Cash_Flow_3[Bulan],H546,Cash_Flow_3[Type],"Out",Cash_Flow_3[Category],"Fix")</f>
        <v>0</v>
      </c>
      <c r="L546" s="29">
        <f>SUMIFS(Cash_Flow_3[Amount],Cash_Flow_3[Bulan],H546,Cash_Flow_3[Type],"Out",Cash_Flow_3[Category],"Bathroom")</f>
        <v>0</v>
      </c>
      <c r="M546" s="29">
        <f>SUMIFS(Cash_Flow_3[Amount],Cash_Flow_3[Bulan],H546,Cash_Flow_3[Type],"Out",Cash_Flow_3[Category],"Alfa")</f>
        <v>0</v>
      </c>
      <c r="N546" s="29">
        <f>SUMIFS(Cash_Flow_3[Amount],Cash_Flow_3[Bulan],H546,Cash_Flow_3[Type],"Out",Cash_Flow_3[Category],"Jajan")</f>
        <v>0</v>
      </c>
      <c r="O546" s="29">
        <f>SUMIFS(Cash_Flow_3[Amount],Cash_Flow_3[Bulan],H546,Cash_Flow_3[Type],"Out",Cash_Flow_3[Category],"Kitchen")</f>
        <v>0</v>
      </c>
      <c r="P546" s="29">
        <f>SUMIFS(Cash_Flow_3[Amount],Cash_Flow_3[Bulan],H546,Cash_Flow_3[Type],"Out",Cash_Flow_3[Category],"Loandry")</f>
        <v>0</v>
      </c>
      <c r="Q546" s="29">
        <f>SUMIFS(Cash_Flow_3[Amount],Cash_Flow_3[Bulan],H546,Cash_Flow_3[Type],"Out",Cash_Flow_3[Category],"Mio")</f>
        <v>0</v>
      </c>
      <c r="R546" s="29">
        <f>SUMIFS(Cash_Flow_3[Amount],Cash_Flow_3[Bulan],H546,Cash_Flow_3[Type],"Out",Cash_Flow_3[Category],"Sedekah")</f>
        <v>0</v>
      </c>
      <c r="S546" s="29">
        <f>SUMIFS(Cash_Flow_3[Amount],Cash_Flow_3[Bulan],H546,Cash_Flow_3[Type],"Out",Cash_Flow_3[Category],"Zela")</f>
        <v>0</v>
      </c>
      <c r="T546" s="29">
        <f>SUMIFS(Cash_Flow_3[Amount],Cash_Flow_3[Bulan],H546,Cash_Flow_3[Type],"Out",Cash_Flow_3[Category],"Iqbal")</f>
        <v>0</v>
      </c>
    </row>
    <row r="547" spans="1:20" ht="22.5" customHeight="1" x14ac:dyDescent="0.2">
      <c r="A547" s="23"/>
      <c r="B547" s="24"/>
      <c r="C547" s="25"/>
      <c r="D547" s="25"/>
      <c r="E547" s="25"/>
      <c r="F547" s="26"/>
      <c r="G547" s="27"/>
      <c r="H547" s="28" t="str">
        <f t="shared" si="0"/>
        <v/>
      </c>
      <c r="I547" s="29">
        <f>SUMIFS(Cash_Flow_3[Amount],Cash_Flow_3[Bulan],H547,Cash_Flow_3[Type],"In")</f>
        <v>0</v>
      </c>
      <c r="J547" s="29">
        <f>SUMIFS(Cash_Flow_3[Amount],Cash_Flow_3[Bulan],H547,Cash_Flow_3[Type],"Out")</f>
        <v>0</v>
      </c>
      <c r="K547" s="29">
        <f>SUMIFS(Cash_Flow_3[Amount],Cash_Flow_3[Bulan],H547,Cash_Flow_3[Type],"Out",Cash_Flow_3[Category],"Fix")</f>
        <v>0</v>
      </c>
      <c r="L547" s="29">
        <f>SUMIFS(Cash_Flow_3[Amount],Cash_Flow_3[Bulan],H547,Cash_Flow_3[Type],"Out",Cash_Flow_3[Category],"Bathroom")</f>
        <v>0</v>
      </c>
      <c r="M547" s="29">
        <f>SUMIFS(Cash_Flow_3[Amount],Cash_Flow_3[Bulan],H547,Cash_Flow_3[Type],"Out",Cash_Flow_3[Category],"Alfa")</f>
        <v>0</v>
      </c>
      <c r="N547" s="29">
        <f>SUMIFS(Cash_Flow_3[Amount],Cash_Flow_3[Bulan],H547,Cash_Flow_3[Type],"Out",Cash_Flow_3[Category],"Jajan")</f>
        <v>0</v>
      </c>
      <c r="O547" s="29">
        <f>SUMIFS(Cash_Flow_3[Amount],Cash_Flow_3[Bulan],H547,Cash_Flow_3[Type],"Out",Cash_Flow_3[Category],"Kitchen")</f>
        <v>0</v>
      </c>
      <c r="P547" s="29">
        <f>SUMIFS(Cash_Flow_3[Amount],Cash_Flow_3[Bulan],H547,Cash_Flow_3[Type],"Out",Cash_Flow_3[Category],"Loandry")</f>
        <v>0</v>
      </c>
      <c r="Q547" s="29">
        <f>SUMIFS(Cash_Flow_3[Amount],Cash_Flow_3[Bulan],H547,Cash_Flow_3[Type],"Out",Cash_Flow_3[Category],"Mio")</f>
        <v>0</v>
      </c>
      <c r="R547" s="29">
        <f>SUMIFS(Cash_Flow_3[Amount],Cash_Flow_3[Bulan],H547,Cash_Flow_3[Type],"Out",Cash_Flow_3[Category],"Sedekah")</f>
        <v>0</v>
      </c>
      <c r="S547" s="29">
        <f>SUMIFS(Cash_Flow_3[Amount],Cash_Flow_3[Bulan],H547,Cash_Flow_3[Type],"Out",Cash_Flow_3[Category],"Zela")</f>
        <v>0</v>
      </c>
      <c r="T547" s="29">
        <f>SUMIFS(Cash_Flow_3[Amount],Cash_Flow_3[Bulan],H547,Cash_Flow_3[Type],"Out",Cash_Flow_3[Category],"Iqbal")</f>
        <v>0</v>
      </c>
    </row>
    <row r="548" spans="1:20" ht="22.5" customHeight="1" x14ac:dyDescent="0.2">
      <c r="A548" s="23"/>
      <c r="B548" s="24"/>
      <c r="C548" s="25"/>
      <c r="D548" s="25"/>
      <c r="E548" s="25"/>
      <c r="F548" s="26"/>
      <c r="G548" s="27"/>
      <c r="H548" s="28" t="str">
        <f t="shared" si="0"/>
        <v/>
      </c>
      <c r="I548" s="29">
        <f>SUMIFS(Cash_Flow_3[Amount],Cash_Flow_3[Bulan],H548,Cash_Flow_3[Type],"In")</f>
        <v>0</v>
      </c>
      <c r="J548" s="29">
        <f>SUMIFS(Cash_Flow_3[Amount],Cash_Flow_3[Bulan],H548,Cash_Flow_3[Type],"Out")</f>
        <v>0</v>
      </c>
      <c r="K548" s="29">
        <f>SUMIFS(Cash_Flow_3[Amount],Cash_Flow_3[Bulan],H548,Cash_Flow_3[Type],"Out",Cash_Flow_3[Category],"Fix")</f>
        <v>0</v>
      </c>
      <c r="L548" s="29">
        <f>SUMIFS(Cash_Flow_3[Amount],Cash_Flow_3[Bulan],H548,Cash_Flow_3[Type],"Out",Cash_Flow_3[Category],"Bathroom")</f>
        <v>0</v>
      </c>
      <c r="M548" s="29">
        <f>SUMIFS(Cash_Flow_3[Amount],Cash_Flow_3[Bulan],H548,Cash_Flow_3[Type],"Out",Cash_Flow_3[Category],"Alfa")</f>
        <v>0</v>
      </c>
      <c r="N548" s="29">
        <f>SUMIFS(Cash_Flow_3[Amount],Cash_Flow_3[Bulan],H548,Cash_Flow_3[Type],"Out",Cash_Flow_3[Category],"Jajan")</f>
        <v>0</v>
      </c>
      <c r="O548" s="29">
        <f>SUMIFS(Cash_Flow_3[Amount],Cash_Flow_3[Bulan],H548,Cash_Flow_3[Type],"Out",Cash_Flow_3[Category],"Kitchen")</f>
        <v>0</v>
      </c>
      <c r="P548" s="29">
        <f>SUMIFS(Cash_Flow_3[Amount],Cash_Flow_3[Bulan],H548,Cash_Flow_3[Type],"Out",Cash_Flow_3[Category],"Loandry")</f>
        <v>0</v>
      </c>
      <c r="Q548" s="29">
        <f>SUMIFS(Cash_Flow_3[Amount],Cash_Flow_3[Bulan],H548,Cash_Flow_3[Type],"Out",Cash_Flow_3[Category],"Mio")</f>
        <v>0</v>
      </c>
      <c r="R548" s="29">
        <f>SUMIFS(Cash_Flow_3[Amount],Cash_Flow_3[Bulan],H548,Cash_Flow_3[Type],"Out",Cash_Flow_3[Category],"Sedekah")</f>
        <v>0</v>
      </c>
      <c r="S548" s="29">
        <f>SUMIFS(Cash_Flow_3[Amount],Cash_Flow_3[Bulan],H548,Cash_Flow_3[Type],"Out",Cash_Flow_3[Category],"Zela")</f>
        <v>0</v>
      </c>
      <c r="T548" s="29">
        <f>SUMIFS(Cash_Flow_3[Amount],Cash_Flow_3[Bulan],H548,Cash_Flow_3[Type],"Out",Cash_Flow_3[Category],"Iqbal")</f>
        <v>0</v>
      </c>
    </row>
    <row r="549" spans="1:20" ht="22.5" customHeight="1" x14ac:dyDescent="0.2">
      <c r="A549" s="23"/>
      <c r="B549" s="24"/>
      <c r="C549" s="25"/>
      <c r="D549" s="25"/>
      <c r="E549" s="25"/>
      <c r="F549" s="26"/>
      <c r="G549" s="27"/>
      <c r="H549" s="28" t="str">
        <f t="shared" si="0"/>
        <v/>
      </c>
      <c r="I549" s="29">
        <f>SUMIFS(Cash_Flow_3[Amount],Cash_Flow_3[Bulan],H549,Cash_Flow_3[Type],"In")</f>
        <v>0</v>
      </c>
      <c r="J549" s="29">
        <f>SUMIFS(Cash_Flow_3[Amount],Cash_Flow_3[Bulan],H549,Cash_Flow_3[Type],"Out")</f>
        <v>0</v>
      </c>
      <c r="K549" s="29">
        <f>SUMIFS(Cash_Flow_3[Amount],Cash_Flow_3[Bulan],H549,Cash_Flow_3[Type],"Out",Cash_Flow_3[Category],"Fix")</f>
        <v>0</v>
      </c>
      <c r="L549" s="29">
        <f>SUMIFS(Cash_Flow_3[Amount],Cash_Flow_3[Bulan],H549,Cash_Flow_3[Type],"Out",Cash_Flow_3[Category],"Bathroom")</f>
        <v>0</v>
      </c>
      <c r="M549" s="29">
        <f>SUMIFS(Cash_Flow_3[Amount],Cash_Flow_3[Bulan],H549,Cash_Flow_3[Type],"Out",Cash_Flow_3[Category],"Alfa")</f>
        <v>0</v>
      </c>
      <c r="N549" s="29">
        <f>SUMIFS(Cash_Flow_3[Amount],Cash_Flow_3[Bulan],H549,Cash_Flow_3[Type],"Out",Cash_Flow_3[Category],"Jajan")</f>
        <v>0</v>
      </c>
      <c r="O549" s="29">
        <f>SUMIFS(Cash_Flow_3[Amount],Cash_Flow_3[Bulan],H549,Cash_Flow_3[Type],"Out",Cash_Flow_3[Category],"Kitchen")</f>
        <v>0</v>
      </c>
      <c r="P549" s="29">
        <f>SUMIFS(Cash_Flow_3[Amount],Cash_Flow_3[Bulan],H549,Cash_Flow_3[Type],"Out",Cash_Flow_3[Category],"Loandry")</f>
        <v>0</v>
      </c>
      <c r="Q549" s="29">
        <f>SUMIFS(Cash_Flow_3[Amount],Cash_Flow_3[Bulan],H549,Cash_Flow_3[Type],"Out",Cash_Flow_3[Category],"Mio")</f>
        <v>0</v>
      </c>
      <c r="R549" s="29">
        <f>SUMIFS(Cash_Flow_3[Amount],Cash_Flow_3[Bulan],H549,Cash_Flow_3[Type],"Out",Cash_Flow_3[Category],"Sedekah")</f>
        <v>0</v>
      </c>
      <c r="S549" s="29">
        <f>SUMIFS(Cash_Flow_3[Amount],Cash_Flow_3[Bulan],H549,Cash_Flow_3[Type],"Out",Cash_Flow_3[Category],"Zela")</f>
        <v>0</v>
      </c>
      <c r="T549" s="29">
        <f>SUMIFS(Cash_Flow_3[Amount],Cash_Flow_3[Bulan],H549,Cash_Flow_3[Type],"Out",Cash_Flow_3[Category],"Iqbal")</f>
        <v>0</v>
      </c>
    </row>
    <row r="550" spans="1:20" ht="22.5" customHeight="1" x14ac:dyDescent="0.2">
      <c r="A550" s="23"/>
      <c r="B550" s="24"/>
      <c r="C550" s="25"/>
      <c r="D550" s="25"/>
      <c r="E550" s="25"/>
      <c r="F550" s="26"/>
      <c r="G550" s="27"/>
      <c r="H550" s="28" t="str">
        <f t="shared" si="0"/>
        <v/>
      </c>
      <c r="I550" s="29">
        <f>SUMIFS(Cash_Flow_3[Amount],Cash_Flow_3[Bulan],H550,Cash_Flow_3[Type],"In")</f>
        <v>0</v>
      </c>
      <c r="J550" s="29">
        <f>SUMIFS(Cash_Flow_3[Amount],Cash_Flow_3[Bulan],H550,Cash_Flow_3[Type],"Out")</f>
        <v>0</v>
      </c>
      <c r="K550" s="29">
        <f>SUMIFS(Cash_Flow_3[Amount],Cash_Flow_3[Bulan],H550,Cash_Flow_3[Type],"Out",Cash_Flow_3[Category],"Fix")</f>
        <v>0</v>
      </c>
      <c r="L550" s="29">
        <f>SUMIFS(Cash_Flow_3[Amount],Cash_Flow_3[Bulan],H550,Cash_Flow_3[Type],"Out",Cash_Flow_3[Category],"Bathroom")</f>
        <v>0</v>
      </c>
      <c r="M550" s="29">
        <f>SUMIFS(Cash_Flow_3[Amount],Cash_Flow_3[Bulan],H550,Cash_Flow_3[Type],"Out",Cash_Flow_3[Category],"Alfa")</f>
        <v>0</v>
      </c>
      <c r="N550" s="29">
        <f>SUMIFS(Cash_Flow_3[Amount],Cash_Flow_3[Bulan],H550,Cash_Flow_3[Type],"Out",Cash_Flow_3[Category],"Jajan")</f>
        <v>0</v>
      </c>
      <c r="O550" s="29">
        <f>SUMIFS(Cash_Flow_3[Amount],Cash_Flow_3[Bulan],H550,Cash_Flow_3[Type],"Out",Cash_Flow_3[Category],"Kitchen")</f>
        <v>0</v>
      </c>
      <c r="P550" s="29">
        <f>SUMIFS(Cash_Flow_3[Amount],Cash_Flow_3[Bulan],H550,Cash_Flow_3[Type],"Out",Cash_Flow_3[Category],"Loandry")</f>
        <v>0</v>
      </c>
      <c r="Q550" s="29">
        <f>SUMIFS(Cash_Flow_3[Amount],Cash_Flow_3[Bulan],H550,Cash_Flow_3[Type],"Out",Cash_Flow_3[Category],"Mio")</f>
        <v>0</v>
      </c>
      <c r="R550" s="29">
        <f>SUMIFS(Cash_Flow_3[Amount],Cash_Flow_3[Bulan],H550,Cash_Flow_3[Type],"Out",Cash_Flow_3[Category],"Sedekah")</f>
        <v>0</v>
      </c>
      <c r="S550" s="29">
        <f>SUMIFS(Cash_Flow_3[Amount],Cash_Flow_3[Bulan],H550,Cash_Flow_3[Type],"Out",Cash_Flow_3[Category],"Zela")</f>
        <v>0</v>
      </c>
      <c r="T550" s="29">
        <f>SUMIFS(Cash_Flow_3[Amount],Cash_Flow_3[Bulan],H550,Cash_Flow_3[Type],"Out",Cash_Flow_3[Category],"Iqbal")</f>
        <v>0</v>
      </c>
    </row>
    <row r="551" spans="1:20" ht="22.5" customHeight="1" x14ac:dyDescent="0.2">
      <c r="A551" s="23"/>
      <c r="B551" s="24"/>
      <c r="C551" s="25"/>
      <c r="D551" s="25"/>
      <c r="E551" s="25"/>
      <c r="F551" s="26"/>
      <c r="G551" s="27"/>
      <c r="H551" s="28" t="str">
        <f t="shared" si="0"/>
        <v/>
      </c>
      <c r="I551" s="29">
        <f>SUMIFS(Cash_Flow_3[Amount],Cash_Flow_3[Bulan],H551,Cash_Flow_3[Type],"In")</f>
        <v>0</v>
      </c>
      <c r="J551" s="29">
        <f>SUMIFS(Cash_Flow_3[Amount],Cash_Flow_3[Bulan],H551,Cash_Flow_3[Type],"Out")</f>
        <v>0</v>
      </c>
      <c r="K551" s="29">
        <f>SUMIFS(Cash_Flow_3[Amount],Cash_Flow_3[Bulan],H551,Cash_Flow_3[Type],"Out",Cash_Flow_3[Category],"Fix")</f>
        <v>0</v>
      </c>
      <c r="L551" s="29">
        <f>SUMIFS(Cash_Flow_3[Amount],Cash_Flow_3[Bulan],H551,Cash_Flow_3[Type],"Out",Cash_Flow_3[Category],"Bathroom")</f>
        <v>0</v>
      </c>
      <c r="M551" s="29">
        <f>SUMIFS(Cash_Flow_3[Amount],Cash_Flow_3[Bulan],H551,Cash_Flow_3[Type],"Out",Cash_Flow_3[Category],"Alfa")</f>
        <v>0</v>
      </c>
      <c r="N551" s="29">
        <f>SUMIFS(Cash_Flow_3[Amount],Cash_Flow_3[Bulan],H551,Cash_Flow_3[Type],"Out",Cash_Flow_3[Category],"Jajan")</f>
        <v>0</v>
      </c>
      <c r="O551" s="29">
        <f>SUMIFS(Cash_Flow_3[Amount],Cash_Flow_3[Bulan],H551,Cash_Flow_3[Type],"Out",Cash_Flow_3[Category],"Kitchen")</f>
        <v>0</v>
      </c>
      <c r="P551" s="29">
        <f>SUMIFS(Cash_Flow_3[Amount],Cash_Flow_3[Bulan],H551,Cash_Flow_3[Type],"Out",Cash_Flow_3[Category],"Loandry")</f>
        <v>0</v>
      </c>
      <c r="Q551" s="29">
        <f>SUMIFS(Cash_Flow_3[Amount],Cash_Flow_3[Bulan],H551,Cash_Flow_3[Type],"Out",Cash_Flow_3[Category],"Mio")</f>
        <v>0</v>
      </c>
      <c r="R551" s="29">
        <f>SUMIFS(Cash_Flow_3[Amount],Cash_Flow_3[Bulan],H551,Cash_Flow_3[Type],"Out",Cash_Flow_3[Category],"Sedekah")</f>
        <v>0</v>
      </c>
      <c r="S551" s="29">
        <f>SUMIFS(Cash_Flow_3[Amount],Cash_Flow_3[Bulan],H551,Cash_Flow_3[Type],"Out",Cash_Flow_3[Category],"Zela")</f>
        <v>0</v>
      </c>
      <c r="T551" s="29">
        <f>SUMIFS(Cash_Flow_3[Amount],Cash_Flow_3[Bulan],H551,Cash_Flow_3[Type],"Out",Cash_Flow_3[Category],"Iqbal")</f>
        <v>0</v>
      </c>
    </row>
    <row r="552" spans="1:20" ht="22.5" customHeight="1" x14ac:dyDescent="0.2">
      <c r="A552" s="23"/>
      <c r="B552" s="24"/>
      <c r="C552" s="25"/>
      <c r="D552" s="25"/>
      <c r="E552" s="25"/>
      <c r="F552" s="26"/>
      <c r="G552" s="27"/>
      <c r="H552" s="28" t="str">
        <f t="shared" si="0"/>
        <v/>
      </c>
      <c r="I552" s="29">
        <f>SUMIFS(Cash_Flow_3[Amount],Cash_Flow_3[Bulan],H552,Cash_Flow_3[Type],"In")</f>
        <v>0</v>
      </c>
      <c r="J552" s="29">
        <f>SUMIFS(Cash_Flow_3[Amount],Cash_Flow_3[Bulan],H552,Cash_Flow_3[Type],"Out")</f>
        <v>0</v>
      </c>
      <c r="K552" s="29">
        <f>SUMIFS(Cash_Flow_3[Amount],Cash_Flow_3[Bulan],H552,Cash_Flow_3[Type],"Out",Cash_Flow_3[Category],"Fix")</f>
        <v>0</v>
      </c>
      <c r="L552" s="29">
        <f>SUMIFS(Cash_Flow_3[Amount],Cash_Flow_3[Bulan],H552,Cash_Flow_3[Type],"Out",Cash_Flow_3[Category],"Bathroom")</f>
        <v>0</v>
      </c>
      <c r="M552" s="29">
        <f>SUMIFS(Cash_Flow_3[Amount],Cash_Flow_3[Bulan],H552,Cash_Flow_3[Type],"Out",Cash_Flow_3[Category],"Alfa")</f>
        <v>0</v>
      </c>
      <c r="N552" s="29">
        <f>SUMIFS(Cash_Flow_3[Amount],Cash_Flow_3[Bulan],H552,Cash_Flow_3[Type],"Out",Cash_Flow_3[Category],"Jajan")</f>
        <v>0</v>
      </c>
      <c r="O552" s="29">
        <f>SUMIFS(Cash_Flow_3[Amount],Cash_Flow_3[Bulan],H552,Cash_Flow_3[Type],"Out",Cash_Flow_3[Category],"Kitchen")</f>
        <v>0</v>
      </c>
      <c r="P552" s="29">
        <f>SUMIFS(Cash_Flow_3[Amount],Cash_Flow_3[Bulan],H552,Cash_Flow_3[Type],"Out",Cash_Flow_3[Category],"Loandry")</f>
        <v>0</v>
      </c>
      <c r="Q552" s="29">
        <f>SUMIFS(Cash_Flow_3[Amount],Cash_Flow_3[Bulan],H552,Cash_Flow_3[Type],"Out",Cash_Flow_3[Category],"Mio")</f>
        <v>0</v>
      </c>
      <c r="R552" s="29">
        <f>SUMIFS(Cash_Flow_3[Amount],Cash_Flow_3[Bulan],H552,Cash_Flow_3[Type],"Out",Cash_Flow_3[Category],"Sedekah")</f>
        <v>0</v>
      </c>
      <c r="S552" s="29">
        <f>SUMIFS(Cash_Flow_3[Amount],Cash_Flow_3[Bulan],H552,Cash_Flow_3[Type],"Out",Cash_Flow_3[Category],"Zela")</f>
        <v>0</v>
      </c>
      <c r="T552" s="29">
        <f>SUMIFS(Cash_Flow_3[Amount],Cash_Flow_3[Bulan],H552,Cash_Flow_3[Type],"Out",Cash_Flow_3[Category],"Iqbal")</f>
        <v>0</v>
      </c>
    </row>
    <row r="553" spans="1:20" ht="22.5" customHeight="1" x14ac:dyDescent="0.2">
      <c r="A553" s="23"/>
      <c r="B553" s="24"/>
      <c r="C553" s="25"/>
      <c r="D553" s="25"/>
      <c r="E553" s="25"/>
      <c r="F553" s="26"/>
      <c r="G553" s="27"/>
      <c r="H553" s="28" t="str">
        <f t="shared" si="0"/>
        <v/>
      </c>
      <c r="I553" s="29">
        <f>SUMIFS(Cash_Flow_3[Amount],Cash_Flow_3[Bulan],H553,Cash_Flow_3[Type],"In")</f>
        <v>0</v>
      </c>
      <c r="J553" s="29">
        <f>SUMIFS(Cash_Flow_3[Amount],Cash_Flow_3[Bulan],H553,Cash_Flow_3[Type],"Out")</f>
        <v>0</v>
      </c>
      <c r="K553" s="29">
        <f>SUMIFS(Cash_Flow_3[Amount],Cash_Flow_3[Bulan],H553,Cash_Flow_3[Type],"Out",Cash_Flow_3[Category],"Fix")</f>
        <v>0</v>
      </c>
      <c r="L553" s="29">
        <f>SUMIFS(Cash_Flow_3[Amount],Cash_Flow_3[Bulan],H553,Cash_Flow_3[Type],"Out",Cash_Flow_3[Category],"Bathroom")</f>
        <v>0</v>
      </c>
      <c r="M553" s="29">
        <f>SUMIFS(Cash_Flow_3[Amount],Cash_Flow_3[Bulan],H553,Cash_Flow_3[Type],"Out",Cash_Flow_3[Category],"Alfa")</f>
        <v>0</v>
      </c>
      <c r="N553" s="29">
        <f>SUMIFS(Cash_Flow_3[Amount],Cash_Flow_3[Bulan],H553,Cash_Flow_3[Type],"Out",Cash_Flow_3[Category],"Jajan")</f>
        <v>0</v>
      </c>
      <c r="O553" s="29">
        <f>SUMIFS(Cash_Flow_3[Amount],Cash_Flow_3[Bulan],H553,Cash_Flow_3[Type],"Out",Cash_Flow_3[Category],"Kitchen")</f>
        <v>0</v>
      </c>
      <c r="P553" s="29">
        <f>SUMIFS(Cash_Flow_3[Amount],Cash_Flow_3[Bulan],H553,Cash_Flow_3[Type],"Out",Cash_Flow_3[Category],"Loandry")</f>
        <v>0</v>
      </c>
      <c r="Q553" s="29">
        <f>SUMIFS(Cash_Flow_3[Amount],Cash_Flow_3[Bulan],H553,Cash_Flow_3[Type],"Out",Cash_Flow_3[Category],"Mio")</f>
        <v>0</v>
      </c>
      <c r="R553" s="29">
        <f>SUMIFS(Cash_Flow_3[Amount],Cash_Flow_3[Bulan],H553,Cash_Flow_3[Type],"Out",Cash_Flow_3[Category],"Sedekah")</f>
        <v>0</v>
      </c>
      <c r="S553" s="29">
        <f>SUMIFS(Cash_Flow_3[Amount],Cash_Flow_3[Bulan],H553,Cash_Flow_3[Type],"Out",Cash_Flow_3[Category],"Zela")</f>
        <v>0</v>
      </c>
      <c r="T553" s="29">
        <f>SUMIFS(Cash_Flow_3[Amount],Cash_Flow_3[Bulan],H553,Cash_Flow_3[Type],"Out",Cash_Flow_3[Category],"Iqbal")</f>
        <v>0</v>
      </c>
    </row>
    <row r="554" spans="1:20" ht="22.5" customHeight="1" x14ac:dyDescent="0.2">
      <c r="A554" s="23"/>
      <c r="B554" s="24"/>
      <c r="C554" s="25"/>
      <c r="D554" s="25"/>
      <c r="E554" s="25"/>
      <c r="F554" s="26"/>
      <c r="G554" s="27"/>
      <c r="H554" s="28" t="str">
        <f t="shared" si="0"/>
        <v/>
      </c>
      <c r="I554" s="29">
        <f>SUMIFS(Cash_Flow_3[Amount],Cash_Flow_3[Bulan],H554,Cash_Flow_3[Type],"In")</f>
        <v>0</v>
      </c>
      <c r="J554" s="29">
        <f>SUMIFS(Cash_Flow_3[Amount],Cash_Flow_3[Bulan],H554,Cash_Flow_3[Type],"Out")</f>
        <v>0</v>
      </c>
      <c r="K554" s="29">
        <f>SUMIFS(Cash_Flow_3[Amount],Cash_Flow_3[Bulan],H554,Cash_Flow_3[Type],"Out",Cash_Flow_3[Category],"Fix")</f>
        <v>0</v>
      </c>
      <c r="L554" s="29">
        <f>SUMIFS(Cash_Flow_3[Amount],Cash_Flow_3[Bulan],H554,Cash_Flow_3[Type],"Out",Cash_Flow_3[Category],"Bathroom")</f>
        <v>0</v>
      </c>
      <c r="M554" s="29">
        <f>SUMIFS(Cash_Flow_3[Amount],Cash_Flow_3[Bulan],H554,Cash_Flow_3[Type],"Out",Cash_Flow_3[Category],"Alfa")</f>
        <v>0</v>
      </c>
      <c r="N554" s="29">
        <f>SUMIFS(Cash_Flow_3[Amount],Cash_Flow_3[Bulan],H554,Cash_Flow_3[Type],"Out",Cash_Flow_3[Category],"Jajan")</f>
        <v>0</v>
      </c>
      <c r="O554" s="29">
        <f>SUMIFS(Cash_Flow_3[Amount],Cash_Flow_3[Bulan],H554,Cash_Flow_3[Type],"Out",Cash_Flow_3[Category],"Kitchen")</f>
        <v>0</v>
      </c>
      <c r="P554" s="29">
        <f>SUMIFS(Cash_Flow_3[Amount],Cash_Flow_3[Bulan],H554,Cash_Flow_3[Type],"Out",Cash_Flow_3[Category],"Loandry")</f>
        <v>0</v>
      </c>
      <c r="Q554" s="29">
        <f>SUMIFS(Cash_Flow_3[Amount],Cash_Flow_3[Bulan],H554,Cash_Flow_3[Type],"Out",Cash_Flow_3[Category],"Mio")</f>
        <v>0</v>
      </c>
      <c r="R554" s="29">
        <f>SUMIFS(Cash_Flow_3[Amount],Cash_Flow_3[Bulan],H554,Cash_Flow_3[Type],"Out",Cash_Flow_3[Category],"Sedekah")</f>
        <v>0</v>
      </c>
      <c r="S554" s="29">
        <f>SUMIFS(Cash_Flow_3[Amount],Cash_Flow_3[Bulan],H554,Cash_Flow_3[Type],"Out",Cash_Flow_3[Category],"Zela")</f>
        <v>0</v>
      </c>
      <c r="T554" s="29">
        <f>SUMIFS(Cash_Flow_3[Amount],Cash_Flow_3[Bulan],H554,Cash_Flow_3[Type],"Out",Cash_Flow_3[Category],"Iqbal")</f>
        <v>0</v>
      </c>
    </row>
    <row r="555" spans="1:20" ht="22.5" customHeight="1" x14ac:dyDescent="0.2">
      <c r="A555" s="23"/>
      <c r="B555" s="24"/>
      <c r="C555" s="25"/>
      <c r="D555" s="25"/>
      <c r="E555" s="25"/>
      <c r="F555" s="26"/>
      <c r="G555" s="27"/>
      <c r="H555" s="28" t="str">
        <f t="shared" si="0"/>
        <v/>
      </c>
      <c r="I555" s="29">
        <f>SUMIFS(Cash_Flow_3[Amount],Cash_Flow_3[Bulan],H555,Cash_Flow_3[Type],"In")</f>
        <v>0</v>
      </c>
      <c r="J555" s="29">
        <f>SUMIFS(Cash_Flow_3[Amount],Cash_Flow_3[Bulan],H555,Cash_Flow_3[Type],"Out")</f>
        <v>0</v>
      </c>
      <c r="K555" s="29">
        <f>SUMIFS(Cash_Flow_3[Amount],Cash_Flow_3[Bulan],H555,Cash_Flow_3[Type],"Out",Cash_Flow_3[Category],"Fix")</f>
        <v>0</v>
      </c>
      <c r="L555" s="29">
        <f>SUMIFS(Cash_Flow_3[Amount],Cash_Flow_3[Bulan],H555,Cash_Flow_3[Type],"Out",Cash_Flow_3[Category],"Bathroom")</f>
        <v>0</v>
      </c>
      <c r="M555" s="29">
        <f>SUMIFS(Cash_Flow_3[Amount],Cash_Flow_3[Bulan],H555,Cash_Flow_3[Type],"Out",Cash_Flow_3[Category],"Alfa")</f>
        <v>0</v>
      </c>
      <c r="N555" s="29">
        <f>SUMIFS(Cash_Flow_3[Amount],Cash_Flow_3[Bulan],H555,Cash_Flow_3[Type],"Out",Cash_Flow_3[Category],"Jajan")</f>
        <v>0</v>
      </c>
      <c r="O555" s="29">
        <f>SUMIFS(Cash_Flow_3[Amount],Cash_Flow_3[Bulan],H555,Cash_Flow_3[Type],"Out",Cash_Flow_3[Category],"Kitchen")</f>
        <v>0</v>
      </c>
      <c r="P555" s="29">
        <f>SUMIFS(Cash_Flow_3[Amount],Cash_Flow_3[Bulan],H555,Cash_Flow_3[Type],"Out",Cash_Flow_3[Category],"Loandry")</f>
        <v>0</v>
      </c>
      <c r="Q555" s="29">
        <f>SUMIFS(Cash_Flow_3[Amount],Cash_Flow_3[Bulan],H555,Cash_Flow_3[Type],"Out",Cash_Flow_3[Category],"Mio")</f>
        <v>0</v>
      </c>
      <c r="R555" s="29">
        <f>SUMIFS(Cash_Flow_3[Amount],Cash_Flow_3[Bulan],H555,Cash_Flow_3[Type],"Out",Cash_Flow_3[Category],"Sedekah")</f>
        <v>0</v>
      </c>
      <c r="S555" s="29">
        <f>SUMIFS(Cash_Flow_3[Amount],Cash_Flow_3[Bulan],H555,Cash_Flow_3[Type],"Out",Cash_Flow_3[Category],"Zela")</f>
        <v>0</v>
      </c>
      <c r="T555" s="29">
        <f>SUMIFS(Cash_Flow_3[Amount],Cash_Flow_3[Bulan],H555,Cash_Flow_3[Type],"Out",Cash_Flow_3[Category],"Iqbal")</f>
        <v>0</v>
      </c>
    </row>
    <row r="556" spans="1:20" ht="22.5" customHeight="1" x14ac:dyDescent="0.2">
      <c r="A556" s="23"/>
      <c r="B556" s="24"/>
      <c r="C556" s="25"/>
      <c r="D556" s="25"/>
      <c r="E556" s="25"/>
      <c r="F556" s="26"/>
      <c r="G556" s="27"/>
      <c r="H556" s="28" t="str">
        <f t="shared" si="0"/>
        <v/>
      </c>
      <c r="I556" s="29">
        <f>SUMIFS(Cash_Flow_3[Amount],Cash_Flow_3[Bulan],H556,Cash_Flow_3[Type],"In")</f>
        <v>0</v>
      </c>
      <c r="J556" s="29">
        <f>SUMIFS(Cash_Flow_3[Amount],Cash_Flow_3[Bulan],H556,Cash_Flow_3[Type],"Out")</f>
        <v>0</v>
      </c>
      <c r="K556" s="29">
        <f>SUMIFS(Cash_Flow_3[Amount],Cash_Flow_3[Bulan],H556,Cash_Flow_3[Type],"Out",Cash_Flow_3[Category],"Fix")</f>
        <v>0</v>
      </c>
      <c r="L556" s="29">
        <f>SUMIFS(Cash_Flow_3[Amount],Cash_Flow_3[Bulan],H556,Cash_Flow_3[Type],"Out",Cash_Flow_3[Category],"Bathroom")</f>
        <v>0</v>
      </c>
      <c r="M556" s="29">
        <f>SUMIFS(Cash_Flow_3[Amount],Cash_Flow_3[Bulan],H556,Cash_Flow_3[Type],"Out",Cash_Flow_3[Category],"Alfa")</f>
        <v>0</v>
      </c>
      <c r="N556" s="29">
        <f>SUMIFS(Cash_Flow_3[Amount],Cash_Flow_3[Bulan],H556,Cash_Flow_3[Type],"Out",Cash_Flow_3[Category],"Jajan")</f>
        <v>0</v>
      </c>
      <c r="O556" s="29">
        <f>SUMIFS(Cash_Flow_3[Amount],Cash_Flow_3[Bulan],H556,Cash_Flow_3[Type],"Out",Cash_Flow_3[Category],"Kitchen")</f>
        <v>0</v>
      </c>
      <c r="P556" s="29">
        <f>SUMIFS(Cash_Flow_3[Amount],Cash_Flow_3[Bulan],H556,Cash_Flow_3[Type],"Out",Cash_Flow_3[Category],"Loandry")</f>
        <v>0</v>
      </c>
      <c r="Q556" s="29">
        <f>SUMIFS(Cash_Flow_3[Amount],Cash_Flow_3[Bulan],H556,Cash_Flow_3[Type],"Out",Cash_Flow_3[Category],"Mio")</f>
        <v>0</v>
      </c>
      <c r="R556" s="29">
        <f>SUMIFS(Cash_Flow_3[Amount],Cash_Flow_3[Bulan],H556,Cash_Flow_3[Type],"Out",Cash_Flow_3[Category],"Sedekah")</f>
        <v>0</v>
      </c>
      <c r="S556" s="29">
        <f>SUMIFS(Cash_Flow_3[Amount],Cash_Flow_3[Bulan],H556,Cash_Flow_3[Type],"Out",Cash_Flow_3[Category],"Zela")</f>
        <v>0</v>
      </c>
      <c r="T556" s="29">
        <f>SUMIFS(Cash_Flow_3[Amount],Cash_Flow_3[Bulan],H556,Cash_Flow_3[Type],"Out",Cash_Flow_3[Category],"Iqbal")</f>
        <v>0</v>
      </c>
    </row>
    <row r="557" spans="1:20" ht="22.5" customHeight="1" x14ac:dyDescent="0.2">
      <c r="A557" s="23"/>
      <c r="B557" s="24"/>
      <c r="C557" s="25"/>
      <c r="D557" s="25"/>
      <c r="E557" s="25"/>
      <c r="F557" s="26"/>
      <c r="G557" s="27"/>
      <c r="H557" s="28" t="str">
        <f t="shared" si="0"/>
        <v/>
      </c>
      <c r="I557" s="29">
        <f>SUMIFS(Cash_Flow_3[Amount],Cash_Flow_3[Bulan],H557,Cash_Flow_3[Type],"In")</f>
        <v>0</v>
      </c>
      <c r="J557" s="29">
        <f>SUMIFS(Cash_Flow_3[Amount],Cash_Flow_3[Bulan],H557,Cash_Flow_3[Type],"Out")</f>
        <v>0</v>
      </c>
      <c r="K557" s="29">
        <f>SUMIFS(Cash_Flow_3[Amount],Cash_Flow_3[Bulan],H557,Cash_Flow_3[Type],"Out",Cash_Flow_3[Category],"Fix")</f>
        <v>0</v>
      </c>
      <c r="L557" s="29">
        <f>SUMIFS(Cash_Flow_3[Amount],Cash_Flow_3[Bulan],H557,Cash_Flow_3[Type],"Out",Cash_Flow_3[Category],"Bathroom")</f>
        <v>0</v>
      </c>
      <c r="M557" s="29">
        <f>SUMIFS(Cash_Flow_3[Amount],Cash_Flow_3[Bulan],H557,Cash_Flow_3[Type],"Out",Cash_Flow_3[Category],"Alfa")</f>
        <v>0</v>
      </c>
      <c r="N557" s="29">
        <f>SUMIFS(Cash_Flow_3[Amount],Cash_Flow_3[Bulan],H557,Cash_Flow_3[Type],"Out",Cash_Flow_3[Category],"Jajan")</f>
        <v>0</v>
      </c>
      <c r="O557" s="29">
        <f>SUMIFS(Cash_Flow_3[Amount],Cash_Flow_3[Bulan],H557,Cash_Flow_3[Type],"Out",Cash_Flow_3[Category],"Kitchen")</f>
        <v>0</v>
      </c>
      <c r="P557" s="29">
        <f>SUMIFS(Cash_Flow_3[Amount],Cash_Flow_3[Bulan],H557,Cash_Flow_3[Type],"Out",Cash_Flow_3[Category],"Loandry")</f>
        <v>0</v>
      </c>
      <c r="Q557" s="29">
        <f>SUMIFS(Cash_Flow_3[Amount],Cash_Flow_3[Bulan],H557,Cash_Flow_3[Type],"Out",Cash_Flow_3[Category],"Mio")</f>
        <v>0</v>
      </c>
      <c r="R557" s="29">
        <f>SUMIFS(Cash_Flow_3[Amount],Cash_Flow_3[Bulan],H557,Cash_Flow_3[Type],"Out",Cash_Flow_3[Category],"Sedekah")</f>
        <v>0</v>
      </c>
      <c r="S557" s="29">
        <f>SUMIFS(Cash_Flow_3[Amount],Cash_Flow_3[Bulan],H557,Cash_Flow_3[Type],"Out",Cash_Flow_3[Category],"Zela")</f>
        <v>0</v>
      </c>
      <c r="T557" s="29">
        <f>SUMIFS(Cash_Flow_3[Amount],Cash_Flow_3[Bulan],H557,Cash_Flow_3[Type],"Out",Cash_Flow_3[Category],"Iqbal")</f>
        <v>0</v>
      </c>
    </row>
    <row r="558" spans="1:20" ht="22.5" customHeight="1" x14ac:dyDescent="0.2">
      <c r="A558" s="23"/>
      <c r="B558" s="24"/>
      <c r="C558" s="25"/>
      <c r="D558" s="25"/>
      <c r="E558" s="25"/>
      <c r="F558" s="26"/>
      <c r="G558" s="27"/>
      <c r="H558" s="28" t="str">
        <f t="shared" si="0"/>
        <v/>
      </c>
      <c r="I558" s="29">
        <f>SUMIFS(Cash_Flow_3[Amount],Cash_Flow_3[Bulan],H558,Cash_Flow_3[Type],"In")</f>
        <v>0</v>
      </c>
      <c r="J558" s="29">
        <f>SUMIFS(Cash_Flow_3[Amount],Cash_Flow_3[Bulan],H558,Cash_Flow_3[Type],"Out")</f>
        <v>0</v>
      </c>
      <c r="K558" s="29">
        <f>SUMIFS(Cash_Flow_3[Amount],Cash_Flow_3[Bulan],H558,Cash_Flow_3[Type],"Out",Cash_Flow_3[Category],"Fix")</f>
        <v>0</v>
      </c>
      <c r="L558" s="29">
        <f>SUMIFS(Cash_Flow_3[Amount],Cash_Flow_3[Bulan],H558,Cash_Flow_3[Type],"Out",Cash_Flow_3[Category],"Bathroom")</f>
        <v>0</v>
      </c>
      <c r="M558" s="29">
        <f>SUMIFS(Cash_Flow_3[Amount],Cash_Flow_3[Bulan],H558,Cash_Flow_3[Type],"Out",Cash_Flow_3[Category],"Alfa")</f>
        <v>0</v>
      </c>
      <c r="N558" s="29">
        <f>SUMIFS(Cash_Flow_3[Amount],Cash_Flow_3[Bulan],H558,Cash_Flow_3[Type],"Out",Cash_Flow_3[Category],"Jajan")</f>
        <v>0</v>
      </c>
      <c r="O558" s="29">
        <f>SUMIFS(Cash_Flow_3[Amount],Cash_Flow_3[Bulan],H558,Cash_Flow_3[Type],"Out",Cash_Flow_3[Category],"Kitchen")</f>
        <v>0</v>
      </c>
      <c r="P558" s="29">
        <f>SUMIFS(Cash_Flow_3[Amount],Cash_Flow_3[Bulan],H558,Cash_Flow_3[Type],"Out",Cash_Flow_3[Category],"Loandry")</f>
        <v>0</v>
      </c>
      <c r="Q558" s="29">
        <f>SUMIFS(Cash_Flow_3[Amount],Cash_Flow_3[Bulan],H558,Cash_Flow_3[Type],"Out",Cash_Flow_3[Category],"Mio")</f>
        <v>0</v>
      </c>
      <c r="R558" s="29">
        <f>SUMIFS(Cash_Flow_3[Amount],Cash_Flow_3[Bulan],H558,Cash_Flow_3[Type],"Out",Cash_Flow_3[Category],"Sedekah")</f>
        <v>0</v>
      </c>
      <c r="S558" s="29">
        <f>SUMIFS(Cash_Flow_3[Amount],Cash_Flow_3[Bulan],H558,Cash_Flow_3[Type],"Out",Cash_Flow_3[Category],"Zela")</f>
        <v>0</v>
      </c>
      <c r="T558" s="29">
        <f>SUMIFS(Cash_Flow_3[Amount],Cash_Flow_3[Bulan],H558,Cash_Flow_3[Type],"Out",Cash_Flow_3[Category],"Iqbal")</f>
        <v>0</v>
      </c>
    </row>
    <row r="559" spans="1:20" ht="22.5" customHeight="1" x14ac:dyDescent="0.2">
      <c r="A559" s="23"/>
      <c r="B559" s="24"/>
      <c r="C559" s="25"/>
      <c r="D559" s="25"/>
      <c r="E559" s="25"/>
      <c r="F559" s="26"/>
      <c r="G559" s="27"/>
      <c r="H559" s="28" t="str">
        <f t="shared" si="0"/>
        <v/>
      </c>
      <c r="I559" s="29">
        <f>SUMIFS(Cash_Flow_3[Amount],Cash_Flow_3[Bulan],H559,Cash_Flow_3[Type],"In")</f>
        <v>0</v>
      </c>
      <c r="J559" s="29">
        <f>SUMIFS(Cash_Flow_3[Amount],Cash_Flow_3[Bulan],H559,Cash_Flow_3[Type],"Out")</f>
        <v>0</v>
      </c>
      <c r="K559" s="29">
        <f>SUMIFS(Cash_Flow_3[Amount],Cash_Flow_3[Bulan],H559,Cash_Flow_3[Type],"Out",Cash_Flow_3[Category],"Fix")</f>
        <v>0</v>
      </c>
      <c r="L559" s="29">
        <f>SUMIFS(Cash_Flow_3[Amount],Cash_Flow_3[Bulan],H559,Cash_Flow_3[Type],"Out",Cash_Flow_3[Category],"Bathroom")</f>
        <v>0</v>
      </c>
      <c r="M559" s="29">
        <f>SUMIFS(Cash_Flow_3[Amount],Cash_Flow_3[Bulan],H559,Cash_Flow_3[Type],"Out",Cash_Flow_3[Category],"Alfa")</f>
        <v>0</v>
      </c>
      <c r="N559" s="29">
        <f>SUMIFS(Cash_Flow_3[Amount],Cash_Flow_3[Bulan],H559,Cash_Flow_3[Type],"Out",Cash_Flow_3[Category],"Jajan")</f>
        <v>0</v>
      </c>
      <c r="O559" s="29">
        <f>SUMIFS(Cash_Flow_3[Amount],Cash_Flow_3[Bulan],H559,Cash_Flow_3[Type],"Out",Cash_Flow_3[Category],"Kitchen")</f>
        <v>0</v>
      </c>
      <c r="P559" s="29">
        <f>SUMIFS(Cash_Flow_3[Amount],Cash_Flow_3[Bulan],H559,Cash_Flow_3[Type],"Out",Cash_Flow_3[Category],"Loandry")</f>
        <v>0</v>
      </c>
      <c r="Q559" s="29">
        <f>SUMIFS(Cash_Flow_3[Amount],Cash_Flow_3[Bulan],H559,Cash_Flow_3[Type],"Out",Cash_Flow_3[Category],"Mio")</f>
        <v>0</v>
      </c>
      <c r="R559" s="29">
        <f>SUMIFS(Cash_Flow_3[Amount],Cash_Flow_3[Bulan],H559,Cash_Flow_3[Type],"Out",Cash_Flow_3[Category],"Sedekah")</f>
        <v>0</v>
      </c>
      <c r="S559" s="29">
        <f>SUMIFS(Cash_Flow_3[Amount],Cash_Flow_3[Bulan],H559,Cash_Flow_3[Type],"Out",Cash_Flow_3[Category],"Zela")</f>
        <v>0</v>
      </c>
      <c r="T559" s="29">
        <f>SUMIFS(Cash_Flow_3[Amount],Cash_Flow_3[Bulan],H559,Cash_Flow_3[Type],"Out",Cash_Flow_3[Category],"Iqbal")</f>
        <v>0</v>
      </c>
    </row>
    <row r="560" spans="1:20" ht="22.5" customHeight="1" x14ac:dyDescent="0.2">
      <c r="A560" s="23"/>
      <c r="B560" s="24"/>
      <c r="C560" s="25"/>
      <c r="D560" s="25"/>
      <c r="E560" s="25"/>
      <c r="F560" s="26"/>
      <c r="G560" s="27"/>
      <c r="H560" s="28" t="str">
        <f t="shared" si="0"/>
        <v/>
      </c>
      <c r="I560" s="29">
        <f>SUMIFS(Cash_Flow_3[Amount],Cash_Flow_3[Bulan],H560,Cash_Flow_3[Type],"In")</f>
        <v>0</v>
      </c>
      <c r="J560" s="29">
        <f>SUMIFS(Cash_Flow_3[Amount],Cash_Flow_3[Bulan],H560,Cash_Flow_3[Type],"Out")</f>
        <v>0</v>
      </c>
      <c r="K560" s="29">
        <f>SUMIFS(Cash_Flow_3[Amount],Cash_Flow_3[Bulan],H560,Cash_Flow_3[Type],"Out",Cash_Flow_3[Category],"Fix")</f>
        <v>0</v>
      </c>
      <c r="L560" s="29">
        <f>SUMIFS(Cash_Flow_3[Amount],Cash_Flow_3[Bulan],H560,Cash_Flow_3[Type],"Out",Cash_Flow_3[Category],"Bathroom")</f>
        <v>0</v>
      </c>
      <c r="M560" s="29">
        <f>SUMIFS(Cash_Flow_3[Amount],Cash_Flow_3[Bulan],H560,Cash_Flow_3[Type],"Out",Cash_Flow_3[Category],"Alfa")</f>
        <v>0</v>
      </c>
      <c r="N560" s="29">
        <f>SUMIFS(Cash_Flow_3[Amount],Cash_Flow_3[Bulan],H560,Cash_Flow_3[Type],"Out",Cash_Flow_3[Category],"Jajan")</f>
        <v>0</v>
      </c>
      <c r="O560" s="29">
        <f>SUMIFS(Cash_Flow_3[Amount],Cash_Flow_3[Bulan],H560,Cash_Flow_3[Type],"Out",Cash_Flow_3[Category],"Kitchen")</f>
        <v>0</v>
      </c>
      <c r="P560" s="29">
        <f>SUMIFS(Cash_Flow_3[Amount],Cash_Flow_3[Bulan],H560,Cash_Flow_3[Type],"Out",Cash_Flow_3[Category],"Loandry")</f>
        <v>0</v>
      </c>
      <c r="Q560" s="29">
        <f>SUMIFS(Cash_Flow_3[Amount],Cash_Flow_3[Bulan],H560,Cash_Flow_3[Type],"Out",Cash_Flow_3[Category],"Mio")</f>
        <v>0</v>
      </c>
      <c r="R560" s="29">
        <f>SUMIFS(Cash_Flow_3[Amount],Cash_Flow_3[Bulan],H560,Cash_Flow_3[Type],"Out",Cash_Flow_3[Category],"Sedekah")</f>
        <v>0</v>
      </c>
      <c r="S560" s="29">
        <f>SUMIFS(Cash_Flow_3[Amount],Cash_Flow_3[Bulan],H560,Cash_Flow_3[Type],"Out",Cash_Flow_3[Category],"Zela")</f>
        <v>0</v>
      </c>
      <c r="T560" s="29">
        <f>SUMIFS(Cash_Flow_3[Amount],Cash_Flow_3[Bulan],H560,Cash_Flow_3[Type],"Out",Cash_Flow_3[Category],"Iqbal")</f>
        <v>0</v>
      </c>
    </row>
    <row r="561" spans="1:20" ht="22.5" customHeight="1" x14ac:dyDescent="0.2">
      <c r="A561" s="23"/>
      <c r="B561" s="24"/>
      <c r="C561" s="25"/>
      <c r="D561" s="25"/>
      <c r="E561" s="25"/>
      <c r="F561" s="26"/>
      <c r="G561" s="27"/>
      <c r="H561" s="28" t="str">
        <f t="shared" si="0"/>
        <v/>
      </c>
      <c r="I561" s="29">
        <f>SUMIFS(Cash_Flow_3[Amount],Cash_Flow_3[Bulan],H561,Cash_Flow_3[Type],"In")</f>
        <v>0</v>
      </c>
      <c r="J561" s="29">
        <f>SUMIFS(Cash_Flow_3[Amount],Cash_Flow_3[Bulan],H561,Cash_Flow_3[Type],"Out")</f>
        <v>0</v>
      </c>
      <c r="K561" s="29">
        <f>SUMIFS(Cash_Flow_3[Amount],Cash_Flow_3[Bulan],H561,Cash_Flow_3[Type],"Out",Cash_Flow_3[Category],"Fix")</f>
        <v>0</v>
      </c>
      <c r="L561" s="29">
        <f>SUMIFS(Cash_Flow_3[Amount],Cash_Flow_3[Bulan],H561,Cash_Flow_3[Type],"Out",Cash_Flow_3[Category],"Bathroom")</f>
        <v>0</v>
      </c>
      <c r="M561" s="29">
        <f>SUMIFS(Cash_Flow_3[Amount],Cash_Flow_3[Bulan],H561,Cash_Flow_3[Type],"Out",Cash_Flow_3[Category],"Alfa")</f>
        <v>0</v>
      </c>
      <c r="N561" s="29">
        <f>SUMIFS(Cash_Flow_3[Amount],Cash_Flow_3[Bulan],H561,Cash_Flow_3[Type],"Out",Cash_Flow_3[Category],"Jajan")</f>
        <v>0</v>
      </c>
      <c r="O561" s="29">
        <f>SUMIFS(Cash_Flow_3[Amount],Cash_Flow_3[Bulan],H561,Cash_Flow_3[Type],"Out",Cash_Flow_3[Category],"Kitchen")</f>
        <v>0</v>
      </c>
      <c r="P561" s="29">
        <f>SUMIFS(Cash_Flow_3[Amount],Cash_Flow_3[Bulan],H561,Cash_Flow_3[Type],"Out",Cash_Flow_3[Category],"Loandry")</f>
        <v>0</v>
      </c>
      <c r="Q561" s="29">
        <f>SUMIFS(Cash_Flow_3[Amount],Cash_Flow_3[Bulan],H561,Cash_Flow_3[Type],"Out",Cash_Flow_3[Category],"Mio")</f>
        <v>0</v>
      </c>
      <c r="R561" s="29">
        <f>SUMIFS(Cash_Flow_3[Amount],Cash_Flow_3[Bulan],H561,Cash_Flow_3[Type],"Out",Cash_Flow_3[Category],"Sedekah")</f>
        <v>0</v>
      </c>
      <c r="S561" s="29">
        <f>SUMIFS(Cash_Flow_3[Amount],Cash_Flow_3[Bulan],H561,Cash_Flow_3[Type],"Out",Cash_Flow_3[Category],"Zela")</f>
        <v>0</v>
      </c>
      <c r="T561" s="29">
        <f>SUMIFS(Cash_Flow_3[Amount],Cash_Flow_3[Bulan],H561,Cash_Flow_3[Type],"Out",Cash_Flow_3[Category],"Iqbal")</f>
        <v>0</v>
      </c>
    </row>
    <row r="562" spans="1:20" ht="22.5" customHeight="1" x14ac:dyDescent="0.2">
      <c r="A562" s="23"/>
      <c r="B562" s="24"/>
      <c r="C562" s="25"/>
      <c r="D562" s="25"/>
      <c r="E562" s="25"/>
      <c r="F562" s="26"/>
      <c r="G562" s="27"/>
      <c r="H562" s="28" t="str">
        <f t="shared" si="0"/>
        <v/>
      </c>
      <c r="I562" s="29">
        <f>SUMIFS(Cash_Flow_3[Amount],Cash_Flow_3[Bulan],H562,Cash_Flow_3[Type],"In")</f>
        <v>0</v>
      </c>
      <c r="J562" s="29">
        <f>SUMIFS(Cash_Flow_3[Amount],Cash_Flow_3[Bulan],H562,Cash_Flow_3[Type],"Out")</f>
        <v>0</v>
      </c>
      <c r="K562" s="29">
        <f>SUMIFS(Cash_Flow_3[Amount],Cash_Flow_3[Bulan],H562,Cash_Flow_3[Type],"Out",Cash_Flow_3[Category],"Fix")</f>
        <v>0</v>
      </c>
      <c r="L562" s="29">
        <f>SUMIFS(Cash_Flow_3[Amount],Cash_Flow_3[Bulan],H562,Cash_Flow_3[Type],"Out",Cash_Flow_3[Category],"Bathroom")</f>
        <v>0</v>
      </c>
      <c r="M562" s="29">
        <f>SUMIFS(Cash_Flow_3[Amount],Cash_Flow_3[Bulan],H562,Cash_Flow_3[Type],"Out",Cash_Flow_3[Category],"Alfa")</f>
        <v>0</v>
      </c>
      <c r="N562" s="29">
        <f>SUMIFS(Cash_Flow_3[Amount],Cash_Flow_3[Bulan],H562,Cash_Flow_3[Type],"Out",Cash_Flow_3[Category],"Jajan")</f>
        <v>0</v>
      </c>
      <c r="O562" s="29">
        <f>SUMIFS(Cash_Flow_3[Amount],Cash_Flow_3[Bulan],H562,Cash_Flow_3[Type],"Out",Cash_Flow_3[Category],"Kitchen")</f>
        <v>0</v>
      </c>
      <c r="P562" s="29">
        <f>SUMIFS(Cash_Flow_3[Amount],Cash_Flow_3[Bulan],H562,Cash_Flow_3[Type],"Out",Cash_Flow_3[Category],"Loandry")</f>
        <v>0</v>
      </c>
      <c r="Q562" s="29">
        <f>SUMIFS(Cash_Flow_3[Amount],Cash_Flow_3[Bulan],H562,Cash_Flow_3[Type],"Out",Cash_Flow_3[Category],"Mio")</f>
        <v>0</v>
      </c>
      <c r="R562" s="29">
        <f>SUMIFS(Cash_Flow_3[Amount],Cash_Flow_3[Bulan],H562,Cash_Flow_3[Type],"Out",Cash_Flow_3[Category],"Sedekah")</f>
        <v>0</v>
      </c>
      <c r="S562" s="29">
        <f>SUMIFS(Cash_Flow_3[Amount],Cash_Flow_3[Bulan],H562,Cash_Flow_3[Type],"Out",Cash_Flow_3[Category],"Zela")</f>
        <v>0</v>
      </c>
      <c r="T562" s="29">
        <f>SUMIFS(Cash_Flow_3[Amount],Cash_Flow_3[Bulan],H562,Cash_Flow_3[Type],"Out",Cash_Flow_3[Category],"Iqbal")</f>
        <v>0</v>
      </c>
    </row>
    <row r="563" spans="1:20" ht="22.5" customHeight="1" x14ac:dyDescent="0.2">
      <c r="A563" s="23"/>
      <c r="B563" s="24"/>
      <c r="C563" s="25"/>
      <c r="D563" s="25"/>
      <c r="E563" s="25"/>
      <c r="F563" s="26"/>
      <c r="G563" s="27"/>
      <c r="H563" s="28" t="str">
        <f t="shared" si="0"/>
        <v/>
      </c>
      <c r="I563" s="29">
        <f>SUMIFS(Cash_Flow_3[Amount],Cash_Flow_3[Bulan],H563,Cash_Flow_3[Type],"In")</f>
        <v>0</v>
      </c>
      <c r="J563" s="29">
        <f>SUMIFS(Cash_Flow_3[Amount],Cash_Flow_3[Bulan],H563,Cash_Flow_3[Type],"Out")</f>
        <v>0</v>
      </c>
      <c r="K563" s="29">
        <f>SUMIFS(Cash_Flow_3[Amount],Cash_Flow_3[Bulan],H563,Cash_Flow_3[Type],"Out",Cash_Flow_3[Category],"Fix")</f>
        <v>0</v>
      </c>
      <c r="L563" s="29">
        <f>SUMIFS(Cash_Flow_3[Amount],Cash_Flow_3[Bulan],H563,Cash_Flow_3[Type],"Out",Cash_Flow_3[Category],"Bathroom")</f>
        <v>0</v>
      </c>
      <c r="M563" s="29">
        <f>SUMIFS(Cash_Flow_3[Amount],Cash_Flow_3[Bulan],H563,Cash_Flow_3[Type],"Out",Cash_Flow_3[Category],"Alfa")</f>
        <v>0</v>
      </c>
      <c r="N563" s="29">
        <f>SUMIFS(Cash_Flow_3[Amount],Cash_Flow_3[Bulan],H563,Cash_Flow_3[Type],"Out",Cash_Flow_3[Category],"Jajan")</f>
        <v>0</v>
      </c>
      <c r="O563" s="29">
        <f>SUMIFS(Cash_Flow_3[Amount],Cash_Flow_3[Bulan],H563,Cash_Flow_3[Type],"Out",Cash_Flow_3[Category],"Kitchen")</f>
        <v>0</v>
      </c>
      <c r="P563" s="29">
        <f>SUMIFS(Cash_Flow_3[Amount],Cash_Flow_3[Bulan],H563,Cash_Flow_3[Type],"Out",Cash_Flow_3[Category],"Loandry")</f>
        <v>0</v>
      </c>
      <c r="Q563" s="29">
        <f>SUMIFS(Cash_Flow_3[Amount],Cash_Flow_3[Bulan],H563,Cash_Flow_3[Type],"Out",Cash_Flow_3[Category],"Mio")</f>
        <v>0</v>
      </c>
      <c r="R563" s="29">
        <f>SUMIFS(Cash_Flow_3[Amount],Cash_Flow_3[Bulan],H563,Cash_Flow_3[Type],"Out",Cash_Flow_3[Category],"Sedekah")</f>
        <v>0</v>
      </c>
      <c r="S563" s="29">
        <f>SUMIFS(Cash_Flow_3[Amount],Cash_Flow_3[Bulan],H563,Cash_Flow_3[Type],"Out",Cash_Flow_3[Category],"Zela")</f>
        <v>0</v>
      </c>
      <c r="T563" s="29">
        <f>SUMIFS(Cash_Flow_3[Amount],Cash_Flow_3[Bulan],H563,Cash_Flow_3[Type],"Out",Cash_Flow_3[Category],"Iqbal")</f>
        <v>0</v>
      </c>
    </row>
    <row r="564" spans="1:20" ht="22.5" customHeight="1" x14ac:dyDescent="0.2">
      <c r="A564" s="23"/>
      <c r="B564" s="24"/>
      <c r="C564" s="25"/>
      <c r="D564" s="25"/>
      <c r="E564" s="25"/>
      <c r="F564" s="26"/>
      <c r="G564" s="27"/>
      <c r="H564" s="28" t="str">
        <f t="shared" si="0"/>
        <v/>
      </c>
      <c r="I564" s="29">
        <f>SUMIFS(Cash_Flow_3[Amount],Cash_Flow_3[Bulan],H564,Cash_Flow_3[Type],"In")</f>
        <v>0</v>
      </c>
      <c r="J564" s="29">
        <f>SUMIFS(Cash_Flow_3[Amount],Cash_Flow_3[Bulan],H564,Cash_Flow_3[Type],"Out")</f>
        <v>0</v>
      </c>
      <c r="K564" s="29">
        <f>SUMIFS(Cash_Flow_3[Amount],Cash_Flow_3[Bulan],H564,Cash_Flow_3[Type],"Out",Cash_Flow_3[Category],"Fix")</f>
        <v>0</v>
      </c>
      <c r="L564" s="29">
        <f>SUMIFS(Cash_Flow_3[Amount],Cash_Flow_3[Bulan],H564,Cash_Flow_3[Type],"Out",Cash_Flow_3[Category],"Bathroom")</f>
        <v>0</v>
      </c>
      <c r="M564" s="29">
        <f>SUMIFS(Cash_Flow_3[Amount],Cash_Flow_3[Bulan],H564,Cash_Flow_3[Type],"Out",Cash_Flow_3[Category],"Alfa")</f>
        <v>0</v>
      </c>
      <c r="N564" s="29">
        <f>SUMIFS(Cash_Flow_3[Amount],Cash_Flow_3[Bulan],H564,Cash_Flow_3[Type],"Out",Cash_Flow_3[Category],"Jajan")</f>
        <v>0</v>
      </c>
      <c r="O564" s="29">
        <f>SUMIFS(Cash_Flow_3[Amount],Cash_Flow_3[Bulan],H564,Cash_Flow_3[Type],"Out",Cash_Flow_3[Category],"Kitchen")</f>
        <v>0</v>
      </c>
      <c r="P564" s="29">
        <f>SUMIFS(Cash_Flow_3[Amount],Cash_Flow_3[Bulan],H564,Cash_Flow_3[Type],"Out",Cash_Flow_3[Category],"Loandry")</f>
        <v>0</v>
      </c>
      <c r="Q564" s="29">
        <f>SUMIFS(Cash_Flow_3[Amount],Cash_Flow_3[Bulan],H564,Cash_Flow_3[Type],"Out",Cash_Flow_3[Category],"Mio")</f>
        <v>0</v>
      </c>
      <c r="R564" s="29">
        <f>SUMIFS(Cash_Flow_3[Amount],Cash_Flow_3[Bulan],H564,Cash_Flow_3[Type],"Out",Cash_Flow_3[Category],"Sedekah")</f>
        <v>0</v>
      </c>
      <c r="S564" s="29">
        <f>SUMIFS(Cash_Flow_3[Amount],Cash_Flow_3[Bulan],H564,Cash_Flow_3[Type],"Out",Cash_Flow_3[Category],"Zela")</f>
        <v>0</v>
      </c>
      <c r="T564" s="29">
        <f>SUMIFS(Cash_Flow_3[Amount],Cash_Flow_3[Bulan],H564,Cash_Flow_3[Type],"Out",Cash_Flow_3[Category],"Iqbal")</f>
        <v>0</v>
      </c>
    </row>
    <row r="565" spans="1:20" ht="22.5" customHeight="1" x14ac:dyDescent="0.2">
      <c r="A565" s="23"/>
      <c r="B565" s="24"/>
      <c r="C565" s="25"/>
      <c r="D565" s="25"/>
      <c r="E565" s="25"/>
      <c r="F565" s="26"/>
      <c r="G565" s="27"/>
      <c r="H565" s="28" t="str">
        <f t="shared" si="0"/>
        <v/>
      </c>
      <c r="I565" s="29">
        <f>SUMIFS(Cash_Flow_3[Amount],Cash_Flow_3[Bulan],H565,Cash_Flow_3[Type],"In")</f>
        <v>0</v>
      </c>
      <c r="J565" s="29">
        <f>SUMIFS(Cash_Flow_3[Amount],Cash_Flow_3[Bulan],H565,Cash_Flow_3[Type],"Out")</f>
        <v>0</v>
      </c>
      <c r="K565" s="29">
        <f>SUMIFS(Cash_Flow_3[Amount],Cash_Flow_3[Bulan],H565,Cash_Flow_3[Type],"Out",Cash_Flow_3[Category],"Fix")</f>
        <v>0</v>
      </c>
      <c r="L565" s="29">
        <f>SUMIFS(Cash_Flow_3[Amount],Cash_Flow_3[Bulan],H565,Cash_Flow_3[Type],"Out",Cash_Flow_3[Category],"Bathroom")</f>
        <v>0</v>
      </c>
      <c r="M565" s="29">
        <f>SUMIFS(Cash_Flow_3[Amount],Cash_Flow_3[Bulan],H565,Cash_Flow_3[Type],"Out",Cash_Flow_3[Category],"Alfa")</f>
        <v>0</v>
      </c>
      <c r="N565" s="29">
        <f>SUMIFS(Cash_Flow_3[Amount],Cash_Flow_3[Bulan],H565,Cash_Flow_3[Type],"Out",Cash_Flow_3[Category],"Jajan")</f>
        <v>0</v>
      </c>
      <c r="O565" s="29">
        <f>SUMIFS(Cash_Flow_3[Amount],Cash_Flow_3[Bulan],H565,Cash_Flow_3[Type],"Out",Cash_Flow_3[Category],"Kitchen")</f>
        <v>0</v>
      </c>
      <c r="P565" s="29">
        <f>SUMIFS(Cash_Flow_3[Amount],Cash_Flow_3[Bulan],H565,Cash_Flow_3[Type],"Out",Cash_Flow_3[Category],"Loandry")</f>
        <v>0</v>
      </c>
      <c r="Q565" s="29">
        <f>SUMIFS(Cash_Flow_3[Amount],Cash_Flow_3[Bulan],H565,Cash_Flow_3[Type],"Out",Cash_Flow_3[Category],"Mio")</f>
        <v>0</v>
      </c>
      <c r="R565" s="29">
        <f>SUMIFS(Cash_Flow_3[Amount],Cash_Flow_3[Bulan],H565,Cash_Flow_3[Type],"Out",Cash_Flow_3[Category],"Sedekah")</f>
        <v>0</v>
      </c>
      <c r="S565" s="29">
        <f>SUMIFS(Cash_Flow_3[Amount],Cash_Flow_3[Bulan],H565,Cash_Flow_3[Type],"Out",Cash_Flow_3[Category],"Zela")</f>
        <v>0</v>
      </c>
      <c r="T565" s="29">
        <f>SUMIFS(Cash_Flow_3[Amount],Cash_Flow_3[Bulan],H565,Cash_Flow_3[Type],"Out",Cash_Flow_3[Category],"Iqbal")</f>
        <v>0</v>
      </c>
    </row>
    <row r="566" spans="1:20" ht="22.5" customHeight="1" x14ac:dyDescent="0.2">
      <c r="A566" s="23"/>
      <c r="B566" s="24"/>
      <c r="C566" s="25"/>
      <c r="D566" s="25"/>
      <c r="E566" s="25"/>
      <c r="F566" s="26"/>
      <c r="G566" s="27"/>
      <c r="H566" s="28" t="str">
        <f t="shared" si="0"/>
        <v/>
      </c>
      <c r="I566" s="29">
        <f>SUMIFS(Cash_Flow_3[Amount],Cash_Flow_3[Bulan],H566,Cash_Flow_3[Type],"In")</f>
        <v>0</v>
      </c>
      <c r="J566" s="29">
        <f>SUMIFS(Cash_Flow_3[Amount],Cash_Flow_3[Bulan],H566,Cash_Flow_3[Type],"Out")</f>
        <v>0</v>
      </c>
      <c r="K566" s="29">
        <f>SUMIFS(Cash_Flow_3[Amount],Cash_Flow_3[Bulan],H566,Cash_Flow_3[Type],"Out",Cash_Flow_3[Category],"Fix")</f>
        <v>0</v>
      </c>
      <c r="L566" s="29">
        <f>SUMIFS(Cash_Flow_3[Amount],Cash_Flow_3[Bulan],H566,Cash_Flow_3[Type],"Out",Cash_Flow_3[Category],"Bathroom")</f>
        <v>0</v>
      </c>
      <c r="M566" s="29">
        <f>SUMIFS(Cash_Flow_3[Amount],Cash_Flow_3[Bulan],H566,Cash_Flow_3[Type],"Out",Cash_Flow_3[Category],"Alfa")</f>
        <v>0</v>
      </c>
      <c r="N566" s="29">
        <f>SUMIFS(Cash_Flow_3[Amount],Cash_Flow_3[Bulan],H566,Cash_Flow_3[Type],"Out",Cash_Flow_3[Category],"Jajan")</f>
        <v>0</v>
      </c>
      <c r="O566" s="29">
        <f>SUMIFS(Cash_Flow_3[Amount],Cash_Flow_3[Bulan],H566,Cash_Flow_3[Type],"Out",Cash_Flow_3[Category],"Kitchen")</f>
        <v>0</v>
      </c>
      <c r="P566" s="29">
        <f>SUMIFS(Cash_Flow_3[Amount],Cash_Flow_3[Bulan],H566,Cash_Flow_3[Type],"Out",Cash_Flow_3[Category],"Loandry")</f>
        <v>0</v>
      </c>
      <c r="Q566" s="29">
        <f>SUMIFS(Cash_Flow_3[Amount],Cash_Flow_3[Bulan],H566,Cash_Flow_3[Type],"Out",Cash_Flow_3[Category],"Mio")</f>
        <v>0</v>
      </c>
      <c r="R566" s="29">
        <f>SUMIFS(Cash_Flow_3[Amount],Cash_Flow_3[Bulan],H566,Cash_Flow_3[Type],"Out",Cash_Flow_3[Category],"Sedekah")</f>
        <v>0</v>
      </c>
      <c r="S566" s="29">
        <f>SUMIFS(Cash_Flow_3[Amount],Cash_Flow_3[Bulan],H566,Cash_Flow_3[Type],"Out",Cash_Flow_3[Category],"Zela")</f>
        <v>0</v>
      </c>
      <c r="T566" s="29">
        <f>SUMIFS(Cash_Flow_3[Amount],Cash_Flow_3[Bulan],H566,Cash_Flow_3[Type],"Out",Cash_Flow_3[Category],"Iqbal")</f>
        <v>0</v>
      </c>
    </row>
    <row r="567" spans="1:20" ht="22.5" customHeight="1" x14ac:dyDescent="0.2">
      <c r="A567" s="23"/>
      <c r="B567" s="24"/>
      <c r="C567" s="25"/>
      <c r="D567" s="25"/>
      <c r="E567" s="25"/>
      <c r="F567" s="26"/>
      <c r="G567" s="27"/>
      <c r="H567" s="28" t="str">
        <f t="shared" si="0"/>
        <v/>
      </c>
      <c r="I567" s="29">
        <f>SUMIFS(Cash_Flow_3[Amount],Cash_Flow_3[Bulan],H567,Cash_Flow_3[Type],"In")</f>
        <v>0</v>
      </c>
      <c r="J567" s="29">
        <f>SUMIFS(Cash_Flow_3[Amount],Cash_Flow_3[Bulan],H567,Cash_Flow_3[Type],"Out")</f>
        <v>0</v>
      </c>
      <c r="K567" s="29">
        <f>SUMIFS(Cash_Flow_3[Amount],Cash_Flow_3[Bulan],H567,Cash_Flow_3[Type],"Out",Cash_Flow_3[Category],"Fix")</f>
        <v>0</v>
      </c>
      <c r="L567" s="29">
        <f>SUMIFS(Cash_Flow_3[Amount],Cash_Flow_3[Bulan],H567,Cash_Flow_3[Type],"Out",Cash_Flow_3[Category],"Bathroom")</f>
        <v>0</v>
      </c>
      <c r="M567" s="29">
        <f>SUMIFS(Cash_Flow_3[Amount],Cash_Flow_3[Bulan],H567,Cash_Flow_3[Type],"Out",Cash_Flow_3[Category],"Alfa")</f>
        <v>0</v>
      </c>
      <c r="N567" s="29">
        <f>SUMIFS(Cash_Flow_3[Amount],Cash_Flow_3[Bulan],H567,Cash_Flow_3[Type],"Out",Cash_Flow_3[Category],"Jajan")</f>
        <v>0</v>
      </c>
      <c r="O567" s="29">
        <f>SUMIFS(Cash_Flow_3[Amount],Cash_Flow_3[Bulan],H567,Cash_Flow_3[Type],"Out",Cash_Flow_3[Category],"Kitchen")</f>
        <v>0</v>
      </c>
      <c r="P567" s="29">
        <f>SUMIFS(Cash_Flow_3[Amount],Cash_Flow_3[Bulan],H567,Cash_Flow_3[Type],"Out",Cash_Flow_3[Category],"Loandry")</f>
        <v>0</v>
      </c>
      <c r="Q567" s="29">
        <f>SUMIFS(Cash_Flow_3[Amount],Cash_Flow_3[Bulan],H567,Cash_Flow_3[Type],"Out",Cash_Flow_3[Category],"Mio")</f>
        <v>0</v>
      </c>
      <c r="R567" s="29">
        <f>SUMIFS(Cash_Flow_3[Amount],Cash_Flow_3[Bulan],H567,Cash_Flow_3[Type],"Out",Cash_Flow_3[Category],"Sedekah")</f>
        <v>0</v>
      </c>
      <c r="S567" s="29">
        <f>SUMIFS(Cash_Flow_3[Amount],Cash_Flow_3[Bulan],H567,Cash_Flow_3[Type],"Out",Cash_Flow_3[Category],"Zela")</f>
        <v>0</v>
      </c>
      <c r="T567" s="29">
        <f>SUMIFS(Cash_Flow_3[Amount],Cash_Flow_3[Bulan],H567,Cash_Flow_3[Type],"Out",Cash_Flow_3[Category],"Iqbal")</f>
        <v>0</v>
      </c>
    </row>
    <row r="568" spans="1:20" ht="22.5" customHeight="1" x14ac:dyDescent="0.2">
      <c r="A568" s="23"/>
      <c r="B568" s="24"/>
      <c r="C568" s="25"/>
      <c r="D568" s="25"/>
      <c r="E568" s="25"/>
      <c r="F568" s="26"/>
      <c r="G568" s="27"/>
      <c r="H568" s="28" t="str">
        <f t="shared" si="0"/>
        <v/>
      </c>
      <c r="I568" s="29">
        <f>SUMIFS(Cash_Flow_3[Amount],Cash_Flow_3[Bulan],H568,Cash_Flow_3[Type],"In")</f>
        <v>0</v>
      </c>
      <c r="J568" s="29">
        <f>SUMIFS(Cash_Flow_3[Amount],Cash_Flow_3[Bulan],H568,Cash_Flow_3[Type],"Out")</f>
        <v>0</v>
      </c>
      <c r="K568" s="29">
        <f>SUMIFS(Cash_Flow_3[Amount],Cash_Flow_3[Bulan],H568,Cash_Flow_3[Type],"Out",Cash_Flow_3[Category],"Fix")</f>
        <v>0</v>
      </c>
      <c r="L568" s="29">
        <f>SUMIFS(Cash_Flow_3[Amount],Cash_Flow_3[Bulan],H568,Cash_Flow_3[Type],"Out",Cash_Flow_3[Category],"Bathroom")</f>
        <v>0</v>
      </c>
      <c r="M568" s="29">
        <f>SUMIFS(Cash_Flow_3[Amount],Cash_Flow_3[Bulan],H568,Cash_Flow_3[Type],"Out",Cash_Flow_3[Category],"Alfa")</f>
        <v>0</v>
      </c>
      <c r="N568" s="29">
        <f>SUMIFS(Cash_Flow_3[Amount],Cash_Flow_3[Bulan],H568,Cash_Flow_3[Type],"Out",Cash_Flow_3[Category],"Jajan")</f>
        <v>0</v>
      </c>
      <c r="O568" s="29">
        <f>SUMIFS(Cash_Flow_3[Amount],Cash_Flow_3[Bulan],H568,Cash_Flow_3[Type],"Out",Cash_Flow_3[Category],"Kitchen")</f>
        <v>0</v>
      </c>
      <c r="P568" s="29">
        <f>SUMIFS(Cash_Flow_3[Amount],Cash_Flow_3[Bulan],H568,Cash_Flow_3[Type],"Out",Cash_Flow_3[Category],"Loandry")</f>
        <v>0</v>
      </c>
      <c r="Q568" s="29">
        <f>SUMIFS(Cash_Flow_3[Amount],Cash_Flow_3[Bulan],H568,Cash_Flow_3[Type],"Out",Cash_Flow_3[Category],"Mio")</f>
        <v>0</v>
      </c>
      <c r="R568" s="29">
        <f>SUMIFS(Cash_Flow_3[Amount],Cash_Flow_3[Bulan],H568,Cash_Flow_3[Type],"Out",Cash_Flow_3[Category],"Sedekah")</f>
        <v>0</v>
      </c>
      <c r="S568" s="29">
        <f>SUMIFS(Cash_Flow_3[Amount],Cash_Flow_3[Bulan],H568,Cash_Flow_3[Type],"Out",Cash_Flow_3[Category],"Zela")</f>
        <v>0</v>
      </c>
      <c r="T568" s="29">
        <f>SUMIFS(Cash_Flow_3[Amount],Cash_Flow_3[Bulan],H568,Cash_Flow_3[Type],"Out",Cash_Flow_3[Category],"Iqbal")</f>
        <v>0</v>
      </c>
    </row>
    <row r="569" spans="1:20" ht="22.5" customHeight="1" x14ac:dyDescent="0.2">
      <c r="A569" s="23"/>
      <c r="B569" s="24"/>
      <c r="C569" s="25"/>
      <c r="D569" s="25"/>
      <c r="E569" s="25"/>
      <c r="F569" s="26"/>
      <c r="G569" s="27"/>
      <c r="H569" s="28" t="str">
        <f t="shared" si="0"/>
        <v/>
      </c>
      <c r="I569" s="29">
        <f>SUMIFS(Cash_Flow_3[Amount],Cash_Flow_3[Bulan],H569,Cash_Flow_3[Type],"In")</f>
        <v>0</v>
      </c>
      <c r="J569" s="29">
        <f>SUMIFS(Cash_Flow_3[Amount],Cash_Flow_3[Bulan],H569,Cash_Flow_3[Type],"Out")</f>
        <v>0</v>
      </c>
      <c r="K569" s="29">
        <f>SUMIFS(Cash_Flow_3[Amount],Cash_Flow_3[Bulan],H569,Cash_Flow_3[Type],"Out",Cash_Flow_3[Category],"Fix")</f>
        <v>0</v>
      </c>
      <c r="L569" s="29">
        <f>SUMIFS(Cash_Flow_3[Amount],Cash_Flow_3[Bulan],H569,Cash_Flow_3[Type],"Out",Cash_Flow_3[Category],"Bathroom")</f>
        <v>0</v>
      </c>
      <c r="M569" s="29">
        <f>SUMIFS(Cash_Flow_3[Amount],Cash_Flow_3[Bulan],H569,Cash_Flow_3[Type],"Out",Cash_Flow_3[Category],"Alfa")</f>
        <v>0</v>
      </c>
      <c r="N569" s="29">
        <f>SUMIFS(Cash_Flow_3[Amount],Cash_Flow_3[Bulan],H569,Cash_Flow_3[Type],"Out",Cash_Flow_3[Category],"Jajan")</f>
        <v>0</v>
      </c>
      <c r="O569" s="29">
        <f>SUMIFS(Cash_Flow_3[Amount],Cash_Flow_3[Bulan],H569,Cash_Flow_3[Type],"Out",Cash_Flow_3[Category],"Kitchen")</f>
        <v>0</v>
      </c>
      <c r="P569" s="29">
        <f>SUMIFS(Cash_Flow_3[Amount],Cash_Flow_3[Bulan],H569,Cash_Flow_3[Type],"Out",Cash_Flow_3[Category],"Loandry")</f>
        <v>0</v>
      </c>
      <c r="Q569" s="29">
        <f>SUMIFS(Cash_Flow_3[Amount],Cash_Flow_3[Bulan],H569,Cash_Flow_3[Type],"Out",Cash_Flow_3[Category],"Mio")</f>
        <v>0</v>
      </c>
      <c r="R569" s="29">
        <f>SUMIFS(Cash_Flow_3[Amount],Cash_Flow_3[Bulan],H569,Cash_Flow_3[Type],"Out",Cash_Flow_3[Category],"Sedekah")</f>
        <v>0</v>
      </c>
      <c r="S569" s="29">
        <f>SUMIFS(Cash_Flow_3[Amount],Cash_Flow_3[Bulan],H569,Cash_Flow_3[Type],"Out",Cash_Flow_3[Category],"Zela")</f>
        <v>0</v>
      </c>
      <c r="T569" s="29">
        <f>SUMIFS(Cash_Flow_3[Amount],Cash_Flow_3[Bulan],H569,Cash_Flow_3[Type],"Out",Cash_Flow_3[Category],"Iqbal")</f>
        <v>0</v>
      </c>
    </row>
    <row r="570" spans="1:20" ht="22.5" customHeight="1" x14ac:dyDescent="0.2">
      <c r="A570" s="23"/>
      <c r="B570" s="24"/>
      <c r="C570" s="25"/>
      <c r="D570" s="25"/>
      <c r="E570" s="25"/>
      <c r="F570" s="26"/>
      <c r="G570" s="27"/>
      <c r="H570" s="28" t="str">
        <f t="shared" si="0"/>
        <v/>
      </c>
      <c r="I570" s="29">
        <f>SUMIFS(Cash_Flow_3[Amount],Cash_Flow_3[Bulan],H570,Cash_Flow_3[Type],"In")</f>
        <v>0</v>
      </c>
      <c r="J570" s="29">
        <f>SUMIFS(Cash_Flow_3[Amount],Cash_Flow_3[Bulan],H570,Cash_Flow_3[Type],"Out")</f>
        <v>0</v>
      </c>
      <c r="K570" s="29">
        <f>SUMIFS(Cash_Flow_3[Amount],Cash_Flow_3[Bulan],H570,Cash_Flow_3[Type],"Out",Cash_Flow_3[Category],"Fix")</f>
        <v>0</v>
      </c>
      <c r="L570" s="29">
        <f>SUMIFS(Cash_Flow_3[Amount],Cash_Flow_3[Bulan],H570,Cash_Flow_3[Type],"Out",Cash_Flow_3[Category],"Bathroom")</f>
        <v>0</v>
      </c>
      <c r="M570" s="29">
        <f>SUMIFS(Cash_Flow_3[Amount],Cash_Flow_3[Bulan],H570,Cash_Flow_3[Type],"Out",Cash_Flow_3[Category],"Alfa")</f>
        <v>0</v>
      </c>
      <c r="N570" s="29">
        <f>SUMIFS(Cash_Flow_3[Amount],Cash_Flow_3[Bulan],H570,Cash_Flow_3[Type],"Out",Cash_Flow_3[Category],"Jajan")</f>
        <v>0</v>
      </c>
      <c r="O570" s="29">
        <f>SUMIFS(Cash_Flow_3[Amount],Cash_Flow_3[Bulan],H570,Cash_Flow_3[Type],"Out",Cash_Flow_3[Category],"Kitchen")</f>
        <v>0</v>
      </c>
      <c r="P570" s="29">
        <f>SUMIFS(Cash_Flow_3[Amount],Cash_Flow_3[Bulan],H570,Cash_Flow_3[Type],"Out",Cash_Flow_3[Category],"Loandry")</f>
        <v>0</v>
      </c>
      <c r="Q570" s="29">
        <f>SUMIFS(Cash_Flow_3[Amount],Cash_Flow_3[Bulan],H570,Cash_Flow_3[Type],"Out",Cash_Flow_3[Category],"Mio")</f>
        <v>0</v>
      </c>
      <c r="R570" s="29">
        <f>SUMIFS(Cash_Flow_3[Amount],Cash_Flow_3[Bulan],H570,Cash_Flow_3[Type],"Out",Cash_Flow_3[Category],"Sedekah")</f>
        <v>0</v>
      </c>
      <c r="S570" s="29">
        <f>SUMIFS(Cash_Flow_3[Amount],Cash_Flow_3[Bulan],H570,Cash_Flow_3[Type],"Out",Cash_Flow_3[Category],"Zela")</f>
        <v>0</v>
      </c>
      <c r="T570" s="29">
        <f>SUMIFS(Cash_Flow_3[Amount],Cash_Flow_3[Bulan],H570,Cash_Flow_3[Type],"Out",Cash_Flow_3[Category],"Iqbal")</f>
        <v>0</v>
      </c>
    </row>
    <row r="571" spans="1:20" ht="22.5" customHeight="1" x14ac:dyDescent="0.2">
      <c r="A571" s="23"/>
      <c r="B571" s="24"/>
      <c r="C571" s="25"/>
      <c r="D571" s="25"/>
      <c r="E571" s="25"/>
      <c r="F571" s="26"/>
      <c r="G571" s="27"/>
      <c r="H571" s="28" t="str">
        <f t="shared" si="0"/>
        <v/>
      </c>
      <c r="I571" s="29">
        <f>SUMIFS(Cash_Flow_3[Amount],Cash_Flow_3[Bulan],H571,Cash_Flow_3[Type],"In")</f>
        <v>0</v>
      </c>
      <c r="J571" s="29">
        <f>SUMIFS(Cash_Flow_3[Amount],Cash_Flow_3[Bulan],H571,Cash_Flow_3[Type],"Out")</f>
        <v>0</v>
      </c>
      <c r="K571" s="29">
        <f>SUMIFS(Cash_Flow_3[Amount],Cash_Flow_3[Bulan],H571,Cash_Flow_3[Type],"Out",Cash_Flow_3[Category],"Fix")</f>
        <v>0</v>
      </c>
      <c r="L571" s="29">
        <f>SUMIFS(Cash_Flow_3[Amount],Cash_Flow_3[Bulan],H571,Cash_Flow_3[Type],"Out",Cash_Flow_3[Category],"Bathroom")</f>
        <v>0</v>
      </c>
      <c r="M571" s="29">
        <f>SUMIFS(Cash_Flow_3[Amount],Cash_Flow_3[Bulan],H571,Cash_Flow_3[Type],"Out",Cash_Flow_3[Category],"Alfa")</f>
        <v>0</v>
      </c>
      <c r="N571" s="29">
        <f>SUMIFS(Cash_Flow_3[Amount],Cash_Flow_3[Bulan],H571,Cash_Flow_3[Type],"Out",Cash_Flow_3[Category],"Jajan")</f>
        <v>0</v>
      </c>
      <c r="O571" s="29">
        <f>SUMIFS(Cash_Flow_3[Amount],Cash_Flow_3[Bulan],H571,Cash_Flow_3[Type],"Out",Cash_Flow_3[Category],"Kitchen")</f>
        <v>0</v>
      </c>
      <c r="P571" s="29">
        <f>SUMIFS(Cash_Flow_3[Amount],Cash_Flow_3[Bulan],H571,Cash_Flow_3[Type],"Out",Cash_Flow_3[Category],"Loandry")</f>
        <v>0</v>
      </c>
      <c r="Q571" s="29">
        <f>SUMIFS(Cash_Flow_3[Amount],Cash_Flow_3[Bulan],H571,Cash_Flow_3[Type],"Out",Cash_Flow_3[Category],"Mio")</f>
        <v>0</v>
      </c>
      <c r="R571" s="29">
        <f>SUMIFS(Cash_Flow_3[Amount],Cash_Flow_3[Bulan],H571,Cash_Flow_3[Type],"Out",Cash_Flow_3[Category],"Sedekah")</f>
        <v>0</v>
      </c>
      <c r="S571" s="29">
        <f>SUMIFS(Cash_Flow_3[Amount],Cash_Flow_3[Bulan],H571,Cash_Flow_3[Type],"Out",Cash_Flow_3[Category],"Zela")</f>
        <v>0</v>
      </c>
      <c r="T571" s="29">
        <f>SUMIFS(Cash_Flow_3[Amount],Cash_Flow_3[Bulan],H571,Cash_Flow_3[Type],"Out",Cash_Flow_3[Category],"Iqbal")</f>
        <v>0</v>
      </c>
    </row>
    <row r="572" spans="1:20" ht="22.5" customHeight="1" x14ac:dyDescent="0.2">
      <c r="A572" s="23"/>
      <c r="B572" s="24"/>
      <c r="C572" s="25"/>
      <c r="D572" s="25"/>
      <c r="E572" s="25"/>
      <c r="F572" s="26"/>
      <c r="G572" s="27"/>
      <c r="H572" s="28" t="str">
        <f t="shared" si="0"/>
        <v/>
      </c>
      <c r="I572" s="29">
        <f>SUMIFS(Cash_Flow_3[Amount],Cash_Flow_3[Bulan],H572,Cash_Flow_3[Type],"In")</f>
        <v>0</v>
      </c>
      <c r="J572" s="29">
        <f>SUMIFS(Cash_Flow_3[Amount],Cash_Flow_3[Bulan],H572,Cash_Flow_3[Type],"Out")</f>
        <v>0</v>
      </c>
      <c r="K572" s="29">
        <f>SUMIFS(Cash_Flow_3[Amount],Cash_Flow_3[Bulan],H572,Cash_Flow_3[Type],"Out",Cash_Flow_3[Category],"Fix")</f>
        <v>0</v>
      </c>
      <c r="L572" s="29">
        <f>SUMIFS(Cash_Flow_3[Amount],Cash_Flow_3[Bulan],H572,Cash_Flow_3[Type],"Out",Cash_Flow_3[Category],"Bathroom")</f>
        <v>0</v>
      </c>
      <c r="M572" s="29">
        <f>SUMIFS(Cash_Flow_3[Amount],Cash_Flow_3[Bulan],H572,Cash_Flow_3[Type],"Out",Cash_Flow_3[Category],"Alfa")</f>
        <v>0</v>
      </c>
      <c r="N572" s="29">
        <f>SUMIFS(Cash_Flow_3[Amount],Cash_Flow_3[Bulan],H572,Cash_Flow_3[Type],"Out",Cash_Flow_3[Category],"Jajan")</f>
        <v>0</v>
      </c>
      <c r="O572" s="29">
        <f>SUMIFS(Cash_Flow_3[Amount],Cash_Flow_3[Bulan],H572,Cash_Flow_3[Type],"Out",Cash_Flow_3[Category],"Kitchen")</f>
        <v>0</v>
      </c>
      <c r="P572" s="29">
        <f>SUMIFS(Cash_Flow_3[Amount],Cash_Flow_3[Bulan],H572,Cash_Flow_3[Type],"Out",Cash_Flow_3[Category],"Loandry")</f>
        <v>0</v>
      </c>
      <c r="Q572" s="29">
        <f>SUMIFS(Cash_Flow_3[Amount],Cash_Flow_3[Bulan],H572,Cash_Flow_3[Type],"Out",Cash_Flow_3[Category],"Mio")</f>
        <v>0</v>
      </c>
      <c r="R572" s="29">
        <f>SUMIFS(Cash_Flow_3[Amount],Cash_Flow_3[Bulan],H572,Cash_Flow_3[Type],"Out",Cash_Flow_3[Category],"Sedekah")</f>
        <v>0</v>
      </c>
      <c r="S572" s="29">
        <f>SUMIFS(Cash_Flow_3[Amount],Cash_Flow_3[Bulan],H572,Cash_Flow_3[Type],"Out",Cash_Flow_3[Category],"Zela")</f>
        <v>0</v>
      </c>
      <c r="T572" s="29">
        <f>SUMIFS(Cash_Flow_3[Amount],Cash_Flow_3[Bulan],H572,Cash_Flow_3[Type],"Out",Cash_Flow_3[Category],"Iqbal")</f>
        <v>0</v>
      </c>
    </row>
    <row r="573" spans="1:20" ht="22.5" customHeight="1" x14ac:dyDescent="0.2">
      <c r="A573" s="23"/>
      <c r="B573" s="24"/>
      <c r="C573" s="25"/>
      <c r="D573" s="25"/>
      <c r="E573" s="25"/>
      <c r="F573" s="26"/>
      <c r="G573" s="27"/>
      <c r="H573" s="28" t="str">
        <f t="shared" si="0"/>
        <v/>
      </c>
      <c r="I573" s="29">
        <f>SUMIFS(Cash_Flow_3[Amount],Cash_Flow_3[Bulan],H573,Cash_Flow_3[Type],"In")</f>
        <v>0</v>
      </c>
      <c r="J573" s="29">
        <f>SUMIFS(Cash_Flow_3[Amount],Cash_Flow_3[Bulan],H573,Cash_Flow_3[Type],"Out")</f>
        <v>0</v>
      </c>
      <c r="K573" s="29">
        <f>SUMIFS(Cash_Flow_3[Amount],Cash_Flow_3[Bulan],H573,Cash_Flow_3[Type],"Out",Cash_Flow_3[Category],"Fix")</f>
        <v>0</v>
      </c>
      <c r="L573" s="29">
        <f>SUMIFS(Cash_Flow_3[Amount],Cash_Flow_3[Bulan],H573,Cash_Flow_3[Type],"Out",Cash_Flow_3[Category],"Bathroom")</f>
        <v>0</v>
      </c>
      <c r="M573" s="29">
        <f>SUMIFS(Cash_Flow_3[Amount],Cash_Flow_3[Bulan],H573,Cash_Flow_3[Type],"Out",Cash_Flow_3[Category],"Alfa")</f>
        <v>0</v>
      </c>
      <c r="N573" s="29">
        <f>SUMIFS(Cash_Flow_3[Amount],Cash_Flow_3[Bulan],H573,Cash_Flow_3[Type],"Out",Cash_Flow_3[Category],"Jajan")</f>
        <v>0</v>
      </c>
      <c r="O573" s="29">
        <f>SUMIFS(Cash_Flow_3[Amount],Cash_Flow_3[Bulan],H573,Cash_Flow_3[Type],"Out",Cash_Flow_3[Category],"Kitchen")</f>
        <v>0</v>
      </c>
      <c r="P573" s="29">
        <f>SUMIFS(Cash_Flow_3[Amount],Cash_Flow_3[Bulan],H573,Cash_Flow_3[Type],"Out",Cash_Flow_3[Category],"Loandry")</f>
        <v>0</v>
      </c>
      <c r="Q573" s="29">
        <f>SUMIFS(Cash_Flow_3[Amount],Cash_Flow_3[Bulan],H573,Cash_Flow_3[Type],"Out",Cash_Flow_3[Category],"Mio")</f>
        <v>0</v>
      </c>
      <c r="R573" s="29">
        <f>SUMIFS(Cash_Flow_3[Amount],Cash_Flow_3[Bulan],H573,Cash_Flow_3[Type],"Out",Cash_Flow_3[Category],"Sedekah")</f>
        <v>0</v>
      </c>
      <c r="S573" s="29">
        <f>SUMIFS(Cash_Flow_3[Amount],Cash_Flow_3[Bulan],H573,Cash_Flow_3[Type],"Out",Cash_Flow_3[Category],"Zela")</f>
        <v>0</v>
      </c>
      <c r="T573" s="29">
        <f>SUMIFS(Cash_Flow_3[Amount],Cash_Flow_3[Bulan],H573,Cash_Flow_3[Type],"Out",Cash_Flow_3[Category],"Iqbal")</f>
        <v>0</v>
      </c>
    </row>
    <row r="574" spans="1:20" ht="22.5" customHeight="1" x14ac:dyDescent="0.2">
      <c r="A574" s="23"/>
      <c r="B574" s="24"/>
      <c r="C574" s="25"/>
      <c r="D574" s="25"/>
      <c r="E574" s="25"/>
      <c r="F574" s="26"/>
      <c r="G574" s="27"/>
      <c r="H574" s="28" t="str">
        <f t="shared" si="0"/>
        <v/>
      </c>
      <c r="I574" s="29">
        <f>SUMIFS(Cash_Flow_3[Amount],Cash_Flow_3[Bulan],H574,Cash_Flow_3[Type],"In")</f>
        <v>0</v>
      </c>
      <c r="J574" s="29">
        <f>SUMIFS(Cash_Flow_3[Amount],Cash_Flow_3[Bulan],H574,Cash_Flow_3[Type],"Out")</f>
        <v>0</v>
      </c>
      <c r="K574" s="29">
        <f>SUMIFS(Cash_Flow_3[Amount],Cash_Flow_3[Bulan],H574,Cash_Flow_3[Type],"Out",Cash_Flow_3[Category],"Fix")</f>
        <v>0</v>
      </c>
      <c r="L574" s="29">
        <f>SUMIFS(Cash_Flow_3[Amount],Cash_Flow_3[Bulan],H574,Cash_Flow_3[Type],"Out",Cash_Flow_3[Category],"Bathroom")</f>
        <v>0</v>
      </c>
      <c r="M574" s="29">
        <f>SUMIFS(Cash_Flow_3[Amount],Cash_Flow_3[Bulan],H574,Cash_Flow_3[Type],"Out",Cash_Flow_3[Category],"Alfa")</f>
        <v>0</v>
      </c>
      <c r="N574" s="29">
        <f>SUMIFS(Cash_Flow_3[Amount],Cash_Flow_3[Bulan],H574,Cash_Flow_3[Type],"Out",Cash_Flow_3[Category],"Jajan")</f>
        <v>0</v>
      </c>
      <c r="O574" s="29">
        <f>SUMIFS(Cash_Flow_3[Amount],Cash_Flow_3[Bulan],H574,Cash_Flow_3[Type],"Out",Cash_Flow_3[Category],"Kitchen")</f>
        <v>0</v>
      </c>
      <c r="P574" s="29">
        <f>SUMIFS(Cash_Flow_3[Amount],Cash_Flow_3[Bulan],H574,Cash_Flow_3[Type],"Out",Cash_Flow_3[Category],"Loandry")</f>
        <v>0</v>
      </c>
      <c r="Q574" s="29">
        <f>SUMIFS(Cash_Flow_3[Amount],Cash_Flow_3[Bulan],H574,Cash_Flow_3[Type],"Out",Cash_Flow_3[Category],"Mio")</f>
        <v>0</v>
      </c>
      <c r="R574" s="29">
        <f>SUMIFS(Cash_Flow_3[Amount],Cash_Flow_3[Bulan],H574,Cash_Flow_3[Type],"Out",Cash_Flow_3[Category],"Sedekah")</f>
        <v>0</v>
      </c>
      <c r="S574" s="29">
        <f>SUMIFS(Cash_Flow_3[Amount],Cash_Flow_3[Bulan],H574,Cash_Flow_3[Type],"Out",Cash_Flow_3[Category],"Zela")</f>
        <v>0</v>
      </c>
      <c r="T574" s="29">
        <f>SUMIFS(Cash_Flow_3[Amount],Cash_Flow_3[Bulan],H574,Cash_Flow_3[Type],"Out",Cash_Flow_3[Category],"Iqbal")</f>
        <v>0</v>
      </c>
    </row>
    <row r="575" spans="1:20" ht="22.5" customHeight="1" x14ac:dyDescent="0.2">
      <c r="A575" s="23"/>
      <c r="B575" s="24"/>
      <c r="C575" s="25"/>
      <c r="D575" s="25"/>
      <c r="E575" s="25"/>
      <c r="F575" s="26"/>
      <c r="G575" s="27"/>
      <c r="H575" s="28" t="str">
        <f t="shared" si="0"/>
        <v/>
      </c>
      <c r="I575" s="29">
        <f>SUMIFS(Cash_Flow_3[Amount],Cash_Flow_3[Bulan],H575,Cash_Flow_3[Type],"In")</f>
        <v>0</v>
      </c>
      <c r="J575" s="29">
        <f>SUMIFS(Cash_Flow_3[Amount],Cash_Flow_3[Bulan],H575,Cash_Flow_3[Type],"Out")</f>
        <v>0</v>
      </c>
      <c r="K575" s="29">
        <f>SUMIFS(Cash_Flow_3[Amount],Cash_Flow_3[Bulan],H575,Cash_Flow_3[Type],"Out",Cash_Flow_3[Category],"Fix")</f>
        <v>0</v>
      </c>
      <c r="L575" s="29">
        <f>SUMIFS(Cash_Flow_3[Amount],Cash_Flow_3[Bulan],H575,Cash_Flow_3[Type],"Out",Cash_Flow_3[Category],"Bathroom")</f>
        <v>0</v>
      </c>
      <c r="M575" s="29">
        <f>SUMIFS(Cash_Flow_3[Amount],Cash_Flow_3[Bulan],H575,Cash_Flow_3[Type],"Out",Cash_Flow_3[Category],"Alfa")</f>
        <v>0</v>
      </c>
      <c r="N575" s="29">
        <f>SUMIFS(Cash_Flow_3[Amount],Cash_Flow_3[Bulan],H575,Cash_Flow_3[Type],"Out",Cash_Flow_3[Category],"Jajan")</f>
        <v>0</v>
      </c>
      <c r="O575" s="29">
        <f>SUMIFS(Cash_Flow_3[Amount],Cash_Flow_3[Bulan],H575,Cash_Flow_3[Type],"Out",Cash_Flow_3[Category],"Kitchen")</f>
        <v>0</v>
      </c>
      <c r="P575" s="29">
        <f>SUMIFS(Cash_Flow_3[Amount],Cash_Flow_3[Bulan],H575,Cash_Flow_3[Type],"Out",Cash_Flow_3[Category],"Loandry")</f>
        <v>0</v>
      </c>
      <c r="Q575" s="29">
        <f>SUMIFS(Cash_Flow_3[Amount],Cash_Flow_3[Bulan],H575,Cash_Flow_3[Type],"Out",Cash_Flow_3[Category],"Mio")</f>
        <v>0</v>
      </c>
      <c r="R575" s="29">
        <f>SUMIFS(Cash_Flow_3[Amount],Cash_Flow_3[Bulan],H575,Cash_Flow_3[Type],"Out",Cash_Flow_3[Category],"Sedekah")</f>
        <v>0</v>
      </c>
      <c r="S575" s="29">
        <f>SUMIFS(Cash_Flow_3[Amount],Cash_Flow_3[Bulan],H575,Cash_Flow_3[Type],"Out",Cash_Flow_3[Category],"Zela")</f>
        <v>0</v>
      </c>
      <c r="T575" s="29">
        <f>SUMIFS(Cash_Flow_3[Amount],Cash_Flow_3[Bulan],H575,Cash_Flow_3[Type],"Out",Cash_Flow_3[Category],"Iqbal")</f>
        <v>0</v>
      </c>
    </row>
    <row r="576" spans="1:20" ht="22.5" customHeight="1" x14ac:dyDescent="0.2">
      <c r="A576" s="23"/>
      <c r="B576" s="24"/>
      <c r="C576" s="25"/>
      <c r="D576" s="25"/>
      <c r="E576" s="25"/>
      <c r="F576" s="26"/>
      <c r="G576" s="27"/>
      <c r="H576" s="28" t="str">
        <f t="shared" si="0"/>
        <v/>
      </c>
      <c r="I576" s="29">
        <f>SUMIFS(Cash_Flow_3[Amount],Cash_Flow_3[Bulan],H576,Cash_Flow_3[Type],"In")</f>
        <v>0</v>
      </c>
      <c r="J576" s="29">
        <f>SUMIFS(Cash_Flow_3[Amount],Cash_Flow_3[Bulan],H576,Cash_Flow_3[Type],"Out")</f>
        <v>0</v>
      </c>
      <c r="K576" s="29">
        <f>SUMIFS(Cash_Flow_3[Amount],Cash_Flow_3[Bulan],H576,Cash_Flow_3[Type],"Out",Cash_Flow_3[Category],"Fix")</f>
        <v>0</v>
      </c>
      <c r="L576" s="29">
        <f>SUMIFS(Cash_Flow_3[Amount],Cash_Flow_3[Bulan],H576,Cash_Flow_3[Type],"Out",Cash_Flow_3[Category],"Bathroom")</f>
        <v>0</v>
      </c>
      <c r="M576" s="29">
        <f>SUMIFS(Cash_Flow_3[Amount],Cash_Flow_3[Bulan],H576,Cash_Flow_3[Type],"Out",Cash_Flow_3[Category],"Alfa")</f>
        <v>0</v>
      </c>
      <c r="N576" s="29">
        <f>SUMIFS(Cash_Flow_3[Amount],Cash_Flow_3[Bulan],H576,Cash_Flow_3[Type],"Out",Cash_Flow_3[Category],"Jajan")</f>
        <v>0</v>
      </c>
      <c r="O576" s="29">
        <f>SUMIFS(Cash_Flow_3[Amount],Cash_Flow_3[Bulan],H576,Cash_Flow_3[Type],"Out",Cash_Flow_3[Category],"Kitchen")</f>
        <v>0</v>
      </c>
      <c r="P576" s="29">
        <f>SUMIFS(Cash_Flow_3[Amount],Cash_Flow_3[Bulan],H576,Cash_Flow_3[Type],"Out",Cash_Flow_3[Category],"Loandry")</f>
        <v>0</v>
      </c>
      <c r="Q576" s="29">
        <f>SUMIFS(Cash_Flow_3[Amount],Cash_Flow_3[Bulan],H576,Cash_Flow_3[Type],"Out",Cash_Flow_3[Category],"Mio")</f>
        <v>0</v>
      </c>
      <c r="R576" s="29">
        <f>SUMIFS(Cash_Flow_3[Amount],Cash_Flow_3[Bulan],H576,Cash_Flow_3[Type],"Out",Cash_Flow_3[Category],"Sedekah")</f>
        <v>0</v>
      </c>
      <c r="S576" s="29">
        <f>SUMIFS(Cash_Flow_3[Amount],Cash_Flow_3[Bulan],H576,Cash_Flow_3[Type],"Out",Cash_Flow_3[Category],"Zela")</f>
        <v>0</v>
      </c>
      <c r="T576" s="29">
        <f>SUMIFS(Cash_Flow_3[Amount],Cash_Flow_3[Bulan],H576,Cash_Flow_3[Type],"Out",Cash_Flow_3[Category],"Iqbal")</f>
        <v>0</v>
      </c>
    </row>
    <row r="577" spans="1:20" ht="22.5" customHeight="1" x14ac:dyDescent="0.2">
      <c r="A577" s="23"/>
      <c r="B577" s="24"/>
      <c r="C577" s="25"/>
      <c r="D577" s="25"/>
      <c r="E577" s="25"/>
      <c r="F577" s="26"/>
      <c r="G577" s="27"/>
      <c r="H577" s="28" t="str">
        <f t="shared" si="0"/>
        <v/>
      </c>
      <c r="I577" s="29">
        <f>SUMIFS(Cash_Flow_3[Amount],Cash_Flow_3[Bulan],H577,Cash_Flow_3[Type],"In")</f>
        <v>0</v>
      </c>
      <c r="J577" s="29">
        <f>SUMIFS(Cash_Flow_3[Amount],Cash_Flow_3[Bulan],H577,Cash_Flow_3[Type],"Out")</f>
        <v>0</v>
      </c>
      <c r="K577" s="29">
        <f>SUMIFS(Cash_Flow_3[Amount],Cash_Flow_3[Bulan],H577,Cash_Flow_3[Type],"Out",Cash_Flow_3[Category],"Fix")</f>
        <v>0</v>
      </c>
      <c r="L577" s="29">
        <f>SUMIFS(Cash_Flow_3[Amount],Cash_Flow_3[Bulan],H577,Cash_Flow_3[Type],"Out",Cash_Flow_3[Category],"Bathroom")</f>
        <v>0</v>
      </c>
      <c r="M577" s="29">
        <f>SUMIFS(Cash_Flow_3[Amount],Cash_Flow_3[Bulan],H577,Cash_Flow_3[Type],"Out",Cash_Flow_3[Category],"Alfa")</f>
        <v>0</v>
      </c>
      <c r="N577" s="29">
        <f>SUMIFS(Cash_Flow_3[Amount],Cash_Flow_3[Bulan],H577,Cash_Flow_3[Type],"Out",Cash_Flow_3[Category],"Jajan")</f>
        <v>0</v>
      </c>
      <c r="O577" s="29">
        <f>SUMIFS(Cash_Flow_3[Amount],Cash_Flow_3[Bulan],H577,Cash_Flow_3[Type],"Out",Cash_Flow_3[Category],"Kitchen")</f>
        <v>0</v>
      </c>
      <c r="P577" s="29">
        <f>SUMIFS(Cash_Flow_3[Amount],Cash_Flow_3[Bulan],H577,Cash_Flow_3[Type],"Out",Cash_Flow_3[Category],"Loandry")</f>
        <v>0</v>
      </c>
      <c r="Q577" s="29">
        <f>SUMIFS(Cash_Flow_3[Amount],Cash_Flow_3[Bulan],H577,Cash_Flow_3[Type],"Out",Cash_Flow_3[Category],"Mio")</f>
        <v>0</v>
      </c>
      <c r="R577" s="29">
        <f>SUMIFS(Cash_Flow_3[Amount],Cash_Flow_3[Bulan],H577,Cash_Flow_3[Type],"Out",Cash_Flow_3[Category],"Sedekah")</f>
        <v>0</v>
      </c>
      <c r="S577" s="29">
        <f>SUMIFS(Cash_Flow_3[Amount],Cash_Flow_3[Bulan],H577,Cash_Flow_3[Type],"Out",Cash_Flow_3[Category],"Zela")</f>
        <v>0</v>
      </c>
      <c r="T577" s="29">
        <f>SUMIFS(Cash_Flow_3[Amount],Cash_Flow_3[Bulan],H577,Cash_Flow_3[Type],"Out",Cash_Flow_3[Category],"Iqbal")</f>
        <v>0</v>
      </c>
    </row>
    <row r="578" spans="1:20" ht="22.5" customHeight="1" x14ac:dyDescent="0.2">
      <c r="A578" s="23"/>
      <c r="B578" s="24"/>
      <c r="C578" s="25"/>
      <c r="D578" s="25"/>
      <c r="E578" s="25"/>
      <c r="F578" s="26"/>
      <c r="G578" s="27"/>
      <c r="H578" s="28" t="str">
        <f t="shared" si="0"/>
        <v/>
      </c>
      <c r="I578" s="29">
        <f>SUMIFS(Cash_Flow_3[Amount],Cash_Flow_3[Bulan],H578,Cash_Flow_3[Type],"In")</f>
        <v>0</v>
      </c>
      <c r="J578" s="29">
        <f>SUMIFS(Cash_Flow_3[Amount],Cash_Flow_3[Bulan],H578,Cash_Flow_3[Type],"Out")</f>
        <v>0</v>
      </c>
      <c r="K578" s="29">
        <f>SUMIFS(Cash_Flow_3[Amount],Cash_Flow_3[Bulan],H578,Cash_Flow_3[Type],"Out",Cash_Flow_3[Category],"Fix")</f>
        <v>0</v>
      </c>
      <c r="L578" s="29">
        <f>SUMIFS(Cash_Flow_3[Amount],Cash_Flow_3[Bulan],H578,Cash_Flow_3[Type],"Out",Cash_Flow_3[Category],"Bathroom")</f>
        <v>0</v>
      </c>
      <c r="M578" s="29">
        <f>SUMIFS(Cash_Flow_3[Amount],Cash_Flow_3[Bulan],H578,Cash_Flow_3[Type],"Out",Cash_Flow_3[Category],"Alfa")</f>
        <v>0</v>
      </c>
      <c r="N578" s="29">
        <f>SUMIFS(Cash_Flow_3[Amount],Cash_Flow_3[Bulan],H578,Cash_Flow_3[Type],"Out",Cash_Flow_3[Category],"Jajan")</f>
        <v>0</v>
      </c>
      <c r="O578" s="29">
        <f>SUMIFS(Cash_Flow_3[Amount],Cash_Flow_3[Bulan],H578,Cash_Flow_3[Type],"Out",Cash_Flow_3[Category],"Kitchen")</f>
        <v>0</v>
      </c>
      <c r="P578" s="29">
        <f>SUMIFS(Cash_Flow_3[Amount],Cash_Flow_3[Bulan],H578,Cash_Flow_3[Type],"Out",Cash_Flow_3[Category],"Loandry")</f>
        <v>0</v>
      </c>
      <c r="Q578" s="29">
        <f>SUMIFS(Cash_Flow_3[Amount],Cash_Flow_3[Bulan],H578,Cash_Flow_3[Type],"Out",Cash_Flow_3[Category],"Mio")</f>
        <v>0</v>
      </c>
      <c r="R578" s="29">
        <f>SUMIFS(Cash_Flow_3[Amount],Cash_Flow_3[Bulan],H578,Cash_Flow_3[Type],"Out",Cash_Flow_3[Category],"Sedekah")</f>
        <v>0</v>
      </c>
      <c r="S578" s="29">
        <f>SUMIFS(Cash_Flow_3[Amount],Cash_Flow_3[Bulan],H578,Cash_Flow_3[Type],"Out",Cash_Flow_3[Category],"Zela")</f>
        <v>0</v>
      </c>
      <c r="T578" s="29">
        <f>SUMIFS(Cash_Flow_3[Amount],Cash_Flow_3[Bulan],H578,Cash_Flow_3[Type],"Out",Cash_Flow_3[Category],"Iqbal")</f>
        <v>0</v>
      </c>
    </row>
    <row r="579" spans="1:20" ht="22.5" customHeight="1" x14ac:dyDescent="0.2">
      <c r="A579" s="23"/>
      <c r="B579" s="24"/>
      <c r="C579" s="25"/>
      <c r="D579" s="25"/>
      <c r="E579" s="25"/>
      <c r="F579" s="26"/>
      <c r="G579" s="27"/>
      <c r="H579" s="28" t="str">
        <f t="shared" si="0"/>
        <v/>
      </c>
      <c r="I579" s="29">
        <f>SUMIFS(Cash_Flow_3[Amount],Cash_Flow_3[Bulan],H579,Cash_Flow_3[Type],"In")</f>
        <v>0</v>
      </c>
      <c r="J579" s="29">
        <f>SUMIFS(Cash_Flow_3[Amount],Cash_Flow_3[Bulan],H579,Cash_Flow_3[Type],"Out")</f>
        <v>0</v>
      </c>
      <c r="K579" s="29">
        <f>SUMIFS(Cash_Flow_3[Amount],Cash_Flow_3[Bulan],H579,Cash_Flow_3[Type],"Out",Cash_Flow_3[Category],"Fix")</f>
        <v>0</v>
      </c>
      <c r="L579" s="29">
        <f>SUMIFS(Cash_Flow_3[Amount],Cash_Flow_3[Bulan],H579,Cash_Flow_3[Type],"Out",Cash_Flow_3[Category],"Bathroom")</f>
        <v>0</v>
      </c>
      <c r="M579" s="29">
        <f>SUMIFS(Cash_Flow_3[Amount],Cash_Flow_3[Bulan],H579,Cash_Flow_3[Type],"Out",Cash_Flow_3[Category],"Alfa")</f>
        <v>0</v>
      </c>
      <c r="N579" s="29">
        <f>SUMIFS(Cash_Flow_3[Amount],Cash_Flow_3[Bulan],H579,Cash_Flow_3[Type],"Out",Cash_Flow_3[Category],"Jajan")</f>
        <v>0</v>
      </c>
      <c r="O579" s="29">
        <f>SUMIFS(Cash_Flow_3[Amount],Cash_Flow_3[Bulan],H579,Cash_Flow_3[Type],"Out",Cash_Flow_3[Category],"Kitchen")</f>
        <v>0</v>
      </c>
      <c r="P579" s="29">
        <f>SUMIFS(Cash_Flow_3[Amount],Cash_Flow_3[Bulan],H579,Cash_Flow_3[Type],"Out",Cash_Flow_3[Category],"Loandry")</f>
        <v>0</v>
      </c>
      <c r="Q579" s="29">
        <f>SUMIFS(Cash_Flow_3[Amount],Cash_Flow_3[Bulan],H579,Cash_Flow_3[Type],"Out",Cash_Flow_3[Category],"Mio")</f>
        <v>0</v>
      </c>
      <c r="R579" s="29">
        <f>SUMIFS(Cash_Flow_3[Amount],Cash_Flow_3[Bulan],H579,Cash_Flow_3[Type],"Out",Cash_Flow_3[Category],"Sedekah")</f>
        <v>0</v>
      </c>
      <c r="S579" s="29">
        <f>SUMIFS(Cash_Flow_3[Amount],Cash_Flow_3[Bulan],H579,Cash_Flow_3[Type],"Out",Cash_Flow_3[Category],"Zela")</f>
        <v>0</v>
      </c>
      <c r="T579" s="29">
        <f>SUMIFS(Cash_Flow_3[Amount],Cash_Flow_3[Bulan],H579,Cash_Flow_3[Type],"Out",Cash_Flow_3[Category],"Iqbal")</f>
        <v>0</v>
      </c>
    </row>
    <row r="580" spans="1:20" ht="22.5" customHeight="1" x14ac:dyDescent="0.2">
      <c r="A580" s="23"/>
      <c r="B580" s="24"/>
      <c r="C580" s="25"/>
      <c r="D580" s="25"/>
      <c r="E580" s="25"/>
      <c r="F580" s="26"/>
      <c r="G580" s="27"/>
      <c r="H580" s="28" t="str">
        <f t="shared" si="0"/>
        <v/>
      </c>
      <c r="I580" s="29">
        <f>SUMIFS(Cash_Flow_3[Amount],Cash_Flow_3[Bulan],H580,Cash_Flow_3[Type],"In")</f>
        <v>0</v>
      </c>
      <c r="J580" s="29">
        <f>SUMIFS(Cash_Flow_3[Amount],Cash_Flow_3[Bulan],H580,Cash_Flow_3[Type],"Out")</f>
        <v>0</v>
      </c>
      <c r="K580" s="29">
        <f>SUMIFS(Cash_Flow_3[Amount],Cash_Flow_3[Bulan],H580,Cash_Flow_3[Type],"Out",Cash_Flow_3[Category],"Fix")</f>
        <v>0</v>
      </c>
      <c r="L580" s="29">
        <f>SUMIFS(Cash_Flow_3[Amount],Cash_Flow_3[Bulan],H580,Cash_Flow_3[Type],"Out",Cash_Flow_3[Category],"Bathroom")</f>
        <v>0</v>
      </c>
      <c r="M580" s="29">
        <f>SUMIFS(Cash_Flow_3[Amount],Cash_Flow_3[Bulan],H580,Cash_Flow_3[Type],"Out",Cash_Flow_3[Category],"Alfa")</f>
        <v>0</v>
      </c>
      <c r="N580" s="29">
        <f>SUMIFS(Cash_Flow_3[Amount],Cash_Flow_3[Bulan],H580,Cash_Flow_3[Type],"Out",Cash_Flow_3[Category],"Jajan")</f>
        <v>0</v>
      </c>
      <c r="O580" s="29">
        <f>SUMIFS(Cash_Flow_3[Amount],Cash_Flow_3[Bulan],H580,Cash_Flow_3[Type],"Out",Cash_Flow_3[Category],"Kitchen")</f>
        <v>0</v>
      </c>
      <c r="P580" s="29">
        <f>SUMIFS(Cash_Flow_3[Amount],Cash_Flow_3[Bulan],H580,Cash_Flow_3[Type],"Out",Cash_Flow_3[Category],"Loandry")</f>
        <v>0</v>
      </c>
      <c r="Q580" s="29">
        <f>SUMIFS(Cash_Flow_3[Amount],Cash_Flow_3[Bulan],H580,Cash_Flow_3[Type],"Out",Cash_Flow_3[Category],"Mio")</f>
        <v>0</v>
      </c>
      <c r="R580" s="29">
        <f>SUMIFS(Cash_Flow_3[Amount],Cash_Flow_3[Bulan],H580,Cash_Flow_3[Type],"Out",Cash_Flow_3[Category],"Sedekah")</f>
        <v>0</v>
      </c>
      <c r="S580" s="29">
        <f>SUMIFS(Cash_Flow_3[Amount],Cash_Flow_3[Bulan],H580,Cash_Flow_3[Type],"Out",Cash_Flow_3[Category],"Zela")</f>
        <v>0</v>
      </c>
      <c r="T580" s="29">
        <f>SUMIFS(Cash_Flow_3[Amount],Cash_Flow_3[Bulan],H580,Cash_Flow_3[Type],"Out",Cash_Flow_3[Category],"Iqbal")</f>
        <v>0</v>
      </c>
    </row>
    <row r="581" spans="1:20" ht="22.5" customHeight="1" x14ac:dyDescent="0.2">
      <c r="A581" s="23"/>
      <c r="B581" s="24"/>
      <c r="C581" s="25"/>
      <c r="D581" s="25"/>
      <c r="E581" s="25"/>
      <c r="F581" s="26"/>
      <c r="G581" s="27"/>
      <c r="H581" s="28" t="str">
        <f t="shared" si="0"/>
        <v/>
      </c>
      <c r="I581" s="29">
        <f>SUMIFS(Cash_Flow_3[Amount],Cash_Flow_3[Bulan],H581,Cash_Flow_3[Type],"In")</f>
        <v>0</v>
      </c>
      <c r="J581" s="29">
        <f>SUMIFS(Cash_Flow_3[Amount],Cash_Flow_3[Bulan],H581,Cash_Flow_3[Type],"Out")</f>
        <v>0</v>
      </c>
      <c r="K581" s="29">
        <f>SUMIFS(Cash_Flow_3[Amount],Cash_Flow_3[Bulan],H581,Cash_Flow_3[Type],"Out",Cash_Flow_3[Category],"Fix")</f>
        <v>0</v>
      </c>
      <c r="L581" s="29">
        <f>SUMIFS(Cash_Flow_3[Amount],Cash_Flow_3[Bulan],H581,Cash_Flow_3[Type],"Out",Cash_Flow_3[Category],"Bathroom")</f>
        <v>0</v>
      </c>
      <c r="M581" s="29">
        <f>SUMIFS(Cash_Flow_3[Amount],Cash_Flow_3[Bulan],H581,Cash_Flow_3[Type],"Out",Cash_Flow_3[Category],"Alfa")</f>
        <v>0</v>
      </c>
      <c r="N581" s="29">
        <f>SUMIFS(Cash_Flow_3[Amount],Cash_Flow_3[Bulan],H581,Cash_Flow_3[Type],"Out",Cash_Flow_3[Category],"Jajan")</f>
        <v>0</v>
      </c>
      <c r="O581" s="29">
        <f>SUMIFS(Cash_Flow_3[Amount],Cash_Flow_3[Bulan],H581,Cash_Flow_3[Type],"Out",Cash_Flow_3[Category],"Kitchen")</f>
        <v>0</v>
      </c>
      <c r="P581" s="29">
        <f>SUMIFS(Cash_Flow_3[Amount],Cash_Flow_3[Bulan],H581,Cash_Flow_3[Type],"Out",Cash_Flow_3[Category],"Loandry")</f>
        <v>0</v>
      </c>
      <c r="Q581" s="29">
        <f>SUMIFS(Cash_Flow_3[Amount],Cash_Flow_3[Bulan],H581,Cash_Flow_3[Type],"Out",Cash_Flow_3[Category],"Mio")</f>
        <v>0</v>
      </c>
      <c r="R581" s="29">
        <f>SUMIFS(Cash_Flow_3[Amount],Cash_Flow_3[Bulan],H581,Cash_Flow_3[Type],"Out",Cash_Flow_3[Category],"Sedekah")</f>
        <v>0</v>
      </c>
      <c r="S581" s="29">
        <f>SUMIFS(Cash_Flow_3[Amount],Cash_Flow_3[Bulan],H581,Cash_Flow_3[Type],"Out",Cash_Flow_3[Category],"Zela")</f>
        <v>0</v>
      </c>
      <c r="T581" s="29">
        <f>SUMIFS(Cash_Flow_3[Amount],Cash_Flow_3[Bulan],H581,Cash_Flow_3[Type],"Out",Cash_Flow_3[Category],"Iqbal")</f>
        <v>0</v>
      </c>
    </row>
    <row r="582" spans="1:20" ht="22.5" customHeight="1" x14ac:dyDescent="0.2">
      <c r="A582" s="23"/>
      <c r="B582" s="24"/>
      <c r="C582" s="25"/>
      <c r="D582" s="25"/>
      <c r="E582" s="25"/>
      <c r="F582" s="26"/>
      <c r="G582" s="27"/>
      <c r="H582" s="28" t="str">
        <f t="shared" si="0"/>
        <v/>
      </c>
      <c r="I582" s="29">
        <f>SUMIFS(Cash_Flow_3[Amount],Cash_Flow_3[Bulan],H582,Cash_Flow_3[Type],"In")</f>
        <v>0</v>
      </c>
      <c r="J582" s="29">
        <f>SUMIFS(Cash_Flow_3[Amount],Cash_Flow_3[Bulan],H582,Cash_Flow_3[Type],"Out")</f>
        <v>0</v>
      </c>
      <c r="K582" s="29">
        <f>SUMIFS(Cash_Flow_3[Amount],Cash_Flow_3[Bulan],H582,Cash_Flow_3[Type],"Out",Cash_Flow_3[Category],"Fix")</f>
        <v>0</v>
      </c>
      <c r="L582" s="29">
        <f>SUMIFS(Cash_Flow_3[Amount],Cash_Flow_3[Bulan],H582,Cash_Flow_3[Type],"Out",Cash_Flow_3[Category],"Bathroom")</f>
        <v>0</v>
      </c>
      <c r="M582" s="29">
        <f>SUMIFS(Cash_Flow_3[Amount],Cash_Flow_3[Bulan],H582,Cash_Flow_3[Type],"Out",Cash_Flow_3[Category],"Alfa")</f>
        <v>0</v>
      </c>
      <c r="N582" s="29">
        <f>SUMIFS(Cash_Flow_3[Amount],Cash_Flow_3[Bulan],H582,Cash_Flow_3[Type],"Out",Cash_Flow_3[Category],"Jajan")</f>
        <v>0</v>
      </c>
      <c r="O582" s="29">
        <f>SUMIFS(Cash_Flow_3[Amount],Cash_Flow_3[Bulan],H582,Cash_Flow_3[Type],"Out",Cash_Flow_3[Category],"Kitchen")</f>
        <v>0</v>
      </c>
      <c r="P582" s="29">
        <f>SUMIFS(Cash_Flow_3[Amount],Cash_Flow_3[Bulan],H582,Cash_Flow_3[Type],"Out",Cash_Flow_3[Category],"Loandry")</f>
        <v>0</v>
      </c>
      <c r="Q582" s="29">
        <f>SUMIFS(Cash_Flow_3[Amount],Cash_Flow_3[Bulan],H582,Cash_Flow_3[Type],"Out",Cash_Flow_3[Category],"Mio")</f>
        <v>0</v>
      </c>
      <c r="R582" s="29">
        <f>SUMIFS(Cash_Flow_3[Amount],Cash_Flow_3[Bulan],H582,Cash_Flow_3[Type],"Out",Cash_Flow_3[Category],"Sedekah")</f>
        <v>0</v>
      </c>
      <c r="S582" s="29">
        <f>SUMIFS(Cash_Flow_3[Amount],Cash_Flow_3[Bulan],H582,Cash_Flow_3[Type],"Out",Cash_Flow_3[Category],"Zela")</f>
        <v>0</v>
      </c>
      <c r="T582" s="29">
        <f>SUMIFS(Cash_Flow_3[Amount],Cash_Flow_3[Bulan],H582,Cash_Flow_3[Type],"Out",Cash_Flow_3[Category],"Iqbal")</f>
        <v>0</v>
      </c>
    </row>
    <row r="583" spans="1:20" ht="22.5" customHeight="1" x14ac:dyDescent="0.2">
      <c r="A583" s="23"/>
      <c r="B583" s="24"/>
      <c r="C583" s="25"/>
      <c r="D583" s="25"/>
      <c r="E583" s="25"/>
      <c r="F583" s="26"/>
      <c r="G583" s="27"/>
      <c r="H583" s="28" t="str">
        <f t="shared" si="0"/>
        <v/>
      </c>
      <c r="I583" s="29">
        <f>SUMIFS(Cash_Flow_3[Amount],Cash_Flow_3[Bulan],H583,Cash_Flow_3[Type],"In")</f>
        <v>0</v>
      </c>
      <c r="J583" s="29">
        <f>SUMIFS(Cash_Flow_3[Amount],Cash_Flow_3[Bulan],H583,Cash_Flow_3[Type],"Out")</f>
        <v>0</v>
      </c>
      <c r="K583" s="29">
        <f>SUMIFS(Cash_Flow_3[Amount],Cash_Flow_3[Bulan],H583,Cash_Flow_3[Type],"Out",Cash_Flow_3[Category],"Fix")</f>
        <v>0</v>
      </c>
      <c r="L583" s="29">
        <f>SUMIFS(Cash_Flow_3[Amount],Cash_Flow_3[Bulan],H583,Cash_Flow_3[Type],"Out",Cash_Flow_3[Category],"Bathroom")</f>
        <v>0</v>
      </c>
      <c r="M583" s="29">
        <f>SUMIFS(Cash_Flow_3[Amount],Cash_Flow_3[Bulan],H583,Cash_Flow_3[Type],"Out",Cash_Flow_3[Category],"Alfa")</f>
        <v>0</v>
      </c>
      <c r="N583" s="29">
        <f>SUMIFS(Cash_Flow_3[Amount],Cash_Flow_3[Bulan],H583,Cash_Flow_3[Type],"Out",Cash_Flow_3[Category],"Jajan")</f>
        <v>0</v>
      </c>
      <c r="O583" s="29">
        <f>SUMIFS(Cash_Flow_3[Amount],Cash_Flow_3[Bulan],H583,Cash_Flow_3[Type],"Out",Cash_Flow_3[Category],"Kitchen")</f>
        <v>0</v>
      </c>
      <c r="P583" s="29">
        <f>SUMIFS(Cash_Flow_3[Amount],Cash_Flow_3[Bulan],H583,Cash_Flow_3[Type],"Out",Cash_Flow_3[Category],"Loandry")</f>
        <v>0</v>
      </c>
      <c r="Q583" s="29">
        <f>SUMIFS(Cash_Flow_3[Amount],Cash_Flow_3[Bulan],H583,Cash_Flow_3[Type],"Out",Cash_Flow_3[Category],"Mio")</f>
        <v>0</v>
      </c>
      <c r="R583" s="29">
        <f>SUMIFS(Cash_Flow_3[Amount],Cash_Flow_3[Bulan],H583,Cash_Flow_3[Type],"Out",Cash_Flow_3[Category],"Sedekah")</f>
        <v>0</v>
      </c>
      <c r="S583" s="29">
        <f>SUMIFS(Cash_Flow_3[Amount],Cash_Flow_3[Bulan],H583,Cash_Flow_3[Type],"Out",Cash_Flow_3[Category],"Zela")</f>
        <v>0</v>
      </c>
      <c r="T583" s="29">
        <f>SUMIFS(Cash_Flow_3[Amount],Cash_Flow_3[Bulan],H583,Cash_Flow_3[Type],"Out",Cash_Flow_3[Category],"Iqbal")</f>
        <v>0</v>
      </c>
    </row>
    <row r="584" spans="1:20" ht="22.5" customHeight="1" x14ac:dyDescent="0.2">
      <c r="A584" s="23"/>
      <c r="B584" s="24"/>
      <c r="C584" s="25"/>
      <c r="D584" s="25"/>
      <c r="E584" s="25"/>
      <c r="F584" s="26"/>
      <c r="G584" s="27"/>
      <c r="H584" s="28" t="str">
        <f t="shared" si="0"/>
        <v/>
      </c>
      <c r="I584" s="29">
        <f>SUMIFS(Cash_Flow_3[Amount],Cash_Flow_3[Bulan],H584,Cash_Flow_3[Type],"In")</f>
        <v>0</v>
      </c>
      <c r="J584" s="29">
        <f>SUMIFS(Cash_Flow_3[Amount],Cash_Flow_3[Bulan],H584,Cash_Flow_3[Type],"Out")</f>
        <v>0</v>
      </c>
      <c r="K584" s="29">
        <f>SUMIFS(Cash_Flow_3[Amount],Cash_Flow_3[Bulan],H584,Cash_Flow_3[Type],"Out",Cash_Flow_3[Category],"Fix")</f>
        <v>0</v>
      </c>
      <c r="L584" s="29">
        <f>SUMIFS(Cash_Flow_3[Amount],Cash_Flow_3[Bulan],H584,Cash_Flow_3[Type],"Out",Cash_Flow_3[Category],"Bathroom")</f>
        <v>0</v>
      </c>
      <c r="M584" s="29">
        <f>SUMIFS(Cash_Flow_3[Amount],Cash_Flow_3[Bulan],H584,Cash_Flow_3[Type],"Out",Cash_Flow_3[Category],"Alfa")</f>
        <v>0</v>
      </c>
      <c r="N584" s="29">
        <f>SUMIFS(Cash_Flow_3[Amount],Cash_Flow_3[Bulan],H584,Cash_Flow_3[Type],"Out",Cash_Flow_3[Category],"Jajan")</f>
        <v>0</v>
      </c>
      <c r="O584" s="29">
        <f>SUMIFS(Cash_Flow_3[Amount],Cash_Flow_3[Bulan],H584,Cash_Flow_3[Type],"Out",Cash_Flow_3[Category],"Kitchen")</f>
        <v>0</v>
      </c>
      <c r="P584" s="29">
        <f>SUMIFS(Cash_Flow_3[Amount],Cash_Flow_3[Bulan],H584,Cash_Flow_3[Type],"Out",Cash_Flow_3[Category],"Loandry")</f>
        <v>0</v>
      </c>
      <c r="Q584" s="29">
        <f>SUMIFS(Cash_Flow_3[Amount],Cash_Flow_3[Bulan],H584,Cash_Flow_3[Type],"Out",Cash_Flow_3[Category],"Mio")</f>
        <v>0</v>
      </c>
      <c r="R584" s="29">
        <f>SUMIFS(Cash_Flow_3[Amount],Cash_Flow_3[Bulan],H584,Cash_Flow_3[Type],"Out",Cash_Flow_3[Category],"Sedekah")</f>
        <v>0</v>
      </c>
      <c r="S584" s="29">
        <f>SUMIFS(Cash_Flow_3[Amount],Cash_Flow_3[Bulan],H584,Cash_Flow_3[Type],"Out",Cash_Flow_3[Category],"Zela")</f>
        <v>0</v>
      </c>
      <c r="T584" s="29">
        <f>SUMIFS(Cash_Flow_3[Amount],Cash_Flow_3[Bulan],H584,Cash_Flow_3[Type],"Out",Cash_Flow_3[Category],"Iqbal")</f>
        <v>0</v>
      </c>
    </row>
    <row r="585" spans="1:20" ht="22.5" customHeight="1" x14ac:dyDescent="0.2">
      <c r="A585" s="23"/>
      <c r="B585" s="24"/>
      <c r="C585" s="25"/>
      <c r="D585" s="25"/>
      <c r="E585" s="25"/>
      <c r="F585" s="26"/>
      <c r="G585" s="27"/>
      <c r="H585" s="28" t="str">
        <f t="shared" si="0"/>
        <v/>
      </c>
      <c r="I585" s="29">
        <f>SUMIFS(Cash_Flow_3[Amount],Cash_Flow_3[Bulan],H585,Cash_Flow_3[Type],"In")</f>
        <v>0</v>
      </c>
      <c r="J585" s="29">
        <f>SUMIFS(Cash_Flow_3[Amount],Cash_Flow_3[Bulan],H585,Cash_Flow_3[Type],"Out")</f>
        <v>0</v>
      </c>
      <c r="K585" s="29">
        <f>SUMIFS(Cash_Flow_3[Amount],Cash_Flow_3[Bulan],H585,Cash_Flow_3[Type],"Out",Cash_Flow_3[Category],"Fix")</f>
        <v>0</v>
      </c>
      <c r="L585" s="29">
        <f>SUMIFS(Cash_Flow_3[Amount],Cash_Flow_3[Bulan],H585,Cash_Flow_3[Type],"Out",Cash_Flow_3[Category],"Bathroom")</f>
        <v>0</v>
      </c>
      <c r="M585" s="29">
        <f>SUMIFS(Cash_Flow_3[Amount],Cash_Flow_3[Bulan],H585,Cash_Flow_3[Type],"Out",Cash_Flow_3[Category],"Alfa")</f>
        <v>0</v>
      </c>
      <c r="N585" s="29">
        <f>SUMIFS(Cash_Flow_3[Amount],Cash_Flow_3[Bulan],H585,Cash_Flow_3[Type],"Out",Cash_Flow_3[Category],"Jajan")</f>
        <v>0</v>
      </c>
      <c r="O585" s="29">
        <f>SUMIFS(Cash_Flow_3[Amount],Cash_Flow_3[Bulan],H585,Cash_Flow_3[Type],"Out",Cash_Flow_3[Category],"Kitchen")</f>
        <v>0</v>
      </c>
      <c r="P585" s="29">
        <f>SUMIFS(Cash_Flow_3[Amount],Cash_Flow_3[Bulan],H585,Cash_Flow_3[Type],"Out",Cash_Flow_3[Category],"Loandry")</f>
        <v>0</v>
      </c>
      <c r="Q585" s="29">
        <f>SUMIFS(Cash_Flow_3[Amount],Cash_Flow_3[Bulan],H585,Cash_Flow_3[Type],"Out",Cash_Flow_3[Category],"Mio")</f>
        <v>0</v>
      </c>
      <c r="R585" s="29">
        <f>SUMIFS(Cash_Flow_3[Amount],Cash_Flow_3[Bulan],H585,Cash_Flow_3[Type],"Out",Cash_Flow_3[Category],"Sedekah")</f>
        <v>0</v>
      </c>
      <c r="S585" s="29">
        <f>SUMIFS(Cash_Flow_3[Amount],Cash_Flow_3[Bulan],H585,Cash_Flow_3[Type],"Out",Cash_Flow_3[Category],"Zela")</f>
        <v>0</v>
      </c>
      <c r="T585" s="29">
        <f>SUMIFS(Cash_Flow_3[Amount],Cash_Flow_3[Bulan],H585,Cash_Flow_3[Type],"Out",Cash_Flow_3[Category],"Iqbal")</f>
        <v>0</v>
      </c>
    </row>
    <row r="586" spans="1:20" ht="22.5" customHeight="1" x14ac:dyDescent="0.2">
      <c r="A586" s="23"/>
      <c r="B586" s="24"/>
      <c r="C586" s="25"/>
      <c r="D586" s="25"/>
      <c r="E586" s="25"/>
      <c r="F586" s="26"/>
      <c r="G586" s="27"/>
      <c r="H586" s="28" t="str">
        <f t="shared" si="0"/>
        <v/>
      </c>
      <c r="I586" s="29">
        <f>SUMIFS(Cash_Flow_3[Amount],Cash_Flow_3[Bulan],H586,Cash_Flow_3[Type],"In")</f>
        <v>0</v>
      </c>
      <c r="J586" s="29">
        <f>SUMIFS(Cash_Flow_3[Amount],Cash_Flow_3[Bulan],H586,Cash_Flow_3[Type],"Out")</f>
        <v>0</v>
      </c>
      <c r="K586" s="29">
        <f>SUMIFS(Cash_Flow_3[Amount],Cash_Flow_3[Bulan],H586,Cash_Flow_3[Type],"Out",Cash_Flow_3[Category],"Fix")</f>
        <v>0</v>
      </c>
      <c r="L586" s="29">
        <f>SUMIFS(Cash_Flow_3[Amount],Cash_Flow_3[Bulan],H586,Cash_Flow_3[Type],"Out",Cash_Flow_3[Category],"Bathroom")</f>
        <v>0</v>
      </c>
      <c r="M586" s="29">
        <f>SUMIFS(Cash_Flow_3[Amount],Cash_Flow_3[Bulan],H586,Cash_Flow_3[Type],"Out",Cash_Flow_3[Category],"Alfa")</f>
        <v>0</v>
      </c>
      <c r="N586" s="29">
        <f>SUMIFS(Cash_Flow_3[Amount],Cash_Flow_3[Bulan],H586,Cash_Flow_3[Type],"Out",Cash_Flow_3[Category],"Jajan")</f>
        <v>0</v>
      </c>
      <c r="O586" s="29">
        <f>SUMIFS(Cash_Flow_3[Amount],Cash_Flow_3[Bulan],H586,Cash_Flow_3[Type],"Out",Cash_Flow_3[Category],"Kitchen")</f>
        <v>0</v>
      </c>
      <c r="P586" s="29">
        <f>SUMIFS(Cash_Flow_3[Amount],Cash_Flow_3[Bulan],H586,Cash_Flow_3[Type],"Out",Cash_Flow_3[Category],"Loandry")</f>
        <v>0</v>
      </c>
      <c r="Q586" s="29">
        <f>SUMIFS(Cash_Flow_3[Amount],Cash_Flow_3[Bulan],H586,Cash_Flow_3[Type],"Out",Cash_Flow_3[Category],"Mio")</f>
        <v>0</v>
      </c>
      <c r="R586" s="29">
        <f>SUMIFS(Cash_Flow_3[Amount],Cash_Flow_3[Bulan],H586,Cash_Flow_3[Type],"Out",Cash_Flow_3[Category],"Sedekah")</f>
        <v>0</v>
      </c>
      <c r="S586" s="29">
        <f>SUMIFS(Cash_Flow_3[Amount],Cash_Flow_3[Bulan],H586,Cash_Flow_3[Type],"Out",Cash_Flow_3[Category],"Zela")</f>
        <v>0</v>
      </c>
      <c r="T586" s="29">
        <f>SUMIFS(Cash_Flow_3[Amount],Cash_Flow_3[Bulan],H586,Cash_Flow_3[Type],"Out",Cash_Flow_3[Category],"Iqbal")</f>
        <v>0</v>
      </c>
    </row>
    <row r="587" spans="1:20" ht="22.5" customHeight="1" x14ac:dyDescent="0.2">
      <c r="A587" s="23"/>
      <c r="B587" s="24"/>
      <c r="C587" s="25"/>
      <c r="D587" s="25"/>
      <c r="E587" s="25"/>
      <c r="F587" s="26"/>
      <c r="G587" s="27"/>
      <c r="H587" s="28" t="str">
        <f t="shared" si="0"/>
        <v/>
      </c>
      <c r="I587" s="29">
        <f>SUMIFS(Cash_Flow_3[Amount],Cash_Flow_3[Bulan],H587,Cash_Flow_3[Type],"In")</f>
        <v>0</v>
      </c>
      <c r="J587" s="29">
        <f>SUMIFS(Cash_Flow_3[Amount],Cash_Flow_3[Bulan],H587,Cash_Flow_3[Type],"Out")</f>
        <v>0</v>
      </c>
      <c r="K587" s="29">
        <f>SUMIFS(Cash_Flow_3[Amount],Cash_Flow_3[Bulan],H587,Cash_Flow_3[Type],"Out",Cash_Flow_3[Category],"Fix")</f>
        <v>0</v>
      </c>
      <c r="L587" s="29">
        <f>SUMIFS(Cash_Flow_3[Amount],Cash_Flow_3[Bulan],H587,Cash_Flow_3[Type],"Out",Cash_Flow_3[Category],"Bathroom")</f>
        <v>0</v>
      </c>
      <c r="M587" s="29">
        <f>SUMIFS(Cash_Flow_3[Amount],Cash_Flow_3[Bulan],H587,Cash_Flow_3[Type],"Out",Cash_Flow_3[Category],"Alfa")</f>
        <v>0</v>
      </c>
      <c r="N587" s="29">
        <f>SUMIFS(Cash_Flow_3[Amount],Cash_Flow_3[Bulan],H587,Cash_Flow_3[Type],"Out",Cash_Flow_3[Category],"Jajan")</f>
        <v>0</v>
      </c>
      <c r="O587" s="29">
        <f>SUMIFS(Cash_Flow_3[Amount],Cash_Flow_3[Bulan],H587,Cash_Flow_3[Type],"Out",Cash_Flow_3[Category],"Kitchen")</f>
        <v>0</v>
      </c>
      <c r="P587" s="29">
        <f>SUMIFS(Cash_Flow_3[Amount],Cash_Flow_3[Bulan],H587,Cash_Flow_3[Type],"Out",Cash_Flow_3[Category],"Loandry")</f>
        <v>0</v>
      </c>
      <c r="Q587" s="29">
        <f>SUMIFS(Cash_Flow_3[Amount],Cash_Flow_3[Bulan],H587,Cash_Flow_3[Type],"Out",Cash_Flow_3[Category],"Mio")</f>
        <v>0</v>
      </c>
      <c r="R587" s="29">
        <f>SUMIFS(Cash_Flow_3[Amount],Cash_Flow_3[Bulan],H587,Cash_Flow_3[Type],"Out",Cash_Flow_3[Category],"Sedekah")</f>
        <v>0</v>
      </c>
      <c r="S587" s="29">
        <f>SUMIFS(Cash_Flow_3[Amount],Cash_Flow_3[Bulan],H587,Cash_Flow_3[Type],"Out",Cash_Flow_3[Category],"Zela")</f>
        <v>0</v>
      </c>
      <c r="T587" s="29">
        <f>SUMIFS(Cash_Flow_3[Amount],Cash_Flow_3[Bulan],H587,Cash_Flow_3[Type],"Out",Cash_Flow_3[Category],"Iqbal")</f>
        <v>0</v>
      </c>
    </row>
    <row r="588" spans="1:20" ht="22.5" customHeight="1" x14ac:dyDescent="0.2">
      <c r="A588" s="23"/>
      <c r="B588" s="24"/>
      <c r="C588" s="25"/>
      <c r="D588" s="25"/>
      <c r="E588" s="25"/>
      <c r="F588" s="26"/>
      <c r="G588" s="27"/>
      <c r="H588" s="28" t="str">
        <f t="shared" si="0"/>
        <v/>
      </c>
      <c r="I588" s="29">
        <f>SUMIFS(Cash_Flow_3[Amount],Cash_Flow_3[Bulan],H588,Cash_Flow_3[Type],"In")</f>
        <v>0</v>
      </c>
      <c r="J588" s="29">
        <f>SUMIFS(Cash_Flow_3[Amount],Cash_Flow_3[Bulan],H588,Cash_Flow_3[Type],"Out")</f>
        <v>0</v>
      </c>
      <c r="K588" s="29">
        <f>SUMIFS(Cash_Flow_3[Amount],Cash_Flow_3[Bulan],H588,Cash_Flow_3[Type],"Out",Cash_Flow_3[Category],"Fix")</f>
        <v>0</v>
      </c>
      <c r="L588" s="29">
        <f>SUMIFS(Cash_Flow_3[Amount],Cash_Flow_3[Bulan],H588,Cash_Flow_3[Type],"Out",Cash_Flow_3[Category],"Bathroom")</f>
        <v>0</v>
      </c>
      <c r="M588" s="29">
        <f>SUMIFS(Cash_Flow_3[Amount],Cash_Flow_3[Bulan],H588,Cash_Flow_3[Type],"Out",Cash_Flow_3[Category],"Alfa")</f>
        <v>0</v>
      </c>
      <c r="N588" s="29">
        <f>SUMIFS(Cash_Flow_3[Amount],Cash_Flow_3[Bulan],H588,Cash_Flow_3[Type],"Out",Cash_Flow_3[Category],"Jajan")</f>
        <v>0</v>
      </c>
      <c r="O588" s="29">
        <f>SUMIFS(Cash_Flow_3[Amount],Cash_Flow_3[Bulan],H588,Cash_Flow_3[Type],"Out",Cash_Flow_3[Category],"Kitchen")</f>
        <v>0</v>
      </c>
      <c r="P588" s="29">
        <f>SUMIFS(Cash_Flow_3[Amount],Cash_Flow_3[Bulan],H588,Cash_Flow_3[Type],"Out",Cash_Flow_3[Category],"Loandry")</f>
        <v>0</v>
      </c>
      <c r="Q588" s="29">
        <f>SUMIFS(Cash_Flow_3[Amount],Cash_Flow_3[Bulan],H588,Cash_Flow_3[Type],"Out",Cash_Flow_3[Category],"Mio")</f>
        <v>0</v>
      </c>
      <c r="R588" s="29">
        <f>SUMIFS(Cash_Flow_3[Amount],Cash_Flow_3[Bulan],H588,Cash_Flow_3[Type],"Out",Cash_Flow_3[Category],"Sedekah")</f>
        <v>0</v>
      </c>
      <c r="S588" s="29">
        <f>SUMIFS(Cash_Flow_3[Amount],Cash_Flow_3[Bulan],H588,Cash_Flow_3[Type],"Out",Cash_Flow_3[Category],"Zela")</f>
        <v>0</v>
      </c>
      <c r="T588" s="29">
        <f>SUMIFS(Cash_Flow_3[Amount],Cash_Flow_3[Bulan],H588,Cash_Flow_3[Type],"Out",Cash_Flow_3[Category],"Iqbal")</f>
        <v>0</v>
      </c>
    </row>
    <row r="589" spans="1:20" ht="22.5" customHeight="1" x14ac:dyDescent="0.2">
      <c r="A589" s="23"/>
      <c r="B589" s="24"/>
      <c r="C589" s="25"/>
      <c r="D589" s="25"/>
      <c r="E589" s="25"/>
      <c r="F589" s="26"/>
      <c r="G589" s="27"/>
      <c r="H589" s="28" t="str">
        <f t="shared" si="0"/>
        <v/>
      </c>
      <c r="I589" s="29">
        <f>SUMIFS(Cash_Flow_3[Amount],Cash_Flow_3[Bulan],H589,Cash_Flow_3[Type],"In")</f>
        <v>0</v>
      </c>
      <c r="J589" s="29">
        <f>SUMIFS(Cash_Flow_3[Amount],Cash_Flow_3[Bulan],H589,Cash_Flow_3[Type],"Out")</f>
        <v>0</v>
      </c>
      <c r="K589" s="29">
        <f>SUMIFS(Cash_Flow_3[Amount],Cash_Flow_3[Bulan],H589,Cash_Flow_3[Type],"Out",Cash_Flow_3[Category],"Fix")</f>
        <v>0</v>
      </c>
      <c r="L589" s="29">
        <f>SUMIFS(Cash_Flow_3[Amount],Cash_Flow_3[Bulan],H589,Cash_Flow_3[Type],"Out",Cash_Flow_3[Category],"Bathroom")</f>
        <v>0</v>
      </c>
      <c r="M589" s="29">
        <f>SUMIFS(Cash_Flow_3[Amount],Cash_Flow_3[Bulan],H589,Cash_Flow_3[Type],"Out",Cash_Flow_3[Category],"Alfa")</f>
        <v>0</v>
      </c>
      <c r="N589" s="29">
        <f>SUMIFS(Cash_Flow_3[Amount],Cash_Flow_3[Bulan],H589,Cash_Flow_3[Type],"Out",Cash_Flow_3[Category],"Jajan")</f>
        <v>0</v>
      </c>
      <c r="O589" s="29">
        <f>SUMIFS(Cash_Flow_3[Amount],Cash_Flow_3[Bulan],H589,Cash_Flow_3[Type],"Out",Cash_Flow_3[Category],"Kitchen")</f>
        <v>0</v>
      </c>
      <c r="P589" s="29">
        <f>SUMIFS(Cash_Flow_3[Amount],Cash_Flow_3[Bulan],H589,Cash_Flow_3[Type],"Out",Cash_Flow_3[Category],"Loandry")</f>
        <v>0</v>
      </c>
      <c r="Q589" s="29">
        <f>SUMIFS(Cash_Flow_3[Amount],Cash_Flow_3[Bulan],H589,Cash_Flow_3[Type],"Out",Cash_Flow_3[Category],"Mio")</f>
        <v>0</v>
      </c>
      <c r="R589" s="29">
        <f>SUMIFS(Cash_Flow_3[Amount],Cash_Flow_3[Bulan],H589,Cash_Flow_3[Type],"Out",Cash_Flow_3[Category],"Sedekah")</f>
        <v>0</v>
      </c>
      <c r="S589" s="29">
        <f>SUMIFS(Cash_Flow_3[Amount],Cash_Flow_3[Bulan],H589,Cash_Flow_3[Type],"Out",Cash_Flow_3[Category],"Zela")</f>
        <v>0</v>
      </c>
      <c r="T589" s="29">
        <f>SUMIFS(Cash_Flow_3[Amount],Cash_Flow_3[Bulan],H589,Cash_Flow_3[Type],"Out",Cash_Flow_3[Category],"Iqbal")</f>
        <v>0</v>
      </c>
    </row>
    <row r="590" spans="1:20" ht="22.5" customHeight="1" x14ac:dyDescent="0.2">
      <c r="A590" s="23"/>
      <c r="B590" s="24"/>
      <c r="C590" s="25"/>
      <c r="D590" s="25"/>
      <c r="E590" s="25"/>
      <c r="F590" s="26"/>
      <c r="G590" s="27"/>
      <c r="H590" s="28" t="str">
        <f t="shared" si="0"/>
        <v/>
      </c>
      <c r="I590" s="29">
        <f>SUMIFS(Cash_Flow_3[Amount],Cash_Flow_3[Bulan],H590,Cash_Flow_3[Type],"In")</f>
        <v>0</v>
      </c>
      <c r="J590" s="29">
        <f>SUMIFS(Cash_Flow_3[Amount],Cash_Flow_3[Bulan],H590,Cash_Flow_3[Type],"Out")</f>
        <v>0</v>
      </c>
      <c r="K590" s="29">
        <f>SUMIFS(Cash_Flow_3[Amount],Cash_Flow_3[Bulan],H590,Cash_Flow_3[Type],"Out",Cash_Flow_3[Category],"Fix")</f>
        <v>0</v>
      </c>
      <c r="L590" s="29">
        <f>SUMIFS(Cash_Flow_3[Amount],Cash_Flow_3[Bulan],H590,Cash_Flow_3[Type],"Out",Cash_Flow_3[Category],"Bathroom")</f>
        <v>0</v>
      </c>
      <c r="M590" s="29">
        <f>SUMIFS(Cash_Flow_3[Amount],Cash_Flow_3[Bulan],H590,Cash_Flow_3[Type],"Out",Cash_Flow_3[Category],"Alfa")</f>
        <v>0</v>
      </c>
      <c r="N590" s="29">
        <f>SUMIFS(Cash_Flow_3[Amount],Cash_Flow_3[Bulan],H590,Cash_Flow_3[Type],"Out",Cash_Flow_3[Category],"Jajan")</f>
        <v>0</v>
      </c>
      <c r="O590" s="29">
        <f>SUMIFS(Cash_Flow_3[Amount],Cash_Flow_3[Bulan],H590,Cash_Flow_3[Type],"Out",Cash_Flow_3[Category],"Kitchen")</f>
        <v>0</v>
      </c>
      <c r="P590" s="29">
        <f>SUMIFS(Cash_Flow_3[Amount],Cash_Flow_3[Bulan],H590,Cash_Flow_3[Type],"Out",Cash_Flow_3[Category],"Loandry")</f>
        <v>0</v>
      </c>
      <c r="Q590" s="29">
        <f>SUMIFS(Cash_Flow_3[Amount],Cash_Flow_3[Bulan],H590,Cash_Flow_3[Type],"Out",Cash_Flow_3[Category],"Mio")</f>
        <v>0</v>
      </c>
      <c r="R590" s="29">
        <f>SUMIFS(Cash_Flow_3[Amount],Cash_Flow_3[Bulan],H590,Cash_Flow_3[Type],"Out",Cash_Flow_3[Category],"Sedekah")</f>
        <v>0</v>
      </c>
      <c r="S590" s="29">
        <f>SUMIFS(Cash_Flow_3[Amount],Cash_Flow_3[Bulan],H590,Cash_Flow_3[Type],"Out",Cash_Flow_3[Category],"Zela")</f>
        <v>0</v>
      </c>
      <c r="T590" s="29">
        <f>SUMIFS(Cash_Flow_3[Amount],Cash_Flow_3[Bulan],H590,Cash_Flow_3[Type],"Out",Cash_Flow_3[Category],"Iqbal")</f>
        <v>0</v>
      </c>
    </row>
    <row r="591" spans="1:20" ht="22.5" customHeight="1" x14ac:dyDescent="0.2">
      <c r="A591" s="23"/>
      <c r="B591" s="24"/>
      <c r="C591" s="25"/>
      <c r="D591" s="25"/>
      <c r="E591" s="25"/>
      <c r="F591" s="26"/>
      <c r="G591" s="27"/>
      <c r="H591" s="28" t="str">
        <f t="shared" si="0"/>
        <v/>
      </c>
      <c r="I591" s="29">
        <f>SUMIFS(Cash_Flow_3[Amount],Cash_Flow_3[Bulan],H591,Cash_Flow_3[Type],"In")</f>
        <v>0</v>
      </c>
      <c r="J591" s="29">
        <f>SUMIFS(Cash_Flow_3[Amount],Cash_Flow_3[Bulan],H591,Cash_Flow_3[Type],"Out")</f>
        <v>0</v>
      </c>
      <c r="K591" s="29">
        <f>SUMIFS(Cash_Flow_3[Amount],Cash_Flow_3[Bulan],H591,Cash_Flow_3[Type],"Out",Cash_Flow_3[Category],"Fix")</f>
        <v>0</v>
      </c>
      <c r="L591" s="29">
        <f>SUMIFS(Cash_Flow_3[Amount],Cash_Flow_3[Bulan],H591,Cash_Flow_3[Type],"Out",Cash_Flow_3[Category],"Bathroom")</f>
        <v>0</v>
      </c>
      <c r="M591" s="29">
        <f>SUMIFS(Cash_Flow_3[Amount],Cash_Flow_3[Bulan],H591,Cash_Flow_3[Type],"Out",Cash_Flow_3[Category],"Alfa")</f>
        <v>0</v>
      </c>
      <c r="N591" s="29">
        <f>SUMIFS(Cash_Flow_3[Amount],Cash_Flow_3[Bulan],H591,Cash_Flow_3[Type],"Out",Cash_Flow_3[Category],"Jajan")</f>
        <v>0</v>
      </c>
      <c r="O591" s="29">
        <f>SUMIFS(Cash_Flow_3[Amount],Cash_Flow_3[Bulan],H591,Cash_Flow_3[Type],"Out",Cash_Flow_3[Category],"Kitchen")</f>
        <v>0</v>
      </c>
      <c r="P591" s="29">
        <f>SUMIFS(Cash_Flow_3[Amount],Cash_Flow_3[Bulan],H591,Cash_Flow_3[Type],"Out",Cash_Flow_3[Category],"Loandry")</f>
        <v>0</v>
      </c>
      <c r="Q591" s="29">
        <f>SUMIFS(Cash_Flow_3[Amount],Cash_Flow_3[Bulan],H591,Cash_Flow_3[Type],"Out",Cash_Flow_3[Category],"Mio")</f>
        <v>0</v>
      </c>
      <c r="R591" s="29">
        <f>SUMIFS(Cash_Flow_3[Amount],Cash_Flow_3[Bulan],H591,Cash_Flow_3[Type],"Out",Cash_Flow_3[Category],"Sedekah")</f>
        <v>0</v>
      </c>
      <c r="S591" s="29">
        <f>SUMIFS(Cash_Flow_3[Amount],Cash_Flow_3[Bulan],H591,Cash_Flow_3[Type],"Out",Cash_Flow_3[Category],"Zela")</f>
        <v>0</v>
      </c>
      <c r="T591" s="29">
        <f>SUMIFS(Cash_Flow_3[Amount],Cash_Flow_3[Bulan],H591,Cash_Flow_3[Type],"Out",Cash_Flow_3[Category],"Iqbal")</f>
        <v>0</v>
      </c>
    </row>
    <row r="592" spans="1:20" ht="22.5" customHeight="1" x14ac:dyDescent="0.2">
      <c r="A592" s="23"/>
      <c r="B592" s="24"/>
      <c r="C592" s="25"/>
      <c r="D592" s="25"/>
      <c r="E592" s="25"/>
      <c r="F592" s="26"/>
      <c r="G592" s="27"/>
      <c r="H592" s="28" t="str">
        <f t="shared" si="0"/>
        <v/>
      </c>
      <c r="I592" s="29">
        <f>SUMIFS(Cash_Flow_3[Amount],Cash_Flow_3[Bulan],H592,Cash_Flow_3[Type],"In")</f>
        <v>0</v>
      </c>
      <c r="J592" s="29">
        <f>SUMIFS(Cash_Flow_3[Amount],Cash_Flow_3[Bulan],H592,Cash_Flow_3[Type],"Out")</f>
        <v>0</v>
      </c>
      <c r="K592" s="29">
        <f>SUMIFS(Cash_Flow_3[Amount],Cash_Flow_3[Bulan],H592,Cash_Flow_3[Type],"Out",Cash_Flow_3[Category],"Fix")</f>
        <v>0</v>
      </c>
      <c r="L592" s="29">
        <f>SUMIFS(Cash_Flow_3[Amount],Cash_Flow_3[Bulan],H592,Cash_Flow_3[Type],"Out",Cash_Flow_3[Category],"Bathroom")</f>
        <v>0</v>
      </c>
      <c r="M592" s="29">
        <f>SUMIFS(Cash_Flow_3[Amount],Cash_Flow_3[Bulan],H592,Cash_Flow_3[Type],"Out",Cash_Flow_3[Category],"Alfa")</f>
        <v>0</v>
      </c>
      <c r="N592" s="29">
        <f>SUMIFS(Cash_Flow_3[Amount],Cash_Flow_3[Bulan],H592,Cash_Flow_3[Type],"Out",Cash_Flow_3[Category],"Jajan")</f>
        <v>0</v>
      </c>
      <c r="O592" s="29">
        <f>SUMIFS(Cash_Flow_3[Amount],Cash_Flow_3[Bulan],H592,Cash_Flow_3[Type],"Out",Cash_Flow_3[Category],"Kitchen")</f>
        <v>0</v>
      </c>
      <c r="P592" s="29">
        <f>SUMIFS(Cash_Flow_3[Amount],Cash_Flow_3[Bulan],H592,Cash_Flow_3[Type],"Out",Cash_Flow_3[Category],"Loandry")</f>
        <v>0</v>
      </c>
      <c r="Q592" s="29">
        <f>SUMIFS(Cash_Flow_3[Amount],Cash_Flow_3[Bulan],H592,Cash_Flow_3[Type],"Out",Cash_Flow_3[Category],"Mio")</f>
        <v>0</v>
      </c>
      <c r="R592" s="29">
        <f>SUMIFS(Cash_Flow_3[Amount],Cash_Flow_3[Bulan],H592,Cash_Flow_3[Type],"Out",Cash_Flow_3[Category],"Sedekah")</f>
        <v>0</v>
      </c>
      <c r="S592" s="29">
        <f>SUMIFS(Cash_Flow_3[Amount],Cash_Flow_3[Bulan],H592,Cash_Flow_3[Type],"Out",Cash_Flow_3[Category],"Zela")</f>
        <v>0</v>
      </c>
      <c r="T592" s="29">
        <f>SUMIFS(Cash_Flow_3[Amount],Cash_Flow_3[Bulan],H592,Cash_Flow_3[Type],"Out",Cash_Flow_3[Category],"Iqbal")</f>
        <v>0</v>
      </c>
    </row>
    <row r="593" spans="1:20" ht="22.5" customHeight="1" x14ac:dyDescent="0.2">
      <c r="A593" s="23"/>
      <c r="B593" s="24"/>
      <c r="C593" s="25"/>
      <c r="D593" s="25"/>
      <c r="E593" s="25"/>
      <c r="F593" s="26"/>
      <c r="G593" s="27"/>
      <c r="H593" s="28" t="str">
        <f t="shared" si="0"/>
        <v/>
      </c>
      <c r="I593" s="29">
        <f>SUMIFS(Cash_Flow_3[Amount],Cash_Flow_3[Bulan],H593,Cash_Flow_3[Type],"In")</f>
        <v>0</v>
      </c>
      <c r="J593" s="29">
        <f>SUMIFS(Cash_Flow_3[Amount],Cash_Flow_3[Bulan],H593,Cash_Flow_3[Type],"Out")</f>
        <v>0</v>
      </c>
      <c r="K593" s="29">
        <f>SUMIFS(Cash_Flow_3[Amount],Cash_Flow_3[Bulan],H593,Cash_Flow_3[Type],"Out",Cash_Flow_3[Category],"Fix")</f>
        <v>0</v>
      </c>
      <c r="L593" s="29">
        <f>SUMIFS(Cash_Flow_3[Amount],Cash_Flow_3[Bulan],H593,Cash_Flow_3[Type],"Out",Cash_Flow_3[Category],"Bathroom")</f>
        <v>0</v>
      </c>
      <c r="M593" s="29">
        <f>SUMIFS(Cash_Flow_3[Amount],Cash_Flow_3[Bulan],H593,Cash_Flow_3[Type],"Out",Cash_Flow_3[Category],"Alfa")</f>
        <v>0</v>
      </c>
      <c r="N593" s="29">
        <f>SUMIFS(Cash_Flow_3[Amount],Cash_Flow_3[Bulan],H593,Cash_Flow_3[Type],"Out",Cash_Flow_3[Category],"Jajan")</f>
        <v>0</v>
      </c>
      <c r="O593" s="29">
        <f>SUMIFS(Cash_Flow_3[Amount],Cash_Flow_3[Bulan],H593,Cash_Flow_3[Type],"Out",Cash_Flow_3[Category],"Kitchen")</f>
        <v>0</v>
      </c>
      <c r="P593" s="29">
        <f>SUMIFS(Cash_Flow_3[Amount],Cash_Flow_3[Bulan],H593,Cash_Flow_3[Type],"Out",Cash_Flow_3[Category],"Loandry")</f>
        <v>0</v>
      </c>
      <c r="Q593" s="29">
        <f>SUMIFS(Cash_Flow_3[Amount],Cash_Flow_3[Bulan],H593,Cash_Flow_3[Type],"Out",Cash_Flow_3[Category],"Mio")</f>
        <v>0</v>
      </c>
      <c r="R593" s="29">
        <f>SUMIFS(Cash_Flow_3[Amount],Cash_Flow_3[Bulan],H593,Cash_Flow_3[Type],"Out",Cash_Flow_3[Category],"Sedekah")</f>
        <v>0</v>
      </c>
      <c r="S593" s="29">
        <f>SUMIFS(Cash_Flow_3[Amount],Cash_Flow_3[Bulan],H593,Cash_Flow_3[Type],"Out",Cash_Flow_3[Category],"Zela")</f>
        <v>0</v>
      </c>
      <c r="T593" s="29">
        <f>SUMIFS(Cash_Flow_3[Amount],Cash_Flow_3[Bulan],H593,Cash_Flow_3[Type],"Out",Cash_Flow_3[Category],"Iqbal")</f>
        <v>0</v>
      </c>
    </row>
    <row r="594" spans="1:20" ht="22.5" customHeight="1" x14ac:dyDescent="0.2">
      <c r="A594" s="23"/>
      <c r="B594" s="24"/>
      <c r="C594" s="25"/>
      <c r="D594" s="25"/>
      <c r="E594" s="25"/>
      <c r="F594" s="26"/>
      <c r="G594" s="27"/>
      <c r="H594" s="28" t="str">
        <f t="shared" si="0"/>
        <v/>
      </c>
      <c r="I594" s="29">
        <f>SUMIFS(Cash_Flow_3[Amount],Cash_Flow_3[Bulan],H594,Cash_Flow_3[Type],"In")</f>
        <v>0</v>
      </c>
      <c r="J594" s="29">
        <f>SUMIFS(Cash_Flow_3[Amount],Cash_Flow_3[Bulan],H594,Cash_Flow_3[Type],"Out")</f>
        <v>0</v>
      </c>
      <c r="K594" s="29">
        <f>SUMIFS(Cash_Flow_3[Amount],Cash_Flow_3[Bulan],H594,Cash_Flow_3[Type],"Out",Cash_Flow_3[Category],"Fix")</f>
        <v>0</v>
      </c>
      <c r="L594" s="29">
        <f>SUMIFS(Cash_Flow_3[Amount],Cash_Flow_3[Bulan],H594,Cash_Flow_3[Type],"Out",Cash_Flow_3[Category],"Bathroom")</f>
        <v>0</v>
      </c>
      <c r="M594" s="29">
        <f>SUMIFS(Cash_Flow_3[Amount],Cash_Flow_3[Bulan],H594,Cash_Flow_3[Type],"Out",Cash_Flow_3[Category],"Alfa")</f>
        <v>0</v>
      </c>
      <c r="N594" s="29">
        <f>SUMIFS(Cash_Flow_3[Amount],Cash_Flow_3[Bulan],H594,Cash_Flow_3[Type],"Out",Cash_Flow_3[Category],"Jajan")</f>
        <v>0</v>
      </c>
      <c r="O594" s="29">
        <f>SUMIFS(Cash_Flow_3[Amount],Cash_Flow_3[Bulan],H594,Cash_Flow_3[Type],"Out",Cash_Flow_3[Category],"Kitchen")</f>
        <v>0</v>
      </c>
      <c r="P594" s="29">
        <f>SUMIFS(Cash_Flow_3[Amount],Cash_Flow_3[Bulan],H594,Cash_Flow_3[Type],"Out",Cash_Flow_3[Category],"Loandry")</f>
        <v>0</v>
      </c>
      <c r="Q594" s="29">
        <f>SUMIFS(Cash_Flow_3[Amount],Cash_Flow_3[Bulan],H594,Cash_Flow_3[Type],"Out",Cash_Flow_3[Category],"Mio")</f>
        <v>0</v>
      </c>
      <c r="R594" s="29">
        <f>SUMIFS(Cash_Flow_3[Amount],Cash_Flow_3[Bulan],H594,Cash_Flow_3[Type],"Out",Cash_Flow_3[Category],"Sedekah")</f>
        <v>0</v>
      </c>
      <c r="S594" s="29">
        <f>SUMIFS(Cash_Flow_3[Amount],Cash_Flow_3[Bulan],H594,Cash_Flow_3[Type],"Out",Cash_Flow_3[Category],"Zela")</f>
        <v>0</v>
      </c>
      <c r="T594" s="29">
        <f>SUMIFS(Cash_Flow_3[Amount],Cash_Flow_3[Bulan],H594,Cash_Flow_3[Type],"Out",Cash_Flow_3[Category],"Iqbal")</f>
        <v>0</v>
      </c>
    </row>
    <row r="595" spans="1:20" ht="22.5" customHeight="1" x14ac:dyDescent="0.2">
      <c r="A595" s="23"/>
      <c r="B595" s="24"/>
      <c r="C595" s="25"/>
      <c r="D595" s="25"/>
      <c r="E595" s="25"/>
      <c r="F595" s="26"/>
      <c r="G595" s="27"/>
      <c r="H595" s="28" t="str">
        <f t="shared" si="0"/>
        <v/>
      </c>
      <c r="I595" s="29">
        <f>SUMIFS(Cash_Flow_3[Amount],Cash_Flow_3[Bulan],H595,Cash_Flow_3[Type],"In")</f>
        <v>0</v>
      </c>
      <c r="J595" s="29">
        <f>SUMIFS(Cash_Flow_3[Amount],Cash_Flow_3[Bulan],H595,Cash_Flow_3[Type],"Out")</f>
        <v>0</v>
      </c>
      <c r="K595" s="29">
        <f>SUMIFS(Cash_Flow_3[Amount],Cash_Flow_3[Bulan],H595,Cash_Flow_3[Type],"Out",Cash_Flow_3[Category],"Fix")</f>
        <v>0</v>
      </c>
      <c r="L595" s="29">
        <f>SUMIFS(Cash_Flow_3[Amount],Cash_Flow_3[Bulan],H595,Cash_Flow_3[Type],"Out",Cash_Flow_3[Category],"Bathroom")</f>
        <v>0</v>
      </c>
      <c r="M595" s="29">
        <f>SUMIFS(Cash_Flow_3[Amount],Cash_Flow_3[Bulan],H595,Cash_Flow_3[Type],"Out",Cash_Flow_3[Category],"Alfa")</f>
        <v>0</v>
      </c>
      <c r="N595" s="29">
        <f>SUMIFS(Cash_Flow_3[Amount],Cash_Flow_3[Bulan],H595,Cash_Flow_3[Type],"Out",Cash_Flow_3[Category],"Jajan")</f>
        <v>0</v>
      </c>
      <c r="O595" s="29">
        <f>SUMIFS(Cash_Flow_3[Amount],Cash_Flow_3[Bulan],H595,Cash_Flow_3[Type],"Out",Cash_Flow_3[Category],"Kitchen")</f>
        <v>0</v>
      </c>
      <c r="P595" s="29">
        <f>SUMIFS(Cash_Flow_3[Amount],Cash_Flow_3[Bulan],H595,Cash_Flow_3[Type],"Out",Cash_Flow_3[Category],"Loandry")</f>
        <v>0</v>
      </c>
      <c r="Q595" s="29">
        <f>SUMIFS(Cash_Flow_3[Amount],Cash_Flow_3[Bulan],H595,Cash_Flow_3[Type],"Out",Cash_Flow_3[Category],"Mio")</f>
        <v>0</v>
      </c>
      <c r="R595" s="29">
        <f>SUMIFS(Cash_Flow_3[Amount],Cash_Flow_3[Bulan],H595,Cash_Flow_3[Type],"Out",Cash_Flow_3[Category],"Sedekah")</f>
        <v>0</v>
      </c>
      <c r="S595" s="29">
        <f>SUMIFS(Cash_Flow_3[Amount],Cash_Flow_3[Bulan],H595,Cash_Flow_3[Type],"Out",Cash_Flow_3[Category],"Zela")</f>
        <v>0</v>
      </c>
      <c r="T595" s="29">
        <f>SUMIFS(Cash_Flow_3[Amount],Cash_Flow_3[Bulan],H595,Cash_Flow_3[Type],"Out",Cash_Flow_3[Category],"Iqbal")</f>
        <v>0</v>
      </c>
    </row>
    <row r="596" spans="1:20" ht="22.5" customHeight="1" x14ac:dyDescent="0.2">
      <c r="A596" s="23"/>
      <c r="B596" s="24"/>
      <c r="C596" s="25"/>
      <c r="D596" s="25"/>
      <c r="E596" s="25"/>
      <c r="F596" s="26"/>
      <c r="G596" s="27"/>
      <c r="H596" s="28" t="str">
        <f t="shared" si="0"/>
        <v/>
      </c>
      <c r="I596" s="29">
        <f>SUMIFS(Cash_Flow_3[Amount],Cash_Flow_3[Bulan],H596,Cash_Flow_3[Type],"In")</f>
        <v>0</v>
      </c>
      <c r="J596" s="29">
        <f>SUMIFS(Cash_Flow_3[Amount],Cash_Flow_3[Bulan],H596,Cash_Flow_3[Type],"Out")</f>
        <v>0</v>
      </c>
      <c r="K596" s="29">
        <f>SUMIFS(Cash_Flow_3[Amount],Cash_Flow_3[Bulan],H596,Cash_Flow_3[Type],"Out",Cash_Flow_3[Category],"Fix")</f>
        <v>0</v>
      </c>
      <c r="L596" s="29">
        <f>SUMIFS(Cash_Flow_3[Amount],Cash_Flow_3[Bulan],H596,Cash_Flow_3[Type],"Out",Cash_Flow_3[Category],"Bathroom")</f>
        <v>0</v>
      </c>
      <c r="M596" s="29">
        <f>SUMIFS(Cash_Flow_3[Amount],Cash_Flow_3[Bulan],H596,Cash_Flow_3[Type],"Out",Cash_Flow_3[Category],"Alfa")</f>
        <v>0</v>
      </c>
      <c r="N596" s="29">
        <f>SUMIFS(Cash_Flow_3[Amount],Cash_Flow_3[Bulan],H596,Cash_Flow_3[Type],"Out",Cash_Flow_3[Category],"Jajan")</f>
        <v>0</v>
      </c>
      <c r="O596" s="29">
        <f>SUMIFS(Cash_Flow_3[Amount],Cash_Flow_3[Bulan],H596,Cash_Flow_3[Type],"Out",Cash_Flow_3[Category],"Kitchen")</f>
        <v>0</v>
      </c>
      <c r="P596" s="29">
        <f>SUMIFS(Cash_Flow_3[Amount],Cash_Flow_3[Bulan],H596,Cash_Flow_3[Type],"Out",Cash_Flow_3[Category],"Loandry")</f>
        <v>0</v>
      </c>
      <c r="Q596" s="29">
        <f>SUMIFS(Cash_Flow_3[Amount],Cash_Flow_3[Bulan],H596,Cash_Flow_3[Type],"Out",Cash_Flow_3[Category],"Mio")</f>
        <v>0</v>
      </c>
      <c r="R596" s="29">
        <f>SUMIFS(Cash_Flow_3[Amount],Cash_Flow_3[Bulan],H596,Cash_Flow_3[Type],"Out",Cash_Flow_3[Category],"Sedekah")</f>
        <v>0</v>
      </c>
      <c r="S596" s="29">
        <f>SUMIFS(Cash_Flow_3[Amount],Cash_Flow_3[Bulan],H596,Cash_Flow_3[Type],"Out",Cash_Flow_3[Category],"Zela")</f>
        <v>0</v>
      </c>
      <c r="T596" s="29">
        <f>SUMIFS(Cash_Flow_3[Amount],Cash_Flow_3[Bulan],H596,Cash_Flow_3[Type],"Out",Cash_Flow_3[Category],"Iqbal")</f>
        <v>0</v>
      </c>
    </row>
    <row r="597" spans="1:20" ht="22.5" customHeight="1" x14ac:dyDescent="0.2">
      <c r="A597" s="23"/>
      <c r="B597" s="24"/>
      <c r="C597" s="25"/>
      <c r="D597" s="25"/>
      <c r="E597" s="25"/>
      <c r="F597" s="26"/>
      <c r="G597" s="27"/>
      <c r="H597" s="28" t="str">
        <f t="shared" si="0"/>
        <v/>
      </c>
      <c r="I597" s="29">
        <f>SUMIFS(Cash_Flow_3[Amount],Cash_Flow_3[Bulan],H597,Cash_Flow_3[Type],"In")</f>
        <v>0</v>
      </c>
      <c r="J597" s="29">
        <f>SUMIFS(Cash_Flow_3[Amount],Cash_Flow_3[Bulan],H597,Cash_Flow_3[Type],"Out")</f>
        <v>0</v>
      </c>
      <c r="K597" s="29">
        <f>SUMIFS(Cash_Flow_3[Amount],Cash_Flow_3[Bulan],H597,Cash_Flow_3[Type],"Out",Cash_Flow_3[Category],"Fix")</f>
        <v>0</v>
      </c>
      <c r="L597" s="29">
        <f>SUMIFS(Cash_Flow_3[Amount],Cash_Flow_3[Bulan],H597,Cash_Flow_3[Type],"Out",Cash_Flow_3[Category],"Bathroom")</f>
        <v>0</v>
      </c>
      <c r="M597" s="29">
        <f>SUMIFS(Cash_Flow_3[Amount],Cash_Flow_3[Bulan],H597,Cash_Flow_3[Type],"Out",Cash_Flow_3[Category],"Alfa")</f>
        <v>0</v>
      </c>
      <c r="N597" s="29">
        <f>SUMIFS(Cash_Flow_3[Amount],Cash_Flow_3[Bulan],H597,Cash_Flow_3[Type],"Out",Cash_Flow_3[Category],"Jajan")</f>
        <v>0</v>
      </c>
      <c r="O597" s="29">
        <f>SUMIFS(Cash_Flow_3[Amount],Cash_Flow_3[Bulan],H597,Cash_Flow_3[Type],"Out",Cash_Flow_3[Category],"Kitchen")</f>
        <v>0</v>
      </c>
      <c r="P597" s="29">
        <f>SUMIFS(Cash_Flow_3[Amount],Cash_Flow_3[Bulan],H597,Cash_Flow_3[Type],"Out",Cash_Flow_3[Category],"Loandry")</f>
        <v>0</v>
      </c>
      <c r="Q597" s="29">
        <f>SUMIFS(Cash_Flow_3[Amount],Cash_Flow_3[Bulan],H597,Cash_Flow_3[Type],"Out",Cash_Flow_3[Category],"Mio")</f>
        <v>0</v>
      </c>
      <c r="R597" s="29">
        <f>SUMIFS(Cash_Flow_3[Amount],Cash_Flow_3[Bulan],H597,Cash_Flow_3[Type],"Out",Cash_Flow_3[Category],"Sedekah")</f>
        <v>0</v>
      </c>
      <c r="S597" s="29">
        <f>SUMIFS(Cash_Flow_3[Amount],Cash_Flow_3[Bulan],H597,Cash_Flow_3[Type],"Out",Cash_Flow_3[Category],"Zela")</f>
        <v>0</v>
      </c>
      <c r="T597" s="29">
        <f>SUMIFS(Cash_Flow_3[Amount],Cash_Flow_3[Bulan],H597,Cash_Flow_3[Type],"Out",Cash_Flow_3[Category],"Iqbal")</f>
        <v>0</v>
      </c>
    </row>
    <row r="598" spans="1:20" ht="22.5" customHeight="1" x14ac:dyDescent="0.2">
      <c r="A598" s="23"/>
      <c r="B598" s="24"/>
      <c r="C598" s="25"/>
      <c r="D598" s="25"/>
      <c r="E598" s="25"/>
      <c r="F598" s="26"/>
      <c r="G598" s="27"/>
      <c r="H598" s="28" t="str">
        <f t="shared" si="0"/>
        <v/>
      </c>
      <c r="I598" s="29">
        <f>SUMIFS(Cash_Flow_3[Amount],Cash_Flow_3[Bulan],H598,Cash_Flow_3[Type],"In")</f>
        <v>0</v>
      </c>
      <c r="J598" s="29">
        <f>SUMIFS(Cash_Flow_3[Amount],Cash_Flow_3[Bulan],H598,Cash_Flow_3[Type],"Out")</f>
        <v>0</v>
      </c>
      <c r="K598" s="29">
        <f>SUMIFS(Cash_Flow_3[Amount],Cash_Flow_3[Bulan],H598,Cash_Flow_3[Type],"Out",Cash_Flow_3[Category],"Fix")</f>
        <v>0</v>
      </c>
      <c r="L598" s="29">
        <f>SUMIFS(Cash_Flow_3[Amount],Cash_Flow_3[Bulan],H598,Cash_Flow_3[Type],"Out",Cash_Flow_3[Category],"Bathroom")</f>
        <v>0</v>
      </c>
      <c r="M598" s="29">
        <f>SUMIFS(Cash_Flow_3[Amount],Cash_Flow_3[Bulan],H598,Cash_Flow_3[Type],"Out",Cash_Flow_3[Category],"Alfa")</f>
        <v>0</v>
      </c>
      <c r="N598" s="29">
        <f>SUMIFS(Cash_Flow_3[Amount],Cash_Flow_3[Bulan],H598,Cash_Flow_3[Type],"Out",Cash_Flow_3[Category],"Jajan")</f>
        <v>0</v>
      </c>
      <c r="O598" s="29">
        <f>SUMIFS(Cash_Flow_3[Amount],Cash_Flow_3[Bulan],H598,Cash_Flow_3[Type],"Out",Cash_Flow_3[Category],"Kitchen")</f>
        <v>0</v>
      </c>
      <c r="P598" s="29">
        <f>SUMIFS(Cash_Flow_3[Amount],Cash_Flow_3[Bulan],H598,Cash_Flow_3[Type],"Out",Cash_Flow_3[Category],"Loandry")</f>
        <v>0</v>
      </c>
      <c r="Q598" s="29">
        <f>SUMIFS(Cash_Flow_3[Amount],Cash_Flow_3[Bulan],H598,Cash_Flow_3[Type],"Out",Cash_Flow_3[Category],"Mio")</f>
        <v>0</v>
      </c>
      <c r="R598" s="29">
        <f>SUMIFS(Cash_Flow_3[Amount],Cash_Flow_3[Bulan],H598,Cash_Flow_3[Type],"Out",Cash_Flow_3[Category],"Sedekah")</f>
        <v>0</v>
      </c>
      <c r="S598" s="29">
        <f>SUMIFS(Cash_Flow_3[Amount],Cash_Flow_3[Bulan],H598,Cash_Flow_3[Type],"Out",Cash_Flow_3[Category],"Zela")</f>
        <v>0</v>
      </c>
      <c r="T598" s="29">
        <f>SUMIFS(Cash_Flow_3[Amount],Cash_Flow_3[Bulan],H598,Cash_Flow_3[Type],"Out",Cash_Flow_3[Category],"Iqbal")</f>
        <v>0</v>
      </c>
    </row>
    <row r="599" spans="1:20" ht="22.5" customHeight="1" x14ac:dyDescent="0.2">
      <c r="A599" s="23"/>
      <c r="B599" s="24"/>
      <c r="C599" s="25"/>
      <c r="D599" s="25"/>
      <c r="E599" s="25"/>
      <c r="F599" s="26"/>
      <c r="G599" s="27"/>
      <c r="H599" s="28" t="str">
        <f t="shared" si="0"/>
        <v/>
      </c>
      <c r="I599" s="29">
        <f>SUMIFS(Cash_Flow_3[Amount],Cash_Flow_3[Bulan],H599,Cash_Flow_3[Type],"In")</f>
        <v>0</v>
      </c>
      <c r="J599" s="29">
        <f>SUMIFS(Cash_Flow_3[Amount],Cash_Flow_3[Bulan],H599,Cash_Flow_3[Type],"Out")</f>
        <v>0</v>
      </c>
      <c r="K599" s="29">
        <f>SUMIFS(Cash_Flow_3[Amount],Cash_Flow_3[Bulan],H599,Cash_Flow_3[Type],"Out",Cash_Flow_3[Category],"Fix")</f>
        <v>0</v>
      </c>
      <c r="L599" s="29">
        <f>SUMIFS(Cash_Flow_3[Amount],Cash_Flow_3[Bulan],H599,Cash_Flow_3[Type],"Out",Cash_Flow_3[Category],"Bathroom")</f>
        <v>0</v>
      </c>
      <c r="M599" s="29">
        <f>SUMIFS(Cash_Flow_3[Amount],Cash_Flow_3[Bulan],H599,Cash_Flow_3[Type],"Out",Cash_Flow_3[Category],"Alfa")</f>
        <v>0</v>
      </c>
      <c r="N599" s="29">
        <f>SUMIFS(Cash_Flow_3[Amount],Cash_Flow_3[Bulan],H599,Cash_Flow_3[Type],"Out",Cash_Flow_3[Category],"Jajan")</f>
        <v>0</v>
      </c>
      <c r="O599" s="29">
        <f>SUMIFS(Cash_Flow_3[Amount],Cash_Flow_3[Bulan],H599,Cash_Flow_3[Type],"Out",Cash_Flow_3[Category],"Kitchen")</f>
        <v>0</v>
      </c>
      <c r="P599" s="29">
        <f>SUMIFS(Cash_Flow_3[Amount],Cash_Flow_3[Bulan],H599,Cash_Flow_3[Type],"Out",Cash_Flow_3[Category],"Loandry")</f>
        <v>0</v>
      </c>
      <c r="Q599" s="29">
        <f>SUMIFS(Cash_Flow_3[Amount],Cash_Flow_3[Bulan],H599,Cash_Flow_3[Type],"Out",Cash_Flow_3[Category],"Mio")</f>
        <v>0</v>
      </c>
      <c r="R599" s="29">
        <f>SUMIFS(Cash_Flow_3[Amount],Cash_Flow_3[Bulan],H599,Cash_Flow_3[Type],"Out",Cash_Flow_3[Category],"Sedekah")</f>
        <v>0</v>
      </c>
      <c r="S599" s="29">
        <f>SUMIFS(Cash_Flow_3[Amount],Cash_Flow_3[Bulan],H599,Cash_Flow_3[Type],"Out",Cash_Flow_3[Category],"Zela")</f>
        <v>0</v>
      </c>
      <c r="T599" s="29">
        <f>SUMIFS(Cash_Flow_3[Amount],Cash_Flow_3[Bulan],H599,Cash_Flow_3[Type],"Out",Cash_Flow_3[Category],"Iqbal")</f>
        <v>0</v>
      </c>
    </row>
    <row r="600" spans="1:20" ht="22.5" customHeight="1" x14ac:dyDescent="0.2">
      <c r="A600" s="23"/>
      <c r="B600" s="24"/>
      <c r="C600" s="25"/>
      <c r="D600" s="25"/>
      <c r="E600" s="25"/>
      <c r="F600" s="26"/>
      <c r="G600" s="27"/>
      <c r="H600" s="28" t="str">
        <f t="shared" si="0"/>
        <v/>
      </c>
      <c r="I600" s="29">
        <f>SUMIFS(Cash_Flow_3[Amount],Cash_Flow_3[Bulan],H600,Cash_Flow_3[Type],"In")</f>
        <v>0</v>
      </c>
      <c r="J600" s="29">
        <f>SUMIFS(Cash_Flow_3[Amount],Cash_Flow_3[Bulan],H600,Cash_Flow_3[Type],"Out")</f>
        <v>0</v>
      </c>
      <c r="K600" s="29">
        <f>SUMIFS(Cash_Flow_3[Amount],Cash_Flow_3[Bulan],H600,Cash_Flow_3[Type],"Out",Cash_Flow_3[Category],"Fix")</f>
        <v>0</v>
      </c>
      <c r="L600" s="29">
        <f>SUMIFS(Cash_Flow_3[Amount],Cash_Flow_3[Bulan],H600,Cash_Flow_3[Type],"Out",Cash_Flow_3[Category],"Bathroom")</f>
        <v>0</v>
      </c>
      <c r="M600" s="29">
        <f>SUMIFS(Cash_Flow_3[Amount],Cash_Flow_3[Bulan],H600,Cash_Flow_3[Type],"Out",Cash_Flow_3[Category],"Alfa")</f>
        <v>0</v>
      </c>
      <c r="N600" s="29">
        <f>SUMIFS(Cash_Flow_3[Amount],Cash_Flow_3[Bulan],H600,Cash_Flow_3[Type],"Out",Cash_Flow_3[Category],"Jajan")</f>
        <v>0</v>
      </c>
      <c r="O600" s="29">
        <f>SUMIFS(Cash_Flow_3[Amount],Cash_Flow_3[Bulan],H600,Cash_Flow_3[Type],"Out",Cash_Flow_3[Category],"Kitchen")</f>
        <v>0</v>
      </c>
      <c r="P600" s="29">
        <f>SUMIFS(Cash_Flow_3[Amount],Cash_Flow_3[Bulan],H600,Cash_Flow_3[Type],"Out",Cash_Flow_3[Category],"Loandry")</f>
        <v>0</v>
      </c>
      <c r="Q600" s="29">
        <f>SUMIFS(Cash_Flow_3[Amount],Cash_Flow_3[Bulan],H600,Cash_Flow_3[Type],"Out",Cash_Flow_3[Category],"Mio")</f>
        <v>0</v>
      </c>
      <c r="R600" s="29">
        <f>SUMIFS(Cash_Flow_3[Amount],Cash_Flow_3[Bulan],H600,Cash_Flow_3[Type],"Out",Cash_Flow_3[Category],"Sedekah")</f>
        <v>0</v>
      </c>
      <c r="S600" s="29">
        <f>SUMIFS(Cash_Flow_3[Amount],Cash_Flow_3[Bulan],H600,Cash_Flow_3[Type],"Out",Cash_Flow_3[Category],"Zela")</f>
        <v>0</v>
      </c>
      <c r="T600" s="29">
        <f>SUMIFS(Cash_Flow_3[Amount],Cash_Flow_3[Bulan],H600,Cash_Flow_3[Type],"Out",Cash_Flow_3[Category],"Iqbal")</f>
        <v>0</v>
      </c>
    </row>
    <row r="601" spans="1:20" ht="22.5" customHeight="1" x14ac:dyDescent="0.2">
      <c r="A601" s="23"/>
      <c r="B601" s="24"/>
      <c r="C601" s="25"/>
      <c r="D601" s="25"/>
      <c r="E601" s="25"/>
      <c r="F601" s="26"/>
      <c r="G601" s="27"/>
      <c r="H601" s="28" t="str">
        <f t="shared" si="0"/>
        <v/>
      </c>
      <c r="I601" s="29">
        <f>SUMIFS(Cash_Flow_3[Amount],Cash_Flow_3[Bulan],H601,Cash_Flow_3[Type],"In")</f>
        <v>0</v>
      </c>
      <c r="J601" s="29">
        <f>SUMIFS(Cash_Flow_3[Amount],Cash_Flow_3[Bulan],H601,Cash_Flow_3[Type],"Out")</f>
        <v>0</v>
      </c>
      <c r="K601" s="29">
        <f>SUMIFS(Cash_Flow_3[Amount],Cash_Flow_3[Bulan],H601,Cash_Flow_3[Type],"Out",Cash_Flow_3[Category],"Fix")</f>
        <v>0</v>
      </c>
      <c r="L601" s="29">
        <f>SUMIFS(Cash_Flow_3[Amount],Cash_Flow_3[Bulan],H601,Cash_Flow_3[Type],"Out",Cash_Flow_3[Category],"Bathroom")</f>
        <v>0</v>
      </c>
      <c r="M601" s="29">
        <f>SUMIFS(Cash_Flow_3[Amount],Cash_Flow_3[Bulan],H601,Cash_Flow_3[Type],"Out",Cash_Flow_3[Category],"Alfa")</f>
        <v>0</v>
      </c>
      <c r="N601" s="29">
        <f>SUMIFS(Cash_Flow_3[Amount],Cash_Flow_3[Bulan],H601,Cash_Flow_3[Type],"Out",Cash_Flow_3[Category],"Jajan")</f>
        <v>0</v>
      </c>
      <c r="O601" s="29">
        <f>SUMIFS(Cash_Flow_3[Amount],Cash_Flow_3[Bulan],H601,Cash_Flow_3[Type],"Out",Cash_Flow_3[Category],"Kitchen")</f>
        <v>0</v>
      </c>
      <c r="P601" s="29">
        <f>SUMIFS(Cash_Flow_3[Amount],Cash_Flow_3[Bulan],H601,Cash_Flow_3[Type],"Out",Cash_Flow_3[Category],"Loandry")</f>
        <v>0</v>
      </c>
      <c r="Q601" s="29">
        <f>SUMIFS(Cash_Flow_3[Amount],Cash_Flow_3[Bulan],H601,Cash_Flow_3[Type],"Out",Cash_Flow_3[Category],"Mio")</f>
        <v>0</v>
      </c>
      <c r="R601" s="29">
        <f>SUMIFS(Cash_Flow_3[Amount],Cash_Flow_3[Bulan],H601,Cash_Flow_3[Type],"Out",Cash_Flow_3[Category],"Sedekah")</f>
        <v>0</v>
      </c>
      <c r="S601" s="29">
        <f>SUMIFS(Cash_Flow_3[Amount],Cash_Flow_3[Bulan],H601,Cash_Flow_3[Type],"Out",Cash_Flow_3[Category],"Zela")</f>
        <v>0</v>
      </c>
      <c r="T601" s="29">
        <f>SUMIFS(Cash_Flow_3[Amount],Cash_Flow_3[Bulan],H601,Cash_Flow_3[Type],"Out",Cash_Flow_3[Category],"Iqbal")</f>
        <v>0</v>
      </c>
    </row>
    <row r="602" spans="1:20" ht="22.5" customHeight="1" x14ac:dyDescent="0.2">
      <c r="A602" s="23"/>
      <c r="B602" s="24"/>
      <c r="C602" s="25"/>
      <c r="D602" s="25"/>
      <c r="E602" s="25"/>
      <c r="F602" s="26"/>
      <c r="G602" s="27"/>
      <c r="H602" s="28" t="str">
        <f t="shared" si="0"/>
        <v/>
      </c>
      <c r="I602" s="29">
        <f>SUMIFS(Cash_Flow_3[Amount],Cash_Flow_3[Bulan],H602,Cash_Flow_3[Type],"In")</f>
        <v>0</v>
      </c>
      <c r="J602" s="29">
        <f>SUMIFS(Cash_Flow_3[Amount],Cash_Flow_3[Bulan],H602,Cash_Flow_3[Type],"Out")</f>
        <v>0</v>
      </c>
      <c r="K602" s="29">
        <f>SUMIFS(Cash_Flow_3[Amount],Cash_Flow_3[Bulan],H602,Cash_Flow_3[Type],"Out",Cash_Flow_3[Category],"Fix")</f>
        <v>0</v>
      </c>
      <c r="L602" s="29">
        <f>SUMIFS(Cash_Flow_3[Amount],Cash_Flow_3[Bulan],H602,Cash_Flow_3[Type],"Out",Cash_Flow_3[Category],"Bathroom")</f>
        <v>0</v>
      </c>
      <c r="M602" s="29">
        <f>SUMIFS(Cash_Flow_3[Amount],Cash_Flow_3[Bulan],H602,Cash_Flow_3[Type],"Out",Cash_Flow_3[Category],"Alfa")</f>
        <v>0</v>
      </c>
      <c r="N602" s="29">
        <f>SUMIFS(Cash_Flow_3[Amount],Cash_Flow_3[Bulan],H602,Cash_Flow_3[Type],"Out",Cash_Flow_3[Category],"Jajan")</f>
        <v>0</v>
      </c>
      <c r="O602" s="29">
        <f>SUMIFS(Cash_Flow_3[Amount],Cash_Flow_3[Bulan],H602,Cash_Flow_3[Type],"Out",Cash_Flow_3[Category],"Kitchen")</f>
        <v>0</v>
      </c>
      <c r="P602" s="29">
        <f>SUMIFS(Cash_Flow_3[Amount],Cash_Flow_3[Bulan],H602,Cash_Flow_3[Type],"Out",Cash_Flow_3[Category],"Loandry")</f>
        <v>0</v>
      </c>
      <c r="Q602" s="29">
        <f>SUMIFS(Cash_Flow_3[Amount],Cash_Flow_3[Bulan],H602,Cash_Flow_3[Type],"Out",Cash_Flow_3[Category],"Mio")</f>
        <v>0</v>
      </c>
      <c r="R602" s="29">
        <f>SUMIFS(Cash_Flow_3[Amount],Cash_Flow_3[Bulan],H602,Cash_Flow_3[Type],"Out",Cash_Flow_3[Category],"Sedekah")</f>
        <v>0</v>
      </c>
      <c r="S602" s="29">
        <f>SUMIFS(Cash_Flow_3[Amount],Cash_Flow_3[Bulan],H602,Cash_Flow_3[Type],"Out",Cash_Flow_3[Category],"Zela")</f>
        <v>0</v>
      </c>
      <c r="T602" s="29">
        <f>SUMIFS(Cash_Flow_3[Amount],Cash_Flow_3[Bulan],H602,Cash_Flow_3[Type],"Out",Cash_Flow_3[Category],"Iqbal")</f>
        <v>0</v>
      </c>
    </row>
    <row r="603" spans="1:20" ht="22.5" customHeight="1" x14ac:dyDescent="0.2">
      <c r="A603" s="23"/>
      <c r="B603" s="24"/>
      <c r="C603" s="25"/>
      <c r="D603" s="25"/>
      <c r="E603" s="25"/>
      <c r="F603" s="26"/>
      <c r="G603" s="27"/>
      <c r="H603" s="28" t="str">
        <f t="shared" si="0"/>
        <v/>
      </c>
      <c r="I603" s="29">
        <f>SUMIFS(Cash_Flow_3[Amount],Cash_Flow_3[Bulan],H603,Cash_Flow_3[Type],"In")</f>
        <v>0</v>
      </c>
      <c r="J603" s="29">
        <f>SUMIFS(Cash_Flow_3[Amount],Cash_Flow_3[Bulan],H603,Cash_Flow_3[Type],"Out")</f>
        <v>0</v>
      </c>
      <c r="K603" s="29">
        <f>SUMIFS(Cash_Flow_3[Amount],Cash_Flow_3[Bulan],H603,Cash_Flow_3[Type],"Out",Cash_Flow_3[Category],"Fix")</f>
        <v>0</v>
      </c>
      <c r="L603" s="29">
        <f>SUMIFS(Cash_Flow_3[Amount],Cash_Flow_3[Bulan],H603,Cash_Flow_3[Type],"Out",Cash_Flow_3[Category],"Bathroom")</f>
        <v>0</v>
      </c>
      <c r="M603" s="29">
        <f>SUMIFS(Cash_Flow_3[Amount],Cash_Flow_3[Bulan],H603,Cash_Flow_3[Type],"Out",Cash_Flow_3[Category],"Alfa")</f>
        <v>0</v>
      </c>
      <c r="N603" s="29">
        <f>SUMIFS(Cash_Flow_3[Amount],Cash_Flow_3[Bulan],H603,Cash_Flow_3[Type],"Out",Cash_Flow_3[Category],"Jajan")</f>
        <v>0</v>
      </c>
      <c r="O603" s="29">
        <f>SUMIFS(Cash_Flow_3[Amount],Cash_Flow_3[Bulan],H603,Cash_Flow_3[Type],"Out",Cash_Flow_3[Category],"Kitchen")</f>
        <v>0</v>
      </c>
      <c r="P603" s="29">
        <f>SUMIFS(Cash_Flow_3[Amount],Cash_Flow_3[Bulan],H603,Cash_Flow_3[Type],"Out",Cash_Flow_3[Category],"Loandry")</f>
        <v>0</v>
      </c>
      <c r="Q603" s="29">
        <f>SUMIFS(Cash_Flow_3[Amount],Cash_Flow_3[Bulan],H603,Cash_Flow_3[Type],"Out",Cash_Flow_3[Category],"Mio")</f>
        <v>0</v>
      </c>
      <c r="R603" s="29">
        <f>SUMIFS(Cash_Flow_3[Amount],Cash_Flow_3[Bulan],H603,Cash_Flow_3[Type],"Out",Cash_Flow_3[Category],"Sedekah")</f>
        <v>0</v>
      </c>
      <c r="S603" s="29">
        <f>SUMIFS(Cash_Flow_3[Amount],Cash_Flow_3[Bulan],H603,Cash_Flow_3[Type],"Out",Cash_Flow_3[Category],"Zela")</f>
        <v>0</v>
      </c>
      <c r="T603" s="29">
        <f>SUMIFS(Cash_Flow_3[Amount],Cash_Flow_3[Bulan],H603,Cash_Flow_3[Type],"Out",Cash_Flow_3[Category],"Iqbal")</f>
        <v>0</v>
      </c>
    </row>
    <row r="604" spans="1:20" ht="22.5" customHeight="1" x14ac:dyDescent="0.2">
      <c r="A604" s="23"/>
      <c r="B604" s="24"/>
      <c r="C604" s="25"/>
      <c r="D604" s="25"/>
      <c r="E604" s="25"/>
      <c r="F604" s="26"/>
      <c r="G604" s="27"/>
      <c r="H604" s="28" t="str">
        <f t="shared" si="0"/>
        <v/>
      </c>
      <c r="I604" s="29">
        <f>SUMIFS(Cash_Flow_3[Amount],Cash_Flow_3[Bulan],H604,Cash_Flow_3[Type],"In")</f>
        <v>0</v>
      </c>
      <c r="J604" s="29">
        <f>SUMIFS(Cash_Flow_3[Amount],Cash_Flow_3[Bulan],H604,Cash_Flow_3[Type],"Out")</f>
        <v>0</v>
      </c>
      <c r="K604" s="29">
        <f>SUMIFS(Cash_Flow_3[Amount],Cash_Flow_3[Bulan],H604,Cash_Flow_3[Type],"Out",Cash_Flow_3[Category],"Fix")</f>
        <v>0</v>
      </c>
      <c r="L604" s="29">
        <f>SUMIFS(Cash_Flow_3[Amount],Cash_Flow_3[Bulan],H604,Cash_Flow_3[Type],"Out",Cash_Flow_3[Category],"Bathroom")</f>
        <v>0</v>
      </c>
      <c r="M604" s="29">
        <f>SUMIFS(Cash_Flow_3[Amount],Cash_Flow_3[Bulan],H604,Cash_Flow_3[Type],"Out",Cash_Flow_3[Category],"Alfa")</f>
        <v>0</v>
      </c>
      <c r="N604" s="29">
        <f>SUMIFS(Cash_Flow_3[Amount],Cash_Flow_3[Bulan],H604,Cash_Flow_3[Type],"Out",Cash_Flow_3[Category],"Jajan")</f>
        <v>0</v>
      </c>
      <c r="O604" s="29">
        <f>SUMIFS(Cash_Flow_3[Amount],Cash_Flow_3[Bulan],H604,Cash_Flow_3[Type],"Out",Cash_Flow_3[Category],"Kitchen")</f>
        <v>0</v>
      </c>
      <c r="P604" s="29">
        <f>SUMIFS(Cash_Flow_3[Amount],Cash_Flow_3[Bulan],H604,Cash_Flow_3[Type],"Out",Cash_Flow_3[Category],"Loandry")</f>
        <v>0</v>
      </c>
      <c r="Q604" s="29">
        <f>SUMIFS(Cash_Flow_3[Amount],Cash_Flow_3[Bulan],H604,Cash_Flow_3[Type],"Out",Cash_Flow_3[Category],"Mio")</f>
        <v>0</v>
      </c>
      <c r="R604" s="29">
        <f>SUMIFS(Cash_Flow_3[Amount],Cash_Flow_3[Bulan],H604,Cash_Flow_3[Type],"Out",Cash_Flow_3[Category],"Sedekah")</f>
        <v>0</v>
      </c>
      <c r="S604" s="29">
        <f>SUMIFS(Cash_Flow_3[Amount],Cash_Flow_3[Bulan],H604,Cash_Flow_3[Type],"Out",Cash_Flow_3[Category],"Zela")</f>
        <v>0</v>
      </c>
      <c r="T604" s="29">
        <f>SUMIFS(Cash_Flow_3[Amount],Cash_Flow_3[Bulan],H604,Cash_Flow_3[Type],"Out",Cash_Flow_3[Category],"Iqbal")</f>
        <v>0</v>
      </c>
    </row>
    <row r="605" spans="1:20" ht="22.5" customHeight="1" x14ac:dyDescent="0.2">
      <c r="A605" s="23"/>
      <c r="B605" s="24"/>
      <c r="C605" s="25"/>
      <c r="D605" s="25"/>
      <c r="E605" s="25"/>
      <c r="F605" s="26"/>
      <c r="G605" s="27"/>
      <c r="H605" s="28" t="str">
        <f t="shared" si="0"/>
        <v/>
      </c>
      <c r="I605" s="29">
        <f>SUMIFS(Cash_Flow_3[Amount],Cash_Flow_3[Bulan],H605,Cash_Flow_3[Type],"In")</f>
        <v>0</v>
      </c>
      <c r="J605" s="29">
        <f>SUMIFS(Cash_Flow_3[Amount],Cash_Flow_3[Bulan],H605,Cash_Flow_3[Type],"Out")</f>
        <v>0</v>
      </c>
      <c r="K605" s="29">
        <f>SUMIFS(Cash_Flow_3[Amount],Cash_Flow_3[Bulan],H605,Cash_Flow_3[Type],"Out",Cash_Flow_3[Category],"Fix")</f>
        <v>0</v>
      </c>
      <c r="L605" s="29">
        <f>SUMIFS(Cash_Flow_3[Amount],Cash_Flow_3[Bulan],H605,Cash_Flow_3[Type],"Out",Cash_Flow_3[Category],"Bathroom")</f>
        <v>0</v>
      </c>
      <c r="M605" s="29">
        <f>SUMIFS(Cash_Flow_3[Amount],Cash_Flow_3[Bulan],H605,Cash_Flow_3[Type],"Out",Cash_Flow_3[Category],"Alfa")</f>
        <v>0</v>
      </c>
      <c r="N605" s="29">
        <f>SUMIFS(Cash_Flow_3[Amount],Cash_Flow_3[Bulan],H605,Cash_Flow_3[Type],"Out",Cash_Flow_3[Category],"Jajan")</f>
        <v>0</v>
      </c>
      <c r="O605" s="29">
        <f>SUMIFS(Cash_Flow_3[Amount],Cash_Flow_3[Bulan],H605,Cash_Flow_3[Type],"Out",Cash_Flow_3[Category],"Kitchen")</f>
        <v>0</v>
      </c>
      <c r="P605" s="29">
        <f>SUMIFS(Cash_Flow_3[Amount],Cash_Flow_3[Bulan],H605,Cash_Flow_3[Type],"Out",Cash_Flow_3[Category],"Loandry")</f>
        <v>0</v>
      </c>
      <c r="Q605" s="29">
        <f>SUMIFS(Cash_Flow_3[Amount],Cash_Flow_3[Bulan],H605,Cash_Flow_3[Type],"Out",Cash_Flow_3[Category],"Mio")</f>
        <v>0</v>
      </c>
      <c r="R605" s="29">
        <f>SUMIFS(Cash_Flow_3[Amount],Cash_Flow_3[Bulan],H605,Cash_Flow_3[Type],"Out",Cash_Flow_3[Category],"Sedekah")</f>
        <v>0</v>
      </c>
      <c r="S605" s="29">
        <f>SUMIFS(Cash_Flow_3[Amount],Cash_Flow_3[Bulan],H605,Cash_Flow_3[Type],"Out",Cash_Flow_3[Category],"Zela")</f>
        <v>0</v>
      </c>
      <c r="T605" s="29">
        <f>SUMIFS(Cash_Flow_3[Amount],Cash_Flow_3[Bulan],H605,Cash_Flow_3[Type],"Out",Cash_Flow_3[Category],"Iqbal")</f>
        <v>0</v>
      </c>
    </row>
    <row r="606" spans="1:20" ht="22.5" customHeight="1" x14ac:dyDescent="0.2">
      <c r="A606" s="23"/>
      <c r="B606" s="24"/>
      <c r="C606" s="25"/>
      <c r="D606" s="25"/>
      <c r="E606" s="25"/>
      <c r="F606" s="26"/>
      <c r="G606" s="27"/>
      <c r="H606" s="28" t="str">
        <f t="shared" si="0"/>
        <v/>
      </c>
      <c r="I606" s="29">
        <f>SUMIFS(Cash_Flow_3[Amount],Cash_Flow_3[Bulan],H606,Cash_Flow_3[Type],"In")</f>
        <v>0</v>
      </c>
      <c r="J606" s="29">
        <f>SUMIFS(Cash_Flow_3[Amount],Cash_Flow_3[Bulan],H606,Cash_Flow_3[Type],"Out")</f>
        <v>0</v>
      </c>
      <c r="K606" s="29">
        <f>SUMIFS(Cash_Flow_3[Amount],Cash_Flow_3[Bulan],H606,Cash_Flow_3[Type],"Out",Cash_Flow_3[Category],"Fix")</f>
        <v>0</v>
      </c>
      <c r="L606" s="29">
        <f>SUMIFS(Cash_Flow_3[Amount],Cash_Flow_3[Bulan],H606,Cash_Flow_3[Type],"Out",Cash_Flow_3[Category],"Bathroom")</f>
        <v>0</v>
      </c>
      <c r="M606" s="29">
        <f>SUMIFS(Cash_Flow_3[Amount],Cash_Flow_3[Bulan],H606,Cash_Flow_3[Type],"Out",Cash_Flow_3[Category],"Alfa")</f>
        <v>0</v>
      </c>
      <c r="N606" s="29">
        <f>SUMIFS(Cash_Flow_3[Amount],Cash_Flow_3[Bulan],H606,Cash_Flow_3[Type],"Out",Cash_Flow_3[Category],"Jajan")</f>
        <v>0</v>
      </c>
      <c r="O606" s="29">
        <f>SUMIFS(Cash_Flow_3[Amount],Cash_Flow_3[Bulan],H606,Cash_Flow_3[Type],"Out",Cash_Flow_3[Category],"Kitchen")</f>
        <v>0</v>
      </c>
      <c r="P606" s="29">
        <f>SUMIFS(Cash_Flow_3[Amount],Cash_Flow_3[Bulan],H606,Cash_Flow_3[Type],"Out",Cash_Flow_3[Category],"Loandry")</f>
        <v>0</v>
      </c>
      <c r="Q606" s="29">
        <f>SUMIFS(Cash_Flow_3[Amount],Cash_Flow_3[Bulan],H606,Cash_Flow_3[Type],"Out",Cash_Flow_3[Category],"Mio")</f>
        <v>0</v>
      </c>
      <c r="R606" s="29">
        <f>SUMIFS(Cash_Flow_3[Amount],Cash_Flow_3[Bulan],H606,Cash_Flow_3[Type],"Out",Cash_Flow_3[Category],"Sedekah")</f>
        <v>0</v>
      </c>
      <c r="S606" s="29">
        <f>SUMIFS(Cash_Flow_3[Amount],Cash_Flow_3[Bulan],H606,Cash_Flow_3[Type],"Out",Cash_Flow_3[Category],"Zela")</f>
        <v>0</v>
      </c>
      <c r="T606" s="29">
        <f>SUMIFS(Cash_Flow_3[Amount],Cash_Flow_3[Bulan],H606,Cash_Flow_3[Type],"Out",Cash_Flow_3[Category],"Iqbal")</f>
        <v>0</v>
      </c>
    </row>
    <row r="607" spans="1:20" ht="22.5" customHeight="1" x14ac:dyDescent="0.2">
      <c r="A607" s="23"/>
      <c r="B607" s="24"/>
      <c r="C607" s="25"/>
      <c r="D607" s="25"/>
      <c r="E607" s="25"/>
      <c r="F607" s="26"/>
      <c r="G607" s="27"/>
      <c r="H607" s="28" t="str">
        <f t="shared" si="0"/>
        <v/>
      </c>
      <c r="I607" s="29">
        <f>SUMIFS(Cash_Flow_3[Amount],Cash_Flow_3[Bulan],H607,Cash_Flow_3[Type],"In")</f>
        <v>0</v>
      </c>
      <c r="J607" s="29">
        <f>SUMIFS(Cash_Flow_3[Amount],Cash_Flow_3[Bulan],H607,Cash_Flow_3[Type],"Out")</f>
        <v>0</v>
      </c>
      <c r="K607" s="29">
        <f>SUMIFS(Cash_Flow_3[Amount],Cash_Flow_3[Bulan],H607,Cash_Flow_3[Type],"Out",Cash_Flow_3[Category],"Fix")</f>
        <v>0</v>
      </c>
      <c r="L607" s="29">
        <f>SUMIFS(Cash_Flow_3[Amount],Cash_Flow_3[Bulan],H607,Cash_Flow_3[Type],"Out",Cash_Flow_3[Category],"Bathroom")</f>
        <v>0</v>
      </c>
      <c r="M607" s="29">
        <f>SUMIFS(Cash_Flow_3[Amount],Cash_Flow_3[Bulan],H607,Cash_Flow_3[Type],"Out",Cash_Flow_3[Category],"Alfa")</f>
        <v>0</v>
      </c>
      <c r="N607" s="29">
        <f>SUMIFS(Cash_Flow_3[Amount],Cash_Flow_3[Bulan],H607,Cash_Flow_3[Type],"Out",Cash_Flow_3[Category],"Jajan")</f>
        <v>0</v>
      </c>
      <c r="O607" s="29">
        <f>SUMIFS(Cash_Flow_3[Amount],Cash_Flow_3[Bulan],H607,Cash_Flow_3[Type],"Out",Cash_Flow_3[Category],"Kitchen")</f>
        <v>0</v>
      </c>
      <c r="P607" s="29">
        <f>SUMIFS(Cash_Flow_3[Amount],Cash_Flow_3[Bulan],H607,Cash_Flow_3[Type],"Out",Cash_Flow_3[Category],"Loandry")</f>
        <v>0</v>
      </c>
      <c r="Q607" s="29">
        <f>SUMIFS(Cash_Flow_3[Amount],Cash_Flow_3[Bulan],H607,Cash_Flow_3[Type],"Out",Cash_Flow_3[Category],"Mio")</f>
        <v>0</v>
      </c>
      <c r="R607" s="29">
        <f>SUMIFS(Cash_Flow_3[Amount],Cash_Flow_3[Bulan],H607,Cash_Flow_3[Type],"Out",Cash_Flow_3[Category],"Sedekah")</f>
        <v>0</v>
      </c>
      <c r="S607" s="29">
        <f>SUMIFS(Cash_Flow_3[Amount],Cash_Flow_3[Bulan],H607,Cash_Flow_3[Type],"Out",Cash_Flow_3[Category],"Zela")</f>
        <v>0</v>
      </c>
      <c r="T607" s="29">
        <f>SUMIFS(Cash_Flow_3[Amount],Cash_Flow_3[Bulan],H607,Cash_Flow_3[Type],"Out",Cash_Flow_3[Category],"Iqbal")</f>
        <v>0</v>
      </c>
    </row>
    <row r="608" spans="1:20" ht="22.5" customHeight="1" x14ac:dyDescent="0.2">
      <c r="A608" s="23"/>
      <c r="B608" s="24"/>
      <c r="C608" s="25"/>
      <c r="D608" s="25"/>
      <c r="E608" s="25"/>
      <c r="F608" s="26"/>
      <c r="G608" s="27"/>
      <c r="H608" s="28" t="str">
        <f t="shared" si="0"/>
        <v/>
      </c>
      <c r="I608" s="29">
        <f>SUMIFS(Cash_Flow_3[Amount],Cash_Flow_3[Bulan],H608,Cash_Flow_3[Type],"In")</f>
        <v>0</v>
      </c>
      <c r="J608" s="29">
        <f>SUMIFS(Cash_Flow_3[Amount],Cash_Flow_3[Bulan],H608,Cash_Flow_3[Type],"Out")</f>
        <v>0</v>
      </c>
      <c r="K608" s="29">
        <f>SUMIFS(Cash_Flow_3[Amount],Cash_Flow_3[Bulan],H608,Cash_Flow_3[Type],"Out",Cash_Flow_3[Category],"Fix")</f>
        <v>0</v>
      </c>
      <c r="L608" s="29">
        <f>SUMIFS(Cash_Flow_3[Amount],Cash_Flow_3[Bulan],H608,Cash_Flow_3[Type],"Out",Cash_Flow_3[Category],"Bathroom")</f>
        <v>0</v>
      </c>
      <c r="M608" s="29">
        <f>SUMIFS(Cash_Flow_3[Amount],Cash_Flow_3[Bulan],H608,Cash_Flow_3[Type],"Out",Cash_Flow_3[Category],"Alfa")</f>
        <v>0</v>
      </c>
      <c r="N608" s="29">
        <f>SUMIFS(Cash_Flow_3[Amount],Cash_Flow_3[Bulan],H608,Cash_Flow_3[Type],"Out",Cash_Flow_3[Category],"Jajan")</f>
        <v>0</v>
      </c>
      <c r="O608" s="29">
        <f>SUMIFS(Cash_Flow_3[Amount],Cash_Flow_3[Bulan],H608,Cash_Flow_3[Type],"Out",Cash_Flow_3[Category],"Kitchen")</f>
        <v>0</v>
      </c>
      <c r="P608" s="29">
        <f>SUMIFS(Cash_Flow_3[Amount],Cash_Flow_3[Bulan],H608,Cash_Flow_3[Type],"Out",Cash_Flow_3[Category],"Loandry")</f>
        <v>0</v>
      </c>
      <c r="Q608" s="29">
        <f>SUMIFS(Cash_Flow_3[Amount],Cash_Flow_3[Bulan],H608,Cash_Flow_3[Type],"Out",Cash_Flow_3[Category],"Mio")</f>
        <v>0</v>
      </c>
      <c r="R608" s="29">
        <f>SUMIFS(Cash_Flow_3[Amount],Cash_Flow_3[Bulan],H608,Cash_Flow_3[Type],"Out",Cash_Flow_3[Category],"Sedekah")</f>
        <v>0</v>
      </c>
      <c r="S608" s="29">
        <f>SUMIFS(Cash_Flow_3[Amount],Cash_Flow_3[Bulan],H608,Cash_Flow_3[Type],"Out",Cash_Flow_3[Category],"Zela")</f>
        <v>0</v>
      </c>
      <c r="T608" s="29">
        <f>SUMIFS(Cash_Flow_3[Amount],Cash_Flow_3[Bulan],H608,Cash_Flow_3[Type],"Out",Cash_Flow_3[Category],"Iqbal")</f>
        <v>0</v>
      </c>
    </row>
    <row r="609" spans="1:20" ht="22.5" customHeight="1" x14ac:dyDescent="0.2">
      <c r="A609" s="23"/>
      <c r="B609" s="24"/>
      <c r="C609" s="25"/>
      <c r="D609" s="25"/>
      <c r="E609" s="25"/>
      <c r="F609" s="26"/>
      <c r="G609" s="27"/>
      <c r="H609" s="28" t="str">
        <f t="shared" si="0"/>
        <v/>
      </c>
      <c r="I609" s="29">
        <f>SUMIFS(Cash_Flow_3[Amount],Cash_Flow_3[Bulan],H609,Cash_Flow_3[Type],"In")</f>
        <v>0</v>
      </c>
      <c r="J609" s="29">
        <f>SUMIFS(Cash_Flow_3[Amount],Cash_Flow_3[Bulan],H609,Cash_Flow_3[Type],"Out")</f>
        <v>0</v>
      </c>
      <c r="K609" s="29">
        <f>SUMIFS(Cash_Flow_3[Amount],Cash_Flow_3[Bulan],H609,Cash_Flow_3[Type],"Out",Cash_Flow_3[Category],"Fix")</f>
        <v>0</v>
      </c>
      <c r="L609" s="29">
        <f>SUMIFS(Cash_Flow_3[Amount],Cash_Flow_3[Bulan],H609,Cash_Flow_3[Type],"Out",Cash_Flow_3[Category],"Bathroom")</f>
        <v>0</v>
      </c>
      <c r="M609" s="29">
        <f>SUMIFS(Cash_Flow_3[Amount],Cash_Flow_3[Bulan],H609,Cash_Flow_3[Type],"Out",Cash_Flow_3[Category],"Alfa")</f>
        <v>0</v>
      </c>
      <c r="N609" s="29">
        <f>SUMIFS(Cash_Flow_3[Amount],Cash_Flow_3[Bulan],H609,Cash_Flow_3[Type],"Out",Cash_Flow_3[Category],"Jajan")</f>
        <v>0</v>
      </c>
      <c r="O609" s="29">
        <f>SUMIFS(Cash_Flow_3[Amount],Cash_Flow_3[Bulan],H609,Cash_Flow_3[Type],"Out",Cash_Flow_3[Category],"Kitchen")</f>
        <v>0</v>
      </c>
      <c r="P609" s="29">
        <f>SUMIFS(Cash_Flow_3[Amount],Cash_Flow_3[Bulan],H609,Cash_Flow_3[Type],"Out",Cash_Flow_3[Category],"Loandry")</f>
        <v>0</v>
      </c>
      <c r="Q609" s="29">
        <f>SUMIFS(Cash_Flow_3[Amount],Cash_Flow_3[Bulan],H609,Cash_Flow_3[Type],"Out",Cash_Flow_3[Category],"Mio")</f>
        <v>0</v>
      </c>
      <c r="R609" s="29">
        <f>SUMIFS(Cash_Flow_3[Amount],Cash_Flow_3[Bulan],H609,Cash_Flow_3[Type],"Out",Cash_Flow_3[Category],"Sedekah")</f>
        <v>0</v>
      </c>
      <c r="S609" s="29">
        <f>SUMIFS(Cash_Flow_3[Amount],Cash_Flow_3[Bulan],H609,Cash_Flow_3[Type],"Out",Cash_Flow_3[Category],"Zela")</f>
        <v>0</v>
      </c>
      <c r="T609" s="29">
        <f>SUMIFS(Cash_Flow_3[Amount],Cash_Flow_3[Bulan],H609,Cash_Flow_3[Type],"Out",Cash_Flow_3[Category],"Iqbal")</f>
        <v>0</v>
      </c>
    </row>
    <row r="610" spans="1:20" ht="22.5" customHeight="1" x14ac:dyDescent="0.2">
      <c r="A610" s="23"/>
      <c r="B610" s="24"/>
      <c r="C610" s="25"/>
      <c r="D610" s="25"/>
      <c r="E610" s="25"/>
      <c r="F610" s="26"/>
      <c r="G610" s="27"/>
      <c r="H610" s="28" t="str">
        <f t="shared" si="0"/>
        <v/>
      </c>
      <c r="I610" s="29">
        <f>SUMIFS(Cash_Flow_3[Amount],Cash_Flow_3[Bulan],H610,Cash_Flow_3[Type],"In")</f>
        <v>0</v>
      </c>
      <c r="J610" s="29">
        <f>SUMIFS(Cash_Flow_3[Amount],Cash_Flow_3[Bulan],H610,Cash_Flow_3[Type],"Out")</f>
        <v>0</v>
      </c>
      <c r="K610" s="29">
        <f>SUMIFS(Cash_Flow_3[Amount],Cash_Flow_3[Bulan],H610,Cash_Flow_3[Type],"Out",Cash_Flow_3[Category],"Fix")</f>
        <v>0</v>
      </c>
      <c r="L610" s="29">
        <f>SUMIFS(Cash_Flow_3[Amount],Cash_Flow_3[Bulan],H610,Cash_Flow_3[Type],"Out",Cash_Flow_3[Category],"Bathroom")</f>
        <v>0</v>
      </c>
      <c r="M610" s="29">
        <f>SUMIFS(Cash_Flow_3[Amount],Cash_Flow_3[Bulan],H610,Cash_Flow_3[Type],"Out",Cash_Flow_3[Category],"Alfa")</f>
        <v>0</v>
      </c>
      <c r="N610" s="29">
        <f>SUMIFS(Cash_Flow_3[Amount],Cash_Flow_3[Bulan],H610,Cash_Flow_3[Type],"Out",Cash_Flow_3[Category],"Jajan")</f>
        <v>0</v>
      </c>
      <c r="O610" s="29">
        <f>SUMIFS(Cash_Flow_3[Amount],Cash_Flow_3[Bulan],H610,Cash_Flow_3[Type],"Out",Cash_Flow_3[Category],"Kitchen")</f>
        <v>0</v>
      </c>
      <c r="P610" s="29">
        <f>SUMIFS(Cash_Flow_3[Amount],Cash_Flow_3[Bulan],H610,Cash_Flow_3[Type],"Out",Cash_Flow_3[Category],"Loandry")</f>
        <v>0</v>
      </c>
      <c r="Q610" s="29">
        <f>SUMIFS(Cash_Flow_3[Amount],Cash_Flow_3[Bulan],H610,Cash_Flow_3[Type],"Out",Cash_Flow_3[Category],"Mio")</f>
        <v>0</v>
      </c>
      <c r="R610" s="29">
        <f>SUMIFS(Cash_Flow_3[Amount],Cash_Flow_3[Bulan],H610,Cash_Flow_3[Type],"Out",Cash_Flow_3[Category],"Sedekah")</f>
        <v>0</v>
      </c>
      <c r="S610" s="29">
        <f>SUMIFS(Cash_Flow_3[Amount],Cash_Flow_3[Bulan],H610,Cash_Flow_3[Type],"Out",Cash_Flow_3[Category],"Zela")</f>
        <v>0</v>
      </c>
      <c r="T610" s="29">
        <f>SUMIFS(Cash_Flow_3[Amount],Cash_Flow_3[Bulan],H610,Cash_Flow_3[Type],"Out",Cash_Flow_3[Category],"Iqbal")</f>
        <v>0</v>
      </c>
    </row>
    <row r="611" spans="1:20" ht="22.5" customHeight="1" x14ac:dyDescent="0.2">
      <c r="A611" s="23"/>
      <c r="B611" s="24"/>
      <c r="C611" s="25"/>
      <c r="D611" s="25"/>
      <c r="E611" s="25"/>
      <c r="F611" s="26"/>
      <c r="G611" s="27"/>
      <c r="H611" s="28" t="str">
        <f t="shared" si="0"/>
        <v/>
      </c>
      <c r="I611" s="29">
        <f>SUMIFS(Cash_Flow_3[Amount],Cash_Flow_3[Bulan],H611,Cash_Flow_3[Type],"In")</f>
        <v>0</v>
      </c>
      <c r="J611" s="29">
        <f>SUMIFS(Cash_Flow_3[Amount],Cash_Flow_3[Bulan],H611,Cash_Flow_3[Type],"Out")</f>
        <v>0</v>
      </c>
      <c r="K611" s="29">
        <f>SUMIFS(Cash_Flow_3[Amount],Cash_Flow_3[Bulan],H611,Cash_Flow_3[Type],"Out",Cash_Flow_3[Category],"Fix")</f>
        <v>0</v>
      </c>
      <c r="L611" s="29">
        <f>SUMIFS(Cash_Flow_3[Amount],Cash_Flow_3[Bulan],H611,Cash_Flow_3[Type],"Out",Cash_Flow_3[Category],"Bathroom")</f>
        <v>0</v>
      </c>
      <c r="M611" s="29">
        <f>SUMIFS(Cash_Flow_3[Amount],Cash_Flow_3[Bulan],H611,Cash_Flow_3[Type],"Out",Cash_Flow_3[Category],"Alfa")</f>
        <v>0</v>
      </c>
      <c r="N611" s="29">
        <f>SUMIFS(Cash_Flow_3[Amount],Cash_Flow_3[Bulan],H611,Cash_Flow_3[Type],"Out",Cash_Flow_3[Category],"Jajan")</f>
        <v>0</v>
      </c>
      <c r="O611" s="29">
        <f>SUMIFS(Cash_Flow_3[Amount],Cash_Flow_3[Bulan],H611,Cash_Flow_3[Type],"Out",Cash_Flow_3[Category],"Kitchen")</f>
        <v>0</v>
      </c>
      <c r="P611" s="29">
        <f>SUMIFS(Cash_Flow_3[Amount],Cash_Flow_3[Bulan],H611,Cash_Flow_3[Type],"Out",Cash_Flow_3[Category],"Loandry")</f>
        <v>0</v>
      </c>
      <c r="Q611" s="29">
        <f>SUMIFS(Cash_Flow_3[Amount],Cash_Flow_3[Bulan],H611,Cash_Flow_3[Type],"Out",Cash_Flow_3[Category],"Mio")</f>
        <v>0</v>
      </c>
      <c r="R611" s="29">
        <f>SUMIFS(Cash_Flow_3[Amount],Cash_Flow_3[Bulan],H611,Cash_Flow_3[Type],"Out",Cash_Flow_3[Category],"Sedekah")</f>
        <v>0</v>
      </c>
      <c r="S611" s="29">
        <f>SUMIFS(Cash_Flow_3[Amount],Cash_Flow_3[Bulan],H611,Cash_Flow_3[Type],"Out",Cash_Flow_3[Category],"Zela")</f>
        <v>0</v>
      </c>
      <c r="T611" s="29">
        <f>SUMIFS(Cash_Flow_3[Amount],Cash_Flow_3[Bulan],H611,Cash_Flow_3[Type],"Out",Cash_Flow_3[Category],"Iqbal")</f>
        <v>0</v>
      </c>
    </row>
    <row r="612" spans="1:20" ht="22.5" customHeight="1" x14ac:dyDescent="0.2">
      <c r="A612" s="23"/>
      <c r="B612" s="24"/>
      <c r="C612" s="25"/>
      <c r="D612" s="25"/>
      <c r="E612" s="25"/>
      <c r="F612" s="26"/>
      <c r="G612" s="27"/>
      <c r="H612" s="28" t="str">
        <f t="shared" si="0"/>
        <v/>
      </c>
      <c r="I612" s="29">
        <f>SUMIFS(Cash_Flow_3[Amount],Cash_Flow_3[Bulan],H612,Cash_Flow_3[Type],"In")</f>
        <v>0</v>
      </c>
      <c r="J612" s="29">
        <f>SUMIFS(Cash_Flow_3[Amount],Cash_Flow_3[Bulan],H612,Cash_Flow_3[Type],"Out")</f>
        <v>0</v>
      </c>
      <c r="K612" s="29">
        <f>SUMIFS(Cash_Flow_3[Amount],Cash_Flow_3[Bulan],H612,Cash_Flow_3[Type],"Out",Cash_Flow_3[Category],"Fix")</f>
        <v>0</v>
      </c>
      <c r="L612" s="29">
        <f>SUMIFS(Cash_Flow_3[Amount],Cash_Flow_3[Bulan],H612,Cash_Flow_3[Type],"Out",Cash_Flow_3[Category],"Bathroom")</f>
        <v>0</v>
      </c>
      <c r="M612" s="29">
        <f>SUMIFS(Cash_Flow_3[Amount],Cash_Flow_3[Bulan],H612,Cash_Flow_3[Type],"Out",Cash_Flow_3[Category],"Alfa")</f>
        <v>0</v>
      </c>
      <c r="N612" s="29">
        <f>SUMIFS(Cash_Flow_3[Amount],Cash_Flow_3[Bulan],H612,Cash_Flow_3[Type],"Out",Cash_Flow_3[Category],"Jajan")</f>
        <v>0</v>
      </c>
      <c r="O612" s="29">
        <f>SUMIFS(Cash_Flow_3[Amount],Cash_Flow_3[Bulan],H612,Cash_Flow_3[Type],"Out",Cash_Flow_3[Category],"Kitchen")</f>
        <v>0</v>
      </c>
      <c r="P612" s="29">
        <f>SUMIFS(Cash_Flow_3[Amount],Cash_Flow_3[Bulan],H612,Cash_Flow_3[Type],"Out",Cash_Flow_3[Category],"Loandry")</f>
        <v>0</v>
      </c>
      <c r="Q612" s="29">
        <f>SUMIFS(Cash_Flow_3[Amount],Cash_Flow_3[Bulan],H612,Cash_Flow_3[Type],"Out",Cash_Flow_3[Category],"Mio")</f>
        <v>0</v>
      </c>
      <c r="R612" s="29">
        <f>SUMIFS(Cash_Flow_3[Amount],Cash_Flow_3[Bulan],H612,Cash_Flow_3[Type],"Out",Cash_Flow_3[Category],"Sedekah")</f>
        <v>0</v>
      </c>
      <c r="S612" s="29">
        <f>SUMIFS(Cash_Flow_3[Amount],Cash_Flow_3[Bulan],H612,Cash_Flow_3[Type],"Out",Cash_Flow_3[Category],"Zela")</f>
        <v>0</v>
      </c>
      <c r="T612" s="29">
        <f>SUMIFS(Cash_Flow_3[Amount],Cash_Flow_3[Bulan],H612,Cash_Flow_3[Type],"Out",Cash_Flow_3[Category],"Iqbal")</f>
        <v>0</v>
      </c>
    </row>
    <row r="613" spans="1:20" ht="22.5" customHeight="1" x14ac:dyDescent="0.2">
      <c r="A613" s="23"/>
      <c r="B613" s="24"/>
      <c r="C613" s="25"/>
      <c r="D613" s="25"/>
      <c r="E613" s="25"/>
      <c r="F613" s="26"/>
      <c r="G613" s="27"/>
      <c r="H613" s="28" t="str">
        <f t="shared" si="0"/>
        <v/>
      </c>
      <c r="I613" s="29">
        <f>SUMIFS(Cash_Flow_3[Amount],Cash_Flow_3[Bulan],H613,Cash_Flow_3[Type],"In")</f>
        <v>0</v>
      </c>
      <c r="J613" s="29">
        <f>SUMIFS(Cash_Flow_3[Amount],Cash_Flow_3[Bulan],H613,Cash_Flow_3[Type],"Out")</f>
        <v>0</v>
      </c>
      <c r="K613" s="29">
        <f>SUMIFS(Cash_Flow_3[Amount],Cash_Flow_3[Bulan],H613,Cash_Flow_3[Type],"Out",Cash_Flow_3[Category],"Fix")</f>
        <v>0</v>
      </c>
      <c r="L613" s="29">
        <f>SUMIFS(Cash_Flow_3[Amount],Cash_Flow_3[Bulan],H613,Cash_Flow_3[Type],"Out",Cash_Flow_3[Category],"Bathroom")</f>
        <v>0</v>
      </c>
      <c r="M613" s="29">
        <f>SUMIFS(Cash_Flow_3[Amount],Cash_Flow_3[Bulan],H613,Cash_Flow_3[Type],"Out",Cash_Flow_3[Category],"Alfa")</f>
        <v>0</v>
      </c>
      <c r="N613" s="29">
        <f>SUMIFS(Cash_Flow_3[Amount],Cash_Flow_3[Bulan],H613,Cash_Flow_3[Type],"Out",Cash_Flow_3[Category],"Jajan")</f>
        <v>0</v>
      </c>
      <c r="O613" s="29">
        <f>SUMIFS(Cash_Flow_3[Amount],Cash_Flow_3[Bulan],H613,Cash_Flow_3[Type],"Out",Cash_Flow_3[Category],"Kitchen")</f>
        <v>0</v>
      </c>
      <c r="P613" s="29">
        <f>SUMIFS(Cash_Flow_3[Amount],Cash_Flow_3[Bulan],H613,Cash_Flow_3[Type],"Out",Cash_Flow_3[Category],"Loandry")</f>
        <v>0</v>
      </c>
      <c r="Q613" s="29">
        <f>SUMIFS(Cash_Flow_3[Amount],Cash_Flow_3[Bulan],H613,Cash_Flow_3[Type],"Out",Cash_Flow_3[Category],"Mio")</f>
        <v>0</v>
      </c>
      <c r="R613" s="29">
        <f>SUMIFS(Cash_Flow_3[Amount],Cash_Flow_3[Bulan],H613,Cash_Flow_3[Type],"Out",Cash_Flow_3[Category],"Sedekah")</f>
        <v>0</v>
      </c>
      <c r="S613" s="29">
        <f>SUMIFS(Cash_Flow_3[Amount],Cash_Flow_3[Bulan],H613,Cash_Flow_3[Type],"Out",Cash_Flow_3[Category],"Zela")</f>
        <v>0</v>
      </c>
      <c r="T613" s="29">
        <f>SUMIFS(Cash_Flow_3[Amount],Cash_Flow_3[Bulan],H613,Cash_Flow_3[Type],"Out",Cash_Flow_3[Category],"Iqbal")</f>
        <v>0</v>
      </c>
    </row>
    <row r="614" spans="1:20" ht="22.5" customHeight="1" x14ac:dyDescent="0.2">
      <c r="A614" s="23"/>
      <c r="B614" s="24"/>
      <c r="C614" s="25"/>
      <c r="D614" s="25"/>
      <c r="E614" s="25"/>
      <c r="F614" s="26"/>
      <c r="G614" s="27"/>
      <c r="H614" s="28" t="str">
        <f t="shared" si="0"/>
        <v/>
      </c>
      <c r="I614" s="29">
        <f>SUMIFS(Cash_Flow_3[Amount],Cash_Flow_3[Bulan],H614,Cash_Flow_3[Type],"In")</f>
        <v>0</v>
      </c>
      <c r="J614" s="29">
        <f>SUMIFS(Cash_Flow_3[Amount],Cash_Flow_3[Bulan],H614,Cash_Flow_3[Type],"Out")</f>
        <v>0</v>
      </c>
      <c r="K614" s="29">
        <f>SUMIFS(Cash_Flow_3[Amount],Cash_Flow_3[Bulan],H614,Cash_Flow_3[Type],"Out",Cash_Flow_3[Category],"Fix")</f>
        <v>0</v>
      </c>
      <c r="L614" s="29">
        <f>SUMIFS(Cash_Flow_3[Amount],Cash_Flow_3[Bulan],H614,Cash_Flow_3[Type],"Out",Cash_Flow_3[Category],"Bathroom")</f>
        <v>0</v>
      </c>
      <c r="M614" s="29">
        <f>SUMIFS(Cash_Flow_3[Amount],Cash_Flow_3[Bulan],H614,Cash_Flow_3[Type],"Out",Cash_Flow_3[Category],"Alfa")</f>
        <v>0</v>
      </c>
      <c r="N614" s="29">
        <f>SUMIFS(Cash_Flow_3[Amount],Cash_Flow_3[Bulan],H614,Cash_Flow_3[Type],"Out",Cash_Flow_3[Category],"Jajan")</f>
        <v>0</v>
      </c>
      <c r="O614" s="29">
        <f>SUMIFS(Cash_Flow_3[Amount],Cash_Flow_3[Bulan],H614,Cash_Flow_3[Type],"Out",Cash_Flow_3[Category],"Kitchen")</f>
        <v>0</v>
      </c>
      <c r="P614" s="29">
        <f>SUMIFS(Cash_Flow_3[Amount],Cash_Flow_3[Bulan],H614,Cash_Flow_3[Type],"Out",Cash_Flow_3[Category],"Loandry")</f>
        <v>0</v>
      </c>
      <c r="Q614" s="29">
        <f>SUMIFS(Cash_Flow_3[Amount],Cash_Flow_3[Bulan],H614,Cash_Flow_3[Type],"Out",Cash_Flow_3[Category],"Mio")</f>
        <v>0</v>
      </c>
      <c r="R614" s="29">
        <f>SUMIFS(Cash_Flow_3[Amount],Cash_Flow_3[Bulan],H614,Cash_Flow_3[Type],"Out",Cash_Flow_3[Category],"Sedekah")</f>
        <v>0</v>
      </c>
      <c r="S614" s="29">
        <f>SUMIFS(Cash_Flow_3[Amount],Cash_Flow_3[Bulan],H614,Cash_Flow_3[Type],"Out",Cash_Flow_3[Category],"Zela")</f>
        <v>0</v>
      </c>
      <c r="T614" s="29">
        <f>SUMIFS(Cash_Flow_3[Amount],Cash_Flow_3[Bulan],H614,Cash_Flow_3[Type],"Out",Cash_Flow_3[Category],"Iqbal")</f>
        <v>0</v>
      </c>
    </row>
    <row r="615" spans="1:20" ht="22.5" customHeight="1" x14ac:dyDescent="0.2">
      <c r="A615" s="23"/>
      <c r="B615" s="24"/>
      <c r="C615" s="25"/>
      <c r="D615" s="25"/>
      <c r="E615" s="25"/>
      <c r="F615" s="26"/>
      <c r="G615" s="27"/>
      <c r="H615" s="28" t="str">
        <f t="shared" si="0"/>
        <v/>
      </c>
      <c r="I615" s="29">
        <f>SUMIFS(Cash_Flow_3[Amount],Cash_Flow_3[Bulan],H615,Cash_Flow_3[Type],"In")</f>
        <v>0</v>
      </c>
      <c r="J615" s="29">
        <f>SUMIFS(Cash_Flow_3[Amount],Cash_Flow_3[Bulan],H615,Cash_Flow_3[Type],"Out")</f>
        <v>0</v>
      </c>
      <c r="K615" s="29">
        <f>SUMIFS(Cash_Flow_3[Amount],Cash_Flow_3[Bulan],H615,Cash_Flow_3[Type],"Out",Cash_Flow_3[Category],"Fix")</f>
        <v>0</v>
      </c>
      <c r="L615" s="29">
        <f>SUMIFS(Cash_Flow_3[Amount],Cash_Flow_3[Bulan],H615,Cash_Flow_3[Type],"Out",Cash_Flow_3[Category],"Bathroom")</f>
        <v>0</v>
      </c>
      <c r="M615" s="29">
        <f>SUMIFS(Cash_Flow_3[Amount],Cash_Flow_3[Bulan],H615,Cash_Flow_3[Type],"Out",Cash_Flow_3[Category],"Alfa")</f>
        <v>0</v>
      </c>
      <c r="N615" s="29">
        <f>SUMIFS(Cash_Flow_3[Amount],Cash_Flow_3[Bulan],H615,Cash_Flow_3[Type],"Out",Cash_Flow_3[Category],"Jajan")</f>
        <v>0</v>
      </c>
      <c r="O615" s="29">
        <f>SUMIFS(Cash_Flow_3[Amount],Cash_Flow_3[Bulan],H615,Cash_Flow_3[Type],"Out",Cash_Flow_3[Category],"Kitchen")</f>
        <v>0</v>
      </c>
      <c r="P615" s="29">
        <f>SUMIFS(Cash_Flow_3[Amount],Cash_Flow_3[Bulan],H615,Cash_Flow_3[Type],"Out",Cash_Flow_3[Category],"Loandry")</f>
        <v>0</v>
      </c>
      <c r="Q615" s="29">
        <f>SUMIFS(Cash_Flow_3[Amount],Cash_Flow_3[Bulan],H615,Cash_Flow_3[Type],"Out",Cash_Flow_3[Category],"Mio")</f>
        <v>0</v>
      </c>
      <c r="R615" s="29">
        <f>SUMIFS(Cash_Flow_3[Amount],Cash_Flow_3[Bulan],H615,Cash_Flow_3[Type],"Out",Cash_Flow_3[Category],"Sedekah")</f>
        <v>0</v>
      </c>
      <c r="S615" s="29">
        <f>SUMIFS(Cash_Flow_3[Amount],Cash_Flow_3[Bulan],H615,Cash_Flow_3[Type],"Out",Cash_Flow_3[Category],"Zela")</f>
        <v>0</v>
      </c>
      <c r="T615" s="29">
        <f>SUMIFS(Cash_Flow_3[Amount],Cash_Flow_3[Bulan],H615,Cash_Flow_3[Type],"Out",Cash_Flow_3[Category],"Iqbal")</f>
        <v>0</v>
      </c>
    </row>
    <row r="616" spans="1:20" ht="22.5" customHeight="1" x14ac:dyDescent="0.2">
      <c r="A616" s="23"/>
      <c r="B616" s="24"/>
      <c r="C616" s="25"/>
      <c r="D616" s="25"/>
      <c r="E616" s="25"/>
      <c r="F616" s="26"/>
      <c r="G616" s="27"/>
      <c r="H616" s="28" t="str">
        <f t="shared" si="0"/>
        <v/>
      </c>
      <c r="I616" s="29">
        <f>SUMIFS(Cash_Flow_3[Amount],Cash_Flow_3[Bulan],H616,Cash_Flow_3[Type],"In")</f>
        <v>0</v>
      </c>
      <c r="J616" s="29">
        <f>SUMIFS(Cash_Flow_3[Amount],Cash_Flow_3[Bulan],H616,Cash_Flow_3[Type],"Out")</f>
        <v>0</v>
      </c>
      <c r="K616" s="29">
        <f>SUMIFS(Cash_Flow_3[Amount],Cash_Flow_3[Bulan],H616,Cash_Flow_3[Type],"Out",Cash_Flow_3[Category],"Fix")</f>
        <v>0</v>
      </c>
      <c r="L616" s="29">
        <f>SUMIFS(Cash_Flow_3[Amount],Cash_Flow_3[Bulan],H616,Cash_Flow_3[Type],"Out",Cash_Flow_3[Category],"Bathroom")</f>
        <v>0</v>
      </c>
      <c r="M616" s="29">
        <f>SUMIFS(Cash_Flow_3[Amount],Cash_Flow_3[Bulan],H616,Cash_Flow_3[Type],"Out",Cash_Flow_3[Category],"Alfa")</f>
        <v>0</v>
      </c>
      <c r="N616" s="29">
        <f>SUMIFS(Cash_Flow_3[Amount],Cash_Flow_3[Bulan],H616,Cash_Flow_3[Type],"Out",Cash_Flow_3[Category],"Jajan")</f>
        <v>0</v>
      </c>
      <c r="O616" s="29">
        <f>SUMIFS(Cash_Flow_3[Amount],Cash_Flow_3[Bulan],H616,Cash_Flow_3[Type],"Out",Cash_Flow_3[Category],"Kitchen")</f>
        <v>0</v>
      </c>
      <c r="P616" s="29">
        <f>SUMIFS(Cash_Flow_3[Amount],Cash_Flow_3[Bulan],H616,Cash_Flow_3[Type],"Out",Cash_Flow_3[Category],"Loandry")</f>
        <v>0</v>
      </c>
      <c r="Q616" s="29">
        <f>SUMIFS(Cash_Flow_3[Amount],Cash_Flow_3[Bulan],H616,Cash_Flow_3[Type],"Out",Cash_Flow_3[Category],"Mio")</f>
        <v>0</v>
      </c>
      <c r="R616" s="29">
        <f>SUMIFS(Cash_Flow_3[Amount],Cash_Flow_3[Bulan],H616,Cash_Flow_3[Type],"Out",Cash_Flow_3[Category],"Sedekah")</f>
        <v>0</v>
      </c>
      <c r="S616" s="29">
        <f>SUMIFS(Cash_Flow_3[Amount],Cash_Flow_3[Bulan],H616,Cash_Flow_3[Type],"Out",Cash_Flow_3[Category],"Zela")</f>
        <v>0</v>
      </c>
      <c r="T616" s="29">
        <f>SUMIFS(Cash_Flow_3[Amount],Cash_Flow_3[Bulan],H616,Cash_Flow_3[Type],"Out",Cash_Flow_3[Category],"Iqbal")</f>
        <v>0</v>
      </c>
    </row>
    <row r="617" spans="1:20" ht="22.5" customHeight="1" x14ac:dyDescent="0.2">
      <c r="A617" s="23"/>
      <c r="B617" s="24"/>
      <c r="C617" s="25"/>
      <c r="D617" s="25"/>
      <c r="E617" s="25"/>
      <c r="F617" s="26"/>
      <c r="G617" s="27"/>
      <c r="H617" s="28" t="str">
        <f t="shared" si="0"/>
        <v/>
      </c>
      <c r="I617" s="29">
        <f>SUMIFS(Cash_Flow_3[Amount],Cash_Flow_3[Bulan],H617,Cash_Flow_3[Type],"In")</f>
        <v>0</v>
      </c>
      <c r="J617" s="29">
        <f>SUMIFS(Cash_Flow_3[Amount],Cash_Flow_3[Bulan],H617,Cash_Flow_3[Type],"Out")</f>
        <v>0</v>
      </c>
      <c r="K617" s="29">
        <f>SUMIFS(Cash_Flow_3[Amount],Cash_Flow_3[Bulan],H617,Cash_Flow_3[Type],"Out",Cash_Flow_3[Category],"Fix")</f>
        <v>0</v>
      </c>
      <c r="L617" s="29">
        <f>SUMIFS(Cash_Flow_3[Amount],Cash_Flow_3[Bulan],H617,Cash_Flow_3[Type],"Out",Cash_Flow_3[Category],"Bathroom")</f>
        <v>0</v>
      </c>
      <c r="M617" s="29">
        <f>SUMIFS(Cash_Flow_3[Amount],Cash_Flow_3[Bulan],H617,Cash_Flow_3[Type],"Out",Cash_Flow_3[Category],"Alfa")</f>
        <v>0</v>
      </c>
      <c r="N617" s="29">
        <f>SUMIFS(Cash_Flow_3[Amount],Cash_Flow_3[Bulan],H617,Cash_Flow_3[Type],"Out",Cash_Flow_3[Category],"Jajan")</f>
        <v>0</v>
      </c>
      <c r="O617" s="29">
        <f>SUMIFS(Cash_Flow_3[Amount],Cash_Flow_3[Bulan],H617,Cash_Flow_3[Type],"Out",Cash_Flow_3[Category],"Kitchen")</f>
        <v>0</v>
      </c>
      <c r="P617" s="29">
        <f>SUMIFS(Cash_Flow_3[Amount],Cash_Flow_3[Bulan],H617,Cash_Flow_3[Type],"Out",Cash_Flow_3[Category],"Loandry")</f>
        <v>0</v>
      </c>
      <c r="Q617" s="29">
        <f>SUMIFS(Cash_Flow_3[Amount],Cash_Flow_3[Bulan],H617,Cash_Flow_3[Type],"Out",Cash_Flow_3[Category],"Mio")</f>
        <v>0</v>
      </c>
      <c r="R617" s="29">
        <f>SUMIFS(Cash_Flow_3[Amount],Cash_Flow_3[Bulan],H617,Cash_Flow_3[Type],"Out",Cash_Flow_3[Category],"Sedekah")</f>
        <v>0</v>
      </c>
      <c r="S617" s="29">
        <f>SUMIFS(Cash_Flow_3[Amount],Cash_Flow_3[Bulan],H617,Cash_Flow_3[Type],"Out",Cash_Flow_3[Category],"Zela")</f>
        <v>0</v>
      </c>
      <c r="T617" s="29">
        <f>SUMIFS(Cash_Flow_3[Amount],Cash_Flow_3[Bulan],H617,Cash_Flow_3[Type],"Out",Cash_Flow_3[Category],"Iqbal")</f>
        <v>0</v>
      </c>
    </row>
    <row r="618" spans="1:20" ht="22.5" customHeight="1" x14ac:dyDescent="0.2">
      <c r="A618" s="23"/>
      <c r="B618" s="24"/>
      <c r="C618" s="25"/>
      <c r="D618" s="25"/>
      <c r="E618" s="25"/>
      <c r="F618" s="26"/>
      <c r="G618" s="27"/>
      <c r="H618" s="28" t="str">
        <f t="shared" si="0"/>
        <v/>
      </c>
      <c r="I618" s="29">
        <f>SUMIFS(Cash_Flow_3[Amount],Cash_Flow_3[Bulan],H618,Cash_Flow_3[Type],"In")</f>
        <v>0</v>
      </c>
      <c r="J618" s="29">
        <f>SUMIFS(Cash_Flow_3[Amount],Cash_Flow_3[Bulan],H618,Cash_Flow_3[Type],"Out")</f>
        <v>0</v>
      </c>
      <c r="K618" s="29">
        <f>SUMIFS(Cash_Flow_3[Amount],Cash_Flow_3[Bulan],H618,Cash_Flow_3[Type],"Out",Cash_Flow_3[Category],"Fix")</f>
        <v>0</v>
      </c>
      <c r="L618" s="29">
        <f>SUMIFS(Cash_Flow_3[Amount],Cash_Flow_3[Bulan],H618,Cash_Flow_3[Type],"Out",Cash_Flow_3[Category],"Bathroom")</f>
        <v>0</v>
      </c>
      <c r="M618" s="29">
        <f>SUMIFS(Cash_Flow_3[Amount],Cash_Flow_3[Bulan],H618,Cash_Flow_3[Type],"Out",Cash_Flow_3[Category],"Alfa")</f>
        <v>0</v>
      </c>
      <c r="N618" s="29">
        <f>SUMIFS(Cash_Flow_3[Amount],Cash_Flow_3[Bulan],H618,Cash_Flow_3[Type],"Out",Cash_Flow_3[Category],"Jajan")</f>
        <v>0</v>
      </c>
      <c r="O618" s="29">
        <f>SUMIFS(Cash_Flow_3[Amount],Cash_Flow_3[Bulan],H618,Cash_Flow_3[Type],"Out",Cash_Flow_3[Category],"Kitchen")</f>
        <v>0</v>
      </c>
      <c r="P618" s="29">
        <f>SUMIFS(Cash_Flow_3[Amount],Cash_Flow_3[Bulan],H618,Cash_Flow_3[Type],"Out",Cash_Flow_3[Category],"Loandry")</f>
        <v>0</v>
      </c>
      <c r="Q618" s="29">
        <f>SUMIFS(Cash_Flow_3[Amount],Cash_Flow_3[Bulan],H618,Cash_Flow_3[Type],"Out",Cash_Flow_3[Category],"Mio")</f>
        <v>0</v>
      </c>
      <c r="R618" s="29">
        <f>SUMIFS(Cash_Flow_3[Amount],Cash_Flow_3[Bulan],H618,Cash_Flow_3[Type],"Out",Cash_Flow_3[Category],"Sedekah")</f>
        <v>0</v>
      </c>
      <c r="S618" s="29">
        <f>SUMIFS(Cash_Flow_3[Amount],Cash_Flow_3[Bulan],H618,Cash_Flow_3[Type],"Out",Cash_Flow_3[Category],"Zela")</f>
        <v>0</v>
      </c>
      <c r="T618" s="29">
        <f>SUMIFS(Cash_Flow_3[Amount],Cash_Flow_3[Bulan],H618,Cash_Flow_3[Type],"Out",Cash_Flow_3[Category],"Iqbal")</f>
        <v>0</v>
      </c>
    </row>
    <row r="619" spans="1:20" ht="22.5" customHeight="1" x14ac:dyDescent="0.2">
      <c r="A619" s="23"/>
      <c r="B619" s="24"/>
      <c r="C619" s="25"/>
      <c r="D619" s="25"/>
      <c r="E619" s="25"/>
      <c r="F619" s="26"/>
      <c r="G619" s="27"/>
      <c r="H619" s="28" t="str">
        <f t="shared" si="0"/>
        <v/>
      </c>
      <c r="I619" s="29">
        <f>SUMIFS(Cash_Flow_3[Amount],Cash_Flow_3[Bulan],H619,Cash_Flow_3[Type],"In")</f>
        <v>0</v>
      </c>
      <c r="J619" s="29">
        <f>SUMIFS(Cash_Flow_3[Amount],Cash_Flow_3[Bulan],H619,Cash_Flow_3[Type],"Out")</f>
        <v>0</v>
      </c>
      <c r="K619" s="29">
        <f>SUMIFS(Cash_Flow_3[Amount],Cash_Flow_3[Bulan],H619,Cash_Flow_3[Type],"Out",Cash_Flow_3[Category],"Fix")</f>
        <v>0</v>
      </c>
      <c r="L619" s="29">
        <f>SUMIFS(Cash_Flow_3[Amount],Cash_Flow_3[Bulan],H619,Cash_Flow_3[Type],"Out",Cash_Flow_3[Category],"Bathroom")</f>
        <v>0</v>
      </c>
      <c r="M619" s="29">
        <f>SUMIFS(Cash_Flow_3[Amount],Cash_Flow_3[Bulan],H619,Cash_Flow_3[Type],"Out",Cash_Flow_3[Category],"Alfa")</f>
        <v>0</v>
      </c>
      <c r="N619" s="29">
        <f>SUMIFS(Cash_Flow_3[Amount],Cash_Flow_3[Bulan],H619,Cash_Flow_3[Type],"Out",Cash_Flow_3[Category],"Jajan")</f>
        <v>0</v>
      </c>
      <c r="O619" s="29">
        <f>SUMIFS(Cash_Flow_3[Amount],Cash_Flow_3[Bulan],H619,Cash_Flow_3[Type],"Out",Cash_Flow_3[Category],"Kitchen")</f>
        <v>0</v>
      </c>
      <c r="P619" s="29">
        <f>SUMIFS(Cash_Flow_3[Amount],Cash_Flow_3[Bulan],H619,Cash_Flow_3[Type],"Out",Cash_Flow_3[Category],"Loandry")</f>
        <v>0</v>
      </c>
      <c r="Q619" s="29">
        <f>SUMIFS(Cash_Flow_3[Amount],Cash_Flow_3[Bulan],H619,Cash_Flow_3[Type],"Out",Cash_Flow_3[Category],"Mio")</f>
        <v>0</v>
      </c>
      <c r="R619" s="29">
        <f>SUMIFS(Cash_Flow_3[Amount],Cash_Flow_3[Bulan],H619,Cash_Flow_3[Type],"Out",Cash_Flow_3[Category],"Sedekah")</f>
        <v>0</v>
      </c>
      <c r="S619" s="29">
        <f>SUMIFS(Cash_Flow_3[Amount],Cash_Flow_3[Bulan],H619,Cash_Flow_3[Type],"Out",Cash_Flow_3[Category],"Zela")</f>
        <v>0</v>
      </c>
      <c r="T619" s="29">
        <f>SUMIFS(Cash_Flow_3[Amount],Cash_Flow_3[Bulan],H619,Cash_Flow_3[Type],"Out",Cash_Flow_3[Category],"Iqbal")</f>
        <v>0</v>
      </c>
    </row>
    <row r="620" spans="1:20" ht="22.5" customHeight="1" x14ac:dyDescent="0.2">
      <c r="A620" s="23"/>
      <c r="B620" s="24"/>
      <c r="C620" s="25"/>
      <c r="D620" s="25"/>
      <c r="E620" s="25"/>
      <c r="F620" s="26"/>
      <c r="G620" s="27"/>
      <c r="H620" s="28" t="str">
        <f t="shared" si="0"/>
        <v/>
      </c>
      <c r="I620" s="29">
        <f>SUMIFS(Cash_Flow_3[Amount],Cash_Flow_3[Bulan],H620,Cash_Flow_3[Type],"In")</f>
        <v>0</v>
      </c>
      <c r="J620" s="29">
        <f>SUMIFS(Cash_Flow_3[Amount],Cash_Flow_3[Bulan],H620,Cash_Flow_3[Type],"Out")</f>
        <v>0</v>
      </c>
      <c r="K620" s="29">
        <f>SUMIFS(Cash_Flow_3[Amount],Cash_Flow_3[Bulan],H620,Cash_Flow_3[Type],"Out",Cash_Flow_3[Category],"Fix")</f>
        <v>0</v>
      </c>
      <c r="L620" s="29">
        <f>SUMIFS(Cash_Flow_3[Amount],Cash_Flow_3[Bulan],H620,Cash_Flow_3[Type],"Out",Cash_Flow_3[Category],"Bathroom")</f>
        <v>0</v>
      </c>
      <c r="M620" s="29">
        <f>SUMIFS(Cash_Flow_3[Amount],Cash_Flow_3[Bulan],H620,Cash_Flow_3[Type],"Out",Cash_Flow_3[Category],"Alfa")</f>
        <v>0</v>
      </c>
      <c r="N620" s="29">
        <f>SUMIFS(Cash_Flow_3[Amount],Cash_Flow_3[Bulan],H620,Cash_Flow_3[Type],"Out",Cash_Flow_3[Category],"Jajan")</f>
        <v>0</v>
      </c>
      <c r="O620" s="29">
        <f>SUMIFS(Cash_Flow_3[Amount],Cash_Flow_3[Bulan],H620,Cash_Flow_3[Type],"Out",Cash_Flow_3[Category],"Kitchen")</f>
        <v>0</v>
      </c>
      <c r="P620" s="29">
        <f>SUMIFS(Cash_Flow_3[Amount],Cash_Flow_3[Bulan],H620,Cash_Flow_3[Type],"Out",Cash_Flow_3[Category],"Loandry")</f>
        <v>0</v>
      </c>
      <c r="Q620" s="29">
        <f>SUMIFS(Cash_Flow_3[Amount],Cash_Flow_3[Bulan],H620,Cash_Flow_3[Type],"Out",Cash_Flow_3[Category],"Mio")</f>
        <v>0</v>
      </c>
      <c r="R620" s="29">
        <f>SUMIFS(Cash_Flow_3[Amount],Cash_Flow_3[Bulan],H620,Cash_Flow_3[Type],"Out",Cash_Flow_3[Category],"Sedekah")</f>
        <v>0</v>
      </c>
      <c r="S620" s="29">
        <f>SUMIFS(Cash_Flow_3[Amount],Cash_Flow_3[Bulan],H620,Cash_Flow_3[Type],"Out",Cash_Flow_3[Category],"Zela")</f>
        <v>0</v>
      </c>
      <c r="T620" s="29">
        <f>SUMIFS(Cash_Flow_3[Amount],Cash_Flow_3[Bulan],H620,Cash_Flow_3[Type],"Out",Cash_Flow_3[Category],"Iqbal")</f>
        <v>0</v>
      </c>
    </row>
    <row r="621" spans="1:20" ht="22.5" customHeight="1" x14ac:dyDescent="0.2">
      <c r="A621" s="23"/>
      <c r="B621" s="24"/>
      <c r="C621" s="25"/>
      <c r="D621" s="25"/>
      <c r="E621" s="25"/>
      <c r="F621" s="26"/>
      <c r="G621" s="27"/>
      <c r="H621" s="28" t="str">
        <f t="shared" si="0"/>
        <v/>
      </c>
      <c r="I621" s="29">
        <f>SUMIFS(Cash_Flow_3[Amount],Cash_Flow_3[Bulan],H621,Cash_Flow_3[Type],"In")</f>
        <v>0</v>
      </c>
      <c r="J621" s="29">
        <f>SUMIFS(Cash_Flow_3[Amount],Cash_Flow_3[Bulan],H621,Cash_Flow_3[Type],"Out")</f>
        <v>0</v>
      </c>
      <c r="K621" s="29">
        <f>SUMIFS(Cash_Flow_3[Amount],Cash_Flow_3[Bulan],H621,Cash_Flow_3[Type],"Out",Cash_Flow_3[Category],"Fix")</f>
        <v>0</v>
      </c>
      <c r="L621" s="29">
        <f>SUMIFS(Cash_Flow_3[Amount],Cash_Flow_3[Bulan],H621,Cash_Flow_3[Type],"Out",Cash_Flow_3[Category],"Bathroom")</f>
        <v>0</v>
      </c>
      <c r="M621" s="29">
        <f>SUMIFS(Cash_Flow_3[Amount],Cash_Flow_3[Bulan],H621,Cash_Flow_3[Type],"Out",Cash_Flow_3[Category],"Alfa")</f>
        <v>0</v>
      </c>
      <c r="N621" s="29">
        <f>SUMIFS(Cash_Flow_3[Amount],Cash_Flow_3[Bulan],H621,Cash_Flow_3[Type],"Out",Cash_Flow_3[Category],"Jajan")</f>
        <v>0</v>
      </c>
      <c r="O621" s="29">
        <f>SUMIFS(Cash_Flow_3[Amount],Cash_Flow_3[Bulan],H621,Cash_Flow_3[Type],"Out",Cash_Flow_3[Category],"Kitchen")</f>
        <v>0</v>
      </c>
      <c r="P621" s="29">
        <f>SUMIFS(Cash_Flow_3[Amount],Cash_Flow_3[Bulan],H621,Cash_Flow_3[Type],"Out",Cash_Flow_3[Category],"Loandry")</f>
        <v>0</v>
      </c>
      <c r="Q621" s="29">
        <f>SUMIFS(Cash_Flow_3[Amount],Cash_Flow_3[Bulan],H621,Cash_Flow_3[Type],"Out",Cash_Flow_3[Category],"Mio")</f>
        <v>0</v>
      </c>
      <c r="R621" s="29">
        <f>SUMIFS(Cash_Flow_3[Amount],Cash_Flow_3[Bulan],H621,Cash_Flow_3[Type],"Out",Cash_Flow_3[Category],"Sedekah")</f>
        <v>0</v>
      </c>
      <c r="S621" s="29">
        <f>SUMIFS(Cash_Flow_3[Amount],Cash_Flow_3[Bulan],H621,Cash_Flow_3[Type],"Out",Cash_Flow_3[Category],"Zela")</f>
        <v>0</v>
      </c>
      <c r="T621" s="29">
        <f>SUMIFS(Cash_Flow_3[Amount],Cash_Flow_3[Bulan],H621,Cash_Flow_3[Type],"Out",Cash_Flow_3[Category],"Iqbal")</f>
        <v>0</v>
      </c>
    </row>
    <row r="622" spans="1:20" ht="22.5" customHeight="1" x14ac:dyDescent="0.2">
      <c r="A622" s="23"/>
      <c r="B622" s="24"/>
      <c r="C622" s="25"/>
      <c r="D622" s="25"/>
      <c r="E622" s="25"/>
      <c r="F622" s="26"/>
      <c r="G622" s="27"/>
      <c r="H622" s="28" t="str">
        <f t="shared" si="0"/>
        <v/>
      </c>
      <c r="I622" s="29">
        <f>SUMIFS(Cash_Flow_3[Amount],Cash_Flow_3[Bulan],H622,Cash_Flow_3[Type],"In")</f>
        <v>0</v>
      </c>
      <c r="J622" s="29">
        <f>SUMIFS(Cash_Flow_3[Amount],Cash_Flow_3[Bulan],H622,Cash_Flow_3[Type],"Out")</f>
        <v>0</v>
      </c>
      <c r="K622" s="29">
        <f>SUMIFS(Cash_Flow_3[Amount],Cash_Flow_3[Bulan],H622,Cash_Flow_3[Type],"Out",Cash_Flow_3[Category],"Fix")</f>
        <v>0</v>
      </c>
      <c r="L622" s="29">
        <f>SUMIFS(Cash_Flow_3[Amount],Cash_Flow_3[Bulan],H622,Cash_Flow_3[Type],"Out",Cash_Flow_3[Category],"Bathroom")</f>
        <v>0</v>
      </c>
      <c r="M622" s="29">
        <f>SUMIFS(Cash_Flow_3[Amount],Cash_Flow_3[Bulan],H622,Cash_Flow_3[Type],"Out",Cash_Flow_3[Category],"Alfa")</f>
        <v>0</v>
      </c>
      <c r="N622" s="29">
        <f>SUMIFS(Cash_Flow_3[Amount],Cash_Flow_3[Bulan],H622,Cash_Flow_3[Type],"Out",Cash_Flow_3[Category],"Jajan")</f>
        <v>0</v>
      </c>
      <c r="O622" s="29">
        <f>SUMIFS(Cash_Flow_3[Amount],Cash_Flow_3[Bulan],H622,Cash_Flow_3[Type],"Out",Cash_Flow_3[Category],"Kitchen")</f>
        <v>0</v>
      </c>
      <c r="P622" s="29">
        <f>SUMIFS(Cash_Flow_3[Amount],Cash_Flow_3[Bulan],H622,Cash_Flow_3[Type],"Out",Cash_Flow_3[Category],"Loandry")</f>
        <v>0</v>
      </c>
      <c r="Q622" s="29">
        <f>SUMIFS(Cash_Flow_3[Amount],Cash_Flow_3[Bulan],H622,Cash_Flow_3[Type],"Out",Cash_Flow_3[Category],"Mio")</f>
        <v>0</v>
      </c>
      <c r="R622" s="29">
        <f>SUMIFS(Cash_Flow_3[Amount],Cash_Flow_3[Bulan],H622,Cash_Flow_3[Type],"Out",Cash_Flow_3[Category],"Sedekah")</f>
        <v>0</v>
      </c>
      <c r="S622" s="29">
        <f>SUMIFS(Cash_Flow_3[Amount],Cash_Flow_3[Bulan],H622,Cash_Flow_3[Type],"Out",Cash_Flow_3[Category],"Zela")</f>
        <v>0</v>
      </c>
      <c r="T622" s="29">
        <f>SUMIFS(Cash_Flow_3[Amount],Cash_Flow_3[Bulan],H622,Cash_Flow_3[Type],"Out",Cash_Flow_3[Category],"Iqbal")</f>
        <v>0</v>
      </c>
    </row>
    <row r="623" spans="1:20" ht="22.5" customHeight="1" x14ac:dyDescent="0.2">
      <c r="A623" s="23"/>
      <c r="B623" s="24"/>
      <c r="C623" s="25"/>
      <c r="D623" s="25"/>
      <c r="E623" s="25"/>
      <c r="F623" s="26"/>
      <c r="G623" s="27"/>
      <c r="H623" s="28" t="str">
        <f t="shared" si="0"/>
        <v/>
      </c>
      <c r="I623" s="29">
        <f>SUMIFS(Cash_Flow_3[Amount],Cash_Flow_3[Bulan],H623,Cash_Flow_3[Type],"In")</f>
        <v>0</v>
      </c>
      <c r="J623" s="29">
        <f>SUMIFS(Cash_Flow_3[Amount],Cash_Flow_3[Bulan],H623,Cash_Flow_3[Type],"Out")</f>
        <v>0</v>
      </c>
      <c r="K623" s="29">
        <f>SUMIFS(Cash_Flow_3[Amount],Cash_Flow_3[Bulan],H623,Cash_Flow_3[Type],"Out",Cash_Flow_3[Category],"Fix")</f>
        <v>0</v>
      </c>
      <c r="L623" s="29">
        <f>SUMIFS(Cash_Flow_3[Amount],Cash_Flow_3[Bulan],H623,Cash_Flow_3[Type],"Out",Cash_Flow_3[Category],"Bathroom")</f>
        <v>0</v>
      </c>
      <c r="M623" s="29">
        <f>SUMIFS(Cash_Flow_3[Amount],Cash_Flow_3[Bulan],H623,Cash_Flow_3[Type],"Out",Cash_Flow_3[Category],"Alfa")</f>
        <v>0</v>
      </c>
      <c r="N623" s="29">
        <f>SUMIFS(Cash_Flow_3[Amount],Cash_Flow_3[Bulan],H623,Cash_Flow_3[Type],"Out",Cash_Flow_3[Category],"Jajan")</f>
        <v>0</v>
      </c>
      <c r="O623" s="29">
        <f>SUMIFS(Cash_Flow_3[Amount],Cash_Flow_3[Bulan],H623,Cash_Flow_3[Type],"Out",Cash_Flow_3[Category],"Kitchen")</f>
        <v>0</v>
      </c>
      <c r="P623" s="29">
        <f>SUMIFS(Cash_Flow_3[Amount],Cash_Flow_3[Bulan],H623,Cash_Flow_3[Type],"Out",Cash_Flow_3[Category],"Loandry")</f>
        <v>0</v>
      </c>
      <c r="Q623" s="29">
        <f>SUMIFS(Cash_Flow_3[Amount],Cash_Flow_3[Bulan],H623,Cash_Flow_3[Type],"Out",Cash_Flow_3[Category],"Mio")</f>
        <v>0</v>
      </c>
      <c r="R623" s="29">
        <f>SUMIFS(Cash_Flow_3[Amount],Cash_Flow_3[Bulan],H623,Cash_Flow_3[Type],"Out",Cash_Flow_3[Category],"Sedekah")</f>
        <v>0</v>
      </c>
      <c r="S623" s="29">
        <f>SUMIFS(Cash_Flow_3[Amount],Cash_Flow_3[Bulan],H623,Cash_Flow_3[Type],"Out",Cash_Flow_3[Category],"Zela")</f>
        <v>0</v>
      </c>
      <c r="T623" s="29">
        <f>SUMIFS(Cash_Flow_3[Amount],Cash_Flow_3[Bulan],H623,Cash_Flow_3[Type],"Out",Cash_Flow_3[Category],"Iqbal")</f>
        <v>0</v>
      </c>
    </row>
    <row r="624" spans="1:20" ht="22.5" customHeight="1" x14ac:dyDescent="0.2">
      <c r="A624" s="23"/>
      <c r="B624" s="24"/>
      <c r="C624" s="25"/>
      <c r="D624" s="25"/>
      <c r="E624" s="25"/>
      <c r="F624" s="26"/>
      <c r="G624" s="27"/>
      <c r="H624" s="28" t="str">
        <f t="shared" si="0"/>
        <v/>
      </c>
      <c r="I624" s="29">
        <f>SUMIFS(Cash_Flow_3[Amount],Cash_Flow_3[Bulan],H624,Cash_Flow_3[Type],"In")</f>
        <v>0</v>
      </c>
      <c r="J624" s="29">
        <f>SUMIFS(Cash_Flow_3[Amount],Cash_Flow_3[Bulan],H624,Cash_Flow_3[Type],"Out")</f>
        <v>0</v>
      </c>
      <c r="K624" s="29">
        <f>SUMIFS(Cash_Flow_3[Amount],Cash_Flow_3[Bulan],H624,Cash_Flow_3[Type],"Out",Cash_Flow_3[Category],"Fix")</f>
        <v>0</v>
      </c>
      <c r="L624" s="29">
        <f>SUMIFS(Cash_Flow_3[Amount],Cash_Flow_3[Bulan],H624,Cash_Flow_3[Type],"Out",Cash_Flow_3[Category],"Bathroom")</f>
        <v>0</v>
      </c>
      <c r="M624" s="29">
        <f>SUMIFS(Cash_Flow_3[Amount],Cash_Flow_3[Bulan],H624,Cash_Flow_3[Type],"Out",Cash_Flow_3[Category],"Alfa")</f>
        <v>0</v>
      </c>
      <c r="N624" s="29">
        <f>SUMIFS(Cash_Flow_3[Amount],Cash_Flow_3[Bulan],H624,Cash_Flow_3[Type],"Out",Cash_Flow_3[Category],"Jajan")</f>
        <v>0</v>
      </c>
      <c r="O624" s="29">
        <f>SUMIFS(Cash_Flow_3[Amount],Cash_Flow_3[Bulan],H624,Cash_Flow_3[Type],"Out",Cash_Flow_3[Category],"Kitchen")</f>
        <v>0</v>
      </c>
      <c r="P624" s="29">
        <f>SUMIFS(Cash_Flow_3[Amount],Cash_Flow_3[Bulan],H624,Cash_Flow_3[Type],"Out",Cash_Flow_3[Category],"Loandry")</f>
        <v>0</v>
      </c>
      <c r="Q624" s="29">
        <f>SUMIFS(Cash_Flow_3[Amount],Cash_Flow_3[Bulan],H624,Cash_Flow_3[Type],"Out",Cash_Flow_3[Category],"Mio")</f>
        <v>0</v>
      </c>
      <c r="R624" s="29">
        <f>SUMIFS(Cash_Flow_3[Amount],Cash_Flow_3[Bulan],H624,Cash_Flow_3[Type],"Out",Cash_Flow_3[Category],"Sedekah")</f>
        <v>0</v>
      </c>
      <c r="S624" s="29">
        <f>SUMIFS(Cash_Flow_3[Amount],Cash_Flow_3[Bulan],H624,Cash_Flow_3[Type],"Out",Cash_Flow_3[Category],"Zela")</f>
        <v>0</v>
      </c>
      <c r="T624" s="29">
        <f>SUMIFS(Cash_Flow_3[Amount],Cash_Flow_3[Bulan],H624,Cash_Flow_3[Type],"Out",Cash_Flow_3[Category],"Iqbal")</f>
        <v>0</v>
      </c>
    </row>
    <row r="625" spans="1:20" ht="22.5" customHeight="1" x14ac:dyDescent="0.2">
      <c r="A625" s="23"/>
      <c r="B625" s="24"/>
      <c r="C625" s="25"/>
      <c r="D625" s="25"/>
      <c r="E625" s="25"/>
      <c r="F625" s="26"/>
      <c r="G625" s="27"/>
      <c r="H625" s="28" t="str">
        <f t="shared" si="0"/>
        <v/>
      </c>
      <c r="I625" s="29">
        <f>SUMIFS(Cash_Flow_3[Amount],Cash_Flow_3[Bulan],H625,Cash_Flow_3[Type],"In")</f>
        <v>0</v>
      </c>
      <c r="J625" s="29">
        <f>SUMIFS(Cash_Flow_3[Amount],Cash_Flow_3[Bulan],H625,Cash_Flow_3[Type],"Out")</f>
        <v>0</v>
      </c>
      <c r="K625" s="29">
        <f>SUMIFS(Cash_Flow_3[Amount],Cash_Flow_3[Bulan],H625,Cash_Flow_3[Type],"Out",Cash_Flow_3[Category],"Fix")</f>
        <v>0</v>
      </c>
      <c r="L625" s="29">
        <f>SUMIFS(Cash_Flow_3[Amount],Cash_Flow_3[Bulan],H625,Cash_Flow_3[Type],"Out",Cash_Flow_3[Category],"Bathroom")</f>
        <v>0</v>
      </c>
      <c r="M625" s="29">
        <f>SUMIFS(Cash_Flow_3[Amount],Cash_Flow_3[Bulan],H625,Cash_Flow_3[Type],"Out",Cash_Flow_3[Category],"Alfa")</f>
        <v>0</v>
      </c>
      <c r="N625" s="29">
        <f>SUMIFS(Cash_Flow_3[Amount],Cash_Flow_3[Bulan],H625,Cash_Flow_3[Type],"Out",Cash_Flow_3[Category],"Jajan")</f>
        <v>0</v>
      </c>
      <c r="O625" s="29">
        <f>SUMIFS(Cash_Flow_3[Amount],Cash_Flow_3[Bulan],H625,Cash_Flow_3[Type],"Out",Cash_Flow_3[Category],"Kitchen")</f>
        <v>0</v>
      </c>
      <c r="P625" s="29">
        <f>SUMIFS(Cash_Flow_3[Amount],Cash_Flow_3[Bulan],H625,Cash_Flow_3[Type],"Out",Cash_Flow_3[Category],"Loandry")</f>
        <v>0</v>
      </c>
      <c r="Q625" s="29">
        <f>SUMIFS(Cash_Flow_3[Amount],Cash_Flow_3[Bulan],H625,Cash_Flow_3[Type],"Out",Cash_Flow_3[Category],"Mio")</f>
        <v>0</v>
      </c>
      <c r="R625" s="29">
        <f>SUMIFS(Cash_Flow_3[Amount],Cash_Flow_3[Bulan],H625,Cash_Flow_3[Type],"Out",Cash_Flow_3[Category],"Sedekah")</f>
        <v>0</v>
      </c>
      <c r="S625" s="29">
        <f>SUMIFS(Cash_Flow_3[Amount],Cash_Flow_3[Bulan],H625,Cash_Flow_3[Type],"Out",Cash_Flow_3[Category],"Zela")</f>
        <v>0</v>
      </c>
      <c r="T625" s="29">
        <f>SUMIFS(Cash_Flow_3[Amount],Cash_Flow_3[Bulan],H625,Cash_Flow_3[Type],"Out",Cash_Flow_3[Category],"Iqbal")</f>
        <v>0</v>
      </c>
    </row>
    <row r="626" spans="1:20" ht="22.5" customHeight="1" x14ac:dyDescent="0.2">
      <c r="A626" s="23"/>
      <c r="B626" s="24"/>
      <c r="C626" s="25"/>
      <c r="D626" s="25"/>
      <c r="E626" s="25"/>
      <c r="F626" s="26"/>
      <c r="G626" s="27"/>
      <c r="H626" s="28" t="str">
        <f t="shared" si="0"/>
        <v/>
      </c>
      <c r="I626" s="29">
        <f>SUMIFS(Cash_Flow_3[Amount],Cash_Flow_3[Bulan],H626,Cash_Flow_3[Type],"In")</f>
        <v>0</v>
      </c>
      <c r="J626" s="29">
        <f>SUMIFS(Cash_Flow_3[Amount],Cash_Flow_3[Bulan],H626,Cash_Flow_3[Type],"Out")</f>
        <v>0</v>
      </c>
      <c r="K626" s="29">
        <f>SUMIFS(Cash_Flow_3[Amount],Cash_Flow_3[Bulan],H626,Cash_Flow_3[Type],"Out",Cash_Flow_3[Category],"Fix")</f>
        <v>0</v>
      </c>
      <c r="L626" s="29">
        <f>SUMIFS(Cash_Flow_3[Amount],Cash_Flow_3[Bulan],H626,Cash_Flow_3[Type],"Out",Cash_Flow_3[Category],"Bathroom")</f>
        <v>0</v>
      </c>
      <c r="M626" s="29">
        <f>SUMIFS(Cash_Flow_3[Amount],Cash_Flow_3[Bulan],H626,Cash_Flow_3[Type],"Out",Cash_Flow_3[Category],"Alfa")</f>
        <v>0</v>
      </c>
      <c r="N626" s="29">
        <f>SUMIFS(Cash_Flow_3[Amount],Cash_Flow_3[Bulan],H626,Cash_Flow_3[Type],"Out",Cash_Flow_3[Category],"Jajan")</f>
        <v>0</v>
      </c>
      <c r="O626" s="29">
        <f>SUMIFS(Cash_Flow_3[Amount],Cash_Flow_3[Bulan],H626,Cash_Flow_3[Type],"Out",Cash_Flow_3[Category],"Kitchen")</f>
        <v>0</v>
      </c>
      <c r="P626" s="29">
        <f>SUMIFS(Cash_Flow_3[Amount],Cash_Flow_3[Bulan],H626,Cash_Flow_3[Type],"Out",Cash_Flow_3[Category],"Loandry")</f>
        <v>0</v>
      </c>
      <c r="Q626" s="29">
        <f>SUMIFS(Cash_Flow_3[Amount],Cash_Flow_3[Bulan],H626,Cash_Flow_3[Type],"Out",Cash_Flow_3[Category],"Mio")</f>
        <v>0</v>
      </c>
      <c r="R626" s="29">
        <f>SUMIFS(Cash_Flow_3[Amount],Cash_Flow_3[Bulan],H626,Cash_Flow_3[Type],"Out",Cash_Flow_3[Category],"Sedekah")</f>
        <v>0</v>
      </c>
      <c r="S626" s="29">
        <f>SUMIFS(Cash_Flow_3[Amount],Cash_Flow_3[Bulan],H626,Cash_Flow_3[Type],"Out",Cash_Flow_3[Category],"Zela")</f>
        <v>0</v>
      </c>
      <c r="T626" s="29">
        <f>SUMIFS(Cash_Flow_3[Amount],Cash_Flow_3[Bulan],H626,Cash_Flow_3[Type],"Out",Cash_Flow_3[Category],"Iqbal")</f>
        <v>0</v>
      </c>
    </row>
    <row r="627" spans="1:20" ht="22.5" customHeight="1" x14ac:dyDescent="0.2">
      <c r="A627" s="23"/>
      <c r="B627" s="24"/>
      <c r="C627" s="25"/>
      <c r="D627" s="25"/>
      <c r="E627" s="25"/>
      <c r="F627" s="26"/>
      <c r="G627" s="27"/>
      <c r="H627" s="28" t="str">
        <f t="shared" si="0"/>
        <v/>
      </c>
      <c r="I627" s="29">
        <f>SUMIFS(Cash_Flow_3[Amount],Cash_Flow_3[Bulan],H627,Cash_Flow_3[Type],"In")</f>
        <v>0</v>
      </c>
      <c r="J627" s="29">
        <f>SUMIFS(Cash_Flow_3[Amount],Cash_Flow_3[Bulan],H627,Cash_Flow_3[Type],"Out")</f>
        <v>0</v>
      </c>
      <c r="K627" s="29">
        <f>SUMIFS(Cash_Flow_3[Amount],Cash_Flow_3[Bulan],H627,Cash_Flow_3[Type],"Out",Cash_Flow_3[Category],"Fix")</f>
        <v>0</v>
      </c>
      <c r="L627" s="29">
        <f>SUMIFS(Cash_Flow_3[Amount],Cash_Flow_3[Bulan],H627,Cash_Flow_3[Type],"Out",Cash_Flow_3[Category],"Bathroom")</f>
        <v>0</v>
      </c>
      <c r="M627" s="29">
        <f>SUMIFS(Cash_Flow_3[Amount],Cash_Flow_3[Bulan],H627,Cash_Flow_3[Type],"Out",Cash_Flow_3[Category],"Alfa")</f>
        <v>0</v>
      </c>
      <c r="N627" s="29">
        <f>SUMIFS(Cash_Flow_3[Amount],Cash_Flow_3[Bulan],H627,Cash_Flow_3[Type],"Out",Cash_Flow_3[Category],"Jajan")</f>
        <v>0</v>
      </c>
      <c r="O627" s="29">
        <f>SUMIFS(Cash_Flow_3[Amount],Cash_Flow_3[Bulan],H627,Cash_Flow_3[Type],"Out",Cash_Flow_3[Category],"Kitchen")</f>
        <v>0</v>
      </c>
      <c r="P627" s="29">
        <f>SUMIFS(Cash_Flow_3[Amount],Cash_Flow_3[Bulan],H627,Cash_Flow_3[Type],"Out",Cash_Flow_3[Category],"Loandry")</f>
        <v>0</v>
      </c>
      <c r="Q627" s="29">
        <f>SUMIFS(Cash_Flow_3[Amount],Cash_Flow_3[Bulan],H627,Cash_Flow_3[Type],"Out",Cash_Flow_3[Category],"Mio")</f>
        <v>0</v>
      </c>
      <c r="R627" s="29">
        <f>SUMIFS(Cash_Flow_3[Amount],Cash_Flow_3[Bulan],H627,Cash_Flow_3[Type],"Out",Cash_Flow_3[Category],"Sedekah")</f>
        <v>0</v>
      </c>
      <c r="S627" s="29">
        <f>SUMIFS(Cash_Flow_3[Amount],Cash_Flow_3[Bulan],H627,Cash_Flow_3[Type],"Out",Cash_Flow_3[Category],"Zela")</f>
        <v>0</v>
      </c>
      <c r="T627" s="29">
        <f>SUMIFS(Cash_Flow_3[Amount],Cash_Flow_3[Bulan],H627,Cash_Flow_3[Type],"Out",Cash_Flow_3[Category],"Iqbal")</f>
        <v>0</v>
      </c>
    </row>
    <row r="628" spans="1:20" ht="22.5" customHeight="1" x14ac:dyDescent="0.2">
      <c r="A628" s="23"/>
      <c r="B628" s="24"/>
      <c r="C628" s="25"/>
      <c r="D628" s="25"/>
      <c r="E628" s="25"/>
      <c r="F628" s="26"/>
      <c r="G628" s="27"/>
      <c r="H628" s="28" t="str">
        <f t="shared" si="0"/>
        <v/>
      </c>
      <c r="I628" s="29">
        <f>SUMIFS(Cash_Flow_3[Amount],Cash_Flow_3[Bulan],H628,Cash_Flow_3[Type],"In")</f>
        <v>0</v>
      </c>
      <c r="J628" s="29">
        <f>SUMIFS(Cash_Flow_3[Amount],Cash_Flow_3[Bulan],H628,Cash_Flow_3[Type],"Out")</f>
        <v>0</v>
      </c>
      <c r="K628" s="29">
        <f>SUMIFS(Cash_Flow_3[Amount],Cash_Flow_3[Bulan],H628,Cash_Flow_3[Type],"Out",Cash_Flow_3[Category],"Fix")</f>
        <v>0</v>
      </c>
      <c r="L628" s="29">
        <f>SUMIFS(Cash_Flow_3[Amount],Cash_Flow_3[Bulan],H628,Cash_Flow_3[Type],"Out",Cash_Flow_3[Category],"Bathroom")</f>
        <v>0</v>
      </c>
      <c r="M628" s="29">
        <f>SUMIFS(Cash_Flow_3[Amount],Cash_Flow_3[Bulan],H628,Cash_Flow_3[Type],"Out",Cash_Flow_3[Category],"Alfa")</f>
        <v>0</v>
      </c>
      <c r="N628" s="29">
        <f>SUMIFS(Cash_Flow_3[Amount],Cash_Flow_3[Bulan],H628,Cash_Flow_3[Type],"Out",Cash_Flow_3[Category],"Jajan")</f>
        <v>0</v>
      </c>
      <c r="O628" s="29">
        <f>SUMIFS(Cash_Flow_3[Amount],Cash_Flow_3[Bulan],H628,Cash_Flow_3[Type],"Out",Cash_Flow_3[Category],"Kitchen")</f>
        <v>0</v>
      </c>
      <c r="P628" s="29">
        <f>SUMIFS(Cash_Flow_3[Amount],Cash_Flow_3[Bulan],H628,Cash_Flow_3[Type],"Out",Cash_Flow_3[Category],"Loandry")</f>
        <v>0</v>
      </c>
      <c r="Q628" s="29">
        <f>SUMIFS(Cash_Flow_3[Amount],Cash_Flow_3[Bulan],H628,Cash_Flow_3[Type],"Out",Cash_Flow_3[Category],"Mio")</f>
        <v>0</v>
      </c>
      <c r="R628" s="29">
        <f>SUMIFS(Cash_Flow_3[Amount],Cash_Flow_3[Bulan],H628,Cash_Flow_3[Type],"Out",Cash_Flow_3[Category],"Sedekah")</f>
        <v>0</v>
      </c>
      <c r="S628" s="29">
        <f>SUMIFS(Cash_Flow_3[Amount],Cash_Flow_3[Bulan],H628,Cash_Flow_3[Type],"Out",Cash_Flow_3[Category],"Zela")</f>
        <v>0</v>
      </c>
      <c r="T628" s="29">
        <f>SUMIFS(Cash_Flow_3[Amount],Cash_Flow_3[Bulan],H628,Cash_Flow_3[Type],"Out",Cash_Flow_3[Category],"Iqbal")</f>
        <v>0</v>
      </c>
    </row>
    <row r="629" spans="1:20" ht="22.5" customHeight="1" x14ac:dyDescent="0.2">
      <c r="A629" s="23"/>
      <c r="B629" s="24"/>
      <c r="C629" s="25"/>
      <c r="D629" s="25"/>
      <c r="E629" s="25"/>
      <c r="F629" s="26"/>
      <c r="G629" s="27"/>
      <c r="H629" s="28" t="str">
        <f t="shared" si="0"/>
        <v/>
      </c>
      <c r="I629" s="29">
        <f>SUMIFS(Cash_Flow_3[Amount],Cash_Flow_3[Bulan],H629,Cash_Flow_3[Type],"In")</f>
        <v>0</v>
      </c>
      <c r="J629" s="29">
        <f>SUMIFS(Cash_Flow_3[Amount],Cash_Flow_3[Bulan],H629,Cash_Flow_3[Type],"Out")</f>
        <v>0</v>
      </c>
      <c r="K629" s="29">
        <f>SUMIFS(Cash_Flow_3[Amount],Cash_Flow_3[Bulan],H629,Cash_Flow_3[Type],"Out",Cash_Flow_3[Category],"Fix")</f>
        <v>0</v>
      </c>
      <c r="L629" s="29">
        <f>SUMIFS(Cash_Flow_3[Amount],Cash_Flow_3[Bulan],H629,Cash_Flow_3[Type],"Out",Cash_Flow_3[Category],"Bathroom")</f>
        <v>0</v>
      </c>
      <c r="M629" s="29">
        <f>SUMIFS(Cash_Flow_3[Amount],Cash_Flow_3[Bulan],H629,Cash_Flow_3[Type],"Out",Cash_Flow_3[Category],"Alfa")</f>
        <v>0</v>
      </c>
      <c r="N629" s="29">
        <f>SUMIFS(Cash_Flow_3[Amount],Cash_Flow_3[Bulan],H629,Cash_Flow_3[Type],"Out",Cash_Flow_3[Category],"Jajan")</f>
        <v>0</v>
      </c>
      <c r="O629" s="29">
        <f>SUMIFS(Cash_Flow_3[Amount],Cash_Flow_3[Bulan],H629,Cash_Flow_3[Type],"Out",Cash_Flow_3[Category],"Kitchen")</f>
        <v>0</v>
      </c>
      <c r="P629" s="29">
        <f>SUMIFS(Cash_Flow_3[Amount],Cash_Flow_3[Bulan],H629,Cash_Flow_3[Type],"Out",Cash_Flow_3[Category],"Loandry")</f>
        <v>0</v>
      </c>
      <c r="Q629" s="29">
        <f>SUMIFS(Cash_Flow_3[Amount],Cash_Flow_3[Bulan],H629,Cash_Flow_3[Type],"Out",Cash_Flow_3[Category],"Mio")</f>
        <v>0</v>
      </c>
      <c r="R629" s="29">
        <f>SUMIFS(Cash_Flow_3[Amount],Cash_Flow_3[Bulan],H629,Cash_Flow_3[Type],"Out",Cash_Flow_3[Category],"Sedekah")</f>
        <v>0</v>
      </c>
      <c r="S629" s="29">
        <f>SUMIFS(Cash_Flow_3[Amount],Cash_Flow_3[Bulan],H629,Cash_Flow_3[Type],"Out",Cash_Flow_3[Category],"Zela")</f>
        <v>0</v>
      </c>
      <c r="T629" s="29">
        <f>SUMIFS(Cash_Flow_3[Amount],Cash_Flow_3[Bulan],H629,Cash_Flow_3[Type],"Out",Cash_Flow_3[Category],"Iqbal")</f>
        <v>0</v>
      </c>
    </row>
    <row r="630" spans="1:20" ht="22.5" customHeight="1" x14ac:dyDescent="0.2">
      <c r="A630" s="23"/>
      <c r="B630" s="24"/>
      <c r="C630" s="25"/>
      <c r="D630" s="25"/>
      <c r="E630" s="25"/>
      <c r="F630" s="26"/>
      <c r="G630" s="27"/>
      <c r="H630" s="28" t="str">
        <f t="shared" si="0"/>
        <v/>
      </c>
      <c r="I630" s="29">
        <f>SUMIFS(Cash_Flow_3[Amount],Cash_Flow_3[Bulan],H630,Cash_Flow_3[Type],"In")</f>
        <v>0</v>
      </c>
      <c r="J630" s="29">
        <f>SUMIFS(Cash_Flow_3[Amount],Cash_Flow_3[Bulan],H630,Cash_Flow_3[Type],"Out")</f>
        <v>0</v>
      </c>
      <c r="K630" s="29">
        <f>SUMIFS(Cash_Flow_3[Amount],Cash_Flow_3[Bulan],H630,Cash_Flow_3[Type],"Out",Cash_Flow_3[Category],"Fix")</f>
        <v>0</v>
      </c>
      <c r="L630" s="29">
        <f>SUMIFS(Cash_Flow_3[Amount],Cash_Flow_3[Bulan],H630,Cash_Flow_3[Type],"Out",Cash_Flow_3[Category],"Bathroom")</f>
        <v>0</v>
      </c>
      <c r="M630" s="29">
        <f>SUMIFS(Cash_Flow_3[Amount],Cash_Flow_3[Bulan],H630,Cash_Flow_3[Type],"Out",Cash_Flow_3[Category],"Alfa")</f>
        <v>0</v>
      </c>
      <c r="N630" s="29">
        <f>SUMIFS(Cash_Flow_3[Amount],Cash_Flow_3[Bulan],H630,Cash_Flow_3[Type],"Out",Cash_Flow_3[Category],"Jajan")</f>
        <v>0</v>
      </c>
      <c r="O630" s="29">
        <f>SUMIFS(Cash_Flow_3[Amount],Cash_Flow_3[Bulan],H630,Cash_Flow_3[Type],"Out",Cash_Flow_3[Category],"Kitchen")</f>
        <v>0</v>
      </c>
      <c r="P630" s="29">
        <f>SUMIFS(Cash_Flow_3[Amount],Cash_Flow_3[Bulan],H630,Cash_Flow_3[Type],"Out",Cash_Flow_3[Category],"Loandry")</f>
        <v>0</v>
      </c>
      <c r="Q630" s="29">
        <f>SUMIFS(Cash_Flow_3[Amount],Cash_Flow_3[Bulan],H630,Cash_Flow_3[Type],"Out",Cash_Flow_3[Category],"Mio")</f>
        <v>0</v>
      </c>
      <c r="R630" s="29">
        <f>SUMIFS(Cash_Flow_3[Amount],Cash_Flow_3[Bulan],H630,Cash_Flow_3[Type],"Out",Cash_Flow_3[Category],"Sedekah")</f>
        <v>0</v>
      </c>
      <c r="S630" s="29">
        <f>SUMIFS(Cash_Flow_3[Amount],Cash_Flow_3[Bulan],H630,Cash_Flow_3[Type],"Out",Cash_Flow_3[Category],"Zela")</f>
        <v>0</v>
      </c>
      <c r="T630" s="29">
        <f>SUMIFS(Cash_Flow_3[Amount],Cash_Flow_3[Bulan],H630,Cash_Flow_3[Type],"Out",Cash_Flow_3[Category],"Iqbal")</f>
        <v>0</v>
      </c>
    </row>
    <row r="631" spans="1:20" ht="22.5" customHeight="1" x14ac:dyDescent="0.2">
      <c r="A631" s="23"/>
      <c r="B631" s="24"/>
      <c r="C631" s="25"/>
      <c r="D631" s="25"/>
      <c r="E631" s="25"/>
      <c r="F631" s="26"/>
      <c r="G631" s="27"/>
      <c r="H631" s="28" t="str">
        <f t="shared" si="0"/>
        <v/>
      </c>
      <c r="I631" s="29">
        <f>SUMIFS(Cash_Flow_3[Amount],Cash_Flow_3[Bulan],H631,Cash_Flow_3[Type],"In")</f>
        <v>0</v>
      </c>
      <c r="J631" s="29">
        <f>SUMIFS(Cash_Flow_3[Amount],Cash_Flow_3[Bulan],H631,Cash_Flow_3[Type],"Out")</f>
        <v>0</v>
      </c>
      <c r="K631" s="29">
        <f>SUMIFS(Cash_Flow_3[Amount],Cash_Flow_3[Bulan],H631,Cash_Flow_3[Type],"Out",Cash_Flow_3[Category],"Fix")</f>
        <v>0</v>
      </c>
      <c r="L631" s="29">
        <f>SUMIFS(Cash_Flow_3[Amount],Cash_Flow_3[Bulan],H631,Cash_Flow_3[Type],"Out",Cash_Flow_3[Category],"Bathroom")</f>
        <v>0</v>
      </c>
      <c r="M631" s="29">
        <f>SUMIFS(Cash_Flow_3[Amount],Cash_Flow_3[Bulan],H631,Cash_Flow_3[Type],"Out",Cash_Flow_3[Category],"Alfa")</f>
        <v>0</v>
      </c>
      <c r="N631" s="29">
        <f>SUMIFS(Cash_Flow_3[Amount],Cash_Flow_3[Bulan],H631,Cash_Flow_3[Type],"Out",Cash_Flow_3[Category],"Jajan")</f>
        <v>0</v>
      </c>
      <c r="O631" s="29">
        <f>SUMIFS(Cash_Flow_3[Amount],Cash_Flow_3[Bulan],H631,Cash_Flow_3[Type],"Out",Cash_Flow_3[Category],"Kitchen")</f>
        <v>0</v>
      </c>
      <c r="P631" s="29">
        <f>SUMIFS(Cash_Flow_3[Amount],Cash_Flow_3[Bulan],H631,Cash_Flow_3[Type],"Out",Cash_Flow_3[Category],"Loandry")</f>
        <v>0</v>
      </c>
      <c r="Q631" s="29">
        <f>SUMIFS(Cash_Flow_3[Amount],Cash_Flow_3[Bulan],H631,Cash_Flow_3[Type],"Out",Cash_Flow_3[Category],"Mio")</f>
        <v>0</v>
      </c>
      <c r="R631" s="29">
        <f>SUMIFS(Cash_Flow_3[Amount],Cash_Flow_3[Bulan],H631,Cash_Flow_3[Type],"Out",Cash_Flow_3[Category],"Sedekah")</f>
        <v>0</v>
      </c>
      <c r="S631" s="29">
        <f>SUMIFS(Cash_Flow_3[Amount],Cash_Flow_3[Bulan],H631,Cash_Flow_3[Type],"Out",Cash_Flow_3[Category],"Zela")</f>
        <v>0</v>
      </c>
      <c r="T631" s="29">
        <f>SUMIFS(Cash_Flow_3[Amount],Cash_Flow_3[Bulan],H631,Cash_Flow_3[Type],"Out",Cash_Flow_3[Category],"Iqbal")</f>
        <v>0</v>
      </c>
    </row>
    <row r="632" spans="1:20" ht="22.5" customHeight="1" x14ac:dyDescent="0.2">
      <c r="A632" s="23"/>
      <c r="B632" s="24"/>
      <c r="C632" s="25"/>
      <c r="D632" s="25"/>
      <c r="E632" s="25"/>
      <c r="F632" s="26"/>
      <c r="G632" s="27"/>
      <c r="H632" s="28" t="str">
        <f t="shared" si="0"/>
        <v/>
      </c>
      <c r="I632" s="29">
        <f>SUMIFS(Cash_Flow_3[Amount],Cash_Flow_3[Bulan],H632,Cash_Flow_3[Type],"In")</f>
        <v>0</v>
      </c>
      <c r="J632" s="29">
        <f>SUMIFS(Cash_Flow_3[Amount],Cash_Flow_3[Bulan],H632,Cash_Flow_3[Type],"Out")</f>
        <v>0</v>
      </c>
      <c r="K632" s="29">
        <f>SUMIFS(Cash_Flow_3[Amount],Cash_Flow_3[Bulan],H632,Cash_Flow_3[Type],"Out",Cash_Flow_3[Category],"Fix")</f>
        <v>0</v>
      </c>
      <c r="L632" s="29">
        <f>SUMIFS(Cash_Flow_3[Amount],Cash_Flow_3[Bulan],H632,Cash_Flow_3[Type],"Out",Cash_Flow_3[Category],"Bathroom")</f>
        <v>0</v>
      </c>
      <c r="M632" s="29">
        <f>SUMIFS(Cash_Flow_3[Amount],Cash_Flow_3[Bulan],H632,Cash_Flow_3[Type],"Out",Cash_Flow_3[Category],"Alfa")</f>
        <v>0</v>
      </c>
      <c r="N632" s="29">
        <f>SUMIFS(Cash_Flow_3[Amount],Cash_Flow_3[Bulan],H632,Cash_Flow_3[Type],"Out",Cash_Flow_3[Category],"Jajan")</f>
        <v>0</v>
      </c>
      <c r="O632" s="29">
        <f>SUMIFS(Cash_Flow_3[Amount],Cash_Flow_3[Bulan],H632,Cash_Flow_3[Type],"Out",Cash_Flow_3[Category],"Kitchen")</f>
        <v>0</v>
      </c>
      <c r="P632" s="29">
        <f>SUMIFS(Cash_Flow_3[Amount],Cash_Flow_3[Bulan],H632,Cash_Flow_3[Type],"Out",Cash_Flow_3[Category],"Loandry")</f>
        <v>0</v>
      </c>
      <c r="Q632" s="29">
        <f>SUMIFS(Cash_Flow_3[Amount],Cash_Flow_3[Bulan],H632,Cash_Flow_3[Type],"Out",Cash_Flow_3[Category],"Mio")</f>
        <v>0</v>
      </c>
      <c r="R632" s="29">
        <f>SUMIFS(Cash_Flow_3[Amount],Cash_Flow_3[Bulan],H632,Cash_Flow_3[Type],"Out",Cash_Flow_3[Category],"Sedekah")</f>
        <v>0</v>
      </c>
      <c r="S632" s="29">
        <f>SUMIFS(Cash_Flow_3[Amount],Cash_Flow_3[Bulan],H632,Cash_Flow_3[Type],"Out",Cash_Flow_3[Category],"Zela")</f>
        <v>0</v>
      </c>
      <c r="T632" s="29">
        <f>SUMIFS(Cash_Flow_3[Amount],Cash_Flow_3[Bulan],H632,Cash_Flow_3[Type],"Out",Cash_Flow_3[Category],"Iqbal")</f>
        <v>0</v>
      </c>
    </row>
    <row r="633" spans="1:20" ht="22.5" customHeight="1" x14ac:dyDescent="0.2">
      <c r="A633" s="23"/>
      <c r="B633" s="24"/>
      <c r="C633" s="25"/>
      <c r="D633" s="25"/>
      <c r="E633" s="25"/>
      <c r="F633" s="26"/>
      <c r="G633" s="27"/>
      <c r="H633" s="28" t="str">
        <f t="shared" si="0"/>
        <v/>
      </c>
      <c r="I633" s="29">
        <f>SUMIFS(Cash_Flow_3[Amount],Cash_Flow_3[Bulan],H633,Cash_Flow_3[Type],"In")</f>
        <v>0</v>
      </c>
      <c r="J633" s="29">
        <f>SUMIFS(Cash_Flow_3[Amount],Cash_Flow_3[Bulan],H633,Cash_Flow_3[Type],"Out")</f>
        <v>0</v>
      </c>
      <c r="K633" s="29">
        <f>SUMIFS(Cash_Flow_3[Amount],Cash_Flow_3[Bulan],H633,Cash_Flow_3[Type],"Out",Cash_Flow_3[Category],"Fix")</f>
        <v>0</v>
      </c>
      <c r="L633" s="29">
        <f>SUMIFS(Cash_Flow_3[Amount],Cash_Flow_3[Bulan],H633,Cash_Flow_3[Type],"Out",Cash_Flow_3[Category],"Bathroom")</f>
        <v>0</v>
      </c>
      <c r="M633" s="29">
        <f>SUMIFS(Cash_Flow_3[Amount],Cash_Flow_3[Bulan],H633,Cash_Flow_3[Type],"Out",Cash_Flow_3[Category],"Alfa")</f>
        <v>0</v>
      </c>
      <c r="N633" s="29">
        <f>SUMIFS(Cash_Flow_3[Amount],Cash_Flow_3[Bulan],H633,Cash_Flow_3[Type],"Out",Cash_Flow_3[Category],"Jajan")</f>
        <v>0</v>
      </c>
      <c r="O633" s="29">
        <f>SUMIFS(Cash_Flow_3[Amount],Cash_Flow_3[Bulan],H633,Cash_Flow_3[Type],"Out",Cash_Flow_3[Category],"Kitchen")</f>
        <v>0</v>
      </c>
      <c r="P633" s="29">
        <f>SUMIFS(Cash_Flow_3[Amount],Cash_Flow_3[Bulan],H633,Cash_Flow_3[Type],"Out",Cash_Flow_3[Category],"Loandry")</f>
        <v>0</v>
      </c>
      <c r="Q633" s="29">
        <f>SUMIFS(Cash_Flow_3[Amount],Cash_Flow_3[Bulan],H633,Cash_Flow_3[Type],"Out",Cash_Flow_3[Category],"Mio")</f>
        <v>0</v>
      </c>
      <c r="R633" s="29">
        <f>SUMIFS(Cash_Flow_3[Amount],Cash_Flow_3[Bulan],H633,Cash_Flow_3[Type],"Out",Cash_Flow_3[Category],"Sedekah")</f>
        <v>0</v>
      </c>
      <c r="S633" s="29">
        <f>SUMIFS(Cash_Flow_3[Amount],Cash_Flow_3[Bulan],H633,Cash_Flow_3[Type],"Out",Cash_Flow_3[Category],"Zela")</f>
        <v>0</v>
      </c>
      <c r="T633" s="29">
        <f>SUMIFS(Cash_Flow_3[Amount],Cash_Flow_3[Bulan],H633,Cash_Flow_3[Type],"Out",Cash_Flow_3[Category],"Iqbal")</f>
        <v>0</v>
      </c>
    </row>
    <row r="634" spans="1:20" ht="22.5" customHeight="1" x14ac:dyDescent="0.2">
      <c r="A634" s="23"/>
      <c r="B634" s="24"/>
      <c r="C634" s="25"/>
      <c r="D634" s="25"/>
      <c r="E634" s="25"/>
      <c r="F634" s="26"/>
      <c r="G634" s="27"/>
      <c r="H634" s="28" t="str">
        <f t="shared" si="0"/>
        <v/>
      </c>
      <c r="I634" s="29">
        <f>SUMIFS(Cash_Flow_3[Amount],Cash_Flow_3[Bulan],H634,Cash_Flow_3[Type],"In")</f>
        <v>0</v>
      </c>
      <c r="J634" s="29">
        <f>SUMIFS(Cash_Flow_3[Amount],Cash_Flow_3[Bulan],H634,Cash_Flow_3[Type],"Out")</f>
        <v>0</v>
      </c>
      <c r="K634" s="29">
        <f>SUMIFS(Cash_Flow_3[Amount],Cash_Flow_3[Bulan],H634,Cash_Flow_3[Type],"Out",Cash_Flow_3[Category],"Fix")</f>
        <v>0</v>
      </c>
      <c r="L634" s="29">
        <f>SUMIFS(Cash_Flow_3[Amount],Cash_Flow_3[Bulan],H634,Cash_Flow_3[Type],"Out",Cash_Flow_3[Category],"Bathroom")</f>
        <v>0</v>
      </c>
      <c r="M634" s="29">
        <f>SUMIFS(Cash_Flow_3[Amount],Cash_Flow_3[Bulan],H634,Cash_Flow_3[Type],"Out",Cash_Flow_3[Category],"Alfa")</f>
        <v>0</v>
      </c>
      <c r="N634" s="29">
        <f>SUMIFS(Cash_Flow_3[Amount],Cash_Flow_3[Bulan],H634,Cash_Flow_3[Type],"Out",Cash_Flow_3[Category],"Jajan")</f>
        <v>0</v>
      </c>
      <c r="O634" s="29">
        <f>SUMIFS(Cash_Flow_3[Amount],Cash_Flow_3[Bulan],H634,Cash_Flow_3[Type],"Out",Cash_Flow_3[Category],"Kitchen")</f>
        <v>0</v>
      </c>
      <c r="P634" s="29">
        <f>SUMIFS(Cash_Flow_3[Amount],Cash_Flow_3[Bulan],H634,Cash_Flow_3[Type],"Out",Cash_Flow_3[Category],"Loandry")</f>
        <v>0</v>
      </c>
      <c r="Q634" s="29">
        <f>SUMIFS(Cash_Flow_3[Amount],Cash_Flow_3[Bulan],H634,Cash_Flow_3[Type],"Out",Cash_Flow_3[Category],"Mio")</f>
        <v>0</v>
      </c>
      <c r="R634" s="29">
        <f>SUMIFS(Cash_Flow_3[Amount],Cash_Flow_3[Bulan],H634,Cash_Flow_3[Type],"Out",Cash_Flow_3[Category],"Sedekah")</f>
        <v>0</v>
      </c>
      <c r="S634" s="29">
        <f>SUMIFS(Cash_Flow_3[Amount],Cash_Flow_3[Bulan],H634,Cash_Flow_3[Type],"Out",Cash_Flow_3[Category],"Zela")</f>
        <v>0</v>
      </c>
      <c r="T634" s="29">
        <f>SUMIFS(Cash_Flow_3[Amount],Cash_Flow_3[Bulan],H634,Cash_Flow_3[Type],"Out",Cash_Flow_3[Category],"Iqbal")</f>
        <v>0</v>
      </c>
    </row>
    <row r="635" spans="1:20" ht="22.5" customHeight="1" x14ac:dyDescent="0.2">
      <c r="A635" s="23"/>
      <c r="B635" s="24"/>
      <c r="C635" s="25"/>
      <c r="D635" s="25"/>
      <c r="E635" s="25"/>
      <c r="F635" s="26"/>
      <c r="G635" s="27"/>
      <c r="H635" s="28" t="str">
        <f t="shared" si="0"/>
        <v/>
      </c>
      <c r="I635" s="29">
        <f>SUMIFS(Cash_Flow_3[Amount],Cash_Flow_3[Bulan],H635,Cash_Flow_3[Type],"In")</f>
        <v>0</v>
      </c>
      <c r="J635" s="29">
        <f>SUMIFS(Cash_Flow_3[Amount],Cash_Flow_3[Bulan],H635,Cash_Flow_3[Type],"Out")</f>
        <v>0</v>
      </c>
      <c r="K635" s="29">
        <f>SUMIFS(Cash_Flow_3[Amount],Cash_Flow_3[Bulan],H635,Cash_Flow_3[Type],"Out",Cash_Flow_3[Category],"Fix")</f>
        <v>0</v>
      </c>
      <c r="L635" s="29">
        <f>SUMIFS(Cash_Flow_3[Amount],Cash_Flow_3[Bulan],H635,Cash_Flow_3[Type],"Out",Cash_Flow_3[Category],"Bathroom")</f>
        <v>0</v>
      </c>
      <c r="M635" s="29">
        <f>SUMIFS(Cash_Flow_3[Amount],Cash_Flow_3[Bulan],H635,Cash_Flow_3[Type],"Out",Cash_Flow_3[Category],"Alfa")</f>
        <v>0</v>
      </c>
      <c r="N635" s="29">
        <f>SUMIFS(Cash_Flow_3[Amount],Cash_Flow_3[Bulan],H635,Cash_Flow_3[Type],"Out",Cash_Flow_3[Category],"Jajan")</f>
        <v>0</v>
      </c>
      <c r="O635" s="29">
        <f>SUMIFS(Cash_Flow_3[Amount],Cash_Flow_3[Bulan],H635,Cash_Flow_3[Type],"Out",Cash_Flow_3[Category],"Kitchen")</f>
        <v>0</v>
      </c>
      <c r="P635" s="29">
        <f>SUMIFS(Cash_Flow_3[Amount],Cash_Flow_3[Bulan],H635,Cash_Flow_3[Type],"Out",Cash_Flow_3[Category],"Loandry")</f>
        <v>0</v>
      </c>
      <c r="Q635" s="29">
        <f>SUMIFS(Cash_Flow_3[Amount],Cash_Flow_3[Bulan],H635,Cash_Flow_3[Type],"Out",Cash_Flow_3[Category],"Mio")</f>
        <v>0</v>
      </c>
      <c r="R635" s="29">
        <f>SUMIFS(Cash_Flow_3[Amount],Cash_Flow_3[Bulan],H635,Cash_Flow_3[Type],"Out",Cash_Flow_3[Category],"Sedekah")</f>
        <v>0</v>
      </c>
      <c r="S635" s="29">
        <f>SUMIFS(Cash_Flow_3[Amount],Cash_Flow_3[Bulan],H635,Cash_Flow_3[Type],"Out",Cash_Flow_3[Category],"Zela")</f>
        <v>0</v>
      </c>
      <c r="T635" s="29">
        <f>SUMIFS(Cash_Flow_3[Amount],Cash_Flow_3[Bulan],H635,Cash_Flow_3[Type],"Out",Cash_Flow_3[Category],"Iqbal")</f>
        <v>0</v>
      </c>
    </row>
    <row r="636" spans="1:20" ht="22.5" customHeight="1" x14ac:dyDescent="0.2">
      <c r="A636" s="23"/>
      <c r="B636" s="24"/>
      <c r="C636" s="25"/>
      <c r="D636" s="25"/>
      <c r="E636" s="25"/>
      <c r="F636" s="26"/>
      <c r="G636" s="27"/>
      <c r="H636" s="28" t="str">
        <f t="shared" si="0"/>
        <v/>
      </c>
      <c r="I636" s="29">
        <f>SUMIFS(Cash_Flow_3[Amount],Cash_Flow_3[Bulan],H636,Cash_Flow_3[Type],"In")</f>
        <v>0</v>
      </c>
      <c r="J636" s="29">
        <f>SUMIFS(Cash_Flow_3[Amount],Cash_Flow_3[Bulan],H636,Cash_Flow_3[Type],"Out")</f>
        <v>0</v>
      </c>
      <c r="K636" s="29">
        <f>SUMIFS(Cash_Flow_3[Amount],Cash_Flow_3[Bulan],H636,Cash_Flow_3[Type],"Out",Cash_Flow_3[Category],"Fix")</f>
        <v>0</v>
      </c>
      <c r="L636" s="29">
        <f>SUMIFS(Cash_Flow_3[Amount],Cash_Flow_3[Bulan],H636,Cash_Flow_3[Type],"Out",Cash_Flow_3[Category],"Bathroom")</f>
        <v>0</v>
      </c>
      <c r="M636" s="29">
        <f>SUMIFS(Cash_Flow_3[Amount],Cash_Flow_3[Bulan],H636,Cash_Flow_3[Type],"Out",Cash_Flow_3[Category],"Alfa")</f>
        <v>0</v>
      </c>
      <c r="N636" s="29">
        <f>SUMIFS(Cash_Flow_3[Amount],Cash_Flow_3[Bulan],H636,Cash_Flow_3[Type],"Out",Cash_Flow_3[Category],"Jajan")</f>
        <v>0</v>
      </c>
      <c r="O636" s="29">
        <f>SUMIFS(Cash_Flow_3[Amount],Cash_Flow_3[Bulan],H636,Cash_Flow_3[Type],"Out",Cash_Flow_3[Category],"Kitchen")</f>
        <v>0</v>
      </c>
      <c r="P636" s="29">
        <f>SUMIFS(Cash_Flow_3[Amount],Cash_Flow_3[Bulan],H636,Cash_Flow_3[Type],"Out",Cash_Flow_3[Category],"Loandry")</f>
        <v>0</v>
      </c>
      <c r="Q636" s="29">
        <f>SUMIFS(Cash_Flow_3[Amount],Cash_Flow_3[Bulan],H636,Cash_Flow_3[Type],"Out",Cash_Flow_3[Category],"Mio")</f>
        <v>0</v>
      </c>
      <c r="R636" s="29">
        <f>SUMIFS(Cash_Flow_3[Amount],Cash_Flow_3[Bulan],H636,Cash_Flow_3[Type],"Out",Cash_Flow_3[Category],"Sedekah")</f>
        <v>0</v>
      </c>
      <c r="S636" s="29">
        <f>SUMIFS(Cash_Flow_3[Amount],Cash_Flow_3[Bulan],H636,Cash_Flow_3[Type],"Out",Cash_Flow_3[Category],"Zela")</f>
        <v>0</v>
      </c>
      <c r="T636" s="29">
        <f>SUMIFS(Cash_Flow_3[Amount],Cash_Flow_3[Bulan],H636,Cash_Flow_3[Type],"Out",Cash_Flow_3[Category],"Iqbal")</f>
        <v>0</v>
      </c>
    </row>
    <row r="637" spans="1:20" ht="22.5" customHeight="1" x14ac:dyDescent="0.2">
      <c r="A637" s="23"/>
      <c r="B637" s="24"/>
      <c r="C637" s="25"/>
      <c r="D637" s="25"/>
      <c r="E637" s="25"/>
      <c r="F637" s="26"/>
      <c r="G637" s="27"/>
      <c r="H637" s="28" t="str">
        <f t="shared" si="0"/>
        <v/>
      </c>
      <c r="I637" s="29">
        <f>SUMIFS(Cash_Flow_3[Amount],Cash_Flow_3[Bulan],H637,Cash_Flow_3[Type],"In")</f>
        <v>0</v>
      </c>
      <c r="J637" s="29">
        <f>SUMIFS(Cash_Flow_3[Amount],Cash_Flow_3[Bulan],H637,Cash_Flow_3[Type],"Out")</f>
        <v>0</v>
      </c>
      <c r="K637" s="29">
        <f>SUMIFS(Cash_Flow_3[Amount],Cash_Flow_3[Bulan],H637,Cash_Flow_3[Type],"Out",Cash_Flow_3[Category],"Fix")</f>
        <v>0</v>
      </c>
      <c r="L637" s="29">
        <f>SUMIFS(Cash_Flow_3[Amount],Cash_Flow_3[Bulan],H637,Cash_Flow_3[Type],"Out",Cash_Flow_3[Category],"Bathroom")</f>
        <v>0</v>
      </c>
      <c r="M637" s="29">
        <f>SUMIFS(Cash_Flow_3[Amount],Cash_Flow_3[Bulan],H637,Cash_Flow_3[Type],"Out",Cash_Flow_3[Category],"Alfa")</f>
        <v>0</v>
      </c>
      <c r="N637" s="29">
        <f>SUMIFS(Cash_Flow_3[Amount],Cash_Flow_3[Bulan],H637,Cash_Flow_3[Type],"Out",Cash_Flow_3[Category],"Jajan")</f>
        <v>0</v>
      </c>
      <c r="O637" s="29">
        <f>SUMIFS(Cash_Flow_3[Amount],Cash_Flow_3[Bulan],H637,Cash_Flow_3[Type],"Out",Cash_Flow_3[Category],"Kitchen")</f>
        <v>0</v>
      </c>
      <c r="P637" s="29">
        <f>SUMIFS(Cash_Flow_3[Amount],Cash_Flow_3[Bulan],H637,Cash_Flow_3[Type],"Out",Cash_Flow_3[Category],"Loandry")</f>
        <v>0</v>
      </c>
      <c r="Q637" s="29">
        <f>SUMIFS(Cash_Flow_3[Amount],Cash_Flow_3[Bulan],H637,Cash_Flow_3[Type],"Out",Cash_Flow_3[Category],"Mio")</f>
        <v>0</v>
      </c>
      <c r="R637" s="29">
        <f>SUMIFS(Cash_Flow_3[Amount],Cash_Flow_3[Bulan],H637,Cash_Flow_3[Type],"Out",Cash_Flow_3[Category],"Sedekah")</f>
        <v>0</v>
      </c>
      <c r="S637" s="29">
        <f>SUMIFS(Cash_Flow_3[Amount],Cash_Flow_3[Bulan],H637,Cash_Flow_3[Type],"Out",Cash_Flow_3[Category],"Zela")</f>
        <v>0</v>
      </c>
      <c r="T637" s="29">
        <f>SUMIFS(Cash_Flow_3[Amount],Cash_Flow_3[Bulan],H637,Cash_Flow_3[Type],"Out",Cash_Flow_3[Category],"Iqbal")</f>
        <v>0</v>
      </c>
    </row>
    <row r="638" spans="1:20" ht="22.5" customHeight="1" x14ac:dyDescent="0.2">
      <c r="A638" s="23"/>
      <c r="B638" s="24"/>
      <c r="C638" s="25"/>
      <c r="D638" s="25"/>
      <c r="E638" s="25"/>
      <c r="F638" s="26"/>
      <c r="G638" s="27"/>
      <c r="H638" s="28" t="str">
        <f t="shared" si="0"/>
        <v/>
      </c>
      <c r="I638" s="29">
        <f>SUMIFS(Cash_Flow_3[Amount],Cash_Flow_3[Bulan],H638,Cash_Flow_3[Type],"In")</f>
        <v>0</v>
      </c>
      <c r="J638" s="29">
        <f>SUMIFS(Cash_Flow_3[Amount],Cash_Flow_3[Bulan],H638,Cash_Flow_3[Type],"Out")</f>
        <v>0</v>
      </c>
      <c r="K638" s="29">
        <f>SUMIFS(Cash_Flow_3[Amount],Cash_Flow_3[Bulan],H638,Cash_Flow_3[Type],"Out",Cash_Flow_3[Category],"Fix")</f>
        <v>0</v>
      </c>
      <c r="L638" s="29">
        <f>SUMIFS(Cash_Flow_3[Amount],Cash_Flow_3[Bulan],H638,Cash_Flow_3[Type],"Out",Cash_Flow_3[Category],"Bathroom")</f>
        <v>0</v>
      </c>
      <c r="M638" s="29">
        <f>SUMIFS(Cash_Flow_3[Amount],Cash_Flow_3[Bulan],H638,Cash_Flow_3[Type],"Out",Cash_Flow_3[Category],"Alfa")</f>
        <v>0</v>
      </c>
      <c r="N638" s="29">
        <f>SUMIFS(Cash_Flow_3[Amount],Cash_Flow_3[Bulan],H638,Cash_Flow_3[Type],"Out",Cash_Flow_3[Category],"Jajan")</f>
        <v>0</v>
      </c>
      <c r="O638" s="29">
        <f>SUMIFS(Cash_Flow_3[Amount],Cash_Flow_3[Bulan],H638,Cash_Flow_3[Type],"Out",Cash_Flow_3[Category],"Kitchen")</f>
        <v>0</v>
      </c>
      <c r="P638" s="29">
        <f>SUMIFS(Cash_Flow_3[Amount],Cash_Flow_3[Bulan],H638,Cash_Flow_3[Type],"Out",Cash_Flow_3[Category],"Loandry")</f>
        <v>0</v>
      </c>
      <c r="Q638" s="29">
        <f>SUMIFS(Cash_Flow_3[Amount],Cash_Flow_3[Bulan],H638,Cash_Flow_3[Type],"Out",Cash_Flow_3[Category],"Mio")</f>
        <v>0</v>
      </c>
      <c r="R638" s="29">
        <f>SUMIFS(Cash_Flow_3[Amount],Cash_Flow_3[Bulan],H638,Cash_Flow_3[Type],"Out",Cash_Flow_3[Category],"Sedekah")</f>
        <v>0</v>
      </c>
      <c r="S638" s="29">
        <f>SUMIFS(Cash_Flow_3[Amount],Cash_Flow_3[Bulan],H638,Cash_Flow_3[Type],"Out",Cash_Flow_3[Category],"Zela")</f>
        <v>0</v>
      </c>
      <c r="T638" s="29">
        <f>SUMIFS(Cash_Flow_3[Amount],Cash_Flow_3[Bulan],H638,Cash_Flow_3[Type],"Out",Cash_Flow_3[Category],"Iqbal")</f>
        <v>0</v>
      </c>
    </row>
    <row r="639" spans="1:20" ht="22.5" customHeight="1" x14ac:dyDescent="0.2">
      <c r="A639" s="23"/>
      <c r="B639" s="24"/>
      <c r="C639" s="25"/>
      <c r="D639" s="25"/>
      <c r="E639" s="25"/>
      <c r="F639" s="26"/>
      <c r="G639" s="27"/>
      <c r="H639" s="28" t="str">
        <f t="shared" si="0"/>
        <v/>
      </c>
      <c r="I639" s="29">
        <f>SUMIFS(Cash_Flow_3[Amount],Cash_Flow_3[Bulan],H639,Cash_Flow_3[Type],"In")</f>
        <v>0</v>
      </c>
      <c r="J639" s="29">
        <f>SUMIFS(Cash_Flow_3[Amount],Cash_Flow_3[Bulan],H639,Cash_Flow_3[Type],"Out")</f>
        <v>0</v>
      </c>
      <c r="K639" s="29">
        <f>SUMIFS(Cash_Flow_3[Amount],Cash_Flow_3[Bulan],H639,Cash_Flow_3[Type],"Out",Cash_Flow_3[Category],"Fix")</f>
        <v>0</v>
      </c>
      <c r="L639" s="29">
        <f>SUMIFS(Cash_Flow_3[Amount],Cash_Flow_3[Bulan],H639,Cash_Flow_3[Type],"Out",Cash_Flow_3[Category],"Bathroom")</f>
        <v>0</v>
      </c>
      <c r="M639" s="29">
        <f>SUMIFS(Cash_Flow_3[Amount],Cash_Flow_3[Bulan],H639,Cash_Flow_3[Type],"Out",Cash_Flow_3[Category],"Alfa")</f>
        <v>0</v>
      </c>
      <c r="N639" s="29">
        <f>SUMIFS(Cash_Flow_3[Amount],Cash_Flow_3[Bulan],H639,Cash_Flow_3[Type],"Out",Cash_Flow_3[Category],"Jajan")</f>
        <v>0</v>
      </c>
      <c r="O639" s="29">
        <f>SUMIFS(Cash_Flow_3[Amount],Cash_Flow_3[Bulan],H639,Cash_Flow_3[Type],"Out",Cash_Flow_3[Category],"Kitchen")</f>
        <v>0</v>
      </c>
      <c r="P639" s="29">
        <f>SUMIFS(Cash_Flow_3[Amount],Cash_Flow_3[Bulan],H639,Cash_Flow_3[Type],"Out",Cash_Flow_3[Category],"Loandry")</f>
        <v>0</v>
      </c>
      <c r="Q639" s="29">
        <f>SUMIFS(Cash_Flow_3[Amount],Cash_Flow_3[Bulan],H639,Cash_Flow_3[Type],"Out",Cash_Flow_3[Category],"Mio")</f>
        <v>0</v>
      </c>
      <c r="R639" s="29">
        <f>SUMIFS(Cash_Flow_3[Amount],Cash_Flow_3[Bulan],H639,Cash_Flow_3[Type],"Out",Cash_Flow_3[Category],"Sedekah")</f>
        <v>0</v>
      </c>
      <c r="S639" s="29">
        <f>SUMIFS(Cash_Flow_3[Amount],Cash_Flow_3[Bulan],H639,Cash_Flow_3[Type],"Out",Cash_Flow_3[Category],"Zela")</f>
        <v>0</v>
      </c>
      <c r="T639" s="29">
        <f>SUMIFS(Cash_Flow_3[Amount],Cash_Flow_3[Bulan],H639,Cash_Flow_3[Type],"Out",Cash_Flow_3[Category],"Iqbal")</f>
        <v>0</v>
      </c>
    </row>
    <row r="640" spans="1:20" ht="22.5" customHeight="1" x14ac:dyDescent="0.2">
      <c r="A640" s="23"/>
      <c r="B640" s="24"/>
      <c r="C640" s="25"/>
      <c r="D640" s="25"/>
      <c r="E640" s="25"/>
      <c r="F640" s="26"/>
      <c r="G640" s="27"/>
      <c r="H640" s="28" t="str">
        <f t="shared" si="0"/>
        <v/>
      </c>
      <c r="I640" s="29">
        <f>SUMIFS(Cash_Flow_3[Amount],Cash_Flow_3[Bulan],H640,Cash_Flow_3[Type],"In")</f>
        <v>0</v>
      </c>
      <c r="J640" s="29">
        <f>SUMIFS(Cash_Flow_3[Amount],Cash_Flow_3[Bulan],H640,Cash_Flow_3[Type],"Out")</f>
        <v>0</v>
      </c>
      <c r="K640" s="29">
        <f>SUMIFS(Cash_Flow_3[Amount],Cash_Flow_3[Bulan],H640,Cash_Flow_3[Type],"Out",Cash_Flow_3[Category],"Fix")</f>
        <v>0</v>
      </c>
      <c r="L640" s="29">
        <f>SUMIFS(Cash_Flow_3[Amount],Cash_Flow_3[Bulan],H640,Cash_Flow_3[Type],"Out",Cash_Flow_3[Category],"Bathroom")</f>
        <v>0</v>
      </c>
      <c r="M640" s="29">
        <f>SUMIFS(Cash_Flow_3[Amount],Cash_Flow_3[Bulan],H640,Cash_Flow_3[Type],"Out",Cash_Flow_3[Category],"Alfa")</f>
        <v>0</v>
      </c>
      <c r="N640" s="29">
        <f>SUMIFS(Cash_Flow_3[Amount],Cash_Flow_3[Bulan],H640,Cash_Flow_3[Type],"Out",Cash_Flow_3[Category],"Jajan")</f>
        <v>0</v>
      </c>
      <c r="O640" s="29">
        <f>SUMIFS(Cash_Flow_3[Amount],Cash_Flow_3[Bulan],H640,Cash_Flow_3[Type],"Out",Cash_Flow_3[Category],"Kitchen")</f>
        <v>0</v>
      </c>
      <c r="P640" s="29">
        <f>SUMIFS(Cash_Flow_3[Amount],Cash_Flow_3[Bulan],H640,Cash_Flow_3[Type],"Out",Cash_Flow_3[Category],"Loandry")</f>
        <v>0</v>
      </c>
      <c r="Q640" s="29">
        <f>SUMIFS(Cash_Flow_3[Amount],Cash_Flow_3[Bulan],H640,Cash_Flow_3[Type],"Out",Cash_Flow_3[Category],"Mio")</f>
        <v>0</v>
      </c>
      <c r="R640" s="29">
        <f>SUMIFS(Cash_Flow_3[Amount],Cash_Flow_3[Bulan],H640,Cash_Flow_3[Type],"Out",Cash_Flow_3[Category],"Sedekah")</f>
        <v>0</v>
      </c>
      <c r="S640" s="29">
        <f>SUMIFS(Cash_Flow_3[Amount],Cash_Flow_3[Bulan],H640,Cash_Flow_3[Type],"Out",Cash_Flow_3[Category],"Zela")</f>
        <v>0</v>
      </c>
      <c r="T640" s="29">
        <f>SUMIFS(Cash_Flow_3[Amount],Cash_Flow_3[Bulan],H640,Cash_Flow_3[Type],"Out",Cash_Flow_3[Category],"Iqbal")</f>
        <v>0</v>
      </c>
    </row>
    <row r="641" spans="1:20" ht="22.5" customHeight="1" x14ac:dyDescent="0.2">
      <c r="A641" s="23"/>
      <c r="B641" s="24"/>
      <c r="C641" s="25"/>
      <c r="D641" s="25"/>
      <c r="E641" s="25"/>
      <c r="F641" s="26"/>
      <c r="G641" s="27"/>
      <c r="H641" s="28" t="str">
        <f t="shared" si="0"/>
        <v/>
      </c>
      <c r="I641" s="29">
        <f>SUMIFS(Cash_Flow_3[Amount],Cash_Flow_3[Bulan],H641,Cash_Flow_3[Type],"In")</f>
        <v>0</v>
      </c>
      <c r="J641" s="29">
        <f>SUMIFS(Cash_Flow_3[Amount],Cash_Flow_3[Bulan],H641,Cash_Flow_3[Type],"Out")</f>
        <v>0</v>
      </c>
      <c r="K641" s="29">
        <f>SUMIFS(Cash_Flow_3[Amount],Cash_Flow_3[Bulan],H641,Cash_Flow_3[Type],"Out",Cash_Flow_3[Category],"Fix")</f>
        <v>0</v>
      </c>
      <c r="L641" s="29">
        <f>SUMIFS(Cash_Flow_3[Amount],Cash_Flow_3[Bulan],H641,Cash_Flow_3[Type],"Out",Cash_Flow_3[Category],"Bathroom")</f>
        <v>0</v>
      </c>
      <c r="M641" s="29">
        <f>SUMIFS(Cash_Flow_3[Amount],Cash_Flow_3[Bulan],H641,Cash_Flow_3[Type],"Out",Cash_Flow_3[Category],"Alfa")</f>
        <v>0</v>
      </c>
      <c r="N641" s="29">
        <f>SUMIFS(Cash_Flow_3[Amount],Cash_Flow_3[Bulan],H641,Cash_Flow_3[Type],"Out",Cash_Flow_3[Category],"Jajan")</f>
        <v>0</v>
      </c>
      <c r="O641" s="29">
        <f>SUMIFS(Cash_Flow_3[Amount],Cash_Flow_3[Bulan],H641,Cash_Flow_3[Type],"Out",Cash_Flow_3[Category],"Kitchen")</f>
        <v>0</v>
      </c>
      <c r="P641" s="29">
        <f>SUMIFS(Cash_Flow_3[Amount],Cash_Flow_3[Bulan],H641,Cash_Flow_3[Type],"Out",Cash_Flow_3[Category],"Loandry")</f>
        <v>0</v>
      </c>
      <c r="Q641" s="29">
        <f>SUMIFS(Cash_Flow_3[Amount],Cash_Flow_3[Bulan],H641,Cash_Flow_3[Type],"Out",Cash_Flow_3[Category],"Mio")</f>
        <v>0</v>
      </c>
      <c r="R641" s="29">
        <f>SUMIFS(Cash_Flow_3[Amount],Cash_Flow_3[Bulan],H641,Cash_Flow_3[Type],"Out",Cash_Flow_3[Category],"Sedekah")</f>
        <v>0</v>
      </c>
      <c r="S641" s="29">
        <f>SUMIFS(Cash_Flow_3[Amount],Cash_Flow_3[Bulan],H641,Cash_Flow_3[Type],"Out",Cash_Flow_3[Category],"Zela")</f>
        <v>0</v>
      </c>
      <c r="T641" s="29">
        <f>SUMIFS(Cash_Flow_3[Amount],Cash_Flow_3[Bulan],H641,Cash_Flow_3[Type],"Out",Cash_Flow_3[Category],"Iqbal")</f>
        <v>0</v>
      </c>
    </row>
    <row r="642" spans="1:20" ht="22.5" customHeight="1" x14ac:dyDescent="0.2">
      <c r="A642" s="23"/>
      <c r="B642" s="24"/>
      <c r="C642" s="25"/>
      <c r="D642" s="25"/>
      <c r="E642" s="25"/>
      <c r="F642" s="26"/>
      <c r="G642" s="27"/>
      <c r="H642" s="28" t="str">
        <f t="shared" si="0"/>
        <v/>
      </c>
      <c r="I642" s="29">
        <f>SUMIFS(Cash_Flow_3[Amount],Cash_Flow_3[Bulan],H642,Cash_Flow_3[Type],"In")</f>
        <v>0</v>
      </c>
      <c r="J642" s="29">
        <f>SUMIFS(Cash_Flow_3[Amount],Cash_Flow_3[Bulan],H642,Cash_Flow_3[Type],"Out")</f>
        <v>0</v>
      </c>
      <c r="K642" s="29">
        <f>SUMIFS(Cash_Flow_3[Amount],Cash_Flow_3[Bulan],H642,Cash_Flow_3[Type],"Out",Cash_Flow_3[Category],"Fix")</f>
        <v>0</v>
      </c>
      <c r="L642" s="29">
        <f>SUMIFS(Cash_Flow_3[Amount],Cash_Flow_3[Bulan],H642,Cash_Flow_3[Type],"Out",Cash_Flow_3[Category],"Bathroom")</f>
        <v>0</v>
      </c>
      <c r="M642" s="29">
        <f>SUMIFS(Cash_Flow_3[Amount],Cash_Flow_3[Bulan],H642,Cash_Flow_3[Type],"Out",Cash_Flow_3[Category],"Alfa")</f>
        <v>0</v>
      </c>
      <c r="N642" s="29">
        <f>SUMIFS(Cash_Flow_3[Amount],Cash_Flow_3[Bulan],H642,Cash_Flow_3[Type],"Out",Cash_Flow_3[Category],"Jajan")</f>
        <v>0</v>
      </c>
      <c r="O642" s="29">
        <f>SUMIFS(Cash_Flow_3[Amount],Cash_Flow_3[Bulan],H642,Cash_Flow_3[Type],"Out",Cash_Flow_3[Category],"Kitchen")</f>
        <v>0</v>
      </c>
      <c r="P642" s="29">
        <f>SUMIFS(Cash_Flow_3[Amount],Cash_Flow_3[Bulan],H642,Cash_Flow_3[Type],"Out",Cash_Flow_3[Category],"Loandry")</f>
        <v>0</v>
      </c>
      <c r="Q642" s="29">
        <f>SUMIFS(Cash_Flow_3[Amount],Cash_Flow_3[Bulan],H642,Cash_Flow_3[Type],"Out",Cash_Flow_3[Category],"Mio")</f>
        <v>0</v>
      </c>
      <c r="R642" s="29">
        <f>SUMIFS(Cash_Flow_3[Amount],Cash_Flow_3[Bulan],H642,Cash_Flow_3[Type],"Out",Cash_Flow_3[Category],"Sedekah")</f>
        <v>0</v>
      </c>
      <c r="S642" s="29">
        <f>SUMIFS(Cash_Flow_3[Amount],Cash_Flow_3[Bulan],H642,Cash_Flow_3[Type],"Out",Cash_Flow_3[Category],"Zela")</f>
        <v>0</v>
      </c>
      <c r="T642" s="29">
        <f>SUMIFS(Cash_Flow_3[Amount],Cash_Flow_3[Bulan],H642,Cash_Flow_3[Type],"Out",Cash_Flow_3[Category],"Iqbal")</f>
        <v>0</v>
      </c>
    </row>
    <row r="643" spans="1:20" ht="22.5" customHeight="1" x14ac:dyDescent="0.2">
      <c r="A643" s="23"/>
      <c r="B643" s="24"/>
      <c r="C643" s="25"/>
      <c r="D643" s="25"/>
      <c r="E643" s="25"/>
      <c r="F643" s="26"/>
      <c r="G643" s="27"/>
      <c r="H643" s="28" t="str">
        <f t="shared" si="0"/>
        <v/>
      </c>
      <c r="I643" s="29">
        <f>SUMIFS(Cash_Flow_3[Amount],Cash_Flow_3[Bulan],H643,Cash_Flow_3[Type],"In")</f>
        <v>0</v>
      </c>
      <c r="J643" s="29">
        <f>SUMIFS(Cash_Flow_3[Amount],Cash_Flow_3[Bulan],H643,Cash_Flow_3[Type],"Out")</f>
        <v>0</v>
      </c>
      <c r="K643" s="29">
        <f>SUMIFS(Cash_Flow_3[Amount],Cash_Flow_3[Bulan],H643,Cash_Flow_3[Type],"Out",Cash_Flow_3[Category],"Fix")</f>
        <v>0</v>
      </c>
      <c r="L643" s="29">
        <f>SUMIFS(Cash_Flow_3[Amount],Cash_Flow_3[Bulan],H643,Cash_Flow_3[Type],"Out",Cash_Flow_3[Category],"Bathroom")</f>
        <v>0</v>
      </c>
      <c r="M643" s="29">
        <f>SUMIFS(Cash_Flow_3[Amount],Cash_Flow_3[Bulan],H643,Cash_Flow_3[Type],"Out",Cash_Flow_3[Category],"Alfa")</f>
        <v>0</v>
      </c>
      <c r="N643" s="29">
        <f>SUMIFS(Cash_Flow_3[Amount],Cash_Flow_3[Bulan],H643,Cash_Flow_3[Type],"Out",Cash_Flow_3[Category],"Jajan")</f>
        <v>0</v>
      </c>
      <c r="O643" s="29">
        <f>SUMIFS(Cash_Flow_3[Amount],Cash_Flow_3[Bulan],H643,Cash_Flow_3[Type],"Out",Cash_Flow_3[Category],"Kitchen")</f>
        <v>0</v>
      </c>
      <c r="P643" s="29">
        <f>SUMIFS(Cash_Flow_3[Amount],Cash_Flow_3[Bulan],H643,Cash_Flow_3[Type],"Out",Cash_Flow_3[Category],"Loandry")</f>
        <v>0</v>
      </c>
      <c r="Q643" s="29">
        <f>SUMIFS(Cash_Flow_3[Amount],Cash_Flow_3[Bulan],H643,Cash_Flow_3[Type],"Out",Cash_Flow_3[Category],"Mio")</f>
        <v>0</v>
      </c>
      <c r="R643" s="29">
        <f>SUMIFS(Cash_Flow_3[Amount],Cash_Flow_3[Bulan],H643,Cash_Flow_3[Type],"Out",Cash_Flow_3[Category],"Sedekah")</f>
        <v>0</v>
      </c>
      <c r="S643" s="29">
        <f>SUMIFS(Cash_Flow_3[Amount],Cash_Flow_3[Bulan],H643,Cash_Flow_3[Type],"Out",Cash_Flow_3[Category],"Zela")</f>
        <v>0</v>
      </c>
      <c r="T643" s="29">
        <f>SUMIFS(Cash_Flow_3[Amount],Cash_Flow_3[Bulan],H643,Cash_Flow_3[Type],"Out",Cash_Flow_3[Category],"Iqbal")</f>
        <v>0</v>
      </c>
    </row>
    <row r="644" spans="1:20" ht="22.5" customHeight="1" x14ac:dyDescent="0.2">
      <c r="A644" s="23"/>
      <c r="B644" s="24"/>
      <c r="C644" s="25"/>
      <c r="D644" s="25"/>
      <c r="E644" s="25"/>
      <c r="F644" s="26"/>
      <c r="G644" s="27"/>
      <c r="H644" s="28" t="str">
        <f t="shared" si="0"/>
        <v/>
      </c>
      <c r="I644" s="29">
        <f>SUMIFS(Cash_Flow_3[Amount],Cash_Flow_3[Bulan],H644,Cash_Flow_3[Type],"In")</f>
        <v>0</v>
      </c>
      <c r="J644" s="29">
        <f>SUMIFS(Cash_Flow_3[Amount],Cash_Flow_3[Bulan],H644,Cash_Flow_3[Type],"Out")</f>
        <v>0</v>
      </c>
      <c r="K644" s="29">
        <f>SUMIFS(Cash_Flow_3[Amount],Cash_Flow_3[Bulan],H644,Cash_Flow_3[Type],"Out",Cash_Flow_3[Category],"Fix")</f>
        <v>0</v>
      </c>
      <c r="L644" s="29">
        <f>SUMIFS(Cash_Flow_3[Amount],Cash_Flow_3[Bulan],H644,Cash_Flow_3[Type],"Out",Cash_Flow_3[Category],"Bathroom")</f>
        <v>0</v>
      </c>
      <c r="M644" s="29">
        <f>SUMIFS(Cash_Flow_3[Amount],Cash_Flow_3[Bulan],H644,Cash_Flow_3[Type],"Out",Cash_Flow_3[Category],"Alfa")</f>
        <v>0</v>
      </c>
      <c r="N644" s="29">
        <f>SUMIFS(Cash_Flow_3[Amount],Cash_Flow_3[Bulan],H644,Cash_Flow_3[Type],"Out",Cash_Flow_3[Category],"Jajan")</f>
        <v>0</v>
      </c>
      <c r="O644" s="29">
        <f>SUMIFS(Cash_Flow_3[Amount],Cash_Flow_3[Bulan],H644,Cash_Flow_3[Type],"Out",Cash_Flow_3[Category],"Kitchen")</f>
        <v>0</v>
      </c>
      <c r="P644" s="29">
        <f>SUMIFS(Cash_Flow_3[Amount],Cash_Flow_3[Bulan],H644,Cash_Flow_3[Type],"Out",Cash_Flow_3[Category],"Loandry")</f>
        <v>0</v>
      </c>
      <c r="Q644" s="29">
        <f>SUMIFS(Cash_Flow_3[Amount],Cash_Flow_3[Bulan],H644,Cash_Flow_3[Type],"Out",Cash_Flow_3[Category],"Mio")</f>
        <v>0</v>
      </c>
      <c r="R644" s="29">
        <f>SUMIFS(Cash_Flow_3[Amount],Cash_Flow_3[Bulan],H644,Cash_Flow_3[Type],"Out",Cash_Flow_3[Category],"Sedekah")</f>
        <v>0</v>
      </c>
      <c r="S644" s="29">
        <f>SUMIFS(Cash_Flow_3[Amount],Cash_Flow_3[Bulan],H644,Cash_Flow_3[Type],"Out",Cash_Flow_3[Category],"Zela")</f>
        <v>0</v>
      </c>
      <c r="T644" s="29">
        <f>SUMIFS(Cash_Flow_3[Amount],Cash_Flow_3[Bulan],H644,Cash_Flow_3[Type],"Out",Cash_Flow_3[Category],"Iqbal")</f>
        <v>0</v>
      </c>
    </row>
    <row r="645" spans="1:20" ht="22.5" customHeight="1" x14ac:dyDescent="0.2">
      <c r="A645" s="23"/>
      <c r="B645" s="24"/>
      <c r="C645" s="25"/>
      <c r="D645" s="25"/>
      <c r="E645" s="25"/>
      <c r="F645" s="26"/>
      <c r="G645" s="27"/>
      <c r="H645" s="28" t="str">
        <f t="shared" si="0"/>
        <v/>
      </c>
      <c r="I645" s="29">
        <f>SUMIFS(Cash_Flow_3[Amount],Cash_Flow_3[Bulan],H645,Cash_Flow_3[Type],"In")</f>
        <v>0</v>
      </c>
      <c r="J645" s="29">
        <f>SUMIFS(Cash_Flow_3[Amount],Cash_Flow_3[Bulan],H645,Cash_Flow_3[Type],"Out")</f>
        <v>0</v>
      </c>
      <c r="K645" s="29">
        <f>SUMIFS(Cash_Flow_3[Amount],Cash_Flow_3[Bulan],H645,Cash_Flow_3[Type],"Out",Cash_Flow_3[Category],"Fix")</f>
        <v>0</v>
      </c>
      <c r="L645" s="29">
        <f>SUMIFS(Cash_Flow_3[Amount],Cash_Flow_3[Bulan],H645,Cash_Flow_3[Type],"Out",Cash_Flow_3[Category],"Bathroom")</f>
        <v>0</v>
      </c>
      <c r="M645" s="29">
        <f>SUMIFS(Cash_Flow_3[Amount],Cash_Flow_3[Bulan],H645,Cash_Flow_3[Type],"Out",Cash_Flow_3[Category],"Alfa")</f>
        <v>0</v>
      </c>
      <c r="N645" s="29">
        <f>SUMIFS(Cash_Flow_3[Amount],Cash_Flow_3[Bulan],H645,Cash_Flow_3[Type],"Out",Cash_Flow_3[Category],"Jajan")</f>
        <v>0</v>
      </c>
      <c r="O645" s="29">
        <f>SUMIFS(Cash_Flow_3[Amount],Cash_Flow_3[Bulan],H645,Cash_Flow_3[Type],"Out",Cash_Flow_3[Category],"Kitchen")</f>
        <v>0</v>
      </c>
      <c r="P645" s="29">
        <f>SUMIFS(Cash_Flow_3[Amount],Cash_Flow_3[Bulan],H645,Cash_Flow_3[Type],"Out",Cash_Flow_3[Category],"Loandry")</f>
        <v>0</v>
      </c>
      <c r="Q645" s="29">
        <f>SUMIFS(Cash_Flow_3[Amount],Cash_Flow_3[Bulan],H645,Cash_Flow_3[Type],"Out",Cash_Flow_3[Category],"Mio")</f>
        <v>0</v>
      </c>
      <c r="R645" s="29">
        <f>SUMIFS(Cash_Flow_3[Amount],Cash_Flow_3[Bulan],H645,Cash_Flow_3[Type],"Out",Cash_Flow_3[Category],"Sedekah")</f>
        <v>0</v>
      </c>
      <c r="S645" s="29">
        <f>SUMIFS(Cash_Flow_3[Amount],Cash_Flow_3[Bulan],H645,Cash_Flow_3[Type],"Out",Cash_Flow_3[Category],"Zela")</f>
        <v>0</v>
      </c>
      <c r="T645" s="29">
        <f>SUMIFS(Cash_Flow_3[Amount],Cash_Flow_3[Bulan],H645,Cash_Flow_3[Type],"Out",Cash_Flow_3[Category],"Iqbal")</f>
        <v>0</v>
      </c>
    </row>
    <row r="646" spans="1:20" ht="22.5" customHeight="1" x14ac:dyDescent="0.2">
      <c r="A646" s="23"/>
      <c r="B646" s="24"/>
      <c r="C646" s="25"/>
      <c r="D646" s="25"/>
      <c r="E646" s="25"/>
      <c r="F646" s="26"/>
      <c r="G646" s="27"/>
      <c r="H646" s="28" t="str">
        <f t="shared" si="0"/>
        <v/>
      </c>
      <c r="I646" s="29">
        <f>SUMIFS(Cash_Flow_3[Amount],Cash_Flow_3[Bulan],H646,Cash_Flow_3[Type],"In")</f>
        <v>0</v>
      </c>
      <c r="J646" s="29">
        <f>SUMIFS(Cash_Flow_3[Amount],Cash_Flow_3[Bulan],H646,Cash_Flow_3[Type],"Out")</f>
        <v>0</v>
      </c>
      <c r="K646" s="29">
        <f>SUMIFS(Cash_Flow_3[Amount],Cash_Flow_3[Bulan],H646,Cash_Flow_3[Type],"Out",Cash_Flow_3[Category],"Fix")</f>
        <v>0</v>
      </c>
      <c r="L646" s="29">
        <f>SUMIFS(Cash_Flow_3[Amount],Cash_Flow_3[Bulan],H646,Cash_Flow_3[Type],"Out",Cash_Flow_3[Category],"Bathroom")</f>
        <v>0</v>
      </c>
      <c r="M646" s="29">
        <f>SUMIFS(Cash_Flow_3[Amount],Cash_Flow_3[Bulan],H646,Cash_Flow_3[Type],"Out",Cash_Flow_3[Category],"Alfa")</f>
        <v>0</v>
      </c>
      <c r="N646" s="29">
        <f>SUMIFS(Cash_Flow_3[Amount],Cash_Flow_3[Bulan],H646,Cash_Flow_3[Type],"Out",Cash_Flow_3[Category],"Jajan")</f>
        <v>0</v>
      </c>
      <c r="O646" s="29">
        <f>SUMIFS(Cash_Flow_3[Amount],Cash_Flow_3[Bulan],H646,Cash_Flow_3[Type],"Out",Cash_Flow_3[Category],"Kitchen")</f>
        <v>0</v>
      </c>
      <c r="P646" s="29">
        <f>SUMIFS(Cash_Flow_3[Amount],Cash_Flow_3[Bulan],H646,Cash_Flow_3[Type],"Out",Cash_Flow_3[Category],"Loandry")</f>
        <v>0</v>
      </c>
      <c r="Q646" s="29">
        <f>SUMIFS(Cash_Flow_3[Amount],Cash_Flow_3[Bulan],H646,Cash_Flow_3[Type],"Out",Cash_Flow_3[Category],"Mio")</f>
        <v>0</v>
      </c>
      <c r="R646" s="29">
        <f>SUMIFS(Cash_Flow_3[Amount],Cash_Flow_3[Bulan],H646,Cash_Flow_3[Type],"Out",Cash_Flow_3[Category],"Sedekah")</f>
        <v>0</v>
      </c>
      <c r="S646" s="29">
        <f>SUMIFS(Cash_Flow_3[Amount],Cash_Flow_3[Bulan],H646,Cash_Flow_3[Type],"Out",Cash_Flow_3[Category],"Zela")</f>
        <v>0</v>
      </c>
      <c r="T646" s="29">
        <f>SUMIFS(Cash_Flow_3[Amount],Cash_Flow_3[Bulan],H646,Cash_Flow_3[Type],"Out",Cash_Flow_3[Category],"Iqbal")</f>
        <v>0</v>
      </c>
    </row>
    <row r="647" spans="1:20" ht="22.5" customHeight="1" x14ac:dyDescent="0.2">
      <c r="A647" s="23"/>
      <c r="B647" s="24"/>
      <c r="C647" s="25"/>
      <c r="D647" s="25"/>
      <c r="E647" s="25"/>
      <c r="F647" s="26"/>
      <c r="G647" s="27"/>
      <c r="H647" s="28" t="str">
        <f t="shared" si="0"/>
        <v/>
      </c>
      <c r="I647" s="29">
        <f>SUMIFS(Cash_Flow_3[Amount],Cash_Flow_3[Bulan],H647,Cash_Flow_3[Type],"In")</f>
        <v>0</v>
      </c>
      <c r="J647" s="29">
        <f>SUMIFS(Cash_Flow_3[Amount],Cash_Flow_3[Bulan],H647,Cash_Flow_3[Type],"Out")</f>
        <v>0</v>
      </c>
      <c r="K647" s="29">
        <f>SUMIFS(Cash_Flow_3[Amount],Cash_Flow_3[Bulan],H647,Cash_Flow_3[Type],"Out",Cash_Flow_3[Category],"Fix")</f>
        <v>0</v>
      </c>
      <c r="L647" s="29">
        <f>SUMIFS(Cash_Flow_3[Amount],Cash_Flow_3[Bulan],H647,Cash_Flow_3[Type],"Out",Cash_Flow_3[Category],"Bathroom")</f>
        <v>0</v>
      </c>
      <c r="M647" s="29">
        <f>SUMIFS(Cash_Flow_3[Amount],Cash_Flow_3[Bulan],H647,Cash_Flow_3[Type],"Out",Cash_Flow_3[Category],"Alfa")</f>
        <v>0</v>
      </c>
      <c r="N647" s="29">
        <f>SUMIFS(Cash_Flow_3[Amount],Cash_Flow_3[Bulan],H647,Cash_Flow_3[Type],"Out",Cash_Flow_3[Category],"Jajan")</f>
        <v>0</v>
      </c>
      <c r="O647" s="29">
        <f>SUMIFS(Cash_Flow_3[Amount],Cash_Flow_3[Bulan],H647,Cash_Flow_3[Type],"Out",Cash_Flow_3[Category],"Kitchen")</f>
        <v>0</v>
      </c>
      <c r="P647" s="29">
        <f>SUMIFS(Cash_Flow_3[Amount],Cash_Flow_3[Bulan],H647,Cash_Flow_3[Type],"Out",Cash_Flow_3[Category],"Loandry")</f>
        <v>0</v>
      </c>
      <c r="Q647" s="29">
        <f>SUMIFS(Cash_Flow_3[Amount],Cash_Flow_3[Bulan],H647,Cash_Flow_3[Type],"Out",Cash_Flow_3[Category],"Mio")</f>
        <v>0</v>
      </c>
      <c r="R647" s="29">
        <f>SUMIFS(Cash_Flow_3[Amount],Cash_Flow_3[Bulan],H647,Cash_Flow_3[Type],"Out",Cash_Flow_3[Category],"Sedekah")</f>
        <v>0</v>
      </c>
      <c r="S647" s="29">
        <f>SUMIFS(Cash_Flow_3[Amount],Cash_Flow_3[Bulan],H647,Cash_Flow_3[Type],"Out",Cash_Flow_3[Category],"Zela")</f>
        <v>0</v>
      </c>
      <c r="T647" s="29">
        <f>SUMIFS(Cash_Flow_3[Amount],Cash_Flow_3[Bulan],H647,Cash_Flow_3[Type],"Out",Cash_Flow_3[Category],"Iqbal")</f>
        <v>0</v>
      </c>
    </row>
    <row r="648" spans="1:20" ht="22.5" customHeight="1" x14ac:dyDescent="0.2">
      <c r="A648" s="23"/>
      <c r="B648" s="24"/>
      <c r="C648" s="25"/>
      <c r="D648" s="25"/>
      <c r="E648" s="25"/>
      <c r="F648" s="26"/>
      <c r="G648" s="27"/>
      <c r="H648" s="28" t="str">
        <f t="shared" si="0"/>
        <v/>
      </c>
      <c r="I648" s="29">
        <f>SUMIFS(Cash_Flow_3[Amount],Cash_Flow_3[Bulan],H648,Cash_Flow_3[Type],"In")</f>
        <v>0</v>
      </c>
      <c r="J648" s="29">
        <f>SUMIFS(Cash_Flow_3[Amount],Cash_Flow_3[Bulan],H648,Cash_Flow_3[Type],"Out")</f>
        <v>0</v>
      </c>
      <c r="K648" s="29">
        <f>SUMIFS(Cash_Flow_3[Amount],Cash_Flow_3[Bulan],H648,Cash_Flow_3[Type],"Out",Cash_Flow_3[Category],"Fix")</f>
        <v>0</v>
      </c>
      <c r="L648" s="29">
        <f>SUMIFS(Cash_Flow_3[Amount],Cash_Flow_3[Bulan],H648,Cash_Flow_3[Type],"Out",Cash_Flow_3[Category],"Bathroom")</f>
        <v>0</v>
      </c>
      <c r="M648" s="29">
        <f>SUMIFS(Cash_Flow_3[Amount],Cash_Flow_3[Bulan],H648,Cash_Flow_3[Type],"Out",Cash_Flow_3[Category],"Alfa")</f>
        <v>0</v>
      </c>
      <c r="N648" s="29">
        <f>SUMIFS(Cash_Flow_3[Amount],Cash_Flow_3[Bulan],H648,Cash_Flow_3[Type],"Out",Cash_Flow_3[Category],"Jajan")</f>
        <v>0</v>
      </c>
      <c r="O648" s="29">
        <f>SUMIFS(Cash_Flow_3[Amount],Cash_Flow_3[Bulan],H648,Cash_Flow_3[Type],"Out",Cash_Flow_3[Category],"Kitchen")</f>
        <v>0</v>
      </c>
      <c r="P648" s="29">
        <f>SUMIFS(Cash_Flow_3[Amount],Cash_Flow_3[Bulan],H648,Cash_Flow_3[Type],"Out",Cash_Flow_3[Category],"Loandry")</f>
        <v>0</v>
      </c>
      <c r="Q648" s="29">
        <f>SUMIFS(Cash_Flow_3[Amount],Cash_Flow_3[Bulan],H648,Cash_Flow_3[Type],"Out",Cash_Flow_3[Category],"Mio")</f>
        <v>0</v>
      </c>
      <c r="R648" s="29">
        <f>SUMIFS(Cash_Flow_3[Amount],Cash_Flow_3[Bulan],H648,Cash_Flow_3[Type],"Out",Cash_Flow_3[Category],"Sedekah")</f>
        <v>0</v>
      </c>
      <c r="S648" s="29">
        <f>SUMIFS(Cash_Flow_3[Amount],Cash_Flow_3[Bulan],H648,Cash_Flow_3[Type],"Out",Cash_Flow_3[Category],"Zela")</f>
        <v>0</v>
      </c>
      <c r="T648" s="29">
        <f>SUMIFS(Cash_Flow_3[Amount],Cash_Flow_3[Bulan],H648,Cash_Flow_3[Type],"Out",Cash_Flow_3[Category],"Iqbal")</f>
        <v>0</v>
      </c>
    </row>
    <row r="649" spans="1:20" ht="22.5" customHeight="1" x14ac:dyDescent="0.2">
      <c r="A649" s="23"/>
      <c r="B649" s="24"/>
      <c r="C649" s="25"/>
      <c r="D649" s="25"/>
      <c r="E649" s="25"/>
      <c r="F649" s="26"/>
      <c r="G649" s="27"/>
      <c r="H649" s="28" t="str">
        <f t="shared" si="0"/>
        <v/>
      </c>
      <c r="I649" s="29">
        <f>SUMIFS(Cash_Flow_3[Amount],Cash_Flow_3[Bulan],H649,Cash_Flow_3[Type],"In")</f>
        <v>0</v>
      </c>
      <c r="J649" s="29">
        <f>SUMIFS(Cash_Flow_3[Amount],Cash_Flow_3[Bulan],H649,Cash_Flow_3[Type],"Out")</f>
        <v>0</v>
      </c>
      <c r="K649" s="29">
        <f>SUMIFS(Cash_Flow_3[Amount],Cash_Flow_3[Bulan],H649,Cash_Flow_3[Type],"Out",Cash_Flow_3[Category],"Fix")</f>
        <v>0</v>
      </c>
      <c r="L649" s="29">
        <f>SUMIFS(Cash_Flow_3[Amount],Cash_Flow_3[Bulan],H649,Cash_Flow_3[Type],"Out",Cash_Flow_3[Category],"Bathroom")</f>
        <v>0</v>
      </c>
      <c r="M649" s="29">
        <f>SUMIFS(Cash_Flow_3[Amount],Cash_Flow_3[Bulan],H649,Cash_Flow_3[Type],"Out",Cash_Flow_3[Category],"Alfa")</f>
        <v>0</v>
      </c>
      <c r="N649" s="29">
        <f>SUMIFS(Cash_Flow_3[Amount],Cash_Flow_3[Bulan],H649,Cash_Flow_3[Type],"Out",Cash_Flow_3[Category],"Jajan")</f>
        <v>0</v>
      </c>
      <c r="O649" s="29">
        <f>SUMIFS(Cash_Flow_3[Amount],Cash_Flow_3[Bulan],H649,Cash_Flow_3[Type],"Out",Cash_Flow_3[Category],"Kitchen")</f>
        <v>0</v>
      </c>
      <c r="P649" s="29">
        <f>SUMIFS(Cash_Flow_3[Amount],Cash_Flow_3[Bulan],H649,Cash_Flow_3[Type],"Out",Cash_Flow_3[Category],"Loandry")</f>
        <v>0</v>
      </c>
      <c r="Q649" s="29">
        <f>SUMIFS(Cash_Flow_3[Amount],Cash_Flow_3[Bulan],H649,Cash_Flow_3[Type],"Out",Cash_Flow_3[Category],"Mio")</f>
        <v>0</v>
      </c>
      <c r="R649" s="29">
        <f>SUMIFS(Cash_Flow_3[Amount],Cash_Flow_3[Bulan],H649,Cash_Flow_3[Type],"Out",Cash_Flow_3[Category],"Sedekah")</f>
        <v>0</v>
      </c>
      <c r="S649" s="29">
        <f>SUMIFS(Cash_Flow_3[Amount],Cash_Flow_3[Bulan],H649,Cash_Flow_3[Type],"Out",Cash_Flow_3[Category],"Zela")</f>
        <v>0</v>
      </c>
      <c r="T649" s="29">
        <f>SUMIFS(Cash_Flow_3[Amount],Cash_Flow_3[Bulan],H649,Cash_Flow_3[Type],"Out",Cash_Flow_3[Category],"Iqbal")</f>
        <v>0</v>
      </c>
    </row>
    <row r="650" spans="1:20" ht="22.5" customHeight="1" x14ac:dyDescent="0.2">
      <c r="A650" s="23"/>
      <c r="B650" s="24"/>
      <c r="C650" s="25"/>
      <c r="D650" s="25"/>
      <c r="E650" s="25"/>
      <c r="F650" s="26"/>
      <c r="G650" s="27"/>
      <c r="H650" s="28" t="str">
        <f t="shared" si="0"/>
        <v/>
      </c>
      <c r="I650" s="29">
        <f>SUMIFS(Cash_Flow_3[Amount],Cash_Flow_3[Bulan],H650,Cash_Flow_3[Type],"In")</f>
        <v>0</v>
      </c>
      <c r="J650" s="29">
        <f>SUMIFS(Cash_Flow_3[Amount],Cash_Flow_3[Bulan],H650,Cash_Flow_3[Type],"Out")</f>
        <v>0</v>
      </c>
      <c r="K650" s="29">
        <f>SUMIFS(Cash_Flow_3[Amount],Cash_Flow_3[Bulan],H650,Cash_Flow_3[Type],"Out",Cash_Flow_3[Category],"Fix")</f>
        <v>0</v>
      </c>
      <c r="L650" s="29">
        <f>SUMIFS(Cash_Flow_3[Amount],Cash_Flow_3[Bulan],H650,Cash_Flow_3[Type],"Out",Cash_Flow_3[Category],"Bathroom")</f>
        <v>0</v>
      </c>
      <c r="M650" s="29">
        <f>SUMIFS(Cash_Flow_3[Amount],Cash_Flow_3[Bulan],H650,Cash_Flow_3[Type],"Out",Cash_Flow_3[Category],"Alfa")</f>
        <v>0</v>
      </c>
      <c r="N650" s="29">
        <f>SUMIFS(Cash_Flow_3[Amount],Cash_Flow_3[Bulan],H650,Cash_Flow_3[Type],"Out",Cash_Flow_3[Category],"Jajan")</f>
        <v>0</v>
      </c>
      <c r="O650" s="29">
        <f>SUMIFS(Cash_Flow_3[Amount],Cash_Flow_3[Bulan],H650,Cash_Flow_3[Type],"Out",Cash_Flow_3[Category],"Kitchen")</f>
        <v>0</v>
      </c>
      <c r="P650" s="29">
        <f>SUMIFS(Cash_Flow_3[Amount],Cash_Flow_3[Bulan],H650,Cash_Flow_3[Type],"Out",Cash_Flow_3[Category],"Loandry")</f>
        <v>0</v>
      </c>
      <c r="Q650" s="29">
        <f>SUMIFS(Cash_Flow_3[Amount],Cash_Flow_3[Bulan],H650,Cash_Flow_3[Type],"Out",Cash_Flow_3[Category],"Mio")</f>
        <v>0</v>
      </c>
      <c r="R650" s="29">
        <f>SUMIFS(Cash_Flow_3[Amount],Cash_Flow_3[Bulan],H650,Cash_Flow_3[Type],"Out",Cash_Flow_3[Category],"Sedekah")</f>
        <v>0</v>
      </c>
      <c r="S650" s="29">
        <f>SUMIFS(Cash_Flow_3[Amount],Cash_Flow_3[Bulan],H650,Cash_Flow_3[Type],"Out",Cash_Flow_3[Category],"Zela")</f>
        <v>0</v>
      </c>
      <c r="T650" s="29">
        <f>SUMIFS(Cash_Flow_3[Amount],Cash_Flow_3[Bulan],H650,Cash_Flow_3[Type],"Out",Cash_Flow_3[Category],"Iqbal")</f>
        <v>0</v>
      </c>
    </row>
    <row r="651" spans="1:20" ht="22.5" customHeight="1" x14ac:dyDescent="0.2">
      <c r="A651" s="23"/>
      <c r="B651" s="24"/>
      <c r="C651" s="25"/>
      <c r="D651" s="25"/>
      <c r="E651" s="25"/>
      <c r="F651" s="26"/>
      <c r="G651" s="27"/>
      <c r="H651" s="28" t="str">
        <f t="shared" si="0"/>
        <v/>
      </c>
      <c r="I651" s="29">
        <f>SUMIFS(Cash_Flow_3[Amount],Cash_Flow_3[Bulan],H651,Cash_Flow_3[Type],"In")</f>
        <v>0</v>
      </c>
      <c r="J651" s="29">
        <f>SUMIFS(Cash_Flow_3[Amount],Cash_Flow_3[Bulan],H651,Cash_Flow_3[Type],"Out")</f>
        <v>0</v>
      </c>
      <c r="K651" s="29">
        <f>SUMIFS(Cash_Flow_3[Amount],Cash_Flow_3[Bulan],H651,Cash_Flow_3[Type],"Out",Cash_Flow_3[Category],"Fix")</f>
        <v>0</v>
      </c>
      <c r="L651" s="29">
        <f>SUMIFS(Cash_Flow_3[Amount],Cash_Flow_3[Bulan],H651,Cash_Flow_3[Type],"Out",Cash_Flow_3[Category],"Bathroom")</f>
        <v>0</v>
      </c>
      <c r="M651" s="29">
        <f>SUMIFS(Cash_Flow_3[Amount],Cash_Flow_3[Bulan],H651,Cash_Flow_3[Type],"Out",Cash_Flow_3[Category],"Alfa")</f>
        <v>0</v>
      </c>
      <c r="N651" s="29">
        <f>SUMIFS(Cash_Flow_3[Amount],Cash_Flow_3[Bulan],H651,Cash_Flow_3[Type],"Out",Cash_Flow_3[Category],"Jajan")</f>
        <v>0</v>
      </c>
      <c r="O651" s="29">
        <f>SUMIFS(Cash_Flow_3[Amount],Cash_Flow_3[Bulan],H651,Cash_Flow_3[Type],"Out",Cash_Flow_3[Category],"Kitchen")</f>
        <v>0</v>
      </c>
      <c r="P651" s="29">
        <f>SUMIFS(Cash_Flow_3[Amount],Cash_Flow_3[Bulan],H651,Cash_Flow_3[Type],"Out",Cash_Flow_3[Category],"Loandry")</f>
        <v>0</v>
      </c>
      <c r="Q651" s="29">
        <f>SUMIFS(Cash_Flow_3[Amount],Cash_Flow_3[Bulan],H651,Cash_Flow_3[Type],"Out",Cash_Flow_3[Category],"Mio")</f>
        <v>0</v>
      </c>
      <c r="R651" s="29">
        <f>SUMIFS(Cash_Flow_3[Amount],Cash_Flow_3[Bulan],H651,Cash_Flow_3[Type],"Out",Cash_Flow_3[Category],"Sedekah")</f>
        <v>0</v>
      </c>
      <c r="S651" s="29">
        <f>SUMIFS(Cash_Flow_3[Amount],Cash_Flow_3[Bulan],H651,Cash_Flow_3[Type],"Out",Cash_Flow_3[Category],"Zela")</f>
        <v>0</v>
      </c>
      <c r="T651" s="29">
        <f>SUMIFS(Cash_Flow_3[Amount],Cash_Flow_3[Bulan],H651,Cash_Flow_3[Type],"Out",Cash_Flow_3[Category],"Iqbal")</f>
        <v>0</v>
      </c>
    </row>
    <row r="652" spans="1:20" ht="22.5" customHeight="1" x14ac:dyDescent="0.2">
      <c r="A652" s="23"/>
      <c r="B652" s="24"/>
      <c r="C652" s="25"/>
      <c r="D652" s="25"/>
      <c r="E652" s="25"/>
      <c r="F652" s="26"/>
      <c r="G652" s="27"/>
      <c r="H652" s="28" t="str">
        <f t="shared" si="0"/>
        <v/>
      </c>
      <c r="I652" s="29">
        <f>SUMIFS(Cash_Flow_3[Amount],Cash_Flow_3[Bulan],H652,Cash_Flow_3[Type],"In")</f>
        <v>0</v>
      </c>
      <c r="J652" s="29">
        <f>SUMIFS(Cash_Flow_3[Amount],Cash_Flow_3[Bulan],H652,Cash_Flow_3[Type],"Out")</f>
        <v>0</v>
      </c>
      <c r="K652" s="29">
        <f>SUMIFS(Cash_Flow_3[Amount],Cash_Flow_3[Bulan],H652,Cash_Flow_3[Type],"Out",Cash_Flow_3[Category],"Fix")</f>
        <v>0</v>
      </c>
      <c r="L652" s="29">
        <f>SUMIFS(Cash_Flow_3[Amount],Cash_Flow_3[Bulan],H652,Cash_Flow_3[Type],"Out",Cash_Flow_3[Category],"Bathroom")</f>
        <v>0</v>
      </c>
      <c r="M652" s="29">
        <f>SUMIFS(Cash_Flow_3[Amount],Cash_Flow_3[Bulan],H652,Cash_Flow_3[Type],"Out",Cash_Flow_3[Category],"Alfa")</f>
        <v>0</v>
      </c>
      <c r="N652" s="29">
        <f>SUMIFS(Cash_Flow_3[Amount],Cash_Flow_3[Bulan],H652,Cash_Flow_3[Type],"Out",Cash_Flow_3[Category],"Jajan")</f>
        <v>0</v>
      </c>
      <c r="O652" s="29">
        <f>SUMIFS(Cash_Flow_3[Amount],Cash_Flow_3[Bulan],H652,Cash_Flow_3[Type],"Out",Cash_Flow_3[Category],"Kitchen")</f>
        <v>0</v>
      </c>
      <c r="P652" s="29">
        <f>SUMIFS(Cash_Flow_3[Amount],Cash_Flow_3[Bulan],H652,Cash_Flow_3[Type],"Out",Cash_Flow_3[Category],"Loandry")</f>
        <v>0</v>
      </c>
      <c r="Q652" s="29">
        <f>SUMIFS(Cash_Flow_3[Amount],Cash_Flow_3[Bulan],H652,Cash_Flow_3[Type],"Out",Cash_Flow_3[Category],"Mio")</f>
        <v>0</v>
      </c>
      <c r="R652" s="29">
        <f>SUMIFS(Cash_Flow_3[Amount],Cash_Flow_3[Bulan],H652,Cash_Flow_3[Type],"Out",Cash_Flow_3[Category],"Sedekah")</f>
        <v>0</v>
      </c>
      <c r="S652" s="29">
        <f>SUMIFS(Cash_Flow_3[Amount],Cash_Flow_3[Bulan],H652,Cash_Flow_3[Type],"Out",Cash_Flow_3[Category],"Zela")</f>
        <v>0</v>
      </c>
      <c r="T652" s="29">
        <f>SUMIFS(Cash_Flow_3[Amount],Cash_Flow_3[Bulan],H652,Cash_Flow_3[Type],"Out",Cash_Flow_3[Category],"Iqbal")</f>
        <v>0</v>
      </c>
    </row>
    <row r="653" spans="1:20" ht="22.5" customHeight="1" x14ac:dyDescent="0.2">
      <c r="A653" s="23"/>
      <c r="B653" s="24"/>
      <c r="C653" s="25"/>
      <c r="D653" s="25"/>
      <c r="E653" s="25"/>
      <c r="F653" s="26"/>
      <c r="G653" s="27"/>
      <c r="H653" s="28" t="str">
        <f t="shared" si="0"/>
        <v/>
      </c>
      <c r="I653" s="29">
        <f>SUMIFS(Cash_Flow_3[Amount],Cash_Flow_3[Bulan],H653,Cash_Flow_3[Type],"In")</f>
        <v>0</v>
      </c>
      <c r="J653" s="29">
        <f>SUMIFS(Cash_Flow_3[Amount],Cash_Flow_3[Bulan],H653,Cash_Flow_3[Type],"Out")</f>
        <v>0</v>
      </c>
      <c r="K653" s="29">
        <f>SUMIFS(Cash_Flow_3[Amount],Cash_Flow_3[Bulan],H653,Cash_Flow_3[Type],"Out",Cash_Flow_3[Category],"Fix")</f>
        <v>0</v>
      </c>
      <c r="L653" s="29">
        <f>SUMIFS(Cash_Flow_3[Amount],Cash_Flow_3[Bulan],H653,Cash_Flow_3[Type],"Out",Cash_Flow_3[Category],"Bathroom")</f>
        <v>0</v>
      </c>
      <c r="M653" s="29">
        <f>SUMIFS(Cash_Flow_3[Amount],Cash_Flow_3[Bulan],H653,Cash_Flow_3[Type],"Out",Cash_Flow_3[Category],"Alfa")</f>
        <v>0</v>
      </c>
      <c r="N653" s="29">
        <f>SUMIFS(Cash_Flow_3[Amount],Cash_Flow_3[Bulan],H653,Cash_Flow_3[Type],"Out",Cash_Flow_3[Category],"Jajan")</f>
        <v>0</v>
      </c>
      <c r="O653" s="29">
        <f>SUMIFS(Cash_Flow_3[Amount],Cash_Flow_3[Bulan],H653,Cash_Flow_3[Type],"Out",Cash_Flow_3[Category],"Kitchen")</f>
        <v>0</v>
      </c>
      <c r="P653" s="29">
        <f>SUMIFS(Cash_Flow_3[Amount],Cash_Flow_3[Bulan],H653,Cash_Flow_3[Type],"Out",Cash_Flow_3[Category],"Loandry")</f>
        <v>0</v>
      </c>
      <c r="Q653" s="29">
        <f>SUMIFS(Cash_Flow_3[Amount],Cash_Flow_3[Bulan],H653,Cash_Flow_3[Type],"Out",Cash_Flow_3[Category],"Mio")</f>
        <v>0</v>
      </c>
      <c r="R653" s="29">
        <f>SUMIFS(Cash_Flow_3[Amount],Cash_Flow_3[Bulan],H653,Cash_Flow_3[Type],"Out",Cash_Flow_3[Category],"Sedekah")</f>
        <v>0</v>
      </c>
      <c r="S653" s="29">
        <f>SUMIFS(Cash_Flow_3[Amount],Cash_Flow_3[Bulan],H653,Cash_Flow_3[Type],"Out",Cash_Flow_3[Category],"Zela")</f>
        <v>0</v>
      </c>
      <c r="T653" s="29">
        <f>SUMIFS(Cash_Flow_3[Amount],Cash_Flow_3[Bulan],H653,Cash_Flow_3[Type],"Out",Cash_Flow_3[Category],"Iqbal")</f>
        <v>0</v>
      </c>
    </row>
    <row r="654" spans="1:20" ht="22.5" customHeight="1" x14ac:dyDescent="0.2">
      <c r="A654" s="23"/>
      <c r="B654" s="24"/>
      <c r="C654" s="25"/>
      <c r="D654" s="25"/>
      <c r="E654" s="25"/>
      <c r="F654" s="26"/>
      <c r="G654" s="27"/>
      <c r="H654" s="28" t="str">
        <f t="shared" si="0"/>
        <v/>
      </c>
      <c r="I654" s="29">
        <f>SUMIFS(Cash_Flow_3[Amount],Cash_Flow_3[Bulan],H654,Cash_Flow_3[Type],"In")</f>
        <v>0</v>
      </c>
      <c r="J654" s="29">
        <f>SUMIFS(Cash_Flow_3[Amount],Cash_Flow_3[Bulan],H654,Cash_Flow_3[Type],"Out")</f>
        <v>0</v>
      </c>
      <c r="K654" s="29">
        <f>SUMIFS(Cash_Flow_3[Amount],Cash_Flow_3[Bulan],H654,Cash_Flow_3[Type],"Out",Cash_Flow_3[Category],"Fix")</f>
        <v>0</v>
      </c>
      <c r="L654" s="29">
        <f>SUMIFS(Cash_Flow_3[Amount],Cash_Flow_3[Bulan],H654,Cash_Flow_3[Type],"Out",Cash_Flow_3[Category],"Bathroom")</f>
        <v>0</v>
      </c>
      <c r="M654" s="29">
        <f>SUMIFS(Cash_Flow_3[Amount],Cash_Flow_3[Bulan],H654,Cash_Flow_3[Type],"Out",Cash_Flow_3[Category],"Alfa")</f>
        <v>0</v>
      </c>
      <c r="N654" s="29">
        <f>SUMIFS(Cash_Flow_3[Amount],Cash_Flow_3[Bulan],H654,Cash_Flow_3[Type],"Out",Cash_Flow_3[Category],"Jajan")</f>
        <v>0</v>
      </c>
      <c r="O654" s="29">
        <f>SUMIFS(Cash_Flow_3[Amount],Cash_Flow_3[Bulan],H654,Cash_Flow_3[Type],"Out",Cash_Flow_3[Category],"Kitchen")</f>
        <v>0</v>
      </c>
      <c r="P654" s="29">
        <f>SUMIFS(Cash_Flow_3[Amount],Cash_Flow_3[Bulan],H654,Cash_Flow_3[Type],"Out",Cash_Flow_3[Category],"Loandry")</f>
        <v>0</v>
      </c>
      <c r="Q654" s="29">
        <f>SUMIFS(Cash_Flow_3[Amount],Cash_Flow_3[Bulan],H654,Cash_Flow_3[Type],"Out",Cash_Flow_3[Category],"Mio")</f>
        <v>0</v>
      </c>
      <c r="R654" s="29">
        <f>SUMIFS(Cash_Flow_3[Amount],Cash_Flow_3[Bulan],H654,Cash_Flow_3[Type],"Out",Cash_Flow_3[Category],"Sedekah")</f>
        <v>0</v>
      </c>
      <c r="S654" s="29">
        <f>SUMIFS(Cash_Flow_3[Amount],Cash_Flow_3[Bulan],H654,Cash_Flow_3[Type],"Out",Cash_Flow_3[Category],"Zela")</f>
        <v>0</v>
      </c>
      <c r="T654" s="29">
        <f>SUMIFS(Cash_Flow_3[Amount],Cash_Flow_3[Bulan],H654,Cash_Flow_3[Type],"Out",Cash_Flow_3[Category],"Iqbal")</f>
        <v>0</v>
      </c>
    </row>
    <row r="655" spans="1:20" ht="22.5" customHeight="1" x14ac:dyDescent="0.2">
      <c r="A655" s="23"/>
      <c r="B655" s="24"/>
      <c r="C655" s="25"/>
      <c r="D655" s="25"/>
      <c r="E655" s="25"/>
      <c r="F655" s="26"/>
      <c r="G655" s="27"/>
      <c r="H655" s="28" t="str">
        <f t="shared" si="0"/>
        <v/>
      </c>
      <c r="I655" s="29">
        <f>SUMIFS(Cash_Flow_3[Amount],Cash_Flow_3[Bulan],H655,Cash_Flow_3[Type],"In")</f>
        <v>0</v>
      </c>
      <c r="J655" s="29">
        <f>SUMIFS(Cash_Flow_3[Amount],Cash_Flow_3[Bulan],H655,Cash_Flow_3[Type],"Out")</f>
        <v>0</v>
      </c>
      <c r="K655" s="29">
        <f>SUMIFS(Cash_Flow_3[Amount],Cash_Flow_3[Bulan],H655,Cash_Flow_3[Type],"Out",Cash_Flow_3[Category],"Fix")</f>
        <v>0</v>
      </c>
      <c r="L655" s="29">
        <f>SUMIFS(Cash_Flow_3[Amount],Cash_Flow_3[Bulan],H655,Cash_Flow_3[Type],"Out",Cash_Flow_3[Category],"Bathroom")</f>
        <v>0</v>
      </c>
      <c r="M655" s="29">
        <f>SUMIFS(Cash_Flow_3[Amount],Cash_Flow_3[Bulan],H655,Cash_Flow_3[Type],"Out",Cash_Flow_3[Category],"Alfa")</f>
        <v>0</v>
      </c>
      <c r="N655" s="29">
        <f>SUMIFS(Cash_Flow_3[Amount],Cash_Flow_3[Bulan],H655,Cash_Flow_3[Type],"Out",Cash_Flow_3[Category],"Jajan")</f>
        <v>0</v>
      </c>
      <c r="O655" s="29">
        <f>SUMIFS(Cash_Flow_3[Amount],Cash_Flow_3[Bulan],H655,Cash_Flow_3[Type],"Out",Cash_Flow_3[Category],"Kitchen")</f>
        <v>0</v>
      </c>
      <c r="P655" s="29">
        <f>SUMIFS(Cash_Flow_3[Amount],Cash_Flow_3[Bulan],H655,Cash_Flow_3[Type],"Out",Cash_Flow_3[Category],"Loandry")</f>
        <v>0</v>
      </c>
      <c r="Q655" s="29">
        <f>SUMIFS(Cash_Flow_3[Amount],Cash_Flow_3[Bulan],H655,Cash_Flow_3[Type],"Out",Cash_Flow_3[Category],"Mio")</f>
        <v>0</v>
      </c>
      <c r="R655" s="29">
        <f>SUMIFS(Cash_Flow_3[Amount],Cash_Flow_3[Bulan],H655,Cash_Flow_3[Type],"Out",Cash_Flow_3[Category],"Sedekah")</f>
        <v>0</v>
      </c>
      <c r="S655" s="29">
        <f>SUMIFS(Cash_Flow_3[Amount],Cash_Flow_3[Bulan],H655,Cash_Flow_3[Type],"Out",Cash_Flow_3[Category],"Zela")</f>
        <v>0</v>
      </c>
      <c r="T655" s="29">
        <f>SUMIFS(Cash_Flow_3[Amount],Cash_Flow_3[Bulan],H655,Cash_Flow_3[Type],"Out",Cash_Flow_3[Category],"Iqbal")</f>
        <v>0</v>
      </c>
    </row>
    <row r="656" spans="1:20" ht="22.5" customHeight="1" x14ac:dyDescent="0.2">
      <c r="A656" s="23"/>
      <c r="B656" s="24"/>
      <c r="C656" s="25"/>
      <c r="D656" s="25"/>
      <c r="E656" s="25"/>
      <c r="F656" s="26"/>
      <c r="G656" s="27"/>
      <c r="H656" s="28" t="str">
        <f t="shared" si="0"/>
        <v/>
      </c>
      <c r="I656" s="29">
        <f>SUMIFS(Cash_Flow_3[Amount],Cash_Flow_3[Bulan],H656,Cash_Flow_3[Type],"In")</f>
        <v>0</v>
      </c>
      <c r="J656" s="29">
        <f>SUMIFS(Cash_Flow_3[Amount],Cash_Flow_3[Bulan],H656,Cash_Flow_3[Type],"Out")</f>
        <v>0</v>
      </c>
      <c r="K656" s="29">
        <f>SUMIFS(Cash_Flow_3[Amount],Cash_Flow_3[Bulan],H656,Cash_Flow_3[Type],"Out",Cash_Flow_3[Category],"Fix")</f>
        <v>0</v>
      </c>
      <c r="L656" s="29">
        <f>SUMIFS(Cash_Flow_3[Amount],Cash_Flow_3[Bulan],H656,Cash_Flow_3[Type],"Out",Cash_Flow_3[Category],"Bathroom")</f>
        <v>0</v>
      </c>
      <c r="M656" s="29">
        <f>SUMIFS(Cash_Flow_3[Amount],Cash_Flow_3[Bulan],H656,Cash_Flow_3[Type],"Out",Cash_Flow_3[Category],"Alfa")</f>
        <v>0</v>
      </c>
      <c r="N656" s="29">
        <f>SUMIFS(Cash_Flow_3[Amount],Cash_Flow_3[Bulan],H656,Cash_Flow_3[Type],"Out",Cash_Flow_3[Category],"Jajan")</f>
        <v>0</v>
      </c>
      <c r="O656" s="29">
        <f>SUMIFS(Cash_Flow_3[Amount],Cash_Flow_3[Bulan],H656,Cash_Flow_3[Type],"Out",Cash_Flow_3[Category],"Kitchen")</f>
        <v>0</v>
      </c>
      <c r="P656" s="29">
        <f>SUMIFS(Cash_Flow_3[Amount],Cash_Flow_3[Bulan],H656,Cash_Flow_3[Type],"Out",Cash_Flow_3[Category],"Loandry")</f>
        <v>0</v>
      </c>
      <c r="Q656" s="29">
        <f>SUMIFS(Cash_Flow_3[Amount],Cash_Flow_3[Bulan],H656,Cash_Flow_3[Type],"Out",Cash_Flow_3[Category],"Mio")</f>
        <v>0</v>
      </c>
      <c r="R656" s="29">
        <f>SUMIFS(Cash_Flow_3[Amount],Cash_Flow_3[Bulan],H656,Cash_Flow_3[Type],"Out",Cash_Flow_3[Category],"Sedekah")</f>
        <v>0</v>
      </c>
      <c r="S656" s="29">
        <f>SUMIFS(Cash_Flow_3[Amount],Cash_Flow_3[Bulan],H656,Cash_Flow_3[Type],"Out",Cash_Flow_3[Category],"Zela")</f>
        <v>0</v>
      </c>
      <c r="T656" s="29">
        <f>SUMIFS(Cash_Flow_3[Amount],Cash_Flow_3[Bulan],H656,Cash_Flow_3[Type],"Out",Cash_Flow_3[Category],"Iqbal")</f>
        <v>0</v>
      </c>
    </row>
    <row r="657" spans="1:20" ht="22.5" customHeight="1" x14ac:dyDescent="0.2">
      <c r="A657" s="23"/>
      <c r="B657" s="24"/>
      <c r="C657" s="25"/>
      <c r="D657" s="25"/>
      <c r="E657" s="25"/>
      <c r="F657" s="26"/>
      <c r="G657" s="27"/>
      <c r="H657" s="28" t="str">
        <f t="shared" si="0"/>
        <v/>
      </c>
      <c r="I657" s="29">
        <f>SUMIFS(Cash_Flow_3[Amount],Cash_Flow_3[Bulan],H657,Cash_Flow_3[Type],"In")</f>
        <v>0</v>
      </c>
      <c r="J657" s="29">
        <f>SUMIFS(Cash_Flow_3[Amount],Cash_Flow_3[Bulan],H657,Cash_Flow_3[Type],"Out")</f>
        <v>0</v>
      </c>
      <c r="K657" s="29">
        <f>SUMIFS(Cash_Flow_3[Amount],Cash_Flow_3[Bulan],H657,Cash_Flow_3[Type],"Out",Cash_Flow_3[Category],"Fix")</f>
        <v>0</v>
      </c>
      <c r="L657" s="29">
        <f>SUMIFS(Cash_Flow_3[Amount],Cash_Flow_3[Bulan],H657,Cash_Flow_3[Type],"Out",Cash_Flow_3[Category],"Bathroom")</f>
        <v>0</v>
      </c>
      <c r="M657" s="29">
        <f>SUMIFS(Cash_Flow_3[Amount],Cash_Flow_3[Bulan],H657,Cash_Flow_3[Type],"Out",Cash_Flow_3[Category],"Alfa")</f>
        <v>0</v>
      </c>
      <c r="N657" s="29">
        <f>SUMIFS(Cash_Flow_3[Amount],Cash_Flow_3[Bulan],H657,Cash_Flow_3[Type],"Out",Cash_Flow_3[Category],"Jajan")</f>
        <v>0</v>
      </c>
      <c r="O657" s="29">
        <f>SUMIFS(Cash_Flow_3[Amount],Cash_Flow_3[Bulan],H657,Cash_Flow_3[Type],"Out",Cash_Flow_3[Category],"Kitchen")</f>
        <v>0</v>
      </c>
      <c r="P657" s="29">
        <f>SUMIFS(Cash_Flow_3[Amount],Cash_Flow_3[Bulan],H657,Cash_Flow_3[Type],"Out",Cash_Flow_3[Category],"Loandry")</f>
        <v>0</v>
      </c>
      <c r="Q657" s="29">
        <f>SUMIFS(Cash_Flow_3[Amount],Cash_Flow_3[Bulan],H657,Cash_Flow_3[Type],"Out",Cash_Flow_3[Category],"Mio")</f>
        <v>0</v>
      </c>
      <c r="R657" s="29">
        <f>SUMIFS(Cash_Flow_3[Amount],Cash_Flow_3[Bulan],H657,Cash_Flow_3[Type],"Out",Cash_Flow_3[Category],"Sedekah")</f>
        <v>0</v>
      </c>
      <c r="S657" s="29">
        <f>SUMIFS(Cash_Flow_3[Amount],Cash_Flow_3[Bulan],H657,Cash_Flow_3[Type],"Out",Cash_Flow_3[Category],"Zela")</f>
        <v>0</v>
      </c>
      <c r="T657" s="29">
        <f>SUMIFS(Cash_Flow_3[Amount],Cash_Flow_3[Bulan],H657,Cash_Flow_3[Type],"Out",Cash_Flow_3[Category],"Iqbal")</f>
        <v>0</v>
      </c>
    </row>
    <row r="658" spans="1:20" ht="22.5" customHeight="1" x14ac:dyDescent="0.2">
      <c r="A658" s="23"/>
      <c r="B658" s="24"/>
      <c r="C658" s="25"/>
      <c r="D658" s="25"/>
      <c r="E658" s="25"/>
      <c r="F658" s="26"/>
      <c r="G658" s="27"/>
      <c r="H658" s="28" t="str">
        <f t="shared" si="0"/>
        <v/>
      </c>
      <c r="I658" s="29">
        <f>SUMIFS(Cash_Flow_3[Amount],Cash_Flow_3[Bulan],H658,Cash_Flow_3[Type],"In")</f>
        <v>0</v>
      </c>
      <c r="J658" s="29">
        <f>SUMIFS(Cash_Flow_3[Amount],Cash_Flow_3[Bulan],H658,Cash_Flow_3[Type],"Out")</f>
        <v>0</v>
      </c>
      <c r="K658" s="29">
        <f>SUMIFS(Cash_Flow_3[Amount],Cash_Flow_3[Bulan],H658,Cash_Flow_3[Type],"Out",Cash_Flow_3[Category],"Fix")</f>
        <v>0</v>
      </c>
      <c r="L658" s="29">
        <f>SUMIFS(Cash_Flow_3[Amount],Cash_Flow_3[Bulan],H658,Cash_Flow_3[Type],"Out",Cash_Flow_3[Category],"Bathroom")</f>
        <v>0</v>
      </c>
      <c r="M658" s="29">
        <f>SUMIFS(Cash_Flow_3[Amount],Cash_Flow_3[Bulan],H658,Cash_Flow_3[Type],"Out",Cash_Flow_3[Category],"Alfa")</f>
        <v>0</v>
      </c>
      <c r="N658" s="29">
        <f>SUMIFS(Cash_Flow_3[Amount],Cash_Flow_3[Bulan],H658,Cash_Flow_3[Type],"Out",Cash_Flow_3[Category],"Jajan")</f>
        <v>0</v>
      </c>
      <c r="O658" s="29">
        <f>SUMIFS(Cash_Flow_3[Amount],Cash_Flow_3[Bulan],H658,Cash_Flow_3[Type],"Out",Cash_Flow_3[Category],"Kitchen")</f>
        <v>0</v>
      </c>
      <c r="P658" s="29">
        <f>SUMIFS(Cash_Flow_3[Amount],Cash_Flow_3[Bulan],H658,Cash_Flow_3[Type],"Out",Cash_Flow_3[Category],"Loandry")</f>
        <v>0</v>
      </c>
      <c r="Q658" s="29">
        <f>SUMIFS(Cash_Flow_3[Amount],Cash_Flow_3[Bulan],H658,Cash_Flow_3[Type],"Out",Cash_Flow_3[Category],"Mio")</f>
        <v>0</v>
      </c>
      <c r="R658" s="29">
        <f>SUMIFS(Cash_Flow_3[Amount],Cash_Flow_3[Bulan],H658,Cash_Flow_3[Type],"Out",Cash_Flow_3[Category],"Sedekah")</f>
        <v>0</v>
      </c>
      <c r="S658" s="29">
        <f>SUMIFS(Cash_Flow_3[Amount],Cash_Flow_3[Bulan],H658,Cash_Flow_3[Type],"Out",Cash_Flow_3[Category],"Zela")</f>
        <v>0</v>
      </c>
      <c r="T658" s="29">
        <f>SUMIFS(Cash_Flow_3[Amount],Cash_Flow_3[Bulan],H658,Cash_Flow_3[Type],"Out",Cash_Flow_3[Category],"Iqbal")</f>
        <v>0</v>
      </c>
    </row>
    <row r="659" spans="1:20" ht="22.5" customHeight="1" x14ac:dyDescent="0.2">
      <c r="A659" s="23"/>
      <c r="B659" s="24"/>
      <c r="C659" s="25"/>
      <c r="D659" s="25"/>
      <c r="E659" s="25"/>
      <c r="F659" s="26"/>
      <c r="G659" s="27"/>
      <c r="H659" s="28" t="str">
        <f t="shared" si="0"/>
        <v/>
      </c>
      <c r="I659" s="29">
        <f>SUMIFS(Cash_Flow_3[Amount],Cash_Flow_3[Bulan],H659,Cash_Flow_3[Type],"In")</f>
        <v>0</v>
      </c>
      <c r="J659" s="29">
        <f>SUMIFS(Cash_Flow_3[Amount],Cash_Flow_3[Bulan],H659,Cash_Flow_3[Type],"Out")</f>
        <v>0</v>
      </c>
      <c r="K659" s="29">
        <f>SUMIFS(Cash_Flow_3[Amount],Cash_Flow_3[Bulan],H659,Cash_Flow_3[Type],"Out",Cash_Flow_3[Category],"Fix")</f>
        <v>0</v>
      </c>
      <c r="L659" s="29">
        <f>SUMIFS(Cash_Flow_3[Amount],Cash_Flow_3[Bulan],H659,Cash_Flow_3[Type],"Out",Cash_Flow_3[Category],"Bathroom")</f>
        <v>0</v>
      </c>
      <c r="M659" s="29">
        <f>SUMIFS(Cash_Flow_3[Amount],Cash_Flow_3[Bulan],H659,Cash_Flow_3[Type],"Out",Cash_Flow_3[Category],"Alfa")</f>
        <v>0</v>
      </c>
      <c r="N659" s="29">
        <f>SUMIFS(Cash_Flow_3[Amount],Cash_Flow_3[Bulan],H659,Cash_Flow_3[Type],"Out",Cash_Flow_3[Category],"Jajan")</f>
        <v>0</v>
      </c>
      <c r="O659" s="29">
        <f>SUMIFS(Cash_Flow_3[Amount],Cash_Flow_3[Bulan],H659,Cash_Flow_3[Type],"Out",Cash_Flow_3[Category],"Kitchen")</f>
        <v>0</v>
      </c>
      <c r="P659" s="29">
        <f>SUMIFS(Cash_Flow_3[Amount],Cash_Flow_3[Bulan],H659,Cash_Flow_3[Type],"Out",Cash_Flow_3[Category],"Loandry")</f>
        <v>0</v>
      </c>
      <c r="Q659" s="29">
        <f>SUMIFS(Cash_Flow_3[Amount],Cash_Flow_3[Bulan],H659,Cash_Flow_3[Type],"Out",Cash_Flow_3[Category],"Mio")</f>
        <v>0</v>
      </c>
      <c r="R659" s="29">
        <f>SUMIFS(Cash_Flow_3[Amount],Cash_Flow_3[Bulan],H659,Cash_Flow_3[Type],"Out",Cash_Flow_3[Category],"Sedekah")</f>
        <v>0</v>
      </c>
      <c r="S659" s="29">
        <f>SUMIFS(Cash_Flow_3[Amount],Cash_Flow_3[Bulan],H659,Cash_Flow_3[Type],"Out",Cash_Flow_3[Category],"Zela")</f>
        <v>0</v>
      </c>
      <c r="T659" s="29">
        <f>SUMIFS(Cash_Flow_3[Amount],Cash_Flow_3[Bulan],H659,Cash_Flow_3[Type],"Out",Cash_Flow_3[Category],"Iqbal")</f>
        <v>0</v>
      </c>
    </row>
    <row r="660" spans="1:20" ht="22.5" customHeight="1" x14ac:dyDescent="0.2">
      <c r="A660" s="23"/>
      <c r="B660" s="24"/>
      <c r="C660" s="25"/>
      <c r="D660" s="25"/>
      <c r="E660" s="25"/>
      <c r="F660" s="26"/>
      <c r="G660" s="27"/>
      <c r="H660" s="28" t="str">
        <f t="shared" si="0"/>
        <v/>
      </c>
      <c r="I660" s="29">
        <f>SUMIFS(Cash_Flow_3[Amount],Cash_Flow_3[Bulan],H660,Cash_Flow_3[Type],"In")</f>
        <v>0</v>
      </c>
      <c r="J660" s="29">
        <f>SUMIFS(Cash_Flow_3[Amount],Cash_Flow_3[Bulan],H660,Cash_Flow_3[Type],"Out")</f>
        <v>0</v>
      </c>
      <c r="K660" s="29">
        <f>SUMIFS(Cash_Flow_3[Amount],Cash_Flow_3[Bulan],H660,Cash_Flow_3[Type],"Out",Cash_Flow_3[Category],"Fix")</f>
        <v>0</v>
      </c>
      <c r="L660" s="29">
        <f>SUMIFS(Cash_Flow_3[Amount],Cash_Flow_3[Bulan],H660,Cash_Flow_3[Type],"Out",Cash_Flow_3[Category],"Bathroom")</f>
        <v>0</v>
      </c>
      <c r="M660" s="29">
        <f>SUMIFS(Cash_Flow_3[Amount],Cash_Flow_3[Bulan],H660,Cash_Flow_3[Type],"Out",Cash_Flow_3[Category],"Alfa")</f>
        <v>0</v>
      </c>
      <c r="N660" s="29">
        <f>SUMIFS(Cash_Flow_3[Amount],Cash_Flow_3[Bulan],H660,Cash_Flow_3[Type],"Out",Cash_Flow_3[Category],"Jajan")</f>
        <v>0</v>
      </c>
      <c r="O660" s="29">
        <f>SUMIFS(Cash_Flow_3[Amount],Cash_Flow_3[Bulan],H660,Cash_Flow_3[Type],"Out",Cash_Flow_3[Category],"Kitchen")</f>
        <v>0</v>
      </c>
      <c r="P660" s="29">
        <f>SUMIFS(Cash_Flow_3[Amount],Cash_Flow_3[Bulan],H660,Cash_Flow_3[Type],"Out",Cash_Flow_3[Category],"Loandry")</f>
        <v>0</v>
      </c>
      <c r="Q660" s="29">
        <f>SUMIFS(Cash_Flow_3[Amount],Cash_Flow_3[Bulan],H660,Cash_Flow_3[Type],"Out",Cash_Flow_3[Category],"Mio")</f>
        <v>0</v>
      </c>
      <c r="R660" s="29">
        <f>SUMIFS(Cash_Flow_3[Amount],Cash_Flow_3[Bulan],H660,Cash_Flow_3[Type],"Out",Cash_Flow_3[Category],"Sedekah")</f>
        <v>0</v>
      </c>
      <c r="S660" s="29">
        <f>SUMIFS(Cash_Flow_3[Amount],Cash_Flow_3[Bulan],H660,Cash_Flow_3[Type],"Out",Cash_Flow_3[Category],"Zela")</f>
        <v>0</v>
      </c>
      <c r="T660" s="29">
        <f>SUMIFS(Cash_Flow_3[Amount],Cash_Flow_3[Bulan],H660,Cash_Flow_3[Type],"Out",Cash_Flow_3[Category],"Iqbal")</f>
        <v>0</v>
      </c>
    </row>
    <row r="661" spans="1:20" ht="22.5" customHeight="1" x14ac:dyDescent="0.2">
      <c r="A661" s="23"/>
      <c r="B661" s="24"/>
      <c r="C661" s="25"/>
      <c r="D661" s="25"/>
      <c r="E661" s="25"/>
      <c r="F661" s="26"/>
      <c r="G661" s="27"/>
      <c r="H661" s="28" t="str">
        <f t="shared" si="0"/>
        <v/>
      </c>
      <c r="I661" s="29">
        <f>SUMIFS(Cash_Flow_3[Amount],Cash_Flow_3[Bulan],H661,Cash_Flow_3[Type],"In")</f>
        <v>0</v>
      </c>
      <c r="J661" s="29">
        <f>SUMIFS(Cash_Flow_3[Amount],Cash_Flow_3[Bulan],H661,Cash_Flow_3[Type],"Out")</f>
        <v>0</v>
      </c>
      <c r="K661" s="29">
        <f>SUMIFS(Cash_Flow_3[Amount],Cash_Flow_3[Bulan],H661,Cash_Flow_3[Type],"Out",Cash_Flow_3[Category],"Fix")</f>
        <v>0</v>
      </c>
      <c r="L661" s="29">
        <f>SUMIFS(Cash_Flow_3[Amount],Cash_Flow_3[Bulan],H661,Cash_Flow_3[Type],"Out",Cash_Flow_3[Category],"Bathroom")</f>
        <v>0</v>
      </c>
      <c r="M661" s="29">
        <f>SUMIFS(Cash_Flow_3[Amount],Cash_Flow_3[Bulan],H661,Cash_Flow_3[Type],"Out",Cash_Flow_3[Category],"Alfa")</f>
        <v>0</v>
      </c>
      <c r="N661" s="29">
        <f>SUMIFS(Cash_Flow_3[Amount],Cash_Flow_3[Bulan],H661,Cash_Flow_3[Type],"Out",Cash_Flow_3[Category],"Jajan")</f>
        <v>0</v>
      </c>
      <c r="O661" s="29">
        <f>SUMIFS(Cash_Flow_3[Amount],Cash_Flow_3[Bulan],H661,Cash_Flow_3[Type],"Out",Cash_Flow_3[Category],"Kitchen")</f>
        <v>0</v>
      </c>
      <c r="P661" s="29">
        <f>SUMIFS(Cash_Flow_3[Amount],Cash_Flow_3[Bulan],H661,Cash_Flow_3[Type],"Out",Cash_Flow_3[Category],"Loandry")</f>
        <v>0</v>
      </c>
      <c r="Q661" s="29">
        <f>SUMIFS(Cash_Flow_3[Amount],Cash_Flow_3[Bulan],H661,Cash_Flow_3[Type],"Out",Cash_Flow_3[Category],"Mio")</f>
        <v>0</v>
      </c>
      <c r="R661" s="29">
        <f>SUMIFS(Cash_Flow_3[Amount],Cash_Flow_3[Bulan],H661,Cash_Flow_3[Type],"Out",Cash_Flow_3[Category],"Sedekah")</f>
        <v>0</v>
      </c>
      <c r="S661" s="29">
        <f>SUMIFS(Cash_Flow_3[Amount],Cash_Flow_3[Bulan],H661,Cash_Flow_3[Type],"Out",Cash_Flow_3[Category],"Zela")</f>
        <v>0</v>
      </c>
      <c r="T661" s="29">
        <f>SUMIFS(Cash_Flow_3[Amount],Cash_Flow_3[Bulan],H661,Cash_Flow_3[Type],"Out",Cash_Flow_3[Category],"Iqbal")</f>
        <v>0</v>
      </c>
    </row>
    <row r="662" spans="1:20" ht="22.5" customHeight="1" x14ac:dyDescent="0.2">
      <c r="A662" s="23"/>
      <c r="B662" s="24"/>
      <c r="C662" s="25"/>
      <c r="D662" s="25"/>
      <c r="E662" s="25"/>
      <c r="F662" s="26"/>
      <c r="G662" s="27"/>
      <c r="H662" s="28" t="str">
        <f t="shared" si="0"/>
        <v/>
      </c>
      <c r="I662" s="29">
        <f>SUMIFS(Cash_Flow_3[Amount],Cash_Flow_3[Bulan],H662,Cash_Flow_3[Type],"In")</f>
        <v>0</v>
      </c>
      <c r="J662" s="29">
        <f>SUMIFS(Cash_Flow_3[Amount],Cash_Flow_3[Bulan],H662,Cash_Flow_3[Type],"Out")</f>
        <v>0</v>
      </c>
      <c r="K662" s="29">
        <f>SUMIFS(Cash_Flow_3[Amount],Cash_Flow_3[Bulan],H662,Cash_Flow_3[Type],"Out",Cash_Flow_3[Category],"Fix")</f>
        <v>0</v>
      </c>
      <c r="L662" s="29">
        <f>SUMIFS(Cash_Flow_3[Amount],Cash_Flow_3[Bulan],H662,Cash_Flow_3[Type],"Out",Cash_Flow_3[Category],"Bathroom")</f>
        <v>0</v>
      </c>
      <c r="M662" s="29">
        <f>SUMIFS(Cash_Flow_3[Amount],Cash_Flow_3[Bulan],H662,Cash_Flow_3[Type],"Out",Cash_Flow_3[Category],"Alfa")</f>
        <v>0</v>
      </c>
      <c r="N662" s="29">
        <f>SUMIFS(Cash_Flow_3[Amount],Cash_Flow_3[Bulan],H662,Cash_Flow_3[Type],"Out",Cash_Flow_3[Category],"Jajan")</f>
        <v>0</v>
      </c>
      <c r="O662" s="29">
        <f>SUMIFS(Cash_Flow_3[Amount],Cash_Flow_3[Bulan],H662,Cash_Flow_3[Type],"Out",Cash_Flow_3[Category],"Kitchen")</f>
        <v>0</v>
      </c>
      <c r="P662" s="29">
        <f>SUMIFS(Cash_Flow_3[Amount],Cash_Flow_3[Bulan],H662,Cash_Flow_3[Type],"Out",Cash_Flow_3[Category],"Loandry")</f>
        <v>0</v>
      </c>
      <c r="Q662" s="29">
        <f>SUMIFS(Cash_Flow_3[Amount],Cash_Flow_3[Bulan],H662,Cash_Flow_3[Type],"Out",Cash_Flow_3[Category],"Mio")</f>
        <v>0</v>
      </c>
      <c r="R662" s="29">
        <f>SUMIFS(Cash_Flow_3[Amount],Cash_Flow_3[Bulan],H662,Cash_Flow_3[Type],"Out",Cash_Flow_3[Category],"Sedekah")</f>
        <v>0</v>
      </c>
      <c r="S662" s="29">
        <f>SUMIFS(Cash_Flow_3[Amount],Cash_Flow_3[Bulan],H662,Cash_Flow_3[Type],"Out",Cash_Flow_3[Category],"Zela")</f>
        <v>0</v>
      </c>
      <c r="T662" s="29">
        <f>SUMIFS(Cash_Flow_3[Amount],Cash_Flow_3[Bulan],H662,Cash_Flow_3[Type],"Out",Cash_Flow_3[Category],"Iqbal")</f>
        <v>0</v>
      </c>
    </row>
    <row r="663" spans="1:20" ht="22.5" customHeight="1" x14ac:dyDescent="0.2">
      <c r="A663" s="23"/>
      <c r="B663" s="24"/>
      <c r="C663" s="25"/>
      <c r="D663" s="25"/>
      <c r="E663" s="25"/>
      <c r="F663" s="26"/>
      <c r="G663" s="27"/>
      <c r="H663" s="28" t="str">
        <f t="shared" si="0"/>
        <v/>
      </c>
      <c r="I663" s="29">
        <f>SUMIFS(Cash_Flow_3[Amount],Cash_Flow_3[Bulan],H663,Cash_Flow_3[Type],"In")</f>
        <v>0</v>
      </c>
      <c r="J663" s="29">
        <f>SUMIFS(Cash_Flow_3[Amount],Cash_Flow_3[Bulan],H663,Cash_Flow_3[Type],"Out")</f>
        <v>0</v>
      </c>
      <c r="K663" s="29">
        <f>SUMIFS(Cash_Flow_3[Amount],Cash_Flow_3[Bulan],H663,Cash_Flow_3[Type],"Out",Cash_Flow_3[Category],"Fix")</f>
        <v>0</v>
      </c>
      <c r="L663" s="29">
        <f>SUMIFS(Cash_Flow_3[Amount],Cash_Flow_3[Bulan],H663,Cash_Flow_3[Type],"Out",Cash_Flow_3[Category],"Bathroom")</f>
        <v>0</v>
      </c>
      <c r="M663" s="29">
        <f>SUMIFS(Cash_Flow_3[Amount],Cash_Flow_3[Bulan],H663,Cash_Flow_3[Type],"Out",Cash_Flow_3[Category],"Alfa")</f>
        <v>0</v>
      </c>
      <c r="N663" s="29">
        <f>SUMIFS(Cash_Flow_3[Amount],Cash_Flow_3[Bulan],H663,Cash_Flow_3[Type],"Out",Cash_Flow_3[Category],"Jajan")</f>
        <v>0</v>
      </c>
      <c r="O663" s="29">
        <f>SUMIFS(Cash_Flow_3[Amount],Cash_Flow_3[Bulan],H663,Cash_Flow_3[Type],"Out",Cash_Flow_3[Category],"Kitchen")</f>
        <v>0</v>
      </c>
      <c r="P663" s="29">
        <f>SUMIFS(Cash_Flow_3[Amount],Cash_Flow_3[Bulan],H663,Cash_Flow_3[Type],"Out",Cash_Flow_3[Category],"Loandry")</f>
        <v>0</v>
      </c>
      <c r="Q663" s="29">
        <f>SUMIFS(Cash_Flow_3[Amount],Cash_Flow_3[Bulan],H663,Cash_Flow_3[Type],"Out",Cash_Flow_3[Category],"Mio")</f>
        <v>0</v>
      </c>
      <c r="R663" s="29">
        <f>SUMIFS(Cash_Flow_3[Amount],Cash_Flow_3[Bulan],H663,Cash_Flow_3[Type],"Out",Cash_Flow_3[Category],"Sedekah")</f>
        <v>0</v>
      </c>
      <c r="S663" s="29">
        <f>SUMIFS(Cash_Flow_3[Amount],Cash_Flow_3[Bulan],H663,Cash_Flow_3[Type],"Out",Cash_Flow_3[Category],"Zela")</f>
        <v>0</v>
      </c>
      <c r="T663" s="29">
        <f>SUMIFS(Cash_Flow_3[Amount],Cash_Flow_3[Bulan],H663,Cash_Flow_3[Type],"Out",Cash_Flow_3[Category],"Iqbal")</f>
        <v>0</v>
      </c>
    </row>
    <row r="664" spans="1:20" ht="22.5" customHeight="1" x14ac:dyDescent="0.2">
      <c r="A664" s="23"/>
      <c r="B664" s="24"/>
      <c r="C664" s="25"/>
      <c r="D664" s="25"/>
      <c r="E664" s="25"/>
      <c r="F664" s="26"/>
      <c r="G664" s="27"/>
      <c r="H664" s="28" t="str">
        <f t="shared" si="0"/>
        <v/>
      </c>
      <c r="I664" s="29">
        <f>SUMIFS(Cash_Flow_3[Amount],Cash_Flow_3[Bulan],H664,Cash_Flow_3[Type],"In")</f>
        <v>0</v>
      </c>
      <c r="J664" s="29">
        <f>SUMIFS(Cash_Flow_3[Amount],Cash_Flow_3[Bulan],H664,Cash_Flow_3[Type],"Out")</f>
        <v>0</v>
      </c>
      <c r="K664" s="29">
        <f>SUMIFS(Cash_Flow_3[Amount],Cash_Flow_3[Bulan],H664,Cash_Flow_3[Type],"Out",Cash_Flow_3[Category],"Fix")</f>
        <v>0</v>
      </c>
      <c r="L664" s="29">
        <f>SUMIFS(Cash_Flow_3[Amount],Cash_Flow_3[Bulan],H664,Cash_Flow_3[Type],"Out",Cash_Flow_3[Category],"Bathroom")</f>
        <v>0</v>
      </c>
      <c r="M664" s="29">
        <f>SUMIFS(Cash_Flow_3[Amount],Cash_Flow_3[Bulan],H664,Cash_Flow_3[Type],"Out",Cash_Flow_3[Category],"Alfa")</f>
        <v>0</v>
      </c>
      <c r="N664" s="29">
        <f>SUMIFS(Cash_Flow_3[Amount],Cash_Flow_3[Bulan],H664,Cash_Flow_3[Type],"Out",Cash_Flow_3[Category],"Jajan")</f>
        <v>0</v>
      </c>
      <c r="O664" s="29">
        <f>SUMIFS(Cash_Flow_3[Amount],Cash_Flow_3[Bulan],H664,Cash_Flow_3[Type],"Out",Cash_Flow_3[Category],"Kitchen")</f>
        <v>0</v>
      </c>
      <c r="P664" s="29">
        <f>SUMIFS(Cash_Flow_3[Amount],Cash_Flow_3[Bulan],H664,Cash_Flow_3[Type],"Out",Cash_Flow_3[Category],"Loandry")</f>
        <v>0</v>
      </c>
      <c r="Q664" s="29">
        <f>SUMIFS(Cash_Flow_3[Amount],Cash_Flow_3[Bulan],H664,Cash_Flow_3[Type],"Out",Cash_Flow_3[Category],"Mio")</f>
        <v>0</v>
      </c>
      <c r="R664" s="29">
        <f>SUMIFS(Cash_Flow_3[Amount],Cash_Flow_3[Bulan],H664,Cash_Flow_3[Type],"Out",Cash_Flow_3[Category],"Sedekah")</f>
        <v>0</v>
      </c>
      <c r="S664" s="29">
        <f>SUMIFS(Cash_Flow_3[Amount],Cash_Flow_3[Bulan],H664,Cash_Flow_3[Type],"Out",Cash_Flow_3[Category],"Zela")</f>
        <v>0</v>
      </c>
      <c r="T664" s="29">
        <f>SUMIFS(Cash_Flow_3[Amount],Cash_Flow_3[Bulan],H664,Cash_Flow_3[Type],"Out",Cash_Flow_3[Category],"Iqbal")</f>
        <v>0</v>
      </c>
    </row>
    <row r="665" spans="1:20" ht="22.5" customHeight="1" x14ac:dyDescent="0.2">
      <c r="A665" s="23"/>
      <c r="B665" s="24"/>
      <c r="C665" s="25"/>
      <c r="D665" s="25"/>
      <c r="E665" s="25"/>
      <c r="F665" s="26"/>
      <c r="G665" s="27"/>
      <c r="H665" s="28" t="str">
        <f t="shared" si="0"/>
        <v/>
      </c>
      <c r="I665" s="29">
        <f>SUMIFS(Cash_Flow_3[Amount],Cash_Flow_3[Bulan],H665,Cash_Flow_3[Type],"In")</f>
        <v>0</v>
      </c>
      <c r="J665" s="29">
        <f>SUMIFS(Cash_Flow_3[Amount],Cash_Flow_3[Bulan],H665,Cash_Flow_3[Type],"Out")</f>
        <v>0</v>
      </c>
      <c r="K665" s="29">
        <f>SUMIFS(Cash_Flow_3[Amount],Cash_Flow_3[Bulan],H665,Cash_Flow_3[Type],"Out",Cash_Flow_3[Category],"Fix")</f>
        <v>0</v>
      </c>
      <c r="L665" s="29">
        <f>SUMIFS(Cash_Flow_3[Amount],Cash_Flow_3[Bulan],H665,Cash_Flow_3[Type],"Out",Cash_Flow_3[Category],"Bathroom")</f>
        <v>0</v>
      </c>
      <c r="M665" s="29">
        <f>SUMIFS(Cash_Flow_3[Amount],Cash_Flow_3[Bulan],H665,Cash_Flow_3[Type],"Out",Cash_Flow_3[Category],"Alfa")</f>
        <v>0</v>
      </c>
      <c r="N665" s="29">
        <f>SUMIFS(Cash_Flow_3[Amount],Cash_Flow_3[Bulan],H665,Cash_Flow_3[Type],"Out",Cash_Flow_3[Category],"Jajan")</f>
        <v>0</v>
      </c>
      <c r="O665" s="29">
        <f>SUMIFS(Cash_Flow_3[Amount],Cash_Flow_3[Bulan],H665,Cash_Flow_3[Type],"Out",Cash_Flow_3[Category],"Kitchen")</f>
        <v>0</v>
      </c>
      <c r="P665" s="29">
        <f>SUMIFS(Cash_Flow_3[Amount],Cash_Flow_3[Bulan],H665,Cash_Flow_3[Type],"Out",Cash_Flow_3[Category],"Loandry")</f>
        <v>0</v>
      </c>
      <c r="Q665" s="29">
        <f>SUMIFS(Cash_Flow_3[Amount],Cash_Flow_3[Bulan],H665,Cash_Flow_3[Type],"Out",Cash_Flow_3[Category],"Mio")</f>
        <v>0</v>
      </c>
      <c r="R665" s="29">
        <f>SUMIFS(Cash_Flow_3[Amount],Cash_Flow_3[Bulan],H665,Cash_Flow_3[Type],"Out",Cash_Flow_3[Category],"Sedekah")</f>
        <v>0</v>
      </c>
      <c r="S665" s="29">
        <f>SUMIFS(Cash_Flow_3[Amount],Cash_Flow_3[Bulan],H665,Cash_Flow_3[Type],"Out",Cash_Flow_3[Category],"Zela")</f>
        <v>0</v>
      </c>
      <c r="T665" s="29">
        <f>SUMIFS(Cash_Flow_3[Amount],Cash_Flow_3[Bulan],H665,Cash_Flow_3[Type],"Out",Cash_Flow_3[Category],"Iqbal")</f>
        <v>0</v>
      </c>
    </row>
    <row r="666" spans="1:20" ht="22.5" customHeight="1" x14ac:dyDescent="0.2">
      <c r="A666" s="23"/>
      <c r="B666" s="24"/>
      <c r="C666" s="25"/>
      <c r="D666" s="25"/>
      <c r="E666" s="25"/>
      <c r="F666" s="26"/>
      <c r="G666" s="27"/>
      <c r="H666" s="28" t="str">
        <f t="shared" si="0"/>
        <v/>
      </c>
      <c r="I666" s="29">
        <f>SUMIFS(Cash_Flow_3[Amount],Cash_Flow_3[Bulan],H666,Cash_Flow_3[Type],"In")</f>
        <v>0</v>
      </c>
      <c r="J666" s="29">
        <f>SUMIFS(Cash_Flow_3[Amount],Cash_Flow_3[Bulan],H666,Cash_Flow_3[Type],"Out")</f>
        <v>0</v>
      </c>
      <c r="K666" s="29">
        <f>SUMIFS(Cash_Flow_3[Amount],Cash_Flow_3[Bulan],H666,Cash_Flow_3[Type],"Out",Cash_Flow_3[Category],"Fix")</f>
        <v>0</v>
      </c>
      <c r="L666" s="29">
        <f>SUMIFS(Cash_Flow_3[Amount],Cash_Flow_3[Bulan],H666,Cash_Flow_3[Type],"Out",Cash_Flow_3[Category],"Bathroom")</f>
        <v>0</v>
      </c>
      <c r="M666" s="29">
        <f>SUMIFS(Cash_Flow_3[Amount],Cash_Flow_3[Bulan],H666,Cash_Flow_3[Type],"Out",Cash_Flow_3[Category],"Alfa")</f>
        <v>0</v>
      </c>
      <c r="N666" s="29">
        <f>SUMIFS(Cash_Flow_3[Amount],Cash_Flow_3[Bulan],H666,Cash_Flow_3[Type],"Out",Cash_Flow_3[Category],"Jajan")</f>
        <v>0</v>
      </c>
      <c r="O666" s="29">
        <f>SUMIFS(Cash_Flow_3[Amount],Cash_Flow_3[Bulan],H666,Cash_Flow_3[Type],"Out",Cash_Flow_3[Category],"Kitchen")</f>
        <v>0</v>
      </c>
      <c r="P666" s="29">
        <f>SUMIFS(Cash_Flow_3[Amount],Cash_Flow_3[Bulan],H666,Cash_Flow_3[Type],"Out",Cash_Flow_3[Category],"Loandry")</f>
        <v>0</v>
      </c>
      <c r="Q666" s="29">
        <f>SUMIFS(Cash_Flow_3[Amount],Cash_Flow_3[Bulan],H666,Cash_Flow_3[Type],"Out",Cash_Flow_3[Category],"Mio")</f>
        <v>0</v>
      </c>
      <c r="R666" s="29">
        <f>SUMIFS(Cash_Flow_3[Amount],Cash_Flow_3[Bulan],H666,Cash_Flow_3[Type],"Out",Cash_Flow_3[Category],"Sedekah")</f>
        <v>0</v>
      </c>
      <c r="S666" s="29">
        <f>SUMIFS(Cash_Flow_3[Amount],Cash_Flow_3[Bulan],H666,Cash_Flow_3[Type],"Out",Cash_Flow_3[Category],"Zela")</f>
        <v>0</v>
      </c>
      <c r="T666" s="29">
        <f>SUMIFS(Cash_Flow_3[Amount],Cash_Flow_3[Bulan],H666,Cash_Flow_3[Type],"Out",Cash_Flow_3[Category],"Iqbal")</f>
        <v>0</v>
      </c>
    </row>
    <row r="667" spans="1:20" ht="22.5" customHeight="1" x14ac:dyDescent="0.2">
      <c r="A667" s="23"/>
      <c r="B667" s="24"/>
      <c r="C667" s="25"/>
      <c r="D667" s="25"/>
      <c r="E667" s="25"/>
      <c r="F667" s="26"/>
      <c r="G667" s="27"/>
      <c r="H667" s="28" t="str">
        <f t="shared" si="0"/>
        <v/>
      </c>
      <c r="I667" s="29">
        <f>SUMIFS(Cash_Flow_3[Amount],Cash_Flow_3[Bulan],H667,Cash_Flow_3[Type],"In")</f>
        <v>0</v>
      </c>
      <c r="J667" s="29">
        <f>SUMIFS(Cash_Flow_3[Amount],Cash_Flow_3[Bulan],H667,Cash_Flow_3[Type],"Out")</f>
        <v>0</v>
      </c>
      <c r="K667" s="29">
        <f>SUMIFS(Cash_Flow_3[Amount],Cash_Flow_3[Bulan],H667,Cash_Flow_3[Type],"Out",Cash_Flow_3[Category],"Fix")</f>
        <v>0</v>
      </c>
      <c r="L667" s="29">
        <f>SUMIFS(Cash_Flow_3[Amount],Cash_Flow_3[Bulan],H667,Cash_Flow_3[Type],"Out",Cash_Flow_3[Category],"Bathroom")</f>
        <v>0</v>
      </c>
      <c r="M667" s="29">
        <f>SUMIFS(Cash_Flow_3[Amount],Cash_Flow_3[Bulan],H667,Cash_Flow_3[Type],"Out",Cash_Flow_3[Category],"Alfa")</f>
        <v>0</v>
      </c>
      <c r="N667" s="29">
        <f>SUMIFS(Cash_Flow_3[Amount],Cash_Flow_3[Bulan],H667,Cash_Flow_3[Type],"Out",Cash_Flow_3[Category],"Jajan")</f>
        <v>0</v>
      </c>
      <c r="O667" s="29">
        <f>SUMIFS(Cash_Flow_3[Amount],Cash_Flow_3[Bulan],H667,Cash_Flow_3[Type],"Out",Cash_Flow_3[Category],"Kitchen")</f>
        <v>0</v>
      </c>
      <c r="P667" s="29">
        <f>SUMIFS(Cash_Flow_3[Amount],Cash_Flow_3[Bulan],H667,Cash_Flow_3[Type],"Out",Cash_Flow_3[Category],"Loandry")</f>
        <v>0</v>
      </c>
      <c r="Q667" s="29">
        <f>SUMIFS(Cash_Flow_3[Amount],Cash_Flow_3[Bulan],H667,Cash_Flow_3[Type],"Out",Cash_Flow_3[Category],"Mio")</f>
        <v>0</v>
      </c>
      <c r="R667" s="29">
        <f>SUMIFS(Cash_Flow_3[Amount],Cash_Flow_3[Bulan],H667,Cash_Flow_3[Type],"Out",Cash_Flow_3[Category],"Sedekah")</f>
        <v>0</v>
      </c>
      <c r="S667" s="29">
        <f>SUMIFS(Cash_Flow_3[Amount],Cash_Flow_3[Bulan],H667,Cash_Flow_3[Type],"Out",Cash_Flow_3[Category],"Zela")</f>
        <v>0</v>
      </c>
      <c r="T667" s="29">
        <f>SUMIFS(Cash_Flow_3[Amount],Cash_Flow_3[Bulan],H667,Cash_Flow_3[Type],"Out",Cash_Flow_3[Category],"Iqbal")</f>
        <v>0</v>
      </c>
    </row>
    <row r="668" spans="1:20" ht="22.5" customHeight="1" x14ac:dyDescent="0.2">
      <c r="A668" s="23"/>
      <c r="B668" s="24"/>
      <c r="C668" s="25"/>
      <c r="D668" s="25"/>
      <c r="E668" s="25"/>
      <c r="F668" s="26"/>
      <c r="G668" s="27"/>
      <c r="H668" s="28" t="str">
        <f t="shared" si="0"/>
        <v/>
      </c>
      <c r="I668" s="29">
        <f>SUMIFS(Cash_Flow_3[Amount],Cash_Flow_3[Bulan],H668,Cash_Flow_3[Type],"In")</f>
        <v>0</v>
      </c>
      <c r="J668" s="29">
        <f>SUMIFS(Cash_Flow_3[Amount],Cash_Flow_3[Bulan],H668,Cash_Flow_3[Type],"Out")</f>
        <v>0</v>
      </c>
      <c r="K668" s="29">
        <f>SUMIFS(Cash_Flow_3[Amount],Cash_Flow_3[Bulan],H668,Cash_Flow_3[Type],"Out",Cash_Flow_3[Category],"Fix")</f>
        <v>0</v>
      </c>
      <c r="L668" s="29">
        <f>SUMIFS(Cash_Flow_3[Amount],Cash_Flow_3[Bulan],H668,Cash_Flow_3[Type],"Out",Cash_Flow_3[Category],"Bathroom")</f>
        <v>0</v>
      </c>
      <c r="M668" s="29">
        <f>SUMIFS(Cash_Flow_3[Amount],Cash_Flow_3[Bulan],H668,Cash_Flow_3[Type],"Out",Cash_Flow_3[Category],"Alfa")</f>
        <v>0</v>
      </c>
      <c r="N668" s="29">
        <f>SUMIFS(Cash_Flow_3[Amount],Cash_Flow_3[Bulan],H668,Cash_Flow_3[Type],"Out",Cash_Flow_3[Category],"Jajan")</f>
        <v>0</v>
      </c>
      <c r="O668" s="29">
        <f>SUMIFS(Cash_Flow_3[Amount],Cash_Flow_3[Bulan],H668,Cash_Flow_3[Type],"Out",Cash_Flow_3[Category],"Kitchen")</f>
        <v>0</v>
      </c>
      <c r="P668" s="29">
        <f>SUMIFS(Cash_Flow_3[Amount],Cash_Flow_3[Bulan],H668,Cash_Flow_3[Type],"Out",Cash_Flow_3[Category],"Loandry")</f>
        <v>0</v>
      </c>
      <c r="Q668" s="29">
        <f>SUMIFS(Cash_Flow_3[Amount],Cash_Flow_3[Bulan],H668,Cash_Flow_3[Type],"Out",Cash_Flow_3[Category],"Mio")</f>
        <v>0</v>
      </c>
      <c r="R668" s="29">
        <f>SUMIFS(Cash_Flow_3[Amount],Cash_Flow_3[Bulan],H668,Cash_Flow_3[Type],"Out",Cash_Flow_3[Category],"Sedekah")</f>
        <v>0</v>
      </c>
      <c r="S668" s="29">
        <f>SUMIFS(Cash_Flow_3[Amount],Cash_Flow_3[Bulan],H668,Cash_Flow_3[Type],"Out",Cash_Flow_3[Category],"Zela")</f>
        <v>0</v>
      </c>
      <c r="T668" s="29">
        <f>SUMIFS(Cash_Flow_3[Amount],Cash_Flow_3[Bulan],H668,Cash_Flow_3[Type],"Out",Cash_Flow_3[Category],"Iqbal")</f>
        <v>0</v>
      </c>
    </row>
    <row r="669" spans="1:20" ht="22.5" customHeight="1" x14ac:dyDescent="0.2">
      <c r="A669" s="23"/>
      <c r="B669" s="24"/>
      <c r="C669" s="25"/>
      <c r="D669" s="25"/>
      <c r="E669" s="25"/>
      <c r="F669" s="26"/>
      <c r="G669" s="27"/>
      <c r="H669" s="28" t="str">
        <f t="shared" si="0"/>
        <v/>
      </c>
      <c r="I669" s="29">
        <f>SUMIFS(Cash_Flow_3[Amount],Cash_Flow_3[Bulan],H669,Cash_Flow_3[Type],"In")</f>
        <v>0</v>
      </c>
      <c r="J669" s="29">
        <f>SUMIFS(Cash_Flow_3[Amount],Cash_Flow_3[Bulan],H669,Cash_Flow_3[Type],"Out")</f>
        <v>0</v>
      </c>
      <c r="K669" s="29">
        <f>SUMIFS(Cash_Flow_3[Amount],Cash_Flow_3[Bulan],H669,Cash_Flow_3[Type],"Out",Cash_Flow_3[Category],"Fix")</f>
        <v>0</v>
      </c>
      <c r="L669" s="29">
        <f>SUMIFS(Cash_Flow_3[Amount],Cash_Flow_3[Bulan],H669,Cash_Flow_3[Type],"Out",Cash_Flow_3[Category],"Bathroom")</f>
        <v>0</v>
      </c>
      <c r="M669" s="29">
        <f>SUMIFS(Cash_Flow_3[Amount],Cash_Flow_3[Bulan],H669,Cash_Flow_3[Type],"Out",Cash_Flow_3[Category],"Alfa")</f>
        <v>0</v>
      </c>
      <c r="N669" s="29">
        <f>SUMIFS(Cash_Flow_3[Amount],Cash_Flow_3[Bulan],H669,Cash_Flow_3[Type],"Out",Cash_Flow_3[Category],"Jajan")</f>
        <v>0</v>
      </c>
      <c r="O669" s="29">
        <f>SUMIFS(Cash_Flow_3[Amount],Cash_Flow_3[Bulan],H669,Cash_Flow_3[Type],"Out",Cash_Flow_3[Category],"Kitchen")</f>
        <v>0</v>
      </c>
      <c r="P669" s="29">
        <f>SUMIFS(Cash_Flow_3[Amount],Cash_Flow_3[Bulan],H669,Cash_Flow_3[Type],"Out",Cash_Flow_3[Category],"Loandry")</f>
        <v>0</v>
      </c>
      <c r="Q669" s="29">
        <f>SUMIFS(Cash_Flow_3[Amount],Cash_Flow_3[Bulan],H669,Cash_Flow_3[Type],"Out",Cash_Flow_3[Category],"Mio")</f>
        <v>0</v>
      </c>
      <c r="R669" s="29">
        <f>SUMIFS(Cash_Flow_3[Amount],Cash_Flow_3[Bulan],H669,Cash_Flow_3[Type],"Out",Cash_Flow_3[Category],"Sedekah")</f>
        <v>0</v>
      </c>
      <c r="S669" s="29">
        <f>SUMIFS(Cash_Flow_3[Amount],Cash_Flow_3[Bulan],H669,Cash_Flow_3[Type],"Out",Cash_Flow_3[Category],"Zela")</f>
        <v>0</v>
      </c>
      <c r="T669" s="29">
        <f>SUMIFS(Cash_Flow_3[Amount],Cash_Flow_3[Bulan],H669,Cash_Flow_3[Type],"Out",Cash_Flow_3[Category],"Iqbal")</f>
        <v>0</v>
      </c>
    </row>
    <row r="670" spans="1:20" ht="22.5" customHeight="1" x14ac:dyDescent="0.2">
      <c r="A670" s="23"/>
      <c r="B670" s="24"/>
      <c r="C670" s="25"/>
      <c r="D670" s="25"/>
      <c r="E670" s="25"/>
      <c r="F670" s="26"/>
      <c r="G670" s="27"/>
      <c r="H670" s="28" t="str">
        <f t="shared" si="0"/>
        <v/>
      </c>
      <c r="I670" s="29">
        <f>SUMIFS(Cash_Flow_3[Amount],Cash_Flow_3[Bulan],H670,Cash_Flow_3[Type],"In")</f>
        <v>0</v>
      </c>
      <c r="J670" s="29">
        <f>SUMIFS(Cash_Flow_3[Amount],Cash_Flow_3[Bulan],H670,Cash_Flow_3[Type],"Out")</f>
        <v>0</v>
      </c>
      <c r="K670" s="29">
        <f>SUMIFS(Cash_Flow_3[Amount],Cash_Flow_3[Bulan],H670,Cash_Flow_3[Type],"Out",Cash_Flow_3[Category],"Fix")</f>
        <v>0</v>
      </c>
      <c r="L670" s="29">
        <f>SUMIFS(Cash_Flow_3[Amount],Cash_Flow_3[Bulan],H670,Cash_Flow_3[Type],"Out",Cash_Flow_3[Category],"Bathroom")</f>
        <v>0</v>
      </c>
      <c r="M670" s="29">
        <f>SUMIFS(Cash_Flow_3[Amount],Cash_Flow_3[Bulan],H670,Cash_Flow_3[Type],"Out",Cash_Flow_3[Category],"Alfa")</f>
        <v>0</v>
      </c>
      <c r="N670" s="29">
        <f>SUMIFS(Cash_Flow_3[Amount],Cash_Flow_3[Bulan],H670,Cash_Flow_3[Type],"Out",Cash_Flow_3[Category],"Jajan")</f>
        <v>0</v>
      </c>
      <c r="O670" s="29">
        <f>SUMIFS(Cash_Flow_3[Amount],Cash_Flow_3[Bulan],H670,Cash_Flow_3[Type],"Out",Cash_Flow_3[Category],"Kitchen")</f>
        <v>0</v>
      </c>
      <c r="P670" s="29">
        <f>SUMIFS(Cash_Flow_3[Amount],Cash_Flow_3[Bulan],H670,Cash_Flow_3[Type],"Out",Cash_Flow_3[Category],"Loandry")</f>
        <v>0</v>
      </c>
      <c r="Q670" s="29">
        <f>SUMIFS(Cash_Flow_3[Amount],Cash_Flow_3[Bulan],H670,Cash_Flow_3[Type],"Out",Cash_Flow_3[Category],"Mio")</f>
        <v>0</v>
      </c>
      <c r="R670" s="29">
        <f>SUMIFS(Cash_Flow_3[Amount],Cash_Flow_3[Bulan],H670,Cash_Flow_3[Type],"Out",Cash_Flow_3[Category],"Sedekah")</f>
        <v>0</v>
      </c>
      <c r="S670" s="29">
        <f>SUMIFS(Cash_Flow_3[Amount],Cash_Flow_3[Bulan],H670,Cash_Flow_3[Type],"Out",Cash_Flow_3[Category],"Zela")</f>
        <v>0</v>
      </c>
      <c r="T670" s="29">
        <f>SUMIFS(Cash_Flow_3[Amount],Cash_Flow_3[Bulan],H670,Cash_Flow_3[Type],"Out",Cash_Flow_3[Category],"Iqbal")</f>
        <v>0</v>
      </c>
    </row>
    <row r="671" spans="1:20" ht="22.5" customHeight="1" x14ac:dyDescent="0.2">
      <c r="A671" s="23"/>
      <c r="B671" s="24"/>
      <c r="C671" s="25"/>
      <c r="D671" s="25"/>
      <c r="E671" s="25"/>
      <c r="F671" s="26"/>
      <c r="G671" s="27"/>
      <c r="H671" s="28" t="str">
        <f t="shared" si="0"/>
        <v/>
      </c>
      <c r="I671" s="29">
        <f>SUMIFS(Cash_Flow_3[Amount],Cash_Flow_3[Bulan],H671,Cash_Flow_3[Type],"In")</f>
        <v>0</v>
      </c>
      <c r="J671" s="29">
        <f>SUMIFS(Cash_Flow_3[Amount],Cash_Flow_3[Bulan],H671,Cash_Flow_3[Type],"Out")</f>
        <v>0</v>
      </c>
      <c r="K671" s="29">
        <f>SUMIFS(Cash_Flow_3[Amount],Cash_Flow_3[Bulan],H671,Cash_Flow_3[Type],"Out",Cash_Flow_3[Category],"Fix")</f>
        <v>0</v>
      </c>
      <c r="L671" s="29">
        <f>SUMIFS(Cash_Flow_3[Amount],Cash_Flow_3[Bulan],H671,Cash_Flow_3[Type],"Out",Cash_Flow_3[Category],"Bathroom")</f>
        <v>0</v>
      </c>
      <c r="M671" s="29">
        <f>SUMIFS(Cash_Flow_3[Amount],Cash_Flow_3[Bulan],H671,Cash_Flow_3[Type],"Out",Cash_Flow_3[Category],"Alfa")</f>
        <v>0</v>
      </c>
      <c r="N671" s="29">
        <f>SUMIFS(Cash_Flow_3[Amount],Cash_Flow_3[Bulan],H671,Cash_Flow_3[Type],"Out",Cash_Flow_3[Category],"Jajan")</f>
        <v>0</v>
      </c>
      <c r="O671" s="29">
        <f>SUMIFS(Cash_Flow_3[Amount],Cash_Flow_3[Bulan],H671,Cash_Flow_3[Type],"Out",Cash_Flow_3[Category],"Kitchen")</f>
        <v>0</v>
      </c>
      <c r="P671" s="29">
        <f>SUMIFS(Cash_Flow_3[Amount],Cash_Flow_3[Bulan],H671,Cash_Flow_3[Type],"Out",Cash_Flow_3[Category],"Loandry")</f>
        <v>0</v>
      </c>
      <c r="Q671" s="29">
        <f>SUMIFS(Cash_Flow_3[Amount],Cash_Flow_3[Bulan],H671,Cash_Flow_3[Type],"Out",Cash_Flow_3[Category],"Mio")</f>
        <v>0</v>
      </c>
      <c r="R671" s="29">
        <f>SUMIFS(Cash_Flow_3[Amount],Cash_Flow_3[Bulan],H671,Cash_Flow_3[Type],"Out",Cash_Flow_3[Category],"Sedekah")</f>
        <v>0</v>
      </c>
      <c r="S671" s="29">
        <f>SUMIFS(Cash_Flow_3[Amount],Cash_Flow_3[Bulan],H671,Cash_Flow_3[Type],"Out",Cash_Flow_3[Category],"Zela")</f>
        <v>0</v>
      </c>
      <c r="T671" s="29">
        <f>SUMIFS(Cash_Flow_3[Amount],Cash_Flow_3[Bulan],H671,Cash_Flow_3[Type],"Out",Cash_Flow_3[Category],"Iqbal")</f>
        <v>0</v>
      </c>
    </row>
    <row r="672" spans="1:20" ht="22.5" customHeight="1" x14ac:dyDescent="0.2">
      <c r="A672" s="23"/>
      <c r="B672" s="24"/>
      <c r="C672" s="25"/>
      <c r="D672" s="25"/>
      <c r="E672" s="25"/>
      <c r="F672" s="26"/>
      <c r="G672" s="27"/>
      <c r="H672" s="28" t="str">
        <f t="shared" si="0"/>
        <v/>
      </c>
      <c r="I672" s="29">
        <f>SUMIFS(Cash_Flow_3[Amount],Cash_Flow_3[Bulan],H672,Cash_Flow_3[Type],"In")</f>
        <v>0</v>
      </c>
      <c r="J672" s="29">
        <f>SUMIFS(Cash_Flow_3[Amount],Cash_Flow_3[Bulan],H672,Cash_Flow_3[Type],"Out")</f>
        <v>0</v>
      </c>
      <c r="K672" s="29">
        <f>SUMIFS(Cash_Flow_3[Amount],Cash_Flow_3[Bulan],H672,Cash_Flow_3[Type],"Out",Cash_Flow_3[Category],"Fix")</f>
        <v>0</v>
      </c>
      <c r="L672" s="29">
        <f>SUMIFS(Cash_Flow_3[Amount],Cash_Flow_3[Bulan],H672,Cash_Flow_3[Type],"Out",Cash_Flow_3[Category],"Bathroom")</f>
        <v>0</v>
      </c>
      <c r="M672" s="29">
        <f>SUMIFS(Cash_Flow_3[Amount],Cash_Flow_3[Bulan],H672,Cash_Flow_3[Type],"Out",Cash_Flow_3[Category],"Alfa")</f>
        <v>0</v>
      </c>
      <c r="N672" s="29">
        <f>SUMIFS(Cash_Flow_3[Amount],Cash_Flow_3[Bulan],H672,Cash_Flow_3[Type],"Out",Cash_Flow_3[Category],"Jajan")</f>
        <v>0</v>
      </c>
      <c r="O672" s="29">
        <f>SUMIFS(Cash_Flow_3[Amount],Cash_Flow_3[Bulan],H672,Cash_Flow_3[Type],"Out",Cash_Flow_3[Category],"Kitchen")</f>
        <v>0</v>
      </c>
      <c r="P672" s="29">
        <f>SUMIFS(Cash_Flow_3[Amount],Cash_Flow_3[Bulan],H672,Cash_Flow_3[Type],"Out",Cash_Flow_3[Category],"Loandry")</f>
        <v>0</v>
      </c>
      <c r="Q672" s="29">
        <f>SUMIFS(Cash_Flow_3[Amount],Cash_Flow_3[Bulan],H672,Cash_Flow_3[Type],"Out",Cash_Flow_3[Category],"Mio")</f>
        <v>0</v>
      </c>
      <c r="R672" s="29">
        <f>SUMIFS(Cash_Flow_3[Amount],Cash_Flow_3[Bulan],H672,Cash_Flow_3[Type],"Out",Cash_Flow_3[Category],"Sedekah")</f>
        <v>0</v>
      </c>
      <c r="S672" s="29">
        <f>SUMIFS(Cash_Flow_3[Amount],Cash_Flow_3[Bulan],H672,Cash_Flow_3[Type],"Out",Cash_Flow_3[Category],"Zela")</f>
        <v>0</v>
      </c>
      <c r="T672" s="29">
        <f>SUMIFS(Cash_Flow_3[Amount],Cash_Flow_3[Bulan],H672,Cash_Flow_3[Type],"Out",Cash_Flow_3[Category],"Iqbal")</f>
        <v>0</v>
      </c>
    </row>
    <row r="673" spans="1:20" ht="22.5" customHeight="1" x14ac:dyDescent="0.2">
      <c r="A673" s="23"/>
      <c r="B673" s="24"/>
      <c r="C673" s="25"/>
      <c r="D673" s="25"/>
      <c r="E673" s="25"/>
      <c r="F673" s="26"/>
      <c r="G673" s="27"/>
      <c r="H673" s="28" t="str">
        <f t="shared" si="0"/>
        <v/>
      </c>
      <c r="I673" s="29">
        <f>SUMIFS(Cash_Flow_3[Amount],Cash_Flow_3[Bulan],H673,Cash_Flow_3[Type],"In")</f>
        <v>0</v>
      </c>
      <c r="J673" s="29">
        <f>SUMIFS(Cash_Flow_3[Amount],Cash_Flow_3[Bulan],H673,Cash_Flow_3[Type],"Out")</f>
        <v>0</v>
      </c>
      <c r="K673" s="29">
        <f>SUMIFS(Cash_Flow_3[Amount],Cash_Flow_3[Bulan],H673,Cash_Flow_3[Type],"Out",Cash_Flow_3[Category],"Fix")</f>
        <v>0</v>
      </c>
      <c r="L673" s="29">
        <f>SUMIFS(Cash_Flow_3[Amount],Cash_Flow_3[Bulan],H673,Cash_Flow_3[Type],"Out",Cash_Flow_3[Category],"Bathroom")</f>
        <v>0</v>
      </c>
      <c r="M673" s="29">
        <f>SUMIFS(Cash_Flow_3[Amount],Cash_Flow_3[Bulan],H673,Cash_Flow_3[Type],"Out",Cash_Flow_3[Category],"Alfa")</f>
        <v>0</v>
      </c>
      <c r="N673" s="29">
        <f>SUMIFS(Cash_Flow_3[Amount],Cash_Flow_3[Bulan],H673,Cash_Flow_3[Type],"Out",Cash_Flow_3[Category],"Jajan")</f>
        <v>0</v>
      </c>
      <c r="O673" s="29">
        <f>SUMIFS(Cash_Flow_3[Amount],Cash_Flow_3[Bulan],H673,Cash_Flow_3[Type],"Out",Cash_Flow_3[Category],"Kitchen")</f>
        <v>0</v>
      </c>
      <c r="P673" s="29">
        <f>SUMIFS(Cash_Flow_3[Amount],Cash_Flow_3[Bulan],H673,Cash_Flow_3[Type],"Out",Cash_Flow_3[Category],"Loandry")</f>
        <v>0</v>
      </c>
      <c r="Q673" s="29">
        <f>SUMIFS(Cash_Flow_3[Amount],Cash_Flow_3[Bulan],H673,Cash_Flow_3[Type],"Out",Cash_Flow_3[Category],"Mio")</f>
        <v>0</v>
      </c>
      <c r="R673" s="29">
        <f>SUMIFS(Cash_Flow_3[Amount],Cash_Flow_3[Bulan],H673,Cash_Flow_3[Type],"Out",Cash_Flow_3[Category],"Sedekah")</f>
        <v>0</v>
      </c>
      <c r="S673" s="29">
        <f>SUMIFS(Cash_Flow_3[Amount],Cash_Flow_3[Bulan],H673,Cash_Flow_3[Type],"Out",Cash_Flow_3[Category],"Zela")</f>
        <v>0</v>
      </c>
      <c r="T673" s="29">
        <f>SUMIFS(Cash_Flow_3[Amount],Cash_Flow_3[Bulan],H673,Cash_Flow_3[Type],"Out",Cash_Flow_3[Category],"Iqbal")</f>
        <v>0</v>
      </c>
    </row>
    <row r="674" spans="1:20" ht="22.5" customHeight="1" x14ac:dyDescent="0.2">
      <c r="A674" s="23"/>
      <c r="B674" s="24"/>
      <c r="C674" s="25"/>
      <c r="D674" s="25"/>
      <c r="E674" s="25"/>
      <c r="F674" s="26"/>
      <c r="G674" s="27"/>
      <c r="H674" s="28" t="str">
        <f t="shared" si="0"/>
        <v/>
      </c>
      <c r="I674" s="29">
        <f>SUMIFS(Cash_Flow_3[Amount],Cash_Flow_3[Bulan],H674,Cash_Flow_3[Type],"In")</f>
        <v>0</v>
      </c>
      <c r="J674" s="29">
        <f>SUMIFS(Cash_Flow_3[Amount],Cash_Flow_3[Bulan],H674,Cash_Flow_3[Type],"Out")</f>
        <v>0</v>
      </c>
      <c r="K674" s="29">
        <f>SUMIFS(Cash_Flow_3[Amount],Cash_Flow_3[Bulan],H674,Cash_Flow_3[Type],"Out",Cash_Flow_3[Category],"Fix")</f>
        <v>0</v>
      </c>
      <c r="L674" s="29">
        <f>SUMIFS(Cash_Flow_3[Amount],Cash_Flow_3[Bulan],H674,Cash_Flow_3[Type],"Out",Cash_Flow_3[Category],"Bathroom")</f>
        <v>0</v>
      </c>
      <c r="M674" s="29">
        <f>SUMIFS(Cash_Flow_3[Amount],Cash_Flow_3[Bulan],H674,Cash_Flow_3[Type],"Out",Cash_Flow_3[Category],"Alfa")</f>
        <v>0</v>
      </c>
      <c r="N674" s="29">
        <f>SUMIFS(Cash_Flow_3[Amount],Cash_Flow_3[Bulan],H674,Cash_Flow_3[Type],"Out",Cash_Flow_3[Category],"Jajan")</f>
        <v>0</v>
      </c>
      <c r="O674" s="29">
        <f>SUMIFS(Cash_Flow_3[Amount],Cash_Flow_3[Bulan],H674,Cash_Flow_3[Type],"Out",Cash_Flow_3[Category],"Kitchen")</f>
        <v>0</v>
      </c>
      <c r="P674" s="29">
        <f>SUMIFS(Cash_Flow_3[Amount],Cash_Flow_3[Bulan],H674,Cash_Flow_3[Type],"Out",Cash_Flow_3[Category],"Loandry")</f>
        <v>0</v>
      </c>
      <c r="Q674" s="29">
        <f>SUMIFS(Cash_Flow_3[Amount],Cash_Flow_3[Bulan],H674,Cash_Flow_3[Type],"Out",Cash_Flow_3[Category],"Mio")</f>
        <v>0</v>
      </c>
      <c r="R674" s="29">
        <f>SUMIFS(Cash_Flow_3[Amount],Cash_Flow_3[Bulan],H674,Cash_Flow_3[Type],"Out",Cash_Flow_3[Category],"Sedekah")</f>
        <v>0</v>
      </c>
      <c r="S674" s="29">
        <f>SUMIFS(Cash_Flow_3[Amount],Cash_Flow_3[Bulan],H674,Cash_Flow_3[Type],"Out",Cash_Flow_3[Category],"Zela")</f>
        <v>0</v>
      </c>
      <c r="T674" s="29">
        <f>SUMIFS(Cash_Flow_3[Amount],Cash_Flow_3[Bulan],H674,Cash_Flow_3[Type],"Out",Cash_Flow_3[Category],"Iqbal")</f>
        <v>0</v>
      </c>
    </row>
    <row r="675" spans="1:20" ht="22.5" customHeight="1" x14ac:dyDescent="0.2">
      <c r="A675" s="23"/>
      <c r="B675" s="24"/>
      <c r="C675" s="25"/>
      <c r="D675" s="25"/>
      <c r="E675" s="25"/>
      <c r="F675" s="26"/>
      <c r="G675" s="27"/>
      <c r="H675" s="28" t="str">
        <f t="shared" si="0"/>
        <v/>
      </c>
      <c r="I675" s="29">
        <f>SUMIFS(Cash_Flow_3[Amount],Cash_Flow_3[Bulan],H675,Cash_Flow_3[Type],"In")</f>
        <v>0</v>
      </c>
      <c r="J675" s="29">
        <f>SUMIFS(Cash_Flow_3[Amount],Cash_Flow_3[Bulan],H675,Cash_Flow_3[Type],"Out")</f>
        <v>0</v>
      </c>
      <c r="K675" s="29">
        <f>SUMIFS(Cash_Flow_3[Amount],Cash_Flow_3[Bulan],H675,Cash_Flow_3[Type],"Out",Cash_Flow_3[Category],"Fix")</f>
        <v>0</v>
      </c>
      <c r="L675" s="29">
        <f>SUMIFS(Cash_Flow_3[Amount],Cash_Flow_3[Bulan],H675,Cash_Flow_3[Type],"Out",Cash_Flow_3[Category],"Bathroom")</f>
        <v>0</v>
      </c>
      <c r="M675" s="29">
        <f>SUMIFS(Cash_Flow_3[Amount],Cash_Flow_3[Bulan],H675,Cash_Flow_3[Type],"Out",Cash_Flow_3[Category],"Alfa")</f>
        <v>0</v>
      </c>
      <c r="N675" s="29">
        <f>SUMIFS(Cash_Flow_3[Amount],Cash_Flow_3[Bulan],H675,Cash_Flow_3[Type],"Out",Cash_Flow_3[Category],"Jajan")</f>
        <v>0</v>
      </c>
      <c r="O675" s="29">
        <f>SUMIFS(Cash_Flow_3[Amount],Cash_Flow_3[Bulan],H675,Cash_Flow_3[Type],"Out",Cash_Flow_3[Category],"Kitchen")</f>
        <v>0</v>
      </c>
      <c r="P675" s="29">
        <f>SUMIFS(Cash_Flow_3[Amount],Cash_Flow_3[Bulan],H675,Cash_Flow_3[Type],"Out",Cash_Flow_3[Category],"Loandry")</f>
        <v>0</v>
      </c>
      <c r="Q675" s="29">
        <f>SUMIFS(Cash_Flow_3[Amount],Cash_Flow_3[Bulan],H675,Cash_Flow_3[Type],"Out",Cash_Flow_3[Category],"Mio")</f>
        <v>0</v>
      </c>
      <c r="R675" s="29">
        <f>SUMIFS(Cash_Flow_3[Amount],Cash_Flow_3[Bulan],H675,Cash_Flow_3[Type],"Out",Cash_Flow_3[Category],"Sedekah")</f>
        <v>0</v>
      </c>
      <c r="S675" s="29">
        <f>SUMIFS(Cash_Flow_3[Amount],Cash_Flow_3[Bulan],H675,Cash_Flow_3[Type],"Out",Cash_Flow_3[Category],"Zela")</f>
        <v>0</v>
      </c>
      <c r="T675" s="29">
        <f>SUMIFS(Cash_Flow_3[Amount],Cash_Flow_3[Bulan],H675,Cash_Flow_3[Type],"Out",Cash_Flow_3[Category],"Iqbal")</f>
        <v>0</v>
      </c>
    </row>
    <row r="676" spans="1:20" ht="22.5" customHeight="1" x14ac:dyDescent="0.2">
      <c r="A676" s="23"/>
      <c r="B676" s="24"/>
      <c r="C676" s="25"/>
      <c r="D676" s="25"/>
      <c r="E676" s="25"/>
      <c r="F676" s="26"/>
      <c r="G676" s="27"/>
      <c r="H676" s="28" t="str">
        <f t="shared" si="0"/>
        <v/>
      </c>
      <c r="I676" s="29">
        <f>SUMIFS(Cash_Flow_3[Amount],Cash_Flow_3[Bulan],H676,Cash_Flow_3[Type],"In")</f>
        <v>0</v>
      </c>
      <c r="J676" s="29">
        <f>SUMIFS(Cash_Flow_3[Amount],Cash_Flow_3[Bulan],H676,Cash_Flow_3[Type],"Out")</f>
        <v>0</v>
      </c>
      <c r="K676" s="29">
        <f>SUMIFS(Cash_Flow_3[Amount],Cash_Flow_3[Bulan],H676,Cash_Flow_3[Type],"Out",Cash_Flow_3[Category],"Fix")</f>
        <v>0</v>
      </c>
      <c r="L676" s="29">
        <f>SUMIFS(Cash_Flow_3[Amount],Cash_Flow_3[Bulan],H676,Cash_Flow_3[Type],"Out",Cash_Flow_3[Category],"Bathroom")</f>
        <v>0</v>
      </c>
      <c r="M676" s="29">
        <f>SUMIFS(Cash_Flow_3[Amount],Cash_Flow_3[Bulan],H676,Cash_Flow_3[Type],"Out",Cash_Flow_3[Category],"Alfa")</f>
        <v>0</v>
      </c>
      <c r="N676" s="29">
        <f>SUMIFS(Cash_Flow_3[Amount],Cash_Flow_3[Bulan],H676,Cash_Flow_3[Type],"Out",Cash_Flow_3[Category],"Jajan")</f>
        <v>0</v>
      </c>
      <c r="O676" s="29">
        <f>SUMIFS(Cash_Flow_3[Amount],Cash_Flow_3[Bulan],H676,Cash_Flow_3[Type],"Out",Cash_Flow_3[Category],"Kitchen")</f>
        <v>0</v>
      </c>
      <c r="P676" s="29">
        <f>SUMIFS(Cash_Flow_3[Amount],Cash_Flow_3[Bulan],H676,Cash_Flow_3[Type],"Out",Cash_Flow_3[Category],"Loandry")</f>
        <v>0</v>
      </c>
      <c r="Q676" s="29">
        <f>SUMIFS(Cash_Flow_3[Amount],Cash_Flow_3[Bulan],H676,Cash_Flow_3[Type],"Out",Cash_Flow_3[Category],"Mio")</f>
        <v>0</v>
      </c>
      <c r="R676" s="29">
        <f>SUMIFS(Cash_Flow_3[Amount],Cash_Flow_3[Bulan],H676,Cash_Flow_3[Type],"Out",Cash_Flow_3[Category],"Sedekah")</f>
        <v>0</v>
      </c>
      <c r="S676" s="29">
        <f>SUMIFS(Cash_Flow_3[Amount],Cash_Flow_3[Bulan],H676,Cash_Flow_3[Type],"Out",Cash_Flow_3[Category],"Zela")</f>
        <v>0</v>
      </c>
      <c r="T676" s="29">
        <f>SUMIFS(Cash_Flow_3[Amount],Cash_Flow_3[Bulan],H676,Cash_Flow_3[Type],"Out",Cash_Flow_3[Category],"Iqbal")</f>
        <v>0</v>
      </c>
    </row>
    <row r="677" spans="1:20" ht="22.5" customHeight="1" x14ac:dyDescent="0.2">
      <c r="A677" s="23"/>
      <c r="B677" s="24"/>
      <c r="C677" s="25"/>
      <c r="D677" s="25"/>
      <c r="E677" s="25"/>
      <c r="F677" s="26"/>
      <c r="G677" s="27"/>
      <c r="H677" s="28" t="str">
        <f t="shared" si="0"/>
        <v/>
      </c>
      <c r="I677" s="29">
        <f>SUMIFS(Cash_Flow_3[Amount],Cash_Flow_3[Bulan],H677,Cash_Flow_3[Type],"In")</f>
        <v>0</v>
      </c>
      <c r="J677" s="29">
        <f>SUMIFS(Cash_Flow_3[Amount],Cash_Flow_3[Bulan],H677,Cash_Flow_3[Type],"Out")</f>
        <v>0</v>
      </c>
      <c r="K677" s="29">
        <f>SUMIFS(Cash_Flow_3[Amount],Cash_Flow_3[Bulan],H677,Cash_Flow_3[Type],"Out",Cash_Flow_3[Category],"Fix")</f>
        <v>0</v>
      </c>
      <c r="L677" s="29">
        <f>SUMIFS(Cash_Flow_3[Amount],Cash_Flow_3[Bulan],H677,Cash_Flow_3[Type],"Out",Cash_Flow_3[Category],"Bathroom")</f>
        <v>0</v>
      </c>
      <c r="M677" s="29">
        <f>SUMIFS(Cash_Flow_3[Amount],Cash_Flow_3[Bulan],H677,Cash_Flow_3[Type],"Out",Cash_Flow_3[Category],"Alfa")</f>
        <v>0</v>
      </c>
      <c r="N677" s="29">
        <f>SUMIFS(Cash_Flow_3[Amount],Cash_Flow_3[Bulan],H677,Cash_Flow_3[Type],"Out",Cash_Flow_3[Category],"Jajan")</f>
        <v>0</v>
      </c>
      <c r="O677" s="29">
        <f>SUMIFS(Cash_Flow_3[Amount],Cash_Flow_3[Bulan],H677,Cash_Flow_3[Type],"Out",Cash_Flow_3[Category],"Kitchen")</f>
        <v>0</v>
      </c>
      <c r="P677" s="29">
        <f>SUMIFS(Cash_Flow_3[Amount],Cash_Flow_3[Bulan],H677,Cash_Flow_3[Type],"Out",Cash_Flow_3[Category],"Loandry")</f>
        <v>0</v>
      </c>
      <c r="Q677" s="29">
        <f>SUMIFS(Cash_Flow_3[Amount],Cash_Flow_3[Bulan],H677,Cash_Flow_3[Type],"Out",Cash_Flow_3[Category],"Mio")</f>
        <v>0</v>
      </c>
      <c r="R677" s="29">
        <f>SUMIFS(Cash_Flow_3[Amount],Cash_Flow_3[Bulan],H677,Cash_Flow_3[Type],"Out",Cash_Flow_3[Category],"Sedekah")</f>
        <v>0</v>
      </c>
      <c r="S677" s="29">
        <f>SUMIFS(Cash_Flow_3[Amount],Cash_Flow_3[Bulan],H677,Cash_Flow_3[Type],"Out",Cash_Flow_3[Category],"Zela")</f>
        <v>0</v>
      </c>
      <c r="T677" s="29">
        <f>SUMIFS(Cash_Flow_3[Amount],Cash_Flow_3[Bulan],H677,Cash_Flow_3[Type],"Out",Cash_Flow_3[Category],"Iqbal")</f>
        <v>0</v>
      </c>
    </row>
    <row r="678" spans="1:20" ht="22.5" customHeight="1" x14ac:dyDescent="0.2">
      <c r="A678" s="23"/>
      <c r="B678" s="24"/>
      <c r="C678" s="25"/>
      <c r="D678" s="25"/>
      <c r="E678" s="25"/>
      <c r="F678" s="26"/>
      <c r="G678" s="27"/>
      <c r="H678" s="28" t="str">
        <f t="shared" si="0"/>
        <v/>
      </c>
      <c r="I678" s="29">
        <f>SUMIFS(Cash_Flow_3[Amount],Cash_Flow_3[Bulan],H678,Cash_Flow_3[Type],"In")</f>
        <v>0</v>
      </c>
      <c r="J678" s="29">
        <f>SUMIFS(Cash_Flow_3[Amount],Cash_Flow_3[Bulan],H678,Cash_Flow_3[Type],"Out")</f>
        <v>0</v>
      </c>
      <c r="K678" s="29">
        <f>SUMIFS(Cash_Flow_3[Amount],Cash_Flow_3[Bulan],H678,Cash_Flow_3[Type],"Out",Cash_Flow_3[Category],"Fix")</f>
        <v>0</v>
      </c>
      <c r="L678" s="29">
        <f>SUMIFS(Cash_Flow_3[Amount],Cash_Flow_3[Bulan],H678,Cash_Flow_3[Type],"Out",Cash_Flow_3[Category],"Bathroom")</f>
        <v>0</v>
      </c>
      <c r="M678" s="29">
        <f>SUMIFS(Cash_Flow_3[Amount],Cash_Flow_3[Bulan],H678,Cash_Flow_3[Type],"Out",Cash_Flow_3[Category],"Alfa")</f>
        <v>0</v>
      </c>
      <c r="N678" s="29">
        <f>SUMIFS(Cash_Flow_3[Amount],Cash_Flow_3[Bulan],H678,Cash_Flow_3[Type],"Out",Cash_Flow_3[Category],"Jajan")</f>
        <v>0</v>
      </c>
      <c r="O678" s="29">
        <f>SUMIFS(Cash_Flow_3[Amount],Cash_Flow_3[Bulan],H678,Cash_Flow_3[Type],"Out",Cash_Flow_3[Category],"Kitchen")</f>
        <v>0</v>
      </c>
      <c r="P678" s="29">
        <f>SUMIFS(Cash_Flow_3[Amount],Cash_Flow_3[Bulan],H678,Cash_Flow_3[Type],"Out",Cash_Flow_3[Category],"Loandry")</f>
        <v>0</v>
      </c>
      <c r="Q678" s="29">
        <f>SUMIFS(Cash_Flow_3[Amount],Cash_Flow_3[Bulan],H678,Cash_Flow_3[Type],"Out",Cash_Flow_3[Category],"Mio")</f>
        <v>0</v>
      </c>
      <c r="R678" s="29">
        <f>SUMIFS(Cash_Flow_3[Amount],Cash_Flow_3[Bulan],H678,Cash_Flow_3[Type],"Out",Cash_Flow_3[Category],"Sedekah")</f>
        <v>0</v>
      </c>
      <c r="S678" s="29">
        <f>SUMIFS(Cash_Flow_3[Amount],Cash_Flow_3[Bulan],H678,Cash_Flow_3[Type],"Out",Cash_Flow_3[Category],"Zela")</f>
        <v>0</v>
      </c>
      <c r="T678" s="29">
        <f>SUMIFS(Cash_Flow_3[Amount],Cash_Flow_3[Bulan],H678,Cash_Flow_3[Type],"Out",Cash_Flow_3[Category],"Iqbal")</f>
        <v>0</v>
      </c>
    </row>
    <row r="679" spans="1:20" ht="22.5" customHeight="1" x14ac:dyDescent="0.2">
      <c r="A679" s="23"/>
      <c r="B679" s="24"/>
      <c r="C679" s="25"/>
      <c r="D679" s="25"/>
      <c r="E679" s="25"/>
      <c r="F679" s="26"/>
      <c r="G679" s="27"/>
      <c r="H679" s="28" t="str">
        <f t="shared" si="0"/>
        <v/>
      </c>
      <c r="I679" s="29">
        <f>SUMIFS(Cash_Flow_3[Amount],Cash_Flow_3[Bulan],H679,Cash_Flow_3[Type],"In")</f>
        <v>0</v>
      </c>
      <c r="J679" s="29">
        <f>SUMIFS(Cash_Flow_3[Amount],Cash_Flow_3[Bulan],H679,Cash_Flow_3[Type],"Out")</f>
        <v>0</v>
      </c>
      <c r="K679" s="29">
        <f>SUMIFS(Cash_Flow_3[Amount],Cash_Flow_3[Bulan],H679,Cash_Flow_3[Type],"Out",Cash_Flow_3[Category],"Fix")</f>
        <v>0</v>
      </c>
      <c r="L679" s="29">
        <f>SUMIFS(Cash_Flow_3[Amount],Cash_Flow_3[Bulan],H679,Cash_Flow_3[Type],"Out",Cash_Flow_3[Category],"Bathroom")</f>
        <v>0</v>
      </c>
      <c r="M679" s="29">
        <f>SUMIFS(Cash_Flow_3[Amount],Cash_Flow_3[Bulan],H679,Cash_Flow_3[Type],"Out",Cash_Flow_3[Category],"Alfa")</f>
        <v>0</v>
      </c>
      <c r="N679" s="29">
        <f>SUMIFS(Cash_Flow_3[Amount],Cash_Flow_3[Bulan],H679,Cash_Flow_3[Type],"Out",Cash_Flow_3[Category],"Jajan")</f>
        <v>0</v>
      </c>
      <c r="O679" s="29">
        <f>SUMIFS(Cash_Flow_3[Amount],Cash_Flow_3[Bulan],H679,Cash_Flow_3[Type],"Out",Cash_Flow_3[Category],"Kitchen")</f>
        <v>0</v>
      </c>
      <c r="P679" s="29">
        <f>SUMIFS(Cash_Flow_3[Amount],Cash_Flow_3[Bulan],H679,Cash_Flow_3[Type],"Out",Cash_Flow_3[Category],"Loandry")</f>
        <v>0</v>
      </c>
      <c r="Q679" s="29">
        <f>SUMIFS(Cash_Flow_3[Amount],Cash_Flow_3[Bulan],H679,Cash_Flow_3[Type],"Out",Cash_Flow_3[Category],"Mio")</f>
        <v>0</v>
      </c>
      <c r="R679" s="29">
        <f>SUMIFS(Cash_Flow_3[Amount],Cash_Flow_3[Bulan],H679,Cash_Flow_3[Type],"Out",Cash_Flow_3[Category],"Sedekah")</f>
        <v>0</v>
      </c>
      <c r="S679" s="29">
        <f>SUMIFS(Cash_Flow_3[Amount],Cash_Flow_3[Bulan],H679,Cash_Flow_3[Type],"Out",Cash_Flow_3[Category],"Zela")</f>
        <v>0</v>
      </c>
      <c r="T679" s="29">
        <f>SUMIFS(Cash_Flow_3[Amount],Cash_Flow_3[Bulan],H679,Cash_Flow_3[Type],"Out",Cash_Flow_3[Category],"Iqbal")</f>
        <v>0</v>
      </c>
    </row>
    <row r="680" spans="1:20" ht="22.5" customHeight="1" x14ac:dyDescent="0.2">
      <c r="A680" s="23"/>
      <c r="B680" s="24"/>
      <c r="C680" s="25"/>
      <c r="D680" s="25"/>
      <c r="E680" s="25"/>
      <c r="F680" s="26"/>
      <c r="G680" s="27"/>
      <c r="H680" s="28" t="str">
        <f t="shared" si="0"/>
        <v/>
      </c>
      <c r="I680" s="29">
        <f>SUMIFS(Cash_Flow_3[Amount],Cash_Flow_3[Bulan],H680,Cash_Flow_3[Type],"In")</f>
        <v>0</v>
      </c>
      <c r="J680" s="29">
        <f>SUMIFS(Cash_Flow_3[Amount],Cash_Flow_3[Bulan],H680,Cash_Flow_3[Type],"Out")</f>
        <v>0</v>
      </c>
      <c r="K680" s="29">
        <f>SUMIFS(Cash_Flow_3[Amount],Cash_Flow_3[Bulan],H680,Cash_Flow_3[Type],"Out",Cash_Flow_3[Category],"Fix")</f>
        <v>0</v>
      </c>
      <c r="L680" s="29">
        <f>SUMIFS(Cash_Flow_3[Amount],Cash_Flow_3[Bulan],H680,Cash_Flow_3[Type],"Out",Cash_Flow_3[Category],"Bathroom")</f>
        <v>0</v>
      </c>
      <c r="M680" s="29">
        <f>SUMIFS(Cash_Flow_3[Amount],Cash_Flow_3[Bulan],H680,Cash_Flow_3[Type],"Out",Cash_Flow_3[Category],"Alfa")</f>
        <v>0</v>
      </c>
      <c r="N680" s="29">
        <f>SUMIFS(Cash_Flow_3[Amount],Cash_Flow_3[Bulan],H680,Cash_Flow_3[Type],"Out",Cash_Flow_3[Category],"Jajan")</f>
        <v>0</v>
      </c>
      <c r="O680" s="29">
        <f>SUMIFS(Cash_Flow_3[Amount],Cash_Flow_3[Bulan],H680,Cash_Flow_3[Type],"Out",Cash_Flow_3[Category],"Kitchen")</f>
        <v>0</v>
      </c>
      <c r="P680" s="29">
        <f>SUMIFS(Cash_Flow_3[Amount],Cash_Flow_3[Bulan],H680,Cash_Flow_3[Type],"Out",Cash_Flow_3[Category],"Loandry")</f>
        <v>0</v>
      </c>
      <c r="Q680" s="29">
        <f>SUMIFS(Cash_Flow_3[Amount],Cash_Flow_3[Bulan],H680,Cash_Flow_3[Type],"Out",Cash_Flow_3[Category],"Mio")</f>
        <v>0</v>
      </c>
      <c r="R680" s="29">
        <f>SUMIFS(Cash_Flow_3[Amount],Cash_Flow_3[Bulan],H680,Cash_Flow_3[Type],"Out",Cash_Flow_3[Category],"Sedekah")</f>
        <v>0</v>
      </c>
      <c r="S680" s="29">
        <f>SUMIFS(Cash_Flow_3[Amount],Cash_Flow_3[Bulan],H680,Cash_Flow_3[Type],"Out",Cash_Flow_3[Category],"Zela")</f>
        <v>0</v>
      </c>
      <c r="T680" s="29">
        <f>SUMIFS(Cash_Flow_3[Amount],Cash_Flow_3[Bulan],H680,Cash_Flow_3[Type],"Out",Cash_Flow_3[Category],"Iqbal")</f>
        <v>0</v>
      </c>
    </row>
    <row r="681" spans="1:20" ht="22.5" customHeight="1" x14ac:dyDescent="0.2">
      <c r="A681" s="23"/>
      <c r="B681" s="24"/>
      <c r="C681" s="25"/>
      <c r="D681" s="25"/>
      <c r="E681" s="25"/>
      <c r="F681" s="26"/>
      <c r="G681" s="27"/>
      <c r="H681" s="28" t="str">
        <f t="shared" si="0"/>
        <v/>
      </c>
      <c r="I681" s="29">
        <f>SUMIFS(Cash_Flow_3[Amount],Cash_Flow_3[Bulan],H681,Cash_Flow_3[Type],"In")</f>
        <v>0</v>
      </c>
      <c r="J681" s="29">
        <f>SUMIFS(Cash_Flow_3[Amount],Cash_Flow_3[Bulan],H681,Cash_Flow_3[Type],"Out")</f>
        <v>0</v>
      </c>
      <c r="K681" s="29">
        <f>SUMIFS(Cash_Flow_3[Amount],Cash_Flow_3[Bulan],H681,Cash_Flow_3[Type],"Out",Cash_Flow_3[Category],"Fix")</f>
        <v>0</v>
      </c>
      <c r="L681" s="29">
        <f>SUMIFS(Cash_Flow_3[Amount],Cash_Flow_3[Bulan],H681,Cash_Flow_3[Type],"Out",Cash_Flow_3[Category],"Bathroom")</f>
        <v>0</v>
      </c>
      <c r="M681" s="29">
        <f>SUMIFS(Cash_Flow_3[Amount],Cash_Flow_3[Bulan],H681,Cash_Flow_3[Type],"Out",Cash_Flow_3[Category],"Alfa")</f>
        <v>0</v>
      </c>
      <c r="N681" s="29">
        <f>SUMIFS(Cash_Flow_3[Amount],Cash_Flow_3[Bulan],H681,Cash_Flow_3[Type],"Out",Cash_Flow_3[Category],"Jajan")</f>
        <v>0</v>
      </c>
      <c r="O681" s="29">
        <f>SUMIFS(Cash_Flow_3[Amount],Cash_Flow_3[Bulan],H681,Cash_Flow_3[Type],"Out",Cash_Flow_3[Category],"Kitchen")</f>
        <v>0</v>
      </c>
      <c r="P681" s="29">
        <f>SUMIFS(Cash_Flow_3[Amount],Cash_Flow_3[Bulan],H681,Cash_Flow_3[Type],"Out",Cash_Flow_3[Category],"Loandry")</f>
        <v>0</v>
      </c>
      <c r="Q681" s="29">
        <f>SUMIFS(Cash_Flow_3[Amount],Cash_Flow_3[Bulan],H681,Cash_Flow_3[Type],"Out",Cash_Flow_3[Category],"Mio")</f>
        <v>0</v>
      </c>
      <c r="R681" s="29">
        <f>SUMIFS(Cash_Flow_3[Amount],Cash_Flow_3[Bulan],H681,Cash_Flow_3[Type],"Out",Cash_Flow_3[Category],"Sedekah")</f>
        <v>0</v>
      </c>
      <c r="S681" s="29">
        <f>SUMIFS(Cash_Flow_3[Amount],Cash_Flow_3[Bulan],H681,Cash_Flow_3[Type],"Out",Cash_Flow_3[Category],"Zela")</f>
        <v>0</v>
      </c>
      <c r="T681" s="29">
        <f>SUMIFS(Cash_Flow_3[Amount],Cash_Flow_3[Bulan],H681,Cash_Flow_3[Type],"Out",Cash_Flow_3[Category],"Iqbal")</f>
        <v>0</v>
      </c>
    </row>
    <row r="682" spans="1:20" ht="22.5" customHeight="1" x14ac:dyDescent="0.2">
      <c r="A682" s="23"/>
      <c r="B682" s="24"/>
      <c r="C682" s="25"/>
      <c r="D682" s="25"/>
      <c r="E682" s="25"/>
      <c r="F682" s="26"/>
      <c r="G682" s="27"/>
      <c r="H682" s="28" t="str">
        <f t="shared" si="0"/>
        <v/>
      </c>
      <c r="I682" s="29">
        <f>SUMIFS(Cash_Flow_3[Amount],Cash_Flow_3[Bulan],H682,Cash_Flow_3[Type],"In")</f>
        <v>0</v>
      </c>
      <c r="J682" s="29">
        <f>SUMIFS(Cash_Flow_3[Amount],Cash_Flow_3[Bulan],H682,Cash_Flow_3[Type],"Out")</f>
        <v>0</v>
      </c>
      <c r="K682" s="29">
        <f>SUMIFS(Cash_Flow_3[Amount],Cash_Flow_3[Bulan],H682,Cash_Flow_3[Type],"Out",Cash_Flow_3[Category],"Fix")</f>
        <v>0</v>
      </c>
      <c r="L682" s="29">
        <f>SUMIFS(Cash_Flow_3[Amount],Cash_Flow_3[Bulan],H682,Cash_Flow_3[Type],"Out",Cash_Flow_3[Category],"Bathroom")</f>
        <v>0</v>
      </c>
      <c r="M682" s="29">
        <f>SUMIFS(Cash_Flow_3[Amount],Cash_Flow_3[Bulan],H682,Cash_Flow_3[Type],"Out",Cash_Flow_3[Category],"Alfa")</f>
        <v>0</v>
      </c>
      <c r="N682" s="29">
        <f>SUMIFS(Cash_Flow_3[Amount],Cash_Flow_3[Bulan],H682,Cash_Flow_3[Type],"Out",Cash_Flow_3[Category],"Jajan")</f>
        <v>0</v>
      </c>
      <c r="O682" s="29">
        <f>SUMIFS(Cash_Flow_3[Amount],Cash_Flow_3[Bulan],H682,Cash_Flow_3[Type],"Out",Cash_Flow_3[Category],"Kitchen")</f>
        <v>0</v>
      </c>
      <c r="P682" s="29">
        <f>SUMIFS(Cash_Flow_3[Amount],Cash_Flow_3[Bulan],H682,Cash_Flow_3[Type],"Out",Cash_Flow_3[Category],"Loandry")</f>
        <v>0</v>
      </c>
      <c r="Q682" s="29">
        <f>SUMIFS(Cash_Flow_3[Amount],Cash_Flow_3[Bulan],H682,Cash_Flow_3[Type],"Out",Cash_Flow_3[Category],"Mio")</f>
        <v>0</v>
      </c>
      <c r="R682" s="29">
        <f>SUMIFS(Cash_Flow_3[Amount],Cash_Flow_3[Bulan],H682,Cash_Flow_3[Type],"Out",Cash_Flow_3[Category],"Sedekah")</f>
        <v>0</v>
      </c>
      <c r="S682" s="29">
        <f>SUMIFS(Cash_Flow_3[Amount],Cash_Flow_3[Bulan],H682,Cash_Flow_3[Type],"Out",Cash_Flow_3[Category],"Zela")</f>
        <v>0</v>
      </c>
      <c r="T682" s="29">
        <f>SUMIFS(Cash_Flow_3[Amount],Cash_Flow_3[Bulan],H682,Cash_Flow_3[Type],"Out",Cash_Flow_3[Category],"Iqbal")</f>
        <v>0</v>
      </c>
    </row>
    <row r="683" spans="1:20" ht="22.5" customHeight="1" x14ac:dyDescent="0.2">
      <c r="A683" s="23"/>
      <c r="B683" s="24"/>
      <c r="C683" s="25"/>
      <c r="D683" s="25"/>
      <c r="E683" s="25"/>
      <c r="F683" s="26"/>
      <c r="G683" s="27"/>
      <c r="H683" s="28" t="str">
        <f t="shared" si="0"/>
        <v/>
      </c>
      <c r="I683" s="29">
        <f>SUMIFS(Cash_Flow_3[Amount],Cash_Flow_3[Bulan],H683,Cash_Flow_3[Type],"In")</f>
        <v>0</v>
      </c>
      <c r="J683" s="29">
        <f>SUMIFS(Cash_Flow_3[Amount],Cash_Flow_3[Bulan],H683,Cash_Flow_3[Type],"Out")</f>
        <v>0</v>
      </c>
      <c r="K683" s="29">
        <f>SUMIFS(Cash_Flow_3[Amount],Cash_Flow_3[Bulan],H683,Cash_Flow_3[Type],"Out",Cash_Flow_3[Category],"Fix")</f>
        <v>0</v>
      </c>
      <c r="L683" s="29">
        <f>SUMIFS(Cash_Flow_3[Amount],Cash_Flow_3[Bulan],H683,Cash_Flow_3[Type],"Out",Cash_Flow_3[Category],"Bathroom")</f>
        <v>0</v>
      </c>
      <c r="M683" s="29">
        <f>SUMIFS(Cash_Flow_3[Amount],Cash_Flow_3[Bulan],H683,Cash_Flow_3[Type],"Out",Cash_Flow_3[Category],"Alfa")</f>
        <v>0</v>
      </c>
      <c r="N683" s="29">
        <f>SUMIFS(Cash_Flow_3[Amount],Cash_Flow_3[Bulan],H683,Cash_Flow_3[Type],"Out",Cash_Flow_3[Category],"Jajan")</f>
        <v>0</v>
      </c>
      <c r="O683" s="29">
        <f>SUMIFS(Cash_Flow_3[Amount],Cash_Flow_3[Bulan],H683,Cash_Flow_3[Type],"Out",Cash_Flow_3[Category],"Kitchen")</f>
        <v>0</v>
      </c>
      <c r="P683" s="29">
        <f>SUMIFS(Cash_Flow_3[Amount],Cash_Flow_3[Bulan],H683,Cash_Flow_3[Type],"Out",Cash_Flow_3[Category],"Loandry")</f>
        <v>0</v>
      </c>
      <c r="Q683" s="29">
        <f>SUMIFS(Cash_Flow_3[Amount],Cash_Flow_3[Bulan],H683,Cash_Flow_3[Type],"Out",Cash_Flow_3[Category],"Mio")</f>
        <v>0</v>
      </c>
      <c r="R683" s="29">
        <f>SUMIFS(Cash_Flow_3[Amount],Cash_Flow_3[Bulan],H683,Cash_Flow_3[Type],"Out",Cash_Flow_3[Category],"Sedekah")</f>
        <v>0</v>
      </c>
      <c r="S683" s="29">
        <f>SUMIFS(Cash_Flow_3[Amount],Cash_Flow_3[Bulan],H683,Cash_Flow_3[Type],"Out",Cash_Flow_3[Category],"Zela")</f>
        <v>0</v>
      </c>
      <c r="T683" s="29">
        <f>SUMIFS(Cash_Flow_3[Amount],Cash_Flow_3[Bulan],H683,Cash_Flow_3[Type],"Out",Cash_Flow_3[Category],"Iqbal")</f>
        <v>0</v>
      </c>
    </row>
    <row r="684" spans="1:20" ht="22.5" customHeight="1" x14ac:dyDescent="0.2">
      <c r="A684" s="23"/>
      <c r="B684" s="24"/>
      <c r="C684" s="25"/>
      <c r="D684" s="25"/>
      <c r="E684" s="25"/>
      <c r="F684" s="26"/>
      <c r="G684" s="27"/>
      <c r="H684" s="28" t="str">
        <f t="shared" si="0"/>
        <v/>
      </c>
      <c r="I684" s="29">
        <f>SUMIFS(Cash_Flow_3[Amount],Cash_Flow_3[Bulan],H684,Cash_Flow_3[Type],"In")</f>
        <v>0</v>
      </c>
      <c r="J684" s="29">
        <f>SUMIFS(Cash_Flow_3[Amount],Cash_Flow_3[Bulan],H684,Cash_Flow_3[Type],"Out")</f>
        <v>0</v>
      </c>
      <c r="K684" s="29">
        <f>SUMIFS(Cash_Flow_3[Amount],Cash_Flow_3[Bulan],H684,Cash_Flow_3[Type],"Out",Cash_Flow_3[Category],"Fix")</f>
        <v>0</v>
      </c>
      <c r="L684" s="29">
        <f>SUMIFS(Cash_Flow_3[Amount],Cash_Flow_3[Bulan],H684,Cash_Flow_3[Type],"Out",Cash_Flow_3[Category],"Bathroom")</f>
        <v>0</v>
      </c>
      <c r="M684" s="29">
        <f>SUMIFS(Cash_Flow_3[Amount],Cash_Flow_3[Bulan],H684,Cash_Flow_3[Type],"Out",Cash_Flow_3[Category],"Alfa")</f>
        <v>0</v>
      </c>
      <c r="N684" s="29">
        <f>SUMIFS(Cash_Flow_3[Amount],Cash_Flow_3[Bulan],H684,Cash_Flow_3[Type],"Out",Cash_Flow_3[Category],"Jajan")</f>
        <v>0</v>
      </c>
      <c r="O684" s="29">
        <f>SUMIFS(Cash_Flow_3[Amount],Cash_Flow_3[Bulan],H684,Cash_Flow_3[Type],"Out",Cash_Flow_3[Category],"Kitchen")</f>
        <v>0</v>
      </c>
      <c r="P684" s="29">
        <f>SUMIFS(Cash_Flow_3[Amount],Cash_Flow_3[Bulan],H684,Cash_Flow_3[Type],"Out",Cash_Flow_3[Category],"Loandry")</f>
        <v>0</v>
      </c>
      <c r="Q684" s="29">
        <f>SUMIFS(Cash_Flow_3[Amount],Cash_Flow_3[Bulan],H684,Cash_Flow_3[Type],"Out",Cash_Flow_3[Category],"Mio")</f>
        <v>0</v>
      </c>
      <c r="R684" s="29">
        <f>SUMIFS(Cash_Flow_3[Amount],Cash_Flow_3[Bulan],H684,Cash_Flow_3[Type],"Out",Cash_Flow_3[Category],"Sedekah")</f>
        <v>0</v>
      </c>
      <c r="S684" s="29">
        <f>SUMIFS(Cash_Flow_3[Amount],Cash_Flow_3[Bulan],H684,Cash_Flow_3[Type],"Out",Cash_Flow_3[Category],"Zela")</f>
        <v>0</v>
      </c>
      <c r="T684" s="29">
        <f>SUMIFS(Cash_Flow_3[Amount],Cash_Flow_3[Bulan],H684,Cash_Flow_3[Type],"Out",Cash_Flow_3[Category],"Iqbal")</f>
        <v>0</v>
      </c>
    </row>
    <row r="685" spans="1:20" ht="22.5" customHeight="1" x14ac:dyDescent="0.2">
      <c r="A685" s="23"/>
      <c r="B685" s="24"/>
      <c r="C685" s="25"/>
      <c r="D685" s="25"/>
      <c r="E685" s="25"/>
      <c r="F685" s="26"/>
      <c r="G685" s="27"/>
      <c r="H685" s="28" t="str">
        <f t="shared" si="0"/>
        <v/>
      </c>
      <c r="I685" s="29">
        <f>SUMIFS(Cash_Flow_3[Amount],Cash_Flow_3[Bulan],H685,Cash_Flow_3[Type],"In")</f>
        <v>0</v>
      </c>
      <c r="J685" s="29">
        <f>SUMIFS(Cash_Flow_3[Amount],Cash_Flow_3[Bulan],H685,Cash_Flow_3[Type],"Out")</f>
        <v>0</v>
      </c>
      <c r="K685" s="29">
        <f>SUMIFS(Cash_Flow_3[Amount],Cash_Flow_3[Bulan],H685,Cash_Flow_3[Type],"Out",Cash_Flow_3[Category],"Fix")</f>
        <v>0</v>
      </c>
      <c r="L685" s="29">
        <f>SUMIFS(Cash_Flow_3[Amount],Cash_Flow_3[Bulan],H685,Cash_Flow_3[Type],"Out",Cash_Flow_3[Category],"Bathroom")</f>
        <v>0</v>
      </c>
      <c r="M685" s="29">
        <f>SUMIFS(Cash_Flow_3[Amount],Cash_Flow_3[Bulan],H685,Cash_Flow_3[Type],"Out",Cash_Flow_3[Category],"Alfa")</f>
        <v>0</v>
      </c>
      <c r="N685" s="29">
        <f>SUMIFS(Cash_Flow_3[Amount],Cash_Flow_3[Bulan],H685,Cash_Flow_3[Type],"Out",Cash_Flow_3[Category],"Jajan")</f>
        <v>0</v>
      </c>
      <c r="O685" s="29">
        <f>SUMIFS(Cash_Flow_3[Amount],Cash_Flow_3[Bulan],H685,Cash_Flow_3[Type],"Out",Cash_Flow_3[Category],"Kitchen")</f>
        <v>0</v>
      </c>
      <c r="P685" s="29">
        <f>SUMIFS(Cash_Flow_3[Amount],Cash_Flow_3[Bulan],H685,Cash_Flow_3[Type],"Out",Cash_Flow_3[Category],"Loandry")</f>
        <v>0</v>
      </c>
      <c r="Q685" s="29">
        <f>SUMIFS(Cash_Flow_3[Amount],Cash_Flow_3[Bulan],H685,Cash_Flow_3[Type],"Out",Cash_Flow_3[Category],"Mio")</f>
        <v>0</v>
      </c>
      <c r="R685" s="29">
        <f>SUMIFS(Cash_Flow_3[Amount],Cash_Flow_3[Bulan],H685,Cash_Flow_3[Type],"Out",Cash_Flow_3[Category],"Sedekah")</f>
        <v>0</v>
      </c>
      <c r="S685" s="29">
        <f>SUMIFS(Cash_Flow_3[Amount],Cash_Flow_3[Bulan],H685,Cash_Flow_3[Type],"Out",Cash_Flow_3[Category],"Zela")</f>
        <v>0</v>
      </c>
      <c r="T685" s="29">
        <f>SUMIFS(Cash_Flow_3[Amount],Cash_Flow_3[Bulan],H685,Cash_Flow_3[Type],"Out",Cash_Flow_3[Category],"Iqbal")</f>
        <v>0</v>
      </c>
    </row>
    <row r="686" spans="1:20" ht="22.5" customHeight="1" x14ac:dyDescent="0.2">
      <c r="A686" s="23"/>
      <c r="B686" s="24"/>
      <c r="C686" s="25"/>
      <c r="D686" s="25"/>
      <c r="E686" s="25"/>
      <c r="F686" s="26"/>
      <c r="G686" s="27"/>
      <c r="H686" s="28" t="str">
        <f t="shared" si="0"/>
        <v/>
      </c>
      <c r="I686" s="29">
        <f>SUMIFS(Cash_Flow_3[Amount],Cash_Flow_3[Bulan],H686,Cash_Flow_3[Type],"In")</f>
        <v>0</v>
      </c>
      <c r="J686" s="29">
        <f>SUMIFS(Cash_Flow_3[Amount],Cash_Flow_3[Bulan],H686,Cash_Flow_3[Type],"Out")</f>
        <v>0</v>
      </c>
      <c r="K686" s="29">
        <f>SUMIFS(Cash_Flow_3[Amount],Cash_Flow_3[Bulan],H686,Cash_Flow_3[Type],"Out",Cash_Flow_3[Category],"Fix")</f>
        <v>0</v>
      </c>
      <c r="L686" s="29">
        <f>SUMIFS(Cash_Flow_3[Amount],Cash_Flow_3[Bulan],H686,Cash_Flow_3[Type],"Out",Cash_Flow_3[Category],"Bathroom")</f>
        <v>0</v>
      </c>
      <c r="M686" s="29">
        <f>SUMIFS(Cash_Flow_3[Amount],Cash_Flow_3[Bulan],H686,Cash_Flow_3[Type],"Out",Cash_Flow_3[Category],"Alfa")</f>
        <v>0</v>
      </c>
      <c r="N686" s="29">
        <f>SUMIFS(Cash_Flow_3[Amount],Cash_Flow_3[Bulan],H686,Cash_Flow_3[Type],"Out",Cash_Flow_3[Category],"Jajan")</f>
        <v>0</v>
      </c>
      <c r="O686" s="29">
        <f>SUMIFS(Cash_Flow_3[Amount],Cash_Flow_3[Bulan],H686,Cash_Flow_3[Type],"Out",Cash_Flow_3[Category],"Kitchen")</f>
        <v>0</v>
      </c>
      <c r="P686" s="29">
        <f>SUMIFS(Cash_Flow_3[Amount],Cash_Flow_3[Bulan],H686,Cash_Flow_3[Type],"Out",Cash_Flow_3[Category],"Loandry")</f>
        <v>0</v>
      </c>
      <c r="Q686" s="29">
        <f>SUMIFS(Cash_Flow_3[Amount],Cash_Flow_3[Bulan],H686,Cash_Flow_3[Type],"Out",Cash_Flow_3[Category],"Mio")</f>
        <v>0</v>
      </c>
      <c r="R686" s="29">
        <f>SUMIFS(Cash_Flow_3[Amount],Cash_Flow_3[Bulan],H686,Cash_Flow_3[Type],"Out",Cash_Flow_3[Category],"Sedekah")</f>
        <v>0</v>
      </c>
      <c r="S686" s="29">
        <f>SUMIFS(Cash_Flow_3[Amount],Cash_Flow_3[Bulan],H686,Cash_Flow_3[Type],"Out",Cash_Flow_3[Category],"Zela")</f>
        <v>0</v>
      </c>
      <c r="T686" s="29">
        <f>SUMIFS(Cash_Flow_3[Amount],Cash_Flow_3[Bulan],H686,Cash_Flow_3[Type],"Out",Cash_Flow_3[Category],"Iqbal")</f>
        <v>0</v>
      </c>
    </row>
    <row r="687" spans="1:20" ht="22.5" customHeight="1" x14ac:dyDescent="0.2">
      <c r="A687" s="23"/>
      <c r="B687" s="24"/>
      <c r="C687" s="25"/>
      <c r="D687" s="25"/>
      <c r="E687" s="25"/>
      <c r="F687" s="26"/>
      <c r="G687" s="27"/>
      <c r="H687" s="28" t="str">
        <f t="shared" si="0"/>
        <v/>
      </c>
      <c r="I687" s="29">
        <f>SUMIFS(Cash_Flow_3[Amount],Cash_Flow_3[Bulan],H687,Cash_Flow_3[Type],"In")</f>
        <v>0</v>
      </c>
      <c r="J687" s="29">
        <f>SUMIFS(Cash_Flow_3[Amount],Cash_Flow_3[Bulan],H687,Cash_Flow_3[Type],"Out")</f>
        <v>0</v>
      </c>
      <c r="K687" s="29">
        <f>SUMIFS(Cash_Flow_3[Amount],Cash_Flow_3[Bulan],H687,Cash_Flow_3[Type],"Out",Cash_Flow_3[Category],"Fix")</f>
        <v>0</v>
      </c>
      <c r="L687" s="29">
        <f>SUMIFS(Cash_Flow_3[Amount],Cash_Flow_3[Bulan],H687,Cash_Flow_3[Type],"Out",Cash_Flow_3[Category],"Bathroom")</f>
        <v>0</v>
      </c>
      <c r="M687" s="29">
        <f>SUMIFS(Cash_Flow_3[Amount],Cash_Flow_3[Bulan],H687,Cash_Flow_3[Type],"Out",Cash_Flow_3[Category],"Alfa")</f>
        <v>0</v>
      </c>
      <c r="N687" s="29">
        <f>SUMIFS(Cash_Flow_3[Amount],Cash_Flow_3[Bulan],H687,Cash_Flow_3[Type],"Out",Cash_Flow_3[Category],"Jajan")</f>
        <v>0</v>
      </c>
      <c r="O687" s="29">
        <f>SUMIFS(Cash_Flow_3[Amount],Cash_Flow_3[Bulan],H687,Cash_Flow_3[Type],"Out",Cash_Flow_3[Category],"Kitchen")</f>
        <v>0</v>
      </c>
      <c r="P687" s="29">
        <f>SUMIFS(Cash_Flow_3[Amount],Cash_Flow_3[Bulan],H687,Cash_Flow_3[Type],"Out",Cash_Flow_3[Category],"Loandry")</f>
        <v>0</v>
      </c>
      <c r="Q687" s="29">
        <f>SUMIFS(Cash_Flow_3[Amount],Cash_Flow_3[Bulan],H687,Cash_Flow_3[Type],"Out",Cash_Flow_3[Category],"Mio")</f>
        <v>0</v>
      </c>
      <c r="R687" s="29">
        <f>SUMIFS(Cash_Flow_3[Amount],Cash_Flow_3[Bulan],H687,Cash_Flow_3[Type],"Out",Cash_Flow_3[Category],"Sedekah")</f>
        <v>0</v>
      </c>
      <c r="S687" s="29">
        <f>SUMIFS(Cash_Flow_3[Amount],Cash_Flow_3[Bulan],H687,Cash_Flow_3[Type],"Out",Cash_Flow_3[Category],"Zela")</f>
        <v>0</v>
      </c>
      <c r="T687" s="29">
        <f>SUMIFS(Cash_Flow_3[Amount],Cash_Flow_3[Bulan],H687,Cash_Flow_3[Type],"Out",Cash_Flow_3[Category],"Iqbal")</f>
        <v>0</v>
      </c>
    </row>
    <row r="688" spans="1:20" ht="22.5" customHeight="1" x14ac:dyDescent="0.2">
      <c r="A688" s="23"/>
      <c r="B688" s="24"/>
      <c r="C688" s="25"/>
      <c r="D688" s="25"/>
      <c r="E688" s="25"/>
      <c r="F688" s="26"/>
      <c r="G688" s="27"/>
      <c r="H688" s="28" t="str">
        <f t="shared" si="0"/>
        <v/>
      </c>
      <c r="I688" s="29">
        <f>SUMIFS(Cash_Flow_3[Amount],Cash_Flow_3[Bulan],H688,Cash_Flow_3[Type],"In")</f>
        <v>0</v>
      </c>
      <c r="J688" s="29">
        <f>SUMIFS(Cash_Flow_3[Amount],Cash_Flow_3[Bulan],H688,Cash_Flow_3[Type],"Out")</f>
        <v>0</v>
      </c>
      <c r="K688" s="29">
        <f>SUMIFS(Cash_Flow_3[Amount],Cash_Flow_3[Bulan],H688,Cash_Flow_3[Type],"Out",Cash_Flow_3[Category],"Fix")</f>
        <v>0</v>
      </c>
      <c r="L688" s="29">
        <f>SUMIFS(Cash_Flow_3[Amount],Cash_Flow_3[Bulan],H688,Cash_Flow_3[Type],"Out",Cash_Flow_3[Category],"Bathroom")</f>
        <v>0</v>
      </c>
      <c r="M688" s="29">
        <f>SUMIFS(Cash_Flow_3[Amount],Cash_Flow_3[Bulan],H688,Cash_Flow_3[Type],"Out",Cash_Flow_3[Category],"Alfa")</f>
        <v>0</v>
      </c>
      <c r="N688" s="29">
        <f>SUMIFS(Cash_Flow_3[Amount],Cash_Flow_3[Bulan],H688,Cash_Flow_3[Type],"Out",Cash_Flow_3[Category],"Jajan")</f>
        <v>0</v>
      </c>
      <c r="O688" s="29">
        <f>SUMIFS(Cash_Flow_3[Amount],Cash_Flow_3[Bulan],H688,Cash_Flow_3[Type],"Out",Cash_Flow_3[Category],"Kitchen")</f>
        <v>0</v>
      </c>
      <c r="P688" s="29">
        <f>SUMIFS(Cash_Flow_3[Amount],Cash_Flow_3[Bulan],H688,Cash_Flow_3[Type],"Out",Cash_Flow_3[Category],"Loandry")</f>
        <v>0</v>
      </c>
      <c r="Q688" s="29">
        <f>SUMIFS(Cash_Flow_3[Amount],Cash_Flow_3[Bulan],H688,Cash_Flow_3[Type],"Out",Cash_Flow_3[Category],"Mio")</f>
        <v>0</v>
      </c>
      <c r="R688" s="29">
        <f>SUMIFS(Cash_Flow_3[Amount],Cash_Flow_3[Bulan],H688,Cash_Flow_3[Type],"Out",Cash_Flow_3[Category],"Sedekah")</f>
        <v>0</v>
      </c>
      <c r="S688" s="29">
        <f>SUMIFS(Cash_Flow_3[Amount],Cash_Flow_3[Bulan],H688,Cash_Flow_3[Type],"Out",Cash_Flow_3[Category],"Zela")</f>
        <v>0</v>
      </c>
      <c r="T688" s="29">
        <f>SUMIFS(Cash_Flow_3[Amount],Cash_Flow_3[Bulan],H688,Cash_Flow_3[Type],"Out",Cash_Flow_3[Category],"Iqbal")</f>
        <v>0</v>
      </c>
    </row>
    <row r="689" spans="1:20" ht="22.5" customHeight="1" x14ac:dyDescent="0.2">
      <c r="A689" s="23"/>
      <c r="B689" s="24"/>
      <c r="C689" s="25"/>
      <c r="D689" s="25"/>
      <c r="E689" s="25"/>
      <c r="F689" s="26"/>
      <c r="G689" s="27"/>
      <c r="H689" s="28" t="str">
        <f t="shared" si="0"/>
        <v/>
      </c>
      <c r="I689" s="29">
        <f>SUMIFS(Cash_Flow_3[Amount],Cash_Flow_3[Bulan],H689,Cash_Flow_3[Type],"In")</f>
        <v>0</v>
      </c>
      <c r="J689" s="29">
        <f>SUMIFS(Cash_Flow_3[Amount],Cash_Flow_3[Bulan],H689,Cash_Flow_3[Type],"Out")</f>
        <v>0</v>
      </c>
      <c r="K689" s="29">
        <f>SUMIFS(Cash_Flow_3[Amount],Cash_Flow_3[Bulan],H689,Cash_Flow_3[Type],"Out",Cash_Flow_3[Category],"Fix")</f>
        <v>0</v>
      </c>
      <c r="L689" s="29">
        <f>SUMIFS(Cash_Flow_3[Amount],Cash_Flow_3[Bulan],H689,Cash_Flow_3[Type],"Out",Cash_Flow_3[Category],"Bathroom")</f>
        <v>0</v>
      </c>
      <c r="M689" s="29">
        <f>SUMIFS(Cash_Flow_3[Amount],Cash_Flow_3[Bulan],H689,Cash_Flow_3[Type],"Out",Cash_Flow_3[Category],"Alfa")</f>
        <v>0</v>
      </c>
      <c r="N689" s="29">
        <f>SUMIFS(Cash_Flow_3[Amount],Cash_Flow_3[Bulan],H689,Cash_Flow_3[Type],"Out",Cash_Flow_3[Category],"Jajan")</f>
        <v>0</v>
      </c>
      <c r="O689" s="29">
        <f>SUMIFS(Cash_Flow_3[Amount],Cash_Flow_3[Bulan],H689,Cash_Flow_3[Type],"Out",Cash_Flow_3[Category],"Kitchen")</f>
        <v>0</v>
      </c>
      <c r="P689" s="29">
        <f>SUMIFS(Cash_Flow_3[Amount],Cash_Flow_3[Bulan],H689,Cash_Flow_3[Type],"Out",Cash_Flow_3[Category],"Loandry")</f>
        <v>0</v>
      </c>
      <c r="Q689" s="29">
        <f>SUMIFS(Cash_Flow_3[Amount],Cash_Flow_3[Bulan],H689,Cash_Flow_3[Type],"Out",Cash_Flow_3[Category],"Mio")</f>
        <v>0</v>
      </c>
      <c r="R689" s="29">
        <f>SUMIFS(Cash_Flow_3[Amount],Cash_Flow_3[Bulan],H689,Cash_Flow_3[Type],"Out",Cash_Flow_3[Category],"Sedekah")</f>
        <v>0</v>
      </c>
      <c r="S689" s="29">
        <f>SUMIFS(Cash_Flow_3[Amount],Cash_Flow_3[Bulan],H689,Cash_Flow_3[Type],"Out",Cash_Flow_3[Category],"Zela")</f>
        <v>0</v>
      </c>
      <c r="T689" s="29">
        <f>SUMIFS(Cash_Flow_3[Amount],Cash_Flow_3[Bulan],H689,Cash_Flow_3[Type],"Out",Cash_Flow_3[Category],"Iqbal")</f>
        <v>0</v>
      </c>
    </row>
    <row r="690" spans="1:20" ht="22.5" customHeight="1" x14ac:dyDescent="0.2">
      <c r="A690" s="23"/>
      <c r="B690" s="24"/>
      <c r="C690" s="25"/>
      <c r="D690" s="25"/>
      <c r="E690" s="25"/>
      <c r="F690" s="26"/>
      <c r="G690" s="27"/>
      <c r="H690" s="28" t="str">
        <f t="shared" si="0"/>
        <v/>
      </c>
      <c r="I690" s="29">
        <f>SUMIFS(Cash_Flow_3[Amount],Cash_Flow_3[Bulan],H690,Cash_Flow_3[Type],"In")</f>
        <v>0</v>
      </c>
      <c r="J690" s="29">
        <f>SUMIFS(Cash_Flow_3[Amount],Cash_Flow_3[Bulan],H690,Cash_Flow_3[Type],"Out")</f>
        <v>0</v>
      </c>
      <c r="K690" s="29">
        <f>SUMIFS(Cash_Flow_3[Amount],Cash_Flow_3[Bulan],H690,Cash_Flow_3[Type],"Out",Cash_Flow_3[Category],"Fix")</f>
        <v>0</v>
      </c>
      <c r="L690" s="29">
        <f>SUMIFS(Cash_Flow_3[Amount],Cash_Flow_3[Bulan],H690,Cash_Flow_3[Type],"Out",Cash_Flow_3[Category],"Bathroom")</f>
        <v>0</v>
      </c>
      <c r="M690" s="29">
        <f>SUMIFS(Cash_Flow_3[Amount],Cash_Flow_3[Bulan],H690,Cash_Flow_3[Type],"Out",Cash_Flow_3[Category],"Alfa")</f>
        <v>0</v>
      </c>
      <c r="N690" s="29">
        <f>SUMIFS(Cash_Flow_3[Amount],Cash_Flow_3[Bulan],H690,Cash_Flow_3[Type],"Out",Cash_Flow_3[Category],"Jajan")</f>
        <v>0</v>
      </c>
      <c r="O690" s="29">
        <f>SUMIFS(Cash_Flow_3[Amount],Cash_Flow_3[Bulan],H690,Cash_Flow_3[Type],"Out",Cash_Flow_3[Category],"Kitchen")</f>
        <v>0</v>
      </c>
      <c r="P690" s="29">
        <f>SUMIFS(Cash_Flow_3[Amount],Cash_Flow_3[Bulan],H690,Cash_Flow_3[Type],"Out",Cash_Flow_3[Category],"Loandry")</f>
        <v>0</v>
      </c>
      <c r="Q690" s="29">
        <f>SUMIFS(Cash_Flow_3[Amount],Cash_Flow_3[Bulan],H690,Cash_Flow_3[Type],"Out",Cash_Flow_3[Category],"Mio")</f>
        <v>0</v>
      </c>
      <c r="R690" s="29">
        <f>SUMIFS(Cash_Flow_3[Amount],Cash_Flow_3[Bulan],H690,Cash_Flow_3[Type],"Out",Cash_Flow_3[Category],"Sedekah")</f>
        <v>0</v>
      </c>
      <c r="S690" s="29">
        <f>SUMIFS(Cash_Flow_3[Amount],Cash_Flow_3[Bulan],H690,Cash_Flow_3[Type],"Out",Cash_Flow_3[Category],"Zela")</f>
        <v>0</v>
      </c>
      <c r="T690" s="29">
        <f>SUMIFS(Cash_Flow_3[Amount],Cash_Flow_3[Bulan],H690,Cash_Flow_3[Type],"Out",Cash_Flow_3[Category],"Iqbal")</f>
        <v>0</v>
      </c>
    </row>
    <row r="691" spans="1:20" ht="22.5" customHeight="1" x14ac:dyDescent="0.2">
      <c r="A691" s="23"/>
      <c r="B691" s="24"/>
      <c r="C691" s="25"/>
      <c r="D691" s="25"/>
      <c r="E691" s="25"/>
      <c r="F691" s="26"/>
      <c r="G691" s="27"/>
      <c r="H691" s="28" t="str">
        <f t="shared" si="0"/>
        <v/>
      </c>
      <c r="I691" s="29">
        <f>SUMIFS(Cash_Flow_3[Amount],Cash_Flow_3[Bulan],H691,Cash_Flow_3[Type],"In")</f>
        <v>0</v>
      </c>
      <c r="J691" s="29">
        <f>SUMIFS(Cash_Flow_3[Amount],Cash_Flow_3[Bulan],H691,Cash_Flow_3[Type],"Out")</f>
        <v>0</v>
      </c>
      <c r="K691" s="29">
        <f>SUMIFS(Cash_Flow_3[Amount],Cash_Flow_3[Bulan],H691,Cash_Flow_3[Type],"Out",Cash_Flow_3[Category],"Fix")</f>
        <v>0</v>
      </c>
      <c r="L691" s="29">
        <f>SUMIFS(Cash_Flow_3[Amount],Cash_Flow_3[Bulan],H691,Cash_Flow_3[Type],"Out",Cash_Flow_3[Category],"Bathroom")</f>
        <v>0</v>
      </c>
      <c r="M691" s="29">
        <f>SUMIFS(Cash_Flow_3[Amount],Cash_Flow_3[Bulan],H691,Cash_Flow_3[Type],"Out",Cash_Flow_3[Category],"Alfa")</f>
        <v>0</v>
      </c>
      <c r="N691" s="29">
        <f>SUMIFS(Cash_Flow_3[Amount],Cash_Flow_3[Bulan],H691,Cash_Flow_3[Type],"Out",Cash_Flow_3[Category],"Jajan")</f>
        <v>0</v>
      </c>
      <c r="O691" s="29">
        <f>SUMIFS(Cash_Flow_3[Amount],Cash_Flow_3[Bulan],H691,Cash_Flow_3[Type],"Out",Cash_Flow_3[Category],"Kitchen")</f>
        <v>0</v>
      </c>
      <c r="P691" s="29">
        <f>SUMIFS(Cash_Flow_3[Amount],Cash_Flow_3[Bulan],H691,Cash_Flow_3[Type],"Out",Cash_Flow_3[Category],"Loandry")</f>
        <v>0</v>
      </c>
      <c r="Q691" s="29">
        <f>SUMIFS(Cash_Flow_3[Amount],Cash_Flow_3[Bulan],H691,Cash_Flow_3[Type],"Out",Cash_Flow_3[Category],"Mio")</f>
        <v>0</v>
      </c>
      <c r="R691" s="29">
        <f>SUMIFS(Cash_Flow_3[Amount],Cash_Flow_3[Bulan],H691,Cash_Flow_3[Type],"Out",Cash_Flow_3[Category],"Sedekah")</f>
        <v>0</v>
      </c>
      <c r="S691" s="29">
        <f>SUMIFS(Cash_Flow_3[Amount],Cash_Flow_3[Bulan],H691,Cash_Flow_3[Type],"Out",Cash_Flow_3[Category],"Zela")</f>
        <v>0</v>
      </c>
      <c r="T691" s="29">
        <f>SUMIFS(Cash_Flow_3[Amount],Cash_Flow_3[Bulan],H691,Cash_Flow_3[Type],"Out",Cash_Flow_3[Category],"Iqbal")</f>
        <v>0</v>
      </c>
    </row>
    <row r="692" spans="1:20" ht="22.5" customHeight="1" x14ac:dyDescent="0.2">
      <c r="A692" s="23"/>
      <c r="B692" s="24"/>
      <c r="C692" s="25"/>
      <c r="D692" s="25"/>
      <c r="E692" s="25"/>
      <c r="F692" s="26"/>
      <c r="G692" s="27"/>
      <c r="H692" s="28" t="str">
        <f t="shared" si="0"/>
        <v/>
      </c>
      <c r="I692" s="29">
        <f>SUMIFS(Cash_Flow_3[Amount],Cash_Flow_3[Bulan],H692,Cash_Flow_3[Type],"In")</f>
        <v>0</v>
      </c>
      <c r="J692" s="29">
        <f>SUMIFS(Cash_Flow_3[Amount],Cash_Flow_3[Bulan],H692,Cash_Flow_3[Type],"Out")</f>
        <v>0</v>
      </c>
      <c r="K692" s="29">
        <f>SUMIFS(Cash_Flow_3[Amount],Cash_Flow_3[Bulan],H692,Cash_Flow_3[Type],"Out",Cash_Flow_3[Category],"Fix")</f>
        <v>0</v>
      </c>
      <c r="L692" s="29">
        <f>SUMIFS(Cash_Flow_3[Amount],Cash_Flow_3[Bulan],H692,Cash_Flow_3[Type],"Out",Cash_Flow_3[Category],"Bathroom")</f>
        <v>0</v>
      </c>
      <c r="M692" s="29">
        <f>SUMIFS(Cash_Flow_3[Amount],Cash_Flow_3[Bulan],H692,Cash_Flow_3[Type],"Out",Cash_Flow_3[Category],"Alfa")</f>
        <v>0</v>
      </c>
      <c r="N692" s="29">
        <f>SUMIFS(Cash_Flow_3[Amount],Cash_Flow_3[Bulan],H692,Cash_Flow_3[Type],"Out",Cash_Flow_3[Category],"Jajan")</f>
        <v>0</v>
      </c>
      <c r="O692" s="29">
        <f>SUMIFS(Cash_Flow_3[Amount],Cash_Flow_3[Bulan],H692,Cash_Flow_3[Type],"Out",Cash_Flow_3[Category],"Kitchen")</f>
        <v>0</v>
      </c>
      <c r="P692" s="29">
        <f>SUMIFS(Cash_Flow_3[Amount],Cash_Flow_3[Bulan],H692,Cash_Flow_3[Type],"Out",Cash_Flow_3[Category],"Loandry")</f>
        <v>0</v>
      </c>
      <c r="Q692" s="29">
        <f>SUMIFS(Cash_Flow_3[Amount],Cash_Flow_3[Bulan],H692,Cash_Flow_3[Type],"Out",Cash_Flow_3[Category],"Mio")</f>
        <v>0</v>
      </c>
      <c r="R692" s="29">
        <f>SUMIFS(Cash_Flow_3[Amount],Cash_Flow_3[Bulan],H692,Cash_Flow_3[Type],"Out",Cash_Flow_3[Category],"Sedekah")</f>
        <v>0</v>
      </c>
      <c r="S692" s="29">
        <f>SUMIFS(Cash_Flow_3[Amount],Cash_Flow_3[Bulan],H692,Cash_Flow_3[Type],"Out",Cash_Flow_3[Category],"Zela")</f>
        <v>0</v>
      </c>
      <c r="T692" s="29">
        <f>SUMIFS(Cash_Flow_3[Amount],Cash_Flow_3[Bulan],H692,Cash_Flow_3[Type],"Out",Cash_Flow_3[Category],"Iqbal")</f>
        <v>0</v>
      </c>
    </row>
    <row r="693" spans="1:20" ht="22.5" customHeight="1" x14ac:dyDescent="0.2">
      <c r="A693" s="23"/>
      <c r="B693" s="24"/>
      <c r="C693" s="25"/>
      <c r="D693" s="25"/>
      <c r="E693" s="25"/>
      <c r="F693" s="26"/>
      <c r="G693" s="27"/>
      <c r="H693" s="28" t="str">
        <f t="shared" si="0"/>
        <v/>
      </c>
      <c r="I693" s="29">
        <f>SUMIFS(Cash_Flow_3[Amount],Cash_Flow_3[Bulan],H693,Cash_Flow_3[Type],"In")</f>
        <v>0</v>
      </c>
      <c r="J693" s="29">
        <f>SUMIFS(Cash_Flow_3[Amount],Cash_Flow_3[Bulan],H693,Cash_Flow_3[Type],"Out")</f>
        <v>0</v>
      </c>
      <c r="K693" s="29">
        <f>SUMIFS(Cash_Flow_3[Amount],Cash_Flow_3[Bulan],H693,Cash_Flow_3[Type],"Out",Cash_Flow_3[Category],"Fix")</f>
        <v>0</v>
      </c>
      <c r="L693" s="29">
        <f>SUMIFS(Cash_Flow_3[Amount],Cash_Flow_3[Bulan],H693,Cash_Flow_3[Type],"Out",Cash_Flow_3[Category],"Bathroom")</f>
        <v>0</v>
      </c>
      <c r="M693" s="29">
        <f>SUMIFS(Cash_Flow_3[Amount],Cash_Flow_3[Bulan],H693,Cash_Flow_3[Type],"Out",Cash_Flow_3[Category],"Alfa")</f>
        <v>0</v>
      </c>
      <c r="N693" s="29">
        <f>SUMIFS(Cash_Flow_3[Amount],Cash_Flow_3[Bulan],H693,Cash_Flow_3[Type],"Out",Cash_Flow_3[Category],"Jajan")</f>
        <v>0</v>
      </c>
      <c r="O693" s="29">
        <f>SUMIFS(Cash_Flow_3[Amount],Cash_Flow_3[Bulan],H693,Cash_Flow_3[Type],"Out",Cash_Flow_3[Category],"Kitchen")</f>
        <v>0</v>
      </c>
      <c r="P693" s="29">
        <f>SUMIFS(Cash_Flow_3[Amount],Cash_Flow_3[Bulan],H693,Cash_Flow_3[Type],"Out",Cash_Flow_3[Category],"Loandry")</f>
        <v>0</v>
      </c>
      <c r="Q693" s="29">
        <f>SUMIFS(Cash_Flow_3[Amount],Cash_Flow_3[Bulan],H693,Cash_Flow_3[Type],"Out",Cash_Flow_3[Category],"Mio")</f>
        <v>0</v>
      </c>
      <c r="R693" s="29">
        <f>SUMIFS(Cash_Flow_3[Amount],Cash_Flow_3[Bulan],H693,Cash_Flow_3[Type],"Out",Cash_Flow_3[Category],"Sedekah")</f>
        <v>0</v>
      </c>
      <c r="S693" s="29">
        <f>SUMIFS(Cash_Flow_3[Amount],Cash_Flow_3[Bulan],H693,Cash_Flow_3[Type],"Out",Cash_Flow_3[Category],"Zela")</f>
        <v>0</v>
      </c>
      <c r="T693" s="29">
        <f>SUMIFS(Cash_Flow_3[Amount],Cash_Flow_3[Bulan],H693,Cash_Flow_3[Type],"Out",Cash_Flow_3[Category],"Iqbal")</f>
        <v>0</v>
      </c>
    </row>
    <row r="694" spans="1:20" ht="22.5" customHeight="1" x14ac:dyDescent="0.2">
      <c r="A694" s="23"/>
      <c r="B694" s="24"/>
      <c r="C694" s="25"/>
      <c r="D694" s="25"/>
      <c r="E694" s="25"/>
      <c r="F694" s="26"/>
      <c r="G694" s="27"/>
      <c r="H694" s="28" t="str">
        <f t="shared" si="0"/>
        <v/>
      </c>
      <c r="I694" s="29">
        <f>SUMIFS(Cash_Flow_3[Amount],Cash_Flow_3[Bulan],H694,Cash_Flow_3[Type],"In")</f>
        <v>0</v>
      </c>
      <c r="J694" s="29">
        <f>SUMIFS(Cash_Flow_3[Amount],Cash_Flow_3[Bulan],H694,Cash_Flow_3[Type],"Out")</f>
        <v>0</v>
      </c>
      <c r="K694" s="29">
        <f>SUMIFS(Cash_Flow_3[Amount],Cash_Flow_3[Bulan],H694,Cash_Flow_3[Type],"Out",Cash_Flow_3[Category],"Fix")</f>
        <v>0</v>
      </c>
      <c r="L694" s="29">
        <f>SUMIFS(Cash_Flow_3[Amount],Cash_Flow_3[Bulan],H694,Cash_Flow_3[Type],"Out",Cash_Flow_3[Category],"Bathroom")</f>
        <v>0</v>
      </c>
      <c r="M694" s="29">
        <f>SUMIFS(Cash_Flow_3[Amount],Cash_Flow_3[Bulan],H694,Cash_Flow_3[Type],"Out",Cash_Flow_3[Category],"Alfa")</f>
        <v>0</v>
      </c>
      <c r="N694" s="29">
        <f>SUMIFS(Cash_Flow_3[Amount],Cash_Flow_3[Bulan],H694,Cash_Flow_3[Type],"Out",Cash_Flow_3[Category],"Jajan")</f>
        <v>0</v>
      </c>
      <c r="O694" s="29">
        <f>SUMIFS(Cash_Flow_3[Amount],Cash_Flow_3[Bulan],H694,Cash_Flow_3[Type],"Out",Cash_Flow_3[Category],"Kitchen")</f>
        <v>0</v>
      </c>
      <c r="P694" s="29">
        <f>SUMIFS(Cash_Flow_3[Amount],Cash_Flow_3[Bulan],H694,Cash_Flow_3[Type],"Out",Cash_Flow_3[Category],"Loandry")</f>
        <v>0</v>
      </c>
      <c r="Q694" s="29">
        <f>SUMIFS(Cash_Flow_3[Amount],Cash_Flow_3[Bulan],H694,Cash_Flow_3[Type],"Out",Cash_Flow_3[Category],"Mio")</f>
        <v>0</v>
      </c>
      <c r="R694" s="29">
        <f>SUMIFS(Cash_Flow_3[Amount],Cash_Flow_3[Bulan],H694,Cash_Flow_3[Type],"Out",Cash_Flow_3[Category],"Sedekah")</f>
        <v>0</v>
      </c>
      <c r="S694" s="29">
        <f>SUMIFS(Cash_Flow_3[Amount],Cash_Flow_3[Bulan],H694,Cash_Flow_3[Type],"Out",Cash_Flow_3[Category],"Zela")</f>
        <v>0</v>
      </c>
      <c r="T694" s="29">
        <f>SUMIFS(Cash_Flow_3[Amount],Cash_Flow_3[Bulan],H694,Cash_Flow_3[Type],"Out",Cash_Flow_3[Category],"Iqbal")</f>
        <v>0</v>
      </c>
    </row>
    <row r="695" spans="1:20" ht="22.5" customHeight="1" x14ac:dyDescent="0.2">
      <c r="A695" s="23"/>
      <c r="B695" s="24"/>
      <c r="C695" s="25"/>
      <c r="D695" s="25"/>
      <c r="E695" s="25"/>
      <c r="F695" s="26"/>
      <c r="G695" s="27"/>
      <c r="H695" s="28" t="str">
        <f t="shared" si="0"/>
        <v/>
      </c>
      <c r="I695" s="29">
        <f>SUMIFS(Cash_Flow_3[Amount],Cash_Flow_3[Bulan],H695,Cash_Flow_3[Type],"In")</f>
        <v>0</v>
      </c>
      <c r="J695" s="29">
        <f>SUMIFS(Cash_Flow_3[Amount],Cash_Flow_3[Bulan],H695,Cash_Flow_3[Type],"Out")</f>
        <v>0</v>
      </c>
      <c r="K695" s="29">
        <f>SUMIFS(Cash_Flow_3[Amount],Cash_Flow_3[Bulan],H695,Cash_Flow_3[Type],"Out",Cash_Flow_3[Category],"Fix")</f>
        <v>0</v>
      </c>
      <c r="L695" s="29">
        <f>SUMIFS(Cash_Flow_3[Amount],Cash_Flow_3[Bulan],H695,Cash_Flow_3[Type],"Out",Cash_Flow_3[Category],"Bathroom")</f>
        <v>0</v>
      </c>
      <c r="M695" s="29">
        <f>SUMIFS(Cash_Flow_3[Amount],Cash_Flow_3[Bulan],H695,Cash_Flow_3[Type],"Out",Cash_Flow_3[Category],"Alfa")</f>
        <v>0</v>
      </c>
      <c r="N695" s="29">
        <f>SUMIFS(Cash_Flow_3[Amount],Cash_Flow_3[Bulan],H695,Cash_Flow_3[Type],"Out",Cash_Flow_3[Category],"Jajan")</f>
        <v>0</v>
      </c>
      <c r="O695" s="29">
        <f>SUMIFS(Cash_Flow_3[Amount],Cash_Flow_3[Bulan],H695,Cash_Flow_3[Type],"Out",Cash_Flow_3[Category],"Kitchen")</f>
        <v>0</v>
      </c>
      <c r="P695" s="29">
        <f>SUMIFS(Cash_Flow_3[Amount],Cash_Flow_3[Bulan],H695,Cash_Flow_3[Type],"Out",Cash_Flow_3[Category],"Loandry")</f>
        <v>0</v>
      </c>
      <c r="Q695" s="29">
        <f>SUMIFS(Cash_Flow_3[Amount],Cash_Flow_3[Bulan],H695,Cash_Flow_3[Type],"Out",Cash_Flow_3[Category],"Mio")</f>
        <v>0</v>
      </c>
      <c r="R695" s="29">
        <f>SUMIFS(Cash_Flow_3[Amount],Cash_Flow_3[Bulan],H695,Cash_Flow_3[Type],"Out",Cash_Flow_3[Category],"Sedekah")</f>
        <v>0</v>
      </c>
      <c r="S695" s="29">
        <f>SUMIFS(Cash_Flow_3[Amount],Cash_Flow_3[Bulan],H695,Cash_Flow_3[Type],"Out",Cash_Flow_3[Category],"Zela")</f>
        <v>0</v>
      </c>
      <c r="T695" s="29">
        <f>SUMIFS(Cash_Flow_3[Amount],Cash_Flow_3[Bulan],H695,Cash_Flow_3[Type],"Out",Cash_Flow_3[Category],"Iqbal")</f>
        <v>0</v>
      </c>
    </row>
    <row r="696" spans="1:20" ht="22.5" customHeight="1" x14ac:dyDescent="0.2">
      <c r="A696" s="23"/>
      <c r="B696" s="24"/>
      <c r="C696" s="25"/>
      <c r="D696" s="25"/>
      <c r="E696" s="25"/>
      <c r="F696" s="26"/>
      <c r="G696" s="27"/>
      <c r="H696" s="28" t="str">
        <f t="shared" si="0"/>
        <v/>
      </c>
      <c r="I696" s="29">
        <f>SUMIFS(Cash_Flow_3[Amount],Cash_Flow_3[Bulan],H696,Cash_Flow_3[Type],"In")</f>
        <v>0</v>
      </c>
      <c r="J696" s="29">
        <f>SUMIFS(Cash_Flow_3[Amount],Cash_Flow_3[Bulan],H696,Cash_Flow_3[Type],"Out")</f>
        <v>0</v>
      </c>
      <c r="K696" s="29">
        <f>SUMIFS(Cash_Flow_3[Amount],Cash_Flow_3[Bulan],H696,Cash_Flow_3[Type],"Out",Cash_Flow_3[Category],"Fix")</f>
        <v>0</v>
      </c>
      <c r="L696" s="29">
        <f>SUMIFS(Cash_Flow_3[Amount],Cash_Flow_3[Bulan],H696,Cash_Flow_3[Type],"Out",Cash_Flow_3[Category],"Bathroom")</f>
        <v>0</v>
      </c>
      <c r="M696" s="29">
        <f>SUMIFS(Cash_Flow_3[Amount],Cash_Flow_3[Bulan],H696,Cash_Flow_3[Type],"Out",Cash_Flow_3[Category],"Alfa")</f>
        <v>0</v>
      </c>
      <c r="N696" s="29">
        <f>SUMIFS(Cash_Flow_3[Amount],Cash_Flow_3[Bulan],H696,Cash_Flow_3[Type],"Out",Cash_Flow_3[Category],"Jajan")</f>
        <v>0</v>
      </c>
      <c r="O696" s="29">
        <f>SUMIFS(Cash_Flow_3[Amount],Cash_Flow_3[Bulan],H696,Cash_Flow_3[Type],"Out",Cash_Flow_3[Category],"Kitchen")</f>
        <v>0</v>
      </c>
      <c r="P696" s="29">
        <f>SUMIFS(Cash_Flow_3[Amount],Cash_Flow_3[Bulan],H696,Cash_Flow_3[Type],"Out",Cash_Flow_3[Category],"Loandry")</f>
        <v>0</v>
      </c>
      <c r="Q696" s="29">
        <f>SUMIFS(Cash_Flow_3[Amount],Cash_Flow_3[Bulan],H696,Cash_Flow_3[Type],"Out",Cash_Flow_3[Category],"Mio")</f>
        <v>0</v>
      </c>
      <c r="R696" s="29">
        <f>SUMIFS(Cash_Flow_3[Amount],Cash_Flow_3[Bulan],H696,Cash_Flow_3[Type],"Out",Cash_Flow_3[Category],"Sedekah")</f>
        <v>0</v>
      </c>
      <c r="S696" s="29">
        <f>SUMIFS(Cash_Flow_3[Amount],Cash_Flow_3[Bulan],H696,Cash_Flow_3[Type],"Out",Cash_Flow_3[Category],"Zela")</f>
        <v>0</v>
      </c>
      <c r="T696" s="29">
        <f>SUMIFS(Cash_Flow_3[Amount],Cash_Flow_3[Bulan],H696,Cash_Flow_3[Type],"Out",Cash_Flow_3[Category],"Iqbal")</f>
        <v>0</v>
      </c>
    </row>
    <row r="697" spans="1:20" ht="22.5" customHeight="1" x14ac:dyDescent="0.2">
      <c r="A697" s="23"/>
      <c r="B697" s="24"/>
      <c r="C697" s="25"/>
      <c r="D697" s="25"/>
      <c r="E697" s="25"/>
      <c r="F697" s="26"/>
      <c r="G697" s="27"/>
      <c r="H697" s="28" t="str">
        <f t="shared" si="0"/>
        <v/>
      </c>
      <c r="I697" s="29">
        <f>SUMIFS(Cash_Flow_3[Amount],Cash_Flow_3[Bulan],H697,Cash_Flow_3[Type],"In")</f>
        <v>0</v>
      </c>
      <c r="J697" s="29">
        <f>SUMIFS(Cash_Flow_3[Amount],Cash_Flow_3[Bulan],H697,Cash_Flow_3[Type],"Out")</f>
        <v>0</v>
      </c>
      <c r="K697" s="29">
        <f>SUMIFS(Cash_Flow_3[Amount],Cash_Flow_3[Bulan],H697,Cash_Flow_3[Type],"Out",Cash_Flow_3[Category],"Fix")</f>
        <v>0</v>
      </c>
      <c r="L697" s="29">
        <f>SUMIFS(Cash_Flow_3[Amount],Cash_Flow_3[Bulan],H697,Cash_Flow_3[Type],"Out",Cash_Flow_3[Category],"Bathroom")</f>
        <v>0</v>
      </c>
      <c r="M697" s="29">
        <f>SUMIFS(Cash_Flow_3[Amount],Cash_Flow_3[Bulan],H697,Cash_Flow_3[Type],"Out",Cash_Flow_3[Category],"Alfa")</f>
        <v>0</v>
      </c>
      <c r="N697" s="29">
        <f>SUMIFS(Cash_Flow_3[Amount],Cash_Flow_3[Bulan],H697,Cash_Flow_3[Type],"Out",Cash_Flow_3[Category],"Jajan")</f>
        <v>0</v>
      </c>
      <c r="O697" s="29">
        <f>SUMIFS(Cash_Flow_3[Amount],Cash_Flow_3[Bulan],H697,Cash_Flow_3[Type],"Out",Cash_Flow_3[Category],"Kitchen")</f>
        <v>0</v>
      </c>
      <c r="P697" s="29">
        <f>SUMIFS(Cash_Flow_3[Amount],Cash_Flow_3[Bulan],H697,Cash_Flow_3[Type],"Out",Cash_Flow_3[Category],"Loandry")</f>
        <v>0</v>
      </c>
      <c r="Q697" s="29">
        <f>SUMIFS(Cash_Flow_3[Amount],Cash_Flow_3[Bulan],H697,Cash_Flow_3[Type],"Out",Cash_Flow_3[Category],"Mio")</f>
        <v>0</v>
      </c>
      <c r="R697" s="29">
        <f>SUMIFS(Cash_Flow_3[Amount],Cash_Flow_3[Bulan],H697,Cash_Flow_3[Type],"Out",Cash_Flow_3[Category],"Sedekah")</f>
        <v>0</v>
      </c>
      <c r="S697" s="29">
        <f>SUMIFS(Cash_Flow_3[Amount],Cash_Flow_3[Bulan],H697,Cash_Flow_3[Type],"Out",Cash_Flow_3[Category],"Zela")</f>
        <v>0</v>
      </c>
      <c r="T697" s="29">
        <f>SUMIFS(Cash_Flow_3[Amount],Cash_Flow_3[Bulan],H697,Cash_Flow_3[Type],"Out",Cash_Flow_3[Category],"Iqbal")</f>
        <v>0</v>
      </c>
    </row>
    <row r="698" spans="1:20" ht="22.5" customHeight="1" x14ac:dyDescent="0.2">
      <c r="A698" s="23"/>
      <c r="B698" s="24"/>
      <c r="C698" s="25"/>
      <c r="D698" s="25"/>
      <c r="E698" s="25"/>
      <c r="F698" s="26"/>
      <c r="G698" s="27"/>
      <c r="H698" s="28" t="str">
        <f t="shared" si="0"/>
        <v/>
      </c>
      <c r="I698" s="29">
        <f>SUMIFS(Cash_Flow_3[Amount],Cash_Flow_3[Bulan],H698,Cash_Flow_3[Type],"In")</f>
        <v>0</v>
      </c>
      <c r="J698" s="29">
        <f>SUMIFS(Cash_Flow_3[Amount],Cash_Flow_3[Bulan],H698,Cash_Flow_3[Type],"Out")</f>
        <v>0</v>
      </c>
      <c r="K698" s="29">
        <f>SUMIFS(Cash_Flow_3[Amount],Cash_Flow_3[Bulan],H698,Cash_Flow_3[Type],"Out",Cash_Flow_3[Category],"Fix")</f>
        <v>0</v>
      </c>
      <c r="L698" s="29">
        <f>SUMIFS(Cash_Flow_3[Amount],Cash_Flow_3[Bulan],H698,Cash_Flow_3[Type],"Out",Cash_Flow_3[Category],"Bathroom")</f>
        <v>0</v>
      </c>
      <c r="M698" s="29">
        <f>SUMIFS(Cash_Flow_3[Amount],Cash_Flow_3[Bulan],H698,Cash_Flow_3[Type],"Out",Cash_Flow_3[Category],"Alfa")</f>
        <v>0</v>
      </c>
      <c r="N698" s="29">
        <f>SUMIFS(Cash_Flow_3[Amount],Cash_Flow_3[Bulan],H698,Cash_Flow_3[Type],"Out",Cash_Flow_3[Category],"Jajan")</f>
        <v>0</v>
      </c>
      <c r="O698" s="29">
        <f>SUMIFS(Cash_Flow_3[Amount],Cash_Flow_3[Bulan],H698,Cash_Flow_3[Type],"Out",Cash_Flow_3[Category],"Kitchen")</f>
        <v>0</v>
      </c>
      <c r="P698" s="29">
        <f>SUMIFS(Cash_Flow_3[Amount],Cash_Flow_3[Bulan],H698,Cash_Flow_3[Type],"Out",Cash_Flow_3[Category],"Loandry")</f>
        <v>0</v>
      </c>
      <c r="Q698" s="29">
        <f>SUMIFS(Cash_Flow_3[Amount],Cash_Flow_3[Bulan],H698,Cash_Flow_3[Type],"Out",Cash_Flow_3[Category],"Mio")</f>
        <v>0</v>
      </c>
      <c r="R698" s="29">
        <f>SUMIFS(Cash_Flow_3[Amount],Cash_Flow_3[Bulan],H698,Cash_Flow_3[Type],"Out",Cash_Flow_3[Category],"Sedekah")</f>
        <v>0</v>
      </c>
      <c r="S698" s="29">
        <f>SUMIFS(Cash_Flow_3[Amount],Cash_Flow_3[Bulan],H698,Cash_Flow_3[Type],"Out",Cash_Flow_3[Category],"Zela")</f>
        <v>0</v>
      </c>
      <c r="T698" s="29">
        <f>SUMIFS(Cash_Flow_3[Amount],Cash_Flow_3[Bulan],H698,Cash_Flow_3[Type],"Out",Cash_Flow_3[Category],"Iqbal")</f>
        <v>0</v>
      </c>
    </row>
    <row r="699" spans="1:20" ht="22.5" customHeight="1" x14ac:dyDescent="0.2">
      <c r="A699" s="23"/>
      <c r="B699" s="24"/>
      <c r="C699" s="25"/>
      <c r="D699" s="25"/>
      <c r="E699" s="25"/>
      <c r="F699" s="26"/>
      <c r="G699" s="27"/>
      <c r="H699" s="28" t="str">
        <f t="shared" si="0"/>
        <v/>
      </c>
      <c r="I699" s="29">
        <f>SUMIFS(Cash_Flow_3[Amount],Cash_Flow_3[Bulan],H699,Cash_Flow_3[Type],"In")</f>
        <v>0</v>
      </c>
      <c r="J699" s="29">
        <f>SUMIFS(Cash_Flow_3[Amount],Cash_Flow_3[Bulan],H699,Cash_Flow_3[Type],"Out")</f>
        <v>0</v>
      </c>
      <c r="K699" s="29">
        <f>SUMIFS(Cash_Flow_3[Amount],Cash_Flow_3[Bulan],H699,Cash_Flow_3[Type],"Out",Cash_Flow_3[Category],"Fix")</f>
        <v>0</v>
      </c>
      <c r="L699" s="29">
        <f>SUMIFS(Cash_Flow_3[Amount],Cash_Flow_3[Bulan],H699,Cash_Flow_3[Type],"Out",Cash_Flow_3[Category],"Bathroom")</f>
        <v>0</v>
      </c>
      <c r="M699" s="29">
        <f>SUMIFS(Cash_Flow_3[Amount],Cash_Flow_3[Bulan],H699,Cash_Flow_3[Type],"Out",Cash_Flow_3[Category],"Alfa")</f>
        <v>0</v>
      </c>
      <c r="N699" s="29">
        <f>SUMIFS(Cash_Flow_3[Amount],Cash_Flow_3[Bulan],H699,Cash_Flow_3[Type],"Out",Cash_Flow_3[Category],"Jajan")</f>
        <v>0</v>
      </c>
      <c r="O699" s="29">
        <f>SUMIFS(Cash_Flow_3[Amount],Cash_Flow_3[Bulan],H699,Cash_Flow_3[Type],"Out",Cash_Flow_3[Category],"Kitchen")</f>
        <v>0</v>
      </c>
      <c r="P699" s="29">
        <f>SUMIFS(Cash_Flow_3[Amount],Cash_Flow_3[Bulan],H699,Cash_Flow_3[Type],"Out",Cash_Flow_3[Category],"Loandry")</f>
        <v>0</v>
      </c>
      <c r="Q699" s="29">
        <f>SUMIFS(Cash_Flow_3[Amount],Cash_Flow_3[Bulan],H699,Cash_Flow_3[Type],"Out",Cash_Flow_3[Category],"Mio")</f>
        <v>0</v>
      </c>
      <c r="R699" s="29">
        <f>SUMIFS(Cash_Flow_3[Amount],Cash_Flow_3[Bulan],H699,Cash_Flow_3[Type],"Out",Cash_Flow_3[Category],"Sedekah")</f>
        <v>0</v>
      </c>
      <c r="S699" s="29">
        <f>SUMIFS(Cash_Flow_3[Amount],Cash_Flow_3[Bulan],H699,Cash_Flow_3[Type],"Out",Cash_Flow_3[Category],"Zela")</f>
        <v>0</v>
      </c>
      <c r="T699" s="29">
        <f>SUMIFS(Cash_Flow_3[Amount],Cash_Flow_3[Bulan],H699,Cash_Flow_3[Type],"Out",Cash_Flow_3[Category],"Iqbal")</f>
        <v>0</v>
      </c>
    </row>
    <row r="700" spans="1:20" ht="22.5" customHeight="1" x14ac:dyDescent="0.2">
      <c r="A700" s="23"/>
      <c r="B700" s="24"/>
      <c r="C700" s="25"/>
      <c r="D700" s="25"/>
      <c r="E700" s="25"/>
      <c r="F700" s="26"/>
      <c r="G700" s="27"/>
      <c r="H700" s="28" t="str">
        <f t="shared" si="0"/>
        <v/>
      </c>
      <c r="I700" s="29">
        <f>SUMIFS(Cash_Flow_3[Amount],Cash_Flow_3[Bulan],H700,Cash_Flow_3[Type],"In")</f>
        <v>0</v>
      </c>
      <c r="J700" s="29">
        <f>SUMIFS(Cash_Flow_3[Amount],Cash_Flow_3[Bulan],H700,Cash_Flow_3[Type],"Out")</f>
        <v>0</v>
      </c>
      <c r="K700" s="29">
        <f>SUMIFS(Cash_Flow_3[Amount],Cash_Flow_3[Bulan],H700,Cash_Flow_3[Type],"Out",Cash_Flow_3[Category],"Fix")</f>
        <v>0</v>
      </c>
      <c r="L700" s="29">
        <f>SUMIFS(Cash_Flow_3[Amount],Cash_Flow_3[Bulan],H700,Cash_Flow_3[Type],"Out",Cash_Flow_3[Category],"Bathroom")</f>
        <v>0</v>
      </c>
      <c r="M700" s="29">
        <f>SUMIFS(Cash_Flow_3[Amount],Cash_Flow_3[Bulan],H700,Cash_Flow_3[Type],"Out",Cash_Flow_3[Category],"Alfa")</f>
        <v>0</v>
      </c>
      <c r="N700" s="29">
        <f>SUMIFS(Cash_Flow_3[Amount],Cash_Flow_3[Bulan],H700,Cash_Flow_3[Type],"Out",Cash_Flow_3[Category],"Jajan")</f>
        <v>0</v>
      </c>
      <c r="O700" s="29">
        <f>SUMIFS(Cash_Flow_3[Amount],Cash_Flow_3[Bulan],H700,Cash_Flow_3[Type],"Out",Cash_Flow_3[Category],"Kitchen")</f>
        <v>0</v>
      </c>
      <c r="P700" s="29">
        <f>SUMIFS(Cash_Flow_3[Amount],Cash_Flow_3[Bulan],H700,Cash_Flow_3[Type],"Out",Cash_Flow_3[Category],"Loandry")</f>
        <v>0</v>
      </c>
      <c r="Q700" s="29">
        <f>SUMIFS(Cash_Flow_3[Amount],Cash_Flow_3[Bulan],H700,Cash_Flow_3[Type],"Out",Cash_Flow_3[Category],"Mio")</f>
        <v>0</v>
      </c>
      <c r="R700" s="29">
        <f>SUMIFS(Cash_Flow_3[Amount],Cash_Flow_3[Bulan],H700,Cash_Flow_3[Type],"Out",Cash_Flow_3[Category],"Sedekah")</f>
        <v>0</v>
      </c>
      <c r="S700" s="29">
        <f>SUMIFS(Cash_Flow_3[Amount],Cash_Flow_3[Bulan],H700,Cash_Flow_3[Type],"Out",Cash_Flow_3[Category],"Zela")</f>
        <v>0</v>
      </c>
      <c r="T700" s="29">
        <f>SUMIFS(Cash_Flow_3[Amount],Cash_Flow_3[Bulan],H700,Cash_Flow_3[Type],"Out",Cash_Flow_3[Category],"Iqbal")</f>
        <v>0</v>
      </c>
    </row>
    <row r="701" spans="1:20" ht="22.5" customHeight="1" x14ac:dyDescent="0.2">
      <c r="A701" s="23"/>
      <c r="B701" s="24"/>
      <c r="C701" s="25"/>
      <c r="D701" s="25"/>
      <c r="E701" s="25"/>
      <c r="F701" s="26"/>
      <c r="G701" s="27"/>
      <c r="H701" s="28" t="str">
        <f t="shared" si="0"/>
        <v/>
      </c>
      <c r="I701" s="29">
        <f>SUMIFS(Cash_Flow_3[Amount],Cash_Flow_3[Bulan],H701,Cash_Flow_3[Type],"In")</f>
        <v>0</v>
      </c>
      <c r="J701" s="29">
        <f>SUMIFS(Cash_Flow_3[Amount],Cash_Flow_3[Bulan],H701,Cash_Flow_3[Type],"Out")</f>
        <v>0</v>
      </c>
      <c r="K701" s="29">
        <f>SUMIFS(Cash_Flow_3[Amount],Cash_Flow_3[Bulan],H701,Cash_Flow_3[Type],"Out",Cash_Flow_3[Category],"Fix")</f>
        <v>0</v>
      </c>
      <c r="L701" s="29">
        <f>SUMIFS(Cash_Flow_3[Amount],Cash_Flow_3[Bulan],H701,Cash_Flow_3[Type],"Out",Cash_Flow_3[Category],"Bathroom")</f>
        <v>0</v>
      </c>
      <c r="M701" s="29">
        <f>SUMIFS(Cash_Flow_3[Amount],Cash_Flow_3[Bulan],H701,Cash_Flow_3[Type],"Out",Cash_Flow_3[Category],"Alfa")</f>
        <v>0</v>
      </c>
      <c r="N701" s="29">
        <f>SUMIFS(Cash_Flow_3[Amount],Cash_Flow_3[Bulan],H701,Cash_Flow_3[Type],"Out",Cash_Flow_3[Category],"Jajan")</f>
        <v>0</v>
      </c>
      <c r="O701" s="29">
        <f>SUMIFS(Cash_Flow_3[Amount],Cash_Flow_3[Bulan],H701,Cash_Flow_3[Type],"Out",Cash_Flow_3[Category],"Kitchen")</f>
        <v>0</v>
      </c>
      <c r="P701" s="29">
        <f>SUMIFS(Cash_Flow_3[Amount],Cash_Flow_3[Bulan],H701,Cash_Flow_3[Type],"Out",Cash_Flow_3[Category],"Loandry")</f>
        <v>0</v>
      </c>
      <c r="Q701" s="29">
        <f>SUMIFS(Cash_Flow_3[Amount],Cash_Flow_3[Bulan],H701,Cash_Flow_3[Type],"Out",Cash_Flow_3[Category],"Mio")</f>
        <v>0</v>
      </c>
      <c r="R701" s="29">
        <f>SUMIFS(Cash_Flow_3[Amount],Cash_Flow_3[Bulan],H701,Cash_Flow_3[Type],"Out",Cash_Flow_3[Category],"Sedekah")</f>
        <v>0</v>
      </c>
      <c r="S701" s="29">
        <f>SUMIFS(Cash_Flow_3[Amount],Cash_Flow_3[Bulan],H701,Cash_Flow_3[Type],"Out",Cash_Flow_3[Category],"Zela")</f>
        <v>0</v>
      </c>
      <c r="T701" s="29">
        <f>SUMIFS(Cash_Flow_3[Amount],Cash_Flow_3[Bulan],H701,Cash_Flow_3[Type],"Out",Cash_Flow_3[Category],"Iqbal")</f>
        <v>0</v>
      </c>
    </row>
    <row r="702" spans="1:20" ht="22.5" customHeight="1" x14ac:dyDescent="0.2">
      <c r="A702" s="23"/>
      <c r="B702" s="24"/>
      <c r="C702" s="25"/>
      <c r="D702" s="25"/>
      <c r="E702" s="25"/>
      <c r="F702" s="26"/>
      <c r="G702" s="27"/>
      <c r="H702" s="28" t="str">
        <f t="shared" si="0"/>
        <v/>
      </c>
      <c r="I702" s="29">
        <f>SUMIFS(Cash_Flow_3[Amount],Cash_Flow_3[Bulan],H702,Cash_Flow_3[Type],"In")</f>
        <v>0</v>
      </c>
      <c r="J702" s="29">
        <f>SUMIFS(Cash_Flow_3[Amount],Cash_Flow_3[Bulan],H702,Cash_Flow_3[Type],"Out")</f>
        <v>0</v>
      </c>
      <c r="K702" s="29">
        <f>SUMIFS(Cash_Flow_3[Amount],Cash_Flow_3[Bulan],H702,Cash_Flow_3[Type],"Out",Cash_Flow_3[Category],"Fix")</f>
        <v>0</v>
      </c>
      <c r="L702" s="29">
        <f>SUMIFS(Cash_Flow_3[Amount],Cash_Flow_3[Bulan],H702,Cash_Flow_3[Type],"Out",Cash_Flow_3[Category],"Bathroom")</f>
        <v>0</v>
      </c>
      <c r="M702" s="29">
        <f>SUMIFS(Cash_Flow_3[Amount],Cash_Flow_3[Bulan],H702,Cash_Flow_3[Type],"Out",Cash_Flow_3[Category],"Alfa")</f>
        <v>0</v>
      </c>
      <c r="N702" s="29">
        <f>SUMIFS(Cash_Flow_3[Amount],Cash_Flow_3[Bulan],H702,Cash_Flow_3[Type],"Out",Cash_Flow_3[Category],"Jajan")</f>
        <v>0</v>
      </c>
      <c r="O702" s="29">
        <f>SUMIFS(Cash_Flow_3[Amount],Cash_Flow_3[Bulan],H702,Cash_Flow_3[Type],"Out",Cash_Flow_3[Category],"Kitchen")</f>
        <v>0</v>
      </c>
      <c r="P702" s="29">
        <f>SUMIFS(Cash_Flow_3[Amount],Cash_Flow_3[Bulan],H702,Cash_Flow_3[Type],"Out",Cash_Flow_3[Category],"Loandry")</f>
        <v>0</v>
      </c>
      <c r="Q702" s="29">
        <f>SUMIFS(Cash_Flow_3[Amount],Cash_Flow_3[Bulan],H702,Cash_Flow_3[Type],"Out",Cash_Flow_3[Category],"Mio")</f>
        <v>0</v>
      </c>
      <c r="R702" s="29">
        <f>SUMIFS(Cash_Flow_3[Amount],Cash_Flow_3[Bulan],H702,Cash_Flow_3[Type],"Out",Cash_Flow_3[Category],"Sedekah")</f>
        <v>0</v>
      </c>
      <c r="S702" s="29">
        <f>SUMIFS(Cash_Flow_3[Amount],Cash_Flow_3[Bulan],H702,Cash_Flow_3[Type],"Out",Cash_Flow_3[Category],"Zela")</f>
        <v>0</v>
      </c>
      <c r="T702" s="29">
        <f>SUMIFS(Cash_Flow_3[Amount],Cash_Flow_3[Bulan],H702,Cash_Flow_3[Type],"Out",Cash_Flow_3[Category],"Iqbal")</f>
        <v>0</v>
      </c>
    </row>
    <row r="703" spans="1:20" ht="22.5" customHeight="1" x14ac:dyDescent="0.2">
      <c r="A703" s="23"/>
      <c r="B703" s="24"/>
      <c r="C703" s="25"/>
      <c r="D703" s="25"/>
      <c r="E703" s="25"/>
      <c r="F703" s="26"/>
      <c r="G703" s="27"/>
      <c r="H703" s="28" t="str">
        <f t="shared" si="0"/>
        <v/>
      </c>
      <c r="I703" s="29">
        <f>SUMIFS(Cash_Flow_3[Amount],Cash_Flow_3[Bulan],H703,Cash_Flow_3[Type],"In")</f>
        <v>0</v>
      </c>
      <c r="J703" s="29">
        <f>SUMIFS(Cash_Flow_3[Amount],Cash_Flow_3[Bulan],H703,Cash_Flow_3[Type],"Out")</f>
        <v>0</v>
      </c>
      <c r="K703" s="29">
        <f>SUMIFS(Cash_Flow_3[Amount],Cash_Flow_3[Bulan],H703,Cash_Flow_3[Type],"Out",Cash_Flow_3[Category],"Fix")</f>
        <v>0</v>
      </c>
      <c r="L703" s="29">
        <f>SUMIFS(Cash_Flow_3[Amount],Cash_Flow_3[Bulan],H703,Cash_Flow_3[Type],"Out",Cash_Flow_3[Category],"Bathroom")</f>
        <v>0</v>
      </c>
      <c r="M703" s="29">
        <f>SUMIFS(Cash_Flow_3[Amount],Cash_Flow_3[Bulan],H703,Cash_Flow_3[Type],"Out",Cash_Flow_3[Category],"Alfa")</f>
        <v>0</v>
      </c>
      <c r="N703" s="29">
        <f>SUMIFS(Cash_Flow_3[Amount],Cash_Flow_3[Bulan],H703,Cash_Flow_3[Type],"Out",Cash_Flow_3[Category],"Jajan")</f>
        <v>0</v>
      </c>
      <c r="O703" s="29">
        <f>SUMIFS(Cash_Flow_3[Amount],Cash_Flow_3[Bulan],H703,Cash_Flow_3[Type],"Out",Cash_Flow_3[Category],"Kitchen")</f>
        <v>0</v>
      </c>
      <c r="P703" s="29">
        <f>SUMIFS(Cash_Flow_3[Amount],Cash_Flow_3[Bulan],H703,Cash_Flow_3[Type],"Out",Cash_Flow_3[Category],"Loandry")</f>
        <v>0</v>
      </c>
      <c r="Q703" s="29">
        <f>SUMIFS(Cash_Flow_3[Amount],Cash_Flow_3[Bulan],H703,Cash_Flow_3[Type],"Out",Cash_Flow_3[Category],"Mio")</f>
        <v>0</v>
      </c>
      <c r="R703" s="29">
        <f>SUMIFS(Cash_Flow_3[Amount],Cash_Flow_3[Bulan],H703,Cash_Flow_3[Type],"Out",Cash_Flow_3[Category],"Sedekah")</f>
        <v>0</v>
      </c>
      <c r="S703" s="29">
        <f>SUMIFS(Cash_Flow_3[Amount],Cash_Flow_3[Bulan],H703,Cash_Flow_3[Type],"Out",Cash_Flow_3[Category],"Zela")</f>
        <v>0</v>
      </c>
      <c r="T703" s="29">
        <f>SUMIFS(Cash_Flow_3[Amount],Cash_Flow_3[Bulan],H703,Cash_Flow_3[Type],"Out",Cash_Flow_3[Category],"Iqbal")</f>
        <v>0</v>
      </c>
    </row>
    <row r="704" spans="1:20" ht="22.5" customHeight="1" x14ac:dyDescent="0.2">
      <c r="A704" s="23"/>
      <c r="B704" s="24"/>
      <c r="C704" s="25"/>
      <c r="D704" s="25"/>
      <c r="E704" s="25"/>
      <c r="F704" s="26"/>
      <c r="G704" s="27"/>
      <c r="H704" s="28" t="str">
        <f t="shared" si="0"/>
        <v/>
      </c>
      <c r="I704" s="29">
        <f>SUMIFS(Cash_Flow_3[Amount],Cash_Flow_3[Bulan],H704,Cash_Flow_3[Type],"In")</f>
        <v>0</v>
      </c>
      <c r="J704" s="29">
        <f>SUMIFS(Cash_Flow_3[Amount],Cash_Flow_3[Bulan],H704,Cash_Flow_3[Type],"Out")</f>
        <v>0</v>
      </c>
      <c r="K704" s="29">
        <f>SUMIFS(Cash_Flow_3[Amount],Cash_Flow_3[Bulan],H704,Cash_Flow_3[Type],"Out",Cash_Flow_3[Category],"Fix")</f>
        <v>0</v>
      </c>
      <c r="L704" s="29">
        <f>SUMIFS(Cash_Flow_3[Amount],Cash_Flow_3[Bulan],H704,Cash_Flow_3[Type],"Out",Cash_Flow_3[Category],"Bathroom")</f>
        <v>0</v>
      </c>
      <c r="M704" s="29">
        <f>SUMIFS(Cash_Flow_3[Amount],Cash_Flow_3[Bulan],H704,Cash_Flow_3[Type],"Out",Cash_Flow_3[Category],"Alfa")</f>
        <v>0</v>
      </c>
      <c r="N704" s="29">
        <f>SUMIFS(Cash_Flow_3[Amount],Cash_Flow_3[Bulan],H704,Cash_Flow_3[Type],"Out",Cash_Flow_3[Category],"Jajan")</f>
        <v>0</v>
      </c>
      <c r="O704" s="29">
        <f>SUMIFS(Cash_Flow_3[Amount],Cash_Flow_3[Bulan],H704,Cash_Flow_3[Type],"Out",Cash_Flow_3[Category],"Kitchen")</f>
        <v>0</v>
      </c>
      <c r="P704" s="29">
        <f>SUMIFS(Cash_Flow_3[Amount],Cash_Flow_3[Bulan],H704,Cash_Flow_3[Type],"Out",Cash_Flow_3[Category],"Loandry")</f>
        <v>0</v>
      </c>
      <c r="Q704" s="29">
        <f>SUMIFS(Cash_Flow_3[Amount],Cash_Flow_3[Bulan],H704,Cash_Flow_3[Type],"Out",Cash_Flow_3[Category],"Mio")</f>
        <v>0</v>
      </c>
      <c r="R704" s="29">
        <f>SUMIFS(Cash_Flow_3[Amount],Cash_Flow_3[Bulan],H704,Cash_Flow_3[Type],"Out",Cash_Flow_3[Category],"Sedekah")</f>
        <v>0</v>
      </c>
      <c r="S704" s="29">
        <f>SUMIFS(Cash_Flow_3[Amount],Cash_Flow_3[Bulan],H704,Cash_Flow_3[Type],"Out",Cash_Flow_3[Category],"Zela")</f>
        <v>0</v>
      </c>
      <c r="T704" s="29">
        <f>SUMIFS(Cash_Flow_3[Amount],Cash_Flow_3[Bulan],H704,Cash_Flow_3[Type],"Out",Cash_Flow_3[Category],"Iqbal")</f>
        <v>0</v>
      </c>
    </row>
    <row r="705" spans="1:20" ht="22.5" customHeight="1" x14ac:dyDescent="0.2">
      <c r="A705" s="23"/>
      <c r="B705" s="24"/>
      <c r="C705" s="25"/>
      <c r="D705" s="25"/>
      <c r="E705" s="25"/>
      <c r="F705" s="26"/>
      <c r="G705" s="27"/>
      <c r="H705" s="28" t="str">
        <f t="shared" si="0"/>
        <v/>
      </c>
      <c r="I705" s="29">
        <f>SUMIFS(Cash_Flow_3[Amount],Cash_Flow_3[Bulan],H705,Cash_Flow_3[Type],"In")</f>
        <v>0</v>
      </c>
      <c r="J705" s="29">
        <f>SUMIFS(Cash_Flow_3[Amount],Cash_Flow_3[Bulan],H705,Cash_Flow_3[Type],"Out")</f>
        <v>0</v>
      </c>
      <c r="K705" s="29">
        <f>SUMIFS(Cash_Flow_3[Amount],Cash_Flow_3[Bulan],H705,Cash_Flow_3[Type],"Out",Cash_Flow_3[Category],"Fix")</f>
        <v>0</v>
      </c>
      <c r="L705" s="29">
        <f>SUMIFS(Cash_Flow_3[Amount],Cash_Flow_3[Bulan],H705,Cash_Flow_3[Type],"Out",Cash_Flow_3[Category],"Bathroom")</f>
        <v>0</v>
      </c>
      <c r="M705" s="29">
        <f>SUMIFS(Cash_Flow_3[Amount],Cash_Flow_3[Bulan],H705,Cash_Flow_3[Type],"Out",Cash_Flow_3[Category],"Alfa")</f>
        <v>0</v>
      </c>
      <c r="N705" s="29">
        <f>SUMIFS(Cash_Flow_3[Amount],Cash_Flow_3[Bulan],H705,Cash_Flow_3[Type],"Out",Cash_Flow_3[Category],"Jajan")</f>
        <v>0</v>
      </c>
      <c r="O705" s="29">
        <f>SUMIFS(Cash_Flow_3[Amount],Cash_Flow_3[Bulan],H705,Cash_Flow_3[Type],"Out",Cash_Flow_3[Category],"Kitchen")</f>
        <v>0</v>
      </c>
      <c r="P705" s="29">
        <f>SUMIFS(Cash_Flow_3[Amount],Cash_Flow_3[Bulan],H705,Cash_Flow_3[Type],"Out",Cash_Flow_3[Category],"Loandry")</f>
        <v>0</v>
      </c>
      <c r="Q705" s="29">
        <f>SUMIFS(Cash_Flow_3[Amount],Cash_Flow_3[Bulan],H705,Cash_Flow_3[Type],"Out",Cash_Flow_3[Category],"Mio")</f>
        <v>0</v>
      </c>
      <c r="R705" s="29">
        <f>SUMIFS(Cash_Flow_3[Amount],Cash_Flow_3[Bulan],H705,Cash_Flow_3[Type],"Out",Cash_Flow_3[Category],"Sedekah")</f>
        <v>0</v>
      </c>
      <c r="S705" s="29">
        <f>SUMIFS(Cash_Flow_3[Amount],Cash_Flow_3[Bulan],H705,Cash_Flow_3[Type],"Out",Cash_Flow_3[Category],"Zela")</f>
        <v>0</v>
      </c>
      <c r="T705" s="29">
        <f>SUMIFS(Cash_Flow_3[Amount],Cash_Flow_3[Bulan],H705,Cash_Flow_3[Type],"Out",Cash_Flow_3[Category],"Iqbal")</f>
        <v>0</v>
      </c>
    </row>
    <row r="706" spans="1:20" ht="22.5" customHeight="1" x14ac:dyDescent="0.2">
      <c r="A706" s="23"/>
      <c r="B706" s="24"/>
      <c r="C706" s="25"/>
      <c r="D706" s="25"/>
      <c r="E706" s="25"/>
      <c r="F706" s="26"/>
      <c r="G706" s="27"/>
      <c r="H706" s="28" t="str">
        <f t="shared" si="0"/>
        <v/>
      </c>
      <c r="I706" s="29">
        <f>SUMIFS(Cash_Flow_3[Amount],Cash_Flow_3[Bulan],H706,Cash_Flow_3[Type],"In")</f>
        <v>0</v>
      </c>
      <c r="J706" s="29">
        <f>SUMIFS(Cash_Flow_3[Amount],Cash_Flow_3[Bulan],H706,Cash_Flow_3[Type],"Out")</f>
        <v>0</v>
      </c>
      <c r="K706" s="29">
        <f>SUMIFS(Cash_Flow_3[Amount],Cash_Flow_3[Bulan],H706,Cash_Flow_3[Type],"Out",Cash_Flow_3[Category],"Fix")</f>
        <v>0</v>
      </c>
      <c r="L706" s="29">
        <f>SUMIFS(Cash_Flow_3[Amount],Cash_Flow_3[Bulan],H706,Cash_Flow_3[Type],"Out",Cash_Flow_3[Category],"Bathroom")</f>
        <v>0</v>
      </c>
      <c r="M706" s="29">
        <f>SUMIFS(Cash_Flow_3[Amount],Cash_Flow_3[Bulan],H706,Cash_Flow_3[Type],"Out",Cash_Flow_3[Category],"Alfa")</f>
        <v>0</v>
      </c>
      <c r="N706" s="29">
        <f>SUMIFS(Cash_Flow_3[Amount],Cash_Flow_3[Bulan],H706,Cash_Flow_3[Type],"Out",Cash_Flow_3[Category],"Jajan")</f>
        <v>0</v>
      </c>
      <c r="O706" s="29">
        <f>SUMIFS(Cash_Flow_3[Amount],Cash_Flow_3[Bulan],H706,Cash_Flow_3[Type],"Out",Cash_Flow_3[Category],"Kitchen")</f>
        <v>0</v>
      </c>
      <c r="P706" s="29">
        <f>SUMIFS(Cash_Flow_3[Amount],Cash_Flow_3[Bulan],H706,Cash_Flow_3[Type],"Out",Cash_Flow_3[Category],"Loandry")</f>
        <v>0</v>
      </c>
      <c r="Q706" s="29">
        <f>SUMIFS(Cash_Flow_3[Amount],Cash_Flow_3[Bulan],H706,Cash_Flow_3[Type],"Out",Cash_Flow_3[Category],"Mio")</f>
        <v>0</v>
      </c>
      <c r="R706" s="29">
        <f>SUMIFS(Cash_Flow_3[Amount],Cash_Flow_3[Bulan],H706,Cash_Flow_3[Type],"Out",Cash_Flow_3[Category],"Sedekah")</f>
        <v>0</v>
      </c>
      <c r="S706" s="29">
        <f>SUMIFS(Cash_Flow_3[Amount],Cash_Flow_3[Bulan],H706,Cash_Flow_3[Type],"Out",Cash_Flow_3[Category],"Zela")</f>
        <v>0</v>
      </c>
      <c r="T706" s="29">
        <f>SUMIFS(Cash_Flow_3[Amount],Cash_Flow_3[Bulan],H706,Cash_Flow_3[Type],"Out",Cash_Flow_3[Category],"Iqbal")</f>
        <v>0</v>
      </c>
    </row>
    <row r="707" spans="1:20" ht="22.5" customHeight="1" x14ac:dyDescent="0.2">
      <c r="A707" s="23"/>
      <c r="B707" s="24"/>
      <c r="C707" s="25"/>
      <c r="D707" s="25"/>
      <c r="E707" s="25"/>
      <c r="F707" s="26"/>
      <c r="G707" s="27"/>
      <c r="H707" s="28" t="str">
        <f t="shared" si="0"/>
        <v/>
      </c>
      <c r="I707" s="29">
        <f>SUMIFS(Cash_Flow_3[Amount],Cash_Flow_3[Bulan],H707,Cash_Flow_3[Type],"In")</f>
        <v>0</v>
      </c>
      <c r="J707" s="29">
        <f>SUMIFS(Cash_Flow_3[Amount],Cash_Flow_3[Bulan],H707,Cash_Flow_3[Type],"Out")</f>
        <v>0</v>
      </c>
      <c r="K707" s="29">
        <f>SUMIFS(Cash_Flow_3[Amount],Cash_Flow_3[Bulan],H707,Cash_Flow_3[Type],"Out",Cash_Flow_3[Category],"Fix")</f>
        <v>0</v>
      </c>
      <c r="L707" s="29">
        <f>SUMIFS(Cash_Flow_3[Amount],Cash_Flow_3[Bulan],H707,Cash_Flow_3[Type],"Out",Cash_Flow_3[Category],"Bathroom")</f>
        <v>0</v>
      </c>
      <c r="M707" s="29">
        <f>SUMIFS(Cash_Flow_3[Amount],Cash_Flow_3[Bulan],H707,Cash_Flow_3[Type],"Out",Cash_Flow_3[Category],"Alfa")</f>
        <v>0</v>
      </c>
      <c r="N707" s="29">
        <f>SUMIFS(Cash_Flow_3[Amount],Cash_Flow_3[Bulan],H707,Cash_Flow_3[Type],"Out",Cash_Flow_3[Category],"Jajan")</f>
        <v>0</v>
      </c>
      <c r="O707" s="29">
        <f>SUMIFS(Cash_Flow_3[Amount],Cash_Flow_3[Bulan],H707,Cash_Flow_3[Type],"Out",Cash_Flow_3[Category],"Kitchen")</f>
        <v>0</v>
      </c>
      <c r="P707" s="29">
        <f>SUMIFS(Cash_Flow_3[Amount],Cash_Flow_3[Bulan],H707,Cash_Flow_3[Type],"Out",Cash_Flow_3[Category],"Loandry")</f>
        <v>0</v>
      </c>
      <c r="Q707" s="29">
        <f>SUMIFS(Cash_Flow_3[Amount],Cash_Flow_3[Bulan],H707,Cash_Flow_3[Type],"Out",Cash_Flow_3[Category],"Mio")</f>
        <v>0</v>
      </c>
      <c r="R707" s="29">
        <f>SUMIFS(Cash_Flow_3[Amount],Cash_Flow_3[Bulan],H707,Cash_Flow_3[Type],"Out",Cash_Flow_3[Category],"Sedekah")</f>
        <v>0</v>
      </c>
      <c r="S707" s="29">
        <f>SUMIFS(Cash_Flow_3[Amount],Cash_Flow_3[Bulan],H707,Cash_Flow_3[Type],"Out",Cash_Flow_3[Category],"Zela")</f>
        <v>0</v>
      </c>
      <c r="T707" s="29">
        <f>SUMIFS(Cash_Flow_3[Amount],Cash_Flow_3[Bulan],H707,Cash_Flow_3[Type],"Out",Cash_Flow_3[Category],"Iqbal")</f>
        <v>0</v>
      </c>
    </row>
    <row r="708" spans="1:20" ht="22.5" customHeight="1" x14ac:dyDescent="0.2">
      <c r="A708" s="23"/>
      <c r="B708" s="24"/>
      <c r="C708" s="25"/>
      <c r="D708" s="25"/>
      <c r="E708" s="25"/>
      <c r="F708" s="26"/>
      <c r="G708" s="27"/>
      <c r="H708" s="28" t="str">
        <f t="shared" si="0"/>
        <v/>
      </c>
      <c r="I708" s="29">
        <f>SUMIFS(Cash_Flow_3[Amount],Cash_Flow_3[Bulan],H708,Cash_Flow_3[Type],"In")</f>
        <v>0</v>
      </c>
      <c r="J708" s="29">
        <f>SUMIFS(Cash_Flow_3[Amount],Cash_Flow_3[Bulan],H708,Cash_Flow_3[Type],"Out")</f>
        <v>0</v>
      </c>
      <c r="K708" s="29">
        <f>SUMIFS(Cash_Flow_3[Amount],Cash_Flow_3[Bulan],H708,Cash_Flow_3[Type],"Out",Cash_Flow_3[Category],"Fix")</f>
        <v>0</v>
      </c>
      <c r="L708" s="29">
        <f>SUMIFS(Cash_Flow_3[Amount],Cash_Flow_3[Bulan],H708,Cash_Flow_3[Type],"Out",Cash_Flow_3[Category],"Bathroom")</f>
        <v>0</v>
      </c>
      <c r="M708" s="29">
        <f>SUMIFS(Cash_Flow_3[Amount],Cash_Flow_3[Bulan],H708,Cash_Flow_3[Type],"Out",Cash_Flow_3[Category],"Alfa")</f>
        <v>0</v>
      </c>
      <c r="N708" s="29">
        <f>SUMIFS(Cash_Flow_3[Amount],Cash_Flow_3[Bulan],H708,Cash_Flow_3[Type],"Out",Cash_Flow_3[Category],"Jajan")</f>
        <v>0</v>
      </c>
      <c r="O708" s="29">
        <f>SUMIFS(Cash_Flow_3[Amount],Cash_Flow_3[Bulan],H708,Cash_Flow_3[Type],"Out",Cash_Flow_3[Category],"Kitchen")</f>
        <v>0</v>
      </c>
      <c r="P708" s="29">
        <f>SUMIFS(Cash_Flow_3[Amount],Cash_Flow_3[Bulan],H708,Cash_Flow_3[Type],"Out",Cash_Flow_3[Category],"Loandry")</f>
        <v>0</v>
      </c>
      <c r="Q708" s="29">
        <f>SUMIFS(Cash_Flow_3[Amount],Cash_Flow_3[Bulan],H708,Cash_Flow_3[Type],"Out",Cash_Flow_3[Category],"Mio")</f>
        <v>0</v>
      </c>
      <c r="R708" s="29">
        <f>SUMIFS(Cash_Flow_3[Amount],Cash_Flow_3[Bulan],H708,Cash_Flow_3[Type],"Out",Cash_Flow_3[Category],"Sedekah")</f>
        <v>0</v>
      </c>
      <c r="S708" s="29">
        <f>SUMIFS(Cash_Flow_3[Amount],Cash_Flow_3[Bulan],H708,Cash_Flow_3[Type],"Out",Cash_Flow_3[Category],"Zela")</f>
        <v>0</v>
      </c>
      <c r="T708" s="29">
        <f>SUMIFS(Cash_Flow_3[Amount],Cash_Flow_3[Bulan],H708,Cash_Flow_3[Type],"Out",Cash_Flow_3[Category],"Iqbal")</f>
        <v>0</v>
      </c>
    </row>
    <row r="709" spans="1:20" ht="22.5" customHeight="1" x14ac:dyDescent="0.2">
      <c r="A709" s="23"/>
      <c r="B709" s="24"/>
      <c r="C709" s="25"/>
      <c r="D709" s="25"/>
      <c r="E709" s="25"/>
      <c r="F709" s="26"/>
      <c r="G709" s="27"/>
      <c r="H709" s="28" t="str">
        <f t="shared" si="0"/>
        <v/>
      </c>
      <c r="I709" s="29">
        <f>SUMIFS(Cash_Flow_3[Amount],Cash_Flow_3[Bulan],H709,Cash_Flow_3[Type],"In")</f>
        <v>0</v>
      </c>
      <c r="J709" s="29">
        <f>SUMIFS(Cash_Flow_3[Amount],Cash_Flow_3[Bulan],H709,Cash_Flow_3[Type],"Out")</f>
        <v>0</v>
      </c>
      <c r="K709" s="29">
        <f>SUMIFS(Cash_Flow_3[Amount],Cash_Flow_3[Bulan],H709,Cash_Flow_3[Type],"Out",Cash_Flow_3[Category],"Fix")</f>
        <v>0</v>
      </c>
      <c r="L709" s="29">
        <f>SUMIFS(Cash_Flow_3[Amount],Cash_Flow_3[Bulan],H709,Cash_Flow_3[Type],"Out",Cash_Flow_3[Category],"Bathroom")</f>
        <v>0</v>
      </c>
      <c r="M709" s="29">
        <f>SUMIFS(Cash_Flow_3[Amount],Cash_Flow_3[Bulan],H709,Cash_Flow_3[Type],"Out",Cash_Flow_3[Category],"Alfa")</f>
        <v>0</v>
      </c>
      <c r="N709" s="29">
        <f>SUMIFS(Cash_Flow_3[Amount],Cash_Flow_3[Bulan],H709,Cash_Flow_3[Type],"Out",Cash_Flow_3[Category],"Jajan")</f>
        <v>0</v>
      </c>
      <c r="O709" s="29">
        <f>SUMIFS(Cash_Flow_3[Amount],Cash_Flow_3[Bulan],H709,Cash_Flow_3[Type],"Out",Cash_Flow_3[Category],"Kitchen")</f>
        <v>0</v>
      </c>
      <c r="P709" s="29">
        <f>SUMIFS(Cash_Flow_3[Amount],Cash_Flow_3[Bulan],H709,Cash_Flow_3[Type],"Out",Cash_Flow_3[Category],"Loandry")</f>
        <v>0</v>
      </c>
      <c r="Q709" s="29">
        <f>SUMIFS(Cash_Flow_3[Amount],Cash_Flow_3[Bulan],H709,Cash_Flow_3[Type],"Out",Cash_Flow_3[Category],"Mio")</f>
        <v>0</v>
      </c>
      <c r="R709" s="29">
        <f>SUMIFS(Cash_Flow_3[Amount],Cash_Flow_3[Bulan],H709,Cash_Flow_3[Type],"Out",Cash_Flow_3[Category],"Sedekah")</f>
        <v>0</v>
      </c>
      <c r="S709" s="29">
        <f>SUMIFS(Cash_Flow_3[Amount],Cash_Flow_3[Bulan],H709,Cash_Flow_3[Type],"Out",Cash_Flow_3[Category],"Zela")</f>
        <v>0</v>
      </c>
      <c r="T709" s="29">
        <f>SUMIFS(Cash_Flow_3[Amount],Cash_Flow_3[Bulan],H709,Cash_Flow_3[Type],"Out",Cash_Flow_3[Category],"Iqbal")</f>
        <v>0</v>
      </c>
    </row>
    <row r="710" spans="1:20" ht="22.5" customHeight="1" x14ac:dyDescent="0.2">
      <c r="A710" s="23"/>
      <c r="B710" s="24"/>
      <c r="C710" s="25"/>
      <c r="D710" s="25"/>
      <c r="E710" s="25"/>
      <c r="F710" s="26"/>
      <c r="G710" s="27"/>
      <c r="H710" s="28" t="str">
        <f t="shared" si="0"/>
        <v/>
      </c>
      <c r="I710" s="29">
        <f>SUMIFS(Cash_Flow_3[Amount],Cash_Flow_3[Bulan],H710,Cash_Flow_3[Type],"In")</f>
        <v>0</v>
      </c>
      <c r="J710" s="29">
        <f>SUMIFS(Cash_Flow_3[Amount],Cash_Flow_3[Bulan],H710,Cash_Flow_3[Type],"Out")</f>
        <v>0</v>
      </c>
      <c r="K710" s="29">
        <f>SUMIFS(Cash_Flow_3[Amount],Cash_Flow_3[Bulan],H710,Cash_Flow_3[Type],"Out",Cash_Flow_3[Category],"Fix")</f>
        <v>0</v>
      </c>
      <c r="L710" s="29">
        <f>SUMIFS(Cash_Flow_3[Amount],Cash_Flow_3[Bulan],H710,Cash_Flow_3[Type],"Out",Cash_Flow_3[Category],"Bathroom")</f>
        <v>0</v>
      </c>
      <c r="M710" s="29">
        <f>SUMIFS(Cash_Flow_3[Amount],Cash_Flow_3[Bulan],H710,Cash_Flow_3[Type],"Out",Cash_Flow_3[Category],"Alfa")</f>
        <v>0</v>
      </c>
      <c r="N710" s="29">
        <f>SUMIFS(Cash_Flow_3[Amount],Cash_Flow_3[Bulan],H710,Cash_Flow_3[Type],"Out",Cash_Flow_3[Category],"Jajan")</f>
        <v>0</v>
      </c>
      <c r="O710" s="29">
        <f>SUMIFS(Cash_Flow_3[Amount],Cash_Flow_3[Bulan],H710,Cash_Flow_3[Type],"Out",Cash_Flow_3[Category],"Kitchen")</f>
        <v>0</v>
      </c>
      <c r="P710" s="29">
        <f>SUMIFS(Cash_Flow_3[Amount],Cash_Flow_3[Bulan],H710,Cash_Flow_3[Type],"Out",Cash_Flow_3[Category],"Loandry")</f>
        <v>0</v>
      </c>
      <c r="Q710" s="29">
        <f>SUMIFS(Cash_Flow_3[Amount],Cash_Flow_3[Bulan],H710,Cash_Flow_3[Type],"Out",Cash_Flow_3[Category],"Mio")</f>
        <v>0</v>
      </c>
      <c r="R710" s="29">
        <f>SUMIFS(Cash_Flow_3[Amount],Cash_Flow_3[Bulan],H710,Cash_Flow_3[Type],"Out",Cash_Flow_3[Category],"Sedekah")</f>
        <v>0</v>
      </c>
      <c r="S710" s="29">
        <f>SUMIFS(Cash_Flow_3[Amount],Cash_Flow_3[Bulan],H710,Cash_Flow_3[Type],"Out",Cash_Flow_3[Category],"Zela")</f>
        <v>0</v>
      </c>
      <c r="T710" s="29">
        <f>SUMIFS(Cash_Flow_3[Amount],Cash_Flow_3[Bulan],H710,Cash_Flow_3[Type],"Out",Cash_Flow_3[Category],"Iqbal")</f>
        <v>0</v>
      </c>
    </row>
    <row r="711" spans="1:20" ht="22.5" customHeight="1" x14ac:dyDescent="0.2">
      <c r="A711" s="23"/>
      <c r="B711" s="24"/>
      <c r="C711" s="25"/>
      <c r="D711" s="25"/>
      <c r="E711" s="25"/>
      <c r="F711" s="26"/>
      <c r="G711" s="27"/>
      <c r="H711" s="28" t="str">
        <f t="shared" si="0"/>
        <v/>
      </c>
      <c r="I711" s="29">
        <f>SUMIFS(Cash_Flow_3[Amount],Cash_Flow_3[Bulan],H711,Cash_Flow_3[Type],"In")</f>
        <v>0</v>
      </c>
      <c r="J711" s="29">
        <f>SUMIFS(Cash_Flow_3[Amount],Cash_Flow_3[Bulan],H711,Cash_Flow_3[Type],"Out")</f>
        <v>0</v>
      </c>
      <c r="K711" s="29">
        <f>SUMIFS(Cash_Flow_3[Amount],Cash_Flow_3[Bulan],H711,Cash_Flow_3[Type],"Out",Cash_Flow_3[Category],"Fix")</f>
        <v>0</v>
      </c>
      <c r="L711" s="29">
        <f>SUMIFS(Cash_Flow_3[Amount],Cash_Flow_3[Bulan],H711,Cash_Flow_3[Type],"Out",Cash_Flow_3[Category],"Bathroom")</f>
        <v>0</v>
      </c>
      <c r="M711" s="29">
        <f>SUMIFS(Cash_Flow_3[Amount],Cash_Flow_3[Bulan],H711,Cash_Flow_3[Type],"Out",Cash_Flow_3[Category],"Alfa")</f>
        <v>0</v>
      </c>
      <c r="N711" s="29">
        <f>SUMIFS(Cash_Flow_3[Amount],Cash_Flow_3[Bulan],H711,Cash_Flow_3[Type],"Out",Cash_Flow_3[Category],"Jajan")</f>
        <v>0</v>
      </c>
      <c r="O711" s="29">
        <f>SUMIFS(Cash_Flow_3[Amount],Cash_Flow_3[Bulan],H711,Cash_Flow_3[Type],"Out",Cash_Flow_3[Category],"Kitchen")</f>
        <v>0</v>
      </c>
      <c r="P711" s="29">
        <f>SUMIFS(Cash_Flow_3[Amount],Cash_Flow_3[Bulan],H711,Cash_Flow_3[Type],"Out",Cash_Flow_3[Category],"Loandry")</f>
        <v>0</v>
      </c>
      <c r="Q711" s="29">
        <f>SUMIFS(Cash_Flow_3[Amount],Cash_Flow_3[Bulan],H711,Cash_Flow_3[Type],"Out",Cash_Flow_3[Category],"Mio")</f>
        <v>0</v>
      </c>
      <c r="R711" s="29">
        <f>SUMIFS(Cash_Flow_3[Amount],Cash_Flow_3[Bulan],H711,Cash_Flow_3[Type],"Out",Cash_Flow_3[Category],"Sedekah")</f>
        <v>0</v>
      </c>
      <c r="S711" s="29">
        <f>SUMIFS(Cash_Flow_3[Amount],Cash_Flow_3[Bulan],H711,Cash_Flow_3[Type],"Out",Cash_Flow_3[Category],"Zela")</f>
        <v>0</v>
      </c>
      <c r="T711" s="29">
        <f>SUMIFS(Cash_Flow_3[Amount],Cash_Flow_3[Bulan],H711,Cash_Flow_3[Type],"Out",Cash_Flow_3[Category],"Iqbal")</f>
        <v>0</v>
      </c>
    </row>
    <row r="712" spans="1:20" ht="22.5" customHeight="1" x14ac:dyDescent="0.2">
      <c r="A712" s="23"/>
      <c r="B712" s="24"/>
      <c r="C712" s="25"/>
      <c r="D712" s="25"/>
      <c r="E712" s="25"/>
      <c r="F712" s="26"/>
      <c r="G712" s="27"/>
      <c r="H712" s="28" t="str">
        <f t="shared" si="0"/>
        <v/>
      </c>
      <c r="I712" s="29">
        <f>SUMIFS(Cash_Flow_3[Amount],Cash_Flow_3[Bulan],H712,Cash_Flow_3[Type],"In")</f>
        <v>0</v>
      </c>
      <c r="J712" s="29">
        <f>SUMIFS(Cash_Flow_3[Amount],Cash_Flow_3[Bulan],H712,Cash_Flow_3[Type],"Out")</f>
        <v>0</v>
      </c>
      <c r="K712" s="29">
        <f>SUMIFS(Cash_Flow_3[Amount],Cash_Flow_3[Bulan],H712,Cash_Flow_3[Type],"Out",Cash_Flow_3[Category],"Fix")</f>
        <v>0</v>
      </c>
      <c r="L712" s="29">
        <f>SUMIFS(Cash_Flow_3[Amount],Cash_Flow_3[Bulan],H712,Cash_Flow_3[Type],"Out",Cash_Flow_3[Category],"Bathroom")</f>
        <v>0</v>
      </c>
      <c r="M712" s="29">
        <f>SUMIFS(Cash_Flow_3[Amount],Cash_Flow_3[Bulan],H712,Cash_Flow_3[Type],"Out",Cash_Flow_3[Category],"Alfa")</f>
        <v>0</v>
      </c>
      <c r="N712" s="29">
        <f>SUMIFS(Cash_Flow_3[Amount],Cash_Flow_3[Bulan],H712,Cash_Flow_3[Type],"Out",Cash_Flow_3[Category],"Jajan")</f>
        <v>0</v>
      </c>
      <c r="O712" s="29">
        <f>SUMIFS(Cash_Flow_3[Amount],Cash_Flow_3[Bulan],H712,Cash_Flow_3[Type],"Out",Cash_Flow_3[Category],"Kitchen")</f>
        <v>0</v>
      </c>
      <c r="P712" s="29">
        <f>SUMIFS(Cash_Flow_3[Amount],Cash_Flow_3[Bulan],H712,Cash_Flow_3[Type],"Out",Cash_Flow_3[Category],"Loandry")</f>
        <v>0</v>
      </c>
      <c r="Q712" s="29">
        <f>SUMIFS(Cash_Flow_3[Amount],Cash_Flow_3[Bulan],H712,Cash_Flow_3[Type],"Out",Cash_Flow_3[Category],"Mio")</f>
        <v>0</v>
      </c>
      <c r="R712" s="29">
        <f>SUMIFS(Cash_Flow_3[Amount],Cash_Flow_3[Bulan],H712,Cash_Flow_3[Type],"Out",Cash_Flow_3[Category],"Sedekah")</f>
        <v>0</v>
      </c>
      <c r="S712" s="29">
        <f>SUMIFS(Cash_Flow_3[Amount],Cash_Flow_3[Bulan],H712,Cash_Flow_3[Type],"Out",Cash_Flow_3[Category],"Zela")</f>
        <v>0</v>
      </c>
      <c r="T712" s="29">
        <f>SUMIFS(Cash_Flow_3[Amount],Cash_Flow_3[Bulan],H712,Cash_Flow_3[Type],"Out",Cash_Flow_3[Category],"Iqbal")</f>
        <v>0</v>
      </c>
    </row>
    <row r="713" spans="1:20" ht="22.5" customHeight="1" x14ac:dyDescent="0.2">
      <c r="A713" s="23"/>
      <c r="B713" s="24"/>
      <c r="C713" s="25"/>
      <c r="D713" s="25"/>
      <c r="E713" s="25"/>
      <c r="F713" s="26"/>
      <c r="G713" s="27"/>
      <c r="H713" s="28" t="str">
        <f t="shared" si="0"/>
        <v/>
      </c>
      <c r="I713" s="29">
        <f>SUMIFS(Cash_Flow_3[Amount],Cash_Flow_3[Bulan],H713,Cash_Flow_3[Type],"In")</f>
        <v>0</v>
      </c>
      <c r="J713" s="29">
        <f>SUMIFS(Cash_Flow_3[Amount],Cash_Flow_3[Bulan],H713,Cash_Flow_3[Type],"Out")</f>
        <v>0</v>
      </c>
      <c r="K713" s="29">
        <f>SUMIFS(Cash_Flow_3[Amount],Cash_Flow_3[Bulan],H713,Cash_Flow_3[Type],"Out",Cash_Flow_3[Category],"Fix")</f>
        <v>0</v>
      </c>
      <c r="L713" s="29">
        <f>SUMIFS(Cash_Flow_3[Amount],Cash_Flow_3[Bulan],H713,Cash_Flow_3[Type],"Out",Cash_Flow_3[Category],"Bathroom")</f>
        <v>0</v>
      </c>
      <c r="M713" s="29">
        <f>SUMIFS(Cash_Flow_3[Amount],Cash_Flow_3[Bulan],H713,Cash_Flow_3[Type],"Out",Cash_Flow_3[Category],"Alfa")</f>
        <v>0</v>
      </c>
      <c r="N713" s="29">
        <f>SUMIFS(Cash_Flow_3[Amount],Cash_Flow_3[Bulan],H713,Cash_Flow_3[Type],"Out",Cash_Flow_3[Category],"Jajan")</f>
        <v>0</v>
      </c>
      <c r="O713" s="29">
        <f>SUMIFS(Cash_Flow_3[Amount],Cash_Flow_3[Bulan],H713,Cash_Flow_3[Type],"Out",Cash_Flow_3[Category],"Kitchen")</f>
        <v>0</v>
      </c>
      <c r="P713" s="29">
        <f>SUMIFS(Cash_Flow_3[Amount],Cash_Flow_3[Bulan],H713,Cash_Flow_3[Type],"Out",Cash_Flow_3[Category],"Loandry")</f>
        <v>0</v>
      </c>
      <c r="Q713" s="29">
        <f>SUMIFS(Cash_Flow_3[Amount],Cash_Flow_3[Bulan],H713,Cash_Flow_3[Type],"Out",Cash_Flow_3[Category],"Mio")</f>
        <v>0</v>
      </c>
      <c r="R713" s="29">
        <f>SUMIFS(Cash_Flow_3[Amount],Cash_Flow_3[Bulan],H713,Cash_Flow_3[Type],"Out",Cash_Flow_3[Category],"Sedekah")</f>
        <v>0</v>
      </c>
      <c r="S713" s="29">
        <f>SUMIFS(Cash_Flow_3[Amount],Cash_Flow_3[Bulan],H713,Cash_Flow_3[Type],"Out",Cash_Flow_3[Category],"Zela")</f>
        <v>0</v>
      </c>
      <c r="T713" s="29">
        <f>SUMIFS(Cash_Flow_3[Amount],Cash_Flow_3[Bulan],H713,Cash_Flow_3[Type],"Out",Cash_Flow_3[Category],"Iqbal")</f>
        <v>0</v>
      </c>
    </row>
    <row r="714" spans="1:20" ht="22.5" customHeight="1" x14ac:dyDescent="0.2">
      <c r="A714" s="23"/>
      <c r="B714" s="24"/>
      <c r="C714" s="25"/>
      <c r="D714" s="25"/>
      <c r="E714" s="25"/>
      <c r="F714" s="26"/>
      <c r="G714" s="27"/>
      <c r="H714" s="28" t="str">
        <f t="shared" si="0"/>
        <v/>
      </c>
      <c r="I714" s="29">
        <f>SUMIFS(Cash_Flow_3[Amount],Cash_Flow_3[Bulan],H714,Cash_Flow_3[Type],"In")</f>
        <v>0</v>
      </c>
      <c r="J714" s="29">
        <f>SUMIFS(Cash_Flow_3[Amount],Cash_Flow_3[Bulan],H714,Cash_Flow_3[Type],"Out")</f>
        <v>0</v>
      </c>
      <c r="K714" s="29">
        <f>SUMIFS(Cash_Flow_3[Amount],Cash_Flow_3[Bulan],H714,Cash_Flow_3[Type],"Out",Cash_Flow_3[Category],"Fix")</f>
        <v>0</v>
      </c>
      <c r="L714" s="29">
        <f>SUMIFS(Cash_Flow_3[Amount],Cash_Flow_3[Bulan],H714,Cash_Flow_3[Type],"Out",Cash_Flow_3[Category],"Bathroom")</f>
        <v>0</v>
      </c>
      <c r="M714" s="29">
        <f>SUMIFS(Cash_Flow_3[Amount],Cash_Flow_3[Bulan],H714,Cash_Flow_3[Type],"Out",Cash_Flow_3[Category],"Alfa")</f>
        <v>0</v>
      </c>
      <c r="N714" s="29">
        <f>SUMIFS(Cash_Flow_3[Amount],Cash_Flow_3[Bulan],H714,Cash_Flow_3[Type],"Out",Cash_Flow_3[Category],"Jajan")</f>
        <v>0</v>
      </c>
      <c r="O714" s="29">
        <f>SUMIFS(Cash_Flow_3[Amount],Cash_Flow_3[Bulan],H714,Cash_Flow_3[Type],"Out",Cash_Flow_3[Category],"Kitchen")</f>
        <v>0</v>
      </c>
      <c r="P714" s="29">
        <f>SUMIFS(Cash_Flow_3[Amount],Cash_Flow_3[Bulan],H714,Cash_Flow_3[Type],"Out",Cash_Flow_3[Category],"Loandry")</f>
        <v>0</v>
      </c>
      <c r="Q714" s="29">
        <f>SUMIFS(Cash_Flow_3[Amount],Cash_Flow_3[Bulan],H714,Cash_Flow_3[Type],"Out",Cash_Flow_3[Category],"Mio")</f>
        <v>0</v>
      </c>
      <c r="R714" s="29">
        <f>SUMIFS(Cash_Flow_3[Amount],Cash_Flow_3[Bulan],H714,Cash_Flow_3[Type],"Out",Cash_Flow_3[Category],"Sedekah")</f>
        <v>0</v>
      </c>
      <c r="S714" s="29">
        <f>SUMIFS(Cash_Flow_3[Amount],Cash_Flow_3[Bulan],H714,Cash_Flow_3[Type],"Out",Cash_Flow_3[Category],"Zela")</f>
        <v>0</v>
      </c>
      <c r="T714" s="29">
        <f>SUMIFS(Cash_Flow_3[Amount],Cash_Flow_3[Bulan],H714,Cash_Flow_3[Type],"Out",Cash_Flow_3[Category],"Iqbal")</f>
        <v>0</v>
      </c>
    </row>
    <row r="715" spans="1:20" ht="22.5" customHeight="1" x14ac:dyDescent="0.2">
      <c r="A715" s="23"/>
      <c r="B715" s="24"/>
      <c r="C715" s="25"/>
      <c r="D715" s="25"/>
      <c r="E715" s="25"/>
      <c r="F715" s="26"/>
      <c r="G715" s="27"/>
      <c r="H715" s="28" t="str">
        <f t="shared" si="0"/>
        <v/>
      </c>
      <c r="I715" s="29">
        <f>SUMIFS(Cash_Flow_3[Amount],Cash_Flow_3[Bulan],H715,Cash_Flow_3[Type],"In")</f>
        <v>0</v>
      </c>
      <c r="J715" s="29">
        <f>SUMIFS(Cash_Flow_3[Amount],Cash_Flow_3[Bulan],H715,Cash_Flow_3[Type],"Out")</f>
        <v>0</v>
      </c>
      <c r="K715" s="29">
        <f>SUMIFS(Cash_Flow_3[Amount],Cash_Flow_3[Bulan],H715,Cash_Flow_3[Type],"Out",Cash_Flow_3[Category],"Fix")</f>
        <v>0</v>
      </c>
      <c r="L715" s="29">
        <f>SUMIFS(Cash_Flow_3[Amount],Cash_Flow_3[Bulan],H715,Cash_Flow_3[Type],"Out",Cash_Flow_3[Category],"Bathroom")</f>
        <v>0</v>
      </c>
      <c r="M715" s="29">
        <f>SUMIFS(Cash_Flow_3[Amount],Cash_Flow_3[Bulan],H715,Cash_Flow_3[Type],"Out",Cash_Flow_3[Category],"Alfa")</f>
        <v>0</v>
      </c>
      <c r="N715" s="29">
        <f>SUMIFS(Cash_Flow_3[Amount],Cash_Flow_3[Bulan],H715,Cash_Flow_3[Type],"Out",Cash_Flow_3[Category],"Jajan")</f>
        <v>0</v>
      </c>
      <c r="O715" s="29">
        <f>SUMIFS(Cash_Flow_3[Amount],Cash_Flow_3[Bulan],H715,Cash_Flow_3[Type],"Out",Cash_Flow_3[Category],"Kitchen")</f>
        <v>0</v>
      </c>
      <c r="P715" s="29">
        <f>SUMIFS(Cash_Flow_3[Amount],Cash_Flow_3[Bulan],H715,Cash_Flow_3[Type],"Out",Cash_Flow_3[Category],"Loandry")</f>
        <v>0</v>
      </c>
      <c r="Q715" s="29">
        <f>SUMIFS(Cash_Flow_3[Amount],Cash_Flow_3[Bulan],H715,Cash_Flow_3[Type],"Out",Cash_Flow_3[Category],"Mio")</f>
        <v>0</v>
      </c>
      <c r="R715" s="29">
        <f>SUMIFS(Cash_Flow_3[Amount],Cash_Flow_3[Bulan],H715,Cash_Flow_3[Type],"Out",Cash_Flow_3[Category],"Sedekah")</f>
        <v>0</v>
      </c>
      <c r="S715" s="29">
        <f>SUMIFS(Cash_Flow_3[Amount],Cash_Flow_3[Bulan],H715,Cash_Flow_3[Type],"Out",Cash_Flow_3[Category],"Zela")</f>
        <v>0</v>
      </c>
      <c r="T715" s="29">
        <f>SUMIFS(Cash_Flow_3[Amount],Cash_Flow_3[Bulan],H715,Cash_Flow_3[Type],"Out",Cash_Flow_3[Category],"Iqbal")</f>
        <v>0</v>
      </c>
    </row>
    <row r="716" spans="1:20" ht="22.5" customHeight="1" x14ac:dyDescent="0.2">
      <c r="A716" s="23"/>
      <c r="B716" s="24"/>
      <c r="C716" s="25"/>
      <c r="D716" s="25"/>
      <c r="E716" s="25"/>
      <c r="F716" s="26"/>
      <c r="G716" s="27"/>
      <c r="H716" s="28" t="str">
        <f t="shared" si="0"/>
        <v/>
      </c>
      <c r="I716" s="29">
        <f>SUMIFS(Cash_Flow_3[Amount],Cash_Flow_3[Bulan],H716,Cash_Flow_3[Type],"In")</f>
        <v>0</v>
      </c>
      <c r="J716" s="29">
        <f>SUMIFS(Cash_Flow_3[Amount],Cash_Flow_3[Bulan],H716,Cash_Flow_3[Type],"Out")</f>
        <v>0</v>
      </c>
      <c r="K716" s="29">
        <f>SUMIFS(Cash_Flow_3[Amount],Cash_Flow_3[Bulan],H716,Cash_Flow_3[Type],"Out",Cash_Flow_3[Category],"Fix")</f>
        <v>0</v>
      </c>
      <c r="L716" s="29">
        <f>SUMIFS(Cash_Flow_3[Amount],Cash_Flow_3[Bulan],H716,Cash_Flow_3[Type],"Out",Cash_Flow_3[Category],"Bathroom")</f>
        <v>0</v>
      </c>
      <c r="M716" s="29">
        <f>SUMIFS(Cash_Flow_3[Amount],Cash_Flow_3[Bulan],H716,Cash_Flow_3[Type],"Out",Cash_Flow_3[Category],"Alfa")</f>
        <v>0</v>
      </c>
      <c r="N716" s="29">
        <f>SUMIFS(Cash_Flow_3[Amount],Cash_Flow_3[Bulan],H716,Cash_Flow_3[Type],"Out",Cash_Flow_3[Category],"Jajan")</f>
        <v>0</v>
      </c>
      <c r="O716" s="29">
        <f>SUMIFS(Cash_Flow_3[Amount],Cash_Flow_3[Bulan],H716,Cash_Flow_3[Type],"Out",Cash_Flow_3[Category],"Kitchen")</f>
        <v>0</v>
      </c>
      <c r="P716" s="29">
        <f>SUMIFS(Cash_Flow_3[Amount],Cash_Flow_3[Bulan],H716,Cash_Flow_3[Type],"Out",Cash_Flow_3[Category],"Loandry")</f>
        <v>0</v>
      </c>
      <c r="Q716" s="29">
        <f>SUMIFS(Cash_Flow_3[Amount],Cash_Flow_3[Bulan],H716,Cash_Flow_3[Type],"Out",Cash_Flow_3[Category],"Mio")</f>
        <v>0</v>
      </c>
      <c r="R716" s="29">
        <f>SUMIFS(Cash_Flow_3[Amount],Cash_Flow_3[Bulan],H716,Cash_Flow_3[Type],"Out",Cash_Flow_3[Category],"Sedekah")</f>
        <v>0</v>
      </c>
      <c r="S716" s="29">
        <f>SUMIFS(Cash_Flow_3[Amount],Cash_Flow_3[Bulan],H716,Cash_Flow_3[Type],"Out",Cash_Flow_3[Category],"Zela")</f>
        <v>0</v>
      </c>
      <c r="T716" s="29">
        <f>SUMIFS(Cash_Flow_3[Amount],Cash_Flow_3[Bulan],H716,Cash_Flow_3[Type],"Out",Cash_Flow_3[Category],"Iqbal")</f>
        <v>0</v>
      </c>
    </row>
    <row r="717" spans="1:20" ht="22.5" customHeight="1" x14ac:dyDescent="0.2">
      <c r="A717" s="23"/>
      <c r="B717" s="24"/>
      <c r="C717" s="25"/>
      <c r="D717" s="25"/>
      <c r="E717" s="25"/>
      <c r="F717" s="26"/>
      <c r="G717" s="27"/>
      <c r="H717" s="28" t="str">
        <f t="shared" si="0"/>
        <v/>
      </c>
      <c r="I717" s="29">
        <f>SUMIFS(Cash_Flow_3[Amount],Cash_Flow_3[Bulan],H717,Cash_Flow_3[Type],"In")</f>
        <v>0</v>
      </c>
      <c r="J717" s="29">
        <f>SUMIFS(Cash_Flow_3[Amount],Cash_Flow_3[Bulan],H717,Cash_Flow_3[Type],"Out")</f>
        <v>0</v>
      </c>
      <c r="K717" s="29">
        <f>SUMIFS(Cash_Flow_3[Amount],Cash_Flow_3[Bulan],H717,Cash_Flow_3[Type],"Out",Cash_Flow_3[Category],"Fix")</f>
        <v>0</v>
      </c>
      <c r="L717" s="29">
        <f>SUMIFS(Cash_Flow_3[Amount],Cash_Flow_3[Bulan],H717,Cash_Flow_3[Type],"Out",Cash_Flow_3[Category],"Bathroom")</f>
        <v>0</v>
      </c>
      <c r="M717" s="29">
        <f>SUMIFS(Cash_Flow_3[Amount],Cash_Flow_3[Bulan],H717,Cash_Flow_3[Type],"Out",Cash_Flow_3[Category],"Alfa")</f>
        <v>0</v>
      </c>
      <c r="N717" s="29">
        <f>SUMIFS(Cash_Flow_3[Amount],Cash_Flow_3[Bulan],H717,Cash_Flow_3[Type],"Out",Cash_Flow_3[Category],"Jajan")</f>
        <v>0</v>
      </c>
      <c r="O717" s="29">
        <f>SUMIFS(Cash_Flow_3[Amount],Cash_Flow_3[Bulan],H717,Cash_Flow_3[Type],"Out",Cash_Flow_3[Category],"Kitchen")</f>
        <v>0</v>
      </c>
      <c r="P717" s="29">
        <f>SUMIFS(Cash_Flow_3[Amount],Cash_Flow_3[Bulan],H717,Cash_Flow_3[Type],"Out",Cash_Flow_3[Category],"Loandry")</f>
        <v>0</v>
      </c>
      <c r="Q717" s="29">
        <f>SUMIFS(Cash_Flow_3[Amount],Cash_Flow_3[Bulan],H717,Cash_Flow_3[Type],"Out",Cash_Flow_3[Category],"Mio")</f>
        <v>0</v>
      </c>
      <c r="R717" s="29">
        <f>SUMIFS(Cash_Flow_3[Amount],Cash_Flow_3[Bulan],H717,Cash_Flow_3[Type],"Out",Cash_Flow_3[Category],"Sedekah")</f>
        <v>0</v>
      </c>
      <c r="S717" s="29">
        <f>SUMIFS(Cash_Flow_3[Amount],Cash_Flow_3[Bulan],H717,Cash_Flow_3[Type],"Out",Cash_Flow_3[Category],"Zela")</f>
        <v>0</v>
      </c>
      <c r="T717" s="29">
        <f>SUMIFS(Cash_Flow_3[Amount],Cash_Flow_3[Bulan],H717,Cash_Flow_3[Type],"Out",Cash_Flow_3[Category],"Iqbal")</f>
        <v>0</v>
      </c>
    </row>
    <row r="718" spans="1:20" ht="22.5" customHeight="1" x14ac:dyDescent="0.2">
      <c r="A718" s="23"/>
      <c r="B718" s="24"/>
      <c r="C718" s="25"/>
      <c r="D718" s="25"/>
      <c r="E718" s="25"/>
      <c r="F718" s="26"/>
      <c r="G718" s="27"/>
      <c r="H718" s="28" t="str">
        <f t="shared" si="0"/>
        <v/>
      </c>
      <c r="I718" s="29">
        <f>SUMIFS(Cash_Flow_3[Amount],Cash_Flow_3[Bulan],H718,Cash_Flow_3[Type],"In")</f>
        <v>0</v>
      </c>
      <c r="J718" s="29">
        <f>SUMIFS(Cash_Flow_3[Amount],Cash_Flow_3[Bulan],H718,Cash_Flow_3[Type],"Out")</f>
        <v>0</v>
      </c>
      <c r="K718" s="29">
        <f>SUMIFS(Cash_Flow_3[Amount],Cash_Flow_3[Bulan],H718,Cash_Flow_3[Type],"Out",Cash_Flow_3[Category],"Fix")</f>
        <v>0</v>
      </c>
      <c r="L718" s="29">
        <f>SUMIFS(Cash_Flow_3[Amount],Cash_Flow_3[Bulan],H718,Cash_Flow_3[Type],"Out",Cash_Flow_3[Category],"Bathroom")</f>
        <v>0</v>
      </c>
      <c r="M718" s="29">
        <f>SUMIFS(Cash_Flow_3[Amount],Cash_Flow_3[Bulan],H718,Cash_Flow_3[Type],"Out",Cash_Flow_3[Category],"Alfa")</f>
        <v>0</v>
      </c>
      <c r="N718" s="29">
        <f>SUMIFS(Cash_Flow_3[Amount],Cash_Flow_3[Bulan],H718,Cash_Flow_3[Type],"Out",Cash_Flow_3[Category],"Jajan")</f>
        <v>0</v>
      </c>
      <c r="O718" s="29">
        <f>SUMIFS(Cash_Flow_3[Amount],Cash_Flow_3[Bulan],H718,Cash_Flow_3[Type],"Out",Cash_Flow_3[Category],"Kitchen")</f>
        <v>0</v>
      </c>
      <c r="P718" s="29">
        <f>SUMIFS(Cash_Flow_3[Amount],Cash_Flow_3[Bulan],H718,Cash_Flow_3[Type],"Out",Cash_Flow_3[Category],"Loandry")</f>
        <v>0</v>
      </c>
      <c r="Q718" s="29">
        <f>SUMIFS(Cash_Flow_3[Amount],Cash_Flow_3[Bulan],H718,Cash_Flow_3[Type],"Out",Cash_Flow_3[Category],"Mio")</f>
        <v>0</v>
      </c>
      <c r="R718" s="29">
        <f>SUMIFS(Cash_Flow_3[Amount],Cash_Flow_3[Bulan],H718,Cash_Flow_3[Type],"Out",Cash_Flow_3[Category],"Sedekah")</f>
        <v>0</v>
      </c>
      <c r="S718" s="29">
        <f>SUMIFS(Cash_Flow_3[Amount],Cash_Flow_3[Bulan],H718,Cash_Flow_3[Type],"Out",Cash_Flow_3[Category],"Zela")</f>
        <v>0</v>
      </c>
      <c r="T718" s="29">
        <f>SUMIFS(Cash_Flow_3[Amount],Cash_Flow_3[Bulan],H718,Cash_Flow_3[Type],"Out",Cash_Flow_3[Category],"Iqbal")</f>
        <v>0</v>
      </c>
    </row>
    <row r="719" spans="1:20" ht="22.5" customHeight="1" x14ac:dyDescent="0.2">
      <c r="A719" s="23"/>
      <c r="B719" s="24"/>
      <c r="C719" s="25"/>
      <c r="D719" s="25"/>
      <c r="E719" s="25"/>
      <c r="F719" s="26"/>
      <c r="G719" s="27"/>
      <c r="H719" s="28" t="str">
        <f t="shared" si="0"/>
        <v/>
      </c>
      <c r="I719" s="29">
        <f>SUMIFS(Cash_Flow_3[Amount],Cash_Flow_3[Bulan],H719,Cash_Flow_3[Type],"In")</f>
        <v>0</v>
      </c>
      <c r="J719" s="29">
        <f>SUMIFS(Cash_Flow_3[Amount],Cash_Flow_3[Bulan],H719,Cash_Flow_3[Type],"Out")</f>
        <v>0</v>
      </c>
      <c r="K719" s="29">
        <f>SUMIFS(Cash_Flow_3[Amount],Cash_Flow_3[Bulan],H719,Cash_Flow_3[Type],"Out",Cash_Flow_3[Category],"Fix")</f>
        <v>0</v>
      </c>
      <c r="L719" s="29">
        <f>SUMIFS(Cash_Flow_3[Amount],Cash_Flow_3[Bulan],H719,Cash_Flow_3[Type],"Out",Cash_Flow_3[Category],"Bathroom")</f>
        <v>0</v>
      </c>
      <c r="M719" s="29">
        <f>SUMIFS(Cash_Flow_3[Amount],Cash_Flow_3[Bulan],H719,Cash_Flow_3[Type],"Out",Cash_Flow_3[Category],"Alfa")</f>
        <v>0</v>
      </c>
      <c r="N719" s="29">
        <f>SUMIFS(Cash_Flow_3[Amount],Cash_Flow_3[Bulan],H719,Cash_Flow_3[Type],"Out",Cash_Flow_3[Category],"Jajan")</f>
        <v>0</v>
      </c>
      <c r="O719" s="29">
        <f>SUMIFS(Cash_Flow_3[Amount],Cash_Flow_3[Bulan],H719,Cash_Flow_3[Type],"Out",Cash_Flow_3[Category],"Kitchen")</f>
        <v>0</v>
      </c>
      <c r="P719" s="29">
        <f>SUMIFS(Cash_Flow_3[Amount],Cash_Flow_3[Bulan],H719,Cash_Flow_3[Type],"Out",Cash_Flow_3[Category],"Loandry")</f>
        <v>0</v>
      </c>
      <c r="Q719" s="29">
        <f>SUMIFS(Cash_Flow_3[Amount],Cash_Flow_3[Bulan],H719,Cash_Flow_3[Type],"Out",Cash_Flow_3[Category],"Mio")</f>
        <v>0</v>
      </c>
      <c r="R719" s="29">
        <f>SUMIFS(Cash_Flow_3[Amount],Cash_Flow_3[Bulan],H719,Cash_Flow_3[Type],"Out",Cash_Flow_3[Category],"Sedekah")</f>
        <v>0</v>
      </c>
      <c r="S719" s="29">
        <f>SUMIFS(Cash_Flow_3[Amount],Cash_Flow_3[Bulan],H719,Cash_Flow_3[Type],"Out",Cash_Flow_3[Category],"Zela")</f>
        <v>0</v>
      </c>
      <c r="T719" s="29">
        <f>SUMIFS(Cash_Flow_3[Amount],Cash_Flow_3[Bulan],H719,Cash_Flow_3[Type],"Out",Cash_Flow_3[Category],"Iqbal")</f>
        <v>0</v>
      </c>
    </row>
    <row r="720" spans="1:20" ht="22.5" customHeight="1" x14ac:dyDescent="0.2">
      <c r="A720" s="23"/>
      <c r="B720" s="24"/>
      <c r="C720" s="25"/>
      <c r="D720" s="25"/>
      <c r="E720" s="25"/>
      <c r="F720" s="26"/>
      <c r="G720" s="27"/>
      <c r="H720" s="28" t="str">
        <f t="shared" si="0"/>
        <v/>
      </c>
      <c r="I720" s="29">
        <f>SUMIFS(Cash_Flow_3[Amount],Cash_Flow_3[Bulan],H720,Cash_Flow_3[Type],"In")</f>
        <v>0</v>
      </c>
      <c r="J720" s="29">
        <f>SUMIFS(Cash_Flow_3[Amount],Cash_Flow_3[Bulan],H720,Cash_Flow_3[Type],"Out")</f>
        <v>0</v>
      </c>
      <c r="K720" s="29">
        <f>SUMIFS(Cash_Flow_3[Amount],Cash_Flow_3[Bulan],H720,Cash_Flow_3[Type],"Out",Cash_Flow_3[Category],"Fix")</f>
        <v>0</v>
      </c>
      <c r="L720" s="29">
        <f>SUMIFS(Cash_Flow_3[Amount],Cash_Flow_3[Bulan],H720,Cash_Flow_3[Type],"Out",Cash_Flow_3[Category],"Bathroom")</f>
        <v>0</v>
      </c>
      <c r="M720" s="29">
        <f>SUMIFS(Cash_Flow_3[Amount],Cash_Flow_3[Bulan],H720,Cash_Flow_3[Type],"Out",Cash_Flow_3[Category],"Alfa")</f>
        <v>0</v>
      </c>
      <c r="N720" s="29">
        <f>SUMIFS(Cash_Flow_3[Amount],Cash_Flow_3[Bulan],H720,Cash_Flow_3[Type],"Out",Cash_Flow_3[Category],"Jajan")</f>
        <v>0</v>
      </c>
      <c r="O720" s="29">
        <f>SUMIFS(Cash_Flow_3[Amount],Cash_Flow_3[Bulan],H720,Cash_Flow_3[Type],"Out",Cash_Flow_3[Category],"Kitchen")</f>
        <v>0</v>
      </c>
      <c r="P720" s="29">
        <f>SUMIFS(Cash_Flow_3[Amount],Cash_Flow_3[Bulan],H720,Cash_Flow_3[Type],"Out",Cash_Flow_3[Category],"Loandry")</f>
        <v>0</v>
      </c>
      <c r="Q720" s="29">
        <f>SUMIFS(Cash_Flow_3[Amount],Cash_Flow_3[Bulan],H720,Cash_Flow_3[Type],"Out",Cash_Flow_3[Category],"Mio")</f>
        <v>0</v>
      </c>
      <c r="R720" s="29">
        <f>SUMIFS(Cash_Flow_3[Amount],Cash_Flow_3[Bulan],H720,Cash_Flow_3[Type],"Out",Cash_Flow_3[Category],"Sedekah")</f>
        <v>0</v>
      </c>
      <c r="S720" s="29">
        <f>SUMIFS(Cash_Flow_3[Amount],Cash_Flow_3[Bulan],H720,Cash_Flow_3[Type],"Out",Cash_Flow_3[Category],"Zela")</f>
        <v>0</v>
      </c>
      <c r="T720" s="29">
        <f>SUMIFS(Cash_Flow_3[Amount],Cash_Flow_3[Bulan],H720,Cash_Flow_3[Type],"Out",Cash_Flow_3[Category],"Iqbal")</f>
        <v>0</v>
      </c>
    </row>
    <row r="721" spans="1:20" ht="22.5" customHeight="1" x14ac:dyDescent="0.2">
      <c r="A721" s="23"/>
      <c r="B721" s="24"/>
      <c r="C721" s="25"/>
      <c r="D721" s="25"/>
      <c r="E721" s="25"/>
      <c r="F721" s="26"/>
      <c r="G721" s="27"/>
      <c r="H721" s="28" t="str">
        <f t="shared" si="0"/>
        <v/>
      </c>
      <c r="I721" s="29">
        <f>SUMIFS(Cash_Flow_3[Amount],Cash_Flow_3[Bulan],H721,Cash_Flow_3[Type],"In")</f>
        <v>0</v>
      </c>
      <c r="J721" s="29">
        <f>SUMIFS(Cash_Flow_3[Amount],Cash_Flow_3[Bulan],H721,Cash_Flow_3[Type],"Out")</f>
        <v>0</v>
      </c>
      <c r="K721" s="29">
        <f>SUMIFS(Cash_Flow_3[Amount],Cash_Flow_3[Bulan],H721,Cash_Flow_3[Type],"Out",Cash_Flow_3[Category],"Fix")</f>
        <v>0</v>
      </c>
      <c r="L721" s="29">
        <f>SUMIFS(Cash_Flow_3[Amount],Cash_Flow_3[Bulan],H721,Cash_Flow_3[Type],"Out",Cash_Flow_3[Category],"Bathroom")</f>
        <v>0</v>
      </c>
      <c r="M721" s="29">
        <f>SUMIFS(Cash_Flow_3[Amount],Cash_Flow_3[Bulan],H721,Cash_Flow_3[Type],"Out",Cash_Flow_3[Category],"Alfa")</f>
        <v>0</v>
      </c>
      <c r="N721" s="29">
        <f>SUMIFS(Cash_Flow_3[Amount],Cash_Flow_3[Bulan],H721,Cash_Flow_3[Type],"Out",Cash_Flow_3[Category],"Jajan")</f>
        <v>0</v>
      </c>
      <c r="O721" s="29">
        <f>SUMIFS(Cash_Flow_3[Amount],Cash_Flow_3[Bulan],H721,Cash_Flow_3[Type],"Out",Cash_Flow_3[Category],"Kitchen")</f>
        <v>0</v>
      </c>
      <c r="P721" s="29">
        <f>SUMIFS(Cash_Flow_3[Amount],Cash_Flow_3[Bulan],H721,Cash_Flow_3[Type],"Out",Cash_Flow_3[Category],"Loandry")</f>
        <v>0</v>
      </c>
      <c r="Q721" s="29">
        <f>SUMIFS(Cash_Flow_3[Amount],Cash_Flow_3[Bulan],H721,Cash_Flow_3[Type],"Out",Cash_Flow_3[Category],"Mio")</f>
        <v>0</v>
      </c>
      <c r="R721" s="29">
        <f>SUMIFS(Cash_Flow_3[Amount],Cash_Flow_3[Bulan],H721,Cash_Flow_3[Type],"Out",Cash_Flow_3[Category],"Sedekah")</f>
        <v>0</v>
      </c>
      <c r="S721" s="29">
        <f>SUMIFS(Cash_Flow_3[Amount],Cash_Flow_3[Bulan],H721,Cash_Flow_3[Type],"Out",Cash_Flow_3[Category],"Zela")</f>
        <v>0</v>
      </c>
      <c r="T721" s="29">
        <f>SUMIFS(Cash_Flow_3[Amount],Cash_Flow_3[Bulan],H721,Cash_Flow_3[Type],"Out",Cash_Flow_3[Category],"Iqbal")</f>
        <v>0</v>
      </c>
    </row>
    <row r="722" spans="1:20" ht="22.5" customHeight="1" x14ac:dyDescent="0.2">
      <c r="A722" s="23"/>
      <c r="B722" s="24"/>
      <c r="C722" s="25"/>
      <c r="D722" s="25"/>
      <c r="E722" s="25"/>
      <c r="F722" s="26"/>
      <c r="G722" s="27"/>
      <c r="H722" s="28" t="str">
        <f t="shared" si="0"/>
        <v/>
      </c>
      <c r="I722" s="29">
        <f>SUMIFS(Cash_Flow_3[Amount],Cash_Flow_3[Bulan],H722,Cash_Flow_3[Type],"In")</f>
        <v>0</v>
      </c>
      <c r="J722" s="29">
        <f>SUMIFS(Cash_Flow_3[Amount],Cash_Flow_3[Bulan],H722,Cash_Flow_3[Type],"Out")</f>
        <v>0</v>
      </c>
      <c r="K722" s="29">
        <f>SUMIFS(Cash_Flow_3[Amount],Cash_Flow_3[Bulan],H722,Cash_Flow_3[Type],"Out",Cash_Flow_3[Category],"Fix")</f>
        <v>0</v>
      </c>
      <c r="L722" s="29">
        <f>SUMIFS(Cash_Flow_3[Amount],Cash_Flow_3[Bulan],H722,Cash_Flow_3[Type],"Out",Cash_Flow_3[Category],"Bathroom")</f>
        <v>0</v>
      </c>
      <c r="M722" s="29">
        <f>SUMIFS(Cash_Flow_3[Amount],Cash_Flow_3[Bulan],H722,Cash_Flow_3[Type],"Out",Cash_Flow_3[Category],"Alfa")</f>
        <v>0</v>
      </c>
      <c r="N722" s="29">
        <f>SUMIFS(Cash_Flow_3[Amount],Cash_Flow_3[Bulan],H722,Cash_Flow_3[Type],"Out",Cash_Flow_3[Category],"Jajan")</f>
        <v>0</v>
      </c>
      <c r="O722" s="29">
        <f>SUMIFS(Cash_Flow_3[Amount],Cash_Flow_3[Bulan],H722,Cash_Flow_3[Type],"Out",Cash_Flow_3[Category],"Kitchen")</f>
        <v>0</v>
      </c>
      <c r="P722" s="29">
        <f>SUMIFS(Cash_Flow_3[Amount],Cash_Flow_3[Bulan],H722,Cash_Flow_3[Type],"Out",Cash_Flow_3[Category],"Loandry")</f>
        <v>0</v>
      </c>
      <c r="Q722" s="29">
        <f>SUMIFS(Cash_Flow_3[Amount],Cash_Flow_3[Bulan],H722,Cash_Flow_3[Type],"Out",Cash_Flow_3[Category],"Mio")</f>
        <v>0</v>
      </c>
      <c r="R722" s="29">
        <f>SUMIFS(Cash_Flow_3[Amount],Cash_Flow_3[Bulan],H722,Cash_Flow_3[Type],"Out",Cash_Flow_3[Category],"Sedekah")</f>
        <v>0</v>
      </c>
      <c r="S722" s="29">
        <f>SUMIFS(Cash_Flow_3[Amount],Cash_Flow_3[Bulan],H722,Cash_Flow_3[Type],"Out",Cash_Flow_3[Category],"Zela")</f>
        <v>0</v>
      </c>
      <c r="T722" s="29">
        <f>SUMIFS(Cash_Flow_3[Amount],Cash_Flow_3[Bulan],H722,Cash_Flow_3[Type],"Out",Cash_Flow_3[Category],"Iqbal")</f>
        <v>0</v>
      </c>
    </row>
    <row r="723" spans="1:20" ht="22.5" customHeight="1" x14ac:dyDescent="0.2">
      <c r="A723" s="23"/>
      <c r="B723" s="24"/>
      <c r="C723" s="25"/>
      <c r="D723" s="25"/>
      <c r="E723" s="25"/>
      <c r="F723" s="26"/>
      <c r="G723" s="27"/>
      <c r="H723" s="28" t="str">
        <f t="shared" si="0"/>
        <v/>
      </c>
      <c r="I723" s="29">
        <f>SUMIFS(Cash_Flow_3[Amount],Cash_Flow_3[Bulan],H723,Cash_Flow_3[Type],"In")</f>
        <v>0</v>
      </c>
      <c r="J723" s="29">
        <f>SUMIFS(Cash_Flow_3[Amount],Cash_Flow_3[Bulan],H723,Cash_Flow_3[Type],"Out")</f>
        <v>0</v>
      </c>
      <c r="K723" s="29">
        <f>SUMIFS(Cash_Flow_3[Amount],Cash_Flow_3[Bulan],H723,Cash_Flow_3[Type],"Out",Cash_Flow_3[Category],"Fix")</f>
        <v>0</v>
      </c>
      <c r="L723" s="29">
        <f>SUMIFS(Cash_Flow_3[Amount],Cash_Flow_3[Bulan],H723,Cash_Flow_3[Type],"Out",Cash_Flow_3[Category],"Bathroom")</f>
        <v>0</v>
      </c>
      <c r="M723" s="29">
        <f>SUMIFS(Cash_Flow_3[Amount],Cash_Flow_3[Bulan],H723,Cash_Flow_3[Type],"Out",Cash_Flow_3[Category],"Alfa")</f>
        <v>0</v>
      </c>
      <c r="N723" s="29">
        <f>SUMIFS(Cash_Flow_3[Amount],Cash_Flow_3[Bulan],H723,Cash_Flow_3[Type],"Out",Cash_Flow_3[Category],"Jajan")</f>
        <v>0</v>
      </c>
      <c r="O723" s="29">
        <f>SUMIFS(Cash_Flow_3[Amount],Cash_Flow_3[Bulan],H723,Cash_Flow_3[Type],"Out",Cash_Flow_3[Category],"Kitchen")</f>
        <v>0</v>
      </c>
      <c r="P723" s="29">
        <f>SUMIFS(Cash_Flow_3[Amount],Cash_Flow_3[Bulan],H723,Cash_Flow_3[Type],"Out",Cash_Flow_3[Category],"Loandry")</f>
        <v>0</v>
      </c>
      <c r="Q723" s="29">
        <f>SUMIFS(Cash_Flow_3[Amount],Cash_Flow_3[Bulan],H723,Cash_Flow_3[Type],"Out",Cash_Flow_3[Category],"Mio")</f>
        <v>0</v>
      </c>
      <c r="R723" s="29">
        <f>SUMIFS(Cash_Flow_3[Amount],Cash_Flow_3[Bulan],H723,Cash_Flow_3[Type],"Out",Cash_Flow_3[Category],"Sedekah")</f>
        <v>0</v>
      </c>
      <c r="S723" s="29">
        <f>SUMIFS(Cash_Flow_3[Amount],Cash_Flow_3[Bulan],H723,Cash_Flow_3[Type],"Out",Cash_Flow_3[Category],"Zela")</f>
        <v>0</v>
      </c>
      <c r="T723" s="29">
        <f>SUMIFS(Cash_Flow_3[Amount],Cash_Flow_3[Bulan],H723,Cash_Flow_3[Type],"Out",Cash_Flow_3[Category],"Iqbal")</f>
        <v>0</v>
      </c>
    </row>
    <row r="724" spans="1:20" ht="22.5" customHeight="1" x14ac:dyDescent="0.2">
      <c r="A724" s="23"/>
      <c r="B724" s="24"/>
      <c r="C724" s="25"/>
      <c r="D724" s="25"/>
      <c r="E724" s="25"/>
      <c r="F724" s="26"/>
      <c r="G724" s="27"/>
      <c r="H724" s="28" t="str">
        <f t="shared" si="0"/>
        <v/>
      </c>
      <c r="I724" s="29">
        <f>SUMIFS(Cash_Flow_3[Amount],Cash_Flow_3[Bulan],H724,Cash_Flow_3[Type],"In")</f>
        <v>0</v>
      </c>
      <c r="J724" s="29">
        <f>SUMIFS(Cash_Flow_3[Amount],Cash_Flow_3[Bulan],H724,Cash_Flow_3[Type],"Out")</f>
        <v>0</v>
      </c>
      <c r="K724" s="29">
        <f>SUMIFS(Cash_Flow_3[Amount],Cash_Flow_3[Bulan],H724,Cash_Flow_3[Type],"Out",Cash_Flow_3[Category],"Fix")</f>
        <v>0</v>
      </c>
      <c r="L724" s="29">
        <f>SUMIFS(Cash_Flow_3[Amount],Cash_Flow_3[Bulan],H724,Cash_Flow_3[Type],"Out",Cash_Flow_3[Category],"Bathroom")</f>
        <v>0</v>
      </c>
      <c r="M724" s="29">
        <f>SUMIFS(Cash_Flow_3[Amount],Cash_Flow_3[Bulan],H724,Cash_Flow_3[Type],"Out",Cash_Flow_3[Category],"Alfa")</f>
        <v>0</v>
      </c>
      <c r="N724" s="29">
        <f>SUMIFS(Cash_Flow_3[Amount],Cash_Flow_3[Bulan],H724,Cash_Flow_3[Type],"Out",Cash_Flow_3[Category],"Jajan")</f>
        <v>0</v>
      </c>
      <c r="O724" s="29">
        <f>SUMIFS(Cash_Flow_3[Amount],Cash_Flow_3[Bulan],H724,Cash_Flow_3[Type],"Out",Cash_Flow_3[Category],"Kitchen")</f>
        <v>0</v>
      </c>
      <c r="P724" s="29">
        <f>SUMIFS(Cash_Flow_3[Amount],Cash_Flow_3[Bulan],H724,Cash_Flow_3[Type],"Out",Cash_Flow_3[Category],"Loandry")</f>
        <v>0</v>
      </c>
      <c r="Q724" s="29">
        <f>SUMIFS(Cash_Flow_3[Amount],Cash_Flow_3[Bulan],H724,Cash_Flow_3[Type],"Out",Cash_Flow_3[Category],"Mio")</f>
        <v>0</v>
      </c>
      <c r="R724" s="29">
        <f>SUMIFS(Cash_Flow_3[Amount],Cash_Flow_3[Bulan],H724,Cash_Flow_3[Type],"Out",Cash_Flow_3[Category],"Sedekah")</f>
        <v>0</v>
      </c>
      <c r="S724" s="29">
        <f>SUMIFS(Cash_Flow_3[Amount],Cash_Flow_3[Bulan],H724,Cash_Flow_3[Type],"Out",Cash_Flow_3[Category],"Zela")</f>
        <v>0</v>
      </c>
      <c r="T724" s="29">
        <f>SUMIFS(Cash_Flow_3[Amount],Cash_Flow_3[Bulan],H724,Cash_Flow_3[Type],"Out",Cash_Flow_3[Category],"Iqbal")</f>
        <v>0</v>
      </c>
    </row>
    <row r="725" spans="1:20" ht="22.5" customHeight="1" x14ac:dyDescent="0.2">
      <c r="A725" s="23"/>
      <c r="B725" s="24"/>
      <c r="C725" s="25"/>
      <c r="D725" s="25"/>
      <c r="E725" s="25"/>
      <c r="F725" s="26"/>
      <c r="G725" s="27"/>
      <c r="H725" s="28" t="str">
        <f t="shared" si="0"/>
        <v/>
      </c>
      <c r="I725" s="29">
        <f>SUMIFS(Cash_Flow_3[Amount],Cash_Flow_3[Bulan],H725,Cash_Flow_3[Type],"In")</f>
        <v>0</v>
      </c>
      <c r="J725" s="29">
        <f>SUMIFS(Cash_Flow_3[Amount],Cash_Flow_3[Bulan],H725,Cash_Flow_3[Type],"Out")</f>
        <v>0</v>
      </c>
      <c r="K725" s="29">
        <f>SUMIFS(Cash_Flow_3[Amount],Cash_Flow_3[Bulan],H725,Cash_Flow_3[Type],"Out",Cash_Flow_3[Category],"Fix")</f>
        <v>0</v>
      </c>
      <c r="L725" s="29">
        <f>SUMIFS(Cash_Flow_3[Amount],Cash_Flow_3[Bulan],H725,Cash_Flow_3[Type],"Out",Cash_Flow_3[Category],"Bathroom")</f>
        <v>0</v>
      </c>
      <c r="M725" s="29">
        <f>SUMIFS(Cash_Flow_3[Amount],Cash_Flow_3[Bulan],H725,Cash_Flow_3[Type],"Out",Cash_Flow_3[Category],"Alfa")</f>
        <v>0</v>
      </c>
      <c r="N725" s="29">
        <f>SUMIFS(Cash_Flow_3[Amount],Cash_Flow_3[Bulan],H725,Cash_Flow_3[Type],"Out",Cash_Flow_3[Category],"Jajan")</f>
        <v>0</v>
      </c>
      <c r="O725" s="29">
        <f>SUMIFS(Cash_Flow_3[Amount],Cash_Flow_3[Bulan],H725,Cash_Flow_3[Type],"Out",Cash_Flow_3[Category],"Kitchen")</f>
        <v>0</v>
      </c>
      <c r="P725" s="29">
        <f>SUMIFS(Cash_Flow_3[Amount],Cash_Flow_3[Bulan],H725,Cash_Flow_3[Type],"Out",Cash_Flow_3[Category],"Loandry")</f>
        <v>0</v>
      </c>
      <c r="Q725" s="29">
        <f>SUMIFS(Cash_Flow_3[Amount],Cash_Flow_3[Bulan],H725,Cash_Flow_3[Type],"Out",Cash_Flow_3[Category],"Mio")</f>
        <v>0</v>
      </c>
      <c r="R725" s="29">
        <f>SUMIFS(Cash_Flow_3[Amount],Cash_Flow_3[Bulan],H725,Cash_Flow_3[Type],"Out",Cash_Flow_3[Category],"Sedekah")</f>
        <v>0</v>
      </c>
      <c r="S725" s="29">
        <f>SUMIFS(Cash_Flow_3[Amount],Cash_Flow_3[Bulan],H725,Cash_Flow_3[Type],"Out",Cash_Flow_3[Category],"Zela")</f>
        <v>0</v>
      </c>
      <c r="T725" s="29">
        <f>SUMIFS(Cash_Flow_3[Amount],Cash_Flow_3[Bulan],H725,Cash_Flow_3[Type],"Out",Cash_Flow_3[Category],"Iqbal")</f>
        <v>0</v>
      </c>
    </row>
    <row r="726" spans="1:20" ht="22.5" customHeight="1" x14ac:dyDescent="0.2">
      <c r="A726" s="23"/>
      <c r="B726" s="24"/>
      <c r="C726" s="25"/>
      <c r="D726" s="25"/>
      <c r="E726" s="25"/>
      <c r="F726" s="26"/>
      <c r="G726" s="27"/>
      <c r="H726" s="28" t="str">
        <f t="shared" si="0"/>
        <v/>
      </c>
      <c r="I726" s="29">
        <f>SUMIFS(Cash_Flow_3[Amount],Cash_Flow_3[Bulan],H726,Cash_Flow_3[Type],"In")</f>
        <v>0</v>
      </c>
      <c r="J726" s="29">
        <f>SUMIFS(Cash_Flow_3[Amount],Cash_Flow_3[Bulan],H726,Cash_Flow_3[Type],"Out")</f>
        <v>0</v>
      </c>
      <c r="K726" s="29">
        <f>SUMIFS(Cash_Flow_3[Amount],Cash_Flow_3[Bulan],H726,Cash_Flow_3[Type],"Out",Cash_Flow_3[Category],"Fix")</f>
        <v>0</v>
      </c>
      <c r="L726" s="29">
        <f>SUMIFS(Cash_Flow_3[Amount],Cash_Flow_3[Bulan],H726,Cash_Flow_3[Type],"Out",Cash_Flow_3[Category],"Bathroom")</f>
        <v>0</v>
      </c>
      <c r="M726" s="29">
        <f>SUMIFS(Cash_Flow_3[Amount],Cash_Flow_3[Bulan],H726,Cash_Flow_3[Type],"Out",Cash_Flow_3[Category],"Alfa")</f>
        <v>0</v>
      </c>
      <c r="N726" s="29">
        <f>SUMIFS(Cash_Flow_3[Amount],Cash_Flow_3[Bulan],H726,Cash_Flow_3[Type],"Out",Cash_Flow_3[Category],"Jajan")</f>
        <v>0</v>
      </c>
      <c r="O726" s="29">
        <f>SUMIFS(Cash_Flow_3[Amount],Cash_Flow_3[Bulan],H726,Cash_Flow_3[Type],"Out",Cash_Flow_3[Category],"Kitchen")</f>
        <v>0</v>
      </c>
      <c r="P726" s="29">
        <f>SUMIFS(Cash_Flow_3[Amount],Cash_Flow_3[Bulan],H726,Cash_Flow_3[Type],"Out",Cash_Flow_3[Category],"Loandry")</f>
        <v>0</v>
      </c>
      <c r="Q726" s="29">
        <f>SUMIFS(Cash_Flow_3[Amount],Cash_Flow_3[Bulan],H726,Cash_Flow_3[Type],"Out",Cash_Flow_3[Category],"Mio")</f>
        <v>0</v>
      </c>
      <c r="R726" s="29">
        <f>SUMIFS(Cash_Flow_3[Amount],Cash_Flow_3[Bulan],H726,Cash_Flow_3[Type],"Out",Cash_Flow_3[Category],"Sedekah")</f>
        <v>0</v>
      </c>
      <c r="S726" s="29">
        <f>SUMIFS(Cash_Flow_3[Amount],Cash_Flow_3[Bulan],H726,Cash_Flow_3[Type],"Out",Cash_Flow_3[Category],"Zela")</f>
        <v>0</v>
      </c>
      <c r="T726" s="29">
        <f>SUMIFS(Cash_Flow_3[Amount],Cash_Flow_3[Bulan],H726,Cash_Flow_3[Type],"Out",Cash_Flow_3[Category],"Iqbal")</f>
        <v>0</v>
      </c>
    </row>
    <row r="727" spans="1:20" ht="22.5" customHeight="1" x14ac:dyDescent="0.2">
      <c r="A727" s="23"/>
      <c r="B727" s="24"/>
      <c r="C727" s="25"/>
      <c r="D727" s="25"/>
      <c r="E727" s="25"/>
      <c r="F727" s="26"/>
      <c r="G727" s="27"/>
      <c r="H727" s="28" t="str">
        <f t="shared" si="0"/>
        <v/>
      </c>
      <c r="I727" s="29">
        <f>SUMIFS(Cash_Flow_3[Amount],Cash_Flow_3[Bulan],H727,Cash_Flow_3[Type],"In")</f>
        <v>0</v>
      </c>
      <c r="J727" s="29">
        <f>SUMIFS(Cash_Flow_3[Amount],Cash_Flow_3[Bulan],H727,Cash_Flow_3[Type],"Out")</f>
        <v>0</v>
      </c>
      <c r="K727" s="29">
        <f>SUMIFS(Cash_Flow_3[Amount],Cash_Flow_3[Bulan],H727,Cash_Flow_3[Type],"Out",Cash_Flow_3[Category],"Fix")</f>
        <v>0</v>
      </c>
      <c r="L727" s="29">
        <f>SUMIFS(Cash_Flow_3[Amount],Cash_Flow_3[Bulan],H727,Cash_Flow_3[Type],"Out",Cash_Flow_3[Category],"Bathroom")</f>
        <v>0</v>
      </c>
      <c r="M727" s="29">
        <f>SUMIFS(Cash_Flow_3[Amount],Cash_Flow_3[Bulan],H727,Cash_Flow_3[Type],"Out",Cash_Flow_3[Category],"Alfa")</f>
        <v>0</v>
      </c>
      <c r="N727" s="29">
        <f>SUMIFS(Cash_Flow_3[Amount],Cash_Flow_3[Bulan],H727,Cash_Flow_3[Type],"Out",Cash_Flow_3[Category],"Jajan")</f>
        <v>0</v>
      </c>
      <c r="O727" s="29">
        <f>SUMIFS(Cash_Flow_3[Amount],Cash_Flow_3[Bulan],H727,Cash_Flow_3[Type],"Out",Cash_Flow_3[Category],"Kitchen")</f>
        <v>0</v>
      </c>
      <c r="P727" s="29">
        <f>SUMIFS(Cash_Flow_3[Amount],Cash_Flow_3[Bulan],H727,Cash_Flow_3[Type],"Out",Cash_Flow_3[Category],"Loandry")</f>
        <v>0</v>
      </c>
      <c r="Q727" s="29">
        <f>SUMIFS(Cash_Flow_3[Amount],Cash_Flow_3[Bulan],H727,Cash_Flow_3[Type],"Out",Cash_Flow_3[Category],"Mio")</f>
        <v>0</v>
      </c>
      <c r="R727" s="29">
        <f>SUMIFS(Cash_Flow_3[Amount],Cash_Flow_3[Bulan],H727,Cash_Flow_3[Type],"Out",Cash_Flow_3[Category],"Sedekah")</f>
        <v>0</v>
      </c>
      <c r="S727" s="29">
        <f>SUMIFS(Cash_Flow_3[Amount],Cash_Flow_3[Bulan],H727,Cash_Flow_3[Type],"Out",Cash_Flow_3[Category],"Zela")</f>
        <v>0</v>
      </c>
      <c r="T727" s="29">
        <f>SUMIFS(Cash_Flow_3[Amount],Cash_Flow_3[Bulan],H727,Cash_Flow_3[Type],"Out",Cash_Flow_3[Category],"Iqbal")</f>
        <v>0</v>
      </c>
    </row>
    <row r="728" spans="1:20" ht="22.5" customHeight="1" x14ac:dyDescent="0.2">
      <c r="A728" s="23"/>
      <c r="B728" s="24"/>
      <c r="C728" s="25"/>
      <c r="D728" s="25"/>
      <c r="E728" s="25"/>
      <c r="F728" s="26"/>
      <c r="G728" s="27"/>
      <c r="H728" s="28" t="str">
        <f t="shared" si="0"/>
        <v/>
      </c>
      <c r="I728" s="29">
        <f>SUMIFS(Cash_Flow_3[Amount],Cash_Flow_3[Bulan],H728,Cash_Flow_3[Type],"In")</f>
        <v>0</v>
      </c>
      <c r="J728" s="29">
        <f>SUMIFS(Cash_Flow_3[Amount],Cash_Flow_3[Bulan],H728,Cash_Flow_3[Type],"Out")</f>
        <v>0</v>
      </c>
      <c r="K728" s="29">
        <f>SUMIFS(Cash_Flow_3[Amount],Cash_Flow_3[Bulan],H728,Cash_Flow_3[Type],"Out",Cash_Flow_3[Category],"Fix")</f>
        <v>0</v>
      </c>
      <c r="L728" s="29">
        <f>SUMIFS(Cash_Flow_3[Amount],Cash_Flow_3[Bulan],H728,Cash_Flow_3[Type],"Out",Cash_Flow_3[Category],"Bathroom")</f>
        <v>0</v>
      </c>
      <c r="M728" s="29">
        <f>SUMIFS(Cash_Flow_3[Amount],Cash_Flow_3[Bulan],H728,Cash_Flow_3[Type],"Out",Cash_Flow_3[Category],"Alfa")</f>
        <v>0</v>
      </c>
      <c r="N728" s="29">
        <f>SUMIFS(Cash_Flow_3[Amount],Cash_Flow_3[Bulan],H728,Cash_Flow_3[Type],"Out",Cash_Flow_3[Category],"Jajan")</f>
        <v>0</v>
      </c>
      <c r="O728" s="29">
        <f>SUMIFS(Cash_Flow_3[Amount],Cash_Flow_3[Bulan],H728,Cash_Flow_3[Type],"Out",Cash_Flow_3[Category],"Kitchen")</f>
        <v>0</v>
      </c>
      <c r="P728" s="29">
        <f>SUMIFS(Cash_Flow_3[Amount],Cash_Flow_3[Bulan],H728,Cash_Flow_3[Type],"Out",Cash_Flow_3[Category],"Loandry")</f>
        <v>0</v>
      </c>
      <c r="Q728" s="29">
        <f>SUMIFS(Cash_Flow_3[Amount],Cash_Flow_3[Bulan],H728,Cash_Flow_3[Type],"Out",Cash_Flow_3[Category],"Mio")</f>
        <v>0</v>
      </c>
      <c r="R728" s="29">
        <f>SUMIFS(Cash_Flow_3[Amount],Cash_Flow_3[Bulan],H728,Cash_Flow_3[Type],"Out",Cash_Flow_3[Category],"Sedekah")</f>
        <v>0</v>
      </c>
      <c r="S728" s="29">
        <f>SUMIFS(Cash_Flow_3[Amount],Cash_Flow_3[Bulan],H728,Cash_Flow_3[Type],"Out",Cash_Flow_3[Category],"Zela")</f>
        <v>0</v>
      </c>
      <c r="T728" s="29">
        <f>SUMIFS(Cash_Flow_3[Amount],Cash_Flow_3[Bulan],H728,Cash_Flow_3[Type],"Out",Cash_Flow_3[Category],"Iqbal")</f>
        <v>0</v>
      </c>
    </row>
    <row r="729" spans="1:20" ht="22.5" customHeight="1" x14ac:dyDescent="0.2">
      <c r="A729" s="23"/>
      <c r="B729" s="24"/>
      <c r="C729" s="25"/>
      <c r="D729" s="25"/>
      <c r="E729" s="25"/>
      <c r="F729" s="26"/>
      <c r="G729" s="27"/>
      <c r="H729" s="28" t="str">
        <f t="shared" si="0"/>
        <v/>
      </c>
      <c r="I729" s="29">
        <f>SUMIFS(Cash_Flow_3[Amount],Cash_Flow_3[Bulan],H729,Cash_Flow_3[Type],"In")</f>
        <v>0</v>
      </c>
      <c r="J729" s="29">
        <f>SUMIFS(Cash_Flow_3[Amount],Cash_Flow_3[Bulan],H729,Cash_Flow_3[Type],"Out")</f>
        <v>0</v>
      </c>
      <c r="K729" s="29">
        <f>SUMIFS(Cash_Flow_3[Amount],Cash_Flow_3[Bulan],H729,Cash_Flow_3[Type],"Out",Cash_Flow_3[Category],"Fix")</f>
        <v>0</v>
      </c>
      <c r="L729" s="29">
        <f>SUMIFS(Cash_Flow_3[Amount],Cash_Flow_3[Bulan],H729,Cash_Flow_3[Type],"Out",Cash_Flow_3[Category],"Bathroom")</f>
        <v>0</v>
      </c>
      <c r="M729" s="29">
        <f>SUMIFS(Cash_Flow_3[Amount],Cash_Flow_3[Bulan],H729,Cash_Flow_3[Type],"Out",Cash_Flow_3[Category],"Alfa")</f>
        <v>0</v>
      </c>
      <c r="N729" s="29">
        <f>SUMIFS(Cash_Flow_3[Amount],Cash_Flow_3[Bulan],H729,Cash_Flow_3[Type],"Out",Cash_Flow_3[Category],"Jajan")</f>
        <v>0</v>
      </c>
      <c r="O729" s="29">
        <f>SUMIFS(Cash_Flow_3[Amount],Cash_Flow_3[Bulan],H729,Cash_Flow_3[Type],"Out",Cash_Flow_3[Category],"Kitchen")</f>
        <v>0</v>
      </c>
      <c r="P729" s="29">
        <f>SUMIFS(Cash_Flow_3[Amount],Cash_Flow_3[Bulan],H729,Cash_Flow_3[Type],"Out",Cash_Flow_3[Category],"Loandry")</f>
        <v>0</v>
      </c>
      <c r="Q729" s="29">
        <f>SUMIFS(Cash_Flow_3[Amount],Cash_Flow_3[Bulan],H729,Cash_Flow_3[Type],"Out",Cash_Flow_3[Category],"Mio")</f>
        <v>0</v>
      </c>
      <c r="R729" s="29">
        <f>SUMIFS(Cash_Flow_3[Amount],Cash_Flow_3[Bulan],H729,Cash_Flow_3[Type],"Out",Cash_Flow_3[Category],"Sedekah")</f>
        <v>0</v>
      </c>
      <c r="S729" s="29">
        <f>SUMIFS(Cash_Flow_3[Amount],Cash_Flow_3[Bulan],H729,Cash_Flow_3[Type],"Out",Cash_Flow_3[Category],"Zela")</f>
        <v>0</v>
      </c>
      <c r="T729" s="29">
        <f>SUMIFS(Cash_Flow_3[Amount],Cash_Flow_3[Bulan],H729,Cash_Flow_3[Type],"Out",Cash_Flow_3[Category],"Iqbal")</f>
        <v>0</v>
      </c>
    </row>
    <row r="730" spans="1:20" ht="22.5" customHeight="1" x14ac:dyDescent="0.2">
      <c r="A730" s="23"/>
      <c r="B730" s="24"/>
      <c r="C730" s="25"/>
      <c r="D730" s="25"/>
      <c r="E730" s="25"/>
      <c r="F730" s="26"/>
      <c r="G730" s="27"/>
      <c r="H730" s="28" t="str">
        <f t="shared" si="0"/>
        <v/>
      </c>
      <c r="I730" s="29">
        <f>SUMIFS(Cash_Flow_3[Amount],Cash_Flow_3[Bulan],H730,Cash_Flow_3[Type],"In")</f>
        <v>0</v>
      </c>
      <c r="J730" s="29">
        <f>SUMIFS(Cash_Flow_3[Amount],Cash_Flow_3[Bulan],H730,Cash_Flow_3[Type],"Out")</f>
        <v>0</v>
      </c>
      <c r="K730" s="29">
        <f>SUMIFS(Cash_Flow_3[Amount],Cash_Flow_3[Bulan],H730,Cash_Flow_3[Type],"Out",Cash_Flow_3[Category],"Fix")</f>
        <v>0</v>
      </c>
      <c r="L730" s="29">
        <f>SUMIFS(Cash_Flow_3[Amount],Cash_Flow_3[Bulan],H730,Cash_Flow_3[Type],"Out",Cash_Flow_3[Category],"Bathroom")</f>
        <v>0</v>
      </c>
      <c r="M730" s="29">
        <f>SUMIFS(Cash_Flow_3[Amount],Cash_Flow_3[Bulan],H730,Cash_Flow_3[Type],"Out",Cash_Flow_3[Category],"Alfa")</f>
        <v>0</v>
      </c>
      <c r="N730" s="29">
        <f>SUMIFS(Cash_Flow_3[Amount],Cash_Flow_3[Bulan],H730,Cash_Flow_3[Type],"Out",Cash_Flow_3[Category],"Jajan")</f>
        <v>0</v>
      </c>
      <c r="O730" s="29">
        <f>SUMIFS(Cash_Flow_3[Amount],Cash_Flow_3[Bulan],H730,Cash_Flow_3[Type],"Out",Cash_Flow_3[Category],"Kitchen")</f>
        <v>0</v>
      </c>
      <c r="P730" s="29">
        <f>SUMIFS(Cash_Flow_3[Amount],Cash_Flow_3[Bulan],H730,Cash_Flow_3[Type],"Out",Cash_Flow_3[Category],"Loandry")</f>
        <v>0</v>
      </c>
      <c r="Q730" s="29">
        <f>SUMIFS(Cash_Flow_3[Amount],Cash_Flow_3[Bulan],H730,Cash_Flow_3[Type],"Out",Cash_Flow_3[Category],"Mio")</f>
        <v>0</v>
      </c>
      <c r="R730" s="29">
        <f>SUMIFS(Cash_Flow_3[Amount],Cash_Flow_3[Bulan],H730,Cash_Flow_3[Type],"Out",Cash_Flow_3[Category],"Sedekah")</f>
        <v>0</v>
      </c>
      <c r="S730" s="29">
        <f>SUMIFS(Cash_Flow_3[Amount],Cash_Flow_3[Bulan],H730,Cash_Flow_3[Type],"Out",Cash_Flow_3[Category],"Zela")</f>
        <v>0</v>
      </c>
      <c r="T730" s="29">
        <f>SUMIFS(Cash_Flow_3[Amount],Cash_Flow_3[Bulan],H730,Cash_Flow_3[Type],"Out",Cash_Flow_3[Category],"Iqbal")</f>
        <v>0</v>
      </c>
    </row>
    <row r="731" spans="1:20" ht="22.5" customHeight="1" x14ac:dyDescent="0.2">
      <c r="A731" s="23"/>
      <c r="B731" s="24"/>
      <c r="C731" s="25"/>
      <c r="D731" s="25"/>
      <c r="E731" s="25"/>
      <c r="F731" s="26"/>
      <c r="G731" s="27"/>
      <c r="H731" s="28" t="str">
        <f t="shared" si="0"/>
        <v/>
      </c>
      <c r="I731" s="29">
        <f>SUMIFS(Cash_Flow_3[Amount],Cash_Flow_3[Bulan],H731,Cash_Flow_3[Type],"In")</f>
        <v>0</v>
      </c>
      <c r="J731" s="29">
        <f>SUMIFS(Cash_Flow_3[Amount],Cash_Flow_3[Bulan],H731,Cash_Flow_3[Type],"Out")</f>
        <v>0</v>
      </c>
      <c r="K731" s="29">
        <f>SUMIFS(Cash_Flow_3[Amount],Cash_Flow_3[Bulan],H731,Cash_Flow_3[Type],"Out",Cash_Flow_3[Category],"Fix")</f>
        <v>0</v>
      </c>
      <c r="L731" s="29">
        <f>SUMIFS(Cash_Flow_3[Amount],Cash_Flow_3[Bulan],H731,Cash_Flow_3[Type],"Out",Cash_Flow_3[Category],"Bathroom")</f>
        <v>0</v>
      </c>
      <c r="M731" s="29">
        <f>SUMIFS(Cash_Flow_3[Amount],Cash_Flow_3[Bulan],H731,Cash_Flow_3[Type],"Out",Cash_Flow_3[Category],"Alfa")</f>
        <v>0</v>
      </c>
      <c r="N731" s="29">
        <f>SUMIFS(Cash_Flow_3[Amount],Cash_Flow_3[Bulan],H731,Cash_Flow_3[Type],"Out",Cash_Flow_3[Category],"Jajan")</f>
        <v>0</v>
      </c>
      <c r="O731" s="29">
        <f>SUMIFS(Cash_Flow_3[Amount],Cash_Flow_3[Bulan],H731,Cash_Flow_3[Type],"Out",Cash_Flow_3[Category],"Kitchen")</f>
        <v>0</v>
      </c>
      <c r="P731" s="29">
        <f>SUMIFS(Cash_Flow_3[Amount],Cash_Flow_3[Bulan],H731,Cash_Flow_3[Type],"Out",Cash_Flow_3[Category],"Loandry")</f>
        <v>0</v>
      </c>
      <c r="Q731" s="29">
        <f>SUMIFS(Cash_Flow_3[Amount],Cash_Flow_3[Bulan],H731,Cash_Flow_3[Type],"Out",Cash_Flow_3[Category],"Mio")</f>
        <v>0</v>
      </c>
      <c r="R731" s="29">
        <f>SUMIFS(Cash_Flow_3[Amount],Cash_Flow_3[Bulan],H731,Cash_Flow_3[Type],"Out",Cash_Flow_3[Category],"Sedekah")</f>
        <v>0</v>
      </c>
      <c r="S731" s="29">
        <f>SUMIFS(Cash_Flow_3[Amount],Cash_Flow_3[Bulan],H731,Cash_Flow_3[Type],"Out",Cash_Flow_3[Category],"Zela")</f>
        <v>0</v>
      </c>
      <c r="T731" s="29">
        <f>SUMIFS(Cash_Flow_3[Amount],Cash_Flow_3[Bulan],H731,Cash_Flow_3[Type],"Out",Cash_Flow_3[Category],"Iqbal")</f>
        <v>0</v>
      </c>
    </row>
    <row r="732" spans="1:20" ht="22.5" customHeight="1" x14ac:dyDescent="0.2">
      <c r="A732" s="23"/>
      <c r="B732" s="24"/>
      <c r="C732" s="25"/>
      <c r="D732" s="25"/>
      <c r="E732" s="25"/>
      <c r="F732" s="26"/>
      <c r="G732" s="27"/>
      <c r="H732" s="28" t="str">
        <f t="shared" si="0"/>
        <v/>
      </c>
      <c r="I732" s="29">
        <f>SUMIFS(Cash_Flow_3[Amount],Cash_Flow_3[Bulan],H732,Cash_Flow_3[Type],"In")</f>
        <v>0</v>
      </c>
      <c r="J732" s="29">
        <f>SUMIFS(Cash_Flow_3[Amount],Cash_Flow_3[Bulan],H732,Cash_Flow_3[Type],"Out")</f>
        <v>0</v>
      </c>
      <c r="K732" s="29">
        <f>SUMIFS(Cash_Flow_3[Amount],Cash_Flow_3[Bulan],H732,Cash_Flow_3[Type],"Out",Cash_Flow_3[Category],"Fix")</f>
        <v>0</v>
      </c>
      <c r="L732" s="29">
        <f>SUMIFS(Cash_Flow_3[Amount],Cash_Flow_3[Bulan],H732,Cash_Flow_3[Type],"Out",Cash_Flow_3[Category],"Bathroom")</f>
        <v>0</v>
      </c>
      <c r="M732" s="29">
        <f>SUMIFS(Cash_Flow_3[Amount],Cash_Flow_3[Bulan],H732,Cash_Flow_3[Type],"Out",Cash_Flow_3[Category],"Alfa")</f>
        <v>0</v>
      </c>
      <c r="N732" s="29">
        <f>SUMIFS(Cash_Flow_3[Amount],Cash_Flow_3[Bulan],H732,Cash_Flow_3[Type],"Out",Cash_Flow_3[Category],"Jajan")</f>
        <v>0</v>
      </c>
      <c r="O732" s="29">
        <f>SUMIFS(Cash_Flow_3[Amount],Cash_Flow_3[Bulan],H732,Cash_Flow_3[Type],"Out",Cash_Flow_3[Category],"Kitchen")</f>
        <v>0</v>
      </c>
      <c r="P732" s="29">
        <f>SUMIFS(Cash_Flow_3[Amount],Cash_Flow_3[Bulan],H732,Cash_Flow_3[Type],"Out",Cash_Flow_3[Category],"Loandry")</f>
        <v>0</v>
      </c>
      <c r="Q732" s="29">
        <f>SUMIFS(Cash_Flow_3[Amount],Cash_Flow_3[Bulan],H732,Cash_Flow_3[Type],"Out",Cash_Flow_3[Category],"Mio")</f>
        <v>0</v>
      </c>
      <c r="R732" s="29">
        <f>SUMIFS(Cash_Flow_3[Amount],Cash_Flow_3[Bulan],H732,Cash_Flow_3[Type],"Out",Cash_Flow_3[Category],"Sedekah")</f>
        <v>0</v>
      </c>
      <c r="S732" s="29">
        <f>SUMIFS(Cash_Flow_3[Amount],Cash_Flow_3[Bulan],H732,Cash_Flow_3[Type],"Out",Cash_Flow_3[Category],"Zela")</f>
        <v>0</v>
      </c>
      <c r="T732" s="29">
        <f>SUMIFS(Cash_Flow_3[Amount],Cash_Flow_3[Bulan],H732,Cash_Flow_3[Type],"Out",Cash_Flow_3[Category],"Iqbal")</f>
        <v>0</v>
      </c>
    </row>
    <row r="733" spans="1:20" ht="22.5" customHeight="1" x14ac:dyDescent="0.2">
      <c r="A733" s="23"/>
      <c r="B733" s="24"/>
      <c r="C733" s="25"/>
      <c r="D733" s="25"/>
      <c r="E733" s="25"/>
      <c r="F733" s="26"/>
      <c r="G733" s="27"/>
      <c r="H733" s="28" t="str">
        <f t="shared" si="0"/>
        <v/>
      </c>
      <c r="I733" s="29">
        <f>SUMIFS(Cash_Flow_3[Amount],Cash_Flow_3[Bulan],H733,Cash_Flow_3[Type],"In")</f>
        <v>0</v>
      </c>
      <c r="J733" s="29">
        <f>SUMIFS(Cash_Flow_3[Amount],Cash_Flow_3[Bulan],H733,Cash_Flow_3[Type],"Out")</f>
        <v>0</v>
      </c>
      <c r="K733" s="29">
        <f>SUMIFS(Cash_Flow_3[Amount],Cash_Flow_3[Bulan],H733,Cash_Flow_3[Type],"Out",Cash_Flow_3[Category],"Fix")</f>
        <v>0</v>
      </c>
      <c r="L733" s="29">
        <f>SUMIFS(Cash_Flow_3[Amount],Cash_Flow_3[Bulan],H733,Cash_Flow_3[Type],"Out",Cash_Flow_3[Category],"Bathroom")</f>
        <v>0</v>
      </c>
      <c r="M733" s="29">
        <f>SUMIFS(Cash_Flow_3[Amount],Cash_Flow_3[Bulan],H733,Cash_Flow_3[Type],"Out",Cash_Flow_3[Category],"Alfa")</f>
        <v>0</v>
      </c>
      <c r="N733" s="29">
        <f>SUMIFS(Cash_Flow_3[Amount],Cash_Flow_3[Bulan],H733,Cash_Flow_3[Type],"Out",Cash_Flow_3[Category],"Jajan")</f>
        <v>0</v>
      </c>
      <c r="O733" s="29">
        <f>SUMIFS(Cash_Flow_3[Amount],Cash_Flow_3[Bulan],H733,Cash_Flow_3[Type],"Out",Cash_Flow_3[Category],"Kitchen")</f>
        <v>0</v>
      </c>
      <c r="P733" s="29">
        <f>SUMIFS(Cash_Flow_3[Amount],Cash_Flow_3[Bulan],H733,Cash_Flow_3[Type],"Out",Cash_Flow_3[Category],"Loandry")</f>
        <v>0</v>
      </c>
      <c r="Q733" s="29">
        <f>SUMIFS(Cash_Flow_3[Amount],Cash_Flow_3[Bulan],H733,Cash_Flow_3[Type],"Out",Cash_Flow_3[Category],"Mio")</f>
        <v>0</v>
      </c>
      <c r="R733" s="29">
        <f>SUMIFS(Cash_Flow_3[Amount],Cash_Flow_3[Bulan],H733,Cash_Flow_3[Type],"Out",Cash_Flow_3[Category],"Sedekah")</f>
        <v>0</v>
      </c>
      <c r="S733" s="29">
        <f>SUMIFS(Cash_Flow_3[Amount],Cash_Flow_3[Bulan],H733,Cash_Flow_3[Type],"Out",Cash_Flow_3[Category],"Zela")</f>
        <v>0</v>
      </c>
      <c r="T733" s="29">
        <f>SUMIFS(Cash_Flow_3[Amount],Cash_Flow_3[Bulan],H733,Cash_Flow_3[Type],"Out",Cash_Flow_3[Category],"Iqbal")</f>
        <v>0</v>
      </c>
    </row>
    <row r="734" spans="1:20" ht="22.5" customHeight="1" x14ac:dyDescent="0.2">
      <c r="A734" s="23"/>
      <c r="B734" s="24"/>
      <c r="C734" s="25"/>
      <c r="D734" s="25"/>
      <c r="E734" s="25"/>
      <c r="F734" s="26"/>
      <c r="G734" s="27"/>
      <c r="H734" s="28" t="str">
        <f t="shared" si="0"/>
        <v/>
      </c>
      <c r="I734" s="29">
        <f>SUMIFS(Cash_Flow_3[Amount],Cash_Flow_3[Bulan],H734,Cash_Flow_3[Type],"In")</f>
        <v>0</v>
      </c>
      <c r="J734" s="29">
        <f>SUMIFS(Cash_Flow_3[Amount],Cash_Flow_3[Bulan],H734,Cash_Flow_3[Type],"Out")</f>
        <v>0</v>
      </c>
      <c r="K734" s="29">
        <f>SUMIFS(Cash_Flow_3[Amount],Cash_Flow_3[Bulan],H734,Cash_Flow_3[Type],"Out",Cash_Flow_3[Category],"Fix")</f>
        <v>0</v>
      </c>
      <c r="L734" s="29">
        <f>SUMIFS(Cash_Flow_3[Amount],Cash_Flow_3[Bulan],H734,Cash_Flow_3[Type],"Out",Cash_Flow_3[Category],"Bathroom")</f>
        <v>0</v>
      </c>
      <c r="M734" s="29">
        <f>SUMIFS(Cash_Flow_3[Amount],Cash_Flow_3[Bulan],H734,Cash_Flow_3[Type],"Out",Cash_Flow_3[Category],"Alfa")</f>
        <v>0</v>
      </c>
      <c r="N734" s="29">
        <f>SUMIFS(Cash_Flow_3[Amount],Cash_Flow_3[Bulan],H734,Cash_Flow_3[Type],"Out",Cash_Flow_3[Category],"Jajan")</f>
        <v>0</v>
      </c>
      <c r="O734" s="29">
        <f>SUMIFS(Cash_Flow_3[Amount],Cash_Flow_3[Bulan],H734,Cash_Flow_3[Type],"Out",Cash_Flow_3[Category],"Kitchen")</f>
        <v>0</v>
      </c>
      <c r="P734" s="29">
        <f>SUMIFS(Cash_Flow_3[Amount],Cash_Flow_3[Bulan],H734,Cash_Flow_3[Type],"Out",Cash_Flow_3[Category],"Loandry")</f>
        <v>0</v>
      </c>
      <c r="Q734" s="29">
        <f>SUMIFS(Cash_Flow_3[Amount],Cash_Flow_3[Bulan],H734,Cash_Flow_3[Type],"Out",Cash_Flow_3[Category],"Mio")</f>
        <v>0</v>
      </c>
      <c r="R734" s="29">
        <f>SUMIFS(Cash_Flow_3[Amount],Cash_Flow_3[Bulan],H734,Cash_Flow_3[Type],"Out",Cash_Flow_3[Category],"Sedekah")</f>
        <v>0</v>
      </c>
      <c r="S734" s="29">
        <f>SUMIFS(Cash_Flow_3[Amount],Cash_Flow_3[Bulan],H734,Cash_Flow_3[Type],"Out",Cash_Flow_3[Category],"Zela")</f>
        <v>0</v>
      </c>
      <c r="T734" s="29">
        <f>SUMIFS(Cash_Flow_3[Amount],Cash_Flow_3[Bulan],H734,Cash_Flow_3[Type],"Out",Cash_Flow_3[Category],"Iqbal")</f>
        <v>0</v>
      </c>
    </row>
    <row r="735" spans="1:20" ht="22.5" customHeight="1" x14ac:dyDescent="0.2">
      <c r="A735" s="23"/>
      <c r="B735" s="24"/>
      <c r="C735" s="25"/>
      <c r="D735" s="25"/>
      <c r="E735" s="25"/>
      <c r="F735" s="26"/>
      <c r="G735" s="27"/>
      <c r="H735" s="28" t="str">
        <f t="shared" si="0"/>
        <v/>
      </c>
      <c r="I735" s="29">
        <f>SUMIFS(Cash_Flow_3[Amount],Cash_Flow_3[Bulan],H735,Cash_Flow_3[Type],"In")</f>
        <v>0</v>
      </c>
      <c r="J735" s="29">
        <f>SUMIFS(Cash_Flow_3[Amount],Cash_Flow_3[Bulan],H735,Cash_Flow_3[Type],"Out")</f>
        <v>0</v>
      </c>
      <c r="K735" s="29">
        <f>SUMIFS(Cash_Flow_3[Amount],Cash_Flow_3[Bulan],H735,Cash_Flow_3[Type],"Out",Cash_Flow_3[Category],"Fix")</f>
        <v>0</v>
      </c>
      <c r="L735" s="29">
        <f>SUMIFS(Cash_Flow_3[Amount],Cash_Flow_3[Bulan],H735,Cash_Flow_3[Type],"Out",Cash_Flow_3[Category],"Bathroom")</f>
        <v>0</v>
      </c>
      <c r="M735" s="29">
        <f>SUMIFS(Cash_Flow_3[Amount],Cash_Flow_3[Bulan],H735,Cash_Flow_3[Type],"Out",Cash_Flow_3[Category],"Alfa")</f>
        <v>0</v>
      </c>
      <c r="N735" s="29">
        <f>SUMIFS(Cash_Flow_3[Amount],Cash_Flow_3[Bulan],H735,Cash_Flow_3[Type],"Out",Cash_Flow_3[Category],"Jajan")</f>
        <v>0</v>
      </c>
      <c r="O735" s="29">
        <f>SUMIFS(Cash_Flow_3[Amount],Cash_Flow_3[Bulan],H735,Cash_Flow_3[Type],"Out",Cash_Flow_3[Category],"Kitchen")</f>
        <v>0</v>
      </c>
      <c r="P735" s="29">
        <f>SUMIFS(Cash_Flow_3[Amount],Cash_Flow_3[Bulan],H735,Cash_Flow_3[Type],"Out",Cash_Flow_3[Category],"Loandry")</f>
        <v>0</v>
      </c>
      <c r="Q735" s="29">
        <f>SUMIFS(Cash_Flow_3[Amount],Cash_Flow_3[Bulan],H735,Cash_Flow_3[Type],"Out",Cash_Flow_3[Category],"Mio")</f>
        <v>0</v>
      </c>
      <c r="R735" s="29">
        <f>SUMIFS(Cash_Flow_3[Amount],Cash_Flow_3[Bulan],H735,Cash_Flow_3[Type],"Out",Cash_Flow_3[Category],"Sedekah")</f>
        <v>0</v>
      </c>
      <c r="S735" s="29">
        <f>SUMIFS(Cash_Flow_3[Amount],Cash_Flow_3[Bulan],H735,Cash_Flow_3[Type],"Out",Cash_Flow_3[Category],"Zela")</f>
        <v>0</v>
      </c>
      <c r="T735" s="29">
        <f>SUMIFS(Cash_Flow_3[Amount],Cash_Flow_3[Bulan],H735,Cash_Flow_3[Type],"Out",Cash_Flow_3[Category],"Iqbal")</f>
        <v>0</v>
      </c>
    </row>
    <row r="736" spans="1:20" ht="22.5" customHeight="1" x14ac:dyDescent="0.2">
      <c r="A736" s="23"/>
      <c r="B736" s="24"/>
      <c r="C736" s="25"/>
      <c r="D736" s="25"/>
      <c r="E736" s="25"/>
      <c r="F736" s="26"/>
      <c r="G736" s="27"/>
      <c r="H736" s="28" t="str">
        <f t="shared" si="0"/>
        <v/>
      </c>
      <c r="I736" s="29">
        <f>SUMIFS(Cash_Flow_3[Amount],Cash_Flow_3[Bulan],H736,Cash_Flow_3[Type],"In")</f>
        <v>0</v>
      </c>
      <c r="J736" s="29">
        <f>SUMIFS(Cash_Flow_3[Amount],Cash_Flow_3[Bulan],H736,Cash_Flow_3[Type],"Out")</f>
        <v>0</v>
      </c>
      <c r="K736" s="29">
        <f>SUMIFS(Cash_Flow_3[Amount],Cash_Flow_3[Bulan],H736,Cash_Flow_3[Type],"Out",Cash_Flow_3[Category],"Fix")</f>
        <v>0</v>
      </c>
      <c r="L736" s="29">
        <f>SUMIFS(Cash_Flow_3[Amount],Cash_Flow_3[Bulan],H736,Cash_Flow_3[Type],"Out",Cash_Flow_3[Category],"Bathroom")</f>
        <v>0</v>
      </c>
      <c r="M736" s="29">
        <f>SUMIFS(Cash_Flow_3[Amount],Cash_Flow_3[Bulan],H736,Cash_Flow_3[Type],"Out",Cash_Flow_3[Category],"Alfa")</f>
        <v>0</v>
      </c>
      <c r="N736" s="29">
        <f>SUMIFS(Cash_Flow_3[Amount],Cash_Flow_3[Bulan],H736,Cash_Flow_3[Type],"Out",Cash_Flow_3[Category],"Jajan")</f>
        <v>0</v>
      </c>
      <c r="O736" s="29">
        <f>SUMIFS(Cash_Flow_3[Amount],Cash_Flow_3[Bulan],H736,Cash_Flow_3[Type],"Out",Cash_Flow_3[Category],"Kitchen")</f>
        <v>0</v>
      </c>
      <c r="P736" s="29">
        <f>SUMIFS(Cash_Flow_3[Amount],Cash_Flow_3[Bulan],H736,Cash_Flow_3[Type],"Out",Cash_Flow_3[Category],"Loandry")</f>
        <v>0</v>
      </c>
      <c r="Q736" s="29">
        <f>SUMIFS(Cash_Flow_3[Amount],Cash_Flow_3[Bulan],H736,Cash_Flow_3[Type],"Out",Cash_Flow_3[Category],"Mio")</f>
        <v>0</v>
      </c>
      <c r="R736" s="29">
        <f>SUMIFS(Cash_Flow_3[Amount],Cash_Flow_3[Bulan],H736,Cash_Flow_3[Type],"Out",Cash_Flow_3[Category],"Sedekah")</f>
        <v>0</v>
      </c>
      <c r="S736" s="29">
        <f>SUMIFS(Cash_Flow_3[Amount],Cash_Flow_3[Bulan],H736,Cash_Flow_3[Type],"Out",Cash_Flow_3[Category],"Zela")</f>
        <v>0</v>
      </c>
      <c r="T736" s="29">
        <f>SUMIFS(Cash_Flow_3[Amount],Cash_Flow_3[Bulan],H736,Cash_Flow_3[Type],"Out",Cash_Flow_3[Category],"Iqbal")</f>
        <v>0</v>
      </c>
    </row>
    <row r="737" spans="1:20" ht="22.5" customHeight="1" x14ac:dyDescent="0.2">
      <c r="A737" s="23"/>
      <c r="B737" s="24"/>
      <c r="C737" s="25"/>
      <c r="D737" s="25"/>
      <c r="E737" s="25"/>
      <c r="F737" s="26"/>
      <c r="G737" s="27"/>
      <c r="H737" s="28" t="str">
        <f t="shared" si="0"/>
        <v/>
      </c>
      <c r="I737" s="29">
        <f>SUMIFS(Cash_Flow_3[Amount],Cash_Flow_3[Bulan],H737,Cash_Flow_3[Type],"In")</f>
        <v>0</v>
      </c>
      <c r="J737" s="29">
        <f>SUMIFS(Cash_Flow_3[Amount],Cash_Flow_3[Bulan],H737,Cash_Flow_3[Type],"Out")</f>
        <v>0</v>
      </c>
      <c r="K737" s="29">
        <f>SUMIFS(Cash_Flow_3[Amount],Cash_Flow_3[Bulan],H737,Cash_Flow_3[Type],"Out",Cash_Flow_3[Category],"Fix")</f>
        <v>0</v>
      </c>
      <c r="L737" s="29">
        <f>SUMIFS(Cash_Flow_3[Amount],Cash_Flow_3[Bulan],H737,Cash_Flow_3[Type],"Out",Cash_Flow_3[Category],"Bathroom")</f>
        <v>0</v>
      </c>
      <c r="M737" s="29">
        <f>SUMIFS(Cash_Flow_3[Amount],Cash_Flow_3[Bulan],H737,Cash_Flow_3[Type],"Out",Cash_Flow_3[Category],"Alfa")</f>
        <v>0</v>
      </c>
      <c r="N737" s="29">
        <f>SUMIFS(Cash_Flow_3[Amount],Cash_Flow_3[Bulan],H737,Cash_Flow_3[Type],"Out",Cash_Flow_3[Category],"Jajan")</f>
        <v>0</v>
      </c>
      <c r="O737" s="29">
        <f>SUMIFS(Cash_Flow_3[Amount],Cash_Flow_3[Bulan],H737,Cash_Flow_3[Type],"Out",Cash_Flow_3[Category],"Kitchen")</f>
        <v>0</v>
      </c>
      <c r="P737" s="29">
        <f>SUMIFS(Cash_Flow_3[Amount],Cash_Flow_3[Bulan],H737,Cash_Flow_3[Type],"Out",Cash_Flow_3[Category],"Loandry")</f>
        <v>0</v>
      </c>
      <c r="Q737" s="29">
        <f>SUMIFS(Cash_Flow_3[Amount],Cash_Flow_3[Bulan],H737,Cash_Flow_3[Type],"Out",Cash_Flow_3[Category],"Mio")</f>
        <v>0</v>
      </c>
      <c r="R737" s="29">
        <f>SUMIFS(Cash_Flow_3[Amount],Cash_Flow_3[Bulan],H737,Cash_Flow_3[Type],"Out",Cash_Flow_3[Category],"Sedekah")</f>
        <v>0</v>
      </c>
      <c r="S737" s="29">
        <f>SUMIFS(Cash_Flow_3[Amount],Cash_Flow_3[Bulan],H737,Cash_Flow_3[Type],"Out",Cash_Flow_3[Category],"Zela")</f>
        <v>0</v>
      </c>
      <c r="T737" s="29">
        <f>SUMIFS(Cash_Flow_3[Amount],Cash_Flow_3[Bulan],H737,Cash_Flow_3[Type],"Out",Cash_Flow_3[Category],"Iqbal")</f>
        <v>0</v>
      </c>
    </row>
    <row r="738" spans="1:20" ht="22.5" customHeight="1" x14ac:dyDescent="0.2">
      <c r="A738" s="23"/>
      <c r="B738" s="24"/>
      <c r="C738" s="25"/>
      <c r="D738" s="25"/>
      <c r="E738" s="25"/>
      <c r="F738" s="26"/>
      <c r="G738" s="27"/>
      <c r="H738" s="28" t="str">
        <f t="shared" si="0"/>
        <v/>
      </c>
      <c r="I738" s="29">
        <f>SUMIFS(Cash_Flow_3[Amount],Cash_Flow_3[Bulan],H738,Cash_Flow_3[Type],"In")</f>
        <v>0</v>
      </c>
      <c r="J738" s="29">
        <f>SUMIFS(Cash_Flow_3[Amount],Cash_Flow_3[Bulan],H738,Cash_Flow_3[Type],"Out")</f>
        <v>0</v>
      </c>
      <c r="K738" s="29">
        <f>SUMIFS(Cash_Flow_3[Amount],Cash_Flow_3[Bulan],H738,Cash_Flow_3[Type],"Out",Cash_Flow_3[Category],"Fix")</f>
        <v>0</v>
      </c>
      <c r="L738" s="29">
        <f>SUMIFS(Cash_Flow_3[Amount],Cash_Flow_3[Bulan],H738,Cash_Flow_3[Type],"Out",Cash_Flow_3[Category],"Bathroom")</f>
        <v>0</v>
      </c>
      <c r="M738" s="29">
        <f>SUMIFS(Cash_Flow_3[Amount],Cash_Flow_3[Bulan],H738,Cash_Flow_3[Type],"Out",Cash_Flow_3[Category],"Alfa")</f>
        <v>0</v>
      </c>
      <c r="N738" s="29">
        <f>SUMIFS(Cash_Flow_3[Amount],Cash_Flow_3[Bulan],H738,Cash_Flow_3[Type],"Out",Cash_Flow_3[Category],"Jajan")</f>
        <v>0</v>
      </c>
      <c r="O738" s="29">
        <f>SUMIFS(Cash_Flow_3[Amount],Cash_Flow_3[Bulan],H738,Cash_Flow_3[Type],"Out",Cash_Flow_3[Category],"Kitchen")</f>
        <v>0</v>
      </c>
      <c r="P738" s="29">
        <f>SUMIFS(Cash_Flow_3[Amount],Cash_Flow_3[Bulan],H738,Cash_Flow_3[Type],"Out",Cash_Flow_3[Category],"Loandry")</f>
        <v>0</v>
      </c>
      <c r="Q738" s="29">
        <f>SUMIFS(Cash_Flow_3[Amount],Cash_Flow_3[Bulan],H738,Cash_Flow_3[Type],"Out",Cash_Flow_3[Category],"Mio")</f>
        <v>0</v>
      </c>
      <c r="R738" s="29">
        <f>SUMIFS(Cash_Flow_3[Amount],Cash_Flow_3[Bulan],H738,Cash_Flow_3[Type],"Out",Cash_Flow_3[Category],"Sedekah")</f>
        <v>0</v>
      </c>
      <c r="S738" s="29">
        <f>SUMIFS(Cash_Flow_3[Amount],Cash_Flow_3[Bulan],H738,Cash_Flow_3[Type],"Out",Cash_Flow_3[Category],"Zela")</f>
        <v>0</v>
      </c>
      <c r="T738" s="29">
        <f>SUMIFS(Cash_Flow_3[Amount],Cash_Flow_3[Bulan],H738,Cash_Flow_3[Type],"Out",Cash_Flow_3[Category],"Iqbal")</f>
        <v>0</v>
      </c>
    </row>
    <row r="739" spans="1:20" ht="22.5" customHeight="1" x14ac:dyDescent="0.2">
      <c r="A739" s="23"/>
      <c r="B739" s="24"/>
      <c r="C739" s="25"/>
      <c r="D739" s="25"/>
      <c r="E739" s="25"/>
      <c r="F739" s="26"/>
      <c r="G739" s="27"/>
      <c r="H739" s="28" t="str">
        <f t="shared" si="0"/>
        <v/>
      </c>
      <c r="I739" s="29">
        <f>SUMIFS(Cash_Flow_3[Amount],Cash_Flow_3[Bulan],H739,Cash_Flow_3[Type],"In")</f>
        <v>0</v>
      </c>
      <c r="J739" s="29">
        <f>SUMIFS(Cash_Flow_3[Amount],Cash_Flow_3[Bulan],H739,Cash_Flow_3[Type],"Out")</f>
        <v>0</v>
      </c>
      <c r="K739" s="29">
        <f>SUMIFS(Cash_Flow_3[Amount],Cash_Flow_3[Bulan],H739,Cash_Flow_3[Type],"Out",Cash_Flow_3[Category],"Fix")</f>
        <v>0</v>
      </c>
      <c r="L739" s="29">
        <f>SUMIFS(Cash_Flow_3[Amount],Cash_Flow_3[Bulan],H739,Cash_Flow_3[Type],"Out",Cash_Flow_3[Category],"Bathroom")</f>
        <v>0</v>
      </c>
      <c r="M739" s="29">
        <f>SUMIFS(Cash_Flow_3[Amount],Cash_Flow_3[Bulan],H739,Cash_Flow_3[Type],"Out",Cash_Flow_3[Category],"Alfa")</f>
        <v>0</v>
      </c>
      <c r="N739" s="29">
        <f>SUMIFS(Cash_Flow_3[Amount],Cash_Flow_3[Bulan],H739,Cash_Flow_3[Type],"Out",Cash_Flow_3[Category],"Jajan")</f>
        <v>0</v>
      </c>
      <c r="O739" s="29">
        <f>SUMIFS(Cash_Flow_3[Amount],Cash_Flow_3[Bulan],H739,Cash_Flow_3[Type],"Out",Cash_Flow_3[Category],"Kitchen")</f>
        <v>0</v>
      </c>
      <c r="P739" s="29">
        <f>SUMIFS(Cash_Flow_3[Amount],Cash_Flow_3[Bulan],H739,Cash_Flow_3[Type],"Out",Cash_Flow_3[Category],"Loandry")</f>
        <v>0</v>
      </c>
      <c r="Q739" s="29">
        <f>SUMIFS(Cash_Flow_3[Amount],Cash_Flow_3[Bulan],H739,Cash_Flow_3[Type],"Out",Cash_Flow_3[Category],"Mio")</f>
        <v>0</v>
      </c>
      <c r="R739" s="29">
        <f>SUMIFS(Cash_Flow_3[Amount],Cash_Flow_3[Bulan],H739,Cash_Flow_3[Type],"Out",Cash_Flow_3[Category],"Sedekah")</f>
        <v>0</v>
      </c>
      <c r="S739" s="29">
        <f>SUMIFS(Cash_Flow_3[Amount],Cash_Flow_3[Bulan],H739,Cash_Flow_3[Type],"Out",Cash_Flow_3[Category],"Zela")</f>
        <v>0</v>
      </c>
      <c r="T739" s="29">
        <f>SUMIFS(Cash_Flow_3[Amount],Cash_Flow_3[Bulan],H739,Cash_Flow_3[Type],"Out",Cash_Flow_3[Category],"Iqbal")</f>
        <v>0</v>
      </c>
    </row>
    <row r="740" spans="1:20" ht="22.5" customHeight="1" x14ac:dyDescent="0.2">
      <c r="A740" s="23"/>
      <c r="B740" s="24"/>
      <c r="C740" s="25"/>
      <c r="D740" s="25"/>
      <c r="E740" s="25"/>
      <c r="F740" s="26"/>
      <c r="G740" s="27"/>
      <c r="H740" s="28" t="str">
        <f t="shared" si="0"/>
        <v/>
      </c>
      <c r="I740" s="29">
        <f>SUMIFS(Cash_Flow_3[Amount],Cash_Flow_3[Bulan],H740,Cash_Flow_3[Type],"In")</f>
        <v>0</v>
      </c>
      <c r="J740" s="29">
        <f>SUMIFS(Cash_Flow_3[Amount],Cash_Flow_3[Bulan],H740,Cash_Flow_3[Type],"Out")</f>
        <v>0</v>
      </c>
      <c r="K740" s="29">
        <f>SUMIFS(Cash_Flow_3[Amount],Cash_Flow_3[Bulan],H740,Cash_Flow_3[Type],"Out",Cash_Flow_3[Category],"Fix")</f>
        <v>0</v>
      </c>
      <c r="L740" s="29">
        <f>SUMIFS(Cash_Flow_3[Amount],Cash_Flow_3[Bulan],H740,Cash_Flow_3[Type],"Out",Cash_Flow_3[Category],"Bathroom")</f>
        <v>0</v>
      </c>
      <c r="M740" s="29">
        <f>SUMIFS(Cash_Flow_3[Amount],Cash_Flow_3[Bulan],H740,Cash_Flow_3[Type],"Out",Cash_Flow_3[Category],"Alfa")</f>
        <v>0</v>
      </c>
      <c r="N740" s="29">
        <f>SUMIFS(Cash_Flow_3[Amount],Cash_Flow_3[Bulan],H740,Cash_Flow_3[Type],"Out",Cash_Flow_3[Category],"Jajan")</f>
        <v>0</v>
      </c>
      <c r="O740" s="29">
        <f>SUMIFS(Cash_Flow_3[Amount],Cash_Flow_3[Bulan],H740,Cash_Flow_3[Type],"Out",Cash_Flow_3[Category],"Kitchen")</f>
        <v>0</v>
      </c>
      <c r="P740" s="29">
        <f>SUMIFS(Cash_Flow_3[Amount],Cash_Flow_3[Bulan],H740,Cash_Flow_3[Type],"Out",Cash_Flow_3[Category],"Loandry")</f>
        <v>0</v>
      </c>
      <c r="Q740" s="29">
        <f>SUMIFS(Cash_Flow_3[Amount],Cash_Flow_3[Bulan],H740,Cash_Flow_3[Type],"Out",Cash_Flow_3[Category],"Mio")</f>
        <v>0</v>
      </c>
      <c r="R740" s="29">
        <f>SUMIFS(Cash_Flow_3[Amount],Cash_Flow_3[Bulan],H740,Cash_Flow_3[Type],"Out",Cash_Flow_3[Category],"Sedekah")</f>
        <v>0</v>
      </c>
      <c r="S740" s="29">
        <f>SUMIFS(Cash_Flow_3[Amount],Cash_Flow_3[Bulan],H740,Cash_Flow_3[Type],"Out",Cash_Flow_3[Category],"Zela")</f>
        <v>0</v>
      </c>
      <c r="T740" s="29">
        <f>SUMIFS(Cash_Flow_3[Amount],Cash_Flow_3[Bulan],H740,Cash_Flow_3[Type],"Out",Cash_Flow_3[Category],"Iqbal")</f>
        <v>0</v>
      </c>
    </row>
    <row r="741" spans="1:20" ht="22.5" customHeight="1" x14ac:dyDescent="0.2">
      <c r="A741" s="23"/>
      <c r="B741" s="24"/>
      <c r="C741" s="25"/>
      <c r="D741" s="25"/>
      <c r="E741" s="25"/>
      <c r="F741" s="26"/>
      <c r="G741" s="27"/>
      <c r="H741" s="28" t="str">
        <f t="shared" si="0"/>
        <v/>
      </c>
      <c r="I741" s="29">
        <f>SUMIFS(Cash_Flow_3[Amount],Cash_Flow_3[Bulan],H741,Cash_Flow_3[Type],"In")</f>
        <v>0</v>
      </c>
      <c r="J741" s="29">
        <f>SUMIFS(Cash_Flow_3[Amount],Cash_Flow_3[Bulan],H741,Cash_Flow_3[Type],"Out")</f>
        <v>0</v>
      </c>
      <c r="K741" s="29">
        <f>SUMIFS(Cash_Flow_3[Amount],Cash_Flow_3[Bulan],H741,Cash_Flow_3[Type],"Out",Cash_Flow_3[Category],"Fix")</f>
        <v>0</v>
      </c>
      <c r="L741" s="29">
        <f>SUMIFS(Cash_Flow_3[Amount],Cash_Flow_3[Bulan],H741,Cash_Flow_3[Type],"Out",Cash_Flow_3[Category],"Bathroom")</f>
        <v>0</v>
      </c>
      <c r="M741" s="29">
        <f>SUMIFS(Cash_Flow_3[Amount],Cash_Flow_3[Bulan],H741,Cash_Flow_3[Type],"Out",Cash_Flow_3[Category],"Alfa")</f>
        <v>0</v>
      </c>
      <c r="N741" s="29">
        <f>SUMIFS(Cash_Flow_3[Amount],Cash_Flow_3[Bulan],H741,Cash_Flow_3[Type],"Out",Cash_Flow_3[Category],"Jajan")</f>
        <v>0</v>
      </c>
      <c r="O741" s="29">
        <f>SUMIFS(Cash_Flow_3[Amount],Cash_Flow_3[Bulan],H741,Cash_Flow_3[Type],"Out",Cash_Flow_3[Category],"Kitchen")</f>
        <v>0</v>
      </c>
      <c r="P741" s="29">
        <f>SUMIFS(Cash_Flow_3[Amount],Cash_Flow_3[Bulan],H741,Cash_Flow_3[Type],"Out",Cash_Flow_3[Category],"Loandry")</f>
        <v>0</v>
      </c>
      <c r="Q741" s="29">
        <f>SUMIFS(Cash_Flow_3[Amount],Cash_Flow_3[Bulan],H741,Cash_Flow_3[Type],"Out",Cash_Flow_3[Category],"Mio")</f>
        <v>0</v>
      </c>
      <c r="R741" s="29">
        <f>SUMIFS(Cash_Flow_3[Amount],Cash_Flow_3[Bulan],H741,Cash_Flow_3[Type],"Out",Cash_Flow_3[Category],"Sedekah")</f>
        <v>0</v>
      </c>
      <c r="S741" s="29">
        <f>SUMIFS(Cash_Flow_3[Amount],Cash_Flow_3[Bulan],H741,Cash_Flow_3[Type],"Out",Cash_Flow_3[Category],"Zela")</f>
        <v>0</v>
      </c>
      <c r="T741" s="29">
        <f>SUMIFS(Cash_Flow_3[Amount],Cash_Flow_3[Bulan],H741,Cash_Flow_3[Type],"Out",Cash_Flow_3[Category],"Iqbal")</f>
        <v>0</v>
      </c>
    </row>
    <row r="742" spans="1:20" ht="22.5" customHeight="1" x14ac:dyDescent="0.2">
      <c r="A742" s="23"/>
      <c r="B742" s="24"/>
      <c r="C742" s="25"/>
      <c r="D742" s="25"/>
      <c r="E742" s="25"/>
      <c r="F742" s="26"/>
      <c r="G742" s="27"/>
      <c r="H742" s="28" t="str">
        <f t="shared" si="0"/>
        <v/>
      </c>
      <c r="I742" s="29">
        <f>SUMIFS(Cash_Flow_3[Amount],Cash_Flow_3[Bulan],H742,Cash_Flow_3[Type],"In")</f>
        <v>0</v>
      </c>
      <c r="J742" s="29">
        <f>SUMIFS(Cash_Flow_3[Amount],Cash_Flow_3[Bulan],H742,Cash_Flow_3[Type],"Out")</f>
        <v>0</v>
      </c>
      <c r="K742" s="29">
        <f>SUMIFS(Cash_Flow_3[Amount],Cash_Flow_3[Bulan],H742,Cash_Flow_3[Type],"Out",Cash_Flow_3[Category],"Fix")</f>
        <v>0</v>
      </c>
      <c r="L742" s="29">
        <f>SUMIFS(Cash_Flow_3[Amount],Cash_Flow_3[Bulan],H742,Cash_Flow_3[Type],"Out",Cash_Flow_3[Category],"Bathroom")</f>
        <v>0</v>
      </c>
      <c r="M742" s="29">
        <f>SUMIFS(Cash_Flow_3[Amount],Cash_Flow_3[Bulan],H742,Cash_Flow_3[Type],"Out",Cash_Flow_3[Category],"Alfa")</f>
        <v>0</v>
      </c>
      <c r="N742" s="29">
        <f>SUMIFS(Cash_Flow_3[Amount],Cash_Flow_3[Bulan],H742,Cash_Flow_3[Type],"Out",Cash_Flow_3[Category],"Jajan")</f>
        <v>0</v>
      </c>
      <c r="O742" s="29">
        <f>SUMIFS(Cash_Flow_3[Amount],Cash_Flow_3[Bulan],H742,Cash_Flow_3[Type],"Out",Cash_Flow_3[Category],"Kitchen")</f>
        <v>0</v>
      </c>
      <c r="P742" s="29">
        <f>SUMIFS(Cash_Flow_3[Amount],Cash_Flow_3[Bulan],H742,Cash_Flow_3[Type],"Out",Cash_Flow_3[Category],"Loandry")</f>
        <v>0</v>
      </c>
      <c r="Q742" s="29">
        <f>SUMIFS(Cash_Flow_3[Amount],Cash_Flow_3[Bulan],H742,Cash_Flow_3[Type],"Out",Cash_Flow_3[Category],"Mio")</f>
        <v>0</v>
      </c>
      <c r="R742" s="29">
        <f>SUMIFS(Cash_Flow_3[Amount],Cash_Flow_3[Bulan],H742,Cash_Flow_3[Type],"Out",Cash_Flow_3[Category],"Sedekah")</f>
        <v>0</v>
      </c>
      <c r="S742" s="29">
        <f>SUMIFS(Cash_Flow_3[Amount],Cash_Flow_3[Bulan],H742,Cash_Flow_3[Type],"Out",Cash_Flow_3[Category],"Zela")</f>
        <v>0</v>
      </c>
      <c r="T742" s="29">
        <f>SUMIFS(Cash_Flow_3[Amount],Cash_Flow_3[Bulan],H742,Cash_Flow_3[Type],"Out",Cash_Flow_3[Category],"Iqbal")</f>
        <v>0</v>
      </c>
    </row>
    <row r="743" spans="1:20" ht="22.5" customHeight="1" x14ac:dyDescent="0.2">
      <c r="A743" s="23"/>
      <c r="B743" s="24"/>
      <c r="C743" s="25"/>
      <c r="D743" s="25"/>
      <c r="E743" s="25"/>
      <c r="F743" s="26"/>
      <c r="G743" s="27"/>
      <c r="H743" s="28" t="str">
        <f t="shared" si="0"/>
        <v/>
      </c>
      <c r="I743" s="29">
        <f>SUMIFS(Cash_Flow_3[Amount],Cash_Flow_3[Bulan],H743,Cash_Flow_3[Type],"In")</f>
        <v>0</v>
      </c>
      <c r="J743" s="29">
        <f>SUMIFS(Cash_Flow_3[Amount],Cash_Flow_3[Bulan],H743,Cash_Flow_3[Type],"Out")</f>
        <v>0</v>
      </c>
      <c r="K743" s="29">
        <f>SUMIFS(Cash_Flow_3[Amount],Cash_Flow_3[Bulan],H743,Cash_Flow_3[Type],"Out",Cash_Flow_3[Category],"Fix")</f>
        <v>0</v>
      </c>
      <c r="L743" s="29">
        <f>SUMIFS(Cash_Flow_3[Amount],Cash_Flow_3[Bulan],H743,Cash_Flow_3[Type],"Out",Cash_Flow_3[Category],"Bathroom")</f>
        <v>0</v>
      </c>
      <c r="M743" s="29">
        <f>SUMIFS(Cash_Flow_3[Amount],Cash_Flow_3[Bulan],H743,Cash_Flow_3[Type],"Out",Cash_Flow_3[Category],"Alfa")</f>
        <v>0</v>
      </c>
      <c r="N743" s="29">
        <f>SUMIFS(Cash_Flow_3[Amount],Cash_Flow_3[Bulan],H743,Cash_Flow_3[Type],"Out",Cash_Flow_3[Category],"Jajan")</f>
        <v>0</v>
      </c>
      <c r="O743" s="29">
        <f>SUMIFS(Cash_Flow_3[Amount],Cash_Flow_3[Bulan],H743,Cash_Flow_3[Type],"Out",Cash_Flow_3[Category],"Kitchen")</f>
        <v>0</v>
      </c>
      <c r="P743" s="29">
        <f>SUMIFS(Cash_Flow_3[Amount],Cash_Flow_3[Bulan],H743,Cash_Flow_3[Type],"Out",Cash_Flow_3[Category],"Loandry")</f>
        <v>0</v>
      </c>
      <c r="Q743" s="29">
        <f>SUMIFS(Cash_Flow_3[Amount],Cash_Flow_3[Bulan],H743,Cash_Flow_3[Type],"Out",Cash_Flow_3[Category],"Mio")</f>
        <v>0</v>
      </c>
      <c r="R743" s="29">
        <f>SUMIFS(Cash_Flow_3[Amount],Cash_Flow_3[Bulan],H743,Cash_Flow_3[Type],"Out",Cash_Flow_3[Category],"Sedekah")</f>
        <v>0</v>
      </c>
      <c r="S743" s="29">
        <f>SUMIFS(Cash_Flow_3[Amount],Cash_Flow_3[Bulan],H743,Cash_Flow_3[Type],"Out",Cash_Flow_3[Category],"Zela")</f>
        <v>0</v>
      </c>
      <c r="T743" s="29">
        <f>SUMIFS(Cash_Flow_3[Amount],Cash_Flow_3[Bulan],H743,Cash_Flow_3[Type],"Out",Cash_Flow_3[Category],"Iqbal")</f>
        <v>0</v>
      </c>
    </row>
    <row r="744" spans="1:20" ht="22.5" customHeight="1" x14ac:dyDescent="0.2">
      <c r="A744" s="23"/>
      <c r="B744" s="24"/>
      <c r="C744" s="25"/>
      <c r="D744" s="25"/>
      <c r="E744" s="25"/>
      <c r="F744" s="26"/>
      <c r="G744" s="27"/>
      <c r="H744" s="28" t="str">
        <f t="shared" si="0"/>
        <v/>
      </c>
      <c r="I744" s="29">
        <f>SUMIFS(Cash_Flow_3[Amount],Cash_Flow_3[Bulan],H744,Cash_Flow_3[Type],"In")</f>
        <v>0</v>
      </c>
      <c r="J744" s="29">
        <f>SUMIFS(Cash_Flow_3[Amount],Cash_Flow_3[Bulan],H744,Cash_Flow_3[Type],"Out")</f>
        <v>0</v>
      </c>
      <c r="K744" s="29">
        <f>SUMIFS(Cash_Flow_3[Amount],Cash_Flow_3[Bulan],H744,Cash_Flow_3[Type],"Out",Cash_Flow_3[Category],"Fix")</f>
        <v>0</v>
      </c>
      <c r="L744" s="29">
        <f>SUMIFS(Cash_Flow_3[Amount],Cash_Flow_3[Bulan],H744,Cash_Flow_3[Type],"Out",Cash_Flow_3[Category],"Bathroom")</f>
        <v>0</v>
      </c>
      <c r="M744" s="29">
        <f>SUMIFS(Cash_Flow_3[Amount],Cash_Flow_3[Bulan],H744,Cash_Flow_3[Type],"Out",Cash_Flow_3[Category],"Alfa")</f>
        <v>0</v>
      </c>
      <c r="N744" s="29">
        <f>SUMIFS(Cash_Flow_3[Amount],Cash_Flow_3[Bulan],H744,Cash_Flow_3[Type],"Out",Cash_Flow_3[Category],"Jajan")</f>
        <v>0</v>
      </c>
      <c r="O744" s="29">
        <f>SUMIFS(Cash_Flow_3[Amount],Cash_Flow_3[Bulan],H744,Cash_Flow_3[Type],"Out",Cash_Flow_3[Category],"Kitchen")</f>
        <v>0</v>
      </c>
      <c r="P744" s="29">
        <f>SUMIFS(Cash_Flow_3[Amount],Cash_Flow_3[Bulan],H744,Cash_Flow_3[Type],"Out",Cash_Flow_3[Category],"Loandry")</f>
        <v>0</v>
      </c>
      <c r="Q744" s="29">
        <f>SUMIFS(Cash_Flow_3[Amount],Cash_Flow_3[Bulan],H744,Cash_Flow_3[Type],"Out",Cash_Flow_3[Category],"Mio")</f>
        <v>0</v>
      </c>
      <c r="R744" s="29">
        <f>SUMIFS(Cash_Flow_3[Amount],Cash_Flow_3[Bulan],H744,Cash_Flow_3[Type],"Out",Cash_Flow_3[Category],"Sedekah")</f>
        <v>0</v>
      </c>
      <c r="S744" s="29">
        <f>SUMIFS(Cash_Flow_3[Amount],Cash_Flow_3[Bulan],H744,Cash_Flow_3[Type],"Out",Cash_Flow_3[Category],"Zela")</f>
        <v>0</v>
      </c>
      <c r="T744" s="29">
        <f>SUMIFS(Cash_Flow_3[Amount],Cash_Flow_3[Bulan],H744,Cash_Flow_3[Type],"Out",Cash_Flow_3[Category],"Iqbal")</f>
        <v>0</v>
      </c>
    </row>
    <row r="745" spans="1:20" ht="22.5" customHeight="1" x14ac:dyDescent="0.2">
      <c r="A745" s="23"/>
      <c r="B745" s="24"/>
      <c r="C745" s="25"/>
      <c r="D745" s="25"/>
      <c r="E745" s="25"/>
      <c r="F745" s="26"/>
      <c r="G745" s="27"/>
      <c r="H745" s="28" t="str">
        <f t="shared" si="0"/>
        <v/>
      </c>
      <c r="I745" s="29">
        <f>SUMIFS(Cash_Flow_3[Amount],Cash_Flow_3[Bulan],H745,Cash_Flow_3[Type],"In")</f>
        <v>0</v>
      </c>
      <c r="J745" s="29">
        <f>SUMIFS(Cash_Flow_3[Amount],Cash_Flow_3[Bulan],H745,Cash_Flow_3[Type],"Out")</f>
        <v>0</v>
      </c>
      <c r="K745" s="29">
        <f>SUMIFS(Cash_Flow_3[Amount],Cash_Flow_3[Bulan],H745,Cash_Flow_3[Type],"Out",Cash_Flow_3[Category],"Fix")</f>
        <v>0</v>
      </c>
      <c r="L745" s="29">
        <f>SUMIFS(Cash_Flow_3[Amount],Cash_Flow_3[Bulan],H745,Cash_Flow_3[Type],"Out",Cash_Flow_3[Category],"Bathroom")</f>
        <v>0</v>
      </c>
      <c r="M745" s="29">
        <f>SUMIFS(Cash_Flow_3[Amount],Cash_Flow_3[Bulan],H745,Cash_Flow_3[Type],"Out",Cash_Flow_3[Category],"Alfa")</f>
        <v>0</v>
      </c>
      <c r="N745" s="29">
        <f>SUMIFS(Cash_Flow_3[Amount],Cash_Flow_3[Bulan],H745,Cash_Flow_3[Type],"Out",Cash_Flow_3[Category],"Jajan")</f>
        <v>0</v>
      </c>
      <c r="O745" s="29">
        <f>SUMIFS(Cash_Flow_3[Amount],Cash_Flow_3[Bulan],H745,Cash_Flow_3[Type],"Out",Cash_Flow_3[Category],"Kitchen")</f>
        <v>0</v>
      </c>
      <c r="P745" s="29">
        <f>SUMIFS(Cash_Flow_3[Amount],Cash_Flow_3[Bulan],H745,Cash_Flow_3[Type],"Out",Cash_Flow_3[Category],"Loandry")</f>
        <v>0</v>
      </c>
      <c r="Q745" s="29">
        <f>SUMIFS(Cash_Flow_3[Amount],Cash_Flow_3[Bulan],H745,Cash_Flow_3[Type],"Out",Cash_Flow_3[Category],"Mio")</f>
        <v>0</v>
      </c>
      <c r="R745" s="29">
        <f>SUMIFS(Cash_Flow_3[Amount],Cash_Flow_3[Bulan],H745,Cash_Flow_3[Type],"Out",Cash_Flow_3[Category],"Sedekah")</f>
        <v>0</v>
      </c>
      <c r="S745" s="29">
        <f>SUMIFS(Cash_Flow_3[Amount],Cash_Flow_3[Bulan],H745,Cash_Flow_3[Type],"Out",Cash_Flow_3[Category],"Zela")</f>
        <v>0</v>
      </c>
      <c r="T745" s="29">
        <f>SUMIFS(Cash_Flow_3[Amount],Cash_Flow_3[Bulan],H745,Cash_Flow_3[Type],"Out",Cash_Flow_3[Category],"Iqbal")</f>
        <v>0</v>
      </c>
    </row>
    <row r="746" spans="1:20" ht="22.5" customHeight="1" x14ac:dyDescent="0.2">
      <c r="A746" s="23"/>
      <c r="B746" s="24"/>
      <c r="C746" s="25"/>
      <c r="D746" s="25"/>
      <c r="E746" s="25"/>
      <c r="F746" s="26"/>
      <c r="G746" s="27"/>
      <c r="H746" s="28" t="str">
        <f t="shared" si="0"/>
        <v/>
      </c>
      <c r="I746" s="29">
        <f>SUMIFS(Cash_Flow_3[Amount],Cash_Flow_3[Bulan],H746,Cash_Flow_3[Type],"In")</f>
        <v>0</v>
      </c>
      <c r="J746" s="29">
        <f>SUMIFS(Cash_Flow_3[Amount],Cash_Flow_3[Bulan],H746,Cash_Flow_3[Type],"Out")</f>
        <v>0</v>
      </c>
      <c r="K746" s="29">
        <f>SUMIFS(Cash_Flow_3[Amount],Cash_Flow_3[Bulan],H746,Cash_Flow_3[Type],"Out",Cash_Flow_3[Category],"Fix")</f>
        <v>0</v>
      </c>
      <c r="L746" s="29">
        <f>SUMIFS(Cash_Flow_3[Amount],Cash_Flow_3[Bulan],H746,Cash_Flow_3[Type],"Out",Cash_Flow_3[Category],"Bathroom")</f>
        <v>0</v>
      </c>
      <c r="M746" s="29">
        <f>SUMIFS(Cash_Flow_3[Amount],Cash_Flow_3[Bulan],H746,Cash_Flow_3[Type],"Out",Cash_Flow_3[Category],"Alfa")</f>
        <v>0</v>
      </c>
      <c r="N746" s="29">
        <f>SUMIFS(Cash_Flow_3[Amount],Cash_Flow_3[Bulan],H746,Cash_Flow_3[Type],"Out",Cash_Flow_3[Category],"Jajan")</f>
        <v>0</v>
      </c>
      <c r="O746" s="29">
        <f>SUMIFS(Cash_Flow_3[Amount],Cash_Flow_3[Bulan],H746,Cash_Flow_3[Type],"Out",Cash_Flow_3[Category],"Kitchen")</f>
        <v>0</v>
      </c>
      <c r="P746" s="29">
        <f>SUMIFS(Cash_Flow_3[Amount],Cash_Flow_3[Bulan],H746,Cash_Flow_3[Type],"Out",Cash_Flow_3[Category],"Loandry")</f>
        <v>0</v>
      </c>
      <c r="Q746" s="29">
        <f>SUMIFS(Cash_Flow_3[Amount],Cash_Flow_3[Bulan],H746,Cash_Flow_3[Type],"Out",Cash_Flow_3[Category],"Mio")</f>
        <v>0</v>
      </c>
      <c r="R746" s="29">
        <f>SUMIFS(Cash_Flow_3[Amount],Cash_Flow_3[Bulan],H746,Cash_Flow_3[Type],"Out",Cash_Flow_3[Category],"Sedekah")</f>
        <v>0</v>
      </c>
      <c r="S746" s="29">
        <f>SUMIFS(Cash_Flow_3[Amount],Cash_Flow_3[Bulan],H746,Cash_Flow_3[Type],"Out",Cash_Flow_3[Category],"Zela")</f>
        <v>0</v>
      </c>
      <c r="T746" s="29">
        <f>SUMIFS(Cash_Flow_3[Amount],Cash_Flow_3[Bulan],H746,Cash_Flow_3[Type],"Out",Cash_Flow_3[Category],"Iqbal")</f>
        <v>0</v>
      </c>
    </row>
    <row r="747" spans="1:20" ht="22.5" customHeight="1" x14ac:dyDescent="0.2">
      <c r="A747" s="23"/>
      <c r="B747" s="24"/>
      <c r="C747" s="25"/>
      <c r="D747" s="25"/>
      <c r="E747" s="25"/>
      <c r="F747" s="26"/>
      <c r="G747" s="27"/>
      <c r="H747" s="28" t="str">
        <f t="shared" si="0"/>
        <v/>
      </c>
      <c r="I747" s="29">
        <f>SUMIFS(Cash_Flow_3[Amount],Cash_Flow_3[Bulan],H747,Cash_Flow_3[Type],"In")</f>
        <v>0</v>
      </c>
      <c r="J747" s="29">
        <f>SUMIFS(Cash_Flow_3[Amount],Cash_Flow_3[Bulan],H747,Cash_Flow_3[Type],"Out")</f>
        <v>0</v>
      </c>
      <c r="K747" s="29">
        <f>SUMIFS(Cash_Flow_3[Amount],Cash_Flow_3[Bulan],H747,Cash_Flow_3[Type],"Out",Cash_Flow_3[Category],"Fix")</f>
        <v>0</v>
      </c>
      <c r="L747" s="29">
        <f>SUMIFS(Cash_Flow_3[Amount],Cash_Flow_3[Bulan],H747,Cash_Flow_3[Type],"Out",Cash_Flow_3[Category],"Bathroom")</f>
        <v>0</v>
      </c>
      <c r="M747" s="29">
        <f>SUMIFS(Cash_Flow_3[Amount],Cash_Flow_3[Bulan],H747,Cash_Flow_3[Type],"Out",Cash_Flow_3[Category],"Alfa")</f>
        <v>0</v>
      </c>
      <c r="N747" s="29">
        <f>SUMIFS(Cash_Flow_3[Amount],Cash_Flow_3[Bulan],H747,Cash_Flow_3[Type],"Out",Cash_Flow_3[Category],"Jajan")</f>
        <v>0</v>
      </c>
      <c r="O747" s="29">
        <f>SUMIFS(Cash_Flow_3[Amount],Cash_Flow_3[Bulan],H747,Cash_Flow_3[Type],"Out",Cash_Flow_3[Category],"Kitchen")</f>
        <v>0</v>
      </c>
      <c r="P747" s="29">
        <f>SUMIFS(Cash_Flow_3[Amount],Cash_Flow_3[Bulan],H747,Cash_Flow_3[Type],"Out",Cash_Flow_3[Category],"Loandry")</f>
        <v>0</v>
      </c>
      <c r="Q747" s="29">
        <f>SUMIFS(Cash_Flow_3[Amount],Cash_Flow_3[Bulan],H747,Cash_Flow_3[Type],"Out",Cash_Flow_3[Category],"Mio")</f>
        <v>0</v>
      </c>
      <c r="R747" s="29">
        <f>SUMIFS(Cash_Flow_3[Amount],Cash_Flow_3[Bulan],H747,Cash_Flow_3[Type],"Out",Cash_Flow_3[Category],"Sedekah")</f>
        <v>0</v>
      </c>
      <c r="S747" s="29">
        <f>SUMIFS(Cash_Flow_3[Amount],Cash_Flow_3[Bulan],H747,Cash_Flow_3[Type],"Out",Cash_Flow_3[Category],"Zela")</f>
        <v>0</v>
      </c>
      <c r="T747" s="29">
        <f>SUMIFS(Cash_Flow_3[Amount],Cash_Flow_3[Bulan],H747,Cash_Flow_3[Type],"Out",Cash_Flow_3[Category],"Iqbal")</f>
        <v>0</v>
      </c>
    </row>
    <row r="748" spans="1:20" ht="22.5" customHeight="1" x14ac:dyDescent="0.2">
      <c r="A748" s="23"/>
      <c r="B748" s="24"/>
      <c r="C748" s="25"/>
      <c r="D748" s="25"/>
      <c r="E748" s="25"/>
      <c r="F748" s="26"/>
      <c r="G748" s="27"/>
      <c r="H748" s="28" t="str">
        <f t="shared" si="0"/>
        <v/>
      </c>
      <c r="I748" s="29">
        <f>SUMIFS(Cash_Flow_3[Amount],Cash_Flow_3[Bulan],H748,Cash_Flow_3[Type],"In")</f>
        <v>0</v>
      </c>
      <c r="J748" s="29">
        <f>SUMIFS(Cash_Flow_3[Amount],Cash_Flow_3[Bulan],H748,Cash_Flow_3[Type],"Out")</f>
        <v>0</v>
      </c>
      <c r="K748" s="29">
        <f>SUMIFS(Cash_Flow_3[Amount],Cash_Flow_3[Bulan],H748,Cash_Flow_3[Type],"Out",Cash_Flow_3[Category],"Fix")</f>
        <v>0</v>
      </c>
      <c r="L748" s="29">
        <f>SUMIFS(Cash_Flow_3[Amount],Cash_Flow_3[Bulan],H748,Cash_Flow_3[Type],"Out",Cash_Flow_3[Category],"Bathroom")</f>
        <v>0</v>
      </c>
      <c r="M748" s="29">
        <f>SUMIFS(Cash_Flow_3[Amount],Cash_Flow_3[Bulan],H748,Cash_Flow_3[Type],"Out",Cash_Flow_3[Category],"Alfa")</f>
        <v>0</v>
      </c>
      <c r="N748" s="29">
        <f>SUMIFS(Cash_Flow_3[Amount],Cash_Flow_3[Bulan],H748,Cash_Flow_3[Type],"Out",Cash_Flow_3[Category],"Jajan")</f>
        <v>0</v>
      </c>
      <c r="O748" s="29">
        <f>SUMIFS(Cash_Flow_3[Amount],Cash_Flow_3[Bulan],H748,Cash_Flow_3[Type],"Out",Cash_Flow_3[Category],"Kitchen")</f>
        <v>0</v>
      </c>
      <c r="P748" s="29">
        <f>SUMIFS(Cash_Flow_3[Amount],Cash_Flow_3[Bulan],H748,Cash_Flow_3[Type],"Out",Cash_Flow_3[Category],"Loandry")</f>
        <v>0</v>
      </c>
      <c r="Q748" s="29">
        <f>SUMIFS(Cash_Flow_3[Amount],Cash_Flow_3[Bulan],H748,Cash_Flow_3[Type],"Out",Cash_Flow_3[Category],"Mio")</f>
        <v>0</v>
      </c>
      <c r="R748" s="29">
        <f>SUMIFS(Cash_Flow_3[Amount],Cash_Flow_3[Bulan],H748,Cash_Flow_3[Type],"Out",Cash_Flow_3[Category],"Sedekah")</f>
        <v>0</v>
      </c>
      <c r="S748" s="29">
        <f>SUMIFS(Cash_Flow_3[Amount],Cash_Flow_3[Bulan],H748,Cash_Flow_3[Type],"Out",Cash_Flow_3[Category],"Zela")</f>
        <v>0</v>
      </c>
      <c r="T748" s="29">
        <f>SUMIFS(Cash_Flow_3[Amount],Cash_Flow_3[Bulan],H748,Cash_Flow_3[Type],"Out",Cash_Flow_3[Category],"Iqbal")</f>
        <v>0</v>
      </c>
    </row>
    <row r="749" spans="1:20" ht="22.5" customHeight="1" x14ac:dyDescent="0.2">
      <c r="A749" s="23"/>
      <c r="B749" s="24"/>
      <c r="C749" s="25"/>
      <c r="D749" s="25"/>
      <c r="E749" s="25"/>
      <c r="F749" s="26"/>
      <c r="G749" s="27"/>
      <c r="H749" s="28" t="str">
        <f t="shared" si="0"/>
        <v/>
      </c>
      <c r="I749" s="29">
        <f>SUMIFS(Cash_Flow_3[Amount],Cash_Flow_3[Bulan],H749,Cash_Flow_3[Type],"In")</f>
        <v>0</v>
      </c>
      <c r="J749" s="29">
        <f>SUMIFS(Cash_Flow_3[Amount],Cash_Flow_3[Bulan],H749,Cash_Flow_3[Type],"Out")</f>
        <v>0</v>
      </c>
      <c r="K749" s="29">
        <f>SUMIFS(Cash_Flow_3[Amount],Cash_Flow_3[Bulan],H749,Cash_Flow_3[Type],"Out",Cash_Flow_3[Category],"Fix")</f>
        <v>0</v>
      </c>
      <c r="L749" s="29">
        <f>SUMIFS(Cash_Flow_3[Amount],Cash_Flow_3[Bulan],H749,Cash_Flow_3[Type],"Out",Cash_Flow_3[Category],"Bathroom")</f>
        <v>0</v>
      </c>
      <c r="M749" s="29">
        <f>SUMIFS(Cash_Flow_3[Amount],Cash_Flow_3[Bulan],H749,Cash_Flow_3[Type],"Out",Cash_Flow_3[Category],"Alfa")</f>
        <v>0</v>
      </c>
      <c r="N749" s="29">
        <f>SUMIFS(Cash_Flow_3[Amount],Cash_Flow_3[Bulan],H749,Cash_Flow_3[Type],"Out",Cash_Flow_3[Category],"Jajan")</f>
        <v>0</v>
      </c>
      <c r="O749" s="29">
        <f>SUMIFS(Cash_Flow_3[Amount],Cash_Flow_3[Bulan],H749,Cash_Flow_3[Type],"Out",Cash_Flow_3[Category],"Kitchen")</f>
        <v>0</v>
      </c>
      <c r="P749" s="29">
        <f>SUMIFS(Cash_Flow_3[Amount],Cash_Flow_3[Bulan],H749,Cash_Flow_3[Type],"Out",Cash_Flow_3[Category],"Loandry")</f>
        <v>0</v>
      </c>
      <c r="Q749" s="29">
        <f>SUMIFS(Cash_Flow_3[Amount],Cash_Flow_3[Bulan],H749,Cash_Flow_3[Type],"Out",Cash_Flow_3[Category],"Mio")</f>
        <v>0</v>
      </c>
      <c r="R749" s="29">
        <f>SUMIFS(Cash_Flow_3[Amount],Cash_Flow_3[Bulan],H749,Cash_Flow_3[Type],"Out",Cash_Flow_3[Category],"Sedekah")</f>
        <v>0</v>
      </c>
      <c r="S749" s="29">
        <f>SUMIFS(Cash_Flow_3[Amount],Cash_Flow_3[Bulan],H749,Cash_Flow_3[Type],"Out",Cash_Flow_3[Category],"Zela")</f>
        <v>0</v>
      </c>
      <c r="T749" s="29">
        <f>SUMIFS(Cash_Flow_3[Amount],Cash_Flow_3[Bulan],H749,Cash_Flow_3[Type],"Out",Cash_Flow_3[Category],"Iqbal")</f>
        <v>0</v>
      </c>
    </row>
    <row r="750" spans="1:20" ht="22.5" customHeight="1" x14ac:dyDescent="0.2">
      <c r="A750" s="23"/>
      <c r="B750" s="24"/>
      <c r="C750" s="25"/>
      <c r="D750" s="25"/>
      <c r="E750" s="25"/>
      <c r="F750" s="26"/>
      <c r="G750" s="27"/>
      <c r="H750" s="28" t="str">
        <f t="shared" si="0"/>
        <v/>
      </c>
      <c r="I750" s="29">
        <f>SUMIFS(Cash_Flow_3[Amount],Cash_Flow_3[Bulan],H750,Cash_Flow_3[Type],"In")</f>
        <v>0</v>
      </c>
      <c r="J750" s="29">
        <f>SUMIFS(Cash_Flow_3[Amount],Cash_Flow_3[Bulan],H750,Cash_Flow_3[Type],"Out")</f>
        <v>0</v>
      </c>
      <c r="K750" s="29">
        <f>SUMIFS(Cash_Flow_3[Amount],Cash_Flow_3[Bulan],H750,Cash_Flow_3[Type],"Out",Cash_Flow_3[Category],"Fix")</f>
        <v>0</v>
      </c>
      <c r="L750" s="29">
        <f>SUMIFS(Cash_Flow_3[Amount],Cash_Flow_3[Bulan],H750,Cash_Flow_3[Type],"Out",Cash_Flow_3[Category],"Bathroom")</f>
        <v>0</v>
      </c>
      <c r="M750" s="29">
        <f>SUMIFS(Cash_Flow_3[Amount],Cash_Flow_3[Bulan],H750,Cash_Flow_3[Type],"Out",Cash_Flow_3[Category],"Alfa")</f>
        <v>0</v>
      </c>
      <c r="N750" s="29">
        <f>SUMIFS(Cash_Flow_3[Amount],Cash_Flow_3[Bulan],H750,Cash_Flow_3[Type],"Out",Cash_Flow_3[Category],"Jajan")</f>
        <v>0</v>
      </c>
      <c r="O750" s="29">
        <f>SUMIFS(Cash_Flow_3[Amount],Cash_Flow_3[Bulan],H750,Cash_Flow_3[Type],"Out",Cash_Flow_3[Category],"Kitchen")</f>
        <v>0</v>
      </c>
      <c r="P750" s="29">
        <f>SUMIFS(Cash_Flow_3[Amount],Cash_Flow_3[Bulan],H750,Cash_Flow_3[Type],"Out",Cash_Flow_3[Category],"Loandry")</f>
        <v>0</v>
      </c>
      <c r="Q750" s="29">
        <f>SUMIFS(Cash_Flow_3[Amount],Cash_Flow_3[Bulan],H750,Cash_Flow_3[Type],"Out",Cash_Flow_3[Category],"Mio")</f>
        <v>0</v>
      </c>
      <c r="R750" s="29">
        <f>SUMIFS(Cash_Flow_3[Amount],Cash_Flow_3[Bulan],H750,Cash_Flow_3[Type],"Out",Cash_Flow_3[Category],"Sedekah")</f>
        <v>0</v>
      </c>
      <c r="S750" s="29">
        <f>SUMIFS(Cash_Flow_3[Amount],Cash_Flow_3[Bulan],H750,Cash_Flow_3[Type],"Out",Cash_Flow_3[Category],"Zela")</f>
        <v>0</v>
      </c>
      <c r="T750" s="29">
        <f>SUMIFS(Cash_Flow_3[Amount],Cash_Flow_3[Bulan],H750,Cash_Flow_3[Type],"Out",Cash_Flow_3[Category],"Iqbal")</f>
        <v>0</v>
      </c>
    </row>
    <row r="751" spans="1:20" ht="22.5" customHeight="1" x14ac:dyDescent="0.2">
      <c r="A751" s="23"/>
      <c r="B751" s="24"/>
      <c r="C751" s="25"/>
      <c r="D751" s="25"/>
      <c r="E751" s="25"/>
      <c r="F751" s="26"/>
      <c r="G751" s="27"/>
      <c r="H751" s="28" t="str">
        <f t="shared" si="0"/>
        <v/>
      </c>
      <c r="I751" s="29">
        <f>SUMIFS(Cash_Flow_3[Amount],Cash_Flow_3[Bulan],H751,Cash_Flow_3[Type],"In")</f>
        <v>0</v>
      </c>
      <c r="J751" s="29">
        <f>SUMIFS(Cash_Flow_3[Amount],Cash_Flow_3[Bulan],H751,Cash_Flow_3[Type],"Out")</f>
        <v>0</v>
      </c>
      <c r="K751" s="29">
        <f>SUMIFS(Cash_Flow_3[Amount],Cash_Flow_3[Bulan],H751,Cash_Flow_3[Type],"Out",Cash_Flow_3[Category],"Fix")</f>
        <v>0</v>
      </c>
      <c r="L751" s="29">
        <f>SUMIFS(Cash_Flow_3[Amount],Cash_Flow_3[Bulan],H751,Cash_Flow_3[Type],"Out",Cash_Flow_3[Category],"Bathroom")</f>
        <v>0</v>
      </c>
      <c r="M751" s="29">
        <f>SUMIFS(Cash_Flow_3[Amount],Cash_Flow_3[Bulan],H751,Cash_Flow_3[Type],"Out",Cash_Flow_3[Category],"Alfa")</f>
        <v>0</v>
      </c>
      <c r="N751" s="29">
        <f>SUMIFS(Cash_Flow_3[Amount],Cash_Flow_3[Bulan],H751,Cash_Flow_3[Type],"Out",Cash_Flow_3[Category],"Jajan")</f>
        <v>0</v>
      </c>
      <c r="O751" s="29">
        <f>SUMIFS(Cash_Flow_3[Amount],Cash_Flow_3[Bulan],H751,Cash_Flow_3[Type],"Out",Cash_Flow_3[Category],"Kitchen")</f>
        <v>0</v>
      </c>
      <c r="P751" s="29">
        <f>SUMIFS(Cash_Flow_3[Amount],Cash_Flow_3[Bulan],H751,Cash_Flow_3[Type],"Out",Cash_Flow_3[Category],"Loandry")</f>
        <v>0</v>
      </c>
      <c r="Q751" s="29">
        <f>SUMIFS(Cash_Flow_3[Amount],Cash_Flow_3[Bulan],H751,Cash_Flow_3[Type],"Out",Cash_Flow_3[Category],"Mio")</f>
        <v>0</v>
      </c>
      <c r="R751" s="29">
        <f>SUMIFS(Cash_Flow_3[Amount],Cash_Flow_3[Bulan],H751,Cash_Flow_3[Type],"Out",Cash_Flow_3[Category],"Sedekah")</f>
        <v>0</v>
      </c>
      <c r="S751" s="29">
        <f>SUMIFS(Cash_Flow_3[Amount],Cash_Flow_3[Bulan],H751,Cash_Flow_3[Type],"Out",Cash_Flow_3[Category],"Zela")</f>
        <v>0</v>
      </c>
      <c r="T751" s="29">
        <f>SUMIFS(Cash_Flow_3[Amount],Cash_Flow_3[Bulan],H751,Cash_Flow_3[Type],"Out",Cash_Flow_3[Category],"Iqbal")</f>
        <v>0</v>
      </c>
    </row>
    <row r="752" spans="1:20" ht="22.5" customHeight="1" x14ac:dyDescent="0.2">
      <c r="A752" s="23"/>
      <c r="B752" s="24"/>
      <c r="C752" s="25"/>
      <c r="D752" s="25"/>
      <c r="E752" s="25"/>
      <c r="F752" s="26"/>
      <c r="G752" s="27"/>
      <c r="H752" s="28" t="str">
        <f t="shared" si="0"/>
        <v/>
      </c>
      <c r="I752" s="29">
        <f>SUMIFS(Cash_Flow_3[Amount],Cash_Flow_3[Bulan],H752,Cash_Flow_3[Type],"In")</f>
        <v>0</v>
      </c>
      <c r="J752" s="29">
        <f>SUMIFS(Cash_Flow_3[Amount],Cash_Flow_3[Bulan],H752,Cash_Flow_3[Type],"Out")</f>
        <v>0</v>
      </c>
      <c r="K752" s="29">
        <f>SUMIFS(Cash_Flow_3[Amount],Cash_Flow_3[Bulan],H752,Cash_Flow_3[Type],"Out",Cash_Flow_3[Category],"Fix")</f>
        <v>0</v>
      </c>
      <c r="L752" s="29">
        <f>SUMIFS(Cash_Flow_3[Amount],Cash_Flow_3[Bulan],H752,Cash_Flow_3[Type],"Out",Cash_Flow_3[Category],"Bathroom")</f>
        <v>0</v>
      </c>
      <c r="M752" s="29">
        <f>SUMIFS(Cash_Flow_3[Amount],Cash_Flow_3[Bulan],H752,Cash_Flow_3[Type],"Out",Cash_Flow_3[Category],"Alfa")</f>
        <v>0</v>
      </c>
      <c r="N752" s="29">
        <f>SUMIFS(Cash_Flow_3[Amount],Cash_Flow_3[Bulan],H752,Cash_Flow_3[Type],"Out",Cash_Flow_3[Category],"Jajan")</f>
        <v>0</v>
      </c>
      <c r="O752" s="29">
        <f>SUMIFS(Cash_Flow_3[Amount],Cash_Flow_3[Bulan],H752,Cash_Flow_3[Type],"Out",Cash_Flow_3[Category],"Kitchen")</f>
        <v>0</v>
      </c>
      <c r="P752" s="29">
        <f>SUMIFS(Cash_Flow_3[Amount],Cash_Flow_3[Bulan],H752,Cash_Flow_3[Type],"Out",Cash_Flow_3[Category],"Loandry")</f>
        <v>0</v>
      </c>
      <c r="Q752" s="29">
        <f>SUMIFS(Cash_Flow_3[Amount],Cash_Flow_3[Bulan],H752,Cash_Flow_3[Type],"Out",Cash_Flow_3[Category],"Mio")</f>
        <v>0</v>
      </c>
      <c r="R752" s="29">
        <f>SUMIFS(Cash_Flow_3[Amount],Cash_Flow_3[Bulan],H752,Cash_Flow_3[Type],"Out",Cash_Flow_3[Category],"Sedekah")</f>
        <v>0</v>
      </c>
      <c r="S752" s="29">
        <f>SUMIFS(Cash_Flow_3[Amount],Cash_Flow_3[Bulan],H752,Cash_Flow_3[Type],"Out",Cash_Flow_3[Category],"Zela")</f>
        <v>0</v>
      </c>
      <c r="T752" s="29">
        <f>SUMIFS(Cash_Flow_3[Amount],Cash_Flow_3[Bulan],H752,Cash_Flow_3[Type],"Out",Cash_Flow_3[Category],"Iqbal")</f>
        <v>0</v>
      </c>
    </row>
    <row r="753" spans="1:20" ht="22.5" customHeight="1" x14ac:dyDescent="0.2">
      <c r="A753" s="23"/>
      <c r="B753" s="24"/>
      <c r="C753" s="25"/>
      <c r="D753" s="25"/>
      <c r="E753" s="25"/>
      <c r="F753" s="26"/>
      <c r="G753" s="27"/>
      <c r="H753" s="28" t="str">
        <f t="shared" si="0"/>
        <v/>
      </c>
      <c r="I753" s="29">
        <f>SUMIFS(Cash_Flow_3[Amount],Cash_Flow_3[Bulan],H753,Cash_Flow_3[Type],"In")</f>
        <v>0</v>
      </c>
      <c r="J753" s="29">
        <f>SUMIFS(Cash_Flow_3[Amount],Cash_Flow_3[Bulan],H753,Cash_Flow_3[Type],"Out")</f>
        <v>0</v>
      </c>
      <c r="K753" s="29">
        <f>SUMIFS(Cash_Flow_3[Amount],Cash_Flow_3[Bulan],H753,Cash_Flow_3[Type],"Out",Cash_Flow_3[Category],"Fix")</f>
        <v>0</v>
      </c>
      <c r="L753" s="29">
        <f>SUMIFS(Cash_Flow_3[Amount],Cash_Flow_3[Bulan],H753,Cash_Flow_3[Type],"Out",Cash_Flow_3[Category],"Bathroom")</f>
        <v>0</v>
      </c>
      <c r="M753" s="29">
        <f>SUMIFS(Cash_Flow_3[Amount],Cash_Flow_3[Bulan],H753,Cash_Flow_3[Type],"Out",Cash_Flow_3[Category],"Alfa")</f>
        <v>0</v>
      </c>
      <c r="N753" s="29">
        <f>SUMIFS(Cash_Flow_3[Amount],Cash_Flow_3[Bulan],H753,Cash_Flow_3[Type],"Out",Cash_Flow_3[Category],"Jajan")</f>
        <v>0</v>
      </c>
      <c r="O753" s="29">
        <f>SUMIFS(Cash_Flow_3[Amount],Cash_Flow_3[Bulan],H753,Cash_Flow_3[Type],"Out",Cash_Flow_3[Category],"Kitchen")</f>
        <v>0</v>
      </c>
      <c r="P753" s="29">
        <f>SUMIFS(Cash_Flow_3[Amount],Cash_Flow_3[Bulan],H753,Cash_Flow_3[Type],"Out",Cash_Flow_3[Category],"Loandry")</f>
        <v>0</v>
      </c>
      <c r="Q753" s="29">
        <f>SUMIFS(Cash_Flow_3[Amount],Cash_Flow_3[Bulan],H753,Cash_Flow_3[Type],"Out",Cash_Flow_3[Category],"Mio")</f>
        <v>0</v>
      </c>
      <c r="R753" s="29">
        <f>SUMIFS(Cash_Flow_3[Amount],Cash_Flow_3[Bulan],H753,Cash_Flow_3[Type],"Out",Cash_Flow_3[Category],"Sedekah")</f>
        <v>0</v>
      </c>
      <c r="S753" s="29">
        <f>SUMIFS(Cash_Flow_3[Amount],Cash_Flow_3[Bulan],H753,Cash_Flow_3[Type],"Out",Cash_Flow_3[Category],"Zela")</f>
        <v>0</v>
      </c>
      <c r="T753" s="29">
        <f>SUMIFS(Cash_Flow_3[Amount],Cash_Flow_3[Bulan],H753,Cash_Flow_3[Type],"Out",Cash_Flow_3[Category],"Iqbal")</f>
        <v>0</v>
      </c>
    </row>
    <row r="754" spans="1:20" ht="22.5" customHeight="1" x14ac:dyDescent="0.2">
      <c r="A754" s="23"/>
      <c r="B754" s="24"/>
      <c r="C754" s="25"/>
      <c r="D754" s="25"/>
      <c r="E754" s="25"/>
      <c r="F754" s="26"/>
      <c r="G754" s="27"/>
      <c r="H754" s="28" t="str">
        <f t="shared" si="0"/>
        <v/>
      </c>
      <c r="I754" s="29">
        <f>SUMIFS(Cash_Flow_3[Amount],Cash_Flow_3[Bulan],H754,Cash_Flow_3[Type],"In")</f>
        <v>0</v>
      </c>
      <c r="J754" s="29">
        <f>SUMIFS(Cash_Flow_3[Amount],Cash_Flow_3[Bulan],H754,Cash_Flow_3[Type],"Out")</f>
        <v>0</v>
      </c>
      <c r="K754" s="29">
        <f>SUMIFS(Cash_Flow_3[Amount],Cash_Flow_3[Bulan],H754,Cash_Flow_3[Type],"Out",Cash_Flow_3[Category],"Fix")</f>
        <v>0</v>
      </c>
      <c r="L754" s="29">
        <f>SUMIFS(Cash_Flow_3[Amount],Cash_Flow_3[Bulan],H754,Cash_Flow_3[Type],"Out",Cash_Flow_3[Category],"Bathroom")</f>
        <v>0</v>
      </c>
      <c r="M754" s="29">
        <f>SUMIFS(Cash_Flow_3[Amount],Cash_Flow_3[Bulan],H754,Cash_Flow_3[Type],"Out",Cash_Flow_3[Category],"Alfa")</f>
        <v>0</v>
      </c>
      <c r="N754" s="29">
        <f>SUMIFS(Cash_Flow_3[Amount],Cash_Flow_3[Bulan],H754,Cash_Flow_3[Type],"Out",Cash_Flow_3[Category],"Jajan")</f>
        <v>0</v>
      </c>
      <c r="O754" s="29">
        <f>SUMIFS(Cash_Flow_3[Amount],Cash_Flow_3[Bulan],H754,Cash_Flow_3[Type],"Out",Cash_Flow_3[Category],"Kitchen")</f>
        <v>0</v>
      </c>
      <c r="P754" s="29">
        <f>SUMIFS(Cash_Flow_3[Amount],Cash_Flow_3[Bulan],H754,Cash_Flow_3[Type],"Out",Cash_Flow_3[Category],"Loandry")</f>
        <v>0</v>
      </c>
      <c r="Q754" s="29">
        <f>SUMIFS(Cash_Flow_3[Amount],Cash_Flow_3[Bulan],H754,Cash_Flow_3[Type],"Out",Cash_Flow_3[Category],"Mio")</f>
        <v>0</v>
      </c>
      <c r="R754" s="29">
        <f>SUMIFS(Cash_Flow_3[Amount],Cash_Flow_3[Bulan],H754,Cash_Flow_3[Type],"Out",Cash_Flow_3[Category],"Sedekah")</f>
        <v>0</v>
      </c>
      <c r="S754" s="29">
        <f>SUMIFS(Cash_Flow_3[Amount],Cash_Flow_3[Bulan],H754,Cash_Flow_3[Type],"Out",Cash_Flow_3[Category],"Zela")</f>
        <v>0</v>
      </c>
      <c r="T754" s="29">
        <f>SUMIFS(Cash_Flow_3[Amount],Cash_Flow_3[Bulan],H754,Cash_Flow_3[Type],"Out",Cash_Flow_3[Category],"Iqbal")</f>
        <v>0</v>
      </c>
    </row>
    <row r="755" spans="1:20" ht="22.5" customHeight="1" x14ac:dyDescent="0.2">
      <c r="A755" s="23"/>
      <c r="B755" s="24"/>
      <c r="C755" s="25"/>
      <c r="D755" s="25"/>
      <c r="E755" s="25"/>
      <c r="F755" s="26"/>
      <c r="G755" s="27"/>
      <c r="H755" s="28" t="str">
        <f t="shared" si="0"/>
        <v/>
      </c>
      <c r="I755" s="29">
        <f>SUMIFS(Cash_Flow_3[Amount],Cash_Flow_3[Bulan],H755,Cash_Flow_3[Type],"In")</f>
        <v>0</v>
      </c>
      <c r="J755" s="29">
        <f>SUMIFS(Cash_Flow_3[Amount],Cash_Flow_3[Bulan],H755,Cash_Flow_3[Type],"Out")</f>
        <v>0</v>
      </c>
      <c r="K755" s="29">
        <f>SUMIFS(Cash_Flow_3[Amount],Cash_Flow_3[Bulan],H755,Cash_Flow_3[Type],"Out",Cash_Flow_3[Category],"Fix")</f>
        <v>0</v>
      </c>
      <c r="L755" s="29">
        <f>SUMIFS(Cash_Flow_3[Amount],Cash_Flow_3[Bulan],H755,Cash_Flow_3[Type],"Out",Cash_Flow_3[Category],"Bathroom")</f>
        <v>0</v>
      </c>
      <c r="M755" s="29">
        <f>SUMIFS(Cash_Flow_3[Amount],Cash_Flow_3[Bulan],H755,Cash_Flow_3[Type],"Out",Cash_Flow_3[Category],"Alfa")</f>
        <v>0</v>
      </c>
      <c r="N755" s="29">
        <f>SUMIFS(Cash_Flow_3[Amount],Cash_Flow_3[Bulan],H755,Cash_Flow_3[Type],"Out",Cash_Flow_3[Category],"Jajan")</f>
        <v>0</v>
      </c>
      <c r="O755" s="29">
        <f>SUMIFS(Cash_Flow_3[Amount],Cash_Flow_3[Bulan],H755,Cash_Flow_3[Type],"Out",Cash_Flow_3[Category],"Kitchen")</f>
        <v>0</v>
      </c>
      <c r="P755" s="29">
        <f>SUMIFS(Cash_Flow_3[Amount],Cash_Flow_3[Bulan],H755,Cash_Flow_3[Type],"Out",Cash_Flow_3[Category],"Loandry")</f>
        <v>0</v>
      </c>
      <c r="Q755" s="29">
        <f>SUMIFS(Cash_Flow_3[Amount],Cash_Flow_3[Bulan],H755,Cash_Flow_3[Type],"Out",Cash_Flow_3[Category],"Mio")</f>
        <v>0</v>
      </c>
      <c r="R755" s="29">
        <f>SUMIFS(Cash_Flow_3[Amount],Cash_Flow_3[Bulan],H755,Cash_Flow_3[Type],"Out",Cash_Flow_3[Category],"Sedekah")</f>
        <v>0</v>
      </c>
      <c r="S755" s="29">
        <f>SUMIFS(Cash_Flow_3[Amount],Cash_Flow_3[Bulan],H755,Cash_Flow_3[Type],"Out",Cash_Flow_3[Category],"Zela")</f>
        <v>0</v>
      </c>
      <c r="T755" s="29">
        <f>SUMIFS(Cash_Flow_3[Amount],Cash_Flow_3[Bulan],H755,Cash_Flow_3[Type],"Out",Cash_Flow_3[Category],"Iqbal")</f>
        <v>0</v>
      </c>
    </row>
    <row r="756" spans="1:20" ht="22.5" customHeight="1" x14ac:dyDescent="0.2">
      <c r="A756" s="23"/>
      <c r="B756" s="24"/>
      <c r="C756" s="25"/>
      <c r="D756" s="25"/>
      <c r="E756" s="25"/>
      <c r="F756" s="26"/>
      <c r="G756" s="27"/>
      <c r="H756" s="28" t="str">
        <f t="shared" si="0"/>
        <v/>
      </c>
      <c r="I756" s="29">
        <f>SUMIFS(Cash_Flow_3[Amount],Cash_Flow_3[Bulan],H756,Cash_Flow_3[Type],"In")</f>
        <v>0</v>
      </c>
      <c r="J756" s="29">
        <f>SUMIFS(Cash_Flow_3[Amount],Cash_Flow_3[Bulan],H756,Cash_Flow_3[Type],"Out")</f>
        <v>0</v>
      </c>
      <c r="K756" s="29">
        <f>SUMIFS(Cash_Flow_3[Amount],Cash_Flow_3[Bulan],H756,Cash_Flow_3[Type],"Out",Cash_Flow_3[Category],"Fix")</f>
        <v>0</v>
      </c>
      <c r="L756" s="29">
        <f>SUMIFS(Cash_Flow_3[Amount],Cash_Flow_3[Bulan],H756,Cash_Flow_3[Type],"Out",Cash_Flow_3[Category],"Bathroom")</f>
        <v>0</v>
      </c>
      <c r="M756" s="29">
        <f>SUMIFS(Cash_Flow_3[Amount],Cash_Flow_3[Bulan],H756,Cash_Flow_3[Type],"Out",Cash_Flow_3[Category],"Alfa")</f>
        <v>0</v>
      </c>
      <c r="N756" s="29">
        <f>SUMIFS(Cash_Flow_3[Amount],Cash_Flow_3[Bulan],H756,Cash_Flow_3[Type],"Out",Cash_Flow_3[Category],"Jajan")</f>
        <v>0</v>
      </c>
      <c r="O756" s="29">
        <f>SUMIFS(Cash_Flow_3[Amount],Cash_Flow_3[Bulan],H756,Cash_Flow_3[Type],"Out",Cash_Flow_3[Category],"Kitchen")</f>
        <v>0</v>
      </c>
      <c r="P756" s="29">
        <f>SUMIFS(Cash_Flow_3[Amount],Cash_Flow_3[Bulan],H756,Cash_Flow_3[Type],"Out",Cash_Flow_3[Category],"Loandry")</f>
        <v>0</v>
      </c>
      <c r="Q756" s="29">
        <f>SUMIFS(Cash_Flow_3[Amount],Cash_Flow_3[Bulan],H756,Cash_Flow_3[Type],"Out",Cash_Flow_3[Category],"Mio")</f>
        <v>0</v>
      </c>
      <c r="R756" s="29">
        <f>SUMIFS(Cash_Flow_3[Amount],Cash_Flow_3[Bulan],H756,Cash_Flow_3[Type],"Out",Cash_Flow_3[Category],"Sedekah")</f>
        <v>0</v>
      </c>
      <c r="S756" s="29">
        <f>SUMIFS(Cash_Flow_3[Amount],Cash_Flow_3[Bulan],H756,Cash_Flow_3[Type],"Out",Cash_Flow_3[Category],"Zela")</f>
        <v>0</v>
      </c>
      <c r="T756" s="29">
        <f>SUMIFS(Cash_Flow_3[Amount],Cash_Flow_3[Bulan],H756,Cash_Flow_3[Type],"Out",Cash_Flow_3[Category],"Iqbal")</f>
        <v>0</v>
      </c>
    </row>
    <row r="757" spans="1:20" ht="22.5" customHeight="1" x14ac:dyDescent="0.2">
      <c r="A757" s="23"/>
      <c r="B757" s="24"/>
      <c r="C757" s="25"/>
      <c r="D757" s="25"/>
      <c r="E757" s="25"/>
      <c r="F757" s="26"/>
      <c r="G757" s="27"/>
      <c r="H757" s="28" t="str">
        <f t="shared" si="0"/>
        <v/>
      </c>
      <c r="I757" s="29">
        <f>SUMIFS(Cash_Flow_3[Amount],Cash_Flow_3[Bulan],H757,Cash_Flow_3[Type],"In")</f>
        <v>0</v>
      </c>
      <c r="J757" s="29">
        <f>SUMIFS(Cash_Flow_3[Amount],Cash_Flow_3[Bulan],H757,Cash_Flow_3[Type],"Out")</f>
        <v>0</v>
      </c>
      <c r="K757" s="29">
        <f>SUMIFS(Cash_Flow_3[Amount],Cash_Flow_3[Bulan],H757,Cash_Flow_3[Type],"Out",Cash_Flow_3[Category],"Fix")</f>
        <v>0</v>
      </c>
      <c r="L757" s="29">
        <f>SUMIFS(Cash_Flow_3[Amount],Cash_Flow_3[Bulan],H757,Cash_Flow_3[Type],"Out",Cash_Flow_3[Category],"Bathroom")</f>
        <v>0</v>
      </c>
      <c r="M757" s="29">
        <f>SUMIFS(Cash_Flow_3[Amount],Cash_Flow_3[Bulan],H757,Cash_Flow_3[Type],"Out",Cash_Flow_3[Category],"Alfa")</f>
        <v>0</v>
      </c>
      <c r="N757" s="29">
        <f>SUMIFS(Cash_Flow_3[Amount],Cash_Flow_3[Bulan],H757,Cash_Flow_3[Type],"Out",Cash_Flow_3[Category],"Jajan")</f>
        <v>0</v>
      </c>
      <c r="O757" s="29">
        <f>SUMIFS(Cash_Flow_3[Amount],Cash_Flow_3[Bulan],H757,Cash_Flow_3[Type],"Out",Cash_Flow_3[Category],"Kitchen")</f>
        <v>0</v>
      </c>
      <c r="P757" s="29">
        <f>SUMIFS(Cash_Flow_3[Amount],Cash_Flow_3[Bulan],H757,Cash_Flow_3[Type],"Out",Cash_Flow_3[Category],"Loandry")</f>
        <v>0</v>
      </c>
      <c r="Q757" s="29">
        <f>SUMIFS(Cash_Flow_3[Amount],Cash_Flow_3[Bulan],H757,Cash_Flow_3[Type],"Out",Cash_Flow_3[Category],"Mio")</f>
        <v>0</v>
      </c>
      <c r="R757" s="29">
        <f>SUMIFS(Cash_Flow_3[Amount],Cash_Flow_3[Bulan],H757,Cash_Flow_3[Type],"Out",Cash_Flow_3[Category],"Sedekah")</f>
        <v>0</v>
      </c>
      <c r="S757" s="29">
        <f>SUMIFS(Cash_Flow_3[Amount],Cash_Flow_3[Bulan],H757,Cash_Flow_3[Type],"Out",Cash_Flow_3[Category],"Zela")</f>
        <v>0</v>
      </c>
      <c r="T757" s="29">
        <f>SUMIFS(Cash_Flow_3[Amount],Cash_Flow_3[Bulan],H757,Cash_Flow_3[Type],"Out",Cash_Flow_3[Category],"Iqbal")</f>
        <v>0</v>
      </c>
    </row>
    <row r="758" spans="1:20" ht="22.5" customHeight="1" x14ac:dyDescent="0.2">
      <c r="A758" s="23"/>
      <c r="B758" s="24"/>
      <c r="C758" s="25"/>
      <c r="D758" s="25"/>
      <c r="E758" s="25"/>
      <c r="F758" s="26"/>
      <c r="G758" s="27"/>
      <c r="H758" s="28" t="str">
        <f t="shared" si="0"/>
        <v/>
      </c>
      <c r="I758" s="29">
        <f>SUMIFS(Cash_Flow_3[Amount],Cash_Flow_3[Bulan],H758,Cash_Flow_3[Type],"In")</f>
        <v>0</v>
      </c>
      <c r="J758" s="29">
        <f>SUMIFS(Cash_Flow_3[Amount],Cash_Flow_3[Bulan],H758,Cash_Flow_3[Type],"Out")</f>
        <v>0</v>
      </c>
      <c r="K758" s="29">
        <f>SUMIFS(Cash_Flow_3[Amount],Cash_Flow_3[Bulan],H758,Cash_Flow_3[Type],"Out",Cash_Flow_3[Category],"Fix")</f>
        <v>0</v>
      </c>
      <c r="L758" s="29">
        <f>SUMIFS(Cash_Flow_3[Amount],Cash_Flow_3[Bulan],H758,Cash_Flow_3[Type],"Out",Cash_Flow_3[Category],"Bathroom")</f>
        <v>0</v>
      </c>
      <c r="M758" s="29">
        <f>SUMIFS(Cash_Flow_3[Amount],Cash_Flow_3[Bulan],H758,Cash_Flow_3[Type],"Out",Cash_Flow_3[Category],"Alfa")</f>
        <v>0</v>
      </c>
      <c r="N758" s="29">
        <f>SUMIFS(Cash_Flow_3[Amount],Cash_Flow_3[Bulan],H758,Cash_Flow_3[Type],"Out",Cash_Flow_3[Category],"Jajan")</f>
        <v>0</v>
      </c>
      <c r="O758" s="29">
        <f>SUMIFS(Cash_Flow_3[Amount],Cash_Flow_3[Bulan],H758,Cash_Flow_3[Type],"Out",Cash_Flow_3[Category],"Kitchen")</f>
        <v>0</v>
      </c>
      <c r="P758" s="29">
        <f>SUMIFS(Cash_Flow_3[Amount],Cash_Flow_3[Bulan],H758,Cash_Flow_3[Type],"Out",Cash_Flow_3[Category],"Loandry")</f>
        <v>0</v>
      </c>
      <c r="Q758" s="29">
        <f>SUMIFS(Cash_Flow_3[Amount],Cash_Flow_3[Bulan],H758,Cash_Flow_3[Type],"Out",Cash_Flow_3[Category],"Mio")</f>
        <v>0</v>
      </c>
      <c r="R758" s="29">
        <f>SUMIFS(Cash_Flow_3[Amount],Cash_Flow_3[Bulan],H758,Cash_Flow_3[Type],"Out",Cash_Flow_3[Category],"Sedekah")</f>
        <v>0</v>
      </c>
      <c r="S758" s="29">
        <f>SUMIFS(Cash_Flow_3[Amount],Cash_Flow_3[Bulan],H758,Cash_Flow_3[Type],"Out",Cash_Flow_3[Category],"Zela")</f>
        <v>0</v>
      </c>
      <c r="T758" s="29">
        <f>SUMIFS(Cash_Flow_3[Amount],Cash_Flow_3[Bulan],H758,Cash_Flow_3[Type],"Out",Cash_Flow_3[Category],"Iqbal")</f>
        <v>0</v>
      </c>
    </row>
    <row r="759" spans="1:20" ht="22.5" customHeight="1" x14ac:dyDescent="0.2">
      <c r="A759" s="23"/>
      <c r="B759" s="24"/>
      <c r="C759" s="25"/>
      <c r="D759" s="25"/>
      <c r="E759" s="25"/>
      <c r="F759" s="26"/>
      <c r="G759" s="27"/>
      <c r="H759" s="28" t="str">
        <f t="shared" si="0"/>
        <v/>
      </c>
      <c r="I759" s="29">
        <f>SUMIFS(Cash_Flow_3[Amount],Cash_Flow_3[Bulan],H759,Cash_Flow_3[Type],"In")</f>
        <v>0</v>
      </c>
      <c r="J759" s="29">
        <f>SUMIFS(Cash_Flow_3[Amount],Cash_Flow_3[Bulan],H759,Cash_Flow_3[Type],"Out")</f>
        <v>0</v>
      </c>
      <c r="K759" s="29">
        <f>SUMIFS(Cash_Flow_3[Amount],Cash_Flow_3[Bulan],H759,Cash_Flow_3[Type],"Out",Cash_Flow_3[Category],"Fix")</f>
        <v>0</v>
      </c>
      <c r="L759" s="29">
        <f>SUMIFS(Cash_Flow_3[Amount],Cash_Flow_3[Bulan],H759,Cash_Flow_3[Type],"Out",Cash_Flow_3[Category],"Bathroom")</f>
        <v>0</v>
      </c>
      <c r="M759" s="29">
        <f>SUMIFS(Cash_Flow_3[Amount],Cash_Flow_3[Bulan],H759,Cash_Flow_3[Type],"Out",Cash_Flow_3[Category],"Alfa")</f>
        <v>0</v>
      </c>
      <c r="N759" s="29">
        <f>SUMIFS(Cash_Flow_3[Amount],Cash_Flow_3[Bulan],H759,Cash_Flow_3[Type],"Out",Cash_Flow_3[Category],"Jajan")</f>
        <v>0</v>
      </c>
      <c r="O759" s="29">
        <f>SUMIFS(Cash_Flow_3[Amount],Cash_Flow_3[Bulan],H759,Cash_Flow_3[Type],"Out",Cash_Flow_3[Category],"Kitchen")</f>
        <v>0</v>
      </c>
      <c r="P759" s="29">
        <f>SUMIFS(Cash_Flow_3[Amount],Cash_Flow_3[Bulan],H759,Cash_Flow_3[Type],"Out",Cash_Flow_3[Category],"Loandry")</f>
        <v>0</v>
      </c>
      <c r="Q759" s="29">
        <f>SUMIFS(Cash_Flow_3[Amount],Cash_Flow_3[Bulan],H759,Cash_Flow_3[Type],"Out",Cash_Flow_3[Category],"Mio")</f>
        <v>0</v>
      </c>
      <c r="R759" s="29">
        <f>SUMIFS(Cash_Flow_3[Amount],Cash_Flow_3[Bulan],H759,Cash_Flow_3[Type],"Out",Cash_Flow_3[Category],"Sedekah")</f>
        <v>0</v>
      </c>
      <c r="S759" s="29">
        <f>SUMIFS(Cash_Flow_3[Amount],Cash_Flow_3[Bulan],H759,Cash_Flow_3[Type],"Out",Cash_Flow_3[Category],"Zela")</f>
        <v>0</v>
      </c>
      <c r="T759" s="29">
        <f>SUMIFS(Cash_Flow_3[Amount],Cash_Flow_3[Bulan],H759,Cash_Flow_3[Type],"Out",Cash_Flow_3[Category],"Iqbal")</f>
        <v>0</v>
      </c>
    </row>
    <row r="760" spans="1:20" ht="22.5" customHeight="1" x14ac:dyDescent="0.2">
      <c r="A760" s="23"/>
      <c r="B760" s="24"/>
      <c r="C760" s="25"/>
      <c r="D760" s="25"/>
      <c r="E760" s="25"/>
      <c r="F760" s="26"/>
      <c r="G760" s="27"/>
      <c r="H760" s="28" t="str">
        <f t="shared" si="0"/>
        <v/>
      </c>
      <c r="I760" s="29">
        <f>SUMIFS(Cash_Flow_3[Amount],Cash_Flow_3[Bulan],H760,Cash_Flow_3[Type],"In")</f>
        <v>0</v>
      </c>
      <c r="J760" s="29">
        <f>SUMIFS(Cash_Flow_3[Amount],Cash_Flow_3[Bulan],H760,Cash_Flow_3[Type],"Out")</f>
        <v>0</v>
      </c>
      <c r="K760" s="29">
        <f>SUMIFS(Cash_Flow_3[Amount],Cash_Flow_3[Bulan],H760,Cash_Flow_3[Type],"Out",Cash_Flow_3[Category],"Fix")</f>
        <v>0</v>
      </c>
      <c r="L760" s="29">
        <f>SUMIFS(Cash_Flow_3[Amount],Cash_Flow_3[Bulan],H760,Cash_Flow_3[Type],"Out",Cash_Flow_3[Category],"Bathroom")</f>
        <v>0</v>
      </c>
      <c r="M760" s="29">
        <f>SUMIFS(Cash_Flow_3[Amount],Cash_Flow_3[Bulan],H760,Cash_Flow_3[Type],"Out",Cash_Flow_3[Category],"Alfa")</f>
        <v>0</v>
      </c>
      <c r="N760" s="29">
        <f>SUMIFS(Cash_Flow_3[Amount],Cash_Flow_3[Bulan],H760,Cash_Flow_3[Type],"Out",Cash_Flow_3[Category],"Jajan")</f>
        <v>0</v>
      </c>
      <c r="O760" s="29">
        <f>SUMIFS(Cash_Flow_3[Amount],Cash_Flow_3[Bulan],H760,Cash_Flow_3[Type],"Out",Cash_Flow_3[Category],"Kitchen")</f>
        <v>0</v>
      </c>
      <c r="P760" s="29">
        <f>SUMIFS(Cash_Flow_3[Amount],Cash_Flow_3[Bulan],H760,Cash_Flow_3[Type],"Out",Cash_Flow_3[Category],"Loandry")</f>
        <v>0</v>
      </c>
      <c r="Q760" s="29">
        <f>SUMIFS(Cash_Flow_3[Amount],Cash_Flow_3[Bulan],H760,Cash_Flow_3[Type],"Out",Cash_Flow_3[Category],"Mio")</f>
        <v>0</v>
      </c>
      <c r="R760" s="29">
        <f>SUMIFS(Cash_Flow_3[Amount],Cash_Flow_3[Bulan],H760,Cash_Flow_3[Type],"Out",Cash_Flow_3[Category],"Sedekah")</f>
        <v>0</v>
      </c>
      <c r="S760" s="29">
        <f>SUMIFS(Cash_Flow_3[Amount],Cash_Flow_3[Bulan],H760,Cash_Flow_3[Type],"Out",Cash_Flow_3[Category],"Zela")</f>
        <v>0</v>
      </c>
      <c r="T760" s="29">
        <f>SUMIFS(Cash_Flow_3[Amount],Cash_Flow_3[Bulan],H760,Cash_Flow_3[Type],"Out",Cash_Flow_3[Category],"Iqbal")</f>
        <v>0</v>
      </c>
    </row>
    <row r="761" spans="1:20" ht="22.5" customHeight="1" x14ac:dyDescent="0.2">
      <c r="A761" s="23"/>
      <c r="B761" s="24"/>
      <c r="C761" s="25"/>
      <c r="D761" s="25"/>
      <c r="E761" s="25"/>
      <c r="F761" s="26"/>
      <c r="G761" s="27"/>
      <c r="H761" s="28" t="str">
        <f t="shared" si="0"/>
        <v/>
      </c>
      <c r="I761" s="29">
        <f>SUMIFS(Cash_Flow_3[Amount],Cash_Flow_3[Bulan],H761,Cash_Flow_3[Type],"In")</f>
        <v>0</v>
      </c>
      <c r="J761" s="29">
        <f>SUMIFS(Cash_Flow_3[Amount],Cash_Flow_3[Bulan],H761,Cash_Flow_3[Type],"Out")</f>
        <v>0</v>
      </c>
      <c r="K761" s="29">
        <f>SUMIFS(Cash_Flow_3[Amount],Cash_Flow_3[Bulan],H761,Cash_Flow_3[Type],"Out",Cash_Flow_3[Category],"Fix")</f>
        <v>0</v>
      </c>
      <c r="L761" s="29">
        <f>SUMIFS(Cash_Flow_3[Amount],Cash_Flow_3[Bulan],H761,Cash_Flow_3[Type],"Out",Cash_Flow_3[Category],"Bathroom")</f>
        <v>0</v>
      </c>
      <c r="M761" s="29">
        <f>SUMIFS(Cash_Flow_3[Amount],Cash_Flow_3[Bulan],H761,Cash_Flow_3[Type],"Out",Cash_Flow_3[Category],"Alfa")</f>
        <v>0</v>
      </c>
      <c r="N761" s="29">
        <f>SUMIFS(Cash_Flow_3[Amount],Cash_Flow_3[Bulan],H761,Cash_Flow_3[Type],"Out",Cash_Flow_3[Category],"Jajan")</f>
        <v>0</v>
      </c>
      <c r="O761" s="29">
        <f>SUMIFS(Cash_Flow_3[Amount],Cash_Flow_3[Bulan],H761,Cash_Flow_3[Type],"Out",Cash_Flow_3[Category],"Kitchen")</f>
        <v>0</v>
      </c>
      <c r="P761" s="29">
        <f>SUMIFS(Cash_Flow_3[Amount],Cash_Flow_3[Bulan],H761,Cash_Flow_3[Type],"Out",Cash_Flow_3[Category],"Loandry")</f>
        <v>0</v>
      </c>
      <c r="Q761" s="29">
        <f>SUMIFS(Cash_Flow_3[Amount],Cash_Flow_3[Bulan],H761,Cash_Flow_3[Type],"Out",Cash_Flow_3[Category],"Mio")</f>
        <v>0</v>
      </c>
      <c r="R761" s="29">
        <f>SUMIFS(Cash_Flow_3[Amount],Cash_Flow_3[Bulan],H761,Cash_Flow_3[Type],"Out",Cash_Flow_3[Category],"Sedekah")</f>
        <v>0</v>
      </c>
      <c r="S761" s="29">
        <f>SUMIFS(Cash_Flow_3[Amount],Cash_Flow_3[Bulan],H761,Cash_Flow_3[Type],"Out",Cash_Flow_3[Category],"Zela")</f>
        <v>0</v>
      </c>
      <c r="T761" s="29">
        <f>SUMIFS(Cash_Flow_3[Amount],Cash_Flow_3[Bulan],H761,Cash_Flow_3[Type],"Out",Cash_Flow_3[Category],"Iqbal")</f>
        <v>0</v>
      </c>
    </row>
    <row r="762" spans="1:20" ht="22.5" customHeight="1" x14ac:dyDescent="0.2">
      <c r="A762" s="23"/>
      <c r="B762" s="24"/>
      <c r="C762" s="25"/>
      <c r="D762" s="25"/>
      <c r="E762" s="25"/>
      <c r="F762" s="26"/>
      <c r="G762" s="27"/>
      <c r="H762" s="28" t="str">
        <f t="shared" si="0"/>
        <v/>
      </c>
      <c r="I762" s="29">
        <f>SUMIFS(Cash_Flow_3[Amount],Cash_Flow_3[Bulan],H762,Cash_Flow_3[Type],"In")</f>
        <v>0</v>
      </c>
      <c r="J762" s="29">
        <f>SUMIFS(Cash_Flow_3[Amount],Cash_Flow_3[Bulan],H762,Cash_Flow_3[Type],"Out")</f>
        <v>0</v>
      </c>
      <c r="K762" s="29">
        <f>SUMIFS(Cash_Flow_3[Amount],Cash_Flow_3[Bulan],H762,Cash_Flow_3[Type],"Out",Cash_Flow_3[Category],"Fix")</f>
        <v>0</v>
      </c>
      <c r="L762" s="29">
        <f>SUMIFS(Cash_Flow_3[Amount],Cash_Flow_3[Bulan],H762,Cash_Flow_3[Type],"Out",Cash_Flow_3[Category],"Bathroom")</f>
        <v>0</v>
      </c>
      <c r="M762" s="29">
        <f>SUMIFS(Cash_Flow_3[Amount],Cash_Flow_3[Bulan],H762,Cash_Flow_3[Type],"Out",Cash_Flow_3[Category],"Alfa")</f>
        <v>0</v>
      </c>
      <c r="N762" s="29">
        <f>SUMIFS(Cash_Flow_3[Amount],Cash_Flow_3[Bulan],H762,Cash_Flow_3[Type],"Out",Cash_Flow_3[Category],"Jajan")</f>
        <v>0</v>
      </c>
      <c r="O762" s="29">
        <f>SUMIFS(Cash_Flow_3[Amount],Cash_Flow_3[Bulan],H762,Cash_Flow_3[Type],"Out",Cash_Flow_3[Category],"Kitchen")</f>
        <v>0</v>
      </c>
      <c r="P762" s="29">
        <f>SUMIFS(Cash_Flow_3[Amount],Cash_Flow_3[Bulan],H762,Cash_Flow_3[Type],"Out",Cash_Flow_3[Category],"Loandry")</f>
        <v>0</v>
      </c>
      <c r="Q762" s="29">
        <f>SUMIFS(Cash_Flow_3[Amount],Cash_Flow_3[Bulan],H762,Cash_Flow_3[Type],"Out",Cash_Flow_3[Category],"Mio")</f>
        <v>0</v>
      </c>
      <c r="R762" s="29">
        <f>SUMIFS(Cash_Flow_3[Amount],Cash_Flow_3[Bulan],H762,Cash_Flow_3[Type],"Out",Cash_Flow_3[Category],"Sedekah")</f>
        <v>0</v>
      </c>
      <c r="S762" s="29">
        <f>SUMIFS(Cash_Flow_3[Amount],Cash_Flow_3[Bulan],H762,Cash_Flow_3[Type],"Out",Cash_Flow_3[Category],"Zela")</f>
        <v>0</v>
      </c>
      <c r="T762" s="29">
        <f>SUMIFS(Cash_Flow_3[Amount],Cash_Flow_3[Bulan],H762,Cash_Flow_3[Type],"Out",Cash_Flow_3[Category],"Iqbal")</f>
        <v>0</v>
      </c>
    </row>
    <row r="763" spans="1:20" ht="22.5" customHeight="1" x14ac:dyDescent="0.2">
      <c r="A763" s="23"/>
      <c r="B763" s="24"/>
      <c r="C763" s="25"/>
      <c r="D763" s="25"/>
      <c r="E763" s="25"/>
      <c r="F763" s="26"/>
      <c r="G763" s="27"/>
      <c r="H763" s="28" t="str">
        <f t="shared" si="0"/>
        <v/>
      </c>
      <c r="I763" s="29">
        <f>SUMIFS(Cash_Flow_3[Amount],Cash_Flow_3[Bulan],H763,Cash_Flow_3[Type],"In")</f>
        <v>0</v>
      </c>
      <c r="J763" s="29">
        <f>SUMIFS(Cash_Flow_3[Amount],Cash_Flow_3[Bulan],H763,Cash_Flow_3[Type],"Out")</f>
        <v>0</v>
      </c>
      <c r="K763" s="29">
        <f>SUMIFS(Cash_Flow_3[Amount],Cash_Flow_3[Bulan],H763,Cash_Flow_3[Type],"Out",Cash_Flow_3[Category],"Fix")</f>
        <v>0</v>
      </c>
      <c r="L763" s="29">
        <f>SUMIFS(Cash_Flow_3[Amount],Cash_Flow_3[Bulan],H763,Cash_Flow_3[Type],"Out",Cash_Flow_3[Category],"Bathroom")</f>
        <v>0</v>
      </c>
      <c r="M763" s="29">
        <f>SUMIFS(Cash_Flow_3[Amount],Cash_Flow_3[Bulan],H763,Cash_Flow_3[Type],"Out",Cash_Flow_3[Category],"Alfa")</f>
        <v>0</v>
      </c>
      <c r="N763" s="29">
        <f>SUMIFS(Cash_Flow_3[Amount],Cash_Flow_3[Bulan],H763,Cash_Flow_3[Type],"Out",Cash_Flow_3[Category],"Jajan")</f>
        <v>0</v>
      </c>
      <c r="O763" s="29">
        <f>SUMIFS(Cash_Flow_3[Amount],Cash_Flow_3[Bulan],H763,Cash_Flow_3[Type],"Out",Cash_Flow_3[Category],"Kitchen")</f>
        <v>0</v>
      </c>
      <c r="P763" s="29">
        <f>SUMIFS(Cash_Flow_3[Amount],Cash_Flow_3[Bulan],H763,Cash_Flow_3[Type],"Out",Cash_Flow_3[Category],"Loandry")</f>
        <v>0</v>
      </c>
      <c r="Q763" s="29">
        <f>SUMIFS(Cash_Flow_3[Amount],Cash_Flow_3[Bulan],H763,Cash_Flow_3[Type],"Out",Cash_Flow_3[Category],"Mio")</f>
        <v>0</v>
      </c>
      <c r="R763" s="29">
        <f>SUMIFS(Cash_Flow_3[Amount],Cash_Flow_3[Bulan],H763,Cash_Flow_3[Type],"Out",Cash_Flow_3[Category],"Sedekah")</f>
        <v>0</v>
      </c>
      <c r="S763" s="29">
        <f>SUMIFS(Cash_Flow_3[Amount],Cash_Flow_3[Bulan],H763,Cash_Flow_3[Type],"Out",Cash_Flow_3[Category],"Zela")</f>
        <v>0</v>
      </c>
      <c r="T763" s="29">
        <f>SUMIFS(Cash_Flow_3[Amount],Cash_Flow_3[Bulan],H763,Cash_Flow_3[Type],"Out",Cash_Flow_3[Category],"Iqbal")</f>
        <v>0</v>
      </c>
    </row>
    <row r="764" spans="1:20" ht="22.5" customHeight="1" x14ac:dyDescent="0.2">
      <c r="A764" s="23"/>
      <c r="B764" s="24"/>
      <c r="C764" s="25"/>
      <c r="D764" s="25"/>
      <c r="E764" s="25"/>
      <c r="F764" s="26"/>
      <c r="G764" s="27"/>
      <c r="H764" s="28" t="str">
        <f t="shared" si="0"/>
        <v/>
      </c>
      <c r="I764" s="29">
        <f>SUMIFS(Cash_Flow_3[Amount],Cash_Flow_3[Bulan],H764,Cash_Flow_3[Type],"In")</f>
        <v>0</v>
      </c>
      <c r="J764" s="29">
        <f>SUMIFS(Cash_Flow_3[Amount],Cash_Flow_3[Bulan],H764,Cash_Flow_3[Type],"Out")</f>
        <v>0</v>
      </c>
      <c r="K764" s="29">
        <f>SUMIFS(Cash_Flow_3[Amount],Cash_Flow_3[Bulan],H764,Cash_Flow_3[Type],"Out",Cash_Flow_3[Category],"Fix")</f>
        <v>0</v>
      </c>
      <c r="L764" s="29">
        <f>SUMIFS(Cash_Flow_3[Amount],Cash_Flow_3[Bulan],H764,Cash_Flow_3[Type],"Out",Cash_Flow_3[Category],"Bathroom")</f>
        <v>0</v>
      </c>
      <c r="M764" s="29">
        <f>SUMIFS(Cash_Flow_3[Amount],Cash_Flow_3[Bulan],H764,Cash_Flow_3[Type],"Out",Cash_Flow_3[Category],"Alfa")</f>
        <v>0</v>
      </c>
      <c r="N764" s="29">
        <f>SUMIFS(Cash_Flow_3[Amount],Cash_Flow_3[Bulan],H764,Cash_Flow_3[Type],"Out",Cash_Flow_3[Category],"Jajan")</f>
        <v>0</v>
      </c>
      <c r="O764" s="29">
        <f>SUMIFS(Cash_Flow_3[Amount],Cash_Flow_3[Bulan],H764,Cash_Flow_3[Type],"Out",Cash_Flow_3[Category],"Kitchen")</f>
        <v>0</v>
      </c>
      <c r="P764" s="29">
        <f>SUMIFS(Cash_Flow_3[Amount],Cash_Flow_3[Bulan],H764,Cash_Flow_3[Type],"Out",Cash_Flow_3[Category],"Loandry")</f>
        <v>0</v>
      </c>
      <c r="Q764" s="29">
        <f>SUMIFS(Cash_Flow_3[Amount],Cash_Flow_3[Bulan],H764,Cash_Flow_3[Type],"Out",Cash_Flow_3[Category],"Mio")</f>
        <v>0</v>
      </c>
      <c r="R764" s="29">
        <f>SUMIFS(Cash_Flow_3[Amount],Cash_Flow_3[Bulan],H764,Cash_Flow_3[Type],"Out",Cash_Flow_3[Category],"Sedekah")</f>
        <v>0</v>
      </c>
      <c r="S764" s="29">
        <f>SUMIFS(Cash_Flow_3[Amount],Cash_Flow_3[Bulan],H764,Cash_Flow_3[Type],"Out",Cash_Flow_3[Category],"Zela")</f>
        <v>0</v>
      </c>
      <c r="T764" s="29">
        <f>SUMIFS(Cash_Flow_3[Amount],Cash_Flow_3[Bulan],H764,Cash_Flow_3[Type],"Out",Cash_Flow_3[Category],"Iqbal")</f>
        <v>0</v>
      </c>
    </row>
    <row r="765" spans="1:20" ht="22.5" customHeight="1" x14ac:dyDescent="0.2">
      <c r="A765" s="23"/>
      <c r="B765" s="24"/>
      <c r="C765" s="25"/>
      <c r="D765" s="25"/>
      <c r="E765" s="25"/>
      <c r="F765" s="26"/>
      <c r="G765" s="27"/>
      <c r="H765" s="28" t="str">
        <f t="shared" si="0"/>
        <v/>
      </c>
      <c r="I765" s="29">
        <f>SUMIFS(Cash_Flow_3[Amount],Cash_Flow_3[Bulan],H765,Cash_Flow_3[Type],"In")</f>
        <v>0</v>
      </c>
      <c r="J765" s="29">
        <f>SUMIFS(Cash_Flow_3[Amount],Cash_Flow_3[Bulan],H765,Cash_Flow_3[Type],"Out")</f>
        <v>0</v>
      </c>
      <c r="K765" s="29">
        <f>SUMIFS(Cash_Flow_3[Amount],Cash_Flow_3[Bulan],H765,Cash_Flow_3[Type],"Out",Cash_Flow_3[Category],"Fix")</f>
        <v>0</v>
      </c>
      <c r="L765" s="29">
        <f>SUMIFS(Cash_Flow_3[Amount],Cash_Flow_3[Bulan],H765,Cash_Flow_3[Type],"Out",Cash_Flow_3[Category],"Bathroom")</f>
        <v>0</v>
      </c>
      <c r="M765" s="29">
        <f>SUMIFS(Cash_Flow_3[Amount],Cash_Flow_3[Bulan],H765,Cash_Flow_3[Type],"Out",Cash_Flow_3[Category],"Alfa")</f>
        <v>0</v>
      </c>
      <c r="N765" s="29">
        <f>SUMIFS(Cash_Flow_3[Amount],Cash_Flow_3[Bulan],H765,Cash_Flow_3[Type],"Out",Cash_Flow_3[Category],"Jajan")</f>
        <v>0</v>
      </c>
      <c r="O765" s="29">
        <f>SUMIFS(Cash_Flow_3[Amount],Cash_Flow_3[Bulan],H765,Cash_Flow_3[Type],"Out",Cash_Flow_3[Category],"Kitchen")</f>
        <v>0</v>
      </c>
      <c r="P765" s="29">
        <f>SUMIFS(Cash_Flow_3[Amount],Cash_Flow_3[Bulan],H765,Cash_Flow_3[Type],"Out",Cash_Flow_3[Category],"Loandry")</f>
        <v>0</v>
      </c>
      <c r="Q765" s="29">
        <f>SUMIFS(Cash_Flow_3[Amount],Cash_Flow_3[Bulan],H765,Cash_Flow_3[Type],"Out",Cash_Flow_3[Category],"Mio")</f>
        <v>0</v>
      </c>
      <c r="R765" s="29">
        <f>SUMIFS(Cash_Flow_3[Amount],Cash_Flow_3[Bulan],H765,Cash_Flow_3[Type],"Out",Cash_Flow_3[Category],"Sedekah")</f>
        <v>0</v>
      </c>
      <c r="S765" s="29">
        <f>SUMIFS(Cash_Flow_3[Amount],Cash_Flow_3[Bulan],H765,Cash_Flow_3[Type],"Out",Cash_Flow_3[Category],"Zela")</f>
        <v>0</v>
      </c>
      <c r="T765" s="29">
        <f>SUMIFS(Cash_Flow_3[Amount],Cash_Flow_3[Bulan],H765,Cash_Flow_3[Type],"Out",Cash_Flow_3[Category],"Iqbal")</f>
        <v>0</v>
      </c>
    </row>
    <row r="766" spans="1:20" ht="22.5" customHeight="1" x14ac:dyDescent="0.2">
      <c r="A766" s="23"/>
      <c r="B766" s="24"/>
      <c r="C766" s="25"/>
      <c r="D766" s="25"/>
      <c r="E766" s="25"/>
      <c r="F766" s="26"/>
      <c r="G766" s="27"/>
      <c r="H766" s="28" t="str">
        <f t="shared" si="0"/>
        <v/>
      </c>
      <c r="I766" s="29">
        <f>SUMIFS(Cash_Flow_3[Amount],Cash_Flow_3[Bulan],H766,Cash_Flow_3[Type],"In")</f>
        <v>0</v>
      </c>
      <c r="J766" s="29">
        <f>SUMIFS(Cash_Flow_3[Amount],Cash_Flow_3[Bulan],H766,Cash_Flow_3[Type],"Out")</f>
        <v>0</v>
      </c>
      <c r="K766" s="29">
        <f>SUMIFS(Cash_Flow_3[Amount],Cash_Flow_3[Bulan],H766,Cash_Flow_3[Type],"Out",Cash_Flow_3[Category],"Fix")</f>
        <v>0</v>
      </c>
      <c r="L766" s="29">
        <f>SUMIFS(Cash_Flow_3[Amount],Cash_Flow_3[Bulan],H766,Cash_Flow_3[Type],"Out",Cash_Flow_3[Category],"Bathroom")</f>
        <v>0</v>
      </c>
      <c r="M766" s="29">
        <f>SUMIFS(Cash_Flow_3[Amount],Cash_Flow_3[Bulan],H766,Cash_Flow_3[Type],"Out",Cash_Flow_3[Category],"Alfa")</f>
        <v>0</v>
      </c>
      <c r="N766" s="29">
        <f>SUMIFS(Cash_Flow_3[Amount],Cash_Flow_3[Bulan],H766,Cash_Flow_3[Type],"Out",Cash_Flow_3[Category],"Jajan")</f>
        <v>0</v>
      </c>
      <c r="O766" s="29">
        <f>SUMIFS(Cash_Flow_3[Amount],Cash_Flow_3[Bulan],H766,Cash_Flow_3[Type],"Out",Cash_Flow_3[Category],"Kitchen")</f>
        <v>0</v>
      </c>
      <c r="P766" s="29">
        <f>SUMIFS(Cash_Flow_3[Amount],Cash_Flow_3[Bulan],H766,Cash_Flow_3[Type],"Out",Cash_Flow_3[Category],"Loandry")</f>
        <v>0</v>
      </c>
      <c r="Q766" s="29">
        <f>SUMIFS(Cash_Flow_3[Amount],Cash_Flow_3[Bulan],H766,Cash_Flow_3[Type],"Out",Cash_Flow_3[Category],"Mio")</f>
        <v>0</v>
      </c>
      <c r="R766" s="29">
        <f>SUMIFS(Cash_Flow_3[Amount],Cash_Flow_3[Bulan],H766,Cash_Flow_3[Type],"Out",Cash_Flow_3[Category],"Sedekah")</f>
        <v>0</v>
      </c>
      <c r="S766" s="29">
        <f>SUMIFS(Cash_Flow_3[Amount],Cash_Flow_3[Bulan],H766,Cash_Flow_3[Type],"Out",Cash_Flow_3[Category],"Zela")</f>
        <v>0</v>
      </c>
      <c r="T766" s="29">
        <f>SUMIFS(Cash_Flow_3[Amount],Cash_Flow_3[Bulan],H766,Cash_Flow_3[Type],"Out",Cash_Flow_3[Category],"Iqbal")</f>
        <v>0</v>
      </c>
    </row>
    <row r="767" spans="1:20" ht="22.5" customHeight="1" x14ac:dyDescent="0.2">
      <c r="A767" s="23"/>
      <c r="B767" s="24"/>
      <c r="C767" s="25"/>
      <c r="D767" s="25"/>
      <c r="E767" s="25"/>
      <c r="F767" s="26"/>
      <c r="G767" s="27"/>
      <c r="H767" s="28" t="str">
        <f t="shared" si="0"/>
        <v/>
      </c>
      <c r="I767" s="29">
        <f>SUMIFS(Cash_Flow_3[Amount],Cash_Flow_3[Bulan],H767,Cash_Flow_3[Type],"In")</f>
        <v>0</v>
      </c>
      <c r="J767" s="29">
        <f>SUMIFS(Cash_Flow_3[Amount],Cash_Flow_3[Bulan],H767,Cash_Flow_3[Type],"Out")</f>
        <v>0</v>
      </c>
      <c r="K767" s="29">
        <f>SUMIFS(Cash_Flow_3[Amount],Cash_Flow_3[Bulan],H767,Cash_Flow_3[Type],"Out",Cash_Flow_3[Category],"Fix")</f>
        <v>0</v>
      </c>
      <c r="L767" s="29">
        <f>SUMIFS(Cash_Flow_3[Amount],Cash_Flow_3[Bulan],H767,Cash_Flow_3[Type],"Out",Cash_Flow_3[Category],"Bathroom")</f>
        <v>0</v>
      </c>
      <c r="M767" s="29">
        <f>SUMIFS(Cash_Flow_3[Amount],Cash_Flow_3[Bulan],H767,Cash_Flow_3[Type],"Out",Cash_Flow_3[Category],"Alfa")</f>
        <v>0</v>
      </c>
      <c r="N767" s="29">
        <f>SUMIFS(Cash_Flow_3[Amount],Cash_Flow_3[Bulan],H767,Cash_Flow_3[Type],"Out",Cash_Flow_3[Category],"Jajan")</f>
        <v>0</v>
      </c>
      <c r="O767" s="29">
        <f>SUMIFS(Cash_Flow_3[Amount],Cash_Flow_3[Bulan],H767,Cash_Flow_3[Type],"Out",Cash_Flow_3[Category],"Kitchen")</f>
        <v>0</v>
      </c>
      <c r="P767" s="29">
        <f>SUMIFS(Cash_Flow_3[Amount],Cash_Flow_3[Bulan],H767,Cash_Flow_3[Type],"Out",Cash_Flow_3[Category],"Loandry")</f>
        <v>0</v>
      </c>
      <c r="Q767" s="29">
        <f>SUMIFS(Cash_Flow_3[Amount],Cash_Flow_3[Bulan],H767,Cash_Flow_3[Type],"Out",Cash_Flow_3[Category],"Mio")</f>
        <v>0</v>
      </c>
      <c r="R767" s="29">
        <f>SUMIFS(Cash_Flow_3[Amount],Cash_Flow_3[Bulan],H767,Cash_Flow_3[Type],"Out",Cash_Flow_3[Category],"Sedekah")</f>
        <v>0</v>
      </c>
      <c r="S767" s="29">
        <f>SUMIFS(Cash_Flow_3[Amount],Cash_Flow_3[Bulan],H767,Cash_Flow_3[Type],"Out",Cash_Flow_3[Category],"Zela")</f>
        <v>0</v>
      </c>
      <c r="T767" s="29">
        <f>SUMIFS(Cash_Flow_3[Amount],Cash_Flow_3[Bulan],H767,Cash_Flow_3[Type],"Out",Cash_Flow_3[Category],"Iqbal")</f>
        <v>0</v>
      </c>
    </row>
    <row r="768" spans="1:20" ht="22.5" customHeight="1" x14ac:dyDescent="0.2">
      <c r="A768" s="23"/>
      <c r="B768" s="24"/>
      <c r="C768" s="25"/>
      <c r="D768" s="25"/>
      <c r="E768" s="25"/>
      <c r="F768" s="26"/>
      <c r="G768" s="27"/>
      <c r="H768" s="28" t="str">
        <f t="shared" si="0"/>
        <v/>
      </c>
      <c r="I768" s="29">
        <f>SUMIFS(Cash_Flow_3[Amount],Cash_Flow_3[Bulan],H768,Cash_Flow_3[Type],"In")</f>
        <v>0</v>
      </c>
      <c r="J768" s="29">
        <f>SUMIFS(Cash_Flow_3[Amount],Cash_Flow_3[Bulan],H768,Cash_Flow_3[Type],"Out")</f>
        <v>0</v>
      </c>
      <c r="K768" s="29">
        <f>SUMIFS(Cash_Flow_3[Amount],Cash_Flow_3[Bulan],H768,Cash_Flow_3[Type],"Out",Cash_Flow_3[Category],"Fix")</f>
        <v>0</v>
      </c>
      <c r="L768" s="29">
        <f>SUMIFS(Cash_Flow_3[Amount],Cash_Flow_3[Bulan],H768,Cash_Flow_3[Type],"Out",Cash_Flow_3[Category],"Bathroom")</f>
        <v>0</v>
      </c>
      <c r="M768" s="29">
        <f>SUMIFS(Cash_Flow_3[Amount],Cash_Flow_3[Bulan],H768,Cash_Flow_3[Type],"Out",Cash_Flow_3[Category],"Alfa")</f>
        <v>0</v>
      </c>
      <c r="N768" s="29">
        <f>SUMIFS(Cash_Flow_3[Amount],Cash_Flow_3[Bulan],H768,Cash_Flow_3[Type],"Out",Cash_Flow_3[Category],"Jajan")</f>
        <v>0</v>
      </c>
      <c r="O768" s="29">
        <f>SUMIFS(Cash_Flow_3[Amount],Cash_Flow_3[Bulan],H768,Cash_Flow_3[Type],"Out",Cash_Flow_3[Category],"Kitchen")</f>
        <v>0</v>
      </c>
      <c r="P768" s="29">
        <f>SUMIFS(Cash_Flow_3[Amount],Cash_Flow_3[Bulan],H768,Cash_Flow_3[Type],"Out",Cash_Flow_3[Category],"Loandry")</f>
        <v>0</v>
      </c>
      <c r="Q768" s="29">
        <f>SUMIFS(Cash_Flow_3[Amount],Cash_Flow_3[Bulan],H768,Cash_Flow_3[Type],"Out",Cash_Flow_3[Category],"Mio")</f>
        <v>0</v>
      </c>
      <c r="R768" s="29">
        <f>SUMIFS(Cash_Flow_3[Amount],Cash_Flow_3[Bulan],H768,Cash_Flow_3[Type],"Out",Cash_Flow_3[Category],"Sedekah")</f>
        <v>0</v>
      </c>
      <c r="S768" s="29">
        <f>SUMIFS(Cash_Flow_3[Amount],Cash_Flow_3[Bulan],H768,Cash_Flow_3[Type],"Out",Cash_Flow_3[Category],"Zela")</f>
        <v>0</v>
      </c>
      <c r="T768" s="29">
        <f>SUMIFS(Cash_Flow_3[Amount],Cash_Flow_3[Bulan],H768,Cash_Flow_3[Type],"Out",Cash_Flow_3[Category],"Iqbal")</f>
        <v>0</v>
      </c>
    </row>
    <row r="769" spans="1:20" ht="22.5" customHeight="1" x14ac:dyDescent="0.2">
      <c r="A769" s="23"/>
      <c r="B769" s="24"/>
      <c r="C769" s="25"/>
      <c r="D769" s="25"/>
      <c r="E769" s="25"/>
      <c r="F769" s="26"/>
      <c r="G769" s="27"/>
      <c r="H769" s="28" t="str">
        <f t="shared" si="0"/>
        <v/>
      </c>
      <c r="I769" s="29">
        <f>SUMIFS(Cash_Flow_3[Amount],Cash_Flow_3[Bulan],H769,Cash_Flow_3[Type],"In")</f>
        <v>0</v>
      </c>
      <c r="J769" s="29">
        <f>SUMIFS(Cash_Flow_3[Amount],Cash_Flow_3[Bulan],H769,Cash_Flow_3[Type],"Out")</f>
        <v>0</v>
      </c>
      <c r="K769" s="29">
        <f>SUMIFS(Cash_Flow_3[Amount],Cash_Flow_3[Bulan],H769,Cash_Flow_3[Type],"Out",Cash_Flow_3[Category],"Fix")</f>
        <v>0</v>
      </c>
      <c r="L769" s="29">
        <f>SUMIFS(Cash_Flow_3[Amount],Cash_Flow_3[Bulan],H769,Cash_Flow_3[Type],"Out",Cash_Flow_3[Category],"Bathroom")</f>
        <v>0</v>
      </c>
      <c r="M769" s="29">
        <f>SUMIFS(Cash_Flow_3[Amount],Cash_Flow_3[Bulan],H769,Cash_Flow_3[Type],"Out",Cash_Flow_3[Category],"Alfa")</f>
        <v>0</v>
      </c>
      <c r="N769" s="29">
        <f>SUMIFS(Cash_Flow_3[Amount],Cash_Flow_3[Bulan],H769,Cash_Flow_3[Type],"Out",Cash_Flow_3[Category],"Jajan")</f>
        <v>0</v>
      </c>
      <c r="O769" s="29">
        <f>SUMIFS(Cash_Flow_3[Amount],Cash_Flow_3[Bulan],H769,Cash_Flow_3[Type],"Out",Cash_Flow_3[Category],"Kitchen")</f>
        <v>0</v>
      </c>
      <c r="P769" s="29">
        <f>SUMIFS(Cash_Flow_3[Amount],Cash_Flow_3[Bulan],H769,Cash_Flow_3[Type],"Out",Cash_Flow_3[Category],"Loandry")</f>
        <v>0</v>
      </c>
      <c r="Q769" s="29">
        <f>SUMIFS(Cash_Flow_3[Amount],Cash_Flow_3[Bulan],H769,Cash_Flow_3[Type],"Out",Cash_Flow_3[Category],"Mio")</f>
        <v>0</v>
      </c>
      <c r="R769" s="29">
        <f>SUMIFS(Cash_Flow_3[Amount],Cash_Flow_3[Bulan],H769,Cash_Flow_3[Type],"Out",Cash_Flow_3[Category],"Sedekah")</f>
        <v>0</v>
      </c>
      <c r="S769" s="29">
        <f>SUMIFS(Cash_Flow_3[Amount],Cash_Flow_3[Bulan],H769,Cash_Flow_3[Type],"Out",Cash_Flow_3[Category],"Zela")</f>
        <v>0</v>
      </c>
      <c r="T769" s="29">
        <f>SUMIFS(Cash_Flow_3[Amount],Cash_Flow_3[Bulan],H769,Cash_Flow_3[Type],"Out",Cash_Flow_3[Category],"Iqbal")</f>
        <v>0</v>
      </c>
    </row>
    <row r="770" spans="1:20" ht="22.5" customHeight="1" x14ac:dyDescent="0.2">
      <c r="A770" s="23"/>
      <c r="B770" s="24"/>
      <c r="C770" s="25"/>
      <c r="D770" s="25"/>
      <c r="E770" s="25"/>
      <c r="F770" s="26"/>
      <c r="G770" s="27"/>
      <c r="H770" s="28" t="str">
        <f t="shared" si="0"/>
        <v/>
      </c>
      <c r="I770" s="29">
        <f>SUMIFS(Cash_Flow_3[Amount],Cash_Flow_3[Bulan],H770,Cash_Flow_3[Type],"In")</f>
        <v>0</v>
      </c>
      <c r="J770" s="29">
        <f>SUMIFS(Cash_Flow_3[Amount],Cash_Flow_3[Bulan],H770,Cash_Flow_3[Type],"Out")</f>
        <v>0</v>
      </c>
      <c r="K770" s="29">
        <f>SUMIFS(Cash_Flow_3[Amount],Cash_Flow_3[Bulan],H770,Cash_Flow_3[Type],"Out",Cash_Flow_3[Category],"Fix")</f>
        <v>0</v>
      </c>
      <c r="L770" s="29">
        <f>SUMIFS(Cash_Flow_3[Amount],Cash_Flow_3[Bulan],H770,Cash_Flow_3[Type],"Out",Cash_Flow_3[Category],"Bathroom")</f>
        <v>0</v>
      </c>
      <c r="M770" s="29">
        <f>SUMIFS(Cash_Flow_3[Amount],Cash_Flow_3[Bulan],H770,Cash_Flow_3[Type],"Out",Cash_Flow_3[Category],"Alfa")</f>
        <v>0</v>
      </c>
      <c r="N770" s="29">
        <f>SUMIFS(Cash_Flow_3[Amount],Cash_Flow_3[Bulan],H770,Cash_Flow_3[Type],"Out",Cash_Flow_3[Category],"Jajan")</f>
        <v>0</v>
      </c>
      <c r="O770" s="29">
        <f>SUMIFS(Cash_Flow_3[Amount],Cash_Flow_3[Bulan],H770,Cash_Flow_3[Type],"Out",Cash_Flow_3[Category],"Kitchen")</f>
        <v>0</v>
      </c>
      <c r="P770" s="29">
        <f>SUMIFS(Cash_Flow_3[Amount],Cash_Flow_3[Bulan],H770,Cash_Flow_3[Type],"Out",Cash_Flow_3[Category],"Loandry")</f>
        <v>0</v>
      </c>
      <c r="Q770" s="29">
        <f>SUMIFS(Cash_Flow_3[Amount],Cash_Flow_3[Bulan],H770,Cash_Flow_3[Type],"Out",Cash_Flow_3[Category],"Mio")</f>
        <v>0</v>
      </c>
      <c r="R770" s="29">
        <f>SUMIFS(Cash_Flow_3[Amount],Cash_Flow_3[Bulan],H770,Cash_Flow_3[Type],"Out",Cash_Flow_3[Category],"Sedekah")</f>
        <v>0</v>
      </c>
      <c r="S770" s="29">
        <f>SUMIFS(Cash_Flow_3[Amount],Cash_Flow_3[Bulan],H770,Cash_Flow_3[Type],"Out",Cash_Flow_3[Category],"Zela")</f>
        <v>0</v>
      </c>
      <c r="T770" s="29">
        <f>SUMIFS(Cash_Flow_3[Amount],Cash_Flow_3[Bulan],H770,Cash_Flow_3[Type],"Out",Cash_Flow_3[Category],"Iqbal")</f>
        <v>0</v>
      </c>
    </row>
    <row r="771" spans="1:20" ht="22.5" customHeight="1" x14ac:dyDescent="0.2">
      <c r="A771" s="23"/>
      <c r="B771" s="24"/>
      <c r="C771" s="25"/>
      <c r="D771" s="25"/>
      <c r="E771" s="25"/>
      <c r="F771" s="26"/>
      <c r="G771" s="27"/>
      <c r="H771" s="28" t="str">
        <f t="shared" si="0"/>
        <v/>
      </c>
      <c r="I771" s="29">
        <f>SUMIFS(Cash_Flow_3[Amount],Cash_Flow_3[Bulan],H771,Cash_Flow_3[Type],"In")</f>
        <v>0</v>
      </c>
      <c r="J771" s="29">
        <f>SUMIFS(Cash_Flow_3[Amount],Cash_Flow_3[Bulan],H771,Cash_Flow_3[Type],"Out")</f>
        <v>0</v>
      </c>
      <c r="K771" s="29">
        <f>SUMIFS(Cash_Flow_3[Amount],Cash_Flow_3[Bulan],H771,Cash_Flow_3[Type],"Out",Cash_Flow_3[Category],"Fix")</f>
        <v>0</v>
      </c>
      <c r="L771" s="29">
        <f>SUMIFS(Cash_Flow_3[Amount],Cash_Flow_3[Bulan],H771,Cash_Flow_3[Type],"Out",Cash_Flow_3[Category],"Bathroom")</f>
        <v>0</v>
      </c>
      <c r="M771" s="29">
        <f>SUMIFS(Cash_Flow_3[Amount],Cash_Flow_3[Bulan],H771,Cash_Flow_3[Type],"Out",Cash_Flow_3[Category],"Alfa")</f>
        <v>0</v>
      </c>
      <c r="N771" s="29">
        <f>SUMIFS(Cash_Flow_3[Amount],Cash_Flow_3[Bulan],H771,Cash_Flow_3[Type],"Out",Cash_Flow_3[Category],"Jajan")</f>
        <v>0</v>
      </c>
      <c r="O771" s="29">
        <f>SUMIFS(Cash_Flow_3[Amount],Cash_Flow_3[Bulan],H771,Cash_Flow_3[Type],"Out",Cash_Flow_3[Category],"Kitchen")</f>
        <v>0</v>
      </c>
      <c r="P771" s="29">
        <f>SUMIFS(Cash_Flow_3[Amount],Cash_Flow_3[Bulan],H771,Cash_Flow_3[Type],"Out",Cash_Flow_3[Category],"Loandry")</f>
        <v>0</v>
      </c>
      <c r="Q771" s="29">
        <f>SUMIFS(Cash_Flow_3[Amount],Cash_Flow_3[Bulan],H771,Cash_Flow_3[Type],"Out",Cash_Flow_3[Category],"Mio")</f>
        <v>0</v>
      </c>
      <c r="R771" s="29">
        <f>SUMIFS(Cash_Flow_3[Amount],Cash_Flow_3[Bulan],H771,Cash_Flow_3[Type],"Out",Cash_Flow_3[Category],"Sedekah")</f>
        <v>0</v>
      </c>
      <c r="S771" s="29">
        <f>SUMIFS(Cash_Flow_3[Amount],Cash_Flow_3[Bulan],H771,Cash_Flow_3[Type],"Out",Cash_Flow_3[Category],"Zela")</f>
        <v>0</v>
      </c>
      <c r="T771" s="29">
        <f>SUMIFS(Cash_Flow_3[Amount],Cash_Flow_3[Bulan],H771,Cash_Flow_3[Type],"Out",Cash_Flow_3[Category],"Iqbal")</f>
        <v>0</v>
      </c>
    </row>
    <row r="772" spans="1:20" ht="22.5" customHeight="1" x14ac:dyDescent="0.2">
      <c r="A772" s="23"/>
      <c r="B772" s="24"/>
      <c r="C772" s="25"/>
      <c r="D772" s="25"/>
      <c r="E772" s="25"/>
      <c r="F772" s="26"/>
      <c r="G772" s="27"/>
      <c r="H772" s="28" t="str">
        <f t="shared" si="0"/>
        <v/>
      </c>
      <c r="I772" s="29">
        <f>SUMIFS(Cash_Flow_3[Amount],Cash_Flow_3[Bulan],H772,Cash_Flow_3[Type],"In")</f>
        <v>0</v>
      </c>
      <c r="J772" s="29">
        <f>SUMIFS(Cash_Flow_3[Amount],Cash_Flow_3[Bulan],H772,Cash_Flow_3[Type],"Out")</f>
        <v>0</v>
      </c>
      <c r="K772" s="29">
        <f>SUMIFS(Cash_Flow_3[Amount],Cash_Flow_3[Bulan],H772,Cash_Flow_3[Type],"Out",Cash_Flow_3[Category],"Fix")</f>
        <v>0</v>
      </c>
      <c r="L772" s="29">
        <f>SUMIFS(Cash_Flow_3[Amount],Cash_Flow_3[Bulan],H772,Cash_Flow_3[Type],"Out",Cash_Flow_3[Category],"Bathroom")</f>
        <v>0</v>
      </c>
      <c r="M772" s="29">
        <f>SUMIFS(Cash_Flow_3[Amount],Cash_Flow_3[Bulan],H772,Cash_Flow_3[Type],"Out",Cash_Flow_3[Category],"Alfa")</f>
        <v>0</v>
      </c>
      <c r="N772" s="29">
        <f>SUMIFS(Cash_Flow_3[Amount],Cash_Flow_3[Bulan],H772,Cash_Flow_3[Type],"Out",Cash_Flow_3[Category],"Jajan")</f>
        <v>0</v>
      </c>
      <c r="O772" s="29">
        <f>SUMIFS(Cash_Flow_3[Amount],Cash_Flow_3[Bulan],H772,Cash_Flow_3[Type],"Out",Cash_Flow_3[Category],"Kitchen")</f>
        <v>0</v>
      </c>
      <c r="P772" s="29">
        <f>SUMIFS(Cash_Flow_3[Amount],Cash_Flow_3[Bulan],H772,Cash_Flow_3[Type],"Out",Cash_Flow_3[Category],"Loandry")</f>
        <v>0</v>
      </c>
      <c r="Q772" s="29">
        <f>SUMIFS(Cash_Flow_3[Amount],Cash_Flow_3[Bulan],H772,Cash_Flow_3[Type],"Out",Cash_Flow_3[Category],"Mio")</f>
        <v>0</v>
      </c>
      <c r="R772" s="29">
        <f>SUMIFS(Cash_Flow_3[Amount],Cash_Flow_3[Bulan],H772,Cash_Flow_3[Type],"Out",Cash_Flow_3[Category],"Sedekah")</f>
        <v>0</v>
      </c>
      <c r="S772" s="29">
        <f>SUMIFS(Cash_Flow_3[Amount],Cash_Flow_3[Bulan],H772,Cash_Flow_3[Type],"Out",Cash_Flow_3[Category],"Zela")</f>
        <v>0</v>
      </c>
      <c r="T772" s="29">
        <f>SUMIFS(Cash_Flow_3[Amount],Cash_Flow_3[Bulan],H772,Cash_Flow_3[Type],"Out",Cash_Flow_3[Category],"Iqbal")</f>
        <v>0</v>
      </c>
    </row>
    <row r="773" spans="1:20" ht="22.5" customHeight="1" x14ac:dyDescent="0.2">
      <c r="A773" s="23"/>
      <c r="B773" s="24"/>
      <c r="C773" s="25"/>
      <c r="D773" s="25"/>
      <c r="E773" s="25"/>
      <c r="F773" s="26"/>
      <c r="G773" s="27"/>
      <c r="H773" s="28" t="str">
        <f t="shared" si="0"/>
        <v/>
      </c>
      <c r="I773" s="29">
        <f>SUMIFS(Cash_Flow_3[Amount],Cash_Flow_3[Bulan],H773,Cash_Flow_3[Type],"In")</f>
        <v>0</v>
      </c>
      <c r="J773" s="29">
        <f>SUMIFS(Cash_Flow_3[Amount],Cash_Flow_3[Bulan],H773,Cash_Flow_3[Type],"Out")</f>
        <v>0</v>
      </c>
      <c r="K773" s="29">
        <f>SUMIFS(Cash_Flow_3[Amount],Cash_Flow_3[Bulan],H773,Cash_Flow_3[Type],"Out",Cash_Flow_3[Category],"Fix")</f>
        <v>0</v>
      </c>
      <c r="L773" s="29">
        <f>SUMIFS(Cash_Flow_3[Amount],Cash_Flow_3[Bulan],H773,Cash_Flow_3[Type],"Out",Cash_Flow_3[Category],"Bathroom")</f>
        <v>0</v>
      </c>
      <c r="M773" s="29">
        <f>SUMIFS(Cash_Flow_3[Amount],Cash_Flow_3[Bulan],H773,Cash_Flow_3[Type],"Out",Cash_Flow_3[Category],"Alfa")</f>
        <v>0</v>
      </c>
      <c r="N773" s="29">
        <f>SUMIFS(Cash_Flow_3[Amount],Cash_Flow_3[Bulan],H773,Cash_Flow_3[Type],"Out",Cash_Flow_3[Category],"Jajan")</f>
        <v>0</v>
      </c>
      <c r="O773" s="29">
        <f>SUMIFS(Cash_Flow_3[Amount],Cash_Flow_3[Bulan],H773,Cash_Flow_3[Type],"Out",Cash_Flow_3[Category],"Kitchen")</f>
        <v>0</v>
      </c>
      <c r="P773" s="29">
        <f>SUMIFS(Cash_Flow_3[Amount],Cash_Flow_3[Bulan],H773,Cash_Flow_3[Type],"Out",Cash_Flow_3[Category],"Loandry")</f>
        <v>0</v>
      </c>
      <c r="Q773" s="29">
        <f>SUMIFS(Cash_Flow_3[Amount],Cash_Flow_3[Bulan],H773,Cash_Flow_3[Type],"Out",Cash_Flow_3[Category],"Mio")</f>
        <v>0</v>
      </c>
      <c r="R773" s="29">
        <f>SUMIFS(Cash_Flow_3[Amount],Cash_Flow_3[Bulan],H773,Cash_Flow_3[Type],"Out",Cash_Flow_3[Category],"Sedekah")</f>
        <v>0</v>
      </c>
      <c r="S773" s="29">
        <f>SUMIFS(Cash_Flow_3[Amount],Cash_Flow_3[Bulan],H773,Cash_Flow_3[Type],"Out",Cash_Flow_3[Category],"Zela")</f>
        <v>0</v>
      </c>
      <c r="T773" s="29">
        <f>SUMIFS(Cash_Flow_3[Amount],Cash_Flow_3[Bulan],H773,Cash_Flow_3[Type],"Out",Cash_Flow_3[Category],"Iqbal")</f>
        <v>0</v>
      </c>
    </row>
    <row r="774" spans="1:20" ht="22.5" customHeight="1" x14ac:dyDescent="0.2">
      <c r="A774" s="23"/>
      <c r="B774" s="24"/>
      <c r="C774" s="25"/>
      <c r="D774" s="25"/>
      <c r="E774" s="25"/>
      <c r="F774" s="26"/>
      <c r="G774" s="27"/>
      <c r="H774" s="28" t="str">
        <f t="shared" si="0"/>
        <v/>
      </c>
      <c r="I774" s="29">
        <f>SUMIFS(Cash_Flow_3[Amount],Cash_Flow_3[Bulan],H774,Cash_Flow_3[Type],"In")</f>
        <v>0</v>
      </c>
      <c r="J774" s="29">
        <f>SUMIFS(Cash_Flow_3[Amount],Cash_Flow_3[Bulan],H774,Cash_Flow_3[Type],"Out")</f>
        <v>0</v>
      </c>
      <c r="K774" s="29">
        <f>SUMIFS(Cash_Flow_3[Amount],Cash_Flow_3[Bulan],H774,Cash_Flow_3[Type],"Out",Cash_Flow_3[Category],"Fix")</f>
        <v>0</v>
      </c>
      <c r="L774" s="29">
        <f>SUMIFS(Cash_Flow_3[Amount],Cash_Flow_3[Bulan],H774,Cash_Flow_3[Type],"Out",Cash_Flow_3[Category],"Bathroom")</f>
        <v>0</v>
      </c>
      <c r="M774" s="29">
        <f>SUMIFS(Cash_Flow_3[Amount],Cash_Flow_3[Bulan],H774,Cash_Flow_3[Type],"Out",Cash_Flow_3[Category],"Alfa")</f>
        <v>0</v>
      </c>
      <c r="N774" s="29">
        <f>SUMIFS(Cash_Flow_3[Amount],Cash_Flow_3[Bulan],H774,Cash_Flow_3[Type],"Out",Cash_Flow_3[Category],"Jajan")</f>
        <v>0</v>
      </c>
      <c r="O774" s="29">
        <f>SUMIFS(Cash_Flow_3[Amount],Cash_Flow_3[Bulan],H774,Cash_Flow_3[Type],"Out",Cash_Flow_3[Category],"Kitchen")</f>
        <v>0</v>
      </c>
      <c r="P774" s="29">
        <f>SUMIFS(Cash_Flow_3[Amount],Cash_Flow_3[Bulan],H774,Cash_Flow_3[Type],"Out",Cash_Flow_3[Category],"Loandry")</f>
        <v>0</v>
      </c>
      <c r="Q774" s="29">
        <f>SUMIFS(Cash_Flow_3[Amount],Cash_Flow_3[Bulan],H774,Cash_Flow_3[Type],"Out",Cash_Flow_3[Category],"Mio")</f>
        <v>0</v>
      </c>
      <c r="R774" s="29">
        <f>SUMIFS(Cash_Flow_3[Amount],Cash_Flow_3[Bulan],H774,Cash_Flow_3[Type],"Out",Cash_Flow_3[Category],"Sedekah")</f>
        <v>0</v>
      </c>
      <c r="S774" s="29">
        <f>SUMIFS(Cash_Flow_3[Amount],Cash_Flow_3[Bulan],H774,Cash_Flow_3[Type],"Out",Cash_Flow_3[Category],"Zela")</f>
        <v>0</v>
      </c>
      <c r="T774" s="29">
        <f>SUMIFS(Cash_Flow_3[Amount],Cash_Flow_3[Bulan],H774,Cash_Flow_3[Type],"Out",Cash_Flow_3[Category],"Iqbal")</f>
        <v>0</v>
      </c>
    </row>
    <row r="775" spans="1:20" ht="22.5" customHeight="1" x14ac:dyDescent="0.2">
      <c r="A775" s="23"/>
      <c r="B775" s="24"/>
      <c r="C775" s="25"/>
      <c r="D775" s="25"/>
      <c r="E775" s="25"/>
      <c r="F775" s="26"/>
      <c r="G775" s="27"/>
      <c r="H775" s="28" t="str">
        <f t="shared" si="0"/>
        <v/>
      </c>
      <c r="I775" s="29">
        <f>SUMIFS(Cash_Flow_3[Amount],Cash_Flow_3[Bulan],H775,Cash_Flow_3[Type],"In")</f>
        <v>0</v>
      </c>
      <c r="J775" s="29">
        <f>SUMIFS(Cash_Flow_3[Amount],Cash_Flow_3[Bulan],H775,Cash_Flow_3[Type],"Out")</f>
        <v>0</v>
      </c>
      <c r="K775" s="29">
        <f>SUMIFS(Cash_Flow_3[Amount],Cash_Flow_3[Bulan],H775,Cash_Flow_3[Type],"Out",Cash_Flow_3[Category],"Fix")</f>
        <v>0</v>
      </c>
      <c r="L775" s="29">
        <f>SUMIFS(Cash_Flow_3[Amount],Cash_Flow_3[Bulan],H775,Cash_Flow_3[Type],"Out",Cash_Flow_3[Category],"Bathroom")</f>
        <v>0</v>
      </c>
      <c r="M775" s="29">
        <f>SUMIFS(Cash_Flow_3[Amount],Cash_Flow_3[Bulan],H775,Cash_Flow_3[Type],"Out",Cash_Flow_3[Category],"Alfa")</f>
        <v>0</v>
      </c>
      <c r="N775" s="29">
        <f>SUMIFS(Cash_Flow_3[Amount],Cash_Flow_3[Bulan],H775,Cash_Flow_3[Type],"Out",Cash_Flow_3[Category],"Jajan")</f>
        <v>0</v>
      </c>
      <c r="O775" s="29">
        <f>SUMIFS(Cash_Flow_3[Amount],Cash_Flow_3[Bulan],H775,Cash_Flow_3[Type],"Out",Cash_Flow_3[Category],"Kitchen")</f>
        <v>0</v>
      </c>
      <c r="P775" s="29">
        <f>SUMIFS(Cash_Flow_3[Amount],Cash_Flow_3[Bulan],H775,Cash_Flow_3[Type],"Out",Cash_Flow_3[Category],"Loandry")</f>
        <v>0</v>
      </c>
      <c r="Q775" s="29">
        <f>SUMIFS(Cash_Flow_3[Amount],Cash_Flow_3[Bulan],H775,Cash_Flow_3[Type],"Out",Cash_Flow_3[Category],"Mio")</f>
        <v>0</v>
      </c>
      <c r="R775" s="29">
        <f>SUMIFS(Cash_Flow_3[Amount],Cash_Flow_3[Bulan],H775,Cash_Flow_3[Type],"Out",Cash_Flow_3[Category],"Sedekah")</f>
        <v>0</v>
      </c>
      <c r="S775" s="29">
        <f>SUMIFS(Cash_Flow_3[Amount],Cash_Flow_3[Bulan],H775,Cash_Flow_3[Type],"Out",Cash_Flow_3[Category],"Zela")</f>
        <v>0</v>
      </c>
      <c r="T775" s="29">
        <f>SUMIFS(Cash_Flow_3[Amount],Cash_Flow_3[Bulan],H775,Cash_Flow_3[Type],"Out",Cash_Flow_3[Category],"Iqbal")</f>
        <v>0</v>
      </c>
    </row>
    <row r="776" spans="1:20" ht="22.5" customHeight="1" x14ac:dyDescent="0.2">
      <c r="A776" s="23"/>
      <c r="B776" s="24"/>
      <c r="C776" s="25"/>
      <c r="D776" s="25"/>
      <c r="E776" s="25"/>
      <c r="F776" s="26"/>
      <c r="G776" s="27"/>
      <c r="H776" s="28" t="str">
        <f t="shared" si="0"/>
        <v/>
      </c>
      <c r="I776" s="29">
        <f>SUMIFS(Cash_Flow_3[Amount],Cash_Flow_3[Bulan],H776,Cash_Flow_3[Type],"In")</f>
        <v>0</v>
      </c>
      <c r="J776" s="29">
        <f>SUMIFS(Cash_Flow_3[Amount],Cash_Flow_3[Bulan],H776,Cash_Flow_3[Type],"Out")</f>
        <v>0</v>
      </c>
      <c r="K776" s="29">
        <f>SUMIFS(Cash_Flow_3[Amount],Cash_Flow_3[Bulan],H776,Cash_Flow_3[Type],"Out",Cash_Flow_3[Category],"Fix")</f>
        <v>0</v>
      </c>
      <c r="L776" s="29">
        <f>SUMIFS(Cash_Flow_3[Amount],Cash_Flow_3[Bulan],H776,Cash_Flow_3[Type],"Out",Cash_Flow_3[Category],"Bathroom")</f>
        <v>0</v>
      </c>
      <c r="M776" s="29">
        <f>SUMIFS(Cash_Flow_3[Amount],Cash_Flow_3[Bulan],H776,Cash_Flow_3[Type],"Out",Cash_Flow_3[Category],"Alfa")</f>
        <v>0</v>
      </c>
      <c r="N776" s="29">
        <f>SUMIFS(Cash_Flow_3[Amount],Cash_Flow_3[Bulan],H776,Cash_Flow_3[Type],"Out",Cash_Flow_3[Category],"Jajan")</f>
        <v>0</v>
      </c>
      <c r="O776" s="29">
        <f>SUMIFS(Cash_Flow_3[Amount],Cash_Flow_3[Bulan],H776,Cash_Flow_3[Type],"Out",Cash_Flow_3[Category],"Kitchen")</f>
        <v>0</v>
      </c>
      <c r="P776" s="29">
        <f>SUMIFS(Cash_Flow_3[Amount],Cash_Flow_3[Bulan],H776,Cash_Flow_3[Type],"Out",Cash_Flow_3[Category],"Loandry")</f>
        <v>0</v>
      </c>
      <c r="Q776" s="29">
        <f>SUMIFS(Cash_Flow_3[Amount],Cash_Flow_3[Bulan],H776,Cash_Flow_3[Type],"Out",Cash_Flow_3[Category],"Mio")</f>
        <v>0</v>
      </c>
      <c r="R776" s="29">
        <f>SUMIFS(Cash_Flow_3[Amount],Cash_Flow_3[Bulan],H776,Cash_Flow_3[Type],"Out",Cash_Flow_3[Category],"Sedekah")</f>
        <v>0</v>
      </c>
      <c r="S776" s="29">
        <f>SUMIFS(Cash_Flow_3[Amount],Cash_Flow_3[Bulan],H776,Cash_Flow_3[Type],"Out",Cash_Flow_3[Category],"Zela")</f>
        <v>0</v>
      </c>
      <c r="T776" s="29">
        <f>SUMIFS(Cash_Flow_3[Amount],Cash_Flow_3[Bulan],H776,Cash_Flow_3[Type],"Out",Cash_Flow_3[Category],"Iqbal")</f>
        <v>0</v>
      </c>
    </row>
    <row r="777" spans="1:20" ht="22.5" customHeight="1" x14ac:dyDescent="0.2">
      <c r="A777" s="23"/>
      <c r="B777" s="24"/>
      <c r="C777" s="25"/>
      <c r="D777" s="25"/>
      <c r="E777" s="25"/>
      <c r="F777" s="26"/>
      <c r="G777" s="27"/>
      <c r="H777" s="28" t="str">
        <f t="shared" si="0"/>
        <v/>
      </c>
      <c r="I777" s="29">
        <f>SUMIFS(Cash_Flow_3[Amount],Cash_Flow_3[Bulan],H777,Cash_Flow_3[Type],"In")</f>
        <v>0</v>
      </c>
      <c r="J777" s="29">
        <f>SUMIFS(Cash_Flow_3[Amount],Cash_Flow_3[Bulan],H777,Cash_Flow_3[Type],"Out")</f>
        <v>0</v>
      </c>
      <c r="K777" s="29">
        <f>SUMIFS(Cash_Flow_3[Amount],Cash_Flow_3[Bulan],H777,Cash_Flow_3[Type],"Out",Cash_Flow_3[Category],"Fix")</f>
        <v>0</v>
      </c>
      <c r="L777" s="29">
        <f>SUMIFS(Cash_Flow_3[Amount],Cash_Flow_3[Bulan],H777,Cash_Flow_3[Type],"Out",Cash_Flow_3[Category],"Bathroom")</f>
        <v>0</v>
      </c>
      <c r="M777" s="29">
        <f>SUMIFS(Cash_Flow_3[Amount],Cash_Flow_3[Bulan],H777,Cash_Flow_3[Type],"Out",Cash_Flow_3[Category],"Alfa")</f>
        <v>0</v>
      </c>
      <c r="N777" s="29">
        <f>SUMIFS(Cash_Flow_3[Amount],Cash_Flow_3[Bulan],H777,Cash_Flow_3[Type],"Out",Cash_Flow_3[Category],"Jajan")</f>
        <v>0</v>
      </c>
      <c r="O777" s="29">
        <f>SUMIFS(Cash_Flow_3[Amount],Cash_Flow_3[Bulan],H777,Cash_Flow_3[Type],"Out",Cash_Flow_3[Category],"Kitchen")</f>
        <v>0</v>
      </c>
      <c r="P777" s="29">
        <f>SUMIFS(Cash_Flow_3[Amount],Cash_Flow_3[Bulan],H777,Cash_Flow_3[Type],"Out",Cash_Flow_3[Category],"Loandry")</f>
        <v>0</v>
      </c>
      <c r="Q777" s="29">
        <f>SUMIFS(Cash_Flow_3[Amount],Cash_Flow_3[Bulan],H777,Cash_Flow_3[Type],"Out",Cash_Flow_3[Category],"Mio")</f>
        <v>0</v>
      </c>
      <c r="R777" s="29">
        <f>SUMIFS(Cash_Flow_3[Amount],Cash_Flow_3[Bulan],H777,Cash_Flow_3[Type],"Out",Cash_Flow_3[Category],"Sedekah")</f>
        <v>0</v>
      </c>
      <c r="S777" s="29">
        <f>SUMIFS(Cash_Flow_3[Amount],Cash_Flow_3[Bulan],H777,Cash_Flow_3[Type],"Out",Cash_Flow_3[Category],"Zela")</f>
        <v>0</v>
      </c>
      <c r="T777" s="29">
        <f>SUMIFS(Cash_Flow_3[Amount],Cash_Flow_3[Bulan],H777,Cash_Flow_3[Type],"Out",Cash_Flow_3[Category],"Iqbal")</f>
        <v>0</v>
      </c>
    </row>
    <row r="778" spans="1:20" ht="22.5" customHeight="1" x14ac:dyDescent="0.2">
      <c r="A778" s="23"/>
      <c r="B778" s="24"/>
      <c r="C778" s="25"/>
      <c r="D778" s="25"/>
      <c r="E778" s="25"/>
      <c r="F778" s="26"/>
      <c r="G778" s="27"/>
      <c r="H778" s="28" t="str">
        <f t="shared" si="0"/>
        <v/>
      </c>
      <c r="I778" s="29">
        <f>SUMIFS(Cash_Flow_3[Amount],Cash_Flow_3[Bulan],H778,Cash_Flow_3[Type],"In")</f>
        <v>0</v>
      </c>
      <c r="J778" s="29">
        <f>SUMIFS(Cash_Flow_3[Amount],Cash_Flow_3[Bulan],H778,Cash_Flow_3[Type],"Out")</f>
        <v>0</v>
      </c>
      <c r="K778" s="29">
        <f>SUMIFS(Cash_Flow_3[Amount],Cash_Flow_3[Bulan],H778,Cash_Flow_3[Type],"Out",Cash_Flow_3[Category],"Fix")</f>
        <v>0</v>
      </c>
      <c r="L778" s="29">
        <f>SUMIFS(Cash_Flow_3[Amount],Cash_Flow_3[Bulan],H778,Cash_Flow_3[Type],"Out",Cash_Flow_3[Category],"Bathroom")</f>
        <v>0</v>
      </c>
      <c r="M778" s="29">
        <f>SUMIFS(Cash_Flow_3[Amount],Cash_Flow_3[Bulan],H778,Cash_Flow_3[Type],"Out",Cash_Flow_3[Category],"Alfa")</f>
        <v>0</v>
      </c>
      <c r="N778" s="29">
        <f>SUMIFS(Cash_Flow_3[Amount],Cash_Flow_3[Bulan],H778,Cash_Flow_3[Type],"Out",Cash_Flow_3[Category],"Jajan")</f>
        <v>0</v>
      </c>
      <c r="O778" s="29">
        <f>SUMIFS(Cash_Flow_3[Amount],Cash_Flow_3[Bulan],H778,Cash_Flow_3[Type],"Out",Cash_Flow_3[Category],"Kitchen")</f>
        <v>0</v>
      </c>
      <c r="P778" s="29">
        <f>SUMIFS(Cash_Flow_3[Amount],Cash_Flow_3[Bulan],H778,Cash_Flow_3[Type],"Out",Cash_Flow_3[Category],"Loandry")</f>
        <v>0</v>
      </c>
      <c r="Q778" s="29">
        <f>SUMIFS(Cash_Flow_3[Amount],Cash_Flow_3[Bulan],H778,Cash_Flow_3[Type],"Out",Cash_Flow_3[Category],"Mio")</f>
        <v>0</v>
      </c>
      <c r="R778" s="29">
        <f>SUMIFS(Cash_Flow_3[Amount],Cash_Flow_3[Bulan],H778,Cash_Flow_3[Type],"Out",Cash_Flow_3[Category],"Sedekah")</f>
        <v>0</v>
      </c>
      <c r="S778" s="29">
        <f>SUMIFS(Cash_Flow_3[Amount],Cash_Flow_3[Bulan],H778,Cash_Flow_3[Type],"Out",Cash_Flow_3[Category],"Zela")</f>
        <v>0</v>
      </c>
      <c r="T778" s="29">
        <f>SUMIFS(Cash_Flow_3[Amount],Cash_Flow_3[Bulan],H778,Cash_Flow_3[Type],"Out",Cash_Flow_3[Category],"Iqbal")</f>
        <v>0</v>
      </c>
    </row>
    <row r="779" spans="1:20" ht="22.5" customHeight="1" x14ac:dyDescent="0.2">
      <c r="A779" s="23"/>
      <c r="B779" s="24"/>
      <c r="C779" s="25"/>
      <c r="D779" s="25"/>
      <c r="E779" s="25"/>
      <c r="F779" s="26"/>
      <c r="G779" s="27"/>
      <c r="H779" s="28" t="str">
        <f t="shared" si="0"/>
        <v/>
      </c>
      <c r="I779" s="29">
        <f>SUMIFS(Cash_Flow_3[Amount],Cash_Flow_3[Bulan],H779,Cash_Flow_3[Type],"In")</f>
        <v>0</v>
      </c>
      <c r="J779" s="29">
        <f>SUMIFS(Cash_Flow_3[Amount],Cash_Flow_3[Bulan],H779,Cash_Flow_3[Type],"Out")</f>
        <v>0</v>
      </c>
      <c r="K779" s="29">
        <f>SUMIFS(Cash_Flow_3[Amount],Cash_Flow_3[Bulan],H779,Cash_Flow_3[Type],"Out",Cash_Flow_3[Category],"Fix")</f>
        <v>0</v>
      </c>
      <c r="L779" s="29">
        <f>SUMIFS(Cash_Flow_3[Amount],Cash_Flow_3[Bulan],H779,Cash_Flow_3[Type],"Out",Cash_Flow_3[Category],"Bathroom")</f>
        <v>0</v>
      </c>
      <c r="M779" s="29">
        <f>SUMIFS(Cash_Flow_3[Amount],Cash_Flow_3[Bulan],H779,Cash_Flow_3[Type],"Out",Cash_Flow_3[Category],"Alfa")</f>
        <v>0</v>
      </c>
      <c r="N779" s="29">
        <f>SUMIFS(Cash_Flow_3[Amount],Cash_Flow_3[Bulan],H779,Cash_Flow_3[Type],"Out",Cash_Flow_3[Category],"Jajan")</f>
        <v>0</v>
      </c>
      <c r="O779" s="29">
        <f>SUMIFS(Cash_Flow_3[Amount],Cash_Flow_3[Bulan],H779,Cash_Flow_3[Type],"Out",Cash_Flow_3[Category],"Kitchen")</f>
        <v>0</v>
      </c>
      <c r="P779" s="29">
        <f>SUMIFS(Cash_Flow_3[Amount],Cash_Flow_3[Bulan],H779,Cash_Flow_3[Type],"Out",Cash_Flow_3[Category],"Loandry")</f>
        <v>0</v>
      </c>
      <c r="Q779" s="29">
        <f>SUMIFS(Cash_Flow_3[Amount],Cash_Flow_3[Bulan],H779,Cash_Flow_3[Type],"Out",Cash_Flow_3[Category],"Mio")</f>
        <v>0</v>
      </c>
      <c r="R779" s="29">
        <f>SUMIFS(Cash_Flow_3[Amount],Cash_Flow_3[Bulan],H779,Cash_Flow_3[Type],"Out",Cash_Flow_3[Category],"Sedekah")</f>
        <v>0</v>
      </c>
      <c r="S779" s="29">
        <f>SUMIFS(Cash_Flow_3[Amount],Cash_Flow_3[Bulan],H779,Cash_Flow_3[Type],"Out",Cash_Flow_3[Category],"Zela")</f>
        <v>0</v>
      </c>
      <c r="T779" s="29">
        <f>SUMIFS(Cash_Flow_3[Amount],Cash_Flow_3[Bulan],H779,Cash_Flow_3[Type],"Out",Cash_Flow_3[Category],"Iqbal")</f>
        <v>0</v>
      </c>
    </row>
    <row r="780" spans="1:20" ht="22.5" customHeight="1" x14ac:dyDescent="0.2">
      <c r="A780" s="23"/>
      <c r="B780" s="24"/>
      <c r="C780" s="25"/>
      <c r="D780" s="25"/>
      <c r="E780" s="25"/>
      <c r="F780" s="26"/>
      <c r="G780" s="27"/>
      <c r="H780" s="28" t="str">
        <f t="shared" si="0"/>
        <v/>
      </c>
      <c r="I780" s="29">
        <f>SUMIFS(Cash_Flow_3[Amount],Cash_Flow_3[Bulan],H780,Cash_Flow_3[Type],"In")</f>
        <v>0</v>
      </c>
      <c r="J780" s="29">
        <f>SUMIFS(Cash_Flow_3[Amount],Cash_Flow_3[Bulan],H780,Cash_Flow_3[Type],"Out")</f>
        <v>0</v>
      </c>
      <c r="K780" s="29">
        <f>SUMIFS(Cash_Flow_3[Amount],Cash_Flow_3[Bulan],H780,Cash_Flow_3[Type],"Out",Cash_Flow_3[Category],"Fix")</f>
        <v>0</v>
      </c>
      <c r="L780" s="29">
        <f>SUMIFS(Cash_Flow_3[Amount],Cash_Flow_3[Bulan],H780,Cash_Flow_3[Type],"Out",Cash_Flow_3[Category],"Bathroom")</f>
        <v>0</v>
      </c>
      <c r="M780" s="29">
        <f>SUMIFS(Cash_Flow_3[Amount],Cash_Flow_3[Bulan],H780,Cash_Flow_3[Type],"Out",Cash_Flow_3[Category],"Alfa")</f>
        <v>0</v>
      </c>
      <c r="N780" s="29">
        <f>SUMIFS(Cash_Flow_3[Amount],Cash_Flow_3[Bulan],H780,Cash_Flow_3[Type],"Out",Cash_Flow_3[Category],"Jajan")</f>
        <v>0</v>
      </c>
      <c r="O780" s="29">
        <f>SUMIFS(Cash_Flow_3[Amount],Cash_Flow_3[Bulan],H780,Cash_Flow_3[Type],"Out",Cash_Flow_3[Category],"Kitchen")</f>
        <v>0</v>
      </c>
      <c r="P780" s="29">
        <f>SUMIFS(Cash_Flow_3[Amount],Cash_Flow_3[Bulan],H780,Cash_Flow_3[Type],"Out",Cash_Flow_3[Category],"Loandry")</f>
        <v>0</v>
      </c>
      <c r="Q780" s="29">
        <f>SUMIFS(Cash_Flow_3[Amount],Cash_Flow_3[Bulan],H780,Cash_Flow_3[Type],"Out",Cash_Flow_3[Category],"Mio")</f>
        <v>0</v>
      </c>
      <c r="R780" s="29">
        <f>SUMIFS(Cash_Flow_3[Amount],Cash_Flow_3[Bulan],H780,Cash_Flow_3[Type],"Out",Cash_Flow_3[Category],"Sedekah")</f>
        <v>0</v>
      </c>
      <c r="S780" s="29">
        <f>SUMIFS(Cash_Flow_3[Amount],Cash_Flow_3[Bulan],H780,Cash_Flow_3[Type],"Out",Cash_Flow_3[Category],"Zela")</f>
        <v>0</v>
      </c>
      <c r="T780" s="29">
        <f>SUMIFS(Cash_Flow_3[Amount],Cash_Flow_3[Bulan],H780,Cash_Flow_3[Type],"Out",Cash_Flow_3[Category],"Iqbal")</f>
        <v>0</v>
      </c>
    </row>
    <row r="781" spans="1:20" ht="22.5" customHeight="1" x14ac:dyDescent="0.2">
      <c r="A781" s="23"/>
      <c r="B781" s="24"/>
      <c r="C781" s="25"/>
      <c r="D781" s="25"/>
      <c r="E781" s="25"/>
      <c r="F781" s="26"/>
      <c r="G781" s="27"/>
      <c r="H781" s="28" t="str">
        <f t="shared" si="0"/>
        <v/>
      </c>
      <c r="I781" s="29">
        <f>SUMIFS(Cash_Flow_3[Amount],Cash_Flow_3[Bulan],H781,Cash_Flow_3[Type],"In")</f>
        <v>0</v>
      </c>
      <c r="J781" s="29">
        <f>SUMIFS(Cash_Flow_3[Amount],Cash_Flow_3[Bulan],H781,Cash_Flow_3[Type],"Out")</f>
        <v>0</v>
      </c>
      <c r="K781" s="29">
        <f>SUMIFS(Cash_Flow_3[Amount],Cash_Flow_3[Bulan],H781,Cash_Flow_3[Type],"Out",Cash_Flow_3[Category],"Fix")</f>
        <v>0</v>
      </c>
      <c r="L781" s="29">
        <f>SUMIFS(Cash_Flow_3[Amount],Cash_Flow_3[Bulan],H781,Cash_Flow_3[Type],"Out",Cash_Flow_3[Category],"Bathroom")</f>
        <v>0</v>
      </c>
      <c r="M781" s="29">
        <f>SUMIFS(Cash_Flow_3[Amount],Cash_Flow_3[Bulan],H781,Cash_Flow_3[Type],"Out",Cash_Flow_3[Category],"Alfa")</f>
        <v>0</v>
      </c>
      <c r="N781" s="29">
        <f>SUMIFS(Cash_Flow_3[Amount],Cash_Flow_3[Bulan],H781,Cash_Flow_3[Type],"Out",Cash_Flow_3[Category],"Jajan")</f>
        <v>0</v>
      </c>
      <c r="O781" s="29">
        <f>SUMIFS(Cash_Flow_3[Amount],Cash_Flow_3[Bulan],H781,Cash_Flow_3[Type],"Out",Cash_Flow_3[Category],"Kitchen")</f>
        <v>0</v>
      </c>
      <c r="P781" s="29">
        <f>SUMIFS(Cash_Flow_3[Amount],Cash_Flow_3[Bulan],H781,Cash_Flow_3[Type],"Out",Cash_Flow_3[Category],"Loandry")</f>
        <v>0</v>
      </c>
      <c r="Q781" s="29">
        <f>SUMIFS(Cash_Flow_3[Amount],Cash_Flow_3[Bulan],H781,Cash_Flow_3[Type],"Out",Cash_Flow_3[Category],"Mio")</f>
        <v>0</v>
      </c>
      <c r="R781" s="29">
        <f>SUMIFS(Cash_Flow_3[Amount],Cash_Flow_3[Bulan],H781,Cash_Flow_3[Type],"Out",Cash_Flow_3[Category],"Sedekah")</f>
        <v>0</v>
      </c>
      <c r="S781" s="29">
        <f>SUMIFS(Cash_Flow_3[Amount],Cash_Flow_3[Bulan],H781,Cash_Flow_3[Type],"Out",Cash_Flow_3[Category],"Zela")</f>
        <v>0</v>
      </c>
      <c r="T781" s="29">
        <f>SUMIFS(Cash_Flow_3[Amount],Cash_Flow_3[Bulan],H781,Cash_Flow_3[Type],"Out",Cash_Flow_3[Category],"Iqbal")</f>
        <v>0</v>
      </c>
    </row>
    <row r="782" spans="1:20" ht="22.5" customHeight="1" x14ac:dyDescent="0.2">
      <c r="A782" s="23"/>
      <c r="B782" s="24"/>
      <c r="C782" s="25"/>
      <c r="D782" s="25"/>
      <c r="E782" s="25"/>
      <c r="F782" s="26"/>
      <c r="G782" s="27"/>
      <c r="H782" s="28" t="str">
        <f t="shared" si="0"/>
        <v/>
      </c>
      <c r="I782" s="29">
        <f>SUMIFS(Cash_Flow_3[Amount],Cash_Flow_3[Bulan],H782,Cash_Flow_3[Type],"In")</f>
        <v>0</v>
      </c>
      <c r="J782" s="29">
        <f>SUMIFS(Cash_Flow_3[Amount],Cash_Flow_3[Bulan],H782,Cash_Flow_3[Type],"Out")</f>
        <v>0</v>
      </c>
      <c r="K782" s="29">
        <f>SUMIFS(Cash_Flow_3[Amount],Cash_Flow_3[Bulan],H782,Cash_Flow_3[Type],"Out",Cash_Flow_3[Category],"Fix")</f>
        <v>0</v>
      </c>
      <c r="L782" s="29">
        <f>SUMIFS(Cash_Flow_3[Amount],Cash_Flow_3[Bulan],H782,Cash_Flow_3[Type],"Out",Cash_Flow_3[Category],"Bathroom")</f>
        <v>0</v>
      </c>
      <c r="M782" s="29">
        <f>SUMIFS(Cash_Flow_3[Amount],Cash_Flow_3[Bulan],H782,Cash_Flow_3[Type],"Out",Cash_Flow_3[Category],"Alfa")</f>
        <v>0</v>
      </c>
      <c r="N782" s="29">
        <f>SUMIFS(Cash_Flow_3[Amount],Cash_Flow_3[Bulan],H782,Cash_Flow_3[Type],"Out",Cash_Flow_3[Category],"Jajan")</f>
        <v>0</v>
      </c>
      <c r="O782" s="29">
        <f>SUMIFS(Cash_Flow_3[Amount],Cash_Flow_3[Bulan],H782,Cash_Flow_3[Type],"Out",Cash_Flow_3[Category],"Kitchen")</f>
        <v>0</v>
      </c>
      <c r="P782" s="29">
        <f>SUMIFS(Cash_Flow_3[Amount],Cash_Flow_3[Bulan],H782,Cash_Flow_3[Type],"Out",Cash_Flow_3[Category],"Loandry")</f>
        <v>0</v>
      </c>
      <c r="Q782" s="29">
        <f>SUMIFS(Cash_Flow_3[Amount],Cash_Flow_3[Bulan],H782,Cash_Flow_3[Type],"Out",Cash_Flow_3[Category],"Mio")</f>
        <v>0</v>
      </c>
      <c r="R782" s="29">
        <f>SUMIFS(Cash_Flow_3[Amount],Cash_Flow_3[Bulan],H782,Cash_Flow_3[Type],"Out",Cash_Flow_3[Category],"Sedekah")</f>
        <v>0</v>
      </c>
      <c r="S782" s="29">
        <f>SUMIFS(Cash_Flow_3[Amount],Cash_Flow_3[Bulan],H782,Cash_Flow_3[Type],"Out",Cash_Flow_3[Category],"Zela")</f>
        <v>0</v>
      </c>
      <c r="T782" s="29">
        <f>SUMIFS(Cash_Flow_3[Amount],Cash_Flow_3[Bulan],H782,Cash_Flow_3[Type],"Out",Cash_Flow_3[Category],"Iqbal")</f>
        <v>0</v>
      </c>
    </row>
    <row r="783" spans="1:20" ht="22.5" customHeight="1" x14ac:dyDescent="0.2">
      <c r="A783" s="23"/>
      <c r="B783" s="24"/>
      <c r="C783" s="25"/>
      <c r="D783" s="25"/>
      <c r="E783" s="25"/>
      <c r="F783" s="26"/>
      <c r="G783" s="27"/>
      <c r="H783" s="28" t="str">
        <f t="shared" si="0"/>
        <v/>
      </c>
      <c r="I783" s="29">
        <f>SUMIFS(Cash_Flow_3[Amount],Cash_Flow_3[Bulan],H783,Cash_Flow_3[Type],"In")</f>
        <v>0</v>
      </c>
      <c r="J783" s="29">
        <f>SUMIFS(Cash_Flow_3[Amount],Cash_Flow_3[Bulan],H783,Cash_Flow_3[Type],"Out")</f>
        <v>0</v>
      </c>
      <c r="K783" s="29">
        <f>SUMIFS(Cash_Flow_3[Amount],Cash_Flow_3[Bulan],H783,Cash_Flow_3[Type],"Out",Cash_Flow_3[Category],"Fix")</f>
        <v>0</v>
      </c>
      <c r="L783" s="29">
        <f>SUMIFS(Cash_Flow_3[Amount],Cash_Flow_3[Bulan],H783,Cash_Flow_3[Type],"Out",Cash_Flow_3[Category],"Bathroom")</f>
        <v>0</v>
      </c>
      <c r="M783" s="29">
        <f>SUMIFS(Cash_Flow_3[Amount],Cash_Flow_3[Bulan],H783,Cash_Flow_3[Type],"Out",Cash_Flow_3[Category],"Alfa")</f>
        <v>0</v>
      </c>
      <c r="N783" s="29">
        <f>SUMIFS(Cash_Flow_3[Amount],Cash_Flow_3[Bulan],H783,Cash_Flow_3[Type],"Out",Cash_Flow_3[Category],"Jajan")</f>
        <v>0</v>
      </c>
      <c r="O783" s="29">
        <f>SUMIFS(Cash_Flow_3[Amount],Cash_Flow_3[Bulan],H783,Cash_Flow_3[Type],"Out",Cash_Flow_3[Category],"Kitchen")</f>
        <v>0</v>
      </c>
      <c r="P783" s="29">
        <f>SUMIFS(Cash_Flow_3[Amount],Cash_Flow_3[Bulan],H783,Cash_Flow_3[Type],"Out",Cash_Flow_3[Category],"Loandry")</f>
        <v>0</v>
      </c>
      <c r="Q783" s="29">
        <f>SUMIFS(Cash_Flow_3[Amount],Cash_Flow_3[Bulan],H783,Cash_Flow_3[Type],"Out",Cash_Flow_3[Category],"Mio")</f>
        <v>0</v>
      </c>
      <c r="R783" s="29">
        <f>SUMIFS(Cash_Flow_3[Amount],Cash_Flow_3[Bulan],H783,Cash_Flow_3[Type],"Out",Cash_Flow_3[Category],"Sedekah")</f>
        <v>0</v>
      </c>
      <c r="S783" s="29">
        <f>SUMIFS(Cash_Flow_3[Amount],Cash_Flow_3[Bulan],H783,Cash_Flow_3[Type],"Out",Cash_Flow_3[Category],"Zela")</f>
        <v>0</v>
      </c>
      <c r="T783" s="29">
        <f>SUMIFS(Cash_Flow_3[Amount],Cash_Flow_3[Bulan],H783,Cash_Flow_3[Type],"Out",Cash_Flow_3[Category],"Iqbal")</f>
        <v>0</v>
      </c>
    </row>
    <row r="784" spans="1:20" ht="22.5" customHeight="1" x14ac:dyDescent="0.2">
      <c r="A784" s="23"/>
      <c r="B784" s="24"/>
      <c r="C784" s="25"/>
      <c r="D784" s="25"/>
      <c r="E784" s="25"/>
      <c r="F784" s="26"/>
      <c r="G784" s="27"/>
      <c r="H784" s="28" t="str">
        <f t="shared" si="0"/>
        <v/>
      </c>
      <c r="I784" s="29">
        <f>SUMIFS(Cash_Flow_3[Amount],Cash_Flow_3[Bulan],H784,Cash_Flow_3[Type],"In")</f>
        <v>0</v>
      </c>
      <c r="J784" s="29">
        <f>SUMIFS(Cash_Flow_3[Amount],Cash_Flow_3[Bulan],H784,Cash_Flow_3[Type],"Out")</f>
        <v>0</v>
      </c>
      <c r="K784" s="29">
        <f>SUMIFS(Cash_Flow_3[Amount],Cash_Flow_3[Bulan],H784,Cash_Flow_3[Type],"Out",Cash_Flow_3[Category],"Fix")</f>
        <v>0</v>
      </c>
      <c r="L784" s="29">
        <f>SUMIFS(Cash_Flow_3[Amount],Cash_Flow_3[Bulan],H784,Cash_Flow_3[Type],"Out",Cash_Flow_3[Category],"Bathroom")</f>
        <v>0</v>
      </c>
      <c r="M784" s="29">
        <f>SUMIFS(Cash_Flow_3[Amount],Cash_Flow_3[Bulan],H784,Cash_Flow_3[Type],"Out",Cash_Flow_3[Category],"Alfa")</f>
        <v>0</v>
      </c>
      <c r="N784" s="29">
        <f>SUMIFS(Cash_Flow_3[Amount],Cash_Flow_3[Bulan],H784,Cash_Flow_3[Type],"Out",Cash_Flow_3[Category],"Jajan")</f>
        <v>0</v>
      </c>
      <c r="O784" s="29">
        <f>SUMIFS(Cash_Flow_3[Amount],Cash_Flow_3[Bulan],H784,Cash_Flow_3[Type],"Out",Cash_Flow_3[Category],"Kitchen")</f>
        <v>0</v>
      </c>
      <c r="P784" s="29">
        <f>SUMIFS(Cash_Flow_3[Amount],Cash_Flow_3[Bulan],H784,Cash_Flow_3[Type],"Out",Cash_Flow_3[Category],"Loandry")</f>
        <v>0</v>
      </c>
      <c r="Q784" s="29">
        <f>SUMIFS(Cash_Flow_3[Amount],Cash_Flow_3[Bulan],H784,Cash_Flow_3[Type],"Out",Cash_Flow_3[Category],"Mio")</f>
        <v>0</v>
      </c>
      <c r="R784" s="29">
        <f>SUMIFS(Cash_Flow_3[Amount],Cash_Flow_3[Bulan],H784,Cash_Flow_3[Type],"Out",Cash_Flow_3[Category],"Sedekah")</f>
        <v>0</v>
      </c>
      <c r="S784" s="29">
        <f>SUMIFS(Cash_Flow_3[Amount],Cash_Flow_3[Bulan],H784,Cash_Flow_3[Type],"Out",Cash_Flow_3[Category],"Zela")</f>
        <v>0</v>
      </c>
      <c r="T784" s="29">
        <f>SUMIFS(Cash_Flow_3[Amount],Cash_Flow_3[Bulan],H784,Cash_Flow_3[Type],"Out",Cash_Flow_3[Category],"Iqbal")</f>
        <v>0</v>
      </c>
    </row>
    <row r="785" spans="1:20" ht="22.5" customHeight="1" x14ac:dyDescent="0.2">
      <c r="A785" s="23"/>
      <c r="B785" s="24"/>
      <c r="C785" s="25"/>
      <c r="D785" s="25"/>
      <c r="E785" s="25"/>
      <c r="F785" s="26"/>
      <c r="G785" s="27"/>
      <c r="H785" s="28" t="str">
        <f t="shared" si="0"/>
        <v/>
      </c>
      <c r="I785" s="29">
        <f>SUMIFS(Cash_Flow_3[Amount],Cash_Flow_3[Bulan],H785,Cash_Flow_3[Type],"In")</f>
        <v>0</v>
      </c>
      <c r="J785" s="29">
        <f>SUMIFS(Cash_Flow_3[Amount],Cash_Flow_3[Bulan],H785,Cash_Flow_3[Type],"Out")</f>
        <v>0</v>
      </c>
      <c r="K785" s="29">
        <f>SUMIFS(Cash_Flow_3[Amount],Cash_Flow_3[Bulan],H785,Cash_Flow_3[Type],"Out",Cash_Flow_3[Category],"Fix")</f>
        <v>0</v>
      </c>
      <c r="L785" s="29">
        <f>SUMIFS(Cash_Flow_3[Amount],Cash_Flow_3[Bulan],H785,Cash_Flow_3[Type],"Out",Cash_Flow_3[Category],"Bathroom")</f>
        <v>0</v>
      </c>
      <c r="M785" s="29">
        <f>SUMIFS(Cash_Flow_3[Amount],Cash_Flow_3[Bulan],H785,Cash_Flow_3[Type],"Out",Cash_Flow_3[Category],"Alfa")</f>
        <v>0</v>
      </c>
      <c r="N785" s="29">
        <f>SUMIFS(Cash_Flow_3[Amount],Cash_Flow_3[Bulan],H785,Cash_Flow_3[Type],"Out",Cash_Flow_3[Category],"Jajan")</f>
        <v>0</v>
      </c>
      <c r="O785" s="29">
        <f>SUMIFS(Cash_Flow_3[Amount],Cash_Flow_3[Bulan],H785,Cash_Flow_3[Type],"Out",Cash_Flow_3[Category],"Kitchen")</f>
        <v>0</v>
      </c>
      <c r="P785" s="29">
        <f>SUMIFS(Cash_Flow_3[Amount],Cash_Flow_3[Bulan],H785,Cash_Flow_3[Type],"Out",Cash_Flow_3[Category],"Loandry")</f>
        <v>0</v>
      </c>
      <c r="Q785" s="29">
        <f>SUMIFS(Cash_Flow_3[Amount],Cash_Flow_3[Bulan],H785,Cash_Flow_3[Type],"Out",Cash_Flow_3[Category],"Mio")</f>
        <v>0</v>
      </c>
      <c r="R785" s="29">
        <f>SUMIFS(Cash_Flow_3[Amount],Cash_Flow_3[Bulan],H785,Cash_Flow_3[Type],"Out",Cash_Flow_3[Category],"Sedekah")</f>
        <v>0</v>
      </c>
      <c r="S785" s="29">
        <f>SUMIFS(Cash_Flow_3[Amount],Cash_Flow_3[Bulan],H785,Cash_Flow_3[Type],"Out",Cash_Flow_3[Category],"Zela")</f>
        <v>0</v>
      </c>
      <c r="T785" s="29">
        <f>SUMIFS(Cash_Flow_3[Amount],Cash_Flow_3[Bulan],H785,Cash_Flow_3[Type],"Out",Cash_Flow_3[Category],"Iqbal")</f>
        <v>0</v>
      </c>
    </row>
    <row r="786" spans="1:20" ht="22.5" customHeight="1" x14ac:dyDescent="0.2">
      <c r="A786" s="23"/>
      <c r="B786" s="24"/>
      <c r="C786" s="25"/>
      <c r="D786" s="25"/>
      <c r="E786" s="25"/>
      <c r="F786" s="26"/>
      <c r="G786" s="27"/>
      <c r="H786" s="28" t="str">
        <f t="shared" si="0"/>
        <v/>
      </c>
      <c r="I786" s="29">
        <f>SUMIFS(Cash_Flow_3[Amount],Cash_Flow_3[Bulan],H786,Cash_Flow_3[Type],"In")</f>
        <v>0</v>
      </c>
      <c r="J786" s="29">
        <f>SUMIFS(Cash_Flow_3[Amount],Cash_Flow_3[Bulan],H786,Cash_Flow_3[Type],"Out")</f>
        <v>0</v>
      </c>
      <c r="K786" s="29">
        <f>SUMIFS(Cash_Flow_3[Amount],Cash_Flow_3[Bulan],H786,Cash_Flow_3[Type],"Out",Cash_Flow_3[Category],"Fix")</f>
        <v>0</v>
      </c>
      <c r="L786" s="29">
        <f>SUMIFS(Cash_Flow_3[Amount],Cash_Flow_3[Bulan],H786,Cash_Flow_3[Type],"Out",Cash_Flow_3[Category],"Bathroom")</f>
        <v>0</v>
      </c>
      <c r="M786" s="29">
        <f>SUMIFS(Cash_Flow_3[Amount],Cash_Flow_3[Bulan],H786,Cash_Flow_3[Type],"Out",Cash_Flow_3[Category],"Alfa")</f>
        <v>0</v>
      </c>
      <c r="N786" s="29">
        <f>SUMIFS(Cash_Flow_3[Amount],Cash_Flow_3[Bulan],H786,Cash_Flow_3[Type],"Out",Cash_Flow_3[Category],"Jajan")</f>
        <v>0</v>
      </c>
      <c r="O786" s="29">
        <f>SUMIFS(Cash_Flow_3[Amount],Cash_Flow_3[Bulan],H786,Cash_Flow_3[Type],"Out",Cash_Flow_3[Category],"Kitchen")</f>
        <v>0</v>
      </c>
      <c r="P786" s="29">
        <f>SUMIFS(Cash_Flow_3[Amount],Cash_Flow_3[Bulan],H786,Cash_Flow_3[Type],"Out",Cash_Flow_3[Category],"Loandry")</f>
        <v>0</v>
      </c>
      <c r="Q786" s="29">
        <f>SUMIFS(Cash_Flow_3[Amount],Cash_Flow_3[Bulan],H786,Cash_Flow_3[Type],"Out",Cash_Flow_3[Category],"Mio")</f>
        <v>0</v>
      </c>
      <c r="R786" s="29">
        <f>SUMIFS(Cash_Flow_3[Amount],Cash_Flow_3[Bulan],H786,Cash_Flow_3[Type],"Out",Cash_Flow_3[Category],"Sedekah")</f>
        <v>0</v>
      </c>
      <c r="S786" s="29">
        <f>SUMIFS(Cash_Flow_3[Amount],Cash_Flow_3[Bulan],H786,Cash_Flow_3[Type],"Out",Cash_Flow_3[Category],"Zela")</f>
        <v>0</v>
      </c>
      <c r="T786" s="29">
        <f>SUMIFS(Cash_Flow_3[Amount],Cash_Flow_3[Bulan],H786,Cash_Flow_3[Type],"Out",Cash_Flow_3[Category],"Iqbal")</f>
        <v>0</v>
      </c>
    </row>
    <row r="787" spans="1:20" ht="22.5" customHeight="1" x14ac:dyDescent="0.2">
      <c r="A787" s="23"/>
      <c r="B787" s="24"/>
      <c r="C787" s="25"/>
      <c r="D787" s="25"/>
      <c r="E787" s="25"/>
      <c r="F787" s="26"/>
      <c r="G787" s="27"/>
      <c r="H787" s="28" t="str">
        <f t="shared" si="0"/>
        <v/>
      </c>
      <c r="I787" s="29">
        <f>SUMIFS(Cash_Flow_3[Amount],Cash_Flow_3[Bulan],H787,Cash_Flow_3[Type],"In")</f>
        <v>0</v>
      </c>
      <c r="J787" s="29">
        <f>SUMIFS(Cash_Flow_3[Amount],Cash_Flow_3[Bulan],H787,Cash_Flow_3[Type],"Out")</f>
        <v>0</v>
      </c>
      <c r="K787" s="29">
        <f>SUMIFS(Cash_Flow_3[Amount],Cash_Flow_3[Bulan],H787,Cash_Flow_3[Type],"Out",Cash_Flow_3[Category],"Fix")</f>
        <v>0</v>
      </c>
      <c r="L787" s="29">
        <f>SUMIFS(Cash_Flow_3[Amount],Cash_Flow_3[Bulan],H787,Cash_Flow_3[Type],"Out",Cash_Flow_3[Category],"Bathroom")</f>
        <v>0</v>
      </c>
      <c r="M787" s="29">
        <f>SUMIFS(Cash_Flow_3[Amount],Cash_Flow_3[Bulan],H787,Cash_Flow_3[Type],"Out",Cash_Flow_3[Category],"Alfa")</f>
        <v>0</v>
      </c>
      <c r="N787" s="29">
        <f>SUMIFS(Cash_Flow_3[Amount],Cash_Flow_3[Bulan],H787,Cash_Flow_3[Type],"Out",Cash_Flow_3[Category],"Jajan")</f>
        <v>0</v>
      </c>
      <c r="O787" s="29">
        <f>SUMIFS(Cash_Flow_3[Amount],Cash_Flow_3[Bulan],H787,Cash_Flow_3[Type],"Out",Cash_Flow_3[Category],"Kitchen")</f>
        <v>0</v>
      </c>
      <c r="P787" s="29">
        <f>SUMIFS(Cash_Flow_3[Amount],Cash_Flow_3[Bulan],H787,Cash_Flow_3[Type],"Out",Cash_Flow_3[Category],"Loandry")</f>
        <v>0</v>
      </c>
      <c r="Q787" s="29">
        <f>SUMIFS(Cash_Flow_3[Amount],Cash_Flow_3[Bulan],H787,Cash_Flow_3[Type],"Out",Cash_Flow_3[Category],"Mio")</f>
        <v>0</v>
      </c>
      <c r="R787" s="29">
        <f>SUMIFS(Cash_Flow_3[Amount],Cash_Flow_3[Bulan],H787,Cash_Flow_3[Type],"Out",Cash_Flow_3[Category],"Sedekah")</f>
        <v>0</v>
      </c>
      <c r="S787" s="29">
        <f>SUMIFS(Cash_Flow_3[Amount],Cash_Flow_3[Bulan],H787,Cash_Flow_3[Type],"Out",Cash_Flow_3[Category],"Zela")</f>
        <v>0</v>
      </c>
      <c r="T787" s="29">
        <f>SUMIFS(Cash_Flow_3[Amount],Cash_Flow_3[Bulan],H787,Cash_Flow_3[Type],"Out",Cash_Flow_3[Category],"Iqbal")</f>
        <v>0</v>
      </c>
    </row>
    <row r="788" spans="1:20" ht="22.5" customHeight="1" x14ac:dyDescent="0.2">
      <c r="A788" s="23"/>
      <c r="B788" s="24"/>
      <c r="C788" s="25"/>
      <c r="D788" s="25"/>
      <c r="E788" s="25"/>
      <c r="F788" s="26"/>
      <c r="G788" s="27"/>
      <c r="H788" s="28" t="str">
        <f t="shared" si="0"/>
        <v/>
      </c>
      <c r="I788" s="29">
        <f>SUMIFS(Cash_Flow_3[Amount],Cash_Flow_3[Bulan],H788,Cash_Flow_3[Type],"In")</f>
        <v>0</v>
      </c>
      <c r="J788" s="29">
        <f>SUMIFS(Cash_Flow_3[Amount],Cash_Flow_3[Bulan],H788,Cash_Flow_3[Type],"Out")</f>
        <v>0</v>
      </c>
      <c r="K788" s="29">
        <f>SUMIFS(Cash_Flow_3[Amount],Cash_Flow_3[Bulan],H788,Cash_Flow_3[Type],"Out",Cash_Flow_3[Category],"Fix")</f>
        <v>0</v>
      </c>
      <c r="L788" s="29">
        <f>SUMIFS(Cash_Flow_3[Amount],Cash_Flow_3[Bulan],H788,Cash_Flow_3[Type],"Out",Cash_Flow_3[Category],"Bathroom")</f>
        <v>0</v>
      </c>
      <c r="M788" s="29">
        <f>SUMIFS(Cash_Flow_3[Amount],Cash_Flow_3[Bulan],H788,Cash_Flow_3[Type],"Out",Cash_Flow_3[Category],"Alfa")</f>
        <v>0</v>
      </c>
      <c r="N788" s="29">
        <f>SUMIFS(Cash_Flow_3[Amount],Cash_Flow_3[Bulan],H788,Cash_Flow_3[Type],"Out",Cash_Flow_3[Category],"Jajan")</f>
        <v>0</v>
      </c>
      <c r="O788" s="29">
        <f>SUMIFS(Cash_Flow_3[Amount],Cash_Flow_3[Bulan],H788,Cash_Flow_3[Type],"Out",Cash_Flow_3[Category],"Kitchen")</f>
        <v>0</v>
      </c>
      <c r="P788" s="29">
        <f>SUMIFS(Cash_Flow_3[Amount],Cash_Flow_3[Bulan],H788,Cash_Flow_3[Type],"Out",Cash_Flow_3[Category],"Loandry")</f>
        <v>0</v>
      </c>
      <c r="Q788" s="29">
        <f>SUMIFS(Cash_Flow_3[Amount],Cash_Flow_3[Bulan],H788,Cash_Flow_3[Type],"Out",Cash_Flow_3[Category],"Mio")</f>
        <v>0</v>
      </c>
      <c r="R788" s="29">
        <f>SUMIFS(Cash_Flow_3[Amount],Cash_Flow_3[Bulan],H788,Cash_Flow_3[Type],"Out",Cash_Flow_3[Category],"Sedekah")</f>
        <v>0</v>
      </c>
      <c r="S788" s="29">
        <f>SUMIFS(Cash_Flow_3[Amount],Cash_Flow_3[Bulan],H788,Cash_Flow_3[Type],"Out",Cash_Flow_3[Category],"Zela")</f>
        <v>0</v>
      </c>
      <c r="T788" s="29">
        <f>SUMIFS(Cash_Flow_3[Amount],Cash_Flow_3[Bulan],H788,Cash_Flow_3[Type],"Out",Cash_Flow_3[Category],"Iqbal")</f>
        <v>0</v>
      </c>
    </row>
    <row r="789" spans="1:20" ht="22.5" customHeight="1" x14ac:dyDescent="0.2">
      <c r="A789" s="23"/>
      <c r="B789" s="24"/>
      <c r="C789" s="25"/>
      <c r="D789" s="25"/>
      <c r="E789" s="25"/>
      <c r="F789" s="26"/>
      <c r="G789" s="27"/>
      <c r="H789" s="28" t="str">
        <f t="shared" si="0"/>
        <v/>
      </c>
      <c r="I789" s="29">
        <f>SUMIFS(Cash_Flow_3[Amount],Cash_Flow_3[Bulan],H789,Cash_Flow_3[Type],"In")</f>
        <v>0</v>
      </c>
      <c r="J789" s="29">
        <f>SUMIFS(Cash_Flow_3[Amount],Cash_Flow_3[Bulan],H789,Cash_Flow_3[Type],"Out")</f>
        <v>0</v>
      </c>
      <c r="K789" s="29">
        <f>SUMIFS(Cash_Flow_3[Amount],Cash_Flow_3[Bulan],H789,Cash_Flow_3[Type],"Out",Cash_Flow_3[Category],"Fix")</f>
        <v>0</v>
      </c>
      <c r="L789" s="29">
        <f>SUMIFS(Cash_Flow_3[Amount],Cash_Flow_3[Bulan],H789,Cash_Flow_3[Type],"Out",Cash_Flow_3[Category],"Bathroom")</f>
        <v>0</v>
      </c>
      <c r="M789" s="29">
        <f>SUMIFS(Cash_Flow_3[Amount],Cash_Flow_3[Bulan],H789,Cash_Flow_3[Type],"Out",Cash_Flow_3[Category],"Alfa")</f>
        <v>0</v>
      </c>
      <c r="N789" s="29">
        <f>SUMIFS(Cash_Flow_3[Amount],Cash_Flow_3[Bulan],H789,Cash_Flow_3[Type],"Out",Cash_Flow_3[Category],"Jajan")</f>
        <v>0</v>
      </c>
      <c r="O789" s="29">
        <f>SUMIFS(Cash_Flow_3[Amount],Cash_Flow_3[Bulan],H789,Cash_Flow_3[Type],"Out",Cash_Flow_3[Category],"Kitchen")</f>
        <v>0</v>
      </c>
      <c r="P789" s="29">
        <f>SUMIFS(Cash_Flow_3[Amount],Cash_Flow_3[Bulan],H789,Cash_Flow_3[Type],"Out",Cash_Flow_3[Category],"Loandry")</f>
        <v>0</v>
      </c>
      <c r="Q789" s="29">
        <f>SUMIFS(Cash_Flow_3[Amount],Cash_Flow_3[Bulan],H789,Cash_Flow_3[Type],"Out",Cash_Flow_3[Category],"Mio")</f>
        <v>0</v>
      </c>
      <c r="R789" s="29">
        <f>SUMIFS(Cash_Flow_3[Amount],Cash_Flow_3[Bulan],H789,Cash_Flow_3[Type],"Out",Cash_Flow_3[Category],"Sedekah")</f>
        <v>0</v>
      </c>
      <c r="S789" s="29">
        <f>SUMIFS(Cash_Flow_3[Amount],Cash_Flow_3[Bulan],H789,Cash_Flow_3[Type],"Out",Cash_Flow_3[Category],"Zela")</f>
        <v>0</v>
      </c>
      <c r="T789" s="29">
        <f>SUMIFS(Cash_Flow_3[Amount],Cash_Flow_3[Bulan],H789,Cash_Flow_3[Type],"Out",Cash_Flow_3[Category],"Iqbal")</f>
        <v>0</v>
      </c>
    </row>
    <row r="790" spans="1:20" ht="22.5" customHeight="1" x14ac:dyDescent="0.2">
      <c r="A790" s="23"/>
      <c r="B790" s="24"/>
      <c r="C790" s="25"/>
      <c r="D790" s="25"/>
      <c r="E790" s="25"/>
      <c r="F790" s="26"/>
      <c r="G790" s="27"/>
      <c r="H790" s="28" t="str">
        <f t="shared" si="0"/>
        <v/>
      </c>
      <c r="I790" s="29">
        <f>SUMIFS(Cash_Flow_3[Amount],Cash_Flow_3[Bulan],H790,Cash_Flow_3[Type],"In")</f>
        <v>0</v>
      </c>
      <c r="J790" s="29">
        <f>SUMIFS(Cash_Flow_3[Amount],Cash_Flow_3[Bulan],H790,Cash_Flow_3[Type],"Out")</f>
        <v>0</v>
      </c>
      <c r="K790" s="29">
        <f>SUMIFS(Cash_Flow_3[Amount],Cash_Flow_3[Bulan],H790,Cash_Flow_3[Type],"Out",Cash_Flow_3[Category],"Fix")</f>
        <v>0</v>
      </c>
      <c r="L790" s="29">
        <f>SUMIFS(Cash_Flow_3[Amount],Cash_Flow_3[Bulan],H790,Cash_Flow_3[Type],"Out",Cash_Flow_3[Category],"Bathroom")</f>
        <v>0</v>
      </c>
      <c r="M790" s="29">
        <f>SUMIFS(Cash_Flow_3[Amount],Cash_Flow_3[Bulan],H790,Cash_Flow_3[Type],"Out",Cash_Flow_3[Category],"Alfa")</f>
        <v>0</v>
      </c>
      <c r="N790" s="29">
        <f>SUMIFS(Cash_Flow_3[Amount],Cash_Flow_3[Bulan],H790,Cash_Flow_3[Type],"Out",Cash_Flow_3[Category],"Jajan")</f>
        <v>0</v>
      </c>
      <c r="O790" s="29">
        <f>SUMIFS(Cash_Flow_3[Amount],Cash_Flow_3[Bulan],H790,Cash_Flow_3[Type],"Out",Cash_Flow_3[Category],"Kitchen")</f>
        <v>0</v>
      </c>
      <c r="P790" s="29">
        <f>SUMIFS(Cash_Flow_3[Amount],Cash_Flow_3[Bulan],H790,Cash_Flow_3[Type],"Out",Cash_Flow_3[Category],"Loandry")</f>
        <v>0</v>
      </c>
      <c r="Q790" s="29">
        <f>SUMIFS(Cash_Flow_3[Amount],Cash_Flow_3[Bulan],H790,Cash_Flow_3[Type],"Out",Cash_Flow_3[Category],"Mio")</f>
        <v>0</v>
      </c>
      <c r="R790" s="29">
        <f>SUMIFS(Cash_Flow_3[Amount],Cash_Flow_3[Bulan],H790,Cash_Flow_3[Type],"Out",Cash_Flow_3[Category],"Sedekah")</f>
        <v>0</v>
      </c>
      <c r="S790" s="29">
        <f>SUMIFS(Cash_Flow_3[Amount],Cash_Flow_3[Bulan],H790,Cash_Flow_3[Type],"Out",Cash_Flow_3[Category],"Zela")</f>
        <v>0</v>
      </c>
      <c r="T790" s="29">
        <f>SUMIFS(Cash_Flow_3[Amount],Cash_Flow_3[Bulan],H790,Cash_Flow_3[Type],"Out",Cash_Flow_3[Category],"Iqbal")</f>
        <v>0</v>
      </c>
    </row>
    <row r="791" spans="1:20" ht="22.5" customHeight="1" x14ac:dyDescent="0.2">
      <c r="A791" s="23"/>
      <c r="B791" s="24"/>
      <c r="C791" s="25"/>
      <c r="D791" s="25"/>
      <c r="E791" s="25"/>
      <c r="F791" s="26"/>
      <c r="G791" s="27"/>
      <c r="H791" s="28" t="str">
        <f t="shared" si="0"/>
        <v/>
      </c>
      <c r="I791" s="29">
        <f>SUMIFS(Cash_Flow_3[Amount],Cash_Flow_3[Bulan],H791,Cash_Flow_3[Type],"In")</f>
        <v>0</v>
      </c>
      <c r="J791" s="29">
        <f>SUMIFS(Cash_Flow_3[Amount],Cash_Flow_3[Bulan],H791,Cash_Flow_3[Type],"Out")</f>
        <v>0</v>
      </c>
      <c r="K791" s="29">
        <f>SUMIFS(Cash_Flow_3[Amount],Cash_Flow_3[Bulan],H791,Cash_Flow_3[Type],"Out",Cash_Flow_3[Category],"Fix")</f>
        <v>0</v>
      </c>
      <c r="L791" s="29">
        <f>SUMIFS(Cash_Flow_3[Amount],Cash_Flow_3[Bulan],H791,Cash_Flow_3[Type],"Out",Cash_Flow_3[Category],"Bathroom")</f>
        <v>0</v>
      </c>
      <c r="M791" s="29">
        <f>SUMIFS(Cash_Flow_3[Amount],Cash_Flow_3[Bulan],H791,Cash_Flow_3[Type],"Out",Cash_Flow_3[Category],"Alfa")</f>
        <v>0</v>
      </c>
      <c r="N791" s="29">
        <f>SUMIFS(Cash_Flow_3[Amount],Cash_Flow_3[Bulan],H791,Cash_Flow_3[Type],"Out",Cash_Flow_3[Category],"Jajan")</f>
        <v>0</v>
      </c>
      <c r="O791" s="29">
        <f>SUMIFS(Cash_Flow_3[Amount],Cash_Flow_3[Bulan],H791,Cash_Flow_3[Type],"Out",Cash_Flow_3[Category],"Kitchen")</f>
        <v>0</v>
      </c>
      <c r="P791" s="29">
        <f>SUMIFS(Cash_Flow_3[Amount],Cash_Flow_3[Bulan],H791,Cash_Flow_3[Type],"Out",Cash_Flow_3[Category],"Loandry")</f>
        <v>0</v>
      </c>
      <c r="Q791" s="29">
        <f>SUMIFS(Cash_Flow_3[Amount],Cash_Flow_3[Bulan],H791,Cash_Flow_3[Type],"Out",Cash_Flow_3[Category],"Mio")</f>
        <v>0</v>
      </c>
      <c r="R791" s="29">
        <f>SUMIFS(Cash_Flow_3[Amount],Cash_Flow_3[Bulan],H791,Cash_Flow_3[Type],"Out",Cash_Flow_3[Category],"Sedekah")</f>
        <v>0</v>
      </c>
      <c r="S791" s="29">
        <f>SUMIFS(Cash_Flow_3[Amount],Cash_Flow_3[Bulan],H791,Cash_Flow_3[Type],"Out",Cash_Flow_3[Category],"Zela")</f>
        <v>0</v>
      </c>
      <c r="T791" s="29">
        <f>SUMIFS(Cash_Flow_3[Amount],Cash_Flow_3[Bulan],H791,Cash_Flow_3[Type],"Out",Cash_Flow_3[Category],"Iqbal")</f>
        <v>0</v>
      </c>
    </row>
    <row r="792" spans="1:20" ht="22.5" customHeight="1" x14ac:dyDescent="0.2">
      <c r="A792" s="23"/>
      <c r="B792" s="24"/>
      <c r="C792" s="25"/>
      <c r="D792" s="25"/>
      <c r="E792" s="25"/>
      <c r="F792" s="26"/>
      <c r="G792" s="27"/>
      <c r="H792" s="28" t="str">
        <f t="shared" si="0"/>
        <v/>
      </c>
      <c r="I792" s="29">
        <f>SUMIFS(Cash_Flow_3[Amount],Cash_Flow_3[Bulan],H792,Cash_Flow_3[Type],"In")</f>
        <v>0</v>
      </c>
      <c r="J792" s="29">
        <f>SUMIFS(Cash_Flow_3[Amount],Cash_Flow_3[Bulan],H792,Cash_Flow_3[Type],"Out")</f>
        <v>0</v>
      </c>
      <c r="K792" s="29">
        <f>SUMIFS(Cash_Flow_3[Amount],Cash_Flow_3[Bulan],H792,Cash_Flow_3[Type],"Out",Cash_Flow_3[Category],"Fix")</f>
        <v>0</v>
      </c>
      <c r="L792" s="29">
        <f>SUMIFS(Cash_Flow_3[Amount],Cash_Flow_3[Bulan],H792,Cash_Flow_3[Type],"Out",Cash_Flow_3[Category],"Bathroom")</f>
        <v>0</v>
      </c>
      <c r="M792" s="29">
        <f>SUMIFS(Cash_Flow_3[Amount],Cash_Flow_3[Bulan],H792,Cash_Flow_3[Type],"Out",Cash_Flow_3[Category],"Alfa")</f>
        <v>0</v>
      </c>
      <c r="N792" s="29">
        <f>SUMIFS(Cash_Flow_3[Amount],Cash_Flow_3[Bulan],H792,Cash_Flow_3[Type],"Out",Cash_Flow_3[Category],"Jajan")</f>
        <v>0</v>
      </c>
      <c r="O792" s="29">
        <f>SUMIFS(Cash_Flow_3[Amount],Cash_Flow_3[Bulan],H792,Cash_Flow_3[Type],"Out",Cash_Flow_3[Category],"Kitchen")</f>
        <v>0</v>
      </c>
      <c r="P792" s="29">
        <f>SUMIFS(Cash_Flow_3[Amount],Cash_Flow_3[Bulan],H792,Cash_Flow_3[Type],"Out",Cash_Flow_3[Category],"Loandry")</f>
        <v>0</v>
      </c>
      <c r="Q792" s="29">
        <f>SUMIFS(Cash_Flow_3[Amount],Cash_Flow_3[Bulan],H792,Cash_Flow_3[Type],"Out",Cash_Flow_3[Category],"Mio")</f>
        <v>0</v>
      </c>
      <c r="R792" s="29">
        <f>SUMIFS(Cash_Flow_3[Amount],Cash_Flow_3[Bulan],H792,Cash_Flow_3[Type],"Out",Cash_Flow_3[Category],"Sedekah")</f>
        <v>0</v>
      </c>
      <c r="S792" s="29">
        <f>SUMIFS(Cash_Flow_3[Amount],Cash_Flow_3[Bulan],H792,Cash_Flow_3[Type],"Out",Cash_Flow_3[Category],"Zela")</f>
        <v>0</v>
      </c>
      <c r="T792" s="29">
        <f>SUMIFS(Cash_Flow_3[Amount],Cash_Flow_3[Bulan],H792,Cash_Flow_3[Type],"Out",Cash_Flow_3[Category],"Iqbal")</f>
        <v>0</v>
      </c>
    </row>
    <row r="793" spans="1:20" ht="22.5" customHeight="1" x14ac:dyDescent="0.2">
      <c r="A793" s="23"/>
      <c r="B793" s="24"/>
      <c r="C793" s="25"/>
      <c r="D793" s="25"/>
      <c r="E793" s="25"/>
      <c r="F793" s="26"/>
      <c r="G793" s="27"/>
      <c r="H793" s="28" t="str">
        <f t="shared" si="0"/>
        <v/>
      </c>
      <c r="I793" s="29">
        <f>SUMIFS(Cash_Flow_3[Amount],Cash_Flow_3[Bulan],H793,Cash_Flow_3[Type],"In")</f>
        <v>0</v>
      </c>
      <c r="J793" s="29">
        <f>SUMIFS(Cash_Flow_3[Amount],Cash_Flow_3[Bulan],H793,Cash_Flow_3[Type],"Out")</f>
        <v>0</v>
      </c>
      <c r="K793" s="29">
        <f>SUMIFS(Cash_Flow_3[Amount],Cash_Flow_3[Bulan],H793,Cash_Flow_3[Type],"Out",Cash_Flow_3[Category],"Fix")</f>
        <v>0</v>
      </c>
      <c r="L793" s="29">
        <f>SUMIFS(Cash_Flow_3[Amount],Cash_Flow_3[Bulan],H793,Cash_Flow_3[Type],"Out",Cash_Flow_3[Category],"Bathroom")</f>
        <v>0</v>
      </c>
      <c r="M793" s="29">
        <f>SUMIFS(Cash_Flow_3[Amount],Cash_Flow_3[Bulan],H793,Cash_Flow_3[Type],"Out",Cash_Flow_3[Category],"Alfa")</f>
        <v>0</v>
      </c>
      <c r="N793" s="29">
        <f>SUMIFS(Cash_Flow_3[Amount],Cash_Flow_3[Bulan],H793,Cash_Flow_3[Type],"Out",Cash_Flow_3[Category],"Jajan")</f>
        <v>0</v>
      </c>
      <c r="O793" s="29">
        <f>SUMIFS(Cash_Flow_3[Amount],Cash_Flow_3[Bulan],H793,Cash_Flow_3[Type],"Out",Cash_Flow_3[Category],"Kitchen")</f>
        <v>0</v>
      </c>
      <c r="P793" s="29">
        <f>SUMIFS(Cash_Flow_3[Amount],Cash_Flow_3[Bulan],H793,Cash_Flow_3[Type],"Out",Cash_Flow_3[Category],"Loandry")</f>
        <v>0</v>
      </c>
      <c r="Q793" s="29">
        <f>SUMIFS(Cash_Flow_3[Amount],Cash_Flow_3[Bulan],H793,Cash_Flow_3[Type],"Out",Cash_Flow_3[Category],"Mio")</f>
        <v>0</v>
      </c>
      <c r="R793" s="29">
        <f>SUMIFS(Cash_Flow_3[Amount],Cash_Flow_3[Bulan],H793,Cash_Flow_3[Type],"Out",Cash_Flow_3[Category],"Sedekah")</f>
        <v>0</v>
      </c>
      <c r="S793" s="29">
        <f>SUMIFS(Cash_Flow_3[Amount],Cash_Flow_3[Bulan],H793,Cash_Flow_3[Type],"Out",Cash_Flow_3[Category],"Zela")</f>
        <v>0</v>
      </c>
      <c r="T793" s="29">
        <f>SUMIFS(Cash_Flow_3[Amount],Cash_Flow_3[Bulan],H793,Cash_Flow_3[Type],"Out",Cash_Flow_3[Category],"Iqbal")</f>
        <v>0</v>
      </c>
    </row>
    <row r="794" spans="1:20" ht="22.5" customHeight="1" x14ac:dyDescent="0.2">
      <c r="A794" s="23"/>
      <c r="B794" s="24"/>
      <c r="C794" s="25"/>
      <c r="D794" s="25"/>
      <c r="E794" s="25"/>
      <c r="F794" s="26"/>
      <c r="G794" s="27"/>
      <c r="H794" s="28" t="str">
        <f t="shared" si="0"/>
        <v/>
      </c>
      <c r="I794" s="29">
        <f>SUMIFS(Cash_Flow_3[Amount],Cash_Flow_3[Bulan],H794,Cash_Flow_3[Type],"In")</f>
        <v>0</v>
      </c>
      <c r="J794" s="29">
        <f>SUMIFS(Cash_Flow_3[Amount],Cash_Flow_3[Bulan],H794,Cash_Flow_3[Type],"Out")</f>
        <v>0</v>
      </c>
      <c r="K794" s="29">
        <f>SUMIFS(Cash_Flow_3[Amount],Cash_Flow_3[Bulan],H794,Cash_Flow_3[Type],"Out",Cash_Flow_3[Category],"Fix")</f>
        <v>0</v>
      </c>
      <c r="L794" s="29">
        <f>SUMIFS(Cash_Flow_3[Amount],Cash_Flow_3[Bulan],H794,Cash_Flow_3[Type],"Out",Cash_Flow_3[Category],"Bathroom")</f>
        <v>0</v>
      </c>
      <c r="M794" s="29">
        <f>SUMIFS(Cash_Flow_3[Amount],Cash_Flow_3[Bulan],H794,Cash_Flow_3[Type],"Out",Cash_Flow_3[Category],"Alfa")</f>
        <v>0</v>
      </c>
      <c r="N794" s="29">
        <f>SUMIFS(Cash_Flow_3[Amount],Cash_Flow_3[Bulan],H794,Cash_Flow_3[Type],"Out",Cash_Flow_3[Category],"Jajan")</f>
        <v>0</v>
      </c>
      <c r="O794" s="29">
        <f>SUMIFS(Cash_Flow_3[Amount],Cash_Flow_3[Bulan],H794,Cash_Flow_3[Type],"Out",Cash_Flow_3[Category],"Kitchen")</f>
        <v>0</v>
      </c>
      <c r="P794" s="29">
        <f>SUMIFS(Cash_Flow_3[Amount],Cash_Flow_3[Bulan],H794,Cash_Flow_3[Type],"Out",Cash_Flow_3[Category],"Loandry")</f>
        <v>0</v>
      </c>
      <c r="Q794" s="29">
        <f>SUMIFS(Cash_Flow_3[Amount],Cash_Flow_3[Bulan],H794,Cash_Flow_3[Type],"Out",Cash_Flow_3[Category],"Mio")</f>
        <v>0</v>
      </c>
      <c r="R794" s="29">
        <f>SUMIFS(Cash_Flow_3[Amount],Cash_Flow_3[Bulan],H794,Cash_Flow_3[Type],"Out",Cash_Flow_3[Category],"Sedekah")</f>
        <v>0</v>
      </c>
      <c r="S794" s="29">
        <f>SUMIFS(Cash_Flow_3[Amount],Cash_Flow_3[Bulan],H794,Cash_Flow_3[Type],"Out",Cash_Flow_3[Category],"Zela")</f>
        <v>0</v>
      </c>
      <c r="T794" s="29">
        <f>SUMIFS(Cash_Flow_3[Amount],Cash_Flow_3[Bulan],H794,Cash_Flow_3[Type],"Out",Cash_Flow_3[Category],"Iqbal")</f>
        <v>0</v>
      </c>
    </row>
    <row r="795" spans="1:20" ht="22.5" customHeight="1" x14ac:dyDescent="0.2">
      <c r="A795" s="23"/>
      <c r="B795" s="24"/>
      <c r="C795" s="25"/>
      <c r="D795" s="25"/>
      <c r="E795" s="25"/>
      <c r="F795" s="26"/>
      <c r="G795" s="27"/>
      <c r="H795" s="28" t="str">
        <f t="shared" si="0"/>
        <v/>
      </c>
      <c r="I795" s="29">
        <f>SUMIFS(Cash_Flow_3[Amount],Cash_Flow_3[Bulan],H795,Cash_Flow_3[Type],"In")</f>
        <v>0</v>
      </c>
      <c r="J795" s="29">
        <f>SUMIFS(Cash_Flow_3[Amount],Cash_Flow_3[Bulan],H795,Cash_Flow_3[Type],"Out")</f>
        <v>0</v>
      </c>
      <c r="K795" s="29">
        <f>SUMIFS(Cash_Flow_3[Amount],Cash_Flow_3[Bulan],H795,Cash_Flow_3[Type],"Out",Cash_Flow_3[Category],"Fix")</f>
        <v>0</v>
      </c>
      <c r="L795" s="29">
        <f>SUMIFS(Cash_Flow_3[Amount],Cash_Flow_3[Bulan],H795,Cash_Flow_3[Type],"Out",Cash_Flow_3[Category],"Bathroom")</f>
        <v>0</v>
      </c>
      <c r="M795" s="29">
        <f>SUMIFS(Cash_Flow_3[Amount],Cash_Flow_3[Bulan],H795,Cash_Flow_3[Type],"Out",Cash_Flow_3[Category],"Alfa")</f>
        <v>0</v>
      </c>
      <c r="N795" s="29">
        <f>SUMIFS(Cash_Flow_3[Amount],Cash_Flow_3[Bulan],H795,Cash_Flow_3[Type],"Out",Cash_Flow_3[Category],"Jajan")</f>
        <v>0</v>
      </c>
      <c r="O795" s="29">
        <f>SUMIFS(Cash_Flow_3[Amount],Cash_Flow_3[Bulan],H795,Cash_Flow_3[Type],"Out",Cash_Flow_3[Category],"Kitchen")</f>
        <v>0</v>
      </c>
      <c r="P795" s="29">
        <f>SUMIFS(Cash_Flow_3[Amount],Cash_Flow_3[Bulan],H795,Cash_Flow_3[Type],"Out",Cash_Flow_3[Category],"Loandry")</f>
        <v>0</v>
      </c>
      <c r="Q795" s="29">
        <f>SUMIFS(Cash_Flow_3[Amount],Cash_Flow_3[Bulan],H795,Cash_Flow_3[Type],"Out",Cash_Flow_3[Category],"Mio")</f>
        <v>0</v>
      </c>
      <c r="R795" s="29">
        <f>SUMIFS(Cash_Flow_3[Amount],Cash_Flow_3[Bulan],H795,Cash_Flow_3[Type],"Out",Cash_Flow_3[Category],"Sedekah")</f>
        <v>0</v>
      </c>
      <c r="S795" s="29">
        <f>SUMIFS(Cash_Flow_3[Amount],Cash_Flow_3[Bulan],H795,Cash_Flow_3[Type],"Out",Cash_Flow_3[Category],"Zela")</f>
        <v>0</v>
      </c>
      <c r="T795" s="29">
        <f>SUMIFS(Cash_Flow_3[Amount],Cash_Flow_3[Bulan],H795,Cash_Flow_3[Type],"Out",Cash_Flow_3[Category],"Iqbal")</f>
        <v>0</v>
      </c>
    </row>
    <row r="796" spans="1:20" ht="22.5" customHeight="1" x14ac:dyDescent="0.2">
      <c r="A796" s="23"/>
      <c r="B796" s="24"/>
      <c r="C796" s="25"/>
      <c r="D796" s="25"/>
      <c r="E796" s="25"/>
      <c r="F796" s="26"/>
      <c r="G796" s="27"/>
      <c r="H796" s="28" t="str">
        <f t="shared" si="0"/>
        <v/>
      </c>
      <c r="I796" s="29">
        <f>SUMIFS(Cash_Flow_3[Amount],Cash_Flow_3[Bulan],H796,Cash_Flow_3[Type],"In")</f>
        <v>0</v>
      </c>
      <c r="J796" s="29">
        <f>SUMIFS(Cash_Flow_3[Amount],Cash_Flow_3[Bulan],H796,Cash_Flow_3[Type],"Out")</f>
        <v>0</v>
      </c>
      <c r="K796" s="29">
        <f>SUMIFS(Cash_Flow_3[Amount],Cash_Flow_3[Bulan],H796,Cash_Flow_3[Type],"Out",Cash_Flow_3[Category],"Fix")</f>
        <v>0</v>
      </c>
      <c r="L796" s="29">
        <f>SUMIFS(Cash_Flow_3[Amount],Cash_Flow_3[Bulan],H796,Cash_Flow_3[Type],"Out",Cash_Flow_3[Category],"Bathroom")</f>
        <v>0</v>
      </c>
      <c r="M796" s="29">
        <f>SUMIFS(Cash_Flow_3[Amount],Cash_Flow_3[Bulan],H796,Cash_Flow_3[Type],"Out",Cash_Flow_3[Category],"Alfa")</f>
        <v>0</v>
      </c>
      <c r="N796" s="29">
        <f>SUMIFS(Cash_Flow_3[Amount],Cash_Flow_3[Bulan],H796,Cash_Flow_3[Type],"Out",Cash_Flow_3[Category],"Jajan")</f>
        <v>0</v>
      </c>
      <c r="O796" s="29">
        <f>SUMIFS(Cash_Flow_3[Amount],Cash_Flow_3[Bulan],H796,Cash_Flow_3[Type],"Out",Cash_Flow_3[Category],"Kitchen")</f>
        <v>0</v>
      </c>
      <c r="P796" s="29">
        <f>SUMIFS(Cash_Flow_3[Amount],Cash_Flow_3[Bulan],H796,Cash_Flow_3[Type],"Out",Cash_Flow_3[Category],"Loandry")</f>
        <v>0</v>
      </c>
      <c r="Q796" s="29">
        <f>SUMIFS(Cash_Flow_3[Amount],Cash_Flow_3[Bulan],H796,Cash_Flow_3[Type],"Out",Cash_Flow_3[Category],"Mio")</f>
        <v>0</v>
      </c>
      <c r="R796" s="29">
        <f>SUMIFS(Cash_Flow_3[Amount],Cash_Flow_3[Bulan],H796,Cash_Flow_3[Type],"Out",Cash_Flow_3[Category],"Sedekah")</f>
        <v>0</v>
      </c>
      <c r="S796" s="29">
        <f>SUMIFS(Cash_Flow_3[Amount],Cash_Flow_3[Bulan],H796,Cash_Flow_3[Type],"Out",Cash_Flow_3[Category],"Zela")</f>
        <v>0</v>
      </c>
      <c r="T796" s="29">
        <f>SUMIFS(Cash_Flow_3[Amount],Cash_Flow_3[Bulan],H796,Cash_Flow_3[Type],"Out",Cash_Flow_3[Category],"Iqbal")</f>
        <v>0</v>
      </c>
    </row>
    <row r="797" spans="1:20" ht="22.5" customHeight="1" x14ac:dyDescent="0.2">
      <c r="A797" s="23"/>
      <c r="B797" s="24"/>
      <c r="C797" s="25"/>
      <c r="D797" s="25"/>
      <c r="E797" s="25"/>
      <c r="F797" s="26"/>
      <c r="G797" s="27"/>
      <c r="H797" s="28" t="str">
        <f t="shared" si="0"/>
        <v/>
      </c>
      <c r="I797" s="29">
        <f>SUMIFS(Cash_Flow_3[Amount],Cash_Flow_3[Bulan],H797,Cash_Flow_3[Type],"In")</f>
        <v>0</v>
      </c>
      <c r="J797" s="29">
        <f>SUMIFS(Cash_Flow_3[Amount],Cash_Flow_3[Bulan],H797,Cash_Flow_3[Type],"Out")</f>
        <v>0</v>
      </c>
      <c r="K797" s="29">
        <f>SUMIFS(Cash_Flow_3[Amount],Cash_Flow_3[Bulan],H797,Cash_Flow_3[Type],"Out",Cash_Flow_3[Category],"Fix")</f>
        <v>0</v>
      </c>
      <c r="L797" s="29">
        <f>SUMIFS(Cash_Flow_3[Amount],Cash_Flow_3[Bulan],H797,Cash_Flow_3[Type],"Out",Cash_Flow_3[Category],"Bathroom")</f>
        <v>0</v>
      </c>
      <c r="M797" s="29">
        <f>SUMIFS(Cash_Flow_3[Amount],Cash_Flow_3[Bulan],H797,Cash_Flow_3[Type],"Out",Cash_Flow_3[Category],"Alfa")</f>
        <v>0</v>
      </c>
      <c r="N797" s="29">
        <f>SUMIFS(Cash_Flow_3[Amount],Cash_Flow_3[Bulan],H797,Cash_Flow_3[Type],"Out",Cash_Flow_3[Category],"Jajan")</f>
        <v>0</v>
      </c>
      <c r="O797" s="29">
        <f>SUMIFS(Cash_Flow_3[Amount],Cash_Flow_3[Bulan],H797,Cash_Flow_3[Type],"Out",Cash_Flow_3[Category],"Kitchen")</f>
        <v>0</v>
      </c>
      <c r="P797" s="29">
        <f>SUMIFS(Cash_Flow_3[Amount],Cash_Flow_3[Bulan],H797,Cash_Flow_3[Type],"Out",Cash_Flow_3[Category],"Loandry")</f>
        <v>0</v>
      </c>
      <c r="Q797" s="29">
        <f>SUMIFS(Cash_Flow_3[Amount],Cash_Flow_3[Bulan],H797,Cash_Flow_3[Type],"Out",Cash_Flow_3[Category],"Mio")</f>
        <v>0</v>
      </c>
      <c r="R797" s="29">
        <f>SUMIFS(Cash_Flow_3[Amount],Cash_Flow_3[Bulan],H797,Cash_Flow_3[Type],"Out",Cash_Flow_3[Category],"Sedekah")</f>
        <v>0</v>
      </c>
      <c r="S797" s="29">
        <f>SUMIFS(Cash_Flow_3[Amount],Cash_Flow_3[Bulan],H797,Cash_Flow_3[Type],"Out",Cash_Flow_3[Category],"Zela")</f>
        <v>0</v>
      </c>
      <c r="T797" s="29">
        <f>SUMIFS(Cash_Flow_3[Amount],Cash_Flow_3[Bulan],H797,Cash_Flow_3[Type],"Out",Cash_Flow_3[Category],"Iqbal")</f>
        <v>0</v>
      </c>
    </row>
    <row r="798" spans="1:20" ht="22.5" customHeight="1" x14ac:dyDescent="0.2">
      <c r="A798" s="23"/>
      <c r="B798" s="24"/>
      <c r="C798" s="25"/>
      <c r="D798" s="25"/>
      <c r="E798" s="25"/>
      <c r="F798" s="26"/>
      <c r="G798" s="27"/>
      <c r="H798" s="28" t="str">
        <f t="shared" si="0"/>
        <v/>
      </c>
      <c r="I798" s="29">
        <f>SUMIFS(Cash_Flow_3[Amount],Cash_Flow_3[Bulan],H798,Cash_Flow_3[Type],"In")</f>
        <v>0</v>
      </c>
      <c r="J798" s="29">
        <f>SUMIFS(Cash_Flow_3[Amount],Cash_Flow_3[Bulan],H798,Cash_Flow_3[Type],"Out")</f>
        <v>0</v>
      </c>
      <c r="K798" s="29">
        <f>SUMIFS(Cash_Flow_3[Amount],Cash_Flow_3[Bulan],H798,Cash_Flow_3[Type],"Out",Cash_Flow_3[Category],"Fix")</f>
        <v>0</v>
      </c>
      <c r="L798" s="29">
        <f>SUMIFS(Cash_Flow_3[Amount],Cash_Flow_3[Bulan],H798,Cash_Flow_3[Type],"Out",Cash_Flow_3[Category],"Bathroom")</f>
        <v>0</v>
      </c>
      <c r="M798" s="29">
        <f>SUMIFS(Cash_Flow_3[Amount],Cash_Flow_3[Bulan],H798,Cash_Flow_3[Type],"Out",Cash_Flow_3[Category],"Alfa")</f>
        <v>0</v>
      </c>
      <c r="N798" s="29">
        <f>SUMIFS(Cash_Flow_3[Amount],Cash_Flow_3[Bulan],H798,Cash_Flow_3[Type],"Out",Cash_Flow_3[Category],"Jajan")</f>
        <v>0</v>
      </c>
      <c r="O798" s="29">
        <f>SUMIFS(Cash_Flow_3[Amount],Cash_Flow_3[Bulan],H798,Cash_Flow_3[Type],"Out",Cash_Flow_3[Category],"Kitchen")</f>
        <v>0</v>
      </c>
      <c r="P798" s="29">
        <f>SUMIFS(Cash_Flow_3[Amount],Cash_Flow_3[Bulan],H798,Cash_Flow_3[Type],"Out",Cash_Flow_3[Category],"Loandry")</f>
        <v>0</v>
      </c>
      <c r="Q798" s="29">
        <f>SUMIFS(Cash_Flow_3[Amount],Cash_Flow_3[Bulan],H798,Cash_Flow_3[Type],"Out",Cash_Flow_3[Category],"Mio")</f>
        <v>0</v>
      </c>
      <c r="R798" s="29">
        <f>SUMIFS(Cash_Flow_3[Amount],Cash_Flow_3[Bulan],H798,Cash_Flow_3[Type],"Out",Cash_Flow_3[Category],"Sedekah")</f>
        <v>0</v>
      </c>
      <c r="S798" s="29">
        <f>SUMIFS(Cash_Flow_3[Amount],Cash_Flow_3[Bulan],H798,Cash_Flow_3[Type],"Out",Cash_Flow_3[Category],"Zela")</f>
        <v>0</v>
      </c>
      <c r="T798" s="29">
        <f>SUMIFS(Cash_Flow_3[Amount],Cash_Flow_3[Bulan],H798,Cash_Flow_3[Type],"Out",Cash_Flow_3[Category],"Iqbal")</f>
        <v>0</v>
      </c>
    </row>
    <row r="799" spans="1:20" ht="22.5" customHeight="1" x14ac:dyDescent="0.2">
      <c r="A799" s="23"/>
      <c r="B799" s="24"/>
      <c r="C799" s="25"/>
      <c r="D799" s="25"/>
      <c r="E799" s="25"/>
      <c r="F799" s="26"/>
      <c r="G799" s="27"/>
      <c r="H799" s="28" t="str">
        <f t="shared" si="0"/>
        <v/>
      </c>
      <c r="I799" s="29">
        <f>SUMIFS(Cash_Flow_3[Amount],Cash_Flow_3[Bulan],H799,Cash_Flow_3[Type],"In")</f>
        <v>0</v>
      </c>
      <c r="J799" s="29">
        <f>SUMIFS(Cash_Flow_3[Amount],Cash_Flow_3[Bulan],H799,Cash_Flow_3[Type],"Out")</f>
        <v>0</v>
      </c>
      <c r="K799" s="29">
        <f>SUMIFS(Cash_Flow_3[Amount],Cash_Flow_3[Bulan],H799,Cash_Flow_3[Type],"Out",Cash_Flow_3[Category],"Fix")</f>
        <v>0</v>
      </c>
      <c r="L799" s="29">
        <f>SUMIFS(Cash_Flow_3[Amount],Cash_Flow_3[Bulan],H799,Cash_Flow_3[Type],"Out",Cash_Flow_3[Category],"Bathroom")</f>
        <v>0</v>
      </c>
      <c r="M799" s="29">
        <f>SUMIFS(Cash_Flow_3[Amount],Cash_Flow_3[Bulan],H799,Cash_Flow_3[Type],"Out",Cash_Flow_3[Category],"Alfa")</f>
        <v>0</v>
      </c>
      <c r="N799" s="29">
        <f>SUMIFS(Cash_Flow_3[Amount],Cash_Flow_3[Bulan],H799,Cash_Flow_3[Type],"Out",Cash_Flow_3[Category],"Jajan")</f>
        <v>0</v>
      </c>
      <c r="O799" s="29">
        <f>SUMIFS(Cash_Flow_3[Amount],Cash_Flow_3[Bulan],H799,Cash_Flow_3[Type],"Out",Cash_Flow_3[Category],"Kitchen")</f>
        <v>0</v>
      </c>
      <c r="P799" s="29">
        <f>SUMIFS(Cash_Flow_3[Amount],Cash_Flow_3[Bulan],H799,Cash_Flow_3[Type],"Out",Cash_Flow_3[Category],"Loandry")</f>
        <v>0</v>
      </c>
      <c r="Q799" s="29">
        <f>SUMIFS(Cash_Flow_3[Amount],Cash_Flow_3[Bulan],H799,Cash_Flow_3[Type],"Out",Cash_Flow_3[Category],"Mio")</f>
        <v>0</v>
      </c>
      <c r="R799" s="29">
        <f>SUMIFS(Cash_Flow_3[Amount],Cash_Flow_3[Bulan],H799,Cash_Flow_3[Type],"Out",Cash_Flow_3[Category],"Sedekah")</f>
        <v>0</v>
      </c>
      <c r="S799" s="29">
        <f>SUMIFS(Cash_Flow_3[Amount],Cash_Flow_3[Bulan],H799,Cash_Flow_3[Type],"Out",Cash_Flow_3[Category],"Zela")</f>
        <v>0</v>
      </c>
      <c r="T799" s="29">
        <f>SUMIFS(Cash_Flow_3[Amount],Cash_Flow_3[Bulan],H799,Cash_Flow_3[Type],"Out",Cash_Flow_3[Category],"Iqbal")</f>
        <v>0</v>
      </c>
    </row>
    <row r="800" spans="1:20" ht="22.5" customHeight="1" x14ac:dyDescent="0.2">
      <c r="A800" s="23"/>
      <c r="B800" s="24"/>
      <c r="C800" s="25"/>
      <c r="D800" s="25"/>
      <c r="E800" s="25"/>
      <c r="F800" s="26"/>
      <c r="G800" s="27"/>
      <c r="H800" s="28" t="str">
        <f t="shared" si="0"/>
        <v/>
      </c>
      <c r="I800" s="29">
        <f>SUMIFS(Cash_Flow_3[Amount],Cash_Flow_3[Bulan],H800,Cash_Flow_3[Type],"In")</f>
        <v>0</v>
      </c>
      <c r="J800" s="29">
        <f>SUMIFS(Cash_Flow_3[Amount],Cash_Flow_3[Bulan],H800,Cash_Flow_3[Type],"Out")</f>
        <v>0</v>
      </c>
      <c r="K800" s="29">
        <f>SUMIFS(Cash_Flow_3[Amount],Cash_Flow_3[Bulan],H800,Cash_Flow_3[Type],"Out",Cash_Flow_3[Category],"Fix")</f>
        <v>0</v>
      </c>
      <c r="L800" s="29">
        <f>SUMIFS(Cash_Flow_3[Amount],Cash_Flow_3[Bulan],H800,Cash_Flow_3[Type],"Out",Cash_Flow_3[Category],"Bathroom")</f>
        <v>0</v>
      </c>
      <c r="M800" s="29">
        <f>SUMIFS(Cash_Flow_3[Amount],Cash_Flow_3[Bulan],H800,Cash_Flow_3[Type],"Out",Cash_Flow_3[Category],"Alfa")</f>
        <v>0</v>
      </c>
      <c r="N800" s="29">
        <f>SUMIFS(Cash_Flow_3[Amount],Cash_Flow_3[Bulan],H800,Cash_Flow_3[Type],"Out",Cash_Flow_3[Category],"Jajan")</f>
        <v>0</v>
      </c>
      <c r="O800" s="29">
        <f>SUMIFS(Cash_Flow_3[Amount],Cash_Flow_3[Bulan],H800,Cash_Flow_3[Type],"Out",Cash_Flow_3[Category],"Kitchen")</f>
        <v>0</v>
      </c>
      <c r="P800" s="29">
        <f>SUMIFS(Cash_Flow_3[Amount],Cash_Flow_3[Bulan],H800,Cash_Flow_3[Type],"Out",Cash_Flow_3[Category],"Loandry")</f>
        <v>0</v>
      </c>
      <c r="Q800" s="29">
        <f>SUMIFS(Cash_Flow_3[Amount],Cash_Flow_3[Bulan],H800,Cash_Flow_3[Type],"Out",Cash_Flow_3[Category],"Mio")</f>
        <v>0</v>
      </c>
      <c r="R800" s="29">
        <f>SUMIFS(Cash_Flow_3[Amount],Cash_Flow_3[Bulan],H800,Cash_Flow_3[Type],"Out",Cash_Flow_3[Category],"Sedekah")</f>
        <v>0</v>
      </c>
      <c r="S800" s="29">
        <f>SUMIFS(Cash_Flow_3[Amount],Cash_Flow_3[Bulan],H800,Cash_Flow_3[Type],"Out",Cash_Flow_3[Category],"Zela")</f>
        <v>0</v>
      </c>
      <c r="T800" s="29">
        <f>SUMIFS(Cash_Flow_3[Amount],Cash_Flow_3[Bulan],H800,Cash_Flow_3[Type],"Out",Cash_Flow_3[Category],"Iqbal")</f>
        <v>0</v>
      </c>
    </row>
    <row r="801" spans="1:20" ht="22.5" customHeight="1" x14ac:dyDescent="0.2">
      <c r="A801" s="23"/>
      <c r="B801" s="24"/>
      <c r="C801" s="25"/>
      <c r="D801" s="25"/>
      <c r="E801" s="25"/>
      <c r="F801" s="26"/>
      <c r="G801" s="27"/>
      <c r="H801" s="28" t="str">
        <f t="shared" si="0"/>
        <v/>
      </c>
      <c r="I801" s="29">
        <f>SUMIFS(Cash_Flow_3[Amount],Cash_Flow_3[Bulan],H801,Cash_Flow_3[Type],"In")</f>
        <v>0</v>
      </c>
      <c r="J801" s="29">
        <f>SUMIFS(Cash_Flow_3[Amount],Cash_Flow_3[Bulan],H801,Cash_Flow_3[Type],"Out")</f>
        <v>0</v>
      </c>
      <c r="K801" s="29">
        <f>SUMIFS(Cash_Flow_3[Amount],Cash_Flow_3[Bulan],H801,Cash_Flow_3[Type],"Out",Cash_Flow_3[Category],"Fix")</f>
        <v>0</v>
      </c>
      <c r="L801" s="29">
        <f>SUMIFS(Cash_Flow_3[Amount],Cash_Flow_3[Bulan],H801,Cash_Flow_3[Type],"Out",Cash_Flow_3[Category],"Bathroom")</f>
        <v>0</v>
      </c>
      <c r="M801" s="29">
        <f>SUMIFS(Cash_Flow_3[Amount],Cash_Flow_3[Bulan],H801,Cash_Flow_3[Type],"Out",Cash_Flow_3[Category],"Alfa")</f>
        <v>0</v>
      </c>
      <c r="N801" s="29">
        <f>SUMIFS(Cash_Flow_3[Amount],Cash_Flow_3[Bulan],H801,Cash_Flow_3[Type],"Out",Cash_Flow_3[Category],"Jajan")</f>
        <v>0</v>
      </c>
      <c r="O801" s="29">
        <f>SUMIFS(Cash_Flow_3[Amount],Cash_Flow_3[Bulan],H801,Cash_Flow_3[Type],"Out",Cash_Flow_3[Category],"Kitchen")</f>
        <v>0</v>
      </c>
      <c r="P801" s="29">
        <f>SUMIFS(Cash_Flow_3[Amount],Cash_Flow_3[Bulan],H801,Cash_Flow_3[Type],"Out",Cash_Flow_3[Category],"Loandry")</f>
        <v>0</v>
      </c>
      <c r="Q801" s="29">
        <f>SUMIFS(Cash_Flow_3[Amount],Cash_Flow_3[Bulan],H801,Cash_Flow_3[Type],"Out",Cash_Flow_3[Category],"Mio")</f>
        <v>0</v>
      </c>
      <c r="R801" s="29">
        <f>SUMIFS(Cash_Flow_3[Amount],Cash_Flow_3[Bulan],H801,Cash_Flow_3[Type],"Out",Cash_Flow_3[Category],"Sedekah")</f>
        <v>0</v>
      </c>
      <c r="S801" s="29">
        <f>SUMIFS(Cash_Flow_3[Amount],Cash_Flow_3[Bulan],H801,Cash_Flow_3[Type],"Out",Cash_Flow_3[Category],"Zela")</f>
        <v>0</v>
      </c>
      <c r="T801" s="29">
        <f>SUMIFS(Cash_Flow_3[Amount],Cash_Flow_3[Bulan],H801,Cash_Flow_3[Type],"Out",Cash_Flow_3[Category],"Iqbal")</f>
        <v>0</v>
      </c>
    </row>
    <row r="802" spans="1:20" ht="22.5" customHeight="1" x14ac:dyDescent="0.2">
      <c r="A802" s="23"/>
      <c r="B802" s="24"/>
      <c r="C802" s="25"/>
      <c r="D802" s="25"/>
      <c r="E802" s="25"/>
      <c r="F802" s="26"/>
      <c r="G802" s="27"/>
      <c r="H802" s="28" t="str">
        <f t="shared" si="0"/>
        <v/>
      </c>
      <c r="I802" s="29">
        <f>SUMIFS(Cash_Flow_3[Amount],Cash_Flow_3[Bulan],H802,Cash_Flow_3[Type],"In")</f>
        <v>0</v>
      </c>
      <c r="J802" s="29">
        <f>SUMIFS(Cash_Flow_3[Amount],Cash_Flow_3[Bulan],H802,Cash_Flow_3[Type],"Out")</f>
        <v>0</v>
      </c>
      <c r="K802" s="29">
        <f>SUMIFS(Cash_Flow_3[Amount],Cash_Flow_3[Bulan],H802,Cash_Flow_3[Type],"Out",Cash_Flow_3[Category],"Fix")</f>
        <v>0</v>
      </c>
      <c r="L802" s="29">
        <f>SUMIFS(Cash_Flow_3[Amount],Cash_Flow_3[Bulan],H802,Cash_Flow_3[Type],"Out",Cash_Flow_3[Category],"Bathroom")</f>
        <v>0</v>
      </c>
      <c r="M802" s="29">
        <f>SUMIFS(Cash_Flow_3[Amount],Cash_Flow_3[Bulan],H802,Cash_Flow_3[Type],"Out",Cash_Flow_3[Category],"Alfa")</f>
        <v>0</v>
      </c>
      <c r="N802" s="29">
        <f>SUMIFS(Cash_Flow_3[Amount],Cash_Flow_3[Bulan],H802,Cash_Flow_3[Type],"Out",Cash_Flow_3[Category],"Jajan")</f>
        <v>0</v>
      </c>
      <c r="O802" s="29">
        <f>SUMIFS(Cash_Flow_3[Amount],Cash_Flow_3[Bulan],H802,Cash_Flow_3[Type],"Out",Cash_Flow_3[Category],"Kitchen")</f>
        <v>0</v>
      </c>
      <c r="P802" s="29">
        <f>SUMIFS(Cash_Flow_3[Amount],Cash_Flow_3[Bulan],H802,Cash_Flow_3[Type],"Out",Cash_Flow_3[Category],"Loandry")</f>
        <v>0</v>
      </c>
      <c r="Q802" s="29">
        <f>SUMIFS(Cash_Flow_3[Amount],Cash_Flow_3[Bulan],H802,Cash_Flow_3[Type],"Out",Cash_Flow_3[Category],"Mio")</f>
        <v>0</v>
      </c>
      <c r="R802" s="29">
        <f>SUMIFS(Cash_Flow_3[Amount],Cash_Flow_3[Bulan],H802,Cash_Flow_3[Type],"Out",Cash_Flow_3[Category],"Sedekah")</f>
        <v>0</v>
      </c>
      <c r="S802" s="29">
        <f>SUMIFS(Cash_Flow_3[Amount],Cash_Flow_3[Bulan],H802,Cash_Flow_3[Type],"Out",Cash_Flow_3[Category],"Zela")</f>
        <v>0</v>
      </c>
      <c r="T802" s="29">
        <f>SUMIFS(Cash_Flow_3[Amount],Cash_Flow_3[Bulan],H802,Cash_Flow_3[Type],"Out",Cash_Flow_3[Category],"Iqbal")</f>
        <v>0</v>
      </c>
    </row>
    <row r="803" spans="1:20" ht="22.5" customHeight="1" x14ac:dyDescent="0.2">
      <c r="A803" s="23"/>
      <c r="B803" s="24"/>
      <c r="C803" s="25"/>
      <c r="D803" s="25"/>
      <c r="E803" s="25"/>
      <c r="F803" s="26"/>
      <c r="G803" s="27"/>
      <c r="H803" s="28" t="str">
        <f t="shared" si="0"/>
        <v/>
      </c>
      <c r="I803" s="29">
        <f>SUMIFS(Cash_Flow_3[Amount],Cash_Flow_3[Bulan],H803,Cash_Flow_3[Type],"In")</f>
        <v>0</v>
      </c>
      <c r="J803" s="29">
        <f>SUMIFS(Cash_Flow_3[Amount],Cash_Flow_3[Bulan],H803,Cash_Flow_3[Type],"Out")</f>
        <v>0</v>
      </c>
      <c r="K803" s="29">
        <f>SUMIFS(Cash_Flow_3[Amount],Cash_Flow_3[Bulan],H803,Cash_Flow_3[Type],"Out",Cash_Flow_3[Category],"Fix")</f>
        <v>0</v>
      </c>
      <c r="L803" s="29">
        <f>SUMIFS(Cash_Flow_3[Amount],Cash_Flow_3[Bulan],H803,Cash_Flow_3[Type],"Out",Cash_Flow_3[Category],"Bathroom")</f>
        <v>0</v>
      </c>
      <c r="M803" s="29">
        <f>SUMIFS(Cash_Flow_3[Amount],Cash_Flow_3[Bulan],H803,Cash_Flow_3[Type],"Out",Cash_Flow_3[Category],"Alfa")</f>
        <v>0</v>
      </c>
      <c r="N803" s="29">
        <f>SUMIFS(Cash_Flow_3[Amount],Cash_Flow_3[Bulan],H803,Cash_Flow_3[Type],"Out",Cash_Flow_3[Category],"Jajan")</f>
        <v>0</v>
      </c>
      <c r="O803" s="29">
        <f>SUMIFS(Cash_Flow_3[Amount],Cash_Flow_3[Bulan],H803,Cash_Flow_3[Type],"Out",Cash_Flow_3[Category],"Kitchen")</f>
        <v>0</v>
      </c>
      <c r="P803" s="29">
        <f>SUMIFS(Cash_Flow_3[Amount],Cash_Flow_3[Bulan],H803,Cash_Flow_3[Type],"Out",Cash_Flow_3[Category],"Loandry")</f>
        <v>0</v>
      </c>
      <c r="Q803" s="29">
        <f>SUMIFS(Cash_Flow_3[Amount],Cash_Flow_3[Bulan],H803,Cash_Flow_3[Type],"Out",Cash_Flow_3[Category],"Mio")</f>
        <v>0</v>
      </c>
      <c r="R803" s="29">
        <f>SUMIFS(Cash_Flow_3[Amount],Cash_Flow_3[Bulan],H803,Cash_Flow_3[Type],"Out",Cash_Flow_3[Category],"Sedekah")</f>
        <v>0</v>
      </c>
      <c r="S803" s="29">
        <f>SUMIFS(Cash_Flow_3[Amount],Cash_Flow_3[Bulan],H803,Cash_Flow_3[Type],"Out",Cash_Flow_3[Category],"Zela")</f>
        <v>0</v>
      </c>
      <c r="T803" s="29">
        <f>SUMIFS(Cash_Flow_3[Amount],Cash_Flow_3[Bulan],H803,Cash_Flow_3[Type],"Out",Cash_Flow_3[Category],"Iqbal")</f>
        <v>0</v>
      </c>
    </row>
    <row r="804" spans="1:20" ht="22.5" customHeight="1" x14ac:dyDescent="0.2">
      <c r="A804" s="23"/>
      <c r="B804" s="24"/>
      <c r="C804" s="25"/>
      <c r="D804" s="25"/>
      <c r="E804" s="25"/>
      <c r="F804" s="26"/>
      <c r="G804" s="27"/>
      <c r="H804" s="28" t="str">
        <f t="shared" si="0"/>
        <v/>
      </c>
      <c r="I804" s="29">
        <f>SUMIFS(Cash_Flow_3[Amount],Cash_Flow_3[Bulan],H804,Cash_Flow_3[Type],"In")</f>
        <v>0</v>
      </c>
      <c r="J804" s="29">
        <f>SUMIFS(Cash_Flow_3[Amount],Cash_Flow_3[Bulan],H804,Cash_Flow_3[Type],"Out")</f>
        <v>0</v>
      </c>
      <c r="K804" s="29">
        <f>SUMIFS(Cash_Flow_3[Amount],Cash_Flow_3[Bulan],H804,Cash_Flow_3[Type],"Out",Cash_Flow_3[Category],"Fix")</f>
        <v>0</v>
      </c>
      <c r="L804" s="29">
        <f>SUMIFS(Cash_Flow_3[Amount],Cash_Flow_3[Bulan],H804,Cash_Flow_3[Type],"Out",Cash_Flow_3[Category],"Bathroom")</f>
        <v>0</v>
      </c>
      <c r="M804" s="29">
        <f>SUMIFS(Cash_Flow_3[Amount],Cash_Flow_3[Bulan],H804,Cash_Flow_3[Type],"Out",Cash_Flow_3[Category],"Alfa")</f>
        <v>0</v>
      </c>
      <c r="N804" s="29">
        <f>SUMIFS(Cash_Flow_3[Amount],Cash_Flow_3[Bulan],H804,Cash_Flow_3[Type],"Out",Cash_Flow_3[Category],"Jajan")</f>
        <v>0</v>
      </c>
      <c r="O804" s="29">
        <f>SUMIFS(Cash_Flow_3[Amount],Cash_Flow_3[Bulan],H804,Cash_Flow_3[Type],"Out",Cash_Flow_3[Category],"Kitchen")</f>
        <v>0</v>
      </c>
      <c r="P804" s="29">
        <f>SUMIFS(Cash_Flow_3[Amount],Cash_Flow_3[Bulan],H804,Cash_Flow_3[Type],"Out",Cash_Flow_3[Category],"Loandry")</f>
        <v>0</v>
      </c>
      <c r="Q804" s="29">
        <f>SUMIFS(Cash_Flow_3[Amount],Cash_Flow_3[Bulan],H804,Cash_Flow_3[Type],"Out",Cash_Flow_3[Category],"Mio")</f>
        <v>0</v>
      </c>
      <c r="R804" s="29">
        <f>SUMIFS(Cash_Flow_3[Amount],Cash_Flow_3[Bulan],H804,Cash_Flow_3[Type],"Out",Cash_Flow_3[Category],"Sedekah")</f>
        <v>0</v>
      </c>
      <c r="S804" s="29">
        <f>SUMIFS(Cash_Flow_3[Amount],Cash_Flow_3[Bulan],H804,Cash_Flow_3[Type],"Out",Cash_Flow_3[Category],"Zela")</f>
        <v>0</v>
      </c>
      <c r="T804" s="29">
        <f>SUMIFS(Cash_Flow_3[Amount],Cash_Flow_3[Bulan],H804,Cash_Flow_3[Type],"Out",Cash_Flow_3[Category],"Iqbal")</f>
        <v>0</v>
      </c>
    </row>
    <row r="805" spans="1:20" ht="22.5" customHeight="1" x14ac:dyDescent="0.2">
      <c r="A805" s="23"/>
      <c r="B805" s="24"/>
      <c r="C805" s="25"/>
      <c r="D805" s="25"/>
      <c r="E805" s="25"/>
      <c r="F805" s="26"/>
      <c r="G805" s="27"/>
      <c r="H805" s="28" t="str">
        <f t="shared" si="0"/>
        <v/>
      </c>
      <c r="I805" s="29">
        <f>SUMIFS(Cash_Flow_3[Amount],Cash_Flow_3[Bulan],H805,Cash_Flow_3[Type],"In")</f>
        <v>0</v>
      </c>
      <c r="J805" s="29">
        <f>SUMIFS(Cash_Flow_3[Amount],Cash_Flow_3[Bulan],H805,Cash_Flow_3[Type],"Out")</f>
        <v>0</v>
      </c>
      <c r="K805" s="29">
        <f>SUMIFS(Cash_Flow_3[Amount],Cash_Flow_3[Bulan],H805,Cash_Flow_3[Type],"Out",Cash_Flow_3[Category],"Fix")</f>
        <v>0</v>
      </c>
      <c r="L805" s="29">
        <f>SUMIFS(Cash_Flow_3[Amount],Cash_Flow_3[Bulan],H805,Cash_Flow_3[Type],"Out",Cash_Flow_3[Category],"Bathroom")</f>
        <v>0</v>
      </c>
      <c r="M805" s="29">
        <f>SUMIFS(Cash_Flow_3[Amount],Cash_Flow_3[Bulan],H805,Cash_Flow_3[Type],"Out",Cash_Flow_3[Category],"Alfa")</f>
        <v>0</v>
      </c>
      <c r="N805" s="29">
        <f>SUMIFS(Cash_Flow_3[Amount],Cash_Flow_3[Bulan],H805,Cash_Flow_3[Type],"Out",Cash_Flow_3[Category],"Jajan")</f>
        <v>0</v>
      </c>
      <c r="O805" s="29">
        <f>SUMIFS(Cash_Flow_3[Amount],Cash_Flow_3[Bulan],H805,Cash_Flow_3[Type],"Out",Cash_Flow_3[Category],"Kitchen")</f>
        <v>0</v>
      </c>
      <c r="P805" s="29">
        <f>SUMIFS(Cash_Flow_3[Amount],Cash_Flow_3[Bulan],H805,Cash_Flow_3[Type],"Out",Cash_Flow_3[Category],"Loandry")</f>
        <v>0</v>
      </c>
      <c r="Q805" s="29">
        <f>SUMIFS(Cash_Flow_3[Amount],Cash_Flow_3[Bulan],H805,Cash_Flow_3[Type],"Out",Cash_Flow_3[Category],"Mio")</f>
        <v>0</v>
      </c>
      <c r="R805" s="29">
        <f>SUMIFS(Cash_Flow_3[Amount],Cash_Flow_3[Bulan],H805,Cash_Flow_3[Type],"Out",Cash_Flow_3[Category],"Sedekah")</f>
        <v>0</v>
      </c>
      <c r="S805" s="29">
        <f>SUMIFS(Cash_Flow_3[Amount],Cash_Flow_3[Bulan],H805,Cash_Flow_3[Type],"Out",Cash_Flow_3[Category],"Zela")</f>
        <v>0</v>
      </c>
      <c r="T805" s="29">
        <f>SUMIFS(Cash_Flow_3[Amount],Cash_Flow_3[Bulan],H805,Cash_Flow_3[Type],"Out",Cash_Flow_3[Category],"Iqbal")</f>
        <v>0</v>
      </c>
    </row>
    <row r="806" spans="1:20" ht="22.5" customHeight="1" x14ac:dyDescent="0.2">
      <c r="A806" s="23"/>
      <c r="B806" s="24"/>
      <c r="C806" s="25"/>
      <c r="D806" s="25"/>
      <c r="E806" s="25"/>
      <c r="F806" s="26"/>
      <c r="G806" s="27"/>
      <c r="H806" s="28" t="str">
        <f t="shared" si="0"/>
        <v/>
      </c>
      <c r="I806" s="29">
        <f>SUMIFS(Cash_Flow_3[Amount],Cash_Flow_3[Bulan],H806,Cash_Flow_3[Type],"In")</f>
        <v>0</v>
      </c>
      <c r="J806" s="29">
        <f>SUMIFS(Cash_Flow_3[Amount],Cash_Flow_3[Bulan],H806,Cash_Flow_3[Type],"Out")</f>
        <v>0</v>
      </c>
      <c r="K806" s="29">
        <f>SUMIFS(Cash_Flow_3[Amount],Cash_Flow_3[Bulan],H806,Cash_Flow_3[Type],"Out",Cash_Flow_3[Category],"Fix")</f>
        <v>0</v>
      </c>
      <c r="L806" s="29">
        <f>SUMIFS(Cash_Flow_3[Amount],Cash_Flow_3[Bulan],H806,Cash_Flow_3[Type],"Out",Cash_Flow_3[Category],"Bathroom")</f>
        <v>0</v>
      </c>
      <c r="M806" s="29">
        <f>SUMIFS(Cash_Flow_3[Amount],Cash_Flow_3[Bulan],H806,Cash_Flow_3[Type],"Out",Cash_Flow_3[Category],"Alfa")</f>
        <v>0</v>
      </c>
      <c r="N806" s="29">
        <f>SUMIFS(Cash_Flow_3[Amount],Cash_Flow_3[Bulan],H806,Cash_Flow_3[Type],"Out",Cash_Flow_3[Category],"Jajan")</f>
        <v>0</v>
      </c>
      <c r="O806" s="29">
        <f>SUMIFS(Cash_Flow_3[Amount],Cash_Flow_3[Bulan],H806,Cash_Flow_3[Type],"Out",Cash_Flow_3[Category],"Kitchen")</f>
        <v>0</v>
      </c>
      <c r="P806" s="29">
        <f>SUMIFS(Cash_Flow_3[Amount],Cash_Flow_3[Bulan],H806,Cash_Flow_3[Type],"Out",Cash_Flow_3[Category],"Loandry")</f>
        <v>0</v>
      </c>
      <c r="Q806" s="29">
        <f>SUMIFS(Cash_Flow_3[Amount],Cash_Flow_3[Bulan],H806,Cash_Flow_3[Type],"Out",Cash_Flow_3[Category],"Mio")</f>
        <v>0</v>
      </c>
      <c r="R806" s="29">
        <f>SUMIFS(Cash_Flow_3[Amount],Cash_Flow_3[Bulan],H806,Cash_Flow_3[Type],"Out",Cash_Flow_3[Category],"Sedekah")</f>
        <v>0</v>
      </c>
      <c r="S806" s="29">
        <f>SUMIFS(Cash_Flow_3[Amount],Cash_Flow_3[Bulan],H806,Cash_Flow_3[Type],"Out",Cash_Flow_3[Category],"Zela")</f>
        <v>0</v>
      </c>
      <c r="T806" s="29">
        <f>SUMIFS(Cash_Flow_3[Amount],Cash_Flow_3[Bulan],H806,Cash_Flow_3[Type],"Out",Cash_Flow_3[Category],"Iqbal")</f>
        <v>0</v>
      </c>
    </row>
    <row r="807" spans="1:20" ht="22.5" customHeight="1" x14ac:dyDescent="0.2">
      <c r="A807" s="23"/>
      <c r="B807" s="24"/>
      <c r="C807" s="25"/>
      <c r="D807" s="25"/>
      <c r="E807" s="25"/>
      <c r="F807" s="26"/>
      <c r="G807" s="27"/>
      <c r="H807" s="28" t="str">
        <f t="shared" si="0"/>
        <v/>
      </c>
      <c r="I807" s="29">
        <f>SUMIFS(Cash_Flow_3[Amount],Cash_Flow_3[Bulan],H807,Cash_Flow_3[Type],"In")</f>
        <v>0</v>
      </c>
      <c r="J807" s="29">
        <f>SUMIFS(Cash_Flow_3[Amount],Cash_Flow_3[Bulan],H807,Cash_Flow_3[Type],"Out")</f>
        <v>0</v>
      </c>
      <c r="K807" s="29">
        <f>SUMIFS(Cash_Flow_3[Amount],Cash_Flow_3[Bulan],H807,Cash_Flow_3[Type],"Out",Cash_Flow_3[Category],"Fix")</f>
        <v>0</v>
      </c>
      <c r="L807" s="29">
        <f>SUMIFS(Cash_Flow_3[Amount],Cash_Flow_3[Bulan],H807,Cash_Flow_3[Type],"Out",Cash_Flow_3[Category],"Bathroom")</f>
        <v>0</v>
      </c>
      <c r="M807" s="29">
        <f>SUMIFS(Cash_Flow_3[Amount],Cash_Flow_3[Bulan],H807,Cash_Flow_3[Type],"Out",Cash_Flow_3[Category],"Alfa")</f>
        <v>0</v>
      </c>
      <c r="N807" s="29">
        <f>SUMIFS(Cash_Flow_3[Amount],Cash_Flow_3[Bulan],H807,Cash_Flow_3[Type],"Out",Cash_Flow_3[Category],"Jajan")</f>
        <v>0</v>
      </c>
      <c r="O807" s="29">
        <f>SUMIFS(Cash_Flow_3[Amount],Cash_Flow_3[Bulan],H807,Cash_Flow_3[Type],"Out",Cash_Flow_3[Category],"Kitchen")</f>
        <v>0</v>
      </c>
      <c r="P807" s="29">
        <f>SUMIFS(Cash_Flow_3[Amount],Cash_Flow_3[Bulan],H807,Cash_Flow_3[Type],"Out",Cash_Flow_3[Category],"Loandry")</f>
        <v>0</v>
      </c>
      <c r="Q807" s="29">
        <f>SUMIFS(Cash_Flow_3[Amount],Cash_Flow_3[Bulan],H807,Cash_Flow_3[Type],"Out",Cash_Flow_3[Category],"Mio")</f>
        <v>0</v>
      </c>
      <c r="R807" s="29">
        <f>SUMIFS(Cash_Flow_3[Amount],Cash_Flow_3[Bulan],H807,Cash_Flow_3[Type],"Out",Cash_Flow_3[Category],"Sedekah")</f>
        <v>0</v>
      </c>
      <c r="S807" s="29">
        <f>SUMIFS(Cash_Flow_3[Amount],Cash_Flow_3[Bulan],H807,Cash_Flow_3[Type],"Out",Cash_Flow_3[Category],"Zela")</f>
        <v>0</v>
      </c>
      <c r="T807" s="29">
        <f>SUMIFS(Cash_Flow_3[Amount],Cash_Flow_3[Bulan],H807,Cash_Flow_3[Type],"Out",Cash_Flow_3[Category],"Iqbal")</f>
        <v>0</v>
      </c>
    </row>
    <row r="808" spans="1:20" ht="22.5" customHeight="1" x14ac:dyDescent="0.2">
      <c r="A808" s="23"/>
      <c r="B808" s="24"/>
      <c r="C808" s="25"/>
      <c r="D808" s="25"/>
      <c r="E808" s="25"/>
      <c r="F808" s="26"/>
      <c r="G808" s="27"/>
      <c r="H808" s="28" t="str">
        <f t="shared" si="0"/>
        <v/>
      </c>
      <c r="I808" s="29">
        <f>SUMIFS(Cash_Flow_3[Amount],Cash_Flow_3[Bulan],H808,Cash_Flow_3[Type],"In")</f>
        <v>0</v>
      </c>
      <c r="J808" s="29">
        <f>SUMIFS(Cash_Flow_3[Amount],Cash_Flow_3[Bulan],H808,Cash_Flow_3[Type],"Out")</f>
        <v>0</v>
      </c>
      <c r="K808" s="29">
        <f>SUMIFS(Cash_Flow_3[Amount],Cash_Flow_3[Bulan],H808,Cash_Flow_3[Type],"Out",Cash_Flow_3[Category],"Fix")</f>
        <v>0</v>
      </c>
      <c r="L808" s="29">
        <f>SUMIFS(Cash_Flow_3[Amount],Cash_Flow_3[Bulan],H808,Cash_Flow_3[Type],"Out",Cash_Flow_3[Category],"Bathroom")</f>
        <v>0</v>
      </c>
      <c r="M808" s="29">
        <f>SUMIFS(Cash_Flow_3[Amount],Cash_Flow_3[Bulan],H808,Cash_Flow_3[Type],"Out",Cash_Flow_3[Category],"Alfa")</f>
        <v>0</v>
      </c>
      <c r="N808" s="29">
        <f>SUMIFS(Cash_Flow_3[Amount],Cash_Flow_3[Bulan],H808,Cash_Flow_3[Type],"Out",Cash_Flow_3[Category],"Jajan")</f>
        <v>0</v>
      </c>
      <c r="O808" s="29">
        <f>SUMIFS(Cash_Flow_3[Amount],Cash_Flow_3[Bulan],H808,Cash_Flow_3[Type],"Out",Cash_Flow_3[Category],"Kitchen")</f>
        <v>0</v>
      </c>
      <c r="P808" s="29">
        <f>SUMIFS(Cash_Flow_3[Amount],Cash_Flow_3[Bulan],H808,Cash_Flow_3[Type],"Out",Cash_Flow_3[Category],"Loandry")</f>
        <v>0</v>
      </c>
      <c r="Q808" s="29">
        <f>SUMIFS(Cash_Flow_3[Amount],Cash_Flow_3[Bulan],H808,Cash_Flow_3[Type],"Out",Cash_Flow_3[Category],"Mio")</f>
        <v>0</v>
      </c>
      <c r="R808" s="29">
        <f>SUMIFS(Cash_Flow_3[Amount],Cash_Flow_3[Bulan],H808,Cash_Flow_3[Type],"Out",Cash_Flow_3[Category],"Sedekah")</f>
        <v>0</v>
      </c>
      <c r="S808" s="29">
        <f>SUMIFS(Cash_Flow_3[Amount],Cash_Flow_3[Bulan],H808,Cash_Flow_3[Type],"Out",Cash_Flow_3[Category],"Zela")</f>
        <v>0</v>
      </c>
      <c r="T808" s="29">
        <f>SUMIFS(Cash_Flow_3[Amount],Cash_Flow_3[Bulan],H808,Cash_Flow_3[Type],"Out",Cash_Flow_3[Category],"Iqbal")</f>
        <v>0</v>
      </c>
    </row>
    <row r="809" spans="1:20" ht="22.5" customHeight="1" x14ac:dyDescent="0.2">
      <c r="A809" s="23"/>
      <c r="B809" s="24"/>
      <c r="C809" s="25"/>
      <c r="D809" s="25"/>
      <c r="E809" s="25"/>
      <c r="F809" s="26"/>
      <c r="G809" s="27"/>
      <c r="H809" s="28" t="str">
        <f t="shared" si="0"/>
        <v/>
      </c>
      <c r="I809" s="29">
        <f>SUMIFS(Cash_Flow_3[Amount],Cash_Flow_3[Bulan],H809,Cash_Flow_3[Type],"In")</f>
        <v>0</v>
      </c>
      <c r="J809" s="29">
        <f>SUMIFS(Cash_Flow_3[Amount],Cash_Flow_3[Bulan],H809,Cash_Flow_3[Type],"Out")</f>
        <v>0</v>
      </c>
      <c r="K809" s="29">
        <f>SUMIFS(Cash_Flow_3[Amount],Cash_Flow_3[Bulan],H809,Cash_Flow_3[Type],"Out",Cash_Flow_3[Category],"Fix")</f>
        <v>0</v>
      </c>
      <c r="L809" s="29">
        <f>SUMIFS(Cash_Flow_3[Amount],Cash_Flow_3[Bulan],H809,Cash_Flow_3[Type],"Out",Cash_Flow_3[Category],"Bathroom")</f>
        <v>0</v>
      </c>
      <c r="M809" s="29">
        <f>SUMIFS(Cash_Flow_3[Amount],Cash_Flow_3[Bulan],H809,Cash_Flow_3[Type],"Out",Cash_Flow_3[Category],"Alfa")</f>
        <v>0</v>
      </c>
      <c r="N809" s="29">
        <f>SUMIFS(Cash_Flow_3[Amount],Cash_Flow_3[Bulan],H809,Cash_Flow_3[Type],"Out",Cash_Flow_3[Category],"Jajan")</f>
        <v>0</v>
      </c>
      <c r="O809" s="29">
        <f>SUMIFS(Cash_Flow_3[Amount],Cash_Flow_3[Bulan],H809,Cash_Flow_3[Type],"Out",Cash_Flow_3[Category],"Kitchen")</f>
        <v>0</v>
      </c>
      <c r="P809" s="29">
        <f>SUMIFS(Cash_Flow_3[Amount],Cash_Flow_3[Bulan],H809,Cash_Flow_3[Type],"Out",Cash_Flow_3[Category],"Loandry")</f>
        <v>0</v>
      </c>
      <c r="Q809" s="29">
        <f>SUMIFS(Cash_Flow_3[Amount],Cash_Flow_3[Bulan],H809,Cash_Flow_3[Type],"Out",Cash_Flow_3[Category],"Mio")</f>
        <v>0</v>
      </c>
      <c r="R809" s="29">
        <f>SUMIFS(Cash_Flow_3[Amount],Cash_Flow_3[Bulan],H809,Cash_Flow_3[Type],"Out",Cash_Flow_3[Category],"Sedekah")</f>
        <v>0</v>
      </c>
      <c r="S809" s="29">
        <f>SUMIFS(Cash_Flow_3[Amount],Cash_Flow_3[Bulan],H809,Cash_Flow_3[Type],"Out",Cash_Flow_3[Category],"Zela")</f>
        <v>0</v>
      </c>
      <c r="T809" s="29">
        <f>SUMIFS(Cash_Flow_3[Amount],Cash_Flow_3[Bulan],H809,Cash_Flow_3[Type],"Out",Cash_Flow_3[Category],"Iqbal")</f>
        <v>0</v>
      </c>
    </row>
    <row r="810" spans="1:20" ht="22.5" customHeight="1" x14ac:dyDescent="0.2">
      <c r="A810" s="23"/>
      <c r="B810" s="24"/>
      <c r="C810" s="25"/>
      <c r="D810" s="25"/>
      <c r="E810" s="25"/>
      <c r="F810" s="26"/>
      <c r="G810" s="27"/>
      <c r="H810" s="28" t="str">
        <f t="shared" si="0"/>
        <v/>
      </c>
      <c r="I810" s="29">
        <f>SUMIFS(Cash_Flow_3[Amount],Cash_Flow_3[Bulan],H810,Cash_Flow_3[Type],"In")</f>
        <v>0</v>
      </c>
      <c r="J810" s="29">
        <f>SUMIFS(Cash_Flow_3[Amount],Cash_Flow_3[Bulan],H810,Cash_Flow_3[Type],"Out")</f>
        <v>0</v>
      </c>
      <c r="K810" s="29">
        <f>SUMIFS(Cash_Flow_3[Amount],Cash_Flow_3[Bulan],H810,Cash_Flow_3[Type],"Out",Cash_Flow_3[Category],"Fix")</f>
        <v>0</v>
      </c>
      <c r="L810" s="29">
        <f>SUMIFS(Cash_Flow_3[Amount],Cash_Flow_3[Bulan],H810,Cash_Flow_3[Type],"Out",Cash_Flow_3[Category],"Bathroom")</f>
        <v>0</v>
      </c>
      <c r="M810" s="29">
        <f>SUMIFS(Cash_Flow_3[Amount],Cash_Flow_3[Bulan],H810,Cash_Flow_3[Type],"Out",Cash_Flow_3[Category],"Alfa")</f>
        <v>0</v>
      </c>
      <c r="N810" s="29">
        <f>SUMIFS(Cash_Flow_3[Amount],Cash_Flow_3[Bulan],H810,Cash_Flow_3[Type],"Out",Cash_Flow_3[Category],"Jajan")</f>
        <v>0</v>
      </c>
      <c r="O810" s="29">
        <f>SUMIFS(Cash_Flow_3[Amount],Cash_Flow_3[Bulan],H810,Cash_Flow_3[Type],"Out",Cash_Flow_3[Category],"Kitchen")</f>
        <v>0</v>
      </c>
      <c r="P810" s="29">
        <f>SUMIFS(Cash_Flow_3[Amount],Cash_Flow_3[Bulan],H810,Cash_Flow_3[Type],"Out",Cash_Flow_3[Category],"Loandry")</f>
        <v>0</v>
      </c>
      <c r="Q810" s="29">
        <f>SUMIFS(Cash_Flow_3[Amount],Cash_Flow_3[Bulan],H810,Cash_Flow_3[Type],"Out",Cash_Flow_3[Category],"Mio")</f>
        <v>0</v>
      </c>
      <c r="R810" s="29">
        <f>SUMIFS(Cash_Flow_3[Amount],Cash_Flow_3[Bulan],H810,Cash_Flow_3[Type],"Out",Cash_Flow_3[Category],"Sedekah")</f>
        <v>0</v>
      </c>
      <c r="S810" s="29">
        <f>SUMIFS(Cash_Flow_3[Amount],Cash_Flow_3[Bulan],H810,Cash_Flow_3[Type],"Out",Cash_Flow_3[Category],"Zela")</f>
        <v>0</v>
      </c>
      <c r="T810" s="29">
        <f>SUMIFS(Cash_Flow_3[Amount],Cash_Flow_3[Bulan],H810,Cash_Flow_3[Type],"Out",Cash_Flow_3[Category],"Iqbal")</f>
        <v>0</v>
      </c>
    </row>
    <row r="811" spans="1:20" ht="22.5" customHeight="1" x14ac:dyDescent="0.2">
      <c r="A811" s="23"/>
      <c r="B811" s="24"/>
      <c r="C811" s="25"/>
      <c r="D811" s="25"/>
      <c r="E811" s="25"/>
      <c r="F811" s="26"/>
      <c r="G811" s="27"/>
      <c r="H811" s="28" t="str">
        <f t="shared" si="0"/>
        <v/>
      </c>
      <c r="I811" s="29">
        <f>SUMIFS(Cash_Flow_3[Amount],Cash_Flow_3[Bulan],H811,Cash_Flow_3[Type],"In")</f>
        <v>0</v>
      </c>
      <c r="J811" s="29">
        <f>SUMIFS(Cash_Flow_3[Amount],Cash_Flow_3[Bulan],H811,Cash_Flow_3[Type],"Out")</f>
        <v>0</v>
      </c>
      <c r="K811" s="29">
        <f>SUMIFS(Cash_Flow_3[Amount],Cash_Flow_3[Bulan],H811,Cash_Flow_3[Type],"Out",Cash_Flow_3[Category],"Fix")</f>
        <v>0</v>
      </c>
      <c r="L811" s="29">
        <f>SUMIFS(Cash_Flow_3[Amount],Cash_Flow_3[Bulan],H811,Cash_Flow_3[Type],"Out",Cash_Flow_3[Category],"Bathroom")</f>
        <v>0</v>
      </c>
      <c r="M811" s="29">
        <f>SUMIFS(Cash_Flow_3[Amount],Cash_Flow_3[Bulan],H811,Cash_Flow_3[Type],"Out",Cash_Flow_3[Category],"Alfa")</f>
        <v>0</v>
      </c>
      <c r="N811" s="29">
        <f>SUMIFS(Cash_Flow_3[Amount],Cash_Flow_3[Bulan],H811,Cash_Flow_3[Type],"Out",Cash_Flow_3[Category],"Jajan")</f>
        <v>0</v>
      </c>
      <c r="O811" s="29">
        <f>SUMIFS(Cash_Flow_3[Amount],Cash_Flow_3[Bulan],H811,Cash_Flow_3[Type],"Out",Cash_Flow_3[Category],"Kitchen")</f>
        <v>0</v>
      </c>
      <c r="P811" s="29">
        <f>SUMIFS(Cash_Flow_3[Amount],Cash_Flow_3[Bulan],H811,Cash_Flow_3[Type],"Out",Cash_Flow_3[Category],"Loandry")</f>
        <v>0</v>
      </c>
      <c r="Q811" s="29">
        <f>SUMIFS(Cash_Flow_3[Amount],Cash_Flow_3[Bulan],H811,Cash_Flow_3[Type],"Out",Cash_Flow_3[Category],"Mio")</f>
        <v>0</v>
      </c>
      <c r="R811" s="29">
        <f>SUMIFS(Cash_Flow_3[Amount],Cash_Flow_3[Bulan],H811,Cash_Flow_3[Type],"Out",Cash_Flow_3[Category],"Sedekah")</f>
        <v>0</v>
      </c>
      <c r="S811" s="29">
        <f>SUMIFS(Cash_Flow_3[Amount],Cash_Flow_3[Bulan],H811,Cash_Flow_3[Type],"Out",Cash_Flow_3[Category],"Zela")</f>
        <v>0</v>
      </c>
      <c r="T811" s="29">
        <f>SUMIFS(Cash_Flow_3[Amount],Cash_Flow_3[Bulan],H811,Cash_Flow_3[Type],"Out",Cash_Flow_3[Category],"Iqbal")</f>
        <v>0</v>
      </c>
    </row>
    <row r="812" spans="1:20" ht="22.5" customHeight="1" x14ac:dyDescent="0.2">
      <c r="A812" s="23"/>
      <c r="B812" s="24"/>
      <c r="C812" s="25"/>
      <c r="D812" s="25"/>
      <c r="E812" s="25"/>
      <c r="F812" s="26"/>
      <c r="G812" s="27"/>
      <c r="H812" s="28" t="str">
        <f t="shared" si="0"/>
        <v/>
      </c>
      <c r="I812" s="29">
        <f>SUMIFS(Cash_Flow_3[Amount],Cash_Flow_3[Bulan],H812,Cash_Flow_3[Type],"In")</f>
        <v>0</v>
      </c>
      <c r="J812" s="29">
        <f>SUMIFS(Cash_Flow_3[Amount],Cash_Flow_3[Bulan],H812,Cash_Flow_3[Type],"Out")</f>
        <v>0</v>
      </c>
      <c r="K812" s="29">
        <f>SUMIFS(Cash_Flow_3[Amount],Cash_Flow_3[Bulan],H812,Cash_Flow_3[Type],"Out",Cash_Flow_3[Category],"Fix")</f>
        <v>0</v>
      </c>
      <c r="L812" s="29">
        <f>SUMIFS(Cash_Flow_3[Amount],Cash_Flow_3[Bulan],H812,Cash_Flow_3[Type],"Out",Cash_Flow_3[Category],"Bathroom")</f>
        <v>0</v>
      </c>
      <c r="M812" s="29">
        <f>SUMIFS(Cash_Flow_3[Amount],Cash_Flow_3[Bulan],H812,Cash_Flow_3[Type],"Out",Cash_Flow_3[Category],"Alfa")</f>
        <v>0</v>
      </c>
      <c r="N812" s="29">
        <f>SUMIFS(Cash_Flow_3[Amount],Cash_Flow_3[Bulan],H812,Cash_Flow_3[Type],"Out",Cash_Flow_3[Category],"Jajan")</f>
        <v>0</v>
      </c>
      <c r="O812" s="29">
        <f>SUMIFS(Cash_Flow_3[Amount],Cash_Flow_3[Bulan],H812,Cash_Flow_3[Type],"Out",Cash_Flow_3[Category],"Kitchen")</f>
        <v>0</v>
      </c>
      <c r="P812" s="29">
        <f>SUMIFS(Cash_Flow_3[Amount],Cash_Flow_3[Bulan],H812,Cash_Flow_3[Type],"Out",Cash_Flow_3[Category],"Loandry")</f>
        <v>0</v>
      </c>
      <c r="Q812" s="29">
        <f>SUMIFS(Cash_Flow_3[Amount],Cash_Flow_3[Bulan],H812,Cash_Flow_3[Type],"Out",Cash_Flow_3[Category],"Mio")</f>
        <v>0</v>
      </c>
      <c r="R812" s="29">
        <f>SUMIFS(Cash_Flow_3[Amount],Cash_Flow_3[Bulan],H812,Cash_Flow_3[Type],"Out",Cash_Flow_3[Category],"Sedekah")</f>
        <v>0</v>
      </c>
      <c r="S812" s="29">
        <f>SUMIFS(Cash_Flow_3[Amount],Cash_Flow_3[Bulan],H812,Cash_Flow_3[Type],"Out",Cash_Flow_3[Category],"Zela")</f>
        <v>0</v>
      </c>
      <c r="T812" s="29">
        <f>SUMIFS(Cash_Flow_3[Amount],Cash_Flow_3[Bulan],H812,Cash_Flow_3[Type],"Out",Cash_Flow_3[Category],"Iqbal")</f>
        <v>0</v>
      </c>
    </row>
    <row r="813" spans="1:20" ht="22.5" customHeight="1" x14ac:dyDescent="0.2">
      <c r="A813" s="23"/>
      <c r="B813" s="24"/>
      <c r="C813" s="25"/>
      <c r="D813" s="25"/>
      <c r="E813" s="25"/>
      <c r="F813" s="26"/>
      <c r="G813" s="27"/>
      <c r="H813" s="28" t="str">
        <f t="shared" si="0"/>
        <v/>
      </c>
      <c r="I813" s="29">
        <f>SUMIFS(Cash_Flow_3[Amount],Cash_Flow_3[Bulan],H813,Cash_Flow_3[Type],"In")</f>
        <v>0</v>
      </c>
      <c r="J813" s="29">
        <f>SUMIFS(Cash_Flow_3[Amount],Cash_Flow_3[Bulan],H813,Cash_Flow_3[Type],"Out")</f>
        <v>0</v>
      </c>
      <c r="K813" s="29">
        <f>SUMIFS(Cash_Flow_3[Amount],Cash_Flow_3[Bulan],H813,Cash_Flow_3[Type],"Out",Cash_Flow_3[Category],"Fix")</f>
        <v>0</v>
      </c>
      <c r="L813" s="29">
        <f>SUMIFS(Cash_Flow_3[Amount],Cash_Flow_3[Bulan],H813,Cash_Flow_3[Type],"Out",Cash_Flow_3[Category],"Bathroom")</f>
        <v>0</v>
      </c>
      <c r="M813" s="29">
        <f>SUMIFS(Cash_Flow_3[Amount],Cash_Flow_3[Bulan],H813,Cash_Flow_3[Type],"Out",Cash_Flow_3[Category],"Alfa")</f>
        <v>0</v>
      </c>
      <c r="N813" s="29">
        <f>SUMIFS(Cash_Flow_3[Amount],Cash_Flow_3[Bulan],H813,Cash_Flow_3[Type],"Out",Cash_Flow_3[Category],"Jajan")</f>
        <v>0</v>
      </c>
      <c r="O813" s="29">
        <f>SUMIFS(Cash_Flow_3[Amount],Cash_Flow_3[Bulan],H813,Cash_Flow_3[Type],"Out",Cash_Flow_3[Category],"Kitchen")</f>
        <v>0</v>
      </c>
      <c r="P813" s="29">
        <f>SUMIFS(Cash_Flow_3[Amount],Cash_Flow_3[Bulan],H813,Cash_Flow_3[Type],"Out",Cash_Flow_3[Category],"Loandry")</f>
        <v>0</v>
      </c>
      <c r="Q813" s="29">
        <f>SUMIFS(Cash_Flow_3[Amount],Cash_Flow_3[Bulan],H813,Cash_Flow_3[Type],"Out",Cash_Flow_3[Category],"Mio")</f>
        <v>0</v>
      </c>
      <c r="R813" s="29">
        <f>SUMIFS(Cash_Flow_3[Amount],Cash_Flow_3[Bulan],H813,Cash_Flow_3[Type],"Out",Cash_Flow_3[Category],"Sedekah")</f>
        <v>0</v>
      </c>
      <c r="S813" s="29">
        <f>SUMIFS(Cash_Flow_3[Amount],Cash_Flow_3[Bulan],H813,Cash_Flow_3[Type],"Out",Cash_Flow_3[Category],"Zela")</f>
        <v>0</v>
      </c>
      <c r="T813" s="29">
        <f>SUMIFS(Cash_Flow_3[Amount],Cash_Flow_3[Bulan],H813,Cash_Flow_3[Type],"Out",Cash_Flow_3[Category],"Iqbal")</f>
        <v>0</v>
      </c>
    </row>
    <row r="814" spans="1:20" ht="22.5" customHeight="1" x14ac:dyDescent="0.2">
      <c r="A814" s="23"/>
      <c r="B814" s="24"/>
      <c r="C814" s="25"/>
      <c r="D814" s="25"/>
      <c r="E814" s="25"/>
      <c r="F814" s="26"/>
      <c r="G814" s="27"/>
      <c r="H814" s="28" t="str">
        <f t="shared" si="0"/>
        <v/>
      </c>
      <c r="I814" s="29">
        <f>SUMIFS(Cash_Flow_3[Amount],Cash_Flow_3[Bulan],H814,Cash_Flow_3[Type],"In")</f>
        <v>0</v>
      </c>
      <c r="J814" s="29">
        <f>SUMIFS(Cash_Flow_3[Amount],Cash_Flow_3[Bulan],H814,Cash_Flow_3[Type],"Out")</f>
        <v>0</v>
      </c>
      <c r="K814" s="29">
        <f>SUMIFS(Cash_Flow_3[Amount],Cash_Flow_3[Bulan],H814,Cash_Flow_3[Type],"Out",Cash_Flow_3[Category],"Fix")</f>
        <v>0</v>
      </c>
      <c r="L814" s="29">
        <f>SUMIFS(Cash_Flow_3[Amount],Cash_Flow_3[Bulan],H814,Cash_Flow_3[Type],"Out",Cash_Flow_3[Category],"Bathroom")</f>
        <v>0</v>
      </c>
      <c r="M814" s="29">
        <f>SUMIFS(Cash_Flow_3[Amount],Cash_Flow_3[Bulan],H814,Cash_Flow_3[Type],"Out",Cash_Flow_3[Category],"Alfa")</f>
        <v>0</v>
      </c>
      <c r="N814" s="29">
        <f>SUMIFS(Cash_Flow_3[Amount],Cash_Flow_3[Bulan],H814,Cash_Flow_3[Type],"Out",Cash_Flow_3[Category],"Jajan")</f>
        <v>0</v>
      </c>
      <c r="O814" s="29">
        <f>SUMIFS(Cash_Flow_3[Amount],Cash_Flow_3[Bulan],H814,Cash_Flow_3[Type],"Out",Cash_Flow_3[Category],"Kitchen")</f>
        <v>0</v>
      </c>
      <c r="P814" s="29">
        <f>SUMIFS(Cash_Flow_3[Amount],Cash_Flow_3[Bulan],H814,Cash_Flow_3[Type],"Out",Cash_Flow_3[Category],"Loandry")</f>
        <v>0</v>
      </c>
      <c r="Q814" s="29">
        <f>SUMIFS(Cash_Flow_3[Amount],Cash_Flow_3[Bulan],H814,Cash_Flow_3[Type],"Out",Cash_Flow_3[Category],"Mio")</f>
        <v>0</v>
      </c>
      <c r="R814" s="29">
        <f>SUMIFS(Cash_Flow_3[Amount],Cash_Flow_3[Bulan],H814,Cash_Flow_3[Type],"Out",Cash_Flow_3[Category],"Sedekah")</f>
        <v>0</v>
      </c>
      <c r="S814" s="29">
        <f>SUMIFS(Cash_Flow_3[Amount],Cash_Flow_3[Bulan],H814,Cash_Flow_3[Type],"Out",Cash_Flow_3[Category],"Zela")</f>
        <v>0</v>
      </c>
      <c r="T814" s="29">
        <f>SUMIFS(Cash_Flow_3[Amount],Cash_Flow_3[Bulan],H814,Cash_Flow_3[Type],"Out",Cash_Flow_3[Category],"Iqbal")</f>
        <v>0</v>
      </c>
    </row>
    <row r="815" spans="1:20" ht="22.5" customHeight="1" x14ac:dyDescent="0.2">
      <c r="A815" s="23"/>
      <c r="B815" s="24"/>
      <c r="C815" s="25"/>
      <c r="D815" s="25"/>
      <c r="E815" s="25"/>
      <c r="F815" s="26"/>
      <c r="G815" s="27"/>
      <c r="H815" s="28" t="str">
        <f t="shared" si="0"/>
        <v/>
      </c>
      <c r="I815" s="29">
        <f>SUMIFS(Cash_Flow_3[Amount],Cash_Flow_3[Bulan],H815,Cash_Flow_3[Type],"In")</f>
        <v>0</v>
      </c>
      <c r="J815" s="29">
        <f>SUMIFS(Cash_Flow_3[Amount],Cash_Flow_3[Bulan],H815,Cash_Flow_3[Type],"Out")</f>
        <v>0</v>
      </c>
      <c r="K815" s="29">
        <f>SUMIFS(Cash_Flow_3[Amount],Cash_Flow_3[Bulan],H815,Cash_Flow_3[Type],"Out",Cash_Flow_3[Category],"Fix")</f>
        <v>0</v>
      </c>
      <c r="L815" s="29">
        <f>SUMIFS(Cash_Flow_3[Amount],Cash_Flow_3[Bulan],H815,Cash_Flow_3[Type],"Out",Cash_Flow_3[Category],"Bathroom")</f>
        <v>0</v>
      </c>
      <c r="M815" s="29">
        <f>SUMIFS(Cash_Flow_3[Amount],Cash_Flow_3[Bulan],H815,Cash_Flow_3[Type],"Out",Cash_Flow_3[Category],"Alfa")</f>
        <v>0</v>
      </c>
      <c r="N815" s="29">
        <f>SUMIFS(Cash_Flow_3[Amount],Cash_Flow_3[Bulan],H815,Cash_Flow_3[Type],"Out",Cash_Flow_3[Category],"Jajan")</f>
        <v>0</v>
      </c>
      <c r="O815" s="29">
        <f>SUMIFS(Cash_Flow_3[Amount],Cash_Flow_3[Bulan],H815,Cash_Flow_3[Type],"Out",Cash_Flow_3[Category],"Kitchen")</f>
        <v>0</v>
      </c>
      <c r="P815" s="29">
        <f>SUMIFS(Cash_Flow_3[Amount],Cash_Flow_3[Bulan],H815,Cash_Flow_3[Type],"Out",Cash_Flow_3[Category],"Loandry")</f>
        <v>0</v>
      </c>
      <c r="Q815" s="29">
        <f>SUMIFS(Cash_Flow_3[Amount],Cash_Flow_3[Bulan],H815,Cash_Flow_3[Type],"Out",Cash_Flow_3[Category],"Mio")</f>
        <v>0</v>
      </c>
      <c r="R815" s="29">
        <f>SUMIFS(Cash_Flow_3[Amount],Cash_Flow_3[Bulan],H815,Cash_Flow_3[Type],"Out",Cash_Flow_3[Category],"Sedekah")</f>
        <v>0</v>
      </c>
      <c r="S815" s="29">
        <f>SUMIFS(Cash_Flow_3[Amount],Cash_Flow_3[Bulan],H815,Cash_Flow_3[Type],"Out",Cash_Flow_3[Category],"Zela")</f>
        <v>0</v>
      </c>
      <c r="T815" s="29">
        <f>SUMIFS(Cash_Flow_3[Amount],Cash_Flow_3[Bulan],H815,Cash_Flow_3[Type],"Out",Cash_Flow_3[Category],"Iqbal")</f>
        <v>0</v>
      </c>
    </row>
    <row r="816" spans="1:20" ht="22.5" customHeight="1" x14ac:dyDescent="0.2">
      <c r="A816" s="23"/>
      <c r="B816" s="24"/>
      <c r="C816" s="25"/>
      <c r="D816" s="25"/>
      <c r="E816" s="25"/>
      <c r="F816" s="26"/>
      <c r="G816" s="27"/>
      <c r="H816" s="28" t="str">
        <f t="shared" si="0"/>
        <v/>
      </c>
      <c r="I816" s="29">
        <f>SUMIFS(Cash_Flow_3[Amount],Cash_Flow_3[Bulan],H816,Cash_Flow_3[Type],"In")</f>
        <v>0</v>
      </c>
      <c r="J816" s="29">
        <f>SUMIFS(Cash_Flow_3[Amount],Cash_Flow_3[Bulan],H816,Cash_Flow_3[Type],"Out")</f>
        <v>0</v>
      </c>
      <c r="K816" s="29">
        <f>SUMIFS(Cash_Flow_3[Amount],Cash_Flow_3[Bulan],H816,Cash_Flow_3[Type],"Out",Cash_Flow_3[Category],"Fix")</f>
        <v>0</v>
      </c>
      <c r="L816" s="29">
        <f>SUMIFS(Cash_Flow_3[Amount],Cash_Flow_3[Bulan],H816,Cash_Flow_3[Type],"Out",Cash_Flow_3[Category],"Bathroom")</f>
        <v>0</v>
      </c>
      <c r="M816" s="29">
        <f>SUMIFS(Cash_Flow_3[Amount],Cash_Flow_3[Bulan],H816,Cash_Flow_3[Type],"Out",Cash_Flow_3[Category],"Alfa")</f>
        <v>0</v>
      </c>
      <c r="N816" s="29">
        <f>SUMIFS(Cash_Flow_3[Amount],Cash_Flow_3[Bulan],H816,Cash_Flow_3[Type],"Out",Cash_Flow_3[Category],"Jajan")</f>
        <v>0</v>
      </c>
      <c r="O816" s="29">
        <f>SUMIFS(Cash_Flow_3[Amount],Cash_Flow_3[Bulan],H816,Cash_Flow_3[Type],"Out",Cash_Flow_3[Category],"Kitchen")</f>
        <v>0</v>
      </c>
      <c r="P816" s="29">
        <f>SUMIFS(Cash_Flow_3[Amount],Cash_Flow_3[Bulan],H816,Cash_Flow_3[Type],"Out",Cash_Flow_3[Category],"Loandry")</f>
        <v>0</v>
      </c>
      <c r="Q816" s="29">
        <f>SUMIFS(Cash_Flow_3[Amount],Cash_Flow_3[Bulan],H816,Cash_Flow_3[Type],"Out",Cash_Flow_3[Category],"Mio")</f>
        <v>0</v>
      </c>
      <c r="R816" s="29">
        <f>SUMIFS(Cash_Flow_3[Amount],Cash_Flow_3[Bulan],H816,Cash_Flow_3[Type],"Out",Cash_Flow_3[Category],"Sedekah")</f>
        <v>0</v>
      </c>
      <c r="S816" s="29">
        <f>SUMIFS(Cash_Flow_3[Amount],Cash_Flow_3[Bulan],H816,Cash_Flow_3[Type],"Out",Cash_Flow_3[Category],"Zela")</f>
        <v>0</v>
      </c>
      <c r="T816" s="29">
        <f>SUMIFS(Cash_Flow_3[Amount],Cash_Flow_3[Bulan],H816,Cash_Flow_3[Type],"Out",Cash_Flow_3[Category],"Iqbal")</f>
        <v>0</v>
      </c>
    </row>
    <row r="817" spans="1:20" ht="22.5" customHeight="1" x14ac:dyDescent="0.2">
      <c r="A817" s="23"/>
      <c r="B817" s="24"/>
      <c r="C817" s="25"/>
      <c r="D817" s="25"/>
      <c r="E817" s="25"/>
      <c r="F817" s="26"/>
      <c r="G817" s="27"/>
      <c r="H817" s="28" t="str">
        <f t="shared" si="0"/>
        <v/>
      </c>
      <c r="I817" s="29">
        <f>SUMIFS(Cash_Flow_3[Amount],Cash_Flow_3[Bulan],H817,Cash_Flow_3[Type],"In")</f>
        <v>0</v>
      </c>
      <c r="J817" s="29">
        <f>SUMIFS(Cash_Flow_3[Amount],Cash_Flow_3[Bulan],H817,Cash_Flow_3[Type],"Out")</f>
        <v>0</v>
      </c>
      <c r="K817" s="29">
        <f>SUMIFS(Cash_Flow_3[Amount],Cash_Flow_3[Bulan],H817,Cash_Flow_3[Type],"Out",Cash_Flow_3[Category],"Fix")</f>
        <v>0</v>
      </c>
      <c r="L817" s="29">
        <f>SUMIFS(Cash_Flow_3[Amount],Cash_Flow_3[Bulan],H817,Cash_Flow_3[Type],"Out",Cash_Flow_3[Category],"Bathroom")</f>
        <v>0</v>
      </c>
      <c r="M817" s="29">
        <f>SUMIFS(Cash_Flow_3[Amount],Cash_Flow_3[Bulan],H817,Cash_Flow_3[Type],"Out",Cash_Flow_3[Category],"Alfa")</f>
        <v>0</v>
      </c>
      <c r="N817" s="29">
        <f>SUMIFS(Cash_Flow_3[Amount],Cash_Flow_3[Bulan],H817,Cash_Flow_3[Type],"Out",Cash_Flow_3[Category],"Jajan")</f>
        <v>0</v>
      </c>
      <c r="O817" s="29">
        <f>SUMIFS(Cash_Flow_3[Amount],Cash_Flow_3[Bulan],H817,Cash_Flow_3[Type],"Out",Cash_Flow_3[Category],"Kitchen")</f>
        <v>0</v>
      </c>
      <c r="P817" s="29">
        <f>SUMIFS(Cash_Flow_3[Amount],Cash_Flow_3[Bulan],H817,Cash_Flow_3[Type],"Out",Cash_Flow_3[Category],"Loandry")</f>
        <v>0</v>
      </c>
      <c r="Q817" s="29">
        <f>SUMIFS(Cash_Flow_3[Amount],Cash_Flow_3[Bulan],H817,Cash_Flow_3[Type],"Out",Cash_Flow_3[Category],"Mio")</f>
        <v>0</v>
      </c>
      <c r="R817" s="29">
        <f>SUMIFS(Cash_Flow_3[Amount],Cash_Flow_3[Bulan],H817,Cash_Flow_3[Type],"Out",Cash_Flow_3[Category],"Sedekah")</f>
        <v>0</v>
      </c>
      <c r="S817" s="29">
        <f>SUMIFS(Cash_Flow_3[Amount],Cash_Flow_3[Bulan],H817,Cash_Flow_3[Type],"Out",Cash_Flow_3[Category],"Zela")</f>
        <v>0</v>
      </c>
      <c r="T817" s="29">
        <f>SUMIFS(Cash_Flow_3[Amount],Cash_Flow_3[Bulan],H817,Cash_Flow_3[Type],"Out",Cash_Flow_3[Category],"Iqbal")</f>
        <v>0</v>
      </c>
    </row>
    <row r="818" spans="1:20" ht="22.5" customHeight="1" x14ac:dyDescent="0.2">
      <c r="A818" s="23"/>
      <c r="B818" s="24"/>
      <c r="C818" s="25"/>
      <c r="D818" s="25"/>
      <c r="E818" s="25"/>
      <c r="F818" s="26"/>
      <c r="G818" s="27"/>
      <c r="H818" s="28" t="str">
        <f t="shared" si="0"/>
        <v/>
      </c>
      <c r="I818" s="29">
        <f>SUMIFS(Cash_Flow_3[Amount],Cash_Flow_3[Bulan],H818,Cash_Flow_3[Type],"In")</f>
        <v>0</v>
      </c>
      <c r="J818" s="29">
        <f>SUMIFS(Cash_Flow_3[Amount],Cash_Flow_3[Bulan],H818,Cash_Flow_3[Type],"Out")</f>
        <v>0</v>
      </c>
      <c r="K818" s="29">
        <f>SUMIFS(Cash_Flow_3[Amount],Cash_Flow_3[Bulan],H818,Cash_Flow_3[Type],"Out",Cash_Flow_3[Category],"Fix")</f>
        <v>0</v>
      </c>
      <c r="L818" s="29">
        <f>SUMIFS(Cash_Flow_3[Amount],Cash_Flow_3[Bulan],H818,Cash_Flow_3[Type],"Out",Cash_Flow_3[Category],"Bathroom")</f>
        <v>0</v>
      </c>
      <c r="M818" s="29">
        <f>SUMIFS(Cash_Flow_3[Amount],Cash_Flow_3[Bulan],H818,Cash_Flow_3[Type],"Out",Cash_Flow_3[Category],"Alfa")</f>
        <v>0</v>
      </c>
      <c r="N818" s="29">
        <f>SUMIFS(Cash_Flow_3[Amount],Cash_Flow_3[Bulan],H818,Cash_Flow_3[Type],"Out",Cash_Flow_3[Category],"Jajan")</f>
        <v>0</v>
      </c>
      <c r="O818" s="29">
        <f>SUMIFS(Cash_Flow_3[Amount],Cash_Flow_3[Bulan],H818,Cash_Flow_3[Type],"Out",Cash_Flow_3[Category],"Kitchen")</f>
        <v>0</v>
      </c>
      <c r="P818" s="29">
        <f>SUMIFS(Cash_Flow_3[Amount],Cash_Flow_3[Bulan],H818,Cash_Flow_3[Type],"Out",Cash_Flow_3[Category],"Loandry")</f>
        <v>0</v>
      </c>
      <c r="Q818" s="29">
        <f>SUMIFS(Cash_Flow_3[Amount],Cash_Flow_3[Bulan],H818,Cash_Flow_3[Type],"Out",Cash_Flow_3[Category],"Mio")</f>
        <v>0</v>
      </c>
      <c r="R818" s="29">
        <f>SUMIFS(Cash_Flow_3[Amount],Cash_Flow_3[Bulan],H818,Cash_Flow_3[Type],"Out",Cash_Flow_3[Category],"Sedekah")</f>
        <v>0</v>
      </c>
      <c r="S818" s="29">
        <f>SUMIFS(Cash_Flow_3[Amount],Cash_Flow_3[Bulan],H818,Cash_Flow_3[Type],"Out",Cash_Flow_3[Category],"Zela")</f>
        <v>0</v>
      </c>
      <c r="T818" s="29">
        <f>SUMIFS(Cash_Flow_3[Amount],Cash_Flow_3[Bulan],H818,Cash_Flow_3[Type],"Out",Cash_Flow_3[Category],"Iqbal")</f>
        <v>0</v>
      </c>
    </row>
    <row r="819" spans="1:20" ht="22.5" customHeight="1" x14ac:dyDescent="0.2">
      <c r="A819" s="23"/>
      <c r="B819" s="24"/>
      <c r="C819" s="25"/>
      <c r="D819" s="25"/>
      <c r="E819" s="25"/>
      <c r="F819" s="26"/>
      <c r="G819" s="27"/>
      <c r="H819" s="28" t="str">
        <f t="shared" si="0"/>
        <v/>
      </c>
      <c r="I819" s="29">
        <f>SUMIFS(Cash_Flow_3[Amount],Cash_Flow_3[Bulan],H819,Cash_Flow_3[Type],"In")</f>
        <v>0</v>
      </c>
      <c r="J819" s="29">
        <f>SUMIFS(Cash_Flow_3[Amount],Cash_Flow_3[Bulan],H819,Cash_Flow_3[Type],"Out")</f>
        <v>0</v>
      </c>
      <c r="K819" s="29">
        <f>SUMIFS(Cash_Flow_3[Amount],Cash_Flow_3[Bulan],H819,Cash_Flow_3[Type],"Out",Cash_Flow_3[Category],"Fix")</f>
        <v>0</v>
      </c>
      <c r="L819" s="29">
        <f>SUMIFS(Cash_Flow_3[Amount],Cash_Flow_3[Bulan],H819,Cash_Flow_3[Type],"Out",Cash_Flow_3[Category],"Bathroom")</f>
        <v>0</v>
      </c>
      <c r="M819" s="29">
        <f>SUMIFS(Cash_Flow_3[Amount],Cash_Flow_3[Bulan],H819,Cash_Flow_3[Type],"Out",Cash_Flow_3[Category],"Alfa")</f>
        <v>0</v>
      </c>
      <c r="N819" s="29">
        <f>SUMIFS(Cash_Flow_3[Amount],Cash_Flow_3[Bulan],H819,Cash_Flow_3[Type],"Out",Cash_Flow_3[Category],"Jajan")</f>
        <v>0</v>
      </c>
      <c r="O819" s="29">
        <f>SUMIFS(Cash_Flow_3[Amount],Cash_Flow_3[Bulan],H819,Cash_Flow_3[Type],"Out",Cash_Flow_3[Category],"Kitchen")</f>
        <v>0</v>
      </c>
      <c r="P819" s="29">
        <f>SUMIFS(Cash_Flow_3[Amount],Cash_Flow_3[Bulan],H819,Cash_Flow_3[Type],"Out",Cash_Flow_3[Category],"Loandry")</f>
        <v>0</v>
      </c>
      <c r="Q819" s="29">
        <f>SUMIFS(Cash_Flow_3[Amount],Cash_Flow_3[Bulan],H819,Cash_Flow_3[Type],"Out",Cash_Flow_3[Category],"Mio")</f>
        <v>0</v>
      </c>
      <c r="R819" s="29">
        <f>SUMIFS(Cash_Flow_3[Amount],Cash_Flow_3[Bulan],H819,Cash_Flow_3[Type],"Out",Cash_Flow_3[Category],"Sedekah")</f>
        <v>0</v>
      </c>
      <c r="S819" s="29">
        <f>SUMIFS(Cash_Flow_3[Amount],Cash_Flow_3[Bulan],H819,Cash_Flow_3[Type],"Out",Cash_Flow_3[Category],"Zela")</f>
        <v>0</v>
      </c>
      <c r="T819" s="29">
        <f>SUMIFS(Cash_Flow_3[Amount],Cash_Flow_3[Bulan],H819,Cash_Flow_3[Type],"Out",Cash_Flow_3[Category],"Iqbal")</f>
        <v>0</v>
      </c>
    </row>
    <row r="820" spans="1:20" ht="22.5" customHeight="1" x14ac:dyDescent="0.2">
      <c r="A820" s="23"/>
      <c r="B820" s="24"/>
      <c r="C820" s="25"/>
      <c r="D820" s="25"/>
      <c r="E820" s="25"/>
      <c r="F820" s="26"/>
      <c r="G820" s="27"/>
      <c r="H820" s="28" t="str">
        <f t="shared" si="0"/>
        <v/>
      </c>
      <c r="I820" s="29">
        <f>SUMIFS(Cash_Flow_3[Amount],Cash_Flow_3[Bulan],H820,Cash_Flow_3[Type],"In")</f>
        <v>0</v>
      </c>
      <c r="J820" s="29">
        <f>SUMIFS(Cash_Flow_3[Amount],Cash_Flow_3[Bulan],H820,Cash_Flow_3[Type],"Out")</f>
        <v>0</v>
      </c>
      <c r="K820" s="29">
        <f>SUMIFS(Cash_Flow_3[Amount],Cash_Flow_3[Bulan],H820,Cash_Flow_3[Type],"Out",Cash_Flow_3[Category],"Fix")</f>
        <v>0</v>
      </c>
      <c r="L820" s="29">
        <f>SUMIFS(Cash_Flow_3[Amount],Cash_Flow_3[Bulan],H820,Cash_Flow_3[Type],"Out",Cash_Flow_3[Category],"Bathroom")</f>
        <v>0</v>
      </c>
      <c r="M820" s="29">
        <f>SUMIFS(Cash_Flow_3[Amount],Cash_Flow_3[Bulan],H820,Cash_Flow_3[Type],"Out",Cash_Flow_3[Category],"Alfa")</f>
        <v>0</v>
      </c>
      <c r="N820" s="29">
        <f>SUMIFS(Cash_Flow_3[Amount],Cash_Flow_3[Bulan],H820,Cash_Flow_3[Type],"Out",Cash_Flow_3[Category],"Jajan")</f>
        <v>0</v>
      </c>
      <c r="O820" s="29">
        <f>SUMIFS(Cash_Flow_3[Amount],Cash_Flow_3[Bulan],H820,Cash_Flow_3[Type],"Out",Cash_Flow_3[Category],"Kitchen")</f>
        <v>0</v>
      </c>
      <c r="P820" s="29">
        <f>SUMIFS(Cash_Flow_3[Amount],Cash_Flow_3[Bulan],H820,Cash_Flow_3[Type],"Out",Cash_Flow_3[Category],"Loandry")</f>
        <v>0</v>
      </c>
      <c r="Q820" s="29">
        <f>SUMIFS(Cash_Flow_3[Amount],Cash_Flow_3[Bulan],H820,Cash_Flow_3[Type],"Out",Cash_Flow_3[Category],"Mio")</f>
        <v>0</v>
      </c>
      <c r="R820" s="29">
        <f>SUMIFS(Cash_Flow_3[Amount],Cash_Flow_3[Bulan],H820,Cash_Flow_3[Type],"Out",Cash_Flow_3[Category],"Sedekah")</f>
        <v>0</v>
      </c>
      <c r="S820" s="29">
        <f>SUMIFS(Cash_Flow_3[Amount],Cash_Flow_3[Bulan],H820,Cash_Flow_3[Type],"Out",Cash_Flow_3[Category],"Zela")</f>
        <v>0</v>
      </c>
      <c r="T820" s="29">
        <f>SUMIFS(Cash_Flow_3[Amount],Cash_Flow_3[Bulan],H820,Cash_Flow_3[Type],"Out",Cash_Flow_3[Category],"Iqbal")</f>
        <v>0</v>
      </c>
    </row>
    <row r="821" spans="1:20" ht="22.5" customHeight="1" x14ac:dyDescent="0.2">
      <c r="A821" s="23"/>
      <c r="B821" s="24"/>
      <c r="C821" s="25"/>
      <c r="D821" s="25"/>
      <c r="E821" s="25"/>
      <c r="F821" s="26"/>
      <c r="G821" s="27"/>
      <c r="H821" s="28" t="str">
        <f t="shared" si="0"/>
        <v/>
      </c>
      <c r="I821" s="29">
        <f>SUMIFS(Cash_Flow_3[Amount],Cash_Flow_3[Bulan],H821,Cash_Flow_3[Type],"In")</f>
        <v>0</v>
      </c>
      <c r="J821" s="29">
        <f>SUMIFS(Cash_Flow_3[Amount],Cash_Flow_3[Bulan],H821,Cash_Flow_3[Type],"Out")</f>
        <v>0</v>
      </c>
      <c r="K821" s="29">
        <f>SUMIFS(Cash_Flow_3[Amount],Cash_Flow_3[Bulan],H821,Cash_Flow_3[Type],"Out",Cash_Flow_3[Category],"Fix")</f>
        <v>0</v>
      </c>
      <c r="L821" s="29">
        <f>SUMIFS(Cash_Flow_3[Amount],Cash_Flow_3[Bulan],H821,Cash_Flow_3[Type],"Out",Cash_Flow_3[Category],"Bathroom")</f>
        <v>0</v>
      </c>
      <c r="M821" s="29">
        <f>SUMIFS(Cash_Flow_3[Amount],Cash_Flow_3[Bulan],H821,Cash_Flow_3[Type],"Out",Cash_Flow_3[Category],"Alfa")</f>
        <v>0</v>
      </c>
      <c r="N821" s="29">
        <f>SUMIFS(Cash_Flow_3[Amount],Cash_Flow_3[Bulan],H821,Cash_Flow_3[Type],"Out",Cash_Flow_3[Category],"Jajan")</f>
        <v>0</v>
      </c>
      <c r="O821" s="29">
        <f>SUMIFS(Cash_Flow_3[Amount],Cash_Flow_3[Bulan],H821,Cash_Flow_3[Type],"Out",Cash_Flow_3[Category],"Kitchen")</f>
        <v>0</v>
      </c>
      <c r="P821" s="29">
        <f>SUMIFS(Cash_Flow_3[Amount],Cash_Flow_3[Bulan],H821,Cash_Flow_3[Type],"Out",Cash_Flow_3[Category],"Loandry")</f>
        <v>0</v>
      </c>
      <c r="Q821" s="29">
        <f>SUMIFS(Cash_Flow_3[Amount],Cash_Flow_3[Bulan],H821,Cash_Flow_3[Type],"Out",Cash_Flow_3[Category],"Mio")</f>
        <v>0</v>
      </c>
      <c r="R821" s="29">
        <f>SUMIFS(Cash_Flow_3[Amount],Cash_Flow_3[Bulan],H821,Cash_Flow_3[Type],"Out",Cash_Flow_3[Category],"Sedekah")</f>
        <v>0</v>
      </c>
      <c r="S821" s="29">
        <f>SUMIFS(Cash_Flow_3[Amount],Cash_Flow_3[Bulan],H821,Cash_Flow_3[Type],"Out",Cash_Flow_3[Category],"Zela")</f>
        <v>0</v>
      </c>
      <c r="T821" s="29">
        <f>SUMIFS(Cash_Flow_3[Amount],Cash_Flow_3[Bulan],H821,Cash_Flow_3[Type],"Out",Cash_Flow_3[Category],"Iqbal")</f>
        <v>0</v>
      </c>
    </row>
    <row r="822" spans="1:20" ht="22.5" customHeight="1" x14ac:dyDescent="0.2">
      <c r="A822" s="23"/>
      <c r="B822" s="24"/>
      <c r="C822" s="25"/>
      <c r="D822" s="25"/>
      <c r="E822" s="25"/>
      <c r="F822" s="26"/>
      <c r="G822" s="27"/>
      <c r="H822" s="28" t="str">
        <f t="shared" si="0"/>
        <v/>
      </c>
      <c r="I822" s="29">
        <f>SUMIFS(Cash_Flow_3[Amount],Cash_Flow_3[Bulan],H822,Cash_Flow_3[Type],"In")</f>
        <v>0</v>
      </c>
      <c r="J822" s="29">
        <f>SUMIFS(Cash_Flow_3[Amount],Cash_Flow_3[Bulan],H822,Cash_Flow_3[Type],"Out")</f>
        <v>0</v>
      </c>
      <c r="K822" s="29">
        <f>SUMIFS(Cash_Flow_3[Amount],Cash_Flow_3[Bulan],H822,Cash_Flow_3[Type],"Out",Cash_Flow_3[Category],"Fix")</f>
        <v>0</v>
      </c>
      <c r="L822" s="29">
        <f>SUMIFS(Cash_Flow_3[Amount],Cash_Flow_3[Bulan],H822,Cash_Flow_3[Type],"Out",Cash_Flow_3[Category],"Bathroom")</f>
        <v>0</v>
      </c>
      <c r="M822" s="29">
        <f>SUMIFS(Cash_Flow_3[Amount],Cash_Flow_3[Bulan],H822,Cash_Flow_3[Type],"Out",Cash_Flow_3[Category],"Alfa")</f>
        <v>0</v>
      </c>
      <c r="N822" s="29">
        <f>SUMIFS(Cash_Flow_3[Amount],Cash_Flow_3[Bulan],H822,Cash_Flow_3[Type],"Out",Cash_Flow_3[Category],"Jajan")</f>
        <v>0</v>
      </c>
      <c r="O822" s="29">
        <f>SUMIFS(Cash_Flow_3[Amount],Cash_Flow_3[Bulan],H822,Cash_Flow_3[Type],"Out",Cash_Flow_3[Category],"Kitchen")</f>
        <v>0</v>
      </c>
      <c r="P822" s="29">
        <f>SUMIFS(Cash_Flow_3[Amount],Cash_Flow_3[Bulan],H822,Cash_Flow_3[Type],"Out",Cash_Flow_3[Category],"Loandry")</f>
        <v>0</v>
      </c>
      <c r="Q822" s="29">
        <f>SUMIFS(Cash_Flow_3[Amount],Cash_Flow_3[Bulan],H822,Cash_Flow_3[Type],"Out",Cash_Flow_3[Category],"Mio")</f>
        <v>0</v>
      </c>
      <c r="R822" s="29">
        <f>SUMIFS(Cash_Flow_3[Amount],Cash_Flow_3[Bulan],H822,Cash_Flow_3[Type],"Out",Cash_Flow_3[Category],"Sedekah")</f>
        <v>0</v>
      </c>
      <c r="S822" s="29">
        <f>SUMIFS(Cash_Flow_3[Amount],Cash_Flow_3[Bulan],H822,Cash_Flow_3[Type],"Out",Cash_Flow_3[Category],"Zela")</f>
        <v>0</v>
      </c>
      <c r="T822" s="29">
        <f>SUMIFS(Cash_Flow_3[Amount],Cash_Flow_3[Bulan],H822,Cash_Flow_3[Type],"Out",Cash_Flow_3[Category],"Iqbal")</f>
        <v>0</v>
      </c>
    </row>
    <row r="823" spans="1:20" ht="22.5" customHeight="1" x14ac:dyDescent="0.2">
      <c r="A823" s="23"/>
      <c r="B823" s="24"/>
      <c r="C823" s="25"/>
      <c r="D823" s="25"/>
      <c r="E823" s="25"/>
      <c r="F823" s="26"/>
      <c r="G823" s="27"/>
      <c r="H823" s="28" t="str">
        <f t="shared" si="0"/>
        <v/>
      </c>
      <c r="I823" s="29">
        <f>SUMIFS(Cash_Flow_3[Amount],Cash_Flow_3[Bulan],H823,Cash_Flow_3[Type],"In")</f>
        <v>0</v>
      </c>
      <c r="J823" s="29">
        <f>SUMIFS(Cash_Flow_3[Amount],Cash_Flow_3[Bulan],H823,Cash_Flow_3[Type],"Out")</f>
        <v>0</v>
      </c>
      <c r="K823" s="29">
        <f>SUMIFS(Cash_Flow_3[Amount],Cash_Flow_3[Bulan],H823,Cash_Flow_3[Type],"Out",Cash_Flow_3[Category],"Fix")</f>
        <v>0</v>
      </c>
      <c r="L823" s="29">
        <f>SUMIFS(Cash_Flow_3[Amount],Cash_Flow_3[Bulan],H823,Cash_Flow_3[Type],"Out",Cash_Flow_3[Category],"Bathroom")</f>
        <v>0</v>
      </c>
      <c r="M823" s="29">
        <f>SUMIFS(Cash_Flow_3[Amount],Cash_Flow_3[Bulan],H823,Cash_Flow_3[Type],"Out",Cash_Flow_3[Category],"Alfa")</f>
        <v>0</v>
      </c>
      <c r="N823" s="29">
        <f>SUMIFS(Cash_Flow_3[Amount],Cash_Flow_3[Bulan],H823,Cash_Flow_3[Type],"Out",Cash_Flow_3[Category],"Jajan")</f>
        <v>0</v>
      </c>
      <c r="O823" s="29">
        <f>SUMIFS(Cash_Flow_3[Amount],Cash_Flow_3[Bulan],H823,Cash_Flow_3[Type],"Out",Cash_Flow_3[Category],"Kitchen")</f>
        <v>0</v>
      </c>
      <c r="P823" s="29">
        <f>SUMIFS(Cash_Flow_3[Amount],Cash_Flow_3[Bulan],H823,Cash_Flow_3[Type],"Out",Cash_Flow_3[Category],"Loandry")</f>
        <v>0</v>
      </c>
      <c r="Q823" s="29">
        <f>SUMIFS(Cash_Flow_3[Amount],Cash_Flow_3[Bulan],H823,Cash_Flow_3[Type],"Out",Cash_Flow_3[Category],"Mio")</f>
        <v>0</v>
      </c>
      <c r="R823" s="29">
        <f>SUMIFS(Cash_Flow_3[Amount],Cash_Flow_3[Bulan],H823,Cash_Flow_3[Type],"Out",Cash_Flow_3[Category],"Sedekah")</f>
        <v>0</v>
      </c>
      <c r="S823" s="29">
        <f>SUMIFS(Cash_Flow_3[Amount],Cash_Flow_3[Bulan],H823,Cash_Flow_3[Type],"Out",Cash_Flow_3[Category],"Zela")</f>
        <v>0</v>
      </c>
      <c r="T823" s="29">
        <f>SUMIFS(Cash_Flow_3[Amount],Cash_Flow_3[Bulan],H823,Cash_Flow_3[Type],"Out",Cash_Flow_3[Category],"Iqbal")</f>
        <v>0</v>
      </c>
    </row>
    <row r="824" spans="1:20" ht="22.5" customHeight="1" x14ac:dyDescent="0.2">
      <c r="A824" s="23"/>
      <c r="B824" s="24"/>
      <c r="C824" s="25"/>
      <c r="D824" s="25"/>
      <c r="E824" s="25"/>
      <c r="F824" s="26"/>
      <c r="G824" s="27"/>
      <c r="H824" s="28" t="str">
        <f t="shared" si="0"/>
        <v/>
      </c>
      <c r="I824" s="29">
        <f>SUMIFS(Cash_Flow_3[Amount],Cash_Flow_3[Bulan],H824,Cash_Flow_3[Type],"In")</f>
        <v>0</v>
      </c>
      <c r="J824" s="29">
        <f>SUMIFS(Cash_Flow_3[Amount],Cash_Flow_3[Bulan],H824,Cash_Flow_3[Type],"Out")</f>
        <v>0</v>
      </c>
      <c r="K824" s="29">
        <f>SUMIFS(Cash_Flow_3[Amount],Cash_Flow_3[Bulan],H824,Cash_Flow_3[Type],"Out",Cash_Flow_3[Category],"Fix")</f>
        <v>0</v>
      </c>
      <c r="L824" s="29">
        <f>SUMIFS(Cash_Flow_3[Amount],Cash_Flow_3[Bulan],H824,Cash_Flow_3[Type],"Out",Cash_Flow_3[Category],"Bathroom")</f>
        <v>0</v>
      </c>
      <c r="M824" s="29">
        <f>SUMIFS(Cash_Flow_3[Amount],Cash_Flow_3[Bulan],H824,Cash_Flow_3[Type],"Out",Cash_Flow_3[Category],"Alfa")</f>
        <v>0</v>
      </c>
      <c r="N824" s="29">
        <f>SUMIFS(Cash_Flow_3[Amount],Cash_Flow_3[Bulan],H824,Cash_Flow_3[Type],"Out",Cash_Flow_3[Category],"Jajan")</f>
        <v>0</v>
      </c>
      <c r="O824" s="29">
        <f>SUMIFS(Cash_Flow_3[Amount],Cash_Flow_3[Bulan],H824,Cash_Flow_3[Type],"Out",Cash_Flow_3[Category],"Kitchen")</f>
        <v>0</v>
      </c>
      <c r="P824" s="29">
        <f>SUMIFS(Cash_Flow_3[Amount],Cash_Flow_3[Bulan],H824,Cash_Flow_3[Type],"Out",Cash_Flow_3[Category],"Loandry")</f>
        <v>0</v>
      </c>
      <c r="Q824" s="29">
        <f>SUMIFS(Cash_Flow_3[Amount],Cash_Flow_3[Bulan],H824,Cash_Flow_3[Type],"Out",Cash_Flow_3[Category],"Mio")</f>
        <v>0</v>
      </c>
      <c r="R824" s="29">
        <f>SUMIFS(Cash_Flow_3[Amount],Cash_Flow_3[Bulan],H824,Cash_Flow_3[Type],"Out",Cash_Flow_3[Category],"Sedekah")</f>
        <v>0</v>
      </c>
      <c r="S824" s="29">
        <f>SUMIFS(Cash_Flow_3[Amount],Cash_Flow_3[Bulan],H824,Cash_Flow_3[Type],"Out",Cash_Flow_3[Category],"Zela")</f>
        <v>0</v>
      </c>
      <c r="T824" s="29">
        <f>SUMIFS(Cash_Flow_3[Amount],Cash_Flow_3[Bulan],H824,Cash_Flow_3[Type],"Out",Cash_Flow_3[Category],"Iqbal")</f>
        <v>0</v>
      </c>
    </row>
    <row r="825" spans="1:20" ht="22.5" customHeight="1" x14ac:dyDescent="0.2">
      <c r="A825" s="23"/>
      <c r="B825" s="24"/>
      <c r="C825" s="25"/>
      <c r="D825" s="25"/>
      <c r="E825" s="25"/>
      <c r="F825" s="26"/>
      <c r="G825" s="27"/>
      <c r="H825" s="28" t="str">
        <f t="shared" si="0"/>
        <v/>
      </c>
      <c r="I825" s="29">
        <f>SUMIFS(Cash_Flow_3[Amount],Cash_Flow_3[Bulan],H825,Cash_Flow_3[Type],"In")</f>
        <v>0</v>
      </c>
      <c r="J825" s="29">
        <f>SUMIFS(Cash_Flow_3[Amount],Cash_Flow_3[Bulan],H825,Cash_Flow_3[Type],"Out")</f>
        <v>0</v>
      </c>
      <c r="K825" s="29">
        <f>SUMIFS(Cash_Flow_3[Amount],Cash_Flow_3[Bulan],H825,Cash_Flow_3[Type],"Out",Cash_Flow_3[Category],"Fix")</f>
        <v>0</v>
      </c>
      <c r="L825" s="29">
        <f>SUMIFS(Cash_Flow_3[Amount],Cash_Flow_3[Bulan],H825,Cash_Flow_3[Type],"Out",Cash_Flow_3[Category],"Bathroom")</f>
        <v>0</v>
      </c>
      <c r="M825" s="29">
        <f>SUMIFS(Cash_Flow_3[Amount],Cash_Flow_3[Bulan],H825,Cash_Flow_3[Type],"Out",Cash_Flow_3[Category],"Alfa")</f>
        <v>0</v>
      </c>
      <c r="N825" s="29">
        <f>SUMIFS(Cash_Flow_3[Amount],Cash_Flow_3[Bulan],H825,Cash_Flow_3[Type],"Out",Cash_Flow_3[Category],"Jajan")</f>
        <v>0</v>
      </c>
      <c r="O825" s="29">
        <f>SUMIFS(Cash_Flow_3[Amount],Cash_Flow_3[Bulan],H825,Cash_Flow_3[Type],"Out",Cash_Flow_3[Category],"Kitchen")</f>
        <v>0</v>
      </c>
      <c r="P825" s="29">
        <f>SUMIFS(Cash_Flow_3[Amount],Cash_Flow_3[Bulan],H825,Cash_Flow_3[Type],"Out",Cash_Flow_3[Category],"Loandry")</f>
        <v>0</v>
      </c>
      <c r="Q825" s="29">
        <f>SUMIFS(Cash_Flow_3[Amount],Cash_Flow_3[Bulan],H825,Cash_Flow_3[Type],"Out",Cash_Flow_3[Category],"Mio")</f>
        <v>0</v>
      </c>
      <c r="R825" s="29">
        <f>SUMIFS(Cash_Flow_3[Amount],Cash_Flow_3[Bulan],H825,Cash_Flow_3[Type],"Out",Cash_Flow_3[Category],"Sedekah")</f>
        <v>0</v>
      </c>
      <c r="S825" s="29">
        <f>SUMIFS(Cash_Flow_3[Amount],Cash_Flow_3[Bulan],H825,Cash_Flow_3[Type],"Out",Cash_Flow_3[Category],"Zela")</f>
        <v>0</v>
      </c>
      <c r="T825" s="29">
        <f>SUMIFS(Cash_Flow_3[Amount],Cash_Flow_3[Bulan],H825,Cash_Flow_3[Type],"Out",Cash_Flow_3[Category],"Iqbal")</f>
        <v>0</v>
      </c>
    </row>
    <row r="826" spans="1:20" ht="22.5" customHeight="1" x14ac:dyDescent="0.2">
      <c r="A826" s="23"/>
      <c r="B826" s="24"/>
      <c r="C826" s="25"/>
      <c r="D826" s="25"/>
      <c r="E826" s="25"/>
      <c r="F826" s="26"/>
      <c r="G826" s="27"/>
      <c r="H826" s="28" t="str">
        <f t="shared" si="0"/>
        <v/>
      </c>
      <c r="I826" s="29">
        <f>SUMIFS(Cash_Flow_3[Amount],Cash_Flow_3[Bulan],H826,Cash_Flow_3[Type],"In")</f>
        <v>0</v>
      </c>
      <c r="J826" s="29">
        <f>SUMIFS(Cash_Flow_3[Amount],Cash_Flow_3[Bulan],H826,Cash_Flow_3[Type],"Out")</f>
        <v>0</v>
      </c>
      <c r="K826" s="29">
        <f>SUMIFS(Cash_Flow_3[Amount],Cash_Flow_3[Bulan],H826,Cash_Flow_3[Type],"Out",Cash_Flow_3[Category],"Fix")</f>
        <v>0</v>
      </c>
      <c r="L826" s="29">
        <f>SUMIFS(Cash_Flow_3[Amount],Cash_Flow_3[Bulan],H826,Cash_Flow_3[Type],"Out",Cash_Flow_3[Category],"Bathroom")</f>
        <v>0</v>
      </c>
      <c r="M826" s="29">
        <f>SUMIFS(Cash_Flow_3[Amount],Cash_Flow_3[Bulan],H826,Cash_Flow_3[Type],"Out",Cash_Flow_3[Category],"Alfa")</f>
        <v>0</v>
      </c>
      <c r="N826" s="29">
        <f>SUMIFS(Cash_Flow_3[Amount],Cash_Flow_3[Bulan],H826,Cash_Flow_3[Type],"Out",Cash_Flow_3[Category],"Jajan")</f>
        <v>0</v>
      </c>
      <c r="O826" s="29">
        <f>SUMIFS(Cash_Flow_3[Amount],Cash_Flow_3[Bulan],H826,Cash_Flow_3[Type],"Out",Cash_Flow_3[Category],"Kitchen")</f>
        <v>0</v>
      </c>
      <c r="P826" s="29">
        <f>SUMIFS(Cash_Flow_3[Amount],Cash_Flow_3[Bulan],H826,Cash_Flow_3[Type],"Out",Cash_Flow_3[Category],"Loandry")</f>
        <v>0</v>
      </c>
      <c r="Q826" s="29">
        <f>SUMIFS(Cash_Flow_3[Amount],Cash_Flow_3[Bulan],H826,Cash_Flow_3[Type],"Out",Cash_Flow_3[Category],"Mio")</f>
        <v>0</v>
      </c>
      <c r="R826" s="29">
        <f>SUMIFS(Cash_Flow_3[Amount],Cash_Flow_3[Bulan],H826,Cash_Flow_3[Type],"Out",Cash_Flow_3[Category],"Sedekah")</f>
        <v>0</v>
      </c>
      <c r="S826" s="29">
        <f>SUMIFS(Cash_Flow_3[Amount],Cash_Flow_3[Bulan],H826,Cash_Flow_3[Type],"Out",Cash_Flow_3[Category],"Zela")</f>
        <v>0</v>
      </c>
      <c r="T826" s="29">
        <f>SUMIFS(Cash_Flow_3[Amount],Cash_Flow_3[Bulan],H826,Cash_Flow_3[Type],"Out",Cash_Flow_3[Category],"Iqbal")</f>
        <v>0</v>
      </c>
    </row>
    <row r="827" spans="1:20" ht="22.5" customHeight="1" x14ac:dyDescent="0.2">
      <c r="A827" s="23"/>
      <c r="B827" s="24"/>
      <c r="C827" s="25"/>
      <c r="D827" s="25"/>
      <c r="E827" s="25"/>
      <c r="F827" s="26"/>
      <c r="G827" s="27"/>
      <c r="H827" s="28" t="str">
        <f t="shared" si="0"/>
        <v/>
      </c>
      <c r="I827" s="29">
        <f>SUMIFS(Cash_Flow_3[Amount],Cash_Flow_3[Bulan],H827,Cash_Flow_3[Type],"In")</f>
        <v>0</v>
      </c>
      <c r="J827" s="29">
        <f>SUMIFS(Cash_Flow_3[Amount],Cash_Flow_3[Bulan],H827,Cash_Flow_3[Type],"Out")</f>
        <v>0</v>
      </c>
      <c r="K827" s="29">
        <f>SUMIFS(Cash_Flow_3[Amount],Cash_Flow_3[Bulan],H827,Cash_Flow_3[Type],"Out",Cash_Flow_3[Category],"Fix")</f>
        <v>0</v>
      </c>
      <c r="L827" s="29">
        <f>SUMIFS(Cash_Flow_3[Amount],Cash_Flow_3[Bulan],H827,Cash_Flow_3[Type],"Out",Cash_Flow_3[Category],"Bathroom")</f>
        <v>0</v>
      </c>
      <c r="M827" s="29">
        <f>SUMIFS(Cash_Flow_3[Amount],Cash_Flow_3[Bulan],H827,Cash_Flow_3[Type],"Out",Cash_Flow_3[Category],"Alfa")</f>
        <v>0</v>
      </c>
      <c r="N827" s="29">
        <f>SUMIFS(Cash_Flow_3[Amount],Cash_Flow_3[Bulan],H827,Cash_Flow_3[Type],"Out",Cash_Flow_3[Category],"Jajan")</f>
        <v>0</v>
      </c>
      <c r="O827" s="29">
        <f>SUMIFS(Cash_Flow_3[Amount],Cash_Flow_3[Bulan],H827,Cash_Flow_3[Type],"Out",Cash_Flow_3[Category],"Kitchen")</f>
        <v>0</v>
      </c>
      <c r="P827" s="29">
        <f>SUMIFS(Cash_Flow_3[Amount],Cash_Flow_3[Bulan],H827,Cash_Flow_3[Type],"Out",Cash_Flow_3[Category],"Loandry")</f>
        <v>0</v>
      </c>
      <c r="Q827" s="29">
        <f>SUMIFS(Cash_Flow_3[Amount],Cash_Flow_3[Bulan],H827,Cash_Flow_3[Type],"Out",Cash_Flow_3[Category],"Mio")</f>
        <v>0</v>
      </c>
      <c r="R827" s="29">
        <f>SUMIFS(Cash_Flow_3[Amount],Cash_Flow_3[Bulan],H827,Cash_Flow_3[Type],"Out",Cash_Flow_3[Category],"Sedekah")</f>
        <v>0</v>
      </c>
      <c r="S827" s="29">
        <f>SUMIFS(Cash_Flow_3[Amount],Cash_Flow_3[Bulan],H827,Cash_Flow_3[Type],"Out",Cash_Flow_3[Category],"Zela")</f>
        <v>0</v>
      </c>
      <c r="T827" s="29">
        <f>SUMIFS(Cash_Flow_3[Amount],Cash_Flow_3[Bulan],H827,Cash_Flow_3[Type],"Out",Cash_Flow_3[Category],"Iqbal")</f>
        <v>0</v>
      </c>
    </row>
    <row r="828" spans="1:20" ht="22.5" customHeight="1" x14ac:dyDescent="0.2">
      <c r="A828" s="23"/>
      <c r="B828" s="24"/>
      <c r="C828" s="25"/>
      <c r="D828" s="25"/>
      <c r="E828" s="25"/>
      <c r="F828" s="26"/>
      <c r="G828" s="27"/>
      <c r="H828" s="28" t="str">
        <f t="shared" si="0"/>
        <v/>
      </c>
      <c r="I828" s="29">
        <f>SUMIFS(Cash_Flow_3[Amount],Cash_Flow_3[Bulan],H828,Cash_Flow_3[Type],"In")</f>
        <v>0</v>
      </c>
      <c r="J828" s="29">
        <f>SUMIFS(Cash_Flow_3[Amount],Cash_Flow_3[Bulan],H828,Cash_Flow_3[Type],"Out")</f>
        <v>0</v>
      </c>
      <c r="K828" s="29">
        <f>SUMIFS(Cash_Flow_3[Amount],Cash_Flow_3[Bulan],H828,Cash_Flow_3[Type],"Out",Cash_Flow_3[Category],"Fix")</f>
        <v>0</v>
      </c>
      <c r="L828" s="29">
        <f>SUMIFS(Cash_Flow_3[Amount],Cash_Flow_3[Bulan],H828,Cash_Flow_3[Type],"Out",Cash_Flow_3[Category],"Bathroom")</f>
        <v>0</v>
      </c>
      <c r="M828" s="29">
        <f>SUMIFS(Cash_Flow_3[Amount],Cash_Flow_3[Bulan],H828,Cash_Flow_3[Type],"Out",Cash_Flow_3[Category],"Alfa")</f>
        <v>0</v>
      </c>
      <c r="N828" s="29">
        <f>SUMIFS(Cash_Flow_3[Amount],Cash_Flow_3[Bulan],H828,Cash_Flow_3[Type],"Out",Cash_Flow_3[Category],"Jajan")</f>
        <v>0</v>
      </c>
      <c r="O828" s="29">
        <f>SUMIFS(Cash_Flow_3[Amount],Cash_Flow_3[Bulan],H828,Cash_Flow_3[Type],"Out",Cash_Flow_3[Category],"Kitchen")</f>
        <v>0</v>
      </c>
      <c r="P828" s="29">
        <f>SUMIFS(Cash_Flow_3[Amount],Cash_Flow_3[Bulan],H828,Cash_Flow_3[Type],"Out",Cash_Flow_3[Category],"Loandry")</f>
        <v>0</v>
      </c>
      <c r="Q828" s="29">
        <f>SUMIFS(Cash_Flow_3[Amount],Cash_Flow_3[Bulan],H828,Cash_Flow_3[Type],"Out",Cash_Flow_3[Category],"Mio")</f>
        <v>0</v>
      </c>
      <c r="R828" s="29">
        <f>SUMIFS(Cash_Flow_3[Amount],Cash_Flow_3[Bulan],H828,Cash_Flow_3[Type],"Out",Cash_Flow_3[Category],"Sedekah")</f>
        <v>0</v>
      </c>
      <c r="S828" s="29">
        <f>SUMIFS(Cash_Flow_3[Amount],Cash_Flow_3[Bulan],H828,Cash_Flow_3[Type],"Out",Cash_Flow_3[Category],"Zela")</f>
        <v>0</v>
      </c>
      <c r="T828" s="29">
        <f>SUMIFS(Cash_Flow_3[Amount],Cash_Flow_3[Bulan],H828,Cash_Flow_3[Type],"Out",Cash_Flow_3[Category],"Iqbal")</f>
        <v>0</v>
      </c>
    </row>
    <row r="829" spans="1:20" ht="22.5" customHeight="1" x14ac:dyDescent="0.2">
      <c r="A829" s="23"/>
      <c r="B829" s="24"/>
      <c r="C829" s="25"/>
      <c r="D829" s="25"/>
      <c r="E829" s="25"/>
      <c r="F829" s="26"/>
      <c r="G829" s="27"/>
      <c r="H829" s="28" t="str">
        <f t="shared" si="0"/>
        <v/>
      </c>
      <c r="I829" s="29">
        <f>SUMIFS(Cash_Flow_3[Amount],Cash_Flow_3[Bulan],H829,Cash_Flow_3[Type],"In")</f>
        <v>0</v>
      </c>
      <c r="J829" s="29">
        <f>SUMIFS(Cash_Flow_3[Amount],Cash_Flow_3[Bulan],H829,Cash_Flow_3[Type],"Out")</f>
        <v>0</v>
      </c>
      <c r="K829" s="29">
        <f>SUMIFS(Cash_Flow_3[Amount],Cash_Flow_3[Bulan],H829,Cash_Flow_3[Type],"Out",Cash_Flow_3[Category],"Fix")</f>
        <v>0</v>
      </c>
      <c r="L829" s="29">
        <f>SUMIFS(Cash_Flow_3[Amount],Cash_Flow_3[Bulan],H829,Cash_Flow_3[Type],"Out",Cash_Flow_3[Category],"Bathroom")</f>
        <v>0</v>
      </c>
      <c r="M829" s="29">
        <f>SUMIFS(Cash_Flow_3[Amount],Cash_Flow_3[Bulan],H829,Cash_Flow_3[Type],"Out",Cash_Flow_3[Category],"Alfa")</f>
        <v>0</v>
      </c>
      <c r="N829" s="29">
        <f>SUMIFS(Cash_Flow_3[Amount],Cash_Flow_3[Bulan],H829,Cash_Flow_3[Type],"Out",Cash_Flow_3[Category],"Jajan")</f>
        <v>0</v>
      </c>
      <c r="O829" s="29">
        <f>SUMIFS(Cash_Flow_3[Amount],Cash_Flow_3[Bulan],H829,Cash_Flow_3[Type],"Out",Cash_Flow_3[Category],"Kitchen")</f>
        <v>0</v>
      </c>
      <c r="P829" s="29">
        <f>SUMIFS(Cash_Flow_3[Amount],Cash_Flow_3[Bulan],H829,Cash_Flow_3[Type],"Out",Cash_Flow_3[Category],"Loandry")</f>
        <v>0</v>
      </c>
      <c r="Q829" s="29">
        <f>SUMIFS(Cash_Flow_3[Amount],Cash_Flow_3[Bulan],H829,Cash_Flow_3[Type],"Out",Cash_Flow_3[Category],"Mio")</f>
        <v>0</v>
      </c>
      <c r="R829" s="29">
        <f>SUMIFS(Cash_Flow_3[Amount],Cash_Flow_3[Bulan],H829,Cash_Flow_3[Type],"Out",Cash_Flow_3[Category],"Sedekah")</f>
        <v>0</v>
      </c>
      <c r="S829" s="29">
        <f>SUMIFS(Cash_Flow_3[Amount],Cash_Flow_3[Bulan],H829,Cash_Flow_3[Type],"Out",Cash_Flow_3[Category],"Zela")</f>
        <v>0</v>
      </c>
      <c r="T829" s="29">
        <f>SUMIFS(Cash_Flow_3[Amount],Cash_Flow_3[Bulan],H829,Cash_Flow_3[Type],"Out",Cash_Flow_3[Category],"Iqbal")</f>
        <v>0</v>
      </c>
    </row>
    <row r="830" spans="1:20" ht="22.5" customHeight="1" x14ac:dyDescent="0.2">
      <c r="A830" s="23"/>
      <c r="B830" s="24"/>
      <c r="C830" s="25"/>
      <c r="D830" s="25"/>
      <c r="E830" s="25"/>
      <c r="F830" s="26"/>
      <c r="G830" s="27"/>
      <c r="H830" s="28" t="str">
        <f t="shared" si="0"/>
        <v/>
      </c>
      <c r="I830" s="29">
        <f>SUMIFS(Cash_Flow_3[Amount],Cash_Flow_3[Bulan],H830,Cash_Flow_3[Type],"In")</f>
        <v>0</v>
      </c>
      <c r="J830" s="29">
        <f>SUMIFS(Cash_Flow_3[Amount],Cash_Flow_3[Bulan],H830,Cash_Flow_3[Type],"Out")</f>
        <v>0</v>
      </c>
      <c r="K830" s="29">
        <f>SUMIFS(Cash_Flow_3[Amount],Cash_Flow_3[Bulan],H830,Cash_Flow_3[Type],"Out",Cash_Flow_3[Category],"Fix")</f>
        <v>0</v>
      </c>
      <c r="L830" s="29">
        <f>SUMIFS(Cash_Flow_3[Amount],Cash_Flow_3[Bulan],H830,Cash_Flow_3[Type],"Out",Cash_Flow_3[Category],"Bathroom")</f>
        <v>0</v>
      </c>
      <c r="M830" s="29">
        <f>SUMIFS(Cash_Flow_3[Amount],Cash_Flow_3[Bulan],H830,Cash_Flow_3[Type],"Out",Cash_Flow_3[Category],"Alfa")</f>
        <v>0</v>
      </c>
      <c r="N830" s="29">
        <f>SUMIFS(Cash_Flow_3[Amount],Cash_Flow_3[Bulan],H830,Cash_Flow_3[Type],"Out",Cash_Flow_3[Category],"Jajan")</f>
        <v>0</v>
      </c>
      <c r="O830" s="29">
        <f>SUMIFS(Cash_Flow_3[Amount],Cash_Flow_3[Bulan],H830,Cash_Flow_3[Type],"Out",Cash_Flow_3[Category],"Kitchen")</f>
        <v>0</v>
      </c>
      <c r="P830" s="29">
        <f>SUMIFS(Cash_Flow_3[Amount],Cash_Flow_3[Bulan],H830,Cash_Flow_3[Type],"Out",Cash_Flow_3[Category],"Loandry")</f>
        <v>0</v>
      </c>
      <c r="Q830" s="29">
        <f>SUMIFS(Cash_Flow_3[Amount],Cash_Flow_3[Bulan],H830,Cash_Flow_3[Type],"Out",Cash_Flow_3[Category],"Mio")</f>
        <v>0</v>
      </c>
      <c r="R830" s="29">
        <f>SUMIFS(Cash_Flow_3[Amount],Cash_Flow_3[Bulan],H830,Cash_Flow_3[Type],"Out",Cash_Flow_3[Category],"Sedekah")</f>
        <v>0</v>
      </c>
      <c r="S830" s="29">
        <f>SUMIFS(Cash_Flow_3[Amount],Cash_Flow_3[Bulan],H830,Cash_Flow_3[Type],"Out",Cash_Flow_3[Category],"Zela")</f>
        <v>0</v>
      </c>
      <c r="T830" s="29">
        <f>SUMIFS(Cash_Flow_3[Amount],Cash_Flow_3[Bulan],H830,Cash_Flow_3[Type],"Out",Cash_Flow_3[Category],"Iqbal")</f>
        <v>0</v>
      </c>
    </row>
    <row r="831" spans="1:20" ht="22.5" customHeight="1" x14ac:dyDescent="0.2">
      <c r="A831" s="23"/>
      <c r="B831" s="24"/>
      <c r="C831" s="25"/>
      <c r="D831" s="25"/>
      <c r="E831" s="25"/>
      <c r="F831" s="26"/>
      <c r="G831" s="27"/>
      <c r="H831" s="28" t="str">
        <f t="shared" si="0"/>
        <v/>
      </c>
      <c r="I831" s="29">
        <f>SUMIFS(Cash_Flow_3[Amount],Cash_Flow_3[Bulan],H831,Cash_Flow_3[Type],"In")</f>
        <v>0</v>
      </c>
      <c r="J831" s="29">
        <f>SUMIFS(Cash_Flow_3[Amount],Cash_Flow_3[Bulan],H831,Cash_Flow_3[Type],"Out")</f>
        <v>0</v>
      </c>
      <c r="K831" s="29">
        <f>SUMIFS(Cash_Flow_3[Amount],Cash_Flow_3[Bulan],H831,Cash_Flow_3[Type],"Out",Cash_Flow_3[Category],"Fix")</f>
        <v>0</v>
      </c>
      <c r="L831" s="29">
        <f>SUMIFS(Cash_Flow_3[Amount],Cash_Flow_3[Bulan],H831,Cash_Flow_3[Type],"Out",Cash_Flow_3[Category],"Bathroom")</f>
        <v>0</v>
      </c>
      <c r="M831" s="29">
        <f>SUMIFS(Cash_Flow_3[Amount],Cash_Flow_3[Bulan],H831,Cash_Flow_3[Type],"Out",Cash_Flow_3[Category],"Alfa")</f>
        <v>0</v>
      </c>
      <c r="N831" s="29">
        <f>SUMIFS(Cash_Flow_3[Amount],Cash_Flow_3[Bulan],H831,Cash_Flow_3[Type],"Out",Cash_Flow_3[Category],"Jajan")</f>
        <v>0</v>
      </c>
      <c r="O831" s="29">
        <f>SUMIFS(Cash_Flow_3[Amount],Cash_Flow_3[Bulan],H831,Cash_Flow_3[Type],"Out",Cash_Flow_3[Category],"Kitchen")</f>
        <v>0</v>
      </c>
      <c r="P831" s="29">
        <f>SUMIFS(Cash_Flow_3[Amount],Cash_Flow_3[Bulan],H831,Cash_Flow_3[Type],"Out",Cash_Flow_3[Category],"Loandry")</f>
        <v>0</v>
      </c>
      <c r="Q831" s="29">
        <f>SUMIFS(Cash_Flow_3[Amount],Cash_Flow_3[Bulan],H831,Cash_Flow_3[Type],"Out",Cash_Flow_3[Category],"Mio")</f>
        <v>0</v>
      </c>
      <c r="R831" s="29">
        <f>SUMIFS(Cash_Flow_3[Amount],Cash_Flow_3[Bulan],H831,Cash_Flow_3[Type],"Out",Cash_Flow_3[Category],"Sedekah")</f>
        <v>0</v>
      </c>
      <c r="S831" s="29">
        <f>SUMIFS(Cash_Flow_3[Amount],Cash_Flow_3[Bulan],H831,Cash_Flow_3[Type],"Out",Cash_Flow_3[Category],"Zela")</f>
        <v>0</v>
      </c>
      <c r="T831" s="29">
        <f>SUMIFS(Cash_Flow_3[Amount],Cash_Flow_3[Bulan],H831,Cash_Flow_3[Type],"Out",Cash_Flow_3[Category],"Iqbal")</f>
        <v>0</v>
      </c>
    </row>
    <row r="832" spans="1:20" ht="22.5" customHeight="1" x14ac:dyDescent="0.2">
      <c r="A832" s="23"/>
      <c r="B832" s="24"/>
      <c r="C832" s="25"/>
      <c r="D832" s="25"/>
      <c r="E832" s="25"/>
      <c r="F832" s="26"/>
      <c r="G832" s="27"/>
      <c r="H832" s="28" t="str">
        <f t="shared" si="0"/>
        <v/>
      </c>
      <c r="I832" s="29">
        <f>SUMIFS(Cash_Flow_3[Amount],Cash_Flow_3[Bulan],H832,Cash_Flow_3[Type],"In")</f>
        <v>0</v>
      </c>
      <c r="J832" s="29">
        <f>SUMIFS(Cash_Flow_3[Amount],Cash_Flow_3[Bulan],H832,Cash_Flow_3[Type],"Out")</f>
        <v>0</v>
      </c>
      <c r="K832" s="29">
        <f>SUMIFS(Cash_Flow_3[Amount],Cash_Flow_3[Bulan],H832,Cash_Flow_3[Type],"Out",Cash_Flow_3[Category],"Fix")</f>
        <v>0</v>
      </c>
      <c r="L832" s="29">
        <f>SUMIFS(Cash_Flow_3[Amount],Cash_Flow_3[Bulan],H832,Cash_Flow_3[Type],"Out",Cash_Flow_3[Category],"Bathroom")</f>
        <v>0</v>
      </c>
      <c r="M832" s="29">
        <f>SUMIFS(Cash_Flow_3[Amount],Cash_Flow_3[Bulan],H832,Cash_Flow_3[Type],"Out",Cash_Flow_3[Category],"Alfa")</f>
        <v>0</v>
      </c>
      <c r="N832" s="29">
        <f>SUMIFS(Cash_Flow_3[Amount],Cash_Flow_3[Bulan],H832,Cash_Flow_3[Type],"Out",Cash_Flow_3[Category],"Jajan")</f>
        <v>0</v>
      </c>
      <c r="O832" s="29">
        <f>SUMIFS(Cash_Flow_3[Amount],Cash_Flow_3[Bulan],H832,Cash_Flow_3[Type],"Out",Cash_Flow_3[Category],"Kitchen")</f>
        <v>0</v>
      </c>
      <c r="P832" s="29">
        <f>SUMIFS(Cash_Flow_3[Amount],Cash_Flow_3[Bulan],H832,Cash_Flow_3[Type],"Out",Cash_Flow_3[Category],"Loandry")</f>
        <v>0</v>
      </c>
      <c r="Q832" s="29">
        <f>SUMIFS(Cash_Flow_3[Amount],Cash_Flow_3[Bulan],H832,Cash_Flow_3[Type],"Out",Cash_Flow_3[Category],"Mio")</f>
        <v>0</v>
      </c>
      <c r="R832" s="29">
        <f>SUMIFS(Cash_Flow_3[Amount],Cash_Flow_3[Bulan],H832,Cash_Flow_3[Type],"Out",Cash_Flow_3[Category],"Sedekah")</f>
        <v>0</v>
      </c>
      <c r="S832" s="29">
        <f>SUMIFS(Cash_Flow_3[Amount],Cash_Flow_3[Bulan],H832,Cash_Flow_3[Type],"Out",Cash_Flow_3[Category],"Zela")</f>
        <v>0</v>
      </c>
      <c r="T832" s="29">
        <f>SUMIFS(Cash_Flow_3[Amount],Cash_Flow_3[Bulan],H832,Cash_Flow_3[Type],"Out",Cash_Flow_3[Category],"Iqbal")</f>
        <v>0</v>
      </c>
    </row>
    <row r="833" spans="1:20" ht="22.5" customHeight="1" x14ac:dyDescent="0.2">
      <c r="A833" s="23"/>
      <c r="B833" s="24"/>
      <c r="C833" s="25"/>
      <c r="D833" s="25"/>
      <c r="E833" s="25"/>
      <c r="F833" s="26"/>
      <c r="G833" s="27"/>
      <c r="H833" s="28" t="str">
        <f t="shared" si="0"/>
        <v/>
      </c>
      <c r="I833" s="29">
        <f>SUMIFS(Cash_Flow_3[Amount],Cash_Flow_3[Bulan],H833,Cash_Flow_3[Type],"In")</f>
        <v>0</v>
      </c>
      <c r="J833" s="29">
        <f>SUMIFS(Cash_Flow_3[Amount],Cash_Flow_3[Bulan],H833,Cash_Flow_3[Type],"Out")</f>
        <v>0</v>
      </c>
      <c r="K833" s="29">
        <f>SUMIFS(Cash_Flow_3[Amount],Cash_Flow_3[Bulan],H833,Cash_Flow_3[Type],"Out",Cash_Flow_3[Category],"Fix")</f>
        <v>0</v>
      </c>
      <c r="L833" s="29">
        <f>SUMIFS(Cash_Flow_3[Amount],Cash_Flow_3[Bulan],H833,Cash_Flow_3[Type],"Out",Cash_Flow_3[Category],"Bathroom")</f>
        <v>0</v>
      </c>
      <c r="M833" s="29">
        <f>SUMIFS(Cash_Flow_3[Amount],Cash_Flow_3[Bulan],H833,Cash_Flow_3[Type],"Out",Cash_Flow_3[Category],"Alfa")</f>
        <v>0</v>
      </c>
      <c r="N833" s="29">
        <f>SUMIFS(Cash_Flow_3[Amount],Cash_Flow_3[Bulan],H833,Cash_Flow_3[Type],"Out",Cash_Flow_3[Category],"Jajan")</f>
        <v>0</v>
      </c>
      <c r="O833" s="29">
        <f>SUMIFS(Cash_Flow_3[Amount],Cash_Flow_3[Bulan],H833,Cash_Flow_3[Type],"Out",Cash_Flow_3[Category],"Kitchen")</f>
        <v>0</v>
      </c>
      <c r="P833" s="29">
        <f>SUMIFS(Cash_Flow_3[Amount],Cash_Flow_3[Bulan],H833,Cash_Flow_3[Type],"Out",Cash_Flow_3[Category],"Loandry")</f>
        <v>0</v>
      </c>
      <c r="Q833" s="29">
        <f>SUMIFS(Cash_Flow_3[Amount],Cash_Flow_3[Bulan],H833,Cash_Flow_3[Type],"Out",Cash_Flow_3[Category],"Mio")</f>
        <v>0</v>
      </c>
      <c r="R833" s="29">
        <f>SUMIFS(Cash_Flow_3[Amount],Cash_Flow_3[Bulan],H833,Cash_Flow_3[Type],"Out",Cash_Flow_3[Category],"Sedekah")</f>
        <v>0</v>
      </c>
      <c r="S833" s="29">
        <f>SUMIFS(Cash_Flow_3[Amount],Cash_Flow_3[Bulan],H833,Cash_Flow_3[Type],"Out",Cash_Flow_3[Category],"Zela")</f>
        <v>0</v>
      </c>
      <c r="T833" s="29">
        <f>SUMIFS(Cash_Flow_3[Amount],Cash_Flow_3[Bulan],H833,Cash_Flow_3[Type],"Out",Cash_Flow_3[Category],"Iqbal")</f>
        <v>0</v>
      </c>
    </row>
    <row r="834" spans="1:20" ht="22.5" customHeight="1" x14ac:dyDescent="0.2">
      <c r="A834" s="23"/>
      <c r="B834" s="24"/>
      <c r="C834" s="25"/>
      <c r="D834" s="25"/>
      <c r="E834" s="25"/>
      <c r="F834" s="26"/>
      <c r="G834" s="27"/>
      <c r="H834" s="28" t="str">
        <f t="shared" si="0"/>
        <v/>
      </c>
      <c r="I834" s="29">
        <f>SUMIFS(Cash_Flow_3[Amount],Cash_Flow_3[Bulan],H834,Cash_Flow_3[Type],"In")</f>
        <v>0</v>
      </c>
      <c r="J834" s="29">
        <f>SUMIFS(Cash_Flow_3[Amount],Cash_Flow_3[Bulan],H834,Cash_Flow_3[Type],"Out")</f>
        <v>0</v>
      </c>
      <c r="K834" s="29">
        <f>SUMIFS(Cash_Flow_3[Amount],Cash_Flow_3[Bulan],H834,Cash_Flow_3[Type],"Out",Cash_Flow_3[Category],"Fix")</f>
        <v>0</v>
      </c>
      <c r="L834" s="29">
        <f>SUMIFS(Cash_Flow_3[Amount],Cash_Flow_3[Bulan],H834,Cash_Flow_3[Type],"Out",Cash_Flow_3[Category],"Bathroom")</f>
        <v>0</v>
      </c>
      <c r="M834" s="29">
        <f>SUMIFS(Cash_Flow_3[Amount],Cash_Flow_3[Bulan],H834,Cash_Flow_3[Type],"Out",Cash_Flow_3[Category],"Alfa")</f>
        <v>0</v>
      </c>
      <c r="N834" s="29">
        <f>SUMIFS(Cash_Flow_3[Amount],Cash_Flow_3[Bulan],H834,Cash_Flow_3[Type],"Out",Cash_Flow_3[Category],"Jajan")</f>
        <v>0</v>
      </c>
      <c r="O834" s="29">
        <f>SUMIFS(Cash_Flow_3[Amount],Cash_Flow_3[Bulan],H834,Cash_Flow_3[Type],"Out",Cash_Flow_3[Category],"Kitchen")</f>
        <v>0</v>
      </c>
      <c r="P834" s="29">
        <f>SUMIFS(Cash_Flow_3[Amount],Cash_Flow_3[Bulan],H834,Cash_Flow_3[Type],"Out",Cash_Flow_3[Category],"Loandry")</f>
        <v>0</v>
      </c>
      <c r="Q834" s="29">
        <f>SUMIFS(Cash_Flow_3[Amount],Cash_Flow_3[Bulan],H834,Cash_Flow_3[Type],"Out",Cash_Flow_3[Category],"Mio")</f>
        <v>0</v>
      </c>
      <c r="R834" s="29">
        <f>SUMIFS(Cash_Flow_3[Amount],Cash_Flow_3[Bulan],H834,Cash_Flow_3[Type],"Out",Cash_Flow_3[Category],"Sedekah")</f>
        <v>0</v>
      </c>
      <c r="S834" s="29">
        <f>SUMIFS(Cash_Flow_3[Amount],Cash_Flow_3[Bulan],H834,Cash_Flow_3[Type],"Out",Cash_Flow_3[Category],"Zela")</f>
        <v>0</v>
      </c>
      <c r="T834" s="29">
        <f>SUMIFS(Cash_Flow_3[Amount],Cash_Flow_3[Bulan],H834,Cash_Flow_3[Type],"Out",Cash_Flow_3[Category],"Iqbal")</f>
        <v>0</v>
      </c>
    </row>
    <row r="835" spans="1:20" ht="22.5" customHeight="1" x14ac:dyDescent="0.2">
      <c r="A835" s="23"/>
      <c r="B835" s="24"/>
      <c r="C835" s="25"/>
      <c r="D835" s="25"/>
      <c r="E835" s="25"/>
      <c r="F835" s="26"/>
      <c r="G835" s="27"/>
      <c r="H835" s="28" t="str">
        <f t="shared" si="0"/>
        <v/>
      </c>
      <c r="I835" s="29">
        <f>SUMIFS(Cash_Flow_3[Amount],Cash_Flow_3[Bulan],H835,Cash_Flow_3[Type],"In")</f>
        <v>0</v>
      </c>
      <c r="J835" s="29">
        <f>SUMIFS(Cash_Flow_3[Amount],Cash_Flow_3[Bulan],H835,Cash_Flow_3[Type],"Out")</f>
        <v>0</v>
      </c>
      <c r="K835" s="29">
        <f>SUMIFS(Cash_Flow_3[Amount],Cash_Flow_3[Bulan],H835,Cash_Flow_3[Type],"Out",Cash_Flow_3[Category],"Fix")</f>
        <v>0</v>
      </c>
      <c r="L835" s="29">
        <f>SUMIFS(Cash_Flow_3[Amount],Cash_Flow_3[Bulan],H835,Cash_Flow_3[Type],"Out",Cash_Flow_3[Category],"Bathroom")</f>
        <v>0</v>
      </c>
      <c r="M835" s="29">
        <f>SUMIFS(Cash_Flow_3[Amount],Cash_Flow_3[Bulan],H835,Cash_Flow_3[Type],"Out",Cash_Flow_3[Category],"Alfa")</f>
        <v>0</v>
      </c>
      <c r="N835" s="29">
        <f>SUMIFS(Cash_Flow_3[Amount],Cash_Flow_3[Bulan],H835,Cash_Flow_3[Type],"Out",Cash_Flow_3[Category],"Jajan")</f>
        <v>0</v>
      </c>
      <c r="O835" s="29">
        <f>SUMIFS(Cash_Flow_3[Amount],Cash_Flow_3[Bulan],H835,Cash_Flow_3[Type],"Out",Cash_Flow_3[Category],"Kitchen")</f>
        <v>0</v>
      </c>
      <c r="P835" s="29">
        <f>SUMIFS(Cash_Flow_3[Amount],Cash_Flow_3[Bulan],H835,Cash_Flow_3[Type],"Out",Cash_Flow_3[Category],"Loandry")</f>
        <v>0</v>
      </c>
      <c r="Q835" s="29">
        <f>SUMIFS(Cash_Flow_3[Amount],Cash_Flow_3[Bulan],H835,Cash_Flow_3[Type],"Out",Cash_Flow_3[Category],"Mio")</f>
        <v>0</v>
      </c>
      <c r="R835" s="29">
        <f>SUMIFS(Cash_Flow_3[Amount],Cash_Flow_3[Bulan],H835,Cash_Flow_3[Type],"Out",Cash_Flow_3[Category],"Sedekah")</f>
        <v>0</v>
      </c>
      <c r="S835" s="29">
        <f>SUMIFS(Cash_Flow_3[Amount],Cash_Flow_3[Bulan],H835,Cash_Flow_3[Type],"Out",Cash_Flow_3[Category],"Zela")</f>
        <v>0</v>
      </c>
      <c r="T835" s="29">
        <f>SUMIFS(Cash_Flow_3[Amount],Cash_Flow_3[Bulan],H835,Cash_Flow_3[Type],"Out",Cash_Flow_3[Category],"Iqbal")</f>
        <v>0</v>
      </c>
    </row>
    <row r="836" spans="1:20" ht="22.5" customHeight="1" x14ac:dyDescent="0.2">
      <c r="A836" s="23"/>
      <c r="B836" s="24"/>
      <c r="C836" s="25"/>
      <c r="D836" s="25"/>
      <c r="E836" s="25"/>
      <c r="F836" s="26"/>
      <c r="G836" s="27"/>
      <c r="H836" s="28" t="str">
        <f t="shared" si="0"/>
        <v/>
      </c>
      <c r="I836" s="29">
        <f>SUMIFS(Cash_Flow_3[Amount],Cash_Flow_3[Bulan],H836,Cash_Flow_3[Type],"In")</f>
        <v>0</v>
      </c>
      <c r="J836" s="29">
        <f>SUMIFS(Cash_Flow_3[Amount],Cash_Flow_3[Bulan],H836,Cash_Flow_3[Type],"Out")</f>
        <v>0</v>
      </c>
      <c r="K836" s="29">
        <f>SUMIFS(Cash_Flow_3[Amount],Cash_Flow_3[Bulan],H836,Cash_Flow_3[Type],"Out",Cash_Flow_3[Category],"Fix")</f>
        <v>0</v>
      </c>
      <c r="L836" s="29">
        <f>SUMIFS(Cash_Flow_3[Amount],Cash_Flow_3[Bulan],H836,Cash_Flow_3[Type],"Out",Cash_Flow_3[Category],"Bathroom")</f>
        <v>0</v>
      </c>
      <c r="M836" s="29">
        <f>SUMIFS(Cash_Flow_3[Amount],Cash_Flow_3[Bulan],H836,Cash_Flow_3[Type],"Out",Cash_Flow_3[Category],"Alfa")</f>
        <v>0</v>
      </c>
      <c r="N836" s="29">
        <f>SUMIFS(Cash_Flow_3[Amount],Cash_Flow_3[Bulan],H836,Cash_Flow_3[Type],"Out",Cash_Flow_3[Category],"Jajan")</f>
        <v>0</v>
      </c>
      <c r="O836" s="29">
        <f>SUMIFS(Cash_Flow_3[Amount],Cash_Flow_3[Bulan],H836,Cash_Flow_3[Type],"Out",Cash_Flow_3[Category],"Kitchen")</f>
        <v>0</v>
      </c>
      <c r="P836" s="29">
        <f>SUMIFS(Cash_Flow_3[Amount],Cash_Flow_3[Bulan],H836,Cash_Flow_3[Type],"Out",Cash_Flow_3[Category],"Loandry")</f>
        <v>0</v>
      </c>
      <c r="Q836" s="29">
        <f>SUMIFS(Cash_Flow_3[Amount],Cash_Flow_3[Bulan],H836,Cash_Flow_3[Type],"Out",Cash_Flow_3[Category],"Mio")</f>
        <v>0</v>
      </c>
      <c r="R836" s="29">
        <f>SUMIFS(Cash_Flow_3[Amount],Cash_Flow_3[Bulan],H836,Cash_Flow_3[Type],"Out",Cash_Flow_3[Category],"Sedekah")</f>
        <v>0</v>
      </c>
      <c r="S836" s="29">
        <f>SUMIFS(Cash_Flow_3[Amount],Cash_Flow_3[Bulan],H836,Cash_Flow_3[Type],"Out",Cash_Flow_3[Category],"Zela")</f>
        <v>0</v>
      </c>
      <c r="T836" s="29">
        <f>SUMIFS(Cash_Flow_3[Amount],Cash_Flow_3[Bulan],H836,Cash_Flow_3[Type],"Out",Cash_Flow_3[Category],"Iqbal")</f>
        <v>0</v>
      </c>
    </row>
    <row r="837" spans="1:20" ht="22.5" customHeight="1" x14ac:dyDescent="0.2">
      <c r="A837" s="23"/>
      <c r="B837" s="24"/>
      <c r="C837" s="25"/>
      <c r="D837" s="25"/>
      <c r="E837" s="25"/>
      <c r="F837" s="26"/>
      <c r="G837" s="27"/>
      <c r="H837" s="28" t="str">
        <f t="shared" si="0"/>
        <v/>
      </c>
      <c r="I837" s="29">
        <f>SUMIFS(Cash_Flow_3[Amount],Cash_Flow_3[Bulan],H837,Cash_Flow_3[Type],"In")</f>
        <v>0</v>
      </c>
      <c r="J837" s="29">
        <f>SUMIFS(Cash_Flow_3[Amount],Cash_Flow_3[Bulan],H837,Cash_Flow_3[Type],"Out")</f>
        <v>0</v>
      </c>
      <c r="K837" s="29">
        <f>SUMIFS(Cash_Flow_3[Amount],Cash_Flow_3[Bulan],H837,Cash_Flow_3[Type],"Out",Cash_Flow_3[Category],"Fix")</f>
        <v>0</v>
      </c>
      <c r="L837" s="29">
        <f>SUMIFS(Cash_Flow_3[Amount],Cash_Flow_3[Bulan],H837,Cash_Flow_3[Type],"Out",Cash_Flow_3[Category],"Bathroom")</f>
        <v>0</v>
      </c>
      <c r="M837" s="29">
        <f>SUMIFS(Cash_Flow_3[Amount],Cash_Flow_3[Bulan],H837,Cash_Flow_3[Type],"Out",Cash_Flow_3[Category],"Alfa")</f>
        <v>0</v>
      </c>
      <c r="N837" s="29">
        <f>SUMIFS(Cash_Flow_3[Amount],Cash_Flow_3[Bulan],H837,Cash_Flow_3[Type],"Out",Cash_Flow_3[Category],"Jajan")</f>
        <v>0</v>
      </c>
      <c r="O837" s="29">
        <f>SUMIFS(Cash_Flow_3[Amount],Cash_Flow_3[Bulan],H837,Cash_Flow_3[Type],"Out",Cash_Flow_3[Category],"Kitchen")</f>
        <v>0</v>
      </c>
      <c r="P837" s="29">
        <f>SUMIFS(Cash_Flow_3[Amount],Cash_Flow_3[Bulan],H837,Cash_Flow_3[Type],"Out",Cash_Flow_3[Category],"Loandry")</f>
        <v>0</v>
      </c>
      <c r="Q837" s="29">
        <f>SUMIFS(Cash_Flow_3[Amount],Cash_Flow_3[Bulan],H837,Cash_Flow_3[Type],"Out",Cash_Flow_3[Category],"Mio")</f>
        <v>0</v>
      </c>
      <c r="R837" s="29">
        <f>SUMIFS(Cash_Flow_3[Amount],Cash_Flow_3[Bulan],H837,Cash_Flow_3[Type],"Out",Cash_Flow_3[Category],"Sedekah")</f>
        <v>0</v>
      </c>
      <c r="S837" s="29">
        <f>SUMIFS(Cash_Flow_3[Amount],Cash_Flow_3[Bulan],H837,Cash_Flow_3[Type],"Out",Cash_Flow_3[Category],"Zela")</f>
        <v>0</v>
      </c>
      <c r="T837" s="29">
        <f>SUMIFS(Cash_Flow_3[Amount],Cash_Flow_3[Bulan],H837,Cash_Flow_3[Type],"Out",Cash_Flow_3[Category],"Iqbal")</f>
        <v>0</v>
      </c>
    </row>
    <row r="838" spans="1:20" ht="22.5" customHeight="1" x14ac:dyDescent="0.2">
      <c r="A838" s="23"/>
      <c r="B838" s="24"/>
      <c r="C838" s="25"/>
      <c r="D838" s="25"/>
      <c r="E838" s="25"/>
      <c r="F838" s="26"/>
      <c r="G838" s="27"/>
      <c r="H838" s="28" t="str">
        <f t="shared" si="0"/>
        <v/>
      </c>
      <c r="I838" s="29">
        <f>SUMIFS(Cash_Flow_3[Amount],Cash_Flow_3[Bulan],H838,Cash_Flow_3[Type],"In")</f>
        <v>0</v>
      </c>
      <c r="J838" s="29">
        <f>SUMIFS(Cash_Flow_3[Amount],Cash_Flow_3[Bulan],H838,Cash_Flow_3[Type],"Out")</f>
        <v>0</v>
      </c>
      <c r="K838" s="29">
        <f>SUMIFS(Cash_Flow_3[Amount],Cash_Flow_3[Bulan],H838,Cash_Flow_3[Type],"Out",Cash_Flow_3[Category],"Fix")</f>
        <v>0</v>
      </c>
      <c r="L838" s="29">
        <f>SUMIFS(Cash_Flow_3[Amount],Cash_Flow_3[Bulan],H838,Cash_Flow_3[Type],"Out",Cash_Flow_3[Category],"Bathroom")</f>
        <v>0</v>
      </c>
      <c r="M838" s="29">
        <f>SUMIFS(Cash_Flow_3[Amount],Cash_Flow_3[Bulan],H838,Cash_Flow_3[Type],"Out",Cash_Flow_3[Category],"Alfa")</f>
        <v>0</v>
      </c>
      <c r="N838" s="29">
        <f>SUMIFS(Cash_Flow_3[Amount],Cash_Flow_3[Bulan],H838,Cash_Flow_3[Type],"Out",Cash_Flow_3[Category],"Jajan")</f>
        <v>0</v>
      </c>
      <c r="O838" s="29">
        <f>SUMIFS(Cash_Flow_3[Amount],Cash_Flow_3[Bulan],H838,Cash_Flow_3[Type],"Out",Cash_Flow_3[Category],"Kitchen")</f>
        <v>0</v>
      </c>
      <c r="P838" s="29">
        <f>SUMIFS(Cash_Flow_3[Amount],Cash_Flow_3[Bulan],H838,Cash_Flow_3[Type],"Out",Cash_Flow_3[Category],"Loandry")</f>
        <v>0</v>
      </c>
      <c r="Q838" s="29">
        <f>SUMIFS(Cash_Flow_3[Amount],Cash_Flow_3[Bulan],H838,Cash_Flow_3[Type],"Out",Cash_Flow_3[Category],"Mio")</f>
        <v>0</v>
      </c>
      <c r="R838" s="29">
        <f>SUMIFS(Cash_Flow_3[Amount],Cash_Flow_3[Bulan],H838,Cash_Flow_3[Type],"Out",Cash_Flow_3[Category],"Sedekah")</f>
        <v>0</v>
      </c>
      <c r="S838" s="29">
        <f>SUMIFS(Cash_Flow_3[Amount],Cash_Flow_3[Bulan],H838,Cash_Flow_3[Type],"Out",Cash_Flow_3[Category],"Zela")</f>
        <v>0</v>
      </c>
      <c r="T838" s="29">
        <f>SUMIFS(Cash_Flow_3[Amount],Cash_Flow_3[Bulan],H838,Cash_Flow_3[Type],"Out",Cash_Flow_3[Category],"Iqbal")</f>
        <v>0</v>
      </c>
    </row>
    <row r="839" spans="1:20" ht="22.5" customHeight="1" x14ac:dyDescent="0.2">
      <c r="A839" s="23"/>
      <c r="B839" s="24"/>
      <c r="C839" s="25"/>
      <c r="D839" s="25"/>
      <c r="E839" s="25"/>
      <c r="F839" s="26"/>
      <c r="G839" s="27"/>
      <c r="H839" s="28" t="str">
        <f t="shared" si="0"/>
        <v/>
      </c>
      <c r="I839" s="29">
        <f>SUMIFS(Cash_Flow_3[Amount],Cash_Flow_3[Bulan],H839,Cash_Flow_3[Type],"In")</f>
        <v>0</v>
      </c>
      <c r="J839" s="29">
        <f>SUMIFS(Cash_Flow_3[Amount],Cash_Flow_3[Bulan],H839,Cash_Flow_3[Type],"Out")</f>
        <v>0</v>
      </c>
      <c r="K839" s="29">
        <f>SUMIFS(Cash_Flow_3[Amount],Cash_Flow_3[Bulan],H839,Cash_Flow_3[Type],"Out",Cash_Flow_3[Category],"Fix")</f>
        <v>0</v>
      </c>
      <c r="L839" s="29">
        <f>SUMIFS(Cash_Flow_3[Amount],Cash_Flow_3[Bulan],H839,Cash_Flow_3[Type],"Out",Cash_Flow_3[Category],"Bathroom")</f>
        <v>0</v>
      </c>
      <c r="M839" s="29">
        <f>SUMIFS(Cash_Flow_3[Amount],Cash_Flow_3[Bulan],H839,Cash_Flow_3[Type],"Out",Cash_Flow_3[Category],"Alfa")</f>
        <v>0</v>
      </c>
      <c r="N839" s="29">
        <f>SUMIFS(Cash_Flow_3[Amount],Cash_Flow_3[Bulan],H839,Cash_Flow_3[Type],"Out",Cash_Flow_3[Category],"Jajan")</f>
        <v>0</v>
      </c>
      <c r="O839" s="29">
        <f>SUMIFS(Cash_Flow_3[Amount],Cash_Flow_3[Bulan],H839,Cash_Flow_3[Type],"Out",Cash_Flow_3[Category],"Kitchen")</f>
        <v>0</v>
      </c>
      <c r="P839" s="29">
        <f>SUMIFS(Cash_Flow_3[Amount],Cash_Flow_3[Bulan],H839,Cash_Flow_3[Type],"Out",Cash_Flow_3[Category],"Loandry")</f>
        <v>0</v>
      </c>
      <c r="Q839" s="29">
        <f>SUMIFS(Cash_Flow_3[Amount],Cash_Flow_3[Bulan],H839,Cash_Flow_3[Type],"Out",Cash_Flow_3[Category],"Mio")</f>
        <v>0</v>
      </c>
      <c r="R839" s="29">
        <f>SUMIFS(Cash_Flow_3[Amount],Cash_Flow_3[Bulan],H839,Cash_Flow_3[Type],"Out",Cash_Flow_3[Category],"Sedekah")</f>
        <v>0</v>
      </c>
      <c r="S839" s="29">
        <f>SUMIFS(Cash_Flow_3[Amount],Cash_Flow_3[Bulan],H839,Cash_Flow_3[Type],"Out",Cash_Flow_3[Category],"Zela")</f>
        <v>0</v>
      </c>
      <c r="T839" s="29">
        <f>SUMIFS(Cash_Flow_3[Amount],Cash_Flow_3[Bulan],H839,Cash_Flow_3[Type],"Out",Cash_Flow_3[Category],"Iqbal")</f>
        <v>0</v>
      </c>
    </row>
    <row r="840" spans="1:20" ht="22.5" customHeight="1" x14ac:dyDescent="0.2">
      <c r="A840" s="23"/>
      <c r="B840" s="24"/>
      <c r="C840" s="25"/>
      <c r="D840" s="25"/>
      <c r="E840" s="25"/>
      <c r="F840" s="26"/>
      <c r="G840" s="27"/>
      <c r="H840" s="28" t="str">
        <f t="shared" si="0"/>
        <v/>
      </c>
      <c r="I840" s="29">
        <f>SUMIFS(Cash_Flow_3[Amount],Cash_Flow_3[Bulan],H840,Cash_Flow_3[Type],"In")</f>
        <v>0</v>
      </c>
      <c r="J840" s="29">
        <f>SUMIFS(Cash_Flow_3[Amount],Cash_Flow_3[Bulan],H840,Cash_Flow_3[Type],"Out")</f>
        <v>0</v>
      </c>
      <c r="K840" s="29">
        <f>SUMIFS(Cash_Flow_3[Amount],Cash_Flow_3[Bulan],H840,Cash_Flow_3[Type],"Out",Cash_Flow_3[Category],"Fix")</f>
        <v>0</v>
      </c>
      <c r="L840" s="29">
        <f>SUMIFS(Cash_Flow_3[Amount],Cash_Flow_3[Bulan],H840,Cash_Flow_3[Type],"Out",Cash_Flow_3[Category],"Bathroom")</f>
        <v>0</v>
      </c>
      <c r="M840" s="29">
        <f>SUMIFS(Cash_Flow_3[Amount],Cash_Flow_3[Bulan],H840,Cash_Flow_3[Type],"Out",Cash_Flow_3[Category],"Alfa")</f>
        <v>0</v>
      </c>
      <c r="N840" s="29">
        <f>SUMIFS(Cash_Flow_3[Amount],Cash_Flow_3[Bulan],H840,Cash_Flow_3[Type],"Out",Cash_Flow_3[Category],"Jajan")</f>
        <v>0</v>
      </c>
      <c r="O840" s="29">
        <f>SUMIFS(Cash_Flow_3[Amount],Cash_Flow_3[Bulan],H840,Cash_Flow_3[Type],"Out",Cash_Flow_3[Category],"Kitchen")</f>
        <v>0</v>
      </c>
      <c r="P840" s="29">
        <f>SUMIFS(Cash_Flow_3[Amount],Cash_Flow_3[Bulan],H840,Cash_Flow_3[Type],"Out",Cash_Flow_3[Category],"Loandry")</f>
        <v>0</v>
      </c>
      <c r="Q840" s="29">
        <f>SUMIFS(Cash_Flow_3[Amount],Cash_Flow_3[Bulan],H840,Cash_Flow_3[Type],"Out",Cash_Flow_3[Category],"Mio")</f>
        <v>0</v>
      </c>
      <c r="R840" s="29">
        <f>SUMIFS(Cash_Flow_3[Amount],Cash_Flow_3[Bulan],H840,Cash_Flow_3[Type],"Out",Cash_Flow_3[Category],"Sedekah")</f>
        <v>0</v>
      </c>
      <c r="S840" s="29">
        <f>SUMIFS(Cash_Flow_3[Amount],Cash_Flow_3[Bulan],H840,Cash_Flow_3[Type],"Out",Cash_Flow_3[Category],"Zela")</f>
        <v>0</v>
      </c>
      <c r="T840" s="29">
        <f>SUMIFS(Cash_Flow_3[Amount],Cash_Flow_3[Bulan],H840,Cash_Flow_3[Type],"Out",Cash_Flow_3[Category],"Iqbal")</f>
        <v>0</v>
      </c>
    </row>
    <row r="841" spans="1:20" ht="22.5" customHeight="1" x14ac:dyDescent="0.2">
      <c r="A841" s="23"/>
      <c r="B841" s="24"/>
      <c r="C841" s="25"/>
      <c r="D841" s="25"/>
      <c r="E841" s="25"/>
      <c r="F841" s="26"/>
      <c r="G841" s="27"/>
      <c r="H841" s="28" t="str">
        <f t="shared" si="0"/>
        <v/>
      </c>
      <c r="I841" s="29">
        <f>SUMIFS(Cash_Flow_3[Amount],Cash_Flow_3[Bulan],H841,Cash_Flow_3[Type],"In")</f>
        <v>0</v>
      </c>
      <c r="J841" s="29">
        <f>SUMIFS(Cash_Flow_3[Amount],Cash_Flow_3[Bulan],H841,Cash_Flow_3[Type],"Out")</f>
        <v>0</v>
      </c>
      <c r="K841" s="29">
        <f>SUMIFS(Cash_Flow_3[Amount],Cash_Flow_3[Bulan],H841,Cash_Flow_3[Type],"Out",Cash_Flow_3[Category],"Fix")</f>
        <v>0</v>
      </c>
      <c r="L841" s="29">
        <f>SUMIFS(Cash_Flow_3[Amount],Cash_Flow_3[Bulan],H841,Cash_Flow_3[Type],"Out",Cash_Flow_3[Category],"Bathroom")</f>
        <v>0</v>
      </c>
      <c r="M841" s="29">
        <f>SUMIFS(Cash_Flow_3[Amount],Cash_Flow_3[Bulan],H841,Cash_Flow_3[Type],"Out",Cash_Flow_3[Category],"Alfa")</f>
        <v>0</v>
      </c>
      <c r="N841" s="29">
        <f>SUMIFS(Cash_Flow_3[Amount],Cash_Flow_3[Bulan],H841,Cash_Flow_3[Type],"Out",Cash_Flow_3[Category],"Jajan")</f>
        <v>0</v>
      </c>
      <c r="O841" s="29">
        <f>SUMIFS(Cash_Flow_3[Amount],Cash_Flow_3[Bulan],H841,Cash_Flow_3[Type],"Out",Cash_Flow_3[Category],"Kitchen")</f>
        <v>0</v>
      </c>
      <c r="P841" s="29">
        <f>SUMIFS(Cash_Flow_3[Amount],Cash_Flow_3[Bulan],H841,Cash_Flow_3[Type],"Out",Cash_Flow_3[Category],"Loandry")</f>
        <v>0</v>
      </c>
      <c r="Q841" s="29">
        <f>SUMIFS(Cash_Flow_3[Amount],Cash_Flow_3[Bulan],H841,Cash_Flow_3[Type],"Out",Cash_Flow_3[Category],"Mio")</f>
        <v>0</v>
      </c>
      <c r="R841" s="29">
        <f>SUMIFS(Cash_Flow_3[Amount],Cash_Flow_3[Bulan],H841,Cash_Flow_3[Type],"Out",Cash_Flow_3[Category],"Sedekah")</f>
        <v>0</v>
      </c>
      <c r="S841" s="29">
        <f>SUMIFS(Cash_Flow_3[Amount],Cash_Flow_3[Bulan],H841,Cash_Flow_3[Type],"Out",Cash_Flow_3[Category],"Zela")</f>
        <v>0</v>
      </c>
      <c r="T841" s="29">
        <f>SUMIFS(Cash_Flow_3[Amount],Cash_Flow_3[Bulan],H841,Cash_Flow_3[Type],"Out",Cash_Flow_3[Category],"Iqbal")</f>
        <v>0</v>
      </c>
    </row>
    <row r="842" spans="1:20" ht="22.5" customHeight="1" x14ac:dyDescent="0.2">
      <c r="A842" s="23"/>
      <c r="B842" s="24"/>
      <c r="C842" s="25"/>
      <c r="D842" s="25"/>
      <c r="E842" s="25"/>
      <c r="F842" s="26"/>
      <c r="G842" s="27"/>
      <c r="H842" s="28" t="str">
        <f t="shared" si="0"/>
        <v/>
      </c>
      <c r="I842" s="29">
        <f>SUMIFS(Cash_Flow_3[Amount],Cash_Flow_3[Bulan],H842,Cash_Flow_3[Type],"In")</f>
        <v>0</v>
      </c>
      <c r="J842" s="29">
        <f>SUMIFS(Cash_Flow_3[Amount],Cash_Flow_3[Bulan],H842,Cash_Flow_3[Type],"Out")</f>
        <v>0</v>
      </c>
      <c r="K842" s="29">
        <f>SUMIFS(Cash_Flow_3[Amount],Cash_Flow_3[Bulan],H842,Cash_Flow_3[Type],"Out",Cash_Flow_3[Category],"Fix")</f>
        <v>0</v>
      </c>
      <c r="L842" s="29">
        <f>SUMIFS(Cash_Flow_3[Amount],Cash_Flow_3[Bulan],H842,Cash_Flow_3[Type],"Out",Cash_Flow_3[Category],"Bathroom")</f>
        <v>0</v>
      </c>
      <c r="M842" s="29">
        <f>SUMIFS(Cash_Flow_3[Amount],Cash_Flow_3[Bulan],H842,Cash_Flow_3[Type],"Out",Cash_Flow_3[Category],"Alfa")</f>
        <v>0</v>
      </c>
      <c r="N842" s="29">
        <f>SUMIFS(Cash_Flow_3[Amount],Cash_Flow_3[Bulan],H842,Cash_Flow_3[Type],"Out",Cash_Flow_3[Category],"Jajan")</f>
        <v>0</v>
      </c>
      <c r="O842" s="29">
        <f>SUMIFS(Cash_Flow_3[Amount],Cash_Flow_3[Bulan],H842,Cash_Flow_3[Type],"Out",Cash_Flow_3[Category],"Kitchen")</f>
        <v>0</v>
      </c>
      <c r="P842" s="29">
        <f>SUMIFS(Cash_Flow_3[Amount],Cash_Flow_3[Bulan],H842,Cash_Flow_3[Type],"Out",Cash_Flow_3[Category],"Loandry")</f>
        <v>0</v>
      </c>
      <c r="Q842" s="29">
        <f>SUMIFS(Cash_Flow_3[Amount],Cash_Flow_3[Bulan],H842,Cash_Flow_3[Type],"Out",Cash_Flow_3[Category],"Mio")</f>
        <v>0</v>
      </c>
      <c r="R842" s="29">
        <f>SUMIFS(Cash_Flow_3[Amount],Cash_Flow_3[Bulan],H842,Cash_Flow_3[Type],"Out",Cash_Flow_3[Category],"Sedekah")</f>
        <v>0</v>
      </c>
      <c r="S842" s="29">
        <f>SUMIFS(Cash_Flow_3[Amount],Cash_Flow_3[Bulan],H842,Cash_Flow_3[Type],"Out",Cash_Flow_3[Category],"Zela")</f>
        <v>0</v>
      </c>
      <c r="T842" s="29">
        <f>SUMIFS(Cash_Flow_3[Amount],Cash_Flow_3[Bulan],H842,Cash_Flow_3[Type],"Out",Cash_Flow_3[Category],"Iqbal")</f>
        <v>0</v>
      </c>
    </row>
    <row r="843" spans="1:20" ht="22.5" customHeight="1" x14ac:dyDescent="0.2">
      <c r="A843" s="23"/>
      <c r="B843" s="24"/>
      <c r="C843" s="25"/>
      <c r="D843" s="25"/>
      <c r="E843" s="25"/>
      <c r="F843" s="26"/>
      <c r="G843" s="27"/>
      <c r="H843" s="28" t="str">
        <f t="shared" si="0"/>
        <v/>
      </c>
      <c r="I843" s="29">
        <f>SUMIFS(Cash_Flow_3[Amount],Cash_Flow_3[Bulan],H843,Cash_Flow_3[Type],"In")</f>
        <v>0</v>
      </c>
      <c r="J843" s="29">
        <f>SUMIFS(Cash_Flow_3[Amount],Cash_Flow_3[Bulan],H843,Cash_Flow_3[Type],"Out")</f>
        <v>0</v>
      </c>
      <c r="K843" s="29">
        <f>SUMIFS(Cash_Flow_3[Amount],Cash_Flow_3[Bulan],H843,Cash_Flow_3[Type],"Out",Cash_Flow_3[Category],"Fix")</f>
        <v>0</v>
      </c>
      <c r="L843" s="29">
        <f>SUMIFS(Cash_Flow_3[Amount],Cash_Flow_3[Bulan],H843,Cash_Flow_3[Type],"Out",Cash_Flow_3[Category],"Bathroom")</f>
        <v>0</v>
      </c>
      <c r="M843" s="29">
        <f>SUMIFS(Cash_Flow_3[Amount],Cash_Flow_3[Bulan],H843,Cash_Flow_3[Type],"Out",Cash_Flow_3[Category],"Alfa")</f>
        <v>0</v>
      </c>
      <c r="N843" s="29">
        <f>SUMIFS(Cash_Flow_3[Amount],Cash_Flow_3[Bulan],H843,Cash_Flow_3[Type],"Out",Cash_Flow_3[Category],"Jajan")</f>
        <v>0</v>
      </c>
      <c r="O843" s="29">
        <f>SUMIFS(Cash_Flow_3[Amount],Cash_Flow_3[Bulan],H843,Cash_Flow_3[Type],"Out",Cash_Flow_3[Category],"Kitchen")</f>
        <v>0</v>
      </c>
      <c r="P843" s="29">
        <f>SUMIFS(Cash_Flow_3[Amount],Cash_Flow_3[Bulan],H843,Cash_Flow_3[Type],"Out",Cash_Flow_3[Category],"Loandry")</f>
        <v>0</v>
      </c>
      <c r="Q843" s="29">
        <f>SUMIFS(Cash_Flow_3[Amount],Cash_Flow_3[Bulan],H843,Cash_Flow_3[Type],"Out",Cash_Flow_3[Category],"Mio")</f>
        <v>0</v>
      </c>
      <c r="R843" s="29">
        <f>SUMIFS(Cash_Flow_3[Amount],Cash_Flow_3[Bulan],H843,Cash_Flow_3[Type],"Out",Cash_Flow_3[Category],"Sedekah")</f>
        <v>0</v>
      </c>
      <c r="S843" s="29">
        <f>SUMIFS(Cash_Flow_3[Amount],Cash_Flow_3[Bulan],H843,Cash_Flow_3[Type],"Out",Cash_Flow_3[Category],"Zela")</f>
        <v>0</v>
      </c>
      <c r="T843" s="29">
        <f>SUMIFS(Cash_Flow_3[Amount],Cash_Flow_3[Bulan],H843,Cash_Flow_3[Type],"Out",Cash_Flow_3[Category],"Iqbal")</f>
        <v>0</v>
      </c>
    </row>
    <row r="844" spans="1:20" ht="22.5" customHeight="1" x14ac:dyDescent="0.2">
      <c r="A844" s="23"/>
      <c r="B844" s="24"/>
      <c r="C844" s="25"/>
      <c r="D844" s="25"/>
      <c r="E844" s="25"/>
      <c r="F844" s="26"/>
      <c r="G844" s="27"/>
      <c r="H844" s="28" t="str">
        <f t="shared" si="0"/>
        <v/>
      </c>
      <c r="I844" s="29">
        <f>SUMIFS(Cash_Flow_3[Amount],Cash_Flow_3[Bulan],H844,Cash_Flow_3[Type],"In")</f>
        <v>0</v>
      </c>
      <c r="J844" s="29">
        <f>SUMIFS(Cash_Flow_3[Amount],Cash_Flow_3[Bulan],H844,Cash_Flow_3[Type],"Out")</f>
        <v>0</v>
      </c>
      <c r="K844" s="29">
        <f>SUMIFS(Cash_Flow_3[Amount],Cash_Flow_3[Bulan],H844,Cash_Flow_3[Type],"Out",Cash_Flow_3[Category],"Fix")</f>
        <v>0</v>
      </c>
      <c r="L844" s="29">
        <f>SUMIFS(Cash_Flow_3[Amount],Cash_Flow_3[Bulan],H844,Cash_Flow_3[Type],"Out",Cash_Flow_3[Category],"Bathroom")</f>
        <v>0</v>
      </c>
      <c r="M844" s="29">
        <f>SUMIFS(Cash_Flow_3[Amount],Cash_Flow_3[Bulan],H844,Cash_Flow_3[Type],"Out",Cash_Flow_3[Category],"Alfa")</f>
        <v>0</v>
      </c>
      <c r="N844" s="29">
        <f>SUMIFS(Cash_Flow_3[Amount],Cash_Flow_3[Bulan],H844,Cash_Flow_3[Type],"Out",Cash_Flow_3[Category],"Jajan")</f>
        <v>0</v>
      </c>
      <c r="O844" s="29">
        <f>SUMIFS(Cash_Flow_3[Amount],Cash_Flow_3[Bulan],H844,Cash_Flow_3[Type],"Out",Cash_Flow_3[Category],"Kitchen")</f>
        <v>0</v>
      </c>
      <c r="P844" s="29">
        <f>SUMIFS(Cash_Flow_3[Amount],Cash_Flow_3[Bulan],H844,Cash_Flow_3[Type],"Out",Cash_Flow_3[Category],"Loandry")</f>
        <v>0</v>
      </c>
      <c r="Q844" s="29">
        <f>SUMIFS(Cash_Flow_3[Amount],Cash_Flow_3[Bulan],H844,Cash_Flow_3[Type],"Out",Cash_Flow_3[Category],"Mio")</f>
        <v>0</v>
      </c>
      <c r="R844" s="29">
        <f>SUMIFS(Cash_Flow_3[Amount],Cash_Flow_3[Bulan],H844,Cash_Flow_3[Type],"Out",Cash_Flow_3[Category],"Sedekah")</f>
        <v>0</v>
      </c>
      <c r="S844" s="29">
        <f>SUMIFS(Cash_Flow_3[Amount],Cash_Flow_3[Bulan],H844,Cash_Flow_3[Type],"Out",Cash_Flow_3[Category],"Zela")</f>
        <v>0</v>
      </c>
      <c r="T844" s="29">
        <f>SUMIFS(Cash_Flow_3[Amount],Cash_Flow_3[Bulan],H844,Cash_Flow_3[Type],"Out",Cash_Flow_3[Category],"Iqbal")</f>
        <v>0</v>
      </c>
    </row>
    <row r="845" spans="1:20" ht="22.5" customHeight="1" x14ac:dyDescent="0.2">
      <c r="A845" s="23"/>
      <c r="B845" s="24"/>
      <c r="C845" s="25"/>
      <c r="D845" s="25"/>
      <c r="E845" s="25"/>
      <c r="F845" s="26"/>
      <c r="G845" s="27"/>
      <c r="H845" s="28" t="str">
        <f t="shared" si="0"/>
        <v/>
      </c>
      <c r="I845" s="29">
        <f>SUMIFS(Cash_Flow_3[Amount],Cash_Flow_3[Bulan],H845,Cash_Flow_3[Type],"In")</f>
        <v>0</v>
      </c>
      <c r="J845" s="29">
        <f>SUMIFS(Cash_Flow_3[Amount],Cash_Flow_3[Bulan],H845,Cash_Flow_3[Type],"Out")</f>
        <v>0</v>
      </c>
      <c r="K845" s="29">
        <f>SUMIFS(Cash_Flow_3[Amount],Cash_Flow_3[Bulan],H845,Cash_Flow_3[Type],"Out",Cash_Flow_3[Category],"Fix")</f>
        <v>0</v>
      </c>
      <c r="L845" s="29">
        <f>SUMIFS(Cash_Flow_3[Amount],Cash_Flow_3[Bulan],H845,Cash_Flow_3[Type],"Out",Cash_Flow_3[Category],"Bathroom")</f>
        <v>0</v>
      </c>
      <c r="M845" s="29">
        <f>SUMIFS(Cash_Flow_3[Amount],Cash_Flow_3[Bulan],H845,Cash_Flow_3[Type],"Out",Cash_Flow_3[Category],"Alfa")</f>
        <v>0</v>
      </c>
      <c r="N845" s="29">
        <f>SUMIFS(Cash_Flow_3[Amount],Cash_Flow_3[Bulan],H845,Cash_Flow_3[Type],"Out",Cash_Flow_3[Category],"Jajan")</f>
        <v>0</v>
      </c>
      <c r="O845" s="29">
        <f>SUMIFS(Cash_Flow_3[Amount],Cash_Flow_3[Bulan],H845,Cash_Flow_3[Type],"Out",Cash_Flow_3[Category],"Kitchen")</f>
        <v>0</v>
      </c>
      <c r="P845" s="29">
        <f>SUMIFS(Cash_Flow_3[Amount],Cash_Flow_3[Bulan],H845,Cash_Flow_3[Type],"Out",Cash_Flow_3[Category],"Loandry")</f>
        <v>0</v>
      </c>
      <c r="Q845" s="29">
        <f>SUMIFS(Cash_Flow_3[Amount],Cash_Flow_3[Bulan],H845,Cash_Flow_3[Type],"Out",Cash_Flow_3[Category],"Mio")</f>
        <v>0</v>
      </c>
      <c r="R845" s="29">
        <f>SUMIFS(Cash_Flow_3[Amount],Cash_Flow_3[Bulan],H845,Cash_Flow_3[Type],"Out",Cash_Flow_3[Category],"Sedekah")</f>
        <v>0</v>
      </c>
      <c r="S845" s="29">
        <f>SUMIFS(Cash_Flow_3[Amount],Cash_Flow_3[Bulan],H845,Cash_Flow_3[Type],"Out",Cash_Flow_3[Category],"Zela")</f>
        <v>0</v>
      </c>
      <c r="T845" s="29">
        <f>SUMIFS(Cash_Flow_3[Amount],Cash_Flow_3[Bulan],H845,Cash_Flow_3[Type],"Out",Cash_Flow_3[Category],"Iqbal")</f>
        <v>0</v>
      </c>
    </row>
    <row r="846" spans="1:20" ht="22.5" customHeight="1" x14ac:dyDescent="0.2">
      <c r="A846" s="23"/>
      <c r="B846" s="24"/>
      <c r="C846" s="25"/>
      <c r="D846" s="25"/>
      <c r="E846" s="25"/>
      <c r="F846" s="26"/>
      <c r="G846" s="27"/>
      <c r="H846" s="28" t="str">
        <f t="shared" si="0"/>
        <v/>
      </c>
      <c r="I846" s="29">
        <f>SUMIFS(Cash_Flow_3[Amount],Cash_Flow_3[Bulan],H846,Cash_Flow_3[Type],"In")</f>
        <v>0</v>
      </c>
      <c r="J846" s="29">
        <f>SUMIFS(Cash_Flow_3[Amount],Cash_Flow_3[Bulan],H846,Cash_Flow_3[Type],"Out")</f>
        <v>0</v>
      </c>
      <c r="K846" s="29">
        <f>SUMIFS(Cash_Flow_3[Amount],Cash_Flow_3[Bulan],H846,Cash_Flow_3[Type],"Out",Cash_Flow_3[Category],"Fix")</f>
        <v>0</v>
      </c>
      <c r="L846" s="29">
        <f>SUMIFS(Cash_Flow_3[Amount],Cash_Flow_3[Bulan],H846,Cash_Flow_3[Type],"Out",Cash_Flow_3[Category],"Bathroom")</f>
        <v>0</v>
      </c>
      <c r="M846" s="29">
        <f>SUMIFS(Cash_Flow_3[Amount],Cash_Flow_3[Bulan],H846,Cash_Flow_3[Type],"Out",Cash_Flow_3[Category],"Alfa")</f>
        <v>0</v>
      </c>
      <c r="N846" s="29">
        <f>SUMIFS(Cash_Flow_3[Amount],Cash_Flow_3[Bulan],H846,Cash_Flow_3[Type],"Out",Cash_Flow_3[Category],"Jajan")</f>
        <v>0</v>
      </c>
      <c r="O846" s="29">
        <f>SUMIFS(Cash_Flow_3[Amount],Cash_Flow_3[Bulan],H846,Cash_Flow_3[Type],"Out",Cash_Flow_3[Category],"Kitchen")</f>
        <v>0</v>
      </c>
      <c r="P846" s="29">
        <f>SUMIFS(Cash_Flow_3[Amount],Cash_Flow_3[Bulan],H846,Cash_Flow_3[Type],"Out",Cash_Flow_3[Category],"Loandry")</f>
        <v>0</v>
      </c>
      <c r="Q846" s="29">
        <f>SUMIFS(Cash_Flow_3[Amount],Cash_Flow_3[Bulan],H846,Cash_Flow_3[Type],"Out",Cash_Flow_3[Category],"Mio")</f>
        <v>0</v>
      </c>
      <c r="R846" s="29">
        <f>SUMIFS(Cash_Flow_3[Amount],Cash_Flow_3[Bulan],H846,Cash_Flow_3[Type],"Out",Cash_Flow_3[Category],"Sedekah")</f>
        <v>0</v>
      </c>
      <c r="S846" s="29">
        <f>SUMIFS(Cash_Flow_3[Amount],Cash_Flow_3[Bulan],H846,Cash_Flow_3[Type],"Out",Cash_Flow_3[Category],"Zela")</f>
        <v>0</v>
      </c>
      <c r="T846" s="29">
        <f>SUMIFS(Cash_Flow_3[Amount],Cash_Flow_3[Bulan],H846,Cash_Flow_3[Type],"Out",Cash_Flow_3[Category],"Iqbal")</f>
        <v>0</v>
      </c>
    </row>
    <row r="847" spans="1:20" ht="22.5" customHeight="1" x14ac:dyDescent="0.2">
      <c r="A847" s="23"/>
      <c r="B847" s="24"/>
      <c r="C847" s="25"/>
      <c r="D847" s="25"/>
      <c r="E847" s="25"/>
      <c r="F847" s="26"/>
      <c r="G847" s="27"/>
      <c r="H847" s="28" t="str">
        <f t="shared" si="0"/>
        <v/>
      </c>
      <c r="I847" s="29">
        <f>SUMIFS(Cash_Flow_3[Amount],Cash_Flow_3[Bulan],H847,Cash_Flow_3[Type],"In")</f>
        <v>0</v>
      </c>
      <c r="J847" s="29">
        <f>SUMIFS(Cash_Flow_3[Amount],Cash_Flow_3[Bulan],H847,Cash_Flow_3[Type],"Out")</f>
        <v>0</v>
      </c>
      <c r="K847" s="29">
        <f>SUMIFS(Cash_Flow_3[Amount],Cash_Flow_3[Bulan],H847,Cash_Flow_3[Type],"Out",Cash_Flow_3[Category],"Fix")</f>
        <v>0</v>
      </c>
      <c r="L847" s="29">
        <f>SUMIFS(Cash_Flow_3[Amount],Cash_Flow_3[Bulan],H847,Cash_Flow_3[Type],"Out",Cash_Flow_3[Category],"Bathroom")</f>
        <v>0</v>
      </c>
      <c r="M847" s="29">
        <f>SUMIFS(Cash_Flow_3[Amount],Cash_Flow_3[Bulan],H847,Cash_Flow_3[Type],"Out",Cash_Flow_3[Category],"Alfa")</f>
        <v>0</v>
      </c>
      <c r="N847" s="29">
        <f>SUMIFS(Cash_Flow_3[Amount],Cash_Flow_3[Bulan],H847,Cash_Flow_3[Type],"Out",Cash_Flow_3[Category],"Jajan")</f>
        <v>0</v>
      </c>
      <c r="O847" s="29">
        <f>SUMIFS(Cash_Flow_3[Amount],Cash_Flow_3[Bulan],H847,Cash_Flow_3[Type],"Out",Cash_Flow_3[Category],"Kitchen")</f>
        <v>0</v>
      </c>
      <c r="P847" s="29">
        <f>SUMIFS(Cash_Flow_3[Amount],Cash_Flow_3[Bulan],H847,Cash_Flow_3[Type],"Out",Cash_Flow_3[Category],"Loandry")</f>
        <v>0</v>
      </c>
      <c r="Q847" s="29">
        <f>SUMIFS(Cash_Flow_3[Amount],Cash_Flow_3[Bulan],H847,Cash_Flow_3[Type],"Out",Cash_Flow_3[Category],"Mio")</f>
        <v>0</v>
      </c>
      <c r="R847" s="29">
        <f>SUMIFS(Cash_Flow_3[Amount],Cash_Flow_3[Bulan],H847,Cash_Flow_3[Type],"Out",Cash_Flow_3[Category],"Sedekah")</f>
        <v>0</v>
      </c>
      <c r="S847" s="29">
        <f>SUMIFS(Cash_Flow_3[Amount],Cash_Flow_3[Bulan],H847,Cash_Flow_3[Type],"Out",Cash_Flow_3[Category],"Zela")</f>
        <v>0</v>
      </c>
      <c r="T847" s="29">
        <f>SUMIFS(Cash_Flow_3[Amount],Cash_Flow_3[Bulan],H847,Cash_Flow_3[Type],"Out",Cash_Flow_3[Category],"Iqbal")</f>
        <v>0</v>
      </c>
    </row>
    <row r="848" spans="1:20" ht="22.5" customHeight="1" x14ac:dyDescent="0.2">
      <c r="A848" s="23"/>
      <c r="B848" s="24"/>
      <c r="C848" s="25"/>
      <c r="D848" s="25"/>
      <c r="E848" s="25"/>
      <c r="F848" s="26"/>
      <c r="G848" s="27"/>
      <c r="H848" s="28" t="str">
        <f t="shared" si="0"/>
        <v/>
      </c>
      <c r="I848" s="29">
        <f>SUMIFS(Cash_Flow_3[Amount],Cash_Flow_3[Bulan],H848,Cash_Flow_3[Type],"In")</f>
        <v>0</v>
      </c>
      <c r="J848" s="29">
        <f>SUMIFS(Cash_Flow_3[Amount],Cash_Flow_3[Bulan],H848,Cash_Flow_3[Type],"Out")</f>
        <v>0</v>
      </c>
      <c r="K848" s="29">
        <f>SUMIFS(Cash_Flow_3[Amount],Cash_Flow_3[Bulan],H848,Cash_Flow_3[Type],"Out",Cash_Flow_3[Category],"Fix")</f>
        <v>0</v>
      </c>
      <c r="L848" s="29">
        <f>SUMIFS(Cash_Flow_3[Amount],Cash_Flow_3[Bulan],H848,Cash_Flow_3[Type],"Out",Cash_Flow_3[Category],"Bathroom")</f>
        <v>0</v>
      </c>
      <c r="M848" s="29">
        <f>SUMIFS(Cash_Flow_3[Amount],Cash_Flow_3[Bulan],H848,Cash_Flow_3[Type],"Out",Cash_Flow_3[Category],"Alfa")</f>
        <v>0</v>
      </c>
      <c r="N848" s="29">
        <f>SUMIFS(Cash_Flow_3[Amount],Cash_Flow_3[Bulan],H848,Cash_Flow_3[Type],"Out",Cash_Flow_3[Category],"Jajan")</f>
        <v>0</v>
      </c>
      <c r="O848" s="29">
        <f>SUMIFS(Cash_Flow_3[Amount],Cash_Flow_3[Bulan],H848,Cash_Flow_3[Type],"Out",Cash_Flow_3[Category],"Kitchen")</f>
        <v>0</v>
      </c>
      <c r="P848" s="29">
        <f>SUMIFS(Cash_Flow_3[Amount],Cash_Flow_3[Bulan],H848,Cash_Flow_3[Type],"Out",Cash_Flow_3[Category],"Loandry")</f>
        <v>0</v>
      </c>
      <c r="Q848" s="29">
        <f>SUMIFS(Cash_Flow_3[Amount],Cash_Flow_3[Bulan],H848,Cash_Flow_3[Type],"Out",Cash_Flow_3[Category],"Mio")</f>
        <v>0</v>
      </c>
      <c r="R848" s="29">
        <f>SUMIFS(Cash_Flow_3[Amount],Cash_Flow_3[Bulan],H848,Cash_Flow_3[Type],"Out",Cash_Flow_3[Category],"Sedekah")</f>
        <v>0</v>
      </c>
      <c r="S848" s="29">
        <f>SUMIFS(Cash_Flow_3[Amount],Cash_Flow_3[Bulan],H848,Cash_Flow_3[Type],"Out",Cash_Flow_3[Category],"Zela")</f>
        <v>0</v>
      </c>
      <c r="T848" s="29">
        <f>SUMIFS(Cash_Flow_3[Amount],Cash_Flow_3[Bulan],H848,Cash_Flow_3[Type],"Out",Cash_Flow_3[Category],"Iqbal")</f>
        <v>0</v>
      </c>
    </row>
    <row r="849" spans="1:20" ht="22.5" customHeight="1" x14ac:dyDescent="0.2">
      <c r="A849" s="23"/>
      <c r="B849" s="24"/>
      <c r="C849" s="25"/>
      <c r="D849" s="25"/>
      <c r="E849" s="25"/>
      <c r="F849" s="26"/>
      <c r="G849" s="27"/>
      <c r="H849" s="28" t="str">
        <f t="shared" si="0"/>
        <v/>
      </c>
      <c r="I849" s="29">
        <f>SUMIFS(Cash_Flow_3[Amount],Cash_Flow_3[Bulan],H849,Cash_Flow_3[Type],"In")</f>
        <v>0</v>
      </c>
      <c r="J849" s="29">
        <f>SUMIFS(Cash_Flow_3[Amount],Cash_Flow_3[Bulan],H849,Cash_Flow_3[Type],"Out")</f>
        <v>0</v>
      </c>
      <c r="K849" s="29">
        <f>SUMIFS(Cash_Flow_3[Amount],Cash_Flow_3[Bulan],H849,Cash_Flow_3[Type],"Out",Cash_Flow_3[Category],"Fix")</f>
        <v>0</v>
      </c>
      <c r="L849" s="29">
        <f>SUMIFS(Cash_Flow_3[Amount],Cash_Flow_3[Bulan],H849,Cash_Flow_3[Type],"Out",Cash_Flow_3[Category],"Bathroom")</f>
        <v>0</v>
      </c>
      <c r="M849" s="29">
        <f>SUMIFS(Cash_Flow_3[Amount],Cash_Flow_3[Bulan],H849,Cash_Flow_3[Type],"Out",Cash_Flow_3[Category],"Alfa")</f>
        <v>0</v>
      </c>
      <c r="N849" s="29">
        <f>SUMIFS(Cash_Flow_3[Amount],Cash_Flow_3[Bulan],H849,Cash_Flow_3[Type],"Out",Cash_Flow_3[Category],"Jajan")</f>
        <v>0</v>
      </c>
      <c r="O849" s="29">
        <f>SUMIFS(Cash_Flow_3[Amount],Cash_Flow_3[Bulan],H849,Cash_Flow_3[Type],"Out",Cash_Flow_3[Category],"Kitchen")</f>
        <v>0</v>
      </c>
      <c r="P849" s="29">
        <f>SUMIFS(Cash_Flow_3[Amount],Cash_Flow_3[Bulan],H849,Cash_Flow_3[Type],"Out",Cash_Flow_3[Category],"Loandry")</f>
        <v>0</v>
      </c>
      <c r="Q849" s="29">
        <f>SUMIFS(Cash_Flow_3[Amount],Cash_Flow_3[Bulan],H849,Cash_Flow_3[Type],"Out",Cash_Flow_3[Category],"Mio")</f>
        <v>0</v>
      </c>
      <c r="R849" s="29">
        <f>SUMIFS(Cash_Flow_3[Amount],Cash_Flow_3[Bulan],H849,Cash_Flow_3[Type],"Out",Cash_Flow_3[Category],"Sedekah")</f>
        <v>0</v>
      </c>
      <c r="S849" s="29">
        <f>SUMIFS(Cash_Flow_3[Amount],Cash_Flow_3[Bulan],H849,Cash_Flow_3[Type],"Out",Cash_Flow_3[Category],"Zela")</f>
        <v>0</v>
      </c>
      <c r="T849" s="29">
        <f>SUMIFS(Cash_Flow_3[Amount],Cash_Flow_3[Bulan],H849,Cash_Flow_3[Type],"Out",Cash_Flow_3[Category],"Iqbal")</f>
        <v>0</v>
      </c>
    </row>
    <row r="850" spans="1:20" ht="22.5" customHeight="1" x14ac:dyDescent="0.2">
      <c r="A850" s="23"/>
      <c r="B850" s="24"/>
      <c r="C850" s="25"/>
      <c r="D850" s="25"/>
      <c r="E850" s="25"/>
      <c r="F850" s="26"/>
      <c r="G850" s="27"/>
      <c r="H850" s="28" t="str">
        <f t="shared" si="0"/>
        <v/>
      </c>
      <c r="I850" s="29">
        <f>SUMIFS(Cash_Flow_3[Amount],Cash_Flow_3[Bulan],H850,Cash_Flow_3[Type],"In")</f>
        <v>0</v>
      </c>
      <c r="J850" s="29">
        <f>SUMIFS(Cash_Flow_3[Amount],Cash_Flow_3[Bulan],H850,Cash_Flow_3[Type],"Out")</f>
        <v>0</v>
      </c>
      <c r="K850" s="29">
        <f>SUMIFS(Cash_Flow_3[Amount],Cash_Flow_3[Bulan],H850,Cash_Flow_3[Type],"Out",Cash_Flow_3[Category],"Fix")</f>
        <v>0</v>
      </c>
      <c r="L850" s="29">
        <f>SUMIFS(Cash_Flow_3[Amount],Cash_Flow_3[Bulan],H850,Cash_Flow_3[Type],"Out",Cash_Flow_3[Category],"Bathroom")</f>
        <v>0</v>
      </c>
      <c r="M850" s="29">
        <f>SUMIFS(Cash_Flow_3[Amount],Cash_Flow_3[Bulan],H850,Cash_Flow_3[Type],"Out",Cash_Flow_3[Category],"Alfa")</f>
        <v>0</v>
      </c>
      <c r="N850" s="29">
        <f>SUMIFS(Cash_Flow_3[Amount],Cash_Flow_3[Bulan],H850,Cash_Flow_3[Type],"Out",Cash_Flow_3[Category],"Jajan")</f>
        <v>0</v>
      </c>
      <c r="O850" s="29">
        <f>SUMIFS(Cash_Flow_3[Amount],Cash_Flow_3[Bulan],H850,Cash_Flow_3[Type],"Out",Cash_Flow_3[Category],"Kitchen")</f>
        <v>0</v>
      </c>
      <c r="P850" s="29">
        <f>SUMIFS(Cash_Flow_3[Amount],Cash_Flow_3[Bulan],H850,Cash_Flow_3[Type],"Out",Cash_Flow_3[Category],"Loandry")</f>
        <v>0</v>
      </c>
      <c r="Q850" s="29">
        <f>SUMIFS(Cash_Flow_3[Amount],Cash_Flow_3[Bulan],H850,Cash_Flow_3[Type],"Out",Cash_Flow_3[Category],"Mio")</f>
        <v>0</v>
      </c>
      <c r="R850" s="29">
        <f>SUMIFS(Cash_Flow_3[Amount],Cash_Flow_3[Bulan],H850,Cash_Flow_3[Type],"Out",Cash_Flow_3[Category],"Sedekah")</f>
        <v>0</v>
      </c>
      <c r="S850" s="29">
        <f>SUMIFS(Cash_Flow_3[Amount],Cash_Flow_3[Bulan],H850,Cash_Flow_3[Type],"Out",Cash_Flow_3[Category],"Zela")</f>
        <v>0</v>
      </c>
      <c r="T850" s="29">
        <f>SUMIFS(Cash_Flow_3[Amount],Cash_Flow_3[Bulan],H850,Cash_Flow_3[Type],"Out",Cash_Flow_3[Category],"Iqbal")</f>
        <v>0</v>
      </c>
    </row>
    <row r="851" spans="1:20" ht="22.5" customHeight="1" x14ac:dyDescent="0.2">
      <c r="A851" s="23"/>
      <c r="B851" s="24"/>
      <c r="C851" s="25"/>
      <c r="D851" s="25"/>
      <c r="E851" s="25"/>
      <c r="F851" s="26"/>
      <c r="G851" s="27"/>
      <c r="H851" s="28" t="str">
        <f t="shared" si="0"/>
        <v/>
      </c>
      <c r="I851" s="29">
        <f>SUMIFS(Cash_Flow_3[Amount],Cash_Flow_3[Bulan],H851,Cash_Flow_3[Type],"In")</f>
        <v>0</v>
      </c>
      <c r="J851" s="29">
        <f>SUMIFS(Cash_Flow_3[Amount],Cash_Flow_3[Bulan],H851,Cash_Flow_3[Type],"Out")</f>
        <v>0</v>
      </c>
      <c r="K851" s="29">
        <f>SUMIFS(Cash_Flow_3[Amount],Cash_Flow_3[Bulan],H851,Cash_Flow_3[Type],"Out",Cash_Flow_3[Category],"Fix")</f>
        <v>0</v>
      </c>
      <c r="L851" s="29">
        <f>SUMIFS(Cash_Flow_3[Amount],Cash_Flow_3[Bulan],H851,Cash_Flow_3[Type],"Out",Cash_Flow_3[Category],"Bathroom")</f>
        <v>0</v>
      </c>
      <c r="M851" s="29">
        <f>SUMIFS(Cash_Flow_3[Amount],Cash_Flow_3[Bulan],H851,Cash_Flow_3[Type],"Out",Cash_Flow_3[Category],"Alfa")</f>
        <v>0</v>
      </c>
      <c r="N851" s="29">
        <f>SUMIFS(Cash_Flow_3[Amount],Cash_Flow_3[Bulan],H851,Cash_Flow_3[Type],"Out",Cash_Flow_3[Category],"Jajan")</f>
        <v>0</v>
      </c>
      <c r="O851" s="29">
        <f>SUMIFS(Cash_Flow_3[Amount],Cash_Flow_3[Bulan],H851,Cash_Flow_3[Type],"Out",Cash_Flow_3[Category],"Kitchen")</f>
        <v>0</v>
      </c>
      <c r="P851" s="29">
        <f>SUMIFS(Cash_Flow_3[Amount],Cash_Flow_3[Bulan],H851,Cash_Flow_3[Type],"Out",Cash_Flow_3[Category],"Loandry")</f>
        <v>0</v>
      </c>
      <c r="Q851" s="29">
        <f>SUMIFS(Cash_Flow_3[Amount],Cash_Flow_3[Bulan],H851,Cash_Flow_3[Type],"Out",Cash_Flow_3[Category],"Mio")</f>
        <v>0</v>
      </c>
      <c r="R851" s="29">
        <f>SUMIFS(Cash_Flow_3[Amount],Cash_Flow_3[Bulan],H851,Cash_Flow_3[Type],"Out",Cash_Flow_3[Category],"Sedekah")</f>
        <v>0</v>
      </c>
      <c r="S851" s="29">
        <f>SUMIFS(Cash_Flow_3[Amount],Cash_Flow_3[Bulan],H851,Cash_Flow_3[Type],"Out",Cash_Flow_3[Category],"Zela")</f>
        <v>0</v>
      </c>
      <c r="T851" s="29">
        <f>SUMIFS(Cash_Flow_3[Amount],Cash_Flow_3[Bulan],H851,Cash_Flow_3[Type],"Out",Cash_Flow_3[Category],"Iqbal")</f>
        <v>0</v>
      </c>
    </row>
    <row r="852" spans="1:20" ht="22.5" customHeight="1" x14ac:dyDescent="0.2">
      <c r="A852" s="23"/>
      <c r="B852" s="24"/>
      <c r="C852" s="25"/>
      <c r="D852" s="25"/>
      <c r="E852" s="25"/>
      <c r="F852" s="26"/>
      <c r="G852" s="27"/>
      <c r="H852" s="28" t="str">
        <f t="shared" si="0"/>
        <v/>
      </c>
      <c r="I852" s="29">
        <f>SUMIFS(Cash_Flow_3[Amount],Cash_Flow_3[Bulan],H852,Cash_Flow_3[Type],"In")</f>
        <v>0</v>
      </c>
      <c r="J852" s="29">
        <f>SUMIFS(Cash_Flow_3[Amount],Cash_Flow_3[Bulan],H852,Cash_Flow_3[Type],"Out")</f>
        <v>0</v>
      </c>
      <c r="K852" s="29">
        <f>SUMIFS(Cash_Flow_3[Amount],Cash_Flow_3[Bulan],H852,Cash_Flow_3[Type],"Out",Cash_Flow_3[Category],"Fix")</f>
        <v>0</v>
      </c>
      <c r="L852" s="29">
        <f>SUMIFS(Cash_Flow_3[Amount],Cash_Flow_3[Bulan],H852,Cash_Flow_3[Type],"Out",Cash_Flow_3[Category],"Bathroom")</f>
        <v>0</v>
      </c>
      <c r="M852" s="29">
        <f>SUMIFS(Cash_Flow_3[Amount],Cash_Flow_3[Bulan],H852,Cash_Flow_3[Type],"Out",Cash_Flow_3[Category],"Alfa")</f>
        <v>0</v>
      </c>
      <c r="N852" s="29">
        <f>SUMIFS(Cash_Flow_3[Amount],Cash_Flow_3[Bulan],H852,Cash_Flow_3[Type],"Out",Cash_Flow_3[Category],"Jajan")</f>
        <v>0</v>
      </c>
      <c r="O852" s="29">
        <f>SUMIFS(Cash_Flow_3[Amount],Cash_Flow_3[Bulan],H852,Cash_Flow_3[Type],"Out",Cash_Flow_3[Category],"Kitchen")</f>
        <v>0</v>
      </c>
      <c r="P852" s="29">
        <f>SUMIFS(Cash_Flow_3[Amount],Cash_Flow_3[Bulan],H852,Cash_Flow_3[Type],"Out",Cash_Flow_3[Category],"Loandry")</f>
        <v>0</v>
      </c>
      <c r="Q852" s="29">
        <f>SUMIFS(Cash_Flow_3[Amount],Cash_Flow_3[Bulan],H852,Cash_Flow_3[Type],"Out",Cash_Flow_3[Category],"Mio")</f>
        <v>0</v>
      </c>
      <c r="R852" s="29">
        <f>SUMIFS(Cash_Flow_3[Amount],Cash_Flow_3[Bulan],H852,Cash_Flow_3[Type],"Out",Cash_Flow_3[Category],"Sedekah")</f>
        <v>0</v>
      </c>
      <c r="S852" s="29">
        <f>SUMIFS(Cash_Flow_3[Amount],Cash_Flow_3[Bulan],H852,Cash_Flow_3[Type],"Out",Cash_Flow_3[Category],"Zela")</f>
        <v>0</v>
      </c>
      <c r="T852" s="29">
        <f>SUMIFS(Cash_Flow_3[Amount],Cash_Flow_3[Bulan],H852,Cash_Flow_3[Type],"Out",Cash_Flow_3[Category],"Iqbal")</f>
        <v>0</v>
      </c>
    </row>
    <row r="853" spans="1:20" ht="22.5" customHeight="1" x14ac:dyDescent="0.2">
      <c r="A853" s="23"/>
      <c r="B853" s="24"/>
      <c r="C853" s="25"/>
      <c r="D853" s="25"/>
      <c r="E853" s="25"/>
      <c r="F853" s="26"/>
      <c r="G853" s="27"/>
      <c r="H853" s="28" t="str">
        <f t="shared" si="0"/>
        <v/>
      </c>
      <c r="I853" s="29">
        <f>SUMIFS(Cash_Flow_3[Amount],Cash_Flow_3[Bulan],H853,Cash_Flow_3[Type],"In")</f>
        <v>0</v>
      </c>
      <c r="J853" s="29">
        <f>SUMIFS(Cash_Flow_3[Amount],Cash_Flow_3[Bulan],H853,Cash_Flow_3[Type],"Out")</f>
        <v>0</v>
      </c>
      <c r="K853" s="29">
        <f>SUMIFS(Cash_Flow_3[Amount],Cash_Flow_3[Bulan],H853,Cash_Flow_3[Type],"Out",Cash_Flow_3[Category],"Fix")</f>
        <v>0</v>
      </c>
      <c r="L853" s="29">
        <f>SUMIFS(Cash_Flow_3[Amount],Cash_Flow_3[Bulan],H853,Cash_Flow_3[Type],"Out",Cash_Flow_3[Category],"Bathroom")</f>
        <v>0</v>
      </c>
      <c r="M853" s="29">
        <f>SUMIFS(Cash_Flow_3[Amount],Cash_Flow_3[Bulan],H853,Cash_Flow_3[Type],"Out",Cash_Flow_3[Category],"Alfa")</f>
        <v>0</v>
      </c>
      <c r="N853" s="29">
        <f>SUMIFS(Cash_Flow_3[Amount],Cash_Flow_3[Bulan],H853,Cash_Flow_3[Type],"Out",Cash_Flow_3[Category],"Jajan")</f>
        <v>0</v>
      </c>
      <c r="O853" s="29">
        <f>SUMIFS(Cash_Flow_3[Amount],Cash_Flow_3[Bulan],H853,Cash_Flow_3[Type],"Out",Cash_Flow_3[Category],"Kitchen")</f>
        <v>0</v>
      </c>
      <c r="P853" s="29">
        <f>SUMIFS(Cash_Flow_3[Amount],Cash_Flow_3[Bulan],H853,Cash_Flow_3[Type],"Out",Cash_Flow_3[Category],"Loandry")</f>
        <v>0</v>
      </c>
      <c r="Q853" s="29">
        <f>SUMIFS(Cash_Flow_3[Amount],Cash_Flow_3[Bulan],H853,Cash_Flow_3[Type],"Out",Cash_Flow_3[Category],"Mio")</f>
        <v>0</v>
      </c>
      <c r="R853" s="29">
        <f>SUMIFS(Cash_Flow_3[Amount],Cash_Flow_3[Bulan],H853,Cash_Flow_3[Type],"Out",Cash_Flow_3[Category],"Sedekah")</f>
        <v>0</v>
      </c>
      <c r="S853" s="29">
        <f>SUMIFS(Cash_Flow_3[Amount],Cash_Flow_3[Bulan],H853,Cash_Flow_3[Type],"Out",Cash_Flow_3[Category],"Zela")</f>
        <v>0</v>
      </c>
      <c r="T853" s="29">
        <f>SUMIFS(Cash_Flow_3[Amount],Cash_Flow_3[Bulan],H853,Cash_Flow_3[Type],"Out",Cash_Flow_3[Category],"Iqbal")</f>
        <v>0</v>
      </c>
    </row>
    <row r="854" spans="1:20" ht="22.5" customHeight="1" x14ac:dyDescent="0.2">
      <c r="A854" s="23"/>
      <c r="B854" s="24"/>
      <c r="C854" s="25"/>
      <c r="D854" s="25"/>
      <c r="E854" s="25"/>
      <c r="F854" s="26"/>
      <c r="G854" s="27"/>
      <c r="H854" s="28" t="str">
        <f t="shared" si="0"/>
        <v/>
      </c>
      <c r="I854" s="29">
        <f>SUMIFS(Cash_Flow_3[Amount],Cash_Flow_3[Bulan],H854,Cash_Flow_3[Type],"In")</f>
        <v>0</v>
      </c>
      <c r="J854" s="29">
        <f>SUMIFS(Cash_Flow_3[Amount],Cash_Flow_3[Bulan],H854,Cash_Flow_3[Type],"Out")</f>
        <v>0</v>
      </c>
      <c r="K854" s="29">
        <f>SUMIFS(Cash_Flow_3[Amount],Cash_Flow_3[Bulan],H854,Cash_Flow_3[Type],"Out",Cash_Flow_3[Category],"Fix")</f>
        <v>0</v>
      </c>
      <c r="L854" s="29">
        <f>SUMIFS(Cash_Flow_3[Amount],Cash_Flow_3[Bulan],H854,Cash_Flow_3[Type],"Out",Cash_Flow_3[Category],"Bathroom")</f>
        <v>0</v>
      </c>
      <c r="M854" s="29">
        <f>SUMIFS(Cash_Flow_3[Amount],Cash_Flow_3[Bulan],H854,Cash_Flow_3[Type],"Out",Cash_Flow_3[Category],"Alfa")</f>
        <v>0</v>
      </c>
      <c r="N854" s="29">
        <f>SUMIFS(Cash_Flow_3[Amount],Cash_Flow_3[Bulan],H854,Cash_Flow_3[Type],"Out",Cash_Flow_3[Category],"Jajan")</f>
        <v>0</v>
      </c>
      <c r="O854" s="29">
        <f>SUMIFS(Cash_Flow_3[Amount],Cash_Flow_3[Bulan],H854,Cash_Flow_3[Type],"Out",Cash_Flow_3[Category],"Kitchen")</f>
        <v>0</v>
      </c>
      <c r="P854" s="29">
        <f>SUMIFS(Cash_Flow_3[Amount],Cash_Flow_3[Bulan],H854,Cash_Flow_3[Type],"Out",Cash_Flow_3[Category],"Loandry")</f>
        <v>0</v>
      </c>
      <c r="Q854" s="29">
        <f>SUMIFS(Cash_Flow_3[Amount],Cash_Flow_3[Bulan],H854,Cash_Flow_3[Type],"Out",Cash_Flow_3[Category],"Mio")</f>
        <v>0</v>
      </c>
      <c r="R854" s="29">
        <f>SUMIFS(Cash_Flow_3[Amount],Cash_Flow_3[Bulan],H854,Cash_Flow_3[Type],"Out",Cash_Flow_3[Category],"Sedekah")</f>
        <v>0</v>
      </c>
      <c r="S854" s="29">
        <f>SUMIFS(Cash_Flow_3[Amount],Cash_Flow_3[Bulan],H854,Cash_Flow_3[Type],"Out",Cash_Flow_3[Category],"Zela")</f>
        <v>0</v>
      </c>
      <c r="T854" s="29">
        <f>SUMIFS(Cash_Flow_3[Amount],Cash_Flow_3[Bulan],H854,Cash_Flow_3[Type],"Out",Cash_Flow_3[Category],"Iqbal")</f>
        <v>0</v>
      </c>
    </row>
    <row r="855" spans="1:20" ht="22.5" customHeight="1" x14ac:dyDescent="0.2">
      <c r="A855" s="23"/>
      <c r="B855" s="24"/>
      <c r="C855" s="25"/>
      <c r="D855" s="25"/>
      <c r="E855" s="25"/>
      <c r="F855" s="26"/>
      <c r="G855" s="27"/>
      <c r="H855" s="28" t="str">
        <f t="shared" si="0"/>
        <v/>
      </c>
      <c r="I855" s="29">
        <f>SUMIFS(Cash_Flow_3[Amount],Cash_Flow_3[Bulan],H855,Cash_Flow_3[Type],"In")</f>
        <v>0</v>
      </c>
      <c r="J855" s="29">
        <f>SUMIFS(Cash_Flow_3[Amount],Cash_Flow_3[Bulan],H855,Cash_Flow_3[Type],"Out")</f>
        <v>0</v>
      </c>
      <c r="K855" s="29">
        <f>SUMIFS(Cash_Flow_3[Amount],Cash_Flow_3[Bulan],H855,Cash_Flow_3[Type],"Out",Cash_Flow_3[Category],"Fix")</f>
        <v>0</v>
      </c>
      <c r="L855" s="29">
        <f>SUMIFS(Cash_Flow_3[Amount],Cash_Flow_3[Bulan],H855,Cash_Flow_3[Type],"Out",Cash_Flow_3[Category],"Bathroom")</f>
        <v>0</v>
      </c>
      <c r="M855" s="29">
        <f>SUMIFS(Cash_Flow_3[Amount],Cash_Flow_3[Bulan],H855,Cash_Flow_3[Type],"Out",Cash_Flow_3[Category],"Alfa")</f>
        <v>0</v>
      </c>
      <c r="N855" s="29">
        <f>SUMIFS(Cash_Flow_3[Amount],Cash_Flow_3[Bulan],H855,Cash_Flow_3[Type],"Out",Cash_Flow_3[Category],"Jajan")</f>
        <v>0</v>
      </c>
      <c r="O855" s="29">
        <f>SUMIFS(Cash_Flow_3[Amount],Cash_Flow_3[Bulan],H855,Cash_Flow_3[Type],"Out",Cash_Flow_3[Category],"Kitchen")</f>
        <v>0</v>
      </c>
      <c r="P855" s="29">
        <f>SUMIFS(Cash_Flow_3[Amount],Cash_Flow_3[Bulan],H855,Cash_Flow_3[Type],"Out",Cash_Flow_3[Category],"Loandry")</f>
        <v>0</v>
      </c>
      <c r="Q855" s="29">
        <f>SUMIFS(Cash_Flow_3[Amount],Cash_Flow_3[Bulan],H855,Cash_Flow_3[Type],"Out",Cash_Flow_3[Category],"Mio")</f>
        <v>0</v>
      </c>
      <c r="R855" s="29">
        <f>SUMIFS(Cash_Flow_3[Amount],Cash_Flow_3[Bulan],H855,Cash_Flow_3[Type],"Out",Cash_Flow_3[Category],"Sedekah")</f>
        <v>0</v>
      </c>
      <c r="S855" s="29">
        <f>SUMIFS(Cash_Flow_3[Amount],Cash_Flow_3[Bulan],H855,Cash_Flow_3[Type],"Out",Cash_Flow_3[Category],"Zela")</f>
        <v>0</v>
      </c>
      <c r="T855" s="29">
        <f>SUMIFS(Cash_Flow_3[Amount],Cash_Flow_3[Bulan],H855,Cash_Flow_3[Type],"Out",Cash_Flow_3[Category],"Iqbal")</f>
        <v>0</v>
      </c>
    </row>
    <row r="856" spans="1:20" ht="22.5" customHeight="1" x14ac:dyDescent="0.2">
      <c r="A856" s="23"/>
      <c r="B856" s="24"/>
      <c r="C856" s="25"/>
      <c r="D856" s="25"/>
      <c r="E856" s="25"/>
      <c r="F856" s="26"/>
      <c r="G856" s="27"/>
      <c r="H856" s="28" t="str">
        <f t="shared" si="0"/>
        <v/>
      </c>
      <c r="I856" s="29">
        <f>SUMIFS(Cash_Flow_3[Amount],Cash_Flow_3[Bulan],H856,Cash_Flow_3[Type],"In")</f>
        <v>0</v>
      </c>
      <c r="J856" s="29">
        <f>SUMIFS(Cash_Flow_3[Amount],Cash_Flow_3[Bulan],H856,Cash_Flow_3[Type],"Out")</f>
        <v>0</v>
      </c>
      <c r="K856" s="29">
        <f>SUMIFS(Cash_Flow_3[Amount],Cash_Flow_3[Bulan],H856,Cash_Flow_3[Type],"Out",Cash_Flow_3[Category],"Fix")</f>
        <v>0</v>
      </c>
      <c r="L856" s="29">
        <f>SUMIFS(Cash_Flow_3[Amount],Cash_Flow_3[Bulan],H856,Cash_Flow_3[Type],"Out",Cash_Flow_3[Category],"Bathroom")</f>
        <v>0</v>
      </c>
      <c r="M856" s="29">
        <f>SUMIFS(Cash_Flow_3[Amount],Cash_Flow_3[Bulan],H856,Cash_Flow_3[Type],"Out",Cash_Flow_3[Category],"Alfa")</f>
        <v>0</v>
      </c>
      <c r="N856" s="29">
        <f>SUMIFS(Cash_Flow_3[Amount],Cash_Flow_3[Bulan],H856,Cash_Flow_3[Type],"Out",Cash_Flow_3[Category],"Jajan")</f>
        <v>0</v>
      </c>
      <c r="O856" s="29">
        <f>SUMIFS(Cash_Flow_3[Amount],Cash_Flow_3[Bulan],H856,Cash_Flow_3[Type],"Out",Cash_Flow_3[Category],"Kitchen")</f>
        <v>0</v>
      </c>
      <c r="P856" s="29">
        <f>SUMIFS(Cash_Flow_3[Amount],Cash_Flow_3[Bulan],H856,Cash_Flow_3[Type],"Out",Cash_Flow_3[Category],"Loandry")</f>
        <v>0</v>
      </c>
      <c r="Q856" s="29">
        <f>SUMIFS(Cash_Flow_3[Amount],Cash_Flow_3[Bulan],H856,Cash_Flow_3[Type],"Out",Cash_Flow_3[Category],"Mio")</f>
        <v>0</v>
      </c>
      <c r="R856" s="29">
        <f>SUMIFS(Cash_Flow_3[Amount],Cash_Flow_3[Bulan],H856,Cash_Flow_3[Type],"Out",Cash_Flow_3[Category],"Sedekah")</f>
        <v>0</v>
      </c>
      <c r="S856" s="29">
        <f>SUMIFS(Cash_Flow_3[Amount],Cash_Flow_3[Bulan],H856,Cash_Flow_3[Type],"Out",Cash_Flow_3[Category],"Zela")</f>
        <v>0</v>
      </c>
      <c r="T856" s="29">
        <f>SUMIFS(Cash_Flow_3[Amount],Cash_Flow_3[Bulan],H856,Cash_Flow_3[Type],"Out",Cash_Flow_3[Category],"Iqbal")</f>
        <v>0</v>
      </c>
    </row>
    <row r="857" spans="1:20" ht="22.5" customHeight="1" x14ac:dyDescent="0.2">
      <c r="A857" s="23"/>
      <c r="B857" s="24"/>
      <c r="C857" s="25"/>
      <c r="D857" s="25"/>
      <c r="E857" s="25"/>
      <c r="F857" s="26"/>
      <c r="G857" s="27"/>
      <c r="H857" s="28" t="str">
        <f t="shared" si="0"/>
        <v/>
      </c>
      <c r="I857" s="29">
        <f>SUMIFS(Cash_Flow_3[Amount],Cash_Flow_3[Bulan],H857,Cash_Flow_3[Type],"In")</f>
        <v>0</v>
      </c>
      <c r="J857" s="29">
        <f>SUMIFS(Cash_Flow_3[Amount],Cash_Flow_3[Bulan],H857,Cash_Flow_3[Type],"Out")</f>
        <v>0</v>
      </c>
      <c r="K857" s="29">
        <f>SUMIFS(Cash_Flow_3[Amount],Cash_Flow_3[Bulan],H857,Cash_Flow_3[Type],"Out",Cash_Flow_3[Category],"Fix")</f>
        <v>0</v>
      </c>
      <c r="L857" s="29">
        <f>SUMIFS(Cash_Flow_3[Amount],Cash_Flow_3[Bulan],H857,Cash_Flow_3[Type],"Out",Cash_Flow_3[Category],"Bathroom")</f>
        <v>0</v>
      </c>
      <c r="M857" s="29">
        <f>SUMIFS(Cash_Flow_3[Amount],Cash_Flow_3[Bulan],H857,Cash_Flow_3[Type],"Out",Cash_Flow_3[Category],"Alfa")</f>
        <v>0</v>
      </c>
      <c r="N857" s="29">
        <f>SUMIFS(Cash_Flow_3[Amount],Cash_Flow_3[Bulan],H857,Cash_Flow_3[Type],"Out",Cash_Flow_3[Category],"Jajan")</f>
        <v>0</v>
      </c>
      <c r="O857" s="29">
        <f>SUMIFS(Cash_Flow_3[Amount],Cash_Flow_3[Bulan],H857,Cash_Flow_3[Type],"Out",Cash_Flow_3[Category],"Kitchen")</f>
        <v>0</v>
      </c>
      <c r="P857" s="29">
        <f>SUMIFS(Cash_Flow_3[Amount],Cash_Flow_3[Bulan],H857,Cash_Flow_3[Type],"Out",Cash_Flow_3[Category],"Loandry")</f>
        <v>0</v>
      </c>
      <c r="Q857" s="29">
        <f>SUMIFS(Cash_Flow_3[Amount],Cash_Flow_3[Bulan],H857,Cash_Flow_3[Type],"Out",Cash_Flow_3[Category],"Mio")</f>
        <v>0</v>
      </c>
      <c r="R857" s="29">
        <f>SUMIFS(Cash_Flow_3[Amount],Cash_Flow_3[Bulan],H857,Cash_Flow_3[Type],"Out",Cash_Flow_3[Category],"Sedekah")</f>
        <v>0</v>
      </c>
      <c r="S857" s="29">
        <f>SUMIFS(Cash_Flow_3[Amount],Cash_Flow_3[Bulan],H857,Cash_Flow_3[Type],"Out",Cash_Flow_3[Category],"Zela")</f>
        <v>0</v>
      </c>
      <c r="T857" s="29">
        <f>SUMIFS(Cash_Flow_3[Amount],Cash_Flow_3[Bulan],H857,Cash_Flow_3[Type],"Out",Cash_Flow_3[Category],"Iqbal")</f>
        <v>0</v>
      </c>
    </row>
    <row r="858" spans="1:20" ht="22.5" customHeight="1" x14ac:dyDescent="0.2">
      <c r="A858" s="23"/>
      <c r="B858" s="24"/>
      <c r="C858" s="25"/>
      <c r="D858" s="25"/>
      <c r="E858" s="25"/>
      <c r="F858" s="26"/>
      <c r="G858" s="27"/>
      <c r="H858" s="28" t="str">
        <f t="shared" si="0"/>
        <v/>
      </c>
      <c r="I858" s="29">
        <f>SUMIFS(Cash_Flow_3[Amount],Cash_Flow_3[Bulan],H858,Cash_Flow_3[Type],"In")</f>
        <v>0</v>
      </c>
      <c r="J858" s="29">
        <f>SUMIFS(Cash_Flow_3[Amount],Cash_Flow_3[Bulan],H858,Cash_Flow_3[Type],"Out")</f>
        <v>0</v>
      </c>
      <c r="K858" s="29">
        <f>SUMIFS(Cash_Flow_3[Amount],Cash_Flow_3[Bulan],H858,Cash_Flow_3[Type],"Out",Cash_Flow_3[Category],"Fix")</f>
        <v>0</v>
      </c>
      <c r="L858" s="29">
        <f>SUMIFS(Cash_Flow_3[Amount],Cash_Flow_3[Bulan],H858,Cash_Flow_3[Type],"Out",Cash_Flow_3[Category],"Bathroom")</f>
        <v>0</v>
      </c>
      <c r="M858" s="29">
        <f>SUMIFS(Cash_Flow_3[Amount],Cash_Flow_3[Bulan],H858,Cash_Flow_3[Type],"Out",Cash_Flow_3[Category],"Alfa")</f>
        <v>0</v>
      </c>
      <c r="N858" s="29">
        <f>SUMIFS(Cash_Flow_3[Amount],Cash_Flow_3[Bulan],H858,Cash_Flow_3[Type],"Out",Cash_Flow_3[Category],"Jajan")</f>
        <v>0</v>
      </c>
      <c r="O858" s="29">
        <f>SUMIFS(Cash_Flow_3[Amount],Cash_Flow_3[Bulan],H858,Cash_Flow_3[Type],"Out",Cash_Flow_3[Category],"Kitchen")</f>
        <v>0</v>
      </c>
      <c r="P858" s="29">
        <f>SUMIFS(Cash_Flow_3[Amount],Cash_Flow_3[Bulan],H858,Cash_Flow_3[Type],"Out",Cash_Flow_3[Category],"Loandry")</f>
        <v>0</v>
      </c>
      <c r="Q858" s="29">
        <f>SUMIFS(Cash_Flow_3[Amount],Cash_Flow_3[Bulan],H858,Cash_Flow_3[Type],"Out",Cash_Flow_3[Category],"Mio")</f>
        <v>0</v>
      </c>
      <c r="R858" s="29">
        <f>SUMIFS(Cash_Flow_3[Amount],Cash_Flow_3[Bulan],H858,Cash_Flow_3[Type],"Out",Cash_Flow_3[Category],"Sedekah")</f>
        <v>0</v>
      </c>
      <c r="S858" s="29">
        <f>SUMIFS(Cash_Flow_3[Amount],Cash_Flow_3[Bulan],H858,Cash_Flow_3[Type],"Out",Cash_Flow_3[Category],"Zela")</f>
        <v>0</v>
      </c>
      <c r="T858" s="29">
        <f>SUMIFS(Cash_Flow_3[Amount],Cash_Flow_3[Bulan],H858,Cash_Flow_3[Type],"Out",Cash_Flow_3[Category],"Iqbal")</f>
        <v>0</v>
      </c>
    </row>
    <row r="859" spans="1:20" ht="22.5" customHeight="1" x14ac:dyDescent="0.2">
      <c r="A859" s="23"/>
      <c r="B859" s="24"/>
      <c r="C859" s="25"/>
      <c r="D859" s="25"/>
      <c r="E859" s="25"/>
      <c r="F859" s="26"/>
      <c r="G859" s="27"/>
      <c r="H859" s="28" t="str">
        <f t="shared" si="0"/>
        <v/>
      </c>
      <c r="I859" s="29">
        <f>SUMIFS(Cash_Flow_3[Amount],Cash_Flow_3[Bulan],H859,Cash_Flow_3[Type],"In")</f>
        <v>0</v>
      </c>
      <c r="J859" s="29">
        <f>SUMIFS(Cash_Flow_3[Amount],Cash_Flow_3[Bulan],H859,Cash_Flow_3[Type],"Out")</f>
        <v>0</v>
      </c>
      <c r="K859" s="29">
        <f>SUMIFS(Cash_Flow_3[Amount],Cash_Flow_3[Bulan],H859,Cash_Flow_3[Type],"Out",Cash_Flow_3[Category],"Fix")</f>
        <v>0</v>
      </c>
      <c r="L859" s="29">
        <f>SUMIFS(Cash_Flow_3[Amount],Cash_Flow_3[Bulan],H859,Cash_Flow_3[Type],"Out",Cash_Flow_3[Category],"Bathroom")</f>
        <v>0</v>
      </c>
      <c r="M859" s="29">
        <f>SUMIFS(Cash_Flow_3[Amount],Cash_Flow_3[Bulan],H859,Cash_Flow_3[Type],"Out",Cash_Flow_3[Category],"Alfa")</f>
        <v>0</v>
      </c>
      <c r="N859" s="29">
        <f>SUMIFS(Cash_Flow_3[Amount],Cash_Flow_3[Bulan],H859,Cash_Flow_3[Type],"Out",Cash_Flow_3[Category],"Jajan")</f>
        <v>0</v>
      </c>
      <c r="O859" s="29">
        <f>SUMIFS(Cash_Flow_3[Amount],Cash_Flow_3[Bulan],H859,Cash_Flow_3[Type],"Out",Cash_Flow_3[Category],"Kitchen")</f>
        <v>0</v>
      </c>
      <c r="P859" s="29">
        <f>SUMIFS(Cash_Flow_3[Amount],Cash_Flow_3[Bulan],H859,Cash_Flow_3[Type],"Out",Cash_Flow_3[Category],"Loandry")</f>
        <v>0</v>
      </c>
      <c r="Q859" s="29">
        <f>SUMIFS(Cash_Flow_3[Amount],Cash_Flow_3[Bulan],H859,Cash_Flow_3[Type],"Out",Cash_Flow_3[Category],"Mio")</f>
        <v>0</v>
      </c>
      <c r="R859" s="29">
        <f>SUMIFS(Cash_Flow_3[Amount],Cash_Flow_3[Bulan],H859,Cash_Flow_3[Type],"Out",Cash_Flow_3[Category],"Sedekah")</f>
        <v>0</v>
      </c>
      <c r="S859" s="29">
        <f>SUMIFS(Cash_Flow_3[Amount],Cash_Flow_3[Bulan],H859,Cash_Flow_3[Type],"Out",Cash_Flow_3[Category],"Zela")</f>
        <v>0</v>
      </c>
      <c r="T859" s="29">
        <f>SUMIFS(Cash_Flow_3[Amount],Cash_Flow_3[Bulan],H859,Cash_Flow_3[Type],"Out",Cash_Flow_3[Category],"Iqbal")</f>
        <v>0</v>
      </c>
    </row>
    <row r="860" spans="1:20" ht="22.5" customHeight="1" x14ac:dyDescent="0.2">
      <c r="A860" s="23"/>
      <c r="B860" s="24"/>
      <c r="C860" s="25"/>
      <c r="D860" s="25"/>
      <c r="E860" s="25"/>
      <c r="F860" s="26"/>
      <c r="G860" s="27"/>
      <c r="H860" s="28" t="str">
        <f t="shared" si="0"/>
        <v/>
      </c>
      <c r="I860" s="29">
        <f>SUMIFS(Cash_Flow_3[Amount],Cash_Flow_3[Bulan],H860,Cash_Flow_3[Type],"In")</f>
        <v>0</v>
      </c>
      <c r="J860" s="29">
        <f>SUMIFS(Cash_Flow_3[Amount],Cash_Flow_3[Bulan],H860,Cash_Flow_3[Type],"Out")</f>
        <v>0</v>
      </c>
      <c r="K860" s="29">
        <f>SUMIFS(Cash_Flow_3[Amount],Cash_Flow_3[Bulan],H860,Cash_Flow_3[Type],"Out",Cash_Flow_3[Category],"Fix")</f>
        <v>0</v>
      </c>
      <c r="L860" s="29">
        <f>SUMIFS(Cash_Flow_3[Amount],Cash_Flow_3[Bulan],H860,Cash_Flow_3[Type],"Out",Cash_Flow_3[Category],"Bathroom")</f>
        <v>0</v>
      </c>
      <c r="M860" s="29">
        <f>SUMIFS(Cash_Flow_3[Amount],Cash_Flow_3[Bulan],H860,Cash_Flow_3[Type],"Out",Cash_Flow_3[Category],"Alfa")</f>
        <v>0</v>
      </c>
      <c r="N860" s="29">
        <f>SUMIFS(Cash_Flow_3[Amount],Cash_Flow_3[Bulan],H860,Cash_Flow_3[Type],"Out",Cash_Flow_3[Category],"Jajan")</f>
        <v>0</v>
      </c>
      <c r="O860" s="29">
        <f>SUMIFS(Cash_Flow_3[Amount],Cash_Flow_3[Bulan],H860,Cash_Flow_3[Type],"Out",Cash_Flow_3[Category],"Kitchen")</f>
        <v>0</v>
      </c>
      <c r="P860" s="29">
        <f>SUMIFS(Cash_Flow_3[Amount],Cash_Flow_3[Bulan],H860,Cash_Flow_3[Type],"Out",Cash_Flow_3[Category],"Loandry")</f>
        <v>0</v>
      </c>
      <c r="Q860" s="29">
        <f>SUMIFS(Cash_Flow_3[Amount],Cash_Flow_3[Bulan],H860,Cash_Flow_3[Type],"Out",Cash_Flow_3[Category],"Mio")</f>
        <v>0</v>
      </c>
      <c r="R860" s="29">
        <f>SUMIFS(Cash_Flow_3[Amount],Cash_Flow_3[Bulan],H860,Cash_Flow_3[Type],"Out",Cash_Flow_3[Category],"Sedekah")</f>
        <v>0</v>
      </c>
      <c r="S860" s="29">
        <f>SUMIFS(Cash_Flow_3[Amount],Cash_Flow_3[Bulan],H860,Cash_Flow_3[Type],"Out",Cash_Flow_3[Category],"Zela")</f>
        <v>0</v>
      </c>
      <c r="T860" s="29">
        <f>SUMIFS(Cash_Flow_3[Amount],Cash_Flow_3[Bulan],H860,Cash_Flow_3[Type],"Out",Cash_Flow_3[Category],"Iqbal")</f>
        <v>0</v>
      </c>
    </row>
    <row r="861" spans="1:20" ht="22.5" customHeight="1" x14ac:dyDescent="0.2">
      <c r="A861" s="23"/>
      <c r="B861" s="24"/>
      <c r="C861" s="25"/>
      <c r="D861" s="25"/>
      <c r="E861" s="25"/>
      <c r="F861" s="26"/>
      <c r="G861" s="27"/>
      <c r="H861" s="28" t="str">
        <f t="shared" si="0"/>
        <v/>
      </c>
      <c r="I861" s="29">
        <f>SUMIFS(Cash_Flow_3[Amount],Cash_Flow_3[Bulan],H861,Cash_Flow_3[Type],"In")</f>
        <v>0</v>
      </c>
      <c r="J861" s="29">
        <f>SUMIFS(Cash_Flow_3[Amount],Cash_Flow_3[Bulan],H861,Cash_Flow_3[Type],"Out")</f>
        <v>0</v>
      </c>
      <c r="K861" s="29">
        <f>SUMIFS(Cash_Flow_3[Amount],Cash_Flow_3[Bulan],H861,Cash_Flow_3[Type],"Out",Cash_Flow_3[Category],"Fix")</f>
        <v>0</v>
      </c>
      <c r="L861" s="29">
        <f>SUMIFS(Cash_Flow_3[Amount],Cash_Flow_3[Bulan],H861,Cash_Flow_3[Type],"Out",Cash_Flow_3[Category],"Bathroom")</f>
        <v>0</v>
      </c>
      <c r="M861" s="29">
        <f>SUMIFS(Cash_Flow_3[Amount],Cash_Flow_3[Bulan],H861,Cash_Flow_3[Type],"Out",Cash_Flow_3[Category],"Alfa")</f>
        <v>0</v>
      </c>
      <c r="N861" s="29">
        <f>SUMIFS(Cash_Flow_3[Amount],Cash_Flow_3[Bulan],H861,Cash_Flow_3[Type],"Out",Cash_Flow_3[Category],"Jajan")</f>
        <v>0</v>
      </c>
      <c r="O861" s="29">
        <f>SUMIFS(Cash_Flow_3[Amount],Cash_Flow_3[Bulan],H861,Cash_Flow_3[Type],"Out",Cash_Flow_3[Category],"Kitchen")</f>
        <v>0</v>
      </c>
      <c r="P861" s="29">
        <f>SUMIFS(Cash_Flow_3[Amount],Cash_Flow_3[Bulan],H861,Cash_Flow_3[Type],"Out",Cash_Flow_3[Category],"Loandry")</f>
        <v>0</v>
      </c>
      <c r="Q861" s="29">
        <f>SUMIFS(Cash_Flow_3[Amount],Cash_Flow_3[Bulan],H861,Cash_Flow_3[Type],"Out",Cash_Flow_3[Category],"Mio")</f>
        <v>0</v>
      </c>
      <c r="R861" s="29">
        <f>SUMIFS(Cash_Flow_3[Amount],Cash_Flow_3[Bulan],H861,Cash_Flow_3[Type],"Out",Cash_Flow_3[Category],"Sedekah")</f>
        <v>0</v>
      </c>
      <c r="S861" s="29">
        <f>SUMIFS(Cash_Flow_3[Amount],Cash_Flow_3[Bulan],H861,Cash_Flow_3[Type],"Out",Cash_Flow_3[Category],"Zela")</f>
        <v>0</v>
      </c>
      <c r="T861" s="29">
        <f>SUMIFS(Cash_Flow_3[Amount],Cash_Flow_3[Bulan],H861,Cash_Flow_3[Type],"Out",Cash_Flow_3[Category],"Iqbal")</f>
        <v>0</v>
      </c>
    </row>
    <row r="862" spans="1:20" ht="22.5" customHeight="1" x14ac:dyDescent="0.2">
      <c r="A862" s="23"/>
      <c r="B862" s="24"/>
      <c r="C862" s="25"/>
      <c r="D862" s="25"/>
      <c r="E862" s="25"/>
      <c r="F862" s="26"/>
      <c r="G862" s="27"/>
      <c r="H862" s="28" t="str">
        <f t="shared" si="0"/>
        <v/>
      </c>
      <c r="I862" s="29">
        <f>SUMIFS(Cash_Flow_3[Amount],Cash_Flow_3[Bulan],H862,Cash_Flow_3[Type],"In")</f>
        <v>0</v>
      </c>
      <c r="J862" s="29">
        <f>SUMIFS(Cash_Flow_3[Amount],Cash_Flow_3[Bulan],H862,Cash_Flow_3[Type],"Out")</f>
        <v>0</v>
      </c>
      <c r="K862" s="29">
        <f>SUMIFS(Cash_Flow_3[Amount],Cash_Flow_3[Bulan],H862,Cash_Flow_3[Type],"Out",Cash_Flow_3[Category],"Fix")</f>
        <v>0</v>
      </c>
      <c r="L862" s="29">
        <f>SUMIFS(Cash_Flow_3[Amount],Cash_Flow_3[Bulan],H862,Cash_Flow_3[Type],"Out",Cash_Flow_3[Category],"Bathroom")</f>
        <v>0</v>
      </c>
      <c r="M862" s="29">
        <f>SUMIFS(Cash_Flow_3[Amount],Cash_Flow_3[Bulan],H862,Cash_Flow_3[Type],"Out",Cash_Flow_3[Category],"Alfa")</f>
        <v>0</v>
      </c>
      <c r="N862" s="29">
        <f>SUMIFS(Cash_Flow_3[Amount],Cash_Flow_3[Bulan],H862,Cash_Flow_3[Type],"Out",Cash_Flow_3[Category],"Jajan")</f>
        <v>0</v>
      </c>
      <c r="O862" s="29">
        <f>SUMIFS(Cash_Flow_3[Amount],Cash_Flow_3[Bulan],H862,Cash_Flow_3[Type],"Out",Cash_Flow_3[Category],"Kitchen")</f>
        <v>0</v>
      </c>
      <c r="P862" s="29">
        <f>SUMIFS(Cash_Flow_3[Amount],Cash_Flow_3[Bulan],H862,Cash_Flow_3[Type],"Out",Cash_Flow_3[Category],"Loandry")</f>
        <v>0</v>
      </c>
      <c r="Q862" s="29">
        <f>SUMIFS(Cash_Flow_3[Amount],Cash_Flow_3[Bulan],H862,Cash_Flow_3[Type],"Out",Cash_Flow_3[Category],"Mio")</f>
        <v>0</v>
      </c>
      <c r="R862" s="29">
        <f>SUMIFS(Cash_Flow_3[Amount],Cash_Flow_3[Bulan],H862,Cash_Flow_3[Type],"Out",Cash_Flow_3[Category],"Sedekah")</f>
        <v>0</v>
      </c>
      <c r="S862" s="29">
        <f>SUMIFS(Cash_Flow_3[Amount],Cash_Flow_3[Bulan],H862,Cash_Flow_3[Type],"Out",Cash_Flow_3[Category],"Zela")</f>
        <v>0</v>
      </c>
      <c r="T862" s="29">
        <f>SUMIFS(Cash_Flow_3[Amount],Cash_Flow_3[Bulan],H862,Cash_Flow_3[Type],"Out",Cash_Flow_3[Category],"Iqbal")</f>
        <v>0</v>
      </c>
    </row>
    <row r="863" spans="1:20" ht="22.5" customHeight="1" x14ac:dyDescent="0.2">
      <c r="A863" s="23"/>
      <c r="B863" s="24"/>
      <c r="C863" s="25"/>
      <c r="D863" s="25"/>
      <c r="E863" s="25"/>
      <c r="F863" s="26"/>
      <c r="G863" s="27"/>
      <c r="H863" s="28" t="str">
        <f t="shared" si="0"/>
        <v/>
      </c>
      <c r="I863" s="29">
        <f>SUMIFS(Cash_Flow_3[Amount],Cash_Flow_3[Bulan],H863,Cash_Flow_3[Type],"In")</f>
        <v>0</v>
      </c>
      <c r="J863" s="29">
        <f>SUMIFS(Cash_Flow_3[Amount],Cash_Flow_3[Bulan],H863,Cash_Flow_3[Type],"Out")</f>
        <v>0</v>
      </c>
      <c r="K863" s="29">
        <f>SUMIFS(Cash_Flow_3[Amount],Cash_Flow_3[Bulan],H863,Cash_Flow_3[Type],"Out",Cash_Flow_3[Category],"Fix")</f>
        <v>0</v>
      </c>
      <c r="L863" s="29">
        <f>SUMIFS(Cash_Flow_3[Amount],Cash_Flow_3[Bulan],H863,Cash_Flow_3[Type],"Out",Cash_Flow_3[Category],"Bathroom")</f>
        <v>0</v>
      </c>
      <c r="M863" s="29">
        <f>SUMIFS(Cash_Flow_3[Amount],Cash_Flow_3[Bulan],H863,Cash_Flow_3[Type],"Out",Cash_Flow_3[Category],"Alfa")</f>
        <v>0</v>
      </c>
      <c r="N863" s="29">
        <f>SUMIFS(Cash_Flow_3[Amount],Cash_Flow_3[Bulan],H863,Cash_Flow_3[Type],"Out",Cash_Flow_3[Category],"Jajan")</f>
        <v>0</v>
      </c>
      <c r="O863" s="29">
        <f>SUMIFS(Cash_Flow_3[Amount],Cash_Flow_3[Bulan],H863,Cash_Flow_3[Type],"Out",Cash_Flow_3[Category],"Kitchen")</f>
        <v>0</v>
      </c>
      <c r="P863" s="29">
        <f>SUMIFS(Cash_Flow_3[Amount],Cash_Flow_3[Bulan],H863,Cash_Flow_3[Type],"Out",Cash_Flow_3[Category],"Loandry")</f>
        <v>0</v>
      </c>
      <c r="Q863" s="29">
        <f>SUMIFS(Cash_Flow_3[Amount],Cash_Flow_3[Bulan],H863,Cash_Flow_3[Type],"Out",Cash_Flow_3[Category],"Mio")</f>
        <v>0</v>
      </c>
      <c r="R863" s="29">
        <f>SUMIFS(Cash_Flow_3[Amount],Cash_Flow_3[Bulan],H863,Cash_Flow_3[Type],"Out",Cash_Flow_3[Category],"Sedekah")</f>
        <v>0</v>
      </c>
      <c r="S863" s="29">
        <f>SUMIFS(Cash_Flow_3[Amount],Cash_Flow_3[Bulan],H863,Cash_Flow_3[Type],"Out",Cash_Flow_3[Category],"Zela")</f>
        <v>0</v>
      </c>
      <c r="T863" s="29">
        <f>SUMIFS(Cash_Flow_3[Amount],Cash_Flow_3[Bulan],H863,Cash_Flow_3[Type],"Out",Cash_Flow_3[Category],"Iqbal")</f>
        <v>0</v>
      </c>
    </row>
    <row r="864" spans="1:20" ht="22.5" customHeight="1" x14ac:dyDescent="0.2">
      <c r="A864" s="23"/>
      <c r="B864" s="24"/>
      <c r="C864" s="25"/>
      <c r="D864" s="25"/>
      <c r="E864" s="25"/>
      <c r="F864" s="26"/>
      <c r="G864" s="27"/>
      <c r="H864" s="28" t="str">
        <f t="shared" si="0"/>
        <v/>
      </c>
      <c r="I864" s="29">
        <f>SUMIFS(Cash_Flow_3[Amount],Cash_Flow_3[Bulan],H864,Cash_Flow_3[Type],"In")</f>
        <v>0</v>
      </c>
      <c r="J864" s="29">
        <f>SUMIFS(Cash_Flow_3[Amount],Cash_Flow_3[Bulan],H864,Cash_Flow_3[Type],"Out")</f>
        <v>0</v>
      </c>
      <c r="K864" s="29">
        <f>SUMIFS(Cash_Flow_3[Amount],Cash_Flow_3[Bulan],H864,Cash_Flow_3[Type],"Out",Cash_Flow_3[Category],"Fix")</f>
        <v>0</v>
      </c>
      <c r="L864" s="29">
        <f>SUMIFS(Cash_Flow_3[Amount],Cash_Flow_3[Bulan],H864,Cash_Flow_3[Type],"Out",Cash_Flow_3[Category],"Bathroom")</f>
        <v>0</v>
      </c>
      <c r="M864" s="29">
        <f>SUMIFS(Cash_Flow_3[Amount],Cash_Flow_3[Bulan],H864,Cash_Flow_3[Type],"Out",Cash_Flow_3[Category],"Alfa")</f>
        <v>0</v>
      </c>
      <c r="N864" s="29">
        <f>SUMIFS(Cash_Flow_3[Amount],Cash_Flow_3[Bulan],H864,Cash_Flow_3[Type],"Out",Cash_Flow_3[Category],"Jajan")</f>
        <v>0</v>
      </c>
      <c r="O864" s="29">
        <f>SUMIFS(Cash_Flow_3[Amount],Cash_Flow_3[Bulan],H864,Cash_Flow_3[Type],"Out",Cash_Flow_3[Category],"Kitchen")</f>
        <v>0</v>
      </c>
      <c r="P864" s="29">
        <f>SUMIFS(Cash_Flow_3[Amount],Cash_Flow_3[Bulan],H864,Cash_Flow_3[Type],"Out",Cash_Flow_3[Category],"Loandry")</f>
        <v>0</v>
      </c>
      <c r="Q864" s="29">
        <f>SUMIFS(Cash_Flow_3[Amount],Cash_Flow_3[Bulan],H864,Cash_Flow_3[Type],"Out",Cash_Flow_3[Category],"Mio")</f>
        <v>0</v>
      </c>
      <c r="R864" s="29">
        <f>SUMIFS(Cash_Flow_3[Amount],Cash_Flow_3[Bulan],H864,Cash_Flow_3[Type],"Out",Cash_Flow_3[Category],"Sedekah")</f>
        <v>0</v>
      </c>
      <c r="S864" s="29">
        <f>SUMIFS(Cash_Flow_3[Amount],Cash_Flow_3[Bulan],H864,Cash_Flow_3[Type],"Out",Cash_Flow_3[Category],"Zela")</f>
        <v>0</v>
      </c>
      <c r="T864" s="29">
        <f>SUMIFS(Cash_Flow_3[Amount],Cash_Flow_3[Bulan],H864,Cash_Flow_3[Type],"Out",Cash_Flow_3[Category],"Iqbal")</f>
        <v>0</v>
      </c>
    </row>
    <row r="865" spans="1:20" ht="22.5" customHeight="1" x14ac:dyDescent="0.2">
      <c r="A865" s="23"/>
      <c r="B865" s="24"/>
      <c r="C865" s="25"/>
      <c r="D865" s="25"/>
      <c r="E865" s="25"/>
      <c r="F865" s="26"/>
      <c r="G865" s="27"/>
      <c r="H865" s="28" t="str">
        <f t="shared" si="0"/>
        <v/>
      </c>
      <c r="I865" s="29">
        <f>SUMIFS(Cash_Flow_3[Amount],Cash_Flow_3[Bulan],H865,Cash_Flow_3[Type],"In")</f>
        <v>0</v>
      </c>
      <c r="J865" s="29">
        <f>SUMIFS(Cash_Flow_3[Amount],Cash_Flow_3[Bulan],H865,Cash_Flow_3[Type],"Out")</f>
        <v>0</v>
      </c>
      <c r="K865" s="29">
        <f>SUMIFS(Cash_Flow_3[Amount],Cash_Flow_3[Bulan],H865,Cash_Flow_3[Type],"Out",Cash_Flow_3[Category],"Fix")</f>
        <v>0</v>
      </c>
      <c r="L865" s="29">
        <f>SUMIFS(Cash_Flow_3[Amount],Cash_Flow_3[Bulan],H865,Cash_Flow_3[Type],"Out",Cash_Flow_3[Category],"Bathroom")</f>
        <v>0</v>
      </c>
      <c r="M865" s="29">
        <f>SUMIFS(Cash_Flow_3[Amount],Cash_Flow_3[Bulan],H865,Cash_Flow_3[Type],"Out",Cash_Flow_3[Category],"Alfa")</f>
        <v>0</v>
      </c>
      <c r="N865" s="29">
        <f>SUMIFS(Cash_Flow_3[Amount],Cash_Flow_3[Bulan],H865,Cash_Flow_3[Type],"Out",Cash_Flow_3[Category],"Jajan")</f>
        <v>0</v>
      </c>
      <c r="O865" s="29">
        <f>SUMIFS(Cash_Flow_3[Amount],Cash_Flow_3[Bulan],H865,Cash_Flow_3[Type],"Out",Cash_Flow_3[Category],"Kitchen")</f>
        <v>0</v>
      </c>
      <c r="P865" s="29">
        <f>SUMIFS(Cash_Flow_3[Amount],Cash_Flow_3[Bulan],H865,Cash_Flow_3[Type],"Out",Cash_Flow_3[Category],"Loandry")</f>
        <v>0</v>
      </c>
      <c r="Q865" s="29">
        <f>SUMIFS(Cash_Flow_3[Amount],Cash_Flow_3[Bulan],H865,Cash_Flow_3[Type],"Out",Cash_Flow_3[Category],"Mio")</f>
        <v>0</v>
      </c>
      <c r="R865" s="29">
        <f>SUMIFS(Cash_Flow_3[Amount],Cash_Flow_3[Bulan],H865,Cash_Flow_3[Type],"Out",Cash_Flow_3[Category],"Sedekah")</f>
        <v>0</v>
      </c>
      <c r="S865" s="29">
        <f>SUMIFS(Cash_Flow_3[Amount],Cash_Flow_3[Bulan],H865,Cash_Flow_3[Type],"Out",Cash_Flow_3[Category],"Zela")</f>
        <v>0</v>
      </c>
      <c r="T865" s="29">
        <f>SUMIFS(Cash_Flow_3[Amount],Cash_Flow_3[Bulan],H865,Cash_Flow_3[Type],"Out",Cash_Flow_3[Category],"Iqbal")</f>
        <v>0</v>
      </c>
    </row>
    <row r="866" spans="1:20" ht="22.5" customHeight="1" x14ac:dyDescent="0.2">
      <c r="A866" s="23"/>
      <c r="B866" s="24"/>
      <c r="C866" s="25"/>
      <c r="D866" s="25"/>
      <c r="E866" s="25"/>
      <c r="F866" s="26"/>
      <c r="G866" s="27"/>
      <c r="H866" s="28" t="str">
        <f t="shared" si="0"/>
        <v/>
      </c>
      <c r="I866" s="29">
        <f>SUMIFS(Cash_Flow_3[Amount],Cash_Flow_3[Bulan],H866,Cash_Flow_3[Type],"In")</f>
        <v>0</v>
      </c>
      <c r="J866" s="29">
        <f>SUMIFS(Cash_Flow_3[Amount],Cash_Flow_3[Bulan],H866,Cash_Flow_3[Type],"Out")</f>
        <v>0</v>
      </c>
      <c r="K866" s="29">
        <f>SUMIFS(Cash_Flow_3[Amount],Cash_Flow_3[Bulan],H866,Cash_Flow_3[Type],"Out",Cash_Flow_3[Category],"Fix")</f>
        <v>0</v>
      </c>
      <c r="L866" s="29">
        <f>SUMIFS(Cash_Flow_3[Amount],Cash_Flow_3[Bulan],H866,Cash_Flow_3[Type],"Out",Cash_Flow_3[Category],"Bathroom")</f>
        <v>0</v>
      </c>
      <c r="M866" s="29">
        <f>SUMIFS(Cash_Flow_3[Amount],Cash_Flow_3[Bulan],H866,Cash_Flow_3[Type],"Out",Cash_Flow_3[Category],"Alfa")</f>
        <v>0</v>
      </c>
      <c r="N866" s="29">
        <f>SUMIFS(Cash_Flow_3[Amount],Cash_Flow_3[Bulan],H866,Cash_Flow_3[Type],"Out",Cash_Flow_3[Category],"Jajan")</f>
        <v>0</v>
      </c>
      <c r="O866" s="29">
        <f>SUMIFS(Cash_Flow_3[Amount],Cash_Flow_3[Bulan],H866,Cash_Flow_3[Type],"Out",Cash_Flow_3[Category],"Kitchen")</f>
        <v>0</v>
      </c>
      <c r="P866" s="29">
        <f>SUMIFS(Cash_Flow_3[Amount],Cash_Flow_3[Bulan],H866,Cash_Flow_3[Type],"Out",Cash_Flow_3[Category],"Loandry")</f>
        <v>0</v>
      </c>
      <c r="Q866" s="29">
        <f>SUMIFS(Cash_Flow_3[Amount],Cash_Flow_3[Bulan],H866,Cash_Flow_3[Type],"Out",Cash_Flow_3[Category],"Mio")</f>
        <v>0</v>
      </c>
      <c r="R866" s="29">
        <f>SUMIFS(Cash_Flow_3[Amount],Cash_Flow_3[Bulan],H866,Cash_Flow_3[Type],"Out",Cash_Flow_3[Category],"Sedekah")</f>
        <v>0</v>
      </c>
      <c r="S866" s="29">
        <f>SUMIFS(Cash_Flow_3[Amount],Cash_Flow_3[Bulan],H866,Cash_Flow_3[Type],"Out",Cash_Flow_3[Category],"Zela")</f>
        <v>0</v>
      </c>
      <c r="T866" s="29">
        <f>SUMIFS(Cash_Flow_3[Amount],Cash_Flow_3[Bulan],H866,Cash_Flow_3[Type],"Out",Cash_Flow_3[Category],"Iqbal")</f>
        <v>0</v>
      </c>
    </row>
    <row r="867" spans="1:20" ht="22.5" customHeight="1" x14ac:dyDescent="0.2">
      <c r="A867" s="23"/>
      <c r="B867" s="24"/>
      <c r="C867" s="25"/>
      <c r="D867" s="25"/>
      <c r="E867" s="25"/>
      <c r="F867" s="26"/>
      <c r="G867" s="27"/>
      <c r="H867" s="28" t="str">
        <f t="shared" si="0"/>
        <v/>
      </c>
      <c r="I867" s="29">
        <f>SUMIFS(Cash_Flow_3[Amount],Cash_Flow_3[Bulan],H867,Cash_Flow_3[Type],"In")</f>
        <v>0</v>
      </c>
      <c r="J867" s="29">
        <f>SUMIFS(Cash_Flow_3[Amount],Cash_Flow_3[Bulan],H867,Cash_Flow_3[Type],"Out")</f>
        <v>0</v>
      </c>
      <c r="K867" s="29">
        <f>SUMIFS(Cash_Flow_3[Amount],Cash_Flow_3[Bulan],H867,Cash_Flow_3[Type],"Out",Cash_Flow_3[Category],"Fix")</f>
        <v>0</v>
      </c>
      <c r="L867" s="29">
        <f>SUMIFS(Cash_Flow_3[Amount],Cash_Flow_3[Bulan],H867,Cash_Flow_3[Type],"Out",Cash_Flow_3[Category],"Bathroom")</f>
        <v>0</v>
      </c>
      <c r="M867" s="29">
        <f>SUMIFS(Cash_Flow_3[Amount],Cash_Flow_3[Bulan],H867,Cash_Flow_3[Type],"Out",Cash_Flow_3[Category],"Alfa")</f>
        <v>0</v>
      </c>
      <c r="N867" s="29">
        <f>SUMIFS(Cash_Flow_3[Amount],Cash_Flow_3[Bulan],H867,Cash_Flow_3[Type],"Out",Cash_Flow_3[Category],"Jajan")</f>
        <v>0</v>
      </c>
      <c r="O867" s="29">
        <f>SUMIFS(Cash_Flow_3[Amount],Cash_Flow_3[Bulan],H867,Cash_Flow_3[Type],"Out",Cash_Flow_3[Category],"Kitchen")</f>
        <v>0</v>
      </c>
      <c r="P867" s="29">
        <f>SUMIFS(Cash_Flow_3[Amount],Cash_Flow_3[Bulan],H867,Cash_Flow_3[Type],"Out",Cash_Flow_3[Category],"Loandry")</f>
        <v>0</v>
      </c>
      <c r="Q867" s="29">
        <f>SUMIFS(Cash_Flow_3[Amount],Cash_Flow_3[Bulan],H867,Cash_Flow_3[Type],"Out",Cash_Flow_3[Category],"Mio")</f>
        <v>0</v>
      </c>
      <c r="R867" s="29">
        <f>SUMIFS(Cash_Flow_3[Amount],Cash_Flow_3[Bulan],H867,Cash_Flow_3[Type],"Out",Cash_Flow_3[Category],"Sedekah")</f>
        <v>0</v>
      </c>
      <c r="S867" s="29">
        <f>SUMIFS(Cash_Flow_3[Amount],Cash_Flow_3[Bulan],H867,Cash_Flow_3[Type],"Out",Cash_Flow_3[Category],"Zela")</f>
        <v>0</v>
      </c>
      <c r="T867" s="29">
        <f>SUMIFS(Cash_Flow_3[Amount],Cash_Flow_3[Bulan],H867,Cash_Flow_3[Type],"Out",Cash_Flow_3[Category],"Iqbal")</f>
        <v>0</v>
      </c>
    </row>
    <row r="868" spans="1:20" ht="22.5" customHeight="1" x14ac:dyDescent="0.2">
      <c r="A868" s="23"/>
      <c r="B868" s="24"/>
      <c r="C868" s="25"/>
      <c r="D868" s="25"/>
      <c r="E868" s="25"/>
      <c r="F868" s="26"/>
      <c r="G868" s="27"/>
      <c r="H868" s="28" t="str">
        <f t="shared" si="0"/>
        <v/>
      </c>
      <c r="I868" s="29">
        <f>SUMIFS(Cash_Flow_3[Amount],Cash_Flow_3[Bulan],H868,Cash_Flow_3[Type],"In")</f>
        <v>0</v>
      </c>
      <c r="J868" s="29">
        <f>SUMIFS(Cash_Flow_3[Amount],Cash_Flow_3[Bulan],H868,Cash_Flow_3[Type],"Out")</f>
        <v>0</v>
      </c>
      <c r="K868" s="29">
        <f>SUMIFS(Cash_Flow_3[Amount],Cash_Flow_3[Bulan],H868,Cash_Flow_3[Type],"Out",Cash_Flow_3[Category],"Fix")</f>
        <v>0</v>
      </c>
      <c r="L868" s="29">
        <f>SUMIFS(Cash_Flow_3[Amount],Cash_Flow_3[Bulan],H868,Cash_Flow_3[Type],"Out",Cash_Flow_3[Category],"Bathroom")</f>
        <v>0</v>
      </c>
      <c r="M868" s="29">
        <f>SUMIFS(Cash_Flow_3[Amount],Cash_Flow_3[Bulan],H868,Cash_Flow_3[Type],"Out",Cash_Flow_3[Category],"Alfa")</f>
        <v>0</v>
      </c>
      <c r="N868" s="29">
        <f>SUMIFS(Cash_Flow_3[Amount],Cash_Flow_3[Bulan],H868,Cash_Flow_3[Type],"Out",Cash_Flow_3[Category],"Jajan")</f>
        <v>0</v>
      </c>
      <c r="O868" s="29">
        <f>SUMIFS(Cash_Flow_3[Amount],Cash_Flow_3[Bulan],H868,Cash_Flow_3[Type],"Out",Cash_Flow_3[Category],"Kitchen")</f>
        <v>0</v>
      </c>
      <c r="P868" s="29">
        <f>SUMIFS(Cash_Flow_3[Amount],Cash_Flow_3[Bulan],H868,Cash_Flow_3[Type],"Out",Cash_Flow_3[Category],"Loandry")</f>
        <v>0</v>
      </c>
      <c r="Q868" s="29">
        <f>SUMIFS(Cash_Flow_3[Amount],Cash_Flow_3[Bulan],H868,Cash_Flow_3[Type],"Out",Cash_Flow_3[Category],"Mio")</f>
        <v>0</v>
      </c>
      <c r="R868" s="29">
        <f>SUMIFS(Cash_Flow_3[Amount],Cash_Flow_3[Bulan],H868,Cash_Flow_3[Type],"Out",Cash_Flow_3[Category],"Sedekah")</f>
        <v>0</v>
      </c>
      <c r="S868" s="29">
        <f>SUMIFS(Cash_Flow_3[Amount],Cash_Flow_3[Bulan],H868,Cash_Flow_3[Type],"Out",Cash_Flow_3[Category],"Zela")</f>
        <v>0</v>
      </c>
      <c r="T868" s="29">
        <f>SUMIFS(Cash_Flow_3[Amount],Cash_Flow_3[Bulan],H868,Cash_Flow_3[Type],"Out",Cash_Flow_3[Category],"Iqbal")</f>
        <v>0</v>
      </c>
    </row>
    <row r="869" spans="1:20" ht="22.5" customHeight="1" x14ac:dyDescent="0.2">
      <c r="A869" s="23"/>
      <c r="B869" s="24"/>
      <c r="C869" s="25"/>
      <c r="D869" s="25"/>
      <c r="E869" s="25"/>
      <c r="F869" s="26"/>
      <c r="G869" s="27"/>
      <c r="H869" s="28" t="str">
        <f t="shared" si="0"/>
        <v/>
      </c>
      <c r="I869" s="29">
        <f>SUMIFS(Cash_Flow_3[Amount],Cash_Flow_3[Bulan],H869,Cash_Flow_3[Type],"In")</f>
        <v>0</v>
      </c>
      <c r="J869" s="29">
        <f>SUMIFS(Cash_Flow_3[Amount],Cash_Flow_3[Bulan],H869,Cash_Flow_3[Type],"Out")</f>
        <v>0</v>
      </c>
      <c r="K869" s="29">
        <f>SUMIFS(Cash_Flow_3[Amount],Cash_Flow_3[Bulan],H869,Cash_Flow_3[Type],"Out",Cash_Flow_3[Category],"Fix")</f>
        <v>0</v>
      </c>
      <c r="L869" s="29">
        <f>SUMIFS(Cash_Flow_3[Amount],Cash_Flow_3[Bulan],H869,Cash_Flow_3[Type],"Out",Cash_Flow_3[Category],"Bathroom")</f>
        <v>0</v>
      </c>
      <c r="M869" s="29">
        <f>SUMIFS(Cash_Flow_3[Amount],Cash_Flow_3[Bulan],H869,Cash_Flow_3[Type],"Out",Cash_Flow_3[Category],"Alfa")</f>
        <v>0</v>
      </c>
      <c r="N869" s="29">
        <f>SUMIFS(Cash_Flow_3[Amount],Cash_Flow_3[Bulan],H869,Cash_Flow_3[Type],"Out",Cash_Flow_3[Category],"Jajan")</f>
        <v>0</v>
      </c>
      <c r="O869" s="29">
        <f>SUMIFS(Cash_Flow_3[Amount],Cash_Flow_3[Bulan],H869,Cash_Flow_3[Type],"Out",Cash_Flow_3[Category],"Kitchen")</f>
        <v>0</v>
      </c>
      <c r="P869" s="29">
        <f>SUMIFS(Cash_Flow_3[Amount],Cash_Flow_3[Bulan],H869,Cash_Flow_3[Type],"Out",Cash_Flow_3[Category],"Loandry")</f>
        <v>0</v>
      </c>
      <c r="Q869" s="29">
        <f>SUMIFS(Cash_Flow_3[Amount],Cash_Flow_3[Bulan],H869,Cash_Flow_3[Type],"Out",Cash_Flow_3[Category],"Mio")</f>
        <v>0</v>
      </c>
      <c r="R869" s="29">
        <f>SUMIFS(Cash_Flow_3[Amount],Cash_Flow_3[Bulan],H869,Cash_Flow_3[Type],"Out",Cash_Flow_3[Category],"Sedekah")</f>
        <v>0</v>
      </c>
      <c r="S869" s="29">
        <f>SUMIFS(Cash_Flow_3[Amount],Cash_Flow_3[Bulan],H869,Cash_Flow_3[Type],"Out",Cash_Flow_3[Category],"Zela")</f>
        <v>0</v>
      </c>
      <c r="T869" s="29">
        <f>SUMIFS(Cash_Flow_3[Amount],Cash_Flow_3[Bulan],H869,Cash_Flow_3[Type],"Out",Cash_Flow_3[Category],"Iqbal")</f>
        <v>0</v>
      </c>
    </row>
    <row r="870" spans="1:20" ht="22.5" customHeight="1" x14ac:dyDescent="0.2">
      <c r="A870" s="23"/>
      <c r="B870" s="24"/>
      <c r="C870" s="25"/>
      <c r="D870" s="25"/>
      <c r="E870" s="25"/>
      <c r="F870" s="26"/>
      <c r="G870" s="27"/>
      <c r="H870" s="28" t="str">
        <f t="shared" si="0"/>
        <v/>
      </c>
      <c r="I870" s="29">
        <f>SUMIFS(Cash_Flow_3[Amount],Cash_Flow_3[Bulan],H870,Cash_Flow_3[Type],"In")</f>
        <v>0</v>
      </c>
      <c r="J870" s="29">
        <f>SUMIFS(Cash_Flow_3[Amount],Cash_Flow_3[Bulan],H870,Cash_Flow_3[Type],"Out")</f>
        <v>0</v>
      </c>
      <c r="K870" s="29">
        <f>SUMIFS(Cash_Flow_3[Amount],Cash_Flow_3[Bulan],H870,Cash_Flow_3[Type],"Out",Cash_Flow_3[Category],"Fix")</f>
        <v>0</v>
      </c>
      <c r="L870" s="29">
        <f>SUMIFS(Cash_Flow_3[Amount],Cash_Flow_3[Bulan],H870,Cash_Flow_3[Type],"Out",Cash_Flow_3[Category],"Bathroom")</f>
        <v>0</v>
      </c>
      <c r="M870" s="29">
        <f>SUMIFS(Cash_Flow_3[Amount],Cash_Flow_3[Bulan],H870,Cash_Flow_3[Type],"Out",Cash_Flow_3[Category],"Alfa")</f>
        <v>0</v>
      </c>
      <c r="N870" s="29">
        <f>SUMIFS(Cash_Flow_3[Amount],Cash_Flow_3[Bulan],H870,Cash_Flow_3[Type],"Out",Cash_Flow_3[Category],"Jajan")</f>
        <v>0</v>
      </c>
      <c r="O870" s="29">
        <f>SUMIFS(Cash_Flow_3[Amount],Cash_Flow_3[Bulan],H870,Cash_Flow_3[Type],"Out",Cash_Flow_3[Category],"Kitchen")</f>
        <v>0</v>
      </c>
      <c r="P870" s="29">
        <f>SUMIFS(Cash_Flow_3[Amount],Cash_Flow_3[Bulan],H870,Cash_Flow_3[Type],"Out",Cash_Flow_3[Category],"Loandry")</f>
        <v>0</v>
      </c>
      <c r="Q870" s="29">
        <f>SUMIFS(Cash_Flow_3[Amount],Cash_Flow_3[Bulan],H870,Cash_Flow_3[Type],"Out",Cash_Flow_3[Category],"Mio")</f>
        <v>0</v>
      </c>
      <c r="R870" s="29">
        <f>SUMIFS(Cash_Flow_3[Amount],Cash_Flow_3[Bulan],H870,Cash_Flow_3[Type],"Out",Cash_Flow_3[Category],"Sedekah")</f>
        <v>0</v>
      </c>
      <c r="S870" s="29">
        <f>SUMIFS(Cash_Flow_3[Amount],Cash_Flow_3[Bulan],H870,Cash_Flow_3[Type],"Out",Cash_Flow_3[Category],"Zela")</f>
        <v>0</v>
      </c>
      <c r="T870" s="29">
        <f>SUMIFS(Cash_Flow_3[Amount],Cash_Flow_3[Bulan],H870,Cash_Flow_3[Type],"Out",Cash_Flow_3[Category],"Iqbal")</f>
        <v>0</v>
      </c>
    </row>
    <row r="871" spans="1:20" ht="22.5" customHeight="1" x14ac:dyDescent="0.2">
      <c r="A871" s="23"/>
      <c r="B871" s="24"/>
      <c r="C871" s="25"/>
      <c r="D871" s="25"/>
      <c r="E871" s="25"/>
      <c r="F871" s="26"/>
      <c r="G871" s="27"/>
      <c r="H871" s="28" t="str">
        <f t="shared" si="0"/>
        <v/>
      </c>
      <c r="I871" s="29">
        <f>SUMIFS(Cash_Flow_3[Amount],Cash_Flow_3[Bulan],H871,Cash_Flow_3[Type],"In")</f>
        <v>0</v>
      </c>
      <c r="J871" s="29">
        <f>SUMIFS(Cash_Flow_3[Amount],Cash_Flow_3[Bulan],H871,Cash_Flow_3[Type],"Out")</f>
        <v>0</v>
      </c>
      <c r="K871" s="29">
        <f>SUMIFS(Cash_Flow_3[Amount],Cash_Flow_3[Bulan],H871,Cash_Flow_3[Type],"Out",Cash_Flow_3[Category],"Fix")</f>
        <v>0</v>
      </c>
      <c r="L871" s="29">
        <f>SUMIFS(Cash_Flow_3[Amount],Cash_Flow_3[Bulan],H871,Cash_Flow_3[Type],"Out",Cash_Flow_3[Category],"Bathroom")</f>
        <v>0</v>
      </c>
      <c r="M871" s="29">
        <f>SUMIFS(Cash_Flow_3[Amount],Cash_Flow_3[Bulan],H871,Cash_Flow_3[Type],"Out",Cash_Flow_3[Category],"Alfa")</f>
        <v>0</v>
      </c>
      <c r="N871" s="29">
        <f>SUMIFS(Cash_Flow_3[Amount],Cash_Flow_3[Bulan],H871,Cash_Flow_3[Type],"Out",Cash_Flow_3[Category],"Jajan")</f>
        <v>0</v>
      </c>
      <c r="O871" s="29">
        <f>SUMIFS(Cash_Flow_3[Amount],Cash_Flow_3[Bulan],H871,Cash_Flow_3[Type],"Out",Cash_Flow_3[Category],"Kitchen")</f>
        <v>0</v>
      </c>
      <c r="P871" s="29">
        <f>SUMIFS(Cash_Flow_3[Amount],Cash_Flow_3[Bulan],H871,Cash_Flow_3[Type],"Out",Cash_Flow_3[Category],"Loandry")</f>
        <v>0</v>
      </c>
      <c r="Q871" s="29">
        <f>SUMIFS(Cash_Flow_3[Amount],Cash_Flow_3[Bulan],H871,Cash_Flow_3[Type],"Out",Cash_Flow_3[Category],"Mio")</f>
        <v>0</v>
      </c>
      <c r="R871" s="29">
        <f>SUMIFS(Cash_Flow_3[Amount],Cash_Flow_3[Bulan],H871,Cash_Flow_3[Type],"Out",Cash_Flow_3[Category],"Sedekah")</f>
        <v>0</v>
      </c>
      <c r="S871" s="29">
        <f>SUMIFS(Cash_Flow_3[Amount],Cash_Flow_3[Bulan],H871,Cash_Flow_3[Type],"Out",Cash_Flow_3[Category],"Zela")</f>
        <v>0</v>
      </c>
      <c r="T871" s="29">
        <f>SUMIFS(Cash_Flow_3[Amount],Cash_Flow_3[Bulan],H871,Cash_Flow_3[Type],"Out",Cash_Flow_3[Category],"Iqbal")</f>
        <v>0</v>
      </c>
    </row>
    <row r="872" spans="1:20" ht="22.5" customHeight="1" x14ac:dyDescent="0.2">
      <c r="A872" s="23"/>
      <c r="B872" s="24"/>
      <c r="C872" s="25"/>
      <c r="D872" s="25"/>
      <c r="E872" s="25"/>
      <c r="F872" s="26"/>
      <c r="G872" s="27"/>
      <c r="H872" s="28" t="str">
        <f t="shared" si="0"/>
        <v/>
      </c>
      <c r="I872" s="29">
        <f>SUMIFS(Cash_Flow_3[Amount],Cash_Flow_3[Bulan],H872,Cash_Flow_3[Type],"In")</f>
        <v>0</v>
      </c>
      <c r="J872" s="29">
        <f>SUMIFS(Cash_Flow_3[Amount],Cash_Flow_3[Bulan],H872,Cash_Flow_3[Type],"Out")</f>
        <v>0</v>
      </c>
      <c r="K872" s="29">
        <f>SUMIFS(Cash_Flow_3[Amount],Cash_Flow_3[Bulan],H872,Cash_Flow_3[Type],"Out",Cash_Flow_3[Category],"Fix")</f>
        <v>0</v>
      </c>
      <c r="L872" s="29">
        <f>SUMIFS(Cash_Flow_3[Amount],Cash_Flow_3[Bulan],H872,Cash_Flow_3[Type],"Out",Cash_Flow_3[Category],"Bathroom")</f>
        <v>0</v>
      </c>
      <c r="M872" s="29">
        <f>SUMIFS(Cash_Flow_3[Amount],Cash_Flow_3[Bulan],H872,Cash_Flow_3[Type],"Out",Cash_Flow_3[Category],"Alfa")</f>
        <v>0</v>
      </c>
      <c r="N872" s="29">
        <f>SUMIFS(Cash_Flow_3[Amount],Cash_Flow_3[Bulan],H872,Cash_Flow_3[Type],"Out",Cash_Flow_3[Category],"Jajan")</f>
        <v>0</v>
      </c>
      <c r="O872" s="29">
        <f>SUMIFS(Cash_Flow_3[Amount],Cash_Flow_3[Bulan],H872,Cash_Flow_3[Type],"Out",Cash_Flow_3[Category],"Kitchen")</f>
        <v>0</v>
      </c>
      <c r="P872" s="29">
        <f>SUMIFS(Cash_Flow_3[Amount],Cash_Flow_3[Bulan],H872,Cash_Flow_3[Type],"Out",Cash_Flow_3[Category],"Loandry")</f>
        <v>0</v>
      </c>
      <c r="Q872" s="29">
        <f>SUMIFS(Cash_Flow_3[Amount],Cash_Flow_3[Bulan],H872,Cash_Flow_3[Type],"Out",Cash_Flow_3[Category],"Mio")</f>
        <v>0</v>
      </c>
      <c r="R872" s="29">
        <f>SUMIFS(Cash_Flow_3[Amount],Cash_Flow_3[Bulan],H872,Cash_Flow_3[Type],"Out",Cash_Flow_3[Category],"Sedekah")</f>
        <v>0</v>
      </c>
      <c r="S872" s="29">
        <f>SUMIFS(Cash_Flow_3[Amount],Cash_Flow_3[Bulan],H872,Cash_Flow_3[Type],"Out",Cash_Flow_3[Category],"Zela")</f>
        <v>0</v>
      </c>
      <c r="T872" s="29">
        <f>SUMIFS(Cash_Flow_3[Amount],Cash_Flow_3[Bulan],H872,Cash_Flow_3[Type],"Out",Cash_Flow_3[Category],"Iqbal")</f>
        <v>0</v>
      </c>
    </row>
    <row r="873" spans="1:20" ht="22.5" customHeight="1" x14ac:dyDescent="0.2">
      <c r="A873" s="23"/>
      <c r="B873" s="24"/>
      <c r="C873" s="25"/>
      <c r="D873" s="25"/>
      <c r="E873" s="25"/>
      <c r="F873" s="26"/>
      <c r="G873" s="27"/>
      <c r="H873" s="28" t="str">
        <f t="shared" si="0"/>
        <v/>
      </c>
      <c r="I873" s="29">
        <f>SUMIFS(Cash_Flow_3[Amount],Cash_Flow_3[Bulan],H873,Cash_Flow_3[Type],"In")</f>
        <v>0</v>
      </c>
      <c r="J873" s="29">
        <f>SUMIFS(Cash_Flow_3[Amount],Cash_Flow_3[Bulan],H873,Cash_Flow_3[Type],"Out")</f>
        <v>0</v>
      </c>
      <c r="K873" s="29">
        <f>SUMIFS(Cash_Flow_3[Amount],Cash_Flow_3[Bulan],H873,Cash_Flow_3[Type],"Out",Cash_Flow_3[Category],"Fix")</f>
        <v>0</v>
      </c>
      <c r="L873" s="29">
        <f>SUMIFS(Cash_Flow_3[Amount],Cash_Flow_3[Bulan],H873,Cash_Flow_3[Type],"Out",Cash_Flow_3[Category],"Bathroom")</f>
        <v>0</v>
      </c>
      <c r="M873" s="29">
        <f>SUMIFS(Cash_Flow_3[Amount],Cash_Flow_3[Bulan],H873,Cash_Flow_3[Type],"Out",Cash_Flow_3[Category],"Alfa")</f>
        <v>0</v>
      </c>
      <c r="N873" s="29">
        <f>SUMIFS(Cash_Flow_3[Amount],Cash_Flow_3[Bulan],H873,Cash_Flow_3[Type],"Out",Cash_Flow_3[Category],"Jajan")</f>
        <v>0</v>
      </c>
      <c r="O873" s="29">
        <f>SUMIFS(Cash_Flow_3[Amount],Cash_Flow_3[Bulan],H873,Cash_Flow_3[Type],"Out",Cash_Flow_3[Category],"Kitchen")</f>
        <v>0</v>
      </c>
      <c r="P873" s="29">
        <f>SUMIFS(Cash_Flow_3[Amount],Cash_Flow_3[Bulan],H873,Cash_Flow_3[Type],"Out",Cash_Flow_3[Category],"Loandry")</f>
        <v>0</v>
      </c>
      <c r="Q873" s="29">
        <f>SUMIFS(Cash_Flow_3[Amount],Cash_Flow_3[Bulan],H873,Cash_Flow_3[Type],"Out",Cash_Flow_3[Category],"Mio")</f>
        <v>0</v>
      </c>
      <c r="R873" s="29">
        <f>SUMIFS(Cash_Flow_3[Amount],Cash_Flow_3[Bulan],H873,Cash_Flow_3[Type],"Out",Cash_Flow_3[Category],"Sedekah")</f>
        <v>0</v>
      </c>
      <c r="S873" s="29">
        <f>SUMIFS(Cash_Flow_3[Amount],Cash_Flow_3[Bulan],H873,Cash_Flow_3[Type],"Out",Cash_Flow_3[Category],"Zela")</f>
        <v>0</v>
      </c>
      <c r="T873" s="29">
        <f>SUMIFS(Cash_Flow_3[Amount],Cash_Flow_3[Bulan],H873,Cash_Flow_3[Type],"Out",Cash_Flow_3[Category],"Iqbal")</f>
        <v>0</v>
      </c>
    </row>
    <row r="874" spans="1:20" ht="22.5" customHeight="1" x14ac:dyDescent="0.2">
      <c r="A874" s="23"/>
      <c r="B874" s="24"/>
      <c r="C874" s="25"/>
      <c r="D874" s="25"/>
      <c r="E874" s="25"/>
      <c r="F874" s="26"/>
      <c r="G874" s="27"/>
      <c r="H874" s="28" t="str">
        <f t="shared" si="0"/>
        <v/>
      </c>
      <c r="I874" s="29">
        <f>SUMIFS(Cash_Flow_3[Amount],Cash_Flow_3[Bulan],H874,Cash_Flow_3[Type],"In")</f>
        <v>0</v>
      </c>
      <c r="J874" s="29">
        <f>SUMIFS(Cash_Flow_3[Amount],Cash_Flow_3[Bulan],H874,Cash_Flow_3[Type],"Out")</f>
        <v>0</v>
      </c>
      <c r="K874" s="29">
        <f>SUMIFS(Cash_Flow_3[Amount],Cash_Flow_3[Bulan],H874,Cash_Flow_3[Type],"Out",Cash_Flow_3[Category],"Fix")</f>
        <v>0</v>
      </c>
      <c r="L874" s="29">
        <f>SUMIFS(Cash_Flow_3[Amount],Cash_Flow_3[Bulan],H874,Cash_Flow_3[Type],"Out",Cash_Flow_3[Category],"Bathroom")</f>
        <v>0</v>
      </c>
      <c r="M874" s="29">
        <f>SUMIFS(Cash_Flow_3[Amount],Cash_Flow_3[Bulan],H874,Cash_Flow_3[Type],"Out",Cash_Flow_3[Category],"Alfa")</f>
        <v>0</v>
      </c>
      <c r="N874" s="29">
        <f>SUMIFS(Cash_Flow_3[Amount],Cash_Flow_3[Bulan],H874,Cash_Flow_3[Type],"Out",Cash_Flow_3[Category],"Jajan")</f>
        <v>0</v>
      </c>
      <c r="O874" s="29">
        <f>SUMIFS(Cash_Flow_3[Amount],Cash_Flow_3[Bulan],H874,Cash_Flow_3[Type],"Out",Cash_Flow_3[Category],"Kitchen")</f>
        <v>0</v>
      </c>
      <c r="P874" s="29">
        <f>SUMIFS(Cash_Flow_3[Amount],Cash_Flow_3[Bulan],H874,Cash_Flow_3[Type],"Out",Cash_Flow_3[Category],"Loandry")</f>
        <v>0</v>
      </c>
      <c r="Q874" s="29">
        <f>SUMIFS(Cash_Flow_3[Amount],Cash_Flow_3[Bulan],H874,Cash_Flow_3[Type],"Out",Cash_Flow_3[Category],"Mio")</f>
        <v>0</v>
      </c>
      <c r="R874" s="29">
        <f>SUMIFS(Cash_Flow_3[Amount],Cash_Flow_3[Bulan],H874,Cash_Flow_3[Type],"Out",Cash_Flow_3[Category],"Sedekah")</f>
        <v>0</v>
      </c>
      <c r="S874" s="29">
        <f>SUMIFS(Cash_Flow_3[Amount],Cash_Flow_3[Bulan],H874,Cash_Flow_3[Type],"Out",Cash_Flow_3[Category],"Zela")</f>
        <v>0</v>
      </c>
      <c r="T874" s="29">
        <f>SUMIFS(Cash_Flow_3[Amount],Cash_Flow_3[Bulan],H874,Cash_Flow_3[Type],"Out",Cash_Flow_3[Category],"Iqbal")</f>
        <v>0</v>
      </c>
    </row>
    <row r="875" spans="1:20" ht="22.5" customHeight="1" x14ac:dyDescent="0.2">
      <c r="A875" s="23"/>
      <c r="B875" s="24"/>
      <c r="C875" s="25"/>
      <c r="D875" s="25"/>
      <c r="E875" s="25"/>
      <c r="F875" s="26"/>
      <c r="G875" s="27"/>
      <c r="H875" s="28" t="str">
        <f t="shared" si="0"/>
        <v/>
      </c>
      <c r="I875" s="29">
        <f>SUMIFS(Cash_Flow_3[Amount],Cash_Flow_3[Bulan],H875,Cash_Flow_3[Type],"In")</f>
        <v>0</v>
      </c>
      <c r="J875" s="29">
        <f>SUMIFS(Cash_Flow_3[Amount],Cash_Flow_3[Bulan],H875,Cash_Flow_3[Type],"Out")</f>
        <v>0</v>
      </c>
      <c r="K875" s="29">
        <f>SUMIFS(Cash_Flow_3[Amount],Cash_Flow_3[Bulan],H875,Cash_Flow_3[Type],"Out",Cash_Flow_3[Category],"Fix")</f>
        <v>0</v>
      </c>
      <c r="L875" s="29">
        <f>SUMIFS(Cash_Flow_3[Amount],Cash_Flow_3[Bulan],H875,Cash_Flow_3[Type],"Out",Cash_Flow_3[Category],"Bathroom")</f>
        <v>0</v>
      </c>
      <c r="M875" s="29">
        <f>SUMIFS(Cash_Flow_3[Amount],Cash_Flow_3[Bulan],H875,Cash_Flow_3[Type],"Out",Cash_Flow_3[Category],"Alfa")</f>
        <v>0</v>
      </c>
      <c r="N875" s="29">
        <f>SUMIFS(Cash_Flow_3[Amount],Cash_Flow_3[Bulan],H875,Cash_Flow_3[Type],"Out",Cash_Flow_3[Category],"Jajan")</f>
        <v>0</v>
      </c>
      <c r="O875" s="29">
        <f>SUMIFS(Cash_Flow_3[Amount],Cash_Flow_3[Bulan],H875,Cash_Flow_3[Type],"Out",Cash_Flow_3[Category],"Kitchen")</f>
        <v>0</v>
      </c>
      <c r="P875" s="29">
        <f>SUMIFS(Cash_Flow_3[Amount],Cash_Flow_3[Bulan],H875,Cash_Flow_3[Type],"Out",Cash_Flow_3[Category],"Loandry")</f>
        <v>0</v>
      </c>
      <c r="Q875" s="29">
        <f>SUMIFS(Cash_Flow_3[Amount],Cash_Flow_3[Bulan],H875,Cash_Flow_3[Type],"Out",Cash_Flow_3[Category],"Mio")</f>
        <v>0</v>
      </c>
      <c r="R875" s="29">
        <f>SUMIFS(Cash_Flow_3[Amount],Cash_Flow_3[Bulan],H875,Cash_Flow_3[Type],"Out",Cash_Flow_3[Category],"Sedekah")</f>
        <v>0</v>
      </c>
      <c r="S875" s="29">
        <f>SUMIFS(Cash_Flow_3[Amount],Cash_Flow_3[Bulan],H875,Cash_Flow_3[Type],"Out",Cash_Flow_3[Category],"Zela")</f>
        <v>0</v>
      </c>
      <c r="T875" s="29">
        <f>SUMIFS(Cash_Flow_3[Amount],Cash_Flow_3[Bulan],H875,Cash_Flow_3[Type],"Out",Cash_Flow_3[Category],"Iqbal")</f>
        <v>0</v>
      </c>
    </row>
    <row r="876" spans="1:20" ht="22.5" customHeight="1" x14ac:dyDescent="0.2">
      <c r="A876" s="23"/>
      <c r="B876" s="24"/>
      <c r="C876" s="25"/>
      <c r="D876" s="25"/>
      <c r="E876" s="25"/>
      <c r="F876" s="26"/>
      <c r="G876" s="27"/>
      <c r="H876" s="28" t="str">
        <f t="shared" si="0"/>
        <v/>
      </c>
      <c r="I876" s="29">
        <f>SUMIFS(Cash_Flow_3[Amount],Cash_Flow_3[Bulan],H876,Cash_Flow_3[Type],"In")</f>
        <v>0</v>
      </c>
      <c r="J876" s="29">
        <f>SUMIFS(Cash_Flow_3[Amount],Cash_Flow_3[Bulan],H876,Cash_Flow_3[Type],"Out")</f>
        <v>0</v>
      </c>
      <c r="K876" s="29">
        <f>SUMIFS(Cash_Flow_3[Amount],Cash_Flow_3[Bulan],H876,Cash_Flow_3[Type],"Out",Cash_Flow_3[Category],"Fix")</f>
        <v>0</v>
      </c>
      <c r="L876" s="29">
        <f>SUMIFS(Cash_Flow_3[Amount],Cash_Flow_3[Bulan],H876,Cash_Flow_3[Type],"Out",Cash_Flow_3[Category],"Bathroom")</f>
        <v>0</v>
      </c>
      <c r="M876" s="29">
        <f>SUMIFS(Cash_Flow_3[Amount],Cash_Flow_3[Bulan],H876,Cash_Flow_3[Type],"Out",Cash_Flow_3[Category],"Alfa")</f>
        <v>0</v>
      </c>
      <c r="N876" s="29">
        <f>SUMIFS(Cash_Flow_3[Amount],Cash_Flow_3[Bulan],H876,Cash_Flow_3[Type],"Out",Cash_Flow_3[Category],"Jajan")</f>
        <v>0</v>
      </c>
      <c r="O876" s="29">
        <f>SUMIFS(Cash_Flow_3[Amount],Cash_Flow_3[Bulan],H876,Cash_Flow_3[Type],"Out",Cash_Flow_3[Category],"Kitchen")</f>
        <v>0</v>
      </c>
      <c r="P876" s="29">
        <f>SUMIFS(Cash_Flow_3[Amount],Cash_Flow_3[Bulan],H876,Cash_Flow_3[Type],"Out",Cash_Flow_3[Category],"Loandry")</f>
        <v>0</v>
      </c>
      <c r="Q876" s="29">
        <f>SUMIFS(Cash_Flow_3[Amount],Cash_Flow_3[Bulan],H876,Cash_Flow_3[Type],"Out",Cash_Flow_3[Category],"Mio")</f>
        <v>0</v>
      </c>
      <c r="R876" s="29">
        <f>SUMIFS(Cash_Flow_3[Amount],Cash_Flow_3[Bulan],H876,Cash_Flow_3[Type],"Out",Cash_Flow_3[Category],"Sedekah")</f>
        <v>0</v>
      </c>
      <c r="S876" s="29">
        <f>SUMIFS(Cash_Flow_3[Amount],Cash_Flow_3[Bulan],H876,Cash_Flow_3[Type],"Out",Cash_Flow_3[Category],"Zela")</f>
        <v>0</v>
      </c>
      <c r="T876" s="29">
        <f>SUMIFS(Cash_Flow_3[Amount],Cash_Flow_3[Bulan],H876,Cash_Flow_3[Type],"Out",Cash_Flow_3[Category],"Iqbal")</f>
        <v>0</v>
      </c>
    </row>
    <row r="877" spans="1:20" ht="22.5" customHeight="1" x14ac:dyDescent="0.2">
      <c r="A877" s="23"/>
      <c r="B877" s="24"/>
      <c r="C877" s="25"/>
      <c r="D877" s="25"/>
      <c r="E877" s="25"/>
      <c r="F877" s="26"/>
      <c r="G877" s="27"/>
      <c r="H877" s="28" t="str">
        <f t="shared" si="0"/>
        <v/>
      </c>
      <c r="I877" s="29">
        <f>SUMIFS(Cash_Flow_3[Amount],Cash_Flow_3[Bulan],H877,Cash_Flow_3[Type],"In")</f>
        <v>0</v>
      </c>
      <c r="J877" s="29">
        <f>SUMIFS(Cash_Flow_3[Amount],Cash_Flow_3[Bulan],H877,Cash_Flow_3[Type],"Out")</f>
        <v>0</v>
      </c>
      <c r="K877" s="29">
        <f>SUMIFS(Cash_Flow_3[Amount],Cash_Flow_3[Bulan],H877,Cash_Flow_3[Type],"Out",Cash_Flow_3[Category],"Fix")</f>
        <v>0</v>
      </c>
      <c r="L877" s="29">
        <f>SUMIFS(Cash_Flow_3[Amount],Cash_Flow_3[Bulan],H877,Cash_Flow_3[Type],"Out",Cash_Flow_3[Category],"Bathroom")</f>
        <v>0</v>
      </c>
      <c r="M877" s="29">
        <f>SUMIFS(Cash_Flow_3[Amount],Cash_Flow_3[Bulan],H877,Cash_Flow_3[Type],"Out",Cash_Flow_3[Category],"Alfa")</f>
        <v>0</v>
      </c>
      <c r="N877" s="29">
        <f>SUMIFS(Cash_Flow_3[Amount],Cash_Flow_3[Bulan],H877,Cash_Flow_3[Type],"Out",Cash_Flow_3[Category],"Jajan")</f>
        <v>0</v>
      </c>
      <c r="O877" s="29">
        <f>SUMIFS(Cash_Flow_3[Amount],Cash_Flow_3[Bulan],H877,Cash_Flow_3[Type],"Out",Cash_Flow_3[Category],"Kitchen")</f>
        <v>0</v>
      </c>
      <c r="P877" s="29">
        <f>SUMIFS(Cash_Flow_3[Amount],Cash_Flow_3[Bulan],H877,Cash_Flow_3[Type],"Out",Cash_Flow_3[Category],"Loandry")</f>
        <v>0</v>
      </c>
      <c r="Q877" s="29">
        <f>SUMIFS(Cash_Flow_3[Amount],Cash_Flow_3[Bulan],H877,Cash_Flow_3[Type],"Out",Cash_Flow_3[Category],"Mio")</f>
        <v>0</v>
      </c>
      <c r="R877" s="29">
        <f>SUMIFS(Cash_Flow_3[Amount],Cash_Flow_3[Bulan],H877,Cash_Flow_3[Type],"Out",Cash_Flow_3[Category],"Sedekah")</f>
        <v>0</v>
      </c>
      <c r="S877" s="29">
        <f>SUMIFS(Cash_Flow_3[Amount],Cash_Flow_3[Bulan],H877,Cash_Flow_3[Type],"Out",Cash_Flow_3[Category],"Zela")</f>
        <v>0</v>
      </c>
      <c r="T877" s="29">
        <f>SUMIFS(Cash_Flow_3[Amount],Cash_Flow_3[Bulan],H877,Cash_Flow_3[Type],"Out",Cash_Flow_3[Category],"Iqbal")</f>
        <v>0</v>
      </c>
    </row>
    <row r="878" spans="1:20" ht="22.5" customHeight="1" x14ac:dyDescent="0.2">
      <c r="A878" s="23"/>
      <c r="B878" s="24"/>
      <c r="C878" s="25"/>
      <c r="D878" s="25"/>
      <c r="E878" s="25"/>
      <c r="F878" s="26"/>
      <c r="G878" s="27"/>
      <c r="H878" s="28" t="str">
        <f t="shared" si="0"/>
        <v/>
      </c>
      <c r="I878" s="29">
        <f>SUMIFS(Cash_Flow_3[Amount],Cash_Flow_3[Bulan],H878,Cash_Flow_3[Type],"In")</f>
        <v>0</v>
      </c>
      <c r="J878" s="29">
        <f>SUMIFS(Cash_Flow_3[Amount],Cash_Flow_3[Bulan],H878,Cash_Flow_3[Type],"Out")</f>
        <v>0</v>
      </c>
      <c r="K878" s="29">
        <f>SUMIFS(Cash_Flow_3[Amount],Cash_Flow_3[Bulan],H878,Cash_Flow_3[Type],"Out",Cash_Flow_3[Category],"Fix")</f>
        <v>0</v>
      </c>
      <c r="L878" s="29">
        <f>SUMIFS(Cash_Flow_3[Amount],Cash_Flow_3[Bulan],H878,Cash_Flow_3[Type],"Out",Cash_Flow_3[Category],"Bathroom")</f>
        <v>0</v>
      </c>
      <c r="M878" s="29">
        <f>SUMIFS(Cash_Flow_3[Amount],Cash_Flow_3[Bulan],H878,Cash_Flow_3[Type],"Out",Cash_Flow_3[Category],"Alfa")</f>
        <v>0</v>
      </c>
      <c r="N878" s="29">
        <f>SUMIFS(Cash_Flow_3[Amount],Cash_Flow_3[Bulan],H878,Cash_Flow_3[Type],"Out",Cash_Flow_3[Category],"Jajan")</f>
        <v>0</v>
      </c>
      <c r="O878" s="29">
        <f>SUMIFS(Cash_Flow_3[Amount],Cash_Flow_3[Bulan],H878,Cash_Flow_3[Type],"Out",Cash_Flow_3[Category],"Kitchen")</f>
        <v>0</v>
      </c>
      <c r="P878" s="29">
        <f>SUMIFS(Cash_Flow_3[Amount],Cash_Flow_3[Bulan],H878,Cash_Flow_3[Type],"Out",Cash_Flow_3[Category],"Loandry")</f>
        <v>0</v>
      </c>
      <c r="Q878" s="29">
        <f>SUMIFS(Cash_Flow_3[Amount],Cash_Flow_3[Bulan],H878,Cash_Flow_3[Type],"Out",Cash_Flow_3[Category],"Mio")</f>
        <v>0</v>
      </c>
      <c r="R878" s="29">
        <f>SUMIFS(Cash_Flow_3[Amount],Cash_Flow_3[Bulan],H878,Cash_Flow_3[Type],"Out",Cash_Flow_3[Category],"Sedekah")</f>
        <v>0</v>
      </c>
      <c r="S878" s="29">
        <f>SUMIFS(Cash_Flow_3[Amount],Cash_Flow_3[Bulan],H878,Cash_Flow_3[Type],"Out",Cash_Flow_3[Category],"Zela")</f>
        <v>0</v>
      </c>
      <c r="T878" s="29">
        <f>SUMIFS(Cash_Flow_3[Amount],Cash_Flow_3[Bulan],H878,Cash_Flow_3[Type],"Out",Cash_Flow_3[Category],"Iqbal")</f>
        <v>0</v>
      </c>
    </row>
    <row r="879" spans="1:20" ht="22.5" customHeight="1" x14ac:dyDescent="0.2">
      <c r="A879" s="23"/>
      <c r="B879" s="24"/>
      <c r="C879" s="25"/>
      <c r="D879" s="25"/>
      <c r="E879" s="25"/>
      <c r="F879" s="26"/>
      <c r="G879" s="27"/>
      <c r="H879" s="28" t="str">
        <f t="shared" si="0"/>
        <v/>
      </c>
      <c r="I879" s="29">
        <f>SUMIFS(Cash_Flow_3[Amount],Cash_Flow_3[Bulan],H879,Cash_Flow_3[Type],"In")</f>
        <v>0</v>
      </c>
      <c r="J879" s="29">
        <f>SUMIFS(Cash_Flow_3[Amount],Cash_Flow_3[Bulan],H879,Cash_Flow_3[Type],"Out")</f>
        <v>0</v>
      </c>
      <c r="K879" s="29">
        <f>SUMIFS(Cash_Flow_3[Amount],Cash_Flow_3[Bulan],H879,Cash_Flow_3[Type],"Out",Cash_Flow_3[Category],"Fix")</f>
        <v>0</v>
      </c>
      <c r="L879" s="29">
        <f>SUMIFS(Cash_Flow_3[Amount],Cash_Flow_3[Bulan],H879,Cash_Flow_3[Type],"Out",Cash_Flow_3[Category],"Bathroom")</f>
        <v>0</v>
      </c>
      <c r="M879" s="29">
        <f>SUMIFS(Cash_Flow_3[Amount],Cash_Flow_3[Bulan],H879,Cash_Flow_3[Type],"Out",Cash_Flow_3[Category],"Alfa")</f>
        <v>0</v>
      </c>
      <c r="N879" s="29">
        <f>SUMIFS(Cash_Flow_3[Amount],Cash_Flow_3[Bulan],H879,Cash_Flow_3[Type],"Out",Cash_Flow_3[Category],"Jajan")</f>
        <v>0</v>
      </c>
      <c r="O879" s="29">
        <f>SUMIFS(Cash_Flow_3[Amount],Cash_Flow_3[Bulan],H879,Cash_Flow_3[Type],"Out",Cash_Flow_3[Category],"Kitchen")</f>
        <v>0</v>
      </c>
      <c r="P879" s="29">
        <f>SUMIFS(Cash_Flow_3[Amount],Cash_Flow_3[Bulan],H879,Cash_Flow_3[Type],"Out",Cash_Flow_3[Category],"Loandry")</f>
        <v>0</v>
      </c>
      <c r="Q879" s="29">
        <f>SUMIFS(Cash_Flow_3[Amount],Cash_Flow_3[Bulan],H879,Cash_Flow_3[Type],"Out",Cash_Flow_3[Category],"Mio")</f>
        <v>0</v>
      </c>
      <c r="R879" s="29">
        <f>SUMIFS(Cash_Flow_3[Amount],Cash_Flow_3[Bulan],H879,Cash_Flow_3[Type],"Out",Cash_Flow_3[Category],"Sedekah")</f>
        <v>0</v>
      </c>
      <c r="S879" s="29">
        <f>SUMIFS(Cash_Flow_3[Amount],Cash_Flow_3[Bulan],H879,Cash_Flow_3[Type],"Out",Cash_Flow_3[Category],"Zela")</f>
        <v>0</v>
      </c>
      <c r="T879" s="29">
        <f>SUMIFS(Cash_Flow_3[Amount],Cash_Flow_3[Bulan],H879,Cash_Flow_3[Type],"Out",Cash_Flow_3[Category],"Iqbal")</f>
        <v>0</v>
      </c>
    </row>
    <row r="880" spans="1:20" ht="22.5" customHeight="1" x14ac:dyDescent="0.2">
      <c r="A880" s="23"/>
      <c r="B880" s="24"/>
      <c r="C880" s="25"/>
      <c r="D880" s="25"/>
      <c r="E880" s="25"/>
      <c r="F880" s="26"/>
      <c r="G880" s="27"/>
      <c r="H880" s="28" t="str">
        <f t="shared" si="0"/>
        <v/>
      </c>
      <c r="I880" s="29">
        <f>SUMIFS(Cash_Flow_3[Amount],Cash_Flow_3[Bulan],H880,Cash_Flow_3[Type],"In")</f>
        <v>0</v>
      </c>
      <c r="J880" s="29">
        <f>SUMIFS(Cash_Flow_3[Amount],Cash_Flow_3[Bulan],H880,Cash_Flow_3[Type],"Out")</f>
        <v>0</v>
      </c>
      <c r="K880" s="29">
        <f>SUMIFS(Cash_Flow_3[Amount],Cash_Flow_3[Bulan],H880,Cash_Flow_3[Type],"Out",Cash_Flow_3[Category],"Fix")</f>
        <v>0</v>
      </c>
      <c r="L880" s="29">
        <f>SUMIFS(Cash_Flow_3[Amount],Cash_Flow_3[Bulan],H880,Cash_Flow_3[Type],"Out",Cash_Flow_3[Category],"Bathroom")</f>
        <v>0</v>
      </c>
      <c r="M880" s="29">
        <f>SUMIFS(Cash_Flow_3[Amount],Cash_Flow_3[Bulan],H880,Cash_Flow_3[Type],"Out",Cash_Flow_3[Category],"Alfa")</f>
        <v>0</v>
      </c>
      <c r="N880" s="29">
        <f>SUMIFS(Cash_Flow_3[Amount],Cash_Flow_3[Bulan],H880,Cash_Flow_3[Type],"Out",Cash_Flow_3[Category],"Jajan")</f>
        <v>0</v>
      </c>
      <c r="O880" s="29">
        <f>SUMIFS(Cash_Flow_3[Amount],Cash_Flow_3[Bulan],H880,Cash_Flow_3[Type],"Out",Cash_Flow_3[Category],"Kitchen")</f>
        <v>0</v>
      </c>
      <c r="P880" s="29">
        <f>SUMIFS(Cash_Flow_3[Amount],Cash_Flow_3[Bulan],H880,Cash_Flow_3[Type],"Out",Cash_Flow_3[Category],"Loandry")</f>
        <v>0</v>
      </c>
      <c r="Q880" s="29">
        <f>SUMIFS(Cash_Flow_3[Amount],Cash_Flow_3[Bulan],H880,Cash_Flow_3[Type],"Out",Cash_Flow_3[Category],"Mio")</f>
        <v>0</v>
      </c>
      <c r="R880" s="29">
        <f>SUMIFS(Cash_Flow_3[Amount],Cash_Flow_3[Bulan],H880,Cash_Flow_3[Type],"Out",Cash_Flow_3[Category],"Sedekah")</f>
        <v>0</v>
      </c>
      <c r="S880" s="29">
        <f>SUMIFS(Cash_Flow_3[Amount],Cash_Flow_3[Bulan],H880,Cash_Flow_3[Type],"Out",Cash_Flow_3[Category],"Zela")</f>
        <v>0</v>
      </c>
      <c r="T880" s="29">
        <f>SUMIFS(Cash_Flow_3[Amount],Cash_Flow_3[Bulan],H880,Cash_Flow_3[Type],"Out",Cash_Flow_3[Category],"Iqbal")</f>
        <v>0</v>
      </c>
    </row>
    <row r="881" spans="1:20" ht="22.5" customHeight="1" x14ac:dyDescent="0.2">
      <c r="A881" s="23"/>
      <c r="B881" s="24"/>
      <c r="C881" s="25"/>
      <c r="D881" s="25"/>
      <c r="E881" s="25"/>
      <c r="F881" s="26"/>
      <c r="G881" s="27"/>
      <c r="H881" s="28" t="str">
        <f t="shared" si="0"/>
        <v/>
      </c>
      <c r="I881" s="29">
        <f>SUMIFS(Cash_Flow_3[Amount],Cash_Flow_3[Bulan],H881,Cash_Flow_3[Type],"In")</f>
        <v>0</v>
      </c>
      <c r="J881" s="29">
        <f>SUMIFS(Cash_Flow_3[Amount],Cash_Flow_3[Bulan],H881,Cash_Flow_3[Type],"Out")</f>
        <v>0</v>
      </c>
      <c r="K881" s="29">
        <f>SUMIFS(Cash_Flow_3[Amount],Cash_Flow_3[Bulan],H881,Cash_Flow_3[Type],"Out",Cash_Flow_3[Category],"Fix")</f>
        <v>0</v>
      </c>
      <c r="L881" s="29">
        <f>SUMIFS(Cash_Flow_3[Amount],Cash_Flow_3[Bulan],H881,Cash_Flow_3[Type],"Out",Cash_Flow_3[Category],"Bathroom")</f>
        <v>0</v>
      </c>
      <c r="M881" s="29">
        <f>SUMIFS(Cash_Flow_3[Amount],Cash_Flow_3[Bulan],H881,Cash_Flow_3[Type],"Out",Cash_Flow_3[Category],"Alfa")</f>
        <v>0</v>
      </c>
      <c r="N881" s="29">
        <f>SUMIFS(Cash_Flow_3[Amount],Cash_Flow_3[Bulan],H881,Cash_Flow_3[Type],"Out",Cash_Flow_3[Category],"Jajan")</f>
        <v>0</v>
      </c>
      <c r="O881" s="29">
        <f>SUMIFS(Cash_Flow_3[Amount],Cash_Flow_3[Bulan],H881,Cash_Flow_3[Type],"Out",Cash_Flow_3[Category],"Kitchen")</f>
        <v>0</v>
      </c>
      <c r="P881" s="29">
        <f>SUMIFS(Cash_Flow_3[Amount],Cash_Flow_3[Bulan],H881,Cash_Flow_3[Type],"Out",Cash_Flow_3[Category],"Loandry")</f>
        <v>0</v>
      </c>
      <c r="Q881" s="29">
        <f>SUMIFS(Cash_Flow_3[Amount],Cash_Flow_3[Bulan],H881,Cash_Flow_3[Type],"Out",Cash_Flow_3[Category],"Mio")</f>
        <v>0</v>
      </c>
      <c r="R881" s="29">
        <f>SUMIFS(Cash_Flow_3[Amount],Cash_Flow_3[Bulan],H881,Cash_Flow_3[Type],"Out",Cash_Flow_3[Category],"Sedekah")</f>
        <v>0</v>
      </c>
      <c r="S881" s="29">
        <f>SUMIFS(Cash_Flow_3[Amount],Cash_Flow_3[Bulan],H881,Cash_Flow_3[Type],"Out",Cash_Flow_3[Category],"Zela")</f>
        <v>0</v>
      </c>
      <c r="T881" s="29">
        <f>SUMIFS(Cash_Flow_3[Amount],Cash_Flow_3[Bulan],H881,Cash_Flow_3[Type],"Out",Cash_Flow_3[Category],"Iqbal")</f>
        <v>0</v>
      </c>
    </row>
    <row r="882" spans="1:20" ht="22.5" customHeight="1" x14ac:dyDescent="0.2">
      <c r="A882" s="23"/>
      <c r="B882" s="24"/>
      <c r="C882" s="25"/>
      <c r="D882" s="25"/>
      <c r="E882" s="25"/>
      <c r="F882" s="26"/>
      <c r="G882" s="27"/>
      <c r="H882" s="28" t="str">
        <f t="shared" si="0"/>
        <v/>
      </c>
      <c r="I882" s="29">
        <f>SUMIFS(Cash_Flow_3[Amount],Cash_Flow_3[Bulan],H882,Cash_Flow_3[Type],"In")</f>
        <v>0</v>
      </c>
      <c r="J882" s="29">
        <f>SUMIFS(Cash_Flow_3[Amount],Cash_Flow_3[Bulan],H882,Cash_Flow_3[Type],"Out")</f>
        <v>0</v>
      </c>
      <c r="K882" s="29">
        <f>SUMIFS(Cash_Flow_3[Amount],Cash_Flow_3[Bulan],H882,Cash_Flow_3[Type],"Out",Cash_Flow_3[Category],"Fix")</f>
        <v>0</v>
      </c>
      <c r="L882" s="29">
        <f>SUMIFS(Cash_Flow_3[Amount],Cash_Flow_3[Bulan],H882,Cash_Flow_3[Type],"Out",Cash_Flow_3[Category],"Bathroom")</f>
        <v>0</v>
      </c>
      <c r="M882" s="29">
        <f>SUMIFS(Cash_Flow_3[Amount],Cash_Flow_3[Bulan],H882,Cash_Flow_3[Type],"Out",Cash_Flow_3[Category],"Alfa")</f>
        <v>0</v>
      </c>
      <c r="N882" s="29">
        <f>SUMIFS(Cash_Flow_3[Amount],Cash_Flow_3[Bulan],H882,Cash_Flow_3[Type],"Out",Cash_Flow_3[Category],"Jajan")</f>
        <v>0</v>
      </c>
      <c r="O882" s="29">
        <f>SUMIFS(Cash_Flow_3[Amount],Cash_Flow_3[Bulan],H882,Cash_Flow_3[Type],"Out",Cash_Flow_3[Category],"Kitchen")</f>
        <v>0</v>
      </c>
      <c r="P882" s="29">
        <f>SUMIFS(Cash_Flow_3[Amount],Cash_Flow_3[Bulan],H882,Cash_Flow_3[Type],"Out",Cash_Flow_3[Category],"Loandry")</f>
        <v>0</v>
      </c>
      <c r="Q882" s="29">
        <f>SUMIFS(Cash_Flow_3[Amount],Cash_Flow_3[Bulan],H882,Cash_Flow_3[Type],"Out",Cash_Flow_3[Category],"Mio")</f>
        <v>0</v>
      </c>
      <c r="R882" s="29">
        <f>SUMIFS(Cash_Flow_3[Amount],Cash_Flow_3[Bulan],H882,Cash_Flow_3[Type],"Out",Cash_Flow_3[Category],"Sedekah")</f>
        <v>0</v>
      </c>
      <c r="S882" s="29">
        <f>SUMIFS(Cash_Flow_3[Amount],Cash_Flow_3[Bulan],H882,Cash_Flow_3[Type],"Out",Cash_Flow_3[Category],"Zela")</f>
        <v>0</v>
      </c>
      <c r="T882" s="29">
        <f>SUMIFS(Cash_Flow_3[Amount],Cash_Flow_3[Bulan],H882,Cash_Flow_3[Type],"Out",Cash_Flow_3[Category],"Iqbal")</f>
        <v>0</v>
      </c>
    </row>
    <row r="883" spans="1:20" ht="22.5" customHeight="1" x14ac:dyDescent="0.2">
      <c r="A883" s="23"/>
      <c r="B883" s="24"/>
      <c r="C883" s="25"/>
      <c r="D883" s="25"/>
      <c r="E883" s="25"/>
      <c r="F883" s="26"/>
      <c r="G883" s="27"/>
      <c r="H883" s="28" t="str">
        <f t="shared" si="0"/>
        <v/>
      </c>
      <c r="I883" s="29">
        <f>SUMIFS(Cash_Flow_3[Amount],Cash_Flow_3[Bulan],H883,Cash_Flow_3[Type],"In")</f>
        <v>0</v>
      </c>
      <c r="J883" s="29">
        <f>SUMIFS(Cash_Flow_3[Amount],Cash_Flow_3[Bulan],H883,Cash_Flow_3[Type],"Out")</f>
        <v>0</v>
      </c>
      <c r="K883" s="29">
        <f>SUMIFS(Cash_Flow_3[Amount],Cash_Flow_3[Bulan],H883,Cash_Flow_3[Type],"Out",Cash_Flow_3[Category],"Fix")</f>
        <v>0</v>
      </c>
      <c r="L883" s="29">
        <f>SUMIFS(Cash_Flow_3[Amount],Cash_Flow_3[Bulan],H883,Cash_Flow_3[Type],"Out",Cash_Flow_3[Category],"Bathroom")</f>
        <v>0</v>
      </c>
      <c r="M883" s="29">
        <f>SUMIFS(Cash_Flow_3[Amount],Cash_Flow_3[Bulan],H883,Cash_Flow_3[Type],"Out",Cash_Flow_3[Category],"Alfa")</f>
        <v>0</v>
      </c>
      <c r="N883" s="29">
        <f>SUMIFS(Cash_Flow_3[Amount],Cash_Flow_3[Bulan],H883,Cash_Flow_3[Type],"Out",Cash_Flow_3[Category],"Jajan")</f>
        <v>0</v>
      </c>
      <c r="O883" s="29">
        <f>SUMIFS(Cash_Flow_3[Amount],Cash_Flow_3[Bulan],H883,Cash_Flow_3[Type],"Out",Cash_Flow_3[Category],"Kitchen")</f>
        <v>0</v>
      </c>
      <c r="P883" s="29">
        <f>SUMIFS(Cash_Flow_3[Amount],Cash_Flow_3[Bulan],H883,Cash_Flow_3[Type],"Out",Cash_Flow_3[Category],"Loandry")</f>
        <v>0</v>
      </c>
      <c r="Q883" s="29">
        <f>SUMIFS(Cash_Flow_3[Amount],Cash_Flow_3[Bulan],H883,Cash_Flow_3[Type],"Out",Cash_Flow_3[Category],"Mio")</f>
        <v>0</v>
      </c>
      <c r="R883" s="29">
        <f>SUMIFS(Cash_Flow_3[Amount],Cash_Flow_3[Bulan],H883,Cash_Flow_3[Type],"Out",Cash_Flow_3[Category],"Sedekah")</f>
        <v>0</v>
      </c>
      <c r="S883" s="29">
        <f>SUMIFS(Cash_Flow_3[Amount],Cash_Flow_3[Bulan],H883,Cash_Flow_3[Type],"Out",Cash_Flow_3[Category],"Zela")</f>
        <v>0</v>
      </c>
      <c r="T883" s="29">
        <f>SUMIFS(Cash_Flow_3[Amount],Cash_Flow_3[Bulan],H883,Cash_Flow_3[Type],"Out",Cash_Flow_3[Category],"Iqbal")</f>
        <v>0</v>
      </c>
    </row>
    <row r="884" spans="1:20" ht="22.5" customHeight="1" x14ac:dyDescent="0.2">
      <c r="A884" s="23"/>
      <c r="B884" s="24"/>
      <c r="C884" s="25"/>
      <c r="D884" s="25"/>
      <c r="E884" s="25"/>
      <c r="F884" s="26"/>
      <c r="G884" s="27"/>
      <c r="H884" s="28" t="str">
        <f t="shared" si="0"/>
        <v/>
      </c>
      <c r="I884" s="29">
        <f>SUMIFS(Cash_Flow_3[Amount],Cash_Flow_3[Bulan],H884,Cash_Flow_3[Type],"In")</f>
        <v>0</v>
      </c>
      <c r="J884" s="29">
        <f>SUMIFS(Cash_Flow_3[Amount],Cash_Flow_3[Bulan],H884,Cash_Flow_3[Type],"Out")</f>
        <v>0</v>
      </c>
      <c r="K884" s="29">
        <f>SUMIFS(Cash_Flow_3[Amount],Cash_Flow_3[Bulan],H884,Cash_Flow_3[Type],"Out",Cash_Flow_3[Category],"Fix")</f>
        <v>0</v>
      </c>
      <c r="L884" s="29">
        <f>SUMIFS(Cash_Flow_3[Amount],Cash_Flow_3[Bulan],H884,Cash_Flow_3[Type],"Out",Cash_Flow_3[Category],"Bathroom")</f>
        <v>0</v>
      </c>
      <c r="M884" s="29">
        <f>SUMIFS(Cash_Flow_3[Amount],Cash_Flow_3[Bulan],H884,Cash_Flow_3[Type],"Out",Cash_Flow_3[Category],"Alfa")</f>
        <v>0</v>
      </c>
      <c r="N884" s="29">
        <f>SUMIFS(Cash_Flow_3[Amount],Cash_Flow_3[Bulan],H884,Cash_Flow_3[Type],"Out",Cash_Flow_3[Category],"Jajan")</f>
        <v>0</v>
      </c>
      <c r="O884" s="29">
        <f>SUMIFS(Cash_Flow_3[Amount],Cash_Flow_3[Bulan],H884,Cash_Flow_3[Type],"Out",Cash_Flow_3[Category],"Kitchen")</f>
        <v>0</v>
      </c>
      <c r="P884" s="29">
        <f>SUMIFS(Cash_Flow_3[Amount],Cash_Flow_3[Bulan],H884,Cash_Flow_3[Type],"Out",Cash_Flow_3[Category],"Loandry")</f>
        <v>0</v>
      </c>
      <c r="Q884" s="29">
        <f>SUMIFS(Cash_Flow_3[Amount],Cash_Flow_3[Bulan],H884,Cash_Flow_3[Type],"Out",Cash_Flow_3[Category],"Mio")</f>
        <v>0</v>
      </c>
      <c r="R884" s="29">
        <f>SUMIFS(Cash_Flow_3[Amount],Cash_Flow_3[Bulan],H884,Cash_Flow_3[Type],"Out",Cash_Flow_3[Category],"Sedekah")</f>
        <v>0</v>
      </c>
      <c r="S884" s="29">
        <f>SUMIFS(Cash_Flow_3[Amount],Cash_Flow_3[Bulan],H884,Cash_Flow_3[Type],"Out",Cash_Flow_3[Category],"Zela")</f>
        <v>0</v>
      </c>
      <c r="T884" s="29">
        <f>SUMIFS(Cash_Flow_3[Amount],Cash_Flow_3[Bulan],H884,Cash_Flow_3[Type],"Out",Cash_Flow_3[Category],"Iqbal")</f>
        <v>0</v>
      </c>
    </row>
    <row r="885" spans="1:20" ht="22.5" customHeight="1" x14ac:dyDescent="0.2">
      <c r="A885" s="23"/>
      <c r="B885" s="24"/>
      <c r="C885" s="25"/>
      <c r="D885" s="25"/>
      <c r="E885" s="25"/>
      <c r="F885" s="26"/>
      <c r="G885" s="27"/>
      <c r="H885" s="28" t="str">
        <f t="shared" si="0"/>
        <v/>
      </c>
      <c r="I885" s="29">
        <f>SUMIFS(Cash_Flow_3[Amount],Cash_Flow_3[Bulan],H885,Cash_Flow_3[Type],"In")</f>
        <v>0</v>
      </c>
      <c r="J885" s="29">
        <f>SUMIFS(Cash_Flow_3[Amount],Cash_Flow_3[Bulan],H885,Cash_Flow_3[Type],"Out")</f>
        <v>0</v>
      </c>
      <c r="K885" s="29">
        <f>SUMIFS(Cash_Flow_3[Amount],Cash_Flow_3[Bulan],H885,Cash_Flow_3[Type],"Out",Cash_Flow_3[Category],"Fix")</f>
        <v>0</v>
      </c>
      <c r="L885" s="29">
        <f>SUMIFS(Cash_Flow_3[Amount],Cash_Flow_3[Bulan],H885,Cash_Flow_3[Type],"Out",Cash_Flow_3[Category],"Bathroom")</f>
        <v>0</v>
      </c>
      <c r="M885" s="29">
        <f>SUMIFS(Cash_Flow_3[Amount],Cash_Flow_3[Bulan],H885,Cash_Flow_3[Type],"Out",Cash_Flow_3[Category],"Alfa")</f>
        <v>0</v>
      </c>
      <c r="N885" s="29">
        <f>SUMIFS(Cash_Flow_3[Amount],Cash_Flow_3[Bulan],H885,Cash_Flow_3[Type],"Out",Cash_Flow_3[Category],"Jajan")</f>
        <v>0</v>
      </c>
      <c r="O885" s="29">
        <f>SUMIFS(Cash_Flow_3[Amount],Cash_Flow_3[Bulan],H885,Cash_Flow_3[Type],"Out",Cash_Flow_3[Category],"Kitchen")</f>
        <v>0</v>
      </c>
      <c r="P885" s="29">
        <f>SUMIFS(Cash_Flow_3[Amount],Cash_Flow_3[Bulan],H885,Cash_Flow_3[Type],"Out",Cash_Flow_3[Category],"Loandry")</f>
        <v>0</v>
      </c>
      <c r="Q885" s="29">
        <f>SUMIFS(Cash_Flow_3[Amount],Cash_Flow_3[Bulan],H885,Cash_Flow_3[Type],"Out",Cash_Flow_3[Category],"Mio")</f>
        <v>0</v>
      </c>
      <c r="R885" s="29">
        <f>SUMIFS(Cash_Flow_3[Amount],Cash_Flow_3[Bulan],H885,Cash_Flow_3[Type],"Out",Cash_Flow_3[Category],"Sedekah")</f>
        <v>0</v>
      </c>
      <c r="S885" s="29">
        <f>SUMIFS(Cash_Flow_3[Amount],Cash_Flow_3[Bulan],H885,Cash_Flow_3[Type],"Out",Cash_Flow_3[Category],"Zela")</f>
        <v>0</v>
      </c>
      <c r="T885" s="29">
        <f>SUMIFS(Cash_Flow_3[Amount],Cash_Flow_3[Bulan],H885,Cash_Flow_3[Type],"Out",Cash_Flow_3[Category],"Iqbal")</f>
        <v>0</v>
      </c>
    </row>
    <row r="886" spans="1:20" ht="22.5" customHeight="1" x14ac:dyDescent="0.2">
      <c r="A886" s="23"/>
      <c r="B886" s="24"/>
      <c r="C886" s="25"/>
      <c r="D886" s="25"/>
      <c r="E886" s="25"/>
      <c r="F886" s="26"/>
      <c r="G886" s="27"/>
      <c r="H886" s="28" t="str">
        <f t="shared" si="0"/>
        <v/>
      </c>
      <c r="I886" s="29">
        <f>SUMIFS(Cash_Flow_3[Amount],Cash_Flow_3[Bulan],H886,Cash_Flow_3[Type],"In")</f>
        <v>0</v>
      </c>
      <c r="J886" s="29">
        <f>SUMIFS(Cash_Flow_3[Amount],Cash_Flow_3[Bulan],H886,Cash_Flow_3[Type],"Out")</f>
        <v>0</v>
      </c>
      <c r="K886" s="29">
        <f>SUMIFS(Cash_Flow_3[Amount],Cash_Flow_3[Bulan],H886,Cash_Flow_3[Type],"Out",Cash_Flow_3[Category],"Fix")</f>
        <v>0</v>
      </c>
      <c r="L886" s="29">
        <f>SUMIFS(Cash_Flow_3[Amount],Cash_Flow_3[Bulan],H886,Cash_Flow_3[Type],"Out",Cash_Flow_3[Category],"Bathroom")</f>
        <v>0</v>
      </c>
      <c r="M886" s="29">
        <f>SUMIFS(Cash_Flow_3[Amount],Cash_Flow_3[Bulan],H886,Cash_Flow_3[Type],"Out",Cash_Flow_3[Category],"Alfa")</f>
        <v>0</v>
      </c>
      <c r="N886" s="29">
        <f>SUMIFS(Cash_Flow_3[Amount],Cash_Flow_3[Bulan],H886,Cash_Flow_3[Type],"Out",Cash_Flow_3[Category],"Jajan")</f>
        <v>0</v>
      </c>
      <c r="O886" s="29">
        <f>SUMIFS(Cash_Flow_3[Amount],Cash_Flow_3[Bulan],H886,Cash_Flow_3[Type],"Out",Cash_Flow_3[Category],"Kitchen")</f>
        <v>0</v>
      </c>
      <c r="P886" s="29">
        <f>SUMIFS(Cash_Flow_3[Amount],Cash_Flow_3[Bulan],H886,Cash_Flow_3[Type],"Out",Cash_Flow_3[Category],"Loandry")</f>
        <v>0</v>
      </c>
      <c r="Q886" s="29">
        <f>SUMIFS(Cash_Flow_3[Amount],Cash_Flow_3[Bulan],H886,Cash_Flow_3[Type],"Out",Cash_Flow_3[Category],"Mio")</f>
        <v>0</v>
      </c>
      <c r="R886" s="29">
        <f>SUMIFS(Cash_Flow_3[Amount],Cash_Flow_3[Bulan],H886,Cash_Flow_3[Type],"Out",Cash_Flow_3[Category],"Sedekah")</f>
        <v>0</v>
      </c>
      <c r="S886" s="29">
        <f>SUMIFS(Cash_Flow_3[Amount],Cash_Flow_3[Bulan],H886,Cash_Flow_3[Type],"Out",Cash_Flow_3[Category],"Zela")</f>
        <v>0</v>
      </c>
      <c r="T886" s="29">
        <f>SUMIFS(Cash_Flow_3[Amount],Cash_Flow_3[Bulan],H886,Cash_Flow_3[Type],"Out",Cash_Flow_3[Category],"Iqbal")</f>
        <v>0</v>
      </c>
    </row>
    <row r="887" spans="1:20" ht="22.5" customHeight="1" x14ac:dyDescent="0.2">
      <c r="A887" s="23"/>
      <c r="B887" s="24"/>
      <c r="C887" s="25"/>
      <c r="D887" s="25"/>
      <c r="E887" s="25"/>
      <c r="F887" s="26"/>
      <c r="G887" s="27"/>
      <c r="H887" s="28" t="str">
        <f t="shared" si="0"/>
        <v/>
      </c>
      <c r="I887" s="29">
        <f>SUMIFS(Cash_Flow_3[Amount],Cash_Flow_3[Bulan],H887,Cash_Flow_3[Type],"In")</f>
        <v>0</v>
      </c>
      <c r="J887" s="29">
        <f>SUMIFS(Cash_Flow_3[Amount],Cash_Flow_3[Bulan],H887,Cash_Flow_3[Type],"Out")</f>
        <v>0</v>
      </c>
      <c r="K887" s="29">
        <f>SUMIFS(Cash_Flow_3[Amount],Cash_Flow_3[Bulan],H887,Cash_Flow_3[Type],"Out",Cash_Flow_3[Category],"Fix")</f>
        <v>0</v>
      </c>
      <c r="L887" s="29">
        <f>SUMIFS(Cash_Flow_3[Amount],Cash_Flow_3[Bulan],H887,Cash_Flow_3[Type],"Out",Cash_Flow_3[Category],"Bathroom")</f>
        <v>0</v>
      </c>
      <c r="M887" s="29">
        <f>SUMIFS(Cash_Flow_3[Amount],Cash_Flow_3[Bulan],H887,Cash_Flow_3[Type],"Out",Cash_Flow_3[Category],"Alfa")</f>
        <v>0</v>
      </c>
      <c r="N887" s="29">
        <f>SUMIFS(Cash_Flow_3[Amount],Cash_Flow_3[Bulan],H887,Cash_Flow_3[Type],"Out",Cash_Flow_3[Category],"Jajan")</f>
        <v>0</v>
      </c>
      <c r="O887" s="29">
        <f>SUMIFS(Cash_Flow_3[Amount],Cash_Flow_3[Bulan],H887,Cash_Flow_3[Type],"Out",Cash_Flow_3[Category],"Kitchen")</f>
        <v>0</v>
      </c>
      <c r="P887" s="29">
        <f>SUMIFS(Cash_Flow_3[Amount],Cash_Flow_3[Bulan],H887,Cash_Flow_3[Type],"Out",Cash_Flow_3[Category],"Loandry")</f>
        <v>0</v>
      </c>
      <c r="Q887" s="29">
        <f>SUMIFS(Cash_Flow_3[Amount],Cash_Flow_3[Bulan],H887,Cash_Flow_3[Type],"Out",Cash_Flow_3[Category],"Mio")</f>
        <v>0</v>
      </c>
      <c r="R887" s="29">
        <f>SUMIFS(Cash_Flow_3[Amount],Cash_Flow_3[Bulan],H887,Cash_Flow_3[Type],"Out",Cash_Flow_3[Category],"Sedekah")</f>
        <v>0</v>
      </c>
      <c r="S887" s="29">
        <f>SUMIFS(Cash_Flow_3[Amount],Cash_Flow_3[Bulan],H887,Cash_Flow_3[Type],"Out",Cash_Flow_3[Category],"Zela")</f>
        <v>0</v>
      </c>
      <c r="T887" s="29">
        <f>SUMIFS(Cash_Flow_3[Amount],Cash_Flow_3[Bulan],H887,Cash_Flow_3[Type],"Out",Cash_Flow_3[Category],"Iqbal")</f>
        <v>0</v>
      </c>
    </row>
    <row r="888" spans="1:20" ht="22.5" customHeight="1" x14ac:dyDescent="0.2">
      <c r="A888" s="23"/>
      <c r="B888" s="24"/>
      <c r="C888" s="25"/>
      <c r="D888" s="25"/>
      <c r="E888" s="25"/>
      <c r="F888" s="26"/>
      <c r="G888" s="27"/>
      <c r="H888" s="28" t="str">
        <f t="shared" si="0"/>
        <v/>
      </c>
      <c r="I888" s="29">
        <f>SUMIFS(Cash_Flow_3[Amount],Cash_Flow_3[Bulan],H888,Cash_Flow_3[Type],"In")</f>
        <v>0</v>
      </c>
      <c r="J888" s="29">
        <f>SUMIFS(Cash_Flow_3[Amount],Cash_Flow_3[Bulan],H888,Cash_Flow_3[Type],"Out")</f>
        <v>0</v>
      </c>
      <c r="K888" s="29">
        <f>SUMIFS(Cash_Flow_3[Amount],Cash_Flow_3[Bulan],H888,Cash_Flow_3[Type],"Out",Cash_Flow_3[Category],"Fix")</f>
        <v>0</v>
      </c>
      <c r="L888" s="29">
        <f>SUMIFS(Cash_Flow_3[Amount],Cash_Flow_3[Bulan],H888,Cash_Flow_3[Type],"Out",Cash_Flow_3[Category],"Bathroom")</f>
        <v>0</v>
      </c>
      <c r="M888" s="29">
        <f>SUMIFS(Cash_Flow_3[Amount],Cash_Flow_3[Bulan],H888,Cash_Flow_3[Type],"Out",Cash_Flow_3[Category],"Alfa")</f>
        <v>0</v>
      </c>
      <c r="N888" s="29">
        <f>SUMIFS(Cash_Flow_3[Amount],Cash_Flow_3[Bulan],H888,Cash_Flow_3[Type],"Out",Cash_Flow_3[Category],"Jajan")</f>
        <v>0</v>
      </c>
      <c r="O888" s="29">
        <f>SUMIFS(Cash_Flow_3[Amount],Cash_Flow_3[Bulan],H888,Cash_Flow_3[Type],"Out",Cash_Flow_3[Category],"Kitchen")</f>
        <v>0</v>
      </c>
      <c r="P888" s="29">
        <f>SUMIFS(Cash_Flow_3[Amount],Cash_Flow_3[Bulan],H888,Cash_Flow_3[Type],"Out",Cash_Flow_3[Category],"Loandry")</f>
        <v>0</v>
      </c>
      <c r="Q888" s="29">
        <f>SUMIFS(Cash_Flow_3[Amount],Cash_Flow_3[Bulan],H888,Cash_Flow_3[Type],"Out",Cash_Flow_3[Category],"Mio")</f>
        <v>0</v>
      </c>
      <c r="R888" s="29">
        <f>SUMIFS(Cash_Flow_3[Amount],Cash_Flow_3[Bulan],H888,Cash_Flow_3[Type],"Out",Cash_Flow_3[Category],"Sedekah")</f>
        <v>0</v>
      </c>
      <c r="S888" s="29">
        <f>SUMIFS(Cash_Flow_3[Amount],Cash_Flow_3[Bulan],H888,Cash_Flow_3[Type],"Out",Cash_Flow_3[Category],"Zela")</f>
        <v>0</v>
      </c>
      <c r="T888" s="29">
        <f>SUMIFS(Cash_Flow_3[Amount],Cash_Flow_3[Bulan],H888,Cash_Flow_3[Type],"Out",Cash_Flow_3[Category],"Iqbal")</f>
        <v>0</v>
      </c>
    </row>
    <row r="889" spans="1:20" ht="22.5" customHeight="1" x14ac:dyDescent="0.2">
      <c r="A889" s="23"/>
      <c r="B889" s="24"/>
      <c r="C889" s="25"/>
      <c r="D889" s="25"/>
      <c r="E889" s="25"/>
      <c r="F889" s="26"/>
      <c r="G889" s="27"/>
      <c r="H889" s="28" t="str">
        <f t="shared" si="0"/>
        <v/>
      </c>
      <c r="I889" s="29">
        <f>SUMIFS(Cash_Flow_3[Amount],Cash_Flow_3[Bulan],H889,Cash_Flow_3[Type],"In")</f>
        <v>0</v>
      </c>
      <c r="J889" s="29">
        <f>SUMIFS(Cash_Flow_3[Amount],Cash_Flow_3[Bulan],H889,Cash_Flow_3[Type],"Out")</f>
        <v>0</v>
      </c>
      <c r="K889" s="29">
        <f>SUMIFS(Cash_Flow_3[Amount],Cash_Flow_3[Bulan],H889,Cash_Flow_3[Type],"Out",Cash_Flow_3[Category],"Fix")</f>
        <v>0</v>
      </c>
      <c r="L889" s="29">
        <f>SUMIFS(Cash_Flow_3[Amount],Cash_Flow_3[Bulan],H889,Cash_Flow_3[Type],"Out",Cash_Flow_3[Category],"Bathroom")</f>
        <v>0</v>
      </c>
      <c r="M889" s="29">
        <f>SUMIFS(Cash_Flow_3[Amount],Cash_Flow_3[Bulan],H889,Cash_Flow_3[Type],"Out",Cash_Flow_3[Category],"Alfa")</f>
        <v>0</v>
      </c>
      <c r="N889" s="29">
        <f>SUMIFS(Cash_Flow_3[Amount],Cash_Flow_3[Bulan],H889,Cash_Flow_3[Type],"Out",Cash_Flow_3[Category],"Jajan")</f>
        <v>0</v>
      </c>
      <c r="O889" s="29">
        <f>SUMIFS(Cash_Flow_3[Amount],Cash_Flow_3[Bulan],H889,Cash_Flow_3[Type],"Out",Cash_Flow_3[Category],"Kitchen")</f>
        <v>0</v>
      </c>
      <c r="P889" s="29">
        <f>SUMIFS(Cash_Flow_3[Amount],Cash_Flow_3[Bulan],H889,Cash_Flow_3[Type],"Out",Cash_Flow_3[Category],"Loandry")</f>
        <v>0</v>
      </c>
      <c r="Q889" s="29">
        <f>SUMIFS(Cash_Flow_3[Amount],Cash_Flow_3[Bulan],H889,Cash_Flow_3[Type],"Out",Cash_Flow_3[Category],"Mio")</f>
        <v>0</v>
      </c>
      <c r="R889" s="29">
        <f>SUMIFS(Cash_Flow_3[Amount],Cash_Flow_3[Bulan],H889,Cash_Flow_3[Type],"Out",Cash_Flow_3[Category],"Sedekah")</f>
        <v>0</v>
      </c>
      <c r="S889" s="29">
        <f>SUMIFS(Cash_Flow_3[Amount],Cash_Flow_3[Bulan],H889,Cash_Flow_3[Type],"Out",Cash_Flow_3[Category],"Zela")</f>
        <v>0</v>
      </c>
      <c r="T889" s="29">
        <f>SUMIFS(Cash_Flow_3[Amount],Cash_Flow_3[Bulan],H889,Cash_Flow_3[Type],"Out",Cash_Flow_3[Category],"Iqbal")</f>
        <v>0</v>
      </c>
    </row>
    <row r="890" spans="1:20" ht="22.5" customHeight="1" x14ac:dyDescent="0.2">
      <c r="A890" s="23"/>
      <c r="B890" s="24"/>
      <c r="C890" s="25"/>
      <c r="D890" s="25"/>
      <c r="E890" s="25"/>
      <c r="F890" s="26"/>
      <c r="G890" s="27"/>
      <c r="H890" s="28" t="str">
        <f t="shared" si="0"/>
        <v/>
      </c>
      <c r="I890" s="29">
        <f>SUMIFS(Cash_Flow_3[Amount],Cash_Flow_3[Bulan],H890,Cash_Flow_3[Type],"In")</f>
        <v>0</v>
      </c>
      <c r="J890" s="29">
        <f>SUMIFS(Cash_Flow_3[Amount],Cash_Flow_3[Bulan],H890,Cash_Flow_3[Type],"Out")</f>
        <v>0</v>
      </c>
      <c r="K890" s="29">
        <f>SUMIFS(Cash_Flow_3[Amount],Cash_Flow_3[Bulan],H890,Cash_Flow_3[Type],"Out",Cash_Flow_3[Category],"Fix")</f>
        <v>0</v>
      </c>
      <c r="L890" s="29">
        <f>SUMIFS(Cash_Flow_3[Amount],Cash_Flow_3[Bulan],H890,Cash_Flow_3[Type],"Out",Cash_Flow_3[Category],"Bathroom")</f>
        <v>0</v>
      </c>
      <c r="M890" s="29">
        <f>SUMIFS(Cash_Flow_3[Amount],Cash_Flow_3[Bulan],H890,Cash_Flow_3[Type],"Out",Cash_Flow_3[Category],"Alfa")</f>
        <v>0</v>
      </c>
      <c r="N890" s="29">
        <f>SUMIFS(Cash_Flow_3[Amount],Cash_Flow_3[Bulan],H890,Cash_Flow_3[Type],"Out",Cash_Flow_3[Category],"Jajan")</f>
        <v>0</v>
      </c>
      <c r="O890" s="29">
        <f>SUMIFS(Cash_Flow_3[Amount],Cash_Flow_3[Bulan],H890,Cash_Flow_3[Type],"Out",Cash_Flow_3[Category],"Kitchen")</f>
        <v>0</v>
      </c>
      <c r="P890" s="29">
        <f>SUMIFS(Cash_Flow_3[Amount],Cash_Flow_3[Bulan],H890,Cash_Flow_3[Type],"Out",Cash_Flow_3[Category],"Loandry")</f>
        <v>0</v>
      </c>
      <c r="Q890" s="29">
        <f>SUMIFS(Cash_Flow_3[Amount],Cash_Flow_3[Bulan],H890,Cash_Flow_3[Type],"Out",Cash_Flow_3[Category],"Mio")</f>
        <v>0</v>
      </c>
      <c r="R890" s="29">
        <f>SUMIFS(Cash_Flow_3[Amount],Cash_Flow_3[Bulan],H890,Cash_Flow_3[Type],"Out",Cash_Flow_3[Category],"Sedekah")</f>
        <v>0</v>
      </c>
      <c r="S890" s="29">
        <f>SUMIFS(Cash_Flow_3[Amount],Cash_Flow_3[Bulan],H890,Cash_Flow_3[Type],"Out",Cash_Flow_3[Category],"Zela")</f>
        <v>0</v>
      </c>
      <c r="T890" s="29">
        <f>SUMIFS(Cash_Flow_3[Amount],Cash_Flow_3[Bulan],H890,Cash_Flow_3[Type],"Out",Cash_Flow_3[Category],"Iqbal")</f>
        <v>0</v>
      </c>
    </row>
    <row r="891" spans="1:20" ht="22.5" customHeight="1" x14ac:dyDescent="0.2">
      <c r="A891" s="23"/>
      <c r="B891" s="24"/>
      <c r="C891" s="25"/>
      <c r="D891" s="25"/>
      <c r="E891" s="25"/>
      <c r="F891" s="26"/>
      <c r="G891" s="27"/>
      <c r="H891" s="28" t="str">
        <f t="shared" si="0"/>
        <v/>
      </c>
      <c r="I891" s="29">
        <f>SUMIFS(Cash_Flow_3[Amount],Cash_Flow_3[Bulan],H891,Cash_Flow_3[Type],"In")</f>
        <v>0</v>
      </c>
      <c r="J891" s="29">
        <f>SUMIFS(Cash_Flow_3[Amount],Cash_Flow_3[Bulan],H891,Cash_Flow_3[Type],"Out")</f>
        <v>0</v>
      </c>
      <c r="K891" s="29">
        <f>SUMIFS(Cash_Flow_3[Amount],Cash_Flow_3[Bulan],H891,Cash_Flow_3[Type],"Out",Cash_Flow_3[Category],"Fix")</f>
        <v>0</v>
      </c>
      <c r="L891" s="29">
        <f>SUMIFS(Cash_Flow_3[Amount],Cash_Flow_3[Bulan],H891,Cash_Flow_3[Type],"Out",Cash_Flow_3[Category],"Bathroom")</f>
        <v>0</v>
      </c>
      <c r="M891" s="29">
        <f>SUMIFS(Cash_Flow_3[Amount],Cash_Flow_3[Bulan],H891,Cash_Flow_3[Type],"Out",Cash_Flow_3[Category],"Alfa")</f>
        <v>0</v>
      </c>
      <c r="N891" s="29">
        <f>SUMIFS(Cash_Flow_3[Amount],Cash_Flow_3[Bulan],H891,Cash_Flow_3[Type],"Out",Cash_Flow_3[Category],"Jajan")</f>
        <v>0</v>
      </c>
      <c r="O891" s="29">
        <f>SUMIFS(Cash_Flow_3[Amount],Cash_Flow_3[Bulan],H891,Cash_Flow_3[Type],"Out",Cash_Flow_3[Category],"Kitchen")</f>
        <v>0</v>
      </c>
      <c r="P891" s="29">
        <f>SUMIFS(Cash_Flow_3[Amount],Cash_Flow_3[Bulan],H891,Cash_Flow_3[Type],"Out",Cash_Flow_3[Category],"Loandry")</f>
        <v>0</v>
      </c>
      <c r="Q891" s="29">
        <f>SUMIFS(Cash_Flow_3[Amount],Cash_Flow_3[Bulan],H891,Cash_Flow_3[Type],"Out",Cash_Flow_3[Category],"Mio")</f>
        <v>0</v>
      </c>
      <c r="R891" s="29">
        <f>SUMIFS(Cash_Flow_3[Amount],Cash_Flow_3[Bulan],H891,Cash_Flow_3[Type],"Out",Cash_Flow_3[Category],"Sedekah")</f>
        <v>0</v>
      </c>
      <c r="S891" s="29">
        <f>SUMIFS(Cash_Flow_3[Amount],Cash_Flow_3[Bulan],H891,Cash_Flow_3[Type],"Out",Cash_Flow_3[Category],"Zela")</f>
        <v>0</v>
      </c>
      <c r="T891" s="29">
        <f>SUMIFS(Cash_Flow_3[Amount],Cash_Flow_3[Bulan],H891,Cash_Flow_3[Type],"Out",Cash_Flow_3[Category],"Iqbal")</f>
        <v>0</v>
      </c>
    </row>
    <row r="892" spans="1:20" ht="22.5" customHeight="1" x14ac:dyDescent="0.2">
      <c r="A892" s="23"/>
      <c r="B892" s="24"/>
      <c r="C892" s="25"/>
      <c r="D892" s="25"/>
      <c r="E892" s="25"/>
      <c r="F892" s="26"/>
      <c r="G892" s="27"/>
      <c r="H892" s="28" t="str">
        <f t="shared" si="0"/>
        <v/>
      </c>
      <c r="I892" s="29">
        <f>SUMIFS(Cash_Flow_3[Amount],Cash_Flow_3[Bulan],H892,Cash_Flow_3[Type],"In")</f>
        <v>0</v>
      </c>
      <c r="J892" s="29">
        <f>SUMIFS(Cash_Flow_3[Amount],Cash_Flow_3[Bulan],H892,Cash_Flow_3[Type],"Out")</f>
        <v>0</v>
      </c>
      <c r="K892" s="29">
        <f>SUMIFS(Cash_Flow_3[Amount],Cash_Flow_3[Bulan],H892,Cash_Flow_3[Type],"Out",Cash_Flow_3[Category],"Fix")</f>
        <v>0</v>
      </c>
      <c r="L892" s="29">
        <f>SUMIFS(Cash_Flow_3[Amount],Cash_Flow_3[Bulan],H892,Cash_Flow_3[Type],"Out",Cash_Flow_3[Category],"Bathroom")</f>
        <v>0</v>
      </c>
      <c r="M892" s="29">
        <f>SUMIFS(Cash_Flow_3[Amount],Cash_Flow_3[Bulan],H892,Cash_Flow_3[Type],"Out",Cash_Flow_3[Category],"Alfa")</f>
        <v>0</v>
      </c>
      <c r="N892" s="29">
        <f>SUMIFS(Cash_Flow_3[Amount],Cash_Flow_3[Bulan],H892,Cash_Flow_3[Type],"Out",Cash_Flow_3[Category],"Jajan")</f>
        <v>0</v>
      </c>
      <c r="O892" s="29">
        <f>SUMIFS(Cash_Flow_3[Amount],Cash_Flow_3[Bulan],H892,Cash_Flow_3[Type],"Out",Cash_Flow_3[Category],"Kitchen")</f>
        <v>0</v>
      </c>
      <c r="P892" s="29">
        <f>SUMIFS(Cash_Flow_3[Amount],Cash_Flow_3[Bulan],H892,Cash_Flow_3[Type],"Out",Cash_Flow_3[Category],"Loandry")</f>
        <v>0</v>
      </c>
      <c r="Q892" s="29">
        <f>SUMIFS(Cash_Flow_3[Amount],Cash_Flow_3[Bulan],H892,Cash_Flow_3[Type],"Out",Cash_Flow_3[Category],"Mio")</f>
        <v>0</v>
      </c>
      <c r="R892" s="29">
        <f>SUMIFS(Cash_Flow_3[Amount],Cash_Flow_3[Bulan],H892,Cash_Flow_3[Type],"Out",Cash_Flow_3[Category],"Sedekah")</f>
        <v>0</v>
      </c>
      <c r="S892" s="29">
        <f>SUMIFS(Cash_Flow_3[Amount],Cash_Flow_3[Bulan],H892,Cash_Flow_3[Type],"Out",Cash_Flow_3[Category],"Zela")</f>
        <v>0</v>
      </c>
      <c r="T892" s="29">
        <f>SUMIFS(Cash_Flow_3[Amount],Cash_Flow_3[Bulan],H892,Cash_Flow_3[Type],"Out",Cash_Flow_3[Category],"Iqbal")</f>
        <v>0</v>
      </c>
    </row>
    <row r="893" spans="1:20" ht="22.5" customHeight="1" x14ac:dyDescent="0.2">
      <c r="A893" s="23"/>
      <c r="B893" s="24"/>
      <c r="C893" s="25"/>
      <c r="D893" s="25"/>
      <c r="E893" s="25"/>
      <c r="F893" s="26"/>
      <c r="G893" s="27"/>
      <c r="H893" s="28" t="str">
        <f t="shared" si="0"/>
        <v/>
      </c>
      <c r="I893" s="29">
        <f>SUMIFS(Cash_Flow_3[Amount],Cash_Flow_3[Bulan],H893,Cash_Flow_3[Type],"In")</f>
        <v>0</v>
      </c>
      <c r="J893" s="29">
        <f>SUMIFS(Cash_Flow_3[Amount],Cash_Flow_3[Bulan],H893,Cash_Flow_3[Type],"Out")</f>
        <v>0</v>
      </c>
      <c r="K893" s="29">
        <f>SUMIFS(Cash_Flow_3[Amount],Cash_Flow_3[Bulan],H893,Cash_Flow_3[Type],"Out",Cash_Flow_3[Category],"Fix")</f>
        <v>0</v>
      </c>
      <c r="L893" s="29">
        <f>SUMIFS(Cash_Flow_3[Amount],Cash_Flow_3[Bulan],H893,Cash_Flow_3[Type],"Out",Cash_Flow_3[Category],"Bathroom")</f>
        <v>0</v>
      </c>
      <c r="M893" s="29">
        <f>SUMIFS(Cash_Flow_3[Amount],Cash_Flow_3[Bulan],H893,Cash_Flow_3[Type],"Out",Cash_Flow_3[Category],"Alfa")</f>
        <v>0</v>
      </c>
      <c r="N893" s="29">
        <f>SUMIFS(Cash_Flow_3[Amount],Cash_Flow_3[Bulan],H893,Cash_Flow_3[Type],"Out",Cash_Flow_3[Category],"Jajan")</f>
        <v>0</v>
      </c>
      <c r="O893" s="29">
        <f>SUMIFS(Cash_Flow_3[Amount],Cash_Flow_3[Bulan],H893,Cash_Flow_3[Type],"Out",Cash_Flow_3[Category],"Kitchen")</f>
        <v>0</v>
      </c>
      <c r="P893" s="29">
        <f>SUMIFS(Cash_Flow_3[Amount],Cash_Flow_3[Bulan],H893,Cash_Flow_3[Type],"Out",Cash_Flow_3[Category],"Loandry")</f>
        <v>0</v>
      </c>
      <c r="Q893" s="29">
        <f>SUMIFS(Cash_Flow_3[Amount],Cash_Flow_3[Bulan],H893,Cash_Flow_3[Type],"Out",Cash_Flow_3[Category],"Mio")</f>
        <v>0</v>
      </c>
      <c r="R893" s="29">
        <f>SUMIFS(Cash_Flow_3[Amount],Cash_Flow_3[Bulan],H893,Cash_Flow_3[Type],"Out",Cash_Flow_3[Category],"Sedekah")</f>
        <v>0</v>
      </c>
      <c r="S893" s="29">
        <f>SUMIFS(Cash_Flow_3[Amount],Cash_Flow_3[Bulan],H893,Cash_Flow_3[Type],"Out",Cash_Flow_3[Category],"Zela")</f>
        <v>0</v>
      </c>
      <c r="T893" s="29">
        <f>SUMIFS(Cash_Flow_3[Amount],Cash_Flow_3[Bulan],H893,Cash_Flow_3[Type],"Out",Cash_Flow_3[Category],"Iqbal")</f>
        <v>0</v>
      </c>
    </row>
    <row r="894" spans="1:20" ht="22.5" customHeight="1" x14ac:dyDescent="0.2">
      <c r="A894" s="23"/>
      <c r="B894" s="24"/>
      <c r="C894" s="25"/>
      <c r="D894" s="25"/>
      <c r="E894" s="25"/>
      <c r="F894" s="26"/>
      <c r="G894" s="27"/>
      <c r="H894" s="28" t="str">
        <f t="shared" si="0"/>
        <v/>
      </c>
      <c r="I894" s="29">
        <f>SUMIFS(Cash_Flow_3[Amount],Cash_Flow_3[Bulan],H894,Cash_Flow_3[Type],"In")</f>
        <v>0</v>
      </c>
      <c r="J894" s="29">
        <f>SUMIFS(Cash_Flow_3[Amount],Cash_Flow_3[Bulan],H894,Cash_Flow_3[Type],"Out")</f>
        <v>0</v>
      </c>
      <c r="K894" s="29">
        <f>SUMIFS(Cash_Flow_3[Amount],Cash_Flow_3[Bulan],H894,Cash_Flow_3[Type],"Out",Cash_Flow_3[Category],"Fix")</f>
        <v>0</v>
      </c>
      <c r="L894" s="29">
        <f>SUMIFS(Cash_Flow_3[Amount],Cash_Flow_3[Bulan],H894,Cash_Flow_3[Type],"Out",Cash_Flow_3[Category],"Bathroom")</f>
        <v>0</v>
      </c>
      <c r="M894" s="29">
        <f>SUMIFS(Cash_Flow_3[Amount],Cash_Flow_3[Bulan],H894,Cash_Flow_3[Type],"Out",Cash_Flow_3[Category],"Alfa")</f>
        <v>0</v>
      </c>
      <c r="N894" s="29">
        <f>SUMIFS(Cash_Flow_3[Amount],Cash_Flow_3[Bulan],H894,Cash_Flow_3[Type],"Out",Cash_Flow_3[Category],"Jajan")</f>
        <v>0</v>
      </c>
      <c r="O894" s="29">
        <f>SUMIFS(Cash_Flow_3[Amount],Cash_Flow_3[Bulan],H894,Cash_Flow_3[Type],"Out",Cash_Flow_3[Category],"Kitchen")</f>
        <v>0</v>
      </c>
      <c r="P894" s="29">
        <f>SUMIFS(Cash_Flow_3[Amount],Cash_Flow_3[Bulan],H894,Cash_Flow_3[Type],"Out",Cash_Flow_3[Category],"Loandry")</f>
        <v>0</v>
      </c>
      <c r="Q894" s="29">
        <f>SUMIFS(Cash_Flow_3[Amount],Cash_Flow_3[Bulan],H894,Cash_Flow_3[Type],"Out",Cash_Flow_3[Category],"Mio")</f>
        <v>0</v>
      </c>
      <c r="R894" s="29">
        <f>SUMIFS(Cash_Flow_3[Amount],Cash_Flow_3[Bulan],H894,Cash_Flow_3[Type],"Out",Cash_Flow_3[Category],"Sedekah")</f>
        <v>0</v>
      </c>
      <c r="S894" s="29">
        <f>SUMIFS(Cash_Flow_3[Amount],Cash_Flow_3[Bulan],H894,Cash_Flow_3[Type],"Out",Cash_Flow_3[Category],"Zela")</f>
        <v>0</v>
      </c>
      <c r="T894" s="29">
        <f>SUMIFS(Cash_Flow_3[Amount],Cash_Flow_3[Bulan],H894,Cash_Flow_3[Type],"Out",Cash_Flow_3[Category],"Iqbal")</f>
        <v>0</v>
      </c>
    </row>
    <row r="895" spans="1:20" ht="22.5" customHeight="1" x14ac:dyDescent="0.2">
      <c r="A895" s="23"/>
      <c r="B895" s="24"/>
      <c r="C895" s="25"/>
      <c r="D895" s="25"/>
      <c r="E895" s="25"/>
      <c r="F895" s="26"/>
      <c r="G895" s="27"/>
      <c r="H895" s="28" t="str">
        <f t="shared" si="0"/>
        <v/>
      </c>
      <c r="I895" s="29">
        <f>SUMIFS(Cash_Flow_3[Amount],Cash_Flow_3[Bulan],H895,Cash_Flow_3[Type],"In")</f>
        <v>0</v>
      </c>
      <c r="J895" s="29">
        <f>SUMIFS(Cash_Flow_3[Amount],Cash_Flow_3[Bulan],H895,Cash_Flow_3[Type],"Out")</f>
        <v>0</v>
      </c>
      <c r="K895" s="29">
        <f>SUMIFS(Cash_Flow_3[Amount],Cash_Flow_3[Bulan],H895,Cash_Flow_3[Type],"Out",Cash_Flow_3[Category],"Fix")</f>
        <v>0</v>
      </c>
      <c r="L895" s="29">
        <f>SUMIFS(Cash_Flow_3[Amount],Cash_Flow_3[Bulan],H895,Cash_Flow_3[Type],"Out",Cash_Flow_3[Category],"Bathroom")</f>
        <v>0</v>
      </c>
      <c r="M895" s="29">
        <f>SUMIFS(Cash_Flow_3[Amount],Cash_Flow_3[Bulan],H895,Cash_Flow_3[Type],"Out",Cash_Flow_3[Category],"Alfa")</f>
        <v>0</v>
      </c>
      <c r="N895" s="29">
        <f>SUMIFS(Cash_Flow_3[Amount],Cash_Flow_3[Bulan],H895,Cash_Flow_3[Type],"Out",Cash_Flow_3[Category],"Jajan")</f>
        <v>0</v>
      </c>
      <c r="O895" s="29">
        <f>SUMIFS(Cash_Flow_3[Amount],Cash_Flow_3[Bulan],H895,Cash_Flow_3[Type],"Out",Cash_Flow_3[Category],"Kitchen")</f>
        <v>0</v>
      </c>
      <c r="P895" s="29">
        <f>SUMIFS(Cash_Flow_3[Amount],Cash_Flow_3[Bulan],H895,Cash_Flow_3[Type],"Out",Cash_Flow_3[Category],"Loandry")</f>
        <v>0</v>
      </c>
      <c r="Q895" s="29">
        <f>SUMIFS(Cash_Flow_3[Amount],Cash_Flow_3[Bulan],H895,Cash_Flow_3[Type],"Out",Cash_Flow_3[Category],"Mio")</f>
        <v>0</v>
      </c>
      <c r="R895" s="29">
        <f>SUMIFS(Cash_Flow_3[Amount],Cash_Flow_3[Bulan],H895,Cash_Flow_3[Type],"Out",Cash_Flow_3[Category],"Sedekah")</f>
        <v>0</v>
      </c>
      <c r="S895" s="29">
        <f>SUMIFS(Cash_Flow_3[Amount],Cash_Flow_3[Bulan],H895,Cash_Flow_3[Type],"Out",Cash_Flow_3[Category],"Zela")</f>
        <v>0</v>
      </c>
      <c r="T895" s="29">
        <f>SUMIFS(Cash_Flow_3[Amount],Cash_Flow_3[Bulan],H895,Cash_Flow_3[Type],"Out",Cash_Flow_3[Category],"Iqbal")</f>
        <v>0</v>
      </c>
    </row>
    <row r="896" spans="1:20" ht="22.5" customHeight="1" x14ac:dyDescent="0.2">
      <c r="A896" s="23"/>
      <c r="B896" s="24"/>
      <c r="C896" s="25"/>
      <c r="D896" s="25"/>
      <c r="E896" s="25"/>
      <c r="F896" s="26"/>
      <c r="G896" s="27"/>
      <c r="H896" s="28" t="str">
        <f t="shared" si="0"/>
        <v/>
      </c>
      <c r="I896" s="29">
        <f>SUMIFS(Cash_Flow_3[Amount],Cash_Flow_3[Bulan],H896,Cash_Flow_3[Type],"In")</f>
        <v>0</v>
      </c>
      <c r="J896" s="29">
        <f>SUMIFS(Cash_Flow_3[Amount],Cash_Flow_3[Bulan],H896,Cash_Flow_3[Type],"Out")</f>
        <v>0</v>
      </c>
      <c r="K896" s="29">
        <f>SUMIFS(Cash_Flow_3[Amount],Cash_Flow_3[Bulan],H896,Cash_Flow_3[Type],"Out",Cash_Flow_3[Category],"Fix")</f>
        <v>0</v>
      </c>
      <c r="L896" s="29">
        <f>SUMIFS(Cash_Flow_3[Amount],Cash_Flow_3[Bulan],H896,Cash_Flow_3[Type],"Out",Cash_Flow_3[Category],"Bathroom")</f>
        <v>0</v>
      </c>
      <c r="M896" s="29">
        <f>SUMIFS(Cash_Flow_3[Amount],Cash_Flow_3[Bulan],H896,Cash_Flow_3[Type],"Out",Cash_Flow_3[Category],"Alfa")</f>
        <v>0</v>
      </c>
      <c r="N896" s="29">
        <f>SUMIFS(Cash_Flow_3[Amount],Cash_Flow_3[Bulan],H896,Cash_Flow_3[Type],"Out",Cash_Flow_3[Category],"Jajan")</f>
        <v>0</v>
      </c>
      <c r="O896" s="29">
        <f>SUMIFS(Cash_Flow_3[Amount],Cash_Flow_3[Bulan],H896,Cash_Flow_3[Type],"Out",Cash_Flow_3[Category],"Kitchen")</f>
        <v>0</v>
      </c>
      <c r="P896" s="29">
        <f>SUMIFS(Cash_Flow_3[Amount],Cash_Flow_3[Bulan],H896,Cash_Flow_3[Type],"Out",Cash_Flow_3[Category],"Loandry")</f>
        <v>0</v>
      </c>
      <c r="Q896" s="29">
        <f>SUMIFS(Cash_Flow_3[Amount],Cash_Flow_3[Bulan],H896,Cash_Flow_3[Type],"Out",Cash_Flow_3[Category],"Mio")</f>
        <v>0</v>
      </c>
      <c r="R896" s="29">
        <f>SUMIFS(Cash_Flow_3[Amount],Cash_Flow_3[Bulan],H896,Cash_Flow_3[Type],"Out",Cash_Flow_3[Category],"Sedekah")</f>
        <v>0</v>
      </c>
      <c r="S896" s="29">
        <f>SUMIFS(Cash_Flow_3[Amount],Cash_Flow_3[Bulan],H896,Cash_Flow_3[Type],"Out",Cash_Flow_3[Category],"Zela")</f>
        <v>0</v>
      </c>
      <c r="T896" s="29">
        <f>SUMIFS(Cash_Flow_3[Amount],Cash_Flow_3[Bulan],H896,Cash_Flow_3[Type],"Out",Cash_Flow_3[Category],"Iqbal")</f>
        <v>0</v>
      </c>
    </row>
    <row r="897" spans="1:20" ht="22.5" customHeight="1" x14ac:dyDescent="0.2">
      <c r="A897" s="23"/>
      <c r="B897" s="24"/>
      <c r="C897" s="25"/>
      <c r="D897" s="25"/>
      <c r="E897" s="25"/>
      <c r="F897" s="26"/>
      <c r="G897" s="27"/>
      <c r="H897" s="28" t="str">
        <f t="shared" si="0"/>
        <v/>
      </c>
      <c r="I897" s="29">
        <f>SUMIFS(Cash_Flow_3[Amount],Cash_Flow_3[Bulan],H897,Cash_Flow_3[Type],"In")</f>
        <v>0</v>
      </c>
      <c r="J897" s="29">
        <f>SUMIFS(Cash_Flow_3[Amount],Cash_Flow_3[Bulan],H897,Cash_Flow_3[Type],"Out")</f>
        <v>0</v>
      </c>
      <c r="K897" s="29">
        <f>SUMIFS(Cash_Flow_3[Amount],Cash_Flow_3[Bulan],H897,Cash_Flow_3[Type],"Out",Cash_Flow_3[Category],"Fix")</f>
        <v>0</v>
      </c>
      <c r="L897" s="29">
        <f>SUMIFS(Cash_Flow_3[Amount],Cash_Flow_3[Bulan],H897,Cash_Flow_3[Type],"Out",Cash_Flow_3[Category],"Bathroom")</f>
        <v>0</v>
      </c>
      <c r="M897" s="29">
        <f>SUMIFS(Cash_Flow_3[Amount],Cash_Flow_3[Bulan],H897,Cash_Flow_3[Type],"Out",Cash_Flow_3[Category],"Alfa")</f>
        <v>0</v>
      </c>
      <c r="N897" s="29">
        <f>SUMIFS(Cash_Flow_3[Amount],Cash_Flow_3[Bulan],H897,Cash_Flow_3[Type],"Out",Cash_Flow_3[Category],"Jajan")</f>
        <v>0</v>
      </c>
      <c r="O897" s="29">
        <f>SUMIFS(Cash_Flow_3[Amount],Cash_Flow_3[Bulan],H897,Cash_Flow_3[Type],"Out",Cash_Flow_3[Category],"Kitchen")</f>
        <v>0</v>
      </c>
      <c r="P897" s="29">
        <f>SUMIFS(Cash_Flow_3[Amount],Cash_Flow_3[Bulan],H897,Cash_Flow_3[Type],"Out",Cash_Flow_3[Category],"Loandry")</f>
        <v>0</v>
      </c>
      <c r="Q897" s="29">
        <f>SUMIFS(Cash_Flow_3[Amount],Cash_Flow_3[Bulan],H897,Cash_Flow_3[Type],"Out",Cash_Flow_3[Category],"Mio")</f>
        <v>0</v>
      </c>
      <c r="R897" s="29">
        <f>SUMIFS(Cash_Flow_3[Amount],Cash_Flow_3[Bulan],H897,Cash_Flow_3[Type],"Out",Cash_Flow_3[Category],"Sedekah")</f>
        <v>0</v>
      </c>
      <c r="S897" s="29">
        <f>SUMIFS(Cash_Flow_3[Amount],Cash_Flow_3[Bulan],H897,Cash_Flow_3[Type],"Out",Cash_Flow_3[Category],"Zela")</f>
        <v>0</v>
      </c>
      <c r="T897" s="29">
        <f>SUMIFS(Cash_Flow_3[Amount],Cash_Flow_3[Bulan],H897,Cash_Flow_3[Type],"Out",Cash_Flow_3[Category],"Iqbal")</f>
        <v>0</v>
      </c>
    </row>
    <row r="898" spans="1:20" ht="22.5" customHeight="1" x14ac:dyDescent="0.2">
      <c r="A898" s="23"/>
      <c r="B898" s="24"/>
      <c r="C898" s="25"/>
      <c r="D898" s="25"/>
      <c r="E898" s="25"/>
      <c r="F898" s="26"/>
      <c r="G898" s="27"/>
      <c r="H898" s="28" t="str">
        <f t="shared" si="0"/>
        <v/>
      </c>
      <c r="I898" s="29">
        <f>SUMIFS(Cash_Flow_3[Amount],Cash_Flow_3[Bulan],H898,Cash_Flow_3[Type],"In")</f>
        <v>0</v>
      </c>
      <c r="J898" s="29">
        <f>SUMIFS(Cash_Flow_3[Amount],Cash_Flow_3[Bulan],H898,Cash_Flow_3[Type],"Out")</f>
        <v>0</v>
      </c>
      <c r="K898" s="29">
        <f>SUMIFS(Cash_Flow_3[Amount],Cash_Flow_3[Bulan],H898,Cash_Flow_3[Type],"Out",Cash_Flow_3[Category],"Fix")</f>
        <v>0</v>
      </c>
      <c r="L898" s="29">
        <f>SUMIFS(Cash_Flow_3[Amount],Cash_Flow_3[Bulan],H898,Cash_Flow_3[Type],"Out",Cash_Flow_3[Category],"Bathroom")</f>
        <v>0</v>
      </c>
      <c r="M898" s="29">
        <f>SUMIFS(Cash_Flow_3[Amount],Cash_Flow_3[Bulan],H898,Cash_Flow_3[Type],"Out",Cash_Flow_3[Category],"Alfa")</f>
        <v>0</v>
      </c>
      <c r="N898" s="29">
        <f>SUMIFS(Cash_Flow_3[Amount],Cash_Flow_3[Bulan],H898,Cash_Flow_3[Type],"Out",Cash_Flow_3[Category],"Jajan")</f>
        <v>0</v>
      </c>
      <c r="O898" s="29">
        <f>SUMIFS(Cash_Flow_3[Amount],Cash_Flow_3[Bulan],H898,Cash_Flow_3[Type],"Out",Cash_Flow_3[Category],"Kitchen")</f>
        <v>0</v>
      </c>
      <c r="P898" s="29">
        <f>SUMIFS(Cash_Flow_3[Amount],Cash_Flow_3[Bulan],H898,Cash_Flow_3[Type],"Out",Cash_Flow_3[Category],"Loandry")</f>
        <v>0</v>
      </c>
      <c r="Q898" s="29">
        <f>SUMIFS(Cash_Flow_3[Amount],Cash_Flow_3[Bulan],H898,Cash_Flow_3[Type],"Out",Cash_Flow_3[Category],"Mio")</f>
        <v>0</v>
      </c>
      <c r="R898" s="29">
        <f>SUMIFS(Cash_Flow_3[Amount],Cash_Flow_3[Bulan],H898,Cash_Flow_3[Type],"Out",Cash_Flow_3[Category],"Sedekah")</f>
        <v>0</v>
      </c>
      <c r="S898" s="29">
        <f>SUMIFS(Cash_Flow_3[Amount],Cash_Flow_3[Bulan],H898,Cash_Flow_3[Type],"Out",Cash_Flow_3[Category],"Zela")</f>
        <v>0</v>
      </c>
      <c r="T898" s="29">
        <f>SUMIFS(Cash_Flow_3[Amount],Cash_Flow_3[Bulan],H898,Cash_Flow_3[Type],"Out",Cash_Flow_3[Category],"Iqbal")</f>
        <v>0</v>
      </c>
    </row>
    <row r="899" spans="1:20" ht="22.5" customHeight="1" x14ac:dyDescent="0.2">
      <c r="A899" s="23"/>
      <c r="B899" s="24"/>
      <c r="C899" s="25"/>
      <c r="D899" s="25"/>
      <c r="E899" s="25"/>
      <c r="F899" s="26"/>
      <c r="G899" s="27"/>
      <c r="H899" s="28" t="str">
        <f t="shared" si="0"/>
        <v/>
      </c>
      <c r="I899" s="29">
        <f>SUMIFS(Cash_Flow_3[Amount],Cash_Flow_3[Bulan],H899,Cash_Flow_3[Type],"In")</f>
        <v>0</v>
      </c>
      <c r="J899" s="29">
        <f>SUMIFS(Cash_Flow_3[Amount],Cash_Flow_3[Bulan],H899,Cash_Flow_3[Type],"Out")</f>
        <v>0</v>
      </c>
      <c r="K899" s="29">
        <f>SUMIFS(Cash_Flow_3[Amount],Cash_Flow_3[Bulan],H899,Cash_Flow_3[Type],"Out",Cash_Flow_3[Category],"Fix")</f>
        <v>0</v>
      </c>
      <c r="L899" s="29">
        <f>SUMIFS(Cash_Flow_3[Amount],Cash_Flow_3[Bulan],H899,Cash_Flow_3[Type],"Out",Cash_Flow_3[Category],"Bathroom")</f>
        <v>0</v>
      </c>
      <c r="M899" s="29">
        <f>SUMIFS(Cash_Flow_3[Amount],Cash_Flow_3[Bulan],H899,Cash_Flow_3[Type],"Out",Cash_Flow_3[Category],"Alfa")</f>
        <v>0</v>
      </c>
      <c r="N899" s="29">
        <f>SUMIFS(Cash_Flow_3[Amount],Cash_Flow_3[Bulan],H899,Cash_Flow_3[Type],"Out",Cash_Flow_3[Category],"Jajan")</f>
        <v>0</v>
      </c>
      <c r="O899" s="29">
        <f>SUMIFS(Cash_Flow_3[Amount],Cash_Flow_3[Bulan],H899,Cash_Flow_3[Type],"Out",Cash_Flow_3[Category],"Kitchen")</f>
        <v>0</v>
      </c>
      <c r="P899" s="29">
        <f>SUMIFS(Cash_Flow_3[Amount],Cash_Flow_3[Bulan],H899,Cash_Flow_3[Type],"Out",Cash_Flow_3[Category],"Loandry")</f>
        <v>0</v>
      </c>
      <c r="Q899" s="29">
        <f>SUMIFS(Cash_Flow_3[Amount],Cash_Flow_3[Bulan],H899,Cash_Flow_3[Type],"Out",Cash_Flow_3[Category],"Mio")</f>
        <v>0</v>
      </c>
      <c r="R899" s="29">
        <f>SUMIFS(Cash_Flow_3[Amount],Cash_Flow_3[Bulan],H899,Cash_Flow_3[Type],"Out",Cash_Flow_3[Category],"Sedekah")</f>
        <v>0</v>
      </c>
      <c r="S899" s="29">
        <f>SUMIFS(Cash_Flow_3[Amount],Cash_Flow_3[Bulan],H899,Cash_Flow_3[Type],"Out",Cash_Flow_3[Category],"Zela")</f>
        <v>0</v>
      </c>
      <c r="T899" s="29">
        <f>SUMIFS(Cash_Flow_3[Amount],Cash_Flow_3[Bulan],H899,Cash_Flow_3[Type],"Out",Cash_Flow_3[Category],"Iqbal")</f>
        <v>0</v>
      </c>
    </row>
    <row r="900" spans="1:20" ht="22.5" customHeight="1" x14ac:dyDescent="0.2">
      <c r="A900" s="23"/>
      <c r="B900" s="24"/>
      <c r="C900" s="25"/>
      <c r="D900" s="25"/>
      <c r="E900" s="25"/>
      <c r="F900" s="26"/>
      <c r="G900" s="27"/>
      <c r="H900" s="28" t="str">
        <f t="shared" si="0"/>
        <v/>
      </c>
      <c r="I900" s="29">
        <f>SUMIFS(Cash_Flow_3[Amount],Cash_Flow_3[Bulan],H900,Cash_Flow_3[Type],"In")</f>
        <v>0</v>
      </c>
      <c r="J900" s="29">
        <f>SUMIFS(Cash_Flow_3[Amount],Cash_Flow_3[Bulan],H900,Cash_Flow_3[Type],"Out")</f>
        <v>0</v>
      </c>
      <c r="K900" s="29">
        <f>SUMIFS(Cash_Flow_3[Amount],Cash_Flow_3[Bulan],H900,Cash_Flow_3[Type],"Out",Cash_Flow_3[Category],"Fix")</f>
        <v>0</v>
      </c>
      <c r="L900" s="29">
        <f>SUMIFS(Cash_Flow_3[Amount],Cash_Flow_3[Bulan],H900,Cash_Flow_3[Type],"Out",Cash_Flow_3[Category],"Bathroom")</f>
        <v>0</v>
      </c>
      <c r="M900" s="29">
        <f>SUMIFS(Cash_Flow_3[Amount],Cash_Flow_3[Bulan],H900,Cash_Flow_3[Type],"Out",Cash_Flow_3[Category],"Alfa")</f>
        <v>0</v>
      </c>
      <c r="N900" s="29">
        <f>SUMIFS(Cash_Flow_3[Amount],Cash_Flow_3[Bulan],H900,Cash_Flow_3[Type],"Out",Cash_Flow_3[Category],"Jajan")</f>
        <v>0</v>
      </c>
      <c r="O900" s="29">
        <f>SUMIFS(Cash_Flow_3[Amount],Cash_Flow_3[Bulan],H900,Cash_Flow_3[Type],"Out",Cash_Flow_3[Category],"Kitchen")</f>
        <v>0</v>
      </c>
      <c r="P900" s="29">
        <f>SUMIFS(Cash_Flow_3[Amount],Cash_Flow_3[Bulan],H900,Cash_Flow_3[Type],"Out",Cash_Flow_3[Category],"Loandry")</f>
        <v>0</v>
      </c>
      <c r="Q900" s="29">
        <f>SUMIFS(Cash_Flow_3[Amount],Cash_Flow_3[Bulan],H900,Cash_Flow_3[Type],"Out",Cash_Flow_3[Category],"Mio")</f>
        <v>0</v>
      </c>
      <c r="R900" s="29">
        <f>SUMIFS(Cash_Flow_3[Amount],Cash_Flow_3[Bulan],H900,Cash_Flow_3[Type],"Out",Cash_Flow_3[Category],"Sedekah")</f>
        <v>0</v>
      </c>
      <c r="S900" s="29">
        <f>SUMIFS(Cash_Flow_3[Amount],Cash_Flow_3[Bulan],H900,Cash_Flow_3[Type],"Out",Cash_Flow_3[Category],"Zela")</f>
        <v>0</v>
      </c>
      <c r="T900" s="29">
        <f>SUMIFS(Cash_Flow_3[Amount],Cash_Flow_3[Bulan],H900,Cash_Flow_3[Type],"Out",Cash_Flow_3[Category],"Iqbal")</f>
        <v>0</v>
      </c>
    </row>
    <row r="901" spans="1:20" ht="22.5" customHeight="1" x14ac:dyDescent="0.2">
      <c r="A901" s="23"/>
      <c r="B901" s="24"/>
      <c r="C901" s="25"/>
      <c r="D901" s="25"/>
      <c r="E901" s="25"/>
      <c r="F901" s="26"/>
      <c r="G901" s="27"/>
      <c r="H901" s="28" t="str">
        <f t="shared" si="0"/>
        <v/>
      </c>
      <c r="I901" s="29">
        <f>SUMIFS(Cash_Flow_3[Amount],Cash_Flow_3[Bulan],H901,Cash_Flow_3[Type],"In")</f>
        <v>0</v>
      </c>
      <c r="J901" s="29">
        <f>SUMIFS(Cash_Flow_3[Amount],Cash_Flow_3[Bulan],H901,Cash_Flow_3[Type],"Out")</f>
        <v>0</v>
      </c>
      <c r="K901" s="29">
        <f>SUMIFS(Cash_Flow_3[Amount],Cash_Flow_3[Bulan],H901,Cash_Flow_3[Type],"Out",Cash_Flow_3[Category],"Fix")</f>
        <v>0</v>
      </c>
      <c r="L901" s="29">
        <f>SUMIFS(Cash_Flow_3[Amount],Cash_Flow_3[Bulan],H901,Cash_Flow_3[Type],"Out",Cash_Flow_3[Category],"Bathroom")</f>
        <v>0</v>
      </c>
      <c r="M901" s="29">
        <f>SUMIFS(Cash_Flow_3[Amount],Cash_Flow_3[Bulan],H901,Cash_Flow_3[Type],"Out",Cash_Flow_3[Category],"Alfa")</f>
        <v>0</v>
      </c>
      <c r="N901" s="29">
        <f>SUMIFS(Cash_Flow_3[Amount],Cash_Flow_3[Bulan],H901,Cash_Flow_3[Type],"Out",Cash_Flow_3[Category],"Jajan")</f>
        <v>0</v>
      </c>
      <c r="O901" s="29">
        <f>SUMIFS(Cash_Flow_3[Amount],Cash_Flow_3[Bulan],H901,Cash_Flow_3[Type],"Out",Cash_Flow_3[Category],"Kitchen")</f>
        <v>0</v>
      </c>
      <c r="P901" s="29">
        <f>SUMIFS(Cash_Flow_3[Amount],Cash_Flow_3[Bulan],H901,Cash_Flow_3[Type],"Out",Cash_Flow_3[Category],"Loandry")</f>
        <v>0</v>
      </c>
      <c r="Q901" s="29">
        <f>SUMIFS(Cash_Flow_3[Amount],Cash_Flow_3[Bulan],H901,Cash_Flow_3[Type],"Out",Cash_Flow_3[Category],"Mio")</f>
        <v>0</v>
      </c>
      <c r="R901" s="29">
        <f>SUMIFS(Cash_Flow_3[Amount],Cash_Flow_3[Bulan],H901,Cash_Flow_3[Type],"Out",Cash_Flow_3[Category],"Sedekah")</f>
        <v>0</v>
      </c>
      <c r="S901" s="29">
        <f>SUMIFS(Cash_Flow_3[Amount],Cash_Flow_3[Bulan],H901,Cash_Flow_3[Type],"Out",Cash_Flow_3[Category],"Zela")</f>
        <v>0</v>
      </c>
      <c r="T901" s="29">
        <f>SUMIFS(Cash_Flow_3[Amount],Cash_Flow_3[Bulan],H901,Cash_Flow_3[Type],"Out",Cash_Flow_3[Category],"Iqbal")</f>
        <v>0</v>
      </c>
    </row>
    <row r="902" spans="1:20" ht="22.5" customHeight="1" x14ac:dyDescent="0.2">
      <c r="A902" s="23"/>
      <c r="B902" s="24"/>
      <c r="C902" s="25"/>
      <c r="D902" s="25"/>
      <c r="E902" s="25"/>
      <c r="F902" s="26"/>
      <c r="G902" s="27"/>
      <c r="H902" s="28" t="str">
        <f t="shared" si="0"/>
        <v/>
      </c>
      <c r="I902" s="29">
        <f>SUMIFS(Cash_Flow_3[Amount],Cash_Flow_3[Bulan],H902,Cash_Flow_3[Type],"In")</f>
        <v>0</v>
      </c>
      <c r="J902" s="29">
        <f>SUMIFS(Cash_Flow_3[Amount],Cash_Flow_3[Bulan],H902,Cash_Flow_3[Type],"Out")</f>
        <v>0</v>
      </c>
      <c r="K902" s="29">
        <f>SUMIFS(Cash_Flow_3[Amount],Cash_Flow_3[Bulan],H902,Cash_Flow_3[Type],"Out",Cash_Flow_3[Category],"Fix")</f>
        <v>0</v>
      </c>
      <c r="L902" s="29">
        <f>SUMIFS(Cash_Flow_3[Amount],Cash_Flow_3[Bulan],H902,Cash_Flow_3[Type],"Out",Cash_Flow_3[Category],"Bathroom")</f>
        <v>0</v>
      </c>
      <c r="M902" s="29">
        <f>SUMIFS(Cash_Flow_3[Amount],Cash_Flow_3[Bulan],H902,Cash_Flow_3[Type],"Out",Cash_Flow_3[Category],"Alfa")</f>
        <v>0</v>
      </c>
      <c r="N902" s="29">
        <f>SUMIFS(Cash_Flow_3[Amount],Cash_Flow_3[Bulan],H902,Cash_Flow_3[Type],"Out",Cash_Flow_3[Category],"Jajan")</f>
        <v>0</v>
      </c>
      <c r="O902" s="29">
        <f>SUMIFS(Cash_Flow_3[Amount],Cash_Flow_3[Bulan],H902,Cash_Flow_3[Type],"Out",Cash_Flow_3[Category],"Kitchen")</f>
        <v>0</v>
      </c>
      <c r="P902" s="29">
        <f>SUMIFS(Cash_Flow_3[Amount],Cash_Flow_3[Bulan],H902,Cash_Flow_3[Type],"Out",Cash_Flow_3[Category],"Loandry")</f>
        <v>0</v>
      </c>
      <c r="Q902" s="29">
        <f>SUMIFS(Cash_Flow_3[Amount],Cash_Flow_3[Bulan],H902,Cash_Flow_3[Type],"Out",Cash_Flow_3[Category],"Mio")</f>
        <v>0</v>
      </c>
      <c r="R902" s="29">
        <f>SUMIFS(Cash_Flow_3[Amount],Cash_Flow_3[Bulan],H902,Cash_Flow_3[Type],"Out",Cash_Flow_3[Category],"Sedekah")</f>
        <v>0</v>
      </c>
      <c r="S902" s="29">
        <f>SUMIFS(Cash_Flow_3[Amount],Cash_Flow_3[Bulan],H902,Cash_Flow_3[Type],"Out",Cash_Flow_3[Category],"Zela")</f>
        <v>0</v>
      </c>
      <c r="T902" s="29">
        <f>SUMIFS(Cash_Flow_3[Amount],Cash_Flow_3[Bulan],H902,Cash_Flow_3[Type],"Out",Cash_Flow_3[Category],"Iqbal")</f>
        <v>0</v>
      </c>
    </row>
    <row r="903" spans="1:20" ht="22.5" customHeight="1" x14ac:dyDescent="0.2">
      <c r="A903" s="23"/>
      <c r="B903" s="24"/>
      <c r="C903" s="25"/>
      <c r="D903" s="25"/>
      <c r="E903" s="25"/>
      <c r="F903" s="26"/>
      <c r="G903" s="27"/>
      <c r="H903" s="28" t="str">
        <f t="shared" si="0"/>
        <v/>
      </c>
      <c r="I903" s="29">
        <f>SUMIFS(Cash_Flow_3[Amount],Cash_Flow_3[Bulan],H903,Cash_Flow_3[Type],"In")</f>
        <v>0</v>
      </c>
      <c r="J903" s="29">
        <f>SUMIFS(Cash_Flow_3[Amount],Cash_Flow_3[Bulan],H903,Cash_Flow_3[Type],"Out")</f>
        <v>0</v>
      </c>
      <c r="K903" s="29">
        <f>SUMIFS(Cash_Flow_3[Amount],Cash_Flow_3[Bulan],H903,Cash_Flow_3[Type],"Out",Cash_Flow_3[Category],"Fix")</f>
        <v>0</v>
      </c>
      <c r="L903" s="29">
        <f>SUMIFS(Cash_Flow_3[Amount],Cash_Flow_3[Bulan],H903,Cash_Flow_3[Type],"Out",Cash_Flow_3[Category],"Bathroom")</f>
        <v>0</v>
      </c>
      <c r="M903" s="29">
        <f>SUMIFS(Cash_Flow_3[Amount],Cash_Flow_3[Bulan],H903,Cash_Flow_3[Type],"Out",Cash_Flow_3[Category],"Alfa")</f>
        <v>0</v>
      </c>
      <c r="N903" s="29">
        <f>SUMIFS(Cash_Flow_3[Amount],Cash_Flow_3[Bulan],H903,Cash_Flow_3[Type],"Out",Cash_Flow_3[Category],"Jajan")</f>
        <v>0</v>
      </c>
      <c r="O903" s="29">
        <f>SUMIFS(Cash_Flow_3[Amount],Cash_Flow_3[Bulan],H903,Cash_Flow_3[Type],"Out",Cash_Flow_3[Category],"Kitchen")</f>
        <v>0</v>
      </c>
      <c r="P903" s="29">
        <f>SUMIFS(Cash_Flow_3[Amount],Cash_Flow_3[Bulan],H903,Cash_Flow_3[Type],"Out",Cash_Flow_3[Category],"Loandry")</f>
        <v>0</v>
      </c>
      <c r="Q903" s="29">
        <f>SUMIFS(Cash_Flow_3[Amount],Cash_Flow_3[Bulan],H903,Cash_Flow_3[Type],"Out",Cash_Flow_3[Category],"Mio")</f>
        <v>0</v>
      </c>
      <c r="R903" s="29">
        <f>SUMIFS(Cash_Flow_3[Amount],Cash_Flow_3[Bulan],H903,Cash_Flow_3[Type],"Out",Cash_Flow_3[Category],"Sedekah")</f>
        <v>0</v>
      </c>
      <c r="S903" s="29">
        <f>SUMIFS(Cash_Flow_3[Amount],Cash_Flow_3[Bulan],H903,Cash_Flow_3[Type],"Out",Cash_Flow_3[Category],"Zela")</f>
        <v>0</v>
      </c>
      <c r="T903" s="29">
        <f>SUMIFS(Cash_Flow_3[Amount],Cash_Flow_3[Bulan],H903,Cash_Flow_3[Type],"Out",Cash_Flow_3[Category],"Iqbal")</f>
        <v>0</v>
      </c>
    </row>
    <row r="904" spans="1:20" ht="22.5" customHeight="1" x14ac:dyDescent="0.2">
      <c r="A904" s="23"/>
      <c r="B904" s="24"/>
      <c r="C904" s="25"/>
      <c r="D904" s="25"/>
      <c r="E904" s="25"/>
      <c r="F904" s="26"/>
      <c r="G904" s="27"/>
      <c r="H904" s="28" t="str">
        <f t="shared" si="0"/>
        <v/>
      </c>
      <c r="I904" s="29">
        <f>SUMIFS(Cash_Flow_3[Amount],Cash_Flow_3[Bulan],H904,Cash_Flow_3[Type],"In")</f>
        <v>0</v>
      </c>
      <c r="J904" s="29">
        <f>SUMIFS(Cash_Flow_3[Amount],Cash_Flow_3[Bulan],H904,Cash_Flow_3[Type],"Out")</f>
        <v>0</v>
      </c>
      <c r="K904" s="29">
        <f>SUMIFS(Cash_Flow_3[Amount],Cash_Flow_3[Bulan],H904,Cash_Flow_3[Type],"Out",Cash_Flow_3[Category],"Fix")</f>
        <v>0</v>
      </c>
      <c r="L904" s="29">
        <f>SUMIFS(Cash_Flow_3[Amount],Cash_Flow_3[Bulan],H904,Cash_Flow_3[Type],"Out",Cash_Flow_3[Category],"Bathroom")</f>
        <v>0</v>
      </c>
      <c r="M904" s="29">
        <f>SUMIFS(Cash_Flow_3[Amount],Cash_Flow_3[Bulan],H904,Cash_Flow_3[Type],"Out",Cash_Flow_3[Category],"Alfa")</f>
        <v>0</v>
      </c>
      <c r="N904" s="29">
        <f>SUMIFS(Cash_Flow_3[Amount],Cash_Flow_3[Bulan],H904,Cash_Flow_3[Type],"Out",Cash_Flow_3[Category],"Jajan")</f>
        <v>0</v>
      </c>
      <c r="O904" s="29">
        <f>SUMIFS(Cash_Flow_3[Amount],Cash_Flow_3[Bulan],H904,Cash_Flow_3[Type],"Out",Cash_Flow_3[Category],"Kitchen")</f>
        <v>0</v>
      </c>
      <c r="P904" s="29">
        <f>SUMIFS(Cash_Flow_3[Amount],Cash_Flow_3[Bulan],H904,Cash_Flow_3[Type],"Out",Cash_Flow_3[Category],"Loandry")</f>
        <v>0</v>
      </c>
      <c r="Q904" s="29">
        <f>SUMIFS(Cash_Flow_3[Amount],Cash_Flow_3[Bulan],H904,Cash_Flow_3[Type],"Out",Cash_Flow_3[Category],"Mio")</f>
        <v>0</v>
      </c>
      <c r="R904" s="29">
        <f>SUMIFS(Cash_Flow_3[Amount],Cash_Flow_3[Bulan],H904,Cash_Flow_3[Type],"Out",Cash_Flow_3[Category],"Sedekah")</f>
        <v>0</v>
      </c>
      <c r="S904" s="29">
        <f>SUMIFS(Cash_Flow_3[Amount],Cash_Flow_3[Bulan],H904,Cash_Flow_3[Type],"Out",Cash_Flow_3[Category],"Zela")</f>
        <v>0</v>
      </c>
      <c r="T904" s="29">
        <f>SUMIFS(Cash_Flow_3[Amount],Cash_Flow_3[Bulan],H904,Cash_Flow_3[Type],"Out",Cash_Flow_3[Category],"Iqbal")</f>
        <v>0</v>
      </c>
    </row>
    <row r="905" spans="1:20" ht="22.5" customHeight="1" x14ac:dyDescent="0.2">
      <c r="A905" s="23"/>
      <c r="B905" s="24"/>
      <c r="C905" s="25"/>
      <c r="D905" s="25"/>
      <c r="E905" s="25"/>
      <c r="F905" s="26"/>
      <c r="G905" s="27"/>
      <c r="H905" s="28" t="str">
        <f t="shared" si="0"/>
        <v/>
      </c>
      <c r="I905" s="29">
        <f>SUMIFS(Cash_Flow_3[Amount],Cash_Flow_3[Bulan],H905,Cash_Flow_3[Type],"In")</f>
        <v>0</v>
      </c>
      <c r="J905" s="29">
        <f>SUMIFS(Cash_Flow_3[Amount],Cash_Flow_3[Bulan],H905,Cash_Flow_3[Type],"Out")</f>
        <v>0</v>
      </c>
      <c r="K905" s="29">
        <f>SUMIFS(Cash_Flow_3[Amount],Cash_Flow_3[Bulan],H905,Cash_Flow_3[Type],"Out",Cash_Flow_3[Category],"Fix")</f>
        <v>0</v>
      </c>
      <c r="L905" s="29">
        <f>SUMIFS(Cash_Flow_3[Amount],Cash_Flow_3[Bulan],H905,Cash_Flow_3[Type],"Out",Cash_Flow_3[Category],"Bathroom")</f>
        <v>0</v>
      </c>
      <c r="M905" s="29">
        <f>SUMIFS(Cash_Flow_3[Amount],Cash_Flow_3[Bulan],H905,Cash_Flow_3[Type],"Out",Cash_Flow_3[Category],"Alfa")</f>
        <v>0</v>
      </c>
      <c r="N905" s="29">
        <f>SUMIFS(Cash_Flow_3[Amount],Cash_Flow_3[Bulan],H905,Cash_Flow_3[Type],"Out",Cash_Flow_3[Category],"Jajan")</f>
        <v>0</v>
      </c>
      <c r="O905" s="29">
        <f>SUMIFS(Cash_Flow_3[Amount],Cash_Flow_3[Bulan],H905,Cash_Flow_3[Type],"Out",Cash_Flow_3[Category],"Kitchen")</f>
        <v>0</v>
      </c>
      <c r="P905" s="29">
        <f>SUMIFS(Cash_Flow_3[Amount],Cash_Flow_3[Bulan],H905,Cash_Flow_3[Type],"Out",Cash_Flow_3[Category],"Loandry")</f>
        <v>0</v>
      </c>
      <c r="Q905" s="29">
        <f>SUMIFS(Cash_Flow_3[Amount],Cash_Flow_3[Bulan],H905,Cash_Flow_3[Type],"Out",Cash_Flow_3[Category],"Mio")</f>
        <v>0</v>
      </c>
      <c r="R905" s="29">
        <f>SUMIFS(Cash_Flow_3[Amount],Cash_Flow_3[Bulan],H905,Cash_Flow_3[Type],"Out",Cash_Flow_3[Category],"Sedekah")</f>
        <v>0</v>
      </c>
      <c r="S905" s="29">
        <f>SUMIFS(Cash_Flow_3[Amount],Cash_Flow_3[Bulan],H905,Cash_Flow_3[Type],"Out",Cash_Flow_3[Category],"Zela")</f>
        <v>0</v>
      </c>
      <c r="T905" s="29">
        <f>SUMIFS(Cash_Flow_3[Amount],Cash_Flow_3[Bulan],H905,Cash_Flow_3[Type],"Out",Cash_Flow_3[Category],"Iqbal")</f>
        <v>0</v>
      </c>
    </row>
    <row r="906" spans="1:20" ht="22.5" customHeight="1" x14ac:dyDescent="0.2">
      <c r="A906" s="23"/>
      <c r="B906" s="24"/>
      <c r="C906" s="25"/>
      <c r="D906" s="25"/>
      <c r="E906" s="25"/>
      <c r="F906" s="26"/>
      <c r="G906" s="27"/>
      <c r="H906" s="28" t="str">
        <f t="shared" si="0"/>
        <v/>
      </c>
      <c r="I906" s="29">
        <f>SUMIFS(Cash_Flow_3[Amount],Cash_Flow_3[Bulan],H906,Cash_Flow_3[Type],"In")</f>
        <v>0</v>
      </c>
      <c r="J906" s="29">
        <f>SUMIFS(Cash_Flow_3[Amount],Cash_Flow_3[Bulan],H906,Cash_Flow_3[Type],"Out")</f>
        <v>0</v>
      </c>
      <c r="K906" s="29">
        <f>SUMIFS(Cash_Flow_3[Amount],Cash_Flow_3[Bulan],H906,Cash_Flow_3[Type],"Out",Cash_Flow_3[Category],"Fix")</f>
        <v>0</v>
      </c>
      <c r="L906" s="29">
        <f>SUMIFS(Cash_Flow_3[Amount],Cash_Flow_3[Bulan],H906,Cash_Flow_3[Type],"Out",Cash_Flow_3[Category],"Bathroom")</f>
        <v>0</v>
      </c>
      <c r="M906" s="29">
        <f>SUMIFS(Cash_Flow_3[Amount],Cash_Flow_3[Bulan],H906,Cash_Flow_3[Type],"Out",Cash_Flow_3[Category],"Alfa")</f>
        <v>0</v>
      </c>
      <c r="N906" s="29">
        <f>SUMIFS(Cash_Flow_3[Amount],Cash_Flow_3[Bulan],H906,Cash_Flow_3[Type],"Out",Cash_Flow_3[Category],"Jajan")</f>
        <v>0</v>
      </c>
      <c r="O906" s="29">
        <f>SUMIFS(Cash_Flow_3[Amount],Cash_Flow_3[Bulan],H906,Cash_Flow_3[Type],"Out",Cash_Flow_3[Category],"Kitchen")</f>
        <v>0</v>
      </c>
      <c r="P906" s="29">
        <f>SUMIFS(Cash_Flow_3[Amount],Cash_Flow_3[Bulan],H906,Cash_Flow_3[Type],"Out",Cash_Flow_3[Category],"Loandry")</f>
        <v>0</v>
      </c>
      <c r="Q906" s="29">
        <f>SUMIFS(Cash_Flow_3[Amount],Cash_Flow_3[Bulan],H906,Cash_Flow_3[Type],"Out",Cash_Flow_3[Category],"Mio")</f>
        <v>0</v>
      </c>
      <c r="R906" s="29">
        <f>SUMIFS(Cash_Flow_3[Amount],Cash_Flow_3[Bulan],H906,Cash_Flow_3[Type],"Out",Cash_Flow_3[Category],"Sedekah")</f>
        <v>0</v>
      </c>
      <c r="S906" s="29">
        <f>SUMIFS(Cash_Flow_3[Amount],Cash_Flow_3[Bulan],H906,Cash_Flow_3[Type],"Out",Cash_Flow_3[Category],"Zela")</f>
        <v>0</v>
      </c>
      <c r="T906" s="29">
        <f>SUMIFS(Cash_Flow_3[Amount],Cash_Flow_3[Bulan],H906,Cash_Flow_3[Type],"Out",Cash_Flow_3[Category],"Iqbal")</f>
        <v>0</v>
      </c>
    </row>
    <row r="907" spans="1:20" ht="22.5" customHeight="1" x14ac:dyDescent="0.2">
      <c r="A907" s="23"/>
      <c r="B907" s="24"/>
      <c r="C907" s="25"/>
      <c r="D907" s="25"/>
      <c r="E907" s="25"/>
      <c r="F907" s="26"/>
      <c r="G907" s="27"/>
      <c r="H907" s="28" t="str">
        <f t="shared" si="0"/>
        <v/>
      </c>
      <c r="I907" s="29">
        <f>SUMIFS(Cash_Flow_3[Amount],Cash_Flow_3[Bulan],H907,Cash_Flow_3[Type],"In")</f>
        <v>0</v>
      </c>
      <c r="J907" s="29">
        <f>SUMIFS(Cash_Flow_3[Amount],Cash_Flow_3[Bulan],H907,Cash_Flow_3[Type],"Out")</f>
        <v>0</v>
      </c>
      <c r="K907" s="29">
        <f>SUMIFS(Cash_Flow_3[Amount],Cash_Flow_3[Bulan],H907,Cash_Flow_3[Type],"Out",Cash_Flow_3[Category],"Fix")</f>
        <v>0</v>
      </c>
      <c r="L907" s="29">
        <f>SUMIFS(Cash_Flow_3[Amount],Cash_Flow_3[Bulan],H907,Cash_Flow_3[Type],"Out",Cash_Flow_3[Category],"Bathroom")</f>
        <v>0</v>
      </c>
      <c r="M907" s="29">
        <f>SUMIFS(Cash_Flow_3[Amount],Cash_Flow_3[Bulan],H907,Cash_Flow_3[Type],"Out",Cash_Flow_3[Category],"Alfa")</f>
        <v>0</v>
      </c>
      <c r="N907" s="29">
        <f>SUMIFS(Cash_Flow_3[Amount],Cash_Flow_3[Bulan],H907,Cash_Flow_3[Type],"Out",Cash_Flow_3[Category],"Jajan")</f>
        <v>0</v>
      </c>
      <c r="O907" s="29">
        <f>SUMIFS(Cash_Flow_3[Amount],Cash_Flow_3[Bulan],H907,Cash_Flow_3[Type],"Out",Cash_Flow_3[Category],"Kitchen")</f>
        <v>0</v>
      </c>
      <c r="P907" s="29">
        <f>SUMIFS(Cash_Flow_3[Amount],Cash_Flow_3[Bulan],H907,Cash_Flow_3[Type],"Out",Cash_Flow_3[Category],"Loandry")</f>
        <v>0</v>
      </c>
      <c r="Q907" s="29">
        <f>SUMIFS(Cash_Flow_3[Amount],Cash_Flow_3[Bulan],H907,Cash_Flow_3[Type],"Out",Cash_Flow_3[Category],"Mio")</f>
        <v>0</v>
      </c>
      <c r="R907" s="29">
        <f>SUMIFS(Cash_Flow_3[Amount],Cash_Flow_3[Bulan],H907,Cash_Flow_3[Type],"Out",Cash_Flow_3[Category],"Sedekah")</f>
        <v>0</v>
      </c>
      <c r="S907" s="29">
        <f>SUMIFS(Cash_Flow_3[Amount],Cash_Flow_3[Bulan],H907,Cash_Flow_3[Type],"Out",Cash_Flow_3[Category],"Zela")</f>
        <v>0</v>
      </c>
      <c r="T907" s="29">
        <f>SUMIFS(Cash_Flow_3[Amount],Cash_Flow_3[Bulan],H907,Cash_Flow_3[Type],"Out",Cash_Flow_3[Category],"Iqbal")</f>
        <v>0</v>
      </c>
    </row>
    <row r="908" spans="1:20" ht="22.5" customHeight="1" x14ac:dyDescent="0.2">
      <c r="A908" s="23"/>
      <c r="B908" s="24"/>
      <c r="C908" s="25"/>
      <c r="D908" s="25"/>
      <c r="E908" s="25"/>
      <c r="F908" s="26"/>
      <c r="G908" s="27"/>
      <c r="H908" s="28" t="str">
        <f t="shared" si="0"/>
        <v/>
      </c>
      <c r="I908" s="29">
        <f>SUMIFS(Cash_Flow_3[Amount],Cash_Flow_3[Bulan],H908,Cash_Flow_3[Type],"In")</f>
        <v>0</v>
      </c>
      <c r="J908" s="29">
        <f>SUMIFS(Cash_Flow_3[Amount],Cash_Flow_3[Bulan],H908,Cash_Flow_3[Type],"Out")</f>
        <v>0</v>
      </c>
      <c r="K908" s="29">
        <f>SUMIFS(Cash_Flow_3[Amount],Cash_Flow_3[Bulan],H908,Cash_Flow_3[Type],"Out",Cash_Flow_3[Category],"Fix")</f>
        <v>0</v>
      </c>
      <c r="L908" s="29">
        <f>SUMIFS(Cash_Flow_3[Amount],Cash_Flow_3[Bulan],H908,Cash_Flow_3[Type],"Out",Cash_Flow_3[Category],"Bathroom")</f>
        <v>0</v>
      </c>
      <c r="M908" s="29">
        <f>SUMIFS(Cash_Flow_3[Amount],Cash_Flow_3[Bulan],H908,Cash_Flow_3[Type],"Out",Cash_Flow_3[Category],"Alfa")</f>
        <v>0</v>
      </c>
      <c r="N908" s="29">
        <f>SUMIFS(Cash_Flow_3[Amount],Cash_Flow_3[Bulan],H908,Cash_Flow_3[Type],"Out",Cash_Flow_3[Category],"Jajan")</f>
        <v>0</v>
      </c>
      <c r="O908" s="29">
        <f>SUMIFS(Cash_Flow_3[Amount],Cash_Flow_3[Bulan],H908,Cash_Flow_3[Type],"Out",Cash_Flow_3[Category],"Kitchen")</f>
        <v>0</v>
      </c>
      <c r="P908" s="29">
        <f>SUMIFS(Cash_Flow_3[Amount],Cash_Flow_3[Bulan],H908,Cash_Flow_3[Type],"Out",Cash_Flow_3[Category],"Loandry")</f>
        <v>0</v>
      </c>
      <c r="Q908" s="29">
        <f>SUMIFS(Cash_Flow_3[Amount],Cash_Flow_3[Bulan],H908,Cash_Flow_3[Type],"Out",Cash_Flow_3[Category],"Mio")</f>
        <v>0</v>
      </c>
      <c r="R908" s="29">
        <f>SUMIFS(Cash_Flow_3[Amount],Cash_Flow_3[Bulan],H908,Cash_Flow_3[Type],"Out",Cash_Flow_3[Category],"Sedekah")</f>
        <v>0</v>
      </c>
      <c r="S908" s="29">
        <f>SUMIFS(Cash_Flow_3[Amount],Cash_Flow_3[Bulan],H908,Cash_Flow_3[Type],"Out",Cash_Flow_3[Category],"Zela")</f>
        <v>0</v>
      </c>
      <c r="T908" s="29">
        <f>SUMIFS(Cash_Flow_3[Amount],Cash_Flow_3[Bulan],H908,Cash_Flow_3[Type],"Out",Cash_Flow_3[Category],"Iqbal")</f>
        <v>0</v>
      </c>
    </row>
    <row r="909" spans="1:20" ht="22.5" customHeight="1" x14ac:dyDescent="0.2">
      <c r="A909" s="23"/>
      <c r="B909" s="24"/>
      <c r="C909" s="25"/>
      <c r="D909" s="25"/>
      <c r="E909" s="25"/>
      <c r="F909" s="26"/>
      <c r="G909" s="27"/>
      <c r="H909" s="28" t="str">
        <f t="shared" si="0"/>
        <v/>
      </c>
      <c r="I909" s="29">
        <f>SUMIFS(Cash_Flow_3[Amount],Cash_Flow_3[Bulan],H909,Cash_Flow_3[Type],"In")</f>
        <v>0</v>
      </c>
      <c r="J909" s="29">
        <f>SUMIFS(Cash_Flow_3[Amount],Cash_Flow_3[Bulan],H909,Cash_Flow_3[Type],"Out")</f>
        <v>0</v>
      </c>
      <c r="K909" s="29">
        <f>SUMIFS(Cash_Flow_3[Amount],Cash_Flow_3[Bulan],H909,Cash_Flow_3[Type],"Out",Cash_Flow_3[Category],"Fix")</f>
        <v>0</v>
      </c>
      <c r="L909" s="29">
        <f>SUMIFS(Cash_Flow_3[Amount],Cash_Flow_3[Bulan],H909,Cash_Flow_3[Type],"Out",Cash_Flow_3[Category],"Bathroom")</f>
        <v>0</v>
      </c>
      <c r="M909" s="29">
        <f>SUMIFS(Cash_Flow_3[Amount],Cash_Flow_3[Bulan],H909,Cash_Flow_3[Type],"Out",Cash_Flow_3[Category],"Alfa")</f>
        <v>0</v>
      </c>
      <c r="N909" s="29">
        <f>SUMIFS(Cash_Flow_3[Amount],Cash_Flow_3[Bulan],H909,Cash_Flow_3[Type],"Out",Cash_Flow_3[Category],"Jajan")</f>
        <v>0</v>
      </c>
      <c r="O909" s="29">
        <f>SUMIFS(Cash_Flow_3[Amount],Cash_Flow_3[Bulan],H909,Cash_Flow_3[Type],"Out",Cash_Flow_3[Category],"Kitchen")</f>
        <v>0</v>
      </c>
      <c r="P909" s="29">
        <f>SUMIFS(Cash_Flow_3[Amount],Cash_Flow_3[Bulan],H909,Cash_Flow_3[Type],"Out",Cash_Flow_3[Category],"Loandry")</f>
        <v>0</v>
      </c>
      <c r="Q909" s="29">
        <f>SUMIFS(Cash_Flow_3[Amount],Cash_Flow_3[Bulan],H909,Cash_Flow_3[Type],"Out",Cash_Flow_3[Category],"Mio")</f>
        <v>0</v>
      </c>
      <c r="R909" s="29">
        <f>SUMIFS(Cash_Flow_3[Amount],Cash_Flow_3[Bulan],H909,Cash_Flow_3[Type],"Out",Cash_Flow_3[Category],"Sedekah")</f>
        <v>0</v>
      </c>
      <c r="S909" s="29">
        <f>SUMIFS(Cash_Flow_3[Amount],Cash_Flow_3[Bulan],H909,Cash_Flow_3[Type],"Out",Cash_Flow_3[Category],"Zela")</f>
        <v>0</v>
      </c>
      <c r="T909" s="29">
        <f>SUMIFS(Cash_Flow_3[Amount],Cash_Flow_3[Bulan],H909,Cash_Flow_3[Type],"Out",Cash_Flow_3[Category],"Iqbal")</f>
        <v>0</v>
      </c>
    </row>
    <row r="910" spans="1:20" ht="22.5" customHeight="1" x14ac:dyDescent="0.2">
      <c r="A910" s="23"/>
      <c r="B910" s="24"/>
      <c r="C910" s="25"/>
      <c r="D910" s="25"/>
      <c r="E910" s="25"/>
      <c r="F910" s="26"/>
      <c r="G910" s="27"/>
      <c r="H910" s="28" t="str">
        <f t="shared" si="0"/>
        <v/>
      </c>
      <c r="I910" s="29">
        <f>SUMIFS(Cash_Flow_3[Amount],Cash_Flow_3[Bulan],H910,Cash_Flow_3[Type],"In")</f>
        <v>0</v>
      </c>
      <c r="J910" s="29">
        <f>SUMIFS(Cash_Flow_3[Amount],Cash_Flow_3[Bulan],H910,Cash_Flow_3[Type],"Out")</f>
        <v>0</v>
      </c>
      <c r="K910" s="29">
        <f>SUMIFS(Cash_Flow_3[Amount],Cash_Flow_3[Bulan],H910,Cash_Flow_3[Type],"Out",Cash_Flow_3[Category],"Fix")</f>
        <v>0</v>
      </c>
      <c r="L910" s="29">
        <f>SUMIFS(Cash_Flow_3[Amount],Cash_Flow_3[Bulan],H910,Cash_Flow_3[Type],"Out",Cash_Flow_3[Category],"Bathroom")</f>
        <v>0</v>
      </c>
      <c r="M910" s="29">
        <f>SUMIFS(Cash_Flow_3[Amount],Cash_Flow_3[Bulan],H910,Cash_Flow_3[Type],"Out",Cash_Flow_3[Category],"Alfa")</f>
        <v>0</v>
      </c>
      <c r="N910" s="29">
        <f>SUMIFS(Cash_Flow_3[Amount],Cash_Flow_3[Bulan],H910,Cash_Flow_3[Type],"Out",Cash_Flow_3[Category],"Jajan")</f>
        <v>0</v>
      </c>
      <c r="O910" s="29">
        <f>SUMIFS(Cash_Flow_3[Amount],Cash_Flow_3[Bulan],H910,Cash_Flow_3[Type],"Out",Cash_Flow_3[Category],"Kitchen")</f>
        <v>0</v>
      </c>
      <c r="P910" s="29">
        <f>SUMIFS(Cash_Flow_3[Amount],Cash_Flow_3[Bulan],H910,Cash_Flow_3[Type],"Out",Cash_Flow_3[Category],"Loandry")</f>
        <v>0</v>
      </c>
      <c r="Q910" s="29">
        <f>SUMIFS(Cash_Flow_3[Amount],Cash_Flow_3[Bulan],H910,Cash_Flow_3[Type],"Out",Cash_Flow_3[Category],"Mio")</f>
        <v>0</v>
      </c>
      <c r="R910" s="29">
        <f>SUMIFS(Cash_Flow_3[Amount],Cash_Flow_3[Bulan],H910,Cash_Flow_3[Type],"Out",Cash_Flow_3[Category],"Sedekah")</f>
        <v>0</v>
      </c>
      <c r="S910" s="29">
        <f>SUMIFS(Cash_Flow_3[Amount],Cash_Flow_3[Bulan],H910,Cash_Flow_3[Type],"Out",Cash_Flow_3[Category],"Zela")</f>
        <v>0</v>
      </c>
      <c r="T910" s="29">
        <f>SUMIFS(Cash_Flow_3[Amount],Cash_Flow_3[Bulan],H910,Cash_Flow_3[Type],"Out",Cash_Flow_3[Category],"Iqbal")</f>
        <v>0</v>
      </c>
    </row>
    <row r="911" spans="1:20" ht="22.5" customHeight="1" x14ac:dyDescent="0.2">
      <c r="A911" s="23"/>
      <c r="B911" s="24"/>
      <c r="C911" s="25"/>
      <c r="D911" s="25"/>
      <c r="E911" s="25"/>
      <c r="F911" s="26"/>
      <c r="G911" s="27"/>
      <c r="H911" s="28" t="str">
        <f t="shared" si="0"/>
        <v/>
      </c>
      <c r="I911" s="29">
        <f>SUMIFS(Cash_Flow_3[Amount],Cash_Flow_3[Bulan],H911,Cash_Flow_3[Type],"In")</f>
        <v>0</v>
      </c>
      <c r="J911" s="29">
        <f>SUMIFS(Cash_Flow_3[Amount],Cash_Flow_3[Bulan],H911,Cash_Flow_3[Type],"Out")</f>
        <v>0</v>
      </c>
      <c r="K911" s="29">
        <f>SUMIFS(Cash_Flow_3[Amount],Cash_Flow_3[Bulan],H911,Cash_Flow_3[Type],"Out",Cash_Flow_3[Category],"Fix")</f>
        <v>0</v>
      </c>
      <c r="L911" s="29">
        <f>SUMIFS(Cash_Flow_3[Amount],Cash_Flow_3[Bulan],H911,Cash_Flow_3[Type],"Out",Cash_Flow_3[Category],"Bathroom")</f>
        <v>0</v>
      </c>
      <c r="M911" s="29">
        <f>SUMIFS(Cash_Flow_3[Amount],Cash_Flow_3[Bulan],H911,Cash_Flow_3[Type],"Out",Cash_Flow_3[Category],"Alfa")</f>
        <v>0</v>
      </c>
      <c r="N911" s="29">
        <f>SUMIFS(Cash_Flow_3[Amount],Cash_Flow_3[Bulan],H911,Cash_Flow_3[Type],"Out",Cash_Flow_3[Category],"Jajan")</f>
        <v>0</v>
      </c>
      <c r="O911" s="29">
        <f>SUMIFS(Cash_Flow_3[Amount],Cash_Flow_3[Bulan],H911,Cash_Flow_3[Type],"Out",Cash_Flow_3[Category],"Kitchen")</f>
        <v>0</v>
      </c>
      <c r="P911" s="29">
        <f>SUMIFS(Cash_Flow_3[Amount],Cash_Flow_3[Bulan],H911,Cash_Flow_3[Type],"Out",Cash_Flow_3[Category],"Loandry")</f>
        <v>0</v>
      </c>
      <c r="Q911" s="29">
        <f>SUMIFS(Cash_Flow_3[Amount],Cash_Flow_3[Bulan],H911,Cash_Flow_3[Type],"Out",Cash_Flow_3[Category],"Mio")</f>
        <v>0</v>
      </c>
      <c r="R911" s="29">
        <f>SUMIFS(Cash_Flow_3[Amount],Cash_Flow_3[Bulan],H911,Cash_Flow_3[Type],"Out",Cash_Flow_3[Category],"Sedekah")</f>
        <v>0</v>
      </c>
      <c r="S911" s="29">
        <f>SUMIFS(Cash_Flow_3[Amount],Cash_Flow_3[Bulan],H911,Cash_Flow_3[Type],"Out",Cash_Flow_3[Category],"Zela")</f>
        <v>0</v>
      </c>
      <c r="T911" s="29">
        <f>SUMIFS(Cash_Flow_3[Amount],Cash_Flow_3[Bulan],H911,Cash_Flow_3[Type],"Out",Cash_Flow_3[Category],"Iqbal")</f>
        <v>0</v>
      </c>
    </row>
    <row r="912" spans="1:20" ht="22.5" customHeight="1" x14ac:dyDescent="0.2">
      <c r="A912" s="23"/>
      <c r="B912" s="24"/>
      <c r="C912" s="25"/>
      <c r="D912" s="25"/>
      <c r="E912" s="25"/>
      <c r="F912" s="26"/>
      <c r="G912" s="27"/>
      <c r="H912" s="28" t="str">
        <f t="shared" si="0"/>
        <v/>
      </c>
      <c r="I912" s="29">
        <f>SUMIFS(Cash_Flow_3[Amount],Cash_Flow_3[Bulan],H912,Cash_Flow_3[Type],"In")</f>
        <v>0</v>
      </c>
      <c r="J912" s="29">
        <f>SUMIFS(Cash_Flow_3[Amount],Cash_Flow_3[Bulan],H912,Cash_Flow_3[Type],"Out")</f>
        <v>0</v>
      </c>
      <c r="K912" s="29">
        <f>SUMIFS(Cash_Flow_3[Amount],Cash_Flow_3[Bulan],H912,Cash_Flow_3[Type],"Out",Cash_Flow_3[Category],"Fix")</f>
        <v>0</v>
      </c>
      <c r="L912" s="29">
        <f>SUMIFS(Cash_Flow_3[Amount],Cash_Flow_3[Bulan],H912,Cash_Flow_3[Type],"Out",Cash_Flow_3[Category],"Bathroom")</f>
        <v>0</v>
      </c>
      <c r="M912" s="29">
        <f>SUMIFS(Cash_Flow_3[Amount],Cash_Flow_3[Bulan],H912,Cash_Flow_3[Type],"Out",Cash_Flow_3[Category],"Alfa")</f>
        <v>0</v>
      </c>
      <c r="N912" s="29">
        <f>SUMIFS(Cash_Flow_3[Amount],Cash_Flow_3[Bulan],H912,Cash_Flow_3[Type],"Out",Cash_Flow_3[Category],"Jajan")</f>
        <v>0</v>
      </c>
      <c r="O912" s="29">
        <f>SUMIFS(Cash_Flow_3[Amount],Cash_Flow_3[Bulan],H912,Cash_Flow_3[Type],"Out",Cash_Flow_3[Category],"Kitchen")</f>
        <v>0</v>
      </c>
      <c r="P912" s="29">
        <f>SUMIFS(Cash_Flow_3[Amount],Cash_Flow_3[Bulan],H912,Cash_Flow_3[Type],"Out",Cash_Flow_3[Category],"Loandry")</f>
        <v>0</v>
      </c>
      <c r="Q912" s="29">
        <f>SUMIFS(Cash_Flow_3[Amount],Cash_Flow_3[Bulan],H912,Cash_Flow_3[Type],"Out",Cash_Flow_3[Category],"Mio")</f>
        <v>0</v>
      </c>
      <c r="R912" s="29">
        <f>SUMIFS(Cash_Flow_3[Amount],Cash_Flow_3[Bulan],H912,Cash_Flow_3[Type],"Out",Cash_Flow_3[Category],"Sedekah")</f>
        <v>0</v>
      </c>
      <c r="S912" s="29">
        <f>SUMIFS(Cash_Flow_3[Amount],Cash_Flow_3[Bulan],H912,Cash_Flow_3[Type],"Out",Cash_Flow_3[Category],"Zela")</f>
        <v>0</v>
      </c>
      <c r="T912" s="29">
        <f>SUMIFS(Cash_Flow_3[Amount],Cash_Flow_3[Bulan],H912,Cash_Flow_3[Type],"Out",Cash_Flow_3[Category],"Iqbal")</f>
        <v>0</v>
      </c>
    </row>
    <row r="913" spans="1:20" ht="22.5" customHeight="1" x14ac:dyDescent="0.2">
      <c r="A913" s="23"/>
      <c r="B913" s="24"/>
      <c r="C913" s="25"/>
      <c r="D913" s="25"/>
      <c r="E913" s="25"/>
      <c r="F913" s="26"/>
      <c r="G913" s="27"/>
      <c r="H913" s="28" t="str">
        <f t="shared" si="0"/>
        <v/>
      </c>
      <c r="I913" s="29">
        <f>SUMIFS(Cash_Flow_3[Amount],Cash_Flow_3[Bulan],H913,Cash_Flow_3[Type],"In")</f>
        <v>0</v>
      </c>
      <c r="J913" s="29">
        <f>SUMIFS(Cash_Flow_3[Amount],Cash_Flow_3[Bulan],H913,Cash_Flow_3[Type],"Out")</f>
        <v>0</v>
      </c>
      <c r="K913" s="29">
        <f>SUMIFS(Cash_Flow_3[Amount],Cash_Flow_3[Bulan],H913,Cash_Flow_3[Type],"Out",Cash_Flow_3[Category],"Fix")</f>
        <v>0</v>
      </c>
      <c r="L913" s="29">
        <f>SUMIFS(Cash_Flow_3[Amount],Cash_Flow_3[Bulan],H913,Cash_Flow_3[Type],"Out",Cash_Flow_3[Category],"Bathroom")</f>
        <v>0</v>
      </c>
      <c r="M913" s="29">
        <f>SUMIFS(Cash_Flow_3[Amount],Cash_Flow_3[Bulan],H913,Cash_Flow_3[Type],"Out",Cash_Flow_3[Category],"Alfa")</f>
        <v>0</v>
      </c>
      <c r="N913" s="29">
        <f>SUMIFS(Cash_Flow_3[Amount],Cash_Flow_3[Bulan],H913,Cash_Flow_3[Type],"Out",Cash_Flow_3[Category],"Jajan")</f>
        <v>0</v>
      </c>
      <c r="O913" s="29">
        <f>SUMIFS(Cash_Flow_3[Amount],Cash_Flow_3[Bulan],H913,Cash_Flow_3[Type],"Out",Cash_Flow_3[Category],"Kitchen")</f>
        <v>0</v>
      </c>
      <c r="P913" s="29">
        <f>SUMIFS(Cash_Flow_3[Amount],Cash_Flow_3[Bulan],H913,Cash_Flow_3[Type],"Out",Cash_Flow_3[Category],"Loandry")</f>
        <v>0</v>
      </c>
      <c r="Q913" s="29">
        <f>SUMIFS(Cash_Flow_3[Amount],Cash_Flow_3[Bulan],H913,Cash_Flow_3[Type],"Out",Cash_Flow_3[Category],"Mio")</f>
        <v>0</v>
      </c>
      <c r="R913" s="29">
        <f>SUMIFS(Cash_Flow_3[Amount],Cash_Flow_3[Bulan],H913,Cash_Flow_3[Type],"Out",Cash_Flow_3[Category],"Sedekah")</f>
        <v>0</v>
      </c>
      <c r="S913" s="29">
        <f>SUMIFS(Cash_Flow_3[Amount],Cash_Flow_3[Bulan],H913,Cash_Flow_3[Type],"Out",Cash_Flow_3[Category],"Zela")</f>
        <v>0</v>
      </c>
      <c r="T913" s="29">
        <f>SUMIFS(Cash_Flow_3[Amount],Cash_Flow_3[Bulan],H913,Cash_Flow_3[Type],"Out",Cash_Flow_3[Category],"Iqbal")</f>
        <v>0</v>
      </c>
    </row>
    <row r="914" spans="1:20" ht="22.5" customHeight="1" x14ac:dyDescent="0.2">
      <c r="A914" s="23"/>
      <c r="B914" s="24"/>
      <c r="C914" s="25"/>
      <c r="D914" s="25"/>
      <c r="E914" s="25"/>
      <c r="F914" s="26"/>
      <c r="G914" s="27"/>
      <c r="H914" s="28" t="str">
        <f t="shared" si="0"/>
        <v/>
      </c>
      <c r="I914" s="29">
        <f>SUMIFS(Cash_Flow_3[Amount],Cash_Flow_3[Bulan],H914,Cash_Flow_3[Type],"In")</f>
        <v>0</v>
      </c>
      <c r="J914" s="29">
        <f>SUMIFS(Cash_Flow_3[Amount],Cash_Flow_3[Bulan],H914,Cash_Flow_3[Type],"Out")</f>
        <v>0</v>
      </c>
      <c r="K914" s="29">
        <f>SUMIFS(Cash_Flow_3[Amount],Cash_Flow_3[Bulan],H914,Cash_Flow_3[Type],"Out",Cash_Flow_3[Category],"Fix")</f>
        <v>0</v>
      </c>
      <c r="L914" s="29">
        <f>SUMIFS(Cash_Flow_3[Amount],Cash_Flow_3[Bulan],H914,Cash_Flow_3[Type],"Out",Cash_Flow_3[Category],"Bathroom")</f>
        <v>0</v>
      </c>
      <c r="M914" s="29">
        <f>SUMIFS(Cash_Flow_3[Amount],Cash_Flow_3[Bulan],H914,Cash_Flow_3[Type],"Out",Cash_Flow_3[Category],"Alfa")</f>
        <v>0</v>
      </c>
      <c r="N914" s="29">
        <f>SUMIFS(Cash_Flow_3[Amount],Cash_Flow_3[Bulan],H914,Cash_Flow_3[Type],"Out",Cash_Flow_3[Category],"Jajan")</f>
        <v>0</v>
      </c>
      <c r="O914" s="29">
        <f>SUMIFS(Cash_Flow_3[Amount],Cash_Flow_3[Bulan],H914,Cash_Flow_3[Type],"Out",Cash_Flow_3[Category],"Kitchen")</f>
        <v>0</v>
      </c>
      <c r="P914" s="29">
        <f>SUMIFS(Cash_Flow_3[Amount],Cash_Flow_3[Bulan],H914,Cash_Flow_3[Type],"Out",Cash_Flow_3[Category],"Loandry")</f>
        <v>0</v>
      </c>
      <c r="Q914" s="29">
        <f>SUMIFS(Cash_Flow_3[Amount],Cash_Flow_3[Bulan],H914,Cash_Flow_3[Type],"Out",Cash_Flow_3[Category],"Mio")</f>
        <v>0</v>
      </c>
      <c r="R914" s="29">
        <f>SUMIFS(Cash_Flow_3[Amount],Cash_Flow_3[Bulan],H914,Cash_Flow_3[Type],"Out",Cash_Flow_3[Category],"Sedekah")</f>
        <v>0</v>
      </c>
      <c r="S914" s="29">
        <f>SUMIFS(Cash_Flow_3[Amount],Cash_Flow_3[Bulan],H914,Cash_Flow_3[Type],"Out",Cash_Flow_3[Category],"Zela")</f>
        <v>0</v>
      </c>
      <c r="T914" s="29">
        <f>SUMIFS(Cash_Flow_3[Amount],Cash_Flow_3[Bulan],H914,Cash_Flow_3[Type],"Out",Cash_Flow_3[Category],"Iqbal")</f>
        <v>0</v>
      </c>
    </row>
    <row r="915" spans="1:20" ht="22.5" customHeight="1" x14ac:dyDescent="0.2">
      <c r="A915" s="23"/>
      <c r="B915" s="24"/>
      <c r="C915" s="25"/>
      <c r="D915" s="25"/>
      <c r="E915" s="25"/>
      <c r="F915" s="26"/>
      <c r="G915" s="27"/>
      <c r="H915" s="28" t="str">
        <f t="shared" si="0"/>
        <v/>
      </c>
      <c r="I915" s="29">
        <f>SUMIFS(Cash_Flow_3[Amount],Cash_Flow_3[Bulan],H915,Cash_Flow_3[Type],"In")</f>
        <v>0</v>
      </c>
      <c r="J915" s="29">
        <f>SUMIFS(Cash_Flow_3[Amount],Cash_Flow_3[Bulan],H915,Cash_Flow_3[Type],"Out")</f>
        <v>0</v>
      </c>
      <c r="K915" s="29">
        <f>SUMIFS(Cash_Flow_3[Amount],Cash_Flow_3[Bulan],H915,Cash_Flow_3[Type],"Out",Cash_Flow_3[Category],"Fix")</f>
        <v>0</v>
      </c>
      <c r="L915" s="29">
        <f>SUMIFS(Cash_Flow_3[Amount],Cash_Flow_3[Bulan],H915,Cash_Flow_3[Type],"Out",Cash_Flow_3[Category],"Bathroom")</f>
        <v>0</v>
      </c>
      <c r="M915" s="29">
        <f>SUMIFS(Cash_Flow_3[Amount],Cash_Flow_3[Bulan],H915,Cash_Flow_3[Type],"Out",Cash_Flow_3[Category],"Alfa")</f>
        <v>0</v>
      </c>
      <c r="N915" s="29">
        <f>SUMIFS(Cash_Flow_3[Amount],Cash_Flow_3[Bulan],H915,Cash_Flow_3[Type],"Out",Cash_Flow_3[Category],"Jajan")</f>
        <v>0</v>
      </c>
      <c r="O915" s="29">
        <f>SUMIFS(Cash_Flow_3[Amount],Cash_Flow_3[Bulan],H915,Cash_Flow_3[Type],"Out",Cash_Flow_3[Category],"Kitchen")</f>
        <v>0</v>
      </c>
      <c r="P915" s="29">
        <f>SUMIFS(Cash_Flow_3[Amount],Cash_Flow_3[Bulan],H915,Cash_Flow_3[Type],"Out",Cash_Flow_3[Category],"Loandry")</f>
        <v>0</v>
      </c>
      <c r="Q915" s="29">
        <f>SUMIFS(Cash_Flow_3[Amount],Cash_Flow_3[Bulan],H915,Cash_Flow_3[Type],"Out",Cash_Flow_3[Category],"Mio")</f>
        <v>0</v>
      </c>
      <c r="R915" s="29">
        <f>SUMIFS(Cash_Flow_3[Amount],Cash_Flow_3[Bulan],H915,Cash_Flow_3[Type],"Out",Cash_Flow_3[Category],"Sedekah")</f>
        <v>0</v>
      </c>
      <c r="S915" s="29">
        <f>SUMIFS(Cash_Flow_3[Amount],Cash_Flow_3[Bulan],H915,Cash_Flow_3[Type],"Out",Cash_Flow_3[Category],"Zela")</f>
        <v>0</v>
      </c>
      <c r="T915" s="29">
        <f>SUMIFS(Cash_Flow_3[Amount],Cash_Flow_3[Bulan],H915,Cash_Flow_3[Type],"Out",Cash_Flow_3[Category],"Iqbal")</f>
        <v>0</v>
      </c>
    </row>
    <row r="916" spans="1:20" ht="22.5" customHeight="1" x14ac:dyDescent="0.2">
      <c r="A916" s="23"/>
      <c r="B916" s="24"/>
      <c r="C916" s="25"/>
      <c r="D916" s="25"/>
      <c r="E916" s="25"/>
      <c r="F916" s="26"/>
      <c r="G916" s="27"/>
      <c r="H916" s="28" t="str">
        <f t="shared" si="0"/>
        <v/>
      </c>
      <c r="I916" s="29">
        <f>SUMIFS(Cash_Flow_3[Amount],Cash_Flow_3[Bulan],H916,Cash_Flow_3[Type],"In")</f>
        <v>0</v>
      </c>
      <c r="J916" s="29">
        <f>SUMIFS(Cash_Flow_3[Amount],Cash_Flow_3[Bulan],H916,Cash_Flow_3[Type],"Out")</f>
        <v>0</v>
      </c>
      <c r="K916" s="29">
        <f>SUMIFS(Cash_Flow_3[Amount],Cash_Flow_3[Bulan],H916,Cash_Flow_3[Type],"Out",Cash_Flow_3[Category],"Fix")</f>
        <v>0</v>
      </c>
      <c r="L916" s="29">
        <f>SUMIFS(Cash_Flow_3[Amount],Cash_Flow_3[Bulan],H916,Cash_Flow_3[Type],"Out",Cash_Flow_3[Category],"Bathroom")</f>
        <v>0</v>
      </c>
      <c r="M916" s="29">
        <f>SUMIFS(Cash_Flow_3[Amount],Cash_Flow_3[Bulan],H916,Cash_Flow_3[Type],"Out",Cash_Flow_3[Category],"Alfa")</f>
        <v>0</v>
      </c>
      <c r="N916" s="29">
        <f>SUMIFS(Cash_Flow_3[Amount],Cash_Flow_3[Bulan],H916,Cash_Flow_3[Type],"Out",Cash_Flow_3[Category],"Jajan")</f>
        <v>0</v>
      </c>
      <c r="O916" s="29">
        <f>SUMIFS(Cash_Flow_3[Amount],Cash_Flow_3[Bulan],H916,Cash_Flow_3[Type],"Out",Cash_Flow_3[Category],"Kitchen")</f>
        <v>0</v>
      </c>
      <c r="P916" s="29">
        <f>SUMIFS(Cash_Flow_3[Amount],Cash_Flow_3[Bulan],H916,Cash_Flow_3[Type],"Out",Cash_Flow_3[Category],"Loandry")</f>
        <v>0</v>
      </c>
      <c r="Q916" s="29">
        <f>SUMIFS(Cash_Flow_3[Amount],Cash_Flow_3[Bulan],H916,Cash_Flow_3[Type],"Out",Cash_Flow_3[Category],"Mio")</f>
        <v>0</v>
      </c>
      <c r="R916" s="29">
        <f>SUMIFS(Cash_Flow_3[Amount],Cash_Flow_3[Bulan],H916,Cash_Flow_3[Type],"Out",Cash_Flow_3[Category],"Sedekah")</f>
        <v>0</v>
      </c>
      <c r="S916" s="29">
        <f>SUMIFS(Cash_Flow_3[Amount],Cash_Flow_3[Bulan],H916,Cash_Flow_3[Type],"Out",Cash_Flow_3[Category],"Zela")</f>
        <v>0</v>
      </c>
      <c r="T916" s="29">
        <f>SUMIFS(Cash_Flow_3[Amount],Cash_Flow_3[Bulan],H916,Cash_Flow_3[Type],"Out",Cash_Flow_3[Category],"Iqbal")</f>
        <v>0</v>
      </c>
    </row>
    <row r="917" spans="1:20" ht="22.5" customHeight="1" x14ac:dyDescent="0.2">
      <c r="A917" s="23"/>
      <c r="B917" s="24"/>
      <c r="C917" s="25"/>
      <c r="D917" s="25"/>
      <c r="E917" s="25"/>
      <c r="F917" s="26"/>
      <c r="G917" s="27"/>
      <c r="H917" s="28" t="str">
        <f t="shared" si="0"/>
        <v/>
      </c>
      <c r="I917" s="29">
        <f>SUMIFS(Cash_Flow_3[Amount],Cash_Flow_3[Bulan],H917,Cash_Flow_3[Type],"In")</f>
        <v>0</v>
      </c>
      <c r="J917" s="29">
        <f>SUMIFS(Cash_Flow_3[Amount],Cash_Flow_3[Bulan],H917,Cash_Flow_3[Type],"Out")</f>
        <v>0</v>
      </c>
      <c r="K917" s="29">
        <f>SUMIFS(Cash_Flow_3[Amount],Cash_Flow_3[Bulan],H917,Cash_Flow_3[Type],"Out",Cash_Flow_3[Category],"Fix")</f>
        <v>0</v>
      </c>
      <c r="L917" s="29">
        <f>SUMIFS(Cash_Flow_3[Amount],Cash_Flow_3[Bulan],H917,Cash_Flow_3[Type],"Out",Cash_Flow_3[Category],"Bathroom")</f>
        <v>0</v>
      </c>
      <c r="M917" s="29">
        <f>SUMIFS(Cash_Flow_3[Amount],Cash_Flow_3[Bulan],H917,Cash_Flow_3[Type],"Out",Cash_Flow_3[Category],"Alfa")</f>
        <v>0</v>
      </c>
      <c r="N917" s="29">
        <f>SUMIFS(Cash_Flow_3[Amount],Cash_Flow_3[Bulan],H917,Cash_Flow_3[Type],"Out",Cash_Flow_3[Category],"Jajan")</f>
        <v>0</v>
      </c>
      <c r="O917" s="29">
        <f>SUMIFS(Cash_Flow_3[Amount],Cash_Flow_3[Bulan],H917,Cash_Flow_3[Type],"Out",Cash_Flow_3[Category],"Kitchen")</f>
        <v>0</v>
      </c>
      <c r="P917" s="29">
        <f>SUMIFS(Cash_Flow_3[Amount],Cash_Flow_3[Bulan],H917,Cash_Flow_3[Type],"Out",Cash_Flow_3[Category],"Loandry")</f>
        <v>0</v>
      </c>
      <c r="Q917" s="29">
        <f>SUMIFS(Cash_Flow_3[Amount],Cash_Flow_3[Bulan],H917,Cash_Flow_3[Type],"Out",Cash_Flow_3[Category],"Mio")</f>
        <v>0</v>
      </c>
      <c r="R917" s="29">
        <f>SUMIFS(Cash_Flow_3[Amount],Cash_Flow_3[Bulan],H917,Cash_Flow_3[Type],"Out",Cash_Flow_3[Category],"Sedekah")</f>
        <v>0</v>
      </c>
      <c r="S917" s="29">
        <f>SUMIFS(Cash_Flow_3[Amount],Cash_Flow_3[Bulan],H917,Cash_Flow_3[Type],"Out",Cash_Flow_3[Category],"Zela")</f>
        <v>0</v>
      </c>
      <c r="T917" s="29">
        <f>SUMIFS(Cash_Flow_3[Amount],Cash_Flow_3[Bulan],H917,Cash_Flow_3[Type],"Out",Cash_Flow_3[Category],"Iqbal")</f>
        <v>0</v>
      </c>
    </row>
    <row r="918" spans="1:20" ht="22.5" customHeight="1" x14ac:dyDescent="0.2">
      <c r="A918" s="23"/>
      <c r="B918" s="24"/>
      <c r="C918" s="25"/>
      <c r="D918" s="25"/>
      <c r="E918" s="25"/>
      <c r="F918" s="26"/>
      <c r="G918" s="27"/>
      <c r="H918" s="28" t="str">
        <f t="shared" si="0"/>
        <v/>
      </c>
      <c r="I918" s="29">
        <f>SUMIFS(Cash_Flow_3[Amount],Cash_Flow_3[Bulan],H918,Cash_Flow_3[Type],"In")</f>
        <v>0</v>
      </c>
      <c r="J918" s="29">
        <f>SUMIFS(Cash_Flow_3[Amount],Cash_Flow_3[Bulan],H918,Cash_Flow_3[Type],"Out")</f>
        <v>0</v>
      </c>
      <c r="K918" s="29">
        <f>SUMIFS(Cash_Flow_3[Amount],Cash_Flow_3[Bulan],H918,Cash_Flow_3[Type],"Out",Cash_Flow_3[Category],"Fix")</f>
        <v>0</v>
      </c>
      <c r="L918" s="29">
        <f>SUMIFS(Cash_Flow_3[Amount],Cash_Flow_3[Bulan],H918,Cash_Flow_3[Type],"Out",Cash_Flow_3[Category],"Bathroom")</f>
        <v>0</v>
      </c>
      <c r="M918" s="29">
        <f>SUMIFS(Cash_Flow_3[Amount],Cash_Flow_3[Bulan],H918,Cash_Flow_3[Type],"Out",Cash_Flow_3[Category],"Alfa")</f>
        <v>0</v>
      </c>
      <c r="N918" s="29">
        <f>SUMIFS(Cash_Flow_3[Amount],Cash_Flow_3[Bulan],H918,Cash_Flow_3[Type],"Out",Cash_Flow_3[Category],"Jajan")</f>
        <v>0</v>
      </c>
      <c r="O918" s="29">
        <f>SUMIFS(Cash_Flow_3[Amount],Cash_Flow_3[Bulan],H918,Cash_Flow_3[Type],"Out",Cash_Flow_3[Category],"Kitchen")</f>
        <v>0</v>
      </c>
      <c r="P918" s="29">
        <f>SUMIFS(Cash_Flow_3[Amount],Cash_Flow_3[Bulan],H918,Cash_Flow_3[Type],"Out",Cash_Flow_3[Category],"Loandry")</f>
        <v>0</v>
      </c>
      <c r="Q918" s="29">
        <f>SUMIFS(Cash_Flow_3[Amount],Cash_Flow_3[Bulan],H918,Cash_Flow_3[Type],"Out",Cash_Flow_3[Category],"Mio")</f>
        <v>0</v>
      </c>
      <c r="R918" s="29">
        <f>SUMIFS(Cash_Flow_3[Amount],Cash_Flow_3[Bulan],H918,Cash_Flow_3[Type],"Out",Cash_Flow_3[Category],"Sedekah")</f>
        <v>0</v>
      </c>
      <c r="S918" s="29">
        <f>SUMIFS(Cash_Flow_3[Amount],Cash_Flow_3[Bulan],H918,Cash_Flow_3[Type],"Out",Cash_Flow_3[Category],"Zela")</f>
        <v>0</v>
      </c>
      <c r="T918" s="29">
        <f>SUMIFS(Cash_Flow_3[Amount],Cash_Flow_3[Bulan],H918,Cash_Flow_3[Type],"Out",Cash_Flow_3[Category],"Iqbal")</f>
        <v>0</v>
      </c>
    </row>
    <row r="919" spans="1:20" ht="22.5" customHeight="1" x14ac:dyDescent="0.2">
      <c r="A919" s="23"/>
      <c r="B919" s="24"/>
      <c r="C919" s="25"/>
      <c r="D919" s="25"/>
      <c r="E919" s="25"/>
      <c r="F919" s="26"/>
      <c r="G919" s="27"/>
      <c r="H919" s="28" t="str">
        <f t="shared" si="0"/>
        <v/>
      </c>
      <c r="I919" s="29">
        <f>SUMIFS(Cash_Flow_3[Amount],Cash_Flow_3[Bulan],H919,Cash_Flow_3[Type],"In")</f>
        <v>0</v>
      </c>
      <c r="J919" s="29">
        <f>SUMIFS(Cash_Flow_3[Amount],Cash_Flow_3[Bulan],H919,Cash_Flow_3[Type],"Out")</f>
        <v>0</v>
      </c>
      <c r="K919" s="29">
        <f>SUMIFS(Cash_Flow_3[Amount],Cash_Flow_3[Bulan],H919,Cash_Flow_3[Type],"Out",Cash_Flow_3[Category],"Fix")</f>
        <v>0</v>
      </c>
      <c r="L919" s="29">
        <f>SUMIFS(Cash_Flow_3[Amount],Cash_Flow_3[Bulan],H919,Cash_Flow_3[Type],"Out",Cash_Flow_3[Category],"Bathroom")</f>
        <v>0</v>
      </c>
      <c r="M919" s="29">
        <f>SUMIFS(Cash_Flow_3[Amount],Cash_Flow_3[Bulan],H919,Cash_Flow_3[Type],"Out",Cash_Flow_3[Category],"Alfa")</f>
        <v>0</v>
      </c>
      <c r="N919" s="29">
        <f>SUMIFS(Cash_Flow_3[Amount],Cash_Flow_3[Bulan],H919,Cash_Flow_3[Type],"Out",Cash_Flow_3[Category],"Jajan")</f>
        <v>0</v>
      </c>
      <c r="O919" s="29">
        <f>SUMIFS(Cash_Flow_3[Amount],Cash_Flow_3[Bulan],H919,Cash_Flow_3[Type],"Out",Cash_Flow_3[Category],"Kitchen")</f>
        <v>0</v>
      </c>
      <c r="P919" s="29">
        <f>SUMIFS(Cash_Flow_3[Amount],Cash_Flow_3[Bulan],H919,Cash_Flow_3[Type],"Out",Cash_Flow_3[Category],"Loandry")</f>
        <v>0</v>
      </c>
      <c r="Q919" s="29">
        <f>SUMIFS(Cash_Flow_3[Amount],Cash_Flow_3[Bulan],H919,Cash_Flow_3[Type],"Out",Cash_Flow_3[Category],"Mio")</f>
        <v>0</v>
      </c>
      <c r="R919" s="29">
        <f>SUMIFS(Cash_Flow_3[Amount],Cash_Flow_3[Bulan],H919,Cash_Flow_3[Type],"Out",Cash_Flow_3[Category],"Sedekah")</f>
        <v>0</v>
      </c>
      <c r="S919" s="29">
        <f>SUMIFS(Cash_Flow_3[Amount],Cash_Flow_3[Bulan],H919,Cash_Flow_3[Type],"Out",Cash_Flow_3[Category],"Zela")</f>
        <v>0</v>
      </c>
      <c r="T919" s="29">
        <f>SUMIFS(Cash_Flow_3[Amount],Cash_Flow_3[Bulan],H919,Cash_Flow_3[Type],"Out",Cash_Flow_3[Category],"Iqbal")</f>
        <v>0</v>
      </c>
    </row>
    <row r="920" spans="1:20" ht="22.5" customHeight="1" x14ac:dyDescent="0.2">
      <c r="A920" s="23"/>
      <c r="B920" s="24"/>
      <c r="C920" s="25"/>
      <c r="D920" s="25"/>
      <c r="E920" s="25"/>
      <c r="F920" s="26"/>
      <c r="G920" s="27"/>
      <c r="H920" s="28" t="str">
        <f t="shared" si="0"/>
        <v/>
      </c>
      <c r="I920" s="29">
        <f>SUMIFS(Cash_Flow_3[Amount],Cash_Flow_3[Bulan],H920,Cash_Flow_3[Type],"In")</f>
        <v>0</v>
      </c>
      <c r="J920" s="29">
        <f>SUMIFS(Cash_Flow_3[Amount],Cash_Flow_3[Bulan],H920,Cash_Flow_3[Type],"Out")</f>
        <v>0</v>
      </c>
      <c r="K920" s="29">
        <f>SUMIFS(Cash_Flow_3[Amount],Cash_Flow_3[Bulan],H920,Cash_Flow_3[Type],"Out",Cash_Flow_3[Category],"Fix")</f>
        <v>0</v>
      </c>
      <c r="L920" s="29">
        <f>SUMIFS(Cash_Flow_3[Amount],Cash_Flow_3[Bulan],H920,Cash_Flow_3[Type],"Out",Cash_Flow_3[Category],"Bathroom")</f>
        <v>0</v>
      </c>
      <c r="M920" s="29">
        <f>SUMIFS(Cash_Flow_3[Amount],Cash_Flow_3[Bulan],H920,Cash_Flow_3[Type],"Out",Cash_Flow_3[Category],"Alfa")</f>
        <v>0</v>
      </c>
      <c r="N920" s="29">
        <f>SUMIFS(Cash_Flow_3[Amount],Cash_Flow_3[Bulan],H920,Cash_Flow_3[Type],"Out",Cash_Flow_3[Category],"Jajan")</f>
        <v>0</v>
      </c>
      <c r="O920" s="29">
        <f>SUMIFS(Cash_Flow_3[Amount],Cash_Flow_3[Bulan],H920,Cash_Flow_3[Type],"Out",Cash_Flow_3[Category],"Kitchen")</f>
        <v>0</v>
      </c>
      <c r="P920" s="29">
        <f>SUMIFS(Cash_Flow_3[Amount],Cash_Flow_3[Bulan],H920,Cash_Flow_3[Type],"Out",Cash_Flow_3[Category],"Loandry")</f>
        <v>0</v>
      </c>
      <c r="Q920" s="29">
        <f>SUMIFS(Cash_Flow_3[Amount],Cash_Flow_3[Bulan],H920,Cash_Flow_3[Type],"Out",Cash_Flow_3[Category],"Mio")</f>
        <v>0</v>
      </c>
      <c r="R920" s="29">
        <f>SUMIFS(Cash_Flow_3[Amount],Cash_Flow_3[Bulan],H920,Cash_Flow_3[Type],"Out",Cash_Flow_3[Category],"Sedekah")</f>
        <v>0</v>
      </c>
      <c r="S920" s="29">
        <f>SUMIFS(Cash_Flow_3[Amount],Cash_Flow_3[Bulan],H920,Cash_Flow_3[Type],"Out",Cash_Flow_3[Category],"Zela")</f>
        <v>0</v>
      </c>
      <c r="T920" s="29">
        <f>SUMIFS(Cash_Flow_3[Amount],Cash_Flow_3[Bulan],H920,Cash_Flow_3[Type],"Out",Cash_Flow_3[Category],"Iqbal")</f>
        <v>0</v>
      </c>
    </row>
    <row r="921" spans="1:20" ht="22.5" customHeight="1" x14ac:dyDescent="0.2">
      <c r="A921" s="23"/>
      <c r="B921" s="24"/>
      <c r="C921" s="25"/>
      <c r="D921" s="25"/>
      <c r="E921" s="25"/>
      <c r="F921" s="26"/>
      <c r="G921" s="27"/>
      <c r="H921" s="28" t="str">
        <f t="shared" si="0"/>
        <v/>
      </c>
      <c r="I921" s="29">
        <f>SUMIFS(Cash_Flow_3[Amount],Cash_Flow_3[Bulan],H921,Cash_Flow_3[Type],"In")</f>
        <v>0</v>
      </c>
      <c r="J921" s="29">
        <f>SUMIFS(Cash_Flow_3[Amount],Cash_Flow_3[Bulan],H921,Cash_Flow_3[Type],"Out")</f>
        <v>0</v>
      </c>
      <c r="K921" s="29">
        <f>SUMIFS(Cash_Flow_3[Amount],Cash_Flow_3[Bulan],H921,Cash_Flow_3[Type],"Out",Cash_Flow_3[Category],"Fix")</f>
        <v>0</v>
      </c>
      <c r="L921" s="29">
        <f>SUMIFS(Cash_Flow_3[Amount],Cash_Flow_3[Bulan],H921,Cash_Flow_3[Type],"Out",Cash_Flow_3[Category],"Bathroom")</f>
        <v>0</v>
      </c>
      <c r="M921" s="29">
        <f>SUMIFS(Cash_Flow_3[Amount],Cash_Flow_3[Bulan],H921,Cash_Flow_3[Type],"Out",Cash_Flow_3[Category],"Alfa")</f>
        <v>0</v>
      </c>
      <c r="N921" s="29">
        <f>SUMIFS(Cash_Flow_3[Amount],Cash_Flow_3[Bulan],H921,Cash_Flow_3[Type],"Out",Cash_Flow_3[Category],"Jajan")</f>
        <v>0</v>
      </c>
      <c r="O921" s="29">
        <f>SUMIFS(Cash_Flow_3[Amount],Cash_Flow_3[Bulan],H921,Cash_Flow_3[Type],"Out",Cash_Flow_3[Category],"Kitchen")</f>
        <v>0</v>
      </c>
      <c r="P921" s="29">
        <f>SUMIFS(Cash_Flow_3[Amount],Cash_Flow_3[Bulan],H921,Cash_Flow_3[Type],"Out",Cash_Flow_3[Category],"Loandry")</f>
        <v>0</v>
      </c>
      <c r="Q921" s="29">
        <f>SUMIFS(Cash_Flow_3[Amount],Cash_Flow_3[Bulan],H921,Cash_Flow_3[Type],"Out",Cash_Flow_3[Category],"Mio")</f>
        <v>0</v>
      </c>
      <c r="R921" s="29">
        <f>SUMIFS(Cash_Flow_3[Amount],Cash_Flow_3[Bulan],H921,Cash_Flow_3[Type],"Out",Cash_Flow_3[Category],"Sedekah")</f>
        <v>0</v>
      </c>
      <c r="S921" s="29">
        <f>SUMIFS(Cash_Flow_3[Amount],Cash_Flow_3[Bulan],H921,Cash_Flow_3[Type],"Out",Cash_Flow_3[Category],"Zela")</f>
        <v>0</v>
      </c>
      <c r="T921" s="29">
        <f>SUMIFS(Cash_Flow_3[Amount],Cash_Flow_3[Bulan],H921,Cash_Flow_3[Type],"Out",Cash_Flow_3[Category],"Iqbal")</f>
        <v>0</v>
      </c>
    </row>
    <row r="922" spans="1:20" ht="22.5" customHeight="1" x14ac:dyDescent="0.2">
      <c r="A922" s="23"/>
      <c r="B922" s="24"/>
      <c r="C922" s="25"/>
      <c r="D922" s="25"/>
      <c r="E922" s="25"/>
      <c r="F922" s="26"/>
      <c r="G922" s="27"/>
      <c r="H922" s="28" t="str">
        <f t="shared" si="0"/>
        <v/>
      </c>
      <c r="I922" s="29">
        <f>SUMIFS(Cash_Flow_3[Amount],Cash_Flow_3[Bulan],H922,Cash_Flow_3[Type],"In")</f>
        <v>0</v>
      </c>
      <c r="J922" s="29">
        <f>SUMIFS(Cash_Flow_3[Amount],Cash_Flow_3[Bulan],H922,Cash_Flow_3[Type],"Out")</f>
        <v>0</v>
      </c>
      <c r="K922" s="29">
        <f>SUMIFS(Cash_Flow_3[Amount],Cash_Flow_3[Bulan],H922,Cash_Flow_3[Type],"Out",Cash_Flow_3[Category],"Fix")</f>
        <v>0</v>
      </c>
      <c r="L922" s="29">
        <f>SUMIFS(Cash_Flow_3[Amount],Cash_Flow_3[Bulan],H922,Cash_Flow_3[Type],"Out",Cash_Flow_3[Category],"Bathroom")</f>
        <v>0</v>
      </c>
      <c r="M922" s="29">
        <f>SUMIFS(Cash_Flow_3[Amount],Cash_Flow_3[Bulan],H922,Cash_Flow_3[Type],"Out",Cash_Flow_3[Category],"Alfa")</f>
        <v>0</v>
      </c>
      <c r="N922" s="29">
        <f>SUMIFS(Cash_Flow_3[Amount],Cash_Flow_3[Bulan],H922,Cash_Flow_3[Type],"Out",Cash_Flow_3[Category],"Jajan")</f>
        <v>0</v>
      </c>
      <c r="O922" s="29">
        <f>SUMIFS(Cash_Flow_3[Amount],Cash_Flow_3[Bulan],H922,Cash_Flow_3[Type],"Out",Cash_Flow_3[Category],"Kitchen")</f>
        <v>0</v>
      </c>
      <c r="P922" s="29">
        <f>SUMIFS(Cash_Flow_3[Amount],Cash_Flow_3[Bulan],H922,Cash_Flow_3[Type],"Out",Cash_Flow_3[Category],"Loandry")</f>
        <v>0</v>
      </c>
      <c r="Q922" s="29">
        <f>SUMIFS(Cash_Flow_3[Amount],Cash_Flow_3[Bulan],H922,Cash_Flow_3[Type],"Out",Cash_Flow_3[Category],"Mio")</f>
        <v>0</v>
      </c>
      <c r="R922" s="29">
        <f>SUMIFS(Cash_Flow_3[Amount],Cash_Flow_3[Bulan],H922,Cash_Flow_3[Type],"Out",Cash_Flow_3[Category],"Sedekah")</f>
        <v>0</v>
      </c>
      <c r="S922" s="29">
        <f>SUMIFS(Cash_Flow_3[Amount],Cash_Flow_3[Bulan],H922,Cash_Flow_3[Type],"Out",Cash_Flow_3[Category],"Zela")</f>
        <v>0</v>
      </c>
      <c r="T922" s="29">
        <f>SUMIFS(Cash_Flow_3[Amount],Cash_Flow_3[Bulan],H922,Cash_Flow_3[Type],"Out",Cash_Flow_3[Category],"Iqbal")</f>
        <v>0</v>
      </c>
    </row>
    <row r="923" spans="1:20" ht="22.5" customHeight="1" x14ac:dyDescent="0.2">
      <c r="A923" s="23"/>
      <c r="B923" s="24"/>
      <c r="C923" s="25"/>
      <c r="D923" s="25"/>
      <c r="E923" s="25"/>
      <c r="F923" s="26"/>
      <c r="G923" s="27"/>
      <c r="H923" s="28" t="str">
        <f t="shared" si="0"/>
        <v/>
      </c>
      <c r="I923" s="29">
        <f>SUMIFS(Cash_Flow_3[Amount],Cash_Flow_3[Bulan],H923,Cash_Flow_3[Type],"In")</f>
        <v>0</v>
      </c>
      <c r="J923" s="29">
        <f>SUMIFS(Cash_Flow_3[Amount],Cash_Flow_3[Bulan],H923,Cash_Flow_3[Type],"Out")</f>
        <v>0</v>
      </c>
      <c r="K923" s="29">
        <f>SUMIFS(Cash_Flow_3[Amount],Cash_Flow_3[Bulan],H923,Cash_Flow_3[Type],"Out",Cash_Flow_3[Category],"Fix")</f>
        <v>0</v>
      </c>
      <c r="L923" s="29">
        <f>SUMIFS(Cash_Flow_3[Amount],Cash_Flow_3[Bulan],H923,Cash_Flow_3[Type],"Out",Cash_Flow_3[Category],"Bathroom")</f>
        <v>0</v>
      </c>
      <c r="M923" s="29">
        <f>SUMIFS(Cash_Flow_3[Amount],Cash_Flow_3[Bulan],H923,Cash_Flow_3[Type],"Out",Cash_Flow_3[Category],"Alfa")</f>
        <v>0</v>
      </c>
      <c r="N923" s="29">
        <f>SUMIFS(Cash_Flow_3[Amount],Cash_Flow_3[Bulan],H923,Cash_Flow_3[Type],"Out",Cash_Flow_3[Category],"Jajan")</f>
        <v>0</v>
      </c>
      <c r="O923" s="29">
        <f>SUMIFS(Cash_Flow_3[Amount],Cash_Flow_3[Bulan],H923,Cash_Flow_3[Type],"Out",Cash_Flow_3[Category],"Kitchen")</f>
        <v>0</v>
      </c>
      <c r="P923" s="29">
        <f>SUMIFS(Cash_Flow_3[Amount],Cash_Flow_3[Bulan],H923,Cash_Flow_3[Type],"Out",Cash_Flow_3[Category],"Loandry")</f>
        <v>0</v>
      </c>
      <c r="Q923" s="29">
        <f>SUMIFS(Cash_Flow_3[Amount],Cash_Flow_3[Bulan],H923,Cash_Flow_3[Type],"Out",Cash_Flow_3[Category],"Mio")</f>
        <v>0</v>
      </c>
      <c r="R923" s="29">
        <f>SUMIFS(Cash_Flow_3[Amount],Cash_Flow_3[Bulan],H923,Cash_Flow_3[Type],"Out",Cash_Flow_3[Category],"Sedekah")</f>
        <v>0</v>
      </c>
      <c r="S923" s="29">
        <f>SUMIFS(Cash_Flow_3[Amount],Cash_Flow_3[Bulan],H923,Cash_Flow_3[Type],"Out",Cash_Flow_3[Category],"Zela")</f>
        <v>0</v>
      </c>
      <c r="T923" s="29">
        <f>SUMIFS(Cash_Flow_3[Amount],Cash_Flow_3[Bulan],H923,Cash_Flow_3[Type],"Out",Cash_Flow_3[Category],"Iqbal")</f>
        <v>0</v>
      </c>
    </row>
    <row r="924" spans="1:20" ht="22.5" customHeight="1" x14ac:dyDescent="0.2">
      <c r="A924" s="23"/>
      <c r="B924" s="24"/>
      <c r="C924" s="25"/>
      <c r="D924" s="25"/>
      <c r="E924" s="25"/>
      <c r="F924" s="26"/>
      <c r="G924" s="27"/>
      <c r="H924" s="28" t="str">
        <f t="shared" si="0"/>
        <v/>
      </c>
      <c r="I924" s="29">
        <f>SUMIFS(Cash_Flow_3[Amount],Cash_Flow_3[Bulan],H924,Cash_Flow_3[Type],"In")</f>
        <v>0</v>
      </c>
      <c r="J924" s="29">
        <f>SUMIFS(Cash_Flow_3[Amount],Cash_Flow_3[Bulan],H924,Cash_Flow_3[Type],"Out")</f>
        <v>0</v>
      </c>
      <c r="K924" s="29">
        <f>SUMIFS(Cash_Flow_3[Amount],Cash_Flow_3[Bulan],H924,Cash_Flow_3[Type],"Out",Cash_Flow_3[Category],"Fix")</f>
        <v>0</v>
      </c>
      <c r="L924" s="29">
        <f>SUMIFS(Cash_Flow_3[Amount],Cash_Flow_3[Bulan],H924,Cash_Flow_3[Type],"Out",Cash_Flow_3[Category],"Bathroom")</f>
        <v>0</v>
      </c>
      <c r="M924" s="29">
        <f>SUMIFS(Cash_Flow_3[Amount],Cash_Flow_3[Bulan],H924,Cash_Flow_3[Type],"Out",Cash_Flow_3[Category],"Alfa")</f>
        <v>0</v>
      </c>
      <c r="N924" s="29">
        <f>SUMIFS(Cash_Flow_3[Amount],Cash_Flow_3[Bulan],H924,Cash_Flow_3[Type],"Out",Cash_Flow_3[Category],"Jajan")</f>
        <v>0</v>
      </c>
      <c r="O924" s="29">
        <f>SUMIFS(Cash_Flow_3[Amount],Cash_Flow_3[Bulan],H924,Cash_Flow_3[Type],"Out",Cash_Flow_3[Category],"Kitchen")</f>
        <v>0</v>
      </c>
      <c r="P924" s="29">
        <f>SUMIFS(Cash_Flow_3[Amount],Cash_Flow_3[Bulan],H924,Cash_Flow_3[Type],"Out",Cash_Flow_3[Category],"Loandry")</f>
        <v>0</v>
      </c>
      <c r="Q924" s="29">
        <f>SUMIFS(Cash_Flow_3[Amount],Cash_Flow_3[Bulan],H924,Cash_Flow_3[Type],"Out",Cash_Flow_3[Category],"Mio")</f>
        <v>0</v>
      </c>
      <c r="R924" s="29">
        <f>SUMIFS(Cash_Flow_3[Amount],Cash_Flow_3[Bulan],H924,Cash_Flow_3[Type],"Out",Cash_Flow_3[Category],"Sedekah")</f>
        <v>0</v>
      </c>
      <c r="S924" s="29">
        <f>SUMIFS(Cash_Flow_3[Amount],Cash_Flow_3[Bulan],H924,Cash_Flow_3[Type],"Out",Cash_Flow_3[Category],"Zela")</f>
        <v>0</v>
      </c>
      <c r="T924" s="29">
        <f>SUMIFS(Cash_Flow_3[Amount],Cash_Flow_3[Bulan],H924,Cash_Flow_3[Type],"Out",Cash_Flow_3[Category],"Iqbal")</f>
        <v>0</v>
      </c>
    </row>
    <row r="925" spans="1:20" ht="22.5" customHeight="1" x14ac:dyDescent="0.2">
      <c r="A925" s="23"/>
      <c r="B925" s="24"/>
      <c r="C925" s="25"/>
      <c r="D925" s="25"/>
      <c r="E925" s="25"/>
      <c r="F925" s="26"/>
      <c r="G925" s="27"/>
      <c r="H925" s="28" t="str">
        <f t="shared" si="0"/>
        <v/>
      </c>
      <c r="I925" s="29">
        <f>SUMIFS(Cash_Flow_3[Amount],Cash_Flow_3[Bulan],H925,Cash_Flow_3[Type],"In")</f>
        <v>0</v>
      </c>
      <c r="J925" s="29">
        <f>SUMIFS(Cash_Flow_3[Amount],Cash_Flow_3[Bulan],H925,Cash_Flow_3[Type],"Out")</f>
        <v>0</v>
      </c>
      <c r="K925" s="29">
        <f>SUMIFS(Cash_Flow_3[Amount],Cash_Flow_3[Bulan],H925,Cash_Flow_3[Type],"Out",Cash_Flow_3[Category],"Fix")</f>
        <v>0</v>
      </c>
      <c r="L925" s="29">
        <f>SUMIFS(Cash_Flow_3[Amount],Cash_Flow_3[Bulan],H925,Cash_Flow_3[Type],"Out",Cash_Flow_3[Category],"Bathroom")</f>
        <v>0</v>
      </c>
      <c r="M925" s="29">
        <f>SUMIFS(Cash_Flow_3[Amount],Cash_Flow_3[Bulan],H925,Cash_Flow_3[Type],"Out",Cash_Flow_3[Category],"Alfa")</f>
        <v>0</v>
      </c>
      <c r="N925" s="29">
        <f>SUMIFS(Cash_Flow_3[Amount],Cash_Flow_3[Bulan],H925,Cash_Flow_3[Type],"Out",Cash_Flow_3[Category],"Jajan")</f>
        <v>0</v>
      </c>
      <c r="O925" s="29">
        <f>SUMIFS(Cash_Flow_3[Amount],Cash_Flow_3[Bulan],H925,Cash_Flow_3[Type],"Out",Cash_Flow_3[Category],"Kitchen")</f>
        <v>0</v>
      </c>
      <c r="P925" s="29">
        <f>SUMIFS(Cash_Flow_3[Amount],Cash_Flow_3[Bulan],H925,Cash_Flow_3[Type],"Out",Cash_Flow_3[Category],"Loandry")</f>
        <v>0</v>
      </c>
      <c r="Q925" s="29">
        <f>SUMIFS(Cash_Flow_3[Amount],Cash_Flow_3[Bulan],H925,Cash_Flow_3[Type],"Out",Cash_Flow_3[Category],"Mio")</f>
        <v>0</v>
      </c>
      <c r="R925" s="29">
        <f>SUMIFS(Cash_Flow_3[Amount],Cash_Flow_3[Bulan],H925,Cash_Flow_3[Type],"Out",Cash_Flow_3[Category],"Sedekah")</f>
        <v>0</v>
      </c>
      <c r="S925" s="29">
        <f>SUMIFS(Cash_Flow_3[Amount],Cash_Flow_3[Bulan],H925,Cash_Flow_3[Type],"Out",Cash_Flow_3[Category],"Zela")</f>
        <v>0</v>
      </c>
      <c r="T925" s="29">
        <f>SUMIFS(Cash_Flow_3[Amount],Cash_Flow_3[Bulan],H925,Cash_Flow_3[Type],"Out",Cash_Flow_3[Category],"Iqbal")</f>
        <v>0</v>
      </c>
    </row>
    <row r="926" spans="1:20" ht="22.5" customHeight="1" x14ac:dyDescent="0.2">
      <c r="A926" s="23"/>
      <c r="B926" s="24"/>
      <c r="C926" s="25"/>
      <c r="D926" s="25"/>
      <c r="E926" s="25"/>
      <c r="F926" s="26"/>
      <c r="G926" s="27"/>
      <c r="H926" s="28" t="str">
        <f t="shared" si="0"/>
        <v/>
      </c>
      <c r="I926" s="29">
        <f>SUMIFS(Cash_Flow_3[Amount],Cash_Flow_3[Bulan],H926,Cash_Flow_3[Type],"In")</f>
        <v>0</v>
      </c>
      <c r="J926" s="29">
        <f>SUMIFS(Cash_Flow_3[Amount],Cash_Flow_3[Bulan],H926,Cash_Flow_3[Type],"Out")</f>
        <v>0</v>
      </c>
      <c r="K926" s="29">
        <f>SUMIFS(Cash_Flow_3[Amount],Cash_Flow_3[Bulan],H926,Cash_Flow_3[Type],"Out",Cash_Flow_3[Category],"Fix")</f>
        <v>0</v>
      </c>
      <c r="L926" s="29">
        <f>SUMIFS(Cash_Flow_3[Amount],Cash_Flow_3[Bulan],H926,Cash_Flow_3[Type],"Out",Cash_Flow_3[Category],"Bathroom")</f>
        <v>0</v>
      </c>
      <c r="M926" s="29">
        <f>SUMIFS(Cash_Flow_3[Amount],Cash_Flow_3[Bulan],H926,Cash_Flow_3[Type],"Out",Cash_Flow_3[Category],"Alfa")</f>
        <v>0</v>
      </c>
      <c r="N926" s="29">
        <f>SUMIFS(Cash_Flow_3[Amount],Cash_Flow_3[Bulan],H926,Cash_Flow_3[Type],"Out",Cash_Flow_3[Category],"Jajan")</f>
        <v>0</v>
      </c>
      <c r="O926" s="29">
        <f>SUMIFS(Cash_Flow_3[Amount],Cash_Flow_3[Bulan],H926,Cash_Flow_3[Type],"Out",Cash_Flow_3[Category],"Kitchen")</f>
        <v>0</v>
      </c>
      <c r="P926" s="29">
        <f>SUMIFS(Cash_Flow_3[Amount],Cash_Flow_3[Bulan],H926,Cash_Flow_3[Type],"Out",Cash_Flow_3[Category],"Loandry")</f>
        <v>0</v>
      </c>
      <c r="Q926" s="29">
        <f>SUMIFS(Cash_Flow_3[Amount],Cash_Flow_3[Bulan],H926,Cash_Flow_3[Type],"Out",Cash_Flow_3[Category],"Mio")</f>
        <v>0</v>
      </c>
      <c r="R926" s="29">
        <f>SUMIFS(Cash_Flow_3[Amount],Cash_Flow_3[Bulan],H926,Cash_Flow_3[Type],"Out",Cash_Flow_3[Category],"Sedekah")</f>
        <v>0</v>
      </c>
      <c r="S926" s="29">
        <f>SUMIFS(Cash_Flow_3[Amount],Cash_Flow_3[Bulan],H926,Cash_Flow_3[Type],"Out",Cash_Flow_3[Category],"Zela")</f>
        <v>0</v>
      </c>
      <c r="T926" s="29">
        <f>SUMIFS(Cash_Flow_3[Amount],Cash_Flow_3[Bulan],H926,Cash_Flow_3[Type],"Out",Cash_Flow_3[Category],"Iqbal")</f>
        <v>0</v>
      </c>
    </row>
    <row r="927" spans="1:20" ht="22.5" customHeight="1" x14ac:dyDescent="0.2">
      <c r="A927" s="23"/>
      <c r="B927" s="24"/>
      <c r="C927" s="25"/>
      <c r="D927" s="25"/>
      <c r="E927" s="25"/>
      <c r="F927" s="26"/>
      <c r="G927" s="27"/>
      <c r="H927" s="28" t="str">
        <f t="shared" si="0"/>
        <v/>
      </c>
      <c r="I927" s="29">
        <f>SUMIFS(Cash_Flow_3[Amount],Cash_Flow_3[Bulan],H927,Cash_Flow_3[Type],"In")</f>
        <v>0</v>
      </c>
      <c r="J927" s="29">
        <f>SUMIFS(Cash_Flow_3[Amount],Cash_Flow_3[Bulan],H927,Cash_Flow_3[Type],"Out")</f>
        <v>0</v>
      </c>
      <c r="K927" s="29">
        <f>SUMIFS(Cash_Flow_3[Amount],Cash_Flow_3[Bulan],H927,Cash_Flow_3[Type],"Out",Cash_Flow_3[Category],"Fix")</f>
        <v>0</v>
      </c>
      <c r="L927" s="29">
        <f>SUMIFS(Cash_Flow_3[Amount],Cash_Flow_3[Bulan],H927,Cash_Flow_3[Type],"Out",Cash_Flow_3[Category],"Bathroom")</f>
        <v>0</v>
      </c>
      <c r="M927" s="29">
        <f>SUMIFS(Cash_Flow_3[Amount],Cash_Flow_3[Bulan],H927,Cash_Flow_3[Type],"Out",Cash_Flow_3[Category],"Alfa")</f>
        <v>0</v>
      </c>
      <c r="N927" s="29">
        <f>SUMIFS(Cash_Flow_3[Amount],Cash_Flow_3[Bulan],H927,Cash_Flow_3[Type],"Out",Cash_Flow_3[Category],"Jajan")</f>
        <v>0</v>
      </c>
      <c r="O927" s="29">
        <f>SUMIFS(Cash_Flow_3[Amount],Cash_Flow_3[Bulan],H927,Cash_Flow_3[Type],"Out",Cash_Flow_3[Category],"Kitchen")</f>
        <v>0</v>
      </c>
      <c r="P927" s="29">
        <f>SUMIFS(Cash_Flow_3[Amount],Cash_Flow_3[Bulan],H927,Cash_Flow_3[Type],"Out",Cash_Flow_3[Category],"Loandry")</f>
        <v>0</v>
      </c>
      <c r="Q927" s="29">
        <f>SUMIFS(Cash_Flow_3[Amount],Cash_Flow_3[Bulan],H927,Cash_Flow_3[Type],"Out",Cash_Flow_3[Category],"Mio")</f>
        <v>0</v>
      </c>
      <c r="R927" s="29">
        <f>SUMIFS(Cash_Flow_3[Amount],Cash_Flow_3[Bulan],H927,Cash_Flow_3[Type],"Out",Cash_Flow_3[Category],"Sedekah")</f>
        <v>0</v>
      </c>
      <c r="S927" s="29">
        <f>SUMIFS(Cash_Flow_3[Amount],Cash_Flow_3[Bulan],H927,Cash_Flow_3[Type],"Out",Cash_Flow_3[Category],"Zela")</f>
        <v>0</v>
      </c>
      <c r="T927" s="29">
        <f>SUMIFS(Cash_Flow_3[Amount],Cash_Flow_3[Bulan],H927,Cash_Flow_3[Type],"Out",Cash_Flow_3[Category],"Iqbal")</f>
        <v>0</v>
      </c>
    </row>
    <row r="928" spans="1:20" ht="22.5" customHeight="1" x14ac:dyDescent="0.2">
      <c r="A928" s="23"/>
      <c r="B928" s="24"/>
      <c r="C928" s="25"/>
      <c r="D928" s="25"/>
      <c r="E928" s="25"/>
      <c r="F928" s="26"/>
      <c r="G928" s="27"/>
      <c r="H928" s="28" t="str">
        <f t="shared" si="0"/>
        <v/>
      </c>
      <c r="I928" s="29">
        <f>SUMIFS(Cash_Flow_3[Amount],Cash_Flow_3[Bulan],H928,Cash_Flow_3[Type],"In")</f>
        <v>0</v>
      </c>
      <c r="J928" s="29">
        <f>SUMIFS(Cash_Flow_3[Amount],Cash_Flow_3[Bulan],H928,Cash_Flow_3[Type],"Out")</f>
        <v>0</v>
      </c>
      <c r="K928" s="29">
        <f>SUMIFS(Cash_Flow_3[Amount],Cash_Flow_3[Bulan],H928,Cash_Flow_3[Type],"Out",Cash_Flow_3[Category],"Fix")</f>
        <v>0</v>
      </c>
      <c r="L928" s="29">
        <f>SUMIFS(Cash_Flow_3[Amount],Cash_Flow_3[Bulan],H928,Cash_Flow_3[Type],"Out",Cash_Flow_3[Category],"Bathroom")</f>
        <v>0</v>
      </c>
      <c r="M928" s="29">
        <f>SUMIFS(Cash_Flow_3[Amount],Cash_Flow_3[Bulan],H928,Cash_Flow_3[Type],"Out",Cash_Flow_3[Category],"Alfa")</f>
        <v>0</v>
      </c>
      <c r="N928" s="29">
        <f>SUMIFS(Cash_Flow_3[Amount],Cash_Flow_3[Bulan],H928,Cash_Flow_3[Type],"Out",Cash_Flow_3[Category],"Jajan")</f>
        <v>0</v>
      </c>
      <c r="O928" s="29">
        <f>SUMIFS(Cash_Flow_3[Amount],Cash_Flow_3[Bulan],H928,Cash_Flow_3[Type],"Out",Cash_Flow_3[Category],"Kitchen")</f>
        <v>0</v>
      </c>
      <c r="P928" s="29">
        <f>SUMIFS(Cash_Flow_3[Amount],Cash_Flow_3[Bulan],H928,Cash_Flow_3[Type],"Out",Cash_Flow_3[Category],"Loandry")</f>
        <v>0</v>
      </c>
      <c r="Q928" s="29">
        <f>SUMIFS(Cash_Flow_3[Amount],Cash_Flow_3[Bulan],H928,Cash_Flow_3[Type],"Out",Cash_Flow_3[Category],"Mio")</f>
        <v>0</v>
      </c>
      <c r="R928" s="29">
        <f>SUMIFS(Cash_Flow_3[Amount],Cash_Flow_3[Bulan],H928,Cash_Flow_3[Type],"Out",Cash_Flow_3[Category],"Sedekah")</f>
        <v>0</v>
      </c>
      <c r="S928" s="29">
        <f>SUMIFS(Cash_Flow_3[Amount],Cash_Flow_3[Bulan],H928,Cash_Flow_3[Type],"Out",Cash_Flow_3[Category],"Zela")</f>
        <v>0</v>
      </c>
      <c r="T928" s="29">
        <f>SUMIFS(Cash_Flow_3[Amount],Cash_Flow_3[Bulan],H928,Cash_Flow_3[Type],"Out",Cash_Flow_3[Category],"Iqbal")</f>
        <v>0</v>
      </c>
    </row>
    <row r="929" spans="1:20" ht="22.5" customHeight="1" x14ac:dyDescent="0.2">
      <c r="A929" s="23"/>
      <c r="B929" s="24"/>
      <c r="C929" s="25"/>
      <c r="D929" s="25"/>
      <c r="E929" s="25"/>
      <c r="F929" s="26"/>
      <c r="G929" s="27"/>
      <c r="H929" s="28" t="str">
        <f t="shared" si="0"/>
        <v/>
      </c>
      <c r="I929" s="29">
        <f>SUMIFS(Cash_Flow_3[Amount],Cash_Flow_3[Bulan],H929,Cash_Flow_3[Type],"In")</f>
        <v>0</v>
      </c>
      <c r="J929" s="29">
        <f>SUMIFS(Cash_Flow_3[Amount],Cash_Flow_3[Bulan],H929,Cash_Flow_3[Type],"Out")</f>
        <v>0</v>
      </c>
      <c r="K929" s="29">
        <f>SUMIFS(Cash_Flow_3[Amount],Cash_Flow_3[Bulan],H929,Cash_Flow_3[Type],"Out",Cash_Flow_3[Category],"Fix")</f>
        <v>0</v>
      </c>
      <c r="L929" s="29">
        <f>SUMIFS(Cash_Flow_3[Amount],Cash_Flow_3[Bulan],H929,Cash_Flow_3[Type],"Out",Cash_Flow_3[Category],"Bathroom")</f>
        <v>0</v>
      </c>
      <c r="M929" s="29">
        <f>SUMIFS(Cash_Flow_3[Amount],Cash_Flow_3[Bulan],H929,Cash_Flow_3[Type],"Out",Cash_Flow_3[Category],"Alfa")</f>
        <v>0</v>
      </c>
      <c r="N929" s="29">
        <f>SUMIFS(Cash_Flow_3[Amount],Cash_Flow_3[Bulan],H929,Cash_Flow_3[Type],"Out",Cash_Flow_3[Category],"Jajan")</f>
        <v>0</v>
      </c>
      <c r="O929" s="29">
        <f>SUMIFS(Cash_Flow_3[Amount],Cash_Flow_3[Bulan],H929,Cash_Flow_3[Type],"Out",Cash_Flow_3[Category],"Kitchen")</f>
        <v>0</v>
      </c>
      <c r="P929" s="29">
        <f>SUMIFS(Cash_Flow_3[Amount],Cash_Flow_3[Bulan],H929,Cash_Flow_3[Type],"Out",Cash_Flow_3[Category],"Loandry")</f>
        <v>0</v>
      </c>
      <c r="Q929" s="29">
        <f>SUMIFS(Cash_Flow_3[Amount],Cash_Flow_3[Bulan],H929,Cash_Flow_3[Type],"Out",Cash_Flow_3[Category],"Mio")</f>
        <v>0</v>
      </c>
      <c r="R929" s="29">
        <f>SUMIFS(Cash_Flow_3[Amount],Cash_Flow_3[Bulan],H929,Cash_Flow_3[Type],"Out",Cash_Flow_3[Category],"Sedekah")</f>
        <v>0</v>
      </c>
      <c r="S929" s="29">
        <f>SUMIFS(Cash_Flow_3[Amount],Cash_Flow_3[Bulan],H929,Cash_Flow_3[Type],"Out",Cash_Flow_3[Category],"Zela")</f>
        <v>0</v>
      </c>
      <c r="T929" s="29">
        <f>SUMIFS(Cash_Flow_3[Amount],Cash_Flow_3[Bulan],H929,Cash_Flow_3[Type],"Out",Cash_Flow_3[Category],"Iqbal")</f>
        <v>0</v>
      </c>
    </row>
    <row r="930" spans="1:20" ht="22.5" customHeight="1" x14ac:dyDescent="0.2">
      <c r="A930" s="23"/>
      <c r="B930" s="24"/>
      <c r="C930" s="25"/>
      <c r="D930" s="25"/>
      <c r="E930" s="25"/>
      <c r="F930" s="26"/>
      <c r="G930" s="27"/>
      <c r="H930" s="28" t="str">
        <f t="shared" si="0"/>
        <v/>
      </c>
      <c r="I930" s="29">
        <f>SUMIFS(Cash_Flow_3[Amount],Cash_Flow_3[Bulan],H930,Cash_Flow_3[Type],"In")</f>
        <v>0</v>
      </c>
      <c r="J930" s="29">
        <f>SUMIFS(Cash_Flow_3[Amount],Cash_Flow_3[Bulan],H930,Cash_Flow_3[Type],"Out")</f>
        <v>0</v>
      </c>
      <c r="K930" s="29">
        <f>SUMIFS(Cash_Flow_3[Amount],Cash_Flow_3[Bulan],H930,Cash_Flow_3[Type],"Out",Cash_Flow_3[Category],"Fix")</f>
        <v>0</v>
      </c>
      <c r="L930" s="29">
        <f>SUMIFS(Cash_Flow_3[Amount],Cash_Flow_3[Bulan],H930,Cash_Flow_3[Type],"Out",Cash_Flow_3[Category],"Bathroom")</f>
        <v>0</v>
      </c>
      <c r="M930" s="29">
        <f>SUMIFS(Cash_Flow_3[Amount],Cash_Flow_3[Bulan],H930,Cash_Flow_3[Type],"Out",Cash_Flow_3[Category],"Alfa")</f>
        <v>0</v>
      </c>
      <c r="N930" s="29">
        <f>SUMIFS(Cash_Flow_3[Amount],Cash_Flow_3[Bulan],H930,Cash_Flow_3[Type],"Out",Cash_Flow_3[Category],"Jajan")</f>
        <v>0</v>
      </c>
      <c r="O930" s="29">
        <f>SUMIFS(Cash_Flow_3[Amount],Cash_Flow_3[Bulan],H930,Cash_Flow_3[Type],"Out",Cash_Flow_3[Category],"Kitchen")</f>
        <v>0</v>
      </c>
      <c r="P930" s="29">
        <f>SUMIFS(Cash_Flow_3[Amount],Cash_Flow_3[Bulan],H930,Cash_Flow_3[Type],"Out",Cash_Flow_3[Category],"Loandry")</f>
        <v>0</v>
      </c>
      <c r="Q930" s="29">
        <f>SUMIFS(Cash_Flow_3[Amount],Cash_Flow_3[Bulan],H930,Cash_Flow_3[Type],"Out",Cash_Flow_3[Category],"Mio")</f>
        <v>0</v>
      </c>
      <c r="R930" s="29">
        <f>SUMIFS(Cash_Flow_3[Amount],Cash_Flow_3[Bulan],H930,Cash_Flow_3[Type],"Out",Cash_Flow_3[Category],"Sedekah")</f>
        <v>0</v>
      </c>
      <c r="S930" s="29">
        <f>SUMIFS(Cash_Flow_3[Amount],Cash_Flow_3[Bulan],H930,Cash_Flow_3[Type],"Out",Cash_Flow_3[Category],"Zela")</f>
        <v>0</v>
      </c>
      <c r="T930" s="29">
        <f>SUMIFS(Cash_Flow_3[Amount],Cash_Flow_3[Bulan],H930,Cash_Flow_3[Type],"Out",Cash_Flow_3[Category],"Iqbal")</f>
        <v>0</v>
      </c>
    </row>
    <row r="931" spans="1:20" ht="22.5" customHeight="1" x14ac:dyDescent="0.2">
      <c r="A931" s="23"/>
      <c r="B931" s="24"/>
      <c r="C931" s="25"/>
      <c r="D931" s="25"/>
      <c r="E931" s="25"/>
      <c r="F931" s="26"/>
      <c r="G931" s="27"/>
      <c r="H931" s="28" t="str">
        <f t="shared" si="0"/>
        <v/>
      </c>
      <c r="I931" s="29">
        <f>SUMIFS(Cash_Flow_3[Amount],Cash_Flow_3[Bulan],H931,Cash_Flow_3[Type],"In")</f>
        <v>0</v>
      </c>
      <c r="J931" s="29">
        <f>SUMIFS(Cash_Flow_3[Amount],Cash_Flow_3[Bulan],H931,Cash_Flow_3[Type],"Out")</f>
        <v>0</v>
      </c>
      <c r="K931" s="29">
        <f>SUMIFS(Cash_Flow_3[Amount],Cash_Flow_3[Bulan],H931,Cash_Flow_3[Type],"Out",Cash_Flow_3[Category],"Fix")</f>
        <v>0</v>
      </c>
      <c r="L931" s="29">
        <f>SUMIFS(Cash_Flow_3[Amount],Cash_Flow_3[Bulan],H931,Cash_Flow_3[Type],"Out",Cash_Flow_3[Category],"Bathroom")</f>
        <v>0</v>
      </c>
      <c r="M931" s="29">
        <f>SUMIFS(Cash_Flow_3[Amount],Cash_Flow_3[Bulan],H931,Cash_Flow_3[Type],"Out",Cash_Flow_3[Category],"Alfa")</f>
        <v>0</v>
      </c>
      <c r="N931" s="29">
        <f>SUMIFS(Cash_Flow_3[Amount],Cash_Flow_3[Bulan],H931,Cash_Flow_3[Type],"Out",Cash_Flow_3[Category],"Jajan")</f>
        <v>0</v>
      </c>
      <c r="O931" s="29">
        <f>SUMIFS(Cash_Flow_3[Amount],Cash_Flow_3[Bulan],H931,Cash_Flow_3[Type],"Out",Cash_Flow_3[Category],"Kitchen")</f>
        <v>0</v>
      </c>
      <c r="P931" s="29">
        <f>SUMIFS(Cash_Flow_3[Amount],Cash_Flow_3[Bulan],H931,Cash_Flow_3[Type],"Out",Cash_Flow_3[Category],"Loandry")</f>
        <v>0</v>
      </c>
      <c r="Q931" s="29">
        <f>SUMIFS(Cash_Flow_3[Amount],Cash_Flow_3[Bulan],H931,Cash_Flow_3[Type],"Out",Cash_Flow_3[Category],"Mio")</f>
        <v>0</v>
      </c>
      <c r="R931" s="29">
        <f>SUMIFS(Cash_Flow_3[Amount],Cash_Flow_3[Bulan],H931,Cash_Flow_3[Type],"Out",Cash_Flow_3[Category],"Sedekah")</f>
        <v>0</v>
      </c>
      <c r="S931" s="29">
        <f>SUMIFS(Cash_Flow_3[Amount],Cash_Flow_3[Bulan],H931,Cash_Flow_3[Type],"Out",Cash_Flow_3[Category],"Zela")</f>
        <v>0</v>
      </c>
      <c r="T931" s="29">
        <f>SUMIFS(Cash_Flow_3[Amount],Cash_Flow_3[Bulan],H931,Cash_Flow_3[Type],"Out",Cash_Flow_3[Category],"Iqbal")</f>
        <v>0</v>
      </c>
    </row>
    <row r="932" spans="1:20" ht="22.5" customHeight="1" x14ac:dyDescent="0.2">
      <c r="A932" s="23"/>
      <c r="B932" s="24"/>
      <c r="C932" s="25"/>
      <c r="D932" s="25"/>
      <c r="E932" s="25"/>
      <c r="F932" s="26"/>
      <c r="G932" s="27"/>
      <c r="H932" s="28" t="str">
        <f t="shared" si="0"/>
        <v/>
      </c>
      <c r="I932" s="29">
        <f>SUMIFS(Cash_Flow_3[Amount],Cash_Flow_3[Bulan],H932,Cash_Flow_3[Type],"In")</f>
        <v>0</v>
      </c>
      <c r="J932" s="29">
        <f>SUMIFS(Cash_Flow_3[Amount],Cash_Flow_3[Bulan],H932,Cash_Flow_3[Type],"Out")</f>
        <v>0</v>
      </c>
      <c r="K932" s="29">
        <f>SUMIFS(Cash_Flow_3[Amount],Cash_Flow_3[Bulan],H932,Cash_Flow_3[Type],"Out",Cash_Flow_3[Category],"Fix")</f>
        <v>0</v>
      </c>
      <c r="L932" s="29">
        <f>SUMIFS(Cash_Flow_3[Amount],Cash_Flow_3[Bulan],H932,Cash_Flow_3[Type],"Out",Cash_Flow_3[Category],"Bathroom")</f>
        <v>0</v>
      </c>
      <c r="M932" s="29">
        <f>SUMIFS(Cash_Flow_3[Amount],Cash_Flow_3[Bulan],H932,Cash_Flow_3[Type],"Out",Cash_Flow_3[Category],"Alfa")</f>
        <v>0</v>
      </c>
      <c r="N932" s="29">
        <f>SUMIFS(Cash_Flow_3[Amount],Cash_Flow_3[Bulan],H932,Cash_Flow_3[Type],"Out",Cash_Flow_3[Category],"Jajan")</f>
        <v>0</v>
      </c>
      <c r="O932" s="29">
        <f>SUMIFS(Cash_Flow_3[Amount],Cash_Flow_3[Bulan],H932,Cash_Flow_3[Type],"Out",Cash_Flow_3[Category],"Kitchen")</f>
        <v>0</v>
      </c>
      <c r="P932" s="29">
        <f>SUMIFS(Cash_Flow_3[Amount],Cash_Flow_3[Bulan],H932,Cash_Flow_3[Type],"Out",Cash_Flow_3[Category],"Loandry")</f>
        <v>0</v>
      </c>
      <c r="Q932" s="29">
        <f>SUMIFS(Cash_Flow_3[Amount],Cash_Flow_3[Bulan],H932,Cash_Flow_3[Type],"Out",Cash_Flow_3[Category],"Mio")</f>
        <v>0</v>
      </c>
      <c r="R932" s="29">
        <f>SUMIFS(Cash_Flow_3[Amount],Cash_Flow_3[Bulan],H932,Cash_Flow_3[Type],"Out",Cash_Flow_3[Category],"Sedekah")</f>
        <v>0</v>
      </c>
      <c r="S932" s="29">
        <f>SUMIFS(Cash_Flow_3[Amount],Cash_Flow_3[Bulan],H932,Cash_Flow_3[Type],"Out",Cash_Flow_3[Category],"Zela")</f>
        <v>0</v>
      </c>
      <c r="T932" s="29">
        <f>SUMIFS(Cash_Flow_3[Amount],Cash_Flow_3[Bulan],H932,Cash_Flow_3[Type],"Out",Cash_Flow_3[Category],"Iqbal")</f>
        <v>0</v>
      </c>
    </row>
    <row r="933" spans="1:20" ht="22.5" customHeight="1" x14ac:dyDescent="0.2">
      <c r="A933" s="23"/>
      <c r="B933" s="24"/>
      <c r="C933" s="25"/>
      <c r="D933" s="25"/>
      <c r="E933" s="25"/>
      <c r="F933" s="26"/>
      <c r="G933" s="27"/>
      <c r="H933" s="28" t="str">
        <f t="shared" si="0"/>
        <v/>
      </c>
      <c r="I933" s="29">
        <f>SUMIFS(Cash_Flow_3[Amount],Cash_Flow_3[Bulan],H933,Cash_Flow_3[Type],"In")</f>
        <v>0</v>
      </c>
      <c r="J933" s="29">
        <f>SUMIFS(Cash_Flow_3[Amount],Cash_Flow_3[Bulan],H933,Cash_Flow_3[Type],"Out")</f>
        <v>0</v>
      </c>
      <c r="K933" s="29">
        <f>SUMIFS(Cash_Flow_3[Amount],Cash_Flow_3[Bulan],H933,Cash_Flow_3[Type],"Out",Cash_Flow_3[Category],"Fix")</f>
        <v>0</v>
      </c>
      <c r="L933" s="29">
        <f>SUMIFS(Cash_Flow_3[Amount],Cash_Flow_3[Bulan],H933,Cash_Flow_3[Type],"Out",Cash_Flow_3[Category],"Bathroom")</f>
        <v>0</v>
      </c>
      <c r="M933" s="29">
        <f>SUMIFS(Cash_Flow_3[Amount],Cash_Flow_3[Bulan],H933,Cash_Flow_3[Type],"Out",Cash_Flow_3[Category],"Alfa")</f>
        <v>0</v>
      </c>
      <c r="N933" s="29">
        <f>SUMIFS(Cash_Flow_3[Amount],Cash_Flow_3[Bulan],H933,Cash_Flow_3[Type],"Out",Cash_Flow_3[Category],"Jajan")</f>
        <v>0</v>
      </c>
      <c r="O933" s="29">
        <f>SUMIFS(Cash_Flow_3[Amount],Cash_Flow_3[Bulan],H933,Cash_Flow_3[Type],"Out",Cash_Flow_3[Category],"Kitchen")</f>
        <v>0</v>
      </c>
      <c r="P933" s="29">
        <f>SUMIFS(Cash_Flow_3[Amount],Cash_Flow_3[Bulan],H933,Cash_Flow_3[Type],"Out",Cash_Flow_3[Category],"Loandry")</f>
        <v>0</v>
      </c>
      <c r="Q933" s="29">
        <f>SUMIFS(Cash_Flow_3[Amount],Cash_Flow_3[Bulan],H933,Cash_Flow_3[Type],"Out",Cash_Flow_3[Category],"Mio")</f>
        <v>0</v>
      </c>
      <c r="R933" s="29">
        <f>SUMIFS(Cash_Flow_3[Amount],Cash_Flow_3[Bulan],H933,Cash_Flow_3[Type],"Out",Cash_Flow_3[Category],"Sedekah")</f>
        <v>0</v>
      </c>
      <c r="S933" s="29">
        <f>SUMIFS(Cash_Flow_3[Amount],Cash_Flow_3[Bulan],H933,Cash_Flow_3[Type],"Out",Cash_Flow_3[Category],"Zela")</f>
        <v>0</v>
      </c>
      <c r="T933" s="29">
        <f>SUMIFS(Cash_Flow_3[Amount],Cash_Flow_3[Bulan],H933,Cash_Flow_3[Type],"Out",Cash_Flow_3[Category],"Iqbal")</f>
        <v>0</v>
      </c>
    </row>
    <row r="934" spans="1:20" ht="22.5" customHeight="1" x14ac:dyDescent="0.2">
      <c r="A934" s="23"/>
      <c r="B934" s="24"/>
      <c r="C934" s="25"/>
      <c r="D934" s="25"/>
      <c r="E934" s="25"/>
      <c r="F934" s="26"/>
      <c r="G934" s="27"/>
      <c r="H934" s="28" t="str">
        <f t="shared" si="0"/>
        <v/>
      </c>
      <c r="I934" s="29">
        <f>SUMIFS(Cash_Flow_3[Amount],Cash_Flow_3[Bulan],H934,Cash_Flow_3[Type],"In")</f>
        <v>0</v>
      </c>
      <c r="J934" s="29">
        <f>SUMIFS(Cash_Flow_3[Amount],Cash_Flow_3[Bulan],H934,Cash_Flow_3[Type],"Out")</f>
        <v>0</v>
      </c>
      <c r="K934" s="29">
        <f>SUMIFS(Cash_Flow_3[Amount],Cash_Flow_3[Bulan],H934,Cash_Flow_3[Type],"Out",Cash_Flow_3[Category],"Fix")</f>
        <v>0</v>
      </c>
      <c r="L934" s="29">
        <f>SUMIFS(Cash_Flow_3[Amount],Cash_Flow_3[Bulan],H934,Cash_Flow_3[Type],"Out",Cash_Flow_3[Category],"Bathroom")</f>
        <v>0</v>
      </c>
      <c r="M934" s="29">
        <f>SUMIFS(Cash_Flow_3[Amount],Cash_Flow_3[Bulan],H934,Cash_Flow_3[Type],"Out",Cash_Flow_3[Category],"Alfa")</f>
        <v>0</v>
      </c>
      <c r="N934" s="29">
        <f>SUMIFS(Cash_Flow_3[Amount],Cash_Flow_3[Bulan],H934,Cash_Flow_3[Type],"Out",Cash_Flow_3[Category],"Jajan")</f>
        <v>0</v>
      </c>
      <c r="O934" s="29">
        <f>SUMIFS(Cash_Flow_3[Amount],Cash_Flow_3[Bulan],H934,Cash_Flow_3[Type],"Out",Cash_Flow_3[Category],"Kitchen")</f>
        <v>0</v>
      </c>
      <c r="P934" s="29">
        <f>SUMIFS(Cash_Flow_3[Amount],Cash_Flow_3[Bulan],H934,Cash_Flow_3[Type],"Out",Cash_Flow_3[Category],"Loandry")</f>
        <v>0</v>
      </c>
      <c r="Q934" s="29">
        <f>SUMIFS(Cash_Flow_3[Amount],Cash_Flow_3[Bulan],H934,Cash_Flow_3[Type],"Out",Cash_Flow_3[Category],"Mio")</f>
        <v>0</v>
      </c>
      <c r="R934" s="29">
        <f>SUMIFS(Cash_Flow_3[Amount],Cash_Flow_3[Bulan],H934,Cash_Flow_3[Type],"Out",Cash_Flow_3[Category],"Sedekah")</f>
        <v>0</v>
      </c>
      <c r="S934" s="29">
        <f>SUMIFS(Cash_Flow_3[Amount],Cash_Flow_3[Bulan],H934,Cash_Flow_3[Type],"Out",Cash_Flow_3[Category],"Zela")</f>
        <v>0</v>
      </c>
      <c r="T934" s="29">
        <f>SUMIFS(Cash_Flow_3[Amount],Cash_Flow_3[Bulan],H934,Cash_Flow_3[Type],"Out",Cash_Flow_3[Category],"Iqbal")</f>
        <v>0</v>
      </c>
    </row>
    <row r="935" spans="1:20" ht="22.5" customHeight="1" x14ac:dyDescent="0.2">
      <c r="A935" s="23"/>
      <c r="B935" s="24"/>
      <c r="C935" s="25"/>
      <c r="D935" s="25"/>
      <c r="E935" s="25"/>
      <c r="F935" s="26"/>
      <c r="G935" s="27"/>
      <c r="H935" s="28" t="str">
        <f t="shared" si="0"/>
        <v/>
      </c>
      <c r="I935" s="29">
        <f>SUMIFS(Cash_Flow_3[Amount],Cash_Flow_3[Bulan],H935,Cash_Flow_3[Type],"In")</f>
        <v>0</v>
      </c>
      <c r="J935" s="29">
        <f>SUMIFS(Cash_Flow_3[Amount],Cash_Flow_3[Bulan],H935,Cash_Flow_3[Type],"Out")</f>
        <v>0</v>
      </c>
      <c r="K935" s="29">
        <f>SUMIFS(Cash_Flow_3[Amount],Cash_Flow_3[Bulan],H935,Cash_Flow_3[Type],"Out",Cash_Flow_3[Category],"Fix")</f>
        <v>0</v>
      </c>
      <c r="L935" s="29">
        <f>SUMIFS(Cash_Flow_3[Amount],Cash_Flow_3[Bulan],H935,Cash_Flow_3[Type],"Out",Cash_Flow_3[Category],"Bathroom")</f>
        <v>0</v>
      </c>
      <c r="M935" s="29">
        <f>SUMIFS(Cash_Flow_3[Amount],Cash_Flow_3[Bulan],H935,Cash_Flow_3[Type],"Out",Cash_Flow_3[Category],"Alfa")</f>
        <v>0</v>
      </c>
      <c r="N935" s="29">
        <f>SUMIFS(Cash_Flow_3[Amount],Cash_Flow_3[Bulan],H935,Cash_Flow_3[Type],"Out",Cash_Flow_3[Category],"Jajan")</f>
        <v>0</v>
      </c>
      <c r="O935" s="29">
        <f>SUMIFS(Cash_Flow_3[Amount],Cash_Flow_3[Bulan],H935,Cash_Flow_3[Type],"Out",Cash_Flow_3[Category],"Kitchen")</f>
        <v>0</v>
      </c>
      <c r="P935" s="29">
        <f>SUMIFS(Cash_Flow_3[Amount],Cash_Flow_3[Bulan],H935,Cash_Flow_3[Type],"Out",Cash_Flow_3[Category],"Loandry")</f>
        <v>0</v>
      </c>
      <c r="Q935" s="29">
        <f>SUMIFS(Cash_Flow_3[Amount],Cash_Flow_3[Bulan],H935,Cash_Flow_3[Type],"Out",Cash_Flow_3[Category],"Mio")</f>
        <v>0</v>
      </c>
      <c r="R935" s="29">
        <f>SUMIFS(Cash_Flow_3[Amount],Cash_Flow_3[Bulan],H935,Cash_Flow_3[Type],"Out",Cash_Flow_3[Category],"Sedekah")</f>
        <v>0</v>
      </c>
      <c r="S935" s="29">
        <f>SUMIFS(Cash_Flow_3[Amount],Cash_Flow_3[Bulan],H935,Cash_Flow_3[Type],"Out",Cash_Flow_3[Category],"Zela")</f>
        <v>0</v>
      </c>
      <c r="T935" s="29">
        <f>SUMIFS(Cash_Flow_3[Amount],Cash_Flow_3[Bulan],H935,Cash_Flow_3[Type],"Out",Cash_Flow_3[Category],"Iqbal")</f>
        <v>0</v>
      </c>
    </row>
    <row r="936" spans="1:20" ht="22.5" customHeight="1" x14ac:dyDescent="0.2">
      <c r="A936" s="23"/>
      <c r="B936" s="24"/>
      <c r="C936" s="25"/>
      <c r="D936" s="25"/>
      <c r="E936" s="25"/>
      <c r="F936" s="26"/>
      <c r="G936" s="27"/>
      <c r="H936" s="28" t="str">
        <f t="shared" si="0"/>
        <v/>
      </c>
      <c r="I936" s="29">
        <f>SUMIFS(Cash_Flow_3[Amount],Cash_Flow_3[Bulan],H936,Cash_Flow_3[Type],"In")</f>
        <v>0</v>
      </c>
      <c r="J936" s="29">
        <f>SUMIFS(Cash_Flow_3[Amount],Cash_Flow_3[Bulan],H936,Cash_Flow_3[Type],"Out")</f>
        <v>0</v>
      </c>
      <c r="K936" s="29">
        <f>SUMIFS(Cash_Flow_3[Amount],Cash_Flow_3[Bulan],H936,Cash_Flow_3[Type],"Out",Cash_Flow_3[Category],"Fix")</f>
        <v>0</v>
      </c>
      <c r="L936" s="29">
        <f>SUMIFS(Cash_Flow_3[Amount],Cash_Flow_3[Bulan],H936,Cash_Flow_3[Type],"Out",Cash_Flow_3[Category],"Bathroom")</f>
        <v>0</v>
      </c>
      <c r="M936" s="29">
        <f>SUMIFS(Cash_Flow_3[Amount],Cash_Flow_3[Bulan],H936,Cash_Flow_3[Type],"Out",Cash_Flow_3[Category],"Alfa")</f>
        <v>0</v>
      </c>
      <c r="N936" s="29">
        <f>SUMIFS(Cash_Flow_3[Amount],Cash_Flow_3[Bulan],H936,Cash_Flow_3[Type],"Out",Cash_Flow_3[Category],"Jajan")</f>
        <v>0</v>
      </c>
      <c r="O936" s="29">
        <f>SUMIFS(Cash_Flow_3[Amount],Cash_Flow_3[Bulan],H936,Cash_Flow_3[Type],"Out",Cash_Flow_3[Category],"Kitchen")</f>
        <v>0</v>
      </c>
      <c r="P936" s="29">
        <f>SUMIFS(Cash_Flow_3[Amount],Cash_Flow_3[Bulan],H936,Cash_Flow_3[Type],"Out",Cash_Flow_3[Category],"Loandry")</f>
        <v>0</v>
      </c>
      <c r="Q936" s="29">
        <f>SUMIFS(Cash_Flow_3[Amount],Cash_Flow_3[Bulan],H936,Cash_Flow_3[Type],"Out",Cash_Flow_3[Category],"Mio")</f>
        <v>0</v>
      </c>
      <c r="R936" s="29">
        <f>SUMIFS(Cash_Flow_3[Amount],Cash_Flow_3[Bulan],H936,Cash_Flow_3[Type],"Out",Cash_Flow_3[Category],"Sedekah")</f>
        <v>0</v>
      </c>
      <c r="S936" s="29">
        <f>SUMIFS(Cash_Flow_3[Amount],Cash_Flow_3[Bulan],H936,Cash_Flow_3[Type],"Out",Cash_Flow_3[Category],"Zela")</f>
        <v>0</v>
      </c>
      <c r="T936" s="29">
        <f>SUMIFS(Cash_Flow_3[Amount],Cash_Flow_3[Bulan],H936,Cash_Flow_3[Type],"Out",Cash_Flow_3[Category],"Iqbal")</f>
        <v>0</v>
      </c>
    </row>
    <row r="937" spans="1:20" ht="22.5" customHeight="1" x14ac:dyDescent="0.2">
      <c r="A937" s="23"/>
      <c r="B937" s="24"/>
      <c r="C937" s="25"/>
      <c r="D937" s="25"/>
      <c r="E937" s="25"/>
      <c r="F937" s="26"/>
      <c r="G937" s="27"/>
      <c r="H937" s="28" t="str">
        <f t="shared" si="0"/>
        <v/>
      </c>
      <c r="I937" s="29">
        <f>SUMIFS(Cash_Flow_3[Amount],Cash_Flow_3[Bulan],H937,Cash_Flow_3[Type],"In")</f>
        <v>0</v>
      </c>
      <c r="J937" s="29">
        <f>SUMIFS(Cash_Flow_3[Amount],Cash_Flow_3[Bulan],H937,Cash_Flow_3[Type],"Out")</f>
        <v>0</v>
      </c>
      <c r="K937" s="29">
        <f>SUMIFS(Cash_Flow_3[Amount],Cash_Flow_3[Bulan],H937,Cash_Flow_3[Type],"Out",Cash_Flow_3[Category],"Fix")</f>
        <v>0</v>
      </c>
      <c r="L937" s="29">
        <f>SUMIFS(Cash_Flow_3[Amount],Cash_Flow_3[Bulan],H937,Cash_Flow_3[Type],"Out",Cash_Flow_3[Category],"Bathroom")</f>
        <v>0</v>
      </c>
      <c r="M937" s="29">
        <f>SUMIFS(Cash_Flow_3[Amount],Cash_Flow_3[Bulan],H937,Cash_Flow_3[Type],"Out",Cash_Flow_3[Category],"Alfa")</f>
        <v>0</v>
      </c>
      <c r="N937" s="29">
        <f>SUMIFS(Cash_Flow_3[Amount],Cash_Flow_3[Bulan],H937,Cash_Flow_3[Type],"Out",Cash_Flow_3[Category],"Jajan")</f>
        <v>0</v>
      </c>
      <c r="O937" s="29">
        <f>SUMIFS(Cash_Flow_3[Amount],Cash_Flow_3[Bulan],H937,Cash_Flow_3[Type],"Out",Cash_Flow_3[Category],"Kitchen")</f>
        <v>0</v>
      </c>
      <c r="P937" s="29">
        <f>SUMIFS(Cash_Flow_3[Amount],Cash_Flow_3[Bulan],H937,Cash_Flow_3[Type],"Out",Cash_Flow_3[Category],"Loandry")</f>
        <v>0</v>
      </c>
      <c r="Q937" s="29">
        <f>SUMIFS(Cash_Flow_3[Amount],Cash_Flow_3[Bulan],H937,Cash_Flow_3[Type],"Out",Cash_Flow_3[Category],"Mio")</f>
        <v>0</v>
      </c>
      <c r="R937" s="29">
        <f>SUMIFS(Cash_Flow_3[Amount],Cash_Flow_3[Bulan],H937,Cash_Flow_3[Type],"Out",Cash_Flow_3[Category],"Sedekah")</f>
        <v>0</v>
      </c>
      <c r="S937" s="29">
        <f>SUMIFS(Cash_Flow_3[Amount],Cash_Flow_3[Bulan],H937,Cash_Flow_3[Type],"Out",Cash_Flow_3[Category],"Zela")</f>
        <v>0</v>
      </c>
      <c r="T937" s="29">
        <f>SUMIFS(Cash_Flow_3[Amount],Cash_Flow_3[Bulan],H937,Cash_Flow_3[Type],"Out",Cash_Flow_3[Category],"Iqbal")</f>
        <v>0</v>
      </c>
    </row>
    <row r="938" spans="1:20" ht="22.5" customHeight="1" x14ac:dyDescent="0.2">
      <c r="A938" s="23"/>
      <c r="B938" s="24"/>
      <c r="C938" s="25"/>
      <c r="D938" s="25"/>
      <c r="E938" s="25"/>
      <c r="F938" s="26"/>
      <c r="G938" s="27"/>
      <c r="H938" s="28" t="str">
        <f t="shared" si="0"/>
        <v/>
      </c>
      <c r="I938" s="29">
        <f>SUMIFS(Cash_Flow_3[Amount],Cash_Flow_3[Bulan],H938,Cash_Flow_3[Type],"In")</f>
        <v>0</v>
      </c>
      <c r="J938" s="29">
        <f>SUMIFS(Cash_Flow_3[Amount],Cash_Flow_3[Bulan],H938,Cash_Flow_3[Type],"Out")</f>
        <v>0</v>
      </c>
      <c r="K938" s="29">
        <f>SUMIFS(Cash_Flow_3[Amount],Cash_Flow_3[Bulan],H938,Cash_Flow_3[Type],"Out",Cash_Flow_3[Category],"Fix")</f>
        <v>0</v>
      </c>
      <c r="L938" s="29">
        <f>SUMIFS(Cash_Flow_3[Amount],Cash_Flow_3[Bulan],H938,Cash_Flow_3[Type],"Out",Cash_Flow_3[Category],"Bathroom")</f>
        <v>0</v>
      </c>
      <c r="M938" s="29">
        <f>SUMIFS(Cash_Flow_3[Amount],Cash_Flow_3[Bulan],H938,Cash_Flow_3[Type],"Out",Cash_Flow_3[Category],"Alfa")</f>
        <v>0</v>
      </c>
      <c r="N938" s="29">
        <f>SUMIFS(Cash_Flow_3[Amount],Cash_Flow_3[Bulan],H938,Cash_Flow_3[Type],"Out",Cash_Flow_3[Category],"Jajan")</f>
        <v>0</v>
      </c>
      <c r="O938" s="29">
        <f>SUMIFS(Cash_Flow_3[Amount],Cash_Flow_3[Bulan],H938,Cash_Flow_3[Type],"Out",Cash_Flow_3[Category],"Kitchen")</f>
        <v>0</v>
      </c>
      <c r="P938" s="29">
        <f>SUMIFS(Cash_Flow_3[Amount],Cash_Flow_3[Bulan],H938,Cash_Flow_3[Type],"Out",Cash_Flow_3[Category],"Loandry")</f>
        <v>0</v>
      </c>
      <c r="Q938" s="29">
        <f>SUMIFS(Cash_Flow_3[Amount],Cash_Flow_3[Bulan],H938,Cash_Flow_3[Type],"Out",Cash_Flow_3[Category],"Mio")</f>
        <v>0</v>
      </c>
      <c r="R938" s="29">
        <f>SUMIFS(Cash_Flow_3[Amount],Cash_Flow_3[Bulan],H938,Cash_Flow_3[Type],"Out",Cash_Flow_3[Category],"Sedekah")</f>
        <v>0</v>
      </c>
      <c r="S938" s="29">
        <f>SUMIFS(Cash_Flow_3[Amount],Cash_Flow_3[Bulan],H938,Cash_Flow_3[Type],"Out",Cash_Flow_3[Category],"Zela")</f>
        <v>0</v>
      </c>
      <c r="T938" s="29">
        <f>SUMIFS(Cash_Flow_3[Amount],Cash_Flow_3[Bulan],H938,Cash_Flow_3[Type],"Out",Cash_Flow_3[Category],"Iqbal")</f>
        <v>0</v>
      </c>
    </row>
    <row r="939" spans="1:20" ht="22.5" customHeight="1" x14ac:dyDescent="0.2">
      <c r="A939" s="23"/>
      <c r="B939" s="24"/>
      <c r="C939" s="25"/>
      <c r="D939" s="25"/>
      <c r="E939" s="25"/>
      <c r="F939" s="26"/>
      <c r="G939" s="27"/>
      <c r="H939" s="28" t="str">
        <f t="shared" si="0"/>
        <v/>
      </c>
      <c r="I939" s="29">
        <f>SUMIFS(Cash_Flow_3[Amount],Cash_Flow_3[Bulan],H939,Cash_Flow_3[Type],"In")</f>
        <v>0</v>
      </c>
      <c r="J939" s="29">
        <f>SUMIFS(Cash_Flow_3[Amount],Cash_Flow_3[Bulan],H939,Cash_Flow_3[Type],"Out")</f>
        <v>0</v>
      </c>
      <c r="K939" s="29">
        <f>SUMIFS(Cash_Flow_3[Amount],Cash_Flow_3[Bulan],H939,Cash_Flow_3[Type],"Out",Cash_Flow_3[Category],"Fix")</f>
        <v>0</v>
      </c>
      <c r="L939" s="29">
        <f>SUMIFS(Cash_Flow_3[Amount],Cash_Flow_3[Bulan],H939,Cash_Flow_3[Type],"Out",Cash_Flow_3[Category],"Bathroom")</f>
        <v>0</v>
      </c>
      <c r="M939" s="29">
        <f>SUMIFS(Cash_Flow_3[Amount],Cash_Flow_3[Bulan],H939,Cash_Flow_3[Type],"Out",Cash_Flow_3[Category],"Alfa")</f>
        <v>0</v>
      </c>
      <c r="N939" s="29">
        <f>SUMIFS(Cash_Flow_3[Amount],Cash_Flow_3[Bulan],H939,Cash_Flow_3[Type],"Out",Cash_Flow_3[Category],"Jajan")</f>
        <v>0</v>
      </c>
      <c r="O939" s="29">
        <f>SUMIFS(Cash_Flow_3[Amount],Cash_Flow_3[Bulan],H939,Cash_Flow_3[Type],"Out",Cash_Flow_3[Category],"Kitchen")</f>
        <v>0</v>
      </c>
      <c r="P939" s="29">
        <f>SUMIFS(Cash_Flow_3[Amount],Cash_Flow_3[Bulan],H939,Cash_Flow_3[Type],"Out",Cash_Flow_3[Category],"Loandry")</f>
        <v>0</v>
      </c>
      <c r="Q939" s="29">
        <f>SUMIFS(Cash_Flow_3[Amount],Cash_Flow_3[Bulan],H939,Cash_Flow_3[Type],"Out",Cash_Flow_3[Category],"Mio")</f>
        <v>0</v>
      </c>
      <c r="R939" s="29">
        <f>SUMIFS(Cash_Flow_3[Amount],Cash_Flow_3[Bulan],H939,Cash_Flow_3[Type],"Out",Cash_Flow_3[Category],"Sedekah")</f>
        <v>0</v>
      </c>
      <c r="S939" s="29">
        <f>SUMIFS(Cash_Flow_3[Amount],Cash_Flow_3[Bulan],H939,Cash_Flow_3[Type],"Out",Cash_Flow_3[Category],"Zela")</f>
        <v>0</v>
      </c>
      <c r="T939" s="29">
        <f>SUMIFS(Cash_Flow_3[Amount],Cash_Flow_3[Bulan],H939,Cash_Flow_3[Type],"Out",Cash_Flow_3[Category],"Iqbal")</f>
        <v>0</v>
      </c>
    </row>
    <row r="940" spans="1:20" ht="22.5" customHeight="1" x14ac:dyDescent="0.2">
      <c r="A940" s="23"/>
      <c r="B940" s="24"/>
      <c r="C940" s="25"/>
      <c r="D940" s="25"/>
      <c r="E940" s="25"/>
      <c r="F940" s="26"/>
      <c r="G940" s="27"/>
      <c r="H940" s="28" t="str">
        <f t="shared" si="0"/>
        <v/>
      </c>
      <c r="I940" s="29">
        <f>SUMIFS(Cash_Flow_3[Amount],Cash_Flow_3[Bulan],H940,Cash_Flow_3[Type],"In")</f>
        <v>0</v>
      </c>
      <c r="J940" s="29">
        <f>SUMIFS(Cash_Flow_3[Amount],Cash_Flow_3[Bulan],H940,Cash_Flow_3[Type],"Out")</f>
        <v>0</v>
      </c>
      <c r="K940" s="29">
        <f>SUMIFS(Cash_Flow_3[Amount],Cash_Flow_3[Bulan],H940,Cash_Flow_3[Type],"Out",Cash_Flow_3[Category],"Fix")</f>
        <v>0</v>
      </c>
      <c r="L940" s="29">
        <f>SUMIFS(Cash_Flow_3[Amount],Cash_Flow_3[Bulan],H940,Cash_Flow_3[Type],"Out",Cash_Flow_3[Category],"Bathroom")</f>
        <v>0</v>
      </c>
      <c r="M940" s="29">
        <f>SUMIFS(Cash_Flow_3[Amount],Cash_Flow_3[Bulan],H940,Cash_Flow_3[Type],"Out",Cash_Flow_3[Category],"Alfa")</f>
        <v>0</v>
      </c>
      <c r="N940" s="29">
        <f>SUMIFS(Cash_Flow_3[Amount],Cash_Flow_3[Bulan],H940,Cash_Flow_3[Type],"Out",Cash_Flow_3[Category],"Jajan")</f>
        <v>0</v>
      </c>
      <c r="O940" s="29">
        <f>SUMIFS(Cash_Flow_3[Amount],Cash_Flow_3[Bulan],H940,Cash_Flow_3[Type],"Out",Cash_Flow_3[Category],"Kitchen")</f>
        <v>0</v>
      </c>
      <c r="P940" s="29">
        <f>SUMIFS(Cash_Flow_3[Amount],Cash_Flow_3[Bulan],H940,Cash_Flow_3[Type],"Out",Cash_Flow_3[Category],"Loandry")</f>
        <v>0</v>
      </c>
      <c r="Q940" s="29">
        <f>SUMIFS(Cash_Flow_3[Amount],Cash_Flow_3[Bulan],H940,Cash_Flow_3[Type],"Out",Cash_Flow_3[Category],"Mio")</f>
        <v>0</v>
      </c>
      <c r="R940" s="29">
        <f>SUMIFS(Cash_Flow_3[Amount],Cash_Flow_3[Bulan],H940,Cash_Flow_3[Type],"Out",Cash_Flow_3[Category],"Sedekah")</f>
        <v>0</v>
      </c>
      <c r="S940" s="29">
        <f>SUMIFS(Cash_Flow_3[Amount],Cash_Flow_3[Bulan],H940,Cash_Flow_3[Type],"Out",Cash_Flow_3[Category],"Zela")</f>
        <v>0</v>
      </c>
      <c r="T940" s="29">
        <f>SUMIFS(Cash_Flow_3[Amount],Cash_Flow_3[Bulan],H940,Cash_Flow_3[Type],"Out",Cash_Flow_3[Category],"Iqbal")</f>
        <v>0</v>
      </c>
    </row>
    <row r="941" spans="1:20" ht="22.5" customHeight="1" x14ac:dyDescent="0.2">
      <c r="A941" s="23"/>
      <c r="B941" s="24"/>
      <c r="C941" s="25"/>
      <c r="D941" s="25"/>
      <c r="E941" s="25"/>
      <c r="F941" s="26"/>
      <c r="G941" s="27"/>
      <c r="H941" s="28" t="str">
        <f t="shared" si="0"/>
        <v/>
      </c>
      <c r="I941" s="29">
        <f>SUMIFS(Cash_Flow_3[Amount],Cash_Flow_3[Bulan],H941,Cash_Flow_3[Type],"In")</f>
        <v>0</v>
      </c>
      <c r="J941" s="29">
        <f>SUMIFS(Cash_Flow_3[Amount],Cash_Flow_3[Bulan],H941,Cash_Flow_3[Type],"Out")</f>
        <v>0</v>
      </c>
      <c r="K941" s="29">
        <f>SUMIFS(Cash_Flow_3[Amount],Cash_Flow_3[Bulan],H941,Cash_Flow_3[Type],"Out",Cash_Flow_3[Category],"Fix")</f>
        <v>0</v>
      </c>
      <c r="L941" s="29">
        <f>SUMIFS(Cash_Flow_3[Amount],Cash_Flow_3[Bulan],H941,Cash_Flow_3[Type],"Out",Cash_Flow_3[Category],"Bathroom")</f>
        <v>0</v>
      </c>
      <c r="M941" s="29">
        <f>SUMIFS(Cash_Flow_3[Amount],Cash_Flow_3[Bulan],H941,Cash_Flow_3[Type],"Out",Cash_Flow_3[Category],"Alfa")</f>
        <v>0</v>
      </c>
      <c r="N941" s="29">
        <f>SUMIFS(Cash_Flow_3[Amount],Cash_Flow_3[Bulan],H941,Cash_Flow_3[Type],"Out",Cash_Flow_3[Category],"Jajan")</f>
        <v>0</v>
      </c>
      <c r="O941" s="29">
        <f>SUMIFS(Cash_Flow_3[Amount],Cash_Flow_3[Bulan],H941,Cash_Flow_3[Type],"Out",Cash_Flow_3[Category],"Kitchen")</f>
        <v>0</v>
      </c>
      <c r="P941" s="29">
        <f>SUMIFS(Cash_Flow_3[Amount],Cash_Flow_3[Bulan],H941,Cash_Flow_3[Type],"Out",Cash_Flow_3[Category],"Loandry")</f>
        <v>0</v>
      </c>
      <c r="Q941" s="29">
        <f>SUMIFS(Cash_Flow_3[Amount],Cash_Flow_3[Bulan],H941,Cash_Flow_3[Type],"Out",Cash_Flow_3[Category],"Mio")</f>
        <v>0</v>
      </c>
      <c r="R941" s="29">
        <f>SUMIFS(Cash_Flow_3[Amount],Cash_Flow_3[Bulan],H941,Cash_Flow_3[Type],"Out",Cash_Flow_3[Category],"Sedekah")</f>
        <v>0</v>
      </c>
      <c r="S941" s="29">
        <f>SUMIFS(Cash_Flow_3[Amount],Cash_Flow_3[Bulan],H941,Cash_Flow_3[Type],"Out",Cash_Flow_3[Category],"Zela")</f>
        <v>0</v>
      </c>
      <c r="T941" s="29">
        <f>SUMIFS(Cash_Flow_3[Amount],Cash_Flow_3[Bulan],H941,Cash_Flow_3[Type],"Out",Cash_Flow_3[Category],"Iqbal")</f>
        <v>0</v>
      </c>
    </row>
    <row r="942" spans="1:20" ht="22.5" customHeight="1" x14ac:dyDescent="0.2">
      <c r="A942" s="23"/>
      <c r="B942" s="24"/>
      <c r="C942" s="25"/>
      <c r="D942" s="25"/>
      <c r="E942" s="25"/>
      <c r="F942" s="26"/>
      <c r="G942" s="27"/>
      <c r="H942" s="28" t="str">
        <f t="shared" si="0"/>
        <v/>
      </c>
      <c r="I942" s="29">
        <f>SUMIFS(Cash_Flow_3[Amount],Cash_Flow_3[Bulan],H942,Cash_Flow_3[Type],"In")</f>
        <v>0</v>
      </c>
      <c r="J942" s="29">
        <f>SUMIFS(Cash_Flow_3[Amount],Cash_Flow_3[Bulan],H942,Cash_Flow_3[Type],"Out")</f>
        <v>0</v>
      </c>
      <c r="K942" s="29">
        <f>SUMIFS(Cash_Flow_3[Amount],Cash_Flow_3[Bulan],H942,Cash_Flow_3[Type],"Out",Cash_Flow_3[Category],"Fix")</f>
        <v>0</v>
      </c>
      <c r="L942" s="29">
        <f>SUMIFS(Cash_Flow_3[Amount],Cash_Flow_3[Bulan],H942,Cash_Flow_3[Type],"Out",Cash_Flow_3[Category],"Bathroom")</f>
        <v>0</v>
      </c>
      <c r="M942" s="29">
        <f>SUMIFS(Cash_Flow_3[Amount],Cash_Flow_3[Bulan],H942,Cash_Flow_3[Type],"Out",Cash_Flow_3[Category],"Alfa")</f>
        <v>0</v>
      </c>
      <c r="N942" s="29">
        <f>SUMIFS(Cash_Flow_3[Amount],Cash_Flow_3[Bulan],H942,Cash_Flow_3[Type],"Out",Cash_Flow_3[Category],"Jajan")</f>
        <v>0</v>
      </c>
      <c r="O942" s="29">
        <f>SUMIFS(Cash_Flow_3[Amount],Cash_Flow_3[Bulan],H942,Cash_Flow_3[Type],"Out",Cash_Flow_3[Category],"Kitchen")</f>
        <v>0</v>
      </c>
      <c r="P942" s="29">
        <f>SUMIFS(Cash_Flow_3[Amount],Cash_Flow_3[Bulan],H942,Cash_Flow_3[Type],"Out",Cash_Flow_3[Category],"Loandry")</f>
        <v>0</v>
      </c>
      <c r="Q942" s="29">
        <f>SUMIFS(Cash_Flow_3[Amount],Cash_Flow_3[Bulan],H942,Cash_Flow_3[Type],"Out",Cash_Flow_3[Category],"Mio")</f>
        <v>0</v>
      </c>
      <c r="R942" s="29">
        <f>SUMIFS(Cash_Flow_3[Amount],Cash_Flow_3[Bulan],H942,Cash_Flow_3[Type],"Out",Cash_Flow_3[Category],"Sedekah")</f>
        <v>0</v>
      </c>
      <c r="S942" s="29">
        <f>SUMIFS(Cash_Flow_3[Amount],Cash_Flow_3[Bulan],H942,Cash_Flow_3[Type],"Out",Cash_Flow_3[Category],"Zela")</f>
        <v>0</v>
      </c>
      <c r="T942" s="29">
        <f>SUMIFS(Cash_Flow_3[Amount],Cash_Flow_3[Bulan],H942,Cash_Flow_3[Type],"Out",Cash_Flow_3[Category],"Iqbal")</f>
        <v>0</v>
      </c>
    </row>
    <row r="943" spans="1:20" ht="22.5" customHeight="1" x14ac:dyDescent="0.2">
      <c r="A943" s="23"/>
      <c r="B943" s="24"/>
      <c r="C943" s="25"/>
      <c r="D943" s="25"/>
      <c r="E943" s="25"/>
      <c r="F943" s="26"/>
      <c r="G943" s="27"/>
      <c r="H943" s="28" t="str">
        <f t="shared" si="0"/>
        <v/>
      </c>
      <c r="I943" s="29">
        <f>SUMIFS(Cash_Flow_3[Amount],Cash_Flow_3[Bulan],H943,Cash_Flow_3[Type],"In")</f>
        <v>0</v>
      </c>
      <c r="J943" s="29">
        <f>SUMIFS(Cash_Flow_3[Amount],Cash_Flow_3[Bulan],H943,Cash_Flow_3[Type],"Out")</f>
        <v>0</v>
      </c>
      <c r="K943" s="29">
        <f>SUMIFS(Cash_Flow_3[Amount],Cash_Flow_3[Bulan],H943,Cash_Flow_3[Type],"Out",Cash_Flow_3[Category],"Fix")</f>
        <v>0</v>
      </c>
      <c r="L943" s="29">
        <f>SUMIFS(Cash_Flow_3[Amount],Cash_Flow_3[Bulan],H943,Cash_Flow_3[Type],"Out",Cash_Flow_3[Category],"Bathroom")</f>
        <v>0</v>
      </c>
      <c r="M943" s="29">
        <f>SUMIFS(Cash_Flow_3[Amount],Cash_Flow_3[Bulan],H943,Cash_Flow_3[Type],"Out",Cash_Flow_3[Category],"Alfa")</f>
        <v>0</v>
      </c>
      <c r="N943" s="29">
        <f>SUMIFS(Cash_Flow_3[Amount],Cash_Flow_3[Bulan],H943,Cash_Flow_3[Type],"Out",Cash_Flow_3[Category],"Jajan")</f>
        <v>0</v>
      </c>
      <c r="O943" s="29">
        <f>SUMIFS(Cash_Flow_3[Amount],Cash_Flow_3[Bulan],H943,Cash_Flow_3[Type],"Out",Cash_Flow_3[Category],"Kitchen")</f>
        <v>0</v>
      </c>
      <c r="P943" s="29">
        <f>SUMIFS(Cash_Flow_3[Amount],Cash_Flow_3[Bulan],H943,Cash_Flow_3[Type],"Out",Cash_Flow_3[Category],"Loandry")</f>
        <v>0</v>
      </c>
      <c r="Q943" s="29">
        <f>SUMIFS(Cash_Flow_3[Amount],Cash_Flow_3[Bulan],H943,Cash_Flow_3[Type],"Out",Cash_Flow_3[Category],"Mio")</f>
        <v>0</v>
      </c>
      <c r="R943" s="29">
        <f>SUMIFS(Cash_Flow_3[Amount],Cash_Flow_3[Bulan],H943,Cash_Flow_3[Type],"Out",Cash_Flow_3[Category],"Sedekah")</f>
        <v>0</v>
      </c>
      <c r="S943" s="29">
        <f>SUMIFS(Cash_Flow_3[Amount],Cash_Flow_3[Bulan],H943,Cash_Flow_3[Type],"Out",Cash_Flow_3[Category],"Zela")</f>
        <v>0</v>
      </c>
      <c r="T943" s="29">
        <f>SUMIFS(Cash_Flow_3[Amount],Cash_Flow_3[Bulan],H943,Cash_Flow_3[Type],"Out",Cash_Flow_3[Category],"Iqbal")</f>
        <v>0</v>
      </c>
    </row>
    <row r="944" spans="1:20" ht="22.5" customHeight="1" x14ac:dyDescent="0.2">
      <c r="A944" s="23"/>
      <c r="B944" s="24"/>
      <c r="C944" s="25"/>
      <c r="D944" s="25"/>
      <c r="E944" s="25"/>
      <c r="F944" s="26"/>
      <c r="G944" s="27"/>
      <c r="H944" s="28" t="str">
        <f t="shared" si="0"/>
        <v/>
      </c>
      <c r="I944" s="29">
        <f>SUMIFS(Cash_Flow_3[Amount],Cash_Flow_3[Bulan],H944,Cash_Flow_3[Type],"In")</f>
        <v>0</v>
      </c>
      <c r="J944" s="29">
        <f>SUMIFS(Cash_Flow_3[Amount],Cash_Flow_3[Bulan],H944,Cash_Flow_3[Type],"Out")</f>
        <v>0</v>
      </c>
      <c r="K944" s="29">
        <f>SUMIFS(Cash_Flow_3[Amount],Cash_Flow_3[Bulan],H944,Cash_Flow_3[Type],"Out",Cash_Flow_3[Category],"Fix")</f>
        <v>0</v>
      </c>
      <c r="L944" s="29">
        <f>SUMIFS(Cash_Flow_3[Amount],Cash_Flow_3[Bulan],H944,Cash_Flow_3[Type],"Out",Cash_Flow_3[Category],"Bathroom")</f>
        <v>0</v>
      </c>
      <c r="M944" s="29">
        <f>SUMIFS(Cash_Flow_3[Amount],Cash_Flow_3[Bulan],H944,Cash_Flow_3[Type],"Out",Cash_Flow_3[Category],"Alfa")</f>
        <v>0</v>
      </c>
      <c r="N944" s="29">
        <f>SUMIFS(Cash_Flow_3[Amount],Cash_Flow_3[Bulan],H944,Cash_Flow_3[Type],"Out",Cash_Flow_3[Category],"Jajan")</f>
        <v>0</v>
      </c>
      <c r="O944" s="29">
        <f>SUMIFS(Cash_Flow_3[Amount],Cash_Flow_3[Bulan],H944,Cash_Flow_3[Type],"Out",Cash_Flow_3[Category],"Kitchen")</f>
        <v>0</v>
      </c>
      <c r="P944" s="29">
        <f>SUMIFS(Cash_Flow_3[Amount],Cash_Flow_3[Bulan],H944,Cash_Flow_3[Type],"Out",Cash_Flow_3[Category],"Loandry")</f>
        <v>0</v>
      </c>
      <c r="Q944" s="29">
        <f>SUMIFS(Cash_Flow_3[Amount],Cash_Flow_3[Bulan],H944,Cash_Flow_3[Type],"Out",Cash_Flow_3[Category],"Mio")</f>
        <v>0</v>
      </c>
      <c r="R944" s="29">
        <f>SUMIFS(Cash_Flow_3[Amount],Cash_Flow_3[Bulan],H944,Cash_Flow_3[Type],"Out",Cash_Flow_3[Category],"Sedekah")</f>
        <v>0</v>
      </c>
      <c r="S944" s="29">
        <f>SUMIFS(Cash_Flow_3[Amount],Cash_Flow_3[Bulan],H944,Cash_Flow_3[Type],"Out",Cash_Flow_3[Category],"Zela")</f>
        <v>0</v>
      </c>
      <c r="T944" s="29">
        <f>SUMIFS(Cash_Flow_3[Amount],Cash_Flow_3[Bulan],H944,Cash_Flow_3[Type],"Out",Cash_Flow_3[Category],"Iqbal")</f>
        <v>0</v>
      </c>
    </row>
    <row r="945" spans="1:20" ht="22.5" customHeight="1" x14ac:dyDescent="0.2">
      <c r="A945" s="23"/>
      <c r="B945" s="24"/>
      <c r="C945" s="25"/>
      <c r="D945" s="25"/>
      <c r="E945" s="25"/>
      <c r="F945" s="26"/>
      <c r="G945" s="27"/>
      <c r="H945" s="28" t="str">
        <f t="shared" si="0"/>
        <v/>
      </c>
      <c r="I945" s="29">
        <f>SUMIFS(Cash_Flow_3[Amount],Cash_Flow_3[Bulan],H945,Cash_Flow_3[Type],"In")</f>
        <v>0</v>
      </c>
      <c r="J945" s="29">
        <f>SUMIFS(Cash_Flow_3[Amount],Cash_Flow_3[Bulan],H945,Cash_Flow_3[Type],"Out")</f>
        <v>0</v>
      </c>
      <c r="K945" s="29">
        <f>SUMIFS(Cash_Flow_3[Amount],Cash_Flow_3[Bulan],H945,Cash_Flow_3[Type],"Out",Cash_Flow_3[Category],"Fix")</f>
        <v>0</v>
      </c>
      <c r="L945" s="29">
        <f>SUMIFS(Cash_Flow_3[Amount],Cash_Flow_3[Bulan],H945,Cash_Flow_3[Type],"Out",Cash_Flow_3[Category],"Bathroom")</f>
        <v>0</v>
      </c>
      <c r="M945" s="29">
        <f>SUMIFS(Cash_Flow_3[Amount],Cash_Flow_3[Bulan],H945,Cash_Flow_3[Type],"Out",Cash_Flow_3[Category],"Alfa")</f>
        <v>0</v>
      </c>
      <c r="N945" s="29">
        <f>SUMIFS(Cash_Flow_3[Amount],Cash_Flow_3[Bulan],H945,Cash_Flow_3[Type],"Out",Cash_Flow_3[Category],"Jajan")</f>
        <v>0</v>
      </c>
      <c r="O945" s="29">
        <f>SUMIFS(Cash_Flow_3[Amount],Cash_Flow_3[Bulan],H945,Cash_Flow_3[Type],"Out",Cash_Flow_3[Category],"Kitchen")</f>
        <v>0</v>
      </c>
      <c r="P945" s="29">
        <f>SUMIFS(Cash_Flow_3[Amount],Cash_Flow_3[Bulan],H945,Cash_Flow_3[Type],"Out",Cash_Flow_3[Category],"Loandry")</f>
        <v>0</v>
      </c>
      <c r="Q945" s="29">
        <f>SUMIFS(Cash_Flow_3[Amount],Cash_Flow_3[Bulan],H945,Cash_Flow_3[Type],"Out",Cash_Flow_3[Category],"Mio")</f>
        <v>0</v>
      </c>
      <c r="R945" s="29">
        <f>SUMIFS(Cash_Flow_3[Amount],Cash_Flow_3[Bulan],H945,Cash_Flow_3[Type],"Out",Cash_Flow_3[Category],"Sedekah")</f>
        <v>0</v>
      </c>
      <c r="S945" s="29">
        <f>SUMIFS(Cash_Flow_3[Amount],Cash_Flow_3[Bulan],H945,Cash_Flow_3[Type],"Out",Cash_Flow_3[Category],"Zela")</f>
        <v>0</v>
      </c>
      <c r="T945" s="29">
        <f>SUMIFS(Cash_Flow_3[Amount],Cash_Flow_3[Bulan],H945,Cash_Flow_3[Type],"Out",Cash_Flow_3[Category],"Iqbal")</f>
        <v>0</v>
      </c>
    </row>
    <row r="946" spans="1:20" ht="22.5" customHeight="1" x14ac:dyDescent="0.2">
      <c r="A946" s="23"/>
      <c r="B946" s="24"/>
      <c r="C946" s="25"/>
      <c r="D946" s="25"/>
      <c r="E946" s="25"/>
      <c r="F946" s="26"/>
      <c r="G946" s="27"/>
      <c r="H946" s="28" t="str">
        <f t="shared" si="0"/>
        <v/>
      </c>
      <c r="I946" s="29">
        <f>SUMIFS(Cash_Flow_3[Amount],Cash_Flow_3[Bulan],H946,Cash_Flow_3[Type],"In")</f>
        <v>0</v>
      </c>
      <c r="J946" s="29">
        <f>SUMIFS(Cash_Flow_3[Amount],Cash_Flow_3[Bulan],H946,Cash_Flow_3[Type],"Out")</f>
        <v>0</v>
      </c>
      <c r="K946" s="29">
        <f>SUMIFS(Cash_Flow_3[Amount],Cash_Flow_3[Bulan],H946,Cash_Flow_3[Type],"Out",Cash_Flow_3[Category],"Fix")</f>
        <v>0</v>
      </c>
      <c r="L946" s="29">
        <f>SUMIFS(Cash_Flow_3[Amount],Cash_Flow_3[Bulan],H946,Cash_Flow_3[Type],"Out",Cash_Flow_3[Category],"Bathroom")</f>
        <v>0</v>
      </c>
      <c r="M946" s="29">
        <f>SUMIFS(Cash_Flow_3[Amount],Cash_Flow_3[Bulan],H946,Cash_Flow_3[Type],"Out",Cash_Flow_3[Category],"Alfa")</f>
        <v>0</v>
      </c>
      <c r="N946" s="29">
        <f>SUMIFS(Cash_Flow_3[Amount],Cash_Flow_3[Bulan],H946,Cash_Flow_3[Type],"Out",Cash_Flow_3[Category],"Jajan")</f>
        <v>0</v>
      </c>
      <c r="O946" s="29">
        <f>SUMIFS(Cash_Flow_3[Amount],Cash_Flow_3[Bulan],H946,Cash_Flow_3[Type],"Out",Cash_Flow_3[Category],"Kitchen")</f>
        <v>0</v>
      </c>
      <c r="P946" s="29">
        <f>SUMIFS(Cash_Flow_3[Amount],Cash_Flow_3[Bulan],H946,Cash_Flow_3[Type],"Out",Cash_Flow_3[Category],"Loandry")</f>
        <v>0</v>
      </c>
      <c r="Q946" s="29">
        <f>SUMIFS(Cash_Flow_3[Amount],Cash_Flow_3[Bulan],H946,Cash_Flow_3[Type],"Out",Cash_Flow_3[Category],"Mio")</f>
        <v>0</v>
      </c>
      <c r="R946" s="29">
        <f>SUMIFS(Cash_Flow_3[Amount],Cash_Flow_3[Bulan],H946,Cash_Flow_3[Type],"Out",Cash_Flow_3[Category],"Sedekah")</f>
        <v>0</v>
      </c>
      <c r="S946" s="29">
        <f>SUMIFS(Cash_Flow_3[Amount],Cash_Flow_3[Bulan],H946,Cash_Flow_3[Type],"Out",Cash_Flow_3[Category],"Zela")</f>
        <v>0</v>
      </c>
      <c r="T946" s="29">
        <f>SUMIFS(Cash_Flow_3[Amount],Cash_Flow_3[Bulan],H946,Cash_Flow_3[Type],"Out",Cash_Flow_3[Category],"Iqbal")</f>
        <v>0</v>
      </c>
    </row>
    <row r="947" spans="1:20" ht="22.5" customHeight="1" x14ac:dyDescent="0.2">
      <c r="A947" s="23"/>
      <c r="B947" s="24"/>
      <c r="C947" s="25"/>
      <c r="D947" s="25"/>
      <c r="E947" s="25"/>
      <c r="F947" s="26"/>
      <c r="G947" s="27"/>
      <c r="H947" s="28" t="str">
        <f t="shared" si="0"/>
        <v/>
      </c>
      <c r="I947" s="29">
        <f>SUMIFS(Cash_Flow_3[Amount],Cash_Flow_3[Bulan],H947,Cash_Flow_3[Type],"In")</f>
        <v>0</v>
      </c>
      <c r="J947" s="29">
        <f>SUMIFS(Cash_Flow_3[Amount],Cash_Flow_3[Bulan],H947,Cash_Flow_3[Type],"Out")</f>
        <v>0</v>
      </c>
      <c r="K947" s="29">
        <f>SUMIFS(Cash_Flow_3[Amount],Cash_Flow_3[Bulan],H947,Cash_Flow_3[Type],"Out",Cash_Flow_3[Category],"Fix")</f>
        <v>0</v>
      </c>
      <c r="L947" s="29">
        <f>SUMIFS(Cash_Flow_3[Amount],Cash_Flow_3[Bulan],H947,Cash_Flow_3[Type],"Out",Cash_Flow_3[Category],"Bathroom")</f>
        <v>0</v>
      </c>
      <c r="M947" s="29">
        <f>SUMIFS(Cash_Flow_3[Amount],Cash_Flow_3[Bulan],H947,Cash_Flow_3[Type],"Out",Cash_Flow_3[Category],"Alfa")</f>
        <v>0</v>
      </c>
      <c r="N947" s="29">
        <f>SUMIFS(Cash_Flow_3[Amount],Cash_Flow_3[Bulan],H947,Cash_Flow_3[Type],"Out",Cash_Flow_3[Category],"Jajan")</f>
        <v>0</v>
      </c>
      <c r="O947" s="29">
        <f>SUMIFS(Cash_Flow_3[Amount],Cash_Flow_3[Bulan],H947,Cash_Flow_3[Type],"Out",Cash_Flow_3[Category],"Kitchen")</f>
        <v>0</v>
      </c>
      <c r="P947" s="29">
        <f>SUMIFS(Cash_Flow_3[Amount],Cash_Flow_3[Bulan],H947,Cash_Flow_3[Type],"Out",Cash_Flow_3[Category],"Loandry")</f>
        <v>0</v>
      </c>
      <c r="Q947" s="29">
        <f>SUMIFS(Cash_Flow_3[Amount],Cash_Flow_3[Bulan],H947,Cash_Flow_3[Type],"Out",Cash_Flow_3[Category],"Mio")</f>
        <v>0</v>
      </c>
      <c r="R947" s="29">
        <f>SUMIFS(Cash_Flow_3[Amount],Cash_Flow_3[Bulan],H947,Cash_Flow_3[Type],"Out",Cash_Flow_3[Category],"Sedekah")</f>
        <v>0</v>
      </c>
      <c r="S947" s="29">
        <f>SUMIFS(Cash_Flow_3[Amount],Cash_Flow_3[Bulan],H947,Cash_Flow_3[Type],"Out",Cash_Flow_3[Category],"Zela")</f>
        <v>0</v>
      </c>
      <c r="T947" s="29">
        <f>SUMIFS(Cash_Flow_3[Amount],Cash_Flow_3[Bulan],H947,Cash_Flow_3[Type],"Out",Cash_Flow_3[Category],"Iqbal")</f>
        <v>0</v>
      </c>
    </row>
    <row r="948" spans="1:20" ht="22.5" customHeight="1" x14ac:dyDescent="0.2">
      <c r="A948" s="23"/>
      <c r="B948" s="24"/>
      <c r="C948" s="25"/>
      <c r="D948" s="25"/>
      <c r="E948" s="25"/>
      <c r="F948" s="26"/>
      <c r="G948" s="27"/>
      <c r="H948" s="28" t="str">
        <f t="shared" si="0"/>
        <v/>
      </c>
      <c r="I948" s="29">
        <f>SUMIFS(Cash_Flow_3[Amount],Cash_Flow_3[Bulan],H948,Cash_Flow_3[Type],"In")</f>
        <v>0</v>
      </c>
      <c r="J948" s="29">
        <f>SUMIFS(Cash_Flow_3[Amount],Cash_Flow_3[Bulan],H948,Cash_Flow_3[Type],"Out")</f>
        <v>0</v>
      </c>
      <c r="K948" s="29">
        <f>SUMIFS(Cash_Flow_3[Amount],Cash_Flow_3[Bulan],H948,Cash_Flow_3[Type],"Out",Cash_Flow_3[Category],"Fix")</f>
        <v>0</v>
      </c>
      <c r="L948" s="29">
        <f>SUMIFS(Cash_Flow_3[Amount],Cash_Flow_3[Bulan],H948,Cash_Flow_3[Type],"Out",Cash_Flow_3[Category],"Bathroom")</f>
        <v>0</v>
      </c>
      <c r="M948" s="29">
        <f>SUMIFS(Cash_Flow_3[Amount],Cash_Flow_3[Bulan],H948,Cash_Flow_3[Type],"Out",Cash_Flow_3[Category],"Alfa")</f>
        <v>0</v>
      </c>
      <c r="N948" s="29">
        <f>SUMIFS(Cash_Flow_3[Amount],Cash_Flow_3[Bulan],H948,Cash_Flow_3[Type],"Out",Cash_Flow_3[Category],"Jajan")</f>
        <v>0</v>
      </c>
      <c r="O948" s="29">
        <f>SUMIFS(Cash_Flow_3[Amount],Cash_Flow_3[Bulan],H948,Cash_Flow_3[Type],"Out",Cash_Flow_3[Category],"Kitchen")</f>
        <v>0</v>
      </c>
      <c r="P948" s="29">
        <f>SUMIFS(Cash_Flow_3[Amount],Cash_Flow_3[Bulan],H948,Cash_Flow_3[Type],"Out",Cash_Flow_3[Category],"Loandry")</f>
        <v>0</v>
      </c>
      <c r="Q948" s="29">
        <f>SUMIFS(Cash_Flow_3[Amount],Cash_Flow_3[Bulan],H948,Cash_Flow_3[Type],"Out",Cash_Flow_3[Category],"Mio")</f>
        <v>0</v>
      </c>
      <c r="R948" s="29">
        <f>SUMIFS(Cash_Flow_3[Amount],Cash_Flow_3[Bulan],H948,Cash_Flow_3[Type],"Out",Cash_Flow_3[Category],"Sedekah")</f>
        <v>0</v>
      </c>
      <c r="S948" s="29">
        <f>SUMIFS(Cash_Flow_3[Amount],Cash_Flow_3[Bulan],H948,Cash_Flow_3[Type],"Out",Cash_Flow_3[Category],"Zela")</f>
        <v>0</v>
      </c>
      <c r="T948" s="29">
        <f>SUMIFS(Cash_Flow_3[Amount],Cash_Flow_3[Bulan],H948,Cash_Flow_3[Type],"Out",Cash_Flow_3[Category],"Iqbal")</f>
        <v>0</v>
      </c>
    </row>
    <row r="949" spans="1:20" ht="22.5" customHeight="1" x14ac:dyDescent="0.2">
      <c r="A949" s="23"/>
      <c r="B949" s="24"/>
      <c r="C949" s="25"/>
      <c r="D949" s="25"/>
      <c r="E949" s="25"/>
      <c r="F949" s="26"/>
      <c r="G949" s="27"/>
      <c r="H949" s="28" t="str">
        <f t="shared" si="0"/>
        <v/>
      </c>
      <c r="I949" s="29">
        <f>SUMIFS(Cash_Flow_3[Amount],Cash_Flow_3[Bulan],H949,Cash_Flow_3[Type],"In")</f>
        <v>0</v>
      </c>
      <c r="J949" s="29">
        <f>SUMIFS(Cash_Flow_3[Amount],Cash_Flow_3[Bulan],H949,Cash_Flow_3[Type],"Out")</f>
        <v>0</v>
      </c>
      <c r="K949" s="29">
        <f>SUMIFS(Cash_Flow_3[Amount],Cash_Flow_3[Bulan],H949,Cash_Flow_3[Type],"Out",Cash_Flow_3[Category],"Fix")</f>
        <v>0</v>
      </c>
      <c r="L949" s="29">
        <f>SUMIFS(Cash_Flow_3[Amount],Cash_Flow_3[Bulan],H949,Cash_Flow_3[Type],"Out",Cash_Flow_3[Category],"Bathroom")</f>
        <v>0</v>
      </c>
      <c r="M949" s="29">
        <f>SUMIFS(Cash_Flow_3[Amount],Cash_Flow_3[Bulan],H949,Cash_Flow_3[Type],"Out",Cash_Flow_3[Category],"Alfa")</f>
        <v>0</v>
      </c>
      <c r="N949" s="29">
        <f>SUMIFS(Cash_Flow_3[Amount],Cash_Flow_3[Bulan],H949,Cash_Flow_3[Type],"Out",Cash_Flow_3[Category],"Jajan")</f>
        <v>0</v>
      </c>
      <c r="O949" s="29">
        <f>SUMIFS(Cash_Flow_3[Amount],Cash_Flow_3[Bulan],H949,Cash_Flow_3[Type],"Out",Cash_Flow_3[Category],"Kitchen")</f>
        <v>0</v>
      </c>
      <c r="P949" s="29">
        <f>SUMIFS(Cash_Flow_3[Amount],Cash_Flow_3[Bulan],H949,Cash_Flow_3[Type],"Out",Cash_Flow_3[Category],"Loandry")</f>
        <v>0</v>
      </c>
      <c r="Q949" s="29">
        <f>SUMIFS(Cash_Flow_3[Amount],Cash_Flow_3[Bulan],H949,Cash_Flow_3[Type],"Out",Cash_Flow_3[Category],"Mio")</f>
        <v>0</v>
      </c>
      <c r="R949" s="29">
        <f>SUMIFS(Cash_Flow_3[Amount],Cash_Flow_3[Bulan],H949,Cash_Flow_3[Type],"Out",Cash_Flow_3[Category],"Sedekah")</f>
        <v>0</v>
      </c>
      <c r="S949" s="29">
        <f>SUMIFS(Cash_Flow_3[Amount],Cash_Flow_3[Bulan],H949,Cash_Flow_3[Type],"Out",Cash_Flow_3[Category],"Zela")</f>
        <v>0</v>
      </c>
      <c r="T949" s="29">
        <f>SUMIFS(Cash_Flow_3[Amount],Cash_Flow_3[Bulan],H949,Cash_Flow_3[Type],"Out",Cash_Flow_3[Category],"Iqbal")</f>
        <v>0</v>
      </c>
    </row>
    <row r="950" spans="1:20" ht="22.5" customHeight="1" x14ac:dyDescent="0.2">
      <c r="A950" s="23"/>
      <c r="B950" s="24"/>
      <c r="C950" s="25"/>
      <c r="D950" s="25"/>
      <c r="E950" s="25"/>
      <c r="F950" s="26"/>
      <c r="G950" s="27"/>
      <c r="H950" s="28" t="str">
        <f t="shared" si="0"/>
        <v/>
      </c>
      <c r="I950" s="29">
        <f>SUMIFS(Cash_Flow_3[Amount],Cash_Flow_3[Bulan],H950,Cash_Flow_3[Type],"In")</f>
        <v>0</v>
      </c>
      <c r="J950" s="29">
        <f>SUMIFS(Cash_Flow_3[Amount],Cash_Flow_3[Bulan],H950,Cash_Flow_3[Type],"Out")</f>
        <v>0</v>
      </c>
      <c r="K950" s="29">
        <f>SUMIFS(Cash_Flow_3[Amount],Cash_Flow_3[Bulan],H950,Cash_Flow_3[Type],"Out",Cash_Flow_3[Category],"Fix")</f>
        <v>0</v>
      </c>
      <c r="L950" s="29">
        <f>SUMIFS(Cash_Flow_3[Amount],Cash_Flow_3[Bulan],H950,Cash_Flow_3[Type],"Out",Cash_Flow_3[Category],"Bathroom")</f>
        <v>0</v>
      </c>
      <c r="M950" s="29">
        <f>SUMIFS(Cash_Flow_3[Amount],Cash_Flow_3[Bulan],H950,Cash_Flow_3[Type],"Out",Cash_Flow_3[Category],"Alfa")</f>
        <v>0</v>
      </c>
      <c r="N950" s="29">
        <f>SUMIFS(Cash_Flow_3[Amount],Cash_Flow_3[Bulan],H950,Cash_Flow_3[Type],"Out",Cash_Flow_3[Category],"Jajan")</f>
        <v>0</v>
      </c>
      <c r="O950" s="29">
        <f>SUMIFS(Cash_Flow_3[Amount],Cash_Flow_3[Bulan],H950,Cash_Flow_3[Type],"Out",Cash_Flow_3[Category],"Kitchen")</f>
        <v>0</v>
      </c>
      <c r="P950" s="29">
        <f>SUMIFS(Cash_Flow_3[Amount],Cash_Flow_3[Bulan],H950,Cash_Flow_3[Type],"Out",Cash_Flow_3[Category],"Loandry")</f>
        <v>0</v>
      </c>
      <c r="Q950" s="29">
        <f>SUMIFS(Cash_Flow_3[Amount],Cash_Flow_3[Bulan],H950,Cash_Flow_3[Type],"Out",Cash_Flow_3[Category],"Mio")</f>
        <v>0</v>
      </c>
      <c r="R950" s="29">
        <f>SUMIFS(Cash_Flow_3[Amount],Cash_Flow_3[Bulan],H950,Cash_Flow_3[Type],"Out",Cash_Flow_3[Category],"Sedekah")</f>
        <v>0</v>
      </c>
      <c r="S950" s="29">
        <f>SUMIFS(Cash_Flow_3[Amount],Cash_Flow_3[Bulan],H950,Cash_Flow_3[Type],"Out",Cash_Flow_3[Category],"Zela")</f>
        <v>0</v>
      </c>
      <c r="T950" s="29">
        <f>SUMIFS(Cash_Flow_3[Amount],Cash_Flow_3[Bulan],H950,Cash_Flow_3[Type],"Out",Cash_Flow_3[Category],"Iqbal")</f>
        <v>0</v>
      </c>
    </row>
    <row r="951" spans="1:20" ht="22.5" customHeight="1" x14ac:dyDescent="0.2">
      <c r="A951" s="23"/>
      <c r="B951" s="24"/>
      <c r="C951" s="25"/>
      <c r="D951" s="25"/>
      <c r="E951" s="25"/>
      <c r="F951" s="26"/>
      <c r="G951" s="27"/>
      <c r="H951" s="28" t="str">
        <f t="shared" si="0"/>
        <v/>
      </c>
      <c r="I951" s="29">
        <f>SUMIFS(Cash_Flow_3[Amount],Cash_Flow_3[Bulan],H951,Cash_Flow_3[Type],"In")</f>
        <v>0</v>
      </c>
      <c r="J951" s="29">
        <f>SUMIFS(Cash_Flow_3[Amount],Cash_Flow_3[Bulan],H951,Cash_Flow_3[Type],"Out")</f>
        <v>0</v>
      </c>
      <c r="K951" s="29">
        <f>SUMIFS(Cash_Flow_3[Amount],Cash_Flow_3[Bulan],H951,Cash_Flow_3[Type],"Out",Cash_Flow_3[Category],"Fix")</f>
        <v>0</v>
      </c>
      <c r="L951" s="29">
        <f>SUMIFS(Cash_Flow_3[Amount],Cash_Flow_3[Bulan],H951,Cash_Flow_3[Type],"Out",Cash_Flow_3[Category],"Bathroom")</f>
        <v>0</v>
      </c>
      <c r="M951" s="29">
        <f>SUMIFS(Cash_Flow_3[Amount],Cash_Flow_3[Bulan],H951,Cash_Flow_3[Type],"Out",Cash_Flow_3[Category],"Alfa")</f>
        <v>0</v>
      </c>
      <c r="N951" s="29">
        <f>SUMIFS(Cash_Flow_3[Amount],Cash_Flow_3[Bulan],H951,Cash_Flow_3[Type],"Out",Cash_Flow_3[Category],"Jajan")</f>
        <v>0</v>
      </c>
      <c r="O951" s="29">
        <f>SUMIFS(Cash_Flow_3[Amount],Cash_Flow_3[Bulan],H951,Cash_Flow_3[Type],"Out",Cash_Flow_3[Category],"Kitchen")</f>
        <v>0</v>
      </c>
      <c r="P951" s="29">
        <f>SUMIFS(Cash_Flow_3[Amount],Cash_Flow_3[Bulan],H951,Cash_Flow_3[Type],"Out",Cash_Flow_3[Category],"Loandry")</f>
        <v>0</v>
      </c>
      <c r="Q951" s="29">
        <f>SUMIFS(Cash_Flow_3[Amount],Cash_Flow_3[Bulan],H951,Cash_Flow_3[Type],"Out",Cash_Flow_3[Category],"Mio")</f>
        <v>0</v>
      </c>
      <c r="R951" s="29">
        <f>SUMIFS(Cash_Flow_3[Amount],Cash_Flow_3[Bulan],H951,Cash_Flow_3[Type],"Out",Cash_Flow_3[Category],"Sedekah")</f>
        <v>0</v>
      </c>
      <c r="S951" s="29">
        <f>SUMIFS(Cash_Flow_3[Amount],Cash_Flow_3[Bulan],H951,Cash_Flow_3[Type],"Out",Cash_Flow_3[Category],"Zela")</f>
        <v>0</v>
      </c>
      <c r="T951" s="29">
        <f>SUMIFS(Cash_Flow_3[Amount],Cash_Flow_3[Bulan],H951,Cash_Flow_3[Type],"Out",Cash_Flow_3[Category],"Iqbal")</f>
        <v>0</v>
      </c>
    </row>
    <row r="952" spans="1:20" ht="22.5" customHeight="1" x14ac:dyDescent="0.2">
      <c r="A952" s="23"/>
      <c r="B952" s="24"/>
      <c r="C952" s="25"/>
      <c r="D952" s="25"/>
      <c r="E952" s="25"/>
      <c r="F952" s="26"/>
      <c r="G952" s="27"/>
      <c r="H952" s="28" t="str">
        <f t="shared" si="0"/>
        <v/>
      </c>
      <c r="I952" s="29">
        <f>SUMIFS(Cash_Flow_3[Amount],Cash_Flow_3[Bulan],H952,Cash_Flow_3[Type],"In")</f>
        <v>0</v>
      </c>
      <c r="J952" s="29">
        <f>SUMIFS(Cash_Flow_3[Amount],Cash_Flow_3[Bulan],H952,Cash_Flow_3[Type],"Out")</f>
        <v>0</v>
      </c>
      <c r="K952" s="29">
        <f>SUMIFS(Cash_Flow_3[Amount],Cash_Flow_3[Bulan],H952,Cash_Flow_3[Type],"Out",Cash_Flow_3[Category],"Fix")</f>
        <v>0</v>
      </c>
      <c r="L952" s="29">
        <f>SUMIFS(Cash_Flow_3[Amount],Cash_Flow_3[Bulan],H952,Cash_Flow_3[Type],"Out",Cash_Flow_3[Category],"Bathroom")</f>
        <v>0</v>
      </c>
      <c r="M952" s="29">
        <f>SUMIFS(Cash_Flow_3[Amount],Cash_Flow_3[Bulan],H952,Cash_Flow_3[Type],"Out",Cash_Flow_3[Category],"Alfa")</f>
        <v>0</v>
      </c>
      <c r="N952" s="29">
        <f>SUMIFS(Cash_Flow_3[Amount],Cash_Flow_3[Bulan],H952,Cash_Flow_3[Type],"Out",Cash_Flow_3[Category],"Jajan")</f>
        <v>0</v>
      </c>
      <c r="O952" s="29">
        <f>SUMIFS(Cash_Flow_3[Amount],Cash_Flow_3[Bulan],H952,Cash_Flow_3[Type],"Out",Cash_Flow_3[Category],"Kitchen")</f>
        <v>0</v>
      </c>
      <c r="P952" s="29">
        <f>SUMIFS(Cash_Flow_3[Amount],Cash_Flow_3[Bulan],H952,Cash_Flow_3[Type],"Out",Cash_Flow_3[Category],"Loandry")</f>
        <v>0</v>
      </c>
      <c r="Q952" s="29">
        <f>SUMIFS(Cash_Flow_3[Amount],Cash_Flow_3[Bulan],H952,Cash_Flow_3[Type],"Out",Cash_Flow_3[Category],"Mio")</f>
        <v>0</v>
      </c>
      <c r="R952" s="29">
        <f>SUMIFS(Cash_Flow_3[Amount],Cash_Flow_3[Bulan],H952,Cash_Flow_3[Type],"Out",Cash_Flow_3[Category],"Sedekah")</f>
        <v>0</v>
      </c>
      <c r="S952" s="29">
        <f>SUMIFS(Cash_Flow_3[Amount],Cash_Flow_3[Bulan],H952,Cash_Flow_3[Type],"Out",Cash_Flow_3[Category],"Zela")</f>
        <v>0</v>
      </c>
      <c r="T952" s="29">
        <f>SUMIFS(Cash_Flow_3[Amount],Cash_Flow_3[Bulan],H952,Cash_Flow_3[Type],"Out",Cash_Flow_3[Category],"Iqbal")</f>
        <v>0</v>
      </c>
    </row>
    <row r="953" spans="1:20" ht="22.5" customHeight="1" x14ac:dyDescent="0.2">
      <c r="A953" s="23"/>
      <c r="B953" s="24"/>
      <c r="C953" s="25"/>
      <c r="D953" s="25"/>
      <c r="E953" s="25"/>
      <c r="F953" s="26"/>
      <c r="G953" s="27"/>
      <c r="H953" s="28" t="str">
        <f t="shared" si="0"/>
        <v/>
      </c>
      <c r="I953" s="29">
        <f>SUMIFS(Cash_Flow_3[Amount],Cash_Flow_3[Bulan],H953,Cash_Flow_3[Type],"In")</f>
        <v>0</v>
      </c>
      <c r="J953" s="29">
        <f>SUMIFS(Cash_Flow_3[Amount],Cash_Flow_3[Bulan],H953,Cash_Flow_3[Type],"Out")</f>
        <v>0</v>
      </c>
      <c r="K953" s="29">
        <f>SUMIFS(Cash_Flow_3[Amount],Cash_Flow_3[Bulan],H953,Cash_Flow_3[Type],"Out",Cash_Flow_3[Category],"Fix")</f>
        <v>0</v>
      </c>
      <c r="L953" s="29">
        <f>SUMIFS(Cash_Flow_3[Amount],Cash_Flow_3[Bulan],H953,Cash_Flow_3[Type],"Out",Cash_Flow_3[Category],"Bathroom")</f>
        <v>0</v>
      </c>
      <c r="M953" s="29">
        <f>SUMIFS(Cash_Flow_3[Amount],Cash_Flow_3[Bulan],H953,Cash_Flow_3[Type],"Out",Cash_Flow_3[Category],"Alfa")</f>
        <v>0</v>
      </c>
      <c r="N953" s="29">
        <f>SUMIFS(Cash_Flow_3[Amount],Cash_Flow_3[Bulan],H953,Cash_Flow_3[Type],"Out",Cash_Flow_3[Category],"Jajan")</f>
        <v>0</v>
      </c>
      <c r="O953" s="29">
        <f>SUMIFS(Cash_Flow_3[Amount],Cash_Flow_3[Bulan],H953,Cash_Flow_3[Type],"Out",Cash_Flow_3[Category],"Kitchen")</f>
        <v>0</v>
      </c>
      <c r="P953" s="29">
        <f>SUMIFS(Cash_Flow_3[Amount],Cash_Flow_3[Bulan],H953,Cash_Flow_3[Type],"Out",Cash_Flow_3[Category],"Loandry")</f>
        <v>0</v>
      </c>
      <c r="Q953" s="29">
        <f>SUMIFS(Cash_Flow_3[Amount],Cash_Flow_3[Bulan],H953,Cash_Flow_3[Type],"Out",Cash_Flow_3[Category],"Mio")</f>
        <v>0</v>
      </c>
      <c r="R953" s="29">
        <f>SUMIFS(Cash_Flow_3[Amount],Cash_Flow_3[Bulan],H953,Cash_Flow_3[Type],"Out",Cash_Flow_3[Category],"Sedekah")</f>
        <v>0</v>
      </c>
      <c r="S953" s="29">
        <f>SUMIFS(Cash_Flow_3[Amount],Cash_Flow_3[Bulan],H953,Cash_Flow_3[Type],"Out",Cash_Flow_3[Category],"Zela")</f>
        <v>0</v>
      </c>
      <c r="T953" s="29">
        <f>SUMIFS(Cash_Flow_3[Amount],Cash_Flow_3[Bulan],H953,Cash_Flow_3[Type],"Out",Cash_Flow_3[Category],"Iqbal")</f>
        <v>0</v>
      </c>
    </row>
    <row r="954" spans="1:20" ht="22.5" customHeight="1" x14ac:dyDescent="0.2">
      <c r="A954" s="23"/>
      <c r="B954" s="24"/>
      <c r="C954" s="25"/>
      <c r="D954" s="25"/>
      <c r="E954" s="25"/>
      <c r="F954" s="26"/>
      <c r="G954" s="27"/>
      <c r="H954" s="28" t="str">
        <f t="shared" si="0"/>
        <v/>
      </c>
      <c r="I954" s="29">
        <f>SUMIFS(Cash_Flow_3[Amount],Cash_Flow_3[Bulan],H954,Cash_Flow_3[Type],"In")</f>
        <v>0</v>
      </c>
      <c r="J954" s="29">
        <f>SUMIFS(Cash_Flow_3[Amount],Cash_Flow_3[Bulan],H954,Cash_Flow_3[Type],"Out")</f>
        <v>0</v>
      </c>
      <c r="K954" s="29">
        <f>SUMIFS(Cash_Flow_3[Amount],Cash_Flow_3[Bulan],H954,Cash_Flow_3[Type],"Out",Cash_Flow_3[Category],"Fix")</f>
        <v>0</v>
      </c>
      <c r="L954" s="29">
        <f>SUMIFS(Cash_Flow_3[Amount],Cash_Flow_3[Bulan],H954,Cash_Flow_3[Type],"Out",Cash_Flow_3[Category],"Bathroom")</f>
        <v>0</v>
      </c>
      <c r="M954" s="29">
        <f>SUMIFS(Cash_Flow_3[Amount],Cash_Flow_3[Bulan],H954,Cash_Flow_3[Type],"Out",Cash_Flow_3[Category],"Alfa")</f>
        <v>0</v>
      </c>
      <c r="N954" s="29">
        <f>SUMIFS(Cash_Flow_3[Amount],Cash_Flow_3[Bulan],H954,Cash_Flow_3[Type],"Out",Cash_Flow_3[Category],"Jajan")</f>
        <v>0</v>
      </c>
      <c r="O954" s="29">
        <f>SUMIFS(Cash_Flow_3[Amount],Cash_Flow_3[Bulan],H954,Cash_Flow_3[Type],"Out",Cash_Flow_3[Category],"Kitchen")</f>
        <v>0</v>
      </c>
      <c r="P954" s="29">
        <f>SUMIFS(Cash_Flow_3[Amount],Cash_Flow_3[Bulan],H954,Cash_Flow_3[Type],"Out",Cash_Flow_3[Category],"Loandry")</f>
        <v>0</v>
      </c>
      <c r="Q954" s="29">
        <f>SUMIFS(Cash_Flow_3[Amount],Cash_Flow_3[Bulan],H954,Cash_Flow_3[Type],"Out",Cash_Flow_3[Category],"Mio")</f>
        <v>0</v>
      </c>
      <c r="R954" s="29">
        <f>SUMIFS(Cash_Flow_3[Amount],Cash_Flow_3[Bulan],H954,Cash_Flow_3[Type],"Out",Cash_Flow_3[Category],"Sedekah")</f>
        <v>0</v>
      </c>
      <c r="S954" s="29">
        <f>SUMIFS(Cash_Flow_3[Amount],Cash_Flow_3[Bulan],H954,Cash_Flow_3[Type],"Out",Cash_Flow_3[Category],"Zela")</f>
        <v>0</v>
      </c>
      <c r="T954" s="29">
        <f>SUMIFS(Cash_Flow_3[Amount],Cash_Flow_3[Bulan],H954,Cash_Flow_3[Type],"Out",Cash_Flow_3[Category],"Iqbal")</f>
        <v>0</v>
      </c>
    </row>
    <row r="955" spans="1:20" ht="22.5" customHeight="1" x14ac:dyDescent="0.2">
      <c r="A955" s="23"/>
      <c r="B955" s="24"/>
      <c r="C955" s="25"/>
      <c r="D955" s="25"/>
      <c r="E955" s="25"/>
      <c r="F955" s="26"/>
      <c r="G955" s="27"/>
      <c r="H955" s="28" t="str">
        <f t="shared" si="0"/>
        <v/>
      </c>
      <c r="I955" s="29">
        <f>SUMIFS(Cash_Flow_3[Amount],Cash_Flow_3[Bulan],H955,Cash_Flow_3[Type],"In")</f>
        <v>0</v>
      </c>
      <c r="J955" s="29">
        <f>SUMIFS(Cash_Flow_3[Amount],Cash_Flow_3[Bulan],H955,Cash_Flow_3[Type],"Out")</f>
        <v>0</v>
      </c>
      <c r="K955" s="29">
        <f>SUMIFS(Cash_Flow_3[Amount],Cash_Flow_3[Bulan],H955,Cash_Flow_3[Type],"Out",Cash_Flow_3[Category],"Fix")</f>
        <v>0</v>
      </c>
      <c r="L955" s="29">
        <f>SUMIFS(Cash_Flow_3[Amount],Cash_Flow_3[Bulan],H955,Cash_Flow_3[Type],"Out",Cash_Flow_3[Category],"Bathroom")</f>
        <v>0</v>
      </c>
      <c r="M955" s="29">
        <f>SUMIFS(Cash_Flow_3[Amount],Cash_Flow_3[Bulan],H955,Cash_Flow_3[Type],"Out",Cash_Flow_3[Category],"Alfa")</f>
        <v>0</v>
      </c>
      <c r="N955" s="29">
        <f>SUMIFS(Cash_Flow_3[Amount],Cash_Flow_3[Bulan],H955,Cash_Flow_3[Type],"Out",Cash_Flow_3[Category],"Jajan")</f>
        <v>0</v>
      </c>
      <c r="O955" s="29">
        <f>SUMIFS(Cash_Flow_3[Amount],Cash_Flow_3[Bulan],H955,Cash_Flow_3[Type],"Out",Cash_Flow_3[Category],"Kitchen")</f>
        <v>0</v>
      </c>
      <c r="P955" s="29">
        <f>SUMIFS(Cash_Flow_3[Amount],Cash_Flow_3[Bulan],H955,Cash_Flow_3[Type],"Out",Cash_Flow_3[Category],"Loandry")</f>
        <v>0</v>
      </c>
      <c r="Q955" s="29">
        <f>SUMIFS(Cash_Flow_3[Amount],Cash_Flow_3[Bulan],H955,Cash_Flow_3[Type],"Out",Cash_Flow_3[Category],"Mio")</f>
        <v>0</v>
      </c>
      <c r="R955" s="29">
        <f>SUMIFS(Cash_Flow_3[Amount],Cash_Flow_3[Bulan],H955,Cash_Flow_3[Type],"Out",Cash_Flow_3[Category],"Sedekah")</f>
        <v>0</v>
      </c>
      <c r="S955" s="29">
        <f>SUMIFS(Cash_Flow_3[Amount],Cash_Flow_3[Bulan],H955,Cash_Flow_3[Type],"Out",Cash_Flow_3[Category],"Zela")</f>
        <v>0</v>
      </c>
      <c r="T955" s="29">
        <f>SUMIFS(Cash_Flow_3[Amount],Cash_Flow_3[Bulan],H955,Cash_Flow_3[Type],"Out",Cash_Flow_3[Category],"Iqbal")</f>
        <v>0</v>
      </c>
    </row>
    <row r="956" spans="1:20" ht="22.5" customHeight="1" x14ac:dyDescent="0.2">
      <c r="A956" s="23"/>
      <c r="B956" s="24"/>
      <c r="C956" s="25"/>
      <c r="D956" s="25"/>
      <c r="E956" s="25"/>
      <c r="F956" s="26"/>
      <c r="G956" s="27"/>
      <c r="H956" s="28" t="str">
        <f t="shared" si="0"/>
        <v/>
      </c>
      <c r="I956" s="29">
        <f>SUMIFS(Cash_Flow_3[Amount],Cash_Flow_3[Bulan],H956,Cash_Flow_3[Type],"In")</f>
        <v>0</v>
      </c>
      <c r="J956" s="29">
        <f>SUMIFS(Cash_Flow_3[Amount],Cash_Flow_3[Bulan],H956,Cash_Flow_3[Type],"Out")</f>
        <v>0</v>
      </c>
      <c r="K956" s="29">
        <f>SUMIFS(Cash_Flow_3[Amount],Cash_Flow_3[Bulan],H956,Cash_Flow_3[Type],"Out",Cash_Flow_3[Category],"Fix")</f>
        <v>0</v>
      </c>
      <c r="L956" s="29">
        <f>SUMIFS(Cash_Flow_3[Amount],Cash_Flow_3[Bulan],H956,Cash_Flow_3[Type],"Out",Cash_Flow_3[Category],"Bathroom")</f>
        <v>0</v>
      </c>
      <c r="M956" s="29">
        <f>SUMIFS(Cash_Flow_3[Amount],Cash_Flow_3[Bulan],H956,Cash_Flow_3[Type],"Out",Cash_Flow_3[Category],"Alfa")</f>
        <v>0</v>
      </c>
      <c r="N956" s="29">
        <f>SUMIFS(Cash_Flow_3[Amount],Cash_Flow_3[Bulan],H956,Cash_Flow_3[Type],"Out",Cash_Flow_3[Category],"Jajan")</f>
        <v>0</v>
      </c>
      <c r="O956" s="29">
        <f>SUMIFS(Cash_Flow_3[Amount],Cash_Flow_3[Bulan],H956,Cash_Flow_3[Type],"Out",Cash_Flow_3[Category],"Kitchen")</f>
        <v>0</v>
      </c>
      <c r="P956" s="29">
        <f>SUMIFS(Cash_Flow_3[Amount],Cash_Flow_3[Bulan],H956,Cash_Flow_3[Type],"Out",Cash_Flow_3[Category],"Loandry")</f>
        <v>0</v>
      </c>
      <c r="Q956" s="29">
        <f>SUMIFS(Cash_Flow_3[Amount],Cash_Flow_3[Bulan],H956,Cash_Flow_3[Type],"Out",Cash_Flow_3[Category],"Mio")</f>
        <v>0</v>
      </c>
      <c r="R956" s="29">
        <f>SUMIFS(Cash_Flow_3[Amount],Cash_Flow_3[Bulan],H956,Cash_Flow_3[Type],"Out",Cash_Flow_3[Category],"Sedekah")</f>
        <v>0</v>
      </c>
      <c r="S956" s="29">
        <f>SUMIFS(Cash_Flow_3[Amount],Cash_Flow_3[Bulan],H956,Cash_Flow_3[Type],"Out",Cash_Flow_3[Category],"Zela")</f>
        <v>0</v>
      </c>
      <c r="T956" s="29">
        <f>SUMIFS(Cash_Flow_3[Amount],Cash_Flow_3[Bulan],H956,Cash_Flow_3[Type],"Out",Cash_Flow_3[Category],"Iqbal")</f>
        <v>0</v>
      </c>
    </row>
    <row r="957" spans="1:20" ht="22.5" customHeight="1" x14ac:dyDescent="0.2">
      <c r="A957" s="23"/>
      <c r="B957" s="24"/>
      <c r="C957" s="25"/>
      <c r="D957" s="25"/>
      <c r="E957" s="25"/>
      <c r="F957" s="26"/>
      <c r="G957" s="27"/>
      <c r="H957" s="28" t="str">
        <f t="shared" si="0"/>
        <v/>
      </c>
      <c r="I957" s="29">
        <f>SUMIFS(Cash_Flow_3[Amount],Cash_Flow_3[Bulan],H957,Cash_Flow_3[Type],"In")</f>
        <v>0</v>
      </c>
      <c r="J957" s="29">
        <f>SUMIFS(Cash_Flow_3[Amount],Cash_Flow_3[Bulan],H957,Cash_Flow_3[Type],"Out")</f>
        <v>0</v>
      </c>
      <c r="K957" s="29">
        <f>SUMIFS(Cash_Flow_3[Amount],Cash_Flow_3[Bulan],H957,Cash_Flow_3[Type],"Out",Cash_Flow_3[Category],"Fix")</f>
        <v>0</v>
      </c>
      <c r="L957" s="29">
        <f>SUMIFS(Cash_Flow_3[Amount],Cash_Flow_3[Bulan],H957,Cash_Flow_3[Type],"Out",Cash_Flow_3[Category],"Bathroom")</f>
        <v>0</v>
      </c>
      <c r="M957" s="29">
        <f>SUMIFS(Cash_Flow_3[Amount],Cash_Flow_3[Bulan],H957,Cash_Flow_3[Type],"Out",Cash_Flow_3[Category],"Alfa")</f>
        <v>0</v>
      </c>
      <c r="N957" s="29">
        <f>SUMIFS(Cash_Flow_3[Amount],Cash_Flow_3[Bulan],H957,Cash_Flow_3[Type],"Out",Cash_Flow_3[Category],"Jajan")</f>
        <v>0</v>
      </c>
      <c r="O957" s="29">
        <f>SUMIFS(Cash_Flow_3[Amount],Cash_Flow_3[Bulan],H957,Cash_Flow_3[Type],"Out",Cash_Flow_3[Category],"Kitchen")</f>
        <v>0</v>
      </c>
      <c r="P957" s="29">
        <f>SUMIFS(Cash_Flow_3[Amount],Cash_Flow_3[Bulan],H957,Cash_Flow_3[Type],"Out",Cash_Flow_3[Category],"Loandry")</f>
        <v>0</v>
      </c>
      <c r="Q957" s="29">
        <f>SUMIFS(Cash_Flow_3[Amount],Cash_Flow_3[Bulan],H957,Cash_Flow_3[Type],"Out",Cash_Flow_3[Category],"Mio")</f>
        <v>0</v>
      </c>
      <c r="R957" s="29">
        <f>SUMIFS(Cash_Flow_3[Amount],Cash_Flow_3[Bulan],H957,Cash_Flow_3[Type],"Out",Cash_Flow_3[Category],"Sedekah")</f>
        <v>0</v>
      </c>
      <c r="S957" s="29">
        <f>SUMIFS(Cash_Flow_3[Amount],Cash_Flow_3[Bulan],H957,Cash_Flow_3[Type],"Out",Cash_Flow_3[Category],"Zela")</f>
        <v>0</v>
      </c>
      <c r="T957" s="29">
        <f>SUMIFS(Cash_Flow_3[Amount],Cash_Flow_3[Bulan],H957,Cash_Flow_3[Type],"Out",Cash_Flow_3[Category],"Iqbal")</f>
        <v>0</v>
      </c>
    </row>
    <row r="958" spans="1:20" ht="22.5" customHeight="1" x14ac:dyDescent="0.2">
      <c r="A958" s="23"/>
      <c r="B958" s="24"/>
      <c r="C958" s="25"/>
      <c r="D958" s="25"/>
      <c r="E958" s="25"/>
      <c r="F958" s="26"/>
      <c r="G958" s="27"/>
      <c r="H958" s="28" t="str">
        <f t="shared" si="0"/>
        <v/>
      </c>
      <c r="I958" s="29">
        <f>SUMIFS(Cash_Flow_3[Amount],Cash_Flow_3[Bulan],H958,Cash_Flow_3[Type],"In")</f>
        <v>0</v>
      </c>
      <c r="J958" s="29">
        <f>SUMIFS(Cash_Flow_3[Amount],Cash_Flow_3[Bulan],H958,Cash_Flow_3[Type],"Out")</f>
        <v>0</v>
      </c>
      <c r="K958" s="29">
        <f>SUMIFS(Cash_Flow_3[Amount],Cash_Flow_3[Bulan],H958,Cash_Flow_3[Type],"Out",Cash_Flow_3[Category],"Fix")</f>
        <v>0</v>
      </c>
      <c r="L958" s="29">
        <f>SUMIFS(Cash_Flow_3[Amount],Cash_Flow_3[Bulan],H958,Cash_Flow_3[Type],"Out",Cash_Flow_3[Category],"Bathroom")</f>
        <v>0</v>
      </c>
      <c r="M958" s="29">
        <f>SUMIFS(Cash_Flow_3[Amount],Cash_Flow_3[Bulan],H958,Cash_Flow_3[Type],"Out",Cash_Flow_3[Category],"Alfa")</f>
        <v>0</v>
      </c>
      <c r="N958" s="29">
        <f>SUMIFS(Cash_Flow_3[Amount],Cash_Flow_3[Bulan],H958,Cash_Flow_3[Type],"Out",Cash_Flow_3[Category],"Jajan")</f>
        <v>0</v>
      </c>
      <c r="O958" s="29">
        <f>SUMIFS(Cash_Flow_3[Amount],Cash_Flow_3[Bulan],H958,Cash_Flow_3[Type],"Out",Cash_Flow_3[Category],"Kitchen")</f>
        <v>0</v>
      </c>
      <c r="P958" s="29">
        <f>SUMIFS(Cash_Flow_3[Amount],Cash_Flow_3[Bulan],H958,Cash_Flow_3[Type],"Out",Cash_Flow_3[Category],"Loandry")</f>
        <v>0</v>
      </c>
      <c r="Q958" s="29">
        <f>SUMIFS(Cash_Flow_3[Amount],Cash_Flow_3[Bulan],H958,Cash_Flow_3[Type],"Out",Cash_Flow_3[Category],"Mio")</f>
        <v>0</v>
      </c>
      <c r="R958" s="29">
        <f>SUMIFS(Cash_Flow_3[Amount],Cash_Flow_3[Bulan],H958,Cash_Flow_3[Type],"Out",Cash_Flow_3[Category],"Sedekah")</f>
        <v>0</v>
      </c>
      <c r="S958" s="29">
        <f>SUMIFS(Cash_Flow_3[Amount],Cash_Flow_3[Bulan],H958,Cash_Flow_3[Type],"Out",Cash_Flow_3[Category],"Zela")</f>
        <v>0</v>
      </c>
      <c r="T958" s="29">
        <f>SUMIFS(Cash_Flow_3[Amount],Cash_Flow_3[Bulan],H958,Cash_Flow_3[Type],"Out",Cash_Flow_3[Category],"Iqbal")</f>
        <v>0</v>
      </c>
    </row>
    <row r="959" spans="1:20" ht="22.5" customHeight="1" x14ac:dyDescent="0.2">
      <c r="A959" s="23"/>
      <c r="B959" s="24"/>
      <c r="C959" s="25"/>
      <c r="D959" s="25"/>
      <c r="E959" s="25"/>
      <c r="F959" s="26"/>
      <c r="G959" s="27"/>
      <c r="H959" s="28" t="str">
        <f t="shared" si="0"/>
        <v/>
      </c>
      <c r="I959" s="29">
        <f>SUMIFS(Cash_Flow_3[Amount],Cash_Flow_3[Bulan],H959,Cash_Flow_3[Type],"In")</f>
        <v>0</v>
      </c>
      <c r="J959" s="29">
        <f>SUMIFS(Cash_Flow_3[Amount],Cash_Flow_3[Bulan],H959,Cash_Flow_3[Type],"Out")</f>
        <v>0</v>
      </c>
      <c r="K959" s="29">
        <f>SUMIFS(Cash_Flow_3[Amount],Cash_Flow_3[Bulan],H959,Cash_Flow_3[Type],"Out",Cash_Flow_3[Category],"Fix")</f>
        <v>0</v>
      </c>
      <c r="L959" s="29">
        <f>SUMIFS(Cash_Flow_3[Amount],Cash_Flow_3[Bulan],H959,Cash_Flow_3[Type],"Out",Cash_Flow_3[Category],"Bathroom")</f>
        <v>0</v>
      </c>
      <c r="M959" s="29">
        <f>SUMIFS(Cash_Flow_3[Amount],Cash_Flow_3[Bulan],H959,Cash_Flow_3[Type],"Out",Cash_Flow_3[Category],"Alfa")</f>
        <v>0</v>
      </c>
      <c r="N959" s="29">
        <f>SUMIFS(Cash_Flow_3[Amount],Cash_Flow_3[Bulan],H959,Cash_Flow_3[Type],"Out",Cash_Flow_3[Category],"Jajan")</f>
        <v>0</v>
      </c>
      <c r="O959" s="29">
        <f>SUMIFS(Cash_Flow_3[Amount],Cash_Flow_3[Bulan],H959,Cash_Flow_3[Type],"Out",Cash_Flow_3[Category],"Kitchen")</f>
        <v>0</v>
      </c>
      <c r="P959" s="29">
        <f>SUMIFS(Cash_Flow_3[Amount],Cash_Flow_3[Bulan],H959,Cash_Flow_3[Type],"Out",Cash_Flow_3[Category],"Loandry")</f>
        <v>0</v>
      </c>
      <c r="Q959" s="29">
        <f>SUMIFS(Cash_Flow_3[Amount],Cash_Flow_3[Bulan],H959,Cash_Flow_3[Type],"Out",Cash_Flow_3[Category],"Mio")</f>
        <v>0</v>
      </c>
      <c r="R959" s="29">
        <f>SUMIFS(Cash_Flow_3[Amount],Cash_Flow_3[Bulan],H959,Cash_Flow_3[Type],"Out",Cash_Flow_3[Category],"Sedekah")</f>
        <v>0</v>
      </c>
      <c r="S959" s="29">
        <f>SUMIFS(Cash_Flow_3[Amount],Cash_Flow_3[Bulan],H959,Cash_Flow_3[Type],"Out",Cash_Flow_3[Category],"Zela")</f>
        <v>0</v>
      </c>
      <c r="T959" s="29">
        <f>SUMIFS(Cash_Flow_3[Amount],Cash_Flow_3[Bulan],H959,Cash_Flow_3[Type],"Out",Cash_Flow_3[Category],"Iqbal")</f>
        <v>0</v>
      </c>
    </row>
    <row r="960" spans="1:20" ht="22.5" customHeight="1" x14ac:dyDescent="0.2">
      <c r="A960" s="23"/>
      <c r="B960" s="24"/>
      <c r="C960" s="25"/>
      <c r="D960" s="25"/>
      <c r="E960" s="25"/>
      <c r="F960" s="26"/>
      <c r="G960" s="27"/>
      <c r="H960" s="28" t="str">
        <f t="shared" si="0"/>
        <v/>
      </c>
      <c r="I960" s="29">
        <f>SUMIFS(Cash_Flow_3[Amount],Cash_Flow_3[Bulan],H960,Cash_Flow_3[Type],"In")</f>
        <v>0</v>
      </c>
      <c r="J960" s="29">
        <f>SUMIFS(Cash_Flow_3[Amount],Cash_Flow_3[Bulan],H960,Cash_Flow_3[Type],"Out")</f>
        <v>0</v>
      </c>
      <c r="K960" s="29">
        <f>SUMIFS(Cash_Flow_3[Amount],Cash_Flow_3[Bulan],H960,Cash_Flow_3[Type],"Out",Cash_Flow_3[Category],"Fix")</f>
        <v>0</v>
      </c>
      <c r="L960" s="29">
        <f>SUMIFS(Cash_Flow_3[Amount],Cash_Flow_3[Bulan],H960,Cash_Flow_3[Type],"Out",Cash_Flow_3[Category],"Bathroom")</f>
        <v>0</v>
      </c>
      <c r="M960" s="29">
        <f>SUMIFS(Cash_Flow_3[Amount],Cash_Flow_3[Bulan],H960,Cash_Flow_3[Type],"Out",Cash_Flow_3[Category],"Alfa")</f>
        <v>0</v>
      </c>
      <c r="N960" s="29">
        <f>SUMIFS(Cash_Flow_3[Amount],Cash_Flow_3[Bulan],H960,Cash_Flow_3[Type],"Out",Cash_Flow_3[Category],"Jajan")</f>
        <v>0</v>
      </c>
      <c r="O960" s="29">
        <f>SUMIFS(Cash_Flow_3[Amount],Cash_Flow_3[Bulan],H960,Cash_Flow_3[Type],"Out",Cash_Flow_3[Category],"Kitchen")</f>
        <v>0</v>
      </c>
      <c r="P960" s="29">
        <f>SUMIFS(Cash_Flow_3[Amount],Cash_Flow_3[Bulan],H960,Cash_Flow_3[Type],"Out",Cash_Flow_3[Category],"Loandry")</f>
        <v>0</v>
      </c>
      <c r="Q960" s="29">
        <f>SUMIFS(Cash_Flow_3[Amount],Cash_Flow_3[Bulan],H960,Cash_Flow_3[Type],"Out",Cash_Flow_3[Category],"Mio")</f>
        <v>0</v>
      </c>
      <c r="R960" s="29">
        <f>SUMIFS(Cash_Flow_3[Amount],Cash_Flow_3[Bulan],H960,Cash_Flow_3[Type],"Out",Cash_Flow_3[Category],"Sedekah")</f>
        <v>0</v>
      </c>
      <c r="S960" s="29">
        <f>SUMIFS(Cash_Flow_3[Amount],Cash_Flow_3[Bulan],H960,Cash_Flow_3[Type],"Out",Cash_Flow_3[Category],"Zela")</f>
        <v>0</v>
      </c>
      <c r="T960" s="29">
        <f>SUMIFS(Cash_Flow_3[Amount],Cash_Flow_3[Bulan],H960,Cash_Flow_3[Type],"Out",Cash_Flow_3[Category],"Iqbal")</f>
        <v>0</v>
      </c>
    </row>
    <row r="961" spans="1:20" ht="22.5" customHeight="1" x14ac:dyDescent="0.2">
      <c r="A961" s="23"/>
      <c r="B961" s="24"/>
      <c r="C961" s="25"/>
      <c r="D961" s="25"/>
      <c r="E961" s="25"/>
      <c r="F961" s="26"/>
      <c r="G961" s="27"/>
      <c r="H961" s="28" t="str">
        <f t="shared" si="0"/>
        <v/>
      </c>
      <c r="I961" s="29">
        <f>SUMIFS(Cash_Flow_3[Amount],Cash_Flow_3[Bulan],H961,Cash_Flow_3[Type],"In")</f>
        <v>0</v>
      </c>
      <c r="J961" s="29">
        <f>SUMIFS(Cash_Flow_3[Amount],Cash_Flow_3[Bulan],H961,Cash_Flow_3[Type],"Out")</f>
        <v>0</v>
      </c>
      <c r="K961" s="29">
        <f>SUMIFS(Cash_Flow_3[Amount],Cash_Flow_3[Bulan],H961,Cash_Flow_3[Type],"Out",Cash_Flow_3[Category],"Fix")</f>
        <v>0</v>
      </c>
      <c r="L961" s="29">
        <f>SUMIFS(Cash_Flow_3[Amount],Cash_Flow_3[Bulan],H961,Cash_Flow_3[Type],"Out",Cash_Flow_3[Category],"Bathroom")</f>
        <v>0</v>
      </c>
      <c r="M961" s="29">
        <f>SUMIFS(Cash_Flow_3[Amount],Cash_Flow_3[Bulan],H961,Cash_Flow_3[Type],"Out",Cash_Flow_3[Category],"Alfa")</f>
        <v>0</v>
      </c>
      <c r="N961" s="29">
        <f>SUMIFS(Cash_Flow_3[Amount],Cash_Flow_3[Bulan],H961,Cash_Flow_3[Type],"Out",Cash_Flow_3[Category],"Jajan")</f>
        <v>0</v>
      </c>
      <c r="O961" s="29">
        <f>SUMIFS(Cash_Flow_3[Amount],Cash_Flow_3[Bulan],H961,Cash_Flow_3[Type],"Out",Cash_Flow_3[Category],"Kitchen")</f>
        <v>0</v>
      </c>
      <c r="P961" s="29">
        <f>SUMIFS(Cash_Flow_3[Amount],Cash_Flow_3[Bulan],H961,Cash_Flow_3[Type],"Out",Cash_Flow_3[Category],"Loandry")</f>
        <v>0</v>
      </c>
      <c r="Q961" s="29">
        <f>SUMIFS(Cash_Flow_3[Amount],Cash_Flow_3[Bulan],H961,Cash_Flow_3[Type],"Out",Cash_Flow_3[Category],"Mio")</f>
        <v>0</v>
      </c>
      <c r="R961" s="29">
        <f>SUMIFS(Cash_Flow_3[Amount],Cash_Flow_3[Bulan],H961,Cash_Flow_3[Type],"Out",Cash_Flow_3[Category],"Sedekah")</f>
        <v>0</v>
      </c>
      <c r="S961" s="29">
        <f>SUMIFS(Cash_Flow_3[Amount],Cash_Flow_3[Bulan],H961,Cash_Flow_3[Type],"Out",Cash_Flow_3[Category],"Zela")</f>
        <v>0</v>
      </c>
      <c r="T961" s="29">
        <f>SUMIFS(Cash_Flow_3[Amount],Cash_Flow_3[Bulan],H961,Cash_Flow_3[Type],"Out",Cash_Flow_3[Category],"Iqbal")</f>
        <v>0</v>
      </c>
    </row>
    <row r="962" spans="1:20" ht="22.5" customHeight="1" x14ac:dyDescent="0.2">
      <c r="A962" s="23"/>
      <c r="B962" s="24"/>
      <c r="C962" s="25"/>
      <c r="D962" s="25"/>
      <c r="E962" s="25"/>
      <c r="F962" s="26"/>
      <c r="G962" s="27"/>
      <c r="H962" s="28" t="str">
        <f t="shared" si="0"/>
        <v/>
      </c>
      <c r="I962" s="29">
        <f>SUMIFS(Cash_Flow_3[Amount],Cash_Flow_3[Bulan],H962,Cash_Flow_3[Type],"In")</f>
        <v>0</v>
      </c>
      <c r="J962" s="29">
        <f>SUMIFS(Cash_Flow_3[Amount],Cash_Flow_3[Bulan],H962,Cash_Flow_3[Type],"Out")</f>
        <v>0</v>
      </c>
      <c r="K962" s="29">
        <f>SUMIFS(Cash_Flow_3[Amount],Cash_Flow_3[Bulan],H962,Cash_Flow_3[Type],"Out",Cash_Flow_3[Category],"Fix")</f>
        <v>0</v>
      </c>
      <c r="L962" s="29">
        <f>SUMIFS(Cash_Flow_3[Amount],Cash_Flow_3[Bulan],H962,Cash_Flow_3[Type],"Out",Cash_Flow_3[Category],"Bathroom")</f>
        <v>0</v>
      </c>
      <c r="M962" s="29">
        <f>SUMIFS(Cash_Flow_3[Amount],Cash_Flow_3[Bulan],H962,Cash_Flow_3[Type],"Out",Cash_Flow_3[Category],"Alfa")</f>
        <v>0</v>
      </c>
      <c r="N962" s="29">
        <f>SUMIFS(Cash_Flow_3[Amount],Cash_Flow_3[Bulan],H962,Cash_Flow_3[Type],"Out",Cash_Flow_3[Category],"Jajan")</f>
        <v>0</v>
      </c>
      <c r="O962" s="29">
        <f>SUMIFS(Cash_Flow_3[Amount],Cash_Flow_3[Bulan],H962,Cash_Flow_3[Type],"Out",Cash_Flow_3[Category],"Kitchen")</f>
        <v>0</v>
      </c>
      <c r="P962" s="29">
        <f>SUMIFS(Cash_Flow_3[Amount],Cash_Flow_3[Bulan],H962,Cash_Flow_3[Type],"Out",Cash_Flow_3[Category],"Loandry")</f>
        <v>0</v>
      </c>
      <c r="Q962" s="29">
        <f>SUMIFS(Cash_Flow_3[Amount],Cash_Flow_3[Bulan],H962,Cash_Flow_3[Type],"Out",Cash_Flow_3[Category],"Mio")</f>
        <v>0</v>
      </c>
      <c r="R962" s="29">
        <f>SUMIFS(Cash_Flow_3[Amount],Cash_Flow_3[Bulan],H962,Cash_Flow_3[Type],"Out",Cash_Flow_3[Category],"Sedekah")</f>
        <v>0</v>
      </c>
      <c r="S962" s="29">
        <f>SUMIFS(Cash_Flow_3[Amount],Cash_Flow_3[Bulan],H962,Cash_Flow_3[Type],"Out",Cash_Flow_3[Category],"Zela")</f>
        <v>0</v>
      </c>
      <c r="T962" s="29">
        <f>SUMIFS(Cash_Flow_3[Amount],Cash_Flow_3[Bulan],H962,Cash_Flow_3[Type],"Out",Cash_Flow_3[Category],"Iqbal")</f>
        <v>0</v>
      </c>
    </row>
    <row r="963" spans="1:20" ht="22.5" customHeight="1" x14ac:dyDescent="0.2">
      <c r="A963" s="23"/>
      <c r="B963" s="24"/>
      <c r="C963" s="25"/>
      <c r="D963" s="25"/>
      <c r="E963" s="25"/>
      <c r="F963" s="26"/>
      <c r="G963" s="27"/>
      <c r="H963" s="28" t="str">
        <f t="shared" si="0"/>
        <v/>
      </c>
      <c r="I963" s="29">
        <f>SUMIFS(Cash_Flow_3[Amount],Cash_Flow_3[Bulan],H963,Cash_Flow_3[Type],"In")</f>
        <v>0</v>
      </c>
      <c r="J963" s="29">
        <f>SUMIFS(Cash_Flow_3[Amount],Cash_Flow_3[Bulan],H963,Cash_Flow_3[Type],"Out")</f>
        <v>0</v>
      </c>
      <c r="K963" s="29">
        <f>SUMIFS(Cash_Flow_3[Amount],Cash_Flow_3[Bulan],H963,Cash_Flow_3[Type],"Out",Cash_Flow_3[Category],"Fix")</f>
        <v>0</v>
      </c>
      <c r="L963" s="29">
        <f>SUMIFS(Cash_Flow_3[Amount],Cash_Flow_3[Bulan],H963,Cash_Flow_3[Type],"Out",Cash_Flow_3[Category],"Bathroom")</f>
        <v>0</v>
      </c>
      <c r="M963" s="29">
        <f>SUMIFS(Cash_Flow_3[Amount],Cash_Flow_3[Bulan],H963,Cash_Flow_3[Type],"Out",Cash_Flow_3[Category],"Alfa")</f>
        <v>0</v>
      </c>
      <c r="N963" s="29">
        <f>SUMIFS(Cash_Flow_3[Amount],Cash_Flow_3[Bulan],H963,Cash_Flow_3[Type],"Out",Cash_Flow_3[Category],"Jajan")</f>
        <v>0</v>
      </c>
      <c r="O963" s="29">
        <f>SUMIFS(Cash_Flow_3[Amount],Cash_Flow_3[Bulan],H963,Cash_Flow_3[Type],"Out",Cash_Flow_3[Category],"Kitchen")</f>
        <v>0</v>
      </c>
      <c r="P963" s="29">
        <f>SUMIFS(Cash_Flow_3[Amount],Cash_Flow_3[Bulan],H963,Cash_Flow_3[Type],"Out",Cash_Flow_3[Category],"Loandry")</f>
        <v>0</v>
      </c>
      <c r="Q963" s="29">
        <f>SUMIFS(Cash_Flow_3[Amount],Cash_Flow_3[Bulan],H963,Cash_Flow_3[Type],"Out",Cash_Flow_3[Category],"Mio")</f>
        <v>0</v>
      </c>
      <c r="R963" s="29">
        <f>SUMIFS(Cash_Flow_3[Amount],Cash_Flow_3[Bulan],H963,Cash_Flow_3[Type],"Out",Cash_Flow_3[Category],"Sedekah")</f>
        <v>0</v>
      </c>
      <c r="S963" s="29">
        <f>SUMIFS(Cash_Flow_3[Amount],Cash_Flow_3[Bulan],H963,Cash_Flow_3[Type],"Out",Cash_Flow_3[Category],"Zela")</f>
        <v>0</v>
      </c>
      <c r="T963" s="29">
        <f>SUMIFS(Cash_Flow_3[Amount],Cash_Flow_3[Bulan],H963,Cash_Flow_3[Type],"Out",Cash_Flow_3[Category],"Iqbal")</f>
        <v>0</v>
      </c>
    </row>
    <row r="964" spans="1:20" ht="22.5" customHeight="1" x14ac:dyDescent="0.2">
      <c r="A964" s="23"/>
      <c r="B964" s="24"/>
      <c r="C964" s="25"/>
      <c r="D964" s="25"/>
      <c r="E964" s="25"/>
      <c r="F964" s="26"/>
      <c r="G964" s="27"/>
      <c r="H964" s="28" t="str">
        <f t="shared" si="0"/>
        <v/>
      </c>
      <c r="I964" s="29">
        <f>SUMIFS(Cash_Flow_3[Amount],Cash_Flow_3[Bulan],H964,Cash_Flow_3[Type],"In")</f>
        <v>0</v>
      </c>
      <c r="J964" s="29">
        <f>SUMIFS(Cash_Flow_3[Amount],Cash_Flow_3[Bulan],H964,Cash_Flow_3[Type],"Out")</f>
        <v>0</v>
      </c>
      <c r="K964" s="29">
        <f>SUMIFS(Cash_Flow_3[Amount],Cash_Flow_3[Bulan],H964,Cash_Flow_3[Type],"Out",Cash_Flow_3[Category],"Fix")</f>
        <v>0</v>
      </c>
      <c r="L964" s="29">
        <f>SUMIFS(Cash_Flow_3[Amount],Cash_Flow_3[Bulan],H964,Cash_Flow_3[Type],"Out",Cash_Flow_3[Category],"Bathroom")</f>
        <v>0</v>
      </c>
      <c r="M964" s="29">
        <f>SUMIFS(Cash_Flow_3[Amount],Cash_Flow_3[Bulan],H964,Cash_Flow_3[Type],"Out",Cash_Flow_3[Category],"Alfa")</f>
        <v>0</v>
      </c>
      <c r="N964" s="29">
        <f>SUMIFS(Cash_Flow_3[Amount],Cash_Flow_3[Bulan],H964,Cash_Flow_3[Type],"Out",Cash_Flow_3[Category],"Jajan")</f>
        <v>0</v>
      </c>
      <c r="O964" s="29">
        <f>SUMIFS(Cash_Flow_3[Amount],Cash_Flow_3[Bulan],H964,Cash_Flow_3[Type],"Out",Cash_Flow_3[Category],"Kitchen")</f>
        <v>0</v>
      </c>
      <c r="P964" s="29">
        <f>SUMIFS(Cash_Flow_3[Amount],Cash_Flow_3[Bulan],H964,Cash_Flow_3[Type],"Out",Cash_Flow_3[Category],"Loandry")</f>
        <v>0</v>
      </c>
      <c r="Q964" s="29">
        <f>SUMIFS(Cash_Flow_3[Amount],Cash_Flow_3[Bulan],H964,Cash_Flow_3[Type],"Out",Cash_Flow_3[Category],"Mio")</f>
        <v>0</v>
      </c>
      <c r="R964" s="29">
        <f>SUMIFS(Cash_Flow_3[Amount],Cash_Flow_3[Bulan],H964,Cash_Flow_3[Type],"Out",Cash_Flow_3[Category],"Sedekah")</f>
        <v>0</v>
      </c>
      <c r="S964" s="29">
        <f>SUMIFS(Cash_Flow_3[Amount],Cash_Flow_3[Bulan],H964,Cash_Flow_3[Type],"Out",Cash_Flow_3[Category],"Zela")</f>
        <v>0</v>
      </c>
      <c r="T964" s="29">
        <f>SUMIFS(Cash_Flow_3[Amount],Cash_Flow_3[Bulan],H964,Cash_Flow_3[Type],"Out",Cash_Flow_3[Category],"Iqbal")</f>
        <v>0</v>
      </c>
    </row>
    <row r="965" spans="1:20" ht="22.5" customHeight="1" x14ac:dyDescent="0.2">
      <c r="A965" s="23"/>
      <c r="B965" s="24"/>
      <c r="C965" s="25"/>
      <c r="D965" s="25"/>
      <c r="E965" s="25"/>
      <c r="F965" s="26"/>
      <c r="G965" s="27"/>
      <c r="H965" s="28" t="str">
        <f t="shared" si="0"/>
        <v/>
      </c>
      <c r="I965" s="29">
        <f>SUMIFS(Cash_Flow_3[Amount],Cash_Flow_3[Bulan],H965,Cash_Flow_3[Type],"In")</f>
        <v>0</v>
      </c>
      <c r="J965" s="29">
        <f>SUMIFS(Cash_Flow_3[Amount],Cash_Flow_3[Bulan],H965,Cash_Flow_3[Type],"Out")</f>
        <v>0</v>
      </c>
      <c r="K965" s="29">
        <f>SUMIFS(Cash_Flow_3[Amount],Cash_Flow_3[Bulan],H965,Cash_Flow_3[Type],"Out",Cash_Flow_3[Category],"Fix")</f>
        <v>0</v>
      </c>
      <c r="L965" s="29">
        <f>SUMIFS(Cash_Flow_3[Amount],Cash_Flow_3[Bulan],H965,Cash_Flow_3[Type],"Out",Cash_Flow_3[Category],"Bathroom")</f>
        <v>0</v>
      </c>
      <c r="M965" s="29">
        <f>SUMIFS(Cash_Flow_3[Amount],Cash_Flow_3[Bulan],H965,Cash_Flow_3[Type],"Out",Cash_Flow_3[Category],"Alfa")</f>
        <v>0</v>
      </c>
      <c r="N965" s="29">
        <f>SUMIFS(Cash_Flow_3[Amount],Cash_Flow_3[Bulan],H965,Cash_Flow_3[Type],"Out",Cash_Flow_3[Category],"Jajan")</f>
        <v>0</v>
      </c>
      <c r="O965" s="29">
        <f>SUMIFS(Cash_Flow_3[Amount],Cash_Flow_3[Bulan],H965,Cash_Flow_3[Type],"Out",Cash_Flow_3[Category],"Kitchen")</f>
        <v>0</v>
      </c>
      <c r="P965" s="29">
        <f>SUMIFS(Cash_Flow_3[Amount],Cash_Flow_3[Bulan],H965,Cash_Flow_3[Type],"Out",Cash_Flow_3[Category],"Loandry")</f>
        <v>0</v>
      </c>
      <c r="Q965" s="29">
        <f>SUMIFS(Cash_Flow_3[Amount],Cash_Flow_3[Bulan],H965,Cash_Flow_3[Type],"Out",Cash_Flow_3[Category],"Mio")</f>
        <v>0</v>
      </c>
      <c r="R965" s="29">
        <f>SUMIFS(Cash_Flow_3[Amount],Cash_Flow_3[Bulan],H965,Cash_Flow_3[Type],"Out",Cash_Flow_3[Category],"Sedekah")</f>
        <v>0</v>
      </c>
      <c r="S965" s="29">
        <f>SUMIFS(Cash_Flow_3[Amount],Cash_Flow_3[Bulan],H965,Cash_Flow_3[Type],"Out",Cash_Flow_3[Category],"Zela")</f>
        <v>0</v>
      </c>
      <c r="T965" s="29">
        <f>SUMIFS(Cash_Flow_3[Amount],Cash_Flow_3[Bulan],H965,Cash_Flow_3[Type],"Out",Cash_Flow_3[Category],"Iqbal")</f>
        <v>0</v>
      </c>
    </row>
    <row r="966" spans="1:20" ht="22.5" customHeight="1" x14ac:dyDescent="0.2">
      <c r="A966" s="23"/>
      <c r="B966" s="24"/>
      <c r="C966" s="25"/>
      <c r="D966" s="25"/>
      <c r="E966" s="25"/>
      <c r="F966" s="26"/>
      <c r="G966" s="27"/>
      <c r="H966" s="28" t="str">
        <f t="shared" si="0"/>
        <v/>
      </c>
      <c r="I966" s="29">
        <f>SUMIFS(Cash_Flow_3[Amount],Cash_Flow_3[Bulan],H966,Cash_Flow_3[Type],"In")</f>
        <v>0</v>
      </c>
      <c r="J966" s="29">
        <f>SUMIFS(Cash_Flow_3[Amount],Cash_Flow_3[Bulan],H966,Cash_Flow_3[Type],"Out")</f>
        <v>0</v>
      </c>
      <c r="K966" s="29">
        <f>SUMIFS(Cash_Flow_3[Amount],Cash_Flow_3[Bulan],H966,Cash_Flow_3[Type],"Out",Cash_Flow_3[Category],"Fix")</f>
        <v>0</v>
      </c>
      <c r="L966" s="29">
        <f>SUMIFS(Cash_Flow_3[Amount],Cash_Flow_3[Bulan],H966,Cash_Flow_3[Type],"Out",Cash_Flow_3[Category],"Bathroom")</f>
        <v>0</v>
      </c>
      <c r="M966" s="29">
        <f>SUMIFS(Cash_Flow_3[Amount],Cash_Flow_3[Bulan],H966,Cash_Flow_3[Type],"Out",Cash_Flow_3[Category],"Alfa")</f>
        <v>0</v>
      </c>
      <c r="N966" s="29">
        <f>SUMIFS(Cash_Flow_3[Amount],Cash_Flow_3[Bulan],H966,Cash_Flow_3[Type],"Out",Cash_Flow_3[Category],"Jajan")</f>
        <v>0</v>
      </c>
      <c r="O966" s="29">
        <f>SUMIFS(Cash_Flow_3[Amount],Cash_Flow_3[Bulan],H966,Cash_Flow_3[Type],"Out",Cash_Flow_3[Category],"Kitchen")</f>
        <v>0</v>
      </c>
      <c r="P966" s="29">
        <f>SUMIFS(Cash_Flow_3[Amount],Cash_Flow_3[Bulan],H966,Cash_Flow_3[Type],"Out",Cash_Flow_3[Category],"Loandry")</f>
        <v>0</v>
      </c>
      <c r="Q966" s="29">
        <f>SUMIFS(Cash_Flow_3[Amount],Cash_Flow_3[Bulan],H966,Cash_Flow_3[Type],"Out",Cash_Flow_3[Category],"Mio")</f>
        <v>0</v>
      </c>
      <c r="R966" s="29">
        <f>SUMIFS(Cash_Flow_3[Amount],Cash_Flow_3[Bulan],H966,Cash_Flow_3[Type],"Out",Cash_Flow_3[Category],"Sedekah")</f>
        <v>0</v>
      </c>
      <c r="S966" s="29">
        <f>SUMIFS(Cash_Flow_3[Amount],Cash_Flow_3[Bulan],H966,Cash_Flow_3[Type],"Out",Cash_Flow_3[Category],"Zela")</f>
        <v>0</v>
      </c>
      <c r="T966" s="29">
        <f>SUMIFS(Cash_Flow_3[Amount],Cash_Flow_3[Bulan],H966,Cash_Flow_3[Type],"Out",Cash_Flow_3[Category],"Iqbal")</f>
        <v>0</v>
      </c>
    </row>
    <row r="967" spans="1:20" ht="22.5" customHeight="1" x14ac:dyDescent="0.2">
      <c r="A967" s="23"/>
      <c r="B967" s="24"/>
      <c r="C967" s="25"/>
      <c r="D967" s="25"/>
      <c r="E967" s="25"/>
      <c r="F967" s="26"/>
      <c r="G967" s="27"/>
      <c r="H967" s="28" t="str">
        <f t="shared" si="0"/>
        <v/>
      </c>
      <c r="I967" s="29">
        <f>SUMIFS(Cash_Flow_3[Amount],Cash_Flow_3[Bulan],H967,Cash_Flow_3[Type],"In")</f>
        <v>0</v>
      </c>
      <c r="J967" s="29">
        <f>SUMIFS(Cash_Flow_3[Amount],Cash_Flow_3[Bulan],H967,Cash_Flow_3[Type],"Out")</f>
        <v>0</v>
      </c>
      <c r="K967" s="29">
        <f>SUMIFS(Cash_Flow_3[Amount],Cash_Flow_3[Bulan],H967,Cash_Flow_3[Type],"Out",Cash_Flow_3[Category],"Fix")</f>
        <v>0</v>
      </c>
      <c r="L967" s="29">
        <f>SUMIFS(Cash_Flow_3[Amount],Cash_Flow_3[Bulan],H967,Cash_Flow_3[Type],"Out",Cash_Flow_3[Category],"Bathroom")</f>
        <v>0</v>
      </c>
      <c r="M967" s="29">
        <f>SUMIFS(Cash_Flow_3[Amount],Cash_Flow_3[Bulan],H967,Cash_Flow_3[Type],"Out",Cash_Flow_3[Category],"Alfa")</f>
        <v>0</v>
      </c>
      <c r="N967" s="29">
        <f>SUMIFS(Cash_Flow_3[Amount],Cash_Flow_3[Bulan],H967,Cash_Flow_3[Type],"Out",Cash_Flow_3[Category],"Jajan")</f>
        <v>0</v>
      </c>
      <c r="O967" s="29">
        <f>SUMIFS(Cash_Flow_3[Amount],Cash_Flow_3[Bulan],H967,Cash_Flow_3[Type],"Out",Cash_Flow_3[Category],"Kitchen")</f>
        <v>0</v>
      </c>
      <c r="P967" s="29">
        <f>SUMIFS(Cash_Flow_3[Amount],Cash_Flow_3[Bulan],H967,Cash_Flow_3[Type],"Out",Cash_Flow_3[Category],"Loandry")</f>
        <v>0</v>
      </c>
      <c r="Q967" s="29">
        <f>SUMIFS(Cash_Flow_3[Amount],Cash_Flow_3[Bulan],H967,Cash_Flow_3[Type],"Out",Cash_Flow_3[Category],"Mio")</f>
        <v>0</v>
      </c>
      <c r="R967" s="29">
        <f>SUMIFS(Cash_Flow_3[Amount],Cash_Flow_3[Bulan],H967,Cash_Flow_3[Type],"Out",Cash_Flow_3[Category],"Sedekah")</f>
        <v>0</v>
      </c>
      <c r="S967" s="29">
        <f>SUMIFS(Cash_Flow_3[Amount],Cash_Flow_3[Bulan],H967,Cash_Flow_3[Type],"Out",Cash_Flow_3[Category],"Zela")</f>
        <v>0</v>
      </c>
      <c r="T967" s="29">
        <f>SUMIFS(Cash_Flow_3[Amount],Cash_Flow_3[Bulan],H967,Cash_Flow_3[Type],"Out",Cash_Flow_3[Category],"Iqbal")</f>
        <v>0</v>
      </c>
    </row>
    <row r="968" spans="1:20" ht="22.5" customHeight="1" x14ac:dyDescent="0.2">
      <c r="A968" s="23"/>
      <c r="B968" s="24"/>
      <c r="C968" s="25"/>
      <c r="D968" s="25"/>
      <c r="E968" s="25"/>
      <c r="F968" s="26"/>
      <c r="G968" s="27"/>
      <c r="H968" s="28" t="str">
        <f t="shared" si="0"/>
        <v/>
      </c>
      <c r="I968" s="29">
        <f>SUMIFS(Cash_Flow_3[Amount],Cash_Flow_3[Bulan],H968,Cash_Flow_3[Type],"In")</f>
        <v>0</v>
      </c>
      <c r="J968" s="29">
        <f>SUMIFS(Cash_Flow_3[Amount],Cash_Flow_3[Bulan],H968,Cash_Flow_3[Type],"Out")</f>
        <v>0</v>
      </c>
      <c r="K968" s="29">
        <f>SUMIFS(Cash_Flow_3[Amount],Cash_Flow_3[Bulan],H968,Cash_Flow_3[Type],"Out",Cash_Flow_3[Category],"Fix")</f>
        <v>0</v>
      </c>
      <c r="L968" s="29">
        <f>SUMIFS(Cash_Flow_3[Amount],Cash_Flow_3[Bulan],H968,Cash_Flow_3[Type],"Out",Cash_Flow_3[Category],"Bathroom")</f>
        <v>0</v>
      </c>
      <c r="M968" s="29">
        <f>SUMIFS(Cash_Flow_3[Amount],Cash_Flow_3[Bulan],H968,Cash_Flow_3[Type],"Out",Cash_Flow_3[Category],"Alfa")</f>
        <v>0</v>
      </c>
      <c r="N968" s="29">
        <f>SUMIFS(Cash_Flow_3[Amount],Cash_Flow_3[Bulan],H968,Cash_Flow_3[Type],"Out",Cash_Flow_3[Category],"Jajan")</f>
        <v>0</v>
      </c>
      <c r="O968" s="29">
        <f>SUMIFS(Cash_Flow_3[Amount],Cash_Flow_3[Bulan],H968,Cash_Flow_3[Type],"Out",Cash_Flow_3[Category],"Kitchen")</f>
        <v>0</v>
      </c>
      <c r="P968" s="29">
        <f>SUMIFS(Cash_Flow_3[Amount],Cash_Flow_3[Bulan],H968,Cash_Flow_3[Type],"Out",Cash_Flow_3[Category],"Loandry")</f>
        <v>0</v>
      </c>
      <c r="Q968" s="29">
        <f>SUMIFS(Cash_Flow_3[Amount],Cash_Flow_3[Bulan],H968,Cash_Flow_3[Type],"Out",Cash_Flow_3[Category],"Mio")</f>
        <v>0</v>
      </c>
      <c r="R968" s="29">
        <f>SUMIFS(Cash_Flow_3[Amount],Cash_Flow_3[Bulan],H968,Cash_Flow_3[Type],"Out",Cash_Flow_3[Category],"Sedekah")</f>
        <v>0</v>
      </c>
      <c r="S968" s="29">
        <f>SUMIFS(Cash_Flow_3[Amount],Cash_Flow_3[Bulan],H968,Cash_Flow_3[Type],"Out",Cash_Flow_3[Category],"Zela")</f>
        <v>0</v>
      </c>
      <c r="T968" s="29">
        <f>SUMIFS(Cash_Flow_3[Amount],Cash_Flow_3[Bulan],H968,Cash_Flow_3[Type],"Out",Cash_Flow_3[Category],"Iqbal")</f>
        <v>0</v>
      </c>
    </row>
    <row r="969" spans="1:20" ht="22.5" customHeight="1" x14ac:dyDescent="0.2">
      <c r="A969" s="23"/>
      <c r="B969" s="24"/>
      <c r="C969" s="25"/>
      <c r="D969" s="25"/>
      <c r="E969" s="25"/>
      <c r="F969" s="26"/>
      <c r="G969" s="27"/>
      <c r="H969" s="28" t="str">
        <f t="shared" si="0"/>
        <v/>
      </c>
      <c r="I969" s="29">
        <f>SUMIFS(Cash_Flow_3[Amount],Cash_Flow_3[Bulan],H969,Cash_Flow_3[Type],"In")</f>
        <v>0</v>
      </c>
      <c r="J969" s="29">
        <f>SUMIFS(Cash_Flow_3[Amount],Cash_Flow_3[Bulan],H969,Cash_Flow_3[Type],"Out")</f>
        <v>0</v>
      </c>
      <c r="K969" s="29">
        <f>SUMIFS(Cash_Flow_3[Amount],Cash_Flow_3[Bulan],H969,Cash_Flow_3[Type],"Out",Cash_Flow_3[Category],"Fix")</f>
        <v>0</v>
      </c>
      <c r="L969" s="29">
        <f>SUMIFS(Cash_Flow_3[Amount],Cash_Flow_3[Bulan],H969,Cash_Flow_3[Type],"Out",Cash_Flow_3[Category],"Bathroom")</f>
        <v>0</v>
      </c>
      <c r="M969" s="29">
        <f>SUMIFS(Cash_Flow_3[Amount],Cash_Flow_3[Bulan],H969,Cash_Flow_3[Type],"Out",Cash_Flow_3[Category],"Alfa")</f>
        <v>0</v>
      </c>
      <c r="N969" s="29">
        <f>SUMIFS(Cash_Flow_3[Amount],Cash_Flow_3[Bulan],H969,Cash_Flow_3[Type],"Out",Cash_Flow_3[Category],"Jajan")</f>
        <v>0</v>
      </c>
      <c r="O969" s="29">
        <f>SUMIFS(Cash_Flow_3[Amount],Cash_Flow_3[Bulan],H969,Cash_Flow_3[Type],"Out",Cash_Flow_3[Category],"Kitchen")</f>
        <v>0</v>
      </c>
      <c r="P969" s="29">
        <f>SUMIFS(Cash_Flow_3[Amount],Cash_Flow_3[Bulan],H969,Cash_Flow_3[Type],"Out",Cash_Flow_3[Category],"Loandry")</f>
        <v>0</v>
      </c>
      <c r="Q969" s="29">
        <f>SUMIFS(Cash_Flow_3[Amount],Cash_Flow_3[Bulan],H969,Cash_Flow_3[Type],"Out",Cash_Flow_3[Category],"Mio")</f>
        <v>0</v>
      </c>
      <c r="R969" s="29">
        <f>SUMIFS(Cash_Flow_3[Amount],Cash_Flow_3[Bulan],H969,Cash_Flow_3[Type],"Out",Cash_Flow_3[Category],"Sedekah")</f>
        <v>0</v>
      </c>
      <c r="S969" s="29">
        <f>SUMIFS(Cash_Flow_3[Amount],Cash_Flow_3[Bulan],H969,Cash_Flow_3[Type],"Out",Cash_Flow_3[Category],"Zela")</f>
        <v>0</v>
      </c>
      <c r="T969" s="29">
        <f>SUMIFS(Cash_Flow_3[Amount],Cash_Flow_3[Bulan],H969,Cash_Flow_3[Type],"Out",Cash_Flow_3[Category],"Iqbal")</f>
        <v>0</v>
      </c>
    </row>
    <row r="970" spans="1:20" ht="22.5" customHeight="1" x14ac:dyDescent="0.2">
      <c r="A970" s="23"/>
      <c r="B970" s="24"/>
      <c r="C970" s="25"/>
      <c r="D970" s="25"/>
      <c r="E970" s="25"/>
      <c r="F970" s="26"/>
      <c r="G970" s="27"/>
      <c r="H970" s="28" t="str">
        <f t="shared" si="0"/>
        <v/>
      </c>
      <c r="I970" s="29">
        <f>SUMIFS(Cash_Flow_3[Amount],Cash_Flow_3[Bulan],H970,Cash_Flow_3[Type],"In")</f>
        <v>0</v>
      </c>
      <c r="J970" s="29">
        <f>SUMIFS(Cash_Flow_3[Amount],Cash_Flow_3[Bulan],H970,Cash_Flow_3[Type],"Out")</f>
        <v>0</v>
      </c>
      <c r="K970" s="29">
        <f>SUMIFS(Cash_Flow_3[Amount],Cash_Flow_3[Bulan],H970,Cash_Flow_3[Type],"Out",Cash_Flow_3[Category],"Fix")</f>
        <v>0</v>
      </c>
      <c r="L970" s="29">
        <f>SUMIFS(Cash_Flow_3[Amount],Cash_Flow_3[Bulan],H970,Cash_Flow_3[Type],"Out",Cash_Flow_3[Category],"Bathroom")</f>
        <v>0</v>
      </c>
      <c r="M970" s="29">
        <f>SUMIFS(Cash_Flow_3[Amount],Cash_Flow_3[Bulan],H970,Cash_Flow_3[Type],"Out",Cash_Flow_3[Category],"Alfa")</f>
        <v>0</v>
      </c>
      <c r="N970" s="29">
        <f>SUMIFS(Cash_Flow_3[Amount],Cash_Flow_3[Bulan],H970,Cash_Flow_3[Type],"Out",Cash_Flow_3[Category],"Jajan")</f>
        <v>0</v>
      </c>
      <c r="O970" s="29">
        <f>SUMIFS(Cash_Flow_3[Amount],Cash_Flow_3[Bulan],H970,Cash_Flow_3[Type],"Out",Cash_Flow_3[Category],"Kitchen")</f>
        <v>0</v>
      </c>
      <c r="P970" s="29">
        <f>SUMIFS(Cash_Flow_3[Amount],Cash_Flow_3[Bulan],H970,Cash_Flow_3[Type],"Out",Cash_Flow_3[Category],"Loandry")</f>
        <v>0</v>
      </c>
      <c r="Q970" s="29">
        <f>SUMIFS(Cash_Flow_3[Amount],Cash_Flow_3[Bulan],H970,Cash_Flow_3[Type],"Out",Cash_Flow_3[Category],"Mio")</f>
        <v>0</v>
      </c>
      <c r="R970" s="29">
        <f>SUMIFS(Cash_Flow_3[Amount],Cash_Flow_3[Bulan],H970,Cash_Flow_3[Type],"Out",Cash_Flow_3[Category],"Sedekah")</f>
        <v>0</v>
      </c>
      <c r="S970" s="29">
        <f>SUMIFS(Cash_Flow_3[Amount],Cash_Flow_3[Bulan],H970,Cash_Flow_3[Type],"Out",Cash_Flow_3[Category],"Zela")</f>
        <v>0</v>
      </c>
      <c r="T970" s="29">
        <f>SUMIFS(Cash_Flow_3[Amount],Cash_Flow_3[Bulan],H970,Cash_Flow_3[Type],"Out",Cash_Flow_3[Category],"Iqbal")</f>
        <v>0</v>
      </c>
    </row>
    <row r="971" spans="1:20" ht="22.5" customHeight="1" x14ac:dyDescent="0.2">
      <c r="A971" s="23"/>
      <c r="B971" s="24"/>
      <c r="C971" s="25"/>
      <c r="D971" s="25"/>
      <c r="E971" s="25"/>
      <c r="F971" s="26"/>
      <c r="G971" s="27"/>
      <c r="H971" s="28" t="str">
        <f t="shared" si="0"/>
        <v/>
      </c>
      <c r="I971" s="29">
        <f>SUMIFS(Cash_Flow_3[Amount],Cash_Flow_3[Bulan],H971,Cash_Flow_3[Type],"In")</f>
        <v>0</v>
      </c>
      <c r="J971" s="29">
        <f>SUMIFS(Cash_Flow_3[Amount],Cash_Flow_3[Bulan],H971,Cash_Flow_3[Type],"Out")</f>
        <v>0</v>
      </c>
      <c r="K971" s="29">
        <f>SUMIFS(Cash_Flow_3[Amount],Cash_Flow_3[Bulan],H971,Cash_Flow_3[Type],"Out",Cash_Flow_3[Category],"Fix")</f>
        <v>0</v>
      </c>
      <c r="L971" s="29">
        <f>SUMIFS(Cash_Flow_3[Amount],Cash_Flow_3[Bulan],H971,Cash_Flow_3[Type],"Out",Cash_Flow_3[Category],"Bathroom")</f>
        <v>0</v>
      </c>
      <c r="M971" s="29">
        <f>SUMIFS(Cash_Flow_3[Amount],Cash_Flow_3[Bulan],H971,Cash_Flow_3[Type],"Out",Cash_Flow_3[Category],"Alfa")</f>
        <v>0</v>
      </c>
      <c r="N971" s="29">
        <f>SUMIFS(Cash_Flow_3[Amount],Cash_Flow_3[Bulan],H971,Cash_Flow_3[Type],"Out",Cash_Flow_3[Category],"Jajan")</f>
        <v>0</v>
      </c>
      <c r="O971" s="29">
        <f>SUMIFS(Cash_Flow_3[Amount],Cash_Flow_3[Bulan],H971,Cash_Flow_3[Type],"Out",Cash_Flow_3[Category],"Kitchen")</f>
        <v>0</v>
      </c>
      <c r="P971" s="29">
        <f>SUMIFS(Cash_Flow_3[Amount],Cash_Flow_3[Bulan],H971,Cash_Flow_3[Type],"Out",Cash_Flow_3[Category],"Loandry")</f>
        <v>0</v>
      </c>
      <c r="Q971" s="29">
        <f>SUMIFS(Cash_Flow_3[Amount],Cash_Flow_3[Bulan],H971,Cash_Flow_3[Type],"Out",Cash_Flow_3[Category],"Mio")</f>
        <v>0</v>
      </c>
      <c r="R971" s="29">
        <f>SUMIFS(Cash_Flow_3[Amount],Cash_Flow_3[Bulan],H971,Cash_Flow_3[Type],"Out",Cash_Flow_3[Category],"Sedekah")</f>
        <v>0</v>
      </c>
      <c r="S971" s="29">
        <f>SUMIFS(Cash_Flow_3[Amount],Cash_Flow_3[Bulan],H971,Cash_Flow_3[Type],"Out",Cash_Flow_3[Category],"Zela")</f>
        <v>0</v>
      </c>
      <c r="T971" s="29">
        <f>SUMIFS(Cash_Flow_3[Amount],Cash_Flow_3[Bulan],H971,Cash_Flow_3[Type],"Out",Cash_Flow_3[Category],"Iqbal")</f>
        <v>0</v>
      </c>
    </row>
    <row r="972" spans="1:20" ht="22.5" customHeight="1" x14ac:dyDescent="0.2">
      <c r="A972" s="23"/>
      <c r="B972" s="24"/>
      <c r="C972" s="25"/>
      <c r="D972" s="25"/>
      <c r="E972" s="25"/>
      <c r="F972" s="26"/>
      <c r="G972" s="27"/>
      <c r="H972" s="28" t="str">
        <f t="shared" si="0"/>
        <v/>
      </c>
      <c r="I972" s="29">
        <f>SUMIFS(Cash_Flow_3[Amount],Cash_Flow_3[Bulan],H972,Cash_Flow_3[Type],"In")</f>
        <v>0</v>
      </c>
      <c r="J972" s="29">
        <f>SUMIFS(Cash_Flow_3[Amount],Cash_Flow_3[Bulan],H972,Cash_Flow_3[Type],"Out")</f>
        <v>0</v>
      </c>
      <c r="K972" s="29">
        <f>SUMIFS(Cash_Flow_3[Amount],Cash_Flow_3[Bulan],H972,Cash_Flow_3[Type],"Out",Cash_Flow_3[Category],"Fix")</f>
        <v>0</v>
      </c>
      <c r="L972" s="29">
        <f>SUMIFS(Cash_Flow_3[Amount],Cash_Flow_3[Bulan],H972,Cash_Flow_3[Type],"Out",Cash_Flow_3[Category],"Bathroom")</f>
        <v>0</v>
      </c>
      <c r="M972" s="29">
        <f>SUMIFS(Cash_Flow_3[Amount],Cash_Flow_3[Bulan],H972,Cash_Flow_3[Type],"Out",Cash_Flow_3[Category],"Alfa")</f>
        <v>0</v>
      </c>
      <c r="N972" s="29">
        <f>SUMIFS(Cash_Flow_3[Amount],Cash_Flow_3[Bulan],H972,Cash_Flow_3[Type],"Out",Cash_Flow_3[Category],"Jajan")</f>
        <v>0</v>
      </c>
      <c r="O972" s="29">
        <f>SUMIFS(Cash_Flow_3[Amount],Cash_Flow_3[Bulan],H972,Cash_Flow_3[Type],"Out",Cash_Flow_3[Category],"Kitchen")</f>
        <v>0</v>
      </c>
      <c r="P972" s="29">
        <f>SUMIFS(Cash_Flow_3[Amount],Cash_Flow_3[Bulan],H972,Cash_Flow_3[Type],"Out",Cash_Flow_3[Category],"Loandry")</f>
        <v>0</v>
      </c>
      <c r="Q972" s="29">
        <f>SUMIFS(Cash_Flow_3[Amount],Cash_Flow_3[Bulan],H972,Cash_Flow_3[Type],"Out",Cash_Flow_3[Category],"Mio")</f>
        <v>0</v>
      </c>
      <c r="R972" s="29">
        <f>SUMIFS(Cash_Flow_3[Amount],Cash_Flow_3[Bulan],H972,Cash_Flow_3[Type],"Out",Cash_Flow_3[Category],"Sedekah")</f>
        <v>0</v>
      </c>
      <c r="S972" s="29">
        <f>SUMIFS(Cash_Flow_3[Amount],Cash_Flow_3[Bulan],H972,Cash_Flow_3[Type],"Out",Cash_Flow_3[Category],"Zela")</f>
        <v>0</v>
      </c>
      <c r="T972" s="29">
        <f>SUMIFS(Cash_Flow_3[Amount],Cash_Flow_3[Bulan],H972,Cash_Flow_3[Type],"Out",Cash_Flow_3[Category],"Iqbal")</f>
        <v>0</v>
      </c>
    </row>
    <row r="973" spans="1:20" ht="22.5" customHeight="1" x14ac:dyDescent="0.2">
      <c r="A973" s="23"/>
      <c r="B973" s="24"/>
      <c r="C973" s="25"/>
      <c r="D973" s="25"/>
      <c r="E973" s="25"/>
      <c r="F973" s="26"/>
      <c r="G973" s="27"/>
      <c r="H973" s="28" t="str">
        <f t="shared" si="0"/>
        <v/>
      </c>
      <c r="I973" s="29">
        <f>SUMIFS(Cash_Flow_3[Amount],Cash_Flow_3[Bulan],H973,Cash_Flow_3[Type],"In")</f>
        <v>0</v>
      </c>
      <c r="J973" s="29">
        <f>SUMIFS(Cash_Flow_3[Amount],Cash_Flow_3[Bulan],H973,Cash_Flow_3[Type],"Out")</f>
        <v>0</v>
      </c>
      <c r="K973" s="29">
        <f>SUMIFS(Cash_Flow_3[Amount],Cash_Flow_3[Bulan],H973,Cash_Flow_3[Type],"Out",Cash_Flow_3[Category],"Fix")</f>
        <v>0</v>
      </c>
      <c r="L973" s="29">
        <f>SUMIFS(Cash_Flow_3[Amount],Cash_Flow_3[Bulan],H973,Cash_Flow_3[Type],"Out",Cash_Flow_3[Category],"Bathroom")</f>
        <v>0</v>
      </c>
      <c r="M973" s="29">
        <f>SUMIFS(Cash_Flow_3[Amount],Cash_Flow_3[Bulan],H973,Cash_Flow_3[Type],"Out",Cash_Flow_3[Category],"Alfa")</f>
        <v>0</v>
      </c>
      <c r="N973" s="29">
        <f>SUMIFS(Cash_Flow_3[Amount],Cash_Flow_3[Bulan],H973,Cash_Flow_3[Type],"Out",Cash_Flow_3[Category],"Jajan")</f>
        <v>0</v>
      </c>
      <c r="O973" s="29">
        <f>SUMIFS(Cash_Flow_3[Amount],Cash_Flow_3[Bulan],H973,Cash_Flow_3[Type],"Out",Cash_Flow_3[Category],"Kitchen")</f>
        <v>0</v>
      </c>
      <c r="P973" s="29">
        <f>SUMIFS(Cash_Flow_3[Amount],Cash_Flow_3[Bulan],H973,Cash_Flow_3[Type],"Out",Cash_Flow_3[Category],"Loandry")</f>
        <v>0</v>
      </c>
      <c r="Q973" s="29">
        <f>SUMIFS(Cash_Flow_3[Amount],Cash_Flow_3[Bulan],H973,Cash_Flow_3[Type],"Out",Cash_Flow_3[Category],"Mio")</f>
        <v>0</v>
      </c>
      <c r="R973" s="29">
        <f>SUMIFS(Cash_Flow_3[Amount],Cash_Flow_3[Bulan],H973,Cash_Flow_3[Type],"Out",Cash_Flow_3[Category],"Sedekah")</f>
        <v>0</v>
      </c>
      <c r="S973" s="29">
        <f>SUMIFS(Cash_Flow_3[Amount],Cash_Flow_3[Bulan],H973,Cash_Flow_3[Type],"Out",Cash_Flow_3[Category],"Zela")</f>
        <v>0</v>
      </c>
      <c r="T973" s="29">
        <f>SUMIFS(Cash_Flow_3[Amount],Cash_Flow_3[Bulan],H973,Cash_Flow_3[Type],"Out",Cash_Flow_3[Category],"Iqbal")</f>
        <v>0</v>
      </c>
    </row>
    <row r="974" spans="1:20" ht="22.5" customHeight="1" x14ac:dyDescent="0.2">
      <c r="A974" s="23"/>
      <c r="B974" s="24"/>
      <c r="C974" s="25"/>
      <c r="D974" s="25"/>
      <c r="E974" s="25"/>
      <c r="F974" s="26"/>
      <c r="G974" s="27"/>
      <c r="H974" s="28" t="str">
        <f t="shared" si="0"/>
        <v/>
      </c>
      <c r="I974" s="29">
        <f>SUMIFS(Cash_Flow_3[Amount],Cash_Flow_3[Bulan],H974,Cash_Flow_3[Type],"In")</f>
        <v>0</v>
      </c>
      <c r="J974" s="29">
        <f>SUMIFS(Cash_Flow_3[Amount],Cash_Flow_3[Bulan],H974,Cash_Flow_3[Type],"Out")</f>
        <v>0</v>
      </c>
      <c r="K974" s="29">
        <f>SUMIFS(Cash_Flow_3[Amount],Cash_Flow_3[Bulan],H974,Cash_Flow_3[Type],"Out",Cash_Flow_3[Category],"Fix")</f>
        <v>0</v>
      </c>
      <c r="L974" s="29">
        <f>SUMIFS(Cash_Flow_3[Amount],Cash_Flow_3[Bulan],H974,Cash_Flow_3[Type],"Out",Cash_Flow_3[Category],"Bathroom")</f>
        <v>0</v>
      </c>
      <c r="M974" s="29">
        <f>SUMIFS(Cash_Flow_3[Amount],Cash_Flow_3[Bulan],H974,Cash_Flow_3[Type],"Out",Cash_Flow_3[Category],"Alfa")</f>
        <v>0</v>
      </c>
      <c r="N974" s="29">
        <f>SUMIFS(Cash_Flow_3[Amount],Cash_Flow_3[Bulan],H974,Cash_Flow_3[Type],"Out",Cash_Flow_3[Category],"Jajan")</f>
        <v>0</v>
      </c>
      <c r="O974" s="29">
        <f>SUMIFS(Cash_Flow_3[Amount],Cash_Flow_3[Bulan],H974,Cash_Flow_3[Type],"Out",Cash_Flow_3[Category],"Kitchen")</f>
        <v>0</v>
      </c>
      <c r="P974" s="29">
        <f>SUMIFS(Cash_Flow_3[Amount],Cash_Flow_3[Bulan],H974,Cash_Flow_3[Type],"Out",Cash_Flow_3[Category],"Loandry")</f>
        <v>0</v>
      </c>
      <c r="Q974" s="29">
        <f>SUMIFS(Cash_Flow_3[Amount],Cash_Flow_3[Bulan],H974,Cash_Flow_3[Type],"Out",Cash_Flow_3[Category],"Mio")</f>
        <v>0</v>
      </c>
      <c r="R974" s="29">
        <f>SUMIFS(Cash_Flow_3[Amount],Cash_Flow_3[Bulan],H974,Cash_Flow_3[Type],"Out",Cash_Flow_3[Category],"Sedekah")</f>
        <v>0</v>
      </c>
      <c r="S974" s="29">
        <f>SUMIFS(Cash_Flow_3[Amount],Cash_Flow_3[Bulan],H974,Cash_Flow_3[Type],"Out",Cash_Flow_3[Category],"Zela")</f>
        <v>0</v>
      </c>
      <c r="T974" s="29">
        <f>SUMIFS(Cash_Flow_3[Amount],Cash_Flow_3[Bulan],H974,Cash_Flow_3[Type],"Out",Cash_Flow_3[Category],"Iqbal")</f>
        <v>0</v>
      </c>
    </row>
    <row r="975" spans="1:20" ht="22.5" customHeight="1" x14ac:dyDescent="0.2">
      <c r="A975" s="23"/>
      <c r="B975" s="24"/>
      <c r="C975" s="25"/>
      <c r="D975" s="25"/>
      <c r="E975" s="25"/>
      <c r="F975" s="26"/>
      <c r="G975" s="27"/>
      <c r="H975" s="28" t="str">
        <f t="shared" si="0"/>
        <v/>
      </c>
      <c r="I975" s="29">
        <f>SUMIFS(Cash_Flow_3[Amount],Cash_Flow_3[Bulan],H975,Cash_Flow_3[Type],"In")</f>
        <v>0</v>
      </c>
      <c r="J975" s="29">
        <f>SUMIFS(Cash_Flow_3[Amount],Cash_Flow_3[Bulan],H975,Cash_Flow_3[Type],"Out")</f>
        <v>0</v>
      </c>
      <c r="K975" s="29">
        <f>SUMIFS(Cash_Flow_3[Amount],Cash_Flow_3[Bulan],H975,Cash_Flow_3[Type],"Out",Cash_Flow_3[Category],"Fix")</f>
        <v>0</v>
      </c>
      <c r="L975" s="29">
        <f>SUMIFS(Cash_Flow_3[Amount],Cash_Flow_3[Bulan],H975,Cash_Flow_3[Type],"Out",Cash_Flow_3[Category],"Bathroom")</f>
        <v>0</v>
      </c>
      <c r="M975" s="29">
        <f>SUMIFS(Cash_Flow_3[Amount],Cash_Flow_3[Bulan],H975,Cash_Flow_3[Type],"Out",Cash_Flow_3[Category],"Alfa")</f>
        <v>0</v>
      </c>
      <c r="N975" s="29">
        <f>SUMIFS(Cash_Flow_3[Amount],Cash_Flow_3[Bulan],H975,Cash_Flow_3[Type],"Out",Cash_Flow_3[Category],"Jajan")</f>
        <v>0</v>
      </c>
      <c r="O975" s="29">
        <f>SUMIFS(Cash_Flow_3[Amount],Cash_Flow_3[Bulan],H975,Cash_Flow_3[Type],"Out",Cash_Flow_3[Category],"Kitchen")</f>
        <v>0</v>
      </c>
      <c r="P975" s="29">
        <f>SUMIFS(Cash_Flow_3[Amount],Cash_Flow_3[Bulan],H975,Cash_Flow_3[Type],"Out",Cash_Flow_3[Category],"Loandry")</f>
        <v>0</v>
      </c>
      <c r="Q975" s="29">
        <f>SUMIFS(Cash_Flow_3[Amount],Cash_Flow_3[Bulan],H975,Cash_Flow_3[Type],"Out",Cash_Flow_3[Category],"Mio")</f>
        <v>0</v>
      </c>
      <c r="R975" s="29">
        <f>SUMIFS(Cash_Flow_3[Amount],Cash_Flow_3[Bulan],H975,Cash_Flow_3[Type],"Out",Cash_Flow_3[Category],"Sedekah")</f>
        <v>0</v>
      </c>
      <c r="S975" s="29">
        <f>SUMIFS(Cash_Flow_3[Amount],Cash_Flow_3[Bulan],H975,Cash_Flow_3[Type],"Out",Cash_Flow_3[Category],"Zela")</f>
        <v>0</v>
      </c>
      <c r="T975" s="29">
        <f>SUMIFS(Cash_Flow_3[Amount],Cash_Flow_3[Bulan],H975,Cash_Flow_3[Type],"Out",Cash_Flow_3[Category],"Iqbal")</f>
        <v>0</v>
      </c>
    </row>
    <row r="976" spans="1:20" ht="22.5" customHeight="1" x14ac:dyDescent="0.2">
      <c r="A976" s="23"/>
      <c r="B976" s="24"/>
      <c r="C976" s="25"/>
      <c r="D976" s="25"/>
      <c r="E976" s="25"/>
      <c r="F976" s="26"/>
      <c r="G976" s="27"/>
      <c r="H976" s="28" t="str">
        <f t="shared" si="0"/>
        <v/>
      </c>
      <c r="I976" s="29">
        <f>SUMIFS(Cash_Flow_3[Amount],Cash_Flow_3[Bulan],H976,Cash_Flow_3[Type],"In")</f>
        <v>0</v>
      </c>
      <c r="J976" s="29">
        <f>SUMIFS(Cash_Flow_3[Amount],Cash_Flow_3[Bulan],H976,Cash_Flow_3[Type],"Out")</f>
        <v>0</v>
      </c>
      <c r="K976" s="29">
        <f>SUMIFS(Cash_Flow_3[Amount],Cash_Flow_3[Bulan],H976,Cash_Flow_3[Type],"Out",Cash_Flow_3[Category],"Fix")</f>
        <v>0</v>
      </c>
      <c r="L976" s="29">
        <f>SUMIFS(Cash_Flow_3[Amount],Cash_Flow_3[Bulan],H976,Cash_Flow_3[Type],"Out",Cash_Flow_3[Category],"Bathroom")</f>
        <v>0</v>
      </c>
      <c r="M976" s="29">
        <f>SUMIFS(Cash_Flow_3[Amount],Cash_Flow_3[Bulan],H976,Cash_Flow_3[Type],"Out",Cash_Flow_3[Category],"Alfa")</f>
        <v>0</v>
      </c>
      <c r="N976" s="29">
        <f>SUMIFS(Cash_Flow_3[Amount],Cash_Flow_3[Bulan],H976,Cash_Flow_3[Type],"Out",Cash_Flow_3[Category],"Jajan")</f>
        <v>0</v>
      </c>
      <c r="O976" s="29">
        <f>SUMIFS(Cash_Flow_3[Amount],Cash_Flow_3[Bulan],H976,Cash_Flow_3[Type],"Out",Cash_Flow_3[Category],"Kitchen")</f>
        <v>0</v>
      </c>
      <c r="P976" s="29">
        <f>SUMIFS(Cash_Flow_3[Amount],Cash_Flow_3[Bulan],H976,Cash_Flow_3[Type],"Out",Cash_Flow_3[Category],"Loandry")</f>
        <v>0</v>
      </c>
      <c r="Q976" s="29">
        <f>SUMIFS(Cash_Flow_3[Amount],Cash_Flow_3[Bulan],H976,Cash_Flow_3[Type],"Out",Cash_Flow_3[Category],"Mio")</f>
        <v>0</v>
      </c>
      <c r="R976" s="29">
        <f>SUMIFS(Cash_Flow_3[Amount],Cash_Flow_3[Bulan],H976,Cash_Flow_3[Type],"Out",Cash_Flow_3[Category],"Sedekah")</f>
        <v>0</v>
      </c>
      <c r="S976" s="29">
        <f>SUMIFS(Cash_Flow_3[Amount],Cash_Flow_3[Bulan],H976,Cash_Flow_3[Type],"Out",Cash_Flow_3[Category],"Zela")</f>
        <v>0</v>
      </c>
      <c r="T976" s="29">
        <f>SUMIFS(Cash_Flow_3[Amount],Cash_Flow_3[Bulan],H976,Cash_Flow_3[Type],"Out",Cash_Flow_3[Category],"Iqbal")</f>
        <v>0</v>
      </c>
    </row>
    <row r="977" spans="1:20" ht="22.5" customHeight="1" x14ac:dyDescent="0.2">
      <c r="A977" s="23"/>
      <c r="B977" s="24"/>
      <c r="C977" s="25"/>
      <c r="D977" s="25"/>
      <c r="E977" s="25"/>
      <c r="F977" s="26"/>
      <c r="G977" s="27"/>
      <c r="H977" s="28" t="str">
        <f t="shared" si="0"/>
        <v/>
      </c>
      <c r="I977" s="29">
        <f>SUMIFS(Cash_Flow_3[Amount],Cash_Flow_3[Bulan],H977,Cash_Flow_3[Type],"In")</f>
        <v>0</v>
      </c>
      <c r="J977" s="29">
        <f>SUMIFS(Cash_Flow_3[Amount],Cash_Flow_3[Bulan],H977,Cash_Flow_3[Type],"Out")</f>
        <v>0</v>
      </c>
      <c r="K977" s="29">
        <f>SUMIFS(Cash_Flow_3[Amount],Cash_Flow_3[Bulan],H977,Cash_Flow_3[Type],"Out",Cash_Flow_3[Category],"Fix")</f>
        <v>0</v>
      </c>
      <c r="L977" s="29">
        <f>SUMIFS(Cash_Flow_3[Amount],Cash_Flow_3[Bulan],H977,Cash_Flow_3[Type],"Out",Cash_Flow_3[Category],"Bathroom")</f>
        <v>0</v>
      </c>
      <c r="M977" s="29">
        <f>SUMIFS(Cash_Flow_3[Amount],Cash_Flow_3[Bulan],H977,Cash_Flow_3[Type],"Out",Cash_Flow_3[Category],"Alfa")</f>
        <v>0</v>
      </c>
      <c r="N977" s="29">
        <f>SUMIFS(Cash_Flow_3[Amount],Cash_Flow_3[Bulan],H977,Cash_Flow_3[Type],"Out",Cash_Flow_3[Category],"Jajan")</f>
        <v>0</v>
      </c>
      <c r="O977" s="29">
        <f>SUMIFS(Cash_Flow_3[Amount],Cash_Flow_3[Bulan],H977,Cash_Flow_3[Type],"Out",Cash_Flow_3[Category],"Kitchen")</f>
        <v>0</v>
      </c>
      <c r="P977" s="29">
        <f>SUMIFS(Cash_Flow_3[Amount],Cash_Flow_3[Bulan],H977,Cash_Flow_3[Type],"Out",Cash_Flow_3[Category],"Loandry")</f>
        <v>0</v>
      </c>
      <c r="Q977" s="29">
        <f>SUMIFS(Cash_Flow_3[Amount],Cash_Flow_3[Bulan],H977,Cash_Flow_3[Type],"Out",Cash_Flow_3[Category],"Mio")</f>
        <v>0</v>
      </c>
      <c r="R977" s="29">
        <f>SUMIFS(Cash_Flow_3[Amount],Cash_Flow_3[Bulan],H977,Cash_Flow_3[Type],"Out",Cash_Flow_3[Category],"Sedekah")</f>
        <v>0</v>
      </c>
      <c r="S977" s="29">
        <f>SUMIFS(Cash_Flow_3[Amount],Cash_Flow_3[Bulan],H977,Cash_Flow_3[Type],"Out",Cash_Flow_3[Category],"Zela")</f>
        <v>0</v>
      </c>
      <c r="T977" s="29">
        <f>SUMIFS(Cash_Flow_3[Amount],Cash_Flow_3[Bulan],H977,Cash_Flow_3[Type],"Out",Cash_Flow_3[Category],"Iqbal")</f>
        <v>0</v>
      </c>
    </row>
    <row r="978" spans="1:20" ht="22.5" customHeight="1" x14ac:dyDescent="0.2">
      <c r="A978" s="23"/>
      <c r="B978" s="24"/>
      <c r="C978" s="25"/>
      <c r="D978" s="25"/>
      <c r="E978" s="25"/>
      <c r="F978" s="26"/>
      <c r="G978" s="27"/>
      <c r="H978" s="28" t="str">
        <f t="shared" si="0"/>
        <v/>
      </c>
      <c r="I978" s="29">
        <f>SUMIFS(Cash_Flow_3[Amount],Cash_Flow_3[Bulan],H978,Cash_Flow_3[Type],"In")</f>
        <v>0</v>
      </c>
      <c r="J978" s="29">
        <f>SUMIFS(Cash_Flow_3[Amount],Cash_Flow_3[Bulan],H978,Cash_Flow_3[Type],"Out")</f>
        <v>0</v>
      </c>
      <c r="K978" s="29">
        <f>SUMIFS(Cash_Flow_3[Amount],Cash_Flow_3[Bulan],H978,Cash_Flow_3[Type],"Out",Cash_Flow_3[Category],"Fix")</f>
        <v>0</v>
      </c>
      <c r="L978" s="29">
        <f>SUMIFS(Cash_Flow_3[Amount],Cash_Flow_3[Bulan],H978,Cash_Flow_3[Type],"Out",Cash_Flow_3[Category],"Bathroom")</f>
        <v>0</v>
      </c>
      <c r="M978" s="29">
        <f>SUMIFS(Cash_Flow_3[Amount],Cash_Flow_3[Bulan],H978,Cash_Flow_3[Type],"Out",Cash_Flow_3[Category],"Alfa")</f>
        <v>0</v>
      </c>
      <c r="N978" s="29">
        <f>SUMIFS(Cash_Flow_3[Amount],Cash_Flow_3[Bulan],H978,Cash_Flow_3[Type],"Out",Cash_Flow_3[Category],"Jajan")</f>
        <v>0</v>
      </c>
      <c r="O978" s="29">
        <f>SUMIFS(Cash_Flow_3[Amount],Cash_Flow_3[Bulan],H978,Cash_Flow_3[Type],"Out",Cash_Flow_3[Category],"Kitchen")</f>
        <v>0</v>
      </c>
      <c r="P978" s="29">
        <f>SUMIFS(Cash_Flow_3[Amount],Cash_Flow_3[Bulan],H978,Cash_Flow_3[Type],"Out",Cash_Flow_3[Category],"Loandry")</f>
        <v>0</v>
      </c>
      <c r="Q978" s="29">
        <f>SUMIFS(Cash_Flow_3[Amount],Cash_Flow_3[Bulan],H978,Cash_Flow_3[Type],"Out",Cash_Flow_3[Category],"Mio")</f>
        <v>0</v>
      </c>
      <c r="R978" s="29">
        <f>SUMIFS(Cash_Flow_3[Amount],Cash_Flow_3[Bulan],H978,Cash_Flow_3[Type],"Out",Cash_Flow_3[Category],"Sedekah")</f>
        <v>0</v>
      </c>
      <c r="S978" s="29">
        <f>SUMIFS(Cash_Flow_3[Amount],Cash_Flow_3[Bulan],H978,Cash_Flow_3[Type],"Out",Cash_Flow_3[Category],"Zela")</f>
        <v>0</v>
      </c>
      <c r="T978" s="29">
        <f>SUMIFS(Cash_Flow_3[Amount],Cash_Flow_3[Bulan],H978,Cash_Flow_3[Type],"Out",Cash_Flow_3[Category],"Iqbal")</f>
        <v>0</v>
      </c>
    </row>
    <row r="979" spans="1:20" ht="22.5" customHeight="1" x14ac:dyDescent="0.2">
      <c r="A979" s="23"/>
      <c r="B979" s="24"/>
      <c r="C979" s="25"/>
      <c r="D979" s="25"/>
      <c r="E979" s="25"/>
      <c r="F979" s="26"/>
      <c r="G979" s="27"/>
      <c r="H979" s="28" t="str">
        <f t="shared" si="0"/>
        <v/>
      </c>
      <c r="I979" s="29">
        <f>SUMIFS(Cash_Flow_3[Amount],Cash_Flow_3[Bulan],H979,Cash_Flow_3[Type],"In")</f>
        <v>0</v>
      </c>
      <c r="J979" s="29">
        <f>SUMIFS(Cash_Flow_3[Amount],Cash_Flow_3[Bulan],H979,Cash_Flow_3[Type],"Out")</f>
        <v>0</v>
      </c>
      <c r="K979" s="29">
        <f>SUMIFS(Cash_Flow_3[Amount],Cash_Flow_3[Bulan],H979,Cash_Flow_3[Type],"Out",Cash_Flow_3[Category],"Fix")</f>
        <v>0</v>
      </c>
      <c r="L979" s="29">
        <f>SUMIFS(Cash_Flow_3[Amount],Cash_Flow_3[Bulan],H979,Cash_Flow_3[Type],"Out",Cash_Flow_3[Category],"Bathroom")</f>
        <v>0</v>
      </c>
      <c r="M979" s="29">
        <f>SUMIFS(Cash_Flow_3[Amount],Cash_Flow_3[Bulan],H979,Cash_Flow_3[Type],"Out",Cash_Flow_3[Category],"Alfa")</f>
        <v>0</v>
      </c>
      <c r="N979" s="29">
        <f>SUMIFS(Cash_Flow_3[Amount],Cash_Flow_3[Bulan],H979,Cash_Flow_3[Type],"Out",Cash_Flow_3[Category],"Jajan")</f>
        <v>0</v>
      </c>
      <c r="O979" s="29">
        <f>SUMIFS(Cash_Flow_3[Amount],Cash_Flow_3[Bulan],H979,Cash_Flow_3[Type],"Out",Cash_Flow_3[Category],"Kitchen")</f>
        <v>0</v>
      </c>
      <c r="P979" s="29">
        <f>SUMIFS(Cash_Flow_3[Amount],Cash_Flow_3[Bulan],H979,Cash_Flow_3[Type],"Out",Cash_Flow_3[Category],"Loandry")</f>
        <v>0</v>
      </c>
      <c r="Q979" s="29">
        <f>SUMIFS(Cash_Flow_3[Amount],Cash_Flow_3[Bulan],H979,Cash_Flow_3[Type],"Out",Cash_Flow_3[Category],"Mio")</f>
        <v>0</v>
      </c>
      <c r="R979" s="29">
        <f>SUMIFS(Cash_Flow_3[Amount],Cash_Flow_3[Bulan],H979,Cash_Flow_3[Type],"Out",Cash_Flow_3[Category],"Sedekah")</f>
        <v>0</v>
      </c>
      <c r="S979" s="29">
        <f>SUMIFS(Cash_Flow_3[Amount],Cash_Flow_3[Bulan],H979,Cash_Flow_3[Type],"Out",Cash_Flow_3[Category],"Zela")</f>
        <v>0</v>
      </c>
      <c r="T979" s="29">
        <f>SUMIFS(Cash_Flow_3[Amount],Cash_Flow_3[Bulan],H979,Cash_Flow_3[Type],"Out",Cash_Flow_3[Category],"Iqbal")</f>
        <v>0</v>
      </c>
    </row>
    <row r="980" spans="1:20" ht="22.5" customHeight="1" x14ac:dyDescent="0.2">
      <c r="A980" s="23"/>
      <c r="B980" s="24"/>
      <c r="C980" s="25"/>
      <c r="D980" s="25"/>
      <c r="E980" s="25"/>
      <c r="F980" s="26"/>
      <c r="G980" s="27"/>
      <c r="H980" s="28" t="str">
        <f t="shared" si="0"/>
        <v/>
      </c>
      <c r="I980" s="29">
        <f>SUMIFS(Cash_Flow_3[Amount],Cash_Flow_3[Bulan],H980,Cash_Flow_3[Type],"In")</f>
        <v>0</v>
      </c>
      <c r="J980" s="29">
        <f>SUMIFS(Cash_Flow_3[Amount],Cash_Flow_3[Bulan],H980,Cash_Flow_3[Type],"Out")</f>
        <v>0</v>
      </c>
      <c r="K980" s="29">
        <f>SUMIFS(Cash_Flow_3[Amount],Cash_Flow_3[Bulan],H980,Cash_Flow_3[Type],"Out",Cash_Flow_3[Category],"Fix")</f>
        <v>0</v>
      </c>
      <c r="L980" s="29">
        <f>SUMIFS(Cash_Flow_3[Amount],Cash_Flow_3[Bulan],H980,Cash_Flow_3[Type],"Out",Cash_Flow_3[Category],"Bathroom")</f>
        <v>0</v>
      </c>
      <c r="M980" s="29">
        <f>SUMIFS(Cash_Flow_3[Amount],Cash_Flow_3[Bulan],H980,Cash_Flow_3[Type],"Out",Cash_Flow_3[Category],"Alfa")</f>
        <v>0</v>
      </c>
      <c r="N980" s="29">
        <f>SUMIFS(Cash_Flow_3[Amount],Cash_Flow_3[Bulan],H980,Cash_Flow_3[Type],"Out",Cash_Flow_3[Category],"Jajan")</f>
        <v>0</v>
      </c>
      <c r="O980" s="29">
        <f>SUMIFS(Cash_Flow_3[Amount],Cash_Flow_3[Bulan],H980,Cash_Flow_3[Type],"Out",Cash_Flow_3[Category],"Kitchen")</f>
        <v>0</v>
      </c>
      <c r="P980" s="29">
        <f>SUMIFS(Cash_Flow_3[Amount],Cash_Flow_3[Bulan],H980,Cash_Flow_3[Type],"Out",Cash_Flow_3[Category],"Loandry")</f>
        <v>0</v>
      </c>
      <c r="Q980" s="29">
        <f>SUMIFS(Cash_Flow_3[Amount],Cash_Flow_3[Bulan],H980,Cash_Flow_3[Type],"Out",Cash_Flow_3[Category],"Mio")</f>
        <v>0</v>
      </c>
      <c r="R980" s="29">
        <f>SUMIFS(Cash_Flow_3[Amount],Cash_Flow_3[Bulan],H980,Cash_Flow_3[Type],"Out",Cash_Flow_3[Category],"Sedekah")</f>
        <v>0</v>
      </c>
      <c r="S980" s="29">
        <f>SUMIFS(Cash_Flow_3[Amount],Cash_Flow_3[Bulan],H980,Cash_Flow_3[Type],"Out",Cash_Flow_3[Category],"Zela")</f>
        <v>0</v>
      </c>
      <c r="T980" s="29">
        <f>SUMIFS(Cash_Flow_3[Amount],Cash_Flow_3[Bulan],H980,Cash_Flow_3[Type],"Out",Cash_Flow_3[Category],"Iqbal")</f>
        <v>0</v>
      </c>
    </row>
    <row r="981" spans="1:20" ht="22.5" customHeight="1" x14ac:dyDescent="0.2">
      <c r="A981" s="23"/>
      <c r="B981" s="24"/>
      <c r="C981" s="25"/>
      <c r="D981" s="25"/>
      <c r="E981" s="25"/>
      <c r="F981" s="26"/>
      <c r="G981" s="27"/>
      <c r="H981" s="28" t="str">
        <f t="shared" si="0"/>
        <v/>
      </c>
      <c r="I981" s="29">
        <f>SUMIFS(Cash_Flow_3[Amount],Cash_Flow_3[Bulan],H981,Cash_Flow_3[Type],"In")</f>
        <v>0</v>
      </c>
      <c r="J981" s="29">
        <f>SUMIFS(Cash_Flow_3[Amount],Cash_Flow_3[Bulan],H981,Cash_Flow_3[Type],"Out")</f>
        <v>0</v>
      </c>
      <c r="K981" s="29">
        <f>SUMIFS(Cash_Flow_3[Amount],Cash_Flow_3[Bulan],H981,Cash_Flow_3[Type],"Out",Cash_Flow_3[Category],"Fix")</f>
        <v>0</v>
      </c>
      <c r="L981" s="29">
        <f>SUMIFS(Cash_Flow_3[Amount],Cash_Flow_3[Bulan],H981,Cash_Flow_3[Type],"Out",Cash_Flow_3[Category],"Bathroom")</f>
        <v>0</v>
      </c>
      <c r="M981" s="29">
        <f>SUMIFS(Cash_Flow_3[Amount],Cash_Flow_3[Bulan],H981,Cash_Flow_3[Type],"Out",Cash_Flow_3[Category],"Alfa")</f>
        <v>0</v>
      </c>
      <c r="N981" s="29">
        <f>SUMIFS(Cash_Flow_3[Amount],Cash_Flow_3[Bulan],H981,Cash_Flow_3[Type],"Out",Cash_Flow_3[Category],"Jajan")</f>
        <v>0</v>
      </c>
      <c r="O981" s="29">
        <f>SUMIFS(Cash_Flow_3[Amount],Cash_Flow_3[Bulan],H981,Cash_Flow_3[Type],"Out",Cash_Flow_3[Category],"Kitchen")</f>
        <v>0</v>
      </c>
      <c r="P981" s="29">
        <f>SUMIFS(Cash_Flow_3[Amount],Cash_Flow_3[Bulan],H981,Cash_Flow_3[Type],"Out",Cash_Flow_3[Category],"Loandry")</f>
        <v>0</v>
      </c>
      <c r="Q981" s="29">
        <f>SUMIFS(Cash_Flow_3[Amount],Cash_Flow_3[Bulan],H981,Cash_Flow_3[Type],"Out",Cash_Flow_3[Category],"Mio")</f>
        <v>0</v>
      </c>
      <c r="R981" s="29">
        <f>SUMIFS(Cash_Flow_3[Amount],Cash_Flow_3[Bulan],H981,Cash_Flow_3[Type],"Out",Cash_Flow_3[Category],"Sedekah")</f>
        <v>0</v>
      </c>
      <c r="S981" s="29">
        <f>SUMIFS(Cash_Flow_3[Amount],Cash_Flow_3[Bulan],H981,Cash_Flow_3[Type],"Out",Cash_Flow_3[Category],"Zela")</f>
        <v>0</v>
      </c>
      <c r="T981" s="29">
        <f>SUMIFS(Cash_Flow_3[Amount],Cash_Flow_3[Bulan],H981,Cash_Flow_3[Type],"Out",Cash_Flow_3[Category],"Iqbal")</f>
        <v>0</v>
      </c>
    </row>
    <row r="982" spans="1:20" ht="22.5" customHeight="1" x14ac:dyDescent="0.2">
      <c r="A982" s="23"/>
      <c r="B982" s="24"/>
      <c r="C982" s="25"/>
      <c r="D982" s="25"/>
      <c r="E982" s="25"/>
      <c r="F982" s="26"/>
      <c r="G982" s="27"/>
      <c r="H982" s="28" t="str">
        <f t="shared" si="0"/>
        <v/>
      </c>
      <c r="I982" s="29">
        <f>SUMIFS(Cash_Flow_3[Amount],Cash_Flow_3[Bulan],H982,Cash_Flow_3[Type],"In")</f>
        <v>0</v>
      </c>
      <c r="J982" s="29">
        <f>SUMIFS(Cash_Flow_3[Amount],Cash_Flow_3[Bulan],H982,Cash_Flow_3[Type],"Out")</f>
        <v>0</v>
      </c>
      <c r="K982" s="29">
        <f>SUMIFS(Cash_Flow_3[Amount],Cash_Flow_3[Bulan],H982,Cash_Flow_3[Type],"Out",Cash_Flow_3[Category],"Fix")</f>
        <v>0</v>
      </c>
      <c r="L982" s="29">
        <f>SUMIFS(Cash_Flow_3[Amount],Cash_Flow_3[Bulan],H982,Cash_Flow_3[Type],"Out",Cash_Flow_3[Category],"Bathroom")</f>
        <v>0</v>
      </c>
      <c r="M982" s="29">
        <f>SUMIFS(Cash_Flow_3[Amount],Cash_Flow_3[Bulan],H982,Cash_Flow_3[Type],"Out",Cash_Flow_3[Category],"Alfa")</f>
        <v>0</v>
      </c>
      <c r="N982" s="29">
        <f>SUMIFS(Cash_Flow_3[Amount],Cash_Flow_3[Bulan],H982,Cash_Flow_3[Type],"Out",Cash_Flow_3[Category],"Jajan")</f>
        <v>0</v>
      </c>
      <c r="O982" s="29">
        <f>SUMIFS(Cash_Flow_3[Amount],Cash_Flow_3[Bulan],H982,Cash_Flow_3[Type],"Out",Cash_Flow_3[Category],"Kitchen")</f>
        <v>0</v>
      </c>
      <c r="P982" s="29">
        <f>SUMIFS(Cash_Flow_3[Amount],Cash_Flow_3[Bulan],H982,Cash_Flow_3[Type],"Out",Cash_Flow_3[Category],"Loandry")</f>
        <v>0</v>
      </c>
      <c r="Q982" s="29">
        <f>SUMIFS(Cash_Flow_3[Amount],Cash_Flow_3[Bulan],H982,Cash_Flow_3[Type],"Out",Cash_Flow_3[Category],"Mio")</f>
        <v>0</v>
      </c>
      <c r="R982" s="29">
        <f>SUMIFS(Cash_Flow_3[Amount],Cash_Flow_3[Bulan],H982,Cash_Flow_3[Type],"Out",Cash_Flow_3[Category],"Sedekah")</f>
        <v>0</v>
      </c>
      <c r="S982" s="29">
        <f>SUMIFS(Cash_Flow_3[Amount],Cash_Flow_3[Bulan],H982,Cash_Flow_3[Type],"Out",Cash_Flow_3[Category],"Zela")</f>
        <v>0</v>
      </c>
      <c r="T982" s="29">
        <f>SUMIFS(Cash_Flow_3[Amount],Cash_Flow_3[Bulan],H982,Cash_Flow_3[Type],"Out",Cash_Flow_3[Category],"Iqbal")</f>
        <v>0</v>
      </c>
    </row>
    <row r="983" spans="1:20" ht="22.5" customHeight="1" x14ac:dyDescent="0.2">
      <c r="A983" s="23"/>
      <c r="B983" s="24"/>
      <c r="C983" s="25"/>
      <c r="D983" s="25"/>
      <c r="E983" s="25"/>
      <c r="F983" s="26"/>
      <c r="G983" s="27"/>
      <c r="H983" s="28" t="str">
        <f t="shared" si="0"/>
        <v/>
      </c>
      <c r="I983" s="29">
        <f>SUMIFS(Cash_Flow_3[Amount],Cash_Flow_3[Bulan],H983,Cash_Flow_3[Type],"In")</f>
        <v>0</v>
      </c>
      <c r="J983" s="29">
        <f>SUMIFS(Cash_Flow_3[Amount],Cash_Flow_3[Bulan],H983,Cash_Flow_3[Type],"Out")</f>
        <v>0</v>
      </c>
      <c r="K983" s="29">
        <f>SUMIFS(Cash_Flow_3[Amount],Cash_Flow_3[Bulan],H983,Cash_Flow_3[Type],"Out",Cash_Flow_3[Category],"Fix")</f>
        <v>0</v>
      </c>
      <c r="L983" s="29">
        <f>SUMIFS(Cash_Flow_3[Amount],Cash_Flow_3[Bulan],H983,Cash_Flow_3[Type],"Out",Cash_Flow_3[Category],"Bathroom")</f>
        <v>0</v>
      </c>
      <c r="M983" s="29">
        <f>SUMIFS(Cash_Flow_3[Amount],Cash_Flow_3[Bulan],H983,Cash_Flow_3[Type],"Out",Cash_Flow_3[Category],"Alfa")</f>
        <v>0</v>
      </c>
      <c r="N983" s="29">
        <f>SUMIFS(Cash_Flow_3[Amount],Cash_Flow_3[Bulan],H983,Cash_Flow_3[Type],"Out",Cash_Flow_3[Category],"Jajan")</f>
        <v>0</v>
      </c>
      <c r="O983" s="29">
        <f>SUMIFS(Cash_Flow_3[Amount],Cash_Flow_3[Bulan],H983,Cash_Flow_3[Type],"Out",Cash_Flow_3[Category],"Kitchen")</f>
        <v>0</v>
      </c>
      <c r="P983" s="29">
        <f>SUMIFS(Cash_Flow_3[Amount],Cash_Flow_3[Bulan],H983,Cash_Flow_3[Type],"Out",Cash_Flow_3[Category],"Loandry")</f>
        <v>0</v>
      </c>
      <c r="Q983" s="29">
        <f>SUMIFS(Cash_Flow_3[Amount],Cash_Flow_3[Bulan],H983,Cash_Flow_3[Type],"Out",Cash_Flow_3[Category],"Mio")</f>
        <v>0</v>
      </c>
      <c r="R983" s="29">
        <f>SUMIFS(Cash_Flow_3[Amount],Cash_Flow_3[Bulan],H983,Cash_Flow_3[Type],"Out",Cash_Flow_3[Category],"Sedekah")</f>
        <v>0</v>
      </c>
      <c r="S983" s="29">
        <f>SUMIFS(Cash_Flow_3[Amount],Cash_Flow_3[Bulan],H983,Cash_Flow_3[Type],"Out",Cash_Flow_3[Category],"Zela")</f>
        <v>0</v>
      </c>
      <c r="T983" s="29">
        <f>SUMIFS(Cash_Flow_3[Amount],Cash_Flow_3[Bulan],H983,Cash_Flow_3[Type],"Out",Cash_Flow_3[Category],"Iqbal")</f>
        <v>0</v>
      </c>
    </row>
    <row r="984" spans="1:20" ht="22.5" customHeight="1" x14ac:dyDescent="0.2">
      <c r="A984" s="23"/>
      <c r="B984" s="24"/>
      <c r="C984" s="25"/>
      <c r="D984" s="25"/>
      <c r="E984" s="25"/>
      <c r="F984" s="26"/>
      <c r="G984" s="27"/>
      <c r="H984" s="28" t="str">
        <f t="shared" si="0"/>
        <v/>
      </c>
      <c r="I984" s="29">
        <f>SUMIFS(Cash_Flow_3[Amount],Cash_Flow_3[Bulan],H984,Cash_Flow_3[Type],"In")</f>
        <v>0</v>
      </c>
      <c r="J984" s="29">
        <f>SUMIFS(Cash_Flow_3[Amount],Cash_Flow_3[Bulan],H984,Cash_Flow_3[Type],"Out")</f>
        <v>0</v>
      </c>
      <c r="K984" s="29">
        <f>SUMIFS(Cash_Flow_3[Amount],Cash_Flow_3[Bulan],H984,Cash_Flow_3[Type],"Out",Cash_Flow_3[Category],"Fix")</f>
        <v>0</v>
      </c>
      <c r="L984" s="29">
        <f>SUMIFS(Cash_Flow_3[Amount],Cash_Flow_3[Bulan],H984,Cash_Flow_3[Type],"Out",Cash_Flow_3[Category],"Bathroom")</f>
        <v>0</v>
      </c>
      <c r="M984" s="29">
        <f>SUMIFS(Cash_Flow_3[Amount],Cash_Flow_3[Bulan],H984,Cash_Flow_3[Type],"Out",Cash_Flow_3[Category],"Alfa")</f>
        <v>0</v>
      </c>
      <c r="N984" s="29">
        <f>SUMIFS(Cash_Flow_3[Amount],Cash_Flow_3[Bulan],H984,Cash_Flow_3[Type],"Out",Cash_Flow_3[Category],"Jajan")</f>
        <v>0</v>
      </c>
      <c r="O984" s="29">
        <f>SUMIFS(Cash_Flow_3[Amount],Cash_Flow_3[Bulan],H984,Cash_Flow_3[Type],"Out",Cash_Flow_3[Category],"Kitchen")</f>
        <v>0</v>
      </c>
      <c r="P984" s="29">
        <f>SUMIFS(Cash_Flow_3[Amount],Cash_Flow_3[Bulan],H984,Cash_Flow_3[Type],"Out",Cash_Flow_3[Category],"Loandry")</f>
        <v>0</v>
      </c>
      <c r="Q984" s="29">
        <f>SUMIFS(Cash_Flow_3[Amount],Cash_Flow_3[Bulan],H984,Cash_Flow_3[Type],"Out",Cash_Flow_3[Category],"Mio")</f>
        <v>0</v>
      </c>
      <c r="R984" s="29">
        <f>SUMIFS(Cash_Flow_3[Amount],Cash_Flow_3[Bulan],H984,Cash_Flow_3[Type],"Out",Cash_Flow_3[Category],"Sedekah")</f>
        <v>0</v>
      </c>
      <c r="S984" s="29">
        <f>SUMIFS(Cash_Flow_3[Amount],Cash_Flow_3[Bulan],H984,Cash_Flow_3[Type],"Out",Cash_Flow_3[Category],"Zela")</f>
        <v>0</v>
      </c>
      <c r="T984" s="29">
        <f>SUMIFS(Cash_Flow_3[Amount],Cash_Flow_3[Bulan],H984,Cash_Flow_3[Type],"Out",Cash_Flow_3[Category],"Iqbal")</f>
        <v>0</v>
      </c>
    </row>
    <row r="985" spans="1:20" ht="22.5" customHeight="1" x14ac:dyDescent="0.2">
      <c r="A985" s="23"/>
      <c r="B985" s="24"/>
      <c r="C985" s="25"/>
      <c r="D985" s="25"/>
      <c r="E985" s="25"/>
      <c r="F985" s="26"/>
      <c r="G985" s="27"/>
      <c r="H985" s="28" t="str">
        <f t="shared" si="0"/>
        <v/>
      </c>
      <c r="I985" s="29">
        <f>SUMIFS(Cash_Flow_3[Amount],Cash_Flow_3[Bulan],H985,Cash_Flow_3[Type],"In")</f>
        <v>0</v>
      </c>
      <c r="J985" s="29">
        <f>SUMIFS(Cash_Flow_3[Amount],Cash_Flow_3[Bulan],H985,Cash_Flow_3[Type],"Out")</f>
        <v>0</v>
      </c>
      <c r="K985" s="29">
        <f>SUMIFS(Cash_Flow_3[Amount],Cash_Flow_3[Bulan],H985,Cash_Flow_3[Type],"Out",Cash_Flow_3[Category],"Fix")</f>
        <v>0</v>
      </c>
      <c r="L985" s="29">
        <f>SUMIFS(Cash_Flow_3[Amount],Cash_Flow_3[Bulan],H985,Cash_Flow_3[Type],"Out",Cash_Flow_3[Category],"Bathroom")</f>
        <v>0</v>
      </c>
      <c r="M985" s="29">
        <f>SUMIFS(Cash_Flow_3[Amount],Cash_Flow_3[Bulan],H985,Cash_Flow_3[Type],"Out",Cash_Flow_3[Category],"Alfa")</f>
        <v>0</v>
      </c>
      <c r="N985" s="29">
        <f>SUMIFS(Cash_Flow_3[Amount],Cash_Flow_3[Bulan],H985,Cash_Flow_3[Type],"Out",Cash_Flow_3[Category],"Jajan")</f>
        <v>0</v>
      </c>
      <c r="O985" s="29">
        <f>SUMIFS(Cash_Flow_3[Amount],Cash_Flow_3[Bulan],H985,Cash_Flow_3[Type],"Out",Cash_Flow_3[Category],"Kitchen")</f>
        <v>0</v>
      </c>
      <c r="P985" s="29">
        <f>SUMIFS(Cash_Flow_3[Amount],Cash_Flow_3[Bulan],H985,Cash_Flow_3[Type],"Out",Cash_Flow_3[Category],"Loandry")</f>
        <v>0</v>
      </c>
      <c r="Q985" s="29">
        <f>SUMIFS(Cash_Flow_3[Amount],Cash_Flow_3[Bulan],H985,Cash_Flow_3[Type],"Out",Cash_Flow_3[Category],"Mio")</f>
        <v>0</v>
      </c>
      <c r="R985" s="29">
        <f>SUMIFS(Cash_Flow_3[Amount],Cash_Flow_3[Bulan],H985,Cash_Flow_3[Type],"Out",Cash_Flow_3[Category],"Sedekah")</f>
        <v>0</v>
      </c>
      <c r="S985" s="29">
        <f>SUMIFS(Cash_Flow_3[Amount],Cash_Flow_3[Bulan],H985,Cash_Flow_3[Type],"Out",Cash_Flow_3[Category],"Zela")</f>
        <v>0</v>
      </c>
      <c r="T985" s="29">
        <f>SUMIFS(Cash_Flow_3[Amount],Cash_Flow_3[Bulan],H985,Cash_Flow_3[Type],"Out",Cash_Flow_3[Category],"Iqbal")</f>
        <v>0</v>
      </c>
    </row>
    <row r="986" spans="1:20" ht="22.5" customHeight="1" x14ac:dyDescent="0.2">
      <c r="A986" s="23"/>
      <c r="B986" s="24"/>
      <c r="C986" s="25"/>
      <c r="D986" s="25"/>
      <c r="E986" s="25"/>
      <c r="F986" s="26"/>
      <c r="G986" s="27"/>
      <c r="H986" s="28" t="str">
        <f t="shared" si="0"/>
        <v/>
      </c>
      <c r="I986" s="29">
        <f>SUMIFS(Cash_Flow_3[Amount],Cash_Flow_3[Bulan],H986,Cash_Flow_3[Type],"In")</f>
        <v>0</v>
      </c>
      <c r="J986" s="29">
        <f>SUMIFS(Cash_Flow_3[Amount],Cash_Flow_3[Bulan],H986,Cash_Flow_3[Type],"Out")</f>
        <v>0</v>
      </c>
      <c r="K986" s="29">
        <f>SUMIFS(Cash_Flow_3[Amount],Cash_Flow_3[Bulan],H986,Cash_Flow_3[Type],"Out",Cash_Flow_3[Category],"Fix")</f>
        <v>0</v>
      </c>
      <c r="L986" s="29">
        <f>SUMIFS(Cash_Flow_3[Amount],Cash_Flow_3[Bulan],H986,Cash_Flow_3[Type],"Out",Cash_Flow_3[Category],"Bathroom")</f>
        <v>0</v>
      </c>
      <c r="M986" s="29">
        <f>SUMIFS(Cash_Flow_3[Amount],Cash_Flow_3[Bulan],H986,Cash_Flow_3[Type],"Out",Cash_Flow_3[Category],"Alfa")</f>
        <v>0</v>
      </c>
      <c r="N986" s="29">
        <f>SUMIFS(Cash_Flow_3[Amount],Cash_Flow_3[Bulan],H986,Cash_Flow_3[Type],"Out",Cash_Flow_3[Category],"Jajan")</f>
        <v>0</v>
      </c>
      <c r="O986" s="29">
        <f>SUMIFS(Cash_Flow_3[Amount],Cash_Flow_3[Bulan],H986,Cash_Flow_3[Type],"Out",Cash_Flow_3[Category],"Kitchen")</f>
        <v>0</v>
      </c>
      <c r="P986" s="29">
        <f>SUMIFS(Cash_Flow_3[Amount],Cash_Flow_3[Bulan],H986,Cash_Flow_3[Type],"Out",Cash_Flow_3[Category],"Loandry")</f>
        <v>0</v>
      </c>
      <c r="Q986" s="29">
        <f>SUMIFS(Cash_Flow_3[Amount],Cash_Flow_3[Bulan],H986,Cash_Flow_3[Type],"Out",Cash_Flow_3[Category],"Mio")</f>
        <v>0</v>
      </c>
      <c r="R986" s="29">
        <f>SUMIFS(Cash_Flow_3[Amount],Cash_Flow_3[Bulan],H986,Cash_Flow_3[Type],"Out",Cash_Flow_3[Category],"Sedekah")</f>
        <v>0</v>
      </c>
      <c r="S986" s="29">
        <f>SUMIFS(Cash_Flow_3[Amount],Cash_Flow_3[Bulan],H986,Cash_Flow_3[Type],"Out",Cash_Flow_3[Category],"Zela")</f>
        <v>0</v>
      </c>
      <c r="T986" s="29">
        <f>SUMIFS(Cash_Flow_3[Amount],Cash_Flow_3[Bulan],H986,Cash_Flow_3[Type],"Out",Cash_Flow_3[Category],"Iqbal")</f>
        <v>0</v>
      </c>
    </row>
    <row r="987" spans="1:20" ht="22.5" customHeight="1" x14ac:dyDescent="0.2">
      <c r="A987" s="23"/>
      <c r="B987" s="24"/>
      <c r="C987" s="25"/>
      <c r="D987" s="25"/>
      <c r="E987" s="25"/>
      <c r="F987" s="26"/>
      <c r="G987" s="27"/>
      <c r="H987" s="28" t="str">
        <f t="shared" si="0"/>
        <v/>
      </c>
      <c r="I987" s="29">
        <f>SUMIFS(Cash_Flow_3[Amount],Cash_Flow_3[Bulan],H987,Cash_Flow_3[Type],"In")</f>
        <v>0</v>
      </c>
      <c r="J987" s="29">
        <f>SUMIFS(Cash_Flow_3[Amount],Cash_Flow_3[Bulan],H987,Cash_Flow_3[Type],"Out")</f>
        <v>0</v>
      </c>
      <c r="K987" s="29">
        <f>SUMIFS(Cash_Flow_3[Amount],Cash_Flow_3[Bulan],H987,Cash_Flow_3[Type],"Out",Cash_Flow_3[Category],"Fix")</f>
        <v>0</v>
      </c>
      <c r="L987" s="29">
        <f>SUMIFS(Cash_Flow_3[Amount],Cash_Flow_3[Bulan],H987,Cash_Flow_3[Type],"Out",Cash_Flow_3[Category],"Bathroom")</f>
        <v>0</v>
      </c>
      <c r="M987" s="29">
        <f>SUMIFS(Cash_Flow_3[Amount],Cash_Flow_3[Bulan],H987,Cash_Flow_3[Type],"Out",Cash_Flow_3[Category],"Alfa")</f>
        <v>0</v>
      </c>
      <c r="N987" s="29">
        <f>SUMIFS(Cash_Flow_3[Amount],Cash_Flow_3[Bulan],H987,Cash_Flow_3[Type],"Out",Cash_Flow_3[Category],"Jajan")</f>
        <v>0</v>
      </c>
      <c r="O987" s="29">
        <f>SUMIFS(Cash_Flow_3[Amount],Cash_Flow_3[Bulan],H987,Cash_Flow_3[Type],"Out",Cash_Flow_3[Category],"Kitchen")</f>
        <v>0</v>
      </c>
      <c r="P987" s="29">
        <f>SUMIFS(Cash_Flow_3[Amount],Cash_Flow_3[Bulan],H987,Cash_Flow_3[Type],"Out",Cash_Flow_3[Category],"Loandry")</f>
        <v>0</v>
      </c>
      <c r="Q987" s="29">
        <f>SUMIFS(Cash_Flow_3[Amount],Cash_Flow_3[Bulan],H987,Cash_Flow_3[Type],"Out",Cash_Flow_3[Category],"Mio")</f>
        <v>0</v>
      </c>
      <c r="R987" s="29">
        <f>SUMIFS(Cash_Flow_3[Amount],Cash_Flow_3[Bulan],H987,Cash_Flow_3[Type],"Out",Cash_Flow_3[Category],"Sedekah")</f>
        <v>0</v>
      </c>
      <c r="S987" s="29">
        <f>SUMIFS(Cash_Flow_3[Amount],Cash_Flow_3[Bulan],H987,Cash_Flow_3[Type],"Out",Cash_Flow_3[Category],"Zela")</f>
        <v>0</v>
      </c>
      <c r="T987" s="29">
        <f>SUMIFS(Cash_Flow_3[Amount],Cash_Flow_3[Bulan],H987,Cash_Flow_3[Type],"Out",Cash_Flow_3[Category],"Iqbal")</f>
        <v>0</v>
      </c>
    </row>
    <row r="988" spans="1:20" ht="22.5" customHeight="1" x14ac:dyDescent="0.2">
      <c r="A988" s="23"/>
      <c r="B988" s="24"/>
      <c r="C988" s="25"/>
      <c r="D988" s="25"/>
      <c r="E988" s="25"/>
      <c r="F988" s="26"/>
      <c r="G988" s="27"/>
      <c r="H988" s="28" t="str">
        <f t="shared" si="0"/>
        <v/>
      </c>
      <c r="I988" s="29">
        <f>SUMIFS(Cash_Flow_3[Amount],Cash_Flow_3[Bulan],H988,Cash_Flow_3[Type],"In")</f>
        <v>0</v>
      </c>
      <c r="J988" s="29">
        <f>SUMIFS(Cash_Flow_3[Amount],Cash_Flow_3[Bulan],H988,Cash_Flow_3[Type],"Out")</f>
        <v>0</v>
      </c>
      <c r="K988" s="29">
        <f>SUMIFS(Cash_Flow_3[Amount],Cash_Flow_3[Bulan],H988,Cash_Flow_3[Type],"Out",Cash_Flow_3[Category],"Fix")</f>
        <v>0</v>
      </c>
      <c r="L988" s="29">
        <f>SUMIFS(Cash_Flow_3[Amount],Cash_Flow_3[Bulan],H988,Cash_Flow_3[Type],"Out",Cash_Flow_3[Category],"Bathroom")</f>
        <v>0</v>
      </c>
      <c r="M988" s="29">
        <f>SUMIFS(Cash_Flow_3[Amount],Cash_Flow_3[Bulan],H988,Cash_Flow_3[Type],"Out",Cash_Flow_3[Category],"Alfa")</f>
        <v>0</v>
      </c>
      <c r="N988" s="29">
        <f>SUMIFS(Cash_Flow_3[Amount],Cash_Flow_3[Bulan],H988,Cash_Flow_3[Type],"Out",Cash_Flow_3[Category],"Jajan")</f>
        <v>0</v>
      </c>
      <c r="O988" s="29">
        <f>SUMIFS(Cash_Flow_3[Amount],Cash_Flow_3[Bulan],H988,Cash_Flow_3[Type],"Out",Cash_Flow_3[Category],"Kitchen")</f>
        <v>0</v>
      </c>
      <c r="P988" s="29">
        <f>SUMIFS(Cash_Flow_3[Amount],Cash_Flow_3[Bulan],H988,Cash_Flow_3[Type],"Out",Cash_Flow_3[Category],"Loandry")</f>
        <v>0</v>
      </c>
      <c r="Q988" s="29">
        <f>SUMIFS(Cash_Flow_3[Amount],Cash_Flow_3[Bulan],H988,Cash_Flow_3[Type],"Out",Cash_Flow_3[Category],"Mio")</f>
        <v>0</v>
      </c>
      <c r="R988" s="29">
        <f>SUMIFS(Cash_Flow_3[Amount],Cash_Flow_3[Bulan],H988,Cash_Flow_3[Type],"Out",Cash_Flow_3[Category],"Sedekah")</f>
        <v>0</v>
      </c>
      <c r="S988" s="29">
        <f>SUMIFS(Cash_Flow_3[Amount],Cash_Flow_3[Bulan],H988,Cash_Flow_3[Type],"Out",Cash_Flow_3[Category],"Zela")</f>
        <v>0</v>
      </c>
      <c r="T988" s="29">
        <f>SUMIFS(Cash_Flow_3[Amount],Cash_Flow_3[Bulan],H988,Cash_Flow_3[Type],"Out",Cash_Flow_3[Category],"Iqbal")</f>
        <v>0</v>
      </c>
    </row>
    <row r="989" spans="1:20" ht="22.5" customHeight="1" x14ac:dyDescent="0.2">
      <c r="A989" s="23"/>
      <c r="B989" s="24"/>
      <c r="C989" s="25"/>
      <c r="D989" s="25"/>
      <c r="E989" s="25"/>
      <c r="F989" s="26"/>
      <c r="G989" s="27"/>
      <c r="H989" s="28" t="str">
        <f t="shared" si="0"/>
        <v/>
      </c>
      <c r="I989" s="29">
        <f>SUMIFS(Cash_Flow_3[Amount],Cash_Flow_3[Bulan],H989,Cash_Flow_3[Type],"In")</f>
        <v>0</v>
      </c>
      <c r="J989" s="29">
        <f>SUMIFS(Cash_Flow_3[Amount],Cash_Flow_3[Bulan],H989,Cash_Flow_3[Type],"Out")</f>
        <v>0</v>
      </c>
      <c r="K989" s="29">
        <f>SUMIFS(Cash_Flow_3[Amount],Cash_Flow_3[Bulan],H989,Cash_Flow_3[Type],"Out",Cash_Flow_3[Category],"Fix")</f>
        <v>0</v>
      </c>
      <c r="L989" s="29">
        <f>SUMIFS(Cash_Flow_3[Amount],Cash_Flow_3[Bulan],H989,Cash_Flow_3[Type],"Out",Cash_Flow_3[Category],"Bathroom")</f>
        <v>0</v>
      </c>
      <c r="M989" s="29">
        <f>SUMIFS(Cash_Flow_3[Amount],Cash_Flow_3[Bulan],H989,Cash_Flow_3[Type],"Out",Cash_Flow_3[Category],"Alfa")</f>
        <v>0</v>
      </c>
      <c r="N989" s="29">
        <f>SUMIFS(Cash_Flow_3[Amount],Cash_Flow_3[Bulan],H989,Cash_Flow_3[Type],"Out",Cash_Flow_3[Category],"Jajan")</f>
        <v>0</v>
      </c>
      <c r="O989" s="29">
        <f>SUMIFS(Cash_Flow_3[Amount],Cash_Flow_3[Bulan],H989,Cash_Flow_3[Type],"Out",Cash_Flow_3[Category],"Kitchen")</f>
        <v>0</v>
      </c>
      <c r="P989" s="29">
        <f>SUMIFS(Cash_Flow_3[Amount],Cash_Flow_3[Bulan],H989,Cash_Flow_3[Type],"Out",Cash_Flow_3[Category],"Loandry")</f>
        <v>0</v>
      </c>
      <c r="Q989" s="29">
        <f>SUMIFS(Cash_Flow_3[Amount],Cash_Flow_3[Bulan],H989,Cash_Flow_3[Type],"Out",Cash_Flow_3[Category],"Mio")</f>
        <v>0</v>
      </c>
      <c r="R989" s="29">
        <f>SUMIFS(Cash_Flow_3[Amount],Cash_Flow_3[Bulan],H989,Cash_Flow_3[Type],"Out",Cash_Flow_3[Category],"Sedekah")</f>
        <v>0</v>
      </c>
      <c r="S989" s="29">
        <f>SUMIFS(Cash_Flow_3[Amount],Cash_Flow_3[Bulan],H989,Cash_Flow_3[Type],"Out",Cash_Flow_3[Category],"Zela")</f>
        <v>0</v>
      </c>
      <c r="T989" s="29">
        <f>SUMIFS(Cash_Flow_3[Amount],Cash_Flow_3[Bulan],H989,Cash_Flow_3[Type],"Out",Cash_Flow_3[Category],"Iqbal")</f>
        <v>0</v>
      </c>
    </row>
    <row r="990" spans="1:20" ht="22.5" customHeight="1" x14ac:dyDescent="0.2">
      <c r="A990" s="23"/>
      <c r="B990" s="24"/>
      <c r="C990" s="25"/>
      <c r="D990" s="25"/>
      <c r="E990" s="25"/>
      <c r="F990" s="26"/>
      <c r="G990" s="27"/>
      <c r="H990" s="28" t="str">
        <f t="shared" si="0"/>
        <v/>
      </c>
      <c r="I990" s="29">
        <f>SUMIFS(Cash_Flow_3[Amount],Cash_Flow_3[Bulan],H990,Cash_Flow_3[Type],"In")</f>
        <v>0</v>
      </c>
      <c r="J990" s="29">
        <f>SUMIFS(Cash_Flow_3[Amount],Cash_Flow_3[Bulan],H990,Cash_Flow_3[Type],"Out")</f>
        <v>0</v>
      </c>
      <c r="K990" s="29">
        <f>SUMIFS(Cash_Flow_3[Amount],Cash_Flow_3[Bulan],H990,Cash_Flow_3[Type],"Out",Cash_Flow_3[Category],"Fix")</f>
        <v>0</v>
      </c>
      <c r="L990" s="29">
        <f>SUMIFS(Cash_Flow_3[Amount],Cash_Flow_3[Bulan],H990,Cash_Flow_3[Type],"Out",Cash_Flow_3[Category],"Bathroom")</f>
        <v>0</v>
      </c>
      <c r="M990" s="29">
        <f>SUMIFS(Cash_Flow_3[Amount],Cash_Flow_3[Bulan],H990,Cash_Flow_3[Type],"Out",Cash_Flow_3[Category],"Alfa")</f>
        <v>0</v>
      </c>
      <c r="N990" s="29">
        <f>SUMIFS(Cash_Flow_3[Amount],Cash_Flow_3[Bulan],H990,Cash_Flow_3[Type],"Out",Cash_Flow_3[Category],"Jajan")</f>
        <v>0</v>
      </c>
      <c r="O990" s="29">
        <f>SUMIFS(Cash_Flow_3[Amount],Cash_Flow_3[Bulan],H990,Cash_Flow_3[Type],"Out",Cash_Flow_3[Category],"Kitchen")</f>
        <v>0</v>
      </c>
      <c r="P990" s="29">
        <f>SUMIFS(Cash_Flow_3[Amount],Cash_Flow_3[Bulan],H990,Cash_Flow_3[Type],"Out",Cash_Flow_3[Category],"Loandry")</f>
        <v>0</v>
      </c>
      <c r="Q990" s="29">
        <f>SUMIFS(Cash_Flow_3[Amount],Cash_Flow_3[Bulan],H990,Cash_Flow_3[Type],"Out",Cash_Flow_3[Category],"Mio")</f>
        <v>0</v>
      </c>
      <c r="R990" s="29">
        <f>SUMIFS(Cash_Flow_3[Amount],Cash_Flow_3[Bulan],H990,Cash_Flow_3[Type],"Out",Cash_Flow_3[Category],"Sedekah")</f>
        <v>0</v>
      </c>
      <c r="S990" s="29">
        <f>SUMIFS(Cash_Flow_3[Amount],Cash_Flow_3[Bulan],H990,Cash_Flow_3[Type],"Out",Cash_Flow_3[Category],"Zela")</f>
        <v>0</v>
      </c>
      <c r="T990" s="29">
        <f>SUMIFS(Cash_Flow_3[Amount],Cash_Flow_3[Bulan],H990,Cash_Flow_3[Type],"Out",Cash_Flow_3[Category],"Iqbal")</f>
        <v>0</v>
      </c>
    </row>
    <row r="991" spans="1:20" ht="22.5" customHeight="1" x14ac:dyDescent="0.2">
      <c r="A991" s="23"/>
      <c r="B991" s="24"/>
      <c r="C991" s="25"/>
      <c r="D991" s="25"/>
      <c r="E991" s="25"/>
      <c r="F991" s="26"/>
      <c r="G991" s="27"/>
      <c r="H991" s="28" t="str">
        <f t="shared" si="0"/>
        <v/>
      </c>
      <c r="I991" s="29">
        <f>SUMIFS(Cash_Flow_3[Amount],Cash_Flow_3[Bulan],H991,Cash_Flow_3[Type],"In")</f>
        <v>0</v>
      </c>
      <c r="J991" s="29">
        <f>SUMIFS(Cash_Flow_3[Amount],Cash_Flow_3[Bulan],H991,Cash_Flow_3[Type],"Out")</f>
        <v>0</v>
      </c>
      <c r="K991" s="29">
        <f>SUMIFS(Cash_Flow_3[Amount],Cash_Flow_3[Bulan],H991,Cash_Flow_3[Type],"Out",Cash_Flow_3[Category],"Fix")</f>
        <v>0</v>
      </c>
      <c r="L991" s="29">
        <f>SUMIFS(Cash_Flow_3[Amount],Cash_Flow_3[Bulan],H991,Cash_Flow_3[Type],"Out",Cash_Flow_3[Category],"Bathroom")</f>
        <v>0</v>
      </c>
      <c r="M991" s="29">
        <f>SUMIFS(Cash_Flow_3[Amount],Cash_Flow_3[Bulan],H991,Cash_Flow_3[Type],"Out",Cash_Flow_3[Category],"Alfa")</f>
        <v>0</v>
      </c>
      <c r="N991" s="29">
        <f>SUMIFS(Cash_Flow_3[Amount],Cash_Flow_3[Bulan],H991,Cash_Flow_3[Type],"Out",Cash_Flow_3[Category],"Jajan")</f>
        <v>0</v>
      </c>
      <c r="O991" s="29">
        <f>SUMIFS(Cash_Flow_3[Amount],Cash_Flow_3[Bulan],H991,Cash_Flow_3[Type],"Out",Cash_Flow_3[Category],"Kitchen")</f>
        <v>0</v>
      </c>
      <c r="P991" s="29">
        <f>SUMIFS(Cash_Flow_3[Amount],Cash_Flow_3[Bulan],H991,Cash_Flow_3[Type],"Out",Cash_Flow_3[Category],"Loandry")</f>
        <v>0</v>
      </c>
      <c r="Q991" s="29">
        <f>SUMIFS(Cash_Flow_3[Amount],Cash_Flow_3[Bulan],H991,Cash_Flow_3[Type],"Out",Cash_Flow_3[Category],"Mio")</f>
        <v>0</v>
      </c>
      <c r="R991" s="29">
        <f>SUMIFS(Cash_Flow_3[Amount],Cash_Flow_3[Bulan],H991,Cash_Flow_3[Type],"Out",Cash_Flow_3[Category],"Sedekah")</f>
        <v>0</v>
      </c>
      <c r="S991" s="29">
        <f>SUMIFS(Cash_Flow_3[Amount],Cash_Flow_3[Bulan],H991,Cash_Flow_3[Type],"Out",Cash_Flow_3[Category],"Zela")</f>
        <v>0</v>
      </c>
      <c r="T991" s="29">
        <f>SUMIFS(Cash_Flow_3[Amount],Cash_Flow_3[Bulan],H991,Cash_Flow_3[Type],"Out",Cash_Flow_3[Category],"Iqbal")</f>
        <v>0</v>
      </c>
    </row>
    <row r="992" spans="1:20" ht="22.5" customHeight="1" x14ac:dyDescent="0.2">
      <c r="A992" s="23"/>
      <c r="B992" s="24"/>
      <c r="C992" s="25"/>
      <c r="D992" s="25"/>
      <c r="E992" s="25"/>
      <c r="F992" s="26"/>
      <c r="G992" s="27"/>
      <c r="H992" s="28" t="str">
        <f t="shared" si="0"/>
        <v/>
      </c>
      <c r="I992" s="29">
        <f>SUMIFS(Cash_Flow_3[Amount],Cash_Flow_3[Bulan],H992,Cash_Flow_3[Type],"In")</f>
        <v>0</v>
      </c>
      <c r="J992" s="29">
        <f>SUMIFS(Cash_Flow_3[Amount],Cash_Flow_3[Bulan],H992,Cash_Flow_3[Type],"Out")</f>
        <v>0</v>
      </c>
      <c r="K992" s="29">
        <f>SUMIFS(Cash_Flow_3[Amount],Cash_Flow_3[Bulan],H992,Cash_Flow_3[Type],"Out",Cash_Flow_3[Category],"Fix")</f>
        <v>0</v>
      </c>
      <c r="L992" s="29">
        <f>SUMIFS(Cash_Flow_3[Amount],Cash_Flow_3[Bulan],H992,Cash_Flow_3[Type],"Out",Cash_Flow_3[Category],"Bathroom")</f>
        <v>0</v>
      </c>
      <c r="M992" s="29">
        <f>SUMIFS(Cash_Flow_3[Amount],Cash_Flow_3[Bulan],H992,Cash_Flow_3[Type],"Out",Cash_Flow_3[Category],"Alfa")</f>
        <v>0</v>
      </c>
      <c r="N992" s="29">
        <f>SUMIFS(Cash_Flow_3[Amount],Cash_Flow_3[Bulan],H992,Cash_Flow_3[Type],"Out",Cash_Flow_3[Category],"Jajan")</f>
        <v>0</v>
      </c>
      <c r="O992" s="29">
        <f>SUMIFS(Cash_Flow_3[Amount],Cash_Flow_3[Bulan],H992,Cash_Flow_3[Type],"Out",Cash_Flow_3[Category],"Kitchen")</f>
        <v>0</v>
      </c>
      <c r="P992" s="29">
        <f>SUMIFS(Cash_Flow_3[Amount],Cash_Flow_3[Bulan],H992,Cash_Flow_3[Type],"Out",Cash_Flow_3[Category],"Loandry")</f>
        <v>0</v>
      </c>
      <c r="Q992" s="29">
        <f>SUMIFS(Cash_Flow_3[Amount],Cash_Flow_3[Bulan],H992,Cash_Flow_3[Type],"Out",Cash_Flow_3[Category],"Mio")</f>
        <v>0</v>
      </c>
      <c r="R992" s="29">
        <f>SUMIFS(Cash_Flow_3[Amount],Cash_Flow_3[Bulan],H992,Cash_Flow_3[Type],"Out",Cash_Flow_3[Category],"Sedekah")</f>
        <v>0</v>
      </c>
      <c r="S992" s="29">
        <f>SUMIFS(Cash_Flow_3[Amount],Cash_Flow_3[Bulan],H992,Cash_Flow_3[Type],"Out",Cash_Flow_3[Category],"Zela")</f>
        <v>0</v>
      </c>
      <c r="T992" s="29">
        <f>SUMIFS(Cash_Flow_3[Amount],Cash_Flow_3[Bulan],H992,Cash_Flow_3[Type],"Out",Cash_Flow_3[Category],"Iqbal")</f>
        <v>0</v>
      </c>
    </row>
    <row r="993" spans="1:20" ht="22.5" customHeight="1" x14ac:dyDescent="0.2">
      <c r="A993" s="23"/>
      <c r="B993" s="24"/>
      <c r="C993" s="25"/>
      <c r="D993" s="25"/>
      <c r="E993" s="25"/>
      <c r="F993" s="26"/>
      <c r="G993" s="27"/>
      <c r="H993" s="28" t="str">
        <f t="shared" si="0"/>
        <v/>
      </c>
      <c r="I993" s="29">
        <f>SUMIFS(Cash_Flow_3[Amount],Cash_Flow_3[Bulan],H993,Cash_Flow_3[Type],"In")</f>
        <v>0</v>
      </c>
      <c r="J993" s="29">
        <f>SUMIFS(Cash_Flow_3[Amount],Cash_Flow_3[Bulan],H993,Cash_Flow_3[Type],"Out")</f>
        <v>0</v>
      </c>
      <c r="K993" s="29">
        <f>SUMIFS(Cash_Flow_3[Amount],Cash_Flow_3[Bulan],H993,Cash_Flow_3[Type],"Out",Cash_Flow_3[Category],"Fix")</f>
        <v>0</v>
      </c>
      <c r="L993" s="29">
        <f>SUMIFS(Cash_Flow_3[Amount],Cash_Flow_3[Bulan],H993,Cash_Flow_3[Type],"Out",Cash_Flow_3[Category],"Bathroom")</f>
        <v>0</v>
      </c>
      <c r="M993" s="29">
        <f>SUMIFS(Cash_Flow_3[Amount],Cash_Flow_3[Bulan],H993,Cash_Flow_3[Type],"Out",Cash_Flow_3[Category],"Alfa")</f>
        <v>0</v>
      </c>
      <c r="N993" s="29">
        <f>SUMIFS(Cash_Flow_3[Amount],Cash_Flow_3[Bulan],H993,Cash_Flow_3[Type],"Out",Cash_Flow_3[Category],"Jajan")</f>
        <v>0</v>
      </c>
      <c r="O993" s="29">
        <f>SUMIFS(Cash_Flow_3[Amount],Cash_Flow_3[Bulan],H993,Cash_Flow_3[Type],"Out",Cash_Flow_3[Category],"Kitchen")</f>
        <v>0</v>
      </c>
      <c r="P993" s="29">
        <f>SUMIFS(Cash_Flow_3[Amount],Cash_Flow_3[Bulan],H993,Cash_Flow_3[Type],"Out",Cash_Flow_3[Category],"Loandry")</f>
        <v>0</v>
      </c>
      <c r="Q993" s="29">
        <f>SUMIFS(Cash_Flow_3[Amount],Cash_Flow_3[Bulan],H993,Cash_Flow_3[Type],"Out",Cash_Flow_3[Category],"Mio")</f>
        <v>0</v>
      </c>
      <c r="R993" s="29">
        <f>SUMIFS(Cash_Flow_3[Amount],Cash_Flow_3[Bulan],H993,Cash_Flow_3[Type],"Out",Cash_Flow_3[Category],"Sedekah")</f>
        <v>0</v>
      </c>
      <c r="S993" s="29">
        <f>SUMIFS(Cash_Flow_3[Amount],Cash_Flow_3[Bulan],H993,Cash_Flow_3[Type],"Out",Cash_Flow_3[Category],"Zela")</f>
        <v>0</v>
      </c>
      <c r="T993" s="29">
        <f>SUMIFS(Cash_Flow_3[Amount],Cash_Flow_3[Bulan],H993,Cash_Flow_3[Type],"Out",Cash_Flow_3[Category],"Iqbal")</f>
        <v>0</v>
      </c>
    </row>
    <row r="994" spans="1:20" ht="22.5" customHeight="1" x14ac:dyDescent="0.2">
      <c r="A994" s="23"/>
      <c r="B994" s="24"/>
      <c r="C994" s="25"/>
      <c r="D994" s="25"/>
      <c r="E994" s="25"/>
      <c r="F994" s="26"/>
      <c r="G994" s="27"/>
      <c r="H994" s="28" t="str">
        <f t="shared" si="0"/>
        <v/>
      </c>
      <c r="I994" s="29">
        <f>SUMIFS(Cash_Flow_3[Amount],Cash_Flow_3[Bulan],H994,Cash_Flow_3[Type],"In")</f>
        <v>0</v>
      </c>
      <c r="J994" s="29">
        <f>SUMIFS(Cash_Flow_3[Amount],Cash_Flow_3[Bulan],H994,Cash_Flow_3[Type],"Out")</f>
        <v>0</v>
      </c>
      <c r="K994" s="29">
        <f>SUMIFS(Cash_Flow_3[Amount],Cash_Flow_3[Bulan],H994,Cash_Flow_3[Type],"Out",Cash_Flow_3[Category],"Fix")</f>
        <v>0</v>
      </c>
      <c r="L994" s="29">
        <f>SUMIFS(Cash_Flow_3[Amount],Cash_Flow_3[Bulan],H994,Cash_Flow_3[Type],"Out",Cash_Flow_3[Category],"Bathroom")</f>
        <v>0</v>
      </c>
      <c r="M994" s="29">
        <f>SUMIFS(Cash_Flow_3[Amount],Cash_Flow_3[Bulan],H994,Cash_Flow_3[Type],"Out",Cash_Flow_3[Category],"Alfa")</f>
        <v>0</v>
      </c>
      <c r="N994" s="29">
        <f>SUMIFS(Cash_Flow_3[Amount],Cash_Flow_3[Bulan],H994,Cash_Flow_3[Type],"Out",Cash_Flow_3[Category],"Jajan")</f>
        <v>0</v>
      </c>
      <c r="O994" s="29">
        <f>SUMIFS(Cash_Flow_3[Amount],Cash_Flow_3[Bulan],H994,Cash_Flow_3[Type],"Out",Cash_Flow_3[Category],"Kitchen")</f>
        <v>0</v>
      </c>
      <c r="P994" s="29">
        <f>SUMIFS(Cash_Flow_3[Amount],Cash_Flow_3[Bulan],H994,Cash_Flow_3[Type],"Out",Cash_Flow_3[Category],"Loandry")</f>
        <v>0</v>
      </c>
      <c r="Q994" s="29">
        <f>SUMIFS(Cash_Flow_3[Amount],Cash_Flow_3[Bulan],H994,Cash_Flow_3[Type],"Out",Cash_Flow_3[Category],"Mio")</f>
        <v>0</v>
      </c>
      <c r="R994" s="29">
        <f>SUMIFS(Cash_Flow_3[Amount],Cash_Flow_3[Bulan],H994,Cash_Flow_3[Type],"Out",Cash_Flow_3[Category],"Sedekah")</f>
        <v>0</v>
      </c>
      <c r="S994" s="29">
        <f>SUMIFS(Cash_Flow_3[Amount],Cash_Flow_3[Bulan],H994,Cash_Flow_3[Type],"Out",Cash_Flow_3[Category],"Zela")</f>
        <v>0</v>
      </c>
      <c r="T994" s="29">
        <f>SUMIFS(Cash_Flow_3[Amount],Cash_Flow_3[Bulan],H994,Cash_Flow_3[Type],"Out",Cash_Flow_3[Category],"Iqbal")</f>
        <v>0</v>
      </c>
    </row>
    <row r="995" spans="1:20" ht="22.5" customHeight="1" x14ac:dyDescent="0.2">
      <c r="A995" s="23"/>
      <c r="B995" s="24"/>
      <c r="C995" s="25"/>
      <c r="D995" s="25"/>
      <c r="E995" s="25"/>
      <c r="F995" s="26"/>
      <c r="G995" s="27"/>
      <c r="H995" s="28" t="str">
        <f t="shared" si="0"/>
        <v/>
      </c>
      <c r="I995" s="29">
        <f>SUMIFS(Cash_Flow_3[Amount],Cash_Flow_3[Bulan],H995,Cash_Flow_3[Type],"In")</f>
        <v>0</v>
      </c>
      <c r="J995" s="29">
        <f>SUMIFS(Cash_Flow_3[Amount],Cash_Flow_3[Bulan],H995,Cash_Flow_3[Type],"Out")</f>
        <v>0</v>
      </c>
      <c r="K995" s="29">
        <f>SUMIFS(Cash_Flow_3[Amount],Cash_Flow_3[Bulan],H995,Cash_Flow_3[Type],"Out",Cash_Flow_3[Category],"Fix")</f>
        <v>0</v>
      </c>
      <c r="L995" s="29">
        <f>SUMIFS(Cash_Flow_3[Amount],Cash_Flow_3[Bulan],H995,Cash_Flow_3[Type],"Out",Cash_Flow_3[Category],"Bathroom")</f>
        <v>0</v>
      </c>
      <c r="M995" s="29">
        <f>SUMIFS(Cash_Flow_3[Amount],Cash_Flow_3[Bulan],H995,Cash_Flow_3[Type],"Out",Cash_Flow_3[Category],"Alfa")</f>
        <v>0</v>
      </c>
      <c r="N995" s="29">
        <f>SUMIFS(Cash_Flow_3[Amount],Cash_Flow_3[Bulan],H995,Cash_Flow_3[Type],"Out",Cash_Flow_3[Category],"Jajan")</f>
        <v>0</v>
      </c>
      <c r="O995" s="29">
        <f>SUMIFS(Cash_Flow_3[Amount],Cash_Flow_3[Bulan],H995,Cash_Flow_3[Type],"Out",Cash_Flow_3[Category],"Kitchen")</f>
        <v>0</v>
      </c>
      <c r="P995" s="29">
        <f>SUMIFS(Cash_Flow_3[Amount],Cash_Flow_3[Bulan],H995,Cash_Flow_3[Type],"Out",Cash_Flow_3[Category],"Loandry")</f>
        <v>0</v>
      </c>
      <c r="Q995" s="29">
        <f>SUMIFS(Cash_Flow_3[Amount],Cash_Flow_3[Bulan],H995,Cash_Flow_3[Type],"Out",Cash_Flow_3[Category],"Mio")</f>
        <v>0</v>
      </c>
      <c r="R995" s="29">
        <f>SUMIFS(Cash_Flow_3[Amount],Cash_Flow_3[Bulan],H995,Cash_Flow_3[Type],"Out",Cash_Flow_3[Category],"Sedekah")</f>
        <v>0</v>
      </c>
      <c r="S995" s="29">
        <f>SUMIFS(Cash_Flow_3[Amount],Cash_Flow_3[Bulan],H995,Cash_Flow_3[Type],"Out",Cash_Flow_3[Category],"Zela")</f>
        <v>0</v>
      </c>
      <c r="T995" s="29">
        <f>SUMIFS(Cash_Flow_3[Amount],Cash_Flow_3[Bulan],H995,Cash_Flow_3[Type],"Out",Cash_Flow_3[Category],"Iqbal")</f>
        <v>0</v>
      </c>
    </row>
    <row r="996" spans="1:20" ht="22.5" customHeight="1" x14ac:dyDescent="0.2">
      <c r="A996" s="23"/>
      <c r="B996" s="24"/>
      <c r="C996" s="25"/>
      <c r="D996" s="25"/>
      <c r="E996" s="25"/>
      <c r="F996" s="26"/>
      <c r="G996" s="27"/>
      <c r="H996" s="28" t="str">
        <f t="shared" si="0"/>
        <v/>
      </c>
      <c r="I996" s="29">
        <f>SUMIFS(Cash_Flow_3[Amount],Cash_Flow_3[Bulan],H996,Cash_Flow_3[Type],"In")</f>
        <v>0</v>
      </c>
      <c r="J996" s="29">
        <f>SUMIFS(Cash_Flow_3[Amount],Cash_Flow_3[Bulan],H996,Cash_Flow_3[Type],"Out")</f>
        <v>0</v>
      </c>
      <c r="K996" s="29">
        <f>SUMIFS(Cash_Flow_3[Amount],Cash_Flow_3[Bulan],H996,Cash_Flow_3[Type],"Out",Cash_Flow_3[Category],"Fix")</f>
        <v>0</v>
      </c>
      <c r="L996" s="29">
        <f>SUMIFS(Cash_Flow_3[Amount],Cash_Flow_3[Bulan],H996,Cash_Flow_3[Type],"Out",Cash_Flow_3[Category],"Bathroom")</f>
        <v>0</v>
      </c>
      <c r="M996" s="29">
        <f>SUMIFS(Cash_Flow_3[Amount],Cash_Flow_3[Bulan],H996,Cash_Flow_3[Type],"Out",Cash_Flow_3[Category],"Alfa")</f>
        <v>0</v>
      </c>
      <c r="N996" s="29">
        <f>SUMIFS(Cash_Flow_3[Amount],Cash_Flow_3[Bulan],H996,Cash_Flow_3[Type],"Out",Cash_Flow_3[Category],"Jajan")</f>
        <v>0</v>
      </c>
      <c r="O996" s="29">
        <f>SUMIFS(Cash_Flow_3[Amount],Cash_Flow_3[Bulan],H996,Cash_Flow_3[Type],"Out",Cash_Flow_3[Category],"Kitchen")</f>
        <v>0</v>
      </c>
      <c r="P996" s="29">
        <f>SUMIFS(Cash_Flow_3[Amount],Cash_Flow_3[Bulan],H996,Cash_Flow_3[Type],"Out",Cash_Flow_3[Category],"Loandry")</f>
        <v>0</v>
      </c>
      <c r="Q996" s="29">
        <f>SUMIFS(Cash_Flow_3[Amount],Cash_Flow_3[Bulan],H996,Cash_Flow_3[Type],"Out",Cash_Flow_3[Category],"Mio")</f>
        <v>0</v>
      </c>
      <c r="R996" s="29">
        <f>SUMIFS(Cash_Flow_3[Amount],Cash_Flow_3[Bulan],H996,Cash_Flow_3[Type],"Out",Cash_Flow_3[Category],"Sedekah")</f>
        <v>0</v>
      </c>
      <c r="S996" s="29">
        <f>SUMIFS(Cash_Flow_3[Amount],Cash_Flow_3[Bulan],H996,Cash_Flow_3[Type],"Out",Cash_Flow_3[Category],"Zela")</f>
        <v>0</v>
      </c>
      <c r="T996" s="29">
        <f>SUMIFS(Cash_Flow_3[Amount],Cash_Flow_3[Bulan],H996,Cash_Flow_3[Type],"Out",Cash_Flow_3[Category],"Iqbal")</f>
        <v>0</v>
      </c>
    </row>
    <row r="997" spans="1:20" ht="22.5" customHeight="1" x14ac:dyDescent="0.2">
      <c r="A997" s="23"/>
      <c r="B997" s="24"/>
      <c r="C997" s="25"/>
      <c r="D997" s="25"/>
      <c r="E997" s="25"/>
      <c r="F997" s="26"/>
      <c r="G997" s="27"/>
      <c r="H997" s="28" t="str">
        <f t="shared" si="0"/>
        <v/>
      </c>
      <c r="I997" s="29">
        <f>SUMIFS(Cash_Flow_3[Amount],Cash_Flow_3[Bulan],H997,Cash_Flow_3[Type],"In")</f>
        <v>0</v>
      </c>
      <c r="J997" s="29">
        <f>SUMIFS(Cash_Flow_3[Amount],Cash_Flow_3[Bulan],H997,Cash_Flow_3[Type],"Out")</f>
        <v>0</v>
      </c>
      <c r="K997" s="29">
        <f>SUMIFS(Cash_Flow_3[Amount],Cash_Flow_3[Bulan],H997,Cash_Flow_3[Type],"Out",Cash_Flow_3[Category],"Fix")</f>
        <v>0</v>
      </c>
      <c r="L997" s="29">
        <f>SUMIFS(Cash_Flow_3[Amount],Cash_Flow_3[Bulan],H997,Cash_Flow_3[Type],"Out",Cash_Flow_3[Category],"Bathroom")</f>
        <v>0</v>
      </c>
      <c r="M997" s="29">
        <f>SUMIFS(Cash_Flow_3[Amount],Cash_Flow_3[Bulan],H997,Cash_Flow_3[Type],"Out",Cash_Flow_3[Category],"Alfa")</f>
        <v>0</v>
      </c>
      <c r="N997" s="29">
        <f>SUMIFS(Cash_Flow_3[Amount],Cash_Flow_3[Bulan],H997,Cash_Flow_3[Type],"Out",Cash_Flow_3[Category],"Jajan")</f>
        <v>0</v>
      </c>
      <c r="O997" s="29">
        <f>SUMIFS(Cash_Flow_3[Amount],Cash_Flow_3[Bulan],H997,Cash_Flow_3[Type],"Out",Cash_Flow_3[Category],"Kitchen")</f>
        <v>0</v>
      </c>
      <c r="P997" s="29">
        <f>SUMIFS(Cash_Flow_3[Amount],Cash_Flow_3[Bulan],H997,Cash_Flow_3[Type],"Out",Cash_Flow_3[Category],"Loandry")</f>
        <v>0</v>
      </c>
      <c r="Q997" s="29">
        <f>SUMIFS(Cash_Flow_3[Amount],Cash_Flow_3[Bulan],H997,Cash_Flow_3[Type],"Out",Cash_Flow_3[Category],"Mio")</f>
        <v>0</v>
      </c>
      <c r="R997" s="29">
        <f>SUMIFS(Cash_Flow_3[Amount],Cash_Flow_3[Bulan],H997,Cash_Flow_3[Type],"Out",Cash_Flow_3[Category],"Sedekah")</f>
        <v>0</v>
      </c>
      <c r="S997" s="29">
        <f>SUMIFS(Cash_Flow_3[Amount],Cash_Flow_3[Bulan],H997,Cash_Flow_3[Type],"Out",Cash_Flow_3[Category],"Zela")</f>
        <v>0</v>
      </c>
      <c r="T997" s="29">
        <f>SUMIFS(Cash_Flow_3[Amount],Cash_Flow_3[Bulan],H997,Cash_Flow_3[Type],"Out",Cash_Flow_3[Category],"Iqbal")</f>
        <v>0</v>
      </c>
    </row>
    <row r="998" spans="1:20" ht="22.5" customHeight="1" x14ac:dyDescent="0.2">
      <c r="A998" s="23"/>
      <c r="B998" s="24"/>
      <c r="C998" s="25"/>
      <c r="D998" s="25"/>
      <c r="E998" s="25"/>
      <c r="F998" s="26"/>
      <c r="G998" s="27"/>
      <c r="H998" s="28" t="str">
        <f t="shared" si="0"/>
        <v/>
      </c>
      <c r="I998" s="29">
        <f>SUMIFS(Cash_Flow_3[Amount],Cash_Flow_3[Bulan],H998,Cash_Flow_3[Type],"In")</f>
        <v>0</v>
      </c>
      <c r="J998" s="29">
        <f>SUMIFS(Cash_Flow_3[Amount],Cash_Flow_3[Bulan],H998,Cash_Flow_3[Type],"Out")</f>
        <v>0</v>
      </c>
      <c r="K998" s="29">
        <f>SUMIFS(Cash_Flow_3[Amount],Cash_Flow_3[Bulan],H998,Cash_Flow_3[Type],"Out",Cash_Flow_3[Category],"Fix")</f>
        <v>0</v>
      </c>
      <c r="L998" s="29">
        <f>SUMIFS(Cash_Flow_3[Amount],Cash_Flow_3[Bulan],H998,Cash_Flow_3[Type],"Out",Cash_Flow_3[Category],"Bathroom")</f>
        <v>0</v>
      </c>
      <c r="M998" s="29">
        <f>SUMIFS(Cash_Flow_3[Amount],Cash_Flow_3[Bulan],H998,Cash_Flow_3[Type],"Out",Cash_Flow_3[Category],"Alfa")</f>
        <v>0</v>
      </c>
      <c r="N998" s="29">
        <f>SUMIFS(Cash_Flow_3[Amount],Cash_Flow_3[Bulan],H998,Cash_Flow_3[Type],"Out",Cash_Flow_3[Category],"Jajan")</f>
        <v>0</v>
      </c>
      <c r="O998" s="29">
        <f>SUMIFS(Cash_Flow_3[Amount],Cash_Flow_3[Bulan],H998,Cash_Flow_3[Type],"Out",Cash_Flow_3[Category],"Kitchen")</f>
        <v>0</v>
      </c>
      <c r="P998" s="29">
        <f>SUMIFS(Cash_Flow_3[Amount],Cash_Flow_3[Bulan],H998,Cash_Flow_3[Type],"Out",Cash_Flow_3[Category],"Loandry")</f>
        <v>0</v>
      </c>
      <c r="Q998" s="29">
        <f>SUMIFS(Cash_Flow_3[Amount],Cash_Flow_3[Bulan],H998,Cash_Flow_3[Type],"Out",Cash_Flow_3[Category],"Mio")</f>
        <v>0</v>
      </c>
      <c r="R998" s="29">
        <f>SUMIFS(Cash_Flow_3[Amount],Cash_Flow_3[Bulan],H998,Cash_Flow_3[Type],"Out",Cash_Flow_3[Category],"Sedekah")</f>
        <v>0</v>
      </c>
      <c r="S998" s="29">
        <f>SUMIFS(Cash_Flow_3[Amount],Cash_Flow_3[Bulan],H998,Cash_Flow_3[Type],"Out",Cash_Flow_3[Category],"Zela")</f>
        <v>0</v>
      </c>
      <c r="T998" s="29">
        <f>SUMIFS(Cash_Flow_3[Amount],Cash_Flow_3[Bulan],H998,Cash_Flow_3[Type],"Out",Cash_Flow_3[Category],"Iqbal")</f>
        <v>0</v>
      </c>
    </row>
    <row r="999" spans="1:20" ht="22.5" customHeight="1" x14ac:dyDescent="0.2">
      <c r="A999" s="23"/>
      <c r="B999" s="24"/>
      <c r="C999" s="25"/>
      <c r="D999" s="25"/>
      <c r="E999" s="25"/>
      <c r="F999" s="26"/>
      <c r="G999" s="27"/>
      <c r="H999" s="28" t="str">
        <f t="shared" si="0"/>
        <v/>
      </c>
      <c r="I999" s="29">
        <f>SUMIFS(Cash_Flow_3[Amount],Cash_Flow_3[Bulan],H999,Cash_Flow_3[Type],"In")</f>
        <v>0</v>
      </c>
      <c r="J999" s="29">
        <f>SUMIFS(Cash_Flow_3[Amount],Cash_Flow_3[Bulan],H999,Cash_Flow_3[Type],"Out")</f>
        <v>0</v>
      </c>
      <c r="K999" s="29">
        <f>SUMIFS(Cash_Flow_3[Amount],Cash_Flow_3[Bulan],H999,Cash_Flow_3[Type],"Out",Cash_Flow_3[Category],"Fix")</f>
        <v>0</v>
      </c>
      <c r="L999" s="29">
        <f>SUMIFS(Cash_Flow_3[Amount],Cash_Flow_3[Bulan],H999,Cash_Flow_3[Type],"Out",Cash_Flow_3[Category],"Bathroom")</f>
        <v>0</v>
      </c>
      <c r="M999" s="29">
        <f>SUMIFS(Cash_Flow_3[Amount],Cash_Flow_3[Bulan],H999,Cash_Flow_3[Type],"Out",Cash_Flow_3[Category],"Alfa")</f>
        <v>0</v>
      </c>
      <c r="N999" s="29">
        <f>SUMIFS(Cash_Flow_3[Amount],Cash_Flow_3[Bulan],H999,Cash_Flow_3[Type],"Out",Cash_Flow_3[Category],"Jajan")</f>
        <v>0</v>
      </c>
      <c r="O999" s="29">
        <f>SUMIFS(Cash_Flow_3[Amount],Cash_Flow_3[Bulan],H999,Cash_Flow_3[Type],"Out",Cash_Flow_3[Category],"Kitchen")</f>
        <v>0</v>
      </c>
      <c r="P999" s="29">
        <f>SUMIFS(Cash_Flow_3[Amount],Cash_Flow_3[Bulan],H999,Cash_Flow_3[Type],"Out",Cash_Flow_3[Category],"Loandry")</f>
        <v>0</v>
      </c>
      <c r="Q999" s="29">
        <f>SUMIFS(Cash_Flow_3[Amount],Cash_Flow_3[Bulan],H999,Cash_Flow_3[Type],"Out",Cash_Flow_3[Category],"Mio")</f>
        <v>0</v>
      </c>
      <c r="R999" s="29">
        <f>SUMIFS(Cash_Flow_3[Amount],Cash_Flow_3[Bulan],H999,Cash_Flow_3[Type],"Out",Cash_Flow_3[Category],"Sedekah")</f>
        <v>0</v>
      </c>
      <c r="S999" s="29">
        <f>SUMIFS(Cash_Flow_3[Amount],Cash_Flow_3[Bulan],H999,Cash_Flow_3[Type],"Out",Cash_Flow_3[Category],"Zela")</f>
        <v>0</v>
      </c>
      <c r="T999" s="29">
        <f>SUMIFS(Cash_Flow_3[Amount],Cash_Flow_3[Bulan],H999,Cash_Flow_3[Type],"Out",Cash_Flow_3[Category],"Iqbal")</f>
        <v>0</v>
      </c>
    </row>
    <row r="1000" spans="1:20" ht="22.5" customHeight="1" x14ac:dyDescent="0.2">
      <c r="A1000" s="23"/>
      <c r="B1000" s="24"/>
      <c r="C1000" s="25"/>
      <c r="D1000" s="25"/>
      <c r="E1000" s="25"/>
      <c r="F1000" s="26"/>
      <c r="G1000" s="27"/>
      <c r="H1000" s="28" t="str">
        <f t="shared" si="0"/>
        <v/>
      </c>
      <c r="I1000" s="29">
        <f>SUMIFS(Cash_Flow_3[Amount],Cash_Flow_3[Bulan],H1000,Cash_Flow_3[Type],"In")</f>
        <v>0</v>
      </c>
      <c r="J1000" s="29">
        <f>SUMIFS(Cash_Flow_3[Amount],Cash_Flow_3[Bulan],H1000,Cash_Flow_3[Type],"Out")</f>
        <v>0</v>
      </c>
      <c r="K1000" s="29">
        <f>SUMIFS(Cash_Flow_3[Amount],Cash_Flow_3[Bulan],H1000,Cash_Flow_3[Type],"Out",Cash_Flow_3[Category],"Fix")</f>
        <v>0</v>
      </c>
      <c r="L1000" s="29">
        <f>SUMIFS(Cash_Flow_3[Amount],Cash_Flow_3[Bulan],H1000,Cash_Flow_3[Type],"Out",Cash_Flow_3[Category],"Bathroom")</f>
        <v>0</v>
      </c>
      <c r="M1000" s="29">
        <f>SUMIFS(Cash_Flow_3[Amount],Cash_Flow_3[Bulan],H1000,Cash_Flow_3[Type],"Out",Cash_Flow_3[Category],"Alfa")</f>
        <v>0</v>
      </c>
      <c r="N1000" s="29">
        <f>SUMIFS(Cash_Flow_3[Amount],Cash_Flow_3[Bulan],H1000,Cash_Flow_3[Type],"Out",Cash_Flow_3[Category],"Jajan")</f>
        <v>0</v>
      </c>
      <c r="O1000" s="29">
        <f>SUMIFS(Cash_Flow_3[Amount],Cash_Flow_3[Bulan],H1000,Cash_Flow_3[Type],"Out",Cash_Flow_3[Category],"Kitchen")</f>
        <v>0</v>
      </c>
      <c r="P1000" s="29">
        <f>SUMIFS(Cash_Flow_3[Amount],Cash_Flow_3[Bulan],H1000,Cash_Flow_3[Type],"Out",Cash_Flow_3[Category],"Loandry")</f>
        <v>0</v>
      </c>
      <c r="Q1000" s="29">
        <f>SUMIFS(Cash_Flow_3[Amount],Cash_Flow_3[Bulan],H1000,Cash_Flow_3[Type],"Out",Cash_Flow_3[Category],"Mio")</f>
        <v>0</v>
      </c>
      <c r="R1000" s="29">
        <f>SUMIFS(Cash_Flow_3[Amount],Cash_Flow_3[Bulan],H1000,Cash_Flow_3[Type],"Out",Cash_Flow_3[Category],"Sedekah")</f>
        <v>0</v>
      </c>
      <c r="S1000" s="29">
        <f>SUMIFS(Cash_Flow_3[Amount],Cash_Flow_3[Bulan],H1000,Cash_Flow_3[Type],"Out",Cash_Flow_3[Category],"Zela")</f>
        <v>0</v>
      </c>
      <c r="T1000" s="29">
        <f>SUMIFS(Cash_Flow_3[Amount],Cash_Flow_3[Bulan],H1000,Cash_Flow_3[Type],"Out",Cash_Flow_3[Category],"Iqbal")</f>
        <v>0</v>
      </c>
    </row>
    <row r="1001" spans="1:20" ht="22.5" customHeight="1" x14ac:dyDescent="0.2">
      <c r="A1001" s="23"/>
      <c r="B1001" s="24"/>
      <c r="C1001" s="25"/>
      <c r="D1001" s="25"/>
      <c r="E1001" s="25"/>
      <c r="F1001" s="26"/>
      <c r="G1001" s="27"/>
      <c r="H1001" s="28" t="str">
        <f t="shared" si="0"/>
        <v/>
      </c>
      <c r="I1001" s="29">
        <f>SUMIFS(Cash_Flow_3[Amount],Cash_Flow_3[Bulan],H1001,Cash_Flow_3[Type],"In")</f>
        <v>0</v>
      </c>
      <c r="J1001" s="29">
        <f>SUMIFS(Cash_Flow_3[Amount],Cash_Flow_3[Bulan],H1001,Cash_Flow_3[Type],"Out")</f>
        <v>0</v>
      </c>
      <c r="K1001" s="29">
        <f>SUMIFS(Cash_Flow_3[Amount],Cash_Flow_3[Bulan],H1001,Cash_Flow_3[Type],"Out",Cash_Flow_3[Category],"Fix")</f>
        <v>0</v>
      </c>
      <c r="L1001" s="29">
        <f>SUMIFS(Cash_Flow_3[Amount],Cash_Flow_3[Bulan],H1001,Cash_Flow_3[Type],"Out",Cash_Flow_3[Category],"Bathroom")</f>
        <v>0</v>
      </c>
      <c r="M1001" s="29">
        <f>SUMIFS(Cash_Flow_3[Amount],Cash_Flow_3[Bulan],H1001,Cash_Flow_3[Type],"Out",Cash_Flow_3[Category],"Alfa")</f>
        <v>0</v>
      </c>
      <c r="N1001" s="29">
        <f>SUMIFS(Cash_Flow_3[Amount],Cash_Flow_3[Bulan],H1001,Cash_Flow_3[Type],"Out",Cash_Flow_3[Category],"Jajan")</f>
        <v>0</v>
      </c>
      <c r="O1001" s="29">
        <f>SUMIFS(Cash_Flow_3[Amount],Cash_Flow_3[Bulan],H1001,Cash_Flow_3[Type],"Out",Cash_Flow_3[Category],"Kitchen")</f>
        <v>0</v>
      </c>
      <c r="P1001" s="29">
        <f>SUMIFS(Cash_Flow_3[Amount],Cash_Flow_3[Bulan],H1001,Cash_Flow_3[Type],"Out",Cash_Flow_3[Category],"Loandry")</f>
        <v>0</v>
      </c>
      <c r="Q1001" s="29">
        <f>SUMIFS(Cash_Flow_3[Amount],Cash_Flow_3[Bulan],H1001,Cash_Flow_3[Type],"Out",Cash_Flow_3[Category],"Mio")</f>
        <v>0</v>
      </c>
      <c r="R1001" s="29">
        <f>SUMIFS(Cash_Flow_3[Amount],Cash_Flow_3[Bulan],H1001,Cash_Flow_3[Type],"Out",Cash_Flow_3[Category],"Sedekah")</f>
        <v>0</v>
      </c>
      <c r="S1001" s="29">
        <f>SUMIFS(Cash_Flow_3[Amount],Cash_Flow_3[Bulan],H1001,Cash_Flow_3[Type],"Out",Cash_Flow_3[Category],"Zela")</f>
        <v>0</v>
      </c>
      <c r="T1001" s="29">
        <f>SUMIFS(Cash_Flow_3[Amount],Cash_Flow_3[Bulan],H1001,Cash_Flow_3[Type],"Out",Cash_Flow_3[Category],"Iqbal")</f>
        <v>0</v>
      </c>
    </row>
    <row r="1002" spans="1:20" ht="22.5" customHeight="1" x14ac:dyDescent="0.2">
      <c r="A1002" s="23"/>
      <c r="B1002" s="24"/>
      <c r="C1002" s="25"/>
      <c r="D1002" s="25"/>
      <c r="E1002" s="25"/>
      <c r="F1002" s="26"/>
      <c r="G1002" s="27"/>
      <c r="H1002" s="28" t="str">
        <f t="shared" si="0"/>
        <v/>
      </c>
      <c r="I1002" s="29">
        <f>SUMIFS(Cash_Flow_3[Amount],Cash_Flow_3[Bulan],H1002,Cash_Flow_3[Type],"In")</f>
        <v>0</v>
      </c>
      <c r="J1002" s="29">
        <f>SUMIFS(Cash_Flow_3[Amount],Cash_Flow_3[Bulan],H1002,Cash_Flow_3[Type],"Out")</f>
        <v>0</v>
      </c>
      <c r="K1002" s="29">
        <f>SUMIFS(Cash_Flow_3[Amount],Cash_Flow_3[Bulan],H1002,Cash_Flow_3[Type],"Out",Cash_Flow_3[Category],"Fix")</f>
        <v>0</v>
      </c>
      <c r="L1002" s="29">
        <f>SUMIFS(Cash_Flow_3[Amount],Cash_Flow_3[Bulan],H1002,Cash_Flow_3[Type],"Out",Cash_Flow_3[Category],"Bathroom")</f>
        <v>0</v>
      </c>
      <c r="M1002" s="29">
        <f>SUMIFS(Cash_Flow_3[Amount],Cash_Flow_3[Bulan],H1002,Cash_Flow_3[Type],"Out",Cash_Flow_3[Category],"Alfa")</f>
        <v>0</v>
      </c>
      <c r="N1002" s="29">
        <f>SUMIFS(Cash_Flow_3[Amount],Cash_Flow_3[Bulan],H1002,Cash_Flow_3[Type],"Out",Cash_Flow_3[Category],"Jajan")</f>
        <v>0</v>
      </c>
      <c r="O1002" s="29">
        <f>SUMIFS(Cash_Flow_3[Amount],Cash_Flow_3[Bulan],H1002,Cash_Flow_3[Type],"Out",Cash_Flow_3[Category],"Kitchen")</f>
        <v>0</v>
      </c>
      <c r="P1002" s="29">
        <f>SUMIFS(Cash_Flow_3[Amount],Cash_Flow_3[Bulan],H1002,Cash_Flow_3[Type],"Out",Cash_Flow_3[Category],"Loandry")</f>
        <v>0</v>
      </c>
      <c r="Q1002" s="29">
        <f>SUMIFS(Cash_Flow_3[Amount],Cash_Flow_3[Bulan],H1002,Cash_Flow_3[Type],"Out",Cash_Flow_3[Category],"Mio")</f>
        <v>0</v>
      </c>
      <c r="R1002" s="29">
        <f>SUMIFS(Cash_Flow_3[Amount],Cash_Flow_3[Bulan],H1002,Cash_Flow_3[Type],"Out",Cash_Flow_3[Category],"Sedekah")</f>
        <v>0</v>
      </c>
      <c r="S1002" s="29">
        <f>SUMIFS(Cash_Flow_3[Amount],Cash_Flow_3[Bulan],H1002,Cash_Flow_3[Type],"Out",Cash_Flow_3[Category],"Zela")</f>
        <v>0</v>
      </c>
      <c r="T1002" s="29">
        <f>SUMIFS(Cash_Flow_3[Amount],Cash_Flow_3[Bulan],H1002,Cash_Flow_3[Type],"Out",Cash_Flow_3[Category],"Iqbal")</f>
        <v>0</v>
      </c>
    </row>
    <row r="1003" spans="1:20" ht="22.5" customHeight="1" x14ac:dyDescent="0.2">
      <c r="A1003" s="23"/>
      <c r="B1003" s="24"/>
      <c r="C1003" s="25"/>
      <c r="D1003" s="25"/>
      <c r="E1003" s="25"/>
      <c r="F1003" s="26"/>
      <c r="G1003" s="27"/>
      <c r="H1003" s="28" t="str">
        <f t="shared" si="0"/>
        <v/>
      </c>
      <c r="I1003" s="29">
        <f>SUMIFS(Cash_Flow_3[Amount],Cash_Flow_3[Bulan],H1003,Cash_Flow_3[Type],"In")</f>
        <v>0</v>
      </c>
      <c r="J1003" s="29">
        <f>SUMIFS(Cash_Flow_3[Amount],Cash_Flow_3[Bulan],H1003,Cash_Flow_3[Type],"Out")</f>
        <v>0</v>
      </c>
      <c r="K1003" s="29">
        <f>SUMIFS(Cash_Flow_3[Amount],Cash_Flow_3[Bulan],H1003,Cash_Flow_3[Type],"Out",Cash_Flow_3[Category],"Fix")</f>
        <v>0</v>
      </c>
      <c r="L1003" s="29">
        <f>SUMIFS(Cash_Flow_3[Amount],Cash_Flow_3[Bulan],H1003,Cash_Flow_3[Type],"Out",Cash_Flow_3[Category],"Bathroom")</f>
        <v>0</v>
      </c>
      <c r="M1003" s="29">
        <f>SUMIFS(Cash_Flow_3[Amount],Cash_Flow_3[Bulan],H1003,Cash_Flow_3[Type],"Out",Cash_Flow_3[Category],"Alfa")</f>
        <v>0</v>
      </c>
      <c r="N1003" s="29">
        <f>SUMIFS(Cash_Flow_3[Amount],Cash_Flow_3[Bulan],H1003,Cash_Flow_3[Type],"Out",Cash_Flow_3[Category],"Jajan")</f>
        <v>0</v>
      </c>
      <c r="O1003" s="29">
        <f>SUMIFS(Cash_Flow_3[Amount],Cash_Flow_3[Bulan],H1003,Cash_Flow_3[Type],"Out",Cash_Flow_3[Category],"Kitchen")</f>
        <v>0</v>
      </c>
      <c r="P1003" s="29">
        <f>SUMIFS(Cash_Flow_3[Amount],Cash_Flow_3[Bulan],H1003,Cash_Flow_3[Type],"Out",Cash_Flow_3[Category],"Loandry")</f>
        <v>0</v>
      </c>
      <c r="Q1003" s="29">
        <f>SUMIFS(Cash_Flow_3[Amount],Cash_Flow_3[Bulan],H1003,Cash_Flow_3[Type],"Out",Cash_Flow_3[Category],"Mio")</f>
        <v>0</v>
      </c>
      <c r="R1003" s="29">
        <f>SUMIFS(Cash_Flow_3[Amount],Cash_Flow_3[Bulan],H1003,Cash_Flow_3[Type],"Out",Cash_Flow_3[Category],"Sedekah")</f>
        <v>0</v>
      </c>
      <c r="S1003" s="29">
        <f>SUMIFS(Cash_Flow_3[Amount],Cash_Flow_3[Bulan],H1003,Cash_Flow_3[Type],"Out",Cash_Flow_3[Category],"Zela")</f>
        <v>0</v>
      </c>
      <c r="T1003" s="29">
        <f>SUMIFS(Cash_Flow_3[Amount],Cash_Flow_3[Bulan],H1003,Cash_Flow_3[Type],"Out",Cash_Flow_3[Category],"Iqbal")</f>
        <v>0</v>
      </c>
    </row>
    <row r="1004" spans="1:20" ht="22.5" customHeight="1" x14ac:dyDescent="0.2">
      <c r="A1004" s="23"/>
      <c r="B1004" s="24"/>
      <c r="C1004" s="25"/>
      <c r="D1004" s="25"/>
      <c r="E1004" s="25"/>
      <c r="F1004" s="26"/>
      <c r="G1004" s="27"/>
      <c r="H1004" s="28" t="str">
        <f t="shared" si="0"/>
        <v/>
      </c>
      <c r="I1004" s="29">
        <f>SUMIFS(Cash_Flow_3[Amount],Cash_Flow_3[Bulan],H1004,Cash_Flow_3[Type],"In")</f>
        <v>0</v>
      </c>
      <c r="J1004" s="29">
        <f>SUMIFS(Cash_Flow_3[Amount],Cash_Flow_3[Bulan],H1004,Cash_Flow_3[Type],"Out")</f>
        <v>0</v>
      </c>
      <c r="K1004" s="29">
        <f>SUMIFS(Cash_Flow_3[Amount],Cash_Flow_3[Bulan],H1004,Cash_Flow_3[Type],"Out",Cash_Flow_3[Category],"Fix")</f>
        <v>0</v>
      </c>
      <c r="L1004" s="29">
        <f>SUMIFS(Cash_Flow_3[Amount],Cash_Flow_3[Bulan],H1004,Cash_Flow_3[Type],"Out",Cash_Flow_3[Category],"Bathroom")</f>
        <v>0</v>
      </c>
      <c r="M1004" s="29">
        <f>SUMIFS(Cash_Flow_3[Amount],Cash_Flow_3[Bulan],H1004,Cash_Flow_3[Type],"Out",Cash_Flow_3[Category],"Alfa")</f>
        <v>0</v>
      </c>
      <c r="N1004" s="29">
        <f>SUMIFS(Cash_Flow_3[Amount],Cash_Flow_3[Bulan],H1004,Cash_Flow_3[Type],"Out",Cash_Flow_3[Category],"Jajan")</f>
        <v>0</v>
      </c>
      <c r="O1004" s="29">
        <f>SUMIFS(Cash_Flow_3[Amount],Cash_Flow_3[Bulan],H1004,Cash_Flow_3[Type],"Out",Cash_Flow_3[Category],"Kitchen")</f>
        <v>0</v>
      </c>
      <c r="P1004" s="29">
        <f>SUMIFS(Cash_Flow_3[Amount],Cash_Flow_3[Bulan],H1004,Cash_Flow_3[Type],"Out",Cash_Flow_3[Category],"Loandry")</f>
        <v>0</v>
      </c>
      <c r="Q1004" s="29">
        <f>SUMIFS(Cash_Flow_3[Amount],Cash_Flow_3[Bulan],H1004,Cash_Flow_3[Type],"Out",Cash_Flow_3[Category],"Mio")</f>
        <v>0</v>
      </c>
      <c r="R1004" s="29">
        <f>SUMIFS(Cash_Flow_3[Amount],Cash_Flow_3[Bulan],H1004,Cash_Flow_3[Type],"Out",Cash_Flow_3[Category],"Sedekah")</f>
        <v>0</v>
      </c>
      <c r="S1004" s="29">
        <f>SUMIFS(Cash_Flow_3[Amount],Cash_Flow_3[Bulan],H1004,Cash_Flow_3[Type],"Out",Cash_Flow_3[Category],"Zela")</f>
        <v>0</v>
      </c>
      <c r="T1004" s="29">
        <f>SUMIFS(Cash_Flow_3[Amount],Cash_Flow_3[Bulan],H1004,Cash_Flow_3[Type],"Out",Cash_Flow_3[Category],"Iqbal")</f>
        <v>0</v>
      </c>
    </row>
    <row r="1005" spans="1:20" ht="22.5" customHeight="1" x14ac:dyDescent="0.2">
      <c r="A1005" s="23"/>
      <c r="B1005" s="24"/>
      <c r="C1005" s="25"/>
      <c r="D1005" s="25"/>
      <c r="E1005" s="25"/>
      <c r="F1005" s="26"/>
      <c r="G1005" s="27"/>
      <c r="H1005" s="28" t="str">
        <f t="shared" si="0"/>
        <v/>
      </c>
      <c r="I1005" s="29">
        <f>SUMIFS(Cash_Flow_3[Amount],Cash_Flow_3[Bulan],H1005,Cash_Flow_3[Type],"In")</f>
        <v>0</v>
      </c>
      <c r="J1005" s="29">
        <f>SUMIFS(Cash_Flow_3[Amount],Cash_Flow_3[Bulan],H1005,Cash_Flow_3[Type],"Out")</f>
        <v>0</v>
      </c>
      <c r="K1005" s="29">
        <f>SUMIFS(Cash_Flow_3[Amount],Cash_Flow_3[Bulan],H1005,Cash_Flow_3[Type],"Out",Cash_Flow_3[Category],"Fix")</f>
        <v>0</v>
      </c>
      <c r="L1005" s="29">
        <f>SUMIFS(Cash_Flow_3[Amount],Cash_Flow_3[Bulan],H1005,Cash_Flow_3[Type],"Out",Cash_Flow_3[Category],"Bathroom")</f>
        <v>0</v>
      </c>
      <c r="M1005" s="29">
        <f>SUMIFS(Cash_Flow_3[Amount],Cash_Flow_3[Bulan],H1005,Cash_Flow_3[Type],"Out",Cash_Flow_3[Category],"Alfa")</f>
        <v>0</v>
      </c>
      <c r="N1005" s="29">
        <f>SUMIFS(Cash_Flow_3[Amount],Cash_Flow_3[Bulan],H1005,Cash_Flow_3[Type],"Out",Cash_Flow_3[Category],"Jajan")</f>
        <v>0</v>
      </c>
      <c r="O1005" s="29">
        <f>SUMIFS(Cash_Flow_3[Amount],Cash_Flow_3[Bulan],H1005,Cash_Flow_3[Type],"Out",Cash_Flow_3[Category],"Kitchen")</f>
        <v>0</v>
      </c>
      <c r="P1005" s="29">
        <f>SUMIFS(Cash_Flow_3[Amount],Cash_Flow_3[Bulan],H1005,Cash_Flow_3[Type],"Out",Cash_Flow_3[Category],"Loandry")</f>
        <v>0</v>
      </c>
      <c r="Q1005" s="29">
        <f>SUMIFS(Cash_Flow_3[Amount],Cash_Flow_3[Bulan],H1005,Cash_Flow_3[Type],"Out",Cash_Flow_3[Category],"Mio")</f>
        <v>0</v>
      </c>
      <c r="R1005" s="29">
        <f>SUMIFS(Cash_Flow_3[Amount],Cash_Flow_3[Bulan],H1005,Cash_Flow_3[Type],"Out",Cash_Flow_3[Category],"Sedekah")</f>
        <v>0</v>
      </c>
      <c r="S1005" s="29">
        <f>SUMIFS(Cash_Flow_3[Amount],Cash_Flow_3[Bulan],H1005,Cash_Flow_3[Type],"Out",Cash_Flow_3[Category],"Zela")</f>
        <v>0</v>
      </c>
      <c r="T1005" s="29">
        <f>SUMIFS(Cash_Flow_3[Amount],Cash_Flow_3[Bulan],H1005,Cash_Flow_3[Type],"Out",Cash_Flow_3[Category],"Iqbal")</f>
        <v>0</v>
      </c>
    </row>
    <row r="1006" spans="1:20" ht="22.5" customHeight="1" x14ac:dyDescent="0.2">
      <c r="A1006" s="23"/>
      <c r="B1006" s="24"/>
      <c r="C1006" s="25"/>
      <c r="D1006" s="25"/>
      <c r="E1006" s="25"/>
      <c r="F1006" s="26"/>
      <c r="G1006" s="27"/>
      <c r="H1006" s="28" t="str">
        <f t="shared" si="0"/>
        <v/>
      </c>
      <c r="I1006" s="29">
        <f>SUMIFS(Cash_Flow_3[Amount],Cash_Flow_3[Bulan],H1006,Cash_Flow_3[Type],"In")</f>
        <v>0</v>
      </c>
      <c r="J1006" s="29">
        <f>SUMIFS(Cash_Flow_3[Amount],Cash_Flow_3[Bulan],H1006,Cash_Flow_3[Type],"Out")</f>
        <v>0</v>
      </c>
      <c r="K1006" s="29">
        <f>SUMIFS(Cash_Flow_3[Amount],Cash_Flow_3[Bulan],H1006,Cash_Flow_3[Type],"Out",Cash_Flow_3[Category],"Fix")</f>
        <v>0</v>
      </c>
      <c r="L1006" s="29">
        <f>SUMIFS(Cash_Flow_3[Amount],Cash_Flow_3[Bulan],H1006,Cash_Flow_3[Type],"Out",Cash_Flow_3[Category],"Bathroom")</f>
        <v>0</v>
      </c>
      <c r="M1006" s="29">
        <f>SUMIFS(Cash_Flow_3[Amount],Cash_Flow_3[Bulan],H1006,Cash_Flow_3[Type],"Out",Cash_Flow_3[Category],"Alfa")</f>
        <v>0</v>
      </c>
      <c r="N1006" s="29">
        <f>SUMIFS(Cash_Flow_3[Amount],Cash_Flow_3[Bulan],H1006,Cash_Flow_3[Type],"Out",Cash_Flow_3[Category],"Jajan")</f>
        <v>0</v>
      </c>
      <c r="O1006" s="29">
        <f>SUMIFS(Cash_Flow_3[Amount],Cash_Flow_3[Bulan],H1006,Cash_Flow_3[Type],"Out",Cash_Flow_3[Category],"Kitchen")</f>
        <v>0</v>
      </c>
      <c r="P1006" s="29">
        <f>SUMIFS(Cash_Flow_3[Amount],Cash_Flow_3[Bulan],H1006,Cash_Flow_3[Type],"Out",Cash_Flow_3[Category],"Loandry")</f>
        <v>0</v>
      </c>
      <c r="Q1006" s="29">
        <f>SUMIFS(Cash_Flow_3[Amount],Cash_Flow_3[Bulan],H1006,Cash_Flow_3[Type],"Out",Cash_Flow_3[Category],"Mio")</f>
        <v>0</v>
      </c>
      <c r="R1006" s="29">
        <f>SUMIFS(Cash_Flow_3[Amount],Cash_Flow_3[Bulan],H1006,Cash_Flow_3[Type],"Out",Cash_Flow_3[Category],"Sedekah")</f>
        <v>0</v>
      </c>
      <c r="S1006" s="29">
        <f>SUMIFS(Cash_Flow_3[Amount],Cash_Flow_3[Bulan],H1006,Cash_Flow_3[Type],"Out",Cash_Flow_3[Category],"Zela")</f>
        <v>0</v>
      </c>
      <c r="T1006" s="29">
        <f>SUMIFS(Cash_Flow_3[Amount],Cash_Flow_3[Bulan],H1006,Cash_Flow_3[Type],"Out",Cash_Flow_3[Category],"Iqbal")</f>
        <v>0</v>
      </c>
    </row>
    <row r="1007" spans="1:20" ht="22.5" customHeight="1" x14ac:dyDescent="0.2">
      <c r="A1007" s="23"/>
      <c r="B1007" s="24"/>
      <c r="C1007" s="25"/>
      <c r="D1007" s="25"/>
      <c r="E1007" s="25"/>
      <c r="F1007" s="26"/>
      <c r="G1007" s="27"/>
      <c r="H1007" s="28" t="str">
        <f t="shared" si="0"/>
        <v/>
      </c>
      <c r="I1007" s="29">
        <f>SUMIFS(Cash_Flow_3[Amount],Cash_Flow_3[Bulan],H1007,Cash_Flow_3[Type],"In")</f>
        <v>0</v>
      </c>
      <c r="J1007" s="29">
        <f>SUMIFS(Cash_Flow_3[Amount],Cash_Flow_3[Bulan],H1007,Cash_Flow_3[Type],"Out")</f>
        <v>0</v>
      </c>
      <c r="K1007" s="29">
        <f>SUMIFS(Cash_Flow_3[Amount],Cash_Flow_3[Bulan],H1007,Cash_Flow_3[Type],"Out",Cash_Flow_3[Category],"Fix")</f>
        <v>0</v>
      </c>
      <c r="L1007" s="29">
        <f>SUMIFS(Cash_Flow_3[Amount],Cash_Flow_3[Bulan],H1007,Cash_Flow_3[Type],"Out",Cash_Flow_3[Category],"Bathroom")</f>
        <v>0</v>
      </c>
      <c r="M1007" s="29">
        <f>SUMIFS(Cash_Flow_3[Amount],Cash_Flow_3[Bulan],H1007,Cash_Flow_3[Type],"Out",Cash_Flow_3[Category],"Alfa")</f>
        <v>0</v>
      </c>
      <c r="N1007" s="29">
        <f>SUMIFS(Cash_Flow_3[Amount],Cash_Flow_3[Bulan],H1007,Cash_Flow_3[Type],"Out",Cash_Flow_3[Category],"Jajan")</f>
        <v>0</v>
      </c>
      <c r="O1007" s="29">
        <f>SUMIFS(Cash_Flow_3[Amount],Cash_Flow_3[Bulan],H1007,Cash_Flow_3[Type],"Out",Cash_Flow_3[Category],"Kitchen")</f>
        <v>0</v>
      </c>
      <c r="P1007" s="29">
        <f>SUMIFS(Cash_Flow_3[Amount],Cash_Flow_3[Bulan],H1007,Cash_Flow_3[Type],"Out",Cash_Flow_3[Category],"Loandry")</f>
        <v>0</v>
      </c>
      <c r="Q1007" s="29">
        <f>SUMIFS(Cash_Flow_3[Amount],Cash_Flow_3[Bulan],H1007,Cash_Flow_3[Type],"Out",Cash_Flow_3[Category],"Mio")</f>
        <v>0</v>
      </c>
      <c r="R1007" s="29">
        <f>SUMIFS(Cash_Flow_3[Amount],Cash_Flow_3[Bulan],H1007,Cash_Flow_3[Type],"Out",Cash_Flow_3[Category],"Sedekah")</f>
        <v>0</v>
      </c>
      <c r="S1007" s="29">
        <f>SUMIFS(Cash_Flow_3[Amount],Cash_Flow_3[Bulan],H1007,Cash_Flow_3[Type],"Out",Cash_Flow_3[Category],"Zela")</f>
        <v>0</v>
      </c>
      <c r="T1007" s="29">
        <f>SUMIFS(Cash_Flow_3[Amount],Cash_Flow_3[Bulan],H1007,Cash_Flow_3[Type],"Out",Cash_Flow_3[Category],"Iqbal")</f>
        <v>0</v>
      </c>
    </row>
    <row r="1008" spans="1:20" ht="22.5" customHeight="1" x14ac:dyDescent="0.2">
      <c r="A1008" s="23"/>
      <c r="B1008" s="24"/>
      <c r="C1008" s="25"/>
      <c r="D1008" s="25"/>
      <c r="E1008" s="25"/>
      <c r="F1008" s="26"/>
      <c r="G1008" s="27"/>
      <c r="H1008" s="28" t="str">
        <f t="shared" si="0"/>
        <v/>
      </c>
      <c r="I1008" s="29">
        <f>SUMIFS(Cash_Flow_3[Amount],Cash_Flow_3[Bulan],H1008,Cash_Flow_3[Type],"In")</f>
        <v>0</v>
      </c>
      <c r="J1008" s="29">
        <f>SUMIFS(Cash_Flow_3[Amount],Cash_Flow_3[Bulan],H1008,Cash_Flow_3[Type],"Out")</f>
        <v>0</v>
      </c>
      <c r="K1008" s="29">
        <f>SUMIFS(Cash_Flow_3[Amount],Cash_Flow_3[Bulan],H1008,Cash_Flow_3[Type],"Out",Cash_Flow_3[Category],"Fix")</f>
        <v>0</v>
      </c>
      <c r="L1008" s="29">
        <f>SUMIFS(Cash_Flow_3[Amount],Cash_Flow_3[Bulan],H1008,Cash_Flow_3[Type],"Out",Cash_Flow_3[Category],"Bathroom")</f>
        <v>0</v>
      </c>
      <c r="M1008" s="29">
        <f>SUMIFS(Cash_Flow_3[Amount],Cash_Flow_3[Bulan],H1008,Cash_Flow_3[Type],"Out",Cash_Flow_3[Category],"Alfa")</f>
        <v>0</v>
      </c>
      <c r="N1008" s="29">
        <f>SUMIFS(Cash_Flow_3[Amount],Cash_Flow_3[Bulan],H1008,Cash_Flow_3[Type],"Out",Cash_Flow_3[Category],"Jajan")</f>
        <v>0</v>
      </c>
      <c r="O1008" s="29">
        <f>SUMIFS(Cash_Flow_3[Amount],Cash_Flow_3[Bulan],H1008,Cash_Flow_3[Type],"Out",Cash_Flow_3[Category],"Kitchen")</f>
        <v>0</v>
      </c>
      <c r="P1008" s="29">
        <f>SUMIFS(Cash_Flow_3[Amount],Cash_Flow_3[Bulan],H1008,Cash_Flow_3[Type],"Out",Cash_Flow_3[Category],"Loandry")</f>
        <v>0</v>
      </c>
      <c r="Q1008" s="29">
        <f>SUMIFS(Cash_Flow_3[Amount],Cash_Flow_3[Bulan],H1008,Cash_Flow_3[Type],"Out",Cash_Flow_3[Category],"Mio")</f>
        <v>0</v>
      </c>
      <c r="R1008" s="29">
        <f>SUMIFS(Cash_Flow_3[Amount],Cash_Flow_3[Bulan],H1008,Cash_Flow_3[Type],"Out",Cash_Flow_3[Category],"Sedekah")</f>
        <v>0</v>
      </c>
      <c r="S1008" s="29">
        <f>SUMIFS(Cash_Flow_3[Amount],Cash_Flow_3[Bulan],H1008,Cash_Flow_3[Type],"Out",Cash_Flow_3[Category],"Zela")</f>
        <v>0</v>
      </c>
      <c r="T1008" s="29">
        <f>SUMIFS(Cash_Flow_3[Amount],Cash_Flow_3[Bulan],H1008,Cash_Flow_3[Type],"Out",Cash_Flow_3[Category],"Iqbal")</f>
        <v>0</v>
      </c>
    </row>
    <row r="1009" spans="1:20" ht="22.5" customHeight="1" x14ac:dyDescent="0.2">
      <c r="A1009" s="23"/>
      <c r="B1009" s="24"/>
      <c r="C1009" s="25"/>
      <c r="D1009" s="25"/>
      <c r="E1009" s="25"/>
      <c r="F1009" s="26"/>
      <c r="G1009" s="27"/>
      <c r="H1009" s="28" t="str">
        <f t="shared" si="0"/>
        <v/>
      </c>
      <c r="I1009" s="29">
        <f>SUMIFS(Cash_Flow_3[Amount],Cash_Flow_3[Bulan],H1009,Cash_Flow_3[Type],"In")</f>
        <v>0</v>
      </c>
      <c r="J1009" s="29">
        <f>SUMIFS(Cash_Flow_3[Amount],Cash_Flow_3[Bulan],H1009,Cash_Flow_3[Type],"Out")</f>
        <v>0</v>
      </c>
      <c r="K1009" s="29">
        <f>SUMIFS(Cash_Flow_3[Amount],Cash_Flow_3[Bulan],H1009,Cash_Flow_3[Type],"Out",Cash_Flow_3[Category],"Fix")</f>
        <v>0</v>
      </c>
      <c r="L1009" s="29">
        <f>SUMIFS(Cash_Flow_3[Amount],Cash_Flow_3[Bulan],H1009,Cash_Flow_3[Type],"Out",Cash_Flow_3[Category],"Bathroom")</f>
        <v>0</v>
      </c>
      <c r="M1009" s="29">
        <f>SUMIFS(Cash_Flow_3[Amount],Cash_Flow_3[Bulan],H1009,Cash_Flow_3[Type],"Out",Cash_Flow_3[Category],"Alfa")</f>
        <v>0</v>
      </c>
      <c r="N1009" s="29">
        <f>SUMIFS(Cash_Flow_3[Amount],Cash_Flow_3[Bulan],H1009,Cash_Flow_3[Type],"Out",Cash_Flow_3[Category],"Jajan")</f>
        <v>0</v>
      </c>
      <c r="O1009" s="29">
        <f>SUMIFS(Cash_Flow_3[Amount],Cash_Flow_3[Bulan],H1009,Cash_Flow_3[Type],"Out",Cash_Flow_3[Category],"Kitchen")</f>
        <v>0</v>
      </c>
      <c r="P1009" s="29">
        <f>SUMIFS(Cash_Flow_3[Amount],Cash_Flow_3[Bulan],H1009,Cash_Flow_3[Type],"Out",Cash_Flow_3[Category],"Loandry")</f>
        <v>0</v>
      </c>
      <c r="Q1009" s="29">
        <f>SUMIFS(Cash_Flow_3[Amount],Cash_Flow_3[Bulan],H1009,Cash_Flow_3[Type],"Out",Cash_Flow_3[Category],"Mio")</f>
        <v>0</v>
      </c>
      <c r="R1009" s="29">
        <f>SUMIFS(Cash_Flow_3[Amount],Cash_Flow_3[Bulan],H1009,Cash_Flow_3[Type],"Out",Cash_Flow_3[Category],"Sedekah")</f>
        <v>0</v>
      </c>
      <c r="S1009" s="29">
        <f>SUMIFS(Cash_Flow_3[Amount],Cash_Flow_3[Bulan],H1009,Cash_Flow_3[Type],"Out",Cash_Flow_3[Category],"Zela")</f>
        <v>0</v>
      </c>
      <c r="T1009" s="29">
        <f>SUMIFS(Cash_Flow_3[Amount],Cash_Flow_3[Bulan],H1009,Cash_Flow_3[Type],"Out",Cash_Flow_3[Category],"Iqbal")</f>
        <v>0</v>
      </c>
    </row>
    <row r="1010" spans="1:20" ht="22.5" customHeight="1" x14ac:dyDescent="0.2">
      <c r="A1010" s="23"/>
      <c r="B1010" s="24"/>
      <c r="C1010" s="25"/>
      <c r="D1010" s="25"/>
      <c r="E1010" s="25"/>
      <c r="F1010" s="26"/>
      <c r="G1010" s="27"/>
      <c r="H1010" s="28" t="str">
        <f t="shared" si="0"/>
        <v/>
      </c>
      <c r="I1010" s="29">
        <f>SUMIFS(Cash_Flow_3[Amount],Cash_Flow_3[Bulan],H1010,Cash_Flow_3[Type],"In")</f>
        <v>0</v>
      </c>
      <c r="J1010" s="29">
        <f>SUMIFS(Cash_Flow_3[Amount],Cash_Flow_3[Bulan],H1010,Cash_Flow_3[Type],"Out")</f>
        <v>0</v>
      </c>
      <c r="K1010" s="29">
        <f>SUMIFS(Cash_Flow_3[Amount],Cash_Flow_3[Bulan],H1010,Cash_Flow_3[Type],"Out",Cash_Flow_3[Category],"Fix")</f>
        <v>0</v>
      </c>
      <c r="L1010" s="29">
        <f>SUMIFS(Cash_Flow_3[Amount],Cash_Flow_3[Bulan],H1010,Cash_Flow_3[Type],"Out",Cash_Flow_3[Category],"Bathroom")</f>
        <v>0</v>
      </c>
      <c r="M1010" s="29">
        <f>SUMIFS(Cash_Flow_3[Amount],Cash_Flow_3[Bulan],H1010,Cash_Flow_3[Type],"Out",Cash_Flow_3[Category],"Alfa")</f>
        <v>0</v>
      </c>
      <c r="N1010" s="29">
        <f>SUMIFS(Cash_Flow_3[Amount],Cash_Flow_3[Bulan],H1010,Cash_Flow_3[Type],"Out",Cash_Flow_3[Category],"Jajan")</f>
        <v>0</v>
      </c>
      <c r="O1010" s="29">
        <f>SUMIFS(Cash_Flow_3[Amount],Cash_Flow_3[Bulan],H1010,Cash_Flow_3[Type],"Out",Cash_Flow_3[Category],"Kitchen")</f>
        <v>0</v>
      </c>
      <c r="P1010" s="29">
        <f>SUMIFS(Cash_Flow_3[Amount],Cash_Flow_3[Bulan],H1010,Cash_Flow_3[Type],"Out",Cash_Flow_3[Category],"Loandry")</f>
        <v>0</v>
      </c>
      <c r="Q1010" s="29">
        <f>SUMIFS(Cash_Flow_3[Amount],Cash_Flow_3[Bulan],H1010,Cash_Flow_3[Type],"Out",Cash_Flow_3[Category],"Mio")</f>
        <v>0</v>
      </c>
      <c r="R1010" s="29">
        <f>SUMIFS(Cash_Flow_3[Amount],Cash_Flow_3[Bulan],H1010,Cash_Flow_3[Type],"Out",Cash_Flow_3[Category],"Sedekah")</f>
        <v>0</v>
      </c>
      <c r="S1010" s="29">
        <f>SUMIFS(Cash_Flow_3[Amount],Cash_Flow_3[Bulan],H1010,Cash_Flow_3[Type],"Out",Cash_Flow_3[Category],"Zela")</f>
        <v>0</v>
      </c>
      <c r="T1010" s="29">
        <f>SUMIFS(Cash_Flow_3[Amount],Cash_Flow_3[Bulan],H1010,Cash_Flow_3[Type],"Out",Cash_Flow_3[Category],"Iqbal")</f>
        <v>0</v>
      </c>
    </row>
    <row r="1011" spans="1:20" ht="22.5" customHeight="1" x14ac:dyDescent="0.2">
      <c r="A1011" s="23"/>
      <c r="B1011" s="24"/>
      <c r="C1011" s="25"/>
      <c r="D1011" s="25"/>
      <c r="E1011" s="25"/>
      <c r="F1011" s="26"/>
      <c r="G1011" s="27"/>
      <c r="H1011" s="28" t="str">
        <f t="shared" si="0"/>
        <v/>
      </c>
      <c r="I1011" s="29">
        <f>SUMIFS(Cash_Flow_3[Amount],Cash_Flow_3[Bulan],H1011,Cash_Flow_3[Type],"In")</f>
        <v>0</v>
      </c>
      <c r="J1011" s="29">
        <f>SUMIFS(Cash_Flow_3[Amount],Cash_Flow_3[Bulan],H1011,Cash_Flow_3[Type],"Out")</f>
        <v>0</v>
      </c>
      <c r="K1011" s="29">
        <f>SUMIFS(Cash_Flow_3[Amount],Cash_Flow_3[Bulan],H1011,Cash_Flow_3[Type],"Out",Cash_Flow_3[Category],"Fix")</f>
        <v>0</v>
      </c>
      <c r="L1011" s="29">
        <f>SUMIFS(Cash_Flow_3[Amount],Cash_Flow_3[Bulan],H1011,Cash_Flow_3[Type],"Out",Cash_Flow_3[Category],"Bathroom")</f>
        <v>0</v>
      </c>
      <c r="M1011" s="29">
        <f>SUMIFS(Cash_Flow_3[Amount],Cash_Flow_3[Bulan],H1011,Cash_Flow_3[Type],"Out",Cash_Flow_3[Category],"Alfa")</f>
        <v>0</v>
      </c>
      <c r="N1011" s="29">
        <f>SUMIFS(Cash_Flow_3[Amount],Cash_Flow_3[Bulan],H1011,Cash_Flow_3[Type],"Out",Cash_Flow_3[Category],"Jajan")</f>
        <v>0</v>
      </c>
      <c r="O1011" s="29">
        <f>SUMIFS(Cash_Flow_3[Amount],Cash_Flow_3[Bulan],H1011,Cash_Flow_3[Type],"Out",Cash_Flow_3[Category],"Kitchen")</f>
        <v>0</v>
      </c>
      <c r="P1011" s="29">
        <f>SUMIFS(Cash_Flow_3[Amount],Cash_Flow_3[Bulan],H1011,Cash_Flow_3[Type],"Out",Cash_Flow_3[Category],"Loandry")</f>
        <v>0</v>
      </c>
      <c r="Q1011" s="29">
        <f>SUMIFS(Cash_Flow_3[Amount],Cash_Flow_3[Bulan],H1011,Cash_Flow_3[Type],"Out",Cash_Flow_3[Category],"Mio")</f>
        <v>0</v>
      </c>
      <c r="R1011" s="29">
        <f>SUMIFS(Cash_Flow_3[Amount],Cash_Flow_3[Bulan],H1011,Cash_Flow_3[Type],"Out",Cash_Flow_3[Category],"Sedekah")</f>
        <v>0</v>
      </c>
      <c r="S1011" s="29">
        <f>SUMIFS(Cash_Flow_3[Amount],Cash_Flow_3[Bulan],H1011,Cash_Flow_3[Type],"Out",Cash_Flow_3[Category],"Zela")</f>
        <v>0</v>
      </c>
      <c r="T1011" s="29">
        <f>SUMIFS(Cash_Flow_3[Amount],Cash_Flow_3[Bulan],H1011,Cash_Flow_3[Type],"Out",Cash_Flow_3[Category],"Iqbal")</f>
        <v>0</v>
      </c>
    </row>
    <row r="1012" spans="1:20" ht="22.5" customHeight="1" x14ac:dyDescent="0.2">
      <c r="A1012" s="23"/>
      <c r="B1012" s="24"/>
      <c r="C1012" s="25"/>
      <c r="D1012" s="25"/>
      <c r="E1012" s="25"/>
      <c r="F1012" s="26"/>
      <c r="G1012" s="27"/>
      <c r="H1012" s="28" t="str">
        <f t="shared" si="0"/>
        <v/>
      </c>
      <c r="I1012" s="29">
        <f>SUMIFS(Cash_Flow_3[Amount],Cash_Flow_3[Bulan],H1012,Cash_Flow_3[Type],"In")</f>
        <v>0</v>
      </c>
      <c r="J1012" s="29">
        <f>SUMIFS(Cash_Flow_3[Amount],Cash_Flow_3[Bulan],H1012,Cash_Flow_3[Type],"Out")</f>
        <v>0</v>
      </c>
      <c r="K1012" s="29">
        <f>SUMIFS(Cash_Flow_3[Amount],Cash_Flow_3[Bulan],H1012,Cash_Flow_3[Type],"Out",Cash_Flow_3[Category],"Fix")</f>
        <v>0</v>
      </c>
      <c r="L1012" s="29">
        <f>SUMIFS(Cash_Flow_3[Amount],Cash_Flow_3[Bulan],H1012,Cash_Flow_3[Type],"Out",Cash_Flow_3[Category],"Bathroom")</f>
        <v>0</v>
      </c>
      <c r="M1012" s="29">
        <f>SUMIFS(Cash_Flow_3[Amount],Cash_Flow_3[Bulan],H1012,Cash_Flow_3[Type],"Out",Cash_Flow_3[Category],"Alfa")</f>
        <v>0</v>
      </c>
      <c r="N1012" s="29">
        <f>SUMIFS(Cash_Flow_3[Amount],Cash_Flow_3[Bulan],H1012,Cash_Flow_3[Type],"Out",Cash_Flow_3[Category],"Jajan")</f>
        <v>0</v>
      </c>
      <c r="O1012" s="29">
        <f>SUMIFS(Cash_Flow_3[Amount],Cash_Flow_3[Bulan],H1012,Cash_Flow_3[Type],"Out",Cash_Flow_3[Category],"Kitchen")</f>
        <v>0</v>
      </c>
      <c r="P1012" s="29">
        <f>SUMIFS(Cash_Flow_3[Amount],Cash_Flow_3[Bulan],H1012,Cash_Flow_3[Type],"Out",Cash_Flow_3[Category],"Loandry")</f>
        <v>0</v>
      </c>
      <c r="Q1012" s="29">
        <f>SUMIFS(Cash_Flow_3[Amount],Cash_Flow_3[Bulan],H1012,Cash_Flow_3[Type],"Out",Cash_Flow_3[Category],"Mio")</f>
        <v>0</v>
      </c>
      <c r="R1012" s="29">
        <f>SUMIFS(Cash_Flow_3[Amount],Cash_Flow_3[Bulan],H1012,Cash_Flow_3[Type],"Out",Cash_Flow_3[Category],"Sedekah")</f>
        <v>0</v>
      </c>
      <c r="S1012" s="29">
        <f>SUMIFS(Cash_Flow_3[Amount],Cash_Flow_3[Bulan],H1012,Cash_Flow_3[Type],"Out",Cash_Flow_3[Category],"Zela")</f>
        <v>0</v>
      </c>
      <c r="T1012" s="29">
        <f>SUMIFS(Cash_Flow_3[Amount],Cash_Flow_3[Bulan],H1012,Cash_Flow_3[Type],"Out",Cash_Flow_3[Category],"Iqbal")</f>
        <v>0</v>
      </c>
    </row>
    <row r="1013" spans="1:20" ht="22.5" customHeight="1" x14ac:dyDescent="0.2">
      <c r="A1013" s="23"/>
      <c r="B1013" s="24"/>
      <c r="C1013" s="25"/>
      <c r="D1013" s="25"/>
      <c r="E1013" s="25"/>
      <c r="F1013" s="26"/>
      <c r="G1013" s="27"/>
      <c r="H1013" s="28" t="str">
        <f t="shared" si="0"/>
        <v/>
      </c>
      <c r="I1013" s="29">
        <f>SUMIFS(Cash_Flow_3[Amount],Cash_Flow_3[Bulan],H1013,Cash_Flow_3[Type],"In")</f>
        <v>0</v>
      </c>
      <c r="J1013" s="29">
        <f>SUMIFS(Cash_Flow_3[Amount],Cash_Flow_3[Bulan],H1013,Cash_Flow_3[Type],"Out")</f>
        <v>0</v>
      </c>
      <c r="K1013" s="29">
        <f>SUMIFS(Cash_Flow_3[Amount],Cash_Flow_3[Bulan],H1013,Cash_Flow_3[Type],"Out",Cash_Flow_3[Category],"Fix")</f>
        <v>0</v>
      </c>
      <c r="L1013" s="29">
        <f>SUMIFS(Cash_Flow_3[Amount],Cash_Flow_3[Bulan],H1013,Cash_Flow_3[Type],"Out",Cash_Flow_3[Category],"Bathroom")</f>
        <v>0</v>
      </c>
      <c r="M1013" s="29">
        <f>SUMIFS(Cash_Flow_3[Amount],Cash_Flow_3[Bulan],H1013,Cash_Flow_3[Type],"Out",Cash_Flow_3[Category],"Alfa")</f>
        <v>0</v>
      </c>
      <c r="N1013" s="29">
        <f>SUMIFS(Cash_Flow_3[Amount],Cash_Flow_3[Bulan],H1013,Cash_Flow_3[Type],"Out",Cash_Flow_3[Category],"Jajan")</f>
        <v>0</v>
      </c>
      <c r="O1013" s="29">
        <f>SUMIFS(Cash_Flow_3[Amount],Cash_Flow_3[Bulan],H1013,Cash_Flow_3[Type],"Out",Cash_Flow_3[Category],"Kitchen")</f>
        <v>0</v>
      </c>
      <c r="P1013" s="29">
        <f>SUMIFS(Cash_Flow_3[Amount],Cash_Flow_3[Bulan],H1013,Cash_Flow_3[Type],"Out",Cash_Flow_3[Category],"Loandry")</f>
        <v>0</v>
      </c>
      <c r="Q1013" s="29">
        <f>SUMIFS(Cash_Flow_3[Amount],Cash_Flow_3[Bulan],H1013,Cash_Flow_3[Type],"Out",Cash_Flow_3[Category],"Mio")</f>
        <v>0</v>
      </c>
      <c r="R1013" s="29">
        <f>SUMIFS(Cash_Flow_3[Amount],Cash_Flow_3[Bulan],H1013,Cash_Flow_3[Type],"Out",Cash_Flow_3[Category],"Sedekah")</f>
        <v>0</v>
      </c>
      <c r="S1013" s="29">
        <f>SUMIFS(Cash_Flow_3[Amount],Cash_Flow_3[Bulan],H1013,Cash_Flow_3[Type],"Out",Cash_Flow_3[Category],"Zela")</f>
        <v>0</v>
      </c>
      <c r="T1013" s="29">
        <f>SUMIFS(Cash_Flow_3[Amount],Cash_Flow_3[Bulan],H1013,Cash_Flow_3[Type],"Out",Cash_Flow_3[Category],"Iqbal")</f>
        <v>0</v>
      </c>
    </row>
    <row r="1014" spans="1:20" ht="22.5" customHeight="1" x14ac:dyDescent="0.2">
      <c r="A1014" s="23"/>
      <c r="B1014" s="24"/>
      <c r="C1014" s="25"/>
      <c r="D1014" s="25"/>
      <c r="E1014" s="25"/>
      <c r="F1014" s="26"/>
      <c r="G1014" s="27"/>
      <c r="H1014" s="28" t="str">
        <f t="shared" si="0"/>
        <v/>
      </c>
      <c r="I1014" s="29">
        <f>SUMIFS(Cash_Flow_3[Amount],Cash_Flow_3[Bulan],H1014,Cash_Flow_3[Type],"In")</f>
        <v>0</v>
      </c>
      <c r="J1014" s="29">
        <f>SUMIFS(Cash_Flow_3[Amount],Cash_Flow_3[Bulan],H1014,Cash_Flow_3[Type],"Out")</f>
        <v>0</v>
      </c>
      <c r="K1014" s="29">
        <f>SUMIFS(Cash_Flow_3[Amount],Cash_Flow_3[Bulan],H1014,Cash_Flow_3[Type],"Out",Cash_Flow_3[Category],"Fix")</f>
        <v>0</v>
      </c>
      <c r="L1014" s="29">
        <f>SUMIFS(Cash_Flow_3[Amount],Cash_Flow_3[Bulan],H1014,Cash_Flow_3[Type],"Out",Cash_Flow_3[Category],"Bathroom")</f>
        <v>0</v>
      </c>
      <c r="M1014" s="29">
        <f>SUMIFS(Cash_Flow_3[Amount],Cash_Flow_3[Bulan],H1014,Cash_Flow_3[Type],"Out",Cash_Flow_3[Category],"Alfa")</f>
        <v>0</v>
      </c>
      <c r="N1014" s="29">
        <f>SUMIFS(Cash_Flow_3[Amount],Cash_Flow_3[Bulan],H1014,Cash_Flow_3[Type],"Out",Cash_Flow_3[Category],"Jajan")</f>
        <v>0</v>
      </c>
      <c r="O1014" s="29">
        <f>SUMIFS(Cash_Flow_3[Amount],Cash_Flow_3[Bulan],H1014,Cash_Flow_3[Type],"Out",Cash_Flow_3[Category],"Kitchen")</f>
        <v>0</v>
      </c>
      <c r="P1014" s="29">
        <f>SUMIFS(Cash_Flow_3[Amount],Cash_Flow_3[Bulan],H1014,Cash_Flow_3[Type],"Out",Cash_Flow_3[Category],"Loandry")</f>
        <v>0</v>
      </c>
      <c r="Q1014" s="29">
        <f>SUMIFS(Cash_Flow_3[Amount],Cash_Flow_3[Bulan],H1014,Cash_Flow_3[Type],"Out",Cash_Flow_3[Category],"Mio")</f>
        <v>0</v>
      </c>
      <c r="R1014" s="29">
        <f>SUMIFS(Cash_Flow_3[Amount],Cash_Flow_3[Bulan],H1014,Cash_Flow_3[Type],"Out",Cash_Flow_3[Category],"Sedekah")</f>
        <v>0</v>
      </c>
      <c r="S1014" s="29">
        <f>SUMIFS(Cash_Flow_3[Amount],Cash_Flow_3[Bulan],H1014,Cash_Flow_3[Type],"Out",Cash_Flow_3[Category],"Zela")</f>
        <v>0</v>
      </c>
      <c r="T1014" s="29">
        <f>SUMIFS(Cash_Flow_3[Amount],Cash_Flow_3[Bulan],H1014,Cash_Flow_3[Type],"Out",Cash_Flow_3[Category],"Iqbal")</f>
        <v>0</v>
      </c>
    </row>
    <row r="1015" spans="1:20" ht="22.5" customHeight="1" x14ac:dyDescent="0.2">
      <c r="A1015" s="23"/>
      <c r="B1015" s="24"/>
      <c r="C1015" s="25"/>
      <c r="D1015" s="25"/>
      <c r="E1015" s="25"/>
      <c r="F1015" s="26"/>
      <c r="G1015" s="27"/>
      <c r="H1015" s="28" t="str">
        <f t="shared" si="0"/>
        <v/>
      </c>
      <c r="I1015" s="29">
        <f>SUMIFS(Cash_Flow_3[Amount],Cash_Flow_3[Bulan],H1015,Cash_Flow_3[Type],"In")</f>
        <v>0</v>
      </c>
      <c r="J1015" s="29">
        <f>SUMIFS(Cash_Flow_3[Amount],Cash_Flow_3[Bulan],H1015,Cash_Flow_3[Type],"Out")</f>
        <v>0</v>
      </c>
      <c r="K1015" s="29">
        <f>SUMIFS(Cash_Flow_3[Amount],Cash_Flow_3[Bulan],H1015,Cash_Flow_3[Type],"Out",Cash_Flow_3[Category],"Fix")</f>
        <v>0</v>
      </c>
      <c r="L1015" s="29">
        <f>SUMIFS(Cash_Flow_3[Amount],Cash_Flow_3[Bulan],H1015,Cash_Flow_3[Type],"Out",Cash_Flow_3[Category],"Bathroom")</f>
        <v>0</v>
      </c>
      <c r="M1015" s="29">
        <f>SUMIFS(Cash_Flow_3[Amount],Cash_Flow_3[Bulan],H1015,Cash_Flow_3[Type],"Out",Cash_Flow_3[Category],"Alfa")</f>
        <v>0</v>
      </c>
      <c r="N1015" s="29">
        <f>SUMIFS(Cash_Flow_3[Amount],Cash_Flow_3[Bulan],H1015,Cash_Flow_3[Type],"Out",Cash_Flow_3[Category],"Jajan")</f>
        <v>0</v>
      </c>
      <c r="O1015" s="29">
        <f>SUMIFS(Cash_Flow_3[Amount],Cash_Flow_3[Bulan],H1015,Cash_Flow_3[Type],"Out",Cash_Flow_3[Category],"Kitchen")</f>
        <v>0</v>
      </c>
      <c r="P1015" s="29">
        <f>SUMIFS(Cash_Flow_3[Amount],Cash_Flow_3[Bulan],H1015,Cash_Flow_3[Type],"Out",Cash_Flow_3[Category],"Loandry")</f>
        <v>0</v>
      </c>
      <c r="Q1015" s="29">
        <f>SUMIFS(Cash_Flow_3[Amount],Cash_Flow_3[Bulan],H1015,Cash_Flow_3[Type],"Out",Cash_Flow_3[Category],"Mio")</f>
        <v>0</v>
      </c>
      <c r="R1015" s="29">
        <f>SUMIFS(Cash_Flow_3[Amount],Cash_Flow_3[Bulan],H1015,Cash_Flow_3[Type],"Out",Cash_Flow_3[Category],"Sedekah")</f>
        <v>0</v>
      </c>
      <c r="S1015" s="29">
        <f>SUMIFS(Cash_Flow_3[Amount],Cash_Flow_3[Bulan],H1015,Cash_Flow_3[Type],"Out",Cash_Flow_3[Category],"Zela")</f>
        <v>0</v>
      </c>
      <c r="T1015" s="29">
        <f>SUMIFS(Cash_Flow_3[Amount],Cash_Flow_3[Bulan],H1015,Cash_Flow_3[Type],"Out",Cash_Flow_3[Category],"Iqbal")</f>
        <v>0</v>
      </c>
    </row>
    <row r="1016" spans="1:20" ht="22.5" customHeight="1" x14ac:dyDescent="0.2">
      <c r="A1016" s="23"/>
      <c r="B1016" s="24"/>
      <c r="C1016" s="25"/>
      <c r="D1016" s="25"/>
      <c r="E1016" s="25"/>
      <c r="F1016" s="26"/>
      <c r="G1016" s="27"/>
      <c r="H1016" s="28" t="str">
        <f t="shared" si="0"/>
        <v/>
      </c>
      <c r="I1016" s="29">
        <f>SUMIFS(Cash_Flow_3[Amount],Cash_Flow_3[Bulan],H1016,Cash_Flow_3[Type],"In")</f>
        <v>0</v>
      </c>
      <c r="J1016" s="29">
        <f>SUMIFS(Cash_Flow_3[Amount],Cash_Flow_3[Bulan],H1016,Cash_Flow_3[Type],"Out")</f>
        <v>0</v>
      </c>
      <c r="K1016" s="29">
        <f>SUMIFS(Cash_Flow_3[Amount],Cash_Flow_3[Bulan],H1016,Cash_Flow_3[Type],"Out",Cash_Flow_3[Category],"Fix")</f>
        <v>0</v>
      </c>
      <c r="L1016" s="29">
        <f>SUMIFS(Cash_Flow_3[Amount],Cash_Flow_3[Bulan],H1016,Cash_Flow_3[Type],"Out",Cash_Flow_3[Category],"Bathroom")</f>
        <v>0</v>
      </c>
      <c r="M1016" s="29">
        <f>SUMIFS(Cash_Flow_3[Amount],Cash_Flow_3[Bulan],H1016,Cash_Flow_3[Type],"Out",Cash_Flow_3[Category],"Alfa")</f>
        <v>0</v>
      </c>
      <c r="N1016" s="29">
        <f>SUMIFS(Cash_Flow_3[Amount],Cash_Flow_3[Bulan],H1016,Cash_Flow_3[Type],"Out",Cash_Flow_3[Category],"Jajan")</f>
        <v>0</v>
      </c>
      <c r="O1016" s="29">
        <f>SUMIFS(Cash_Flow_3[Amount],Cash_Flow_3[Bulan],H1016,Cash_Flow_3[Type],"Out",Cash_Flow_3[Category],"Kitchen")</f>
        <v>0</v>
      </c>
      <c r="P1016" s="29">
        <f>SUMIFS(Cash_Flow_3[Amount],Cash_Flow_3[Bulan],H1016,Cash_Flow_3[Type],"Out",Cash_Flow_3[Category],"Loandry")</f>
        <v>0</v>
      </c>
      <c r="Q1016" s="29">
        <f>SUMIFS(Cash_Flow_3[Amount],Cash_Flow_3[Bulan],H1016,Cash_Flow_3[Type],"Out",Cash_Flow_3[Category],"Mio")</f>
        <v>0</v>
      </c>
      <c r="R1016" s="29">
        <f>SUMIFS(Cash_Flow_3[Amount],Cash_Flow_3[Bulan],H1016,Cash_Flow_3[Type],"Out",Cash_Flow_3[Category],"Sedekah")</f>
        <v>0</v>
      </c>
      <c r="S1016" s="29">
        <f>SUMIFS(Cash_Flow_3[Amount],Cash_Flow_3[Bulan],H1016,Cash_Flow_3[Type],"Out",Cash_Flow_3[Category],"Zela")</f>
        <v>0</v>
      </c>
      <c r="T1016" s="29">
        <f>SUMIFS(Cash_Flow_3[Amount],Cash_Flow_3[Bulan],H1016,Cash_Flow_3[Type],"Out",Cash_Flow_3[Category],"Iqbal")</f>
        <v>0</v>
      </c>
    </row>
    <row r="1017" spans="1:20" ht="22.5" customHeight="1" x14ac:dyDescent="0.2">
      <c r="A1017" s="23"/>
      <c r="B1017" s="24"/>
      <c r="C1017" s="25"/>
      <c r="D1017" s="25"/>
      <c r="E1017" s="25"/>
      <c r="F1017" s="26"/>
      <c r="G1017" s="27"/>
      <c r="H1017" s="28" t="str">
        <f t="shared" si="0"/>
        <v/>
      </c>
      <c r="I1017" s="29">
        <f>SUMIFS(Cash_Flow_3[Amount],Cash_Flow_3[Bulan],H1017,Cash_Flow_3[Type],"In")</f>
        <v>0</v>
      </c>
      <c r="J1017" s="29">
        <f>SUMIFS(Cash_Flow_3[Amount],Cash_Flow_3[Bulan],H1017,Cash_Flow_3[Type],"Out")</f>
        <v>0</v>
      </c>
      <c r="K1017" s="29">
        <f>SUMIFS(Cash_Flow_3[Amount],Cash_Flow_3[Bulan],H1017,Cash_Flow_3[Type],"Out",Cash_Flow_3[Category],"Fix")</f>
        <v>0</v>
      </c>
      <c r="L1017" s="29">
        <f>SUMIFS(Cash_Flow_3[Amount],Cash_Flow_3[Bulan],H1017,Cash_Flow_3[Type],"Out",Cash_Flow_3[Category],"Bathroom")</f>
        <v>0</v>
      </c>
      <c r="M1017" s="29">
        <f>SUMIFS(Cash_Flow_3[Amount],Cash_Flow_3[Bulan],H1017,Cash_Flow_3[Type],"Out",Cash_Flow_3[Category],"Alfa")</f>
        <v>0</v>
      </c>
      <c r="N1017" s="29">
        <f>SUMIFS(Cash_Flow_3[Amount],Cash_Flow_3[Bulan],H1017,Cash_Flow_3[Type],"Out",Cash_Flow_3[Category],"Jajan")</f>
        <v>0</v>
      </c>
      <c r="O1017" s="29">
        <f>SUMIFS(Cash_Flow_3[Amount],Cash_Flow_3[Bulan],H1017,Cash_Flow_3[Type],"Out",Cash_Flow_3[Category],"Kitchen")</f>
        <v>0</v>
      </c>
      <c r="P1017" s="29">
        <f>SUMIFS(Cash_Flow_3[Amount],Cash_Flow_3[Bulan],H1017,Cash_Flow_3[Type],"Out",Cash_Flow_3[Category],"Loandry")</f>
        <v>0</v>
      </c>
      <c r="Q1017" s="29">
        <f>SUMIFS(Cash_Flow_3[Amount],Cash_Flow_3[Bulan],H1017,Cash_Flow_3[Type],"Out",Cash_Flow_3[Category],"Mio")</f>
        <v>0</v>
      </c>
      <c r="R1017" s="29">
        <f>SUMIFS(Cash_Flow_3[Amount],Cash_Flow_3[Bulan],H1017,Cash_Flow_3[Type],"Out",Cash_Flow_3[Category],"Sedekah")</f>
        <v>0</v>
      </c>
      <c r="S1017" s="29">
        <f>SUMIFS(Cash_Flow_3[Amount],Cash_Flow_3[Bulan],H1017,Cash_Flow_3[Type],"Out",Cash_Flow_3[Category],"Zela")</f>
        <v>0</v>
      </c>
      <c r="T1017" s="29">
        <f>SUMIFS(Cash_Flow_3[Amount],Cash_Flow_3[Bulan],H1017,Cash_Flow_3[Type],"Out",Cash_Flow_3[Category],"Iqbal")</f>
        <v>0</v>
      </c>
    </row>
    <row r="1018" spans="1:20" ht="22.5" customHeight="1" x14ac:dyDescent="0.2">
      <c r="A1018" s="23"/>
      <c r="B1018" s="24"/>
      <c r="C1018" s="25"/>
      <c r="D1018" s="25"/>
      <c r="E1018" s="25"/>
      <c r="F1018" s="26"/>
      <c r="G1018" s="27"/>
      <c r="H1018" s="28" t="str">
        <f t="shared" si="0"/>
        <v/>
      </c>
      <c r="I1018" s="29">
        <f>SUMIFS(Cash_Flow_3[Amount],Cash_Flow_3[Bulan],H1018,Cash_Flow_3[Type],"In")</f>
        <v>0</v>
      </c>
      <c r="J1018" s="29">
        <f>SUMIFS(Cash_Flow_3[Amount],Cash_Flow_3[Bulan],H1018,Cash_Flow_3[Type],"Out")</f>
        <v>0</v>
      </c>
      <c r="K1018" s="29">
        <f>SUMIFS(Cash_Flow_3[Amount],Cash_Flow_3[Bulan],H1018,Cash_Flow_3[Type],"Out",Cash_Flow_3[Category],"Fix")</f>
        <v>0</v>
      </c>
      <c r="L1018" s="29">
        <f>SUMIFS(Cash_Flow_3[Amount],Cash_Flow_3[Bulan],H1018,Cash_Flow_3[Type],"Out",Cash_Flow_3[Category],"Bathroom")</f>
        <v>0</v>
      </c>
      <c r="M1018" s="29">
        <f>SUMIFS(Cash_Flow_3[Amount],Cash_Flow_3[Bulan],H1018,Cash_Flow_3[Type],"Out",Cash_Flow_3[Category],"Alfa")</f>
        <v>0</v>
      </c>
      <c r="N1018" s="29">
        <f>SUMIFS(Cash_Flow_3[Amount],Cash_Flow_3[Bulan],H1018,Cash_Flow_3[Type],"Out",Cash_Flow_3[Category],"Jajan")</f>
        <v>0</v>
      </c>
      <c r="O1018" s="29">
        <f>SUMIFS(Cash_Flow_3[Amount],Cash_Flow_3[Bulan],H1018,Cash_Flow_3[Type],"Out",Cash_Flow_3[Category],"Kitchen")</f>
        <v>0</v>
      </c>
      <c r="P1018" s="29">
        <f>SUMIFS(Cash_Flow_3[Amount],Cash_Flow_3[Bulan],H1018,Cash_Flow_3[Type],"Out",Cash_Flow_3[Category],"Loandry")</f>
        <v>0</v>
      </c>
      <c r="Q1018" s="29">
        <f>SUMIFS(Cash_Flow_3[Amount],Cash_Flow_3[Bulan],H1018,Cash_Flow_3[Type],"Out",Cash_Flow_3[Category],"Mio")</f>
        <v>0</v>
      </c>
      <c r="R1018" s="29">
        <f>SUMIFS(Cash_Flow_3[Amount],Cash_Flow_3[Bulan],H1018,Cash_Flow_3[Type],"Out",Cash_Flow_3[Category],"Sedekah")</f>
        <v>0</v>
      </c>
      <c r="S1018" s="29">
        <f>SUMIFS(Cash_Flow_3[Amount],Cash_Flow_3[Bulan],H1018,Cash_Flow_3[Type],"Out",Cash_Flow_3[Category],"Zela")</f>
        <v>0</v>
      </c>
      <c r="T1018" s="29">
        <f>SUMIFS(Cash_Flow_3[Amount],Cash_Flow_3[Bulan],H1018,Cash_Flow_3[Type],"Out",Cash_Flow_3[Category],"Iqbal")</f>
        <v>0</v>
      </c>
    </row>
    <row r="1019" spans="1:20" ht="22.5" customHeight="1" x14ac:dyDescent="0.2">
      <c r="A1019" s="23"/>
      <c r="B1019" s="24"/>
      <c r="C1019" s="25"/>
      <c r="D1019" s="25"/>
      <c r="E1019" s="25"/>
      <c r="F1019" s="26"/>
      <c r="G1019" s="27"/>
      <c r="H1019" s="28" t="str">
        <f t="shared" si="0"/>
        <v/>
      </c>
      <c r="I1019" s="29">
        <f>SUMIFS(Cash_Flow_3[Amount],Cash_Flow_3[Bulan],H1019,Cash_Flow_3[Type],"In")</f>
        <v>0</v>
      </c>
      <c r="J1019" s="29">
        <f>SUMIFS(Cash_Flow_3[Amount],Cash_Flow_3[Bulan],H1019,Cash_Flow_3[Type],"Out")</f>
        <v>0</v>
      </c>
      <c r="K1019" s="29">
        <f>SUMIFS(Cash_Flow_3[Amount],Cash_Flow_3[Bulan],H1019,Cash_Flow_3[Type],"Out",Cash_Flow_3[Category],"Fix")</f>
        <v>0</v>
      </c>
      <c r="L1019" s="29">
        <f>SUMIFS(Cash_Flow_3[Amount],Cash_Flow_3[Bulan],H1019,Cash_Flow_3[Type],"Out",Cash_Flow_3[Category],"Bathroom")</f>
        <v>0</v>
      </c>
      <c r="M1019" s="29">
        <f>SUMIFS(Cash_Flow_3[Amount],Cash_Flow_3[Bulan],H1019,Cash_Flow_3[Type],"Out",Cash_Flow_3[Category],"Alfa")</f>
        <v>0</v>
      </c>
      <c r="N1019" s="29">
        <f>SUMIFS(Cash_Flow_3[Amount],Cash_Flow_3[Bulan],H1019,Cash_Flow_3[Type],"Out",Cash_Flow_3[Category],"Jajan")</f>
        <v>0</v>
      </c>
      <c r="O1019" s="29">
        <f>SUMIFS(Cash_Flow_3[Amount],Cash_Flow_3[Bulan],H1019,Cash_Flow_3[Type],"Out",Cash_Flow_3[Category],"Kitchen")</f>
        <v>0</v>
      </c>
      <c r="P1019" s="29">
        <f>SUMIFS(Cash_Flow_3[Amount],Cash_Flow_3[Bulan],H1019,Cash_Flow_3[Type],"Out",Cash_Flow_3[Category],"Loandry")</f>
        <v>0</v>
      </c>
      <c r="Q1019" s="29">
        <f>SUMIFS(Cash_Flow_3[Amount],Cash_Flow_3[Bulan],H1019,Cash_Flow_3[Type],"Out",Cash_Flow_3[Category],"Mio")</f>
        <v>0</v>
      </c>
      <c r="R1019" s="29">
        <f>SUMIFS(Cash_Flow_3[Amount],Cash_Flow_3[Bulan],H1019,Cash_Flow_3[Type],"Out",Cash_Flow_3[Category],"Sedekah")</f>
        <v>0</v>
      </c>
      <c r="S1019" s="29">
        <f>SUMIFS(Cash_Flow_3[Amount],Cash_Flow_3[Bulan],H1019,Cash_Flow_3[Type],"Out",Cash_Flow_3[Category],"Zela")</f>
        <v>0</v>
      </c>
      <c r="T1019" s="29">
        <f>SUMIFS(Cash_Flow_3[Amount],Cash_Flow_3[Bulan],H1019,Cash_Flow_3[Type],"Out",Cash_Flow_3[Category],"Iqbal")</f>
        <v>0</v>
      </c>
    </row>
    <row r="1020" spans="1:20" ht="22.5" customHeight="1" x14ac:dyDescent="0.2">
      <c r="A1020" s="23"/>
      <c r="B1020" s="24"/>
      <c r="C1020" s="25"/>
      <c r="D1020" s="25"/>
      <c r="E1020" s="25"/>
      <c r="F1020" s="26"/>
      <c r="G1020" s="27"/>
      <c r="H1020" s="28" t="str">
        <f t="shared" si="0"/>
        <v/>
      </c>
      <c r="I1020" s="29">
        <f>SUMIFS(Cash_Flow_3[Amount],Cash_Flow_3[Bulan],H1020,Cash_Flow_3[Type],"In")</f>
        <v>0</v>
      </c>
      <c r="J1020" s="29">
        <f>SUMIFS(Cash_Flow_3[Amount],Cash_Flow_3[Bulan],H1020,Cash_Flow_3[Type],"Out")</f>
        <v>0</v>
      </c>
      <c r="K1020" s="29">
        <f>SUMIFS(Cash_Flow_3[Amount],Cash_Flow_3[Bulan],H1020,Cash_Flow_3[Type],"Out",Cash_Flow_3[Category],"Fix")</f>
        <v>0</v>
      </c>
      <c r="L1020" s="29">
        <f>SUMIFS(Cash_Flow_3[Amount],Cash_Flow_3[Bulan],H1020,Cash_Flow_3[Type],"Out",Cash_Flow_3[Category],"Bathroom")</f>
        <v>0</v>
      </c>
      <c r="M1020" s="29">
        <f>SUMIFS(Cash_Flow_3[Amount],Cash_Flow_3[Bulan],H1020,Cash_Flow_3[Type],"Out",Cash_Flow_3[Category],"Alfa")</f>
        <v>0</v>
      </c>
      <c r="N1020" s="29">
        <f>SUMIFS(Cash_Flow_3[Amount],Cash_Flow_3[Bulan],H1020,Cash_Flow_3[Type],"Out",Cash_Flow_3[Category],"Jajan")</f>
        <v>0</v>
      </c>
      <c r="O1020" s="29">
        <f>SUMIFS(Cash_Flow_3[Amount],Cash_Flow_3[Bulan],H1020,Cash_Flow_3[Type],"Out",Cash_Flow_3[Category],"Kitchen")</f>
        <v>0</v>
      </c>
      <c r="P1020" s="29">
        <f>SUMIFS(Cash_Flow_3[Amount],Cash_Flow_3[Bulan],H1020,Cash_Flow_3[Type],"Out",Cash_Flow_3[Category],"Loandry")</f>
        <v>0</v>
      </c>
      <c r="Q1020" s="29">
        <f>SUMIFS(Cash_Flow_3[Amount],Cash_Flow_3[Bulan],H1020,Cash_Flow_3[Type],"Out",Cash_Flow_3[Category],"Mio")</f>
        <v>0</v>
      </c>
      <c r="R1020" s="29">
        <f>SUMIFS(Cash_Flow_3[Amount],Cash_Flow_3[Bulan],H1020,Cash_Flow_3[Type],"Out",Cash_Flow_3[Category],"Sedekah")</f>
        <v>0</v>
      </c>
      <c r="S1020" s="29">
        <f>SUMIFS(Cash_Flow_3[Amount],Cash_Flow_3[Bulan],H1020,Cash_Flow_3[Type],"Out",Cash_Flow_3[Category],"Zela")</f>
        <v>0</v>
      </c>
      <c r="T1020" s="29">
        <f>SUMIFS(Cash_Flow_3[Amount],Cash_Flow_3[Bulan],H1020,Cash_Flow_3[Type],"Out",Cash_Flow_3[Category],"Iqbal")</f>
        <v>0</v>
      </c>
    </row>
    <row r="1021" spans="1:20" ht="22.5" customHeight="1" x14ac:dyDescent="0.2">
      <c r="A1021" s="23"/>
      <c r="B1021" s="24"/>
      <c r="C1021" s="25"/>
      <c r="D1021" s="25"/>
      <c r="E1021" s="25"/>
      <c r="F1021" s="26"/>
      <c r="G1021" s="27"/>
      <c r="H1021" s="28" t="str">
        <f t="shared" si="0"/>
        <v/>
      </c>
      <c r="I1021" s="29">
        <f>SUMIFS(Cash_Flow_3[Amount],Cash_Flow_3[Bulan],H1021,Cash_Flow_3[Type],"In")</f>
        <v>0</v>
      </c>
      <c r="J1021" s="29">
        <f>SUMIFS(Cash_Flow_3[Amount],Cash_Flow_3[Bulan],H1021,Cash_Flow_3[Type],"Out")</f>
        <v>0</v>
      </c>
      <c r="K1021" s="29">
        <f>SUMIFS(Cash_Flow_3[Amount],Cash_Flow_3[Bulan],H1021,Cash_Flow_3[Type],"Out",Cash_Flow_3[Category],"Fix")</f>
        <v>0</v>
      </c>
      <c r="L1021" s="29">
        <f>SUMIFS(Cash_Flow_3[Amount],Cash_Flow_3[Bulan],H1021,Cash_Flow_3[Type],"Out",Cash_Flow_3[Category],"Bathroom")</f>
        <v>0</v>
      </c>
      <c r="M1021" s="29">
        <f>SUMIFS(Cash_Flow_3[Amount],Cash_Flow_3[Bulan],H1021,Cash_Flow_3[Type],"Out",Cash_Flow_3[Category],"Alfa")</f>
        <v>0</v>
      </c>
      <c r="N1021" s="29">
        <f>SUMIFS(Cash_Flow_3[Amount],Cash_Flow_3[Bulan],H1021,Cash_Flow_3[Type],"Out",Cash_Flow_3[Category],"Jajan")</f>
        <v>0</v>
      </c>
      <c r="O1021" s="29">
        <f>SUMIFS(Cash_Flow_3[Amount],Cash_Flow_3[Bulan],H1021,Cash_Flow_3[Type],"Out",Cash_Flow_3[Category],"Kitchen")</f>
        <v>0</v>
      </c>
      <c r="P1021" s="29">
        <f>SUMIFS(Cash_Flow_3[Amount],Cash_Flow_3[Bulan],H1021,Cash_Flow_3[Type],"Out",Cash_Flow_3[Category],"Loandry")</f>
        <v>0</v>
      </c>
      <c r="Q1021" s="29">
        <f>SUMIFS(Cash_Flow_3[Amount],Cash_Flow_3[Bulan],H1021,Cash_Flow_3[Type],"Out",Cash_Flow_3[Category],"Mio")</f>
        <v>0</v>
      </c>
      <c r="R1021" s="29">
        <f>SUMIFS(Cash_Flow_3[Amount],Cash_Flow_3[Bulan],H1021,Cash_Flow_3[Type],"Out",Cash_Flow_3[Category],"Sedekah")</f>
        <v>0</v>
      </c>
      <c r="S1021" s="29">
        <f>SUMIFS(Cash_Flow_3[Amount],Cash_Flow_3[Bulan],H1021,Cash_Flow_3[Type],"Out",Cash_Flow_3[Category],"Zela")</f>
        <v>0</v>
      </c>
      <c r="T1021" s="29">
        <f>SUMIFS(Cash_Flow_3[Amount],Cash_Flow_3[Bulan],H1021,Cash_Flow_3[Type],"Out",Cash_Flow_3[Category],"Iqbal")</f>
        <v>0</v>
      </c>
    </row>
    <row r="1022" spans="1:20" ht="22.5" customHeight="1" x14ac:dyDescent="0.2">
      <c r="A1022" s="23"/>
      <c r="B1022" s="24"/>
      <c r="C1022" s="25"/>
      <c r="D1022" s="25"/>
      <c r="E1022" s="25"/>
      <c r="F1022" s="26"/>
      <c r="G1022" s="27"/>
      <c r="H1022" s="28" t="str">
        <f t="shared" si="0"/>
        <v/>
      </c>
      <c r="I1022" s="29">
        <f>SUMIFS(Cash_Flow_3[Amount],Cash_Flow_3[Bulan],H1022,Cash_Flow_3[Type],"In")</f>
        <v>0</v>
      </c>
      <c r="J1022" s="29">
        <f>SUMIFS(Cash_Flow_3[Amount],Cash_Flow_3[Bulan],H1022,Cash_Flow_3[Type],"Out")</f>
        <v>0</v>
      </c>
      <c r="K1022" s="29">
        <f>SUMIFS(Cash_Flow_3[Amount],Cash_Flow_3[Bulan],H1022,Cash_Flow_3[Type],"Out",Cash_Flow_3[Category],"Fix")</f>
        <v>0</v>
      </c>
      <c r="L1022" s="29">
        <f>SUMIFS(Cash_Flow_3[Amount],Cash_Flow_3[Bulan],H1022,Cash_Flow_3[Type],"Out",Cash_Flow_3[Category],"Bathroom")</f>
        <v>0</v>
      </c>
      <c r="M1022" s="29">
        <f>SUMIFS(Cash_Flow_3[Amount],Cash_Flow_3[Bulan],H1022,Cash_Flow_3[Type],"Out",Cash_Flow_3[Category],"Alfa")</f>
        <v>0</v>
      </c>
      <c r="N1022" s="29">
        <f>SUMIFS(Cash_Flow_3[Amount],Cash_Flow_3[Bulan],H1022,Cash_Flow_3[Type],"Out",Cash_Flow_3[Category],"Jajan")</f>
        <v>0</v>
      </c>
      <c r="O1022" s="29">
        <f>SUMIFS(Cash_Flow_3[Amount],Cash_Flow_3[Bulan],H1022,Cash_Flow_3[Type],"Out",Cash_Flow_3[Category],"Kitchen")</f>
        <v>0</v>
      </c>
      <c r="P1022" s="29">
        <f>SUMIFS(Cash_Flow_3[Amount],Cash_Flow_3[Bulan],H1022,Cash_Flow_3[Type],"Out",Cash_Flow_3[Category],"Loandry")</f>
        <v>0</v>
      </c>
      <c r="Q1022" s="29">
        <f>SUMIFS(Cash_Flow_3[Amount],Cash_Flow_3[Bulan],H1022,Cash_Flow_3[Type],"Out",Cash_Flow_3[Category],"Mio")</f>
        <v>0</v>
      </c>
      <c r="R1022" s="29">
        <f>SUMIFS(Cash_Flow_3[Amount],Cash_Flow_3[Bulan],H1022,Cash_Flow_3[Type],"Out",Cash_Flow_3[Category],"Sedekah")</f>
        <v>0</v>
      </c>
      <c r="S1022" s="29">
        <f>SUMIFS(Cash_Flow_3[Amount],Cash_Flow_3[Bulan],H1022,Cash_Flow_3[Type],"Out",Cash_Flow_3[Category],"Zela")</f>
        <v>0</v>
      </c>
      <c r="T1022" s="29">
        <f>SUMIFS(Cash_Flow_3[Amount],Cash_Flow_3[Bulan],H1022,Cash_Flow_3[Type],"Out",Cash_Flow_3[Category],"Iqbal")</f>
        <v>0</v>
      </c>
    </row>
    <row r="1023" spans="1:20" ht="22.5" customHeight="1" x14ac:dyDescent="0.2">
      <c r="A1023" s="23"/>
      <c r="B1023" s="24"/>
      <c r="C1023" s="25"/>
      <c r="D1023" s="25"/>
      <c r="E1023" s="25"/>
      <c r="F1023" s="26"/>
      <c r="G1023" s="27"/>
      <c r="H1023" s="28" t="str">
        <f t="shared" si="0"/>
        <v/>
      </c>
      <c r="I1023" s="29">
        <f>SUMIFS(Cash_Flow_3[Amount],Cash_Flow_3[Bulan],H1023,Cash_Flow_3[Type],"In")</f>
        <v>0</v>
      </c>
      <c r="J1023" s="29">
        <f>SUMIFS(Cash_Flow_3[Amount],Cash_Flow_3[Bulan],H1023,Cash_Flow_3[Type],"Out")</f>
        <v>0</v>
      </c>
      <c r="K1023" s="29">
        <f>SUMIFS(Cash_Flow_3[Amount],Cash_Flow_3[Bulan],H1023,Cash_Flow_3[Type],"Out",Cash_Flow_3[Category],"Fix")</f>
        <v>0</v>
      </c>
      <c r="L1023" s="29">
        <f>SUMIFS(Cash_Flow_3[Amount],Cash_Flow_3[Bulan],H1023,Cash_Flow_3[Type],"Out",Cash_Flow_3[Category],"Bathroom")</f>
        <v>0</v>
      </c>
      <c r="M1023" s="29">
        <f>SUMIFS(Cash_Flow_3[Amount],Cash_Flow_3[Bulan],H1023,Cash_Flow_3[Type],"Out",Cash_Flow_3[Category],"Alfa")</f>
        <v>0</v>
      </c>
      <c r="N1023" s="29">
        <f>SUMIFS(Cash_Flow_3[Amount],Cash_Flow_3[Bulan],H1023,Cash_Flow_3[Type],"Out",Cash_Flow_3[Category],"Jajan")</f>
        <v>0</v>
      </c>
      <c r="O1023" s="29">
        <f>SUMIFS(Cash_Flow_3[Amount],Cash_Flow_3[Bulan],H1023,Cash_Flow_3[Type],"Out",Cash_Flow_3[Category],"Kitchen")</f>
        <v>0</v>
      </c>
      <c r="P1023" s="29">
        <f>SUMIFS(Cash_Flow_3[Amount],Cash_Flow_3[Bulan],H1023,Cash_Flow_3[Type],"Out",Cash_Flow_3[Category],"Loandry")</f>
        <v>0</v>
      </c>
      <c r="Q1023" s="29">
        <f>SUMIFS(Cash_Flow_3[Amount],Cash_Flow_3[Bulan],H1023,Cash_Flow_3[Type],"Out",Cash_Flow_3[Category],"Mio")</f>
        <v>0</v>
      </c>
      <c r="R1023" s="29">
        <f>SUMIFS(Cash_Flow_3[Amount],Cash_Flow_3[Bulan],H1023,Cash_Flow_3[Type],"Out",Cash_Flow_3[Category],"Sedekah")</f>
        <v>0</v>
      </c>
      <c r="S1023" s="29">
        <f>SUMIFS(Cash_Flow_3[Amount],Cash_Flow_3[Bulan],H1023,Cash_Flow_3[Type],"Out",Cash_Flow_3[Category],"Zela")</f>
        <v>0</v>
      </c>
      <c r="T1023" s="29">
        <f>SUMIFS(Cash_Flow_3[Amount],Cash_Flow_3[Bulan],H1023,Cash_Flow_3[Type],"Out",Cash_Flow_3[Category],"Iqbal")</f>
        <v>0</v>
      </c>
    </row>
    <row r="1024" spans="1:20" ht="22.5" customHeight="1" x14ac:dyDescent="0.2">
      <c r="A1024" s="23"/>
      <c r="B1024" s="24"/>
      <c r="C1024" s="25"/>
      <c r="D1024" s="25"/>
      <c r="E1024" s="25"/>
      <c r="F1024" s="26"/>
      <c r="G1024" s="27"/>
      <c r="H1024" s="28" t="str">
        <f t="shared" si="0"/>
        <v/>
      </c>
      <c r="I1024" s="29">
        <f>SUMIFS(Cash_Flow_3[Amount],Cash_Flow_3[Bulan],H1024,Cash_Flow_3[Type],"In")</f>
        <v>0</v>
      </c>
      <c r="J1024" s="29">
        <f>SUMIFS(Cash_Flow_3[Amount],Cash_Flow_3[Bulan],H1024,Cash_Flow_3[Type],"Out")</f>
        <v>0</v>
      </c>
      <c r="K1024" s="29">
        <f>SUMIFS(Cash_Flow_3[Amount],Cash_Flow_3[Bulan],H1024,Cash_Flow_3[Type],"Out",Cash_Flow_3[Category],"Fix")</f>
        <v>0</v>
      </c>
      <c r="L1024" s="29">
        <f>SUMIFS(Cash_Flow_3[Amount],Cash_Flow_3[Bulan],H1024,Cash_Flow_3[Type],"Out",Cash_Flow_3[Category],"Bathroom")</f>
        <v>0</v>
      </c>
      <c r="M1024" s="29">
        <f>SUMIFS(Cash_Flow_3[Amount],Cash_Flow_3[Bulan],H1024,Cash_Flow_3[Type],"Out",Cash_Flow_3[Category],"Alfa")</f>
        <v>0</v>
      </c>
      <c r="N1024" s="29">
        <f>SUMIFS(Cash_Flow_3[Amount],Cash_Flow_3[Bulan],H1024,Cash_Flow_3[Type],"Out",Cash_Flow_3[Category],"Jajan")</f>
        <v>0</v>
      </c>
      <c r="O1024" s="29">
        <f>SUMIFS(Cash_Flow_3[Amount],Cash_Flow_3[Bulan],H1024,Cash_Flow_3[Type],"Out",Cash_Flow_3[Category],"Kitchen")</f>
        <v>0</v>
      </c>
      <c r="P1024" s="29">
        <f>SUMIFS(Cash_Flow_3[Amount],Cash_Flow_3[Bulan],H1024,Cash_Flow_3[Type],"Out",Cash_Flow_3[Category],"Loandry")</f>
        <v>0</v>
      </c>
      <c r="Q1024" s="29">
        <f>SUMIFS(Cash_Flow_3[Amount],Cash_Flow_3[Bulan],H1024,Cash_Flow_3[Type],"Out",Cash_Flow_3[Category],"Mio")</f>
        <v>0</v>
      </c>
      <c r="R1024" s="29">
        <f>SUMIFS(Cash_Flow_3[Amount],Cash_Flow_3[Bulan],H1024,Cash_Flow_3[Type],"Out",Cash_Flow_3[Category],"Sedekah")</f>
        <v>0</v>
      </c>
      <c r="S1024" s="29">
        <f>SUMIFS(Cash_Flow_3[Amount],Cash_Flow_3[Bulan],H1024,Cash_Flow_3[Type],"Out",Cash_Flow_3[Category],"Zela")</f>
        <v>0</v>
      </c>
      <c r="T1024" s="29">
        <f>SUMIFS(Cash_Flow_3[Amount],Cash_Flow_3[Bulan],H1024,Cash_Flow_3[Type],"Out",Cash_Flow_3[Category],"Iqbal")</f>
        <v>0</v>
      </c>
    </row>
    <row r="1025" spans="1:20" ht="22.5" customHeight="1" x14ac:dyDescent="0.2">
      <c r="A1025" s="23"/>
      <c r="B1025" s="24"/>
      <c r="C1025" s="25"/>
      <c r="D1025" s="25"/>
      <c r="E1025" s="25"/>
      <c r="F1025" s="26"/>
      <c r="G1025" s="27"/>
      <c r="H1025" s="28" t="str">
        <f t="shared" si="0"/>
        <v/>
      </c>
      <c r="I1025" s="29">
        <f>SUMIFS(Cash_Flow_3[Amount],Cash_Flow_3[Bulan],H1025,Cash_Flow_3[Type],"In")</f>
        <v>0</v>
      </c>
      <c r="J1025" s="29">
        <f>SUMIFS(Cash_Flow_3[Amount],Cash_Flow_3[Bulan],H1025,Cash_Flow_3[Type],"Out")</f>
        <v>0</v>
      </c>
      <c r="K1025" s="29">
        <f>SUMIFS(Cash_Flow_3[Amount],Cash_Flow_3[Bulan],H1025,Cash_Flow_3[Type],"Out",Cash_Flow_3[Category],"Fix")</f>
        <v>0</v>
      </c>
      <c r="L1025" s="29">
        <f>SUMIFS(Cash_Flow_3[Amount],Cash_Flow_3[Bulan],H1025,Cash_Flow_3[Type],"Out",Cash_Flow_3[Category],"Bathroom")</f>
        <v>0</v>
      </c>
      <c r="M1025" s="29">
        <f>SUMIFS(Cash_Flow_3[Amount],Cash_Flow_3[Bulan],H1025,Cash_Flow_3[Type],"Out",Cash_Flow_3[Category],"Alfa")</f>
        <v>0</v>
      </c>
      <c r="N1025" s="29">
        <f>SUMIFS(Cash_Flow_3[Amount],Cash_Flow_3[Bulan],H1025,Cash_Flow_3[Type],"Out",Cash_Flow_3[Category],"Jajan")</f>
        <v>0</v>
      </c>
      <c r="O1025" s="29">
        <f>SUMIFS(Cash_Flow_3[Amount],Cash_Flow_3[Bulan],H1025,Cash_Flow_3[Type],"Out",Cash_Flow_3[Category],"Kitchen")</f>
        <v>0</v>
      </c>
      <c r="P1025" s="29">
        <f>SUMIFS(Cash_Flow_3[Amount],Cash_Flow_3[Bulan],H1025,Cash_Flow_3[Type],"Out",Cash_Flow_3[Category],"Loandry")</f>
        <v>0</v>
      </c>
      <c r="Q1025" s="29">
        <f>SUMIFS(Cash_Flow_3[Amount],Cash_Flow_3[Bulan],H1025,Cash_Flow_3[Type],"Out",Cash_Flow_3[Category],"Mio")</f>
        <v>0</v>
      </c>
      <c r="R1025" s="29">
        <f>SUMIFS(Cash_Flow_3[Amount],Cash_Flow_3[Bulan],H1025,Cash_Flow_3[Type],"Out",Cash_Flow_3[Category],"Sedekah")</f>
        <v>0</v>
      </c>
      <c r="S1025" s="29">
        <f>SUMIFS(Cash_Flow_3[Amount],Cash_Flow_3[Bulan],H1025,Cash_Flow_3[Type],"Out",Cash_Flow_3[Category],"Zela")</f>
        <v>0</v>
      </c>
      <c r="T1025" s="29">
        <f>SUMIFS(Cash_Flow_3[Amount],Cash_Flow_3[Bulan],H1025,Cash_Flow_3[Type],"Out",Cash_Flow_3[Category],"Iqbal")</f>
        <v>0</v>
      </c>
    </row>
    <row r="1026" spans="1:20" ht="22.5" customHeight="1" x14ac:dyDescent="0.2">
      <c r="A1026" s="23"/>
      <c r="B1026" s="24"/>
      <c r="C1026" s="25"/>
      <c r="D1026" s="25"/>
      <c r="E1026" s="25"/>
      <c r="F1026" s="26"/>
      <c r="G1026" s="27"/>
      <c r="H1026" s="28" t="str">
        <f t="shared" si="0"/>
        <v/>
      </c>
      <c r="I1026" s="29">
        <f>SUMIFS(Cash_Flow_3[Amount],Cash_Flow_3[Bulan],H1026,Cash_Flow_3[Type],"In")</f>
        <v>0</v>
      </c>
      <c r="J1026" s="29">
        <f>SUMIFS(Cash_Flow_3[Amount],Cash_Flow_3[Bulan],H1026,Cash_Flow_3[Type],"Out")</f>
        <v>0</v>
      </c>
      <c r="K1026" s="29">
        <f>SUMIFS(Cash_Flow_3[Amount],Cash_Flow_3[Bulan],H1026,Cash_Flow_3[Type],"Out",Cash_Flow_3[Category],"Fix")</f>
        <v>0</v>
      </c>
      <c r="L1026" s="29">
        <f>SUMIFS(Cash_Flow_3[Amount],Cash_Flow_3[Bulan],H1026,Cash_Flow_3[Type],"Out",Cash_Flow_3[Category],"Bathroom")</f>
        <v>0</v>
      </c>
      <c r="M1026" s="29">
        <f>SUMIFS(Cash_Flow_3[Amount],Cash_Flow_3[Bulan],H1026,Cash_Flow_3[Type],"Out",Cash_Flow_3[Category],"Alfa")</f>
        <v>0</v>
      </c>
      <c r="N1026" s="29">
        <f>SUMIFS(Cash_Flow_3[Amount],Cash_Flow_3[Bulan],H1026,Cash_Flow_3[Type],"Out",Cash_Flow_3[Category],"Jajan")</f>
        <v>0</v>
      </c>
      <c r="O1026" s="29">
        <f>SUMIFS(Cash_Flow_3[Amount],Cash_Flow_3[Bulan],H1026,Cash_Flow_3[Type],"Out",Cash_Flow_3[Category],"Kitchen")</f>
        <v>0</v>
      </c>
      <c r="P1026" s="29">
        <f>SUMIFS(Cash_Flow_3[Amount],Cash_Flow_3[Bulan],H1026,Cash_Flow_3[Type],"Out",Cash_Flow_3[Category],"Loandry")</f>
        <v>0</v>
      </c>
      <c r="Q1026" s="29">
        <f>SUMIFS(Cash_Flow_3[Amount],Cash_Flow_3[Bulan],H1026,Cash_Flow_3[Type],"Out",Cash_Flow_3[Category],"Mio")</f>
        <v>0</v>
      </c>
      <c r="R1026" s="29">
        <f>SUMIFS(Cash_Flow_3[Amount],Cash_Flow_3[Bulan],H1026,Cash_Flow_3[Type],"Out",Cash_Flow_3[Category],"Sedekah")</f>
        <v>0</v>
      </c>
      <c r="S1026" s="29">
        <f>SUMIFS(Cash_Flow_3[Amount],Cash_Flow_3[Bulan],H1026,Cash_Flow_3[Type],"Out",Cash_Flow_3[Category],"Zela")</f>
        <v>0</v>
      </c>
      <c r="T1026" s="29">
        <f>SUMIFS(Cash_Flow_3[Amount],Cash_Flow_3[Bulan],H1026,Cash_Flow_3[Type],"Out",Cash_Flow_3[Category],"Iqbal")</f>
        <v>0</v>
      </c>
    </row>
    <row r="1027" spans="1:20" ht="22.5" customHeight="1" x14ac:dyDescent="0.2">
      <c r="A1027" s="23"/>
      <c r="B1027" s="24"/>
      <c r="C1027" s="25"/>
      <c r="D1027" s="25"/>
      <c r="E1027" s="25"/>
      <c r="F1027" s="26"/>
      <c r="G1027" s="27"/>
      <c r="H1027" s="28" t="str">
        <f t="shared" si="0"/>
        <v/>
      </c>
      <c r="I1027" s="29">
        <f>SUMIFS(Cash_Flow_3[Amount],Cash_Flow_3[Bulan],H1027,Cash_Flow_3[Type],"In")</f>
        <v>0</v>
      </c>
      <c r="J1027" s="29">
        <f>SUMIFS(Cash_Flow_3[Amount],Cash_Flow_3[Bulan],H1027,Cash_Flow_3[Type],"Out")</f>
        <v>0</v>
      </c>
      <c r="K1027" s="29">
        <f>SUMIFS(Cash_Flow_3[Amount],Cash_Flow_3[Bulan],H1027,Cash_Flow_3[Type],"Out",Cash_Flow_3[Category],"Fix")</f>
        <v>0</v>
      </c>
      <c r="L1027" s="29">
        <f>SUMIFS(Cash_Flow_3[Amount],Cash_Flow_3[Bulan],H1027,Cash_Flow_3[Type],"Out",Cash_Flow_3[Category],"Bathroom")</f>
        <v>0</v>
      </c>
      <c r="M1027" s="29">
        <f>SUMIFS(Cash_Flow_3[Amount],Cash_Flow_3[Bulan],H1027,Cash_Flow_3[Type],"Out",Cash_Flow_3[Category],"Alfa")</f>
        <v>0</v>
      </c>
      <c r="N1027" s="29">
        <f>SUMIFS(Cash_Flow_3[Amount],Cash_Flow_3[Bulan],H1027,Cash_Flow_3[Type],"Out",Cash_Flow_3[Category],"Jajan")</f>
        <v>0</v>
      </c>
      <c r="O1027" s="29">
        <f>SUMIFS(Cash_Flow_3[Amount],Cash_Flow_3[Bulan],H1027,Cash_Flow_3[Type],"Out",Cash_Flow_3[Category],"Kitchen")</f>
        <v>0</v>
      </c>
      <c r="P1027" s="29">
        <f>SUMIFS(Cash_Flow_3[Amount],Cash_Flow_3[Bulan],H1027,Cash_Flow_3[Type],"Out",Cash_Flow_3[Category],"Loandry")</f>
        <v>0</v>
      </c>
      <c r="Q1027" s="29">
        <f>SUMIFS(Cash_Flow_3[Amount],Cash_Flow_3[Bulan],H1027,Cash_Flow_3[Type],"Out",Cash_Flow_3[Category],"Mio")</f>
        <v>0</v>
      </c>
      <c r="R1027" s="29">
        <f>SUMIFS(Cash_Flow_3[Amount],Cash_Flow_3[Bulan],H1027,Cash_Flow_3[Type],"Out",Cash_Flow_3[Category],"Sedekah")</f>
        <v>0</v>
      </c>
      <c r="S1027" s="29">
        <f>SUMIFS(Cash_Flow_3[Amount],Cash_Flow_3[Bulan],H1027,Cash_Flow_3[Type],"Out",Cash_Flow_3[Category],"Zela")</f>
        <v>0</v>
      </c>
      <c r="T1027" s="29">
        <f>SUMIFS(Cash_Flow_3[Amount],Cash_Flow_3[Bulan],H1027,Cash_Flow_3[Type],"Out",Cash_Flow_3[Category],"Iqbal")</f>
        <v>0</v>
      </c>
    </row>
    <row r="1028" spans="1:20" ht="22.5" customHeight="1" x14ac:dyDescent="0.2">
      <c r="A1028" s="23"/>
      <c r="B1028" s="24"/>
      <c r="C1028" s="25"/>
      <c r="D1028" s="25"/>
      <c r="E1028" s="25"/>
      <c r="F1028" s="26"/>
      <c r="G1028" s="27"/>
      <c r="H1028" s="28" t="str">
        <f t="shared" si="0"/>
        <v/>
      </c>
      <c r="I1028" s="29">
        <f>SUMIFS(Cash_Flow_3[Amount],Cash_Flow_3[Bulan],H1028,Cash_Flow_3[Type],"In")</f>
        <v>0</v>
      </c>
      <c r="J1028" s="29">
        <f>SUMIFS(Cash_Flow_3[Amount],Cash_Flow_3[Bulan],H1028,Cash_Flow_3[Type],"Out")</f>
        <v>0</v>
      </c>
      <c r="K1028" s="29">
        <f>SUMIFS(Cash_Flow_3[Amount],Cash_Flow_3[Bulan],H1028,Cash_Flow_3[Type],"Out",Cash_Flow_3[Category],"Fix")</f>
        <v>0</v>
      </c>
      <c r="L1028" s="29">
        <f>SUMIFS(Cash_Flow_3[Amount],Cash_Flow_3[Bulan],H1028,Cash_Flow_3[Type],"Out",Cash_Flow_3[Category],"Bathroom")</f>
        <v>0</v>
      </c>
      <c r="M1028" s="29">
        <f>SUMIFS(Cash_Flow_3[Amount],Cash_Flow_3[Bulan],H1028,Cash_Flow_3[Type],"Out",Cash_Flow_3[Category],"Alfa")</f>
        <v>0</v>
      </c>
      <c r="N1028" s="29">
        <f>SUMIFS(Cash_Flow_3[Amount],Cash_Flow_3[Bulan],H1028,Cash_Flow_3[Type],"Out",Cash_Flow_3[Category],"Jajan")</f>
        <v>0</v>
      </c>
      <c r="O1028" s="29">
        <f>SUMIFS(Cash_Flow_3[Amount],Cash_Flow_3[Bulan],H1028,Cash_Flow_3[Type],"Out",Cash_Flow_3[Category],"Kitchen")</f>
        <v>0</v>
      </c>
      <c r="P1028" s="29">
        <f>SUMIFS(Cash_Flow_3[Amount],Cash_Flow_3[Bulan],H1028,Cash_Flow_3[Type],"Out",Cash_Flow_3[Category],"Loandry")</f>
        <v>0</v>
      </c>
      <c r="Q1028" s="29">
        <f>SUMIFS(Cash_Flow_3[Amount],Cash_Flow_3[Bulan],H1028,Cash_Flow_3[Type],"Out",Cash_Flow_3[Category],"Mio")</f>
        <v>0</v>
      </c>
      <c r="R1028" s="29">
        <f>SUMIFS(Cash_Flow_3[Amount],Cash_Flow_3[Bulan],H1028,Cash_Flow_3[Type],"Out",Cash_Flow_3[Category],"Sedekah")</f>
        <v>0</v>
      </c>
      <c r="S1028" s="29">
        <f>SUMIFS(Cash_Flow_3[Amount],Cash_Flow_3[Bulan],H1028,Cash_Flow_3[Type],"Out",Cash_Flow_3[Category],"Zela")</f>
        <v>0</v>
      </c>
      <c r="T1028" s="29">
        <f>SUMIFS(Cash_Flow_3[Amount],Cash_Flow_3[Bulan],H1028,Cash_Flow_3[Type],"Out",Cash_Flow_3[Category],"Iqbal")</f>
        <v>0</v>
      </c>
    </row>
    <row r="1029" spans="1:20" ht="22.5" customHeight="1" x14ac:dyDescent="0.2">
      <c r="A1029" s="23"/>
      <c r="B1029" s="24"/>
      <c r="C1029" s="25"/>
      <c r="D1029" s="25"/>
      <c r="E1029" s="25"/>
      <c r="F1029" s="26"/>
      <c r="G1029" s="27"/>
      <c r="H1029" s="28" t="str">
        <f t="shared" si="0"/>
        <v/>
      </c>
      <c r="I1029" s="29">
        <f>SUMIFS(Cash_Flow_3[Amount],Cash_Flow_3[Bulan],H1029,Cash_Flow_3[Type],"In")</f>
        <v>0</v>
      </c>
      <c r="J1029" s="29">
        <f>SUMIFS(Cash_Flow_3[Amount],Cash_Flow_3[Bulan],H1029,Cash_Flow_3[Type],"Out")</f>
        <v>0</v>
      </c>
      <c r="K1029" s="29">
        <f>SUMIFS(Cash_Flow_3[Amount],Cash_Flow_3[Bulan],H1029,Cash_Flow_3[Type],"Out",Cash_Flow_3[Category],"Fix")</f>
        <v>0</v>
      </c>
      <c r="L1029" s="29">
        <f>SUMIFS(Cash_Flow_3[Amount],Cash_Flow_3[Bulan],H1029,Cash_Flow_3[Type],"Out",Cash_Flow_3[Category],"Bathroom")</f>
        <v>0</v>
      </c>
      <c r="M1029" s="29">
        <f>SUMIFS(Cash_Flow_3[Amount],Cash_Flow_3[Bulan],H1029,Cash_Flow_3[Type],"Out",Cash_Flow_3[Category],"Alfa")</f>
        <v>0</v>
      </c>
      <c r="N1029" s="29">
        <f>SUMIFS(Cash_Flow_3[Amount],Cash_Flow_3[Bulan],H1029,Cash_Flow_3[Type],"Out",Cash_Flow_3[Category],"Jajan")</f>
        <v>0</v>
      </c>
      <c r="O1029" s="29">
        <f>SUMIFS(Cash_Flow_3[Amount],Cash_Flow_3[Bulan],H1029,Cash_Flow_3[Type],"Out",Cash_Flow_3[Category],"Kitchen")</f>
        <v>0</v>
      </c>
      <c r="P1029" s="29">
        <f>SUMIFS(Cash_Flow_3[Amount],Cash_Flow_3[Bulan],H1029,Cash_Flow_3[Type],"Out",Cash_Flow_3[Category],"Loandry")</f>
        <v>0</v>
      </c>
      <c r="Q1029" s="29">
        <f>SUMIFS(Cash_Flow_3[Amount],Cash_Flow_3[Bulan],H1029,Cash_Flow_3[Type],"Out",Cash_Flow_3[Category],"Mio")</f>
        <v>0</v>
      </c>
      <c r="R1029" s="29">
        <f>SUMIFS(Cash_Flow_3[Amount],Cash_Flow_3[Bulan],H1029,Cash_Flow_3[Type],"Out",Cash_Flow_3[Category],"Sedekah")</f>
        <v>0</v>
      </c>
      <c r="S1029" s="29">
        <f>SUMIFS(Cash_Flow_3[Amount],Cash_Flow_3[Bulan],H1029,Cash_Flow_3[Type],"Out",Cash_Flow_3[Category],"Zela")</f>
        <v>0</v>
      </c>
      <c r="T1029" s="29">
        <f>SUMIFS(Cash_Flow_3[Amount],Cash_Flow_3[Bulan],H1029,Cash_Flow_3[Type],"Out",Cash_Flow_3[Category],"Iqbal")</f>
        <v>0</v>
      </c>
    </row>
    <row r="1030" spans="1:20" ht="22.5" customHeight="1" x14ac:dyDescent="0.2">
      <c r="A1030" s="23"/>
      <c r="B1030" s="24"/>
      <c r="C1030" s="25"/>
      <c r="D1030" s="25"/>
      <c r="E1030" s="25"/>
      <c r="F1030" s="26"/>
      <c r="G1030" s="27"/>
      <c r="H1030" s="28" t="str">
        <f t="shared" si="0"/>
        <v/>
      </c>
      <c r="I1030" s="29">
        <f>SUMIFS(Cash_Flow_3[Amount],Cash_Flow_3[Bulan],H1030,Cash_Flow_3[Type],"In")</f>
        <v>0</v>
      </c>
      <c r="J1030" s="29">
        <f>SUMIFS(Cash_Flow_3[Amount],Cash_Flow_3[Bulan],H1030,Cash_Flow_3[Type],"Out")</f>
        <v>0</v>
      </c>
      <c r="K1030" s="29">
        <f>SUMIFS(Cash_Flow_3[Amount],Cash_Flow_3[Bulan],H1030,Cash_Flow_3[Type],"Out",Cash_Flow_3[Category],"Fix")</f>
        <v>0</v>
      </c>
      <c r="L1030" s="29">
        <f>SUMIFS(Cash_Flow_3[Amount],Cash_Flow_3[Bulan],H1030,Cash_Flow_3[Type],"Out",Cash_Flow_3[Category],"Bathroom")</f>
        <v>0</v>
      </c>
      <c r="M1030" s="29">
        <f>SUMIFS(Cash_Flow_3[Amount],Cash_Flow_3[Bulan],H1030,Cash_Flow_3[Type],"Out",Cash_Flow_3[Category],"Alfa")</f>
        <v>0</v>
      </c>
      <c r="N1030" s="29">
        <f>SUMIFS(Cash_Flow_3[Amount],Cash_Flow_3[Bulan],H1030,Cash_Flow_3[Type],"Out",Cash_Flow_3[Category],"Jajan")</f>
        <v>0</v>
      </c>
      <c r="O1030" s="29">
        <f>SUMIFS(Cash_Flow_3[Amount],Cash_Flow_3[Bulan],H1030,Cash_Flow_3[Type],"Out",Cash_Flow_3[Category],"Kitchen")</f>
        <v>0</v>
      </c>
      <c r="P1030" s="29">
        <f>SUMIFS(Cash_Flow_3[Amount],Cash_Flow_3[Bulan],H1030,Cash_Flow_3[Type],"Out",Cash_Flow_3[Category],"Loandry")</f>
        <v>0</v>
      </c>
      <c r="Q1030" s="29">
        <f>SUMIFS(Cash_Flow_3[Amount],Cash_Flow_3[Bulan],H1030,Cash_Flow_3[Type],"Out",Cash_Flow_3[Category],"Mio")</f>
        <v>0</v>
      </c>
      <c r="R1030" s="29">
        <f>SUMIFS(Cash_Flow_3[Amount],Cash_Flow_3[Bulan],H1030,Cash_Flow_3[Type],"Out",Cash_Flow_3[Category],"Sedekah")</f>
        <v>0</v>
      </c>
      <c r="S1030" s="29">
        <f>SUMIFS(Cash_Flow_3[Amount],Cash_Flow_3[Bulan],H1030,Cash_Flow_3[Type],"Out",Cash_Flow_3[Category],"Zela")</f>
        <v>0</v>
      </c>
      <c r="T1030" s="29">
        <f>SUMIFS(Cash_Flow_3[Amount],Cash_Flow_3[Bulan],H1030,Cash_Flow_3[Type],"Out",Cash_Flow_3[Category],"Iqbal")</f>
        <v>0</v>
      </c>
    </row>
    <row r="1031" spans="1:20" ht="22.5" customHeight="1" x14ac:dyDescent="0.2">
      <c r="A1031" s="23"/>
      <c r="B1031" s="24"/>
      <c r="C1031" s="25"/>
      <c r="D1031" s="25"/>
      <c r="E1031" s="25"/>
      <c r="F1031" s="26"/>
      <c r="G1031" s="27"/>
      <c r="H1031" s="28" t="str">
        <f t="shared" si="0"/>
        <v/>
      </c>
      <c r="I1031" s="29">
        <f>SUMIFS(Cash_Flow_3[Amount],Cash_Flow_3[Bulan],H1031,Cash_Flow_3[Type],"In")</f>
        <v>0</v>
      </c>
      <c r="J1031" s="29">
        <f>SUMIFS(Cash_Flow_3[Amount],Cash_Flow_3[Bulan],H1031,Cash_Flow_3[Type],"Out")</f>
        <v>0</v>
      </c>
      <c r="K1031" s="29">
        <f>SUMIFS(Cash_Flow_3[Amount],Cash_Flow_3[Bulan],H1031,Cash_Flow_3[Type],"Out",Cash_Flow_3[Category],"Fix")</f>
        <v>0</v>
      </c>
      <c r="L1031" s="29">
        <f>SUMIFS(Cash_Flow_3[Amount],Cash_Flow_3[Bulan],H1031,Cash_Flow_3[Type],"Out",Cash_Flow_3[Category],"Bathroom")</f>
        <v>0</v>
      </c>
      <c r="M1031" s="29">
        <f>SUMIFS(Cash_Flow_3[Amount],Cash_Flow_3[Bulan],H1031,Cash_Flow_3[Type],"Out",Cash_Flow_3[Category],"Alfa")</f>
        <v>0</v>
      </c>
      <c r="N1031" s="29">
        <f>SUMIFS(Cash_Flow_3[Amount],Cash_Flow_3[Bulan],H1031,Cash_Flow_3[Type],"Out",Cash_Flow_3[Category],"Jajan")</f>
        <v>0</v>
      </c>
      <c r="O1031" s="29">
        <f>SUMIFS(Cash_Flow_3[Amount],Cash_Flow_3[Bulan],H1031,Cash_Flow_3[Type],"Out",Cash_Flow_3[Category],"Kitchen")</f>
        <v>0</v>
      </c>
      <c r="P1031" s="29">
        <f>SUMIFS(Cash_Flow_3[Amount],Cash_Flow_3[Bulan],H1031,Cash_Flow_3[Type],"Out",Cash_Flow_3[Category],"Loandry")</f>
        <v>0</v>
      </c>
      <c r="Q1031" s="29">
        <f>SUMIFS(Cash_Flow_3[Amount],Cash_Flow_3[Bulan],H1031,Cash_Flow_3[Type],"Out",Cash_Flow_3[Category],"Mio")</f>
        <v>0</v>
      </c>
      <c r="R1031" s="29">
        <f>SUMIFS(Cash_Flow_3[Amount],Cash_Flow_3[Bulan],H1031,Cash_Flow_3[Type],"Out",Cash_Flow_3[Category],"Sedekah")</f>
        <v>0</v>
      </c>
      <c r="S1031" s="29">
        <f>SUMIFS(Cash_Flow_3[Amount],Cash_Flow_3[Bulan],H1031,Cash_Flow_3[Type],"Out",Cash_Flow_3[Category],"Zela")</f>
        <v>0</v>
      </c>
      <c r="T1031" s="29">
        <f>SUMIFS(Cash_Flow_3[Amount],Cash_Flow_3[Bulan],H1031,Cash_Flow_3[Type],"Out",Cash_Flow_3[Category],"Iqbal")</f>
        <v>0</v>
      </c>
    </row>
    <row r="1032" spans="1:20" ht="22.5" customHeight="1" x14ac:dyDescent="0.2">
      <c r="A1032" s="23"/>
      <c r="B1032" s="24"/>
      <c r="C1032" s="25"/>
      <c r="D1032" s="25"/>
      <c r="E1032" s="25"/>
      <c r="F1032" s="26"/>
      <c r="G1032" s="27"/>
      <c r="H1032" s="28" t="str">
        <f t="shared" si="0"/>
        <v/>
      </c>
      <c r="I1032" s="29">
        <f>SUMIFS(Cash_Flow_3[Amount],Cash_Flow_3[Bulan],H1032,Cash_Flow_3[Type],"In")</f>
        <v>0</v>
      </c>
      <c r="J1032" s="29">
        <f>SUMIFS(Cash_Flow_3[Amount],Cash_Flow_3[Bulan],H1032,Cash_Flow_3[Type],"Out")</f>
        <v>0</v>
      </c>
      <c r="K1032" s="29">
        <f>SUMIFS(Cash_Flow_3[Amount],Cash_Flow_3[Bulan],H1032,Cash_Flow_3[Type],"Out",Cash_Flow_3[Category],"Fix")</f>
        <v>0</v>
      </c>
      <c r="L1032" s="29">
        <f>SUMIFS(Cash_Flow_3[Amount],Cash_Flow_3[Bulan],H1032,Cash_Flow_3[Type],"Out",Cash_Flow_3[Category],"Bathroom")</f>
        <v>0</v>
      </c>
      <c r="M1032" s="29">
        <f>SUMIFS(Cash_Flow_3[Amount],Cash_Flow_3[Bulan],H1032,Cash_Flow_3[Type],"Out",Cash_Flow_3[Category],"Alfa")</f>
        <v>0</v>
      </c>
      <c r="N1032" s="29">
        <f>SUMIFS(Cash_Flow_3[Amount],Cash_Flow_3[Bulan],H1032,Cash_Flow_3[Type],"Out",Cash_Flow_3[Category],"Jajan")</f>
        <v>0</v>
      </c>
      <c r="O1032" s="29">
        <f>SUMIFS(Cash_Flow_3[Amount],Cash_Flow_3[Bulan],H1032,Cash_Flow_3[Type],"Out",Cash_Flow_3[Category],"Kitchen")</f>
        <v>0</v>
      </c>
      <c r="P1032" s="29">
        <f>SUMIFS(Cash_Flow_3[Amount],Cash_Flow_3[Bulan],H1032,Cash_Flow_3[Type],"Out",Cash_Flow_3[Category],"Loandry")</f>
        <v>0</v>
      </c>
      <c r="Q1032" s="29">
        <f>SUMIFS(Cash_Flow_3[Amount],Cash_Flow_3[Bulan],H1032,Cash_Flow_3[Type],"Out",Cash_Flow_3[Category],"Mio")</f>
        <v>0</v>
      </c>
      <c r="R1032" s="29">
        <f>SUMIFS(Cash_Flow_3[Amount],Cash_Flow_3[Bulan],H1032,Cash_Flow_3[Type],"Out",Cash_Flow_3[Category],"Sedekah")</f>
        <v>0</v>
      </c>
      <c r="S1032" s="29">
        <f>SUMIFS(Cash_Flow_3[Amount],Cash_Flow_3[Bulan],H1032,Cash_Flow_3[Type],"Out",Cash_Flow_3[Category],"Zela")</f>
        <v>0</v>
      </c>
      <c r="T1032" s="29">
        <f>SUMIFS(Cash_Flow_3[Amount],Cash_Flow_3[Bulan],H1032,Cash_Flow_3[Type],"Out",Cash_Flow_3[Category],"Iqbal")</f>
        <v>0</v>
      </c>
    </row>
    <row r="1033" spans="1:20" ht="22.5" customHeight="1" x14ac:dyDescent="0.2">
      <c r="A1033" s="23"/>
      <c r="B1033" s="24"/>
      <c r="C1033" s="25"/>
      <c r="D1033" s="25"/>
      <c r="E1033" s="25"/>
      <c r="F1033" s="26"/>
      <c r="G1033" s="27"/>
      <c r="H1033" s="28" t="str">
        <f t="shared" si="0"/>
        <v/>
      </c>
      <c r="I1033" s="29">
        <f>SUMIFS(Cash_Flow_3[Amount],Cash_Flow_3[Bulan],H1033,Cash_Flow_3[Type],"In")</f>
        <v>0</v>
      </c>
      <c r="J1033" s="29">
        <f>SUMIFS(Cash_Flow_3[Amount],Cash_Flow_3[Bulan],H1033,Cash_Flow_3[Type],"Out")</f>
        <v>0</v>
      </c>
      <c r="K1033" s="29">
        <f>SUMIFS(Cash_Flow_3[Amount],Cash_Flow_3[Bulan],H1033,Cash_Flow_3[Type],"Out",Cash_Flow_3[Category],"Fix")</f>
        <v>0</v>
      </c>
      <c r="L1033" s="29">
        <f>SUMIFS(Cash_Flow_3[Amount],Cash_Flow_3[Bulan],H1033,Cash_Flow_3[Type],"Out",Cash_Flow_3[Category],"Bathroom")</f>
        <v>0</v>
      </c>
      <c r="M1033" s="29">
        <f>SUMIFS(Cash_Flow_3[Amount],Cash_Flow_3[Bulan],H1033,Cash_Flow_3[Type],"Out",Cash_Flow_3[Category],"Alfa")</f>
        <v>0</v>
      </c>
      <c r="N1033" s="29">
        <f>SUMIFS(Cash_Flow_3[Amount],Cash_Flow_3[Bulan],H1033,Cash_Flow_3[Type],"Out",Cash_Flow_3[Category],"Jajan")</f>
        <v>0</v>
      </c>
      <c r="O1033" s="29">
        <f>SUMIFS(Cash_Flow_3[Amount],Cash_Flow_3[Bulan],H1033,Cash_Flow_3[Type],"Out",Cash_Flow_3[Category],"Kitchen")</f>
        <v>0</v>
      </c>
      <c r="P1033" s="29">
        <f>SUMIFS(Cash_Flow_3[Amount],Cash_Flow_3[Bulan],H1033,Cash_Flow_3[Type],"Out",Cash_Flow_3[Category],"Loandry")</f>
        <v>0</v>
      </c>
      <c r="Q1033" s="29">
        <f>SUMIFS(Cash_Flow_3[Amount],Cash_Flow_3[Bulan],H1033,Cash_Flow_3[Type],"Out",Cash_Flow_3[Category],"Mio")</f>
        <v>0</v>
      </c>
      <c r="R1033" s="29">
        <f>SUMIFS(Cash_Flow_3[Amount],Cash_Flow_3[Bulan],H1033,Cash_Flow_3[Type],"Out",Cash_Flow_3[Category],"Sedekah")</f>
        <v>0</v>
      </c>
      <c r="S1033" s="29">
        <f>SUMIFS(Cash_Flow_3[Amount],Cash_Flow_3[Bulan],H1033,Cash_Flow_3[Type],"Out",Cash_Flow_3[Category],"Zela")</f>
        <v>0</v>
      </c>
      <c r="T1033" s="29">
        <f>SUMIFS(Cash_Flow_3[Amount],Cash_Flow_3[Bulan],H1033,Cash_Flow_3[Type],"Out",Cash_Flow_3[Category],"Iqbal")</f>
        <v>0</v>
      </c>
    </row>
    <row r="1034" spans="1:20" ht="22.5" customHeight="1" x14ac:dyDescent="0.2">
      <c r="A1034" s="23"/>
      <c r="B1034" s="24"/>
      <c r="C1034" s="25"/>
      <c r="D1034" s="25"/>
      <c r="E1034" s="25"/>
      <c r="F1034" s="26"/>
      <c r="G1034" s="27"/>
      <c r="H1034" s="28" t="str">
        <f t="shared" si="0"/>
        <v/>
      </c>
      <c r="I1034" s="29">
        <f>SUMIFS(Cash_Flow_3[Amount],Cash_Flow_3[Bulan],H1034,Cash_Flow_3[Type],"In")</f>
        <v>0</v>
      </c>
      <c r="J1034" s="29">
        <f>SUMIFS(Cash_Flow_3[Amount],Cash_Flow_3[Bulan],H1034,Cash_Flow_3[Type],"Out")</f>
        <v>0</v>
      </c>
      <c r="K1034" s="29">
        <f>SUMIFS(Cash_Flow_3[Amount],Cash_Flow_3[Bulan],H1034,Cash_Flow_3[Type],"Out",Cash_Flow_3[Category],"Fix")</f>
        <v>0</v>
      </c>
      <c r="L1034" s="29">
        <f>SUMIFS(Cash_Flow_3[Amount],Cash_Flow_3[Bulan],H1034,Cash_Flow_3[Type],"Out",Cash_Flow_3[Category],"Bathroom")</f>
        <v>0</v>
      </c>
      <c r="M1034" s="29">
        <f>SUMIFS(Cash_Flow_3[Amount],Cash_Flow_3[Bulan],H1034,Cash_Flow_3[Type],"Out",Cash_Flow_3[Category],"Alfa")</f>
        <v>0</v>
      </c>
      <c r="N1034" s="29">
        <f>SUMIFS(Cash_Flow_3[Amount],Cash_Flow_3[Bulan],H1034,Cash_Flow_3[Type],"Out",Cash_Flow_3[Category],"Jajan")</f>
        <v>0</v>
      </c>
      <c r="O1034" s="29">
        <f>SUMIFS(Cash_Flow_3[Amount],Cash_Flow_3[Bulan],H1034,Cash_Flow_3[Type],"Out",Cash_Flow_3[Category],"Kitchen")</f>
        <v>0</v>
      </c>
      <c r="P1034" s="29">
        <f>SUMIFS(Cash_Flow_3[Amount],Cash_Flow_3[Bulan],H1034,Cash_Flow_3[Type],"Out",Cash_Flow_3[Category],"Loandry")</f>
        <v>0</v>
      </c>
      <c r="Q1034" s="29">
        <f>SUMIFS(Cash_Flow_3[Amount],Cash_Flow_3[Bulan],H1034,Cash_Flow_3[Type],"Out",Cash_Flow_3[Category],"Mio")</f>
        <v>0</v>
      </c>
      <c r="R1034" s="29">
        <f>SUMIFS(Cash_Flow_3[Amount],Cash_Flow_3[Bulan],H1034,Cash_Flow_3[Type],"Out",Cash_Flow_3[Category],"Sedekah")</f>
        <v>0</v>
      </c>
      <c r="S1034" s="29">
        <f>SUMIFS(Cash_Flow_3[Amount],Cash_Flow_3[Bulan],H1034,Cash_Flow_3[Type],"Out",Cash_Flow_3[Category],"Zela")</f>
        <v>0</v>
      </c>
      <c r="T1034" s="29">
        <f>SUMIFS(Cash_Flow_3[Amount],Cash_Flow_3[Bulan],H1034,Cash_Flow_3[Type],"Out",Cash_Flow_3[Category],"Iqbal")</f>
        <v>0</v>
      </c>
    </row>
    <row r="1035" spans="1:20" ht="22.5" customHeight="1" x14ac:dyDescent="0.2">
      <c r="A1035" s="23"/>
      <c r="B1035" s="24"/>
      <c r="C1035" s="25"/>
      <c r="D1035" s="25"/>
      <c r="E1035" s="25"/>
      <c r="F1035" s="26"/>
      <c r="G1035" s="27"/>
      <c r="H1035" s="28" t="str">
        <f t="shared" si="0"/>
        <v/>
      </c>
      <c r="I1035" s="29">
        <f>SUMIFS(Cash_Flow_3[Amount],Cash_Flow_3[Bulan],H1035,Cash_Flow_3[Type],"In")</f>
        <v>0</v>
      </c>
      <c r="J1035" s="29">
        <f>SUMIFS(Cash_Flow_3[Amount],Cash_Flow_3[Bulan],H1035,Cash_Flow_3[Type],"Out")</f>
        <v>0</v>
      </c>
      <c r="K1035" s="29">
        <f>SUMIFS(Cash_Flow_3[Amount],Cash_Flow_3[Bulan],H1035,Cash_Flow_3[Type],"Out",Cash_Flow_3[Category],"Fix")</f>
        <v>0</v>
      </c>
      <c r="L1035" s="29">
        <f>SUMIFS(Cash_Flow_3[Amount],Cash_Flow_3[Bulan],H1035,Cash_Flow_3[Type],"Out",Cash_Flow_3[Category],"Bathroom")</f>
        <v>0</v>
      </c>
      <c r="M1035" s="29">
        <f>SUMIFS(Cash_Flow_3[Amount],Cash_Flow_3[Bulan],H1035,Cash_Flow_3[Type],"Out",Cash_Flow_3[Category],"Alfa")</f>
        <v>0</v>
      </c>
      <c r="N1035" s="29">
        <f>SUMIFS(Cash_Flow_3[Amount],Cash_Flow_3[Bulan],H1035,Cash_Flow_3[Type],"Out",Cash_Flow_3[Category],"Jajan")</f>
        <v>0</v>
      </c>
      <c r="O1035" s="29">
        <f>SUMIFS(Cash_Flow_3[Amount],Cash_Flow_3[Bulan],H1035,Cash_Flow_3[Type],"Out",Cash_Flow_3[Category],"Kitchen")</f>
        <v>0</v>
      </c>
      <c r="P1035" s="29">
        <f>SUMIFS(Cash_Flow_3[Amount],Cash_Flow_3[Bulan],H1035,Cash_Flow_3[Type],"Out",Cash_Flow_3[Category],"Loandry")</f>
        <v>0</v>
      </c>
      <c r="Q1035" s="29">
        <f>SUMIFS(Cash_Flow_3[Amount],Cash_Flow_3[Bulan],H1035,Cash_Flow_3[Type],"Out",Cash_Flow_3[Category],"Mio")</f>
        <v>0</v>
      </c>
      <c r="R1035" s="29">
        <f>SUMIFS(Cash_Flow_3[Amount],Cash_Flow_3[Bulan],H1035,Cash_Flow_3[Type],"Out",Cash_Flow_3[Category],"Sedekah")</f>
        <v>0</v>
      </c>
      <c r="S1035" s="29">
        <f>SUMIFS(Cash_Flow_3[Amount],Cash_Flow_3[Bulan],H1035,Cash_Flow_3[Type],"Out",Cash_Flow_3[Category],"Zela")</f>
        <v>0</v>
      </c>
      <c r="T1035" s="29">
        <f>SUMIFS(Cash_Flow_3[Amount],Cash_Flow_3[Bulan],H1035,Cash_Flow_3[Type],"Out",Cash_Flow_3[Category],"Iqbal")</f>
        <v>0</v>
      </c>
    </row>
    <row r="1036" spans="1:20" ht="22.5" customHeight="1" x14ac:dyDescent="0.2">
      <c r="A1036" s="23"/>
      <c r="B1036" s="24"/>
      <c r="C1036" s="25"/>
      <c r="D1036" s="25"/>
      <c r="E1036" s="25"/>
      <c r="F1036" s="26"/>
      <c r="G1036" s="27"/>
      <c r="H1036" s="28" t="str">
        <f t="shared" si="0"/>
        <v/>
      </c>
      <c r="I1036" s="29">
        <f>SUMIFS(Cash_Flow_3[Amount],Cash_Flow_3[Bulan],H1036,Cash_Flow_3[Type],"In")</f>
        <v>0</v>
      </c>
      <c r="J1036" s="29">
        <f>SUMIFS(Cash_Flow_3[Amount],Cash_Flow_3[Bulan],H1036,Cash_Flow_3[Type],"Out")</f>
        <v>0</v>
      </c>
      <c r="K1036" s="29">
        <f>SUMIFS(Cash_Flow_3[Amount],Cash_Flow_3[Bulan],H1036,Cash_Flow_3[Type],"Out",Cash_Flow_3[Category],"Fix")</f>
        <v>0</v>
      </c>
      <c r="L1036" s="29">
        <f>SUMIFS(Cash_Flow_3[Amount],Cash_Flow_3[Bulan],H1036,Cash_Flow_3[Type],"Out",Cash_Flow_3[Category],"Bathroom")</f>
        <v>0</v>
      </c>
      <c r="M1036" s="29">
        <f>SUMIFS(Cash_Flow_3[Amount],Cash_Flow_3[Bulan],H1036,Cash_Flow_3[Type],"Out",Cash_Flow_3[Category],"Alfa")</f>
        <v>0</v>
      </c>
      <c r="N1036" s="29">
        <f>SUMIFS(Cash_Flow_3[Amount],Cash_Flow_3[Bulan],H1036,Cash_Flow_3[Type],"Out",Cash_Flow_3[Category],"Jajan")</f>
        <v>0</v>
      </c>
      <c r="O1036" s="29">
        <f>SUMIFS(Cash_Flow_3[Amount],Cash_Flow_3[Bulan],H1036,Cash_Flow_3[Type],"Out",Cash_Flow_3[Category],"Kitchen")</f>
        <v>0</v>
      </c>
      <c r="P1036" s="29">
        <f>SUMIFS(Cash_Flow_3[Amount],Cash_Flow_3[Bulan],H1036,Cash_Flow_3[Type],"Out",Cash_Flow_3[Category],"Loandry")</f>
        <v>0</v>
      </c>
      <c r="Q1036" s="29">
        <f>SUMIFS(Cash_Flow_3[Amount],Cash_Flow_3[Bulan],H1036,Cash_Flow_3[Type],"Out",Cash_Flow_3[Category],"Mio")</f>
        <v>0</v>
      </c>
      <c r="R1036" s="29">
        <f>SUMIFS(Cash_Flow_3[Amount],Cash_Flow_3[Bulan],H1036,Cash_Flow_3[Type],"Out",Cash_Flow_3[Category],"Sedekah")</f>
        <v>0</v>
      </c>
      <c r="S1036" s="29">
        <f>SUMIFS(Cash_Flow_3[Amount],Cash_Flow_3[Bulan],H1036,Cash_Flow_3[Type],"Out",Cash_Flow_3[Category],"Zela")</f>
        <v>0</v>
      </c>
      <c r="T1036" s="29">
        <f>SUMIFS(Cash_Flow_3[Amount],Cash_Flow_3[Bulan],H1036,Cash_Flow_3[Type],"Out",Cash_Flow_3[Category],"Iqbal")</f>
        <v>0</v>
      </c>
    </row>
    <row r="1037" spans="1:20" ht="22.5" customHeight="1" x14ac:dyDescent="0.2">
      <c r="A1037" s="23"/>
      <c r="B1037" s="24"/>
      <c r="C1037" s="25"/>
      <c r="D1037" s="25"/>
      <c r="E1037" s="25"/>
      <c r="F1037" s="26"/>
      <c r="G1037" s="27"/>
      <c r="H1037" s="28" t="str">
        <f t="shared" si="0"/>
        <v/>
      </c>
      <c r="I1037" s="29">
        <f>SUMIFS(Cash_Flow_3[Amount],Cash_Flow_3[Bulan],H1037,Cash_Flow_3[Type],"In")</f>
        <v>0</v>
      </c>
      <c r="J1037" s="29">
        <f>SUMIFS(Cash_Flow_3[Amount],Cash_Flow_3[Bulan],H1037,Cash_Flow_3[Type],"Out")</f>
        <v>0</v>
      </c>
      <c r="K1037" s="29">
        <f>SUMIFS(Cash_Flow_3[Amount],Cash_Flow_3[Bulan],H1037,Cash_Flow_3[Type],"Out",Cash_Flow_3[Category],"Fix")</f>
        <v>0</v>
      </c>
      <c r="L1037" s="29">
        <f>SUMIFS(Cash_Flow_3[Amount],Cash_Flow_3[Bulan],H1037,Cash_Flow_3[Type],"Out",Cash_Flow_3[Category],"Bathroom")</f>
        <v>0</v>
      </c>
      <c r="M1037" s="29">
        <f>SUMIFS(Cash_Flow_3[Amount],Cash_Flow_3[Bulan],H1037,Cash_Flow_3[Type],"Out",Cash_Flow_3[Category],"Alfa")</f>
        <v>0</v>
      </c>
      <c r="N1037" s="29">
        <f>SUMIFS(Cash_Flow_3[Amount],Cash_Flow_3[Bulan],H1037,Cash_Flow_3[Type],"Out",Cash_Flow_3[Category],"Jajan")</f>
        <v>0</v>
      </c>
      <c r="O1037" s="29">
        <f>SUMIFS(Cash_Flow_3[Amount],Cash_Flow_3[Bulan],H1037,Cash_Flow_3[Type],"Out",Cash_Flow_3[Category],"Kitchen")</f>
        <v>0</v>
      </c>
      <c r="P1037" s="29">
        <f>SUMIFS(Cash_Flow_3[Amount],Cash_Flow_3[Bulan],H1037,Cash_Flow_3[Type],"Out",Cash_Flow_3[Category],"Loandry")</f>
        <v>0</v>
      </c>
      <c r="Q1037" s="29">
        <f>SUMIFS(Cash_Flow_3[Amount],Cash_Flow_3[Bulan],H1037,Cash_Flow_3[Type],"Out",Cash_Flow_3[Category],"Mio")</f>
        <v>0</v>
      </c>
      <c r="R1037" s="29">
        <f>SUMIFS(Cash_Flow_3[Amount],Cash_Flow_3[Bulan],H1037,Cash_Flow_3[Type],"Out",Cash_Flow_3[Category],"Sedekah")</f>
        <v>0</v>
      </c>
      <c r="S1037" s="29">
        <f>SUMIFS(Cash_Flow_3[Amount],Cash_Flow_3[Bulan],H1037,Cash_Flow_3[Type],"Out",Cash_Flow_3[Category],"Zela")</f>
        <v>0</v>
      </c>
      <c r="T1037" s="29">
        <f>SUMIFS(Cash_Flow_3[Amount],Cash_Flow_3[Bulan],H1037,Cash_Flow_3[Type],"Out",Cash_Flow_3[Category],"Iqbal")</f>
        <v>0</v>
      </c>
    </row>
    <row r="1038" spans="1:20" ht="22.5" customHeight="1" x14ac:dyDescent="0.2">
      <c r="A1038" s="23"/>
      <c r="B1038" s="24"/>
      <c r="C1038" s="25"/>
      <c r="D1038" s="25"/>
      <c r="E1038" s="25"/>
      <c r="F1038" s="26"/>
      <c r="G1038" s="27"/>
      <c r="H1038" s="28" t="str">
        <f t="shared" si="0"/>
        <v/>
      </c>
      <c r="I1038" s="29">
        <f>SUMIFS(Cash_Flow_3[Amount],Cash_Flow_3[Bulan],H1038,Cash_Flow_3[Type],"In")</f>
        <v>0</v>
      </c>
      <c r="J1038" s="29">
        <f>SUMIFS(Cash_Flow_3[Amount],Cash_Flow_3[Bulan],H1038,Cash_Flow_3[Type],"Out")</f>
        <v>0</v>
      </c>
      <c r="K1038" s="29">
        <f>SUMIFS(Cash_Flow_3[Amount],Cash_Flow_3[Bulan],H1038,Cash_Flow_3[Type],"Out",Cash_Flow_3[Category],"Fix")</f>
        <v>0</v>
      </c>
      <c r="L1038" s="29">
        <f>SUMIFS(Cash_Flow_3[Amount],Cash_Flow_3[Bulan],H1038,Cash_Flow_3[Type],"Out",Cash_Flow_3[Category],"Bathroom")</f>
        <v>0</v>
      </c>
      <c r="M1038" s="29">
        <f>SUMIFS(Cash_Flow_3[Amount],Cash_Flow_3[Bulan],H1038,Cash_Flow_3[Type],"Out",Cash_Flow_3[Category],"Alfa")</f>
        <v>0</v>
      </c>
      <c r="N1038" s="29">
        <f>SUMIFS(Cash_Flow_3[Amount],Cash_Flow_3[Bulan],H1038,Cash_Flow_3[Type],"Out",Cash_Flow_3[Category],"Jajan")</f>
        <v>0</v>
      </c>
      <c r="O1038" s="29">
        <f>SUMIFS(Cash_Flow_3[Amount],Cash_Flow_3[Bulan],H1038,Cash_Flow_3[Type],"Out",Cash_Flow_3[Category],"Kitchen")</f>
        <v>0</v>
      </c>
      <c r="P1038" s="29">
        <f>SUMIFS(Cash_Flow_3[Amount],Cash_Flow_3[Bulan],H1038,Cash_Flow_3[Type],"Out",Cash_Flow_3[Category],"Loandry")</f>
        <v>0</v>
      </c>
      <c r="Q1038" s="29">
        <f>SUMIFS(Cash_Flow_3[Amount],Cash_Flow_3[Bulan],H1038,Cash_Flow_3[Type],"Out",Cash_Flow_3[Category],"Mio")</f>
        <v>0</v>
      </c>
      <c r="R1038" s="29">
        <f>SUMIFS(Cash_Flow_3[Amount],Cash_Flow_3[Bulan],H1038,Cash_Flow_3[Type],"Out",Cash_Flow_3[Category],"Sedekah")</f>
        <v>0</v>
      </c>
      <c r="S1038" s="29">
        <f>SUMIFS(Cash_Flow_3[Amount],Cash_Flow_3[Bulan],H1038,Cash_Flow_3[Type],"Out",Cash_Flow_3[Category],"Zela")</f>
        <v>0</v>
      </c>
      <c r="T1038" s="29">
        <f>SUMIFS(Cash_Flow_3[Amount],Cash_Flow_3[Bulan],H1038,Cash_Flow_3[Type],"Out",Cash_Flow_3[Category],"Iqbal")</f>
        <v>0</v>
      </c>
    </row>
    <row r="1039" spans="1:20" ht="22.5" customHeight="1" x14ac:dyDescent="0.2">
      <c r="A1039" s="23"/>
      <c r="B1039" s="24"/>
      <c r="C1039" s="25"/>
      <c r="D1039" s="25"/>
      <c r="E1039" s="25"/>
      <c r="F1039" s="26"/>
      <c r="G1039" s="27"/>
      <c r="H1039" s="28" t="str">
        <f t="shared" si="0"/>
        <v/>
      </c>
      <c r="I1039" s="29">
        <f>SUMIFS(Cash_Flow_3[Amount],Cash_Flow_3[Bulan],H1039,Cash_Flow_3[Type],"In")</f>
        <v>0</v>
      </c>
      <c r="J1039" s="29">
        <f>SUMIFS(Cash_Flow_3[Amount],Cash_Flow_3[Bulan],H1039,Cash_Flow_3[Type],"Out")</f>
        <v>0</v>
      </c>
      <c r="K1039" s="29">
        <f>SUMIFS(Cash_Flow_3[Amount],Cash_Flow_3[Bulan],H1039,Cash_Flow_3[Type],"Out",Cash_Flow_3[Category],"Fix")</f>
        <v>0</v>
      </c>
      <c r="L1039" s="29">
        <f>SUMIFS(Cash_Flow_3[Amount],Cash_Flow_3[Bulan],H1039,Cash_Flow_3[Type],"Out",Cash_Flow_3[Category],"Bathroom")</f>
        <v>0</v>
      </c>
      <c r="M1039" s="29">
        <f>SUMIFS(Cash_Flow_3[Amount],Cash_Flow_3[Bulan],H1039,Cash_Flow_3[Type],"Out",Cash_Flow_3[Category],"Alfa")</f>
        <v>0</v>
      </c>
      <c r="N1039" s="29">
        <f>SUMIFS(Cash_Flow_3[Amount],Cash_Flow_3[Bulan],H1039,Cash_Flow_3[Type],"Out",Cash_Flow_3[Category],"Jajan")</f>
        <v>0</v>
      </c>
      <c r="O1039" s="29">
        <f>SUMIFS(Cash_Flow_3[Amount],Cash_Flow_3[Bulan],H1039,Cash_Flow_3[Type],"Out",Cash_Flow_3[Category],"Kitchen")</f>
        <v>0</v>
      </c>
      <c r="P1039" s="29">
        <f>SUMIFS(Cash_Flow_3[Amount],Cash_Flow_3[Bulan],H1039,Cash_Flow_3[Type],"Out",Cash_Flow_3[Category],"Loandry")</f>
        <v>0</v>
      </c>
      <c r="Q1039" s="29">
        <f>SUMIFS(Cash_Flow_3[Amount],Cash_Flow_3[Bulan],H1039,Cash_Flow_3[Type],"Out",Cash_Flow_3[Category],"Mio")</f>
        <v>0</v>
      </c>
      <c r="R1039" s="29">
        <f>SUMIFS(Cash_Flow_3[Amount],Cash_Flow_3[Bulan],H1039,Cash_Flow_3[Type],"Out",Cash_Flow_3[Category],"Sedekah")</f>
        <v>0</v>
      </c>
      <c r="S1039" s="29">
        <f>SUMIFS(Cash_Flow_3[Amount],Cash_Flow_3[Bulan],H1039,Cash_Flow_3[Type],"Out",Cash_Flow_3[Category],"Zela")</f>
        <v>0</v>
      </c>
      <c r="T1039" s="29">
        <f>SUMIFS(Cash_Flow_3[Amount],Cash_Flow_3[Bulan],H1039,Cash_Flow_3[Type],"Out",Cash_Flow_3[Category],"Iqbal")</f>
        <v>0</v>
      </c>
    </row>
    <row r="1040" spans="1:20" ht="22.5" customHeight="1" x14ac:dyDescent="0.2">
      <c r="A1040" s="23"/>
      <c r="B1040" s="24"/>
      <c r="C1040" s="25"/>
      <c r="D1040" s="25"/>
      <c r="E1040" s="25"/>
      <c r="F1040" s="26"/>
      <c r="G1040" s="27"/>
      <c r="H1040" s="28" t="str">
        <f t="shared" si="0"/>
        <v/>
      </c>
      <c r="I1040" s="29">
        <f>SUMIFS(Cash_Flow_3[Amount],Cash_Flow_3[Bulan],H1040,Cash_Flow_3[Type],"In")</f>
        <v>0</v>
      </c>
      <c r="J1040" s="29">
        <f>SUMIFS(Cash_Flow_3[Amount],Cash_Flow_3[Bulan],H1040,Cash_Flow_3[Type],"Out")</f>
        <v>0</v>
      </c>
      <c r="K1040" s="29">
        <f>SUMIFS(Cash_Flow_3[Amount],Cash_Flow_3[Bulan],H1040,Cash_Flow_3[Type],"Out",Cash_Flow_3[Category],"Fix")</f>
        <v>0</v>
      </c>
      <c r="L1040" s="29">
        <f>SUMIFS(Cash_Flow_3[Amount],Cash_Flow_3[Bulan],H1040,Cash_Flow_3[Type],"Out",Cash_Flow_3[Category],"Bathroom")</f>
        <v>0</v>
      </c>
      <c r="M1040" s="29">
        <f>SUMIFS(Cash_Flow_3[Amount],Cash_Flow_3[Bulan],H1040,Cash_Flow_3[Type],"Out",Cash_Flow_3[Category],"Alfa")</f>
        <v>0</v>
      </c>
      <c r="N1040" s="29">
        <f>SUMIFS(Cash_Flow_3[Amount],Cash_Flow_3[Bulan],H1040,Cash_Flow_3[Type],"Out",Cash_Flow_3[Category],"Jajan")</f>
        <v>0</v>
      </c>
      <c r="O1040" s="29">
        <f>SUMIFS(Cash_Flow_3[Amount],Cash_Flow_3[Bulan],H1040,Cash_Flow_3[Type],"Out",Cash_Flow_3[Category],"Kitchen")</f>
        <v>0</v>
      </c>
      <c r="P1040" s="29">
        <f>SUMIFS(Cash_Flow_3[Amount],Cash_Flow_3[Bulan],H1040,Cash_Flow_3[Type],"Out",Cash_Flow_3[Category],"Loandry")</f>
        <v>0</v>
      </c>
      <c r="Q1040" s="29">
        <f>SUMIFS(Cash_Flow_3[Amount],Cash_Flow_3[Bulan],H1040,Cash_Flow_3[Type],"Out",Cash_Flow_3[Category],"Mio")</f>
        <v>0</v>
      </c>
      <c r="R1040" s="29">
        <f>SUMIFS(Cash_Flow_3[Amount],Cash_Flow_3[Bulan],H1040,Cash_Flow_3[Type],"Out",Cash_Flow_3[Category],"Sedekah")</f>
        <v>0</v>
      </c>
      <c r="S1040" s="29">
        <f>SUMIFS(Cash_Flow_3[Amount],Cash_Flow_3[Bulan],H1040,Cash_Flow_3[Type],"Out",Cash_Flow_3[Category],"Zela")</f>
        <v>0</v>
      </c>
      <c r="T1040" s="29">
        <f>SUMIFS(Cash_Flow_3[Amount],Cash_Flow_3[Bulan],H1040,Cash_Flow_3[Type],"Out",Cash_Flow_3[Category],"Iqbal")</f>
        <v>0</v>
      </c>
    </row>
    <row r="1041" spans="1:20" ht="22.5" customHeight="1" x14ac:dyDescent="0.2">
      <c r="A1041" s="23"/>
      <c r="B1041" s="24"/>
      <c r="C1041" s="25"/>
      <c r="D1041" s="25"/>
      <c r="E1041" s="25"/>
      <c r="F1041" s="26"/>
      <c r="G1041" s="27"/>
      <c r="H1041" s="28" t="str">
        <f t="shared" si="0"/>
        <v/>
      </c>
      <c r="I1041" s="29">
        <f>SUMIFS(Cash_Flow_3[Amount],Cash_Flow_3[Bulan],H1041,Cash_Flow_3[Type],"In")</f>
        <v>0</v>
      </c>
      <c r="J1041" s="29">
        <f>SUMIFS(Cash_Flow_3[Amount],Cash_Flow_3[Bulan],H1041,Cash_Flow_3[Type],"Out")</f>
        <v>0</v>
      </c>
      <c r="K1041" s="29">
        <f>SUMIFS(Cash_Flow_3[Amount],Cash_Flow_3[Bulan],H1041,Cash_Flow_3[Type],"Out",Cash_Flow_3[Category],"Fix")</f>
        <v>0</v>
      </c>
      <c r="L1041" s="29">
        <f>SUMIFS(Cash_Flow_3[Amount],Cash_Flow_3[Bulan],H1041,Cash_Flow_3[Type],"Out",Cash_Flow_3[Category],"Bathroom")</f>
        <v>0</v>
      </c>
      <c r="M1041" s="29">
        <f>SUMIFS(Cash_Flow_3[Amount],Cash_Flow_3[Bulan],H1041,Cash_Flow_3[Type],"Out",Cash_Flow_3[Category],"Alfa")</f>
        <v>0</v>
      </c>
      <c r="N1041" s="29">
        <f>SUMIFS(Cash_Flow_3[Amount],Cash_Flow_3[Bulan],H1041,Cash_Flow_3[Type],"Out",Cash_Flow_3[Category],"Jajan")</f>
        <v>0</v>
      </c>
      <c r="O1041" s="29">
        <f>SUMIFS(Cash_Flow_3[Amount],Cash_Flow_3[Bulan],H1041,Cash_Flow_3[Type],"Out",Cash_Flow_3[Category],"Kitchen")</f>
        <v>0</v>
      </c>
      <c r="P1041" s="29">
        <f>SUMIFS(Cash_Flow_3[Amount],Cash_Flow_3[Bulan],H1041,Cash_Flow_3[Type],"Out",Cash_Flow_3[Category],"Loandry")</f>
        <v>0</v>
      </c>
      <c r="Q1041" s="29">
        <f>SUMIFS(Cash_Flow_3[Amount],Cash_Flow_3[Bulan],H1041,Cash_Flow_3[Type],"Out",Cash_Flow_3[Category],"Mio")</f>
        <v>0</v>
      </c>
      <c r="R1041" s="29">
        <f>SUMIFS(Cash_Flow_3[Amount],Cash_Flow_3[Bulan],H1041,Cash_Flow_3[Type],"Out",Cash_Flow_3[Category],"Sedekah")</f>
        <v>0</v>
      </c>
      <c r="S1041" s="29">
        <f>SUMIFS(Cash_Flow_3[Amount],Cash_Flow_3[Bulan],H1041,Cash_Flow_3[Type],"Out",Cash_Flow_3[Category],"Zela")</f>
        <v>0</v>
      </c>
      <c r="T1041" s="29">
        <f>SUMIFS(Cash_Flow_3[Amount],Cash_Flow_3[Bulan],H1041,Cash_Flow_3[Type],"Out",Cash_Flow_3[Category],"Iqbal")</f>
        <v>0</v>
      </c>
    </row>
    <row r="1042" spans="1:20" ht="22.5" customHeight="1" x14ac:dyDescent="0.2">
      <c r="A1042" s="23"/>
      <c r="B1042" s="24"/>
      <c r="C1042" s="25"/>
      <c r="D1042" s="25"/>
      <c r="E1042" s="25"/>
      <c r="F1042" s="26"/>
      <c r="G1042" s="27"/>
      <c r="H1042" s="28" t="str">
        <f t="shared" si="0"/>
        <v/>
      </c>
      <c r="I1042" s="29">
        <f>SUMIFS(Cash_Flow_3[Amount],Cash_Flow_3[Bulan],H1042,Cash_Flow_3[Type],"In")</f>
        <v>0</v>
      </c>
      <c r="J1042" s="29">
        <f>SUMIFS(Cash_Flow_3[Amount],Cash_Flow_3[Bulan],H1042,Cash_Flow_3[Type],"Out")</f>
        <v>0</v>
      </c>
      <c r="K1042" s="29">
        <f>SUMIFS(Cash_Flow_3[Amount],Cash_Flow_3[Bulan],H1042,Cash_Flow_3[Type],"Out",Cash_Flow_3[Category],"Fix")</f>
        <v>0</v>
      </c>
      <c r="L1042" s="29">
        <f>SUMIFS(Cash_Flow_3[Amount],Cash_Flow_3[Bulan],H1042,Cash_Flow_3[Type],"Out",Cash_Flow_3[Category],"Bathroom")</f>
        <v>0</v>
      </c>
      <c r="M1042" s="29">
        <f>SUMIFS(Cash_Flow_3[Amount],Cash_Flow_3[Bulan],H1042,Cash_Flow_3[Type],"Out",Cash_Flow_3[Category],"Alfa")</f>
        <v>0</v>
      </c>
      <c r="N1042" s="29">
        <f>SUMIFS(Cash_Flow_3[Amount],Cash_Flow_3[Bulan],H1042,Cash_Flow_3[Type],"Out",Cash_Flow_3[Category],"Jajan")</f>
        <v>0</v>
      </c>
      <c r="O1042" s="29">
        <f>SUMIFS(Cash_Flow_3[Amount],Cash_Flow_3[Bulan],H1042,Cash_Flow_3[Type],"Out",Cash_Flow_3[Category],"Kitchen")</f>
        <v>0</v>
      </c>
      <c r="P1042" s="29">
        <f>SUMIFS(Cash_Flow_3[Amount],Cash_Flow_3[Bulan],H1042,Cash_Flow_3[Type],"Out",Cash_Flow_3[Category],"Loandry")</f>
        <v>0</v>
      </c>
      <c r="Q1042" s="29">
        <f>SUMIFS(Cash_Flow_3[Amount],Cash_Flow_3[Bulan],H1042,Cash_Flow_3[Type],"Out",Cash_Flow_3[Category],"Mio")</f>
        <v>0</v>
      </c>
      <c r="R1042" s="29">
        <f>SUMIFS(Cash_Flow_3[Amount],Cash_Flow_3[Bulan],H1042,Cash_Flow_3[Type],"Out",Cash_Flow_3[Category],"Sedekah")</f>
        <v>0</v>
      </c>
      <c r="S1042" s="29">
        <f>SUMIFS(Cash_Flow_3[Amount],Cash_Flow_3[Bulan],H1042,Cash_Flow_3[Type],"Out",Cash_Flow_3[Category],"Zela")</f>
        <v>0</v>
      </c>
      <c r="T1042" s="29">
        <f>SUMIFS(Cash_Flow_3[Amount],Cash_Flow_3[Bulan],H1042,Cash_Flow_3[Type],"Out",Cash_Flow_3[Category],"Iqbal")</f>
        <v>0</v>
      </c>
    </row>
    <row r="1043" spans="1:20" ht="22.5" customHeight="1" x14ac:dyDescent="0.2">
      <c r="A1043" s="23"/>
      <c r="B1043" s="24"/>
      <c r="C1043" s="25"/>
      <c r="D1043" s="25"/>
      <c r="E1043" s="25"/>
      <c r="F1043" s="26"/>
      <c r="G1043" s="27"/>
      <c r="H1043" s="28" t="str">
        <f t="shared" si="0"/>
        <v/>
      </c>
      <c r="I1043" s="29">
        <f>SUMIFS(Cash_Flow_3[Amount],Cash_Flow_3[Bulan],H1043,Cash_Flow_3[Type],"In")</f>
        <v>0</v>
      </c>
      <c r="J1043" s="29">
        <f>SUMIFS(Cash_Flow_3[Amount],Cash_Flow_3[Bulan],H1043,Cash_Flow_3[Type],"Out")</f>
        <v>0</v>
      </c>
      <c r="K1043" s="29">
        <f>SUMIFS(Cash_Flow_3[Amount],Cash_Flow_3[Bulan],H1043,Cash_Flow_3[Type],"Out",Cash_Flow_3[Category],"Fix")</f>
        <v>0</v>
      </c>
      <c r="L1043" s="29">
        <f>SUMIFS(Cash_Flow_3[Amount],Cash_Flow_3[Bulan],H1043,Cash_Flow_3[Type],"Out",Cash_Flow_3[Category],"Bathroom")</f>
        <v>0</v>
      </c>
      <c r="M1043" s="29">
        <f>SUMIFS(Cash_Flow_3[Amount],Cash_Flow_3[Bulan],H1043,Cash_Flow_3[Type],"Out",Cash_Flow_3[Category],"Alfa")</f>
        <v>0</v>
      </c>
      <c r="N1043" s="29">
        <f>SUMIFS(Cash_Flow_3[Amount],Cash_Flow_3[Bulan],H1043,Cash_Flow_3[Type],"Out",Cash_Flow_3[Category],"Jajan")</f>
        <v>0</v>
      </c>
      <c r="O1043" s="29">
        <f>SUMIFS(Cash_Flow_3[Amount],Cash_Flow_3[Bulan],H1043,Cash_Flow_3[Type],"Out",Cash_Flow_3[Category],"Kitchen")</f>
        <v>0</v>
      </c>
      <c r="P1043" s="29">
        <f>SUMIFS(Cash_Flow_3[Amount],Cash_Flow_3[Bulan],H1043,Cash_Flow_3[Type],"Out",Cash_Flow_3[Category],"Loandry")</f>
        <v>0</v>
      </c>
      <c r="Q1043" s="29">
        <f>SUMIFS(Cash_Flow_3[Amount],Cash_Flow_3[Bulan],H1043,Cash_Flow_3[Type],"Out",Cash_Flow_3[Category],"Mio")</f>
        <v>0</v>
      </c>
      <c r="R1043" s="29">
        <f>SUMIFS(Cash_Flow_3[Amount],Cash_Flow_3[Bulan],H1043,Cash_Flow_3[Type],"Out",Cash_Flow_3[Category],"Sedekah")</f>
        <v>0</v>
      </c>
      <c r="S1043" s="29">
        <f>SUMIFS(Cash_Flow_3[Amount],Cash_Flow_3[Bulan],H1043,Cash_Flow_3[Type],"Out",Cash_Flow_3[Category],"Zela")</f>
        <v>0</v>
      </c>
      <c r="T1043" s="29">
        <f>SUMIFS(Cash_Flow_3[Amount],Cash_Flow_3[Bulan],H1043,Cash_Flow_3[Type],"Out",Cash_Flow_3[Category],"Iqbal")</f>
        <v>0</v>
      </c>
    </row>
    <row r="1044" spans="1:20" ht="22.5" customHeight="1" x14ac:dyDescent="0.2">
      <c r="A1044" s="23"/>
      <c r="B1044" s="24"/>
      <c r="C1044" s="25"/>
      <c r="D1044" s="25"/>
      <c r="E1044" s="25"/>
      <c r="F1044" s="26"/>
      <c r="G1044" s="27"/>
      <c r="H1044" s="28" t="str">
        <f t="shared" si="0"/>
        <v/>
      </c>
      <c r="I1044" s="29">
        <f>SUMIFS(Cash_Flow_3[Amount],Cash_Flow_3[Bulan],H1044,Cash_Flow_3[Type],"In")</f>
        <v>0</v>
      </c>
      <c r="J1044" s="29">
        <f>SUMIFS(Cash_Flow_3[Amount],Cash_Flow_3[Bulan],H1044,Cash_Flow_3[Type],"Out")</f>
        <v>0</v>
      </c>
      <c r="K1044" s="29">
        <f>SUMIFS(Cash_Flow_3[Amount],Cash_Flow_3[Bulan],H1044,Cash_Flow_3[Type],"Out",Cash_Flow_3[Category],"Fix")</f>
        <v>0</v>
      </c>
      <c r="L1044" s="29">
        <f>SUMIFS(Cash_Flow_3[Amount],Cash_Flow_3[Bulan],H1044,Cash_Flow_3[Type],"Out",Cash_Flow_3[Category],"Bathroom")</f>
        <v>0</v>
      </c>
      <c r="M1044" s="29">
        <f>SUMIFS(Cash_Flow_3[Amount],Cash_Flow_3[Bulan],H1044,Cash_Flow_3[Type],"Out",Cash_Flow_3[Category],"Alfa")</f>
        <v>0</v>
      </c>
      <c r="N1044" s="29">
        <f>SUMIFS(Cash_Flow_3[Amount],Cash_Flow_3[Bulan],H1044,Cash_Flow_3[Type],"Out",Cash_Flow_3[Category],"Jajan")</f>
        <v>0</v>
      </c>
      <c r="O1044" s="29">
        <f>SUMIFS(Cash_Flow_3[Amount],Cash_Flow_3[Bulan],H1044,Cash_Flow_3[Type],"Out",Cash_Flow_3[Category],"Kitchen")</f>
        <v>0</v>
      </c>
      <c r="P1044" s="29">
        <f>SUMIFS(Cash_Flow_3[Amount],Cash_Flow_3[Bulan],H1044,Cash_Flow_3[Type],"Out",Cash_Flow_3[Category],"Loandry")</f>
        <v>0</v>
      </c>
      <c r="Q1044" s="29">
        <f>SUMIFS(Cash_Flow_3[Amount],Cash_Flow_3[Bulan],H1044,Cash_Flow_3[Type],"Out",Cash_Flow_3[Category],"Mio")</f>
        <v>0</v>
      </c>
      <c r="R1044" s="29">
        <f>SUMIFS(Cash_Flow_3[Amount],Cash_Flow_3[Bulan],H1044,Cash_Flow_3[Type],"Out",Cash_Flow_3[Category],"Sedekah")</f>
        <v>0</v>
      </c>
      <c r="S1044" s="29">
        <f>SUMIFS(Cash_Flow_3[Amount],Cash_Flow_3[Bulan],H1044,Cash_Flow_3[Type],"Out",Cash_Flow_3[Category],"Zela")</f>
        <v>0</v>
      </c>
      <c r="T1044" s="29">
        <f>SUMIFS(Cash_Flow_3[Amount],Cash_Flow_3[Bulan],H1044,Cash_Flow_3[Type],"Out",Cash_Flow_3[Category],"Iqbal")</f>
        <v>0</v>
      </c>
    </row>
    <row r="1045" spans="1:20" ht="22.5" customHeight="1" x14ac:dyDescent="0.2">
      <c r="A1045" s="23"/>
      <c r="B1045" s="24"/>
      <c r="C1045" s="25"/>
      <c r="D1045" s="25"/>
      <c r="E1045" s="25"/>
      <c r="F1045" s="26"/>
      <c r="G1045" s="27"/>
      <c r="H1045" s="28" t="str">
        <f t="shared" si="0"/>
        <v/>
      </c>
      <c r="I1045" s="29">
        <f>SUMIFS(Cash_Flow_3[Amount],Cash_Flow_3[Bulan],H1045,Cash_Flow_3[Type],"In")</f>
        <v>0</v>
      </c>
      <c r="J1045" s="29">
        <f>SUMIFS(Cash_Flow_3[Amount],Cash_Flow_3[Bulan],H1045,Cash_Flow_3[Type],"Out")</f>
        <v>0</v>
      </c>
      <c r="K1045" s="29">
        <f>SUMIFS(Cash_Flow_3[Amount],Cash_Flow_3[Bulan],H1045,Cash_Flow_3[Type],"Out",Cash_Flow_3[Category],"Fix")</f>
        <v>0</v>
      </c>
      <c r="L1045" s="29">
        <f>SUMIFS(Cash_Flow_3[Amount],Cash_Flow_3[Bulan],H1045,Cash_Flow_3[Type],"Out",Cash_Flow_3[Category],"Bathroom")</f>
        <v>0</v>
      </c>
      <c r="M1045" s="29">
        <f>SUMIFS(Cash_Flow_3[Amount],Cash_Flow_3[Bulan],H1045,Cash_Flow_3[Type],"Out",Cash_Flow_3[Category],"Alfa")</f>
        <v>0</v>
      </c>
      <c r="N1045" s="29">
        <f>SUMIFS(Cash_Flow_3[Amount],Cash_Flow_3[Bulan],H1045,Cash_Flow_3[Type],"Out",Cash_Flow_3[Category],"Jajan")</f>
        <v>0</v>
      </c>
      <c r="O1045" s="29">
        <f>SUMIFS(Cash_Flow_3[Amount],Cash_Flow_3[Bulan],H1045,Cash_Flow_3[Type],"Out",Cash_Flow_3[Category],"Kitchen")</f>
        <v>0</v>
      </c>
      <c r="P1045" s="29">
        <f>SUMIFS(Cash_Flow_3[Amount],Cash_Flow_3[Bulan],H1045,Cash_Flow_3[Type],"Out",Cash_Flow_3[Category],"Loandry")</f>
        <v>0</v>
      </c>
      <c r="Q1045" s="29">
        <f>SUMIFS(Cash_Flow_3[Amount],Cash_Flow_3[Bulan],H1045,Cash_Flow_3[Type],"Out",Cash_Flow_3[Category],"Mio")</f>
        <v>0</v>
      </c>
      <c r="R1045" s="29">
        <f>SUMIFS(Cash_Flow_3[Amount],Cash_Flow_3[Bulan],H1045,Cash_Flow_3[Type],"Out",Cash_Flow_3[Category],"Sedekah")</f>
        <v>0</v>
      </c>
      <c r="S1045" s="29">
        <f>SUMIFS(Cash_Flow_3[Amount],Cash_Flow_3[Bulan],H1045,Cash_Flow_3[Type],"Out",Cash_Flow_3[Category],"Zela")</f>
        <v>0</v>
      </c>
      <c r="T1045" s="29">
        <f>SUMIFS(Cash_Flow_3[Amount],Cash_Flow_3[Bulan],H1045,Cash_Flow_3[Type],"Out",Cash_Flow_3[Category],"Iqbal")</f>
        <v>0</v>
      </c>
    </row>
    <row r="1046" spans="1:20" ht="22.5" customHeight="1" x14ac:dyDescent="0.2">
      <c r="A1046" s="23"/>
      <c r="B1046" s="24"/>
      <c r="C1046" s="25"/>
      <c r="D1046" s="25"/>
      <c r="E1046" s="25"/>
      <c r="F1046" s="26"/>
      <c r="G1046" s="27"/>
      <c r="H1046" s="28" t="str">
        <f t="shared" si="0"/>
        <v/>
      </c>
      <c r="I1046" s="29">
        <f>SUMIFS(Cash_Flow_3[Amount],Cash_Flow_3[Bulan],H1046,Cash_Flow_3[Type],"In")</f>
        <v>0</v>
      </c>
      <c r="J1046" s="29">
        <f>SUMIFS(Cash_Flow_3[Amount],Cash_Flow_3[Bulan],H1046,Cash_Flow_3[Type],"Out")</f>
        <v>0</v>
      </c>
      <c r="K1046" s="29">
        <f>SUMIFS(Cash_Flow_3[Amount],Cash_Flow_3[Bulan],H1046,Cash_Flow_3[Type],"Out",Cash_Flow_3[Category],"Fix")</f>
        <v>0</v>
      </c>
      <c r="L1046" s="29">
        <f>SUMIFS(Cash_Flow_3[Amount],Cash_Flow_3[Bulan],H1046,Cash_Flow_3[Type],"Out",Cash_Flow_3[Category],"Bathroom")</f>
        <v>0</v>
      </c>
      <c r="M1046" s="29">
        <f>SUMIFS(Cash_Flow_3[Amount],Cash_Flow_3[Bulan],H1046,Cash_Flow_3[Type],"Out",Cash_Flow_3[Category],"Alfa")</f>
        <v>0</v>
      </c>
      <c r="N1046" s="29">
        <f>SUMIFS(Cash_Flow_3[Amount],Cash_Flow_3[Bulan],H1046,Cash_Flow_3[Type],"Out",Cash_Flow_3[Category],"Jajan")</f>
        <v>0</v>
      </c>
      <c r="O1046" s="29">
        <f>SUMIFS(Cash_Flow_3[Amount],Cash_Flow_3[Bulan],H1046,Cash_Flow_3[Type],"Out",Cash_Flow_3[Category],"Kitchen")</f>
        <v>0</v>
      </c>
      <c r="P1046" s="29">
        <f>SUMIFS(Cash_Flow_3[Amount],Cash_Flow_3[Bulan],H1046,Cash_Flow_3[Type],"Out",Cash_Flow_3[Category],"Loandry")</f>
        <v>0</v>
      </c>
      <c r="Q1046" s="29">
        <f>SUMIFS(Cash_Flow_3[Amount],Cash_Flow_3[Bulan],H1046,Cash_Flow_3[Type],"Out",Cash_Flow_3[Category],"Mio")</f>
        <v>0</v>
      </c>
      <c r="R1046" s="29">
        <f>SUMIFS(Cash_Flow_3[Amount],Cash_Flow_3[Bulan],H1046,Cash_Flow_3[Type],"Out",Cash_Flow_3[Category],"Sedekah")</f>
        <v>0</v>
      </c>
      <c r="S1046" s="29">
        <f>SUMIFS(Cash_Flow_3[Amount],Cash_Flow_3[Bulan],H1046,Cash_Flow_3[Type],"Out",Cash_Flow_3[Category],"Zela")</f>
        <v>0</v>
      </c>
      <c r="T1046" s="29">
        <f>SUMIFS(Cash_Flow_3[Amount],Cash_Flow_3[Bulan],H1046,Cash_Flow_3[Type],"Out",Cash_Flow_3[Category],"Iqbal")</f>
        <v>0</v>
      </c>
    </row>
    <row r="1047" spans="1:20" ht="22.5" customHeight="1" x14ac:dyDescent="0.2">
      <c r="A1047" s="23"/>
      <c r="B1047" s="24"/>
      <c r="C1047" s="25"/>
      <c r="D1047" s="25"/>
      <c r="E1047" s="25"/>
      <c r="F1047" s="26"/>
      <c r="G1047" s="27"/>
      <c r="H1047" s="28" t="str">
        <f t="shared" si="0"/>
        <v/>
      </c>
      <c r="I1047" s="29">
        <f>SUMIFS(Cash_Flow_3[Amount],Cash_Flow_3[Bulan],H1047,Cash_Flow_3[Type],"In")</f>
        <v>0</v>
      </c>
      <c r="J1047" s="29">
        <f>SUMIFS(Cash_Flow_3[Amount],Cash_Flow_3[Bulan],H1047,Cash_Flow_3[Type],"Out")</f>
        <v>0</v>
      </c>
      <c r="K1047" s="29">
        <f>SUMIFS(Cash_Flow_3[Amount],Cash_Flow_3[Bulan],H1047,Cash_Flow_3[Type],"Out",Cash_Flow_3[Category],"Fix")</f>
        <v>0</v>
      </c>
      <c r="L1047" s="29">
        <f>SUMIFS(Cash_Flow_3[Amount],Cash_Flow_3[Bulan],H1047,Cash_Flow_3[Type],"Out",Cash_Flow_3[Category],"Bathroom")</f>
        <v>0</v>
      </c>
      <c r="M1047" s="29">
        <f>SUMIFS(Cash_Flow_3[Amount],Cash_Flow_3[Bulan],H1047,Cash_Flow_3[Type],"Out",Cash_Flow_3[Category],"Alfa")</f>
        <v>0</v>
      </c>
      <c r="N1047" s="29">
        <f>SUMIFS(Cash_Flow_3[Amount],Cash_Flow_3[Bulan],H1047,Cash_Flow_3[Type],"Out",Cash_Flow_3[Category],"Jajan")</f>
        <v>0</v>
      </c>
      <c r="O1047" s="29">
        <f>SUMIFS(Cash_Flow_3[Amount],Cash_Flow_3[Bulan],H1047,Cash_Flow_3[Type],"Out",Cash_Flow_3[Category],"Kitchen")</f>
        <v>0</v>
      </c>
      <c r="P1047" s="29">
        <f>SUMIFS(Cash_Flow_3[Amount],Cash_Flow_3[Bulan],H1047,Cash_Flow_3[Type],"Out",Cash_Flow_3[Category],"Loandry")</f>
        <v>0</v>
      </c>
      <c r="Q1047" s="29">
        <f>SUMIFS(Cash_Flow_3[Amount],Cash_Flow_3[Bulan],H1047,Cash_Flow_3[Type],"Out",Cash_Flow_3[Category],"Mio")</f>
        <v>0</v>
      </c>
      <c r="R1047" s="29">
        <f>SUMIFS(Cash_Flow_3[Amount],Cash_Flow_3[Bulan],H1047,Cash_Flow_3[Type],"Out",Cash_Flow_3[Category],"Sedekah")</f>
        <v>0</v>
      </c>
      <c r="S1047" s="29">
        <f>SUMIFS(Cash_Flow_3[Amount],Cash_Flow_3[Bulan],H1047,Cash_Flow_3[Type],"Out",Cash_Flow_3[Category],"Zela")</f>
        <v>0</v>
      </c>
      <c r="T1047" s="29">
        <f>SUMIFS(Cash_Flow_3[Amount],Cash_Flow_3[Bulan],H1047,Cash_Flow_3[Type],"Out",Cash_Flow_3[Category],"Iqbal")</f>
        <v>0</v>
      </c>
    </row>
    <row r="1048" spans="1:20" ht="22.5" customHeight="1" x14ac:dyDescent="0.2">
      <c r="A1048" s="23"/>
      <c r="B1048" s="24"/>
      <c r="C1048" s="25"/>
      <c r="D1048" s="25"/>
      <c r="E1048" s="25"/>
      <c r="F1048" s="26"/>
      <c r="G1048" s="27"/>
      <c r="H1048" s="28" t="str">
        <f t="shared" si="0"/>
        <v/>
      </c>
      <c r="I1048" s="29">
        <f>SUMIFS(Cash_Flow_3[Amount],Cash_Flow_3[Bulan],H1048,Cash_Flow_3[Type],"In")</f>
        <v>0</v>
      </c>
      <c r="J1048" s="29">
        <f>SUMIFS(Cash_Flow_3[Amount],Cash_Flow_3[Bulan],H1048,Cash_Flow_3[Type],"Out")</f>
        <v>0</v>
      </c>
      <c r="K1048" s="29">
        <f>SUMIFS(Cash_Flow_3[Amount],Cash_Flow_3[Bulan],H1048,Cash_Flow_3[Type],"Out",Cash_Flow_3[Category],"Fix")</f>
        <v>0</v>
      </c>
      <c r="L1048" s="29">
        <f>SUMIFS(Cash_Flow_3[Amount],Cash_Flow_3[Bulan],H1048,Cash_Flow_3[Type],"Out",Cash_Flow_3[Category],"Bathroom")</f>
        <v>0</v>
      </c>
      <c r="M1048" s="29">
        <f>SUMIFS(Cash_Flow_3[Amount],Cash_Flow_3[Bulan],H1048,Cash_Flow_3[Type],"Out",Cash_Flow_3[Category],"Alfa")</f>
        <v>0</v>
      </c>
      <c r="N1048" s="29">
        <f>SUMIFS(Cash_Flow_3[Amount],Cash_Flow_3[Bulan],H1048,Cash_Flow_3[Type],"Out",Cash_Flow_3[Category],"Jajan")</f>
        <v>0</v>
      </c>
      <c r="O1048" s="29">
        <f>SUMIFS(Cash_Flow_3[Amount],Cash_Flow_3[Bulan],H1048,Cash_Flow_3[Type],"Out",Cash_Flow_3[Category],"Kitchen")</f>
        <v>0</v>
      </c>
      <c r="P1048" s="29">
        <f>SUMIFS(Cash_Flow_3[Amount],Cash_Flow_3[Bulan],H1048,Cash_Flow_3[Type],"Out",Cash_Flow_3[Category],"Loandry")</f>
        <v>0</v>
      </c>
      <c r="Q1048" s="29">
        <f>SUMIFS(Cash_Flow_3[Amount],Cash_Flow_3[Bulan],H1048,Cash_Flow_3[Type],"Out",Cash_Flow_3[Category],"Mio")</f>
        <v>0</v>
      </c>
      <c r="R1048" s="29">
        <f>SUMIFS(Cash_Flow_3[Amount],Cash_Flow_3[Bulan],H1048,Cash_Flow_3[Type],"Out",Cash_Flow_3[Category],"Sedekah")</f>
        <v>0</v>
      </c>
      <c r="S1048" s="29">
        <f>SUMIFS(Cash_Flow_3[Amount],Cash_Flow_3[Bulan],H1048,Cash_Flow_3[Type],"Out",Cash_Flow_3[Category],"Zela")</f>
        <v>0</v>
      </c>
      <c r="T1048" s="29">
        <f>SUMIFS(Cash_Flow_3[Amount],Cash_Flow_3[Bulan],H1048,Cash_Flow_3[Type],"Out",Cash_Flow_3[Category],"Iqbal")</f>
        <v>0</v>
      </c>
    </row>
    <row r="1049" spans="1:20" ht="22.5" customHeight="1" x14ac:dyDescent="0.2">
      <c r="A1049" s="23"/>
      <c r="B1049" s="24"/>
      <c r="C1049" s="25"/>
      <c r="D1049" s="25"/>
      <c r="E1049" s="25"/>
      <c r="F1049" s="26"/>
      <c r="G1049" s="27"/>
      <c r="H1049" s="28" t="str">
        <f t="shared" si="0"/>
        <v/>
      </c>
      <c r="I1049" s="29">
        <f>SUMIFS(Cash_Flow_3[Amount],Cash_Flow_3[Bulan],H1049,Cash_Flow_3[Type],"In")</f>
        <v>0</v>
      </c>
      <c r="J1049" s="29">
        <f>SUMIFS(Cash_Flow_3[Amount],Cash_Flow_3[Bulan],H1049,Cash_Flow_3[Type],"Out")</f>
        <v>0</v>
      </c>
      <c r="K1049" s="29">
        <f>SUMIFS(Cash_Flow_3[Amount],Cash_Flow_3[Bulan],H1049,Cash_Flow_3[Type],"Out",Cash_Flow_3[Category],"Fix")</f>
        <v>0</v>
      </c>
      <c r="L1049" s="29">
        <f>SUMIFS(Cash_Flow_3[Amount],Cash_Flow_3[Bulan],H1049,Cash_Flow_3[Type],"Out",Cash_Flow_3[Category],"Bathroom")</f>
        <v>0</v>
      </c>
      <c r="M1049" s="29">
        <f>SUMIFS(Cash_Flow_3[Amount],Cash_Flow_3[Bulan],H1049,Cash_Flow_3[Type],"Out",Cash_Flow_3[Category],"Alfa")</f>
        <v>0</v>
      </c>
      <c r="N1049" s="29">
        <f>SUMIFS(Cash_Flow_3[Amount],Cash_Flow_3[Bulan],H1049,Cash_Flow_3[Type],"Out",Cash_Flow_3[Category],"Jajan")</f>
        <v>0</v>
      </c>
      <c r="O1049" s="29">
        <f>SUMIFS(Cash_Flow_3[Amount],Cash_Flow_3[Bulan],H1049,Cash_Flow_3[Type],"Out",Cash_Flow_3[Category],"Kitchen")</f>
        <v>0</v>
      </c>
      <c r="P1049" s="29">
        <f>SUMIFS(Cash_Flow_3[Amount],Cash_Flow_3[Bulan],H1049,Cash_Flow_3[Type],"Out",Cash_Flow_3[Category],"Loandry")</f>
        <v>0</v>
      </c>
      <c r="Q1049" s="29">
        <f>SUMIFS(Cash_Flow_3[Amount],Cash_Flow_3[Bulan],H1049,Cash_Flow_3[Type],"Out",Cash_Flow_3[Category],"Mio")</f>
        <v>0</v>
      </c>
      <c r="R1049" s="29">
        <f>SUMIFS(Cash_Flow_3[Amount],Cash_Flow_3[Bulan],H1049,Cash_Flow_3[Type],"Out",Cash_Flow_3[Category],"Sedekah")</f>
        <v>0</v>
      </c>
      <c r="S1049" s="29">
        <f>SUMIFS(Cash_Flow_3[Amount],Cash_Flow_3[Bulan],H1049,Cash_Flow_3[Type],"Out",Cash_Flow_3[Category],"Zela")</f>
        <v>0</v>
      </c>
      <c r="T1049" s="29">
        <f>SUMIFS(Cash_Flow_3[Amount],Cash_Flow_3[Bulan],H1049,Cash_Flow_3[Type],"Out",Cash_Flow_3[Category],"Iqbal")</f>
        <v>0</v>
      </c>
    </row>
    <row r="1050" spans="1:20" ht="22.5" customHeight="1" x14ac:dyDescent="0.2">
      <c r="A1050" s="23"/>
      <c r="B1050" s="24"/>
      <c r="C1050" s="25"/>
      <c r="D1050" s="25"/>
      <c r="E1050" s="25"/>
      <c r="F1050" s="26"/>
      <c r="G1050" s="27"/>
      <c r="H1050" s="28" t="str">
        <f t="shared" si="0"/>
        <v/>
      </c>
      <c r="I1050" s="29">
        <f>SUMIFS(Cash_Flow_3[Amount],Cash_Flow_3[Bulan],H1050,Cash_Flow_3[Type],"In")</f>
        <v>0</v>
      </c>
      <c r="J1050" s="29">
        <f>SUMIFS(Cash_Flow_3[Amount],Cash_Flow_3[Bulan],H1050,Cash_Flow_3[Type],"Out")</f>
        <v>0</v>
      </c>
      <c r="K1050" s="29">
        <f>SUMIFS(Cash_Flow_3[Amount],Cash_Flow_3[Bulan],H1050,Cash_Flow_3[Type],"Out",Cash_Flow_3[Category],"Fix")</f>
        <v>0</v>
      </c>
      <c r="L1050" s="29">
        <f>SUMIFS(Cash_Flow_3[Amount],Cash_Flow_3[Bulan],H1050,Cash_Flow_3[Type],"Out",Cash_Flow_3[Category],"Bathroom")</f>
        <v>0</v>
      </c>
      <c r="M1050" s="29">
        <f>SUMIFS(Cash_Flow_3[Amount],Cash_Flow_3[Bulan],H1050,Cash_Flow_3[Type],"Out",Cash_Flow_3[Category],"Alfa")</f>
        <v>0</v>
      </c>
      <c r="N1050" s="29">
        <f>SUMIFS(Cash_Flow_3[Amount],Cash_Flow_3[Bulan],H1050,Cash_Flow_3[Type],"Out",Cash_Flow_3[Category],"Jajan")</f>
        <v>0</v>
      </c>
      <c r="O1050" s="29">
        <f>SUMIFS(Cash_Flow_3[Amount],Cash_Flow_3[Bulan],H1050,Cash_Flow_3[Type],"Out",Cash_Flow_3[Category],"Kitchen")</f>
        <v>0</v>
      </c>
      <c r="P1050" s="29">
        <f>SUMIFS(Cash_Flow_3[Amount],Cash_Flow_3[Bulan],H1050,Cash_Flow_3[Type],"Out",Cash_Flow_3[Category],"Loandry")</f>
        <v>0</v>
      </c>
      <c r="Q1050" s="29">
        <f>SUMIFS(Cash_Flow_3[Amount],Cash_Flow_3[Bulan],H1050,Cash_Flow_3[Type],"Out",Cash_Flow_3[Category],"Mio")</f>
        <v>0</v>
      </c>
      <c r="R1050" s="29">
        <f>SUMIFS(Cash_Flow_3[Amount],Cash_Flow_3[Bulan],H1050,Cash_Flow_3[Type],"Out",Cash_Flow_3[Category],"Sedekah")</f>
        <v>0</v>
      </c>
      <c r="S1050" s="29">
        <f>SUMIFS(Cash_Flow_3[Amount],Cash_Flow_3[Bulan],H1050,Cash_Flow_3[Type],"Out",Cash_Flow_3[Category],"Zela")</f>
        <v>0</v>
      </c>
      <c r="T1050" s="29">
        <f>SUMIFS(Cash_Flow_3[Amount],Cash_Flow_3[Bulan],H1050,Cash_Flow_3[Type],"Out",Cash_Flow_3[Category],"Iqbal")</f>
        <v>0</v>
      </c>
    </row>
    <row r="1051" spans="1:20" ht="22.5" customHeight="1" x14ac:dyDescent="0.2">
      <c r="A1051" s="23"/>
      <c r="B1051" s="24"/>
      <c r="C1051" s="25"/>
      <c r="D1051" s="25"/>
      <c r="E1051" s="25"/>
      <c r="F1051" s="26"/>
      <c r="G1051" s="27"/>
      <c r="H1051" s="28" t="str">
        <f t="shared" si="0"/>
        <v/>
      </c>
      <c r="I1051" s="29">
        <f>SUMIFS(Cash_Flow_3[Amount],Cash_Flow_3[Bulan],H1051,Cash_Flow_3[Type],"In")</f>
        <v>0</v>
      </c>
      <c r="J1051" s="29">
        <f>SUMIFS(Cash_Flow_3[Amount],Cash_Flow_3[Bulan],H1051,Cash_Flow_3[Type],"Out")</f>
        <v>0</v>
      </c>
      <c r="K1051" s="29">
        <f>SUMIFS(Cash_Flow_3[Amount],Cash_Flow_3[Bulan],H1051,Cash_Flow_3[Type],"Out",Cash_Flow_3[Category],"Fix")</f>
        <v>0</v>
      </c>
      <c r="L1051" s="29">
        <f>SUMIFS(Cash_Flow_3[Amount],Cash_Flow_3[Bulan],H1051,Cash_Flow_3[Type],"Out",Cash_Flow_3[Category],"Bathroom")</f>
        <v>0</v>
      </c>
      <c r="M1051" s="29">
        <f>SUMIFS(Cash_Flow_3[Amount],Cash_Flow_3[Bulan],H1051,Cash_Flow_3[Type],"Out",Cash_Flow_3[Category],"Alfa")</f>
        <v>0</v>
      </c>
      <c r="N1051" s="29">
        <f>SUMIFS(Cash_Flow_3[Amount],Cash_Flow_3[Bulan],H1051,Cash_Flow_3[Type],"Out",Cash_Flow_3[Category],"Jajan")</f>
        <v>0</v>
      </c>
      <c r="O1051" s="29">
        <f>SUMIFS(Cash_Flow_3[Amount],Cash_Flow_3[Bulan],H1051,Cash_Flow_3[Type],"Out",Cash_Flow_3[Category],"Kitchen")</f>
        <v>0</v>
      </c>
      <c r="P1051" s="29">
        <f>SUMIFS(Cash_Flow_3[Amount],Cash_Flow_3[Bulan],H1051,Cash_Flow_3[Type],"Out",Cash_Flow_3[Category],"Loandry")</f>
        <v>0</v>
      </c>
      <c r="Q1051" s="29">
        <f>SUMIFS(Cash_Flow_3[Amount],Cash_Flow_3[Bulan],H1051,Cash_Flow_3[Type],"Out",Cash_Flow_3[Category],"Mio")</f>
        <v>0</v>
      </c>
      <c r="R1051" s="29">
        <f>SUMIFS(Cash_Flow_3[Amount],Cash_Flow_3[Bulan],H1051,Cash_Flow_3[Type],"Out",Cash_Flow_3[Category],"Sedekah")</f>
        <v>0</v>
      </c>
      <c r="S1051" s="29">
        <f>SUMIFS(Cash_Flow_3[Amount],Cash_Flow_3[Bulan],H1051,Cash_Flow_3[Type],"Out",Cash_Flow_3[Category],"Zela")</f>
        <v>0</v>
      </c>
      <c r="T1051" s="29">
        <f>SUMIFS(Cash_Flow_3[Amount],Cash_Flow_3[Bulan],H1051,Cash_Flow_3[Type],"Out",Cash_Flow_3[Category],"Iqbal")</f>
        <v>0</v>
      </c>
    </row>
    <row r="1052" spans="1:20" ht="22.5" customHeight="1" x14ac:dyDescent="0.2">
      <c r="A1052" s="23"/>
      <c r="B1052" s="24"/>
      <c r="C1052" s="25"/>
      <c r="D1052" s="25"/>
      <c r="E1052" s="25"/>
      <c r="F1052" s="26"/>
      <c r="G1052" s="27"/>
      <c r="H1052" s="28" t="str">
        <f t="shared" si="0"/>
        <v/>
      </c>
      <c r="I1052" s="29">
        <f>SUMIFS(Cash_Flow_3[Amount],Cash_Flow_3[Bulan],H1052,Cash_Flow_3[Type],"In")</f>
        <v>0</v>
      </c>
      <c r="J1052" s="29">
        <f>SUMIFS(Cash_Flow_3[Amount],Cash_Flow_3[Bulan],H1052,Cash_Flow_3[Type],"Out")</f>
        <v>0</v>
      </c>
      <c r="K1052" s="29">
        <f>SUMIFS(Cash_Flow_3[Amount],Cash_Flow_3[Bulan],H1052,Cash_Flow_3[Type],"Out",Cash_Flow_3[Category],"Fix")</f>
        <v>0</v>
      </c>
      <c r="L1052" s="29">
        <f>SUMIFS(Cash_Flow_3[Amount],Cash_Flow_3[Bulan],H1052,Cash_Flow_3[Type],"Out",Cash_Flow_3[Category],"Bathroom")</f>
        <v>0</v>
      </c>
      <c r="M1052" s="29">
        <f>SUMIFS(Cash_Flow_3[Amount],Cash_Flow_3[Bulan],H1052,Cash_Flow_3[Type],"Out",Cash_Flow_3[Category],"Alfa")</f>
        <v>0</v>
      </c>
      <c r="N1052" s="29">
        <f>SUMIFS(Cash_Flow_3[Amount],Cash_Flow_3[Bulan],H1052,Cash_Flow_3[Type],"Out",Cash_Flow_3[Category],"Jajan")</f>
        <v>0</v>
      </c>
      <c r="O1052" s="29">
        <f>SUMIFS(Cash_Flow_3[Amount],Cash_Flow_3[Bulan],H1052,Cash_Flow_3[Type],"Out",Cash_Flow_3[Category],"Kitchen")</f>
        <v>0</v>
      </c>
      <c r="P1052" s="29">
        <f>SUMIFS(Cash_Flow_3[Amount],Cash_Flow_3[Bulan],H1052,Cash_Flow_3[Type],"Out",Cash_Flow_3[Category],"Loandry")</f>
        <v>0</v>
      </c>
      <c r="Q1052" s="29">
        <f>SUMIFS(Cash_Flow_3[Amount],Cash_Flow_3[Bulan],H1052,Cash_Flow_3[Type],"Out",Cash_Flow_3[Category],"Mio")</f>
        <v>0</v>
      </c>
      <c r="R1052" s="29">
        <f>SUMIFS(Cash_Flow_3[Amount],Cash_Flow_3[Bulan],H1052,Cash_Flow_3[Type],"Out",Cash_Flow_3[Category],"Sedekah")</f>
        <v>0</v>
      </c>
      <c r="S1052" s="29">
        <f>SUMIFS(Cash_Flow_3[Amount],Cash_Flow_3[Bulan],H1052,Cash_Flow_3[Type],"Out",Cash_Flow_3[Category],"Zela")</f>
        <v>0</v>
      </c>
      <c r="T1052" s="29">
        <f>SUMIFS(Cash_Flow_3[Amount],Cash_Flow_3[Bulan],H1052,Cash_Flow_3[Type],"Out",Cash_Flow_3[Category],"Iqbal")</f>
        <v>0</v>
      </c>
    </row>
    <row r="1053" spans="1:20" ht="22.5" customHeight="1" x14ac:dyDescent="0.2">
      <c r="A1053" s="23"/>
      <c r="B1053" s="24"/>
      <c r="C1053" s="25"/>
      <c r="D1053" s="25"/>
      <c r="E1053" s="25"/>
      <c r="F1053" s="26"/>
      <c r="G1053" s="27"/>
      <c r="H1053" s="28" t="str">
        <f t="shared" si="0"/>
        <v/>
      </c>
      <c r="I1053" s="29">
        <f>SUMIFS(Cash_Flow_3[Amount],Cash_Flow_3[Bulan],H1053,Cash_Flow_3[Type],"In")</f>
        <v>0</v>
      </c>
      <c r="J1053" s="29">
        <f>SUMIFS(Cash_Flow_3[Amount],Cash_Flow_3[Bulan],H1053,Cash_Flow_3[Type],"Out")</f>
        <v>0</v>
      </c>
      <c r="K1053" s="29">
        <f>SUMIFS(Cash_Flow_3[Amount],Cash_Flow_3[Bulan],H1053,Cash_Flow_3[Type],"Out",Cash_Flow_3[Category],"Fix")</f>
        <v>0</v>
      </c>
      <c r="L1053" s="29">
        <f>SUMIFS(Cash_Flow_3[Amount],Cash_Flow_3[Bulan],H1053,Cash_Flow_3[Type],"Out",Cash_Flow_3[Category],"Bathroom")</f>
        <v>0</v>
      </c>
      <c r="M1053" s="29">
        <f>SUMIFS(Cash_Flow_3[Amount],Cash_Flow_3[Bulan],H1053,Cash_Flow_3[Type],"Out",Cash_Flow_3[Category],"Alfa")</f>
        <v>0</v>
      </c>
      <c r="N1053" s="29">
        <f>SUMIFS(Cash_Flow_3[Amount],Cash_Flow_3[Bulan],H1053,Cash_Flow_3[Type],"Out",Cash_Flow_3[Category],"Jajan")</f>
        <v>0</v>
      </c>
      <c r="O1053" s="29">
        <f>SUMIFS(Cash_Flow_3[Amount],Cash_Flow_3[Bulan],H1053,Cash_Flow_3[Type],"Out",Cash_Flow_3[Category],"Kitchen")</f>
        <v>0</v>
      </c>
      <c r="P1053" s="29">
        <f>SUMIFS(Cash_Flow_3[Amount],Cash_Flow_3[Bulan],H1053,Cash_Flow_3[Type],"Out",Cash_Flow_3[Category],"Loandry")</f>
        <v>0</v>
      </c>
      <c r="Q1053" s="29">
        <f>SUMIFS(Cash_Flow_3[Amount],Cash_Flow_3[Bulan],H1053,Cash_Flow_3[Type],"Out",Cash_Flow_3[Category],"Mio")</f>
        <v>0</v>
      </c>
      <c r="R1053" s="29">
        <f>SUMIFS(Cash_Flow_3[Amount],Cash_Flow_3[Bulan],H1053,Cash_Flow_3[Type],"Out",Cash_Flow_3[Category],"Sedekah")</f>
        <v>0</v>
      </c>
      <c r="S1053" s="29">
        <f>SUMIFS(Cash_Flow_3[Amount],Cash_Flow_3[Bulan],H1053,Cash_Flow_3[Type],"Out",Cash_Flow_3[Category],"Zela")</f>
        <v>0</v>
      </c>
      <c r="T1053" s="29">
        <f>SUMIFS(Cash_Flow_3[Amount],Cash_Flow_3[Bulan],H1053,Cash_Flow_3[Type],"Out",Cash_Flow_3[Category],"Iqbal")</f>
        <v>0</v>
      </c>
    </row>
    <row r="1054" spans="1:20" ht="22.5" customHeight="1" x14ac:dyDescent="0.2">
      <c r="A1054" s="23"/>
      <c r="B1054" s="24"/>
      <c r="C1054" s="25"/>
      <c r="D1054" s="25"/>
      <c r="E1054" s="25"/>
      <c r="F1054" s="26"/>
      <c r="G1054" s="27"/>
      <c r="H1054" s="28" t="str">
        <f t="shared" si="0"/>
        <v/>
      </c>
      <c r="I1054" s="29">
        <f>SUMIFS(Cash_Flow_3[Amount],Cash_Flow_3[Bulan],H1054,Cash_Flow_3[Type],"In")</f>
        <v>0</v>
      </c>
      <c r="J1054" s="29">
        <f>SUMIFS(Cash_Flow_3[Amount],Cash_Flow_3[Bulan],H1054,Cash_Flow_3[Type],"Out")</f>
        <v>0</v>
      </c>
      <c r="K1054" s="29">
        <f>SUMIFS(Cash_Flow_3[Amount],Cash_Flow_3[Bulan],H1054,Cash_Flow_3[Type],"Out",Cash_Flow_3[Category],"Fix")</f>
        <v>0</v>
      </c>
      <c r="L1054" s="29">
        <f>SUMIFS(Cash_Flow_3[Amount],Cash_Flow_3[Bulan],H1054,Cash_Flow_3[Type],"Out",Cash_Flow_3[Category],"Bathroom")</f>
        <v>0</v>
      </c>
      <c r="M1054" s="29">
        <f>SUMIFS(Cash_Flow_3[Amount],Cash_Flow_3[Bulan],H1054,Cash_Flow_3[Type],"Out",Cash_Flow_3[Category],"Alfa")</f>
        <v>0</v>
      </c>
      <c r="N1054" s="29">
        <f>SUMIFS(Cash_Flow_3[Amount],Cash_Flow_3[Bulan],H1054,Cash_Flow_3[Type],"Out",Cash_Flow_3[Category],"Jajan")</f>
        <v>0</v>
      </c>
      <c r="O1054" s="29">
        <f>SUMIFS(Cash_Flow_3[Amount],Cash_Flow_3[Bulan],H1054,Cash_Flow_3[Type],"Out",Cash_Flow_3[Category],"Kitchen")</f>
        <v>0</v>
      </c>
      <c r="P1054" s="29">
        <f>SUMIFS(Cash_Flow_3[Amount],Cash_Flow_3[Bulan],H1054,Cash_Flow_3[Type],"Out",Cash_Flow_3[Category],"Loandry")</f>
        <v>0</v>
      </c>
      <c r="Q1054" s="29">
        <f>SUMIFS(Cash_Flow_3[Amount],Cash_Flow_3[Bulan],H1054,Cash_Flow_3[Type],"Out",Cash_Flow_3[Category],"Mio")</f>
        <v>0</v>
      </c>
      <c r="R1054" s="29">
        <f>SUMIFS(Cash_Flow_3[Amount],Cash_Flow_3[Bulan],H1054,Cash_Flow_3[Type],"Out",Cash_Flow_3[Category],"Sedekah")</f>
        <v>0</v>
      </c>
      <c r="S1054" s="29">
        <f>SUMIFS(Cash_Flow_3[Amount],Cash_Flow_3[Bulan],H1054,Cash_Flow_3[Type],"Out",Cash_Flow_3[Category],"Zela")</f>
        <v>0</v>
      </c>
      <c r="T1054" s="29">
        <f>SUMIFS(Cash_Flow_3[Amount],Cash_Flow_3[Bulan],H1054,Cash_Flow_3[Type],"Out",Cash_Flow_3[Category],"Iqbal")</f>
        <v>0</v>
      </c>
    </row>
    <row r="1055" spans="1:20" ht="22.5" customHeight="1" x14ac:dyDescent="0.2">
      <c r="A1055" s="23"/>
      <c r="B1055" s="24"/>
      <c r="C1055" s="25"/>
      <c r="D1055" s="25"/>
      <c r="E1055" s="25"/>
      <c r="F1055" s="26"/>
      <c r="G1055" s="27"/>
      <c r="H1055" s="28" t="str">
        <f t="shared" si="0"/>
        <v/>
      </c>
      <c r="I1055" s="29">
        <f>SUMIFS(Cash_Flow_3[Amount],Cash_Flow_3[Bulan],H1055,Cash_Flow_3[Type],"In")</f>
        <v>0</v>
      </c>
      <c r="J1055" s="29">
        <f>SUMIFS(Cash_Flow_3[Amount],Cash_Flow_3[Bulan],H1055,Cash_Flow_3[Type],"Out")</f>
        <v>0</v>
      </c>
      <c r="K1055" s="29">
        <f>SUMIFS(Cash_Flow_3[Amount],Cash_Flow_3[Bulan],H1055,Cash_Flow_3[Type],"Out",Cash_Flow_3[Category],"Fix")</f>
        <v>0</v>
      </c>
      <c r="L1055" s="29">
        <f>SUMIFS(Cash_Flow_3[Amount],Cash_Flow_3[Bulan],H1055,Cash_Flow_3[Type],"Out",Cash_Flow_3[Category],"Bathroom")</f>
        <v>0</v>
      </c>
      <c r="M1055" s="29">
        <f>SUMIFS(Cash_Flow_3[Amount],Cash_Flow_3[Bulan],H1055,Cash_Flow_3[Type],"Out",Cash_Flow_3[Category],"Alfa")</f>
        <v>0</v>
      </c>
      <c r="N1055" s="29">
        <f>SUMIFS(Cash_Flow_3[Amount],Cash_Flow_3[Bulan],H1055,Cash_Flow_3[Type],"Out",Cash_Flow_3[Category],"Jajan")</f>
        <v>0</v>
      </c>
      <c r="O1055" s="29">
        <f>SUMIFS(Cash_Flow_3[Amount],Cash_Flow_3[Bulan],H1055,Cash_Flow_3[Type],"Out",Cash_Flow_3[Category],"Kitchen")</f>
        <v>0</v>
      </c>
      <c r="P1055" s="29">
        <f>SUMIFS(Cash_Flow_3[Amount],Cash_Flow_3[Bulan],H1055,Cash_Flow_3[Type],"Out",Cash_Flow_3[Category],"Loandry")</f>
        <v>0</v>
      </c>
      <c r="Q1055" s="29">
        <f>SUMIFS(Cash_Flow_3[Amount],Cash_Flow_3[Bulan],H1055,Cash_Flow_3[Type],"Out",Cash_Flow_3[Category],"Mio")</f>
        <v>0</v>
      </c>
      <c r="R1055" s="29">
        <f>SUMIFS(Cash_Flow_3[Amount],Cash_Flow_3[Bulan],H1055,Cash_Flow_3[Type],"Out",Cash_Flow_3[Category],"Sedekah")</f>
        <v>0</v>
      </c>
      <c r="S1055" s="29">
        <f>SUMIFS(Cash_Flow_3[Amount],Cash_Flow_3[Bulan],H1055,Cash_Flow_3[Type],"Out",Cash_Flow_3[Category],"Zela")</f>
        <v>0</v>
      </c>
      <c r="T1055" s="29">
        <f>SUMIFS(Cash_Flow_3[Amount],Cash_Flow_3[Bulan],H1055,Cash_Flow_3[Type],"Out",Cash_Flow_3[Category],"Iqbal")</f>
        <v>0</v>
      </c>
    </row>
    <row r="1056" spans="1:20" ht="22.5" customHeight="1" x14ac:dyDescent="0.2">
      <c r="A1056" s="23"/>
      <c r="B1056" s="24"/>
      <c r="C1056" s="25"/>
      <c r="D1056" s="25"/>
      <c r="E1056" s="25"/>
      <c r="F1056" s="26"/>
      <c r="G1056" s="27"/>
      <c r="H1056" s="28" t="str">
        <f t="shared" si="0"/>
        <v/>
      </c>
      <c r="I1056" s="29">
        <f>SUMIFS(Cash_Flow_3[Amount],Cash_Flow_3[Bulan],H1056,Cash_Flow_3[Type],"In")</f>
        <v>0</v>
      </c>
      <c r="J1056" s="29">
        <f>SUMIFS(Cash_Flow_3[Amount],Cash_Flow_3[Bulan],H1056,Cash_Flow_3[Type],"Out")</f>
        <v>0</v>
      </c>
      <c r="K1056" s="29">
        <f>SUMIFS(Cash_Flow_3[Amount],Cash_Flow_3[Bulan],H1056,Cash_Flow_3[Type],"Out",Cash_Flow_3[Category],"Fix")</f>
        <v>0</v>
      </c>
      <c r="L1056" s="29">
        <f>SUMIFS(Cash_Flow_3[Amount],Cash_Flow_3[Bulan],H1056,Cash_Flow_3[Type],"Out",Cash_Flow_3[Category],"Bathroom")</f>
        <v>0</v>
      </c>
      <c r="M1056" s="29">
        <f>SUMIFS(Cash_Flow_3[Amount],Cash_Flow_3[Bulan],H1056,Cash_Flow_3[Type],"Out",Cash_Flow_3[Category],"Alfa")</f>
        <v>0</v>
      </c>
      <c r="N1056" s="29">
        <f>SUMIFS(Cash_Flow_3[Amount],Cash_Flow_3[Bulan],H1056,Cash_Flow_3[Type],"Out",Cash_Flow_3[Category],"Jajan")</f>
        <v>0</v>
      </c>
      <c r="O1056" s="29">
        <f>SUMIFS(Cash_Flow_3[Amount],Cash_Flow_3[Bulan],H1056,Cash_Flow_3[Type],"Out",Cash_Flow_3[Category],"Kitchen")</f>
        <v>0</v>
      </c>
      <c r="P1056" s="29">
        <f>SUMIFS(Cash_Flow_3[Amount],Cash_Flow_3[Bulan],H1056,Cash_Flow_3[Type],"Out",Cash_Flow_3[Category],"Loandry")</f>
        <v>0</v>
      </c>
      <c r="Q1056" s="29">
        <f>SUMIFS(Cash_Flow_3[Amount],Cash_Flow_3[Bulan],H1056,Cash_Flow_3[Type],"Out",Cash_Flow_3[Category],"Mio")</f>
        <v>0</v>
      </c>
      <c r="R1056" s="29">
        <f>SUMIFS(Cash_Flow_3[Amount],Cash_Flow_3[Bulan],H1056,Cash_Flow_3[Type],"Out",Cash_Flow_3[Category],"Sedekah")</f>
        <v>0</v>
      </c>
      <c r="S1056" s="29">
        <f>SUMIFS(Cash_Flow_3[Amount],Cash_Flow_3[Bulan],H1056,Cash_Flow_3[Type],"Out",Cash_Flow_3[Category],"Zela")</f>
        <v>0</v>
      </c>
      <c r="T1056" s="29">
        <f>SUMIFS(Cash_Flow_3[Amount],Cash_Flow_3[Bulan],H1056,Cash_Flow_3[Type],"Out",Cash_Flow_3[Category],"Iqbal")</f>
        <v>0</v>
      </c>
    </row>
    <row r="1057" spans="1:20" ht="22.5" customHeight="1" x14ac:dyDescent="0.2">
      <c r="A1057" s="23"/>
      <c r="B1057" s="24"/>
      <c r="C1057" s="25"/>
      <c r="D1057" s="25"/>
      <c r="E1057" s="25"/>
      <c r="F1057" s="26"/>
      <c r="G1057" s="27"/>
      <c r="H1057" s="28" t="str">
        <f t="shared" si="0"/>
        <v/>
      </c>
      <c r="I1057" s="29">
        <f>SUMIFS(Cash_Flow_3[Amount],Cash_Flow_3[Bulan],H1057,Cash_Flow_3[Type],"In")</f>
        <v>0</v>
      </c>
      <c r="J1057" s="29">
        <f>SUMIFS(Cash_Flow_3[Amount],Cash_Flow_3[Bulan],H1057,Cash_Flow_3[Type],"Out")</f>
        <v>0</v>
      </c>
      <c r="K1057" s="29">
        <f>SUMIFS(Cash_Flow_3[Amount],Cash_Flow_3[Bulan],H1057,Cash_Flow_3[Type],"Out",Cash_Flow_3[Category],"Fix")</f>
        <v>0</v>
      </c>
      <c r="L1057" s="29">
        <f>SUMIFS(Cash_Flow_3[Amount],Cash_Flow_3[Bulan],H1057,Cash_Flow_3[Type],"Out",Cash_Flow_3[Category],"Bathroom")</f>
        <v>0</v>
      </c>
      <c r="M1057" s="29">
        <f>SUMIFS(Cash_Flow_3[Amount],Cash_Flow_3[Bulan],H1057,Cash_Flow_3[Type],"Out",Cash_Flow_3[Category],"Alfa")</f>
        <v>0</v>
      </c>
      <c r="N1057" s="29">
        <f>SUMIFS(Cash_Flow_3[Amount],Cash_Flow_3[Bulan],H1057,Cash_Flow_3[Type],"Out",Cash_Flow_3[Category],"Jajan")</f>
        <v>0</v>
      </c>
      <c r="O1057" s="29">
        <f>SUMIFS(Cash_Flow_3[Amount],Cash_Flow_3[Bulan],H1057,Cash_Flow_3[Type],"Out",Cash_Flow_3[Category],"Kitchen")</f>
        <v>0</v>
      </c>
      <c r="P1057" s="29">
        <f>SUMIFS(Cash_Flow_3[Amount],Cash_Flow_3[Bulan],H1057,Cash_Flow_3[Type],"Out",Cash_Flow_3[Category],"Loandry")</f>
        <v>0</v>
      </c>
      <c r="Q1057" s="29">
        <f>SUMIFS(Cash_Flow_3[Amount],Cash_Flow_3[Bulan],H1057,Cash_Flow_3[Type],"Out",Cash_Flow_3[Category],"Mio")</f>
        <v>0</v>
      </c>
      <c r="R1057" s="29">
        <f>SUMIFS(Cash_Flow_3[Amount],Cash_Flow_3[Bulan],H1057,Cash_Flow_3[Type],"Out",Cash_Flow_3[Category],"Sedekah")</f>
        <v>0</v>
      </c>
      <c r="S1057" s="29">
        <f>SUMIFS(Cash_Flow_3[Amount],Cash_Flow_3[Bulan],H1057,Cash_Flow_3[Type],"Out",Cash_Flow_3[Category],"Zela")</f>
        <v>0</v>
      </c>
      <c r="T1057" s="29">
        <f>SUMIFS(Cash_Flow_3[Amount],Cash_Flow_3[Bulan],H1057,Cash_Flow_3[Type],"Out",Cash_Flow_3[Category],"Iqbal")</f>
        <v>0</v>
      </c>
    </row>
    <row r="1058" spans="1:20" ht="22.5" customHeight="1" x14ac:dyDescent="0.2">
      <c r="A1058" s="23"/>
      <c r="B1058" s="24"/>
      <c r="C1058" s="25"/>
      <c r="D1058" s="25"/>
      <c r="E1058" s="25"/>
      <c r="F1058" s="26"/>
      <c r="G1058" s="27"/>
      <c r="H1058" s="28" t="str">
        <f t="shared" si="0"/>
        <v/>
      </c>
      <c r="I1058" s="29">
        <f>SUMIFS(Cash_Flow_3[Amount],Cash_Flow_3[Bulan],H1058,Cash_Flow_3[Type],"In")</f>
        <v>0</v>
      </c>
      <c r="J1058" s="29">
        <f>SUMIFS(Cash_Flow_3[Amount],Cash_Flow_3[Bulan],H1058,Cash_Flow_3[Type],"Out")</f>
        <v>0</v>
      </c>
      <c r="K1058" s="29">
        <f>SUMIFS(Cash_Flow_3[Amount],Cash_Flow_3[Bulan],H1058,Cash_Flow_3[Type],"Out",Cash_Flow_3[Category],"Fix")</f>
        <v>0</v>
      </c>
      <c r="L1058" s="29">
        <f>SUMIFS(Cash_Flow_3[Amount],Cash_Flow_3[Bulan],H1058,Cash_Flow_3[Type],"Out",Cash_Flow_3[Category],"Bathroom")</f>
        <v>0</v>
      </c>
      <c r="M1058" s="29">
        <f>SUMIFS(Cash_Flow_3[Amount],Cash_Flow_3[Bulan],H1058,Cash_Flow_3[Type],"Out",Cash_Flow_3[Category],"Alfa")</f>
        <v>0</v>
      </c>
      <c r="N1058" s="29">
        <f>SUMIFS(Cash_Flow_3[Amount],Cash_Flow_3[Bulan],H1058,Cash_Flow_3[Type],"Out",Cash_Flow_3[Category],"Jajan")</f>
        <v>0</v>
      </c>
      <c r="O1058" s="29">
        <f>SUMIFS(Cash_Flow_3[Amount],Cash_Flow_3[Bulan],H1058,Cash_Flow_3[Type],"Out",Cash_Flow_3[Category],"Kitchen")</f>
        <v>0</v>
      </c>
      <c r="P1058" s="29">
        <f>SUMIFS(Cash_Flow_3[Amount],Cash_Flow_3[Bulan],H1058,Cash_Flow_3[Type],"Out",Cash_Flow_3[Category],"Loandry")</f>
        <v>0</v>
      </c>
      <c r="Q1058" s="29">
        <f>SUMIFS(Cash_Flow_3[Amount],Cash_Flow_3[Bulan],H1058,Cash_Flow_3[Type],"Out",Cash_Flow_3[Category],"Mio")</f>
        <v>0</v>
      </c>
      <c r="R1058" s="29">
        <f>SUMIFS(Cash_Flow_3[Amount],Cash_Flow_3[Bulan],H1058,Cash_Flow_3[Type],"Out",Cash_Flow_3[Category],"Sedekah")</f>
        <v>0</v>
      </c>
      <c r="S1058" s="29">
        <f>SUMIFS(Cash_Flow_3[Amount],Cash_Flow_3[Bulan],H1058,Cash_Flow_3[Type],"Out",Cash_Flow_3[Category],"Zela")</f>
        <v>0</v>
      </c>
      <c r="T1058" s="29">
        <f>SUMIFS(Cash_Flow_3[Amount],Cash_Flow_3[Bulan],H1058,Cash_Flow_3[Type],"Out",Cash_Flow_3[Category],"Iqbal")</f>
        <v>0</v>
      </c>
    </row>
    <row r="1059" spans="1:20" ht="22.5" customHeight="1" x14ac:dyDescent="0.2">
      <c r="A1059" s="23"/>
      <c r="B1059" s="24"/>
      <c r="C1059" s="25"/>
      <c r="D1059" s="25"/>
      <c r="E1059" s="25"/>
      <c r="F1059" s="26"/>
      <c r="G1059" s="27"/>
      <c r="H1059" s="28" t="str">
        <f t="shared" si="0"/>
        <v/>
      </c>
      <c r="I1059" s="29">
        <f>SUMIFS(Cash_Flow_3[Amount],Cash_Flow_3[Bulan],H1059,Cash_Flow_3[Type],"In")</f>
        <v>0</v>
      </c>
      <c r="J1059" s="29">
        <f>SUMIFS(Cash_Flow_3[Amount],Cash_Flow_3[Bulan],H1059,Cash_Flow_3[Type],"Out")</f>
        <v>0</v>
      </c>
      <c r="K1059" s="29">
        <f>SUMIFS(Cash_Flow_3[Amount],Cash_Flow_3[Bulan],H1059,Cash_Flow_3[Type],"Out",Cash_Flow_3[Category],"Fix")</f>
        <v>0</v>
      </c>
      <c r="L1059" s="29">
        <f>SUMIFS(Cash_Flow_3[Amount],Cash_Flow_3[Bulan],H1059,Cash_Flow_3[Type],"Out",Cash_Flow_3[Category],"Bathroom")</f>
        <v>0</v>
      </c>
      <c r="M1059" s="29">
        <f>SUMIFS(Cash_Flow_3[Amount],Cash_Flow_3[Bulan],H1059,Cash_Flow_3[Type],"Out",Cash_Flow_3[Category],"Alfa")</f>
        <v>0</v>
      </c>
      <c r="N1059" s="29">
        <f>SUMIFS(Cash_Flow_3[Amount],Cash_Flow_3[Bulan],H1059,Cash_Flow_3[Type],"Out",Cash_Flow_3[Category],"Jajan")</f>
        <v>0</v>
      </c>
      <c r="O1059" s="29">
        <f>SUMIFS(Cash_Flow_3[Amount],Cash_Flow_3[Bulan],H1059,Cash_Flow_3[Type],"Out",Cash_Flow_3[Category],"Kitchen")</f>
        <v>0</v>
      </c>
      <c r="P1059" s="29">
        <f>SUMIFS(Cash_Flow_3[Amount],Cash_Flow_3[Bulan],H1059,Cash_Flow_3[Type],"Out",Cash_Flow_3[Category],"Loandry")</f>
        <v>0</v>
      </c>
      <c r="Q1059" s="29">
        <f>SUMIFS(Cash_Flow_3[Amount],Cash_Flow_3[Bulan],H1059,Cash_Flow_3[Type],"Out",Cash_Flow_3[Category],"Mio")</f>
        <v>0</v>
      </c>
      <c r="R1059" s="29">
        <f>SUMIFS(Cash_Flow_3[Amount],Cash_Flow_3[Bulan],H1059,Cash_Flow_3[Type],"Out",Cash_Flow_3[Category],"Sedekah")</f>
        <v>0</v>
      </c>
      <c r="S1059" s="29">
        <f>SUMIFS(Cash_Flow_3[Amount],Cash_Flow_3[Bulan],H1059,Cash_Flow_3[Type],"Out",Cash_Flow_3[Category],"Zela")</f>
        <v>0</v>
      </c>
      <c r="T1059" s="29">
        <f>SUMIFS(Cash_Flow_3[Amount],Cash_Flow_3[Bulan],H1059,Cash_Flow_3[Type],"Out",Cash_Flow_3[Category],"Iqbal")</f>
        <v>0</v>
      </c>
    </row>
    <row r="1060" spans="1:20" ht="22.5" customHeight="1" x14ac:dyDescent="0.2">
      <c r="A1060" s="23"/>
      <c r="B1060" s="24"/>
      <c r="C1060" s="25"/>
      <c r="D1060" s="25"/>
      <c r="E1060" s="25"/>
      <c r="F1060" s="26"/>
      <c r="G1060" s="27"/>
      <c r="H1060" s="28" t="str">
        <f t="shared" si="0"/>
        <v/>
      </c>
      <c r="I1060" s="29">
        <f>SUMIFS(Cash_Flow_3[Amount],Cash_Flow_3[Bulan],H1060,Cash_Flow_3[Type],"In")</f>
        <v>0</v>
      </c>
      <c r="J1060" s="29">
        <f>SUMIFS(Cash_Flow_3[Amount],Cash_Flow_3[Bulan],H1060,Cash_Flow_3[Type],"Out")</f>
        <v>0</v>
      </c>
      <c r="K1060" s="29">
        <f>SUMIFS(Cash_Flow_3[Amount],Cash_Flow_3[Bulan],H1060,Cash_Flow_3[Type],"Out",Cash_Flow_3[Category],"Fix")</f>
        <v>0</v>
      </c>
      <c r="L1060" s="29">
        <f>SUMIFS(Cash_Flow_3[Amount],Cash_Flow_3[Bulan],H1060,Cash_Flow_3[Type],"Out",Cash_Flow_3[Category],"Bathroom")</f>
        <v>0</v>
      </c>
      <c r="M1060" s="29">
        <f>SUMIFS(Cash_Flow_3[Amount],Cash_Flow_3[Bulan],H1060,Cash_Flow_3[Type],"Out",Cash_Flow_3[Category],"Alfa")</f>
        <v>0</v>
      </c>
      <c r="N1060" s="29">
        <f>SUMIFS(Cash_Flow_3[Amount],Cash_Flow_3[Bulan],H1060,Cash_Flow_3[Type],"Out",Cash_Flow_3[Category],"Jajan")</f>
        <v>0</v>
      </c>
      <c r="O1060" s="29">
        <f>SUMIFS(Cash_Flow_3[Amount],Cash_Flow_3[Bulan],H1060,Cash_Flow_3[Type],"Out",Cash_Flow_3[Category],"Kitchen")</f>
        <v>0</v>
      </c>
      <c r="P1060" s="29">
        <f>SUMIFS(Cash_Flow_3[Amount],Cash_Flow_3[Bulan],H1060,Cash_Flow_3[Type],"Out",Cash_Flow_3[Category],"Loandry")</f>
        <v>0</v>
      </c>
      <c r="Q1060" s="29">
        <f>SUMIFS(Cash_Flow_3[Amount],Cash_Flow_3[Bulan],H1060,Cash_Flow_3[Type],"Out",Cash_Flow_3[Category],"Mio")</f>
        <v>0</v>
      </c>
      <c r="R1060" s="29">
        <f>SUMIFS(Cash_Flow_3[Amount],Cash_Flow_3[Bulan],H1060,Cash_Flow_3[Type],"Out",Cash_Flow_3[Category],"Sedekah")</f>
        <v>0</v>
      </c>
      <c r="S1060" s="29">
        <f>SUMIFS(Cash_Flow_3[Amount],Cash_Flow_3[Bulan],H1060,Cash_Flow_3[Type],"Out",Cash_Flow_3[Category],"Zela")</f>
        <v>0</v>
      </c>
      <c r="T1060" s="29">
        <f>SUMIFS(Cash_Flow_3[Amount],Cash_Flow_3[Bulan],H1060,Cash_Flow_3[Type],"Out",Cash_Flow_3[Category],"Iqbal")</f>
        <v>0</v>
      </c>
    </row>
    <row r="1061" spans="1:20" ht="22.5" customHeight="1" x14ac:dyDescent="0.2">
      <c r="A1061" s="23"/>
      <c r="B1061" s="24"/>
      <c r="C1061" s="25"/>
      <c r="D1061" s="25"/>
      <c r="E1061" s="25"/>
      <c r="F1061" s="26"/>
      <c r="G1061" s="27"/>
      <c r="H1061" s="28" t="str">
        <f t="shared" si="0"/>
        <v/>
      </c>
      <c r="I1061" s="29">
        <f>SUMIFS(Cash_Flow_3[Amount],Cash_Flow_3[Bulan],H1061,Cash_Flow_3[Type],"In")</f>
        <v>0</v>
      </c>
      <c r="J1061" s="29">
        <f>SUMIFS(Cash_Flow_3[Amount],Cash_Flow_3[Bulan],H1061,Cash_Flow_3[Type],"Out")</f>
        <v>0</v>
      </c>
      <c r="K1061" s="29">
        <f>SUMIFS(Cash_Flow_3[Amount],Cash_Flow_3[Bulan],H1061,Cash_Flow_3[Type],"Out",Cash_Flow_3[Category],"Fix")</f>
        <v>0</v>
      </c>
      <c r="L1061" s="29">
        <f>SUMIFS(Cash_Flow_3[Amount],Cash_Flow_3[Bulan],H1061,Cash_Flow_3[Type],"Out",Cash_Flow_3[Category],"Bathroom")</f>
        <v>0</v>
      </c>
      <c r="M1061" s="29">
        <f>SUMIFS(Cash_Flow_3[Amount],Cash_Flow_3[Bulan],H1061,Cash_Flow_3[Type],"Out",Cash_Flow_3[Category],"Alfa")</f>
        <v>0</v>
      </c>
      <c r="N1061" s="29">
        <f>SUMIFS(Cash_Flow_3[Amount],Cash_Flow_3[Bulan],H1061,Cash_Flow_3[Type],"Out",Cash_Flow_3[Category],"Jajan")</f>
        <v>0</v>
      </c>
      <c r="O1061" s="29">
        <f>SUMIFS(Cash_Flow_3[Amount],Cash_Flow_3[Bulan],H1061,Cash_Flow_3[Type],"Out",Cash_Flow_3[Category],"Kitchen")</f>
        <v>0</v>
      </c>
      <c r="P1061" s="29">
        <f>SUMIFS(Cash_Flow_3[Amount],Cash_Flow_3[Bulan],H1061,Cash_Flow_3[Type],"Out",Cash_Flow_3[Category],"Loandry")</f>
        <v>0</v>
      </c>
      <c r="Q1061" s="29">
        <f>SUMIFS(Cash_Flow_3[Amount],Cash_Flow_3[Bulan],H1061,Cash_Flow_3[Type],"Out",Cash_Flow_3[Category],"Mio")</f>
        <v>0</v>
      </c>
      <c r="R1061" s="29">
        <f>SUMIFS(Cash_Flow_3[Amount],Cash_Flow_3[Bulan],H1061,Cash_Flow_3[Type],"Out",Cash_Flow_3[Category],"Sedekah")</f>
        <v>0</v>
      </c>
      <c r="S1061" s="29">
        <f>SUMIFS(Cash_Flow_3[Amount],Cash_Flow_3[Bulan],H1061,Cash_Flow_3[Type],"Out",Cash_Flow_3[Category],"Zela")</f>
        <v>0</v>
      </c>
      <c r="T1061" s="29">
        <f>SUMIFS(Cash_Flow_3[Amount],Cash_Flow_3[Bulan],H1061,Cash_Flow_3[Type],"Out",Cash_Flow_3[Category],"Iqbal")</f>
        <v>0</v>
      </c>
    </row>
    <row r="1062" spans="1:20" ht="22.5" customHeight="1" x14ac:dyDescent="0.2">
      <c r="A1062" s="23"/>
      <c r="B1062" s="24"/>
      <c r="C1062" s="25"/>
      <c r="D1062" s="25"/>
      <c r="E1062" s="25"/>
      <c r="F1062" s="26"/>
      <c r="G1062" s="27"/>
      <c r="H1062" s="28" t="str">
        <f t="shared" si="0"/>
        <v/>
      </c>
      <c r="I1062" s="29">
        <f>SUMIFS(Cash_Flow_3[Amount],Cash_Flow_3[Bulan],H1062,Cash_Flow_3[Type],"In")</f>
        <v>0</v>
      </c>
      <c r="J1062" s="29">
        <f>SUMIFS(Cash_Flow_3[Amount],Cash_Flow_3[Bulan],H1062,Cash_Flow_3[Type],"Out")</f>
        <v>0</v>
      </c>
      <c r="K1062" s="29">
        <f>SUMIFS(Cash_Flow_3[Amount],Cash_Flow_3[Bulan],H1062,Cash_Flow_3[Type],"Out",Cash_Flow_3[Category],"Fix")</f>
        <v>0</v>
      </c>
      <c r="L1062" s="29">
        <f>SUMIFS(Cash_Flow_3[Amount],Cash_Flow_3[Bulan],H1062,Cash_Flow_3[Type],"Out",Cash_Flow_3[Category],"Bathroom")</f>
        <v>0</v>
      </c>
      <c r="M1062" s="29">
        <f>SUMIFS(Cash_Flow_3[Amount],Cash_Flow_3[Bulan],H1062,Cash_Flow_3[Type],"Out",Cash_Flow_3[Category],"Alfa")</f>
        <v>0</v>
      </c>
      <c r="N1062" s="29">
        <f>SUMIFS(Cash_Flow_3[Amount],Cash_Flow_3[Bulan],H1062,Cash_Flow_3[Type],"Out",Cash_Flow_3[Category],"Jajan")</f>
        <v>0</v>
      </c>
      <c r="O1062" s="29">
        <f>SUMIFS(Cash_Flow_3[Amount],Cash_Flow_3[Bulan],H1062,Cash_Flow_3[Type],"Out",Cash_Flow_3[Category],"Kitchen")</f>
        <v>0</v>
      </c>
      <c r="P1062" s="29">
        <f>SUMIFS(Cash_Flow_3[Amount],Cash_Flow_3[Bulan],H1062,Cash_Flow_3[Type],"Out",Cash_Flow_3[Category],"Loandry")</f>
        <v>0</v>
      </c>
      <c r="Q1062" s="29">
        <f>SUMIFS(Cash_Flow_3[Amount],Cash_Flow_3[Bulan],H1062,Cash_Flow_3[Type],"Out",Cash_Flow_3[Category],"Mio")</f>
        <v>0</v>
      </c>
      <c r="R1062" s="29">
        <f>SUMIFS(Cash_Flow_3[Amount],Cash_Flow_3[Bulan],H1062,Cash_Flow_3[Type],"Out",Cash_Flow_3[Category],"Sedekah")</f>
        <v>0</v>
      </c>
      <c r="S1062" s="29">
        <f>SUMIFS(Cash_Flow_3[Amount],Cash_Flow_3[Bulan],H1062,Cash_Flow_3[Type],"Out",Cash_Flow_3[Category],"Zela")</f>
        <v>0</v>
      </c>
      <c r="T1062" s="29">
        <f>SUMIFS(Cash_Flow_3[Amount],Cash_Flow_3[Bulan],H1062,Cash_Flow_3[Type],"Out",Cash_Flow_3[Category],"Iqbal")</f>
        <v>0</v>
      </c>
    </row>
    <row r="1063" spans="1:20" ht="22.5" customHeight="1" x14ac:dyDescent="0.2">
      <c r="A1063" s="23"/>
      <c r="B1063" s="24"/>
      <c r="C1063" s="25"/>
      <c r="D1063" s="25"/>
      <c r="E1063" s="25"/>
      <c r="F1063" s="26"/>
      <c r="G1063" s="27"/>
      <c r="H1063" s="28" t="str">
        <f t="shared" si="0"/>
        <v/>
      </c>
      <c r="I1063" s="29">
        <f>SUMIFS(Cash_Flow_3[Amount],Cash_Flow_3[Bulan],H1063,Cash_Flow_3[Type],"In")</f>
        <v>0</v>
      </c>
      <c r="J1063" s="29">
        <f>SUMIFS(Cash_Flow_3[Amount],Cash_Flow_3[Bulan],H1063,Cash_Flow_3[Type],"Out")</f>
        <v>0</v>
      </c>
      <c r="K1063" s="29">
        <f>SUMIFS(Cash_Flow_3[Amount],Cash_Flow_3[Bulan],H1063,Cash_Flow_3[Type],"Out",Cash_Flow_3[Category],"Fix")</f>
        <v>0</v>
      </c>
      <c r="L1063" s="29">
        <f>SUMIFS(Cash_Flow_3[Amount],Cash_Flow_3[Bulan],H1063,Cash_Flow_3[Type],"Out",Cash_Flow_3[Category],"Bathroom")</f>
        <v>0</v>
      </c>
      <c r="M1063" s="29">
        <f>SUMIFS(Cash_Flow_3[Amount],Cash_Flow_3[Bulan],H1063,Cash_Flow_3[Type],"Out",Cash_Flow_3[Category],"Alfa")</f>
        <v>0</v>
      </c>
      <c r="N1063" s="29">
        <f>SUMIFS(Cash_Flow_3[Amount],Cash_Flow_3[Bulan],H1063,Cash_Flow_3[Type],"Out",Cash_Flow_3[Category],"Jajan")</f>
        <v>0</v>
      </c>
      <c r="O1063" s="29">
        <f>SUMIFS(Cash_Flow_3[Amount],Cash_Flow_3[Bulan],H1063,Cash_Flow_3[Type],"Out",Cash_Flow_3[Category],"Kitchen")</f>
        <v>0</v>
      </c>
      <c r="P1063" s="29">
        <f>SUMIFS(Cash_Flow_3[Amount],Cash_Flow_3[Bulan],H1063,Cash_Flow_3[Type],"Out",Cash_Flow_3[Category],"Loandry")</f>
        <v>0</v>
      </c>
      <c r="Q1063" s="29">
        <f>SUMIFS(Cash_Flow_3[Amount],Cash_Flow_3[Bulan],H1063,Cash_Flow_3[Type],"Out",Cash_Flow_3[Category],"Mio")</f>
        <v>0</v>
      </c>
      <c r="R1063" s="29">
        <f>SUMIFS(Cash_Flow_3[Amount],Cash_Flow_3[Bulan],H1063,Cash_Flow_3[Type],"Out",Cash_Flow_3[Category],"Sedekah")</f>
        <v>0</v>
      </c>
      <c r="S1063" s="29">
        <f>SUMIFS(Cash_Flow_3[Amount],Cash_Flow_3[Bulan],H1063,Cash_Flow_3[Type],"Out",Cash_Flow_3[Category],"Zela")</f>
        <v>0</v>
      </c>
      <c r="T1063" s="29">
        <f>SUMIFS(Cash_Flow_3[Amount],Cash_Flow_3[Bulan],H1063,Cash_Flow_3[Type],"Out",Cash_Flow_3[Category],"Iqbal")</f>
        <v>0</v>
      </c>
    </row>
    <row r="1064" spans="1:20" ht="22.5" customHeight="1" x14ac:dyDescent="0.2">
      <c r="A1064" s="23"/>
      <c r="B1064" s="24"/>
      <c r="C1064" s="25"/>
      <c r="D1064" s="25"/>
      <c r="E1064" s="25"/>
      <c r="F1064" s="26"/>
      <c r="G1064" s="27"/>
      <c r="H1064" s="28" t="str">
        <f t="shared" si="0"/>
        <v/>
      </c>
      <c r="I1064" s="29">
        <f>SUMIFS(Cash_Flow_3[Amount],Cash_Flow_3[Bulan],H1064,Cash_Flow_3[Type],"In")</f>
        <v>0</v>
      </c>
      <c r="J1064" s="29">
        <f>SUMIFS(Cash_Flow_3[Amount],Cash_Flow_3[Bulan],H1064,Cash_Flow_3[Type],"Out")</f>
        <v>0</v>
      </c>
      <c r="K1064" s="29">
        <f>SUMIFS(Cash_Flow_3[Amount],Cash_Flow_3[Bulan],H1064,Cash_Flow_3[Type],"Out",Cash_Flow_3[Category],"Fix")</f>
        <v>0</v>
      </c>
      <c r="L1064" s="29">
        <f>SUMIFS(Cash_Flow_3[Amount],Cash_Flow_3[Bulan],H1064,Cash_Flow_3[Type],"Out",Cash_Flow_3[Category],"Bathroom")</f>
        <v>0</v>
      </c>
      <c r="M1064" s="29">
        <f>SUMIFS(Cash_Flow_3[Amount],Cash_Flow_3[Bulan],H1064,Cash_Flow_3[Type],"Out",Cash_Flow_3[Category],"Alfa")</f>
        <v>0</v>
      </c>
      <c r="N1064" s="29">
        <f>SUMIFS(Cash_Flow_3[Amount],Cash_Flow_3[Bulan],H1064,Cash_Flow_3[Type],"Out",Cash_Flow_3[Category],"Jajan")</f>
        <v>0</v>
      </c>
      <c r="O1064" s="29">
        <f>SUMIFS(Cash_Flow_3[Amount],Cash_Flow_3[Bulan],H1064,Cash_Flow_3[Type],"Out",Cash_Flow_3[Category],"Kitchen")</f>
        <v>0</v>
      </c>
      <c r="P1064" s="29">
        <f>SUMIFS(Cash_Flow_3[Amount],Cash_Flow_3[Bulan],H1064,Cash_Flow_3[Type],"Out",Cash_Flow_3[Category],"Loandry")</f>
        <v>0</v>
      </c>
      <c r="Q1064" s="29">
        <f>SUMIFS(Cash_Flow_3[Amount],Cash_Flow_3[Bulan],H1064,Cash_Flow_3[Type],"Out",Cash_Flow_3[Category],"Mio")</f>
        <v>0</v>
      </c>
      <c r="R1064" s="29">
        <f>SUMIFS(Cash_Flow_3[Amount],Cash_Flow_3[Bulan],H1064,Cash_Flow_3[Type],"Out",Cash_Flow_3[Category],"Sedekah")</f>
        <v>0</v>
      </c>
      <c r="S1064" s="29">
        <f>SUMIFS(Cash_Flow_3[Amount],Cash_Flow_3[Bulan],H1064,Cash_Flow_3[Type],"Out",Cash_Flow_3[Category],"Zela")</f>
        <v>0</v>
      </c>
      <c r="T1064" s="29">
        <f>SUMIFS(Cash_Flow_3[Amount],Cash_Flow_3[Bulan],H1064,Cash_Flow_3[Type],"Out",Cash_Flow_3[Category],"Iqbal")</f>
        <v>0</v>
      </c>
    </row>
    <row r="1065" spans="1:20" ht="22.5" customHeight="1" x14ac:dyDescent="0.2">
      <c r="A1065" s="23"/>
      <c r="B1065" s="24"/>
      <c r="C1065" s="25"/>
      <c r="D1065" s="25"/>
      <c r="E1065" s="25"/>
      <c r="F1065" s="26"/>
      <c r="G1065" s="27"/>
      <c r="H1065" s="28" t="str">
        <f t="shared" si="0"/>
        <v/>
      </c>
      <c r="I1065" s="29">
        <f>SUMIFS(Cash_Flow_3[Amount],Cash_Flow_3[Bulan],H1065,Cash_Flow_3[Type],"In")</f>
        <v>0</v>
      </c>
      <c r="J1065" s="29">
        <f>SUMIFS(Cash_Flow_3[Amount],Cash_Flow_3[Bulan],H1065,Cash_Flow_3[Type],"Out")</f>
        <v>0</v>
      </c>
      <c r="K1065" s="29">
        <f>SUMIFS(Cash_Flow_3[Amount],Cash_Flow_3[Bulan],H1065,Cash_Flow_3[Type],"Out",Cash_Flow_3[Category],"Fix")</f>
        <v>0</v>
      </c>
      <c r="L1065" s="29">
        <f>SUMIFS(Cash_Flow_3[Amount],Cash_Flow_3[Bulan],H1065,Cash_Flow_3[Type],"Out",Cash_Flow_3[Category],"Bathroom")</f>
        <v>0</v>
      </c>
      <c r="M1065" s="29">
        <f>SUMIFS(Cash_Flow_3[Amount],Cash_Flow_3[Bulan],H1065,Cash_Flow_3[Type],"Out",Cash_Flow_3[Category],"Alfa")</f>
        <v>0</v>
      </c>
      <c r="N1065" s="29">
        <f>SUMIFS(Cash_Flow_3[Amount],Cash_Flow_3[Bulan],H1065,Cash_Flow_3[Type],"Out",Cash_Flow_3[Category],"Jajan")</f>
        <v>0</v>
      </c>
      <c r="O1065" s="29">
        <f>SUMIFS(Cash_Flow_3[Amount],Cash_Flow_3[Bulan],H1065,Cash_Flow_3[Type],"Out",Cash_Flow_3[Category],"Kitchen")</f>
        <v>0</v>
      </c>
      <c r="P1065" s="29">
        <f>SUMIFS(Cash_Flow_3[Amount],Cash_Flow_3[Bulan],H1065,Cash_Flow_3[Type],"Out",Cash_Flow_3[Category],"Loandry")</f>
        <v>0</v>
      </c>
      <c r="Q1065" s="29">
        <f>SUMIFS(Cash_Flow_3[Amount],Cash_Flow_3[Bulan],H1065,Cash_Flow_3[Type],"Out",Cash_Flow_3[Category],"Mio")</f>
        <v>0</v>
      </c>
      <c r="R1065" s="29">
        <f>SUMIFS(Cash_Flow_3[Amount],Cash_Flow_3[Bulan],H1065,Cash_Flow_3[Type],"Out",Cash_Flow_3[Category],"Sedekah")</f>
        <v>0</v>
      </c>
      <c r="S1065" s="29">
        <f>SUMIFS(Cash_Flow_3[Amount],Cash_Flow_3[Bulan],H1065,Cash_Flow_3[Type],"Out",Cash_Flow_3[Category],"Zela")</f>
        <v>0</v>
      </c>
      <c r="T1065" s="29">
        <f>SUMIFS(Cash_Flow_3[Amount],Cash_Flow_3[Bulan],H1065,Cash_Flow_3[Type],"Out",Cash_Flow_3[Category],"Iqbal")</f>
        <v>0</v>
      </c>
    </row>
    <row r="1066" spans="1:20" ht="22.5" customHeight="1" x14ac:dyDescent="0.2">
      <c r="A1066" s="23"/>
      <c r="B1066" s="24"/>
      <c r="C1066" s="25"/>
      <c r="D1066" s="25"/>
      <c r="E1066" s="25"/>
      <c r="F1066" s="26"/>
      <c r="G1066" s="27"/>
      <c r="H1066" s="28" t="str">
        <f t="shared" si="0"/>
        <v/>
      </c>
      <c r="I1066" s="29">
        <f>SUMIFS(Cash_Flow_3[Amount],Cash_Flow_3[Bulan],H1066,Cash_Flow_3[Type],"In")</f>
        <v>0</v>
      </c>
      <c r="J1066" s="29">
        <f>SUMIFS(Cash_Flow_3[Amount],Cash_Flow_3[Bulan],H1066,Cash_Flow_3[Type],"Out")</f>
        <v>0</v>
      </c>
      <c r="K1066" s="29">
        <f>SUMIFS(Cash_Flow_3[Amount],Cash_Flow_3[Bulan],H1066,Cash_Flow_3[Type],"Out",Cash_Flow_3[Category],"Fix")</f>
        <v>0</v>
      </c>
      <c r="L1066" s="29">
        <f>SUMIFS(Cash_Flow_3[Amount],Cash_Flow_3[Bulan],H1066,Cash_Flow_3[Type],"Out",Cash_Flow_3[Category],"Bathroom")</f>
        <v>0</v>
      </c>
      <c r="M1066" s="29">
        <f>SUMIFS(Cash_Flow_3[Amount],Cash_Flow_3[Bulan],H1066,Cash_Flow_3[Type],"Out",Cash_Flow_3[Category],"Alfa")</f>
        <v>0</v>
      </c>
      <c r="N1066" s="29">
        <f>SUMIFS(Cash_Flow_3[Amount],Cash_Flow_3[Bulan],H1066,Cash_Flow_3[Type],"Out",Cash_Flow_3[Category],"Jajan")</f>
        <v>0</v>
      </c>
      <c r="O1066" s="29">
        <f>SUMIFS(Cash_Flow_3[Amount],Cash_Flow_3[Bulan],H1066,Cash_Flow_3[Type],"Out",Cash_Flow_3[Category],"Kitchen")</f>
        <v>0</v>
      </c>
      <c r="P1066" s="29">
        <f>SUMIFS(Cash_Flow_3[Amount],Cash_Flow_3[Bulan],H1066,Cash_Flow_3[Type],"Out",Cash_Flow_3[Category],"Loandry")</f>
        <v>0</v>
      </c>
      <c r="Q1066" s="29">
        <f>SUMIFS(Cash_Flow_3[Amount],Cash_Flow_3[Bulan],H1066,Cash_Flow_3[Type],"Out",Cash_Flow_3[Category],"Mio")</f>
        <v>0</v>
      </c>
      <c r="R1066" s="29">
        <f>SUMIFS(Cash_Flow_3[Amount],Cash_Flow_3[Bulan],H1066,Cash_Flow_3[Type],"Out",Cash_Flow_3[Category],"Sedekah")</f>
        <v>0</v>
      </c>
      <c r="S1066" s="29">
        <f>SUMIFS(Cash_Flow_3[Amount],Cash_Flow_3[Bulan],H1066,Cash_Flow_3[Type],"Out",Cash_Flow_3[Category],"Zela")</f>
        <v>0</v>
      </c>
      <c r="T1066" s="29">
        <f>SUMIFS(Cash_Flow_3[Amount],Cash_Flow_3[Bulan],H1066,Cash_Flow_3[Type],"Out",Cash_Flow_3[Category],"Iqbal")</f>
        <v>0</v>
      </c>
    </row>
    <row r="1067" spans="1:20" ht="22.5" customHeight="1" x14ac:dyDescent="0.2">
      <c r="A1067" s="23"/>
      <c r="B1067" s="24"/>
      <c r="C1067" s="25"/>
      <c r="D1067" s="25"/>
      <c r="E1067" s="25"/>
      <c r="F1067" s="26"/>
      <c r="G1067" s="27"/>
      <c r="H1067" s="28" t="str">
        <f t="shared" si="0"/>
        <v/>
      </c>
      <c r="I1067" s="29">
        <f>SUMIFS(Cash_Flow_3[Amount],Cash_Flow_3[Bulan],H1067,Cash_Flow_3[Type],"In")</f>
        <v>0</v>
      </c>
      <c r="J1067" s="29">
        <f>SUMIFS(Cash_Flow_3[Amount],Cash_Flow_3[Bulan],H1067,Cash_Flow_3[Type],"Out")</f>
        <v>0</v>
      </c>
      <c r="K1067" s="29">
        <f>SUMIFS(Cash_Flow_3[Amount],Cash_Flow_3[Bulan],H1067,Cash_Flow_3[Type],"Out",Cash_Flow_3[Category],"Fix")</f>
        <v>0</v>
      </c>
      <c r="L1067" s="29">
        <f>SUMIFS(Cash_Flow_3[Amount],Cash_Flow_3[Bulan],H1067,Cash_Flow_3[Type],"Out",Cash_Flow_3[Category],"Bathroom")</f>
        <v>0</v>
      </c>
      <c r="M1067" s="29">
        <f>SUMIFS(Cash_Flow_3[Amount],Cash_Flow_3[Bulan],H1067,Cash_Flow_3[Type],"Out",Cash_Flow_3[Category],"Alfa")</f>
        <v>0</v>
      </c>
      <c r="N1067" s="29">
        <f>SUMIFS(Cash_Flow_3[Amount],Cash_Flow_3[Bulan],H1067,Cash_Flow_3[Type],"Out",Cash_Flow_3[Category],"Jajan")</f>
        <v>0</v>
      </c>
      <c r="O1067" s="29">
        <f>SUMIFS(Cash_Flow_3[Amount],Cash_Flow_3[Bulan],H1067,Cash_Flow_3[Type],"Out",Cash_Flow_3[Category],"Kitchen")</f>
        <v>0</v>
      </c>
      <c r="P1067" s="29">
        <f>SUMIFS(Cash_Flow_3[Amount],Cash_Flow_3[Bulan],H1067,Cash_Flow_3[Type],"Out",Cash_Flow_3[Category],"Loandry")</f>
        <v>0</v>
      </c>
      <c r="Q1067" s="29">
        <f>SUMIFS(Cash_Flow_3[Amount],Cash_Flow_3[Bulan],H1067,Cash_Flow_3[Type],"Out",Cash_Flow_3[Category],"Mio")</f>
        <v>0</v>
      </c>
      <c r="R1067" s="29">
        <f>SUMIFS(Cash_Flow_3[Amount],Cash_Flow_3[Bulan],H1067,Cash_Flow_3[Type],"Out",Cash_Flow_3[Category],"Sedekah")</f>
        <v>0</v>
      </c>
      <c r="S1067" s="29">
        <f>SUMIFS(Cash_Flow_3[Amount],Cash_Flow_3[Bulan],H1067,Cash_Flow_3[Type],"Out",Cash_Flow_3[Category],"Zela")</f>
        <v>0</v>
      </c>
      <c r="T1067" s="29">
        <f>SUMIFS(Cash_Flow_3[Amount],Cash_Flow_3[Bulan],H1067,Cash_Flow_3[Type],"Out",Cash_Flow_3[Category],"Iqbal")</f>
        <v>0</v>
      </c>
    </row>
    <row r="1068" spans="1:20" ht="22.5" customHeight="1" x14ac:dyDescent="0.2">
      <c r="A1068" s="23"/>
      <c r="B1068" s="24"/>
      <c r="C1068" s="25"/>
      <c r="D1068" s="25"/>
      <c r="E1068" s="25"/>
      <c r="F1068" s="26"/>
      <c r="G1068" s="27"/>
      <c r="H1068" s="28" t="str">
        <f t="shared" si="0"/>
        <v/>
      </c>
      <c r="I1068" s="29">
        <f>SUMIFS(Cash_Flow_3[Amount],Cash_Flow_3[Bulan],H1068,Cash_Flow_3[Type],"In")</f>
        <v>0</v>
      </c>
      <c r="J1068" s="29">
        <f>SUMIFS(Cash_Flow_3[Amount],Cash_Flow_3[Bulan],H1068,Cash_Flow_3[Type],"Out")</f>
        <v>0</v>
      </c>
      <c r="K1068" s="29">
        <f>SUMIFS(Cash_Flow_3[Amount],Cash_Flow_3[Bulan],H1068,Cash_Flow_3[Type],"Out",Cash_Flow_3[Category],"Fix")</f>
        <v>0</v>
      </c>
      <c r="L1068" s="29">
        <f>SUMIFS(Cash_Flow_3[Amount],Cash_Flow_3[Bulan],H1068,Cash_Flow_3[Type],"Out",Cash_Flow_3[Category],"Bathroom")</f>
        <v>0</v>
      </c>
      <c r="M1068" s="29">
        <f>SUMIFS(Cash_Flow_3[Amount],Cash_Flow_3[Bulan],H1068,Cash_Flow_3[Type],"Out",Cash_Flow_3[Category],"Alfa")</f>
        <v>0</v>
      </c>
      <c r="N1068" s="29">
        <f>SUMIFS(Cash_Flow_3[Amount],Cash_Flow_3[Bulan],H1068,Cash_Flow_3[Type],"Out",Cash_Flow_3[Category],"Jajan")</f>
        <v>0</v>
      </c>
      <c r="O1068" s="29">
        <f>SUMIFS(Cash_Flow_3[Amount],Cash_Flow_3[Bulan],H1068,Cash_Flow_3[Type],"Out",Cash_Flow_3[Category],"Kitchen")</f>
        <v>0</v>
      </c>
      <c r="P1068" s="29">
        <f>SUMIFS(Cash_Flow_3[Amount],Cash_Flow_3[Bulan],H1068,Cash_Flow_3[Type],"Out",Cash_Flow_3[Category],"Loandry")</f>
        <v>0</v>
      </c>
      <c r="Q1068" s="29">
        <f>SUMIFS(Cash_Flow_3[Amount],Cash_Flow_3[Bulan],H1068,Cash_Flow_3[Type],"Out",Cash_Flow_3[Category],"Mio")</f>
        <v>0</v>
      </c>
      <c r="R1068" s="29">
        <f>SUMIFS(Cash_Flow_3[Amount],Cash_Flow_3[Bulan],H1068,Cash_Flow_3[Type],"Out",Cash_Flow_3[Category],"Sedekah")</f>
        <v>0</v>
      </c>
      <c r="S1068" s="29">
        <f>SUMIFS(Cash_Flow_3[Amount],Cash_Flow_3[Bulan],H1068,Cash_Flow_3[Type],"Out",Cash_Flow_3[Category],"Zela")</f>
        <v>0</v>
      </c>
      <c r="T1068" s="29">
        <f>SUMIFS(Cash_Flow_3[Amount],Cash_Flow_3[Bulan],H1068,Cash_Flow_3[Type],"Out",Cash_Flow_3[Category],"Iqbal")</f>
        <v>0</v>
      </c>
    </row>
    <row r="1069" spans="1:20" ht="22.5" customHeight="1" x14ac:dyDescent="0.2">
      <c r="A1069" s="23"/>
      <c r="B1069" s="24"/>
      <c r="C1069" s="25"/>
      <c r="D1069" s="25"/>
      <c r="E1069" s="25"/>
      <c r="F1069" s="26"/>
      <c r="G1069" s="27"/>
      <c r="H1069" s="28" t="str">
        <f t="shared" si="0"/>
        <v/>
      </c>
      <c r="I1069" s="29">
        <f>SUMIFS(Cash_Flow_3[Amount],Cash_Flow_3[Bulan],H1069,Cash_Flow_3[Type],"In")</f>
        <v>0</v>
      </c>
      <c r="J1069" s="29">
        <f>SUMIFS(Cash_Flow_3[Amount],Cash_Flow_3[Bulan],H1069,Cash_Flow_3[Type],"Out")</f>
        <v>0</v>
      </c>
      <c r="K1069" s="29">
        <f>SUMIFS(Cash_Flow_3[Amount],Cash_Flow_3[Bulan],H1069,Cash_Flow_3[Type],"Out",Cash_Flow_3[Category],"Fix")</f>
        <v>0</v>
      </c>
      <c r="L1069" s="29">
        <f>SUMIFS(Cash_Flow_3[Amount],Cash_Flow_3[Bulan],H1069,Cash_Flow_3[Type],"Out",Cash_Flow_3[Category],"Bathroom")</f>
        <v>0</v>
      </c>
      <c r="M1069" s="29">
        <f>SUMIFS(Cash_Flow_3[Amount],Cash_Flow_3[Bulan],H1069,Cash_Flow_3[Type],"Out",Cash_Flow_3[Category],"Alfa")</f>
        <v>0</v>
      </c>
      <c r="N1069" s="29">
        <f>SUMIFS(Cash_Flow_3[Amount],Cash_Flow_3[Bulan],H1069,Cash_Flow_3[Type],"Out",Cash_Flow_3[Category],"Jajan")</f>
        <v>0</v>
      </c>
      <c r="O1069" s="29">
        <f>SUMIFS(Cash_Flow_3[Amount],Cash_Flow_3[Bulan],H1069,Cash_Flow_3[Type],"Out",Cash_Flow_3[Category],"Kitchen")</f>
        <v>0</v>
      </c>
      <c r="P1069" s="29">
        <f>SUMIFS(Cash_Flow_3[Amount],Cash_Flow_3[Bulan],H1069,Cash_Flow_3[Type],"Out",Cash_Flow_3[Category],"Loandry")</f>
        <v>0</v>
      </c>
      <c r="Q1069" s="29">
        <f>SUMIFS(Cash_Flow_3[Amount],Cash_Flow_3[Bulan],H1069,Cash_Flow_3[Type],"Out",Cash_Flow_3[Category],"Mio")</f>
        <v>0</v>
      </c>
      <c r="R1069" s="29">
        <f>SUMIFS(Cash_Flow_3[Amount],Cash_Flow_3[Bulan],H1069,Cash_Flow_3[Type],"Out",Cash_Flow_3[Category],"Sedekah")</f>
        <v>0</v>
      </c>
      <c r="S1069" s="29">
        <f>SUMIFS(Cash_Flow_3[Amount],Cash_Flow_3[Bulan],H1069,Cash_Flow_3[Type],"Out",Cash_Flow_3[Category],"Zela")</f>
        <v>0</v>
      </c>
      <c r="T1069" s="29">
        <f>SUMIFS(Cash_Flow_3[Amount],Cash_Flow_3[Bulan],H1069,Cash_Flow_3[Type],"Out",Cash_Flow_3[Category],"Iqbal")</f>
        <v>0</v>
      </c>
    </row>
    <row r="1070" spans="1:20" ht="22.5" customHeight="1" x14ac:dyDescent="0.2">
      <c r="A1070" s="23"/>
      <c r="B1070" s="24"/>
      <c r="C1070" s="25"/>
      <c r="D1070" s="25"/>
      <c r="E1070" s="25"/>
      <c r="F1070" s="26"/>
      <c r="G1070" s="27"/>
      <c r="H1070" s="28" t="str">
        <f t="shared" si="0"/>
        <v/>
      </c>
      <c r="I1070" s="29">
        <f>SUMIFS(Cash_Flow_3[Amount],Cash_Flow_3[Bulan],H1070,Cash_Flow_3[Type],"In")</f>
        <v>0</v>
      </c>
      <c r="J1070" s="29">
        <f>SUMIFS(Cash_Flow_3[Amount],Cash_Flow_3[Bulan],H1070,Cash_Flow_3[Type],"Out")</f>
        <v>0</v>
      </c>
      <c r="K1070" s="29">
        <f>SUMIFS(Cash_Flow_3[Amount],Cash_Flow_3[Bulan],H1070,Cash_Flow_3[Type],"Out",Cash_Flow_3[Category],"Fix")</f>
        <v>0</v>
      </c>
      <c r="L1070" s="29">
        <f>SUMIFS(Cash_Flow_3[Amount],Cash_Flow_3[Bulan],H1070,Cash_Flow_3[Type],"Out",Cash_Flow_3[Category],"Bathroom")</f>
        <v>0</v>
      </c>
      <c r="M1070" s="29">
        <f>SUMIFS(Cash_Flow_3[Amount],Cash_Flow_3[Bulan],H1070,Cash_Flow_3[Type],"Out",Cash_Flow_3[Category],"Alfa")</f>
        <v>0</v>
      </c>
      <c r="N1070" s="29">
        <f>SUMIFS(Cash_Flow_3[Amount],Cash_Flow_3[Bulan],H1070,Cash_Flow_3[Type],"Out",Cash_Flow_3[Category],"Jajan")</f>
        <v>0</v>
      </c>
      <c r="O1070" s="29">
        <f>SUMIFS(Cash_Flow_3[Amount],Cash_Flow_3[Bulan],H1070,Cash_Flow_3[Type],"Out",Cash_Flow_3[Category],"Kitchen")</f>
        <v>0</v>
      </c>
      <c r="P1070" s="29">
        <f>SUMIFS(Cash_Flow_3[Amount],Cash_Flow_3[Bulan],H1070,Cash_Flow_3[Type],"Out",Cash_Flow_3[Category],"Loandry")</f>
        <v>0</v>
      </c>
      <c r="Q1070" s="29">
        <f>SUMIFS(Cash_Flow_3[Amount],Cash_Flow_3[Bulan],H1070,Cash_Flow_3[Type],"Out",Cash_Flow_3[Category],"Mio")</f>
        <v>0</v>
      </c>
      <c r="R1070" s="29">
        <f>SUMIFS(Cash_Flow_3[Amount],Cash_Flow_3[Bulan],H1070,Cash_Flow_3[Type],"Out",Cash_Flow_3[Category],"Sedekah")</f>
        <v>0</v>
      </c>
      <c r="S1070" s="29">
        <f>SUMIFS(Cash_Flow_3[Amount],Cash_Flow_3[Bulan],H1070,Cash_Flow_3[Type],"Out",Cash_Flow_3[Category],"Zela")</f>
        <v>0</v>
      </c>
      <c r="T1070" s="29">
        <f>SUMIFS(Cash_Flow_3[Amount],Cash_Flow_3[Bulan],H1070,Cash_Flow_3[Type],"Out",Cash_Flow_3[Category],"Iqbal")</f>
        <v>0</v>
      </c>
    </row>
    <row r="1071" spans="1:20" ht="22.5" customHeight="1" x14ac:dyDescent="0.2">
      <c r="A1071" s="23"/>
      <c r="B1071" s="24"/>
      <c r="C1071" s="25"/>
      <c r="D1071" s="25"/>
      <c r="E1071" s="25"/>
      <c r="F1071" s="26"/>
      <c r="G1071" s="27"/>
      <c r="H1071" s="28" t="str">
        <f t="shared" si="0"/>
        <v/>
      </c>
      <c r="I1071" s="29">
        <f>SUMIFS(Cash_Flow_3[Amount],Cash_Flow_3[Bulan],H1071,Cash_Flow_3[Type],"In")</f>
        <v>0</v>
      </c>
      <c r="J1071" s="29">
        <f>SUMIFS(Cash_Flow_3[Amount],Cash_Flow_3[Bulan],H1071,Cash_Flow_3[Type],"Out")</f>
        <v>0</v>
      </c>
      <c r="K1071" s="29">
        <f>SUMIFS(Cash_Flow_3[Amount],Cash_Flow_3[Bulan],H1071,Cash_Flow_3[Type],"Out",Cash_Flow_3[Category],"Fix")</f>
        <v>0</v>
      </c>
      <c r="L1071" s="29">
        <f>SUMIFS(Cash_Flow_3[Amount],Cash_Flow_3[Bulan],H1071,Cash_Flow_3[Type],"Out",Cash_Flow_3[Category],"Bathroom")</f>
        <v>0</v>
      </c>
      <c r="M1071" s="29">
        <f>SUMIFS(Cash_Flow_3[Amount],Cash_Flow_3[Bulan],H1071,Cash_Flow_3[Type],"Out",Cash_Flow_3[Category],"Alfa")</f>
        <v>0</v>
      </c>
      <c r="N1071" s="29">
        <f>SUMIFS(Cash_Flow_3[Amount],Cash_Flow_3[Bulan],H1071,Cash_Flow_3[Type],"Out",Cash_Flow_3[Category],"Jajan")</f>
        <v>0</v>
      </c>
      <c r="O1071" s="29">
        <f>SUMIFS(Cash_Flow_3[Amount],Cash_Flow_3[Bulan],H1071,Cash_Flow_3[Type],"Out",Cash_Flow_3[Category],"Kitchen")</f>
        <v>0</v>
      </c>
      <c r="P1071" s="29">
        <f>SUMIFS(Cash_Flow_3[Amount],Cash_Flow_3[Bulan],H1071,Cash_Flow_3[Type],"Out",Cash_Flow_3[Category],"Loandry")</f>
        <v>0</v>
      </c>
      <c r="Q1071" s="29">
        <f>SUMIFS(Cash_Flow_3[Amount],Cash_Flow_3[Bulan],H1071,Cash_Flow_3[Type],"Out",Cash_Flow_3[Category],"Mio")</f>
        <v>0</v>
      </c>
      <c r="R1071" s="29">
        <f>SUMIFS(Cash_Flow_3[Amount],Cash_Flow_3[Bulan],H1071,Cash_Flow_3[Type],"Out",Cash_Flow_3[Category],"Sedekah")</f>
        <v>0</v>
      </c>
      <c r="S1071" s="29">
        <f>SUMIFS(Cash_Flow_3[Amount],Cash_Flow_3[Bulan],H1071,Cash_Flow_3[Type],"Out",Cash_Flow_3[Category],"Zela")</f>
        <v>0</v>
      </c>
      <c r="T1071" s="29">
        <f>SUMIFS(Cash_Flow_3[Amount],Cash_Flow_3[Bulan],H1071,Cash_Flow_3[Type],"Out",Cash_Flow_3[Category],"Iqbal")</f>
        <v>0</v>
      </c>
    </row>
    <row r="1072" spans="1:20" ht="22.5" customHeight="1" x14ac:dyDescent="0.2">
      <c r="A1072" s="23"/>
      <c r="B1072" s="24"/>
      <c r="C1072" s="25"/>
      <c r="D1072" s="25"/>
      <c r="E1072" s="25"/>
      <c r="F1072" s="26"/>
      <c r="G1072" s="27"/>
      <c r="H1072" s="28" t="str">
        <f t="shared" si="0"/>
        <v/>
      </c>
      <c r="I1072" s="29">
        <f>SUMIFS(Cash_Flow_3[Amount],Cash_Flow_3[Bulan],H1072,Cash_Flow_3[Type],"In")</f>
        <v>0</v>
      </c>
      <c r="J1072" s="29">
        <f>SUMIFS(Cash_Flow_3[Amount],Cash_Flow_3[Bulan],H1072,Cash_Flow_3[Type],"Out")</f>
        <v>0</v>
      </c>
      <c r="K1072" s="29">
        <f>SUMIFS(Cash_Flow_3[Amount],Cash_Flow_3[Bulan],H1072,Cash_Flow_3[Type],"Out",Cash_Flow_3[Category],"Fix")</f>
        <v>0</v>
      </c>
      <c r="L1072" s="29">
        <f>SUMIFS(Cash_Flow_3[Amount],Cash_Flow_3[Bulan],H1072,Cash_Flow_3[Type],"Out",Cash_Flow_3[Category],"Bathroom")</f>
        <v>0</v>
      </c>
      <c r="M1072" s="29">
        <f>SUMIFS(Cash_Flow_3[Amount],Cash_Flow_3[Bulan],H1072,Cash_Flow_3[Type],"Out",Cash_Flow_3[Category],"Alfa")</f>
        <v>0</v>
      </c>
      <c r="N1072" s="29">
        <f>SUMIFS(Cash_Flow_3[Amount],Cash_Flow_3[Bulan],H1072,Cash_Flow_3[Type],"Out",Cash_Flow_3[Category],"Jajan")</f>
        <v>0</v>
      </c>
      <c r="O1072" s="29">
        <f>SUMIFS(Cash_Flow_3[Amount],Cash_Flow_3[Bulan],H1072,Cash_Flow_3[Type],"Out",Cash_Flow_3[Category],"Kitchen")</f>
        <v>0</v>
      </c>
      <c r="P1072" s="29">
        <f>SUMIFS(Cash_Flow_3[Amount],Cash_Flow_3[Bulan],H1072,Cash_Flow_3[Type],"Out",Cash_Flow_3[Category],"Loandry")</f>
        <v>0</v>
      </c>
      <c r="Q1072" s="29">
        <f>SUMIFS(Cash_Flow_3[Amount],Cash_Flow_3[Bulan],H1072,Cash_Flow_3[Type],"Out",Cash_Flow_3[Category],"Mio")</f>
        <v>0</v>
      </c>
      <c r="R1072" s="29">
        <f>SUMIFS(Cash_Flow_3[Amount],Cash_Flow_3[Bulan],H1072,Cash_Flow_3[Type],"Out",Cash_Flow_3[Category],"Sedekah")</f>
        <v>0</v>
      </c>
      <c r="S1072" s="29">
        <f>SUMIFS(Cash_Flow_3[Amount],Cash_Flow_3[Bulan],H1072,Cash_Flow_3[Type],"Out",Cash_Flow_3[Category],"Zela")</f>
        <v>0</v>
      </c>
      <c r="T1072" s="29">
        <f>SUMIFS(Cash_Flow_3[Amount],Cash_Flow_3[Bulan],H1072,Cash_Flow_3[Type],"Out",Cash_Flow_3[Category],"Iqbal")</f>
        <v>0</v>
      </c>
    </row>
    <row r="1073" spans="1:20" ht="22.5" customHeight="1" x14ac:dyDescent="0.2">
      <c r="A1073" s="23"/>
      <c r="B1073" s="24"/>
      <c r="C1073" s="25"/>
      <c r="D1073" s="25"/>
      <c r="E1073" s="25"/>
      <c r="F1073" s="26"/>
      <c r="G1073" s="27"/>
      <c r="H1073" s="28" t="str">
        <f t="shared" si="0"/>
        <v/>
      </c>
      <c r="I1073" s="29">
        <f>SUMIFS(Cash_Flow_3[Amount],Cash_Flow_3[Bulan],H1073,Cash_Flow_3[Type],"In")</f>
        <v>0</v>
      </c>
      <c r="J1073" s="29">
        <f>SUMIFS(Cash_Flow_3[Amount],Cash_Flow_3[Bulan],H1073,Cash_Flow_3[Type],"Out")</f>
        <v>0</v>
      </c>
      <c r="K1073" s="29">
        <f>SUMIFS(Cash_Flow_3[Amount],Cash_Flow_3[Bulan],H1073,Cash_Flow_3[Type],"Out",Cash_Flow_3[Category],"Fix")</f>
        <v>0</v>
      </c>
      <c r="L1073" s="29">
        <f>SUMIFS(Cash_Flow_3[Amount],Cash_Flow_3[Bulan],H1073,Cash_Flow_3[Type],"Out",Cash_Flow_3[Category],"Bathroom")</f>
        <v>0</v>
      </c>
      <c r="M1073" s="29">
        <f>SUMIFS(Cash_Flow_3[Amount],Cash_Flow_3[Bulan],H1073,Cash_Flow_3[Type],"Out",Cash_Flow_3[Category],"Alfa")</f>
        <v>0</v>
      </c>
      <c r="N1073" s="29">
        <f>SUMIFS(Cash_Flow_3[Amount],Cash_Flow_3[Bulan],H1073,Cash_Flow_3[Type],"Out",Cash_Flow_3[Category],"Jajan")</f>
        <v>0</v>
      </c>
      <c r="O1073" s="29">
        <f>SUMIFS(Cash_Flow_3[Amount],Cash_Flow_3[Bulan],H1073,Cash_Flow_3[Type],"Out",Cash_Flow_3[Category],"Kitchen")</f>
        <v>0</v>
      </c>
      <c r="P1073" s="29">
        <f>SUMIFS(Cash_Flow_3[Amount],Cash_Flow_3[Bulan],H1073,Cash_Flow_3[Type],"Out",Cash_Flow_3[Category],"Loandry")</f>
        <v>0</v>
      </c>
      <c r="Q1073" s="29">
        <f>SUMIFS(Cash_Flow_3[Amount],Cash_Flow_3[Bulan],H1073,Cash_Flow_3[Type],"Out",Cash_Flow_3[Category],"Mio")</f>
        <v>0</v>
      </c>
      <c r="R1073" s="29">
        <f>SUMIFS(Cash_Flow_3[Amount],Cash_Flow_3[Bulan],H1073,Cash_Flow_3[Type],"Out",Cash_Flow_3[Category],"Sedekah")</f>
        <v>0</v>
      </c>
      <c r="S1073" s="29">
        <f>SUMIFS(Cash_Flow_3[Amount],Cash_Flow_3[Bulan],H1073,Cash_Flow_3[Type],"Out",Cash_Flow_3[Category],"Zela")</f>
        <v>0</v>
      </c>
      <c r="T1073" s="29">
        <f>SUMIFS(Cash_Flow_3[Amount],Cash_Flow_3[Bulan],H1073,Cash_Flow_3[Type],"Out",Cash_Flow_3[Category],"Iqbal")</f>
        <v>0</v>
      </c>
    </row>
    <row r="1074" spans="1:20" ht="22.5" customHeight="1" x14ac:dyDescent="0.2">
      <c r="A1074" s="23"/>
      <c r="B1074" s="24"/>
      <c r="C1074" s="25"/>
      <c r="D1074" s="25"/>
      <c r="E1074" s="25"/>
      <c r="F1074" s="26"/>
      <c r="G1074" s="27"/>
      <c r="H1074" s="28" t="str">
        <f t="shared" si="0"/>
        <v/>
      </c>
      <c r="I1074" s="29">
        <f>SUMIFS(Cash_Flow_3[Amount],Cash_Flow_3[Bulan],H1074,Cash_Flow_3[Type],"In")</f>
        <v>0</v>
      </c>
      <c r="J1074" s="29">
        <f>SUMIFS(Cash_Flow_3[Amount],Cash_Flow_3[Bulan],H1074,Cash_Flow_3[Type],"Out")</f>
        <v>0</v>
      </c>
      <c r="K1074" s="29">
        <f>SUMIFS(Cash_Flow_3[Amount],Cash_Flow_3[Bulan],H1074,Cash_Flow_3[Type],"Out",Cash_Flow_3[Category],"Fix")</f>
        <v>0</v>
      </c>
      <c r="L1074" s="29">
        <f>SUMIFS(Cash_Flow_3[Amount],Cash_Flow_3[Bulan],H1074,Cash_Flow_3[Type],"Out",Cash_Flow_3[Category],"Bathroom")</f>
        <v>0</v>
      </c>
      <c r="M1074" s="29">
        <f>SUMIFS(Cash_Flow_3[Amount],Cash_Flow_3[Bulan],H1074,Cash_Flow_3[Type],"Out",Cash_Flow_3[Category],"Alfa")</f>
        <v>0</v>
      </c>
      <c r="N1074" s="29">
        <f>SUMIFS(Cash_Flow_3[Amount],Cash_Flow_3[Bulan],H1074,Cash_Flow_3[Type],"Out",Cash_Flow_3[Category],"Jajan")</f>
        <v>0</v>
      </c>
      <c r="O1074" s="29">
        <f>SUMIFS(Cash_Flow_3[Amount],Cash_Flow_3[Bulan],H1074,Cash_Flow_3[Type],"Out",Cash_Flow_3[Category],"Kitchen")</f>
        <v>0</v>
      </c>
      <c r="P1074" s="29">
        <f>SUMIFS(Cash_Flow_3[Amount],Cash_Flow_3[Bulan],H1074,Cash_Flow_3[Type],"Out",Cash_Flow_3[Category],"Loandry")</f>
        <v>0</v>
      </c>
      <c r="Q1074" s="29">
        <f>SUMIFS(Cash_Flow_3[Amount],Cash_Flow_3[Bulan],H1074,Cash_Flow_3[Type],"Out",Cash_Flow_3[Category],"Mio")</f>
        <v>0</v>
      </c>
      <c r="R1074" s="29">
        <f>SUMIFS(Cash_Flow_3[Amount],Cash_Flow_3[Bulan],H1074,Cash_Flow_3[Type],"Out",Cash_Flow_3[Category],"Sedekah")</f>
        <v>0</v>
      </c>
      <c r="S1074" s="29">
        <f>SUMIFS(Cash_Flow_3[Amount],Cash_Flow_3[Bulan],H1074,Cash_Flow_3[Type],"Out",Cash_Flow_3[Category],"Zela")</f>
        <v>0</v>
      </c>
      <c r="T1074" s="29">
        <f>SUMIFS(Cash_Flow_3[Amount],Cash_Flow_3[Bulan],H1074,Cash_Flow_3[Type],"Out",Cash_Flow_3[Category],"Iqbal")</f>
        <v>0</v>
      </c>
    </row>
    <row r="1075" spans="1:20" ht="22.5" customHeight="1" x14ac:dyDescent="0.2">
      <c r="A1075" s="23"/>
      <c r="B1075" s="24"/>
      <c r="C1075" s="25"/>
      <c r="D1075" s="25"/>
      <c r="E1075" s="25"/>
      <c r="F1075" s="26"/>
      <c r="G1075" s="27"/>
      <c r="H1075" s="28" t="str">
        <f t="shared" si="0"/>
        <v/>
      </c>
      <c r="I1075" s="29">
        <f>SUMIFS(Cash_Flow_3[Amount],Cash_Flow_3[Bulan],H1075,Cash_Flow_3[Type],"In")</f>
        <v>0</v>
      </c>
      <c r="J1075" s="29">
        <f>SUMIFS(Cash_Flow_3[Amount],Cash_Flow_3[Bulan],H1075,Cash_Flow_3[Type],"Out")</f>
        <v>0</v>
      </c>
      <c r="K1075" s="29">
        <f>SUMIFS(Cash_Flow_3[Amount],Cash_Flow_3[Bulan],H1075,Cash_Flow_3[Type],"Out",Cash_Flow_3[Category],"Fix")</f>
        <v>0</v>
      </c>
      <c r="L1075" s="29">
        <f>SUMIFS(Cash_Flow_3[Amount],Cash_Flow_3[Bulan],H1075,Cash_Flow_3[Type],"Out",Cash_Flow_3[Category],"Bathroom")</f>
        <v>0</v>
      </c>
      <c r="M1075" s="29">
        <f>SUMIFS(Cash_Flow_3[Amount],Cash_Flow_3[Bulan],H1075,Cash_Flow_3[Type],"Out",Cash_Flow_3[Category],"Alfa")</f>
        <v>0</v>
      </c>
      <c r="N1075" s="29">
        <f>SUMIFS(Cash_Flow_3[Amount],Cash_Flow_3[Bulan],H1075,Cash_Flow_3[Type],"Out",Cash_Flow_3[Category],"Jajan")</f>
        <v>0</v>
      </c>
      <c r="O1075" s="29">
        <f>SUMIFS(Cash_Flow_3[Amount],Cash_Flow_3[Bulan],H1075,Cash_Flow_3[Type],"Out",Cash_Flow_3[Category],"Kitchen")</f>
        <v>0</v>
      </c>
      <c r="P1075" s="29">
        <f>SUMIFS(Cash_Flow_3[Amount],Cash_Flow_3[Bulan],H1075,Cash_Flow_3[Type],"Out",Cash_Flow_3[Category],"Loandry")</f>
        <v>0</v>
      </c>
      <c r="Q1075" s="29">
        <f>SUMIFS(Cash_Flow_3[Amount],Cash_Flow_3[Bulan],H1075,Cash_Flow_3[Type],"Out",Cash_Flow_3[Category],"Mio")</f>
        <v>0</v>
      </c>
      <c r="R1075" s="29">
        <f>SUMIFS(Cash_Flow_3[Amount],Cash_Flow_3[Bulan],H1075,Cash_Flow_3[Type],"Out",Cash_Flow_3[Category],"Sedekah")</f>
        <v>0</v>
      </c>
      <c r="S1075" s="29">
        <f>SUMIFS(Cash_Flow_3[Amount],Cash_Flow_3[Bulan],H1075,Cash_Flow_3[Type],"Out",Cash_Flow_3[Category],"Zela")</f>
        <v>0</v>
      </c>
      <c r="T1075" s="29">
        <f>SUMIFS(Cash_Flow_3[Amount],Cash_Flow_3[Bulan],H1075,Cash_Flow_3[Type],"Out",Cash_Flow_3[Category],"Iqbal")</f>
        <v>0</v>
      </c>
    </row>
    <row r="1076" spans="1:20" ht="22.5" customHeight="1" x14ac:dyDescent="0.2">
      <c r="A1076" s="23"/>
      <c r="B1076" s="24"/>
      <c r="C1076" s="25"/>
      <c r="D1076" s="25"/>
      <c r="E1076" s="25"/>
      <c r="F1076" s="26"/>
      <c r="G1076" s="27"/>
      <c r="H1076" s="28" t="str">
        <f t="shared" si="0"/>
        <v/>
      </c>
      <c r="I1076" s="29">
        <f>SUMIFS(Cash_Flow_3[Amount],Cash_Flow_3[Bulan],H1076,Cash_Flow_3[Type],"In")</f>
        <v>0</v>
      </c>
      <c r="J1076" s="29">
        <f>SUMIFS(Cash_Flow_3[Amount],Cash_Flow_3[Bulan],H1076,Cash_Flow_3[Type],"Out")</f>
        <v>0</v>
      </c>
      <c r="K1076" s="29">
        <f>SUMIFS(Cash_Flow_3[Amount],Cash_Flow_3[Bulan],H1076,Cash_Flow_3[Type],"Out",Cash_Flow_3[Category],"Fix")</f>
        <v>0</v>
      </c>
      <c r="L1076" s="29">
        <f>SUMIFS(Cash_Flow_3[Amount],Cash_Flow_3[Bulan],H1076,Cash_Flow_3[Type],"Out",Cash_Flow_3[Category],"Bathroom")</f>
        <v>0</v>
      </c>
      <c r="M1076" s="29">
        <f>SUMIFS(Cash_Flow_3[Amount],Cash_Flow_3[Bulan],H1076,Cash_Flow_3[Type],"Out",Cash_Flow_3[Category],"Alfa")</f>
        <v>0</v>
      </c>
      <c r="N1076" s="29">
        <f>SUMIFS(Cash_Flow_3[Amount],Cash_Flow_3[Bulan],H1076,Cash_Flow_3[Type],"Out",Cash_Flow_3[Category],"Jajan")</f>
        <v>0</v>
      </c>
      <c r="O1076" s="29">
        <f>SUMIFS(Cash_Flow_3[Amount],Cash_Flow_3[Bulan],H1076,Cash_Flow_3[Type],"Out",Cash_Flow_3[Category],"Kitchen")</f>
        <v>0</v>
      </c>
      <c r="P1076" s="29">
        <f>SUMIFS(Cash_Flow_3[Amount],Cash_Flow_3[Bulan],H1076,Cash_Flow_3[Type],"Out",Cash_Flow_3[Category],"Loandry")</f>
        <v>0</v>
      </c>
      <c r="Q1076" s="29">
        <f>SUMIFS(Cash_Flow_3[Amount],Cash_Flow_3[Bulan],H1076,Cash_Flow_3[Type],"Out",Cash_Flow_3[Category],"Mio")</f>
        <v>0</v>
      </c>
      <c r="R1076" s="29">
        <f>SUMIFS(Cash_Flow_3[Amount],Cash_Flow_3[Bulan],H1076,Cash_Flow_3[Type],"Out",Cash_Flow_3[Category],"Sedekah")</f>
        <v>0</v>
      </c>
      <c r="S1076" s="29">
        <f>SUMIFS(Cash_Flow_3[Amount],Cash_Flow_3[Bulan],H1076,Cash_Flow_3[Type],"Out",Cash_Flow_3[Category],"Zela")</f>
        <v>0</v>
      </c>
      <c r="T1076" s="29">
        <f>SUMIFS(Cash_Flow_3[Amount],Cash_Flow_3[Bulan],H1076,Cash_Flow_3[Type],"Out",Cash_Flow_3[Category],"Iqbal")</f>
        <v>0</v>
      </c>
    </row>
    <row r="1077" spans="1:20" ht="22.5" customHeight="1" x14ac:dyDescent="0.2">
      <c r="A1077" s="23"/>
      <c r="B1077" s="24"/>
      <c r="C1077" s="25"/>
      <c r="D1077" s="25"/>
      <c r="E1077" s="25"/>
      <c r="F1077" s="26"/>
      <c r="G1077" s="27"/>
      <c r="H1077" s="28" t="str">
        <f t="shared" si="0"/>
        <v/>
      </c>
      <c r="I1077" s="29">
        <f>SUMIFS(Cash_Flow_3[Amount],Cash_Flow_3[Bulan],H1077,Cash_Flow_3[Type],"In")</f>
        <v>0</v>
      </c>
      <c r="J1077" s="29">
        <f>SUMIFS(Cash_Flow_3[Amount],Cash_Flow_3[Bulan],H1077,Cash_Flow_3[Type],"Out")</f>
        <v>0</v>
      </c>
      <c r="K1077" s="29">
        <f>SUMIFS(Cash_Flow_3[Amount],Cash_Flow_3[Bulan],H1077,Cash_Flow_3[Type],"Out",Cash_Flow_3[Category],"Fix")</f>
        <v>0</v>
      </c>
      <c r="L1077" s="29">
        <f>SUMIFS(Cash_Flow_3[Amount],Cash_Flow_3[Bulan],H1077,Cash_Flow_3[Type],"Out",Cash_Flow_3[Category],"Bathroom")</f>
        <v>0</v>
      </c>
      <c r="M1077" s="29">
        <f>SUMIFS(Cash_Flow_3[Amount],Cash_Flow_3[Bulan],H1077,Cash_Flow_3[Type],"Out",Cash_Flow_3[Category],"Alfa")</f>
        <v>0</v>
      </c>
      <c r="N1077" s="29">
        <f>SUMIFS(Cash_Flow_3[Amount],Cash_Flow_3[Bulan],H1077,Cash_Flow_3[Type],"Out",Cash_Flow_3[Category],"Jajan")</f>
        <v>0</v>
      </c>
      <c r="O1077" s="29">
        <f>SUMIFS(Cash_Flow_3[Amount],Cash_Flow_3[Bulan],H1077,Cash_Flow_3[Type],"Out",Cash_Flow_3[Category],"Kitchen")</f>
        <v>0</v>
      </c>
      <c r="P1077" s="29">
        <f>SUMIFS(Cash_Flow_3[Amount],Cash_Flow_3[Bulan],H1077,Cash_Flow_3[Type],"Out",Cash_Flow_3[Category],"Loandry")</f>
        <v>0</v>
      </c>
      <c r="Q1077" s="29">
        <f>SUMIFS(Cash_Flow_3[Amount],Cash_Flow_3[Bulan],H1077,Cash_Flow_3[Type],"Out",Cash_Flow_3[Category],"Mio")</f>
        <v>0</v>
      </c>
      <c r="R1077" s="29">
        <f>SUMIFS(Cash_Flow_3[Amount],Cash_Flow_3[Bulan],H1077,Cash_Flow_3[Type],"Out",Cash_Flow_3[Category],"Sedekah")</f>
        <v>0</v>
      </c>
      <c r="S1077" s="29">
        <f>SUMIFS(Cash_Flow_3[Amount],Cash_Flow_3[Bulan],H1077,Cash_Flow_3[Type],"Out",Cash_Flow_3[Category],"Zela")</f>
        <v>0</v>
      </c>
      <c r="T1077" s="29">
        <f>SUMIFS(Cash_Flow_3[Amount],Cash_Flow_3[Bulan],H1077,Cash_Flow_3[Type],"Out",Cash_Flow_3[Category],"Iqbal")</f>
        <v>0</v>
      </c>
    </row>
    <row r="1078" spans="1:20" ht="22.5" customHeight="1" x14ac:dyDescent="0.2">
      <c r="A1078" s="23"/>
      <c r="B1078" s="24"/>
      <c r="C1078" s="25"/>
      <c r="D1078" s="25"/>
      <c r="E1078" s="25"/>
      <c r="F1078" s="26"/>
      <c r="G1078" s="27"/>
      <c r="H1078" s="28" t="str">
        <f t="shared" si="0"/>
        <v/>
      </c>
      <c r="I1078" s="29">
        <f>SUMIFS(Cash_Flow_3[Amount],Cash_Flow_3[Bulan],H1078,Cash_Flow_3[Type],"In")</f>
        <v>0</v>
      </c>
      <c r="J1078" s="29">
        <f>SUMIFS(Cash_Flow_3[Amount],Cash_Flow_3[Bulan],H1078,Cash_Flow_3[Type],"Out")</f>
        <v>0</v>
      </c>
      <c r="K1078" s="29">
        <f>SUMIFS(Cash_Flow_3[Amount],Cash_Flow_3[Bulan],H1078,Cash_Flow_3[Type],"Out",Cash_Flow_3[Category],"Fix")</f>
        <v>0</v>
      </c>
      <c r="L1078" s="29">
        <f>SUMIFS(Cash_Flow_3[Amount],Cash_Flow_3[Bulan],H1078,Cash_Flow_3[Type],"Out",Cash_Flow_3[Category],"Bathroom")</f>
        <v>0</v>
      </c>
      <c r="M1078" s="29">
        <f>SUMIFS(Cash_Flow_3[Amount],Cash_Flow_3[Bulan],H1078,Cash_Flow_3[Type],"Out",Cash_Flow_3[Category],"Alfa")</f>
        <v>0</v>
      </c>
      <c r="N1078" s="29">
        <f>SUMIFS(Cash_Flow_3[Amount],Cash_Flow_3[Bulan],H1078,Cash_Flow_3[Type],"Out",Cash_Flow_3[Category],"Jajan")</f>
        <v>0</v>
      </c>
      <c r="O1078" s="29">
        <f>SUMIFS(Cash_Flow_3[Amount],Cash_Flow_3[Bulan],H1078,Cash_Flow_3[Type],"Out",Cash_Flow_3[Category],"Kitchen")</f>
        <v>0</v>
      </c>
      <c r="P1078" s="29">
        <f>SUMIFS(Cash_Flow_3[Amount],Cash_Flow_3[Bulan],H1078,Cash_Flow_3[Type],"Out",Cash_Flow_3[Category],"Loandry")</f>
        <v>0</v>
      </c>
      <c r="Q1078" s="29">
        <f>SUMIFS(Cash_Flow_3[Amount],Cash_Flow_3[Bulan],H1078,Cash_Flow_3[Type],"Out",Cash_Flow_3[Category],"Mio")</f>
        <v>0</v>
      </c>
      <c r="R1078" s="29">
        <f>SUMIFS(Cash_Flow_3[Amount],Cash_Flow_3[Bulan],H1078,Cash_Flow_3[Type],"Out",Cash_Flow_3[Category],"Sedekah")</f>
        <v>0</v>
      </c>
      <c r="S1078" s="29">
        <f>SUMIFS(Cash_Flow_3[Amount],Cash_Flow_3[Bulan],H1078,Cash_Flow_3[Type],"Out",Cash_Flow_3[Category],"Zela")</f>
        <v>0</v>
      </c>
      <c r="T1078" s="29">
        <f>SUMIFS(Cash_Flow_3[Amount],Cash_Flow_3[Bulan],H1078,Cash_Flow_3[Type],"Out",Cash_Flow_3[Category],"Iqbal")</f>
        <v>0</v>
      </c>
    </row>
    <row r="1079" spans="1:20" ht="22.5" customHeight="1" x14ac:dyDescent="0.2">
      <c r="A1079" s="23"/>
      <c r="B1079" s="24"/>
      <c r="C1079" s="25"/>
      <c r="D1079" s="25"/>
      <c r="E1079" s="25"/>
      <c r="F1079" s="26"/>
      <c r="G1079" s="27"/>
      <c r="H1079" s="28" t="str">
        <f t="shared" si="0"/>
        <v/>
      </c>
      <c r="I1079" s="29">
        <f>SUMIFS(Cash_Flow_3[Amount],Cash_Flow_3[Bulan],H1079,Cash_Flow_3[Type],"In")</f>
        <v>0</v>
      </c>
      <c r="J1079" s="29">
        <f>SUMIFS(Cash_Flow_3[Amount],Cash_Flow_3[Bulan],H1079,Cash_Flow_3[Type],"Out")</f>
        <v>0</v>
      </c>
      <c r="K1079" s="29">
        <f>SUMIFS(Cash_Flow_3[Amount],Cash_Flow_3[Bulan],H1079,Cash_Flow_3[Type],"Out",Cash_Flow_3[Category],"Fix")</f>
        <v>0</v>
      </c>
      <c r="L1079" s="29">
        <f>SUMIFS(Cash_Flow_3[Amount],Cash_Flow_3[Bulan],H1079,Cash_Flow_3[Type],"Out",Cash_Flow_3[Category],"Bathroom")</f>
        <v>0</v>
      </c>
      <c r="M1079" s="29">
        <f>SUMIFS(Cash_Flow_3[Amount],Cash_Flow_3[Bulan],H1079,Cash_Flow_3[Type],"Out",Cash_Flow_3[Category],"Alfa")</f>
        <v>0</v>
      </c>
      <c r="N1079" s="29">
        <f>SUMIFS(Cash_Flow_3[Amount],Cash_Flow_3[Bulan],H1079,Cash_Flow_3[Type],"Out",Cash_Flow_3[Category],"Jajan")</f>
        <v>0</v>
      </c>
      <c r="O1079" s="29">
        <f>SUMIFS(Cash_Flow_3[Amount],Cash_Flow_3[Bulan],H1079,Cash_Flow_3[Type],"Out",Cash_Flow_3[Category],"Kitchen")</f>
        <v>0</v>
      </c>
      <c r="P1079" s="29">
        <f>SUMIFS(Cash_Flow_3[Amount],Cash_Flow_3[Bulan],H1079,Cash_Flow_3[Type],"Out",Cash_Flow_3[Category],"Loandry")</f>
        <v>0</v>
      </c>
      <c r="Q1079" s="29">
        <f>SUMIFS(Cash_Flow_3[Amount],Cash_Flow_3[Bulan],H1079,Cash_Flow_3[Type],"Out",Cash_Flow_3[Category],"Mio")</f>
        <v>0</v>
      </c>
      <c r="R1079" s="29">
        <f>SUMIFS(Cash_Flow_3[Amount],Cash_Flow_3[Bulan],H1079,Cash_Flow_3[Type],"Out",Cash_Flow_3[Category],"Sedekah")</f>
        <v>0</v>
      </c>
      <c r="S1079" s="29">
        <f>SUMIFS(Cash_Flow_3[Amount],Cash_Flow_3[Bulan],H1079,Cash_Flow_3[Type],"Out",Cash_Flow_3[Category],"Zela")</f>
        <v>0</v>
      </c>
      <c r="T1079" s="29">
        <f>SUMIFS(Cash_Flow_3[Amount],Cash_Flow_3[Bulan],H1079,Cash_Flow_3[Type],"Out",Cash_Flow_3[Category],"Iqbal")</f>
        <v>0</v>
      </c>
    </row>
    <row r="1080" spans="1:20" ht="22.5" customHeight="1" x14ac:dyDescent="0.2">
      <c r="A1080" s="23"/>
      <c r="B1080" s="24"/>
      <c r="C1080" s="25"/>
      <c r="D1080" s="25"/>
      <c r="E1080" s="25"/>
      <c r="F1080" s="26"/>
      <c r="G1080" s="27"/>
      <c r="H1080" s="28" t="str">
        <f t="shared" si="0"/>
        <v/>
      </c>
      <c r="I1080" s="29">
        <f>SUMIFS(Cash_Flow_3[Amount],Cash_Flow_3[Bulan],H1080,Cash_Flow_3[Type],"In")</f>
        <v>0</v>
      </c>
      <c r="J1080" s="29">
        <f>SUMIFS(Cash_Flow_3[Amount],Cash_Flow_3[Bulan],H1080,Cash_Flow_3[Type],"Out")</f>
        <v>0</v>
      </c>
      <c r="K1080" s="29">
        <f>SUMIFS(Cash_Flow_3[Amount],Cash_Flow_3[Bulan],H1080,Cash_Flow_3[Type],"Out",Cash_Flow_3[Category],"Fix")</f>
        <v>0</v>
      </c>
      <c r="L1080" s="29">
        <f>SUMIFS(Cash_Flow_3[Amount],Cash_Flow_3[Bulan],H1080,Cash_Flow_3[Type],"Out",Cash_Flow_3[Category],"Bathroom")</f>
        <v>0</v>
      </c>
      <c r="M1080" s="29">
        <f>SUMIFS(Cash_Flow_3[Amount],Cash_Flow_3[Bulan],H1080,Cash_Flow_3[Type],"Out",Cash_Flow_3[Category],"Alfa")</f>
        <v>0</v>
      </c>
      <c r="N1080" s="29">
        <f>SUMIFS(Cash_Flow_3[Amount],Cash_Flow_3[Bulan],H1080,Cash_Flow_3[Type],"Out",Cash_Flow_3[Category],"Jajan")</f>
        <v>0</v>
      </c>
      <c r="O1080" s="29">
        <f>SUMIFS(Cash_Flow_3[Amount],Cash_Flow_3[Bulan],H1080,Cash_Flow_3[Type],"Out",Cash_Flow_3[Category],"Kitchen")</f>
        <v>0</v>
      </c>
      <c r="P1080" s="29">
        <f>SUMIFS(Cash_Flow_3[Amount],Cash_Flow_3[Bulan],H1080,Cash_Flow_3[Type],"Out",Cash_Flow_3[Category],"Loandry")</f>
        <v>0</v>
      </c>
      <c r="Q1080" s="29">
        <f>SUMIFS(Cash_Flow_3[Amount],Cash_Flow_3[Bulan],H1080,Cash_Flow_3[Type],"Out",Cash_Flow_3[Category],"Mio")</f>
        <v>0</v>
      </c>
      <c r="R1080" s="29">
        <f>SUMIFS(Cash_Flow_3[Amount],Cash_Flow_3[Bulan],H1080,Cash_Flow_3[Type],"Out",Cash_Flow_3[Category],"Sedekah")</f>
        <v>0</v>
      </c>
      <c r="S1080" s="29">
        <f>SUMIFS(Cash_Flow_3[Amount],Cash_Flow_3[Bulan],H1080,Cash_Flow_3[Type],"Out",Cash_Flow_3[Category],"Zela")</f>
        <v>0</v>
      </c>
      <c r="T1080" s="29">
        <f>SUMIFS(Cash_Flow_3[Amount],Cash_Flow_3[Bulan],H1080,Cash_Flow_3[Type],"Out",Cash_Flow_3[Category],"Iqbal")</f>
        <v>0</v>
      </c>
    </row>
    <row r="1081" spans="1:20" ht="22.5" customHeight="1" x14ac:dyDescent="0.2">
      <c r="A1081" s="23"/>
      <c r="B1081" s="24"/>
      <c r="C1081" s="25"/>
      <c r="D1081" s="25"/>
      <c r="E1081" s="25"/>
      <c r="F1081" s="26"/>
      <c r="G1081" s="27"/>
      <c r="H1081" s="28" t="str">
        <f t="shared" si="0"/>
        <v/>
      </c>
      <c r="I1081" s="29">
        <f>SUMIFS(Cash_Flow_3[Amount],Cash_Flow_3[Bulan],H1081,Cash_Flow_3[Type],"In")</f>
        <v>0</v>
      </c>
      <c r="J1081" s="29">
        <f>SUMIFS(Cash_Flow_3[Amount],Cash_Flow_3[Bulan],H1081,Cash_Flow_3[Type],"Out")</f>
        <v>0</v>
      </c>
      <c r="K1081" s="29">
        <f>SUMIFS(Cash_Flow_3[Amount],Cash_Flow_3[Bulan],H1081,Cash_Flow_3[Type],"Out",Cash_Flow_3[Category],"Fix")</f>
        <v>0</v>
      </c>
      <c r="L1081" s="29">
        <f>SUMIFS(Cash_Flow_3[Amount],Cash_Flow_3[Bulan],H1081,Cash_Flow_3[Type],"Out",Cash_Flow_3[Category],"Bathroom")</f>
        <v>0</v>
      </c>
      <c r="M1081" s="29">
        <f>SUMIFS(Cash_Flow_3[Amount],Cash_Flow_3[Bulan],H1081,Cash_Flow_3[Type],"Out",Cash_Flow_3[Category],"Alfa")</f>
        <v>0</v>
      </c>
      <c r="N1081" s="29">
        <f>SUMIFS(Cash_Flow_3[Amount],Cash_Flow_3[Bulan],H1081,Cash_Flow_3[Type],"Out",Cash_Flow_3[Category],"Jajan")</f>
        <v>0</v>
      </c>
      <c r="O1081" s="29">
        <f>SUMIFS(Cash_Flow_3[Amount],Cash_Flow_3[Bulan],H1081,Cash_Flow_3[Type],"Out",Cash_Flow_3[Category],"Kitchen")</f>
        <v>0</v>
      </c>
      <c r="P1081" s="29">
        <f>SUMIFS(Cash_Flow_3[Amount],Cash_Flow_3[Bulan],H1081,Cash_Flow_3[Type],"Out",Cash_Flow_3[Category],"Loandry")</f>
        <v>0</v>
      </c>
      <c r="Q1081" s="29">
        <f>SUMIFS(Cash_Flow_3[Amount],Cash_Flow_3[Bulan],H1081,Cash_Flow_3[Type],"Out",Cash_Flow_3[Category],"Mio")</f>
        <v>0</v>
      </c>
      <c r="R1081" s="29">
        <f>SUMIFS(Cash_Flow_3[Amount],Cash_Flow_3[Bulan],H1081,Cash_Flow_3[Type],"Out",Cash_Flow_3[Category],"Sedekah")</f>
        <v>0</v>
      </c>
      <c r="S1081" s="29">
        <f>SUMIFS(Cash_Flow_3[Amount],Cash_Flow_3[Bulan],H1081,Cash_Flow_3[Type],"Out",Cash_Flow_3[Category],"Zela")</f>
        <v>0</v>
      </c>
      <c r="T1081" s="29">
        <f>SUMIFS(Cash_Flow_3[Amount],Cash_Flow_3[Bulan],H1081,Cash_Flow_3[Type],"Out",Cash_Flow_3[Category],"Iqbal")</f>
        <v>0</v>
      </c>
    </row>
    <row r="1082" spans="1:20" ht="22.5" customHeight="1" x14ac:dyDescent="0.2">
      <c r="A1082" s="23"/>
      <c r="B1082" s="24"/>
      <c r="C1082" s="25"/>
      <c r="D1082" s="25"/>
      <c r="E1082" s="25"/>
      <c r="F1082" s="26"/>
      <c r="G1082" s="27"/>
      <c r="H1082" s="28" t="str">
        <f t="shared" si="0"/>
        <v/>
      </c>
      <c r="I1082" s="29">
        <f>SUMIFS(Cash_Flow_3[Amount],Cash_Flow_3[Bulan],H1082,Cash_Flow_3[Type],"In")</f>
        <v>0</v>
      </c>
      <c r="J1082" s="29">
        <f>SUMIFS(Cash_Flow_3[Amount],Cash_Flow_3[Bulan],H1082,Cash_Flow_3[Type],"Out")</f>
        <v>0</v>
      </c>
      <c r="K1082" s="29">
        <f>SUMIFS(Cash_Flow_3[Amount],Cash_Flow_3[Bulan],H1082,Cash_Flow_3[Type],"Out",Cash_Flow_3[Category],"Fix")</f>
        <v>0</v>
      </c>
      <c r="L1082" s="29">
        <f>SUMIFS(Cash_Flow_3[Amount],Cash_Flow_3[Bulan],H1082,Cash_Flow_3[Type],"Out",Cash_Flow_3[Category],"Bathroom")</f>
        <v>0</v>
      </c>
      <c r="M1082" s="29">
        <f>SUMIFS(Cash_Flow_3[Amount],Cash_Flow_3[Bulan],H1082,Cash_Flow_3[Type],"Out",Cash_Flow_3[Category],"Alfa")</f>
        <v>0</v>
      </c>
      <c r="N1082" s="29">
        <f>SUMIFS(Cash_Flow_3[Amount],Cash_Flow_3[Bulan],H1082,Cash_Flow_3[Type],"Out",Cash_Flow_3[Category],"Jajan")</f>
        <v>0</v>
      </c>
      <c r="O1082" s="29">
        <f>SUMIFS(Cash_Flow_3[Amount],Cash_Flow_3[Bulan],H1082,Cash_Flow_3[Type],"Out",Cash_Flow_3[Category],"Kitchen")</f>
        <v>0</v>
      </c>
      <c r="P1082" s="29">
        <f>SUMIFS(Cash_Flow_3[Amount],Cash_Flow_3[Bulan],H1082,Cash_Flow_3[Type],"Out",Cash_Flow_3[Category],"Loandry")</f>
        <v>0</v>
      </c>
      <c r="Q1082" s="29">
        <f>SUMIFS(Cash_Flow_3[Amount],Cash_Flow_3[Bulan],H1082,Cash_Flow_3[Type],"Out",Cash_Flow_3[Category],"Mio")</f>
        <v>0</v>
      </c>
      <c r="R1082" s="29">
        <f>SUMIFS(Cash_Flow_3[Amount],Cash_Flow_3[Bulan],H1082,Cash_Flow_3[Type],"Out",Cash_Flow_3[Category],"Sedekah")</f>
        <v>0</v>
      </c>
      <c r="S1082" s="29">
        <f>SUMIFS(Cash_Flow_3[Amount],Cash_Flow_3[Bulan],H1082,Cash_Flow_3[Type],"Out",Cash_Flow_3[Category],"Zela")</f>
        <v>0</v>
      </c>
      <c r="T1082" s="29">
        <f>SUMIFS(Cash_Flow_3[Amount],Cash_Flow_3[Bulan],H1082,Cash_Flow_3[Type],"Out",Cash_Flow_3[Category],"Iqbal")</f>
        <v>0</v>
      </c>
    </row>
    <row r="1083" spans="1:20" ht="22.5" customHeight="1" x14ac:dyDescent="0.2">
      <c r="A1083" s="23"/>
      <c r="B1083" s="24"/>
      <c r="C1083" s="25"/>
      <c r="D1083" s="25"/>
      <c r="E1083" s="25"/>
      <c r="F1083" s="26"/>
      <c r="G1083" s="27"/>
      <c r="H1083" s="28" t="str">
        <f t="shared" si="0"/>
        <v/>
      </c>
      <c r="I1083" s="29">
        <f>SUMIFS(Cash_Flow_3[Amount],Cash_Flow_3[Bulan],H1083,Cash_Flow_3[Type],"In")</f>
        <v>0</v>
      </c>
      <c r="J1083" s="29">
        <f>SUMIFS(Cash_Flow_3[Amount],Cash_Flow_3[Bulan],H1083,Cash_Flow_3[Type],"Out")</f>
        <v>0</v>
      </c>
      <c r="K1083" s="29">
        <f>SUMIFS(Cash_Flow_3[Amount],Cash_Flow_3[Bulan],H1083,Cash_Flow_3[Type],"Out",Cash_Flow_3[Category],"Fix")</f>
        <v>0</v>
      </c>
      <c r="L1083" s="29">
        <f>SUMIFS(Cash_Flow_3[Amount],Cash_Flow_3[Bulan],H1083,Cash_Flow_3[Type],"Out",Cash_Flow_3[Category],"Bathroom")</f>
        <v>0</v>
      </c>
      <c r="M1083" s="29">
        <f>SUMIFS(Cash_Flow_3[Amount],Cash_Flow_3[Bulan],H1083,Cash_Flow_3[Type],"Out",Cash_Flow_3[Category],"Alfa")</f>
        <v>0</v>
      </c>
      <c r="N1083" s="29">
        <f>SUMIFS(Cash_Flow_3[Amount],Cash_Flow_3[Bulan],H1083,Cash_Flow_3[Type],"Out",Cash_Flow_3[Category],"Jajan")</f>
        <v>0</v>
      </c>
      <c r="O1083" s="29">
        <f>SUMIFS(Cash_Flow_3[Amount],Cash_Flow_3[Bulan],H1083,Cash_Flow_3[Type],"Out",Cash_Flow_3[Category],"Kitchen")</f>
        <v>0</v>
      </c>
      <c r="P1083" s="29">
        <f>SUMIFS(Cash_Flow_3[Amount],Cash_Flow_3[Bulan],H1083,Cash_Flow_3[Type],"Out",Cash_Flow_3[Category],"Loandry")</f>
        <v>0</v>
      </c>
      <c r="Q1083" s="29">
        <f>SUMIFS(Cash_Flow_3[Amount],Cash_Flow_3[Bulan],H1083,Cash_Flow_3[Type],"Out",Cash_Flow_3[Category],"Mio")</f>
        <v>0</v>
      </c>
      <c r="R1083" s="29">
        <f>SUMIFS(Cash_Flow_3[Amount],Cash_Flow_3[Bulan],H1083,Cash_Flow_3[Type],"Out",Cash_Flow_3[Category],"Sedekah")</f>
        <v>0</v>
      </c>
      <c r="S1083" s="29">
        <f>SUMIFS(Cash_Flow_3[Amount],Cash_Flow_3[Bulan],H1083,Cash_Flow_3[Type],"Out",Cash_Flow_3[Category],"Zela")</f>
        <v>0</v>
      </c>
      <c r="T1083" s="29">
        <f>SUMIFS(Cash_Flow_3[Amount],Cash_Flow_3[Bulan],H1083,Cash_Flow_3[Type],"Out",Cash_Flow_3[Category],"Iqbal")</f>
        <v>0</v>
      </c>
    </row>
    <row r="1084" spans="1:20" ht="22.5" customHeight="1" x14ac:dyDescent="0.2">
      <c r="A1084" s="23"/>
      <c r="B1084" s="24"/>
      <c r="C1084" s="25"/>
      <c r="D1084" s="25"/>
      <c r="E1084" s="25"/>
      <c r="F1084" s="26"/>
      <c r="G1084" s="27"/>
      <c r="H1084" s="28" t="str">
        <f t="shared" si="0"/>
        <v/>
      </c>
      <c r="I1084" s="29">
        <f>SUMIFS(Cash_Flow_3[Amount],Cash_Flow_3[Bulan],H1084,Cash_Flow_3[Type],"In")</f>
        <v>0</v>
      </c>
      <c r="J1084" s="29">
        <f>SUMIFS(Cash_Flow_3[Amount],Cash_Flow_3[Bulan],H1084,Cash_Flow_3[Type],"Out")</f>
        <v>0</v>
      </c>
      <c r="K1084" s="29">
        <f>SUMIFS(Cash_Flow_3[Amount],Cash_Flow_3[Bulan],H1084,Cash_Flow_3[Type],"Out",Cash_Flow_3[Category],"Fix")</f>
        <v>0</v>
      </c>
      <c r="L1084" s="29">
        <f>SUMIFS(Cash_Flow_3[Amount],Cash_Flow_3[Bulan],H1084,Cash_Flow_3[Type],"Out",Cash_Flow_3[Category],"Bathroom")</f>
        <v>0</v>
      </c>
      <c r="M1084" s="29">
        <f>SUMIFS(Cash_Flow_3[Amount],Cash_Flow_3[Bulan],H1084,Cash_Flow_3[Type],"Out",Cash_Flow_3[Category],"Alfa")</f>
        <v>0</v>
      </c>
      <c r="N1084" s="29">
        <f>SUMIFS(Cash_Flow_3[Amount],Cash_Flow_3[Bulan],H1084,Cash_Flow_3[Type],"Out",Cash_Flow_3[Category],"Jajan")</f>
        <v>0</v>
      </c>
      <c r="O1084" s="29">
        <f>SUMIFS(Cash_Flow_3[Amount],Cash_Flow_3[Bulan],H1084,Cash_Flow_3[Type],"Out",Cash_Flow_3[Category],"Kitchen")</f>
        <v>0</v>
      </c>
      <c r="P1084" s="29">
        <f>SUMIFS(Cash_Flow_3[Amount],Cash_Flow_3[Bulan],H1084,Cash_Flow_3[Type],"Out",Cash_Flow_3[Category],"Loandry")</f>
        <v>0</v>
      </c>
      <c r="Q1084" s="29">
        <f>SUMIFS(Cash_Flow_3[Amount],Cash_Flow_3[Bulan],H1084,Cash_Flow_3[Type],"Out",Cash_Flow_3[Category],"Mio")</f>
        <v>0</v>
      </c>
      <c r="R1084" s="29">
        <f>SUMIFS(Cash_Flow_3[Amount],Cash_Flow_3[Bulan],H1084,Cash_Flow_3[Type],"Out",Cash_Flow_3[Category],"Sedekah")</f>
        <v>0</v>
      </c>
      <c r="S1084" s="29">
        <f>SUMIFS(Cash_Flow_3[Amount],Cash_Flow_3[Bulan],H1084,Cash_Flow_3[Type],"Out",Cash_Flow_3[Category],"Zela")</f>
        <v>0</v>
      </c>
      <c r="T1084" s="29">
        <f>SUMIFS(Cash_Flow_3[Amount],Cash_Flow_3[Bulan],H1084,Cash_Flow_3[Type],"Out",Cash_Flow_3[Category],"Iqbal")</f>
        <v>0</v>
      </c>
    </row>
    <row r="1085" spans="1:20" ht="22.5" customHeight="1" x14ac:dyDescent="0.2">
      <c r="A1085" s="23"/>
      <c r="B1085" s="24"/>
      <c r="C1085" s="25"/>
      <c r="D1085" s="25"/>
      <c r="E1085" s="25"/>
      <c r="F1085" s="26"/>
      <c r="G1085" s="27"/>
      <c r="H1085" s="28" t="str">
        <f t="shared" si="0"/>
        <v/>
      </c>
      <c r="I1085" s="29">
        <f>SUMIFS(Cash_Flow_3[Amount],Cash_Flow_3[Bulan],H1085,Cash_Flow_3[Type],"In")</f>
        <v>0</v>
      </c>
      <c r="J1085" s="29">
        <f>SUMIFS(Cash_Flow_3[Amount],Cash_Flow_3[Bulan],H1085,Cash_Flow_3[Type],"Out")</f>
        <v>0</v>
      </c>
      <c r="K1085" s="29">
        <f>SUMIFS(Cash_Flow_3[Amount],Cash_Flow_3[Bulan],H1085,Cash_Flow_3[Type],"Out",Cash_Flow_3[Category],"Fix")</f>
        <v>0</v>
      </c>
      <c r="L1085" s="29">
        <f>SUMIFS(Cash_Flow_3[Amount],Cash_Flow_3[Bulan],H1085,Cash_Flow_3[Type],"Out",Cash_Flow_3[Category],"Bathroom")</f>
        <v>0</v>
      </c>
      <c r="M1085" s="29">
        <f>SUMIFS(Cash_Flow_3[Amount],Cash_Flow_3[Bulan],H1085,Cash_Flow_3[Type],"Out",Cash_Flow_3[Category],"Alfa")</f>
        <v>0</v>
      </c>
      <c r="N1085" s="29">
        <f>SUMIFS(Cash_Flow_3[Amount],Cash_Flow_3[Bulan],H1085,Cash_Flow_3[Type],"Out",Cash_Flow_3[Category],"Jajan")</f>
        <v>0</v>
      </c>
      <c r="O1085" s="29">
        <f>SUMIFS(Cash_Flow_3[Amount],Cash_Flow_3[Bulan],H1085,Cash_Flow_3[Type],"Out",Cash_Flow_3[Category],"Kitchen")</f>
        <v>0</v>
      </c>
      <c r="P1085" s="29">
        <f>SUMIFS(Cash_Flow_3[Amount],Cash_Flow_3[Bulan],H1085,Cash_Flow_3[Type],"Out",Cash_Flow_3[Category],"Loandry")</f>
        <v>0</v>
      </c>
      <c r="Q1085" s="29">
        <f>SUMIFS(Cash_Flow_3[Amount],Cash_Flow_3[Bulan],H1085,Cash_Flow_3[Type],"Out",Cash_Flow_3[Category],"Mio")</f>
        <v>0</v>
      </c>
      <c r="R1085" s="29">
        <f>SUMIFS(Cash_Flow_3[Amount],Cash_Flow_3[Bulan],H1085,Cash_Flow_3[Type],"Out",Cash_Flow_3[Category],"Sedekah")</f>
        <v>0</v>
      </c>
      <c r="S1085" s="29">
        <f>SUMIFS(Cash_Flow_3[Amount],Cash_Flow_3[Bulan],H1085,Cash_Flow_3[Type],"Out",Cash_Flow_3[Category],"Zela")</f>
        <v>0</v>
      </c>
      <c r="T1085" s="29">
        <f>SUMIFS(Cash_Flow_3[Amount],Cash_Flow_3[Bulan],H1085,Cash_Flow_3[Type],"Out",Cash_Flow_3[Category],"Iqbal")</f>
        <v>0</v>
      </c>
    </row>
    <row r="1086" spans="1:20" ht="22.5" customHeight="1" x14ac:dyDescent="0.2">
      <c r="A1086" s="23"/>
      <c r="B1086" s="24"/>
      <c r="C1086" s="25"/>
      <c r="D1086" s="25"/>
      <c r="E1086" s="25"/>
      <c r="F1086" s="26"/>
      <c r="G1086" s="27"/>
      <c r="H1086" s="28" t="str">
        <f t="shared" si="0"/>
        <v/>
      </c>
      <c r="I1086" s="29">
        <f>SUMIFS(Cash_Flow_3[Amount],Cash_Flow_3[Bulan],H1086,Cash_Flow_3[Type],"In")</f>
        <v>0</v>
      </c>
      <c r="J1086" s="29">
        <f>SUMIFS(Cash_Flow_3[Amount],Cash_Flow_3[Bulan],H1086,Cash_Flow_3[Type],"Out")</f>
        <v>0</v>
      </c>
      <c r="K1086" s="29">
        <f>SUMIFS(Cash_Flow_3[Amount],Cash_Flow_3[Bulan],H1086,Cash_Flow_3[Type],"Out",Cash_Flow_3[Category],"Fix")</f>
        <v>0</v>
      </c>
      <c r="L1086" s="29">
        <f>SUMIFS(Cash_Flow_3[Amount],Cash_Flow_3[Bulan],H1086,Cash_Flow_3[Type],"Out",Cash_Flow_3[Category],"Bathroom")</f>
        <v>0</v>
      </c>
      <c r="M1086" s="29">
        <f>SUMIFS(Cash_Flow_3[Amount],Cash_Flow_3[Bulan],H1086,Cash_Flow_3[Type],"Out",Cash_Flow_3[Category],"Alfa")</f>
        <v>0</v>
      </c>
      <c r="N1086" s="29">
        <f>SUMIFS(Cash_Flow_3[Amount],Cash_Flow_3[Bulan],H1086,Cash_Flow_3[Type],"Out",Cash_Flow_3[Category],"Jajan")</f>
        <v>0</v>
      </c>
      <c r="O1086" s="29">
        <f>SUMIFS(Cash_Flow_3[Amount],Cash_Flow_3[Bulan],H1086,Cash_Flow_3[Type],"Out",Cash_Flow_3[Category],"Kitchen")</f>
        <v>0</v>
      </c>
      <c r="P1086" s="29">
        <f>SUMIFS(Cash_Flow_3[Amount],Cash_Flow_3[Bulan],H1086,Cash_Flow_3[Type],"Out",Cash_Flow_3[Category],"Loandry")</f>
        <v>0</v>
      </c>
      <c r="Q1086" s="29">
        <f>SUMIFS(Cash_Flow_3[Amount],Cash_Flow_3[Bulan],H1086,Cash_Flow_3[Type],"Out",Cash_Flow_3[Category],"Mio")</f>
        <v>0</v>
      </c>
      <c r="R1086" s="29">
        <f>SUMIFS(Cash_Flow_3[Amount],Cash_Flow_3[Bulan],H1086,Cash_Flow_3[Type],"Out",Cash_Flow_3[Category],"Sedekah")</f>
        <v>0</v>
      </c>
      <c r="S1086" s="29">
        <f>SUMIFS(Cash_Flow_3[Amount],Cash_Flow_3[Bulan],H1086,Cash_Flow_3[Type],"Out",Cash_Flow_3[Category],"Zela")</f>
        <v>0</v>
      </c>
      <c r="T1086" s="29">
        <f>SUMIFS(Cash_Flow_3[Amount],Cash_Flow_3[Bulan],H1086,Cash_Flow_3[Type],"Out",Cash_Flow_3[Category],"Iqbal")</f>
        <v>0</v>
      </c>
    </row>
    <row r="1087" spans="1:20" ht="22.5" customHeight="1" x14ac:dyDescent="0.2">
      <c r="A1087" s="23"/>
      <c r="B1087" s="24"/>
      <c r="C1087" s="25"/>
      <c r="D1087" s="25"/>
      <c r="E1087" s="25"/>
      <c r="F1087" s="26"/>
      <c r="G1087" s="27"/>
      <c r="H1087" s="28" t="str">
        <f t="shared" si="0"/>
        <v/>
      </c>
      <c r="I1087" s="29">
        <f>SUMIFS(Cash_Flow_3[Amount],Cash_Flow_3[Bulan],H1087,Cash_Flow_3[Type],"In")</f>
        <v>0</v>
      </c>
      <c r="J1087" s="29">
        <f>SUMIFS(Cash_Flow_3[Amount],Cash_Flow_3[Bulan],H1087,Cash_Flow_3[Type],"Out")</f>
        <v>0</v>
      </c>
      <c r="K1087" s="29">
        <f>SUMIFS(Cash_Flow_3[Amount],Cash_Flow_3[Bulan],H1087,Cash_Flow_3[Type],"Out",Cash_Flow_3[Category],"Fix")</f>
        <v>0</v>
      </c>
      <c r="L1087" s="29">
        <f>SUMIFS(Cash_Flow_3[Amount],Cash_Flow_3[Bulan],H1087,Cash_Flow_3[Type],"Out",Cash_Flow_3[Category],"Bathroom")</f>
        <v>0</v>
      </c>
      <c r="M1087" s="29">
        <f>SUMIFS(Cash_Flow_3[Amount],Cash_Flow_3[Bulan],H1087,Cash_Flow_3[Type],"Out",Cash_Flow_3[Category],"Alfa")</f>
        <v>0</v>
      </c>
      <c r="N1087" s="29">
        <f>SUMIFS(Cash_Flow_3[Amount],Cash_Flow_3[Bulan],H1087,Cash_Flow_3[Type],"Out",Cash_Flow_3[Category],"Jajan")</f>
        <v>0</v>
      </c>
      <c r="O1087" s="29">
        <f>SUMIFS(Cash_Flow_3[Amount],Cash_Flow_3[Bulan],H1087,Cash_Flow_3[Type],"Out",Cash_Flow_3[Category],"Kitchen")</f>
        <v>0</v>
      </c>
      <c r="P1087" s="29">
        <f>SUMIFS(Cash_Flow_3[Amount],Cash_Flow_3[Bulan],H1087,Cash_Flow_3[Type],"Out",Cash_Flow_3[Category],"Loandry")</f>
        <v>0</v>
      </c>
      <c r="Q1087" s="29">
        <f>SUMIFS(Cash_Flow_3[Amount],Cash_Flow_3[Bulan],H1087,Cash_Flow_3[Type],"Out",Cash_Flow_3[Category],"Mio")</f>
        <v>0</v>
      </c>
      <c r="R1087" s="29">
        <f>SUMIFS(Cash_Flow_3[Amount],Cash_Flow_3[Bulan],H1087,Cash_Flow_3[Type],"Out",Cash_Flow_3[Category],"Sedekah")</f>
        <v>0</v>
      </c>
      <c r="S1087" s="29">
        <f>SUMIFS(Cash_Flow_3[Amount],Cash_Flow_3[Bulan],H1087,Cash_Flow_3[Type],"Out",Cash_Flow_3[Category],"Zela")</f>
        <v>0</v>
      </c>
      <c r="T1087" s="29">
        <f>SUMIFS(Cash_Flow_3[Amount],Cash_Flow_3[Bulan],H1087,Cash_Flow_3[Type],"Out",Cash_Flow_3[Category],"Iqbal")</f>
        <v>0</v>
      </c>
    </row>
    <row r="1088" spans="1:20" ht="22.5" customHeight="1" x14ac:dyDescent="0.2">
      <c r="A1088" s="23"/>
      <c r="B1088" s="24"/>
      <c r="C1088" s="25"/>
      <c r="D1088" s="25"/>
      <c r="E1088" s="25"/>
      <c r="F1088" s="26"/>
      <c r="G1088" s="27"/>
      <c r="H1088" s="28" t="str">
        <f t="shared" si="0"/>
        <v/>
      </c>
      <c r="I1088" s="29">
        <f>SUMIFS(Cash_Flow_3[Amount],Cash_Flow_3[Bulan],H1088,Cash_Flow_3[Type],"In")</f>
        <v>0</v>
      </c>
      <c r="J1088" s="29">
        <f>SUMIFS(Cash_Flow_3[Amount],Cash_Flow_3[Bulan],H1088,Cash_Flow_3[Type],"Out")</f>
        <v>0</v>
      </c>
      <c r="K1088" s="29">
        <f>SUMIFS(Cash_Flow_3[Amount],Cash_Flow_3[Bulan],H1088,Cash_Flow_3[Type],"Out",Cash_Flow_3[Category],"Fix")</f>
        <v>0</v>
      </c>
      <c r="L1088" s="29">
        <f>SUMIFS(Cash_Flow_3[Amount],Cash_Flow_3[Bulan],H1088,Cash_Flow_3[Type],"Out",Cash_Flow_3[Category],"Bathroom")</f>
        <v>0</v>
      </c>
      <c r="M1088" s="29">
        <f>SUMIFS(Cash_Flow_3[Amount],Cash_Flow_3[Bulan],H1088,Cash_Flow_3[Type],"Out",Cash_Flow_3[Category],"Alfa")</f>
        <v>0</v>
      </c>
      <c r="N1088" s="29">
        <f>SUMIFS(Cash_Flow_3[Amount],Cash_Flow_3[Bulan],H1088,Cash_Flow_3[Type],"Out",Cash_Flow_3[Category],"Jajan")</f>
        <v>0</v>
      </c>
      <c r="O1088" s="29">
        <f>SUMIFS(Cash_Flow_3[Amount],Cash_Flow_3[Bulan],H1088,Cash_Flow_3[Type],"Out",Cash_Flow_3[Category],"Kitchen")</f>
        <v>0</v>
      </c>
      <c r="P1088" s="29">
        <f>SUMIFS(Cash_Flow_3[Amount],Cash_Flow_3[Bulan],H1088,Cash_Flow_3[Type],"Out",Cash_Flow_3[Category],"Loandry")</f>
        <v>0</v>
      </c>
      <c r="Q1088" s="29">
        <f>SUMIFS(Cash_Flow_3[Amount],Cash_Flow_3[Bulan],H1088,Cash_Flow_3[Type],"Out",Cash_Flow_3[Category],"Mio")</f>
        <v>0</v>
      </c>
      <c r="R1088" s="29">
        <f>SUMIFS(Cash_Flow_3[Amount],Cash_Flow_3[Bulan],H1088,Cash_Flow_3[Type],"Out",Cash_Flow_3[Category],"Sedekah")</f>
        <v>0</v>
      </c>
      <c r="S1088" s="29">
        <f>SUMIFS(Cash_Flow_3[Amount],Cash_Flow_3[Bulan],H1088,Cash_Flow_3[Type],"Out",Cash_Flow_3[Category],"Zela")</f>
        <v>0</v>
      </c>
      <c r="T1088" s="29">
        <f>SUMIFS(Cash_Flow_3[Amount],Cash_Flow_3[Bulan],H1088,Cash_Flow_3[Type],"Out",Cash_Flow_3[Category],"Iqbal")</f>
        <v>0</v>
      </c>
    </row>
    <row r="1089" spans="1:20" ht="22.5" customHeight="1" x14ac:dyDescent="0.2">
      <c r="A1089" s="23"/>
      <c r="B1089" s="24"/>
      <c r="C1089" s="25"/>
      <c r="D1089" s="25"/>
      <c r="E1089" s="25"/>
      <c r="F1089" s="26"/>
      <c r="G1089" s="27"/>
      <c r="H1089" s="28" t="str">
        <f t="shared" si="0"/>
        <v/>
      </c>
      <c r="I1089" s="29">
        <f>SUMIFS(Cash_Flow_3[Amount],Cash_Flow_3[Bulan],H1089,Cash_Flow_3[Type],"In")</f>
        <v>0</v>
      </c>
      <c r="J1089" s="29">
        <f>SUMIFS(Cash_Flow_3[Amount],Cash_Flow_3[Bulan],H1089,Cash_Flow_3[Type],"Out")</f>
        <v>0</v>
      </c>
      <c r="K1089" s="29">
        <f>SUMIFS(Cash_Flow_3[Amount],Cash_Flow_3[Bulan],H1089,Cash_Flow_3[Type],"Out",Cash_Flow_3[Category],"Fix")</f>
        <v>0</v>
      </c>
      <c r="L1089" s="29">
        <f>SUMIFS(Cash_Flow_3[Amount],Cash_Flow_3[Bulan],H1089,Cash_Flow_3[Type],"Out",Cash_Flow_3[Category],"Bathroom")</f>
        <v>0</v>
      </c>
      <c r="M1089" s="29">
        <f>SUMIFS(Cash_Flow_3[Amount],Cash_Flow_3[Bulan],H1089,Cash_Flow_3[Type],"Out",Cash_Flow_3[Category],"Alfa")</f>
        <v>0</v>
      </c>
      <c r="N1089" s="29">
        <f>SUMIFS(Cash_Flow_3[Amount],Cash_Flow_3[Bulan],H1089,Cash_Flow_3[Type],"Out",Cash_Flow_3[Category],"Jajan")</f>
        <v>0</v>
      </c>
      <c r="O1089" s="29">
        <f>SUMIFS(Cash_Flow_3[Amount],Cash_Flow_3[Bulan],H1089,Cash_Flow_3[Type],"Out",Cash_Flow_3[Category],"Kitchen")</f>
        <v>0</v>
      </c>
      <c r="P1089" s="29">
        <f>SUMIFS(Cash_Flow_3[Amount],Cash_Flow_3[Bulan],H1089,Cash_Flow_3[Type],"Out",Cash_Flow_3[Category],"Loandry")</f>
        <v>0</v>
      </c>
      <c r="Q1089" s="29">
        <f>SUMIFS(Cash_Flow_3[Amount],Cash_Flow_3[Bulan],H1089,Cash_Flow_3[Type],"Out",Cash_Flow_3[Category],"Mio")</f>
        <v>0</v>
      </c>
      <c r="R1089" s="29">
        <f>SUMIFS(Cash_Flow_3[Amount],Cash_Flow_3[Bulan],H1089,Cash_Flow_3[Type],"Out",Cash_Flow_3[Category],"Sedekah")</f>
        <v>0</v>
      </c>
      <c r="S1089" s="29">
        <f>SUMIFS(Cash_Flow_3[Amount],Cash_Flow_3[Bulan],H1089,Cash_Flow_3[Type],"Out",Cash_Flow_3[Category],"Zela")</f>
        <v>0</v>
      </c>
      <c r="T1089" s="29">
        <f>SUMIFS(Cash_Flow_3[Amount],Cash_Flow_3[Bulan],H1089,Cash_Flow_3[Type],"Out",Cash_Flow_3[Category],"Iqbal")</f>
        <v>0</v>
      </c>
    </row>
    <row r="1090" spans="1:20" ht="22.5" customHeight="1" x14ac:dyDescent="0.2">
      <c r="A1090" s="23"/>
      <c r="B1090" s="24"/>
      <c r="C1090" s="25"/>
      <c r="D1090" s="25"/>
      <c r="E1090" s="25"/>
      <c r="F1090" s="26"/>
      <c r="G1090" s="27"/>
      <c r="H1090" s="28" t="str">
        <f t="shared" si="0"/>
        <v/>
      </c>
      <c r="I1090" s="29">
        <f>SUMIFS(Cash_Flow_3[Amount],Cash_Flow_3[Bulan],H1090,Cash_Flow_3[Type],"In")</f>
        <v>0</v>
      </c>
      <c r="J1090" s="29">
        <f>SUMIFS(Cash_Flow_3[Amount],Cash_Flow_3[Bulan],H1090,Cash_Flow_3[Type],"Out")</f>
        <v>0</v>
      </c>
      <c r="K1090" s="29">
        <f>SUMIFS(Cash_Flow_3[Amount],Cash_Flow_3[Bulan],H1090,Cash_Flow_3[Type],"Out",Cash_Flow_3[Category],"Fix")</f>
        <v>0</v>
      </c>
      <c r="L1090" s="29">
        <f>SUMIFS(Cash_Flow_3[Amount],Cash_Flow_3[Bulan],H1090,Cash_Flow_3[Type],"Out",Cash_Flow_3[Category],"Bathroom")</f>
        <v>0</v>
      </c>
      <c r="M1090" s="29">
        <f>SUMIFS(Cash_Flow_3[Amount],Cash_Flow_3[Bulan],H1090,Cash_Flow_3[Type],"Out",Cash_Flow_3[Category],"Alfa")</f>
        <v>0</v>
      </c>
      <c r="N1090" s="29">
        <f>SUMIFS(Cash_Flow_3[Amount],Cash_Flow_3[Bulan],H1090,Cash_Flow_3[Type],"Out",Cash_Flow_3[Category],"Jajan")</f>
        <v>0</v>
      </c>
      <c r="O1090" s="29">
        <f>SUMIFS(Cash_Flow_3[Amount],Cash_Flow_3[Bulan],H1090,Cash_Flow_3[Type],"Out",Cash_Flow_3[Category],"Kitchen")</f>
        <v>0</v>
      </c>
      <c r="P1090" s="29">
        <f>SUMIFS(Cash_Flow_3[Amount],Cash_Flow_3[Bulan],H1090,Cash_Flow_3[Type],"Out",Cash_Flow_3[Category],"Loandry")</f>
        <v>0</v>
      </c>
      <c r="Q1090" s="29">
        <f>SUMIFS(Cash_Flow_3[Amount],Cash_Flow_3[Bulan],H1090,Cash_Flow_3[Type],"Out",Cash_Flow_3[Category],"Mio")</f>
        <v>0</v>
      </c>
      <c r="R1090" s="29">
        <f>SUMIFS(Cash_Flow_3[Amount],Cash_Flow_3[Bulan],H1090,Cash_Flow_3[Type],"Out",Cash_Flow_3[Category],"Sedekah")</f>
        <v>0</v>
      </c>
      <c r="S1090" s="29">
        <f>SUMIFS(Cash_Flow_3[Amount],Cash_Flow_3[Bulan],H1090,Cash_Flow_3[Type],"Out",Cash_Flow_3[Category],"Zela")</f>
        <v>0</v>
      </c>
      <c r="T1090" s="29">
        <f>SUMIFS(Cash_Flow_3[Amount],Cash_Flow_3[Bulan],H1090,Cash_Flow_3[Type],"Out",Cash_Flow_3[Category],"Iqbal")</f>
        <v>0</v>
      </c>
    </row>
    <row r="1091" spans="1:20" ht="22.5" customHeight="1" x14ac:dyDescent="0.2">
      <c r="A1091" s="23"/>
      <c r="B1091" s="24"/>
      <c r="C1091" s="25"/>
      <c r="D1091" s="25"/>
      <c r="E1091" s="25"/>
      <c r="F1091" s="26"/>
      <c r="G1091" s="27"/>
      <c r="H1091" s="28" t="str">
        <f t="shared" si="0"/>
        <v/>
      </c>
      <c r="I1091" s="29">
        <f>SUMIFS(Cash_Flow_3[Amount],Cash_Flow_3[Bulan],H1091,Cash_Flow_3[Type],"In")</f>
        <v>0</v>
      </c>
      <c r="J1091" s="29">
        <f>SUMIFS(Cash_Flow_3[Amount],Cash_Flow_3[Bulan],H1091,Cash_Flow_3[Type],"Out")</f>
        <v>0</v>
      </c>
      <c r="K1091" s="29">
        <f>SUMIFS(Cash_Flow_3[Amount],Cash_Flow_3[Bulan],H1091,Cash_Flow_3[Type],"Out",Cash_Flow_3[Category],"Fix")</f>
        <v>0</v>
      </c>
      <c r="L1091" s="29">
        <f>SUMIFS(Cash_Flow_3[Amount],Cash_Flow_3[Bulan],H1091,Cash_Flow_3[Type],"Out",Cash_Flow_3[Category],"Bathroom")</f>
        <v>0</v>
      </c>
      <c r="M1091" s="29">
        <f>SUMIFS(Cash_Flow_3[Amount],Cash_Flow_3[Bulan],H1091,Cash_Flow_3[Type],"Out",Cash_Flow_3[Category],"Alfa")</f>
        <v>0</v>
      </c>
      <c r="N1091" s="29">
        <f>SUMIFS(Cash_Flow_3[Amount],Cash_Flow_3[Bulan],H1091,Cash_Flow_3[Type],"Out",Cash_Flow_3[Category],"Jajan")</f>
        <v>0</v>
      </c>
      <c r="O1091" s="29">
        <f>SUMIFS(Cash_Flow_3[Amount],Cash_Flow_3[Bulan],H1091,Cash_Flow_3[Type],"Out",Cash_Flow_3[Category],"Kitchen")</f>
        <v>0</v>
      </c>
      <c r="P1091" s="29">
        <f>SUMIFS(Cash_Flow_3[Amount],Cash_Flow_3[Bulan],H1091,Cash_Flow_3[Type],"Out",Cash_Flow_3[Category],"Loandry")</f>
        <v>0</v>
      </c>
      <c r="Q1091" s="29">
        <f>SUMIFS(Cash_Flow_3[Amount],Cash_Flow_3[Bulan],H1091,Cash_Flow_3[Type],"Out",Cash_Flow_3[Category],"Mio")</f>
        <v>0</v>
      </c>
      <c r="R1091" s="29">
        <f>SUMIFS(Cash_Flow_3[Amount],Cash_Flow_3[Bulan],H1091,Cash_Flow_3[Type],"Out",Cash_Flow_3[Category],"Sedekah")</f>
        <v>0</v>
      </c>
      <c r="S1091" s="29">
        <f>SUMIFS(Cash_Flow_3[Amount],Cash_Flow_3[Bulan],H1091,Cash_Flow_3[Type],"Out",Cash_Flow_3[Category],"Zela")</f>
        <v>0</v>
      </c>
      <c r="T1091" s="29">
        <f>SUMIFS(Cash_Flow_3[Amount],Cash_Flow_3[Bulan],H1091,Cash_Flow_3[Type],"Out",Cash_Flow_3[Category],"Iqbal")</f>
        <v>0</v>
      </c>
    </row>
    <row r="1092" spans="1:20" ht="22.5" customHeight="1" x14ac:dyDescent="0.2">
      <c r="A1092" s="23"/>
      <c r="B1092" s="24"/>
      <c r="C1092" s="25"/>
      <c r="D1092" s="25"/>
      <c r="E1092" s="25"/>
      <c r="F1092" s="26"/>
      <c r="G1092" s="27"/>
      <c r="H1092" s="28" t="str">
        <f t="shared" si="0"/>
        <v/>
      </c>
      <c r="I1092" s="29">
        <f>SUMIFS(Cash_Flow_3[Amount],Cash_Flow_3[Bulan],H1092,Cash_Flow_3[Type],"In")</f>
        <v>0</v>
      </c>
      <c r="J1092" s="29">
        <f>SUMIFS(Cash_Flow_3[Amount],Cash_Flow_3[Bulan],H1092,Cash_Flow_3[Type],"Out")</f>
        <v>0</v>
      </c>
      <c r="K1092" s="29">
        <f>SUMIFS(Cash_Flow_3[Amount],Cash_Flow_3[Bulan],H1092,Cash_Flow_3[Type],"Out",Cash_Flow_3[Category],"Fix")</f>
        <v>0</v>
      </c>
      <c r="L1092" s="29">
        <f>SUMIFS(Cash_Flow_3[Amount],Cash_Flow_3[Bulan],H1092,Cash_Flow_3[Type],"Out",Cash_Flow_3[Category],"Bathroom")</f>
        <v>0</v>
      </c>
      <c r="M1092" s="29">
        <f>SUMIFS(Cash_Flow_3[Amount],Cash_Flow_3[Bulan],H1092,Cash_Flow_3[Type],"Out",Cash_Flow_3[Category],"Alfa")</f>
        <v>0</v>
      </c>
      <c r="N1092" s="29">
        <f>SUMIFS(Cash_Flow_3[Amount],Cash_Flow_3[Bulan],H1092,Cash_Flow_3[Type],"Out",Cash_Flow_3[Category],"Jajan")</f>
        <v>0</v>
      </c>
      <c r="O1092" s="29">
        <f>SUMIFS(Cash_Flow_3[Amount],Cash_Flow_3[Bulan],H1092,Cash_Flow_3[Type],"Out",Cash_Flow_3[Category],"Kitchen")</f>
        <v>0</v>
      </c>
      <c r="P1092" s="29">
        <f>SUMIFS(Cash_Flow_3[Amount],Cash_Flow_3[Bulan],H1092,Cash_Flow_3[Type],"Out",Cash_Flow_3[Category],"Loandry")</f>
        <v>0</v>
      </c>
      <c r="Q1092" s="29">
        <f>SUMIFS(Cash_Flow_3[Amount],Cash_Flow_3[Bulan],H1092,Cash_Flow_3[Type],"Out",Cash_Flow_3[Category],"Mio")</f>
        <v>0</v>
      </c>
      <c r="R1092" s="29">
        <f>SUMIFS(Cash_Flow_3[Amount],Cash_Flow_3[Bulan],H1092,Cash_Flow_3[Type],"Out",Cash_Flow_3[Category],"Sedekah")</f>
        <v>0</v>
      </c>
      <c r="S1092" s="29">
        <f>SUMIFS(Cash_Flow_3[Amount],Cash_Flow_3[Bulan],H1092,Cash_Flow_3[Type],"Out",Cash_Flow_3[Category],"Zela")</f>
        <v>0</v>
      </c>
      <c r="T1092" s="29">
        <f>SUMIFS(Cash_Flow_3[Amount],Cash_Flow_3[Bulan],H1092,Cash_Flow_3[Type],"Out",Cash_Flow_3[Category],"Iqbal")</f>
        <v>0</v>
      </c>
    </row>
    <row r="1093" spans="1:20" ht="22.5" customHeight="1" x14ac:dyDescent="0.2">
      <c r="A1093" s="23"/>
      <c r="B1093" s="24"/>
      <c r="C1093" s="25"/>
      <c r="D1093" s="25"/>
      <c r="E1093" s="25"/>
      <c r="F1093" s="26"/>
      <c r="G1093" s="27"/>
      <c r="H1093" s="28" t="str">
        <f t="shared" si="0"/>
        <v/>
      </c>
      <c r="I1093" s="29">
        <f>SUMIFS(Cash_Flow_3[Amount],Cash_Flow_3[Bulan],H1093,Cash_Flow_3[Type],"In")</f>
        <v>0</v>
      </c>
      <c r="J1093" s="29">
        <f>SUMIFS(Cash_Flow_3[Amount],Cash_Flow_3[Bulan],H1093,Cash_Flow_3[Type],"Out")</f>
        <v>0</v>
      </c>
      <c r="K1093" s="29">
        <f>SUMIFS(Cash_Flow_3[Amount],Cash_Flow_3[Bulan],H1093,Cash_Flow_3[Type],"Out",Cash_Flow_3[Category],"Fix")</f>
        <v>0</v>
      </c>
      <c r="L1093" s="29">
        <f>SUMIFS(Cash_Flow_3[Amount],Cash_Flow_3[Bulan],H1093,Cash_Flow_3[Type],"Out",Cash_Flow_3[Category],"Bathroom")</f>
        <v>0</v>
      </c>
      <c r="M1093" s="29">
        <f>SUMIFS(Cash_Flow_3[Amount],Cash_Flow_3[Bulan],H1093,Cash_Flow_3[Type],"Out",Cash_Flow_3[Category],"Alfa")</f>
        <v>0</v>
      </c>
      <c r="N1093" s="29">
        <f>SUMIFS(Cash_Flow_3[Amount],Cash_Flow_3[Bulan],H1093,Cash_Flow_3[Type],"Out",Cash_Flow_3[Category],"Jajan")</f>
        <v>0</v>
      </c>
      <c r="O1093" s="29">
        <f>SUMIFS(Cash_Flow_3[Amount],Cash_Flow_3[Bulan],H1093,Cash_Flow_3[Type],"Out",Cash_Flow_3[Category],"Kitchen")</f>
        <v>0</v>
      </c>
      <c r="P1093" s="29">
        <f>SUMIFS(Cash_Flow_3[Amount],Cash_Flow_3[Bulan],H1093,Cash_Flow_3[Type],"Out",Cash_Flow_3[Category],"Loandry")</f>
        <v>0</v>
      </c>
      <c r="Q1093" s="29">
        <f>SUMIFS(Cash_Flow_3[Amount],Cash_Flow_3[Bulan],H1093,Cash_Flow_3[Type],"Out",Cash_Flow_3[Category],"Mio")</f>
        <v>0</v>
      </c>
      <c r="R1093" s="29">
        <f>SUMIFS(Cash_Flow_3[Amount],Cash_Flow_3[Bulan],H1093,Cash_Flow_3[Type],"Out",Cash_Flow_3[Category],"Sedekah")</f>
        <v>0</v>
      </c>
      <c r="S1093" s="29">
        <f>SUMIFS(Cash_Flow_3[Amount],Cash_Flow_3[Bulan],H1093,Cash_Flow_3[Type],"Out",Cash_Flow_3[Category],"Zela")</f>
        <v>0</v>
      </c>
      <c r="T1093" s="29">
        <f>SUMIFS(Cash_Flow_3[Amount],Cash_Flow_3[Bulan],H1093,Cash_Flow_3[Type],"Out",Cash_Flow_3[Category],"Iqbal")</f>
        <v>0</v>
      </c>
    </row>
    <row r="1094" spans="1:20" ht="22.5" customHeight="1" x14ac:dyDescent="0.2">
      <c r="A1094" s="23"/>
      <c r="B1094" s="24"/>
      <c r="C1094" s="25"/>
      <c r="D1094" s="25"/>
      <c r="E1094" s="25"/>
      <c r="F1094" s="26"/>
      <c r="G1094" s="27"/>
      <c r="H1094" s="28" t="str">
        <f t="shared" si="0"/>
        <v/>
      </c>
      <c r="I1094" s="29">
        <f>SUMIFS(Cash_Flow_3[Amount],Cash_Flow_3[Bulan],H1094,Cash_Flow_3[Type],"In")</f>
        <v>0</v>
      </c>
      <c r="J1094" s="29">
        <f>SUMIFS(Cash_Flow_3[Amount],Cash_Flow_3[Bulan],H1094,Cash_Flow_3[Type],"Out")</f>
        <v>0</v>
      </c>
      <c r="K1094" s="29">
        <f>SUMIFS(Cash_Flow_3[Amount],Cash_Flow_3[Bulan],H1094,Cash_Flow_3[Type],"Out",Cash_Flow_3[Category],"Fix")</f>
        <v>0</v>
      </c>
      <c r="L1094" s="29">
        <f>SUMIFS(Cash_Flow_3[Amount],Cash_Flow_3[Bulan],H1094,Cash_Flow_3[Type],"Out",Cash_Flow_3[Category],"Bathroom")</f>
        <v>0</v>
      </c>
      <c r="M1094" s="29">
        <f>SUMIFS(Cash_Flow_3[Amount],Cash_Flow_3[Bulan],H1094,Cash_Flow_3[Type],"Out",Cash_Flow_3[Category],"Alfa")</f>
        <v>0</v>
      </c>
      <c r="N1094" s="29">
        <f>SUMIFS(Cash_Flow_3[Amount],Cash_Flow_3[Bulan],H1094,Cash_Flow_3[Type],"Out",Cash_Flow_3[Category],"Jajan")</f>
        <v>0</v>
      </c>
      <c r="O1094" s="29">
        <f>SUMIFS(Cash_Flow_3[Amount],Cash_Flow_3[Bulan],H1094,Cash_Flow_3[Type],"Out",Cash_Flow_3[Category],"Kitchen")</f>
        <v>0</v>
      </c>
      <c r="P1094" s="29">
        <f>SUMIFS(Cash_Flow_3[Amount],Cash_Flow_3[Bulan],H1094,Cash_Flow_3[Type],"Out",Cash_Flow_3[Category],"Loandry")</f>
        <v>0</v>
      </c>
      <c r="Q1094" s="29">
        <f>SUMIFS(Cash_Flow_3[Amount],Cash_Flow_3[Bulan],H1094,Cash_Flow_3[Type],"Out",Cash_Flow_3[Category],"Mio")</f>
        <v>0</v>
      </c>
      <c r="R1094" s="29">
        <f>SUMIFS(Cash_Flow_3[Amount],Cash_Flow_3[Bulan],H1094,Cash_Flow_3[Type],"Out",Cash_Flow_3[Category],"Sedekah")</f>
        <v>0</v>
      </c>
      <c r="S1094" s="29">
        <f>SUMIFS(Cash_Flow_3[Amount],Cash_Flow_3[Bulan],H1094,Cash_Flow_3[Type],"Out",Cash_Flow_3[Category],"Zela")</f>
        <v>0</v>
      </c>
      <c r="T1094" s="29">
        <f>SUMIFS(Cash_Flow_3[Amount],Cash_Flow_3[Bulan],H1094,Cash_Flow_3[Type],"Out",Cash_Flow_3[Category],"Iqbal")</f>
        <v>0</v>
      </c>
    </row>
    <row r="1095" spans="1:20" ht="22.5" customHeight="1" x14ac:dyDescent="0.2">
      <c r="A1095" s="23"/>
      <c r="B1095" s="24"/>
      <c r="C1095" s="25"/>
      <c r="D1095" s="25"/>
      <c r="E1095" s="25"/>
      <c r="F1095" s="26"/>
      <c r="G1095" s="27"/>
      <c r="H1095" s="28" t="str">
        <f t="shared" si="0"/>
        <v/>
      </c>
      <c r="I1095" s="29">
        <f>SUMIFS(Cash_Flow_3[Amount],Cash_Flow_3[Bulan],H1095,Cash_Flow_3[Type],"In")</f>
        <v>0</v>
      </c>
      <c r="J1095" s="29">
        <f>SUMIFS(Cash_Flow_3[Amount],Cash_Flow_3[Bulan],H1095,Cash_Flow_3[Type],"Out")</f>
        <v>0</v>
      </c>
      <c r="K1095" s="29">
        <f>SUMIFS(Cash_Flow_3[Amount],Cash_Flow_3[Bulan],H1095,Cash_Flow_3[Type],"Out",Cash_Flow_3[Category],"Fix")</f>
        <v>0</v>
      </c>
      <c r="L1095" s="29">
        <f>SUMIFS(Cash_Flow_3[Amount],Cash_Flow_3[Bulan],H1095,Cash_Flow_3[Type],"Out",Cash_Flow_3[Category],"Bathroom")</f>
        <v>0</v>
      </c>
      <c r="M1095" s="29">
        <f>SUMIFS(Cash_Flow_3[Amount],Cash_Flow_3[Bulan],H1095,Cash_Flow_3[Type],"Out",Cash_Flow_3[Category],"Alfa")</f>
        <v>0</v>
      </c>
      <c r="N1095" s="29">
        <f>SUMIFS(Cash_Flow_3[Amount],Cash_Flow_3[Bulan],H1095,Cash_Flow_3[Type],"Out",Cash_Flow_3[Category],"Jajan")</f>
        <v>0</v>
      </c>
      <c r="O1095" s="29">
        <f>SUMIFS(Cash_Flow_3[Amount],Cash_Flow_3[Bulan],H1095,Cash_Flow_3[Type],"Out",Cash_Flow_3[Category],"Kitchen")</f>
        <v>0</v>
      </c>
      <c r="P1095" s="29">
        <f>SUMIFS(Cash_Flow_3[Amount],Cash_Flow_3[Bulan],H1095,Cash_Flow_3[Type],"Out",Cash_Flow_3[Category],"Loandry")</f>
        <v>0</v>
      </c>
      <c r="Q1095" s="29">
        <f>SUMIFS(Cash_Flow_3[Amount],Cash_Flow_3[Bulan],H1095,Cash_Flow_3[Type],"Out",Cash_Flow_3[Category],"Mio")</f>
        <v>0</v>
      </c>
      <c r="R1095" s="29">
        <f>SUMIFS(Cash_Flow_3[Amount],Cash_Flow_3[Bulan],H1095,Cash_Flow_3[Type],"Out",Cash_Flow_3[Category],"Sedekah")</f>
        <v>0</v>
      </c>
      <c r="S1095" s="29">
        <f>SUMIFS(Cash_Flow_3[Amount],Cash_Flow_3[Bulan],H1095,Cash_Flow_3[Type],"Out",Cash_Flow_3[Category],"Zela")</f>
        <v>0</v>
      </c>
      <c r="T1095" s="29">
        <f>SUMIFS(Cash_Flow_3[Amount],Cash_Flow_3[Bulan],H1095,Cash_Flow_3[Type],"Out",Cash_Flow_3[Category],"Iqbal")</f>
        <v>0</v>
      </c>
    </row>
    <row r="1096" spans="1:20" ht="22.5" customHeight="1" x14ac:dyDescent="0.2">
      <c r="A1096" s="23"/>
      <c r="B1096" s="24"/>
      <c r="C1096" s="25"/>
      <c r="D1096" s="25"/>
      <c r="E1096" s="25"/>
      <c r="F1096" s="26"/>
      <c r="G1096" s="27"/>
      <c r="H1096" s="28" t="str">
        <f t="shared" si="0"/>
        <v/>
      </c>
      <c r="I1096" s="29">
        <f>SUMIFS(Cash_Flow_3[Amount],Cash_Flow_3[Bulan],H1096,Cash_Flow_3[Type],"In")</f>
        <v>0</v>
      </c>
      <c r="J1096" s="29">
        <f>SUMIFS(Cash_Flow_3[Amount],Cash_Flow_3[Bulan],H1096,Cash_Flow_3[Type],"Out")</f>
        <v>0</v>
      </c>
      <c r="K1096" s="29">
        <f>SUMIFS(Cash_Flow_3[Amount],Cash_Flow_3[Bulan],H1096,Cash_Flow_3[Type],"Out",Cash_Flow_3[Category],"Fix")</f>
        <v>0</v>
      </c>
      <c r="L1096" s="29">
        <f>SUMIFS(Cash_Flow_3[Amount],Cash_Flow_3[Bulan],H1096,Cash_Flow_3[Type],"Out",Cash_Flow_3[Category],"Bathroom")</f>
        <v>0</v>
      </c>
      <c r="M1096" s="29">
        <f>SUMIFS(Cash_Flow_3[Amount],Cash_Flow_3[Bulan],H1096,Cash_Flow_3[Type],"Out",Cash_Flow_3[Category],"Alfa")</f>
        <v>0</v>
      </c>
      <c r="N1096" s="29">
        <f>SUMIFS(Cash_Flow_3[Amount],Cash_Flow_3[Bulan],H1096,Cash_Flow_3[Type],"Out",Cash_Flow_3[Category],"Jajan")</f>
        <v>0</v>
      </c>
      <c r="O1096" s="29">
        <f>SUMIFS(Cash_Flow_3[Amount],Cash_Flow_3[Bulan],H1096,Cash_Flow_3[Type],"Out",Cash_Flow_3[Category],"Kitchen")</f>
        <v>0</v>
      </c>
      <c r="P1096" s="29">
        <f>SUMIFS(Cash_Flow_3[Amount],Cash_Flow_3[Bulan],H1096,Cash_Flow_3[Type],"Out",Cash_Flow_3[Category],"Loandry")</f>
        <v>0</v>
      </c>
      <c r="Q1096" s="29">
        <f>SUMIFS(Cash_Flow_3[Amount],Cash_Flow_3[Bulan],H1096,Cash_Flow_3[Type],"Out",Cash_Flow_3[Category],"Mio")</f>
        <v>0</v>
      </c>
      <c r="R1096" s="29">
        <f>SUMIFS(Cash_Flow_3[Amount],Cash_Flow_3[Bulan],H1096,Cash_Flow_3[Type],"Out",Cash_Flow_3[Category],"Sedekah")</f>
        <v>0</v>
      </c>
      <c r="S1096" s="29">
        <f>SUMIFS(Cash_Flow_3[Amount],Cash_Flow_3[Bulan],H1096,Cash_Flow_3[Type],"Out",Cash_Flow_3[Category],"Zela")</f>
        <v>0</v>
      </c>
      <c r="T1096" s="29">
        <f>SUMIFS(Cash_Flow_3[Amount],Cash_Flow_3[Bulan],H1096,Cash_Flow_3[Type],"Out",Cash_Flow_3[Category],"Iqbal")</f>
        <v>0</v>
      </c>
    </row>
    <row r="1097" spans="1:20" ht="22.5" customHeight="1" x14ac:dyDescent="0.2">
      <c r="A1097" s="23"/>
      <c r="B1097" s="24"/>
      <c r="C1097" s="25"/>
      <c r="D1097" s="25"/>
      <c r="E1097" s="25"/>
      <c r="F1097" s="26"/>
      <c r="G1097" s="27"/>
      <c r="H1097" s="28" t="str">
        <f t="shared" si="0"/>
        <v/>
      </c>
      <c r="I1097" s="29">
        <f>SUMIFS(Cash_Flow_3[Amount],Cash_Flow_3[Bulan],H1097,Cash_Flow_3[Type],"In")</f>
        <v>0</v>
      </c>
      <c r="J1097" s="29">
        <f>SUMIFS(Cash_Flow_3[Amount],Cash_Flow_3[Bulan],H1097,Cash_Flow_3[Type],"Out")</f>
        <v>0</v>
      </c>
      <c r="K1097" s="29">
        <f>SUMIFS(Cash_Flow_3[Amount],Cash_Flow_3[Bulan],H1097,Cash_Flow_3[Type],"Out",Cash_Flow_3[Category],"Fix")</f>
        <v>0</v>
      </c>
      <c r="L1097" s="29">
        <f>SUMIFS(Cash_Flow_3[Amount],Cash_Flow_3[Bulan],H1097,Cash_Flow_3[Type],"Out",Cash_Flow_3[Category],"Bathroom")</f>
        <v>0</v>
      </c>
      <c r="M1097" s="29">
        <f>SUMIFS(Cash_Flow_3[Amount],Cash_Flow_3[Bulan],H1097,Cash_Flow_3[Type],"Out",Cash_Flow_3[Category],"Alfa")</f>
        <v>0</v>
      </c>
      <c r="N1097" s="29">
        <f>SUMIFS(Cash_Flow_3[Amount],Cash_Flow_3[Bulan],H1097,Cash_Flow_3[Type],"Out",Cash_Flow_3[Category],"Jajan")</f>
        <v>0</v>
      </c>
      <c r="O1097" s="29">
        <f>SUMIFS(Cash_Flow_3[Amount],Cash_Flow_3[Bulan],H1097,Cash_Flow_3[Type],"Out",Cash_Flow_3[Category],"Kitchen")</f>
        <v>0</v>
      </c>
      <c r="P1097" s="29">
        <f>SUMIFS(Cash_Flow_3[Amount],Cash_Flow_3[Bulan],H1097,Cash_Flow_3[Type],"Out",Cash_Flow_3[Category],"Loandry")</f>
        <v>0</v>
      </c>
      <c r="Q1097" s="29">
        <f>SUMIFS(Cash_Flow_3[Amount],Cash_Flow_3[Bulan],H1097,Cash_Flow_3[Type],"Out",Cash_Flow_3[Category],"Mio")</f>
        <v>0</v>
      </c>
      <c r="R1097" s="29">
        <f>SUMIFS(Cash_Flow_3[Amount],Cash_Flow_3[Bulan],H1097,Cash_Flow_3[Type],"Out",Cash_Flow_3[Category],"Sedekah")</f>
        <v>0</v>
      </c>
      <c r="S1097" s="29">
        <f>SUMIFS(Cash_Flow_3[Amount],Cash_Flow_3[Bulan],H1097,Cash_Flow_3[Type],"Out",Cash_Flow_3[Category],"Zela")</f>
        <v>0</v>
      </c>
      <c r="T1097" s="29">
        <f>SUMIFS(Cash_Flow_3[Amount],Cash_Flow_3[Bulan],H1097,Cash_Flow_3[Type],"Out",Cash_Flow_3[Category],"Iqbal")</f>
        <v>0</v>
      </c>
    </row>
    <row r="1098" spans="1:20" ht="22.5" customHeight="1" x14ac:dyDescent="0.2">
      <c r="A1098" s="23"/>
      <c r="B1098" s="24"/>
      <c r="C1098" s="25"/>
      <c r="D1098" s="25"/>
      <c r="E1098" s="25"/>
      <c r="F1098" s="26"/>
      <c r="G1098" s="27"/>
      <c r="H1098" s="28" t="str">
        <f t="shared" si="0"/>
        <v/>
      </c>
      <c r="I1098" s="29">
        <f>SUMIFS(Cash_Flow_3[Amount],Cash_Flow_3[Bulan],H1098,Cash_Flow_3[Type],"In")</f>
        <v>0</v>
      </c>
      <c r="J1098" s="29">
        <f>SUMIFS(Cash_Flow_3[Amount],Cash_Flow_3[Bulan],H1098,Cash_Flow_3[Type],"Out")</f>
        <v>0</v>
      </c>
      <c r="K1098" s="29">
        <f>SUMIFS(Cash_Flow_3[Amount],Cash_Flow_3[Bulan],H1098,Cash_Flow_3[Type],"Out",Cash_Flow_3[Category],"Fix")</f>
        <v>0</v>
      </c>
      <c r="L1098" s="29">
        <f>SUMIFS(Cash_Flow_3[Amount],Cash_Flow_3[Bulan],H1098,Cash_Flow_3[Type],"Out",Cash_Flow_3[Category],"Bathroom")</f>
        <v>0</v>
      </c>
      <c r="M1098" s="29">
        <f>SUMIFS(Cash_Flow_3[Amount],Cash_Flow_3[Bulan],H1098,Cash_Flow_3[Type],"Out",Cash_Flow_3[Category],"Alfa")</f>
        <v>0</v>
      </c>
      <c r="N1098" s="29">
        <f>SUMIFS(Cash_Flow_3[Amount],Cash_Flow_3[Bulan],H1098,Cash_Flow_3[Type],"Out",Cash_Flow_3[Category],"Jajan")</f>
        <v>0</v>
      </c>
      <c r="O1098" s="29">
        <f>SUMIFS(Cash_Flow_3[Amount],Cash_Flow_3[Bulan],H1098,Cash_Flow_3[Type],"Out",Cash_Flow_3[Category],"Kitchen")</f>
        <v>0</v>
      </c>
      <c r="P1098" s="29">
        <f>SUMIFS(Cash_Flow_3[Amount],Cash_Flow_3[Bulan],H1098,Cash_Flow_3[Type],"Out",Cash_Flow_3[Category],"Loandry")</f>
        <v>0</v>
      </c>
      <c r="Q1098" s="29">
        <f>SUMIFS(Cash_Flow_3[Amount],Cash_Flow_3[Bulan],H1098,Cash_Flow_3[Type],"Out",Cash_Flow_3[Category],"Mio")</f>
        <v>0</v>
      </c>
      <c r="R1098" s="29">
        <f>SUMIFS(Cash_Flow_3[Amount],Cash_Flow_3[Bulan],H1098,Cash_Flow_3[Type],"Out",Cash_Flow_3[Category],"Sedekah")</f>
        <v>0</v>
      </c>
      <c r="S1098" s="29">
        <f>SUMIFS(Cash_Flow_3[Amount],Cash_Flow_3[Bulan],H1098,Cash_Flow_3[Type],"Out",Cash_Flow_3[Category],"Zela")</f>
        <v>0</v>
      </c>
      <c r="T1098" s="29">
        <f>SUMIFS(Cash_Flow_3[Amount],Cash_Flow_3[Bulan],H1098,Cash_Flow_3[Type],"Out",Cash_Flow_3[Category],"Iqbal")</f>
        <v>0</v>
      </c>
    </row>
    <row r="1099" spans="1:20" ht="22.5" customHeight="1" x14ac:dyDescent="0.2">
      <c r="A1099" s="23"/>
      <c r="B1099" s="24"/>
      <c r="C1099" s="25"/>
      <c r="D1099" s="25"/>
      <c r="E1099" s="25"/>
      <c r="F1099" s="26"/>
      <c r="G1099" s="27"/>
      <c r="H1099" s="28" t="str">
        <f t="shared" si="0"/>
        <v/>
      </c>
      <c r="I1099" s="29">
        <f>SUMIFS(Cash_Flow_3[Amount],Cash_Flow_3[Bulan],H1099,Cash_Flow_3[Type],"In")</f>
        <v>0</v>
      </c>
      <c r="J1099" s="29">
        <f>SUMIFS(Cash_Flow_3[Amount],Cash_Flow_3[Bulan],H1099,Cash_Flow_3[Type],"Out")</f>
        <v>0</v>
      </c>
      <c r="K1099" s="29">
        <f>SUMIFS(Cash_Flow_3[Amount],Cash_Flow_3[Bulan],H1099,Cash_Flow_3[Type],"Out",Cash_Flow_3[Category],"Fix")</f>
        <v>0</v>
      </c>
      <c r="L1099" s="29">
        <f>SUMIFS(Cash_Flow_3[Amount],Cash_Flow_3[Bulan],H1099,Cash_Flow_3[Type],"Out",Cash_Flow_3[Category],"Bathroom")</f>
        <v>0</v>
      </c>
      <c r="M1099" s="29">
        <f>SUMIFS(Cash_Flow_3[Amount],Cash_Flow_3[Bulan],H1099,Cash_Flow_3[Type],"Out",Cash_Flow_3[Category],"Alfa")</f>
        <v>0</v>
      </c>
      <c r="N1099" s="29">
        <f>SUMIFS(Cash_Flow_3[Amount],Cash_Flow_3[Bulan],H1099,Cash_Flow_3[Type],"Out",Cash_Flow_3[Category],"Jajan")</f>
        <v>0</v>
      </c>
      <c r="O1099" s="29">
        <f>SUMIFS(Cash_Flow_3[Amount],Cash_Flow_3[Bulan],H1099,Cash_Flow_3[Type],"Out",Cash_Flow_3[Category],"Kitchen")</f>
        <v>0</v>
      </c>
      <c r="P1099" s="29">
        <f>SUMIFS(Cash_Flow_3[Amount],Cash_Flow_3[Bulan],H1099,Cash_Flow_3[Type],"Out",Cash_Flow_3[Category],"Loandry")</f>
        <v>0</v>
      </c>
      <c r="Q1099" s="29">
        <f>SUMIFS(Cash_Flow_3[Amount],Cash_Flow_3[Bulan],H1099,Cash_Flow_3[Type],"Out",Cash_Flow_3[Category],"Mio")</f>
        <v>0</v>
      </c>
      <c r="R1099" s="29">
        <f>SUMIFS(Cash_Flow_3[Amount],Cash_Flow_3[Bulan],H1099,Cash_Flow_3[Type],"Out",Cash_Flow_3[Category],"Sedekah")</f>
        <v>0</v>
      </c>
      <c r="S1099" s="29">
        <f>SUMIFS(Cash_Flow_3[Amount],Cash_Flow_3[Bulan],H1099,Cash_Flow_3[Type],"Out",Cash_Flow_3[Category],"Zela")</f>
        <v>0</v>
      </c>
      <c r="T1099" s="29">
        <f>SUMIFS(Cash_Flow_3[Amount],Cash_Flow_3[Bulan],H1099,Cash_Flow_3[Type],"Out",Cash_Flow_3[Category],"Iqbal")</f>
        <v>0</v>
      </c>
    </row>
    <row r="1100" spans="1:20" ht="22.5" customHeight="1" x14ac:dyDescent="0.2">
      <c r="A1100" s="23"/>
      <c r="B1100" s="24"/>
      <c r="C1100" s="25"/>
      <c r="D1100" s="25"/>
      <c r="E1100" s="25"/>
      <c r="F1100" s="26"/>
      <c r="G1100" s="27"/>
      <c r="H1100" s="28" t="str">
        <f t="shared" si="0"/>
        <v/>
      </c>
      <c r="I1100" s="29">
        <f>SUMIFS(Cash_Flow_3[Amount],Cash_Flow_3[Bulan],H1100,Cash_Flow_3[Type],"In")</f>
        <v>0</v>
      </c>
      <c r="J1100" s="29">
        <f>SUMIFS(Cash_Flow_3[Amount],Cash_Flow_3[Bulan],H1100,Cash_Flow_3[Type],"Out")</f>
        <v>0</v>
      </c>
      <c r="K1100" s="29">
        <f>SUMIFS(Cash_Flow_3[Amount],Cash_Flow_3[Bulan],H1100,Cash_Flow_3[Type],"Out",Cash_Flow_3[Category],"Fix")</f>
        <v>0</v>
      </c>
      <c r="L1100" s="29">
        <f>SUMIFS(Cash_Flow_3[Amount],Cash_Flow_3[Bulan],H1100,Cash_Flow_3[Type],"Out",Cash_Flow_3[Category],"Bathroom")</f>
        <v>0</v>
      </c>
      <c r="M1100" s="29">
        <f>SUMIFS(Cash_Flow_3[Amount],Cash_Flow_3[Bulan],H1100,Cash_Flow_3[Type],"Out",Cash_Flow_3[Category],"Alfa")</f>
        <v>0</v>
      </c>
      <c r="N1100" s="29">
        <f>SUMIFS(Cash_Flow_3[Amount],Cash_Flow_3[Bulan],H1100,Cash_Flow_3[Type],"Out",Cash_Flow_3[Category],"Jajan")</f>
        <v>0</v>
      </c>
      <c r="O1100" s="29">
        <f>SUMIFS(Cash_Flow_3[Amount],Cash_Flow_3[Bulan],H1100,Cash_Flow_3[Type],"Out",Cash_Flow_3[Category],"Kitchen")</f>
        <v>0</v>
      </c>
      <c r="P1100" s="29">
        <f>SUMIFS(Cash_Flow_3[Amount],Cash_Flow_3[Bulan],H1100,Cash_Flow_3[Type],"Out",Cash_Flow_3[Category],"Loandry")</f>
        <v>0</v>
      </c>
      <c r="Q1100" s="29">
        <f>SUMIFS(Cash_Flow_3[Amount],Cash_Flow_3[Bulan],H1100,Cash_Flow_3[Type],"Out",Cash_Flow_3[Category],"Mio")</f>
        <v>0</v>
      </c>
      <c r="R1100" s="29">
        <f>SUMIFS(Cash_Flow_3[Amount],Cash_Flow_3[Bulan],H1100,Cash_Flow_3[Type],"Out",Cash_Flow_3[Category],"Sedekah")</f>
        <v>0</v>
      </c>
      <c r="S1100" s="29">
        <f>SUMIFS(Cash_Flow_3[Amount],Cash_Flow_3[Bulan],H1100,Cash_Flow_3[Type],"Out",Cash_Flow_3[Category],"Zela")</f>
        <v>0</v>
      </c>
      <c r="T1100" s="29">
        <f>SUMIFS(Cash_Flow_3[Amount],Cash_Flow_3[Bulan],H1100,Cash_Flow_3[Type],"Out",Cash_Flow_3[Category],"Iqbal")</f>
        <v>0</v>
      </c>
    </row>
    <row r="1101" spans="1:20" ht="22.5" customHeight="1" x14ac:dyDescent="0.2">
      <c r="A1101" s="23"/>
      <c r="B1101" s="24"/>
      <c r="C1101" s="25"/>
      <c r="D1101" s="25"/>
      <c r="E1101" s="25"/>
      <c r="F1101" s="26"/>
      <c r="G1101" s="27"/>
      <c r="H1101" s="28" t="str">
        <f t="shared" si="0"/>
        <v/>
      </c>
      <c r="I1101" s="29">
        <f>SUMIFS(Cash_Flow_3[Amount],Cash_Flow_3[Bulan],H1101,Cash_Flow_3[Type],"In")</f>
        <v>0</v>
      </c>
      <c r="J1101" s="29">
        <f>SUMIFS(Cash_Flow_3[Amount],Cash_Flow_3[Bulan],H1101,Cash_Flow_3[Type],"Out")</f>
        <v>0</v>
      </c>
      <c r="K1101" s="29">
        <f>SUMIFS(Cash_Flow_3[Amount],Cash_Flow_3[Bulan],H1101,Cash_Flow_3[Type],"Out",Cash_Flow_3[Category],"Fix")</f>
        <v>0</v>
      </c>
      <c r="L1101" s="29">
        <f>SUMIFS(Cash_Flow_3[Amount],Cash_Flow_3[Bulan],H1101,Cash_Flow_3[Type],"Out",Cash_Flow_3[Category],"Bathroom")</f>
        <v>0</v>
      </c>
      <c r="M1101" s="29">
        <f>SUMIFS(Cash_Flow_3[Amount],Cash_Flow_3[Bulan],H1101,Cash_Flow_3[Type],"Out",Cash_Flow_3[Category],"Alfa")</f>
        <v>0</v>
      </c>
      <c r="N1101" s="29">
        <f>SUMIFS(Cash_Flow_3[Amount],Cash_Flow_3[Bulan],H1101,Cash_Flow_3[Type],"Out",Cash_Flow_3[Category],"Jajan")</f>
        <v>0</v>
      </c>
      <c r="O1101" s="29">
        <f>SUMIFS(Cash_Flow_3[Amount],Cash_Flow_3[Bulan],H1101,Cash_Flow_3[Type],"Out",Cash_Flow_3[Category],"Kitchen")</f>
        <v>0</v>
      </c>
      <c r="P1101" s="29">
        <f>SUMIFS(Cash_Flow_3[Amount],Cash_Flow_3[Bulan],H1101,Cash_Flow_3[Type],"Out",Cash_Flow_3[Category],"Loandry")</f>
        <v>0</v>
      </c>
      <c r="Q1101" s="29">
        <f>SUMIFS(Cash_Flow_3[Amount],Cash_Flow_3[Bulan],H1101,Cash_Flow_3[Type],"Out",Cash_Flow_3[Category],"Mio")</f>
        <v>0</v>
      </c>
      <c r="R1101" s="29">
        <f>SUMIFS(Cash_Flow_3[Amount],Cash_Flow_3[Bulan],H1101,Cash_Flow_3[Type],"Out",Cash_Flow_3[Category],"Sedekah")</f>
        <v>0</v>
      </c>
      <c r="S1101" s="29">
        <f>SUMIFS(Cash_Flow_3[Amount],Cash_Flow_3[Bulan],H1101,Cash_Flow_3[Type],"Out",Cash_Flow_3[Category],"Zela")</f>
        <v>0</v>
      </c>
      <c r="T1101" s="29">
        <f>SUMIFS(Cash_Flow_3[Amount],Cash_Flow_3[Bulan],H1101,Cash_Flow_3[Type],"Out",Cash_Flow_3[Category],"Iqbal")</f>
        <v>0</v>
      </c>
    </row>
    <row r="1102" spans="1:20" ht="22.5" customHeight="1" x14ac:dyDescent="0.2">
      <c r="A1102" s="23"/>
      <c r="B1102" s="24"/>
      <c r="C1102" s="25"/>
      <c r="D1102" s="25"/>
      <c r="E1102" s="25"/>
      <c r="F1102" s="26"/>
      <c r="G1102" s="27"/>
      <c r="H1102" s="28" t="str">
        <f t="shared" si="0"/>
        <v/>
      </c>
      <c r="I1102" s="29">
        <f>SUMIFS(Cash_Flow_3[Amount],Cash_Flow_3[Bulan],H1102,Cash_Flow_3[Type],"In")</f>
        <v>0</v>
      </c>
      <c r="J1102" s="29">
        <f>SUMIFS(Cash_Flow_3[Amount],Cash_Flow_3[Bulan],H1102,Cash_Flow_3[Type],"Out")</f>
        <v>0</v>
      </c>
      <c r="K1102" s="29">
        <f>SUMIFS(Cash_Flow_3[Amount],Cash_Flow_3[Bulan],H1102,Cash_Flow_3[Type],"Out",Cash_Flow_3[Category],"Fix")</f>
        <v>0</v>
      </c>
      <c r="L1102" s="29">
        <f>SUMIFS(Cash_Flow_3[Amount],Cash_Flow_3[Bulan],H1102,Cash_Flow_3[Type],"Out",Cash_Flow_3[Category],"Bathroom")</f>
        <v>0</v>
      </c>
      <c r="M1102" s="29">
        <f>SUMIFS(Cash_Flow_3[Amount],Cash_Flow_3[Bulan],H1102,Cash_Flow_3[Type],"Out",Cash_Flow_3[Category],"Alfa")</f>
        <v>0</v>
      </c>
      <c r="N1102" s="29">
        <f>SUMIFS(Cash_Flow_3[Amount],Cash_Flow_3[Bulan],H1102,Cash_Flow_3[Type],"Out",Cash_Flow_3[Category],"Jajan")</f>
        <v>0</v>
      </c>
      <c r="O1102" s="29">
        <f>SUMIFS(Cash_Flow_3[Amount],Cash_Flow_3[Bulan],H1102,Cash_Flow_3[Type],"Out",Cash_Flow_3[Category],"Kitchen")</f>
        <v>0</v>
      </c>
      <c r="P1102" s="29">
        <f>SUMIFS(Cash_Flow_3[Amount],Cash_Flow_3[Bulan],H1102,Cash_Flow_3[Type],"Out",Cash_Flow_3[Category],"Loandry")</f>
        <v>0</v>
      </c>
      <c r="Q1102" s="29">
        <f>SUMIFS(Cash_Flow_3[Amount],Cash_Flow_3[Bulan],H1102,Cash_Flow_3[Type],"Out",Cash_Flow_3[Category],"Mio")</f>
        <v>0</v>
      </c>
      <c r="R1102" s="29">
        <f>SUMIFS(Cash_Flow_3[Amount],Cash_Flow_3[Bulan],H1102,Cash_Flow_3[Type],"Out",Cash_Flow_3[Category],"Sedekah")</f>
        <v>0</v>
      </c>
      <c r="S1102" s="29">
        <f>SUMIFS(Cash_Flow_3[Amount],Cash_Flow_3[Bulan],H1102,Cash_Flow_3[Type],"Out",Cash_Flow_3[Category],"Zela")</f>
        <v>0</v>
      </c>
      <c r="T1102" s="29">
        <f>SUMIFS(Cash_Flow_3[Amount],Cash_Flow_3[Bulan],H1102,Cash_Flow_3[Type],"Out",Cash_Flow_3[Category],"Iqbal")</f>
        <v>0</v>
      </c>
    </row>
    <row r="1103" spans="1:20" ht="22.5" customHeight="1" x14ac:dyDescent="0.2">
      <c r="A1103" s="23"/>
      <c r="B1103" s="24"/>
      <c r="C1103" s="25"/>
      <c r="D1103" s="25"/>
      <c r="E1103" s="25"/>
      <c r="F1103" s="26"/>
      <c r="G1103" s="27"/>
      <c r="H1103" s="28" t="str">
        <f t="shared" si="0"/>
        <v/>
      </c>
      <c r="I1103" s="29">
        <f>SUMIFS(Cash_Flow_3[Amount],Cash_Flow_3[Bulan],H1103,Cash_Flow_3[Type],"In")</f>
        <v>0</v>
      </c>
      <c r="J1103" s="29">
        <f>SUMIFS(Cash_Flow_3[Amount],Cash_Flow_3[Bulan],H1103,Cash_Flow_3[Type],"Out")</f>
        <v>0</v>
      </c>
      <c r="K1103" s="29">
        <f>SUMIFS(Cash_Flow_3[Amount],Cash_Flow_3[Bulan],H1103,Cash_Flow_3[Type],"Out",Cash_Flow_3[Category],"Fix")</f>
        <v>0</v>
      </c>
      <c r="L1103" s="29">
        <f>SUMIFS(Cash_Flow_3[Amount],Cash_Flow_3[Bulan],H1103,Cash_Flow_3[Type],"Out",Cash_Flow_3[Category],"Bathroom")</f>
        <v>0</v>
      </c>
      <c r="M1103" s="29">
        <f>SUMIFS(Cash_Flow_3[Amount],Cash_Flow_3[Bulan],H1103,Cash_Flow_3[Type],"Out",Cash_Flow_3[Category],"Alfa")</f>
        <v>0</v>
      </c>
      <c r="N1103" s="29">
        <f>SUMIFS(Cash_Flow_3[Amount],Cash_Flow_3[Bulan],H1103,Cash_Flow_3[Type],"Out",Cash_Flow_3[Category],"Jajan")</f>
        <v>0</v>
      </c>
      <c r="O1103" s="29">
        <f>SUMIFS(Cash_Flow_3[Amount],Cash_Flow_3[Bulan],H1103,Cash_Flow_3[Type],"Out",Cash_Flow_3[Category],"Kitchen")</f>
        <v>0</v>
      </c>
      <c r="P1103" s="29">
        <f>SUMIFS(Cash_Flow_3[Amount],Cash_Flow_3[Bulan],H1103,Cash_Flow_3[Type],"Out",Cash_Flow_3[Category],"Loandry")</f>
        <v>0</v>
      </c>
      <c r="Q1103" s="29">
        <f>SUMIFS(Cash_Flow_3[Amount],Cash_Flow_3[Bulan],H1103,Cash_Flow_3[Type],"Out",Cash_Flow_3[Category],"Mio")</f>
        <v>0</v>
      </c>
      <c r="R1103" s="29">
        <f>SUMIFS(Cash_Flow_3[Amount],Cash_Flow_3[Bulan],H1103,Cash_Flow_3[Type],"Out",Cash_Flow_3[Category],"Sedekah")</f>
        <v>0</v>
      </c>
      <c r="S1103" s="29">
        <f>SUMIFS(Cash_Flow_3[Amount],Cash_Flow_3[Bulan],H1103,Cash_Flow_3[Type],"Out",Cash_Flow_3[Category],"Zela")</f>
        <v>0</v>
      </c>
      <c r="T1103" s="29">
        <f>SUMIFS(Cash_Flow_3[Amount],Cash_Flow_3[Bulan],H1103,Cash_Flow_3[Type],"Out",Cash_Flow_3[Category],"Iqbal")</f>
        <v>0</v>
      </c>
    </row>
    <row r="1104" spans="1:20" ht="22.5" customHeight="1" x14ac:dyDescent="0.2">
      <c r="A1104" s="23"/>
      <c r="B1104" s="24"/>
      <c r="C1104" s="25"/>
      <c r="D1104" s="25"/>
      <c r="E1104" s="25"/>
      <c r="F1104" s="26"/>
      <c r="G1104" s="27"/>
      <c r="H1104" s="28" t="str">
        <f t="shared" si="0"/>
        <v/>
      </c>
      <c r="I1104" s="29">
        <f>SUMIFS(Cash_Flow_3[Amount],Cash_Flow_3[Bulan],H1104,Cash_Flow_3[Type],"In")</f>
        <v>0</v>
      </c>
      <c r="J1104" s="29">
        <f>SUMIFS(Cash_Flow_3[Amount],Cash_Flow_3[Bulan],H1104,Cash_Flow_3[Type],"Out")</f>
        <v>0</v>
      </c>
      <c r="K1104" s="29">
        <f>SUMIFS(Cash_Flow_3[Amount],Cash_Flow_3[Bulan],H1104,Cash_Flow_3[Type],"Out",Cash_Flow_3[Category],"Fix")</f>
        <v>0</v>
      </c>
      <c r="L1104" s="29">
        <f>SUMIFS(Cash_Flow_3[Amount],Cash_Flow_3[Bulan],H1104,Cash_Flow_3[Type],"Out",Cash_Flow_3[Category],"Bathroom")</f>
        <v>0</v>
      </c>
      <c r="M1104" s="29">
        <f>SUMIFS(Cash_Flow_3[Amount],Cash_Flow_3[Bulan],H1104,Cash_Flow_3[Type],"Out",Cash_Flow_3[Category],"Alfa")</f>
        <v>0</v>
      </c>
      <c r="N1104" s="29">
        <f>SUMIFS(Cash_Flow_3[Amount],Cash_Flow_3[Bulan],H1104,Cash_Flow_3[Type],"Out",Cash_Flow_3[Category],"Jajan")</f>
        <v>0</v>
      </c>
      <c r="O1104" s="29">
        <f>SUMIFS(Cash_Flow_3[Amount],Cash_Flow_3[Bulan],H1104,Cash_Flow_3[Type],"Out",Cash_Flow_3[Category],"Kitchen")</f>
        <v>0</v>
      </c>
      <c r="P1104" s="29">
        <f>SUMIFS(Cash_Flow_3[Amount],Cash_Flow_3[Bulan],H1104,Cash_Flow_3[Type],"Out",Cash_Flow_3[Category],"Loandry")</f>
        <v>0</v>
      </c>
      <c r="Q1104" s="29">
        <f>SUMIFS(Cash_Flow_3[Amount],Cash_Flow_3[Bulan],H1104,Cash_Flow_3[Type],"Out",Cash_Flow_3[Category],"Mio")</f>
        <v>0</v>
      </c>
      <c r="R1104" s="29">
        <f>SUMIFS(Cash_Flow_3[Amount],Cash_Flow_3[Bulan],H1104,Cash_Flow_3[Type],"Out",Cash_Flow_3[Category],"Sedekah")</f>
        <v>0</v>
      </c>
      <c r="S1104" s="29">
        <f>SUMIFS(Cash_Flow_3[Amount],Cash_Flow_3[Bulan],H1104,Cash_Flow_3[Type],"Out",Cash_Flow_3[Category],"Zela")</f>
        <v>0</v>
      </c>
      <c r="T1104" s="29">
        <f>SUMIFS(Cash_Flow_3[Amount],Cash_Flow_3[Bulan],H1104,Cash_Flow_3[Type],"Out",Cash_Flow_3[Category],"Iqbal")</f>
        <v>0</v>
      </c>
    </row>
    <row r="1105" spans="1:20" ht="22.5" customHeight="1" x14ac:dyDescent="0.2">
      <c r="A1105" s="23"/>
      <c r="B1105" s="24"/>
      <c r="C1105" s="25"/>
      <c r="D1105" s="25"/>
      <c r="E1105" s="25"/>
      <c r="F1105" s="26"/>
      <c r="G1105" s="27"/>
      <c r="H1105" s="28" t="str">
        <f t="shared" si="0"/>
        <v/>
      </c>
      <c r="I1105" s="29">
        <f>SUMIFS(Cash_Flow_3[Amount],Cash_Flow_3[Bulan],H1105,Cash_Flow_3[Type],"In")</f>
        <v>0</v>
      </c>
      <c r="J1105" s="29">
        <f>SUMIFS(Cash_Flow_3[Amount],Cash_Flow_3[Bulan],H1105,Cash_Flow_3[Type],"Out")</f>
        <v>0</v>
      </c>
      <c r="K1105" s="29">
        <f>SUMIFS(Cash_Flow_3[Amount],Cash_Flow_3[Bulan],H1105,Cash_Flow_3[Type],"Out",Cash_Flow_3[Category],"Fix")</f>
        <v>0</v>
      </c>
      <c r="L1105" s="29">
        <f>SUMIFS(Cash_Flow_3[Amount],Cash_Flow_3[Bulan],H1105,Cash_Flow_3[Type],"Out",Cash_Flow_3[Category],"Bathroom")</f>
        <v>0</v>
      </c>
      <c r="M1105" s="29">
        <f>SUMIFS(Cash_Flow_3[Amount],Cash_Flow_3[Bulan],H1105,Cash_Flow_3[Type],"Out",Cash_Flow_3[Category],"Alfa")</f>
        <v>0</v>
      </c>
      <c r="N1105" s="29">
        <f>SUMIFS(Cash_Flow_3[Amount],Cash_Flow_3[Bulan],H1105,Cash_Flow_3[Type],"Out",Cash_Flow_3[Category],"Jajan")</f>
        <v>0</v>
      </c>
      <c r="O1105" s="29">
        <f>SUMIFS(Cash_Flow_3[Amount],Cash_Flow_3[Bulan],H1105,Cash_Flow_3[Type],"Out",Cash_Flow_3[Category],"Kitchen")</f>
        <v>0</v>
      </c>
      <c r="P1105" s="29">
        <f>SUMIFS(Cash_Flow_3[Amount],Cash_Flow_3[Bulan],H1105,Cash_Flow_3[Type],"Out",Cash_Flow_3[Category],"Loandry")</f>
        <v>0</v>
      </c>
      <c r="Q1105" s="29">
        <f>SUMIFS(Cash_Flow_3[Amount],Cash_Flow_3[Bulan],H1105,Cash_Flow_3[Type],"Out",Cash_Flow_3[Category],"Mio")</f>
        <v>0</v>
      </c>
      <c r="R1105" s="29">
        <f>SUMIFS(Cash_Flow_3[Amount],Cash_Flow_3[Bulan],H1105,Cash_Flow_3[Type],"Out",Cash_Flow_3[Category],"Sedekah")</f>
        <v>0</v>
      </c>
      <c r="S1105" s="29">
        <f>SUMIFS(Cash_Flow_3[Amount],Cash_Flow_3[Bulan],H1105,Cash_Flow_3[Type],"Out",Cash_Flow_3[Category],"Zela")</f>
        <v>0</v>
      </c>
      <c r="T1105" s="29">
        <f>SUMIFS(Cash_Flow_3[Amount],Cash_Flow_3[Bulan],H1105,Cash_Flow_3[Type],"Out",Cash_Flow_3[Category],"Iqbal")</f>
        <v>0</v>
      </c>
    </row>
    <row r="1106" spans="1:20" ht="22.5" customHeight="1" x14ac:dyDescent="0.2">
      <c r="A1106" s="23"/>
      <c r="B1106" s="24"/>
      <c r="C1106" s="25"/>
      <c r="D1106" s="25"/>
      <c r="E1106" s="25"/>
      <c r="F1106" s="26"/>
      <c r="G1106" s="27"/>
      <c r="H1106" s="28" t="str">
        <f t="shared" si="0"/>
        <v/>
      </c>
      <c r="I1106" s="29">
        <f>SUMIFS(Cash_Flow_3[Amount],Cash_Flow_3[Bulan],H1106,Cash_Flow_3[Type],"In")</f>
        <v>0</v>
      </c>
      <c r="J1106" s="29">
        <f>SUMIFS(Cash_Flow_3[Amount],Cash_Flow_3[Bulan],H1106,Cash_Flow_3[Type],"Out")</f>
        <v>0</v>
      </c>
      <c r="K1106" s="29">
        <f>SUMIFS(Cash_Flow_3[Amount],Cash_Flow_3[Bulan],H1106,Cash_Flow_3[Type],"Out",Cash_Flow_3[Category],"Fix")</f>
        <v>0</v>
      </c>
      <c r="L1106" s="29">
        <f>SUMIFS(Cash_Flow_3[Amount],Cash_Flow_3[Bulan],H1106,Cash_Flow_3[Type],"Out",Cash_Flow_3[Category],"Bathroom")</f>
        <v>0</v>
      </c>
      <c r="M1106" s="29">
        <f>SUMIFS(Cash_Flow_3[Amount],Cash_Flow_3[Bulan],H1106,Cash_Flow_3[Type],"Out",Cash_Flow_3[Category],"Alfa")</f>
        <v>0</v>
      </c>
      <c r="N1106" s="29">
        <f>SUMIFS(Cash_Flow_3[Amount],Cash_Flow_3[Bulan],H1106,Cash_Flow_3[Type],"Out",Cash_Flow_3[Category],"Jajan")</f>
        <v>0</v>
      </c>
      <c r="O1106" s="29">
        <f>SUMIFS(Cash_Flow_3[Amount],Cash_Flow_3[Bulan],H1106,Cash_Flow_3[Type],"Out",Cash_Flow_3[Category],"Kitchen")</f>
        <v>0</v>
      </c>
      <c r="P1106" s="29">
        <f>SUMIFS(Cash_Flow_3[Amount],Cash_Flow_3[Bulan],H1106,Cash_Flow_3[Type],"Out",Cash_Flow_3[Category],"Loandry")</f>
        <v>0</v>
      </c>
      <c r="Q1106" s="29">
        <f>SUMIFS(Cash_Flow_3[Amount],Cash_Flow_3[Bulan],H1106,Cash_Flow_3[Type],"Out",Cash_Flow_3[Category],"Mio")</f>
        <v>0</v>
      </c>
      <c r="R1106" s="29">
        <f>SUMIFS(Cash_Flow_3[Amount],Cash_Flow_3[Bulan],H1106,Cash_Flow_3[Type],"Out",Cash_Flow_3[Category],"Sedekah")</f>
        <v>0</v>
      </c>
      <c r="S1106" s="29">
        <f>SUMIFS(Cash_Flow_3[Amount],Cash_Flow_3[Bulan],H1106,Cash_Flow_3[Type],"Out",Cash_Flow_3[Category],"Zela")</f>
        <v>0</v>
      </c>
      <c r="T1106" s="29">
        <f>SUMIFS(Cash_Flow_3[Amount],Cash_Flow_3[Bulan],H1106,Cash_Flow_3[Type],"Out",Cash_Flow_3[Category],"Iqbal")</f>
        <v>0</v>
      </c>
    </row>
    <row r="1107" spans="1:20" ht="22.5" customHeight="1" x14ac:dyDescent="0.2">
      <c r="A1107" s="23"/>
      <c r="B1107" s="24"/>
      <c r="C1107" s="25"/>
      <c r="D1107" s="25"/>
      <c r="E1107" s="25"/>
      <c r="F1107" s="26"/>
      <c r="G1107" s="27"/>
      <c r="H1107" s="28" t="str">
        <f t="shared" si="0"/>
        <v/>
      </c>
      <c r="I1107" s="29">
        <f>SUMIFS(Cash_Flow_3[Amount],Cash_Flow_3[Bulan],H1107,Cash_Flow_3[Type],"In")</f>
        <v>0</v>
      </c>
      <c r="J1107" s="29">
        <f>SUMIFS(Cash_Flow_3[Amount],Cash_Flow_3[Bulan],H1107,Cash_Flow_3[Type],"Out")</f>
        <v>0</v>
      </c>
      <c r="K1107" s="29">
        <f>SUMIFS(Cash_Flow_3[Amount],Cash_Flow_3[Bulan],H1107,Cash_Flow_3[Type],"Out",Cash_Flow_3[Category],"Fix")</f>
        <v>0</v>
      </c>
      <c r="L1107" s="29">
        <f>SUMIFS(Cash_Flow_3[Amount],Cash_Flow_3[Bulan],H1107,Cash_Flow_3[Type],"Out",Cash_Flow_3[Category],"Bathroom")</f>
        <v>0</v>
      </c>
      <c r="M1107" s="29">
        <f>SUMIFS(Cash_Flow_3[Amount],Cash_Flow_3[Bulan],H1107,Cash_Flow_3[Type],"Out",Cash_Flow_3[Category],"Alfa")</f>
        <v>0</v>
      </c>
      <c r="N1107" s="29">
        <f>SUMIFS(Cash_Flow_3[Amount],Cash_Flow_3[Bulan],H1107,Cash_Flow_3[Type],"Out",Cash_Flow_3[Category],"Jajan")</f>
        <v>0</v>
      </c>
      <c r="O1107" s="29">
        <f>SUMIFS(Cash_Flow_3[Amount],Cash_Flow_3[Bulan],H1107,Cash_Flow_3[Type],"Out",Cash_Flow_3[Category],"Kitchen")</f>
        <v>0</v>
      </c>
      <c r="P1107" s="29">
        <f>SUMIFS(Cash_Flow_3[Amount],Cash_Flow_3[Bulan],H1107,Cash_Flow_3[Type],"Out",Cash_Flow_3[Category],"Loandry")</f>
        <v>0</v>
      </c>
      <c r="Q1107" s="29">
        <f>SUMIFS(Cash_Flow_3[Amount],Cash_Flow_3[Bulan],H1107,Cash_Flow_3[Type],"Out",Cash_Flow_3[Category],"Mio")</f>
        <v>0</v>
      </c>
      <c r="R1107" s="29">
        <f>SUMIFS(Cash_Flow_3[Amount],Cash_Flow_3[Bulan],H1107,Cash_Flow_3[Type],"Out",Cash_Flow_3[Category],"Sedekah")</f>
        <v>0</v>
      </c>
      <c r="S1107" s="29">
        <f>SUMIFS(Cash_Flow_3[Amount],Cash_Flow_3[Bulan],H1107,Cash_Flow_3[Type],"Out",Cash_Flow_3[Category],"Zela")</f>
        <v>0</v>
      </c>
      <c r="T1107" s="29">
        <f>SUMIFS(Cash_Flow_3[Amount],Cash_Flow_3[Bulan],H1107,Cash_Flow_3[Type],"Out",Cash_Flow_3[Category],"Iqbal")</f>
        <v>0</v>
      </c>
    </row>
    <row r="1108" spans="1:20" ht="22.5" customHeight="1" x14ac:dyDescent="0.2">
      <c r="A1108" s="23"/>
      <c r="B1108" s="24"/>
      <c r="C1108" s="25"/>
      <c r="D1108" s="25"/>
      <c r="E1108" s="25"/>
      <c r="F1108" s="26"/>
      <c r="G1108" s="27"/>
      <c r="H1108" s="28" t="str">
        <f t="shared" si="0"/>
        <v/>
      </c>
      <c r="I1108" s="29">
        <f>SUMIFS(Cash_Flow_3[Amount],Cash_Flow_3[Bulan],H1108,Cash_Flow_3[Type],"In")</f>
        <v>0</v>
      </c>
      <c r="J1108" s="29">
        <f>SUMIFS(Cash_Flow_3[Amount],Cash_Flow_3[Bulan],H1108,Cash_Flow_3[Type],"Out")</f>
        <v>0</v>
      </c>
      <c r="K1108" s="29">
        <f>SUMIFS(Cash_Flow_3[Amount],Cash_Flow_3[Bulan],H1108,Cash_Flow_3[Type],"Out",Cash_Flow_3[Category],"Fix")</f>
        <v>0</v>
      </c>
      <c r="L1108" s="29">
        <f>SUMIFS(Cash_Flow_3[Amount],Cash_Flow_3[Bulan],H1108,Cash_Flow_3[Type],"Out",Cash_Flow_3[Category],"Bathroom")</f>
        <v>0</v>
      </c>
      <c r="M1108" s="29">
        <f>SUMIFS(Cash_Flow_3[Amount],Cash_Flow_3[Bulan],H1108,Cash_Flow_3[Type],"Out",Cash_Flow_3[Category],"Alfa")</f>
        <v>0</v>
      </c>
      <c r="N1108" s="29">
        <f>SUMIFS(Cash_Flow_3[Amount],Cash_Flow_3[Bulan],H1108,Cash_Flow_3[Type],"Out",Cash_Flow_3[Category],"Jajan")</f>
        <v>0</v>
      </c>
      <c r="O1108" s="29">
        <f>SUMIFS(Cash_Flow_3[Amount],Cash_Flow_3[Bulan],H1108,Cash_Flow_3[Type],"Out",Cash_Flow_3[Category],"Kitchen")</f>
        <v>0</v>
      </c>
      <c r="P1108" s="29">
        <f>SUMIFS(Cash_Flow_3[Amount],Cash_Flow_3[Bulan],H1108,Cash_Flow_3[Type],"Out",Cash_Flow_3[Category],"Loandry")</f>
        <v>0</v>
      </c>
      <c r="Q1108" s="29">
        <f>SUMIFS(Cash_Flow_3[Amount],Cash_Flow_3[Bulan],H1108,Cash_Flow_3[Type],"Out",Cash_Flow_3[Category],"Mio")</f>
        <v>0</v>
      </c>
      <c r="R1108" s="29">
        <f>SUMIFS(Cash_Flow_3[Amount],Cash_Flow_3[Bulan],H1108,Cash_Flow_3[Type],"Out",Cash_Flow_3[Category],"Sedekah")</f>
        <v>0</v>
      </c>
      <c r="S1108" s="29">
        <f>SUMIFS(Cash_Flow_3[Amount],Cash_Flow_3[Bulan],H1108,Cash_Flow_3[Type],"Out",Cash_Flow_3[Category],"Zela")</f>
        <v>0</v>
      </c>
      <c r="T1108" s="29">
        <f>SUMIFS(Cash_Flow_3[Amount],Cash_Flow_3[Bulan],H1108,Cash_Flow_3[Type],"Out",Cash_Flow_3[Category],"Iqbal")</f>
        <v>0</v>
      </c>
    </row>
    <row r="1109" spans="1:20" ht="22.5" customHeight="1" x14ac:dyDescent="0.2">
      <c r="A1109" s="23"/>
      <c r="B1109" s="24"/>
      <c r="C1109" s="25"/>
      <c r="D1109" s="25"/>
      <c r="E1109" s="25"/>
      <c r="F1109" s="26"/>
      <c r="G1109" s="27"/>
      <c r="H1109" s="28" t="str">
        <f t="shared" si="0"/>
        <v/>
      </c>
      <c r="I1109" s="29">
        <f>SUMIFS(Cash_Flow_3[Amount],Cash_Flow_3[Bulan],H1109,Cash_Flow_3[Type],"In")</f>
        <v>0</v>
      </c>
      <c r="J1109" s="29">
        <f>SUMIFS(Cash_Flow_3[Amount],Cash_Flow_3[Bulan],H1109,Cash_Flow_3[Type],"Out")</f>
        <v>0</v>
      </c>
      <c r="K1109" s="29">
        <f>SUMIFS(Cash_Flow_3[Amount],Cash_Flow_3[Bulan],H1109,Cash_Flow_3[Type],"Out",Cash_Flow_3[Category],"Fix")</f>
        <v>0</v>
      </c>
      <c r="L1109" s="29">
        <f>SUMIFS(Cash_Flow_3[Amount],Cash_Flow_3[Bulan],H1109,Cash_Flow_3[Type],"Out",Cash_Flow_3[Category],"Bathroom")</f>
        <v>0</v>
      </c>
      <c r="M1109" s="29">
        <f>SUMIFS(Cash_Flow_3[Amount],Cash_Flow_3[Bulan],H1109,Cash_Flow_3[Type],"Out",Cash_Flow_3[Category],"Alfa")</f>
        <v>0</v>
      </c>
      <c r="N1109" s="29">
        <f>SUMIFS(Cash_Flow_3[Amount],Cash_Flow_3[Bulan],H1109,Cash_Flow_3[Type],"Out",Cash_Flow_3[Category],"Jajan")</f>
        <v>0</v>
      </c>
      <c r="O1109" s="29">
        <f>SUMIFS(Cash_Flow_3[Amount],Cash_Flow_3[Bulan],H1109,Cash_Flow_3[Type],"Out",Cash_Flow_3[Category],"Kitchen")</f>
        <v>0</v>
      </c>
      <c r="P1109" s="29">
        <f>SUMIFS(Cash_Flow_3[Amount],Cash_Flow_3[Bulan],H1109,Cash_Flow_3[Type],"Out",Cash_Flow_3[Category],"Loandry")</f>
        <v>0</v>
      </c>
      <c r="Q1109" s="29">
        <f>SUMIFS(Cash_Flow_3[Amount],Cash_Flow_3[Bulan],H1109,Cash_Flow_3[Type],"Out",Cash_Flow_3[Category],"Mio")</f>
        <v>0</v>
      </c>
      <c r="R1109" s="29">
        <f>SUMIFS(Cash_Flow_3[Amount],Cash_Flow_3[Bulan],H1109,Cash_Flow_3[Type],"Out",Cash_Flow_3[Category],"Sedekah")</f>
        <v>0</v>
      </c>
      <c r="S1109" s="29">
        <f>SUMIFS(Cash_Flow_3[Amount],Cash_Flow_3[Bulan],H1109,Cash_Flow_3[Type],"Out",Cash_Flow_3[Category],"Zela")</f>
        <v>0</v>
      </c>
      <c r="T1109" s="29">
        <f>SUMIFS(Cash_Flow_3[Amount],Cash_Flow_3[Bulan],H1109,Cash_Flow_3[Type],"Out",Cash_Flow_3[Category],"Iqbal")</f>
        <v>0</v>
      </c>
    </row>
    <row r="1110" spans="1:20" ht="22.5" customHeight="1" x14ac:dyDescent="0.2">
      <c r="A1110" s="23"/>
      <c r="B1110" s="24"/>
      <c r="C1110" s="25"/>
      <c r="D1110" s="25"/>
      <c r="E1110" s="25"/>
      <c r="F1110" s="26"/>
      <c r="G1110" s="27"/>
      <c r="H1110" s="28" t="str">
        <f t="shared" si="0"/>
        <v/>
      </c>
      <c r="I1110" s="29">
        <f>SUMIFS(Cash_Flow_3[Amount],Cash_Flow_3[Bulan],H1110,Cash_Flow_3[Type],"In")</f>
        <v>0</v>
      </c>
      <c r="J1110" s="29">
        <f>SUMIFS(Cash_Flow_3[Amount],Cash_Flow_3[Bulan],H1110,Cash_Flow_3[Type],"Out")</f>
        <v>0</v>
      </c>
      <c r="K1110" s="29">
        <f>SUMIFS(Cash_Flow_3[Amount],Cash_Flow_3[Bulan],H1110,Cash_Flow_3[Type],"Out",Cash_Flow_3[Category],"Fix")</f>
        <v>0</v>
      </c>
      <c r="L1110" s="29">
        <f>SUMIFS(Cash_Flow_3[Amount],Cash_Flow_3[Bulan],H1110,Cash_Flow_3[Type],"Out",Cash_Flow_3[Category],"Bathroom")</f>
        <v>0</v>
      </c>
      <c r="M1110" s="29">
        <f>SUMIFS(Cash_Flow_3[Amount],Cash_Flow_3[Bulan],H1110,Cash_Flow_3[Type],"Out",Cash_Flow_3[Category],"Alfa")</f>
        <v>0</v>
      </c>
      <c r="N1110" s="29">
        <f>SUMIFS(Cash_Flow_3[Amount],Cash_Flow_3[Bulan],H1110,Cash_Flow_3[Type],"Out",Cash_Flow_3[Category],"Jajan")</f>
        <v>0</v>
      </c>
      <c r="O1110" s="29">
        <f>SUMIFS(Cash_Flow_3[Amount],Cash_Flow_3[Bulan],H1110,Cash_Flow_3[Type],"Out",Cash_Flow_3[Category],"Kitchen")</f>
        <v>0</v>
      </c>
      <c r="P1110" s="29">
        <f>SUMIFS(Cash_Flow_3[Amount],Cash_Flow_3[Bulan],H1110,Cash_Flow_3[Type],"Out",Cash_Flow_3[Category],"Loandry")</f>
        <v>0</v>
      </c>
      <c r="Q1110" s="29">
        <f>SUMIFS(Cash_Flow_3[Amount],Cash_Flow_3[Bulan],H1110,Cash_Flow_3[Type],"Out",Cash_Flow_3[Category],"Mio")</f>
        <v>0</v>
      </c>
      <c r="R1110" s="29">
        <f>SUMIFS(Cash_Flow_3[Amount],Cash_Flow_3[Bulan],H1110,Cash_Flow_3[Type],"Out",Cash_Flow_3[Category],"Sedekah")</f>
        <v>0</v>
      </c>
      <c r="S1110" s="29">
        <f>SUMIFS(Cash_Flow_3[Amount],Cash_Flow_3[Bulan],H1110,Cash_Flow_3[Type],"Out",Cash_Flow_3[Category],"Zela")</f>
        <v>0</v>
      </c>
      <c r="T1110" s="29">
        <f>SUMIFS(Cash_Flow_3[Amount],Cash_Flow_3[Bulan],H1110,Cash_Flow_3[Type],"Out",Cash_Flow_3[Category],"Iqbal")</f>
        <v>0</v>
      </c>
    </row>
    <row r="1111" spans="1:20" ht="22.5" customHeight="1" x14ac:dyDescent="0.2">
      <c r="A1111" s="23"/>
      <c r="B1111" s="24"/>
      <c r="C1111" s="25"/>
      <c r="D1111" s="25"/>
      <c r="E1111" s="25"/>
      <c r="F1111" s="26"/>
      <c r="G1111" s="27"/>
      <c r="H1111" s="28" t="str">
        <f t="shared" si="0"/>
        <v/>
      </c>
      <c r="I1111" s="29">
        <f>SUMIFS(Cash_Flow_3[Amount],Cash_Flow_3[Bulan],H1111,Cash_Flow_3[Type],"In")</f>
        <v>0</v>
      </c>
      <c r="J1111" s="29">
        <f>SUMIFS(Cash_Flow_3[Amount],Cash_Flow_3[Bulan],H1111,Cash_Flow_3[Type],"Out")</f>
        <v>0</v>
      </c>
      <c r="K1111" s="29">
        <f>SUMIFS(Cash_Flow_3[Amount],Cash_Flow_3[Bulan],H1111,Cash_Flow_3[Type],"Out",Cash_Flow_3[Category],"Fix")</f>
        <v>0</v>
      </c>
      <c r="L1111" s="29">
        <f>SUMIFS(Cash_Flow_3[Amount],Cash_Flow_3[Bulan],H1111,Cash_Flow_3[Type],"Out",Cash_Flow_3[Category],"Bathroom")</f>
        <v>0</v>
      </c>
      <c r="M1111" s="29">
        <f>SUMIFS(Cash_Flow_3[Amount],Cash_Flow_3[Bulan],H1111,Cash_Flow_3[Type],"Out",Cash_Flow_3[Category],"Alfa")</f>
        <v>0</v>
      </c>
      <c r="N1111" s="29">
        <f>SUMIFS(Cash_Flow_3[Amount],Cash_Flow_3[Bulan],H1111,Cash_Flow_3[Type],"Out",Cash_Flow_3[Category],"Jajan")</f>
        <v>0</v>
      </c>
      <c r="O1111" s="29">
        <f>SUMIFS(Cash_Flow_3[Amount],Cash_Flow_3[Bulan],H1111,Cash_Flow_3[Type],"Out",Cash_Flow_3[Category],"Kitchen")</f>
        <v>0</v>
      </c>
      <c r="P1111" s="29">
        <f>SUMIFS(Cash_Flow_3[Amount],Cash_Flow_3[Bulan],H1111,Cash_Flow_3[Type],"Out",Cash_Flow_3[Category],"Loandry")</f>
        <v>0</v>
      </c>
      <c r="Q1111" s="29">
        <f>SUMIFS(Cash_Flow_3[Amount],Cash_Flow_3[Bulan],H1111,Cash_Flow_3[Type],"Out",Cash_Flow_3[Category],"Mio")</f>
        <v>0</v>
      </c>
      <c r="R1111" s="29">
        <f>SUMIFS(Cash_Flow_3[Amount],Cash_Flow_3[Bulan],H1111,Cash_Flow_3[Type],"Out",Cash_Flow_3[Category],"Sedekah")</f>
        <v>0</v>
      </c>
      <c r="S1111" s="29">
        <f>SUMIFS(Cash_Flow_3[Amount],Cash_Flow_3[Bulan],H1111,Cash_Flow_3[Type],"Out",Cash_Flow_3[Category],"Zela")</f>
        <v>0</v>
      </c>
      <c r="T1111" s="29">
        <f>SUMIFS(Cash_Flow_3[Amount],Cash_Flow_3[Bulan],H1111,Cash_Flow_3[Type],"Out",Cash_Flow_3[Category],"Iqbal")</f>
        <v>0</v>
      </c>
    </row>
    <row r="1112" spans="1:20" ht="22.5" customHeight="1" x14ac:dyDescent="0.2">
      <c r="A1112" s="23"/>
      <c r="B1112" s="24"/>
      <c r="C1112" s="25"/>
      <c r="D1112" s="25"/>
      <c r="E1112" s="25"/>
      <c r="F1112" s="26"/>
      <c r="G1112" s="27"/>
      <c r="H1112" s="28" t="str">
        <f t="shared" si="0"/>
        <v/>
      </c>
      <c r="I1112" s="29">
        <f>SUMIFS(Cash_Flow_3[Amount],Cash_Flow_3[Bulan],H1112,Cash_Flow_3[Type],"In")</f>
        <v>0</v>
      </c>
      <c r="J1112" s="29">
        <f>SUMIFS(Cash_Flow_3[Amount],Cash_Flow_3[Bulan],H1112,Cash_Flow_3[Type],"Out")</f>
        <v>0</v>
      </c>
      <c r="K1112" s="29">
        <f>SUMIFS(Cash_Flow_3[Amount],Cash_Flow_3[Bulan],H1112,Cash_Flow_3[Type],"Out",Cash_Flow_3[Category],"Fix")</f>
        <v>0</v>
      </c>
      <c r="L1112" s="29">
        <f>SUMIFS(Cash_Flow_3[Amount],Cash_Flow_3[Bulan],H1112,Cash_Flow_3[Type],"Out",Cash_Flow_3[Category],"Bathroom")</f>
        <v>0</v>
      </c>
      <c r="M1112" s="29">
        <f>SUMIFS(Cash_Flow_3[Amount],Cash_Flow_3[Bulan],H1112,Cash_Flow_3[Type],"Out",Cash_Flow_3[Category],"Alfa")</f>
        <v>0</v>
      </c>
      <c r="N1112" s="29">
        <f>SUMIFS(Cash_Flow_3[Amount],Cash_Flow_3[Bulan],H1112,Cash_Flow_3[Type],"Out",Cash_Flow_3[Category],"Jajan")</f>
        <v>0</v>
      </c>
      <c r="O1112" s="29">
        <f>SUMIFS(Cash_Flow_3[Amount],Cash_Flow_3[Bulan],H1112,Cash_Flow_3[Type],"Out",Cash_Flow_3[Category],"Kitchen")</f>
        <v>0</v>
      </c>
      <c r="P1112" s="29">
        <f>SUMIFS(Cash_Flow_3[Amount],Cash_Flow_3[Bulan],H1112,Cash_Flow_3[Type],"Out",Cash_Flow_3[Category],"Loandry")</f>
        <v>0</v>
      </c>
      <c r="Q1112" s="29">
        <f>SUMIFS(Cash_Flow_3[Amount],Cash_Flow_3[Bulan],H1112,Cash_Flow_3[Type],"Out",Cash_Flow_3[Category],"Mio")</f>
        <v>0</v>
      </c>
      <c r="R1112" s="29">
        <f>SUMIFS(Cash_Flow_3[Amount],Cash_Flow_3[Bulan],H1112,Cash_Flow_3[Type],"Out",Cash_Flow_3[Category],"Sedekah")</f>
        <v>0</v>
      </c>
      <c r="S1112" s="29">
        <f>SUMIFS(Cash_Flow_3[Amount],Cash_Flow_3[Bulan],H1112,Cash_Flow_3[Type],"Out",Cash_Flow_3[Category],"Zela")</f>
        <v>0</v>
      </c>
      <c r="T1112" s="29">
        <f>SUMIFS(Cash_Flow_3[Amount],Cash_Flow_3[Bulan],H1112,Cash_Flow_3[Type],"Out",Cash_Flow_3[Category],"Iqbal")</f>
        <v>0</v>
      </c>
    </row>
    <row r="1113" spans="1:20" ht="22.5" customHeight="1" x14ac:dyDescent="0.2">
      <c r="A1113" s="23"/>
      <c r="B1113" s="24"/>
      <c r="C1113" s="25"/>
      <c r="D1113" s="25"/>
      <c r="E1113" s="25"/>
      <c r="F1113" s="26"/>
      <c r="G1113" s="27"/>
      <c r="H1113" s="28" t="str">
        <f t="shared" si="0"/>
        <v/>
      </c>
      <c r="I1113" s="29">
        <f>SUMIFS(Cash_Flow_3[Amount],Cash_Flow_3[Bulan],H1113,Cash_Flow_3[Type],"In")</f>
        <v>0</v>
      </c>
      <c r="J1113" s="29">
        <f>SUMIFS(Cash_Flow_3[Amount],Cash_Flow_3[Bulan],H1113,Cash_Flow_3[Type],"Out")</f>
        <v>0</v>
      </c>
      <c r="K1113" s="29">
        <f>SUMIFS(Cash_Flow_3[Amount],Cash_Flow_3[Bulan],H1113,Cash_Flow_3[Type],"Out",Cash_Flow_3[Category],"Fix")</f>
        <v>0</v>
      </c>
      <c r="L1113" s="29">
        <f>SUMIFS(Cash_Flow_3[Amount],Cash_Flow_3[Bulan],H1113,Cash_Flow_3[Type],"Out",Cash_Flow_3[Category],"Bathroom")</f>
        <v>0</v>
      </c>
      <c r="M1113" s="29">
        <f>SUMIFS(Cash_Flow_3[Amount],Cash_Flow_3[Bulan],H1113,Cash_Flow_3[Type],"Out",Cash_Flow_3[Category],"Alfa")</f>
        <v>0</v>
      </c>
      <c r="N1113" s="29">
        <f>SUMIFS(Cash_Flow_3[Amount],Cash_Flow_3[Bulan],H1113,Cash_Flow_3[Type],"Out",Cash_Flow_3[Category],"Jajan")</f>
        <v>0</v>
      </c>
      <c r="O1113" s="29">
        <f>SUMIFS(Cash_Flow_3[Amount],Cash_Flow_3[Bulan],H1113,Cash_Flow_3[Type],"Out",Cash_Flow_3[Category],"Kitchen")</f>
        <v>0</v>
      </c>
      <c r="P1113" s="29">
        <f>SUMIFS(Cash_Flow_3[Amount],Cash_Flow_3[Bulan],H1113,Cash_Flow_3[Type],"Out",Cash_Flow_3[Category],"Loandry")</f>
        <v>0</v>
      </c>
      <c r="Q1113" s="29">
        <f>SUMIFS(Cash_Flow_3[Amount],Cash_Flow_3[Bulan],H1113,Cash_Flow_3[Type],"Out",Cash_Flow_3[Category],"Mio")</f>
        <v>0</v>
      </c>
      <c r="R1113" s="29">
        <f>SUMIFS(Cash_Flow_3[Amount],Cash_Flow_3[Bulan],H1113,Cash_Flow_3[Type],"Out",Cash_Flow_3[Category],"Sedekah")</f>
        <v>0</v>
      </c>
      <c r="S1113" s="29">
        <f>SUMIFS(Cash_Flow_3[Amount],Cash_Flow_3[Bulan],H1113,Cash_Flow_3[Type],"Out",Cash_Flow_3[Category],"Zela")</f>
        <v>0</v>
      </c>
      <c r="T1113" s="29">
        <f>SUMIFS(Cash_Flow_3[Amount],Cash_Flow_3[Bulan],H1113,Cash_Flow_3[Type],"Out",Cash_Flow_3[Category],"Iqbal")</f>
        <v>0</v>
      </c>
    </row>
    <row r="1114" spans="1:20" ht="22.5" customHeight="1" x14ac:dyDescent="0.2">
      <c r="A1114" s="23"/>
      <c r="B1114" s="24"/>
      <c r="C1114" s="25"/>
      <c r="D1114" s="25"/>
      <c r="E1114" s="25"/>
      <c r="F1114" s="26"/>
      <c r="G1114" s="27"/>
      <c r="H1114" s="28" t="str">
        <f t="shared" si="0"/>
        <v/>
      </c>
      <c r="I1114" s="29">
        <f>SUMIFS(Cash_Flow_3[Amount],Cash_Flow_3[Bulan],H1114,Cash_Flow_3[Type],"In")</f>
        <v>0</v>
      </c>
      <c r="J1114" s="29">
        <f>SUMIFS(Cash_Flow_3[Amount],Cash_Flow_3[Bulan],H1114,Cash_Flow_3[Type],"Out")</f>
        <v>0</v>
      </c>
      <c r="K1114" s="29">
        <f>SUMIFS(Cash_Flow_3[Amount],Cash_Flow_3[Bulan],H1114,Cash_Flow_3[Type],"Out",Cash_Flow_3[Category],"Fix")</f>
        <v>0</v>
      </c>
      <c r="L1114" s="29">
        <f>SUMIFS(Cash_Flow_3[Amount],Cash_Flow_3[Bulan],H1114,Cash_Flow_3[Type],"Out",Cash_Flow_3[Category],"Bathroom")</f>
        <v>0</v>
      </c>
      <c r="M1114" s="29">
        <f>SUMIFS(Cash_Flow_3[Amount],Cash_Flow_3[Bulan],H1114,Cash_Flow_3[Type],"Out",Cash_Flow_3[Category],"Alfa")</f>
        <v>0</v>
      </c>
      <c r="N1114" s="29">
        <f>SUMIFS(Cash_Flow_3[Amount],Cash_Flow_3[Bulan],H1114,Cash_Flow_3[Type],"Out",Cash_Flow_3[Category],"Jajan")</f>
        <v>0</v>
      </c>
      <c r="O1114" s="29">
        <f>SUMIFS(Cash_Flow_3[Amount],Cash_Flow_3[Bulan],H1114,Cash_Flow_3[Type],"Out",Cash_Flow_3[Category],"Kitchen")</f>
        <v>0</v>
      </c>
      <c r="P1114" s="29">
        <f>SUMIFS(Cash_Flow_3[Amount],Cash_Flow_3[Bulan],H1114,Cash_Flow_3[Type],"Out",Cash_Flow_3[Category],"Loandry")</f>
        <v>0</v>
      </c>
      <c r="Q1114" s="29">
        <f>SUMIFS(Cash_Flow_3[Amount],Cash_Flow_3[Bulan],H1114,Cash_Flow_3[Type],"Out",Cash_Flow_3[Category],"Mio")</f>
        <v>0</v>
      </c>
      <c r="R1114" s="29">
        <f>SUMIFS(Cash_Flow_3[Amount],Cash_Flow_3[Bulan],H1114,Cash_Flow_3[Type],"Out",Cash_Flow_3[Category],"Sedekah")</f>
        <v>0</v>
      </c>
      <c r="S1114" s="29">
        <f>SUMIFS(Cash_Flow_3[Amount],Cash_Flow_3[Bulan],H1114,Cash_Flow_3[Type],"Out",Cash_Flow_3[Category],"Zela")</f>
        <v>0</v>
      </c>
      <c r="T1114" s="29">
        <f>SUMIFS(Cash_Flow_3[Amount],Cash_Flow_3[Bulan],H1114,Cash_Flow_3[Type],"Out",Cash_Flow_3[Category],"Iqbal")</f>
        <v>0</v>
      </c>
    </row>
    <row r="1115" spans="1:20" ht="22.5" customHeight="1" x14ac:dyDescent="0.2">
      <c r="A1115" s="23"/>
      <c r="B1115" s="24"/>
      <c r="C1115" s="25"/>
      <c r="D1115" s="25"/>
      <c r="E1115" s="25"/>
      <c r="F1115" s="26"/>
      <c r="G1115" s="27"/>
      <c r="H1115" s="28" t="str">
        <f t="shared" si="0"/>
        <v/>
      </c>
      <c r="I1115" s="29">
        <f>SUMIFS(Cash_Flow_3[Amount],Cash_Flow_3[Bulan],H1115,Cash_Flow_3[Type],"In")</f>
        <v>0</v>
      </c>
      <c r="J1115" s="29">
        <f>SUMIFS(Cash_Flow_3[Amount],Cash_Flow_3[Bulan],H1115,Cash_Flow_3[Type],"Out")</f>
        <v>0</v>
      </c>
      <c r="K1115" s="29">
        <f>SUMIFS(Cash_Flow_3[Amount],Cash_Flow_3[Bulan],H1115,Cash_Flow_3[Type],"Out",Cash_Flow_3[Category],"Fix")</f>
        <v>0</v>
      </c>
      <c r="L1115" s="29">
        <f>SUMIFS(Cash_Flow_3[Amount],Cash_Flow_3[Bulan],H1115,Cash_Flow_3[Type],"Out",Cash_Flow_3[Category],"Bathroom")</f>
        <v>0</v>
      </c>
      <c r="M1115" s="29">
        <f>SUMIFS(Cash_Flow_3[Amount],Cash_Flow_3[Bulan],H1115,Cash_Flow_3[Type],"Out",Cash_Flow_3[Category],"Alfa")</f>
        <v>0</v>
      </c>
      <c r="N1115" s="29">
        <f>SUMIFS(Cash_Flow_3[Amount],Cash_Flow_3[Bulan],H1115,Cash_Flow_3[Type],"Out",Cash_Flow_3[Category],"Jajan")</f>
        <v>0</v>
      </c>
      <c r="O1115" s="29">
        <f>SUMIFS(Cash_Flow_3[Amount],Cash_Flow_3[Bulan],H1115,Cash_Flow_3[Type],"Out",Cash_Flow_3[Category],"Kitchen")</f>
        <v>0</v>
      </c>
      <c r="P1115" s="29">
        <f>SUMIFS(Cash_Flow_3[Amount],Cash_Flow_3[Bulan],H1115,Cash_Flow_3[Type],"Out",Cash_Flow_3[Category],"Loandry")</f>
        <v>0</v>
      </c>
      <c r="Q1115" s="29">
        <f>SUMIFS(Cash_Flow_3[Amount],Cash_Flow_3[Bulan],H1115,Cash_Flow_3[Type],"Out",Cash_Flow_3[Category],"Mio")</f>
        <v>0</v>
      </c>
      <c r="R1115" s="29">
        <f>SUMIFS(Cash_Flow_3[Amount],Cash_Flow_3[Bulan],H1115,Cash_Flow_3[Type],"Out",Cash_Flow_3[Category],"Sedekah")</f>
        <v>0</v>
      </c>
      <c r="S1115" s="29">
        <f>SUMIFS(Cash_Flow_3[Amount],Cash_Flow_3[Bulan],H1115,Cash_Flow_3[Type],"Out",Cash_Flow_3[Category],"Zela")</f>
        <v>0</v>
      </c>
      <c r="T1115" s="29">
        <f>SUMIFS(Cash_Flow_3[Amount],Cash_Flow_3[Bulan],H1115,Cash_Flow_3[Type],"Out",Cash_Flow_3[Category],"Iqbal")</f>
        <v>0</v>
      </c>
    </row>
    <row r="1116" spans="1:20" ht="22.5" customHeight="1" x14ac:dyDescent="0.2">
      <c r="A1116" s="23"/>
      <c r="B1116" s="24"/>
      <c r="C1116" s="25"/>
      <c r="D1116" s="25"/>
      <c r="E1116" s="25"/>
      <c r="F1116" s="26"/>
      <c r="G1116" s="27"/>
      <c r="H1116" s="28" t="str">
        <f t="shared" si="0"/>
        <v/>
      </c>
      <c r="I1116" s="29">
        <f>SUMIFS(Cash_Flow_3[Amount],Cash_Flow_3[Bulan],H1116,Cash_Flow_3[Type],"In")</f>
        <v>0</v>
      </c>
      <c r="J1116" s="29">
        <f>SUMIFS(Cash_Flow_3[Amount],Cash_Flow_3[Bulan],H1116,Cash_Flow_3[Type],"Out")</f>
        <v>0</v>
      </c>
      <c r="K1116" s="29">
        <f>SUMIFS(Cash_Flow_3[Amount],Cash_Flow_3[Bulan],H1116,Cash_Flow_3[Type],"Out",Cash_Flow_3[Category],"Fix")</f>
        <v>0</v>
      </c>
      <c r="L1116" s="29">
        <f>SUMIFS(Cash_Flow_3[Amount],Cash_Flow_3[Bulan],H1116,Cash_Flow_3[Type],"Out",Cash_Flow_3[Category],"Bathroom")</f>
        <v>0</v>
      </c>
      <c r="M1116" s="29">
        <f>SUMIFS(Cash_Flow_3[Amount],Cash_Flow_3[Bulan],H1116,Cash_Flow_3[Type],"Out",Cash_Flow_3[Category],"Alfa")</f>
        <v>0</v>
      </c>
      <c r="N1116" s="29">
        <f>SUMIFS(Cash_Flow_3[Amount],Cash_Flow_3[Bulan],H1116,Cash_Flow_3[Type],"Out",Cash_Flow_3[Category],"Jajan")</f>
        <v>0</v>
      </c>
      <c r="O1116" s="29">
        <f>SUMIFS(Cash_Flow_3[Amount],Cash_Flow_3[Bulan],H1116,Cash_Flow_3[Type],"Out",Cash_Flow_3[Category],"Kitchen")</f>
        <v>0</v>
      </c>
      <c r="P1116" s="29">
        <f>SUMIFS(Cash_Flow_3[Amount],Cash_Flow_3[Bulan],H1116,Cash_Flow_3[Type],"Out",Cash_Flow_3[Category],"Loandry")</f>
        <v>0</v>
      </c>
      <c r="Q1116" s="29">
        <f>SUMIFS(Cash_Flow_3[Amount],Cash_Flow_3[Bulan],H1116,Cash_Flow_3[Type],"Out",Cash_Flow_3[Category],"Mio")</f>
        <v>0</v>
      </c>
      <c r="R1116" s="29">
        <f>SUMIFS(Cash_Flow_3[Amount],Cash_Flow_3[Bulan],H1116,Cash_Flow_3[Type],"Out",Cash_Flow_3[Category],"Sedekah")</f>
        <v>0</v>
      </c>
      <c r="S1116" s="29">
        <f>SUMIFS(Cash_Flow_3[Amount],Cash_Flow_3[Bulan],H1116,Cash_Flow_3[Type],"Out",Cash_Flow_3[Category],"Zela")</f>
        <v>0</v>
      </c>
      <c r="T1116" s="29">
        <f>SUMIFS(Cash_Flow_3[Amount],Cash_Flow_3[Bulan],H1116,Cash_Flow_3[Type],"Out",Cash_Flow_3[Category],"Iqbal")</f>
        <v>0</v>
      </c>
    </row>
    <row r="1117" spans="1:20" ht="22.5" customHeight="1" x14ac:dyDescent="0.2">
      <c r="A1117" s="23"/>
      <c r="B1117" s="24"/>
      <c r="C1117" s="25"/>
      <c r="D1117" s="25"/>
      <c r="E1117" s="25"/>
      <c r="F1117" s="26"/>
      <c r="G1117" s="27"/>
      <c r="H1117" s="28" t="str">
        <f t="shared" si="0"/>
        <v/>
      </c>
      <c r="I1117" s="29">
        <f>SUMIFS(Cash_Flow_3[Amount],Cash_Flow_3[Bulan],H1117,Cash_Flow_3[Type],"In")</f>
        <v>0</v>
      </c>
      <c r="J1117" s="29">
        <f>SUMIFS(Cash_Flow_3[Amount],Cash_Flow_3[Bulan],H1117,Cash_Flow_3[Type],"Out")</f>
        <v>0</v>
      </c>
      <c r="K1117" s="29">
        <f>SUMIFS(Cash_Flow_3[Amount],Cash_Flow_3[Bulan],H1117,Cash_Flow_3[Type],"Out",Cash_Flow_3[Category],"Fix")</f>
        <v>0</v>
      </c>
      <c r="L1117" s="29">
        <f>SUMIFS(Cash_Flow_3[Amount],Cash_Flow_3[Bulan],H1117,Cash_Flow_3[Type],"Out",Cash_Flow_3[Category],"Bathroom")</f>
        <v>0</v>
      </c>
      <c r="M1117" s="29">
        <f>SUMIFS(Cash_Flow_3[Amount],Cash_Flow_3[Bulan],H1117,Cash_Flow_3[Type],"Out",Cash_Flow_3[Category],"Alfa")</f>
        <v>0</v>
      </c>
      <c r="N1117" s="29">
        <f>SUMIFS(Cash_Flow_3[Amount],Cash_Flow_3[Bulan],H1117,Cash_Flow_3[Type],"Out",Cash_Flow_3[Category],"Jajan")</f>
        <v>0</v>
      </c>
      <c r="O1117" s="29">
        <f>SUMIFS(Cash_Flow_3[Amount],Cash_Flow_3[Bulan],H1117,Cash_Flow_3[Type],"Out",Cash_Flow_3[Category],"Kitchen")</f>
        <v>0</v>
      </c>
      <c r="P1117" s="29">
        <f>SUMIFS(Cash_Flow_3[Amount],Cash_Flow_3[Bulan],H1117,Cash_Flow_3[Type],"Out",Cash_Flow_3[Category],"Loandry")</f>
        <v>0</v>
      </c>
      <c r="Q1117" s="29">
        <f>SUMIFS(Cash_Flow_3[Amount],Cash_Flow_3[Bulan],H1117,Cash_Flow_3[Type],"Out",Cash_Flow_3[Category],"Mio")</f>
        <v>0</v>
      </c>
      <c r="R1117" s="29">
        <f>SUMIFS(Cash_Flow_3[Amount],Cash_Flow_3[Bulan],H1117,Cash_Flow_3[Type],"Out",Cash_Flow_3[Category],"Sedekah")</f>
        <v>0</v>
      </c>
      <c r="S1117" s="29">
        <f>SUMIFS(Cash_Flow_3[Amount],Cash_Flow_3[Bulan],H1117,Cash_Flow_3[Type],"Out",Cash_Flow_3[Category],"Zela")</f>
        <v>0</v>
      </c>
      <c r="T1117" s="29">
        <f>SUMIFS(Cash_Flow_3[Amount],Cash_Flow_3[Bulan],H1117,Cash_Flow_3[Type],"Out",Cash_Flow_3[Category],"Iqbal")</f>
        <v>0</v>
      </c>
    </row>
    <row r="1118" spans="1:20" ht="22.5" customHeight="1" x14ac:dyDescent="0.2">
      <c r="A1118" s="23"/>
      <c r="B1118" s="24"/>
      <c r="C1118" s="25"/>
      <c r="D1118" s="25"/>
      <c r="E1118" s="25"/>
      <c r="F1118" s="26"/>
      <c r="G1118" s="27"/>
      <c r="H1118" s="28" t="str">
        <f t="shared" si="0"/>
        <v/>
      </c>
      <c r="I1118" s="29">
        <f>SUMIFS(Cash_Flow_3[Amount],Cash_Flow_3[Bulan],H1118,Cash_Flow_3[Type],"In")</f>
        <v>0</v>
      </c>
      <c r="J1118" s="29">
        <f>SUMIFS(Cash_Flow_3[Amount],Cash_Flow_3[Bulan],H1118,Cash_Flow_3[Type],"Out")</f>
        <v>0</v>
      </c>
      <c r="K1118" s="29">
        <f>SUMIFS(Cash_Flow_3[Amount],Cash_Flow_3[Bulan],H1118,Cash_Flow_3[Type],"Out",Cash_Flow_3[Category],"Fix")</f>
        <v>0</v>
      </c>
      <c r="L1118" s="29">
        <f>SUMIFS(Cash_Flow_3[Amount],Cash_Flow_3[Bulan],H1118,Cash_Flow_3[Type],"Out",Cash_Flow_3[Category],"Bathroom")</f>
        <v>0</v>
      </c>
      <c r="M1118" s="29">
        <f>SUMIFS(Cash_Flow_3[Amount],Cash_Flow_3[Bulan],H1118,Cash_Flow_3[Type],"Out",Cash_Flow_3[Category],"Alfa")</f>
        <v>0</v>
      </c>
      <c r="N1118" s="29">
        <f>SUMIFS(Cash_Flow_3[Amount],Cash_Flow_3[Bulan],H1118,Cash_Flow_3[Type],"Out",Cash_Flow_3[Category],"Jajan")</f>
        <v>0</v>
      </c>
      <c r="O1118" s="29">
        <f>SUMIFS(Cash_Flow_3[Amount],Cash_Flow_3[Bulan],H1118,Cash_Flow_3[Type],"Out",Cash_Flow_3[Category],"Kitchen")</f>
        <v>0</v>
      </c>
      <c r="P1118" s="29">
        <f>SUMIFS(Cash_Flow_3[Amount],Cash_Flow_3[Bulan],H1118,Cash_Flow_3[Type],"Out",Cash_Flow_3[Category],"Loandry")</f>
        <v>0</v>
      </c>
      <c r="Q1118" s="29">
        <f>SUMIFS(Cash_Flow_3[Amount],Cash_Flow_3[Bulan],H1118,Cash_Flow_3[Type],"Out",Cash_Flow_3[Category],"Mio")</f>
        <v>0</v>
      </c>
      <c r="R1118" s="29">
        <f>SUMIFS(Cash_Flow_3[Amount],Cash_Flow_3[Bulan],H1118,Cash_Flow_3[Type],"Out",Cash_Flow_3[Category],"Sedekah")</f>
        <v>0</v>
      </c>
      <c r="S1118" s="29">
        <f>SUMIFS(Cash_Flow_3[Amount],Cash_Flow_3[Bulan],H1118,Cash_Flow_3[Type],"Out",Cash_Flow_3[Category],"Zela")</f>
        <v>0</v>
      </c>
      <c r="T1118" s="29">
        <f>SUMIFS(Cash_Flow_3[Amount],Cash_Flow_3[Bulan],H1118,Cash_Flow_3[Type],"Out",Cash_Flow_3[Category],"Iqbal")</f>
        <v>0</v>
      </c>
    </row>
    <row r="1119" spans="1:20" ht="22.5" customHeight="1" x14ac:dyDescent="0.2">
      <c r="A1119" s="23"/>
      <c r="B1119" s="24"/>
      <c r="C1119" s="25"/>
      <c r="D1119" s="25"/>
      <c r="E1119" s="25"/>
      <c r="F1119" s="26"/>
      <c r="G1119" s="27"/>
      <c r="H1119" s="28" t="str">
        <f t="shared" si="0"/>
        <v/>
      </c>
      <c r="I1119" s="29">
        <f>SUMIFS(Cash_Flow_3[Amount],Cash_Flow_3[Bulan],H1119,Cash_Flow_3[Type],"In")</f>
        <v>0</v>
      </c>
      <c r="J1119" s="29">
        <f>SUMIFS(Cash_Flow_3[Amount],Cash_Flow_3[Bulan],H1119,Cash_Flow_3[Type],"Out")</f>
        <v>0</v>
      </c>
      <c r="K1119" s="29">
        <f>SUMIFS(Cash_Flow_3[Amount],Cash_Flow_3[Bulan],H1119,Cash_Flow_3[Type],"Out",Cash_Flow_3[Category],"Fix")</f>
        <v>0</v>
      </c>
      <c r="L1119" s="29">
        <f>SUMIFS(Cash_Flow_3[Amount],Cash_Flow_3[Bulan],H1119,Cash_Flow_3[Type],"Out",Cash_Flow_3[Category],"Bathroom")</f>
        <v>0</v>
      </c>
      <c r="M1119" s="29">
        <f>SUMIFS(Cash_Flow_3[Amount],Cash_Flow_3[Bulan],H1119,Cash_Flow_3[Type],"Out",Cash_Flow_3[Category],"Alfa")</f>
        <v>0</v>
      </c>
      <c r="N1119" s="29">
        <f>SUMIFS(Cash_Flow_3[Amount],Cash_Flow_3[Bulan],H1119,Cash_Flow_3[Type],"Out",Cash_Flow_3[Category],"Jajan")</f>
        <v>0</v>
      </c>
      <c r="O1119" s="29">
        <f>SUMIFS(Cash_Flow_3[Amount],Cash_Flow_3[Bulan],H1119,Cash_Flow_3[Type],"Out",Cash_Flow_3[Category],"Kitchen")</f>
        <v>0</v>
      </c>
      <c r="P1119" s="29">
        <f>SUMIFS(Cash_Flow_3[Amount],Cash_Flow_3[Bulan],H1119,Cash_Flow_3[Type],"Out",Cash_Flow_3[Category],"Loandry")</f>
        <v>0</v>
      </c>
      <c r="Q1119" s="29">
        <f>SUMIFS(Cash_Flow_3[Amount],Cash_Flow_3[Bulan],H1119,Cash_Flow_3[Type],"Out",Cash_Flow_3[Category],"Mio")</f>
        <v>0</v>
      </c>
      <c r="R1119" s="29">
        <f>SUMIFS(Cash_Flow_3[Amount],Cash_Flow_3[Bulan],H1119,Cash_Flow_3[Type],"Out",Cash_Flow_3[Category],"Sedekah")</f>
        <v>0</v>
      </c>
      <c r="S1119" s="29">
        <f>SUMIFS(Cash_Flow_3[Amount],Cash_Flow_3[Bulan],H1119,Cash_Flow_3[Type],"Out",Cash_Flow_3[Category],"Zela")</f>
        <v>0</v>
      </c>
      <c r="T1119" s="29">
        <f>SUMIFS(Cash_Flow_3[Amount],Cash_Flow_3[Bulan],H1119,Cash_Flow_3[Type],"Out",Cash_Flow_3[Category],"Iqbal")</f>
        <v>0</v>
      </c>
    </row>
    <row r="1120" spans="1:20" ht="22.5" customHeight="1" x14ac:dyDescent="0.2">
      <c r="A1120" s="23"/>
      <c r="B1120" s="24"/>
      <c r="C1120" s="25"/>
      <c r="D1120" s="25"/>
      <c r="E1120" s="25"/>
      <c r="F1120" s="26"/>
      <c r="G1120" s="27"/>
      <c r="H1120" s="28" t="str">
        <f t="shared" si="0"/>
        <v/>
      </c>
      <c r="I1120" s="29">
        <f>SUMIFS(Cash_Flow_3[Amount],Cash_Flow_3[Bulan],H1120,Cash_Flow_3[Type],"In")</f>
        <v>0</v>
      </c>
      <c r="J1120" s="29">
        <f>SUMIFS(Cash_Flow_3[Amount],Cash_Flow_3[Bulan],H1120,Cash_Flow_3[Type],"Out")</f>
        <v>0</v>
      </c>
      <c r="K1120" s="29">
        <f>SUMIFS(Cash_Flow_3[Amount],Cash_Flow_3[Bulan],H1120,Cash_Flow_3[Type],"Out",Cash_Flow_3[Category],"Fix")</f>
        <v>0</v>
      </c>
      <c r="L1120" s="29">
        <f>SUMIFS(Cash_Flow_3[Amount],Cash_Flow_3[Bulan],H1120,Cash_Flow_3[Type],"Out",Cash_Flow_3[Category],"Bathroom")</f>
        <v>0</v>
      </c>
      <c r="M1120" s="29">
        <f>SUMIFS(Cash_Flow_3[Amount],Cash_Flow_3[Bulan],H1120,Cash_Flow_3[Type],"Out",Cash_Flow_3[Category],"Alfa")</f>
        <v>0</v>
      </c>
      <c r="N1120" s="29">
        <f>SUMIFS(Cash_Flow_3[Amount],Cash_Flow_3[Bulan],H1120,Cash_Flow_3[Type],"Out",Cash_Flow_3[Category],"Jajan")</f>
        <v>0</v>
      </c>
      <c r="O1120" s="29">
        <f>SUMIFS(Cash_Flow_3[Amount],Cash_Flow_3[Bulan],H1120,Cash_Flow_3[Type],"Out",Cash_Flow_3[Category],"Kitchen")</f>
        <v>0</v>
      </c>
      <c r="P1120" s="29">
        <f>SUMIFS(Cash_Flow_3[Amount],Cash_Flow_3[Bulan],H1120,Cash_Flow_3[Type],"Out",Cash_Flow_3[Category],"Loandry")</f>
        <v>0</v>
      </c>
      <c r="Q1120" s="29">
        <f>SUMIFS(Cash_Flow_3[Amount],Cash_Flow_3[Bulan],H1120,Cash_Flow_3[Type],"Out",Cash_Flow_3[Category],"Mio")</f>
        <v>0</v>
      </c>
      <c r="R1120" s="29">
        <f>SUMIFS(Cash_Flow_3[Amount],Cash_Flow_3[Bulan],H1120,Cash_Flow_3[Type],"Out",Cash_Flow_3[Category],"Sedekah")</f>
        <v>0</v>
      </c>
      <c r="S1120" s="29">
        <f>SUMIFS(Cash_Flow_3[Amount],Cash_Flow_3[Bulan],H1120,Cash_Flow_3[Type],"Out",Cash_Flow_3[Category],"Zela")</f>
        <v>0</v>
      </c>
      <c r="T1120" s="29">
        <f>SUMIFS(Cash_Flow_3[Amount],Cash_Flow_3[Bulan],H1120,Cash_Flow_3[Type],"Out",Cash_Flow_3[Category],"Iqbal")</f>
        <v>0</v>
      </c>
    </row>
    <row r="1121" spans="1:20" ht="22.5" customHeight="1" x14ac:dyDescent="0.2">
      <c r="A1121" s="23"/>
      <c r="B1121" s="24"/>
      <c r="C1121" s="25"/>
      <c r="D1121" s="25"/>
      <c r="E1121" s="25"/>
      <c r="F1121" s="26"/>
      <c r="G1121" s="27"/>
      <c r="H1121" s="28" t="str">
        <f t="shared" si="0"/>
        <v/>
      </c>
      <c r="I1121" s="29">
        <f>SUMIFS(Cash_Flow_3[Amount],Cash_Flow_3[Bulan],H1121,Cash_Flow_3[Type],"In")</f>
        <v>0</v>
      </c>
      <c r="J1121" s="29">
        <f>SUMIFS(Cash_Flow_3[Amount],Cash_Flow_3[Bulan],H1121,Cash_Flow_3[Type],"Out")</f>
        <v>0</v>
      </c>
      <c r="K1121" s="29">
        <f>SUMIFS(Cash_Flow_3[Amount],Cash_Flow_3[Bulan],H1121,Cash_Flow_3[Type],"Out",Cash_Flow_3[Category],"Fix")</f>
        <v>0</v>
      </c>
      <c r="L1121" s="29">
        <f>SUMIFS(Cash_Flow_3[Amount],Cash_Flow_3[Bulan],H1121,Cash_Flow_3[Type],"Out",Cash_Flow_3[Category],"Bathroom")</f>
        <v>0</v>
      </c>
      <c r="M1121" s="29">
        <f>SUMIFS(Cash_Flow_3[Amount],Cash_Flow_3[Bulan],H1121,Cash_Flow_3[Type],"Out",Cash_Flow_3[Category],"Alfa")</f>
        <v>0</v>
      </c>
      <c r="N1121" s="29">
        <f>SUMIFS(Cash_Flow_3[Amount],Cash_Flow_3[Bulan],H1121,Cash_Flow_3[Type],"Out",Cash_Flow_3[Category],"Jajan")</f>
        <v>0</v>
      </c>
      <c r="O1121" s="29">
        <f>SUMIFS(Cash_Flow_3[Amount],Cash_Flow_3[Bulan],H1121,Cash_Flow_3[Type],"Out",Cash_Flow_3[Category],"Kitchen")</f>
        <v>0</v>
      </c>
      <c r="P1121" s="29">
        <f>SUMIFS(Cash_Flow_3[Amount],Cash_Flow_3[Bulan],H1121,Cash_Flow_3[Type],"Out",Cash_Flow_3[Category],"Loandry")</f>
        <v>0</v>
      </c>
      <c r="Q1121" s="29">
        <f>SUMIFS(Cash_Flow_3[Amount],Cash_Flow_3[Bulan],H1121,Cash_Flow_3[Type],"Out",Cash_Flow_3[Category],"Mio")</f>
        <v>0</v>
      </c>
      <c r="R1121" s="29">
        <f>SUMIFS(Cash_Flow_3[Amount],Cash_Flow_3[Bulan],H1121,Cash_Flow_3[Type],"Out",Cash_Flow_3[Category],"Sedekah")</f>
        <v>0</v>
      </c>
      <c r="S1121" s="29">
        <f>SUMIFS(Cash_Flow_3[Amount],Cash_Flow_3[Bulan],H1121,Cash_Flow_3[Type],"Out",Cash_Flow_3[Category],"Zela")</f>
        <v>0</v>
      </c>
      <c r="T1121" s="29">
        <f>SUMIFS(Cash_Flow_3[Amount],Cash_Flow_3[Bulan],H1121,Cash_Flow_3[Type],"Out",Cash_Flow_3[Category],"Iqbal")</f>
        <v>0</v>
      </c>
    </row>
    <row r="1122" spans="1:20" ht="22.5" customHeight="1" x14ac:dyDescent="0.2">
      <c r="A1122" s="23"/>
      <c r="B1122" s="24"/>
      <c r="C1122" s="25"/>
      <c r="D1122" s="25"/>
      <c r="E1122" s="25"/>
      <c r="F1122" s="26"/>
      <c r="G1122" s="27"/>
      <c r="H1122" s="28" t="str">
        <f t="shared" si="0"/>
        <v/>
      </c>
      <c r="I1122" s="29">
        <f>SUMIFS(Cash_Flow_3[Amount],Cash_Flow_3[Bulan],H1122,Cash_Flow_3[Type],"In")</f>
        <v>0</v>
      </c>
      <c r="J1122" s="29">
        <f>SUMIFS(Cash_Flow_3[Amount],Cash_Flow_3[Bulan],H1122,Cash_Flow_3[Type],"Out")</f>
        <v>0</v>
      </c>
      <c r="K1122" s="29">
        <f>SUMIFS(Cash_Flow_3[Amount],Cash_Flow_3[Bulan],H1122,Cash_Flow_3[Type],"Out",Cash_Flow_3[Category],"Fix")</f>
        <v>0</v>
      </c>
      <c r="L1122" s="29">
        <f>SUMIFS(Cash_Flow_3[Amount],Cash_Flow_3[Bulan],H1122,Cash_Flow_3[Type],"Out",Cash_Flow_3[Category],"Bathroom")</f>
        <v>0</v>
      </c>
      <c r="M1122" s="29">
        <f>SUMIFS(Cash_Flow_3[Amount],Cash_Flow_3[Bulan],H1122,Cash_Flow_3[Type],"Out",Cash_Flow_3[Category],"Alfa")</f>
        <v>0</v>
      </c>
      <c r="N1122" s="29">
        <f>SUMIFS(Cash_Flow_3[Amount],Cash_Flow_3[Bulan],H1122,Cash_Flow_3[Type],"Out",Cash_Flow_3[Category],"Jajan")</f>
        <v>0</v>
      </c>
      <c r="O1122" s="29">
        <f>SUMIFS(Cash_Flow_3[Amount],Cash_Flow_3[Bulan],H1122,Cash_Flow_3[Type],"Out",Cash_Flow_3[Category],"Kitchen")</f>
        <v>0</v>
      </c>
      <c r="P1122" s="29">
        <f>SUMIFS(Cash_Flow_3[Amount],Cash_Flow_3[Bulan],H1122,Cash_Flow_3[Type],"Out",Cash_Flow_3[Category],"Loandry")</f>
        <v>0</v>
      </c>
      <c r="Q1122" s="29">
        <f>SUMIFS(Cash_Flow_3[Amount],Cash_Flow_3[Bulan],H1122,Cash_Flow_3[Type],"Out",Cash_Flow_3[Category],"Mio")</f>
        <v>0</v>
      </c>
      <c r="R1122" s="29">
        <f>SUMIFS(Cash_Flow_3[Amount],Cash_Flow_3[Bulan],H1122,Cash_Flow_3[Type],"Out",Cash_Flow_3[Category],"Sedekah")</f>
        <v>0</v>
      </c>
      <c r="S1122" s="29">
        <f>SUMIFS(Cash_Flow_3[Amount],Cash_Flow_3[Bulan],H1122,Cash_Flow_3[Type],"Out",Cash_Flow_3[Category],"Zela")</f>
        <v>0</v>
      </c>
      <c r="T1122" s="29">
        <f>SUMIFS(Cash_Flow_3[Amount],Cash_Flow_3[Bulan],H1122,Cash_Flow_3[Type],"Out",Cash_Flow_3[Category],"Iqbal")</f>
        <v>0</v>
      </c>
    </row>
    <row r="1123" spans="1:20" ht="22.5" customHeight="1" x14ac:dyDescent="0.2">
      <c r="A1123" s="23"/>
      <c r="B1123" s="24"/>
      <c r="C1123" s="25"/>
      <c r="D1123" s="25"/>
      <c r="E1123" s="25"/>
      <c r="F1123" s="26"/>
      <c r="G1123" s="27"/>
      <c r="H1123" s="28" t="str">
        <f t="shared" si="0"/>
        <v/>
      </c>
      <c r="I1123" s="29">
        <f>SUMIFS(Cash_Flow_3[Amount],Cash_Flow_3[Bulan],H1123,Cash_Flow_3[Type],"In")</f>
        <v>0</v>
      </c>
      <c r="J1123" s="29">
        <f>SUMIFS(Cash_Flow_3[Amount],Cash_Flow_3[Bulan],H1123,Cash_Flow_3[Type],"Out")</f>
        <v>0</v>
      </c>
      <c r="K1123" s="29">
        <f>SUMIFS(Cash_Flow_3[Amount],Cash_Flow_3[Bulan],H1123,Cash_Flow_3[Type],"Out",Cash_Flow_3[Category],"Fix")</f>
        <v>0</v>
      </c>
      <c r="L1123" s="29">
        <f>SUMIFS(Cash_Flow_3[Amount],Cash_Flow_3[Bulan],H1123,Cash_Flow_3[Type],"Out",Cash_Flow_3[Category],"Bathroom")</f>
        <v>0</v>
      </c>
      <c r="M1123" s="29">
        <f>SUMIFS(Cash_Flow_3[Amount],Cash_Flow_3[Bulan],H1123,Cash_Flow_3[Type],"Out",Cash_Flow_3[Category],"Alfa")</f>
        <v>0</v>
      </c>
      <c r="N1123" s="29">
        <f>SUMIFS(Cash_Flow_3[Amount],Cash_Flow_3[Bulan],H1123,Cash_Flow_3[Type],"Out",Cash_Flow_3[Category],"Jajan")</f>
        <v>0</v>
      </c>
      <c r="O1123" s="29">
        <f>SUMIFS(Cash_Flow_3[Amount],Cash_Flow_3[Bulan],H1123,Cash_Flow_3[Type],"Out",Cash_Flow_3[Category],"Kitchen")</f>
        <v>0</v>
      </c>
      <c r="P1123" s="29">
        <f>SUMIFS(Cash_Flow_3[Amount],Cash_Flow_3[Bulan],H1123,Cash_Flow_3[Type],"Out",Cash_Flow_3[Category],"Loandry")</f>
        <v>0</v>
      </c>
      <c r="Q1123" s="29">
        <f>SUMIFS(Cash_Flow_3[Amount],Cash_Flow_3[Bulan],H1123,Cash_Flow_3[Type],"Out",Cash_Flow_3[Category],"Mio")</f>
        <v>0</v>
      </c>
      <c r="R1123" s="29">
        <f>SUMIFS(Cash_Flow_3[Amount],Cash_Flow_3[Bulan],H1123,Cash_Flow_3[Type],"Out",Cash_Flow_3[Category],"Sedekah")</f>
        <v>0</v>
      </c>
      <c r="S1123" s="29">
        <f>SUMIFS(Cash_Flow_3[Amount],Cash_Flow_3[Bulan],H1123,Cash_Flow_3[Type],"Out",Cash_Flow_3[Category],"Zela")</f>
        <v>0</v>
      </c>
      <c r="T1123" s="29">
        <f>SUMIFS(Cash_Flow_3[Amount],Cash_Flow_3[Bulan],H1123,Cash_Flow_3[Type],"Out",Cash_Flow_3[Category],"Iqbal")</f>
        <v>0</v>
      </c>
    </row>
    <row r="1124" spans="1:20" ht="22.5" customHeight="1" x14ac:dyDescent="0.2">
      <c r="A1124" s="23"/>
      <c r="B1124" s="24"/>
      <c r="C1124" s="25"/>
      <c r="D1124" s="25"/>
      <c r="E1124" s="25"/>
      <c r="F1124" s="26"/>
      <c r="G1124" s="27"/>
      <c r="H1124" s="28" t="str">
        <f t="shared" si="0"/>
        <v/>
      </c>
      <c r="I1124" s="29">
        <f>SUMIFS(Cash_Flow_3[Amount],Cash_Flow_3[Bulan],H1124,Cash_Flow_3[Type],"In")</f>
        <v>0</v>
      </c>
      <c r="J1124" s="29">
        <f>SUMIFS(Cash_Flow_3[Amount],Cash_Flow_3[Bulan],H1124,Cash_Flow_3[Type],"Out")</f>
        <v>0</v>
      </c>
      <c r="K1124" s="29">
        <f>SUMIFS(Cash_Flow_3[Amount],Cash_Flow_3[Bulan],H1124,Cash_Flow_3[Type],"Out",Cash_Flow_3[Category],"Fix")</f>
        <v>0</v>
      </c>
      <c r="L1124" s="29">
        <f>SUMIFS(Cash_Flow_3[Amount],Cash_Flow_3[Bulan],H1124,Cash_Flow_3[Type],"Out",Cash_Flow_3[Category],"Bathroom")</f>
        <v>0</v>
      </c>
      <c r="M1124" s="29">
        <f>SUMIFS(Cash_Flow_3[Amount],Cash_Flow_3[Bulan],H1124,Cash_Flow_3[Type],"Out",Cash_Flow_3[Category],"Alfa")</f>
        <v>0</v>
      </c>
      <c r="N1124" s="29">
        <f>SUMIFS(Cash_Flow_3[Amount],Cash_Flow_3[Bulan],H1124,Cash_Flow_3[Type],"Out",Cash_Flow_3[Category],"Jajan")</f>
        <v>0</v>
      </c>
      <c r="O1124" s="29">
        <f>SUMIFS(Cash_Flow_3[Amount],Cash_Flow_3[Bulan],H1124,Cash_Flow_3[Type],"Out",Cash_Flow_3[Category],"Kitchen")</f>
        <v>0</v>
      </c>
      <c r="P1124" s="29">
        <f>SUMIFS(Cash_Flow_3[Amount],Cash_Flow_3[Bulan],H1124,Cash_Flow_3[Type],"Out",Cash_Flow_3[Category],"Loandry")</f>
        <v>0</v>
      </c>
      <c r="Q1124" s="29">
        <f>SUMIFS(Cash_Flow_3[Amount],Cash_Flow_3[Bulan],H1124,Cash_Flow_3[Type],"Out",Cash_Flow_3[Category],"Mio")</f>
        <v>0</v>
      </c>
      <c r="R1124" s="29">
        <f>SUMIFS(Cash_Flow_3[Amount],Cash_Flow_3[Bulan],H1124,Cash_Flow_3[Type],"Out",Cash_Flow_3[Category],"Sedekah")</f>
        <v>0</v>
      </c>
      <c r="S1124" s="29">
        <f>SUMIFS(Cash_Flow_3[Amount],Cash_Flow_3[Bulan],H1124,Cash_Flow_3[Type],"Out",Cash_Flow_3[Category],"Zela")</f>
        <v>0</v>
      </c>
      <c r="T1124" s="29">
        <f>SUMIFS(Cash_Flow_3[Amount],Cash_Flow_3[Bulan],H1124,Cash_Flow_3[Type],"Out",Cash_Flow_3[Category],"Iqbal")</f>
        <v>0</v>
      </c>
    </row>
    <row r="1125" spans="1:20" ht="22.5" customHeight="1" x14ac:dyDescent="0.2">
      <c r="A1125" s="23"/>
      <c r="B1125" s="24"/>
      <c r="C1125" s="25"/>
      <c r="D1125" s="25"/>
      <c r="E1125" s="25"/>
      <c r="F1125" s="26"/>
      <c r="G1125" s="27"/>
      <c r="H1125" s="28" t="str">
        <f t="shared" si="0"/>
        <v/>
      </c>
      <c r="I1125" s="29">
        <f>SUMIFS(Cash_Flow_3[Amount],Cash_Flow_3[Bulan],H1125,Cash_Flow_3[Type],"In")</f>
        <v>0</v>
      </c>
      <c r="J1125" s="29">
        <f>SUMIFS(Cash_Flow_3[Amount],Cash_Flow_3[Bulan],H1125,Cash_Flow_3[Type],"Out")</f>
        <v>0</v>
      </c>
      <c r="K1125" s="29">
        <f>SUMIFS(Cash_Flow_3[Amount],Cash_Flow_3[Bulan],H1125,Cash_Flow_3[Type],"Out",Cash_Flow_3[Category],"Fix")</f>
        <v>0</v>
      </c>
      <c r="L1125" s="29">
        <f>SUMIFS(Cash_Flow_3[Amount],Cash_Flow_3[Bulan],H1125,Cash_Flow_3[Type],"Out",Cash_Flow_3[Category],"Bathroom")</f>
        <v>0</v>
      </c>
      <c r="M1125" s="29">
        <f>SUMIFS(Cash_Flow_3[Amount],Cash_Flow_3[Bulan],H1125,Cash_Flow_3[Type],"Out",Cash_Flow_3[Category],"Alfa")</f>
        <v>0</v>
      </c>
      <c r="N1125" s="29">
        <f>SUMIFS(Cash_Flow_3[Amount],Cash_Flow_3[Bulan],H1125,Cash_Flow_3[Type],"Out",Cash_Flow_3[Category],"Jajan")</f>
        <v>0</v>
      </c>
      <c r="O1125" s="29">
        <f>SUMIFS(Cash_Flow_3[Amount],Cash_Flow_3[Bulan],H1125,Cash_Flow_3[Type],"Out",Cash_Flow_3[Category],"Kitchen")</f>
        <v>0</v>
      </c>
      <c r="P1125" s="29">
        <f>SUMIFS(Cash_Flow_3[Amount],Cash_Flow_3[Bulan],H1125,Cash_Flow_3[Type],"Out",Cash_Flow_3[Category],"Loandry")</f>
        <v>0</v>
      </c>
      <c r="Q1125" s="29">
        <f>SUMIFS(Cash_Flow_3[Amount],Cash_Flow_3[Bulan],H1125,Cash_Flow_3[Type],"Out",Cash_Flow_3[Category],"Mio")</f>
        <v>0</v>
      </c>
      <c r="R1125" s="29">
        <f>SUMIFS(Cash_Flow_3[Amount],Cash_Flow_3[Bulan],H1125,Cash_Flow_3[Type],"Out",Cash_Flow_3[Category],"Sedekah")</f>
        <v>0</v>
      </c>
      <c r="S1125" s="29">
        <f>SUMIFS(Cash_Flow_3[Amount],Cash_Flow_3[Bulan],H1125,Cash_Flow_3[Type],"Out",Cash_Flow_3[Category],"Zela")</f>
        <v>0</v>
      </c>
      <c r="T1125" s="29">
        <f>SUMIFS(Cash_Flow_3[Amount],Cash_Flow_3[Bulan],H1125,Cash_Flow_3[Type],"Out",Cash_Flow_3[Category],"Iqbal")</f>
        <v>0</v>
      </c>
    </row>
    <row r="1126" spans="1:20" ht="22.5" customHeight="1" x14ac:dyDescent="0.2">
      <c r="A1126" s="23"/>
      <c r="B1126" s="24"/>
      <c r="C1126" s="25"/>
      <c r="D1126" s="25"/>
      <c r="E1126" s="25"/>
      <c r="F1126" s="26"/>
      <c r="G1126" s="27"/>
      <c r="H1126" s="28" t="str">
        <f t="shared" si="0"/>
        <v/>
      </c>
      <c r="I1126" s="29">
        <f>SUMIFS(Cash_Flow_3[Amount],Cash_Flow_3[Bulan],H1126,Cash_Flow_3[Type],"In")</f>
        <v>0</v>
      </c>
      <c r="J1126" s="29">
        <f>SUMIFS(Cash_Flow_3[Amount],Cash_Flow_3[Bulan],H1126,Cash_Flow_3[Type],"Out")</f>
        <v>0</v>
      </c>
      <c r="K1126" s="29">
        <f>SUMIFS(Cash_Flow_3[Amount],Cash_Flow_3[Bulan],H1126,Cash_Flow_3[Type],"Out",Cash_Flow_3[Category],"Fix")</f>
        <v>0</v>
      </c>
      <c r="L1126" s="29">
        <f>SUMIFS(Cash_Flow_3[Amount],Cash_Flow_3[Bulan],H1126,Cash_Flow_3[Type],"Out",Cash_Flow_3[Category],"Bathroom")</f>
        <v>0</v>
      </c>
      <c r="M1126" s="29">
        <f>SUMIFS(Cash_Flow_3[Amount],Cash_Flow_3[Bulan],H1126,Cash_Flow_3[Type],"Out",Cash_Flow_3[Category],"Alfa")</f>
        <v>0</v>
      </c>
      <c r="N1126" s="29">
        <f>SUMIFS(Cash_Flow_3[Amount],Cash_Flow_3[Bulan],H1126,Cash_Flow_3[Type],"Out",Cash_Flow_3[Category],"Jajan")</f>
        <v>0</v>
      </c>
      <c r="O1126" s="29">
        <f>SUMIFS(Cash_Flow_3[Amount],Cash_Flow_3[Bulan],H1126,Cash_Flow_3[Type],"Out",Cash_Flow_3[Category],"Kitchen")</f>
        <v>0</v>
      </c>
      <c r="P1126" s="29">
        <f>SUMIFS(Cash_Flow_3[Amount],Cash_Flow_3[Bulan],H1126,Cash_Flow_3[Type],"Out",Cash_Flow_3[Category],"Loandry")</f>
        <v>0</v>
      </c>
      <c r="Q1126" s="29">
        <f>SUMIFS(Cash_Flow_3[Amount],Cash_Flow_3[Bulan],H1126,Cash_Flow_3[Type],"Out",Cash_Flow_3[Category],"Mio")</f>
        <v>0</v>
      </c>
      <c r="R1126" s="29">
        <f>SUMIFS(Cash_Flow_3[Amount],Cash_Flow_3[Bulan],H1126,Cash_Flow_3[Type],"Out",Cash_Flow_3[Category],"Sedekah")</f>
        <v>0</v>
      </c>
      <c r="S1126" s="29">
        <f>SUMIFS(Cash_Flow_3[Amount],Cash_Flow_3[Bulan],H1126,Cash_Flow_3[Type],"Out",Cash_Flow_3[Category],"Zela")</f>
        <v>0</v>
      </c>
      <c r="T1126" s="29">
        <f>SUMIFS(Cash_Flow_3[Amount],Cash_Flow_3[Bulan],H1126,Cash_Flow_3[Type],"Out",Cash_Flow_3[Category],"Iqbal")</f>
        <v>0</v>
      </c>
    </row>
    <row r="1127" spans="1:20" ht="22.5" customHeight="1" x14ac:dyDescent="0.2">
      <c r="A1127" s="23"/>
      <c r="B1127" s="24"/>
      <c r="C1127" s="25"/>
      <c r="D1127" s="25"/>
      <c r="E1127" s="25"/>
      <c r="F1127" s="26"/>
      <c r="G1127" s="27"/>
      <c r="H1127" s="28" t="str">
        <f t="shared" si="0"/>
        <v/>
      </c>
      <c r="I1127" s="29">
        <f>SUMIFS(Cash_Flow_3[Amount],Cash_Flow_3[Bulan],H1127,Cash_Flow_3[Type],"In")</f>
        <v>0</v>
      </c>
      <c r="J1127" s="29">
        <f>SUMIFS(Cash_Flow_3[Amount],Cash_Flow_3[Bulan],H1127,Cash_Flow_3[Type],"Out")</f>
        <v>0</v>
      </c>
      <c r="K1127" s="29">
        <f>SUMIFS(Cash_Flow_3[Amount],Cash_Flow_3[Bulan],H1127,Cash_Flow_3[Type],"Out",Cash_Flow_3[Category],"Fix")</f>
        <v>0</v>
      </c>
      <c r="L1127" s="29">
        <f>SUMIFS(Cash_Flow_3[Amount],Cash_Flow_3[Bulan],H1127,Cash_Flow_3[Type],"Out",Cash_Flow_3[Category],"Bathroom")</f>
        <v>0</v>
      </c>
      <c r="M1127" s="29">
        <f>SUMIFS(Cash_Flow_3[Amount],Cash_Flow_3[Bulan],H1127,Cash_Flow_3[Type],"Out",Cash_Flow_3[Category],"Alfa")</f>
        <v>0</v>
      </c>
      <c r="N1127" s="29">
        <f>SUMIFS(Cash_Flow_3[Amount],Cash_Flow_3[Bulan],H1127,Cash_Flow_3[Type],"Out",Cash_Flow_3[Category],"Jajan")</f>
        <v>0</v>
      </c>
      <c r="O1127" s="29">
        <f>SUMIFS(Cash_Flow_3[Amount],Cash_Flow_3[Bulan],H1127,Cash_Flow_3[Type],"Out",Cash_Flow_3[Category],"Kitchen")</f>
        <v>0</v>
      </c>
      <c r="P1127" s="29">
        <f>SUMIFS(Cash_Flow_3[Amount],Cash_Flow_3[Bulan],H1127,Cash_Flow_3[Type],"Out",Cash_Flow_3[Category],"Loandry")</f>
        <v>0</v>
      </c>
      <c r="Q1127" s="29">
        <f>SUMIFS(Cash_Flow_3[Amount],Cash_Flow_3[Bulan],H1127,Cash_Flow_3[Type],"Out",Cash_Flow_3[Category],"Mio")</f>
        <v>0</v>
      </c>
      <c r="R1127" s="29">
        <f>SUMIFS(Cash_Flow_3[Amount],Cash_Flow_3[Bulan],H1127,Cash_Flow_3[Type],"Out",Cash_Flow_3[Category],"Sedekah")</f>
        <v>0</v>
      </c>
      <c r="S1127" s="29">
        <f>SUMIFS(Cash_Flow_3[Amount],Cash_Flow_3[Bulan],H1127,Cash_Flow_3[Type],"Out",Cash_Flow_3[Category],"Zela")</f>
        <v>0</v>
      </c>
      <c r="T1127" s="29">
        <f>SUMIFS(Cash_Flow_3[Amount],Cash_Flow_3[Bulan],H1127,Cash_Flow_3[Type],"Out",Cash_Flow_3[Category],"Iqbal")</f>
        <v>0</v>
      </c>
    </row>
    <row r="1128" spans="1:20" ht="22.5" customHeight="1" x14ac:dyDescent="0.2">
      <c r="A1128" s="23"/>
      <c r="B1128" s="24"/>
      <c r="C1128" s="25"/>
      <c r="D1128" s="25"/>
      <c r="E1128" s="25"/>
      <c r="F1128" s="26"/>
      <c r="G1128" s="27"/>
      <c r="H1128" s="28" t="str">
        <f t="shared" si="0"/>
        <v/>
      </c>
      <c r="I1128" s="29">
        <f>SUMIFS(Cash_Flow_3[Amount],Cash_Flow_3[Bulan],H1128,Cash_Flow_3[Type],"In")</f>
        <v>0</v>
      </c>
      <c r="J1128" s="29">
        <f>SUMIFS(Cash_Flow_3[Amount],Cash_Flow_3[Bulan],H1128,Cash_Flow_3[Type],"Out")</f>
        <v>0</v>
      </c>
      <c r="K1128" s="29">
        <f>SUMIFS(Cash_Flow_3[Amount],Cash_Flow_3[Bulan],H1128,Cash_Flow_3[Type],"Out",Cash_Flow_3[Category],"Fix")</f>
        <v>0</v>
      </c>
      <c r="L1128" s="29">
        <f>SUMIFS(Cash_Flow_3[Amount],Cash_Flow_3[Bulan],H1128,Cash_Flow_3[Type],"Out",Cash_Flow_3[Category],"Bathroom")</f>
        <v>0</v>
      </c>
      <c r="M1128" s="29">
        <f>SUMIFS(Cash_Flow_3[Amount],Cash_Flow_3[Bulan],H1128,Cash_Flow_3[Type],"Out",Cash_Flow_3[Category],"Alfa")</f>
        <v>0</v>
      </c>
      <c r="N1128" s="29">
        <f>SUMIFS(Cash_Flow_3[Amount],Cash_Flow_3[Bulan],H1128,Cash_Flow_3[Type],"Out",Cash_Flow_3[Category],"Jajan")</f>
        <v>0</v>
      </c>
      <c r="O1128" s="29">
        <f>SUMIFS(Cash_Flow_3[Amount],Cash_Flow_3[Bulan],H1128,Cash_Flow_3[Type],"Out",Cash_Flow_3[Category],"Kitchen")</f>
        <v>0</v>
      </c>
      <c r="P1128" s="29">
        <f>SUMIFS(Cash_Flow_3[Amount],Cash_Flow_3[Bulan],H1128,Cash_Flow_3[Type],"Out",Cash_Flow_3[Category],"Loandry")</f>
        <v>0</v>
      </c>
      <c r="Q1128" s="29">
        <f>SUMIFS(Cash_Flow_3[Amount],Cash_Flow_3[Bulan],H1128,Cash_Flow_3[Type],"Out",Cash_Flow_3[Category],"Mio")</f>
        <v>0</v>
      </c>
      <c r="R1128" s="29">
        <f>SUMIFS(Cash_Flow_3[Amount],Cash_Flow_3[Bulan],H1128,Cash_Flow_3[Type],"Out",Cash_Flow_3[Category],"Sedekah")</f>
        <v>0</v>
      </c>
      <c r="S1128" s="29">
        <f>SUMIFS(Cash_Flow_3[Amount],Cash_Flow_3[Bulan],H1128,Cash_Flow_3[Type],"Out",Cash_Flow_3[Category],"Zela")</f>
        <v>0</v>
      </c>
      <c r="T1128" s="29">
        <f>SUMIFS(Cash_Flow_3[Amount],Cash_Flow_3[Bulan],H1128,Cash_Flow_3[Type],"Out",Cash_Flow_3[Category],"Iqbal")</f>
        <v>0</v>
      </c>
    </row>
    <row r="1129" spans="1:20" ht="22.5" customHeight="1" x14ac:dyDescent="0.2">
      <c r="A1129" s="23"/>
      <c r="B1129" s="24"/>
      <c r="C1129" s="25"/>
      <c r="D1129" s="25"/>
      <c r="E1129" s="25"/>
      <c r="F1129" s="26"/>
      <c r="G1129" s="27"/>
      <c r="H1129" s="28" t="str">
        <f t="shared" si="0"/>
        <v/>
      </c>
      <c r="I1129" s="29">
        <f>SUMIFS(Cash_Flow_3[Amount],Cash_Flow_3[Bulan],H1129,Cash_Flow_3[Type],"In")</f>
        <v>0</v>
      </c>
      <c r="J1129" s="29">
        <f>SUMIFS(Cash_Flow_3[Amount],Cash_Flow_3[Bulan],H1129,Cash_Flow_3[Type],"Out")</f>
        <v>0</v>
      </c>
      <c r="K1129" s="29">
        <f>SUMIFS(Cash_Flow_3[Amount],Cash_Flow_3[Bulan],H1129,Cash_Flow_3[Type],"Out",Cash_Flow_3[Category],"Fix")</f>
        <v>0</v>
      </c>
      <c r="L1129" s="29">
        <f>SUMIFS(Cash_Flow_3[Amount],Cash_Flow_3[Bulan],H1129,Cash_Flow_3[Type],"Out",Cash_Flow_3[Category],"Bathroom")</f>
        <v>0</v>
      </c>
      <c r="M1129" s="29">
        <f>SUMIFS(Cash_Flow_3[Amount],Cash_Flow_3[Bulan],H1129,Cash_Flow_3[Type],"Out",Cash_Flow_3[Category],"Alfa")</f>
        <v>0</v>
      </c>
      <c r="N1129" s="29">
        <f>SUMIFS(Cash_Flow_3[Amount],Cash_Flow_3[Bulan],H1129,Cash_Flow_3[Type],"Out",Cash_Flow_3[Category],"Jajan")</f>
        <v>0</v>
      </c>
      <c r="O1129" s="29">
        <f>SUMIFS(Cash_Flow_3[Amount],Cash_Flow_3[Bulan],H1129,Cash_Flow_3[Type],"Out",Cash_Flow_3[Category],"Kitchen")</f>
        <v>0</v>
      </c>
      <c r="P1129" s="29">
        <f>SUMIFS(Cash_Flow_3[Amount],Cash_Flow_3[Bulan],H1129,Cash_Flow_3[Type],"Out",Cash_Flow_3[Category],"Loandry")</f>
        <v>0</v>
      </c>
      <c r="Q1129" s="29">
        <f>SUMIFS(Cash_Flow_3[Amount],Cash_Flow_3[Bulan],H1129,Cash_Flow_3[Type],"Out",Cash_Flow_3[Category],"Mio")</f>
        <v>0</v>
      </c>
      <c r="R1129" s="29">
        <f>SUMIFS(Cash_Flow_3[Amount],Cash_Flow_3[Bulan],H1129,Cash_Flow_3[Type],"Out",Cash_Flow_3[Category],"Sedekah")</f>
        <v>0</v>
      </c>
      <c r="S1129" s="29">
        <f>SUMIFS(Cash_Flow_3[Amount],Cash_Flow_3[Bulan],H1129,Cash_Flow_3[Type],"Out",Cash_Flow_3[Category],"Zela")</f>
        <v>0</v>
      </c>
      <c r="T1129" s="29">
        <f>SUMIFS(Cash_Flow_3[Amount],Cash_Flow_3[Bulan],H1129,Cash_Flow_3[Type],"Out",Cash_Flow_3[Category],"Iqbal")</f>
        <v>0</v>
      </c>
    </row>
    <row r="1130" spans="1:20" ht="22.5" customHeight="1" x14ac:dyDescent="0.2">
      <c r="A1130" s="23"/>
      <c r="B1130" s="24"/>
      <c r="C1130" s="25"/>
      <c r="D1130" s="25"/>
      <c r="E1130" s="25"/>
      <c r="F1130" s="26"/>
      <c r="G1130" s="27"/>
      <c r="H1130" s="28" t="str">
        <f t="shared" si="0"/>
        <v/>
      </c>
      <c r="I1130" s="29">
        <f>SUMIFS(Cash_Flow_3[Amount],Cash_Flow_3[Bulan],H1130,Cash_Flow_3[Type],"In")</f>
        <v>0</v>
      </c>
      <c r="J1130" s="29">
        <f>SUMIFS(Cash_Flow_3[Amount],Cash_Flow_3[Bulan],H1130,Cash_Flow_3[Type],"Out")</f>
        <v>0</v>
      </c>
      <c r="K1130" s="29">
        <f>SUMIFS(Cash_Flow_3[Amount],Cash_Flow_3[Bulan],H1130,Cash_Flow_3[Type],"Out",Cash_Flow_3[Category],"Fix")</f>
        <v>0</v>
      </c>
      <c r="L1130" s="29">
        <f>SUMIFS(Cash_Flow_3[Amount],Cash_Flow_3[Bulan],H1130,Cash_Flow_3[Type],"Out",Cash_Flow_3[Category],"Bathroom")</f>
        <v>0</v>
      </c>
      <c r="M1130" s="29">
        <f>SUMIFS(Cash_Flow_3[Amount],Cash_Flow_3[Bulan],H1130,Cash_Flow_3[Type],"Out",Cash_Flow_3[Category],"Alfa")</f>
        <v>0</v>
      </c>
      <c r="N1130" s="29">
        <f>SUMIFS(Cash_Flow_3[Amount],Cash_Flow_3[Bulan],H1130,Cash_Flow_3[Type],"Out",Cash_Flow_3[Category],"Jajan")</f>
        <v>0</v>
      </c>
      <c r="O1130" s="29">
        <f>SUMIFS(Cash_Flow_3[Amount],Cash_Flow_3[Bulan],H1130,Cash_Flow_3[Type],"Out",Cash_Flow_3[Category],"Kitchen")</f>
        <v>0</v>
      </c>
      <c r="P1130" s="29">
        <f>SUMIFS(Cash_Flow_3[Amount],Cash_Flow_3[Bulan],H1130,Cash_Flow_3[Type],"Out",Cash_Flow_3[Category],"Loandry")</f>
        <v>0</v>
      </c>
      <c r="Q1130" s="29">
        <f>SUMIFS(Cash_Flow_3[Amount],Cash_Flow_3[Bulan],H1130,Cash_Flow_3[Type],"Out",Cash_Flow_3[Category],"Mio")</f>
        <v>0</v>
      </c>
      <c r="R1130" s="29">
        <f>SUMIFS(Cash_Flow_3[Amount],Cash_Flow_3[Bulan],H1130,Cash_Flow_3[Type],"Out",Cash_Flow_3[Category],"Sedekah")</f>
        <v>0</v>
      </c>
      <c r="S1130" s="29">
        <f>SUMIFS(Cash_Flow_3[Amount],Cash_Flow_3[Bulan],H1130,Cash_Flow_3[Type],"Out",Cash_Flow_3[Category],"Zela")</f>
        <v>0</v>
      </c>
      <c r="T1130" s="29">
        <f>SUMIFS(Cash_Flow_3[Amount],Cash_Flow_3[Bulan],H1130,Cash_Flow_3[Type],"Out",Cash_Flow_3[Category],"Iqbal")</f>
        <v>0</v>
      </c>
    </row>
    <row r="1131" spans="1:20" ht="22.5" customHeight="1" x14ac:dyDescent="0.2">
      <c r="A1131" s="23"/>
      <c r="B1131" s="24"/>
      <c r="C1131" s="25"/>
      <c r="D1131" s="25"/>
      <c r="E1131" s="25"/>
      <c r="F1131" s="26"/>
      <c r="G1131" s="27"/>
      <c r="H1131" s="28" t="str">
        <f t="shared" si="0"/>
        <v/>
      </c>
      <c r="I1131" s="29">
        <f>SUMIFS(Cash_Flow_3[Amount],Cash_Flow_3[Bulan],H1131,Cash_Flow_3[Type],"In")</f>
        <v>0</v>
      </c>
      <c r="J1131" s="29">
        <f>SUMIFS(Cash_Flow_3[Amount],Cash_Flow_3[Bulan],H1131,Cash_Flow_3[Type],"Out")</f>
        <v>0</v>
      </c>
      <c r="K1131" s="29">
        <f>SUMIFS(Cash_Flow_3[Amount],Cash_Flow_3[Bulan],H1131,Cash_Flow_3[Type],"Out",Cash_Flow_3[Category],"Fix")</f>
        <v>0</v>
      </c>
      <c r="L1131" s="29">
        <f>SUMIFS(Cash_Flow_3[Amount],Cash_Flow_3[Bulan],H1131,Cash_Flow_3[Type],"Out",Cash_Flow_3[Category],"Bathroom")</f>
        <v>0</v>
      </c>
      <c r="M1131" s="29">
        <f>SUMIFS(Cash_Flow_3[Amount],Cash_Flow_3[Bulan],H1131,Cash_Flow_3[Type],"Out",Cash_Flow_3[Category],"Alfa")</f>
        <v>0</v>
      </c>
      <c r="N1131" s="29">
        <f>SUMIFS(Cash_Flow_3[Amount],Cash_Flow_3[Bulan],H1131,Cash_Flow_3[Type],"Out",Cash_Flow_3[Category],"Jajan")</f>
        <v>0</v>
      </c>
      <c r="O1131" s="29">
        <f>SUMIFS(Cash_Flow_3[Amount],Cash_Flow_3[Bulan],H1131,Cash_Flow_3[Type],"Out",Cash_Flow_3[Category],"Kitchen")</f>
        <v>0</v>
      </c>
      <c r="P1131" s="29">
        <f>SUMIFS(Cash_Flow_3[Amount],Cash_Flow_3[Bulan],H1131,Cash_Flow_3[Type],"Out",Cash_Flow_3[Category],"Loandry")</f>
        <v>0</v>
      </c>
      <c r="Q1131" s="29">
        <f>SUMIFS(Cash_Flow_3[Amount],Cash_Flow_3[Bulan],H1131,Cash_Flow_3[Type],"Out",Cash_Flow_3[Category],"Mio")</f>
        <v>0</v>
      </c>
      <c r="R1131" s="29">
        <f>SUMIFS(Cash_Flow_3[Amount],Cash_Flow_3[Bulan],H1131,Cash_Flow_3[Type],"Out",Cash_Flow_3[Category],"Sedekah")</f>
        <v>0</v>
      </c>
      <c r="S1131" s="29">
        <f>SUMIFS(Cash_Flow_3[Amount],Cash_Flow_3[Bulan],H1131,Cash_Flow_3[Type],"Out",Cash_Flow_3[Category],"Zela")</f>
        <v>0</v>
      </c>
      <c r="T1131" s="29">
        <f>SUMIFS(Cash_Flow_3[Amount],Cash_Flow_3[Bulan],H1131,Cash_Flow_3[Type],"Out",Cash_Flow_3[Category],"Iqbal")</f>
        <v>0</v>
      </c>
    </row>
    <row r="1132" spans="1:20" ht="22.5" customHeight="1" x14ac:dyDescent="0.2">
      <c r="A1132" s="23"/>
      <c r="B1132" s="24"/>
      <c r="C1132" s="25"/>
      <c r="D1132" s="25"/>
      <c r="E1132" s="25"/>
      <c r="F1132" s="26"/>
      <c r="G1132" s="27"/>
      <c r="H1132" s="28" t="str">
        <f t="shared" si="0"/>
        <v/>
      </c>
      <c r="I1132" s="29">
        <f>SUMIFS(Cash_Flow_3[Amount],Cash_Flow_3[Bulan],H1132,Cash_Flow_3[Type],"In")</f>
        <v>0</v>
      </c>
      <c r="J1132" s="29">
        <f>SUMIFS(Cash_Flow_3[Amount],Cash_Flow_3[Bulan],H1132,Cash_Flow_3[Type],"Out")</f>
        <v>0</v>
      </c>
      <c r="K1132" s="29">
        <f>SUMIFS(Cash_Flow_3[Amount],Cash_Flow_3[Bulan],H1132,Cash_Flow_3[Type],"Out",Cash_Flow_3[Category],"Fix")</f>
        <v>0</v>
      </c>
      <c r="L1132" s="29">
        <f>SUMIFS(Cash_Flow_3[Amount],Cash_Flow_3[Bulan],H1132,Cash_Flow_3[Type],"Out",Cash_Flow_3[Category],"Bathroom")</f>
        <v>0</v>
      </c>
      <c r="M1132" s="29">
        <f>SUMIFS(Cash_Flow_3[Amount],Cash_Flow_3[Bulan],H1132,Cash_Flow_3[Type],"Out",Cash_Flow_3[Category],"Alfa")</f>
        <v>0</v>
      </c>
      <c r="N1132" s="29">
        <f>SUMIFS(Cash_Flow_3[Amount],Cash_Flow_3[Bulan],H1132,Cash_Flow_3[Type],"Out",Cash_Flow_3[Category],"Jajan")</f>
        <v>0</v>
      </c>
      <c r="O1132" s="29">
        <f>SUMIFS(Cash_Flow_3[Amount],Cash_Flow_3[Bulan],H1132,Cash_Flow_3[Type],"Out",Cash_Flow_3[Category],"Kitchen")</f>
        <v>0</v>
      </c>
      <c r="P1132" s="29">
        <f>SUMIFS(Cash_Flow_3[Amount],Cash_Flow_3[Bulan],H1132,Cash_Flow_3[Type],"Out",Cash_Flow_3[Category],"Loandry")</f>
        <v>0</v>
      </c>
      <c r="Q1132" s="29">
        <f>SUMIFS(Cash_Flow_3[Amount],Cash_Flow_3[Bulan],H1132,Cash_Flow_3[Type],"Out",Cash_Flow_3[Category],"Mio")</f>
        <v>0</v>
      </c>
      <c r="R1132" s="29">
        <f>SUMIFS(Cash_Flow_3[Amount],Cash_Flow_3[Bulan],H1132,Cash_Flow_3[Type],"Out",Cash_Flow_3[Category],"Sedekah")</f>
        <v>0</v>
      </c>
      <c r="S1132" s="29">
        <f>SUMIFS(Cash_Flow_3[Amount],Cash_Flow_3[Bulan],H1132,Cash_Flow_3[Type],"Out",Cash_Flow_3[Category],"Zela")</f>
        <v>0</v>
      </c>
      <c r="T1132" s="29">
        <f>SUMIFS(Cash_Flow_3[Amount],Cash_Flow_3[Bulan],H1132,Cash_Flow_3[Type],"Out",Cash_Flow_3[Category],"Iqbal")</f>
        <v>0</v>
      </c>
    </row>
    <row r="1133" spans="1:20" ht="22.5" customHeight="1" x14ac:dyDescent="0.2">
      <c r="A1133" s="23"/>
      <c r="B1133" s="24"/>
      <c r="C1133" s="25"/>
      <c r="D1133" s="25"/>
      <c r="E1133" s="25"/>
      <c r="F1133" s="26"/>
      <c r="G1133" s="27"/>
      <c r="H1133" s="28" t="str">
        <f t="shared" si="0"/>
        <v/>
      </c>
      <c r="I1133" s="29">
        <f>SUMIFS(Cash_Flow_3[Amount],Cash_Flow_3[Bulan],H1133,Cash_Flow_3[Type],"In")</f>
        <v>0</v>
      </c>
      <c r="J1133" s="29">
        <f>SUMIFS(Cash_Flow_3[Amount],Cash_Flow_3[Bulan],H1133,Cash_Flow_3[Type],"Out")</f>
        <v>0</v>
      </c>
      <c r="K1133" s="29">
        <f>SUMIFS(Cash_Flow_3[Amount],Cash_Flow_3[Bulan],H1133,Cash_Flow_3[Type],"Out",Cash_Flow_3[Category],"Fix")</f>
        <v>0</v>
      </c>
      <c r="L1133" s="29">
        <f>SUMIFS(Cash_Flow_3[Amount],Cash_Flow_3[Bulan],H1133,Cash_Flow_3[Type],"Out",Cash_Flow_3[Category],"Bathroom")</f>
        <v>0</v>
      </c>
      <c r="M1133" s="29">
        <f>SUMIFS(Cash_Flow_3[Amount],Cash_Flow_3[Bulan],H1133,Cash_Flow_3[Type],"Out",Cash_Flow_3[Category],"Alfa")</f>
        <v>0</v>
      </c>
      <c r="N1133" s="29">
        <f>SUMIFS(Cash_Flow_3[Amount],Cash_Flow_3[Bulan],H1133,Cash_Flow_3[Type],"Out",Cash_Flow_3[Category],"Jajan")</f>
        <v>0</v>
      </c>
      <c r="O1133" s="29">
        <f>SUMIFS(Cash_Flow_3[Amount],Cash_Flow_3[Bulan],H1133,Cash_Flow_3[Type],"Out",Cash_Flow_3[Category],"Kitchen")</f>
        <v>0</v>
      </c>
      <c r="P1133" s="29">
        <f>SUMIFS(Cash_Flow_3[Amount],Cash_Flow_3[Bulan],H1133,Cash_Flow_3[Type],"Out",Cash_Flow_3[Category],"Loandry")</f>
        <v>0</v>
      </c>
      <c r="Q1133" s="29">
        <f>SUMIFS(Cash_Flow_3[Amount],Cash_Flow_3[Bulan],H1133,Cash_Flow_3[Type],"Out",Cash_Flow_3[Category],"Mio")</f>
        <v>0</v>
      </c>
      <c r="R1133" s="29">
        <f>SUMIFS(Cash_Flow_3[Amount],Cash_Flow_3[Bulan],H1133,Cash_Flow_3[Type],"Out",Cash_Flow_3[Category],"Sedekah")</f>
        <v>0</v>
      </c>
      <c r="S1133" s="29">
        <f>SUMIFS(Cash_Flow_3[Amount],Cash_Flow_3[Bulan],H1133,Cash_Flow_3[Type],"Out",Cash_Flow_3[Category],"Zela")</f>
        <v>0</v>
      </c>
      <c r="T1133" s="29">
        <f>SUMIFS(Cash_Flow_3[Amount],Cash_Flow_3[Bulan],H1133,Cash_Flow_3[Type],"Out",Cash_Flow_3[Category],"Iqbal")</f>
        <v>0</v>
      </c>
    </row>
    <row r="1134" spans="1:20" ht="22.5" customHeight="1" x14ac:dyDescent="0.2">
      <c r="A1134" s="23"/>
      <c r="B1134" s="24"/>
      <c r="C1134" s="25"/>
      <c r="D1134" s="25"/>
      <c r="E1134" s="25"/>
      <c r="F1134" s="26"/>
      <c r="G1134" s="27"/>
      <c r="H1134" s="28" t="str">
        <f t="shared" si="0"/>
        <v/>
      </c>
      <c r="I1134" s="29">
        <f>SUMIFS(Cash_Flow_3[Amount],Cash_Flow_3[Bulan],H1134,Cash_Flow_3[Type],"In")</f>
        <v>0</v>
      </c>
      <c r="J1134" s="29">
        <f>SUMIFS(Cash_Flow_3[Amount],Cash_Flow_3[Bulan],H1134,Cash_Flow_3[Type],"Out")</f>
        <v>0</v>
      </c>
      <c r="K1134" s="29">
        <f>SUMIFS(Cash_Flow_3[Amount],Cash_Flow_3[Bulan],H1134,Cash_Flow_3[Type],"Out",Cash_Flow_3[Category],"Fix")</f>
        <v>0</v>
      </c>
      <c r="L1134" s="29">
        <f>SUMIFS(Cash_Flow_3[Amount],Cash_Flow_3[Bulan],H1134,Cash_Flow_3[Type],"Out",Cash_Flow_3[Category],"Bathroom")</f>
        <v>0</v>
      </c>
      <c r="M1134" s="29">
        <f>SUMIFS(Cash_Flow_3[Amount],Cash_Flow_3[Bulan],H1134,Cash_Flow_3[Type],"Out",Cash_Flow_3[Category],"Alfa")</f>
        <v>0</v>
      </c>
      <c r="N1134" s="29">
        <f>SUMIFS(Cash_Flow_3[Amount],Cash_Flow_3[Bulan],H1134,Cash_Flow_3[Type],"Out",Cash_Flow_3[Category],"Jajan")</f>
        <v>0</v>
      </c>
      <c r="O1134" s="29">
        <f>SUMIFS(Cash_Flow_3[Amount],Cash_Flow_3[Bulan],H1134,Cash_Flow_3[Type],"Out",Cash_Flow_3[Category],"Kitchen")</f>
        <v>0</v>
      </c>
      <c r="P1134" s="29">
        <f>SUMIFS(Cash_Flow_3[Amount],Cash_Flow_3[Bulan],H1134,Cash_Flow_3[Type],"Out",Cash_Flow_3[Category],"Loandry")</f>
        <v>0</v>
      </c>
      <c r="Q1134" s="29">
        <f>SUMIFS(Cash_Flow_3[Amount],Cash_Flow_3[Bulan],H1134,Cash_Flow_3[Type],"Out",Cash_Flow_3[Category],"Mio")</f>
        <v>0</v>
      </c>
      <c r="R1134" s="29">
        <f>SUMIFS(Cash_Flow_3[Amount],Cash_Flow_3[Bulan],H1134,Cash_Flow_3[Type],"Out",Cash_Flow_3[Category],"Sedekah")</f>
        <v>0</v>
      </c>
      <c r="S1134" s="29">
        <f>SUMIFS(Cash_Flow_3[Amount],Cash_Flow_3[Bulan],H1134,Cash_Flow_3[Type],"Out",Cash_Flow_3[Category],"Zela")</f>
        <v>0</v>
      </c>
      <c r="T1134" s="29">
        <f>SUMIFS(Cash_Flow_3[Amount],Cash_Flow_3[Bulan],H1134,Cash_Flow_3[Type],"Out",Cash_Flow_3[Category],"Iqbal")</f>
        <v>0</v>
      </c>
    </row>
    <row r="1135" spans="1:20" ht="22.5" customHeight="1" x14ac:dyDescent="0.2">
      <c r="A1135" s="23"/>
      <c r="B1135" s="24"/>
      <c r="C1135" s="25"/>
      <c r="D1135" s="25"/>
      <c r="E1135" s="25"/>
      <c r="F1135" s="26"/>
      <c r="G1135" s="27"/>
      <c r="H1135" s="28" t="str">
        <f t="shared" si="0"/>
        <v/>
      </c>
      <c r="I1135" s="29">
        <f>SUMIFS(Cash_Flow_3[Amount],Cash_Flow_3[Bulan],H1135,Cash_Flow_3[Type],"In")</f>
        <v>0</v>
      </c>
      <c r="J1135" s="29">
        <f>SUMIFS(Cash_Flow_3[Amount],Cash_Flow_3[Bulan],H1135,Cash_Flow_3[Type],"Out")</f>
        <v>0</v>
      </c>
      <c r="K1135" s="29">
        <f>SUMIFS(Cash_Flow_3[Amount],Cash_Flow_3[Bulan],H1135,Cash_Flow_3[Type],"Out",Cash_Flow_3[Category],"Fix")</f>
        <v>0</v>
      </c>
      <c r="L1135" s="29">
        <f>SUMIFS(Cash_Flow_3[Amount],Cash_Flow_3[Bulan],H1135,Cash_Flow_3[Type],"Out",Cash_Flow_3[Category],"Bathroom")</f>
        <v>0</v>
      </c>
      <c r="M1135" s="29">
        <f>SUMIFS(Cash_Flow_3[Amount],Cash_Flow_3[Bulan],H1135,Cash_Flow_3[Type],"Out",Cash_Flow_3[Category],"Alfa")</f>
        <v>0</v>
      </c>
      <c r="N1135" s="29">
        <f>SUMIFS(Cash_Flow_3[Amount],Cash_Flow_3[Bulan],H1135,Cash_Flow_3[Type],"Out",Cash_Flow_3[Category],"Jajan")</f>
        <v>0</v>
      </c>
      <c r="O1135" s="29">
        <f>SUMIFS(Cash_Flow_3[Amount],Cash_Flow_3[Bulan],H1135,Cash_Flow_3[Type],"Out",Cash_Flow_3[Category],"Kitchen")</f>
        <v>0</v>
      </c>
      <c r="P1135" s="29">
        <f>SUMIFS(Cash_Flow_3[Amount],Cash_Flow_3[Bulan],H1135,Cash_Flow_3[Type],"Out",Cash_Flow_3[Category],"Loandry")</f>
        <v>0</v>
      </c>
      <c r="Q1135" s="29">
        <f>SUMIFS(Cash_Flow_3[Amount],Cash_Flow_3[Bulan],H1135,Cash_Flow_3[Type],"Out",Cash_Flow_3[Category],"Mio")</f>
        <v>0</v>
      </c>
      <c r="R1135" s="29">
        <f>SUMIFS(Cash_Flow_3[Amount],Cash_Flow_3[Bulan],H1135,Cash_Flow_3[Type],"Out",Cash_Flow_3[Category],"Sedekah")</f>
        <v>0</v>
      </c>
      <c r="S1135" s="29">
        <f>SUMIFS(Cash_Flow_3[Amount],Cash_Flow_3[Bulan],H1135,Cash_Flow_3[Type],"Out",Cash_Flow_3[Category],"Zela")</f>
        <v>0</v>
      </c>
      <c r="T1135" s="29">
        <f>SUMIFS(Cash_Flow_3[Amount],Cash_Flow_3[Bulan],H1135,Cash_Flow_3[Type],"Out",Cash_Flow_3[Category],"Iqbal")</f>
        <v>0</v>
      </c>
    </row>
    <row r="1136" spans="1:20" ht="22.5" customHeight="1" x14ac:dyDescent="0.2">
      <c r="A1136" s="23"/>
      <c r="B1136" s="24"/>
      <c r="C1136" s="25"/>
      <c r="D1136" s="25"/>
      <c r="E1136" s="25"/>
      <c r="F1136" s="26"/>
      <c r="G1136" s="27"/>
      <c r="H1136" s="28" t="str">
        <f t="shared" si="0"/>
        <v/>
      </c>
      <c r="I1136" s="29">
        <f>SUMIFS(Cash_Flow_3[Amount],Cash_Flow_3[Bulan],H1136,Cash_Flow_3[Type],"In")</f>
        <v>0</v>
      </c>
      <c r="J1136" s="29">
        <f>SUMIFS(Cash_Flow_3[Amount],Cash_Flow_3[Bulan],H1136,Cash_Flow_3[Type],"Out")</f>
        <v>0</v>
      </c>
      <c r="K1136" s="29">
        <f>SUMIFS(Cash_Flow_3[Amount],Cash_Flow_3[Bulan],H1136,Cash_Flow_3[Type],"Out",Cash_Flow_3[Category],"Fix")</f>
        <v>0</v>
      </c>
      <c r="L1136" s="29">
        <f>SUMIFS(Cash_Flow_3[Amount],Cash_Flow_3[Bulan],H1136,Cash_Flow_3[Type],"Out",Cash_Flow_3[Category],"Bathroom")</f>
        <v>0</v>
      </c>
      <c r="M1136" s="29">
        <f>SUMIFS(Cash_Flow_3[Amount],Cash_Flow_3[Bulan],H1136,Cash_Flow_3[Type],"Out",Cash_Flow_3[Category],"Alfa")</f>
        <v>0</v>
      </c>
      <c r="N1136" s="29">
        <f>SUMIFS(Cash_Flow_3[Amount],Cash_Flow_3[Bulan],H1136,Cash_Flow_3[Type],"Out",Cash_Flow_3[Category],"Jajan")</f>
        <v>0</v>
      </c>
      <c r="O1136" s="29">
        <f>SUMIFS(Cash_Flow_3[Amount],Cash_Flow_3[Bulan],H1136,Cash_Flow_3[Type],"Out",Cash_Flow_3[Category],"Kitchen")</f>
        <v>0</v>
      </c>
      <c r="P1136" s="29">
        <f>SUMIFS(Cash_Flow_3[Amount],Cash_Flow_3[Bulan],H1136,Cash_Flow_3[Type],"Out",Cash_Flow_3[Category],"Loandry")</f>
        <v>0</v>
      </c>
      <c r="Q1136" s="29">
        <f>SUMIFS(Cash_Flow_3[Amount],Cash_Flow_3[Bulan],H1136,Cash_Flow_3[Type],"Out",Cash_Flow_3[Category],"Mio")</f>
        <v>0</v>
      </c>
      <c r="R1136" s="29">
        <f>SUMIFS(Cash_Flow_3[Amount],Cash_Flow_3[Bulan],H1136,Cash_Flow_3[Type],"Out",Cash_Flow_3[Category],"Sedekah")</f>
        <v>0</v>
      </c>
      <c r="S1136" s="29">
        <f>SUMIFS(Cash_Flow_3[Amount],Cash_Flow_3[Bulan],H1136,Cash_Flow_3[Type],"Out",Cash_Flow_3[Category],"Zela")</f>
        <v>0</v>
      </c>
      <c r="T1136" s="29">
        <f>SUMIFS(Cash_Flow_3[Amount],Cash_Flow_3[Bulan],H1136,Cash_Flow_3[Type],"Out",Cash_Flow_3[Category],"Iqbal")</f>
        <v>0</v>
      </c>
    </row>
    <row r="1137" spans="1:20" ht="22.5" customHeight="1" x14ac:dyDescent="0.2">
      <c r="A1137" s="23"/>
      <c r="B1137" s="24"/>
      <c r="C1137" s="25"/>
      <c r="D1137" s="25"/>
      <c r="E1137" s="25"/>
      <c r="F1137" s="26"/>
      <c r="G1137" s="27"/>
      <c r="H1137" s="28" t="str">
        <f t="shared" si="0"/>
        <v/>
      </c>
      <c r="I1137" s="29">
        <f>SUMIFS(Cash_Flow_3[Amount],Cash_Flow_3[Bulan],H1137,Cash_Flow_3[Type],"In")</f>
        <v>0</v>
      </c>
      <c r="J1137" s="29">
        <f>SUMIFS(Cash_Flow_3[Amount],Cash_Flow_3[Bulan],H1137,Cash_Flow_3[Type],"Out")</f>
        <v>0</v>
      </c>
      <c r="K1137" s="29">
        <f>SUMIFS(Cash_Flow_3[Amount],Cash_Flow_3[Bulan],H1137,Cash_Flow_3[Type],"Out",Cash_Flow_3[Category],"Fix")</f>
        <v>0</v>
      </c>
      <c r="L1137" s="29">
        <f>SUMIFS(Cash_Flow_3[Amount],Cash_Flow_3[Bulan],H1137,Cash_Flow_3[Type],"Out",Cash_Flow_3[Category],"Bathroom")</f>
        <v>0</v>
      </c>
      <c r="M1137" s="29">
        <f>SUMIFS(Cash_Flow_3[Amount],Cash_Flow_3[Bulan],H1137,Cash_Flow_3[Type],"Out",Cash_Flow_3[Category],"Alfa")</f>
        <v>0</v>
      </c>
      <c r="N1137" s="29">
        <f>SUMIFS(Cash_Flow_3[Amount],Cash_Flow_3[Bulan],H1137,Cash_Flow_3[Type],"Out",Cash_Flow_3[Category],"Jajan")</f>
        <v>0</v>
      </c>
      <c r="O1137" s="29">
        <f>SUMIFS(Cash_Flow_3[Amount],Cash_Flow_3[Bulan],H1137,Cash_Flow_3[Type],"Out",Cash_Flow_3[Category],"Kitchen")</f>
        <v>0</v>
      </c>
      <c r="P1137" s="29">
        <f>SUMIFS(Cash_Flow_3[Amount],Cash_Flow_3[Bulan],H1137,Cash_Flow_3[Type],"Out",Cash_Flow_3[Category],"Loandry")</f>
        <v>0</v>
      </c>
      <c r="Q1137" s="29">
        <f>SUMIFS(Cash_Flow_3[Amount],Cash_Flow_3[Bulan],H1137,Cash_Flow_3[Type],"Out",Cash_Flow_3[Category],"Mio")</f>
        <v>0</v>
      </c>
      <c r="R1137" s="29">
        <f>SUMIFS(Cash_Flow_3[Amount],Cash_Flow_3[Bulan],H1137,Cash_Flow_3[Type],"Out",Cash_Flow_3[Category],"Sedekah")</f>
        <v>0</v>
      </c>
      <c r="S1137" s="29">
        <f>SUMIFS(Cash_Flow_3[Amount],Cash_Flow_3[Bulan],H1137,Cash_Flow_3[Type],"Out",Cash_Flow_3[Category],"Zela")</f>
        <v>0</v>
      </c>
      <c r="T1137" s="29">
        <f>SUMIFS(Cash_Flow_3[Amount],Cash_Flow_3[Bulan],H1137,Cash_Flow_3[Type],"Out",Cash_Flow_3[Category],"Iqbal")</f>
        <v>0</v>
      </c>
    </row>
    <row r="1138" spans="1:20" ht="22.5" customHeight="1" x14ac:dyDescent="0.2">
      <c r="A1138" s="23"/>
      <c r="B1138" s="24"/>
      <c r="C1138" s="25"/>
      <c r="D1138" s="25"/>
      <c r="E1138" s="25"/>
      <c r="F1138" s="26"/>
      <c r="G1138" s="27"/>
      <c r="H1138" s="28" t="str">
        <f t="shared" si="0"/>
        <v/>
      </c>
      <c r="I1138" s="29">
        <f>SUMIFS(Cash_Flow_3[Amount],Cash_Flow_3[Bulan],H1138,Cash_Flow_3[Type],"In")</f>
        <v>0</v>
      </c>
      <c r="J1138" s="29">
        <f>SUMIFS(Cash_Flow_3[Amount],Cash_Flow_3[Bulan],H1138,Cash_Flow_3[Type],"Out")</f>
        <v>0</v>
      </c>
      <c r="K1138" s="29">
        <f>SUMIFS(Cash_Flow_3[Amount],Cash_Flow_3[Bulan],H1138,Cash_Flow_3[Type],"Out",Cash_Flow_3[Category],"Fix")</f>
        <v>0</v>
      </c>
      <c r="L1138" s="29">
        <f>SUMIFS(Cash_Flow_3[Amount],Cash_Flow_3[Bulan],H1138,Cash_Flow_3[Type],"Out",Cash_Flow_3[Category],"Bathroom")</f>
        <v>0</v>
      </c>
      <c r="M1138" s="29">
        <f>SUMIFS(Cash_Flow_3[Amount],Cash_Flow_3[Bulan],H1138,Cash_Flow_3[Type],"Out",Cash_Flow_3[Category],"Alfa")</f>
        <v>0</v>
      </c>
      <c r="N1138" s="29">
        <f>SUMIFS(Cash_Flow_3[Amount],Cash_Flow_3[Bulan],H1138,Cash_Flow_3[Type],"Out",Cash_Flow_3[Category],"Jajan")</f>
        <v>0</v>
      </c>
      <c r="O1138" s="29">
        <f>SUMIFS(Cash_Flow_3[Amount],Cash_Flow_3[Bulan],H1138,Cash_Flow_3[Type],"Out",Cash_Flow_3[Category],"Kitchen")</f>
        <v>0</v>
      </c>
      <c r="P1138" s="29">
        <f>SUMIFS(Cash_Flow_3[Amount],Cash_Flow_3[Bulan],H1138,Cash_Flow_3[Type],"Out",Cash_Flow_3[Category],"Loandry")</f>
        <v>0</v>
      </c>
      <c r="Q1138" s="29">
        <f>SUMIFS(Cash_Flow_3[Amount],Cash_Flow_3[Bulan],H1138,Cash_Flow_3[Type],"Out",Cash_Flow_3[Category],"Mio")</f>
        <v>0</v>
      </c>
      <c r="R1138" s="29">
        <f>SUMIFS(Cash_Flow_3[Amount],Cash_Flow_3[Bulan],H1138,Cash_Flow_3[Type],"Out",Cash_Flow_3[Category],"Sedekah")</f>
        <v>0</v>
      </c>
      <c r="S1138" s="29">
        <f>SUMIFS(Cash_Flow_3[Amount],Cash_Flow_3[Bulan],H1138,Cash_Flow_3[Type],"Out",Cash_Flow_3[Category],"Zela")</f>
        <v>0</v>
      </c>
      <c r="T1138" s="29">
        <f>SUMIFS(Cash_Flow_3[Amount],Cash_Flow_3[Bulan],H1138,Cash_Flow_3[Type],"Out",Cash_Flow_3[Category],"Iqbal")</f>
        <v>0</v>
      </c>
    </row>
    <row r="1139" spans="1:20" ht="22.5" customHeight="1" x14ac:dyDescent="0.2">
      <c r="A1139" s="23"/>
      <c r="B1139" s="24"/>
      <c r="C1139" s="25"/>
      <c r="D1139" s="25"/>
      <c r="E1139" s="25"/>
      <c r="F1139" s="26"/>
      <c r="G1139" s="27"/>
      <c r="H1139" s="28" t="str">
        <f t="shared" si="0"/>
        <v/>
      </c>
      <c r="I1139" s="29">
        <f>SUMIFS(Cash_Flow_3[Amount],Cash_Flow_3[Bulan],H1139,Cash_Flow_3[Type],"In")</f>
        <v>0</v>
      </c>
      <c r="J1139" s="29">
        <f>SUMIFS(Cash_Flow_3[Amount],Cash_Flow_3[Bulan],H1139,Cash_Flow_3[Type],"Out")</f>
        <v>0</v>
      </c>
      <c r="K1139" s="29">
        <f>SUMIFS(Cash_Flow_3[Amount],Cash_Flow_3[Bulan],H1139,Cash_Flow_3[Type],"Out",Cash_Flow_3[Category],"Fix")</f>
        <v>0</v>
      </c>
      <c r="L1139" s="29">
        <f>SUMIFS(Cash_Flow_3[Amount],Cash_Flow_3[Bulan],H1139,Cash_Flow_3[Type],"Out",Cash_Flow_3[Category],"Bathroom")</f>
        <v>0</v>
      </c>
      <c r="M1139" s="29">
        <f>SUMIFS(Cash_Flow_3[Amount],Cash_Flow_3[Bulan],H1139,Cash_Flow_3[Type],"Out",Cash_Flow_3[Category],"Alfa")</f>
        <v>0</v>
      </c>
      <c r="N1139" s="29">
        <f>SUMIFS(Cash_Flow_3[Amount],Cash_Flow_3[Bulan],H1139,Cash_Flow_3[Type],"Out",Cash_Flow_3[Category],"Jajan")</f>
        <v>0</v>
      </c>
      <c r="O1139" s="29">
        <f>SUMIFS(Cash_Flow_3[Amount],Cash_Flow_3[Bulan],H1139,Cash_Flow_3[Type],"Out",Cash_Flow_3[Category],"Kitchen")</f>
        <v>0</v>
      </c>
      <c r="P1139" s="29">
        <f>SUMIFS(Cash_Flow_3[Amount],Cash_Flow_3[Bulan],H1139,Cash_Flow_3[Type],"Out",Cash_Flow_3[Category],"Loandry")</f>
        <v>0</v>
      </c>
      <c r="Q1139" s="29">
        <f>SUMIFS(Cash_Flow_3[Amount],Cash_Flow_3[Bulan],H1139,Cash_Flow_3[Type],"Out",Cash_Flow_3[Category],"Mio")</f>
        <v>0</v>
      </c>
      <c r="R1139" s="29">
        <f>SUMIFS(Cash_Flow_3[Amount],Cash_Flow_3[Bulan],H1139,Cash_Flow_3[Type],"Out",Cash_Flow_3[Category],"Sedekah")</f>
        <v>0</v>
      </c>
      <c r="S1139" s="29">
        <f>SUMIFS(Cash_Flow_3[Amount],Cash_Flow_3[Bulan],H1139,Cash_Flow_3[Type],"Out",Cash_Flow_3[Category],"Zela")</f>
        <v>0</v>
      </c>
      <c r="T1139" s="29">
        <f>SUMIFS(Cash_Flow_3[Amount],Cash_Flow_3[Bulan],H1139,Cash_Flow_3[Type],"Out",Cash_Flow_3[Category],"Iqbal")</f>
        <v>0</v>
      </c>
    </row>
    <row r="1140" spans="1:20" ht="22.5" customHeight="1" x14ac:dyDescent="0.2">
      <c r="A1140" s="23"/>
      <c r="B1140" s="24"/>
      <c r="C1140" s="25"/>
      <c r="D1140" s="25"/>
      <c r="E1140" s="25"/>
      <c r="F1140" s="26"/>
      <c r="G1140" s="27"/>
      <c r="H1140" s="28" t="str">
        <f t="shared" si="0"/>
        <v/>
      </c>
      <c r="I1140" s="29">
        <f>SUMIFS(Cash_Flow_3[Amount],Cash_Flow_3[Bulan],H1140,Cash_Flow_3[Type],"In")</f>
        <v>0</v>
      </c>
      <c r="J1140" s="29">
        <f>SUMIFS(Cash_Flow_3[Amount],Cash_Flow_3[Bulan],H1140,Cash_Flow_3[Type],"Out")</f>
        <v>0</v>
      </c>
      <c r="K1140" s="29">
        <f>SUMIFS(Cash_Flow_3[Amount],Cash_Flow_3[Bulan],H1140,Cash_Flow_3[Type],"Out",Cash_Flow_3[Category],"Fix")</f>
        <v>0</v>
      </c>
      <c r="L1140" s="29">
        <f>SUMIFS(Cash_Flow_3[Amount],Cash_Flow_3[Bulan],H1140,Cash_Flow_3[Type],"Out",Cash_Flow_3[Category],"Bathroom")</f>
        <v>0</v>
      </c>
      <c r="M1140" s="29">
        <f>SUMIFS(Cash_Flow_3[Amount],Cash_Flow_3[Bulan],H1140,Cash_Flow_3[Type],"Out",Cash_Flow_3[Category],"Alfa")</f>
        <v>0</v>
      </c>
      <c r="N1140" s="29">
        <f>SUMIFS(Cash_Flow_3[Amount],Cash_Flow_3[Bulan],H1140,Cash_Flow_3[Type],"Out",Cash_Flow_3[Category],"Jajan")</f>
        <v>0</v>
      </c>
      <c r="O1140" s="29">
        <f>SUMIFS(Cash_Flow_3[Amount],Cash_Flow_3[Bulan],H1140,Cash_Flow_3[Type],"Out",Cash_Flow_3[Category],"Kitchen")</f>
        <v>0</v>
      </c>
      <c r="P1140" s="29">
        <f>SUMIFS(Cash_Flow_3[Amount],Cash_Flow_3[Bulan],H1140,Cash_Flow_3[Type],"Out",Cash_Flow_3[Category],"Loandry")</f>
        <v>0</v>
      </c>
      <c r="Q1140" s="29">
        <f>SUMIFS(Cash_Flow_3[Amount],Cash_Flow_3[Bulan],H1140,Cash_Flow_3[Type],"Out",Cash_Flow_3[Category],"Mio")</f>
        <v>0</v>
      </c>
      <c r="R1140" s="29">
        <f>SUMIFS(Cash_Flow_3[Amount],Cash_Flow_3[Bulan],H1140,Cash_Flow_3[Type],"Out",Cash_Flow_3[Category],"Sedekah")</f>
        <v>0</v>
      </c>
      <c r="S1140" s="29">
        <f>SUMIFS(Cash_Flow_3[Amount],Cash_Flow_3[Bulan],H1140,Cash_Flow_3[Type],"Out",Cash_Flow_3[Category],"Zela")</f>
        <v>0</v>
      </c>
      <c r="T1140" s="29">
        <f>SUMIFS(Cash_Flow_3[Amount],Cash_Flow_3[Bulan],H1140,Cash_Flow_3[Type],"Out",Cash_Flow_3[Category],"Iqbal")</f>
        <v>0</v>
      </c>
    </row>
    <row r="1141" spans="1:20" ht="22.5" customHeight="1" x14ac:dyDescent="0.2">
      <c r="A1141" s="23"/>
      <c r="B1141" s="24"/>
      <c r="C1141" s="25"/>
      <c r="D1141" s="25"/>
      <c r="E1141" s="25"/>
      <c r="F1141" s="26"/>
      <c r="G1141" s="27"/>
      <c r="H1141" s="28" t="str">
        <f t="shared" si="0"/>
        <v/>
      </c>
      <c r="I1141" s="29">
        <f>SUMIFS(Cash_Flow_3[Amount],Cash_Flow_3[Bulan],H1141,Cash_Flow_3[Type],"In")</f>
        <v>0</v>
      </c>
      <c r="J1141" s="29">
        <f>SUMIFS(Cash_Flow_3[Amount],Cash_Flow_3[Bulan],H1141,Cash_Flow_3[Type],"Out")</f>
        <v>0</v>
      </c>
      <c r="K1141" s="29">
        <f>SUMIFS(Cash_Flow_3[Amount],Cash_Flow_3[Bulan],H1141,Cash_Flow_3[Type],"Out",Cash_Flow_3[Category],"Fix")</f>
        <v>0</v>
      </c>
      <c r="L1141" s="29">
        <f>SUMIFS(Cash_Flow_3[Amount],Cash_Flow_3[Bulan],H1141,Cash_Flow_3[Type],"Out",Cash_Flow_3[Category],"Bathroom")</f>
        <v>0</v>
      </c>
      <c r="M1141" s="29">
        <f>SUMIFS(Cash_Flow_3[Amount],Cash_Flow_3[Bulan],H1141,Cash_Flow_3[Type],"Out",Cash_Flow_3[Category],"Alfa")</f>
        <v>0</v>
      </c>
      <c r="N1141" s="29">
        <f>SUMIFS(Cash_Flow_3[Amount],Cash_Flow_3[Bulan],H1141,Cash_Flow_3[Type],"Out",Cash_Flow_3[Category],"Jajan")</f>
        <v>0</v>
      </c>
      <c r="O1141" s="29">
        <f>SUMIFS(Cash_Flow_3[Amount],Cash_Flow_3[Bulan],H1141,Cash_Flow_3[Type],"Out",Cash_Flow_3[Category],"Kitchen")</f>
        <v>0</v>
      </c>
      <c r="P1141" s="29">
        <f>SUMIFS(Cash_Flow_3[Amount],Cash_Flow_3[Bulan],H1141,Cash_Flow_3[Type],"Out",Cash_Flow_3[Category],"Loandry")</f>
        <v>0</v>
      </c>
      <c r="Q1141" s="29">
        <f>SUMIFS(Cash_Flow_3[Amount],Cash_Flow_3[Bulan],H1141,Cash_Flow_3[Type],"Out",Cash_Flow_3[Category],"Mio")</f>
        <v>0</v>
      </c>
      <c r="R1141" s="29">
        <f>SUMIFS(Cash_Flow_3[Amount],Cash_Flow_3[Bulan],H1141,Cash_Flow_3[Type],"Out",Cash_Flow_3[Category],"Sedekah")</f>
        <v>0</v>
      </c>
      <c r="S1141" s="29">
        <f>SUMIFS(Cash_Flow_3[Amount],Cash_Flow_3[Bulan],H1141,Cash_Flow_3[Type],"Out",Cash_Flow_3[Category],"Zela")</f>
        <v>0</v>
      </c>
      <c r="T1141" s="29">
        <f>SUMIFS(Cash_Flow_3[Amount],Cash_Flow_3[Bulan],H1141,Cash_Flow_3[Type],"Out",Cash_Flow_3[Category],"Iqbal")</f>
        <v>0</v>
      </c>
    </row>
    <row r="1142" spans="1:20" ht="22.5" customHeight="1" x14ac:dyDescent="0.2">
      <c r="A1142" s="23"/>
      <c r="B1142" s="24"/>
      <c r="C1142" s="25"/>
      <c r="D1142" s="25"/>
      <c r="E1142" s="25"/>
      <c r="F1142" s="26"/>
      <c r="G1142" s="27"/>
      <c r="H1142" s="28" t="str">
        <f t="shared" si="0"/>
        <v/>
      </c>
      <c r="I1142" s="29">
        <f>SUMIFS(Cash_Flow_3[Amount],Cash_Flow_3[Bulan],H1142,Cash_Flow_3[Type],"In")</f>
        <v>0</v>
      </c>
      <c r="J1142" s="29">
        <f>SUMIFS(Cash_Flow_3[Amount],Cash_Flow_3[Bulan],H1142,Cash_Flow_3[Type],"Out")</f>
        <v>0</v>
      </c>
      <c r="K1142" s="29">
        <f>SUMIFS(Cash_Flow_3[Amount],Cash_Flow_3[Bulan],H1142,Cash_Flow_3[Type],"Out",Cash_Flow_3[Category],"Fix")</f>
        <v>0</v>
      </c>
      <c r="L1142" s="29">
        <f>SUMIFS(Cash_Flow_3[Amount],Cash_Flow_3[Bulan],H1142,Cash_Flow_3[Type],"Out",Cash_Flow_3[Category],"Bathroom")</f>
        <v>0</v>
      </c>
      <c r="M1142" s="29">
        <f>SUMIFS(Cash_Flow_3[Amount],Cash_Flow_3[Bulan],H1142,Cash_Flow_3[Type],"Out",Cash_Flow_3[Category],"Alfa")</f>
        <v>0</v>
      </c>
      <c r="N1142" s="29">
        <f>SUMIFS(Cash_Flow_3[Amount],Cash_Flow_3[Bulan],H1142,Cash_Flow_3[Type],"Out",Cash_Flow_3[Category],"Jajan")</f>
        <v>0</v>
      </c>
      <c r="O1142" s="29">
        <f>SUMIFS(Cash_Flow_3[Amount],Cash_Flow_3[Bulan],H1142,Cash_Flow_3[Type],"Out",Cash_Flow_3[Category],"Kitchen")</f>
        <v>0</v>
      </c>
      <c r="P1142" s="29">
        <f>SUMIFS(Cash_Flow_3[Amount],Cash_Flow_3[Bulan],H1142,Cash_Flow_3[Type],"Out",Cash_Flow_3[Category],"Loandry")</f>
        <v>0</v>
      </c>
      <c r="Q1142" s="29">
        <f>SUMIFS(Cash_Flow_3[Amount],Cash_Flow_3[Bulan],H1142,Cash_Flow_3[Type],"Out",Cash_Flow_3[Category],"Mio")</f>
        <v>0</v>
      </c>
      <c r="R1142" s="29">
        <f>SUMIFS(Cash_Flow_3[Amount],Cash_Flow_3[Bulan],H1142,Cash_Flow_3[Type],"Out",Cash_Flow_3[Category],"Sedekah")</f>
        <v>0</v>
      </c>
      <c r="S1142" s="29">
        <f>SUMIFS(Cash_Flow_3[Amount],Cash_Flow_3[Bulan],H1142,Cash_Flow_3[Type],"Out",Cash_Flow_3[Category],"Zela")</f>
        <v>0</v>
      </c>
      <c r="T1142" s="29">
        <f>SUMIFS(Cash_Flow_3[Amount],Cash_Flow_3[Bulan],H1142,Cash_Flow_3[Type],"Out",Cash_Flow_3[Category],"Iqbal")</f>
        <v>0</v>
      </c>
    </row>
    <row r="1143" spans="1:20" ht="22.5" customHeight="1" x14ac:dyDescent="0.2">
      <c r="A1143" s="23"/>
      <c r="B1143" s="24"/>
      <c r="C1143" s="25"/>
      <c r="D1143" s="25"/>
      <c r="E1143" s="25"/>
      <c r="F1143" s="26"/>
      <c r="G1143" s="27"/>
      <c r="H1143" s="28" t="str">
        <f t="shared" si="0"/>
        <v/>
      </c>
      <c r="I1143" s="29">
        <f>SUMIFS(Cash_Flow_3[Amount],Cash_Flow_3[Bulan],H1143,Cash_Flow_3[Type],"In")</f>
        <v>0</v>
      </c>
      <c r="J1143" s="29">
        <f>SUMIFS(Cash_Flow_3[Amount],Cash_Flow_3[Bulan],H1143,Cash_Flow_3[Type],"Out")</f>
        <v>0</v>
      </c>
      <c r="K1143" s="29">
        <f>SUMIFS(Cash_Flow_3[Amount],Cash_Flow_3[Bulan],H1143,Cash_Flow_3[Type],"Out",Cash_Flow_3[Category],"Fix")</f>
        <v>0</v>
      </c>
      <c r="L1143" s="29">
        <f>SUMIFS(Cash_Flow_3[Amount],Cash_Flow_3[Bulan],H1143,Cash_Flow_3[Type],"Out",Cash_Flow_3[Category],"Bathroom")</f>
        <v>0</v>
      </c>
      <c r="M1143" s="29">
        <f>SUMIFS(Cash_Flow_3[Amount],Cash_Flow_3[Bulan],H1143,Cash_Flow_3[Type],"Out",Cash_Flow_3[Category],"Alfa")</f>
        <v>0</v>
      </c>
      <c r="N1143" s="29">
        <f>SUMIFS(Cash_Flow_3[Amount],Cash_Flow_3[Bulan],H1143,Cash_Flow_3[Type],"Out",Cash_Flow_3[Category],"Jajan")</f>
        <v>0</v>
      </c>
      <c r="O1143" s="29">
        <f>SUMIFS(Cash_Flow_3[Amount],Cash_Flow_3[Bulan],H1143,Cash_Flow_3[Type],"Out",Cash_Flow_3[Category],"Kitchen")</f>
        <v>0</v>
      </c>
      <c r="P1143" s="29">
        <f>SUMIFS(Cash_Flow_3[Amount],Cash_Flow_3[Bulan],H1143,Cash_Flow_3[Type],"Out",Cash_Flow_3[Category],"Loandry")</f>
        <v>0</v>
      </c>
      <c r="Q1143" s="29">
        <f>SUMIFS(Cash_Flow_3[Amount],Cash_Flow_3[Bulan],H1143,Cash_Flow_3[Type],"Out",Cash_Flow_3[Category],"Mio")</f>
        <v>0</v>
      </c>
      <c r="R1143" s="29">
        <f>SUMIFS(Cash_Flow_3[Amount],Cash_Flow_3[Bulan],H1143,Cash_Flow_3[Type],"Out",Cash_Flow_3[Category],"Sedekah")</f>
        <v>0</v>
      </c>
      <c r="S1143" s="29">
        <f>SUMIFS(Cash_Flow_3[Amount],Cash_Flow_3[Bulan],H1143,Cash_Flow_3[Type],"Out",Cash_Flow_3[Category],"Zela")</f>
        <v>0</v>
      </c>
      <c r="T1143" s="29">
        <f>SUMIFS(Cash_Flow_3[Amount],Cash_Flow_3[Bulan],H1143,Cash_Flow_3[Type],"Out",Cash_Flow_3[Category],"Iqbal")</f>
        <v>0</v>
      </c>
    </row>
    <row r="1144" spans="1:20" ht="22.5" customHeight="1" x14ac:dyDescent="0.2">
      <c r="A1144" s="23"/>
      <c r="B1144" s="24"/>
      <c r="C1144" s="25"/>
      <c r="D1144" s="25"/>
      <c r="E1144" s="25"/>
      <c r="F1144" s="26"/>
      <c r="G1144" s="27"/>
      <c r="H1144" s="28" t="str">
        <f t="shared" si="0"/>
        <v/>
      </c>
      <c r="I1144" s="29">
        <f>SUMIFS(Cash_Flow_3[Amount],Cash_Flow_3[Bulan],H1144,Cash_Flow_3[Type],"In")</f>
        <v>0</v>
      </c>
      <c r="J1144" s="29">
        <f>SUMIFS(Cash_Flow_3[Amount],Cash_Flow_3[Bulan],H1144,Cash_Flow_3[Type],"Out")</f>
        <v>0</v>
      </c>
      <c r="K1144" s="29">
        <f>SUMIFS(Cash_Flow_3[Amount],Cash_Flow_3[Bulan],H1144,Cash_Flow_3[Type],"Out",Cash_Flow_3[Category],"Fix")</f>
        <v>0</v>
      </c>
      <c r="L1144" s="29">
        <f>SUMIFS(Cash_Flow_3[Amount],Cash_Flow_3[Bulan],H1144,Cash_Flow_3[Type],"Out",Cash_Flow_3[Category],"Bathroom")</f>
        <v>0</v>
      </c>
      <c r="M1144" s="29">
        <f>SUMIFS(Cash_Flow_3[Amount],Cash_Flow_3[Bulan],H1144,Cash_Flow_3[Type],"Out",Cash_Flow_3[Category],"Alfa")</f>
        <v>0</v>
      </c>
      <c r="N1144" s="29">
        <f>SUMIFS(Cash_Flow_3[Amount],Cash_Flow_3[Bulan],H1144,Cash_Flow_3[Type],"Out",Cash_Flow_3[Category],"Jajan")</f>
        <v>0</v>
      </c>
      <c r="O1144" s="29">
        <f>SUMIFS(Cash_Flow_3[Amount],Cash_Flow_3[Bulan],H1144,Cash_Flow_3[Type],"Out",Cash_Flow_3[Category],"Kitchen")</f>
        <v>0</v>
      </c>
      <c r="P1144" s="29">
        <f>SUMIFS(Cash_Flow_3[Amount],Cash_Flow_3[Bulan],H1144,Cash_Flow_3[Type],"Out",Cash_Flow_3[Category],"Loandry")</f>
        <v>0</v>
      </c>
      <c r="Q1144" s="29">
        <f>SUMIFS(Cash_Flow_3[Amount],Cash_Flow_3[Bulan],H1144,Cash_Flow_3[Type],"Out",Cash_Flow_3[Category],"Mio")</f>
        <v>0</v>
      </c>
      <c r="R1144" s="29">
        <f>SUMIFS(Cash_Flow_3[Amount],Cash_Flow_3[Bulan],H1144,Cash_Flow_3[Type],"Out",Cash_Flow_3[Category],"Sedekah")</f>
        <v>0</v>
      </c>
      <c r="S1144" s="29">
        <f>SUMIFS(Cash_Flow_3[Amount],Cash_Flow_3[Bulan],H1144,Cash_Flow_3[Type],"Out",Cash_Flow_3[Category],"Zela")</f>
        <v>0</v>
      </c>
      <c r="T1144" s="29">
        <f>SUMIFS(Cash_Flow_3[Amount],Cash_Flow_3[Bulan],H1144,Cash_Flow_3[Type],"Out",Cash_Flow_3[Category],"Iqbal")</f>
        <v>0</v>
      </c>
    </row>
    <row r="1145" spans="1:20" ht="22.5" customHeight="1" x14ac:dyDescent="0.2">
      <c r="A1145" s="23"/>
      <c r="B1145" s="24"/>
      <c r="C1145" s="25"/>
      <c r="D1145" s="25"/>
      <c r="E1145" s="25"/>
      <c r="F1145" s="26"/>
      <c r="G1145" s="27"/>
      <c r="H1145" s="28" t="str">
        <f t="shared" si="0"/>
        <v/>
      </c>
      <c r="I1145" s="29">
        <f>SUMIFS(Cash_Flow_3[Amount],Cash_Flow_3[Bulan],H1145,Cash_Flow_3[Type],"In")</f>
        <v>0</v>
      </c>
      <c r="J1145" s="29">
        <f>SUMIFS(Cash_Flow_3[Amount],Cash_Flow_3[Bulan],H1145,Cash_Flow_3[Type],"Out")</f>
        <v>0</v>
      </c>
      <c r="K1145" s="29">
        <f>SUMIFS(Cash_Flow_3[Amount],Cash_Flow_3[Bulan],H1145,Cash_Flow_3[Type],"Out",Cash_Flow_3[Category],"Fix")</f>
        <v>0</v>
      </c>
      <c r="L1145" s="29">
        <f>SUMIFS(Cash_Flow_3[Amount],Cash_Flow_3[Bulan],H1145,Cash_Flow_3[Type],"Out",Cash_Flow_3[Category],"Bathroom")</f>
        <v>0</v>
      </c>
      <c r="M1145" s="29">
        <f>SUMIFS(Cash_Flow_3[Amount],Cash_Flow_3[Bulan],H1145,Cash_Flow_3[Type],"Out",Cash_Flow_3[Category],"Alfa")</f>
        <v>0</v>
      </c>
      <c r="N1145" s="29">
        <f>SUMIFS(Cash_Flow_3[Amount],Cash_Flow_3[Bulan],H1145,Cash_Flow_3[Type],"Out",Cash_Flow_3[Category],"Jajan")</f>
        <v>0</v>
      </c>
      <c r="O1145" s="29">
        <f>SUMIFS(Cash_Flow_3[Amount],Cash_Flow_3[Bulan],H1145,Cash_Flow_3[Type],"Out",Cash_Flow_3[Category],"Kitchen")</f>
        <v>0</v>
      </c>
      <c r="P1145" s="29">
        <f>SUMIFS(Cash_Flow_3[Amount],Cash_Flow_3[Bulan],H1145,Cash_Flow_3[Type],"Out",Cash_Flow_3[Category],"Loandry")</f>
        <v>0</v>
      </c>
      <c r="Q1145" s="29">
        <f>SUMIFS(Cash_Flow_3[Amount],Cash_Flow_3[Bulan],H1145,Cash_Flow_3[Type],"Out",Cash_Flow_3[Category],"Mio")</f>
        <v>0</v>
      </c>
      <c r="R1145" s="29">
        <f>SUMIFS(Cash_Flow_3[Amount],Cash_Flow_3[Bulan],H1145,Cash_Flow_3[Type],"Out",Cash_Flow_3[Category],"Sedekah")</f>
        <v>0</v>
      </c>
      <c r="S1145" s="29">
        <f>SUMIFS(Cash_Flow_3[Amount],Cash_Flow_3[Bulan],H1145,Cash_Flow_3[Type],"Out",Cash_Flow_3[Category],"Zela")</f>
        <v>0</v>
      </c>
      <c r="T1145" s="29">
        <f>SUMIFS(Cash_Flow_3[Amount],Cash_Flow_3[Bulan],H1145,Cash_Flow_3[Type],"Out",Cash_Flow_3[Category],"Iqbal")</f>
        <v>0</v>
      </c>
    </row>
    <row r="1146" spans="1:20" ht="22.5" customHeight="1" x14ac:dyDescent="0.2">
      <c r="A1146" s="23"/>
      <c r="B1146" s="24"/>
      <c r="C1146" s="25"/>
      <c r="D1146" s="25"/>
      <c r="E1146" s="25"/>
      <c r="F1146" s="26"/>
      <c r="G1146" s="27"/>
      <c r="H1146" s="28" t="str">
        <f t="shared" si="0"/>
        <v/>
      </c>
      <c r="I1146" s="29">
        <f>SUMIFS(Cash_Flow_3[Amount],Cash_Flow_3[Bulan],H1146,Cash_Flow_3[Type],"In")</f>
        <v>0</v>
      </c>
      <c r="J1146" s="29">
        <f>SUMIFS(Cash_Flow_3[Amount],Cash_Flow_3[Bulan],H1146,Cash_Flow_3[Type],"Out")</f>
        <v>0</v>
      </c>
      <c r="K1146" s="29">
        <f>SUMIFS(Cash_Flow_3[Amount],Cash_Flow_3[Bulan],H1146,Cash_Flow_3[Type],"Out",Cash_Flow_3[Category],"Fix")</f>
        <v>0</v>
      </c>
      <c r="L1146" s="29">
        <f>SUMIFS(Cash_Flow_3[Amount],Cash_Flow_3[Bulan],H1146,Cash_Flow_3[Type],"Out",Cash_Flow_3[Category],"Bathroom")</f>
        <v>0</v>
      </c>
      <c r="M1146" s="29">
        <f>SUMIFS(Cash_Flow_3[Amount],Cash_Flow_3[Bulan],H1146,Cash_Flow_3[Type],"Out",Cash_Flow_3[Category],"Alfa")</f>
        <v>0</v>
      </c>
      <c r="N1146" s="29">
        <f>SUMIFS(Cash_Flow_3[Amount],Cash_Flow_3[Bulan],H1146,Cash_Flow_3[Type],"Out",Cash_Flow_3[Category],"Jajan")</f>
        <v>0</v>
      </c>
      <c r="O1146" s="29">
        <f>SUMIFS(Cash_Flow_3[Amount],Cash_Flow_3[Bulan],H1146,Cash_Flow_3[Type],"Out",Cash_Flow_3[Category],"Kitchen")</f>
        <v>0</v>
      </c>
      <c r="P1146" s="29">
        <f>SUMIFS(Cash_Flow_3[Amount],Cash_Flow_3[Bulan],H1146,Cash_Flow_3[Type],"Out",Cash_Flow_3[Category],"Loandry")</f>
        <v>0</v>
      </c>
      <c r="Q1146" s="29">
        <f>SUMIFS(Cash_Flow_3[Amount],Cash_Flow_3[Bulan],H1146,Cash_Flow_3[Type],"Out",Cash_Flow_3[Category],"Mio")</f>
        <v>0</v>
      </c>
      <c r="R1146" s="29">
        <f>SUMIFS(Cash_Flow_3[Amount],Cash_Flow_3[Bulan],H1146,Cash_Flow_3[Type],"Out",Cash_Flow_3[Category],"Sedekah")</f>
        <v>0</v>
      </c>
      <c r="S1146" s="29">
        <f>SUMIFS(Cash_Flow_3[Amount],Cash_Flow_3[Bulan],H1146,Cash_Flow_3[Type],"Out",Cash_Flow_3[Category],"Zela")</f>
        <v>0</v>
      </c>
      <c r="T1146" s="29">
        <f>SUMIFS(Cash_Flow_3[Amount],Cash_Flow_3[Bulan],H1146,Cash_Flow_3[Type],"Out",Cash_Flow_3[Category],"Iqbal")</f>
        <v>0</v>
      </c>
    </row>
    <row r="1147" spans="1:20" ht="22.5" customHeight="1" x14ac:dyDescent="0.2">
      <c r="A1147" s="23"/>
      <c r="B1147" s="24"/>
      <c r="C1147" s="25"/>
      <c r="D1147" s="25"/>
      <c r="E1147" s="25"/>
      <c r="F1147" s="26"/>
      <c r="G1147" s="27"/>
      <c r="H1147" s="28" t="str">
        <f t="shared" si="0"/>
        <v/>
      </c>
      <c r="I1147" s="29">
        <f>SUMIFS(Cash_Flow_3[Amount],Cash_Flow_3[Bulan],H1147,Cash_Flow_3[Type],"In")</f>
        <v>0</v>
      </c>
      <c r="J1147" s="29">
        <f>SUMIFS(Cash_Flow_3[Amount],Cash_Flow_3[Bulan],H1147,Cash_Flow_3[Type],"Out")</f>
        <v>0</v>
      </c>
      <c r="K1147" s="29">
        <f>SUMIFS(Cash_Flow_3[Amount],Cash_Flow_3[Bulan],H1147,Cash_Flow_3[Type],"Out",Cash_Flow_3[Category],"Fix")</f>
        <v>0</v>
      </c>
      <c r="L1147" s="29">
        <f>SUMIFS(Cash_Flow_3[Amount],Cash_Flow_3[Bulan],H1147,Cash_Flow_3[Type],"Out",Cash_Flow_3[Category],"Bathroom")</f>
        <v>0</v>
      </c>
      <c r="M1147" s="29">
        <f>SUMIFS(Cash_Flow_3[Amount],Cash_Flow_3[Bulan],H1147,Cash_Flow_3[Type],"Out",Cash_Flow_3[Category],"Alfa")</f>
        <v>0</v>
      </c>
      <c r="N1147" s="29">
        <f>SUMIFS(Cash_Flow_3[Amount],Cash_Flow_3[Bulan],H1147,Cash_Flow_3[Type],"Out",Cash_Flow_3[Category],"Jajan")</f>
        <v>0</v>
      </c>
      <c r="O1147" s="29">
        <f>SUMIFS(Cash_Flow_3[Amount],Cash_Flow_3[Bulan],H1147,Cash_Flow_3[Type],"Out",Cash_Flow_3[Category],"Kitchen")</f>
        <v>0</v>
      </c>
      <c r="P1147" s="29">
        <f>SUMIFS(Cash_Flow_3[Amount],Cash_Flow_3[Bulan],H1147,Cash_Flow_3[Type],"Out",Cash_Flow_3[Category],"Loandry")</f>
        <v>0</v>
      </c>
      <c r="Q1147" s="29">
        <f>SUMIFS(Cash_Flow_3[Amount],Cash_Flow_3[Bulan],H1147,Cash_Flow_3[Type],"Out",Cash_Flow_3[Category],"Mio")</f>
        <v>0</v>
      </c>
      <c r="R1147" s="29">
        <f>SUMIFS(Cash_Flow_3[Amount],Cash_Flow_3[Bulan],H1147,Cash_Flow_3[Type],"Out",Cash_Flow_3[Category],"Sedekah")</f>
        <v>0</v>
      </c>
      <c r="S1147" s="29">
        <f>SUMIFS(Cash_Flow_3[Amount],Cash_Flow_3[Bulan],H1147,Cash_Flow_3[Type],"Out",Cash_Flow_3[Category],"Zela")</f>
        <v>0</v>
      </c>
      <c r="T1147" s="29">
        <f>SUMIFS(Cash_Flow_3[Amount],Cash_Flow_3[Bulan],H1147,Cash_Flow_3[Type],"Out",Cash_Flow_3[Category],"Iqbal")</f>
        <v>0</v>
      </c>
    </row>
    <row r="1148" spans="1:20" ht="22.5" customHeight="1" x14ac:dyDescent="0.2">
      <c r="A1148" s="23"/>
      <c r="B1148" s="24"/>
      <c r="C1148" s="25"/>
      <c r="D1148" s="25"/>
      <c r="E1148" s="25"/>
      <c r="F1148" s="26"/>
      <c r="G1148" s="27"/>
      <c r="H1148" s="28" t="str">
        <f t="shared" si="0"/>
        <v/>
      </c>
      <c r="I1148" s="29">
        <f>SUMIFS(Cash_Flow_3[Amount],Cash_Flow_3[Bulan],H1148,Cash_Flow_3[Type],"In")</f>
        <v>0</v>
      </c>
      <c r="J1148" s="29">
        <f>SUMIFS(Cash_Flow_3[Amount],Cash_Flow_3[Bulan],H1148,Cash_Flow_3[Type],"Out")</f>
        <v>0</v>
      </c>
      <c r="K1148" s="29">
        <f>SUMIFS(Cash_Flow_3[Amount],Cash_Flow_3[Bulan],H1148,Cash_Flow_3[Type],"Out",Cash_Flow_3[Category],"Fix")</f>
        <v>0</v>
      </c>
      <c r="L1148" s="29">
        <f>SUMIFS(Cash_Flow_3[Amount],Cash_Flow_3[Bulan],H1148,Cash_Flow_3[Type],"Out",Cash_Flow_3[Category],"Bathroom")</f>
        <v>0</v>
      </c>
      <c r="M1148" s="29">
        <f>SUMIFS(Cash_Flow_3[Amount],Cash_Flow_3[Bulan],H1148,Cash_Flow_3[Type],"Out",Cash_Flow_3[Category],"Alfa")</f>
        <v>0</v>
      </c>
      <c r="N1148" s="29">
        <f>SUMIFS(Cash_Flow_3[Amount],Cash_Flow_3[Bulan],H1148,Cash_Flow_3[Type],"Out",Cash_Flow_3[Category],"Jajan")</f>
        <v>0</v>
      </c>
      <c r="O1148" s="29">
        <f>SUMIFS(Cash_Flow_3[Amount],Cash_Flow_3[Bulan],H1148,Cash_Flow_3[Type],"Out",Cash_Flow_3[Category],"Kitchen")</f>
        <v>0</v>
      </c>
      <c r="P1148" s="29">
        <f>SUMIFS(Cash_Flow_3[Amount],Cash_Flow_3[Bulan],H1148,Cash_Flow_3[Type],"Out",Cash_Flow_3[Category],"Loandry")</f>
        <v>0</v>
      </c>
      <c r="Q1148" s="29">
        <f>SUMIFS(Cash_Flow_3[Amount],Cash_Flow_3[Bulan],H1148,Cash_Flow_3[Type],"Out",Cash_Flow_3[Category],"Mio")</f>
        <v>0</v>
      </c>
      <c r="R1148" s="29">
        <f>SUMIFS(Cash_Flow_3[Amount],Cash_Flow_3[Bulan],H1148,Cash_Flow_3[Type],"Out",Cash_Flow_3[Category],"Sedekah")</f>
        <v>0</v>
      </c>
      <c r="S1148" s="29">
        <f>SUMIFS(Cash_Flow_3[Amount],Cash_Flow_3[Bulan],H1148,Cash_Flow_3[Type],"Out",Cash_Flow_3[Category],"Zela")</f>
        <v>0</v>
      </c>
      <c r="T1148" s="29">
        <f>SUMIFS(Cash_Flow_3[Amount],Cash_Flow_3[Bulan],H1148,Cash_Flow_3[Type],"Out",Cash_Flow_3[Category],"Iqbal")</f>
        <v>0</v>
      </c>
    </row>
    <row r="1149" spans="1:20" ht="22.5" customHeight="1" x14ac:dyDescent="0.2">
      <c r="A1149" s="23"/>
      <c r="B1149" s="24"/>
      <c r="C1149" s="25"/>
      <c r="D1149" s="25"/>
      <c r="E1149" s="25"/>
      <c r="F1149" s="26"/>
      <c r="G1149" s="27"/>
      <c r="H1149" s="28" t="str">
        <f t="shared" si="0"/>
        <v/>
      </c>
      <c r="I1149" s="29">
        <f>SUMIFS(Cash_Flow_3[Amount],Cash_Flow_3[Bulan],H1149,Cash_Flow_3[Type],"In")</f>
        <v>0</v>
      </c>
      <c r="J1149" s="29">
        <f>SUMIFS(Cash_Flow_3[Amount],Cash_Flow_3[Bulan],H1149,Cash_Flow_3[Type],"Out")</f>
        <v>0</v>
      </c>
      <c r="K1149" s="29">
        <f>SUMIFS(Cash_Flow_3[Amount],Cash_Flow_3[Bulan],H1149,Cash_Flow_3[Type],"Out",Cash_Flow_3[Category],"Fix")</f>
        <v>0</v>
      </c>
      <c r="L1149" s="29">
        <f>SUMIFS(Cash_Flow_3[Amount],Cash_Flow_3[Bulan],H1149,Cash_Flow_3[Type],"Out",Cash_Flow_3[Category],"Bathroom")</f>
        <v>0</v>
      </c>
      <c r="M1149" s="29">
        <f>SUMIFS(Cash_Flow_3[Amount],Cash_Flow_3[Bulan],H1149,Cash_Flow_3[Type],"Out",Cash_Flow_3[Category],"Alfa")</f>
        <v>0</v>
      </c>
      <c r="N1149" s="29">
        <f>SUMIFS(Cash_Flow_3[Amount],Cash_Flow_3[Bulan],H1149,Cash_Flow_3[Type],"Out",Cash_Flow_3[Category],"Jajan")</f>
        <v>0</v>
      </c>
      <c r="O1149" s="29">
        <f>SUMIFS(Cash_Flow_3[Amount],Cash_Flow_3[Bulan],H1149,Cash_Flow_3[Type],"Out",Cash_Flow_3[Category],"Kitchen")</f>
        <v>0</v>
      </c>
      <c r="P1149" s="29">
        <f>SUMIFS(Cash_Flow_3[Amount],Cash_Flow_3[Bulan],H1149,Cash_Flow_3[Type],"Out",Cash_Flow_3[Category],"Loandry")</f>
        <v>0</v>
      </c>
      <c r="Q1149" s="29">
        <f>SUMIFS(Cash_Flow_3[Amount],Cash_Flow_3[Bulan],H1149,Cash_Flow_3[Type],"Out",Cash_Flow_3[Category],"Mio")</f>
        <v>0</v>
      </c>
      <c r="R1149" s="29">
        <f>SUMIFS(Cash_Flow_3[Amount],Cash_Flow_3[Bulan],H1149,Cash_Flow_3[Type],"Out",Cash_Flow_3[Category],"Sedekah")</f>
        <v>0</v>
      </c>
      <c r="S1149" s="29">
        <f>SUMIFS(Cash_Flow_3[Amount],Cash_Flow_3[Bulan],H1149,Cash_Flow_3[Type],"Out",Cash_Flow_3[Category],"Zela")</f>
        <v>0</v>
      </c>
      <c r="T1149" s="29">
        <f>SUMIFS(Cash_Flow_3[Amount],Cash_Flow_3[Bulan],H1149,Cash_Flow_3[Type],"Out",Cash_Flow_3[Category],"Iqbal")</f>
        <v>0</v>
      </c>
    </row>
    <row r="1150" spans="1:20" ht="22.5" customHeight="1" x14ac:dyDescent="0.2">
      <c r="A1150" s="23"/>
      <c r="B1150" s="24"/>
      <c r="C1150" s="25"/>
      <c r="D1150" s="25"/>
      <c r="E1150" s="25"/>
      <c r="F1150" s="26"/>
      <c r="G1150" s="27"/>
      <c r="H1150" s="28" t="str">
        <f t="shared" si="0"/>
        <v/>
      </c>
      <c r="I1150" s="29">
        <f>SUMIFS(Cash_Flow_3[Amount],Cash_Flow_3[Bulan],H1150,Cash_Flow_3[Type],"In")</f>
        <v>0</v>
      </c>
      <c r="J1150" s="29">
        <f>SUMIFS(Cash_Flow_3[Amount],Cash_Flow_3[Bulan],H1150,Cash_Flow_3[Type],"Out")</f>
        <v>0</v>
      </c>
      <c r="K1150" s="29">
        <f>SUMIFS(Cash_Flow_3[Amount],Cash_Flow_3[Bulan],H1150,Cash_Flow_3[Type],"Out",Cash_Flow_3[Category],"Fix")</f>
        <v>0</v>
      </c>
      <c r="L1150" s="29">
        <f>SUMIFS(Cash_Flow_3[Amount],Cash_Flow_3[Bulan],H1150,Cash_Flow_3[Type],"Out",Cash_Flow_3[Category],"Bathroom")</f>
        <v>0</v>
      </c>
      <c r="M1150" s="29">
        <f>SUMIFS(Cash_Flow_3[Amount],Cash_Flow_3[Bulan],H1150,Cash_Flow_3[Type],"Out",Cash_Flow_3[Category],"Alfa")</f>
        <v>0</v>
      </c>
      <c r="N1150" s="29">
        <f>SUMIFS(Cash_Flow_3[Amount],Cash_Flow_3[Bulan],H1150,Cash_Flow_3[Type],"Out",Cash_Flow_3[Category],"Jajan")</f>
        <v>0</v>
      </c>
      <c r="O1150" s="29">
        <f>SUMIFS(Cash_Flow_3[Amount],Cash_Flow_3[Bulan],H1150,Cash_Flow_3[Type],"Out",Cash_Flow_3[Category],"Kitchen")</f>
        <v>0</v>
      </c>
      <c r="P1150" s="29">
        <f>SUMIFS(Cash_Flow_3[Amount],Cash_Flow_3[Bulan],H1150,Cash_Flow_3[Type],"Out",Cash_Flow_3[Category],"Loandry")</f>
        <v>0</v>
      </c>
      <c r="Q1150" s="29">
        <f>SUMIFS(Cash_Flow_3[Amount],Cash_Flow_3[Bulan],H1150,Cash_Flow_3[Type],"Out",Cash_Flow_3[Category],"Mio")</f>
        <v>0</v>
      </c>
      <c r="R1150" s="29">
        <f>SUMIFS(Cash_Flow_3[Amount],Cash_Flow_3[Bulan],H1150,Cash_Flow_3[Type],"Out",Cash_Flow_3[Category],"Sedekah")</f>
        <v>0</v>
      </c>
      <c r="S1150" s="29">
        <f>SUMIFS(Cash_Flow_3[Amount],Cash_Flow_3[Bulan],H1150,Cash_Flow_3[Type],"Out",Cash_Flow_3[Category],"Zela")</f>
        <v>0</v>
      </c>
      <c r="T1150" s="29">
        <f>SUMIFS(Cash_Flow_3[Amount],Cash_Flow_3[Bulan],H1150,Cash_Flow_3[Type],"Out",Cash_Flow_3[Category],"Iqbal")</f>
        <v>0</v>
      </c>
    </row>
    <row r="1151" spans="1:20" ht="22.5" customHeight="1" x14ac:dyDescent="0.2">
      <c r="A1151" s="23"/>
      <c r="B1151" s="24"/>
      <c r="C1151" s="25"/>
      <c r="D1151" s="25"/>
      <c r="E1151" s="25"/>
      <c r="F1151" s="26"/>
      <c r="G1151" s="27"/>
      <c r="H1151" s="28" t="str">
        <f t="shared" si="0"/>
        <v/>
      </c>
      <c r="I1151" s="29">
        <f>SUMIFS(Cash_Flow_3[Amount],Cash_Flow_3[Bulan],H1151,Cash_Flow_3[Type],"In")</f>
        <v>0</v>
      </c>
      <c r="J1151" s="29">
        <f>SUMIFS(Cash_Flow_3[Amount],Cash_Flow_3[Bulan],H1151,Cash_Flow_3[Type],"Out")</f>
        <v>0</v>
      </c>
      <c r="K1151" s="29">
        <f>SUMIFS(Cash_Flow_3[Amount],Cash_Flow_3[Bulan],H1151,Cash_Flow_3[Type],"Out",Cash_Flow_3[Category],"Fix")</f>
        <v>0</v>
      </c>
      <c r="L1151" s="29">
        <f>SUMIFS(Cash_Flow_3[Amount],Cash_Flow_3[Bulan],H1151,Cash_Flow_3[Type],"Out",Cash_Flow_3[Category],"Bathroom")</f>
        <v>0</v>
      </c>
      <c r="M1151" s="29">
        <f>SUMIFS(Cash_Flow_3[Amount],Cash_Flow_3[Bulan],H1151,Cash_Flow_3[Type],"Out",Cash_Flow_3[Category],"Alfa")</f>
        <v>0</v>
      </c>
      <c r="N1151" s="29">
        <f>SUMIFS(Cash_Flow_3[Amount],Cash_Flow_3[Bulan],H1151,Cash_Flow_3[Type],"Out",Cash_Flow_3[Category],"Jajan")</f>
        <v>0</v>
      </c>
      <c r="O1151" s="29">
        <f>SUMIFS(Cash_Flow_3[Amount],Cash_Flow_3[Bulan],H1151,Cash_Flow_3[Type],"Out",Cash_Flow_3[Category],"Kitchen")</f>
        <v>0</v>
      </c>
      <c r="P1151" s="29">
        <f>SUMIFS(Cash_Flow_3[Amount],Cash_Flow_3[Bulan],H1151,Cash_Flow_3[Type],"Out",Cash_Flow_3[Category],"Loandry")</f>
        <v>0</v>
      </c>
      <c r="Q1151" s="29">
        <f>SUMIFS(Cash_Flow_3[Amount],Cash_Flow_3[Bulan],H1151,Cash_Flow_3[Type],"Out",Cash_Flow_3[Category],"Mio")</f>
        <v>0</v>
      </c>
      <c r="R1151" s="29">
        <f>SUMIFS(Cash_Flow_3[Amount],Cash_Flow_3[Bulan],H1151,Cash_Flow_3[Type],"Out",Cash_Flow_3[Category],"Sedekah")</f>
        <v>0</v>
      </c>
      <c r="S1151" s="29">
        <f>SUMIFS(Cash_Flow_3[Amount],Cash_Flow_3[Bulan],H1151,Cash_Flow_3[Type],"Out",Cash_Flow_3[Category],"Zela")</f>
        <v>0</v>
      </c>
      <c r="T1151" s="29">
        <f>SUMIFS(Cash_Flow_3[Amount],Cash_Flow_3[Bulan],H1151,Cash_Flow_3[Type],"Out",Cash_Flow_3[Category],"Iqbal")</f>
        <v>0</v>
      </c>
    </row>
    <row r="1152" spans="1:20" ht="22.5" customHeight="1" x14ac:dyDescent="0.2">
      <c r="A1152" s="23"/>
      <c r="B1152" s="24"/>
      <c r="C1152" s="25"/>
      <c r="D1152" s="25"/>
      <c r="E1152" s="25"/>
      <c r="F1152" s="26"/>
      <c r="G1152" s="27"/>
      <c r="H1152" s="28" t="str">
        <f t="shared" si="0"/>
        <v/>
      </c>
      <c r="I1152" s="29">
        <f>SUMIFS(Cash_Flow_3[Amount],Cash_Flow_3[Bulan],H1152,Cash_Flow_3[Type],"In")</f>
        <v>0</v>
      </c>
      <c r="J1152" s="29">
        <f>SUMIFS(Cash_Flow_3[Amount],Cash_Flow_3[Bulan],H1152,Cash_Flow_3[Type],"Out")</f>
        <v>0</v>
      </c>
      <c r="K1152" s="29">
        <f>SUMIFS(Cash_Flow_3[Amount],Cash_Flow_3[Bulan],H1152,Cash_Flow_3[Type],"Out",Cash_Flow_3[Category],"Fix")</f>
        <v>0</v>
      </c>
      <c r="L1152" s="29">
        <f>SUMIFS(Cash_Flow_3[Amount],Cash_Flow_3[Bulan],H1152,Cash_Flow_3[Type],"Out",Cash_Flow_3[Category],"Bathroom")</f>
        <v>0</v>
      </c>
      <c r="M1152" s="29">
        <f>SUMIFS(Cash_Flow_3[Amount],Cash_Flow_3[Bulan],H1152,Cash_Flow_3[Type],"Out",Cash_Flow_3[Category],"Alfa")</f>
        <v>0</v>
      </c>
      <c r="N1152" s="29">
        <f>SUMIFS(Cash_Flow_3[Amount],Cash_Flow_3[Bulan],H1152,Cash_Flow_3[Type],"Out",Cash_Flow_3[Category],"Jajan")</f>
        <v>0</v>
      </c>
      <c r="O1152" s="29">
        <f>SUMIFS(Cash_Flow_3[Amount],Cash_Flow_3[Bulan],H1152,Cash_Flow_3[Type],"Out",Cash_Flow_3[Category],"Kitchen")</f>
        <v>0</v>
      </c>
      <c r="P1152" s="29">
        <f>SUMIFS(Cash_Flow_3[Amount],Cash_Flow_3[Bulan],H1152,Cash_Flow_3[Type],"Out",Cash_Flow_3[Category],"Loandry")</f>
        <v>0</v>
      </c>
      <c r="Q1152" s="29">
        <f>SUMIFS(Cash_Flow_3[Amount],Cash_Flow_3[Bulan],H1152,Cash_Flow_3[Type],"Out",Cash_Flow_3[Category],"Mio")</f>
        <v>0</v>
      </c>
      <c r="R1152" s="29">
        <f>SUMIFS(Cash_Flow_3[Amount],Cash_Flow_3[Bulan],H1152,Cash_Flow_3[Type],"Out",Cash_Flow_3[Category],"Sedekah")</f>
        <v>0</v>
      </c>
      <c r="S1152" s="29">
        <f>SUMIFS(Cash_Flow_3[Amount],Cash_Flow_3[Bulan],H1152,Cash_Flow_3[Type],"Out",Cash_Flow_3[Category],"Zela")</f>
        <v>0</v>
      </c>
      <c r="T1152" s="29">
        <f>SUMIFS(Cash_Flow_3[Amount],Cash_Flow_3[Bulan],H1152,Cash_Flow_3[Type],"Out",Cash_Flow_3[Category],"Iqbal")</f>
        <v>0</v>
      </c>
    </row>
    <row r="1153" spans="1:20" ht="22.5" customHeight="1" x14ac:dyDescent="0.2">
      <c r="A1153" s="23"/>
      <c r="B1153" s="24"/>
      <c r="C1153" s="25"/>
      <c r="D1153" s="25"/>
      <c r="E1153" s="25"/>
      <c r="F1153" s="26"/>
      <c r="G1153" s="27"/>
      <c r="H1153" s="28" t="str">
        <f t="shared" si="0"/>
        <v/>
      </c>
      <c r="I1153" s="29">
        <f>SUMIFS(Cash_Flow_3[Amount],Cash_Flow_3[Bulan],H1153,Cash_Flow_3[Type],"In")</f>
        <v>0</v>
      </c>
      <c r="J1153" s="29">
        <f>SUMIFS(Cash_Flow_3[Amount],Cash_Flow_3[Bulan],H1153,Cash_Flow_3[Type],"Out")</f>
        <v>0</v>
      </c>
      <c r="K1153" s="29">
        <f>SUMIFS(Cash_Flow_3[Amount],Cash_Flow_3[Bulan],H1153,Cash_Flow_3[Type],"Out",Cash_Flow_3[Category],"Fix")</f>
        <v>0</v>
      </c>
      <c r="L1153" s="29">
        <f>SUMIFS(Cash_Flow_3[Amount],Cash_Flow_3[Bulan],H1153,Cash_Flow_3[Type],"Out",Cash_Flow_3[Category],"Bathroom")</f>
        <v>0</v>
      </c>
      <c r="M1153" s="29">
        <f>SUMIFS(Cash_Flow_3[Amount],Cash_Flow_3[Bulan],H1153,Cash_Flow_3[Type],"Out",Cash_Flow_3[Category],"Alfa")</f>
        <v>0</v>
      </c>
      <c r="N1153" s="29">
        <f>SUMIFS(Cash_Flow_3[Amount],Cash_Flow_3[Bulan],H1153,Cash_Flow_3[Type],"Out",Cash_Flow_3[Category],"Jajan")</f>
        <v>0</v>
      </c>
      <c r="O1153" s="29">
        <f>SUMIFS(Cash_Flow_3[Amount],Cash_Flow_3[Bulan],H1153,Cash_Flow_3[Type],"Out",Cash_Flow_3[Category],"Kitchen")</f>
        <v>0</v>
      </c>
      <c r="P1153" s="29">
        <f>SUMIFS(Cash_Flow_3[Amount],Cash_Flow_3[Bulan],H1153,Cash_Flow_3[Type],"Out",Cash_Flow_3[Category],"Loandry")</f>
        <v>0</v>
      </c>
      <c r="Q1153" s="29">
        <f>SUMIFS(Cash_Flow_3[Amount],Cash_Flow_3[Bulan],H1153,Cash_Flow_3[Type],"Out",Cash_Flow_3[Category],"Mio")</f>
        <v>0</v>
      </c>
      <c r="R1153" s="29">
        <f>SUMIFS(Cash_Flow_3[Amount],Cash_Flow_3[Bulan],H1153,Cash_Flow_3[Type],"Out",Cash_Flow_3[Category],"Sedekah")</f>
        <v>0</v>
      </c>
      <c r="S1153" s="29">
        <f>SUMIFS(Cash_Flow_3[Amount],Cash_Flow_3[Bulan],H1153,Cash_Flow_3[Type],"Out",Cash_Flow_3[Category],"Zela")</f>
        <v>0</v>
      </c>
      <c r="T1153" s="29">
        <f>SUMIFS(Cash_Flow_3[Amount],Cash_Flow_3[Bulan],H1153,Cash_Flow_3[Type],"Out",Cash_Flow_3[Category],"Iqbal")</f>
        <v>0</v>
      </c>
    </row>
    <row r="1154" spans="1:20" ht="22.5" customHeight="1" x14ac:dyDescent="0.2">
      <c r="A1154" s="23"/>
      <c r="B1154" s="24"/>
      <c r="C1154" s="25"/>
      <c r="D1154" s="25"/>
      <c r="E1154" s="25"/>
      <c r="F1154" s="26"/>
      <c r="G1154" s="27"/>
      <c r="H1154" s="28" t="str">
        <f t="shared" si="0"/>
        <v/>
      </c>
      <c r="I1154" s="29">
        <f>SUMIFS(Cash_Flow_3[Amount],Cash_Flow_3[Bulan],H1154,Cash_Flow_3[Type],"In")</f>
        <v>0</v>
      </c>
      <c r="J1154" s="29">
        <f>SUMIFS(Cash_Flow_3[Amount],Cash_Flow_3[Bulan],H1154,Cash_Flow_3[Type],"Out")</f>
        <v>0</v>
      </c>
      <c r="K1154" s="29">
        <f>SUMIFS(Cash_Flow_3[Amount],Cash_Flow_3[Bulan],H1154,Cash_Flow_3[Type],"Out",Cash_Flow_3[Category],"Fix")</f>
        <v>0</v>
      </c>
      <c r="L1154" s="29">
        <f>SUMIFS(Cash_Flow_3[Amount],Cash_Flow_3[Bulan],H1154,Cash_Flow_3[Type],"Out",Cash_Flow_3[Category],"Bathroom")</f>
        <v>0</v>
      </c>
      <c r="M1154" s="29">
        <f>SUMIFS(Cash_Flow_3[Amount],Cash_Flow_3[Bulan],H1154,Cash_Flow_3[Type],"Out",Cash_Flow_3[Category],"Alfa")</f>
        <v>0</v>
      </c>
      <c r="N1154" s="29">
        <f>SUMIFS(Cash_Flow_3[Amount],Cash_Flow_3[Bulan],H1154,Cash_Flow_3[Type],"Out",Cash_Flow_3[Category],"Jajan")</f>
        <v>0</v>
      </c>
      <c r="O1154" s="29">
        <f>SUMIFS(Cash_Flow_3[Amount],Cash_Flow_3[Bulan],H1154,Cash_Flow_3[Type],"Out",Cash_Flow_3[Category],"Kitchen")</f>
        <v>0</v>
      </c>
      <c r="P1154" s="29">
        <f>SUMIFS(Cash_Flow_3[Amount],Cash_Flow_3[Bulan],H1154,Cash_Flow_3[Type],"Out",Cash_Flow_3[Category],"Loandry")</f>
        <v>0</v>
      </c>
      <c r="Q1154" s="29">
        <f>SUMIFS(Cash_Flow_3[Amount],Cash_Flow_3[Bulan],H1154,Cash_Flow_3[Type],"Out",Cash_Flow_3[Category],"Mio")</f>
        <v>0</v>
      </c>
      <c r="R1154" s="29">
        <f>SUMIFS(Cash_Flow_3[Amount],Cash_Flow_3[Bulan],H1154,Cash_Flow_3[Type],"Out",Cash_Flow_3[Category],"Sedekah")</f>
        <v>0</v>
      </c>
      <c r="S1154" s="29">
        <f>SUMIFS(Cash_Flow_3[Amount],Cash_Flow_3[Bulan],H1154,Cash_Flow_3[Type],"Out",Cash_Flow_3[Category],"Zela")</f>
        <v>0</v>
      </c>
      <c r="T1154" s="29">
        <f>SUMIFS(Cash_Flow_3[Amount],Cash_Flow_3[Bulan],H1154,Cash_Flow_3[Type],"Out",Cash_Flow_3[Category],"Iqbal")</f>
        <v>0</v>
      </c>
    </row>
    <row r="1155" spans="1:20" ht="22.5" customHeight="1" x14ac:dyDescent="0.2">
      <c r="A1155" s="23"/>
      <c r="B1155" s="24"/>
      <c r="C1155" s="25"/>
      <c r="D1155" s="25"/>
      <c r="E1155" s="25"/>
      <c r="F1155" s="26"/>
      <c r="G1155" s="27"/>
      <c r="H1155" s="28" t="str">
        <f t="shared" si="0"/>
        <v/>
      </c>
      <c r="I1155" s="29">
        <f>SUMIFS(Cash_Flow_3[Amount],Cash_Flow_3[Bulan],H1155,Cash_Flow_3[Type],"In")</f>
        <v>0</v>
      </c>
      <c r="J1155" s="29">
        <f>SUMIFS(Cash_Flow_3[Amount],Cash_Flow_3[Bulan],H1155,Cash_Flow_3[Type],"Out")</f>
        <v>0</v>
      </c>
      <c r="K1155" s="29">
        <f>SUMIFS(Cash_Flow_3[Amount],Cash_Flow_3[Bulan],H1155,Cash_Flow_3[Type],"Out",Cash_Flow_3[Category],"Fix")</f>
        <v>0</v>
      </c>
      <c r="L1155" s="29">
        <f>SUMIFS(Cash_Flow_3[Amount],Cash_Flow_3[Bulan],H1155,Cash_Flow_3[Type],"Out",Cash_Flow_3[Category],"Bathroom")</f>
        <v>0</v>
      </c>
      <c r="M1155" s="29">
        <f>SUMIFS(Cash_Flow_3[Amount],Cash_Flow_3[Bulan],H1155,Cash_Flow_3[Type],"Out",Cash_Flow_3[Category],"Alfa")</f>
        <v>0</v>
      </c>
      <c r="N1155" s="29">
        <f>SUMIFS(Cash_Flow_3[Amount],Cash_Flow_3[Bulan],H1155,Cash_Flow_3[Type],"Out",Cash_Flow_3[Category],"Jajan")</f>
        <v>0</v>
      </c>
      <c r="O1155" s="29">
        <f>SUMIFS(Cash_Flow_3[Amount],Cash_Flow_3[Bulan],H1155,Cash_Flow_3[Type],"Out",Cash_Flow_3[Category],"Kitchen")</f>
        <v>0</v>
      </c>
      <c r="P1155" s="29">
        <f>SUMIFS(Cash_Flow_3[Amount],Cash_Flow_3[Bulan],H1155,Cash_Flow_3[Type],"Out",Cash_Flow_3[Category],"Loandry")</f>
        <v>0</v>
      </c>
      <c r="Q1155" s="29">
        <f>SUMIFS(Cash_Flow_3[Amount],Cash_Flow_3[Bulan],H1155,Cash_Flow_3[Type],"Out",Cash_Flow_3[Category],"Mio")</f>
        <v>0</v>
      </c>
      <c r="R1155" s="29">
        <f>SUMIFS(Cash_Flow_3[Amount],Cash_Flow_3[Bulan],H1155,Cash_Flow_3[Type],"Out",Cash_Flow_3[Category],"Sedekah")</f>
        <v>0</v>
      </c>
      <c r="S1155" s="29">
        <f>SUMIFS(Cash_Flow_3[Amount],Cash_Flow_3[Bulan],H1155,Cash_Flow_3[Type],"Out",Cash_Flow_3[Category],"Zela")</f>
        <v>0</v>
      </c>
      <c r="T1155" s="29">
        <f>SUMIFS(Cash_Flow_3[Amount],Cash_Flow_3[Bulan],H1155,Cash_Flow_3[Type],"Out",Cash_Flow_3[Category],"Iqbal")</f>
        <v>0</v>
      </c>
    </row>
    <row r="1156" spans="1:20" ht="22.5" customHeight="1" x14ac:dyDescent="0.2">
      <c r="A1156" s="23"/>
      <c r="B1156" s="24"/>
      <c r="C1156" s="25"/>
      <c r="D1156" s="25"/>
      <c r="E1156" s="25"/>
      <c r="F1156" s="26"/>
      <c r="G1156" s="27"/>
      <c r="H1156" s="28" t="str">
        <f t="shared" si="0"/>
        <v/>
      </c>
      <c r="I1156" s="29">
        <f>SUMIFS(Cash_Flow_3[Amount],Cash_Flow_3[Bulan],H1156,Cash_Flow_3[Type],"In")</f>
        <v>0</v>
      </c>
      <c r="J1156" s="29">
        <f>SUMIFS(Cash_Flow_3[Amount],Cash_Flow_3[Bulan],H1156,Cash_Flow_3[Type],"Out")</f>
        <v>0</v>
      </c>
      <c r="K1156" s="29">
        <f>SUMIFS(Cash_Flow_3[Amount],Cash_Flow_3[Bulan],H1156,Cash_Flow_3[Type],"Out",Cash_Flow_3[Category],"Fix")</f>
        <v>0</v>
      </c>
      <c r="L1156" s="29">
        <f>SUMIFS(Cash_Flow_3[Amount],Cash_Flow_3[Bulan],H1156,Cash_Flow_3[Type],"Out",Cash_Flow_3[Category],"Bathroom")</f>
        <v>0</v>
      </c>
      <c r="M1156" s="29">
        <f>SUMIFS(Cash_Flow_3[Amount],Cash_Flow_3[Bulan],H1156,Cash_Flow_3[Type],"Out",Cash_Flow_3[Category],"Alfa")</f>
        <v>0</v>
      </c>
      <c r="N1156" s="29">
        <f>SUMIFS(Cash_Flow_3[Amount],Cash_Flow_3[Bulan],H1156,Cash_Flow_3[Type],"Out",Cash_Flow_3[Category],"Jajan")</f>
        <v>0</v>
      </c>
      <c r="O1156" s="29">
        <f>SUMIFS(Cash_Flow_3[Amount],Cash_Flow_3[Bulan],H1156,Cash_Flow_3[Type],"Out",Cash_Flow_3[Category],"Kitchen")</f>
        <v>0</v>
      </c>
      <c r="P1156" s="29">
        <f>SUMIFS(Cash_Flow_3[Amount],Cash_Flow_3[Bulan],H1156,Cash_Flow_3[Type],"Out",Cash_Flow_3[Category],"Loandry")</f>
        <v>0</v>
      </c>
      <c r="Q1156" s="29">
        <f>SUMIFS(Cash_Flow_3[Amount],Cash_Flow_3[Bulan],H1156,Cash_Flow_3[Type],"Out",Cash_Flow_3[Category],"Mio")</f>
        <v>0</v>
      </c>
      <c r="R1156" s="29">
        <f>SUMIFS(Cash_Flow_3[Amount],Cash_Flow_3[Bulan],H1156,Cash_Flow_3[Type],"Out",Cash_Flow_3[Category],"Sedekah")</f>
        <v>0</v>
      </c>
      <c r="S1156" s="29">
        <f>SUMIFS(Cash_Flow_3[Amount],Cash_Flow_3[Bulan],H1156,Cash_Flow_3[Type],"Out",Cash_Flow_3[Category],"Zela")</f>
        <v>0</v>
      </c>
      <c r="T1156" s="29">
        <f>SUMIFS(Cash_Flow_3[Amount],Cash_Flow_3[Bulan],H1156,Cash_Flow_3[Type],"Out",Cash_Flow_3[Category],"Iqbal")</f>
        <v>0</v>
      </c>
    </row>
    <row r="1157" spans="1:20" ht="22.5" customHeight="1" x14ac:dyDescent="0.2">
      <c r="A1157" s="23"/>
      <c r="B1157" s="24"/>
      <c r="C1157" s="25"/>
      <c r="D1157" s="25"/>
      <c r="E1157" s="25"/>
      <c r="F1157" s="26"/>
      <c r="G1157" s="27"/>
      <c r="H1157" s="28" t="str">
        <f t="shared" si="0"/>
        <v/>
      </c>
      <c r="I1157" s="29">
        <f>SUMIFS(Cash_Flow_3[Amount],Cash_Flow_3[Bulan],H1157,Cash_Flow_3[Type],"In")</f>
        <v>0</v>
      </c>
      <c r="J1157" s="29">
        <f>SUMIFS(Cash_Flow_3[Amount],Cash_Flow_3[Bulan],H1157,Cash_Flow_3[Type],"Out")</f>
        <v>0</v>
      </c>
      <c r="K1157" s="29">
        <f>SUMIFS(Cash_Flow_3[Amount],Cash_Flow_3[Bulan],H1157,Cash_Flow_3[Type],"Out",Cash_Flow_3[Category],"Fix")</f>
        <v>0</v>
      </c>
      <c r="L1157" s="29">
        <f>SUMIFS(Cash_Flow_3[Amount],Cash_Flow_3[Bulan],H1157,Cash_Flow_3[Type],"Out",Cash_Flow_3[Category],"Bathroom")</f>
        <v>0</v>
      </c>
      <c r="M1157" s="29">
        <f>SUMIFS(Cash_Flow_3[Amount],Cash_Flow_3[Bulan],H1157,Cash_Flow_3[Type],"Out",Cash_Flow_3[Category],"Alfa")</f>
        <v>0</v>
      </c>
      <c r="N1157" s="29">
        <f>SUMIFS(Cash_Flow_3[Amount],Cash_Flow_3[Bulan],H1157,Cash_Flow_3[Type],"Out",Cash_Flow_3[Category],"Jajan")</f>
        <v>0</v>
      </c>
      <c r="O1157" s="29">
        <f>SUMIFS(Cash_Flow_3[Amount],Cash_Flow_3[Bulan],H1157,Cash_Flow_3[Type],"Out",Cash_Flow_3[Category],"Kitchen")</f>
        <v>0</v>
      </c>
      <c r="P1157" s="29">
        <f>SUMIFS(Cash_Flow_3[Amount],Cash_Flow_3[Bulan],H1157,Cash_Flow_3[Type],"Out",Cash_Flow_3[Category],"Loandry")</f>
        <v>0</v>
      </c>
      <c r="Q1157" s="29">
        <f>SUMIFS(Cash_Flow_3[Amount],Cash_Flow_3[Bulan],H1157,Cash_Flow_3[Type],"Out",Cash_Flow_3[Category],"Mio")</f>
        <v>0</v>
      </c>
      <c r="R1157" s="29">
        <f>SUMIFS(Cash_Flow_3[Amount],Cash_Flow_3[Bulan],H1157,Cash_Flow_3[Type],"Out",Cash_Flow_3[Category],"Sedekah")</f>
        <v>0</v>
      </c>
      <c r="S1157" s="29">
        <f>SUMIFS(Cash_Flow_3[Amount],Cash_Flow_3[Bulan],H1157,Cash_Flow_3[Type],"Out",Cash_Flow_3[Category],"Zela")</f>
        <v>0</v>
      </c>
      <c r="T1157" s="29">
        <f>SUMIFS(Cash_Flow_3[Amount],Cash_Flow_3[Bulan],H1157,Cash_Flow_3[Type],"Out",Cash_Flow_3[Category],"Iqbal")</f>
        <v>0</v>
      </c>
    </row>
    <row r="1158" spans="1:20" ht="22.5" customHeight="1" x14ac:dyDescent="0.2">
      <c r="A1158" s="23"/>
      <c r="B1158" s="24"/>
      <c r="C1158" s="25"/>
      <c r="D1158" s="25"/>
      <c r="E1158" s="25"/>
      <c r="F1158" s="26"/>
      <c r="G1158" s="27"/>
      <c r="H1158" s="28" t="str">
        <f t="shared" si="0"/>
        <v/>
      </c>
      <c r="I1158" s="29">
        <f>SUMIFS(Cash_Flow_3[Amount],Cash_Flow_3[Bulan],H1158,Cash_Flow_3[Type],"In")</f>
        <v>0</v>
      </c>
      <c r="J1158" s="29">
        <f>SUMIFS(Cash_Flow_3[Amount],Cash_Flow_3[Bulan],H1158,Cash_Flow_3[Type],"Out")</f>
        <v>0</v>
      </c>
      <c r="K1158" s="29">
        <f>SUMIFS(Cash_Flow_3[Amount],Cash_Flow_3[Bulan],H1158,Cash_Flow_3[Type],"Out",Cash_Flow_3[Category],"Fix")</f>
        <v>0</v>
      </c>
      <c r="L1158" s="29">
        <f>SUMIFS(Cash_Flow_3[Amount],Cash_Flow_3[Bulan],H1158,Cash_Flow_3[Type],"Out",Cash_Flow_3[Category],"Bathroom")</f>
        <v>0</v>
      </c>
      <c r="M1158" s="29">
        <f>SUMIFS(Cash_Flow_3[Amount],Cash_Flow_3[Bulan],H1158,Cash_Flow_3[Type],"Out",Cash_Flow_3[Category],"Alfa")</f>
        <v>0</v>
      </c>
      <c r="N1158" s="29">
        <f>SUMIFS(Cash_Flow_3[Amount],Cash_Flow_3[Bulan],H1158,Cash_Flow_3[Type],"Out",Cash_Flow_3[Category],"Jajan")</f>
        <v>0</v>
      </c>
      <c r="O1158" s="29">
        <f>SUMIFS(Cash_Flow_3[Amount],Cash_Flow_3[Bulan],H1158,Cash_Flow_3[Type],"Out",Cash_Flow_3[Category],"Kitchen")</f>
        <v>0</v>
      </c>
      <c r="P1158" s="29">
        <f>SUMIFS(Cash_Flow_3[Amount],Cash_Flow_3[Bulan],H1158,Cash_Flow_3[Type],"Out",Cash_Flow_3[Category],"Loandry")</f>
        <v>0</v>
      </c>
      <c r="Q1158" s="29">
        <f>SUMIFS(Cash_Flow_3[Amount],Cash_Flow_3[Bulan],H1158,Cash_Flow_3[Type],"Out",Cash_Flow_3[Category],"Mio")</f>
        <v>0</v>
      </c>
      <c r="R1158" s="29">
        <f>SUMIFS(Cash_Flow_3[Amount],Cash_Flow_3[Bulan],H1158,Cash_Flow_3[Type],"Out",Cash_Flow_3[Category],"Sedekah")</f>
        <v>0</v>
      </c>
      <c r="S1158" s="29">
        <f>SUMIFS(Cash_Flow_3[Amount],Cash_Flow_3[Bulan],H1158,Cash_Flow_3[Type],"Out",Cash_Flow_3[Category],"Zela")</f>
        <v>0</v>
      </c>
      <c r="T1158" s="29">
        <f>SUMIFS(Cash_Flow_3[Amount],Cash_Flow_3[Bulan],H1158,Cash_Flow_3[Type],"Out",Cash_Flow_3[Category],"Iqbal")</f>
        <v>0</v>
      </c>
    </row>
    <row r="1159" spans="1:20" ht="22.5" customHeight="1" x14ac:dyDescent="0.2">
      <c r="A1159" s="23"/>
      <c r="B1159" s="24"/>
      <c r="C1159" s="25"/>
      <c r="D1159" s="25"/>
      <c r="E1159" s="25"/>
      <c r="F1159" s="26"/>
      <c r="G1159" s="27"/>
      <c r="H1159" s="28" t="str">
        <f t="shared" si="0"/>
        <v/>
      </c>
      <c r="I1159" s="29">
        <f>SUMIFS(Cash_Flow_3[Amount],Cash_Flow_3[Bulan],H1159,Cash_Flow_3[Type],"In")</f>
        <v>0</v>
      </c>
      <c r="J1159" s="29">
        <f>SUMIFS(Cash_Flow_3[Amount],Cash_Flow_3[Bulan],H1159,Cash_Flow_3[Type],"Out")</f>
        <v>0</v>
      </c>
      <c r="K1159" s="29">
        <f>SUMIFS(Cash_Flow_3[Amount],Cash_Flow_3[Bulan],H1159,Cash_Flow_3[Type],"Out",Cash_Flow_3[Category],"Fix")</f>
        <v>0</v>
      </c>
      <c r="L1159" s="29">
        <f>SUMIFS(Cash_Flow_3[Amount],Cash_Flow_3[Bulan],H1159,Cash_Flow_3[Type],"Out",Cash_Flow_3[Category],"Bathroom")</f>
        <v>0</v>
      </c>
      <c r="M1159" s="29">
        <f>SUMIFS(Cash_Flow_3[Amount],Cash_Flow_3[Bulan],H1159,Cash_Flow_3[Type],"Out",Cash_Flow_3[Category],"Alfa")</f>
        <v>0</v>
      </c>
      <c r="N1159" s="29">
        <f>SUMIFS(Cash_Flow_3[Amount],Cash_Flow_3[Bulan],H1159,Cash_Flow_3[Type],"Out",Cash_Flow_3[Category],"Jajan")</f>
        <v>0</v>
      </c>
      <c r="O1159" s="29">
        <f>SUMIFS(Cash_Flow_3[Amount],Cash_Flow_3[Bulan],H1159,Cash_Flow_3[Type],"Out",Cash_Flow_3[Category],"Kitchen")</f>
        <v>0</v>
      </c>
      <c r="P1159" s="29">
        <f>SUMIFS(Cash_Flow_3[Amount],Cash_Flow_3[Bulan],H1159,Cash_Flow_3[Type],"Out",Cash_Flow_3[Category],"Loandry")</f>
        <v>0</v>
      </c>
      <c r="Q1159" s="29">
        <f>SUMIFS(Cash_Flow_3[Amount],Cash_Flow_3[Bulan],H1159,Cash_Flow_3[Type],"Out",Cash_Flow_3[Category],"Mio")</f>
        <v>0</v>
      </c>
      <c r="R1159" s="29">
        <f>SUMIFS(Cash_Flow_3[Amount],Cash_Flow_3[Bulan],H1159,Cash_Flow_3[Type],"Out",Cash_Flow_3[Category],"Sedekah")</f>
        <v>0</v>
      </c>
      <c r="S1159" s="29">
        <f>SUMIFS(Cash_Flow_3[Amount],Cash_Flow_3[Bulan],H1159,Cash_Flow_3[Type],"Out",Cash_Flow_3[Category],"Zela")</f>
        <v>0</v>
      </c>
      <c r="T1159" s="29">
        <f>SUMIFS(Cash_Flow_3[Amount],Cash_Flow_3[Bulan],H1159,Cash_Flow_3[Type],"Out",Cash_Flow_3[Category],"Iqbal")</f>
        <v>0</v>
      </c>
    </row>
    <row r="1160" spans="1:20" ht="22.5" customHeight="1" x14ac:dyDescent="0.2">
      <c r="A1160" s="23"/>
      <c r="B1160" s="24"/>
      <c r="C1160" s="25"/>
      <c r="D1160" s="25"/>
      <c r="E1160" s="25"/>
      <c r="F1160" s="26"/>
      <c r="G1160" s="27"/>
      <c r="H1160" s="28" t="str">
        <f t="shared" si="0"/>
        <v/>
      </c>
      <c r="I1160" s="29">
        <f>SUMIFS(Cash_Flow_3[Amount],Cash_Flow_3[Bulan],H1160,Cash_Flow_3[Type],"In")</f>
        <v>0</v>
      </c>
      <c r="J1160" s="29">
        <f>SUMIFS(Cash_Flow_3[Amount],Cash_Flow_3[Bulan],H1160,Cash_Flow_3[Type],"Out")</f>
        <v>0</v>
      </c>
      <c r="K1160" s="29">
        <f>SUMIFS(Cash_Flow_3[Amount],Cash_Flow_3[Bulan],H1160,Cash_Flow_3[Type],"Out",Cash_Flow_3[Category],"Fix")</f>
        <v>0</v>
      </c>
      <c r="L1160" s="29">
        <f>SUMIFS(Cash_Flow_3[Amount],Cash_Flow_3[Bulan],H1160,Cash_Flow_3[Type],"Out",Cash_Flow_3[Category],"Bathroom")</f>
        <v>0</v>
      </c>
      <c r="M1160" s="29">
        <f>SUMIFS(Cash_Flow_3[Amount],Cash_Flow_3[Bulan],H1160,Cash_Flow_3[Type],"Out",Cash_Flow_3[Category],"Alfa")</f>
        <v>0</v>
      </c>
      <c r="N1160" s="29">
        <f>SUMIFS(Cash_Flow_3[Amount],Cash_Flow_3[Bulan],H1160,Cash_Flow_3[Type],"Out",Cash_Flow_3[Category],"Jajan")</f>
        <v>0</v>
      </c>
      <c r="O1160" s="29">
        <f>SUMIFS(Cash_Flow_3[Amount],Cash_Flow_3[Bulan],H1160,Cash_Flow_3[Type],"Out",Cash_Flow_3[Category],"Kitchen")</f>
        <v>0</v>
      </c>
      <c r="P1160" s="29">
        <f>SUMIFS(Cash_Flow_3[Amount],Cash_Flow_3[Bulan],H1160,Cash_Flow_3[Type],"Out",Cash_Flow_3[Category],"Loandry")</f>
        <v>0</v>
      </c>
      <c r="Q1160" s="29">
        <f>SUMIFS(Cash_Flow_3[Amount],Cash_Flow_3[Bulan],H1160,Cash_Flow_3[Type],"Out",Cash_Flow_3[Category],"Mio")</f>
        <v>0</v>
      </c>
      <c r="R1160" s="29">
        <f>SUMIFS(Cash_Flow_3[Amount],Cash_Flow_3[Bulan],H1160,Cash_Flow_3[Type],"Out",Cash_Flow_3[Category],"Sedekah")</f>
        <v>0</v>
      </c>
      <c r="S1160" s="29">
        <f>SUMIFS(Cash_Flow_3[Amount],Cash_Flow_3[Bulan],H1160,Cash_Flow_3[Type],"Out",Cash_Flow_3[Category],"Zela")</f>
        <v>0</v>
      </c>
      <c r="T1160" s="29">
        <f>SUMIFS(Cash_Flow_3[Amount],Cash_Flow_3[Bulan],H1160,Cash_Flow_3[Type],"Out",Cash_Flow_3[Category],"Iqbal")</f>
        <v>0</v>
      </c>
    </row>
    <row r="1161" spans="1:20" ht="22.5" customHeight="1" x14ac:dyDescent="0.2">
      <c r="A1161" s="23"/>
      <c r="B1161" s="24"/>
      <c r="C1161" s="25"/>
      <c r="D1161" s="25"/>
      <c r="E1161" s="25"/>
      <c r="F1161" s="26"/>
      <c r="G1161" s="27"/>
      <c r="H1161" s="28" t="str">
        <f t="shared" si="0"/>
        <v/>
      </c>
      <c r="I1161" s="29">
        <f>SUMIFS(Cash_Flow_3[Amount],Cash_Flow_3[Bulan],H1161,Cash_Flow_3[Type],"In")</f>
        <v>0</v>
      </c>
      <c r="J1161" s="29">
        <f>SUMIFS(Cash_Flow_3[Amount],Cash_Flow_3[Bulan],H1161,Cash_Flow_3[Type],"Out")</f>
        <v>0</v>
      </c>
      <c r="K1161" s="29">
        <f>SUMIFS(Cash_Flow_3[Amount],Cash_Flow_3[Bulan],H1161,Cash_Flow_3[Type],"Out",Cash_Flow_3[Category],"Fix")</f>
        <v>0</v>
      </c>
      <c r="L1161" s="29">
        <f>SUMIFS(Cash_Flow_3[Amount],Cash_Flow_3[Bulan],H1161,Cash_Flow_3[Type],"Out",Cash_Flow_3[Category],"Bathroom")</f>
        <v>0</v>
      </c>
      <c r="M1161" s="29">
        <f>SUMIFS(Cash_Flow_3[Amount],Cash_Flow_3[Bulan],H1161,Cash_Flow_3[Type],"Out",Cash_Flow_3[Category],"Alfa")</f>
        <v>0</v>
      </c>
      <c r="N1161" s="29">
        <f>SUMIFS(Cash_Flow_3[Amount],Cash_Flow_3[Bulan],H1161,Cash_Flow_3[Type],"Out",Cash_Flow_3[Category],"Jajan")</f>
        <v>0</v>
      </c>
      <c r="O1161" s="29">
        <f>SUMIFS(Cash_Flow_3[Amount],Cash_Flow_3[Bulan],H1161,Cash_Flow_3[Type],"Out",Cash_Flow_3[Category],"Kitchen")</f>
        <v>0</v>
      </c>
      <c r="P1161" s="29">
        <f>SUMIFS(Cash_Flow_3[Amount],Cash_Flow_3[Bulan],H1161,Cash_Flow_3[Type],"Out",Cash_Flow_3[Category],"Loandry")</f>
        <v>0</v>
      </c>
      <c r="Q1161" s="29">
        <f>SUMIFS(Cash_Flow_3[Amount],Cash_Flow_3[Bulan],H1161,Cash_Flow_3[Type],"Out",Cash_Flow_3[Category],"Mio")</f>
        <v>0</v>
      </c>
      <c r="R1161" s="29">
        <f>SUMIFS(Cash_Flow_3[Amount],Cash_Flow_3[Bulan],H1161,Cash_Flow_3[Type],"Out",Cash_Flow_3[Category],"Sedekah")</f>
        <v>0</v>
      </c>
      <c r="S1161" s="29">
        <f>SUMIFS(Cash_Flow_3[Amount],Cash_Flow_3[Bulan],H1161,Cash_Flow_3[Type],"Out",Cash_Flow_3[Category],"Zela")</f>
        <v>0</v>
      </c>
      <c r="T1161" s="29">
        <f>SUMIFS(Cash_Flow_3[Amount],Cash_Flow_3[Bulan],H1161,Cash_Flow_3[Type],"Out",Cash_Flow_3[Category],"Iqbal")</f>
        <v>0</v>
      </c>
    </row>
    <row r="1162" spans="1:20" ht="22.5" customHeight="1" x14ac:dyDescent="0.2">
      <c r="A1162" s="23"/>
      <c r="B1162" s="24"/>
      <c r="C1162" s="25"/>
      <c r="D1162" s="25"/>
      <c r="E1162" s="25"/>
      <c r="F1162" s="26"/>
      <c r="G1162" s="27"/>
      <c r="H1162" s="28" t="str">
        <f t="shared" si="0"/>
        <v/>
      </c>
      <c r="I1162" s="29">
        <f>SUMIFS(Cash_Flow_3[Amount],Cash_Flow_3[Bulan],H1162,Cash_Flow_3[Type],"In")</f>
        <v>0</v>
      </c>
      <c r="J1162" s="29">
        <f>SUMIFS(Cash_Flow_3[Amount],Cash_Flow_3[Bulan],H1162,Cash_Flow_3[Type],"Out")</f>
        <v>0</v>
      </c>
      <c r="K1162" s="29">
        <f>SUMIFS(Cash_Flow_3[Amount],Cash_Flow_3[Bulan],H1162,Cash_Flow_3[Type],"Out",Cash_Flow_3[Category],"Fix")</f>
        <v>0</v>
      </c>
      <c r="L1162" s="29">
        <f>SUMIFS(Cash_Flow_3[Amount],Cash_Flow_3[Bulan],H1162,Cash_Flow_3[Type],"Out",Cash_Flow_3[Category],"Bathroom")</f>
        <v>0</v>
      </c>
      <c r="M1162" s="29">
        <f>SUMIFS(Cash_Flow_3[Amount],Cash_Flow_3[Bulan],H1162,Cash_Flow_3[Type],"Out",Cash_Flow_3[Category],"Alfa")</f>
        <v>0</v>
      </c>
      <c r="N1162" s="29">
        <f>SUMIFS(Cash_Flow_3[Amount],Cash_Flow_3[Bulan],H1162,Cash_Flow_3[Type],"Out",Cash_Flow_3[Category],"Jajan")</f>
        <v>0</v>
      </c>
      <c r="O1162" s="29">
        <f>SUMIFS(Cash_Flow_3[Amount],Cash_Flow_3[Bulan],H1162,Cash_Flow_3[Type],"Out",Cash_Flow_3[Category],"Kitchen")</f>
        <v>0</v>
      </c>
      <c r="P1162" s="29">
        <f>SUMIFS(Cash_Flow_3[Amount],Cash_Flow_3[Bulan],H1162,Cash_Flow_3[Type],"Out",Cash_Flow_3[Category],"Loandry")</f>
        <v>0</v>
      </c>
      <c r="Q1162" s="29">
        <f>SUMIFS(Cash_Flow_3[Amount],Cash_Flow_3[Bulan],H1162,Cash_Flow_3[Type],"Out",Cash_Flow_3[Category],"Mio")</f>
        <v>0</v>
      </c>
      <c r="R1162" s="29">
        <f>SUMIFS(Cash_Flow_3[Amount],Cash_Flow_3[Bulan],H1162,Cash_Flow_3[Type],"Out",Cash_Flow_3[Category],"Sedekah")</f>
        <v>0</v>
      </c>
      <c r="S1162" s="29">
        <f>SUMIFS(Cash_Flow_3[Amount],Cash_Flow_3[Bulan],H1162,Cash_Flow_3[Type],"Out",Cash_Flow_3[Category],"Zela")</f>
        <v>0</v>
      </c>
      <c r="T1162" s="29">
        <f>SUMIFS(Cash_Flow_3[Amount],Cash_Flow_3[Bulan],H1162,Cash_Flow_3[Type],"Out",Cash_Flow_3[Category],"Iqbal")</f>
        <v>0</v>
      </c>
    </row>
    <row r="1163" spans="1:20" ht="22.5" customHeight="1" x14ac:dyDescent="0.2">
      <c r="A1163" s="23"/>
      <c r="B1163" s="24"/>
      <c r="C1163" s="25"/>
      <c r="D1163" s="25"/>
      <c r="E1163" s="25"/>
      <c r="F1163" s="26"/>
      <c r="G1163" s="27"/>
      <c r="H1163" s="28" t="str">
        <f t="shared" si="0"/>
        <v/>
      </c>
      <c r="I1163" s="29">
        <f>SUMIFS(Cash_Flow_3[Amount],Cash_Flow_3[Bulan],H1163,Cash_Flow_3[Type],"In")</f>
        <v>0</v>
      </c>
      <c r="J1163" s="29">
        <f>SUMIFS(Cash_Flow_3[Amount],Cash_Flow_3[Bulan],H1163,Cash_Flow_3[Type],"Out")</f>
        <v>0</v>
      </c>
      <c r="K1163" s="29">
        <f>SUMIFS(Cash_Flow_3[Amount],Cash_Flow_3[Bulan],H1163,Cash_Flow_3[Type],"Out",Cash_Flow_3[Category],"Fix")</f>
        <v>0</v>
      </c>
      <c r="L1163" s="29">
        <f>SUMIFS(Cash_Flow_3[Amount],Cash_Flow_3[Bulan],H1163,Cash_Flow_3[Type],"Out",Cash_Flow_3[Category],"Bathroom")</f>
        <v>0</v>
      </c>
      <c r="M1163" s="29">
        <f>SUMIFS(Cash_Flow_3[Amount],Cash_Flow_3[Bulan],H1163,Cash_Flow_3[Type],"Out",Cash_Flow_3[Category],"Alfa")</f>
        <v>0</v>
      </c>
      <c r="N1163" s="29">
        <f>SUMIFS(Cash_Flow_3[Amount],Cash_Flow_3[Bulan],H1163,Cash_Flow_3[Type],"Out",Cash_Flow_3[Category],"Jajan")</f>
        <v>0</v>
      </c>
      <c r="O1163" s="29">
        <f>SUMIFS(Cash_Flow_3[Amount],Cash_Flow_3[Bulan],H1163,Cash_Flow_3[Type],"Out",Cash_Flow_3[Category],"Kitchen")</f>
        <v>0</v>
      </c>
      <c r="P1163" s="29">
        <f>SUMIFS(Cash_Flow_3[Amount],Cash_Flow_3[Bulan],H1163,Cash_Flow_3[Type],"Out",Cash_Flow_3[Category],"Loandry")</f>
        <v>0</v>
      </c>
      <c r="Q1163" s="29">
        <f>SUMIFS(Cash_Flow_3[Amount],Cash_Flow_3[Bulan],H1163,Cash_Flow_3[Type],"Out",Cash_Flow_3[Category],"Mio")</f>
        <v>0</v>
      </c>
      <c r="R1163" s="29">
        <f>SUMIFS(Cash_Flow_3[Amount],Cash_Flow_3[Bulan],H1163,Cash_Flow_3[Type],"Out",Cash_Flow_3[Category],"Sedekah")</f>
        <v>0</v>
      </c>
      <c r="S1163" s="29">
        <f>SUMIFS(Cash_Flow_3[Amount],Cash_Flow_3[Bulan],H1163,Cash_Flow_3[Type],"Out",Cash_Flow_3[Category],"Zela")</f>
        <v>0</v>
      </c>
      <c r="T1163" s="29">
        <f>SUMIFS(Cash_Flow_3[Amount],Cash_Flow_3[Bulan],H1163,Cash_Flow_3[Type],"Out",Cash_Flow_3[Category],"Iqbal")</f>
        <v>0</v>
      </c>
    </row>
    <row r="1164" spans="1:20" ht="22.5" customHeight="1" x14ac:dyDescent="0.2">
      <c r="A1164" s="23"/>
      <c r="B1164" s="24"/>
      <c r="C1164" s="25"/>
      <c r="D1164" s="25"/>
      <c r="E1164" s="25"/>
      <c r="F1164" s="26"/>
      <c r="G1164" s="27"/>
      <c r="H1164" s="28" t="str">
        <f t="shared" si="0"/>
        <v/>
      </c>
      <c r="I1164" s="29">
        <f>SUMIFS(Cash_Flow_3[Amount],Cash_Flow_3[Bulan],H1164,Cash_Flow_3[Type],"In")</f>
        <v>0</v>
      </c>
      <c r="J1164" s="29">
        <f>SUMIFS(Cash_Flow_3[Amount],Cash_Flow_3[Bulan],H1164,Cash_Flow_3[Type],"Out")</f>
        <v>0</v>
      </c>
      <c r="K1164" s="29">
        <f>SUMIFS(Cash_Flow_3[Amount],Cash_Flow_3[Bulan],H1164,Cash_Flow_3[Type],"Out",Cash_Flow_3[Category],"Fix")</f>
        <v>0</v>
      </c>
      <c r="L1164" s="29">
        <f>SUMIFS(Cash_Flow_3[Amount],Cash_Flow_3[Bulan],H1164,Cash_Flow_3[Type],"Out",Cash_Flow_3[Category],"Bathroom")</f>
        <v>0</v>
      </c>
      <c r="M1164" s="29">
        <f>SUMIFS(Cash_Flow_3[Amount],Cash_Flow_3[Bulan],H1164,Cash_Flow_3[Type],"Out",Cash_Flow_3[Category],"Alfa")</f>
        <v>0</v>
      </c>
      <c r="N1164" s="29">
        <f>SUMIFS(Cash_Flow_3[Amount],Cash_Flow_3[Bulan],H1164,Cash_Flow_3[Type],"Out",Cash_Flow_3[Category],"Jajan")</f>
        <v>0</v>
      </c>
      <c r="O1164" s="29">
        <f>SUMIFS(Cash_Flow_3[Amount],Cash_Flow_3[Bulan],H1164,Cash_Flow_3[Type],"Out",Cash_Flow_3[Category],"Kitchen")</f>
        <v>0</v>
      </c>
      <c r="P1164" s="29">
        <f>SUMIFS(Cash_Flow_3[Amount],Cash_Flow_3[Bulan],H1164,Cash_Flow_3[Type],"Out",Cash_Flow_3[Category],"Loandry")</f>
        <v>0</v>
      </c>
      <c r="Q1164" s="29">
        <f>SUMIFS(Cash_Flow_3[Amount],Cash_Flow_3[Bulan],H1164,Cash_Flow_3[Type],"Out",Cash_Flow_3[Category],"Mio")</f>
        <v>0</v>
      </c>
      <c r="R1164" s="29">
        <f>SUMIFS(Cash_Flow_3[Amount],Cash_Flow_3[Bulan],H1164,Cash_Flow_3[Type],"Out",Cash_Flow_3[Category],"Sedekah")</f>
        <v>0</v>
      </c>
      <c r="S1164" s="29">
        <f>SUMIFS(Cash_Flow_3[Amount],Cash_Flow_3[Bulan],H1164,Cash_Flow_3[Type],"Out",Cash_Flow_3[Category],"Zela")</f>
        <v>0</v>
      </c>
      <c r="T1164" s="29">
        <f>SUMIFS(Cash_Flow_3[Amount],Cash_Flow_3[Bulan],H1164,Cash_Flow_3[Type],"Out",Cash_Flow_3[Category],"Iqbal")</f>
        <v>0</v>
      </c>
    </row>
    <row r="1165" spans="1:20" ht="22.5" customHeight="1" x14ac:dyDescent="0.2">
      <c r="A1165" s="23"/>
      <c r="B1165" s="24"/>
      <c r="C1165" s="25"/>
      <c r="D1165" s="25"/>
      <c r="E1165" s="25"/>
      <c r="F1165" s="26"/>
      <c r="G1165" s="27"/>
      <c r="H1165" s="28" t="str">
        <f t="shared" si="0"/>
        <v/>
      </c>
      <c r="I1165" s="29">
        <f>SUMIFS(Cash_Flow_3[Amount],Cash_Flow_3[Bulan],H1165,Cash_Flow_3[Type],"In")</f>
        <v>0</v>
      </c>
      <c r="J1165" s="29">
        <f>SUMIFS(Cash_Flow_3[Amount],Cash_Flow_3[Bulan],H1165,Cash_Flow_3[Type],"Out")</f>
        <v>0</v>
      </c>
      <c r="K1165" s="29">
        <f>SUMIFS(Cash_Flow_3[Amount],Cash_Flow_3[Bulan],H1165,Cash_Flow_3[Type],"Out",Cash_Flow_3[Category],"Fix")</f>
        <v>0</v>
      </c>
      <c r="L1165" s="29">
        <f>SUMIFS(Cash_Flow_3[Amount],Cash_Flow_3[Bulan],H1165,Cash_Flow_3[Type],"Out",Cash_Flow_3[Category],"Bathroom")</f>
        <v>0</v>
      </c>
      <c r="M1165" s="29">
        <f>SUMIFS(Cash_Flow_3[Amount],Cash_Flow_3[Bulan],H1165,Cash_Flow_3[Type],"Out",Cash_Flow_3[Category],"Alfa")</f>
        <v>0</v>
      </c>
      <c r="N1165" s="29">
        <f>SUMIFS(Cash_Flow_3[Amount],Cash_Flow_3[Bulan],H1165,Cash_Flow_3[Type],"Out",Cash_Flow_3[Category],"Jajan")</f>
        <v>0</v>
      </c>
      <c r="O1165" s="29">
        <f>SUMIFS(Cash_Flow_3[Amount],Cash_Flow_3[Bulan],H1165,Cash_Flow_3[Type],"Out",Cash_Flow_3[Category],"Kitchen")</f>
        <v>0</v>
      </c>
      <c r="P1165" s="29">
        <f>SUMIFS(Cash_Flow_3[Amount],Cash_Flow_3[Bulan],H1165,Cash_Flow_3[Type],"Out",Cash_Flow_3[Category],"Loandry")</f>
        <v>0</v>
      </c>
      <c r="Q1165" s="29">
        <f>SUMIFS(Cash_Flow_3[Amount],Cash_Flow_3[Bulan],H1165,Cash_Flow_3[Type],"Out",Cash_Flow_3[Category],"Mio")</f>
        <v>0</v>
      </c>
      <c r="R1165" s="29">
        <f>SUMIFS(Cash_Flow_3[Amount],Cash_Flow_3[Bulan],H1165,Cash_Flow_3[Type],"Out",Cash_Flow_3[Category],"Sedekah")</f>
        <v>0</v>
      </c>
      <c r="S1165" s="29">
        <f>SUMIFS(Cash_Flow_3[Amount],Cash_Flow_3[Bulan],H1165,Cash_Flow_3[Type],"Out",Cash_Flow_3[Category],"Zela")</f>
        <v>0</v>
      </c>
      <c r="T1165" s="29">
        <f>SUMIFS(Cash_Flow_3[Amount],Cash_Flow_3[Bulan],H1165,Cash_Flow_3[Type],"Out",Cash_Flow_3[Category],"Iqbal")</f>
        <v>0</v>
      </c>
    </row>
    <row r="1166" spans="1:20" ht="22.5" customHeight="1" x14ac:dyDescent="0.2">
      <c r="A1166" s="23"/>
      <c r="B1166" s="24"/>
      <c r="C1166" s="25"/>
      <c r="D1166" s="25"/>
      <c r="E1166" s="25"/>
      <c r="F1166" s="26"/>
      <c r="G1166" s="27"/>
      <c r="H1166" s="28" t="str">
        <f t="shared" si="0"/>
        <v/>
      </c>
      <c r="I1166" s="29">
        <f>SUMIFS(Cash_Flow_3[Amount],Cash_Flow_3[Bulan],H1166,Cash_Flow_3[Type],"In")</f>
        <v>0</v>
      </c>
      <c r="J1166" s="29">
        <f>SUMIFS(Cash_Flow_3[Amount],Cash_Flow_3[Bulan],H1166,Cash_Flow_3[Type],"Out")</f>
        <v>0</v>
      </c>
      <c r="K1166" s="29">
        <f>SUMIFS(Cash_Flow_3[Amount],Cash_Flow_3[Bulan],H1166,Cash_Flow_3[Type],"Out",Cash_Flow_3[Category],"Fix")</f>
        <v>0</v>
      </c>
      <c r="L1166" s="29">
        <f>SUMIFS(Cash_Flow_3[Amount],Cash_Flow_3[Bulan],H1166,Cash_Flow_3[Type],"Out",Cash_Flow_3[Category],"Bathroom")</f>
        <v>0</v>
      </c>
      <c r="M1166" s="29">
        <f>SUMIFS(Cash_Flow_3[Amount],Cash_Flow_3[Bulan],H1166,Cash_Flow_3[Type],"Out",Cash_Flow_3[Category],"Alfa")</f>
        <v>0</v>
      </c>
      <c r="N1166" s="29">
        <f>SUMIFS(Cash_Flow_3[Amount],Cash_Flow_3[Bulan],H1166,Cash_Flow_3[Type],"Out",Cash_Flow_3[Category],"Jajan")</f>
        <v>0</v>
      </c>
      <c r="O1166" s="29">
        <f>SUMIFS(Cash_Flow_3[Amount],Cash_Flow_3[Bulan],H1166,Cash_Flow_3[Type],"Out",Cash_Flow_3[Category],"Kitchen")</f>
        <v>0</v>
      </c>
      <c r="P1166" s="29">
        <f>SUMIFS(Cash_Flow_3[Amount],Cash_Flow_3[Bulan],H1166,Cash_Flow_3[Type],"Out",Cash_Flow_3[Category],"Loandry")</f>
        <v>0</v>
      </c>
      <c r="Q1166" s="29">
        <f>SUMIFS(Cash_Flow_3[Amount],Cash_Flow_3[Bulan],H1166,Cash_Flow_3[Type],"Out",Cash_Flow_3[Category],"Mio")</f>
        <v>0</v>
      </c>
      <c r="R1166" s="29">
        <f>SUMIFS(Cash_Flow_3[Amount],Cash_Flow_3[Bulan],H1166,Cash_Flow_3[Type],"Out",Cash_Flow_3[Category],"Sedekah")</f>
        <v>0</v>
      </c>
      <c r="S1166" s="29">
        <f>SUMIFS(Cash_Flow_3[Amount],Cash_Flow_3[Bulan],H1166,Cash_Flow_3[Type],"Out",Cash_Flow_3[Category],"Zela")</f>
        <v>0</v>
      </c>
      <c r="T1166" s="29">
        <f>SUMIFS(Cash_Flow_3[Amount],Cash_Flow_3[Bulan],H1166,Cash_Flow_3[Type],"Out",Cash_Flow_3[Category],"Iqbal")</f>
        <v>0</v>
      </c>
    </row>
    <row r="1167" spans="1:20" ht="22.5" customHeight="1" x14ac:dyDescent="0.2">
      <c r="A1167" s="23"/>
      <c r="B1167" s="24"/>
      <c r="C1167" s="25"/>
      <c r="D1167" s="25"/>
      <c r="E1167" s="25"/>
      <c r="F1167" s="26"/>
      <c r="G1167" s="27"/>
      <c r="H1167" s="28" t="str">
        <f t="shared" si="0"/>
        <v/>
      </c>
      <c r="I1167" s="29">
        <f>SUMIFS(Cash_Flow_3[Amount],Cash_Flow_3[Bulan],H1167,Cash_Flow_3[Type],"In")</f>
        <v>0</v>
      </c>
      <c r="J1167" s="29">
        <f>SUMIFS(Cash_Flow_3[Amount],Cash_Flow_3[Bulan],H1167,Cash_Flow_3[Type],"Out")</f>
        <v>0</v>
      </c>
      <c r="K1167" s="29">
        <f>SUMIFS(Cash_Flow_3[Amount],Cash_Flow_3[Bulan],H1167,Cash_Flow_3[Type],"Out",Cash_Flow_3[Category],"Fix")</f>
        <v>0</v>
      </c>
      <c r="L1167" s="29">
        <f>SUMIFS(Cash_Flow_3[Amount],Cash_Flow_3[Bulan],H1167,Cash_Flow_3[Type],"Out",Cash_Flow_3[Category],"Bathroom")</f>
        <v>0</v>
      </c>
      <c r="M1167" s="29">
        <f>SUMIFS(Cash_Flow_3[Amount],Cash_Flow_3[Bulan],H1167,Cash_Flow_3[Type],"Out",Cash_Flow_3[Category],"Alfa")</f>
        <v>0</v>
      </c>
      <c r="N1167" s="29">
        <f>SUMIFS(Cash_Flow_3[Amount],Cash_Flow_3[Bulan],H1167,Cash_Flow_3[Type],"Out",Cash_Flow_3[Category],"Jajan")</f>
        <v>0</v>
      </c>
      <c r="O1167" s="29">
        <f>SUMIFS(Cash_Flow_3[Amount],Cash_Flow_3[Bulan],H1167,Cash_Flow_3[Type],"Out",Cash_Flow_3[Category],"Kitchen")</f>
        <v>0</v>
      </c>
      <c r="P1167" s="29">
        <f>SUMIFS(Cash_Flow_3[Amount],Cash_Flow_3[Bulan],H1167,Cash_Flow_3[Type],"Out",Cash_Flow_3[Category],"Loandry")</f>
        <v>0</v>
      </c>
      <c r="Q1167" s="29">
        <f>SUMIFS(Cash_Flow_3[Amount],Cash_Flow_3[Bulan],H1167,Cash_Flow_3[Type],"Out",Cash_Flow_3[Category],"Mio")</f>
        <v>0</v>
      </c>
      <c r="R1167" s="29">
        <f>SUMIFS(Cash_Flow_3[Amount],Cash_Flow_3[Bulan],H1167,Cash_Flow_3[Type],"Out",Cash_Flow_3[Category],"Sedekah")</f>
        <v>0</v>
      </c>
      <c r="S1167" s="29">
        <f>SUMIFS(Cash_Flow_3[Amount],Cash_Flow_3[Bulan],H1167,Cash_Flow_3[Type],"Out",Cash_Flow_3[Category],"Zela")</f>
        <v>0</v>
      </c>
      <c r="T1167" s="29">
        <f>SUMIFS(Cash_Flow_3[Amount],Cash_Flow_3[Bulan],H1167,Cash_Flow_3[Type],"Out",Cash_Flow_3[Category],"Iqbal")</f>
        <v>0</v>
      </c>
    </row>
    <row r="1168" spans="1:20" ht="22.5" customHeight="1" x14ac:dyDescent="0.2">
      <c r="A1168" s="23"/>
      <c r="B1168" s="24"/>
      <c r="C1168" s="25"/>
      <c r="D1168" s="25"/>
      <c r="E1168" s="25"/>
      <c r="F1168" s="26"/>
      <c r="G1168" s="27"/>
      <c r="H1168" s="28" t="str">
        <f t="shared" si="0"/>
        <v/>
      </c>
      <c r="I1168" s="29">
        <f>SUMIFS(Cash_Flow_3[Amount],Cash_Flow_3[Bulan],H1168,Cash_Flow_3[Type],"In")</f>
        <v>0</v>
      </c>
      <c r="J1168" s="29">
        <f>SUMIFS(Cash_Flow_3[Amount],Cash_Flow_3[Bulan],H1168,Cash_Flow_3[Type],"Out")</f>
        <v>0</v>
      </c>
      <c r="K1168" s="29">
        <f>SUMIFS(Cash_Flow_3[Amount],Cash_Flow_3[Bulan],H1168,Cash_Flow_3[Type],"Out",Cash_Flow_3[Category],"Fix")</f>
        <v>0</v>
      </c>
      <c r="L1168" s="29">
        <f>SUMIFS(Cash_Flow_3[Amount],Cash_Flow_3[Bulan],H1168,Cash_Flow_3[Type],"Out",Cash_Flow_3[Category],"Bathroom")</f>
        <v>0</v>
      </c>
      <c r="M1168" s="29">
        <f>SUMIFS(Cash_Flow_3[Amount],Cash_Flow_3[Bulan],H1168,Cash_Flow_3[Type],"Out",Cash_Flow_3[Category],"Alfa")</f>
        <v>0</v>
      </c>
      <c r="N1168" s="29">
        <f>SUMIFS(Cash_Flow_3[Amount],Cash_Flow_3[Bulan],H1168,Cash_Flow_3[Type],"Out",Cash_Flow_3[Category],"Jajan")</f>
        <v>0</v>
      </c>
      <c r="O1168" s="29">
        <f>SUMIFS(Cash_Flow_3[Amount],Cash_Flow_3[Bulan],H1168,Cash_Flow_3[Type],"Out",Cash_Flow_3[Category],"Kitchen")</f>
        <v>0</v>
      </c>
      <c r="P1168" s="29">
        <f>SUMIFS(Cash_Flow_3[Amount],Cash_Flow_3[Bulan],H1168,Cash_Flow_3[Type],"Out",Cash_Flow_3[Category],"Loandry")</f>
        <v>0</v>
      </c>
      <c r="Q1168" s="29">
        <f>SUMIFS(Cash_Flow_3[Amount],Cash_Flow_3[Bulan],H1168,Cash_Flow_3[Type],"Out",Cash_Flow_3[Category],"Mio")</f>
        <v>0</v>
      </c>
      <c r="R1168" s="29">
        <f>SUMIFS(Cash_Flow_3[Amount],Cash_Flow_3[Bulan],H1168,Cash_Flow_3[Type],"Out",Cash_Flow_3[Category],"Sedekah")</f>
        <v>0</v>
      </c>
      <c r="S1168" s="29">
        <f>SUMIFS(Cash_Flow_3[Amount],Cash_Flow_3[Bulan],H1168,Cash_Flow_3[Type],"Out",Cash_Flow_3[Category],"Zela")</f>
        <v>0</v>
      </c>
      <c r="T1168" s="29">
        <f>SUMIFS(Cash_Flow_3[Amount],Cash_Flow_3[Bulan],H1168,Cash_Flow_3[Type],"Out",Cash_Flow_3[Category],"Iqbal")</f>
        <v>0</v>
      </c>
    </row>
    <row r="1169" spans="1:20" ht="22.5" customHeight="1" x14ac:dyDescent="0.2">
      <c r="A1169" s="23"/>
      <c r="B1169" s="24"/>
      <c r="C1169" s="25"/>
      <c r="D1169" s="25"/>
      <c r="E1169" s="25"/>
      <c r="F1169" s="26"/>
      <c r="G1169" s="27"/>
      <c r="H1169" s="28" t="str">
        <f t="shared" si="0"/>
        <v/>
      </c>
      <c r="I1169" s="29">
        <f>SUMIFS(Cash_Flow_3[Amount],Cash_Flow_3[Bulan],H1169,Cash_Flow_3[Type],"In")</f>
        <v>0</v>
      </c>
      <c r="J1169" s="29">
        <f>SUMIFS(Cash_Flow_3[Amount],Cash_Flow_3[Bulan],H1169,Cash_Flow_3[Type],"Out")</f>
        <v>0</v>
      </c>
      <c r="K1169" s="29">
        <f>SUMIFS(Cash_Flow_3[Amount],Cash_Flow_3[Bulan],H1169,Cash_Flow_3[Type],"Out",Cash_Flow_3[Category],"Fix")</f>
        <v>0</v>
      </c>
      <c r="L1169" s="29">
        <f>SUMIFS(Cash_Flow_3[Amount],Cash_Flow_3[Bulan],H1169,Cash_Flow_3[Type],"Out",Cash_Flow_3[Category],"Bathroom")</f>
        <v>0</v>
      </c>
      <c r="M1169" s="29">
        <f>SUMIFS(Cash_Flow_3[Amount],Cash_Flow_3[Bulan],H1169,Cash_Flow_3[Type],"Out",Cash_Flow_3[Category],"Alfa")</f>
        <v>0</v>
      </c>
      <c r="N1169" s="29">
        <f>SUMIFS(Cash_Flow_3[Amount],Cash_Flow_3[Bulan],H1169,Cash_Flow_3[Type],"Out",Cash_Flow_3[Category],"Jajan")</f>
        <v>0</v>
      </c>
      <c r="O1169" s="29">
        <f>SUMIFS(Cash_Flow_3[Amount],Cash_Flow_3[Bulan],H1169,Cash_Flow_3[Type],"Out",Cash_Flow_3[Category],"Kitchen")</f>
        <v>0</v>
      </c>
      <c r="P1169" s="29">
        <f>SUMIFS(Cash_Flow_3[Amount],Cash_Flow_3[Bulan],H1169,Cash_Flow_3[Type],"Out",Cash_Flow_3[Category],"Loandry")</f>
        <v>0</v>
      </c>
      <c r="Q1169" s="29">
        <f>SUMIFS(Cash_Flow_3[Amount],Cash_Flow_3[Bulan],H1169,Cash_Flow_3[Type],"Out",Cash_Flow_3[Category],"Mio")</f>
        <v>0</v>
      </c>
      <c r="R1169" s="29">
        <f>SUMIFS(Cash_Flow_3[Amount],Cash_Flow_3[Bulan],H1169,Cash_Flow_3[Type],"Out",Cash_Flow_3[Category],"Sedekah")</f>
        <v>0</v>
      </c>
      <c r="S1169" s="29">
        <f>SUMIFS(Cash_Flow_3[Amount],Cash_Flow_3[Bulan],H1169,Cash_Flow_3[Type],"Out",Cash_Flow_3[Category],"Zela")</f>
        <v>0</v>
      </c>
      <c r="T1169" s="29">
        <f>SUMIFS(Cash_Flow_3[Amount],Cash_Flow_3[Bulan],H1169,Cash_Flow_3[Type],"Out",Cash_Flow_3[Category],"Iqbal")</f>
        <v>0</v>
      </c>
    </row>
    <row r="1170" spans="1:20" ht="22.5" customHeight="1" x14ac:dyDescent="0.2">
      <c r="A1170" s="23"/>
      <c r="B1170" s="24"/>
      <c r="C1170" s="25"/>
      <c r="D1170" s="25"/>
      <c r="E1170" s="25"/>
      <c r="F1170" s="26"/>
      <c r="G1170" s="27"/>
      <c r="H1170" s="28" t="str">
        <f t="shared" si="0"/>
        <v/>
      </c>
      <c r="I1170" s="29">
        <f>SUMIFS(Cash_Flow_3[Amount],Cash_Flow_3[Bulan],H1170,Cash_Flow_3[Type],"In")</f>
        <v>0</v>
      </c>
      <c r="J1170" s="29">
        <f>SUMIFS(Cash_Flow_3[Amount],Cash_Flow_3[Bulan],H1170,Cash_Flow_3[Type],"Out")</f>
        <v>0</v>
      </c>
      <c r="K1170" s="29">
        <f>SUMIFS(Cash_Flow_3[Amount],Cash_Flow_3[Bulan],H1170,Cash_Flow_3[Type],"Out",Cash_Flow_3[Category],"Fix")</f>
        <v>0</v>
      </c>
      <c r="L1170" s="29">
        <f>SUMIFS(Cash_Flow_3[Amount],Cash_Flow_3[Bulan],H1170,Cash_Flow_3[Type],"Out",Cash_Flow_3[Category],"Bathroom")</f>
        <v>0</v>
      </c>
      <c r="M1170" s="29">
        <f>SUMIFS(Cash_Flow_3[Amount],Cash_Flow_3[Bulan],H1170,Cash_Flow_3[Type],"Out",Cash_Flow_3[Category],"Alfa")</f>
        <v>0</v>
      </c>
      <c r="N1170" s="29">
        <f>SUMIFS(Cash_Flow_3[Amount],Cash_Flow_3[Bulan],H1170,Cash_Flow_3[Type],"Out",Cash_Flow_3[Category],"Jajan")</f>
        <v>0</v>
      </c>
      <c r="O1170" s="29">
        <f>SUMIFS(Cash_Flow_3[Amount],Cash_Flow_3[Bulan],H1170,Cash_Flow_3[Type],"Out",Cash_Flow_3[Category],"Kitchen")</f>
        <v>0</v>
      </c>
      <c r="P1170" s="29">
        <f>SUMIFS(Cash_Flow_3[Amount],Cash_Flow_3[Bulan],H1170,Cash_Flow_3[Type],"Out",Cash_Flow_3[Category],"Loandry")</f>
        <v>0</v>
      </c>
      <c r="Q1170" s="29">
        <f>SUMIFS(Cash_Flow_3[Amount],Cash_Flow_3[Bulan],H1170,Cash_Flow_3[Type],"Out",Cash_Flow_3[Category],"Mio")</f>
        <v>0</v>
      </c>
      <c r="R1170" s="29">
        <f>SUMIFS(Cash_Flow_3[Amount],Cash_Flow_3[Bulan],H1170,Cash_Flow_3[Type],"Out",Cash_Flow_3[Category],"Sedekah")</f>
        <v>0</v>
      </c>
      <c r="S1170" s="29">
        <f>SUMIFS(Cash_Flow_3[Amount],Cash_Flow_3[Bulan],H1170,Cash_Flow_3[Type],"Out",Cash_Flow_3[Category],"Zela")</f>
        <v>0</v>
      </c>
      <c r="T1170" s="29">
        <f>SUMIFS(Cash_Flow_3[Amount],Cash_Flow_3[Bulan],H1170,Cash_Flow_3[Type],"Out",Cash_Flow_3[Category],"Iqbal")</f>
        <v>0</v>
      </c>
    </row>
    <row r="1171" spans="1:20" ht="22.5" customHeight="1" x14ac:dyDescent="0.2">
      <c r="A1171" s="23"/>
      <c r="B1171" s="24"/>
      <c r="C1171" s="25"/>
      <c r="D1171" s="25"/>
      <c r="E1171" s="25"/>
      <c r="F1171" s="26"/>
      <c r="G1171" s="27"/>
      <c r="H1171" s="28" t="str">
        <f t="shared" si="0"/>
        <v/>
      </c>
      <c r="I1171" s="29">
        <f>SUMIFS(Cash_Flow_3[Amount],Cash_Flow_3[Bulan],H1171,Cash_Flow_3[Type],"In")</f>
        <v>0</v>
      </c>
      <c r="J1171" s="29">
        <f>SUMIFS(Cash_Flow_3[Amount],Cash_Flow_3[Bulan],H1171,Cash_Flow_3[Type],"Out")</f>
        <v>0</v>
      </c>
      <c r="K1171" s="29">
        <f>SUMIFS(Cash_Flow_3[Amount],Cash_Flow_3[Bulan],H1171,Cash_Flow_3[Type],"Out",Cash_Flow_3[Category],"Fix")</f>
        <v>0</v>
      </c>
      <c r="L1171" s="29">
        <f>SUMIFS(Cash_Flow_3[Amount],Cash_Flow_3[Bulan],H1171,Cash_Flow_3[Type],"Out",Cash_Flow_3[Category],"Bathroom")</f>
        <v>0</v>
      </c>
      <c r="M1171" s="29">
        <f>SUMIFS(Cash_Flow_3[Amount],Cash_Flow_3[Bulan],H1171,Cash_Flow_3[Type],"Out",Cash_Flow_3[Category],"Alfa")</f>
        <v>0</v>
      </c>
      <c r="N1171" s="29">
        <f>SUMIFS(Cash_Flow_3[Amount],Cash_Flow_3[Bulan],H1171,Cash_Flow_3[Type],"Out",Cash_Flow_3[Category],"Jajan")</f>
        <v>0</v>
      </c>
      <c r="O1171" s="29">
        <f>SUMIFS(Cash_Flow_3[Amount],Cash_Flow_3[Bulan],H1171,Cash_Flow_3[Type],"Out",Cash_Flow_3[Category],"Kitchen")</f>
        <v>0</v>
      </c>
      <c r="P1171" s="29">
        <f>SUMIFS(Cash_Flow_3[Amount],Cash_Flow_3[Bulan],H1171,Cash_Flow_3[Type],"Out",Cash_Flow_3[Category],"Loandry")</f>
        <v>0</v>
      </c>
      <c r="Q1171" s="29">
        <f>SUMIFS(Cash_Flow_3[Amount],Cash_Flow_3[Bulan],H1171,Cash_Flow_3[Type],"Out",Cash_Flow_3[Category],"Mio")</f>
        <v>0</v>
      </c>
      <c r="R1171" s="29">
        <f>SUMIFS(Cash_Flow_3[Amount],Cash_Flow_3[Bulan],H1171,Cash_Flow_3[Type],"Out",Cash_Flow_3[Category],"Sedekah")</f>
        <v>0</v>
      </c>
      <c r="S1171" s="29">
        <f>SUMIFS(Cash_Flow_3[Amount],Cash_Flow_3[Bulan],H1171,Cash_Flow_3[Type],"Out",Cash_Flow_3[Category],"Zela")</f>
        <v>0</v>
      </c>
      <c r="T1171" s="29">
        <f>SUMIFS(Cash_Flow_3[Amount],Cash_Flow_3[Bulan],H1171,Cash_Flow_3[Type],"Out",Cash_Flow_3[Category],"Iqbal")</f>
        <v>0</v>
      </c>
    </row>
    <row r="1172" spans="1:20" ht="22.5" customHeight="1" x14ac:dyDescent="0.2">
      <c r="A1172" s="23"/>
      <c r="B1172" s="24"/>
      <c r="C1172" s="25"/>
      <c r="D1172" s="25"/>
      <c r="E1172" s="25"/>
      <c r="F1172" s="26"/>
      <c r="G1172" s="27"/>
      <c r="H1172" s="28" t="str">
        <f t="shared" si="0"/>
        <v/>
      </c>
      <c r="I1172" s="29">
        <f>SUMIFS(Cash_Flow_3[Amount],Cash_Flow_3[Bulan],H1172,Cash_Flow_3[Type],"In")</f>
        <v>0</v>
      </c>
      <c r="J1172" s="29">
        <f>SUMIFS(Cash_Flow_3[Amount],Cash_Flow_3[Bulan],H1172,Cash_Flow_3[Type],"Out")</f>
        <v>0</v>
      </c>
      <c r="K1172" s="29">
        <f>SUMIFS(Cash_Flow_3[Amount],Cash_Flow_3[Bulan],H1172,Cash_Flow_3[Type],"Out",Cash_Flow_3[Category],"Fix")</f>
        <v>0</v>
      </c>
      <c r="L1172" s="29">
        <f>SUMIFS(Cash_Flow_3[Amount],Cash_Flow_3[Bulan],H1172,Cash_Flow_3[Type],"Out",Cash_Flow_3[Category],"Bathroom")</f>
        <v>0</v>
      </c>
      <c r="M1172" s="29">
        <f>SUMIFS(Cash_Flow_3[Amount],Cash_Flow_3[Bulan],H1172,Cash_Flow_3[Type],"Out",Cash_Flow_3[Category],"Alfa")</f>
        <v>0</v>
      </c>
      <c r="N1172" s="29">
        <f>SUMIFS(Cash_Flow_3[Amount],Cash_Flow_3[Bulan],H1172,Cash_Flow_3[Type],"Out",Cash_Flow_3[Category],"Jajan")</f>
        <v>0</v>
      </c>
      <c r="O1172" s="29">
        <f>SUMIFS(Cash_Flow_3[Amount],Cash_Flow_3[Bulan],H1172,Cash_Flow_3[Type],"Out",Cash_Flow_3[Category],"Kitchen")</f>
        <v>0</v>
      </c>
      <c r="P1172" s="29">
        <f>SUMIFS(Cash_Flow_3[Amount],Cash_Flow_3[Bulan],H1172,Cash_Flow_3[Type],"Out",Cash_Flow_3[Category],"Loandry")</f>
        <v>0</v>
      </c>
      <c r="Q1172" s="29">
        <f>SUMIFS(Cash_Flow_3[Amount],Cash_Flow_3[Bulan],H1172,Cash_Flow_3[Type],"Out",Cash_Flow_3[Category],"Mio")</f>
        <v>0</v>
      </c>
      <c r="R1172" s="29">
        <f>SUMIFS(Cash_Flow_3[Amount],Cash_Flow_3[Bulan],H1172,Cash_Flow_3[Type],"Out",Cash_Flow_3[Category],"Sedekah")</f>
        <v>0</v>
      </c>
      <c r="S1172" s="29">
        <f>SUMIFS(Cash_Flow_3[Amount],Cash_Flow_3[Bulan],H1172,Cash_Flow_3[Type],"Out",Cash_Flow_3[Category],"Zela")</f>
        <v>0</v>
      </c>
      <c r="T1172" s="29">
        <f>SUMIFS(Cash_Flow_3[Amount],Cash_Flow_3[Bulan],H1172,Cash_Flow_3[Type],"Out",Cash_Flow_3[Category],"Iqbal")</f>
        <v>0</v>
      </c>
    </row>
    <row r="1173" spans="1:20" ht="22.5" customHeight="1" x14ac:dyDescent="0.2">
      <c r="A1173" s="23"/>
      <c r="B1173" s="24"/>
      <c r="C1173" s="25"/>
      <c r="D1173" s="25"/>
      <c r="E1173" s="25"/>
      <c r="F1173" s="26"/>
      <c r="G1173" s="27"/>
      <c r="H1173" s="28" t="str">
        <f t="shared" si="0"/>
        <v/>
      </c>
      <c r="I1173" s="29">
        <f>SUMIFS(Cash_Flow_3[Amount],Cash_Flow_3[Bulan],H1173,Cash_Flow_3[Type],"In")</f>
        <v>0</v>
      </c>
      <c r="J1173" s="29">
        <f>SUMIFS(Cash_Flow_3[Amount],Cash_Flow_3[Bulan],H1173,Cash_Flow_3[Type],"Out")</f>
        <v>0</v>
      </c>
      <c r="K1173" s="29">
        <f>SUMIFS(Cash_Flow_3[Amount],Cash_Flow_3[Bulan],H1173,Cash_Flow_3[Type],"Out",Cash_Flow_3[Category],"Fix")</f>
        <v>0</v>
      </c>
      <c r="L1173" s="29">
        <f>SUMIFS(Cash_Flow_3[Amount],Cash_Flow_3[Bulan],H1173,Cash_Flow_3[Type],"Out",Cash_Flow_3[Category],"Bathroom")</f>
        <v>0</v>
      </c>
      <c r="M1173" s="29">
        <f>SUMIFS(Cash_Flow_3[Amount],Cash_Flow_3[Bulan],H1173,Cash_Flow_3[Type],"Out",Cash_Flow_3[Category],"Alfa")</f>
        <v>0</v>
      </c>
      <c r="N1173" s="29">
        <f>SUMIFS(Cash_Flow_3[Amount],Cash_Flow_3[Bulan],H1173,Cash_Flow_3[Type],"Out",Cash_Flow_3[Category],"Jajan")</f>
        <v>0</v>
      </c>
      <c r="O1173" s="29">
        <f>SUMIFS(Cash_Flow_3[Amount],Cash_Flow_3[Bulan],H1173,Cash_Flow_3[Type],"Out",Cash_Flow_3[Category],"Kitchen")</f>
        <v>0</v>
      </c>
      <c r="P1173" s="29">
        <f>SUMIFS(Cash_Flow_3[Amount],Cash_Flow_3[Bulan],H1173,Cash_Flow_3[Type],"Out",Cash_Flow_3[Category],"Loandry")</f>
        <v>0</v>
      </c>
      <c r="Q1173" s="29">
        <f>SUMIFS(Cash_Flow_3[Amount],Cash_Flow_3[Bulan],H1173,Cash_Flow_3[Type],"Out",Cash_Flow_3[Category],"Mio")</f>
        <v>0</v>
      </c>
      <c r="R1173" s="29">
        <f>SUMIFS(Cash_Flow_3[Amount],Cash_Flow_3[Bulan],H1173,Cash_Flow_3[Type],"Out",Cash_Flow_3[Category],"Sedekah")</f>
        <v>0</v>
      </c>
      <c r="S1173" s="29">
        <f>SUMIFS(Cash_Flow_3[Amount],Cash_Flow_3[Bulan],H1173,Cash_Flow_3[Type],"Out",Cash_Flow_3[Category],"Zela")</f>
        <v>0</v>
      </c>
      <c r="T1173" s="29">
        <f>SUMIFS(Cash_Flow_3[Amount],Cash_Flow_3[Bulan],H1173,Cash_Flow_3[Type],"Out",Cash_Flow_3[Category],"Iqbal")</f>
        <v>0</v>
      </c>
    </row>
    <row r="1174" spans="1:20" ht="22.5" customHeight="1" x14ac:dyDescent="0.2">
      <c r="A1174" s="23"/>
      <c r="B1174" s="24"/>
      <c r="C1174" s="25"/>
      <c r="D1174" s="25"/>
      <c r="E1174" s="25"/>
      <c r="F1174" s="26"/>
      <c r="G1174" s="27"/>
      <c r="H1174" s="28" t="str">
        <f t="shared" si="0"/>
        <v/>
      </c>
      <c r="I1174" s="29">
        <f>SUMIFS(Cash_Flow_3[Amount],Cash_Flow_3[Bulan],H1174,Cash_Flow_3[Type],"In")</f>
        <v>0</v>
      </c>
      <c r="J1174" s="29">
        <f>SUMIFS(Cash_Flow_3[Amount],Cash_Flow_3[Bulan],H1174,Cash_Flow_3[Type],"Out")</f>
        <v>0</v>
      </c>
      <c r="K1174" s="29">
        <f>SUMIFS(Cash_Flow_3[Amount],Cash_Flow_3[Bulan],H1174,Cash_Flow_3[Type],"Out",Cash_Flow_3[Category],"Fix")</f>
        <v>0</v>
      </c>
      <c r="L1174" s="29">
        <f>SUMIFS(Cash_Flow_3[Amount],Cash_Flow_3[Bulan],H1174,Cash_Flow_3[Type],"Out",Cash_Flow_3[Category],"Bathroom")</f>
        <v>0</v>
      </c>
      <c r="M1174" s="29">
        <f>SUMIFS(Cash_Flow_3[Amount],Cash_Flow_3[Bulan],H1174,Cash_Flow_3[Type],"Out",Cash_Flow_3[Category],"Alfa")</f>
        <v>0</v>
      </c>
      <c r="N1174" s="29">
        <f>SUMIFS(Cash_Flow_3[Amount],Cash_Flow_3[Bulan],H1174,Cash_Flow_3[Type],"Out",Cash_Flow_3[Category],"Jajan")</f>
        <v>0</v>
      </c>
      <c r="O1174" s="29">
        <f>SUMIFS(Cash_Flow_3[Amount],Cash_Flow_3[Bulan],H1174,Cash_Flow_3[Type],"Out",Cash_Flow_3[Category],"Kitchen")</f>
        <v>0</v>
      </c>
      <c r="P1174" s="29">
        <f>SUMIFS(Cash_Flow_3[Amount],Cash_Flow_3[Bulan],H1174,Cash_Flow_3[Type],"Out",Cash_Flow_3[Category],"Loandry")</f>
        <v>0</v>
      </c>
      <c r="Q1174" s="29">
        <f>SUMIFS(Cash_Flow_3[Amount],Cash_Flow_3[Bulan],H1174,Cash_Flow_3[Type],"Out",Cash_Flow_3[Category],"Mio")</f>
        <v>0</v>
      </c>
      <c r="R1174" s="29">
        <f>SUMIFS(Cash_Flow_3[Amount],Cash_Flow_3[Bulan],H1174,Cash_Flow_3[Type],"Out",Cash_Flow_3[Category],"Sedekah")</f>
        <v>0</v>
      </c>
      <c r="S1174" s="29">
        <f>SUMIFS(Cash_Flow_3[Amount],Cash_Flow_3[Bulan],H1174,Cash_Flow_3[Type],"Out",Cash_Flow_3[Category],"Zela")</f>
        <v>0</v>
      </c>
      <c r="T1174" s="29">
        <f>SUMIFS(Cash_Flow_3[Amount],Cash_Flow_3[Bulan],H1174,Cash_Flow_3[Type],"Out",Cash_Flow_3[Category],"Iqbal")</f>
        <v>0</v>
      </c>
    </row>
    <row r="1175" spans="1:20" ht="22.5" customHeight="1" x14ac:dyDescent="0.2">
      <c r="A1175" s="23"/>
      <c r="B1175" s="24"/>
      <c r="C1175" s="25"/>
      <c r="D1175" s="25"/>
      <c r="E1175" s="25"/>
      <c r="F1175" s="26"/>
      <c r="G1175" s="27"/>
      <c r="H1175" s="28" t="str">
        <f t="shared" si="0"/>
        <v/>
      </c>
      <c r="I1175" s="29">
        <f>SUMIFS(Cash_Flow_3[Amount],Cash_Flow_3[Bulan],H1175,Cash_Flow_3[Type],"In")</f>
        <v>0</v>
      </c>
      <c r="J1175" s="29">
        <f>SUMIFS(Cash_Flow_3[Amount],Cash_Flow_3[Bulan],H1175,Cash_Flow_3[Type],"Out")</f>
        <v>0</v>
      </c>
      <c r="K1175" s="29">
        <f>SUMIFS(Cash_Flow_3[Amount],Cash_Flow_3[Bulan],H1175,Cash_Flow_3[Type],"Out",Cash_Flow_3[Category],"Fix")</f>
        <v>0</v>
      </c>
      <c r="L1175" s="29">
        <f>SUMIFS(Cash_Flow_3[Amount],Cash_Flow_3[Bulan],H1175,Cash_Flow_3[Type],"Out",Cash_Flow_3[Category],"Bathroom")</f>
        <v>0</v>
      </c>
      <c r="M1175" s="29">
        <f>SUMIFS(Cash_Flow_3[Amount],Cash_Flow_3[Bulan],H1175,Cash_Flow_3[Type],"Out",Cash_Flow_3[Category],"Alfa")</f>
        <v>0</v>
      </c>
      <c r="N1175" s="29">
        <f>SUMIFS(Cash_Flow_3[Amount],Cash_Flow_3[Bulan],H1175,Cash_Flow_3[Type],"Out",Cash_Flow_3[Category],"Jajan")</f>
        <v>0</v>
      </c>
      <c r="O1175" s="29">
        <f>SUMIFS(Cash_Flow_3[Amount],Cash_Flow_3[Bulan],H1175,Cash_Flow_3[Type],"Out",Cash_Flow_3[Category],"Kitchen")</f>
        <v>0</v>
      </c>
      <c r="P1175" s="29">
        <f>SUMIFS(Cash_Flow_3[Amount],Cash_Flow_3[Bulan],H1175,Cash_Flow_3[Type],"Out",Cash_Flow_3[Category],"Loandry")</f>
        <v>0</v>
      </c>
      <c r="Q1175" s="29">
        <f>SUMIFS(Cash_Flow_3[Amount],Cash_Flow_3[Bulan],H1175,Cash_Flow_3[Type],"Out",Cash_Flow_3[Category],"Mio")</f>
        <v>0</v>
      </c>
      <c r="R1175" s="29">
        <f>SUMIFS(Cash_Flow_3[Amount],Cash_Flow_3[Bulan],H1175,Cash_Flow_3[Type],"Out",Cash_Flow_3[Category],"Sedekah")</f>
        <v>0</v>
      </c>
      <c r="S1175" s="29">
        <f>SUMIFS(Cash_Flow_3[Amount],Cash_Flow_3[Bulan],H1175,Cash_Flow_3[Type],"Out",Cash_Flow_3[Category],"Zela")</f>
        <v>0</v>
      </c>
      <c r="T1175" s="29">
        <f>SUMIFS(Cash_Flow_3[Amount],Cash_Flow_3[Bulan],H1175,Cash_Flow_3[Type],"Out",Cash_Flow_3[Category],"Iqbal")</f>
        <v>0</v>
      </c>
    </row>
    <row r="1176" spans="1:20" ht="22.5" customHeight="1" x14ac:dyDescent="0.2">
      <c r="A1176" s="23"/>
      <c r="B1176" s="24"/>
      <c r="C1176" s="25"/>
      <c r="D1176" s="25"/>
      <c r="E1176" s="25"/>
      <c r="F1176" s="26"/>
      <c r="G1176" s="27"/>
      <c r="H1176" s="28" t="str">
        <f t="shared" si="0"/>
        <v/>
      </c>
      <c r="I1176" s="29">
        <f>SUMIFS(Cash_Flow_3[Amount],Cash_Flow_3[Bulan],H1176,Cash_Flow_3[Type],"In")</f>
        <v>0</v>
      </c>
      <c r="J1176" s="29">
        <f>SUMIFS(Cash_Flow_3[Amount],Cash_Flow_3[Bulan],H1176,Cash_Flow_3[Type],"Out")</f>
        <v>0</v>
      </c>
      <c r="K1176" s="29">
        <f>SUMIFS(Cash_Flow_3[Amount],Cash_Flow_3[Bulan],H1176,Cash_Flow_3[Type],"Out",Cash_Flow_3[Category],"Fix")</f>
        <v>0</v>
      </c>
      <c r="L1176" s="29">
        <f>SUMIFS(Cash_Flow_3[Amount],Cash_Flow_3[Bulan],H1176,Cash_Flow_3[Type],"Out",Cash_Flow_3[Category],"Bathroom")</f>
        <v>0</v>
      </c>
      <c r="M1176" s="29">
        <f>SUMIFS(Cash_Flow_3[Amount],Cash_Flow_3[Bulan],H1176,Cash_Flow_3[Type],"Out",Cash_Flow_3[Category],"Alfa")</f>
        <v>0</v>
      </c>
      <c r="N1176" s="29">
        <f>SUMIFS(Cash_Flow_3[Amount],Cash_Flow_3[Bulan],H1176,Cash_Flow_3[Type],"Out",Cash_Flow_3[Category],"Jajan")</f>
        <v>0</v>
      </c>
      <c r="O1176" s="29">
        <f>SUMIFS(Cash_Flow_3[Amount],Cash_Flow_3[Bulan],H1176,Cash_Flow_3[Type],"Out",Cash_Flow_3[Category],"Kitchen")</f>
        <v>0</v>
      </c>
      <c r="P1176" s="29">
        <f>SUMIFS(Cash_Flow_3[Amount],Cash_Flow_3[Bulan],H1176,Cash_Flow_3[Type],"Out",Cash_Flow_3[Category],"Loandry")</f>
        <v>0</v>
      </c>
      <c r="Q1176" s="29">
        <f>SUMIFS(Cash_Flow_3[Amount],Cash_Flow_3[Bulan],H1176,Cash_Flow_3[Type],"Out",Cash_Flow_3[Category],"Mio")</f>
        <v>0</v>
      </c>
      <c r="R1176" s="29">
        <f>SUMIFS(Cash_Flow_3[Amount],Cash_Flow_3[Bulan],H1176,Cash_Flow_3[Type],"Out",Cash_Flow_3[Category],"Sedekah")</f>
        <v>0</v>
      </c>
      <c r="S1176" s="29">
        <f>SUMIFS(Cash_Flow_3[Amount],Cash_Flow_3[Bulan],H1176,Cash_Flow_3[Type],"Out",Cash_Flow_3[Category],"Zela")</f>
        <v>0</v>
      </c>
      <c r="T1176" s="29">
        <f>SUMIFS(Cash_Flow_3[Amount],Cash_Flow_3[Bulan],H1176,Cash_Flow_3[Type],"Out",Cash_Flow_3[Category],"Iqbal")</f>
        <v>0</v>
      </c>
    </row>
    <row r="1177" spans="1:20" ht="22.5" customHeight="1" x14ac:dyDescent="0.2">
      <c r="A1177" s="23"/>
      <c r="B1177" s="24"/>
      <c r="C1177" s="25"/>
      <c r="D1177" s="25"/>
      <c r="E1177" s="25"/>
      <c r="F1177" s="26"/>
      <c r="G1177" s="27"/>
      <c r="H1177" s="28" t="str">
        <f t="shared" si="0"/>
        <v/>
      </c>
      <c r="I1177" s="29">
        <f>SUMIFS(Cash_Flow_3[Amount],Cash_Flow_3[Bulan],H1177,Cash_Flow_3[Type],"In")</f>
        <v>0</v>
      </c>
      <c r="J1177" s="29">
        <f>SUMIFS(Cash_Flow_3[Amount],Cash_Flow_3[Bulan],H1177,Cash_Flow_3[Type],"Out")</f>
        <v>0</v>
      </c>
      <c r="K1177" s="29">
        <f>SUMIFS(Cash_Flow_3[Amount],Cash_Flow_3[Bulan],H1177,Cash_Flow_3[Type],"Out",Cash_Flow_3[Category],"Fix")</f>
        <v>0</v>
      </c>
      <c r="L1177" s="29">
        <f>SUMIFS(Cash_Flow_3[Amount],Cash_Flow_3[Bulan],H1177,Cash_Flow_3[Type],"Out",Cash_Flow_3[Category],"Bathroom")</f>
        <v>0</v>
      </c>
      <c r="M1177" s="29">
        <f>SUMIFS(Cash_Flow_3[Amount],Cash_Flow_3[Bulan],H1177,Cash_Flow_3[Type],"Out",Cash_Flow_3[Category],"Alfa")</f>
        <v>0</v>
      </c>
      <c r="N1177" s="29">
        <f>SUMIFS(Cash_Flow_3[Amount],Cash_Flow_3[Bulan],H1177,Cash_Flow_3[Type],"Out",Cash_Flow_3[Category],"Jajan")</f>
        <v>0</v>
      </c>
      <c r="O1177" s="29">
        <f>SUMIFS(Cash_Flow_3[Amount],Cash_Flow_3[Bulan],H1177,Cash_Flow_3[Type],"Out",Cash_Flow_3[Category],"Kitchen")</f>
        <v>0</v>
      </c>
      <c r="P1177" s="29">
        <f>SUMIFS(Cash_Flow_3[Amount],Cash_Flow_3[Bulan],H1177,Cash_Flow_3[Type],"Out",Cash_Flow_3[Category],"Loandry")</f>
        <v>0</v>
      </c>
      <c r="Q1177" s="29">
        <f>SUMIFS(Cash_Flow_3[Amount],Cash_Flow_3[Bulan],H1177,Cash_Flow_3[Type],"Out",Cash_Flow_3[Category],"Mio")</f>
        <v>0</v>
      </c>
      <c r="R1177" s="29">
        <f>SUMIFS(Cash_Flow_3[Amount],Cash_Flow_3[Bulan],H1177,Cash_Flow_3[Type],"Out",Cash_Flow_3[Category],"Sedekah")</f>
        <v>0</v>
      </c>
      <c r="S1177" s="29">
        <f>SUMIFS(Cash_Flow_3[Amount],Cash_Flow_3[Bulan],H1177,Cash_Flow_3[Type],"Out",Cash_Flow_3[Category],"Zela")</f>
        <v>0</v>
      </c>
      <c r="T1177" s="29">
        <f>SUMIFS(Cash_Flow_3[Amount],Cash_Flow_3[Bulan],H1177,Cash_Flow_3[Type],"Out",Cash_Flow_3[Category],"Iqbal")</f>
        <v>0</v>
      </c>
    </row>
    <row r="1178" spans="1:20" ht="22.5" customHeight="1" x14ac:dyDescent="0.2">
      <c r="A1178" s="23"/>
      <c r="B1178" s="24"/>
      <c r="C1178" s="25"/>
      <c r="D1178" s="25"/>
      <c r="E1178" s="25"/>
      <c r="F1178" s="26"/>
      <c r="G1178" s="27"/>
      <c r="H1178" s="28" t="str">
        <f t="shared" si="0"/>
        <v/>
      </c>
      <c r="I1178" s="29">
        <f>SUMIFS(Cash_Flow_3[Amount],Cash_Flow_3[Bulan],H1178,Cash_Flow_3[Type],"In")</f>
        <v>0</v>
      </c>
      <c r="J1178" s="29">
        <f>SUMIFS(Cash_Flow_3[Amount],Cash_Flow_3[Bulan],H1178,Cash_Flow_3[Type],"Out")</f>
        <v>0</v>
      </c>
      <c r="K1178" s="29">
        <f>SUMIFS(Cash_Flow_3[Amount],Cash_Flow_3[Bulan],H1178,Cash_Flow_3[Type],"Out",Cash_Flow_3[Category],"Fix")</f>
        <v>0</v>
      </c>
      <c r="L1178" s="29">
        <f>SUMIFS(Cash_Flow_3[Amount],Cash_Flow_3[Bulan],H1178,Cash_Flow_3[Type],"Out",Cash_Flow_3[Category],"Bathroom")</f>
        <v>0</v>
      </c>
      <c r="M1178" s="29">
        <f>SUMIFS(Cash_Flow_3[Amount],Cash_Flow_3[Bulan],H1178,Cash_Flow_3[Type],"Out",Cash_Flow_3[Category],"Alfa")</f>
        <v>0</v>
      </c>
      <c r="N1178" s="29">
        <f>SUMIFS(Cash_Flow_3[Amount],Cash_Flow_3[Bulan],H1178,Cash_Flow_3[Type],"Out",Cash_Flow_3[Category],"Jajan")</f>
        <v>0</v>
      </c>
      <c r="O1178" s="29">
        <f>SUMIFS(Cash_Flow_3[Amount],Cash_Flow_3[Bulan],H1178,Cash_Flow_3[Type],"Out",Cash_Flow_3[Category],"Kitchen")</f>
        <v>0</v>
      </c>
      <c r="P1178" s="29">
        <f>SUMIFS(Cash_Flow_3[Amount],Cash_Flow_3[Bulan],H1178,Cash_Flow_3[Type],"Out",Cash_Flow_3[Category],"Loandry")</f>
        <v>0</v>
      </c>
      <c r="Q1178" s="29">
        <f>SUMIFS(Cash_Flow_3[Amount],Cash_Flow_3[Bulan],H1178,Cash_Flow_3[Type],"Out",Cash_Flow_3[Category],"Mio")</f>
        <v>0</v>
      </c>
      <c r="R1178" s="29">
        <f>SUMIFS(Cash_Flow_3[Amount],Cash_Flow_3[Bulan],H1178,Cash_Flow_3[Type],"Out",Cash_Flow_3[Category],"Sedekah")</f>
        <v>0</v>
      </c>
      <c r="S1178" s="29">
        <f>SUMIFS(Cash_Flow_3[Amount],Cash_Flow_3[Bulan],H1178,Cash_Flow_3[Type],"Out",Cash_Flow_3[Category],"Zela")</f>
        <v>0</v>
      </c>
      <c r="T1178" s="29">
        <f>SUMIFS(Cash_Flow_3[Amount],Cash_Flow_3[Bulan],H1178,Cash_Flow_3[Type],"Out",Cash_Flow_3[Category],"Iqbal")</f>
        <v>0</v>
      </c>
    </row>
    <row r="1179" spans="1:20" ht="22.5" customHeight="1" x14ac:dyDescent="0.2">
      <c r="A1179" s="23"/>
      <c r="B1179" s="24"/>
      <c r="C1179" s="25"/>
      <c r="D1179" s="25"/>
      <c r="E1179" s="25"/>
      <c r="F1179" s="26"/>
      <c r="G1179" s="27"/>
      <c r="H1179" s="28" t="str">
        <f t="shared" si="0"/>
        <v/>
      </c>
      <c r="I1179" s="29">
        <f>SUMIFS(Cash_Flow_3[Amount],Cash_Flow_3[Bulan],H1179,Cash_Flow_3[Type],"In")</f>
        <v>0</v>
      </c>
      <c r="J1179" s="29">
        <f>SUMIFS(Cash_Flow_3[Amount],Cash_Flow_3[Bulan],H1179,Cash_Flow_3[Type],"Out")</f>
        <v>0</v>
      </c>
      <c r="K1179" s="29">
        <f>SUMIFS(Cash_Flow_3[Amount],Cash_Flow_3[Bulan],H1179,Cash_Flow_3[Type],"Out",Cash_Flow_3[Category],"Fix")</f>
        <v>0</v>
      </c>
      <c r="L1179" s="29">
        <f>SUMIFS(Cash_Flow_3[Amount],Cash_Flow_3[Bulan],H1179,Cash_Flow_3[Type],"Out",Cash_Flow_3[Category],"Bathroom")</f>
        <v>0</v>
      </c>
      <c r="M1179" s="29">
        <f>SUMIFS(Cash_Flow_3[Amount],Cash_Flow_3[Bulan],H1179,Cash_Flow_3[Type],"Out",Cash_Flow_3[Category],"Alfa")</f>
        <v>0</v>
      </c>
      <c r="N1179" s="29">
        <f>SUMIFS(Cash_Flow_3[Amount],Cash_Flow_3[Bulan],H1179,Cash_Flow_3[Type],"Out",Cash_Flow_3[Category],"Jajan")</f>
        <v>0</v>
      </c>
      <c r="O1179" s="29">
        <f>SUMIFS(Cash_Flow_3[Amount],Cash_Flow_3[Bulan],H1179,Cash_Flow_3[Type],"Out",Cash_Flow_3[Category],"Kitchen")</f>
        <v>0</v>
      </c>
      <c r="P1179" s="29">
        <f>SUMIFS(Cash_Flow_3[Amount],Cash_Flow_3[Bulan],H1179,Cash_Flow_3[Type],"Out",Cash_Flow_3[Category],"Loandry")</f>
        <v>0</v>
      </c>
      <c r="Q1179" s="29">
        <f>SUMIFS(Cash_Flow_3[Amount],Cash_Flow_3[Bulan],H1179,Cash_Flow_3[Type],"Out",Cash_Flow_3[Category],"Mio")</f>
        <v>0</v>
      </c>
      <c r="R1179" s="29">
        <f>SUMIFS(Cash_Flow_3[Amount],Cash_Flow_3[Bulan],H1179,Cash_Flow_3[Type],"Out",Cash_Flow_3[Category],"Sedekah")</f>
        <v>0</v>
      </c>
      <c r="S1179" s="29">
        <f>SUMIFS(Cash_Flow_3[Amount],Cash_Flow_3[Bulan],H1179,Cash_Flow_3[Type],"Out",Cash_Flow_3[Category],"Zela")</f>
        <v>0</v>
      </c>
      <c r="T1179" s="29">
        <f>SUMIFS(Cash_Flow_3[Amount],Cash_Flow_3[Bulan],H1179,Cash_Flow_3[Type],"Out",Cash_Flow_3[Category],"Iqbal")</f>
        <v>0</v>
      </c>
    </row>
    <row r="1180" spans="1:20" ht="22.5" customHeight="1" x14ac:dyDescent="0.2">
      <c r="A1180" s="23"/>
      <c r="B1180" s="24"/>
      <c r="C1180" s="25"/>
      <c r="D1180" s="25"/>
      <c r="E1180" s="25"/>
      <c r="F1180" s="26"/>
      <c r="G1180" s="27"/>
      <c r="H1180" s="28" t="str">
        <f t="shared" si="0"/>
        <v/>
      </c>
      <c r="I1180" s="29">
        <f>SUMIFS(Cash_Flow_3[Amount],Cash_Flow_3[Bulan],H1180,Cash_Flow_3[Type],"In")</f>
        <v>0</v>
      </c>
      <c r="J1180" s="29">
        <f>SUMIFS(Cash_Flow_3[Amount],Cash_Flow_3[Bulan],H1180,Cash_Flow_3[Type],"Out")</f>
        <v>0</v>
      </c>
      <c r="K1180" s="29">
        <f>SUMIFS(Cash_Flow_3[Amount],Cash_Flow_3[Bulan],H1180,Cash_Flow_3[Type],"Out",Cash_Flow_3[Category],"Fix")</f>
        <v>0</v>
      </c>
      <c r="L1180" s="29">
        <f>SUMIFS(Cash_Flow_3[Amount],Cash_Flow_3[Bulan],H1180,Cash_Flow_3[Type],"Out",Cash_Flow_3[Category],"Bathroom")</f>
        <v>0</v>
      </c>
      <c r="M1180" s="29">
        <f>SUMIFS(Cash_Flow_3[Amount],Cash_Flow_3[Bulan],H1180,Cash_Flow_3[Type],"Out",Cash_Flow_3[Category],"Alfa")</f>
        <v>0</v>
      </c>
      <c r="N1180" s="29">
        <f>SUMIFS(Cash_Flow_3[Amount],Cash_Flow_3[Bulan],H1180,Cash_Flow_3[Type],"Out",Cash_Flow_3[Category],"Jajan")</f>
        <v>0</v>
      </c>
      <c r="O1180" s="29">
        <f>SUMIFS(Cash_Flow_3[Amount],Cash_Flow_3[Bulan],H1180,Cash_Flow_3[Type],"Out",Cash_Flow_3[Category],"Kitchen")</f>
        <v>0</v>
      </c>
      <c r="P1180" s="29">
        <f>SUMIFS(Cash_Flow_3[Amount],Cash_Flow_3[Bulan],H1180,Cash_Flow_3[Type],"Out",Cash_Flow_3[Category],"Loandry")</f>
        <v>0</v>
      </c>
      <c r="Q1180" s="29">
        <f>SUMIFS(Cash_Flow_3[Amount],Cash_Flow_3[Bulan],H1180,Cash_Flow_3[Type],"Out",Cash_Flow_3[Category],"Mio")</f>
        <v>0</v>
      </c>
      <c r="R1180" s="29">
        <f>SUMIFS(Cash_Flow_3[Amount],Cash_Flow_3[Bulan],H1180,Cash_Flow_3[Type],"Out",Cash_Flow_3[Category],"Sedekah")</f>
        <v>0</v>
      </c>
      <c r="S1180" s="29">
        <f>SUMIFS(Cash_Flow_3[Amount],Cash_Flow_3[Bulan],H1180,Cash_Flow_3[Type],"Out",Cash_Flow_3[Category],"Zela")</f>
        <v>0</v>
      </c>
      <c r="T1180" s="29">
        <f>SUMIFS(Cash_Flow_3[Amount],Cash_Flow_3[Bulan],H1180,Cash_Flow_3[Type],"Out",Cash_Flow_3[Category],"Iqbal")</f>
        <v>0</v>
      </c>
    </row>
    <row r="1181" spans="1:20" ht="22.5" customHeight="1" x14ac:dyDescent="0.2">
      <c r="A1181" s="23"/>
      <c r="B1181" s="24"/>
      <c r="C1181" s="25"/>
      <c r="D1181" s="25"/>
      <c r="E1181" s="25"/>
      <c r="F1181" s="26"/>
      <c r="G1181" s="27"/>
      <c r="H1181" s="28" t="str">
        <f t="shared" si="0"/>
        <v/>
      </c>
      <c r="I1181" s="29">
        <f>SUMIFS(Cash_Flow_3[Amount],Cash_Flow_3[Bulan],H1181,Cash_Flow_3[Type],"In")</f>
        <v>0</v>
      </c>
      <c r="J1181" s="29">
        <f>SUMIFS(Cash_Flow_3[Amount],Cash_Flow_3[Bulan],H1181,Cash_Flow_3[Type],"Out")</f>
        <v>0</v>
      </c>
      <c r="K1181" s="29">
        <f>SUMIFS(Cash_Flow_3[Amount],Cash_Flow_3[Bulan],H1181,Cash_Flow_3[Type],"Out",Cash_Flow_3[Category],"Fix")</f>
        <v>0</v>
      </c>
      <c r="L1181" s="29">
        <f>SUMIFS(Cash_Flow_3[Amount],Cash_Flow_3[Bulan],H1181,Cash_Flow_3[Type],"Out",Cash_Flow_3[Category],"Bathroom")</f>
        <v>0</v>
      </c>
      <c r="M1181" s="29">
        <f>SUMIFS(Cash_Flow_3[Amount],Cash_Flow_3[Bulan],H1181,Cash_Flow_3[Type],"Out",Cash_Flow_3[Category],"Alfa")</f>
        <v>0</v>
      </c>
      <c r="N1181" s="29">
        <f>SUMIFS(Cash_Flow_3[Amount],Cash_Flow_3[Bulan],H1181,Cash_Flow_3[Type],"Out",Cash_Flow_3[Category],"Jajan")</f>
        <v>0</v>
      </c>
      <c r="O1181" s="29">
        <f>SUMIFS(Cash_Flow_3[Amount],Cash_Flow_3[Bulan],H1181,Cash_Flow_3[Type],"Out",Cash_Flow_3[Category],"Kitchen")</f>
        <v>0</v>
      </c>
      <c r="P1181" s="29">
        <f>SUMIFS(Cash_Flow_3[Amount],Cash_Flow_3[Bulan],H1181,Cash_Flow_3[Type],"Out",Cash_Flow_3[Category],"Loandry")</f>
        <v>0</v>
      </c>
      <c r="Q1181" s="29">
        <f>SUMIFS(Cash_Flow_3[Amount],Cash_Flow_3[Bulan],H1181,Cash_Flow_3[Type],"Out",Cash_Flow_3[Category],"Mio")</f>
        <v>0</v>
      </c>
      <c r="R1181" s="29">
        <f>SUMIFS(Cash_Flow_3[Amount],Cash_Flow_3[Bulan],H1181,Cash_Flow_3[Type],"Out",Cash_Flow_3[Category],"Sedekah")</f>
        <v>0</v>
      </c>
      <c r="S1181" s="29">
        <f>SUMIFS(Cash_Flow_3[Amount],Cash_Flow_3[Bulan],H1181,Cash_Flow_3[Type],"Out",Cash_Flow_3[Category],"Zela")</f>
        <v>0</v>
      </c>
      <c r="T1181" s="29">
        <f>SUMIFS(Cash_Flow_3[Amount],Cash_Flow_3[Bulan],H1181,Cash_Flow_3[Type],"Out",Cash_Flow_3[Category],"Iqbal")</f>
        <v>0</v>
      </c>
    </row>
    <row r="1182" spans="1:20" ht="22.5" customHeight="1" x14ac:dyDescent="0.2">
      <c r="A1182" s="23"/>
      <c r="B1182" s="24"/>
      <c r="C1182" s="25"/>
      <c r="D1182" s="25"/>
      <c r="E1182" s="25"/>
      <c r="F1182" s="26"/>
      <c r="G1182" s="27"/>
      <c r="H1182" s="28" t="str">
        <f t="shared" si="0"/>
        <v/>
      </c>
      <c r="I1182" s="29">
        <f>SUMIFS(Cash_Flow_3[Amount],Cash_Flow_3[Bulan],H1182,Cash_Flow_3[Type],"In")</f>
        <v>0</v>
      </c>
      <c r="J1182" s="29">
        <f>SUMIFS(Cash_Flow_3[Amount],Cash_Flow_3[Bulan],H1182,Cash_Flow_3[Type],"Out")</f>
        <v>0</v>
      </c>
      <c r="K1182" s="29">
        <f>SUMIFS(Cash_Flow_3[Amount],Cash_Flow_3[Bulan],H1182,Cash_Flow_3[Type],"Out",Cash_Flow_3[Category],"Fix")</f>
        <v>0</v>
      </c>
      <c r="L1182" s="29">
        <f>SUMIFS(Cash_Flow_3[Amount],Cash_Flow_3[Bulan],H1182,Cash_Flow_3[Type],"Out",Cash_Flow_3[Category],"Bathroom")</f>
        <v>0</v>
      </c>
      <c r="M1182" s="29">
        <f>SUMIFS(Cash_Flow_3[Amount],Cash_Flow_3[Bulan],H1182,Cash_Flow_3[Type],"Out",Cash_Flow_3[Category],"Alfa")</f>
        <v>0</v>
      </c>
      <c r="N1182" s="29">
        <f>SUMIFS(Cash_Flow_3[Amount],Cash_Flow_3[Bulan],H1182,Cash_Flow_3[Type],"Out",Cash_Flow_3[Category],"Jajan")</f>
        <v>0</v>
      </c>
      <c r="O1182" s="29">
        <f>SUMIFS(Cash_Flow_3[Amount],Cash_Flow_3[Bulan],H1182,Cash_Flow_3[Type],"Out",Cash_Flow_3[Category],"Kitchen")</f>
        <v>0</v>
      </c>
      <c r="P1182" s="29">
        <f>SUMIFS(Cash_Flow_3[Amount],Cash_Flow_3[Bulan],H1182,Cash_Flow_3[Type],"Out",Cash_Flow_3[Category],"Loandry")</f>
        <v>0</v>
      </c>
      <c r="Q1182" s="29">
        <f>SUMIFS(Cash_Flow_3[Amount],Cash_Flow_3[Bulan],H1182,Cash_Flow_3[Type],"Out",Cash_Flow_3[Category],"Mio")</f>
        <v>0</v>
      </c>
      <c r="R1182" s="29">
        <f>SUMIFS(Cash_Flow_3[Amount],Cash_Flow_3[Bulan],H1182,Cash_Flow_3[Type],"Out",Cash_Flow_3[Category],"Sedekah")</f>
        <v>0</v>
      </c>
      <c r="S1182" s="29">
        <f>SUMIFS(Cash_Flow_3[Amount],Cash_Flow_3[Bulan],H1182,Cash_Flow_3[Type],"Out",Cash_Flow_3[Category],"Zela")</f>
        <v>0</v>
      </c>
      <c r="T1182" s="29">
        <f>SUMIFS(Cash_Flow_3[Amount],Cash_Flow_3[Bulan],H1182,Cash_Flow_3[Type],"Out",Cash_Flow_3[Category],"Iqbal")</f>
        <v>0</v>
      </c>
    </row>
    <row r="1183" spans="1:20" ht="22.5" customHeight="1" x14ac:dyDescent="0.2">
      <c r="A1183" s="23"/>
      <c r="B1183" s="24"/>
      <c r="C1183" s="25"/>
      <c r="D1183" s="25"/>
      <c r="E1183" s="25"/>
      <c r="F1183" s="26"/>
      <c r="G1183" s="27"/>
      <c r="H1183" s="28" t="str">
        <f t="shared" si="0"/>
        <v/>
      </c>
      <c r="I1183" s="29">
        <f>SUMIFS(Cash_Flow_3[Amount],Cash_Flow_3[Bulan],H1183,Cash_Flow_3[Type],"In")</f>
        <v>0</v>
      </c>
      <c r="J1183" s="29">
        <f>SUMIFS(Cash_Flow_3[Amount],Cash_Flow_3[Bulan],H1183,Cash_Flow_3[Type],"Out")</f>
        <v>0</v>
      </c>
      <c r="K1183" s="29">
        <f>SUMIFS(Cash_Flow_3[Amount],Cash_Flow_3[Bulan],H1183,Cash_Flow_3[Type],"Out",Cash_Flow_3[Category],"Fix")</f>
        <v>0</v>
      </c>
      <c r="L1183" s="29">
        <f>SUMIFS(Cash_Flow_3[Amount],Cash_Flow_3[Bulan],H1183,Cash_Flow_3[Type],"Out",Cash_Flow_3[Category],"Bathroom")</f>
        <v>0</v>
      </c>
      <c r="M1183" s="29">
        <f>SUMIFS(Cash_Flow_3[Amount],Cash_Flow_3[Bulan],H1183,Cash_Flow_3[Type],"Out",Cash_Flow_3[Category],"Alfa")</f>
        <v>0</v>
      </c>
      <c r="N1183" s="29">
        <f>SUMIFS(Cash_Flow_3[Amount],Cash_Flow_3[Bulan],H1183,Cash_Flow_3[Type],"Out",Cash_Flow_3[Category],"Jajan")</f>
        <v>0</v>
      </c>
      <c r="O1183" s="29">
        <f>SUMIFS(Cash_Flow_3[Amount],Cash_Flow_3[Bulan],H1183,Cash_Flow_3[Type],"Out",Cash_Flow_3[Category],"Kitchen")</f>
        <v>0</v>
      </c>
      <c r="P1183" s="29">
        <f>SUMIFS(Cash_Flow_3[Amount],Cash_Flow_3[Bulan],H1183,Cash_Flow_3[Type],"Out",Cash_Flow_3[Category],"Loandry")</f>
        <v>0</v>
      </c>
      <c r="Q1183" s="29">
        <f>SUMIFS(Cash_Flow_3[Amount],Cash_Flow_3[Bulan],H1183,Cash_Flow_3[Type],"Out",Cash_Flow_3[Category],"Mio")</f>
        <v>0</v>
      </c>
      <c r="R1183" s="29">
        <f>SUMIFS(Cash_Flow_3[Amount],Cash_Flow_3[Bulan],H1183,Cash_Flow_3[Type],"Out",Cash_Flow_3[Category],"Sedekah")</f>
        <v>0</v>
      </c>
      <c r="S1183" s="29">
        <f>SUMIFS(Cash_Flow_3[Amount],Cash_Flow_3[Bulan],H1183,Cash_Flow_3[Type],"Out",Cash_Flow_3[Category],"Zela")</f>
        <v>0</v>
      </c>
      <c r="T1183" s="29">
        <f>SUMIFS(Cash_Flow_3[Amount],Cash_Flow_3[Bulan],H1183,Cash_Flow_3[Type],"Out",Cash_Flow_3[Category],"Iqbal")</f>
        <v>0</v>
      </c>
    </row>
    <row r="1184" spans="1:20" ht="22.5" customHeight="1" x14ac:dyDescent="0.2">
      <c r="A1184" s="23"/>
      <c r="B1184" s="24"/>
      <c r="C1184" s="25"/>
      <c r="D1184" s="25"/>
      <c r="E1184" s="25"/>
      <c r="F1184" s="26"/>
      <c r="G1184" s="27"/>
      <c r="H1184" s="28" t="str">
        <f t="shared" si="0"/>
        <v/>
      </c>
      <c r="I1184" s="29">
        <f>SUMIFS(Cash_Flow_3[Amount],Cash_Flow_3[Bulan],H1184,Cash_Flow_3[Type],"In")</f>
        <v>0</v>
      </c>
      <c r="J1184" s="29">
        <f>SUMIFS(Cash_Flow_3[Amount],Cash_Flow_3[Bulan],H1184,Cash_Flow_3[Type],"Out")</f>
        <v>0</v>
      </c>
      <c r="K1184" s="29">
        <f>SUMIFS(Cash_Flow_3[Amount],Cash_Flow_3[Bulan],H1184,Cash_Flow_3[Type],"Out",Cash_Flow_3[Category],"Fix")</f>
        <v>0</v>
      </c>
      <c r="L1184" s="29">
        <f>SUMIFS(Cash_Flow_3[Amount],Cash_Flow_3[Bulan],H1184,Cash_Flow_3[Type],"Out",Cash_Flow_3[Category],"Bathroom")</f>
        <v>0</v>
      </c>
      <c r="M1184" s="29">
        <f>SUMIFS(Cash_Flow_3[Amount],Cash_Flow_3[Bulan],H1184,Cash_Flow_3[Type],"Out",Cash_Flow_3[Category],"Alfa")</f>
        <v>0</v>
      </c>
      <c r="N1184" s="29">
        <f>SUMIFS(Cash_Flow_3[Amount],Cash_Flow_3[Bulan],H1184,Cash_Flow_3[Type],"Out",Cash_Flow_3[Category],"Jajan")</f>
        <v>0</v>
      </c>
      <c r="O1184" s="29">
        <f>SUMIFS(Cash_Flow_3[Amount],Cash_Flow_3[Bulan],H1184,Cash_Flow_3[Type],"Out",Cash_Flow_3[Category],"Kitchen")</f>
        <v>0</v>
      </c>
      <c r="P1184" s="29">
        <f>SUMIFS(Cash_Flow_3[Amount],Cash_Flow_3[Bulan],H1184,Cash_Flow_3[Type],"Out",Cash_Flow_3[Category],"Loandry")</f>
        <v>0</v>
      </c>
      <c r="Q1184" s="29">
        <f>SUMIFS(Cash_Flow_3[Amount],Cash_Flow_3[Bulan],H1184,Cash_Flow_3[Type],"Out",Cash_Flow_3[Category],"Mio")</f>
        <v>0</v>
      </c>
      <c r="R1184" s="29">
        <f>SUMIFS(Cash_Flow_3[Amount],Cash_Flow_3[Bulan],H1184,Cash_Flow_3[Type],"Out",Cash_Flow_3[Category],"Sedekah")</f>
        <v>0</v>
      </c>
      <c r="S1184" s="29">
        <f>SUMIFS(Cash_Flow_3[Amount],Cash_Flow_3[Bulan],H1184,Cash_Flow_3[Type],"Out",Cash_Flow_3[Category],"Zela")</f>
        <v>0</v>
      </c>
      <c r="T1184" s="29">
        <f>SUMIFS(Cash_Flow_3[Amount],Cash_Flow_3[Bulan],H1184,Cash_Flow_3[Type],"Out",Cash_Flow_3[Category],"Iqbal")</f>
        <v>0</v>
      </c>
    </row>
    <row r="1185" spans="1:20" ht="22.5" customHeight="1" x14ac:dyDescent="0.2">
      <c r="A1185" s="23"/>
      <c r="B1185" s="24"/>
      <c r="C1185" s="25"/>
      <c r="D1185" s="25"/>
      <c r="E1185" s="25"/>
      <c r="F1185" s="26"/>
      <c r="G1185" s="27"/>
      <c r="H1185" s="28" t="str">
        <f t="shared" si="0"/>
        <v/>
      </c>
      <c r="I1185" s="29">
        <f>SUMIFS(Cash_Flow_3[Amount],Cash_Flow_3[Bulan],H1185,Cash_Flow_3[Type],"In")</f>
        <v>0</v>
      </c>
      <c r="J1185" s="29">
        <f>SUMIFS(Cash_Flow_3[Amount],Cash_Flow_3[Bulan],H1185,Cash_Flow_3[Type],"Out")</f>
        <v>0</v>
      </c>
      <c r="K1185" s="29">
        <f>SUMIFS(Cash_Flow_3[Amount],Cash_Flow_3[Bulan],H1185,Cash_Flow_3[Type],"Out",Cash_Flow_3[Category],"Fix")</f>
        <v>0</v>
      </c>
      <c r="L1185" s="29">
        <f>SUMIFS(Cash_Flow_3[Amount],Cash_Flow_3[Bulan],H1185,Cash_Flow_3[Type],"Out",Cash_Flow_3[Category],"Bathroom")</f>
        <v>0</v>
      </c>
      <c r="M1185" s="29">
        <f>SUMIFS(Cash_Flow_3[Amount],Cash_Flow_3[Bulan],H1185,Cash_Flow_3[Type],"Out",Cash_Flow_3[Category],"Alfa")</f>
        <v>0</v>
      </c>
      <c r="N1185" s="29">
        <f>SUMIFS(Cash_Flow_3[Amount],Cash_Flow_3[Bulan],H1185,Cash_Flow_3[Type],"Out",Cash_Flow_3[Category],"Jajan")</f>
        <v>0</v>
      </c>
      <c r="O1185" s="29">
        <f>SUMIFS(Cash_Flow_3[Amount],Cash_Flow_3[Bulan],H1185,Cash_Flow_3[Type],"Out",Cash_Flow_3[Category],"Kitchen")</f>
        <v>0</v>
      </c>
      <c r="P1185" s="29">
        <f>SUMIFS(Cash_Flow_3[Amount],Cash_Flow_3[Bulan],H1185,Cash_Flow_3[Type],"Out",Cash_Flow_3[Category],"Loandry")</f>
        <v>0</v>
      </c>
      <c r="Q1185" s="29">
        <f>SUMIFS(Cash_Flow_3[Amount],Cash_Flow_3[Bulan],H1185,Cash_Flow_3[Type],"Out",Cash_Flow_3[Category],"Mio")</f>
        <v>0</v>
      </c>
      <c r="R1185" s="29">
        <f>SUMIFS(Cash_Flow_3[Amount],Cash_Flow_3[Bulan],H1185,Cash_Flow_3[Type],"Out",Cash_Flow_3[Category],"Sedekah")</f>
        <v>0</v>
      </c>
      <c r="S1185" s="29">
        <f>SUMIFS(Cash_Flow_3[Amount],Cash_Flow_3[Bulan],H1185,Cash_Flow_3[Type],"Out",Cash_Flow_3[Category],"Zela")</f>
        <v>0</v>
      </c>
      <c r="T1185" s="29">
        <f>SUMIFS(Cash_Flow_3[Amount],Cash_Flow_3[Bulan],H1185,Cash_Flow_3[Type],"Out",Cash_Flow_3[Category],"Iqbal")</f>
        <v>0</v>
      </c>
    </row>
    <row r="1186" spans="1:20" ht="22.5" customHeight="1" x14ac:dyDescent="0.2">
      <c r="A1186" s="23"/>
      <c r="B1186" s="24"/>
      <c r="C1186" s="25"/>
      <c r="D1186" s="25"/>
      <c r="E1186" s="25"/>
      <c r="F1186" s="26"/>
      <c r="G1186" s="27"/>
      <c r="H1186" s="28" t="str">
        <f t="shared" si="0"/>
        <v/>
      </c>
      <c r="I1186" s="29">
        <f>SUMIFS(Cash_Flow_3[Amount],Cash_Flow_3[Bulan],H1186,Cash_Flow_3[Type],"In")</f>
        <v>0</v>
      </c>
      <c r="J1186" s="29">
        <f>SUMIFS(Cash_Flow_3[Amount],Cash_Flow_3[Bulan],H1186,Cash_Flow_3[Type],"Out")</f>
        <v>0</v>
      </c>
      <c r="K1186" s="29">
        <f>SUMIFS(Cash_Flow_3[Amount],Cash_Flow_3[Bulan],H1186,Cash_Flow_3[Type],"Out",Cash_Flow_3[Category],"Fix")</f>
        <v>0</v>
      </c>
      <c r="L1186" s="29">
        <f>SUMIFS(Cash_Flow_3[Amount],Cash_Flow_3[Bulan],H1186,Cash_Flow_3[Type],"Out",Cash_Flow_3[Category],"Bathroom")</f>
        <v>0</v>
      </c>
      <c r="M1186" s="29">
        <f>SUMIFS(Cash_Flow_3[Amount],Cash_Flow_3[Bulan],H1186,Cash_Flow_3[Type],"Out",Cash_Flow_3[Category],"Alfa")</f>
        <v>0</v>
      </c>
      <c r="N1186" s="29">
        <f>SUMIFS(Cash_Flow_3[Amount],Cash_Flow_3[Bulan],H1186,Cash_Flow_3[Type],"Out",Cash_Flow_3[Category],"Jajan")</f>
        <v>0</v>
      </c>
      <c r="O1186" s="29">
        <f>SUMIFS(Cash_Flow_3[Amount],Cash_Flow_3[Bulan],H1186,Cash_Flow_3[Type],"Out",Cash_Flow_3[Category],"Kitchen")</f>
        <v>0</v>
      </c>
      <c r="P1186" s="29">
        <f>SUMIFS(Cash_Flow_3[Amount],Cash_Flow_3[Bulan],H1186,Cash_Flow_3[Type],"Out",Cash_Flow_3[Category],"Loandry")</f>
        <v>0</v>
      </c>
      <c r="Q1186" s="29">
        <f>SUMIFS(Cash_Flow_3[Amount],Cash_Flow_3[Bulan],H1186,Cash_Flow_3[Type],"Out",Cash_Flow_3[Category],"Mio")</f>
        <v>0</v>
      </c>
      <c r="R1186" s="29">
        <f>SUMIFS(Cash_Flow_3[Amount],Cash_Flow_3[Bulan],H1186,Cash_Flow_3[Type],"Out",Cash_Flow_3[Category],"Sedekah")</f>
        <v>0</v>
      </c>
      <c r="S1186" s="29">
        <f>SUMIFS(Cash_Flow_3[Amount],Cash_Flow_3[Bulan],H1186,Cash_Flow_3[Type],"Out",Cash_Flow_3[Category],"Zela")</f>
        <v>0</v>
      </c>
      <c r="T1186" s="29">
        <f>SUMIFS(Cash_Flow_3[Amount],Cash_Flow_3[Bulan],H1186,Cash_Flow_3[Type],"Out",Cash_Flow_3[Category],"Iqbal")</f>
        <v>0</v>
      </c>
    </row>
    <row r="1187" spans="1:20" ht="22.5" customHeight="1" x14ac:dyDescent="0.2">
      <c r="A1187" s="23"/>
      <c r="B1187" s="24"/>
      <c r="C1187" s="25"/>
      <c r="D1187" s="25"/>
      <c r="E1187" s="25"/>
      <c r="F1187" s="26"/>
      <c r="G1187" s="27"/>
      <c r="H1187" s="28" t="str">
        <f t="shared" si="0"/>
        <v/>
      </c>
      <c r="I1187" s="29">
        <f>SUMIFS(Cash_Flow_3[Amount],Cash_Flow_3[Bulan],H1187,Cash_Flow_3[Type],"In")</f>
        <v>0</v>
      </c>
      <c r="J1187" s="29">
        <f>SUMIFS(Cash_Flow_3[Amount],Cash_Flow_3[Bulan],H1187,Cash_Flow_3[Type],"Out")</f>
        <v>0</v>
      </c>
      <c r="K1187" s="29">
        <f>SUMIFS(Cash_Flow_3[Amount],Cash_Flow_3[Bulan],H1187,Cash_Flow_3[Type],"Out",Cash_Flow_3[Category],"Fix")</f>
        <v>0</v>
      </c>
      <c r="L1187" s="29">
        <f>SUMIFS(Cash_Flow_3[Amount],Cash_Flow_3[Bulan],H1187,Cash_Flow_3[Type],"Out",Cash_Flow_3[Category],"Bathroom")</f>
        <v>0</v>
      </c>
      <c r="M1187" s="29">
        <f>SUMIFS(Cash_Flow_3[Amount],Cash_Flow_3[Bulan],H1187,Cash_Flow_3[Type],"Out",Cash_Flow_3[Category],"Alfa")</f>
        <v>0</v>
      </c>
      <c r="N1187" s="29">
        <f>SUMIFS(Cash_Flow_3[Amount],Cash_Flow_3[Bulan],H1187,Cash_Flow_3[Type],"Out",Cash_Flow_3[Category],"Jajan")</f>
        <v>0</v>
      </c>
      <c r="O1187" s="29">
        <f>SUMIFS(Cash_Flow_3[Amount],Cash_Flow_3[Bulan],H1187,Cash_Flow_3[Type],"Out",Cash_Flow_3[Category],"Kitchen")</f>
        <v>0</v>
      </c>
      <c r="P1187" s="29">
        <f>SUMIFS(Cash_Flow_3[Amount],Cash_Flow_3[Bulan],H1187,Cash_Flow_3[Type],"Out",Cash_Flow_3[Category],"Loandry")</f>
        <v>0</v>
      </c>
      <c r="Q1187" s="29">
        <f>SUMIFS(Cash_Flow_3[Amount],Cash_Flow_3[Bulan],H1187,Cash_Flow_3[Type],"Out",Cash_Flow_3[Category],"Mio")</f>
        <v>0</v>
      </c>
      <c r="R1187" s="29">
        <f>SUMIFS(Cash_Flow_3[Amount],Cash_Flow_3[Bulan],H1187,Cash_Flow_3[Type],"Out",Cash_Flow_3[Category],"Sedekah")</f>
        <v>0</v>
      </c>
      <c r="S1187" s="29">
        <f>SUMIFS(Cash_Flow_3[Amount],Cash_Flow_3[Bulan],H1187,Cash_Flow_3[Type],"Out",Cash_Flow_3[Category],"Zela")</f>
        <v>0</v>
      </c>
      <c r="T1187" s="29">
        <f>SUMIFS(Cash_Flow_3[Amount],Cash_Flow_3[Bulan],H1187,Cash_Flow_3[Type],"Out",Cash_Flow_3[Category],"Iqbal")</f>
        <v>0</v>
      </c>
    </row>
    <row r="1188" spans="1:20" ht="22.5" customHeight="1" x14ac:dyDescent="0.2">
      <c r="A1188" s="23"/>
      <c r="B1188" s="24"/>
      <c r="C1188" s="25"/>
      <c r="D1188" s="25"/>
      <c r="E1188" s="25"/>
      <c r="F1188" s="26"/>
      <c r="G1188" s="27"/>
      <c r="H1188" s="28" t="str">
        <f t="shared" si="0"/>
        <v/>
      </c>
      <c r="I1188" s="29">
        <f>SUMIFS(Cash_Flow_3[Amount],Cash_Flow_3[Bulan],H1188,Cash_Flow_3[Type],"In")</f>
        <v>0</v>
      </c>
      <c r="J1188" s="29">
        <f>SUMIFS(Cash_Flow_3[Amount],Cash_Flow_3[Bulan],H1188,Cash_Flow_3[Type],"Out")</f>
        <v>0</v>
      </c>
      <c r="K1188" s="29">
        <f>SUMIFS(Cash_Flow_3[Amount],Cash_Flow_3[Bulan],H1188,Cash_Flow_3[Type],"Out",Cash_Flow_3[Category],"Fix")</f>
        <v>0</v>
      </c>
      <c r="L1188" s="29">
        <f>SUMIFS(Cash_Flow_3[Amount],Cash_Flow_3[Bulan],H1188,Cash_Flow_3[Type],"Out",Cash_Flow_3[Category],"Bathroom")</f>
        <v>0</v>
      </c>
      <c r="M1188" s="29">
        <f>SUMIFS(Cash_Flow_3[Amount],Cash_Flow_3[Bulan],H1188,Cash_Flow_3[Type],"Out",Cash_Flow_3[Category],"Alfa")</f>
        <v>0</v>
      </c>
      <c r="N1188" s="29">
        <f>SUMIFS(Cash_Flow_3[Amount],Cash_Flow_3[Bulan],H1188,Cash_Flow_3[Type],"Out",Cash_Flow_3[Category],"Jajan")</f>
        <v>0</v>
      </c>
      <c r="O1188" s="29">
        <f>SUMIFS(Cash_Flow_3[Amount],Cash_Flow_3[Bulan],H1188,Cash_Flow_3[Type],"Out",Cash_Flow_3[Category],"Kitchen")</f>
        <v>0</v>
      </c>
      <c r="P1188" s="29">
        <f>SUMIFS(Cash_Flow_3[Amount],Cash_Flow_3[Bulan],H1188,Cash_Flow_3[Type],"Out",Cash_Flow_3[Category],"Loandry")</f>
        <v>0</v>
      </c>
      <c r="Q1188" s="29">
        <f>SUMIFS(Cash_Flow_3[Amount],Cash_Flow_3[Bulan],H1188,Cash_Flow_3[Type],"Out",Cash_Flow_3[Category],"Mio")</f>
        <v>0</v>
      </c>
      <c r="R1188" s="29">
        <f>SUMIFS(Cash_Flow_3[Amount],Cash_Flow_3[Bulan],H1188,Cash_Flow_3[Type],"Out",Cash_Flow_3[Category],"Sedekah")</f>
        <v>0</v>
      </c>
      <c r="S1188" s="29">
        <f>SUMIFS(Cash_Flow_3[Amount],Cash_Flow_3[Bulan],H1188,Cash_Flow_3[Type],"Out",Cash_Flow_3[Category],"Zela")</f>
        <v>0</v>
      </c>
      <c r="T1188" s="29">
        <f>SUMIFS(Cash_Flow_3[Amount],Cash_Flow_3[Bulan],H1188,Cash_Flow_3[Type],"Out",Cash_Flow_3[Category],"Iqbal")</f>
        <v>0</v>
      </c>
    </row>
    <row r="1189" spans="1:20" ht="22.5" customHeight="1" x14ac:dyDescent="0.2">
      <c r="A1189" s="23"/>
      <c r="B1189" s="24"/>
      <c r="C1189" s="25"/>
      <c r="D1189" s="25"/>
      <c r="E1189" s="25"/>
      <c r="F1189" s="26"/>
      <c r="G1189" s="27"/>
      <c r="H1189" s="28" t="str">
        <f t="shared" si="0"/>
        <v/>
      </c>
      <c r="I1189" s="29">
        <f>SUMIFS(Cash_Flow_3[Amount],Cash_Flow_3[Bulan],H1189,Cash_Flow_3[Type],"In")</f>
        <v>0</v>
      </c>
      <c r="J1189" s="29">
        <f>SUMIFS(Cash_Flow_3[Amount],Cash_Flow_3[Bulan],H1189,Cash_Flow_3[Type],"Out")</f>
        <v>0</v>
      </c>
      <c r="K1189" s="29">
        <f>SUMIFS(Cash_Flow_3[Amount],Cash_Flow_3[Bulan],H1189,Cash_Flow_3[Type],"Out",Cash_Flow_3[Category],"Fix")</f>
        <v>0</v>
      </c>
      <c r="L1189" s="29">
        <f>SUMIFS(Cash_Flow_3[Amount],Cash_Flow_3[Bulan],H1189,Cash_Flow_3[Type],"Out",Cash_Flow_3[Category],"Bathroom")</f>
        <v>0</v>
      </c>
      <c r="M1189" s="29">
        <f>SUMIFS(Cash_Flow_3[Amount],Cash_Flow_3[Bulan],H1189,Cash_Flow_3[Type],"Out",Cash_Flow_3[Category],"Alfa")</f>
        <v>0</v>
      </c>
      <c r="N1189" s="29">
        <f>SUMIFS(Cash_Flow_3[Amount],Cash_Flow_3[Bulan],H1189,Cash_Flow_3[Type],"Out",Cash_Flow_3[Category],"Jajan")</f>
        <v>0</v>
      </c>
      <c r="O1189" s="29">
        <f>SUMIFS(Cash_Flow_3[Amount],Cash_Flow_3[Bulan],H1189,Cash_Flow_3[Type],"Out",Cash_Flow_3[Category],"Kitchen")</f>
        <v>0</v>
      </c>
      <c r="P1189" s="29">
        <f>SUMIFS(Cash_Flow_3[Amount],Cash_Flow_3[Bulan],H1189,Cash_Flow_3[Type],"Out",Cash_Flow_3[Category],"Loandry")</f>
        <v>0</v>
      </c>
      <c r="Q1189" s="29">
        <f>SUMIFS(Cash_Flow_3[Amount],Cash_Flow_3[Bulan],H1189,Cash_Flow_3[Type],"Out",Cash_Flow_3[Category],"Mio")</f>
        <v>0</v>
      </c>
      <c r="R1189" s="29">
        <f>SUMIFS(Cash_Flow_3[Amount],Cash_Flow_3[Bulan],H1189,Cash_Flow_3[Type],"Out",Cash_Flow_3[Category],"Sedekah")</f>
        <v>0</v>
      </c>
      <c r="S1189" s="29">
        <f>SUMIFS(Cash_Flow_3[Amount],Cash_Flow_3[Bulan],H1189,Cash_Flow_3[Type],"Out",Cash_Flow_3[Category],"Zela")</f>
        <v>0</v>
      </c>
      <c r="T1189" s="29">
        <f>SUMIFS(Cash_Flow_3[Amount],Cash_Flow_3[Bulan],H1189,Cash_Flow_3[Type],"Out",Cash_Flow_3[Category],"Iqbal")</f>
        <v>0</v>
      </c>
    </row>
    <row r="1190" spans="1:20" ht="22.5" customHeight="1" x14ac:dyDescent="0.2">
      <c r="A1190" s="23"/>
      <c r="B1190" s="24"/>
      <c r="C1190" s="25"/>
      <c r="D1190" s="25"/>
      <c r="E1190" s="25"/>
      <c r="F1190" s="26"/>
      <c r="G1190" s="27"/>
      <c r="H1190" s="28" t="str">
        <f t="shared" si="0"/>
        <v/>
      </c>
      <c r="I1190" s="29">
        <f>SUMIFS(Cash_Flow_3[Amount],Cash_Flow_3[Bulan],H1190,Cash_Flow_3[Type],"In")</f>
        <v>0</v>
      </c>
      <c r="J1190" s="29">
        <f>SUMIFS(Cash_Flow_3[Amount],Cash_Flow_3[Bulan],H1190,Cash_Flow_3[Type],"Out")</f>
        <v>0</v>
      </c>
      <c r="K1190" s="29">
        <f>SUMIFS(Cash_Flow_3[Amount],Cash_Flow_3[Bulan],H1190,Cash_Flow_3[Type],"Out",Cash_Flow_3[Category],"Fix")</f>
        <v>0</v>
      </c>
      <c r="L1190" s="29">
        <f>SUMIFS(Cash_Flow_3[Amount],Cash_Flow_3[Bulan],H1190,Cash_Flow_3[Type],"Out",Cash_Flow_3[Category],"Bathroom")</f>
        <v>0</v>
      </c>
      <c r="M1190" s="29">
        <f>SUMIFS(Cash_Flow_3[Amount],Cash_Flow_3[Bulan],H1190,Cash_Flow_3[Type],"Out",Cash_Flow_3[Category],"Alfa")</f>
        <v>0</v>
      </c>
      <c r="N1190" s="29">
        <f>SUMIFS(Cash_Flow_3[Amount],Cash_Flow_3[Bulan],H1190,Cash_Flow_3[Type],"Out",Cash_Flow_3[Category],"Jajan")</f>
        <v>0</v>
      </c>
      <c r="O1190" s="29">
        <f>SUMIFS(Cash_Flow_3[Amount],Cash_Flow_3[Bulan],H1190,Cash_Flow_3[Type],"Out",Cash_Flow_3[Category],"Kitchen")</f>
        <v>0</v>
      </c>
      <c r="P1190" s="29">
        <f>SUMIFS(Cash_Flow_3[Amount],Cash_Flow_3[Bulan],H1190,Cash_Flow_3[Type],"Out",Cash_Flow_3[Category],"Loandry")</f>
        <v>0</v>
      </c>
      <c r="Q1190" s="29">
        <f>SUMIFS(Cash_Flow_3[Amount],Cash_Flow_3[Bulan],H1190,Cash_Flow_3[Type],"Out",Cash_Flow_3[Category],"Mio")</f>
        <v>0</v>
      </c>
      <c r="R1190" s="29">
        <f>SUMIFS(Cash_Flow_3[Amount],Cash_Flow_3[Bulan],H1190,Cash_Flow_3[Type],"Out",Cash_Flow_3[Category],"Sedekah")</f>
        <v>0</v>
      </c>
      <c r="S1190" s="29">
        <f>SUMIFS(Cash_Flow_3[Amount],Cash_Flow_3[Bulan],H1190,Cash_Flow_3[Type],"Out",Cash_Flow_3[Category],"Zela")</f>
        <v>0</v>
      </c>
      <c r="T1190" s="29">
        <f>SUMIFS(Cash_Flow_3[Amount],Cash_Flow_3[Bulan],H1190,Cash_Flow_3[Type],"Out",Cash_Flow_3[Category],"Iqbal")</f>
        <v>0</v>
      </c>
    </row>
    <row r="1191" spans="1:20" ht="22.5" customHeight="1" x14ac:dyDescent="0.2">
      <c r="A1191" s="23"/>
      <c r="B1191" s="24"/>
      <c r="C1191" s="25"/>
      <c r="D1191" s="25"/>
      <c r="E1191" s="25"/>
      <c r="F1191" s="26"/>
      <c r="G1191" s="27"/>
      <c r="H1191" s="28" t="str">
        <f t="shared" si="0"/>
        <v/>
      </c>
      <c r="I1191" s="29">
        <f>SUMIFS(Cash_Flow_3[Amount],Cash_Flow_3[Bulan],H1191,Cash_Flow_3[Type],"In")</f>
        <v>0</v>
      </c>
      <c r="J1191" s="29">
        <f>SUMIFS(Cash_Flow_3[Amount],Cash_Flow_3[Bulan],H1191,Cash_Flow_3[Type],"Out")</f>
        <v>0</v>
      </c>
      <c r="K1191" s="29">
        <f>SUMIFS(Cash_Flow_3[Amount],Cash_Flow_3[Bulan],H1191,Cash_Flow_3[Type],"Out",Cash_Flow_3[Category],"Fix")</f>
        <v>0</v>
      </c>
      <c r="L1191" s="29">
        <f>SUMIFS(Cash_Flow_3[Amount],Cash_Flow_3[Bulan],H1191,Cash_Flow_3[Type],"Out",Cash_Flow_3[Category],"Bathroom")</f>
        <v>0</v>
      </c>
      <c r="M1191" s="29">
        <f>SUMIFS(Cash_Flow_3[Amount],Cash_Flow_3[Bulan],H1191,Cash_Flow_3[Type],"Out",Cash_Flow_3[Category],"Alfa")</f>
        <v>0</v>
      </c>
      <c r="N1191" s="29">
        <f>SUMIFS(Cash_Flow_3[Amount],Cash_Flow_3[Bulan],H1191,Cash_Flow_3[Type],"Out",Cash_Flow_3[Category],"Jajan")</f>
        <v>0</v>
      </c>
      <c r="O1191" s="29">
        <f>SUMIFS(Cash_Flow_3[Amount],Cash_Flow_3[Bulan],H1191,Cash_Flow_3[Type],"Out",Cash_Flow_3[Category],"Kitchen")</f>
        <v>0</v>
      </c>
      <c r="P1191" s="29">
        <f>SUMIFS(Cash_Flow_3[Amount],Cash_Flow_3[Bulan],H1191,Cash_Flow_3[Type],"Out",Cash_Flow_3[Category],"Loandry")</f>
        <v>0</v>
      </c>
      <c r="Q1191" s="29">
        <f>SUMIFS(Cash_Flow_3[Amount],Cash_Flow_3[Bulan],H1191,Cash_Flow_3[Type],"Out",Cash_Flow_3[Category],"Mio")</f>
        <v>0</v>
      </c>
      <c r="R1191" s="29">
        <f>SUMIFS(Cash_Flow_3[Amount],Cash_Flow_3[Bulan],H1191,Cash_Flow_3[Type],"Out",Cash_Flow_3[Category],"Sedekah")</f>
        <v>0</v>
      </c>
      <c r="S1191" s="29">
        <f>SUMIFS(Cash_Flow_3[Amount],Cash_Flow_3[Bulan],H1191,Cash_Flow_3[Type],"Out",Cash_Flow_3[Category],"Zela")</f>
        <v>0</v>
      </c>
      <c r="T1191" s="29">
        <f>SUMIFS(Cash_Flow_3[Amount],Cash_Flow_3[Bulan],H1191,Cash_Flow_3[Type],"Out",Cash_Flow_3[Category],"Iqbal")</f>
        <v>0</v>
      </c>
    </row>
    <row r="1192" spans="1:20" ht="22.5" customHeight="1" x14ac:dyDescent="0.2">
      <c r="A1192" s="23"/>
      <c r="B1192" s="24"/>
      <c r="C1192" s="25"/>
      <c r="D1192" s="25"/>
      <c r="E1192" s="25"/>
      <c r="F1192" s="26"/>
      <c r="G1192" s="27"/>
      <c r="H1192" s="28" t="str">
        <f t="shared" si="0"/>
        <v/>
      </c>
      <c r="I1192" s="29">
        <f>SUMIFS(Cash_Flow_3[Amount],Cash_Flow_3[Bulan],H1192,Cash_Flow_3[Type],"In")</f>
        <v>0</v>
      </c>
      <c r="J1192" s="29">
        <f>SUMIFS(Cash_Flow_3[Amount],Cash_Flow_3[Bulan],H1192,Cash_Flow_3[Type],"Out")</f>
        <v>0</v>
      </c>
      <c r="K1192" s="29">
        <f>SUMIFS(Cash_Flow_3[Amount],Cash_Flow_3[Bulan],H1192,Cash_Flow_3[Type],"Out",Cash_Flow_3[Category],"Fix")</f>
        <v>0</v>
      </c>
      <c r="L1192" s="29">
        <f>SUMIFS(Cash_Flow_3[Amount],Cash_Flow_3[Bulan],H1192,Cash_Flow_3[Type],"Out",Cash_Flow_3[Category],"Bathroom")</f>
        <v>0</v>
      </c>
      <c r="M1192" s="29">
        <f>SUMIFS(Cash_Flow_3[Amount],Cash_Flow_3[Bulan],H1192,Cash_Flow_3[Type],"Out",Cash_Flow_3[Category],"Alfa")</f>
        <v>0</v>
      </c>
      <c r="N1192" s="29">
        <f>SUMIFS(Cash_Flow_3[Amount],Cash_Flow_3[Bulan],H1192,Cash_Flow_3[Type],"Out",Cash_Flow_3[Category],"Jajan")</f>
        <v>0</v>
      </c>
      <c r="O1192" s="29">
        <f>SUMIFS(Cash_Flow_3[Amount],Cash_Flow_3[Bulan],H1192,Cash_Flow_3[Type],"Out",Cash_Flow_3[Category],"Kitchen")</f>
        <v>0</v>
      </c>
      <c r="P1192" s="29">
        <f>SUMIFS(Cash_Flow_3[Amount],Cash_Flow_3[Bulan],H1192,Cash_Flow_3[Type],"Out",Cash_Flow_3[Category],"Loandry")</f>
        <v>0</v>
      </c>
      <c r="Q1192" s="29">
        <f>SUMIFS(Cash_Flow_3[Amount],Cash_Flow_3[Bulan],H1192,Cash_Flow_3[Type],"Out",Cash_Flow_3[Category],"Mio")</f>
        <v>0</v>
      </c>
      <c r="R1192" s="29">
        <f>SUMIFS(Cash_Flow_3[Amount],Cash_Flow_3[Bulan],H1192,Cash_Flow_3[Type],"Out",Cash_Flow_3[Category],"Sedekah")</f>
        <v>0</v>
      </c>
      <c r="S1192" s="29">
        <f>SUMIFS(Cash_Flow_3[Amount],Cash_Flow_3[Bulan],H1192,Cash_Flow_3[Type],"Out",Cash_Flow_3[Category],"Zela")</f>
        <v>0</v>
      </c>
      <c r="T1192" s="29">
        <f>SUMIFS(Cash_Flow_3[Amount],Cash_Flow_3[Bulan],H1192,Cash_Flow_3[Type],"Out",Cash_Flow_3[Category],"Iqbal")</f>
        <v>0</v>
      </c>
    </row>
    <row r="1193" spans="1:20" ht="22.5" customHeight="1" x14ac:dyDescent="0.2">
      <c r="A1193" s="23"/>
      <c r="B1193" s="24"/>
      <c r="C1193" s="25"/>
      <c r="D1193" s="25"/>
      <c r="E1193" s="25"/>
      <c r="F1193" s="26"/>
      <c r="G1193" s="27"/>
      <c r="H1193" s="28" t="str">
        <f t="shared" si="0"/>
        <v/>
      </c>
      <c r="I1193" s="29">
        <f>SUMIFS(Cash_Flow_3[Amount],Cash_Flow_3[Bulan],H1193,Cash_Flow_3[Type],"In")</f>
        <v>0</v>
      </c>
      <c r="J1193" s="29">
        <f>SUMIFS(Cash_Flow_3[Amount],Cash_Flow_3[Bulan],H1193,Cash_Flow_3[Type],"Out")</f>
        <v>0</v>
      </c>
      <c r="K1193" s="29">
        <f>SUMIFS(Cash_Flow_3[Amount],Cash_Flow_3[Bulan],H1193,Cash_Flow_3[Type],"Out",Cash_Flow_3[Category],"Fix")</f>
        <v>0</v>
      </c>
      <c r="L1193" s="29">
        <f>SUMIFS(Cash_Flow_3[Amount],Cash_Flow_3[Bulan],H1193,Cash_Flow_3[Type],"Out",Cash_Flow_3[Category],"Bathroom")</f>
        <v>0</v>
      </c>
      <c r="M1193" s="29">
        <f>SUMIFS(Cash_Flow_3[Amount],Cash_Flow_3[Bulan],H1193,Cash_Flow_3[Type],"Out",Cash_Flow_3[Category],"Alfa")</f>
        <v>0</v>
      </c>
      <c r="N1193" s="29">
        <f>SUMIFS(Cash_Flow_3[Amount],Cash_Flow_3[Bulan],H1193,Cash_Flow_3[Type],"Out",Cash_Flow_3[Category],"Jajan")</f>
        <v>0</v>
      </c>
      <c r="O1193" s="29">
        <f>SUMIFS(Cash_Flow_3[Amount],Cash_Flow_3[Bulan],H1193,Cash_Flow_3[Type],"Out",Cash_Flow_3[Category],"Kitchen")</f>
        <v>0</v>
      </c>
      <c r="P1193" s="29">
        <f>SUMIFS(Cash_Flow_3[Amount],Cash_Flow_3[Bulan],H1193,Cash_Flow_3[Type],"Out",Cash_Flow_3[Category],"Loandry")</f>
        <v>0</v>
      </c>
      <c r="Q1193" s="29">
        <f>SUMIFS(Cash_Flow_3[Amount],Cash_Flow_3[Bulan],H1193,Cash_Flow_3[Type],"Out",Cash_Flow_3[Category],"Mio")</f>
        <v>0</v>
      </c>
      <c r="R1193" s="29">
        <f>SUMIFS(Cash_Flow_3[Amount],Cash_Flow_3[Bulan],H1193,Cash_Flow_3[Type],"Out",Cash_Flow_3[Category],"Sedekah")</f>
        <v>0</v>
      </c>
      <c r="S1193" s="29">
        <f>SUMIFS(Cash_Flow_3[Amount],Cash_Flow_3[Bulan],H1193,Cash_Flow_3[Type],"Out",Cash_Flow_3[Category],"Zela")</f>
        <v>0</v>
      </c>
      <c r="T1193" s="29">
        <f>SUMIFS(Cash_Flow_3[Amount],Cash_Flow_3[Bulan],H1193,Cash_Flow_3[Type],"Out",Cash_Flow_3[Category],"Iqbal")</f>
        <v>0</v>
      </c>
    </row>
    <row r="1194" spans="1:20" ht="22.5" customHeight="1" x14ac:dyDescent="0.2">
      <c r="A1194" s="23"/>
      <c r="B1194" s="24"/>
      <c r="C1194" s="25"/>
      <c r="D1194" s="25"/>
      <c r="E1194" s="25"/>
      <c r="F1194" s="26"/>
      <c r="G1194" s="27"/>
      <c r="H1194" s="28" t="str">
        <f t="shared" si="0"/>
        <v/>
      </c>
      <c r="I1194" s="29">
        <f>SUMIFS(Cash_Flow_3[Amount],Cash_Flow_3[Bulan],H1194,Cash_Flow_3[Type],"In")</f>
        <v>0</v>
      </c>
      <c r="J1194" s="29">
        <f>SUMIFS(Cash_Flow_3[Amount],Cash_Flow_3[Bulan],H1194,Cash_Flow_3[Type],"Out")</f>
        <v>0</v>
      </c>
      <c r="K1194" s="29">
        <f>SUMIFS(Cash_Flow_3[Amount],Cash_Flow_3[Bulan],H1194,Cash_Flow_3[Type],"Out",Cash_Flow_3[Category],"Fix")</f>
        <v>0</v>
      </c>
      <c r="L1194" s="29">
        <f>SUMIFS(Cash_Flow_3[Amount],Cash_Flow_3[Bulan],H1194,Cash_Flow_3[Type],"Out",Cash_Flow_3[Category],"Bathroom")</f>
        <v>0</v>
      </c>
      <c r="M1194" s="29">
        <f>SUMIFS(Cash_Flow_3[Amount],Cash_Flow_3[Bulan],H1194,Cash_Flow_3[Type],"Out",Cash_Flow_3[Category],"Alfa")</f>
        <v>0</v>
      </c>
      <c r="N1194" s="29">
        <f>SUMIFS(Cash_Flow_3[Amount],Cash_Flow_3[Bulan],H1194,Cash_Flow_3[Type],"Out",Cash_Flow_3[Category],"Jajan")</f>
        <v>0</v>
      </c>
      <c r="O1194" s="29">
        <f>SUMIFS(Cash_Flow_3[Amount],Cash_Flow_3[Bulan],H1194,Cash_Flow_3[Type],"Out",Cash_Flow_3[Category],"Kitchen")</f>
        <v>0</v>
      </c>
      <c r="P1194" s="29">
        <f>SUMIFS(Cash_Flow_3[Amount],Cash_Flow_3[Bulan],H1194,Cash_Flow_3[Type],"Out",Cash_Flow_3[Category],"Loandry")</f>
        <v>0</v>
      </c>
      <c r="Q1194" s="29">
        <f>SUMIFS(Cash_Flow_3[Amount],Cash_Flow_3[Bulan],H1194,Cash_Flow_3[Type],"Out",Cash_Flow_3[Category],"Mio")</f>
        <v>0</v>
      </c>
      <c r="R1194" s="29">
        <f>SUMIFS(Cash_Flow_3[Amount],Cash_Flow_3[Bulan],H1194,Cash_Flow_3[Type],"Out",Cash_Flow_3[Category],"Sedekah")</f>
        <v>0</v>
      </c>
      <c r="S1194" s="29">
        <f>SUMIFS(Cash_Flow_3[Amount],Cash_Flow_3[Bulan],H1194,Cash_Flow_3[Type],"Out",Cash_Flow_3[Category],"Zela")</f>
        <v>0</v>
      </c>
      <c r="T1194" s="29">
        <f>SUMIFS(Cash_Flow_3[Amount],Cash_Flow_3[Bulan],H1194,Cash_Flow_3[Type],"Out",Cash_Flow_3[Category],"Iqbal")</f>
        <v>0</v>
      </c>
    </row>
    <row r="1195" spans="1:20" ht="22.5" customHeight="1" x14ac:dyDescent="0.2">
      <c r="A1195" s="23"/>
      <c r="B1195" s="24"/>
      <c r="C1195" s="25"/>
      <c r="D1195" s="25"/>
      <c r="E1195" s="25"/>
      <c r="F1195" s="26"/>
      <c r="G1195" s="27"/>
      <c r="H1195" s="28" t="str">
        <f t="shared" si="0"/>
        <v/>
      </c>
      <c r="I1195" s="29">
        <f>SUMIFS(Cash_Flow_3[Amount],Cash_Flow_3[Bulan],H1195,Cash_Flow_3[Type],"In")</f>
        <v>0</v>
      </c>
      <c r="J1195" s="29">
        <f>SUMIFS(Cash_Flow_3[Amount],Cash_Flow_3[Bulan],H1195,Cash_Flow_3[Type],"Out")</f>
        <v>0</v>
      </c>
      <c r="K1195" s="29">
        <f>SUMIFS(Cash_Flow_3[Amount],Cash_Flow_3[Bulan],H1195,Cash_Flow_3[Type],"Out",Cash_Flow_3[Category],"Fix")</f>
        <v>0</v>
      </c>
      <c r="L1195" s="29">
        <f>SUMIFS(Cash_Flow_3[Amount],Cash_Flow_3[Bulan],H1195,Cash_Flow_3[Type],"Out",Cash_Flow_3[Category],"Bathroom")</f>
        <v>0</v>
      </c>
      <c r="M1195" s="29">
        <f>SUMIFS(Cash_Flow_3[Amount],Cash_Flow_3[Bulan],H1195,Cash_Flow_3[Type],"Out",Cash_Flow_3[Category],"Alfa")</f>
        <v>0</v>
      </c>
      <c r="N1195" s="29">
        <f>SUMIFS(Cash_Flow_3[Amount],Cash_Flow_3[Bulan],H1195,Cash_Flow_3[Type],"Out",Cash_Flow_3[Category],"Jajan")</f>
        <v>0</v>
      </c>
      <c r="O1195" s="29">
        <f>SUMIFS(Cash_Flow_3[Amount],Cash_Flow_3[Bulan],H1195,Cash_Flow_3[Type],"Out",Cash_Flow_3[Category],"Kitchen")</f>
        <v>0</v>
      </c>
      <c r="P1195" s="29">
        <f>SUMIFS(Cash_Flow_3[Amount],Cash_Flow_3[Bulan],H1195,Cash_Flow_3[Type],"Out",Cash_Flow_3[Category],"Loandry")</f>
        <v>0</v>
      </c>
      <c r="Q1195" s="29">
        <f>SUMIFS(Cash_Flow_3[Amount],Cash_Flow_3[Bulan],H1195,Cash_Flow_3[Type],"Out",Cash_Flow_3[Category],"Mio")</f>
        <v>0</v>
      </c>
      <c r="R1195" s="29">
        <f>SUMIFS(Cash_Flow_3[Amount],Cash_Flow_3[Bulan],H1195,Cash_Flow_3[Type],"Out",Cash_Flow_3[Category],"Sedekah")</f>
        <v>0</v>
      </c>
      <c r="S1195" s="29">
        <f>SUMIFS(Cash_Flow_3[Amount],Cash_Flow_3[Bulan],H1195,Cash_Flow_3[Type],"Out",Cash_Flow_3[Category],"Zela")</f>
        <v>0</v>
      </c>
      <c r="T1195" s="29">
        <f>SUMIFS(Cash_Flow_3[Amount],Cash_Flow_3[Bulan],H1195,Cash_Flow_3[Type],"Out",Cash_Flow_3[Category],"Iqbal")</f>
        <v>0</v>
      </c>
    </row>
    <row r="1196" spans="1:20" ht="22.5" customHeight="1" x14ac:dyDescent="0.2">
      <c r="A1196" s="23"/>
      <c r="B1196" s="24"/>
      <c r="C1196" s="25"/>
      <c r="D1196" s="25"/>
      <c r="E1196" s="25"/>
      <c r="F1196" s="26"/>
      <c r="G1196" s="27"/>
      <c r="H1196" s="28" t="str">
        <f t="shared" si="0"/>
        <v/>
      </c>
      <c r="I1196" s="29">
        <f>SUMIFS(Cash_Flow_3[Amount],Cash_Flow_3[Bulan],H1196,Cash_Flow_3[Type],"In")</f>
        <v>0</v>
      </c>
      <c r="J1196" s="29">
        <f>SUMIFS(Cash_Flow_3[Amount],Cash_Flow_3[Bulan],H1196,Cash_Flow_3[Type],"Out")</f>
        <v>0</v>
      </c>
      <c r="K1196" s="29">
        <f>SUMIFS(Cash_Flow_3[Amount],Cash_Flow_3[Bulan],H1196,Cash_Flow_3[Type],"Out",Cash_Flow_3[Category],"Fix")</f>
        <v>0</v>
      </c>
      <c r="L1196" s="29">
        <f>SUMIFS(Cash_Flow_3[Amount],Cash_Flow_3[Bulan],H1196,Cash_Flow_3[Type],"Out",Cash_Flow_3[Category],"Bathroom")</f>
        <v>0</v>
      </c>
      <c r="M1196" s="29">
        <f>SUMIFS(Cash_Flow_3[Amount],Cash_Flow_3[Bulan],H1196,Cash_Flow_3[Type],"Out",Cash_Flow_3[Category],"Alfa")</f>
        <v>0</v>
      </c>
      <c r="N1196" s="29">
        <f>SUMIFS(Cash_Flow_3[Amount],Cash_Flow_3[Bulan],H1196,Cash_Flow_3[Type],"Out",Cash_Flow_3[Category],"Jajan")</f>
        <v>0</v>
      </c>
      <c r="O1196" s="29">
        <f>SUMIFS(Cash_Flow_3[Amount],Cash_Flow_3[Bulan],H1196,Cash_Flow_3[Type],"Out",Cash_Flow_3[Category],"Kitchen")</f>
        <v>0</v>
      </c>
      <c r="P1196" s="29">
        <f>SUMIFS(Cash_Flow_3[Amount],Cash_Flow_3[Bulan],H1196,Cash_Flow_3[Type],"Out",Cash_Flow_3[Category],"Loandry")</f>
        <v>0</v>
      </c>
      <c r="Q1196" s="29">
        <f>SUMIFS(Cash_Flow_3[Amount],Cash_Flow_3[Bulan],H1196,Cash_Flow_3[Type],"Out",Cash_Flow_3[Category],"Mio")</f>
        <v>0</v>
      </c>
      <c r="R1196" s="29">
        <f>SUMIFS(Cash_Flow_3[Amount],Cash_Flow_3[Bulan],H1196,Cash_Flow_3[Type],"Out",Cash_Flow_3[Category],"Sedekah")</f>
        <v>0</v>
      </c>
      <c r="S1196" s="29">
        <f>SUMIFS(Cash_Flow_3[Amount],Cash_Flow_3[Bulan],H1196,Cash_Flow_3[Type],"Out",Cash_Flow_3[Category],"Zela")</f>
        <v>0</v>
      </c>
      <c r="T1196" s="29">
        <f>SUMIFS(Cash_Flow_3[Amount],Cash_Flow_3[Bulan],H1196,Cash_Flow_3[Type],"Out",Cash_Flow_3[Category],"Iqbal")</f>
        <v>0</v>
      </c>
    </row>
    <row r="1197" spans="1:20" ht="22.5" customHeight="1" x14ac:dyDescent="0.2">
      <c r="A1197" s="23"/>
      <c r="B1197" s="24"/>
      <c r="C1197" s="25"/>
      <c r="D1197" s="25"/>
      <c r="E1197" s="25"/>
      <c r="F1197" s="26"/>
      <c r="G1197" s="27"/>
      <c r="H1197" s="28" t="str">
        <f t="shared" si="0"/>
        <v/>
      </c>
      <c r="I1197" s="29">
        <f>SUMIFS(Cash_Flow_3[Amount],Cash_Flow_3[Bulan],H1197,Cash_Flow_3[Type],"In")</f>
        <v>0</v>
      </c>
      <c r="J1197" s="29">
        <f>SUMIFS(Cash_Flow_3[Amount],Cash_Flow_3[Bulan],H1197,Cash_Flow_3[Type],"Out")</f>
        <v>0</v>
      </c>
      <c r="K1197" s="29">
        <f>SUMIFS(Cash_Flow_3[Amount],Cash_Flow_3[Bulan],H1197,Cash_Flow_3[Type],"Out",Cash_Flow_3[Category],"Fix")</f>
        <v>0</v>
      </c>
      <c r="L1197" s="29">
        <f>SUMIFS(Cash_Flow_3[Amount],Cash_Flow_3[Bulan],H1197,Cash_Flow_3[Type],"Out",Cash_Flow_3[Category],"Bathroom")</f>
        <v>0</v>
      </c>
      <c r="M1197" s="29">
        <f>SUMIFS(Cash_Flow_3[Amount],Cash_Flow_3[Bulan],H1197,Cash_Flow_3[Type],"Out",Cash_Flow_3[Category],"Alfa")</f>
        <v>0</v>
      </c>
      <c r="N1197" s="29">
        <f>SUMIFS(Cash_Flow_3[Amount],Cash_Flow_3[Bulan],H1197,Cash_Flow_3[Type],"Out",Cash_Flow_3[Category],"Jajan")</f>
        <v>0</v>
      </c>
      <c r="O1197" s="29">
        <f>SUMIFS(Cash_Flow_3[Amount],Cash_Flow_3[Bulan],H1197,Cash_Flow_3[Type],"Out",Cash_Flow_3[Category],"Kitchen")</f>
        <v>0</v>
      </c>
      <c r="P1197" s="29">
        <f>SUMIFS(Cash_Flow_3[Amount],Cash_Flow_3[Bulan],H1197,Cash_Flow_3[Type],"Out",Cash_Flow_3[Category],"Loandry")</f>
        <v>0</v>
      </c>
      <c r="Q1197" s="29">
        <f>SUMIFS(Cash_Flow_3[Amount],Cash_Flow_3[Bulan],H1197,Cash_Flow_3[Type],"Out",Cash_Flow_3[Category],"Mio")</f>
        <v>0</v>
      </c>
      <c r="R1197" s="29">
        <f>SUMIFS(Cash_Flow_3[Amount],Cash_Flow_3[Bulan],H1197,Cash_Flow_3[Type],"Out",Cash_Flow_3[Category],"Sedekah")</f>
        <v>0</v>
      </c>
      <c r="S1197" s="29">
        <f>SUMIFS(Cash_Flow_3[Amount],Cash_Flow_3[Bulan],H1197,Cash_Flow_3[Type],"Out",Cash_Flow_3[Category],"Zela")</f>
        <v>0</v>
      </c>
      <c r="T1197" s="29">
        <f>SUMIFS(Cash_Flow_3[Amount],Cash_Flow_3[Bulan],H1197,Cash_Flow_3[Type],"Out",Cash_Flow_3[Category],"Iqbal")</f>
        <v>0</v>
      </c>
    </row>
    <row r="1198" spans="1:20" ht="22.5" customHeight="1" x14ac:dyDescent="0.2">
      <c r="A1198" s="23"/>
      <c r="B1198" s="24"/>
      <c r="C1198" s="25"/>
      <c r="D1198" s="25"/>
      <c r="E1198" s="25"/>
      <c r="F1198" s="26"/>
      <c r="G1198" s="27"/>
      <c r="H1198" s="28" t="str">
        <f t="shared" si="0"/>
        <v/>
      </c>
      <c r="I1198" s="29">
        <f>SUMIFS(Cash_Flow_3[Amount],Cash_Flow_3[Bulan],H1198,Cash_Flow_3[Type],"In")</f>
        <v>0</v>
      </c>
      <c r="J1198" s="29">
        <f>SUMIFS(Cash_Flow_3[Amount],Cash_Flow_3[Bulan],H1198,Cash_Flow_3[Type],"Out")</f>
        <v>0</v>
      </c>
      <c r="K1198" s="29">
        <f>SUMIFS(Cash_Flow_3[Amount],Cash_Flow_3[Bulan],H1198,Cash_Flow_3[Type],"Out",Cash_Flow_3[Category],"Fix")</f>
        <v>0</v>
      </c>
      <c r="L1198" s="29">
        <f>SUMIFS(Cash_Flow_3[Amount],Cash_Flow_3[Bulan],H1198,Cash_Flow_3[Type],"Out",Cash_Flow_3[Category],"Bathroom")</f>
        <v>0</v>
      </c>
      <c r="M1198" s="29">
        <f>SUMIFS(Cash_Flow_3[Amount],Cash_Flow_3[Bulan],H1198,Cash_Flow_3[Type],"Out",Cash_Flow_3[Category],"Alfa")</f>
        <v>0</v>
      </c>
      <c r="N1198" s="29">
        <f>SUMIFS(Cash_Flow_3[Amount],Cash_Flow_3[Bulan],H1198,Cash_Flow_3[Type],"Out",Cash_Flow_3[Category],"Jajan")</f>
        <v>0</v>
      </c>
      <c r="O1198" s="29">
        <f>SUMIFS(Cash_Flow_3[Amount],Cash_Flow_3[Bulan],H1198,Cash_Flow_3[Type],"Out",Cash_Flow_3[Category],"Kitchen")</f>
        <v>0</v>
      </c>
      <c r="P1198" s="29">
        <f>SUMIFS(Cash_Flow_3[Amount],Cash_Flow_3[Bulan],H1198,Cash_Flow_3[Type],"Out",Cash_Flow_3[Category],"Loandry")</f>
        <v>0</v>
      </c>
      <c r="Q1198" s="29">
        <f>SUMIFS(Cash_Flow_3[Amount],Cash_Flow_3[Bulan],H1198,Cash_Flow_3[Type],"Out",Cash_Flow_3[Category],"Mio")</f>
        <v>0</v>
      </c>
      <c r="R1198" s="29">
        <f>SUMIFS(Cash_Flow_3[Amount],Cash_Flow_3[Bulan],H1198,Cash_Flow_3[Type],"Out",Cash_Flow_3[Category],"Sedekah")</f>
        <v>0</v>
      </c>
      <c r="S1198" s="29">
        <f>SUMIFS(Cash_Flow_3[Amount],Cash_Flow_3[Bulan],H1198,Cash_Flow_3[Type],"Out",Cash_Flow_3[Category],"Zela")</f>
        <v>0</v>
      </c>
      <c r="T1198" s="29">
        <f>SUMIFS(Cash_Flow_3[Amount],Cash_Flow_3[Bulan],H1198,Cash_Flow_3[Type],"Out",Cash_Flow_3[Category],"Iqbal")</f>
        <v>0</v>
      </c>
    </row>
    <row r="1199" spans="1:20" ht="22.5" customHeight="1" x14ac:dyDescent="0.2">
      <c r="A1199" s="23"/>
      <c r="B1199" s="24"/>
      <c r="C1199" s="25"/>
      <c r="D1199" s="25"/>
      <c r="E1199" s="25"/>
      <c r="F1199" s="26"/>
      <c r="G1199" s="27"/>
      <c r="H1199" s="28" t="str">
        <f t="shared" si="0"/>
        <v/>
      </c>
      <c r="I1199" s="29">
        <f>SUMIFS(Cash_Flow_3[Amount],Cash_Flow_3[Bulan],H1199,Cash_Flow_3[Type],"In")</f>
        <v>0</v>
      </c>
      <c r="J1199" s="29">
        <f>SUMIFS(Cash_Flow_3[Amount],Cash_Flow_3[Bulan],H1199,Cash_Flow_3[Type],"Out")</f>
        <v>0</v>
      </c>
      <c r="K1199" s="29">
        <f>SUMIFS(Cash_Flow_3[Amount],Cash_Flow_3[Bulan],H1199,Cash_Flow_3[Type],"Out",Cash_Flow_3[Category],"Fix")</f>
        <v>0</v>
      </c>
      <c r="L1199" s="29">
        <f>SUMIFS(Cash_Flow_3[Amount],Cash_Flow_3[Bulan],H1199,Cash_Flow_3[Type],"Out",Cash_Flow_3[Category],"Bathroom")</f>
        <v>0</v>
      </c>
      <c r="M1199" s="29">
        <f>SUMIFS(Cash_Flow_3[Amount],Cash_Flow_3[Bulan],H1199,Cash_Flow_3[Type],"Out",Cash_Flow_3[Category],"Alfa")</f>
        <v>0</v>
      </c>
      <c r="N1199" s="29">
        <f>SUMIFS(Cash_Flow_3[Amount],Cash_Flow_3[Bulan],H1199,Cash_Flow_3[Type],"Out",Cash_Flow_3[Category],"Jajan")</f>
        <v>0</v>
      </c>
      <c r="O1199" s="29">
        <f>SUMIFS(Cash_Flow_3[Amount],Cash_Flow_3[Bulan],H1199,Cash_Flow_3[Type],"Out",Cash_Flow_3[Category],"Kitchen")</f>
        <v>0</v>
      </c>
      <c r="P1199" s="29">
        <f>SUMIFS(Cash_Flow_3[Amount],Cash_Flow_3[Bulan],H1199,Cash_Flow_3[Type],"Out",Cash_Flow_3[Category],"Loandry")</f>
        <v>0</v>
      </c>
      <c r="Q1199" s="29">
        <f>SUMIFS(Cash_Flow_3[Amount],Cash_Flow_3[Bulan],H1199,Cash_Flow_3[Type],"Out",Cash_Flow_3[Category],"Mio")</f>
        <v>0</v>
      </c>
      <c r="R1199" s="29">
        <f>SUMIFS(Cash_Flow_3[Amount],Cash_Flow_3[Bulan],H1199,Cash_Flow_3[Type],"Out",Cash_Flow_3[Category],"Sedekah")</f>
        <v>0</v>
      </c>
      <c r="S1199" s="29">
        <f>SUMIFS(Cash_Flow_3[Amount],Cash_Flow_3[Bulan],H1199,Cash_Flow_3[Type],"Out",Cash_Flow_3[Category],"Zela")</f>
        <v>0</v>
      </c>
      <c r="T1199" s="29">
        <f>SUMIFS(Cash_Flow_3[Amount],Cash_Flow_3[Bulan],H1199,Cash_Flow_3[Type],"Out",Cash_Flow_3[Category],"Iqbal")</f>
        <v>0</v>
      </c>
    </row>
    <row r="1200" spans="1:20" ht="22.5" customHeight="1" x14ac:dyDescent="0.2">
      <c r="A1200" s="23"/>
      <c r="B1200" s="24"/>
      <c r="C1200" s="25"/>
      <c r="D1200" s="25"/>
      <c r="E1200" s="25"/>
      <c r="F1200" s="26"/>
      <c r="G1200" s="27"/>
      <c r="H1200" s="28" t="str">
        <f t="shared" si="0"/>
        <v/>
      </c>
      <c r="I1200" s="29">
        <f>SUMIFS(Cash_Flow_3[Amount],Cash_Flow_3[Bulan],H1200,Cash_Flow_3[Type],"In")</f>
        <v>0</v>
      </c>
      <c r="J1200" s="29">
        <f>SUMIFS(Cash_Flow_3[Amount],Cash_Flow_3[Bulan],H1200,Cash_Flow_3[Type],"Out")</f>
        <v>0</v>
      </c>
      <c r="K1200" s="29">
        <f>SUMIFS(Cash_Flow_3[Amount],Cash_Flow_3[Bulan],H1200,Cash_Flow_3[Type],"Out",Cash_Flow_3[Category],"Fix")</f>
        <v>0</v>
      </c>
      <c r="L1200" s="29">
        <f>SUMIFS(Cash_Flow_3[Amount],Cash_Flow_3[Bulan],H1200,Cash_Flow_3[Type],"Out",Cash_Flow_3[Category],"Bathroom")</f>
        <v>0</v>
      </c>
      <c r="M1200" s="29">
        <f>SUMIFS(Cash_Flow_3[Amount],Cash_Flow_3[Bulan],H1200,Cash_Flow_3[Type],"Out",Cash_Flow_3[Category],"Alfa")</f>
        <v>0</v>
      </c>
      <c r="N1200" s="29">
        <f>SUMIFS(Cash_Flow_3[Amount],Cash_Flow_3[Bulan],H1200,Cash_Flow_3[Type],"Out",Cash_Flow_3[Category],"Jajan")</f>
        <v>0</v>
      </c>
      <c r="O1200" s="29">
        <f>SUMIFS(Cash_Flow_3[Amount],Cash_Flow_3[Bulan],H1200,Cash_Flow_3[Type],"Out",Cash_Flow_3[Category],"Kitchen")</f>
        <v>0</v>
      </c>
      <c r="P1200" s="29">
        <f>SUMIFS(Cash_Flow_3[Amount],Cash_Flow_3[Bulan],H1200,Cash_Flow_3[Type],"Out",Cash_Flow_3[Category],"Loandry")</f>
        <v>0</v>
      </c>
      <c r="Q1200" s="29">
        <f>SUMIFS(Cash_Flow_3[Amount],Cash_Flow_3[Bulan],H1200,Cash_Flow_3[Type],"Out",Cash_Flow_3[Category],"Mio")</f>
        <v>0</v>
      </c>
      <c r="R1200" s="29">
        <f>SUMIFS(Cash_Flow_3[Amount],Cash_Flow_3[Bulan],H1200,Cash_Flow_3[Type],"Out",Cash_Flow_3[Category],"Sedekah")</f>
        <v>0</v>
      </c>
      <c r="S1200" s="29">
        <f>SUMIFS(Cash_Flow_3[Amount],Cash_Flow_3[Bulan],H1200,Cash_Flow_3[Type],"Out",Cash_Flow_3[Category],"Zela")</f>
        <v>0</v>
      </c>
      <c r="T1200" s="29">
        <f>SUMIFS(Cash_Flow_3[Amount],Cash_Flow_3[Bulan],H1200,Cash_Flow_3[Type],"Out",Cash_Flow_3[Category],"Iqbal")</f>
        <v>0</v>
      </c>
    </row>
    <row r="1201" spans="1:20" ht="22.5" customHeight="1" x14ac:dyDescent="0.2">
      <c r="A1201" s="23"/>
      <c r="B1201" s="24"/>
      <c r="C1201" s="25"/>
      <c r="D1201" s="25"/>
      <c r="E1201" s="25"/>
      <c r="F1201" s="26"/>
      <c r="G1201" s="27"/>
      <c r="H1201" s="28" t="str">
        <f t="shared" si="0"/>
        <v/>
      </c>
      <c r="I1201" s="29">
        <f>SUMIFS(Cash_Flow_3[Amount],Cash_Flow_3[Bulan],H1201,Cash_Flow_3[Type],"In")</f>
        <v>0</v>
      </c>
      <c r="J1201" s="29">
        <f>SUMIFS(Cash_Flow_3[Amount],Cash_Flow_3[Bulan],H1201,Cash_Flow_3[Type],"Out")</f>
        <v>0</v>
      </c>
      <c r="K1201" s="29">
        <f>SUMIFS(Cash_Flow_3[Amount],Cash_Flow_3[Bulan],H1201,Cash_Flow_3[Type],"Out",Cash_Flow_3[Category],"Fix")</f>
        <v>0</v>
      </c>
      <c r="L1201" s="29">
        <f>SUMIFS(Cash_Flow_3[Amount],Cash_Flow_3[Bulan],H1201,Cash_Flow_3[Type],"Out",Cash_Flow_3[Category],"Bathroom")</f>
        <v>0</v>
      </c>
      <c r="M1201" s="29">
        <f>SUMIFS(Cash_Flow_3[Amount],Cash_Flow_3[Bulan],H1201,Cash_Flow_3[Type],"Out",Cash_Flow_3[Category],"Alfa")</f>
        <v>0</v>
      </c>
      <c r="N1201" s="29">
        <f>SUMIFS(Cash_Flow_3[Amount],Cash_Flow_3[Bulan],H1201,Cash_Flow_3[Type],"Out",Cash_Flow_3[Category],"Jajan")</f>
        <v>0</v>
      </c>
      <c r="O1201" s="29">
        <f>SUMIFS(Cash_Flow_3[Amount],Cash_Flow_3[Bulan],H1201,Cash_Flow_3[Type],"Out",Cash_Flow_3[Category],"Kitchen")</f>
        <v>0</v>
      </c>
      <c r="P1201" s="29">
        <f>SUMIFS(Cash_Flow_3[Amount],Cash_Flow_3[Bulan],H1201,Cash_Flow_3[Type],"Out",Cash_Flow_3[Category],"Loandry")</f>
        <v>0</v>
      </c>
      <c r="Q1201" s="29">
        <f>SUMIFS(Cash_Flow_3[Amount],Cash_Flow_3[Bulan],H1201,Cash_Flow_3[Type],"Out",Cash_Flow_3[Category],"Mio")</f>
        <v>0</v>
      </c>
      <c r="R1201" s="29">
        <f>SUMIFS(Cash_Flow_3[Amount],Cash_Flow_3[Bulan],H1201,Cash_Flow_3[Type],"Out",Cash_Flow_3[Category],"Sedekah")</f>
        <v>0</v>
      </c>
      <c r="S1201" s="29">
        <f>SUMIFS(Cash_Flow_3[Amount],Cash_Flow_3[Bulan],H1201,Cash_Flow_3[Type],"Out",Cash_Flow_3[Category],"Zela")</f>
        <v>0</v>
      </c>
      <c r="T1201" s="29">
        <f>SUMIFS(Cash_Flow_3[Amount],Cash_Flow_3[Bulan],H1201,Cash_Flow_3[Type],"Out",Cash_Flow_3[Category],"Iqbal")</f>
        <v>0</v>
      </c>
    </row>
    <row r="1202" spans="1:20" ht="22.5" customHeight="1" x14ac:dyDescent="0.2">
      <c r="A1202" s="23"/>
      <c r="B1202" s="24"/>
      <c r="C1202" s="25"/>
      <c r="D1202" s="25"/>
      <c r="E1202" s="25"/>
      <c r="F1202" s="26"/>
      <c r="G1202" s="27"/>
      <c r="H1202" s="28" t="str">
        <f t="shared" si="0"/>
        <v/>
      </c>
      <c r="I1202" s="29">
        <f>SUMIFS(Cash_Flow_3[Amount],Cash_Flow_3[Bulan],H1202,Cash_Flow_3[Type],"In")</f>
        <v>0</v>
      </c>
      <c r="J1202" s="29">
        <f>SUMIFS(Cash_Flow_3[Amount],Cash_Flow_3[Bulan],H1202,Cash_Flow_3[Type],"Out")</f>
        <v>0</v>
      </c>
      <c r="K1202" s="29">
        <f>SUMIFS(Cash_Flow_3[Amount],Cash_Flow_3[Bulan],H1202,Cash_Flow_3[Type],"Out",Cash_Flow_3[Category],"Fix")</f>
        <v>0</v>
      </c>
      <c r="L1202" s="29">
        <f>SUMIFS(Cash_Flow_3[Amount],Cash_Flow_3[Bulan],H1202,Cash_Flow_3[Type],"Out",Cash_Flow_3[Category],"Bathroom")</f>
        <v>0</v>
      </c>
      <c r="M1202" s="29">
        <f>SUMIFS(Cash_Flow_3[Amount],Cash_Flow_3[Bulan],H1202,Cash_Flow_3[Type],"Out",Cash_Flow_3[Category],"Alfa")</f>
        <v>0</v>
      </c>
      <c r="N1202" s="29">
        <f>SUMIFS(Cash_Flow_3[Amount],Cash_Flow_3[Bulan],H1202,Cash_Flow_3[Type],"Out",Cash_Flow_3[Category],"Jajan")</f>
        <v>0</v>
      </c>
      <c r="O1202" s="29">
        <f>SUMIFS(Cash_Flow_3[Amount],Cash_Flow_3[Bulan],H1202,Cash_Flow_3[Type],"Out",Cash_Flow_3[Category],"Kitchen")</f>
        <v>0</v>
      </c>
      <c r="P1202" s="29">
        <f>SUMIFS(Cash_Flow_3[Amount],Cash_Flow_3[Bulan],H1202,Cash_Flow_3[Type],"Out",Cash_Flow_3[Category],"Loandry")</f>
        <v>0</v>
      </c>
      <c r="Q1202" s="29">
        <f>SUMIFS(Cash_Flow_3[Amount],Cash_Flow_3[Bulan],H1202,Cash_Flow_3[Type],"Out",Cash_Flow_3[Category],"Mio")</f>
        <v>0</v>
      </c>
      <c r="R1202" s="29">
        <f>SUMIFS(Cash_Flow_3[Amount],Cash_Flow_3[Bulan],H1202,Cash_Flow_3[Type],"Out",Cash_Flow_3[Category],"Sedekah")</f>
        <v>0</v>
      </c>
      <c r="S1202" s="29">
        <f>SUMIFS(Cash_Flow_3[Amount],Cash_Flow_3[Bulan],H1202,Cash_Flow_3[Type],"Out",Cash_Flow_3[Category],"Zela")</f>
        <v>0</v>
      </c>
      <c r="T1202" s="29">
        <f>SUMIFS(Cash_Flow_3[Amount],Cash_Flow_3[Bulan],H1202,Cash_Flow_3[Type],"Out",Cash_Flow_3[Category],"Iqbal")</f>
        <v>0</v>
      </c>
    </row>
    <row r="1203" spans="1:20" ht="22.5" customHeight="1" x14ac:dyDescent="0.2">
      <c r="A1203" s="23"/>
      <c r="B1203" s="24"/>
      <c r="C1203" s="25"/>
      <c r="D1203" s="25"/>
      <c r="E1203" s="25"/>
      <c r="F1203" s="26"/>
      <c r="G1203" s="27"/>
      <c r="H1203" s="28" t="str">
        <f t="shared" si="0"/>
        <v/>
      </c>
      <c r="I1203" s="29">
        <f>SUMIFS(Cash_Flow_3[Amount],Cash_Flow_3[Bulan],H1203,Cash_Flow_3[Type],"In")</f>
        <v>0</v>
      </c>
      <c r="J1203" s="29">
        <f>SUMIFS(Cash_Flow_3[Amount],Cash_Flow_3[Bulan],H1203,Cash_Flow_3[Type],"Out")</f>
        <v>0</v>
      </c>
      <c r="K1203" s="29">
        <f>SUMIFS(Cash_Flow_3[Amount],Cash_Flow_3[Bulan],H1203,Cash_Flow_3[Type],"Out",Cash_Flow_3[Category],"Fix")</f>
        <v>0</v>
      </c>
      <c r="L1203" s="29">
        <f>SUMIFS(Cash_Flow_3[Amount],Cash_Flow_3[Bulan],H1203,Cash_Flow_3[Type],"Out",Cash_Flow_3[Category],"Bathroom")</f>
        <v>0</v>
      </c>
      <c r="M1203" s="29">
        <f>SUMIFS(Cash_Flow_3[Amount],Cash_Flow_3[Bulan],H1203,Cash_Flow_3[Type],"Out",Cash_Flow_3[Category],"Alfa")</f>
        <v>0</v>
      </c>
      <c r="N1203" s="29">
        <f>SUMIFS(Cash_Flow_3[Amount],Cash_Flow_3[Bulan],H1203,Cash_Flow_3[Type],"Out",Cash_Flow_3[Category],"Jajan")</f>
        <v>0</v>
      </c>
      <c r="O1203" s="29">
        <f>SUMIFS(Cash_Flow_3[Amount],Cash_Flow_3[Bulan],H1203,Cash_Flow_3[Type],"Out",Cash_Flow_3[Category],"Kitchen")</f>
        <v>0</v>
      </c>
      <c r="P1203" s="29">
        <f>SUMIFS(Cash_Flow_3[Amount],Cash_Flow_3[Bulan],H1203,Cash_Flow_3[Type],"Out",Cash_Flow_3[Category],"Loandry")</f>
        <v>0</v>
      </c>
      <c r="Q1203" s="29">
        <f>SUMIFS(Cash_Flow_3[Amount],Cash_Flow_3[Bulan],H1203,Cash_Flow_3[Type],"Out",Cash_Flow_3[Category],"Mio")</f>
        <v>0</v>
      </c>
      <c r="R1203" s="29">
        <f>SUMIFS(Cash_Flow_3[Amount],Cash_Flow_3[Bulan],H1203,Cash_Flow_3[Type],"Out",Cash_Flow_3[Category],"Sedekah")</f>
        <v>0</v>
      </c>
      <c r="S1203" s="29">
        <f>SUMIFS(Cash_Flow_3[Amount],Cash_Flow_3[Bulan],H1203,Cash_Flow_3[Type],"Out",Cash_Flow_3[Category],"Zela")</f>
        <v>0</v>
      </c>
      <c r="T1203" s="29">
        <f>SUMIFS(Cash_Flow_3[Amount],Cash_Flow_3[Bulan],H1203,Cash_Flow_3[Type],"Out",Cash_Flow_3[Category],"Iqbal")</f>
        <v>0</v>
      </c>
    </row>
    <row r="1204" spans="1:20" ht="22.5" customHeight="1" x14ac:dyDescent="0.2">
      <c r="A1204" s="23"/>
      <c r="B1204" s="24"/>
      <c r="C1204" s="25"/>
      <c r="D1204" s="25"/>
      <c r="E1204" s="25"/>
      <c r="F1204" s="26"/>
      <c r="G1204" s="27"/>
      <c r="H1204" s="28" t="str">
        <f t="shared" si="0"/>
        <v/>
      </c>
      <c r="I1204" s="29">
        <f>SUMIFS(Cash_Flow_3[Amount],Cash_Flow_3[Bulan],H1204,Cash_Flow_3[Type],"In")</f>
        <v>0</v>
      </c>
      <c r="J1204" s="29">
        <f>SUMIFS(Cash_Flow_3[Amount],Cash_Flow_3[Bulan],H1204,Cash_Flow_3[Type],"Out")</f>
        <v>0</v>
      </c>
      <c r="K1204" s="29">
        <f>SUMIFS(Cash_Flow_3[Amount],Cash_Flow_3[Bulan],H1204,Cash_Flow_3[Type],"Out",Cash_Flow_3[Category],"Fix")</f>
        <v>0</v>
      </c>
      <c r="L1204" s="29">
        <f>SUMIFS(Cash_Flow_3[Amount],Cash_Flow_3[Bulan],H1204,Cash_Flow_3[Type],"Out",Cash_Flow_3[Category],"Bathroom")</f>
        <v>0</v>
      </c>
      <c r="M1204" s="29">
        <f>SUMIFS(Cash_Flow_3[Amount],Cash_Flow_3[Bulan],H1204,Cash_Flow_3[Type],"Out",Cash_Flow_3[Category],"Alfa")</f>
        <v>0</v>
      </c>
      <c r="N1204" s="29">
        <f>SUMIFS(Cash_Flow_3[Amount],Cash_Flow_3[Bulan],H1204,Cash_Flow_3[Type],"Out",Cash_Flow_3[Category],"Jajan")</f>
        <v>0</v>
      </c>
      <c r="O1204" s="29">
        <f>SUMIFS(Cash_Flow_3[Amount],Cash_Flow_3[Bulan],H1204,Cash_Flow_3[Type],"Out",Cash_Flow_3[Category],"Kitchen")</f>
        <v>0</v>
      </c>
      <c r="P1204" s="29">
        <f>SUMIFS(Cash_Flow_3[Amount],Cash_Flow_3[Bulan],H1204,Cash_Flow_3[Type],"Out",Cash_Flow_3[Category],"Loandry")</f>
        <v>0</v>
      </c>
      <c r="Q1204" s="29">
        <f>SUMIFS(Cash_Flow_3[Amount],Cash_Flow_3[Bulan],H1204,Cash_Flow_3[Type],"Out",Cash_Flow_3[Category],"Mio")</f>
        <v>0</v>
      </c>
      <c r="R1204" s="29">
        <f>SUMIFS(Cash_Flow_3[Amount],Cash_Flow_3[Bulan],H1204,Cash_Flow_3[Type],"Out",Cash_Flow_3[Category],"Sedekah")</f>
        <v>0</v>
      </c>
      <c r="S1204" s="29">
        <f>SUMIFS(Cash_Flow_3[Amount],Cash_Flow_3[Bulan],H1204,Cash_Flow_3[Type],"Out",Cash_Flow_3[Category],"Zela")</f>
        <v>0</v>
      </c>
      <c r="T1204" s="29">
        <f>SUMIFS(Cash_Flow_3[Amount],Cash_Flow_3[Bulan],H1204,Cash_Flow_3[Type],"Out",Cash_Flow_3[Category],"Iqbal")</f>
        <v>0</v>
      </c>
    </row>
    <row r="1205" spans="1:20" ht="22.5" customHeight="1" x14ac:dyDescent="0.2">
      <c r="A1205" s="23"/>
      <c r="B1205" s="24"/>
      <c r="C1205" s="25"/>
      <c r="D1205" s="25"/>
      <c r="E1205" s="25"/>
      <c r="F1205" s="26"/>
      <c r="G1205" s="27"/>
      <c r="H1205" s="28" t="str">
        <f t="shared" si="0"/>
        <v/>
      </c>
      <c r="I1205" s="29">
        <f>SUMIFS(Cash_Flow_3[Amount],Cash_Flow_3[Bulan],H1205,Cash_Flow_3[Type],"In")</f>
        <v>0</v>
      </c>
      <c r="J1205" s="29">
        <f>SUMIFS(Cash_Flow_3[Amount],Cash_Flow_3[Bulan],H1205,Cash_Flow_3[Type],"Out")</f>
        <v>0</v>
      </c>
      <c r="K1205" s="29">
        <f>SUMIFS(Cash_Flow_3[Amount],Cash_Flow_3[Bulan],H1205,Cash_Flow_3[Type],"Out",Cash_Flow_3[Category],"Fix")</f>
        <v>0</v>
      </c>
      <c r="L1205" s="29">
        <f>SUMIFS(Cash_Flow_3[Amount],Cash_Flow_3[Bulan],H1205,Cash_Flow_3[Type],"Out",Cash_Flow_3[Category],"Bathroom")</f>
        <v>0</v>
      </c>
      <c r="M1205" s="29">
        <f>SUMIFS(Cash_Flow_3[Amount],Cash_Flow_3[Bulan],H1205,Cash_Flow_3[Type],"Out",Cash_Flow_3[Category],"Alfa")</f>
        <v>0</v>
      </c>
      <c r="N1205" s="29">
        <f>SUMIFS(Cash_Flow_3[Amount],Cash_Flow_3[Bulan],H1205,Cash_Flow_3[Type],"Out",Cash_Flow_3[Category],"Jajan")</f>
        <v>0</v>
      </c>
      <c r="O1205" s="29">
        <f>SUMIFS(Cash_Flow_3[Amount],Cash_Flow_3[Bulan],H1205,Cash_Flow_3[Type],"Out",Cash_Flow_3[Category],"Kitchen")</f>
        <v>0</v>
      </c>
      <c r="P1205" s="29">
        <f>SUMIFS(Cash_Flow_3[Amount],Cash_Flow_3[Bulan],H1205,Cash_Flow_3[Type],"Out",Cash_Flow_3[Category],"Loandry")</f>
        <v>0</v>
      </c>
      <c r="Q1205" s="29">
        <f>SUMIFS(Cash_Flow_3[Amount],Cash_Flow_3[Bulan],H1205,Cash_Flow_3[Type],"Out",Cash_Flow_3[Category],"Mio")</f>
        <v>0</v>
      </c>
      <c r="R1205" s="29">
        <f>SUMIFS(Cash_Flow_3[Amount],Cash_Flow_3[Bulan],H1205,Cash_Flow_3[Type],"Out",Cash_Flow_3[Category],"Sedekah")</f>
        <v>0</v>
      </c>
      <c r="S1205" s="29">
        <f>SUMIFS(Cash_Flow_3[Amount],Cash_Flow_3[Bulan],H1205,Cash_Flow_3[Type],"Out",Cash_Flow_3[Category],"Zela")</f>
        <v>0</v>
      </c>
      <c r="T1205" s="29">
        <f>SUMIFS(Cash_Flow_3[Amount],Cash_Flow_3[Bulan],H1205,Cash_Flow_3[Type],"Out",Cash_Flow_3[Category],"Iqbal")</f>
        <v>0</v>
      </c>
    </row>
    <row r="1206" spans="1:20" ht="22.5" customHeight="1" x14ac:dyDescent="0.2">
      <c r="A1206" s="23"/>
      <c r="B1206" s="24"/>
      <c r="C1206" s="25"/>
      <c r="D1206" s="25"/>
      <c r="E1206" s="25"/>
      <c r="F1206" s="26"/>
      <c r="G1206" s="27"/>
      <c r="H1206" s="28" t="str">
        <f t="shared" si="0"/>
        <v/>
      </c>
      <c r="I1206" s="29">
        <f>SUMIFS(Cash_Flow_3[Amount],Cash_Flow_3[Bulan],H1206,Cash_Flow_3[Type],"In")</f>
        <v>0</v>
      </c>
      <c r="J1206" s="29">
        <f>SUMIFS(Cash_Flow_3[Amount],Cash_Flow_3[Bulan],H1206,Cash_Flow_3[Type],"Out")</f>
        <v>0</v>
      </c>
      <c r="K1206" s="29">
        <f>SUMIFS(Cash_Flow_3[Amount],Cash_Flow_3[Bulan],H1206,Cash_Flow_3[Type],"Out",Cash_Flow_3[Category],"Fix")</f>
        <v>0</v>
      </c>
      <c r="L1206" s="29">
        <f>SUMIFS(Cash_Flow_3[Amount],Cash_Flow_3[Bulan],H1206,Cash_Flow_3[Type],"Out",Cash_Flow_3[Category],"Bathroom")</f>
        <v>0</v>
      </c>
      <c r="M1206" s="29">
        <f>SUMIFS(Cash_Flow_3[Amount],Cash_Flow_3[Bulan],H1206,Cash_Flow_3[Type],"Out",Cash_Flow_3[Category],"Alfa")</f>
        <v>0</v>
      </c>
      <c r="N1206" s="29">
        <f>SUMIFS(Cash_Flow_3[Amount],Cash_Flow_3[Bulan],H1206,Cash_Flow_3[Type],"Out",Cash_Flow_3[Category],"Jajan")</f>
        <v>0</v>
      </c>
      <c r="O1206" s="29">
        <f>SUMIFS(Cash_Flow_3[Amount],Cash_Flow_3[Bulan],H1206,Cash_Flow_3[Type],"Out",Cash_Flow_3[Category],"Kitchen")</f>
        <v>0</v>
      </c>
      <c r="P1206" s="29">
        <f>SUMIFS(Cash_Flow_3[Amount],Cash_Flow_3[Bulan],H1206,Cash_Flow_3[Type],"Out",Cash_Flow_3[Category],"Loandry")</f>
        <v>0</v>
      </c>
      <c r="Q1206" s="29">
        <f>SUMIFS(Cash_Flow_3[Amount],Cash_Flow_3[Bulan],H1206,Cash_Flow_3[Type],"Out",Cash_Flow_3[Category],"Mio")</f>
        <v>0</v>
      </c>
      <c r="R1206" s="29">
        <f>SUMIFS(Cash_Flow_3[Amount],Cash_Flow_3[Bulan],H1206,Cash_Flow_3[Type],"Out",Cash_Flow_3[Category],"Sedekah")</f>
        <v>0</v>
      </c>
      <c r="S1206" s="29">
        <f>SUMIFS(Cash_Flow_3[Amount],Cash_Flow_3[Bulan],H1206,Cash_Flow_3[Type],"Out",Cash_Flow_3[Category],"Zela")</f>
        <v>0</v>
      </c>
      <c r="T1206" s="29">
        <f>SUMIFS(Cash_Flow_3[Amount],Cash_Flow_3[Bulan],H1206,Cash_Flow_3[Type],"Out",Cash_Flow_3[Category],"Iqbal")</f>
        <v>0</v>
      </c>
    </row>
    <row r="1207" spans="1:20" ht="22.5" customHeight="1" x14ac:dyDescent="0.2">
      <c r="A1207" s="23"/>
      <c r="B1207" s="24"/>
      <c r="C1207" s="25"/>
      <c r="D1207" s="25"/>
      <c r="E1207" s="25"/>
      <c r="F1207" s="26"/>
      <c r="G1207" s="27"/>
      <c r="H1207" s="28" t="str">
        <f t="shared" si="0"/>
        <v/>
      </c>
      <c r="I1207" s="29">
        <f>SUMIFS(Cash_Flow_3[Amount],Cash_Flow_3[Bulan],H1207,Cash_Flow_3[Type],"In")</f>
        <v>0</v>
      </c>
      <c r="J1207" s="29">
        <f>SUMIFS(Cash_Flow_3[Amount],Cash_Flow_3[Bulan],H1207,Cash_Flow_3[Type],"Out")</f>
        <v>0</v>
      </c>
      <c r="K1207" s="29">
        <f>SUMIFS(Cash_Flow_3[Amount],Cash_Flow_3[Bulan],H1207,Cash_Flow_3[Type],"Out",Cash_Flow_3[Category],"Fix")</f>
        <v>0</v>
      </c>
      <c r="L1207" s="29">
        <f>SUMIFS(Cash_Flow_3[Amount],Cash_Flow_3[Bulan],H1207,Cash_Flow_3[Type],"Out",Cash_Flow_3[Category],"Bathroom")</f>
        <v>0</v>
      </c>
      <c r="M1207" s="29">
        <f>SUMIFS(Cash_Flow_3[Amount],Cash_Flow_3[Bulan],H1207,Cash_Flow_3[Type],"Out",Cash_Flow_3[Category],"Alfa")</f>
        <v>0</v>
      </c>
      <c r="N1207" s="29">
        <f>SUMIFS(Cash_Flow_3[Amount],Cash_Flow_3[Bulan],H1207,Cash_Flow_3[Type],"Out",Cash_Flow_3[Category],"Jajan")</f>
        <v>0</v>
      </c>
      <c r="O1207" s="29">
        <f>SUMIFS(Cash_Flow_3[Amount],Cash_Flow_3[Bulan],H1207,Cash_Flow_3[Type],"Out",Cash_Flow_3[Category],"Kitchen")</f>
        <v>0</v>
      </c>
      <c r="P1207" s="29">
        <f>SUMIFS(Cash_Flow_3[Amount],Cash_Flow_3[Bulan],H1207,Cash_Flow_3[Type],"Out",Cash_Flow_3[Category],"Loandry")</f>
        <v>0</v>
      </c>
      <c r="Q1207" s="29">
        <f>SUMIFS(Cash_Flow_3[Amount],Cash_Flow_3[Bulan],H1207,Cash_Flow_3[Type],"Out",Cash_Flow_3[Category],"Mio")</f>
        <v>0</v>
      </c>
      <c r="R1207" s="29">
        <f>SUMIFS(Cash_Flow_3[Amount],Cash_Flow_3[Bulan],H1207,Cash_Flow_3[Type],"Out",Cash_Flow_3[Category],"Sedekah")</f>
        <v>0</v>
      </c>
      <c r="S1207" s="29">
        <f>SUMIFS(Cash_Flow_3[Amount],Cash_Flow_3[Bulan],H1207,Cash_Flow_3[Type],"Out",Cash_Flow_3[Category],"Zela")</f>
        <v>0</v>
      </c>
      <c r="T1207" s="29">
        <f>SUMIFS(Cash_Flow_3[Amount],Cash_Flow_3[Bulan],H1207,Cash_Flow_3[Type],"Out",Cash_Flow_3[Category],"Iqbal")</f>
        <v>0</v>
      </c>
    </row>
    <row r="1208" spans="1:20" ht="22.5" customHeight="1" x14ac:dyDescent="0.2">
      <c r="A1208" s="23"/>
      <c r="B1208" s="24"/>
      <c r="C1208" s="25"/>
      <c r="D1208" s="25"/>
      <c r="E1208" s="25"/>
      <c r="F1208" s="26"/>
      <c r="G1208" s="27"/>
      <c r="H1208" s="28" t="str">
        <f t="shared" si="0"/>
        <v/>
      </c>
      <c r="I1208" s="29">
        <f>SUMIFS(Cash_Flow_3[Amount],Cash_Flow_3[Bulan],H1208,Cash_Flow_3[Type],"In")</f>
        <v>0</v>
      </c>
      <c r="J1208" s="29">
        <f>SUMIFS(Cash_Flow_3[Amount],Cash_Flow_3[Bulan],H1208,Cash_Flow_3[Type],"Out")</f>
        <v>0</v>
      </c>
      <c r="K1208" s="29">
        <f>SUMIFS(Cash_Flow_3[Amount],Cash_Flow_3[Bulan],H1208,Cash_Flow_3[Type],"Out",Cash_Flow_3[Category],"Fix")</f>
        <v>0</v>
      </c>
      <c r="L1208" s="29">
        <f>SUMIFS(Cash_Flow_3[Amount],Cash_Flow_3[Bulan],H1208,Cash_Flow_3[Type],"Out",Cash_Flow_3[Category],"Bathroom")</f>
        <v>0</v>
      </c>
      <c r="M1208" s="29">
        <f>SUMIFS(Cash_Flow_3[Amount],Cash_Flow_3[Bulan],H1208,Cash_Flow_3[Type],"Out",Cash_Flow_3[Category],"Alfa")</f>
        <v>0</v>
      </c>
      <c r="N1208" s="29">
        <f>SUMIFS(Cash_Flow_3[Amount],Cash_Flow_3[Bulan],H1208,Cash_Flow_3[Type],"Out",Cash_Flow_3[Category],"Jajan")</f>
        <v>0</v>
      </c>
      <c r="O1208" s="29">
        <f>SUMIFS(Cash_Flow_3[Amount],Cash_Flow_3[Bulan],H1208,Cash_Flow_3[Type],"Out",Cash_Flow_3[Category],"Kitchen")</f>
        <v>0</v>
      </c>
      <c r="P1208" s="29">
        <f>SUMIFS(Cash_Flow_3[Amount],Cash_Flow_3[Bulan],H1208,Cash_Flow_3[Type],"Out",Cash_Flow_3[Category],"Loandry")</f>
        <v>0</v>
      </c>
      <c r="Q1208" s="29">
        <f>SUMIFS(Cash_Flow_3[Amount],Cash_Flow_3[Bulan],H1208,Cash_Flow_3[Type],"Out",Cash_Flow_3[Category],"Mio")</f>
        <v>0</v>
      </c>
      <c r="R1208" s="29">
        <f>SUMIFS(Cash_Flow_3[Amount],Cash_Flow_3[Bulan],H1208,Cash_Flow_3[Type],"Out",Cash_Flow_3[Category],"Sedekah")</f>
        <v>0</v>
      </c>
      <c r="S1208" s="29">
        <f>SUMIFS(Cash_Flow_3[Amount],Cash_Flow_3[Bulan],H1208,Cash_Flow_3[Type],"Out",Cash_Flow_3[Category],"Zela")</f>
        <v>0</v>
      </c>
      <c r="T1208" s="29">
        <f>SUMIFS(Cash_Flow_3[Amount],Cash_Flow_3[Bulan],H1208,Cash_Flow_3[Type],"Out",Cash_Flow_3[Category],"Iqbal")</f>
        <v>0</v>
      </c>
    </row>
    <row r="1209" spans="1:20" ht="22.5" customHeight="1" x14ac:dyDescent="0.2">
      <c r="A1209" s="23"/>
      <c r="B1209" s="24"/>
      <c r="C1209" s="25"/>
      <c r="D1209" s="25"/>
      <c r="E1209" s="25"/>
      <c r="F1209" s="26"/>
      <c r="G1209" s="27"/>
      <c r="H1209" s="28" t="str">
        <f t="shared" si="0"/>
        <v/>
      </c>
      <c r="I1209" s="29">
        <f>SUMIFS(Cash_Flow_3[Amount],Cash_Flow_3[Bulan],H1209,Cash_Flow_3[Type],"In")</f>
        <v>0</v>
      </c>
      <c r="J1209" s="29">
        <f>SUMIFS(Cash_Flow_3[Amount],Cash_Flow_3[Bulan],H1209,Cash_Flow_3[Type],"Out")</f>
        <v>0</v>
      </c>
      <c r="K1209" s="29">
        <f>SUMIFS(Cash_Flow_3[Amount],Cash_Flow_3[Bulan],H1209,Cash_Flow_3[Type],"Out",Cash_Flow_3[Category],"Fix")</f>
        <v>0</v>
      </c>
      <c r="L1209" s="29">
        <f>SUMIFS(Cash_Flow_3[Amount],Cash_Flow_3[Bulan],H1209,Cash_Flow_3[Type],"Out",Cash_Flow_3[Category],"Bathroom")</f>
        <v>0</v>
      </c>
      <c r="M1209" s="29">
        <f>SUMIFS(Cash_Flow_3[Amount],Cash_Flow_3[Bulan],H1209,Cash_Flow_3[Type],"Out",Cash_Flow_3[Category],"Alfa")</f>
        <v>0</v>
      </c>
      <c r="N1209" s="29">
        <f>SUMIFS(Cash_Flow_3[Amount],Cash_Flow_3[Bulan],H1209,Cash_Flow_3[Type],"Out",Cash_Flow_3[Category],"Jajan")</f>
        <v>0</v>
      </c>
      <c r="O1209" s="29">
        <f>SUMIFS(Cash_Flow_3[Amount],Cash_Flow_3[Bulan],H1209,Cash_Flow_3[Type],"Out",Cash_Flow_3[Category],"Kitchen")</f>
        <v>0</v>
      </c>
      <c r="P1209" s="29">
        <f>SUMIFS(Cash_Flow_3[Amount],Cash_Flow_3[Bulan],H1209,Cash_Flow_3[Type],"Out",Cash_Flow_3[Category],"Loandry")</f>
        <v>0</v>
      </c>
      <c r="Q1209" s="29">
        <f>SUMIFS(Cash_Flow_3[Amount],Cash_Flow_3[Bulan],H1209,Cash_Flow_3[Type],"Out",Cash_Flow_3[Category],"Mio")</f>
        <v>0</v>
      </c>
      <c r="R1209" s="29">
        <f>SUMIFS(Cash_Flow_3[Amount],Cash_Flow_3[Bulan],H1209,Cash_Flow_3[Type],"Out",Cash_Flow_3[Category],"Sedekah")</f>
        <v>0</v>
      </c>
      <c r="S1209" s="29">
        <f>SUMIFS(Cash_Flow_3[Amount],Cash_Flow_3[Bulan],H1209,Cash_Flow_3[Type],"Out",Cash_Flow_3[Category],"Zela")</f>
        <v>0</v>
      </c>
      <c r="T1209" s="29">
        <f>SUMIFS(Cash_Flow_3[Amount],Cash_Flow_3[Bulan],H1209,Cash_Flow_3[Type],"Out",Cash_Flow_3[Category],"Iqbal")</f>
        <v>0</v>
      </c>
    </row>
    <row r="1210" spans="1:20" ht="22.5" customHeight="1" x14ac:dyDescent="0.2">
      <c r="A1210" s="23"/>
      <c r="B1210" s="24"/>
      <c r="C1210" s="25"/>
      <c r="D1210" s="25"/>
      <c r="E1210" s="25"/>
      <c r="F1210" s="26"/>
      <c r="G1210" s="27"/>
      <c r="H1210" s="28" t="str">
        <f t="shared" si="0"/>
        <v/>
      </c>
      <c r="I1210" s="29">
        <f>SUMIFS(Cash_Flow_3[Amount],Cash_Flow_3[Bulan],H1210,Cash_Flow_3[Type],"In")</f>
        <v>0</v>
      </c>
      <c r="J1210" s="29">
        <f>SUMIFS(Cash_Flow_3[Amount],Cash_Flow_3[Bulan],H1210,Cash_Flow_3[Type],"Out")</f>
        <v>0</v>
      </c>
      <c r="K1210" s="29">
        <f>SUMIFS(Cash_Flow_3[Amount],Cash_Flow_3[Bulan],H1210,Cash_Flow_3[Type],"Out",Cash_Flow_3[Category],"Fix")</f>
        <v>0</v>
      </c>
      <c r="L1210" s="29">
        <f>SUMIFS(Cash_Flow_3[Amount],Cash_Flow_3[Bulan],H1210,Cash_Flow_3[Type],"Out",Cash_Flow_3[Category],"Bathroom")</f>
        <v>0</v>
      </c>
      <c r="M1210" s="29">
        <f>SUMIFS(Cash_Flow_3[Amount],Cash_Flow_3[Bulan],H1210,Cash_Flow_3[Type],"Out",Cash_Flow_3[Category],"Alfa")</f>
        <v>0</v>
      </c>
      <c r="N1210" s="29">
        <f>SUMIFS(Cash_Flow_3[Amount],Cash_Flow_3[Bulan],H1210,Cash_Flow_3[Type],"Out",Cash_Flow_3[Category],"Jajan")</f>
        <v>0</v>
      </c>
      <c r="O1210" s="29">
        <f>SUMIFS(Cash_Flow_3[Amount],Cash_Flow_3[Bulan],H1210,Cash_Flow_3[Type],"Out",Cash_Flow_3[Category],"Kitchen")</f>
        <v>0</v>
      </c>
      <c r="P1210" s="29">
        <f>SUMIFS(Cash_Flow_3[Amount],Cash_Flow_3[Bulan],H1210,Cash_Flow_3[Type],"Out",Cash_Flow_3[Category],"Loandry")</f>
        <v>0</v>
      </c>
      <c r="Q1210" s="29">
        <f>SUMIFS(Cash_Flow_3[Amount],Cash_Flow_3[Bulan],H1210,Cash_Flow_3[Type],"Out",Cash_Flow_3[Category],"Mio")</f>
        <v>0</v>
      </c>
      <c r="R1210" s="29">
        <f>SUMIFS(Cash_Flow_3[Amount],Cash_Flow_3[Bulan],H1210,Cash_Flow_3[Type],"Out",Cash_Flow_3[Category],"Sedekah")</f>
        <v>0</v>
      </c>
      <c r="S1210" s="29">
        <f>SUMIFS(Cash_Flow_3[Amount],Cash_Flow_3[Bulan],H1210,Cash_Flow_3[Type],"Out",Cash_Flow_3[Category],"Zela")</f>
        <v>0</v>
      </c>
      <c r="T1210" s="29">
        <f>SUMIFS(Cash_Flow_3[Amount],Cash_Flow_3[Bulan],H1210,Cash_Flow_3[Type],"Out",Cash_Flow_3[Category],"Iqbal")</f>
        <v>0</v>
      </c>
    </row>
    <row r="1211" spans="1:20" ht="22.5" customHeight="1" x14ac:dyDescent="0.2">
      <c r="A1211" s="23"/>
      <c r="B1211" s="24"/>
      <c r="C1211" s="25"/>
      <c r="D1211" s="25"/>
      <c r="E1211" s="25"/>
      <c r="F1211" s="26"/>
      <c r="G1211" s="27"/>
      <c r="H1211" s="28" t="str">
        <f t="shared" si="0"/>
        <v/>
      </c>
      <c r="I1211" s="29">
        <f>SUMIFS(Cash_Flow_3[Amount],Cash_Flow_3[Bulan],H1211,Cash_Flow_3[Type],"In")</f>
        <v>0</v>
      </c>
      <c r="J1211" s="29">
        <f>SUMIFS(Cash_Flow_3[Amount],Cash_Flow_3[Bulan],H1211,Cash_Flow_3[Type],"Out")</f>
        <v>0</v>
      </c>
      <c r="K1211" s="29">
        <f>SUMIFS(Cash_Flow_3[Amount],Cash_Flow_3[Bulan],H1211,Cash_Flow_3[Type],"Out",Cash_Flow_3[Category],"Fix")</f>
        <v>0</v>
      </c>
      <c r="L1211" s="29">
        <f>SUMIFS(Cash_Flow_3[Amount],Cash_Flow_3[Bulan],H1211,Cash_Flow_3[Type],"Out",Cash_Flow_3[Category],"Bathroom")</f>
        <v>0</v>
      </c>
      <c r="M1211" s="29">
        <f>SUMIFS(Cash_Flow_3[Amount],Cash_Flow_3[Bulan],H1211,Cash_Flow_3[Type],"Out",Cash_Flow_3[Category],"Alfa")</f>
        <v>0</v>
      </c>
      <c r="N1211" s="29">
        <f>SUMIFS(Cash_Flow_3[Amount],Cash_Flow_3[Bulan],H1211,Cash_Flow_3[Type],"Out",Cash_Flow_3[Category],"Jajan")</f>
        <v>0</v>
      </c>
      <c r="O1211" s="29">
        <f>SUMIFS(Cash_Flow_3[Amount],Cash_Flow_3[Bulan],H1211,Cash_Flow_3[Type],"Out",Cash_Flow_3[Category],"Kitchen")</f>
        <v>0</v>
      </c>
      <c r="P1211" s="29">
        <f>SUMIFS(Cash_Flow_3[Amount],Cash_Flow_3[Bulan],H1211,Cash_Flow_3[Type],"Out",Cash_Flow_3[Category],"Loandry")</f>
        <v>0</v>
      </c>
      <c r="Q1211" s="29">
        <f>SUMIFS(Cash_Flow_3[Amount],Cash_Flow_3[Bulan],H1211,Cash_Flow_3[Type],"Out",Cash_Flow_3[Category],"Mio")</f>
        <v>0</v>
      </c>
      <c r="R1211" s="29">
        <f>SUMIFS(Cash_Flow_3[Amount],Cash_Flow_3[Bulan],H1211,Cash_Flow_3[Type],"Out",Cash_Flow_3[Category],"Sedekah")</f>
        <v>0</v>
      </c>
      <c r="S1211" s="29">
        <f>SUMIFS(Cash_Flow_3[Amount],Cash_Flow_3[Bulan],H1211,Cash_Flow_3[Type],"Out",Cash_Flow_3[Category],"Zela")</f>
        <v>0</v>
      </c>
      <c r="T1211" s="29">
        <f>SUMIFS(Cash_Flow_3[Amount],Cash_Flow_3[Bulan],H1211,Cash_Flow_3[Type],"Out",Cash_Flow_3[Category],"Iqbal")</f>
        <v>0</v>
      </c>
    </row>
    <row r="1212" spans="1:20" ht="22.5" customHeight="1" x14ac:dyDescent="0.2">
      <c r="A1212" s="23"/>
      <c r="B1212" s="24"/>
      <c r="C1212" s="25"/>
      <c r="D1212" s="25"/>
      <c r="E1212" s="25"/>
      <c r="F1212" s="26"/>
      <c r="G1212" s="27"/>
      <c r="H1212" s="28" t="str">
        <f t="shared" si="0"/>
        <v/>
      </c>
      <c r="I1212" s="29">
        <f>SUMIFS(Cash_Flow_3[Amount],Cash_Flow_3[Bulan],H1212,Cash_Flow_3[Type],"In")</f>
        <v>0</v>
      </c>
      <c r="J1212" s="29">
        <f>SUMIFS(Cash_Flow_3[Amount],Cash_Flow_3[Bulan],H1212,Cash_Flow_3[Type],"Out")</f>
        <v>0</v>
      </c>
      <c r="K1212" s="29">
        <f>SUMIFS(Cash_Flow_3[Amount],Cash_Flow_3[Bulan],H1212,Cash_Flow_3[Type],"Out",Cash_Flow_3[Category],"Fix")</f>
        <v>0</v>
      </c>
      <c r="L1212" s="29">
        <f>SUMIFS(Cash_Flow_3[Amount],Cash_Flow_3[Bulan],H1212,Cash_Flow_3[Type],"Out",Cash_Flow_3[Category],"Bathroom")</f>
        <v>0</v>
      </c>
      <c r="M1212" s="29">
        <f>SUMIFS(Cash_Flow_3[Amount],Cash_Flow_3[Bulan],H1212,Cash_Flow_3[Type],"Out",Cash_Flow_3[Category],"Alfa")</f>
        <v>0</v>
      </c>
      <c r="N1212" s="29">
        <f>SUMIFS(Cash_Flow_3[Amount],Cash_Flow_3[Bulan],H1212,Cash_Flow_3[Type],"Out",Cash_Flow_3[Category],"Jajan")</f>
        <v>0</v>
      </c>
      <c r="O1212" s="29">
        <f>SUMIFS(Cash_Flow_3[Amount],Cash_Flow_3[Bulan],H1212,Cash_Flow_3[Type],"Out",Cash_Flow_3[Category],"Kitchen")</f>
        <v>0</v>
      </c>
      <c r="P1212" s="29">
        <f>SUMIFS(Cash_Flow_3[Amount],Cash_Flow_3[Bulan],H1212,Cash_Flow_3[Type],"Out",Cash_Flow_3[Category],"Loandry")</f>
        <v>0</v>
      </c>
      <c r="Q1212" s="29">
        <f>SUMIFS(Cash_Flow_3[Amount],Cash_Flow_3[Bulan],H1212,Cash_Flow_3[Type],"Out",Cash_Flow_3[Category],"Mio")</f>
        <v>0</v>
      </c>
      <c r="R1212" s="29">
        <f>SUMIFS(Cash_Flow_3[Amount],Cash_Flow_3[Bulan],H1212,Cash_Flow_3[Type],"Out",Cash_Flow_3[Category],"Sedekah")</f>
        <v>0</v>
      </c>
      <c r="S1212" s="29">
        <f>SUMIFS(Cash_Flow_3[Amount],Cash_Flow_3[Bulan],H1212,Cash_Flow_3[Type],"Out",Cash_Flow_3[Category],"Zela")</f>
        <v>0</v>
      </c>
      <c r="T1212" s="29">
        <f>SUMIFS(Cash_Flow_3[Amount],Cash_Flow_3[Bulan],H1212,Cash_Flow_3[Type],"Out",Cash_Flow_3[Category],"Iqbal")</f>
        <v>0</v>
      </c>
    </row>
    <row r="1213" spans="1:20" ht="22.5" customHeight="1" x14ac:dyDescent="0.2">
      <c r="A1213" s="23"/>
      <c r="B1213" s="24"/>
      <c r="C1213" s="25"/>
      <c r="D1213" s="25"/>
      <c r="E1213" s="25"/>
      <c r="F1213" s="26"/>
      <c r="G1213" s="27"/>
      <c r="H1213" s="28" t="str">
        <f t="shared" si="0"/>
        <v/>
      </c>
      <c r="I1213" s="29">
        <f>SUMIFS(Cash_Flow_3[Amount],Cash_Flow_3[Bulan],H1213,Cash_Flow_3[Type],"In")</f>
        <v>0</v>
      </c>
      <c r="J1213" s="29">
        <f>SUMIFS(Cash_Flow_3[Amount],Cash_Flow_3[Bulan],H1213,Cash_Flow_3[Type],"Out")</f>
        <v>0</v>
      </c>
      <c r="K1213" s="29">
        <f>SUMIFS(Cash_Flow_3[Amount],Cash_Flow_3[Bulan],H1213,Cash_Flow_3[Type],"Out",Cash_Flow_3[Category],"Fix")</f>
        <v>0</v>
      </c>
      <c r="L1213" s="29">
        <f>SUMIFS(Cash_Flow_3[Amount],Cash_Flow_3[Bulan],H1213,Cash_Flow_3[Type],"Out",Cash_Flow_3[Category],"Bathroom")</f>
        <v>0</v>
      </c>
      <c r="M1213" s="29">
        <f>SUMIFS(Cash_Flow_3[Amount],Cash_Flow_3[Bulan],H1213,Cash_Flow_3[Type],"Out",Cash_Flow_3[Category],"Alfa")</f>
        <v>0</v>
      </c>
      <c r="N1213" s="29">
        <f>SUMIFS(Cash_Flow_3[Amount],Cash_Flow_3[Bulan],H1213,Cash_Flow_3[Type],"Out",Cash_Flow_3[Category],"Jajan")</f>
        <v>0</v>
      </c>
      <c r="O1213" s="29">
        <f>SUMIFS(Cash_Flow_3[Amount],Cash_Flow_3[Bulan],H1213,Cash_Flow_3[Type],"Out",Cash_Flow_3[Category],"Kitchen")</f>
        <v>0</v>
      </c>
      <c r="P1213" s="29">
        <f>SUMIFS(Cash_Flow_3[Amount],Cash_Flow_3[Bulan],H1213,Cash_Flow_3[Type],"Out",Cash_Flow_3[Category],"Loandry")</f>
        <v>0</v>
      </c>
      <c r="Q1213" s="29">
        <f>SUMIFS(Cash_Flow_3[Amount],Cash_Flow_3[Bulan],H1213,Cash_Flow_3[Type],"Out",Cash_Flow_3[Category],"Mio")</f>
        <v>0</v>
      </c>
      <c r="R1213" s="29">
        <f>SUMIFS(Cash_Flow_3[Amount],Cash_Flow_3[Bulan],H1213,Cash_Flow_3[Type],"Out",Cash_Flow_3[Category],"Sedekah")</f>
        <v>0</v>
      </c>
      <c r="S1213" s="29">
        <f>SUMIFS(Cash_Flow_3[Amount],Cash_Flow_3[Bulan],H1213,Cash_Flow_3[Type],"Out",Cash_Flow_3[Category],"Zela")</f>
        <v>0</v>
      </c>
      <c r="T1213" s="29">
        <f>SUMIFS(Cash_Flow_3[Amount],Cash_Flow_3[Bulan],H1213,Cash_Flow_3[Type],"Out",Cash_Flow_3[Category],"Iqbal")</f>
        <v>0</v>
      </c>
    </row>
    <row r="1214" spans="1:20" ht="22.5" customHeight="1" x14ac:dyDescent="0.2">
      <c r="A1214" s="23"/>
      <c r="B1214" s="24"/>
      <c r="C1214" s="25"/>
      <c r="D1214" s="25"/>
      <c r="E1214" s="25"/>
      <c r="F1214" s="26"/>
      <c r="G1214" s="27"/>
      <c r="H1214" s="28" t="str">
        <f t="shared" si="0"/>
        <v/>
      </c>
      <c r="I1214" s="29">
        <f>SUMIFS(Cash_Flow_3[Amount],Cash_Flow_3[Bulan],H1214,Cash_Flow_3[Type],"In")</f>
        <v>0</v>
      </c>
      <c r="J1214" s="29">
        <f>SUMIFS(Cash_Flow_3[Amount],Cash_Flow_3[Bulan],H1214,Cash_Flow_3[Type],"Out")</f>
        <v>0</v>
      </c>
      <c r="K1214" s="29">
        <f>SUMIFS(Cash_Flow_3[Amount],Cash_Flow_3[Bulan],H1214,Cash_Flow_3[Type],"Out",Cash_Flow_3[Category],"Fix")</f>
        <v>0</v>
      </c>
      <c r="L1214" s="29">
        <f>SUMIFS(Cash_Flow_3[Amount],Cash_Flow_3[Bulan],H1214,Cash_Flow_3[Type],"Out",Cash_Flow_3[Category],"Bathroom")</f>
        <v>0</v>
      </c>
      <c r="M1214" s="29">
        <f>SUMIFS(Cash_Flow_3[Amount],Cash_Flow_3[Bulan],H1214,Cash_Flow_3[Type],"Out",Cash_Flow_3[Category],"Alfa")</f>
        <v>0</v>
      </c>
      <c r="N1214" s="29">
        <f>SUMIFS(Cash_Flow_3[Amount],Cash_Flow_3[Bulan],H1214,Cash_Flow_3[Type],"Out",Cash_Flow_3[Category],"Jajan")</f>
        <v>0</v>
      </c>
      <c r="O1214" s="29">
        <f>SUMIFS(Cash_Flow_3[Amount],Cash_Flow_3[Bulan],H1214,Cash_Flow_3[Type],"Out",Cash_Flow_3[Category],"Kitchen")</f>
        <v>0</v>
      </c>
      <c r="P1214" s="29">
        <f>SUMIFS(Cash_Flow_3[Amount],Cash_Flow_3[Bulan],H1214,Cash_Flow_3[Type],"Out",Cash_Flow_3[Category],"Loandry")</f>
        <v>0</v>
      </c>
      <c r="Q1214" s="29">
        <f>SUMIFS(Cash_Flow_3[Amount],Cash_Flow_3[Bulan],H1214,Cash_Flow_3[Type],"Out",Cash_Flow_3[Category],"Mio")</f>
        <v>0</v>
      </c>
      <c r="R1214" s="29">
        <f>SUMIFS(Cash_Flow_3[Amount],Cash_Flow_3[Bulan],H1214,Cash_Flow_3[Type],"Out",Cash_Flow_3[Category],"Sedekah")</f>
        <v>0</v>
      </c>
      <c r="S1214" s="29">
        <f>SUMIFS(Cash_Flow_3[Amount],Cash_Flow_3[Bulan],H1214,Cash_Flow_3[Type],"Out",Cash_Flow_3[Category],"Zela")</f>
        <v>0</v>
      </c>
      <c r="T1214" s="29">
        <f>SUMIFS(Cash_Flow_3[Amount],Cash_Flow_3[Bulan],H1214,Cash_Flow_3[Type],"Out",Cash_Flow_3[Category],"Iqbal")</f>
        <v>0</v>
      </c>
    </row>
    <row r="1215" spans="1:20" ht="22.5" customHeight="1" x14ac:dyDescent="0.2">
      <c r="A1215" s="23"/>
      <c r="B1215" s="24"/>
      <c r="C1215" s="25"/>
      <c r="D1215" s="25"/>
      <c r="E1215" s="25"/>
      <c r="F1215" s="26"/>
      <c r="G1215" s="27"/>
      <c r="H1215" s="28" t="str">
        <f t="shared" si="0"/>
        <v/>
      </c>
      <c r="I1215" s="29">
        <f>SUMIFS(Cash_Flow_3[Amount],Cash_Flow_3[Bulan],H1215,Cash_Flow_3[Type],"In")</f>
        <v>0</v>
      </c>
      <c r="J1215" s="29">
        <f>SUMIFS(Cash_Flow_3[Amount],Cash_Flow_3[Bulan],H1215,Cash_Flow_3[Type],"Out")</f>
        <v>0</v>
      </c>
      <c r="K1215" s="29">
        <f>SUMIFS(Cash_Flow_3[Amount],Cash_Flow_3[Bulan],H1215,Cash_Flow_3[Type],"Out",Cash_Flow_3[Category],"Fix")</f>
        <v>0</v>
      </c>
      <c r="L1215" s="29">
        <f>SUMIFS(Cash_Flow_3[Amount],Cash_Flow_3[Bulan],H1215,Cash_Flow_3[Type],"Out",Cash_Flow_3[Category],"Bathroom")</f>
        <v>0</v>
      </c>
      <c r="M1215" s="29">
        <f>SUMIFS(Cash_Flow_3[Amount],Cash_Flow_3[Bulan],H1215,Cash_Flow_3[Type],"Out",Cash_Flow_3[Category],"Alfa")</f>
        <v>0</v>
      </c>
      <c r="N1215" s="29">
        <f>SUMIFS(Cash_Flow_3[Amount],Cash_Flow_3[Bulan],H1215,Cash_Flow_3[Type],"Out",Cash_Flow_3[Category],"Jajan")</f>
        <v>0</v>
      </c>
      <c r="O1215" s="29">
        <f>SUMIFS(Cash_Flow_3[Amount],Cash_Flow_3[Bulan],H1215,Cash_Flow_3[Type],"Out",Cash_Flow_3[Category],"Kitchen")</f>
        <v>0</v>
      </c>
      <c r="P1215" s="29">
        <f>SUMIFS(Cash_Flow_3[Amount],Cash_Flow_3[Bulan],H1215,Cash_Flow_3[Type],"Out",Cash_Flow_3[Category],"Loandry")</f>
        <v>0</v>
      </c>
      <c r="Q1215" s="29">
        <f>SUMIFS(Cash_Flow_3[Amount],Cash_Flow_3[Bulan],H1215,Cash_Flow_3[Type],"Out",Cash_Flow_3[Category],"Mio")</f>
        <v>0</v>
      </c>
      <c r="R1215" s="29">
        <f>SUMIFS(Cash_Flow_3[Amount],Cash_Flow_3[Bulan],H1215,Cash_Flow_3[Type],"Out",Cash_Flow_3[Category],"Sedekah")</f>
        <v>0</v>
      </c>
      <c r="S1215" s="29">
        <f>SUMIFS(Cash_Flow_3[Amount],Cash_Flow_3[Bulan],H1215,Cash_Flow_3[Type],"Out",Cash_Flow_3[Category],"Zela")</f>
        <v>0</v>
      </c>
      <c r="T1215" s="29">
        <f>SUMIFS(Cash_Flow_3[Amount],Cash_Flow_3[Bulan],H1215,Cash_Flow_3[Type],"Out",Cash_Flow_3[Category],"Iqbal")</f>
        <v>0</v>
      </c>
    </row>
    <row r="1216" spans="1:20" ht="22.5" customHeight="1" x14ac:dyDescent="0.2">
      <c r="A1216" s="23"/>
      <c r="B1216" s="24"/>
      <c r="C1216" s="25"/>
      <c r="D1216" s="25"/>
      <c r="E1216" s="25"/>
      <c r="F1216" s="26"/>
      <c r="G1216" s="27"/>
      <c r="H1216" s="28" t="str">
        <f t="shared" si="0"/>
        <v/>
      </c>
      <c r="I1216" s="29">
        <f>SUMIFS(Cash_Flow_3[Amount],Cash_Flow_3[Bulan],H1216,Cash_Flow_3[Type],"In")</f>
        <v>0</v>
      </c>
      <c r="J1216" s="29">
        <f>SUMIFS(Cash_Flow_3[Amount],Cash_Flow_3[Bulan],H1216,Cash_Flow_3[Type],"Out")</f>
        <v>0</v>
      </c>
      <c r="K1216" s="29">
        <f>SUMIFS(Cash_Flow_3[Amount],Cash_Flow_3[Bulan],H1216,Cash_Flow_3[Type],"Out",Cash_Flow_3[Category],"Fix")</f>
        <v>0</v>
      </c>
      <c r="L1216" s="29">
        <f>SUMIFS(Cash_Flow_3[Amount],Cash_Flow_3[Bulan],H1216,Cash_Flow_3[Type],"Out",Cash_Flow_3[Category],"Bathroom")</f>
        <v>0</v>
      </c>
      <c r="M1216" s="29">
        <f>SUMIFS(Cash_Flow_3[Amount],Cash_Flow_3[Bulan],H1216,Cash_Flow_3[Type],"Out",Cash_Flow_3[Category],"Alfa")</f>
        <v>0</v>
      </c>
      <c r="N1216" s="29">
        <f>SUMIFS(Cash_Flow_3[Amount],Cash_Flow_3[Bulan],H1216,Cash_Flow_3[Type],"Out",Cash_Flow_3[Category],"Jajan")</f>
        <v>0</v>
      </c>
      <c r="O1216" s="29">
        <f>SUMIFS(Cash_Flow_3[Amount],Cash_Flow_3[Bulan],H1216,Cash_Flow_3[Type],"Out",Cash_Flow_3[Category],"Kitchen")</f>
        <v>0</v>
      </c>
      <c r="P1216" s="29">
        <f>SUMIFS(Cash_Flow_3[Amount],Cash_Flow_3[Bulan],H1216,Cash_Flow_3[Type],"Out",Cash_Flow_3[Category],"Loandry")</f>
        <v>0</v>
      </c>
      <c r="Q1216" s="29">
        <f>SUMIFS(Cash_Flow_3[Amount],Cash_Flow_3[Bulan],H1216,Cash_Flow_3[Type],"Out",Cash_Flow_3[Category],"Mio")</f>
        <v>0</v>
      </c>
      <c r="R1216" s="29">
        <f>SUMIFS(Cash_Flow_3[Amount],Cash_Flow_3[Bulan],H1216,Cash_Flow_3[Type],"Out",Cash_Flow_3[Category],"Sedekah")</f>
        <v>0</v>
      </c>
      <c r="S1216" s="29">
        <f>SUMIFS(Cash_Flow_3[Amount],Cash_Flow_3[Bulan],H1216,Cash_Flow_3[Type],"Out",Cash_Flow_3[Category],"Zela")</f>
        <v>0</v>
      </c>
      <c r="T1216" s="29">
        <f>SUMIFS(Cash_Flow_3[Amount],Cash_Flow_3[Bulan],H1216,Cash_Flow_3[Type],"Out",Cash_Flow_3[Category],"Iqbal")</f>
        <v>0</v>
      </c>
    </row>
    <row r="1217" spans="1:20" ht="22.5" customHeight="1" x14ac:dyDescent="0.2">
      <c r="A1217" s="23"/>
      <c r="B1217" s="24"/>
      <c r="C1217" s="25"/>
      <c r="D1217" s="25"/>
      <c r="E1217" s="25"/>
      <c r="F1217" s="26"/>
      <c r="G1217" s="27"/>
      <c r="H1217" s="28" t="str">
        <f t="shared" si="0"/>
        <v/>
      </c>
      <c r="I1217" s="29">
        <f>SUMIFS(Cash_Flow_3[Amount],Cash_Flow_3[Bulan],H1217,Cash_Flow_3[Type],"In")</f>
        <v>0</v>
      </c>
      <c r="J1217" s="29">
        <f>SUMIFS(Cash_Flow_3[Amount],Cash_Flow_3[Bulan],H1217,Cash_Flow_3[Type],"Out")</f>
        <v>0</v>
      </c>
      <c r="K1217" s="29">
        <f>SUMIFS(Cash_Flow_3[Amount],Cash_Flow_3[Bulan],H1217,Cash_Flow_3[Type],"Out",Cash_Flow_3[Category],"Fix")</f>
        <v>0</v>
      </c>
      <c r="L1217" s="29">
        <f>SUMIFS(Cash_Flow_3[Amount],Cash_Flow_3[Bulan],H1217,Cash_Flow_3[Type],"Out",Cash_Flow_3[Category],"Bathroom")</f>
        <v>0</v>
      </c>
      <c r="M1217" s="29">
        <f>SUMIFS(Cash_Flow_3[Amount],Cash_Flow_3[Bulan],H1217,Cash_Flow_3[Type],"Out",Cash_Flow_3[Category],"Alfa")</f>
        <v>0</v>
      </c>
      <c r="N1217" s="29">
        <f>SUMIFS(Cash_Flow_3[Amount],Cash_Flow_3[Bulan],H1217,Cash_Flow_3[Type],"Out",Cash_Flow_3[Category],"Jajan")</f>
        <v>0</v>
      </c>
      <c r="O1217" s="29">
        <f>SUMIFS(Cash_Flow_3[Amount],Cash_Flow_3[Bulan],H1217,Cash_Flow_3[Type],"Out",Cash_Flow_3[Category],"Kitchen")</f>
        <v>0</v>
      </c>
      <c r="P1217" s="29">
        <f>SUMIFS(Cash_Flow_3[Amount],Cash_Flow_3[Bulan],H1217,Cash_Flow_3[Type],"Out",Cash_Flow_3[Category],"Loandry")</f>
        <v>0</v>
      </c>
      <c r="Q1217" s="29">
        <f>SUMIFS(Cash_Flow_3[Amount],Cash_Flow_3[Bulan],H1217,Cash_Flow_3[Type],"Out",Cash_Flow_3[Category],"Mio")</f>
        <v>0</v>
      </c>
      <c r="R1217" s="29">
        <f>SUMIFS(Cash_Flow_3[Amount],Cash_Flow_3[Bulan],H1217,Cash_Flow_3[Type],"Out",Cash_Flow_3[Category],"Sedekah")</f>
        <v>0</v>
      </c>
      <c r="S1217" s="29">
        <f>SUMIFS(Cash_Flow_3[Amount],Cash_Flow_3[Bulan],H1217,Cash_Flow_3[Type],"Out",Cash_Flow_3[Category],"Zela")</f>
        <v>0</v>
      </c>
      <c r="T1217" s="29">
        <f>SUMIFS(Cash_Flow_3[Amount],Cash_Flow_3[Bulan],H1217,Cash_Flow_3[Type],"Out",Cash_Flow_3[Category],"Iqbal")</f>
        <v>0</v>
      </c>
    </row>
    <row r="1218" spans="1:20" ht="22.5" customHeight="1" x14ac:dyDescent="0.2">
      <c r="A1218" s="23"/>
      <c r="B1218" s="24"/>
      <c r="C1218" s="25"/>
      <c r="D1218" s="25"/>
      <c r="E1218" s="25"/>
      <c r="F1218" s="26"/>
      <c r="G1218" s="27"/>
      <c r="H1218" s="28" t="str">
        <f t="shared" si="0"/>
        <v/>
      </c>
      <c r="I1218" s="29">
        <f>SUMIFS(Cash_Flow_3[Amount],Cash_Flow_3[Bulan],H1218,Cash_Flow_3[Type],"In")</f>
        <v>0</v>
      </c>
      <c r="J1218" s="29">
        <f>SUMIFS(Cash_Flow_3[Amount],Cash_Flow_3[Bulan],H1218,Cash_Flow_3[Type],"Out")</f>
        <v>0</v>
      </c>
      <c r="K1218" s="29">
        <f>SUMIFS(Cash_Flow_3[Amount],Cash_Flow_3[Bulan],H1218,Cash_Flow_3[Type],"Out",Cash_Flow_3[Category],"Fix")</f>
        <v>0</v>
      </c>
      <c r="L1218" s="29">
        <f>SUMIFS(Cash_Flow_3[Amount],Cash_Flow_3[Bulan],H1218,Cash_Flow_3[Type],"Out",Cash_Flow_3[Category],"Bathroom")</f>
        <v>0</v>
      </c>
      <c r="M1218" s="29">
        <f>SUMIFS(Cash_Flow_3[Amount],Cash_Flow_3[Bulan],H1218,Cash_Flow_3[Type],"Out",Cash_Flow_3[Category],"Alfa")</f>
        <v>0</v>
      </c>
      <c r="N1218" s="29">
        <f>SUMIFS(Cash_Flow_3[Amount],Cash_Flow_3[Bulan],H1218,Cash_Flow_3[Type],"Out",Cash_Flow_3[Category],"Jajan")</f>
        <v>0</v>
      </c>
      <c r="O1218" s="29">
        <f>SUMIFS(Cash_Flow_3[Amount],Cash_Flow_3[Bulan],H1218,Cash_Flow_3[Type],"Out",Cash_Flow_3[Category],"Kitchen")</f>
        <v>0</v>
      </c>
      <c r="P1218" s="29">
        <f>SUMIFS(Cash_Flow_3[Amount],Cash_Flow_3[Bulan],H1218,Cash_Flow_3[Type],"Out",Cash_Flow_3[Category],"Loandry")</f>
        <v>0</v>
      </c>
      <c r="Q1218" s="29">
        <f>SUMIFS(Cash_Flow_3[Amount],Cash_Flow_3[Bulan],H1218,Cash_Flow_3[Type],"Out",Cash_Flow_3[Category],"Mio")</f>
        <v>0</v>
      </c>
      <c r="R1218" s="29">
        <f>SUMIFS(Cash_Flow_3[Amount],Cash_Flow_3[Bulan],H1218,Cash_Flow_3[Type],"Out",Cash_Flow_3[Category],"Sedekah")</f>
        <v>0</v>
      </c>
      <c r="S1218" s="29">
        <f>SUMIFS(Cash_Flow_3[Amount],Cash_Flow_3[Bulan],H1218,Cash_Flow_3[Type],"Out",Cash_Flow_3[Category],"Zela")</f>
        <v>0</v>
      </c>
      <c r="T1218" s="29">
        <f>SUMIFS(Cash_Flow_3[Amount],Cash_Flow_3[Bulan],H1218,Cash_Flow_3[Type],"Out",Cash_Flow_3[Category],"Iqbal")</f>
        <v>0</v>
      </c>
    </row>
    <row r="1219" spans="1:20" ht="22.5" customHeight="1" x14ac:dyDescent="0.2">
      <c r="A1219" s="23"/>
      <c r="B1219" s="24"/>
      <c r="C1219" s="25"/>
      <c r="D1219" s="25"/>
      <c r="E1219" s="25"/>
      <c r="F1219" s="26"/>
      <c r="G1219" s="27"/>
      <c r="H1219" s="28" t="str">
        <f t="shared" si="0"/>
        <v/>
      </c>
      <c r="I1219" s="29">
        <f>SUMIFS(Cash_Flow_3[Amount],Cash_Flow_3[Bulan],H1219,Cash_Flow_3[Type],"In")</f>
        <v>0</v>
      </c>
      <c r="J1219" s="29">
        <f>SUMIFS(Cash_Flow_3[Amount],Cash_Flow_3[Bulan],H1219,Cash_Flow_3[Type],"Out")</f>
        <v>0</v>
      </c>
      <c r="K1219" s="29">
        <f>SUMIFS(Cash_Flow_3[Amount],Cash_Flow_3[Bulan],H1219,Cash_Flow_3[Type],"Out",Cash_Flow_3[Category],"Fix")</f>
        <v>0</v>
      </c>
      <c r="L1219" s="29">
        <f>SUMIFS(Cash_Flow_3[Amount],Cash_Flow_3[Bulan],H1219,Cash_Flow_3[Type],"Out",Cash_Flow_3[Category],"Bathroom")</f>
        <v>0</v>
      </c>
      <c r="M1219" s="29">
        <f>SUMIFS(Cash_Flow_3[Amount],Cash_Flow_3[Bulan],H1219,Cash_Flow_3[Type],"Out",Cash_Flow_3[Category],"Alfa")</f>
        <v>0</v>
      </c>
      <c r="N1219" s="29">
        <f>SUMIFS(Cash_Flow_3[Amount],Cash_Flow_3[Bulan],H1219,Cash_Flow_3[Type],"Out",Cash_Flow_3[Category],"Jajan")</f>
        <v>0</v>
      </c>
      <c r="O1219" s="29">
        <f>SUMIFS(Cash_Flow_3[Amount],Cash_Flow_3[Bulan],H1219,Cash_Flow_3[Type],"Out",Cash_Flow_3[Category],"Kitchen")</f>
        <v>0</v>
      </c>
      <c r="P1219" s="29">
        <f>SUMIFS(Cash_Flow_3[Amount],Cash_Flow_3[Bulan],H1219,Cash_Flow_3[Type],"Out",Cash_Flow_3[Category],"Loandry")</f>
        <v>0</v>
      </c>
      <c r="Q1219" s="29">
        <f>SUMIFS(Cash_Flow_3[Amount],Cash_Flow_3[Bulan],H1219,Cash_Flow_3[Type],"Out",Cash_Flow_3[Category],"Mio")</f>
        <v>0</v>
      </c>
      <c r="R1219" s="29">
        <f>SUMIFS(Cash_Flow_3[Amount],Cash_Flow_3[Bulan],H1219,Cash_Flow_3[Type],"Out",Cash_Flow_3[Category],"Sedekah")</f>
        <v>0</v>
      </c>
      <c r="S1219" s="29">
        <f>SUMIFS(Cash_Flow_3[Amount],Cash_Flow_3[Bulan],H1219,Cash_Flow_3[Type],"Out",Cash_Flow_3[Category],"Zela")</f>
        <v>0</v>
      </c>
      <c r="T1219" s="29">
        <f>SUMIFS(Cash_Flow_3[Amount],Cash_Flow_3[Bulan],H1219,Cash_Flow_3[Type],"Out",Cash_Flow_3[Category],"Iqbal")</f>
        <v>0</v>
      </c>
    </row>
    <row r="1220" spans="1:20" ht="22.5" customHeight="1" x14ac:dyDescent="0.2">
      <c r="A1220" s="23"/>
      <c r="B1220" s="24"/>
      <c r="C1220" s="25"/>
      <c r="D1220" s="25"/>
      <c r="E1220" s="25"/>
      <c r="F1220" s="26"/>
      <c r="G1220" s="27"/>
      <c r="H1220" s="28" t="str">
        <f t="shared" si="0"/>
        <v/>
      </c>
      <c r="I1220" s="29">
        <f>SUMIFS(Cash_Flow_3[Amount],Cash_Flow_3[Bulan],H1220,Cash_Flow_3[Type],"In")</f>
        <v>0</v>
      </c>
      <c r="J1220" s="29">
        <f>SUMIFS(Cash_Flow_3[Amount],Cash_Flow_3[Bulan],H1220,Cash_Flow_3[Type],"Out")</f>
        <v>0</v>
      </c>
      <c r="K1220" s="29">
        <f>SUMIFS(Cash_Flow_3[Amount],Cash_Flow_3[Bulan],H1220,Cash_Flow_3[Type],"Out",Cash_Flow_3[Category],"Fix")</f>
        <v>0</v>
      </c>
      <c r="L1220" s="29">
        <f>SUMIFS(Cash_Flow_3[Amount],Cash_Flow_3[Bulan],H1220,Cash_Flow_3[Type],"Out",Cash_Flow_3[Category],"Bathroom")</f>
        <v>0</v>
      </c>
      <c r="M1220" s="29">
        <f>SUMIFS(Cash_Flow_3[Amount],Cash_Flow_3[Bulan],H1220,Cash_Flow_3[Type],"Out",Cash_Flow_3[Category],"Alfa")</f>
        <v>0</v>
      </c>
      <c r="N1220" s="29">
        <f>SUMIFS(Cash_Flow_3[Amount],Cash_Flow_3[Bulan],H1220,Cash_Flow_3[Type],"Out",Cash_Flow_3[Category],"Jajan")</f>
        <v>0</v>
      </c>
      <c r="O1220" s="29">
        <f>SUMIFS(Cash_Flow_3[Amount],Cash_Flow_3[Bulan],H1220,Cash_Flow_3[Type],"Out",Cash_Flow_3[Category],"Kitchen")</f>
        <v>0</v>
      </c>
      <c r="P1220" s="29">
        <f>SUMIFS(Cash_Flow_3[Amount],Cash_Flow_3[Bulan],H1220,Cash_Flow_3[Type],"Out",Cash_Flow_3[Category],"Loandry")</f>
        <v>0</v>
      </c>
      <c r="Q1220" s="29">
        <f>SUMIFS(Cash_Flow_3[Amount],Cash_Flow_3[Bulan],H1220,Cash_Flow_3[Type],"Out",Cash_Flow_3[Category],"Mio")</f>
        <v>0</v>
      </c>
      <c r="R1220" s="29">
        <f>SUMIFS(Cash_Flow_3[Amount],Cash_Flow_3[Bulan],H1220,Cash_Flow_3[Type],"Out",Cash_Flow_3[Category],"Sedekah")</f>
        <v>0</v>
      </c>
      <c r="S1220" s="29">
        <f>SUMIFS(Cash_Flow_3[Amount],Cash_Flow_3[Bulan],H1220,Cash_Flow_3[Type],"Out",Cash_Flow_3[Category],"Zela")</f>
        <v>0</v>
      </c>
      <c r="T1220" s="29">
        <f>SUMIFS(Cash_Flow_3[Amount],Cash_Flow_3[Bulan],H1220,Cash_Flow_3[Type],"Out",Cash_Flow_3[Category],"Iqbal")</f>
        <v>0</v>
      </c>
    </row>
    <row r="1221" spans="1:20" ht="22.5" customHeight="1" x14ac:dyDescent="0.2">
      <c r="A1221" s="23"/>
      <c r="B1221" s="24"/>
      <c r="C1221" s="25"/>
      <c r="D1221" s="25"/>
      <c r="E1221" s="25"/>
      <c r="F1221" s="26"/>
      <c r="G1221" s="27"/>
      <c r="H1221" s="28" t="str">
        <f t="shared" si="0"/>
        <v/>
      </c>
      <c r="I1221" s="29">
        <f>SUMIFS(Cash_Flow_3[Amount],Cash_Flow_3[Bulan],H1221,Cash_Flow_3[Type],"In")</f>
        <v>0</v>
      </c>
      <c r="J1221" s="29">
        <f>SUMIFS(Cash_Flow_3[Amount],Cash_Flow_3[Bulan],H1221,Cash_Flow_3[Type],"Out")</f>
        <v>0</v>
      </c>
      <c r="K1221" s="29">
        <f>SUMIFS(Cash_Flow_3[Amount],Cash_Flow_3[Bulan],H1221,Cash_Flow_3[Type],"Out",Cash_Flow_3[Category],"Fix")</f>
        <v>0</v>
      </c>
      <c r="L1221" s="29">
        <f>SUMIFS(Cash_Flow_3[Amount],Cash_Flow_3[Bulan],H1221,Cash_Flow_3[Type],"Out",Cash_Flow_3[Category],"Bathroom")</f>
        <v>0</v>
      </c>
      <c r="M1221" s="29">
        <f>SUMIFS(Cash_Flow_3[Amount],Cash_Flow_3[Bulan],H1221,Cash_Flow_3[Type],"Out",Cash_Flow_3[Category],"Alfa")</f>
        <v>0</v>
      </c>
      <c r="N1221" s="29">
        <f>SUMIFS(Cash_Flow_3[Amount],Cash_Flow_3[Bulan],H1221,Cash_Flow_3[Type],"Out",Cash_Flow_3[Category],"Jajan")</f>
        <v>0</v>
      </c>
      <c r="O1221" s="29">
        <f>SUMIFS(Cash_Flow_3[Amount],Cash_Flow_3[Bulan],H1221,Cash_Flow_3[Type],"Out",Cash_Flow_3[Category],"Kitchen")</f>
        <v>0</v>
      </c>
      <c r="P1221" s="29">
        <f>SUMIFS(Cash_Flow_3[Amount],Cash_Flow_3[Bulan],H1221,Cash_Flow_3[Type],"Out",Cash_Flow_3[Category],"Loandry")</f>
        <v>0</v>
      </c>
      <c r="Q1221" s="29">
        <f>SUMIFS(Cash_Flow_3[Amount],Cash_Flow_3[Bulan],H1221,Cash_Flow_3[Type],"Out",Cash_Flow_3[Category],"Mio")</f>
        <v>0</v>
      </c>
      <c r="R1221" s="29">
        <f>SUMIFS(Cash_Flow_3[Amount],Cash_Flow_3[Bulan],H1221,Cash_Flow_3[Type],"Out",Cash_Flow_3[Category],"Sedekah")</f>
        <v>0</v>
      </c>
      <c r="S1221" s="29">
        <f>SUMIFS(Cash_Flow_3[Amount],Cash_Flow_3[Bulan],H1221,Cash_Flow_3[Type],"Out",Cash_Flow_3[Category],"Zela")</f>
        <v>0</v>
      </c>
      <c r="T1221" s="29">
        <f>SUMIFS(Cash_Flow_3[Amount],Cash_Flow_3[Bulan],H1221,Cash_Flow_3[Type],"Out",Cash_Flow_3[Category],"Iqbal")</f>
        <v>0</v>
      </c>
    </row>
    <row r="1222" spans="1:20" ht="22.5" customHeight="1" x14ac:dyDescent="0.2">
      <c r="A1222" s="23"/>
      <c r="B1222" s="24"/>
      <c r="C1222" s="25"/>
      <c r="D1222" s="25"/>
      <c r="E1222" s="25"/>
      <c r="F1222" s="26"/>
      <c r="G1222" s="27"/>
      <c r="H1222" s="28" t="str">
        <f t="shared" si="0"/>
        <v/>
      </c>
      <c r="I1222" s="29">
        <f>SUMIFS(Cash_Flow_3[Amount],Cash_Flow_3[Bulan],H1222,Cash_Flow_3[Type],"In")</f>
        <v>0</v>
      </c>
      <c r="J1222" s="29">
        <f>SUMIFS(Cash_Flow_3[Amount],Cash_Flow_3[Bulan],H1222,Cash_Flow_3[Type],"Out")</f>
        <v>0</v>
      </c>
      <c r="K1222" s="29">
        <f>SUMIFS(Cash_Flow_3[Amount],Cash_Flow_3[Bulan],H1222,Cash_Flow_3[Type],"Out",Cash_Flow_3[Category],"Fix")</f>
        <v>0</v>
      </c>
      <c r="L1222" s="29">
        <f>SUMIFS(Cash_Flow_3[Amount],Cash_Flow_3[Bulan],H1222,Cash_Flow_3[Type],"Out",Cash_Flow_3[Category],"Bathroom")</f>
        <v>0</v>
      </c>
      <c r="M1222" s="29">
        <f>SUMIFS(Cash_Flow_3[Amount],Cash_Flow_3[Bulan],H1222,Cash_Flow_3[Type],"Out",Cash_Flow_3[Category],"Alfa")</f>
        <v>0</v>
      </c>
      <c r="N1222" s="29">
        <f>SUMIFS(Cash_Flow_3[Amount],Cash_Flow_3[Bulan],H1222,Cash_Flow_3[Type],"Out",Cash_Flow_3[Category],"Jajan")</f>
        <v>0</v>
      </c>
      <c r="O1222" s="29">
        <f>SUMIFS(Cash_Flow_3[Amount],Cash_Flow_3[Bulan],H1222,Cash_Flow_3[Type],"Out",Cash_Flow_3[Category],"Kitchen")</f>
        <v>0</v>
      </c>
      <c r="P1222" s="29">
        <f>SUMIFS(Cash_Flow_3[Amount],Cash_Flow_3[Bulan],H1222,Cash_Flow_3[Type],"Out",Cash_Flow_3[Category],"Loandry")</f>
        <v>0</v>
      </c>
      <c r="Q1222" s="29">
        <f>SUMIFS(Cash_Flow_3[Amount],Cash_Flow_3[Bulan],H1222,Cash_Flow_3[Type],"Out",Cash_Flow_3[Category],"Mio")</f>
        <v>0</v>
      </c>
      <c r="R1222" s="29">
        <f>SUMIFS(Cash_Flow_3[Amount],Cash_Flow_3[Bulan],H1222,Cash_Flow_3[Type],"Out",Cash_Flow_3[Category],"Sedekah")</f>
        <v>0</v>
      </c>
      <c r="S1222" s="29">
        <f>SUMIFS(Cash_Flow_3[Amount],Cash_Flow_3[Bulan],H1222,Cash_Flow_3[Type],"Out",Cash_Flow_3[Category],"Zela")</f>
        <v>0</v>
      </c>
      <c r="T1222" s="29">
        <f>SUMIFS(Cash_Flow_3[Amount],Cash_Flow_3[Bulan],H1222,Cash_Flow_3[Type],"Out",Cash_Flow_3[Category],"Iqbal")</f>
        <v>0</v>
      </c>
    </row>
    <row r="1223" spans="1:20" ht="22.5" customHeight="1" x14ac:dyDescent="0.2">
      <c r="A1223" s="23"/>
      <c r="B1223" s="24"/>
      <c r="C1223" s="25"/>
      <c r="D1223" s="25"/>
      <c r="E1223" s="25"/>
      <c r="F1223" s="26"/>
      <c r="G1223" s="27"/>
      <c r="H1223" s="28" t="str">
        <f t="shared" si="0"/>
        <v/>
      </c>
      <c r="I1223" s="29">
        <f>SUMIFS(Cash_Flow_3[Amount],Cash_Flow_3[Bulan],H1223,Cash_Flow_3[Type],"In")</f>
        <v>0</v>
      </c>
      <c r="J1223" s="29">
        <f>SUMIFS(Cash_Flow_3[Amount],Cash_Flow_3[Bulan],H1223,Cash_Flow_3[Type],"Out")</f>
        <v>0</v>
      </c>
      <c r="K1223" s="29">
        <f>SUMIFS(Cash_Flow_3[Amount],Cash_Flow_3[Bulan],H1223,Cash_Flow_3[Type],"Out",Cash_Flow_3[Category],"Fix")</f>
        <v>0</v>
      </c>
      <c r="L1223" s="29">
        <f>SUMIFS(Cash_Flow_3[Amount],Cash_Flow_3[Bulan],H1223,Cash_Flow_3[Type],"Out",Cash_Flow_3[Category],"Bathroom")</f>
        <v>0</v>
      </c>
      <c r="M1223" s="29">
        <f>SUMIFS(Cash_Flow_3[Amount],Cash_Flow_3[Bulan],H1223,Cash_Flow_3[Type],"Out",Cash_Flow_3[Category],"Alfa")</f>
        <v>0</v>
      </c>
      <c r="N1223" s="29">
        <f>SUMIFS(Cash_Flow_3[Amount],Cash_Flow_3[Bulan],H1223,Cash_Flow_3[Type],"Out",Cash_Flow_3[Category],"Jajan")</f>
        <v>0</v>
      </c>
      <c r="O1223" s="29">
        <f>SUMIFS(Cash_Flow_3[Amount],Cash_Flow_3[Bulan],H1223,Cash_Flow_3[Type],"Out",Cash_Flow_3[Category],"Kitchen")</f>
        <v>0</v>
      </c>
      <c r="P1223" s="29">
        <f>SUMIFS(Cash_Flow_3[Amount],Cash_Flow_3[Bulan],H1223,Cash_Flow_3[Type],"Out",Cash_Flow_3[Category],"Loandry")</f>
        <v>0</v>
      </c>
      <c r="Q1223" s="29">
        <f>SUMIFS(Cash_Flow_3[Amount],Cash_Flow_3[Bulan],H1223,Cash_Flow_3[Type],"Out",Cash_Flow_3[Category],"Mio")</f>
        <v>0</v>
      </c>
      <c r="R1223" s="29">
        <f>SUMIFS(Cash_Flow_3[Amount],Cash_Flow_3[Bulan],H1223,Cash_Flow_3[Type],"Out",Cash_Flow_3[Category],"Sedekah")</f>
        <v>0</v>
      </c>
      <c r="S1223" s="29">
        <f>SUMIFS(Cash_Flow_3[Amount],Cash_Flow_3[Bulan],H1223,Cash_Flow_3[Type],"Out",Cash_Flow_3[Category],"Zela")</f>
        <v>0</v>
      </c>
      <c r="T1223" s="29">
        <f>SUMIFS(Cash_Flow_3[Amount],Cash_Flow_3[Bulan],H1223,Cash_Flow_3[Type],"Out",Cash_Flow_3[Category],"Iqbal")</f>
        <v>0</v>
      </c>
    </row>
    <row r="1224" spans="1:20" ht="22.5" customHeight="1" x14ac:dyDescent="0.2">
      <c r="A1224" s="23"/>
      <c r="B1224" s="24"/>
      <c r="C1224" s="25"/>
      <c r="D1224" s="25"/>
      <c r="E1224" s="25"/>
      <c r="F1224" s="26"/>
      <c r="G1224" s="27"/>
      <c r="H1224" s="28" t="str">
        <f t="shared" si="0"/>
        <v/>
      </c>
      <c r="I1224" s="29">
        <f>SUMIFS(Cash_Flow_3[Amount],Cash_Flow_3[Bulan],H1224,Cash_Flow_3[Type],"In")</f>
        <v>0</v>
      </c>
      <c r="J1224" s="29">
        <f>SUMIFS(Cash_Flow_3[Amount],Cash_Flow_3[Bulan],H1224,Cash_Flow_3[Type],"Out")</f>
        <v>0</v>
      </c>
      <c r="K1224" s="29">
        <f>SUMIFS(Cash_Flow_3[Amount],Cash_Flow_3[Bulan],H1224,Cash_Flow_3[Type],"Out",Cash_Flow_3[Category],"Fix")</f>
        <v>0</v>
      </c>
      <c r="L1224" s="29">
        <f>SUMIFS(Cash_Flow_3[Amount],Cash_Flow_3[Bulan],H1224,Cash_Flow_3[Type],"Out",Cash_Flow_3[Category],"Bathroom")</f>
        <v>0</v>
      </c>
      <c r="M1224" s="29">
        <f>SUMIFS(Cash_Flow_3[Amount],Cash_Flow_3[Bulan],H1224,Cash_Flow_3[Type],"Out",Cash_Flow_3[Category],"Alfa")</f>
        <v>0</v>
      </c>
      <c r="N1224" s="29">
        <f>SUMIFS(Cash_Flow_3[Amount],Cash_Flow_3[Bulan],H1224,Cash_Flow_3[Type],"Out",Cash_Flow_3[Category],"Jajan")</f>
        <v>0</v>
      </c>
      <c r="O1224" s="29">
        <f>SUMIFS(Cash_Flow_3[Amount],Cash_Flow_3[Bulan],H1224,Cash_Flow_3[Type],"Out",Cash_Flow_3[Category],"Kitchen")</f>
        <v>0</v>
      </c>
      <c r="P1224" s="29">
        <f>SUMIFS(Cash_Flow_3[Amount],Cash_Flow_3[Bulan],H1224,Cash_Flow_3[Type],"Out",Cash_Flow_3[Category],"Loandry")</f>
        <v>0</v>
      </c>
      <c r="Q1224" s="29">
        <f>SUMIFS(Cash_Flow_3[Amount],Cash_Flow_3[Bulan],H1224,Cash_Flow_3[Type],"Out",Cash_Flow_3[Category],"Mio")</f>
        <v>0</v>
      </c>
      <c r="R1224" s="29">
        <f>SUMIFS(Cash_Flow_3[Amount],Cash_Flow_3[Bulan],H1224,Cash_Flow_3[Type],"Out",Cash_Flow_3[Category],"Sedekah")</f>
        <v>0</v>
      </c>
      <c r="S1224" s="29">
        <f>SUMIFS(Cash_Flow_3[Amount],Cash_Flow_3[Bulan],H1224,Cash_Flow_3[Type],"Out",Cash_Flow_3[Category],"Zela")</f>
        <v>0</v>
      </c>
      <c r="T1224" s="29">
        <f>SUMIFS(Cash_Flow_3[Amount],Cash_Flow_3[Bulan],H1224,Cash_Flow_3[Type],"Out",Cash_Flow_3[Category],"Iqbal")</f>
        <v>0</v>
      </c>
    </row>
    <row r="1225" spans="1:20" ht="22.5" customHeight="1" x14ac:dyDescent="0.2">
      <c r="A1225" s="23"/>
      <c r="B1225" s="24"/>
      <c r="C1225" s="25"/>
      <c r="D1225" s="25"/>
      <c r="E1225" s="25"/>
      <c r="F1225" s="26"/>
      <c r="G1225" s="27"/>
      <c r="H1225" s="28" t="str">
        <f t="shared" si="0"/>
        <v/>
      </c>
      <c r="I1225" s="29">
        <f>SUMIFS(Cash_Flow_3[Amount],Cash_Flow_3[Bulan],H1225,Cash_Flow_3[Type],"In")</f>
        <v>0</v>
      </c>
      <c r="J1225" s="29">
        <f>SUMIFS(Cash_Flow_3[Amount],Cash_Flow_3[Bulan],H1225,Cash_Flow_3[Type],"Out")</f>
        <v>0</v>
      </c>
      <c r="K1225" s="29">
        <f>SUMIFS(Cash_Flow_3[Amount],Cash_Flow_3[Bulan],H1225,Cash_Flow_3[Type],"Out",Cash_Flow_3[Category],"Fix")</f>
        <v>0</v>
      </c>
      <c r="L1225" s="29">
        <f>SUMIFS(Cash_Flow_3[Amount],Cash_Flow_3[Bulan],H1225,Cash_Flow_3[Type],"Out",Cash_Flow_3[Category],"Bathroom")</f>
        <v>0</v>
      </c>
      <c r="M1225" s="29">
        <f>SUMIFS(Cash_Flow_3[Amount],Cash_Flow_3[Bulan],H1225,Cash_Flow_3[Type],"Out",Cash_Flow_3[Category],"Alfa")</f>
        <v>0</v>
      </c>
      <c r="N1225" s="29">
        <f>SUMIFS(Cash_Flow_3[Amount],Cash_Flow_3[Bulan],H1225,Cash_Flow_3[Type],"Out",Cash_Flow_3[Category],"Jajan")</f>
        <v>0</v>
      </c>
      <c r="O1225" s="29">
        <f>SUMIFS(Cash_Flow_3[Amount],Cash_Flow_3[Bulan],H1225,Cash_Flow_3[Type],"Out",Cash_Flow_3[Category],"Kitchen")</f>
        <v>0</v>
      </c>
      <c r="P1225" s="29">
        <f>SUMIFS(Cash_Flow_3[Amount],Cash_Flow_3[Bulan],H1225,Cash_Flow_3[Type],"Out",Cash_Flow_3[Category],"Loandry")</f>
        <v>0</v>
      </c>
      <c r="Q1225" s="29">
        <f>SUMIFS(Cash_Flow_3[Amount],Cash_Flow_3[Bulan],H1225,Cash_Flow_3[Type],"Out",Cash_Flow_3[Category],"Mio")</f>
        <v>0</v>
      </c>
      <c r="R1225" s="29">
        <f>SUMIFS(Cash_Flow_3[Amount],Cash_Flow_3[Bulan],H1225,Cash_Flow_3[Type],"Out",Cash_Flow_3[Category],"Sedekah")</f>
        <v>0</v>
      </c>
      <c r="S1225" s="29">
        <f>SUMIFS(Cash_Flow_3[Amount],Cash_Flow_3[Bulan],H1225,Cash_Flow_3[Type],"Out",Cash_Flow_3[Category],"Zela")</f>
        <v>0</v>
      </c>
      <c r="T1225" s="29">
        <f>SUMIFS(Cash_Flow_3[Amount],Cash_Flow_3[Bulan],H1225,Cash_Flow_3[Type],"Out",Cash_Flow_3[Category],"Iqbal")</f>
        <v>0</v>
      </c>
    </row>
    <row r="1226" spans="1:20" ht="22.5" customHeight="1" x14ac:dyDescent="0.2">
      <c r="A1226" s="23"/>
      <c r="B1226" s="24"/>
      <c r="C1226" s="25"/>
      <c r="D1226" s="25"/>
      <c r="E1226" s="25"/>
      <c r="F1226" s="26"/>
      <c r="G1226" s="27"/>
      <c r="H1226" s="28" t="str">
        <f t="shared" si="0"/>
        <v/>
      </c>
      <c r="I1226" s="29">
        <f>SUMIFS(Cash_Flow_3[Amount],Cash_Flow_3[Bulan],H1226,Cash_Flow_3[Type],"In")</f>
        <v>0</v>
      </c>
      <c r="J1226" s="29">
        <f>SUMIFS(Cash_Flow_3[Amount],Cash_Flow_3[Bulan],H1226,Cash_Flow_3[Type],"Out")</f>
        <v>0</v>
      </c>
      <c r="K1226" s="29">
        <f>SUMIFS(Cash_Flow_3[Amount],Cash_Flow_3[Bulan],H1226,Cash_Flow_3[Type],"Out",Cash_Flow_3[Category],"Fix")</f>
        <v>0</v>
      </c>
      <c r="L1226" s="29">
        <f>SUMIFS(Cash_Flow_3[Amount],Cash_Flow_3[Bulan],H1226,Cash_Flow_3[Type],"Out",Cash_Flow_3[Category],"Bathroom")</f>
        <v>0</v>
      </c>
      <c r="M1226" s="29">
        <f>SUMIFS(Cash_Flow_3[Amount],Cash_Flow_3[Bulan],H1226,Cash_Flow_3[Type],"Out",Cash_Flow_3[Category],"Alfa")</f>
        <v>0</v>
      </c>
      <c r="N1226" s="29">
        <f>SUMIFS(Cash_Flow_3[Amount],Cash_Flow_3[Bulan],H1226,Cash_Flow_3[Type],"Out",Cash_Flow_3[Category],"Jajan")</f>
        <v>0</v>
      </c>
      <c r="O1226" s="29">
        <f>SUMIFS(Cash_Flow_3[Amount],Cash_Flow_3[Bulan],H1226,Cash_Flow_3[Type],"Out",Cash_Flow_3[Category],"Kitchen")</f>
        <v>0</v>
      </c>
      <c r="P1226" s="29">
        <f>SUMIFS(Cash_Flow_3[Amount],Cash_Flow_3[Bulan],H1226,Cash_Flow_3[Type],"Out",Cash_Flow_3[Category],"Loandry")</f>
        <v>0</v>
      </c>
      <c r="Q1226" s="29">
        <f>SUMIFS(Cash_Flow_3[Amount],Cash_Flow_3[Bulan],H1226,Cash_Flow_3[Type],"Out",Cash_Flow_3[Category],"Mio")</f>
        <v>0</v>
      </c>
      <c r="R1226" s="29">
        <f>SUMIFS(Cash_Flow_3[Amount],Cash_Flow_3[Bulan],H1226,Cash_Flow_3[Type],"Out",Cash_Flow_3[Category],"Sedekah")</f>
        <v>0</v>
      </c>
      <c r="S1226" s="29">
        <f>SUMIFS(Cash_Flow_3[Amount],Cash_Flow_3[Bulan],H1226,Cash_Flow_3[Type],"Out",Cash_Flow_3[Category],"Zela")</f>
        <v>0</v>
      </c>
      <c r="T1226" s="29">
        <f>SUMIFS(Cash_Flow_3[Amount],Cash_Flow_3[Bulan],H1226,Cash_Flow_3[Type],"Out",Cash_Flow_3[Category],"Iqbal")</f>
        <v>0</v>
      </c>
    </row>
    <row r="1227" spans="1:20" ht="22.5" customHeight="1" x14ac:dyDescent="0.2">
      <c r="A1227" s="23"/>
      <c r="B1227" s="24"/>
      <c r="C1227" s="25"/>
      <c r="D1227" s="25"/>
      <c r="E1227" s="25"/>
      <c r="F1227" s="26"/>
      <c r="G1227" s="27"/>
      <c r="H1227" s="28" t="str">
        <f t="shared" si="0"/>
        <v/>
      </c>
      <c r="I1227" s="29">
        <f>SUMIFS(Cash_Flow_3[Amount],Cash_Flow_3[Bulan],H1227,Cash_Flow_3[Type],"In")</f>
        <v>0</v>
      </c>
      <c r="J1227" s="29">
        <f>SUMIFS(Cash_Flow_3[Amount],Cash_Flow_3[Bulan],H1227,Cash_Flow_3[Type],"Out")</f>
        <v>0</v>
      </c>
      <c r="K1227" s="29">
        <f>SUMIFS(Cash_Flow_3[Amount],Cash_Flow_3[Bulan],H1227,Cash_Flow_3[Type],"Out",Cash_Flow_3[Category],"Fix")</f>
        <v>0</v>
      </c>
      <c r="L1227" s="29">
        <f>SUMIFS(Cash_Flow_3[Amount],Cash_Flow_3[Bulan],H1227,Cash_Flow_3[Type],"Out",Cash_Flow_3[Category],"Bathroom")</f>
        <v>0</v>
      </c>
      <c r="M1227" s="29">
        <f>SUMIFS(Cash_Flow_3[Amount],Cash_Flow_3[Bulan],H1227,Cash_Flow_3[Type],"Out",Cash_Flow_3[Category],"Alfa")</f>
        <v>0</v>
      </c>
      <c r="N1227" s="29">
        <f>SUMIFS(Cash_Flow_3[Amount],Cash_Flow_3[Bulan],H1227,Cash_Flow_3[Type],"Out",Cash_Flow_3[Category],"Jajan")</f>
        <v>0</v>
      </c>
      <c r="O1227" s="29">
        <f>SUMIFS(Cash_Flow_3[Amount],Cash_Flow_3[Bulan],H1227,Cash_Flow_3[Type],"Out",Cash_Flow_3[Category],"Kitchen")</f>
        <v>0</v>
      </c>
      <c r="P1227" s="29">
        <f>SUMIFS(Cash_Flow_3[Amount],Cash_Flow_3[Bulan],H1227,Cash_Flow_3[Type],"Out",Cash_Flow_3[Category],"Loandry")</f>
        <v>0</v>
      </c>
      <c r="Q1227" s="29">
        <f>SUMIFS(Cash_Flow_3[Amount],Cash_Flow_3[Bulan],H1227,Cash_Flow_3[Type],"Out",Cash_Flow_3[Category],"Mio")</f>
        <v>0</v>
      </c>
      <c r="R1227" s="29">
        <f>SUMIFS(Cash_Flow_3[Amount],Cash_Flow_3[Bulan],H1227,Cash_Flow_3[Type],"Out",Cash_Flow_3[Category],"Sedekah")</f>
        <v>0</v>
      </c>
      <c r="S1227" s="29">
        <f>SUMIFS(Cash_Flow_3[Amount],Cash_Flow_3[Bulan],H1227,Cash_Flow_3[Type],"Out",Cash_Flow_3[Category],"Zela")</f>
        <v>0</v>
      </c>
      <c r="T1227" s="29">
        <f>SUMIFS(Cash_Flow_3[Amount],Cash_Flow_3[Bulan],H1227,Cash_Flow_3[Type],"Out",Cash_Flow_3[Category],"Iqbal")</f>
        <v>0</v>
      </c>
    </row>
    <row r="1228" spans="1:20" ht="22.5" customHeight="1" x14ac:dyDescent="0.2">
      <c r="A1228" s="23"/>
      <c r="B1228" s="24"/>
      <c r="C1228" s="25"/>
      <c r="D1228" s="25"/>
      <c r="E1228" s="25"/>
      <c r="F1228" s="26"/>
      <c r="G1228" s="27"/>
      <c r="H1228" s="28" t="str">
        <f t="shared" si="0"/>
        <v/>
      </c>
      <c r="I1228" s="29">
        <f>SUMIFS(Cash_Flow_3[Amount],Cash_Flow_3[Bulan],H1228,Cash_Flow_3[Type],"In")</f>
        <v>0</v>
      </c>
      <c r="J1228" s="29">
        <f>SUMIFS(Cash_Flow_3[Amount],Cash_Flow_3[Bulan],H1228,Cash_Flow_3[Type],"Out")</f>
        <v>0</v>
      </c>
      <c r="K1228" s="29">
        <f>SUMIFS(Cash_Flow_3[Amount],Cash_Flow_3[Bulan],H1228,Cash_Flow_3[Type],"Out",Cash_Flow_3[Category],"Fix")</f>
        <v>0</v>
      </c>
      <c r="L1228" s="29">
        <f>SUMIFS(Cash_Flow_3[Amount],Cash_Flow_3[Bulan],H1228,Cash_Flow_3[Type],"Out",Cash_Flow_3[Category],"Bathroom")</f>
        <v>0</v>
      </c>
      <c r="M1228" s="29">
        <f>SUMIFS(Cash_Flow_3[Amount],Cash_Flow_3[Bulan],H1228,Cash_Flow_3[Type],"Out",Cash_Flow_3[Category],"Alfa")</f>
        <v>0</v>
      </c>
      <c r="N1228" s="29">
        <f>SUMIFS(Cash_Flow_3[Amount],Cash_Flow_3[Bulan],H1228,Cash_Flow_3[Type],"Out",Cash_Flow_3[Category],"Jajan")</f>
        <v>0</v>
      </c>
      <c r="O1228" s="29">
        <f>SUMIFS(Cash_Flow_3[Amount],Cash_Flow_3[Bulan],H1228,Cash_Flow_3[Type],"Out",Cash_Flow_3[Category],"Kitchen")</f>
        <v>0</v>
      </c>
      <c r="P1228" s="29">
        <f>SUMIFS(Cash_Flow_3[Amount],Cash_Flow_3[Bulan],H1228,Cash_Flow_3[Type],"Out",Cash_Flow_3[Category],"Loandry")</f>
        <v>0</v>
      </c>
      <c r="Q1228" s="29">
        <f>SUMIFS(Cash_Flow_3[Amount],Cash_Flow_3[Bulan],H1228,Cash_Flow_3[Type],"Out",Cash_Flow_3[Category],"Mio")</f>
        <v>0</v>
      </c>
      <c r="R1228" s="29">
        <f>SUMIFS(Cash_Flow_3[Amount],Cash_Flow_3[Bulan],H1228,Cash_Flow_3[Type],"Out",Cash_Flow_3[Category],"Sedekah")</f>
        <v>0</v>
      </c>
      <c r="S1228" s="29">
        <f>SUMIFS(Cash_Flow_3[Amount],Cash_Flow_3[Bulan],H1228,Cash_Flow_3[Type],"Out",Cash_Flow_3[Category],"Zela")</f>
        <v>0</v>
      </c>
      <c r="T1228" s="29">
        <f>SUMIFS(Cash_Flow_3[Amount],Cash_Flow_3[Bulan],H1228,Cash_Flow_3[Type],"Out",Cash_Flow_3[Category],"Iqbal")</f>
        <v>0</v>
      </c>
    </row>
    <row r="1229" spans="1:20" ht="22.5" customHeight="1" x14ac:dyDescent="0.2">
      <c r="A1229" s="23"/>
      <c r="B1229" s="24"/>
      <c r="C1229" s="25"/>
      <c r="D1229" s="25"/>
      <c r="E1229" s="25"/>
      <c r="F1229" s="26"/>
      <c r="G1229" s="27"/>
      <c r="H1229" s="28" t="str">
        <f t="shared" si="0"/>
        <v/>
      </c>
      <c r="I1229" s="29">
        <f>SUMIFS(Cash_Flow_3[Amount],Cash_Flow_3[Bulan],H1229,Cash_Flow_3[Type],"In")</f>
        <v>0</v>
      </c>
      <c r="J1229" s="29">
        <f>SUMIFS(Cash_Flow_3[Amount],Cash_Flow_3[Bulan],H1229,Cash_Flow_3[Type],"Out")</f>
        <v>0</v>
      </c>
      <c r="K1229" s="29">
        <f>SUMIFS(Cash_Flow_3[Amount],Cash_Flow_3[Bulan],H1229,Cash_Flow_3[Type],"Out",Cash_Flow_3[Category],"Fix")</f>
        <v>0</v>
      </c>
      <c r="L1229" s="29">
        <f>SUMIFS(Cash_Flow_3[Amount],Cash_Flow_3[Bulan],H1229,Cash_Flow_3[Type],"Out",Cash_Flow_3[Category],"Bathroom")</f>
        <v>0</v>
      </c>
      <c r="M1229" s="29">
        <f>SUMIFS(Cash_Flow_3[Amount],Cash_Flow_3[Bulan],H1229,Cash_Flow_3[Type],"Out",Cash_Flow_3[Category],"Alfa")</f>
        <v>0</v>
      </c>
      <c r="N1229" s="29">
        <f>SUMIFS(Cash_Flow_3[Amount],Cash_Flow_3[Bulan],H1229,Cash_Flow_3[Type],"Out",Cash_Flow_3[Category],"Jajan")</f>
        <v>0</v>
      </c>
      <c r="O1229" s="29">
        <f>SUMIFS(Cash_Flow_3[Amount],Cash_Flow_3[Bulan],H1229,Cash_Flow_3[Type],"Out",Cash_Flow_3[Category],"Kitchen")</f>
        <v>0</v>
      </c>
      <c r="P1229" s="29">
        <f>SUMIFS(Cash_Flow_3[Amount],Cash_Flow_3[Bulan],H1229,Cash_Flow_3[Type],"Out",Cash_Flow_3[Category],"Loandry")</f>
        <v>0</v>
      </c>
      <c r="Q1229" s="29">
        <f>SUMIFS(Cash_Flow_3[Amount],Cash_Flow_3[Bulan],H1229,Cash_Flow_3[Type],"Out",Cash_Flow_3[Category],"Mio")</f>
        <v>0</v>
      </c>
      <c r="R1229" s="29">
        <f>SUMIFS(Cash_Flow_3[Amount],Cash_Flow_3[Bulan],H1229,Cash_Flow_3[Type],"Out",Cash_Flow_3[Category],"Sedekah")</f>
        <v>0</v>
      </c>
      <c r="S1229" s="29">
        <f>SUMIFS(Cash_Flow_3[Amount],Cash_Flow_3[Bulan],H1229,Cash_Flow_3[Type],"Out",Cash_Flow_3[Category],"Zela")</f>
        <v>0</v>
      </c>
      <c r="T1229" s="29">
        <f>SUMIFS(Cash_Flow_3[Amount],Cash_Flow_3[Bulan],H1229,Cash_Flow_3[Type],"Out",Cash_Flow_3[Category],"Iqbal")</f>
        <v>0</v>
      </c>
    </row>
    <row r="1230" spans="1:20" ht="22.5" customHeight="1" x14ac:dyDescent="0.2">
      <c r="A1230" s="23"/>
      <c r="B1230" s="24"/>
      <c r="C1230" s="25"/>
      <c r="D1230" s="25"/>
      <c r="E1230" s="25"/>
      <c r="F1230" s="26"/>
      <c r="G1230" s="27"/>
      <c r="H1230" s="28" t="str">
        <f t="shared" si="0"/>
        <v/>
      </c>
      <c r="I1230" s="29">
        <f>SUMIFS(Cash_Flow_3[Amount],Cash_Flow_3[Bulan],H1230,Cash_Flow_3[Type],"In")</f>
        <v>0</v>
      </c>
      <c r="J1230" s="29">
        <f>SUMIFS(Cash_Flow_3[Amount],Cash_Flow_3[Bulan],H1230,Cash_Flow_3[Type],"Out")</f>
        <v>0</v>
      </c>
      <c r="K1230" s="29">
        <f>SUMIFS(Cash_Flow_3[Amount],Cash_Flow_3[Bulan],H1230,Cash_Flow_3[Type],"Out",Cash_Flow_3[Category],"Fix")</f>
        <v>0</v>
      </c>
      <c r="L1230" s="29">
        <f>SUMIFS(Cash_Flow_3[Amount],Cash_Flow_3[Bulan],H1230,Cash_Flow_3[Type],"Out",Cash_Flow_3[Category],"Bathroom")</f>
        <v>0</v>
      </c>
      <c r="M1230" s="29">
        <f>SUMIFS(Cash_Flow_3[Amount],Cash_Flow_3[Bulan],H1230,Cash_Flow_3[Type],"Out",Cash_Flow_3[Category],"Alfa")</f>
        <v>0</v>
      </c>
      <c r="N1230" s="29">
        <f>SUMIFS(Cash_Flow_3[Amount],Cash_Flow_3[Bulan],H1230,Cash_Flow_3[Type],"Out",Cash_Flow_3[Category],"Jajan")</f>
        <v>0</v>
      </c>
      <c r="O1230" s="29">
        <f>SUMIFS(Cash_Flow_3[Amount],Cash_Flow_3[Bulan],H1230,Cash_Flow_3[Type],"Out",Cash_Flow_3[Category],"Kitchen")</f>
        <v>0</v>
      </c>
      <c r="P1230" s="29">
        <f>SUMIFS(Cash_Flow_3[Amount],Cash_Flow_3[Bulan],H1230,Cash_Flow_3[Type],"Out",Cash_Flow_3[Category],"Loandry")</f>
        <v>0</v>
      </c>
      <c r="Q1230" s="29">
        <f>SUMIFS(Cash_Flow_3[Amount],Cash_Flow_3[Bulan],H1230,Cash_Flow_3[Type],"Out",Cash_Flow_3[Category],"Mio")</f>
        <v>0</v>
      </c>
      <c r="R1230" s="29">
        <f>SUMIFS(Cash_Flow_3[Amount],Cash_Flow_3[Bulan],H1230,Cash_Flow_3[Type],"Out",Cash_Flow_3[Category],"Sedekah")</f>
        <v>0</v>
      </c>
      <c r="S1230" s="29">
        <f>SUMIFS(Cash_Flow_3[Amount],Cash_Flow_3[Bulan],H1230,Cash_Flow_3[Type],"Out",Cash_Flow_3[Category],"Zela")</f>
        <v>0</v>
      </c>
      <c r="T1230" s="29">
        <f>SUMIFS(Cash_Flow_3[Amount],Cash_Flow_3[Bulan],H1230,Cash_Flow_3[Type],"Out",Cash_Flow_3[Category],"Iqbal")</f>
        <v>0</v>
      </c>
    </row>
    <row r="1231" spans="1:20" ht="22.5" customHeight="1" x14ac:dyDescent="0.2">
      <c r="A1231" s="23"/>
      <c r="B1231" s="24"/>
      <c r="C1231" s="25"/>
      <c r="D1231" s="25"/>
      <c r="E1231" s="25"/>
      <c r="F1231" s="26"/>
      <c r="G1231" s="27"/>
      <c r="H1231" s="28" t="str">
        <f t="shared" si="0"/>
        <v/>
      </c>
      <c r="I1231" s="29">
        <f>SUMIFS(Cash_Flow_3[Amount],Cash_Flow_3[Bulan],H1231,Cash_Flow_3[Type],"In")</f>
        <v>0</v>
      </c>
      <c r="J1231" s="29">
        <f>SUMIFS(Cash_Flow_3[Amount],Cash_Flow_3[Bulan],H1231,Cash_Flow_3[Type],"Out")</f>
        <v>0</v>
      </c>
      <c r="K1231" s="29">
        <f>SUMIFS(Cash_Flow_3[Amount],Cash_Flow_3[Bulan],H1231,Cash_Flow_3[Type],"Out",Cash_Flow_3[Category],"Fix")</f>
        <v>0</v>
      </c>
      <c r="L1231" s="29">
        <f>SUMIFS(Cash_Flow_3[Amount],Cash_Flow_3[Bulan],H1231,Cash_Flow_3[Type],"Out",Cash_Flow_3[Category],"Bathroom")</f>
        <v>0</v>
      </c>
      <c r="M1231" s="29">
        <f>SUMIFS(Cash_Flow_3[Amount],Cash_Flow_3[Bulan],H1231,Cash_Flow_3[Type],"Out",Cash_Flow_3[Category],"Alfa")</f>
        <v>0</v>
      </c>
      <c r="N1231" s="29">
        <f>SUMIFS(Cash_Flow_3[Amount],Cash_Flow_3[Bulan],H1231,Cash_Flow_3[Type],"Out",Cash_Flow_3[Category],"Jajan")</f>
        <v>0</v>
      </c>
      <c r="O1231" s="29">
        <f>SUMIFS(Cash_Flow_3[Amount],Cash_Flow_3[Bulan],H1231,Cash_Flow_3[Type],"Out",Cash_Flow_3[Category],"Kitchen")</f>
        <v>0</v>
      </c>
      <c r="P1231" s="29">
        <f>SUMIFS(Cash_Flow_3[Amount],Cash_Flow_3[Bulan],H1231,Cash_Flow_3[Type],"Out",Cash_Flow_3[Category],"Loandry")</f>
        <v>0</v>
      </c>
      <c r="Q1231" s="29">
        <f>SUMIFS(Cash_Flow_3[Amount],Cash_Flow_3[Bulan],H1231,Cash_Flow_3[Type],"Out",Cash_Flow_3[Category],"Mio")</f>
        <v>0</v>
      </c>
      <c r="R1231" s="29">
        <f>SUMIFS(Cash_Flow_3[Amount],Cash_Flow_3[Bulan],H1231,Cash_Flow_3[Type],"Out",Cash_Flow_3[Category],"Sedekah")</f>
        <v>0</v>
      </c>
      <c r="S1231" s="29">
        <f>SUMIFS(Cash_Flow_3[Amount],Cash_Flow_3[Bulan],H1231,Cash_Flow_3[Type],"Out",Cash_Flow_3[Category],"Zela")</f>
        <v>0</v>
      </c>
      <c r="T1231" s="29">
        <f>SUMIFS(Cash_Flow_3[Amount],Cash_Flow_3[Bulan],H1231,Cash_Flow_3[Type],"Out",Cash_Flow_3[Category],"Iqbal")</f>
        <v>0</v>
      </c>
    </row>
    <row r="1232" spans="1:20" ht="22.5" customHeight="1" x14ac:dyDescent="0.2">
      <c r="A1232" s="23"/>
      <c r="B1232" s="24"/>
      <c r="C1232" s="25"/>
      <c r="D1232" s="25"/>
      <c r="E1232" s="25"/>
      <c r="F1232" s="26"/>
      <c r="G1232" s="27"/>
      <c r="H1232" s="28" t="str">
        <f t="shared" si="0"/>
        <v/>
      </c>
      <c r="I1232" s="29">
        <f>SUMIFS(Cash_Flow_3[Amount],Cash_Flow_3[Bulan],H1232,Cash_Flow_3[Type],"In")</f>
        <v>0</v>
      </c>
      <c r="J1232" s="29">
        <f>SUMIFS(Cash_Flow_3[Amount],Cash_Flow_3[Bulan],H1232,Cash_Flow_3[Type],"Out")</f>
        <v>0</v>
      </c>
      <c r="K1232" s="29">
        <f>SUMIFS(Cash_Flow_3[Amount],Cash_Flow_3[Bulan],H1232,Cash_Flow_3[Type],"Out",Cash_Flow_3[Category],"Fix")</f>
        <v>0</v>
      </c>
      <c r="L1232" s="29">
        <f>SUMIFS(Cash_Flow_3[Amount],Cash_Flow_3[Bulan],H1232,Cash_Flow_3[Type],"Out",Cash_Flow_3[Category],"Bathroom")</f>
        <v>0</v>
      </c>
      <c r="M1232" s="29">
        <f>SUMIFS(Cash_Flow_3[Amount],Cash_Flow_3[Bulan],H1232,Cash_Flow_3[Type],"Out",Cash_Flow_3[Category],"Alfa")</f>
        <v>0</v>
      </c>
      <c r="N1232" s="29">
        <f>SUMIFS(Cash_Flow_3[Amount],Cash_Flow_3[Bulan],H1232,Cash_Flow_3[Type],"Out",Cash_Flow_3[Category],"Jajan")</f>
        <v>0</v>
      </c>
      <c r="O1232" s="29">
        <f>SUMIFS(Cash_Flow_3[Amount],Cash_Flow_3[Bulan],H1232,Cash_Flow_3[Type],"Out",Cash_Flow_3[Category],"Kitchen")</f>
        <v>0</v>
      </c>
      <c r="P1232" s="29">
        <f>SUMIFS(Cash_Flow_3[Amount],Cash_Flow_3[Bulan],H1232,Cash_Flow_3[Type],"Out",Cash_Flow_3[Category],"Loandry")</f>
        <v>0</v>
      </c>
      <c r="Q1232" s="29">
        <f>SUMIFS(Cash_Flow_3[Amount],Cash_Flow_3[Bulan],H1232,Cash_Flow_3[Type],"Out",Cash_Flow_3[Category],"Mio")</f>
        <v>0</v>
      </c>
      <c r="R1232" s="29">
        <f>SUMIFS(Cash_Flow_3[Amount],Cash_Flow_3[Bulan],H1232,Cash_Flow_3[Type],"Out",Cash_Flow_3[Category],"Sedekah")</f>
        <v>0</v>
      </c>
      <c r="S1232" s="29">
        <f>SUMIFS(Cash_Flow_3[Amount],Cash_Flow_3[Bulan],H1232,Cash_Flow_3[Type],"Out",Cash_Flow_3[Category],"Zela")</f>
        <v>0</v>
      </c>
      <c r="T1232" s="29">
        <f>SUMIFS(Cash_Flow_3[Amount],Cash_Flow_3[Bulan],H1232,Cash_Flow_3[Type],"Out",Cash_Flow_3[Category],"Iqbal")</f>
        <v>0</v>
      </c>
    </row>
    <row r="1233" spans="1:20" ht="22.5" customHeight="1" x14ac:dyDescent="0.2">
      <c r="A1233" s="23"/>
      <c r="B1233" s="24"/>
      <c r="C1233" s="25"/>
      <c r="D1233" s="25"/>
      <c r="E1233" s="25"/>
      <c r="F1233" s="26"/>
      <c r="G1233" s="27"/>
      <c r="H1233" s="28" t="str">
        <f t="shared" si="0"/>
        <v/>
      </c>
      <c r="I1233" s="29">
        <f>SUMIFS(Cash_Flow_3[Amount],Cash_Flow_3[Bulan],H1233,Cash_Flow_3[Type],"In")</f>
        <v>0</v>
      </c>
      <c r="J1233" s="29">
        <f>SUMIFS(Cash_Flow_3[Amount],Cash_Flow_3[Bulan],H1233,Cash_Flow_3[Type],"Out")</f>
        <v>0</v>
      </c>
      <c r="K1233" s="29">
        <f>SUMIFS(Cash_Flow_3[Amount],Cash_Flow_3[Bulan],H1233,Cash_Flow_3[Type],"Out",Cash_Flow_3[Category],"Fix")</f>
        <v>0</v>
      </c>
      <c r="L1233" s="29">
        <f>SUMIFS(Cash_Flow_3[Amount],Cash_Flow_3[Bulan],H1233,Cash_Flow_3[Type],"Out",Cash_Flow_3[Category],"Bathroom")</f>
        <v>0</v>
      </c>
      <c r="M1233" s="29">
        <f>SUMIFS(Cash_Flow_3[Amount],Cash_Flow_3[Bulan],H1233,Cash_Flow_3[Type],"Out",Cash_Flow_3[Category],"Alfa")</f>
        <v>0</v>
      </c>
      <c r="N1233" s="29">
        <f>SUMIFS(Cash_Flow_3[Amount],Cash_Flow_3[Bulan],H1233,Cash_Flow_3[Type],"Out",Cash_Flow_3[Category],"Jajan")</f>
        <v>0</v>
      </c>
      <c r="O1233" s="29">
        <f>SUMIFS(Cash_Flow_3[Amount],Cash_Flow_3[Bulan],H1233,Cash_Flow_3[Type],"Out",Cash_Flow_3[Category],"Kitchen")</f>
        <v>0</v>
      </c>
      <c r="P1233" s="29">
        <f>SUMIFS(Cash_Flow_3[Amount],Cash_Flow_3[Bulan],H1233,Cash_Flow_3[Type],"Out",Cash_Flow_3[Category],"Loandry")</f>
        <v>0</v>
      </c>
      <c r="Q1233" s="29">
        <f>SUMIFS(Cash_Flow_3[Amount],Cash_Flow_3[Bulan],H1233,Cash_Flow_3[Type],"Out",Cash_Flow_3[Category],"Mio")</f>
        <v>0</v>
      </c>
      <c r="R1233" s="29">
        <f>SUMIFS(Cash_Flow_3[Amount],Cash_Flow_3[Bulan],H1233,Cash_Flow_3[Type],"Out",Cash_Flow_3[Category],"Sedekah")</f>
        <v>0</v>
      </c>
      <c r="S1233" s="29">
        <f>SUMIFS(Cash_Flow_3[Amount],Cash_Flow_3[Bulan],H1233,Cash_Flow_3[Type],"Out",Cash_Flow_3[Category],"Zela")</f>
        <v>0</v>
      </c>
      <c r="T1233" s="29">
        <f>SUMIFS(Cash_Flow_3[Amount],Cash_Flow_3[Bulan],H1233,Cash_Flow_3[Type],"Out",Cash_Flow_3[Category],"Iqbal")</f>
        <v>0</v>
      </c>
    </row>
    <row r="1234" spans="1:20" ht="22.5" customHeight="1" x14ac:dyDescent="0.2">
      <c r="A1234" s="23"/>
      <c r="B1234" s="24"/>
      <c r="C1234" s="25"/>
      <c r="D1234" s="25"/>
      <c r="E1234" s="25"/>
      <c r="F1234" s="26"/>
      <c r="G1234" s="27"/>
      <c r="H1234" s="28" t="str">
        <f t="shared" si="0"/>
        <v/>
      </c>
      <c r="I1234" s="29">
        <f>SUMIFS(Cash_Flow_3[Amount],Cash_Flow_3[Bulan],H1234,Cash_Flow_3[Type],"In")</f>
        <v>0</v>
      </c>
      <c r="J1234" s="29">
        <f>SUMIFS(Cash_Flow_3[Amount],Cash_Flow_3[Bulan],H1234,Cash_Flow_3[Type],"Out")</f>
        <v>0</v>
      </c>
      <c r="K1234" s="29">
        <f>SUMIFS(Cash_Flow_3[Amount],Cash_Flow_3[Bulan],H1234,Cash_Flow_3[Type],"Out",Cash_Flow_3[Category],"Fix")</f>
        <v>0</v>
      </c>
      <c r="L1234" s="29">
        <f>SUMIFS(Cash_Flow_3[Amount],Cash_Flow_3[Bulan],H1234,Cash_Flow_3[Type],"Out",Cash_Flow_3[Category],"Bathroom")</f>
        <v>0</v>
      </c>
      <c r="M1234" s="29">
        <f>SUMIFS(Cash_Flow_3[Amount],Cash_Flow_3[Bulan],H1234,Cash_Flow_3[Type],"Out",Cash_Flow_3[Category],"Alfa")</f>
        <v>0</v>
      </c>
      <c r="N1234" s="29">
        <f>SUMIFS(Cash_Flow_3[Amount],Cash_Flow_3[Bulan],H1234,Cash_Flow_3[Type],"Out",Cash_Flow_3[Category],"Jajan")</f>
        <v>0</v>
      </c>
      <c r="O1234" s="29">
        <f>SUMIFS(Cash_Flow_3[Amount],Cash_Flow_3[Bulan],H1234,Cash_Flow_3[Type],"Out",Cash_Flow_3[Category],"Kitchen")</f>
        <v>0</v>
      </c>
      <c r="P1234" s="29">
        <f>SUMIFS(Cash_Flow_3[Amount],Cash_Flow_3[Bulan],H1234,Cash_Flow_3[Type],"Out",Cash_Flow_3[Category],"Loandry")</f>
        <v>0</v>
      </c>
      <c r="Q1234" s="29">
        <f>SUMIFS(Cash_Flow_3[Amount],Cash_Flow_3[Bulan],H1234,Cash_Flow_3[Type],"Out",Cash_Flow_3[Category],"Mio")</f>
        <v>0</v>
      </c>
      <c r="R1234" s="29">
        <f>SUMIFS(Cash_Flow_3[Amount],Cash_Flow_3[Bulan],H1234,Cash_Flow_3[Type],"Out",Cash_Flow_3[Category],"Sedekah")</f>
        <v>0</v>
      </c>
      <c r="S1234" s="29">
        <f>SUMIFS(Cash_Flow_3[Amount],Cash_Flow_3[Bulan],H1234,Cash_Flow_3[Type],"Out",Cash_Flow_3[Category],"Zela")</f>
        <v>0</v>
      </c>
      <c r="T1234" s="29">
        <f>SUMIFS(Cash_Flow_3[Amount],Cash_Flow_3[Bulan],H1234,Cash_Flow_3[Type],"Out",Cash_Flow_3[Category],"Iqbal")</f>
        <v>0</v>
      </c>
    </row>
    <row r="1235" spans="1:20" ht="22.5" customHeight="1" x14ac:dyDescent="0.2">
      <c r="A1235" s="23"/>
      <c r="B1235" s="24"/>
      <c r="C1235" s="25"/>
      <c r="D1235" s="25"/>
      <c r="E1235" s="25"/>
      <c r="F1235" s="26"/>
      <c r="G1235" s="27"/>
      <c r="H1235" s="28" t="str">
        <f t="shared" si="0"/>
        <v/>
      </c>
      <c r="I1235" s="29">
        <f>SUMIFS(Cash_Flow_3[Amount],Cash_Flow_3[Bulan],H1235,Cash_Flow_3[Type],"In")</f>
        <v>0</v>
      </c>
      <c r="J1235" s="29">
        <f>SUMIFS(Cash_Flow_3[Amount],Cash_Flow_3[Bulan],H1235,Cash_Flow_3[Type],"Out")</f>
        <v>0</v>
      </c>
      <c r="K1235" s="29">
        <f>SUMIFS(Cash_Flow_3[Amount],Cash_Flow_3[Bulan],H1235,Cash_Flow_3[Type],"Out",Cash_Flow_3[Category],"Fix")</f>
        <v>0</v>
      </c>
      <c r="L1235" s="29">
        <f>SUMIFS(Cash_Flow_3[Amount],Cash_Flow_3[Bulan],H1235,Cash_Flow_3[Type],"Out",Cash_Flow_3[Category],"Bathroom")</f>
        <v>0</v>
      </c>
      <c r="M1235" s="29">
        <f>SUMIFS(Cash_Flow_3[Amount],Cash_Flow_3[Bulan],H1235,Cash_Flow_3[Type],"Out",Cash_Flow_3[Category],"Alfa")</f>
        <v>0</v>
      </c>
      <c r="N1235" s="29">
        <f>SUMIFS(Cash_Flow_3[Amount],Cash_Flow_3[Bulan],H1235,Cash_Flow_3[Type],"Out",Cash_Flow_3[Category],"Jajan")</f>
        <v>0</v>
      </c>
      <c r="O1235" s="29">
        <f>SUMIFS(Cash_Flow_3[Amount],Cash_Flow_3[Bulan],H1235,Cash_Flow_3[Type],"Out",Cash_Flow_3[Category],"Kitchen")</f>
        <v>0</v>
      </c>
      <c r="P1235" s="29">
        <f>SUMIFS(Cash_Flow_3[Amount],Cash_Flow_3[Bulan],H1235,Cash_Flow_3[Type],"Out",Cash_Flow_3[Category],"Loandry")</f>
        <v>0</v>
      </c>
      <c r="Q1235" s="29">
        <f>SUMIFS(Cash_Flow_3[Amount],Cash_Flow_3[Bulan],H1235,Cash_Flow_3[Type],"Out",Cash_Flow_3[Category],"Mio")</f>
        <v>0</v>
      </c>
      <c r="R1235" s="29">
        <f>SUMIFS(Cash_Flow_3[Amount],Cash_Flow_3[Bulan],H1235,Cash_Flow_3[Type],"Out",Cash_Flow_3[Category],"Sedekah")</f>
        <v>0</v>
      </c>
      <c r="S1235" s="29">
        <f>SUMIFS(Cash_Flow_3[Amount],Cash_Flow_3[Bulan],H1235,Cash_Flow_3[Type],"Out",Cash_Flow_3[Category],"Zela")</f>
        <v>0</v>
      </c>
      <c r="T1235" s="29">
        <f>SUMIFS(Cash_Flow_3[Amount],Cash_Flow_3[Bulan],H1235,Cash_Flow_3[Type],"Out",Cash_Flow_3[Category],"Iqbal")</f>
        <v>0</v>
      </c>
    </row>
    <row r="1236" spans="1:20" ht="22.5" customHeight="1" x14ac:dyDescent="0.2">
      <c r="A1236" s="23"/>
      <c r="B1236" s="24"/>
      <c r="C1236" s="25"/>
      <c r="D1236" s="25"/>
      <c r="E1236" s="25"/>
      <c r="F1236" s="26"/>
      <c r="G1236" s="27"/>
      <c r="H1236" s="28" t="str">
        <f t="shared" si="0"/>
        <v/>
      </c>
      <c r="I1236" s="29">
        <f>SUMIFS(Cash_Flow_3[Amount],Cash_Flow_3[Bulan],H1236,Cash_Flow_3[Type],"In")</f>
        <v>0</v>
      </c>
      <c r="J1236" s="29">
        <f>SUMIFS(Cash_Flow_3[Amount],Cash_Flow_3[Bulan],H1236,Cash_Flow_3[Type],"Out")</f>
        <v>0</v>
      </c>
      <c r="K1236" s="29">
        <f>SUMIFS(Cash_Flow_3[Amount],Cash_Flow_3[Bulan],H1236,Cash_Flow_3[Type],"Out",Cash_Flow_3[Category],"Fix")</f>
        <v>0</v>
      </c>
      <c r="L1236" s="29">
        <f>SUMIFS(Cash_Flow_3[Amount],Cash_Flow_3[Bulan],H1236,Cash_Flow_3[Type],"Out",Cash_Flow_3[Category],"Bathroom")</f>
        <v>0</v>
      </c>
      <c r="M1236" s="29">
        <f>SUMIFS(Cash_Flow_3[Amount],Cash_Flow_3[Bulan],H1236,Cash_Flow_3[Type],"Out",Cash_Flow_3[Category],"Alfa")</f>
        <v>0</v>
      </c>
      <c r="N1236" s="29">
        <f>SUMIFS(Cash_Flow_3[Amount],Cash_Flow_3[Bulan],H1236,Cash_Flow_3[Type],"Out",Cash_Flow_3[Category],"Jajan")</f>
        <v>0</v>
      </c>
      <c r="O1236" s="29">
        <f>SUMIFS(Cash_Flow_3[Amount],Cash_Flow_3[Bulan],H1236,Cash_Flow_3[Type],"Out",Cash_Flow_3[Category],"Kitchen")</f>
        <v>0</v>
      </c>
      <c r="P1236" s="29">
        <f>SUMIFS(Cash_Flow_3[Amount],Cash_Flow_3[Bulan],H1236,Cash_Flow_3[Type],"Out",Cash_Flow_3[Category],"Loandry")</f>
        <v>0</v>
      </c>
      <c r="Q1236" s="29">
        <f>SUMIFS(Cash_Flow_3[Amount],Cash_Flow_3[Bulan],H1236,Cash_Flow_3[Type],"Out",Cash_Flow_3[Category],"Mio")</f>
        <v>0</v>
      </c>
      <c r="R1236" s="29">
        <f>SUMIFS(Cash_Flow_3[Amount],Cash_Flow_3[Bulan],H1236,Cash_Flow_3[Type],"Out",Cash_Flow_3[Category],"Sedekah")</f>
        <v>0</v>
      </c>
      <c r="S1236" s="29">
        <f>SUMIFS(Cash_Flow_3[Amount],Cash_Flow_3[Bulan],H1236,Cash_Flow_3[Type],"Out",Cash_Flow_3[Category],"Zela")</f>
        <v>0</v>
      </c>
      <c r="T1236" s="29">
        <f>SUMIFS(Cash_Flow_3[Amount],Cash_Flow_3[Bulan],H1236,Cash_Flow_3[Type],"Out",Cash_Flow_3[Category],"Iqbal")</f>
        <v>0</v>
      </c>
    </row>
    <row r="1237" spans="1:20" ht="22.5" customHeight="1" x14ac:dyDescent="0.2">
      <c r="A1237" s="23"/>
      <c r="B1237" s="24"/>
      <c r="C1237" s="25"/>
      <c r="D1237" s="25"/>
      <c r="E1237" s="25"/>
      <c r="F1237" s="26"/>
      <c r="G1237" s="27"/>
      <c r="H1237" s="28" t="str">
        <f t="shared" si="0"/>
        <v/>
      </c>
      <c r="I1237" s="29">
        <f>SUMIFS(Cash_Flow_3[Amount],Cash_Flow_3[Bulan],H1237,Cash_Flow_3[Type],"In")</f>
        <v>0</v>
      </c>
      <c r="J1237" s="29">
        <f>SUMIFS(Cash_Flow_3[Amount],Cash_Flow_3[Bulan],H1237,Cash_Flow_3[Type],"Out")</f>
        <v>0</v>
      </c>
      <c r="K1237" s="29">
        <f>SUMIFS(Cash_Flow_3[Amount],Cash_Flow_3[Bulan],H1237,Cash_Flow_3[Type],"Out",Cash_Flow_3[Category],"Fix")</f>
        <v>0</v>
      </c>
      <c r="L1237" s="29">
        <f>SUMIFS(Cash_Flow_3[Amount],Cash_Flow_3[Bulan],H1237,Cash_Flow_3[Type],"Out",Cash_Flow_3[Category],"Bathroom")</f>
        <v>0</v>
      </c>
      <c r="M1237" s="29">
        <f>SUMIFS(Cash_Flow_3[Amount],Cash_Flow_3[Bulan],H1237,Cash_Flow_3[Type],"Out",Cash_Flow_3[Category],"Alfa")</f>
        <v>0</v>
      </c>
      <c r="N1237" s="29">
        <f>SUMIFS(Cash_Flow_3[Amount],Cash_Flow_3[Bulan],H1237,Cash_Flow_3[Type],"Out",Cash_Flow_3[Category],"Jajan")</f>
        <v>0</v>
      </c>
      <c r="O1237" s="29">
        <f>SUMIFS(Cash_Flow_3[Amount],Cash_Flow_3[Bulan],H1237,Cash_Flow_3[Type],"Out",Cash_Flow_3[Category],"Kitchen")</f>
        <v>0</v>
      </c>
      <c r="P1237" s="29">
        <f>SUMIFS(Cash_Flow_3[Amount],Cash_Flow_3[Bulan],H1237,Cash_Flow_3[Type],"Out",Cash_Flow_3[Category],"Loandry")</f>
        <v>0</v>
      </c>
      <c r="Q1237" s="29">
        <f>SUMIFS(Cash_Flow_3[Amount],Cash_Flow_3[Bulan],H1237,Cash_Flow_3[Type],"Out",Cash_Flow_3[Category],"Mio")</f>
        <v>0</v>
      </c>
      <c r="R1237" s="29">
        <f>SUMIFS(Cash_Flow_3[Amount],Cash_Flow_3[Bulan],H1237,Cash_Flow_3[Type],"Out",Cash_Flow_3[Category],"Sedekah")</f>
        <v>0</v>
      </c>
      <c r="S1237" s="29">
        <f>SUMIFS(Cash_Flow_3[Amount],Cash_Flow_3[Bulan],H1237,Cash_Flow_3[Type],"Out",Cash_Flow_3[Category],"Zela")</f>
        <v>0</v>
      </c>
      <c r="T1237" s="29">
        <f>SUMIFS(Cash_Flow_3[Amount],Cash_Flow_3[Bulan],H1237,Cash_Flow_3[Type],"Out",Cash_Flow_3[Category],"Iqbal")</f>
        <v>0</v>
      </c>
    </row>
    <row r="1238" spans="1:20" ht="22.5" customHeight="1" x14ac:dyDescent="0.2">
      <c r="A1238" s="23"/>
      <c r="B1238" s="24"/>
      <c r="C1238" s="25"/>
      <c r="D1238" s="25"/>
      <c r="E1238" s="25"/>
      <c r="F1238" s="26"/>
      <c r="G1238" s="27"/>
      <c r="H1238" s="28" t="str">
        <f t="shared" si="0"/>
        <v/>
      </c>
      <c r="I1238" s="29">
        <f>SUMIFS(Cash_Flow_3[Amount],Cash_Flow_3[Bulan],H1238,Cash_Flow_3[Type],"In")</f>
        <v>0</v>
      </c>
      <c r="J1238" s="29">
        <f>SUMIFS(Cash_Flow_3[Amount],Cash_Flow_3[Bulan],H1238,Cash_Flow_3[Type],"Out")</f>
        <v>0</v>
      </c>
      <c r="K1238" s="29">
        <f>SUMIFS(Cash_Flow_3[Amount],Cash_Flow_3[Bulan],H1238,Cash_Flow_3[Type],"Out",Cash_Flow_3[Category],"Fix")</f>
        <v>0</v>
      </c>
      <c r="L1238" s="29">
        <f>SUMIFS(Cash_Flow_3[Amount],Cash_Flow_3[Bulan],H1238,Cash_Flow_3[Type],"Out",Cash_Flow_3[Category],"Bathroom")</f>
        <v>0</v>
      </c>
      <c r="M1238" s="29">
        <f>SUMIFS(Cash_Flow_3[Amount],Cash_Flow_3[Bulan],H1238,Cash_Flow_3[Type],"Out",Cash_Flow_3[Category],"Alfa")</f>
        <v>0</v>
      </c>
      <c r="N1238" s="29">
        <f>SUMIFS(Cash_Flow_3[Amount],Cash_Flow_3[Bulan],H1238,Cash_Flow_3[Type],"Out",Cash_Flow_3[Category],"Jajan")</f>
        <v>0</v>
      </c>
      <c r="O1238" s="29">
        <f>SUMIFS(Cash_Flow_3[Amount],Cash_Flow_3[Bulan],H1238,Cash_Flow_3[Type],"Out",Cash_Flow_3[Category],"Kitchen")</f>
        <v>0</v>
      </c>
      <c r="P1238" s="29">
        <f>SUMIFS(Cash_Flow_3[Amount],Cash_Flow_3[Bulan],H1238,Cash_Flow_3[Type],"Out",Cash_Flow_3[Category],"Loandry")</f>
        <v>0</v>
      </c>
      <c r="Q1238" s="29">
        <f>SUMIFS(Cash_Flow_3[Amount],Cash_Flow_3[Bulan],H1238,Cash_Flow_3[Type],"Out",Cash_Flow_3[Category],"Mio")</f>
        <v>0</v>
      </c>
      <c r="R1238" s="29">
        <f>SUMIFS(Cash_Flow_3[Amount],Cash_Flow_3[Bulan],H1238,Cash_Flow_3[Type],"Out",Cash_Flow_3[Category],"Sedekah")</f>
        <v>0</v>
      </c>
      <c r="S1238" s="29">
        <f>SUMIFS(Cash_Flow_3[Amount],Cash_Flow_3[Bulan],H1238,Cash_Flow_3[Type],"Out",Cash_Flow_3[Category],"Zela")</f>
        <v>0</v>
      </c>
      <c r="T1238" s="29">
        <f>SUMIFS(Cash_Flow_3[Amount],Cash_Flow_3[Bulan],H1238,Cash_Flow_3[Type],"Out",Cash_Flow_3[Category],"Iqbal")</f>
        <v>0</v>
      </c>
    </row>
    <row r="1239" spans="1:20" ht="22.5" customHeight="1" x14ac:dyDescent="0.2">
      <c r="A1239" s="23"/>
      <c r="B1239" s="24"/>
      <c r="C1239" s="25"/>
      <c r="D1239" s="25"/>
      <c r="E1239" s="25"/>
      <c r="F1239" s="26"/>
      <c r="G1239" s="27"/>
      <c r="H1239" s="28" t="str">
        <f t="shared" si="0"/>
        <v/>
      </c>
      <c r="I1239" s="29">
        <f>SUMIFS(Cash_Flow_3[Amount],Cash_Flow_3[Bulan],H1239,Cash_Flow_3[Type],"In")</f>
        <v>0</v>
      </c>
      <c r="J1239" s="29">
        <f>SUMIFS(Cash_Flow_3[Amount],Cash_Flow_3[Bulan],H1239,Cash_Flow_3[Type],"Out")</f>
        <v>0</v>
      </c>
      <c r="K1239" s="29">
        <f>SUMIFS(Cash_Flow_3[Amount],Cash_Flow_3[Bulan],H1239,Cash_Flow_3[Type],"Out",Cash_Flow_3[Category],"Fix")</f>
        <v>0</v>
      </c>
      <c r="L1239" s="29">
        <f>SUMIFS(Cash_Flow_3[Amount],Cash_Flow_3[Bulan],H1239,Cash_Flow_3[Type],"Out",Cash_Flow_3[Category],"Bathroom")</f>
        <v>0</v>
      </c>
      <c r="M1239" s="29">
        <f>SUMIFS(Cash_Flow_3[Amount],Cash_Flow_3[Bulan],H1239,Cash_Flow_3[Type],"Out",Cash_Flow_3[Category],"Alfa")</f>
        <v>0</v>
      </c>
      <c r="N1239" s="29">
        <f>SUMIFS(Cash_Flow_3[Amount],Cash_Flow_3[Bulan],H1239,Cash_Flow_3[Type],"Out",Cash_Flow_3[Category],"Jajan")</f>
        <v>0</v>
      </c>
      <c r="O1239" s="29">
        <f>SUMIFS(Cash_Flow_3[Amount],Cash_Flow_3[Bulan],H1239,Cash_Flow_3[Type],"Out",Cash_Flow_3[Category],"Kitchen")</f>
        <v>0</v>
      </c>
      <c r="P1239" s="29">
        <f>SUMIFS(Cash_Flow_3[Amount],Cash_Flow_3[Bulan],H1239,Cash_Flow_3[Type],"Out",Cash_Flow_3[Category],"Loandry")</f>
        <v>0</v>
      </c>
      <c r="Q1239" s="29">
        <f>SUMIFS(Cash_Flow_3[Amount],Cash_Flow_3[Bulan],H1239,Cash_Flow_3[Type],"Out",Cash_Flow_3[Category],"Mio")</f>
        <v>0</v>
      </c>
      <c r="R1239" s="29">
        <f>SUMIFS(Cash_Flow_3[Amount],Cash_Flow_3[Bulan],H1239,Cash_Flow_3[Type],"Out",Cash_Flow_3[Category],"Sedekah")</f>
        <v>0</v>
      </c>
      <c r="S1239" s="29">
        <f>SUMIFS(Cash_Flow_3[Amount],Cash_Flow_3[Bulan],H1239,Cash_Flow_3[Type],"Out",Cash_Flow_3[Category],"Zela")</f>
        <v>0</v>
      </c>
      <c r="T1239" s="29">
        <f>SUMIFS(Cash_Flow_3[Amount],Cash_Flow_3[Bulan],H1239,Cash_Flow_3[Type],"Out",Cash_Flow_3[Category],"Iqbal")</f>
        <v>0</v>
      </c>
    </row>
    <row r="1240" spans="1:20" ht="22.5" customHeight="1" x14ac:dyDescent="0.2">
      <c r="A1240" s="23"/>
      <c r="B1240" s="24"/>
      <c r="C1240" s="25"/>
      <c r="D1240" s="25"/>
      <c r="E1240" s="25"/>
      <c r="F1240" s="26"/>
      <c r="G1240" s="27"/>
      <c r="H1240" s="28" t="str">
        <f t="shared" si="0"/>
        <v/>
      </c>
      <c r="I1240" s="29">
        <f>SUMIFS(Cash_Flow_3[Amount],Cash_Flow_3[Bulan],H1240,Cash_Flow_3[Type],"In")</f>
        <v>0</v>
      </c>
      <c r="J1240" s="29">
        <f>SUMIFS(Cash_Flow_3[Amount],Cash_Flow_3[Bulan],H1240,Cash_Flow_3[Type],"Out")</f>
        <v>0</v>
      </c>
      <c r="K1240" s="29">
        <f>SUMIFS(Cash_Flow_3[Amount],Cash_Flow_3[Bulan],H1240,Cash_Flow_3[Type],"Out",Cash_Flow_3[Category],"Fix")</f>
        <v>0</v>
      </c>
      <c r="L1240" s="29">
        <f>SUMIFS(Cash_Flow_3[Amount],Cash_Flow_3[Bulan],H1240,Cash_Flow_3[Type],"Out",Cash_Flow_3[Category],"Bathroom")</f>
        <v>0</v>
      </c>
      <c r="M1240" s="29">
        <f>SUMIFS(Cash_Flow_3[Amount],Cash_Flow_3[Bulan],H1240,Cash_Flow_3[Type],"Out",Cash_Flow_3[Category],"Alfa")</f>
        <v>0</v>
      </c>
      <c r="N1240" s="29">
        <f>SUMIFS(Cash_Flow_3[Amount],Cash_Flow_3[Bulan],H1240,Cash_Flow_3[Type],"Out",Cash_Flow_3[Category],"Jajan")</f>
        <v>0</v>
      </c>
      <c r="O1240" s="29">
        <f>SUMIFS(Cash_Flow_3[Amount],Cash_Flow_3[Bulan],H1240,Cash_Flow_3[Type],"Out",Cash_Flow_3[Category],"Kitchen")</f>
        <v>0</v>
      </c>
      <c r="P1240" s="29">
        <f>SUMIFS(Cash_Flow_3[Amount],Cash_Flow_3[Bulan],H1240,Cash_Flow_3[Type],"Out",Cash_Flow_3[Category],"Loandry")</f>
        <v>0</v>
      </c>
      <c r="Q1240" s="29">
        <f>SUMIFS(Cash_Flow_3[Amount],Cash_Flow_3[Bulan],H1240,Cash_Flow_3[Type],"Out",Cash_Flow_3[Category],"Mio")</f>
        <v>0</v>
      </c>
      <c r="R1240" s="29">
        <f>SUMIFS(Cash_Flow_3[Amount],Cash_Flow_3[Bulan],H1240,Cash_Flow_3[Type],"Out",Cash_Flow_3[Category],"Sedekah")</f>
        <v>0</v>
      </c>
      <c r="S1240" s="29">
        <f>SUMIFS(Cash_Flow_3[Amount],Cash_Flow_3[Bulan],H1240,Cash_Flow_3[Type],"Out",Cash_Flow_3[Category],"Zela")</f>
        <v>0</v>
      </c>
      <c r="T1240" s="29">
        <f>SUMIFS(Cash_Flow_3[Amount],Cash_Flow_3[Bulan],H1240,Cash_Flow_3[Type],"Out",Cash_Flow_3[Category],"Iqbal")</f>
        <v>0</v>
      </c>
    </row>
    <row r="1241" spans="1:20" ht="22.5" customHeight="1" x14ac:dyDescent="0.2">
      <c r="A1241" s="23"/>
      <c r="B1241" s="24"/>
      <c r="C1241" s="25"/>
      <c r="D1241" s="25"/>
      <c r="E1241" s="25"/>
      <c r="F1241" s="26"/>
      <c r="G1241" s="27"/>
      <c r="H1241" s="28" t="str">
        <f t="shared" si="0"/>
        <v/>
      </c>
      <c r="I1241" s="29">
        <f>SUMIFS(Cash_Flow_3[Amount],Cash_Flow_3[Bulan],H1241,Cash_Flow_3[Type],"In")</f>
        <v>0</v>
      </c>
      <c r="J1241" s="29">
        <f>SUMIFS(Cash_Flow_3[Amount],Cash_Flow_3[Bulan],H1241,Cash_Flow_3[Type],"Out")</f>
        <v>0</v>
      </c>
      <c r="K1241" s="29">
        <f>SUMIFS(Cash_Flow_3[Amount],Cash_Flow_3[Bulan],H1241,Cash_Flow_3[Type],"Out",Cash_Flow_3[Category],"Fix")</f>
        <v>0</v>
      </c>
      <c r="L1241" s="29">
        <f>SUMIFS(Cash_Flow_3[Amount],Cash_Flow_3[Bulan],H1241,Cash_Flow_3[Type],"Out",Cash_Flow_3[Category],"Bathroom")</f>
        <v>0</v>
      </c>
      <c r="M1241" s="29">
        <f>SUMIFS(Cash_Flow_3[Amount],Cash_Flow_3[Bulan],H1241,Cash_Flow_3[Type],"Out",Cash_Flow_3[Category],"Alfa")</f>
        <v>0</v>
      </c>
      <c r="N1241" s="29">
        <f>SUMIFS(Cash_Flow_3[Amount],Cash_Flow_3[Bulan],H1241,Cash_Flow_3[Type],"Out",Cash_Flow_3[Category],"Jajan")</f>
        <v>0</v>
      </c>
      <c r="O1241" s="29">
        <f>SUMIFS(Cash_Flow_3[Amount],Cash_Flow_3[Bulan],H1241,Cash_Flow_3[Type],"Out",Cash_Flow_3[Category],"Kitchen")</f>
        <v>0</v>
      </c>
      <c r="P1241" s="29">
        <f>SUMIFS(Cash_Flow_3[Amount],Cash_Flow_3[Bulan],H1241,Cash_Flow_3[Type],"Out",Cash_Flow_3[Category],"Loandry")</f>
        <v>0</v>
      </c>
      <c r="Q1241" s="29">
        <f>SUMIFS(Cash_Flow_3[Amount],Cash_Flow_3[Bulan],H1241,Cash_Flow_3[Type],"Out",Cash_Flow_3[Category],"Mio")</f>
        <v>0</v>
      </c>
      <c r="R1241" s="29">
        <f>SUMIFS(Cash_Flow_3[Amount],Cash_Flow_3[Bulan],H1241,Cash_Flow_3[Type],"Out",Cash_Flow_3[Category],"Sedekah")</f>
        <v>0</v>
      </c>
      <c r="S1241" s="29">
        <f>SUMIFS(Cash_Flow_3[Amount],Cash_Flow_3[Bulan],H1241,Cash_Flow_3[Type],"Out",Cash_Flow_3[Category],"Zela")</f>
        <v>0</v>
      </c>
      <c r="T1241" s="29">
        <f>SUMIFS(Cash_Flow_3[Amount],Cash_Flow_3[Bulan],H1241,Cash_Flow_3[Type],"Out",Cash_Flow_3[Category],"Iqbal")</f>
        <v>0</v>
      </c>
    </row>
    <row r="1242" spans="1:20" ht="22.5" customHeight="1" x14ac:dyDescent="0.2">
      <c r="A1242" s="23"/>
      <c r="B1242" s="24"/>
      <c r="C1242" s="25"/>
      <c r="D1242" s="25"/>
      <c r="E1242" s="25"/>
      <c r="F1242" s="26"/>
      <c r="G1242" s="27"/>
      <c r="H1242" s="28" t="str">
        <f t="shared" si="0"/>
        <v/>
      </c>
      <c r="I1242" s="29">
        <f>SUMIFS(Cash_Flow_3[Amount],Cash_Flow_3[Bulan],H1242,Cash_Flow_3[Type],"In")</f>
        <v>0</v>
      </c>
      <c r="J1242" s="29">
        <f>SUMIFS(Cash_Flow_3[Amount],Cash_Flow_3[Bulan],H1242,Cash_Flow_3[Type],"Out")</f>
        <v>0</v>
      </c>
      <c r="K1242" s="29">
        <f>SUMIFS(Cash_Flow_3[Amount],Cash_Flow_3[Bulan],H1242,Cash_Flow_3[Type],"Out",Cash_Flow_3[Category],"Fix")</f>
        <v>0</v>
      </c>
      <c r="L1242" s="29">
        <f>SUMIFS(Cash_Flow_3[Amount],Cash_Flow_3[Bulan],H1242,Cash_Flow_3[Type],"Out",Cash_Flow_3[Category],"Bathroom")</f>
        <v>0</v>
      </c>
      <c r="M1242" s="29">
        <f>SUMIFS(Cash_Flow_3[Amount],Cash_Flow_3[Bulan],H1242,Cash_Flow_3[Type],"Out",Cash_Flow_3[Category],"Alfa")</f>
        <v>0</v>
      </c>
      <c r="N1242" s="29">
        <f>SUMIFS(Cash_Flow_3[Amount],Cash_Flow_3[Bulan],H1242,Cash_Flow_3[Type],"Out",Cash_Flow_3[Category],"Jajan")</f>
        <v>0</v>
      </c>
      <c r="O1242" s="29">
        <f>SUMIFS(Cash_Flow_3[Amount],Cash_Flow_3[Bulan],H1242,Cash_Flow_3[Type],"Out",Cash_Flow_3[Category],"Kitchen")</f>
        <v>0</v>
      </c>
      <c r="P1242" s="29">
        <f>SUMIFS(Cash_Flow_3[Amount],Cash_Flow_3[Bulan],H1242,Cash_Flow_3[Type],"Out",Cash_Flow_3[Category],"Loandry")</f>
        <v>0</v>
      </c>
      <c r="Q1242" s="29">
        <f>SUMIFS(Cash_Flow_3[Amount],Cash_Flow_3[Bulan],H1242,Cash_Flow_3[Type],"Out",Cash_Flow_3[Category],"Mio")</f>
        <v>0</v>
      </c>
      <c r="R1242" s="29">
        <f>SUMIFS(Cash_Flow_3[Amount],Cash_Flow_3[Bulan],H1242,Cash_Flow_3[Type],"Out",Cash_Flow_3[Category],"Sedekah")</f>
        <v>0</v>
      </c>
      <c r="S1242" s="29">
        <f>SUMIFS(Cash_Flow_3[Amount],Cash_Flow_3[Bulan],H1242,Cash_Flow_3[Type],"Out",Cash_Flow_3[Category],"Zela")</f>
        <v>0</v>
      </c>
      <c r="T1242" s="29">
        <f>SUMIFS(Cash_Flow_3[Amount],Cash_Flow_3[Bulan],H1242,Cash_Flow_3[Type],"Out",Cash_Flow_3[Category],"Iqbal")</f>
        <v>0</v>
      </c>
    </row>
    <row r="1243" spans="1:20" ht="22.5" customHeight="1" x14ac:dyDescent="0.2">
      <c r="A1243" s="23"/>
      <c r="B1243" s="24"/>
      <c r="C1243" s="25"/>
      <c r="D1243" s="25"/>
      <c r="E1243" s="25"/>
      <c r="F1243" s="26"/>
      <c r="G1243" s="27"/>
      <c r="H1243" s="28" t="str">
        <f t="shared" si="0"/>
        <v/>
      </c>
      <c r="I1243" s="29">
        <f>SUMIFS(Cash_Flow_3[Amount],Cash_Flow_3[Bulan],H1243,Cash_Flow_3[Type],"In")</f>
        <v>0</v>
      </c>
      <c r="J1243" s="29">
        <f>SUMIFS(Cash_Flow_3[Amount],Cash_Flow_3[Bulan],H1243,Cash_Flow_3[Type],"Out")</f>
        <v>0</v>
      </c>
      <c r="K1243" s="29">
        <f>SUMIFS(Cash_Flow_3[Amount],Cash_Flow_3[Bulan],H1243,Cash_Flow_3[Type],"Out",Cash_Flow_3[Category],"Fix")</f>
        <v>0</v>
      </c>
      <c r="L1243" s="29">
        <f>SUMIFS(Cash_Flow_3[Amount],Cash_Flow_3[Bulan],H1243,Cash_Flow_3[Type],"Out",Cash_Flow_3[Category],"Bathroom")</f>
        <v>0</v>
      </c>
      <c r="M1243" s="29">
        <f>SUMIFS(Cash_Flow_3[Amount],Cash_Flow_3[Bulan],H1243,Cash_Flow_3[Type],"Out",Cash_Flow_3[Category],"Alfa")</f>
        <v>0</v>
      </c>
      <c r="N1243" s="29">
        <f>SUMIFS(Cash_Flow_3[Amount],Cash_Flow_3[Bulan],H1243,Cash_Flow_3[Type],"Out",Cash_Flow_3[Category],"Jajan")</f>
        <v>0</v>
      </c>
      <c r="O1243" s="29">
        <f>SUMIFS(Cash_Flow_3[Amount],Cash_Flow_3[Bulan],H1243,Cash_Flow_3[Type],"Out",Cash_Flow_3[Category],"Kitchen")</f>
        <v>0</v>
      </c>
      <c r="P1243" s="29">
        <f>SUMIFS(Cash_Flow_3[Amount],Cash_Flow_3[Bulan],H1243,Cash_Flow_3[Type],"Out",Cash_Flow_3[Category],"Loandry")</f>
        <v>0</v>
      </c>
      <c r="Q1243" s="29">
        <f>SUMIFS(Cash_Flow_3[Amount],Cash_Flow_3[Bulan],H1243,Cash_Flow_3[Type],"Out",Cash_Flow_3[Category],"Mio")</f>
        <v>0</v>
      </c>
      <c r="R1243" s="29">
        <f>SUMIFS(Cash_Flow_3[Amount],Cash_Flow_3[Bulan],H1243,Cash_Flow_3[Type],"Out",Cash_Flow_3[Category],"Sedekah")</f>
        <v>0</v>
      </c>
      <c r="S1243" s="29">
        <f>SUMIFS(Cash_Flow_3[Amount],Cash_Flow_3[Bulan],H1243,Cash_Flow_3[Type],"Out",Cash_Flow_3[Category],"Zela")</f>
        <v>0</v>
      </c>
      <c r="T1243" s="29">
        <f>SUMIFS(Cash_Flow_3[Amount],Cash_Flow_3[Bulan],H1243,Cash_Flow_3[Type],"Out",Cash_Flow_3[Category],"Iqbal")</f>
        <v>0</v>
      </c>
    </row>
    <row r="1244" spans="1:20" ht="22.5" customHeight="1" x14ac:dyDescent="0.2">
      <c r="A1244" s="23"/>
      <c r="B1244" s="24"/>
      <c r="C1244" s="25"/>
      <c r="D1244" s="25"/>
      <c r="E1244" s="25"/>
      <c r="F1244" s="26"/>
      <c r="G1244" s="27"/>
      <c r="H1244" s="28" t="str">
        <f t="shared" si="0"/>
        <v/>
      </c>
      <c r="I1244" s="29">
        <f>SUMIFS(Cash_Flow_3[Amount],Cash_Flow_3[Bulan],H1244,Cash_Flow_3[Type],"In")</f>
        <v>0</v>
      </c>
      <c r="J1244" s="29">
        <f>SUMIFS(Cash_Flow_3[Amount],Cash_Flow_3[Bulan],H1244,Cash_Flow_3[Type],"Out")</f>
        <v>0</v>
      </c>
      <c r="K1244" s="29">
        <f>SUMIFS(Cash_Flow_3[Amount],Cash_Flow_3[Bulan],H1244,Cash_Flow_3[Type],"Out",Cash_Flow_3[Category],"Fix")</f>
        <v>0</v>
      </c>
      <c r="L1244" s="29">
        <f>SUMIFS(Cash_Flow_3[Amount],Cash_Flow_3[Bulan],H1244,Cash_Flow_3[Type],"Out",Cash_Flow_3[Category],"Bathroom")</f>
        <v>0</v>
      </c>
      <c r="M1244" s="29">
        <f>SUMIFS(Cash_Flow_3[Amount],Cash_Flow_3[Bulan],H1244,Cash_Flow_3[Type],"Out",Cash_Flow_3[Category],"Alfa")</f>
        <v>0</v>
      </c>
      <c r="N1244" s="29">
        <f>SUMIFS(Cash_Flow_3[Amount],Cash_Flow_3[Bulan],H1244,Cash_Flow_3[Type],"Out",Cash_Flow_3[Category],"Jajan")</f>
        <v>0</v>
      </c>
      <c r="O1244" s="29">
        <f>SUMIFS(Cash_Flow_3[Amount],Cash_Flow_3[Bulan],H1244,Cash_Flow_3[Type],"Out",Cash_Flow_3[Category],"Kitchen")</f>
        <v>0</v>
      </c>
      <c r="P1244" s="29">
        <f>SUMIFS(Cash_Flow_3[Amount],Cash_Flow_3[Bulan],H1244,Cash_Flow_3[Type],"Out",Cash_Flow_3[Category],"Loandry")</f>
        <v>0</v>
      </c>
      <c r="Q1244" s="29">
        <f>SUMIFS(Cash_Flow_3[Amount],Cash_Flow_3[Bulan],H1244,Cash_Flow_3[Type],"Out",Cash_Flow_3[Category],"Mio")</f>
        <v>0</v>
      </c>
      <c r="R1244" s="29">
        <f>SUMIFS(Cash_Flow_3[Amount],Cash_Flow_3[Bulan],H1244,Cash_Flow_3[Type],"Out",Cash_Flow_3[Category],"Sedekah")</f>
        <v>0</v>
      </c>
      <c r="S1244" s="29">
        <f>SUMIFS(Cash_Flow_3[Amount],Cash_Flow_3[Bulan],H1244,Cash_Flow_3[Type],"Out",Cash_Flow_3[Category],"Zela")</f>
        <v>0</v>
      </c>
      <c r="T1244" s="29">
        <f>SUMIFS(Cash_Flow_3[Amount],Cash_Flow_3[Bulan],H1244,Cash_Flow_3[Type],"Out",Cash_Flow_3[Category],"Iqbal")</f>
        <v>0</v>
      </c>
    </row>
    <row r="1245" spans="1:20" ht="22.5" customHeight="1" x14ac:dyDescent="0.2">
      <c r="A1245" s="23"/>
      <c r="B1245" s="24"/>
      <c r="C1245" s="25"/>
      <c r="D1245" s="25"/>
      <c r="E1245" s="25"/>
      <c r="F1245" s="26"/>
      <c r="G1245" s="27"/>
      <c r="H1245" s="28" t="str">
        <f t="shared" si="0"/>
        <v/>
      </c>
      <c r="I1245" s="29">
        <f>SUMIFS(Cash_Flow_3[Amount],Cash_Flow_3[Bulan],H1245,Cash_Flow_3[Type],"In")</f>
        <v>0</v>
      </c>
      <c r="J1245" s="29">
        <f>SUMIFS(Cash_Flow_3[Amount],Cash_Flow_3[Bulan],H1245,Cash_Flow_3[Type],"Out")</f>
        <v>0</v>
      </c>
      <c r="K1245" s="29">
        <f>SUMIFS(Cash_Flow_3[Amount],Cash_Flow_3[Bulan],H1245,Cash_Flow_3[Type],"Out",Cash_Flow_3[Category],"Fix")</f>
        <v>0</v>
      </c>
      <c r="L1245" s="29">
        <f>SUMIFS(Cash_Flow_3[Amount],Cash_Flow_3[Bulan],H1245,Cash_Flow_3[Type],"Out",Cash_Flow_3[Category],"Bathroom")</f>
        <v>0</v>
      </c>
      <c r="M1245" s="29">
        <f>SUMIFS(Cash_Flow_3[Amount],Cash_Flow_3[Bulan],H1245,Cash_Flow_3[Type],"Out",Cash_Flow_3[Category],"Alfa")</f>
        <v>0</v>
      </c>
      <c r="N1245" s="29">
        <f>SUMIFS(Cash_Flow_3[Amount],Cash_Flow_3[Bulan],H1245,Cash_Flow_3[Type],"Out",Cash_Flow_3[Category],"Jajan")</f>
        <v>0</v>
      </c>
      <c r="O1245" s="29">
        <f>SUMIFS(Cash_Flow_3[Amount],Cash_Flow_3[Bulan],H1245,Cash_Flow_3[Type],"Out",Cash_Flow_3[Category],"Kitchen")</f>
        <v>0</v>
      </c>
      <c r="P1245" s="29">
        <f>SUMIFS(Cash_Flow_3[Amount],Cash_Flow_3[Bulan],H1245,Cash_Flow_3[Type],"Out",Cash_Flow_3[Category],"Loandry")</f>
        <v>0</v>
      </c>
      <c r="Q1245" s="29">
        <f>SUMIFS(Cash_Flow_3[Amount],Cash_Flow_3[Bulan],H1245,Cash_Flow_3[Type],"Out",Cash_Flow_3[Category],"Mio")</f>
        <v>0</v>
      </c>
      <c r="R1245" s="29">
        <f>SUMIFS(Cash_Flow_3[Amount],Cash_Flow_3[Bulan],H1245,Cash_Flow_3[Type],"Out",Cash_Flow_3[Category],"Sedekah")</f>
        <v>0</v>
      </c>
      <c r="S1245" s="29">
        <f>SUMIFS(Cash_Flow_3[Amount],Cash_Flow_3[Bulan],H1245,Cash_Flow_3[Type],"Out",Cash_Flow_3[Category],"Zela")</f>
        <v>0</v>
      </c>
      <c r="T1245" s="29">
        <f>SUMIFS(Cash_Flow_3[Amount],Cash_Flow_3[Bulan],H1245,Cash_Flow_3[Type],"Out",Cash_Flow_3[Category],"Iqbal")</f>
        <v>0</v>
      </c>
    </row>
    <row r="1246" spans="1:20" ht="22.5" customHeight="1" x14ac:dyDescent="0.2">
      <c r="A1246" s="23"/>
      <c r="B1246" s="24"/>
      <c r="C1246" s="25"/>
      <c r="D1246" s="25"/>
      <c r="E1246" s="25"/>
      <c r="F1246" s="26"/>
      <c r="G1246" s="27"/>
      <c r="H1246" s="28" t="str">
        <f t="shared" si="0"/>
        <v/>
      </c>
      <c r="I1246" s="29">
        <f>SUMIFS(Cash_Flow_3[Amount],Cash_Flow_3[Bulan],H1246,Cash_Flow_3[Type],"In")</f>
        <v>0</v>
      </c>
      <c r="J1246" s="29">
        <f>SUMIFS(Cash_Flow_3[Amount],Cash_Flow_3[Bulan],H1246,Cash_Flow_3[Type],"Out")</f>
        <v>0</v>
      </c>
      <c r="K1246" s="29">
        <f>SUMIFS(Cash_Flow_3[Amount],Cash_Flow_3[Bulan],H1246,Cash_Flow_3[Type],"Out",Cash_Flow_3[Category],"Fix")</f>
        <v>0</v>
      </c>
      <c r="L1246" s="29">
        <f>SUMIFS(Cash_Flow_3[Amount],Cash_Flow_3[Bulan],H1246,Cash_Flow_3[Type],"Out",Cash_Flow_3[Category],"Bathroom")</f>
        <v>0</v>
      </c>
      <c r="M1246" s="29">
        <f>SUMIFS(Cash_Flow_3[Amount],Cash_Flow_3[Bulan],H1246,Cash_Flow_3[Type],"Out",Cash_Flow_3[Category],"Alfa")</f>
        <v>0</v>
      </c>
      <c r="N1246" s="29">
        <f>SUMIFS(Cash_Flow_3[Amount],Cash_Flow_3[Bulan],H1246,Cash_Flow_3[Type],"Out",Cash_Flow_3[Category],"Jajan")</f>
        <v>0</v>
      </c>
      <c r="O1246" s="29">
        <f>SUMIFS(Cash_Flow_3[Amount],Cash_Flow_3[Bulan],H1246,Cash_Flow_3[Type],"Out",Cash_Flow_3[Category],"Kitchen")</f>
        <v>0</v>
      </c>
      <c r="P1246" s="29">
        <f>SUMIFS(Cash_Flow_3[Amount],Cash_Flow_3[Bulan],H1246,Cash_Flow_3[Type],"Out",Cash_Flow_3[Category],"Loandry")</f>
        <v>0</v>
      </c>
      <c r="Q1246" s="29">
        <f>SUMIFS(Cash_Flow_3[Amount],Cash_Flow_3[Bulan],H1246,Cash_Flow_3[Type],"Out",Cash_Flow_3[Category],"Mio")</f>
        <v>0</v>
      </c>
      <c r="R1246" s="29">
        <f>SUMIFS(Cash_Flow_3[Amount],Cash_Flow_3[Bulan],H1246,Cash_Flow_3[Type],"Out",Cash_Flow_3[Category],"Sedekah")</f>
        <v>0</v>
      </c>
      <c r="S1246" s="29">
        <f>SUMIFS(Cash_Flow_3[Amount],Cash_Flow_3[Bulan],H1246,Cash_Flow_3[Type],"Out",Cash_Flow_3[Category],"Zela")</f>
        <v>0</v>
      </c>
      <c r="T1246" s="29">
        <f>SUMIFS(Cash_Flow_3[Amount],Cash_Flow_3[Bulan],H1246,Cash_Flow_3[Type],"Out",Cash_Flow_3[Category],"Iqbal")</f>
        <v>0</v>
      </c>
    </row>
    <row r="1247" spans="1:20" ht="22.5" customHeight="1" x14ac:dyDescent="0.2">
      <c r="A1247" s="23"/>
      <c r="B1247" s="24"/>
      <c r="C1247" s="25"/>
      <c r="D1247" s="25"/>
      <c r="E1247" s="25"/>
      <c r="F1247" s="26"/>
      <c r="G1247" s="27"/>
      <c r="H1247" s="28" t="str">
        <f t="shared" si="0"/>
        <v/>
      </c>
      <c r="I1247" s="29">
        <f>SUMIFS(Cash_Flow_3[Amount],Cash_Flow_3[Bulan],H1247,Cash_Flow_3[Type],"In")</f>
        <v>0</v>
      </c>
      <c r="J1247" s="29">
        <f>SUMIFS(Cash_Flow_3[Amount],Cash_Flow_3[Bulan],H1247,Cash_Flow_3[Type],"Out")</f>
        <v>0</v>
      </c>
      <c r="K1247" s="29">
        <f>SUMIFS(Cash_Flow_3[Amount],Cash_Flow_3[Bulan],H1247,Cash_Flow_3[Type],"Out",Cash_Flow_3[Category],"Fix")</f>
        <v>0</v>
      </c>
      <c r="L1247" s="29">
        <f>SUMIFS(Cash_Flow_3[Amount],Cash_Flow_3[Bulan],H1247,Cash_Flow_3[Type],"Out",Cash_Flow_3[Category],"Bathroom")</f>
        <v>0</v>
      </c>
      <c r="M1247" s="29">
        <f>SUMIFS(Cash_Flow_3[Amount],Cash_Flow_3[Bulan],H1247,Cash_Flow_3[Type],"Out",Cash_Flow_3[Category],"Alfa")</f>
        <v>0</v>
      </c>
      <c r="N1247" s="29">
        <f>SUMIFS(Cash_Flow_3[Amount],Cash_Flow_3[Bulan],H1247,Cash_Flow_3[Type],"Out",Cash_Flow_3[Category],"Jajan")</f>
        <v>0</v>
      </c>
      <c r="O1247" s="29">
        <f>SUMIFS(Cash_Flow_3[Amount],Cash_Flow_3[Bulan],H1247,Cash_Flow_3[Type],"Out",Cash_Flow_3[Category],"Kitchen")</f>
        <v>0</v>
      </c>
      <c r="P1247" s="29">
        <f>SUMIFS(Cash_Flow_3[Amount],Cash_Flow_3[Bulan],H1247,Cash_Flow_3[Type],"Out",Cash_Flow_3[Category],"Loandry")</f>
        <v>0</v>
      </c>
      <c r="Q1247" s="29">
        <f>SUMIFS(Cash_Flow_3[Amount],Cash_Flow_3[Bulan],H1247,Cash_Flow_3[Type],"Out",Cash_Flow_3[Category],"Mio")</f>
        <v>0</v>
      </c>
      <c r="R1247" s="29">
        <f>SUMIFS(Cash_Flow_3[Amount],Cash_Flow_3[Bulan],H1247,Cash_Flow_3[Type],"Out",Cash_Flow_3[Category],"Sedekah")</f>
        <v>0</v>
      </c>
      <c r="S1247" s="29">
        <f>SUMIFS(Cash_Flow_3[Amount],Cash_Flow_3[Bulan],H1247,Cash_Flow_3[Type],"Out",Cash_Flow_3[Category],"Zela")</f>
        <v>0</v>
      </c>
      <c r="T1247" s="29">
        <f>SUMIFS(Cash_Flow_3[Amount],Cash_Flow_3[Bulan],H1247,Cash_Flow_3[Type],"Out",Cash_Flow_3[Category],"Iqbal")</f>
        <v>0</v>
      </c>
    </row>
    <row r="1248" spans="1:20" ht="22.5" customHeight="1" x14ac:dyDescent="0.2">
      <c r="A1248" s="23"/>
      <c r="B1248" s="24"/>
      <c r="C1248" s="25"/>
      <c r="D1248" s="25"/>
      <c r="E1248" s="25"/>
      <c r="F1248" s="26"/>
      <c r="G1248" s="27"/>
      <c r="H1248" s="28" t="str">
        <f t="shared" si="0"/>
        <v/>
      </c>
      <c r="I1248" s="29">
        <f>SUMIFS(Cash_Flow_3[Amount],Cash_Flow_3[Bulan],H1248,Cash_Flow_3[Type],"In")</f>
        <v>0</v>
      </c>
      <c r="J1248" s="29">
        <f>SUMIFS(Cash_Flow_3[Amount],Cash_Flow_3[Bulan],H1248,Cash_Flow_3[Type],"Out")</f>
        <v>0</v>
      </c>
      <c r="K1248" s="29">
        <f>SUMIFS(Cash_Flow_3[Amount],Cash_Flow_3[Bulan],H1248,Cash_Flow_3[Type],"Out",Cash_Flow_3[Category],"Fix")</f>
        <v>0</v>
      </c>
      <c r="L1248" s="29">
        <f>SUMIFS(Cash_Flow_3[Amount],Cash_Flow_3[Bulan],H1248,Cash_Flow_3[Type],"Out",Cash_Flow_3[Category],"Bathroom")</f>
        <v>0</v>
      </c>
      <c r="M1248" s="29">
        <f>SUMIFS(Cash_Flow_3[Amount],Cash_Flow_3[Bulan],H1248,Cash_Flow_3[Type],"Out",Cash_Flow_3[Category],"Alfa")</f>
        <v>0</v>
      </c>
      <c r="N1248" s="29">
        <f>SUMIFS(Cash_Flow_3[Amount],Cash_Flow_3[Bulan],H1248,Cash_Flow_3[Type],"Out",Cash_Flow_3[Category],"Jajan")</f>
        <v>0</v>
      </c>
      <c r="O1248" s="29">
        <f>SUMIFS(Cash_Flow_3[Amount],Cash_Flow_3[Bulan],H1248,Cash_Flow_3[Type],"Out",Cash_Flow_3[Category],"Kitchen")</f>
        <v>0</v>
      </c>
      <c r="P1248" s="29">
        <f>SUMIFS(Cash_Flow_3[Amount],Cash_Flow_3[Bulan],H1248,Cash_Flow_3[Type],"Out",Cash_Flow_3[Category],"Loandry")</f>
        <v>0</v>
      </c>
      <c r="Q1248" s="29">
        <f>SUMIFS(Cash_Flow_3[Amount],Cash_Flow_3[Bulan],H1248,Cash_Flow_3[Type],"Out",Cash_Flow_3[Category],"Mio")</f>
        <v>0</v>
      </c>
      <c r="R1248" s="29">
        <f>SUMIFS(Cash_Flow_3[Amount],Cash_Flow_3[Bulan],H1248,Cash_Flow_3[Type],"Out",Cash_Flow_3[Category],"Sedekah")</f>
        <v>0</v>
      </c>
      <c r="S1248" s="29">
        <f>SUMIFS(Cash_Flow_3[Amount],Cash_Flow_3[Bulan],H1248,Cash_Flow_3[Type],"Out",Cash_Flow_3[Category],"Zela")</f>
        <v>0</v>
      </c>
      <c r="T1248" s="29">
        <f>SUMIFS(Cash_Flow_3[Amount],Cash_Flow_3[Bulan],H1248,Cash_Flow_3[Type],"Out",Cash_Flow_3[Category],"Iqbal")</f>
        <v>0</v>
      </c>
    </row>
    <row r="1249" spans="1:20" ht="22.5" customHeight="1" x14ac:dyDescent="0.2">
      <c r="A1249" s="23"/>
      <c r="B1249" s="24"/>
      <c r="C1249" s="25"/>
      <c r="D1249" s="25"/>
      <c r="E1249" s="25"/>
      <c r="F1249" s="26"/>
      <c r="G1249" s="27"/>
      <c r="H1249" s="28" t="str">
        <f t="shared" si="0"/>
        <v/>
      </c>
      <c r="I1249" s="29">
        <f>SUMIFS(Cash_Flow_3[Amount],Cash_Flow_3[Bulan],H1249,Cash_Flow_3[Type],"In")</f>
        <v>0</v>
      </c>
      <c r="J1249" s="29">
        <f>SUMIFS(Cash_Flow_3[Amount],Cash_Flow_3[Bulan],H1249,Cash_Flow_3[Type],"Out")</f>
        <v>0</v>
      </c>
      <c r="K1249" s="29">
        <f>SUMIFS(Cash_Flow_3[Amount],Cash_Flow_3[Bulan],H1249,Cash_Flow_3[Type],"Out",Cash_Flow_3[Category],"Fix")</f>
        <v>0</v>
      </c>
      <c r="L1249" s="29">
        <f>SUMIFS(Cash_Flow_3[Amount],Cash_Flow_3[Bulan],H1249,Cash_Flow_3[Type],"Out",Cash_Flow_3[Category],"Bathroom")</f>
        <v>0</v>
      </c>
      <c r="M1249" s="29">
        <f>SUMIFS(Cash_Flow_3[Amount],Cash_Flow_3[Bulan],H1249,Cash_Flow_3[Type],"Out",Cash_Flow_3[Category],"Alfa")</f>
        <v>0</v>
      </c>
      <c r="N1249" s="29">
        <f>SUMIFS(Cash_Flow_3[Amount],Cash_Flow_3[Bulan],H1249,Cash_Flow_3[Type],"Out",Cash_Flow_3[Category],"Jajan")</f>
        <v>0</v>
      </c>
      <c r="O1249" s="29">
        <f>SUMIFS(Cash_Flow_3[Amount],Cash_Flow_3[Bulan],H1249,Cash_Flow_3[Type],"Out",Cash_Flow_3[Category],"Kitchen")</f>
        <v>0</v>
      </c>
      <c r="P1249" s="29">
        <f>SUMIFS(Cash_Flow_3[Amount],Cash_Flow_3[Bulan],H1249,Cash_Flow_3[Type],"Out",Cash_Flow_3[Category],"Loandry")</f>
        <v>0</v>
      </c>
      <c r="Q1249" s="29">
        <f>SUMIFS(Cash_Flow_3[Amount],Cash_Flow_3[Bulan],H1249,Cash_Flow_3[Type],"Out",Cash_Flow_3[Category],"Mio")</f>
        <v>0</v>
      </c>
      <c r="R1249" s="29">
        <f>SUMIFS(Cash_Flow_3[Amount],Cash_Flow_3[Bulan],H1249,Cash_Flow_3[Type],"Out",Cash_Flow_3[Category],"Sedekah")</f>
        <v>0</v>
      </c>
      <c r="S1249" s="29">
        <f>SUMIFS(Cash_Flow_3[Amount],Cash_Flow_3[Bulan],H1249,Cash_Flow_3[Type],"Out",Cash_Flow_3[Category],"Zela")</f>
        <v>0</v>
      </c>
      <c r="T1249" s="29">
        <f>SUMIFS(Cash_Flow_3[Amount],Cash_Flow_3[Bulan],H1249,Cash_Flow_3[Type],"Out",Cash_Flow_3[Category],"Iqbal")</f>
        <v>0</v>
      </c>
    </row>
    <row r="1250" spans="1:20" ht="22.5" customHeight="1" x14ac:dyDescent="0.2">
      <c r="A1250" s="23"/>
      <c r="B1250" s="24"/>
      <c r="C1250" s="25"/>
      <c r="D1250" s="25"/>
      <c r="E1250" s="25"/>
      <c r="F1250" s="26"/>
      <c r="G1250" s="27"/>
      <c r="H1250" s="28" t="str">
        <f t="shared" si="0"/>
        <v/>
      </c>
      <c r="I1250" s="29">
        <f>SUMIFS(Cash_Flow_3[Amount],Cash_Flow_3[Bulan],H1250,Cash_Flow_3[Type],"In")</f>
        <v>0</v>
      </c>
      <c r="J1250" s="29">
        <f>SUMIFS(Cash_Flow_3[Amount],Cash_Flow_3[Bulan],H1250,Cash_Flow_3[Type],"Out")</f>
        <v>0</v>
      </c>
      <c r="K1250" s="29">
        <f>SUMIFS(Cash_Flow_3[Amount],Cash_Flow_3[Bulan],H1250,Cash_Flow_3[Type],"Out",Cash_Flow_3[Category],"Fix")</f>
        <v>0</v>
      </c>
      <c r="L1250" s="29">
        <f>SUMIFS(Cash_Flow_3[Amount],Cash_Flow_3[Bulan],H1250,Cash_Flow_3[Type],"Out",Cash_Flow_3[Category],"Bathroom")</f>
        <v>0</v>
      </c>
      <c r="M1250" s="29">
        <f>SUMIFS(Cash_Flow_3[Amount],Cash_Flow_3[Bulan],H1250,Cash_Flow_3[Type],"Out",Cash_Flow_3[Category],"Alfa")</f>
        <v>0</v>
      </c>
      <c r="N1250" s="29">
        <f>SUMIFS(Cash_Flow_3[Amount],Cash_Flow_3[Bulan],H1250,Cash_Flow_3[Type],"Out",Cash_Flow_3[Category],"Jajan")</f>
        <v>0</v>
      </c>
      <c r="O1250" s="29">
        <f>SUMIFS(Cash_Flow_3[Amount],Cash_Flow_3[Bulan],H1250,Cash_Flow_3[Type],"Out",Cash_Flow_3[Category],"Kitchen")</f>
        <v>0</v>
      </c>
      <c r="P1250" s="29">
        <f>SUMIFS(Cash_Flow_3[Amount],Cash_Flow_3[Bulan],H1250,Cash_Flow_3[Type],"Out",Cash_Flow_3[Category],"Loandry")</f>
        <v>0</v>
      </c>
      <c r="Q1250" s="29">
        <f>SUMIFS(Cash_Flow_3[Amount],Cash_Flow_3[Bulan],H1250,Cash_Flow_3[Type],"Out",Cash_Flow_3[Category],"Mio")</f>
        <v>0</v>
      </c>
      <c r="R1250" s="29">
        <f>SUMIFS(Cash_Flow_3[Amount],Cash_Flow_3[Bulan],H1250,Cash_Flow_3[Type],"Out",Cash_Flow_3[Category],"Sedekah")</f>
        <v>0</v>
      </c>
      <c r="S1250" s="29">
        <f>SUMIFS(Cash_Flow_3[Amount],Cash_Flow_3[Bulan],H1250,Cash_Flow_3[Type],"Out",Cash_Flow_3[Category],"Zela")</f>
        <v>0</v>
      </c>
      <c r="T1250" s="29">
        <f>SUMIFS(Cash_Flow_3[Amount],Cash_Flow_3[Bulan],H1250,Cash_Flow_3[Type],"Out",Cash_Flow_3[Category],"Iqbal")</f>
        <v>0</v>
      </c>
    </row>
    <row r="1251" spans="1:20" ht="22.5" customHeight="1" x14ac:dyDescent="0.2">
      <c r="A1251" s="23"/>
      <c r="B1251" s="24"/>
      <c r="C1251" s="25"/>
      <c r="D1251" s="25"/>
      <c r="E1251" s="25"/>
      <c r="F1251" s="26"/>
      <c r="G1251" s="27"/>
      <c r="H1251" s="28" t="str">
        <f t="shared" si="0"/>
        <v/>
      </c>
      <c r="I1251" s="29">
        <f>SUMIFS(Cash_Flow_3[Amount],Cash_Flow_3[Bulan],H1251,Cash_Flow_3[Type],"In")</f>
        <v>0</v>
      </c>
      <c r="J1251" s="29">
        <f>SUMIFS(Cash_Flow_3[Amount],Cash_Flow_3[Bulan],H1251,Cash_Flow_3[Type],"Out")</f>
        <v>0</v>
      </c>
      <c r="K1251" s="29">
        <f>SUMIFS(Cash_Flow_3[Amount],Cash_Flow_3[Bulan],H1251,Cash_Flow_3[Type],"Out",Cash_Flow_3[Category],"Fix")</f>
        <v>0</v>
      </c>
      <c r="L1251" s="29">
        <f>SUMIFS(Cash_Flow_3[Amount],Cash_Flow_3[Bulan],H1251,Cash_Flow_3[Type],"Out",Cash_Flow_3[Category],"Bathroom")</f>
        <v>0</v>
      </c>
      <c r="M1251" s="29">
        <f>SUMIFS(Cash_Flow_3[Amount],Cash_Flow_3[Bulan],H1251,Cash_Flow_3[Type],"Out",Cash_Flow_3[Category],"Alfa")</f>
        <v>0</v>
      </c>
      <c r="N1251" s="29">
        <f>SUMIFS(Cash_Flow_3[Amount],Cash_Flow_3[Bulan],H1251,Cash_Flow_3[Type],"Out",Cash_Flow_3[Category],"Jajan")</f>
        <v>0</v>
      </c>
      <c r="O1251" s="29">
        <f>SUMIFS(Cash_Flow_3[Amount],Cash_Flow_3[Bulan],H1251,Cash_Flow_3[Type],"Out",Cash_Flow_3[Category],"Kitchen")</f>
        <v>0</v>
      </c>
      <c r="P1251" s="29">
        <f>SUMIFS(Cash_Flow_3[Amount],Cash_Flow_3[Bulan],H1251,Cash_Flow_3[Type],"Out",Cash_Flow_3[Category],"Loandry")</f>
        <v>0</v>
      </c>
      <c r="Q1251" s="29">
        <f>SUMIFS(Cash_Flow_3[Amount],Cash_Flow_3[Bulan],H1251,Cash_Flow_3[Type],"Out",Cash_Flow_3[Category],"Mio")</f>
        <v>0</v>
      </c>
      <c r="R1251" s="29">
        <f>SUMIFS(Cash_Flow_3[Amount],Cash_Flow_3[Bulan],H1251,Cash_Flow_3[Type],"Out",Cash_Flow_3[Category],"Sedekah")</f>
        <v>0</v>
      </c>
      <c r="S1251" s="29">
        <f>SUMIFS(Cash_Flow_3[Amount],Cash_Flow_3[Bulan],H1251,Cash_Flow_3[Type],"Out",Cash_Flow_3[Category],"Zela")</f>
        <v>0</v>
      </c>
      <c r="T1251" s="29">
        <f>SUMIFS(Cash_Flow_3[Amount],Cash_Flow_3[Bulan],H1251,Cash_Flow_3[Type],"Out",Cash_Flow_3[Category],"Iqbal")</f>
        <v>0</v>
      </c>
    </row>
    <row r="1252" spans="1:20" ht="22.5" customHeight="1" x14ac:dyDescent="0.2">
      <c r="A1252" s="23"/>
      <c r="B1252" s="24"/>
      <c r="C1252" s="25"/>
      <c r="D1252" s="25"/>
      <c r="E1252" s="25"/>
      <c r="F1252" s="26"/>
      <c r="G1252" s="27"/>
      <c r="H1252" s="28" t="str">
        <f t="shared" si="0"/>
        <v/>
      </c>
      <c r="I1252" s="29">
        <f>SUMIFS(Cash_Flow_3[Amount],Cash_Flow_3[Bulan],H1252,Cash_Flow_3[Type],"In")</f>
        <v>0</v>
      </c>
      <c r="J1252" s="29">
        <f>SUMIFS(Cash_Flow_3[Amount],Cash_Flow_3[Bulan],H1252,Cash_Flow_3[Type],"Out")</f>
        <v>0</v>
      </c>
      <c r="K1252" s="29">
        <f>SUMIFS(Cash_Flow_3[Amount],Cash_Flow_3[Bulan],H1252,Cash_Flow_3[Type],"Out",Cash_Flow_3[Category],"Fix")</f>
        <v>0</v>
      </c>
      <c r="L1252" s="29">
        <f>SUMIFS(Cash_Flow_3[Amount],Cash_Flow_3[Bulan],H1252,Cash_Flow_3[Type],"Out",Cash_Flow_3[Category],"Bathroom")</f>
        <v>0</v>
      </c>
      <c r="M1252" s="29">
        <f>SUMIFS(Cash_Flow_3[Amount],Cash_Flow_3[Bulan],H1252,Cash_Flow_3[Type],"Out",Cash_Flow_3[Category],"Alfa")</f>
        <v>0</v>
      </c>
      <c r="N1252" s="29">
        <f>SUMIFS(Cash_Flow_3[Amount],Cash_Flow_3[Bulan],H1252,Cash_Flow_3[Type],"Out",Cash_Flow_3[Category],"Jajan")</f>
        <v>0</v>
      </c>
      <c r="O1252" s="29">
        <f>SUMIFS(Cash_Flow_3[Amount],Cash_Flow_3[Bulan],H1252,Cash_Flow_3[Type],"Out",Cash_Flow_3[Category],"Kitchen")</f>
        <v>0</v>
      </c>
      <c r="P1252" s="29">
        <f>SUMIFS(Cash_Flow_3[Amount],Cash_Flow_3[Bulan],H1252,Cash_Flow_3[Type],"Out",Cash_Flow_3[Category],"Loandry")</f>
        <v>0</v>
      </c>
      <c r="Q1252" s="29">
        <f>SUMIFS(Cash_Flow_3[Amount],Cash_Flow_3[Bulan],H1252,Cash_Flow_3[Type],"Out",Cash_Flow_3[Category],"Mio")</f>
        <v>0</v>
      </c>
      <c r="R1252" s="29">
        <f>SUMIFS(Cash_Flow_3[Amount],Cash_Flow_3[Bulan],H1252,Cash_Flow_3[Type],"Out",Cash_Flow_3[Category],"Sedekah")</f>
        <v>0</v>
      </c>
      <c r="S1252" s="29">
        <f>SUMIFS(Cash_Flow_3[Amount],Cash_Flow_3[Bulan],H1252,Cash_Flow_3[Type],"Out",Cash_Flow_3[Category],"Zela")</f>
        <v>0</v>
      </c>
      <c r="T1252" s="29">
        <f>SUMIFS(Cash_Flow_3[Amount],Cash_Flow_3[Bulan],H1252,Cash_Flow_3[Type],"Out",Cash_Flow_3[Category],"Iqbal")</f>
        <v>0</v>
      </c>
    </row>
    <row r="1253" spans="1:20" ht="22.5" customHeight="1" x14ac:dyDescent="0.2">
      <c r="A1253" s="23"/>
      <c r="B1253" s="24"/>
      <c r="C1253" s="25"/>
      <c r="D1253" s="25"/>
      <c r="E1253" s="25"/>
      <c r="F1253" s="26"/>
      <c r="G1253" s="27"/>
      <c r="H1253" s="28" t="str">
        <f t="shared" si="0"/>
        <v/>
      </c>
      <c r="I1253" s="29">
        <f>SUMIFS(Cash_Flow_3[Amount],Cash_Flow_3[Bulan],H1253,Cash_Flow_3[Type],"In")</f>
        <v>0</v>
      </c>
      <c r="J1253" s="29">
        <f>SUMIFS(Cash_Flow_3[Amount],Cash_Flow_3[Bulan],H1253,Cash_Flow_3[Type],"Out")</f>
        <v>0</v>
      </c>
      <c r="K1253" s="29">
        <f>SUMIFS(Cash_Flow_3[Amount],Cash_Flow_3[Bulan],H1253,Cash_Flow_3[Type],"Out",Cash_Flow_3[Category],"Fix")</f>
        <v>0</v>
      </c>
      <c r="L1253" s="29">
        <f>SUMIFS(Cash_Flow_3[Amount],Cash_Flow_3[Bulan],H1253,Cash_Flow_3[Type],"Out",Cash_Flow_3[Category],"Bathroom")</f>
        <v>0</v>
      </c>
      <c r="M1253" s="29">
        <f>SUMIFS(Cash_Flow_3[Amount],Cash_Flow_3[Bulan],H1253,Cash_Flow_3[Type],"Out",Cash_Flow_3[Category],"Alfa")</f>
        <v>0</v>
      </c>
      <c r="N1253" s="29">
        <f>SUMIFS(Cash_Flow_3[Amount],Cash_Flow_3[Bulan],H1253,Cash_Flow_3[Type],"Out",Cash_Flow_3[Category],"Jajan")</f>
        <v>0</v>
      </c>
      <c r="O1253" s="29">
        <f>SUMIFS(Cash_Flow_3[Amount],Cash_Flow_3[Bulan],H1253,Cash_Flow_3[Type],"Out",Cash_Flow_3[Category],"Kitchen")</f>
        <v>0</v>
      </c>
      <c r="P1253" s="29">
        <f>SUMIFS(Cash_Flow_3[Amount],Cash_Flow_3[Bulan],H1253,Cash_Flow_3[Type],"Out",Cash_Flow_3[Category],"Loandry")</f>
        <v>0</v>
      </c>
      <c r="Q1253" s="29">
        <f>SUMIFS(Cash_Flow_3[Amount],Cash_Flow_3[Bulan],H1253,Cash_Flow_3[Type],"Out",Cash_Flow_3[Category],"Mio")</f>
        <v>0</v>
      </c>
      <c r="R1253" s="29">
        <f>SUMIFS(Cash_Flow_3[Amount],Cash_Flow_3[Bulan],H1253,Cash_Flow_3[Type],"Out",Cash_Flow_3[Category],"Sedekah")</f>
        <v>0</v>
      </c>
      <c r="S1253" s="29">
        <f>SUMIFS(Cash_Flow_3[Amount],Cash_Flow_3[Bulan],H1253,Cash_Flow_3[Type],"Out",Cash_Flow_3[Category],"Zela")</f>
        <v>0</v>
      </c>
      <c r="T1253" s="29">
        <f>SUMIFS(Cash_Flow_3[Amount],Cash_Flow_3[Bulan],H1253,Cash_Flow_3[Type],"Out",Cash_Flow_3[Category],"Iqbal")</f>
        <v>0</v>
      </c>
    </row>
    <row r="1254" spans="1:20" ht="22.5" customHeight="1" x14ac:dyDescent="0.2">
      <c r="A1254" s="23"/>
      <c r="B1254" s="24"/>
      <c r="C1254" s="25"/>
      <c r="D1254" s="25"/>
      <c r="E1254" s="25"/>
      <c r="F1254" s="26"/>
      <c r="G1254" s="27"/>
      <c r="H1254" s="28" t="str">
        <f t="shared" si="0"/>
        <v/>
      </c>
      <c r="I1254" s="29">
        <f>SUMIFS(Cash_Flow_3[Amount],Cash_Flow_3[Bulan],H1254,Cash_Flow_3[Type],"In")</f>
        <v>0</v>
      </c>
      <c r="J1254" s="29">
        <f>SUMIFS(Cash_Flow_3[Amount],Cash_Flow_3[Bulan],H1254,Cash_Flow_3[Type],"Out")</f>
        <v>0</v>
      </c>
      <c r="K1254" s="29">
        <f>SUMIFS(Cash_Flow_3[Amount],Cash_Flow_3[Bulan],H1254,Cash_Flow_3[Type],"Out",Cash_Flow_3[Category],"Fix")</f>
        <v>0</v>
      </c>
      <c r="L1254" s="29">
        <f>SUMIFS(Cash_Flow_3[Amount],Cash_Flow_3[Bulan],H1254,Cash_Flow_3[Type],"Out",Cash_Flow_3[Category],"Bathroom")</f>
        <v>0</v>
      </c>
      <c r="M1254" s="29">
        <f>SUMIFS(Cash_Flow_3[Amount],Cash_Flow_3[Bulan],H1254,Cash_Flow_3[Type],"Out",Cash_Flow_3[Category],"Alfa")</f>
        <v>0</v>
      </c>
      <c r="N1254" s="29">
        <f>SUMIFS(Cash_Flow_3[Amount],Cash_Flow_3[Bulan],H1254,Cash_Flow_3[Type],"Out",Cash_Flow_3[Category],"Jajan")</f>
        <v>0</v>
      </c>
      <c r="O1254" s="29">
        <f>SUMIFS(Cash_Flow_3[Amount],Cash_Flow_3[Bulan],H1254,Cash_Flow_3[Type],"Out",Cash_Flow_3[Category],"Kitchen")</f>
        <v>0</v>
      </c>
      <c r="P1254" s="29">
        <f>SUMIFS(Cash_Flow_3[Amount],Cash_Flow_3[Bulan],H1254,Cash_Flow_3[Type],"Out",Cash_Flow_3[Category],"Loandry")</f>
        <v>0</v>
      </c>
      <c r="Q1254" s="29">
        <f>SUMIFS(Cash_Flow_3[Amount],Cash_Flow_3[Bulan],H1254,Cash_Flow_3[Type],"Out",Cash_Flow_3[Category],"Mio")</f>
        <v>0</v>
      </c>
      <c r="R1254" s="29">
        <f>SUMIFS(Cash_Flow_3[Amount],Cash_Flow_3[Bulan],H1254,Cash_Flow_3[Type],"Out",Cash_Flow_3[Category],"Sedekah")</f>
        <v>0</v>
      </c>
      <c r="S1254" s="29">
        <f>SUMIFS(Cash_Flow_3[Amount],Cash_Flow_3[Bulan],H1254,Cash_Flow_3[Type],"Out",Cash_Flow_3[Category],"Zela")</f>
        <v>0</v>
      </c>
      <c r="T1254" s="29">
        <f>SUMIFS(Cash_Flow_3[Amount],Cash_Flow_3[Bulan],H1254,Cash_Flow_3[Type],"Out",Cash_Flow_3[Category],"Iqbal")</f>
        <v>0</v>
      </c>
    </row>
    <row r="1255" spans="1:20" ht="22.5" customHeight="1" x14ac:dyDescent="0.2">
      <c r="A1255" s="23"/>
      <c r="B1255" s="24"/>
      <c r="C1255" s="25"/>
      <c r="D1255" s="25"/>
      <c r="E1255" s="25"/>
      <c r="F1255" s="26"/>
      <c r="G1255" s="27"/>
      <c r="H1255" s="28" t="str">
        <f t="shared" si="0"/>
        <v/>
      </c>
      <c r="I1255" s="29">
        <f>SUMIFS(Cash_Flow_3[Amount],Cash_Flow_3[Bulan],H1255,Cash_Flow_3[Type],"In")</f>
        <v>0</v>
      </c>
      <c r="J1255" s="29">
        <f>SUMIFS(Cash_Flow_3[Amount],Cash_Flow_3[Bulan],H1255,Cash_Flow_3[Type],"Out")</f>
        <v>0</v>
      </c>
      <c r="K1255" s="29">
        <f>SUMIFS(Cash_Flow_3[Amount],Cash_Flow_3[Bulan],H1255,Cash_Flow_3[Type],"Out",Cash_Flow_3[Category],"Fix")</f>
        <v>0</v>
      </c>
      <c r="L1255" s="29">
        <f>SUMIFS(Cash_Flow_3[Amount],Cash_Flow_3[Bulan],H1255,Cash_Flow_3[Type],"Out",Cash_Flow_3[Category],"Bathroom")</f>
        <v>0</v>
      </c>
      <c r="M1255" s="29">
        <f>SUMIFS(Cash_Flow_3[Amount],Cash_Flow_3[Bulan],H1255,Cash_Flow_3[Type],"Out",Cash_Flow_3[Category],"Alfa")</f>
        <v>0</v>
      </c>
      <c r="N1255" s="29">
        <f>SUMIFS(Cash_Flow_3[Amount],Cash_Flow_3[Bulan],H1255,Cash_Flow_3[Type],"Out",Cash_Flow_3[Category],"Jajan")</f>
        <v>0</v>
      </c>
      <c r="O1255" s="29">
        <f>SUMIFS(Cash_Flow_3[Amount],Cash_Flow_3[Bulan],H1255,Cash_Flow_3[Type],"Out",Cash_Flow_3[Category],"Kitchen")</f>
        <v>0</v>
      </c>
      <c r="P1255" s="29">
        <f>SUMIFS(Cash_Flow_3[Amount],Cash_Flow_3[Bulan],H1255,Cash_Flow_3[Type],"Out",Cash_Flow_3[Category],"Loandry")</f>
        <v>0</v>
      </c>
      <c r="Q1255" s="29">
        <f>SUMIFS(Cash_Flow_3[Amount],Cash_Flow_3[Bulan],H1255,Cash_Flow_3[Type],"Out",Cash_Flow_3[Category],"Mio")</f>
        <v>0</v>
      </c>
      <c r="R1255" s="29">
        <f>SUMIFS(Cash_Flow_3[Amount],Cash_Flow_3[Bulan],H1255,Cash_Flow_3[Type],"Out",Cash_Flow_3[Category],"Sedekah")</f>
        <v>0</v>
      </c>
      <c r="S1255" s="29">
        <f>SUMIFS(Cash_Flow_3[Amount],Cash_Flow_3[Bulan],H1255,Cash_Flow_3[Type],"Out",Cash_Flow_3[Category],"Zela")</f>
        <v>0</v>
      </c>
      <c r="T1255" s="29">
        <f>SUMIFS(Cash_Flow_3[Amount],Cash_Flow_3[Bulan],H1255,Cash_Flow_3[Type],"Out",Cash_Flow_3[Category],"Iqbal")</f>
        <v>0</v>
      </c>
    </row>
    <row r="1256" spans="1:20" ht="22.5" customHeight="1" x14ac:dyDescent="0.2">
      <c r="A1256" s="23"/>
      <c r="B1256" s="24"/>
      <c r="C1256" s="25"/>
      <c r="D1256" s="25"/>
      <c r="E1256" s="25"/>
      <c r="F1256" s="26"/>
      <c r="G1256" s="27"/>
      <c r="H1256" s="28" t="str">
        <f t="shared" si="0"/>
        <v/>
      </c>
      <c r="I1256" s="29">
        <f>SUMIFS(Cash_Flow_3[Amount],Cash_Flow_3[Bulan],H1256,Cash_Flow_3[Type],"In")</f>
        <v>0</v>
      </c>
      <c r="J1256" s="29">
        <f>SUMIFS(Cash_Flow_3[Amount],Cash_Flow_3[Bulan],H1256,Cash_Flow_3[Type],"Out")</f>
        <v>0</v>
      </c>
      <c r="K1256" s="29">
        <f>SUMIFS(Cash_Flow_3[Amount],Cash_Flow_3[Bulan],H1256,Cash_Flow_3[Type],"Out",Cash_Flow_3[Category],"Fix")</f>
        <v>0</v>
      </c>
      <c r="L1256" s="29">
        <f>SUMIFS(Cash_Flow_3[Amount],Cash_Flow_3[Bulan],H1256,Cash_Flow_3[Type],"Out",Cash_Flow_3[Category],"Bathroom")</f>
        <v>0</v>
      </c>
      <c r="M1256" s="29">
        <f>SUMIFS(Cash_Flow_3[Amount],Cash_Flow_3[Bulan],H1256,Cash_Flow_3[Type],"Out",Cash_Flow_3[Category],"Alfa")</f>
        <v>0</v>
      </c>
      <c r="N1256" s="29">
        <f>SUMIFS(Cash_Flow_3[Amount],Cash_Flow_3[Bulan],H1256,Cash_Flow_3[Type],"Out",Cash_Flow_3[Category],"Jajan")</f>
        <v>0</v>
      </c>
      <c r="O1256" s="29">
        <f>SUMIFS(Cash_Flow_3[Amount],Cash_Flow_3[Bulan],H1256,Cash_Flow_3[Type],"Out",Cash_Flow_3[Category],"Kitchen")</f>
        <v>0</v>
      </c>
      <c r="P1256" s="29">
        <f>SUMIFS(Cash_Flow_3[Amount],Cash_Flow_3[Bulan],H1256,Cash_Flow_3[Type],"Out",Cash_Flow_3[Category],"Loandry")</f>
        <v>0</v>
      </c>
      <c r="Q1256" s="29">
        <f>SUMIFS(Cash_Flow_3[Amount],Cash_Flow_3[Bulan],H1256,Cash_Flow_3[Type],"Out",Cash_Flow_3[Category],"Mio")</f>
        <v>0</v>
      </c>
      <c r="R1256" s="29">
        <f>SUMIFS(Cash_Flow_3[Amount],Cash_Flow_3[Bulan],H1256,Cash_Flow_3[Type],"Out",Cash_Flow_3[Category],"Sedekah")</f>
        <v>0</v>
      </c>
      <c r="S1256" s="29">
        <f>SUMIFS(Cash_Flow_3[Amount],Cash_Flow_3[Bulan],H1256,Cash_Flow_3[Type],"Out",Cash_Flow_3[Category],"Zela")</f>
        <v>0</v>
      </c>
      <c r="T1256" s="29">
        <f>SUMIFS(Cash_Flow_3[Amount],Cash_Flow_3[Bulan],H1256,Cash_Flow_3[Type],"Out",Cash_Flow_3[Category],"Iqbal")</f>
        <v>0</v>
      </c>
    </row>
    <row r="1257" spans="1:20" ht="22.5" customHeight="1" x14ac:dyDescent="0.2">
      <c r="A1257" s="23"/>
      <c r="B1257" s="24"/>
      <c r="C1257" s="25"/>
      <c r="D1257" s="25"/>
      <c r="E1257" s="25"/>
      <c r="F1257" s="26"/>
      <c r="G1257" s="27"/>
      <c r="H1257" s="28" t="str">
        <f t="shared" si="0"/>
        <v/>
      </c>
      <c r="I1257" s="29">
        <f>SUMIFS(Cash_Flow_3[Amount],Cash_Flow_3[Bulan],H1257,Cash_Flow_3[Type],"In")</f>
        <v>0</v>
      </c>
      <c r="J1257" s="29">
        <f>SUMIFS(Cash_Flow_3[Amount],Cash_Flow_3[Bulan],H1257,Cash_Flow_3[Type],"Out")</f>
        <v>0</v>
      </c>
      <c r="K1257" s="29">
        <f>SUMIFS(Cash_Flow_3[Amount],Cash_Flow_3[Bulan],H1257,Cash_Flow_3[Type],"Out",Cash_Flow_3[Category],"Fix")</f>
        <v>0</v>
      </c>
      <c r="L1257" s="29">
        <f>SUMIFS(Cash_Flow_3[Amount],Cash_Flow_3[Bulan],H1257,Cash_Flow_3[Type],"Out",Cash_Flow_3[Category],"Bathroom")</f>
        <v>0</v>
      </c>
      <c r="M1257" s="29">
        <f>SUMIFS(Cash_Flow_3[Amount],Cash_Flow_3[Bulan],H1257,Cash_Flow_3[Type],"Out",Cash_Flow_3[Category],"Alfa")</f>
        <v>0</v>
      </c>
      <c r="N1257" s="29">
        <f>SUMIFS(Cash_Flow_3[Amount],Cash_Flow_3[Bulan],H1257,Cash_Flow_3[Type],"Out",Cash_Flow_3[Category],"Jajan")</f>
        <v>0</v>
      </c>
      <c r="O1257" s="29">
        <f>SUMIFS(Cash_Flow_3[Amount],Cash_Flow_3[Bulan],H1257,Cash_Flow_3[Type],"Out",Cash_Flow_3[Category],"Kitchen")</f>
        <v>0</v>
      </c>
      <c r="P1257" s="29">
        <f>SUMIFS(Cash_Flow_3[Amount],Cash_Flow_3[Bulan],H1257,Cash_Flow_3[Type],"Out",Cash_Flow_3[Category],"Loandry")</f>
        <v>0</v>
      </c>
      <c r="Q1257" s="29">
        <f>SUMIFS(Cash_Flow_3[Amount],Cash_Flow_3[Bulan],H1257,Cash_Flow_3[Type],"Out",Cash_Flow_3[Category],"Mio")</f>
        <v>0</v>
      </c>
      <c r="R1257" s="29">
        <f>SUMIFS(Cash_Flow_3[Amount],Cash_Flow_3[Bulan],H1257,Cash_Flow_3[Type],"Out",Cash_Flow_3[Category],"Sedekah")</f>
        <v>0</v>
      </c>
      <c r="S1257" s="29">
        <f>SUMIFS(Cash_Flow_3[Amount],Cash_Flow_3[Bulan],H1257,Cash_Flow_3[Type],"Out",Cash_Flow_3[Category],"Zela")</f>
        <v>0</v>
      </c>
      <c r="T1257" s="29">
        <f>SUMIFS(Cash_Flow_3[Amount],Cash_Flow_3[Bulan],H1257,Cash_Flow_3[Type],"Out",Cash_Flow_3[Category],"Iqbal")</f>
        <v>0</v>
      </c>
    </row>
    <row r="1258" spans="1:20" ht="22.5" customHeight="1" x14ac:dyDescent="0.2">
      <c r="A1258" s="23"/>
      <c r="B1258" s="24"/>
      <c r="C1258" s="25"/>
      <c r="D1258" s="25"/>
      <c r="E1258" s="25"/>
      <c r="F1258" s="26"/>
      <c r="G1258" s="27"/>
      <c r="H1258" s="28" t="str">
        <f t="shared" si="0"/>
        <v/>
      </c>
      <c r="I1258" s="29">
        <f>SUMIFS(Cash_Flow_3[Amount],Cash_Flow_3[Bulan],H1258,Cash_Flow_3[Type],"In")</f>
        <v>0</v>
      </c>
      <c r="J1258" s="29">
        <f>SUMIFS(Cash_Flow_3[Amount],Cash_Flow_3[Bulan],H1258,Cash_Flow_3[Type],"Out")</f>
        <v>0</v>
      </c>
      <c r="K1258" s="29">
        <f>SUMIFS(Cash_Flow_3[Amount],Cash_Flow_3[Bulan],H1258,Cash_Flow_3[Type],"Out",Cash_Flow_3[Category],"Fix")</f>
        <v>0</v>
      </c>
      <c r="L1258" s="29">
        <f>SUMIFS(Cash_Flow_3[Amount],Cash_Flow_3[Bulan],H1258,Cash_Flow_3[Type],"Out",Cash_Flow_3[Category],"Bathroom")</f>
        <v>0</v>
      </c>
      <c r="M1258" s="29">
        <f>SUMIFS(Cash_Flow_3[Amount],Cash_Flow_3[Bulan],H1258,Cash_Flow_3[Type],"Out",Cash_Flow_3[Category],"Alfa")</f>
        <v>0</v>
      </c>
      <c r="N1258" s="29">
        <f>SUMIFS(Cash_Flow_3[Amount],Cash_Flow_3[Bulan],H1258,Cash_Flow_3[Type],"Out",Cash_Flow_3[Category],"Jajan")</f>
        <v>0</v>
      </c>
      <c r="O1258" s="29">
        <f>SUMIFS(Cash_Flow_3[Amount],Cash_Flow_3[Bulan],H1258,Cash_Flow_3[Type],"Out",Cash_Flow_3[Category],"Kitchen")</f>
        <v>0</v>
      </c>
      <c r="P1258" s="29">
        <f>SUMIFS(Cash_Flow_3[Amount],Cash_Flow_3[Bulan],H1258,Cash_Flow_3[Type],"Out",Cash_Flow_3[Category],"Loandry")</f>
        <v>0</v>
      </c>
      <c r="Q1258" s="29">
        <f>SUMIFS(Cash_Flow_3[Amount],Cash_Flow_3[Bulan],H1258,Cash_Flow_3[Type],"Out",Cash_Flow_3[Category],"Mio")</f>
        <v>0</v>
      </c>
      <c r="R1258" s="29">
        <f>SUMIFS(Cash_Flow_3[Amount],Cash_Flow_3[Bulan],H1258,Cash_Flow_3[Type],"Out",Cash_Flow_3[Category],"Sedekah")</f>
        <v>0</v>
      </c>
      <c r="S1258" s="29">
        <f>SUMIFS(Cash_Flow_3[Amount],Cash_Flow_3[Bulan],H1258,Cash_Flow_3[Type],"Out",Cash_Flow_3[Category],"Zela")</f>
        <v>0</v>
      </c>
      <c r="T1258" s="29">
        <f>SUMIFS(Cash_Flow_3[Amount],Cash_Flow_3[Bulan],H1258,Cash_Flow_3[Type],"Out",Cash_Flow_3[Category],"Iqbal")</f>
        <v>0</v>
      </c>
    </row>
    <row r="1259" spans="1:20" ht="22.5" customHeight="1" x14ac:dyDescent="0.2">
      <c r="A1259" s="23"/>
      <c r="B1259" s="24"/>
      <c r="C1259" s="25"/>
      <c r="D1259" s="25"/>
      <c r="E1259" s="25"/>
      <c r="F1259" s="26"/>
      <c r="G1259" s="27"/>
      <c r="H1259" s="28" t="str">
        <f t="shared" si="0"/>
        <v/>
      </c>
      <c r="I1259" s="29">
        <f>SUMIFS(Cash_Flow_3[Amount],Cash_Flow_3[Bulan],H1259,Cash_Flow_3[Type],"In")</f>
        <v>0</v>
      </c>
      <c r="J1259" s="29">
        <f>SUMIFS(Cash_Flow_3[Amount],Cash_Flow_3[Bulan],H1259,Cash_Flow_3[Type],"Out")</f>
        <v>0</v>
      </c>
      <c r="K1259" s="29">
        <f>SUMIFS(Cash_Flow_3[Amount],Cash_Flow_3[Bulan],H1259,Cash_Flow_3[Type],"Out",Cash_Flow_3[Category],"Fix")</f>
        <v>0</v>
      </c>
      <c r="L1259" s="29">
        <f>SUMIFS(Cash_Flow_3[Amount],Cash_Flow_3[Bulan],H1259,Cash_Flow_3[Type],"Out",Cash_Flow_3[Category],"Bathroom")</f>
        <v>0</v>
      </c>
      <c r="M1259" s="29">
        <f>SUMIFS(Cash_Flow_3[Amount],Cash_Flow_3[Bulan],H1259,Cash_Flow_3[Type],"Out",Cash_Flow_3[Category],"Alfa")</f>
        <v>0</v>
      </c>
      <c r="N1259" s="29">
        <f>SUMIFS(Cash_Flow_3[Amount],Cash_Flow_3[Bulan],H1259,Cash_Flow_3[Type],"Out",Cash_Flow_3[Category],"Jajan")</f>
        <v>0</v>
      </c>
      <c r="O1259" s="29">
        <f>SUMIFS(Cash_Flow_3[Amount],Cash_Flow_3[Bulan],H1259,Cash_Flow_3[Type],"Out",Cash_Flow_3[Category],"Kitchen")</f>
        <v>0</v>
      </c>
      <c r="P1259" s="29">
        <f>SUMIFS(Cash_Flow_3[Amount],Cash_Flow_3[Bulan],H1259,Cash_Flow_3[Type],"Out",Cash_Flow_3[Category],"Loandry")</f>
        <v>0</v>
      </c>
      <c r="Q1259" s="29">
        <f>SUMIFS(Cash_Flow_3[Amount],Cash_Flow_3[Bulan],H1259,Cash_Flow_3[Type],"Out",Cash_Flow_3[Category],"Mio")</f>
        <v>0</v>
      </c>
      <c r="R1259" s="29">
        <f>SUMIFS(Cash_Flow_3[Amount],Cash_Flow_3[Bulan],H1259,Cash_Flow_3[Type],"Out",Cash_Flow_3[Category],"Sedekah")</f>
        <v>0</v>
      </c>
      <c r="S1259" s="29">
        <f>SUMIFS(Cash_Flow_3[Amount],Cash_Flow_3[Bulan],H1259,Cash_Flow_3[Type],"Out",Cash_Flow_3[Category],"Zela")</f>
        <v>0</v>
      </c>
      <c r="T1259" s="29">
        <f>SUMIFS(Cash_Flow_3[Amount],Cash_Flow_3[Bulan],H1259,Cash_Flow_3[Type],"Out",Cash_Flow_3[Category],"Iqbal")</f>
        <v>0</v>
      </c>
    </row>
    <row r="1260" spans="1:20" ht="22.5" customHeight="1" x14ac:dyDescent="0.2">
      <c r="A1260" s="23"/>
      <c r="B1260" s="24"/>
      <c r="C1260" s="25"/>
      <c r="D1260" s="25"/>
      <c r="E1260" s="25"/>
      <c r="F1260" s="26"/>
      <c r="G1260" s="27"/>
      <c r="H1260" s="28" t="str">
        <f t="shared" si="0"/>
        <v/>
      </c>
      <c r="I1260" s="29">
        <f>SUMIFS(Cash_Flow_3[Amount],Cash_Flow_3[Bulan],H1260,Cash_Flow_3[Type],"In")</f>
        <v>0</v>
      </c>
      <c r="J1260" s="29">
        <f>SUMIFS(Cash_Flow_3[Amount],Cash_Flow_3[Bulan],H1260,Cash_Flow_3[Type],"Out")</f>
        <v>0</v>
      </c>
      <c r="K1260" s="29">
        <f>SUMIFS(Cash_Flow_3[Amount],Cash_Flow_3[Bulan],H1260,Cash_Flow_3[Type],"Out",Cash_Flow_3[Category],"Fix")</f>
        <v>0</v>
      </c>
      <c r="L1260" s="29">
        <f>SUMIFS(Cash_Flow_3[Amount],Cash_Flow_3[Bulan],H1260,Cash_Flow_3[Type],"Out",Cash_Flow_3[Category],"Bathroom")</f>
        <v>0</v>
      </c>
      <c r="M1260" s="29">
        <f>SUMIFS(Cash_Flow_3[Amount],Cash_Flow_3[Bulan],H1260,Cash_Flow_3[Type],"Out",Cash_Flow_3[Category],"Alfa")</f>
        <v>0</v>
      </c>
      <c r="N1260" s="29">
        <f>SUMIFS(Cash_Flow_3[Amount],Cash_Flow_3[Bulan],H1260,Cash_Flow_3[Type],"Out",Cash_Flow_3[Category],"Jajan")</f>
        <v>0</v>
      </c>
      <c r="O1260" s="29">
        <f>SUMIFS(Cash_Flow_3[Amount],Cash_Flow_3[Bulan],H1260,Cash_Flow_3[Type],"Out",Cash_Flow_3[Category],"Kitchen")</f>
        <v>0</v>
      </c>
      <c r="P1260" s="29">
        <f>SUMIFS(Cash_Flow_3[Amount],Cash_Flow_3[Bulan],H1260,Cash_Flow_3[Type],"Out",Cash_Flow_3[Category],"Loandry")</f>
        <v>0</v>
      </c>
      <c r="Q1260" s="29">
        <f>SUMIFS(Cash_Flow_3[Amount],Cash_Flow_3[Bulan],H1260,Cash_Flow_3[Type],"Out",Cash_Flow_3[Category],"Mio")</f>
        <v>0</v>
      </c>
      <c r="R1260" s="29">
        <f>SUMIFS(Cash_Flow_3[Amount],Cash_Flow_3[Bulan],H1260,Cash_Flow_3[Type],"Out",Cash_Flow_3[Category],"Sedekah")</f>
        <v>0</v>
      </c>
      <c r="S1260" s="29">
        <f>SUMIFS(Cash_Flow_3[Amount],Cash_Flow_3[Bulan],H1260,Cash_Flow_3[Type],"Out",Cash_Flow_3[Category],"Zela")</f>
        <v>0</v>
      </c>
      <c r="T1260" s="29">
        <f>SUMIFS(Cash_Flow_3[Amount],Cash_Flow_3[Bulan],H1260,Cash_Flow_3[Type],"Out",Cash_Flow_3[Category],"Iqbal")</f>
        <v>0</v>
      </c>
    </row>
    <row r="1261" spans="1:20" ht="22.5" customHeight="1" x14ac:dyDescent="0.2">
      <c r="A1261" s="23"/>
      <c r="B1261" s="24"/>
      <c r="C1261" s="25"/>
      <c r="D1261" s="25"/>
      <c r="E1261" s="25"/>
      <c r="F1261" s="26"/>
      <c r="G1261" s="27"/>
      <c r="H1261" s="28" t="str">
        <f t="shared" si="0"/>
        <v/>
      </c>
      <c r="I1261" s="29">
        <f>SUMIFS(Cash_Flow_3[Amount],Cash_Flow_3[Bulan],H1261,Cash_Flow_3[Type],"In")</f>
        <v>0</v>
      </c>
      <c r="J1261" s="29">
        <f>SUMIFS(Cash_Flow_3[Amount],Cash_Flow_3[Bulan],H1261,Cash_Flow_3[Type],"Out")</f>
        <v>0</v>
      </c>
      <c r="K1261" s="29">
        <f>SUMIFS(Cash_Flow_3[Amount],Cash_Flow_3[Bulan],H1261,Cash_Flow_3[Type],"Out",Cash_Flow_3[Category],"Fix")</f>
        <v>0</v>
      </c>
      <c r="L1261" s="29">
        <f>SUMIFS(Cash_Flow_3[Amount],Cash_Flow_3[Bulan],H1261,Cash_Flow_3[Type],"Out",Cash_Flow_3[Category],"Bathroom")</f>
        <v>0</v>
      </c>
      <c r="M1261" s="29">
        <f>SUMIFS(Cash_Flow_3[Amount],Cash_Flow_3[Bulan],H1261,Cash_Flow_3[Type],"Out",Cash_Flow_3[Category],"Alfa")</f>
        <v>0</v>
      </c>
      <c r="N1261" s="29">
        <f>SUMIFS(Cash_Flow_3[Amount],Cash_Flow_3[Bulan],H1261,Cash_Flow_3[Type],"Out",Cash_Flow_3[Category],"Jajan")</f>
        <v>0</v>
      </c>
      <c r="O1261" s="29">
        <f>SUMIFS(Cash_Flow_3[Amount],Cash_Flow_3[Bulan],H1261,Cash_Flow_3[Type],"Out",Cash_Flow_3[Category],"Kitchen")</f>
        <v>0</v>
      </c>
      <c r="P1261" s="29">
        <f>SUMIFS(Cash_Flow_3[Amount],Cash_Flow_3[Bulan],H1261,Cash_Flow_3[Type],"Out",Cash_Flow_3[Category],"Loandry")</f>
        <v>0</v>
      </c>
      <c r="Q1261" s="29">
        <f>SUMIFS(Cash_Flow_3[Amount],Cash_Flow_3[Bulan],H1261,Cash_Flow_3[Type],"Out",Cash_Flow_3[Category],"Mio")</f>
        <v>0</v>
      </c>
      <c r="R1261" s="29">
        <f>SUMIFS(Cash_Flow_3[Amount],Cash_Flow_3[Bulan],H1261,Cash_Flow_3[Type],"Out",Cash_Flow_3[Category],"Sedekah")</f>
        <v>0</v>
      </c>
      <c r="S1261" s="29">
        <f>SUMIFS(Cash_Flow_3[Amount],Cash_Flow_3[Bulan],H1261,Cash_Flow_3[Type],"Out",Cash_Flow_3[Category],"Zela")</f>
        <v>0</v>
      </c>
      <c r="T1261" s="29">
        <f>SUMIFS(Cash_Flow_3[Amount],Cash_Flow_3[Bulan],H1261,Cash_Flow_3[Type],"Out",Cash_Flow_3[Category],"Iqbal")</f>
        <v>0</v>
      </c>
    </row>
    <row r="1262" spans="1:20" ht="22.5" customHeight="1" x14ac:dyDescent="0.2">
      <c r="A1262" s="23"/>
      <c r="B1262" s="24"/>
      <c r="C1262" s="25"/>
      <c r="D1262" s="25"/>
      <c r="E1262" s="25"/>
      <c r="F1262" s="26"/>
      <c r="G1262" s="27"/>
      <c r="H1262" s="28" t="str">
        <f t="shared" si="0"/>
        <v/>
      </c>
      <c r="I1262" s="29">
        <f>SUMIFS(Cash_Flow_3[Amount],Cash_Flow_3[Bulan],H1262,Cash_Flow_3[Type],"In")</f>
        <v>0</v>
      </c>
      <c r="J1262" s="29">
        <f>SUMIFS(Cash_Flow_3[Amount],Cash_Flow_3[Bulan],H1262,Cash_Flow_3[Type],"Out")</f>
        <v>0</v>
      </c>
      <c r="K1262" s="29">
        <f>SUMIFS(Cash_Flow_3[Amount],Cash_Flow_3[Bulan],H1262,Cash_Flow_3[Type],"Out",Cash_Flow_3[Category],"Fix")</f>
        <v>0</v>
      </c>
      <c r="L1262" s="29">
        <f>SUMIFS(Cash_Flow_3[Amount],Cash_Flow_3[Bulan],H1262,Cash_Flow_3[Type],"Out",Cash_Flow_3[Category],"Bathroom")</f>
        <v>0</v>
      </c>
      <c r="M1262" s="29">
        <f>SUMIFS(Cash_Flow_3[Amount],Cash_Flow_3[Bulan],H1262,Cash_Flow_3[Type],"Out",Cash_Flow_3[Category],"Alfa")</f>
        <v>0</v>
      </c>
      <c r="N1262" s="29">
        <f>SUMIFS(Cash_Flow_3[Amount],Cash_Flow_3[Bulan],H1262,Cash_Flow_3[Type],"Out",Cash_Flow_3[Category],"Jajan")</f>
        <v>0</v>
      </c>
      <c r="O1262" s="29">
        <f>SUMIFS(Cash_Flow_3[Amount],Cash_Flow_3[Bulan],H1262,Cash_Flow_3[Type],"Out",Cash_Flow_3[Category],"Kitchen")</f>
        <v>0</v>
      </c>
      <c r="P1262" s="29">
        <f>SUMIFS(Cash_Flow_3[Amount],Cash_Flow_3[Bulan],H1262,Cash_Flow_3[Type],"Out",Cash_Flow_3[Category],"Loandry")</f>
        <v>0</v>
      </c>
      <c r="Q1262" s="29">
        <f>SUMIFS(Cash_Flow_3[Amount],Cash_Flow_3[Bulan],H1262,Cash_Flow_3[Type],"Out",Cash_Flow_3[Category],"Mio")</f>
        <v>0</v>
      </c>
      <c r="R1262" s="29">
        <f>SUMIFS(Cash_Flow_3[Amount],Cash_Flow_3[Bulan],H1262,Cash_Flow_3[Type],"Out",Cash_Flow_3[Category],"Sedekah")</f>
        <v>0</v>
      </c>
      <c r="S1262" s="29">
        <f>SUMIFS(Cash_Flow_3[Amount],Cash_Flow_3[Bulan],H1262,Cash_Flow_3[Type],"Out",Cash_Flow_3[Category],"Zela")</f>
        <v>0</v>
      </c>
      <c r="T1262" s="29">
        <f>SUMIFS(Cash_Flow_3[Amount],Cash_Flow_3[Bulan],H1262,Cash_Flow_3[Type],"Out",Cash_Flow_3[Category],"Iqbal")</f>
        <v>0</v>
      </c>
    </row>
    <row r="1263" spans="1:20" ht="22.5" customHeight="1" x14ac:dyDescent="0.2">
      <c r="A1263" s="23"/>
      <c r="B1263" s="24"/>
      <c r="C1263" s="25"/>
      <c r="D1263" s="25"/>
      <c r="E1263" s="25"/>
      <c r="F1263" s="26"/>
      <c r="G1263" s="27"/>
      <c r="H1263" s="28" t="str">
        <f t="shared" si="0"/>
        <v/>
      </c>
      <c r="I1263" s="29">
        <f>SUMIFS(Cash_Flow_3[Amount],Cash_Flow_3[Bulan],H1263,Cash_Flow_3[Type],"In")</f>
        <v>0</v>
      </c>
      <c r="J1263" s="29">
        <f>SUMIFS(Cash_Flow_3[Amount],Cash_Flow_3[Bulan],H1263,Cash_Flow_3[Type],"Out")</f>
        <v>0</v>
      </c>
      <c r="K1263" s="29">
        <f>SUMIFS(Cash_Flow_3[Amount],Cash_Flow_3[Bulan],H1263,Cash_Flow_3[Type],"Out",Cash_Flow_3[Category],"Fix")</f>
        <v>0</v>
      </c>
      <c r="L1263" s="29">
        <f>SUMIFS(Cash_Flow_3[Amount],Cash_Flow_3[Bulan],H1263,Cash_Flow_3[Type],"Out",Cash_Flow_3[Category],"Bathroom")</f>
        <v>0</v>
      </c>
      <c r="M1263" s="29">
        <f>SUMIFS(Cash_Flow_3[Amount],Cash_Flow_3[Bulan],H1263,Cash_Flow_3[Type],"Out",Cash_Flow_3[Category],"Alfa")</f>
        <v>0</v>
      </c>
      <c r="N1263" s="29">
        <f>SUMIFS(Cash_Flow_3[Amount],Cash_Flow_3[Bulan],H1263,Cash_Flow_3[Type],"Out",Cash_Flow_3[Category],"Jajan")</f>
        <v>0</v>
      </c>
      <c r="O1263" s="29">
        <f>SUMIFS(Cash_Flow_3[Amount],Cash_Flow_3[Bulan],H1263,Cash_Flow_3[Type],"Out",Cash_Flow_3[Category],"Kitchen")</f>
        <v>0</v>
      </c>
      <c r="P1263" s="29">
        <f>SUMIFS(Cash_Flow_3[Amount],Cash_Flow_3[Bulan],H1263,Cash_Flow_3[Type],"Out",Cash_Flow_3[Category],"Loandry")</f>
        <v>0</v>
      </c>
      <c r="Q1263" s="29">
        <f>SUMIFS(Cash_Flow_3[Amount],Cash_Flow_3[Bulan],H1263,Cash_Flow_3[Type],"Out",Cash_Flow_3[Category],"Mio")</f>
        <v>0</v>
      </c>
      <c r="R1263" s="29">
        <f>SUMIFS(Cash_Flow_3[Amount],Cash_Flow_3[Bulan],H1263,Cash_Flow_3[Type],"Out",Cash_Flow_3[Category],"Sedekah")</f>
        <v>0</v>
      </c>
      <c r="S1263" s="29">
        <f>SUMIFS(Cash_Flow_3[Amount],Cash_Flow_3[Bulan],H1263,Cash_Flow_3[Type],"Out",Cash_Flow_3[Category],"Zela")</f>
        <v>0</v>
      </c>
      <c r="T1263" s="29">
        <f>SUMIFS(Cash_Flow_3[Amount],Cash_Flow_3[Bulan],H1263,Cash_Flow_3[Type],"Out",Cash_Flow_3[Category],"Iqbal")</f>
        <v>0</v>
      </c>
    </row>
    <row r="1264" spans="1:20" ht="22.5" customHeight="1" x14ac:dyDescent="0.2">
      <c r="A1264" s="23"/>
      <c r="B1264" s="24"/>
      <c r="C1264" s="25"/>
      <c r="D1264" s="25"/>
      <c r="E1264" s="25"/>
      <c r="F1264" s="26"/>
      <c r="G1264" s="27"/>
      <c r="H1264" s="28" t="str">
        <f t="shared" si="0"/>
        <v/>
      </c>
      <c r="I1264" s="29">
        <f>SUMIFS(Cash_Flow_3[Amount],Cash_Flow_3[Bulan],H1264,Cash_Flow_3[Type],"In")</f>
        <v>0</v>
      </c>
      <c r="J1264" s="29">
        <f>SUMIFS(Cash_Flow_3[Amount],Cash_Flow_3[Bulan],H1264,Cash_Flow_3[Type],"Out")</f>
        <v>0</v>
      </c>
      <c r="K1264" s="29">
        <f>SUMIFS(Cash_Flow_3[Amount],Cash_Flow_3[Bulan],H1264,Cash_Flow_3[Type],"Out",Cash_Flow_3[Category],"Fix")</f>
        <v>0</v>
      </c>
      <c r="L1264" s="29">
        <f>SUMIFS(Cash_Flow_3[Amount],Cash_Flow_3[Bulan],H1264,Cash_Flow_3[Type],"Out",Cash_Flow_3[Category],"Bathroom")</f>
        <v>0</v>
      </c>
      <c r="M1264" s="29">
        <f>SUMIFS(Cash_Flow_3[Amount],Cash_Flow_3[Bulan],H1264,Cash_Flow_3[Type],"Out",Cash_Flow_3[Category],"Alfa")</f>
        <v>0</v>
      </c>
      <c r="N1264" s="29">
        <f>SUMIFS(Cash_Flow_3[Amount],Cash_Flow_3[Bulan],H1264,Cash_Flow_3[Type],"Out",Cash_Flow_3[Category],"Jajan")</f>
        <v>0</v>
      </c>
      <c r="O1264" s="29">
        <f>SUMIFS(Cash_Flow_3[Amount],Cash_Flow_3[Bulan],H1264,Cash_Flow_3[Type],"Out",Cash_Flow_3[Category],"Kitchen")</f>
        <v>0</v>
      </c>
      <c r="P1264" s="29">
        <f>SUMIFS(Cash_Flow_3[Amount],Cash_Flow_3[Bulan],H1264,Cash_Flow_3[Type],"Out",Cash_Flow_3[Category],"Loandry")</f>
        <v>0</v>
      </c>
      <c r="Q1264" s="29">
        <f>SUMIFS(Cash_Flow_3[Amount],Cash_Flow_3[Bulan],H1264,Cash_Flow_3[Type],"Out",Cash_Flow_3[Category],"Mio")</f>
        <v>0</v>
      </c>
      <c r="R1264" s="29">
        <f>SUMIFS(Cash_Flow_3[Amount],Cash_Flow_3[Bulan],H1264,Cash_Flow_3[Type],"Out",Cash_Flow_3[Category],"Sedekah")</f>
        <v>0</v>
      </c>
      <c r="S1264" s="29">
        <f>SUMIFS(Cash_Flow_3[Amount],Cash_Flow_3[Bulan],H1264,Cash_Flow_3[Type],"Out",Cash_Flow_3[Category],"Zela")</f>
        <v>0</v>
      </c>
      <c r="T1264" s="29">
        <f>SUMIFS(Cash_Flow_3[Amount],Cash_Flow_3[Bulan],H1264,Cash_Flow_3[Type],"Out",Cash_Flow_3[Category],"Iqbal")</f>
        <v>0</v>
      </c>
    </row>
    <row r="1265" spans="1:20" ht="22.5" customHeight="1" x14ac:dyDescent="0.2">
      <c r="A1265" s="23"/>
      <c r="B1265" s="24"/>
      <c r="C1265" s="25"/>
      <c r="D1265" s="25"/>
      <c r="E1265" s="25"/>
      <c r="F1265" s="26"/>
      <c r="G1265" s="27"/>
      <c r="H1265" s="28" t="str">
        <f t="shared" si="0"/>
        <v/>
      </c>
      <c r="I1265" s="29">
        <f>SUMIFS(Cash_Flow_3[Amount],Cash_Flow_3[Bulan],H1265,Cash_Flow_3[Type],"In")</f>
        <v>0</v>
      </c>
      <c r="J1265" s="29">
        <f>SUMIFS(Cash_Flow_3[Amount],Cash_Flow_3[Bulan],H1265,Cash_Flow_3[Type],"Out")</f>
        <v>0</v>
      </c>
      <c r="K1265" s="29">
        <f>SUMIFS(Cash_Flow_3[Amount],Cash_Flow_3[Bulan],H1265,Cash_Flow_3[Type],"Out",Cash_Flow_3[Category],"Fix")</f>
        <v>0</v>
      </c>
      <c r="L1265" s="29">
        <f>SUMIFS(Cash_Flow_3[Amount],Cash_Flow_3[Bulan],H1265,Cash_Flow_3[Type],"Out",Cash_Flow_3[Category],"Bathroom")</f>
        <v>0</v>
      </c>
      <c r="M1265" s="29">
        <f>SUMIFS(Cash_Flow_3[Amount],Cash_Flow_3[Bulan],H1265,Cash_Flow_3[Type],"Out",Cash_Flow_3[Category],"Alfa")</f>
        <v>0</v>
      </c>
      <c r="N1265" s="29">
        <f>SUMIFS(Cash_Flow_3[Amount],Cash_Flow_3[Bulan],H1265,Cash_Flow_3[Type],"Out",Cash_Flow_3[Category],"Jajan")</f>
        <v>0</v>
      </c>
      <c r="O1265" s="29">
        <f>SUMIFS(Cash_Flow_3[Amount],Cash_Flow_3[Bulan],H1265,Cash_Flow_3[Type],"Out",Cash_Flow_3[Category],"Kitchen")</f>
        <v>0</v>
      </c>
      <c r="P1265" s="29">
        <f>SUMIFS(Cash_Flow_3[Amount],Cash_Flow_3[Bulan],H1265,Cash_Flow_3[Type],"Out",Cash_Flow_3[Category],"Loandry")</f>
        <v>0</v>
      </c>
      <c r="Q1265" s="29">
        <f>SUMIFS(Cash_Flow_3[Amount],Cash_Flow_3[Bulan],H1265,Cash_Flow_3[Type],"Out",Cash_Flow_3[Category],"Mio")</f>
        <v>0</v>
      </c>
      <c r="R1265" s="29">
        <f>SUMIFS(Cash_Flow_3[Amount],Cash_Flow_3[Bulan],H1265,Cash_Flow_3[Type],"Out",Cash_Flow_3[Category],"Sedekah")</f>
        <v>0</v>
      </c>
      <c r="S1265" s="29">
        <f>SUMIFS(Cash_Flow_3[Amount],Cash_Flow_3[Bulan],H1265,Cash_Flow_3[Type],"Out",Cash_Flow_3[Category],"Zela")</f>
        <v>0</v>
      </c>
      <c r="T1265" s="29">
        <f>SUMIFS(Cash_Flow_3[Amount],Cash_Flow_3[Bulan],H1265,Cash_Flow_3[Type],"Out",Cash_Flow_3[Category],"Iqbal")</f>
        <v>0</v>
      </c>
    </row>
    <row r="1266" spans="1:20" ht="22.5" customHeight="1" x14ac:dyDescent="0.2">
      <c r="A1266" s="23"/>
      <c r="B1266" s="24"/>
      <c r="C1266" s="25"/>
      <c r="D1266" s="25"/>
      <c r="E1266" s="25"/>
      <c r="F1266" s="26"/>
      <c r="G1266" s="27"/>
      <c r="H1266" s="28" t="str">
        <f t="shared" si="0"/>
        <v/>
      </c>
      <c r="I1266" s="29">
        <f>SUMIFS(Cash_Flow_3[Amount],Cash_Flow_3[Bulan],H1266,Cash_Flow_3[Type],"In")</f>
        <v>0</v>
      </c>
      <c r="J1266" s="29">
        <f>SUMIFS(Cash_Flow_3[Amount],Cash_Flow_3[Bulan],H1266,Cash_Flow_3[Type],"Out")</f>
        <v>0</v>
      </c>
      <c r="K1266" s="29">
        <f>SUMIFS(Cash_Flow_3[Amount],Cash_Flow_3[Bulan],H1266,Cash_Flow_3[Type],"Out",Cash_Flow_3[Category],"Fix")</f>
        <v>0</v>
      </c>
      <c r="L1266" s="29">
        <f>SUMIFS(Cash_Flow_3[Amount],Cash_Flow_3[Bulan],H1266,Cash_Flow_3[Type],"Out",Cash_Flow_3[Category],"Bathroom")</f>
        <v>0</v>
      </c>
      <c r="M1266" s="29">
        <f>SUMIFS(Cash_Flow_3[Amount],Cash_Flow_3[Bulan],H1266,Cash_Flow_3[Type],"Out",Cash_Flow_3[Category],"Alfa")</f>
        <v>0</v>
      </c>
      <c r="N1266" s="29">
        <f>SUMIFS(Cash_Flow_3[Amount],Cash_Flow_3[Bulan],H1266,Cash_Flow_3[Type],"Out",Cash_Flow_3[Category],"Jajan")</f>
        <v>0</v>
      </c>
      <c r="O1266" s="29">
        <f>SUMIFS(Cash_Flow_3[Amount],Cash_Flow_3[Bulan],H1266,Cash_Flow_3[Type],"Out",Cash_Flow_3[Category],"Kitchen")</f>
        <v>0</v>
      </c>
      <c r="P1266" s="29">
        <f>SUMIFS(Cash_Flow_3[Amount],Cash_Flow_3[Bulan],H1266,Cash_Flow_3[Type],"Out",Cash_Flow_3[Category],"Loandry")</f>
        <v>0</v>
      </c>
      <c r="Q1266" s="29">
        <f>SUMIFS(Cash_Flow_3[Amount],Cash_Flow_3[Bulan],H1266,Cash_Flow_3[Type],"Out",Cash_Flow_3[Category],"Mio")</f>
        <v>0</v>
      </c>
      <c r="R1266" s="29">
        <f>SUMIFS(Cash_Flow_3[Amount],Cash_Flow_3[Bulan],H1266,Cash_Flow_3[Type],"Out",Cash_Flow_3[Category],"Sedekah")</f>
        <v>0</v>
      </c>
      <c r="S1266" s="29">
        <f>SUMIFS(Cash_Flow_3[Amount],Cash_Flow_3[Bulan],H1266,Cash_Flow_3[Type],"Out",Cash_Flow_3[Category],"Zela")</f>
        <v>0</v>
      </c>
      <c r="T1266" s="29">
        <f>SUMIFS(Cash_Flow_3[Amount],Cash_Flow_3[Bulan],H1266,Cash_Flow_3[Type],"Out",Cash_Flow_3[Category],"Iqbal")</f>
        <v>0</v>
      </c>
    </row>
    <row r="1267" spans="1:20" ht="22.5" customHeight="1" x14ac:dyDescent="0.2">
      <c r="A1267" s="23"/>
      <c r="B1267" s="24"/>
      <c r="C1267" s="25"/>
      <c r="D1267" s="25"/>
      <c r="E1267" s="25"/>
      <c r="F1267" s="26"/>
      <c r="G1267" s="27"/>
      <c r="H1267" s="28" t="str">
        <f t="shared" si="0"/>
        <v/>
      </c>
      <c r="I1267" s="29">
        <f>SUMIFS(Cash_Flow_3[Amount],Cash_Flow_3[Bulan],H1267,Cash_Flow_3[Type],"In")</f>
        <v>0</v>
      </c>
      <c r="J1267" s="29">
        <f>SUMIFS(Cash_Flow_3[Amount],Cash_Flow_3[Bulan],H1267,Cash_Flow_3[Type],"Out")</f>
        <v>0</v>
      </c>
      <c r="K1267" s="29">
        <f>SUMIFS(Cash_Flow_3[Amount],Cash_Flow_3[Bulan],H1267,Cash_Flow_3[Type],"Out",Cash_Flow_3[Category],"Fix")</f>
        <v>0</v>
      </c>
      <c r="L1267" s="29">
        <f>SUMIFS(Cash_Flow_3[Amount],Cash_Flow_3[Bulan],H1267,Cash_Flow_3[Type],"Out",Cash_Flow_3[Category],"Bathroom")</f>
        <v>0</v>
      </c>
      <c r="M1267" s="29">
        <f>SUMIFS(Cash_Flow_3[Amount],Cash_Flow_3[Bulan],H1267,Cash_Flow_3[Type],"Out",Cash_Flow_3[Category],"Alfa")</f>
        <v>0</v>
      </c>
      <c r="N1267" s="29">
        <f>SUMIFS(Cash_Flow_3[Amount],Cash_Flow_3[Bulan],H1267,Cash_Flow_3[Type],"Out",Cash_Flow_3[Category],"Jajan")</f>
        <v>0</v>
      </c>
      <c r="O1267" s="29">
        <f>SUMIFS(Cash_Flow_3[Amount],Cash_Flow_3[Bulan],H1267,Cash_Flow_3[Type],"Out",Cash_Flow_3[Category],"Kitchen")</f>
        <v>0</v>
      </c>
      <c r="P1267" s="29">
        <f>SUMIFS(Cash_Flow_3[Amount],Cash_Flow_3[Bulan],H1267,Cash_Flow_3[Type],"Out",Cash_Flow_3[Category],"Loandry")</f>
        <v>0</v>
      </c>
      <c r="Q1267" s="29">
        <f>SUMIFS(Cash_Flow_3[Amount],Cash_Flow_3[Bulan],H1267,Cash_Flow_3[Type],"Out",Cash_Flow_3[Category],"Mio")</f>
        <v>0</v>
      </c>
      <c r="R1267" s="29">
        <f>SUMIFS(Cash_Flow_3[Amount],Cash_Flow_3[Bulan],H1267,Cash_Flow_3[Type],"Out",Cash_Flow_3[Category],"Sedekah")</f>
        <v>0</v>
      </c>
      <c r="S1267" s="29">
        <f>SUMIFS(Cash_Flow_3[Amount],Cash_Flow_3[Bulan],H1267,Cash_Flow_3[Type],"Out",Cash_Flow_3[Category],"Zela")</f>
        <v>0</v>
      </c>
      <c r="T1267" s="29">
        <f>SUMIFS(Cash_Flow_3[Amount],Cash_Flow_3[Bulan],H1267,Cash_Flow_3[Type],"Out",Cash_Flow_3[Category],"Iqbal")</f>
        <v>0</v>
      </c>
    </row>
    <row r="1268" spans="1:20" ht="22.5" customHeight="1" x14ac:dyDescent="0.2">
      <c r="A1268" s="23"/>
      <c r="B1268" s="24"/>
      <c r="C1268" s="25"/>
      <c r="D1268" s="25"/>
      <c r="E1268" s="25"/>
      <c r="F1268" s="26"/>
      <c r="G1268" s="27"/>
      <c r="H1268" s="28" t="str">
        <f t="shared" si="0"/>
        <v/>
      </c>
      <c r="I1268" s="29">
        <f>SUMIFS(Cash_Flow_3[Amount],Cash_Flow_3[Bulan],H1268,Cash_Flow_3[Type],"In")</f>
        <v>0</v>
      </c>
      <c r="J1268" s="29">
        <f>SUMIFS(Cash_Flow_3[Amount],Cash_Flow_3[Bulan],H1268,Cash_Flow_3[Type],"Out")</f>
        <v>0</v>
      </c>
      <c r="K1268" s="29">
        <f>SUMIFS(Cash_Flow_3[Amount],Cash_Flow_3[Bulan],H1268,Cash_Flow_3[Type],"Out",Cash_Flow_3[Category],"Fix")</f>
        <v>0</v>
      </c>
      <c r="L1268" s="29">
        <f>SUMIFS(Cash_Flow_3[Amount],Cash_Flow_3[Bulan],H1268,Cash_Flow_3[Type],"Out",Cash_Flow_3[Category],"Bathroom")</f>
        <v>0</v>
      </c>
      <c r="M1268" s="29">
        <f>SUMIFS(Cash_Flow_3[Amount],Cash_Flow_3[Bulan],H1268,Cash_Flow_3[Type],"Out",Cash_Flow_3[Category],"Alfa")</f>
        <v>0</v>
      </c>
      <c r="N1268" s="29">
        <f>SUMIFS(Cash_Flow_3[Amount],Cash_Flow_3[Bulan],H1268,Cash_Flow_3[Type],"Out",Cash_Flow_3[Category],"Jajan")</f>
        <v>0</v>
      </c>
      <c r="O1268" s="29">
        <f>SUMIFS(Cash_Flow_3[Amount],Cash_Flow_3[Bulan],H1268,Cash_Flow_3[Type],"Out",Cash_Flow_3[Category],"Kitchen")</f>
        <v>0</v>
      </c>
      <c r="P1268" s="29">
        <f>SUMIFS(Cash_Flow_3[Amount],Cash_Flow_3[Bulan],H1268,Cash_Flow_3[Type],"Out",Cash_Flow_3[Category],"Loandry")</f>
        <v>0</v>
      </c>
      <c r="Q1268" s="29">
        <f>SUMIFS(Cash_Flow_3[Amount],Cash_Flow_3[Bulan],H1268,Cash_Flow_3[Type],"Out",Cash_Flow_3[Category],"Mio")</f>
        <v>0</v>
      </c>
      <c r="R1268" s="29">
        <f>SUMIFS(Cash_Flow_3[Amount],Cash_Flow_3[Bulan],H1268,Cash_Flow_3[Type],"Out",Cash_Flow_3[Category],"Sedekah")</f>
        <v>0</v>
      </c>
      <c r="S1268" s="29">
        <f>SUMIFS(Cash_Flow_3[Amount],Cash_Flow_3[Bulan],H1268,Cash_Flow_3[Type],"Out",Cash_Flow_3[Category],"Zela")</f>
        <v>0</v>
      </c>
      <c r="T1268" s="29">
        <f>SUMIFS(Cash_Flow_3[Amount],Cash_Flow_3[Bulan],H1268,Cash_Flow_3[Type],"Out",Cash_Flow_3[Category],"Iqbal")</f>
        <v>0</v>
      </c>
    </row>
    <row r="1269" spans="1:20" ht="22.5" customHeight="1" x14ac:dyDescent="0.2">
      <c r="A1269" s="23"/>
      <c r="B1269" s="24"/>
      <c r="C1269" s="25"/>
      <c r="D1269" s="25"/>
      <c r="E1269" s="25"/>
      <c r="F1269" s="26"/>
      <c r="G1269" s="27"/>
      <c r="H1269" s="28" t="str">
        <f t="shared" si="0"/>
        <v/>
      </c>
      <c r="I1269" s="29">
        <f>SUMIFS(Cash_Flow_3[Amount],Cash_Flow_3[Bulan],H1269,Cash_Flow_3[Type],"In")</f>
        <v>0</v>
      </c>
      <c r="J1269" s="29">
        <f>SUMIFS(Cash_Flow_3[Amount],Cash_Flow_3[Bulan],H1269,Cash_Flow_3[Type],"Out")</f>
        <v>0</v>
      </c>
      <c r="K1269" s="29">
        <f>SUMIFS(Cash_Flow_3[Amount],Cash_Flow_3[Bulan],H1269,Cash_Flow_3[Type],"Out",Cash_Flow_3[Category],"Fix")</f>
        <v>0</v>
      </c>
      <c r="L1269" s="29">
        <f>SUMIFS(Cash_Flow_3[Amount],Cash_Flow_3[Bulan],H1269,Cash_Flow_3[Type],"Out",Cash_Flow_3[Category],"Bathroom")</f>
        <v>0</v>
      </c>
      <c r="M1269" s="29">
        <f>SUMIFS(Cash_Flow_3[Amount],Cash_Flow_3[Bulan],H1269,Cash_Flow_3[Type],"Out",Cash_Flow_3[Category],"Alfa")</f>
        <v>0</v>
      </c>
      <c r="N1269" s="29">
        <f>SUMIFS(Cash_Flow_3[Amount],Cash_Flow_3[Bulan],H1269,Cash_Flow_3[Type],"Out",Cash_Flow_3[Category],"Jajan")</f>
        <v>0</v>
      </c>
      <c r="O1269" s="29">
        <f>SUMIFS(Cash_Flow_3[Amount],Cash_Flow_3[Bulan],H1269,Cash_Flow_3[Type],"Out",Cash_Flow_3[Category],"Kitchen")</f>
        <v>0</v>
      </c>
      <c r="P1269" s="29">
        <f>SUMIFS(Cash_Flow_3[Amount],Cash_Flow_3[Bulan],H1269,Cash_Flow_3[Type],"Out",Cash_Flow_3[Category],"Loandry")</f>
        <v>0</v>
      </c>
      <c r="Q1269" s="29">
        <f>SUMIFS(Cash_Flow_3[Amount],Cash_Flow_3[Bulan],H1269,Cash_Flow_3[Type],"Out",Cash_Flow_3[Category],"Mio")</f>
        <v>0</v>
      </c>
      <c r="R1269" s="29">
        <f>SUMIFS(Cash_Flow_3[Amount],Cash_Flow_3[Bulan],H1269,Cash_Flow_3[Type],"Out",Cash_Flow_3[Category],"Sedekah")</f>
        <v>0</v>
      </c>
      <c r="S1269" s="29">
        <f>SUMIFS(Cash_Flow_3[Amount],Cash_Flow_3[Bulan],H1269,Cash_Flow_3[Type],"Out",Cash_Flow_3[Category],"Zela")</f>
        <v>0</v>
      </c>
      <c r="T1269" s="29">
        <f>SUMIFS(Cash_Flow_3[Amount],Cash_Flow_3[Bulan],H1269,Cash_Flow_3[Type],"Out",Cash_Flow_3[Category],"Iqbal")</f>
        <v>0</v>
      </c>
    </row>
    <row r="1270" spans="1:20" ht="22.5" customHeight="1" x14ac:dyDescent="0.2">
      <c r="A1270" s="23"/>
      <c r="B1270" s="24"/>
      <c r="C1270" s="25"/>
      <c r="D1270" s="25"/>
      <c r="E1270" s="25"/>
      <c r="F1270" s="26"/>
      <c r="G1270" s="27"/>
      <c r="H1270" s="28" t="str">
        <f t="shared" si="0"/>
        <v/>
      </c>
      <c r="I1270" s="29">
        <f>SUMIFS(Cash_Flow_3[Amount],Cash_Flow_3[Bulan],H1270,Cash_Flow_3[Type],"In")</f>
        <v>0</v>
      </c>
      <c r="J1270" s="29">
        <f>SUMIFS(Cash_Flow_3[Amount],Cash_Flow_3[Bulan],H1270,Cash_Flow_3[Type],"Out")</f>
        <v>0</v>
      </c>
      <c r="K1270" s="29">
        <f>SUMIFS(Cash_Flow_3[Amount],Cash_Flow_3[Bulan],H1270,Cash_Flow_3[Type],"Out",Cash_Flow_3[Category],"Fix")</f>
        <v>0</v>
      </c>
      <c r="L1270" s="29">
        <f>SUMIFS(Cash_Flow_3[Amount],Cash_Flow_3[Bulan],H1270,Cash_Flow_3[Type],"Out",Cash_Flow_3[Category],"Bathroom")</f>
        <v>0</v>
      </c>
      <c r="M1270" s="29">
        <f>SUMIFS(Cash_Flow_3[Amount],Cash_Flow_3[Bulan],H1270,Cash_Flow_3[Type],"Out",Cash_Flow_3[Category],"Alfa")</f>
        <v>0</v>
      </c>
      <c r="N1270" s="29">
        <f>SUMIFS(Cash_Flow_3[Amount],Cash_Flow_3[Bulan],H1270,Cash_Flow_3[Type],"Out",Cash_Flow_3[Category],"Jajan")</f>
        <v>0</v>
      </c>
      <c r="O1270" s="29">
        <f>SUMIFS(Cash_Flow_3[Amount],Cash_Flow_3[Bulan],H1270,Cash_Flow_3[Type],"Out",Cash_Flow_3[Category],"Kitchen")</f>
        <v>0</v>
      </c>
      <c r="P1270" s="29">
        <f>SUMIFS(Cash_Flow_3[Amount],Cash_Flow_3[Bulan],H1270,Cash_Flow_3[Type],"Out",Cash_Flow_3[Category],"Loandry")</f>
        <v>0</v>
      </c>
      <c r="Q1270" s="29">
        <f>SUMIFS(Cash_Flow_3[Amount],Cash_Flow_3[Bulan],H1270,Cash_Flow_3[Type],"Out",Cash_Flow_3[Category],"Mio")</f>
        <v>0</v>
      </c>
      <c r="R1270" s="29">
        <f>SUMIFS(Cash_Flow_3[Amount],Cash_Flow_3[Bulan],H1270,Cash_Flow_3[Type],"Out",Cash_Flow_3[Category],"Sedekah")</f>
        <v>0</v>
      </c>
      <c r="S1270" s="29">
        <f>SUMIFS(Cash_Flow_3[Amount],Cash_Flow_3[Bulan],H1270,Cash_Flow_3[Type],"Out",Cash_Flow_3[Category],"Zela")</f>
        <v>0</v>
      </c>
      <c r="T1270" s="29">
        <f>SUMIFS(Cash_Flow_3[Amount],Cash_Flow_3[Bulan],H1270,Cash_Flow_3[Type],"Out",Cash_Flow_3[Category],"Iqbal")</f>
        <v>0</v>
      </c>
    </row>
    <row r="1271" spans="1:20" ht="22.5" customHeight="1" x14ac:dyDescent="0.2">
      <c r="A1271" s="23"/>
      <c r="B1271" s="24"/>
      <c r="C1271" s="25"/>
      <c r="D1271" s="25"/>
      <c r="E1271" s="25"/>
      <c r="F1271" s="26"/>
      <c r="G1271" s="27"/>
      <c r="H1271" s="28" t="str">
        <f t="shared" si="0"/>
        <v/>
      </c>
      <c r="I1271" s="29">
        <f>SUMIFS(Cash_Flow_3[Amount],Cash_Flow_3[Bulan],H1271,Cash_Flow_3[Type],"In")</f>
        <v>0</v>
      </c>
      <c r="J1271" s="29">
        <f>SUMIFS(Cash_Flow_3[Amount],Cash_Flow_3[Bulan],H1271,Cash_Flow_3[Type],"Out")</f>
        <v>0</v>
      </c>
      <c r="K1271" s="29">
        <f>SUMIFS(Cash_Flow_3[Amount],Cash_Flow_3[Bulan],H1271,Cash_Flow_3[Type],"Out",Cash_Flow_3[Category],"Fix")</f>
        <v>0</v>
      </c>
      <c r="L1271" s="29">
        <f>SUMIFS(Cash_Flow_3[Amount],Cash_Flow_3[Bulan],H1271,Cash_Flow_3[Type],"Out",Cash_Flow_3[Category],"Bathroom")</f>
        <v>0</v>
      </c>
      <c r="M1271" s="29">
        <f>SUMIFS(Cash_Flow_3[Amount],Cash_Flow_3[Bulan],H1271,Cash_Flow_3[Type],"Out",Cash_Flow_3[Category],"Alfa")</f>
        <v>0</v>
      </c>
      <c r="N1271" s="29">
        <f>SUMIFS(Cash_Flow_3[Amount],Cash_Flow_3[Bulan],H1271,Cash_Flow_3[Type],"Out",Cash_Flow_3[Category],"Jajan")</f>
        <v>0</v>
      </c>
      <c r="O1271" s="29">
        <f>SUMIFS(Cash_Flow_3[Amount],Cash_Flow_3[Bulan],H1271,Cash_Flow_3[Type],"Out",Cash_Flow_3[Category],"Kitchen")</f>
        <v>0</v>
      </c>
      <c r="P1271" s="29">
        <f>SUMIFS(Cash_Flow_3[Amount],Cash_Flow_3[Bulan],H1271,Cash_Flow_3[Type],"Out",Cash_Flow_3[Category],"Loandry")</f>
        <v>0</v>
      </c>
      <c r="Q1271" s="29">
        <f>SUMIFS(Cash_Flow_3[Amount],Cash_Flow_3[Bulan],H1271,Cash_Flow_3[Type],"Out",Cash_Flow_3[Category],"Mio")</f>
        <v>0</v>
      </c>
      <c r="R1271" s="29">
        <f>SUMIFS(Cash_Flow_3[Amount],Cash_Flow_3[Bulan],H1271,Cash_Flow_3[Type],"Out",Cash_Flow_3[Category],"Sedekah")</f>
        <v>0</v>
      </c>
      <c r="S1271" s="29">
        <f>SUMIFS(Cash_Flow_3[Amount],Cash_Flow_3[Bulan],H1271,Cash_Flow_3[Type],"Out",Cash_Flow_3[Category],"Zela")</f>
        <v>0</v>
      </c>
      <c r="T1271" s="29">
        <f>SUMIFS(Cash_Flow_3[Amount],Cash_Flow_3[Bulan],H1271,Cash_Flow_3[Type],"Out",Cash_Flow_3[Category],"Iqbal")</f>
        <v>0</v>
      </c>
    </row>
    <row r="1272" spans="1:20" ht="22.5" customHeight="1" x14ac:dyDescent="0.2">
      <c r="A1272" s="23"/>
      <c r="B1272" s="24"/>
      <c r="C1272" s="25"/>
      <c r="D1272" s="25"/>
      <c r="E1272" s="25"/>
      <c r="F1272" s="26"/>
      <c r="G1272" s="27"/>
      <c r="H1272" s="28" t="str">
        <f t="shared" si="0"/>
        <v/>
      </c>
      <c r="I1272" s="29">
        <f>SUMIFS(Cash_Flow_3[Amount],Cash_Flow_3[Bulan],H1272,Cash_Flow_3[Type],"In")</f>
        <v>0</v>
      </c>
      <c r="J1272" s="29">
        <f>SUMIFS(Cash_Flow_3[Amount],Cash_Flow_3[Bulan],H1272,Cash_Flow_3[Type],"Out")</f>
        <v>0</v>
      </c>
      <c r="K1272" s="29">
        <f>SUMIFS(Cash_Flow_3[Amount],Cash_Flow_3[Bulan],H1272,Cash_Flow_3[Type],"Out",Cash_Flow_3[Category],"Fix")</f>
        <v>0</v>
      </c>
      <c r="L1272" s="29">
        <f>SUMIFS(Cash_Flow_3[Amount],Cash_Flow_3[Bulan],H1272,Cash_Flow_3[Type],"Out",Cash_Flow_3[Category],"Bathroom")</f>
        <v>0</v>
      </c>
      <c r="M1272" s="29">
        <f>SUMIFS(Cash_Flow_3[Amount],Cash_Flow_3[Bulan],H1272,Cash_Flow_3[Type],"Out",Cash_Flow_3[Category],"Alfa")</f>
        <v>0</v>
      </c>
      <c r="N1272" s="29">
        <f>SUMIFS(Cash_Flow_3[Amount],Cash_Flow_3[Bulan],H1272,Cash_Flow_3[Type],"Out",Cash_Flow_3[Category],"Jajan")</f>
        <v>0</v>
      </c>
      <c r="O1272" s="29">
        <f>SUMIFS(Cash_Flow_3[Amount],Cash_Flow_3[Bulan],H1272,Cash_Flow_3[Type],"Out",Cash_Flow_3[Category],"Kitchen")</f>
        <v>0</v>
      </c>
      <c r="P1272" s="29">
        <f>SUMIFS(Cash_Flow_3[Amount],Cash_Flow_3[Bulan],H1272,Cash_Flow_3[Type],"Out",Cash_Flow_3[Category],"Loandry")</f>
        <v>0</v>
      </c>
      <c r="Q1272" s="29">
        <f>SUMIFS(Cash_Flow_3[Amount],Cash_Flow_3[Bulan],H1272,Cash_Flow_3[Type],"Out",Cash_Flow_3[Category],"Mio")</f>
        <v>0</v>
      </c>
      <c r="R1272" s="29">
        <f>SUMIFS(Cash_Flow_3[Amount],Cash_Flow_3[Bulan],H1272,Cash_Flow_3[Type],"Out",Cash_Flow_3[Category],"Sedekah")</f>
        <v>0</v>
      </c>
      <c r="S1272" s="29">
        <f>SUMIFS(Cash_Flow_3[Amount],Cash_Flow_3[Bulan],H1272,Cash_Flow_3[Type],"Out",Cash_Flow_3[Category],"Zela")</f>
        <v>0</v>
      </c>
      <c r="T1272" s="29">
        <f>SUMIFS(Cash_Flow_3[Amount],Cash_Flow_3[Bulan],H1272,Cash_Flow_3[Type],"Out",Cash_Flow_3[Category],"Iqbal")</f>
        <v>0</v>
      </c>
    </row>
    <row r="1273" spans="1:20" ht="22.5" customHeight="1" x14ac:dyDescent="0.2">
      <c r="A1273" s="23"/>
      <c r="B1273" s="24"/>
      <c r="C1273" s="25"/>
      <c r="D1273" s="25"/>
      <c r="E1273" s="25"/>
      <c r="F1273" s="26"/>
      <c r="G1273" s="27"/>
      <c r="H1273" s="28" t="str">
        <f t="shared" si="0"/>
        <v/>
      </c>
      <c r="I1273" s="29">
        <f>SUMIFS(Cash_Flow_3[Amount],Cash_Flow_3[Bulan],H1273,Cash_Flow_3[Type],"In")</f>
        <v>0</v>
      </c>
      <c r="J1273" s="29">
        <f>SUMIFS(Cash_Flow_3[Amount],Cash_Flow_3[Bulan],H1273,Cash_Flow_3[Type],"Out")</f>
        <v>0</v>
      </c>
      <c r="K1273" s="29">
        <f>SUMIFS(Cash_Flow_3[Amount],Cash_Flow_3[Bulan],H1273,Cash_Flow_3[Type],"Out",Cash_Flow_3[Category],"Fix")</f>
        <v>0</v>
      </c>
      <c r="L1273" s="29">
        <f>SUMIFS(Cash_Flow_3[Amount],Cash_Flow_3[Bulan],H1273,Cash_Flow_3[Type],"Out",Cash_Flow_3[Category],"Bathroom")</f>
        <v>0</v>
      </c>
      <c r="M1273" s="29">
        <f>SUMIFS(Cash_Flow_3[Amount],Cash_Flow_3[Bulan],H1273,Cash_Flow_3[Type],"Out",Cash_Flow_3[Category],"Alfa")</f>
        <v>0</v>
      </c>
      <c r="N1273" s="29">
        <f>SUMIFS(Cash_Flow_3[Amount],Cash_Flow_3[Bulan],H1273,Cash_Flow_3[Type],"Out",Cash_Flow_3[Category],"Jajan")</f>
        <v>0</v>
      </c>
      <c r="O1273" s="29">
        <f>SUMIFS(Cash_Flow_3[Amount],Cash_Flow_3[Bulan],H1273,Cash_Flow_3[Type],"Out",Cash_Flow_3[Category],"Kitchen")</f>
        <v>0</v>
      </c>
      <c r="P1273" s="29">
        <f>SUMIFS(Cash_Flow_3[Amount],Cash_Flow_3[Bulan],H1273,Cash_Flow_3[Type],"Out",Cash_Flow_3[Category],"Loandry")</f>
        <v>0</v>
      </c>
      <c r="Q1273" s="29">
        <f>SUMIFS(Cash_Flow_3[Amount],Cash_Flow_3[Bulan],H1273,Cash_Flow_3[Type],"Out",Cash_Flow_3[Category],"Mio")</f>
        <v>0</v>
      </c>
      <c r="R1273" s="29">
        <f>SUMIFS(Cash_Flow_3[Amount],Cash_Flow_3[Bulan],H1273,Cash_Flow_3[Type],"Out",Cash_Flow_3[Category],"Sedekah")</f>
        <v>0</v>
      </c>
      <c r="S1273" s="29">
        <f>SUMIFS(Cash_Flow_3[Amount],Cash_Flow_3[Bulan],H1273,Cash_Flow_3[Type],"Out",Cash_Flow_3[Category],"Zela")</f>
        <v>0</v>
      </c>
      <c r="T1273" s="29">
        <f>SUMIFS(Cash_Flow_3[Amount],Cash_Flow_3[Bulan],H1273,Cash_Flow_3[Type],"Out",Cash_Flow_3[Category],"Iqbal")</f>
        <v>0</v>
      </c>
    </row>
    <row r="1274" spans="1:20" ht="22.5" customHeight="1" x14ac:dyDescent="0.2">
      <c r="A1274" s="23"/>
      <c r="B1274" s="24"/>
      <c r="C1274" s="25"/>
      <c r="D1274" s="25"/>
      <c r="E1274" s="25"/>
      <c r="F1274" s="26"/>
      <c r="G1274" s="27"/>
      <c r="H1274" s="28" t="str">
        <f t="shared" si="0"/>
        <v/>
      </c>
      <c r="I1274" s="29">
        <f>SUMIFS(Cash_Flow_3[Amount],Cash_Flow_3[Bulan],H1274,Cash_Flow_3[Type],"In")</f>
        <v>0</v>
      </c>
      <c r="J1274" s="29">
        <f>SUMIFS(Cash_Flow_3[Amount],Cash_Flow_3[Bulan],H1274,Cash_Flow_3[Type],"Out")</f>
        <v>0</v>
      </c>
      <c r="K1274" s="29">
        <f>SUMIFS(Cash_Flow_3[Amount],Cash_Flow_3[Bulan],H1274,Cash_Flow_3[Type],"Out",Cash_Flow_3[Category],"Fix")</f>
        <v>0</v>
      </c>
      <c r="L1274" s="29">
        <f>SUMIFS(Cash_Flow_3[Amount],Cash_Flow_3[Bulan],H1274,Cash_Flow_3[Type],"Out",Cash_Flow_3[Category],"Bathroom")</f>
        <v>0</v>
      </c>
      <c r="M1274" s="29">
        <f>SUMIFS(Cash_Flow_3[Amount],Cash_Flow_3[Bulan],H1274,Cash_Flow_3[Type],"Out",Cash_Flow_3[Category],"Alfa")</f>
        <v>0</v>
      </c>
      <c r="N1274" s="29">
        <f>SUMIFS(Cash_Flow_3[Amount],Cash_Flow_3[Bulan],H1274,Cash_Flow_3[Type],"Out",Cash_Flow_3[Category],"Jajan")</f>
        <v>0</v>
      </c>
      <c r="O1274" s="29">
        <f>SUMIFS(Cash_Flow_3[Amount],Cash_Flow_3[Bulan],H1274,Cash_Flow_3[Type],"Out",Cash_Flow_3[Category],"Kitchen")</f>
        <v>0</v>
      </c>
      <c r="P1274" s="29">
        <f>SUMIFS(Cash_Flow_3[Amount],Cash_Flow_3[Bulan],H1274,Cash_Flow_3[Type],"Out",Cash_Flow_3[Category],"Loandry")</f>
        <v>0</v>
      </c>
      <c r="Q1274" s="29">
        <f>SUMIFS(Cash_Flow_3[Amount],Cash_Flow_3[Bulan],H1274,Cash_Flow_3[Type],"Out",Cash_Flow_3[Category],"Mio")</f>
        <v>0</v>
      </c>
      <c r="R1274" s="29">
        <f>SUMIFS(Cash_Flow_3[Amount],Cash_Flow_3[Bulan],H1274,Cash_Flow_3[Type],"Out",Cash_Flow_3[Category],"Sedekah")</f>
        <v>0</v>
      </c>
      <c r="S1274" s="29">
        <f>SUMIFS(Cash_Flow_3[Amount],Cash_Flow_3[Bulan],H1274,Cash_Flow_3[Type],"Out",Cash_Flow_3[Category],"Zela")</f>
        <v>0</v>
      </c>
      <c r="T1274" s="29">
        <f>SUMIFS(Cash_Flow_3[Amount],Cash_Flow_3[Bulan],H1274,Cash_Flow_3[Type],"Out",Cash_Flow_3[Category],"Iqbal")</f>
        <v>0</v>
      </c>
    </row>
    <row r="1275" spans="1:20" ht="22.5" customHeight="1" x14ac:dyDescent="0.2">
      <c r="A1275" s="23"/>
      <c r="B1275" s="24"/>
      <c r="C1275" s="25"/>
      <c r="D1275" s="25"/>
      <c r="E1275" s="25"/>
      <c r="F1275" s="26"/>
      <c r="G1275" s="27"/>
      <c r="H1275" s="28" t="str">
        <f t="shared" si="0"/>
        <v/>
      </c>
      <c r="I1275" s="29">
        <f>SUMIFS(Cash_Flow_3[Amount],Cash_Flow_3[Bulan],H1275,Cash_Flow_3[Type],"In")</f>
        <v>0</v>
      </c>
      <c r="J1275" s="29">
        <f>SUMIFS(Cash_Flow_3[Amount],Cash_Flow_3[Bulan],H1275,Cash_Flow_3[Type],"Out")</f>
        <v>0</v>
      </c>
      <c r="K1275" s="29">
        <f>SUMIFS(Cash_Flow_3[Amount],Cash_Flow_3[Bulan],H1275,Cash_Flow_3[Type],"Out",Cash_Flow_3[Category],"Fix")</f>
        <v>0</v>
      </c>
      <c r="L1275" s="29">
        <f>SUMIFS(Cash_Flow_3[Amount],Cash_Flow_3[Bulan],H1275,Cash_Flow_3[Type],"Out",Cash_Flow_3[Category],"Bathroom")</f>
        <v>0</v>
      </c>
      <c r="M1275" s="29">
        <f>SUMIFS(Cash_Flow_3[Amount],Cash_Flow_3[Bulan],H1275,Cash_Flow_3[Type],"Out",Cash_Flow_3[Category],"Alfa")</f>
        <v>0</v>
      </c>
      <c r="N1275" s="29">
        <f>SUMIFS(Cash_Flow_3[Amount],Cash_Flow_3[Bulan],H1275,Cash_Flow_3[Type],"Out",Cash_Flow_3[Category],"Jajan")</f>
        <v>0</v>
      </c>
      <c r="O1275" s="29">
        <f>SUMIFS(Cash_Flow_3[Amount],Cash_Flow_3[Bulan],H1275,Cash_Flow_3[Type],"Out",Cash_Flow_3[Category],"Kitchen")</f>
        <v>0</v>
      </c>
      <c r="P1275" s="29">
        <f>SUMIFS(Cash_Flow_3[Amount],Cash_Flow_3[Bulan],H1275,Cash_Flow_3[Type],"Out",Cash_Flow_3[Category],"Loandry")</f>
        <v>0</v>
      </c>
      <c r="Q1275" s="29">
        <f>SUMIFS(Cash_Flow_3[Amount],Cash_Flow_3[Bulan],H1275,Cash_Flow_3[Type],"Out",Cash_Flow_3[Category],"Mio")</f>
        <v>0</v>
      </c>
      <c r="R1275" s="29">
        <f>SUMIFS(Cash_Flow_3[Amount],Cash_Flow_3[Bulan],H1275,Cash_Flow_3[Type],"Out",Cash_Flow_3[Category],"Sedekah")</f>
        <v>0</v>
      </c>
      <c r="S1275" s="29">
        <f>SUMIFS(Cash_Flow_3[Amount],Cash_Flow_3[Bulan],H1275,Cash_Flow_3[Type],"Out",Cash_Flow_3[Category],"Zela")</f>
        <v>0</v>
      </c>
      <c r="T1275" s="29">
        <f>SUMIFS(Cash_Flow_3[Amount],Cash_Flow_3[Bulan],H1275,Cash_Flow_3[Type],"Out",Cash_Flow_3[Category],"Iqbal")</f>
        <v>0</v>
      </c>
    </row>
    <row r="1276" spans="1:20" ht="22.5" customHeight="1" x14ac:dyDescent="0.2">
      <c r="A1276" s="23"/>
      <c r="B1276" s="24"/>
      <c r="C1276" s="25"/>
      <c r="D1276" s="25"/>
      <c r="E1276" s="25"/>
      <c r="F1276" s="26"/>
      <c r="G1276" s="27"/>
      <c r="H1276" s="28" t="str">
        <f t="shared" si="0"/>
        <v/>
      </c>
      <c r="I1276" s="29">
        <f>SUMIFS(Cash_Flow_3[Amount],Cash_Flow_3[Bulan],H1276,Cash_Flow_3[Type],"In")</f>
        <v>0</v>
      </c>
      <c r="J1276" s="29">
        <f>SUMIFS(Cash_Flow_3[Amount],Cash_Flow_3[Bulan],H1276,Cash_Flow_3[Type],"Out")</f>
        <v>0</v>
      </c>
      <c r="K1276" s="29">
        <f>SUMIFS(Cash_Flow_3[Amount],Cash_Flow_3[Bulan],H1276,Cash_Flow_3[Type],"Out",Cash_Flow_3[Category],"Fix")</f>
        <v>0</v>
      </c>
      <c r="L1276" s="29">
        <f>SUMIFS(Cash_Flow_3[Amount],Cash_Flow_3[Bulan],H1276,Cash_Flow_3[Type],"Out",Cash_Flow_3[Category],"Bathroom")</f>
        <v>0</v>
      </c>
      <c r="M1276" s="29">
        <f>SUMIFS(Cash_Flow_3[Amount],Cash_Flow_3[Bulan],H1276,Cash_Flow_3[Type],"Out",Cash_Flow_3[Category],"Alfa")</f>
        <v>0</v>
      </c>
      <c r="N1276" s="29">
        <f>SUMIFS(Cash_Flow_3[Amount],Cash_Flow_3[Bulan],H1276,Cash_Flow_3[Type],"Out",Cash_Flow_3[Category],"Jajan")</f>
        <v>0</v>
      </c>
      <c r="O1276" s="29">
        <f>SUMIFS(Cash_Flow_3[Amount],Cash_Flow_3[Bulan],H1276,Cash_Flow_3[Type],"Out",Cash_Flow_3[Category],"Kitchen")</f>
        <v>0</v>
      </c>
      <c r="P1276" s="29">
        <f>SUMIFS(Cash_Flow_3[Amount],Cash_Flow_3[Bulan],H1276,Cash_Flow_3[Type],"Out",Cash_Flow_3[Category],"Loandry")</f>
        <v>0</v>
      </c>
      <c r="Q1276" s="29">
        <f>SUMIFS(Cash_Flow_3[Amount],Cash_Flow_3[Bulan],H1276,Cash_Flow_3[Type],"Out",Cash_Flow_3[Category],"Mio")</f>
        <v>0</v>
      </c>
      <c r="R1276" s="29">
        <f>SUMIFS(Cash_Flow_3[Amount],Cash_Flow_3[Bulan],H1276,Cash_Flow_3[Type],"Out",Cash_Flow_3[Category],"Sedekah")</f>
        <v>0</v>
      </c>
      <c r="S1276" s="29">
        <f>SUMIFS(Cash_Flow_3[Amount],Cash_Flow_3[Bulan],H1276,Cash_Flow_3[Type],"Out",Cash_Flow_3[Category],"Zela")</f>
        <v>0</v>
      </c>
      <c r="T1276" s="29">
        <f>SUMIFS(Cash_Flow_3[Amount],Cash_Flow_3[Bulan],H1276,Cash_Flow_3[Type],"Out",Cash_Flow_3[Category],"Iqbal")</f>
        <v>0</v>
      </c>
    </row>
    <row r="1277" spans="1:20" ht="22.5" customHeight="1" x14ac:dyDescent="0.2">
      <c r="A1277" s="23"/>
      <c r="B1277" s="24"/>
      <c r="C1277" s="25"/>
      <c r="D1277" s="25"/>
      <c r="E1277" s="25"/>
      <c r="F1277" s="26"/>
      <c r="G1277" s="27"/>
      <c r="H1277" s="28" t="str">
        <f t="shared" si="0"/>
        <v/>
      </c>
      <c r="I1277" s="29">
        <f>SUMIFS(Cash_Flow_3[Amount],Cash_Flow_3[Bulan],H1277,Cash_Flow_3[Type],"In")</f>
        <v>0</v>
      </c>
      <c r="J1277" s="29">
        <f>SUMIFS(Cash_Flow_3[Amount],Cash_Flow_3[Bulan],H1277,Cash_Flow_3[Type],"Out")</f>
        <v>0</v>
      </c>
      <c r="K1277" s="29">
        <f>SUMIFS(Cash_Flow_3[Amount],Cash_Flow_3[Bulan],H1277,Cash_Flow_3[Type],"Out",Cash_Flow_3[Category],"Fix")</f>
        <v>0</v>
      </c>
      <c r="L1277" s="29">
        <f>SUMIFS(Cash_Flow_3[Amount],Cash_Flow_3[Bulan],H1277,Cash_Flow_3[Type],"Out",Cash_Flow_3[Category],"Bathroom")</f>
        <v>0</v>
      </c>
      <c r="M1277" s="29">
        <f>SUMIFS(Cash_Flow_3[Amount],Cash_Flow_3[Bulan],H1277,Cash_Flow_3[Type],"Out",Cash_Flow_3[Category],"Alfa")</f>
        <v>0</v>
      </c>
      <c r="N1277" s="29">
        <f>SUMIFS(Cash_Flow_3[Amount],Cash_Flow_3[Bulan],H1277,Cash_Flow_3[Type],"Out",Cash_Flow_3[Category],"Jajan")</f>
        <v>0</v>
      </c>
      <c r="O1277" s="29">
        <f>SUMIFS(Cash_Flow_3[Amount],Cash_Flow_3[Bulan],H1277,Cash_Flow_3[Type],"Out",Cash_Flow_3[Category],"Kitchen")</f>
        <v>0</v>
      </c>
      <c r="P1277" s="29">
        <f>SUMIFS(Cash_Flow_3[Amount],Cash_Flow_3[Bulan],H1277,Cash_Flow_3[Type],"Out",Cash_Flow_3[Category],"Loandry")</f>
        <v>0</v>
      </c>
      <c r="Q1277" s="29">
        <f>SUMIFS(Cash_Flow_3[Amount],Cash_Flow_3[Bulan],H1277,Cash_Flow_3[Type],"Out",Cash_Flow_3[Category],"Mio")</f>
        <v>0</v>
      </c>
      <c r="R1277" s="29">
        <f>SUMIFS(Cash_Flow_3[Amount],Cash_Flow_3[Bulan],H1277,Cash_Flow_3[Type],"Out",Cash_Flow_3[Category],"Sedekah")</f>
        <v>0</v>
      </c>
      <c r="S1277" s="29">
        <f>SUMIFS(Cash_Flow_3[Amount],Cash_Flow_3[Bulan],H1277,Cash_Flow_3[Type],"Out",Cash_Flow_3[Category],"Zela")</f>
        <v>0</v>
      </c>
      <c r="T1277" s="29">
        <f>SUMIFS(Cash_Flow_3[Amount],Cash_Flow_3[Bulan],H1277,Cash_Flow_3[Type],"Out",Cash_Flow_3[Category],"Iqbal")</f>
        <v>0</v>
      </c>
    </row>
    <row r="1278" spans="1:20" ht="22.5" customHeight="1" x14ac:dyDescent="0.2">
      <c r="A1278" s="23"/>
      <c r="B1278" s="24"/>
      <c r="C1278" s="25"/>
      <c r="D1278" s="25"/>
      <c r="E1278" s="25"/>
      <c r="F1278" s="26"/>
      <c r="G1278" s="27"/>
      <c r="H1278" s="28" t="str">
        <f t="shared" si="0"/>
        <v/>
      </c>
      <c r="I1278" s="29">
        <f>SUMIFS(Cash_Flow_3[Amount],Cash_Flow_3[Bulan],H1278,Cash_Flow_3[Type],"In")</f>
        <v>0</v>
      </c>
      <c r="J1278" s="29">
        <f>SUMIFS(Cash_Flow_3[Amount],Cash_Flow_3[Bulan],H1278,Cash_Flow_3[Type],"Out")</f>
        <v>0</v>
      </c>
      <c r="K1278" s="29">
        <f>SUMIFS(Cash_Flow_3[Amount],Cash_Flow_3[Bulan],H1278,Cash_Flow_3[Type],"Out",Cash_Flow_3[Category],"Fix")</f>
        <v>0</v>
      </c>
      <c r="L1278" s="29">
        <f>SUMIFS(Cash_Flow_3[Amount],Cash_Flow_3[Bulan],H1278,Cash_Flow_3[Type],"Out",Cash_Flow_3[Category],"Bathroom")</f>
        <v>0</v>
      </c>
      <c r="M1278" s="29">
        <f>SUMIFS(Cash_Flow_3[Amount],Cash_Flow_3[Bulan],H1278,Cash_Flow_3[Type],"Out",Cash_Flow_3[Category],"Alfa")</f>
        <v>0</v>
      </c>
      <c r="N1278" s="29">
        <f>SUMIFS(Cash_Flow_3[Amount],Cash_Flow_3[Bulan],H1278,Cash_Flow_3[Type],"Out",Cash_Flow_3[Category],"Jajan")</f>
        <v>0</v>
      </c>
      <c r="O1278" s="29">
        <f>SUMIFS(Cash_Flow_3[Amount],Cash_Flow_3[Bulan],H1278,Cash_Flow_3[Type],"Out",Cash_Flow_3[Category],"Kitchen")</f>
        <v>0</v>
      </c>
      <c r="P1278" s="29">
        <f>SUMIFS(Cash_Flow_3[Amount],Cash_Flow_3[Bulan],H1278,Cash_Flow_3[Type],"Out",Cash_Flow_3[Category],"Loandry")</f>
        <v>0</v>
      </c>
      <c r="Q1278" s="29">
        <f>SUMIFS(Cash_Flow_3[Amount],Cash_Flow_3[Bulan],H1278,Cash_Flow_3[Type],"Out",Cash_Flow_3[Category],"Mio")</f>
        <v>0</v>
      </c>
      <c r="R1278" s="29">
        <f>SUMIFS(Cash_Flow_3[Amount],Cash_Flow_3[Bulan],H1278,Cash_Flow_3[Type],"Out",Cash_Flow_3[Category],"Sedekah")</f>
        <v>0</v>
      </c>
      <c r="S1278" s="29">
        <f>SUMIFS(Cash_Flow_3[Amount],Cash_Flow_3[Bulan],H1278,Cash_Flow_3[Type],"Out",Cash_Flow_3[Category],"Zela")</f>
        <v>0</v>
      </c>
      <c r="T1278" s="29">
        <f>SUMIFS(Cash_Flow_3[Amount],Cash_Flow_3[Bulan],H1278,Cash_Flow_3[Type],"Out",Cash_Flow_3[Category],"Iqbal")</f>
        <v>0</v>
      </c>
    </row>
    <row r="1279" spans="1:20" ht="22.5" customHeight="1" x14ac:dyDescent="0.2">
      <c r="A1279" s="23"/>
      <c r="B1279" s="24"/>
      <c r="C1279" s="25"/>
      <c r="D1279" s="25"/>
      <c r="E1279" s="25"/>
      <c r="F1279" s="26"/>
      <c r="G1279" s="27"/>
      <c r="H1279" s="28" t="str">
        <f t="shared" si="0"/>
        <v/>
      </c>
      <c r="I1279" s="29">
        <f>SUMIFS(Cash_Flow_3[Amount],Cash_Flow_3[Bulan],H1279,Cash_Flow_3[Type],"In")</f>
        <v>0</v>
      </c>
      <c r="J1279" s="29">
        <f>SUMIFS(Cash_Flow_3[Amount],Cash_Flow_3[Bulan],H1279,Cash_Flow_3[Type],"Out")</f>
        <v>0</v>
      </c>
      <c r="K1279" s="29">
        <f>SUMIFS(Cash_Flow_3[Amount],Cash_Flow_3[Bulan],H1279,Cash_Flow_3[Type],"Out",Cash_Flow_3[Category],"Fix")</f>
        <v>0</v>
      </c>
      <c r="L1279" s="29">
        <f>SUMIFS(Cash_Flow_3[Amount],Cash_Flow_3[Bulan],H1279,Cash_Flow_3[Type],"Out",Cash_Flow_3[Category],"Bathroom")</f>
        <v>0</v>
      </c>
      <c r="M1279" s="29">
        <f>SUMIFS(Cash_Flow_3[Amount],Cash_Flow_3[Bulan],H1279,Cash_Flow_3[Type],"Out",Cash_Flow_3[Category],"Alfa")</f>
        <v>0</v>
      </c>
      <c r="N1279" s="29">
        <f>SUMIFS(Cash_Flow_3[Amount],Cash_Flow_3[Bulan],H1279,Cash_Flow_3[Type],"Out",Cash_Flow_3[Category],"Jajan")</f>
        <v>0</v>
      </c>
      <c r="O1279" s="29">
        <f>SUMIFS(Cash_Flow_3[Amount],Cash_Flow_3[Bulan],H1279,Cash_Flow_3[Type],"Out",Cash_Flow_3[Category],"Kitchen")</f>
        <v>0</v>
      </c>
      <c r="P1279" s="29">
        <f>SUMIFS(Cash_Flow_3[Amount],Cash_Flow_3[Bulan],H1279,Cash_Flow_3[Type],"Out",Cash_Flow_3[Category],"Loandry")</f>
        <v>0</v>
      </c>
      <c r="Q1279" s="29">
        <f>SUMIFS(Cash_Flow_3[Amount],Cash_Flow_3[Bulan],H1279,Cash_Flow_3[Type],"Out",Cash_Flow_3[Category],"Mio")</f>
        <v>0</v>
      </c>
      <c r="R1279" s="29">
        <f>SUMIFS(Cash_Flow_3[Amount],Cash_Flow_3[Bulan],H1279,Cash_Flow_3[Type],"Out",Cash_Flow_3[Category],"Sedekah")</f>
        <v>0</v>
      </c>
      <c r="S1279" s="29">
        <f>SUMIFS(Cash_Flow_3[Amount],Cash_Flow_3[Bulan],H1279,Cash_Flow_3[Type],"Out",Cash_Flow_3[Category],"Zela")</f>
        <v>0</v>
      </c>
      <c r="T1279" s="29">
        <f>SUMIFS(Cash_Flow_3[Amount],Cash_Flow_3[Bulan],H1279,Cash_Flow_3[Type],"Out",Cash_Flow_3[Category],"Iqbal")</f>
        <v>0</v>
      </c>
    </row>
    <row r="1280" spans="1:20" ht="22.5" customHeight="1" x14ac:dyDescent="0.2">
      <c r="A1280" s="23"/>
      <c r="B1280" s="24"/>
      <c r="C1280" s="25"/>
      <c r="D1280" s="25"/>
      <c r="E1280" s="25"/>
      <c r="F1280" s="26"/>
      <c r="G1280" s="27"/>
      <c r="H1280" s="28" t="str">
        <f t="shared" si="0"/>
        <v/>
      </c>
      <c r="I1280" s="29">
        <f>SUMIFS(Cash_Flow_3[Amount],Cash_Flow_3[Bulan],H1280,Cash_Flow_3[Type],"In")</f>
        <v>0</v>
      </c>
      <c r="J1280" s="29">
        <f>SUMIFS(Cash_Flow_3[Amount],Cash_Flow_3[Bulan],H1280,Cash_Flow_3[Type],"Out")</f>
        <v>0</v>
      </c>
      <c r="K1280" s="29">
        <f>SUMIFS(Cash_Flow_3[Amount],Cash_Flow_3[Bulan],H1280,Cash_Flow_3[Type],"Out",Cash_Flow_3[Category],"Fix")</f>
        <v>0</v>
      </c>
      <c r="L1280" s="29">
        <f>SUMIFS(Cash_Flow_3[Amount],Cash_Flow_3[Bulan],H1280,Cash_Flow_3[Type],"Out",Cash_Flow_3[Category],"Bathroom")</f>
        <v>0</v>
      </c>
      <c r="M1280" s="29">
        <f>SUMIFS(Cash_Flow_3[Amount],Cash_Flow_3[Bulan],H1280,Cash_Flow_3[Type],"Out",Cash_Flow_3[Category],"Alfa")</f>
        <v>0</v>
      </c>
      <c r="N1280" s="29">
        <f>SUMIFS(Cash_Flow_3[Amount],Cash_Flow_3[Bulan],H1280,Cash_Flow_3[Type],"Out",Cash_Flow_3[Category],"Jajan")</f>
        <v>0</v>
      </c>
      <c r="O1280" s="29">
        <f>SUMIFS(Cash_Flow_3[Amount],Cash_Flow_3[Bulan],H1280,Cash_Flow_3[Type],"Out",Cash_Flow_3[Category],"Kitchen")</f>
        <v>0</v>
      </c>
      <c r="P1280" s="29">
        <f>SUMIFS(Cash_Flow_3[Amount],Cash_Flow_3[Bulan],H1280,Cash_Flow_3[Type],"Out",Cash_Flow_3[Category],"Loandry")</f>
        <v>0</v>
      </c>
      <c r="Q1280" s="29">
        <f>SUMIFS(Cash_Flow_3[Amount],Cash_Flow_3[Bulan],H1280,Cash_Flow_3[Type],"Out",Cash_Flow_3[Category],"Mio")</f>
        <v>0</v>
      </c>
      <c r="R1280" s="29">
        <f>SUMIFS(Cash_Flow_3[Amount],Cash_Flow_3[Bulan],H1280,Cash_Flow_3[Type],"Out",Cash_Flow_3[Category],"Sedekah")</f>
        <v>0</v>
      </c>
      <c r="S1280" s="29">
        <f>SUMIFS(Cash_Flow_3[Amount],Cash_Flow_3[Bulan],H1280,Cash_Flow_3[Type],"Out",Cash_Flow_3[Category],"Zela")</f>
        <v>0</v>
      </c>
      <c r="T1280" s="29">
        <f>SUMIFS(Cash_Flow_3[Amount],Cash_Flow_3[Bulan],H1280,Cash_Flow_3[Type],"Out",Cash_Flow_3[Category],"Iqbal")</f>
        <v>0</v>
      </c>
    </row>
    <row r="1281" spans="1:20" ht="22.5" customHeight="1" x14ac:dyDescent="0.2">
      <c r="A1281" s="23"/>
      <c r="B1281" s="24"/>
      <c r="C1281" s="25"/>
      <c r="D1281" s="25"/>
      <c r="E1281" s="25"/>
      <c r="F1281" s="26"/>
      <c r="G1281" s="27"/>
      <c r="H1281" s="28" t="str">
        <f t="shared" si="0"/>
        <v/>
      </c>
      <c r="I1281" s="29">
        <f>SUMIFS(Cash_Flow_3[Amount],Cash_Flow_3[Bulan],H1281,Cash_Flow_3[Type],"In")</f>
        <v>0</v>
      </c>
      <c r="J1281" s="29">
        <f>SUMIFS(Cash_Flow_3[Amount],Cash_Flow_3[Bulan],H1281,Cash_Flow_3[Type],"Out")</f>
        <v>0</v>
      </c>
      <c r="K1281" s="29">
        <f>SUMIFS(Cash_Flow_3[Amount],Cash_Flow_3[Bulan],H1281,Cash_Flow_3[Type],"Out",Cash_Flow_3[Category],"Fix")</f>
        <v>0</v>
      </c>
      <c r="L1281" s="29">
        <f>SUMIFS(Cash_Flow_3[Amount],Cash_Flow_3[Bulan],H1281,Cash_Flow_3[Type],"Out",Cash_Flow_3[Category],"Bathroom")</f>
        <v>0</v>
      </c>
      <c r="M1281" s="29">
        <f>SUMIFS(Cash_Flow_3[Amount],Cash_Flow_3[Bulan],H1281,Cash_Flow_3[Type],"Out",Cash_Flow_3[Category],"Alfa")</f>
        <v>0</v>
      </c>
      <c r="N1281" s="29">
        <f>SUMIFS(Cash_Flow_3[Amount],Cash_Flow_3[Bulan],H1281,Cash_Flow_3[Type],"Out",Cash_Flow_3[Category],"Jajan")</f>
        <v>0</v>
      </c>
      <c r="O1281" s="29">
        <f>SUMIFS(Cash_Flow_3[Amount],Cash_Flow_3[Bulan],H1281,Cash_Flow_3[Type],"Out",Cash_Flow_3[Category],"Kitchen")</f>
        <v>0</v>
      </c>
      <c r="P1281" s="29">
        <f>SUMIFS(Cash_Flow_3[Amount],Cash_Flow_3[Bulan],H1281,Cash_Flow_3[Type],"Out",Cash_Flow_3[Category],"Loandry")</f>
        <v>0</v>
      </c>
      <c r="Q1281" s="29">
        <f>SUMIFS(Cash_Flow_3[Amount],Cash_Flow_3[Bulan],H1281,Cash_Flow_3[Type],"Out",Cash_Flow_3[Category],"Mio")</f>
        <v>0</v>
      </c>
      <c r="R1281" s="29">
        <f>SUMIFS(Cash_Flow_3[Amount],Cash_Flow_3[Bulan],H1281,Cash_Flow_3[Type],"Out",Cash_Flow_3[Category],"Sedekah")</f>
        <v>0</v>
      </c>
      <c r="S1281" s="29">
        <f>SUMIFS(Cash_Flow_3[Amount],Cash_Flow_3[Bulan],H1281,Cash_Flow_3[Type],"Out",Cash_Flow_3[Category],"Zela")</f>
        <v>0</v>
      </c>
      <c r="T1281" s="29">
        <f>SUMIFS(Cash_Flow_3[Amount],Cash_Flow_3[Bulan],H1281,Cash_Flow_3[Type],"Out",Cash_Flow_3[Category],"Iqbal")</f>
        <v>0</v>
      </c>
    </row>
    <row r="1282" spans="1:20" ht="22.5" customHeight="1" x14ac:dyDescent="0.2">
      <c r="A1282" s="23"/>
      <c r="B1282" s="24"/>
      <c r="C1282" s="25"/>
      <c r="D1282" s="25"/>
      <c r="E1282" s="25"/>
      <c r="F1282" s="26"/>
      <c r="G1282" s="27"/>
      <c r="H1282" s="28" t="str">
        <f t="shared" si="0"/>
        <v/>
      </c>
      <c r="I1282" s="29">
        <f>SUMIFS(Cash_Flow_3[Amount],Cash_Flow_3[Bulan],H1282,Cash_Flow_3[Type],"In")</f>
        <v>0</v>
      </c>
      <c r="J1282" s="29">
        <f>SUMIFS(Cash_Flow_3[Amount],Cash_Flow_3[Bulan],H1282,Cash_Flow_3[Type],"Out")</f>
        <v>0</v>
      </c>
      <c r="K1282" s="29">
        <f>SUMIFS(Cash_Flow_3[Amount],Cash_Flow_3[Bulan],H1282,Cash_Flow_3[Type],"Out",Cash_Flow_3[Category],"Fix")</f>
        <v>0</v>
      </c>
      <c r="L1282" s="29">
        <f>SUMIFS(Cash_Flow_3[Amount],Cash_Flow_3[Bulan],H1282,Cash_Flow_3[Type],"Out",Cash_Flow_3[Category],"Bathroom")</f>
        <v>0</v>
      </c>
      <c r="M1282" s="29">
        <f>SUMIFS(Cash_Flow_3[Amount],Cash_Flow_3[Bulan],H1282,Cash_Flow_3[Type],"Out",Cash_Flow_3[Category],"Alfa")</f>
        <v>0</v>
      </c>
      <c r="N1282" s="29">
        <f>SUMIFS(Cash_Flow_3[Amount],Cash_Flow_3[Bulan],H1282,Cash_Flow_3[Type],"Out",Cash_Flow_3[Category],"Jajan")</f>
        <v>0</v>
      </c>
      <c r="O1282" s="29">
        <f>SUMIFS(Cash_Flow_3[Amount],Cash_Flow_3[Bulan],H1282,Cash_Flow_3[Type],"Out",Cash_Flow_3[Category],"Kitchen")</f>
        <v>0</v>
      </c>
      <c r="P1282" s="29">
        <f>SUMIFS(Cash_Flow_3[Amount],Cash_Flow_3[Bulan],H1282,Cash_Flow_3[Type],"Out",Cash_Flow_3[Category],"Loandry")</f>
        <v>0</v>
      </c>
      <c r="Q1282" s="29">
        <f>SUMIFS(Cash_Flow_3[Amount],Cash_Flow_3[Bulan],H1282,Cash_Flow_3[Type],"Out",Cash_Flow_3[Category],"Mio")</f>
        <v>0</v>
      </c>
      <c r="R1282" s="29">
        <f>SUMIFS(Cash_Flow_3[Amount],Cash_Flow_3[Bulan],H1282,Cash_Flow_3[Type],"Out",Cash_Flow_3[Category],"Sedekah")</f>
        <v>0</v>
      </c>
      <c r="S1282" s="29">
        <f>SUMIFS(Cash_Flow_3[Amount],Cash_Flow_3[Bulan],H1282,Cash_Flow_3[Type],"Out",Cash_Flow_3[Category],"Zela")</f>
        <v>0</v>
      </c>
      <c r="T1282" s="29">
        <f>SUMIFS(Cash_Flow_3[Amount],Cash_Flow_3[Bulan],H1282,Cash_Flow_3[Type],"Out",Cash_Flow_3[Category],"Iqbal")</f>
        <v>0</v>
      </c>
    </row>
    <row r="1283" spans="1:20" ht="22.5" customHeight="1" x14ac:dyDescent="0.2">
      <c r="A1283" s="23"/>
      <c r="B1283" s="24"/>
      <c r="C1283" s="25"/>
      <c r="D1283" s="25"/>
      <c r="E1283" s="25"/>
      <c r="F1283" s="26"/>
      <c r="G1283" s="27"/>
      <c r="H1283" s="28" t="str">
        <f t="shared" si="0"/>
        <v/>
      </c>
      <c r="I1283" s="29">
        <f>SUMIFS(Cash_Flow_3[Amount],Cash_Flow_3[Bulan],H1283,Cash_Flow_3[Type],"In")</f>
        <v>0</v>
      </c>
      <c r="J1283" s="29">
        <f>SUMIFS(Cash_Flow_3[Amount],Cash_Flow_3[Bulan],H1283,Cash_Flow_3[Type],"Out")</f>
        <v>0</v>
      </c>
      <c r="K1283" s="29">
        <f>SUMIFS(Cash_Flow_3[Amount],Cash_Flow_3[Bulan],H1283,Cash_Flow_3[Type],"Out",Cash_Flow_3[Category],"Fix")</f>
        <v>0</v>
      </c>
      <c r="L1283" s="29">
        <f>SUMIFS(Cash_Flow_3[Amount],Cash_Flow_3[Bulan],H1283,Cash_Flow_3[Type],"Out",Cash_Flow_3[Category],"Bathroom")</f>
        <v>0</v>
      </c>
      <c r="M1283" s="29">
        <f>SUMIFS(Cash_Flow_3[Amount],Cash_Flow_3[Bulan],H1283,Cash_Flow_3[Type],"Out",Cash_Flow_3[Category],"Alfa")</f>
        <v>0</v>
      </c>
      <c r="N1283" s="29">
        <f>SUMIFS(Cash_Flow_3[Amount],Cash_Flow_3[Bulan],H1283,Cash_Flow_3[Type],"Out",Cash_Flow_3[Category],"Jajan")</f>
        <v>0</v>
      </c>
      <c r="O1283" s="29">
        <f>SUMIFS(Cash_Flow_3[Amount],Cash_Flow_3[Bulan],H1283,Cash_Flow_3[Type],"Out",Cash_Flow_3[Category],"Kitchen")</f>
        <v>0</v>
      </c>
      <c r="P1283" s="29">
        <f>SUMIFS(Cash_Flow_3[Amount],Cash_Flow_3[Bulan],H1283,Cash_Flow_3[Type],"Out",Cash_Flow_3[Category],"Loandry")</f>
        <v>0</v>
      </c>
      <c r="Q1283" s="29">
        <f>SUMIFS(Cash_Flow_3[Amount],Cash_Flow_3[Bulan],H1283,Cash_Flow_3[Type],"Out",Cash_Flow_3[Category],"Mio")</f>
        <v>0</v>
      </c>
      <c r="R1283" s="29">
        <f>SUMIFS(Cash_Flow_3[Amount],Cash_Flow_3[Bulan],H1283,Cash_Flow_3[Type],"Out",Cash_Flow_3[Category],"Sedekah")</f>
        <v>0</v>
      </c>
      <c r="S1283" s="29">
        <f>SUMIFS(Cash_Flow_3[Amount],Cash_Flow_3[Bulan],H1283,Cash_Flow_3[Type],"Out",Cash_Flow_3[Category],"Zela")</f>
        <v>0</v>
      </c>
      <c r="T1283" s="29">
        <f>SUMIFS(Cash_Flow_3[Amount],Cash_Flow_3[Bulan],H1283,Cash_Flow_3[Type],"Out",Cash_Flow_3[Category],"Iqbal")</f>
        <v>0</v>
      </c>
    </row>
    <row r="1284" spans="1:20" ht="22.5" customHeight="1" x14ac:dyDescent="0.2">
      <c r="A1284" s="23"/>
      <c r="B1284" s="24"/>
      <c r="C1284" s="25"/>
      <c r="D1284" s="25"/>
      <c r="E1284" s="25"/>
      <c r="F1284" s="26"/>
      <c r="G1284" s="27"/>
      <c r="H1284" s="28" t="str">
        <f t="shared" si="0"/>
        <v/>
      </c>
      <c r="I1284" s="29">
        <f>SUMIFS(Cash_Flow_3[Amount],Cash_Flow_3[Bulan],H1284,Cash_Flow_3[Type],"In")</f>
        <v>0</v>
      </c>
      <c r="J1284" s="29">
        <f>SUMIFS(Cash_Flow_3[Amount],Cash_Flow_3[Bulan],H1284,Cash_Flow_3[Type],"Out")</f>
        <v>0</v>
      </c>
      <c r="K1284" s="29">
        <f>SUMIFS(Cash_Flow_3[Amount],Cash_Flow_3[Bulan],H1284,Cash_Flow_3[Type],"Out",Cash_Flow_3[Category],"Fix")</f>
        <v>0</v>
      </c>
      <c r="L1284" s="29">
        <f>SUMIFS(Cash_Flow_3[Amount],Cash_Flow_3[Bulan],H1284,Cash_Flow_3[Type],"Out",Cash_Flow_3[Category],"Bathroom")</f>
        <v>0</v>
      </c>
      <c r="M1284" s="29">
        <f>SUMIFS(Cash_Flow_3[Amount],Cash_Flow_3[Bulan],H1284,Cash_Flow_3[Type],"Out",Cash_Flow_3[Category],"Alfa")</f>
        <v>0</v>
      </c>
      <c r="N1284" s="29">
        <f>SUMIFS(Cash_Flow_3[Amount],Cash_Flow_3[Bulan],H1284,Cash_Flow_3[Type],"Out",Cash_Flow_3[Category],"Jajan")</f>
        <v>0</v>
      </c>
      <c r="O1284" s="29">
        <f>SUMIFS(Cash_Flow_3[Amount],Cash_Flow_3[Bulan],H1284,Cash_Flow_3[Type],"Out",Cash_Flow_3[Category],"Kitchen")</f>
        <v>0</v>
      </c>
      <c r="P1284" s="29">
        <f>SUMIFS(Cash_Flow_3[Amount],Cash_Flow_3[Bulan],H1284,Cash_Flow_3[Type],"Out",Cash_Flow_3[Category],"Loandry")</f>
        <v>0</v>
      </c>
      <c r="Q1284" s="29">
        <f>SUMIFS(Cash_Flow_3[Amount],Cash_Flow_3[Bulan],H1284,Cash_Flow_3[Type],"Out",Cash_Flow_3[Category],"Mio")</f>
        <v>0</v>
      </c>
      <c r="R1284" s="29">
        <f>SUMIFS(Cash_Flow_3[Amount],Cash_Flow_3[Bulan],H1284,Cash_Flow_3[Type],"Out",Cash_Flow_3[Category],"Sedekah")</f>
        <v>0</v>
      </c>
      <c r="S1284" s="29">
        <f>SUMIFS(Cash_Flow_3[Amount],Cash_Flow_3[Bulan],H1284,Cash_Flow_3[Type],"Out",Cash_Flow_3[Category],"Zela")</f>
        <v>0</v>
      </c>
      <c r="T1284" s="29">
        <f>SUMIFS(Cash_Flow_3[Amount],Cash_Flow_3[Bulan],H1284,Cash_Flow_3[Type],"Out",Cash_Flow_3[Category],"Iqbal")</f>
        <v>0</v>
      </c>
    </row>
    <row r="1285" spans="1:20" ht="22.5" customHeight="1" x14ac:dyDescent="0.2">
      <c r="A1285" s="23"/>
      <c r="B1285" s="24"/>
      <c r="C1285" s="25"/>
      <c r="D1285" s="25"/>
      <c r="E1285" s="25"/>
      <c r="F1285" s="26"/>
      <c r="G1285" s="27"/>
      <c r="H1285" s="28" t="str">
        <f t="shared" si="0"/>
        <v/>
      </c>
      <c r="I1285" s="29">
        <f>SUMIFS(Cash_Flow_3[Amount],Cash_Flow_3[Bulan],H1285,Cash_Flow_3[Type],"In")</f>
        <v>0</v>
      </c>
      <c r="J1285" s="29">
        <f>SUMIFS(Cash_Flow_3[Amount],Cash_Flow_3[Bulan],H1285,Cash_Flow_3[Type],"Out")</f>
        <v>0</v>
      </c>
      <c r="K1285" s="29">
        <f>SUMIFS(Cash_Flow_3[Amount],Cash_Flow_3[Bulan],H1285,Cash_Flow_3[Type],"Out",Cash_Flow_3[Category],"Fix")</f>
        <v>0</v>
      </c>
      <c r="L1285" s="29">
        <f>SUMIFS(Cash_Flow_3[Amount],Cash_Flow_3[Bulan],H1285,Cash_Flow_3[Type],"Out",Cash_Flow_3[Category],"Bathroom")</f>
        <v>0</v>
      </c>
      <c r="M1285" s="29">
        <f>SUMIFS(Cash_Flow_3[Amount],Cash_Flow_3[Bulan],H1285,Cash_Flow_3[Type],"Out",Cash_Flow_3[Category],"Alfa")</f>
        <v>0</v>
      </c>
      <c r="N1285" s="29">
        <f>SUMIFS(Cash_Flow_3[Amount],Cash_Flow_3[Bulan],H1285,Cash_Flow_3[Type],"Out",Cash_Flow_3[Category],"Jajan")</f>
        <v>0</v>
      </c>
      <c r="O1285" s="29">
        <f>SUMIFS(Cash_Flow_3[Amount],Cash_Flow_3[Bulan],H1285,Cash_Flow_3[Type],"Out",Cash_Flow_3[Category],"Kitchen")</f>
        <v>0</v>
      </c>
      <c r="P1285" s="29">
        <f>SUMIFS(Cash_Flow_3[Amount],Cash_Flow_3[Bulan],H1285,Cash_Flow_3[Type],"Out",Cash_Flow_3[Category],"Loandry")</f>
        <v>0</v>
      </c>
      <c r="Q1285" s="29">
        <f>SUMIFS(Cash_Flow_3[Amount],Cash_Flow_3[Bulan],H1285,Cash_Flow_3[Type],"Out",Cash_Flow_3[Category],"Mio")</f>
        <v>0</v>
      </c>
      <c r="R1285" s="29">
        <f>SUMIFS(Cash_Flow_3[Amount],Cash_Flow_3[Bulan],H1285,Cash_Flow_3[Type],"Out",Cash_Flow_3[Category],"Sedekah")</f>
        <v>0</v>
      </c>
      <c r="S1285" s="29">
        <f>SUMIFS(Cash_Flow_3[Amount],Cash_Flow_3[Bulan],H1285,Cash_Flow_3[Type],"Out",Cash_Flow_3[Category],"Zela")</f>
        <v>0</v>
      </c>
      <c r="T1285" s="29">
        <f>SUMIFS(Cash_Flow_3[Amount],Cash_Flow_3[Bulan],H1285,Cash_Flow_3[Type],"Out",Cash_Flow_3[Category],"Iqbal")</f>
        <v>0</v>
      </c>
    </row>
    <row r="1286" spans="1:20" ht="22.5" customHeight="1" x14ac:dyDescent="0.2">
      <c r="A1286" s="23"/>
      <c r="B1286" s="24"/>
      <c r="C1286" s="25"/>
      <c r="D1286" s="25"/>
      <c r="E1286" s="25"/>
      <c r="F1286" s="26"/>
      <c r="G1286" s="27"/>
      <c r="H1286" s="28" t="str">
        <f t="shared" si="0"/>
        <v/>
      </c>
      <c r="I1286" s="29">
        <f>SUMIFS(Cash_Flow_3[Amount],Cash_Flow_3[Bulan],H1286,Cash_Flow_3[Type],"In")</f>
        <v>0</v>
      </c>
      <c r="J1286" s="29">
        <f>SUMIFS(Cash_Flow_3[Amount],Cash_Flow_3[Bulan],H1286,Cash_Flow_3[Type],"Out")</f>
        <v>0</v>
      </c>
      <c r="K1286" s="29">
        <f>SUMIFS(Cash_Flow_3[Amount],Cash_Flow_3[Bulan],H1286,Cash_Flow_3[Type],"Out",Cash_Flow_3[Category],"Fix")</f>
        <v>0</v>
      </c>
      <c r="L1286" s="29">
        <f>SUMIFS(Cash_Flow_3[Amount],Cash_Flow_3[Bulan],H1286,Cash_Flow_3[Type],"Out",Cash_Flow_3[Category],"Bathroom")</f>
        <v>0</v>
      </c>
      <c r="M1286" s="29">
        <f>SUMIFS(Cash_Flow_3[Amount],Cash_Flow_3[Bulan],H1286,Cash_Flow_3[Type],"Out",Cash_Flow_3[Category],"Alfa")</f>
        <v>0</v>
      </c>
      <c r="N1286" s="29">
        <f>SUMIFS(Cash_Flow_3[Amount],Cash_Flow_3[Bulan],H1286,Cash_Flow_3[Type],"Out",Cash_Flow_3[Category],"Jajan")</f>
        <v>0</v>
      </c>
      <c r="O1286" s="29">
        <f>SUMIFS(Cash_Flow_3[Amount],Cash_Flow_3[Bulan],H1286,Cash_Flow_3[Type],"Out",Cash_Flow_3[Category],"Kitchen")</f>
        <v>0</v>
      </c>
      <c r="P1286" s="29">
        <f>SUMIFS(Cash_Flow_3[Amount],Cash_Flow_3[Bulan],H1286,Cash_Flow_3[Type],"Out",Cash_Flow_3[Category],"Loandry")</f>
        <v>0</v>
      </c>
      <c r="Q1286" s="29">
        <f>SUMIFS(Cash_Flow_3[Amount],Cash_Flow_3[Bulan],H1286,Cash_Flow_3[Type],"Out",Cash_Flow_3[Category],"Mio")</f>
        <v>0</v>
      </c>
      <c r="R1286" s="29">
        <f>SUMIFS(Cash_Flow_3[Amount],Cash_Flow_3[Bulan],H1286,Cash_Flow_3[Type],"Out",Cash_Flow_3[Category],"Sedekah")</f>
        <v>0</v>
      </c>
      <c r="S1286" s="29">
        <f>SUMIFS(Cash_Flow_3[Amount],Cash_Flow_3[Bulan],H1286,Cash_Flow_3[Type],"Out",Cash_Flow_3[Category],"Zela")</f>
        <v>0</v>
      </c>
      <c r="T1286" s="29">
        <f>SUMIFS(Cash_Flow_3[Amount],Cash_Flow_3[Bulan],H1286,Cash_Flow_3[Type],"Out",Cash_Flow_3[Category],"Iqbal")</f>
        <v>0</v>
      </c>
    </row>
    <row r="1287" spans="1:20" ht="22.5" customHeight="1" x14ac:dyDescent="0.2">
      <c r="A1287" s="23"/>
      <c r="B1287" s="24"/>
      <c r="C1287" s="25"/>
      <c r="D1287" s="25"/>
      <c r="E1287" s="25"/>
      <c r="F1287" s="26"/>
      <c r="G1287" s="27"/>
      <c r="H1287" s="28" t="str">
        <f t="shared" si="0"/>
        <v/>
      </c>
      <c r="I1287" s="29">
        <f>SUMIFS(Cash_Flow_3[Amount],Cash_Flow_3[Bulan],H1287,Cash_Flow_3[Type],"In")</f>
        <v>0</v>
      </c>
      <c r="J1287" s="29">
        <f>SUMIFS(Cash_Flow_3[Amount],Cash_Flow_3[Bulan],H1287,Cash_Flow_3[Type],"Out")</f>
        <v>0</v>
      </c>
      <c r="K1287" s="29">
        <f>SUMIFS(Cash_Flow_3[Amount],Cash_Flow_3[Bulan],H1287,Cash_Flow_3[Type],"Out",Cash_Flow_3[Category],"Fix")</f>
        <v>0</v>
      </c>
      <c r="L1287" s="29">
        <f>SUMIFS(Cash_Flow_3[Amount],Cash_Flow_3[Bulan],H1287,Cash_Flow_3[Type],"Out",Cash_Flow_3[Category],"Bathroom")</f>
        <v>0</v>
      </c>
      <c r="M1287" s="29">
        <f>SUMIFS(Cash_Flow_3[Amount],Cash_Flow_3[Bulan],H1287,Cash_Flow_3[Type],"Out",Cash_Flow_3[Category],"Alfa")</f>
        <v>0</v>
      </c>
      <c r="N1287" s="29">
        <f>SUMIFS(Cash_Flow_3[Amount],Cash_Flow_3[Bulan],H1287,Cash_Flow_3[Type],"Out",Cash_Flow_3[Category],"Jajan")</f>
        <v>0</v>
      </c>
      <c r="O1287" s="29">
        <f>SUMIFS(Cash_Flow_3[Amount],Cash_Flow_3[Bulan],H1287,Cash_Flow_3[Type],"Out",Cash_Flow_3[Category],"Kitchen")</f>
        <v>0</v>
      </c>
      <c r="P1287" s="29">
        <f>SUMIFS(Cash_Flow_3[Amount],Cash_Flow_3[Bulan],H1287,Cash_Flow_3[Type],"Out",Cash_Flow_3[Category],"Loandry")</f>
        <v>0</v>
      </c>
      <c r="Q1287" s="29">
        <f>SUMIFS(Cash_Flow_3[Amount],Cash_Flow_3[Bulan],H1287,Cash_Flow_3[Type],"Out",Cash_Flow_3[Category],"Mio")</f>
        <v>0</v>
      </c>
      <c r="R1287" s="29">
        <f>SUMIFS(Cash_Flow_3[Amount],Cash_Flow_3[Bulan],H1287,Cash_Flow_3[Type],"Out",Cash_Flow_3[Category],"Sedekah")</f>
        <v>0</v>
      </c>
      <c r="S1287" s="29">
        <f>SUMIFS(Cash_Flow_3[Amount],Cash_Flow_3[Bulan],H1287,Cash_Flow_3[Type],"Out",Cash_Flow_3[Category],"Zela")</f>
        <v>0</v>
      </c>
      <c r="T1287" s="29">
        <f>SUMIFS(Cash_Flow_3[Amount],Cash_Flow_3[Bulan],H1287,Cash_Flow_3[Type],"Out",Cash_Flow_3[Category],"Iqbal")</f>
        <v>0</v>
      </c>
    </row>
    <row r="1288" spans="1:20" ht="22.5" customHeight="1" x14ac:dyDescent="0.2">
      <c r="A1288" s="23"/>
      <c r="B1288" s="24"/>
      <c r="C1288" s="25"/>
      <c r="D1288" s="25"/>
      <c r="E1288" s="25"/>
      <c r="F1288" s="26"/>
      <c r="G1288" s="27"/>
      <c r="H1288" s="28" t="str">
        <f t="shared" si="0"/>
        <v/>
      </c>
      <c r="I1288" s="29">
        <f>SUMIFS(Cash_Flow_3[Amount],Cash_Flow_3[Bulan],H1288,Cash_Flow_3[Type],"In")</f>
        <v>0</v>
      </c>
      <c r="J1288" s="29">
        <f>SUMIFS(Cash_Flow_3[Amount],Cash_Flow_3[Bulan],H1288,Cash_Flow_3[Type],"Out")</f>
        <v>0</v>
      </c>
      <c r="K1288" s="29">
        <f>SUMIFS(Cash_Flow_3[Amount],Cash_Flow_3[Bulan],H1288,Cash_Flow_3[Type],"Out",Cash_Flow_3[Category],"Fix")</f>
        <v>0</v>
      </c>
      <c r="L1288" s="29">
        <f>SUMIFS(Cash_Flow_3[Amount],Cash_Flow_3[Bulan],H1288,Cash_Flow_3[Type],"Out",Cash_Flow_3[Category],"Bathroom")</f>
        <v>0</v>
      </c>
      <c r="M1288" s="29">
        <f>SUMIFS(Cash_Flow_3[Amount],Cash_Flow_3[Bulan],H1288,Cash_Flow_3[Type],"Out",Cash_Flow_3[Category],"Alfa")</f>
        <v>0</v>
      </c>
      <c r="N1288" s="29">
        <f>SUMIFS(Cash_Flow_3[Amount],Cash_Flow_3[Bulan],H1288,Cash_Flow_3[Type],"Out",Cash_Flow_3[Category],"Jajan")</f>
        <v>0</v>
      </c>
      <c r="O1288" s="29">
        <f>SUMIFS(Cash_Flow_3[Amount],Cash_Flow_3[Bulan],H1288,Cash_Flow_3[Type],"Out",Cash_Flow_3[Category],"Kitchen")</f>
        <v>0</v>
      </c>
      <c r="P1288" s="29">
        <f>SUMIFS(Cash_Flow_3[Amount],Cash_Flow_3[Bulan],H1288,Cash_Flow_3[Type],"Out",Cash_Flow_3[Category],"Loandry")</f>
        <v>0</v>
      </c>
      <c r="Q1288" s="29">
        <f>SUMIFS(Cash_Flow_3[Amount],Cash_Flow_3[Bulan],H1288,Cash_Flow_3[Type],"Out",Cash_Flow_3[Category],"Mio")</f>
        <v>0</v>
      </c>
      <c r="R1288" s="29">
        <f>SUMIFS(Cash_Flow_3[Amount],Cash_Flow_3[Bulan],H1288,Cash_Flow_3[Type],"Out",Cash_Flow_3[Category],"Sedekah")</f>
        <v>0</v>
      </c>
      <c r="S1288" s="29">
        <f>SUMIFS(Cash_Flow_3[Amount],Cash_Flow_3[Bulan],H1288,Cash_Flow_3[Type],"Out",Cash_Flow_3[Category],"Zela")</f>
        <v>0</v>
      </c>
      <c r="T1288" s="29">
        <f>SUMIFS(Cash_Flow_3[Amount],Cash_Flow_3[Bulan],H1288,Cash_Flow_3[Type],"Out",Cash_Flow_3[Category],"Iqbal")</f>
        <v>0</v>
      </c>
    </row>
    <row r="1289" spans="1:20" ht="22.5" customHeight="1" x14ac:dyDescent="0.2">
      <c r="A1289" s="23"/>
      <c r="B1289" s="24"/>
      <c r="C1289" s="25"/>
      <c r="D1289" s="25"/>
      <c r="E1289" s="25"/>
      <c r="F1289" s="26"/>
      <c r="G1289" s="27"/>
      <c r="H1289" s="28" t="str">
        <f t="shared" si="0"/>
        <v/>
      </c>
      <c r="I1289" s="29">
        <f>SUMIFS(Cash_Flow_3[Amount],Cash_Flow_3[Bulan],H1289,Cash_Flow_3[Type],"In")</f>
        <v>0</v>
      </c>
      <c r="J1289" s="29">
        <f>SUMIFS(Cash_Flow_3[Amount],Cash_Flow_3[Bulan],H1289,Cash_Flow_3[Type],"Out")</f>
        <v>0</v>
      </c>
      <c r="K1289" s="29">
        <f>SUMIFS(Cash_Flow_3[Amount],Cash_Flow_3[Bulan],H1289,Cash_Flow_3[Type],"Out",Cash_Flow_3[Category],"Fix")</f>
        <v>0</v>
      </c>
      <c r="L1289" s="29">
        <f>SUMIFS(Cash_Flow_3[Amount],Cash_Flow_3[Bulan],H1289,Cash_Flow_3[Type],"Out",Cash_Flow_3[Category],"Bathroom")</f>
        <v>0</v>
      </c>
      <c r="M1289" s="29">
        <f>SUMIFS(Cash_Flow_3[Amount],Cash_Flow_3[Bulan],H1289,Cash_Flow_3[Type],"Out",Cash_Flow_3[Category],"Alfa")</f>
        <v>0</v>
      </c>
      <c r="N1289" s="29">
        <f>SUMIFS(Cash_Flow_3[Amount],Cash_Flow_3[Bulan],H1289,Cash_Flow_3[Type],"Out",Cash_Flow_3[Category],"Jajan")</f>
        <v>0</v>
      </c>
      <c r="O1289" s="29">
        <f>SUMIFS(Cash_Flow_3[Amount],Cash_Flow_3[Bulan],H1289,Cash_Flow_3[Type],"Out",Cash_Flow_3[Category],"Kitchen")</f>
        <v>0</v>
      </c>
      <c r="P1289" s="29">
        <f>SUMIFS(Cash_Flow_3[Amount],Cash_Flow_3[Bulan],H1289,Cash_Flow_3[Type],"Out",Cash_Flow_3[Category],"Loandry")</f>
        <v>0</v>
      </c>
      <c r="Q1289" s="29">
        <f>SUMIFS(Cash_Flow_3[Amount],Cash_Flow_3[Bulan],H1289,Cash_Flow_3[Type],"Out",Cash_Flow_3[Category],"Mio")</f>
        <v>0</v>
      </c>
      <c r="R1289" s="29">
        <f>SUMIFS(Cash_Flow_3[Amount],Cash_Flow_3[Bulan],H1289,Cash_Flow_3[Type],"Out",Cash_Flow_3[Category],"Sedekah")</f>
        <v>0</v>
      </c>
      <c r="S1289" s="29">
        <f>SUMIFS(Cash_Flow_3[Amount],Cash_Flow_3[Bulan],H1289,Cash_Flow_3[Type],"Out",Cash_Flow_3[Category],"Zela")</f>
        <v>0</v>
      </c>
      <c r="T1289" s="29">
        <f>SUMIFS(Cash_Flow_3[Amount],Cash_Flow_3[Bulan],H1289,Cash_Flow_3[Type],"Out",Cash_Flow_3[Category],"Iqbal")</f>
        <v>0</v>
      </c>
    </row>
    <row r="1290" spans="1:20" ht="22.5" customHeight="1" x14ac:dyDescent="0.2">
      <c r="A1290" s="23"/>
      <c r="B1290" s="24"/>
      <c r="C1290" s="25"/>
      <c r="D1290" s="25"/>
      <c r="E1290" s="25"/>
      <c r="F1290" s="26"/>
      <c r="G1290" s="27"/>
      <c r="H1290" s="28" t="str">
        <f t="shared" si="0"/>
        <v/>
      </c>
      <c r="I1290" s="29">
        <f>SUMIFS(Cash_Flow_3[Amount],Cash_Flow_3[Bulan],H1290,Cash_Flow_3[Type],"In")</f>
        <v>0</v>
      </c>
      <c r="J1290" s="29">
        <f>SUMIFS(Cash_Flow_3[Amount],Cash_Flow_3[Bulan],H1290,Cash_Flow_3[Type],"Out")</f>
        <v>0</v>
      </c>
      <c r="K1290" s="29">
        <f>SUMIFS(Cash_Flow_3[Amount],Cash_Flow_3[Bulan],H1290,Cash_Flow_3[Type],"Out",Cash_Flow_3[Category],"Fix")</f>
        <v>0</v>
      </c>
      <c r="L1290" s="29">
        <f>SUMIFS(Cash_Flow_3[Amount],Cash_Flow_3[Bulan],H1290,Cash_Flow_3[Type],"Out",Cash_Flow_3[Category],"Bathroom")</f>
        <v>0</v>
      </c>
      <c r="M1290" s="29">
        <f>SUMIFS(Cash_Flow_3[Amount],Cash_Flow_3[Bulan],H1290,Cash_Flow_3[Type],"Out",Cash_Flow_3[Category],"Alfa")</f>
        <v>0</v>
      </c>
      <c r="N1290" s="29">
        <f>SUMIFS(Cash_Flow_3[Amount],Cash_Flow_3[Bulan],H1290,Cash_Flow_3[Type],"Out",Cash_Flow_3[Category],"Jajan")</f>
        <v>0</v>
      </c>
      <c r="O1290" s="29">
        <f>SUMIFS(Cash_Flow_3[Amount],Cash_Flow_3[Bulan],H1290,Cash_Flow_3[Type],"Out",Cash_Flow_3[Category],"Kitchen")</f>
        <v>0</v>
      </c>
      <c r="P1290" s="29">
        <f>SUMIFS(Cash_Flow_3[Amount],Cash_Flow_3[Bulan],H1290,Cash_Flow_3[Type],"Out",Cash_Flow_3[Category],"Loandry")</f>
        <v>0</v>
      </c>
      <c r="Q1290" s="29">
        <f>SUMIFS(Cash_Flow_3[Amount],Cash_Flow_3[Bulan],H1290,Cash_Flow_3[Type],"Out",Cash_Flow_3[Category],"Mio")</f>
        <v>0</v>
      </c>
      <c r="R1290" s="29">
        <f>SUMIFS(Cash_Flow_3[Amount],Cash_Flow_3[Bulan],H1290,Cash_Flow_3[Type],"Out",Cash_Flow_3[Category],"Sedekah")</f>
        <v>0</v>
      </c>
      <c r="S1290" s="29">
        <f>SUMIFS(Cash_Flow_3[Amount],Cash_Flow_3[Bulan],H1290,Cash_Flow_3[Type],"Out",Cash_Flow_3[Category],"Zela")</f>
        <v>0</v>
      </c>
      <c r="T1290" s="29">
        <f>SUMIFS(Cash_Flow_3[Amount],Cash_Flow_3[Bulan],H1290,Cash_Flow_3[Type],"Out",Cash_Flow_3[Category],"Iqbal")</f>
        <v>0</v>
      </c>
    </row>
    <row r="1291" spans="1:20" ht="22.5" customHeight="1" x14ac:dyDescent="0.2">
      <c r="A1291" s="23"/>
      <c r="B1291" s="24"/>
      <c r="C1291" s="25"/>
      <c r="D1291" s="25"/>
      <c r="E1291" s="25"/>
      <c r="F1291" s="26"/>
      <c r="G1291" s="27"/>
      <c r="H1291" s="28" t="str">
        <f t="shared" si="0"/>
        <v/>
      </c>
      <c r="I1291" s="29">
        <f>SUMIFS(Cash_Flow_3[Amount],Cash_Flow_3[Bulan],H1291,Cash_Flow_3[Type],"In")</f>
        <v>0</v>
      </c>
      <c r="J1291" s="29">
        <f>SUMIFS(Cash_Flow_3[Amount],Cash_Flow_3[Bulan],H1291,Cash_Flow_3[Type],"Out")</f>
        <v>0</v>
      </c>
      <c r="K1291" s="29">
        <f>SUMIFS(Cash_Flow_3[Amount],Cash_Flow_3[Bulan],H1291,Cash_Flow_3[Type],"Out",Cash_Flow_3[Category],"Fix")</f>
        <v>0</v>
      </c>
      <c r="L1291" s="29">
        <f>SUMIFS(Cash_Flow_3[Amount],Cash_Flow_3[Bulan],H1291,Cash_Flow_3[Type],"Out",Cash_Flow_3[Category],"Bathroom")</f>
        <v>0</v>
      </c>
      <c r="M1291" s="29">
        <f>SUMIFS(Cash_Flow_3[Amount],Cash_Flow_3[Bulan],H1291,Cash_Flow_3[Type],"Out",Cash_Flow_3[Category],"Alfa")</f>
        <v>0</v>
      </c>
      <c r="N1291" s="29">
        <f>SUMIFS(Cash_Flow_3[Amount],Cash_Flow_3[Bulan],H1291,Cash_Flow_3[Type],"Out",Cash_Flow_3[Category],"Jajan")</f>
        <v>0</v>
      </c>
      <c r="O1291" s="29">
        <f>SUMIFS(Cash_Flow_3[Amount],Cash_Flow_3[Bulan],H1291,Cash_Flow_3[Type],"Out",Cash_Flow_3[Category],"Kitchen")</f>
        <v>0</v>
      </c>
      <c r="P1291" s="29">
        <f>SUMIFS(Cash_Flow_3[Amount],Cash_Flow_3[Bulan],H1291,Cash_Flow_3[Type],"Out",Cash_Flow_3[Category],"Loandry")</f>
        <v>0</v>
      </c>
      <c r="Q1291" s="29">
        <f>SUMIFS(Cash_Flow_3[Amount],Cash_Flow_3[Bulan],H1291,Cash_Flow_3[Type],"Out",Cash_Flow_3[Category],"Mio")</f>
        <v>0</v>
      </c>
      <c r="R1291" s="29">
        <f>SUMIFS(Cash_Flow_3[Amount],Cash_Flow_3[Bulan],H1291,Cash_Flow_3[Type],"Out",Cash_Flow_3[Category],"Sedekah")</f>
        <v>0</v>
      </c>
      <c r="S1291" s="29">
        <f>SUMIFS(Cash_Flow_3[Amount],Cash_Flow_3[Bulan],H1291,Cash_Flow_3[Type],"Out",Cash_Flow_3[Category],"Zela")</f>
        <v>0</v>
      </c>
      <c r="T1291" s="29">
        <f>SUMIFS(Cash_Flow_3[Amount],Cash_Flow_3[Bulan],H1291,Cash_Flow_3[Type],"Out",Cash_Flow_3[Category],"Iqbal")</f>
        <v>0</v>
      </c>
    </row>
    <row r="1292" spans="1:20" ht="22.5" customHeight="1" x14ac:dyDescent="0.2">
      <c r="A1292" s="23"/>
      <c r="B1292" s="24"/>
      <c r="C1292" s="25"/>
      <c r="D1292" s="25"/>
      <c r="E1292" s="25"/>
      <c r="F1292" s="26"/>
      <c r="G1292" s="27"/>
      <c r="H1292" s="28" t="str">
        <f t="shared" si="0"/>
        <v/>
      </c>
      <c r="I1292" s="29">
        <f>SUMIFS(Cash_Flow_3[Amount],Cash_Flow_3[Bulan],H1292,Cash_Flow_3[Type],"In")</f>
        <v>0</v>
      </c>
      <c r="J1292" s="29">
        <f>SUMIFS(Cash_Flow_3[Amount],Cash_Flow_3[Bulan],H1292,Cash_Flow_3[Type],"Out")</f>
        <v>0</v>
      </c>
      <c r="K1292" s="29">
        <f>SUMIFS(Cash_Flow_3[Amount],Cash_Flow_3[Bulan],H1292,Cash_Flow_3[Type],"Out",Cash_Flow_3[Category],"Fix")</f>
        <v>0</v>
      </c>
      <c r="L1292" s="29">
        <f>SUMIFS(Cash_Flow_3[Amount],Cash_Flow_3[Bulan],H1292,Cash_Flow_3[Type],"Out",Cash_Flow_3[Category],"Bathroom")</f>
        <v>0</v>
      </c>
      <c r="M1292" s="29">
        <f>SUMIFS(Cash_Flow_3[Amount],Cash_Flow_3[Bulan],H1292,Cash_Flow_3[Type],"Out",Cash_Flow_3[Category],"Alfa")</f>
        <v>0</v>
      </c>
      <c r="N1292" s="29">
        <f>SUMIFS(Cash_Flow_3[Amount],Cash_Flow_3[Bulan],H1292,Cash_Flow_3[Type],"Out",Cash_Flow_3[Category],"Jajan")</f>
        <v>0</v>
      </c>
      <c r="O1292" s="29">
        <f>SUMIFS(Cash_Flow_3[Amount],Cash_Flow_3[Bulan],H1292,Cash_Flow_3[Type],"Out",Cash_Flow_3[Category],"Kitchen")</f>
        <v>0</v>
      </c>
      <c r="P1292" s="29">
        <f>SUMIFS(Cash_Flow_3[Amount],Cash_Flow_3[Bulan],H1292,Cash_Flow_3[Type],"Out",Cash_Flow_3[Category],"Loandry")</f>
        <v>0</v>
      </c>
      <c r="Q1292" s="29">
        <f>SUMIFS(Cash_Flow_3[Amount],Cash_Flow_3[Bulan],H1292,Cash_Flow_3[Type],"Out",Cash_Flow_3[Category],"Mio")</f>
        <v>0</v>
      </c>
      <c r="R1292" s="29">
        <f>SUMIFS(Cash_Flow_3[Amount],Cash_Flow_3[Bulan],H1292,Cash_Flow_3[Type],"Out",Cash_Flow_3[Category],"Sedekah")</f>
        <v>0</v>
      </c>
      <c r="S1292" s="29">
        <f>SUMIFS(Cash_Flow_3[Amount],Cash_Flow_3[Bulan],H1292,Cash_Flow_3[Type],"Out",Cash_Flow_3[Category],"Zela")</f>
        <v>0</v>
      </c>
      <c r="T1292" s="29">
        <f>SUMIFS(Cash_Flow_3[Amount],Cash_Flow_3[Bulan],H1292,Cash_Flow_3[Type],"Out",Cash_Flow_3[Category],"Iqbal")</f>
        <v>0</v>
      </c>
    </row>
    <row r="1293" spans="1:20" ht="22.5" customHeight="1" x14ac:dyDescent="0.2">
      <c r="A1293" s="23"/>
      <c r="B1293" s="24"/>
      <c r="C1293" s="25"/>
      <c r="D1293" s="25"/>
      <c r="E1293" s="25"/>
      <c r="F1293" s="26"/>
      <c r="G1293" s="27"/>
      <c r="H1293" s="28" t="str">
        <f t="shared" si="0"/>
        <v/>
      </c>
      <c r="I1293" s="29">
        <f>SUMIFS(Cash_Flow_3[Amount],Cash_Flow_3[Bulan],H1293,Cash_Flow_3[Type],"In")</f>
        <v>0</v>
      </c>
      <c r="J1293" s="29">
        <f>SUMIFS(Cash_Flow_3[Amount],Cash_Flow_3[Bulan],H1293,Cash_Flow_3[Type],"Out")</f>
        <v>0</v>
      </c>
      <c r="K1293" s="29">
        <f>SUMIFS(Cash_Flow_3[Amount],Cash_Flow_3[Bulan],H1293,Cash_Flow_3[Type],"Out",Cash_Flow_3[Category],"Fix")</f>
        <v>0</v>
      </c>
      <c r="L1293" s="29">
        <f>SUMIFS(Cash_Flow_3[Amount],Cash_Flow_3[Bulan],H1293,Cash_Flow_3[Type],"Out",Cash_Flow_3[Category],"Bathroom")</f>
        <v>0</v>
      </c>
      <c r="M1293" s="29">
        <f>SUMIFS(Cash_Flow_3[Amount],Cash_Flow_3[Bulan],H1293,Cash_Flow_3[Type],"Out",Cash_Flow_3[Category],"Alfa")</f>
        <v>0</v>
      </c>
      <c r="N1293" s="29">
        <f>SUMIFS(Cash_Flow_3[Amount],Cash_Flow_3[Bulan],H1293,Cash_Flow_3[Type],"Out",Cash_Flow_3[Category],"Jajan")</f>
        <v>0</v>
      </c>
      <c r="O1293" s="29">
        <f>SUMIFS(Cash_Flow_3[Amount],Cash_Flow_3[Bulan],H1293,Cash_Flow_3[Type],"Out",Cash_Flow_3[Category],"Kitchen")</f>
        <v>0</v>
      </c>
      <c r="P1293" s="29">
        <f>SUMIFS(Cash_Flow_3[Amount],Cash_Flow_3[Bulan],H1293,Cash_Flow_3[Type],"Out",Cash_Flow_3[Category],"Loandry")</f>
        <v>0</v>
      </c>
      <c r="Q1293" s="29">
        <f>SUMIFS(Cash_Flow_3[Amount],Cash_Flow_3[Bulan],H1293,Cash_Flow_3[Type],"Out",Cash_Flow_3[Category],"Mio")</f>
        <v>0</v>
      </c>
      <c r="R1293" s="29">
        <f>SUMIFS(Cash_Flow_3[Amount],Cash_Flow_3[Bulan],H1293,Cash_Flow_3[Type],"Out",Cash_Flow_3[Category],"Sedekah")</f>
        <v>0</v>
      </c>
      <c r="S1293" s="29">
        <f>SUMIFS(Cash_Flow_3[Amount],Cash_Flow_3[Bulan],H1293,Cash_Flow_3[Type],"Out",Cash_Flow_3[Category],"Zela")</f>
        <v>0</v>
      </c>
      <c r="T1293" s="29">
        <f>SUMIFS(Cash_Flow_3[Amount],Cash_Flow_3[Bulan],H1293,Cash_Flow_3[Type],"Out",Cash_Flow_3[Category],"Iqbal")</f>
        <v>0</v>
      </c>
    </row>
    <row r="1294" spans="1:20" ht="22.5" customHeight="1" x14ac:dyDescent="0.2">
      <c r="A1294" s="23"/>
      <c r="B1294" s="24"/>
      <c r="C1294" s="25"/>
      <c r="D1294" s="25"/>
      <c r="E1294" s="25"/>
      <c r="F1294" s="26"/>
      <c r="G1294" s="27"/>
      <c r="H1294" s="28" t="str">
        <f t="shared" si="0"/>
        <v/>
      </c>
      <c r="I1294" s="29">
        <f>SUMIFS(Cash_Flow_3[Amount],Cash_Flow_3[Bulan],H1294,Cash_Flow_3[Type],"In")</f>
        <v>0</v>
      </c>
      <c r="J1294" s="29">
        <f>SUMIFS(Cash_Flow_3[Amount],Cash_Flow_3[Bulan],H1294,Cash_Flow_3[Type],"Out")</f>
        <v>0</v>
      </c>
      <c r="K1294" s="29">
        <f>SUMIFS(Cash_Flow_3[Amount],Cash_Flow_3[Bulan],H1294,Cash_Flow_3[Type],"Out",Cash_Flow_3[Category],"Fix")</f>
        <v>0</v>
      </c>
      <c r="L1294" s="29">
        <f>SUMIFS(Cash_Flow_3[Amount],Cash_Flow_3[Bulan],H1294,Cash_Flow_3[Type],"Out",Cash_Flow_3[Category],"Bathroom")</f>
        <v>0</v>
      </c>
      <c r="M1294" s="29">
        <f>SUMIFS(Cash_Flow_3[Amount],Cash_Flow_3[Bulan],H1294,Cash_Flow_3[Type],"Out",Cash_Flow_3[Category],"Alfa")</f>
        <v>0</v>
      </c>
      <c r="N1294" s="29">
        <f>SUMIFS(Cash_Flow_3[Amount],Cash_Flow_3[Bulan],H1294,Cash_Flow_3[Type],"Out",Cash_Flow_3[Category],"Jajan")</f>
        <v>0</v>
      </c>
      <c r="O1294" s="29">
        <f>SUMIFS(Cash_Flow_3[Amount],Cash_Flow_3[Bulan],H1294,Cash_Flow_3[Type],"Out",Cash_Flow_3[Category],"Kitchen")</f>
        <v>0</v>
      </c>
      <c r="P1294" s="29">
        <f>SUMIFS(Cash_Flow_3[Amount],Cash_Flow_3[Bulan],H1294,Cash_Flow_3[Type],"Out",Cash_Flow_3[Category],"Loandry")</f>
        <v>0</v>
      </c>
      <c r="Q1294" s="29">
        <f>SUMIFS(Cash_Flow_3[Amount],Cash_Flow_3[Bulan],H1294,Cash_Flow_3[Type],"Out",Cash_Flow_3[Category],"Mio")</f>
        <v>0</v>
      </c>
      <c r="R1294" s="29">
        <f>SUMIFS(Cash_Flow_3[Amount],Cash_Flow_3[Bulan],H1294,Cash_Flow_3[Type],"Out",Cash_Flow_3[Category],"Sedekah")</f>
        <v>0</v>
      </c>
      <c r="S1294" s="29">
        <f>SUMIFS(Cash_Flow_3[Amount],Cash_Flow_3[Bulan],H1294,Cash_Flow_3[Type],"Out",Cash_Flow_3[Category],"Zela")</f>
        <v>0</v>
      </c>
      <c r="T1294" s="29">
        <f>SUMIFS(Cash_Flow_3[Amount],Cash_Flow_3[Bulan],H1294,Cash_Flow_3[Type],"Out",Cash_Flow_3[Category],"Iqbal")</f>
        <v>0</v>
      </c>
    </row>
    <row r="1295" spans="1:20" ht="22.5" customHeight="1" x14ac:dyDescent="0.2">
      <c r="A1295" s="23"/>
      <c r="B1295" s="24"/>
      <c r="C1295" s="25"/>
      <c r="D1295" s="25"/>
      <c r="E1295" s="25"/>
      <c r="F1295" s="26"/>
      <c r="G1295" s="27"/>
      <c r="H1295" s="28" t="str">
        <f t="shared" si="0"/>
        <v/>
      </c>
      <c r="I1295" s="29">
        <f>SUMIFS(Cash_Flow_3[Amount],Cash_Flow_3[Bulan],H1295,Cash_Flow_3[Type],"In")</f>
        <v>0</v>
      </c>
      <c r="J1295" s="29">
        <f>SUMIFS(Cash_Flow_3[Amount],Cash_Flow_3[Bulan],H1295,Cash_Flow_3[Type],"Out")</f>
        <v>0</v>
      </c>
      <c r="K1295" s="29">
        <f>SUMIFS(Cash_Flow_3[Amount],Cash_Flow_3[Bulan],H1295,Cash_Flow_3[Type],"Out",Cash_Flow_3[Category],"Fix")</f>
        <v>0</v>
      </c>
      <c r="L1295" s="29">
        <f>SUMIFS(Cash_Flow_3[Amount],Cash_Flow_3[Bulan],H1295,Cash_Flow_3[Type],"Out",Cash_Flow_3[Category],"Bathroom")</f>
        <v>0</v>
      </c>
      <c r="M1295" s="29">
        <f>SUMIFS(Cash_Flow_3[Amount],Cash_Flow_3[Bulan],H1295,Cash_Flow_3[Type],"Out",Cash_Flow_3[Category],"Alfa")</f>
        <v>0</v>
      </c>
      <c r="N1295" s="29">
        <f>SUMIFS(Cash_Flow_3[Amount],Cash_Flow_3[Bulan],H1295,Cash_Flow_3[Type],"Out",Cash_Flow_3[Category],"Jajan")</f>
        <v>0</v>
      </c>
      <c r="O1295" s="29">
        <f>SUMIFS(Cash_Flow_3[Amount],Cash_Flow_3[Bulan],H1295,Cash_Flow_3[Type],"Out",Cash_Flow_3[Category],"Kitchen")</f>
        <v>0</v>
      </c>
      <c r="P1295" s="29">
        <f>SUMIFS(Cash_Flow_3[Amount],Cash_Flow_3[Bulan],H1295,Cash_Flow_3[Type],"Out",Cash_Flow_3[Category],"Loandry")</f>
        <v>0</v>
      </c>
      <c r="Q1295" s="29">
        <f>SUMIFS(Cash_Flow_3[Amount],Cash_Flow_3[Bulan],H1295,Cash_Flow_3[Type],"Out",Cash_Flow_3[Category],"Mio")</f>
        <v>0</v>
      </c>
      <c r="R1295" s="29">
        <f>SUMIFS(Cash_Flow_3[Amount],Cash_Flow_3[Bulan],H1295,Cash_Flow_3[Type],"Out",Cash_Flow_3[Category],"Sedekah")</f>
        <v>0</v>
      </c>
      <c r="S1295" s="29">
        <f>SUMIFS(Cash_Flow_3[Amount],Cash_Flow_3[Bulan],H1295,Cash_Flow_3[Type],"Out",Cash_Flow_3[Category],"Zela")</f>
        <v>0</v>
      </c>
      <c r="T1295" s="29">
        <f>SUMIFS(Cash_Flow_3[Amount],Cash_Flow_3[Bulan],H1295,Cash_Flow_3[Type],"Out",Cash_Flow_3[Category],"Iqbal")</f>
        <v>0</v>
      </c>
    </row>
    <row r="1296" spans="1:20" ht="22.5" customHeight="1" x14ac:dyDescent="0.2">
      <c r="A1296" s="23"/>
      <c r="B1296" s="24"/>
      <c r="C1296" s="25"/>
      <c r="D1296" s="25"/>
      <c r="E1296" s="25"/>
      <c r="F1296" s="26"/>
      <c r="G1296" s="27"/>
      <c r="H1296" s="28" t="str">
        <f t="shared" si="0"/>
        <v/>
      </c>
      <c r="I1296" s="29">
        <f>SUMIFS(Cash_Flow_3[Amount],Cash_Flow_3[Bulan],H1296,Cash_Flow_3[Type],"In")</f>
        <v>0</v>
      </c>
      <c r="J1296" s="29">
        <f>SUMIFS(Cash_Flow_3[Amount],Cash_Flow_3[Bulan],H1296,Cash_Flow_3[Type],"Out")</f>
        <v>0</v>
      </c>
      <c r="K1296" s="29">
        <f>SUMIFS(Cash_Flow_3[Amount],Cash_Flow_3[Bulan],H1296,Cash_Flow_3[Type],"Out",Cash_Flow_3[Category],"Fix")</f>
        <v>0</v>
      </c>
      <c r="L1296" s="29">
        <f>SUMIFS(Cash_Flow_3[Amount],Cash_Flow_3[Bulan],H1296,Cash_Flow_3[Type],"Out",Cash_Flow_3[Category],"Bathroom")</f>
        <v>0</v>
      </c>
      <c r="M1296" s="29">
        <f>SUMIFS(Cash_Flow_3[Amount],Cash_Flow_3[Bulan],H1296,Cash_Flow_3[Type],"Out",Cash_Flow_3[Category],"Alfa")</f>
        <v>0</v>
      </c>
      <c r="N1296" s="29">
        <f>SUMIFS(Cash_Flow_3[Amount],Cash_Flow_3[Bulan],H1296,Cash_Flow_3[Type],"Out",Cash_Flow_3[Category],"Jajan")</f>
        <v>0</v>
      </c>
      <c r="O1296" s="29">
        <f>SUMIFS(Cash_Flow_3[Amount],Cash_Flow_3[Bulan],H1296,Cash_Flow_3[Type],"Out",Cash_Flow_3[Category],"Kitchen")</f>
        <v>0</v>
      </c>
      <c r="P1296" s="29">
        <f>SUMIFS(Cash_Flow_3[Amount],Cash_Flow_3[Bulan],H1296,Cash_Flow_3[Type],"Out",Cash_Flow_3[Category],"Loandry")</f>
        <v>0</v>
      </c>
      <c r="Q1296" s="29">
        <f>SUMIFS(Cash_Flow_3[Amount],Cash_Flow_3[Bulan],H1296,Cash_Flow_3[Type],"Out",Cash_Flow_3[Category],"Mio")</f>
        <v>0</v>
      </c>
      <c r="R1296" s="29">
        <f>SUMIFS(Cash_Flow_3[Amount],Cash_Flow_3[Bulan],H1296,Cash_Flow_3[Type],"Out",Cash_Flow_3[Category],"Sedekah")</f>
        <v>0</v>
      </c>
      <c r="S1296" s="29">
        <f>SUMIFS(Cash_Flow_3[Amount],Cash_Flow_3[Bulan],H1296,Cash_Flow_3[Type],"Out",Cash_Flow_3[Category],"Zela")</f>
        <v>0</v>
      </c>
      <c r="T1296" s="29">
        <f>SUMIFS(Cash_Flow_3[Amount],Cash_Flow_3[Bulan],H1296,Cash_Flow_3[Type],"Out",Cash_Flow_3[Category],"Iqbal")</f>
        <v>0</v>
      </c>
    </row>
    <row r="1297" spans="1:20" ht="22.5" customHeight="1" x14ac:dyDescent="0.2">
      <c r="A1297" s="23"/>
      <c r="B1297" s="24"/>
      <c r="C1297" s="25"/>
      <c r="D1297" s="25"/>
      <c r="E1297" s="25"/>
      <c r="F1297" s="26"/>
      <c r="G1297" s="27"/>
      <c r="H1297" s="28" t="str">
        <f t="shared" si="0"/>
        <v/>
      </c>
      <c r="I1297" s="29">
        <f>SUMIFS(Cash_Flow_3[Amount],Cash_Flow_3[Bulan],H1297,Cash_Flow_3[Type],"In")</f>
        <v>0</v>
      </c>
      <c r="J1297" s="29">
        <f>SUMIFS(Cash_Flow_3[Amount],Cash_Flow_3[Bulan],H1297,Cash_Flow_3[Type],"Out")</f>
        <v>0</v>
      </c>
      <c r="K1297" s="29">
        <f>SUMIFS(Cash_Flow_3[Amount],Cash_Flow_3[Bulan],H1297,Cash_Flow_3[Type],"Out",Cash_Flow_3[Category],"Fix")</f>
        <v>0</v>
      </c>
      <c r="L1297" s="29">
        <f>SUMIFS(Cash_Flow_3[Amount],Cash_Flow_3[Bulan],H1297,Cash_Flow_3[Type],"Out",Cash_Flow_3[Category],"Bathroom")</f>
        <v>0</v>
      </c>
      <c r="M1297" s="29">
        <f>SUMIFS(Cash_Flow_3[Amount],Cash_Flow_3[Bulan],H1297,Cash_Flow_3[Type],"Out",Cash_Flow_3[Category],"Alfa")</f>
        <v>0</v>
      </c>
      <c r="N1297" s="29">
        <f>SUMIFS(Cash_Flow_3[Amount],Cash_Flow_3[Bulan],H1297,Cash_Flow_3[Type],"Out",Cash_Flow_3[Category],"Jajan")</f>
        <v>0</v>
      </c>
      <c r="O1297" s="29">
        <f>SUMIFS(Cash_Flow_3[Amount],Cash_Flow_3[Bulan],H1297,Cash_Flow_3[Type],"Out",Cash_Flow_3[Category],"Kitchen")</f>
        <v>0</v>
      </c>
      <c r="P1297" s="29">
        <f>SUMIFS(Cash_Flow_3[Amount],Cash_Flow_3[Bulan],H1297,Cash_Flow_3[Type],"Out",Cash_Flow_3[Category],"Loandry")</f>
        <v>0</v>
      </c>
      <c r="Q1297" s="29">
        <f>SUMIFS(Cash_Flow_3[Amount],Cash_Flow_3[Bulan],H1297,Cash_Flow_3[Type],"Out",Cash_Flow_3[Category],"Mio")</f>
        <v>0</v>
      </c>
      <c r="R1297" s="29">
        <f>SUMIFS(Cash_Flow_3[Amount],Cash_Flow_3[Bulan],H1297,Cash_Flow_3[Type],"Out",Cash_Flow_3[Category],"Sedekah")</f>
        <v>0</v>
      </c>
      <c r="S1297" s="29">
        <f>SUMIFS(Cash_Flow_3[Amount],Cash_Flow_3[Bulan],H1297,Cash_Flow_3[Type],"Out",Cash_Flow_3[Category],"Zela")</f>
        <v>0</v>
      </c>
      <c r="T1297" s="29">
        <f>SUMIFS(Cash_Flow_3[Amount],Cash_Flow_3[Bulan],H1297,Cash_Flow_3[Type],"Out",Cash_Flow_3[Category],"Iqbal")</f>
        <v>0</v>
      </c>
    </row>
    <row r="1298" spans="1:20" ht="22.5" customHeight="1" x14ac:dyDescent="0.2">
      <c r="A1298" s="23"/>
      <c r="B1298" s="24"/>
      <c r="C1298" s="25"/>
      <c r="D1298" s="25"/>
      <c r="E1298" s="25"/>
      <c r="F1298" s="26"/>
      <c r="G1298" s="27"/>
      <c r="H1298" s="28" t="str">
        <f t="shared" si="0"/>
        <v/>
      </c>
      <c r="I1298" s="29">
        <f>SUMIFS(Cash_Flow_3[Amount],Cash_Flow_3[Bulan],H1298,Cash_Flow_3[Type],"In")</f>
        <v>0</v>
      </c>
      <c r="J1298" s="29">
        <f>SUMIFS(Cash_Flow_3[Amount],Cash_Flow_3[Bulan],H1298,Cash_Flow_3[Type],"Out")</f>
        <v>0</v>
      </c>
      <c r="K1298" s="29">
        <f>SUMIFS(Cash_Flow_3[Amount],Cash_Flow_3[Bulan],H1298,Cash_Flow_3[Type],"Out",Cash_Flow_3[Category],"Fix")</f>
        <v>0</v>
      </c>
      <c r="L1298" s="29">
        <f>SUMIFS(Cash_Flow_3[Amount],Cash_Flow_3[Bulan],H1298,Cash_Flow_3[Type],"Out",Cash_Flow_3[Category],"Bathroom")</f>
        <v>0</v>
      </c>
      <c r="M1298" s="29">
        <f>SUMIFS(Cash_Flow_3[Amount],Cash_Flow_3[Bulan],H1298,Cash_Flow_3[Type],"Out",Cash_Flow_3[Category],"Alfa")</f>
        <v>0</v>
      </c>
      <c r="N1298" s="29">
        <f>SUMIFS(Cash_Flow_3[Amount],Cash_Flow_3[Bulan],H1298,Cash_Flow_3[Type],"Out",Cash_Flow_3[Category],"Jajan")</f>
        <v>0</v>
      </c>
      <c r="O1298" s="29">
        <f>SUMIFS(Cash_Flow_3[Amount],Cash_Flow_3[Bulan],H1298,Cash_Flow_3[Type],"Out",Cash_Flow_3[Category],"Kitchen")</f>
        <v>0</v>
      </c>
      <c r="P1298" s="29">
        <f>SUMIFS(Cash_Flow_3[Amount],Cash_Flow_3[Bulan],H1298,Cash_Flow_3[Type],"Out",Cash_Flow_3[Category],"Loandry")</f>
        <v>0</v>
      </c>
      <c r="Q1298" s="29">
        <f>SUMIFS(Cash_Flow_3[Amount],Cash_Flow_3[Bulan],H1298,Cash_Flow_3[Type],"Out",Cash_Flow_3[Category],"Mio")</f>
        <v>0</v>
      </c>
      <c r="R1298" s="29">
        <f>SUMIFS(Cash_Flow_3[Amount],Cash_Flow_3[Bulan],H1298,Cash_Flow_3[Type],"Out",Cash_Flow_3[Category],"Sedekah")</f>
        <v>0</v>
      </c>
      <c r="S1298" s="29">
        <f>SUMIFS(Cash_Flow_3[Amount],Cash_Flow_3[Bulan],H1298,Cash_Flow_3[Type],"Out",Cash_Flow_3[Category],"Zela")</f>
        <v>0</v>
      </c>
      <c r="T1298" s="29">
        <f>SUMIFS(Cash_Flow_3[Amount],Cash_Flow_3[Bulan],H1298,Cash_Flow_3[Type],"Out",Cash_Flow_3[Category],"Iqbal")</f>
        <v>0</v>
      </c>
    </row>
    <row r="1299" spans="1:20" ht="22.5" customHeight="1" x14ac:dyDescent="0.2">
      <c r="A1299" s="23"/>
      <c r="B1299" s="24"/>
      <c r="C1299" s="25"/>
      <c r="D1299" s="25"/>
      <c r="E1299" s="25"/>
      <c r="F1299" s="26"/>
      <c r="G1299" s="27"/>
      <c r="H1299" s="28" t="str">
        <f t="shared" si="0"/>
        <v/>
      </c>
      <c r="I1299" s="29">
        <f>SUMIFS(Cash_Flow_3[Amount],Cash_Flow_3[Bulan],H1299,Cash_Flow_3[Type],"In")</f>
        <v>0</v>
      </c>
      <c r="J1299" s="29">
        <f>SUMIFS(Cash_Flow_3[Amount],Cash_Flow_3[Bulan],H1299,Cash_Flow_3[Type],"Out")</f>
        <v>0</v>
      </c>
      <c r="K1299" s="29">
        <f>SUMIFS(Cash_Flow_3[Amount],Cash_Flow_3[Bulan],H1299,Cash_Flow_3[Type],"Out",Cash_Flow_3[Category],"Fix")</f>
        <v>0</v>
      </c>
      <c r="L1299" s="29">
        <f>SUMIFS(Cash_Flow_3[Amount],Cash_Flow_3[Bulan],H1299,Cash_Flow_3[Type],"Out",Cash_Flow_3[Category],"Bathroom")</f>
        <v>0</v>
      </c>
      <c r="M1299" s="29">
        <f>SUMIFS(Cash_Flow_3[Amount],Cash_Flow_3[Bulan],H1299,Cash_Flow_3[Type],"Out",Cash_Flow_3[Category],"Alfa")</f>
        <v>0</v>
      </c>
      <c r="N1299" s="29">
        <f>SUMIFS(Cash_Flow_3[Amount],Cash_Flow_3[Bulan],H1299,Cash_Flow_3[Type],"Out",Cash_Flow_3[Category],"Jajan")</f>
        <v>0</v>
      </c>
      <c r="O1299" s="29">
        <f>SUMIFS(Cash_Flow_3[Amount],Cash_Flow_3[Bulan],H1299,Cash_Flow_3[Type],"Out",Cash_Flow_3[Category],"Kitchen")</f>
        <v>0</v>
      </c>
      <c r="P1299" s="29">
        <f>SUMIFS(Cash_Flow_3[Amount],Cash_Flow_3[Bulan],H1299,Cash_Flow_3[Type],"Out",Cash_Flow_3[Category],"Loandry")</f>
        <v>0</v>
      </c>
      <c r="Q1299" s="29">
        <f>SUMIFS(Cash_Flow_3[Amount],Cash_Flow_3[Bulan],H1299,Cash_Flow_3[Type],"Out",Cash_Flow_3[Category],"Mio")</f>
        <v>0</v>
      </c>
      <c r="R1299" s="29">
        <f>SUMIFS(Cash_Flow_3[Amount],Cash_Flow_3[Bulan],H1299,Cash_Flow_3[Type],"Out",Cash_Flow_3[Category],"Sedekah")</f>
        <v>0</v>
      </c>
      <c r="S1299" s="29">
        <f>SUMIFS(Cash_Flow_3[Amount],Cash_Flow_3[Bulan],H1299,Cash_Flow_3[Type],"Out",Cash_Flow_3[Category],"Zela")</f>
        <v>0</v>
      </c>
      <c r="T1299" s="29">
        <f>SUMIFS(Cash_Flow_3[Amount],Cash_Flow_3[Bulan],H1299,Cash_Flow_3[Type],"Out",Cash_Flow_3[Category],"Iqbal")</f>
        <v>0</v>
      </c>
    </row>
    <row r="1300" spans="1:20" ht="22.5" customHeight="1" x14ac:dyDescent="0.2">
      <c r="A1300" s="23"/>
      <c r="B1300" s="24"/>
      <c r="C1300" s="25"/>
      <c r="D1300" s="25"/>
      <c r="E1300" s="25"/>
      <c r="F1300" s="26"/>
      <c r="G1300" s="27"/>
      <c r="H1300" s="28" t="str">
        <f t="shared" si="0"/>
        <v/>
      </c>
      <c r="I1300" s="29">
        <f>SUMIFS(Cash_Flow_3[Amount],Cash_Flow_3[Bulan],H1300,Cash_Flow_3[Type],"In")</f>
        <v>0</v>
      </c>
      <c r="J1300" s="29">
        <f>SUMIFS(Cash_Flow_3[Amount],Cash_Flow_3[Bulan],H1300,Cash_Flow_3[Type],"Out")</f>
        <v>0</v>
      </c>
      <c r="K1300" s="29">
        <f>SUMIFS(Cash_Flow_3[Amount],Cash_Flow_3[Bulan],H1300,Cash_Flow_3[Type],"Out",Cash_Flow_3[Category],"Fix")</f>
        <v>0</v>
      </c>
      <c r="L1300" s="29">
        <f>SUMIFS(Cash_Flow_3[Amount],Cash_Flow_3[Bulan],H1300,Cash_Flow_3[Type],"Out",Cash_Flow_3[Category],"Bathroom")</f>
        <v>0</v>
      </c>
      <c r="M1300" s="29">
        <f>SUMIFS(Cash_Flow_3[Amount],Cash_Flow_3[Bulan],H1300,Cash_Flow_3[Type],"Out",Cash_Flow_3[Category],"Alfa")</f>
        <v>0</v>
      </c>
      <c r="N1300" s="29">
        <f>SUMIFS(Cash_Flow_3[Amount],Cash_Flow_3[Bulan],H1300,Cash_Flow_3[Type],"Out",Cash_Flow_3[Category],"Jajan")</f>
        <v>0</v>
      </c>
      <c r="O1300" s="29">
        <f>SUMIFS(Cash_Flow_3[Amount],Cash_Flow_3[Bulan],H1300,Cash_Flow_3[Type],"Out",Cash_Flow_3[Category],"Kitchen")</f>
        <v>0</v>
      </c>
      <c r="P1300" s="29">
        <f>SUMIFS(Cash_Flow_3[Amount],Cash_Flow_3[Bulan],H1300,Cash_Flow_3[Type],"Out",Cash_Flow_3[Category],"Loandry")</f>
        <v>0</v>
      </c>
      <c r="Q1300" s="29">
        <f>SUMIFS(Cash_Flow_3[Amount],Cash_Flow_3[Bulan],H1300,Cash_Flow_3[Type],"Out",Cash_Flow_3[Category],"Mio")</f>
        <v>0</v>
      </c>
      <c r="R1300" s="29">
        <f>SUMIFS(Cash_Flow_3[Amount],Cash_Flow_3[Bulan],H1300,Cash_Flow_3[Type],"Out",Cash_Flow_3[Category],"Sedekah")</f>
        <v>0</v>
      </c>
      <c r="S1300" s="29">
        <f>SUMIFS(Cash_Flow_3[Amount],Cash_Flow_3[Bulan],H1300,Cash_Flow_3[Type],"Out",Cash_Flow_3[Category],"Zela")</f>
        <v>0</v>
      </c>
      <c r="T1300" s="29">
        <f>SUMIFS(Cash_Flow_3[Amount],Cash_Flow_3[Bulan],H1300,Cash_Flow_3[Type],"Out",Cash_Flow_3[Category],"Iqbal")</f>
        <v>0</v>
      </c>
    </row>
    <row r="1301" spans="1:20" ht="22.5" customHeight="1" x14ac:dyDescent="0.2">
      <c r="A1301" s="23"/>
      <c r="B1301" s="24"/>
      <c r="C1301" s="25"/>
      <c r="D1301" s="25"/>
      <c r="E1301" s="25"/>
      <c r="F1301" s="26"/>
      <c r="G1301" s="27"/>
      <c r="H1301" s="28" t="str">
        <f t="shared" si="0"/>
        <v/>
      </c>
      <c r="I1301" s="29">
        <f>SUMIFS(Cash_Flow_3[Amount],Cash_Flow_3[Bulan],H1301,Cash_Flow_3[Type],"In")</f>
        <v>0</v>
      </c>
      <c r="J1301" s="29">
        <f>SUMIFS(Cash_Flow_3[Amount],Cash_Flow_3[Bulan],H1301,Cash_Flow_3[Type],"Out")</f>
        <v>0</v>
      </c>
      <c r="K1301" s="29">
        <f>SUMIFS(Cash_Flow_3[Amount],Cash_Flow_3[Bulan],H1301,Cash_Flow_3[Type],"Out",Cash_Flow_3[Category],"Fix")</f>
        <v>0</v>
      </c>
      <c r="L1301" s="29">
        <f>SUMIFS(Cash_Flow_3[Amount],Cash_Flow_3[Bulan],H1301,Cash_Flow_3[Type],"Out",Cash_Flow_3[Category],"Bathroom")</f>
        <v>0</v>
      </c>
      <c r="M1301" s="29">
        <f>SUMIFS(Cash_Flow_3[Amount],Cash_Flow_3[Bulan],H1301,Cash_Flow_3[Type],"Out",Cash_Flow_3[Category],"Alfa")</f>
        <v>0</v>
      </c>
      <c r="N1301" s="29">
        <f>SUMIFS(Cash_Flow_3[Amount],Cash_Flow_3[Bulan],H1301,Cash_Flow_3[Type],"Out",Cash_Flow_3[Category],"Jajan")</f>
        <v>0</v>
      </c>
      <c r="O1301" s="29">
        <f>SUMIFS(Cash_Flow_3[Amount],Cash_Flow_3[Bulan],H1301,Cash_Flow_3[Type],"Out",Cash_Flow_3[Category],"Kitchen")</f>
        <v>0</v>
      </c>
      <c r="P1301" s="29">
        <f>SUMIFS(Cash_Flow_3[Amount],Cash_Flow_3[Bulan],H1301,Cash_Flow_3[Type],"Out",Cash_Flow_3[Category],"Loandry")</f>
        <v>0</v>
      </c>
      <c r="Q1301" s="29">
        <f>SUMIFS(Cash_Flow_3[Amount],Cash_Flow_3[Bulan],H1301,Cash_Flow_3[Type],"Out",Cash_Flow_3[Category],"Mio")</f>
        <v>0</v>
      </c>
      <c r="R1301" s="29">
        <f>SUMIFS(Cash_Flow_3[Amount],Cash_Flow_3[Bulan],H1301,Cash_Flow_3[Type],"Out",Cash_Flow_3[Category],"Sedekah")</f>
        <v>0</v>
      </c>
      <c r="S1301" s="29">
        <f>SUMIFS(Cash_Flow_3[Amount],Cash_Flow_3[Bulan],H1301,Cash_Flow_3[Type],"Out",Cash_Flow_3[Category],"Zela")</f>
        <v>0</v>
      </c>
      <c r="T1301" s="29">
        <f>SUMIFS(Cash_Flow_3[Amount],Cash_Flow_3[Bulan],H1301,Cash_Flow_3[Type],"Out",Cash_Flow_3[Category],"Iqbal")</f>
        <v>0</v>
      </c>
    </row>
    <row r="1302" spans="1:20" ht="22.5" customHeight="1" x14ac:dyDescent="0.2">
      <c r="A1302" s="23"/>
      <c r="B1302" s="24"/>
      <c r="C1302" s="25"/>
      <c r="D1302" s="25"/>
      <c r="E1302" s="25"/>
      <c r="F1302" s="26"/>
      <c r="G1302" s="27"/>
      <c r="H1302" s="28" t="str">
        <f t="shared" si="0"/>
        <v/>
      </c>
      <c r="I1302" s="29">
        <f>SUMIFS(Cash_Flow_3[Amount],Cash_Flow_3[Bulan],H1302,Cash_Flow_3[Type],"In")</f>
        <v>0</v>
      </c>
      <c r="J1302" s="29">
        <f>SUMIFS(Cash_Flow_3[Amount],Cash_Flow_3[Bulan],H1302,Cash_Flow_3[Type],"Out")</f>
        <v>0</v>
      </c>
      <c r="K1302" s="29">
        <f>SUMIFS(Cash_Flow_3[Amount],Cash_Flow_3[Bulan],H1302,Cash_Flow_3[Type],"Out",Cash_Flow_3[Category],"Fix")</f>
        <v>0</v>
      </c>
      <c r="L1302" s="29">
        <f>SUMIFS(Cash_Flow_3[Amount],Cash_Flow_3[Bulan],H1302,Cash_Flow_3[Type],"Out",Cash_Flow_3[Category],"Bathroom")</f>
        <v>0</v>
      </c>
      <c r="M1302" s="29">
        <f>SUMIFS(Cash_Flow_3[Amount],Cash_Flow_3[Bulan],H1302,Cash_Flow_3[Type],"Out",Cash_Flow_3[Category],"Alfa")</f>
        <v>0</v>
      </c>
      <c r="N1302" s="29">
        <f>SUMIFS(Cash_Flow_3[Amount],Cash_Flow_3[Bulan],H1302,Cash_Flow_3[Type],"Out",Cash_Flow_3[Category],"Jajan")</f>
        <v>0</v>
      </c>
      <c r="O1302" s="29">
        <f>SUMIFS(Cash_Flow_3[Amount],Cash_Flow_3[Bulan],H1302,Cash_Flow_3[Type],"Out",Cash_Flow_3[Category],"Kitchen")</f>
        <v>0</v>
      </c>
      <c r="P1302" s="29">
        <f>SUMIFS(Cash_Flow_3[Amount],Cash_Flow_3[Bulan],H1302,Cash_Flow_3[Type],"Out",Cash_Flow_3[Category],"Loandry")</f>
        <v>0</v>
      </c>
      <c r="Q1302" s="29">
        <f>SUMIFS(Cash_Flow_3[Amount],Cash_Flow_3[Bulan],H1302,Cash_Flow_3[Type],"Out",Cash_Flow_3[Category],"Mio")</f>
        <v>0</v>
      </c>
      <c r="R1302" s="29">
        <f>SUMIFS(Cash_Flow_3[Amount],Cash_Flow_3[Bulan],H1302,Cash_Flow_3[Type],"Out",Cash_Flow_3[Category],"Sedekah")</f>
        <v>0</v>
      </c>
      <c r="S1302" s="29">
        <f>SUMIFS(Cash_Flow_3[Amount],Cash_Flow_3[Bulan],H1302,Cash_Flow_3[Type],"Out",Cash_Flow_3[Category],"Zela")</f>
        <v>0</v>
      </c>
      <c r="T1302" s="29">
        <f>SUMIFS(Cash_Flow_3[Amount],Cash_Flow_3[Bulan],H1302,Cash_Flow_3[Type],"Out",Cash_Flow_3[Category],"Iqbal")</f>
        <v>0</v>
      </c>
    </row>
    <row r="1303" spans="1:20" ht="22.5" customHeight="1" x14ac:dyDescent="0.2">
      <c r="A1303" s="23"/>
      <c r="B1303" s="24"/>
      <c r="C1303" s="25"/>
      <c r="D1303" s="25"/>
      <c r="E1303" s="25"/>
      <c r="F1303" s="26"/>
      <c r="G1303" s="27"/>
      <c r="H1303" s="28" t="str">
        <f t="shared" si="0"/>
        <v/>
      </c>
      <c r="I1303" s="29">
        <f>SUMIFS(Cash_Flow_3[Amount],Cash_Flow_3[Bulan],H1303,Cash_Flow_3[Type],"In")</f>
        <v>0</v>
      </c>
      <c r="J1303" s="29">
        <f>SUMIFS(Cash_Flow_3[Amount],Cash_Flow_3[Bulan],H1303,Cash_Flow_3[Type],"Out")</f>
        <v>0</v>
      </c>
      <c r="K1303" s="29">
        <f>SUMIFS(Cash_Flow_3[Amount],Cash_Flow_3[Bulan],H1303,Cash_Flow_3[Type],"Out",Cash_Flow_3[Category],"Fix")</f>
        <v>0</v>
      </c>
      <c r="L1303" s="29">
        <f>SUMIFS(Cash_Flow_3[Amount],Cash_Flow_3[Bulan],H1303,Cash_Flow_3[Type],"Out",Cash_Flow_3[Category],"Bathroom")</f>
        <v>0</v>
      </c>
      <c r="M1303" s="29">
        <f>SUMIFS(Cash_Flow_3[Amount],Cash_Flow_3[Bulan],H1303,Cash_Flow_3[Type],"Out",Cash_Flow_3[Category],"Alfa")</f>
        <v>0</v>
      </c>
      <c r="N1303" s="29">
        <f>SUMIFS(Cash_Flow_3[Amount],Cash_Flow_3[Bulan],H1303,Cash_Flow_3[Type],"Out",Cash_Flow_3[Category],"Jajan")</f>
        <v>0</v>
      </c>
      <c r="O1303" s="29">
        <f>SUMIFS(Cash_Flow_3[Amount],Cash_Flow_3[Bulan],H1303,Cash_Flow_3[Type],"Out",Cash_Flow_3[Category],"Kitchen")</f>
        <v>0</v>
      </c>
      <c r="P1303" s="29">
        <f>SUMIFS(Cash_Flow_3[Amount],Cash_Flow_3[Bulan],H1303,Cash_Flow_3[Type],"Out",Cash_Flow_3[Category],"Loandry")</f>
        <v>0</v>
      </c>
      <c r="Q1303" s="29">
        <f>SUMIFS(Cash_Flow_3[Amount],Cash_Flow_3[Bulan],H1303,Cash_Flow_3[Type],"Out",Cash_Flow_3[Category],"Mio")</f>
        <v>0</v>
      </c>
      <c r="R1303" s="29">
        <f>SUMIFS(Cash_Flow_3[Amount],Cash_Flow_3[Bulan],H1303,Cash_Flow_3[Type],"Out",Cash_Flow_3[Category],"Sedekah")</f>
        <v>0</v>
      </c>
      <c r="S1303" s="29">
        <f>SUMIFS(Cash_Flow_3[Amount],Cash_Flow_3[Bulan],H1303,Cash_Flow_3[Type],"Out",Cash_Flow_3[Category],"Zela")</f>
        <v>0</v>
      </c>
      <c r="T1303" s="29">
        <f>SUMIFS(Cash_Flow_3[Amount],Cash_Flow_3[Bulan],H1303,Cash_Flow_3[Type],"Out",Cash_Flow_3[Category],"Iqbal")</f>
        <v>0</v>
      </c>
    </row>
    <row r="1304" spans="1:20" ht="22.5" customHeight="1" x14ac:dyDescent="0.2">
      <c r="A1304" s="23"/>
      <c r="B1304" s="24"/>
      <c r="C1304" s="25"/>
      <c r="D1304" s="25"/>
      <c r="E1304" s="25"/>
      <c r="F1304" s="26"/>
      <c r="G1304" s="27"/>
      <c r="H1304" s="28" t="str">
        <f t="shared" si="0"/>
        <v/>
      </c>
      <c r="I1304" s="29">
        <f>SUMIFS(Cash_Flow_3[Amount],Cash_Flow_3[Bulan],H1304,Cash_Flow_3[Type],"In")</f>
        <v>0</v>
      </c>
      <c r="J1304" s="29">
        <f>SUMIFS(Cash_Flow_3[Amount],Cash_Flow_3[Bulan],H1304,Cash_Flow_3[Type],"Out")</f>
        <v>0</v>
      </c>
      <c r="K1304" s="29">
        <f>SUMIFS(Cash_Flow_3[Amount],Cash_Flow_3[Bulan],H1304,Cash_Flow_3[Type],"Out",Cash_Flow_3[Category],"Fix")</f>
        <v>0</v>
      </c>
      <c r="L1304" s="29">
        <f>SUMIFS(Cash_Flow_3[Amount],Cash_Flow_3[Bulan],H1304,Cash_Flow_3[Type],"Out",Cash_Flow_3[Category],"Bathroom")</f>
        <v>0</v>
      </c>
      <c r="M1304" s="29">
        <f>SUMIFS(Cash_Flow_3[Amount],Cash_Flow_3[Bulan],H1304,Cash_Flow_3[Type],"Out",Cash_Flow_3[Category],"Alfa")</f>
        <v>0</v>
      </c>
      <c r="N1304" s="29">
        <f>SUMIFS(Cash_Flow_3[Amount],Cash_Flow_3[Bulan],H1304,Cash_Flow_3[Type],"Out",Cash_Flow_3[Category],"Jajan")</f>
        <v>0</v>
      </c>
      <c r="O1304" s="29">
        <f>SUMIFS(Cash_Flow_3[Amount],Cash_Flow_3[Bulan],H1304,Cash_Flow_3[Type],"Out",Cash_Flow_3[Category],"Kitchen")</f>
        <v>0</v>
      </c>
      <c r="P1304" s="29">
        <f>SUMIFS(Cash_Flow_3[Amount],Cash_Flow_3[Bulan],H1304,Cash_Flow_3[Type],"Out",Cash_Flow_3[Category],"Loandry")</f>
        <v>0</v>
      </c>
      <c r="Q1304" s="29">
        <f>SUMIFS(Cash_Flow_3[Amount],Cash_Flow_3[Bulan],H1304,Cash_Flow_3[Type],"Out",Cash_Flow_3[Category],"Mio")</f>
        <v>0</v>
      </c>
      <c r="R1304" s="29">
        <f>SUMIFS(Cash_Flow_3[Amount],Cash_Flow_3[Bulan],H1304,Cash_Flow_3[Type],"Out",Cash_Flow_3[Category],"Sedekah")</f>
        <v>0</v>
      </c>
      <c r="S1304" s="29">
        <f>SUMIFS(Cash_Flow_3[Amount],Cash_Flow_3[Bulan],H1304,Cash_Flow_3[Type],"Out",Cash_Flow_3[Category],"Zela")</f>
        <v>0</v>
      </c>
      <c r="T1304" s="29">
        <f>SUMIFS(Cash_Flow_3[Amount],Cash_Flow_3[Bulan],H1304,Cash_Flow_3[Type],"Out",Cash_Flow_3[Category],"Iqbal")</f>
        <v>0</v>
      </c>
    </row>
    <row r="1305" spans="1:20" ht="22.5" customHeight="1" x14ac:dyDescent="0.2">
      <c r="A1305" s="23"/>
      <c r="B1305" s="24"/>
      <c r="C1305" s="25"/>
      <c r="D1305" s="25"/>
      <c r="E1305" s="25"/>
      <c r="F1305" s="26"/>
      <c r="G1305" s="27"/>
      <c r="H1305" s="28" t="str">
        <f t="shared" si="0"/>
        <v/>
      </c>
      <c r="I1305" s="29">
        <f>SUMIFS(Cash_Flow_3[Amount],Cash_Flow_3[Bulan],H1305,Cash_Flow_3[Type],"In")</f>
        <v>0</v>
      </c>
      <c r="J1305" s="29">
        <f>SUMIFS(Cash_Flow_3[Amount],Cash_Flow_3[Bulan],H1305,Cash_Flow_3[Type],"Out")</f>
        <v>0</v>
      </c>
      <c r="K1305" s="29">
        <f>SUMIFS(Cash_Flow_3[Amount],Cash_Flow_3[Bulan],H1305,Cash_Flow_3[Type],"Out",Cash_Flow_3[Category],"Fix")</f>
        <v>0</v>
      </c>
      <c r="L1305" s="29">
        <f>SUMIFS(Cash_Flow_3[Amount],Cash_Flow_3[Bulan],H1305,Cash_Flow_3[Type],"Out",Cash_Flow_3[Category],"Bathroom")</f>
        <v>0</v>
      </c>
      <c r="M1305" s="29">
        <f>SUMIFS(Cash_Flow_3[Amount],Cash_Flow_3[Bulan],H1305,Cash_Flow_3[Type],"Out",Cash_Flow_3[Category],"Alfa")</f>
        <v>0</v>
      </c>
      <c r="N1305" s="29">
        <f>SUMIFS(Cash_Flow_3[Amount],Cash_Flow_3[Bulan],H1305,Cash_Flow_3[Type],"Out",Cash_Flow_3[Category],"Jajan")</f>
        <v>0</v>
      </c>
      <c r="O1305" s="29">
        <f>SUMIFS(Cash_Flow_3[Amount],Cash_Flow_3[Bulan],H1305,Cash_Flow_3[Type],"Out",Cash_Flow_3[Category],"Kitchen")</f>
        <v>0</v>
      </c>
      <c r="P1305" s="29">
        <f>SUMIFS(Cash_Flow_3[Amount],Cash_Flow_3[Bulan],H1305,Cash_Flow_3[Type],"Out",Cash_Flow_3[Category],"Loandry")</f>
        <v>0</v>
      </c>
      <c r="Q1305" s="29">
        <f>SUMIFS(Cash_Flow_3[Amount],Cash_Flow_3[Bulan],H1305,Cash_Flow_3[Type],"Out",Cash_Flow_3[Category],"Mio")</f>
        <v>0</v>
      </c>
      <c r="R1305" s="29">
        <f>SUMIFS(Cash_Flow_3[Amount],Cash_Flow_3[Bulan],H1305,Cash_Flow_3[Type],"Out",Cash_Flow_3[Category],"Sedekah")</f>
        <v>0</v>
      </c>
      <c r="S1305" s="29">
        <f>SUMIFS(Cash_Flow_3[Amount],Cash_Flow_3[Bulan],H1305,Cash_Flow_3[Type],"Out",Cash_Flow_3[Category],"Zela")</f>
        <v>0</v>
      </c>
      <c r="T1305" s="29">
        <f>SUMIFS(Cash_Flow_3[Amount],Cash_Flow_3[Bulan],H1305,Cash_Flow_3[Type],"Out",Cash_Flow_3[Category],"Iqbal")</f>
        <v>0</v>
      </c>
    </row>
    <row r="1306" spans="1:20" ht="22.5" customHeight="1" x14ac:dyDescent="0.2">
      <c r="A1306" s="23"/>
      <c r="B1306" s="24"/>
      <c r="C1306" s="25"/>
      <c r="D1306" s="25"/>
      <c r="E1306" s="25"/>
      <c r="F1306" s="26"/>
      <c r="G1306" s="27"/>
      <c r="H1306" s="28" t="str">
        <f t="shared" si="0"/>
        <v/>
      </c>
      <c r="I1306" s="29">
        <f>SUMIFS(Cash_Flow_3[Amount],Cash_Flow_3[Bulan],H1306,Cash_Flow_3[Type],"In")</f>
        <v>0</v>
      </c>
      <c r="J1306" s="29">
        <f>SUMIFS(Cash_Flow_3[Amount],Cash_Flow_3[Bulan],H1306,Cash_Flow_3[Type],"Out")</f>
        <v>0</v>
      </c>
      <c r="K1306" s="29">
        <f>SUMIFS(Cash_Flow_3[Amount],Cash_Flow_3[Bulan],H1306,Cash_Flow_3[Type],"Out",Cash_Flow_3[Category],"Fix")</f>
        <v>0</v>
      </c>
      <c r="L1306" s="29">
        <f>SUMIFS(Cash_Flow_3[Amount],Cash_Flow_3[Bulan],H1306,Cash_Flow_3[Type],"Out",Cash_Flow_3[Category],"Bathroom")</f>
        <v>0</v>
      </c>
      <c r="M1306" s="29">
        <f>SUMIFS(Cash_Flow_3[Amount],Cash_Flow_3[Bulan],H1306,Cash_Flow_3[Type],"Out",Cash_Flow_3[Category],"Alfa")</f>
        <v>0</v>
      </c>
      <c r="N1306" s="29">
        <f>SUMIFS(Cash_Flow_3[Amount],Cash_Flow_3[Bulan],H1306,Cash_Flow_3[Type],"Out",Cash_Flow_3[Category],"Jajan")</f>
        <v>0</v>
      </c>
      <c r="O1306" s="29">
        <f>SUMIFS(Cash_Flow_3[Amount],Cash_Flow_3[Bulan],H1306,Cash_Flow_3[Type],"Out",Cash_Flow_3[Category],"Kitchen")</f>
        <v>0</v>
      </c>
      <c r="P1306" s="29">
        <f>SUMIFS(Cash_Flow_3[Amount],Cash_Flow_3[Bulan],H1306,Cash_Flow_3[Type],"Out",Cash_Flow_3[Category],"Loandry")</f>
        <v>0</v>
      </c>
      <c r="Q1306" s="29">
        <f>SUMIFS(Cash_Flow_3[Amount],Cash_Flow_3[Bulan],H1306,Cash_Flow_3[Type],"Out",Cash_Flow_3[Category],"Mio")</f>
        <v>0</v>
      </c>
      <c r="R1306" s="29">
        <f>SUMIFS(Cash_Flow_3[Amount],Cash_Flow_3[Bulan],H1306,Cash_Flow_3[Type],"Out",Cash_Flow_3[Category],"Sedekah")</f>
        <v>0</v>
      </c>
      <c r="S1306" s="29">
        <f>SUMIFS(Cash_Flow_3[Amount],Cash_Flow_3[Bulan],H1306,Cash_Flow_3[Type],"Out",Cash_Flow_3[Category],"Zela")</f>
        <v>0</v>
      </c>
      <c r="T1306" s="29">
        <f>SUMIFS(Cash_Flow_3[Amount],Cash_Flow_3[Bulan],H1306,Cash_Flow_3[Type],"Out",Cash_Flow_3[Category],"Iqbal")</f>
        <v>0</v>
      </c>
    </row>
    <row r="1307" spans="1:20" ht="22.5" customHeight="1" x14ac:dyDescent="0.2">
      <c r="A1307" s="23"/>
      <c r="B1307" s="24"/>
      <c r="C1307" s="25"/>
      <c r="D1307" s="25"/>
      <c r="E1307" s="25"/>
      <c r="F1307" s="26"/>
      <c r="G1307" s="27"/>
      <c r="H1307" s="28" t="str">
        <f t="shared" si="0"/>
        <v/>
      </c>
      <c r="I1307" s="29">
        <f>SUMIFS(Cash_Flow_3[Amount],Cash_Flow_3[Bulan],H1307,Cash_Flow_3[Type],"In")</f>
        <v>0</v>
      </c>
      <c r="J1307" s="29">
        <f>SUMIFS(Cash_Flow_3[Amount],Cash_Flow_3[Bulan],H1307,Cash_Flow_3[Type],"Out")</f>
        <v>0</v>
      </c>
      <c r="K1307" s="29">
        <f>SUMIFS(Cash_Flow_3[Amount],Cash_Flow_3[Bulan],H1307,Cash_Flow_3[Type],"Out",Cash_Flow_3[Category],"Fix")</f>
        <v>0</v>
      </c>
      <c r="L1307" s="29">
        <f>SUMIFS(Cash_Flow_3[Amount],Cash_Flow_3[Bulan],H1307,Cash_Flow_3[Type],"Out",Cash_Flow_3[Category],"Bathroom")</f>
        <v>0</v>
      </c>
      <c r="M1307" s="29">
        <f>SUMIFS(Cash_Flow_3[Amount],Cash_Flow_3[Bulan],H1307,Cash_Flow_3[Type],"Out",Cash_Flow_3[Category],"Alfa")</f>
        <v>0</v>
      </c>
      <c r="N1307" s="29">
        <f>SUMIFS(Cash_Flow_3[Amount],Cash_Flow_3[Bulan],H1307,Cash_Flow_3[Type],"Out",Cash_Flow_3[Category],"Jajan")</f>
        <v>0</v>
      </c>
      <c r="O1307" s="29">
        <f>SUMIFS(Cash_Flow_3[Amount],Cash_Flow_3[Bulan],H1307,Cash_Flow_3[Type],"Out",Cash_Flow_3[Category],"Kitchen")</f>
        <v>0</v>
      </c>
      <c r="P1307" s="29">
        <f>SUMIFS(Cash_Flow_3[Amount],Cash_Flow_3[Bulan],H1307,Cash_Flow_3[Type],"Out",Cash_Flow_3[Category],"Loandry")</f>
        <v>0</v>
      </c>
      <c r="Q1307" s="29">
        <f>SUMIFS(Cash_Flow_3[Amount],Cash_Flow_3[Bulan],H1307,Cash_Flow_3[Type],"Out",Cash_Flow_3[Category],"Mio")</f>
        <v>0</v>
      </c>
      <c r="R1307" s="29">
        <f>SUMIFS(Cash_Flow_3[Amount],Cash_Flow_3[Bulan],H1307,Cash_Flow_3[Type],"Out",Cash_Flow_3[Category],"Sedekah")</f>
        <v>0</v>
      </c>
      <c r="S1307" s="29">
        <f>SUMIFS(Cash_Flow_3[Amount],Cash_Flow_3[Bulan],H1307,Cash_Flow_3[Type],"Out",Cash_Flow_3[Category],"Zela")</f>
        <v>0</v>
      </c>
      <c r="T1307" s="29">
        <f>SUMIFS(Cash_Flow_3[Amount],Cash_Flow_3[Bulan],H1307,Cash_Flow_3[Type],"Out",Cash_Flow_3[Category],"Iqbal")</f>
        <v>0</v>
      </c>
    </row>
    <row r="1308" spans="1:20" ht="22.5" customHeight="1" x14ac:dyDescent="0.2">
      <c r="A1308" s="23"/>
      <c r="B1308" s="24"/>
      <c r="C1308" s="25"/>
      <c r="D1308" s="25"/>
      <c r="E1308" s="25"/>
      <c r="F1308" s="26"/>
      <c r="G1308" s="27"/>
      <c r="H1308" s="28" t="str">
        <f t="shared" si="0"/>
        <v/>
      </c>
      <c r="I1308" s="29">
        <f>SUMIFS(Cash_Flow_3[Amount],Cash_Flow_3[Bulan],H1308,Cash_Flow_3[Type],"In")</f>
        <v>0</v>
      </c>
      <c r="J1308" s="29">
        <f>SUMIFS(Cash_Flow_3[Amount],Cash_Flow_3[Bulan],H1308,Cash_Flow_3[Type],"Out")</f>
        <v>0</v>
      </c>
      <c r="K1308" s="29">
        <f>SUMIFS(Cash_Flow_3[Amount],Cash_Flow_3[Bulan],H1308,Cash_Flow_3[Type],"Out",Cash_Flow_3[Category],"Fix")</f>
        <v>0</v>
      </c>
      <c r="L1308" s="29">
        <f>SUMIFS(Cash_Flow_3[Amount],Cash_Flow_3[Bulan],H1308,Cash_Flow_3[Type],"Out",Cash_Flow_3[Category],"Bathroom")</f>
        <v>0</v>
      </c>
      <c r="M1308" s="29">
        <f>SUMIFS(Cash_Flow_3[Amount],Cash_Flow_3[Bulan],H1308,Cash_Flow_3[Type],"Out",Cash_Flow_3[Category],"Alfa")</f>
        <v>0</v>
      </c>
      <c r="N1308" s="29">
        <f>SUMIFS(Cash_Flow_3[Amount],Cash_Flow_3[Bulan],H1308,Cash_Flow_3[Type],"Out",Cash_Flow_3[Category],"Jajan")</f>
        <v>0</v>
      </c>
      <c r="O1308" s="29">
        <f>SUMIFS(Cash_Flow_3[Amount],Cash_Flow_3[Bulan],H1308,Cash_Flow_3[Type],"Out",Cash_Flow_3[Category],"Kitchen")</f>
        <v>0</v>
      </c>
      <c r="P1308" s="29">
        <f>SUMIFS(Cash_Flow_3[Amount],Cash_Flow_3[Bulan],H1308,Cash_Flow_3[Type],"Out",Cash_Flow_3[Category],"Loandry")</f>
        <v>0</v>
      </c>
      <c r="Q1308" s="29">
        <f>SUMIFS(Cash_Flow_3[Amount],Cash_Flow_3[Bulan],H1308,Cash_Flow_3[Type],"Out",Cash_Flow_3[Category],"Mio")</f>
        <v>0</v>
      </c>
      <c r="R1308" s="29">
        <f>SUMIFS(Cash_Flow_3[Amount],Cash_Flow_3[Bulan],H1308,Cash_Flow_3[Type],"Out",Cash_Flow_3[Category],"Sedekah")</f>
        <v>0</v>
      </c>
      <c r="S1308" s="29">
        <f>SUMIFS(Cash_Flow_3[Amount],Cash_Flow_3[Bulan],H1308,Cash_Flow_3[Type],"Out",Cash_Flow_3[Category],"Zela")</f>
        <v>0</v>
      </c>
      <c r="T1308" s="29">
        <f>SUMIFS(Cash_Flow_3[Amount],Cash_Flow_3[Bulan],H1308,Cash_Flow_3[Type],"Out",Cash_Flow_3[Category],"Iqbal")</f>
        <v>0</v>
      </c>
    </row>
    <row r="1309" spans="1:20" ht="22.5" customHeight="1" x14ac:dyDescent="0.2">
      <c r="A1309" s="23"/>
      <c r="B1309" s="24"/>
      <c r="C1309" s="25"/>
      <c r="D1309" s="25"/>
      <c r="E1309" s="25"/>
      <c r="F1309" s="26"/>
      <c r="G1309" s="27"/>
      <c r="H1309" s="28" t="str">
        <f t="shared" si="0"/>
        <v/>
      </c>
      <c r="I1309" s="29">
        <f>SUMIFS(Cash_Flow_3[Amount],Cash_Flow_3[Bulan],H1309,Cash_Flow_3[Type],"In")</f>
        <v>0</v>
      </c>
      <c r="J1309" s="29">
        <f>SUMIFS(Cash_Flow_3[Amount],Cash_Flow_3[Bulan],H1309,Cash_Flow_3[Type],"Out")</f>
        <v>0</v>
      </c>
      <c r="K1309" s="29">
        <f>SUMIFS(Cash_Flow_3[Amount],Cash_Flow_3[Bulan],H1309,Cash_Flow_3[Type],"Out",Cash_Flow_3[Category],"Fix")</f>
        <v>0</v>
      </c>
      <c r="L1309" s="29">
        <f>SUMIFS(Cash_Flow_3[Amount],Cash_Flow_3[Bulan],H1309,Cash_Flow_3[Type],"Out",Cash_Flow_3[Category],"Bathroom")</f>
        <v>0</v>
      </c>
      <c r="M1309" s="29">
        <f>SUMIFS(Cash_Flow_3[Amount],Cash_Flow_3[Bulan],H1309,Cash_Flow_3[Type],"Out",Cash_Flow_3[Category],"Alfa")</f>
        <v>0</v>
      </c>
      <c r="N1309" s="29">
        <f>SUMIFS(Cash_Flow_3[Amount],Cash_Flow_3[Bulan],H1309,Cash_Flow_3[Type],"Out",Cash_Flow_3[Category],"Jajan")</f>
        <v>0</v>
      </c>
      <c r="O1309" s="29">
        <f>SUMIFS(Cash_Flow_3[Amount],Cash_Flow_3[Bulan],H1309,Cash_Flow_3[Type],"Out",Cash_Flow_3[Category],"Kitchen")</f>
        <v>0</v>
      </c>
      <c r="P1309" s="29">
        <f>SUMIFS(Cash_Flow_3[Amount],Cash_Flow_3[Bulan],H1309,Cash_Flow_3[Type],"Out",Cash_Flow_3[Category],"Loandry")</f>
        <v>0</v>
      </c>
      <c r="Q1309" s="29">
        <f>SUMIFS(Cash_Flow_3[Amount],Cash_Flow_3[Bulan],H1309,Cash_Flow_3[Type],"Out",Cash_Flow_3[Category],"Mio")</f>
        <v>0</v>
      </c>
      <c r="R1309" s="29">
        <f>SUMIFS(Cash_Flow_3[Amount],Cash_Flow_3[Bulan],H1309,Cash_Flow_3[Type],"Out",Cash_Flow_3[Category],"Sedekah")</f>
        <v>0</v>
      </c>
      <c r="S1309" s="29">
        <f>SUMIFS(Cash_Flow_3[Amount],Cash_Flow_3[Bulan],H1309,Cash_Flow_3[Type],"Out",Cash_Flow_3[Category],"Zela")</f>
        <v>0</v>
      </c>
      <c r="T1309" s="29">
        <f>SUMIFS(Cash_Flow_3[Amount],Cash_Flow_3[Bulan],H1309,Cash_Flow_3[Type],"Out",Cash_Flow_3[Category],"Iqbal")</f>
        <v>0</v>
      </c>
    </row>
    <row r="1310" spans="1:20" ht="22.5" customHeight="1" x14ac:dyDescent="0.2">
      <c r="A1310" s="23"/>
      <c r="B1310" s="24"/>
      <c r="C1310" s="25"/>
      <c r="D1310" s="25"/>
      <c r="E1310" s="25"/>
      <c r="F1310" s="26"/>
      <c r="G1310" s="27"/>
      <c r="H1310" s="28" t="str">
        <f t="shared" si="0"/>
        <v/>
      </c>
      <c r="I1310" s="29">
        <f>SUMIFS(Cash_Flow_3[Amount],Cash_Flow_3[Bulan],H1310,Cash_Flow_3[Type],"In")</f>
        <v>0</v>
      </c>
      <c r="J1310" s="29">
        <f>SUMIFS(Cash_Flow_3[Amount],Cash_Flow_3[Bulan],H1310,Cash_Flow_3[Type],"Out")</f>
        <v>0</v>
      </c>
      <c r="K1310" s="29">
        <f>SUMIFS(Cash_Flow_3[Amount],Cash_Flow_3[Bulan],H1310,Cash_Flow_3[Type],"Out",Cash_Flow_3[Category],"Fix")</f>
        <v>0</v>
      </c>
      <c r="L1310" s="29">
        <f>SUMIFS(Cash_Flow_3[Amount],Cash_Flow_3[Bulan],H1310,Cash_Flow_3[Type],"Out",Cash_Flow_3[Category],"Bathroom")</f>
        <v>0</v>
      </c>
      <c r="M1310" s="29">
        <f>SUMIFS(Cash_Flow_3[Amount],Cash_Flow_3[Bulan],H1310,Cash_Flow_3[Type],"Out",Cash_Flow_3[Category],"Alfa")</f>
        <v>0</v>
      </c>
      <c r="N1310" s="29">
        <f>SUMIFS(Cash_Flow_3[Amount],Cash_Flow_3[Bulan],H1310,Cash_Flow_3[Type],"Out",Cash_Flow_3[Category],"Jajan")</f>
        <v>0</v>
      </c>
      <c r="O1310" s="29">
        <f>SUMIFS(Cash_Flow_3[Amount],Cash_Flow_3[Bulan],H1310,Cash_Flow_3[Type],"Out",Cash_Flow_3[Category],"Kitchen")</f>
        <v>0</v>
      </c>
      <c r="P1310" s="29">
        <f>SUMIFS(Cash_Flow_3[Amount],Cash_Flow_3[Bulan],H1310,Cash_Flow_3[Type],"Out",Cash_Flow_3[Category],"Loandry")</f>
        <v>0</v>
      </c>
      <c r="Q1310" s="29">
        <f>SUMIFS(Cash_Flow_3[Amount],Cash_Flow_3[Bulan],H1310,Cash_Flow_3[Type],"Out",Cash_Flow_3[Category],"Mio")</f>
        <v>0</v>
      </c>
      <c r="R1310" s="29">
        <f>SUMIFS(Cash_Flow_3[Amount],Cash_Flow_3[Bulan],H1310,Cash_Flow_3[Type],"Out",Cash_Flow_3[Category],"Sedekah")</f>
        <v>0</v>
      </c>
      <c r="S1310" s="29">
        <f>SUMIFS(Cash_Flow_3[Amount],Cash_Flow_3[Bulan],H1310,Cash_Flow_3[Type],"Out",Cash_Flow_3[Category],"Zela")</f>
        <v>0</v>
      </c>
      <c r="T1310" s="29">
        <f>SUMIFS(Cash_Flow_3[Amount],Cash_Flow_3[Bulan],H1310,Cash_Flow_3[Type],"Out",Cash_Flow_3[Category],"Iqbal")</f>
        <v>0</v>
      </c>
    </row>
    <row r="1311" spans="1:20" ht="22.5" customHeight="1" x14ac:dyDescent="0.2">
      <c r="A1311" s="23"/>
      <c r="B1311" s="24"/>
      <c r="C1311" s="25"/>
      <c r="D1311" s="25"/>
      <c r="E1311" s="25"/>
      <c r="F1311" s="26"/>
      <c r="G1311" s="27"/>
      <c r="H1311" s="28" t="str">
        <f t="shared" si="0"/>
        <v/>
      </c>
      <c r="I1311" s="29">
        <f>SUMIFS(Cash_Flow_3[Amount],Cash_Flow_3[Bulan],H1311,Cash_Flow_3[Type],"In")</f>
        <v>0</v>
      </c>
      <c r="J1311" s="29">
        <f>SUMIFS(Cash_Flow_3[Amount],Cash_Flow_3[Bulan],H1311,Cash_Flow_3[Type],"Out")</f>
        <v>0</v>
      </c>
      <c r="K1311" s="29">
        <f>SUMIFS(Cash_Flow_3[Amount],Cash_Flow_3[Bulan],H1311,Cash_Flow_3[Type],"Out",Cash_Flow_3[Category],"Fix")</f>
        <v>0</v>
      </c>
      <c r="L1311" s="29">
        <f>SUMIFS(Cash_Flow_3[Amount],Cash_Flow_3[Bulan],H1311,Cash_Flow_3[Type],"Out",Cash_Flow_3[Category],"Bathroom")</f>
        <v>0</v>
      </c>
      <c r="M1311" s="29">
        <f>SUMIFS(Cash_Flow_3[Amount],Cash_Flow_3[Bulan],H1311,Cash_Flow_3[Type],"Out",Cash_Flow_3[Category],"Alfa")</f>
        <v>0</v>
      </c>
      <c r="N1311" s="29">
        <f>SUMIFS(Cash_Flow_3[Amount],Cash_Flow_3[Bulan],H1311,Cash_Flow_3[Type],"Out",Cash_Flow_3[Category],"Jajan")</f>
        <v>0</v>
      </c>
      <c r="O1311" s="29">
        <f>SUMIFS(Cash_Flow_3[Amount],Cash_Flow_3[Bulan],H1311,Cash_Flow_3[Type],"Out",Cash_Flow_3[Category],"Kitchen")</f>
        <v>0</v>
      </c>
      <c r="P1311" s="29">
        <f>SUMIFS(Cash_Flow_3[Amount],Cash_Flow_3[Bulan],H1311,Cash_Flow_3[Type],"Out",Cash_Flow_3[Category],"Loandry")</f>
        <v>0</v>
      </c>
      <c r="Q1311" s="29">
        <f>SUMIFS(Cash_Flow_3[Amount],Cash_Flow_3[Bulan],H1311,Cash_Flow_3[Type],"Out",Cash_Flow_3[Category],"Mio")</f>
        <v>0</v>
      </c>
      <c r="R1311" s="29">
        <f>SUMIFS(Cash_Flow_3[Amount],Cash_Flow_3[Bulan],H1311,Cash_Flow_3[Type],"Out",Cash_Flow_3[Category],"Sedekah")</f>
        <v>0</v>
      </c>
      <c r="S1311" s="29">
        <f>SUMIFS(Cash_Flow_3[Amount],Cash_Flow_3[Bulan],H1311,Cash_Flow_3[Type],"Out",Cash_Flow_3[Category],"Zela")</f>
        <v>0</v>
      </c>
      <c r="T1311" s="29">
        <f>SUMIFS(Cash_Flow_3[Amount],Cash_Flow_3[Bulan],H1311,Cash_Flow_3[Type],"Out",Cash_Flow_3[Category],"Iqbal")</f>
        <v>0</v>
      </c>
    </row>
    <row r="1312" spans="1:20" ht="22.5" customHeight="1" x14ac:dyDescent="0.2">
      <c r="A1312" s="23"/>
      <c r="B1312" s="24"/>
      <c r="C1312" s="25"/>
      <c r="D1312" s="25"/>
      <c r="E1312" s="25"/>
      <c r="F1312" s="26"/>
      <c r="G1312" s="27"/>
      <c r="H1312" s="28" t="str">
        <f t="shared" si="0"/>
        <v/>
      </c>
      <c r="I1312" s="29">
        <f>SUMIFS(Cash_Flow_3[Amount],Cash_Flow_3[Bulan],H1312,Cash_Flow_3[Type],"In")</f>
        <v>0</v>
      </c>
      <c r="J1312" s="29">
        <f>SUMIFS(Cash_Flow_3[Amount],Cash_Flow_3[Bulan],H1312,Cash_Flow_3[Type],"Out")</f>
        <v>0</v>
      </c>
      <c r="K1312" s="29">
        <f>SUMIFS(Cash_Flow_3[Amount],Cash_Flow_3[Bulan],H1312,Cash_Flow_3[Type],"Out",Cash_Flow_3[Category],"Fix")</f>
        <v>0</v>
      </c>
      <c r="L1312" s="29">
        <f>SUMIFS(Cash_Flow_3[Amount],Cash_Flow_3[Bulan],H1312,Cash_Flow_3[Type],"Out",Cash_Flow_3[Category],"Bathroom")</f>
        <v>0</v>
      </c>
      <c r="M1312" s="29">
        <f>SUMIFS(Cash_Flow_3[Amount],Cash_Flow_3[Bulan],H1312,Cash_Flow_3[Type],"Out",Cash_Flow_3[Category],"Alfa")</f>
        <v>0</v>
      </c>
      <c r="N1312" s="29">
        <f>SUMIFS(Cash_Flow_3[Amount],Cash_Flow_3[Bulan],H1312,Cash_Flow_3[Type],"Out",Cash_Flow_3[Category],"Jajan")</f>
        <v>0</v>
      </c>
      <c r="O1312" s="29">
        <f>SUMIFS(Cash_Flow_3[Amount],Cash_Flow_3[Bulan],H1312,Cash_Flow_3[Type],"Out",Cash_Flow_3[Category],"Kitchen")</f>
        <v>0</v>
      </c>
      <c r="P1312" s="29">
        <f>SUMIFS(Cash_Flow_3[Amount],Cash_Flow_3[Bulan],H1312,Cash_Flow_3[Type],"Out",Cash_Flow_3[Category],"Loandry")</f>
        <v>0</v>
      </c>
      <c r="Q1312" s="29">
        <f>SUMIFS(Cash_Flow_3[Amount],Cash_Flow_3[Bulan],H1312,Cash_Flow_3[Type],"Out",Cash_Flow_3[Category],"Mio")</f>
        <v>0</v>
      </c>
      <c r="R1312" s="29">
        <f>SUMIFS(Cash_Flow_3[Amount],Cash_Flow_3[Bulan],H1312,Cash_Flow_3[Type],"Out",Cash_Flow_3[Category],"Sedekah")</f>
        <v>0</v>
      </c>
      <c r="S1312" s="29">
        <f>SUMIFS(Cash_Flow_3[Amount],Cash_Flow_3[Bulan],H1312,Cash_Flow_3[Type],"Out",Cash_Flow_3[Category],"Zela")</f>
        <v>0</v>
      </c>
      <c r="T1312" s="29">
        <f>SUMIFS(Cash_Flow_3[Amount],Cash_Flow_3[Bulan],H1312,Cash_Flow_3[Type],"Out",Cash_Flow_3[Category],"Iqbal")</f>
        <v>0</v>
      </c>
    </row>
    <row r="1313" spans="1:20" ht="22.5" customHeight="1" x14ac:dyDescent="0.2">
      <c r="A1313" s="23"/>
      <c r="B1313" s="24"/>
      <c r="C1313" s="25"/>
      <c r="D1313" s="25"/>
      <c r="E1313" s="25"/>
      <c r="F1313" s="26"/>
      <c r="G1313" s="27"/>
      <c r="H1313" s="28" t="str">
        <f t="shared" si="0"/>
        <v/>
      </c>
      <c r="I1313" s="29">
        <f>SUMIFS(Cash_Flow_3[Amount],Cash_Flow_3[Bulan],H1313,Cash_Flow_3[Type],"In")</f>
        <v>0</v>
      </c>
      <c r="J1313" s="29">
        <f>SUMIFS(Cash_Flow_3[Amount],Cash_Flow_3[Bulan],H1313,Cash_Flow_3[Type],"Out")</f>
        <v>0</v>
      </c>
      <c r="K1313" s="29">
        <f>SUMIFS(Cash_Flow_3[Amount],Cash_Flow_3[Bulan],H1313,Cash_Flow_3[Type],"Out",Cash_Flow_3[Category],"Fix")</f>
        <v>0</v>
      </c>
      <c r="L1313" s="29">
        <f>SUMIFS(Cash_Flow_3[Amount],Cash_Flow_3[Bulan],H1313,Cash_Flow_3[Type],"Out",Cash_Flow_3[Category],"Bathroom")</f>
        <v>0</v>
      </c>
      <c r="M1313" s="29">
        <f>SUMIFS(Cash_Flow_3[Amount],Cash_Flow_3[Bulan],H1313,Cash_Flow_3[Type],"Out",Cash_Flow_3[Category],"Alfa")</f>
        <v>0</v>
      </c>
      <c r="N1313" s="29">
        <f>SUMIFS(Cash_Flow_3[Amount],Cash_Flow_3[Bulan],H1313,Cash_Flow_3[Type],"Out",Cash_Flow_3[Category],"Jajan")</f>
        <v>0</v>
      </c>
      <c r="O1313" s="29">
        <f>SUMIFS(Cash_Flow_3[Amount],Cash_Flow_3[Bulan],H1313,Cash_Flow_3[Type],"Out",Cash_Flow_3[Category],"Kitchen")</f>
        <v>0</v>
      </c>
      <c r="P1313" s="29">
        <f>SUMIFS(Cash_Flow_3[Amount],Cash_Flow_3[Bulan],H1313,Cash_Flow_3[Type],"Out",Cash_Flow_3[Category],"Loandry")</f>
        <v>0</v>
      </c>
      <c r="Q1313" s="29">
        <f>SUMIFS(Cash_Flow_3[Amount],Cash_Flow_3[Bulan],H1313,Cash_Flow_3[Type],"Out",Cash_Flow_3[Category],"Mio")</f>
        <v>0</v>
      </c>
      <c r="R1313" s="29">
        <f>SUMIFS(Cash_Flow_3[Amount],Cash_Flow_3[Bulan],H1313,Cash_Flow_3[Type],"Out",Cash_Flow_3[Category],"Sedekah")</f>
        <v>0</v>
      </c>
      <c r="S1313" s="29">
        <f>SUMIFS(Cash_Flow_3[Amount],Cash_Flow_3[Bulan],H1313,Cash_Flow_3[Type],"Out",Cash_Flow_3[Category],"Zela")</f>
        <v>0</v>
      </c>
      <c r="T1313" s="29">
        <f>SUMIFS(Cash_Flow_3[Amount],Cash_Flow_3[Bulan],H1313,Cash_Flow_3[Type],"Out",Cash_Flow_3[Category],"Iqbal")</f>
        <v>0</v>
      </c>
    </row>
    <row r="1314" spans="1:20" ht="22.5" customHeight="1" x14ac:dyDescent="0.2">
      <c r="A1314" s="23"/>
      <c r="B1314" s="24"/>
      <c r="C1314" s="25"/>
      <c r="D1314" s="25"/>
      <c r="E1314" s="25"/>
      <c r="F1314" s="26"/>
      <c r="G1314" s="27"/>
      <c r="H1314" s="28" t="str">
        <f t="shared" si="0"/>
        <v/>
      </c>
      <c r="I1314" s="29">
        <f>SUMIFS(Cash_Flow_3[Amount],Cash_Flow_3[Bulan],H1314,Cash_Flow_3[Type],"In")</f>
        <v>0</v>
      </c>
      <c r="J1314" s="29">
        <f>SUMIFS(Cash_Flow_3[Amount],Cash_Flow_3[Bulan],H1314,Cash_Flow_3[Type],"Out")</f>
        <v>0</v>
      </c>
      <c r="K1314" s="29">
        <f>SUMIFS(Cash_Flow_3[Amount],Cash_Flow_3[Bulan],H1314,Cash_Flow_3[Type],"Out",Cash_Flow_3[Category],"Fix")</f>
        <v>0</v>
      </c>
      <c r="L1314" s="29">
        <f>SUMIFS(Cash_Flow_3[Amount],Cash_Flow_3[Bulan],H1314,Cash_Flow_3[Type],"Out",Cash_Flow_3[Category],"Bathroom")</f>
        <v>0</v>
      </c>
      <c r="M1314" s="29">
        <f>SUMIFS(Cash_Flow_3[Amount],Cash_Flow_3[Bulan],H1314,Cash_Flow_3[Type],"Out",Cash_Flow_3[Category],"Alfa")</f>
        <v>0</v>
      </c>
      <c r="N1314" s="29">
        <f>SUMIFS(Cash_Flow_3[Amount],Cash_Flow_3[Bulan],H1314,Cash_Flow_3[Type],"Out",Cash_Flow_3[Category],"Jajan")</f>
        <v>0</v>
      </c>
      <c r="O1314" s="29">
        <f>SUMIFS(Cash_Flow_3[Amount],Cash_Flow_3[Bulan],H1314,Cash_Flow_3[Type],"Out",Cash_Flow_3[Category],"Kitchen")</f>
        <v>0</v>
      </c>
      <c r="P1314" s="29">
        <f>SUMIFS(Cash_Flow_3[Amount],Cash_Flow_3[Bulan],H1314,Cash_Flow_3[Type],"Out",Cash_Flow_3[Category],"Loandry")</f>
        <v>0</v>
      </c>
      <c r="Q1314" s="29">
        <f>SUMIFS(Cash_Flow_3[Amount],Cash_Flow_3[Bulan],H1314,Cash_Flow_3[Type],"Out",Cash_Flow_3[Category],"Mio")</f>
        <v>0</v>
      </c>
      <c r="R1314" s="29">
        <f>SUMIFS(Cash_Flow_3[Amount],Cash_Flow_3[Bulan],H1314,Cash_Flow_3[Type],"Out",Cash_Flow_3[Category],"Sedekah")</f>
        <v>0</v>
      </c>
      <c r="S1314" s="29">
        <f>SUMIFS(Cash_Flow_3[Amount],Cash_Flow_3[Bulan],H1314,Cash_Flow_3[Type],"Out",Cash_Flow_3[Category],"Zela")</f>
        <v>0</v>
      </c>
      <c r="T1314" s="29">
        <f>SUMIFS(Cash_Flow_3[Amount],Cash_Flow_3[Bulan],H1314,Cash_Flow_3[Type],"Out",Cash_Flow_3[Category],"Iqbal")</f>
        <v>0</v>
      </c>
    </row>
    <row r="1315" spans="1:20" ht="22.5" customHeight="1" x14ac:dyDescent="0.2">
      <c r="A1315" s="23"/>
      <c r="B1315" s="24"/>
      <c r="C1315" s="25"/>
      <c r="D1315" s="25"/>
      <c r="E1315" s="25"/>
      <c r="F1315" s="26"/>
      <c r="G1315" s="27"/>
      <c r="H1315" s="28" t="str">
        <f t="shared" si="0"/>
        <v/>
      </c>
      <c r="I1315" s="29">
        <f>SUMIFS(Cash_Flow_3[Amount],Cash_Flow_3[Bulan],H1315,Cash_Flow_3[Type],"In")</f>
        <v>0</v>
      </c>
      <c r="J1315" s="29">
        <f>SUMIFS(Cash_Flow_3[Amount],Cash_Flow_3[Bulan],H1315,Cash_Flow_3[Type],"Out")</f>
        <v>0</v>
      </c>
      <c r="K1315" s="29">
        <f>SUMIFS(Cash_Flow_3[Amount],Cash_Flow_3[Bulan],H1315,Cash_Flow_3[Type],"Out",Cash_Flow_3[Category],"Fix")</f>
        <v>0</v>
      </c>
      <c r="L1315" s="29">
        <f>SUMIFS(Cash_Flow_3[Amount],Cash_Flow_3[Bulan],H1315,Cash_Flow_3[Type],"Out",Cash_Flow_3[Category],"Bathroom")</f>
        <v>0</v>
      </c>
      <c r="M1315" s="29">
        <f>SUMIFS(Cash_Flow_3[Amount],Cash_Flow_3[Bulan],H1315,Cash_Flow_3[Type],"Out",Cash_Flow_3[Category],"Alfa")</f>
        <v>0</v>
      </c>
      <c r="N1315" s="29">
        <f>SUMIFS(Cash_Flow_3[Amount],Cash_Flow_3[Bulan],H1315,Cash_Flow_3[Type],"Out",Cash_Flow_3[Category],"Jajan")</f>
        <v>0</v>
      </c>
      <c r="O1315" s="29">
        <f>SUMIFS(Cash_Flow_3[Amount],Cash_Flow_3[Bulan],H1315,Cash_Flow_3[Type],"Out",Cash_Flow_3[Category],"Kitchen")</f>
        <v>0</v>
      </c>
      <c r="P1315" s="29">
        <f>SUMIFS(Cash_Flow_3[Amount],Cash_Flow_3[Bulan],H1315,Cash_Flow_3[Type],"Out",Cash_Flow_3[Category],"Loandry")</f>
        <v>0</v>
      </c>
      <c r="Q1315" s="29">
        <f>SUMIFS(Cash_Flow_3[Amount],Cash_Flow_3[Bulan],H1315,Cash_Flow_3[Type],"Out",Cash_Flow_3[Category],"Mio")</f>
        <v>0</v>
      </c>
      <c r="R1315" s="29">
        <f>SUMIFS(Cash_Flow_3[Amount],Cash_Flow_3[Bulan],H1315,Cash_Flow_3[Type],"Out",Cash_Flow_3[Category],"Sedekah")</f>
        <v>0</v>
      </c>
      <c r="S1315" s="29">
        <f>SUMIFS(Cash_Flow_3[Amount],Cash_Flow_3[Bulan],H1315,Cash_Flow_3[Type],"Out",Cash_Flow_3[Category],"Zela")</f>
        <v>0</v>
      </c>
      <c r="T1315" s="29">
        <f>SUMIFS(Cash_Flow_3[Amount],Cash_Flow_3[Bulan],H1315,Cash_Flow_3[Type],"Out",Cash_Flow_3[Category],"Iqbal")</f>
        <v>0</v>
      </c>
    </row>
    <row r="1316" spans="1:20" ht="22.5" customHeight="1" x14ac:dyDescent="0.2">
      <c r="A1316" s="23"/>
      <c r="B1316" s="24"/>
      <c r="C1316" s="25"/>
      <c r="D1316" s="25"/>
      <c r="E1316" s="25"/>
      <c r="F1316" s="26"/>
      <c r="G1316" s="27"/>
      <c r="H1316" s="28" t="str">
        <f t="shared" si="0"/>
        <v/>
      </c>
      <c r="I1316" s="29">
        <f>SUMIFS(Cash_Flow_3[Amount],Cash_Flow_3[Bulan],H1316,Cash_Flow_3[Type],"In")</f>
        <v>0</v>
      </c>
      <c r="J1316" s="29">
        <f>SUMIFS(Cash_Flow_3[Amount],Cash_Flow_3[Bulan],H1316,Cash_Flow_3[Type],"Out")</f>
        <v>0</v>
      </c>
      <c r="K1316" s="29">
        <f>SUMIFS(Cash_Flow_3[Amount],Cash_Flow_3[Bulan],H1316,Cash_Flow_3[Type],"Out",Cash_Flow_3[Category],"Fix")</f>
        <v>0</v>
      </c>
      <c r="L1316" s="29">
        <f>SUMIFS(Cash_Flow_3[Amount],Cash_Flow_3[Bulan],H1316,Cash_Flow_3[Type],"Out",Cash_Flow_3[Category],"Bathroom")</f>
        <v>0</v>
      </c>
      <c r="M1316" s="29">
        <f>SUMIFS(Cash_Flow_3[Amount],Cash_Flow_3[Bulan],H1316,Cash_Flow_3[Type],"Out",Cash_Flow_3[Category],"Alfa")</f>
        <v>0</v>
      </c>
      <c r="N1316" s="29">
        <f>SUMIFS(Cash_Flow_3[Amount],Cash_Flow_3[Bulan],H1316,Cash_Flow_3[Type],"Out",Cash_Flow_3[Category],"Jajan")</f>
        <v>0</v>
      </c>
      <c r="O1316" s="29">
        <f>SUMIFS(Cash_Flow_3[Amount],Cash_Flow_3[Bulan],H1316,Cash_Flow_3[Type],"Out",Cash_Flow_3[Category],"Kitchen")</f>
        <v>0</v>
      </c>
      <c r="P1316" s="29">
        <f>SUMIFS(Cash_Flow_3[Amount],Cash_Flow_3[Bulan],H1316,Cash_Flow_3[Type],"Out",Cash_Flow_3[Category],"Loandry")</f>
        <v>0</v>
      </c>
      <c r="Q1316" s="29">
        <f>SUMIFS(Cash_Flow_3[Amount],Cash_Flow_3[Bulan],H1316,Cash_Flow_3[Type],"Out",Cash_Flow_3[Category],"Mio")</f>
        <v>0</v>
      </c>
      <c r="R1316" s="29">
        <f>SUMIFS(Cash_Flow_3[Amount],Cash_Flow_3[Bulan],H1316,Cash_Flow_3[Type],"Out",Cash_Flow_3[Category],"Sedekah")</f>
        <v>0</v>
      </c>
      <c r="S1316" s="29">
        <f>SUMIFS(Cash_Flow_3[Amount],Cash_Flow_3[Bulan],H1316,Cash_Flow_3[Type],"Out",Cash_Flow_3[Category],"Zela")</f>
        <v>0</v>
      </c>
      <c r="T1316" s="29">
        <f>SUMIFS(Cash_Flow_3[Amount],Cash_Flow_3[Bulan],H1316,Cash_Flow_3[Type],"Out",Cash_Flow_3[Category],"Iqbal")</f>
        <v>0</v>
      </c>
    </row>
    <row r="1317" spans="1:20" ht="22.5" customHeight="1" x14ac:dyDescent="0.2">
      <c r="A1317" s="23"/>
      <c r="B1317" s="24"/>
      <c r="C1317" s="25"/>
      <c r="D1317" s="25"/>
      <c r="E1317" s="25"/>
      <c r="F1317" s="26"/>
      <c r="G1317" s="27"/>
      <c r="H1317" s="28" t="str">
        <f t="shared" si="0"/>
        <v/>
      </c>
      <c r="I1317" s="29">
        <f>SUMIFS(Cash_Flow_3[Amount],Cash_Flow_3[Bulan],H1317,Cash_Flow_3[Type],"In")</f>
        <v>0</v>
      </c>
      <c r="J1317" s="29">
        <f>SUMIFS(Cash_Flow_3[Amount],Cash_Flow_3[Bulan],H1317,Cash_Flow_3[Type],"Out")</f>
        <v>0</v>
      </c>
      <c r="K1317" s="29">
        <f>SUMIFS(Cash_Flow_3[Amount],Cash_Flow_3[Bulan],H1317,Cash_Flow_3[Type],"Out",Cash_Flow_3[Category],"Fix")</f>
        <v>0</v>
      </c>
      <c r="L1317" s="29">
        <f>SUMIFS(Cash_Flow_3[Amount],Cash_Flow_3[Bulan],H1317,Cash_Flow_3[Type],"Out",Cash_Flow_3[Category],"Bathroom")</f>
        <v>0</v>
      </c>
      <c r="M1317" s="29">
        <f>SUMIFS(Cash_Flow_3[Amount],Cash_Flow_3[Bulan],H1317,Cash_Flow_3[Type],"Out",Cash_Flow_3[Category],"Alfa")</f>
        <v>0</v>
      </c>
      <c r="N1317" s="29">
        <f>SUMIFS(Cash_Flow_3[Amount],Cash_Flow_3[Bulan],H1317,Cash_Flow_3[Type],"Out",Cash_Flow_3[Category],"Jajan")</f>
        <v>0</v>
      </c>
      <c r="O1317" s="29">
        <f>SUMIFS(Cash_Flow_3[Amount],Cash_Flow_3[Bulan],H1317,Cash_Flow_3[Type],"Out",Cash_Flow_3[Category],"Kitchen")</f>
        <v>0</v>
      </c>
      <c r="P1317" s="29">
        <f>SUMIFS(Cash_Flow_3[Amount],Cash_Flow_3[Bulan],H1317,Cash_Flow_3[Type],"Out",Cash_Flow_3[Category],"Loandry")</f>
        <v>0</v>
      </c>
      <c r="Q1317" s="29">
        <f>SUMIFS(Cash_Flow_3[Amount],Cash_Flow_3[Bulan],H1317,Cash_Flow_3[Type],"Out",Cash_Flow_3[Category],"Mio")</f>
        <v>0</v>
      </c>
      <c r="R1317" s="29">
        <f>SUMIFS(Cash_Flow_3[Amount],Cash_Flow_3[Bulan],H1317,Cash_Flow_3[Type],"Out",Cash_Flow_3[Category],"Sedekah")</f>
        <v>0</v>
      </c>
      <c r="S1317" s="29">
        <f>SUMIFS(Cash_Flow_3[Amount],Cash_Flow_3[Bulan],H1317,Cash_Flow_3[Type],"Out",Cash_Flow_3[Category],"Zela")</f>
        <v>0</v>
      </c>
      <c r="T1317" s="29">
        <f>SUMIFS(Cash_Flow_3[Amount],Cash_Flow_3[Bulan],H1317,Cash_Flow_3[Type],"Out",Cash_Flow_3[Category],"Iqbal")</f>
        <v>0</v>
      </c>
    </row>
    <row r="1318" spans="1:20" ht="22.5" customHeight="1" x14ac:dyDescent="0.2">
      <c r="A1318" s="23"/>
      <c r="B1318" s="24"/>
      <c r="C1318" s="25"/>
      <c r="D1318" s="25"/>
      <c r="E1318" s="25"/>
      <c r="F1318" s="26"/>
      <c r="G1318" s="27"/>
      <c r="H1318" s="28" t="str">
        <f t="shared" si="0"/>
        <v/>
      </c>
      <c r="I1318" s="29">
        <f>SUMIFS(Cash_Flow_3[Amount],Cash_Flow_3[Bulan],H1318,Cash_Flow_3[Type],"In")</f>
        <v>0</v>
      </c>
      <c r="J1318" s="29">
        <f>SUMIFS(Cash_Flow_3[Amount],Cash_Flow_3[Bulan],H1318,Cash_Flow_3[Type],"Out")</f>
        <v>0</v>
      </c>
      <c r="K1318" s="29">
        <f>SUMIFS(Cash_Flow_3[Amount],Cash_Flow_3[Bulan],H1318,Cash_Flow_3[Type],"Out",Cash_Flow_3[Category],"Fix")</f>
        <v>0</v>
      </c>
      <c r="L1318" s="29">
        <f>SUMIFS(Cash_Flow_3[Amount],Cash_Flow_3[Bulan],H1318,Cash_Flow_3[Type],"Out",Cash_Flow_3[Category],"Bathroom")</f>
        <v>0</v>
      </c>
      <c r="M1318" s="29">
        <f>SUMIFS(Cash_Flow_3[Amount],Cash_Flow_3[Bulan],H1318,Cash_Flow_3[Type],"Out",Cash_Flow_3[Category],"Alfa")</f>
        <v>0</v>
      </c>
      <c r="N1318" s="29">
        <f>SUMIFS(Cash_Flow_3[Amount],Cash_Flow_3[Bulan],H1318,Cash_Flow_3[Type],"Out",Cash_Flow_3[Category],"Jajan")</f>
        <v>0</v>
      </c>
      <c r="O1318" s="29">
        <f>SUMIFS(Cash_Flow_3[Amount],Cash_Flow_3[Bulan],H1318,Cash_Flow_3[Type],"Out",Cash_Flow_3[Category],"Kitchen")</f>
        <v>0</v>
      </c>
      <c r="P1318" s="29">
        <f>SUMIFS(Cash_Flow_3[Amount],Cash_Flow_3[Bulan],H1318,Cash_Flow_3[Type],"Out",Cash_Flow_3[Category],"Loandry")</f>
        <v>0</v>
      </c>
      <c r="Q1318" s="29">
        <f>SUMIFS(Cash_Flow_3[Amount],Cash_Flow_3[Bulan],H1318,Cash_Flow_3[Type],"Out",Cash_Flow_3[Category],"Mio")</f>
        <v>0</v>
      </c>
      <c r="R1318" s="29">
        <f>SUMIFS(Cash_Flow_3[Amount],Cash_Flow_3[Bulan],H1318,Cash_Flow_3[Type],"Out",Cash_Flow_3[Category],"Sedekah")</f>
        <v>0</v>
      </c>
      <c r="S1318" s="29">
        <f>SUMIFS(Cash_Flow_3[Amount],Cash_Flow_3[Bulan],H1318,Cash_Flow_3[Type],"Out",Cash_Flow_3[Category],"Zela")</f>
        <v>0</v>
      </c>
      <c r="T1318" s="29">
        <f>SUMIFS(Cash_Flow_3[Amount],Cash_Flow_3[Bulan],H1318,Cash_Flow_3[Type],"Out",Cash_Flow_3[Category],"Iqbal")</f>
        <v>0</v>
      </c>
    </row>
    <row r="1319" spans="1:20" ht="22.5" customHeight="1" x14ac:dyDescent="0.2">
      <c r="A1319" s="23"/>
      <c r="B1319" s="24"/>
      <c r="C1319" s="25"/>
      <c r="D1319" s="25"/>
      <c r="E1319" s="25"/>
      <c r="F1319" s="26"/>
      <c r="G1319" s="27"/>
      <c r="H1319" s="28" t="str">
        <f t="shared" si="0"/>
        <v/>
      </c>
      <c r="I1319" s="29">
        <f>SUMIFS(Cash_Flow_3[Amount],Cash_Flow_3[Bulan],H1319,Cash_Flow_3[Type],"In")</f>
        <v>0</v>
      </c>
      <c r="J1319" s="29">
        <f>SUMIFS(Cash_Flow_3[Amount],Cash_Flow_3[Bulan],H1319,Cash_Flow_3[Type],"Out")</f>
        <v>0</v>
      </c>
      <c r="K1319" s="29">
        <f>SUMIFS(Cash_Flow_3[Amount],Cash_Flow_3[Bulan],H1319,Cash_Flow_3[Type],"Out",Cash_Flow_3[Category],"Fix")</f>
        <v>0</v>
      </c>
      <c r="L1319" s="29">
        <f>SUMIFS(Cash_Flow_3[Amount],Cash_Flow_3[Bulan],H1319,Cash_Flow_3[Type],"Out",Cash_Flow_3[Category],"Bathroom")</f>
        <v>0</v>
      </c>
      <c r="M1319" s="29">
        <f>SUMIFS(Cash_Flow_3[Amount],Cash_Flow_3[Bulan],H1319,Cash_Flow_3[Type],"Out",Cash_Flow_3[Category],"Alfa")</f>
        <v>0</v>
      </c>
      <c r="N1319" s="29">
        <f>SUMIFS(Cash_Flow_3[Amount],Cash_Flow_3[Bulan],H1319,Cash_Flow_3[Type],"Out",Cash_Flow_3[Category],"Jajan")</f>
        <v>0</v>
      </c>
      <c r="O1319" s="29">
        <f>SUMIFS(Cash_Flow_3[Amount],Cash_Flow_3[Bulan],H1319,Cash_Flow_3[Type],"Out",Cash_Flow_3[Category],"Kitchen")</f>
        <v>0</v>
      </c>
      <c r="P1319" s="29">
        <f>SUMIFS(Cash_Flow_3[Amount],Cash_Flow_3[Bulan],H1319,Cash_Flow_3[Type],"Out",Cash_Flow_3[Category],"Loandry")</f>
        <v>0</v>
      </c>
      <c r="Q1319" s="29">
        <f>SUMIFS(Cash_Flow_3[Amount],Cash_Flow_3[Bulan],H1319,Cash_Flow_3[Type],"Out",Cash_Flow_3[Category],"Mio")</f>
        <v>0</v>
      </c>
      <c r="R1319" s="29">
        <f>SUMIFS(Cash_Flow_3[Amount],Cash_Flow_3[Bulan],H1319,Cash_Flow_3[Type],"Out",Cash_Flow_3[Category],"Sedekah")</f>
        <v>0</v>
      </c>
      <c r="S1319" s="29">
        <f>SUMIFS(Cash_Flow_3[Amount],Cash_Flow_3[Bulan],H1319,Cash_Flow_3[Type],"Out",Cash_Flow_3[Category],"Zela")</f>
        <v>0</v>
      </c>
      <c r="T1319" s="29">
        <f>SUMIFS(Cash_Flow_3[Amount],Cash_Flow_3[Bulan],H1319,Cash_Flow_3[Type],"Out",Cash_Flow_3[Category],"Iqbal")</f>
        <v>0</v>
      </c>
    </row>
    <row r="1320" spans="1:20" ht="22.5" customHeight="1" x14ac:dyDescent="0.2">
      <c r="A1320" s="23"/>
      <c r="B1320" s="24"/>
      <c r="C1320" s="25"/>
      <c r="D1320" s="25"/>
      <c r="E1320" s="25"/>
      <c r="F1320" s="26"/>
      <c r="G1320" s="27"/>
      <c r="H1320" s="28" t="str">
        <f t="shared" si="0"/>
        <v/>
      </c>
      <c r="I1320" s="29">
        <f>SUMIFS(Cash_Flow_3[Amount],Cash_Flow_3[Bulan],H1320,Cash_Flow_3[Type],"In")</f>
        <v>0</v>
      </c>
      <c r="J1320" s="29">
        <f>SUMIFS(Cash_Flow_3[Amount],Cash_Flow_3[Bulan],H1320,Cash_Flow_3[Type],"Out")</f>
        <v>0</v>
      </c>
      <c r="K1320" s="29">
        <f>SUMIFS(Cash_Flow_3[Amount],Cash_Flow_3[Bulan],H1320,Cash_Flow_3[Type],"Out",Cash_Flow_3[Category],"Fix")</f>
        <v>0</v>
      </c>
      <c r="L1320" s="29">
        <f>SUMIFS(Cash_Flow_3[Amount],Cash_Flow_3[Bulan],H1320,Cash_Flow_3[Type],"Out",Cash_Flow_3[Category],"Bathroom")</f>
        <v>0</v>
      </c>
      <c r="M1320" s="29">
        <f>SUMIFS(Cash_Flow_3[Amount],Cash_Flow_3[Bulan],H1320,Cash_Flow_3[Type],"Out",Cash_Flow_3[Category],"Alfa")</f>
        <v>0</v>
      </c>
      <c r="N1320" s="29">
        <f>SUMIFS(Cash_Flow_3[Amount],Cash_Flow_3[Bulan],H1320,Cash_Flow_3[Type],"Out",Cash_Flow_3[Category],"Jajan")</f>
        <v>0</v>
      </c>
      <c r="O1320" s="29">
        <f>SUMIFS(Cash_Flow_3[Amount],Cash_Flow_3[Bulan],H1320,Cash_Flow_3[Type],"Out",Cash_Flow_3[Category],"Kitchen")</f>
        <v>0</v>
      </c>
      <c r="P1320" s="29">
        <f>SUMIFS(Cash_Flow_3[Amount],Cash_Flow_3[Bulan],H1320,Cash_Flow_3[Type],"Out",Cash_Flow_3[Category],"Loandry")</f>
        <v>0</v>
      </c>
      <c r="Q1320" s="29">
        <f>SUMIFS(Cash_Flow_3[Amount],Cash_Flow_3[Bulan],H1320,Cash_Flow_3[Type],"Out",Cash_Flow_3[Category],"Mio")</f>
        <v>0</v>
      </c>
      <c r="R1320" s="29">
        <f>SUMIFS(Cash_Flow_3[Amount],Cash_Flow_3[Bulan],H1320,Cash_Flow_3[Type],"Out",Cash_Flow_3[Category],"Sedekah")</f>
        <v>0</v>
      </c>
      <c r="S1320" s="29">
        <f>SUMIFS(Cash_Flow_3[Amount],Cash_Flow_3[Bulan],H1320,Cash_Flow_3[Type],"Out",Cash_Flow_3[Category],"Zela")</f>
        <v>0</v>
      </c>
      <c r="T1320" s="29">
        <f>SUMIFS(Cash_Flow_3[Amount],Cash_Flow_3[Bulan],H1320,Cash_Flow_3[Type],"Out",Cash_Flow_3[Category],"Iqbal")</f>
        <v>0</v>
      </c>
    </row>
    <row r="1321" spans="1:20" ht="22.5" customHeight="1" x14ac:dyDescent="0.2">
      <c r="A1321" s="23"/>
      <c r="B1321" s="24"/>
      <c r="C1321" s="25"/>
      <c r="D1321" s="25"/>
      <c r="E1321" s="25"/>
      <c r="F1321" s="26"/>
      <c r="G1321" s="27"/>
      <c r="H1321" s="28" t="str">
        <f t="shared" si="0"/>
        <v/>
      </c>
      <c r="I1321" s="29">
        <f>SUMIFS(Cash_Flow_3[Amount],Cash_Flow_3[Bulan],H1321,Cash_Flow_3[Type],"In")</f>
        <v>0</v>
      </c>
      <c r="J1321" s="29">
        <f>SUMIFS(Cash_Flow_3[Amount],Cash_Flow_3[Bulan],H1321,Cash_Flow_3[Type],"Out")</f>
        <v>0</v>
      </c>
      <c r="K1321" s="29">
        <f>SUMIFS(Cash_Flow_3[Amount],Cash_Flow_3[Bulan],H1321,Cash_Flow_3[Type],"Out",Cash_Flow_3[Category],"Fix")</f>
        <v>0</v>
      </c>
      <c r="L1321" s="29">
        <f>SUMIFS(Cash_Flow_3[Amount],Cash_Flow_3[Bulan],H1321,Cash_Flow_3[Type],"Out",Cash_Flow_3[Category],"Bathroom")</f>
        <v>0</v>
      </c>
      <c r="M1321" s="29">
        <f>SUMIFS(Cash_Flow_3[Amount],Cash_Flow_3[Bulan],H1321,Cash_Flow_3[Type],"Out",Cash_Flow_3[Category],"Alfa")</f>
        <v>0</v>
      </c>
      <c r="N1321" s="29">
        <f>SUMIFS(Cash_Flow_3[Amount],Cash_Flow_3[Bulan],H1321,Cash_Flow_3[Type],"Out",Cash_Flow_3[Category],"Jajan")</f>
        <v>0</v>
      </c>
      <c r="O1321" s="29">
        <f>SUMIFS(Cash_Flow_3[Amount],Cash_Flow_3[Bulan],H1321,Cash_Flow_3[Type],"Out",Cash_Flow_3[Category],"Kitchen")</f>
        <v>0</v>
      </c>
      <c r="P1321" s="29">
        <f>SUMIFS(Cash_Flow_3[Amount],Cash_Flow_3[Bulan],H1321,Cash_Flow_3[Type],"Out",Cash_Flow_3[Category],"Loandry")</f>
        <v>0</v>
      </c>
      <c r="Q1321" s="29">
        <f>SUMIFS(Cash_Flow_3[Amount],Cash_Flow_3[Bulan],H1321,Cash_Flow_3[Type],"Out",Cash_Flow_3[Category],"Mio")</f>
        <v>0</v>
      </c>
      <c r="R1321" s="29">
        <f>SUMIFS(Cash_Flow_3[Amount],Cash_Flow_3[Bulan],H1321,Cash_Flow_3[Type],"Out",Cash_Flow_3[Category],"Sedekah")</f>
        <v>0</v>
      </c>
      <c r="S1321" s="29">
        <f>SUMIFS(Cash_Flow_3[Amount],Cash_Flow_3[Bulan],H1321,Cash_Flow_3[Type],"Out",Cash_Flow_3[Category],"Zela")</f>
        <v>0</v>
      </c>
      <c r="T1321" s="29">
        <f>SUMIFS(Cash_Flow_3[Amount],Cash_Flow_3[Bulan],H1321,Cash_Flow_3[Type],"Out",Cash_Flow_3[Category],"Iqbal")</f>
        <v>0</v>
      </c>
    </row>
    <row r="1322" spans="1:20" ht="22.5" customHeight="1" x14ac:dyDescent="0.2">
      <c r="A1322" s="23"/>
      <c r="B1322" s="24"/>
      <c r="C1322" s="25"/>
      <c r="D1322" s="25"/>
      <c r="E1322" s="25"/>
      <c r="F1322" s="26"/>
      <c r="G1322" s="27"/>
      <c r="H1322" s="28" t="str">
        <f t="shared" si="0"/>
        <v/>
      </c>
      <c r="I1322" s="29">
        <f>SUMIFS(Cash_Flow_3[Amount],Cash_Flow_3[Bulan],H1322,Cash_Flow_3[Type],"In")</f>
        <v>0</v>
      </c>
      <c r="J1322" s="29">
        <f>SUMIFS(Cash_Flow_3[Amount],Cash_Flow_3[Bulan],H1322,Cash_Flow_3[Type],"Out")</f>
        <v>0</v>
      </c>
      <c r="K1322" s="29">
        <f>SUMIFS(Cash_Flow_3[Amount],Cash_Flow_3[Bulan],H1322,Cash_Flow_3[Type],"Out",Cash_Flow_3[Category],"Fix")</f>
        <v>0</v>
      </c>
      <c r="L1322" s="29">
        <f>SUMIFS(Cash_Flow_3[Amount],Cash_Flow_3[Bulan],H1322,Cash_Flow_3[Type],"Out",Cash_Flow_3[Category],"Bathroom")</f>
        <v>0</v>
      </c>
      <c r="M1322" s="29">
        <f>SUMIFS(Cash_Flow_3[Amount],Cash_Flow_3[Bulan],H1322,Cash_Flow_3[Type],"Out",Cash_Flow_3[Category],"Alfa")</f>
        <v>0</v>
      </c>
      <c r="N1322" s="29">
        <f>SUMIFS(Cash_Flow_3[Amount],Cash_Flow_3[Bulan],H1322,Cash_Flow_3[Type],"Out",Cash_Flow_3[Category],"Jajan")</f>
        <v>0</v>
      </c>
      <c r="O1322" s="29">
        <f>SUMIFS(Cash_Flow_3[Amount],Cash_Flow_3[Bulan],H1322,Cash_Flow_3[Type],"Out",Cash_Flow_3[Category],"Kitchen")</f>
        <v>0</v>
      </c>
      <c r="P1322" s="29">
        <f>SUMIFS(Cash_Flow_3[Amount],Cash_Flow_3[Bulan],H1322,Cash_Flow_3[Type],"Out",Cash_Flow_3[Category],"Loandry")</f>
        <v>0</v>
      </c>
      <c r="Q1322" s="29">
        <f>SUMIFS(Cash_Flow_3[Amount],Cash_Flow_3[Bulan],H1322,Cash_Flow_3[Type],"Out",Cash_Flow_3[Category],"Mio")</f>
        <v>0</v>
      </c>
      <c r="R1322" s="29">
        <f>SUMIFS(Cash_Flow_3[Amount],Cash_Flow_3[Bulan],H1322,Cash_Flow_3[Type],"Out",Cash_Flow_3[Category],"Sedekah")</f>
        <v>0</v>
      </c>
      <c r="S1322" s="29">
        <f>SUMIFS(Cash_Flow_3[Amount],Cash_Flow_3[Bulan],H1322,Cash_Flow_3[Type],"Out",Cash_Flow_3[Category],"Zela")</f>
        <v>0</v>
      </c>
      <c r="T1322" s="29">
        <f>SUMIFS(Cash_Flow_3[Amount],Cash_Flow_3[Bulan],H1322,Cash_Flow_3[Type],"Out",Cash_Flow_3[Category],"Iqbal")</f>
        <v>0</v>
      </c>
    </row>
    <row r="1323" spans="1:20" ht="22.5" customHeight="1" x14ac:dyDescent="0.2">
      <c r="A1323" s="23"/>
      <c r="B1323" s="24"/>
      <c r="C1323" s="25"/>
      <c r="D1323" s="25"/>
      <c r="E1323" s="25"/>
      <c r="F1323" s="26"/>
      <c r="G1323" s="27"/>
      <c r="H1323" s="28" t="str">
        <f t="shared" si="0"/>
        <v/>
      </c>
      <c r="I1323" s="29">
        <f>SUMIFS(Cash_Flow_3[Amount],Cash_Flow_3[Bulan],H1323,Cash_Flow_3[Type],"In")</f>
        <v>0</v>
      </c>
      <c r="J1323" s="29">
        <f>SUMIFS(Cash_Flow_3[Amount],Cash_Flow_3[Bulan],H1323,Cash_Flow_3[Type],"Out")</f>
        <v>0</v>
      </c>
      <c r="K1323" s="29">
        <f>SUMIFS(Cash_Flow_3[Amount],Cash_Flow_3[Bulan],H1323,Cash_Flow_3[Type],"Out",Cash_Flow_3[Category],"Fix")</f>
        <v>0</v>
      </c>
      <c r="L1323" s="29">
        <f>SUMIFS(Cash_Flow_3[Amount],Cash_Flow_3[Bulan],H1323,Cash_Flow_3[Type],"Out",Cash_Flow_3[Category],"Bathroom")</f>
        <v>0</v>
      </c>
      <c r="M1323" s="29">
        <f>SUMIFS(Cash_Flow_3[Amount],Cash_Flow_3[Bulan],H1323,Cash_Flow_3[Type],"Out",Cash_Flow_3[Category],"Alfa")</f>
        <v>0</v>
      </c>
      <c r="N1323" s="29">
        <f>SUMIFS(Cash_Flow_3[Amount],Cash_Flow_3[Bulan],H1323,Cash_Flow_3[Type],"Out",Cash_Flow_3[Category],"Jajan")</f>
        <v>0</v>
      </c>
      <c r="O1323" s="29">
        <f>SUMIFS(Cash_Flow_3[Amount],Cash_Flow_3[Bulan],H1323,Cash_Flow_3[Type],"Out",Cash_Flow_3[Category],"Kitchen")</f>
        <v>0</v>
      </c>
      <c r="P1323" s="29">
        <f>SUMIFS(Cash_Flow_3[Amount],Cash_Flow_3[Bulan],H1323,Cash_Flow_3[Type],"Out",Cash_Flow_3[Category],"Loandry")</f>
        <v>0</v>
      </c>
      <c r="Q1323" s="29">
        <f>SUMIFS(Cash_Flow_3[Amount],Cash_Flow_3[Bulan],H1323,Cash_Flow_3[Type],"Out",Cash_Flow_3[Category],"Mio")</f>
        <v>0</v>
      </c>
      <c r="R1323" s="29">
        <f>SUMIFS(Cash_Flow_3[Amount],Cash_Flow_3[Bulan],H1323,Cash_Flow_3[Type],"Out",Cash_Flow_3[Category],"Sedekah")</f>
        <v>0</v>
      </c>
      <c r="S1323" s="29">
        <f>SUMIFS(Cash_Flow_3[Amount],Cash_Flow_3[Bulan],H1323,Cash_Flow_3[Type],"Out",Cash_Flow_3[Category],"Zela")</f>
        <v>0</v>
      </c>
      <c r="T1323" s="29">
        <f>SUMIFS(Cash_Flow_3[Amount],Cash_Flow_3[Bulan],H1323,Cash_Flow_3[Type],"Out",Cash_Flow_3[Category],"Iqbal")</f>
        <v>0</v>
      </c>
    </row>
    <row r="1324" spans="1:20" ht="22.5" customHeight="1" x14ac:dyDescent="0.2">
      <c r="A1324" s="23"/>
      <c r="B1324" s="24"/>
      <c r="C1324" s="25"/>
      <c r="D1324" s="25"/>
      <c r="E1324" s="25"/>
      <c r="F1324" s="26"/>
      <c r="G1324" s="27"/>
      <c r="H1324" s="28" t="str">
        <f t="shared" si="0"/>
        <v/>
      </c>
      <c r="I1324" s="29">
        <f>SUMIFS(Cash_Flow_3[Amount],Cash_Flow_3[Bulan],H1324,Cash_Flow_3[Type],"In")</f>
        <v>0</v>
      </c>
      <c r="J1324" s="29">
        <f>SUMIFS(Cash_Flow_3[Amount],Cash_Flow_3[Bulan],H1324,Cash_Flow_3[Type],"Out")</f>
        <v>0</v>
      </c>
      <c r="K1324" s="29">
        <f>SUMIFS(Cash_Flow_3[Amount],Cash_Flow_3[Bulan],H1324,Cash_Flow_3[Type],"Out",Cash_Flow_3[Category],"Fix")</f>
        <v>0</v>
      </c>
      <c r="L1324" s="29">
        <f>SUMIFS(Cash_Flow_3[Amount],Cash_Flow_3[Bulan],H1324,Cash_Flow_3[Type],"Out",Cash_Flow_3[Category],"Bathroom")</f>
        <v>0</v>
      </c>
      <c r="M1324" s="29">
        <f>SUMIFS(Cash_Flow_3[Amount],Cash_Flow_3[Bulan],H1324,Cash_Flow_3[Type],"Out",Cash_Flow_3[Category],"Alfa")</f>
        <v>0</v>
      </c>
      <c r="N1324" s="29">
        <f>SUMIFS(Cash_Flow_3[Amount],Cash_Flow_3[Bulan],H1324,Cash_Flow_3[Type],"Out",Cash_Flow_3[Category],"Jajan")</f>
        <v>0</v>
      </c>
      <c r="O1324" s="29">
        <f>SUMIFS(Cash_Flow_3[Amount],Cash_Flow_3[Bulan],H1324,Cash_Flow_3[Type],"Out",Cash_Flow_3[Category],"Kitchen")</f>
        <v>0</v>
      </c>
      <c r="P1324" s="29">
        <f>SUMIFS(Cash_Flow_3[Amount],Cash_Flow_3[Bulan],H1324,Cash_Flow_3[Type],"Out",Cash_Flow_3[Category],"Loandry")</f>
        <v>0</v>
      </c>
      <c r="Q1324" s="29">
        <f>SUMIFS(Cash_Flow_3[Amount],Cash_Flow_3[Bulan],H1324,Cash_Flow_3[Type],"Out",Cash_Flow_3[Category],"Mio")</f>
        <v>0</v>
      </c>
      <c r="R1324" s="29">
        <f>SUMIFS(Cash_Flow_3[Amount],Cash_Flow_3[Bulan],H1324,Cash_Flow_3[Type],"Out",Cash_Flow_3[Category],"Sedekah")</f>
        <v>0</v>
      </c>
      <c r="S1324" s="29">
        <f>SUMIFS(Cash_Flow_3[Amount],Cash_Flow_3[Bulan],H1324,Cash_Flow_3[Type],"Out",Cash_Flow_3[Category],"Zela")</f>
        <v>0</v>
      </c>
      <c r="T1324" s="29">
        <f>SUMIFS(Cash_Flow_3[Amount],Cash_Flow_3[Bulan],H1324,Cash_Flow_3[Type],"Out",Cash_Flow_3[Category],"Iqbal")</f>
        <v>0</v>
      </c>
    </row>
    <row r="1325" spans="1:20" ht="22.5" customHeight="1" x14ac:dyDescent="0.2">
      <c r="A1325" s="23"/>
      <c r="B1325" s="24"/>
      <c r="C1325" s="25"/>
      <c r="D1325" s="25"/>
      <c r="E1325" s="25"/>
      <c r="F1325" s="26"/>
      <c r="G1325" s="27"/>
      <c r="H1325" s="28" t="str">
        <f t="shared" si="0"/>
        <v/>
      </c>
      <c r="I1325" s="29">
        <f>SUMIFS(Cash_Flow_3[Amount],Cash_Flow_3[Bulan],H1325,Cash_Flow_3[Type],"In")</f>
        <v>0</v>
      </c>
      <c r="J1325" s="29">
        <f>SUMIFS(Cash_Flow_3[Amount],Cash_Flow_3[Bulan],H1325,Cash_Flow_3[Type],"Out")</f>
        <v>0</v>
      </c>
      <c r="K1325" s="29">
        <f>SUMIFS(Cash_Flow_3[Amount],Cash_Flow_3[Bulan],H1325,Cash_Flow_3[Type],"Out",Cash_Flow_3[Category],"Fix")</f>
        <v>0</v>
      </c>
      <c r="L1325" s="29">
        <f>SUMIFS(Cash_Flow_3[Amount],Cash_Flow_3[Bulan],H1325,Cash_Flow_3[Type],"Out",Cash_Flow_3[Category],"Bathroom")</f>
        <v>0</v>
      </c>
      <c r="M1325" s="29">
        <f>SUMIFS(Cash_Flow_3[Amount],Cash_Flow_3[Bulan],H1325,Cash_Flow_3[Type],"Out",Cash_Flow_3[Category],"Alfa")</f>
        <v>0</v>
      </c>
      <c r="N1325" s="29">
        <f>SUMIFS(Cash_Flow_3[Amount],Cash_Flow_3[Bulan],H1325,Cash_Flow_3[Type],"Out",Cash_Flow_3[Category],"Jajan")</f>
        <v>0</v>
      </c>
      <c r="O1325" s="29">
        <f>SUMIFS(Cash_Flow_3[Amount],Cash_Flow_3[Bulan],H1325,Cash_Flow_3[Type],"Out",Cash_Flow_3[Category],"Kitchen")</f>
        <v>0</v>
      </c>
      <c r="P1325" s="29">
        <f>SUMIFS(Cash_Flow_3[Amount],Cash_Flow_3[Bulan],H1325,Cash_Flow_3[Type],"Out",Cash_Flow_3[Category],"Loandry")</f>
        <v>0</v>
      </c>
      <c r="Q1325" s="29">
        <f>SUMIFS(Cash_Flow_3[Amount],Cash_Flow_3[Bulan],H1325,Cash_Flow_3[Type],"Out",Cash_Flow_3[Category],"Mio")</f>
        <v>0</v>
      </c>
      <c r="R1325" s="29">
        <f>SUMIFS(Cash_Flow_3[Amount],Cash_Flow_3[Bulan],H1325,Cash_Flow_3[Type],"Out",Cash_Flow_3[Category],"Sedekah")</f>
        <v>0</v>
      </c>
      <c r="S1325" s="29">
        <f>SUMIFS(Cash_Flow_3[Amount],Cash_Flow_3[Bulan],H1325,Cash_Flow_3[Type],"Out",Cash_Flow_3[Category],"Zela")</f>
        <v>0</v>
      </c>
      <c r="T1325" s="29">
        <f>SUMIFS(Cash_Flow_3[Amount],Cash_Flow_3[Bulan],H1325,Cash_Flow_3[Type],"Out",Cash_Flow_3[Category],"Iqbal")</f>
        <v>0</v>
      </c>
    </row>
    <row r="1326" spans="1:20" ht="22.5" customHeight="1" x14ac:dyDescent="0.2">
      <c r="A1326" s="23"/>
      <c r="B1326" s="24"/>
      <c r="C1326" s="25"/>
      <c r="D1326" s="25"/>
      <c r="E1326" s="25"/>
      <c r="F1326" s="26"/>
      <c r="G1326" s="27"/>
      <c r="H1326" s="28" t="str">
        <f t="shared" si="0"/>
        <v/>
      </c>
      <c r="I1326" s="29">
        <f>SUMIFS(Cash_Flow_3[Amount],Cash_Flow_3[Bulan],H1326,Cash_Flow_3[Type],"In")</f>
        <v>0</v>
      </c>
      <c r="J1326" s="29">
        <f>SUMIFS(Cash_Flow_3[Amount],Cash_Flow_3[Bulan],H1326,Cash_Flow_3[Type],"Out")</f>
        <v>0</v>
      </c>
      <c r="K1326" s="29">
        <f>SUMIFS(Cash_Flow_3[Amount],Cash_Flow_3[Bulan],H1326,Cash_Flow_3[Type],"Out",Cash_Flow_3[Category],"Fix")</f>
        <v>0</v>
      </c>
      <c r="L1326" s="29">
        <f>SUMIFS(Cash_Flow_3[Amount],Cash_Flow_3[Bulan],H1326,Cash_Flow_3[Type],"Out",Cash_Flow_3[Category],"Bathroom")</f>
        <v>0</v>
      </c>
      <c r="M1326" s="29">
        <f>SUMIFS(Cash_Flow_3[Amount],Cash_Flow_3[Bulan],H1326,Cash_Flow_3[Type],"Out",Cash_Flow_3[Category],"Alfa")</f>
        <v>0</v>
      </c>
      <c r="N1326" s="29">
        <f>SUMIFS(Cash_Flow_3[Amount],Cash_Flow_3[Bulan],H1326,Cash_Flow_3[Type],"Out",Cash_Flow_3[Category],"Jajan")</f>
        <v>0</v>
      </c>
      <c r="O1326" s="29">
        <f>SUMIFS(Cash_Flow_3[Amount],Cash_Flow_3[Bulan],H1326,Cash_Flow_3[Type],"Out",Cash_Flow_3[Category],"Kitchen")</f>
        <v>0</v>
      </c>
      <c r="P1326" s="29">
        <f>SUMIFS(Cash_Flow_3[Amount],Cash_Flow_3[Bulan],H1326,Cash_Flow_3[Type],"Out",Cash_Flow_3[Category],"Loandry")</f>
        <v>0</v>
      </c>
      <c r="Q1326" s="29">
        <f>SUMIFS(Cash_Flow_3[Amount],Cash_Flow_3[Bulan],H1326,Cash_Flow_3[Type],"Out",Cash_Flow_3[Category],"Mio")</f>
        <v>0</v>
      </c>
      <c r="R1326" s="29">
        <f>SUMIFS(Cash_Flow_3[Amount],Cash_Flow_3[Bulan],H1326,Cash_Flow_3[Type],"Out",Cash_Flow_3[Category],"Sedekah")</f>
        <v>0</v>
      </c>
      <c r="S1326" s="29">
        <f>SUMIFS(Cash_Flow_3[Amount],Cash_Flow_3[Bulan],H1326,Cash_Flow_3[Type],"Out",Cash_Flow_3[Category],"Zela")</f>
        <v>0</v>
      </c>
      <c r="T1326" s="29">
        <f>SUMIFS(Cash_Flow_3[Amount],Cash_Flow_3[Bulan],H1326,Cash_Flow_3[Type],"Out",Cash_Flow_3[Category],"Iqbal")</f>
        <v>0</v>
      </c>
    </row>
    <row r="1327" spans="1:20" ht="22.5" customHeight="1" x14ac:dyDescent="0.2">
      <c r="A1327" s="23"/>
      <c r="B1327" s="24"/>
      <c r="C1327" s="25"/>
      <c r="D1327" s="25"/>
      <c r="E1327" s="25"/>
      <c r="F1327" s="26"/>
      <c r="G1327" s="27"/>
      <c r="H1327" s="28" t="str">
        <f t="shared" si="0"/>
        <v/>
      </c>
      <c r="I1327" s="29">
        <f>SUMIFS(Cash_Flow_3[Amount],Cash_Flow_3[Bulan],H1327,Cash_Flow_3[Type],"In")</f>
        <v>0</v>
      </c>
      <c r="J1327" s="29">
        <f>SUMIFS(Cash_Flow_3[Amount],Cash_Flow_3[Bulan],H1327,Cash_Flow_3[Type],"Out")</f>
        <v>0</v>
      </c>
      <c r="K1327" s="29">
        <f>SUMIFS(Cash_Flow_3[Amount],Cash_Flow_3[Bulan],H1327,Cash_Flow_3[Type],"Out",Cash_Flow_3[Category],"Fix")</f>
        <v>0</v>
      </c>
      <c r="L1327" s="29">
        <f>SUMIFS(Cash_Flow_3[Amount],Cash_Flow_3[Bulan],H1327,Cash_Flow_3[Type],"Out",Cash_Flow_3[Category],"Bathroom")</f>
        <v>0</v>
      </c>
      <c r="M1327" s="29">
        <f>SUMIFS(Cash_Flow_3[Amount],Cash_Flow_3[Bulan],H1327,Cash_Flow_3[Type],"Out",Cash_Flow_3[Category],"Alfa")</f>
        <v>0</v>
      </c>
      <c r="N1327" s="29">
        <f>SUMIFS(Cash_Flow_3[Amount],Cash_Flow_3[Bulan],H1327,Cash_Flow_3[Type],"Out",Cash_Flow_3[Category],"Jajan")</f>
        <v>0</v>
      </c>
      <c r="O1327" s="29">
        <f>SUMIFS(Cash_Flow_3[Amount],Cash_Flow_3[Bulan],H1327,Cash_Flow_3[Type],"Out",Cash_Flow_3[Category],"Kitchen")</f>
        <v>0</v>
      </c>
      <c r="P1327" s="29">
        <f>SUMIFS(Cash_Flow_3[Amount],Cash_Flow_3[Bulan],H1327,Cash_Flow_3[Type],"Out",Cash_Flow_3[Category],"Loandry")</f>
        <v>0</v>
      </c>
      <c r="Q1327" s="29">
        <f>SUMIFS(Cash_Flow_3[Amount],Cash_Flow_3[Bulan],H1327,Cash_Flow_3[Type],"Out",Cash_Flow_3[Category],"Mio")</f>
        <v>0</v>
      </c>
      <c r="R1327" s="29">
        <f>SUMIFS(Cash_Flow_3[Amount],Cash_Flow_3[Bulan],H1327,Cash_Flow_3[Type],"Out",Cash_Flow_3[Category],"Sedekah")</f>
        <v>0</v>
      </c>
      <c r="S1327" s="29">
        <f>SUMIFS(Cash_Flow_3[Amount],Cash_Flow_3[Bulan],H1327,Cash_Flow_3[Type],"Out",Cash_Flow_3[Category],"Zela")</f>
        <v>0</v>
      </c>
      <c r="T1327" s="29">
        <f>SUMIFS(Cash_Flow_3[Amount],Cash_Flow_3[Bulan],H1327,Cash_Flow_3[Type],"Out",Cash_Flow_3[Category],"Iqbal")</f>
        <v>0</v>
      </c>
    </row>
    <row r="1328" spans="1:20" ht="22.5" customHeight="1" x14ac:dyDescent="0.2">
      <c r="A1328" s="23"/>
      <c r="B1328" s="24"/>
      <c r="C1328" s="25"/>
      <c r="D1328" s="25"/>
      <c r="E1328" s="25"/>
      <c r="F1328" s="26"/>
      <c r="G1328" s="27"/>
      <c r="H1328" s="28" t="str">
        <f t="shared" si="0"/>
        <v/>
      </c>
      <c r="I1328" s="29">
        <f>SUMIFS(Cash_Flow_3[Amount],Cash_Flow_3[Bulan],H1328,Cash_Flow_3[Type],"In")</f>
        <v>0</v>
      </c>
      <c r="J1328" s="29">
        <f>SUMIFS(Cash_Flow_3[Amount],Cash_Flow_3[Bulan],H1328,Cash_Flow_3[Type],"Out")</f>
        <v>0</v>
      </c>
      <c r="K1328" s="29">
        <f>SUMIFS(Cash_Flow_3[Amount],Cash_Flow_3[Bulan],H1328,Cash_Flow_3[Type],"Out",Cash_Flow_3[Category],"Fix")</f>
        <v>0</v>
      </c>
      <c r="L1328" s="29">
        <f>SUMIFS(Cash_Flow_3[Amount],Cash_Flow_3[Bulan],H1328,Cash_Flow_3[Type],"Out",Cash_Flow_3[Category],"Bathroom")</f>
        <v>0</v>
      </c>
      <c r="M1328" s="29">
        <f>SUMIFS(Cash_Flow_3[Amount],Cash_Flow_3[Bulan],H1328,Cash_Flow_3[Type],"Out",Cash_Flow_3[Category],"Alfa")</f>
        <v>0</v>
      </c>
      <c r="N1328" s="29">
        <f>SUMIFS(Cash_Flow_3[Amount],Cash_Flow_3[Bulan],H1328,Cash_Flow_3[Type],"Out",Cash_Flow_3[Category],"Jajan")</f>
        <v>0</v>
      </c>
      <c r="O1328" s="29">
        <f>SUMIFS(Cash_Flow_3[Amount],Cash_Flow_3[Bulan],H1328,Cash_Flow_3[Type],"Out",Cash_Flow_3[Category],"Kitchen")</f>
        <v>0</v>
      </c>
      <c r="P1328" s="29">
        <f>SUMIFS(Cash_Flow_3[Amount],Cash_Flow_3[Bulan],H1328,Cash_Flow_3[Type],"Out",Cash_Flow_3[Category],"Loandry")</f>
        <v>0</v>
      </c>
      <c r="Q1328" s="29">
        <f>SUMIFS(Cash_Flow_3[Amount],Cash_Flow_3[Bulan],H1328,Cash_Flow_3[Type],"Out",Cash_Flow_3[Category],"Mio")</f>
        <v>0</v>
      </c>
      <c r="R1328" s="29">
        <f>SUMIFS(Cash_Flow_3[Amount],Cash_Flow_3[Bulan],H1328,Cash_Flow_3[Type],"Out",Cash_Flow_3[Category],"Sedekah")</f>
        <v>0</v>
      </c>
      <c r="S1328" s="29">
        <f>SUMIFS(Cash_Flow_3[Amount],Cash_Flow_3[Bulan],H1328,Cash_Flow_3[Type],"Out",Cash_Flow_3[Category],"Zela")</f>
        <v>0</v>
      </c>
      <c r="T1328" s="29">
        <f>SUMIFS(Cash_Flow_3[Amount],Cash_Flow_3[Bulan],H1328,Cash_Flow_3[Type],"Out",Cash_Flow_3[Category],"Iqbal")</f>
        <v>0</v>
      </c>
    </row>
    <row r="1329" spans="1:20" ht="22.5" customHeight="1" x14ac:dyDescent="0.2">
      <c r="A1329" s="23"/>
      <c r="B1329" s="24"/>
      <c r="C1329" s="25"/>
      <c r="D1329" s="25"/>
      <c r="E1329" s="25"/>
      <c r="F1329" s="26"/>
      <c r="G1329" s="27"/>
      <c r="H1329" s="28" t="str">
        <f t="shared" si="0"/>
        <v/>
      </c>
      <c r="I1329" s="29">
        <f>SUMIFS(Cash_Flow_3[Amount],Cash_Flow_3[Bulan],H1329,Cash_Flow_3[Type],"In")</f>
        <v>0</v>
      </c>
      <c r="J1329" s="29">
        <f>SUMIFS(Cash_Flow_3[Amount],Cash_Flow_3[Bulan],H1329,Cash_Flow_3[Type],"Out")</f>
        <v>0</v>
      </c>
      <c r="K1329" s="29">
        <f>SUMIFS(Cash_Flow_3[Amount],Cash_Flow_3[Bulan],H1329,Cash_Flow_3[Type],"Out",Cash_Flow_3[Category],"Fix")</f>
        <v>0</v>
      </c>
      <c r="L1329" s="29">
        <f>SUMIFS(Cash_Flow_3[Amount],Cash_Flow_3[Bulan],H1329,Cash_Flow_3[Type],"Out",Cash_Flow_3[Category],"Bathroom")</f>
        <v>0</v>
      </c>
      <c r="M1329" s="29">
        <f>SUMIFS(Cash_Flow_3[Amount],Cash_Flow_3[Bulan],H1329,Cash_Flow_3[Type],"Out",Cash_Flow_3[Category],"Alfa")</f>
        <v>0</v>
      </c>
      <c r="N1329" s="29">
        <f>SUMIFS(Cash_Flow_3[Amount],Cash_Flow_3[Bulan],H1329,Cash_Flow_3[Type],"Out",Cash_Flow_3[Category],"Jajan")</f>
        <v>0</v>
      </c>
      <c r="O1329" s="29">
        <f>SUMIFS(Cash_Flow_3[Amount],Cash_Flow_3[Bulan],H1329,Cash_Flow_3[Type],"Out",Cash_Flow_3[Category],"Kitchen")</f>
        <v>0</v>
      </c>
      <c r="P1329" s="29">
        <f>SUMIFS(Cash_Flow_3[Amount],Cash_Flow_3[Bulan],H1329,Cash_Flow_3[Type],"Out",Cash_Flow_3[Category],"Loandry")</f>
        <v>0</v>
      </c>
      <c r="Q1329" s="29">
        <f>SUMIFS(Cash_Flow_3[Amount],Cash_Flow_3[Bulan],H1329,Cash_Flow_3[Type],"Out",Cash_Flow_3[Category],"Mio")</f>
        <v>0</v>
      </c>
      <c r="R1329" s="29">
        <f>SUMIFS(Cash_Flow_3[Amount],Cash_Flow_3[Bulan],H1329,Cash_Flow_3[Type],"Out",Cash_Flow_3[Category],"Sedekah")</f>
        <v>0</v>
      </c>
      <c r="S1329" s="29">
        <f>SUMIFS(Cash_Flow_3[Amount],Cash_Flow_3[Bulan],H1329,Cash_Flow_3[Type],"Out",Cash_Flow_3[Category],"Zela")</f>
        <v>0</v>
      </c>
      <c r="T1329" s="29">
        <f>SUMIFS(Cash_Flow_3[Amount],Cash_Flow_3[Bulan],H1329,Cash_Flow_3[Type],"Out",Cash_Flow_3[Category],"Iqbal")</f>
        <v>0</v>
      </c>
    </row>
    <row r="1330" spans="1:20" ht="22.5" customHeight="1" x14ac:dyDescent="0.2">
      <c r="A1330" s="23"/>
      <c r="B1330" s="24"/>
      <c r="C1330" s="25"/>
      <c r="D1330" s="25"/>
      <c r="E1330" s="25"/>
      <c r="F1330" s="26"/>
      <c r="G1330" s="27"/>
      <c r="H1330" s="28" t="str">
        <f t="shared" si="0"/>
        <v/>
      </c>
      <c r="I1330" s="29">
        <f>SUMIFS(Cash_Flow_3[Amount],Cash_Flow_3[Bulan],H1330,Cash_Flow_3[Type],"In")</f>
        <v>0</v>
      </c>
      <c r="J1330" s="29">
        <f>SUMIFS(Cash_Flow_3[Amount],Cash_Flow_3[Bulan],H1330,Cash_Flow_3[Type],"Out")</f>
        <v>0</v>
      </c>
      <c r="K1330" s="29">
        <f>SUMIFS(Cash_Flow_3[Amount],Cash_Flow_3[Bulan],H1330,Cash_Flow_3[Type],"Out",Cash_Flow_3[Category],"Fix")</f>
        <v>0</v>
      </c>
      <c r="L1330" s="29">
        <f>SUMIFS(Cash_Flow_3[Amount],Cash_Flow_3[Bulan],H1330,Cash_Flow_3[Type],"Out",Cash_Flow_3[Category],"Bathroom")</f>
        <v>0</v>
      </c>
      <c r="M1330" s="29">
        <f>SUMIFS(Cash_Flow_3[Amount],Cash_Flow_3[Bulan],H1330,Cash_Flow_3[Type],"Out",Cash_Flow_3[Category],"Alfa")</f>
        <v>0</v>
      </c>
      <c r="N1330" s="29">
        <f>SUMIFS(Cash_Flow_3[Amount],Cash_Flow_3[Bulan],H1330,Cash_Flow_3[Type],"Out",Cash_Flow_3[Category],"Jajan")</f>
        <v>0</v>
      </c>
      <c r="O1330" s="29">
        <f>SUMIFS(Cash_Flow_3[Amount],Cash_Flow_3[Bulan],H1330,Cash_Flow_3[Type],"Out",Cash_Flow_3[Category],"Kitchen")</f>
        <v>0</v>
      </c>
      <c r="P1330" s="29">
        <f>SUMIFS(Cash_Flow_3[Amount],Cash_Flow_3[Bulan],H1330,Cash_Flow_3[Type],"Out",Cash_Flow_3[Category],"Loandry")</f>
        <v>0</v>
      </c>
      <c r="Q1330" s="29">
        <f>SUMIFS(Cash_Flow_3[Amount],Cash_Flow_3[Bulan],H1330,Cash_Flow_3[Type],"Out",Cash_Flow_3[Category],"Mio")</f>
        <v>0</v>
      </c>
      <c r="R1330" s="29">
        <f>SUMIFS(Cash_Flow_3[Amount],Cash_Flow_3[Bulan],H1330,Cash_Flow_3[Type],"Out",Cash_Flow_3[Category],"Sedekah")</f>
        <v>0</v>
      </c>
      <c r="S1330" s="29">
        <f>SUMIFS(Cash_Flow_3[Amount],Cash_Flow_3[Bulan],H1330,Cash_Flow_3[Type],"Out",Cash_Flow_3[Category],"Zela")</f>
        <v>0</v>
      </c>
      <c r="T1330" s="29">
        <f>SUMIFS(Cash_Flow_3[Amount],Cash_Flow_3[Bulan],H1330,Cash_Flow_3[Type],"Out",Cash_Flow_3[Category],"Iqbal")</f>
        <v>0</v>
      </c>
    </row>
    <row r="1331" spans="1:20" ht="22.5" customHeight="1" x14ac:dyDescent="0.2">
      <c r="A1331" s="23"/>
      <c r="B1331" s="24"/>
      <c r="C1331" s="25"/>
      <c r="D1331" s="25"/>
      <c r="E1331" s="25"/>
      <c r="F1331" s="26"/>
      <c r="G1331" s="27"/>
      <c r="H1331" s="28" t="str">
        <f t="shared" si="0"/>
        <v/>
      </c>
      <c r="I1331" s="29">
        <f>SUMIFS(Cash_Flow_3[Amount],Cash_Flow_3[Bulan],H1331,Cash_Flow_3[Type],"In")</f>
        <v>0</v>
      </c>
      <c r="J1331" s="29">
        <f>SUMIFS(Cash_Flow_3[Amount],Cash_Flow_3[Bulan],H1331,Cash_Flow_3[Type],"Out")</f>
        <v>0</v>
      </c>
      <c r="K1331" s="29">
        <f>SUMIFS(Cash_Flow_3[Amount],Cash_Flow_3[Bulan],H1331,Cash_Flow_3[Type],"Out",Cash_Flow_3[Category],"Fix")</f>
        <v>0</v>
      </c>
      <c r="L1331" s="29">
        <f>SUMIFS(Cash_Flow_3[Amount],Cash_Flow_3[Bulan],H1331,Cash_Flow_3[Type],"Out",Cash_Flow_3[Category],"Bathroom")</f>
        <v>0</v>
      </c>
      <c r="M1331" s="29">
        <f>SUMIFS(Cash_Flow_3[Amount],Cash_Flow_3[Bulan],H1331,Cash_Flow_3[Type],"Out",Cash_Flow_3[Category],"Alfa")</f>
        <v>0</v>
      </c>
      <c r="N1331" s="29">
        <f>SUMIFS(Cash_Flow_3[Amount],Cash_Flow_3[Bulan],H1331,Cash_Flow_3[Type],"Out",Cash_Flow_3[Category],"Jajan")</f>
        <v>0</v>
      </c>
      <c r="O1331" s="29">
        <f>SUMIFS(Cash_Flow_3[Amount],Cash_Flow_3[Bulan],H1331,Cash_Flow_3[Type],"Out",Cash_Flow_3[Category],"Kitchen")</f>
        <v>0</v>
      </c>
      <c r="P1331" s="29">
        <f>SUMIFS(Cash_Flow_3[Amount],Cash_Flow_3[Bulan],H1331,Cash_Flow_3[Type],"Out",Cash_Flow_3[Category],"Loandry")</f>
        <v>0</v>
      </c>
      <c r="Q1331" s="29">
        <f>SUMIFS(Cash_Flow_3[Amount],Cash_Flow_3[Bulan],H1331,Cash_Flow_3[Type],"Out",Cash_Flow_3[Category],"Mio")</f>
        <v>0</v>
      </c>
      <c r="R1331" s="29">
        <f>SUMIFS(Cash_Flow_3[Amount],Cash_Flow_3[Bulan],H1331,Cash_Flow_3[Type],"Out",Cash_Flow_3[Category],"Sedekah")</f>
        <v>0</v>
      </c>
      <c r="S1331" s="29">
        <f>SUMIFS(Cash_Flow_3[Amount],Cash_Flow_3[Bulan],H1331,Cash_Flow_3[Type],"Out",Cash_Flow_3[Category],"Zela")</f>
        <v>0</v>
      </c>
      <c r="T1331" s="29">
        <f>SUMIFS(Cash_Flow_3[Amount],Cash_Flow_3[Bulan],H1331,Cash_Flow_3[Type],"Out",Cash_Flow_3[Category],"Iqbal")</f>
        <v>0</v>
      </c>
    </row>
    <row r="1332" spans="1:20" ht="22.5" customHeight="1" x14ac:dyDescent="0.2">
      <c r="A1332" s="23"/>
      <c r="B1332" s="24"/>
      <c r="C1332" s="25"/>
      <c r="D1332" s="25"/>
      <c r="E1332" s="25"/>
      <c r="F1332" s="26"/>
      <c r="G1332" s="27"/>
      <c r="H1332" s="28" t="str">
        <f t="shared" si="0"/>
        <v/>
      </c>
      <c r="I1332" s="29">
        <f>SUMIFS(Cash_Flow_3[Amount],Cash_Flow_3[Bulan],H1332,Cash_Flow_3[Type],"In")</f>
        <v>0</v>
      </c>
      <c r="J1332" s="29">
        <f>SUMIFS(Cash_Flow_3[Amount],Cash_Flow_3[Bulan],H1332,Cash_Flow_3[Type],"Out")</f>
        <v>0</v>
      </c>
      <c r="K1332" s="29">
        <f>SUMIFS(Cash_Flow_3[Amount],Cash_Flow_3[Bulan],H1332,Cash_Flow_3[Type],"Out",Cash_Flow_3[Category],"Fix")</f>
        <v>0</v>
      </c>
      <c r="L1332" s="29">
        <f>SUMIFS(Cash_Flow_3[Amount],Cash_Flow_3[Bulan],H1332,Cash_Flow_3[Type],"Out",Cash_Flow_3[Category],"Bathroom")</f>
        <v>0</v>
      </c>
      <c r="M1332" s="29">
        <f>SUMIFS(Cash_Flow_3[Amount],Cash_Flow_3[Bulan],H1332,Cash_Flow_3[Type],"Out",Cash_Flow_3[Category],"Alfa")</f>
        <v>0</v>
      </c>
      <c r="N1332" s="29">
        <f>SUMIFS(Cash_Flow_3[Amount],Cash_Flow_3[Bulan],H1332,Cash_Flow_3[Type],"Out",Cash_Flow_3[Category],"Jajan")</f>
        <v>0</v>
      </c>
      <c r="O1332" s="29">
        <f>SUMIFS(Cash_Flow_3[Amount],Cash_Flow_3[Bulan],H1332,Cash_Flow_3[Type],"Out",Cash_Flow_3[Category],"Kitchen")</f>
        <v>0</v>
      </c>
      <c r="P1332" s="29">
        <f>SUMIFS(Cash_Flow_3[Amount],Cash_Flow_3[Bulan],H1332,Cash_Flow_3[Type],"Out",Cash_Flow_3[Category],"Loandry")</f>
        <v>0</v>
      </c>
      <c r="Q1332" s="29">
        <f>SUMIFS(Cash_Flow_3[Amount],Cash_Flow_3[Bulan],H1332,Cash_Flow_3[Type],"Out",Cash_Flow_3[Category],"Mio")</f>
        <v>0</v>
      </c>
      <c r="R1332" s="29">
        <f>SUMIFS(Cash_Flow_3[Amount],Cash_Flow_3[Bulan],H1332,Cash_Flow_3[Type],"Out",Cash_Flow_3[Category],"Sedekah")</f>
        <v>0</v>
      </c>
      <c r="S1332" s="29">
        <f>SUMIFS(Cash_Flow_3[Amount],Cash_Flow_3[Bulan],H1332,Cash_Flow_3[Type],"Out",Cash_Flow_3[Category],"Zela")</f>
        <v>0</v>
      </c>
      <c r="T1332" s="29">
        <f>SUMIFS(Cash_Flow_3[Amount],Cash_Flow_3[Bulan],H1332,Cash_Flow_3[Type],"Out",Cash_Flow_3[Category],"Iqbal")</f>
        <v>0</v>
      </c>
    </row>
    <row r="1333" spans="1:20" ht="22.5" customHeight="1" x14ac:dyDescent="0.2">
      <c r="A1333" s="23"/>
      <c r="B1333" s="24"/>
      <c r="C1333" s="25"/>
      <c r="D1333" s="25"/>
      <c r="E1333" s="25"/>
      <c r="F1333" s="26"/>
      <c r="G1333" s="27"/>
      <c r="H1333" s="28" t="str">
        <f t="shared" si="0"/>
        <v/>
      </c>
      <c r="I1333" s="29">
        <f>SUMIFS(Cash_Flow_3[Amount],Cash_Flow_3[Bulan],H1333,Cash_Flow_3[Type],"In")</f>
        <v>0</v>
      </c>
      <c r="J1333" s="29">
        <f>SUMIFS(Cash_Flow_3[Amount],Cash_Flow_3[Bulan],H1333,Cash_Flow_3[Type],"Out")</f>
        <v>0</v>
      </c>
      <c r="K1333" s="29">
        <f>SUMIFS(Cash_Flow_3[Amount],Cash_Flow_3[Bulan],H1333,Cash_Flow_3[Type],"Out",Cash_Flow_3[Category],"Fix")</f>
        <v>0</v>
      </c>
      <c r="L1333" s="29">
        <f>SUMIFS(Cash_Flow_3[Amount],Cash_Flow_3[Bulan],H1333,Cash_Flow_3[Type],"Out",Cash_Flow_3[Category],"Bathroom")</f>
        <v>0</v>
      </c>
      <c r="M1333" s="29">
        <f>SUMIFS(Cash_Flow_3[Amount],Cash_Flow_3[Bulan],H1333,Cash_Flow_3[Type],"Out",Cash_Flow_3[Category],"Alfa")</f>
        <v>0</v>
      </c>
      <c r="N1333" s="29">
        <f>SUMIFS(Cash_Flow_3[Amount],Cash_Flow_3[Bulan],H1333,Cash_Flow_3[Type],"Out",Cash_Flow_3[Category],"Jajan")</f>
        <v>0</v>
      </c>
      <c r="O1333" s="29">
        <f>SUMIFS(Cash_Flow_3[Amount],Cash_Flow_3[Bulan],H1333,Cash_Flow_3[Type],"Out",Cash_Flow_3[Category],"Kitchen")</f>
        <v>0</v>
      </c>
      <c r="P1333" s="29">
        <f>SUMIFS(Cash_Flow_3[Amount],Cash_Flow_3[Bulan],H1333,Cash_Flow_3[Type],"Out",Cash_Flow_3[Category],"Loandry")</f>
        <v>0</v>
      </c>
      <c r="Q1333" s="29">
        <f>SUMIFS(Cash_Flow_3[Amount],Cash_Flow_3[Bulan],H1333,Cash_Flow_3[Type],"Out",Cash_Flow_3[Category],"Mio")</f>
        <v>0</v>
      </c>
      <c r="R1333" s="29">
        <f>SUMIFS(Cash_Flow_3[Amount],Cash_Flow_3[Bulan],H1333,Cash_Flow_3[Type],"Out",Cash_Flow_3[Category],"Sedekah")</f>
        <v>0</v>
      </c>
      <c r="S1333" s="29">
        <f>SUMIFS(Cash_Flow_3[Amount],Cash_Flow_3[Bulan],H1333,Cash_Flow_3[Type],"Out",Cash_Flow_3[Category],"Zela")</f>
        <v>0</v>
      </c>
      <c r="T1333" s="29">
        <f>SUMIFS(Cash_Flow_3[Amount],Cash_Flow_3[Bulan],H1333,Cash_Flow_3[Type],"Out",Cash_Flow_3[Category],"Iqbal")</f>
        <v>0</v>
      </c>
    </row>
    <row r="1334" spans="1:20" ht="22.5" customHeight="1" x14ac:dyDescent="0.2">
      <c r="A1334" s="23"/>
      <c r="B1334" s="24"/>
      <c r="C1334" s="25"/>
      <c r="D1334" s="25"/>
      <c r="E1334" s="25"/>
      <c r="F1334" s="26"/>
      <c r="G1334" s="27"/>
      <c r="H1334" s="28" t="str">
        <f t="shared" si="0"/>
        <v/>
      </c>
      <c r="I1334" s="29">
        <f>SUMIFS(Cash_Flow_3[Amount],Cash_Flow_3[Bulan],H1334,Cash_Flow_3[Type],"In")</f>
        <v>0</v>
      </c>
      <c r="J1334" s="29">
        <f>SUMIFS(Cash_Flow_3[Amount],Cash_Flow_3[Bulan],H1334,Cash_Flow_3[Type],"Out")</f>
        <v>0</v>
      </c>
      <c r="K1334" s="29">
        <f>SUMIFS(Cash_Flow_3[Amount],Cash_Flow_3[Bulan],H1334,Cash_Flow_3[Type],"Out",Cash_Flow_3[Category],"Fix")</f>
        <v>0</v>
      </c>
      <c r="L1334" s="29">
        <f>SUMIFS(Cash_Flow_3[Amount],Cash_Flow_3[Bulan],H1334,Cash_Flow_3[Type],"Out",Cash_Flow_3[Category],"Bathroom")</f>
        <v>0</v>
      </c>
      <c r="M1334" s="29">
        <f>SUMIFS(Cash_Flow_3[Amount],Cash_Flow_3[Bulan],H1334,Cash_Flow_3[Type],"Out",Cash_Flow_3[Category],"Alfa")</f>
        <v>0</v>
      </c>
      <c r="N1334" s="29">
        <f>SUMIFS(Cash_Flow_3[Amount],Cash_Flow_3[Bulan],H1334,Cash_Flow_3[Type],"Out",Cash_Flow_3[Category],"Jajan")</f>
        <v>0</v>
      </c>
      <c r="O1334" s="29">
        <f>SUMIFS(Cash_Flow_3[Amount],Cash_Flow_3[Bulan],H1334,Cash_Flow_3[Type],"Out",Cash_Flow_3[Category],"Kitchen")</f>
        <v>0</v>
      </c>
      <c r="P1334" s="29">
        <f>SUMIFS(Cash_Flow_3[Amount],Cash_Flow_3[Bulan],H1334,Cash_Flow_3[Type],"Out",Cash_Flow_3[Category],"Loandry")</f>
        <v>0</v>
      </c>
      <c r="Q1334" s="29">
        <f>SUMIFS(Cash_Flow_3[Amount],Cash_Flow_3[Bulan],H1334,Cash_Flow_3[Type],"Out",Cash_Flow_3[Category],"Mio")</f>
        <v>0</v>
      </c>
      <c r="R1334" s="29">
        <f>SUMIFS(Cash_Flow_3[Amount],Cash_Flow_3[Bulan],H1334,Cash_Flow_3[Type],"Out",Cash_Flow_3[Category],"Sedekah")</f>
        <v>0</v>
      </c>
      <c r="S1334" s="29">
        <f>SUMIFS(Cash_Flow_3[Amount],Cash_Flow_3[Bulan],H1334,Cash_Flow_3[Type],"Out",Cash_Flow_3[Category],"Zela")</f>
        <v>0</v>
      </c>
      <c r="T1334" s="29">
        <f>SUMIFS(Cash_Flow_3[Amount],Cash_Flow_3[Bulan],H1334,Cash_Flow_3[Type],"Out",Cash_Flow_3[Category],"Iqbal")</f>
        <v>0</v>
      </c>
    </row>
    <row r="1335" spans="1:20" ht="22.5" customHeight="1" x14ac:dyDescent="0.2">
      <c r="A1335" s="23"/>
      <c r="B1335" s="24"/>
      <c r="C1335" s="25"/>
      <c r="D1335" s="25"/>
      <c r="E1335" s="25"/>
      <c r="F1335" s="26"/>
      <c r="G1335" s="27"/>
      <c r="H1335" s="28" t="str">
        <f t="shared" si="0"/>
        <v/>
      </c>
      <c r="I1335" s="29">
        <f>SUMIFS(Cash_Flow_3[Amount],Cash_Flow_3[Bulan],H1335,Cash_Flow_3[Type],"In")</f>
        <v>0</v>
      </c>
      <c r="J1335" s="29">
        <f>SUMIFS(Cash_Flow_3[Amount],Cash_Flow_3[Bulan],H1335,Cash_Flow_3[Type],"Out")</f>
        <v>0</v>
      </c>
      <c r="K1335" s="29">
        <f>SUMIFS(Cash_Flow_3[Amount],Cash_Flow_3[Bulan],H1335,Cash_Flow_3[Type],"Out",Cash_Flow_3[Category],"Fix")</f>
        <v>0</v>
      </c>
      <c r="L1335" s="29">
        <f>SUMIFS(Cash_Flow_3[Amount],Cash_Flow_3[Bulan],H1335,Cash_Flow_3[Type],"Out",Cash_Flow_3[Category],"Bathroom")</f>
        <v>0</v>
      </c>
      <c r="M1335" s="29">
        <f>SUMIFS(Cash_Flow_3[Amount],Cash_Flow_3[Bulan],H1335,Cash_Flow_3[Type],"Out",Cash_Flow_3[Category],"Alfa")</f>
        <v>0</v>
      </c>
      <c r="N1335" s="29">
        <f>SUMIFS(Cash_Flow_3[Amount],Cash_Flow_3[Bulan],H1335,Cash_Flow_3[Type],"Out",Cash_Flow_3[Category],"Jajan")</f>
        <v>0</v>
      </c>
      <c r="O1335" s="29">
        <f>SUMIFS(Cash_Flow_3[Amount],Cash_Flow_3[Bulan],H1335,Cash_Flow_3[Type],"Out",Cash_Flow_3[Category],"Kitchen")</f>
        <v>0</v>
      </c>
      <c r="P1335" s="29">
        <f>SUMIFS(Cash_Flow_3[Amount],Cash_Flow_3[Bulan],H1335,Cash_Flow_3[Type],"Out",Cash_Flow_3[Category],"Loandry")</f>
        <v>0</v>
      </c>
      <c r="Q1335" s="29">
        <f>SUMIFS(Cash_Flow_3[Amount],Cash_Flow_3[Bulan],H1335,Cash_Flow_3[Type],"Out",Cash_Flow_3[Category],"Mio")</f>
        <v>0</v>
      </c>
      <c r="R1335" s="29">
        <f>SUMIFS(Cash_Flow_3[Amount],Cash_Flow_3[Bulan],H1335,Cash_Flow_3[Type],"Out",Cash_Flow_3[Category],"Sedekah")</f>
        <v>0</v>
      </c>
      <c r="S1335" s="29">
        <f>SUMIFS(Cash_Flow_3[Amount],Cash_Flow_3[Bulan],H1335,Cash_Flow_3[Type],"Out",Cash_Flow_3[Category],"Zela")</f>
        <v>0</v>
      </c>
      <c r="T1335" s="29">
        <f>SUMIFS(Cash_Flow_3[Amount],Cash_Flow_3[Bulan],H1335,Cash_Flow_3[Type],"Out",Cash_Flow_3[Category],"Iqbal")</f>
        <v>0</v>
      </c>
    </row>
    <row r="1336" spans="1:20" ht="22.5" customHeight="1" x14ac:dyDescent="0.2">
      <c r="A1336" s="23"/>
      <c r="B1336" s="24"/>
      <c r="C1336" s="25"/>
      <c r="D1336" s="25"/>
      <c r="E1336" s="25"/>
      <c r="F1336" s="26"/>
      <c r="G1336" s="27"/>
      <c r="H1336" s="28" t="str">
        <f t="shared" si="0"/>
        <v/>
      </c>
      <c r="I1336" s="29">
        <f>SUMIFS(Cash_Flow_3[Amount],Cash_Flow_3[Bulan],H1336,Cash_Flow_3[Type],"In")</f>
        <v>0</v>
      </c>
      <c r="J1336" s="29">
        <f>SUMIFS(Cash_Flow_3[Amount],Cash_Flow_3[Bulan],H1336,Cash_Flow_3[Type],"Out")</f>
        <v>0</v>
      </c>
      <c r="K1336" s="29">
        <f>SUMIFS(Cash_Flow_3[Amount],Cash_Flow_3[Bulan],H1336,Cash_Flow_3[Type],"Out",Cash_Flow_3[Category],"Fix")</f>
        <v>0</v>
      </c>
      <c r="L1336" s="29">
        <f>SUMIFS(Cash_Flow_3[Amount],Cash_Flow_3[Bulan],H1336,Cash_Flow_3[Type],"Out",Cash_Flow_3[Category],"Bathroom")</f>
        <v>0</v>
      </c>
      <c r="M1336" s="29">
        <f>SUMIFS(Cash_Flow_3[Amount],Cash_Flow_3[Bulan],H1336,Cash_Flow_3[Type],"Out",Cash_Flow_3[Category],"Alfa")</f>
        <v>0</v>
      </c>
      <c r="N1336" s="29">
        <f>SUMIFS(Cash_Flow_3[Amount],Cash_Flow_3[Bulan],H1336,Cash_Flow_3[Type],"Out",Cash_Flow_3[Category],"Jajan")</f>
        <v>0</v>
      </c>
      <c r="O1336" s="29">
        <f>SUMIFS(Cash_Flow_3[Amount],Cash_Flow_3[Bulan],H1336,Cash_Flow_3[Type],"Out",Cash_Flow_3[Category],"Kitchen")</f>
        <v>0</v>
      </c>
      <c r="P1336" s="29">
        <f>SUMIFS(Cash_Flow_3[Amount],Cash_Flow_3[Bulan],H1336,Cash_Flow_3[Type],"Out",Cash_Flow_3[Category],"Loandry")</f>
        <v>0</v>
      </c>
      <c r="Q1336" s="29">
        <f>SUMIFS(Cash_Flow_3[Amount],Cash_Flow_3[Bulan],H1336,Cash_Flow_3[Type],"Out",Cash_Flow_3[Category],"Mio")</f>
        <v>0</v>
      </c>
      <c r="R1336" s="29">
        <f>SUMIFS(Cash_Flow_3[Amount],Cash_Flow_3[Bulan],H1336,Cash_Flow_3[Type],"Out",Cash_Flow_3[Category],"Sedekah")</f>
        <v>0</v>
      </c>
      <c r="S1336" s="29">
        <f>SUMIFS(Cash_Flow_3[Amount],Cash_Flow_3[Bulan],H1336,Cash_Flow_3[Type],"Out",Cash_Flow_3[Category],"Zela")</f>
        <v>0</v>
      </c>
      <c r="T1336" s="29">
        <f>SUMIFS(Cash_Flow_3[Amount],Cash_Flow_3[Bulan],H1336,Cash_Flow_3[Type],"Out",Cash_Flow_3[Category],"Iqbal")</f>
        <v>0</v>
      </c>
    </row>
    <row r="1337" spans="1:20" ht="22.5" customHeight="1" x14ac:dyDescent="0.2">
      <c r="A1337" s="23"/>
      <c r="B1337" s="24"/>
      <c r="C1337" s="25"/>
      <c r="D1337" s="25"/>
      <c r="E1337" s="25"/>
      <c r="F1337" s="26"/>
      <c r="G1337" s="27"/>
      <c r="H1337" s="28" t="str">
        <f t="shared" si="0"/>
        <v/>
      </c>
      <c r="I1337" s="29">
        <f>SUMIFS(Cash_Flow_3[Amount],Cash_Flow_3[Bulan],H1337,Cash_Flow_3[Type],"In")</f>
        <v>0</v>
      </c>
      <c r="J1337" s="29">
        <f>SUMIFS(Cash_Flow_3[Amount],Cash_Flow_3[Bulan],H1337,Cash_Flow_3[Type],"Out")</f>
        <v>0</v>
      </c>
      <c r="K1337" s="29">
        <f>SUMIFS(Cash_Flow_3[Amount],Cash_Flow_3[Bulan],H1337,Cash_Flow_3[Type],"Out",Cash_Flow_3[Category],"Fix")</f>
        <v>0</v>
      </c>
      <c r="L1337" s="29">
        <f>SUMIFS(Cash_Flow_3[Amount],Cash_Flow_3[Bulan],H1337,Cash_Flow_3[Type],"Out",Cash_Flow_3[Category],"Bathroom")</f>
        <v>0</v>
      </c>
      <c r="M1337" s="29">
        <f>SUMIFS(Cash_Flow_3[Amount],Cash_Flow_3[Bulan],H1337,Cash_Flow_3[Type],"Out",Cash_Flow_3[Category],"Alfa")</f>
        <v>0</v>
      </c>
      <c r="N1337" s="29">
        <f>SUMIFS(Cash_Flow_3[Amount],Cash_Flow_3[Bulan],H1337,Cash_Flow_3[Type],"Out",Cash_Flow_3[Category],"Jajan")</f>
        <v>0</v>
      </c>
      <c r="O1337" s="29">
        <f>SUMIFS(Cash_Flow_3[Amount],Cash_Flow_3[Bulan],H1337,Cash_Flow_3[Type],"Out",Cash_Flow_3[Category],"Kitchen")</f>
        <v>0</v>
      </c>
      <c r="P1337" s="29">
        <f>SUMIFS(Cash_Flow_3[Amount],Cash_Flow_3[Bulan],H1337,Cash_Flow_3[Type],"Out",Cash_Flow_3[Category],"Loandry")</f>
        <v>0</v>
      </c>
      <c r="Q1337" s="29">
        <f>SUMIFS(Cash_Flow_3[Amount],Cash_Flow_3[Bulan],H1337,Cash_Flow_3[Type],"Out",Cash_Flow_3[Category],"Mio")</f>
        <v>0</v>
      </c>
      <c r="R1337" s="29">
        <f>SUMIFS(Cash_Flow_3[Amount],Cash_Flow_3[Bulan],H1337,Cash_Flow_3[Type],"Out",Cash_Flow_3[Category],"Sedekah")</f>
        <v>0</v>
      </c>
      <c r="S1337" s="29">
        <f>SUMIFS(Cash_Flow_3[Amount],Cash_Flow_3[Bulan],H1337,Cash_Flow_3[Type],"Out",Cash_Flow_3[Category],"Zela")</f>
        <v>0</v>
      </c>
      <c r="T1337" s="29">
        <f>SUMIFS(Cash_Flow_3[Amount],Cash_Flow_3[Bulan],H1337,Cash_Flow_3[Type],"Out",Cash_Flow_3[Category],"Iqbal")</f>
        <v>0</v>
      </c>
    </row>
    <row r="1338" spans="1:20" ht="22.5" customHeight="1" x14ac:dyDescent="0.2">
      <c r="A1338" s="23"/>
      <c r="B1338" s="24"/>
      <c r="C1338" s="25"/>
      <c r="D1338" s="25"/>
      <c r="E1338" s="25"/>
      <c r="F1338" s="26"/>
      <c r="G1338" s="27"/>
      <c r="H1338" s="28" t="str">
        <f t="shared" si="0"/>
        <v/>
      </c>
      <c r="I1338" s="29">
        <f>SUMIFS(Cash_Flow_3[Amount],Cash_Flow_3[Bulan],H1338,Cash_Flow_3[Type],"In")</f>
        <v>0</v>
      </c>
      <c r="J1338" s="29">
        <f>SUMIFS(Cash_Flow_3[Amount],Cash_Flow_3[Bulan],H1338,Cash_Flow_3[Type],"Out")</f>
        <v>0</v>
      </c>
      <c r="K1338" s="29">
        <f>SUMIFS(Cash_Flow_3[Amount],Cash_Flow_3[Bulan],H1338,Cash_Flow_3[Type],"Out",Cash_Flow_3[Category],"Fix")</f>
        <v>0</v>
      </c>
      <c r="L1338" s="29">
        <f>SUMIFS(Cash_Flow_3[Amount],Cash_Flow_3[Bulan],H1338,Cash_Flow_3[Type],"Out",Cash_Flow_3[Category],"Bathroom")</f>
        <v>0</v>
      </c>
      <c r="M1338" s="29">
        <f>SUMIFS(Cash_Flow_3[Amount],Cash_Flow_3[Bulan],H1338,Cash_Flow_3[Type],"Out",Cash_Flow_3[Category],"Alfa")</f>
        <v>0</v>
      </c>
      <c r="N1338" s="29">
        <f>SUMIFS(Cash_Flow_3[Amount],Cash_Flow_3[Bulan],H1338,Cash_Flow_3[Type],"Out",Cash_Flow_3[Category],"Jajan")</f>
        <v>0</v>
      </c>
      <c r="O1338" s="29">
        <f>SUMIFS(Cash_Flow_3[Amount],Cash_Flow_3[Bulan],H1338,Cash_Flow_3[Type],"Out",Cash_Flow_3[Category],"Kitchen")</f>
        <v>0</v>
      </c>
      <c r="P1338" s="29">
        <f>SUMIFS(Cash_Flow_3[Amount],Cash_Flow_3[Bulan],H1338,Cash_Flow_3[Type],"Out",Cash_Flow_3[Category],"Loandry")</f>
        <v>0</v>
      </c>
      <c r="Q1338" s="29">
        <f>SUMIFS(Cash_Flow_3[Amount],Cash_Flow_3[Bulan],H1338,Cash_Flow_3[Type],"Out",Cash_Flow_3[Category],"Mio")</f>
        <v>0</v>
      </c>
      <c r="R1338" s="29">
        <f>SUMIFS(Cash_Flow_3[Amount],Cash_Flow_3[Bulan],H1338,Cash_Flow_3[Type],"Out",Cash_Flow_3[Category],"Sedekah")</f>
        <v>0</v>
      </c>
      <c r="S1338" s="29">
        <f>SUMIFS(Cash_Flow_3[Amount],Cash_Flow_3[Bulan],H1338,Cash_Flow_3[Type],"Out",Cash_Flow_3[Category],"Zela")</f>
        <v>0</v>
      </c>
      <c r="T1338" s="29">
        <f>SUMIFS(Cash_Flow_3[Amount],Cash_Flow_3[Bulan],H1338,Cash_Flow_3[Type],"Out",Cash_Flow_3[Category],"Iqbal")</f>
        <v>0</v>
      </c>
    </row>
    <row r="1339" spans="1:20" ht="22.5" customHeight="1" x14ac:dyDescent="0.2">
      <c r="A1339" s="23"/>
      <c r="B1339" s="24"/>
      <c r="C1339" s="25"/>
      <c r="D1339" s="25"/>
      <c r="E1339" s="25"/>
      <c r="F1339" s="26"/>
      <c r="G1339" s="27"/>
      <c r="H1339" s="28" t="str">
        <f t="shared" si="0"/>
        <v/>
      </c>
      <c r="I1339" s="29">
        <f>SUMIFS(Cash_Flow_3[Amount],Cash_Flow_3[Bulan],H1339,Cash_Flow_3[Type],"In")</f>
        <v>0</v>
      </c>
      <c r="J1339" s="29">
        <f>SUMIFS(Cash_Flow_3[Amount],Cash_Flow_3[Bulan],H1339,Cash_Flow_3[Type],"Out")</f>
        <v>0</v>
      </c>
      <c r="K1339" s="29">
        <f>SUMIFS(Cash_Flow_3[Amount],Cash_Flow_3[Bulan],H1339,Cash_Flow_3[Type],"Out",Cash_Flow_3[Category],"Fix")</f>
        <v>0</v>
      </c>
      <c r="L1339" s="29">
        <f>SUMIFS(Cash_Flow_3[Amount],Cash_Flow_3[Bulan],H1339,Cash_Flow_3[Type],"Out",Cash_Flow_3[Category],"Bathroom")</f>
        <v>0</v>
      </c>
      <c r="M1339" s="29">
        <f>SUMIFS(Cash_Flow_3[Amount],Cash_Flow_3[Bulan],H1339,Cash_Flow_3[Type],"Out",Cash_Flow_3[Category],"Alfa")</f>
        <v>0</v>
      </c>
      <c r="N1339" s="29">
        <f>SUMIFS(Cash_Flow_3[Amount],Cash_Flow_3[Bulan],H1339,Cash_Flow_3[Type],"Out",Cash_Flow_3[Category],"Jajan")</f>
        <v>0</v>
      </c>
      <c r="O1339" s="29">
        <f>SUMIFS(Cash_Flow_3[Amount],Cash_Flow_3[Bulan],H1339,Cash_Flow_3[Type],"Out",Cash_Flow_3[Category],"Kitchen")</f>
        <v>0</v>
      </c>
      <c r="P1339" s="29">
        <f>SUMIFS(Cash_Flow_3[Amount],Cash_Flow_3[Bulan],H1339,Cash_Flow_3[Type],"Out",Cash_Flow_3[Category],"Loandry")</f>
        <v>0</v>
      </c>
      <c r="Q1339" s="29">
        <f>SUMIFS(Cash_Flow_3[Amount],Cash_Flow_3[Bulan],H1339,Cash_Flow_3[Type],"Out",Cash_Flow_3[Category],"Mio")</f>
        <v>0</v>
      </c>
      <c r="R1339" s="29">
        <f>SUMIFS(Cash_Flow_3[Amount],Cash_Flow_3[Bulan],H1339,Cash_Flow_3[Type],"Out",Cash_Flow_3[Category],"Sedekah")</f>
        <v>0</v>
      </c>
      <c r="S1339" s="29">
        <f>SUMIFS(Cash_Flow_3[Amount],Cash_Flow_3[Bulan],H1339,Cash_Flow_3[Type],"Out",Cash_Flow_3[Category],"Zela")</f>
        <v>0</v>
      </c>
      <c r="T1339" s="29">
        <f>SUMIFS(Cash_Flow_3[Amount],Cash_Flow_3[Bulan],H1339,Cash_Flow_3[Type],"Out",Cash_Flow_3[Category],"Iqbal")</f>
        <v>0</v>
      </c>
    </row>
    <row r="1340" spans="1:20" ht="22.5" customHeight="1" x14ac:dyDescent="0.2">
      <c r="A1340" s="23"/>
      <c r="B1340" s="24"/>
      <c r="C1340" s="25"/>
      <c r="D1340" s="25"/>
      <c r="E1340" s="25"/>
      <c r="F1340" s="26"/>
      <c r="G1340" s="27"/>
      <c r="H1340" s="28" t="str">
        <f t="shared" si="0"/>
        <v/>
      </c>
      <c r="I1340" s="29">
        <f>SUMIFS(Cash_Flow_3[Amount],Cash_Flow_3[Bulan],H1340,Cash_Flow_3[Type],"In")</f>
        <v>0</v>
      </c>
      <c r="J1340" s="29">
        <f>SUMIFS(Cash_Flow_3[Amount],Cash_Flow_3[Bulan],H1340,Cash_Flow_3[Type],"Out")</f>
        <v>0</v>
      </c>
      <c r="K1340" s="29">
        <f>SUMIFS(Cash_Flow_3[Amount],Cash_Flow_3[Bulan],H1340,Cash_Flow_3[Type],"Out",Cash_Flow_3[Category],"Fix")</f>
        <v>0</v>
      </c>
      <c r="L1340" s="29">
        <f>SUMIFS(Cash_Flow_3[Amount],Cash_Flow_3[Bulan],H1340,Cash_Flow_3[Type],"Out",Cash_Flow_3[Category],"Bathroom")</f>
        <v>0</v>
      </c>
      <c r="M1340" s="29">
        <f>SUMIFS(Cash_Flow_3[Amount],Cash_Flow_3[Bulan],H1340,Cash_Flow_3[Type],"Out",Cash_Flow_3[Category],"Alfa")</f>
        <v>0</v>
      </c>
      <c r="N1340" s="29">
        <f>SUMIFS(Cash_Flow_3[Amount],Cash_Flow_3[Bulan],H1340,Cash_Flow_3[Type],"Out",Cash_Flow_3[Category],"Jajan")</f>
        <v>0</v>
      </c>
      <c r="O1340" s="29">
        <f>SUMIFS(Cash_Flow_3[Amount],Cash_Flow_3[Bulan],H1340,Cash_Flow_3[Type],"Out",Cash_Flow_3[Category],"Kitchen")</f>
        <v>0</v>
      </c>
      <c r="P1340" s="29">
        <f>SUMIFS(Cash_Flow_3[Amount],Cash_Flow_3[Bulan],H1340,Cash_Flow_3[Type],"Out",Cash_Flow_3[Category],"Loandry")</f>
        <v>0</v>
      </c>
      <c r="Q1340" s="29">
        <f>SUMIFS(Cash_Flow_3[Amount],Cash_Flow_3[Bulan],H1340,Cash_Flow_3[Type],"Out",Cash_Flow_3[Category],"Mio")</f>
        <v>0</v>
      </c>
      <c r="R1340" s="29">
        <f>SUMIFS(Cash_Flow_3[Amount],Cash_Flow_3[Bulan],H1340,Cash_Flow_3[Type],"Out",Cash_Flow_3[Category],"Sedekah")</f>
        <v>0</v>
      </c>
      <c r="S1340" s="29">
        <f>SUMIFS(Cash_Flow_3[Amount],Cash_Flow_3[Bulan],H1340,Cash_Flow_3[Type],"Out",Cash_Flow_3[Category],"Zela")</f>
        <v>0</v>
      </c>
      <c r="T1340" s="29">
        <f>SUMIFS(Cash_Flow_3[Amount],Cash_Flow_3[Bulan],H1340,Cash_Flow_3[Type],"Out",Cash_Flow_3[Category],"Iqbal")</f>
        <v>0</v>
      </c>
    </row>
    <row r="1341" spans="1:20" ht="22.5" customHeight="1" x14ac:dyDescent="0.2">
      <c r="A1341" s="23"/>
      <c r="B1341" s="24"/>
      <c r="C1341" s="25"/>
      <c r="D1341" s="25"/>
      <c r="E1341" s="25"/>
      <c r="F1341" s="26"/>
      <c r="G1341" s="27"/>
      <c r="H1341" s="28" t="str">
        <f t="shared" si="0"/>
        <v/>
      </c>
      <c r="I1341" s="29">
        <f>SUMIFS(Cash_Flow_3[Amount],Cash_Flow_3[Bulan],H1341,Cash_Flow_3[Type],"In")</f>
        <v>0</v>
      </c>
      <c r="J1341" s="29">
        <f>SUMIFS(Cash_Flow_3[Amount],Cash_Flow_3[Bulan],H1341,Cash_Flow_3[Type],"Out")</f>
        <v>0</v>
      </c>
      <c r="K1341" s="29">
        <f>SUMIFS(Cash_Flow_3[Amount],Cash_Flow_3[Bulan],H1341,Cash_Flow_3[Type],"Out",Cash_Flow_3[Category],"Fix")</f>
        <v>0</v>
      </c>
      <c r="L1341" s="29">
        <f>SUMIFS(Cash_Flow_3[Amount],Cash_Flow_3[Bulan],H1341,Cash_Flow_3[Type],"Out",Cash_Flow_3[Category],"Bathroom")</f>
        <v>0</v>
      </c>
      <c r="M1341" s="29">
        <f>SUMIFS(Cash_Flow_3[Amount],Cash_Flow_3[Bulan],H1341,Cash_Flow_3[Type],"Out",Cash_Flow_3[Category],"Alfa")</f>
        <v>0</v>
      </c>
      <c r="N1341" s="29">
        <f>SUMIFS(Cash_Flow_3[Amount],Cash_Flow_3[Bulan],H1341,Cash_Flow_3[Type],"Out",Cash_Flow_3[Category],"Jajan")</f>
        <v>0</v>
      </c>
      <c r="O1341" s="29">
        <f>SUMIFS(Cash_Flow_3[Amount],Cash_Flow_3[Bulan],H1341,Cash_Flow_3[Type],"Out",Cash_Flow_3[Category],"Kitchen")</f>
        <v>0</v>
      </c>
      <c r="P1341" s="29">
        <f>SUMIFS(Cash_Flow_3[Amount],Cash_Flow_3[Bulan],H1341,Cash_Flow_3[Type],"Out",Cash_Flow_3[Category],"Loandry")</f>
        <v>0</v>
      </c>
      <c r="Q1341" s="29">
        <f>SUMIFS(Cash_Flow_3[Amount],Cash_Flow_3[Bulan],H1341,Cash_Flow_3[Type],"Out",Cash_Flow_3[Category],"Mio")</f>
        <v>0</v>
      </c>
      <c r="R1341" s="29">
        <f>SUMIFS(Cash_Flow_3[Amount],Cash_Flow_3[Bulan],H1341,Cash_Flow_3[Type],"Out",Cash_Flow_3[Category],"Sedekah")</f>
        <v>0</v>
      </c>
      <c r="S1341" s="29">
        <f>SUMIFS(Cash_Flow_3[Amount],Cash_Flow_3[Bulan],H1341,Cash_Flow_3[Type],"Out",Cash_Flow_3[Category],"Zela")</f>
        <v>0</v>
      </c>
      <c r="T1341" s="29">
        <f>SUMIFS(Cash_Flow_3[Amount],Cash_Flow_3[Bulan],H1341,Cash_Flow_3[Type],"Out",Cash_Flow_3[Category],"Iqbal")</f>
        <v>0</v>
      </c>
    </row>
    <row r="1342" spans="1:20" ht="22.5" customHeight="1" x14ac:dyDescent="0.2">
      <c r="A1342" s="23"/>
      <c r="B1342" s="24"/>
      <c r="C1342" s="25"/>
      <c r="D1342" s="25"/>
      <c r="E1342" s="25"/>
      <c r="F1342" s="26"/>
      <c r="G1342" s="27"/>
      <c r="H1342" s="28" t="str">
        <f t="shared" si="0"/>
        <v/>
      </c>
      <c r="I1342" s="29">
        <f>SUMIFS(Cash_Flow_3[Amount],Cash_Flow_3[Bulan],H1342,Cash_Flow_3[Type],"In")</f>
        <v>0</v>
      </c>
      <c r="J1342" s="29">
        <f>SUMIFS(Cash_Flow_3[Amount],Cash_Flow_3[Bulan],H1342,Cash_Flow_3[Type],"Out")</f>
        <v>0</v>
      </c>
      <c r="K1342" s="29">
        <f>SUMIFS(Cash_Flow_3[Amount],Cash_Flow_3[Bulan],H1342,Cash_Flow_3[Type],"Out",Cash_Flow_3[Category],"Fix")</f>
        <v>0</v>
      </c>
      <c r="L1342" s="29">
        <f>SUMIFS(Cash_Flow_3[Amount],Cash_Flow_3[Bulan],H1342,Cash_Flow_3[Type],"Out",Cash_Flow_3[Category],"Bathroom")</f>
        <v>0</v>
      </c>
      <c r="M1342" s="29">
        <f>SUMIFS(Cash_Flow_3[Amount],Cash_Flow_3[Bulan],H1342,Cash_Flow_3[Type],"Out",Cash_Flow_3[Category],"Alfa")</f>
        <v>0</v>
      </c>
      <c r="N1342" s="29">
        <f>SUMIFS(Cash_Flow_3[Amount],Cash_Flow_3[Bulan],H1342,Cash_Flow_3[Type],"Out",Cash_Flow_3[Category],"Jajan")</f>
        <v>0</v>
      </c>
      <c r="O1342" s="29">
        <f>SUMIFS(Cash_Flow_3[Amount],Cash_Flow_3[Bulan],H1342,Cash_Flow_3[Type],"Out",Cash_Flow_3[Category],"Kitchen")</f>
        <v>0</v>
      </c>
      <c r="P1342" s="29">
        <f>SUMIFS(Cash_Flow_3[Amount],Cash_Flow_3[Bulan],H1342,Cash_Flow_3[Type],"Out",Cash_Flow_3[Category],"Loandry")</f>
        <v>0</v>
      </c>
      <c r="Q1342" s="29">
        <f>SUMIFS(Cash_Flow_3[Amount],Cash_Flow_3[Bulan],H1342,Cash_Flow_3[Type],"Out",Cash_Flow_3[Category],"Mio")</f>
        <v>0</v>
      </c>
      <c r="R1342" s="29">
        <f>SUMIFS(Cash_Flow_3[Amount],Cash_Flow_3[Bulan],H1342,Cash_Flow_3[Type],"Out",Cash_Flow_3[Category],"Sedekah")</f>
        <v>0</v>
      </c>
      <c r="S1342" s="29">
        <f>SUMIFS(Cash_Flow_3[Amount],Cash_Flow_3[Bulan],H1342,Cash_Flow_3[Type],"Out",Cash_Flow_3[Category],"Zela")</f>
        <v>0</v>
      </c>
      <c r="T1342" s="29">
        <f>SUMIFS(Cash_Flow_3[Amount],Cash_Flow_3[Bulan],H1342,Cash_Flow_3[Type],"Out",Cash_Flow_3[Category],"Iqbal")</f>
        <v>0</v>
      </c>
    </row>
    <row r="1343" spans="1:20" ht="22.5" customHeight="1" x14ac:dyDescent="0.2">
      <c r="A1343" s="23"/>
      <c r="B1343" s="24"/>
      <c r="C1343" s="25"/>
      <c r="D1343" s="25"/>
      <c r="E1343" s="25"/>
      <c r="F1343" s="26"/>
      <c r="G1343" s="27"/>
      <c r="H1343" s="28" t="str">
        <f t="shared" si="0"/>
        <v/>
      </c>
      <c r="I1343" s="29">
        <f>SUMIFS(Cash_Flow_3[Amount],Cash_Flow_3[Bulan],H1343,Cash_Flow_3[Type],"In")</f>
        <v>0</v>
      </c>
      <c r="J1343" s="29">
        <f>SUMIFS(Cash_Flow_3[Amount],Cash_Flow_3[Bulan],H1343,Cash_Flow_3[Type],"Out")</f>
        <v>0</v>
      </c>
      <c r="K1343" s="29">
        <f>SUMIFS(Cash_Flow_3[Amount],Cash_Flow_3[Bulan],H1343,Cash_Flow_3[Type],"Out",Cash_Flow_3[Category],"Fix")</f>
        <v>0</v>
      </c>
      <c r="L1343" s="29">
        <f>SUMIFS(Cash_Flow_3[Amount],Cash_Flow_3[Bulan],H1343,Cash_Flow_3[Type],"Out",Cash_Flow_3[Category],"Bathroom")</f>
        <v>0</v>
      </c>
      <c r="M1343" s="29">
        <f>SUMIFS(Cash_Flow_3[Amount],Cash_Flow_3[Bulan],H1343,Cash_Flow_3[Type],"Out",Cash_Flow_3[Category],"Alfa")</f>
        <v>0</v>
      </c>
      <c r="N1343" s="29">
        <f>SUMIFS(Cash_Flow_3[Amount],Cash_Flow_3[Bulan],H1343,Cash_Flow_3[Type],"Out",Cash_Flow_3[Category],"Jajan")</f>
        <v>0</v>
      </c>
      <c r="O1343" s="29">
        <f>SUMIFS(Cash_Flow_3[Amount],Cash_Flow_3[Bulan],H1343,Cash_Flow_3[Type],"Out",Cash_Flow_3[Category],"Kitchen")</f>
        <v>0</v>
      </c>
      <c r="P1343" s="29">
        <f>SUMIFS(Cash_Flow_3[Amount],Cash_Flow_3[Bulan],H1343,Cash_Flow_3[Type],"Out",Cash_Flow_3[Category],"Loandry")</f>
        <v>0</v>
      </c>
      <c r="Q1343" s="29">
        <f>SUMIFS(Cash_Flow_3[Amount],Cash_Flow_3[Bulan],H1343,Cash_Flow_3[Type],"Out",Cash_Flow_3[Category],"Mio")</f>
        <v>0</v>
      </c>
      <c r="R1343" s="29">
        <f>SUMIFS(Cash_Flow_3[Amount],Cash_Flow_3[Bulan],H1343,Cash_Flow_3[Type],"Out",Cash_Flow_3[Category],"Sedekah")</f>
        <v>0</v>
      </c>
      <c r="S1343" s="29">
        <f>SUMIFS(Cash_Flow_3[Amount],Cash_Flow_3[Bulan],H1343,Cash_Flow_3[Type],"Out",Cash_Flow_3[Category],"Zela")</f>
        <v>0</v>
      </c>
      <c r="T1343" s="29">
        <f>SUMIFS(Cash_Flow_3[Amount],Cash_Flow_3[Bulan],H1343,Cash_Flow_3[Type],"Out",Cash_Flow_3[Category],"Iqbal")</f>
        <v>0</v>
      </c>
    </row>
    <row r="1344" spans="1:20" ht="22.5" customHeight="1" x14ac:dyDescent="0.2">
      <c r="A1344" s="23"/>
      <c r="B1344" s="24"/>
      <c r="C1344" s="25"/>
      <c r="D1344" s="25"/>
      <c r="E1344" s="25"/>
      <c r="F1344" s="26"/>
      <c r="G1344" s="27"/>
      <c r="H1344" s="28" t="str">
        <f t="shared" si="0"/>
        <v/>
      </c>
      <c r="I1344" s="29">
        <f>SUMIFS(Cash_Flow_3[Amount],Cash_Flow_3[Bulan],H1344,Cash_Flow_3[Type],"In")</f>
        <v>0</v>
      </c>
      <c r="J1344" s="29">
        <f>SUMIFS(Cash_Flow_3[Amount],Cash_Flow_3[Bulan],H1344,Cash_Flow_3[Type],"Out")</f>
        <v>0</v>
      </c>
      <c r="K1344" s="29">
        <f>SUMIFS(Cash_Flow_3[Amount],Cash_Flow_3[Bulan],H1344,Cash_Flow_3[Type],"Out",Cash_Flow_3[Category],"Fix")</f>
        <v>0</v>
      </c>
      <c r="L1344" s="29">
        <f>SUMIFS(Cash_Flow_3[Amount],Cash_Flow_3[Bulan],H1344,Cash_Flow_3[Type],"Out",Cash_Flow_3[Category],"Bathroom")</f>
        <v>0</v>
      </c>
      <c r="M1344" s="29">
        <f>SUMIFS(Cash_Flow_3[Amount],Cash_Flow_3[Bulan],H1344,Cash_Flow_3[Type],"Out",Cash_Flow_3[Category],"Alfa")</f>
        <v>0</v>
      </c>
      <c r="N1344" s="29">
        <f>SUMIFS(Cash_Flow_3[Amount],Cash_Flow_3[Bulan],H1344,Cash_Flow_3[Type],"Out",Cash_Flow_3[Category],"Jajan")</f>
        <v>0</v>
      </c>
      <c r="O1344" s="29">
        <f>SUMIFS(Cash_Flow_3[Amount],Cash_Flow_3[Bulan],H1344,Cash_Flow_3[Type],"Out",Cash_Flow_3[Category],"Kitchen")</f>
        <v>0</v>
      </c>
      <c r="P1344" s="29">
        <f>SUMIFS(Cash_Flow_3[Amount],Cash_Flow_3[Bulan],H1344,Cash_Flow_3[Type],"Out",Cash_Flow_3[Category],"Loandry")</f>
        <v>0</v>
      </c>
      <c r="Q1344" s="29">
        <f>SUMIFS(Cash_Flow_3[Amount],Cash_Flow_3[Bulan],H1344,Cash_Flow_3[Type],"Out",Cash_Flow_3[Category],"Mio")</f>
        <v>0</v>
      </c>
      <c r="R1344" s="29">
        <f>SUMIFS(Cash_Flow_3[Amount],Cash_Flow_3[Bulan],H1344,Cash_Flow_3[Type],"Out",Cash_Flow_3[Category],"Sedekah")</f>
        <v>0</v>
      </c>
      <c r="S1344" s="29">
        <f>SUMIFS(Cash_Flow_3[Amount],Cash_Flow_3[Bulan],H1344,Cash_Flow_3[Type],"Out",Cash_Flow_3[Category],"Zela")</f>
        <v>0</v>
      </c>
      <c r="T1344" s="29">
        <f>SUMIFS(Cash_Flow_3[Amount],Cash_Flow_3[Bulan],H1344,Cash_Flow_3[Type],"Out",Cash_Flow_3[Category],"Iqbal")</f>
        <v>0</v>
      </c>
    </row>
    <row r="1345" spans="1:20" ht="22.5" customHeight="1" x14ac:dyDescent="0.2">
      <c r="A1345" s="23"/>
      <c r="B1345" s="24"/>
      <c r="C1345" s="25"/>
      <c r="D1345" s="25"/>
      <c r="E1345" s="25"/>
      <c r="F1345" s="26"/>
      <c r="G1345" s="27"/>
      <c r="H1345" s="28" t="str">
        <f t="shared" si="0"/>
        <v/>
      </c>
      <c r="I1345" s="29">
        <f>SUMIFS(Cash_Flow_3[Amount],Cash_Flow_3[Bulan],H1345,Cash_Flow_3[Type],"In")</f>
        <v>0</v>
      </c>
      <c r="J1345" s="29">
        <f>SUMIFS(Cash_Flow_3[Amount],Cash_Flow_3[Bulan],H1345,Cash_Flow_3[Type],"Out")</f>
        <v>0</v>
      </c>
      <c r="K1345" s="29">
        <f>SUMIFS(Cash_Flow_3[Amount],Cash_Flow_3[Bulan],H1345,Cash_Flow_3[Type],"Out",Cash_Flow_3[Category],"Fix")</f>
        <v>0</v>
      </c>
      <c r="L1345" s="29">
        <f>SUMIFS(Cash_Flow_3[Amount],Cash_Flow_3[Bulan],H1345,Cash_Flow_3[Type],"Out",Cash_Flow_3[Category],"Bathroom")</f>
        <v>0</v>
      </c>
      <c r="M1345" s="29">
        <f>SUMIFS(Cash_Flow_3[Amount],Cash_Flow_3[Bulan],H1345,Cash_Flow_3[Type],"Out",Cash_Flow_3[Category],"Alfa")</f>
        <v>0</v>
      </c>
      <c r="N1345" s="29">
        <f>SUMIFS(Cash_Flow_3[Amount],Cash_Flow_3[Bulan],H1345,Cash_Flow_3[Type],"Out",Cash_Flow_3[Category],"Jajan")</f>
        <v>0</v>
      </c>
      <c r="O1345" s="29">
        <f>SUMIFS(Cash_Flow_3[Amount],Cash_Flow_3[Bulan],H1345,Cash_Flow_3[Type],"Out",Cash_Flow_3[Category],"Kitchen")</f>
        <v>0</v>
      </c>
      <c r="P1345" s="29">
        <f>SUMIFS(Cash_Flow_3[Amount],Cash_Flow_3[Bulan],H1345,Cash_Flow_3[Type],"Out",Cash_Flow_3[Category],"Loandry")</f>
        <v>0</v>
      </c>
      <c r="Q1345" s="29">
        <f>SUMIFS(Cash_Flow_3[Amount],Cash_Flow_3[Bulan],H1345,Cash_Flow_3[Type],"Out",Cash_Flow_3[Category],"Mio")</f>
        <v>0</v>
      </c>
      <c r="R1345" s="29">
        <f>SUMIFS(Cash_Flow_3[Amount],Cash_Flow_3[Bulan],H1345,Cash_Flow_3[Type],"Out",Cash_Flow_3[Category],"Sedekah")</f>
        <v>0</v>
      </c>
      <c r="S1345" s="29">
        <f>SUMIFS(Cash_Flow_3[Amount],Cash_Flow_3[Bulan],H1345,Cash_Flow_3[Type],"Out",Cash_Flow_3[Category],"Zela")</f>
        <v>0</v>
      </c>
      <c r="T1345" s="29">
        <f>SUMIFS(Cash_Flow_3[Amount],Cash_Flow_3[Bulan],H1345,Cash_Flow_3[Type],"Out",Cash_Flow_3[Category],"Iqbal")</f>
        <v>0</v>
      </c>
    </row>
    <row r="1346" spans="1:20" ht="22.5" customHeight="1" x14ac:dyDescent="0.2">
      <c r="A1346" s="23"/>
      <c r="B1346" s="24"/>
      <c r="C1346" s="25"/>
      <c r="D1346" s="25"/>
      <c r="E1346" s="25"/>
      <c r="F1346" s="26"/>
      <c r="G1346" s="27"/>
      <c r="H1346" s="28" t="str">
        <f t="shared" si="0"/>
        <v/>
      </c>
      <c r="I1346" s="29">
        <f>SUMIFS(Cash_Flow_3[Amount],Cash_Flow_3[Bulan],H1346,Cash_Flow_3[Type],"In")</f>
        <v>0</v>
      </c>
      <c r="J1346" s="29">
        <f>SUMIFS(Cash_Flow_3[Amount],Cash_Flow_3[Bulan],H1346,Cash_Flow_3[Type],"Out")</f>
        <v>0</v>
      </c>
      <c r="K1346" s="29">
        <f>SUMIFS(Cash_Flow_3[Amount],Cash_Flow_3[Bulan],H1346,Cash_Flow_3[Type],"Out",Cash_Flow_3[Category],"Fix")</f>
        <v>0</v>
      </c>
      <c r="L1346" s="29">
        <f>SUMIFS(Cash_Flow_3[Amount],Cash_Flow_3[Bulan],H1346,Cash_Flow_3[Type],"Out",Cash_Flow_3[Category],"Bathroom")</f>
        <v>0</v>
      </c>
      <c r="M1346" s="29">
        <f>SUMIFS(Cash_Flow_3[Amount],Cash_Flow_3[Bulan],H1346,Cash_Flow_3[Type],"Out",Cash_Flow_3[Category],"Alfa")</f>
        <v>0</v>
      </c>
      <c r="N1346" s="29">
        <f>SUMIFS(Cash_Flow_3[Amount],Cash_Flow_3[Bulan],H1346,Cash_Flow_3[Type],"Out",Cash_Flow_3[Category],"Jajan")</f>
        <v>0</v>
      </c>
      <c r="O1346" s="29">
        <f>SUMIFS(Cash_Flow_3[Amount],Cash_Flow_3[Bulan],H1346,Cash_Flow_3[Type],"Out",Cash_Flow_3[Category],"Kitchen")</f>
        <v>0</v>
      </c>
      <c r="P1346" s="29">
        <f>SUMIFS(Cash_Flow_3[Amount],Cash_Flow_3[Bulan],H1346,Cash_Flow_3[Type],"Out",Cash_Flow_3[Category],"Loandry")</f>
        <v>0</v>
      </c>
      <c r="Q1346" s="29">
        <f>SUMIFS(Cash_Flow_3[Amount],Cash_Flow_3[Bulan],H1346,Cash_Flow_3[Type],"Out",Cash_Flow_3[Category],"Mio")</f>
        <v>0</v>
      </c>
      <c r="R1346" s="29">
        <f>SUMIFS(Cash_Flow_3[Amount],Cash_Flow_3[Bulan],H1346,Cash_Flow_3[Type],"Out",Cash_Flow_3[Category],"Sedekah")</f>
        <v>0</v>
      </c>
      <c r="S1346" s="29">
        <f>SUMIFS(Cash_Flow_3[Amount],Cash_Flow_3[Bulan],H1346,Cash_Flow_3[Type],"Out",Cash_Flow_3[Category],"Zela")</f>
        <v>0</v>
      </c>
      <c r="T1346" s="29">
        <f>SUMIFS(Cash_Flow_3[Amount],Cash_Flow_3[Bulan],H1346,Cash_Flow_3[Type],"Out",Cash_Flow_3[Category],"Iqbal")</f>
        <v>0</v>
      </c>
    </row>
    <row r="1347" spans="1:20" ht="22.5" customHeight="1" x14ac:dyDescent="0.2">
      <c r="A1347" s="23"/>
      <c r="B1347" s="24"/>
      <c r="C1347" s="25"/>
      <c r="D1347" s="25"/>
      <c r="E1347" s="25"/>
      <c r="F1347" s="26"/>
      <c r="G1347" s="27"/>
      <c r="H1347" s="28" t="str">
        <f t="shared" si="0"/>
        <v/>
      </c>
      <c r="I1347" s="29">
        <f>SUMIFS(Cash_Flow_3[Amount],Cash_Flow_3[Bulan],H1347,Cash_Flow_3[Type],"In")</f>
        <v>0</v>
      </c>
      <c r="J1347" s="29">
        <f>SUMIFS(Cash_Flow_3[Amount],Cash_Flow_3[Bulan],H1347,Cash_Flow_3[Type],"Out")</f>
        <v>0</v>
      </c>
      <c r="K1347" s="29">
        <f>SUMIFS(Cash_Flow_3[Amount],Cash_Flow_3[Bulan],H1347,Cash_Flow_3[Type],"Out",Cash_Flow_3[Category],"Fix")</f>
        <v>0</v>
      </c>
      <c r="L1347" s="29">
        <f>SUMIFS(Cash_Flow_3[Amount],Cash_Flow_3[Bulan],H1347,Cash_Flow_3[Type],"Out",Cash_Flow_3[Category],"Bathroom")</f>
        <v>0</v>
      </c>
      <c r="M1347" s="29">
        <f>SUMIFS(Cash_Flow_3[Amount],Cash_Flow_3[Bulan],H1347,Cash_Flow_3[Type],"Out",Cash_Flow_3[Category],"Alfa")</f>
        <v>0</v>
      </c>
      <c r="N1347" s="29">
        <f>SUMIFS(Cash_Flow_3[Amount],Cash_Flow_3[Bulan],H1347,Cash_Flow_3[Type],"Out",Cash_Flow_3[Category],"Jajan")</f>
        <v>0</v>
      </c>
      <c r="O1347" s="29">
        <f>SUMIFS(Cash_Flow_3[Amount],Cash_Flow_3[Bulan],H1347,Cash_Flow_3[Type],"Out",Cash_Flow_3[Category],"Kitchen")</f>
        <v>0</v>
      </c>
      <c r="P1347" s="29">
        <f>SUMIFS(Cash_Flow_3[Amount],Cash_Flow_3[Bulan],H1347,Cash_Flow_3[Type],"Out",Cash_Flow_3[Category],"Loandry")</f>
        <v>0</v>
      </c>
      <c r="Q1347" s="29">
        <f>SUMIFS(Cash_Flow_3[Amount],Cash_Flow_3[Bulan],H1347,Cash_Flow_3[Type],"Out",Cash_Flow_3[Category],"Mio")</f>
        <v>0</v>
      </c>
      <c r="R1347" s="29">
        <f>SUMIFS(Cash_Flow_3[Amount],Cash_Flow_3[Bulan],H1347,Cash_Flow_3[Type],"Out",Cash_Flow_3[Category],"Sedekah")</f>
        <v>0</v>
      </c>
      <c r="S1347" s="29">
        <f>SUMIFS(Cash_Flow_3[Amount],Cash_Flow_3[Bulan],H1347,Cash_Flow_3[Type],"Out",Cash_Flow_3[Category],"Zela")</f>
        <v>0</v>
      </c>
      <c r="T1347" s="29">
        <f>SUMIFS(Cash_Flow_3[Amount],Cash_Flow_3[Bulan],H1347,Cash_Flow_3[Type],"Out",Cash_Flow_3[Category],"Iqbal")</f>
        <v>0</v>
      </c>
    </row>
    <row r="1348" spans="1:20" ht="22.5" customHeight="1" x14ac:dyDescent="0.2">
      <c r="A1348" s="23"/>
      <c r="B1348" s="24"/>
      <c r="C1348" s="25"/>
      <c r="D1348" s="25"/>
      <c r="E1348" s="25"/>
      <c r="F1348" s="26"/>
      <c r="G1348" s="27"/>
      <c r="H1348" s="28" t="str">
        <f t="shared" si="0"/>
        <v/>
      </c>
      <c r="I1348" s="29">
        <f>SUMIFS(Cash_Flow_3[Amount],Cash_Flow_3[Bulan],H1348,Cash_Flow_3[Type],"In")</f>
        <v>0</v>
      </c>
      <c r="J1348" s="29">
        <f>SUMIFS(Cash_Flow_3[Amount],Cash_Flow_3[Bulan],H1348,Cash_Flow_3[Type],"Out")</f>
        <v>0</v>
      </c>
      <c r="K1348" s="29">
        <f>SUMIFS(Cash_Flow_3[Amount],Cash_Flow_3[Bulan],H1348,Cash_Flow_3[Type],"Out",Cash_Flow_3[Category],"Fix")</f>
        <v>0</v>
      </c>
      <c r="L1348" s="29">
        <f>SUMIFS(Cash_Flow_3[Amount],Cash_Flow_3[Bulan],H1348,Cash_Flow_3[Type],"Out",Cash_Flow_3[Category],"Bathroom")</f>
        <v>0</v>
      </c>
      <c r="M1348" s="29">
        <f>SUMIFS(Cash_Flow_3[Amount],Cash_Flow_3[Bulan],H1348,Cash_Flow_3[Type],"Out",Cash_Flow_3[Category],"Alfa")</f>
        <v>0</v>
      </c>
      <c r="N1348" s="29">
        <f>SUMIFS(Cash_Flow_3[Amount],Cash_Flow_3[Bulan],H1348,Cash_Flow_3[Type],"Out",Cash_Flow_3[Category],"Jajan")</f>
        <v>0</v>
      </c>
      <c r="O1348" s="29">
        <f>SUMIFS(Cash_Flow_3[Amount],Cash_Flow_3[Bulan],H1348,Cash_Flow_3[Type],"Out",Cash_Flow_3[Category],"Kitchen")</f>
        <v>0</v>
      </c>
      <c r="P1348" s="29">
        <f>SUMIFS(Cash_Flow_3[Amount],Cash_Flow_3[Bulan],H1348,Cash_Flow_3[Type],"Out",Cash_Flow_3[Category],"Loandry")</f>
        <v>0</v>
      </c>
      <c r="Q1348" s="29">
        <f>SUMIFS(Cash_Flow_3[Amount],Cash_Flow_3[Bulan],H1348,Cash_Flow_3[Type],"Out",Cash_Flow_3[Category],"Mio")</f>
        <v>0</v>
      </c>
      <c r="R1348" s="29">
        <f>SUMIFS(Cash_Flow_3[Amount],Cash_Flow_3[Bulan],H1348,Cash_Flow_3[Type],"Out",Cash_Flow_3[Category],"Sedekah")</f>
        <v>0</v>
      </c>
      <c r="S1348" s="29">
        <f>SUMIFS(Cash_Flow_3[Amount],Cash_Flow_3[Bulan],H1348,Cash_Flow_3[Type],"Out",Cash_Flow_3[Category],"Zela")</f>
        <v>0</v>
      </c>
      <c r="T1348" s="29">
        <f>SUMIFS(Cash_Flow_3[Amount],Cash_Flow_3[Bulan],H1348,Cash_Flow_3[Type],"Out",Cash_Flow_3[Category],"Iqbal")</f>
        <v>0</v>
      </c>
    </row>
    <row r="1349" spans="1:20" ht="22.5" customHeight="1" x14ac:dyDescent="0.2">
      <c r="A1349" s="23"/>
      <c r="B1349" s="24"/>
      <c r="C1349" s="25"/>
      <c r="D1349" s="25"/>
      <c r="E1349" s="25"/>
      <c r="F1349" s="26"/>
      <c r="G1349" s="27"/>
      <c r="H1349" s="28" t="str">
        <f t="shared" si="0"/>
        <v/>
      </c>
      <c r="I1349" s="29">
        <f>SUMIFS(Cash_Flow_3[Amount],Cash_Flow_3[Bulan],H1349,Cash_Flow_3[Type],"In")</f>
        <v>0</v>
      </c>
      <c r="J1349" s="29">
        <f>SUMIFS(Cash_Flow_3[Amount],Cash_Flow_3[Bulan],H1349,Cash_Flow_3[Type],"Out")</f>
        <v>0</v>
      </c>
      <c r="K1349" s="29">
        <f>SUMIFS(Cash_Flow_3[Amount],Cash_Flow_3[Bulan],H1349,Cash_Flow_3[Type],"Out",Cash_Flow_3[Category],"Fix")</f>
        <v>0</v>
      </c>
      <c r="L1349" s="29">
        <f>SUMIFS(Cash_Flow_3[Amount],Cash_Flow_3[Bulan],H1349,Cash_Flow_3[Type],"Out",Cash_Flow_3[Category],"Bathroom")</f>
        <v>0</v>
      </c>
      <c r="M1349" s="29">
        <f>SUMIFS(Cash_Flow_3[Amount],Cash_Flow_3[Bulan],H1349,Cash_Flow_3[Type],"Out",Cash_Flow_3[Category],"Alfa")</f>
        <v>0</v>
      </c>
      <c r="N1349" s="29">
        <f>SUMIFS(Cash_Flow_3[Amount],Cash_Flow_3[Bulan],H1349,Cash_Flow_3[Type],"Out",Cash_Flow_3[Category],"Jajan")</f>
        <v>0</v>
      </c>
      <c r="O1349" s="29">
        <f>SUMIFS(Cash_Flow_3[Amount],Cash_Flow_3[Bulan],H1349,Cash_Flow_3[Type],"Out",Cash_Flow_3[Category],"Kitchen")</f>
        <v>0</v>
      </c>
      <c r="P1349" s="29">
        <f>SUMIFS(Cash_Flow_3[Amount],Cash_Flow_3[Bulan],H1349,Cash_Flow_3[Type],"Out",Cash_Flow_3[Category],"Loandry")</f>
        <v>0</v>
      </c>
      <c r="Q1349" s="29">
        <f>SUMIFS(Cash_Flow_3[Amount],Cash_Flow_3[Bulan],H1349,Cash_Flow_3[Type],"Out",Cash_Flow_3[Category],"Mio")</f>
        <v>0</v>
      </c>
      <c r="R1349" s="29">
        <f>SUMIFS(Cash_Flow_3[Amount],Cash_Flow_3[Bulan],H1349,Cash_Flow_3[Type],"Out",Cash_Flow_3[Category],"Sedekah")</f>
        <v>0</v>
      </c>
      <c r="S1349" s="29">
        <f>SUMIFS(Cash_Flow_3[Amount],Cash_Flow_3[Bulan],H1349,Cash_Flow_3[Type],"Out",Cash_Flow_3[Category],"Zela")</f>
        <v>0</v>
      </c>
      <c r="T1349" s="29">
        <f>SUMIFS(Cash_Flow_3[Amount],Cash_Flow_3[Bulan],H1349,Cash_Flow_3[Type],"Out",Cash_Flow_3[Category],"Iqbal")</f>
        <v>0</v>
      </c>
    </row>
    <row r="1350" spans="1:20" ht="22.5" customHeight="1" x14ac:dyDescent="0.2">
      <c r="A1350" s="23"/>
      <c r="B1350" s="24"/>
      <c r="C1350" s="25"/>
      <c r="D1350" s="25"/>
      <c r="E1350" s="25"/>
      <c r="F1350" s="26"/>
      <c r="G1350" s="27"/>
      <c r="H1350" s="28" t="str">
        <f t="shared" si="0"/>
        <v/>
      </c>
      <c r="I1350" s="29">
        <f>SUMIFS(Cash_Flow_3[Amount],Cash_Flow_3[Bulan],H1350,Cash_Flow_3[Type],"In")</f>
        <v>0</v>
      </c>
      <c r="J1350" s="29">
        <f>SUMIFS(Cash_Flow_3[Amount],Cash_Flow_3[Bulan],H1350,Cash_Flow_3[Type],"Out")</f>
        <v>0</v>
      </c>
      <c r="K1350" s="29">
        <f>SUMIFS(Cash_Flow_3[Amount],Cash_Flow_3[Bulan],H1350,Cash_Flow_3[Type],"Out",Cash_Flow_3[Category],"Fix")</f>
        <v>0</v>
      </c>
      <c r="L1350" s="29">
        <f>SUMIFS(Cash_Flow_3[Amount],Cash_Flow_3[Bulan],H1350,Cash_Flow_3[Type],"Out",Cash_Flow_3[Category],"Bathroom")</f>
        <v>0</v>
      </c>
      <c r="M1350" s="29">
        <f>SUMIFS(Cash_Flow_3[Amount],Cash_Flow_3[Bulan],H1350,Cash_Flow_3[Type],"Out",Cash_Flow_3[Category],"Alfa")</f>
        <v>0</v>
      </c>
      <c r="N1350" s="29">
        <f>SUMIFS(Cash_Flow_3[Amount],Cash_Flow_3[Bulan],H1350,Cash_Flow_3[Type],"Out",Cash_Flow_3[Category],"Jajan")</f>
        <v>0</v>
      </c>
      <c r="O1350" s="29">
        <f>SUMIFS(Cash_Flow_3[Amount],Cash_Flow_3[Bulan],H1350,Cash_Flow_3[Type],"Out",Cash_Flow_3[Category],"Kitchen")</f>
        <v>0</v>
      </c>
      <c r="P1350" s="29">
        <f>SUMIFS(Cash_Flow_3[Amount],Cash_Flow_3[Bulan],H1350,Cash_Flow_3[Type],"Out",Cash_Flow_3[Category],"Loandry")</f>
        <v>0</v>
      </c>
      <c r="Q1350" s="29">
        <f>SUMIFS(Cash_Flow_3[Amount],Cash_Flow_3[Bulan],H1350,Cash_Flow_3[Type],"Out",Cash_Flow_3[Category],"Mio")</f>
        <v>0</v>
      </c>
      <c r="R1350" s="29">
        <f>SUMIFS(Cash_Flow_3[Amount],Cash_Flow_3[Bulan],H1350,Cash_Flow_3[Type],"Out",Cash_Flow_3[Category],"Sedekah")</f>
        <v>0</v>
      </c>
      <c r="S1350" s="29">
        <f>SUMIFS(Cash_Flow_3[Amount],Cash_Flow_3[Bulan],H1350,Cash_Flow_3[Type],"Out",Cash_Flow_3[Category],"Zela")</f>
        <v>0</v>
      </c>
      <c r="T1350" s="29">
        <f>SUMIFS(Cash_Flow_3[Amount],Cash_Flow_3[Bulan],H1350,Cash_Flow_3[Type],"Out",Cash_Flow_3[Category],"Iqbal")</f>
        <v>0</v>
      </c>
    </row>
    <row r="1351" spans="1:20" ht="22.5" customHeight="1" x14ac:dyDescent="0.2">
      <c r="A1351" s="23"/>
      <c r="B1351" s="24"/>
      <c r="C1351" s="25"/>
      <c r="D1351" s="25"/>
      <c r="E1351" s="25"/>
      <c r="F1351" s="26"/>
      <c r="G1351" s="27"/>
      <c r="H1351" s="28" t="str">
        <f t="shared" si="0"/>
        <v/>
      </c>
      <c r="I1351" s="29">
        <f>SUMIFS(Cash_Flow_3[Amount],Cash_Flow_3[Bulan],H1351,Cash_Flow_3[Type],"In")</f>
        <v>0</v>
      </c>
      <c r="J1351" s="29">
        <f>SUMIFS(Cash_Flow_3[Amount],Cash_Flow_3[Bulan],H1351,Cash_Flow_3[Type],"Out")</f>
        <v>0</v>
      </c>
      <c r="K1351" s="29">
        <f>SUMIFS(Cash_Flow_3[Amount],Cash_Flow_3[Bulan],H1351,Cash_Flow_3[Type],"Out",Cash_Flow_3[Category],"Fix")</f>
        <v>0</v>
      </c>
      <c r="L1351" s="29">
        <f>SUMIFS(Cash_Flow_3[Amount],Cash_Flow_3[Bulan],H1351,Cash_Flow_3[Type],"Out",Cash_Flow_3[Category],"Bathroom")</f>
        <v>0</v>
      </c>
      <c r="M1351" s="29">
        <f>SUMIFS(Cash_Flow_3[Amount],Cash_Flow_3[Bulan],H1351,Cash_Flow_3[Type],"Out",Cash_Flow_3[Category],"Alfa")</f>
        <v>0</v>
      </c>
      <c r="N1351" s="29">
        <f>SUMIFS(Cash_Flow_3[Amount],Cash_Flow_3[Bulan],H1351,Cash_Flow_3[Type],"Out",Cash_Flow_3[Category],"Jajan")</f>
        <v>0</v>
      </c>
      <c r="O1351" s="29">
        <f>SUMIFS(Cash_Flow_3[Amount],Cash_Flow_3[Bulan],H1351,Cash_Flow_3[Type],"Out",Cash_Flow_3[Category],"Kitchen")</f>
        <v>0</v>
      </c>
      <c r="P1351" s="29">
        <f>SUMIFS(Cash_Flow_3[Amount],Cash_Flow_3[Bulan],H1351,Cash_Flow_3[Type],"Out",Cash_Flow_3[Category],"Loandry")</f>
        <v>0</v>
      </c>
      <c r="Q1351" s="29">
        <f>SUMIFS(Cash_Flow_3[Amount],Cash_Flow_3[Bulan],H1351,Cash_Flow_3[Type],"Out",Cash_Flow_3[Category],"Mio")</f>
        <v>0</v>
      </c>
      <c r="R1351" s="29">
        <f>SUMIFS(Cash_Flow_3[Amount],Cash_Flow_3[Bulan],H1351,Cash_Flow_3[Type],"Out",Cash_Flow_3[Category],"Sedekah")</f>
        <v>0</v>
      </c>
      <c r="S1351" s="29">
        <f>SUMIFS(Cash_Flow_3[Amount],Cash_Flow_3[Bulan],H1351,Cash_Flow_3[Type],"Out",Cash_Flow_3[Category],"Zela")</f>
        <v>0</v>
      </c>
      <c r="T1351" s="29">
        <f>SUMIFS(Cash_Flow_3[Amount],Cash_Flow_3[Bulan],H1351,Cash_Flow_3[Type],"Out",Cash_Flow_3[Category],"Iqbal")</f>
        <v>0</v>
      </c>
    </row>
    <row r="1352" spans="1:20" ht="22.5" customHeight="1" x14ac:dyDescent="0.2">
      <c r="A1352" s="23"/>
      <c r="B1352" s="24"/>
      <c r="C1352" s="25"/>
      <c r="D1352" s="25"/>
      <c r="E1352" s="25"/>
      <c r="F1352" s="26"/>
      <c r="G1352" s="27"/>
      <c r="H1352" s="28" t="str">
        <f t="shared" si="0"/>
        <v/>
      </c>
      <c r="I1352" s="29">
        <f>SUMIFS(Cash_Flow_3[Amount],Cash_Flow_3[Bulan],H1352,Cash_Flow_3[Type],"In")</f>
        <v>0</v>
      </c>
      <c r="J1352" s="29">
        <f>SUMIFS(Cash_Flow_3[Amount],Cash_Flow_3[Bulan],H1352,Cash_Flow_3[Type],"Out")</f>
        <v>0</v>
      </c>
      <c r="K1352" s="29">
        <f>SUMIFS(Cash_Flow_3[Amount],Cash_Flow_3[Bulan],H1352,Cash_Flow_3[Type],"Out",Cash_Flow_3[Category],"Fix")</f>
        <v>0</v>
      </c>
      <c r="L1352" s="29">
        <f>SUMIFS(Cash_Flow_3[Amount],Cash_Flow_3[Bulan],H1352,Cash_Flow_3[Type],"Out",Cash_Flow_3[Category],"Bathroom")</f>
        <v>0</v>
      </c>
      <c r="M1352" s="29">
        <f>SUMIFS(Cash_Flow_3[Amount],Cash_Flow_3[Bulan],H1352,Cash_Flow_3[Type],"Out",Cash_Flow_3[Category],"Alfa")</f>
        <v>0</v>
      </c>
      <c r="N1352" s="29">
        <f>SUMIFS(Cash_Flow_3[Amount],Cash_Flow_3[Bulan],H1352,Cash_Flow_3[Type],"Out",Cash_Flow_3[Category],"Jajan")</f>
        <v>0</v>
      </c>
      <c r="O1352" s="29">
        <f>SUMIFS(Cash_Flow_3[Amount],Cash_Flow_3[Bulan],H1352,Cash_Flow_3[Type],"Out",Cash_Flow_3[Category],"Kitchen")</f>
        <v>0</v>
      </c>
      <c r="P1352" s="29">
        <f>SUMIFS(Cash_Flow_3[Amount],Cash_Flow_3[Bulan],H1352,Cash_Flow_3[Type],"Out",Cash_Flow_3[Category],"Loandry")</f>
        <v>0</v>
      </c>
      <c r="Q1352" s="29">
        <f>SUMIFS(Cash_Flow_3[Amount],Cash_Flow_3[Bulan],H1352,Cash_Flow_3[Type],"Out",Cash_Flow_3[Category],"Mio")</f>
        <v>0</v>
      </c>
      <c r="R1352" s="29">
        <f>SUMIFS(Cash_Flow_3[Amount],Cash_Flow_3[Bulan],H1352,Cash_Flow_3[Type],"Out",Cash_Flow_3[Category],"Sedekah")</f>
        <v>0</v>
      </c>
      <c r="S1352" s="29">
        <f>SUMIFS(Cash_Flow_3[Amount],Cash_Flow_3[Bulan],H1352,Cash_Flow_3[Type],"Out",Cash_Flow_3[Category],"Zela")</f>
        <v>0</v>
      </c>
      <c r="T1352" s="29">
        <f>SUMIFS(Cash_Flow_3[Amount],Cash_Flow_3[Bulan],H1352,Cash_Flow_3[Type],"Out",Cash_Flow_3[Category],"Iqbal")</f>
        <v>0</v>
      </c>
    </row>
    <row r="1353" spans="1:20" ht="22.5" customHeight="1" x14ac:dyDescent="0.2">
      <c r="A1353" s="23"/>
      <c r="B1353" s="24"/>
      <c r="C1353" s="25"/>
      <c r="D1353" s="25"/>
      <c r="E1353" s="25"/>
      <c r="F1353" s="26"/>
      <c r="G1353" s="27"/>
      <c r="H1353" s="28" t="str">
        <f t="shared" si="0"/>
        <v/>
      </c>
      <c r="I1353" s="29">
        <f>SUMIFS(Cash_Flow_3[Amount],Cash_Flow_3[Bulan],H1353,Cash_Flow_3[Type],"In")</f>
        <v>0</v>
      </c>
      <c r="J1353" s="29">
        <f>SUMIFS(Cash_Flow_3[Amount],Cash_Flow_3[Bulan],H1353,Cash_Flow_3[Type],"Out")</f>
        <v>0</v>
      </c>
      <c r="K1353" s="29">
        <f>SUMIFS(Cash_Flow_3[Amount],Cash_Flow_3[Bulan],H1353,Cash_Flow_3[Type],"Out",Cash_Flow_3[Category],"Fix")</f>
        <v>0</v>
      </c>
      <c r="L1353" s="29">
        <f>SUMIFS(Cash_Flow_3[Amount],Cash_Flow_3[Bulan],H1353,Cash_Flow_3[Type],"Out",Cash_Flow_3[Category],"Bathroom")</f>
        <v>0</v>
      </c>
      <c r="M1353" s="29">
        <f>SUMIFS(Cash_Flow_3[Amount],Cash_Flow_3[Bulan],H1353,Cash_Flow_3[Type],"Out",Cash_Flow_3[Category],"Alfa")</f>
        <v>0</v>
      </c>
      <c r="N1353" s="29">
        <f>SUMIFS(Cash_Flow_3[Amount],Cash_Flow_3[Bulan],H1353,Cash_Flow_3[Type],"Out",Cash_Flow_3[Category],"Jajan")</f>
        <v>0</v>
      </c>
      <c r="O1353" s="29">
        <f>SUMIFS(Cash_Flow_3[Amount],Cash_Flow_3[Bulan],H1353,Cash_Flow_3[Type],"Out",Cash_Flow_3[Category],"Kitchen")</f>
        <v>0</v>
      </c>
      <c r="P1353" s="29">
        <f>SUMIFS(Cash_Flow_3[Amount],Cash_Flow_3[Bulan],H1353,Cash_Flow_3[Type],"Out",Cash_Flow_3[Category],"Loandry")</f>
        <v>0</v>
      </c>
      <c r="Q1353" s="29">
        <f>SUMIFS(Cash_Flow_3[Amount],Cash_Flow_3[Bulan],H1353,Cash_Flow_3[Type],"Out",Cash_Flow_3[Category],"Mio")</f>
        <v>0</v>
      </c>
      <c r="R1353" s="29">
        <f>SUMIFS(Cash_Flow_3[Amount],Cash_Flow_3[Bulan],H1353,Cash_Flow_3[Type],"Out",Cash_Flow_3[Category],"Sedekah")</f>
        <v>0</v>
      </c>
      <c r="S1353" s="29">
        <f>SUMIFS(Cash_Flow_3[Amount],Cash_Flow_3[Bulan],H1353,Cash_Flow_3[Type],"Out",Cash_Flow_3[Category],"Zela")</f>
        <v>0</v>
      </c>
      <c r="T1353" s="29">
        <f>SUMIFS(Cash_Flow_3[Amount],Cash_Flow_3[Bulan],H1353,Cash_Flow_3[Type],"Out",Cash_Flow_3[Category],"Iqbal")</f>
        <v>0</v>
      </c>
    </row>
    <row r="1354" spans="1:20" ht="22.5" customHeight="1" x14ac:dyDescent="0.2">
      <c r="A1354" s="23"/>
      <c r="B1354" s="24"/>
      <c r="C1354" s="25"/>
      <c r="D1354" s="25"/>
      <c r="E1354" s="25"/>
      <c r="F1354" s="26"/>
      <c r="G1354" s="27"/>
      <c r="H1354" s="28" t="str">
        <f t="shared" si="0"/>
        <v/>
      </c>
      <c r="I1354" s="29">
        <f>SUMIFS(Cash_Flow_3[Amount],Cash_Flow_3[Bulan],H1354,Cash_Flow_3[Type],"In")</f>
        <v>0</v>
      </c>
      <c r="J1354" s="29">
        <f>SUMIFS(Cash_Flow_3[Amount],Cash_Flow_3[Bulan],H1354,Cash_Flow_3[Type],"Out")</f>
        <v>0</v>
      </c>
      <c r="K1354" s="29">
        <f>SUMIFS(Cash_Flow_3[Amount],Cash_Flow_3[Bulan],H1354,Cash_Flow_3[Type],"Out",Cash_Flow_3[Category],"Fix")</f>
        <v>0</v>
      </c>
      <c r="L1354" s="29">
        <f>SUMIFS(Cash_Flow_3[Amount],Cash_Flow_3[Bulan],H1354,Cash_Flow_3[Type],"Out",Cash_Flow_3[Category],"Bathroom")</f>
        <v>0</v>
      </c>
      <c r="M1354" s="29">
        <f>SUMIFS(Cash_Flow_3[Amount],Cash_Flow_3[Bulan],H1354,Cash_Flow_3[Type],"Out",Cash_Flow_3[Category],"Alfa")</f>
        <v>0</v>
      </c>
      <c r="N1354" s="29">
        <f>SUMIFS(Cash_Flow_3[Amount],Cash_Flow_3[Bulan],H1354,Cash_Flow_3[Type],"Out",Cash_Flow_3[Category],"Jajan")</f>
        <v>0</v>
      </c>
      <c r="O1354" s="29">
        <f>SUMIFS(Cash_Flow_3[Amount],Cash_Flow_3[Bulan],H1354,Cash_Flow_3[Type],"Out",Cash_Flow_3[Category],"Kitchen")</f>
        <v>0</v>
      </c>
      <c r="P1354" s="29">
        <f>SUMIFS(Cash_Flow_3[Amount],Cash_Flow_3[Bulan],H1354,Cash_Flow_3[Type],"Out",Cash_Flow_3[Category],"Loandry")</f>
        <v>0</v>
      </c>
      <c r="Q1354" s="29">
        <f>SUMIFS(Cash_Flow_3[Amount],Cash_Flow_3[Bulan],H1354,Cash_Flow_3[Type],"Out",Cash_Flow_3[Category],"Mio")</f>
        <v>0</v>
      </c>
      <c r="R1354" s="29">
        <f>SUMIFS(Cash_Flow_3[Amount],Cash_Flow_3[Bulan],H1354,Cash_Flow_3[Type],"Out",Cash_Flow_3[Category],"Sedekah")</f>
        <v>0</v>
      </c>
      <c r="S1354" s="29">
        <f>SUMIFS(Cash_Flow_3[Amount],Cash_Flow_3[Bulan],H1354,Cash_Flow_3[Type],"Out",Cash_Flow_3[Category],"Zela")</f>
        <v>0</v>
      </c>
      <c r="T1354" s="29">
        <f>SUMIFS(Cash_Flow_3[Amount],Cash_Flow_3[Bulan],H1354,Cash_Flow_3[Type],"Out",Cash_Flow_3[Category],"Iqbal")</f>
        <v>0</v>
      </c>
    </row>
    <row r="1355" spans="1:20" ht="22.5" customHeight="1" x14ac:dyDescent="0.2">
      <c r="A1355" s="23"/>
      <c r="B1355" s="24"/>
      <c r="C1355" s="25"/>
      <c r="D1355" s="25"/>
      <c r="E1355" s="25"/>
      <c r="F1355" s="26"/>
      <c r="G1355" s="27"/>
      <c r="H1355" s="28" t="str">
        <f t="shared" si="0"/>
        <v/>
      </c>
      <c r="I1355" s="29">
        <f>SUMIFS(Cash_Flow_3[Amount],Cash_Flow_3[Bulan],H1355,Cash_Flow_3[Type],"In")</f>
        <v>0</v>
      </c>
      <c r="J1355" s="29">
        <f>SUMIFS(Cash_Flow_3[Amount],Cash_Flow_3[Bulan],H1355,Cash_Flow_3[Type],"Out")</f>
        <v>0</v>
      </c>
      <c r="K1355" s="29">
        <f>SUMIFS(Cash_Flow_3[Amount],Cash_Flow_3[Bulan],H1355,Cash_Flow_3[Type],"Out",Cash_Flow_3[Category],"Fix")</f>
        <v>0</v>
      </c>
      <c r="L1355" s="29">
        <f>SUMIFS(Cash_Flow_3[Amount],Cash_Flow_3[Bulan],H1355,Cash_Flow_3[Type],"Out",Cash_Flow_3[Category],"Bathroom")</f>
        <v>0</v>
      </c>
      <c r="M1355" s="29">
        <f>SUMIFS(Cash_Flow_3[Amount],Cash_Flow_3[Bulan],H1355,Cash_Flow_3[Type],"Out",Cash_Flow_3[Category],"Alfa")</f>
        <v>0</v>
      </c>
      <c r="N1355" s="29">
        <f>SUMIFS(Cash_Flow_3[Amount],Cash_Flow_3[Bulan],H1355,Cash_Flow_3[Type],"Out",Cash_Flow_3[Category],"Jajan")</f>
        <v>0</v>
      </c>
      <c r="O1355" s="29">
        <f>SUMIFS(Cash_Flow_3[Amount],Cash_Flow_3[Bulan],H1355,Cash_Flow_3[Type],"Out",Cash_Flow_3[Category],"Kitchen")</f>
        <v>0</v>
      </c>
      <c r="P1355" s="29">
        <f>SUMIFS(Cash_Flow_3[Amount],Cash_Flow_3[Bulan],H1355,Cash_Flow_3[Type],"Out",Cash_Flow_3[Category],"Loandry")</f>
        <v>0</v>
      </c>
      <c r="Q1355" s="29">
        <f>SUMIFS(Cash_Flow_3[Amount],Cash_Flow_3[Bulan],H1355,Cash_Flow_3[Type],"Out",Cash_Flow_3[Category],"Mio")</f>
        <v>0</v>
      </c>
      <c r="R1355" s="29">
        <f>SUMIFS(Cash_Flow_3[Amount],Cash_Flow_3[Bulan],H1355,Cash_Flow_3[Type],"Out",Cash_Flow_3[Category],"Sedekah")</f>
        <v>0</v>
      </c>
      <c r="S1355" s="29">
        <f>SUMIFS(Cash_Flow_3[Amount],Cash_Flow_3[Bulan],H1355,Cash_Flow_3[Type],"Out",Cash_Flow_3[Category],"Zela")</f>
        <v>0</v>
      </c>
      <c r="T1355" s="29">
        <f>SUMIFS(Cash_Flow_3[Amount],Cash_Flow_3[Bulan],H1355,Cash_Flow_3[Type],"Out",Cash_Flow_3[Category],"Iqbal")</f>
        <v>0</v>
      </c>
    </row>
    <row r="1356" spans="1:20" ht="22.5" customHeight="1" x14ac:dyDescent="0.2">
      <c r="A1356" s="23"/>
      <c r="B1356" s="24"/>
      <c r="C1356" s="25"/>
      <c r="D1356" s="25"/>
      <c r="E1356" s="25"/>
      <c r="F1356" s="26"/>
      <c r="G1356" s="27"/>
      <c r="H1356" s="28" t="str">
        <f t="shared" si="0"/>
        <v/>
      </c>
      <c r="I1356" s="29">
        <f>SUMIFS(Cash_Flow_3[Amount],Cash_Flow_3[Bulan],H1356,Cash_Flow_3[Type],"In")</f>
        <v>0</v>
      </c>
      <c r="J1356" s="29">
        <f>SUMIFS(Cash_Flow_3[Amount],Cash_Flow_3[Bulan],H1356,Cash_Flow_3[Type],"Out")</f>
        <v>0</v>
      </c>
      <c r="K1356" s="29">
        <f>SUMIFS(Cash_Flow_3[Amount],Cash_Flow_3[Bulan],H1356,Cash_Flow_3[Type],"Out",Cash_Flow_3[Category],"Fix")</f>
        <v>0</v>
      </c>
      <c r="L1356" s="29">
        <f>SUMIFS(Cash_Flow_3[Amount],Cash_Flow_3[Bulan],H1356,Cash_Flow_3[Type],"Out",Cash_Flow_3[Category],"Bathroom")</f>
        <v>0</v>
      </c>
      <c r="M1356" s="29">
        <f>SUMIFS(Cash_Flow_3[Amount],Cash_Flow_3[Bulan],H1356,Cash_Flow_3[Type],"Out",Cash_Flow_3[Category],"Alfa")</f>
        <v>0</v>
      </c>
      <c r="N1356" s="29">
        <f>SUMIFS(Cash_Flow_3[Amount],Cash_Flow_3[Bulan],H1356,Cash_Flow_3[Type],"Out",Cash_Flow_3[Category],"Jajan")</f>
        <v>0</v>
      </c>
      <c r="O1356" s="29">
        <f>SUMIFS(Cash_Flow_3[Amount],Cash_Flow_3[Bulan],H1356,Cash_Flow_3[Type],"Out",Cash_Flow_3[Category],"Kitchen")</f>
        <v>0</v>
      </c>
      <c r="P1356" s="29">
        <f>SUMIFS(Cash_Flow_3[Amount],Cash_Flow_3[Bulan],H1356,Cash_Flow_3[Type],"Out",Cash_Flow_3[Category],"Loandry")</f>
        <v>0</v>
      </c>
      <c r="Q1356" s="29">
        <f>SUMIFS(Cash_Flow_3[Amount],Cash_Flow_3[Bulan],H1356,Cash_Flow_3[Type],"Out",Cash_Flow_3[Category],"Mio")</f>
        <v>0</v>
      </c>
      <c r="R1356" s="29">
        <f>SUMIFS(Cash_Flow_3[Amount],Cash_Flow_3[Bulan],H1356,Cash_Flow_3[Type],"Out",Cash_Flow_3[Category],"Sedekah")</f>
        <v>0</v>
      </c>
      <c r="S1356" s="29">
        <f>SUMIFS(Cash_Flow_3[Amount],Cash_Flow_3[Bulan],H1356,Cash_Flow_3[Type],"Out",Cash_Flow_3[Category],"Zela")</f>
        <v>0</v>
      </c>
      <c r="T1356" s="29">
        <f>SUMIFS(Cash_Flow_3[Amount],Cash_Flow_3[Bulan],H1356,Cash_Flow_3[Type],"Out",Cash_Flow_3[Category],"Iqbal")</f>
        <v>0</v>
      </c>
    </row>
    <row r="1357" spans="1:20" ht="22.5" customHeight="1" x14ac:dyDescent="0.2">
      <c r="A1357" s="23"/>
      <c r="B1357" s="24"/>
      <c r="C1357" s="25"/>
      <c r="D1357" s="25"/>
      <c r="E1357" s="25"/>
      <c r="F1357" s="26"/>
      <c r="G1357" s="27"/>
      <c r="H1357" s="28" t="str">
        <f t="shared" si="0"/>
        <v/>
      </c>
      <c r="I1357" s="29">
        <f>SUMIFS(Cash_Flow_3[Amount],Cash_Flow_3[Bulan],H1357,Cash_Flow_3[Type],"In")</f>
        <v>0</v>
      </c>
      <c r="J1357" s="29">
        <f>SUMIFS(Cash_Flow_3[Amount],Cash_Flow_3[Bulan],H1357,Cash_Flow_3[Type],"Out")</f>
        <v>0</v>
      </c>
      <c r="K1357" s="29">
        <f>SUMIFS(Cash_Flow_3[Amount],Cash_Flow_3[Bulan],H1357,Cash_Flow_3[Type],"Out",Cash_Flow_3[Category],"Fix")</f>
        <v>0</v>
      </c>
      <c r="L1357" s="29">
        <f>SUMIFS(Cash_Flow_3[Amount],Cash_Flow_3[Bulan],H1357,Cash_Flow_3[Type],"Out",Cash_Flow_3[Category],"Bathroom")</f>
        <v>0</v>
      </c>
      <c r="M1357" s="29">
        <f>SUMIFS(Cash_Flow_3[Amount],Cash_Flow_3[Bulan],H1357,Cash_Flow_3[Type],"Out",Cash_Flow_3[Category],"Alfa")</f>
        <v>0</v>
      </c>
      <c r="N1357" s="29">
        <f>SUMIFS(Cash_Flow_3[Amount],Cash_Flow_3[Bulan],H1357,Cash_Flow_3[Type],"Out",Cash_Flow_3[Category],"Jajan")</f>
        <v>0</v>
      </c>
      <c r="O1357" s="29">
        <f>SUMIFS(Cash_Flow_3[Amount],Cash_Flow_3[Bulan],H1357,Cash_Flow_3[Type],"Out",Cash_Flow_3[Category],"Kitchen")</f>
        <v>0</v>
      </c>
      <c r="P1357" s="29">
        <f>SUMIFS(Cash_Flow_3[Amount],Cash_Flow_3[Bulan],H1357,Cash_Flow_3[Type],"Out",Cash_Flow_3[Category],"Loandry")</f>
        <v>0</v>
      </c>
      <c r="Q1357" s="29">
        <f>SUMIFS(Cash_Flow_3[Amount],Cash_Flow_3[Bulan],H1357,Cash_Flow_3[Type],"Out",Cash_Flow_3[Category],"Mio")</f>
        <v>0</v>
      </c>
      <c r="R1357" s="29">
        <f>SUMIFS(Cash_Flow_3[Amount],Cash_Flow_3[Bulan],H1357,Cash_Flow_3[Type],"Out",Cash_Flow_3[Category],"Sedekah")</f>
        <v>0</v>
      </c>
      <c r="S1357" s="29">
        <f>SUMIFS(Cash_Flow_3[Amount],Cash_Flow_3[Bulan],H1357,Cash_Flow_3[Type],"Out",Cash_Flow_3[Category],"Zela")</f>
        <v>0</v>
      </c>
      <c r="T1357" s="29">
        <f>SUMIFS(Cash_Flow_3[Amount],Cash_Flow_3[Bulan],H1357,Cash_Flow_3[Type],"Out",Cash_Flow_3[Category],"Iqbal")</f>
        <v>0</v>
      </c>
    </row>
  </sheetData>
  <mergeCells count="4">
    <mergeCell ref="E1:F1"/>
    <mergeCell ref="H1:T3"/>
    <mergeCell ref="E2:F2"/>
    <mergeCell ref="E3:F3"/>
  </mergeCells>
  <dataValidations count="6">
    <dataValidation type="list" allowBlank="1" sqref="E5:E1357" xr:uid="{00000000-0002-0000-0000-000000000000}">
      <formula1>"Alfa,Fix,Non-Fixed,Jajan"</formula1>
    </dataValidation>
    <dataValidation type="custom" allowBlank="1" showDropDown="1" sqref="A5:A1357 H5:H1357" xr:uid="{00000000-0002-0000-0000-000001000000}">
      <formula1>OR(NOT(ISERROR(DATEVALUE(A5))), AND(ISNUMBER(A5), LEFT(CELL("format", A5))="D"))</formula1>
    </dataValidation>
    <dataValidation type="custom" allowBlank="1" showDropDown="1" sqref="F5:F1357" xr:uid="{00000000-0002-0000-0000-000002000000}">
      <formula1>AND(ISNUMBER(F5),(NOT(OR(NOT(ISERROR(DATEVALUE(F5))), AND(ISNUMBER(F5), LEFT(CELL("format", F5))="D")))))</formula1>
    </dataValidation>
    <dataValidation type="list" allowBlank="1" sqref="D5:D1357" xr:uid="{00000000-0002-0000-0000-000003000000}">
      <formula1>"In,Out,Move"</formula1>
    </dataValidation>
    <dataValidation allowBlank="1" showDropDown="1" sqref="B5:B1357" xr:uid="{00000000-0002-0000-0000-000005000000}"/>
    <dataValidation type="list" allowBlank="1" sqref="C5:C1357" xr:uid="{00000000-0002-0000-0000-000006000000}">
      <formula1>"ATM,Cash"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defaultRowHeight="12.75" x14ac:dyDescent="0.2"/>
  <sheetData/>
  <sheetProtection sheet="1" objects="1" selectLockedCells="1" selectUnlockedCell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6000"/>
    <outlinePr summaryBelow="0" summaryRight="0"/>
  </sheetPr>
  <dimension ref="B1:P17"/>
  <sheetViews>
    <sheetView workbookViewId="0"/>
  </sheetViews>
  <sheetFormatPr defaultColWidth="12.5703125" defaultRowHeight="15.75" customHeight="1" x14ac:dyDescent="0.2"/>
  <cols>
    <col min="2" max="2" width="22.28515625" customWidth="1"/>
    <col min="6" max="6" width="16.42578125" customWidth="1"/>
  </cols>
  <sheetData>
    <row r="1" spans="2:16" x14ac:dyDescent="0.2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2:16" x14ac:dyDescent="0.2">
      <c r="F2" s="2" t="s">
        <v>11</v>
      </c>
      <c r="G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</row>
    <row r="3" spans="2:16" x14ac:dyDescent="0.2">
      <c r="F3" s="2" t="s">
        <v>19</v>
      </c>
      <c r="G3" s="2" t="s">
        <v>20</v>
      </c>
      <c r="I3" s="2" t="s">
        <v>21</v>
      </c>
      <c r="J3" s="2" t="s">
        <v>20</v>
      </c>
      <c r="K3" s="2" t="s">
        <v>20</v>
      </c>
      <c r="L3" s="2" t="s">
        <v>20</v>
      </c>
      <c r="M3" s="2" t="s">
        <v>22</v>
      </c>
      <c r="N3" s="2" t="s">
        <v>23</v>
      </c>
    </row>
    <row r="4" spans="2:16" x14ac:dyDescent="0.2">
      <c r="F4" s="2" t="s">
        <v>24</v>
      </c>
      <c r="I4" s="2" t="s">
        <v>25</v>
      </c>
      <c r="M4" s="2" t="s">
        <v>20</v>
      </c>
    </row>
    <row r="5" spans="2:16" x14ac:dyDescent="0.2">
      <c r="F5" s="2" t="s">
        <v>26</v>
      </c>
      <c r="I5" s="2" t="s">
        <v>20</v>
      </c>
    </row>
    <row r="6" spans="2:16" x14ac:dyDescent="0.2">
      <c r="F6" s="2" t="s">
        <v>27</v>
      </c>
    </row>
    <row r="7" spans="2:16" x14ac:dyDescent="0.2">
      <c r="F7" s="2" t="s">
        <v>28</v>
      </c>
    </row>
    <row r="8" spans="2:16" x14ac:dyDescent="0.2">
      <c r="B8" s="2" t="s">
        <v>29</v>
      </c>
      <c r="C8" s="3">
        <v>15590</v>
      </c>
      <c r="F8" s="2" t="s">
        <v>30</v>
      </c>
    </row>
    <row r="9" spans="2:16" x14ac:dyDescent="0.2">
      <c r="B9" s="4" t="s">
        <v>31</v>
      </c>
      <c r="C9" s="3">
        <v>300000</v>
      </c>
      <c r="F9" s="2" t="s">
        <v>32</v>
      </c>
    </row>
    <row r="10" spans="2:16" x14ac:dyDescent="0.2">
      <c r="B10" s="4" t="s">
        <v>33</v>
      </c>
      <c r="C10" s="3">
        <v>4353235</v>
      </c>
    </row>
    <row r="11" spans="2:16" x14ac:dyDescent="0.2">
      <c r="B11" s="4" t="s">
        <v>34</v>
      </c>
      <c r="C11" s="3">
        <v>300000</v>
      </c>
    </row>
    <row r="12" spans="2:16" x14ac:dyDescent="0.2">
      <c r="B12" s="2" t="s">
        <v>35</v>
      </c>
      <c r="C12" s="3">
        <v>27737</v>
      </c>
    </row>
    <row r="13" spans="2:16" x14ac:dyDescent="0.2">
      <c r="B13" s="4" t="s">
        <v>36</v>
      </c>
      <c r="C13" s="3">
        <v>11566</v>
      </c>
    </row>
    <row r="14" spans="2:16" x14ac:dyDescent="0.2">
      <c r="B14" s="4" t="s">
        <v>37</v>
      </c>
      <c r="C14" s="3">
        <v>15000</v>
      </c>
      <c r="K14" s="5"/>
    </row>
    <row r="15" spans="2:16" x14ac:dyDescent="0.2">
      <c r="B15" s="6" t="s">
        <v>38</v>
      </c>
      <c r="C15" s="7">
        <f>SUM(C8:C14)</f>
        <v>5023128</v>
      </c>
      <c r="D15" s="6" t="s">
        <v>38</v>
      </c>
      <c r="E15" s="7">
        <f>C15</f>
        <v>5023128</v>
      </c>
      <c r="F15" s="6"/>
    </row>
    <row r="16" spans="2:16" x14ac:dyDescent="0.2">
      <c r="B16" s="10" t="s">
        <v>40</v>
      </c>
      <c r="C16" s="3">
        <f>Ibal!B1+Zela!B1</f>
        <v>-16487496</v>
      </c>
      <c r="D16" s="10" t="s">
        <v>41</v>
      </c>
      <c r="E16" s="3">
        <f>OUT_1!B1</f>
        <v>11528011</v>
      </c>
      <c r="F16" s="6"/>
    </row>
    <row r="17" spans="2:6" x14ac:dyDescent="0.2">
      <c r="B17" s="6" t="s">
        <v>42</v>
      </c>
      <c r="C17" s="3">
        <f>C16-C15</f>
        <v>-21510624</v>
      </c>
      <c r="D17" s="6" t="s">
        <v>42</v>
      </c>
      <c r="E17" s="3">
        <f>E16-E15</f>
        <v>6504883</v>
      </c>
      <c r="F1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T2000"/>
  <sheetViews>
    <sheetView topLeftCell="C1" workbookViewId="0">
      <pane ySplit="1" topLeftCell="A2" activePane="bottomLeft" state="frozen"/>
      <selection pane="bottomLeft" activeCell="K5" sqref="K5:S5"/>
    </sheetView>
  </sheetViews>
  <sheetFormatPr defaultColWidth="12.5703125" defaultRowHeight="15.75" customHeight="1" x14ac:dyDescent="0.2"/>
  <cols>
    <col min="1" max="1" width="22" customWidth="1"/>
    <col min="2" max="2" width="34" customWidth="1"/>
    <col min="3" max="3" width="11.42578125" customWidth="1"/>
    <col min="4" max="4" width="7.28515625" customWidth="1"/>
    <col min="5" max="5" width="10.7109375" customWidth="1"/>
    <col min="6" max="6" width="12.5703125" bestFit="1" customWidth="1"/>
    <col min="7" max="7" width="12.5703125" customWidth="1"/>
    <col min="8" max="8" width="8.140625" customWidth="1"/>
    <col min="9" max="10" width="11.42578125" customWidth="1"/>
    <col min="11" max="11" width="11.42578125" bestFit="1" customWidth="1"/>
    <col min="12" max="12" width="11.42578125" customWidth="1"/>
    <col min="13" max="14" width="9.140625" customWidth="1"/>
    <col min="15" max="15" width="10.42578125" customWidth="1"/>
    <col min="16" max="16" width="10.140625" customWidth="1"/>
    <col min="17" max="17" width="9.140625" customWidth="1"/>
    <col min="18" max="18" width="10.42578125" customWidth="1"/>
    <col min="19" max="20" width="9.140625" customWidth="1"/>
  </cols>
  <sheetData>
    <row r="1" spans="1:20" x14ac:dyDescent="0.2">
      <c r="A1" s="46" t="str">
        <f ca="1">IFERROR(__xludf.DUMMYFUNCTION("QUERY(VSTACK(HSTACK(Ibal!A4:F1002, MAP(Ibal!A4:A1002, LAMBDA(x, IF(x=""Date"", ""User"", ""Ibal"")))), HSTACK(Zela!A5:F979, MAP(Zela!A5:A979, LAMBDA(x, ""Zela"")))), ""SELECT * WHERE Col1 IS NOT NULL"")"),"Date")</f>
        <v>Date</v>
      </c>
      <c r="B1" s="46" t="str">
        <f ca="1">IFERROR(__xludf.DUMMYFUNCTION("""COMPUTED_VALUE"""),"Description")</f>
        <v>Description</v>
      </c>
      <c r="C1" s="46" t="str">
        <f ca="1">IFERROR(__xludf.DUMMYFUNCTION("""COMPUTED_VALUE"""),"ATM/Cash")</f>
        <v>ATM/Cash</v>
      </c>
      <c r="D1" s="46" t="str">
        <f ca="1">IFERROR(__xludf.DUMMYFUNCTION("""COMPUTED_VALUE"""),"Type")</f>
        <v>Type</v>
      </c>
      <c r="E1" s="46" t="str">
        <f ca="1">IFERROR(__xludf.DUMMYFUNCTION("""COMPUTED_VALUE"""),"Category")</f>
        <v>Category</v>
      </c>
      <c r="F1" s="46" t="str">
        <f ca="1">IFERROR(__xludf.DUMMYFUNCTION("""COMPUTED_VALUE"""),"Amount")</f>
        <v>Amount</v>
      </c>
      <c r="G1" s="47" t="str">
        <f ca="1">IFERROR(__xludf.DUMMYFUNCTION("""COMPUTED_VALUE"""),"User")</f>
        <v>User</v>
      </c>
      <c r="H1" s="46" t="s">
        <v>56</v>
      </c>
      <c r="I1" s="46" t="s">
        <v>39</v>
      </c>
      <c r="J1" s="46" t="s">
        <v>44</v>
      </c>
      <c r="K1" s="46" t="s">
        <v>0</v>
      </c>
      <c r="L1" s="46" t="s">
        <v>4</v>
      </c>
      <c r="M1" s="46" t="s">
        <v>1</v>
      </c>
      <c r="N1" s="46" t="s">
        <v>2</v>
      </c>
      <c r="O1" s="46" t="s">
        <v>3</v>
      </c>
      <c r="P1" s="46" t="s">
        <v>5</v>
      </c>
      <c r="Q1" s="46" t="s">
        <v>6</v>
      </c>
      <c r="R1" s="46" t="s">
        <v>10</v>
      </c>
      <c r="S1" s="46" t="s">
        <v>7</v>
      </c>
      <c r="T1" s="46" t="s">
        <v>8</v>
      </c>
    </row>
    <row r="2" spans="1:20" x14ac:dyDescent="0.2">
      <c r="A2" s="48">
        <f ca="1">IFERROR(__xludf.DUMMYFUNCTION("""COMPUTED_VALUE"""),46050)</f>
        <v>46050</v>
      </c>
      <c r="B2" s="4" t="str">
        <f ca="1">IFERROR(__xludf.DUMMYFUNCTION("""COMPUTED_VALUE"""),"Saldo Awal")</f>
        <v>Saldo Awal</v>
      </c>
      <c r="C2" s="4" t="str">
        <f ca="1">IFERROR(__xludf.DUMMYFUNCTION("""COMPUTED_VALUE"""),"ATM")</f>
        <v>ATM</v>
      </c>
      <c r="D2" s="4" t="str">
        <f ca="1">IFERROR(__xludf.DUMMYFUNCTION("""COMPUTED_VALUE"""),"In")</f>
        <v>In</v>
      </c>
      <c r="E2" s="4" t="str">
        <f ca="1">IFERROR(__xludf.DUMMYFUNCTION("""COMPUTED_VALUE"""),"Fix")</f>
        <v>Fix</v>
      </c>
      <c r="F2" s="49">
        <f ca="1">IFERROR(__xludf.DUMMYFUNCTION("""COMPUTED_VALUE"""),15590)</f>
        <v>15590</v>
      </c>
      <c r="G2" s="50" t="str">
        <f ca="1">IFERROR(__xludf.DUMMYFUNCTION("""COMPUTED_VALUE"""),"Ibal")</f>
        <v>Ibal</v>
      </c>
      <c r="H2" s="51">
        <f t="shared" ref="H2:H2000" ca="1" si="0">IF(A2="","", DATE(YEAR(A2),MONTH(A2),1)
)</f>
        <v>46023</v>
      </c>
      <c r="I2" s="52" t="e">
        <f ca="1">SUMIFS(OUT!$F$2:$F$11000,OUT!$H$2:$H$11000,H2,OUT!$D$2:$D$101007,"In")</f>
        <v>#VALUE!</v>
      </c>
      <c r="J2" s="52">
        <f ca="1">SUMIFS(OUT!$F$2:$F$11000,OUT!$H$2:$H$11000,H2,OUT!$D$2:$D$11000,"Out")</f>
        <v>475850</v>
      </c>
      <c r="K2" s="52">
        <f ca="1">SUMIFS(OUT!$F$2:$F$11000,OUT!$H$2:$H$11000,H2,OUT!$D$2:$D$11000,"Out",OUT!$E$2:$E$11000,"Fix")</f>
        <v>114450</v>
      </c>
      <c r="L2" s="52">
        <f ca="1">SUMIFS(OUT!$F$2:$F$11000,OUT!$H$2:$H$11000,H2,OUT!$D$2:$D$11000,"Out",OUT!$E$2:$E$11000,"Bathroom")</f>
        <v>0</v>
      </c>
      <c r="M2" s="52">
        <f ca="1">SUMIFS(OUT!$F$2:$F$11000,OUT!$H$2:$H$11000,H2,OUT!$D$2:$D$11000,"Out",OUT!$E$2:$E$11000,"Alfa")</f>
        <v>36400</v>
      </c>
      <c r="N2" s="52" t="e">
        <f ca="1">SUMIFS(OUT!$F$2:$F$11000,OUT!$H$2:$H$101007,H2,OUT!$D$2:$D$11000,"Out",OUT!$E$2:$E$11000,"Jajan")</f>
        <v>#VALUE!</v>
      </c>
      <c r="O2" s="52">
        <f ca="1">SUMIFS(OUT!$F$2:$F$11000,OUT!$H$2:$H$11000,H2,OUT!$D$2:$D$11000,"Out",OUT!$E$2:$E$11000,"Kitchen")</f>
        <v>87000</v>
      </c>
      <c r="P2" s="52">
        <f ca="1">SUMIFS(OUT!$F$2:$F$11000,OUT!$H$2:$H$11000,H2,OUT!$D$2:$D$11000,"Out",OUT!$E$2:$E$11000,"Loandry")</f>
        <v>0</v>
      </c>
      <c r="Q2" s="52">
        <f ca="1">SUMIFS(OUT!$F$2:$F$11000,OUT!$H$2:$H$11000,H2,OUT!$D$2:$D$11000,"Out",OUT!$E$2:$E$11000,"Mio")</f>
        <v>0</v>
      </c>
      <c r="R2" s="52">
        <f ca="1">SUMIFS(OUT!$F$2:$F$11000,OUT!$H$2:$H$11000,H2,OUT!$D$2:$D$11000,"Out",OUT!$E$2:$E$11000,"Sedekah")</f>
        <v>0</v>
      </c>
      <c r="S2" s="52">
        <f ca="1">SUMIFS(OUT!$F$2:$F$11000,OUT!$H$2:$H$11000,H2,OUT!$D$2:$D$11000,"Out",OUT!$E$2:$E$11000,"Zela")</f>
        <v>0</v>
      </c>
      <c r="T2" s="52">
        <f ca="1">SUMIFS(OUT!$F$2:$F$11000,OUT!$H$2:$H$11000,H2,OUT!$D$2:$D$11000,"Out",OUT!$E$2:$E$11000,"Iqbal")</f>
        <v>0</v>
      </c>
    </row>
    <row r="3" spans="1:20" x14ac:dyDescent="0.2">
      <c r="A3" s="48">
        <f ca="1">IFERROR(__xludf.DUMMYFUNCTION("""COMPUTED_VALUE"""),46051)</f>
        <v>46051</v>
      </c>
      <c r="B3" s="4" t="str">
        <f ca="1">IFERROR(__xludf.DUMMYFUNCTION("""COMPUTED_VALUE"""),"Pinjam uang Adi")</f>
        <v>Pinjam uang Adi</v>
      </c>
      <c r="C3" s="4" t="str">
        <f ca="1">IFERROR(__xludf.DUMMYFUNCTION("""COMPUTED_VALUE"""),"ATM")</f>
        <v>ATM</v>
      </c>
      <c r="D3" s="4" t="str">
        <f ca="1">IFERROR(__xludf.DUMMYFUNCTION("""COMPUTED_VALUE"""),"In")</f>
        <v>In</v>
      </c>
      <c r="E3" s="4" t="str">
        <f ca="1">IFERROR(__xludf.DUMMYFUNCTION("""COMPUTED_VALUE"""),"Fix")</f>
        <v>Fix</v>
      </c>
      <c r="F3" s="49">
        <f ca="1">IFERROR(__xludf.DUMMYFUNCTION("""COMPUTED_VALUE"""),300000)</f>
        <v>300000</v>
      </c>
      <c r="G3" s="50" t="str">
        <f ca="1">IFERROR(__xludf.DUMMYFUNCTION("""COMPUTED_VALUE"""),"Ibal")</f>
        <v>Ibal</v>
      </c>
      <c r="H3" s="51">
        <f t="shared" ca="1" si="0"/>
        <v>46023</v>
      </c>
      <c r="I3" s="52" t="e">
        <f ca="1">SUMIFS(OUT!$F$2:$F$11000,OUT!$H$2:$H$11000,H3,OUT!$D$2:$D$101007,"In")</f>
        <v>#VALUE!</v>
      </c>
      <c r="J3" s="52">
        <f ca="1">SUMIFS(OUT!$F$2:$F$11000,OUT!$H$2:$H$11000,H3,OUT!$D$2:$D$11000,"Out")</f>
        <v>475850</v>
      </c>
      <c r="K3" s="52">
        <f ca="1">SUMIFS(OUT!$F$2:$F$11000,OUT!$H$2:$H$11000,H3,OUT!$D$2:$D$11000,"Out",OUT!$E$2:$E$11000,"Fix")</f>
        <v>114450</v>
      </c>
      <c r="L3" s="52">
        <f ca="1">SUMIFS(OUT!$F$2:$F$11000,OUT!$H$2:$H$11000,H3,OUT!$D$2:$D$11000,"Out",OUT!$E$2:$E$11000,"Bathroom")</f>
        <v>0</v>
      </c>
      <c r="M3" s="52">
        <f ca="1">SUMIFS(OUT!$F$2:$F$11000,OUT!$H$2:$H$11000,H3,OUT!$D$2:$D$11000,"Out",OUT!$E$2:$E$11000,"Alfa")</f>
        <v>36400</v>
      </c>
      <c r="N3" s="52" t="e">
        <f ca="1">SUMIFS(OUT!$F$2:$F$11000,OUT!$H$2:$H$101007,H3,OUT!$D$2:$D$11000,"Out",OUT!$E$2:$E$11000,"Jajan")</f>
        <v>#VALUE!</v>
      </c>
      <c r="O3" s="52">
        <f ca="1">SUMIFS(OUT!$F$2:$F$11000,OUT!$H$2:$H$11000,H3,OUT!$D$2:$D$11000,"Out",OUT!$E$2:$E$11000,"Kitchen")</f>
        <v>87000</v>
      </c>
      <c r="P3" s="52">
        <f ca="1">SUMIFS(OUT!$F$2:$F$11000,OUT!$H$2:$H$11000,H3,OUT!$D$2:$D$11000,"Out",OUT!$E$2:$E$11000,"Loandry")</f>
        <v>0</v>
      </c>
      <c r="Q3" s="52">
        <f ca="1">SUMIFS(OUT!$F$2:$F$11000,OUT!$H$2:$H$11000,H3,OUT!$D$2:$D$11000,"Out",OUT!$E$2:$E$11000,"Mio")</f>
        <v>0</v>
      </c>
      <c r="R3" s="52">
        <f ca="1">SUMIFS(OUT!$F$2:$F$11000,OUT!$H$2:$H$11000,H3,OUT!$D$2:$D$11000,"Out",OUT!$E$2:$E$11000,"Sedekah")</f>
        <v>0</v>
      </c>
      <c r="S3" s="52">
        <f ca="1">SUMIFS(OUT!$F$2:$F$11000,OUT!$H$2:$H$11000,H3,OUT!$D$2:$D$11000,"Out",OUT!$E$2:$E$11000,"Zela")</f>
        <v>0</v>
      </c>
      <c r="T3" s="52">
        <f ca="1">SUMIFS(OUT!$F$2:$F$11000,OUT!$H$2:$H$11000,H3,OUT!$D$2:$D$11000,"Out",OUT!$E$2:$E$11000,"Iqbal")</f>
        <v>0</v>
      </c>
    </row>
    <row r="4" spans="1:20" x14ac:dyDescent="0.2">
      <c r="A4" s="48">
        <f ca="1">IFERROR(__xludf.DUMMYFUNCTION("""COMPUTED_VALUE"""),46051)</f>
        <v>46051</v>
      </c>
      <c r="B4" s="4" t="str">
        <f ca="1">IFERROR(__xludf.DUMMYFUNCTION("""COMPUTED_VALUE"""),"Istriku")</f>
        <v>Istriku</v>
      </c>
      <c r="C4" s="4" t="str">
        <f ca="1">IFERROR(__xludf.DUMMYFUNCTION("""COMPUTED_VALUE"""),"ATM")</f>
        <v>ATM</v>
      </c>
      <c r="D4" s="4" t="str">
        <f ca="1">IFERROR(__xludf.DUMMYFUNCTION("""COMPUTED_VALUE"""),"Out")</f>
        <v>Out</v>
      </c>
      <c r="E4" s="4" t="str">
        <f ca="1">IFERROR(__xludf.DUMMYFUNCTION("""COMPUTED_VALUE"""),"Move")</f>
        <v>Move</v>
      </c>
      <c r="F4" s="49">
        <f ca="1">IFERROR(__xludf.DUMMYFUNCTION("""COMPUTED_VALUE"""),150000)</f>
        <v>150000</v>
      </c>
      <c r="G4" s="50" t="str">
        <f ca="1">IFERROR(__xludf.DUMMYFUNCTION("""COMPUTED_VALUE"""),"Ibal")</f>
        <v>Ibal</v>
      </c>
      <c r="H4" s="51">
        <f t="shared" ca="1" si="0"/>
        <v>46023</v>
      </c>
      <c r="I4" s="52" t="e">
        <f ca="1">SUMIFS(OUT!$F$2:$F$11000,OUT!$H$2:$H$11000,H4,OUT!$D$2:$D$101007,"In")</f>
        <v>#VALUE!</v>
      </c>
      <c r="J4" s="52">
        <f ca="1">SUMIFS(OUT!$F$2:$F$11000,OUT!$H$2:$H$11000,H4,OUT!$D$2:$D$11000,"Out")</f>
        <v>475850</v>
      </c>
      <c r="K4" s="52">
        <f ca="1">SUMIFS(OUT!$F$2:$F$11000,OUT!$H$2:$H$11000,H4,OUT!$D$2:$D$11000,"Out",OUT!$E$2:$E$11000,"Fix")</f>
        <v>114450</v>
      </c>
      <c r="L4" s="52">
        <f ca="1">SUMIFS(OUT!$F$2:$F$11000,OUT!$H$2:$H$11000,H4,OUT!$D$2:$D$11000,"Out",OUT!$E$2:$E$11000,"Bathroom")</f>
        <v>0</v>
      </c>
      <c r="M4" s="52">
        <f ca="1">SUMIFS(OUT!$F$2:$F$11000,OUT!$H$2:$H$11000,H4,OUT!$D$2:$D$11000,"Out",OUT!$E$2:$E$11000,"Alfa")</f>
        <v>36400</v>
      </c>
      <c r="N4" s="52" t="e">
        <f ca="1">SUMIFS(OUT!$F$2:$F$11000,OUT!$H$2:$H$101007,H4,OUT!$D$2:$D$11000,"Out",OUT!$E$2:$E$11000,"Jajan")</f>
        <v>#VALUE!</v>
      </c>
      <c r="O4" s="52">
        <f ca="1">SUMIFS(OUT!$F$2:$F$11000,OUT!$H$2:$H$11000,H4,OUT!$D$2:$D$11000,"Out",OUT!$E$2:$E$11000,"Kitchen")</f>
        <v>87000</v>
      </c>
      <c r="P4" s="52">
        <f ca="1">SUMIFS(OUT!$F$2:$F$11000,OUT!$H$2:$H$11000,H4,OUT!$D$2:$D$11000,"Out",OUT!$E$2:$E$11000,"Loandry")</f>
        <v>0</v>
      </c>
      <c r="Q4" s="52">
        <f ca="1">SUMIFS(OUT!$F$2:$F$11000,OUT!$H$2:$H$11000,H4,OUT!$D$2:$D$11000,"Out",OUT!$E$2:$E$11000,"Mio")</f>
        <v>0</v>
      </c>
      <c r="R4" s="52">
        <f ca="1">SUMIFS(OUT!$F$2:$F$11000,OUT!$H$2:$H$11000,H4,OUT!$D$2:$D$11000,"Out",OUT!$E$2:$E$11000,"Sedekah")</f>
        <v>0</v>
      </c>
      <c r="S4" s="52">
        <f ca="1">SUMIFS(OUT!$F$2:$F$11000,OUT!$H$2:$H$11000,H4,OUT!$D$2:$D$11000,"Out",OUT!$E$2:$E$11000,"Zela")</f>
        <v>0</v>
      </c>
      <c r="T4" s="52">
        <f ca="1">SUMIFS(OUT!$F$2:$F$11000,OUT!$H$2:$H$11000,H4,OUT!$D$2:$D$11000,"Out",OUT!$E$2:$E$11000,"Iqbal")</f>
        <v>0</v>
      </c>
    </row>
    <row r="5" spans="1:20" x14ac:dyDescent="0.2">
      <c r="A5" s="48">
        <f ca="1">IFERROR(__xludf.DUMMYFUNCTION("""COMPUTED_VALUE"""),46051)</f>
        <v>46051</v>
      </c>
      <c r="B5" s="4" t="str">
        <f ca="1">IFERROR(__xludf.DUMMYFUNCTION("""COMPUTED_VALUE"""),"Token listrik 100k (65,30 kwh)")</f>
        <v>Token listrik 100k (65,30 kwh)</v>
      </c>
      <c r="C5" s="4" t="str">
        <f ca="1">IFERROR(__xludf.DUMMYFUNCTION("""COMPUTED_VALUE"""),"ATM")</f>
        <v>ATM</v>
      </c>
      <c r="D5" s="4" t="str">
        <f ca="1">IFERROR(__xludf.DUMMYFUNCTION("""COMPUTED_VALUE"""),"Out")</f>
        <v>Out</v>
      </c>
      <c r="E5" s="4" t="str">
        <f ca="1">IFERROR(__xludf.DUMMYFUNCTION("""COMPUTED_VALUE"""),"Fix")</f>
        <v>Fix</v>
      </c>
      <c r="F5" s="49">
        <f ca="1">IFERROR(__xludf.DUMMYFUNCTION("""COMPUTED_VALUE"""),99450)</f>
        <v>99450</v>
      </c>
      <c r="G5" s="50" t="str">
        <f ca="1">IFERROR(__xludf.DUMMYFUNCTION("""COMPUTED_VALUE"""),"Ibal")</f>
        <v>Ibal</v>
      </c>
      <c r="H5" s="51">
        <f t="shared" ca="1" si="0"/>
        <v>46023</v>
      </c>
      <c r="I5" s="52" t="e">
        <f ca="1">SUMIFS(OUT!$F$2:$F$11000,OUT!$H$2:$H$11000,H5,OUT!$D$2:$D$101007,"In")</f>
        <v>#VALUE!</v>
      </c>
      <c r="J5" s="52">
        <f ca="1">SUMIFS(OUT!$F$2:$F$11000,OUT!$H$2:$H$11000,H5,OUT!$D$2:$D$11000,"Out")</f>
        <v>475850</v>
      </c>
      <c r="K5" s="52">
        <f ca="1">SUMIFS(OUT!$F$2:$F$11000,OUT!$H$2:$H$11000,H5,OUT!$D$2:$D$11000,"Out",OUT!$E$2:$E$11000,"Fix")</f>
        <v>114450</v>
      </c>
      <c r="L5" s="52">
        <f ca="1">SUMIFS(OUT!$F$2:$F$11000,OUT!$H$2:$H$11000,H5,OUT!$D$2:$D$11000,"Out",OUT!$E$2:$E$11000,"Bathroom")</f>
        <v>0</v>
      </c>
      <c r="M5" s="52">
        <f ca="1">SUMIFS(OUT!$F$2:$F$11000,OUT!$H$2:$H$11000,H5,OUT!$D$2:$D$11000,"Out",OUT!$E$2:$E$11000,"Alfa")</f>
        <v>36400</v>
      </c>
      <c r="N5" s="52" t="e">
        <f ca="1">SUMIFS(OUT!$F$2:$F$11000,OUT!$H$2:$H$101007,H5,OUT!$D$2:$D$11000,"Out",OUT!$E$2:$E$11000,"Jajan")</f>
        <v>#VALUE!</v>
      </c>
      <c r="O5" s="52">
        <f ca="1">SUMIFS(OUT!$F$2:$F$11000,OUT!$H$2:$H$11000,H5,OUT!$D$2:$D$11000,"Out",OUT!$E$2:$E$11000,"Kitchen")</f>
        <v>87000</v>
      </c>
      <c r="P5" s="52">
        <f ca="1">SUMIFS(OUT!$F$2:$F$11000,OUT!$H$2:$H$11000,H5,OUT!$D$2:$D$11000,"Out",OUT!$E$2:$E$11000,"Loandry")</f>
        <v>0</v>
      </c>
      <c r="Q5" s="52">
        <f ca="1">SUMIFS(OUT!$F$2:$F$11000,OUT!$H$2:$H$11000,H5,OUT!$D$2:$D$11000,"Out",OUT!$E$2:$E$11000,"Mio")</f>
        <v>0</v>
      </c>
      <c r="R5" s="52">
        <f ca="1">SUMIFS(OUT!$F$2:$F$11000,OUT!$H$2:$H$11000,H5,OUT!$D$2:$D$11000,"Out",OUT!$E$2:$E$11000,"Sedekah")</f>
        <v>0</v>
      </c>
      <c r="S5" s="52">
        <f ca="1">SUMIFS(OUT!$F$2:$F$11000,OUT!$H$2:$H$11000,H5,OUT!$D$2:$D$11000,"Out",OUT!$E$2:$E$11000,"Zela")</f>
        <v>0</v>
      </c>
      <c r="T5" s="52">
        <f ca="1">SUMIFS(OUT!$F$2:$F$11000,OUT!$H$2:$H$11000,H5,OUT!$D$2:$D$11000,"Out",OUT!$E$2:$E$11000,"Iqbal")</f>
        <v>0</v>
      </c>
    </row>
    <row r="6" spans="1:20" x14ac:dyDescent="0.2">
      <c r="A6" s="48">
        <f ca="1">IFERROR(__xludf.DUMMYFUNCTION("""COMPUTED_VALUE"""),46052)</f>
        <v>46052</v>
      </c>
      <c r="B6" s="4" t="str">
        <f ca="1">IFERROR(__xludf.DUMMYFUNCTION("""COMPUTED_VALUE"""),"Istriku")</f>
        <v>Istriku</v>
      </c>
      <c r="C6" s="4" t="str">
        <f ca="1">IFERROR(__xludf.DUMMYFUNCTION("""COMPUTED_VALUE"""),"ATM")</f>
        <v>ATM</v>
      </c>
      <c r="D6" s="4" t="str">
        <f ca="1">IFERROR(__xludf.DUMMYFUNCTION("""COMPUTED_VALUE"""),"Out")</f>
        <v>Out</v>
      </c>
      <c r="E6" s="4" t="str">
        <f ca="1">IFERROR(__xludf.DUMMYFUNCTION("""COMPUTED_VALUE"""),"Move")</f>
        <v>Move</v>
      </c>
      <c r="F6" s="49">
        <f ca="1">IFERROR(__xludf.DUMMYFUNCTION("""COMPUTED_VALUE"""),50000)</f>
        <v>50000</v>
      </c>
      <c r="G6" s="50" t="str">
        <f ca="1">IFERROR(__xludf.DUMMYFUNCTION("""COMPUTED_VALUE"""),"Ibal")</f>
        <v>Ibal</v>
      </c>
      <c r="H6" s="51">
        <f t="shared" ca="1" si="0"/>
        <v>46023</v>
      </c>
      <c r="I6" s="52" t="e">
        <f ca="1">SUMIFS(OUT!$F$2:$F$11000,OUT!$H$2:$H$11000,H6,OUT!$D$2:$D$101007,"In")</f>
        <v>#VALUE!</v>
      </c>
      <c r="J6" s="52">
        <f ca="1">SUMIFS(OUT!$F$2:$F$11000,OUT!$H$2:$H$11000,H6,OUT!$D$2:$D$11000,"Out")</f>
        <v>475850</v>
      </c>
      <c r="K6" s="52">
        <f ca="1">SUMIFS(OUT!$F$2:$F$11000,OUT!$H$2:$H$11000,H6,OUT!$D$2:$D$11000,"Out",OUT!$E$2:$E$11000,"Fix")</f>
        <v>114450</v>
      </c>
      <c r="L6" s="52">
        <f ca="1">SUMIFS(OUT!$F$2:$F$11000,OUT!$H$2:$H$11000,H6,OUT!$D$2:$D$11000,"Out",OUT!$E$2:$E$11000,"Bathroom")</f>
        <v>0</v>
      </c>
      <c r="M6" s="52">
        <f ca="1">SUMIFS(OUT!$F$2:$F$11000,OUT!$H$2:$H$11000,H6,OUT!$D$2:$D$11000,"Out",OUT!$E$2:$E$11000,"Alfa")</f>
        <v>36400</v>
      </c>
      <c r="N6" s="52" t="e">
        <f ca="1">SUMIFS(OUT!$F$2:$F$11000,OUT!$H$2:$H$101007,H6,OUT!$D$2:$D$11000,"Out",OUT!$E$2:$E$11000,"Jajan")</f>
        <v>#VALUE!</v>
      </c>
      <c r="O6" s="52">
        <f ca="1">SUMIFS(OUT!$F$2:$F$11000,OUT!$H$2:$H$11000,H6,OUT!$D$2:$D$11000,"Out",OUT!$E$2:$E$11000,"Kitchen")</f>
        <v>87000</v>
      </c>
      <c r="P6" s="52">
        <f ca="1">SUMIFS(OUT!$F$2:$F$11000,OUT!$H$2:$H$11000,H6,OUT!$D$2:$D$11000,"Out",OUT!$E$2:$E$11000,"Loandry")</f>
        <v>0</v>
      </c>
      <c r="Q6" s="52">
        <f ca="1">SUMIFS(OUT!$F$2:$F$11000,OUT!$H$2:$H$11000,H6,OUT!$D$2:$D$11000,"Out",OUT!$E$2:$E$11000,"Mio")</f>
        <v>0</v>
      </c>
      <c r="R6" s="52">
        <f ca="1">SUMIFS(OUT!$F$2:$F$11000,OUT!$H$2:$H$11000,H6,OUT!$D$2:$D$11000,"Out",OUT!$E$2:$E$11000,"Sedekah")</f>
        <v>0</v>
      </c>
      <c r="S6" s="52">
        <f ca="1">SUMIFS(OUT!$F$2:$F$11000,OUT!$H$2:$H$11000,H6,OUT!$D$2:$D$11000,"Out",OUT!$E$2:$E$11000,"Zela")</f>
        <v>0</v>
      </c>
      <c r="T6" s="52">
        <f ca="1">SUMIFS(OUT!$F$2:$F$11000,OUT!$H$2:$H$11000,H6,OUT!$D$2:$D$11000,"Out",OUT!$E$2:$E$11000,"Iqbal")</f>
        <v>0</v>
      </c>
    </row>
    <row r="7" spans="1:20" x14ac:dyDescent="0.2">
      <c r="A7" s="48">
        <f ca="1">IFERROR(__xludf.DUMMYFUNCTION("""COMPUTED_VALUE"""),46055)</f>
        <v>46055</v>
      </c>
      <c r="B7" s="4" t="str">
        <f ca="1">IFERROR(__xludf.DUMMYFUNCTION("""COMPUTED_VALUE"""),"Gaji Januari 2026")</f>
        <v>Gaji Januari 2026</v>
      </c>
      <c r="C7" s="4" t="str">
        <f ca="1">IFERROR(__xludf.DUMMYFUNCTION("""COMPUTED_VALUE"""),"ATM")</f>
        <v>ATM</v>
      </c>
      <c r="D7" s="4" t="str">
        <f ca="1">IFERROR(__xludf.DUMMYFUNCTION("""COMPUTED_VALUE"""),"In")</f>
        <v>In</v>
      </c>
      <c r="E7" s="4" t="str">
        <f ca="1">IFERROR(__xludf.DUMMYFUNCTION("""COMPUTED_VALUE"""),"Fix")</f>
        <v>Fix</v>
      </c>
      <c r="F7" s="49">
        <f ca="1">IFERROR(__xludf.DUMMYFUNCTION("""COMPUTED_VALUE"""),4353235)</f>
        <v>4353235</v>
      </c>
      <c r="G7" s="50" t="str">
        <f ca="1">IFERROR(__xludf.DUMMYFUNCTION("""COMPUTED_VALUE"""),"Ibal")</f>
        <v>Ibal</v>
      </c>
      <c r="H7" s="51">
        <f t="shared" ca="1" si="0"/>
        <v>46054</v>
      </c>
      <c r="I7" s="52" t="e">
        <f ca="1">SUMIFS(OUT!$F$2:$F$11000,OUT!$H$2:$H$11000,H7,OUT!$D$2:$D$101007,"In")</f>
        <v>#VALUE!</v>
      </c>
      <c r="J7" s="52">
        <f ca="1">SUMIFS(OUT!$F$2:$F$11000,OUT!$H$2:$H$11000,H7,OUT!$D$2:$D$11000,"Out")</f>
        <v>6908733</v>
      </c>
      <c r="K7" s="52">
        <f ca="1">SUMIFS(OUT!$F$2:$F$11000,OUT!$H$2:$H$11000,H7,OUT!$D$2:$D$11000,"Out",OUT!$E$2:$E$11000,"Fix")</f>
        <v>2440568</v>
      </c>
      <c r="L7" s="52">
        <f ca="1">SUMIFS(OUT!$F$2:$F$11000,OUT!$H$2:$H$11000,H7,OUT!$D$2:$D$11000,"Out",OUT!$E$2:$E$11000,"Bathroom")</f>
        <v>34500</v>
      </c>
      <c r="M7" s="52">
        <f ca="1">SUMIFS(OUT!$F$2:$F$11000,OUT!$H$2:$H$11000,H7,OUT!$D$2:$D$11000,"Out",OUT!$E$2:$E$11000,"Alfa")</f>
        <v>293800</v>
      </c>
      <c r="N7" s="52" t="e">
        <f ca="1">SUMIFS(OUT!$F$2:$F$11000,OUT!$H$2:$H$101007,H7,OUT!$D$2:$D$11000,"Out",OUT!$E$2:$E$11000,"Jajan")</f>
        <v>#VALUE!</v>
      </c>
      <c r="O7" s="52">
        <f ca="1">SUMIFS(OUT!$F$2:$F$11000,OUT!$H$2:$H$11000,H7,OUT!$D$2:$D$11000,"Out",OUT!$E$2:$E$11000,"Kitchen")</f>
        <v>992724</v>
      </c>
      <c r="P7" s="52">
        <f ca="1">SUMIFS(OUT!$F$2:$F$11000,OUT!$H$2:$H$11000,H7,OUT!$D$2:$D$11000,"Out",OUT!$E$2:$E$11000,"Loandry")</f>
        <v>41600</v>
      </c>
      <c r="Q7" s="52">
        <f ca="1">SUMIFS(OUT!$F$2:$F$11000,OUT!$H$2:$H$11000,H7,OUT!$D$2:$D$11000,"Out",OUT!$E$2:$E$11000,"Mio")</f>
        <v>249000</v>
      </c>
      <c r="R7" s="52">
        <f ca="1">SUMIFS(OUT!$F$2:$F$11000,OUT!$H$2:$H$11000,H7,OUT!$D$2:$D$11000,"Out",OUT!$E$2:$E$11000,"Sedekah")</f>
        <v>129000</v>
      </c>
      <c r="S7" s="52">
        <f ca="1">SUMIFS(OUT!$F$2:$F$11000,OUT!$H$2:$H$11000,H7,OUT!$D$2:$D$11000,"Out",OUT!$E$2:$E$11000,"Zela")</f>
        <v>24100</v>
      </c>
      <c r="T7" s="52">
        <f ca="1">SUMIFS(OUT!$F$2:$F$11000,OUT!$H$2:$H$11000,H7,OUT!$D$2:$D$11000,"Out",OUT!$E$2:$E$11000,"Iqbal")</f>
        <v>121000</v>
      </c>
    </row>
    <row r="8" spans="1:20" x14ac:dyDescent="0.2">
      <c r="A8" s="48">
        <f ca="1">IFERROR(__xludf.DUMMYFUNCTION("""COMPUTED_VALUE"""),46055)</f>
        <v>46055</v>
      </c>
      <c r="B8" s="4" t="str">
        <f ca="1">IFERROR(__xludf.DUMMYFUNCTION("""COMPUTED_VALUE"""),"Byu 10GB")</f>
        <v>Byu 10GB</v>
      </c>
      <c r="C8" s="4" t="str">
        <f ca="1">IFERROR(__xludf.DUMMYFUNCTION("""COMPUTED_VALUE"""),"ATM")</f>
        <v>ATM</v>
      </c>
      <c r="D8" s="4" t="str">
        <f ca="1">IFERROR(__xludf.DUMMYFUNCTION("""COMPUTED_VALUE"""),"Out")</f>
        <v>Out</v>
      </c>
      <c r="E8" s="4" t="str">
        <f ca="1">IFERROR(__xludf.DUMMYFUNCTION("""COMPUTED_VALUE"""),"Fix")</f>
        <v>Fix</v>
      </c>
      <c r="F8" s="49">
        <f ca="1">IFERROR(__xludf.DUMMYFUNCTION("""COMPUTED_VALUE"""),25000)</f>
        <v>25000</v>
      </c>
      <c r="G8" s="50" t="str">
        <f ca="1">IFERROR(__xludf.DUMMYFUNCTION("""COMPUTED_VALUE"""),"Ibal")</f>
        <v>Ibal</v>
      </c>
      <c r="H8" s="51">
        <f t="shared" ca="1" si="0"/>
        <v>46054</v>
      </c>
      <c r="I8" s="52" t="e">
        <f ca="1">SUMIFS(OUT!$F$2:$F$11000,OUT!$H$2:$H$11000,H8,OUT!$D$2:$D$101007,"In")</f>
        <v>#VALUE!</v>
      </c>
      <c r="J8" s="52">
        <f ca="1">SUMIFS(OUT!$F$2:$F$11000,OUT!$H$2:$H$11000,H8,OUT!$D$2:$D$11000,"Out")</f>
        <v>6908733</v>
      </c>
      <c r="K8" s="52">
        <f ca="1">SUMIFS(OUT!$F$2:$F$11000,OUT!$H$2:$H$11000,H8,OUT!$D$2:$D$11000,"Out",OUT!$E$2:$E$11000,"Fix")</f>
        <v>2440568</v>
      </c>
      <c r="L8" s="52">
        <f ca="1">SUMIFS(OUT!$F$2:$F$11000,OUT!$H$2:$H$11000,H8,OUT!$D$2:$D$11000,"Out",OUT!$E$2:$E$11000,"Bathroom")</f>
        <v>34500</v>
      </c>
      <c r="M8" s="52">
        <f ca="1">SUMIFS(OUT!$F$2:$F$11000,OUT!$H$2:$H$11000,H8,OUT!$D$2:$D$11000,"Out",OUT!$E$2:$E$11000,"Alfa")</f>
        <v>293800</v>
      </c>
      <c r="N8" s="52" t="e">
        <f ca="1">SUMIFS(OUT!$F$2:$F$11000,OUT!$H$2:$H$101007,H8,OUT!$D$2:$D$11000,"Out",OUT!$E$2:$E$11000,"Jajan")</f>
        <v>#VALUE!</v>
      </c>
      <c r="O8" s="52">
        <f ca="1">SUMIFS(OUT!$F$2:$F$11000,OUT!$H$2:$H$11000,H8,OUT!$D$2:$D$11000,"Out",OUT!$E$2:$E$11000,"Kitchen")</f>
        <v>992724</v>
      </c>
      <c r="P8" s="52">
        <f ca="1">SUMIFS(OUT!$F$2:$F$11000,OUT!$H$2:$H$11000,H8,OUT!$D$2:$D$11000,"Out",OUT!$E$2:$E$11000,"Loandry")</f>
        <v>41600</v>
      </c>
      <c r="Q8" s="52">
        <f ca="1">SUMIFS(OUT!$F$2:$F$11000,OUT!$H$2:$H$11000,H8,OUT!$D$2:$D$11000,"Out",OUT!$E$2:$E$11000,"Mio")</f>
        <v>249000</v>
      </c>
      <c r="R8" s="52">
        <f ca="1">SUMIFS(OUT!$F$2:$F$11000,OUT!$H$2:$H$11000,H8,OUT!$D$2:$D$11000,"Out",OUT!$E$2:$E$11000,"Sedekah")</f>
        <v>129000</v>
      </c>
      <c r="S8" s="52">
        <f ca="1">SUMIFS(OUT!$F$2:$F$11000,OUT!$H$2:$H$11000,H8,OUT!$D$2:$D$11000,"Out",OUT!$E$2:$E$11000,"Zela")</f>
        <v>24100</v>
      </c>
      <c r="T8" s="52">
        <f ca="1">SUMIFS(OUT!$F$2:$F$11000,OUT!$H$2:$H$11000,H8,OUT!$D$2:$D$11000,"Out",OUT!$E$2:$E$11000,"Iqbal")</f>
        <v>121000</v>
      </c>
    </row>
    <row r="9" spans="1:20" x14ac:dyDescent="0.2">
      <c r="A9" s="48">
        <f ca="1">IFERROR(__xludf.DUMMYFUNCTION("""COMPUTED_VALUE"""),46055)</f>
        <v>46055</v>
      </c>
      <c r="B9" s="4" t="str">
        <f ca="1">IFERROR(__xludf.DUMMYFUNCTION("""COMPUTED_VALUE"""),"Istriku")</f>
        <v>Istriku</v>
      </c>
      <c r="C9" s="4" t="str">
        <f ca="1">IFERROR(__xludf.DUMMYFUNCTION("""COMPUTED_VALUE"""),"ATM")</f>
        <v>ATM</v>
      </c>
      <c r="D9" s="4" t="str">
        <f ca="1">IFERROR(__xludf.DUMMYFUNCTION("""COMPUTED_VALUE"""),"Out")</f>
        <v>Out</v>
      </c>
      <c r="E9" s="4" t="str">
        <f ca="1">IFERROR(__xludf.DUMMYFUNCTION("""COMPUTED_VALUE"""),"Move")</f>
        <v>Move</v>
      </c>
      <c r="F9" s="49">
        <f ca="1">IFERROR(__xludf.DUMMYFUNCTION("""COMPUTED_VALUE"""),1774441)</f>
        <v>1774441</v>
      </c>
      <c r="G9" s="50" t="str">
        <f ca="1">IFERROR(__xludf.DUMMYFUNCTION("""COMPUTED_VALUE"""),"Ibal")</f>
        <v>Ibal</v>
      </c>
      <c r="H9" s="51">
        <f t="shared" ca="1" si="0"/>
        <v>46054</v>
      </c>
      <c r="I9" s="52" t="e">
        <f ca="1">SUMIFS(OUT!$F$2:$F$11000,OUT!$H$2:$H$11000,H9,OUT!$D$2:$D$101007,"In")</f>
        <v>#VALUE!</v>
      </c>
      <c r="J9" s="52">
        <f ca="1">SUMIFS(OUT!$F$2:$F$11000,OUT!$H$2:$H$11000,H9,OUT!$D$2:$D$11000,"Out")</f>
        <v>6908733</v>
      </c>
      <c r="K9" s="52">
        <f ca="1">SUMIFS(OUT!$F$2:$F$11000,OUT!$H$2:$H$11000,H9,OUT!$D$2:$D$11000,"Out",OUT!$E$2:$E$11000,"Fix")</f>
        <v>2440568</v>
      </c>
      <c r="L9" s="52">
        <f ca="1">SUMIFS(OUT!$F$2:$F$11000,OUT!$H$2:$H$11000,H9,OUT!$D$2:$D$11000,"Out",OUT!$E$2:$E$11000,"Bathroom")</f>
        <v>34500</v>
      </c>
      <c r="M9" s="52">
        <f ca="1">SUMIFS(OUT!$F$2:$F$11000,OUT!$H$2:$H$11000,H9,OUT!$D$2:$D$11000,"Out",OUT!$E$2:$E$11000,"Alfa")</f>
        <v>293800</v>
      </c>
      <c r="N9" s="52" t="e">
        <f ca="1">SUMIFS(OUT!$F$2:$F$11000,OUT!$H$2:$H$101007,H9,OUT!$D$2:$D$11000,"Out",OUT!$E$2:$E$11000,"Jajan")</f>
        <v>#VALUE!</v>
      </c>
      <c r="O9" s="52">
        <f ca="1">SUMIFS(OUT!$F$2:$F$11000,OUT!$H$2:$H$11000,H9,OUT!$D$2:$D$11000,"Out",OUT!$E$2:$E$11000,"Kitchen")</f>
        <v>992724</v>
      </c>
      <c r="P9" s="52">
        <f ca="1">SUMIFS(OUT!$F$2:$F$11000,OUT!$H$2:$H$11000,H9,OUT!$D$2:$D$11000,"Out",OUT!$E$2:$E$11000,"Loandry")</f>
        <v>41600</v>
      </c>
      <c r="Q9" s="52">
        <f ca="1">SUMIFS(OUT!$F$2:$F$11000,OUT!$H$2:$H$11000,H9,OUT!$D$2:$D$11000,"Out",OUT!$E$2:$E$11000,"Mio")</f>
        <v>249000</v>
      </c>
      <c r="R9" s="52">
        <f ca="1">SUMIFS(OUT!$F$2:$F$11000,OUT!$H$2:$H$11000,H9,OUT!$D$2:$D$11000,"Out",OUT!$E$2:$E$11000,"Sedekah")</f>
        <v>129000</v>
      </c>
      <c r="S9" s="52">
        <f ca="1">SUMIFS(OUT!$F$2:$F$11000,OUT!$H$2:$H$11000,H9,OUT!$D$2:$D$11000,"Out",OUT!$E$2:$E$11000,"Zela")</f>
        <v>24100</v>
      </c>
      <c r="T9" s="52">
        <f ca="1">SUMIFS(OUT!$F$2:$F$11000,OUT!$H$2:$H$11000,H9,OUT!$D$2:$D$11000,"Out",OUT!$E$2:$E$11000,"Iqbal")</f>
        <v>121000</v>
      </c>
    </row>
    <row r="10" spans="1:20" x14ac:dyDescent="0.2">
      <c r="A10" s="48">
        <f ca="1">IFERROR(__xludf.DUMMYFUNCTION("""COMPUTED_VALUE"""),46055)</f>
        <v>46055</v>
      </c>
      <c r="B10" s="4" t="str">
        <f ca="1">IFERROR(__xludf.DUMMYFUNCTION("""COMPUTED_VALUE"""),"Bayar uang Adi")</f>
        <v>Bayar uang Adi</v>
      </c>
      <c r="C10" s="4" t="str">
        <f ca="1">IFERROR(__xludf.DUMMYFUNCTION("""COMPUTED_VALUE"""),"ATM")</f>
        <v>ATM</v>
      </c>
      <c r="D10" s="4" t="str">
        <f ca="1">IFERROR(__xludf.DUMMYFUNCTION("""COMPUTED_VALUE"""),"Out")</f>
        <v>Out</v>
      </c>
      <c r="E10" s="4" t="str">
        <f ca="1">IFERROR(__xludf.DUMMYFUNCTION("""COMPUTED_VALUE"""),"Fix")</f>
        <v>Fix</v>
      </c>
      <c r="F10" s="49">
        <f ca="1">IFERROR(__xludf.DUMMYFUNCTION("""COMPUTED_VALUE"""),300000)</f>
        <v>300000</v>
      </c>
      <c r="G10" s="50" t="str">
        <f ca="1">IFERROR(__xludf.DUMMYFUNCTION("""COMPUTED_VALUE"""),"Ibal")</f>
        <v>Ibal</v>
      </c>
      <c r="H10" s="51">
        <f t="shared" ca="1" si="0"/>
        <v>46054</v>
      </c>
      <c r="I10" s="52" t="e">
        <f ca="1">SUMIFS(OUT!$F$2:$F$11000,OUT!$H$2:$H$11000,H10,OUT!$D$2:$D$101007,"In")</f>
        <v>#VALUE!</v>
      </c>
      <c r="J10" s="52">
        <f ca="1">SUMIFS(OUT!$F$2:$F$11000,OUT!$H$2:$H$11000,H10,OUT!$D$2:$D$11000,"Out")</f>
        <v>6908733</v>
      </c>
      <c r="K10" s="52">
        <f ca="1">SUMIFS(OUT!$F$2:$F$11000,OUT!$H$2:$H$11000,H10,OUT!$D$2:$D$11000,"Out",OUT!$E$2:$E$11000,"Fix")</f>
        <v>2440568</v>
      </c>
      <c r="L10" s="52">
        <f ca="1">SUMIFS(OUT!$F$2:$F$11000,OUT!$H$2:$H$11000,H10,OUT!$D$2:$D$11000,"Out",OUT!$E$2:$E$11000,"Bathroom")</f>
        <v>34500</v>
      </c>
      <c r="M10" s="52">
        <f ca="1">SUMIFS(OUT!$F$2:$F$11000,OUT!$H$2:$H$11000,H10,OUT!$D$2:$D$11000,"Out",OUT!$E$2:$E$11000,"Alfa")</f>
        <v>293800</v>
      </c>
      <c r="N10" s="52" t="e">
        <f ca="1">SUMIFS(OUT!$F$2:$F$11000,OUT!$H$2:$H$101007,H10,OUT!$D$2:$D$11000,"Out",OUT!$E$2:$E$11000,"Jajan")</f>
        <v>#VALUE!</v>
      </c>
      <c r="O10" s="52">
        <f ca="1">SUMIFS(OUT!$F$2:$F$11000,OUT!$H$2:$H$11000,H10,OUT!$D$2:$D$11000,"Out",OUT!$E$2:$E$11000,"Kitchen")</f>
        <v>992724</v>
      </c>
      <c r="P10" s="52">
        <f ca="1">SUMIFS(OUT!$F$2:$F$11000,OUT!$H$2:$H$11000,H10,OUT!$D$2:$D$11000,"Out",OUT!$E$2:$E$11000,"Loandry")</f>
        <v>41600</v>
      </c>
      <c r="Q10" s="52">
        <f ca="1">SUMIFS(OUT!$F$2:$F$11000,OUT!$H$2:$H$11000,H10,OUT!$D$2:$D$11000,"Out",OUT!$E$2:$E$11000,"Mio")</f>
        <v>249000</v>
      </c>
      <c r="R10" s="52">
        <f ca="1">SUMIFS(OUT!$F$2:$F$11000,OUT!$H$2:$H$11000,H10,OUT!$D$2:$D$11000,"Out",OUT!$E$2:$E$11000,"Sedekah")</f>
        <v>129000</v>
      </c>
      <c r="S10" s="52">
        <f ca="1">SUMIFS(OUT!$F$2:$F$11000,OUT!$H$2:$H$11000,H10,OUT!$D$2:$D$11000,"Out",OUT!$E$2:$E$11000,"Zela")</f>
        <v>24100</v>
      </c>
      <c r="T10" s="52">
        <f ca="1">SUMIFS(OUT!$F$2:$F$11000,OUT!$H$2:$H$11000,H10,OUT!$D$2:$D$11000,"Out",OUT!$E$2:$E$11000,"Iqbal")</f>
        <v>121000</v>
      </c>
    </row>
    <row r="11" spans="1:20" x14ac:dyDescent="0.2">
      <c r="A11" s="48">
        <f ca="1">IFERROR(__xludf.DUMMYFUNCTION("""COMPUTED_VALUE"""),46055)</f>
        <v>46055</v>
      </c>
      <c r="B11" s="4" t="str">
        <f ca="1">IFERROR(__xludf.DUMMYFUNCTION("""COMPUTED_VALUE"""),"Iqbal Shopee (5)")</f>
        <v>Iqbal Shopee (5)</v>
      </c>
      <c r="C11" s="4" t="str">
        <f ca="1">IFERROR(__xludf.DUMMYFUNCTION("""COMPUTED_VALUE"""),"ATM")</f>
        <v>ATM</v>
      </c>
      <c r="D11" s="4" t="str">
        <f ca="1">IFERROR(__xludf.DUMMYFUNCTION("""COMPUTED_VALUE"""),"Out")</f>
        <v>Out</v>
      </c>
      <c r="E11" s="4" t="str">
        <f ca="1">IFERROR(__xludf.DUMMYFUNCTION("""COMPUTED_VALUE"""),"Fix")</f>
        <v>Fix</v>
      </c>
      <c r="F11" s="49">
        <f ca="1">IFERROR(__xludf.DUMMYFUNCTION("""COMPUTED_VALUE"""),624137)</f>
        <v>624137</v>
      </c>
      <c r="G11" s="50" t="str">
        <f ca="1">IFERROR(__xludf.DUMMYFUNCTION("""COMPUTED_VALUE"""),"Ibal")</f>
        <v>Ibal</v>
      </c>
      <c r="H11" s="51">
        <f t="shared" ca="1" si="0"/>
        <v>46054</v>
      </c>
      <c r="I11" s="52" t="e">
        <f ca="1">SUMIFS(OUT!$F$2:$F$11000,OUT!$H$2:$H$11000,H11,OUT!$D$2:$D$101007,"In")</f>
        <v>#VALUE!</v>
      </c>
      <c r="J11" s="52">
        <f ca="1">SUMIFS(OUT!$F$2:$F$11000,OUT!$H$2:$H$11000,H11,OUT!$D$2:$D$11000,"Out")</f>
        <v>6908733</v>
      </c>
      <c r="K11" s="52">
        <f ca="1">SUMIFS(OUT!$F$2:$F$11000,OUT!$H$2:$H$11000,H11,OUT!$D$2:$D$11000,"Out",OUT!$E$2:$E$11000,"Fix")</f>
        <v>2440568</v>
      </c>
      <c r="L11" s="52">
        <f ca="1">SUMIFS(OUT!$F$2:$F$11000,OUT!$H$2:$H$11000,H11,OUT!$D$2:$D$11000,"Out",OUT!$E$2:$E$11000,"Bathroom")</f>
        <v>34500</v>
      </c>
      <c r="M11" s="52">
        <f ca="1">SUMIFS(OUT!$F$2:$F$11000,OUT!$H$2:$H$11000,H11,OUT!$D$2:$D$11000,"Out",OUT!$E$2:$E$11000,"Alfa")</f>
        <v>293800</v>
      </c>
      <c r="N11" s="52" t="e">
        <f ca="1">SUMIFS(OUT!$F$2:$F$11000,OUT!$H$2:$H$101007,H11,OUT!$D$2:$D$11000,"Out",OUT!$E$2:$E$11000,"Jajan")</f>
        <v>#VALUE!</v>
      </c>
      <c r="O11" s="52">
        <f ca="1">SUMIFS(OUT!$F$2:$F$11000,OUT!$H$2:$H$11000,H11,OUT!$D$2:$D$11000,"Out",OUT!$E$2:$E$11000,"Kitchen")</f>
        <v>992724</v>
      </c>
      <c r="P11" s="52">
        <f ca="1">SUMIFS(OUT!$F$2:$F$11000,OUT!$H$2:$H$11000,H11,OUT!$D$2:$D$11000,"Out",OUT!$E$2:$E$11000,"Loandry")</f>
        <v>41600</v>
      </c>
      <c r="Q11" s="52">
        <f ca="1">SUMIFS(OUT!$F$2:$F$11000,OUT!$H$2:$H$11000,H11,OUT!$D$2:$D$11000,"Out",OUT!$E$2:$E$11000,"Mio")</f>
        <v>249000</v>
      </c>
      <c r="R11" s="52">
        <f ca="1">SUMIFS(OUT!$F$2:$F$11000,OUT!$H$2:$H$11000,H11,OUT!$D$2:$D$11000,"Out",OUT!$E$2:$E$11000,"Sedekah")</f>
        <v>129000</v>
      </c>
      <c r="S11" s="52">
        <f ca="1">SUMIFS(OUT!$F$2:$F$11000,OUT!$H$2:$H$11000,H11,OUT!$D$2:$D$11000,"Out",OUT!$E$2:$E$11000,"Zela")</f>
        <v>24100</v>
      </c>
      <c r="T11" s="52">
        <f ca="1">SUMIFS(OUT!$F$2:$F$11000,OUT!$H$2:$H$11000,H11,OUT!$D$2:$D$11000,"Out",OUT!$E$2:$E$11000,"Iqbal")</f>
        <v>121000</v>
      </c>
    </row>
    <row r="12" spans="1:20" x14ac:dyDescent="0.2">
      <c r="A12" s="48">
        <f ca="1">IFERROR(__xludf.DUMMYFUNCTION("""COMPUTED_VALUE"""),46055)</f>
        <v>46055</v>
      </c>
      <c r="B12" s="4" t="str">
        <f ca="1">IFERROR(__xludf.DUMMYFUNCTION("""COMPUTED_VALUE"""),"Kulkas (2)")</f>
        <v>Kulkas (2)</v>
      </c>
      <c r="C12" s="4" t="str">
        <f ca="1">IFERROR(__xludf.DUMMYFUNCTION("""COMPUTED_VALUE"""),"ATM")</f>
        <v>ATM</v>
      </c>
      <c r="D12" s="4" t="str">
        <f ca="1">IFERROR(__xludf.DUMMYFUNCTION("""COMPUTED_VALUE"""),"Out")</f>
        <v>Out</v>
      </c>
      <c r="E12" s="4" t="str">
        <f ca="1">IFERROR(__xludf.DUMMYFUNCTION("""COMPUTED_VALUE"""),"Fix")</f>
        <v>Fix</v>
      </c>
      <c r="F12" s="49">
        <f ca="1">IFERROR(__xludf.DUMMYFUNCTION("""COMPUTED_VALUE"""),279187)</f>
        <v>279187</v>
      </c>
      <c r="G12" s="50" t="str">
        <f ca="1">IFERROR(__xludf.DUMMYFUNCTION("""COMPUTED_VALUE"""),"Ibal")</f>
        <v>Ibal</v>
      </c>
      <c r="H12" s="51">
        <f t="shared" ca="1" si="0"/>
        <v>46054</v>
      </c>
      <c r="I12" s="52" t="e">
        <f ca="1">SUMIFS(OUT!$F$2:$F$11000,OUT!$H$2:$H$11000,H12,OUT!$D$2:$D$101007,"In")</f>
        <v>#VALUE!</v>
      </c>
      <c r="J12" s="52">
        <f ca="1">SUMIFS(OUT!$F$2:$F$11000,OUT!$H$2:$H$11000,H12,OUT!$D$2:$D$11000,"Out")</f>
        <v>6908733</v>
      </c>
      <c r="K12" s="52">
        <f ca="1">SUMIFS(OUT!$F$2:$F$11000,OUT!$H$2:$H$11000,H12,OUT!$D$2:$D$11000,"Out",OUT!$E$2:$E$11000,"Fix")</f>
        <v>2440568</v>
      </c>
      <c r="L12" s="52">
        <f ca="1">SUMIFS(OUT!$F$2:$F$11000,OUT!$H$2:$H$11000,H12,OUT!$D$2:$D$11000,"Out",OUT!$E$2:$E$11000,"Bathroom")</f>
        <v>34500</v>
      </c>
      <c r="M12" s="52">
        <f ca="1">SUMIFS(OUT!$F$2:$F$11000,OUT!$H$2:$H$11000,H12,OUT!$D$2:$D$11000,"Out",OUT!$E$2:$E$11000,"Alfa")</f>
        <v>293800</v>
      </c>
      <c r="N12" s="52" t="e">
        <f ca="1">SUMIFS(OUT!$F$2:$F$11000,OUT!$H$2:$H$101007,H12,OUT!$D$2:$D$11000,"Out",OUT!$E$2:$E$11000,"Jajan")</f>
        <v>#VALUE!</v>
      </c>
      <c r="O12" s="52">
        <f ca="1">SUMIFS(OUT!$F$2:$F$11000,OUT!$H$2:$H$11000,H12,OUT!$D$2:$D$11000,"Out",OUT!$E$2:$E$11000,"Kitchen")</f>
        <v>992724</v>
      </c>
      <c r="P12" s="52">
        <f ca="1">SUMIFS(OUT!$F$2:$F$11000,OUT!$H$2:$H$11000,H12,OUT!$D$2:$D$11000,"Out",OUT!$E$2:$E$11000,"Loandry")</f>
        <v>41600</v>
      </c>
      <c r="Q12" s="52">
        <f ca="1">SUMIFS(OUT!$F$2:$F$11000,OUT!$H$2:$H$11000,H12,OUT!$D$2:$D$11000,"Out",OUT!$E$2:$E$11000,"Mio")</f>
        <v>249000</v>
      </c>
      <c r="R12" s="52">
        <f ca="1">SUMIFS(OUT!$F$2:$F$11000,OUT!$H$2:$H$11000,H12,OUT!$D$2:$D$11000,"Out",OUT!$E$2:$E$11000,"Sedekah")</f>
        <v>129000</v>
      </c>
      <c r="S12" s="52">
        <f ca="1">SUMIFS(OUT!$F$2:$F$11000,OUT!$H$2:$H$11000,H12,OUT!$D$2:$D$11000,"Out",OUT!$E$2:$E$11000,"Zela")</f>
        <v>24100</v>
      </c>
      <c r="T12" s="52">
        <f ca="1">SUMIFS(OUT!$F$2:$F$11000,OUT!$H$2:$H$11000,H12,OUT!$D$2:$D$11000,"Out",OUT!$E$2:$E$11000,"Iqbal")</f>
        <v>121000</v>
      </c>
    </row>
    <row r="13" spans="1:20" x14ac:dyDescent="0.2">
      <c r="A13" s="48">
        <f ca="1">IFERROR(__xludf.DUMMYFUNCTION("""COMPUTED_VALUE"""),46056)</f>
        <v>46056</v>
      </c>
      <c r="B13" s="4" t="str">
        <f ca="1">IFERROR(__xludf.DUMMYFUNCTION("""COMPUTED_VALUE"""),"Potong rambut")</f>
        <v>Potong rambut</v>
      </c>
      <c r="C13" s="4" t="str">
        <f ca="1">IFERROR(__xludf.DUMMYFUNCTION("""COMPUTED_VALUE"""),"ATM")</f>
        <v>ATM</v>
      </c>
      <c r="D13" s="4" t="str">
        <f ca="1">IFERROR(__xludf.DUMMYFUNCTION("""COMPUTED_VALUE"""),"Out")</f>
        <v>Out</v>
      </c>
      <c r="E13" s="4" t="str">
        <f ca="1">IFERROR(__xludf.DUMMYFUNCTION("""COMPUTED_VALUE"""),"Iqbal")</f>
        <v>Iqbal</v>
      </c>
      <c r="F13" s="49">
        <f ca="1">IFERROR(__xludf.DUMMYFUNCTION("""COMPUTED_VALUE"""),30000)</f>
        <v>30000</v>
      </c>
      <c r="G13" s="50" t="str">
        <f ca="1">IFERROR(__xludf.DUMMYFUNCTION("""COMPUTED_VALUE"""),"Ibal")</f>
        <v>Ibal</v>
      </c>
      <c r="H13" s="51">
        <f t="shared" ca="1" si="0"/>
        <v>46054</v>
      </c>
      <c r="I13" s="52" t="e">
        <f ca="1">SUMIFS(OUT!$F$2:$F$11000,OUT!$H$2:$H$11000,H13,OUT!$D$2:$D$101007,"In")</f>
        <v>#VALUE!</v>
      </c>
      <c r="J13" s="52">
        <f ca="1">SUMIFS(OUT!$F$2:$F$11000,OUT!$H$2:$H$11000,H13,OUT!$D$2:$D$11000,"Out")</f>
        <v>6908733</v>
      </c>
      <c r="K13" s="52">
        <f ca="1">SUMIFS(OUT!$F$2:$F$11000,OUT!$H$2:$H$11000,H13,OUT!$D$2:$D$11000,"Out",OUT!$E$2:$E$11000,"Fix")</f>
        <v>2440568</v>
      </c>
      <c r="L13" s="52">
        <f ca="1">SUMIFS(OUT!$F$2:$F$11000,OUT!$H$2:$H$11000,H13,OUT!$D$2:$D$11000,"Out",OUT!$E$2:$E$11000,"Bathroom")</f>
        <v>34500</v>
      </c>
      <c r="M13" s="52">
        <f ca="1">SUMIFS(OUT!$F$2:$F$11000,OUT!$H$2:$H$11000,H13,OUT!$D$2:$D$11000,"Out",OUT!$E$2:$E$11000,"Alfa")</f>
        <v>293800</v>
      </c>
      <c r="N13" s="52" t="e">
        <f ca="1">SUMIFS(OUT!$F$2:$F$11000,OUT!$H$2:$H$101007,H13,OUT!$D$2:$D$11000,"Out",OUT!$E$2:$E$11000,"Jajan")</f>
        <v>#VALUE!</v>
      </c>
      <c r="O13" s="52">
        <f ca="1">SUMIFS(OUT!$F$2:$F$11000,OUT!$H$2:$H$11000,H13,OUT!$D$2:$D$11000,"Out",OUT!$E$2:$E$11000,"Kitchen")</f>
        <v>992724</v>
      </c>
      <c r="P13" s="52">
        <f ca="1">SUMIFS(OUT!$F$2:$F$11000,OUT!$H$2:$H$11000,H13,OUT!$D$2:$D$11000,"Out",OUT!$E$2:$E$11000,"Loandry")</f>
        <v>41600</v>
      </c>
      <c r="Q13" s="52">
        <f ca="1">SUMIFS(OUT!$F$2:$F$11000,OUT!$H$2:$H$11000,H13,OUT!$D$2:$D$11000,"Out",OUT!$E$2:$E$11000,"Mio")</f>
        <v>249000</v>
      </c>
      <c r="R13" s="52">
        <f ca="1">SUMIFS(OUT!$F$2:$F$11000,OUT!$H$2:$H$11000,H13,OUT!$D$2:$D$11000,"Out",OUT!$E$2:$E$11000,"Sedekah")</f>
        <v>129000</v>
      </c>
      <c r="S13" s="52">
        <f ca="1">SUMIFS(OUT!$F$2:$F$11000,OUT!$H$2:$H$11000,H13,OUT!$D$2:$D$11000,"Out",OUT!$E$2:$E$11000,"Zela")</f>
        <v>24100</v>
      </c>
      <c r="T13" s="52">
        <f ca="1">SUMIFS(OUT!$F$2:$F$11000,OUT!$H$2:$H$11000,H13,OUT!$D$2:$D$11000,"Out",OUT!$E$2:$E$11000,"Iqbal")</f>
        <v>121000</v>
      </c>
    </row>
    <row r="14" spans="1:20" x14ac:dyDescent="0.2">
      <c r="A14" s="48">
        <f ca="1">IFERROR(__xludf.DUMMYFUNCTION("""COMPUTED_VALUE"""),46058)</f>
        <v>46058</v>
      </c>
      <c r="B14" s="4" t="str">
        <f ca="1">IFERROR(__xludf.DUMMYFUNCTION("""COMPUTED_VALUE"""),"Istriku")</f>
        <v>Istriku</v>
      </c>
      <c r="C14" s="4" t="str">
        <f ca="1">IFERROR(__xludf.DUMMYFUNCTION("""COMPUTED_VALUE"""),"Cash")</f>
        <v>Cash</v>
      </c>
      <c r="D14" s="4" t="str">
        <f ca="1">IFERROR(__xludf.DUMMYFUNCTION("""COMPUTED_VALUE"""),"In")</f>
        <v>In</v>
      </c>
      <c r="E14" s="4" t="str">
        <f ca="1">IFERROR(__xludf.DUMMYFUNCTION("""COMPUTED_VALUE"""),"Move")</f>
        <v>Move</v>
      </c>
      <c r="F14" s="49">
        <f ca="1">IFERROR(__xludf.DUMMYFUNCTION("""COMPUTED_VALUE"""),50000)</f>
        <v>50000</v>
      </c>
      <c r="G14" s="50" t="str">
        <f ca="1">IFERROR(__xludf.DUMMYFUNCTION("""COMPUTED_VALUE"""),"Ibal")</f>
        <v>Ibal</v>
      </c>
      <c r="H14" s="51">
        <f t="shared" ca="1" si="0"/>
        <v>46054</v>
      </c>
      <c r="I14" s="52" t="e">
        <f ca="1">SUMIFS(OUT!$F$2:$F$11000,OUT!$H$2:$H$11000,H14,OUT!$D$2:$D$101007,"In")</f>
        <v>#VALUE!</v>
      </c>
      <c r="J14" s="52">
        <f ca="1">SUMIFS(OUT!$F$2:$F$11000,OUT!$H$2:$H$11000,H14,OUT!$D$2:$D$11000,"Out")</f>
        <v>6908733</v>
      </c>
      <c r="K14" s="52">
        <f ca="1">SUMIFS(OUT!$F$2:$F$11000,OUT!$H$2:$H$11000,H14,OUT!$D$2:$D$11000,"Out",OUT!$E$2:$E$11000,"Fix")</f>
        <v>2440568</v>
      </c>
      <c r="L14" s="52">
        <f ca="1">SUMIFS(OUT!$F$2:$F$11000,OUT!$H$2:$H$11000,H14,OUT!$D$2:$D$11000,"Out",OUT!$E$2:$E$11000,"Bathroom")</f>
        <v>34500</v>
      </c>
      <c r="M14" s="52">
        <f ca="1">SUMIFS(OUT!$F$2:$F$11000,OUT!$H$2:$H$11000,H14,OUT!$D$2:$D$11000,"Out",OUT!$E$2:$E$11000,"Alfa")</f>
        <v>293800</v>
      </c>
      <c r="N14" s="52" t="e">
        <f ca="1">SUMIFS(OUT!$F$2:$F$11000,OUT!$H$2:$H$101007,H14,OUT!$D$2:$D$11000,"Out",OUT!$E$2:$E$11000,"Jajan")</f>
        <v>#VALUE!</v>
      </c>
      <c r="O14" s="52">
        <f ca="1">SUMIFS(OUT!$F$2:$F$11000,OUT!$H$2:$H$11000,H14,OUT!$D$2:$D$11000,"Out",OUT!$E$2:$E$11000,"Kitchen")</f>
        <v>992724</v>
      </c>
      <c r="P14" s="52">
        <f ca="1">SUMIFS(OUT!$F$2:$F$11000,OUT!$H$2:$H$11000,H14,OUT!$D$2:$D$11000,"Out",OUT!$E$2:$E$11000,"Loandry")</f>
        <v>41600</v>
      </c>
      <c r="Q14" s="52">
        <f ca="1">SUMIFS(OUT!$F$2:$F$11000,OUT!$H$2:$H$11000,H14,OUT!$D$2:$D$11000,"Out",OUT!$E$2:$E$11000,"Mio")</f>
        <v>249000</v>
      </c>
      <c r="R14" s="52">
        <f ca="1">SUMIFS(OUT!$F$2:$F$11000,OUT!$H$2:$H$11000,H14,OUT!$D$2:$D$11000,"Out",OUT!$E$2:$E$11000,"Sedekah")</f>
        <v>129000</v>
      </c>
      <c r="S14" s="52">
        <f ca="1">SUMIFS(OUT!$F$2:$F$11000,OUT!$H$2:$H$11000,H14,OUT!$D$2:$D$11000,"Out",OUT!$E$2:$E$11000,"Zela")</f>
        <v>24100</v>
      </c>
      <c r="T14" s="52">
        <f ca="1">SUMIFS(OUT!$F$2:$F$11000,OUT!$H$2:$H$11000,H14,OUT!$D$2:$D$11000,"Out",OUT!$E$2:$E$11000,"Iqbal")</f>
        <v>121000</v>
      </c>
    </row>
    <row r="15" spans="1:20" x14ac:dyDescent="0.2">
      <c r="A15" s="48">
        <f ca="1">IFERROR(__xludf.DUMMYFUNCTION("""COMPUTED_VALUE"""),46058)</f>
        <v>46058</v>
      </c>
      <c r="B15" s="4" t="str">
        <f ca="1">IFERROR(__xludf.DUMMYFUNCTION("""COMPUTED_VALUE"""),"Bensin eceran")</f>
        <v>Bensin eceran</v>
      </c>
      <c r="C15" s="4" t="str">
        <f ca="1">IFERROR(__xludf.DUMMYFUNCTION("""COMPUTED_VALUE"""),"Cash")</f>
        <v>Cash</v>
      </c>
      <c r="D15" s="4" t="str">
        <f ca="1">IFERROR(__xludf.DUMMYFUNCTION("""COMPUTED_VALUE"""),"Out")</f>
        <v>Out</v>
      </c>
      <c r="E15" s="4" t="str">
        <f ca="1">IFERROR(__xludf.DUMMYFUNCTION("""COMPUTED_VALUE"""),"Mio")</f>
        <v>Mio</v>
      </c>
      <c r="F15" s="49">
        <f ca="1">IFERROR(__xludf.DUMMYFUNCTION("""COMPUTED_VALUE"""),12000)</f>
        <v>12000</v>
      </c>
      <c r="G15" s="50" t="str">
        <f ca="1">IFERROR(__xludf.DUMMYFUNCTION("""COMPUTED_VALUE"""),"Ibal")</f>
        <v>Ibal</v>
      </c>
      <c r="H15" s="51">
        <f t="shared" ca="1" si="0"/>
        <v>46054</v>
      </c>
      <c r="I15" s="52" t="e">
        <f ca="1">SUMIFS(OUT!$F$2:$F$11000,OUT!$H$2:$H$11000,H15,OUT!$D$2:$D$101007,"In")</f>
        <v>#VALUE!</v>
      </c>
      <c r="J15" s="52">
        <f ca="1">SUMIFS(OUT!$F$2:$F$11000,OUT!$H$2:$H$11000,H15,OUT!$D$2:$D$11000,"Out")</f>
        <v>6908733</v>
      </c>
      <c r="K15" s="52">
        <f ca="1">SUMIFS(OUT!$F$2:$F$11000,OUT!$H$2:$H$11000,H15,OUT!$D$2:$D$11000,"Out",OUT!$E$2:$E$11000,"Fix")</f>
        <v>2440568</v>
      </c>
      <c r="L15" s="52">
        <f ca="1">SUMIFS(OUT!$F$2:$F$11000,OUT!$H$2:$H$11000,H15,OUT!$D$2:$D$11000,"Out",OUT!$E$2:$E$11000,"Bathroom")</f>
        <v>34500</v>
      </c>
      <c r="M15" s="52">
        <f ca="1">SUMIFS(OUT!$F$2:$F$11000,OUT!$H$2:$H$11000,H15,OUT!$D$2:$D$11000,"Out",OUT!$E$2:$E$11000,"Alfa")</f>
        <v>293800</v>
      </c>
      <c r="N15" s="52" t="e">
        <f ca="1">SUMIFS(OUT!$F$2:$F$11000,OUT!$H$2:$H$101007,H15,OUT!$D$2:$D$11000,"Out",OUT!$E$2:$E$11000,"Jajan")</f>
        <v>#VALUE!</v>
      </c>
      <c r="O15" s="52">
        <f ca="1">SUMIFS(OUT!$F$2:$F$11000,OUT!$H$2:$H$11000,H15,OUT!$D$2:$D$11000,"Out",OUT!$E$2:$E$11000,"Kitchen")</f>
        <v>992724</v>
      </c>
      <c r="P15" s="52">
        <f ca="1">SUMIFS(OUT!$F$2:$F$11000,OUT!$H$2:$H$11000,H15,OUT!$D$2:$D$11000,"Out",OUT!$E$2:$E$11000,"Loandry")</f>
        <v>41600</v>
      </c>
      <c r="Q15" s="52">
        <f ca="1">SUMIFS(OUT!$F$2:$F$11000,OUT!$H$2:$H$11000,H15,OUT!$D$2:$D$11000,"Out",OUT!$E$2:$E$11000,"Mio")</f>
        <v>249000</v>
      </c>
      <c r="R15" s="52">
        <f ca="1">SUMIFS(OUT!$F$2:$F$11000,OUT!$H$2:$H$11000,H15,OUT!$D$2:$D$11000,"Out",OUT!$E$2:$E$11000,"Sedekah")</f>
        <v>129000</v>
      </c>
      <c r="S15" s="52">
        <f ca="1">SUMIFS(OUT!$F$2:$F$11000,OUT!$H$2:$H$11000,H15,OUT!$D$2:$D$11000,"Out",OUT!$E$2:$E$11000,"Zela")</f>
        <v>24100</v>
      </c>
      <c r="T15" s="52">
        <f ca="1">SUMIFS(OUT!$F$2:$F$11000,OUT!$H$2:$H$11000,H15,OUT!$D$2:$D$11000,"Out",OUT!$E$2:$E$11000,"Iqbal")</f>
        <v>121000</v>
      </c>
    </row>
    <row r="16" spans="1:20" x14ac:dyDescent="0.2">
      <c r="A16" s="48">
        <f ca="1">IFERROR(__xludf.DUMMYFUNCTION("""COMPUTED_VALUE"""),46058)</f>
        <v>46058</v>
      </c>
      <c r="B16" s="4" t="str">
        <f ca="1">IFERROR(__xludf.DUMMYFUNCTION("""COMPUTED_VALUE"""),"Rokok")</f>
        <v>Rokok</v>
      </c>
      <c r="C16" s="4" t="str">
        <f ca="1">IFERROR(__xludf.DUMMYFUNCTION("""COMPUTED_VALUE"""),"Cash")</f>
        <v>Cash</v>
      </c>
      <c r="D16" s="4" t="str">
        <f ca="1">IFERROR(__xludf.DUMMYFUNCTION("""COMPUTED_VALUE"""),"Out")</f>
        <v>Out</v>
      </c>
      <c r="E16" s="4" t="str">
        <f ca="1">IFERROR(__xludf.DUMMYFUNCTION("""COMPUTED_VALUE"""),"Iqbal")</f>
        <v>Iqbal</v>
      </c>
      <c r="F16" s="49">
        <f ca="1">IFERROR(__xludf.DUMMYFUNCTION("""COMPUTED_VALUE"""),16000)</f>
        <v>16000</v>
      </c>
      <c r="G16" s="50" t="str">
        <f ca="1">IFERROR(__xludf.DUMMYFUNCTION("""COMPUTED_VALUE"""),"Ibal")</f>
        <v>Ibal</v>
      </c>
      <c r="H16" s="51">
        <f t="shared" ca="1" si="0"/>
        <v>46054</v>
      </c>
      <c r="I16" s="52" t="e">
        <f ca="1">SUMIFS(OUT!$F$2:$F$11000,OUT!$H$2:$H$11000,H16,OUT!$D$2:$D$101007,"In")</f>
        <v>#VALUE!</v>
      </c>
      <c r="J16" s="52">
        <f ca="1">SUMIFS(OUT!$F$2:$F$11000,OUT!$H$2:$H$11000,H16,OUT!$D$2:$D$11000,"Out")</f>
        <v>6908733</v>
      </c>
      <c r="K16" s="52">
        <f ca="1">SUMIFS(OUT!$F$2:$F$11000,OUT!$H$2:$H$11000,H16,OUT!$D$2:$D$11000,"Out",OUT!$E$2:$E$11000,"Fix")</f>
        <v>2440568</v>
      </c>
      <c r="L16" s="52">
        <f ca="1">SUMIFS(OUT!$F$2:$F$11000,OUT!$H$2:$H$11000,H16,OUT!$D$2:$D$11000,"Out",OUT!$E$2:$E$11000,"Bathroom")</f>
        <v>34500</v>
      </c>
      <c r="M16" s="52">
        <f ca="1">SUMIFS(OUT!$F$2:$F$11000,OUT!$H$2:$H$11000,H16,OUT!$D$2:$D$11000,"Out",OUT!$E$2:$E$11000,"Alfa")</f>
        <v>293800</v>
      </c>
      <c r="N16" s="52" t="e">
        <f ca="1">SUMIFS(OUT!$F$2:$F$11000,OUT!$H$2:$H$101007,H16,OUT!$D$2:$D$11000,"Out",OUT!$E$2:$E$11000,"Jajan")</f>
        <v>#VALUE!</v>
      </c>
      <c r="O16" s="52">
        <f ca="1">SUMIFS(OUT!$F$2:$F$11000,OUT!$H$2:$H$11000,H16,OUT!$D$2:$D$11000,"Out",OUT!$E$2:$E$11000,"Kitchen")</f>
        <v>992724</v>
      </c>
      <c r="P16" s="52">
        <f ca="1">SUMIFS(OUT!$F$2:$F$11000,OUT!$H$2:$H$11000,H16,OUT!$D$2:$D$11000,"Out",OUT!$E$2:$E$11000,"Loandry")</f>
        <v>41600</v>
      </c>
      <c r="Q16" s="52">
        <f ca="1">SUMIFS(OUT!$F$2:$F$11000,OUT!$H$2:$H$11000,H16,OUT!$D$2:$D$11000,"Out",OUT!$E$2:$E$11000,"Mio")</f>
        <v>249000</v>
      </c>
      <c r="R16" s="52">
        <f ca="1">SUMIFS(OUT!$F$2:$F$11000,OUT!$H$2:$H$11000,H16,OUT!$D$2:$D$11000,"Out",OUT!$E$2:$E$11000,"Sedekah")</f>
        <v>129000</v>
      </c>
      <c r="S16" s="52">
        <f ca="1">SUMIFS(OUT!$F$2:$F$11000,OUT!$H$2:$H$11000,H16,OUT!$D$2:$D$11000,"Out",OUT!$E$2:$E$11000,"Zela")</f>
        <v>24100</v>
      </c>
      <c r="T16" s="52">
        <f ca="1">SUMIFS(OUT!$F$2:$F$11000,OUT!$H$2:$H$11000,H16,OUT!$D$2:$D$11000,"Out",OUT!$E$2:$E$11000,"Iqbal")</f>
        <v>121000</v>
      </c>
    </row>
    <row r="17" spans="1:20" x14ac:dyDescent="0.2">
      <c r="A17" s="48">
        <f ca="1">IFERROR(__xludf.DUMMYFUNCTION("""COMPUTED_VALUE"""),46058)</f>
        <v>46058</v>
      </c>
      <c r="B17" s="4" t="str">
        <f ca="1">IFERROR(__xludf.DUMMYFUNCTION("""COMPUTED_VALUE"""),"Sewa Rumah (Februari 2026)")</f>
        <v>Sewa Rumah (Februari 2026)</v>
      </c>
      <c r="C17" s="4" t="str">
        <f ca="1">IFERROR(__xludf.DUMMYFUNCTION("""COMPUTED_VALUE"""),"ATM")</f>
        <v>ATM</v>
      </c>
      <c r="D17" s="4" t="str">
        <f ca="1">IFERROR(__xludf.DUMMYFUNCTION("""COMPUTED_VALUE"""),"Out")</f>
        <v>Out</v>
      </c>
      <c r="E17" s="4" t="str">
        <f ca="1">IFERROR(__xludf.DUMMYFUNCTION("""COMPUTED_VALUE"""),"Fix")</f>
        <v>Fix</v>
      </c>
      <c r="F17" s="49">
        <f ca="1">IFERROR(__xludf.DUMMYFUNCTION("""COMPUTED_VALUE"""),1000494)</f>
        <v>1000494</v>
      </c>
      <c r="G17" s="50" t="str">
        <f ca="1">IFERROR(__xludf.DUMMYFUNCTION("""COMPUTED_VALUE"""),"Ibal")</f>
        <v>Ibal</v>
      </c>
      <c r="H17" s="51">
        <f t="shared" ca="1" si="0"/>
        <v>46054</v>
      </c>
      <c r="I17" s="52" t="e">
        <f ca="1">SUMIFS(OUT!$F$2:$F$11000,OUT!$H$2:$H$11000,H17,OUT!$D$2:$D$101007,"In")</f>
        <v>#VALUE!</v>
      </c>
      <c r="J17" s="52">
        <f ca="1">SUMIFS(OUT!$F$2:$F$11000,OUT!$H$2:$H$11000,H17,OUT!$D$2:$D$11000,"Out")</f>
        <v>6908733</v>
      </c>
      <c r="K17" s="52">
        <f ca="1">SUMIFS(OUT!$F$2:$F$11000,OUT!$H$2:$H$11000,H17,OUT!$D$2:$D$11000,"Out",OUT!$E$2:$E$11000,"Fix")</f>
        <v>2440568</v>
      </c>
      <c r="L17" s="52">
        <f ca="1">SUMIFS(OUT!$F$2:$F$11000,OUT!$H$2:$H$11000,H17,OUT!$D$2:$D$11000,"Out",OUT!$E$2:$E$11000,"Bathroom")</f>
        <v>34500</v>
      </c>
      <c r="M17" s="52">
        <f ca="1">SUMIFS(OUT!$F$2:$F$11000,OUT!$H$2:$H$11000,H17,OUT!$D$2:$D$11000,"Out",OUT!$E$2:$E$11000,"Alfa")</f>
        <v>293800</v>
      </c>
      <c r="N17" s="52" t="e">
        <f ca="1">SUMIFS(OUT!$F$2:$F$11000,OUT!$H$2:$H$101007,H17,OUT!$D$2:$D$11000,"Out",OUT!$E$2:$E$11000,"Jajan")</f>
        <v>#VALUE!</v>
      </c>
      <c r="O17" s="52">
        <f ca="1">SUMIFS(OUT!$F$2:$F$11000,OUT!$H$2:$H$11000,H17,OUT!$D$2:$D$11000,"Out",OUT!$E$2:$E$11000,"Kitchen")</f>
        <v>992724</v>
      </c>
      <c r="P17" s="52">
        <f ca="1">SUMIFS(OUT!$F$2:$F$11000,OUT!$H$2:$H$11000,H17,OUT!$D$2:$D$11000,"Out",OUT!$E$2:$E$11000,"Loandry")</f>
        <v>41600</v>
      </c>
      <c r="Q17" s="52">
        <f ca="1">SUMIFS(OUT!$F$2:$F$11000,OUT!$H$2:$H$11000,H17,OUT!$D$2:$D$11000,"Out",OUT!$E$2:$E$11000,"Mio")</f>
        <v>249000</v>
      </c>
      <c r="R17" s="52">
        <f ca="1">SUMIFS(OUT!$F$2:$F$11000,OUT!$H$2:$H$11000,H17,OUT!$D$2:$D$11000,"Out",OUT!$E$2:$E$11000,"Sedekah")</f>
        <v>129000</v>
      </c>
      <c r="S17" s="52">
        <f ca="1">SUMIFS(OUT!$F$2:$F$11000,OUT!$H$2:$H$11000,H17,OUT!$D$2:$D$11000,"Out",OUT!$E$2:$E$11000,"Zela")</f>
        <v>24100</v>
      </c>
      <c r="T17" s="52">
        <f ca="1">SUMIFS(OUT!$F$2:$F$11000,OUT!$H$2:$H$11000,H17,OUT!$D$2:$D$11000,"Out",OUT!$E$2:$E$11000,"Iqbal")</f>
        <v>121000</v>
      </c>
    </row>
    <row r="18" spans="1:20" x14ac:dyDescent="0.2">
      <c r="A18" s="48">
        <f ca="1">IFERROR(__xludf.DUMMYFUNCTION("""COMPUTED_VALUE"""),46058)</f>
        <v>46058</v>
      </c>
      <c r="B18" s="4" t="str">
        <f ca="1">IFERROR(__xludf.DUMMYFUNCTION("""COMPUTED_VALUE"""),"Iuran (Februari 2026)")</f>
        <v>Iuran (Februari 2026)</v>
      </c>
      <c r="C18" s="4" t="str">
        <f ca="1">IFERROR(__xludf.DUMMYFUNCTION("""COMPUTED_VALUE"""),"ATM")</f>
        <v>ATM</v>
      </c>
      <c r="D18" s="4" t="str">
        <f ca="1">IFERROR(__xludf.DUMMYFUNCTION("""COMPUTED_VALUE"""),"Out")</f>
        <v>Out</v>
      </c>
      <c r="E18" s="4" t="str">
        <f ca="1">IFERROR(__xludf.DUMMYFUNCTION("""COMPUTED_VALUE"""),"Fix")</f>
        <v>Fix</v>
      </c>
      <c r="F18" s="49">
        <f ca="1">IFERROR(__xludf.DUMMYFUNCTION("""COMPUTED_VALUE"""),75000)</f>
        <v>75000</v>
      </c>
      <c r="G18" s="50" t="str">
        <f ca="1">IFERROR(__xludf.DUMMYFUNCTION("""COMPUTED_VALUE"""),"Ibal")</f>
        <v>Ibal</v>
      </c>
      <c r="H18" s="51">
        <f t="shared" ca="1" si="0"/>
        <v>46054</v>
      </c>
      <c r="I18" s="52" t="e">
        <f ca="1">SUMIFS(OUT!$F$2:$F$11000,OUT!$H$2:$H$11000,H18,OUT!$D$2:$D$101007,"In")</f>
        <v>#VALUE!</v>
      </c>
      <c r="J18" s="52">
        <f ca="1">SUMIFS(OUT!$F$2:$F$11000,OUT!$H$2:$H$11000,H18,OUT!$D$2:$D$11000,"Out")</f>
        <v>6908733</v>
      </c>
      <c r="K18" s="52">
        <f ca="1">SUMIFS(OUT!$F$2:$F$11000,OUT!$H$2:$H$11000,H18,OUT!$D$2:$D$11000,"Out",OUT!$E$2:$E$11000,"Fix")</f>
        <v>2440568</v>
      </c>
      <c r="L18" s="52">
        <f ca="1">SUMIFS(OUT!$F$2:$F$11000,OUT!$H$2:$H$11000,H18,OUT!$D$2:$D$11000,"Out",OUT!$E$2:$E$11000,"Bathroom")</f>
        <v>34500</v>
      </c>
      <c r="M18" s="52">
        <f ca="1">SUMIFS(OUT!$F$2:$F$11000,OUT!$H$2:$H$11000,H18,OUT!$D$2:$D$11000,"Out",OUT!$E$2:$E$11000,"Alfa")</f>
        <v>293800</v>
      </c>
      <c r="N18" s="52" t="e">
        <f ca="1">SUMIFS(OUT!$F$2:$F$11000,OUT!$H$2:$H$101007,H18,OUT!$D$2:$D$11000,"Out",OUT!$E$2:$E$11000,"Jajan")</f>
        <v>#VALUE!</v>
      </c>
      <c r="O18" s="52">
        <f ca="1">SUMIFS(OUT!$F$2:$F$11000,OUT!$H$2:$H$11000,H18,OUT!$D$2:$D$11000,"Out",OUT!$E$2:$E$11000,"Kitchen")</f>
        <v>992724</v>
      </c>
      <c r="P18" s="52">
        <f ca="1">SUMIFS(OUT!$F$2:$F$11000,OUT!$H$2:$H$11000,H18,OUT!$D$2:$D$11000,"Out",OUT!$E$2:$E$11000,"Loandry")</f>
        <v>41600</v>
      </c>
      <c r="Q18" s="52">
        <f ca="1">SUMIFS(OUT!$F$2:$F$11000,OUT!$H$2:$H$11000,H18,OUT!$D$2:$D$11000,"Out",OUT!$E$2:$E$11000,"Mio")</f>
        <v>249000</v>
      </c>
      <c r="R18" s="52">
        <f ca="1">SUMIFS(OUT!$F$2:$F$11000,OUT!$H$2:$H$11000,H18,OUT!$D$2:$D$11000,"Out",OUT!$E$2:$E$11000,"Sedekah")</f>
        <v>129000</v>
      </c>
      <c r="S18" s="52">
        <f ca="1">SUMIFS(OUT!$F$2:$F$11000,OUT!$H$2:$H$11000,H18,OUT!$D$2:$D$11000,"Out",OUT!$E$2:$E$11000,"Zela")</f>
        <v>24100</v>
      </c>
      <c r="T18" s="52">
        <f ca="1">SUMIFS(OUT!$F$2:$F$11000,OUT!$H$2:$H$11000,H18,OUT!$D$2:$D$11000,"Out",OUT!$E$2:$E$11000,"Iqbal")</f>
        <v>121000</v>
      </c>
    </row>
    <row r="19" spans="1:20" x14ac:dyDescent="0.2">
      <c r="A19" s="48">
        <f ca="1">IFERROR(__xludf.DUMMYFUNCTION("""COMPUTED_VALUE"""),46058)</f>
        <v>46058</v>
      </c>
      <c r="B19" s="4" t="str">
        <f ca="1">IFERROR(__xludf.DUMMYFUNCTION("""COMPUTED_VALUE"""),"Galon")</f>
        <v>Galon</v>
      </c>
      <c r="C19" s="4" t="str">
        <f ca="1">IFERROR(__xludf.DUMMYFUNCTION("""COMPUTED_VALUE"""),"Cash")</f>
        <v>Cash</v>
      </c>
      <c r="D19" s="4" t="str">
        <f ca="1">IFERROR(__xludf.DUMMYFUNCTION("""COMPUTED_VALUE"""),"Out")</f>
        <v>Out</v>
      </c>
      <c r="E19" s="4" t="str">
        <f ca="1">IFERROR(__xludf.DUMMYFUNCTION("""COMPUTED_VALUE"""),"Kitchen")</f>
        <v>Kitchen</v>
      </c>
      <c r="F19" s="49">
        <f ca="1">IFERROR(__xludf.DUMMYFUNCTION("""COMPUTED_VALUE"""),4000)</f>
        <v>4000</v>
      </c>
      <c r="G19" s="50" t="str">
        <f ca="1">IFERROR(__xludf.DUMMYFUNCTION("""COMPUTED_VALUE"""),"Ibal")</f>
        <v>Ibal</v>
      </c>
      <c r="H19" s="51">
        <f t="shared" ca="1" si="0"/>
        <v>46054</v>
      </c>
      <c r="I19" s="52" t="e">
        <f ca="1">SUMIFS(OUT!$F$2:$F$11000,OUT!$H$2:$H$11000,H19,OUT!$D$2:$D$101007,"In")</f>
        <v>#VALUE!</v>
      </c>
      <c r="J19" s="52">
        <f ca="1">SUMIFS(OUT!$F$2:$F$11000,OUT!$H$2:$H$11000,H19,OUT!$D$2:$D$11000,"Out")</f>
        <v>6908733</v>
      </c>
      <c r="K19" s="52">
        <f ca="1">SUMIFS(OUT!$F$2:$F$11000,OUT!$H$2:$H$11000,H19,OUT!$D$2:$D$11000,"Out",OUT!$E$2:$E$11000,"Fix")</f>
        <v>2440568</v>
      </c>
      <c r="L19" s="52">
        <f ca="1">SUMIFS(OUT!$F$2:$F$11000,OUT!$H$2:$H$11000,H19,OUT!$D$2:$D$11000,"Out",OUT!$E$2:$E$11000,"Bathroom")</f>
        <v>34500</v>
      </c>
      <c r="M19" s="52">
        <f ca="1">SUMIFS(OUT!$F$2:$F$11000,OUT!$H$2:$H$11000,H19,OUT!$D$2:$D$11000,"Out",OUT!$E$2:$E$11000,"Alfa")</f>
        <v>293800</v>
      </c>
      <c r="N19" s="52" t="e">
        <f ca="1">SUMIFS(OUT!$F$2:$F$11000,OUT!$H$2:$H$101007,H19,OUT!$D$2:$D$11000,"Out",OUT!$E$2:$E$11000,"Jajan")</f>
        <v>#VALUE!</v>
      </c>
      <c r="O19" s="52">
        <f ca="1">SUMIFS(OUT!$F$2:$F$11000,OUT!$H$2:$H$11000,H19,OUT!$D$2:$D$11000,"Out",OUT!$E$2:$E$11000,"Kitchen")</f>
        <v>992724</v>
      </c>
      <c r="P19" s="52">
        <f ca="1">SUMIFS(OUT!$F$2:$F$11000,OUT!$H$2:$H$11000,H19,OUT!$D$2:$D$11000,"Out",OUT!$E$2:$E$11000,"Loandry")</f>
        <v>41600</v>
      </c>
      <c r="Q19" s="52">
        <f ca="1">SUMIFS(OUT!$F$2:$F$11000,OUT!$H$2:$H$11000,H19,OUT!$D$2:$D$11000,"Out",OUT!$E$2:$E$11000,"Mio")</f>
        <v>249000</v>
      </c>
      <c r="R19" s="52">
        <f ca="1">SUMIFS(OUT!$F$2:$F$11000,OUT!$H$2:$H$11000,H19,OUT!$D$2:$D$11000,"Out",OUT!$E$2:$E$11000,"Sedekah")</f>
        <v>129000</v>
      </c>
      <c r="S19" s="52">
        <f ca="1">SUMIFS(OUT!$F$2:$F$11000,OUT!$H$2:$H$11000,H19,OUT!$D$2:$D$11000,"Out",OUT!$E$2:$E$11000,"Zela")</f>
        <v>24100</v>
      </c>
      <c r="T19" s="52">
        <f ca="1">SUMIFS(OUT!$F$2:$F$11000,OUT!$H$2:$H$11000,H19,OUT!$D$2:$D$11000,"Out",OUT!$E$2:$E$11000,"Iqbal")</f>
        <v>121000</v>
      </c>
    </row>
    <row r="20" spans="1:20" x14ac:dyDescent="0.2">
      <c r="A20" s="48">
        <f ca="1">IFERROR(__xludf.DUMMYFUNCTION("""COMPUTED_VALUE"""),46059)</f>
        <v>46059</v>
      </c>
      <c r="B20" s="4" t="str">
        <f ca="1">IFERROR(__xludf.DUMMYFUNCTION("""COMPUTED_VALUE"""),"Bensin")</f>
        <v>Bensin</v>
      </c>
      <c r="C20" s="4" t="str">
        <f ca="1">IFERROR(__xludf.DUMMYFUNCTION("""COMPUTED_VALUE"""),"Cash")</f>
        <v>Cash</v>
      </c>
      <c r="D20" s="4" t="str">
        <f ca="1">IFERROR(__xludf.DUMMYFUNCTION("""COMPUTED_VALUE"""),"Out")</f>
        <v>Out</v>
      </c>
      <c r="E20" s="4" t="str">
        <f ca="1">IFERROR(__xludf.DUMMYFUNCTION("""COMPUTED_VALUE"""),"Mio")</f>
        <v>Mio</v>
      </c>
      <c r="F20" s="49">
        <f ca="1">IFERROR(__xludf.DUMMYFUNCTION("""COMPUTED_VALUE"""),18000)</f>
        <v>18000</v>
      </c>
      <c r="G20" s="50" t="str">
        <f ca="1">IFERROR(__xludf.DUMMYFUNCTION("""COMPUTED_VALUE"""),"Ibal")</f>
        <v>Ibal</v>
      </c>
      <c r="H20" s="51">
        <f t="shared" ca="1" si="0"/>
        <v>46054</v>
      </c>
      <c r="I20" s="52" t="e">
        <f ca="1">SUMIFS(OUT!$F$2:$F$11000,OUT!$H$2:$H$11000,H20,OUT!$D$2:$D$101007,"In")</f>
        <v>#VALUE!</v>
      </c>
      <c r="J20" s="52">
        <f ca="1">SUMIFS(OUT!$F$2:$F$11000,OUT!$H$2:$H$11000,H20,OUT!$D$2:$D$11000,"Out")</f>
        <v>6908733</v>
      </c>
      <c r="K20" s="52">
        <f ca="1">SUMIFS(OUT!$F$2:$F$11000,OUT!$H$2:$H$11000,H20,OUT!$D$2:$D$11000,"Out",OUT!$E$2:$E$11000,"Fix")</f>
        <v>2440568</v>
      </c>
      <c r="L20" s="52">
        <f ca="1">SUMIFS(OUT!$F$2:$F$11000,OUT!$H$2:$H$11000,H20,OUT!$D$2:$D$11000,"Out",OUT!$E$2:$E$11000,"Bathroom")</f>
        <v>34500</v>
      </c>
      <c r="M20" s="52">
        <f ca="1">SUMIFS(OUT!$F$2:$F$11000,OUT!$H$2:$H$11000,H20,OUT!$D$2:$D$11000,"Out",OUT!$E$2:$E$11000,"Alfa")</f>
        <v>293800</v>
      </c>
      <c r="N20" s="52" t="e">
        <f ca="1">SUMIFS(OUT!$F$2:$F$11000,OUT!$H$2:$H$101007,H20,OUT!$D$2:$D$11000,"Out",OUT!$E$2:$E$11000,"Jajan")</f>
        <v>#VALUE!</v>
      </c>
      <c r="O20" s="52">
        <f ca="1">SUMIFS(OUT!$F$2:$F$11000,OUT!$H$2:$H$11000,H20,OUT!$D$2:$D$11000,"Out",OUT!$E$2:$E$11000,"Kitchen")</f>
        <v>992724</v>
      </c>
      <c r="P20" s="52">
        <f ca="1">SUMIFS(OUT!$F$2:$F$11000,OUT!$H$2:$H$11000,H20,OUT!$D$2:$D$11000,"Out",OUT!$E$2:$E$11000,"Loandry")</f>
        <v>41600</v>
      </c>
      <c r="Q20" s="52">
        <f ca="1">SUMIFS(OUT!$F$2:$F$11000,OUT!$H$2:$H$11000,H20,OUT!$D$2:$D$11000,"Out",OUT!$E$2:$E$11000,"Mio")</f>
        <v>249000</v>
      </c>
      <c r="R20" s="52">
        <f ca="1">SUMIFS(OUT!$F$2:$F$11000,OUT!$H$2:$H$11000,H20,OUT!$D$2:$D$11000,"Out",OUT!$E$2:$E$11000,"Sedekah")</f>
        <v>129000</v>
      </c>
      <c r="S20" s="52">
        <f ca="1">SUMIFS(OUT!$F$2:$F$11000,OUT!$H$2:$H$11000,H20,OUT!$D$2:$D$11000,"Out",OUT!$E$2:$E$11000,"Zela")</f>
        <v>24100</v>
      </c>
      <c r="T20" s="52">
        <f ca="1">SUMIFS(OUT!$F$2:$F$11000,OUT!$H$2:$H$11000,H20,OUT!$D$2:$D$11000,"Out",OUT!$E$2:$E$11000,"Iqbal")</f>
        <v>121000</v>
      </c>
    </row>
    <row r="21" spans="1:20" x14ac:dyDescent="0.2">
      <c r="A21" s="48">
        <f ca="1">IFERROR(__xludf.DUMMYFUNCTION("""COMPUTED_VALUE"""),46065)</f>
        <v>46065</v>
      </c>
      <c r="B21" s="4" t="str">
        <f ca="1">IFERROR(__xludf.DUMMYFUNCTION("""COMPUTED_VALUE"""),"Bensin")</f>
        <v>Bensin</v>
      </c>
      <c r="C21" s="4" t="str">
        <f ca="1">IFERROR(__xludf.DUMMYFUNCTION("""COMPUTED_VALUE"""),"ATM")</f>
        <v>ATM</v>
      </c>
      <c r="D21" s="4" t="str">
        <f ca="1">IFERROR(__xludf.DUMMYFUNCTION("""COMPUTED_VALUE"""),"Out")</f>
        <v>Out</v>
      </c>
      <c r="E21" s="4" t="str">
        <f ca="1">IFERROR(__xludf.DUMMYFUNCTION("""COMPUTED_VALUE"""),"Mio")</f>
        <v>Mio</v>
      </c>
      <c r="F21" s="49">
        <f ca="1">IFERROR(__xludf.DUMMYFUNCTION("""COMPUTED_VALUE"""),20000)</f>
        <v>20000</v>
      </c>
      <c r="G21" s="50" t="str">
        <f ca="1">IFERROR(__xludf.DUMMYFUNCTION("""COMPUTED_VALUE"""),"Ibal")</f>
        <v>Ibal</v>
      </c>
      <c r="H21" s="51">
        <f t="shared" ca="1" si="0"/>
        <v>46054</v>
      </c>
      <c r="I21" s="52" t="e">
        <f ca="1">SUMIFS(OUT!$F$2:$F$11000,OUT!$H$2:$H$11000,H21,OUT!$D$2:$D$101007,"In")</f>
        <v>#VALUE!</v>
      </c>
      <c r="J21" s="52">
        <f ca="1">SUMIFS(OUT!$F$2:$F$11000,OUT!$H$2:$H$11000,H21,OUT!$D$2:$D$11000,"Out")</f>
        <v>6908733</v>
      </c>
      <c r="K21" s="52">
        <f ca="1">SUMIFS(OUT!$F$2:$F$11000,OUT!$H$2:$H$11000,H21,OUT!$D$2:$D$11000,"Out",OUT!$E$2:$E$11000,"Fix")</f>
        <v>2440568</v>
      </c>
      <c r="L21" s="52">
        <f ca="1">SUMIFS(OUT!$F$2:$F$11000,OUT!$H$2:$H$11000,H21,OUT!$D$2:$D$11000,"Out",OUT!$E$2:$E$11000,"Bathroom")</f>
        <v>34500</v>
      </c>
      <c r="M21" s="52">
        <f ca="1">SUMIFS(OUT!$F$2:$F$11000,OUT!$H$2:$H$11000,H21,OUT!$D$2:$D$11000,"Out",OUT!$E$2:$E$11000,"Alfa")</f>
        <v>293800</v>
      </c>
      <c r="N21" s="52" t="e">
        <f ca="1">SUMIFS(OUT!$F$2:$F$11000,OUT!$H$2:$H$101007,H21,OUT!$D$2:$D$11000,"Out",OUT!$E$2:$E$11000,"Jajan")</f>
        <v>#VALUE!</v>
      </c>
      <c r="O21" s="52">
        <f ca="1">SUMIFS(OUT!$F$2:$F$11000,OUT!$H$2:$H$11000,H21,OUT!$D$2:$D$11000,"Out",OUT!$E$2:$E$11000,"Kitchen")</f>
        <v>992724</v>
      </c>
      <c r="P21" s="52">
        <f ca="1">SUMIFS(OUT!$F$2:$F$11000,OUT!$H$2:$H$11000,H21,OUT!$D$2:$D$11000,"Out",OUT!$E$2:$E$11000,"Loandry")</f>
        <v>41600</v>
      </c>
      <c r="Q21" s="52">
        <f ca="1">SUMIFS(OUT!$F$2:$F$11000,OUT!$H$2:$H$11000,H21,OUT!$D$2:$D$11000,"Out",OUT!$E$2:$E$11000,"Mio")</f>
        <v>249000</v>
      </c>
      <c r="R21" s="52">
        <f ca="1">SUMIFS(OUT!$F$2:$F$11000,OUT!$H$2:$H$11000,H21,OUT!$D$2:$D$11000,"Out",OUT!$E$2:$E$11000,"Sedekah")</f>
        <v>129000</v>
      </c>
      <c r="S21" s="52">
        <f ca="1">SUMIFS(OUT!$F$2:$F$11000,OUT!$H$2:$H$11000,H21,OUT!$D$2:$D$11000,"Out",OUT!$E$2:$E$11000,"Zela")</f>
        <v>24100</v>
      </c>
      <c r="T21" s="52">
        <f ca="1">SUMIFS(OUT!$F$2:$F$11000,OUT!$H$2:$H$11000,H21,OUT!$D$2:$D$11000,"Out",OUT!$E$2:$E$11000,"Iqbal")</f>
        <v>121000</v>
      </c>
    </row>
    <row r="22" spans="1:20" x14ac:dyDescent="0.2">
      <c r="A22" s="48">
        <f ca="1">IFERROR(__xludf.DUMMYFUNCTION("""COMPUTED_VALUE"""),46065)</f>
        <v>46065</v>
      </c>
      <c r="B22" s="4" t="str">
        <f ca="1">IFERROR(__xludf.DUMMYFUNCTION("""COMPUTED_VALUE"""),"Golda + pisang goreng")</f>
        <v>Golda + pisang goreng</v>
      </c>
      <c r="C22" s="4" t="str">
        <f ca="1">IFERROR(__xludf.DUMMYFUNCTION("""COMPUTED_VALUE"""),"ATM")</f>
        <v>ATM</v>
      </c>
      <c r="D22" s="4" t="str">
        <f ca="1">IFERROR(__xludf.DUMMYFUNCTION("""COMPUTED_VALUE"""),"Out")</f>
        <v>Out</v>
      </c>
      <c r="E22" s="4" t="str">
        <f ca="1">IFERROR(__xludf.DUMMYFUNCTION("""COMPUTED_VALUE"""),"Jajan")</f>
        <v>Jajan</v>
      </c>
      <c r="F22" s="49">
        <f ca="1">IFERROR(__xludf.DUMMYFUNCTION("""COMPUTED_VALUE"""),17000)</f>
        <v>17000</v>
      </c>
      <c r="G22" s="50" t="str">
        <f ca="1">IFERROR(__xludf.DUMMYFUNCTION("""COMPUTED_VALUE"""),"Ibal")</f>
        <v>Ibal</v>
      </c>
      <c r="H22" s="51">
        <f t="shared" ca="1" si="0"/>
        <v>46054</v>
      </c>
      <c r="I22" s="52" t="e">
        <f ca="1">SUMIFS(OUT!$F$2:$F$11000,OUT!$H$2:$H$11000,H22,OUT!$D$2:$D$101007,"In")</f>
        <v>#VALUE!</v>
      </c>
      <c r="J22" s="52">
        <f ca="1">SUMIFS(OUT!$F$2:$F$11000,OUT!$H$2:$H$11000,H22,OUT!$D$2:$D$11000,"Out")</f>
        <v>6908733</v>
      </c>
      <c r="K22" s="52">
        <f ca="1">SUMIFS(OUT!$F$2:$F$11000,OUT!$H$2:$H$11000,H22,OUT!$D$2:$D$11000,"Out",OUT!$E$2:$E$11000,"Fix")</f>
        <v>2440568</v>
      </c>
      <c r="L22" s="52">
        <f ca="1">SUMIFS(OUT!$F$2:$F$11000,OUT!$H$2:$H$11000,H22,OUT!$D$2:$D$11000,"Out",OUT!$E$2:$E$11000,"Bathroom")</f>
        <v>34500</v>
      </c>
      <c r="M22" s="52">
        <f ca="1">SUMIFS(OUT!$F$2:$F$11000,OUT!$H$2:$H$11000,H22,OUT!$D$2:$D$11000,"Out",OUT!$E$2:$E$11000,"Alfa")</f>
        <v>293800</v>
      </c>
      <c r="N22" s="52" t="e">
        <f ca="1">SUMIFS(OUT!$F$2:$F$11000,OUT!$H$2:$H$101007,H22,OUT!$D$2:$D$11000,"Out",OUT!$E$2:$E$11000,"Jajan")</f>
        <v>#VALUE!</v>
      </c>
      <c r="O22" s="52">
        <f ca="1">SUMIFS(OUT!$F$2:$F$11000,OUT!$H$2:$H$11000,H22,OUT!$D$2:$D$11000,"Out",OUT!$E$2:$E$11000,"Kitchen")</f>
        <v>992724</v>
      </c>
      <c r="P22" s="52">
        <f ca="1">SUMIFS(OUT!$F$2:$F$11000,OUT!$H$2:$H$11000,H22,OUT!$D$2:$D$11000,"Out",OUT!$E$2:$E$11000,"Loandry")</f>
        <v>41600</v>
      </c>
      <c r="Q22" s="52">
        <f ca="1">SUMIFS(OUT!$F$2:$F$11000,OUT!$H$2:$H$11000,H22,OUT!$D$2:$D$11000,"Out",OUT!$E$2:$E$11000,"Mio")</f>
        <v>249000</v>
      </c>
      <c r="R22" s="52">
        <f ca="1">SUMIFS(OUT!$F$2:$F$11000,OUT!$H$2:$H$11000,H22,OUT!$D$2:$D$11000,"Out",OUT!$E$2:$E$11000,"Sedekah")</f>
        <v>129000</v>
      </c>
      <c r="S22" s="52">
        <f ca="1">SUMIFS(OUT!$F$2:$F$11000,OUT!$H$2:$H$11000,H22,OUT!$D$2:$D$11000,"Out",OUT!$E$2:$E$11000,"Zela")</f>
        <v>24100</v>
      </c>
      <c r="T22" s="52">
        <f ca="1">SUMIFS(OUT!$F$2:$F$11000,OUT!$H$2:$H$11000,H22,OUT!$D$2:$D$11000,"Out",OUT!$E$2:$E$11000,"Iqbal")</f>
        <v>121000</v>
      </c>
    </row>
    <row r="23" spans="1:20" x14ac:dyDescent="0.2">
      <c r="A23" s="48">
        <f ca="1">IFERROR(__xludf.DUMMYFUNCTION("""COMPUTED_VALUE"""),46065)</f>
        <v>46065</v>
      </c>
      <c r="B23" s="4" t="str">
        <f ca="1">IFERROR(__xludf.DUMMYFUNCTION("""COMPUTED_VALUE"""),"Token listrik 100k (65,30 kwh)")</f>
        <v>Token listrik 100k (65,30 kwh)</v>
      </c>
      <c r="C23" s="4" t="str">
        <f ca="1">IFERROR(__xludf.DUMMYFUNCTION("""COMPUTED_VALUE"""),"ATM")</f>
        <v>ATM</v>
      </c>
      <c r="D23" s="4" t="str">
        <f ca="1">IFERROR(__xludf.DUMMYFUNCTION("""COMPUTED_VALUE"""),"Out")</f>
        <v>Out</v>
      </c>
      <c r="E23" s="4" t="str">
        <f ca="1">IFERROR(__xludf.DUMMYFUNCTION("""COMPUTED_VALUE"""),"Fix")</f>
        <v>Fix</v>
      </c>
      <c r="F23" s="49">
        <f ca="1">IFERROR(__xludf.DUMMYFUNCTION("""COMPUTED_VALUE"""),101750)</f>
        <v>101750</v>
      </c>
      <c r="G23" s="50" t="str">
        <f ca="1">IFERROR(__xludf.DUMMYFUNCTION("""COMPUTED_VALUE"""),"Ibal")</f>
        <v>Ibal</v>
      </c>
      <c r="H23" s="51">
        <f t="shared" ca="1" si="0"/>
        <v>46054</v>
      </c>
      <c r="I23" s="52" t="e">
        <f ca="1">SUMIFS(OUT!$F$2:$F$11000,OUT!$H$2:$H$11000,H23,OUT!$D$2:$D$101007,"In")</f>
        <v>#VALUE!</v>
      </c>
      <c r="J23" s="52">
        <f ca="1">SUMIFS(OUT!$F$2:$F$11000,OUT!$H$2:$H$11000,H23,OUT!$D$2:$D$11000,"Out")</f>
        <v>6908733</v>
      </c>
      <c r="K23" s="52">
        <f ca="1">SUMIFS(OUT!$F$2:$F$11000,OUT!$H$2:$H$11000,H23,OUT!$D$2:$D$11000,"Out",OUT!$E$2:$E$11000,"Fix")</f>
        <v>2440568</v>
      </c>
      <c r="L23" s="52">
        <f ca="1">SUMIFS(OUT!$F$2:$F$11000,OUT!$H$2:$H$11000,H23,OUT!$D$2:$D$11000,"Out",OUT!$E$2:$E$11000,"Bathroom")</f>
        <v>34500</v>
      </c>
      <c r="M23" s="52">
        <f ca="1">SUMIFS(OUT!$F$2:$F$11000,OUT!$H$2:$H$11000,H23,OUT!$D$2:$D$11000,"Out",OUT!$E$2:$E$11000,"Alfa")</f>
        <v>293800</v>
      </c>
      <c r="N23" s="52" t="e">
        <f ca="1">SUMIFS(OUT!$F$2:$F$11000,OUT!$H$2:$H$101007,H23,OUT!$D$2:$D$11000,"Out",OUT!$E$2:$E$11000,"Jajan")</f>
        <v>#VALUE!</v>
      </c>
      <c r="O23" s="52">
        <f ca="1">SUMIFS(OUT!$F$2:$F$11000,OUT!$H$2:$H$11000,H23,OUT!$D$2:$D$11000,"Out",OUT!$E$2:$E$11000,"Kitchen")</f>
        <v>992724</v>
      </c>
      <c r="P23" s="52">
        <f ca="1">SUMIFS(OUT!$F$2:$F$11000,OUT!$H$2:$H$11000,H23,OUT!$D$2:$D$11000,"Out",OUT!$E$2:$E$11000,"Loandry")</f>
        <v>41600</v>
      </c>
      <c r="Q23" s="52">
        <f ca="1">SUMIFS(OUT!$F$2:$F$11000,OUT!$H$2:$H$11000,H23,OUT!$D$2:$D$11000,"Out",OUT!$E$2:$E$11000,"Mio")</f>
        <v>249000</v>
      </c>
      <c r="R23" s="52">
        <f ca="1">SUMIFS(OUT!$F$2:$F$11000,OUT!$H$2:$H$11000,H23,OUT!$D$2:$D$11000,"Out",OUT!$E$2:$E$11000,"Sedekah")</f>
        <v>129000</v>
      </c>
      <c r="S23" s="52">
        <f ca="1">SUMIFS(OUT!$F$2:$F$11000,OUT!$H$2:$H$11000,H23,OUT!$D$2:$D$11000,"Out",OUT!$E$2:$E$11000,"Zela")</f>
        <v>24100</v>
      </c>
      <c r="T23" s="52">
        <f ca="1">SUMIFS(OUT!$F$2:$F$11000,OUT!$H$2:$H$11000,H23,OUT!$D$2:$D$11000,"Out",OUT!$E$2:$E$11000,"Iqbal")</f>
        <v>121000</v>
      </c>
    </row>
    <row r="24" spans="1:20" x14ac:dyDescent="0.2">
      <c r="A24" s="48">
        <f ca="1">IFERROR(__xludf.DUMMYFUNCTION("""COMPUTED_VALUE"""),46068)</f>
        <v>46068</v>
      </c>
      <c r="B24" s="4" t="str">
        <f ca="1">IFERROR(__xludf.DUMMYFUNCTION("""COMPUTED_VALUE"""),"Rokok")</f>
        <v>Rokok</v>
      </c>
      <c r="C24" s="4" t="str">
        <f ca="1">IFERROR(__xludf.DUMMYFUNCTION("""COMPUTED_VALUE"""),"ATM")</f>
        <v>ATM</v>
      </c>
      <c r="D24" s="4" t="str">
        <f ca="1">IFERROR(__xludf.DUMMYFUNCTION("""COMPUTED_VALUE"""),"Out")</f>
        <v>Out</v>
      </c>
      <c r="E24" s="4" t="str">
        <f ca="1">IFERROR(__xludf.DUMMYFUNCTION("""COMPUTED_VALUE"""),"Iqbal")</f>
        <v>Iqbal</v>
      </c>
      <c r="F24" s="49">
        <f ca="1">IFERROR(__xludf.DUMMYFUNCTION("""COMPUTED_VALUE"""),15000)</f>
        <v>15000</v>
      </c>
      <c r="G24" s="50" t="str">
        <f ca="1">IFERROR(__xludf.DUMMYFUNCTION("""COMPUTED_VALUE"""),"Ibal")</f>
        <v>Ibal</v>
      </c>
      <c r="H24" s="51">
        <f t="shared" ca="1" si="0"/>
        <v>46054</v>
      </c>
      <c r="I24" s="52" t="e">
        <f ca="1">SUMIFS(OUT!$F$2:$F$11000,OUT!$H$2:$H$11000,H24,OUT!$D$2:$D$101007,"In")</f>
        <v>#VALUE!</v>
      </c>
      <c r="J24" s="52">
        <f ca="1">SUMIFS(OUT!$F$2:$F$11000,OUT!$H$2:$H$11000,H24,OUT!$D$2:$D$11000,"Out")</f>
        <v>6908733</v>
      </c>
      <c r="K24" s="52">
        <f ca="1">SUMIFS(OUT!$F$2:$F$11000,OUT!$H$2:$H$11000,H24,OUT!$D$2:$D$11000,"Out",OUT!$E$2:$E$11000,"Fix")</f>
        <v>2440568</v>
      </c>
      <c r="L24" s="52">
        <f ca="1">SUMIFS(OUT!$F$2:$F$11000,OUT!$H$2:$H$11000,H24,OUT!$D$2:$D$11000,"Out",OUT!$E$2:$E$11000,"Bathroom")</f>
        <v>34500</v>
      </c>
      <c r="M24" s="52">
        <f ca="1">SUMIFS(OUT!$F$2:$F$11000,OUT!$H$2:$H$11000,H24,OUT!$D$2:$D$11000,"Out",OUT!$E$2:$E$11000,"Alfa")</f>
        <v>293800</v>
      </c>
      <c r="N24" s="52" t="e">
        <f ca="1">SUMIFS(OUT!$F$2:$F$11000,OUT!$H$2:$H$101007,H24,OUT!$D$2:$D$11000,"Out",OUT!$E$2:$E$11000,"Jajan")</f>
        <v>#VALUE!</v>
      </c>
      <c r="O24" s="52">
        <f ca="1">SUMIFS(OUT!$F$2:$F$11000,OUT!$H$2:$H$11000,H24,OUT!$D$2:$D$11000,"Out",OUT!$E$2:$E$11000,"Kitchen")</f>
        <v>992724</v>
      </c>
      <c r="P24" s="52">
        <f ca="1">SUMIFS(OUT!$F$2:$F$11000,OUT!$H$2:$H$11000,H24,OUT!$D$2:$D$11000,"Out",OUT!$E$2:$E$11000,"Loandry")</f>
        <v>41600</v>
      </c>
      <c r="Q24" s="52">
        <f ca="1">SUMIFS(OUT!$F$2:$F$11000,OUT!$H$2:$H$11000,H24,OUT!$D$2:$D$11000,"Out",OUT!$E$2:$E$11000,"Mio")</f>
        <v>249000</v>
      </c>
      <c r="R24" s="52">
        <f ca="1">SUMIFS(OUT!$F$2:$F$11000,OUT!$H$2:$H$11000,H24,OUT!$D$2:$D$11000,"Out",OUT!$E$2:$E$11000,"Sedekah")</f>
        <v>129000</v>
      </c>
      <c r="S24" s="52">
        <f ca="1">SUMIFS(OUT!$F$2:$F$11000,OUT!$H$2:$H$11000,H24,OUT!$D$2:$D$11000,"Out",OUT!$E$2:$E$11000,"Zela")</f>
        <v>24100</v>
      </c>
      <c r="T24" s="52">
        <f ca="1">SUMIFS(OUT!$F$2:$F$11000,OUT!$H$2:$H$11000,H24,OUT!$D$2:$D$11000,"Out",OUT!$E$2:$E$11000,"Iqbal")</f>
        <v>121000</v>
      </c>
    </row>
    <row r="25" spans="1:20" x14ac:dyDescent="0.2">
      <c r="A25" s="48">
        <f ca="1">IFERROR(__xludf.DUMMYFUNCTION("""COMPUTED_VALUE"""),46067)</f>
        <v>46067</v>
      </c>
      <c r="B25" s="4" t="str">
        <f ca="1">IFERROR(__xludf.DUMMYFUNCTION("""COMPUTED_VALUE"""),"Byu (2)")</f>
        <v>Byu (2)</v>
      </c>
      <c r="C25" s="4" t="str">
        <f ca="1">IFERROR(__xludf.DUMMYFUNCTION("""COMPUTED_VALUE"""),"ATM")</f>
        <v>ATM</v>
      </c>
      <c r="D25" s="4" t="str">
        <f ca="1">IFERROR(__xludf.DUMMYFUNCTION("""COMPUTED_VALUE"""),"Out")</f>
        <v>Out</v>
      </c>
      <c r="E25" s="4" t="str">
        <f ca="1">IFERROR(__xludf.DUMMYFUNCTION("""COMPUTED_VALUE"""),"Fix")</f>
        <v>Fix</v>
      </c>
      <c r="F25" s="49">
        <f ca="1">IFERROR(__xludf.DUMMYFUNCTION("""COMPUTED_VALUE"""),25000)</f>
        <v>25000</v>
      </c>
      <c r="G25" s="50" t="str">
        <f ca="1">IFERROR(__xludf.DUMMYFUNCTION("""COMPUTED_VALUE"""),"Ibal")</f>
        <v>Ibal</v>
      </c>
      <c r="H25" s="51">
        <f t="shared" ca="1" si="0"/>
        <v>46054</v>
      </c>
      <c r="I25" s="52" t="e">
        <f ca="1">SUMIFS(OUT!$F$2:$F$11000,OUT!$H$2:$H$11000,H25,OUT!$D$2:$D$101007,"In")</f>
        <v>#VALUE!</v>
      </c>
      <c r="J25" s="52">
        <f ca="1">SUMIFS(OUT!$F$2:$F$11000,OUT!$H$2:$H$11000,H25,OUT!$D$2:$D$11000,"Out")</f>
        <v>6908733</v>
      </c>
      <c r="K25" s="52">
        <f ca="1">SUMIFS(OUT!$F$2:$F$11000,OUT!$H$2:$H$11000,H25,OUT!$D$2:$D$11000,"Out",OUT!$E$2:$E$11000,"Fix")</f>
        <v>2440568</v>
      </c>
      <c r="L25" s="52">
        <f ca="1">SUMIFS(OUT!$F$2:$F$11000,OUT!$H$2:$H$11000,H25,OUT!$D$2:$D$11000,"Out",OUT!$E$2:$E$11000,"Bathroom")</f>
        <v>34500</v>
      </c>
      <c r="M25" s="52">
        <f ca="1">SUMIFS(OUT!$F$2:$F$11000,OUT!$H$2:$H$11000,H25,OUT!$D$2:$D$11000,"Out",OUT!$E$2:$E$11000,"Alfa")</f>
        <v>293800</v>
      </c>
      <c r="N25" s="52" t="e">
        <f ca="1">SUMIFS(OUT!$F$2:$F$11000,OUT!$H$2:$H$101007,H25,OUT!$D$2:$D$11000,"Out",OUT!$E$2:$E$11000,"Jajan")</f>
        <v>#VALUE!</v>
      </c>
      <c r="O25" s="52">
        <f ca="1">SUMIFS(OUT!$F$2:$F$11000,OUT!$H$2:$H$11000,H25,OUT!$D$2:$D$11000,"Out",OUT!$E$2:$E$11000,"Kitchen")</f>
        <v>992724</v>
      </c>
      <c r="P25" s="52">
        <f ca="1">SUMIFS(OUT!$F$2:$F$11000,OUT!$H$2:$H$11000,H25,OUT!$D$2:$D$11000,"Out",OUT!$E$2:$E$11000,"Loandry")</f>
        <v>41600</v>
      </c>
      <c r="Q25" s="52">
        <f ca="1">SUMIFS(OUT!$F$2:$F$11000,OUT!$H$2:$H$11000,H25,OUT!$D$2:$D$11000,"Out",OUT!$E$2:$E$11000,"Mio")</f>
        <v>249000</v>
      </c>
      <c r="R25" s="52">
        <f ca="1">SUMIFS(OUT!$F$2:$F$11000,OUT!$H$2:$H$11000,H25,OUT!$D$2:$D$11000,"Out",OUT!$E$2:$E$11000,"Sedekah")</f>
        <v>129000</v>
      </c>
      <c r="S25" s="52">
        <f ca="1">SUMIFS(OUT!$F$2:$F$11000,OUT!$H$2:$H$11000,H25,OUT!$D$2:$D$11000,"Out",OUT!$E$2:$E$11000,"Zela")</f>
        <v>24100</v>
      </c>
      <c r="T25" s="52">
        <f ca="1">SUMIFS(OUT!$F$2:$F$11000,OUT!$H$2:$H$11000,H25,OUT!$D$2:$D$11000,"Out",OUT!$E$2:$E$11000,"Iqbal")</f>
        <v>121000</v>
      </c>
    </row>
    <row r="26" spans="1:20" x14ac:dyDescent="0.2">
      <c r="A26" s="48">
        <f ca="1">IFERROR(__xludf.DUMMYFUNCTION("""COMPUTED_VALUE"""),46069)</f>
        <v>46069</v>
      </c>
      <c r="B26" s="4" t="str">
        <f ca="1">IFERROR(__xludf.DUMMYFUNCTION("""COMPUTED_VALUE"""),"Aulia")</f>
        <v>Aulia</v>
      </c>
      <c r="C26" s="4" t="str">
        <f ca="1">IFERROR(__xludf.DUMMYFUNCTION("""COMPUTED_VALUE"""),"ATM")</f>
        <v>ATM</v>
      </c>
      <c r="D26" s="4" t="str">
        <f ca="1">IFERROR(__xludf.DUMMYFUNCTION("""COMPUTED_VALUE"""),"In")</f>
        <v>In</v>
      </c>
      <c r="E26" s="4" t="str">
        <f ca="1">IFERROR(__xludf.DUMMYFUNCTION("""COMPUTED_VALUE"""),"Fix")</f>
        <v>Fix</v>
      </c>
      <c r="F26" s="49">
        <f ca="1">IFERROR(__xludf.DUMMYFUNCTION("""COMPUTED_VALUE"""),300000)</f>
        <v>300000</v>
      </c>
      <c r="G26" s="50" t="str">
        <f ca="1">IFERROR(__xludf.DUMMYFUNCTION("""COMPUTED_VALUE"""),"Ibal")</f>
        <v>Ibal</v>
      </c>
      <c r="H26" s="51">
        <f t="shared" ca="1" si="0"/>
        <v>46054</v>
      </c>
      <c r="I26" s="52" t="e">
        <f ca="1">SUMIFS(OUT!$F$2:$F$11000,OUT!$H$2:$H$11000,H26,OUT!$D$2:$D$101007,"In")</f>
        <v>#VALUE!</v>
      </c>
      <c r="J26" s="52">
        <f ca="1">SUMIFS(OUT!$F$2:$F$11000,OUT!$H$2:$H$11000,H26,OUT!$D$2:$D$11000,"Out")</f>
        <v>6908733</v>
      </c>
      <c r="K26" s="52">
        <f ca="1">SUMIFS(OUT!$F$2:$F$11000,OUT!$H$2:$H$11000,H26,OUT!$D$2:$D$11000,"Out",OUT!$E$2:$E$11000,"Fix")</f>
        <v>2440568</v>
      </c>
      <c r="L26" s="52">
        <f ca="1">SUMIFS(OUT!$F$2:$F$11000,OUT!$H$2:$H$11000,H26,OUT!$D$2:$D$11000,"Out",OUT!$E$2:$E$11000,"Bathroom")</f>
        <v>34500</v>
      </c>
      <c r="M26" s="52">
        <f ca="1">SUMIFS(OUT!$F$2:$F$11000,OUT!$H$2:$H$11000,H26,OUT!$D$2:$D$11000,"Out",OUT!$E$2:$E$11000,"Alfa")</f>
        <v>293800</v>
      </c>
      <c r="N26" s="52" t="e">
        <f ca="1">SUMIFS(OUT!$F$2:$F$11000,OUT!$H$2:$H$101007,H26,OUT!$D$2:$D$11000,"Out",OUT!$E$2:$E$11000,"Jajan")</f>
        <v>#VALUE!</v>
      </c>
      <c r="O26" s="52">
        <f ca="1">SUMIFS(OUT!$F$2:$F$11000,OUT!$H$2:$H$11000,H26,OUT!$D$2:$D$11000,"Out",OUT!$E$2:$E$11000,"Kitchen")</f>
        <v>992724</v>
      </c>
      <c r="P26" s="52">
        <f ca="1">SUMIFS(OUT!$F$2:$F$11000,OUT!$H$2:$H$11000,H26,OUT!$D$2:$D$11000,"Out",OUT!$E$2:$E$11000,"Loandry")</f>
        <v>41600</v>
      </c>
      <c r="Q26" s="52">
        <f ca="1">SUMIFS(OUT!$F$2:$F$11000,OUT!$H$2:$H$11000,H26,OUT!$D$2:$D$11000,"Out",OUT!$E$2:$E$11000,"Mio")</f>
        <v>249000</v>
      </c>
      <c r="R26" s="52">
        <f ca="1">SUMIFS(OUT!$F$2:$F$11000,OUT!$H$2:$H$11000,H26,OUT!$D$2:$D$11000,"Out",OUT!$E$2:$E$11000,"Sedekah")</f>
        <v>129000</v>
      </c>
      <c r="S26" s="52">
        <f ca="1">SUMIFS(OUT!$F$2:$F$11000,OUT!$H$2:$H$11000,H26,OUT!$D$2:$D$11000,"Out",OUT!$E$2:$E$11000,"Zela")</f>
        <v>24100</v>
      </c>
      <c r="T26" s="52">
        <f ca="1">SUMIFS(OUT!$F$2:$F$11000,OUT!$H$2:$H$11000,H26,OUT!$D$2:$D$11000,"Out",OUT!$E$2:$E$11000,"Iqbal")</f>
        <v>121000</v>
      </c>
    </row>
    <row r="27" spans="1:20" x14ac:dyDescent="0.2">
      <c r="A27" s="48">
        <f ca="1">IFERROR(__xludf.DUMMYFUNCTION("""COMPUTED_VALUE"""),46069)</f>
        <v>46069</v>
      </c>
      <c r="B27" s="4" t="str">
        <f ca="1">IFERROR(__xludf.DUMMYFUNCTION("""COMPUTED_VALUE"""),"Istriku")</f>
        <v>Istriku</v>
      </c>
      <c r="C27" s="4" t="str">
        <f ca="1">IFERROR(__xludf.DUMMYFUNCTION("""COMPUTED_VALUE"""),"ATM")</f>
        <v>ATM</v>
      </c>
      <c r="D27" s="4" t="str">
        <f ca="1">IFERROR(__xludf.DUMMYFUNCTION("""COMPUTED_VALUE"""),"Out")</f>
        <v>Out</v>
      </c>
      <c r="E27" s="4" t="str">
        <f ca="1">IFERROR(__xludf.DUMMYFUNCTION("""COMPUTED_VALUE"""),"Move")</f>
        <v>Move</v>
      </c>
      <c r="F27" s="49">
        <f ca="1">IFERROR(__xludf.DUMMYFUNCTION("""COMPUTED_VALUE"""),200000)</f>
        <v>200000</v>
      </c>
      <c r="G27" s="50" t="str">
        <f ca="1">IFERROR(__xludf.DUMMYFUNCTION("""COMPUTED_VALUE"""),"Ibal")</f>
        <v>Ibal</v>
      </c>
      <c r="H27" s="51">
        <f t="shared" ca="1" si="0"/>
        <v>46054</v>
      </c>
      <c r="I27" s="52" t="e">
        <f ca="1">SUMIFS(OUT!$F$2:$F$11000,OUT!$H$2:$H$11000,H27,OUT!$D$2:$D$101007,"In")</f>
        <v>#VALUE!</v>
      </c>
      <c r="J27" s="52">
        <f ca="1">SUMIFS(OUT!$F$2:$F$11000,OUT!$H$2:$H$11000,H27,OUT!$D$2:$D$11000,"Out")</f>
        <v>6908733</v>
      </c>
      <c r="K27" s="52">
        <f ca="1">SUMIFS(OUT!$F$2:$F$11000,OUT!$H$2:$H$11000,H27,OUT!$D$2:$D$11000,"Out",OUT!$E$2:$E$11000,"Fix")</f>
        <v>2440568</v>
      </c>
      <c r="L27" s="52">
        <f ca="1">SUMIFS(OUT!$F$2:$F$11000,OUT!$H$2:$H$11000,H27,OUT!$D$2:$D$11000,"Out",OUT!$E$2:$E$11000,"Bathroom")</f>
        <v>34500</v>
      </c>
      <c r="M27" s="52">
        <f ca="1">SUMIFS(OUT!$F$2:$F$11000,OUT!$H$2:$H$11000,H27,OUT!$D$2:$D$11000,"Out",OUT!$E$2:$E$11000,"Alfa")</f>
        <v>293800</v>
      </c>
      <c r="N27" s="52" t="e">
        <f ca="1">SUMIFS(OUT!$F$2:$F$11000,OUT!$H$2:$H$101007,H27,OUT!$D$2:$D$11000,"Out",OUT!$E$2:$E$11000,"Jajan")</f>
        <v>#VALUE!</v>
      </c>
      <c r="O27" s="52">
        <f ca="1">SUMIFS(OUT!$F$2:$F$11000,OUT!$H$2:$H$11000,H27,OUT!$D$2:$D$11000,"Out",OUT!$E$2:$E$11000,"Kitchen")</f>
        <v>992724</v>
      </c>
      <c r="P27" s="52">
        <f ca="1">SUMIFS(OUT!$F$2:$F$11000,OUT!$H$2:$H$11000,H27,OUT!$D$2:$D$11000,"Out",OUT!$E$2:$E$11000,"Loandry")</f>
        <v>41600</v>
      </c>
      <c r="Q27" s="52">
        <f ca="1">SUMIFS(OUT!$F$2:$F$11000,OUT!$H$2:$H$11000,H27,OUT!$D$2:$D$11000,"Out",OUT!$E$2:$E$11000,"Mio")</f>
        <v>249000</v>
      </c>
      <c r="R27" s="52">
        <f ca="1">SUMIFS(OUT!$F$2:$F$11000,OUT!$H$2:$H$11000,H27,OUT!$D$2:$D$11000,"Out",OUT!$E$2:$E$11000,"Sedekah")</f>
        <v>129000</v>
      </c>
      <c r="S27" s="52">
        <f ca="1">SUMIFS(OUT!$F$2:$F$11000,OUT!$H$2:$H$11000,H27,OUT!$D$2:$D$11000,"Out",OUT!$E$2:$E$11000,"Zela")</f>
        <v>24100</v>
      </c>
      <c r="T27" s="52">
        <f ca="1">SUMIFS(OUT!$F$2:$F$11000,OUT!$H$2:$H$11000,H27,OUT!$D$2:$D$11000,"Out",OUT!$E$2:$E$11000,"Iqbal")</f>
        <v>121000</v>
      </c>
    </row>
    <row r="28" spans="1:20" x14ac:dyDescent="0.2">
      <c r="A28" s="48">
        <f ca="1">IFERROR(__xludf.DUMMYFUNCTION("""COMPUTED_VALUE"""),46069)</f>
        <v>46069</v>
      </c>
      <c r="B28" s="4" t="str">
        <f ca="1">IFERROR(__xludf.DUMMYFUNCTION("""COMPUTED_VALUE"""),"Tatik Tunai")</f>
        <v>Tatik Tunai</v>
      </c>
      <c r="C28" s="4" t="str">
        <f ca="1">IFERROR(__xludf.DUMMYFUNCTION("""COMPUTED_VALUE"""),"ATM")</f>
        <v>ATM</v>
      </c>
      <c r="D28" s="4" t="str">
        <f ca="1">IFERROR(__xludf.DUMMYFUNCTION("""COMPUTED_VALUE"""),"Move")</f>
        <v>Move</v>
      </c>
      <c r="E28" s="4" t="str">
        <f ca="1">IFERROR(__xludf.DUMMYFUNCTION("""COMPUTED_VALUE"""),"Move")</f>
        <v>Move</v>
      </c>
      <c r="F28" s="49">
        <f ca="1">IFERROR(__xludf.DUMMYFUNCTION("""COMPUTED_VALUE"""),100000)</f>
        <v>100000</v>
      </c>
      <c r="G28" s="50" t="str">
        <f ca="1">IFERROR(__xludf.DUMMYFUNCTION("""COMPUTED_VALUE"""),"Ibal")</f>
        <v>Ibal</v>
      </c>
      <c r="H28" s="51">
        <f t="shared" ca="1" si="0"/>
        <v>46054</v>
      </c>
      <c r="I28" s="52" t="e">
        <f ca="1">SUMIFS(OUT!$F$2:$F$11000,OUT!$H$2:$H$11000,H28,OUT!$D$2:$D$101007,"In")</f>
        <v>#VALUE!</v>
      </c>
      <c r="J28" s="52">
        <f ca="1">SUMIFS(OUT!$F$2:$F$11000,OUT!$H$2:$H$11000,H28,OUT!$D$2:$D$11000,"Out")</f>
        <v>6908733</v>
      </c>
      <c r="K28" s="52">
        <f ca="1">SUMIFS(OUT!$F$2:$F$11000,OUT!$H$2:$H$11000,H28,OUT!$D$2:$D$11000,"Out",OUT!$E$2:$E$11000,"Fix")</f>
        <v>2440568</v>
      </c>
      <c r="L28" s="52">
        <f ca="1">SUMIFS(OUT!$F$2:$F$11000,OUT!$H$2:$H$11000,H28,OUT!$D$2:$D$11000,"Out",OUT!$E$2:$E$11000,"Bathroom")</f>
        <v>34500</v>
      </c>
      <c r="M28" s="52">
        <f ca="1">SUMIFS(OUT!$F$2:$F$11000,OUT!$H$2:$H$11000,H28,OUT!$D$2:$D$11000,"Out",OUT!$E$2:$E$11000,"Alfa")</f>
        <v>293800</v>
      </c>
      <c r="N28" s="52" t="e">
        <f ca="1">SUMIFS(OUT!$F$2:$F$11000,OUT!$H$2:$H$101007,H28,OUT!$D$2:$D$11000,"Out",OUT!$E$2:$E$11000,"Jajan")</f>
        <v>#VALUE!</v>
      </c>
      <c r="O28" s="52">
        <f ca="1">SUMIFS(OUT!$F$2:$F$11000,OUT!$H$2:$H$11000,H28,OUT!$D$2:$D$11000,"Out",OUT!$E$2:$E$11000,"Kitchen")</f>
        <v>992724</v>
      </c>
      <c r="P28" s="52">
        <f ca="1">SUMIFS(OUT!$F$2:$F$11000,OUT!$H$2:$H$11000,H28,OUT!$D$2:$D$11000,"Out",OUT!$E$2:$E$11000,"Loandry")</f>
        <v>41600</v>
      </c>
      <c r="Q28" s="52">
        <f ca="1">SUMIFS(OUT!$F$2:$F$11000,OUT!$H$2:$H$11000,H28,OUT!$D$2:$D$11000,"Out",OUT!$E$2:$E$11000,"Mio")</f>
        <v>249000</v>
      </c>
      <c r="R28" s="52">
        <f ca="1">SUMIFS(OUT!$F$2:$F$11000,OUT!$H$2:$H$11000,H28,OUT!$D$2:$D$11000,"Out",OUT!$E$2:$E$11000,"Sedekah")</f>
        <v>129000</v>
      </c>
      <c r="S28" s="52">
        <f ca="1">SUMIFS(OUT!$F$2:$F$11000,OUT!$H$2:$H$11000,H28,OUT!$D$2:$D$11000,"Out",OUT!$E$2:$E$11000,"Zela")</f>
        <v>24100</v>
      </c>
      <c r="T28" s="52">
        <f ca="1">SUMIFS(OUT!$F$2:$F$11000,OUT!$H$2:$H$11000,H28,OUT!$D$2:$D$11000,"Out",OUT!$E$2:$E$11000,"Iqbal")</f>
        <v>121000</v>
      </c>
    </row>
    <row r="29" spans="1:20" x14ac:dyDescent="0.2">
      <c r="A29" s="48">
        <f ca="1">IFERROR(__xludf.DUMMYFUNCTION("""COMPUTED_VALUE"""),46069)</f>
        <v>46069</v>
      </c>
      <c r="B29" s="4" t="str">
        <f ca="1">IFERROR(__xludf.DUMMYFUNCTION("""COMPUTED_VALUE"""),"Terima Tunai")</f>
        <v>Terima Tunai</v>
      </c>
      <c r="C29" s="4" t="str">
        <f ca="1">IFERROR(__xludf.DUMMYFUNCTION("""COMPUTED_VALUE"""),"Cash")</f>
        <v>Cash</v>
      </c>
      <c r="D29" s="4" t="str">
        <f ca="1">IFERROR(__xludf.DUMMYFUNCTION("""COMPUTED_VALUE"""),"Move")</f>
        <v>Move</v>
      </c>
      <c r="E29" s="4" t="str">
        <f ca="1">IFERROR(__xludf.DUMMYFUNCTION("""COMPUTED_VALUE"""),"Move")</f>
        <v>Move</v>
      </c>
      <c r="F29" s="49">
        <f ca="1">IFERROR(__xludf.DUMMYFUNCTION("""COMPUTED_VALUE"""),100000)</f>
        <v>100000</v>
      </c>
      <c r="G29" s="50" t="str">
        <f ca="1">IFERROR(__xludf.DUMMYFUNCTION("""COMPUTED_VALUE"""),"Ibal")</f>
        <v>Ibal</v>
      </c>
      <c r="H29" s="51">
        <f t="shared" ca="1" si="0"/>
        <v>46054</v>
      </c>
      <c r="I29" s="52" t="e">
        <f ca="1">SUMIFS(OUT!$F$2:$F$11000,OUT!$H$2:$H$11000,H29,OUT!$D$2:$D$101007,"In")</f>
        <v>#VALUE!</v>
      </c>
      <c r="J29" s="52">
        <f ca="1">SUMIFS(OUT!$F$2:$F$11000,OUT!$H$2:$H$11000,H29,OUT!$D$2:$D$11000,"Out")</f>
        <v>6908733</v>
      </c>
      <c r="K29" s="52">
        <f ca="1">SUMIFS(OUT!$F$2:$F$11000,OUT!$H$2:$H$11000,H29,OUT!$D$2:$D$11000,"Out",OUT!$E$2:$E$11000,"Fix")</f>
        <v>2440568</v>
      </c>
      <c r="L29" s="52">
        <f ca="1">SUMIFS(OUT!$F$2:$F$11000,OUT!$H$2:$H$11000,H29,OUT!$D$2:$D$11000,"Out",OUT!$E$2:$E$11000,"Bathroom")</f>
        <v>34500</v>
      </c>
      <c r="M29" s="52">
        <f ca="1">SUMIFS(OUT!$F$2:$F$11000,OUT!$H$2:$H$11000,H29,OUT!$D$2:$D$11000,"Out",OUT!$E$2:$E$11000,"Alfa")</f>
        <v>293800</v>
      </c>
      <c r="N29" s="52" t="e">
        <f ca="1">SUMIFS(OUT!$F$2:$F$11000,OUT!$H$2:$H$101007,H29,OUT!$D$2:$D$11000,"Out",OUT!$E$2:$E$11000,"Jajan")</f>
        <v>#VALUE!</v>
      </c>
      <c r="O29" s="52">
        <f ca="1">SUMIFS(OUT!$F$2:$F$11000,OUT!$H$2:$H$11000,H29,OUT!$D$2:$D$11000,"Out",OUT!$E$2:$E$11000,"Kitchen")</f>
        <v>992724</v>
      </c>
      <c r="P29" s="52">
        <f ca="1">SUMIFS(OUT!$F$2:$F$11000,OUT!$H$2:$H$11000,H29,OUT!$D$2:$D$11000,"Out",OUT!$E$2:$E$11000,"Loandry")</f>
        <v>41600</v>
      </c>
      <c r="Q29" s="52">
        <f ca="1">SUMIFS(OUT!$F$2:$F$11000,OUT!$H$2:$H$11000,H29,OUT!$D$2:$D$11000,"Out",OUT!$E$2:$E$11000,"Mio")</f>
        <v>249000</v>
      </c>
      <c r="R29" s="52">
        <f ca="1">SUMIFS(OUT!$F$2:$F$11000,OUT!$H$2:$H$11000,H29,OUT!$D$2:$D$11000,"Out",OUT!$E$2:$E$11000,"Sedekah")</f>
        <v>129000</v>
      </c>
      <c r="S29" s="52">
        <f ca="1">SUMIFS(OUT!$F$2:$F$11000,OUT!$H$2:$H$11000,H29,OUT!$D$2:$D$11000,"Out",OUT!$E$2:$E$11000,"Zela")</f>
        <v>24100</v>
      </c>
      <c r="T29" s="52">
        <f ca="1">SUMIFS(OUT!$F$2:$F$11000,OUT!$H$2:$H$11000,H29,OUT!$D$2:$D$11000,"Out",OUT!$E$2:$E$11000,"Iqbal")</f>
        <v>121000</v>
      </c>
    </row>
    <row r="30" spans="1:20" x14ac:dyDescent="0.2">
      <c r="A30" s="48">
        <f ca="1">IFERROR(__xludf.DUMMYFUNCTION("""COMPUTED_VALUE"""),46069)</f>
        <v>46069</v>
      </c>
      <c r="B30" s="4" t="str">
        <f ca="1">IFERROR(__xludf.DUMMYFUNCTION("""COMPUTED_VALUE"""),"Bensin")</f>
        <v>Bensin</v>
      </c>
      <c r="C30" s="4" t="str">
        <f ca="1">IFERROR(__xludf.DUMMYFUNCTION("""COMPUTED_VALUE"""),"Cash")</f>
        <v>Cash</v>
      </c>
      <c r="D30" s="4" t="str">
        <f ca="1">IFERROR(__xludf.DUMMYFUNCTION("""COMPUTED_VALUE"""),"Out")</f>
        <v>Out</v>
      </c>
      <c r="E30" s="4" t="str">
        <f ca="1">IFERROR(__xludf.DUMMYFUNCTION("""COMPUTED_VALUE"""),"Mio")</f>
        <v>Mio</v>
      </c>
      <c r="F30" s="49">
        <f ca="1">IFERROR(__xludf.DUMMYFUNCTION("""COMPUTED_VALUE"""),24000)</f>
        <v>24000</v>
      </c>
      <c r="G30" s="50" t="str">
        <f ca="1">IFERROR(__xludf.DUMMYFUNCTION("""COMPUTED_VALUE"""),"Ibal")</f>
        <v>Ibal</v>
      </c>
      <c r="H30" s="51">
        <f t="shared" ca="1" si="0"/>
        <v>46054</v>
      </c>
      <c r="I30" s="52" t="e">
        <f ca="1">SUMIFS(OUT!$F$2:$F$11000,OUT!$H$2:$H$11000,H30,OUT!$D$2:$D$101007,"In")</f>
        <v>#VALUE!</v>
      </c>
      <c r="J30" s="52">
        <f ca="1">SUMIFS(OUT!$F$2:$F$11000,OUT!$H$2:$H$11000,H30,OUT!$D$2:$D$11000,"Out")</f>
        <v>6908733</v>
      </c>
      <c r="K30" s="52">
        <f ca="1">SUMIFS(OUT!$F$2:$F$11000,OUT!$H$2:$H$11000,H30,OUT!$D$2:$D$11000,"Out",OUT!$E$2:$E$11000,"Fix")</f>
        <v>2440568</v>
      </c>
      <c r="L30" s="52">
        <f ca="1">SUMIFS(OUT!$F$2:$F$11000,OUT!$H$2:$H$11000,H30,OUT!$D$2:$D$11000,"Out",OUT!$E$2:$E$11000,"Bathroom")</f>
        <v>34500</v>
      </c>
      <c r="M30" s="52">
        <f ca="1">SUMIFS(OUT!$F$2:$F$11000,OUT!$H$2:$H$11000,H30,OUT!$D$2:$D$11000,"Out",OUT!$E$2:$E$11000,"Alfa")</f>
        <v>293800</v>
      </c>
      <c r="N30" s="52" t="e">
        <f ca="1">SUMIFS(OUT!$F$2:$F$11000,OUT!$H$2:$H$101007,H30,OUT!$D$2:$D$11000,"Out",OUT!$E$2:$E$11000,"Jajan")</f>
        <v>#VALUE!</v>
      </c>
      <c r="O30" s="52">
        <f ca="1">SUMIFS(OUT!$F$2:$F$11000,OUT!$H$2:$H$11000,H30,OUT!$D$2:$D$11000,"Out",OUT!$E$2:$E$11000,"Kitchen")</f>
        <v>992724</v>
      </c>
      <c r="P30" s="52">
        <f ca="1">SUMIFS(OUT!$F$2:$F$11000,OUT!$H$2:$H$11000,H30,OUT!$D$2:$D$11000,"Out",OUT!$E$2:$E$11000,"Loandry")</f>
        <v>41600</v>
      </c>
      <c r="Q30" s="52">
        <f ca="1">SUMIFS(OUT!$F$2:$F$11000,OUT!$H$2:$H$11000,H30,OUT!$D$2:$D$11000,"Out",OUT!$E$2:$E$11000,"Mio")</f>
        <v>249000</v>
      </c>
      <c r="R30" s="52">
        <f ca="1">SUMIFS(OUT!$F$2:$F$11000,OUT!$H$2:$H$11000,H30,OUT!$D$2:$D$11000,"Out",OUT!$E$2:$E$11000,"Sedekah")</f>
        <v>129000</v>
      </c>
      <c r="S30" s="52">
        <f ca="1">SUMIFS(OUT!$F$2:$F$11000,OUT!$H$2:$H$11000,H30,OUT!$D$2:$D$11000,"Out",OUT!$E$2:$E$11000,"Zela")</f>
        <v>24100</v>
      </c>
      <c r="T30" s="52">
        <f ca="1">SUMIFS(OUT!$F$2:$F$11000,OUT!$H$2:$H$11000,H30,OUT!$D$2:$D$11000,"Out",OUT!$E$2:$E$11000,"Iqbal")</f>
        <v>121000</v>
      </c>
    </row>
    <row r="31" spans="1:20" x14ac:dyDescent="0.2">
      <c r="A31" s="48">
        <f ca="1">IFERROR(__xludf.DUMMYFUNCTION("""COMPUTED_VALUE"""),46069)</f>
        <v>46069</v>
      </c>
      <c r="B31" s="4" t="str">
        <f ca="1">IFERROR(__xludf.DUMMYFUNCTION("""COMPUTED_VALUE"""),"Molen")</f>
        <v>Molen</v>
      </c>
      <c r="C31" s="4" t="str">
        <f ca="1">IFERROR(__xludf.DUMMYFUNCTION("""COMPUTED_VALUE"""),"Cash")</f>
        <v>Cash</v>
      </c>
      <c r="D31" s="4" t="str">
        <f ca="1">IFERROR(__xludf.DUMMYFUNCTION("""COMPUTED_VALUE"""),"Out")</f>
        <v>Out</v>
      </c>
      <c r="E31" s="4" t="str">
        <f ca="1">IFERROR(__xludf.DUMMYFUNCTION("""COMPUTED_VALUE"""),"Jajan")</f>
        <v>Jajan</v>
      </c>
      <c r="F31" s="49">
        <f ca="1">IFERROR(__xludf.DUMMYFUNCTION("""COMPUTED_VALUE"""),15000)</f>
        <v>15000</v>
      </c>
      <c r="G31" s="50" t="str">
        <f ca="1">IFERROR(__xludf.DUMMYFUNCTION("""COMPUTED_VALUE"""),"Ibal")</f>
        <v>Ibal</v>
      </c>
      <c r="H31" s="51">
        <f t="shared" ca="1" si="0"/>
        <v>46054</v>
      </c>
      <c r="I31" s="52" t="e">
        <f ca="1">SUMIFS(OUT!$F$2:$F$11000,OUT!$H$2:$H$11000,H31,OUT!$D$2:$D$101007,"In")</f>
        <v>#VALUE!</v>
      </c>
      <c r="J31" s="52">
        <f ca="1">SUMIFS(OUT!$F$2:$F$11000,OUT!$H$2:$H$11000,H31,OUT!$D$2:$D$11000,"Out")</f>
        <v>6908733</v>
      </c>
      <c r="K31" s="52">
        <f ca="1">SUMIFS(OUT!$F$2:$F$11000,OUT!$H$2:$H$11000,H31,OUT!$D$2:$D$11000,"Out",OUT!$E$2:$E$11000,"Fix")</f>
        <v>2440568</v>
      </c>
      <c r="L31" s="52">
        <f ca="1">SUMIFS(OUT!$F$2:$F$11000,OUT!$H$2:$H$11000,H31,OUT!$D$2:$D$11000,"Out",OUT!$E$2:$E$11000,"Bathroom")</f>
        <v>34500</v>
      </c>
      <c r="M31" s="52">
        <f ca="1">SUMIFS(OUT!$F$2:$F$11000,OUT!$H$2:$H$11000,H31,OUT!$D$2:$D$11000,"Out",OUT!$E$2:$E$11000,"Alfa")</f>
        <v>293800</v>
      </c>
      <c r="N31" s="52" t="e">
        <f ca="1">SUMIFS(OUT!$F$2:$F$11000,OUT!$H$2:$H$101007,H31,OUT!$D$2:$D$11000,"Out",OUT!$E$2:$E$11000,"Jajan")</f>
        <v>#VALUE!</v>
      </c>
      <c r="O31" s="52">
        <f ca="1">SUMIFS(OUT!$F$2:$F$11000,OUT!$H$2:$H$11000,H31,OUT!$D$2:$D$11000,"Out",OUT!$E$2:$E$11000,"Kitchen")</f>
        <v>992724</v>
      </c>
      <c r="P31" s="52">
        <f ca="1">SUMIFS(OUT!$F$2:$F$11000,OUT!$H$2:$H$11000,H31,OUT!$D$2:$D$11000,"Out",OUT!$E$2:$E$11000,"Loandry")</f>
        <v>41600</v>
      </c>
      <c r="Q31" s="52">
        <f ca="1">SUMIFS(OUT!$F$2:$F$11000,OUT!$H$2:$H$11000,H31,OUT!$D$2:$D$11000,"Out",OUT!$E$2:$E$11000,"Mio")</f>
        <v>249000</v>
      </c>
      <c r="R31" s="52">
        <f ca="1">SUMIFS(OUT!$F$2:$F$11000,OUT!$H$2:$H$11000,H31,OUT!$D$2:$D$11000,"Out",OUT!$E$2:$E$11000,"Sedekah")</f>
        <v>129000</v>
      </c>
      <c r="S31" s="52">
        <f ca="1">SUMIFS(OUT!$F$2:$F$11000,OUT!$H$2:$H$11000,H31,OUT!$D$2:$D$11000,"Out",OUT!$E$2:$E$11000,"Zela")</f>
        <v>24100</v>
      </c>
      <c r="T31" s="52">
        <f ca="1">SUMIFS(OUT!$F$2:$F$11000,OUT!$H$2:$H$11000,H31,OUT!$D$2:$D$11000,"Out",OUT!$E$2:$E$11000,"Iqbal")</f>
        <v>121000</v>
      </c>
    </row>
    <row r="32" spans="1:20" x14ac:dyDescent="0.2">
      <c r="A32" s="48">
        <f ca="1">IFERROR(__xludf.DUMMYFUNCTION("""COMPUTED_VALUE"""),46069)</f>
        <v>46069</v>
      </c>
      <c r="B32" s="4" t="str">
        <f ca="1">IFERROR(__xludf.DUMMYFUNCTION("""COMPUTED_VALUE"""),"Semen 2kg")</f>
        <v>Semen 2kg</v>
      </c>
      <c r="C32" s="4" t="str">
        <f ca="1">IFERROR(__xludf.DUMMYFUNCTION("""COMPUTED_VALUE"""),"Cash")</f>
        <v>Cash</v>
      </c>
      <c r="D32" s="4" t="str">
        <f ca="1">IFERROR(__xludf.DUMMYFUNCTION("""COMPUTED_VALUE"""),"Out")</f>
        <v>Out</v>
      </c>
      <c r="E32" s="4" t="str">
        <f ca="1">IFERROR(__xludf.DUMMYFUNCTION("""COMPUTED_VALUE"""),"Bathroom")</f>
        <v>Bathroom</v>
      </c>
      <c r="F32" s="49">
        <f ca="1">IFERROR(__xludf.DUMMYFUNCTION("""COMPUTED_VALUE"""),6000)</f>
        <v>6000</v>
      </c>
      <c r="G32" s="50" t="str">
        <f ca="1">IFERROR(__xludf.DUMMYFUNCTION("""COMPUTED_VALUE"""),"Ibal")</f>
        <v>Ibal</v>
      </c>
      <c r="H32" s="51">
        <f t="shared" ca="1" si="0"/>
        <v>46054</v>
      </c>
      <c r="I32" s="52" t="e">
        <f ca="1">SUMIFS(OUT!$F$2:$F$11000,OUT!$H$2:$H$11000,H32,OUT!$D$2:$D$101007,"In")</f>
        <v>#VALUE!</v>
      </c>
      <c r="J32" s="52">
        <f ca="1">SUMIFS(OUT!$F$2:$F$11000,OUT!$H$2:$H$11000,H32,OUT!$D$2:$D$11000,"Out")</f>
        <v>6908733</v>
      </c>
      <c r="K32" s="52">
        <f ca="1">SUMIFS(OUT!$F$2:$F$11000,OUT!$H$2:$H$11000,H32,OUT!$D$2:$D$11000,"Out",OUT!$E$2:$E$11000,"Fix")</f>
        <v>2440568</v>
      </c>
      <c r="L32" s="52">
        <f ca="1">SUMIFS(OUT!$F$2:$F$11000,OUT!$H$2:$H$11000,H32,OUT!$D$2:$D$11000,"Out",OUT!$E$2:$E$11000,"Bathroom")</f>
        <v>34500</v>
      </c>
      <c r="M32" s="52">
        <f ca="1">SUMIFS(OUT!$F$2:$F$11000,OUT!$H$2:$H$11000,H32,OUT!$D$2:$D$11000,"Out",OUT!$E$2:$E$11000,"Alfa")</f>
        <v>293800</v>
      </c>
      <c r="N32" s="52" t="e">
        <f ca="1">SUMIFS(OUT!$F$2:$F$11000,OUT!$H$2:$H$101007,H32,OUT!$D$2:$D$11000,"Out",OUT!$E$2:$E$11000,"Jajan")</f>
        <v>#VALUE!</v>
      </c>
      <c r="O32" s="52">
        <f ca="1">SUMIFS(OUT!$F$2:$F$11000,OUT!$H$2:$H$11000,H32,OUT!$D$2:$D$11000,"Out",OUT!$E$2:$E$11000,"Kitchen")</f>
        <v>992724</v>
      </c>
      <c r="P32" s="52">
        <f ca="1">SUMIFS(OUT!$F$2:$F$11000,OUT!$H$2:$H$11000,H32,OUT!$D$2:$D$11000,"Out",OUT!$E$2:$E$11000,"Loandry")</f>
        <v>41600</v>
      </c>
      <c r="Q32" s="52">
        <f ca="1">SUMIFS(OUT!$F$2:$F$11000,OUT!$H$2:$H$11000,H32,OUT!$D$2:$D$11000,"Out",OUT!$E$2:$E$11000,"Mio")</f>
        <v>249000</v>
      </c>
      <c r="R32" s="52">
        <f ca="1">SUMIFS(OUT!$F$2:$F$11000,OUT!$H$2:$H$11000,H32,OUT!$D$2:$D$11000,"Out",OUT!$E$2:$E$11000,"Sedekah")</f>
        <v>129000</v>
      </c>
      <c r="S32" s="52">
        <f ca="1">SUMIFS(OUT!$F$2:$F$11000,OUT!$H$2:$H$11000,H32,OUT!$D$2:$D$11000,"Out",OUT!$E$2:$E$11000,"Zela")</f>
        <v>24100</v>
      </c>
      <c r="T32" s="52">
        <f ca="1">SUMIFS(OUT!$F$2:$F$11000,OUT!$H$2:$H$11000,H32,OUT!$D$2:$D$11000,"Out",OUT!$E$2:$E$11000,"Iqbal")</f>
        <v>121000</v>
      </c>
    </row>
    <row r="33" spans="1:20" x14ac:dyDescent="0.2">
      <c r="A33" s="48">
        <f ca="1">IFERROR(__xludf.DUMMYFUNCTION("""COMPUTED_VALUE"""),46070)</f>
        <v>46070</v>
      </c>
      <c r="B33" s="4" t="str">
        <f ca="1">IFERROR(__xludf.DUMMYFUNCTION("""COMPUTED_VALUE"""),"Istriku")</f>
        <v>Istriku</v>
      </c>
      <c r="C33" s="4" t="str">
        <f ca="1">IFERROR(__xludf.DUMMYFUNCTION("""COMPUTED_VALUE"""),"Cash")</f>
        <v>Cash</v>
      </c>
      <c r="D33" s="4" t="str">
        <f ca="1">IFERROR(__xludf.DUMMYFUNCTION("""COMPUTED_VALUE"""),"Out")</f>
        <v>Out</v>
      </c>
      <c r="E33" s="4" t="str">
        <f ca="1">IFERROR(__xludf.DUMMYFUNCTION("""COMPUTED_VALUE"""),"Move")</f>
        <v>Move</v>
      </c>
      <c r="F33" s="49">
        <f ca="1">IFERROR(__xludf.DUMMYFUNCTION("""COMPUTED_VALUE"""),50000)</f>
        <v>50000</v>
      </c>
      <c r="G33" s="50" t="str">
        <f ca="1">IFERROR(__xludf.DUMMYFUNCTION("""COMPUTED_VALUE"""),"Ibal")</f>
        <v>Ibal</v>
      </c>
      <c r="H33" s="51">
        <f t="shared" ca="1" si="0"/>
        <v>46054</v>
      </c>
      <c r="I33" s="52" t="e">
        <f ca="1">SUMIFS(OUT!$F$2:$F$11000,OUT!$H$2:$H$11000,H33,OUT!$D$2:$D$101007,"In")</f>
        <v>#VALUE!</v>
      </c>
      <c r="J33" s="52">
        <f ca="1">SUMIFS(OUT!$F$2:$F$11000,OUT!$H$2:$H$11000,H33,OUT!$D$2:$D$11000,"Out")</f>
        <v>6908733</v>
      </c>
      <c r="K33" s="52">
        <f ca="1">SUMIFS(OUT!$F$2:$F$11000,OUT!$H$2:$H$11000,H33,OUT!$D$2:$D$11000,"Out",OUT!$E$2:$E$11000,"Fix")</f>
        <v>2440568</v>
      </c>
      <c r="L33" s="52">
        <f ca="1">SUMIFS(OUT!$F$2:$F$11000,OUT!$H$2:$H$11000,H33,OUT!$D$2:$D$11000,"Out",OUT!$E$2:$E$11000,"Bathroom")</f>
        <v>34500</v>
      </c>
      <c r="M33" s="52">
        <f ca="1">SUMIFS(OUT!$F$2:$F$11000,OUT!$H$2:$H$11000,H33,OUT!$D$2:$D$11000,"Out",OUT!$E$2:$E$11000,"Alfa")</f>
        <v>293800</v>
      </c>
      <c r="N33" s="52" t="e">
        <f ca="1">SUMIFS(OUT!$F$2:$F$11000,OUT!$H$2:$H$101007,H33,OUT!$D$2:$D$11000,"Out",OUT!$E$2:$E$11000,"Jajan")</f>
        <v>#VALUE!</v>
      </c>
      <c r="O33" s="52">
        <f ca="1">SUMIFS(OUT!$F$2:$F$11000,OUT!$H$2:$H$11000,H33,OUT!$D$2:$D$11000,"Out",OUT!$E$2:$E$11000,"Kitchen")</f>
        <v>992724</v>
      </c>
      <c r="P33" s="52">
        <f ca="1">SUMIFS(OUT!$F$2:$F$11000,OUT!$H$2:$H$11000,H33,OUT!$D$2:$D$11000,"Out",OUT!$E$2:$E$11000,"Loandry")</f>
        <v>41600</v>
      </c>
      <c r="Q33" s="52">
        <f ca="1">SUMIFS(OUT!$F$2:$F$11000,OUT!$H$2:$H$11000,H33,OUT!$D$2:$D$11000,"Out",OUT!$E$2:$E$11000,"Mio")</f>
        <v>249000</v>
      </c>
      <c r="R33" s="52">
        <f ca="1">SUMIFS(OUT!$F$2:$F$11000,OUT!$H$2:$H$11000,H33,OUT!$D$2:$D$11000,"Out",OUT!$E$2:$E$11000,"Sedekah")</f>
        <v>129000</v>
      </c>
      <c r="S33" s="52">
        <f ca="1">SUMIFS(OUT!$F$2:$F$11000,OUT!$H$2:$H$11000,H33,OUT!$D$2:$D$11000,"Out",OUT!$E$2:$E$11000,"Zela")</f>
        <v>24100</v>
      </c>
      <c r="T33" s="52">
        <f ca="1">SUMIFS(OUT!$F$2:$F$11000,OUT!$H$2:$H$11000,H33,OUT!$D$2:$D$11000,"Out",OUT!$E$2:$E$11000,"Iqbal")</f>
        <v>121000</v>
      </c>
    </row>
    <row r="34" spans="1:20" x14ac:dyDescent="0.2">
      <c r="A34" s="48">
        <f ca="1">IFERROR(__xludf.DUMMYFUNCTION("""COMPUTED_VALUE"""),46071)</f>
        <v>46071</v>
      </c>
      <c r="B34" s="4" t="str">
        <f ca="1">IFERROR(__xludf.DUMMYFUNCTION("""COMPUTED_VALUE"""),"Istriku")</f>
        <v>Istriku</v>
      </c>
      <c r="C34" s="4" t="str">
        <f ca="1">IFERROR(__xludf.DUMMYFUNCTION("""COMPUTED_VALUE"""),"Cash")</f>
        <v>Cash</v>
      </c>
      <c r="D34" s="4" t="str">
        <f ca="1">IFERROR(__xludf.DUMMYFUNCTION("""COMPUTED_VALUE"""),"Out")</f>
        <v>Out</v>
      </c>
      <c r="E34" s="4" t="str">
        <f ca="1">IFERROR(__xludf.DUMMYFUNCTION("""COMPUTED_VALUE"""),"Move")</f>
        <v>Move</v>
      </c>
      <c r="F34" s="49">
        <f ca="1">IFERROR(__xludf.DUMMYFUNCTION("""COMPUTED_VALUE"""),5000)</f>
        <v>5000</v>
      </c>
      <c r="G34" s="50" t="str">
        <f ca="1">IFERROR(__xludf.DUMMYFUNCTION("""COMPUTED_VALUE"""),"Ibal")</f>
        <v>Ibal</v>
      </c>
      <c r="H34" s="51">
        <f t="shared" ca="1" si="0"/>
        <v>46054</v>
      </c>
      <c r="I34" s="52" t="e">
        <f ca="1">SUMIFS(OUT!$F$2:$F$11000,OUT!$H$2:$H$11000,H34,OUT!$D$2:$D$101007,"In")</f>
        <v>#VALUE!</v>
      </c>
      <c r="J34" s="52">
        <f ca="1">SUMIFS(OUT!$F$2:$F$11000,OUT!$H$2:$H$11000,H34,OUT!$D$2:$D$11000,"Out")</f>
        <v>6908733</v>
      </c>
      <c r="K34" s="52">
        <f ca="1">SUMIFS(OUT!$F$2:$F$11000,OUT!$H$2:$H$11000,H34,OUT!$D$2:$D$11000,"Out",OUT!$E$2:$E$11000,"Fix")</f>
        <v>2440568</v>
      </c>
      <c r="L34" s="52">
        <f ca="1">SUMIFS(OUT!$F$2:$F$11000,OUT!$H$2:$H$11000,H34,OUT!$D$2:$D$11000,"Out",OUT!$E$2:$E$11000,"Bathroom")</f>
        <v>34500</v>
      </c>
      <c r="M34" s="52">
        <f ca="1">SUMIFS(OUT!$F$2:$F$11000,OUT!$H$2:$H$11000,H34,OUT!$D$2:$D$11000,"Out",OUT!$E$2:$E$11000,"Alfa")</f>
        <v>293800</v>
      </c>
      <c r="N34" s="52" t="e">
        <f ca="1">SUMIFS(OUT!$F$2:$F$11000,OUT!$H$2:$H$101007,H34,OUT!$D$2:$D$11000,"Out",OUT!$E$2:$E$11000,"Jajan")</f>
        <v>#VALUE!</v>
      </c>
      <c r="O34" s="52">
        <f ca="1">SUMIFS(OUT!$F$2:$F$11000,OUT!$H$2:$H$11000,H34,OUT!$D$2:$D$11000,"Out",OUT!$E$2:$E$11000,"Kitchen")</f>
        <v>992724</v>
      </c>
      <c r="P34" s="52">
        <f ca="1">SUMIFS(OUT!$F$2:$F$11000,OUT!$H$2:$H$11000,H34,OUT!$D$2:$D$11000,"Out",OUT!$E$2:$E$11000,"Loandry")</f>
        <v>41600</v>
      </c>
      <c r="Q34" s="52">
        <f ca="1">SUMIFS(OUT!$F$2:$F$11000,OUT!$H$2:$H$11000,H34,OUT!$D$2:$D$11000,"Out",OUT!$E$2:$E$11000,"Mio")</f>
        <v>249000</v>
      </c>
      <c r="R34" s="52">
        <f ca="1">SUMIFS(OUT!$F$2:$F$11000,OUT!$H$2:$H$11000,H34,OUT!$D$2:$D$11000,"Out",OUT!$E$2:$E$11000,"Sedekah")</f>
        <v>129000</v>
      </c>
      <c r="S34" s="52">
        <f ca="1">SUMIFS(OUT!$F$2:$F$11000,OUT!$H$2:$H$11000,H34,OUT!$D$2:$D$11000,"Out",OUT!$E$2:$E$11000,"Zela")</f>
        <v>24100</v>
      </c>
      <c r="T34" s="52">
        <f ca="1">SUMIFS(OUT!$F$2:$F$11000,OUT!$H$2:$H$11000,H34,OUT!$D$2:$D$11000,"Out",OUT!$E$2:$E$11000,"Iqbal")</f>
        <v>121000</v>
      </c>
    </row>
    <row r="35" spans="1:20" x14ac:dyDescent="0.2">
      <c r="A35" s="48">
        <f ca="1">IFERROR(__xludf.DUMMYFUNCTION("""COMPUTED_VALUE"""),46071)</f>
        <v>46071</v>
      </c>
      <c r="B35" s="4" t="str">
        <f ca="1">IFERROR(__xludf.DUMMYFUNCTION("""COMPUTED_VALUE"""),"Istriku")</f>
        <v>Istriku</v>
      </c>
      <c r="C35" s="4" t="str">
        <f ca="1">IFERROR(__xludf.DUMMYFUNCTION("""COMPUTED_VALUE"""),"ATM")</f>
        <v>ATM</v>
      </c>
      <c r="D35" s="4" t="str">
        <f ca="1">IFERROR(__xludf.DUMMYFUNCTION("""COMPUTED_VALUE"""),"In")</f>
        <v>In</v>
      </c>
      <c r="E35" s="4" t="str">
        <f ca="1">IFERROR(__xludf.DUMMYFUNCTION("""COMPUTED_VALUE"""),"Move")</f>
        <v>Move</v>
      </c>
      <c r="F35" s="49">
        <f ca="1">IFERROR(__xludf.DUMMYFUNCTION("""COMPUTED_VALUE"""),50000)</f>
        <v>50000</v>
      </c>
      <c r="G35" s="50" t="str">
        <f ca="1">IFERROR(__xludf.DUMMYFUNCTION("""COMPUTED_VALUE"""),"Ibal")</f>
        <v>Ibal</v>
      </c>
      <c r="H35" s="51">
        <f t="shared" ca="1" si="0"/>
        <v>46054</v>
      </c>
      <c r="I35" s="52" t="e">
        <f ca="1">SUMIFS(OUT!$F$2:$F$11000,OUT!$H$2:$H$11000,H35,OUT!$D$2:$D$101007,"In")</f>
        <v>#VALUE!</v>
      </c>
      <c r="J35" s="52">
        <f ca="1">SUMIFS(OUT!$F$2:$F$11000,OUT!$H$2:$H$11000,H35,OUT!$D$2:$D$11000,"Out")</f>
        <v>6908733</v>
      </c>
      <c r="K35" s="52">
        <f ca="1">SUMIFS(OUT!$F$2:$F$11000,OUT!$H$2:$H$11000,H35,OUT!$D$2:$D$11000,"Out",OUT!$E$2:$E$11000,"Fix")</f>
        <v>2440568</v>
      </c>
      <c r="L35" s="52">
        <f ca="1">SUMIFS(OUT!$F$2:$F$11000,OUT!$H$2:$H$11000,H35,OUT!$D$2:$D$11000,"Out",OUT!$E$2:$E$11000,"Bathroom")</f>
        <v>34500</v>
      </c>
      <c r="M35" s="52">
        <f ca="1">SUMIFS(OUT!$F$2:$F$11000,OUT!$H$2:$H$11000,H35,OUT!$D$2:$D$11000,"Out",OUT!$E$2:$E$11000,"Alfa")</f>
        <v>293800</v>
      </c>
      <c r="N35" s="52" t="e">
        <f ca="1">SUMIFS(OUT!$F$2:$F$11000,OUT!$H$2:$H$101007,H35,OUT!$D$2:$D$11000,"Out",OUT!$E$2:$E$11000,"Jajan")</f>
        <v>#VALUE!</v>
      </c>
      <c r="O35" s="52">
        <f ca="1">SUMIFS(OUT!$F$2:$F$11000,OUT!$H$2:$H$11000,H35,OUT!$D$2:$D$11000,"Out",OUT!$E$2:$E$11000,"Kitchen")</f>
        <v>992724</v>
      </c>
      <c r="P35" s="52">
        <f ca="1">SUMIFS(OUT!$F$2:$F$11000,OUT!$H$2:$H$11000,H35,OUT!$D$2:$D$11000,"Out",OUT!$E$2:$E$11000,"Loandry")</f>
        <v>41600</v>
      </c>
      <c r="Q35" s="52">
        <f ca="1">SUMIFS(OUT!$F$2:$F$11000,OUT!$H$2:$H$11000,H35,OUT!$D$2:$D$11000,"Out",OUT!$E$2:$E$11000,"Mio")</f>
        <v>249000</v>
      </c>
      <c r="R35" s="52">
        <f ca="1">SUMIFS(OUT!$F$2:$F$11000,OUT!$H$2:$H$11000,H35,OUT!$D$2:$D$11000,"Out",OUT!$E$2:$E$11000,"Sedekah")</f>
        <v>129000</v>
      </c>
      <c r="S35" s="52">
        <f ca="1">SUMIFS(OUT!$F$2:$F$11000,OUT!$H$2:$H$11000,H35,OUT!$D$2:$D$11000,"Out",OUT!$E$2:$E$11000,"Zela")</f>
        <v>24100</v>
      </c>
      <c r="T35" s="52">
        <f ca="1">SUMIFS(OUT!$F$2:$F$11000,OUT!$H$2:$H$11000,H35,OUT!$D$2:$D$11000,"Out",OUT!$E$2:$E$11000,"Iqbal")</f>
        <v>121000</v>
      </c>
    </row>
    <row r="36" spans="1:20" x14ac:dyDescent="0.2">
      <c r="A36" s="48">
        <f ca="1">IFERROR(__xludf.DUMMYFUNCTION("""COMPUTED_VALUE"""),46071)</f>
        <v>46071</v>
      </c>
      <c r="B36" s="4" t="str">
        <f ca="1">IFERROR(__xludf.DUMMYFUNCTION("""COMPUTED_VALUE"""),"Istriku")</f>
        <v>Istriku</v>
      </c>
      <c r="C36" s="4" t="str">
        <f ca="1">IFERROR(__xludf.DUMMYFUNCTION("""COMPUTED_VALUE"""),"ATM")</f>
        <v>ATM</v>
      </c>
      <c r="D36" s="4" t="str">
        <f ca="1">IFERROR(__xludf.DUMMYFUNCTION("""COMPUTED_VALUE"""),"In")</f>
        <v>In</v>
      </c>
      <c r="E36" s="4" t="str">
        <f ca="1">IFERROR(__xludf.DUMMYFUNCTION("""COMPUTED_VALUE"""),"Move")</f>
        <v>Move</v>
      </c>
      <c r="F36" s="49">
        <f ca="1">IFERROR(__xludf.DUMMYFUNCTION("""COMPUTED_VALUE"""),20000)</f>
        <v>20000</v>
      </c>
      <c r="G36" s="50" t="str">
        <f ca="1">IFERROR(__xludf.DUMMYFUNCTION("""COMPUTED_VALUE"""),"Ibal")</f>
        <v>Ibal</v>
      </c>
      <c r="H36" s="51">
        <f t="shared" ca="1" si="0"/>
        <v>46054</v>
      </c>
      <c r="I36" s="52" t="e">
        <f ca="1">SUMIFS(OUT!$F$2:$F$11000,OUT!$H$2:$H$11000,H36,OUT!$D$2:$D$101007,"In")</f>
        <v>#VALUE!</v>
      </c>
      <c r="J36" s="52">
        <f ca="1">SUMIFS(OUT!$F$2:$F$11000,OUT!$H$2:$H$11000,H36,OUT!$D$2:$D$11000,"Out")</f>
        <v>6908733</v>
      </c>
      <c r="K36" s="52">
        <f ca="1">SUMIFS(OUT!$F$2:$F$11000,OUT!$H$2:$H$11000,H36,OUT!$D$2:$D$11000,"Out",OUT!$E$2:$E$11000,"Fix")</f>
        <v>2440568</v>
      </c>
      <c r="L36" s="52">
        <f ca="1">SUMIFS(OUT!$F$2:$F$11000,OUT!$H$2:$H$11000,H36,OUT!$D$2:$D$11000,"Out",OUT!$E$2:$E$11000,"Bathroom")</f>
        <v>34500</v>
      </c>
      <c r="M36" s="52">
        <f ca="1">SUMIFS(OUT!$F$2:$F$11000,OUT!$H$2:$H$11000,H36,OUT!$D$2:$D$11000,"Out",OUT!$E$2:$E$11000,"Alfa")</f>
        <v>293800</v>
      </c>
      <c r="N36" s="52" t="e">
        <f ca="1">SUMIFS(OUT!$F$2:$F$11000,OUT!$H$2:$H$101007,H36,OUT!$D$2:$D$11000,"Out",OUT!$E$2:$E$11000,"Jajan")</f>
        <v>#VALUE!</v>
      </c>
      <c r="O36" s="52">
        <f ca="1">SUMIFS(OUT!$F$2:$F$11000,OUT!$H$2:$H$11000,H36,OUT!$D$2:$D$11000,"Out",OUT!$E$2:$E$11000,"Kitchen")</f>
        <v>992724</v>
      </c>
      <c r="P36" s="52">
        <f ca="1">SUMIFS(OUT!$F$2:$F$11000,OUT!$H$2:$H$11000,H36,OUT!$D$2:$D$11000,"Out",OUT!$E$2:$E$11000,"Loandry")</f>
        <v>41600</v>
      </c>
      <c r="Q36" s="52">
        <f ca="1">SUMIFS(OUT!$F$2:$F$11000,OUT!$H$2:$H$11000,H36,OUT!$D$2:$D$11000,"Out",OUT!$E$2:$E$11000,"Mio")</f>
        <v>249000</v>
      </c>
      <c r="R36" s="52">
        <f ca="1">SUMIFS(OUT!$F$2:$F$11000,OUT!$H$2:$H$11000,H36,OUT!$D$2:$D$11000,"Out",OUT!$E$2:$E$11000,"Sedekah")</f>
        <v>129000</v>
      </c>
      <c r="S36" s="52">
        <f ca="1">SUMIFS(OUT!$F$2:$F$11000,OUT!$H$2:$H$11000,H36,OUT!$D$2:$D$11000,"Out",OUT!$E$2:$E$11000,"Zela")</f>
        <v>24100</v>
      </c>
      <c r="T36" s="52">
        <f ca="1">SUMIFS(OUT!$F$2:$F$11000,OUT!$H$2:$H$11000,H36,OUT!$D$2:$D$11000,"Out",OUT!$E$2:$E$11000,"Iqbal")</f>
        <v>121000</v>
      </c>
    </row>
    <row r="37" spans="1:20" x14ac:dyDescent="0.2">
      <c r="A37" s="48">
        <f ca="1">IFERROR(__xludf.DUMMYFUNCTION("""COMPUTED_VALUE"""),46071)</f>
        <v>46071</v>
      </c>
      <c r="B37" s="4" t="str">
        <f ca="1">IFERROR(__xludf.DUMMYFUNCTION("""COMPUTED_VALUE"""),"Rokok")</f>
        <v>Rokok</v>
      </c>
      <c r="C37" s="4" t="str">
        <f ca="1">IFERROR(__xludf.DUMMYFUNCTION("""COMPUTED_VALUE"""),"ATM")</f>
        <v>ATM</v>
      </c>
      <c r="D37" s="4" t="str">
        <f ca="1">IFERROR(__xludf.DUMMYFUNCTION("""COMPUTED_VALUE"""),"Out")</f>
        <v>Out</v>
      </c>
      <c r="E37" s="4" t="str">
        <f ca="1">IFERROR(__xludf.DUMMYFUNCTION("""COMPUTED_VALUE"""),"Iqbal")</f>
        <v>Iqbal</v>
      </c>
      <c r="F37" s="49">
        <f ca="1">IFERROR(__xludf.DUMMYFUNCTION("""COMPUTED_VALUE"""),15000)</f>
        <v>15000</v>
      </c>
      <c r="G37" s="50" t="str">
        <f ca="1">IFERROR(__xludf.DUMMYFUNCTION("""COMPUTED_VALUE"""),"Ibal")</f>
        <v>Ibal</v>
      </c>
      <c r="H37" s="51">
        <f t="shared" ca="1" si="0"/>
        <v>46054</v>
      </c>
      <c r="I37" s="52" t="e">
        <f ca="1">SUMIFS(OUT!$F$2:$F$11000,OUT!$H$2:$H$11000,H37,OUT!$D$2:$D$101007,"In")</f>
        <v>#VALUE!</v>
      </c>
      <c r="J37" s="52">
        <f ca="1">SUMIFS(OUT!$F$2:$F$11000,OUT!$H$2:$H$11000,H37,OUT!$D$2:$D$11000,"Out")</f>
        <v>6908733</v>
      </c>
      <c r="K37" s="52">
        <f ca="1">SUMIFS(OUT!$F$2:$F$11000,OUT!$H$2:$H$11000,H37,OUT!$D$2:$D$11000,"Out",OUT!$E$2:$E$11000,"Fix")</f>
        <v>2440568</v>
      </c>
      <c r="L37" s="52">
        <f ca="1">SUMIFS(OUT!$F$2:$F$11000,OUT!$H$2:$H$11000,H37,OUT!$D$2:$D$11000,"Out",OUT!$E$2:$E$11000,"Bathroom")</f>
        <v>34500</v>
      </c>
      <c r="M37" s="52">
        <f ca="1">SUMIFS(OUT!$F$2:$F$11000,OUT!$H$2:$H$11000,H37,OUT!$D$2:$D$11000,"Out",OUT!$E$2:$E$11000,"Alfa")</f>
        <v>293800</v>
      </c>
      <c r="N37" s="52" t="e">
        <f ca="1">SUMIFS(OUT!$F$2:$F$11000,OUT!$H$2:$H$101007,H37,OUT!$D$2:$D$11000,"Out",OUT!$E$2:$E$11000,"Jajan")</f>
        <v>#VALUE!</v>
      </c>
      <c r="O37" s="52">
        <f ca="1">SUMIFS(OUT!$F$2:$F$11000,OUT!$H$2:$H$11000,H37,OUT!$D$2:$D$11000,"Out",OUT!$E$2:$E$11000,"Kitchen")</f>
        <v>992724</v>
      </c>
      <c r="P37" s="52">
        <f ca="1">SUMIFS(OUT!$F$2:$F$11000,OUT!$H$2:$H$11000,H37,OUT!$D$2:$D$11000,"Out",OUT!$E$2:$E$11000,"Loandry")</f>
        <v>41600</v>
      </c>
      <c r="Q37" s="52">
        <f ca="1">SUMIFS(OUT!$F$2:$F$11000,OUT!$H$2:$H$11000,H37,OUT!$D$2:$D$11000,"Out",OUT!$E$2:$E$11000,"Mio")</f>
        <v>249000</v>
      </c>
      <c r="R37" s="52">
        <f ca="1">SUMIFS(OUT!$F$2:$F$11000,OUT!$H$2:$H$11000,H37,OUT!$D$2:$D$11000,"Out",OUT!$E$2:$E$11000,"Sedekah")</f>
        <v>129000</v>
      </c>
      <c r="S37" s="52">
        <f ca="1">SUMIFS(OUT!$F$2:$F$11000,OUT!$H$2:$H$11000,H37,OUT!$D$2:$D$11000,"Out",OUT!$E$2:$E$11000,"Zela")</f>
        <v>24100</v>
      </c>
      <c r="T37" s="52">
        <f ca="1">SUMIFS(OUT!$F$2:$F$11000,OUT!$H$2:$H$11000,H37,OUT!$D$2:$D$11000,"Out",OUT!$E$2:$E$11000,"Iqbal")</f>
        <v>121000</v>
      </c>
    </row>
    <row r="38" spans="1:20" x14ac:dyDescent="0.2">
      <c r="A38" s="48">
        <f ca="1">IFERROR(__xludf.DUMMYFUNCTION("""COMPUTED_VALUE"""),46071)</f>
        <v>46071</v>
      </c>
      <c r="B38" s="4" t="str">
        <f ca="1">IFERROR(__xludf.DUMMYFUNCTION("""COMPUTED_VALUE"""),"Mancis")</f>
        <v>Mancis</v>
      </c>
      <c r="C38" s="4" t="str">
        <f ca="1">IFERROR(__xludf.DUMMYFUNCTION("""COMPUTED_VALUE"""),"ATM")</f>
        <v>ATM</v>
      </c>
      <c r="D38" s="4" t="str">
        <f ca="1">IFERROR(__xludf.DUMMYFUNCTION("""COMPUTED_VALUE"""),"Out")</f>
        <v>Out</v>
      </c>
      <c r="E38" s="4" t="str">
        <f ca="1">IFERROR(__xludf.DUMMYFUNCTION("""COMPUTED_VALUE"""),"Iqbal")</f>
        <v>Iqbal</v>
      </c>
      <c r="F38" s="49">
        <f ca="1">IFERROR(__xludf.DUMMYFUNCTION("""COMPUTED_VALUE"""),2000)</f>
        <v>2000</v>
      </c>
      <c r="G38" s="50" t="str">
        <f ca="1">IFERROR(__xludf.DUMMYFUNCTION("""COMPUTED_VALUE"""),"Ibal")</f>
        <v>Ibal</v>
      </c>
      <c r="H38" s="51">
        <f t="shared" ca="1" si="0"/>
        <v>46054</v>
      </c>
      <c r="I38" s="52" t="e">
        <f ca="1">SUMIFS(OUT!$F$2:$F$11000,OUT!$H$2:$H$11000,H38,OUT!$D$2:$D$101007,"In")</f>
        <v>#VALUE!</v>
      </c>
      <c r="J38" s="52">
        <f ca="1">SUMIFS(OUT!$F$2:$F$11000,OUT!$H$2:$H$11000,H38,OUT!$D$2:$D$11000,"Out")</f>
        <v>6908733</v>
      </c>
      <c r="K38" s="52">
        <f ca="1">SUMIFS(OUT!$F$2:$F$11000,OUT!$H$2:$H$11000,H38,OUT!$D$2:$D$11000,"Out",OUT!$E$2:$E$11000,"Fix")</f>
        <v>2440568</v>
      </c>
      <c r="L38" s="52">
        <f ca="1">SUMIFS(OUT!$F$2:$F$11000,OUT!$H$2:$H$11000,H38,OUT!$D$2:$D$11000,"Out",OUT!$E$2:$E$11000,"Bathroom")</f>
        <v>34500</v>
      </c>
      <c r="M38" s="52">
        <f ca="1">SUMIFS(OUT!$F$2:$F$11000,OUT!$H$2:$H$11000,H38,OUT!$D$2:$D$11000,"Out",OUT!$E$2:$E$11000,"Alfa")</f>
        <v>293800</v>
      </c>
      <c r="N38" s="52" t="e">
        <f ca="1">SUMIFS(OUT!$F$2:$F$11000,OUT!$H$2:$H$101007,H38,OUT!$D$2:$D$11000,"Out",OUT!$E$2:$E$11000,"Jajan")</f>
        <v>#VALUE!</v>
      </c>
      <c r="O38" s="52">
        <f ca="1">SUMIFS(OUT!$F$2:$F$11000,OUT!$H$2:$H$11000,H38,OUT!$D$2:$D$11000,"Out",OUT!$E$2:$E$11000,"Kitchen")</f>
        <v>992724</v>
      </c>
      <c r="P38" s="52">
        <f ca="1">SUMIFS(OUT!$F$2:$F$11000,OUT!$H$2:$H$11000,H38,OUT!$D$2:$D$11000,"Out",OUT!$E$2:$E$11000,"Loandry")</f>
        <v>41600</v>
      </c>
      <c r="Q38" s="52">
        <f ca="1">SUMIFS(OUT!$F$2:$F$11000,OUT!$H$2:$H$11000,H38,OUT!$D$2:$D$11000,"Out",OUT!$E$2:$E$11000,"Mio")</f>
        <v>249000</v>
      </c>
      <c r="R38" s="52">
        <f ca="1">SUMIFS(OUT!$F$2:$F$11000,OUT!$H$2:$H$11000,H38,OUT!$D$2:$D$11000,"Out",OUT!$E$2:$E$11000,"Sedekah")</f>
        <v>129000</v>
      </c>
      <c r="S38" s="52">
        <f ca="1">SUMIFS(OUT!$F$2:$F$11000,OUT!$H$2:$H$11000,H38,OUT!$D$2:$D$11000,"Out",OUT!$E$2:$E$11000,"Zela")</f>
        <v>24100</v>
      </c>
      <c r="T38" s="52">
        <f ca="1">SUMIFS(OUT!$F$2:$F$11000,OUT!$H$2:$H$11000,H38,OUT!$D$2:$D$11000,"Out",OUT!$E$2:$E$11000,"Iqbal")</f>
        <v>121000</v>
      </c>
    </row>
    <row r="39" spans="1:20" x14ac:dyDescent="0.2">
      <c r="A39" s="48">
        <f ca="1">IFERROR(__xludf.DUMMYFUNCTION("""COMPUTED_VALUE"""),46072)</f>
        <v>46072</v>
      </c>
      <c r="B39" s="4" t="str">
        <f ca="1">IFERROR(__xludf.DUMMYFUNCTION("""COMPUTED_VALUE"""),"Tarik tunai")</f>
        <v>Tarik tunai</v>
      </c>
      <c r="C39" s="4" t="str">
        <f ca="1">IFERROR(__xludf.DUMMYFUNCTION("""COMPUTED_VALUE"""),"ATM")</f>
        <v>ATM</v>
      </c>
      <c r="D39" s="4" t="str">
        <f ca="1">IFERROR(__xludf.DUMMYFUNCTION("""COMPUTED_VALUE"""),"Move")</f>
        <v>Move</v>
      </c>
      <c r="E39" s="4" t="str">
        <f ca="1">IFERROR(__xludf.DUMMYFUNCTION("""COMPUTED_VALUE"""),"Move")</f>
        <v>Move</v>
      </c>
      <c r="F39" s="49">
        <f ca="1">IFERROR(__xludf.DUMMYFUNCTION("""COMPUTED_VALUE"""),100000)</f>
        <v>100000</v>
      </c>
      <c r="G39" s="50" t="str">
        <f ca="1">IFERROR(__xludf.DUMMYFUNCTION("""COMPUTED_VALUE"""),"Ibal")</f>
        <v>Ibal</v>
      </c>
      <c r="H39" s="51">
        <f t="shared" ca="1" si="0"/>
        <v>46054</v>
      </c>
      <c r="I39" s="52" t="e">
        <f ca="1">SUMIFS(OUT!$F$2:$F$11000,OUT!$H$2:$H$11000,H39,OUT!$D$2:$D$101007,"In")</f>
        <v>#VALUE!</v>
      </c>
      <c r="J39" s="52">
        <f ca="1">SUMIFS(OUT!$F$2:$F$11000,OUT!$H$2:$H$11000,H39,OUT!$D$2:$D$11000,"Out")</f>
        <v>6908733</v>
      </c>
      <c r="K39" s="52">
        <f ca="1">SUMIFS(OUT!$F$2:$F$11000,OUT!$H$2:$H$11000,H39,OUT!$D$2:$D$11000,"Out",OUT!$E$2:$E$11000,"Fix")</f>
        <v>2440568</v>
      </c>
      <c r="L39" s="52">
        <f ca="1">SUMIFS(OUT!$F$2:$F$11000,OUT!$H$2:$H$11000,H39,OUT!$D$2:$D$11000,"Out",OUT!$E$2:$E$11000,"Bathroom")</f>
        <v>34500</v>
      </c>
      <c r="M39" s="52">
        <f ca="1">SUMIFS(OUT!$F$2:$F$11000,OUT!$H$2:$H$11000,H39,OUT!$D$2:$D$11000,"Out",OUT!$E$2:$E$11000,"Alfa")</f>
        <v>293800</v>
      </c>
      <c r="N39" s="52" t="e">
        <f ca="1">SUMIFS(OUT!$F$2:$F$11000,OUT!$H$2:$H$101007,H39,OUT!$D$2:$D$11000,"Out",OUT!$E$2:$E$11000,"Jajan")</f>
        <v>#VALUE!</v>
      </c>
      <c r="O39" s="52">
        <f ca="1">SUMIFS(OUT!$F$2:$F$11000,OUT!$H$2:$H$11000,H39,OUT!$D$2:$D$11000,"Out",OUT!$E$2:$E$11000,"Kitchen")</f>
        <v>992724</v>
      </c>
      <c r="P39" s="52">
        <f ca="1">SUMIFS(OUT!$F$2:$F$11000,OUT!$H$2:$H$11000,H39,OUT!$D$2:$D$11000,"Out",OUT!$E$2:$E$11000,"Loandry")</f>
        <v>41600</v>
      </c>
      <c r="Q39" s="52">
        <f ca="1">SUMIFS(OUT!$F$2:$F$11000,OUT!$H$2:$H$11000,H39,OUT!$D$2:$D$11000,"Out",OUT!$E$2:$E$11000,"Mio")</f>
        <v>249000</v>
      </c>
      <c r="R39" s="52">
        <f ca="1">SUMIFS(OUT!$F$2:$F$11000,OUT!$H$2:$H$11000,H39,OUT!$D$2:$D$11000,"Out",OUT!$E$2:$E$11000,"Sedekah")</f>
        <v>129000</v>
      </c>
      <c r="S39" s="52">
        <f ca="1">SUMIFS(OUT!$F$2:$F$11000,OUT!$H$2:$H$11000,H39,OUT!$D$2:$D$11000,"Out",OUT!$E$2:$E$11000,"Zela")</f>
        <v>24100</v>
      </c>
      <c r="T39" s="52">
        <f ca="1">SUMIFS(OUT!$F$2:$F$11000,OUT!$H$2:$H$11000,H39,OUT!$D$2:$D$11000,"Out",OUT!$E$2:$E$11000,"Iqbal")</f>
        <v>121000</v>
      </c>
    </row>
    <row r="40" spans="1:20" x14ac:dyDescent="0.2">
      <c r="A40" s="48">
        <f ca="1">IFERROR(__xludf.DUMMYFUNCTION("""COMPUTED_VALUE"""),46072)</f>
        <v>46072</v>
      </c>
      <c r="B40" s="4" t="str">
        <f ca="1">IFERROR(__xludf.DUMMYFUNCTION("""COMPUTED_VALUE"""),"Terima tunai")</f>
        <v>Terima tunai</v>
      </c>
      <c r="C40" s="4" t="str">
        <f ca="1">IFERROR(__xludf.DUMMYFUNCTION("""COMPUTED_VALUE"""),"Cash")</f>
        <v>Cash</v>
      </c>
      <c r="D40" s="4" t="str">
        <f ca="1">IFERROR(__xludf.DUMMYFUNCTION("""COMPUTED_VALUE"""),"Move")</f>
        <v>Move</v>
      </c>
      <c r="E40" s="4" t="str">
        <f ca="1">IFERROR(__xludf.DUMMYFUNCTION("""COMPUTED_VALUE"""),"Move")</f>
        <v>Move</v>
      </c>
      <c r="F40" s="49">
        <f ca="1">IFERROR(__xludf.DUMMYFUNCTION("""COMPUTED_VALUE"""),100000)</f>
        <v>100000</v>
      </c>
      <c r="G40" s="50" t="str">
        <f ca="1">IFERROR(__xludf.DUMMYFUNCTION("""COMPUTED_VALUE"""),"Ibal")</f>
        <v>Ibal</v>
      </c>
      <c r="H40" s="51">
        <f t="shared" ca="1" si="0"/>
        <v>46054</v>
      </c>
      <c r="I40" s="52" t="e">
        <f ca="1">SUMIFS(OUT!$F$2:$F$11000,OUT!$H$2:$H$11000,H40,OUT!$D$2:$D$101007,"In")</f>
        <v>#VALUE!</v>
      </c>
      <c r="J40" s="52">
        <f ca="1">SUMIFS(OUT!$F$2:$F$11000,OUT!$H$2:$H$11000,H40,OUT!$D$2:$D$11000,"Out")</f>
        <v>6908733</v>
      </c>
      <c r="K40" s="52">
        <f ca="1">SUMIFS(OUT!$F$2:$F$11000,OUT!$H$2:$H$11000,H40,OUT!$D$2:$D$11000,"Out",OUT!$E$2:$E$11000,"Fix")</f>
        <v>2440568</v>
      </c>
      <c r="L40" s="52">
        <f ca="1">SUMIFS(OUT!$F$2:$F$11000,OUT!$H$2:$H$11000,H40,OUT!$D$2:$D$11000,"Out",OUT!$E$2:$E$11000,"Bathroom")</f>
        <v>34500</v>
      </c>
      <c r="M40" s="52">
        <f ca="1">SUMIFS(OUT!$F$2:$F$11000,OUT!$H$2:$H$11000,H40,OUT!$D$2:$D$11000,"Out",OUT!$E$2:$E$11000,"Alfa")</f>
        <v>293800</v>
      </c>
      <c r="N40" s="52" t="e">
        <f ca="1">SUMIFS(OUT!$F$2:$F$11000,OUT!$H$2:$H$101007,H40,OUT!$D$2:$D$11000,"Out",OUT!$E$2:$E$11000,"Jajan")</f>
        <v>#VALUE!</v>
      </c>
      <c r="O40" s="52">
        <f ca="1">SUMIFS(OUT!$F$2:$F$11000,OUT!$H$2:$H$11000,H40,OUT!$D$2:$D$11000,"Out",OUT!$E$2:$E$11000,"Kitchen")</f>
        <v>992724</v>
      </c>
      <c r="P40" s="52">
        <f ca="1">SUMIFS(OUT!$F$2:$F$11000,OUT!$H$2:$H$11000,H40,OUT!$D$2:$D$11000,"Out",OUT!$E$2:$E$11000,"Loandry")</f>
        <v>41600</v>
      </c>
      <c r="Q40" s="52">
        <f ca="1">SUMIFS(OUT!$F$2:$F$11000,OUT!$H$2:$H$11000,H40,OUT!$D$2:$D$11000,"Out",OUT!$E$2:$E$11000,"Mio")</f>
        <v>249000</v>
      </c>
      <c r="R40" s="52">
        <f ca="1">SUMIFS(OUT!$F$2:$F$11000,OUT!$H$2:$H$11000,H40,OUT!$D$2:$D$11000,"Out",OUT!$E$2:$E$11000,"Sedekah")</f>
        <v>129000</v>
      </c>
      <c r="S40" s="52">
        <f ca="1">SUMIFS(OUT!$F$2:$F$11000,OUT!$H$2:$H$11000,H40,OUT!$D$2:$D$11000,"Out",OUT!$E$2:$E$11000,"Zela")</f>
        <v>24100</v>
      </c>
      <c r="T40" s="52">
        <f ca="1">SUMIFS(OUT!$F$2:$F$11000,OUT!$H$2:$H$11000,H40,OUT!$D$2:$D$11000,"Out",OUT!$E$2:$E$11000,"Iqbal")</f>
        <v>121000</v>
      </c>
    </row>
    <row r="41" spans="1:20" x14ac:dyDescent="0.2">
      <c r="A41" s="48">
        <f ca="1">IFERROR(__xludf.DUMMYFUNCTION("""COMPUTED_VALUE"""),46072)</f>
        <v>46072</v>
      </c>
      <c r="B41" s="4" t="str">
        <f ca="1">IFERROR(__xludf.DUMMYFUNCTION("""COMPUTED_VALUE"""),"Bensin Mio - Pertamax 92")</f>
        <v>Bensin Mio - Pertamax 92</v>
      </c>
      <c r="C41" s="4" t="str">
        <f ca="1">IFERROR(__xludf.DUMMYFUNCTION("""COMPUTED_VALUE"""),"Cash")</f>
        <v>Cash</v>
      </c>
      <c r="D41" s="4" t="str">
        <f ca="1">IFERROR(__xludf.DUMMYFUNCTION("""COMPUTED_VALUE"""),"Out")</f>
        <v>Out</v>
      </c>
      <c r="E41" s="4" t="str">
        <f ca="1">IFERROR(__xludf.DUMMYFUNCTION("""COMPUTED_VALUE"""),"Mio")</f>
        <v>Mio</v>
      </c>
      <c r="F41" s="49">
        <f ca="1">IFERROR(__xludf.DUMMYFUNCTION("""COMPUTED_VALUE"""),30000)</f>
        <v>30000</v>
      </c>
      <c r="G41" s="50" t="str">
        <f ca="1">IFERROR(__xludf.DUMMYFUNCTION("""COMPUTED_VALUE"""),"Ibal")</f>
        <v>Ibal</v>
      </c>
      <c r="H41" s="51">
        <f t="shared" ca="1" si="0"/>
        <v>46054</v>
      </c>
      <c r="I41" s="52" t="e">
        <f ca="1">SUMIFS(OUT!$F$2:$F$11000,OUT!$H$2:$H$11000,H41,OUT!$D$2:$D$101007,"In")</f>
        <v>#VALUE!</v>
      </c>
      <c r="J41" s="52">
        <f ca="1">SUMIFS(OUT!$F$2:$F$11000,OUT!$H$2:$H$11000,H41,OUT!$D$2:$D$11000,"Out")</f>
        <v>6908733</v>
      </c>
      <c r="K41" s="52">
        <f ca="1">SUMIFS(OUT!$F$2:$F$11000,OUT!$H$2:$H$11000,H41,OUT!$D$2:$D$11000,"Out",OUT!$E$2:$E$11000,"Fix")</f>
        <v>2440568</v>
      </c>
      <c r="L41" s="52">
        <f ca="1">SUMIFS(OUT!$F$2:$F$11000,OUT!$H$2:$H$11000,H41,OUT!$D$2:$D$11000,"Out",OUT!$E$2:$E$11000,"Bathroom")</f>
        <v>34500</v>
      </c>
      <c r="M41" s="52">
        <f ca="1">SUMIFS(OUT!$F$2:$F$11000,OUT!$H$2:$H$11000,H41,OUT!$D$2:$D$11000,"Out",OUT!$E$2:$E$11000,"Alfa")</f>
        <v>293800</v>
      </c>
      <c r="N41" s="52" t="e">
        <f ca="1">SUMIFS(OUT!$F$2:$F$11000,OUT!$H$2:$H$101007,H41,OUT!$D$2:$D$11000,"Out",OUT!$E$2:$E$11000,"Jajan")</f>
        <v>#VALUE!</v>
      </c>
      <c r="O41" s="52">
        <f ca="1">SUMIFS(OUT!$F$2:$F$11000,OUT!$H$2:$H$11000,H41,OUT!$D$2:$D$11000,"Out",OUT!$E$2:$E$11000,"Kitchen")</f>
        <v>992724</v>
      </c>
      <c r="P41" s="52">
        <f ca="1">SUMIFS(OUT!$F$2:$F$11000,OUT!$H$2:$H$11000,H41,OUT!$D$2:$D$11000,"Out",OUT!$E$2:$E$11000,"Loandry")</f>
        <v>41600</v>
      </c>
      <c r="Q41" s="52">
        <f ca="1">SUMIFS(OUT!$F$2:$F$11000,OUT!$H$2:$H$11000,H41,OUT!$D$2:$D$11000,"Out",OUT!$E$2:$E$11000,"Mio")</f>
        <v>249000</v>
      </c>
      <c r="R41" s="52">
        <f ca="1">SUMIFS(OUT!$F$2:$F$11000,OUT!$H$2:$H$11000,H41,OUT!$D$2:$D$11000,"Out",OUT!$E$2:$E$11000,"Sedekah")</f>
        <v>129000</v>
      </c>
      <c r="S41" s="52">
        <f ca="1">SUMIFS(OUT!$F$2:$F$11000,OUT!$H$2:$H$11000,H41,OUT!$D$2:$D$11000,"Out",OUT!$E$2:$E$11000,"Zela")</f>
        <v>24100</v>
      </c>
      <c r="T41" s="52">
        <f ca="1">SUMIFS(OUT!$F$2:$F$11000,OUT!$H$2:$H$11000,H41,OUT!$D$2:$D$11000,"Out",OUT!$E$2:$E$11000,"Iqbal")</f>
        <v>121000</v>
      </c>
    </row>
    <row r="42" spans="1:20" x14ac:dyDescent="0.2">
      <c r="A42" s="48">
        <f ca="1">IFERROR(__xludf.DUMMYFUNCTION("""COMPUTED_VALUE"""),46072)</f>
        <v>46072</v>
      </c>
      <c r="B42" s="4" t="str">
        <f ca="1">IFERROR(__xludf.DUMMYFUNCTION("""COMPUTED_VALUE"""),"Teh telor")</f>
        <v>Teh telor</v>
      </c>
      <c r="C42" s="4" t="str">
        <f ca="1">IFERROR(__xludf.DUMMYFUNCTION("""COMPUTED_VALUE"""),"Cash")</f>
        <v>Cash</v>
      </c>
      <c r="D42" s="4" t="str">
        <f ca="1">IFERROR(__xludf.DUMMYFUNCTION("""COMPUTED_VALUE"""),"Out")</f>
        <v>Out</v>
      </c>
      <c r="E42" s="4" t="str">
        <f ca="1">IFERROR(__xludf.DUMMYFUNCTION("""COMPUTED_VALUE"""),"Jajan")</f>
        <v>Jajan</v>
      </c>
      <c r="F42" s="49">
        <f ca="1">IFERROR(__xludf.DUMMYFUNCTION("""COMPUTED_VALUE"""),11000)</f>
        <v>11000</v>
      </c>
      <c r="G42" s="50" t="str">
        <f ca="1">IFERROR(__xludf.DUMMYFUNCTION("""COMPUTED_VALUE"""),"Ibal")</f>
        <v>Ibal</v>
      </c>
      <c r="H42" s="51">
        <f t="shared" ca="1" si="0"/>
        <v>46054</v>
      </c>
      <c r="I42" s="52" t="e">
        <f ca="1">SUMIFS(OUT!$F$2:$F$11000,OUT!$H$2:$H$11000,H42,OUT!$D$2:$D$101007,"In")</f>
        <v>#VALUE!</v>
      </c>
      <c r="J42" s="52">
        <f ca="1">SUMIFS(OUT!$F$2:$F$11000,OUT!$H$2:$H$11000,H42,OUT!$D$2:$D$11000,"Out")</f>
        <v>6908733</v>
      </c>
      <c r="K42" s="52">
        <f ca="1">SUMIFS(OUT!$F$2:$F$11000,OUT!$H$2:$H$11000,H42,OUT!$D$2:$D$11000,"Out",OUT!$E$2:$E$11000,"Fix")</f>
        <v>2440568</v>
      </c>
      <c r="L42" s="52">
        <f ca="1">SUMIFS(OUT!$F$2:$F$11000,OUT!$H$2:$H$11000,H42,OUT!$D$2:$D$11000,"Out",OUT!$E$2:$E$11000,"Bathroom")</f>
        <v>34500</v>
      </c>
      <c r="M42" s="52">
        <f ca="1">SUMIFS(OUT!$F$2:$F$11000,OUT!$H$2:$H$11000,H42,OUT!$D$2:$D$11000,"Out",OUT!$E$2:$E$11000,"Alfa")</f>
        <v>293800</v>
      </c>
      <c r="N42" s="52" t="e">
        <f ca="1">SUMIFS(OUT!$F$2:$F$11000,OUT!$H$2:$H$101007,H42,OUT!$D$2:$D$11000,"Out",OUT!$E$2:$E$11000,"Jajan")</f>
        <v>#VALUE!</v>
      </c>
      <c r="O42" s="52">
        <f ca="1">SUMIFS(OUT!$F$2:$F$11000,OUT!$H$2:$H$11000,H42,OUT!$D$2:$D$11000,"Out",OUT!$E$2:$E$11000,"Kitchen")</f>
        <v>992724</v>
      </c>
      <c r="P42" s="52">
        <f ca="1">SUMIFS(OUT!$F$2:$F$11000,OUT!$H$2:$H$11000,H42,OUT!$D$2:$D$11000,"Out",OUT!$E$2:$E$11000,"Loandry")</f>
        <v>41600</v>
      </c>
      <c r="Q42" s="52">
        <f ca="1">SUMIFS(OUT!$F$2:$F$11000,OUT!$H$2:$H$11000,H42,OUT!$D$2:$D$11000,"Out",OUT!$E$2:$E$11000,"Mio")</f>
        <v>249000</v>
      </c>
      <c r="R42" s="52">
        <f ca="1">SUMIFS(OUT!$F$2:$F$11000,OUT!$H$2:$H$11000,H42,OUT!$D$2:$D$11000,"Out",OUT!$E$2:$E$11000,"Sedekah")</f>
        <v>129000</v>
      </c>
      <c r="S42" s="52">
        <f ca="1">SUMIFS(OUT!$F$2:$F$11000,OUT!$H$2:$H$11000,H42,OUT!$D$2:$D$11000,"Out",OUT!$E$2:$E$11000,"Zela")</f>
        <v>24100</v>
      </c>
      <c r="T42" s="52">
        <f ca="1">SUMIFS(OUT!$F$2:$F$11000,OUT!$H$2:$H$11000,H42,OUT!$D$2:$D$11000,"Out",OUT!$E$2:$E$11000,"Iqbal")</f>
        <v>121000</v>
      </c>
    </row>
    <row r="43" spans="1:20" x14ac:dyDescent="0.2">
      <c r="A43" s="48">
        <f ca="1">IFERROR(__xludf.DUMMYFUNCTION("""COMPUTED_VALUE"""),46073)</f>
        <v>46073</v>
      </c>
      <c r="B43" s="4" t="str">
        <f ca="1">IFERROR(__xludf.DUMMYFUNCTION("""COMPUTED_VALUE"""),"Infaq")</f>
        <v>Infaq</v>
      </c>
      <c r="C43" s="4" t="str">
        <f ca="1">IFERROR(__xludf.DUMMYFUNCTION("""COMPUTED_VALUE"""),"Cash")</f>
        <v>Cash</v>
      </c>
      <c r="D43" s="4" t="str">
        <f ca="1">IFERROR(__xludf.DUMMYFUNCTION("""COMPUTED_VALUE"""),"Out")</f>
        <v>Out</v>
      </c>
      <c r="E43" s="4" t="str">
        <f ca="1">IFERROR(__xludf.DUMMYFUNCTION("""COMPUTED_VALUE"""),"Sedekah")</f>
        <v>Sedekah</v>
      </c>
      <c r="F43" s="49">
        <f ca="1">IFERROR(__xludf.DUMMYFUNCTION("""COMPUTED_VALUE"""),9000)</f>
        <v>9000</v>
      </c>
      <c r="G43" s="50" t="str">
        <f ca="1">IFERROR(__xludf.DUMMYFUNCTION("""COMPUTED_VALUE"""),"Ibal")</f>
        <v>Ibal</v>
      </c>
      <c r="H43" s="51">
        <f t="shared" ca="1" si="0"/>
        <v>46054</v>
      </c>
      <c r="I43" s="52" t="e">
        <f ca="1">SUMIFS(OUT!$F$2:$F$11000,OUT!$H$2:$H$11000,H43,OUT!$D$2:$D$101007,"In")</f>
        <v>#VALUE!</v>
      </c>
      <c r="J43" s="52">
        <f ca="1">SUMIFS(OUT!$F$2:$F$11000,OUT!$H$2:$H$11000,H43,OUT!$D$2:$D$11000,"Out")</f>
        <v>6908733</v>
      </c>
      <c r="K43" s="52">
        <f ca="1">SUMIFS(OUT!$F$2:$F$11000,OUT!$H$2:$H$11000,H43,OUT!$D$2:$D$11000,"Out",OUT!$E$2:$E$11000,"Fix")</f>
        <v>2440568</v>
      </c>
      <c r="L43" s="52">
        <f ca="1">SUMIFS(OUT!$F$2:$F$11000,OUT!$H$2:$H$11000,H43,OUT!$D$2:$D$11000,"Out",OUT!$E$2:$E$11000,"Bathroom")</f>
        <v>34500</v>
      </c>
      <c r="M43" s="52">
        <f ca="1">SUMIFS(OUT!$F$2:$F$11000,OUT!$H$2:$H$11000,H43,OUT!$D$2:$D$11000,"Out",OUT!$E$2:$E$11000,"Alfa")</f>
        <v>293800</v>
      </c>
      <c r="N43" s="52" t="e">
        <f ca="1">SUMIFS(OUT!$F$2:$F$11000,OUT!$H$2:$H$101007,H43,OUT!$D$2:$D$11000,"Out",OUT!$E$2:$E$11000,"Jajan")</f>
        <v>#VALUE!</v>
      </c>
      <c r="O43" s="52">
        <f ca="1">SUMIFS(OUT!$F$2:$F$11000,OUT!$H$2:$H$11000,H43,OUT!$D$2:$D$11000,"Out",OUT!$E$2:$E$11000,"Kitchen")</f>
        <v>992724</v>
      </c>
      <c r="P43" s="52">
        <f ca="1">SUMIFS(OUT!$F$2:$F$11000,OUT!$H$2:$H$11000,H43,OUT!$D$2:$D$11000,"Out",OUT!$E$2:$E$11000,"Loandry")</f>
        <v>41600</v>
      </c>
      <c r="Q43" s="52">
        <f ca="1">SUMIFS(OUT!$F$2:$F$11000,OUT!$H$2:$H$11000,H43,OUT!$D$2:$D$11000,"Out",OUT!$E$2:$E$11000,"Mio")</f>
        <v>249000</v>
      </c>
      <c r="R43" s="52">
        <f ca="1">SUMIFS(OUT!$F$2:$F$11000,OUT!$H$2:$H$11000,H43,OUT!$D$2:$D$11000,"Out",OUT!$E$2:$E$11000,"Sedekah")</f>
        <v>129000</v>
      </c>
      <c r="S43" s="52">
        <f ca="1">SUMIFS(OUT!$F$2:$F$11000,OUT!$H$2:$H$11000,H43,OUT!$D$2:$D$11000,"Out",OUT!$E$2:$E$11000,"Zela")</f>
        <v>24100</v>
      </c>
      <c r="T43" s="52">
        <f ca="1">SUMIFS(OUT!$F$2:$F$11000,OUT!$H$2:$H$11000,H43,OUT!$D$2:$D$11000,"Out",OUT!$E$2:$E$11000,"Iqbal")</f>
        <v>121000</v>
      </c>
    </row>
    <row r="44" spans="1:20" x14ac:dyDescent="0.2">
      <c r="A44" s="48">
        <f ca="1">IFERROR(__xludf.DUMMYFUNCTION("""COMPUTED_VALUE"""),46073)</f>
        <v>46073</v>
      </c>
      <c r="B44" s="4" t="str">
        <f ca="1">IFERROR(__xludf.DUMMYFUNCTION("""COMPUTED_VALUE"""),"Admin fee")</f>
        <v>Admin fee</v>
      </c>
      <c r="C44" s="4" t="str">
        <f ca="1">IFERROR(__xludf.DUMMYFUNCTION("""COMPUTED_VALUE"""),"ATM")</f>
        <v>ATM</v>
      </c>
      <c r="D44" s="4" t="str">
        <f ca="1">IFERROR(__xludf.DUMMYFUNCTION("""COMPUTED_VALUE"""),"Out")</f>
        <v>Out</v>
      </c>
      <c r="E44" s="4" t="str">
        <f ca="1">IFERROR(__xludf.DUMMYFUNCTION("""COMPUTED_VALUE"""),"Fix")</f>
        <v>Fix</v>
      </c>
      <c r="F44" s="49">
        <f ca="1">IFERROR(__xludf.DUMMYFUNCTION("""COMPUTED_VALUE"""),6000)</f>
        <v>6000</v>
      </c>
      <c r="G44" s="50" t="str">
        <f ca="1">IFERROR(__xludf.DUMMYFUNCTION("""COMPUTED_VALUE"""),"Ibal")</f>
        <v>Ibal</v>
      </c>
      <c r="H44" s="51">
        <f t="shared" ca="1" si="0"/>
        <v>46054</v>
      </c>
      <c r="I44" s="52" t="e">
        <f ca="1">SUMIFS(OUT!$F$2:$F$11000,OUT!$H$2:$H$11000,H44,OUT!$D$2:$D$101007,"In")</f>
        <v>#VALUE!</v>
      </c>
      <c r="J44" s="52">
        <f ca="1">SUMIFS(OUT!$F$2:$F$11000,OUT!$H$2:$H$11000,H44,OUT!$D$2:$D$11000,"Out")</f>
        <v>6908733</v>
      </c>
      <c r="K44" s="52">
        <f ca="1">SUMIFS(OUT!$F$2:$F$11000,OUT!$H$2:$H$11000,H44,OUT!$D$2:$D$11000,"Out",OUT!$E$2:$E$11000,"Fix")</f>
        <v>2440568</v>
      </c>
      <c r="L44" s="52">
        <f ca="1">SUMIFS(OUT!$F$2:$F$11000,OUT!$H$2:$H$11000,H44,OUT!$D$2:$D$11000,"Out",OUT!$E$2:$E$11000,"Bathroom")</f>
        <v>34500</v>
      </c>
      <c r="M44" s="52">
        <f ca="1">SUMIFS(OUT!$F$2:$F$11000,OUT!$H$2:$H$11000,H44,OUT!$D$2:$D$11000,"Out",OUT!$E$2:$E$11000,"Alfa")</f>
        <v>293800</v>
      </c>
      <c r="N44" s="52" t="e">
        <f ca="1">SUMIFS(OUT!$F$2:$F$11000,OUT!$H$2:$H$101007,H44,OUT!$D$2:$D$11000,"Out",OUT!$E$2:$E$11000,"Jajan")</f>
        <v>#VALUE!</v>
      </c>
      <c r="O44" s="52">
        <f ca="1">SUMIFS(OUT!$F$2:$F$11000,OUT!$H$2:$H$11000,H44,OUT!$D$2:$D$11000,"Out",OUT!$E$2:$E$11000,"Kitchen")</f>
        <v>992724</v>
      </c>
      <c r="P44" s="52">
        <f ca="1">SUMIFS(OUT!$F$2:$F$11000,OUT!$H$2:$H$11000,H44,OUT!$D$2:$D$11000,"Out",OUT!$E$2:$E$11000,"Loandry")</f>
        <v>41600</v>
      </c>
      <c r="Q44" s="52">
        <f ca="1">SUMIFS(OUT!$F$2:$F$11000,OUT!$H$2:$H$11000,H44,OUT!$D$2:$D$11000,"Out",OUT!$E$2:$E$11000,"Mio")</f>
        <v>249000</v>
      </c>
      <c r="R44" s="52">
        <f ca="1">SUMIFS(OUT!$F$2:$F$11000,OUT!$H$2:$H$11000,H44,OUT!$D$2:$D$11000,"Out",OUT!$E$2:$E$11000,"Sedekah")</f>
        <v>129000</v>
      </c>
      <c r="S44" s="52">
        <f ca="1">SUMIFS(OUT!$F$2:$F$11000,OUT!$H$2:$H$11000,H44,OUT!$D$2:$D$11000,"Out",OUT!$E$2:$E$11000,"Zela")</f>
        <v>24100</v>
      </c>
      <c r="T44" s="52">
        <f ca="1">SUMIFS(OUT!$F$2:$F$11000,OUT!$H$2:$H$11000,H44,OUT!$D$2:$D$11000,"Out",OUT!$E$2:$E$11000,"Iqbal")</f>
        <v>121000</v>
      </c>
    </row>
    <row r="45" spans="1:20" x14ac:dyDescent="0.2">
      <c r="A45" s="48">
        <f ca="1">IFERROR(__xludf.DUMMYFUNCTION("""COMPUTED_VALUE"""),46074)</f>
        <v>46074</v>
      </c>
      <c r="B45" s="4" t="str">
        <f ca="1">IFERROR(__xludf.DUMMYFUNCTION("""COMPUTED_VALUE"""),"Istriku")</f>
        <v>Istriku</v>
      </c>
      <c r="C45" s="4" t="str">
        <f ca="1">IFERROR(__xludf.DUMMYFUNCTION("""COMPUTED_VALUE"""),"ATM")</f>
        <v>ATM</v>
      </c>
      <c r="D45" s="4" t="str">
        <f ca="1">IFERROR(__xludf.DUMMYFUNCTION("""COMPUTED_VALUE"""),"In")</f>
        <v>In</v>
      </c>
      <c r="E45" s="4" t="str">
        <f ca="1">IFERROR(__xludf.DUMMYFUNCTION("""COMPUTED_VALUE"""),"Move")</f>
        <v>Move</v>
      </c>
      <c r="F45" s="49">
        <f ca="1">IFERROR(__xludf.DUMMYFUNCTION("""COMPUTED_VALUE"""),20000)</f>
        <v>20000</v>
      </c>
      <c r="G45" s="50" t="str">
        <f ca="1">IFERROR(__xludf.DUMMYFUNCTION("""COMPUTED_VALUE"""),"Ibal")</f>
        <v>Ibal</v>
      </c>
      <c r="H45" s="51">
        <f t="shared" ca="1" si="0"/>
        <v>46054</v>
      </c>
      <c r="I45" s="52" t="e">
        <f ca="1">SUMIFS(OUT!$F$2:$F$11000,OUT!$H$2:$H$11000,H45,OUT!$D$2:$D$101007,"In")</f>
        <v>#VALUE!</v>
      </c>
      <c r="J45" s="52">
        <f ca="1">SUMIFS(OUT!$F$2:$F$11000,OUT!$H$2:$H$11000,H45,OUT!$D$2:$D$11000,"Out")</f>
        <v>6908733</v>
      </c>
      <c r="K45" s="52">
        <f ca="1">SUMIFS(OUT!$F$2:$F$11000,OUT!$H$2:$H$11000,H45,OUT!$D$2:$D$11000,"Out",OUT!$E$2:$E$11000,"Fix")</f>
        <v>2440568</v>
      </c>
      <c r="L45" s="52">
        <f ca="1">SUMIFS(OUT!$F$2:$F$11000,OUT!$H$2:$H$11000,H45,OUT!$D$2:$D$11000,"Out",OUT!$E$2:$E$11000,"Bathroom")</f>
        <v>34500</v>
      </c>
      <c r="M45" s="52">
        <f ca="1">SUMIFS(OUT!$F$2:$F$11000,OUT!$H$2:$H$11000,H45,OUT!$D$2:$D$11000,"Out",OUT!$E$2:$E$11000,"Alfa")</f>
        <v>293800</v>
      </c>
      <c r="N45" s="52" t="e">
        <f ca="1">SUMIFS(OUT!$F$2:$F$11000,OUT!$H$2:$H$101007,H45,OUT!$D$2:$D$11000,"Out",OUT!$E$2:$E$11000,"Jajan")</f>
        <v>#VALUE!</v>
      </c>
      <c r="O45" s="52">
        <f ca="1">SUMIFS(OUT!$F$2:$F$11000,OUT!$H$2:$H$11000,H45,OUT!$D$2:$D$11000,"Out",OUT!$E$2:$E$11000,"Kitchen")</f>
        <v>992724</v>
      </c>
      <c r="P45" s="52">
        <f ca="1">SUMIFS(OUT!$F$2:$F$11000,OUT!$H$2:$H$11000,H45,OUT!$D$2:$D$11000,"Out",OUT!$E$2:$E$11000,"Loandry")</f>
        <v>41600</v>
      </c>
      <c r="Q45" s="52">
        <f ca="1">SUMIFS(OUT!$F$2:$F$11000,OUT!$H$2:$H$11000,H45,OUT!$D$2:$D$11000,"Out",OUT!$E$2:$E$11000,"Mio")</f>
        <v>249000</v>
      </c>
      <c r="R45" s="52">
        <f ca="1">SUMIFS(OUT!$F$2:$F$11000,OUT!$H$2:$H$11000,H45,OUT!$D$2:$D$11000,"Out",OUT!$E$2:$E$11000,"Sedekah")</f>
        <v>129000</v>
      </c>
      <c r="S45" s="52">
        <f ca="1">SUMIFS(OUT!$F$2:$F$11000,OUT!$H$2:$H$11000,H45,OUT!$D$2:$D$11000,"Out",OUT!$E$2:$E$11000,"Zela")</f>
        <v>24100</v>
      </c>
      <c r="T45" s="52">
        <f ca="1">SUMIFS(OUT!$F$2:$F$11000,OUT!$H$2:$H$11000,H45,OUT!$D$2:$D$11000,"Out",OUT!$E$2:$E$11000,"Iqbal")</f>
        <v>121000</v>
      </c>
    </row>
    <row r="46" spans="1:20" x14ac:dyDescent="0.2">
      <c r="A46" s="48">
        <f ca="1">IFERROR(__xludf.DUMMYFUNCTION("""COMPUTED_VALUE"""),46077)</f>
        <v>46077</v>
      </c>
      <c r="B46" s="4" t="str">
        <f ca="1">IFERROR(__xludf.DUMMYFUNCTION("""COMPUTED_VALUE"""),"Istriku")</f>
        <v>Istriku</v>
      </c>
      <c r="C46" s="4" t="str">
        <f ca="1">IFERROR(__xludf.DUMMYFUNCTION("""COMPUTED_VALUE"""),"ATM")</f>
        <v>ATM</v>
      </c>
      <c r="D46" s="4" t="str">
        <f ca="1">IFERROR(__xludf.DUMMYFUNCTION("""COMPUTED_VALUE"""),"Out")</f>
        <v>Out</v>
      </c>
      <c r="E46" s="4" t="str">
        <f ca="1">IFERROR(__xludf.DUMMYFUNCTION("""COMPUTED_VALUE"""),"Move")</f>
        <v>Move</v>
      </c>
      <c r="F46" s="49">
        <f ca="1">IFERROR(__xludf.DUMMYFUNCTION("""COMPUTED_VALUE"""),39000)</f>
        <v>39000</v>
      </c>
      <c r="G46" s="50" t="str">
        <f ca="1">IFERROR(__xludf.DUMMYFUNCTION("""COMPUTED_VALUE"""),"Ibal")</f>
        <v>Ibal</v>
      </c>
      <c r="H46" s="51">
        <f t="shared" ca="1" si="0"/>
        <v>46054</v>
      </c>
      <c r="I46" s="52" t="e">
        <f ca="1">SUMIFS(OUT!$F$2:$F$11000,OUT!$H$2:$H$11000,H46,OUT!$D$2:$D$101007,"In")</f>
        <v>#VALUE!</v>
      </c>
      <c r="J46" s="52">
        <f ca="1">SUMIFS(OUT!$F$2:$F$11000,OUT!$H$2:$H$11000,H46,OUT!$D$2:$D$11000,"Out")</f>
        <v>6908733</v>
      </c>
      <c r="K46" s="52">
        <f ca="1">SUMIFS(OUT!$F$2:$F$11000,OUT!$H$2:$H$11000,H46,OUT!$D$2:$D$11000,"Out",OUT!$E$2:$E$11000,"Fix")</f>
        <v>2440568</v>
      </c>
      <c r="L46" s="52">
        <f ca="1">SUMIFS(OUT!$F$2:$F$11000,OUT!$H$2:$H$11000,H46,OUT!$D$2:$D$11000,"Out",OUT!$E$2:$E$11000,"Bathroom")</f>
        <v>34500</v>
      </c>
      <c r="M46" s="52">
        <f ca="1">SUMIFS(OUT!$F$2:$F$11000,OUT!$H$2:$H$11000,H46,OUT!$D$2:$D$11000,"Out",OUT!$E$2:$E$11000,"Alfa")</f>
        <v>293800</v>
      </c>
      <c r="N46" s="52" t="e">
        <f ca="1">SUMIFS(OUT!$F$2:$F$11000,OUT!$H$2:$H$101007,H46,OUT!$D$2:$D$11000,"Out",OUT!$E$2:$E$11000,"Jajan")</f>
        <v>#VALUE!</v>
      </c>
      <c r="O46" s="52">
        <f ca="1">SUMIFS(OUT!$F$2:$F$11000,OUT!$H$2:$H$11000,H46,OUT!$D$2:$D$11000,"Out",OUT!$E$2:$E$11000,"Kitchen")</f>
        <v>992724</v>
      </c>
      <c r="P46" s="52">
        <f ca="1">SUMIFS(OUT!$F$2:$F$11000,OUT!$H$2:$H$11000,H46,OUT!$D$2:$D$11000,"Out",OUT!$E$2:$E$11000,"Loandry")</f>
        <v>41600</v>
      </c>
      <c r="Q46" s="52">
        <f ca="1">SUMIFS(OUT!$F$2:$F$11000,OUT!$H$2:$H$11000,H46,OUT!$D$2:$D$11000,"Out",OUT!$E$2:$E$11000,"Mio")</f>
        <v>249000</v>
      </c>
      <c r="R46" s="52">
        <f ca="1">SUMIFS(OUT!$F$2:$F$11000,OUT!$H$2:$H$11000,H46,OUT!$D$2:$D$11000,"Out",OUT!$E$2:$E$11000,"Sedekah")</f>
        <v>129000</v>
      </c>
      <c r="S46" s="52">
        <f ca="1">SUMIFS(OUT!$F$2:$F$11000,OUT!$H$2:$H$11000,H46,OUT!$D$2:$D$11000,"Out",OUT!$E$2:$E$11000,"Zela")</f>
        <v>24100</v>
      </c>
      <c r="T46" s="52">
        <f ca="1">SUMIFS(OUT!$F$2:$F$11000,OUT!$H$2:$H$11000,H46,OUT!$D$2:$D$11000,"Out",OUT!$E$2:$E$11000,"Iqbal")</f>
        <v>121000</v>
      </c>
    </row>
    <row r="47" spans="1:20" x14ac:dyDescent="0.2">
      <c r="A47" s="48">
        <f ca="1">IFERROR(__xludf.DUMMYFUNCTION("""COMPUTED_VALUE"""),46078)</f>
        <v>46078</v>
      </c>
      <c r="B47" s="4" t="str">
        <f ca="1">IFERROR(__xludf.DUMMYFUNCTION("""COMPUTED_VALUE"""),"Roti Bakar (keju coklat)")</f>
        <v>Roti Bakar (keju coklat)</v>
      </c>
      <c r="C47" s="4" t="str">
        <f ca="1">IFERROR(__xludf.DUMMYFUNCTION("""COMPUTED_VALUE"""),"Cash")</f>
        <v>Cash</v>
      </c>
      <c r="D47" s="4" t="str">
        <f ca="1">IFERROR(__xludf.DUMMYFUNCTION("""COMPUTED_VALUE"""),"Out")</f>
        <v>Out</v>
      </c>
      <c r="E47" s="4" t="str">
        <f ca="1">IFERROR(__xludf.DUMMYFUNCTION("""COMPUTED_VALUE"""),"Jajan")</f>
        <v>Jajan</v>
      </c>
      <c r="F47" s="49">
        <f ca="1">IFERROR(__xludf.DUMMYFUNCTION("""COMPUTED_VALUE"""),17000)</f>
        <v>17000</v>
      </c>
      <c r="G47" s="50" t="str">
        <f ca="1">IFERROR(__xludf.DUMMYFUNCTION("""COMPUTED_VALUE"""),"Ibal")</f>
        <v>Ibal</v>
      </c>
      <c r="H47" s="51">
        <f t="shared" ca="1" si="0"/>
        <v>46054</v>
      </c>
      <c r="I47" s="52" t="e">
        <f ca="1">SUMIFS(OUT!$F$2:$F$11000,OUT!$H$2:$H$11000,H47,OUT!$D$2:$D$101007,"In")</f>
        <v>#VALUE!</v>
      </c>
      <c r="J47" s="52">
        <f ca="1">SUMIFS(OUT!$F$2:$F$11000,OUT!$H$2:$H$11000,H47,OUT!$D$2:$D$11000,"Out")</f>
        <v>6908733</v>
      </c>
      <c r="K47" s="52">
        <f ca="1">SUMIFS(OUT!$F$2:$F$11000,OUT!$H$2:$H$11000,H47,OUT!$D$2:$D$11000,"Out",OUT!$E$2:$E$11000,"Fix")</f>
        <v>2440568</v>
      </c>
      <c r="L47" s="52">
        <f ca="1">SUMIFS(OUT!$F$2:$F$11000,OUT!$H$2:$H$11000,H47,OUT!$D$2:$D$11000,"Out",OUT!$E$2:$E$11000,"Bathroom")</f>
        <v>34500</v>
      </c>
      <c r="M47" s="52">
        <f ca="1">SUMIFS(OUT!$F$2:$F$11000,OUT!$H$2:$H$11000,H47,OUT!$D$2:$D$11000,"Out",OUT!$E$2:$E$11000,"Alfa")</f>
        <v>293800</v>
      </c>
      <c r="N47" s="52" t="e">
        <f ca="1">SUMIFS(OUT!$F$2:$F$11000,OUT!$H$2:$H$101007,H47,OUT!$D$2:$D$11000,"Out",OUT!$E$2:$E$11000,"Jajan")</f>
        <v>#VALUE!</v>
      </c>
      <c r="O47" s="52">
        <f ca="1">SUMIFS(OUT!$F$2:$F$11000,OUT!$H$2:$H$11000,H47,OUT!$D$2:$D$11000,"Out",OUT!$E$2:$E$11000,"Kitchen")</f>
        <v>992724</v>
      </c>
      <c r="P47" s="52">
        <f ca="1">SUMIFS(OUT!$F$2:$F$11000,OUT!$H$2:$H$11000,H47,OUT!$D$2:$D$11000,"Out",OUT!$E$2:$E$11000,"Loandry")</f>
        <v>41600</v>
      </c>
      <c r="Q47" s="52">
        <f ca="1">SUMIFS(OUT!$F$2:$F$11000,OUT!$H$2:$H$11000,H47,OUT!$D$2:$D$11000,"Out",OUT!$E$2:$E$11000,"Mio")</f>
        <v>249000</v>
      </c>
      <c r="R47" s="52">
        <f ca="1">SUMIFS(OUT!$F$2:$F$11000,OUT!$H$2:$H$11000,H47,OUT!$D$2:$D$11000,"Out",OUT!$E$2:$E$11000,"Sedekah")</f>
        <v>129000</v>
      </c>
      <c r="S47" s="52">
        <f ca="1">SUMIFS(OUT!$F$2:$F$11000,OUT!$H$2:$H$11000,H47,OUT!$D$2:$D$11000,"Out",OUT!$E$2:$E$11000,"Zela")</f>
        <v>24100</v>
      </c>
      <c r="T47" s="52">
        <f ca="1">SUMIFS(OUT!$F$2:$F$11000,OUT!$H$2:$H$11000,H47,OUT!$D$2:$D$11000,"Out",OUT!$E$2:$E$11000,"Iqbal")</f>
        <v>121000</v>
      </c>
    </row>
    <row r="48" spans="1:20" x14ac:dyDescent="0.2">
      <c r="A48" s="48">
        <f ca="1">IFERROR(__xludf.DUMMYFUNCTION("""COMPUTED_VALUE"""),46079)</f>
        <v>46079</v>
      </c>
      <c r="B48" s="4" t="str">
        <f ca="1">IFERROR(__xludf.DUMMYFUNCTION("""COMPUTED_VALUE"""),"Biar saldo pas, IN = (OUT+ATM+Cash)")</f>
        <v>Biar saldo pas, IN = (OUT+ATM+Cash)</v>
      </c>
      <c r="C48" s="4" t="str">
        <f ca="1">IFERROR(__xludf.DUMMYFUNCTION("""COMPUTED_VALUE"""),"*****")</f>
        <v>*****</v>
      </c>
      <c r="D48" s="4" t="str">
        <f ca="1">IFERROR(__xludf.DUMMYFUNCTION("""COMPUTED_VALUE"""),"Out")</f>
        <v>Out</v>
      </c>
      <c r="E48" s="4" t="str">
        <f ca="1">IFERROR(__xludf.DUMMYFUNCTION("""COMPUTED_VALUE"""),"Fix")</f>
        <v>Fix</v>
      </c>
      <c r="F48" s="49">
        <f ca="1">IFERROR(__xludf.DUMMYFUNCTION("""COMPUTED_VALUE"""),-140000)</f>
        <v>-140000</v>
      </c>
      <c r="G48" s="50" t="str">
        <f ca="1">IFERROR(__xludf.DUMMYFUNCTION("""COMPUTED_VALUE"""),"Ibal")</f>
        <v>Ibal</v>
      </c>
      <c r="H48" s="51">
        <f t="shared" ca="1" si="0"/>
        <v>46054</v>
      </c>
      <c r="I48" s="52" t="e">
        <f ca="1">SUMIFS(OUT!$F$2:$F$11000,OUT!$H$2:$H$11000,H48,OUT!$D$2:$D$101007,"In")</f>
        <v>#VALUE!</v>
      </c>
      <c r="J48" s="52">
        <f ca="1">SUMIFS(OUT!$F$2:$F$11000,OUT!$H$2:$H$11000,H48,OUT!$D$2:$D$11000,"Out")</f>
        <v>6908733</v>
      </c>
      <c r="K48" s="52">
        <f ca="1">SUMIFS(OUT!$F$2:$F$11000,OUT!$H$2:$H$11000,H48,OUT!$D$2:$D$11000,"Out",OUT!$E$2:$E$11000,"Fix")</f>
        <v>2440568</v>
      </c>
      <c r="L48" s="52">
        <f ca="1">SUMIFS(OUT!$F$2:$F$11000,OUT!$H$2:$H$11000,H48,OUT!$D$2:$D$11000,"Out",OUT!$E$2:$E$11000,"Bathroom")</f>
        <v>34500</v>
      </c>
      <c r="M48" s="52">
        <f ca="1">SUMIFS(OUT!$F$2:$F$11000,OUT!$H$2:$H$11000,H48,OUT!$D$2:$D$11000,"Out",OUT!$E$2:$E$11000,"Alfa")</f>
        <v>293800</v>
      </c>
      <c r="N48" s="52" t="e">
        <f ca="1">SUMIFS(OUT!$F$2:$F$11000,OUT!$H$2:$H$101007,H48,OUT!$D$2:$D$11000,"Out",OUT!$E$2:$E$11000,"Jajan")</f>
        <v>#VALUE!</v>
      </c>
      <c r="O48" s="52">
        <f ca="1">SUMIFS(OUT!$F$2:$F$11000,OUT!$H$2:$H$11000,H48,OUT!$D$2:$D$11000,"Out",OUT!$E$2:$E$11000,"Kitchen")</f>
        <v>992724</v>
      </c>
      <c r="P48" s="52">
        <f ca="1">SUMIFS(OUT!$F$2:$F$11000,OUT!$H$2:$H$11000,H48,OUT!$D$2:$D$11000,"Out",OUT!$E$2:$E$11000,"Loandry")</f>
        <v>41600</v>
      </c>
      <c r="Q48" s="52">
        <f ca="1">SUMIFS(OUT!$F$2:$F$11000,OUT!$H$2:$H$11000,H48,OUT!$D$2:$D$11000,"Out",OUT!$E$2:$E$11000,"Mio")</f>
        <v>249000</v>
      </c>
      <c r="R48" s="52">
        <f ca="1">SUMIFS(OUT!$F$2:$F$11000,OUT!$H$2:$H$11000,H48,OUT!$D$2:$D$11000,"Out",OUT!$E$2:$E$11000,"Sedekah")</f>
        <v>129000</v>
      </c>
      <c r="S48" s="52">
        <f ca="1">SUMIFS(OUT!$F$2:$F$11000,OUT!$H$2:$H$11000,H48,OUT!$D$2:$D$11000,"Out",OUT!$E$2:$E$11000,"Zela")</f>
        <v>24100</v>
      </c>
      <c r="T48" s="52">
        <f ca="1">SUMIFS(OUT!$F$2:$F$11000,OUT!$H$2:$H$11000,H48,OUT!$D$2:$D$11000,"Out",OUT!$E$2:$E$11000,"Iqbal")</f>
        <v>121000</v>
      </c>
    </row>
    <row r="49" spans="1:20" x14ac:dyDescent="0.2">
      <c r="A49" s="48">
        <f ca="1">IFERROR(__xludf.DUMMYFUNCTION("""COMPUTED_VALUE"""),46079)</f>
        <v>46079</v>
      </c>
      <c r="B49" s="4" t="str">
        <f ca="1">IFERROR(__xludf.DUMMYFUNCTION("""COMPUTED_VALUE"""),"Istriku")</f>
        <v>Istriku</v>
      </c>
      <c r="C49" s="4" t="str">
        <f ca="1">IFERROR(__xludf.DUMMYFUNCTION("""COMPUTED_VALUE"""),"Cash")</f>
        <v>Cash</v>
      </c>
      <c r="D49" s="4" t="str">
        <f ca="1">IFERROR(__xludf.DUMMYFUNCTION("""COMPUTED_VALUE"""),"In")</f>
        <v>In</v>
      </c>
      <c r="E49" s="4" t="str">
        <f ca="1">IFERROR(__xludf.DUMMYFUNCTION("""COMPUTED_VALUE"""),"Move")</f>
        <v>Move</v>
      </c>
      <c r="F49" s="49">
        <f ca="1">IFERROR(__xludf.DUMMYFUNCTION("""COMPUTED_VALUE"""),10000)</f>
        <v>10000</v>
      </c>
      <c r="G49" s="50" t="str">
        <f ca="1">IFERROR(__xludf.DUMMYFUNCTION("""COMPUTED_VALUE"""),"Ibal")</f>
        <v>Ibal</v>
      </c>
      <c r="H49" s="51">
        <f t="shared" ca="1" si="0"/>
        <v>46054</v>
      </c>
      <c r="I49" s="52" t="e">
        <f ca="1">SUMIFS(OUT!$F$2:$F$11000,OUT!$H$2:$H$11000,H49,OUT!$D$2:$D$101007,"In")</f>
        <v>#VALUE!</v>
      </c>
      <c r="J49" s="52">
        <f ca="1">SUMIFS(OUT!$F$2:$F$11000,OUT!$H$2:$H$11000,H49,OUT!$D$2:$D$11000,"Out")</f>
        <v>6908733</v>
      </c>
      <c r="K49" s="52">
        <f ca="1">SUMIFS(OUT!$F$2:$F$11000,OUT!$H$2:$H$11000,H49,OUT!$D$2:$D$11000,"Out",OUT!$E$2:$E$11000,"Fix")</f>
        <v>2440568</v>
      </c>
      <c r="L49" s="52">
        <f ca="1">SUMIFS(OUT!$F$2:$F$11000,OUT!$H$2:$H$11000,H49,OUT!$D$2:$D$11000,"Out",OUT!$E$2:$E$11000,"Bathroom")</f>
        <v>34500</v>
      </c>
      <c r="M49" s="52">
        <f ca="1">SUMIFS(OUT!$F$2:$F$11000,OUT!$H$2:$H$11000,H49,OUT!$D$2:$D$11000,"Out",OUT!$E$2:$E$11000,"Alfa")</f>
        <v>293800</v>
      </c>
      <c r="N49" s="52" t="e">
        <f ca="1">SUMIFS(OUT!$F$2:$F$11000,OUT!$H$2:$H$101007,H49,OUT!$D$2:$D$11000,"Out",OUT!$E$2:$E$11000,"Jajan")</f>
        <v>#VALUE!</v>
      </c>
      <c r="O49" s="52">
        <f ca="1">SUMIFS(OUT!$F$2:$F$11000,OUT!$H$2:$H$11000,H49,OUT!$D$2:$D$11000,"Out",OUT!$E$2:$E$11000,"Kitchen")</f>
        <v>992724</v>
      </c>
      <c r="P49" s="52">
        <f ca="1">SUMIFS(OUT!$F$2:$F$11000,OUT!$H$2:$H$11000,H49,OUT!$D$2:$D$11000,"Out",OUT!$E$2:$E$11000,"Loandry")</f>
        <v>41600</v>
      </c>
      <c r="Q49" s="52">
        <f ca="1">SUMIFS(OUT!$F$2:$F$11000,OUT!$H$2:$H$11000,H49,OUT!$D$2:$D$11000,"Out",OUT!$E$2:$E$11000,"Mio")</f>
        <v>249000</v>
      </c>
      <c r="R49" s="52">
        <f ca="1">SUMIFS(OUT!$F$2:$F$11000,OUT!$H$2:$H$11000,H49,OUT!$D$2:$D$11000,"Out",OUT!$E$2:$E$11000,"Sedekah")</f>
        <v>129000</v>
      </c>
      <c r="S49" s="52">
        <f ca="1">SUMIFS(OUT!$F$2:$F$11000,OUT!$H$2:$H$11000,H49,OUT!$D$2:$D$11000,"Out",OUT!$E$2:$E$11000,"Zela")</f>
        <v>24100</v>
      </c>
      <c r="T49" s="52">
        <f ca="1">SUMIFS(OUT!$F$2:$F$11000,OUT!$H$2:$H$11000,H49,OUT!$D$2:$D$11000,"Out",OUT!$E$2:$E$11000,"Iqbal")</f>
        <v>121000</v>
      </c>
    </row>
    <row r="50" spans="1:20" x14ac:dyDescent="0.2">
      <c r="A50" s="48">
        <f ca="1">IFERROR(__xludf.DUMMYFUNCTION("""COMPUTED_VALUE"""),46079)</f>
        <v>46079</v>
      </c>
      <c r="B50" s="4" t="str">
        <f ca="1">IFERROR(__xludf.DUMMYFUNCTION("""COMPUTED_VALUE"""),"rokok")</f>
        <v>rokok</v>
      </c>
      <c r="C50" s="4" t="str">
        <f ca="1">IFERROR(__xludf.DUMMYFUNCTION("""COMPUTED_VALUE"""),"Cash")</f>
        <v>Cash</v>
      </c>
      <c r="D50" s="4" t="str">
        <f ca="1">IFERROR(__xludf.DUMMYFUNCTION("""COMPUTED_VALUE"""),"Out")</f>
        <v>Out</v>
      </c>
      <c r="E50" s="4" t="str">
        <f ca="1">IFERROR(__xludf.DUMMYFUNCTION("""COMPUTED_VALUE"""),"Iqbal")</f>
        <v>Iqbal</v>
      </c>
      <c r="F50" s="49">
        <f ca="1">IFERROR(__xludf.DUMMYFUNCTION("""COMPUTED_VALUE"""),14000)</f>
        <v>14000</v>
      </c>
      <c r="G50" s="50" t="str">
        <f ca="1">IFERROR(__xludf.DUMMYFUNCTION("""COMPUTED_VALUE"""),"Ibal")</f>
        <v>Ibal</v>
      </c>
      <c r="H50" s="51">
        <f t="shared" ca="1" si="0"/>
        <v>46054</v>
      </c>
      <c r="I50" s="52" t="e">
        <f ca="1">SUMIFS(OUT!$F$2:$F$11000,OUT!$H$2:$H$11000,H50,OUT!$D$2:$D$101007,"In")</f>
        <v>#VALUE!</v>
      </c>
      <c r="J50" s="52">
        <f ca="1">SUMIFS(OUT!$F$2:$F$11000,OUT!$H$2:$H$11000,H50,OUT!$D$2:$D$11000,"Out")</f>
        <v>6908733</v>
      </c>
      <c r="K50" s="52">
        <f ca="1">SUMIFS(OUT!$F$2:$F$11000,OUT!$H$2:$H$11000,H50,OUT!$D$2:$D$11000,"Out",OUT!$E$2:$E$11000,"Fix")</f>
        <v>2440568</v>
      </c>
      <c r="L50" s="52">
        <f ca="1">SUMIFS(OUT!$F$2:$F$11000,OUT!$H$2:$H$11000,H50,OUT!$D$2:$D$11000,"Out",OUT!$E$2:$E$11000,"Bathroom")</f>
        <v>34500</v>
      </c>
      <c r="M50" s="52">
        <f ca="1">SUMIFS(OUT!$F$2:$F$11000,OUT!$H$2:$H$11000,H50,OUT!$D$2:$D$11000,"Out",OUT!$E$2:$E$11000,"Alfa")</f>
        <v>293800</v>
      </c>
      <c r="N50" s="52" t="e">
        <f ca="1">SUMIFS(OUT!$F$2:$F$11000,OUT!$H$2:$H$101007,H50,OUT!$D$2:$D$11000,"Out",OUT!$E$2:$E$11000,"Jajan")</f>
        <v>#VALUE!</v>
      </c>
      <c r="O50" s="52">
        <f ca="1">SUMIFS(OUT!$F$2:$F$11000,OUT!$H$2:$H$11000,H50,OUT!$D$2:$D$11000,"Out",OUT!$E$2:$E$11000,"Kitchen")</f>
        <v>992724</v>
      </c>
      <c r="P50" s="52">
        <f ca="1">SUMIFS(OUT!$F$2:$F$11000,OUT!$H$2:$H$11000,H50,OUT!$D$2:$D$11000,"Out",OUT!$E$2:$E$11000,"Loandry")</f>
        <v>41600</v>
      </c>
      <c r="Q50" s="52">
        <f ca="1">SUMIFS(OUT!$F$2:$F$11000,OUT!$H$2:$H$11000,H50,OUT!$D$2:$D$11000,"Out",OUT!$E$2:$E$11000,"Mio")</f>
        <v>249000</v>
      </c>
      <c r="R50" s="52">
        <f ca="1">SUMIFS(OUT!$F$2:$F$11000,OUT!$H$2:$H$11000,H50,OUT!$D$2:$D$11000,"Out",OUT!$E$2:$E$11000,"Sedekah")</f>
        <v>129000</v>
      </c>
      <c r="S50" s="52">
        <f ca="1">SUMIFS(OUT!$F$2:$F$11000,OUT!$H$2:$H$11000,H50,OUT!$D$2:$D$11000,"Out",OUT!$E$2:$E$11000,"Zela")</f>
        <v>24100</v>
      </c>
      <c r="T50" s="52">
        <f ca="1">SUMIFS(OUT!$F$2:$F$11000,OUT!$H$2:$H$11000,H50,OUT!$D$2:$D$11000,"Out",OUT!$E$2:$E$11000,"Iqbal")</f>
        <v>121000</v>
      </c>
    </row>
    <row r="51" spans="1:20" x14ac:dyDescent="0.2">
      <c r="A51" s="48">
        <f ca="1">IFERROR(__xludf.DUMMYFUNCTION("""COMPUTED_VALUE"""),46079)</f>
        <v>46079</v>
      </c>
      <c r="B51" s="4" t="str">
        <f ca="1">IFERROR(__xludf.DUMMYFUNCTION("""COMPUTED_VALUE"""),"bensin")</f>
        <v>bensin</v>
      </c>
      <c r="C51" s="4" t="str">
        <f ca="1">IFERROR(__xludf.DUMMYFUNCTION("""COMPUTED_VALUE"""),"Cash")</f>
        <v>Cash</v>
      </c>
      <c r="D51" s="4" t="str">
        <f ca="1">IFERROR(__xludf.DUMMYFUNCTION("""COMPUTED_VALUE"""),"Out")</f>
        <v>Out</v>
      </c>
      <c r="E51" s="4" t="str">
        <f ca="1">IFERROR(__xludf.DUMMYFUNCTION("""COMPUTED_VALUE"""),"Mio")</f>
        <v>Mio</v>
      </c>
      <c r="F51" s="49">
        <f ca="1">IFERROR(__xludf.DUMMYFUNCTION("""COMPUTED_VALUE"""),20000)</f>
        <v>20000</v>
      </c>
      <c r="G51" s="50" t="str">
        <f ca="1">IFERROR(__xludf.DUMMYFUNCTION("""COMPUTED_VALUE"""),"Ibal")</f>
        <v>Ibal</v>
      </c>
      <c r="H51" s="51">
        <f t="shared" ca="1" si="0"/>
        <v>46054</v>
      </c>
      <c r="I51" s="52" t="e">
        <f ca="1">SUMIFS(OUT!$F$2:$F$11000,OUT!$H$2:$H$11000,H51,OUT!$D$2:$D$101007,"In")</f>
        <v>#VALUE!</v>
      </c>
      <c r="J51" s="52">
        <f ca="1">SUMIFS(OUT!$F$2:$F$11000,OUT!$H$2:$H$11000,H51,OUT!$D$2:$D$11000,"Out")</f>
        <v>6908733</v>
      </c>
      <c r="K51" s="52">
        <f ca="1">SUMIFS(OUT!$F$2:$F$11000,OUT!$H$2:$H$11000,H51,OUT!$D$2:$D$11000,"Out",OUT!$E$2:$E$11000,"Fix")</f>
        <v>2440568</v>
      </c>
      <c r="L51" s="52">
        <f ca="1">SUMIFS(OUT!$F$2:$F$11000,OUT!$H$2:$H$11000,H51,OUT!$D$2:$D$11000,"Out",OUT!$E$2:$E$11000,"Bathroom")</f>
        <v>34500</v>
      </c>
      <c r="M51" s="52">
        <f ca="1">SUMIFS(OUT!$F$2:$F$11000,OUT!$H$2:$H$11000,H51,OUT!$D$2:$D$11000,"Out",OUT!$E$2:$E$11000,"Alfa")</f>
        <v>293800</v>
      </c>
      <c r="N51" s="52" t="e">
        <f ca="1">SUMIFS(OUT!$F$2:$F$11000,OUT!$H$2:$H$101007,H51,OUT!$D$2:$D$11000,"Out",OUT!$E$2:$E$11000,"Jajan")</f>
        <v>#VALUE!</v>
      </c>
      <c r="O51" s="52">
        <f ca="1">SUMIFS(OUT!$F$2:$F$11000,OUT!$H$2:$H$11000,H51,OUT!$D$2:$D$11000,"Out",OUT!$E$2:$E$11000,"Kitchen")</f>
        <v>992724</v>
      </c>
      <c r="P51" s="52">
        <f ca="1">SUMIFS(OUT!$F$2:$F$11000,OUT!$H$2:$H$11000,H51,OUT!$D$2:$D$11000,"Out",OUT!$E$2:$E$11000,"Loandry")</f>
        <v>41600</v>
      </c>
      <c r="Q51" s="52">
        <f ca="1">SUMIFS(OUT!$F$2:$F$11000,OUT!$H$2:$H$11000,H51,OUT!$D$2:$D$11000,"Out",OUT!$E$2:$E$11000,"Mio")</f>
        <v>249000</v>
      </c>
      <c r="R51" s="52">
        <f ca="1">SUMIFS(OUT!$F$2:$F$11000,OUT!$H$2:$H$11000,H51,OUT!$D$2:$D$11000,"Out",OUT!$E$2:$E$11000,"Sedekah")</f>
        <v>129000</v>
      </c>
      <c r="S51" s="52">
        <f ca="1">SUMIFS(OUT!$F$2:$F$11000,OUT!$H$2:$H$11000,H51,OUT!$D$2:$D$11000,"Out",OUT!$E$2:$E$11000,"Zela")</f>
        <v>24100</v>
      </c>
      <c r="T51" s="52">
        <f ca="1">SUMIFS(OUT!$F$2:$F$11000,OUT!$H$2:$H$11000,H51,OUT!$D$2:$D$11000,"Out",OUT!$E$2:$E$11000,"Iqbal")</f>
        <v>121000</v>
      </c>
    </row>
    <row r="52" spans="1:20" x14ac:dyDescent="0.2">
      <c r="A52" s="48">
        <f ca="1">IFERROR(__xludf.DUMMYFUNCTION("""COMPUTED_VALUE"""),46083)</f>
        <v>46083</v>
      </c>
      <c r="B52" s="4" t="str">
        <f ca="1">IFERROR(__xludf.DUMMYFUNCTION("""COMPUTED_VALUE"""),"Gaji Februari 2026")</f>
        <v>Gaji Februari 2026</v>
      </c>
      <c r="C52" s="4" t="str">
        <f ca="1">IFERROR(__xludf.DUMMYFUNCTION("""COMPUTED_VALUE"""),"ATM")</f>
        <v>ATM</v>
      </c>
      <c r="D52" s="4" t="str">
        <f ca="1">IFERROR(__xludf.DUMMYFUNCTION("""COMPUTED_VALUE"""),"In")</f>
        <v>In</v>
      </c>
      <c r="E52" s="4" t="str">
        <f ca="1">IFERROR(__xludf.DUMMYFUNCTION("""COMPUTED_VALUE"""),"Fix")</f>
        <v>Fix</v>
      </c>
      <c r="F52" s="49">
        <f ca="1">IFERROR(__xludf.DUMMYFUNCTION("""COMPUTED_VALUE"""),4458235)</f>
        <v>4458235</v>
      </c>
      <c r="G52" s="50" t="str">
        <f ca="1">IFERROR(__xludf.DUMMYFUNCTION("""COMPUTED_VALUE"""),"Ibal")</f>
        <v>Ibal</v>
      </c>
      <c r="H52" s="51">
        <f t="shared" ca="1" si="0"/>
        <v>46082</v>
      </c>
      <c r="I52" s="52" t="e">
        <f ca="1">SUMIFS(OUT!$F$2:$F$11000,OUT!$H$2:$H$11000,H52,OUT!$D$2:$D$101007,"In")</f>
        <v>#VALUE!</v>
      </c>
      <c r="J52" s="52">
        <f ca="1">SUMIFS(OUT!$F$2:$F$11000,OUT!$H$2:$H$11000,H52,OUT!$D$2:$D$11000,"Out")</f>
        <v>12026623</v>
      </c>
      <c r="K52" s="52">
        <f ca="1">SUMIFS(OUT!$F$2:$F$11000,OUT!$H$2:$H$11000,H52,OUT!$D$2:$D$11000,"Out",OUT!$E$2:$E$11000,"Fix")</f>
        <v>2865413</v>
      </c>
      <c r="L52" s="52">
        <f ca="1">SUMIFS(OUT!$F$2:$F$11000,OUT!$H$2:$H$11000,H52,OUT!$D$2:$D$11000,"Out",OUT!$E$2:$E$11000,"Bathroom")</f>
        <v>120488</v>
      </c>
      <c r="M52" s="52">
        <f ca="1">SUMIFS(OUT!$F$2:$F$11000,OUT!$H$2:$H$11000,H52,OUT!$D$2:$D$11000,"Out",OUT!$E$2:$E$11000,"Alfa")</f>
        <v>890962</v>
      </c>
      <c r="N52" s="52" t="e">
        <f ca="1">SUMIFS(OUT!$F$2:$F$11000,OUT!$H$2:$H$101007,H52,OUT!$D$2:$D$11000,"Out",OUT!$E$2:$E$11000,"Jajan")</f>
        <v>#VALUE!</v>
      </c>
      <c r="O52" s="52">
        <f ca="1">SUMIFS(OUT!$F$2:$F$11000,OUT!$H$2:$H$11000,H52,OUT!$D$2:$D$11000,"Out",OUT!$E$2:$E$11000,"Kitchen")</f>
        <v>1152600</v>
      </c>
      <c r="P52" s="52">
        <f ca="1">SUMIFS(OUT!$F$2:$F$11000,OUT!$H$2:$H$11000,H52,OUT!$D$2:$D$11000,"Out",OUT!$E$2:$E$11000,"Loandry")</f>
        <v>41000</v>
      </c>
      <c r="Q52" s="52">
        <f ca="1">SUMIFS(OUT!$F$2:$F$11000,OUT!$H$2:$H$11000,H52,OUT!$D$2:$D$11000,"Out",OUT!$E$2:$E$11000,"Mio")</f>
        <v>895700</v>
      </c>
      <c r="R52" s="52">
        <f ca="1">SUMIFS(OUT!$F$2:$F$11000,OUT!$H$2:$H$11000,H52,OUT!$D$2:$D$11000,"Out",OUT!$E$2:$E$11000,"Sedekah")</f>
        <v>130000</v>
      </c>
      <c r="S52" s="52">
        <f ca="1">SUMIFS(OUT!$F$2:$F$11000,OUT!$H$2:$H$11000,H52,OUT!$D$2:$D$11000,"Out",OUT!$E$2:$E$11000,"Zela")</f>
        <v>215161</v>
      </c>
      <c r="T52" s="52">
        <f ca="1">SUMIFS(OUT!$F$2:$F$11000,OUT!$H$2:$H$11000,H52,OUT!$D$2:$D$11000,"Out",OUT!$E$2:$E$11000,"Iqbal")</f>
        <v>215000</v>
      </c>
    </row>
    <row r="53" spans="1:20" x14ac:dyDescent="0.2">
      <c r="A53" s="48">
        <f ca="1">IFERROR(__xludf.DUMMYFUNCTION("""COMPUTED_VALUE"""),46083)</f>
        <v>46083</v>
      </c>
      <c r="B53" s="4" t="str">
        <f ca="1">IFERROR(__xludf.DUMMYFUNCTION("""COMPUTED_VALUE"""),"Istriku")</f>
        <v>Istriku</v>
      </c>
      <c r="C53" s="4" t="str">
        <f ca="1">IFERROR(__xludf.DUMMYFUNCTION("""COMPUTED_VALUE"""),"ATM")</f>
        <v>ATM</v>
      </c>
      <c r="D53" s="4" t="str">
        <f ca="1">IFERROR(__xludf.DUMMYFUNCTION("""COMPUTED_VALUE"""),"Out")</f>
        <v>Out</v>
      </c>
      <c r="E53" s="4" t="str">
        <f ca="1">IFERROR(__xludf.DUMMYFUNCTION("""COMPUTED_VALUE"""),"Move")</f>
        <v>Move</v>
      </c>
      <c r="F53" s="49">
        <f ca="1">IFERROR(__xludf.DUMMYFUNCTION("""COMPUTED_VALUE"""),2000000)</f>
        <v>2000000</v>
      </c>
      <c r="G53" s="50" t="str">
        <f ca="1">IFERROR(__xludf.DUMMYFUNCTION("""COMPUTED_VALUE"""),"Ibal")</f>
        <v>Ibal</v>
      </c>
      <c r="H53" s="51">
        <f t="shared" ca="1" si="0"/>
        <v>46082</v>
      </c>
      <c r="I53" s="52" t="e">
        <f ca="1">SUMIFS(OUT!$F$2:$F$11000,OUT!$H$2:$H$11000,H53,OUT!$D$2:$D$101007,"In")</f>
        <v>#VALUE!</v>
      </c>
      <c r="J53" s="52">
        <f ca="1">SUMIFS(OUT!$F$2:$F$11000,OUT!$H$2:$H$11000,H53,OUT!$D$2:$D$11000,"Out")</f>
        <v>12026623</v>
      </c>
      <c r="K53" s="52">
        <f ca="1">SUMIFS(OUT!$F$2:$F$11000,OUT!$H$2:$H$11000,H53,OUT!$D$2:$D$11000,"Out",OUT!$E$2:$E$11000,"Fix")</f>
        <v>2865413</v>
      </c>
      <c r="L53" s="52">
        <f ca="1">SUMIFS(OUT!$F$2:$F$11000,OUT!$H$2:$H$11000,H53,OUT!$D$2:$D$11000,"Out",OUT!$E$2:$E$11000,"Bathroom")</f>
        <v>120488</v>
      </c>
      <c r="M53" s="52">
        <f ca="1">SUMIFS(OUT!$F$2:$F$11000,OUT!$H$2:$H$11000,H53,OUT!$D$2:$D$11000,"Out",OUT!$E$2:$E$11000,"Alfa")</f>
        <v>890962</v>
      </c>
      <c r="N53" s="52" t="e">
        <f ca="1">SUMIFS(OUT!$F$2:$F$11000,OUT!$H$2:$H$101007,H53,OUT!$D$2:$D$11000,"Out",OUT!$E$2:$E$11000,"Jajan")</f>
        <v>#VALUE!</v>
      </c>
      <c r="O53" s="52">
        <f ca="1">SUMIFS(OUT!$F$2:$F$11000,OUT!$H$2:$H$11000,H53,OUT!$D$2:$D$11000,"Out",OUT!$E$2:$E$11000,"Kitchen")</f>
        <v>1152600</v>
      </c>
      <c r="P53" s="52">
        <f ca="1">SUMIFS(OUT!$F$2:$F$11000,OUT!$H$2:$H$11000,H53,OUT!$D$2:$D$11000,"Out",OUT!$E$2:$E$11000,"Loandry")</f>
        <v>41000</v>
      </c>
      <c r="Q53" s="52">
        <f ca="1">SUMIFS(OUT!$F$2:$F$11000,OUT!$H$2:$H$11000,H53,OUT!$D$2:$D$11000,"Out",OUT!$E$2:$E$11000,"Mio")</f>
        <v>895700</v>
      </c>
      <c r="R53" s="52">
        <f ca="1">SUMIFS(OUT!$F$2:$F$11000,OUT!$H$2:$H$11000,H53,OUT!$D$2:$D$11000,"Out",OUT!$E$2:$E$11000,"Sedekah")</f>
        <v>130000</v>
      </c>
      <c r="S53" s="52">
        <f ca="1">SUMIFS(OUT!$F$2:$F$11000,OUT!$H$2:$H$11000,H53,OUT!$D$2:$D$11000,"Out",OUT!$E$2:$E$11000,"Zela")</f>
        <v>215161</v>
      </c>
      <c r="T53" s="52">
        <f ca="1">SUMIFS(OUT!$F$2:$F$11000,OUT!$H$2:$H$11000,H53,OUT!$D$2:$D$11000,"Out",OUT!$E$2:$E$11000,"Iqbal")</f>
        <v>215000</v>
      </c>
    </row>
    <row r="54" spans="1:20" x14ac:dyDescent="0.2">
      <c r="A54" s="48">
        <f ca="1">IFERROR(__xludf.DUMMYFUNCTION("""COMPUTED_VALUE"""),46084)</f>
        <v>46084</v>
      </c>
      <c r="B54" s="4" t="str">
        <f ca="1">IFERROR(__xludf.DUMMYFUNCTION("""COMPUTED_VALUE"""),"Byu 6gb")</f>
        <v>Byu 6gb</v>
      </c>
      <c r="C54" s="4" t="str">
        <f ca="1">IFERROR(__xludf.DUMMYFUNCTION("""COMPUTED_VALUE"""),"ATM")</f>
        <v>ATM</v>
      </c>
      <c r="D54" s="4" t="str">
        <f ca="1">IFERROR(__xludf.DUMMYFUNCTION("""COMPUTED_VALUE"""),"Out")</f>
        <v>Out</v>
      </c>
      <c r="E54" s="4" t="str">
        <f ca="1">IFERROR(__xludf.DUMMYFUNCTION("""COMPUTED_VALUE"""),"Fix")</f>
        <v>Fix</v>
      </c>
      <c r="F54" s="49">
        <f ca="1">IFERROR(__xludf.DUMMYFUNCTION("""COMPUTED_VALUE"""),15000)</f>
        <v>15000</v>
      </c>
      <c r="G54" s="50" t="str">
        <f ca="1">IFERROR(__xludf.DUMMYFUNCTION("""COMPUTED_VALUE"""),"Ibal")</f>
        <v>Ibal</v>
      </c>
      <c r="H54" s="51">
        <f t="shared" ca="1" si="0"/>
        <v>46082</v>
      </c>
      <c r="I54" s="52" t="e">
        <f ca="1">SUMIFS(OUT!$F$2:$F$11000,OUT!$H$2:$H$11000,H54,OUT!$D$2:$D$101007,"In")</f>
        <v>#VALUE!</v>
      </c>
      <c r="J54" s="52">
        <f ca="1">SUMIFS(OUT!$F$2:$F$11000,OUT!$H$2:$H$11000,H54,OUT!$D$2:$D$11000,"Out")</f>
        <v>12026623</v>
      </c>
      <c r="K54" s="52">
        <f ca="1">SUMIFS(OUT!$F$2:$F$11000,OUT!$H$2:$H$11000,H54,OUT!$D$2:$D$11000,"Out",OUT!$E$2:$E$11000,"Fix")</f>
        <v>2865413</v>
      </c>
      <c r="L54" s="52">
        <f ca="1">SUMIFS(OUT!$F$2:$F$11000,OUT!$H$2:$H$11000,H54,OUT!$D$2:$D$11000,"Out",OUT!$E$2:$E$11000,"Bathroom")</f>
        <v>120488</v>
      </c>
      <c r="M54" s="52">
        <f ca="1">SUMIFS(OUT!$F$2:$F$11000,OUT!$H$2:$H$11000,H54,OUT!$D$2:$D$11000,"Out",OUT!$E$2:$E$11000,"Alfa")</f>
        <v>890962</v>
      </c>
      <c r="N54" s="52" t="e">
        <f ca="1">SUMIFS(OUT!$F$2:$F$11000,OUT!$H$2:$H$101007,H54,OUT!$D$2:$D$11000,"Out",OUT!$E$2:$E$11000,"Jajan")</f>
        <v>#VALUE!</v>
      </c>
      <c r="O54" s="52">
        <f ca="1">SUMIFS(OUT!$F$2:$F$11000,OUT!$H$2:$H$11000,H54,OUT!$D$2:$D$11000,"Out",OUT!$E$2:$E$11000,"Kitchen")</f>
        <v>1152600</v>
      </c>
      <c r="P54" s="52">
        <f ca="1">SUMIFS(OUT!$F$2:$F$11000,OUT!$H$2:$H$11000,H54,OUT!$D$2:$D$11000,"Out",OUT!$E$2:$E$11000,"Loandry")</f>
        <v>41000</v>
      </c>
      <c r="Q54" s="52">
        <f ca="1">SUMIFS(OUT!$F$2:$F$11000,OUT!$H$2:$H$11000,H54,OUT!$D$2:$D$11000,"Out",OUT!$E$2:$E$11000,"Mio")</f>
        <v>895700</v>
      </c>
      <c r="R54" s="52">
        <f ca="1">SUMIFS(OUT!$F$2:$F$11000,OUT!$H$2:$H$11000,H54,OUT!$D$2:$D$11000,"Out",OUT!$E$2:$E$11000,"Sedekah")</f>
        <v>130000</v>
      </c>
      <c r="S54" s="52">
        <f ca="1">SUMIFS(OUT!$F$2:$F$11000,OUT!$H$2:$H$11000,H54,OUT!$D$2:$D$11000,"Out",OUT!$E$2:$E$11000,"Zela")</f>
        <v>215161</v>
      </c>
      <c r="T54" s="52">
        <f ca="1">SUMIFS(OUT!$F$2:$F$11000,OUT!$H$2:$H$11000,H54,OUT!$D$2:$D$11000,"Out",OUT!$E$2:$E$11000,"Iqbal")</f>
        <v>215000</v>
      </c>
    </row>
    <row r="55" spans="1:20" x14ac:dyDescent="0.2">
      <c r="A55" s="48">
        <f ca="1">IFERROR(__xludf.DUMMYFUNCTION("""COMPUTED_VALUE"""),46084)</f>
        <v>46084</v>
      </c>
      <c r="B55" s="4" t="str">
        <f ca="1">IFERROR(__xludf.DUMMYFUNCTION("""COMPUTED_VALUE"""),"Mamaku")</f>
        <v>Mamaku</v>
      </c>
      <c r="C55" s="4" t="str">
        <f ca="1">IFERROR(__xludf.DUMMYFUNCTION("""COMPUTED_VALUE"""),"Cash")</f>
        <v>Cash</v>
      </c>
      <c r="D55" s="4" t="str">
        <f ca="1">IFERROR(__xludf.DUMMYFUNCTION("""COMPUTED_VALUE"""),"In")</f>
        <v>In</v>
      </c>
      <c r="E55" s="4" t="str">
        <f ca="1">IFERROR(__xludf.DUMMYFUNCTION("""COMPUTED_VALUE"""),"Fix")</f>
        <v>Fix</v>
      </c>
      <c r="F55" s="49">
        <f ca="1">IFERROR(__xludf.DUMMYFUNCTION("""COMPUTED_VALUE"""),20000)</f>
        <v>20000</v>
      </c>
      <c r="G55" s="50" t="str">
        <f ca="1">IFERROR(__xludf.DUMMYFUNCTION("""COMPUTED_VALUE"""),"Ibal")</f>
        <v>Ibal</v>
      </c>
      <c r="H55" s="51">
        <f t="shared" ca="1" si="0"/>
        <v>46082</v>
      </c>
      <c r="I55" s="52" t="e">
        <f ca="1">SUMIFS(OUT!$F$2:$F$11000,OUT!$H$2:$H$11000,H55,OUT!$D$2:$D$101007,"In")</f>
        <v>#VALUE!</v>
      </c>
      <c r="J55" s="52">
        <f ca="1">SUMIFS(OUT!$F$2:$F$11000,OUT!$H$2:$H$11000,H55,OUT!$D$2:$D$11000,"Out")</f>
        <v>12026623</v>
      </c>
      <c r="K55" s="52">
        <f ca="1">SUMIFS(OUT!$F$2:$F$11000,OUT!$H$2:$H$11000,H55,OUT!$D$2:$D$11000,"Out",OUT!$E$2:$E$11000,"Fix")</f>
        <v>2865413</v>
      </c>
      <c r="L55" s="52">
        <f ca="1">SUMIFS(OUT!$F$2:$F$11000,OUT!$H$2:$H$11000,H55,OUT!$D$2:$D$11000,"Out",OUT!$E$2:$E$11000,"Bathroom")</f>
        <v>120488</v>
      </c>
      <c r="M55" s="52">
        <f ca="1">SUMIFS(OUT!$F$2:$F$11000,OUT!$H$2:$H$11000,H55,OUT!$D$2:$D$11000,"Out",OUT!$E$2:$E$11000,"Alfa")</f>
        <v>890962</v>
      </c>
      <c r="N55" s="52" t="e">
        <f ca="1">SUMIFS(OUT!$F$2:$F$11000,OUT!$H$2:$H$101007,H55,OUT!$D$2:$D$11000,"Out",OUT!$E$2:$E$11000,"Jajan")</f>
        <v>#VALUE!</v>
      </c>
      <c r="O55" s="52">
        <f ca="1">SUMIFS(OUT!$F$2:$F$11000,OUT!$H$2:$H$11000,H55,OUT!$D$2:$D$11000,"Out",OUT!$E$2:$E$11000,"Kitchen")</f>
        <v>1152600</v>
      </c>
      <c r="P55" s="52">
        <f ca="1">SUMIFS(OUT!$F$2:$F$11000,OUT!$H$2:$H$11000,H55,OUT!$D$2:$D$11000,"Out",OUT!$E$2:$E$11000,"Loandry")</f>
        <v>41000</v>
      </c>
      <c r="Q55" s="52">
        <f ca="1">SUMIFS(OUT!$F$2:$F$11000,OUT!$H$2:$H$11000,H55,OUT!$D$2:$D$11000,"Out",OUT!$E$2:$E$11000,"Mio")</f>
        <v>895700</v>
      </c>
      <c r="R55" s="52">
        <f ca="1">SUMIFS(OUT!$F$2:$F$11000,OUT!$H$2:$H$11000,H55,OUT!$D$2:$D$11000,"Out",OUT!$E$2:$E$11000,"Sedekah")</f>
        <v>130000</v>
      </c>
      <c r="S55" s="52">
        <f ca="1">SUMIFS(OUT!$F$2:$F$11000,OUT!$H$2:$H$11000,H55,OUT!$D$2:$D$11000,"Out",OUT!$E$2:$E$11000,"Zela")</f>
        <v>215161</v>
      </c>
      <c r="T55" s="52">
        <f ca="1">SUMIFS(OUT!$F$2:$F$11000,OUT!$H$2:$H$11000,H55,OUT!$D$2:$D$11000,"Out",OUT!$E$2:$E$11000,"Iqbal")</f>
        <v>215000</v>
      </c>
    </row>
    <row r="56" spans="1:20" x14ac:dyDescent="0.2">
      <c r="A56" s="48">
        <f ca="1">IFERROR(__xludf.DUMMYFUNCTION("""COMPUTED_VALUE"""),46084)</f>
        <v>46084</v>
      </c>
      <c r="B56" s="4" t="str">
        <f ca="1">IFERROR(__xludf.DUMMYFUNCTION("""COMPUTED_VALUE"""),"Pertalite")</f>
        <v>Pertalite</v>
      </c>
      <c r="C56" s="4" t="str">
        <f ca="1">IFERROR(__xludf.DUMMYFUNCTION("""COMPUTED_VALUE"""),"Cash")</f>
        <v>Cash</v>
      </c>
      <c r="D56" s="4" t="str">
        <f ca="1">IFERROR(__xludf.DUMMYFUNCTION("""COMPUTED_VALUE"""),"Out")</f>
        <v>Out</v>
      </c>
      <c r="E56" s="4" t="str">
        <f ca="1">IFERROR(__xludf.DUMMYFUNCTION("""COMPUTED_VALUE"""),"Mio")</f>
        <v>Mio</v>
      </c>
      <c r="F56" s="49">
        <f ca="1">IFERROR(__xludf.DUMMYFUNCTION("""COMPUTED_VALUE"""),29000)</f>
        <v>29000</v>
      </c>
      <c r="G56" s="50" t="str">
        <f ca="1">IFERROR(__xludf.DUMMYFUNCTION("""COMPUTED_VALUE"""),"Ibal")</f>
        <v>Ibal</v>
      </c>
      <c r="H56" s="51">
        <f t="shared" ca="1" si="0"/>
        <v>46082</v>
      </c>
      <c r="I56" s="52" t="e">
        <f ca="1">SUMIFS(OUT!$F$2:$F$11000,OUT!$H$2:$H$11000,H56,OUT!$D$2:$D$101007,"In")</f>
        <v>#VALUE!</v>
      </c>
      <c r="J56" s="52">
        <f ca="1">SUMIFS(OUT!$F$2:$F$11000,OUT!$H$2:$H$11000,H56,OUT!$D$2:$D$11000,"Out")</f>
        <v>12026623</v>
      </c>
      <c r="K56" s="52">
        <f ca="1">SUMIFS(OUT!$F$2:$F$11000,OUT!$H$2:$H$11000,H56,OUT!$D$2:$D$11000,"Out",OUT!$E$2:$E$11000,"Fix")</f>
        <v>2865413</v>
      </c>
      <c r="L56" s="52">
        <f ca="1">SUMIFS(OUT!$F$2:$F$11000,OUT!$H$2:$H$11000,H56,OUT!$D$2:$D$11000,"Out",OUT!$E$2:$E$11000,"Bathroom")</f>
        <v>120488</v>
      </c>
      <c r="M56" s="52">
        <f ca="1">SUMIFS(OUT!$F$2:$F$11000,OUT!$H$2:$H$11000,H56,OUT!$D$2:$D$11000,"Out",OUT!$E$2:$E$11000,"Alfa")</f>
        <v>890962</v>
      </c>
      <c r="N56" s="52" t="e">
        <f ca="1">SUMIFS(OUT!$F$2:$F$11000,OUT!$H$2:$H$101007,H56,OUT!$D$2:$D$11000,"Out",OUT!$E$2:$E$11000,"Jajan")</f>
        <v>#VALUE!</v>
      </c>
      <c r="O56" s="52">
        <f ca="1">SUMIFS(OUT!$F$2:$F$11000,OUT!$H$2:$H$11000,H56,OUT!$D$2:$D$11000,"Out",OUT!$E$2:$E$11000,"Kitchen")</f>
        <v>1152600</v>
      </c>
      <c r="P56" s="52">
        <f ca="1">SUMIFS(OUT!$F$2:$F$11000,OUT!$H$2:$H$11000,H56,OUT!$D$2:$D$11000,"Out",OUT!$E$2:$E$11000,"Loandry")</f>
        <v>41000</v>
      </c>
      <c r="Q56" s="52">
        <f ca="1">SUMIFS(OUT!$F$2:$F$11000,OUT!$H$2:$H$11000,H56,OUT!$D$2:$D$11000,"Out",OUT!$E$2:$E$11000,"Mio")</f>
        <v>895700</v>
      </c>
      <c r="R56" s="52">
        <f ca="1">SUMIFS(OUT!$F$2:$F$11000,OUT!$H$2:$H$11000,H56,OUT!$D$2:$D$11000,"Out",OUT!$E$2:$E$11000,"Sedekah")</f>
        <v>130000</v>
      </c>
      <c r="S56" s="52">
        <f ca="1">SUMIFS(OUT!$F$2:$F$11000,OUT!$H$2:$H$11000,H56,OUT!$D$2:$D$11000,"Out",OUT!$E$2:$E$11000,"Zela")</f>
        <v>215161</v>
      </c>
      <c r="T56" s="52">
        <f ca="1">SUMIFS(OUT!$F$2:$F$11000,OUT!$H$2:$H$11000,H56,OUT!$D$2:$D$11000,"Out",OUT!$E$2:$E$11000,"Iqbal")</f>
        <v>215000</v>
      </c>
    </row>
    <row r="57" spans="1:20" x14ac:dyDescent="0.2">
      <c r="A57" s="48">
        <f ca="1">IFERROR(__xludf.DUMMYFUNCTION("""COMPUTED_VALUE"""),46084)</f>
        <v>46084</v>
      </c>
      <c r="B57" s="4" t="str">
        <f ca="1">IFERROR(__xludf.DUMMYFUNCTION("""COMPUTED_VALUE"""),"Istriku")</f>
        <v>Istriku</v>
      </c>
      <c r="C57" s="4" t="str">
        <f ca="1">IFERROR(__xludf.DUMMYFUNCTION("""COMPUTED_VALUE"""),"ATM")</f>
        <v>ATM</v>
      </c>
      <c r="D57" s="4" t="str">
        <f ca="1">IFERROR(__xludf.DUMMYFUNCTION("""COMPUTED_VALUE"""),"In")</f>
        <v>In</v>
      </c>
      <c r="E57" s="4" t="str">
        <f ca="1">IFERROR(__xludf.DUMMYFUNCTION("""COMPUTED_VALUE"""),"Move")</f>
        <v>Move</v>
      </c>
      <c r="F57" s="49">
        <f ca="1">IFERROR(__xludf.DUMMYFUNCTION("""COMPUTED_VALUE"""),50000)</f>
        <v>50000</v>
      </c>
      <c r="G57" s="50" t="str">
        <f ca="1">IFERROR(__xludf.DUMMYFUNCTION("""COMPUTED_VALUE"""),"Ibal")</f>
        <v>Ibal</v>
      </c>
      <c r="H57" s="51">
        <f t="shared" ca="1" si="0"/>
        <v>46082</v>
      </c>
      <c r="I57" s="52" t="e">
        <f ca="1">SUMIFS(OUT!$F$2:$F$11000,OUT!$H$2:$H$11000,H57,OUT!$D$2:$D$101007,"In")</f>
        <v>#VALUE!</v>
      </c>
      <c r="J57" s="52">
        <f ca="1">SUMIFS(OUT!$F$2:$F$11000,OUT!$H$2:$H$11000,H57,OUT!$D$2:$D$11000,"Out")</f>
        <v>12026623</v>
      </c>
      <c r="K57" s="52">
        <f ca="1">SUMIFS(OUT!$F$2:$F$11000,OUT!$H$2:$H$11000,H57,OUT!$D$2:$D$11000,"Out",OUT!$E$2:$E$11000,"Fix")</f>
        <v>2865413</v>
      </c>
      <c r="L57" s="52">
        <f ca="1">SUMIFS(OUT!$F$2:$F$11000,OUT!$H$2:$H$11000,H57,OUT!$D$2:$D$11000,"Out",OUT!$E$2:$E$11000,"Bathroom")</f>
        <v>120488</v>
      </c>
      <c r="M57" s="52">
        <f ca="1">SUMIFS(OUT!$F$2:$F$11000,OUT!$H$2:$H$11000,H57,OUT!$D$2:$D$11000,"Out",OUT!$E$2:$E$11000,"Alfa")</f>
        <v>890962</v>
      </c>
      <c r="N57" s="52" t="e">
        <f ca="1">SUMIFS(OUT!$F$2:$F$11000,OUT!$H$2:$H$101007,H57,OUT!$D$2:$D$11000,"Out",OUT!$E$2:$E$11000,"Jajan")</f>
        <v>#VALUE!</v>
      </c>
      <c r="O57" s="52">
        <f ca="1">SUMIFS(OUT!$F$2:$F$11000,OUT!$H$2:$H$11000,H57,OUT!$D$2:$D$11000,"Out",OUT!$E$2:$E$11000,"Kitchen")</f>
        <v>1152600</v>
      </c>
      <c r="P57" s="52">
        <f ca="1">SUMIFS(OUT!$F$2:$F$11000,OUT!$H$2:$H$11000,H57,OUT!$D$2:$D$11000,"Out",OUT!$E$2:$E$11000,"Loandry")</f>
        <v>41000</v>
      </c>
      <c r="Q57" s="52">
        <f ca="1">SUMIFS(OUT!$F$2:$F$11000,OUT!$H$2:$H$11000,H57,OUT!$D$2:$D$11000,"Out",OUT!$E$2:$E$11000,"Mio")</f>
        <v>895700</v>
      </c>
      <c r="R57" s="52">
        <f ca="1">SUMIFS(OUT!$F$2:$F$11000,OUT!$H$2:$H$11000,H57,OUT!$D$2:$D$11000,"Out",OUT!$E$2:$E$11000,"Sedekah")</f>
        <v>130000</v>
      </c>
      <c r="S57" s="52">
        <f ca="1">SUMIFS(OUT!$F$2:$F$11000,OUT!$H$2:$H$11000,H57,OUT!$D$2:$D$11000,"Out",OUT!$E$2:$E$11000,"Zela")</f>
        <v>215161</v>
      </c>
      <c r="T57" s="52">
        <f ca="1">SUMIFS(OUT!$F$2:$F$11000,OUT!$H$2:$H$11000,H57,OUT!$D$2:$D$11000,"Out",OUT!$E$2:$E$11000,"Iqbal")</f>
        <v>215000</v>
      </c>
    </row>
    <row r="58" spans="1:20" x14ac:dyDescent="0.2">
      <c r="A58" s="48">
        <f ca="1">IFERROR(__xludf.DUMMYFUNCTION("""COMPUTED_VALUE"""),46084)</f>
        <v>46084</v>
      </c>
      <c r="B58" s="4" t="str">
        <f ca="1">IFERROR(__xludf.DUMMYFUNCTION("""COMPUTED_VALUE"""),"Shopee")</f>
        <v>Shopee</v>
      </c>
      <c r="C58" s="4" t="str">
        <f ca="1">IFERROR(__xludf.DUMMYFUNCTION("""COMPUTED_VALUE"""),"ATM")</f>
        <v>ATM</v>
      </c>
      <c r="D58" s="4" t="str">
        <f ca="1">IFERROR(__xludf.DUMMYFUNCTION("""COMPUTED_VALUE"""),"Out")</f>
        <v>Out</v>
      </c>
      <c r="E58" s="4" t="str">
        <f ca="1">IFERROR(__xludf.DUMMYFUNCTION("""COMPUTED_VALUE"""),"Fix")</f>
        <v>Fix</v>
      </c>
      <c r="F58" s="49">
        <f ca="1">IFERROR(__xludf.DUMMYFUNCTION("""COMPUTED_VALUE"""),624137)</f>
        <v>624137</v>
      </c>
      <c r="G58" s="50" t="str">
        <f ca="1">IFERROR(__xludf.DUMMYFUNCTION("""COMPUTED_VALUE"""),"Ibal")</f>
        <v>Ibal</v>
      </c>
      <c r="H58" s="51">
        <f t="shared" ca="1" si="0"/>
        <v>46082</v>
      </c>
      <c r="I58" s="52" t="e">
        <f ca="1">SUMIFS(OUT!$F$2:$F$11000,OUT!$H$2:$H$11000,H58,OUT!$D$2:$D$101007,"In")</f>
        <v>#VALUE!</v>
      </c>
      <c r="J58" s="52">
        <f ca="1">SUMIFS(OUT!$F$2:$F$11000,OUT!$H$2:$H$11000,H58,OUT!$D$2:$D$11000,"Out")</f>
        <v>12026623</v>
      </c>
      <c r="K58" s="52">
        <f ca="1">SUMIFS(OUT!$F$2:$F$11000,OUT!$H$2:$H$11000,H58,OUT!$D$2:$D$11000,"Out",OUT!$E$2:$E$11000,"Fix")</f>
        <v>2865413</v>
      </c>
      <c r="L58" s="52">
        <f ca="1">SUMIFS(OUT!$F$2:$F$11000,OUT!$H$2:$H$11000,H58,OUT!$D$2:$D$11000,"Out",OUT!$E$2:$E$11000,"Bathroom")</f>
        <v>120488</v>
      </c>
      <c r="M58" s="52">
        <f ca="1">SUMIFS(OUT!$F$2:$F$11000,OUT!$H$2:$H$11000,H58,OUT!$D$2:$D$11000,"Out",OUT!$E$2:$E$11000,"Alfa")</f>
        <v>890962</v>
      </c>
      <c r="N58" s="52" t="e">
        <f ca="1">SUMIFS(OUT!$F$2:$F$11000,OUT!$H$2:$H$101007,H58,OUT!$D$2:$D$11000,"Out",OUT!$E$2:$E$11000,"Jajan")</f>
        <v>#VALUE!</v>
      </c>
      <c r="O58" s="52">
        <f ca="1">SUMIFS(OUT!$F$2:$F$11000,OUT!$H$2:$H$11000,H58,OUT!$D$2:$D$11000,"Out",OUT!$E$2:$E$11000,"Kitchen")</f>
        <v>1152600</v>
      </c>
      <c r="P58" s="52">
        <f ca="1">SUMIFS(OUT!$F$2:$F$11000,OUT!$H$2:$H$11000,H58,OUT!$D$2:$D$11000,"Out",OUT!$E$2:$E$11000,"Loandry")</f>
        <v>41000</v>
      </c>
      <c r="Q58" s="52">
        <f ca="1">SUMIFS(OUT!$F$2:$F$11000,OUT!$H$2:$H$11000,H58,OUT!$D$2:$D$11000,"Out",OUT!$E$2:$E$11000,"Mio")</f>
        <v>895700</v>
      </c>
      <c r="R58" s="52">
        <f ca="1">SUMIFS(OUT!$F$2:$F$11000,OUT!$H$2:$H$11000,H58,OUT!$D$2:$D$11000,"Out",OUT!$E$2:$E$11000,"Sedekah")</f>
        <v>130000</v>
      </c>
      <c r="S58" s="52">
        <f ca="1">SUMIFS(OUT!$F$2:$F$11000,OUT!$H$2:$H$11000,H58,OUT!$D$2:$D$11000,"Out",OUT!$E$2:$E$11000,"Zela")</f>
        <v>215161</v>
      </c>
      <c r="T58" s="52">
        <f ca="1">SUMIFS(OUT!$F$2:$F$11000,OUT!$H$2:$H$11000,H58,OUT!$D$2:$D$11000,"Out",OUT!$E$2:$E$11000,"Iqbal")</f>
        <v>215000</v>
      </c>
    </row>
    <row r="59" spans="1:20" x14ac:dyDescent="0.2">
      <c r="A59" s="48">
        <f ca="1">IFERROR(__xludf.DUMMYFUNCTION("""COMPUTED_VALUE"""),46084)</f>
        <v>46084</v>
      </c>
      <c r="B59" s="4" t="str">
        <f ca="1">IFERROR(__xludf.DUMMYFUNCTION("""COMPUTED_VALUE"""),"Kulkas")</f>
        <v>Kulkas</v>
      </c>
      <c r="C59" s="4" t="str">
        <f ca="1">IFERROR(__xludf.DUMMYFUNCTION("""COMPUTED_VALUE"""),"ATM")</f>
        <v>ATM</v>
      </c>
      <c r="D59" s="4" t="str">
        <f ca="1">IFERROR(__xludf.DUMMYFUNCTION("""COMPUTED_VALUE"""),"Out")</f>
        <v>Out</v>
      </c>
      <c r="E59" s="4" t="str">
        <f ca="1">IFERROR(__xludf.DUMMYFUNCTION("""COMPUTED_VALUE"""),"Fix")</f>
        <v>Fix</v>
      </c>
      <c r="F59" s="49">
        <f ca="1">IFERROR(__xludf.DUMMYFUNCTION("""COMPUTED_VALUE"""),279187)</f>
        <v>279187</v>
      </c>
      <c r="G59" s="50" t="str">
        <f ca="1">IFERROR(__xludf.DUMMYFUNCTION("""COMPUTED_VALUE"""),"Ibal")</f>
        <v>Ibal</v>
      </c>
      <c r="H59" s="51">
        <f t="shared" ca="1" si="0"/>
        <v>46082</v>
      </c>
      <c r="I59" s="52" t="e">
        <f ca="1">SUMIFS(OUT!$F$2:$F$11000,OUT!$H$2:$H$11000,H59,OUT!$D$2:$D$101007,"In")</f>
        <v>#VALUE!</v>
      </c>
      <c r="J59" s="52">
        <f ca="1">SUMIFS(OUT!$F$2:$F$11000,OUT!$H$2:$H$11000,H59,OUT!$D$2:$D$11000,"Out")</f>
        <v>12026623</v>
      </c>
      <c r="K59" s="52">
        <f ca="1">SUMIFS(OUT!$F$2:$F$11000,OUT!$H$2:$H$11000,H59,OUT!$D$2:$D$11000,"Out",OUT!$E$2:$E$11000,"Fix")</f>
        <v>2865413</v>
      </c>
      <c r="L59" s="52">
        <f ca="1">SUMIFS(OUT!$F$2:$F$11000,OUT!$H$2:$H$11000,H59,OUT!$D$2:$D$11000,"Out",OUT!$E$2:$E$11000,"Bathroom")</f>
        <v>120488</v>
      </c>
      <c r="M59" s="52">
        <f ca="1">SUMIFS(OUT!$F$2:$F$11000,OUT!$H$2:$H$11000,H59,OUT!$D$2:$D$11000,"Out",OUT!$E$2:$E$11000,"Alfa")</f>
        <v>890962</v>
      </c>
      <c r="N59" s="52" t="e">
        <f ca="1">SUMIFS(OUT!$F$2:$F$11000,OUT!$H$2:$H$101007,H59,OUT!$D$2:$D$11000,"Out",OUT!$E$2:$E$11000,"Jajan")</f>
        <v>#VALUE!</v>
      </c>
      <c r="O59" s="52">
        <f ca="1">SUMIFS(OUT!$F$2:$F$11000,OUT!$H$2:$H$11000,H59,OUT!$D$2:$D$11000,"Out",OUT!$E$2:$E$11000,"Kitchen")</f>
        <v>1152600</v>
      </c>
      <c r="P59" s="52">
        <f ca="1">SUMIFS(OUT!$F$2:$F$11000,OUT!$H$2:$H$11000,H59,OUT!$D$2:$D$11000,"Out",OUT!$E$2:$E$11000,"Loandry")</f>
        <v>41000</v>
      </c>
      <c r="Q59" s="52">
        <f ca="1">SUMIFS(OUT!$F$2:$F$11000,OUT!$H$2:$H$11000,H59,OUT!$D$2:$D$11000,"Out",OUT!$E$2:$E$11000,"Mio")</f>
        <v>895700</v>
      </c>
      <c r="R59" s="52">
        <f ca="1">SUMIFS(OUT!$F$2:$F$11000,OUT!$H$2:$H$11000,H59,OUT!$D$2:$D$11000,"Out",OUT!$E$2:$E$11000,"Sedekah")</f>
        <v>130000</v>
      </c>
      <c r="S59" s="52">
        <f ca="1">SUMIFS(OUT!$F$2:$F$11000,OUT!$H$2:$H$11000,H59,OUT!$D$2:$D$11000,"Out",OUT!$E$2:$E$11000,"Zela")</f>
        <v>215161</v>
      </c>
      <c r="T59" s="52">
        <f ca="1">SUMIFS(OUT!$F$2:$F$11000,OUT!$H$2:$H$11000,H59,OUT!$D$2:$D$11000,"Out",OUT!$E$2:$E$11000,"Iqbal")</f>
        <v>215000</v>
      </c>
    </row>
    <row r="60" spans="1:20" x14ac:dyDescent="0.2">
      <c r="A60" s="48">
        <f ca="1">IFERROR(__xludf.DUMMYFUNCTION("""COMPUTED_VALUE"""),46084)</f>
        <v>46084</v>
      </c>
      <c r="B60" s="4" t="str">
        <f ca="1">IFERROR(__xludf.DUMMYFUNCTION("""COMPUTED_VALUE"""),"Bracket TV &amp; Antena")</f>
        <v>Bracket TV &amp; Antena</v>
      </c>
      <c r="C60" s="4" t="str">
        <f ca="1">IFERROR(__xludf.DUMMYFUNCTION("""COMPUTED_VALUE"""),"ATM")</f>
        <v>ATM</v>
      </c>
      <c r="D60" s="4" t="str">
        <f ca="1">IFERROR(__xludf.DUMMYFUNCTION("""COMPUTED_VALUE"""),"Out")</f>
        <v>Out</v>
      </c>
      <c r="E60" s="4" t="str">
        <f ca="1">IFERROR(__xludf.DUMMYFUNCTION("""COMPUTED_VALUE"""),"Fix")</f>
        <v>Fix</v>
      </c>
      <c r="F60" s="49">
        <f ca="1">IFERROR(__xludf.DUMMYFUNCTION("""COMPUTED_VALUE"""),73682)</f>
        <v>73682</v>
      </c>
      <c r="G60" s="50" t="str">
        <f ca="1">IFERROR(__xludf.DUMMYFUNCTION("""COMPUTED_VALUE"""),"Ibal")</f>
        <v>Ibal</v>
      </c>
      <c r="H60" s="51">
        <f t="shared" ca="1" si="0"/>
        <v>46082</v>
      </c>
      <c r="I60" s="52" t="e">
        <f ca="1">SUMIFS(OUT!$F$2:$F$11000,OUT!$H$2:$H$11000,H60,OUT!$D$2:$D$101007,"In")</f>
        <v>#VALUE!</v>
      </c>
      <c r="J60" s="52">
        <f ca="1">SUMIFS(OUT!$F$2:$F$11000,OUT!$H$2:$H$11000,H60,OUT!$D$2:$D$11000,"Out")</f>
        <v>12026623</v>
      </c>
      <c r="K60" s="52">
        <f ca="1">SUMIFS(OUT!$F$2:$F$11000,OUT!$H$2:$H$11000,H60,OUT!$D$2:$D$11000,"Out",OUT!$E$2:$E$11000,"Fix")</f>
        <v>2865413</v>
      </c>
      <c r="L60" s="52">
        <f ca="1">SUMIFS(OUT!$F$2:$F$11000,OUT!$H$2:$H$11000,H60,OUT!$D$2:$D$11000,"Out",OUT!$E$2:$E$11000,"Bathroom")</f>
        <v>120488</v>
      </c>
      <c r="M60" s="52">
        <f ca="1">SUMIFS(OUT!$F$2:$F$11000,OUT!$H$2:$H$11000,H60,OUT!$D$2:$D$11000,"Out",OUT!$E$2:$E$11000,"Alfa")</f>
        <v>890962</v>
      </c>
      <c r="N60" s="52" t="e">
        <f ca="1">SUMIFS(OUT!$F$2:$F$11000,OUT!$H$2:$H$101007,H60,OUT!$D$2:$D$11000,"Out",OUT!$E$2:$E$11000,"Jajan")</f>
        <v>#VALUE!</v>
      </c>
      <c r="O60" s="52">
        <f ca="1">SUMIFS(OUT!$F$2:$F$11000,OUT!$H$2:$H$11000,H60,OUT!$D$2:$D$11000,"Out",OUT!$E$2:$E$11000,"Kitchen")</f>
        <v>1152600</v>
      </c>
      <c r="P60" s="52">
        <f ca="1">SUMIFS(OUT!$F$2:$F$11000,OUT!$H$2:$H$11000,H60,OUT!$D$2:$D$11000,"Out",OUT!$E$2:$E$11000,"Loandry")</f>
        <v>41000</v>
      </c>
      <c r="Q60" s="52">
        <f ca="1">SUMIFS(OUT!$F$2:$F$11000,OUT!$H$2:$H$11000,H60,OUT!$D$2:$D$11000,"Out",OUT!$E$2:$E$11000,"Mio")</f>
        <v>895700</v>
      </c>
      <c r="R60" s="52">
        <f ca="1">SUMIFS(OUT!$F$2:$F$11000,OUT!$H$2:$H$11000,H60,OUT!$D$2:$D$11000,"Out",OUT!$E$2:$E$11000,"Sedekah")</f>
        <v>130000</v>
      </c>
      <c r="S60" s="52">
        <f ca="1">SUMIFS(OUT!$F$2:$F$11000,OUT!$H$2:$H$11000,H60,OUT!$D$2:$D$11000,"Out",OUT!$E$2:$E$11000,"Zela")</f>
        <v>215161</v>
      </c>
      <c r="T60" s="52">
        <f ca="1">SUMIFS(OUT!$F$2:$F$11000,OUT!$H$2:$H$11000,H60,OUT!$D$2:$D$11000,"Out",OUT!$E$2:$E$11000,"Iqbal")</f>
        <v>215000</v>
      </c>
    </row>
    <row r="61" spans="1:20" x14ac:dyDescent="0.2">
      <c r="A61" s="48">
        <f ca="1">IFERROR(__xludf.DUMMYFUNCTION("""COMPUTED_VALUE"""),46086)</f>
        <v>46086</v>
      </c>
      <c r="B61" s="4" t="str">
        <f ca="1">IFERROR(__xludf.DUMMYFUNCTION("""COMPUTED_VALUE"""),"Sewa Rumah Athaya 3 (Maret 2026)")</f>
        <v>Sewa Rumah Athaya 3 (Maret 2026)</v>
      </c>
      <c r="C61" s="4" t="str">
        <f ca="1">IFERROR(__xludf.DUMMYFUNCTION("""COMPUTED_VALUE"""),"ATM")</f>
        <v>ATM</v>
      </c>
      <c r="D61" s="4" t="str">
        <f ca="1">IFERROR(__xludf.DUMMYFUNCTION("""COMPUTED_VALUE"""),"Out")</f>
        <v>Out</v>
      </c>
      <c r="E61" s="4" t="str">
        <f ca="1">IFERROR(__xludf.DUMMYFUNCTION("""COMPUTED_VALUE"""),"Fix")</f>
        <v>Fix</v>
      </c>
      <c r="F61" s="49">
        <f ca="1">IFERROR(__xludf.DUMMYFUNCTION("""COMPUTED_VALUE"""),1000416)</f>
        <v>1000416</v>
      </c>
      <c r="G61" s="50" t="str">
        <f ca="1">IFERROR(__xludf.DUMMYFUNCTION("""COMPUTED_VALUE"""),"Ibal")</f>
        <v>Ibal</v>
      </c>
      <c r="H61" s="51">
        <f t="shared" ca="1" si="0"/>
        <v>46082</v>
      </c>
      <c r="I61" s="52" t="e">
        <f ca="1">SUMIFS(OUT!$F$2:$F$11000,OUT!$H$2:$H$11000,H61,OUT!$D$2:$D$101007,"In")</f>
        <v>#VALUE!</v>
      </c>
      <c r="J61" s="52">
        <f ca="1">SUMIFS(OUT!$F$2:$F$11000,OUT!$H$2:$H$11000,H61,OUT!$D$2:$D$11000,"Out")</f>
        <v>12026623</v>
      </c>
      <c r="K61" s="52">
        <f ca="1">SUMIFS(OUT!$F$2:$F$11000,OUT!$H$2:$H$11000,H61,OUT!$D$2:$D$11000,"Out",OUT!$E$2:$E$11000,"Fix")</f>
        <v>2865413</v>
      </c>
      <c r="L61" s="52">
        <f ca="1">SUMIFS(OUT!$F$2:$F$11000,OUT!$H$2:$H$11000,H61,OUT!$D$2:$D$11000,"Out",OUT!$E$2:$E$11000,"Bathroom")</f>
        <v>120488</v>
      </c>
      <c r="M61" s="52">
        <f ca="1">SUMIFS(OUT!$F$2:$F$11000,OUT!$H$2:$H$11000,H61,OUT!$D$2:$D$11000,"Out",OUT!$E$2:$E$11000,"Alfa")</f>
        <v>890962</v>
      </c>
      <c r="N61" s="52" t="e">
        <f ca="1">SUMIFS(OUT!$F$2:$F$11000,OUT!$H$2:$H$101007,H61,OUT!$D$2:$D$11000,"Out",OUT!$E$2:$E$11000,"Jajan")</f>
        <v>#VALUE!</v>
      </c>
      <c r="O61" s="52">
        <f ca="1">SUMIFS(OUT!$F$2:$F$11000,OUT!$H$2:$H$11000,H61,OUT!$D$2:$D$11000,"Out",OUT!$E$2:$E$11000,"Kitchen")</f>
        <v>1152600</v>
      </c>
      <c r="P61" s="52">
        <f ca="1">SUMIFS(OUT!$F$2:$F$11000,OUT!$H$2:$H$11000,H61,OUT!$D$2:$D$11000,"Out",OUT!$E$2:$E$11000,"Loandry")</f>
        <v>41000</v>
      </c>
      <c r="Q61" s="52">
        <f ca="1">SUMIFS(OUT!$F$2:$F$11000,OUT!$H$2:$H$11000,H61,OUT!$D$2:$D$11000,"Out",OUT!$E$2:$E$11000,"Mio")</f>
        <v>895700</v>
      </c>
      <c r="R61" s="52">
        <f ca="1">SUMIFS(OUT!$F$2:$F$11000,OUT!$H$2:$H$11000,H61,OUT!$D$2:$D$11000,"Out",OUT!$E$2:$E$11000,"Sedekah")</f>
        <v>130000</v>
      </c>
      <c r="S61" s="52">
        <f ca="1">SUMIFS(OUT!$F$2:$F$11000,OUT!$H$2:$H$11000,H61,OUT!$D$2:$D$11000,"Out",OUT!$E$2:$E$11000,"Zela")</f>
        <v>215161</v>
      </c>
      <c r="T61" s="52">
        <f ca="1">SUMIFS(OUT!$F$2:$F$11000,OUT!$H$2:$H$11000,H61,OUT!$D$2:$D$11000,"Out",OUT!$E$2:$E$11000,"Iqbal")</f>
        <v>215000</v>
      </c>
    </row>
    <row r="62" spans="1:20" x14ac:dyDescent="0.2">
      <c r="A62" s="48">
        <f ca="1">IFERROR(__xludf.DUMMYFUNCTION("""COMPUTED_VALUE"""),46086)</f>
        <v>46086</v>
      </c>
      <c r="B62" s="4" t="str">
        <f ca="1">IFERROR(__xludf.DUMMYFUNCTION("""COMPUTED_VALUE"""),"Iuran Athaya 3 (Maret 2026)")</f>
        <v>Iuran Athaya 3 (Maret 2026)</v>
      </c>
      <c r="C62" s="4" t="str">
        <f ca="1">IFERROR(__xludf.DUMMYFUNCTION("""COMPUTED_VALUE"""),"ATM")</f>
        <v>ATM</v>
      </c>
      <c r="D62" s="4" t="str">
        <f ca="1">IFERROR(__xludf.DUMMYFUNCTION("""COMPUTED_VALUE"""),"Out")</f>
        <v>Out</v>
      </c>
      <c r="E62" s="4" t="str">
        <f ca="1">IFERROR(__xludf.DUMMYFUNCTION("""COMPUTED_VALUE"""),"Fix")</f>
        <v>Fix</v>
      </c>
      <c r="F62" s="49">
        <f ca="1">IFERROR(__xludf.DUMMYFUNCTION("""COMPUTED_VALUE"""),75000)</f>
        <v>75000</v>
      </c>
      <c r="G62" s="50" t="str">
        <f ca="1">IFERROR(__xludf.DUMMYFUNCTION("""COMPUTED_VALUE"""),"Ibal")</f>
        <v>Ibal</v>
      </c>
      <c r="H62" s="51">
        <f t="shared" ca="1" si="0"/>
        <v>46082</v>
      </c>
      <c r="I62" s="52" t="e">
        <f ca="1">SUMIFS(OUT!$F$2:$F$11000,OUT!$H$2:$H$11000,H62,OUT!$D$2:$D$101007,"In")</f>
        <v>#VALUE!</v>
      </c>
      <c r="J62" s="52">
        <f ca="1">SUMIFS(OUT!$F$2:$F$11000,OUT!$H$2:$H$11000,H62,OUT!$D$2:$D$11000,"Out")</f>
        <v>12026623</v>
      </c>
      <c r="K62" s="52">
        <f ca="1">SUMIFS(OUT!$F$2:$F$11000,OUT!$H$2:$H$11000,H62,OUT!$D$2:$D$11000,"Out",OUT!$E$2:$E$11000,"Fix")</f>
        <v>2865413</v>
      </c>
      <c r="L62" s="52">
        <f ca="1">SUMIFS(OUT!$F$2:$F$11000,OUT!$H$2:$H$11000,H62,OUT!$D$2:$D$11000,"Out",OUT!$E$2:$E$11000,"Bathroom")</f>
        <v>120488</v>
      </c>
      <c r="M62" s="52">
        <f ca="1">SUMIFS(OUT!$F$2:$F$11000,OUT!$H$2:$H$11000,H62,OUT!$D$2:$D$11000,"Out",OUT!$E$2:$E$11000,"Alfa")</f>
        <v>890962</v>
      </c>
      <c r="N62" s="52" t="e">
        <f ca="1">SUMIFS(OUT!$F$2:$F$11000,OUT!$H$2:$H$101007,H62,OUT!$D$2:$D$11000,"Out",OUT!$E$2:$E$11000,"Jajan")</f>
        <v>#VALUE!</v>
      </c>
      <c r="O62" s="52">
        <f ca="1">SUMIFS(OUT!$F$2:$F$11000,OUT!$H$2:$H$11000,H62,OUT!$D$2:$D$11000,"Out",OUT!$E$2:$E$11000,"Kitchen")</f>
        <v>1152600</v>
      </c>
      <c r="P62" s="52">
        <f ca="1">SUMIFS(OUT!$F$2:$F$11000,OUT!$H$2:$H$11000,H62,OUT!$D$2:$D$11000,"Out",OUT!$E$2:$E$11000,"Loandry")</f>
        <v>41000</v>
      </c>
      <c r="Q62" s="52">
        <f ca="1">SUMIFS(OUT!$F$2:$F$11000,OUT!$H$2:$H$11000,H62,OUT!$D$2:$D$11000,"Out",OUT!$E$2:$E$11000,"Mio")</f>
        <v>895700</v>
      </c>
      <c r="R62" s="52">
        <f ca="1">SUMIFS(OUT!$F$2:$F$11000,OUT!$H$2:$H$11000,H62,OUT!$D$2:$D$11000,"Out",OUT!$E$2:$E$11000,"Sedekah")</f>
        <v>130000</v>
      </c>
      <c r="S62" s="52">
        <f ca="1">SUMIFS(OUT!$F$2:$F$11000,OUT!$H$2:$H$11000,H62,OUT!$D$2:$D$11000,"Out",OUT!$E$2:$E$11000,"Zela")</f>
        <v>215161</v>
      </c>
      <c r="T62" s="52">
        <f ca="1">SUMIFS(OUT!$F$2:$F$11000,OUT!$H$2:$H$11000,H62,OUT!$D$2:$D$11000,"Out",OUT!$E$2:$E$11000,"Iqbal")</f>
        <v>215000</v>
      </c>
    </row>
    <row r="63" spans="1:20" x14ac:dyDescent="0.2">
      <c r="A63" s="48">
        <f ca="1">IFERROR(__xludf.DUMMYFUNCTION("""COMPUTED_VALUE"""),46085)</f>
        <v>46085</v>
      </c>
      <c r="B63" s="4" t="str">
        <f ca="1">IFERROR(__xludf.DUMMYFUNCTION("""COMPUTED_VALUE"""),"Rokok")</f>
        <v>Rokok</v>
      </c>
      <c r="C63" s="4" t="str">
        <f ca="1">IFERROR(__xludf.DUMMYFUNCTION("""COMPUTED_VALUE"""),"ATM")</f>
        <v>ATM</v>
      </c>
      <c r="D63" s="4" t="str">
        <f ca="1">IFERROR(__xludf.DUMMYFUNCTION("""COMPUTED_VALUE"""),"Out")</f>
        <v>Out</v>
      </c>
      <c r="E63" s="4" t="str">
        <f ca="1">IFERROR(__xludf.DUMMYFUNCTION("""COMPUTED_VALUE"""),"Iqbal")</f>
        <v>Iqbal</v>
      </c>
      <c r="F63" s="49">
        <f ca="1">IFERROR(__xludf.DUMMYFUNCTION("""COMPUTED_VALUE"""),15000)</f>
        <v>15000</v>
      </c>
      <c r="G63" s="50" t="str">
        <f ca="1">IFERROR(__xludf.DUMMYFUNCTION("""COMPUTED_VALUE"""),"Ibal")</f>
        <v>Ibal</v>
      </c>
      <c r="H63" s="51">
        <f t="shared" ca="1" si="0"/>
        <v>46082</v>
      </c>
      <c r="I63" s="52" t="e">
        <f ca="1">SUMIFS(OUT!$F$2:$F$11000,OUT!$H$2:$H$11000,H63,OUT!$D$2:$D$101007,"In")</f>
        <v>#VALUE!</v>
      </c>
      <c r="J63" s="52">
        <f ca="1">SUMIFS(OUT!$F$2:$F$11000,OUT!$H$2:$H$11000,H63,OUT!$D$2:$D$11000,"Out")</f>
        <v>12026623</v>
      </c>
      <c r="K63" s="52">
        <f ca="1">SUMIFS(OUT!$F$2:$F$11000,OUT!$H$2:$H$11000,H63,OUT!$D$2:$D$11000,"Out",OUT!$E$2:$E$11000,"Fix")</f>
        <v>2865413</v>
      </c>
      <c r="L63" s="52">
        <f ca="1">SUMIFS(OUT!$F$2:$F$11000,OUT!$H$2:$H$11000,H63,OUT!$D$2:$D$11000,"Out",OUT!$E$2:$E$11000,"Bathroom")</f>
        <v>120488</v>
      </c>
      <c r="M63" s="52">
        <f ca="1">SUMIFS(OUT!$F$2:$F$11000,OUT!$H$2:$H$11000,H63,OUT!$D$2:$D$11000,"Out",OUT!$E$2:$E$11000,"Alfa")</f>
        <v>890962</v>
      </c>
      <c r="N63" s="52" t="e">
        <f ca="1">SUMIFS(OUT!$F$2:$F$11000,OUT!$H$2:$H$101007,H63,OUT!$D$2:$D$11000,"Out",OUT!$E$2:$E$11000,"Jajan")</f>
        <v>#VALUE!</v>
      </c>
      <c r="O63" s="52">
        <f ca="1">SUMIFS(OUT!$F$2:$F$11000,OUT!$H$2:$H$11000,H63,OUT!$D$2:$D$11000,"Out",OUT!$E$2:$E$11000,"Kitchen")</f>
        <v>1152600</v>
      </c>
      <c r="P63" s="52">
        <f ca="1">SUMIFS(OUT!$F$2:$F$11000,OUT!$H$2:$H$11000,H63,OUT!$D$2:$D$11000,"Out",OUT!$E$2:$E$11000,"Loandry")</f>
        <v>41000</v>
      </c>
      <c r="Q63" s="52">
        <f ca="1">SUMIFS(OUT!$F$2:$F$11000,OUT!$H$2:$H$11000,H63,OUT!$D$2:$D$11000,"Out",OUT!$E$2:$E$11000,"Mio")</f>
        <v>895700</v>
      </c>
      <c r="R63" s="52">
        <f ca="1">SUMIFS(OUT!$F$2:$F$11000,OUT!$H$2:$H$11000,H63,OUT!$D$2:$D$11000,"Out",OUT!$E$2:$E$11000,"Sedekah")</f>
        <v>130000</v>
      </c>
      <c r="S63" s="52">
        <f ca="1">SUMIFS(OUT!$F$2:$F$11000,OUT!$H$2:$H$11000,H63,OUT!$D$2:$D$11000,"Out",OUT!$E$2:$E$11000,"Zela")</f>
        <v>215161</v>
      </c>
      <c r="T63" s="52">
        <f ca="1">SUMIFS(OUT!$F$2:$F$11000,OUT!$H$2:$H$11000,H63,OUT!$D$2:$D$11000,"Out",OUT!$E$2:$E$11000,"Iqbal")</f>
        <v>215000</v>
      </c>
    </row>
    <row r="64" spans="1:20" x14ac:dyDescent="0.2">
      <c r="A64" s="48">
        <f ca="1">IFERROR(__xludf.DUMMYFUNCTION("""COMPUTED_VALUE"""),46086)</f>
        <v>46086</v>
      </c>
      <c r="B64" s="4" t="str">
        <f ca="1">IFERROR(__xludf.DUMMYFUNCTION("""COMPUTED_VALUE"""),"Teh telor")</f>
        <v>Teh telor</v>
      </c>
      <c r="C64" s="4" t="str">
        <f ca="1">IFERROR(__xludf.DUMMYFUNCTION("""COMPUTED_VALUE"""),"ATM")</f>
        <v>ATM</v>
      </c>
      <c r="D64" s="4" t="str">
        <f ca="1">IFERROR(__xludf.DUMMYFUNCTION("""COMPUTED_VALUE"""),"Out")</f>
        <v>Out</v>
      </c>
      <c r="E64" s="4" t="str">
        <f ca="1">IFERROR(__xludf.DUMMYFUNCTION("""COMPUTED_VALUE"""),"Jajan")</f>
        <v>Jajan</v>
      </c>
      <c r="F64" s="49">
        <f ca="1">IFERROR(__xludf.DUMMYFUNCTION("""COMPUTED_VALUE"""),10000)</f>
        <v>10000</v>
      </c>
      <c r="G64" s="50" t="str">
        <f ca="1">IFERROR(__xludf.DUMMYFUNCTION("""COMPUTED_VALUE"""),"Ibal")</f>
        <v>Ibal</v>
      </c>
      <c r="H64" s="51">
        <f t="shared" ca="1" si="0"/>
        <v>46082</v>
      </c>
      <c r="I64" s="52" t="e">
        <f ca="1">SUMIFS(OUT!$F$2:$F$11000,OUT!$H$2:$H$11000,H64,OUT!$D$2:$D$101007,"In")</f>
        <v>#VALUE!</v>
      </c>
      <c r="J64" s="52">
        <f ca="1">SUMIFS(OUT!$F$2:$F$11000,OUT!$H$2:$H$11000,H64,OUT!$D$2:$D$11000,"Out")</f>
        <v>12026623</v>
      </c>
      <c r="K64" s="52">
        <f ca="1">SUMIFS(OUT!$F$2:$F$11000,OUT!$H$2:$H$11000,H64,OUT!$D$2:$D$11000,"Out",OUT!$E$2:$E$11000,"Fix")</f>
        <v>2865413</v>
      </c>
      <c r="L64" s="52">
        <f ca="1">SUMIFS(OUT!$F$2:$F$11000,OUT!$H$2:$H$11000,H64,OUT!$D$2:$D$11000,"Out",OUT!$E$2:$E$11000,"Bathroom")</f>
        <v>120488</v>
      </c>
      <c r="M64" s="52">
        <f ca="1">SUMIFS(OUT!$F$2:$F$11000,OUT!$H$2:$H$11000,H64,OUT!$D$2:$D$11000,"Out",OUT!$E$2:$E$11000,"Alfa")</f>
        <v>890962</v>
      </c>
      <c r="N64" s="52" t="e">
        <f ca="1">SUMIFS(OUT!$F$2:$F$11000,OUT!$H$2:$H$101007,H64,OUT!$D$2:$D$11000,"Out",OUT!$E$2:$E$11000,"Jajan")</f>
        <v>#VALUE!</v>
      </c>
      <c r="O64" s="52">
        <f ca="1">SUMIFS(OUT!$F$2:$F$11000,OUT!$H$2:$H$11000,H64,OUT!$D$2:$D$11000,"Out",OUT!$E$2:$E$11000,"Kitchen")</f>
        <v>1152600</v>
      </c>
      <c r="P64" s="52">
        <f ca="1">SUMIFS(OUT!$F$2:$F$11000,OUT!$H$2:$H$11000,H64,OUT!$D$2:$D$11000,"Out",OUT!$E$2:$E$11000,"Loandry")</f>
        <v>41000</v>
      </c>
      <c r="Q64" s="52">
        <f ca="1">SUMIFS(OUT!$F$2:$F$11000,OUT!$H$2:$H$11000,H64,OUT!$D$2:$D$11000,"Out",OUT!$E$2:$E$11000,"Mio")</f>
        <v>895700</v>
      </c>
      <c r="R64" s="52">
        <f ca="1">SUMIFS(OUT!$F$2:$F$11000,OUT!$H$2:$H$11000,H64,OUT!$D$2:$D$11000,"Out",OUT!$E$2:$E$11000,"Sedekah")</f>
        <v>130000</v>
      </c>
      <c r="S64" s="52">
        <f ca="1">SUMIFS(OUT!$F$2:$F$11000,OUT!$H$2:$H$11000,H64,OUT!$D$2:$D$11000,"Out",OUT!$E$2:$E$11000,"Zela")</f>
        <v>215161</v>
      </c>
      <c r="T64" s="52">
        <f ca="1">SUMIFS(OUT!$F$2:$F$11000,OUT!$H$2:$H$11000,H64,OUT!$D$2:$D$11000,"Out",OUT!$E$2:$E$11000,"Iqbal")</f>
        <v>215000</v>
      </c>
    </row>
    <row r="65" spans="1:20" x14ac:dyDescent="0.2">
      <c r="A65" s="48">
        <f ca="1">IFERROR(__xludf.DUMMYFUNCTION("""COMPUTED_VALUE"""),46087)</f>
        <v>46087</v>
      </c>
      <c r="B65" s="4" t="str">
        <f ca="1">IFERROR(__xludf.DUMMYFUNCTION("""COMPUTED_VALUE"""),"Token listrik 200k")</f>
        <v>Token listrik 200k</v>
      </c>
      <c r="C65" s="4" t="str">
        <f ca="1">IFERROR(__xludf.DUMMYFUNCTION("""COMPUTED_VALUE"""),"ATM")</f>
        <v>ATM</v>
      </c>
      <c r="D65" s="4" t="str">
        <f ca="1">IFERROR(__xludf.DUMMYFUNCTION("""COMPUTED_VALUE"""),"Out")</f>
        <v>Out</v>
      </c>
      <c r="E65" s="4" t="str">
        <f ca="1">IFERROR(__xludf.DUMMYFUNCTION("""COMPUTED_VALUE"""),"Fix")</f>
        <v>Fix</v>
      </c>
      <c r="F65" s="49">
        <f ca="1">IFERROR(__xludf.DUMMYFUNCTION("""COMPUTED_VALUE"""),201750)</f>
        <v>201750</v>
      </c>
      <c r="G65" s="50" t="str">
        <f ca="1">IFERROR(__xludf.DUMMYFUNCTION("""COMPUTED_VALUE"""),"Ibal")</f>
        <v>Ibal</v>
      </c>
      <c r="H65" s="51">
        <f t="shared" ca="1" si="0"/>
        <v>46082</v>
      </c>
      <c r="I65" s="52" t="e">
        <f ca="1">SUMIFS(OUT!$F$2:$F$11000,OUT!$H$2:$H$11000,H65,OUT!$D$2:$D$101007,"In")</f>
        <v>#VALUE!</v>
      </c>
      <c r="J65" s="52">
        <f ca="1">SUMIFS(OUT!$F$2:$F$11000,OUT!$H$2:$H$11000,H65,OUT!$D$2:$D$11000,"Out")</f>
        <v>12026623</v>
      </c>
      <c r="K65" s="52">
        <f ca="1">SUMIFS(OUT!$F$2:$F$11000,OUT!$H$2:$H$11000,H65,OUT!$D$2:$D$11000,"Out",OUT!$E$2:$E$11000,"Fix")</f>
        <v>2865413</v>
      </c>
      <c r="L65" s="52">
        <f ca="1">SUMIFS(OUT!$F$2:$F$11000,OUT!$H$2:$H$11000,H65,OUT!$D$2:$D$11000,"Out",OUT!$E$2:$E$11000,"Bathroom")</f>
        <v>120488</v>
      </c>
      <c r="M65" s="52">
        <f ca="1">SUMIFS(OUT!$F$2:$F$11000,OUT!$H$2:$H$11000,H65,OUT!$D$2:$D$11000,"Out",OUT!$E$2:$E$11000,"Alfa")</f>
        <v>890962</v>
      </c>
      <c r="N65" s="52" t="e">
        <f ca="1">SUMIFS(OUT!$F$2:$F$11000,OUT!$H$2:$H$101007,H65,OUT!$D$2:$D$11000,"Out",OUT!$E$2:$E$11000,"Jajan")</f>
        <v>#VALUE!</v>
      </c>
      <c r="O65" s="52">
        <f ca="1">SUMIFS(OUT!$F$2:$F$11000,OUT!$H$2:$H$11000,H65,OUT!$D$2:$D$11000,"Out",OUT!$E$2:$E$11000,"Kitchen")</f>
        <v>1152600</v>
      </c>
      <c r="P65" s="52">
        <f ca="1">SUMIFS(OUT!$F$2:$F$11000,OUT!$H$2:$H$11000,H65,OUT!$D$2:$D$11000,"Out",OUT!$E$2:$E$11000,"Loandry")</f>
        <v>41000</v>
      </c>
      <c r="Q65" s="52">
        <f ca="1">SUMIFS(OUT!$F$2:$F$11000,OUT!$H$2:$H$11000,H65,OUT!$D$2:$D$11000,"Out",OUT!$E$2:$E$11000,"Mio")</f>
        <v>895700</v>
      </c>
      <c r="R65" s="52">
        <f ca="1">SUMIFS(OUT!$F$2:$F$11000,OUT!$H$2:$H$11000,H65,OUT!$D$2:$D$11000,"Out",OUT!$E$2:$E$11000,"Sedekah")</f>
        <v>130000</v>
      </c>
      <c r="S65" s="52">
        <f ca="1">SUMIFS(OUT!$F$2:$F$11000,OUT!$H$2:$H$11000,H65,OUT!$D$2:$D$11000,"Out",OUT!$E$2:$E$11000,"Zela")</f>
        <v>215161</v>
      </c>
      <c r="T65" s="52">
        <f ca="1">SUMIFS(OUT!$F$2:$F$11000,OUT!$H$2:$H$11000,H65,OUT!$D$2:$D$11000,"Out",OUT!$E$2:$E$11000,"Iqbal")</f>
        <v>215000</v>
      </c>
    </row>
    <row r="66" spans="1:20" x14ac:dyDescent="0.2">
      <c r="A66" s="48">
        <f ca="1">IFERROR(__xludf.DUMMYFUNCTION("""COMPUTED_VALUE"""),46087)</f>
        <v>46087</v>
      </c>
      <c r="B66" s="4" t="str">
        <f ca="1">IFERROR(__xludf.DUMMYFUNCTION("""COMPUTED_VALUE"""),"Rokok")</f>
        <v>Rokok</v>
      </c>
      <c r="C66" s="4" t="str">
        <f ca="1">IFERROR(__xludf.DUMMYFUNCTION("""COMPUTED_VALUE"""),"ATM")</f>
        <v>ATM</v>
      </c>
      <c r="D66" s="4" t="str">
        <f ca="1">IFERROR(__xludf.DUMMYFUNCTION("""COMPUTED_VALUE"""),"Out")</f>
        <v>Out</v>
      </c>
      <c r="E66" s="4" t="str">
        <f ca="1">IFERROR(__xludf.DUMMYFUNCTION("""COMPUTED_VALUE"""),"Iqbal")</f>
        <v>Iqbal</v>
      </c>
      <c r="F66" s="49">
        <f ca="1">IFERROR(__xludf.DUMMYFUNCTION("""COMPUTED_VALUE"""),15000)</f>
        <v>15000</v>
      </c>
      <c r="G66" s="50" t="str">
        <f ca="1">IFERROR(__xludf.DUMMYFUNCTION("""COMPUTED_VALUE"""),"Ibal")</f>
        <v>Ibal</v>
      </c>
      <c r="H66" s="51">
        <f t="shared" ca="1" si="0"/>
        <v>46082</v>
      </c>
      <c r="I66" s="52" t="e">
        <f ca="1">SUMIFS(OUT!$F$2:$F$11000,OUT!$H$2:$H$11000,H66,OUT!$D$2:$D$101007,"In")</f>
        <v>#VALUE!</v>
      </c>
      <c r="J66" s="52">
        <f ca="1">SUMIFS(OUT!$F$2:$F$11000,OUT!$H$2:$H$11000,H66,OUT!$D$2:$D$11000,"Out")</f>
        <v>12026623</v>
      </c>
      <c r="K66" s="52">
        <f ca="1">SUMIFS(OUT!$F$2:$F$11000,OUT!$H$2:$H$11000,H66,OUT!$D$2:$D$11000,"Out",OUT!$E$2:$E$11000,"Fix")</f>
        <v>2865413</v>
      </c>
      <c r="L66" s="52">
        <f ca="1">SUMIFS(OUT!$F$2:$F$11000,OUT!$H$2:$H$11000,H66,OUT!$D$2:$D$11000,"Out",OUT!$E$2:$E$11000,"Bathroom")</f>
        <v>120488</v>
      </c>
      <c r="M66" s="52">
        <f ca="1">SUMIFS(OUT!$F$2:$F$11000,OUT!$H$2:$H$11000,H66,OUT!$D$2:$D$11000,"Out",OUT!$E$2:$E$11000,"Alfa")</f>
        <v>890962</v>
      </c>
      <c r="N66" s="52" t="e">
        <f ca="1">SUMIFS(OUT!$F$2:$F$11000,OUT!$H$2:$H$101007,H66,OUT!$D$2:$D$11000,"Out",OUT!$E$2:$E$11000,"Jajan")</f>
        <v>#VALUE!</v>
      </c>
      <c r="O66" s="52">
        <f ca="1">SUMIFS(OUT!$F$2:$F$11000,OUT!$H$2:$H$11000,H66,OUT!$D$2:$D$11000,"Out",OUT!$E$2:$E$11000,"Kitchen")</f>
        <v>1152600</v>
      </c>
      <c r="P66" s="52">
        <f ca="1">SUMIFS(OUT!$F$2:$F$11000,OUT!$H$2:$H$11000,H66,OUT!$D$2:$D$11000,"Out",OUT!$E$2:$E$11000,"Loandry")</f>
        <v>41000</v>
      </c>
      <c r="Q66" s="52">
        <f ca="1">SUMIFS(OUT!$F$2:$F$11000,OUT!$H$2:$H$11000,H66,OUT!$D$2:$D$11000,"Out",OUT!$E$2:$E$11000,"Mio")</f>
        <v>895700</v>
      </c>
      <c r="R66" s="52">
        <f ca="1">SUMIFS(OUT!$F$2:$F$11000,OUT!$H$2:$H$11000,H66,OUT!$D$2:$D$11000,"Out",OUT!$E$2:$E$11000,"Sedekah")</f>
        <v>130000</v>
      </c>
      <c r="S66" s="52">
        <f ca="1">SUMIFS(OUT!$F$2:$F$11000,OUT!$H$2:$H$11000,H66,OUT!$D$2:$D$11000,"Out",OUT!$E$2:$E$11000,"Zela")</f>
        <v>215161</v>
      </c>
      <c r="T66" s="52">
        <f ca="1">SUMIFS(OUT!$F$2:$F$11000,OUT!$H$2:$H$11000,H66,OUT!$D$2:$D$11000,"Out",OUT!$E$2:$E$11000,"Iqbal")</f>
        <v>215000</v>
      </c>
    </row>
    <row r="67" spans="1:20" x14ac:dyDescent="0.2">
      <c r="A67" s="48">
        <f ca="1">IFERROR(__xludf.DUMMYFUNCTION("""COMPUTED_VALUE"""),46087)</f>
        <v>46087</v>
      </c>
      <c r="B67" s="4" t="str">
        <f ca="1">IFERROR(__xludf.DUMMYFUNCTION("""COMPUTED_VALUE"""),"Tarik tunai")</f>
        <v>Tarik tunai</v>
      </c>
      <c r="C67" s="4" t="str">
        <f ca="1">IFERROR(__xludf.DUMMYFUNCTION("""COMPUTED_VALUE"""),"ATM")</f>
        <v>ATM</v>
      </c>
      <c r="D67" s="4" t="str">
        <f ca="1">IFERROR(__xludf.DUMMYFUNCTION("""COMPUTED_VALUE"""),"Out")</f>
        <v>Out</v>
      </c>
      <c r="E67" s="4" t="str">
        <f ca="1">IFERROR(__xludf.DUMMYFUNCTION("""COMPUTED_VALUE"""),"Move")</f>
        <v>Move</v>
      </c>
      <c r="F67" s="49">
        <f ca="1">IFERROR(__xludf.DUMMYFUNCTION("""COMPUTED_VALUE"""),50000)</f>
        <v>50000</v>
      </c>
      <c r="G67" s="50" t="str">
        <f ca="1">IFERROR(__xludf.DUMMYFUNCTION("""COMPUTED_VALUE"""),"Ibal")</f>
        <v>Ibal</v>
      </c>
      <c r="H67" s="51">
        <f t="shared" ca="1" si="0"/>
        <v>46082</v>
      </c>
      <c r="I67" s="52" t="e">
        <f ca="1">SUMIFS(OUT!$F$2:$F$11000,OUT!$H$2:$H$11000,H67,OUT!$D$2:$D$101007,"In")</f>
        <v>#VALUE!</v>
      </c>
      <c r="J67" s="52">
        <f ca="1">SUMIFS(OUT!$F$2:$F$11000,OUT!$H$2:$H$11000,H67,OUT!$D$2:$D$11000,"Out")</f>
        <v>12026623</v>
      </c>
      <c r="K67" s="52">
        <f ca="1">SUMIFS(OUT!$F$2:$F$11000,OUT!$H$2:$H$11000,H67,OUT!$D$2:$D$11000,"Out",OUT!$E$2:$E$11000,"Fix")</f>
        <v>2865413</v>
      </c>
      <c r="L67" s="52">
        <f ca="1">SUMIFS(OUT!$F$2:$F$11000,OUT!$H$2:$H$11000,H67,OUT!$D$2:$D$11000,"Out",OUT!$E$2:$E$11000,"Bathroom")</f>
        <v>120488</v>
      </c>
      <c r="M67" s="52">
        <f ca="1">SUMIFS(OUT!$F$2:$F$11000,OUT!$H$2:$H$11000,H67,OUT!$D$2:$D$11000,"Out",OUT!$E$2:$E$11000,"Alfa")</f>
        <v>890962</v>
      </c>
      <c r="N67" s="52" t="e">
        <f ca="1">SUMIFS(OUT!$F$2:$F$11000,OUT!$H$2:$H$101007,H67,OUT!$D$2:$D$11000,"Out",OUT!$E$2:$E$11000,"Jajan")</f>
        <v>#VALUE!</v>
      </c>
      <c r="O67" s="52">
        <f ca="1">SUMIFS(OUT!$F$2:$F$11000,OUT!$H$2:$H$11000,H67,OUT!$D$2:$D$11000,"Out",OUT!$E$2:$E$11000,"Kitchen")</f>
        <v>1152600</v>
      </c>
      <c r="P67" s="52">
        <f ca="1">SUMIFS(OUT!$F$2:$F$11000,OUT!$H$2:$H$11000,H67,OUT!$D$2:$D$11000,"Out",OUT!$E$2:$E$11000,"Loandry")</f>
        <v>41000</v>
      </c>
      <c r="Q67" s="52">
        <f ca="1">SUMIFS(OUT!$F$2:$F$11000,OUT!$H$2:$H$11000,H67,OUT!$D$2:$D$11000,"Out",OUT!$E$2:$E$11000,"Mio")</f>
        <v>895700</v>
      </c>
      <c r="R67" s="52">
        <f ca="1">SUMIFS(OUT!$F$2:$F$11000,OUT!$H$2:$H$11000,H67,OUT!$D$2:$D$11000,"Out",OUT!$E$2:$E$11000,"Sedekah")</f>
        <v>130000</v>
      </c>
      <c r="S67" s="52">
        <f ca="1">SUMIFS(OUT!$F$2:$F$11000,OUT!$H$2:$H$11000,H67,OUT!$D$2:$D$11000,"Out",OUT!$E$2:$E$11000,"Zela")</f>
        <v>215161</v>
      </c>
      <c r="T67" s="52">
        <f ca="1">SUMIFS(OUT!$F$2:$F$11000,OUT!$H$2:$H$11000,H67,OUT!$D$2:$D$11000,"Out",OUT!$E$2:$E$11000,"Iqbal")</f>
        <v>215000</v>
      </c>
    </row>
    <row r="68" spans="1:20" x14ac:dyDescent="0.2">
      <c r="A68" s="48">
        <f ca="1">IFERROR(__xludf.DUMMYFUNCTION("""COMPUTED_VALUE"""),46087)</f>
        <v>46087</v>
      </c>
      <c r="B68" s="4" t="str">
        <f ca="1">IFERROR(__xludf.DUMMYFUNCTION("""COMPUTED_VALUE"""),"Terima tunai")</f>
        <v>Terima tunai</v>
      </c>
      <c r="C68" s="4" t="str">
        <f ca="1">IFERROR(__xludf.DUMMYFUNCTION("""COMPUTED_VALUE"""),"Cash")</f>
        <v>Cash</v>
      </c>
      <c r="D68" s="4" t="str">
        <f ca="1">IFERROR(__xludf.DUMMYFUNCTION("""COMPUTED_VALUE"""),"In")</f>
        <v>In</v>
      </c>
      <c r="E68" s="4" t="str">
        <f ca="1">IFERROR(__xludf.DUMMYFUNCTION("""COMPUTED_VALUE"""),"Move")</f>
        <v>Move</v>
      </c>
      <c r="F68" s="49">
        <f ca="1">IFERROR(__xludf.DUMMYFUNCTION("""COMPUTED_VALUE"""),50000)</f>
        <v>50000</v>
      </c>
      <c r="G68" s="50" t="str">
        <f ca="1">IFERROR(__xludf.DUMMYFUNCTION("""COMPUTED_VALUE"""),"Ibal")</f>
        <v>Ibal</v>
      </c>
      <c r="H68" s="51">
        <f t="shared" ca="1" si="0"/>
        <v>46082</v>
      </c>
      <c r="I68" s="52" t="e">
        <f ca="1">SUMIFS(OUT!$F$2:$F$11000,OUT!$H$2:$H$11000,H68,OUT!$D$2:$D$101007,"In")</f>
        <v>#VALUE!</v>
      </c>
      <c r="J68" s="52">
        <f ca="1">SUMIFS(OUT!$F$2:$F$11000,OUT!$H$2:$H$11000,H68,OUT!$D$2:$D$11000,"Out")</f>
        <v>12026623</v>
      </c>
      <c r="K68" s="52">
        <f ca="1">SUMIFS(OUT!$F$2:$F$11000,OUT!$H$2:$H$11000,H68,OUT!$D$2:$D$11000,"Out",OUT!$E$2:$E$11000,"Fix")</f>
        <v>2865413</v>
      </c>
      <c r="L68" s="52">
        <f ca="1">SUMIFS(OUT!$F$2:$F$11000,OUT!$H$2:$H$11000,H68,OUT!$D$2:$D$11000,"Out",OUT!$E$2:$E$11000,"Bathroom")</f>
        <v>120488</v>
      </c>
      <c r="M68" s="52">
        <f ca="1">SUMIFS(OUT!$F$2:$F$11000,OUT!$H$2:$H$11000,H68,OUT!$D$2:$D$11000,"Out",OUT!$E$2:$E$11000,"Alfa")</f>
        <v>890962</v>
      </c>
      <c r="N68" s="52" t="e">
        <f ca="1">SUMIFS(OUT!$F$2:$F$11000,OUT!$H$2:$H$101007,H68,OUT!$D$2:$D$11000,"Out",OUT!$E$2:$E$11000,"Jajan")</f>
        <v>#VALUE!</v>
      </c>
      <c r="O68" s="52">
        <f ca="1">SUMIFS(OUT!$F$2:$F$11000,OUT!$H$2:$H$11000,H68,OUT!$D$2:$D$11000,"Out",OUT!$E$2:$E$11000,"Kitchen")</f>
        <v>1152600</v>
      </c>
      <c r="P68" s="52">
        <f ca="1">SUMIFS(OUT!$F$2:$F$11000,OUT!$H$2:$H$11000,H68,OUT!$D$2:$D$11000,"Out",OUT!$E$2:$E$11000,"Loandry")</f>
        <v>41000</v>
      </c>
      <c r="Q68" s="52">
        <f ca="1">SUMIFS(OUT!$F$2:$F$11000,OUT!$H$2:$H$11000,H68,OUT!$D$2:$D$11000,"Out",OUT!$E$2:$E$11000,"Mio")</f>
        <v>895700</v>
      </c>
      <c r="R68" s="52">
        <f ca="1">SUMIFS(OUT!$F$2:$F$11000,OUT!$H$2:$H$11000,H68,OUT!$D$2:$D$11000,"Out",OUT!$E$2:$E$11000,"Sedekah")</f>
        <v>130000</v>
      </c>
      <c r="S68" s="52">
        <f ca="1">SUMIFS(OUT!$F$2:$F$11000,OUT!$H$2:$H$11000,H68,OUT!$D$2:$D$11000,"Out",OUT!$E$2:$E$11000,"Zela")</f>
        <v>215161</v>
      </c>
      <c r="T68" s="52">
        <f ca="1">SUMIFS(OUT!$F$2:$F$11000,OUT!$H$2:$H$11000,H68,OUT!$D$2:$D$11000,"Out",OUT!$E$2:$E$11000,"Iqbal")</f>
        <v>215000</v>
      </c>
    </row>
    <row r="69" spans="1:20" x14ac:dyDescent="0.2">
      <c r="A69" s="48">
        <f ca="1">IFERROR(__xludf.DUMMYFUNCTION("""COMPUTED_VALUE"""),46087)</f>
        <v>46087</v>
      </c>
      <c r="B69" s="4" t="str">
        <f ca="1">IFERROR(__xludf.DUMMYFUNCTION("""COMPUTED_VALUE"""),"Kopi 2 (7000)")</f>
        <v>Kopi 2 (7000)</v>
      </c>
      <c r="C69" s="4" t="str">
        <f ca="1">IFERROR(__xludf.DUMMYFUNCTION("""COMPUTED_VALUE"""),"Cash")</f>
        <v>Cash</v>
      </c>
      <c r="D69" s="4" t="str">
        <f ca="1">IFERROR(__xludf.DUMMYFUNCTION("""COMPUTED_VALUE"""),"Out")</f>
        <v>Out</v>
      </c>
      <c r="E69" s="4" t="str">
        <f ca="1">IFERROR(__xludf.DUMMYFUNCTION("""COMPUTED_VALUE"""),"Jajan")</f>
        <v>Jajan</v>
      </c>
      <c r="F69" s="49">
        <f ca="1">IFERROR(__xludf.DUMMYFUNCTION("""COMPUTED_VALUE"""),14000)</f>
        <v>14000</v>
      </c>
      <c r="G69" s="50" t="str">
        <f ca="1">IFERROR(__xludf.DUMMYFUNCTION("""COMPUTED_VALUE"""),"Ibal")</f>
        <v>Ibal</v>
      </c>
      <c r="H69" s="51">
        <f t="shared" ca="1" si="0"/>
        <v>46082</v>
      </c>
      <c r="I69" s="52" t="e">
        <f ca="1">SUMIFS(OUT!$F$2:$F$11000,OUT!$H$2:$H$11000,H69,OUT!$D$2:$D$101007,"In")</f>
        <v>#VALUE!</v>
      </c>
      <c r="J69" s="52">
        <f ca="1">SUMIFS(OUT!$F$2:$F$11000,OUT!$H$2:$H$11000,H69,OUT!$D$2:$D$11000,"Out")</f>
        <v>12026623</v>
      </c>
      <c r="K69" s="52">
        <f ca="1">SUMIFS(OUT!$F$2:$F$11000,OUT!$H$2:$H$11000,H69,OUT!$D$2:$D$11000,"Out",OUT!$E$2:$E$11000,"Fix")</f>
        <v>2865413</v>
      </c>
      <c r="L69" s="52">
        <f ca="1">SUMIFS(OUT!$F$2:$F$11000,OUT!$H$2:$H$11000,H69,OUT!$D$2:$D$11000,"Out",OUT!$E$2:$E$11000,"Bathroom")</f>
        <v>120488</v>
      </c>
      <c r="M69" s="52">
        <f ca="1">SUMIFS(OUT!$F$2:$F$11000,OUT!$H$2:$H$11000,H69,OUT!$D$2:$D$11000,"Out",OUT!$E$2:$E$11000,"Alfa")</f>
        <v>890962</v>
      </c>
      <c r="N69" s="52" t="e">
        <f ca="1">SUMIFS(OUT!$F$2:$F$11000,OUT!$H$2:$H$101007,H69,OUT!$D$2:$D$11000,"Out",OUT!$E$2:$E$11000,"Jajan")</f>
        <v>#VALUE!</v>
      </c>
      <c r="O69" s="52">
        <f ca="1">SUMIFS(OUT!$F$2:$F$11000,OUT!$H$2:$H$11000,H69,OUT!$D$2:$D$11000,"Out",OUT!$E$2:$E$11000,"Kitchen")</f>
        <v>1152600</v>
      </c>
      <c r="P69" s="52">
        <f ca="1">SUMIFS(OUT!$F$2:$F$11000,OUT!$H$2:$H$11000,H69,OUT!$D$2:$D$11000,"Out",OUT!$E$2:$E$11000,"Loandry")</f>
        <v>41000</v>
      </c>
      <c r="Q69" s="52">
        <f ca="1">SUMIFS(OUT!$F$2:$F$11000,OUT!$H$2:$H$11000,H69,OUT!$D$2:$D$11000,"Out",OUT!$E$2:$E$11000,"Mio")</f>
        <v>895700</v>
      </c>
      <c r="R69" s="52">
        <f ca="1">SUMIFS(OUT!$F$2:$F$11000,OUT!$H$2:$H$11000,H69,OUT!$D$2:$D$11000,"Out",OUT!$E$2:$E$11000,"Sedekah")</f>
        <v>130000</v>
      </c>
      <c r="S69" s="52">
        <f ca="1">SUMIFS(OUT!$F$2:$F$11000,OUT!$H$2:$H$11000,H69,OUT!$D$2:$D$11000,"Out",OUT!$E$2:$E$11000,"Zela")</f>
        <v>215161</v>
      </c>
      <c r="T69" s="52">
        <f ca="1">SUMIFS(OUT!$F$2:$F$11000,OUT!$H$2:$H$11000,H69,OUT!$D$2:$D$11000,"Out",OUT!$E$2:$E$11000,"Iqbal")</f>
        <v>215000</v>
      </c>
    </row>
    <row r="70" spans="1:20" x14ac:dyDescent="0.2">
      <c r="A70" s="48">
        <f ca="1">IFERROR(__xludf.DUMMYFUNCTION("""COMPUTED_VALUE"""),46087)</f>
        <v>46087</v>
      </c>
      <c r="B70" s="4" t="str">
        <f ca="1">IFERROR(__xludf.DUMMYFUNCTION("""COMPUTED_VALUE"""),"gula seperempat")</f>
        <v>gula seperempat</v>
      </c>
      <c r="C70" s="4" t="str">
        <f ca="1">IFERROR(__xludf.DUMMYFUNCTION("""COMPUTED_VALUE"""),"Cash")</f>
        <v>Cash</v>
      </c>
      <c r="D70" s="4" t="str">
        <f ca="1">IFERROR(__xludf.DUMMYFUNCTION("""COMPUTED_VALUE"""),"Out")</f>
        <v>Out</v>
      </c>
      <c r="E70" s="4" t="str">
        <f ca="1">IFERROR(__xludf.DUMMYFUNCTION("""COMPUTED_VALUE"""),"Kitchen")</f>
        <v>Kitchen</v>
      </c>
      <c r="F70" s="49">
        <f ca="1">IFERROR(__xludf.DUMMYFUNCTION("""COMPUTED_VALUE"""),5000)</f>
        <v>5000</v>
      </c>
      <c r="G70" s="50" t="str">
        <f ca="1">IFERROR(__xludf.DUMMYFUNCTION("""COMPUTED_VALUE"""),"Ibal")</f>
        <v>Ibal</v>
      </c>
      <c r="H70" s="51">
        <f t="shared" ca="1" si="0"/>
        <v>46082</v>
      </c>
      <c r="I70" s="52" t="e">
        <f ca="1">SUMIFS(OUT!$F$2:$F$11000,OUT!$H$2:$H$11000,H70,OUT!$D$2:$D$101007,"In")</f>
        <v>#VALUE!</v>
      </c>
      <c r="J70" s="52">
        <f ca="1">SUMIFS(OUT!$F$2:$F$11000,OUT!$H$2:$H$11000,H70,OUT!$D$2:$D$11000,"Out")</f>
        <v>12026623</v>
      </c>
      <c r="K70" s="52">
        <f ca="1">SUMIFS(OUT!$F$2:$F$11000,OUT!$H$2:$H$11000,H70,OUT!$D$2:$D$11000,"Out",OUT!$E$2:$E$11000,"Fix")</f>
        <v>2865413</v>
      </c>
      <c r="L70" s="52">
        <f ca="1">SUMIFS(OUT!$F$2:$F$11000,OUT!$H$2:$H$11000,H70,OUT!$D$2:$D$11000,"Out",OUT!$E$2:$E$11000,"Bathroom")</f>
        <v>120488</v>
      </c>
      <c r="M70" s="52">
        <f ca="1">SUMIFS(OUT!$F$2:$F$11000,OUT!$H$2:$H$11000,H70,OUT!$D$2:$D$11000,"Out",OUT!$E$2:$E$11000,"Alfa")</f>
        <v>890962</v>
      </c>
      <c r="N70" s="52" t="e">
        <f ca="1">SUMIFS(OUT!$F$2:$F$11000,OUT!$H$2:$H$101007,H70,OUT!$D$2:$D$11000,"Out",OUT!$E$2:$E$11000,"Jajan")</f>
        <v>#VALUE!</v>
      </c>
      <c r="O70" s="52">
        <f ca="1">SUMIFS(OUT!$F$2:$F$11000,OUT!$H$2:$H$11000,H70,OUT!$D$2:$D$11000,"Out",OUT!$E$2:$E$11000,"Kitchen")</f>
        <v>1152600</v>
      </c>
      <c r="P70" s="52">
        <f ca="1">SUMIFS(OUT!$F$2:$F$11000,OUT!$H$2:$H$11000,H70,OUT!$D$2:$D$11000,"Out",OUT!$E$2:$E$11000,"Loandry")</f>
        <v>41000</v>
      </c>
      <c r="Q70" s="52">
        <f ca="1">SUMIFS(OUT!$F$2:$F$11000,OUT!$H$2:$H$11000,H70,OUT!$D$2:$D$11000,"Out",OUT!$E$2:$E$11000,"Mio")</f>
        <v>895700</v>
      </c>
      <c r="R70" s="52">
        <f ca="1">SUMIFS(OUT!$F$2:$F$11000,OUT!$H$2:$H$11000,H70,OUT!$D$2:$D$11000,"Out",OUT!$E$2:$E$11000,"Sedekah")</f>
        <v>130000</v>
      </c>
      <c r="S70" s="52">
        <f ca="1">SUMIFS(OUT!$F$2:$F$11000,OUT!$H$2:$H$11000,H70,OUT!$D$2:$D$11000,"Out",OUT!$E$2:$E$11000,"Zela")</f>
        <v>215161</v>
      </c>
      <c r="T70" s="52">
        <f ca="1">SUMIFS(OUT!$F$2:$F$11000,OUT!$H$2:$H$11000,H70,OUT!$D$2:$D$11000,"Out",OUT!$E$2:$E$11000,"Iqbal")</f>
        <v>215000</v>
      </c>
    </row>
    <row r="71" spans="1:20" x14ac:dyDescent="0.2">
      <c r="A71" s="48">
        <f ca="1">IFERROR(__xludf.DUMMYFUNCTION("""COMPUTED_VALUE"""),46087)</f>
        <v>46087</v>
      </c>
      <c r="B71" s="4" t="str">
        <f ca="1">IFERROR(__xludf.DUMMYFUNCTION("""COMPUTED_VALUE"""),"rak dinding untuk modem wifi")</f>
        <v>rak dinding untuk modem wifi</v>
      </c>
      <c r="C71" s="4" t="str">
        <f ca="1">IFERROR(__xludf.DUMMYFUNCTION("""COMPUTED_VALUE"""),"ATM")</f>
        <v>ATM</v>
      </c>
      <c r="D71" s="4" t="str">
        <f ca="1">IFERROR(__xludf.DUMMYFUNCTION("""COMPUTED_VALUE"""),"Out")</f>
        <v>Out</v>
      </c>
      <c r="E71" s="4" t="str">
        <f ca="1">IFERROR(__xludf.DUMMYFUNCTION("""COMPUTED_VALUE"""),"Jajan")</f>
        <v>Jajan</v>
      </c>
      <c r="F71" s="49">
        <f ca="1">IFERROR(__xludf.DUMMYFUNCTION("""COMPUTED_VALUE"""),36999)</f>
        <v>36999</v>
      </c>
      <c r="G71" s="50" t="str">
        <f ca="1">IFERROR(__xludf.DUMMYFUNCTION("""COMPUTED_VALUE"""),"Ibal")</f>
        <v>Ibal</v>
      </c>
      <c r="H71" s="51">
        <f t="shared" ca="1" si="0"/>
        <v>46082</v>
      </c>
      <c r="I71" s="52" t="e">
        <f ca="1">SUMIFS(OUT!$F$2:$F$11000,OUT!$H$2:$H$11000,H71,OUT!$D$2:$D$101007,"In")</f>
        <v>#VALUE!</v>
      </c>
      <c r="J71" s="52">
        <f ca="1">SUMIFS(OUT!$F$2:$F$11000,OUT!$H$2:$H$11000,H71,OUT!$D$2:$D$11000,"Out")</f>
        <v>12026623</v>
      </c>
      <c r="K71" s="52">
        <f ca="1">SUMIFS(OUT!$F$2:$F$11000,OUT!$H$2:$H$11000,H71,OUT!$D$2:$D$11000,"Out",OUT!$E$2:$E$11000,"Fix")</f>
        <v>2865413</v>
      </c>
      <c r="L71" s="52">
        <f ca="1">SUMIFS(OUT!$F$2:$F$11000,OUT!$H$2:$H$11000,H71,OUT!$D$2:$D$11000,"Out",OUT!$E$2:$E$11000,"Bathroom")</f>
        <v>120488</v>
      </c>
      <c r="M71" s="52">
        <f ca="1">SUMIFS(OUT!$F$2:$F$11000,OUT!$H$2:$H$11000,H71,OUT!$D$2:$D$11000,"Out",OUT!$E$2:$E$11000,"Alfa")</f>
        <v>890962</v>
      </c>
      <c r="N71" s="52" t="e">
        <f ca="1">SUMIFS(OUT!$F$2:$F$11000,OUT!$H$2:$H$101007,H71,OUT!$D$2:$D$11000,"Out",OUT!$E$2:$E$11000,"Jajan")</f>
        <v>#VALUE!</v>
      </c>
      <c r="O71" s="52">
        <f ca="1">SUMIFS(OUT!$F$2:$F$11000,OUT!$H$2:$H$11000,H71,OUT!$D$2:$D$11000,"Out",OUT!$E$2:$E$11000,"Kitchen")</f>
        <v>1152600</v>
      </c>
      <c r="P71" s="52">
        <f ca="1">SUMIFS(OUT!$F$2:$F$11000,OUT!$H$2:$H$11000,H71,OUT!$D$2:$D$11000,"Out",OUT!$E$2:$E$11000,"Loandry")</f>
        <v>41000</v>
      </c>
      <c r="Q71" s="52">
        <f ca="1">SUMIFS(OUT!$F$2:$F$11000,OUT!$H$2:$H$11000,H71,OUT!$D$2:$D$11000,"Out",OUT!$E$2:$E$11000,"Mio")</f>
        <v>895700</v>
      </c>
      <c r="R71" s="52">
        <f ca="1">SUMIFS(OUT!$F$2:$F$11000,OUT!$H$2:$H$11000,H71,OUT!$D$2:$D$11000,"Out",OUT!$E$2:$E$11000,"Sedekah")</f>
        <v>130000</v>
      </c>
      <c r="S71" s="52">
        <f ca="1">SUMIFS(OUT!$F$2:$F$11000,OUT!$H$2:$H$11000,H71,OUT!$D$2:$D$11000,"Out",OUT!$E$2:$E$11000,"Zela")</f>
        <v>215161</v>
      </c>
      <c r="T71" s="52">
        <f ca="1">SUMIFS(OUT!$F$2:$F$11000,OUT!$H$2:$H$11000,H71,OUT!$D$2:$D$11000,"Out",OUT!$E$2:$E$11000,"Iqbal")</f>
        <v>215000</v>
      </c>
    </row>
    <row r="72" spans="1:20" x14ac:dyDescent="0.2">
      <c r="A72" s="48">
        <f ca="1">IFERROR(__xludf.DUMMYFUNCTION("""COMPUTED_VALUE"""),46089)</f>
        <v>46089</v>
      </c>
      <c r="B72" s="4" t="str">
        <f ca="1">IFERROR(__xludf.DUMMYFUNCTION("""COMPUTED_VALUE"""),"Pertamax")</f>
        <v>Pertamax</v>
      </c>
      <c r="C72" s="4" t="str">
        <f ca="1">IFERROR(__xludf.DUMMYFUNCTION("""COMPUTED_VALUE"""),"Cash")</f>
        <v>Cash</v>
      </c>
      <c r="D72" s="4" t="str">
        <f ca="1">IFERROR(__xludf.DUMMYFUNCTION("""COMPUTED_VALUE"""),"Out")</f>
        <v>Out</v>
      </c>
      <c r="E72" s="4" t="str">
        <f ca="1">IFERROR(__xludf.DUMMYFUNCTION("""COMPUTED_VALUE"""),"Mio")</f>
        <v>Mio</v>
      </c>
      <c r="F72" s="49">
        <f ca="1">IFERROR(__xludf.DUMMYFUNCTION("""COMPUTED_VALUE"""),20000)</f>
        <v>20000</v>
      </c>
      <c r="G72" s="50" t="str">
        <f ca="1">IFERROR(__xludf.DUMMYFUNCTION("""COMPUTED_VALUE"""),"Ibal")</f>
        <v>Ibal</v>
      </c>
      <c r="H72" s="51">
        <f t="shared" ca="1" si="0"/>
        <v>46082</v>
      </c>
      <c r="I72" s="52" t="e">
        <f ca="1">SUMIFS(OUT!$F$2:$F$11000,OUT!$H$2:$H$11000,H72,OUT!$D$2:$D$101007,"In")</f>
        <v>#VALUE!</v>
      </c>
      <c r="J72" s="52">
        <f ca="1">SUMIFS(OUT!$F$2:$F$11000,OUT!$H$2:$H$11000,H72,OUT!$D$2:$D$11000,"Out")</f>
        <v>12026623</v>
      </c>
      <c r="K72" s="52">
        <f ca="1">SUMIFS(OUT!$F$2:$F$11000,OUT!$H$2:$H$11000,H72,OUT!$D$2:$D$11000,"Out",OUT!$E$2:$E$11000,"Fix")</f>
        <v>2865413</v>
      </c>
      <c r="L72" s="52">
        <f ca="1">SUMIFS(OUT!$F$2:$F$11000,OUT!$H$2:$H$11000,H72,OUT!$D$2:$D$11000,"Out",OUT!$E$2:$E$11000,"Bathroom")</f>
        <v>120488</v>
      </c>
      <c r="M72" s="52">
        <f ca="1">SUMIFS(OUT!$F$2:$F$11000,OUT!$H$2:$H$11000,H72,OUT!$D$2:$D$11000,"Out",OUT!$E$2:$E$11000,"Alfa")</f>
        <v>890962</v>
      </c>
      <c r="N72" s="52" t="e">
        <f ca="1">SUMIFS(OUT!$F$2:$F$11000,OUT!$H$2:$H$101007,H72,OUT!$D$2:$D$11000,"Out",OUT!$E$2:$E$11000,"Jajan")</f>
        <v>#VALUE!</v>
      </c>
      <c r="O72" s="52">
        <f ca="1">SUMIFS(OUT!$F$2:$F$11000,OUT!$H$2:$H$11000,H72,OUT!$D$2:$D$11000,"Out",OUT!$E$2:$E$11000,"Kitchen")</f>
        <v>1152600</v>
      </c>
      <c r="P72" s="52">
        <f ca="1">SUMIFS(OUT!$F$2:$F$11000,OUT!$H$2:$H$11000,H72,OUT!$D$2:$D$11000,"Out",OUT!$E$2:$E$11000,"Loandry")</f>
        <v>41000</v>
      </c>
      <c r="Q72" s="52">
        <f ca="1">SUMIFS(OUT!$F$2:$F$11000,OUT!$H$2:$H$11000,H72,OUT!$D$2:$D$11000,"Out",OUT!$E$2:$E$11000,"Mio")</f>
        <v>895700</v>
      </c>
      <c r="R72" s="52">
        <f ca="1">SUMIFS(OUT!$F$2:$F$11000,OUT!$H$2:$H$11000,H72,OUT!$D$2:$D$11000,"Out",OUT!$E$2:$E$11000,"Sedekah")</f>
        <v>130000</v>
      </c>
      <c r="S72" s="52">
        <f ca="1">SUMIFS(OUT!$F$2:$F$11000,OUT!$H$2:$H$11000,H72,OUT!$D$2:$D$11000,"Out",OUT!$E$2:$E$11000,"Zela")</f>
        <v>215161</v>
      </c>
      <c r="T72" s="52">
        <f ca="1">SUMIFS(OUT!$F$2:$F$11000,OUT!$H$2:$H$11000,H72,OUT!$D$2:$D$11000,"Out",OUT!$E$2:$E$11000,"Iqbal")</f>
        <v>215000</v>
      </c>
    </row>
    <row r="73" spans="1:20" x14ac:dyDescent="0.2">
      <c r="A73" s="48">
        <f ca="1">IFERROR(__xludf.DUMMYFUNCTION("""COMPUTED_VALUE"""),46089)</f>
        <v>46089</v>
      </c>
      <c r="B73" s="4" t="str">
        <f ca="1">IFERROR(__xludf.DUMMYFUNCTION("""COMPUTED_VALUE"""),"Istriku")</f>
        <v>Istriku</v>
      </c>
      <c r="C73" s="4" t="str">
        <f ca="1">IFERROR(__xludf.DUMMYFUNCTION("""COMPUTED_VALUE"""),"Cash")</f>
        <v>Cash</v>
      </c>
      <c r="D73" s="4" t="str">
        <f ca="1">IFERROR(__xludf.DUMMYFUNCTION("""COMPUTED_VALUE"""),"In")</f>
        <v>In</v>
      </c>
      <c r="E73" s="4" t="str">
        <f ca="1">IFERROR(__xludf.DUMMYFUNCTION("""COMPUTED_VALUE"""),"Move")</f>
        <v>Move</v>
      </c>
      <c r="F73" s="49">
        <f ca="1">IFERROR(__xludf.DUMMYFUNCTION("""COMPUTED_VALUE"""),5000)</f>
        <v>5000</v>
      </c>
      <c r="G73" s="50" t="str">
        <f ca="1">IFERROR(__xludf.DUMMYFUNCTION("""COMPUTED_VALUE"""),"Ibal")</f>
        <v>Ibal</v>
      </c>
      <c r="H73" s="51">
        <f t="shared" ca="1" si="0"/>
        <v>46082</v>
      </c>
      <c r="I73" s="52" t="e">
        <f ca="1">SUMIFS(OUT!$F$2:$F$11000,OUT!$H$2:$H$11000,H73,OUT!$D$2:$D$101007,"In")</f>
        <v>#VALUE!</v>
      </c>
      <c r="J73" s="52">
        <f ca="1">SUMIFS(OUT!$F$2:$F$11000,OUT!$H$2:$H$11000,H73,OUT!$D$2:$D$11000,"Out")</f>
        <v>12026623</v>
      </c>
      <c r="K73" s="52">
        <f ca="1">SUMIFS(OUT!$F$2:$F$11000,OUT!$H$2:$H$11000,H73,OUT!$D$2:$D$11000,"Out",OUT!$E$2:$E$11000,"Fix")</f>
        <v>2865413</v>
      </c>
      <c r="L73" s="52">
        <f ca="1">SUMIFS(OUT!$F$2:$F$11000,OUT!$H$2:$H$11000,H73,OUT!$D$2:$D$11000,"Out",OUT!$E$2:$E$11000,"Bathroom")</f>
        <v>120488</v>
      </c>
      <c r="M73" s="52">
        <f ca="1">SUMIFS(OUT!$F$2:$F$11000,OUT!$H$2:$H$11000,H73,OUT!$D$2:$D$11000,"Out",OUT!$E$2:$E$11000,"Alfa")</f>
        <v>890962</v>
      </c>
      <c r="N73" s="52" t="e">
        <f ca="1">SUMIFS(OUT!$F$2:$F$11000,OUT!$H$2:$H$101007,H73,OUT!$D$2:$D$11000,"Out",OUT!$E$2:$E$11000,"Jajan")</f>
        <v>#VALUE!</v>
      </c>
      <c r="O73" s="52">
        <f ca="1">SUMIFS(OUT!$F$2:$F$11000,OUT!$H$2:$H$11000,H73,OUT!$D$2:$D$11000,"Out",OUT!$E$2:$E$11000,"Kitchen")</f>
        <v>1152600</v>
      </c>
      <c r="P73" s="52">
        <f ca="1">SUMIFS(OUT!$F$2:$F$11000,OUT!$H$2:$H$11000,H73,OUT!$D$2:$D$11000,"Out",OUT!$E$2:$E$11000,"Loandry")</f>
        <v>41000</v>
      </c>
      <c r="Q73" s="52">
        <f ca="1">SUMIFS(OUT!$F$2:$F$11000,OUT!$H$2:$H$11000,H73,OUT!$D$2:$D$11000,"Out",OUT!$E$2:$E$11000,"Mio")</f>
        <v>895700</v>
      </c>
      <c r="R73" s="52">
        <f ca="1">SUMIFS(OUT!$F$2:$F$11000,OUT!$H$2:$H$11000,H73,OUT!$D$2:$D$11000,"Out",OUT!$E$2:$E$11000,"Sedekah")</f>
        <v>130000</v>
      </c>
      <c r="S73" s="52">
        <f ca="1">SUMIFS(OUT!$F$2:$F$11000,OUT!$H$2:$H$11000,H73,OUT!$D$2:$D$11000,"Out",OUT!$E$2:$E$11000,"Zela")</f>
        <v>215161</v>
      </c>
      <c r="T73" s="52">
        <f ca="1">SUMIFS(OUT!$F$2:$F$11000,OUT!$H$2:$H$11000,H73,OUT!$D$2:$D$11000,"Out",OUT!$E$2:$E$11000,"Iqbal")</f>
        <v>215000</v>
      </c>
    </row>
    <row r="74" spans="1:20" x14ac:dyDescent="0.2">
      <c r="A74" s="48">
        <f ca="1">IFERROR(__xludf.DUMMYFUNCTION("""COMPUTED_VALUE"""),46089)</f>
        <v>46089</v>
      </c>
      <c r="B74" s="4" t="str">
        <f ca="1">IFERROR(__xludf.DUMMYFUNCTION("""COMPUTED_VALUE"""),"Istriku")</f>
        <v>Istriku</v>
      </c>
      <c r="C74" s="4" t="str">
        <f ca="1">IFERROR(__xludf.DUMMYFUNCTION("""COMPUTED_VALUE"""),"Cash")</f>
        <v>Cash</v>
      </c>
      <c r="D74" s="4" t="str">
        <f ca="1">IFERROR(__xludf.DUMMYFUNCTION("""COMPUTED_VALUE"""),"In")</f>
        <v>In</v>
      </c>
      <c r="E74" s="4" t="str">
        <f ca="1">IFERROR(__xludf.DUMMYFUNCTION("""COMPUTED_VALUE"""),"Move")</f>
        <v>Move</v>
      </c>
      <c r="F74" s="49">
        <f ca="1">IFERROR(__xludf.DUMMYFUNCTION("""COMPUTED_VALUE"""),100000)</f>
        <v>100000</v>
      </c>
      <c r="G74" s="50" t="str">
        <f ca="1">IFERROR(__xludf.DUMMYFUNCTION("""COMPUTED_VALUE"""),"Ibal")</f>
        <v>Ibal</v>
      </c>
      <c r="H74" s="51">
        <f t="shared" ca="1" si="0"/>
        <v>46082</v>
      </c>
      <c r="I74" s="52" t="e">
        <f ca="1">SUMIFS(OUT!$F$2:$F$11000,OUT!$H$2:$H$11000,H74,OUT!$D$2:$D$101007,"In")</f>
        <v>#VALUE!</v>
      </c>
      <c r="J74" s="52">
        <f ca="1">SUMIFS(OUT!$F$2:$F$11000,OUT!$H$2:$H$11000,H74,OUT!$D$2:$D$11000,"Out")</f>
        <v>12026623</v>
      </c>
      <c r="K74" s="52">
        <f ca="1">SUMIFS(OUT!$F$2:$F$11000,OUT!$H$2:$H$11000,H74,OUT!$D$2:$D$11000,"Out",OUT!$E$2:$E$11000,"Fix")</f>
        <v>2865413</v>
      </c>
      <c r="L74" s="52">
        <f ca="1">SUMIFS(OUT!$F$2:$F$11000,OUT!$H$2:$H$11000,H74,OUT!$D$2:$D$11000,"Out",OUT!$E$2:$E$11000,"Bathroom")</f>
        <v>120488</v>
      </c>
      <c r="M74" s="52">
        <f ca="1">SUMIFS(OUT!$F$2:$F$11000,OUT!$H$2:$H$11000,H74,OUT!$D$2:$D$11000,"Out",OUT!$E$2:$E$11000,"Alfa")</f>
        <v>890962</v>
      </c>
      <c r="N74" s="52" t="e">
        <f ca="1">SUMIFS(OUT!$F$2:$F$11000,OUT!$H$2:$H$101007,H74,OUT!$D$2:$D$11000,"Out",OUT!$E$2:$E$11000,"Jajan")</f>
        <v>#VALUE!</v>
      </c>
      <c r="O74" s="52">
        <f ca="1">SUMIFS(OUT!$F$2:$F$11000,OUT!$H$2:$H$11000,H74,OUT!$D$2:$D$11000,"Out",OUT!$E$2:$E$11000,"Kitchen")</f>
        <v>1152600</v>
      </c>
      <c r="P74" s="52">
        <f ca="1">SUMIFS(OUT!$F$2:$F$11000,OUT!$H$2:$H$11000,H74,OUT!$D$2:$D$11000,"Out",OUT!$E$2:$E$11000,"Loandry")</f>
        <v>41000</v>
      </c>
      <c r="Q74" s="52">
        <f ca="1">SUMIFS(OUT!$F$2:$F$11000,OUT!$H$2:$H$11000,H74,OUT!$D$2:$D$11000,"Out",OUT!$E$2:$E$11000,"Mio")</f>
        <v>895700</v>
      </c>
      <c r="R74" s="52">
        <f ca="1">SUMIFS(OUT!$F$2:$F$11000,OUT!$H$2:$H$11000,H74,OUT!$D$2:$D$11000,"Out",OUT!$E$2:$E$11000,"Sedekah")</f>
        <v>130000</v>
      </c>
      <c r="S74" s="52">
        <f ca="1">SUMIFS(OUT!$F$2:$F$11000,OUT!$H$2:$H$11000,H74,OUT!$D$2:$D$11000,"Out",OUT!$E$2:$E$11000,"Zela")</f>
        <v>215161</v>
      </c>
      <c r="T74" s="52">
        <f ca="1">SUMIFS(OUT!$F$2:$F$11000,OUT!$H$2:$H$11000,H74,OUT!$D$2:$D$11000,"Out",OUT!$E$2:$E$11000,"Iqbal")</f>
        <v>215000</v>
      </c>
    </row>
    <row r="75" spans="1:20" x14ac:dyDescent="0.2">
      <c r="A75" s="48">
        <f ca="1">IFERROR(__xludf.DUMMYFUNCTION("""COMPUTED_VALUE"""),46089)</f>
        <v>46089</v>
      </c>
      <c r="B75" s="4" t="str">
        <f ca="1">IFERROR(__xludf.DUMMYFUNCTION("""COMPUTED_VALUE"""),"Mamaku")</f>
        <v>Mamaku</v>
      </c>
      <c r="C75" s="4" t="str">
        <f ca="1">IFERROR(__xludf.DUMMYFUNCTION("""COMPUTED_VALUE"""),"Cash")</f>
        <v>Cash</v>
      </c>
      <c r="D75" s="4" t="str">
        <f ca="1">IFERROR(__xludf.DUMMYFUNCTION("""COMPUTED_VALUE"""),"In")</f>
        <v>In</v>
      </c>
      <c r="E75" s="4" t="str">
        <f ca="1">IFERROR(__xludf.DUMMYFUNCTION("""COMPUTED_VALUE"""),"Fix")</f>
        <v>Fix</v>
      </c>
      <c r="F75" s="49">
        <f ca="1">IFERROR(__xludf.DUMMYFUNCTION("""COMPUTED_VALUE"""),25000)</f>
        <v>25000</v>
      </c>
      <c r="G75" s="50" t="str">
        <f ca="1">IFERROR(__xludf.DUMMYFUNCTION("""COMPUTED_VALUE"""),"Ibal")</f>
        <v>Ibal</v>
      </c>
      <c r="H75" s="51">
        <f t="shared" ca="1" si="0"/>
        <v>46082</v>
      </c>
      <c r="I75" s="52" t="e">
        <f ca="1">SUMIFS(OUT!$F$2:$F$11000,OUT!$H$2:$H$11000,H75,OUT!$D$2:$D$101007,"In")</f>
        <v>#VALUE!</v>
      </c>
      <c r="J75" s="52">
        <f ca="1">SUMIFS(OUT!$F$2:$F$11000,OUT!$H$2:$H$11000,H75,OUT!$D$2:$D$11000,"Out")</f>
        <v>12026623</v>
      </c>
      <c r="K75" s="52">
        <f ca="1">SUMIFS(OUT!$F$2:$F$11000,OUT!$H$2:$H$11000,H75,OUT!$D$2:$D$11000,"Out",OUT!$E$2:$E$11000,"Fix")</f>
        <v>2865413</v>
      </c>
      <c r="L75" s="52">
        <f ca="1">SUMIFS(OUT!$F$2:$F$11000,OUT!$H$2:$H$11000,H75,OUT!$D$2:$D$11000,"Out",OUT!$E$2:$E$11000,"Bathroom")</f>
        <v>120488</v>
      </c>
      <c r="M75" s="52">
        <f ca="1">SUMIFS(OUT!$F$2:$F$11000,OUT!$H$2:$H$11000,H75,OUT!$D$2:$D$11000,"Out",OUT!$E$2:$E$11000,"Alfa")</f>
        <v>890962</v>
      </c>
      <c r="N75" s="52" t="e">
        <f ca="1">SUMIFS(OUT!$F$2:$F$11000,OUT!$H$2:$H$101007,H75,OUT!$D$2:$D$11000,"Out",OUT!$E$2:$E$11000,"Jajan")</f>
        <v>#VALUE!</v>
      </c>
      <c r="O75" s="52">
        <f ca="1">SUMIFS(OUT!$F$2:$F$11000,OUT!$H$2:$H$11000,H75,OUT!$D$2:$D$11000,"Out",OUT!$E$2:$E$11000,"Kitchen")</f>
        <v>1152600</v>
      </c>
      <c r="P75" s="52">
        <f ca="1">SUMIFS(OUT!$F$2:$F$11000,OUT!$H$2:$H$11000,H75,OUT!$D$2:$D$11000,"Out",OUT!$E$2:$E$11000,"Loandry")</f>
        <v>41000</v>
      </c>
      <c r="Q75" s="52">
        <f ca="1">SUMIFS(OUT!$F$2:$F$11000,OUT!$H$2:$H$11000,H75,OUT!$D$2:$D$11000,"Out",OUT!$E$2:$E$11000,"Mio")</f>
        <v>895700</v>
      </c>
      <c r="R75" s="52">
        <f ca="1">SUMIFS(OUT!$F$2:$F$11000,OUT!$H$2:$H$11000,H75,OUT!$D$2:$D$11000,"Out",OUT!$E$2:$E$11000,"Sedekah")</f>
        <v>130000</v>
      </c>
      <c r="S75" s="52">
        <f ca="1">SUMIFS(OUT!$F$2:$F$11000,OUT!$H$2:$H$11000,H75,OUT!$D$2:$D$11000,"Out",OUT!$E$2:$E$11000,"Zela")</f>
        <v>215161</v>
      </c>
      <c r="T75" s="52">
        <f ca="1">SUMIFS(OUT!$F$2:$F$11000,OUT!$H$2:$H$11000,H75,OUT!$D$2:$D$11000,"Out",OUT!$E$2:$E$11000,"Iqbal")</f>
        <v>215000</v>
      </c>
    </row>
    <row r="76" spans="1:20" x14ac:dyDescent="0.2">
      <c r="A76" s="48">
        <f ca="1">IFERROR(__xludf.DUMMYFUNCTION("""COMPUTED_VALUE"""),46089)</f>
        <v>46089</v>
      </c>
      <c r="B76" s="4" t="str">
        <f ca="1">IFERROR(__xludf.DUMMYFUNCTION("""COMPUTED_VALUE"""),"Ongkir Maxim, lemari baju Mama")</f>
        <v>Ongkir Maxim, lemari baju Mama</v>
      </c>
      <c r="C76" s="4" t="str">
        <f ca="1">IFERROR(__xludf.DUMMYFUNCTION("""COMPUTED_VALUE"""),"Cash")</f>
        <v>Cash</v>
      </c>
      <c r="D76" s="4" t="str">
        <f ca="1">IFERROR(__xludf.DUMMYFUNCTION("""COMPUTED_VALUE"""),"Out")</f>
        <v>Out</v>
      </c>
      <c r="E76" s="4" t="str">
        <f ca="1">IFERROR(__xludf.DUMMYFUNCTION("""COMPUTED_VALUE"""),"Fix")</f>
        <v>Fix</v>
      </c>
      <c r="F76" s="49">
        <f ca="1">IFERROR(__xludf.DUMMYFUNCTION("""COMPUTED_VALUE"""),75000)</f>
        <v>75000</v>
      </c>
      <c r="G76" s="50" t="str">
        <f ca="1">IFERROR(__xludf.DUMMYFUNCTION("""COMPUTED_VALUE"""),"Ibal")</f>
        <v>Ibal</v>
      </c>
      <c r="H76" s="51">
        <f t="shared" ca="1" si="0"/>
        <v>46082</v>
      </c>
      <c r="I76" s="52" t="e">
        <f ca="1">SUMIFS(OUT!$F$2:$F$11000,OUT!$H$2:$H$11000,H76,OUT!$D$2:$D$101007,"In")</f>
        <v>#VALUE!</v>
      </c>
      <c r="J76" s="52">
        <f ca="1">SUMIFS(OUT!$F$2:$F$11000,OUT!$H$2:$H$11000,H76,OUT!$D$2:$D$11000,"Out")</f>
        <v>12026623</v>
      </c>
      <c r="K76" s="52">
        <f ca="1">SUMIFS(OUT!$F$2:$F$11000,OUT!$H$2:$H$11000,H76,OUT!$D$2:$D$11000,"Out",OUT!$E$2:$E$11000,"Fix")</f>
        <v>2865413</v>
      </c>
      <c r="L76" s="52">
        <f ca="1">SUMIFS(OUT!$F$2:$F$11000,OUT!$H$2:$H$11000,H76,OUT!$D$2:$D$11000,"Out",OUT!$E$2:$E$11000,"Bathroom")</f>
        <v>120488</v>
      </c>
      <c r="M76" s="52">
        <f ca="1">SUMIFS(OUT!$F$2:$F$11000,OUT!$H$2:$H$11000,H76,OUT!$D$2:$D$11000,"Out",OUT!$E$2:$E$11000,"Alfa")</f>
        <v>890962</v>
      </c>
      <c r="N76" s="52" t="e">
        <f ca="1">SUMIFS(OUT!$F$2:$F$11000,OUT!$H$2:$H$101007,H76,OUT!$D$2:$D$11000,"Out",OUT!$E$2:$E$11000,"Jajan")</f>
        <v>#VALUE!</v>
      </c>
      <c r="O76" s="52">
        <f ca="1">SUMIFS(OUT!$F$2:$F$11000,OUT!$H$2:$H$11000,H76,OUT!$D$2:$D$11000,"Out",OUT!$E$2:$E$11000,"Kitchen")</f>
        <v>1152600</v>
      </c>
      <c r="P76" s="52">
        <f ca="1">SUMIFS(OUT!$F$2:$F$11000,OUT!$H$2:$H$11000,H76,OUT!$D$2:$D$11000,"Out",OUT!$E$2:$E$11000,"Loandry")</f>
        <v>41000</v>
      </c>
      <c r="Q76" s="52">
        <f ca="1">SUMIFS(OUT!$F$2:$F$11000,OUT!$H$2:$H$11000,H76,OUT!$D$2:$D$11000,"Out",OUT!$E$2:$E$11000,"Mio")</f>
        <v>895700</v>
      </c>
      <c r="R76" s="52">
        <f ca="1">SUMIFS(OUT!$F$2:$F$11000,OUT!$H$2:$H$11000,H76,OUT!$D$2:$D$11000,"Out",OUT!$E$2:$E$11000,"Sedekah")</f>
        <v>130000</v>
      </c>
      <c r="S76" s="52">
        <f ca="1">SUMIFS(OUT!$F$2:$F$11000,OUT!$H$2:$H$11000,H76,OUT!$D$2:$D$11000,"Out",OUT!$E$2:$E$11000,"Zela")</f>
        <v>215161</v>
      </c>
      <c r="T76" s="52">
        <f ca="1">SUMIFS(OUT!$F$2:$F$11000,OUT!$H$2:$H$11000,H76,OUT!$D$2:$D$11000,"Out",OUT!$E$2:$E$11000,"Iqbal")</f>
        <v>215000</v>
      </c>
    </row>
    <row r="77" spans="1:20" x14ac:dyDescent="0.2">
      <c r="A77" s="48">
        <f ca="1">IFERROR(__xludf.DUMMYFUNCTION("""COMPUTED_VALUE"""),46089)</f>
        <v>46089</v>
      </c>
      <c r="B77" s="4" t="str">
        <f ca="1">IFERROR(__xludf.DUMMYFUNCTION("""COMPUTED_VALUE"""),"Pertalite")</f>
        <v>Pertalite</v>
      </c>
      <c r="C77" s="4" t="str">
        <f ca="1">IFERROR(__xludf.DUMMYFUNCTION("""COMPUTED_VALUE"""),"Cash")</f>
        <v>Cash</v>
      </c>
      <c r="D77" s="4" t="str">
        <f ca="1">IFERROR(__xludf.DUMMYFUNCTION("""COMPUTED_VALUE"""),"Out")</f>
        <v>Out</v>
      </c>
      <c r="E77" s="4" t="str">
        <f ca="1">IFERROR(__xludf.DUMMYFUNCTION("""COMPUTED_VALUE"""),"Mio")</f>
        <v>Mio</v>
      </c>
      <c r="F77" s="49">
        <f ca="1">IFERROR(__xludf.DUMMYFUNCTION("""COMPUTED_VALUE"""),28000)</f>
        <v>28000</v>
      </c>
      <c r="G77" s="50" t="str">
        <f ca="1">IFERROR(__xludf.DUMMYFUNCTION("""COMPUTED_VALUE"""),"Ibal")</f>
        <v>Ibal</v>
      </c>
      <c r="H77" s="51">
        <f t="shared" ca="1" si="0"/>
        <v>46082</v>
      </c>
      <c r="I77" s="52" t="e">
        <f ca="1">SUMIFS(OUT!$F$2:$F$11000,OUT!$H$2:$H$11000,H77,OUT!$D$2:$D$101007,"In")</f>
        <v>#VALUE!</v>
      </c>
      <c r="J77" s="52">
        <f ca="1">SUMIFS(OUT!$F$2:$F$11000,OUT!$H$2:$H$11000,H77,OUT!$D$2:$D$11000,"Out")</f>
        <v>12026623</v>
      </c>
      <c r="K77" s="52">
        <f ca="1">SUMIFS(OUT!$F$2:$F$11000,OUT!$H$2:$H$11000,H77,OUT!$D$2:$D$11000,"Out",OUT!$E$2:$E$11000,"Fix")</f>
        <v>2865413</v>
      </c>
      <c r="L77" s="52">
        <f ca="1">SUMIFS(OUT!$F$2:$F$11000,OUT!$H$2:$H$11000,H77,OUT!$D$2:$D$11000,"Out",OUT!$E$2:$E$11000,"Bathroom")</f>
        <v>120488</v>
      </c>
      <c r="M77" s="52">
        <f ca="1">SUMIFS(OUT!$F$2:$F$11000,OUT!$H$2:$H$11000,H77,OUT!$D$2:$D$11000,"Out",OUT!$E$2:$E$11000,"Alfa")</f>
        <v>890962</v>
      </c>
      <c r="N77" s="52" t="e">
        <f ca="1">SUMIFS(OUT!$F$2:$F$11000,OUT!$H$2:$H$101007,H77,OUT!$D$2:$D$11000,"Out",OUT!$E$2:$E$11000,"Jajan")</f>
        <v>#VALUE!</v>
      </c>
      <c r="O77" s="52">
        <f ca="1">SUMIFS(OUT!$F$2:$F$11000,OUT!$H$2:$H$11000,H77,OUT!$D$2:$D$11000,"Out",OUT!$E$2:$E$11000,"Kitchen")</f>
        <v>1152600</v>
      </c>
      <c r="P77" s="52">
        <f ca="1">SUMIFS(OUT!$F$2:$F$11000,OUT!$H$2:$H$11000,H77,OUT!$D$2:$D$11000,"Out",OUT!$E$2:$E$11000,"Loandry")</f>
        <v>41000</v>
      </c>
      <c r="Q77" s="52">
        <f ca="1">SUMIFS(OUT!$F$2:$F$11000,OUT!$H$2:$H$11000,H77,OUT!$D$2:$D$11000,"Out",OUT!$E$2:$E$11000,"Mio")</f>
        <v>895700</v>
      </c>
      <c r="R77" s="52">
        <f ca="1">SUMIFS(OUT!$F$2:$F$11000,OUT!$H$2:$H$11000,H77,OUT!$D$2:$D$11000,"Out",OUT!$E$2:$E$11000,"Sedekah")</f>
        <v>130000</v>
      </c>
      <c r="S77" s="52">
        <f ca="1">SUMIFS(OUT!$F$2:$F$11000,OUT!$H$2:$H$11000,H77,OUT!$D$2:$D$11000,"Out",OUT!$E$2:$E$11000,"Zela")</f>
        <v>215161</v>
      </c>
      <c r="T77" s="52">
        <f ca="1">SUMIFS(OUT!$F$2:$F$11000,OUT!$H$2:$H$11000,H77,OUT!$D$2:$D$11000,"Out",OUT!$E$2:$E$11000,"Iqbal")</f>
        <v>215000</v>
      </c>
    </row>
    <row r="78" spans="1:20" x14ac:dyDescent="0.2">
      <c r="A78" s="48">
        <f ca="1">IFERROR(__xludf.DUMMYFUNCTION("""COMPUTED_VALUE"""),46089)</f>
        <v>46089</v>
      </c>
      <c r="B78" s="4" t="str">
        <f ca="1">IFERROR(__xludf.DUMMYFUNCTION("""COMPUTED_VALUE"""),"Teh botol (3), Ultramilk (1)")</f>
        <v>Teh botol (3), Ultramilk (1)</v>
      </c>
      <c r="C78" s="4" t="str">
        <f ca="1">IFERROR(__xludf.DUMMYFUNCTION("""COMPUTED_VALUE"""),"Cash")</f>
        <v>Cash</v>
      </c>
      <c r="D78" s="4" t="str">
        <f ca="1">IFERROR(__xludf.DUMMYFUNCTION("""COMPUTED_VALUE"""),"Out")</f>
        <v>Out</v>
      </c>
      <c r="E78" s="4" t="str">
        <f ca="1">IFERROR(__xludf.DUMMYFUNCTION("""COMPUTED_VALUE"""),"Jajan")</f>
        <v>Jajan</v>
      </c>
      <c r="F78" s="49">
        <f ca="1">IFERROR(__xludf.DUMMYFUNCTION("""COMPUTED_VALUE"""),18000)</f>
        <v>18000</v>
      </c>
      <c r="G78" s="50" t="str">
        <f ca="1">IFERROR(__xludf.DUMMYFUNCTION("""COMPUTED_VALUE"""),"Ibal")</f>
        <v>Ibal</v>
      </c>
      <c r="H78" s="51">
        <f t="shared" ca="1" si="0"/>
        <v>46082</v>
      </c>
      <c r="I78" s="52" t="e">
        <f ca="1">SUMIFS(OUT!$F$2:$F$11000,OUT!$H$2:$H$11000,H78,OUT!$D$2:$D$101007,"In")</f>
        <v>#VALUE!</v>
      </c>
      <c r="J78" s="52">
        <f ca="1">SUMIFS(OUT!$F$2:$F$11000,OUT!$H$2:$H$11000,H78,OUT!$D$2:$D$11000,"Out")</f>
        <v>12026623</v>
      </c>
      <c r="K78" s="52">
        <f ca="1">SUMIFS(OUT!$F$2:$F$11000,OUT!$H$2:$H$11000,H78,OUT!$D$2:$D$11000,"Out",OUT!$E$2:$E$11000,"Fix")</f>
        <v>2865413</v>
      </c>
      <c r="L78" s="52">
        <f ca="1">SUMIFS(OUT!$F$2:$F$11000,OUT!$H$2:$H$11000,H78,OUT!$D$2:$D$11000,"Out",OUT!$E$2:$E$11000,"Bathroom")</f>
        <v>120488</v>
      </c>
      <c r="M78" s="52">
        <f ca="1">SUMIFS(OUT!$F$2:$F$11000,OUT!$H$2:$H$11000,H78,OUT!$D$2:$D$11000,"Out",OUT!$E$2:$E$11000,"Alfa")</f>
        <v>890962</v>
      </c>
      <c r="N78" s="52" t="e">
        <f ca="1">SUMIFS(OUT!$F$2:$F$11000,OUT!$H$2:$H$101007,H78,OUT!$D$2:$D$11000,"Out",OUT!$E$2:$E$11000,"Jajan")</f>
        <v>#VALUE!</v>
      </c>
      <c r="O78" s="52">
        <f ca="1">SUMIFS(OUT!$F$2:$F$11000,OUT!$H$2:$H$11000,H78,OUT!$D$2:$D$11000,"Out",OUT!$E$2:$E$11000,"Kitchen")</f>
        <v>1152600</v>
      </c>
      <c r="P78" s="52">
        <f ca="1">SUMIFS(OUT!$F$2:$F$11000,OUT!$H$2:$H$11000,H78,OUT!$D$2:$D$11000,"Out",OUT!$E$2:$E$11000,"Loandry")</f>
        <v>41000</v>
      </c>
      <c r="Q78" s="52">
        <f ca="1">SUMIFS(OUT!$F$2:$F$11000,OUT!$H$2:$H$11000,H78,OUT!$D$2:$D$11000,"Out",OUT!$E$2:$E$11000,"Mio")</f>
        <v>895700</v>
      </c>
      <c r="R78" s="52">
        <f ca="1">SUMIFS(OUT!$F$2:$F$11000,OUT!$H$2:$H$11000,H78,OUT!$D$2:$D$11000,"Out",OUT!$E$2:$E$11000,"Sedekah")</f>
        <v>130000</v>
      </c>
      <c r="S78" s="52">
        <f ca="1">SUMIFS(OUT!$F$2:$F$11000,OUT!$H$2:$H$11000,H78,OUT!$D$2:$D$11000,"Out",OUT!$E$2:$E$11000,"Zela")</f>
        <v>215161</v>
      </c>
      <c r="T78" s="52">
        <f ca="1">SUMIFS(OUT!$F$2:$F$11000,OUT!$H$2:$H$11000,H78,OUT!$D$2:$D$11000,"Out",OUT!$E$2:$E$11000,"Iqbal")</f>
        <v>215000</v>
      </c>
    </row>
    <row r="79" spans="1:20" x14ac:dyDescent="0.2">
      <c r="A79" s="48">
        <f ca="1">IFERROR(__xludf.DUMMYFUNCTION("""COMPUTED_VALUE"""),46089)</f>
        <v>46089</v>
      </c>
      <c r="B79" s="4" t="str">
        <f ca="1">IFERROR(__xludf.DUMMYFUNCTION("""COMPUTED_VALUE"""),"Cuci Mio")</f>
        <v>Cuci Mio</v>
      </c>
      <c r="C79" s="4" t="str">
        <f ca="1">IFERROR(__xludf.DUMMYFUNCTION("""COMPUTED_VALUE"""),"Cash")</f>
        <v>Cash</v>
      </c>
      <c r="D79" s="4" t="str">
        <f ca="1">IFERROR(__xludf.DUMMYFUNCTION("""COMPUTED_VALUE"""),"Out")</f>
        <v>Out</v>
      </c>
      <c r="E79" s="4" t="str">
        <f ca="1">IFERROR(__xludf.DUMMYFUNCTION("""COMPUTED_VALUE"""),"Mio")</f>
        <v>Mio</v>
      </c>
      <c r="F79" s="49">
        <f ca="1">IFERROR(__xludf.DUMMYFUNCTION("""COMPUTED_VALUE"""),20000)</f>
        <v>20000</v>
      </c>
      <c r="G79" s="50" t="str">
        <f ca="1">IFERROR(__xludf.DUMMYFUNCTION("""COMPUTED_VALUE"""),"Ibal")</f>
        <v>Ibal</v>
      </c>
      <c r="H79" s="51">
        <f t="shared" ca="1" si="0"/>
        <v>46082</v>
      </c>
      <c r="I79" s="52" t="e">
        <f ca="1">SUMIFS(OUT!$F$2:$F$11000,OUT!$H$2:$H$11000,H79,OUT!$D$2:$D$101007,"In")</f>
        <v>#VALUE!</v>
      </c>
      <c r="J79" s="52">
        <f ca="1">SUMIFS(OUT!$F$2:$F$11000,OUT!$H$2:$H$11000,H79,OUT!$D$2:$D$11000,"Out")</f>
        <v>12026623</v>
      </c>
      <c r="K79" s="52">
        <f ca="1">SUMIFS(OUT!$F$2:$F$11000,OUT!$H$2:$H$11000,H79,OUT!$D$2:$D$11000,"Out",OUT!$E$2:$E$11000,"Fix")</f>
        <v>2865413</v>
      </c>
      <c r="L79" s="52">
        <f ca="1">SUMIFS(OUT!$F$2:$F$11000,OUT!$H$2:$H$11000,H79,OUT!$D$2:$D$11000,"Out",OUT!$E$2:$E$11000,"Bathroom")</f>
        <v>120488</v>
      </c>
      <c r="M79" s="52">
        <f ca="1">SUMIFS(OUT!$F$2:$F$11000,OUT!$H$2:$H$11000,H79,OUT!$D$2:$D$11000,"Out",OUT!$E$2:$E$11000,"Alfa")</f>
        <v>890962</v>
      </c>
      <c r="N79" s="52" t="e">
        <f ca="1">SUMIFS(OUT!$F$2:$F$11000,OUT!$H$2:$H$101007,H79,OUT!$D$2:$D$11000,"Out",OUT!$E$2:$E$11000,"Jajan")</f>
        <v>#VALUE!</v>
      </c>
      <c r="O79" s="52">
        <f ca="1">SUMIFS(OUT!$F$2:$F$11000,OUT!$H$2:$H$11000,H79,OUT!$D$2:$D$11000,"Out",OUT!$E$2:$E$11000,"Kitchen")</f>
        <v>1152600</v>
      </c>
      <c r="P79" s="52">
        <f ca="1">SUMIFS(OUT!$F$2:$F$11000,OUT!$H$2:$H$11000,H79,OUT!$D$2:$D$11000,"Out",OUT!$E$2:$E$11000,"Loandry")</f>
        <v>41000</v>
      </c>
      <c r="Q79" s="52">
        <f ca="1">SUMIFS(OUT!$F$2:$F$11000,OUT!$H$2:$H$11000,H79,OUT!$D$2:$D$11000,"Out",OUT!$E$2:$E$11000,"Mio")</f>
        <v>895700</v>
      </c>
      <c r="R79" s="52">
        <f ca="1">SUMIFS(OUT!$F$2:$F$11000,OUT!$H$2:$H$11000,H79,OUT!$D$2:$D$11000,"Out",OUT!$E$2:$E$11000,"Sedekah")</f>
        <v>130000</v>
      </c>
      <c r="S79" s="52">
        <f ca="1">SUMIFS(OUT!$F$2:$F$11000,OUT!$H$2:$H$11000,H79,OUT!$D$2:$D$11000,"Out",OUT!$E$2:$E$11000,"Zela")</f>
        <v>215161</v>
      </c>
      <c r="T79" s="52">
        <f ca="1">SUMIFS(OUT!$F$2:$F$11000,OUT!$H$2:$H$11000,H79,OUT!$D$2:$D$11000,"Out",OUT!$E$2:$E$11000,"Iqbal")</f>
        <v>215000</v>
      </c>
    </row>
    <row r="80" spans="1:20" x14ac:dyDescent="0.2">
      <c r="A80" s="48">
        <f ca="1">IFERROR(__xludf.DUMMYFUNCTION("""COMPUTED_VALUE"""),46095)</f>
        <v>46095</v>
      </c>
      <c r="B80" s="4" t="str">
        <f ca="1">IFERROR(__xludf.DUMMYFUNCTION("""COMPUTED_VALUE"""),"Penutup kabel (1)")</f>
        <v>Penutup kabel (1)</v>
      </c>
      <c r="C80" s="4" t="str">
        <f ca="1">IFERROR(__xludf.DUMMYFUNCTION("""COMPUTED_VALUE"""),"ATM")</f>
        <v>ATM</v>
      </c>
      <c r="D80" s="4" t="str">
        <f ca="1">IFERROR(__xludf.DUMMYFUNCTION("""COMPUTED_VALUE"""),"Out")</f>
        <v>Out</v>
      </c>
      <c r="E80" s="4" t="str">
        <f ca="1">IFERROR(__xludf.DUMMYFUNCTION("""COMPUTED_VALUE"""),"Fix")</f>
        <v>Fix</v>
      </c>
      <c r="F80" s="49">
        <f ca="1">IFERROR(__xludf.DUMMYFUNCTION("""COMPUTED_VALUE"""),17541)</f>
        <v>17541</v>
      </c>
      <c r="G80" s="50" t="str">
        <f ca="1">IFERROR(__xludf.DUMMYFUNCTION("""COMPUTED_VALUE"""),"Ibal")</f>
        <v>Ibal</v>
      </c>
      <c r="H80" s="51">
        <f t="shared" ca="1" si="0"/>
        <v>46082</v>
      </c>
      <c r="I80" s="52" t="e">
        <f ca="1">SUMIFS(OUT!$F$2:$F$11000,OUT!$H$2:$H$11000,H80,OUT!$D$2:$D$101007,"In")</f>
        <v>#VALUE!</v>
      </c>
      <c r="J80" s="52">
        <f ca="1">SUMIFS(OUT!$F$2:$F$11000,OUT!$H$2:$H$11000,H80,OUT!$D$2:$D$11000,"Out")</f>
        <v>12026623</v>
      </c>
      <c r="K80" s="52">
        <f ca="1">SUMIFS(OUT!$F$2:$F$11000,OUT!$H$2:$H$11000,H80,OUT!$D$2:$D$11000,"Out",OUT!$E$2:$E$11000,"Fix")</f>
        <v>2865413</v>
      </c>
      <c r="L80" s="52">
        <f ca="1">SUMIFS(OUT!$F$2:$F$11000,OUT!$H$2:$H$11000,H80,OUT!$D$2:$D$11000,"Out",OUT!$E$2:$E$11000,"Bathroom")</f>
        <v>120488</v>
      </c>
      <c r="M80" s="52">
        <f ca="1">SUMIFS(OUT!$F$2:$F$11000,OUT!$H$2:$H$11000,H80,OUT!$D$2:$D$11000,"Out",OUT!$E$2:$E$11000,"Alfa")</f>
        <v>890962</v>
      </c>
      <c r="N80" s="52" t="e">
        <f ca="1">SUMIFS(OUT!$F$2:$F$11000,OUT!$H$2:$H$101007,H80,OUT!$D$2:$D$11000,"Out",OUT!$E$2:$E$11000,"Jajan")</f>
        <v>#VALUE!</v>
      </c>
      <c r="O80" s="52">
        <f ca="1">SUMIFS(OUT!$F$2:$F$11000,OUT!$H$2:$H$11000,H80,OUT!$D$2:$D$11000,"Out",OUT!$E$2:$E$11000,"Kitchen")</f>
        <v>1152600</v>
      </c>
      <c r="P80" s="52">
        <f ca="1">SUMIFS(OUT!$F$2:$F$11000,OUT!$H$2:$H$11000,H80,OUT!$D$2:$D$11000,"Out",OUT!$E$2:$E$11000,"Loandry")</f>
        <v>41000</v>
      </c>
      <c r="Q80" s="52">
        <f ca="1">SUMIFS(OUT!$F$2:$F$11000,OUT!$H$2:$H$11000,H80,OUT!$D$2:$D$11000,"Out",OUT!$E$2:$E$11000,"Mio")</f>
        <v>895700</v>
      </c>
      <c r="R80" s="52">
        <f ca="1">SUMIFS(OUT!$F$2:$F$11000,OUT!$H$2:$H$11000,H80,OUT!$D$2:$D$11000,"Out",OUT!$E$2:$E$11000,"Sedekah")</f>
        <v>130000</v>
      </c>
      <c r="S80" s="52">
        <f ca="1">SUMIFS(OUT!$F$2:$F$11000,OUT!$H$2:$H$11000,H80,OUT!$D$2:$D$11000,"Out",OUT!$E$2:$E$11000,"Zela")</f>
        <v>215161</v>
      </c>
      <c r="T80" s="52">
        <f ca="1">SUMIFS(OUT!$F$2:$F$11000,OUT!$H$2:$H$11000,H80,OUT!$D$2:$D$11000,"Out",OUT!$E$2:$E$11000,"Iqbal")</f>
        <v>215000</v>
      </c>
    </row>
    <row r="81" spans="1:20" x14ac:dyDescent="0.2">
      <c r="A81" s="48">
        <f ca="1">IFERROR(__xludf.DUMMYFUNCTION("""COMPUTED_VALUE"""),46097)</f>
        <v>46097</v>
      </c>
      <c r="B81" s="4" t="str">
        <f ca="1">IFERROR(__xludf.DUMMYFUNCTION("""COMPUTED_VALUE"""),"THR 2026")</f>
        <v>THR 2026</v>
      </c>
      <c r="C81" s="4" t="str">
        <f ca="1">IFERROR(__xludf.DUMMYFUNCTION("""COMPUTED_VALUE"""),"ATM")</f>
        <v>ATM</v>
      </c>
      <c r="D81" s="4" t="str">
        <f ca="1">IFERROR(__xludf.DUMMYFUNCTION("""COMPUTED_VALUE"""),"In")</f>
        <v>In</v>
      </c>
      <c r="E81" s="4" t="str">
        <f ca="1">IFERROR(__xludf.DUMMYFUNCTION("""COMPUTED_VALUE"""),"Fix")</f>
        <v>Fix</v>
      </c>
      <c r="F81" s="49">
        <f ca="1">IFERROR(__xludf.DUMMYFUNCTION("""COMPUTED_VALUE"""),2332272)</f>
        <v>2332272</v>
      </c>
      <c r="G81" s="50" t="str">
        <f ca="1">IFERROR(__xludf.DUMMYFUNCTION("""COMPUTED_VALUE"""),"Ibal")</f>
        <v>Ibal</v>
      </c>
      <c r="H81" s="51">
        <f t="shared" ca="1" si="0"/>
        <v>46082</v>
      </c>
      <c r="I81" s="52" t="e">
        <f ca="1">SUMIFS(OUT!$F$2:$F$11000,OUT!$H$2:$H$11000,H81,OUT!$D$2:$D$101007,"In")</f>
        <v>#VALUE!</v>
      </c>
      <c r="J81" s="52">
        <f ca="1">SUMIFS(OUT!$F$2:$F$11000,OUT!$H$2:$H$11000,H81,OUT!$D$2:$D$11000,"Out")</f>
        <v>12026623</v>
      </c>
      <c r="K81" s="52">
        <f ca="1">SUMIFS(OUT!$F$2:$F$11000,OUT!$H$2:$H$11000,H81,OUT!$D$2:$D$11000,"Out",OUT!$E$2:$E$11000,"Fix")</f>
        <v>2865413</v>
      </c>
      <c r="L81" s="52">
        <f ca="1">SUMIFS(OUT!$F$2:$F$11000,OUT!$H$2:$H$11000,H81,OUT!$D$2:$D$11000,"Out",OUT!$E$2:$E$11000,"Bathroom")</f>
        <v>120488</v>
      </c>
      <c r="M81" s="52">
        <f ca="1">SUMIFS(OUT!$F$2:$F$11000,OUT!$H$2:$H$11000,H81,OUT!$D$2:$D$11000,"Out",OUT!$E$2:$E$11000,"Alfa")</f>
        <v>890962</v>
      </c>
      <c r="N81" s="52" t="e">
        <f ca="1">SUMIFS(OUT!$F$2:$F$11000,OUT!$H$2:$H$101007,H81,OUT!$D$2:$D$11000,"Out",OUT!$E$2:$E$11000,"Jajan")</f>
        <v>#VALUE!</v>
      </c>
      <c r="O81" s="52">
        <f ca="1">SUMIFS(OUT!$F$2:$F$11000,OUT!$H$2:$H$11000,H81,OUT!$D$2:$D$11000,"Out",OUT!$E$2:$E$11000,"Kitchen")</f>
        <v>1152600</v>
      </c>
      <c r="P81" s="52">
        <f ca="1">SUMIFS(OUT!$F$2:$F$11000,OUT!$H$2:$H$11000,H81,OUT!$D$2:$D$11000,"Out",OUT!$E$2:$E$11000,"Loandry")</f>
        <v>41000</v>
      </c>
      <c r="Q81" s="52">
        <f ca="1">SUMIFS(OUT!$F$2:$F$11000,OUT!$H$2:$H$11000,H81,OUT!$D$2:$D$11000,"Out",OUT!$E$2:$E$11000,"Mio")</f>
        <v>895700</v>
      </c>
      <c r="R81" s="52">
        <f ca="1">SUMIFS(OUT!$F$2:$F$11000,OUT!$H$2:$H$11000,H81,OUT!$D$2:$D$11000,"Out",OUT!$E$2:$E$11000,"Sedekah")</f>
        <v>130000</v>
      </c>
      <c r="S81" s="52">
        <f ca="1">SUMIFS(OUT!$F$2:$F$11000,OUT!$H$2:$H$11000,H81,OUT!$D$2:$D$11000,"Out",OUT!$E$2:$E$11000,"Zela")</f>
        <v>215161</v>
      </c>
      <c r="T81" s="52">
        <f ca="1">SUMIFS(OUT!$F$2:$F$11000,OUT!$H$2:$H$11000,H81,OUT!$D$2:$D$11000,"Out",OUT!$E$2:$E$11000,"Iqbal")</f>
        <v>215000</v>
      </c>
    </row>
    <row r="82" spans="1:20" x14ac:dyDescent="0.2">
      <c r="A82" s="48">
        <f ca="1">IFERROR(__xludf.DUMMYFUNCTION("""COMPUTED_VALUE"""),46097)</f>
        <v>46097</v>
      </c>
      <c r="B82" s="4" t="str">
        <f ca="1">IFERROR(__xludf.DUMMYFUNCTION("""COMPUTED_VALUE"""),"Istriku")</f>
        <v>Istriku</v>
      </c>
      <c r="C82" s="4" t="str">
        <f ca="1">IFERROR(__xludf.DUMMYFUNCTION("""COMPUTED_VALUE"""),"ATM")</f>
        <v>ATM</v>
      </c>
      <c r="D82" s="4" t="str">
        <f ca="1">IFERROR(__xludf.DUMMYFUNCTION("""COMPUTED_VALUE"""),"Move")</f>
        <v>Move</v>
      </c>
      <c r="E82" s="4" t="str">
        <f ca="1">IFERROR(__xludf.DUMMYFUNCTION("""COMPUTED_VALUE"""),"Fix")</f>
        <v>Fix</v>
      </c>
      <c r="F82" s="49">
        <f ca="1">IFERROR(__xludf.DUMMYFUNCTION("""COMPUTED_VALUE"""),1300700)</f>
        <v>1300700</v>
      </c>
      <c r="G82" s="50" t="str">
        <f ca="1">IFERROR(__xludf.DUMMYFUNCTION("""COMPUTED_VALUE"""),"Ibal")</f>
        <v>Ibal</v>
      </c>
      <c r="H82" s="51">
        <f t="shared" ca="1" si="0"/>
        <v>46082</v>
      </c>
      <c r="I82" s="52" t="e">
        <f ca="1">SUMIFS(OUT!$F$2:$F$11000,OUT!$H$2:$H$11000,H82,OUT!$D$2:$D$101007,"In")</f>
        <v>#VALUE!</v>
      </c>
      <c r="J82" s="52">
        <f ca="1">SUMIFS(OUT!$F$2:$F$11000,OUT!$H$2:$H$11000,H82,OUT!$D$2:$D$11000,"Out")</f>
        <v>12026623</v>
      </c>
      <c r="K82" s="52">
        <f ca="1">SUMIFS(OUT!$F$2:$F$11000,OUT!$H$2:$H$11000,H82,OUT!$D$2:$D$11000,"Out",OUT!$E$2:$E$11000,"Fix")</f>
        <v>2865413</v>
      </c>
      <c r="L82" s="52">
        <f ca="1">SUMIFS(OUT!$F$2:$F$11000,OUT!$H$2:$H$11000,H82,OUT!$D$2:$D$11000,"Out",OUT!$E$2:$E$11000,"Bathroom")</f>
        <v>120488</v>
      </c>
      <c r="M82" s="52">
        <f ca="1">SUMIFS(OUT!$F$2:$F$11000,OUT!$H$2:$H$11000,H82,OUT!$D$2:$D$11000,"Out",OUT!$E$2:$E$11000,"Alfa")</f>
        <v>890962</v>
      </c>
      <c r="N82" s="52" t="e">
        <f ca="1">SUMIFS(OUT!$F$2:$F$11000,OUT!$H$2:$H$101007,H82,OUT!$D$2:$D$11000,"Out",OUT!$E$2:$E$11000,"Jajan")</f>
        <v>#VALUE!</v>
      </c>
      <c r="O82" s="52">
        <f ca="1">SUMIFS(OUT!$F$2:$F$11000,OUT!$H$2:$H$11000,H82,OUT!$D$2:$D$11000,"Out",OUT!$E$2:$E$11000,"Kitchen")</f>
        <v>1152600</v>
      </c>
      <c r="P82" s="52">
        <f ca="1">SUMIFS(OUT!$F$2:$F$11000,OUT!$H$2:$H$11000,H82,OUT!$D$2:$D$11000,"Out",OUT!$E$2:$E$11000,"Loandry")</f>
        <v>41000</v>
      </c>
      <c r="Q82" s="52">
        <f ca="1">SUMIFS(OUT!$F$2:$F$11000,OUT!$H$2:$H$11000,H82,OUT!$D$2:$D$11000,"Out",OUT!$E$2:$E$11000,"Mio")</f>
        <v>895700</v>
      </c>
      <c r="R82" s="52">
        <f ca="1">SUMIFS(OUT!$F$2:$F$11000,OUT!$H$2:$H$11000,H82,OUT!$D$2:$D$11000,"Out",OUT!$E$2:$E$11000,"Sedekah")</f>
        <v>130000</v>
      </c>
      <c r="S82" s="52">
        <f ca="1">SUMIFS(OUT!$F$2:$F$11000,OUT!$H$2:$H$11000,H82,OUT!$D$2:$D$11000,"Out",OUT!$E$2:$E$11000,"Zela")</f>
        <v>215161</v>
      </c>
      <c r="T82" s="52">
        <f ca="1">SUMIFS(OUT!$F$2:$F$11000,OUT!$H$2:$H$11000,H82,OUT!$D$2:$D$11000,"Out",OUT!$E$2:$E$11000,"Iqbal")</f>
        <v>215000</v>
      </c>
    </row>
    <row r="83" spans="1:20" x14ac:dyDescent="0.2">
      <c r="A83" s="48">
        <f ca="1">IFERROR(__xludf.DUMMYFUNCTION("""COMPUTED_VALUE"""),46098)</f>
        <v>46098</v>
      </c>
      <c r="B83" s="4" t="str">
        <f ca="1">IFERROR(__xludf.DUMMYFUNCTION("""COMPUTED_VALUE"""),"THR dari pak warno")</f>
        <v>THR dari pak warno</v>
      </c>
      <c r="C83" s="4" t="str">
        <f ca="1">IFERROR(__xludf.DUMMYFUNCTION("""COMPUTED_VALUE"""),"ATM")</f>
        <v>ATM</v>
      </c>
      <c r="D83" s="4" t="str">
        <f ca="1">IFERROR(__xludf.DUMMYFUNCTION("""COMPUTED_VALUE"""),"In")</f>
        <v>In</v>
      </c>
      <c r="E83" s="4" t="str">
        <f ca="1">IFERROR(__xludf.DUMMYFUNCTION("""COMPUTED_VALUE"""),"Fix")</f>
        <v>Fix</v>
      </c>
      <c r="F83" s="49">
        <f ca="1">IFERROR(__xludf.DUMMYFUNCTION("""COMPUTED_VALUE"""),150000)</f>
        <v>150000</v>
      </c>
      <c r="G83" s="50" t="str">
        <f ca="1">IFERROR(__xludf.DUMMYFUNCTION("""COMPUTED_VALUE"""),"Ibal")</f>
        <v>Ibal</v>
      </c>
      <c r="H83" s="51">
        <f t="shared" ca="1" si="0"/>
        <v>46082</v>
      </c>
      <c r="I83" s="52" t="e">
        <f ca="1">SUMIFS(OUT!$F$2:$F$11000,OUT!$H$2:$H$11000,H83,OUT!$D$2:$D$101007,"In")</f>
        <v>#VALUE!</v>
      </c>
      <c r="J83" s="52">
        <f ca="1">SUMIFS(OUT!$F$2:$F$11000,OUT!$H$2:$H$11000,H83,OUT!$D$2:$D$11000,"Out")</f>
        <v>12026623</v>
      </c>
      <c r="K83" s="52">
        <f ca="1">SUMIFS(OUT!$F$2:$F$11000,OUT!$H$2:$H$11000,H83,OUT!$D$2:$D$11000,"Out",OUT!$E$2:$E$11000,"Fix")</f>
        <v>2865413</v>
      </c>
      <c r="L83" s="52">
        <f ca="1">SUMIFS(OUT!$F$2:$F$11000,OUT!$H$2:$H$11000,H83,OUT!$D$2:$D$11000,"Out",OUT!$E$2:$E$11000,"Bathroom")</f>
        <v>120488</v>
      </c>
      <c r="M83" s="52">
        <f ca="1">SUMIFS(OUT!$F$2:$F$11000,OUT!$H$2:$H$11000,H83,OUT!$D$2:$D$11000,"Out",OUT!$E$2:$E$11000,"Alfa")</f>
        <v>890962</v>
      </c>
      <c r="N83" s="52" t="e">
        <f ca="1">SUMIFS(OUT!$F$2:$F$11000,OUT!$H$2:$H$101007,H83,OUT!$D$2:$D$11000,"Out",OUT!$E$2:$E$11000,"Jajan")</f>
        <v>#VALUE!</v>
      </c>
      <c r="O83" s="52">
        <f ca="1">SUMIFS(OUT!$F$2:$F$11000,OUT!$H$2:$H$11000,H83,OUT!$D$2:$D$11000,"Out",OUT!$E$2:$E$11000,"Kitchen")</f>
        <v>1152600</v>
      </c>
      <c r="P83" s="52">
        <f ca="1">SUMIFS(OUT!$F$2:$F$11000,OUT!$H$2:$H$11000,H83,OUT!$D$2:$D$11000,"Out",OUT!$E$2:$E$11000,"Loandry")</f>
        <v>41000</v>
      </c>
      <c r="Q83" s="52">
        <f ca="1">SUMIFS(OUT!$F$2:$F$11000,OUT!$H$2:$H$11000,H83,OUT!$D$2:$D$11000,"Out",OUT!$E$2:$E$11000,"Mio")</f>
        <v>895700</v>
      </c>
      <c r="R83" s="52">
        <f ca="1">SUMIFS(OUT!$F$2:$F$11000,OUT!$H$2:$H$11000,H83,OUT!$D$2:$D$11000,"Out",OUT!$E$2:$E$11000,"Sedekah")</f>
        <v>130000</v>
      </c>
      <c r="S83" s="52">
        <f ca="1">SUMIFS(OUT!$F$2:$F$11000,OUT!$H$2:$H$11000,H83,OUT!$D$2:$D$11000,"Out",OUT!$E$2:$E$11000,"Zela")</f>
        <v>215161</v>
      </c>
      <c r="T83" s="52">
        <f ca="1">SUMIFS(OUT!$F$2:$F$11000,OUT!$H$2:$H$11000,H83,OUT!$D$2:$D$11000,"Out",OUT!$E$2:$E$11000,"Iqbal")</f>
        <v>215000</v>
      </c>
    </row>
    <row r="84" spans="1:20" x14ac:dyDescent="0.2">
      <c r="A84" s="48">
        <f ca="1">IFERROR(__xludf.DUMMYFUNCTION("""COMPUTED_VALUE"""),46099)</f>
        <v>46099</v>
      </c>
      <c r="B84" s="4" t="str">
        <f ca="1">IFERROR(__xludf.DUMMYFUNCTION("""COMPUTED_VALUE"""),"Byu 8gb")</f>
        <v>Byu 8gb</v>
      </c>
      <c r="C84" s="4" t="str">
        <f ca="1">IFERROR(__xludf.DUMMYFUNCTION("""COMPUTED_VALUE"""),"ATM")</f>
        <v>ATM</v>
      </c>
      <c r="D84" s="4" t="str">
        <f ca="1">IFERROR(__xludf.DUMMYFUNCTION("""COMPUTED_VALUE"""),"Out")</f>
        <v>Out</v>
      </c>
      <c r="E84" s="4" t="str">
        <f ca="1">IFERROR(__xludf.DUMMYFUNCTION("""COMPUTED_VALUE"""),"Fix")</f>
        <v>Fix</v>
      </c>
      <c r="F84" s="49">
        <f ca="1">IFERROR(__xludf.DUMMYFUNCTION("""COMPUTED_VALUE"""),18000)</f>
        <v>18000</v>
      </c>
      <c r="G84" s="50" t="str">
        <f ca="1">IFERROR(__xludf.DUMMYFUNCTION("""COMPUTED_VALUE"""),"Ibal")</f>
        <v>Ibal</v>
      </c>
      <c r="H84" s="51">
        <f t="shared" ca="1" si="0"/>
        <v>46082</v>
      </c>
      <c r="I84" s="52" t="e">
        <f ca="1">SUMIFS(OUT!$F$2:$F$11000,OUT!$H$2:$H$11000,H84,OUT!$D$2:$D$101007,"In")</f>
        <v>#VALUE!</v>
      </c>
      <c r="J84" s="52">
        <f ca="1">SUMIFS(OUT!$F$2:$F$11000,OUT!$H$2:$H$11000,H84,OUT!$D$2:$D$11000,"Out")</f>
        <v>12026623</v>
      </c>
      <c r="K84" s="52">
        <f ca="1">SUMIFS(OUT!$F$2:$F$11000,OUT!$H$2:$H$11000,H84,OUT!$D$2:$D$11000,"Out",OUT!$E$2:$E$11000,"Fix")</f>
        <v>2865413</v>
      </c>
      <c r="L84" s="52">
        <f ca="1">SUMIFS(OUT!$F$2:$F$11000,OUT!$H$2:$H$11000,H84,OUT!$D$2:$D$11000,"Out",OUT!$E$2:$E$11000,"Bathroom")</f>
        <v>120488</v>
      </c>
      <c r="M84" s="52">
        <f ca="1">SUMIFS(OUT!$F$2:$F$11000,OUT!$H$2:$H$11000,H84,OUT!$D$2:$D$11000,"Out",OUT!$E$2:$E$11000,"Alfa")</f>
        <v>890962</v>
      </c>
      <c r="N84" s="52" t="e">
        <f ca="1">SUMIFS(OUT!$F$2:$F$11000,OUT!$H$2:$H$101007,H84,OUT!$D$2:$D$11000,"Out",OUT!$E$2:$E$11000,"Jajan")</f>
        <v>#VALUE!</v>
      </c>
      <c r="O84" s="52">
        <f ca="1">SUMIFS(OUT!$F$2:$F$11000,OUT!$H$2:$H$11000,H84,OUT!$D$2:$D$11000,"Out",OUT!$E$2:$E$11000,"Kitchen")</f>
        <v>1152600</v>
      </c>
      <c r="P84" s="52">
        <f ca="1">SUMIFS(OUT!$F$2:$F$11000,OUT!$H$2:$H$11000,H84,OUT!$D$2:$D$11000,"Out",OUT!$E$2:$E$11000,"Loandry")</f>
        <v>41000</v>
      </c>
      <c r="Q84" s="52">
        <f ca="1">SUMIFS(OUT!$F$2:$F$11000,OUT!$H$2:$H$11000,H84,OUT!$D$2:$D$11000,"Out",OUT!$E$2:$E$11000,"Mio")</f>
        <v>895700</v>
      </c>
      <c r="R84" s="52">
        <f ca="1">SUMIFS(OUT!$F$2:$F$11000,OUT!$H$2:$H$11000,H84,OUT!$D$2:$D$11000,"Out",OUT!$E$2:$E$11000,"Sedekah")</f>
        <v>130000</v>
      </c>
      <c r="S84" s="52">
        <f ca="1">SUMIFS(OUT!$F$2:$F$11000,OUT!$H$2:$H$11000,H84,OUT!$D$2:$D$11000,"Out",OUT!$E$2:$E$11000,"Zela")</f>
        <v>215161</v>
      </c>
      <c r="T84" s="52">
        <f ca="1">SUMIFS(OUT!$F$2:$F$11000,OUT!$H$2:$H$11000,H84,OUT!$D$2:$D$11000,"Out",OUT!$E$2:$E$11000,"Iqbal")</f>
        <v>215000</v>
      </c>
    </row>
    <row r="85" spans="1:20" x14ac:dyDescent="0.2">
      <c r="A85" s="48">
        <f ca="1">IFERROR(__xludf.DUMMYFUNCTION("""COMPUTED_VALUE"""),46099)</f>
        <v>46099</v>
      </c>
      <c r="B85" s="4" t="str">
        <f ca="1">IFERROR(__xludf.DUMMYFUNCTION("""COMPUTED_VALUE"""),"Bakso bandung kejaksaan")</f>
        <v>Bakso bandung kejaksaan</v>
      </c>
      <c r="C85" s="4" t="str">
        <f ca="1">IFERROR(__xludf.DUMMYFUNCTION("""COMPUTED_VALUE"""),"ATM")</f>
        <v>ATM</v>
      </c>
      <c r="D85" s="4" t="str">
        <f ca="1">IFERROR(__xludf.DUMMYFUNCTION("""COMPUTED_VALUE"""),"Out")</f>
        <v>Out</v>
      </c>
      <c r="E85" s="4" t="str">
        <f ca="1">IFERROR(__xludf.DUMMYFUNCTION("""COMPUTED_VALUE"""),"Jajan")</f>
        <v>Jajan</v>
      </c>
      <c r="F85" s="49">
        <f ca="1">IFERROR(__xludf.DUMMYFUNCTION("""COMPUTED_VALUE"""),58000)</f>
        <v>58000</v>
      </c>
      <c r="G85" s="50" t="str">
        <f ca="1">IFERROR(__xludf.DUMMYFUNCTION("""COMPUTED_VALUE"""),"Ibal")</f>
        <v>Ibal</v>
      </c>
      <c r="H85" s="51">
        <f t="shared" ca="1" si="0"/>
        <v>46082</v>
      </c>
      <c r="I85" s="52" t="e">
        <f ca="1">SUMIFS(OUT!$F$2:$F$11000,OUT!$H$2:$H$11000,H85,OUT!$D$2:$D$101007,"In")</f>
        <v>#VALUE!</v>
      </c>
      <c r="J85" s="52">
        <f ca="1">SUMIFS(OUT!$F$2:$F$11000,OUT!$H$2:$H$11000,H85,OUT!$D$2:$D$11000,"Out")</f>
        <v>12026623</v>
      </c>
      <c r="K85" s="52">
        <f ca="1">SUMIFS(OUT!$F$2:$F$11000,OUT!$H$2:$H$11000,H85,OUT!$D$2:$D$11000,"Out",OUT!$E$2:$E$11000,"Fix")</f>
        <v>2865413</v>
      </c>
      <c r="L85" s="52">
        <f ca="1">SUMIFS(OUT!$F$2:$F$11000,OUT!$H$2:$H$11000,H85,OUT!$D$2:$D$11000,"Out",OUT!$E$2:$E$11000,"Bathroom")</f>
        <v>120488</v>
      </c>
      <c r="M85" s="52">
        <f ca="1">SUMIFS(OUT!$F$2:$F$11000,OUT!$H$2:$H$11000,H85,OUT!$D$2:$D$11000,"Out",OUT!$E$2:$E$11000,"Alfa")</f>
        <v>890962</v>
      </c>
      <c r="N85" s="52" t="e">
        <f ca="1">SUMIFS(OUT!$F$2:$F$11000,OUT!$H$2:$H$101007,H85,OUT!$D$2:$D$11000,"Out",OUT!$E$2:$E$11000,"Jajan")</f>
        <v>#VALUE!</v>
      </c>
      <c r="O85" s="52">
        <f ca="1">SUMIFS(OUT!$F$2:$F$11000,OUT!$H$2:$H$11000,H85,OUT!$D$2:$D$11000,"Out",OUT!$E$2:$E$11000,"Kitchen")</f>
        <v>1152600</v>
      </c>
      <c r="P85" s="52">
        <f ca="1">SUMIFS(OUT!$F$2:$F$11000,OUT!$H$2:$H$11000,H85,OUT!$D$2:$D$11000,"Out",OUT!$E$2:$E$11000,"Loandry")</f>
        <v>41000</v>
      </c>
      <c r="Q85" s="52">
        <f ca="1">SUMIFS(OUT!$F$2:$F$11000,OUT!$H$2:$H$11000,H85,OUT!$D$2:$D$11000,"Out",OUT!$E$2:$E$11000,"Mio")</f>
        <v>895700</v>
      </c>
      <c r="R85" s="52">
        <f ca="1">SUMIFS(OUT!$F$2:$F$11000,OUT!$H$2:$H$11000,H85,OUT!$D$2:$D$11000,"Out",OUT!$E$2:$E$11000,"Sedekah")</f>
        <v>130000</v>
      </c>
      <c r="S85" s="52">
        <f ca="1">SUMIFS(OUT!$F$2:$F$11000,OUT!$H$2:$H$11000,H85,OUT!$D$2:$D$11000,"Out",OUT!$E$2:$E$11000,"Zela")</f>
        <v>215161</v>
      </c>
      <c r="T85" s="52">
        <f ca="1">SUMIFS(OUT!$F$2:$F$11000,OUT!$H$2:$H$11000,H85,OUT!$D$2:$D$11000,"Out",OUT!$E$2:$E$11000,"Iqbal")</f>
        <v>215000</v>
      </c>
    </row>
    <row r="86" spans="1:20" x14ac:dyDescent="0.2">
      <c r="A86" s="48">
        <f ca="1">IFERROR(__xludf.DUMMYFUNCTION("""COMPUTED_VALUE"""),46100)</f>
        <v>46100</v>
      </c>
      <c r="B86" s="4" t="str">
        <f ca="1">IFERROR(__xludf.DUMMYFUNCTION("""COMPUTED_VALUE"""),"Karpet teras")</f>
        <v>Karpet teras</v>
      </c>
      <c r="C86" s="4" t="str">
        <f ca="1">IFERROR(__xludf.DUMMYFUNCTION("""COMPUTED_VALUE"""),"ATM")</f>
        <v>ATM</v>
      </c>
      <c r="D86" s="4" t="str">
        <f ca="1">IFERROR(__xludf.DUMMYFUNCTION("""COMPUTED_VALUE"""),"Out")</f>
        <v>Out</v>
      </c>
      <c r="E86" s="4" t="str">
        <f ca="1">IFERROR(__xludf.DUMMYFUNCTION("""COMPUTED_VALUE"""),"Kitchen")</f>
        <v>Kitchen</v>
      </c>
      <c r="F86" s="49">
        <f ca="1">IFERROR(__xludf.DUMMYFUNCTION("""COMPUTED_VALUE"""),35000)</f>
        <v>35000</v>
      </c>
      <c r="G86" s="50" t="str">
        <f ca="1">IFERROR(__xludf.DUMMYFUNCTION("""COMPUTED_VALUE"""),"Ibal")</f>
        <v>Ibal</v>
      </c>
      <c r="H86" s="51">
        <f t="shared" ca="1" si="0"/>
        <v>46082</v>
      </c>
      <c r="I86" s="52" t="e">
        <f ca="1">SUMIFS(OUT!$F$2:$F$11000,OUT!$H$2:$H$11000,H86,OUT!$D$2:$D$101007,"In")</f>
        <v>#VALUE!</v>
      </c>
      <c r="J86" s="52">
        <f ca="1">SUMIFS(OUT!$F$2:$F$11000,OUT!$H$2:$H$11000,H86,OUT!$D$2:$D$11000,"Out")</f>
        <v>12026623</v>
      </c>
      <c r="K86" s="52">
        <f ca="1">SUMIFS(OUT!$F$2:$F$11000,OUT!$H$2:$H$11000,H86,OUT!$D$2:$D$11000,"Out",OUT!$E$2:$E$11000,"Fix")</f>
        <v>2865413</v>
      </c>
      <c r="L86" s="52">
        <f ca="1">SUMIFS(OUT!$F$2:$F$11000,OUT!$H$2:$H$11000,H86,OUT!$D$2:$D$11000,"Out",OUT!$E$2:$E$11000,"Bathroom")</f>
        <v>120488</v>
      </c>
      <c r="M86" s="52">
        <f ca="1">SUMIFS(OUT!$F$2:$F$11000,OUT!$H$2:$H$11000,H86,OUT!$D$2:$D$11000,"Out",OUT!$E$2:$E$11000,"Alfa")</f>
        <v>890962</v>
      </c>
      <c r="N86" s="52" t="e">
        <f ca="1">SUMIFS(OUT!$F$2:$F$11000,OUT!$H$2:$H$101007,H86,OUT!$D$2:$D$11000,"Out",OUT!$E$2:$E$11000,"Jajan")</f>
        <v>#VALUE!</v>
      </c>
      <c r="O86" s="52">
        <f ca="1">SUMIFS(OUT!$F$2:$F$11000,OUT!$H$2:$H$11000,H86,OUT!$D$2:$D$11000,"Out",OUT!$E$2:$E$11000,"Kitchen")</f>
        <v>1152600</v>
      </c>
      <c r="P86" s="52">
        <f ca="1">SUMIFS(OUT!$F$2:$F$11000,OUT!$H$2:$H$11000,H86,OUT!$D$2:$D$11000,"Out",OUT!$E$2:$E$11000,"Loandry")</f>
        <v>41000</v>
      </c>
      <c r="Q86" s="52">
        <f ca="1">SUMIFS(OUT!$F$2:$F$11000,OUT!$H$2:$H$11000,H86,OUT!$D$2:$D$11000,"Out",OUT!$E$2:$E$11000,"Mio")</f>
        <v>895700</v>
      </c>
      <c r="R86" s="52">
        <f ca="1">SUMIFS(OUT!$F$2:$F$11000,OUT!$H$2:$H$11000,H86,OUT!$D$2:$D$11000,"Out",OUT!$E$2:$E$11000,"Sedekah")</f>
        <v>130000</v>
      </c>
      <c r="S86" s="52">
        <f ca="1">SUMIFS(OUT!$F$2:$F$11000,OUT!$H$2:$H$11000,H86,OUT!$D$2:$D$11000,"Out",OUT!$E$2:$E$11000,"Zela")</f>
        <v>215161</v>
      </c>
      <c r="T86" s="52">
        <f ca="1">SUMIFS(OUT!$F$2:$F$11000,OUT!$H$2:$H$11000,H86,OUT!$D$2:$D$11000,"Out",OUT!$E$2:$E$11000,"Iqbal")</f>
        <v>215000</v>
      </c>
    </row>
    <row r="87" spans="1:20" x14ac:dyDescent="0.2">
      <c r="A87" s="48">
        <f ca="1">IFERROR(__xludf.DUMMYFUNCTION("""COMPUTED_VALUE"""),46100)</f>
        <v>46100</v>
      </c>
      <c r="B87" s="4" t="str">
        <f ca="1">IFERROR(__xludf.DUMMYFUNCTION("""COMPUTED_VALUE"""),"Pompa galon elektrik")</f>
        <v>Pompa galon elektrik</v>
      </c>
      <c r="C87" s="4" t="str">
        <f ca="1">IFERROR(__xludf.DUMMYFUNCTION("""COMPUTED_VALUE"""),"ATM")</f>
        <v>ATM</v>
      </c>
      <c r="D87" s="4" t="str">
        <f ca="1">IFERROR(__xludf.DUMMYFUNCTION("""COMPUTED_VALUE"""),"Out")</f>
        <v>Out</v>
      </c>
      <c r="E87" s="4" t="str">
        <f ca="1">IFERROR(__xludf.DUMMYFUNCTION("""COMPUTED_VALUE"""),"Kitchen")</f>
        <v>Kitchen</v>
      </c>
      <c r="F87" s="49">
        <f ca="1">IFERROR(__xludf.DUMMYFUNCTION("""COMPUTED_VALUE"""),35000)</f>
        <v>35000</v>
      </c>
      <c r="G87" s="50" t="str">
        <f ca="1">IFERROR(__xludf.DUMMYFUNCTION("""COMPUTED_VALUE"""),"Ibal")</f>
        <v>Ibal</v>
      </c>
      <c r="H87" s="51">
        <f t="shared" ca="1" si="0"/>
        <v>46082</v>
      </c>
      <c r="I87" s="52" t="e">
        <f ca="1">SUMIFS(OUT!$F$2:$F$11000,OUT!$H$2:$H$11000,H87,OUT!$D$2:$D$101007,"In")</f>
        <v>#VALUE!</v>
      </c>
      <c r="J87" s="52">
        <f ca="1">SUMIFS(OUT!$F$2:$F$11000,OUT!$H$2:$H$11000,H87,OUT!$D$2:$D$11000,"Out")</f>
        <v>12026623</v>
      </c>
      <c r="K87" s="52">
        <f ca="1">SUMIFS(OUT!$F$2:$F$11000,OUT!$H$2:$H$11000,H87,OUT!$D$2:$D$11000,"Out",OUT!$E$2:$E$11000,"Fix")</f>
        <v>2865413</v>
      </c>
      <c r="L87" s="52">
        <f ca="1">SUMIFS(OUT!$F$2:$F$11000,OUT!$H$2:$H$11000,H87,OUT!$D$2:$D$11000,"Out",OUT!$E$2:$E$11000,"Bathroom")</f>
        <v>120488</v>
      </c>
      <c r="M87" s="52">
        <f ca="1">SUMIFS(OUT!$F$2:$F$11000,OUT!$H$2:$H$11000,H87,OUT!$D$2:$D$11000,"Out",OUT!$E$2:$E$11000,"Alfa")</f>
        <v>890962</v>
      </c>
      <c r="N87" s="52" t="e">
        <f ca="1">SUMIFS(OUT!$F$2:$F$11000,OUT!$H$2:$H$101007,H87,OUT!$D$2:$D$11000,"Out",OUT!$E$2:$E$11000,"Jajan")</f>
        <v>#VALUE!</v>
      </c>
      <c r="O87" s="52">
        <f ca="1">SUMIFS(OUT!$F$2:$F$11000,OUT!$H$2:$H$11000,H87,OUT!$D$2:$D$11000,"Out",OUT!$E$2:$E$11000,"Kitchen")</f>
        <v>1152600</v>
      </c>
      <c r="P87" s="52">
        <f ca="1">SUMIFS(OUT!$F$2:$F$11000,OUT!$H$2:$H$11000,H87,OUT!$D$2:$D$11000,"Out",OUT!$E$2:$E$11000,"Loandry")</f>
        <v>41000</v>
      </c>
      <c r="Q87" s="52">
        <f ca="1">SUMIFS(OUT!$F$2:$F$11000,OUT!$H$2:$H$11000,H87,OUT!$D$2:$D$11000,"Out",OUT!$E$2:$E$11000,"Mio")</f>
        <v>895700</v>
      </c>
      <c r="R87" s="52">
        <f ca="1">SUMIFS(OUT!$F$2:$F$11000,OUT!$H$2:$H$11000,H87,OUT!$D$2:$D$11000,"Out",OUT!$E$2:$E$11000,"Sedekah")</f>
        <v>130000</v>
      </c>
      <c r="S87" s="52">
        <f ca="1">SUMIFS(OUT!$F$2:$F$11000,OUT!$H$2:$H$11000,H87,OUT!$D$2:$D$11000,"Out",OUT!$E$2:$E$11000,"Zela")</f>
        <v>215161</v>
      </c>
      <c r="T87" s="52">
        <f ca="1">SUMIFS(OUT!$F$2:$F$11000,OUT!$H$2:$H$11000,H87,OUT!$D$2:$D$11000,"Out",OUT!$E$2:$E$11000,"Iqbal")</f>
        <v>215000</v>
      </c>
    </row>
    <row r="88" spans="1:20" x14ac:dyDescent="0.2">
      <c r="A88" s="48">
        <f ca="1">IFERROR(__xludf.DUMMYFUNCTION("""COMPUTED_VALUE"""),46101)</f>
        <v>46101</v>
      </c>
      <c r="B88" s="4" t="str">
        <f ca="1">IFERROR(__xludf.DUMMYFUNCTION("""COMPUTED_VALUE"""),"Istriku")</f>
        <v>Istriku</v>
      </c>
      <c r="C88" s="4" t="str">
        <f ca="1">IFERROR(__xludf.DUMMYFUNCTION("""COMPUTED_VALUE"""),"Cash")</f>
        <v>Cash</v>
      </c>
      <c r="D88" s="4" t="str">
        <f ca="1">IFERROR(__xludf.DUMMYFUNCTION("""COMPUTED_VALUE"""),"In")</f>
        <v>In</v>
      </c>
      <c r="E88" s="4" t="str">
        <f ca="1">IFERROR(__xludf.DUMMYFUNCTION("""COMPUTED_VALUE"""),"Move")</f>
        <v>Move</v>
      </c>
      <c r="F88" s="49">
        <f ca="1">IFERROR(__xludf.DUMMYFUNCTION("""COMPUTED_VALUE"""),84000)</f>
        <v>84000</v>
      </c>
      <c r="G88" s="50" t="str">
        <f ca="1">IFERROR(__xludf.DUMMYFUNCTION("""COMPUTED_VALUE"""),"Ibal")</f>
        <v>Ibal</v>
      </c>
      <c r="H88" s="51">
        <f t="shared" ca="1" si="0"/>
        <v>46082</v>
      </c>
      <c r="I88" s="52" t="e">
        <f ca="1">SUMIFS(OUT!$F$2:$F$11000,OUT!$H$2:$H$11000,H88,OUT!$D$2:$D$101007,"In")</f>
        <v>#VALUE!</v>
      </c>
      <c r="J88" s="52">
        <f ca="1">SUMIFS(OUT!$F$2:$F$11000,OUT!$H$2:$H$11000,H88,OUT!$D$2:$D$11000,"Out")</f>
        <v>12026623</v>
      </c>
      <c r="K88" s="52">
        <f ca="1">SUMIFS(OUT!$F$2:$F$11000,OUT!$H$2:$H$11000,H88,OUT!$D$2:$D$11000,"Out",OUT!$E$2:$E$11000,"Fix")</f>
        <v>2865413</v>
      </c>
      <c r="L88" s="52">
        <f ca="1">SUMIFS(OUT!$F$2:$F$11000,OUT!$H$2:$H$11000,H88,OUT!$D$2:$D$11000,"Out",OUT!$E$2:$E$11000,"Bathroom")</f>
        <v>120488</v>
      </c>
      <c r="M88" s="52">
        <f ca="1">SUMIFS(OUT!$F$2:$F$11000,OUT!$H$2:$H$11000,H88,OUT!$D$2:$D$11000,"Out",OUT!$E$2:$E$11000,"Alfa")</f>
        <v>890962</v>
      </c>
      <c r="N88" s="52" t="e">
        <f ca="1">SUMIFS(OUT!$F$2:$F$11000,OUT!$H$2:$H$101007,H88,OUT!$D$2:$D$11000,"Out",OUT!$E$2:$E$11000,"Jajan")</f>
        <v>#VALUE!</v>
      </c>
      <c r="O88" s="52">
        <f ca="1">SUMIFS(OUT!$F$2:$F$11000,OUT!$H$2:$H$11000,H88,OUT!$D$2:$D$11000,"Out",OUT!$E$2:$E$11000,"Kitchen")</f>
        <v>1152600</v>
      </c>
      <c r="P88" s="52">
        <f ca="1">SUMIFS(OUT!$F$2:$F$11000,OUT!$H$2:$H$11000,H88,OUT!$D$2:$D$11000,"Out",OUT!$E$2:$E$11000,"Loandry")</f>
        <v>41000</v>
      </c>
      <c r="Q88" s="52">
        <f ca="1">SUMIFS(OUT!$F$2:$F$11000,OUT!$H$2:$H$11000,H88,OUT!$D$2:$D$11000,"Out",OUT!$E$2:$E$11000,"Mio")</f>
        <v>895700</v>
      </c>
      <c r="R88" s="52">
        <f ca="1">SUMIFS(OUT!$F$2:$F$11000,OUT!$H$2:$H$11000,H88,OUT!$D$2:$D$11000,"Out",OUT!$E$2:$E$11000,"Sedekah")</f>
        <v>130000</v>
      </c>
      <c r="S88" s="52">
        <f ca="1">SUMIFS(OUT!$F$2:$F$11000,OUT!$H$2:$H$11000,H88,OUT!$D$2:$D$11000,"Out",OUT!$E$2:$E$11000,"Zela")</f>
        <v>215161</v>
      </c>
      <c r="T88" s="52">
        <f ca="1">SUMIFS(OUT!$F$2:$F$11000,OUT!$H$2:$H$11000,H88,OUT!$D$2:$D$11000,"Out",OUT!$E$2:$E$11000,"Iqbal")</f>
        <v>215000</v>
      </c>
    </row>
    <row r="89" spans="1:20" x14ac:dyDescent="0.2">
      <c r="A89" s="48">
        <f ca="1">IFERROR(__xludf.DUMMYFUNCTION("""COMPUTED_VALUE"""),46101)</f>
        <v>46101</v>
      </c>
      <c r="B89" s="4" t="str">
        <f ca="1">IFERROR(__xludf.DUMMYFUNCTION("""COMPUTED_VALUE"""),"Pertalite")</f>
        <v>Pertalite</v>
      </c>
      <c r="C89" s="4" t="str">
        <f ca="1">IFERROR(__xludf.DUMMYFUNCTION("""COMPUTED_VALUE"""),"Cash")</f>
        <v>Cash</v>
      </c>
      <c r="D89" s="4" t="str">
        <f ca="1">IFERROR(__xludf.DUMMYFUNCTION("""COMPUTED_VALUE"""),"Out")</f>
        <v>Out</v>
      </c>
      <c r="E89" s="4" t="str">
        <f ca="1">IFERROR(__xludf.DUMMYFUNCTION("""COMPUTED_VALUE"""),"Mio")</f>
        <v>Mio</v>
      </c>
      <c r="F89" s="49">
        <f ca="1">IFERROR(__xludf.DUMMYFUNCTION("""COMPUTED_VALUE"""),25000)</f>
        <v>25000</v>
      </c>
      <c r="G89" s="50" t="str">
        <f ca="1">IFERROR(__xludf.DUMMYFUNCTION("""COMPUTED_VALUE"""),"Ibal")</f>
        <v>Ibal</v>
      </c>
      <c r="H89" s="51">
        <f t="shared" ca="1" si="0"/>
        <v>46082</v>
      </c>
      <c r="I89" s="52" t="e">
        <f ca="1">SUMIFS(OUT!$F$2:$F$11000,OUT!$H$2:$H$11000,H89,OUT!$D$2:$D$101007,"In")</f>
        <v>#VALUE!</v>
      </c>
      <c r="J89" s="52">
        <f ca="1">SUMIFS(OUT!$F$2:$F$11000,OUT!$H$2:$H$11000,H89,OUT!$D$2:$D$11000,"Out")</f>
        <v>12026623</v>
      </c>
      <c r="K89" s="52">
        <f ca="1">SUMIFS(OUT!$F$2:$F$11000,OUT!$H$2:$H$11000,H89,OUT!$D$2:$D$11000,"Out",OUT!$E$2:$E$11000,"Fix")</f>
        <v>2865413</v>
      </c>
      <c r="L89" s="52">
        <f ca="1">SUMIFS(OUT!$F$2:$F$11000,OUT!$H$2:$H$11000,H89,OUT!$D$2:$D$11000,"Out",OUT!$E$2:$E$11000,"Bathroom")</f>
        <v>120488</v>
      </c>
      <c r="M89" s="52">
        <f ca="1">SUMIFS(OUT!$F$2:$F$11000,OUT!$H$2:$H$11000,H89,OUT!$D$2:$D$11000,"Out",OUT!$E$2:$E$11000,"Alfa")</f>
        <v>890962</v>
      </c>
      <c r="N89" s="52" t="e">
        <f ca="1">SUMIFS(OUT!$F$2:$F$11000,OUT!$H$2:$H$101007,H89,OUT!$D$2:$D$11000,"Out",OUT!$E$2:$E$11000,"Jajan")</f>
        <v>#VALUE!</v>
      </c>
      <c r="O89" s="52">
        <f ca="1">SUMIFS(OUT!$F$2:$F$11000,OUT!$H$2:$H$11000,H89,OUT!$D$2:$D$11000,"Out",OUT!$E$2:$E$11000,"Kitchen")</f>
        <v>1152600</v>
      </c>
      <c r="P89" s="52">
        <f ca="1">SUMIFS(OUT!$F$2:$F$11000,OUT!$H$2:$H$11000,H89,OUT!$D$2:$D$11000,"Out",OUT!$E$2:$E$11000,"Loandry")</f>
        <v>41000</v>
      </c>
      <c r="Q89" s="52">
        <f ca="1">SUMIFS(OUT!$F$2:$F$11000,OUT!$H$2:$H$11000,H89,OUT!$D$2:$D$11000,"Out",OUT!$E$2:$E$11000,"Mio")</f>
        <v>895700</v>
      </c>
      <c r="R89" s="52">
        <f ca="1">SUMIFS(OUT!$F$2:$F$11000,OUT!$H$2:$H$11000,H89,OUT!$D$2:$D$11000,"Out",OUT!$E$2:$E$11000,"Sedekah")</f>
        <v>130000</v>
      </c>
      <c r="S89" s="52">
        <f ca="1">SUMIFS(OUT!$F$2:$F$11000,OUT!$H$2:$H$11000,H89,OUT!$D$2:$D$11000,"Out",OUT!$E$2:$E$11000,"Zela")</f>
        <v>215161</v>
      </c>
      <c r="T89" s="52">
        <f ca="1">SUMIFS(OUT!$F$2:$F$11000,OUT!$H$2:$H$11000,H89,OUT!$D$2:$D$11000,"Out",OUT!$E$2:$E$11000,"Iqbal")</f>
        <v>215000</v>
      </c>
    </row>
    <row r="90" spans="1:20" x14ac:dyDescent="0.2">
      <c r="A90" s="48">
        <f ca="1">IFERROR(__xludf.DUMMYFUNCTION("""COMPUTED_VALUE"""),46101)</f>
        <v>46101</v>
      </c>
      <c r="B90" s="4" t="str">
        <f ca="1">IFERROR(__xludf.DUMMYFUNCTION("""COMPUTED_VALUE"""),"Liquid pink beach (second)")</f>
        <v>Liquid pink beach (second)</v>
      </c>
      <c r="C90" s="4" t="str">
        <f ca="1">IFERROR(__xludf.DUMMYFUNCTION("""COMPUTED_VALUE"""),"Cash")</f>
        <v>Cash</v>
      </c>
      <c r="D90" s="4" t="str">
        <f ca="1">IFERROR(__xludf.DUMMYFUNCTION("""COMPUTED_VALUE"""),"Out")</f>
        <v>Out</v>
      </c>
      <c r="E90" s="4" t="str">
        <f ca="1">IFERROR(__xludf.DUMMYFUNCTION("""COMPUTED_VALUE"""),"Iqbal")</f>
        <v>Iqbal</v>
      </c>
      <c r="F90" s="49">
        <f ca="1">IFERROR(__xludf.DUMMYFUNCTION("""COMPUTED_VALUE"""),50000)</f>
        <v>50000</v>
      </c>
      <c r="G90" s="50" t="str">
        <f ca="1">IFERROR(__xludf.DUMMYFUNCTION("""COMPUTED_VALUE"""),"Ibal")</f>
        <v>Ibal</v>
      </c>
      <c r="H90" s="51">
        <f t="shared" ca="1" si="0"/>
        <v>46082</v>
      </c>
      <c r="I90" s="52" t="e">
        <f ca="1">SUMIFS(OUT!$F$2:$F$11000,OUT!$H$2:$H$11000,H90,OUT!$D$2:$D$101007,"In")</f>
        <v>#VALUE!</v>
      </c>
      <c r="J90" s="52">
        <f ca="1">SUMIFS(OUT!$F$2:$F$11000,OUT!$H$2:$H$11000,H90,OUT!$D$2:$D$11000,"Out")</f>
        <v>12026623</v>
      </c>
      <c r="K90" s="52">
        <f ca="1">SUMIFS(OUT!$F$2:$F$11000,OUT!$H$2:$H$11000,H90,OUT!$D$2:$D$11000,"Out",OUT!$E$2:$E$11000,"Fix")</f>
        <v>2865413</v>
      </c>
      <c r="L90" s="52">
        <f ca="1">SUMIFS(OUT!$F$2:$F$11000,OUT!$H$2:$H$11000,H90,OUT!$D$2:$D$11000,"Out",OUT!$E$2:$E$11000,"Bathroom")</f>
        <v>120488</v>
      </c>
      <c r="M90" s="52">
        <f ca="1">SUMIFS(OUT!$F$2:$F$11000,OUT!$H$2:$H$11000,H90,OUT!$D$2:$D$11000,"Out",OUT!$E$2:$E$11000,"Alfa")</f>
        <v>890962</v>
      </c>
      <c r="N90" s="52" t="e">
        <f ca="1">SUMIFS(OUT!$F$2:$F$11000,OUT!$H$2:$H$101007,H90,OUT!$D$2:$D$11000,"Out",OUT!$E$2:$E$11000,"Jajan")</f>
        <v>#VALUE!</v>
      </c>
      <c r="O90" s="52">
        <f ca="1">SUMIFS(OUT!$F$2:$F$11000,OUT!$H$2:$H$11000,H90,OUT!$D$2:$D$11000,"Out",OUT!$E$2:$E$11000,"Kitchen")</f>
        <v>1152600</v>
      </c>
      <c r="P90" s="52">
        <f ca="1">SUMIFS(OUT!$F$2:$F$11000,OUT!$H$2:$H$11000,H90,OUT!$D$2:$D$11000,"Out",OUT!$E$2:$E$11000,"Loandry")</f>
        <v>41000</v>
      </c>
      <c r="Q90" s="52">
        <f ca="1">SUMIFS(OUT!$F$2:$F$11000,OUT!$H$2:$H$11000,H90,OUT!$D$2:$D$11000,"Out",OUT!$E$2:$E$11000,"Mio")</f>
        <v>895700</v>
      </c>
      <c r="R90" s="52">
        <f ca="1">SUMIFS(OUT!$F$2:$F$11000,OUT!$H$2:$H$11000,H90,OUT!$D$2:$D$11000,"Out",OUT!$E$2:$E$11000,"Sedekah")</f>
        <v>130000</v>
      </c>
      <c r="S90" s="52">
        <f ca="1">SUMIFS(OUT!$F$2:$F$11000,OUT!$H$2:$H$11000,H90,OUT!$D$2:$D$11000,"Out",OUT!$E$2:$E$11000,"Zela")</f>
        <v>215161</v>
      </c>
      <c r="T90" s="52">
        <f ca="1">SUMIFS(OUT!$F$2:$F$11000,OUT!$H$2:$H$11000,H90,OUT!$D$2:$D$11000,"Out",OUT!$E$2:$E$11000,"Iqbal")</f>
        <v>215000</v>
      </c>
    </row>
    <row r="91" spans="1:20" x14ac:dyDescent="0.2">
      <c r="A91" s="48">
        <f ca="1">IFERROR(__xludf.DUMMYFUNCTION("""COMPUTED_VALUE"""),46101)</f>
        <v>46101</v>
      </c>
      <c r="B91" s="4" t="str">
        <f ca="1">IFERROR(__xludf.DUMMYFUNCTION("""COMPUTED_VALUE"""),"Odol + sikat gigi alfa")</f>
        <v>Odol + sikat gigi alfa</v>
      </c>
      <c r="C91" s="4" t="str">
        <f ca="1">IFERROR(__xludf.DUMMYFUNCTION("""COMPUTED_VALUE"""),"Cash")</f>
        <v>Cash</v>
      </c>
      <c r="D91" s="4" t="str">
        <f ca="1">IFERROR(__xludf.DUMMYFUNCTION("""COMPUTED_VALUE"""),"Out")</f>
        <v>Out</v>
      </c>
      <c r="E91" s="4" t="str">
        <f ca="1">IFERROR(__xludf.DUMMYFUNCTION("""COMPUTED_VALUE"""),"Alfa")</f>
        <v>Alfa</v>
      </c>
      <c r="F91" s="49">
        <f ca="1">IFERROR(__xludf.DUMMYFUNCTION("""COMPUTED_VALUE"""),9000)</f>
        <v>9000</v>
      </c>
      <c r="G91" s="50" t="str">
        <f ca="1">IFERROR(__xludf.DUMMYFUNCTION("""COMPUTED_VALUE"""),"Ibal")</f>
        <v>Ibal</v>
      </c>
      <c r="H91" s="51">
        <f t="shared" ca="1" si="0"/>
        <v>46082</v>
      </c>
      <c r="I91" s="52" t="e">
        <f ca="1">SUMIFS(OUT!$F$2:$F$11000,OUT!$H$2:$H$11000,H91,OUT!$D$2:$D$101007,"In")</f>
        <v>#VALUE!</v>
      </c>
      <c r="J91" s="52">
        <f ca="1">SUMIFS(OUT!$F$2:$F$11000,OUT!$H$2:$H$11000,H91,OUT!$D$2:$D$11000,"Out")</f>
        <v>12026623</v>
      </c>
      <c r="K91" s="52">
        <f ca="1">SUMIFS(OUT!$F$2:$F$11000,OUT!$H$2:$H$11000,H91,OUT!$D$2:$D$11000,"Out",OUT!$E$2:$E$11000,"Fix")</f>
        <v>2865413</v>
      </c>
      <c r="L91" s="52">
        <f ca="1">SUMIFS(OUT!$F$2:$F$11000,OUT!$H$2:$H$11000,H91,OUT!$D$2:$D$11000,"Out",OUT!$E$2:$E$11000,"Bathroom")</f>
        <v>120488</v>
      </c>
      <c r="M91" s="52">
        <f ca="1">SUMIFS(OUT!$F$2:$F$11000,OUT!$H$2:$H$11000,H91,OUT!$D$2:$D$11000,"Out",OUT!$E$2:$E$11000,"Alfa")</f>
        <v>890962</v>
      </c>
      <c r="N91" s="52" t="e">
        <f ca="1">SUMIFS(OUT!$F$2:$F$11000,OUT!$H$2:$H$101007,H91,OUT!$D$2:$D$11000,"Out",OUT!$E$2:$E$11000,"Jajan")</f>
        <v>#VALUE!</v>
      </c>
      <c r="O91" s="52">
        <f ca="1">SUMIFS(OUT!$F$2:$F$11000,OUT!$H$2:$H$11000,H91,OUT!$D$2:$D$11000,"Out",OUT!$E$2:$E$11000,"Kitchen")</f>
        <v>1152600</v>
      </c>
      <c r="P91" s="52">
        <f ca="1">SUMIFS(OUT!$F$2:$F$11000,OUT!$H$2:$H$11000,H91,OUT!$D$2:$D$11000,"Out",OUT!$E$2:$E$11000,"Loandry")</f>
        <v>41000</v>
      </c>
      <c r="Q91" s="52">
        <f ca="1">SUMIFS(OUT!$F$2:$F$11000,OUT!$H$2:$H$11000,H91,OUT!$D$2:$D$11000,"Out",OUT!$E$2:$E$11000,"Mio")</f>
        <v>895700</v>
      </c>
      <c r="R91" s="52">
        <f ca="1">SUMIFS(OUT!$F$2:$F$11000,OUT!$H$2:$H$11000,H91,OUT!$D$2:$D$11000,"Out",OUT!$E$2:$E$11000,"Sedekah")</f>
        <v>130000</v>
      </c>
      <c r="S91" s="52">
        <f ca="1">SUMIFS(OUT!$F$2:$F$11000,OUT!$H$2:$H$11000,H91,OUT!$D$2:$D$11000,"Out",OUT!$E$2:$E$11000,"Zela")</f>
        <v>215161</v>
      </c>
      <c r="T91" s="52">
        <f ca="1">SUMIFS(OUT!$F$2:$F$11000,OUT!$H$2:$H$11000,H91,OUT!$D$2:$D$11000,"Out",OUT!$E$2:$E$11000,"Iqbal")</f>
        <v>215000</v>
      </c>
    </row>
    <row r="92" spans="1:20" x14ac:dyDescent="0.2">
      <c r="A92" s="48">
        <f ca="1">IFERROR(__xludf.DUMMYFUNCTION("""COMPUTED_VALUE"""),46101)</f>
        <v>46101</v>
      </c>
      <c r="B92" s="4" t="str">
        <f ca="1">IFERROR(__xludf.DUMMYFUNCTION("""COMPUTED_VALUE"""),"Catride (2)")</f>
        <v>Catride (2)</v>
      </c>
      <c r="C92" s="4" t="str">
        <f ca="1">IFERROR(__xludf.DUMMYFUNCTION("""COMPUTED_VALUE"""),"ATM")</f>
        <v>ATM</v>
      </c>
      <c r="D92" s="4" t="str">
        <f ca="1">IFERROR(__xludf.DUMMYFUNCTION("""COMPUTED_VALUE"""),"Out")</f>
        <v>Out</v>
      </c>
      <c r="E92" s="4" t="str">
        <f ca="1">IFERROR(__xludf.DUMMYFUNCTION("""COMPUTED_VALUE"""),"Iqbal")</f>
        <v>Iqbal</v>
      </c>
      <c r="F92" s="49">
        <f ca="1">IFERROR(__xludf.DUMMYFUNCTION("""COMPUTED_VALUE"""),80000)</f>
        <v>80000</v>
      </c>
      <c r="G92" s="50" t="str">
        <f ca="1">IFERROR(__xludf.DUMMYFUNCTION("""COMPUTED_VALUE"""),"Ibal")</f>
        <v>Ibal</v>
      </c>
      <c r="H92" s="51">
        <f t="shared" ca="1" si="0"/>
        <v>46082</v>
      </c>
      <c r="I92" s="52" t="e">
        <f ca="1">SUMIFS(OUT!$F$2:$F$11000,OUT!$H$2:$H$11000,H92,OUT!$D$2:$D$101007,"In")</f>
        <v>#VALUE!</v>
      </c>
      <c r="J92" s="52">
        <f ca="1">SUMIFS(OUT!$F$2:$F$11000,OUT!$H$2:$H$11000,H92,OUT!$D$2:$D$11000,"Out")</f>
        <v>12026623</v>
      </c>
      <c r="K92" s="52">
        <f ca="1">SUMIFS(OUT!$F$2:$F$11000,OUT!$H$2:$H$11000,H92,OUT!$D$2:$D$11000,"Out",OUT!$E$2:$E$11000,"Fix")</f>
        <v>2865413</v>
      </c>
      <c r="L92" s="52">
        <f ca="1">SUMIFS(OUT!$F$2:$F$11000,OUT!$H$2:$H$11000,H92,OUT!$D$2:$D$11000,"Out",OUT!$E$2:$E$11000,"Bathroom")</f>
        <v>120488</v>
      </c>
      <c r="M92" s="52">
        <f ca="1">SUMIFS(OUT!$F$2:$F$11000,OUT!$H$2:$H$11000,H92,OUT!$D$2:$D$11000,"Out",OUT!$E$2:$E$11000,"Alfa")</f>
        <v>890962</v>
      </c>
      <c r="N92" s="52" t="e">
        <f ca="1">SUMIFS(OUT!$F$2:$F$11000,OUT!$H$2:$H$101007,H92,OUT!$D$2:$D$11000,"Out",OUT!$E$2:$E$11000,"Jajan")</f>
        <v>#VALUE!</v>
      </c>
      <c r="O92" s="52">
        <f ca="1">SUMIFS(OUT!$F$2:$F$11000,OUT!$H$2:$H$11000,H92,OUT!$D$2:$D$11000,"Out",OUT!$E$2:$E$11000,"Kitchen")</f>
        <v>1152600</v>
      </c>
      <c r="P92" s="52">
        <f ca="1">SUMIFS(OUT!$F$2:$F$11000,OUT!$H$2:$H$11000,H92,OUT!$D$2:$D$11000,"Out",OUT!$E$2:$E$11000,"Loandry")</f>
        <v>41000</v>
      </c>
      <c r="Q92" s="52">
        <f ca="1">SUMIFS(OUT!$F$2:$F$11000,OUT!$H$2:$H$11000,H92,OUT!$D$2:$D$11000,"Out",OUT!$E$2:$E$11000,"Mio")</f>
        <v>895700</v>
      </c>
      <c r="R92" s="52">
        <f ca="1">SUMIFS(OUT!$F$2:$F$11000,OUT!$H$2:$H$11000,H92,OUT!$D$2:$D$11000,"Out",OUT!$E$2:$E$11000,"Sedekah")</f>
        <v>130000</v>
      </c>
      <c r="S92" s="52">
        <f ca="1">SUMIFS(OUT!$F$2:$F$11000,OUT!$H$2:$H$11000,H92,OUT!$D$2:$D$11000,"Out",OUT!$E$2:$E$11000,"Zela")</f>
        <v>215161</v>
      </c>
      <c r="T92" s="52">
        <f ca="1">SUMIFS(OUT!$F$2:$F$11000,OUT!$H$2:$H$11000,H92,OUT!$D$2:$D$11000,"Out",OUT!$E$2:$E$11000,"Iqbal")</f>
        <v>215000</v>
      </c>
    </row>
    <row r="93" spans="1:20" x14ac:dyDescent="0.2">
      <c r="A93" s="48">
        <f ca="1">IFERROR(__xludf.DUMMYFUNCTION("""COMPUTED_VALUE"""),46101)</f>
        <v>46101</v>
      </c>
      <c r="B93" s="4" t="str">
        <f ca="1">IFERROR(__xludf.DUMMYFUNCTION("""COMPUTED_VALUE"""),"Duo Sus (1kg)")</f>
        <v>Duo Sus (1kg)</v>
      </c>
      <c r="C93" s="4" t="str">
        <f ca="1">IFERROR(__xludf.DUMMYFUNCTION("""COMPUTED_VALUE"""),"ATM")</f>
        <v>ATM</v>
      </c>
      <c r="D93" s="4" t="str">
        <f ca="1">IFERROR(__xludf.DUMMYFUNCTION("""COMPUTED_VALUE"""),"Out")</f>
        <v>Out</v>
      </c>
      <c r="E93" s="4" t="str">
        <f ca="1">IFERROR(__xludf.DUMMYFUNCTION("""COMPUTED_VALUE"""),"Jajan")</f>
        <v>Jajan</v>
      </c>
      <c r="F93" s="49">
        <f ca="1">IFERROR(__xludf.DUMMYFUNCTION("""COMPUTED_VALUE"""),60000)</f>
        <v>60000</v>
      </c>
      <c r="G93" s="50" t="str">
        <f ca="1">IFERROR(__xludf.DUMMYFUNCTION("""COMPUTED_VALUE"""),"Ibal")</f>
        <v>Ibal</v>
      </c>
      <c r="H93" s="51">
        <f t="shared" ca="1" si="0"/>
        <v>46082</v>
      </c>
      <c r="I93" s="52" t="e">
        <f ca="1">SUMIFS(OUT!$F$2:$F$11000,OUT!$H$2:$H$11000,H93,OUT!$D$2:$D$101007,"In")</f>
        <v>#VALUE!</v>
      </c>
      <c r="J93" s="52">
        <f ca="1">SUMIFS(OUT!$F$2:$F$11000,OUT!$H$2:$H$11000,H93,OUT!$D$2:$D$11000,"Out")</f>
        <v>12026623</v>
      </c>
      <c r="K93" s="52">
        <f ca="1">SUMIFS(OUT!$F$2:$F$11000,OUT!$H$2:$H$11000,H93,OUT!$D$2:$D$11000,"Out",OUT!$E$2:$E$11000,"Fix")</f>
        <v>2865413</v>
      </c>
      <c r="L93" s="52">
        <f ca="1">SUMIFS(OUT!$F$2:$F$11000,OUT!$H$2:$H$11000,H93,OUT!$D$2:$D$11000,"Out",OUT!$E$2:$E$11000,"Bathroom")</f>
        <v>120488</v>
      </c>
      <c r="M93" s="52">
        <f ca="1">SUMIFS(OUT!$F$2:$F$11000,OUT!$H$2:$H$11000,H93,OUT!$D$2:$D$11000,"Out",OUT!$E$2:$E$11000,"Alfa")</f>
        <v>890962</v>
      </c>
      <c r="N93" s="52" t="e">
        <f ca="1">SUMIFS(OUT!$F$2:$F$11000,OUT!$H$2:$H$101007,H93,OUT!$D$2:$D$11000,"Out",OUT!$E$2:$E$11000,"Jajan")</f>
        <v>#VALUE!</v>
      </c>
      <c r="O93" s="52">
        <f ca="1">SUMIFS(OUT!$F$2:$F$11000,OUT!$H$2:$H$11000,H93,OUT!$D$2:$D$11000,"Out",OUT!$E$2:$E$11000,"Kitchen")</f>
        <v>1152600</v>
      </c>
      <c r="P93" s="52">
        <f ca="1">SUMIFS(OUT!$F$2:$F$11000,OUT!$H$2:$H$11000,H93,OUT!$D$2:$D$11000,"Out",OUT!$E$2:$E$11000,"Loandry")</f>
        <v>41000</v>
      </c>
      <c r="Q93" s="52">
        <f ca="1">SUMIFS(OUT!$F$2:$F$11000,OUT!$H$2:$H$11000,H93,OUT!$D$2:$D$11000,"Out",OUT!$E$2:$E$11000,"Mio")</f>
        <v>895700</v>
      </c>
      <c r="R93" s="52">
        <f ca="1">SUMIFS(OUT!$F$2:$F$11000,OUT!$H$2:$H$11000,H93,OUT!$D$2:$D$11000,"Out",OUT!$E$2:$E$11000,"Sedekah")</f>
        <v>130000</v>
      </c>
      <c r="S93" s="52">
        <f ca="1">SUMIFS(OUT!$F$2:$F$11000,OUT!$H$2:$H$11000,H93,OUT!$D$2:$D$11000,"Out",OUT!$E$2:$E$11000,"Zela")</f>
        <v>215161</v>
      </c>
      <c r="T93" s="52">
        <f ca="1">SUMIFS(OUT!$F$2:$F$11000,OUT!$H$2:$H$11000,H93,OUT!$D$2:$D$11000,"Out",OUT!$E$2:$E$11000,"Iqbal")</f>
        <v>215000</v>
      </c>
    </row>
    <row r="94" spans="1:20" x14ac:dyDescent="0.2">
      <c r="A94" s="48">
        <f ca="1">IFERROR(__xludf.DUMMYFUNCTION("""COMPUTED_VALUE"""),46101)</f>
        <v>46101</v>
      </c>
      <c r="B94" s="4" t="str">
        <f ca="1">IFERROR(__xludf.DUMMYFUNCTION("""COMPUTED_VALUE"""),"Catride + liquid tomi")</f>
        <v>Catride + liquid tomi</v>
      </c>
      <c r="C94" s="4" t="str">
        <f ca="1">IFERROR(__xludf.DUMMYFUNCTION("""COMPUTED_VALUE"""),"ATM")</f>
        <v>ATM</v>
      </c>
      <c r="D94" s="4" t="str">
        <f ca="1">IFERROR(__xludf.DUMMYFUNCTION("""COMPUTED_VALUE"""),"Out")</f>
        <v>Out</v>
      </c>
      <c r="E94" s="4" t="str">
        <f ca="1">IFERROR(__xludf.DUMMYFUNCTION("""COMPUTED_VALUE"""),"Jajan")</f>
        <v>Jajan</v>
      </c>
      <c r="F94" s="49">
        <f ca="1">IFERROR(__xludf.DUMMYFUNCTION("""COMPUTED_VALUE"""),195000)</f>
        <v>195000</v>
      </c>
      <c r="G94" s="50" t="str">
        <f ca="1">IFERROR(__xludf.DUMMYFUNCTION("""COMPUTED_VALUE"""),"Ibal")</f>
        <v>Ibal</v>
      </c>
      <c r="H94" s="51">
        <f t="shared" ca="1" si="0"/>
        <v>46082</v>
      </c>
      <c r="I94" s="52" t="e">
        <f ca="1">SUMIFS(OUT!$F$2:$F$11000,OUT!$H$2:$H$11000,H94,OUT!$D$2:$D$101007,"In")</f>
        <v>#VALUE!</v>
      </c>
      <c r="J94" s="52">
        <f ca="1">SUMIFS(OUT!$F$2:$F$11000,OUT!$H$2:$H$11000,H94,OUT!$D$2:$D$11000,"Out")</f>
        <v>12026623</v>
      </c>
      <c r="K94" s="52">
        <f ca="1">SUMIFS(OUT!$F$2:$F$11000,OUT!$H$2:$H$11000,H94,OUT!$D$2:$D$11000,"Out",OUT!$E$2:$E$11000,"Fix")</f>
        <v>2865413</v>
      </c>
      <c r="L94" s="52">
        <f ca="1">SUMIFS(OUT!$F$2:$F$11000,OUT!$H$2:$H$11000,H94,OUT!$D$2:$D$11000,"Out",OUT!$E$2:$E$11000,"Bathroom")</f>
        <v>120488</v>
      </c>
      <c r="M94" s="52">
        <f ca="1">SUMIFS(OUT!$F$2:$F$11000,OUT!$H$2:$H$11000,H94,OUT!$D$2:$D$11000,"Out",OUT!$E$2:$E$11000,"Alfa")</f>
        <v>890962</v>
      </c>
      <c r="N94" s="52" t="e">
        <f ca="1">SUMIFS(OUT!$F$2:$F$11000,OUT!$H$2:$H$101007,H94,OUT!$D$2:$D$11000,"Out",OUT!$E$2:$E$11000,"Jajan")</f>
        <v>#VALUE!</v>
      </c>
      <c r="O94" s="52">
        <f ca="1">SUMIFS(OUT!$F$2:$F$11000,OUT!$H$2:$H$11000,H94,OUT!$D$2:$D$11000,"Out",OUT!$E$2:$E$11000,"Kitchen")</f>
        <v>1152600</v>
      </c>
      <c r="P94" s="52">
        <f ca="1">SUMIFS(OUT!$F$2:$F$11000,OUT!$H$2:$H$11000,H94,OUT!$D$2:$D$11000,"Out",OUT!$E$2:$E$11000,"Loandry")</f>
        <v>41000</v>
      </c>
      <c r="Q94" s="52">
        <f ca="1">SUMIFS(OUT!$F$2:$F$11000,OUT!$H$2:$H$11000,H94,OUT!$D$2:$D$11000,"Out",OUT!$E$2:$E$11000,"Mio")</f>
        <v>895700</v>
      </c>
      <c r="R94" s="52">
        <f ca="1">SUMIFS(OUT!$F$2:$F$11000,OUT!$H$2:$H$11000,H94,OUT!$D$2:$D$11000,"Out",OUT!$E$2:$E$11000,"Sedekah")</f>
        <v>130000</v>
      </c>
      <c r="S94" s="52">
        <f ca="1">SUMIFS(OUT!$F$2:$F$11000,OUT!$H$2:$H$11000,H94,OUT!$D$2:$D$11000,"Out",OUT!$E$2:$E$11000,"Zela")</f>
        <v>215161</v>
      </c>
      <c r="T94" s="52">
        <f ca="1">SUMIFS(OUT!$F$2:$F$11000,OUT!$H$2:$H$11000,H94,OUT!$D$2:$D$11000,"Out",OUT!$E$2:$E$11000,"Iqbal")</f>
        <v>215000</v>
      </c>
    </row>
    <row r="95" spans="1:20" x14ac:dyDescent="0.2">
      <c r="A95" s="48">
        <f ca="1">IFERROR(__xludf.DUMMYFUNCTION("""COMPUTED_VALUE"""),46101)</f>
        <v>46101</v>
      </c>
      <c r="B95" s="4" t="str">
        <f ca="1">IFERROR(__xludf.DUMMYFUNCTION("""COMPUTED_VALUE"""),"Catride + liquid tomi")</f>
        <v>Catride + liquid tomi</v>
      </c>
      <c r="C95" s="4" t="str">
        <f ca="1">IFERROR(__xludf.DUMMYFUNCTION("""COMPUTED_VALUE"""),"Cash")</f>
        <v>Cash</v>
      </c>
      <c r="D95" s="4" t="str">
        <f ca="1">IFERROR(__xludf.DUMMYFUNCTION("""COMPUTED_VALUE"""),"In")</f>
        <v>In</v>
      </c>
      <c r="E95" s="4" t="str">
        <f ca="1">IFERROR(__xludf.DUMMYFUNCTION("""COMPUTED_VALUE"""),"Fix")</f>
        <v>Fix</v>
      </c>
      <c r="F95" s="49">
        <f ca="1">IFERROR(__xludf.DUMMYFUNCTION("""COMPUTED_VALUE"""),200000)</f>
        <v>200000</v>
      </c>
      <c r="G95" s="50" t="str">
        <f ca="1">IFERROR(__xludf.DUMMYFUNCTION("""COMPUTED_VALUE"""),"Ibal")</f>
        <v>Ibal</v>
      </c>
      <c r="H95" s="51">
        <f t="shared" ca="1" si="0"/>
        <v>46082</v>
      </c>
      <c r="I95" s="52" t="e">
        <f ca="1">SUMIFS(OUT!$F$2:$F$11000,OUT!$H$2:$H$11000,H95,OUT!$D$2:$D$101007,"In")</f>
        <v>#VALUE!</v>
      </c>
      <c r="J95" s="52">
        <f ca="1">SUMIFS(OUT!$F$2:$F$11000,OUT!$H$2:$H$11000,H95,OUT!$D$2:$D$11000,"Out")</f>
        <v>12026623</v>
      </c>
      <c r="K95" s="52">
        <f ca="1">SUMIFS(OUT!$F$2:$F$11000,OUT!$H$2:$H$11000,H95,OUT!$D$2:$D$11000,"Out",OUT!$E$2:$E$11000,"Fix")</f>
        <v>2865413</v>
      </c>
      <c r="L95" s="52">
        <f ca="1">SUMIFS(OUT!$F$2:$F$11000,OUT!$H$2:$H$11000,H95,OUT!$D$2:$D$11000,"Out",OUT!$E$2:$E$11000,"Bathroom")</f>
        <v>120488</v>
      </c>
      <c r="M95" s="52">
        <f ca="1">SUMIFS(OUT!$F$2:$F$11000,OUT!$H$2:$H$11000,H95,OUT!$D$2:$D$11000,"Out",OUT!$E$2:$E$11000,"Alfa")</f>
        <v>890962</v>
      </c>
      <c r="N95" s="52" t="e">
        <f ca="1">SUMIFS(OUT!$F$2:$F$11000,OUT!$H$2:$H$101007,H95,OUT!$D$2:$D$11000,"Out",OUT!$E$2:$E$11000,"Jajan")</f>
        <v>#VALUE!</v>
      </c>
      <c r="O95" s="52">
        <f ca="1">SUMIFS(OUT!$F$2:$F$11000,OUT!$H$2:$H$11000,H95,OUT!$D$2:$D$11000,"Out",OUT!$E$2:$E$11000,"Kitchen")</f>
        <v>1152600</v>
      </c>
      <c r="P95" s="52">
        <f ca="1">SUMIFS(OUT!$F$2:$F$11000,OUT!$H$2:$H$11000,H95,OUT!$D$2:$D$11000,"Out",OUT!$E$2:$E$11000,"Loandry")</f>
        <v>41000</v>
      </c>
      <c r="Q95" s="52">
        <f ca="1">SUMIFS(OUT!$F$2:$F$11000,OUT!$H$2:$H$11000,H95,OUT!$D$2:$D$11000,"Out",OUT!$E$2:$E$11000,"Mio")</f>
        <v>895700</v>
      </c>
      <c r="R95" s="52">
        <f ca="1">SUMIFS(OUT!$F$2:$F$11000,OUT!$H$2:$H$11000,H95,OUT!$D$2:$D$11000,"Out",OUT!$E$2:$E$11000,"Sedekah")</f>
        <v>130000</v>
      </c>
      <c r="S95" s="52">
        <f ca="1">SUMIFS(OUT!$F$2:$F$11000,OUT!$H$2:$H$11000,H95,OUT!$D$2:$D$11000,"Out",OUT!$E$2:$E$11000,"Zela")</f>
        <v>215161</v>
      </c>
      <c r="T95" s="52">
        <f ca="1">SUMIFS(OUT!$F$2:$F$11000,OUT!$H$2:$H$11000,H95,OUT!$D$2:$D$11000,"Out",OUT!$E$2:$E$11000,"Iqbal")</f>
        <v>215000</v>
      </c>
    </row>
    <row r="96" spans="1:20" x14ac:dyDescent="0.2">
      <c r="A96" s="48">
        <f ca="1">IFERROR(__xludf.DUMMYFUNCTION("""COMPUTED_VALUE"""),46102)</f>
        <v>46102</v>
      </c>
      <c r="B96" s="4" t="str">
        <f ca="1">IFERROR(__xludf.DUMMYFUNCTION("""COMPUTED_VALUE"""),"Eskrim Jagung (5) + UHT (1) + Yogourt (3)")</f>
        <v>Eskrim Jagung (5) + UHT (1) + Yogourt (3)</v>
      </c>
      <c r="C96" s="4" t="str">
        <f ca="1">IFERROR(__xludf.DUMMYFUNCTION("""COMPUTED_VALUE"""),"Cash")</f>
        <v>Cash</v>
      </c>
      <c r="D96" s="4" t="str">
        <f ca="1">IFERROR(__xludf.DUMMYFUNCTION("""COMPUTED_VALUE"""),"Out")</f>
        <v>Out</v>
      </c>
      <c r="E96" s="4" t="str">
        <f ca="1">IFERROR(__xludf.DUMMYFUNCTION("""COMPUTED_VALUE"""),"Jajan")</f>
        <v>Jajan</v>
      </c>
      <c r="F96" s="49">
        <f ca="1">IFERROR(__xludf.DUMMYFUNCTION("""COMPUTED_VALUE"""),48800)</f>
        <v>48800</v>
      </c>
      <c r="G96" s="50" t="str">
        <f ca="1">IFERROR(__xludf.DUMMYFUNCTION("""COMPUTED_VALUE"""),"Ibal")</f>
        <v>Ibal</v>
      </c>
      <c r="H96" s="51">
        <f t="shared" ca="1" si="0"/>
        <v>46082</v>
      </c>
      <c r="I96" s="52" t="e">
        <f ca="1">SUMIFS(OUT!$F$2:$F$11000,OUT!$H$2:$H$11000,H96,OUT!$D$2:$D$101007,"In")</f>
        <v>#VALUE!</v>
      </c>
      <c r="J96" s="52">
        <f ca="1">SUMIFS(OUT!$F$2:$F$11000,OUT!$H$2:$H$11000,H96,OUT!$D$2:$D$11000,"Out")</f>
        <v>12026623</v>
      </c>
      <c r="K96" s="52">
        <f ca="1">SUMIFS(OUT!$F$2:$F$11000,OUT!$H$2:$H$11000,H96,OUT!$D$2:$D$11000,"Out",OUT!$E$2:$E$11000,"Fix")</f>
        <v>2865413</v>
      </c>
      <c r="L96" s="52">
        <f ca="1">SUMIFS(OUT!$F$2:$F$11000,OUT!$H$2:$H$11000,H96,OUT!$D$2:$D$11000,"Out",OUT!$E$2:$E$11000,"Bathroom")</f>
        <v>120488</v>
      </c>
      <c r="M96" s="52">
        <f ca="1">SUMIFS(OUT!$F$2:$F$11000,OUT!$H$2:$H$11000,H96,OUT!$D$2:$D$11000,"Out",OUT!$E$2:$E$11000,"Alfa")</f>
        <v>890962</v>
      </c>
      <c r="N96" s="52" t="e">
        <f ca="1">SUMIFS(OUT!$F$2:$F$11000,OUT!$H$2:$H$101007,H96,OUT!$D$2:$D$11000,"Out",OUT!$E$2:$E$11000,"Jajan")</f>
        <v>#VALUE!</v>
      </c>
      <c r="O96" s="52">
        <f ca="1">SUMIFS(OUT!$F$2:$F$11000,OUT!$H$2:$H$11000,H96,OUT!$D$2:$D$11000,"Out",OUT!$E$2:$E$11000,"Kitchen")</f>
        <v>1152600</v>
      </c>
      <c r="P96" s="52">
        <f ca="1">SUMIFS(OUT!$F$2:$F$11000,OUT!$H$2:$H$11000,H96,OUT!$D$2:$D$11000,"Out",OUT!$E$2:$E$11000,"Loandry")</f>
        <v>41000</v>
      </c>
      <c r="Q96" s="52">
        <f ca="1">SUMIFS(OUT!$F$2:$F$11000,OUT!$H$2:$H$11000,H96,OUT!$D$2:$D$11000,"Out",OUT!$E$2:$E$11000,"Mio")</f>
        <v>895700</v>
      </c>
      <c r="R96" s="52">
        <f ca="1">SUMIFS(OUT!$F$2:$F$11000,OUT!$H$2:$H$11000,H96,OUT!$D$2:$D$11000,"Out",OUT!$E$2:$E$11000,"Sedekah")</f>
        <v>130000</v>
      </c>
      <c r="S96" s="52">
        <f ca="1">SUMIFS(OUT!$F$2:$F$11000,OUT!$H$2:$H$11000,H96,OUT!$D$2:$D$11000,"Out",OUT!$E$2:$E$11000,"Zela")</f>
        <v>215161</v>
      </c>
      <c r="T96" s="52">
        <f ca="1">SUMIFS(OUT!$F$2:$F$11000,OUT!$H$2:$H$11000,H96,OUT!$D$2:$D$11000,"Out",OUT!$E$2:$E$11000,"Iqbal")</f>
        <v>215000</v>
      </c>
    </row>
    <row r="97" spans="1:20" x14ac:dyDescent="0.2">
      <c r="A97" s="48">
        <f ca="1">IFERROR(__xludf.DUMMYFUNCTION("""COMPUTED_VALUE"""),46103)</f>
        <v>46103</v>
      </c>
      <c r="B97" s="4" t="str">
        <f ca="1">IFERROR(__xludf.DUMMYFUNCTION("""COMPUTED_VALUE"""),"Pertamax")</f>
        <v>Pertamax</v>
      </c>
      <c r="C97" s="4" t="str">
        <f ca="1">IFERROR(__xludf.DUMMYFUNCTION("""COMPUTED_VALUE"""),"Cash")</f>
        <v>Cash</v>
      </c>
      <c r="D97" s="4" t="str">
        <f ca="1">IFERROR(__xludf.DUMMYFUNCTION("""COMPUTED_VALUE"""),"Out")</f>
        <v>Out</v>
      </c>
      <c r="E97" s="4" t="str">
        <f ca="1">IFERROR(__xludf.DUMMYFUNCTION("""COMPUTED_VALUE"""),"Mio")</f>
        <v>Mio</v>
      </c>
      <c r="F97" s="49">
        <f ca="1">IFERROR(__xludf.DUMMYFUNCTION("""COMPUTED_VALUE"""),30000)</f>
        <v>30000</v>
      </c>
      <c r="G97" s="50" t="str">
        <f ca="1">IFERROR(__xludf.DUMMYFUNCTION("""COMPUTED_VALUE"""),"Ibal")</f>
        <v>Ibal</v>
      </c>
      <c r="H97" s="51">
        <f t="shared" ca="1" si="0"/>
        <v>46082</v>
      </c>
      <c r="I97" s="52" t="e">
        <f ca="1">SUMIFS(OUT!$F$2:$F$11000,OUT!$H$2:$H$11000,H97,OUT!$D$2:$D$101007,"In")</f>
        <v>#VALUE!</v>
      </c>
      <c r="J97" s="52">
        <f ca="1">SUMIFS(OUT!$F$2:$F$11000,OUT!$H$2:$H$11000,H97,OUT!$D$2:$D$11000,"Out")</f>
        <v>12026623</v>
      </c>
      <c r="K97" s="52">
        <f ca="1">SUMIFS(OUT!$F$2:$F$11000,OUT!$H$2:$H$11000,H97,OUT!$D$2:$D$11000,"Out",OUT!$E$2:$E$11000,"Fix")</f>
        <v>2865413</v>
      </c>
      <c r="L97" s="52">
        <f ca="1">SUMIFS(OUT!$F$2:$F$11000,OUT!$H$2:$H$11000,H97,OUT!$D$2:$D$11000,"Out",OUT!$E$2:$E$11000,"Bathroom")</f>
        <v>120488</v>
      </c>
      <c r="M97" s="52">
        <f ca="1">SUMIFS(OUT!$F$2:$F$11000,OUT!$H$2:$H$11000,H97,OUT!$D$2:$D$11000,"Out",OUT!$E$2:$E$11000,"Alfa")</f>
        <v>890962</v>
      </c>
      <c r="N97" s="52" t="e">
        <f ca="1">SUMIFS(OUT!$F$2:$F$11000,OUT!$H$2:$H$101007,H97,OUT!$D$2:$D$11000,"Out",OUT!$E$2:$E$11000,"Jajan")</f>
        <v>#VALUE!</v>
      </c>
      <c r="O97" s="52">
        <f ca="1">SUMIFS(OUT!$F$2:$F$11000,OUT!$H$2:$H$11000,H97,OUT!$D$2:$D$11000,"Out",OUT!$E$2:$E$11000,"Kitchen")</f>
        <v>1152600</v>
      </c>
      <c r="P97" s="52">
        <f ca="1">SUMIFS(OUT!$F$2:$F$11000,OUT!$H$2:$H$11000,H97,OUT!$D$2:$D$11000,"Out",OUT!$E$2:$E$11000,"Loandry")</f>
        <v>41000</v>
      </c>
      <c r="Q97" s="52">
        <f ca="1">SUMIFS(OUT!$F$2:$F$11000,OUT!$H$2:$H$11000,H97,OUT!$D$2:$D$11000,"Out",OUT!$E$2:$E$11000,"Mio")</f>
        <v>895700</v>
      </c>
      <c r="R97" s="52">
        <f ca="1">SUMIFS(OUT!$F$2:$F$11000,OUT!$H$2:$H$11000,H97,OUT!$D$2:$D$11000,"Out",OUT!$E$2:$E$11000,"Sedekah")</f>
        <v>130000</v>
      </c>
      <c r="S97" s="52">
        <f ca="1">SUMIFS(OUT!$F$2:$F$11000,OUT!$H$2:$H$11000,H97,OUT!$D$2:$D$11000,"Out",OUT!$E$2:$E$11000,"Zela")</f>
        <v>215161</v>
      </c>
      <c r="T97" s="52">
        <f ca="1">SUMIFS(OUT!$F$2:$F$11000,OUT!$H$2:$H$11000,H97,OUT!$D$2:$D$11000,"Out",OUT!$E$2:$E$11000,"Iqbal")</f>
        <v>215000</v>
      </c>
    </row>
    <row r="98" spans="1:20" x14ac:dyDescent="0.2">
      <c r="A98" s="48">
        <f ca="1">IFERROR(__xludf.DUMMYFUNCTION("""COMPUTED_VALUE"""),46103)</f>
        <v>46103</v>
      </c>
      <c r="B98" s="4" t="str">
        <f ca="1">IFERROR(__xludf.DUMMYFUNCTION("""COMPUTED_VALUE"""),"Admin BRI")</f>
        <v>Admin BRI</v>
      </c>
      <c r="C98" s="4" t="str">
        <f ca="1">IFERROR(__xludf.DUMMYFUNCTION("""COMPUTED_VALUE"""),"ATM")</f>
        <v>ATM</v>
      </c>
      <c r="D98" s="4" t="str">
        <f ca="1">IFERROR(__xludf.DUMMYFUNCTION("""COMPUTED_VALUE"""),"Out")</f>
        <v>Out</v>
      </c>
      <c r="E98" s="4" t="str">
        <f ca="1">IFERROR(__xludf.DUMMYFUNCTION("""COMPUTED_VALUE"""),"Fix")</f>
        <v>Fix</v>
      </c>
      <c r="F98" s="49">
        <f ca="1">IFERROR(__xludf.DUMMYFUNCTION("""COMPUTED_VALUE"""),6000)</f>
        <v>6000</v>
      </c>
      <c r="G98" s="50" t="str">
        <f ca="1">IFERROR(__xludf.DUMMYFUNCTION("""COMPUTED_VALUE"""),"Ibal")</f>
        <v>Ibal</v>
      </c>
      <c r="H98" s="51">
        <f t="shared" ca="1" si="0"/>
        <v>46082</v>
      </c>
      <c r="I98" s="52" t="e">
        <f ca="1">SUMIFS(OUT!$F$2:$F$11000,OUT!$H$2:$H$11000,H98,OUT!$D$2:$D$101007,"In")</f>
        <v>#VALUE!</v>
      </c>
      <c r="J98" s="52">
        <f ca="1">SUMIFS(OUT!$F$2:$F$11000,OUT!$H$2:$H$11000,H98,OUT!$D$2:$D$11000,"Out")</f>
        <v>12026623</v>
      </c>
      <c r="K98" s="52">
        <f ca="1">SUMIFS(OUT!$F$2:$F$11000,OUT!$H$2:$H$11000,H98,OUT!$D$2:$D$11000,"Out",OUT!$E$2:$E$11000,"Fix")</f>
        <v>2865413</v>
      </c>
      <c r="L98" s="52">
        <f ca="1">SUMIFS(OUT!$F$2:$F$11000,OUT!$H$2:$H$11000,H98,OUT!$D$2:$D$11000,"Out",OUT!$E$2:$E$11000,"Bathroom")</f>
        <v>120488</v>
      </c>
      <c r="M98" s="52">
        <f ca="1">SUMIFS(OUT!$F$2:$F$11000,OUT!$H$2:$H$11000,H98,OUT!$D$2:$D$11000,"Out",OUT!$E$2:$E$11000,"Alfa")</f>
        <v>890962</v>
      </c>
      <c r="N98" s="52" t="e">
        <f ca="1">SUMIFS(OUT!$F$2:$F$11000,OUT!$H$2:$H$101007,H98,OUT!$D$2:$D$11000,"Out",OUT!$E$2:$E$11000,"Jajan")</f>
        <v>#VALUE!</v>
      </c>
      <c r="O98" s="52">
        <f ca="1">SUMIFS(OUT!$F$2:$F$11000,OUT!$H$2:$H$11000,H98,OUT!$D$2:$D$11000,"Out",OUT!$E$2:$E$11000,"Kitchen")</f>
        <v>1152600</v>
      </c>
      <c r="P98" s="52">
        <f ca="1">SUMIFS(OUT!$F$2:$F$11000,OUT!$H$2:$H$11000,H98,OUT!$D$2:$D$11000,"Out",OUT!$E$2:$E$11000,"Loandry")</f>
        <v>41000</v>
      </c>
      <c r="Q98" s="52">
        <f ca="1">SUMIFS(OUT!$F$2:$F$11000,OUT!$H$2:$H$11000,H98,OUT!$D$2:$D$11000,"Out",OUT!$E$2:$E$11000,"Mio")</f>
        <v>895700</v>
      </c>
      <c r="R98" s="52">
        <f ca="1">SUMIFS(OUT!$F$2:$F$11000,OUT!$H$2:$H$11000,H98,OUT!$D$2:$D$11000,"Out",OUT!$E$2:$E$11000,"Sedekah")</f>
        <v>130000</v>
      </c>
      <c r="S98" s="52">
        <f ca="1">SUMIFS(OUT!$F$2:$F$11000,OUT!$H$2:$H$11000,H98,OUT!$D$2:$D$11000,"Out",OUT!$E$2:$E$11000,"Zela")</f>
        <v>215161</v>
      </c>
      <c r="T98" s="52">
        <f ca="1">SUMIFS(OUT!$F$2:$F$11000,OUT!$H$2:$H$11000,H98,OUT!$D$2:$D$11000,"Out",OUT!$E$2:$E$11000,"Iqbal")</f>
        <v>215000</v>
      </c>
    </row>
    <row r="99" spans="1:20" x14ac:dyDescent="0.2">
      <c r="A99" s="48">
        <f ca="1">IFERROR(__xludf.DUMMYFUNCTION("""COMPUTED_VALUE"""),46103)</f>
        <v>46103</v>
      </c>
      <c r="B99" s="4" t="str">
        <f ca="1">IFERROR(__xludf.DUMMYFUNCTION("""COMPUTED_VALUE"""),"Galon")</f>
        <v>Galon</v>
      </c>
      <c r="C99" s="4" t="str">
        <f ca="1">IFERROR(__xludf.DUMMYFUNCTION("""COMPUTED_VALUE"""),"Cash")</f>
        <v>Cash</v>
      </c>
      <c r="D99" s="4" t="str">
        <f ca="1">IFERROR(__xludf.DUMMYFUNCTION("""COMPUTED_VALUE"""),"Out")</f>
        <v>Out</v>
      </c>
      <c r="E99" s="4" t="str">
        <f ca="1">IFERROR(__xludf.DUMMYFUNCTION("""COMPUTED_VALUE"""),"Kitchen")</f>
        <v>Kitchen</v>
      </c>
      <c r="F99" s="49">
        <f ca="1">IFERROR(__xludf.DUMMYFUNCTION("""COMPUTED_VALUE"""),4000)</f>
        <v>4000</v>
      </c>
      <c r="G99" s="50" t="str">
        <f ca="1">IFERROR(__xludf.DUMMYFUNCTION("""COMPUTED_VALUE"""),"Ibal")</f>
        <v>Ibal</v>
      </c>
      <c r="H99" s="51">
        <f t="shared" ca="1" si="0"/>
        <v>46082</v>
      </c>
      <c r="I99" s="52" t="e">
        <f ca="1">SUMIFS(OUT!$F$2:$F$11000,OUT!$H$2:$H$11000,H99,OUT!$D$2:$D$101007,"In")</f>
        <v>#VALUE!</v>
      </c>
      <c r="J99" s="52">
        <f ca="1">SUMIFS(OUT!$F$2:$F$11000,OUT!$H$2:$H$11000,H99,OUT!$D$2:$D$11000,"Out")</f>
        <v>12026623</v>
      </c>
      <c r="K99" s="52">
        <f ca="1">SUMIFS(OUT!$F$2:$F$11000,OUT!$H$2:$H$11000,H99,OUT!$D$2:$D$11000,"Out",OUT!$E$2:$E$11000,"Fix")</f>
        <v>2865413</v>
      </c>
      <c r="L99" s="52">
        <f ca="1">SUMIFS(OUT!$F$2:$F$11000,OUT!$H$2:$H$11000,H99,OUT!$D$2:$D$11000,"Out",OUT!$E$2:$E$11000,"Bathroom")</f>
        <v>120488</v>
      </c>
      <c r="M99" s="52">
        <f ca="1">SUMIFS(OUT!$F$2:$F$11000,OUT!$H$2:$H$11000,H99,OUT!$D$2:$D$11000,"Out",OUT!$E$2:$E$11000,"Alfa")</f>
        <v>890962</v>
      </c>
      <c r="N99" s="52" t="e">
        <f ca="1">SUMIFS(OUT!$F$2:$F$11000,OUT!$H$2:$H$101007,H99,OUT!$D$2:$D$11000,"Out",OUT!$E$2:$E$11000,"Jajan")</f>
        <v>#VALUE!</v>
      </c>
      <c r="O99" s="52">
        <f ca="1">SUMIFS(OUT!$F$2:$F$11000,OUT!$H$2:$H$11000,H99,OUT!$D$2:$D$11000,"Out",OUT!$E$2:$E$11000,"Kitchen")</f>
        <v>1152600</v>
      </c>
      <c r="P99" s="52">
        <f ca="1">SUMIFS(OUT!$F$2:$F$11000,OUT!$H$2:$H$11000,H99,OUT!$D$2:$D$11000,"Out",OUT!$E$2:$E$11000,"Loandry")</f>
        <v>41000</v>
      </c>
      <c r="Q99" s="52">
        <f ca="1">SUMIFS(OUT!$F$2:$F$11000,OUT!$H$2:$H$11000,H99,OUT!$D$2:$D$11000,"Out",OUT!$E$2:$E$11000,"Mio")</f>
        <v>895700</v>
      </c>
      <c r="R99" s="52">
        <f ca="1">SUMIFS(OUT!$F$2:$F$11000,OUT!$H$2:$H$11000,H99,OUT!$D$2:$D$11000,"Out",OUT!$E$2:$E$11000,"Sedekah")</f>
        <v>130000</v>
      </c>
      <c r="S99" s="52">
        <f ca="1">SUMIFS(OUT!$F$2:$F$11000,OUT!$H$2:$H$11000,H99,OUT!$D$2:$D$11000,"Out",OUT!$E$2:$E$11000,"Zela")</f>
        <v>215161</v>
      </c>
      <c r="T99" s="52">
        <f ca="1">SUMIFS(OUT!$F$2:$F$11000,OUT!$H$2:$H$11000,H99,OUT!$D$2:$D$11000,"Out",OUT!$E$2:$E$11000,"Iqbal")</f>
        <v>215000</v>
      </c>
    </row>
    <row r="100" spans="1:20" x14ac:dyDescent="0.2">
      <c r="A100" s="48">
        <f ca="1">IFERROR(__xludf.DUMMYFUNCTION("""COMPUTED_VALUE"""),46106)</f>
        <v>46106</v>
      </c>
      <c r="B100" s="4" t="str">
        <f ca="1">IFERROR(__xludf.DUMMYFUNCTION("""COMPUTED_VALUE"""),"Istriku")</f>
        <v>Istriku</v>
      </c>
      <c r="C100" s="4" t="str">
        <f ca="1">IFERROR(__xludf.DUMMYFUNCTION("""COMPUTED_VALUE"""),"Cash")</f>
        <v>Cash</v>
      </c>
      <c r="D100" s="4" t="str">
        <f ca="1">IFERROR(__xludf.DUMMYFUNCTION("""COMPUTED_VALUE"""),"Out")</f>
        <v>Out</v>
      </c>
      <c r="E100" s="4" t="str">
        <f ca="1">IFERROR(__xludf.DUMMYFUNCTION("""COMPUTED_VALUE"""),"Move")</f>
        <v>Move</v>
      </c>
      <c r="F100" s="49">
        <f ca="1">IFERROR(__xludf.DUMMYFUNCTION("""COMPUTED_VALUE"""),100000)</f>
        <v>100000</v>
      </c>
      <c r="G100" s="50" t="str">
        <f ca="1">IFERROR(__xludf.DUMMYFUNCTION("""COMPUTED_VALUE"""),"Ibal")</f>
        <v>Ibal</v>
      </c>
      <c r="H100" s="51">
        <f t="shared" ca="1" si="0"/>
        <v>46082</v>
      </c>
      <c r="I100" s="52" t="e">
        <f ca="1">SUMIFS(OUT!$F$2:$F$11000,OUT!$H$2:$H$11000,H100,OUT!$D$2:$D$101007,"In")</f>
        <v>#VALUE!</v>
      </c>
      <c r="J100" s="52">
        <f ca="1">SUMIFS(OUT!$F$2:$F$11000,OUT!$H$2:$H$11000,H100,OUT!$D$2:$D$11000,"Out")</f>
        <v>12026623</v>
      </c>
      <c r="K100" s="52">
        <f ca="1">SUMIFS(OUT!$F$2:$F$11000,OUT!$H$2:$H$11000,H100,OUT!$D$2:$D$11000,"Out",OUT!$E$2:$E$11000,"Fix")</f>
        <v>2865413</v>
      </c>
      <c r="L100" s="52">
        <f ca="1">SUMIFS(OUT!$F$2:$F$11000,OUT!$H$2:$H$11000,H100,OUT!$D$2:$D$11000,"Out",OUT!$E$2:$E$11000,"Bathroom")</f>
        <v>120488</v>
      </c>
      <c r="M100" s="52">
        <f ca="1">SUMIFS(OUT!$F$2:$F$11000,OUT!$H$2:$H$11000,H100,OUT!$D$2:$D$11000,"Out",OUT!$E$2:$E$11000,"Alfa")</f>
        <v>890962</v>
      </c>
      <c r="N100" s="52" t="e">
        <f ca="1">SUMIFS(OUT!$F$2:$F$11000,OUT!$H$2:$H$101007,H100,OUT!$D$2:$D$11000,"Out",OUT!$E$2:$E$11000,"Jajan")</f>
        <v>#VALUE!</v>
      </c>
      <c r="O100" s="52">
        <f ca="1">SUMIFS(OUT!$F$2:$F$11000,OUT!$H$2:$H$11000,H100,OUT!$D$2:$D$11000,"Out",OUT!$E$2:$E$11000,"Kitchen")</f>
        <v>1152600</v>
      </c>
      <c r="P100" s="52">
        <f ca="1">SUMIFS(OUT!$F$2:$F$11000,OUT!$H$2:$H$11000,H100,OUT!$D$2:$D$11000,"Out",OUT!$E$2:$E$11000,"Loandry")</f>
        <v>41000</v>
      </c>
      <c r="Q100" s="52">
        <f ca="1">SUMIFS(OUT!$F$2:$F$11000,OUT!$H$2:$H$11000,H100,OUT!$D$2:$D$11000,"Out",OUT!$E$2:$E$11000,"Mio")</f>
        <v>895700</v>
      </c>
      <c r="R100" s="52">
        <f ca="1">SUMIFS(OUT!$F$2:$F$11000,OUT!$H$2:$H$11000,H100,OUT!$D$2:$D$11000,"Out",OUT!$E$2:$E$11000,"Sedekah")</f>
        <v>130000</v>
      </c>
      <c r="S100" s="52">
        <f ca="1">SUMIFS(OUT!$F$2:$F$11000,OUT!$H$2:$H$11000,H100,OUT!$D$2:$D$11000,"Out",OUT!$E$2:$E$11000,"Zela")</f>
        <v>215161</v>
      </c>
      <c r="T100" s="52">
        <f ca="1">SUMIFS(OUT!$F$2:$F$11000,OUT!$H$2:$H$11000,H100,OUT!$D$2:$D$11000,"Out",OUT!$E$2:$E$11000,"Iqbal")</f>
        <v>215000</v>
      </c>
    </row>
    <row r="101" spans="1:20" x14ac:dyDescent="0.2">
      <c r="A101" s="48">
        <f ca="1">IFERROR(__xludf.DUMMYFUNCTION("""COMPUTED_VALUE"""),46106)</f>
        <v>46106</v>
      </c>
      <c r="B101" s="4" t="str">
        <f ca="1">IFERROR(__xludf.DUMMYFUNCTION("""COMPUTED_VALUE"""),"Istriku")</f>
        <v>Istriku</v>
      </c>
      <c r="C101" s="4" t="str">
        <f ca="1">IFERROR(__xludf.DUMMYFUNCTION("""COMPUTED_VALUE"""),"ATM")</f>
        <v>ATM</v>
      </c>
      <c r="D101" s="4" t="str">
        <f ca="1">IFERROR(__xludf.DUMMYFUNCTION("""COMPUTED_VALUE"""),"In")</f>
        <v>In</v>
      </c>
      <c r="E101" s="4" t="str">
        <f ca="1">IFERROR(__xludf.DUMMYFUNCTION("""COMPUTED_VALUE"""),"Move")</f>
        <v>Move</v>
      </c>
      <c r="F101" s="49">
        <f ca="1">IFERROR(__xludf.DUMMYFUNCTION("""COMPUTED_VALUE"""),100000)</f>
        <v>100000</v>
      </c>
      <c r="G101" s="50" t="str">
        <f ca="1">IFERROR(__xludf.DUMMYFUNCTION("""COMPUTED_VALUE"""),"Ibal")</f>
        <v>Ibal</v>
      </c>
      <c r="H101" s="51">
        <f t="shared" ca="1" si="0"/>
        <v>46082</v>
      </c>
      <c r="I101" s="52" t="e">
        <f ca="1">SUMIFS(OUT!$F$2:$F$11000,OUT!$H$2:$H$11000,H101,OUT!$D$2:$D$101007,"In")</f>
        <v>#VALUE!</v>
      </c>
      <c r="J101" s="52">
        <f ca="1">SUMIFS(OUT!$F$2:$F$11000,OUT!$H$2:$H$11000,H101,OUT!$D$2:$D$11000,"Out")</f>
        <v>12026623</v>
      </c>
      <c r="K101" s="52">
        <f ca="1">SUMIFS(OUT!$F$2:$F$11000,OUT!$H$2:$H$11000,H101,OUT!$D$2:$D$11000,"Out",OUT!$E$2:$E$11000,"Fix")</f>
        <v>2865413</v>
      </c>
      <c r="L101" s="52">
        <f ca="1">SUMIFS(OUT!$F$2:$F$11000,OUT!$H$2:$H$11000,H101,OUT!$D$2:$D$11000,"Out",OUT!$E$2:$E$11000,"Bathroom")</f>
        <v>120488</v>
      </c>
      <c r="M101" s="52">
        <f ca="1">SUMIFS(OUT!$F$2:$F$11000,OUT!$H$2:$H$11000,H101,OUT!$D$2:$D$11000,"Out",OUT!$E$2:$E$11000,"Alfa")</f>
        <v>890962</v>
      </c>
      <c r="N101" s="52" t="e">
        <f ca="1">SUMIFS(OUT!$F$2:$F$11000,OUT!$H$2:$H$101007,H101,OUT!$D$2:$D$11000,"Out",OUT!$E$2:$E$11000,"Jajan")</f>
        <v>#VALUE!</v>
      </c>
      <c r="O101" s="52">
        <f ca="1">SUMIFS(OUT!$F$2:$F$11000,OUT!$H$2:$H$11000,H101,OUT!$D$2:$D$11000,"Out",OUT!$E$2:$E$11000,"Kitchen")</f>
        <v>1152600</v>
      </c>
      <c r="P101" s="52">
        <f ca="1">SUMIFS(OUT!$F$2:$F$11000,OUT!$H$2:$H$11000,H101,OUT!$D$2:$D$11000,"Out",OUT!$E$2:$E$11000,"Loandry")</f>
        <v>41000</v>
      </c>
      <c r="Q101" s="52">
        <f ca="1">SUMIFS(OUT!$F$2:$F$11000,OUT!$H$2:$H$11000,H101,OUT!$D$2:$D$11000,"Out",OUT!$E$2:$E$11000,"Mio")</f>
        <v>895700</v>
      </c>
      <c r="R101" s="52">
        <f ca="1">SUMIFS(OUT!$F$2:$F$11000,OUT!$H$2:$H$11000,H101,OUT!$D$2:$D$11000,"Out",OUT!$E$2:$E$11000,"Sedekah")</f>
        <v>130000</v>
      </c>
      <c r="S101" s="52">
        <f ca="1">SUMIFS(OUT!$F$2:$F$11000,OUT!$H$2:$H$11000,H101,OUT!$D$2:$D$11000,"Out",OUT!$E$2:$E$11000,"Zela")</f>
        <v>215161</v>
      </c>
      <c r="T101" s="52">
        <f ca="1">SUMIFS(OUT!$F$2:$F$11000,OUT!$H$2:$H$11000,H101,OUT!$D$2:$D$11000,"Out",OUT!$E$2:$E$11000,"Iqbal")</f>
        <v>215000</v>
      </c>
    </row>
    <row r="102" spans="1:20" x14ac:dyDescent="0.2">
      <c r="A102" s="48">
        <f ca="1">IFERROR(__xludf.DUMMYFUNCTION("""COMPUTED_VALUE"""),46106)</f>
        <v>46106</v>
      </c>
      <c r="B102" s="4" t="str">
        <f ca="1">IFERROR(__xludf.DUMMYFUNCTION("""COMPUTED_VALUE"""),"Pertamax 26k (20k Zela, 6k Ibal)")</f>
        <v>Pertamax 26k (20k Zela, 6k Ibal)</v>
      </c>
      <c r="C102" s="4" t="str">
        <f ca="1">IFERROR(__xludf.DUMMYFUNCTION("""COMPUTED_VALUE"""),"Cash")</f>
        <v>Cash</v>
      </c>
      <c r="D102" s="4" t="str">
        <f ca="1">IFERROR(__xludf.DUMMYFUNCTION("""COMPUTED_VALUE"""),"Out")</f>
        <v>Out</v>
      </c>
      <c r="E102" s="4" t="str">
        <f ca="1">IFERROR(__xludf.DUMMYFUNCTION("""COMPUTED_VALUE"""),"Mio")</f>
        <v>Mio</v>
      </c>
      <c r="F102" s="49">
        <f ca="1">IFERROR(__xludf.DUMMYFUNCTION("""COMPUTED_VALUE"""),6000)</f>
        <v>6000</v>
      </c>
      <c r="G102" s="50" t="str">
        <f ca="1">IFERROR(__xludf.DUMMYFUNCTION("""COMPUTED_VALUE"""),"Ibal")</f>
        <v>Ibal</v>
      </c>
      <c r="H102" s="51">
        <f t="shared" ca="1" si="0"/>
        <v>46082</v>
      </c>
      <c r="I102" s="52" t="e">
        <f ca="1">SUMIFS(OUT!$F$2:$F$11000,OUT!$H$2:$H$11000,H102,OUT!$D$2:$D$101007,"In")</f>
        <v>#VALUE!</v>
      </c>
      <c r="J102" s="52">
        <f ca="1">SUMIFS(OUT!$F$2:$F$11000,OUT!$H$2:$H$11000,H102,OUT!$D$2:$D$11000,"Out")</f>
        <v>12026623</v>
      </c>
      <c r="K102" s="52">
        <f ca="1">SUMIFS(OUT!$F$2:$F$11000,OUT!$H$2:$H$11000,H102,OUT!$D$2:$D$11000,"Out",OUT!$E$2:$E$11000,"Fix")</f>
        <v>2865413</v>
      </c>
      <c r="L102" s="52">
        <f ca="1">SUMIFS(OUT!$F$2:$F$11000,OUT!$H$2:$H$11000,H102,OUT!$D$2:$D$11000,"Out",OUT!$E$2:$E$11000,"Bathroom")</f>
        <v>120488</v>
      </c>
      <c r="M102" s="52">
        <f ca="1">SUMIFS(OUT!$F$2:$F$11000,OUT!$H$2:$H$11000,H102,OUT!$D$2:$D$11000,"Out",OUT!$E$2:$E$11000,"Alfa")</f>
        <v>890962</v>
      </c>
      <c r="N102" s="52" t="e">
        <f ca="1">SUMIFS(OUT!$F$2:$F$11000,OUT!$H$2:$H$101007,H102,OUT!$D$2:$D$11000,"Out",OUT!$E$2:$E$11000,"Jajan")</f>
        <v>#VALUE!</v>
      </c>
      <c r="O102" s="52">
        <f ca="1">SUMIFS(OUT!$F$2:$F$11000,OUT!$H$2:$H$11000,H102,OUT!$D$2:$D$11000,"Out",OUT!$E$2:$E$11000,"Kitchen")</f>
        <v>1152600</v>
      </c>
      <c r="P102" s="52">
        <f ca="1">SUMIFS(OUT!$F$2:$F$11000,OUT!$H$2:$H$11000,H102,OUT!$D$2:$D$11000,"Out",OUT!$E$2:$E$11000,"Loandry")</f>
        <v>41000</v>
      </c>
      <c r="Q102" s="52">
        <f ca="1">SUMIFS(OUT!$F$2:$F$11000,OUT!$H$2:$H$11000,H102,OUT!$D$2:$D$11000,"Out",OUT!$E$2:$E$11000,"Mio")</f>
        <v>895700</v>
      </c>
      <c r="R102" s="52">
        <f ca="1">SUMIFS(OUT!$F$2:$F$11000,OUT!$H$2:$H$11000,H102,OUT!$D$2:$D$11000,"Out",OUT!$E$2:$E$11000,"Sedekah")</f>
        <v>130000</v>
      </c>
      <c r="S102" s="52">
        <f ca="1">SUMIFS(OUT!$F$2:$F$11000,OUT!$H$2:$H$11000,H102,OUT!$D$2:$D$11000,"Out",OUT!$E$2:$E$11000,"Zela")</f>
        <v>215161</v>
      </c>
      <c r="T102" s="52">
        <f ca="1">SUMIFS(OUT!$F$2:$F$11000,OUT!$H$2:$H$11000,H102,OUT!$D$2:$D$11000,"Out",OUT!$E$2:$E$11000,"Iqbal")</f>
        <v>215000</v>
      </c>
    </row>
    <row r="103" spans="1:20" x14ac:dyDescent="0.2">
      <c r="A103" s="48">
        <f ca="1">IFERROR(__xludf.DUMMYFUNCTION("""COMPUTED_VALUE"""),46108)</f>
        <v>46108</v>
      </c>
      <c r="B103" s="4" t="str">
        <f ca="1">IFERROR(__xludf.DUMMYFUNCTION("""COMPUTED_VALUE"""),"Istriku")</f>
        <v>Istriku</v>
      </c>
      <c r="C103" s="4" t="str">
        <f ca="1">IFERROR(__xludf.DUMMYFUNCTION("""COMPUTED_VALUE"""),"ATM")</f>
        <v>ATM</v>
      </c>
      <c r="D103" s="4" t="str">
        <f ca="1">IFERROR(__xludf.DUMMYFUNCTION("""COMPUTED_VALUE"""),"Out")</f>
        <v>Out</v>
      </c>
      <c r="E103" s="4" t="str">
        <f ca="1">IFERROR(__xludf.DUMMYFUNCTION("""COMPUTED_VALUE"""),"Move")</f>
        <v>Move</v>
      </c>
      <c r="F103" s="49">
        <f ca="1">IFERROR(__xludf.DUMMYFUNCTION("""COMPUTED_VALUE"""),100000)</f>
        <v>100000</v>
      </c>
      <c r="G103" s="50" t="str">
        <f ca="1">IFERROR(__xludf.DUMMYFUNCTION("""COMPUTED_VALUE"""),"Ibal")</f>
        <v>Ibal</v>
      </c>
      <c r="H103" s="51">
        <f t="shared" ca="1" si="0"/>
        <v>46082</v>
      </c>
      <c r="I103" s="52" t="e">
        <f ca="1">SUMIFS(OUT!$F$2:$F$11000,OUT!$H$2:$H$11000,H103,OUT!$D$2:$D$101007,"In")</f>
        <v>#VALUE!</v>
      </c>
      <c r="J103" s="52">
        <f ca="1">SUMIFS(OUT!$F$2:$F$11000,OUT!$H$2:$H$11000,H103,OUT!$D$2:$D$11000,"Out")</f>
        <v>12026623</v>
      </c>
      <c r="K103" s="52">
        <f ca="1">SUMIFS(OUT!$F$2:$F$11000,OUT!$H$2:$H$11000,H103,OUT!$D$2:$D$11000,"Out",OUT!$E$2:$E$11000,"Fix")</f>
        <v>2865413</v>
      </c>
      <c r="L103" s="52">
        <f ca="1">SUMIFS(OUT!$F$2:$F$11000,OUT!$H$2:$H$11000,H103,OUT!$D$2:$D$11000,"Out",OUT!$E$2:$E$11000,"Bathroom")</f>
        <v>120488</v>
      </c>
      <c r="M103" s="52">
        <f ca="1">SUMIFS(OUT!$F$2:$F$11000,OUT!$H$2:$H$11000,H103,OUT!$D$2:$D$11000,"Out",OUT!$E$2:$E$11000,"Alfa")</f>
        <v>890962</v>
      </c>
      <c r="N103" s="52" t="e">
        <f ca="1">SUMIFS(OUT!$F$2:$F$11000,OUT!$H$2:$H$101007,H103,OUT!$D$2:$D$11000,"Out",OUT!$E$2:$E$11000,"Jajan")</f>
        <v>#VALUE!</v>
      </c>
      <c r="O103" s="52">
        <f ca="1">SUMIFS(OUT!$F$2:$F$11000,OUT!$H$2:$H$11000,H103,OUT!$D$2:$D$11000,"Out",OUT!$E$2:$E$11000,"Kitchen")</f>
        <v>1152600</v>
      </c>
      <c r="P103" s="52">
        <f ca="1">SUMIFS(OUT!$F$2:$F$11000,OUT!$H$2:$H$11000,H103,OUT!$D$2:$D$11000,"Out",OUT!$E$2:$E$11000,"Loandry")</f>
        <v>41000</v>
      </c>
      <c r="Q103" s="52">
        <f ca="1">SUMIFS(OUT!$F$2:$F$11000,OUT!$H$2:$H$11000,H103,OUT!$D$2:$D$11000,"Out",OUT!$E$2:$E$11000,"Mio")</f>
        <v>895700</v>
      </c>
      <c r="R103" s="52">
        <f ca="1">SUMIFS(OUT!$F$2:$F$11000,OUT!$H$2:$H$11000,H103,OUT!$D$2:$D$11000,"Out",OUT!$E$2:$E$11000,"Sedekah")</f>
        <v>130000</v>
      </c>
      <c r="S103" s="52">
        <f ca="1">SUMIFS(OUT!$F$2:$F$11000,OUT!$H$2:$H$11000,H103,OUT!$D$2:$D$11000,"Out",OUT!$E$2:$E$11000,"Zela")</f>
        <v>215161</v>
      </c>
      <c r="T103" s="52">
        <f ca="1">SUMIFS(OUT!$F$2:$F$11000,OUT!$H$2:$H$11000,H103,OUT!$D$2:$D$11000,"Out",OUT!$E$2:$E$11000,"Iqbal")</f>
        <v>215000</v>
      </c>
    </row>
    <row r="104" spans="1:20" x14ac:dyDescent="0.2">
      <c r="A104" s="48">
        <f ca="1">IFERROR(__xludf.DUMMYFUNCTION("""COMPUTED_VALUE"""),46109)</f>
        <v>46109</v>
      </c>
      <c r="B104" s="4" t="str">
        <f ca="1">IFERROR(__xludf.DUMMYFUNCTION("""COMPUTED_VALUE"""),"Americano")</f>
        <v>Americano</v>
      </c>
      <c r="C104" s="4" t="str">
        <f ca="1">IFERROR(__xludf.DUMMYFUNCTION("""COMPUTED_VALUE"""),"ATM")</f>
        <v>ATM</v>
      </c>
      <c r="D104" s="4" t="str">
        <f ca="1">IFERROR(__xludf.DUMMYFUNCTION("""COMPUTED_VALUE"""),"Out")</f>
        <v>Out</v>
      </c>
      <c r="E104" s="4" t="str">
        <f ca="1">IFERROR(__xludf.DUMMYFUNCTION("""COMPUTED_VALUE"""),"Iqbal")</f>
        <v>Iqbal</v>
      </c>
      <c r="F104" s="49">
        <f ca="1">IFERROR(__xludf.DUMMYFUNCTION("""COMPUTED_VALUE"""),25000)</f>
        <v>25000</v>
      </c>
      <c r="G104" s="50" t="str">
        <f ca="1">IFERROR(__xludf.DUMMYFUNCTION("""COMPUTED_VALUE"""),"Ibal")</f>
        <v>Ibal</v>
      </c>
      <c r="H104" s="51">
        <f t="shared" ca="1" si="0"/>
        <v>46082</v>
      </c>
      <c r="I104" s="52" t="e">
        <f ca="1">SUMIFS(OUT!$F$2:$F$11000,OUT!$H$2:$H$11000,H104,OUT!$D$2:$D$101007,"In")</f>
        <v>#VALUE!</v>
      </c>
      <c r="J104" s="52">
        <f ca="1">SUMIFS(OUT!$F$2:$F$11000,OUT!$H$2:$H$11000,H104,OUT!$D$2:$D$11000,"Out")</f>
        <v>12026623</v>
      </c>
      <c r="K104" s="52">
        <f ca="1">SUMIFS(OUT!$F$2:$F$11000,OUT!$H$2:$H$11000,H104,OUT!$D$2:$D$11000,"Out",OUT!$E$2:$E$11000,"Fix")</f>
        <v>2865413</v>
      </c>
      <c r="L104" s="52">
        <f ca="1">SUMIFS(OUT!$F$2:$F$11000,OUT!$H$2:$H$11000,H104,OUT!$D$2:$D$11000,"Out",OUT!$E$2:$E$11000,"Bathroom")</f>
        <v>120488</v>
      </c>
      <c r="M104" s="52">
        <f ca="1">SUMIFS(OUT!$F$2:$F$11000,OUT!$H$2:$H$11000,H104,OUT!$D$2:$D$11000,"Out",OUT!$E$2:$E$11000,"Alfa")</f>
        <v>890962</v>
      </c>
      <c r="N104" s="52" t="e">
        <f ca="1">SUMIFS(OUT!$F$2:$F$11000,OUT!$H$2:$H$101007,H104,OUT!$D$2:$D$11000,"Out",OUT!$E$2:$E$11000,"Jajan")</f>
        <v>#VALUE!</v>
      </c>
      <c r="O104" s="52">
        <f ca="1">SUMIFS(OUT!$F$2:$F$11000,OUT!$H$2:$H$11000,H104,OUT!$D$2:$D$11000,"Out",OUT!$E$2:$E$11000,"Kitchen")</f>
        <v>1152600</v>
      </c>
      <c r="P104" s="52">
        <f ca="1">SUMIFS(OUT!$F$2:$F$11000,OUT!$H$2:$H$11000,H104,OUT!$D$2:$D$11000,"Out",OUT!$E$2:$E$11000,"Loandry")</f>
        <v>41000</v>
      </c>
      <c r="Q104" s="52">
        <f ca="1">SUMIFS(OUT!$F$2:$F$11000,OUT!$H$2:$H$11000,H104,OUT!$D$2:$D$11000,"Out",OUT!$E$2:$E$11000,"Mio")</f>
        <v>895700</v>
      </c>
      <c r="R104" s="52">
        <f ca="1">SUMIFS(OUT!$F$2:$F$11000,OUT!$H$2:$H$11000,H104,OUT!$D$2:$D$11000,"Out",OUT!$E$2:$E$11000,"Sedekah")</f>
        <v>130000</v>
      </c>
      <c r="S104" s="52">
        <f ca="1">SUMIFS(OUT!$F$2:$F$11000,OUT!$H$2:$H$11000,H104,OUT!$D$2:$D$11000,"Out",OUT!$E$2:$E$11000,"Zela")</f>
        <v>215161</v>
      </c>
      <c r="T104" s="52">
        <f ca="1">SUMIFS(OUT!$F$2:$F$11000,OUT!$H$2:$H$11000,H104,OUT!$D$2:$D$11000,"Out",OUT!$E$2:$E$11000,"Iqbal")</f>
        <v>215000</v>
      </c>
    </row>
    <row r="105" spans="1:20" x14ac:dyDescent="0.2">
      <c r="A105" s="48">
        <f ca="1">IFERROR(__xludf.DUMMYFUNCTION("""COMPUTED_VALUE"""),46109)</f>
        <v>46109</v>
      </c>
      <c r="B105" s="4" t="str">
        <f ca="1">IFERROR(__xludf.DUMMYFUNCTION("""COMPUTED_VALUE"""),"Kampas ganda full set + slider")</f>
        <v>Kampas ganda full set + slider</v>
      </c>
      <c r="C105" s="4" t="str">
        <f ca="1">IFERROR(__xludf.DUMMYFUNCTION("""COMPUTED_VALUE"""),"ATM")</f>
        <v>ATM</v>
      </c>
      <c r="D105" s="4" t="str">
        <f ca="1">IFERROR(__xludf.DUMMYFUNCTION("""COMPUTED_VALUE"""),"Out")</f>
        <v>Out</v>
      </c>
      <c r="E105" s="4" t="str">
        <f ca="1">IFERROR(__xludf.DUMMYFUNCTION("""COMPUTED_VALUE"""),"Mio")</f>
        <v>Mio</v>
      </c>
      <c r="F105" s="49">
        <f ca="1">IFERROR(__xludf.DUMMYFUNCTION("""COMPUTED_VALUE"""),375000)</f>
        <v>375000</v>
      </c>
      <c r="G105" s="50" t="str">
        <f ca="1">IFERROR(__xludf.DUMMYFUNCTION("""COMPUTED_VALUE"""),"Ibal")</f>
        <v>Ibal</v>
      </c>
      <c r="H105" s="51">
        <f t="shared" ca="1" si="0"/>
        <v>46082</v>
      </c>
      <c r="I105" s="52" t="e">
        <f ca="1">SUMIFS(OUT!$F$2:$F$11000,OUT!$H$2:$H$11000,H105,OUT!$D$2:$D$101007,"In")</f>
        <v>#VALUE!</v>
      </c>
      <c r="J105" s="52">
        <f ca="1">SUMIFS(OUT!$F$2:$F$11000,OUT!$H$2:$H$11000,H105,OUT!$D$2:$D$11000,"Out")</f>
        <v>12026623</v>
      </c>
      <c r="K105" s="52">
        <f ca="1">SUMIFS(OUT!$F$2:$F$11000,OUT!$H$2:$H$11000,H105,OUT!$D$2:$D$11000,"Out",OUT!$E$2:$E$11000,"Fix")</f>
        <v>2865413</v>
      </c>
      <c r="L105" s="52">
        <f ca="1">SUMIFS(OUT!$F$2:$F$11000,OUT!$H$2:$H$11000,H105,OUT!$D$2:$D$11000,"Out",OUT!$E$2:$E$11000,"Bathroom")</f>
        <v>120488</v>
      </c>
      <c r="M105" s="52">
        <f ca="1">SUMIFS(OUT!$F$2:$F$11000,OUT!$H$2:$H$11000,H105,OUT!$D$2:$D$11000,"Out",OUT!$E$2:$E$11000,"Alfa")</f>
        <v>890962</v>
      </c>
      <c r="N105" s="52" t="e">
        <f ca="1">SUMIFS(OUT!$F$2:$F$11000,OUT!$H$2:$H$101007,H105,OUT!$D$2:$D$11000,"Out",OUT!$E$2:$E$11000,"Jajan")</f>
        <v>#VALUE!</v>
      </c>
      <c r="O105" s="52">
        <f ca="1">SUMIFS(OUT!$F$2:$F$11000,OUT!$H$2:$H$11000,H105,OUT!$D$2:$D$11000,"Out",OUT!$E$2:$E$11000,"Kitchen")</f>
        <v>1152600</v>
      </c>
      <c r="P105" s="52">
        <f ca="1">SUMIFS(OUT!$F$2:$F$11000,OUT!$H$2:$H$11000,H105,OUT!$D$2:$D$11000,"Out",OUT!$E$2:$E$11000,"Loandry")</f>
        <v>41000</v>
      </c>
      <c r="Q105" s="52">
        <f ca="1">SUMIFS(OUT!$F$2:$F$11000,OUT!$H$2:$H$11000,H105,OUT!$D$2:$D$11000,"Out",OUT!$E$2:$E$11000,"Mio")</f>
        <v>895700</v>
      </c>
      <c r="R105" s="52">
        <f ca="1">SUMIFS(OUT!$F$2:$F$11000,OUT!$H$2:$H$11000,H105,OUT!$D$2:$D$11000,"Out",OUT!$E$2:$E$11000,"Sedekah")</f>
        <v>130000</v>
      </c>
      <c r="S105" s="52">
        <f ca="1">SUMIFS(OUT!$F$2:$F$11000,OUT!$H$2:$H$11000,H105,OUT!$D$2:$D$11000,"Out",OUT!$E$2:$E$11000,"Zela")</f>
        <v>215161</v>
      </c>
      <c r="T105" s="52">
        <f ca="1">SUMIFS(OUT!$F$2:$F$11000,OUT!$H$2:$H$11000,H105,OUT!$D$2:$D$11000,"Out",OUT!$E$2:$E$11000,"Iqbal")</f>
        <v>215000</v>
      </c>
    </row>
    <row r="106" spans="1:20" x14ac:dyDescent="0.2">
      <c r="A106" s="48">
        <f ca="1">IFERROR(__xludf.DUMMYFUNCTION("""COMPUTED_VALUE"""),46109)</f>
        <v>46109</v>
      </c>
      <c r="B106" s="4" t="str">
        <f ca="1">IFERROR(__xludf.DUMMYFUNCTION("""COMPUTED_VALUE"""),"Pertalite")</f>
        <v>Pertalite</v>
      </c>
      <c r="C106" s="4" t="str">
        <f ca="1">IFERROR(__xludf.DUMMYFUNCTION("""COMPUTED_VALUE"""),"Cash")</f>
        <v>Cash</v>
      </c>
      <c r="D106" s="4" t="str">
        <f ca="1">IFERROR(__xludf.DUMMYFUNCTION("""COMPUTED_VALUE"""),"Out")</f>
        <v>Out</v>
      </c>
      <c r="E106" s="4" t="str">
        <f ca="1">IFERROR(__xludf.DUMMYFUNCTION("""COMPUTED_VALUE"""),"Mio")</f>
        <v>Mio</v>
      </c>
      <c r="F106" s="49">
        <f ca="1">IFERROR(__xludf.DUMMYFUNCTION("""COMPUTED_VALUE"""),11200)</f>
        <v>11200</v>
      </c>
      <c r="G106" s="50" t="str">
        <f ca="1">IFERROR(__xludf.DUMMYFUNCTION("""COMPUTED_VALUE"""),"Ibal")</f>
        <v>Ibal</v>
      </c>
      <c r="H106" s="51">
        <f t="shared" ca="1" si="0"/>
        <v>46082</v>
      </c>
      <c r="I106" s="52" t="e">
        <f ca="1">SUMIFS(OUT!$F$2:$F$11000,OUT!$H$2:$H$11000,H106,OUT!$D$2:$D$101007,"In")</f>
        <v>#VALUE!</v>
      </c>
      <c r="J106" s="52">
        <f ca="1">SUMIFS(OUT!$F$2:$F$11000,OUT!$H$2:$H$11000,H106,OUT!$D$2:$D$11000,"Out")</f>
        <v>12026623</v>
      </c>
      <c r="K106" s="52">
        <f ca="1">SUMIFS(OUT!$F$2:$F$11000,OUT!$H$2:$H$11000,H106,OUT!$D$2:$D$11000,"Out",OUT!$E$2:$E$11000,"Fix")</f>
        <v>2865413</v>
      </c>
      <c r="L106" s="52">
        <f ca="1">SUMIFS(OUT!$F$2:$F$11000,OUT!$H$2:$H$11000,H106,OUT!$D$2:$D$11000,"Out",OUT!$E$2:$E$11000,"Bathroom")</f>
        <v>120488</v>
      </c>
      <c r="M106" s="52">
        <f ca="1">SUMIFS(OUT!$F$2:$F$11000,OUT!$H$2:$H$11000,H106,OUT!$D$2:$D$11000,"Out",OUT!$E$2:$E$11000,"Alfa")</f>
        <v>890962</v>
      </c>
      <c r="N106" s="52" t="e">
        <f ca="1">SUMIFS(OUT!$F$2:$F$11000,OUT!$H$2:$H$101007,H106,OUT!$D$2:$D$11000,"Out",OUT!$E$2:$E$11000,"Jajan")</f>
        <v>#VALUE!</v>
      </c>
      <c r="O106" s="52">
        <f ca="1">SUMIFS(OUT!$F$2:$F$11000,OUT!$H$2:$H$11000,H106,OUT!$D$2:$D$11000,"Out",OUT!$E$2:$E$11000,"Kitchen")</f>
        <v>1152600</v>
      </c>
      <c r="P106" s="52">
        <f ca="1">SUMIFS(OUT!$F$2:$F$11000,OUT!$H$2:$H$11000,H106,OUT!$D$2:$D$11000,"Out",OUT!$E$2:$E$11000,"Loandry")</f>
        <v>41000</v>
      </c>
      <c r="Q106" s="52">
        <f ca="1">SUMIFS(OUT!$F$2:$F$11000,OUT!$H$2:$H$11000,H106,OUT!$D$2:$D$11000,"Out",OUT!$E$2:$E$11000,"Mio")</f>
        <v>895700</v>
      </c>
      <c r="R106" s="52">
        <f ca="1">SUMIFS(OUT!$F$2:$F$11000,OUT!$H$2:$H$11000,H106,OUT!$D$2:$D$11000,"Out",OUT!$E$2:$E$11000,"Sedekah")</f>
        <v>130000</v>
      </c>
      <c r="S106" s="52">
        <f ca="1">SUMIFS(OUT!$F$2:$F$11000,OUT!$H$2:$H$11000,H106,OUT!$D$2:$D$11000,"Out",OUT!$E$2:$E$11000,"Zela")</f>
        <v>215161</v>
      </c>
      <c r="T106" s="52">
        <f ca="1">SUMIFS(OUT!$F$2:$F$11000,OUT!$H$2:$H$11000,H106,OUT!$D$2:$D$11000,"Out",OUT!$E$2:$E$11000,"Iqbal")</f>
        <v>215000</v>
      </c>
    </row>
    <row r="107" spans="1:20" x14ac:dyDescent="0.2">
      <c r="A107" s="48">
        <f ca="1">IFERROR(__xludf.DUMMYFUNCTION("""COMPUTED_VALUE"""),46109)</f>
        <v>46109</v>
      </c>
      <c r="B107" s="4" t="str">
        <f ca="1">IFERROR(__xludf.DUMMYFUNCTION("""COMPUTED_VALUE"""),"Kulit jok")</f>
        <v>Kulit jok</v>
      </c>
      <c r="C107" s="4" t="str">
        <f ca="1">IFERROR(__xludf.DUMMYFUNCTION("""COMPUTED_VALUE"""),"ATM")</f>
        <v>ATM</v>
      </c>
      <c r="D107" s="4" t="str">
        <f ca="1">IFERROR(__xludf.DUMMYFUNCTION("""COMPUTED_VALUE"""),"Out")</f>
        <v>Out</v>
      </c>
      <c r="E107" s="4" t="str">
        <f ca="1">IFERROR(__xludf.DUMMYFUNCTION("""COMPUTED_VALUE"""),"Mio")</f>
        <v>Mio</v>
      </c>
      <c r="F107" s="49">
        <f ca="1">IFERROR(__xludf.DUMMYFUNCTION("""COMPUTED_VALUE"""),75000)</f>
        <v>75000</v>
      </c>
      <c r="G107" s="50" t="str">
        <f ca="1">IFERROR(__xludf.DUMMYFUNCTION("""COMPUTED_VALUE"""),"Ibal")</f>
        <v>Ibal</v>
      </c>
      <c r="H107" s="51">
        <f t="shared" ca="1" si="0"/>
        <v>46082</v>
      </c>
      <c r="I107" s="52" t="e">
        <f ca="1">SUMIFS(OUT!$F$2:$F$11000,OUT!$H$2:$H$11000,H107,OUT!$D$2:$D$101007,"In")</f>
        <v>#VALUE!</v>
      </c>
      <c r="J107" s="52">
        <f ca="1">SUMIFS(OUT!$F$2:$F$11000,OUT!$H$2:$H$11000,H107,OUT!$D$2:$D$11000,"Out")</f>
        <v>12026623</v>
      </c>
      <c r="K107" s="52">
        <f ca="1">SUMIFS(OUT!$F$2:$F$11000,OUT!$H$2:$H$11000,H107,OUT!$D$2:$D$11000,"Out",OUT!$E$2:$E$11000,"Fix")</f>
        <v>2865413</v>
      </c>
      <c r="L107" s="52">
        <f ca="1">SUMIFS(OUT!$F$2:$F$11000,OUT!$H$2:$H$11000,H107,OUT!$D$2:$D$11000,"Out",OUT!$E$2:$E$11000,"Bathroom")</f>
        <v>120488</v>
      </c>
      <c r="M107" s="52">
        <f ca="1">SUMIFS(OUT!$F$2:$F$11000,OUT!$H$2:$H$11000,H107,OUT!$D$2:$D$11000,"Out",OUT!$E$2:$E$11000,"Alfa")</f>
        <v>890962</v>
      </c>
      <c r="N107" s="52" t="e">
        <f ca="1">SUMIFS(OUT!$F$2:$F$11000,OUT!$H$2:$H$101007,H107,OUT!$D$2:$D$11000,"Out",OUT!$E$2:$E$11000,"Jajan")</f>
        <v>#VALUE!</v>
      </c>
      <c r="O107" s="52">
        <f ca="1">SUMIFS(OUT!$F$2:$F$11000,OUT!$H$2:$H$11000,H107,OUT!$D$2:$D$11000,"Out",OUT!$E$2:$E$11000,"Kitchen")</f>
        <v>1152600</v>
      </c>
      <c r="P107" s="52">
        <f ca="1">SUMIFS(OUT!$F$2:$F$11000,OUT!$H$2:$H$11000,H107,OUT!$D$2:$D$11000,"Out",OUT!$E$2:$E$11000,"Loandry")</f>
        <v>41000</v>
      </c>
      <c r="Q107" s="52">
        <f ca="1">SUMIFS(OUT!$F$2:$F$11000,OUT!$H$2:$H$11000,H107,OUT!$D$2:$D$11000,"Out",OUT!$E$2:$E$11000,"Mio")</f>
        <v>895700</v>
      </c>
      <c r="R107" s="52">
        <f ca="1">SUMIFS(OUT!$F$2:$F$11000,OUT!$H$2:$H$11000,H107,OUT!$D$2:$D$11000,"Out",OUT!$E$2:$E$11000,"Sedekah")</f>
        <v>130000</v>
      </c>
      <c r="S107" s="52">
        <f ca="1">SUMIFS(OUT!$F$2:$F$11000,OUT!$H$2:$H$11000,H107,OUT!$D$2:$D$11000,"Out",OUT!$E$2:$E$11000,"Zela")</f>
        <v>215161</v>
      </c>
      <c r="T107" s="52">
        <f ca="1">SUMIFS(OUT!$F$2:$F$11000,OUT!$H$2:$H$11000,H107,OUT!$D$2:$D$11000,"Out",OUT!$E$2:$E$11000,"Iqbal")</f>
        <v>215000</v>
      </c>
    </row>
    <row r="108" spans="1:20" x14ac:dyDescent="0.2">
      <c r="A108" s="48">
        <f ca="1">IFERROR(__xludf.DUMMYFUNCTION("""COMPUTED_VALUE"""),46109)</f>
        <v>46109</v>
      </c>
      <c r="B108" s="4" t="str">
        <f ca="1">IFERROR(__xludf.DUMMYFUNCTION("""COMPUTED_VALUE"""),"Minyak rem")</f>
        <v>Minyak rem</v>
      </c>
      <c r="C108" s="4" t="str">
        <f ca="1">IFERROR(__xludf.DUMMYFUNCTION("""COMPUTED_VALUE"""),"ATM")</f>
        <v>ATM</v>
      </c>
      <c r="D108" s="4" t="str">
        <f ca="1">IFERROR(__xludf.DUMMYFUNCTION("""COMPUTED_VALUE"""),"Out")</f>
        <v>Out</v>
      </c>
      <c r="E108" s="4" t="str">
        <f ca="1">IFERROR(__xludf.DUMMYFUNCTION("""COMPUTED_VALUE"""),"Mio")</f>
        <v>Mio</v>
      </c>
      <c r="F108" s="49">
        <f ca="1">IFERROR(__xludf.DUMMYFUNCTION("""COMPUTED_VALUE"""),15000)</f>
        <v>15000</v>
      </c>
      <c r="G108" s="50" t="str">
        <f ca="1">IFERROR(__xludf.DUMMYFUNCTION("""COMPUTED_VALUE"""),"Ibal")</f>
        <v>Ibal</v>
      </c>
      <c r="H108" s="51">
        <f t="shared" ca="1" si="0"/>
        <v>46082</v>
      </c>
      <c r="I108" s="52" t="e">
        <f ca="1">SUMIFS(OUT!$F$2:$F$11000,OUT!$H$2:$H$11000,H108,OUT!$D$2:$D$101007,"In")</f>
        <v>#VALUE!</v>
      </c>
      <c r="J108" s="52">
        <f ca="1">SUMIFS(OUT!$F$2:$F$11000,OUT!$H$2:$H$11000,H108,OUT!$D$2:$D$11000,"Out")</f>
        <v>12026623</v>
      </c>
      <c r="K108" s="52">
        <f ca="1">SUMIFS(OUT!$F$2:$F$11000,OUT!$H$2:$H$11000,H108,OUT!$D$2:$D$11000,"Out",OUT!$E$2:$E$11000,"Fix")</f>
        <v>2865413</v>
      </c>
      <c r="L108" s="52">
        <f ca="1">SUMIFS(OUT!$F$2:$F$11000,OUT!$H$2:$H$11000,H108,OUT!$D$2:$D$11000,"Out",OUT!$E$2:$E$11000,"Bathroom")</f>
        <v>120488</v>
      </c>
      <c r="M108" s="52">
        <f ca="1">SUMIFS(OUT!$F$2:$F$11000,OUT!$H$2:$H$11000,H108,OUT!$D$2:$D$11000,"Out",OUT!$E$2:$E$11000,"Alfa")</f>
        <v>890962</v>
      </c>
      <c r="N108" s="52" t="e">
        <f ca="1">SUMIFS(OUT!$F$2:$F$11000,OUT!$H$2:$H$101007,H108,OUT!$D$2:$D$11000,"Out",OUT!$E$2:$E$11000,"Jajan")</f>
        <v>#VALUE!</v>
      </c>
      <c r="O108" s="52">
        <f ca="1">SUMIFS(OUT!$F$2:$F$11000,OUT!$H$2:$H$11000,H108,OUT!$D$2:$D$11000,"Out",OUT!$E$2:$E$11000,"Kitchen")</f>
        <v>1152600</v>
      </c>
      <c r="P108" s="52">
        <f ca="1">SUMIFS(OUT!$F$2:$F$11000,OUT!$H$2:$H$11000,H108,OUT!$D$2:$D$11000,"Out",OUT!$E$2:$E$11000,"Loandry")</f>
        <v>41000</v>
      </c>
      <c r="Q108" s="52">
        <f ca="1">SUMIFS(OUT!$F$2:$F$11000,OUT!$H$2:$H$11000,H108,OUT!$D$2:$D$11000,"Out",OUT!$E$2:$E$11000,"Mio")</f>
        <v>895700</v>
      </c>
      <c r="R108" s="52">
        <f ca="1">SUMIFS(OUT!$F$2:$F$11000,OUT!$H$2:$H$11000,H108,OUT!$D$2:$D$11000,"Out",OUT!$E$2:$E$11000,"Sedekah")</f>
        <v>130000</v>
      </c>
      <c r="S108" s="52">
        <f ca="1">SUMIFS(OUT!$F$2:$F$11000,OUT!$H$2:$H$11000,H108,OUT!$D$2:$D$11000,"Out",OUT!$E$2:$E$11000,"Zela")</f>
        <v>215161</v>
      </c>
      <c r="T108" s="52">
        <f ca="1">SUMIFS(OUT!$F$2:$F$11000,OUT!$H$2:$H$11000,H108,OUT!$D$2:$D$11000,"Out",OUT!$E$2:$E$11000,"Iqbal")</f>
        <v>215000</v>
      </c>
    </row>
    <row r="109" spans="1:20" x14ac:dyDescent="0.2">
      <c r="A109" s="48">
        <f ca="1">IFERROR(__xludf.DUMMYFUNCTION("""COMPUTED_VALUE"""),46109)</f>
        <v>46109</v>
      </c>
      <c r="B109" s="4" t="str">
        <f ca="1">IFERROR(__xludf.DUMMYFUNCTION("""COMPUTED_VALUE"""),"Gorengan")</f>
        <v>Gorengan</v>
      </c>
      <c r="C109" s="4" t="str">
        <f ca="1">IFERROR(__xludf.DUMMYFUNCTION("""COMPUTED_VALUE"""),"ATM")</f>
        <v>ATM</v>
      </c>
      <c r="D109" s="4" t="str">
        <f ca="1">IFERROR(__xludf.DUMMYFUNCTION("""COMPUTED_VALUE"""),"Out")</f>
        <v>Out</v>
      </c>
      <c r="E109" s="4" t="str">
        <f ca="1">IFERROR(__xludf.DUMMYFUNCTION("""COMPUTED_VALUE"""),"Jajan")</f>
        <v>Jajan</v>
      </c>
      <c r="F109" s="49">
        <f ca="1">IFERROR(__xludf.DUMMYFUNCTION("""COMPUTED_VALUE"""),10000)</f>
        <v>10000</v>
      </c>
      <c r="G109" s="50" t="str">
        <f ca="1">IFERROR(__xludf.DUMMYFUNCTION("""COMPUTED_VALUE"""),"Ibal")</f>
        <v>Ibal</v>
      </c>
      <c r="H109" s="51">
        <f t="shared" ca="1" si="0"/>
        <v>46082</v>
      </c>
      <c r="I109" s="52" t="e">
        <f ca="1">SUMIFS(OUT!$F$2:$F$11000,OUT!$H$2:$H$11000,H109,OUT!$D$2:$D$101007,"In")</f>
        <v>#VALUE!</v>
      </c>
      <c r="J109" s="52">
        <f ca="1">SUMIFS(OUT!$F$2:$F$11000,OUT!$H$2:$H$11000,H109,OUT!$D$2:$D$11000,"Out")</f>
        <v>12026623</v>
      </c>
      <c r="K109" s="52">
        <f ca="1">SUMIFS(OUT!$F$2:$F$11000,OUT!$H$2:$H$11000,H109,OUT!$D$2:$D$11000,"Out",OUT!$E$2:$E$11000,"Fix")</f>
        <v>2865413</v>
      </c>
      <c r="L109" s="52">
        <f ca="1">SUMIFS(OUT!$F$2:$F$11000,OUT!$H$2:$H$11000,H109,OUT!$D$2:$D$11000,"Out",OUT!$E$2:$E$11000,"Bathroom")</f>
        <v>120488</v>
      </c>
      <c r="M109" s="52">
        <f ca="1">SUMIFS(OUT!$F$2:$F$11000,OUT!$H$2:$H$11000,H109,OUT!$D$2:$D$11000,"Out",OUT!$E$2:$E$11000,"Alfa")</f>
        <v>890962</v>
      </c>
      <c r="N109" s="52" t="e">
        <f ca="1">SUMIFS(OUT!$F$2:$F$11000,OUT!$H$2:$H$101007,H109,OUT!$D$2:$D$11000,"Out",OUT!$E$2:$E$11000,"Jajan")</f>
        <v>#VALUE!</v>
      </c>
      <c r="O109" s="52">
        <f ca="1">SUMIFS(OUT!$F$2:$F$11000,OUT!$H$2:$H$11000,H109,OUT!$D$2:$D$11000,"Out",OUT!$E$2:$E$11000,"Kitchen")</f>
        <v>1152600</v>
      </c>
      <c r="P109" s="52">
        <f ca="1">SUMIFS(OUT!$F$2:$F$11000,OUT!$H$2:$H$11000,H109,OUT!$D$2:$D$11000,"Out",OUT!$E$2:$E$11000,"Loandry")</f>
        <v>41000</v>
      </c>
      <c r="Q109" s="52">
        <f ca="1">SUMIFS(OUT!$F$2:$F$11000,OUT!$H$2:$H$11000,H109,OUT!$D$2:$D$11000,"Out",OUT!$E$2:$E$11000,"Mio")</f>
        <v>895700</v>
      </c>
      <c r="R109" s="52">
        <f ca="1">SUMIFS(OUT!$F$2:$F$11000,OUT!$H$2:$H$11000,H109,OUT!$D$2:$D$11000,"Out",OUT!$E$2:$E$11000,"Sedekah")</f>
        <v>130000</v>
      </c>
      <c r="S109" s="52">
        <f ca="1">SUMIFS(OUT!$F$2:$F$11000,OUT!$H$2:$H$11000,H109,OUT!$D$2:$D$11000,"Out",OUT!$E$2:$E$11000,"Zela")</f>
        <v>215161</v>
      </c>
      <c r="T109" s="52">
        <f ca="1">SUMIFS(OUT!$F$2:$F$11000,OUT!$H$2:$H$11000,H109,OUT!$D$2:$D$11000,"Out",OUT!$E$2:$E$11000,"Iqbal")</f>
        <v>215000</v>
      </c>
    </row>
    <row r="110" spans="1:20" x14ac:dyDescent="0.2">
      <c r="A110" s="48">
        <f ca="1">IFERROR(__xludf.DUMMYFUNCTION("""COMPUTED_VALUE"""),46111)</f>
        <v>46111</v>
      </c>
      <c r="B110" s="4" t="str">
        <f ca="1">IFERROR(__xludf.DUMMYFUNCTION("""COMPUTED_VALUE"""),"Pertamax 98")</f>
        <v>Pertamax 98</v>
      </c>
      <c r="C110" s="4" t="str">
        <f ca="1">IFERROR(__xludf.DUMMYFUNCTION("""COMPUTED_VALUE"""),"ATM")</f>
        <v>ATM</v>
      </c>
      <c r="D110" s="4" t="str">
        <f ca="1">IFERROR(__xludf.DUMMYFUNCTION("""COMPUTED_VALUE"""),"Out")</f>
        <v>Out</v>
      </c>
      <c r="E110" s="4" t="str">
        <f ca="1">IFERROR(__xludf.DUMMYFUNCTION("""COMPUTED_VALUE"""),"Mio")</f>
        <v>Mio</v>
      </c>
      <c r="F110" s="49">
        <f ca="1">IFERROR(__xludf.DUMMYFUNCTION("""COMPUTED_VALUE"""),30000)</f>
        <v>30000</v>
      </c>
      <c r="G110" s="50" t="str">
        <f ca="1">IFERROR(__xludf.DUMMYFUNCTION("""COMPUTED_VALUE"""),"Ibal")</f>
        <v>Ibal</v>
      </c>
      <c r="H110" s="51">
        <f t="shared" ca="1" si="0"/>
        <v>46082</v>
      </c>
      <c r="I110" s="52" t="e">
        <f ca="1">SUMIFS(OUT!$F$2:$F$11000,OUT!$H$2:$H$11000,H110,OUT!$D$2:$D$101007,"In")</f>
        <v>#VALUE!</v>
      </c>
      <c r="J110" s="52">
        <f ca="1">SUMIFS(OUT!$F$2:$F$11000,OUT!$H$2:$H$11000,H110,OUT!$D$2:$D$11000,"Out")</f>
        <v>12026623</v>
      </c>
      <c r="K110" s="52">
        <f ca="1">SUMIFS(OUT!$F$2:$F$11000,OUT!$H$2:$H$11000,H110,OUT!$D$2:$D$11000,"Out",OUT!$E$2:$E$11000,"Fix")</f>
        <v>2865413</v>
      </c>
      <c r="L110" s="52">
        <f ca="1">SUMIFS(OUT!$F$2:$F$11000,OUT!$H$2:$H$11000,H110,OUT!$D$2:$D$11000,"Out",OUT!$E$2:$E$11000,"Bathroom")</f>
        <v>120488</v>
      </c>
      <c r="M110" s="52">
        <f ca="1">SUMIFS(OUT!$F$2:$F$11000,OUT!$H$2:$H$11000,H110,OUT!$D$2:$D$11000,"Out",OUT!$E$2:$E$11000,"Alfa")</f>
        <v>890962</v>
      </c>
      <c r="N110" s="52" t="e">
        <f ca="1">SUMIFS(OUT!$F$2:$F$11000,OUT!$H$2:$H$101007,H110,OUT!$D$2:$D$11000,"Out",OUT!$E$2:$E$11000,"Jajan")</f>
        <v>#VALUE!</v>
      </c>
      <c r="O110" s="52">
        <f ca="1">SUMIFS(OUT!$F$2:$F$11000,OUT!$H$2:$H$11000,H110,OUT!$D$2:$D$11000,"Out",OUT!$E$2:$E$11000,"Kitchen")</f>
        <v>1152600</v>
      </c>
      <c r="P110" s="52">
        <f ca="1">SUMIFS(OUT!$F$2:$F$11000,OUT!$H$2:$H$11000,H110,OUT!$D$2:$D$11000,"Out",OUT!$E$2:$E$11000,"Loandry")</f>
        <v>41000</v>
      </c>
      <c r="Q110" s="52">
        <f ca="1">SUMIFS(OUT!$F$2:$F$11000,OUT!$H$2:$H$11000,H110,OUT!$D$2:$D$11000,"Out",OUT!$E$2:$E$11000,"Mio")</f>
        <v>895700</v>
      </c>
      <c r="R110" s="52">
        <f ca="1">SUMIFS(OUT!$F$2:$F$11000,OUT!$H$2:$H$11000,H110,OUT!$D$2:$D$11000,"Out",OUT!$E$2:$E$11000,"Sedekah")</f>
        <v>130000</v>
      </c>
      <c r="S110" s="52">
        <f ca="1">SUMIFS(OUT!$F$2:$F$11000,OUT!$H$2:$H$11000,H110,OUT!$D$2:$D$11000,"Out",OUT!$E$2:$E$11000,"Zela")</f>
        <v>215161</v>
      </c>
      <c r="T110" s="52">
        <f ca="1">SUMIFS(OUT!$F$2:$F$11000,OUT!$H$2:$H$11000,H110,OUT!$D$2:$D$11000,"Out",OUT!$E$2:$E$11000,"Iqbal")</f>
        <v>215000</v>
      </c>
    </row>
    <row r="111" spans="1:20" x14ac:dyDescent="0.2">
      <c r="A111" s="48">
        <f ca="1">IFERROR(__xludf.DUMMYFUNCTION("""COMPUTED_VALUE"""),46114)</f>
        <v>46114</v>
      </c>
      <c r="B111" s="4" t="str">
        <f ca="1">IFERROR(__xludf.DUMMYFUNCTION("""COMPUTED_VALUE"""),"Gaji Maret 2026")</f>
        <v>Gaji Maret 2026</v>
      </c>
      <c r="C111" s="4" t="str">
        <f ca="1">IFERROR(__xludf.DUMMYFUNCTION("""COMPUTED_VALUE"""),"ATM")</f>
        <v>ATM</v>
      </c>
      <c r="D111" s="4" t="str">
        <f ca="1">IFERROR(__xludf.DUMMYFUNCTION("""COMPUTED_VALUE"""),"In")</f>
        <v>In</v>
      </c>
      <c r="E111" s="4" t="str">
        <f ca="1">IFERROR(__xludf.DUMMYFUNCTION("""COMPUTED_VALUE"""),"Fix")</f>
        <v>Fix</v>
      </c>
      <c r="F111" s="49">
        <f ca="1">IFERROR(__xludf.DUMMYFUNCTION("""COMPUTED_VALUE"""),4323235)</f>
        <v>4323235</v>
      </c>
      <c r="G111" s="50" t="str">
        <f ca="1">IFERROR(__xludf.DUMMYFUNCTION("""COMPUTED_VALUE"""),"Ibal")</f>
        <v>Ibal</v>
      </c>
      <c r="H111" s="51">
        <f t="shared" ca="1" si="0"/>
        <v>46113</v>
      </c>
      <c r="I111" s="52" t="e">
        <f ca="1">SUMIFS(OUT!$F$2:$F$11000,OUT!$H$2:$H$11000,H111,OUT!$D$2:$D$101007,"In")</f>
        <v>#VALUE!</v>
      </c>
      <c r="J111" s="52">
        <f ca="1">SUMIFS(OUT!$F$2:$F$11000,OUT!$H$2:$H$11000,H111,OUT!$D$2:$D$11000,"Out")</f>
        <v>8253441</v>
      </c>
      <c r="K111" s="52">
        <f ca="1">SUMIFS(OUT!$F$2:$F$11000,OUT!$H$2:$H$11000,H111,OUT!$D$2:$D$11000,"Out",OUT!$E$2:$E$11000,"Fix")</f>
        <v>2554300</v>
      </c>
      <c r="L111" s="52">
        <f ca="1">SUMIFS(OUT!$F$2:$F$11000,OUT!$H$2:$H$11000,H111,OUT!$D$2:$D$11000,"Out",OUT!$E$2:$E$11000,"Bathroom")</f>
        <v>19900</v>
      </c>
      <c r="M111" s="52">
        <f ca="1">SUMIFS(OUT!$F$2:$F$11000,OUT!$H$2:$H$11000,H111,OUT!$D$2:$D$11000,"Out",OUT!$E$2:$E$11000,"Alfa")</f>
        <v>282719</v>
      </c>
      <c r="N111" s="52" t="e">
        <f ca="1">SUMIFS(OUT!$F$2:$F$11000,OUT!$H$2:$H$101007,H111,OUT!$D$2:$D$11000,"Out",OUT!$E$2:$E$11000,"Jajan")</f>
        <v>#VALUE!</v>
      </c>
      <c r="O111" s="52">
        <f ca="1">SUMIFS(OUT!$F$2:$F$11000,OUT!$H$2:$H$11000,H111,OUT!$D$2:$D$11000,"Out",OUT!$E$2:$E$11000,"Kitchen")</f>
        <v>964968</v>
      </c>
      <c r="P111" s="52">
        <f ca="1">SUMIFS(OUT!$F$2:$F$11000,OUT!$H$2:$H$11000,H111,OUT!$D$2:$D$11000,"Out",OUT!$E$2:$E$11000,"Loandry")</f>
        <v>58396</v>
      </c>
      <c r="Q111" s="52">
        <f ca="1">SUMIFS(OUT!$F$2:$F$11000,OUT!$H$2:$H$11000,H111,OUT!$D$2:$D$11000,"Out",OUT!$E$2:$E$11000,"Mio")</f>
        <v>181000</v>
      </c>
      <c r="R111" s="52">
        <f ca="1">SUMIFS(OUT!$F$2:$F$11000,OUT!$H$2:$H$11000,H111,OUT!$D$2:$D$11000,"Out",OUT!$E$2:$E$11000,"Sedekah")</f>
        <v>0</v>
      </c>
      <c r="S111" s="52">
        <f ca="1">SUMIFS(OUT!$F$2:$F$11000,OUT!$H$2:$H$11000,H111,OUT!$D$2:$D$11000,"Out",OUT!$E$2:$E$11000,"Zela")</f>
        <v>90500</v>
      </c>
      <c r="T111" s="52">
        <f ca="1">SUMIFS(OUT!$F$2:$F$11000,OUT!$H$2:$H$11000,H111,OUT!$D$2:$D$11000,"Out",OUT!$E$2:$E$11000,"Iqbal")</f>
        <v>74070</v>
      </c>
    </row>
    <row r="112" spans="1:20" x14ac:dyDescent="0.2">
      <c r="A112" s="48">
        <f ca="1">IFERROR(__xludf.DUMMYFUNCTION("""COMPUTED_VALUE"""),46114)</f>
        <v>46114</v>
      </c>
      <c r="B112" s="4" t="str">
        <f ca="1">IFERROR(__xludf.DUMMYFUNCTION("""COMPUTED_VALUE"""),"Istriku")</f>
        <v>Istriku</v>
      </c>
      <c r="C112" s="4" t="str">
        <f ca="1">IFERROR(__xludf.DUMMYFUNCTION("""COMPUTED_VALUE"""),"ATM")</f>
        <v>ATM</v>
      </c>
      <c r="D112" s="4" t="str">
        <f ca="1">IFERROR(__xludf.DUMMYFUNCTION("""COMPUTED_VALUE"""),"Out")</f>
        <v>Out</v>
      </c>
      <c r="E112" s="4" t="str">
        <f ca="1">IFERROR(__xludf.DUMMYFUNCTION("""COMPUTED_VALUE"""),"Move")</f>
        <v>Move</v>
      </c>
      <c r="F112" s="49">
        <f ca="1">IFERROR(__xludf.DUMMYFUNCTION("""COMPUTED_VALUE"""),1720088)</f>
        <v>1720088</v>
      </c>
      <c r="G112" s="50" t="str">
        <f ca="1">IFERROR(__xludf.DUMMYFUNCTION("""COMPUTED_VALUE"""),"Ibal")</f>
        <v>Ibal</v>
      </c>
      <c r="H112" s="51">
        <f t="shared" ca="1" si="0"/>
        <v>46113</v>
      </c>
      <c r="I112" s="52" t="e">
        <f ca="1">SUMIFS(OUT!$F$2:$F$11000,OUT!$H$2:$H$11000,H112,OUT!$D$2:$D$101007,"In")</f>
        <v>#VALUE!</v>
      </c>
      <c r="J112" s="52">
        <f ca="1">SUMIFS(OUT!$F$2:$F$11000,OUT!$H$2:$H$11000,H112,OUT!$D$2:$D$11000,"Out")</f>
        <v>8253441</v>
      </c>
      <c r="K112" s="52">
        <f ca="1">SUMIFS(OUT!$F$2:$F$11000,OUT!$H$2:$H$11000,H112,OUT!$D$2:$D$11000,"Out",OUT!$E$2:$E$11000,"Fix")</f>
        <v>2554300</v>
      </c>
      <c r="L112" s="52">
        <f ca="1">SUMIFS(OUT!$F$2:$F$11000,OUT!$H$2:$H$11000,H112,OUT!$D$2:$D$11000,"Out",OUT!$E$2:$E$11000,"Bathroom")</f>
        <v>19900</v>
      </c>
      <c r="M112" s="52">
        <f ca="1">SUMIFS(OUT!$F$2:$F$11000,OUT!$H$2:$H$11000,H112,OUT!$D$2:$D$11000,"Out",OUT!$E$2:$E$11000,"Alfa")</f>
        <v>282719</v>
      </c>
      <c r="N112" s="52" t="e">
        <f ca="1">SUMIFS(OUT!$F$2:$F$11000,OUT!$H$2:$H$101007,H112,OUT!$D$2:$D$11000,"Out",OUT!$E$2:$E$11000,"Jajan")</f>
        <v>#VALUE!</v>
      </c>
      <c r="O112" s="52">
        <f ca="1">SUMIFS(OUT!$F$2:$F$11000,OUT!$H$2:$H$11000,H112,OUT!$D$2:$D$11000,"Out",OUT!$E$2:$E$11000,"Kitchen")</f>
        <v>964968</v>
      </c>
      <c r="P112" s="52">
        <f ca="1">SUMIFS(OUT!$F$2:$F$11000,OUT!$H$2:$H$11000,H112,OUT!$D$2:$D$11000,"Out",OUT!$E$2:$E$11000,"Loandry")</f>
        <v>58396</v>
      </c>
      <c r="Q112" s="52">
        <f ca="1">SUMIFS(OUT!$F$2:$F$11000,OUT!$H$2:$H$11000,H112,OUT!$D$2:$D$11000,"Out",OUT!$E$2:$E$11000,"Mio")</f>
        <v>181000</v>
      </c>
      <c r="R112" s="52">
        <f ca="1">SUMIFS(OUT!$F$2:$F$11000,OUT!$H$2:$H$11000,H112,OUT!$D$2:$D$11000,"Out",OUT!$E$2:$E$11000,"Sedekah")</f>
        <v>0</v>
      </c>
      <c r="S112" s="52">
        <f ca="1">SUMIFS(OUT!$F$2:$F$11000,OUT!$H$2:$H$11000,H112,OUT!$D$2:$D$11000,"Out",OUT!$E$2:$E$11000,"Zela")</f>
        <v>90500</v>
      </c>
      <c r="T112" s="52">
        <f ca="1">SUMIFS(OUT!$F$2:$F$11000,OUT!$H$2:$H$11000,H112,OUT!$D$2:$D$11000,"Out",OUT!$E$2:$E$11000,"Iqbal")</f>
        <v>74070</v>
      </c>
    </row>
    <row r="113" spans="1:20" x14ac:dyDescent="0.2">
      <c r="A113" s="48">
        <f ca="1">IFERROR(__xludf.DUMMYFUNCTION("""COMPUTED_VALUE"""),46114)</f>
        <v>46114</v>
      </c>
      <c r="B113" s="4" t="str">
        <f ca="1">IFERROR(__xludf.DUMMYFUNCTION("""COMPUTED_VALUE"""),"Iqbal Shopee (7)")</f>
        <v>Iqbal Shopee (7)</v>
      </c>
      <c r="C113" s="4" t="str">
        <f ca="1">IFERROR(__xludf.DUMMYFUNCTION("""COMPUTED_VALUE"""),"ATM")</f>
        <v>ATM</v>
      </c>
      <c r="D113" s="4" t="str">
        <f ca="1">IFERROR(__xludf.DUMMYFUNCTION("""COMPUTED_VALUE"""),"Out")</f>
        <v>Out</v>
      </c>
      <c r="E113" s="4" t="str">
        <f ca="1">IFERROR(__xludf.DUMMYFUNCTION("""COMPUTED_VALUE"""),"Fix")</f>
        <v>Fix</v>
      </c>
      <c r="F113" s="49">
        <f ca="1">IFERROR(__xludf.DUMMYFUNCTION("""COMPUTED_VALUE"""),624137)</f>
        <v>624137</v>
      </c>
      <c r="G113" s="50" t="str">
        <f ca="1">IFERROR(__xludf.DUMMYFUNCTION("""COMPUTED_VALUE"""),"Ibal")</f>
        <v>Ibal</v>
      </c>
      <c r="H113" s="51">
        <f t="shared" ca="1" si="0"/>
        <v>46113</v>
      </c>
      <c r="I113" s="52" t="e">
        <f ca="1">SUMIFS(OUT!$F$2:$F$11000,OUT!$H$2:$H$11000,H113,OUT!$D$2:$D$101007,"In")</f>
        <v>#VALUE!</v>
      </c>
      <c r="J113" s="52">
        <f ca="1">SUMIFS(OUT!$F$2:$F$11000,OUT!$H$2:$H$11000,H113,OUT!$D$2:$D$11000,"Out")</f>
        <v>8253441</v>
      </c>
      <c r="K113" s="52">
        <f ca="1">SUMIFS(OUT!$F$2:$F$11000,OUT!$H$2:$H$11000,H113,OUT!$D$2:$D$11000,"Out",OUT!$E$2:$E$11000,"Fix")</f>
        <v>2554300</v>
      </c>
      <c r="L113" s="52">
        <f ca="1">SUMIFS(OUT!$F$2:$F$11000,OUT!$H$2:$H$11000,H113,OUT!$D$2:$D$11000,"Out",OUT!$E$2:$E$11000,"Bathroom")</f>
        <v>19900</v>
      </c>
      <c r="M113" s="52">
        <f ca="1">SUMIFS(OUT!$F$2:$F$11000,OUT!$H$2:$H$11000,H113,OUT!$D$2:$D$11000,"Out",OUT!$E$2:$E$11000,"Alfa")</f>
        <v>282719</v>
      </c>
      <c r="N113" s="52" t="e">
        <f ca="1">SUMIFS(OUT!$F$2:$F$11000,OUT!$H$2:$H$101007,H113,OUT!$D$2:$D$11000,"Out",OUT!$E$2:$E$11000,"Jajan")</f>
        <v>#VALUE!</v>
      </c>
      <c r="O113" s="52">
        <f ca="1">SUMIFS(OUT!$F$2:$F$11000,OUT!$H$2:$H$11000,H113,OUT!$D$2:$D$11000,"Out",OUT!$E$2:$E$11000,"Kitchen")</f>
        <v>964968</v>
      </c>
      <c r="P113" s="52">
        <f ca="1">SUMIFS(OUT!$F$2:$F$11000,OUT!$H$2:$H$11000,H113,OUT!$D$2:$D$11000,"Out",OUT!$E$2:$E$11000,"Loandry")</f>
        <v>58396</v>
      </c>
      <c r="Q113" s="52">
        <f ca="1">SUMIFS(OUT!$F$2:$F$11000,OUT!$H$2:$H$11000,H113,OUT!$D$2:$D$11000,"Out",OUT!$E$2:$E$11000,"Mio")</f>
        <v>181000</v>
      </c>
      <c r="R113" s="52">
        <f ca="1">SUMIFS(OUT!$F$2:$F$11000,OUT!$H$2:$H$11000,H113,OUT!$D$2:$D$11000,"Out",OUT!$E$2:$E$11000,"Sedekah")</f>
        <v>0</v>
      </c>
      <c r="S113" s="52">
        <f ca="1">SUMIFS(OUT!$F$2:$F$11000,OUT!$H$2:$H$11000,H113,OUT!$D$2:$D$11000,"Out",OUT!$E$2:$E$11000,"Zela")</f>
        <v>90500</v>
      </c>
      <c r="T113" s="52">
        <f ca="1">SUMIFS(OUT!$F$2:$F$11000,OUT!$H$2:$H$11000,H113,OUT!$D$2:$D$11000,"Out",OUT!$E$2:$E$11000,"Iqbal")</f>
        <v>74070</v>
      </c>
    </row>
    <row r="114" spans="1:20" x14ac:dyDescent="0.2">
      <c r="A114" s="48">
        <f ca="1">IFERROR(__xludf.DUMMYFUNCTION("""COMPUTED_VALUE"""),46114)</f>
        <v>46114</v>
      </c>
      <c r="B114" s="4" t="str">
        <f ca="1">IFERROR(__xludf.DUMMYFUNCTION("""COMPUTED_VALUE"""),"Bracket TV (2)")</f>
        <v>Bracket TV (2)</v>
      </c>
      <c r="C114" s="4" t="str">
        <f ca="1">IFERROR(__xludf.DUMMYFUNCTION("""COMPUTED_VALUE"""),"ATM")</f>
        <v>ATM</v>
      </c>
      <c r="D114" s="4" t="str">
        <f ca="1">IFERROR(__xludf.DUMMYFUNCTION("""COMPUTED_VALUE"""),"Out")</f>
        <v>Out</v>
      </c>
      <c r="E114" s="4" t="str">
        <f ca="1">IFERROR(__xludf.DUMMYFUNCTION("""COMPUTED_VALUE"""),"Fix")</f>
        <v>Fix</v>
      </c>
      <c r="F114" s="49">
        <f ca="1">IFERROR(__xludf.DUMMYFUNCTION("""COMPUTED_VALUE"""),20602)</f>
        <v>20602</v>
      </c>
      <c r="G114" s="50" t="str">
        <f ca="1">IFERROR(__xludf.DUMMYFUNCTION("""COMPUTED_VALUE"""),"Ibal")</f>
        <v>Ibal</v>
      </c>
      <c r="H114" s="51">
        <f t="shared" ca="1" si="0"/>
        <v>46113</v>
      </c>
      <c r="I114" s="52" t="e">
        <f ca="1">SUMIFS(OUT!$F$2:$F$11000,OUT!$H$2:$H$11000,H114,OUT!$D$2:$D$101007,"In")</f>
        <v>#VALUE!</v>
      </c>
      <c r="J114" s="52">
        <f ca="1">SUMIFS(OUT!$F$2:$F$11000,OUT!$H$2:$H$11000,H114,OUT!$D$2:$D$11000,"Out")</f>
        <v>8253441</v>
      </c>
      <c r="K114" s="52">
        <f ca="1">SUMIFS(OUT!$F$2:$F$11000,OUT!$H$2:$H$11000,H114,OUT!$D$2:$D$11000,"Out",OUT!$E$2:$E$11000,"Fix")</f>
        <v>2554300</v>
      </c>
      <c r="L114" s="52">
        <f ca="1">SUMIFS(OUT!$F$2:$F$11000,OUT!$H$2:$H$11000,H114,OUT!$D$2:$D$11000,"Out",OUT!$E$2:$E$11000,"Bathroom")</f>
        <v>19900</v>
      </c>
      <c r="M114" s="52">
        <f ca="1">SUMIFS(OUT!$F$2:$F$11000,OUT!$H$2:$H$11000,H114,OUT!$D$2:$D$11000,"Out",OUT!$E$2:$E$11000,"Alfa")</f>
        <v>282719</v>
      </c>
      <c r="N114" s="52" t="e">
        <f ca="1">SUMIFS(OUT!$F$2:$F$11000,OUT!$H$2:$H$101007,H114,OUT!$D$2:$D$11000,"Out",OUT!$E$2:$E$11000,"Jajan")</f>
        <v>#VALUE!</v>
      </c>
      <c r="O114" s="52">
        <f ca="1">SUMIFS(OUT!$F$2:$F$11000,OUT!$H$2:$H$11000,H114,OUT!$D$2:$D$11000,"Out",OUT!$E$2:$E$11000,"Kitchen")</f>
        <v>964968</v>
      </c>
      <c r="P114" s="52">
        <f ca="1">SUMIFS(OUT!$F$2:$F$11000,OUT!$H$2:$H$11000,H114,OUT!$D$2:$D$11000,"Out",OUT!$E$2:$E$11000,"Loandry")</f>
        <v>58396</v>
      </c>
      <c r="Q114" s="52">
        <f ca="1">SUMIFS(OUT!$F$2:$F$11000,OUT!$H$2:$H$11000,H114,OUT!$D$2:$D$11000,"Out",OUT!$E$2:$E$11000,"Mio")</f>
        <v>181000</v>
      </c>
      <c r="R114" s="52">
        <f ca="1">SUMIFS(OUT!$F$2:$F$11000,OUT!$H$2:$H$11000,H114,OUT!$D$2:$D$11000,"Out",OUT!$E$2:$E$11000,"Sedekah")</f>
        <v>0</v>
      </c>
      <c r="S114" s="52">
        <f ca="1">SUMIFS(OUT!$F$2:$F$11000,OUT!$H$2:$H$11000,H114,OUT!$D$2:$D$11000,"Out",OUT!$E$2:$E$11000,"Zela")</f>
        <v>90500</v>
      </c>
      <c r="T114" s="52">
        <f ca="1">SUMIFS(OUT!$F$2:$F$11000,OUT!$H$2:$H$11000,H114,OUT!$D$2:$D$11000,"Out",OUT!$E$2:$E$11000,"Iqbal")</f>
        <v>74070</v>
      </c>
    </row>
    <row r="115" spans="1:20" x14ac:dyDescent="0.2">
      <c r="A115" s="48">
        <f ca="1">IFERROR(__xludf.DUMMYFUNCTION("""COMPUTED_VALUE"""),46114)</f>
        <v>46114</v>
      </c>
      <c r="B115" s="4" t="str">
        <f ca="1">IFERROR(__xludf.DUMMYFUNCTION("""COMPUTED_VALUE"""),"Antenna TV (2)")</f>
        <v>Antenna TV (2)</v>
      </c>
      <c r="C115" s="4" t="str">
        <f ca="1">IFERROR(__xludf.DUMMYFUNCTION("""COMPUTED_VALUE"""),"ATM")</f>
        <v>ATM</v>
      </c>
      <c r="D115" s="4" t="str">
        <f ca="1">IFERROR(__xludf.DUMMYFUNCTION("""COMPUTED_VALUE"""),"Out")</f>
        <v>Out</v>
      </c>
      <c r="E115" s="4" t="str">
        <f ca="1">IFERROR(__xludf.DUMMYFUNCTION("""COMPUTED_VALUE"""),"Fix")</f>
        <v>Fix</v>
      </c>
      <c r="F115" s="49">
        <f ca="1">IFERROR(__xludf.DUMMYFUNCTION("""COMPUTED_VALUE"""),53080)</f>
        <v>53080</v>
      </c>
      <c r="G115" s="50" t="str">
        <f ca="1">IFERROR(__xludf.DUMMYFUNCTION("""COMPUTED_VALUE"""),"Ibal")</f>
        <v>Ibal</v>
      </c>
      <c r="H115" s="51">
        <f t="shared" ca="1" si="0"/>
        <v>46113</v>
      </c>
      <c r="I115" s="52" t="e">
        <f ca="1">SUMIFS(OUT!$F$2:$F$11000,OUT!$H$2:$H$11000,H115,OUT!$D$2:$D$101007,"In")</f>
        <v>#VALUE!</v>
      </c>
      <c r="J115" s="52">
        <f ca="1">SUMIFS(OUT!$F$2:$F$11000,OUT!$H$2:$H$11000,H115,OUT!$D$2:$D$11000,"Out")</f>
        <v>8253441</v>
      </c>
      <c r="K115" s="52">
        <f ca="1">SUMIFS(OUT!$F$2:$F$11000,OUT!$H$2:$H$11000,H115,OUT!$D$2:$D$11000,"Out",OUT!$E$2:$E$11000,"Fix")</f>
        <v>2554300</v>
      </c>
      <c r="L115" s="52">
        <f ca="1">SUMIFS(OUT!$F$2:$F$11000,OUT!$H$2:$H$11000,H115,OUT!$D$2:$D$11000,"Out",OUT!$E$2:$E$11000,"Bathroom")</f>
        <v>19900</v>
      </c>
      <c r="M115" s="52">
        <f ca="1">SUMIFS(OUT!$F$2:$F$11000,OUT!$H$2:$H$11000,H115,OUT!$D$2:$D$11000,"Out",OUT!$E$2:$E$11000,"Alfa")</f>
        <v>282719</v>
      </c>
      <c r="N115" s="52" t="e">
        <f ca="1">SUMIFS(OUT!$F$2:$F$11000,OUT!$H$2:$H$101007,H115,OUT!$D$2:$D$11000,"Out",OUT!$E$2:$E$11000,"Jajan")</f>
        <v>#VALUE!</v>
      </c>
      <c r="O115" s="52">
        <f ca="1">SUMIFS(OUT!$F$2:$F$11000,OUT!$H$2:$H$11000,H115,OUT!$D$2:$D$11000,"Out",OUT!$E$2:$E$11000,"Kitchen")</f>
        <v>964968</v>
      </c>
      <c r="P115" s="52">
        <f ca="1">SUMIFS(OUT!$F$2:$F$11000,OUT!$H$2:$H$11000,H115,OUT!$D$2:$D$11000,"Out",OUT!$E$2:$E$11000,"Loandry")</f>
        <v>58396</v>
      </c>
      <c r="Q115" s="52">
        <f ca="1">SUMIFS(OUT!$F$2:$F$11000,OUT!$H$2:$H$11000,H115,OUT!$D$2:$D$11000,"Out",OUT!$E$2:$E$11000,"Mio")</f>
        <v>181000</v>
      </c>
      <c r="R115" s="52">
        <f ca="1">SUMIFS(OUT!$F$2:$F$11000,OUT!$H$2:$H$11000,H115,OUT!$D$2:$D$11000,"Out",OUT!$E$2:$E$11000,"Sedekah")</f>
        <v>0</v>
      </c>
      <c r="S115" s="52">
        <f ca="1">SUMIFS(OUT!$F$2:$F$11000,OUT!$H$2:$H$11000,H115,OUT!$D$2:$D$11000,"Out",OUT!$E$2:$E$11000,"Zela")</f>
        <v>90500</v>
      </c>
      <c r="T115" s="52">
        <f ca="1">SUMIFS(OUT!$F$2:$F$11000,OUT!$H$2:$H$11000,H115,OUT!$D$2:$D$11000,"Out",OUT!$E$2:$E$11000,"Iqbal")</f>
        <v>74070</v>
      </c>
    </row>
    <row r="116" spans="1:20" x14ac:dyDescent="0.2">
      <c r="A116" s="48">
        <f ca="1">IFERROR(__xludf.DUMMYFUNCTION("""COMPUTED_VALUE"""),46114)</f>
        <v>46114</v>
      </c>
      <c r="B116" s="4" t="str">
        <f ca="1">IFERROR(__xludf.DUMMYFUNCTION("""COMPUTED_VALUE"""),"Cable Duct (2)")</f>
        <v>Cable Duct (2)</v>
      </c>
      <c r="C116" s="4" t="str">
        <f ca="1">IFERROR(__xludf.DUMMYFUNCTION("""COMPUTED_VALUE"""),"ATM")</f>
        <v>ATM</v>
      </c>
      <c r="D116" s="4" t="str">
        <f ca="1">IFERROR(__xludf.DUMMYFUNCTION("""COMPUTED_VALUE"""),"Out")</f>
        <v>Out</v>
      </c>
      <c r="E116" s="4" t="str">
        <f ca="1">IFERROR(__xludf.DUMMYFUNCTION("""COMPUTED_VALUE"""),"Fix")</f>
        <v>Fix</v>
      </c>
      <c r="F116" s="49">
        <f ca="1">IFERROR(__xludf.DUMMYFUNCTION("""COMPUTED_VALUE"""),17541)</f>
        <v>17541</v>
      </c>
      <c r="G116" s="50" t="str">
        <f ca="1">IFERROR(__xludf.DUMMYFUNCTION("""COMPUTED_VALUE"""),"Ibal")</f>
        <v>Ibal</v>
      </c>
      <c r="H116" s="51">
        <f t="shared" ca="1" si="0"/>
        <v>46113</v>
      </c>
      <c r="I116" s="52" t="e">
        <f ca="1">SUMIFS(OUT!$F$2:$F$11000,OUT!$H$2:$H$11000,H116,OUT!$D$2:$D$101007,"In")</f>
        <v>#VALUE!</v>
      </c>
      <c r="J116" s="52">
        <f ca="1">SUMIFS(OUT!$F$2:$F$11000,OUT!$H$2:$H$11000,H116,OUT!$D$2:$D$11000,"Out")</f>
        <v>8253441</v>
      </c>
      <c r="K116" s="52">
        <f ca="1">SUMIFS(OUT!$F$2:$F$11000,OUT!$H$2:$H$11000,H116,OUT!$D$2:$D$11000,"Out",OUT!$E$2:$E$11000,"Fix")</f>
        <v>2554300</v>
      </c>
      <c r="L116" s="52">
        <f ca="1">SUMIFS(OUT!$F$2:$F$11000,OUT!$H$2:$H$11000,H116,OUT!$D$2:$D$11000,"Out",OUT!$E$2:$E$11000,"Bathroom")</f>
        <v>19900</v>
      </c>
      <c r="M116" s="52">
        <f ca="1">SUMIFS(OUT!$F$2:$F$11000,OUT!$H$2:$H$11000,H116,OUT!$D$2:$D$11000,"Out",OUT!$E$2:$E$11000,"Alfa")</f>
        <v>282719</v>
      </c>
      <c r="N116" s="52" t="e">
        <f ca="1">SUMIFS(OUT!$F$2:$F$11000,OUT!$H$2:$H$101007,H116,OUT!$D$2:$D$11000,"Out",OUT!$E$2:$E$11000,"Jajan")</f>
        <v>#VALUE!</v>
      </c>
      <c r="O116" s="52">
        <f ca="1">SUMIFS(OUT!$F$2:$F$11000,OUT!$H$2:$H$11000,H116,OUT!$D$2:$D$11000,"Out",OUT!$E$2:$E$11000,"Kitchen")</f>
        <v>964968</v>
      </c>
      <c r="P116" s="52">
        <f ca="1">SUMIFS(OUT!$F$2:$F$11000,OUT!$H$2:$H$11000,H116,OUT!$D$2:$D$11000,"Out",OUT!$E$2:$E$11000,"Loandry")</f>
        <v>58396</v>
      </c>
      <c r="Q116" s="52">
        <f ca="1">SUMIFS(OUT!$F$2:$F$11000,OUT!$H$2:$H$11000,H116,OUT!$D$2:$D$11000,"Out",OUT!$E$2:$E$11000,"Mio")</f>
        <v>181000</v>
      </c>
      <c r="R116" s="52">
        <f ca="1">SUMIFS(OUT!$F$2:$F$11000,OUT!$H$2:$H$11000,H116,OUT!$D$2:$D$11000,"Out",OUT!$E$2:$E$11000,"Sedekah")</f>
        <v>0</v>
      </c>
      <c r="S116" s="52">
        <f ca="1">SUMIFS(OUT!$F$2:$F$11000,OUT!$H$2:$H$11000,H116,OUT!$D$2:$D$11000,"Out",OUT!$E$2:$E$11000,"Zela")</f>
        <v>90500</v>
      </c>
      <c r="T116" s="52">
        <f ca="1">SUMIFS(OUT!$F$2:$F$11000,OUT!$H$2:$H$11000,H116,OUT!$D$2:$D$11000,"Out",OUT!$E$2:$E$11000,"Iqbal")</f>
        <v>74070</v>
      </c>
    </row>
    <row r="117" spans="1:20" x14ac:dyDescent="0.2">
      <c r="A117" s="48">
        <f ca="1">IFERROR(__xludf.DUMMYFUNCTION("""COMPUTED_VALUE"""),46115)</f>
        <v>46115</v>
      </c>
      <c r="B117" s="4" t="str">
        <f ca="1">IFERROR(__xludf.DUMMYFUNCTION("""COMPUTED_VALUE"""),"Token listrik (200k = 130,70) di shopee")</f>
        <v>Token listrik (200k = 130,70) di shopee</v>
      </c>
      <c r="C117" s="4" t="str">
        <f ca="1">IFERROR(__xludf.DUMMYFUNCTION("""COMPUTED_VALUE"""),"ATM")</f>
        <v>ATM</v>
      </c>
      <c r="D117" s="4" t="str">
        <f ca="1">IFERROR(__xludf.DUMMYFUNCTION("""COMPUTED_VALUE"""),"Out")</f>
        <v>Out</v>
      </c>
      <c r="E117" s="4" t="str">
        <f ca="1">IFERROR(__xludf.DUMMYFUNCTION("""COMPUTED_VALUE"""),"Fix")</f>
        <v>Fix</v>
      </c>
      <c r="F117" s="49">
        <f ca="1">IFERROR(__xludf.DUMMYFUNCTION("""COMPUTED_VALUE"""),200000)</f>
        <v>200000</v>
      </c>
      <c r="G117" s="50" t="str">
        <f ca="1">IFERROR(__xludf.DUMMYFUNCTION("""COMPUTED_VALUE"""),"Ibal")</f>
        <v>Ibal</v>
      </c>
      <c r="H117" s="51">
        <f t="shared" ca="1" si="0"/>
        <v>46113</v>
      </c>
      <c r="I117" s="52" t="e">
        <f ca="1">SUMIFS(OUT!$F$2:$F$11000,OUT!$H$2:$H$11000,H117,OUT!$D$2:$D$101007,"In")</f>
        <v>#VALUE!</v>
      </c>
      <c r="J117" s="52">
        <f ca="1">SUMIFS(OUT!$F$2:$F$11000,OUT!$H$2:$H$11000,H117,OUT!$D$2:$D$11000,"Out")</f>
        <v>8253441</v>
      </c>
      <c r="K117" s="52">
        <f ca="1">SUMIFS(OUT!$F$2:$F$11000,OUT!$H$2:$H$11000,H117,OUT!$D$2:$D$11000,"Out",OUT!$E$2:$E$11000,"Fix")</f>
        <v>2554300</v>
      </c>
      <c r="L117" s="52">
        <f ca="1">SUMIFS(OUT!$F$2:$F$11000,OUT!$H$2:$H$11000,H117,OUT!$D$2:$D$11000,"Out",OUT!$E$2:$E$11000,"Bathroom")</f>
        <v>19900</v>
      </c>
      <c r="M117" s="52">
        <f ca="1">SUMIFS(OUT!$F$2:$F$11000,OUT!$H$2:$H$11000,H117,OUT!$D$2:$D$11000,"Out",OUT!$E$2:$E$11000,"Alfa")</f>
        <v>282719</v>
      </c>
      <c r="N117" s="52" t="e">
        <f ca="1">SUMIFS(OUT!$F$2:$F$11000,OUT!$H$2:$H$101007,H117,OUT!$D$2:$D$11000,"Out",OUT!$E$2:$E$11000,"Jajan")</f>
        <v>#VALUE!</v>
      </c>
      <c r="O117" s="52">
        <f ca="1">SUMIFS(OUT!$F$2:$F$11000,OUT!$H$2:$H$11000,H117,OUT!$D$2:$D$11000,"Out",OUT!$E$2:$E$11000,"Kitchen")</f>
        <v>964968</v>
      </c>
      <c r="P117" s="52">
        <f ca="1">SUMIFS(OUT!$F$2:$F$11000,OUT!$H$2:$H$11000,H117,OUT!$D$2:$D$11000,"Out",OUT!$E$2:$E$11000,"Loandry")</f>
        <v>58396</v>
      </c>
      <c r="Q117" s="52">
        <f ca="1">SUMIFS(OUT!$F$2:$F$11000,OUT!$H$2:$H$11000,H117,OUT!$D$2:$D$11000,"Out",OUT!$E$2:$E$11000,"Mio")</f>
        <v>181000</v>
      </c>
      <c r="R117" s="52">
        <f ca="1">SUMIFS(OUT!$F$2:$F$11000,OUT!$H$2:$H$11000,H117,OUT!$D$2:$D$11000,"Out",OUT!$E$2:$E$11000,"Sedekah")</f>
        <v>0</v>
      </c>
      <c r="S117" s="52">
        <f ca="1">SUMIFS(OUT!$F$2:$F$11000,OUT!$H$2:$H$11000,H117,OUT!$D$2:$D$11000,"Out",OUT!$E$2:$E$11000,"Zela")</f>
        <v>90500</v>
      </c>
      <c r="T117" s="52">
        <f ca="1">SUMIFS(OUT!$F$2:$F$11000,OUT!$H$2:$H$11000,H117,OUT!$D$2:$D$11000,"Out",OUT!$E$2:$E$11000,"Iqbal")</f>
        <v>74070</v>
      </c>
    </row>
    <row r="118" spans="1:20" x14ac:dyDescent="0.2">
      <c r="A118" s="48">
        <f ca="1">IFERROR(__xludf.DUMMYFUNCTION("""COMPUTED_VALUE"""),46115)</f>
        <v>46115</v>
      </c>
      <c r="B118" s="4" t="str">
        <f ca="1">IFERROR(__xludf.DUMMYFUNCTION("""COMPUTED_VALUE"""),"Kulkas (4)")</f>
        <v>Kulkas (4)</v>
      </c>
      <c r="C118" s="4" t="str">
        <f ca="1">IFERROR(__xludf.DUMMYFUNCTION("""COMPUTED_VALUE"""),"ATM")</f>
        <v>ATM</v>
      </c>
      <c r="D118" s="4" t="str">
        <f ca="1">IFERROR(__xludf.DUMMYFUNCTION("""COMPUTED_VALUE"""),"Out")</f>
        <v>Out</v>
      </c>
      <c r="E118" s="4" t="str">
        <f ca="1">IFERROR(__xludf.DUMMYFUNCTION("""COMPUTED_VALUE"""),"Fix")</f>
        <v>Fix</v>
      </c>
      <c r="F118" s="49">
        <f ca="1">IFERROR(__xludf.DUMMYFUNCTION("""COMPUTED_VALUE"""),279187)</f>
        <v>279187</v>
      </c>
      <c r="G118" s="50" t="str">
        <f ca="1">IFERROR(__xludf.DUMMYFUNCTION("""COMPUTED_VALUE"""),"Ibal")</f>
        <v>Ibal</v>
      </c>
      <c r="H118" s="51">
        <f t="shared" ca="1" si="0"/>
        <v>46113</v>
      </c>
      <c r="I118" s="52" t="e">
        <f ca="1">SUMIFS(OUT!$F$2:$F$11000,OUT!$H$2:$H$11000,H118,OUT!$D$2:$D$101007,"In")</f>
        <v>#VALUE!</v>
      </c>
      <c r="J118" s="52">
        <f ca="1">SUMIFS(OUT!$F$2:$F$11000,OUT!$H$2:$H$11000,H118,OUT!$D$2:$D$11000,"Out")</f>
        <v>8253441</v>
      </c>
      <c r="K118" s="52">
        <f ca="1">SUMIFS(OUT!$F$2:$F$11000,OUT!$H$2:$H$11000,H118,OUT!$D$2:$D$11000,"Out",OUT!$E$2:$E$11000,"Fix")</f>
        <v>2554300</v>
      </c>
      <c r="L118" s="52">
        <f ca="1">SUMIFS(OUT!$F$2:$F$11000,OUT!$H$2:$H$11000,H118,OUT!$D$2:$D$11000,"Out",OUT!$E$2:$E$11000,"Bathroom")</f>
        <v>19900</v>
      </c>
      <c r="M118" s="52">
        <f ca="1">SUMIFS(OUT!$F$2:$F$11000,OUT!$H$2:$H$11000,H118,OUT!$D$2:$D$11000,"Out",OUT!$E$2:$E$11000,"Alfa")</f>
        <v>282719</v>
      </c>
      <c r="N118" s="52" t="e">
        <f ca="1">SUMIFS(OUT!$F$2:$F$11000,OUT!$H$2:$H$101007,H118,OUT!$D$2:$D$11000,"Out",OUT!$E$2:$E$11000,"Jajan")</f>
        <v>#VALUE!</v>
      </c>
      <c r="O118" s="52">
        <f ca="1">SUMIFS(OUT!$F$2:$F$11000,OUT!$H$2:$H$11000,H118,OUT!$D$2:$D$11000,"Out",OUT!$E$2:$E$11000,"Kitchen")</f>
        <v>964968</v>
      </c>
      <c r="P118" s="52">
        <f ca="1">SUMIFS(OUT!$F$2:$F$11000,OUT!$H$2:$H$11000,H118,OUT!$D$2:$D$11000,"Out",OUT!$E$2:$E$11000,"Loandry")</f>
        <v>58396</v>
      </c>
      <c r="Q118" s="52">
        <f ca="1">SUMIFS(OUT!$F$2:$F$11000,OUT!$H$2:$H$11000,H118,OUT!$D$2:$D$11000,"Out",OUT!$E$2:$E$11000,"Mio")</f>
        <v>181000</v>
      </c>
      <c r="R118" s="52">
        <f ca="1">SUMIFS(OUT!$F$2:$F$11000,OUT!$H$2:$H$11000,H118,OUT!$D$2:$D$11000,"Out",OUT!$E$2:$E$11000,"Sedekah")</f>
        <v>0</v>
      </c>
      <c r="S118" s="52">
        <f ca="1">SUMIFS(OUT!$F$2:$F$11000,OUT!$H$2:$H$11000,H118,OUT!$D$2:$D$11000,"Out",OUT!$E$2:$E$11000,"Zela")</f>
        <v>90500</v>
      </c>
      <c r="T118" s="52">
        <f ca="1">SUMIFS(OUT!$F$2:$F$11000,OUT!$H$2:$H$11000,H118,OUT!$D$2:$D$11000,"Out",OUT!$E$2:$E$11000,"Iqbal")</f>
        <v>74070</v>
      </c>
    </row>
    <row r="119" spans="1:20" x14ac:dyDescent="0.2">
      <c r="A119" s="48">
        <f ca="1">IFERROR(__xludf.DUMMYFUNCTION("""COMPUTED_VALUE"""),46116)</f>
        <v>46116</v>
      </c>
      <c r="B119" s="4" t="str">
        <f ca="1">IFERROR(__xludf.DUMMYFUNCTION("""COMPUTED_VALUE"""),"MyRepublic (2)")</f>
        <v>MyRepublic (2)</v>
      </c>
      <c r="C119" s="4" t="str">
        <f ca="1">IFERROR(__xludf.DUMMYFUNCTION("""COMPUTED_VALUE"""),"ATM")</f>
        <v>ATM</v>
      </c>
      <c r="D119" s="4" t="str">
        <f ca="1">IFERROR(__xludf.DUMMYFUNCTION("""COMPUTED_VALUE"""),"Out")</f>
        <v>Out</v>
      </c>
      <c r="E119" s="4" t="str">
        <f ca="1">IFERROR(__xludf.DUMMYFUNCTION("""COMPUTED_VALUE"""),"Fix")</f>
        <v>Fix</v>
      </c>
      <c r="F119" s="49">
        <f ca="1">IFERROR(__xludf.DUMMYFUNCTION("""COMPUTED_VALUE"""),233100)</f>
        <v>233100</v>
      </c>
      <c r="G119" s="50" t="str">
        <f ca="1">IFERROR(__xludf.DUMMYFUNCTION("""COMPUTED_VALUE"""),"Ibal")</f>
        <v>Ibal</v>
      </c>
      <c r="H119" s="51">
        <f t="shared" ca="1" si="0"/>
        <v>46113</v>
      </c>
      <c r="I119" s="52" t="e">
        <f ca="1">SUMIFS(OUT!$F$2:$F$11000,OUT!$H$2:$H$11000,H119,OUT!$D$2:$D$101007,"In")</f>
        <v>#VALUE!</v>
      </c>
      <c r="J119" s="52">
        <f ca="1">SUMIFS(OUT!$F$2:$F$11000,OUT!$H$2:$H$11000,H119,OUT!$D$2:$D$11000,"Out")</f>
        <v>8253441</v>
      </c>
      <c r="K119" s="52">
        <f ca="1">SUMIFS(OUT!$F$2:$F$11000,OUT!$H$2:$H$11000,H119,OUT!$D$2:$D$11000,"Out",OUT!$E$2:$E$11000,"Fix")</f>
        <v>2554300</v>
      </c>
      <c r="L119" s="52">
        <f ca="1">SUMIFS(OUT!$F$2:$F$11000,OUT!$H$2:$H$11000,H119,OUT!$D$2:$D$11000,"Out",OUT!$E$2:$E$11000,"Bathroom")</f>
        <v>19900</v>
      </c>
      <c r="M119" s="52">
        <f ca="1">SUMIFS(OUT!$F$2:$F$11000,OUT!$H$2:$H$11000,H119,OUT!$D$2:$D$11000,"Out",OUT!$E$2:$E$11000,"Alfa")</f>
        <v>282719</v>
      </c>
      <c r="N119" s="52" t="e">
        <f ca="1">SUMIFS(OUT!$F$2:$F$11000,OUT!$H$2:$H$101007,H119,OUT!$D$2:$D$11000,"Out",OUT!$E$2:$E$11000,"Jajan")</f>
        <v>#VALUE!</v>
      </c>
      <c r="O119" s="52">
        <f ca="1">SUMIFS(OUT!$F$2:$F$11000,OUT!$H$2:$H$11000,H119,OUT!$D$2:$D$11000,"Out",OUT!$E$2:$E$11000,"Kitchen")</f>
        <v>964968</v>
      </c>
      <c r="P119" s="52">
        <f ca="1">SUMIFS(OUT!$F$2:$F$11000,OUT!$H$2:$H$11000,H119,OUT!$D$2:$D$11000,"Out",OUT!$E$2:$E$11000,"Loandry")</f>
        <v>58396</v>
      </c>
      <c r="Q119" s="52">
        <f ca="1">SUMIFS(OUT!$F$2:$F$11000,OUT!$H$2:$H$11000,H119,OUT!$D$2:$D$11000,"Out",OUT!$E$2:$E$11000,"Mio")</f>
        <v>181000</v>
      </c>
      <c r="R119" s="52">
        <f ca="1">SUMIFS(OUT!$F$2:$F$11000,OUT!$H$2:$H$11000,H119,OUT!$D$2:$D$11000,"Out",OUT!$E$2:$E$11000,"Sedekah")</f>
        <v>0</v>
      </c>
      <c r="S119" s="52">
        <f ca="1">SUMIFS(OUT!$F$2:$F$11000,OUT!$H$2:$H$11000,H119,OUT!$D$2:$D$11000,"Out",OUT!$E$2:$E$11000,"Zela")</f>
        <v>90500</v>
      </c>
      <c r="T119" s="52">
        <f ca="1">SUMIFS(OUT!$F$2:$F$11000,OUT!$H$2:$H$11000,H119,OUT!$D$2:$D$11000,"Out",OUT!$E$2:$E$11000,"Iqbal")</f>
        <v>74070</v>
      </c>
    </row>
    <row r="120" spans="1:20" x14ac:dyDescent="0.2">
      <c r="A120" s="48">
        <f ca="1">IFERROR(__xludf.DUMMYFUNCTION("""COMPUTED_VALUE"""),46117)</f>
        <v>46117</v>
      </c>
      <c r="B120" s="4" t="str">
        <f ca="1">IFERROR(__xludf.DUMMYFUNCTION("""COMPUTED_VALUE"""),"Sewa Rumah (April 2026)")</f>
        <v>Sewa Rumah (April 2026)</v>
      </c>
      <c r="C120" s="4" t="str">
        <f ca="1">IFERROR(__xludf.DUMMYFUNCTION("""COMPUTED_VALUE"""),"ATM")</f>
        <v>ATM</v>
      </c>
      <c r="D120" s="4" t="str">
        <f ca="1">IFERROR(__xludf.DUMMYFUNCTION("""COMPUTED_VALUE"""),"Out")</f>
        <v>Out</v>
      </c>
      <c r="E120" s="4" t="str">
        <f ca="1">IFERROR(__xludf.DUMMYFUNCTION("""COMPUTED_VALUE"""),"Fix")</f>
        <v>Fix</v>
      </c>
      <c r="F120" s="49">
        <f ca="1">IFERROR(__xludf.DUMMYFUNCTION("""COMPUTED_VALUE"""),1000403)</f>
        <v>1000403</v>
      </c>
      <c r="G120" s="50" t="str">
        <f ca="1">IFERROR(__xludf.DUMMYFUNCTION("""COMPUTED_VALUE"""),"Ibal")</f>
        <v>Ibal</v>
      </c>
      <c r="H120" s="51">
        <f t="shared" ca="1" si="0"/>
        <v>46113</v>
      </c>
      <c r="I120" s="52" t="e">
        <f ca="1">SUMIFS(OUT!$F$2:$F$11000,OUT!$H$2:$H$11000,H120,OUT!$D$2:$D$101007,"In")</f>
        <v>#VALUE!</v>
      </c>
      <c r="J120" s="52">
        <f ca="1">SUMIFS(OUT!$F$2:$F$11000,OUT!$H$2:$H$11000,H120,OUT!$D$2:$D$11000,"Out")</f>
        <v>8253441</v>
      </c>
      <c r="K120" s="52">
        <f ca="1">SUMIFS(OUT!$F$2:$F$11000,OUT!$H$2:$H$11000,H120,OUT!$D$2:$D$11000,"Out",OUT!$E$2:$E$11000,"Fix")</f>
        <v>2554300</v>
      </c>
      <c r="L120" s="52">
        <f ca="1">SUMIFS(OUT!$F$2:$F$11000,OUT!$H$2:$H$11000,H120,OUT!$D$2:$D$11000,"Out",OUT!$E$2:$E$11000,"Bathroom")</f>
        <v>19900</v>
      </c>
      <c r="M120" s="52">
        <f ca="1">SUMIFS(OUT!$F$2:$F$11000,OUT!$H$2:$H$11000,H120,OUT!$D$2:$D$11000,"Out",OUT!$E$2:$E$11000,"Alfa")</f>
        <v>282719</v>
      </c>
      <c r="N120" s="52" t="e">
        <f ca="1">SUMIFS(OUT!$F$2:$F$11000,OUT!$H$2:$H$101007,H120,OUT!$D$2:$D$11000,"Out",OUT!$E$2:$E$11000,"Jajan")</f>
        <v>#VALUE!</v>
      </c>
      <c r="O120" s="52">
        <f ca="1">SUMIFS(OUT!$F$2:$F$11000,OUT!$H$2:$H$11000,H120,OUT!$D$2:$D$11000,"Out",OUT!$E$2:$E$11000,"Kitchen")</f>
        <v>964968</v>
      </c>
      <c r="P120" s="52">
        <f ca="1">SUMIFS(OUT!$F$2:$F$11000,OUT!$H$2:$H$11000,H120,OUT!$D$2:$D$11000,"Out",OUT!$E$2:$E$11000,"Loandry")</f>
        <v>58396</v>
      </c>
      <c r="Q120" s="52">
        <f ca="1">SUMIFS(OUT!$F$2:$F$11000,OUT!$H$2:$H$11000,H120,OUT!$D$2:$D$11000,"Out",OUT!$E$2:$E$11000,"Mio")</f>
        <v>181000</v>
      </c>
      <c r="R120" s="52">
        <f ca="1">SUMIFS(OUT!$F$2:$F$11000,OUT!$H$2:$H$11000,H120,OUT!$D$2:$D$11000,"Out",OUT!$E$2:$E$11000,"Sedekah")</f>
        <v>0</v>
      </c>
      <c r="S120" s="52">
        <f ca="1">SUMIFS(OUT!$F$2:$F$11000,OUT!$H$2:$H$11000,H120,OUT!$D$2:$D$11000,"Out",OUT!$E$2:$E$11000,"Zela")</f>
        <v>90500</v>
      </c>
      <c r="T120" s="52">
        <f ca="1">SUMIFS(OUT!$F$2:$F$11000,OUT!$H$2:$H$11000,H120,OUT!$D$2:$D$11000,"Out",OUT!$E$2:$E$11000,"Iqbal")</f>
        <v>74070</v>
      </c>
    </row>
    <row r="121" spans="1:20" x14ac:dyDescent="0.2">
      <c r="A121" s="48">
        <f ca="1">IFERROR(__xludf.DUMMYFUNCTION("""COMPUTED_VALUE"""),46117)</f>
        <v>46117</v>
      </c>
      <c r="B121" s="4" t="str">
        <f ca="1">IFERROR(__xludf.DUMMYFUNCTION("""COMPUTED_VALUE"""),"Iuran (April 2026)")</f>
        <v>Iuran (April 2026)</v>
      </c>
      <c r="C121" s="4" t="str">
        <f ca="1">IFERROR(__xludf.DUMMYFUNCTION("""COMPUTED_VALUE"""),"ATM")</f>
        <v>ATM</v>
      </c>
      <c r="D121" s="4" t="str">
        <f ca="1">IFERROR(__xludf.DUMMYFUNCTION("""COMPUTED_VALUE"""),"Out")</f>
        <v>Out</v>
      </c>
      <c r="E121" s="4" t="str">
        <f ca="1">IFERROR(__xludf.DUMMYFUNCTION("""COMPUTED_VALUE"""),"Fix")</f>
        <v>Fix</v>
      </c>
      <c r="F121" s="49">
        <f ca="1">IFERROR(__xludf.DUMMYFUNCTION("""COMPUTED_VALUE"""),75000)</f>
        <v>75000</v>
      </c>
      <c r="G121" s="50" t="str">
        <f ca="1">IFERROR(__xludf.DUMMYFUNCTION("""COMPUTED_VALUE"""),"Ibal")</f>
        <v>Ibal</v>
      </c>
      <c r="H121" s="51">
        <f t="shared" ca="1" si="0"/>
        <v>46113</v>
      </c>
      <c r="I121" s="52" t="e">
        <f ca="1">SUMIFS(OUT!$F$2:$F$11000,OUT!$H$2:$H$11000,H121,OUT!$D$2:$D$101007,"In")</f>
        <v>#VALUE!</v>
      </c>
      <c r="J121" s="52">
        <f ca="1">SUMIFS(OUT!$F$2:$F$11000,OUT!$H$2:$H$11000,H121,OUT!$D$2:$D$11000,"Out")</f>
        <v>8253441</v>
      </c>
      <c r="K121" s="52">
        <f ca="1">SUMIFS(OUT!$F$2:$F$11000,OUT!$H$2:$H$11000,H121,OUT!$D$2:$D$11000,"Out",OUT!$E$2:$E$11000,"Fix")</f>
        <v>2554300</v>
      </c>
      <c r="L121" s="52">
        <f ca="1">SUMIFS(OUT!$F$2:$F$11000,OUT!$H$2:$H$11000,H121,OUT!$D$2:$D$11000,"Out",OUT!$E$2:$E$11000,"Bathroom")</f>
        <v>19900</v>
      </c>
      <c r="M121" s="52">
        <f ca="1">SUMIFS(OUT!$F$2:$F$11000,OUT!$H$2:$H$11000,H121,OUT!$D$2:$D$11000,"Out",OUT!$E$2:$E$11000,"Alfa")</f>
        <v>282719</v>
      </c>
      <c r="N121" s="52" t="e">
        <f ca="1">SUMIFS(OUT!$F$2:$F$11000,OUT!$H$2:$H$101007,H121,OUT!$D$2:$D$11000,"Out",OUT!$E$2:$E$11000,"Jajan")</f>
        <v>#VALUE!</v>
      </c>
      <c r="O121" s="52">
        <f ca="1">SUMIFS(OUT!$F$2:$F$11000,OUT!$H$2:$H$11000,H121,OUT!$D$2:$D$11000,"Out",OUT!$E$2:$E$11000,"Kitchen")</f>
        <v>964968</v>
      </c>
      <c r="P121" s="52">
        <f ca="1">SUMIFS(OUT!$F$2:$F$11000,OUT!$H$2:$H$11000,H121,OUT!$D$2:$D$11000,"Out",OUT!$E$2:$E$11000,"Loandry")</f>
        <v>58396</v>
      </c>
      <c r="Q121" s="52">
        <f ca="1">SUMIFS(OUT!$F$2:$F$11000,OUT!$H$2:$H$11000,H121,OUT!$D$2:$D$11000,"Out",OUT!$E$2:$E$11000,"Mio")</f>
        <v>181000</v>
      </c>
      <c r="R121" s="52">
        <f ca="1">SUMIFS(OUT!$F$2:$F$11000,OUT!$H$2:$H$11000,H121,OUT!$D$2:$D$11000,"Out",OUT!$E$2:$E$11000,"Sedekah")</f>
        <v>0</v>
      </c>
      <c r="S121" s="52">
        <f ca="1">SUMIFS(OUT!$F$2:$F$11000,OUT!$H$2:$H$11000,H121,OUT!$D$2:$D$11000,"Out",OUT!$E$2:$E$11000,"Zela")</f>
        <v>90500</v>
      </c>
      <c r="T121" s="52">
        <f ca="1">SUMIFS(OUT!$F$2:$F$11000,OUT!$H$2:$H$11000,H121,OUT!$D$2:$D$11000,"Out",OUT!$E$2:$E$11000,"Iqbal")</f>
        <v>74070</v>
      </c>
    </row>
    <row r="122" spans="1:20" x14ac:dyDescent="0.2">
      <c r="A122" s="48">
        <f ca="1">IFERROR(__xludf.DUMMYFUNCTION("""COMPUTED_VALUE"""),46118)</f>
        <v>46118</v>
      </c>
      <c r="B122" s="4" t="str">
        <f ca="1">IFERROR(__xludf.DUMMYFUNCTION("""COMPUTED_VALUE"""),"Byu (1)")</f>
        <v>Byu (1)</v>
      </c>
      <c r="C122" s="4" t="str">
        <f ca="1">IFERROR(__xludf.DUMMYFUNCTION("""COMPUTED_VALUE"""),"ATM")</f>
        <v>ATM</v>
      </c>
      <c r="D122" s="4" t="str">
        <f ca="1">IFERROR(__xludf.DUMMYFUNCTION("""COMPUTED_VALUE"""),"Out")</f>
        <v>Out</v>
      </c>
      <c r="E122" s="4" t="str">
        <f ca="1">IFERROR(__xludf.DUMMYFUNCTION("""COMPUTED_VALUE"""),"Fix")</f>
        <v>Fix</v>
      </c>
      <c r="F122" s="49">
        <f ca="1">IFERROR(__xludf.DUMMYFUNCTION("""COMPUTED_VALUE"""),38000)</f>
        <v>38000</v>
      </c>
      <c r="G122" s="50" t="str">
        <f ca="1">IFERROR(__xludf.DUMMYFUNCTION("""COMPUTED_VALUE"""),"Ibal")</f>
        <v>Ibal</v>
      </c>
      <c r="H122" s="51">
        <f t="shared" ca="1" si="0"/>
        <v>46113</v>
      </c>
      <c r="I122" s="52" t="e">
        <f ca="1">SUMIFS(OUT!$F$2:$F$11000,OUT!$H$2:$H$11000,H122,OUT!$D$2:$D$101007,"In")</f>
        <v>#VALUE!</v>
      </c>
      <c r="J122" s="52">
        <f ca="1">SUMIFS(OUT!$F$2:$F$11000,OUT!$H$2:$H$11000,H122,OUT!$D$2:$D$11000,"Out")</f>
        <v>8253441</v>
      </c>
      <c r="K122" s="52">
        <f ca="1">SUMIFS(OUT!$F$2:$F$11000,OUT!$H$2:$H$11000,H122,OUT!$D$2:$D$11000,"Out",OUT!$E$2:$E$11000,"Fix")</f>
        <v>2554300</v>
      </c>
      <c r="L122" s="52">
        <f ca="1">SUMIFS(OUT!$F$2:$F$11000,OUT!$H$2:$H$11000,H122,OUT!$D$2:$D$11000,"Out",OUT!$E$2:$E$11000,"Bathroom")</f>
        <v>19900</v>
      </c>
      <c r="M122" s="52">
        <f ca="1">SUMIFS(OUT!$F$2:$F$11000,OUT!$H$2:$H$11000,H122,OUT!$D$2:$D$11000,"Out",OUT!$E$2:$E$11000,"Alfa")</f>
        <v>282719</v>
      </c>
      <c r="N122" s="52" t="e">
        <f ca="1">SUMIFS(OUT!$F$2:$F$11000,OUT!$H$2:$H$101007,H122,OUT!$D$2:$D$11000,"Out",OUT!$E$2:$E$11000,"Jajan")</f>
        <v>#VALUE!</v>
      </c>
      <c r="O122" s="52">
        <f ca="1">SUMIFS(OUT!$F$2:$F$11000,OUT!$H$2:$H$11000,H122,OUT!$D$2:$D$11000,"Out",OUT!$E$2:$E$11000,"Kitchen")</f>
        <v>964968</v>
      </c>
      <c r="P122" s="52">
        <f ca="1">SUMIFS(OUT!$F$2:$F$11000,OUT!$H$2:$H$11000,H122,OUT!$D$2:$D$11000,"Out",OUT!$E$2:$E$11000,"Loandry")</f>
        <v>58396</v>
      </c>
      <c r="Q122" s="52">
        <f ca="1">SUMIFS(OUT!$F$2:$F$11000,OUT!$H$2:$H$11000,H122,OUT!$D$2:$D$11000,"Out",OUT!$E$2:$E$11000,"Mio")</f>
        <v>181000</v>
      </c>
      <c r="R122" s="52">
        <f ca="1">SUMIFS(OUT!$F$2:$F$11000,OUT!$H$2:$H$11000,H122,OUT!$D$2:$D$11000,"Out",OUT!$E$2:$E$11000,"Sedekah")</f>
        <v>0</v>
      </c>
      <c r="S122" s="52">
        <f ca="1">SUMIFS(OUT!$F$2:$F$11000,OUT!$H$2:$H$11000,H122,OUT!$D$2:$D$11000,"Out",OUT!$E$2:$E$11000,"Zela")</f>
        <v>90500</v>
      </c>
      <c r="T122" s="52">
        <f ca="1">SUMIFS(OUT!$F$2:$F$11000,OUT!$H$2:$H$11000,H122,OUT!$D$2:$D$11000,"Out",OUT!$E$2:$E$11000,"Iqbal")</f>
        <v>74070</v>
      </c>
    </row>
    <row r="123" spans="1:20" x14ac:dyDescent="0.2">
      <c r="A123" s="48">
        <f ca="1">IFERROR(__xludf.DUMMYFUNCTION("""COMPUTED_VALUE"""),46119)</f>
        <v>46119</v>
      </c>
      <c r="B123" s="4" t="str">
        <f ca="1">IFERROR(__xludf.DUMMYFUNCTION("""COMPUTED_VALUE"""),"Teh telor (tapai+bebek)")</f>
        <v>Teh telor (tapai+bebek)</v>
      </c>
      <c r="C123" s="4" t="str">
        <f ca="1">IFERROR(__xludf.DUMMYFUNCTION("""COMPUTED_VALUE"""),"ATM")</f>
        <v>ATM</v>
      </c>
      <c r="D123" s="4" t="str">
        <f ca="1">IFERROR(__xludf.DUMMYFUNCTION("""COMPUTED_VALUE"""),"Out")</f>
        <v>Out</v>
      </c>
      <c r="E123" s="4" t="str">
        <f ca="1">IFERROR(__xludf.DUMMYFUNCTION("""COMPUTED_VALUE"""),"Jajan")</f>
        <v>Jajan</v>
      </c>
      <c r="F123" s="49">
        <f ca="1">IFERROR(__xludf.DUMMYFUNCTION("""COMPUTED_VALUE"""),26000)</f>
        <v>26000</v>
      </c>
      <c r="G123" s="50" t="str">
        <f ca="1">IFERROR(__xludf.DUMMYFUNCTION("""COMPUTED_VALUE"""),"Ibal")</f>
        <v>Ibal</v>
      </c>
      <c r="H123" s="51">
        <f t="shared" ca="1" si="0"/>
        <v>46113</v>
      </c>
      <c r="I123" s="52" t="e">
        <f ca="1">SUMIFS(OUT!$F$2:$F$11000,OUT!$H$2:$H$11000,H123,OUT!$D$2:$D$101007,"In")</f>
        <v>#VALUE!</v>
      </c>
      <c r="J123" s="52">
        <f ca="1">SUMIFS(OUT!$F$2:$F$11000,OUT!$H$2:$H$11000,H123,OUT!$D$2:$D$11000,"Out")</f>
        <v>8253441</v>
      </c>
      <c r="K123" s="52">
        <f ca="1">SUMIFS(OUT!$F$2:$F$11000,OUT!$H$2:$H$11000,H123,OUT!$D$2:$D$11000,"Out",OUT!$E$2:$E$11000,"Fix")</f>
        <v>2554300</v>
      </c>
      <c r="L123" s="52">
        <f ca="1">SUMIFS(OUT!$F$2:$F$11000,OUT!$H$2:$H$11000,H123,OUT!$D$2:$D$11000,"Out",OUT!$E$2:$E$11000,"Bathroom")</f>
        <v>19900</v>
      </c>
      <c r="M123" s="52">
        <f ca="1">SUMIFS(OUT!$F$2:$F$11000,OUT!$H$2:$H$11000,H123,OUT!$D$2:$D$11000,"Out",OUT!$E$2:$E$11000,"Alfa")</f>
        <v>282719</v>
      </c>
      <c r="N123" s="52" t="e">
        <f ca="1">SUMIFS(OUT!$F$2:$F$11000,OUT!$H$2:$H$101007,H123,OUT!$D$2:$D$11000,"Out",OUT!$E$2:$E$11000,"Jajan")</f>
        <v>#VALUE!</v>
      </c>
      <c r="O123" s="52">
        <f ca="1">SUMIFS(OUT!$F$2:$F$11000,OUT!$H$2:$H$11000,H123,OUT!$D$2:$D$11000,"Out",OUT!$E$2:$E$11000,"Kitchen")</f>
        <v>964968</v>
      </c>
      <c r="P123" s="52">
        <f ca="1">SUMIFS(OUT!$F$2:$F$11000,OUT!$H$2:$H$11000,H123,OUT!$D$2:$D$11000,"Out",OUT!$E$2:$E$11000,"Loandry")</f>
        <v>58396</v>
      </c>
      <c r="Q123" s="52">
        <f ca="1">SUMIFS(OUT!$F$2:$F$11000,OUT!$H$2:$H$11000,H123,OUT!$D$2:$D$11000,"Out",OUT!$E$2:$E$11000,"Mio")</f>
        <v>181000</v>
      </c>
      <c r="R123" s="52">
        <f ca="1">SUMIFS(OUT!$F$2:$F$11000,OUT!$H$2:$H$11000,H123,OUT!$D$2:$D$11000,"Out",OUT!$E$2:$E$11000,"Sedekah")</f>
        <v>0</v>
      </c>
      <c r="S123" s="52">
        <f ca="1">SUMIFS(OUT!$F$2:$F$11000,OUT!$H$2:$H$11000,H123,OUT!$D$2:$D$11000,"Out",OUT!$E$2:$E$11000,"Zela")</f>
        <v>90500</v>
      </c>
      <c r="T123" s="52">
        <f ca="1">SUMIFS(OUT!$F$2:$F$11000,OUT!$H$2:$H$11000,H123,OUT!$D$2:$D$11000,"Out",OUT!$E$2:$E$11000,"Iqbal")</f>
        <v>74070</v>
      </c>
    </row>
    <row r="124" spans="1:20" x14ac:dyDescent="0.2">
      <c r="A124" s="48">
        <f ca="1">IFERROR(__xludf.DUMMYFUNCTION("""COMPUTED_VALUE"""),46123)</f>
        <v>46123</v>
      </c>
      <c r="B124" s="4" t="str">
        <f ca="1">IFERROR(__xludf.DUMMYFUNCTION("""COMPUTED_VALUE"""),"Mie (3), MigiMigi (1 box), Es Krim (1)")</f>
        <v>Mie (3), MigiMigi (1 box), Es Krim (1)</v>
      </c>
      <c r="C124" s="4" t="str">
        <f ca="1">IFERROR(__xludf.DUMMYFUNCTION("""COMPUTED_VALUE"""),"ATM")</f>
        <v>ATM</v>
      </c>
      <c r="D124" s="4" t="str">
        <f ca="1">IFERROR(__xludf.DUMMYFUNCTION("""COMPUTED_VALUE"""),"Out")</f>
        <v>Out</v>
      </c>
      <c r="E124" s="4" t="str">
        <f ca="1">IFERROR(__xludf.DUMMYFUNCTION("""COMPUTED_VALUE"""),"Jajan")</f>
        <v>Jajan</v>
      </c>
      <c r="F124" s="49">
        <f ca="1">IFERROR(__xludf.DUMMYFUNCTION("""COMPUTED_VALUE"""),24000)</f>
        <v>24000</v>
      </c>
      <c r="G124" s="50" t="str">
        <f ca="1">IFERROR(__xludf.DUMMYFUNCTION("""COMPUTED_VALUE"""),"Ibal")</f>
        <v>Ibal</v>
      </c>
      <c r="H124" s="51">
        <f t="shared" ca="1" si="0"/>
        <v>46113</v>
      </c>
      <c r="I124" s="52" t="e">
        <f ca="1">SUMIFS(OUT!$F$2:$F$11000,OUT!$H$2:$H$11000,H124,OUT!$D$2:$D$101007,"In")</f>
        <v>#VALUE!</v>
      </c>
      <c r="J124" s="52">
        <f ca="1">SUMIFS(OUT!$F$2:$F$11000,OUT!$H$2:$H$11000,H124,OUT!$D$2:$D$11000,"Out")</f>
        <v>8253441</v>
      </c>
      <c r="K124" s="52">
        <f ca="1">SUMIFS(OUT!$F$2:$F$11000,OUT!$H$2:$H$11000,H124,OUT!$D$2:$D$11000,"Out",OUT!$E$2:$E$11000,"Fix")</f>
        <v>2554300</v>
      </c>
      <c r="L124" s="52">
        <f ca="1">SUMIFS(OUT!$F$2:$F$11000,OUT!$H$2:$H$11000,H124,OUT!$D$2:$D$11000,"Out",OUT!$E$2:$E$11000,"Bathroom")</f>
        <v>19900</v>
      </c>
      <c r="M124" s="52">
        <f ca="1">SUMIFS(OUT!$F$2:$F$11000,OUT!$H$2:$H$11000,H124,OUT!$D$2:$D$11000,"Out",OUT!$E$2:$E$11000,"Alfa")</f>
        <v>282719</v>
      </c>
      <c r="N124" s="52" t="e">
        <f ca="1">SUMIFS(OUT!$F$2:$F$11000,OUT!$H$2:$H$101007,H124,OUT!$D$2:$D$11000,"Out",OUT!$E$2:$E$11000,"Jajan")</f>
        <v>#VALUE!</v>
      </c>
      <c r="O124" s="52">
        <f ca="1">SUMIFS(OUT!$F$2:$F$11000,OUT!$H$2:$H$11000,H124,OUT!$D$2:$D$11000,"Out",OUT!$E$2:$E$11000,"Kitchen")</f>
        <v>964968</v>
      </c>
      <c r="P124" s="52">
        <f ca="1">SUMIFS(OUT!$F$2:$F$11000,OUT!$H$2:$H$11000,H124,OUT!$D$2:$D$11000,"Out",OUT!$E$2:$E$11000,"Loandry")</f>
        <v>58396</v>
      </c>
      <c r="Q124" s="52">
        <f ca="1">SUMIFS(OUT!$F$2:$F$11000,OUT!$H$2:$H$11000,H124,OUT!$D$2:$D$11000,"Out",OUT!$E$2:$E$11000,"Mio")</f>
        <v>181000</v>
      </c>
      <c r="R124" s="52">
        <f ca="1">SUMIFS(OUT!$F$2:$F$11000,OUT!$H$2:$H$11000,H124,OUT!$D$2:$D$11000,"Out",OUT!$E$2:$E$11000,"Sedekah")</f>
        <v>0</v>
      </c>
      <c r="S124" s="52">
        <f ca="1">SUMIFS(OUT!$F$2:$F$11000,OUT!$H$2:$H$11000,H124,OUT!$D$2:$D$11000,"Out",OUT!$E$2:$E$11000,"Zela")</f>
        <v>90500</v>
      </c>
      <c r="T124" s="52">
        <f ca="1">SUMIFS(OUT!$F$2:$F$11000,OUT!$H$2:$H$11000,H124,OUT!$D$2:$D$11000,"Out",OUT!$E$2:$E$11000,"Iqbal")</f>
        <v>74070</v>
      </c>
    </row>
    <row r="125" spans="1:20" x14ac:dyDescent="0.2">
      <c r="A125" s="48">
        <f ca="1">IFERROR(__xludf.DUMMYFUNCTION("""COMPUTED_VALUE"""),46132)</f>
        <v>46132</v>
      </c>
      <c r="B125" s="4" t="str">
        <f ca="1">IFERROR(__xludf.DUMMYFUNCTION("""COMPUTED_VALUE"""),"Admin BRI")</f>
        <v>Admin BRI</v>
      </c>
      <c r="C125" s="4" t="str">
        <f ca="1">IFERROR(__xludf.DUMMYFUNCTION("""COMPUTED_VALUE"""),"ATM")</f>
        <v>ATM</v>
      </c>
      <c r="D125" s="4" t="str">
        <f ca="1">IFERROR(__xludf.DUMMYFUNCTION("""COMPUTED_VALUE"""),"Out")</f>
        <v>Out</v>
      </c>
      <c r="E125" s="4" t="str">
        <f ca="1">IFERROR(__xludf.DUMMYFUNCTION("""COMPUTED_VALUE"""),"Fix")</f>
        <v>Fix</v>
      </c>
      <c r="F125" s="49">
        <f ca="1">IFERROR(__xludf.DUMMYFUNCTION("""COMPUTED_VALUE"""),6000)</f>
        <v>6000</v>
      </c>
      <c r="G125" s="50" t="str">
        <f ca="1">IFERROR(__xludf.DUMMYFUNCTION("""COMPUTED_VALUE"""),"Ibal")</f>
        <v>Ibal</v>
      </c>
      <c r="H125" s="51">
        <f t="shared" ca="1" si="0"/>
        <v>46113</v>
      </c>
      <c r="I125" s="52" t="e">
        <f ca="1">SUMIFS(OUT!$F$2:$F$11000,OUT!$H$2:$H$11000,H125,OUT!$D$2:$D$101007,"In")</f>
        <v>#VALUE!</v>
      </c>
      <c r="J125" s="52">
        <f ca="1">SUMIFS(OUT!$F$2:$F$11000,OUT!$H$2:$H$11000,H125,OUT!$D$2:$D$11000,"Out")</f>
        <v>8253441</v>
      </c>
      <c r="K125" s="52">
        <f ca="1">SUMIFS(OUT!$F$2:$F$11000,OUT!$H$2:$H$11000,H125,OUT!$D$2:$D$11000,"Out",OUT!$E$2:$E$11000,"Fix")</f>
        <v>2554300</v>
      </c>
      <c r="L125" s="52">
        <f ca="1">SUMIFS(OUT!$F$2:$F$11000,OUT!$H$2:$H$11000,H125,OUT!$D$2:$D$11000,"Out",OUT!$E$2:$E$11000,"Bathroom")</f>
        <v>19900</v>
      </c>
      <c r="M125" s="52">
        <f ca="1">SUMIFS(OUT!$F$2:$F$11000,OUT!$H$2:$H$11000,H125,OUT!$D$2:$D$11000,"Out",OUT!$E$2:$E$11000,"Alfa")</f>
        <v>282719</v>
      </c>
      <c r="N125" s="52" t="e">
        <f ca="1">SUMIFS(OUT!$F$2:$F$11000,OUT!$H$2:$H$101007,H125,OUT!$D$2:$D$11000,"Out",OUT!$E$2:$E$11000,"Jajan")</f>
        <v>#VALUE!</v>
      </c>
      <c r="O125" s="52">
        <f ca="1">SUMIFS(OUT!$F$2:$F$11000,OUT!$H$2:$H$11000,H125,OUT!$D$2:$D$11000,"Out",OUT!$E$2:$E$11000,"Kitchen")</f>
        <v>964968</v>
      </c>
      <c r="P125" s="52">
        <f ca="1">SUMIFS(OUT!$F$2:$F$11000,OUT!$H$2:$H$11000,H125,OUT!$D$2:$D$11000,"Out",OUT!$E$2:$E$11000,"Loandry")</f>
        <v>58396</v>
      </c>
      <c r="Q125" s="52">
        <f ca="1">SUMIFS(OUT!$F$2:$F$11000,OUT!$H$2:$H$11000,H125,OUT!$D$2:$D$11000,"Out",OUT!$E$2:$E$11000,"Mio")</f>
        <v>181000</v>
      </c>
      <c r="R125" s="52">
        <f ca="1">SUMIFS(OUT!$F$2:$F$11000,OUT!$H$2:$H$11000,H125,OUT!$D$2:$D$11000,"Out",OUT!$E$2:$E$11000,"Sedekah")</f>
        <v>0</v>
      </c>
      <c r="S125" s="52">
        <f ca="1">SUMIFS(OUT!$F$2:$F$11000,OUT!$H$2:$H$11000,H125,OUT!$D$2:$D$11000,"Out",OUT!$E$2:$E$11000,"Zela")</f>
        <v>90500</v>
      </c>
      <c r="T125" s="52">
        <f ca="1">SUMIFS(OUT!$F$2:$F$11000,OUT!$H$2:$H$11000,H125,OUT!$D$2:$D$11000,"Out",OUT!$E$2:$E$11000,"Iqbal")</f>
        <v>74070</v>
      </c>
    </row>
    <row r="126" spans="1:20" x14ac:dyDescent="0.2">
      <c r="A126" s="48">
        <f ca="1">IFERROR(__xludf.DUMMYFUNCTION("""COMPUTED_VALUE"""),46134)</f>
        <v>46134</v>
      </c>
      <c r="B126" s="4" t="str">
        <f ca="1">IFERROR(__xludf.DUMMYFUNCTION("""COMPUTED_VALUE"""),"Rokok, kerupuk")</f>
        <v>Rokok, kerupuk</v>
      </c>
      <c r="C126" s="4" t="str">
        <f ca="1">IFERROR(__xludf.DUMMYFUNCTION("""COMPUTED_VALUE"""),"ATM")</f>
        <v>ATM</v>
      </c>
      <c r="D126" s="4" t="str">
        <f ca="1">IFERROR(__xludf.DUMMYFUNCTION("""COMPUTED_VALUE"""),"Out")</f>
        <v>Out</v>
      </c>
      <c r="E126" s="4" t="str">
        <f ca="1">IFERROR(__xludf.DUMMYFUNCTION("""COMPUTED_VALUE"""),"Jajan")</f>
        <v>Jajan</v>
      </c>
      <c r="F126" s="49">
        <f ca="1">IFERROR(__xludf.DUMMYFUNCTION("""COMPUTED_VALUE"""),29000)</f>
        <v>29000</v>
      </c>
      <c r="G126" s="50" t="str">
        <f ca="1">IFERROR(__xludf.DUMMYFUNCTION("""COMPUTED_VALUE"""),"Ibal")</f>
        <v>Ibal</v>
      </c>
      <c r="H126" s="51">
        <f t="shared" ca="1" si="0"/>
        <v>46113</v>
      </c>
      <c r="I126" s="52" t="e">
        <f ca="1">SUMIFS(OUT!$F$2:$F$11000,OUT!$H$2:$H$11000,H126,OUT!$D$2:$D$101007,"In")</f>
        <v>#VALUE!</v>
      </c>
      <c r="J126" s="52">
        <f ca="1">SUMIFS(OUT!$F$2:$F$11000,OUT!$H$2:$H$11000,H126,OUT!$D$2:$D$11000,"Out")</f>
        <v>8253441</v>
      </c>
      <c r="K126" s="52">
        <f ca="1">SUMIFS(OUT!$F$2:$F$11000,OUT!$H$2:$H$11000,H126,OUT!$D$2:$D$11000,"Out",OUT!$E$2:$E$11000,"Fix")</f>
        <v>2554300</v>
      </c>
      <c r="L126" s="52">
        <f ca="1">SUMIFS(OUT!$F$2:$F$11000,OUT!$H$2:$H$11000,H126,OUT!$D$2:$D$11000,"Out",OUT!$E$2:$E$11000,"Bathroom")</f>
        <v>19900</v>
      </c>
      <c r="M126" s="52">
        <f ca="1">SUMIFS(OUT!$F$2:$F$11000,OUT!$H$2:$H$11000,H126,OUT!$D$2:$D$11000,"Out",OUT!$E$2:$E$11000,"Alfa")</f>
        <v>282719</v>
      </c>
      <c r="N126" s="52" t="e">
        <f ca="1">SUMIFS(OUT!$F$2:$F$11000,OUT!$H$2:$H$101007,H126,OUT!$D$2:$D$11000,"Out",OUT!$E$2:$E$11000,"Jajan")</f>
        <v>#VALUE!</v>
      </c>
      <c r="O126" s="52">
        <f ca="1">SUMIFS(OUT!$F$2:$F$11000,OUT!$H$2:$H$11000,H126,OUT!$D$2:$D$11000,"Out",OUT!$E$2:$E$11000,"Kitchen")</f>
        <v>964968</v>
      </c>
      <c r="P126" s="52">
        <f ca="1">SUMIFS(OUT!$F$2:$F$11000,OUT!$H$2:$H$11000,H126,OUT!$D$2:$D$11000,"Out",OUT!$E$2:$E$11000,"Loandry")</f>
        <v>58396</v>
      </c>
      <c r="Q126" s="52">
        <f ca="1">SUMIFS(OUT!$F$2:$F$11000,OUT!$H$2:$H$11000,H126,OUT!$D$2:$D$11000,"Out",OUT!$E$2:$E$11000,"Mio")</f>
        <v>181000</v>
      </c>
      <c r="R126" s="52">
        <f ca="1">SUMIFS(OUT!$F$2:$F$11000,OUT!$H$2:$H$11000,H126,OUT!$D$2:$D$11000,"Out",OUT!$E$2:$E$11000,"Sedekah")</f>
        <v>0</v>
      </c>
      <c r="S126" s="52">
        <f ca="1">SUMIFS(OUT!$F$2:$F$11000,OUT!$H$2:$H$11000,H126,OUT!$D$2:$D$11000,"Out",OUT!$E$2:$E$11000,"Zela")</f>
        <v>90500</v>
      </c>
      <c r="T126" s="52">
        <f ca="1">SUMIFS(OUT!$F$2:$F$11000,OUT!$H$2:$H$11000,H126,OUT!$D$2:$D$11000,"Out",OUT!$E$2:$E$11000,"Iqbal")</f>
        <v>74070</v>
      </c>
    </row>
    <row r="127" spans="1:20" x14ac:dyDescent="0.2">
      <c r="A127" s="48">
        <f ca="1">IFERROR(__xludf.DUMMYFUNCTION("""COMPUTED_VALUE"""),46135)</f>
        <v>46135</v>
      </c>
      <c r="B127" s="4" t="str">
        <f ca="1">IFERROR(__xludf.DUMMYFUNCTION("""COMPUTED_VALUE"""),"e-materai")</f>
        <v>e-materai</v>
      </c>
      <c r="C127" s="4" t="str">
        <f ca="1">IFERROR(__xludf.DUMMYFUNCTION("""COMPUTED_VALUE"""),"ATM")</f>
        <v>ATM</v>
      </c>
      <c r="D127" s="4" t="str">
        <f ca="1">IFERROR(__xludf.DUMMYFUNCTION("""COMPUTED_VALUE"""),"Out")</f>
        <v>Out</v>
      </c>
      <c r="E127" s="4" t="str">
        <f ca="1">IFERROR(__xludf.DUMMYFUNCTION("""COMPUTED_VALUE"""),"Iqbal")</f>
        <v>Iqbal</v>
      </c>
      <c r="F127" s="49">
        <f ca="1">IFERROR(__xludf.DUMMYFUNCTION("""COMPUTED_VALUE"""),10070)</f>
        <v>10070</v>
      </c>
      <c r="G127" s="50" t="str">
        <f ca="1">IFERROR(__xludf.DUMMYFUNCTION("""COMPUTED_VALUE"""),"Ibal")</f>
        <v>Ibal</v>
      </c>
      <c r="H127" s="51">
        <f t="shared" ca="1" si="0"/>
        <v>46113</v>
      </c>
      <c r="I127" s="52" t="e">
        <f ca="1">SUMIFS(OUT!$F$2:$F$11000,OUT!$H$2:$H$11000,H127,OUT!$D$2:$D$101007,"In")</f>
        <v>#VALUE!</v>
      </c>
      <c r="J127" s="52">
        <f ca="1">SUMIFS(OUT!$F$2:$F$11000,OUT!$H$2:$H$11000,H127,OUT!$D$2:$D$11000,"Out")</f>
        <v>8253441</v>
      </c>
      <c r="K127" s="52">
        <f ca="1">SUMIFS(OUT!$F$2:$F$11000,OUT!$H$2:$H$11000,H127,OUT!$D$2:$D$11000,"Out",OUT!$E$2:$E$11000,"Fix")</f>
        <v>2554300</v>
      </c>
      <c r="L127" s="52">
        <f ca="1">SUMIFS(OUT!$F$2:$F$11000,OUT!$H$2:$H$11000,H127,OUT!$D$2:$D$11000,"Out",OUT!$E$2:$E$11000,"Bathroom")</f>
        <v>19900</v>
      </c>
      <c r="M127" s="52">
        <f ca="1">SUMIFS(OUT!$F$2:$F$11000,OUT!$H$2:$H$11000,H127,OUT!$D$2:$D$11000,"Out",OUT!$E$2:$E$11000,"Alfa")</f>
        <v>282719</v>
      </c>
      <c r="N127" s="52" t="e">
        <f ca="1">SUMIFS(OUT!$F$2:$F$11000,OUT!$H$2:$H$101007,H127,OUT!$D$2:$D$11000,"Out",OUT!$E$2:$E$11000,"Jajan")</f>
        <v>#VALUE!</v>
      </c>
      <c r="O127" s="52">
        <f ca="1">SUMIFS(OUT!$F$2:$F$11000,OUT!$H$2:$H$11000,H127,OUT!$D$2:$D$11000,"Out",OUT!$E$2:$E$11000,"Kitchen")</f>
        <v>964968</v>
      </c>
      <c r="P127" s="52">
        <f ca="1">SUMIFS(OUT!$F$2:$F$11000,OUT!$H$2:$H$11000,H127,OUT!$D$2:$D$11000,"Out",OUT!$E$2:$E$11000,"Loandry")</f>
        <v>58396</v>
      </c>
      <c r="Q127" s="52">
        <f ca="1">SUMIFS(OUT!$F$2:$F$11000,OUT!$H$2:$H$11000,H127,OUT!$D$2:$D$11000,"Out",OUT!$E$2:$E$11000,"Mio")</f>
        <v>181000</v>
      </c>
      <c r="R127" s="52">
        <f ca="1">SUMIFS(OUT!$F$2:$F$11000,OUT!$H$2:$H$11000,H127,OUT!$D$2:$D$11000,"Out",OUT!$E$2:$E$11000,"Sedekah")</f>
        <v>0</v>
      </c>
      <c r="S127" s="52">
        <f ca="1">SUMIFS(OUT!$F$2:$F$11000,OUT!$H$2:$H$11000,H127,OUT!$D$2:$D$11000,"Out",OUT!$E$2:$E$11000,"Zela")</f>
        <v>90500</v>
      </c>
      <c r="T127" s="52">
        <f ca="1">SUMIFS(OUT!$F$2:$F$11000,OUT!$H$2:$H$11000,H127,OUT!$D$2:$D$11000,"Out",OUT!$E$2:$E$11000,"Iqbal")</f>
        <v>74070</v>
      </c>
    </row>
    <row r="128" spans="1:20" x14ac:dyDescent="0.2">
      <c r="A128" s="48">
        <f ca="1">IFERROR(__xludf.DUMMYFUNCTION("""COMPUTED_VALUE"""),46136)</f>
        <v>46136</v>
      </c>
      <c r="B128" s="4" t="str">
        <f ca="1">IFERROR(__xludf.DUMMYFUNCTION("""COMPUTED_VALUE"""),"Istriku")</f>
        <v>Istriku</v>
      </c>
      <c r="C128" s="4" t="str">
        <f ca="1">IFERROR(__xludf.DUMMYFUNCTION("""COMPUTED_VALUE"""),"ATM")</f>
        <v>ATM</v>
      </c>
      <c r="D128" s="4" t="str">
        <f ca="1">IFERROR(__xludf.DUMMYFUNCTION("""COMPUTED_VALUE"""),"Out")</f>
        <v>Out</v>
      </c>
      <c r="E128" s="4" t="str">
        <f ca="1">IFERROR(__xludf.DUMMYFUNCTION("""COMPUTED_VALUE"""),"Move")</f>
        <v>Move</v>
      </c>
      <c r="F128" s="49">
        <f ca="1">IFERROR(__xludf.DUMMYFUNCTION("""COMPUTED_VALUE"""),200000)</f>
        <v>200000</v>
      </c>
      <c r="G128" s="50" t="str">
        <f ca="1">IFERROR(__xludf.DUMMYFUNCTION("""COMPUTED_VALUE"""),"Ibal")</f>
        <v>Ibal</v>
      </c>
      <c r="H128" s="51">
        <f t="shared" ca="1" si="0"/>
        <v>46113</v>
      </c>
      <c r="I128" s="52" t="e">
        <f ca="1">SUMIFS(OUT!$F$2:$F$11000,OUT!$H$2:$H$11000,H128,OUT!$D$2:$D$101007,"In")</f>
        <v>#VALUE!</v>
      </c>
      <c r="J128" s="52">
        <f ca="1">SUMIFS(OUT!$F$2:$F$11000,OUT!$H$2:$H$11000,H128,OUT!$D$2:$D$11000,"Out")</f>
        <v>8253441</v>
      </c>
      <c r="K128" s="52">
        <f ca="1">SUMIFS(OUT!$F$2:$F$11000,OUT!$H$2:$H$11000,H128,OUT!$D$2:$D$11000,"Out",OUT!$E$2:$E$11000,"Fix")</f>
        <v>2554300</v>
      </c>
      <c r="L128" s="52">
        <f ca="1">SUMIFS(OUT!$F$2:$F$11000,OUT!$H$2:$H$11000,H128,OUT!$D$2:$D$11000,"Out",OUT!$E$2:$E$11000,"Bathroom")</f>
        <v>19900</v>
      </c>
      <c r="M128" s="52">
        <f ca="1">SUMIFS(OUT!$F$2:$F$11000,OUT!$H$2:$H$11000,H128,OUT!$D$2:$D$11000,"Out",OUT!$E$2:$E$11000,"Alfa")</f>
        <v>282719</v>
      </c>
      <c r="N128" s="52" t="e">
        <f ca="1">SUMIFS(OUT!$F$2:$F$11000,OUT!$H$2:$H$101007,H128,OUT!$D$2:$D$11000,"Out",OUT!$E$2:$E$11000,"Jajan")</f>
        <v>#VALUE!</v>
      </c>
      <c r="O128" s="52">
        <f ca="1">SUMIFS(OUT!$F$2:$F$11000,OUT!$H$2:$H$11000,H128,OUT!$D$2:$D$11000,"Out",OUT!$E$2:$E$11000,"Kitchen")</f>
        <v>964968</v>
      </c>
      <c r="P128" s="52">
        <f ca="1">SUMIFS(OUT!$F$2:$F$11000,OUT!$H$2:$H$11000,H128,OUT!$D$2:$D$11000,"Out",OUT!$E$2:$E$11000,"Loandry")</f>
        <v>58396</v>
      </c>
      <c r="Q128" s="52">
        <f ca="1">SUMIFS(OUT!$F$2:$F$11000,OUT!$H$2:$H$11000,H128,OUT!$D$2:$D$11000,"Out",OUT!$E$2:$E$11000,"Mio")</f>
        <v>181000</v>
      </c>
      <c r="R128" s="52">
        <f ca="1">SUMIFS(OUT!$F$2:$F$11000,OUT!$H$2:$H$11000,H128,OUT!$D$2:$D$11000,"Out",OUT!$E$2:$E$11000,"Sedekah")</f>
        <v>0</v>
      </c>
      <c r="S128" s="52">
        <f ca="1">SUMIFS(OUT!$F$2:$F$11000,OUT!$H$2:$H$11000,H128,OUT!$D$2:$D$11000,"Out",OUT!$E$2:$E$11000,"Zela")</f>
        <v>90500</v>
      </c>
      <c r="T128" s="52">
        <f ca="1">SUMIFS(OUT!$F$2:$F$11000,OUT!$H$2:$H$11000,H128,OUT!$D$2:$D$11000,"Out",OUT!$E$2:$E$11000,"Iqbal")</f>
        <v>74070</v>
      </c>
    </row>
    <row r="129" spans="1:20" x14ac:dyDescent="0.2">
      <c r="A129" s="48">
        <f ca="1">IFERROR(__xludf.DUMMYFUNCTION("""COMPUTED_VALUE"""),46137)</f>
        <v>46137</v>
      </c>
      <c r="B129" s="4" t="str">
        <f ca="1">IFERROR(__xludf.DUMMYFUNCTION("""COMPUTED_VALUE"""),"Teh telor")</f>
        <v>Teh telor</v>
      </c>
      <c r="C129" s="4" t="str">
        <f ca="1">IFERROR(__xludf.DUMMYFUNCTION("""COMPUTED_VALUE"""),"ATM")</f>
        <v>ATM</v>
      </c>
      <c r="D129" s="4" t="str">
        <f ca="1">IFERROR(__xludf.DUMMYFUNCTION("""COMPUTED_VALUE"""),"Out")</f>
        <v>Out</v>
      </c>
      <c r="E129" s="4" t="str">
        <f ca="1">IFERROR(__xludf.DUMMYFUNCTION("""COMPUTED_VALUE"""),"Jajan")</f>
        <v>Jajan</v>
      </c>
      <c r="F129" s="49">
        <f ca="1">IFERROR(__xludf.DUMMYFUNCTION("""COMPUTED_VALUE"""),11000)</f>
        <v>11000</v>
      </c>
      <c r="G129" s="50" t="str">
        <f ca="1">IFERROR(__xludf.DUMMYFUNCTION("""COMPUTED_VALUE"""),"Ibal")</f>
        <v>Ibal</v>
      </c>
      <c r="H129" s="51">
        <f t="shared" ca="1" si="0"/>
        <v>46113</v>
      </c>
      <c r="I129" s="52" t="e">
        <f ca="1">SUMIFS(OUT!$F$2:$F$11000,OUT!$H$2:$H$11000,H129,OUT!$D$2:$D$101007,"In")</f>
        <v>#VALUE!</v>
      </c>
      <c r="J129" s="52">
        <f ca="1">SUMIFS(OUT!$F$2:$F$11000,OUT!$H$2:$H$11000,H129,OUT!$D$2:$D$11000,"Out")</f>
        <v>8253441</v>
      </c>
      <c r="K129" s="52">
        <f ca="1">SUMIFS(OUT!$F$2:$F$11000,OUT!$H$2:$H$11000,H129,OUT!$D$2:$D$11000,"Out",OUT!$E$2:$E$11000,"Fix")</f>
        <v>2554300</v>
      </c>
      <c r="L129" s="52">
        <f ca="1">SUMIFS(OUT!$F$2:$F$11000,OUT!$H$2:$H$11000,H129,OUT!$D$2:$D$11000,"Out",OUT!$E$2:$E$11000,"Bathroom")</f>
        <v>19900</v>
      </c>
      <c r="M129" s="52">
        <f ca="1">SUMIFS(OUT!$F$2:$F$11000,OUT!$H$2:$H$11000,H129,OUT!$D$2:$D$11000,"Out",OUT!$E$2:$E$11000,"Alfa")</f>
        <v>282719</v>
      </c>
      <c r="N129" s="52" t="e">
        <f ca="1">SUMIFS(OUT!$F$2:$F$11000,OUT!$H$2:$H$101007,H129,OUT!$D$2:$D$11000,"Out",OUT!$E$2:$E$11000,"Jajan")</f>
        <v>#VALUE!</v>
      </c>
      <c r="O129" s="52">
        <f ca="1">SUMIFS(OUT!$F$2:$F$11000,OUT!$H$2:$H$11000,H129,OUT!$D$2:$D$11000,"Out",OUT!$E$2:$E$11000,"Kitchen")</f>
        <v>964968</v>
      </c>
      <c r="P129" s="52">
        <f ca="1">SUMIFS(OUT!$F$2:$F$11000,OUT!$H$2:$H$11000,H129,OUT!$D$2:$D$11000,"Out",OUT!$E$2:$E$11000,"Loandry")</f>
        <v>58396</v>
      </c>
      <c r="Q129" s="52">
        <f ca="1">SUMIFS(OUT!$F$2:$F$11000,OUT!$H$2:$H$11000,H129,OUT!$D$2:$D$11000,"Out",OUT!$E$2:$E$11000,"Mio")</f>
        <v>181000</v>
      </c>
      <c r="R129" s="52">
        <f ca="1">SUMIFS(OUT!$F$2:$F$11000,OUT!$H$2:$H$11000,H129,OUT!$D$2:$D$11000,"Out",OUT!$E$2:$E$11000,"Sedekah")</f>
        <v>0</v>
      </c>
      <c r="S129" s="52">
        <f ca="1">SUMIFS(OUT!$F$2:$F$11000,OUT!$H$2:$H$11000,H129,OUT!$D$2:$D$11000,"Out",OUT!$E$2:$E$11000,"Zela")</f>
        <v>90500</v>
      </c>
      <c r="T129" s="52">
        <f ca="1">SUMIFS(OUT!$F$2:$F$11000,OUT!$H$2:$H$11000,H129,OUT!$D$2:$D$11000,"Out",OUT!$E$2:$E$11000,"Iqbal")</f>
        <v>74070</v>
      </c>
    </row>
    <row r="130" spans="1:20" x14ac:dyDescent="0.2">
      <c r="A130" s="48">
        <f ca="1">IFERROR(__xludf.DUMMYFUNCTION("""COMPUTED_VALUE"""),46137)</f>
        <v>46137</v>
      </c>
      <c r="B130" s="4" t="str">
        <f ca="1">IFERROR(__xludf.DUMMYFUNCTION("""COMPUTED_VALUE"""),"Martabak Kacang")</f>
        <v>Martabak Kacang</v>
      </c>
      <c r="C130" s="4" t="str">
        <f ca="1">IFERROR(__xludf.DUMMYFUNCTION("""COMPUTED_VALUE"""),"ATM")</f>
        <v>ATM</v>
      </c>
      <c r="D130" s="4" t="str">
        <f ca="1">IFERROR(__xludf.DUMMYFUNCTION("""COMPUTED_VALUE"""),"Out")</f>
        <v>Out</v>
      </c>
      <c r="E130" s="4" t="str">
        <f ca="1">IFERROR(__xludf.DUMMYFUNCTION("""COMPUTED_VALUE"""),"Jajan")</f>
        <v>Jajan</v>
      </c>
      <c r="F130" s="49">
        <f ca="1">IFERROR(__xludf.DUMMYFUNCTION("""COMPUTED_VALUE"""),15000)</f>
        <v>15000</v>
      </c>
      <c r="G130" s="50" t="str">
        <f ca="1">IFERROR(__xludf.DUMMYFUNCTION("""COMPUTED_VALUE"""),"Ibal")</f>
        <v>Ibal</v>
      </c>
      <c r="H130" s="51">
        <f t="shared" ca="1" si="0"/>
        <v>46113</v>
      </c>
      <c r="I130" s="52" t="e">
        <f ca="1">SUMIFS(OUT!$F$2:$F$11000,OUT!$H$2:$H$11000,H130,OUT!$D$2:$D$101007,"In")</f>
        <v>#VALUE!</v>
      </c>
      <c r="J130" s="52">
        <f ca="1">SUMIFS(OUT!$F$2:$F$11000,OUT!$H$2:$H$11000,H130,OUT!$D$2:$D$11000,"Out")</f>
        <v>8253441</v>
      </c>
      <c r="K130" s="52">
        <f ca="1">SUMIFS(OUT!$F$2:$F$11000,OUT!$H$2:$H$11000,H130,OUT!$D$2:$D$11000,"Out",OUT!$E$2:$E$11000,"Fix")</f>
        <v>2554300</v>
      </c>
      <c r="L130" s="52">
        <f ca="1">SUMIFS(OUT!$F$2:$F$11000,OUT!$H$2:$H$11000,H130,OUT!$D$2:$D$11000,"Out",OUT!$E$2:$E$11000,"Bathroom")</f>
        <v>19900</v>
      </c>
      <c r="M130" s="52">
        <f ca="1">SUMIFS(OUT!$F$2:$F$11000,OUT!$H$2:$H$11000,H130,OUT!$D$2:$D$11000,"Out",OUT!$E$2:$E$11000,"Alfa")</f>
        <v>282719</v>
      </c>
      <c r="N130" s="52" t="e">
        <f ca="1">SUMIFS(OUT!$F$2:$F$11000,OUT!$H$2:$H$101007,H130,OUT!$D$2:$D$11000,"Out",OUT!$E$2:$E$11000,"Jajan")</f>
        <v>#VALUE!</v>
      </c>
      <c r="O130" s="52">
        <f ca="1">SUMIFS(OUT!$F$2:$F$11000,OUT!$H$2:$H$11000,H130,OUT!$D$2:$D$11000,"Out",OUT!$E$2:$E$11000,"Kitchen")</f>
        <v>964968</v>
      </c>
      <c r="P130" s="52">
        <f ca="1">SUMIFS(OUT!$F$2:$F$11000,OUT!$H$2:$H$11000,H130,OUT!$D$2:$D$11000,"Out",OUT!$E$2:$E$11000,"Loandry")</f>
        <v>58396</v>
      </c>
      <c r="Q130" s="52">
        <f ca="1">SUMIFS(OUT!$F$2:$F$11000,OUT!$H$2:$H$11000,H130,OUT!$D$2:$D$11000,"Out",OUT!$E$2:$E$11000,"Mio")</f>
        <v>181000</v>
      </c>
      <c r="R130" s="52">
        <f ca="1">SUMIFS(OUT!$F$2:$F$11000,OUT!$H$2:$H$11000,H130,OUT!$D$2:$D$11000,"Out",OUT!$E$2:$E$11000,"Sedekah")</f>
        <v>0</v>
      </c>
      <c r="S130" s="52">
        <f ca="1">SUMIFS(OUT!$F$2:$F$11000,OUT!$H$2:$H$11000,H130,OUT!$D$2:$D$11000,"Out",OUT!$E$2:$E$11000,"Zela")</f>
        <v>90500</v>
      </c>
      <c r="T130" s="52">
        <f ca="1">SUMIFS(OUT!$F$2:$F$11000,OUT!$H$2:$H$11000,H130,OUT!$D$2:$D$11000,"Out",OUT!$E$2:$E$11000,"Iqbal")</f>
        <v>74070</v>
      </c>
    </row>
    <row r="131" spans="1:20" x14ac:dyDescent="0.2">
      <c r="A131" s="48">
        <f ca="1">IFERROR(__xludf.DUMMYFUNCTION("""COMPUTED_VALUE"""),46136)</f>
        <v>46136</v>
      </c>
      <c r="B131" s="4" t="str">
        <f ca="1">IFERROR(__xludf.DUMMYFUNCTION("""COMPUTED_VALUE"""),"Alhamdulillah dikasi aulia")</f>
        <v>Alhamdulillah dikasi aulia</v>
      </c>
      <c r="C131" s="4" t="str">
        <f ca="1">IFERROR(__xludf.DUMMYFUNCTION("""COMPUTED_VALUE"""),"ATM")</f>
        <v>ATM</v>
      </c>
      <c r="D131" s="4" t="str">
        <f ca="1">IFERROR(__xludf.DUMMYFUNCTION("""COMPUTED_VALUE"""),"In")</f>
        <v>In</v>
      </c>
      <c r="E131" s="4" t="str">
        <f ca="1">IFERROR(__xludf.DUMMYFUNCTION("""COMPUTED_VALUE"""),"Fix")</f>
        <v>Fix</v>
      </c>
      <c r="F131" s="49">
        <f ca="1">IFERROR(__xludf.DUMMYFUNCTION("""COMPUTED_VALUE"""),300000)</f>
        <v>300000</v>
      </c>
      <c r="G131" s="50" t="str">
        <f ca="1">IFERROR(__xludf.DUMMYFUNCTION("""COMPUTED_VALUE"""),"Ibal")</f>
        <v>Ibal</v>
      </c>
      <c r="H131" s="51">
        <f t="shared" ca="1" si="0"/>
        <v>46113</v>
      </c>
      <c r="I131" s="52" t="e">
        <f ca="1">SUMIFS(OUT!$F$2:$F$11000,OUT!$H$2:$H$11000,H131,OUT!$D$2:$D$101007,"In")</f>
        <v>#VALUE!</v>
      </c>
      <c r="J131" s="52">
        <f ca="1">SUMIFS(OUT!$F$2:$F$11000,OUT!$H$2:$H$11000,H131,OUT!$D$2:$D$11000,"Out")</f>
        <v>8253441</v>
      </c>
      <c r="K131" s="52">
        <f ca="1">SUMIFS(OUT!$F$2:$F$11000,OUT!$H$2:$H$11000,H131,OUT!$D$2:$D$11000,"Out",OUT!$E$2:$E$11000,"Fix")</f>
        <v>2554300</v>
      </c>
      <c r="L131" s="52">
        <f ca="1">SUMIFS(OUT!$F$2:$F$11000,OUT!$H$2:$H$11000,H131,OUT!$D$2:$D$11000,"Out",OUT!$E$2:$E$11000,"Bathroom")</f>
        <v>19900</v>
      </c>
      <c r="M131" s="52">
        <f ca="1">SUMIFS(OUT!$F$2:$F$11000,OUT!$H$2:$H$11000,H131,OUT!$D$2:$D$11000,"Out",OUT!$E$2:$E$11000,"Alfa")</f>
        <v>282719</v>
      </c>
      <c r="N131" s="52" t="e">
        <f ca="1">SUMIFS(OUT!$F$2:$F$11000,OUT!$H$2:$H$101007,H131,OUT!$D$2:$D$11000,"Out",OUT!$E$2:$E$11000,"Jajan")</f>
        <v>#VALUE!</v>
      </c>
      <c r="O131" s="52">
        <f ca="1">SUMIFS(OUT!$F$2:$F$11000,OUT!$H$2:$H$11000,H131,OUT!$D$2:$D$11000,"Out",OUT!$E$2:$E$11000,"Kitchen")</f>
        <v>964968</v>
      </c>
      <c r="P131" s="52">
        <f ca="1">SUMIFS(OUT!$F$2:$F$11000,OUT!$H$2:$H$11000,H131,OUT!$D$2:$D$11000,"Out",OUT!$E$2:$E$11000,"Loandry")</f>
        <v>58396</v>
      </c>
      <c r="Q131" s="52">
        <f ca="1">SUMIFS(OUT!$F$2:$F$11000,OUT!$H$2:$H$11000,H131,OUT!$D$2:$D$11000,"Out",OUT!$E$2:$E$11000,"Mio")</f>
        <v>181000</v>
      </c>
      <c r="R131" s="52">
        <f ca="1">SUMIFS(OUT!$F$2:$F$11000,OUT!$H$2:$H$11000,H131,OUT!$D$2:$D$11000,"Out",OUT!$E$2:$E$11000,"Sedekah")</f>
        <v>0</v>
      </c>
      <c r="S131" s="52">
        <f ca="1">SUMIFS(OUT!$F$2:$F$11000,OUT!$H$2:$H$11000,H131,OUT!$D$2:$D$11000,"Out",OUT!$E$2:$E$11000,"Zela")</f>
        <v>90500</v>
      </c>
      <c r="T131" s="52">
        <f ca="1">SUMIFS(OUT!$F$2:$F$11000,OUT!$H$2:$H$11000,H131,OUT!$D$2:$D$11000,"Out",OUT!$E$2:$E$11000,"Iqbal")</f>
        <v>74070</v>
      </c>
    </row>
    <row r="132" spans="1:20" x14ac:dyDescent="0.2">
      <c r="A132" s="48">
        <f ca="1">IFERROR(__xludf.DUMMYFUNCTION("""COMPUTED_VALUE"""),46144)</f>
        <v>46144</v>
      </c>
      <c r="B132" s="4" t="str">
        <f ca="1">IFERROR(__xludf.DUMMYFUNCTION("""COMPUTED_VALUE"""),"Istriku")</f>
        <v>Istriku</v>
      </c>
      <c r="C132" s="4" t="str">
        <f ca="1">IFERROR(__xludf.DUMMYFUNCTION("""COMPUTED_VALUE"""),"ATM")</f>
        <v>ATM</v>
      </c>
      <c r="D132" s="4" t="str">
        <f ca="1">IFERROR(__xludf.DUMMYFUNCTION("""COMPUTED_VALUE"""),"Out")</f>
        <v>Out</v>
      </c>
      <c r="E132" s="4" t="str">
        <f ca="1">IFERROR(__xludf.DUMMYFUNCTION("""COMPUTED_VALUE"""),"Move")</f>
        <v>Move</v>
      </c>
      <c r="F132" s="49">
        <f ca="1">IFERROR(__xludf.DUMMYFUNCTION("""COMPUTED_VALUE"""),200000)</f>
        <v>200000</v>
      </c>
      <c r="G132" s="50" t="str">
        <f ca="1">IFERROR(__xludf.DUMMYFUNCTION("""COMPUTED_VALUE"""),"Ibal")</f>
        <v>Ibal</v>
      </c>
      <c r="H132" s="51">
        <f t="shared" ca="1" si="0"/>
        <v>46143</v>
      </c>
      <c r="I132" s="52" t="e">
        <f ca="1">SUMIFS(OUT!$F$2:$F$11000,OUT!$H$2:$H$11000,H132,OUT!$D$2:$D$101007,"In")</f>
        <v>#VALUE!</v>
      </c>
      <c r="J132" s="52">
        <f ca="1">SUMIFS(OUT!$F$2:$F$11000,OUT!$H$2:$H$11000,H132,OUT!$D$2:$D$11000,"Out")</f>
        <v>9490497</v>
      </c>
      <c r="K132" s="52">
        <f ca="1">SUMIFS(OUT!$F$2:$F$11000,OUT!$H$2:$H$11000,H132,OUT!$D$2:$D$11000,"Out",OUT!$E$2:$E$11000,"Fix")</f>
        <v>2703418</v>
      </c>
      <c r="L132" s="52">
        <f ca="1">SUMIFS(OUT!$F$2:$F$11000,OUT!$H$2:$H$11000,H132,OUT!$D$2:$D$11000,"Out",OUT!$E$2:$E$11000,"Bathroom")</f>
        <v>13000</v>
      </c>
      <c r="M132" s="52">
        <f ca="1">SUMIFS(OUT!$F$2:$F$11000,OUT!$H$2:$H$11000,H132,OUT!$D$2:$D$11000,"Out",OUT!$E$2:$E$11000,"Alfa")</f>
        <v>326872</v>
      </c>
      <c r="N132" s="52" t="e">
        <f ca="1">SUMIFS(OUT!$F$2:$F$11000,OUT!$H$2:$H$101007,H132,OUT!$D$2:$D$11000,"Out",OUT!$E$2:$E$11000,"Jajan")</f>
        <v>#VALUE!</v>
      </c>
      <c r="O132" s="52">
        <f ca="1">SUMIFS(OUT!$F$2:$F$11000,OUT!$H$2:$H$11000,H132,OUT!$D$2:$D$11000,"Out",OUT!$E$2:$E$11000,"Kitchen")</f>
        <v>902100</v>
      </c>
      <c r="P132" s="52">
        <f ca="1">SUMIFS(OUT!$F$2:$F$11000,OUT!$H$2:$H$11000,H132,OUT!$D$2:$D$11000,"Out",OUT!$E$2:$E$11000,"Loandry")</f>
        <v>42900</v>
      </c>
      <c r="Q132" s="52">
        <f ca="1">SUMIFS(OUT!$F$2:$F$11000,OUT!$H$2:$H$11000,H132,OUT!$D$2:$D$11000,"Out",OUT!$E$2:$E$11000,"Mio")</f>
        <v>732000</v>
      </c>
      <c r="R132" s="52">
        <f ca="1">SUMIFS(OUT!$F$2:$F$11000,OUT!$H$2:$H$11000,H132,OUT!$D$2:$D$11000,"Out",OUT!$E$2:$E$11000,"Sedekah")</f>
        <v>0</v>
      </c>
      <c r="S132" s="52">
        <f ca="1">SUMIFS(OUT!$F$2:$F$11000,OUT!$H$2:$H$11000,H132,OUT!$D$2:$D$11000,"Out",OUT!$E$2:$E$11000,"Zela")</f>
        <v>47011</v>
      </c>
      <c r="T132" s="52">
        <f ca="1">SUMIFS(OUT!$F$2:$F$11000,OUT!$H$2:$H$11000,H132,OUT!$D$2:$D$11000,"Out",OUT!$E$2:$E$11000,"Iqbal")</f>
        <v>251000</v>
      </c>
    </row>
    <row r="133" spans="1:20" x14ac:dyDescent="0.2">
      <c r="A133" s="48">
        <f ca="1">IFERROR(__xludf.DUMMYFUNCTION("""COMPUTED_VALUE"""),46144)</f>
        <v>46144</v>
      </c>
      <c r="B133" s="4" t="str">
        <f ca="1">IFERROR(__xludf.DUMMYFUNCTION("""COMPUTED_VALUE"""),"tarik tunai")</f>
        <v>tarik tunai</v>
      </c>
      <c r="C133" s="4" t="str">
        <f ca="1">IFERROR(__xludf.DUMMYFUNCTION("""COMPUTED_VALUE"""),"ATM")</f>
        <v>ATM</v>
      </c>
      <c r="D133" s="4" t="str">
        <f ca="1">IFERROR(__xludf.DUMMYFUNCTION("""COMPUTED_VALUE"""),"Out")</f>
        <v>Out</v>
      </c>
      <c r="E133" s="4" t="str">
        <f ca="1">IFERROR(__xludf.DUMMYFUNCTION("""COMPUTED_VALUE"""),"Move")</f>
        <v>Move</v>
      </c>
      <c r="F133" s="49">
        <f ca="1">IFERROR(__xludf.DUMMYFUNCTION("""COMPUTED_VALUE"""),100000)</f>
        <v>100000</v>
      </c>
      <c r="G133" s="50" t="str">
        <f ca="1">IFERROR(__xludf.DUMMYFUNCTION("""COMPUTED_VALUE"""),"Ibal")</f>
        <v>Ibal</v>
      </c>
      <c r="H133" s="51">
        <f t="shared" ca="1" si="0"/>
        <v>46143</v>
      </c>
      <c r="I133" s="52" t="e">
        <f ca="1">SUMIFS(OUT!$F$2:$F$11000,OUT!$H$2:$H$11000,H133,OUT!$D$2:$D$101007,"In")</f>
        <v>#VALUE!</v>
      </c>
      <c r="J133" s="52">
        <f ca="1">SUMIFS(OUT!$F$2:$F$11000,OUT!$H$2:$H$11000,H133,OUT!$D$2:$D$11000,"Out")</f>
        <v>9490497</v>
      </c>
      <c r="K133" s="52">
        <f ca="1">SUMIFS(OUT!$F$2:$F$11000,OUT!$H$2:$H$11000,H133,OUT!$D$2:$D$11000,"Out",OUT!$E$2:$E$11000,"Fix")</f>
        <v>2703418</v>
      </c>
      <c r="L133" s="52">
        <f ca="1">SUMIFS(OUT!$F$2:$F$11000,OUT!$H$2:$H$11000,H133,OUT!$D$2:$D$11000,"Out",OUT!$E$2:$E$11000,"Bathroom")</f>
        <v>13000</v>
      </c>
      <c r="M133" s="52">
        <f ca="1">SUMIFS(OUT!$F$2:$F$11000,OUT!$H$2:$H$11000,H133,OUT!$D$2:$D$11000,"Out",OUT!$E$2:$E$11000,"Alfa")</f>
        <v>326872</v>
      </c>
      <c r="N133" s="52" t="e">
        <f ca="1">SUMIFS(OUT!$F$2:$F$11000,OUT!$H$2:$H$101007,H133,OUT!$D$2:$D$11000,"Out",OUT!$E$2:$E$11000,"Jajan")</f>
        <v>#VALUE!</v>
      </c>
      <c r="O133" s="52">
        <f ca="1">SUMIFS(OUT!$F$2:$F$11000,OUT!$H$2:$H$11000,H133,OUT!$D$2:$D$11000,"Out",OUT!$E$2:$E$11000,"Kitchen")</f>
        <v>902100</v>
      </c>
      <c r="P133" s="52">
        <f ca="1">SUMIFS(OUT!$F$2:$F$11000,OUT!$H$2:$H$11000,H133,OUT!$D$2:$D$11000,"Out",OUT!$E$2:$E$11000,"Loandry")</f>
        <v>42900</v>
      </c>
      <c r="Q133" s="52">
        <f ca="1">SUMIFS(OUT!$F$2:$F$11000,OUT!$H$2:$H$11000,H133,OUT!$D$2:$D$11000,"Out",OUT!$E$2:$E$11000,"Mio")</f>
        <v>732000</v>
      </c>
      <c r="R133" s="52">
        <f ca="1">SUMIFS(OUT!$F$2:$F$11000,OUT!$H$2:$H$11000,H133,OUT!$D$2:$D$11000,"Out",OUT!$E$2:$E$11000,"Sedekah")</f>
        <v>0</v>
      </c>
      <c r="S133" s="52">
        <f ca="1">SUMIFS(OUT!$F$2:$F$11000,OUT!$H$2:$H$11000,H133,OUT!$D$2:$D$11000,"Out",OUT!$E$2:$E$11000,"Zela")</f>
        <v>47011</v>
      </c>
      <c r="T133" s="52">
        <f ca="1">SUMIFS(OUT!$F$2:$F$11000,OUT!$H$2:$H$11000,H133,OUT!$D$2:$D$11000,"Out",OUT!$E$2:$E$11000,"Iqbal")</f>
        <v>251000</v>
      </c>
    </row>
    <row r="134" spans="1:20" x14ac:dyDescent="0.2">
      <c r="A134" s="48">
        <f ca="1">IFERROR(__xludf.DUMMYFUNCTION("""COMPUTED_VALUE"""),46144)</f>
        <v>46144</v>
      </c>
      <c r="B134" s="4" t="str">
        <f ca="1">IFERROR(__xludf.DUMMYFUNCTION("""COMPUTED_VALUE"""),"terima tunai")</f>
        <v>terima tunai</v>
      </c>
      <c r="C134" s="4" t="str">
        <f ca="1">IFERROR(__xludf.DUMMYFUNCTION("""COMPUTED_VALUE"""),"Cash")</f>
        <v>Cash</v>
      </c>
      <c r="D134" s="4" t="str">
        <f ca="1">IFERROR(__xludf.DUMMYFUNCTION("""COMPUTED_VALUE"""),"In")</f>
        <v>In</v>
      </c>
      <c r="E134" s="4" t="str">
        <f ca="1">IFERROR(__xludf.DUMMYFUNCTION("""COMPUTED_VALUE"""),"Move")</f>
        <v>Move</v>
      </c>
      <c r="F134" s="49">
        <f ca="1">IFERROR(__xludf.DUMMYFUNCTION("""COMPUTED_VALUE"""),100000)</f>
        <v>100000</v>
      </c>
      <c r="G134" s="50" t="str">
        <f ca="1">IFERROR(__xludf.DUMMYFUNCTION("""COMPUTED_VALUE"""),"Ibal")</f>
        <v>Ibal</v>
      </c>
      <c r="H134" s="51">
        <f t="shared" ca="1" si="0"/>
        <v>46143</v>
      </c>
      <c r="I134" s="52" t="e">
        <f ca="1">SUMIFS(OUT!$F$2:$F$11000,OUT!$H$2:$H$11000,H134,OUT!$D$2:$D$101007,"In")</f>
        <v>#VALUE!</v>
      </c>
      <c r="J134" s="52">
        <f ca="1">SUMIFS(OUT!$F$2:$F$11000,OUT!$H$2:$H$11000,H134,OUT!$D$2:$D$11000,"Out")</f>
        <v>9490497</v>
      </c>
      <c r="K134" s="52">
        <f ca="1">SUMIFS(OUT!$F$2:$F$11000,OUT!$H$2:$H$11000,H134,OUT!$D$2:$D$11000,"Out",OUT!$E$2:$E$11000,"Fix")</f>
        <v>2703418</v>
      </c>
      <c r="L134" s="52">
        <f ca="1">SUMIFS(OUT!$F$2:$F$11000,OUT!$H$2:$H$11000,H134,OUT!$D$2:$D$11000,"Out",OUT!$E$2:$E$11000,"Bathroom")</f>
        <v>13000</v>
      </c>
      <c r="M134" s="52">
        <f ca="1">SUMIFS(OUT!$F$2:$F$11000,OUT!$H$2:$H$11000,H134,OUT!$D$2:$D$11000,"Out",OUT!$E$2:$E$11000,"Alfa")</f>
        <v>326872</v>
      </c>
      <c r="N134" s="52" t="e">
        <f ca="1">SUMIFS(OUT!$F$2:$F$11000,OUT!$H$2:$H$101007,H134,OUT!$D$2:$D$11000,"Out",OUT!$E$2:$E$11000,"Jajan")</f>
        <v>#VALUE!</v>
      </c>
      <c r="O134" s="52">
        <f ca="1">SUMIFS(OUT!$F$2:$F$11000,OUT!$H$2:$H$11000,H134,OUT!$D$2:$D$11000,"Out",OUT!$E$2:$E$11000,"Kitchen")</f>
        <v>902100</v>
      </c>
      <c r="P134" s="52">
        <f ca="1">SUMIFS(OUT!$F$2:$F$11000,OUT!$H$2:$H$11000,H134,OUT!$D$2:$D$11000,"Out",OUT!$E$2:$E$11000,"Loandry")</f>
        <v>42900</v>
      </c>
      <c r="Q134" s="52">
        <f ca="1">SUMIFS(OUT!$F$2:$F$11000,OUT!$H$2:$H$11000,H134,OUT!$D$2:$D$11000,"Out",OUT!$E$2:$E$11000,"Mio")</f>
        <v>732000</v>
      </c>
      <c r="R134" s="52">
        <f ca="1">SUMIFS(OUT!$F$2:$F$11000,OUT!$H$2:$H$11000,H134,OUT!$D$2:$D$11000,"Out",OUT!$E$2:$E$11000,"Sedekah")</f>
        <v>0</v>
      </c>
      <c r="S134" s="52">
        <f ca="1">SUMIFS(OUT!$F$2:$F$11000,OUT!$H$2:$H$11000,H134,OUT!$D$2:$D$11000,"Out",OUT!$E$2:$E$11000,"Zela")</f>
        <v>47011</v>
      </c>
      <c r="T134" s="52">
        <f ca="1">SUMIFS(OUT!$F$2:$F$11000,OUT!$H$2:$H$11000,H134,OUT!$D$2:$D$11000,"Out",OUT!$E$2:$E$11000,"Iqbal")</f>
        <v>251000</v>
      </c>
    </row>
    <row r="135" spans="1:20" x14ac:dyDescent="0.2">
      <c r="A135" s="48">
        <f ca="1">IFERROR(__xludf.DUMMYFUNCTION("""COMPUTED_VALUE"""),46144)</f>
        <v>46144</v>
      </c>
      <c r="B135" s="4" t="str">
        <f ca="1">IFERROR(__xludf.DUMMYFUNCTION("""COMPUTED_VALUE"""),"roti bakar (keju kacang)")</f>
        <v>roti bakar (keju kacang)</v>
      </c>
      <c r="C135" s="4" t="str">
        <f ca="1">IFERROR(__xludf.DUMMYFUNCTION("""COMPUTED_VALUE"""),"Cash")</f>
        <v>Cash</v>
      </c>
      <c r="D135" s="4" t="str">
        <f ca="1">IFERROR(__xludf.DUMMYFUNCTION("""COMPUTED_VALUE"""),"Out")</f>
        <v>Out</v>
      </c>
      <c r="E135" s="4" t="str">
        <f ca="1">IFERROR(__xludf.DUMMYFUNCTION("""COMPUTED_VALUE"""),"Jajan")</f>
        <v>Jajan</v>
      </c>
      <c r="F135" s="49">
        <f ca="1">IFERROR(__xludf.DUMMYFUNCTION("""COMPUTED_VALUE"""),16000)</f>
        <v>16000</v>
      </c>
      <c r="G135" s="50" t="str">
        <f ca="1">IFERROR(__xludf.DUMMYFUNCTION("""COMPUTED_VALUE"""),"Ibal")</f>
        <v>Ibal</v>
      </c>
      <c r="H135" s="51">
        <f t="shared" ca="1" si="0"/>
        <v>46143</v>
      </c>
      <c r="I135" s="52" t="e">
        <f ca="1">SUMIFS(OUT!$F$2:$F$11000,OUT!$H$2:$H$11000,H135,OUT!$D$2:$D$101007,"In")</f>
        <v>#VALUE!</v>
      </c>
      <c r="J135" s="52">
        <f ca="1">SUMIFS(OUT!$F$2:$F$11000,OUT!$H$2:$H$11000,H135,OUT!$D$2:$D$11000,"Out")</f>
        <v>9490497</v>
      </c>
      <c r="K135" s="52">
        <f ca="1">SUMIFS(OUT!$F$2:$F$11000,OUT!$H$2:$H$11000,H135,OUT!$D$2:$D$11000,"Out",OUT!$E$2:$E$11000,"Fix")</f>
        <v>2703418</v>
      </c>
      <c r="L135" s="52">
        <f ca="1">SUMIFS(OUT!$F$2:$F$11000,OUT!$H$2:$H$11000,H135,OUT!$D$2:$D$11000,"Out",OUT!$E$2:$E$11000,"Bathroom")</f>
        <v>13000</v>
      </c>
      <c r="M135" s="52">
        <f ca="1">SUMIFS(OUT!$F$2:$F$11000,OUT!$H$2:$H$11000,H135,OUT!$D$2:$D$11000,"Out",OUT!$E$2:$E$11000,"Alfa")</f>
        <v>326872</v>
      </c>
      <c r="N135" s="52" t="e">
        <f ca="1">SUMIFS(OUT!$F$2:$F$11000,OUT!$H$2:$H$101007,H135,OUT!$D$2:$D$11000,"Out",OUT!$E$2:$E$11000,"Jajan")</f>
        <v>#VALUE!</v>
      </c>
      <c r="O135" s="52">
        <f ca="1">SUMIFS(OUT!$F$2:$F$11000,OUT!$H$2:$H$11000,H135,OUT!$D$2:$D$11000,"Out",OUT!$E$2:$E$11000,"Kitchen")</f>
        <v>902100</v>
      </c>
      <c r="P135" s="52">
        <f ca="1">SUMIFS(OUT!$F$2:$F$11000,OUT!$H$2:$H$11000,H135,OUT!$D$2:$D$11000,"Out",OUT!$E$2:$E$11000,"Loandry")</f>
        <v>42900</v>
      </c>
      <c r="Q135" s="52">
        <f ca="1">SUMIFS(OUT!$F$2:$F$11000,OUT!$H$2:$H$11000,H135,OUT!$D$2:$D$11000,"Out",OUT!$E$2:$E$11000,"Mio")</f>
        <v>732000</v>
      </c>
      <c r="R135" s="52">
        <f ca="1">SUMIFS(OUT!$F$2:$F$11000,OUT!$H$2:$H$11000,H135,OUT!$D$2:$D$11000,"Out",OUT!$E$2:$E$11000,"Sedekah")</f>
        <v>0</v>
      </c>
      <c r="S135" s="52">
        <f ca="1">SUMIFS(OUT!$F$2:$F$11000,OUT!$H$2:$H$11000,H135,OUT!$D$2:$D$11000,"Out",OUT!$E$2:$E$11000,"Zela")</f>
        <v>47011</v>
      </c>
      <c r="T135" s="52">
        <f ca="1">SUMIFS(OUT!$F$2:$F$11000,OUT!$H$2:$H$11000,H135,OUT!$D$2:$D$11000,"Out",OUT!$E$2:$E$11000,"Iqbal")</f>
        <v>251000</v>
      </c>
    </row>
    <row r="136" spans="1:20" x14ac:dyDescent="0.2">
      <c r="A136" s="48">
        <f ca="1">IFERROR(__xludf.DUMMYFUNCTION("""COMPUTED_VALUE"""),46144)</f>
        <v>46144</v>
      </c>
      <c r="B136" s="4" t="str">
        <f ca="1">IFERROR(__xludf.DUMMYFUNCTION("""COMPUTED_VALUE"""),"rokok")</f>
        <v>rokok</v>
      </c>
      <c r="C136" s="4" t="str">
        <f ca="1">IFERROR(__xludf.DUMMYFUNCTION("""COMPUTED_VALUE"""),"Cash")</f>
        <v>Cash</v>
      </c>
      <c r="D136" s="4" t="str">
        <f ca="1">IFERROR(__xludf.DUMMYFUNCTION("""COMPUTED_VALUE"""),"Out")</f>
        <v>Out</v>
      </c>
      <c r="E136" s="4" t="str">
        <f ca="1">IFERROR(__xludf.DUMMYFUNCTION("""COMPUTED_VALUE"""),"Iqbal")</f>
        <v>Iqbal</v>
      </c>
      <c r="F136" s="49">
        <f ca="1">IFERROR(__xludf.DUMMYFUNCTION("""COMPUTED_VALUE"""),15000)</f>
        <v>15000</v>
      </c>
      <c r="G136" s="50" t="str">
        <f ca="1">IFERROR(__xludf.DUMMYFUNCTION("""COMPUTED_VALUE"""),"Ibal")</f>
        <v>Ibal</v>
      </c>
      <c r="H136" s="51">
        <f t="shared" ca="1" si="0"/>
        <v>46143</v>
      </c>
      <c r="I136" s="52" t="e">
        <f ca="1">SUMIFS(OUT!$F$2:$F$11000,OUT!$H$2:$H$11000,H136,OUT!$D$2:$D$101007,"In")</f>
        <v>#VALUE!</v>
      </c>
      <c r="J136" s="52">
        <f ca="1">SUMIFS(OUT!$F$2:$F$11000,OUT!$H$2:$H$11000,H136,OUT!$D$2:$D$11000,"Out")</f>
        <v>9490497</v>
      </c>
      <c r="K136" s="52">
        <f ca="1">SUMIFS(OUT!$F$2:$F$11000,OUT!$H$2:$H$11000,H136,OUT!$D$2:$D$11000,"Out",OUT!$E$2:$E$11000,"Fix")</f>
        <v>2703418</v>
      </c>
      <c r="L136" s="52">
        <f ca="1">SUMIFS(OUT!$F$2:$F$11000,OUT!$H$2:$H$11000,H136,OUT!$D$2:$D$11000,"Out",OUT!$E$2:$E$11000,"Bathroom")</f>
        <v>13000</v>
      </c>
      <c r="M136" s="52">
        <f ca="1">SUMIFS(OUT!$F$2:$F$11000,OUT!$H$2:$H$11000,H136,OUT!$D$2:$D$11000,"Out",OUT!$E$2:$E$11000,"Alfa")</f>
        <v>326872</v>
      </c>
      <c r="N136" s="52" t="e">
        <f ca="1">SUMIFS(OUT!$F$2:$F$11000,OUT!$H$2:$H$101007,H136,OUT!$D$2:$D$11000,"Out",OUT!$E$2:$E$11000,"Jajan")</f>
        <v>#VALUE!</v>
      </c>
      <c r="O136" s="52">
        <f ca="1">SUMIFS(OUT!$F$2:$F$11000,OUT!$H$2:$H$11000,H136,OUT!$D$2:$D$11000,"Out",OUT!$E$2:$E$11000,"Kitchen")</f>
        <v>902100</v>
      </c>
      <c r="P136" s="52">
        <f ca="1">SUMIFS(OUT!$F$2:$F$11000,OUT!$H$2:$H$11000,H136,OUT!$D$2:$D$11000,"Out",OUT!$E$2:$E$11000,"Loandry")</f>
        <v>42900</v>
      </c>
      <c r="Q136" s="52">
        <f ca="1">SUMIFS(OUT!$F$2:$F$11000,OUT!$H$2:$H$11000,H136,OUT!$D$2:$D$11000,"Out",OUT!$E$2:$E$11000,"Mio")</f>
        <v>732000</v>
      </c>
      <c r="R136" s="52">
        <f ca="1">SUMIFS(OUT!$F$2:$F$11000,OUT!$H$2:$H$11000,H136,OUT!$D$2:$D$11000,"Out",OUT!$E$2:$E$11000,"Sedekah")</f>
        <v>0</v>
      </c>
      <c r="S136" s="52">
        <f ca="1">SUMIFS(OUT!$F$2:$F$11000,OUT!$H$2:$H$11000,H136,OUT!$D$2:$D$11000,"Out",OUT!$E$2:$E$11000,"Zela")</f>
        <v>47011</v>
      </c>
      <c r="T136" s="52">
        <f ca="1">SUMIFS(OUT!$F$2:$F$11000,OUT!$H$2:$H$11000,H136,OUT!$D$2:$D$11000,"Out",OUT!$E$2:$E$11000,"Iqbal")</f>
        <v>251000</v>
      </c>
    </row>
    <row r="137" spans="1:20" x14ac:dyDescent="0.2">
      <c r="A137" s="48">
        <f ca="1">IFERROR(__xludf.DUMMYFUNCTION("""COMPUTED_VALUE"""),46144)</f>
        <v>46144</v>
      </c>
      <c r="B137" s="4" t="str">
        <f ca="1">IFERROR(__xludf.DUMMYFUNCTION("""COMPUTED_VALUE"""),"gula seperempat")</f>
        <v>gula seperempat</v>
      </c>
      <c r="C137" s="4" t="str">
        <f ca="1">IFERROR(__xludf.DUMMYFUNCTION("""COMPUTED_VALUE"""),"Cash")</f>
        <v>Cash</v>
      </c>
      <c r="D137" s="4" t="str">
        <f ca="1">IFERROR(__xludf.DUMMYFUNCTION("""COMPUTED_VALUE"""),"Out")</f>
        <v>Out</v>
      </c>
      <c r="E137" s="4" t="str">
        <f ca="1">IFERROR(__xludf.DUMMYFUNCTION("""COMPUTED_VALUE"""),"Kitchen")</f>
        <v>Kitchen</v>
      </c>
      <c r="F137" s="49">
        <f ca="1">IFERROR(__xludf.DUMMYFUNCTION("""COMPUTED_VALUE"""),5000)</f>
        <v>5000</v>
      </c>
      <c r="G137" s="50" t="str">
        <f ca="1">IFERROR(__xludf.DUMMYFUNCTION("""COMPUTED_VALUE"""),"Ibal")</f>
        <v>Ibal</v>
      </c>
      <c r="H137" s="51">
        <f t="shared" ca="1" si="0"/>
        <v>46143</v>
      </c>
      <c r="I137" s="52" t="e">
        <f ca="1">SUMIFS(OUT!$F$2:$F$11000,OUT!$H$2:$H$11000,H137,OUT!$D$2:$D$101007,"In")</f>
        <v>#VALUE!</v>
      </c>
      <c r="J137" s="52">
        <f ca="1">SUMIFS(OUT!$F$2:$F$11000,OUT!$H$2:$H$11000,H137,OUT!$D$2:$D$11000,"Out")</f>
        <v>9490497</v>
      </c>
      <c r="K137" s="52">
        <f ca="1">SUMIFS(OUT!$F$2:$F$11000,OUT!$H$2:$H$11000,H137,OUT!$D$2:$D$11000,"Out",OUT!$E$2:$E$11000,"Fix")</f>
        <v>2703418</v>
      </c>
      <c r="L137" s="52">
        <f ca="1">SUMIFS(OUT!$F$2:$F$11000,OUT!$H$2:$H$11000,H137,OUT!$D$2:$D$11000,"Out",OUT!$E$2:$E$11000,"Bathroom")</f>
        <v>13000</v>
      </c>
      <c r="M137" s="52">
        <f ca="1">SUMIFS(OUT!$F$2:$F$11000,OUT!$H$2:$H$11000,H137,OUT!$D$2:$D$11000,"Out",OUT!$E$2:$E$11000,"Alfa")</f>
        <v>326872</v>
      </c>
      <c r="N137" s="52" t="e">
        <f ca="1">SUMIFS(OUT!$F$2:$F$11000,OUT!$H$2:$H$101007,H137,OUT!$D$2:$D$11000,"Out",OUT!$E$2:$E$11000,"Jajan")</f>
        <v>#VALUE!</v>
      </c>
      <c r="O137" s="52">
        <f ca="1">SUMIFS(OUT!$F$2:$F$11000,OUT!$H$2:$H$11000,H137,OUT!$D$2:$D$11000,"Out",OUT!$E$2:$E$11000,"Kitchen")</f>
        <v>902100</v>
      </c>
      <c r="P137" s="52">
        <f ca="1">SUMIFS(OUT!$F$2:$F$11000,OUT!$H$2:$H$11000,H137,OUT!$D$2:$D$11000,"Out",OUT!$E$2:$E$11000,"Loandry")</f>
        <v>42900</v>
      </c>
      <c r="Q137" s="52">
        <f ca="1">SUMIFS(OUT!$F$2:$F$11000,OUT!$H$2:$H$11000,H137,OUT!$D$2:$D$11000,"Out",OUT!$E$2:$E$11000,"Mio")</f>
        <v>732000</v>
      </c>
      <c r="R137" s="52">
        <f ca="1">SUMIFS(OUT!$F$2:$F$11000,OUT!$H$2:$H$11000,H137,OUT!$D$2:$D$11000,"Out",OUT!$E$2:$E$11000,"Sedekah")</f>
        <v>0</v>
      </c>
      <c r="S137" s="52">
        <f ca="1">SUMIFS(OUT!$F$2:$F$11000,OUT!$H$2:$H$11000,H137,OUT!$D$2:$D$11000,"Out",OUT!$E$2:$E$11000,"Zela")</f>
        <v>47011</v>
      </c>
      <c r="T137" s="52">
        <f ca="1">SUMIFS(OUT!$F$2:$F$11000,OUT!$H$2:$H$11000,H137,OUT!$D$2:$D$11000,"Out",OUT!$E$2:$E$11000,"Iqbal")</f>
        <v>251000</v>
      </c>
    </row>
    <row r="138" spans="1:20" x14ac:dyDescent="0.2">
      <c r="A138" s="48">
        <f ca="1">IFERROR(__xludf.DUMMYFUNCTION("""COMPUTED_VALUE"""),46145)</f>
        <v>46145</v>
      </c>
      <c r="B138" s="4" t="str">
        <f ca="1">IFERROR(__xludf.DUMMYFUNCTION("""COMPUTED_VALUE"""),"galon")</f>
        <v>galon</v>
      </c>
      <c r="C138" s="4" t="str">
        <f ca="1">IFERROR(__xludf.DUMMYFUNCTION("""COMPUTED_VALUE"""),"Cash")</f>
        <v>Cash</v>
      </c>
      <c r="D138" s="4" t="str">
        <f ca="1">IFERROR(__xludf.DUMMYFUNCTION("""COMPUTED_VALUE"""),"Out")</f>
        <v>Out</v>
      </c>
      <c r="E138" s="4" t="str">
        <f ca="1">IFERROR(__xludf.DUMMYFUNCTION("""COMPUTED_VALUE"""),"Kitchen")</f>
        <v>Kitchen</v>
      </c>
      <c r="F138" s="49">
        <f ca="1">IFERROR(__xludf.DUMMYFUNCTION("""COMPUTED_VALUE"""),4000)</f>
        <v>4000</v>
      </c>
      <c r="G138" s="50" t="str">
        <f ca="1">IFERROR(__xludf.DUMMYFUNCTION("""COMPUTED_VALUE"""),"Ibal")</f>
        <v>Ibal</v>
      </c>
      <c r="H138" s="51">
        <f t="shared" ca="1" si="0"/>
        <v>46143</v>
      </c>
      <c r="I138" s="52" t="e">
        <f ca="1">SUMIFS(OUT!$F$2:$F$11000,OUT!$H$2:$H$11000,H138,OUT!$D$2:$D$101007,"In")</f>
        <v>#VALUE!</v>
      </c>
      <c r="J138" s="52">
        <f ca="1">SUMIFS(OUT!$F$2:$F$11000,OUT!$H$2:$H$11000,H138,OUT!$D$2:$D$11000,"Out")</f>
        <v>9490497</v>
      </c>
      <c r="K138" s="52">
        <f ca="1">SUMIFS(OUT!$F$2:$F$11000,OUT!$H$2:$H$11000,H138,OUT!$D$2:$D$11000,"Out",OUT!$E$2:$E$11000,"Fix")</f>
        <v>2703418</v>
      </c>
      <c r="L138" s="52">
        <f ca="1">SUMIFS(OUT!$F$2:$F$11000,OUT!$H$2:$H$11000,H138,OUT!$D$2:$D$11000,"Out",OUT!$E$2:$E$11000,"Bathroom")</f>
        <v>13000</v>
      </c>
      <c r="M138" s="52">
        <f ca="1">SUMIFS(OUT!$F$2:$F$11000,OUT!$H$2:$H$11000,H138,OUT!$D$2:$D$11000,"Out",OUT!$E$2:$E$11000,"Alfa")</f>
        <v>326872</v>
      </c>
      <c r="N138" s="52" t="e">
        <f ca="1">SUMIFS(OUT!$F$2:$F$11000,OUT!$H$2:$H$101007,H138,OUT!$D$2:$D$11000,"Out",OUT!$E$2:$E$11000,"Jajan")</f>
        <v>#VALUE!</v>
      </c>
      <c r="O138" s="52">
        <f ca="1">SUMIFS(OUT!$F$2:$F$11000,OUT!$H$2:$H$11000,H138,OUT!$D$2:$D$11000,"Out",OUT!$E$2:$E$11000,"Kitchen")</f>
        <v>902100</v>
      </c>
      <c r="P138" s="52">
        <f ca="1">SUMIFS(OUT!$F$2:$F$11000,OUT!$H$2:$H$11000,H138,OUT!$D$2:$D$11000,"Out",OUT!$E$2:$E$11000,"Loandry")</f>
        <v>42900</v>
      </c>
      <c r="Q138" s="52">
        <f ca="1">SUMIFS(OUT!$F$2:$F$11000,OUT!$H$2:$H$11000,H138,OUT!$D$2:$D$11000,"Out",OUT!$E$2:$E$11000,"Mio")</f>
        <v>732000</v>
      </c>
      <c r="R138" s="52">
        <f ca="1">SUMIFS(OUT!$F$2:$F$11000,OUT!$H$2:$H$11000,H138,OUT!$D$2:$D$11000,"Out",OUT!$E$2:$E$11000,"Sedekah")</f>
        <v>0</v>
      </c>
      <c r="S138" s="52">
        <f ca="1">SUMIFS(OUT!$F$2:$F$11000,OUT!$H$2:$H$11000,H138,OUT!$D$2:$D$11000,"Out",OUT!$E$2:$E$11000,"Zela")</f>
        <v>47011</v>
      </c>
      <c r="T138" s="52">
        <f ca="1">SUMIFS(OUT!$F$2:$F$11000,OUT!$H$2:$H$11000,H138,OUT!$D$2:$D$11000,"Out",OUT!$E$2:$E$11000,"Iqbal")</f>
        <v>251000</v>
      </c>
    </row>
    <row r="139" spans="1:20" x14ac:dyDescent="0.2">
      <c r="A139" s="48">
        <f ca="1">IFERROR(__xludf.DUMMYFUNCTION("""COMPUTED_VALUE"""),46145)</f>
        <v>46145</v>
      </c>
      <c r="B139" s="4" t="str">
        <f ca="1">IFERROR(__xludf.DUMMYFUNCTION("""COMPUTED_VALUE"""),"nipis madu (1) + indomilk kota (2)")</f>
        <v>nipis madu (1) + indomilk kota (2)</v>
      </c>
      <c r="C139" s="4" t="str">
        <f ca="1">IFERROR(__xludf.DUMMYFUNCTION("""COMPUTED_VALUE"""),"Cash")</f>
        <v>Cash</v>
      </c>
      <c r="D139" s="4" t="str">
        <f ca="1">IFERROR(__xludf.DUMMYFUNCTION("""COMPUTED_VALUE"""),"Out")</f>
        <v>Out</v>
      </c>
      <c r="E139" s="4" t="str">
        <f ca="1">IFERROR(__xludf.DUMMYFUNCTION("""COMPUTED_VALUE"""),"Jajan")</f>
        <v>Jajan</v>
      </c>
      <c r="F139" s="49">
        <f ca="1">IFERROR(__xludf.DUMMYFUNCTION("""COMPUTED_VALUE"""),13000)</f>
        <v>13000</v>
      </c>
      <c r="G139" s="50" t="str">
        <f ca="1">IFERROR(__xludf.DUMMYFUNCTION("""COMPUTED_VALUE"""),"Ibal")</f>
        <v>Ibal</v>
      </c>
      <c r="H139" s="51">
        <f t="shared" ca="1" si="0"/>
        <v>46143</v>
      </c>
      <c r="I139" s="52" t="e">
        <f ca="1">SUMIFS(OUT!$F$2:$F$11000,OUT!$H$2:$H$11000,H139,OUT!$D$2:$D$101007,"In")</f>
        <v>#VALUE!</v>
      </c>
      <c r="J139" s="52">
        <f ca="1">SUMIFS(OUT!$F$2:$F$11000,OUT!$H$2:$H$11000,H139,OUT!$D$2:$D$11000,"Out")</f>
        <v>9490497</v>
      </c>
      <c r="K139" s="52">
        <f ca="1">SUMIFS(OUT!$F$2:$F$11000,OUT!$H$2:$H$11000,H139,OUT!$D$2:$D$11000,"Out",OUT!$E$2:$E$11000,"Fix")</f>
        <v>2703418</v>
      </c>
      <c r="L139" s="52">
        <f ca="1">SUMIFS(OUT!$F$2:$F$11000,OUT!$H$2:$H$11000,H139,OUT!$D$2:$D$11000,"Out",OUT!$E$2:$E$11000,"Bathroom")</f>
        <v>13000</v>
      </c>
      <c r="M139" s="52">
        <f ca="1">SUMIFS(OUT!$F$2:$F$11000,OUT!$H$2:$H$11000,H139,OUT!$D$2:$D$11000,"Out",OUT!$E$2:$E$11000,"Alfa")</f>
        <v>326872</v>
      </c>
      <c r="N139" s="52" t="e">
        <f ca="1">SUMIFS(OUT!$F$2:$F$11000,OUT!$H$2:$H$101007,H139,OUT!$D$2:$D$11000,"Out",OUT!$E$2:$E$11000,"Jajan")</f>
        <v>#VALUE!</v>
      </c>
      <c r="O139" s="52">
        <f ca="1">SUMIFS(OUT!$F$2:$F$11000,OUT!$H$2:$H$11000,H139,OUT!$D$2:$D$11000,"Out",OUT!$E$2:$E$11000,"Kitchen")</f>
        <v>902100</v>
      </c>
      <c r="P139" s="52">
        <f ca="1">SUMIFS(OUT!$F$2:$F$11000,OUT!$H$2:$H$11000,H139,OUT!$D$2:$D$11000,"Out",OUT!$E$2:$E$11000,"Loandry")</f>
        <v>42900</v>
      </c>
      <c r="Q139" s="52">
        <f ca="1">SUMIFS(OUT!$F$2:$F$11000,OUT!$H$2:$H$11000,H139,OUT!$D$2:$D$11000,"Out",OUT!$E$2:$E$11000,"Mio")</f>
        <v>732000</v>
      </c>
      <c r="R139" s="52">
        <f ca="1">SUMIFS(OUT!$F$2:$F$11000,OUT!$H$2:$H$11000,H139,OUT!$D$2:$D$11000,"Out",OUT!$E$2:$E$11000,"Sedekah")</f>
        <v>0</v>
      </c>
      <c r="S139" s="52">
        <f ca="1">SUMIFS(OUT!$F$2:$F$11000,OUT!$H$2:$H$11000,H139,OUT!$D$2:$D$11000,"Out",OUT!$E$2:$E$11000,"Zela")</f>
        <v>47011</v>
      </c>
      <c r="T139" s="52">
        <f ca="1">SUMIFS(OUT!$F$2:$F$11000,OUT!$H$2:$H$11000,H139,OUT!$D$2:$D$11000,"Out",OUT!$E$2:$E$11000,"Iqbal")</f>
        <v>251000</v>
      </c>
    </row>
    <row r="140" spans="1:20" x14ac:dyDescent="0.2">
      <c r="A140" s="48">
        <f ca="1">IFERROR(__xludf.DUMMYFUNCTION("""COMPUTED_VALUE"""),46145)</f>
        <v>46145</v>
      </c>
      <c r="B140" s="4" t="str">
        <f ca="1">IFERROR(__xludf.DUMMYFUNCTION("""COMPUTED_VALUE"""),"bolen (6 pcs)")</f>
        <v>bolen (6 pcs)</v>
      </c>
      <c r="C140" s="4" t="str">
        <f ca="1">IFERROR(__xludf.DUMMYFUNCTION("""COMPUTED_VALUE"""),"Cash")</f>
        <v>Cash</v>
      </c>
      <c r="D140" s="4" t="str">
        <f ca="1">IFERROR(__xludf.DUMMYFUNCTION("""COMPUTED_VALUE"""),"Out")</f>
        <v>Out</v>
      </c>
      <c r="E140" s="4" t="str">
        <f ca="1">IFERROR(__xludf.DUMMYFUNCTION("""COMPUTED_VALUE"""),"Jajan")</f>
        <v>Jajan</v>
      </c>
      <c r="F140" s="49">
        <f ca="1">IFERROR(__xludf.DUMMYFUNCTION("""COMPUTED_VALUE"""),20000)</f>
        <v>20000</v>
      </c>
      <c r="G140" s="50" t="str">
        <f ca="1">IFERROR(__xludf.DUMMYFUNCTION("""COMPUTED_VALUE"""),"Ibal")</f>
        <v>Ibal</v>
      </c>
      <c r="H140" s="51">
        <f t="shared" ca="1" si="0"/>
        <v>46143</v>
      </c>
      <c r="I140" s="52" t="e">
        <f ca="1">SUMIFS(OUT!$F$2:$F$11000,OUT!$H$2:$H$11000,H140,OUT!$D$2:$D$101007,"In")</f>
        <v>#VALUE!</v>
      </c>
      <c r="J140" s="52">
        <f ca="1">SUMIFS(OUT!$F$2:$F$11000,OUT!$H$2:$H$11000,H140,OUT!$D$2:$D$11000,"Out")</f>
        <v>9490497</v>
      </c>
      <c r="K140" s="52">
        <f ca="1">SUMIFS(OUT!$F$2:$F$11000,OUT!$H$2:$H$11000,H140,OUT!$D$2:$D$11000,"Out",OUT!$E$2:$E$11000,"Fix")</f>
        <v>2703418</v>
      </c>
      <c r="L140" s="52">
        <f ca="1">SUMIFS(OUT!$F$2:$F$11000,OUT!$H$2:$H$11000,H140,OUT!$D$2:$D$11000,"Out",OUT!$E$2:$E$11000,"Bathroom")</f>
        <v>13000</v>
      </c>
      <c r="M140" s="52">
        <f ca="1">SUMIFS(OUT!$F$2:$F$11000,OUT!$H$2:$H$11000,H140,OUT!$D$2:$D$11000,"Out",OUT!$E$2:$E$11000,"Alfa")</f>
        <v>326872</v>
      </c>
      <c r="N140" s="52" t="e">
        <f ca="1">SUMIFS(OUT!$F$2:$F$11000,OUT!$H$2:$H$101007,H140,OUT!$D$2:$D$11000,"Out",OUT!$E$2:$E$11000,"Jajan")</f>
        <v>#VALUE!</v>
      </c>
      <c r="O140" s="52">
        <f ca="1">SUMIFS(OUT!$F$2:$F$11000,OUT!$H$2:$H$11000,H140,OUT!$D$2:$D$11000,"Out",OUT!$E$2:$E$11000,"Kitchen")</f>
        <v>902100</v>
      </c>
      <c r="P140" s="52">
        <f ca="1">SUMIFS(OUT!$F$2:$F$11000,OUT!$H$2:$H$11000,H140,OUT!$D$2:$D$11000,"Out",OUT!$E$2:$E$11000,"Loandry")</f>
        <v>42900</v>
      </c>
      <c r="Q140" s="52">
        <f ca="1">SUMIFS(OUT!$F$2:$F$11000,OUT!$H$2:$H$11000,H140,OUT!$D$2:$D$11000,"Out",OUT!$E$2:$E$11000,"Mio")</f>
        <v>732000</v>
      </c>
      <c r="R140" s="52">
        <f ca="1">SUMIFS(OUT!$F$2:$F$11000,OUT!$H$2:$H$11000,H140,OUT!$D$2:$D$11000,"Out",OUT!$E$2:$E$11000,"Sedekah")</f>
        <v>0</v>
      </c>
      <c r="S140" s="52">
        <f ca="1">SUMIFS(OUT!$F$2:$F$11000,OUT!$H$2:$H$11000,H140,OUT!$D$2:$D$11000,"Out",OUT!$E$2:$E$11000,"Zela")</f>
        <v>47011</v>
      </c>
      <c r="T140" s="52">
        <f ca="1">SUMIFS(OUT!$F$2:$F$11000,OUT!$H$2:$H$11000,H140,OUT!$D$2:$D$11000,"Out",OUT!$E$2:$E$11000,"Iqbal")</f>
        <v>251000</v>
      </c>
    </row>
    <row r="141" spans="1:20" x14ac:dyDescent="0.2">
      <c r="A141" s="48">
        <f ca="1">IFERROR(__xludf.DUMMYFUNCTION("""COMPUTED_VALUE"""),46145)</f>
        <v>46145</v>
      </c>
      <c r="B141" s="4" t="str">
        <f ca="1">IFERROR(__xludf.DUMMYFUNCTION("""COMPUTED_VALUE"""),"gabin, ciki, dll")</f>
        <v>gabin, ciki, dll</v>
      </c>
      <c r="C141" s="4" t="str">
        <f ca="1">IFERROR(__xludf.DUMMYFUNCTION("""COMPUTED_VALUE"""),"Cash")</f>
        <v>Cash</v>
      </c>
      <c r="D141" s="4" t="str">
        <f ca="1">IFERROR(__xludf.DUMMYFUNCTION("""COMPUTED_VALUE"""),"Out")</f>
        <v>Out</v>
      </c>
      <c r="E141" s="4" t="str">
        <f ca="1">IFERROR(__xludf.DUMMYFUNCTION("""COMPUTED_VALUE"""),"Jajan")</f>
        <v>Jajan</v>
      </c>
      <c r="F141" s="49">
        <f ca="1">IFERROR(__xludf.DUMMYFUNCTION("""COMPUTED_VALUE"""),27000)</f>
        <v>27000</v>
      </c>
      <c r="G141" s="50" t="str">
        <f ca="1">IFERROR(__xludf.DUMMYFUNCTION("""COMPUTED_VALUE"""),"Ibal")</f>
        <v>Ibal</v>
      </c>
      <c r="H141" s="51">
        <f t="shared" ca="1" si="0"/>
        <v>46143</v>
      </c>
      <c r="I141" s="52" t="e">
        <f ca="1">SUMIFS(OUT!$F$2:$F$11000,OUT!$H$2:$H$11000,H141,OUT!$D$2:$D$101007,"In")</f>
        <v>#VALUE!</v>
      </c>
      <c r="J141" s="52">
        <f ca="1">SUMIFS(OUT!$F$2:$F$11000,OUT!$H$2:$H$11000,H141,OUT!$D$2:$D$11000,"Out")</f>
        <v>9490497</v>
      </c>
      <c r="K141" s="52">
        <f ca="1">SUMIFS(OUT!$F$2:$F$11000,OUT!$H$2:$H$11000,H141,OUT!$D$2:$D$11000,"Out",OUT!$E$2:$E$11000,"Fix")</f>
        <v>2703418</v>
      </c>
      <c r="L141" s="52">
        <f ca="1">SUMIFS(OUT!$F$2:$F$11000,OUT!$H$2:$H$11000,H141,OUT!$D$2:$D$11000,"Out",OUT!$E$2:$E$11000,"Bathroom")</f>
        <v>13000</v>
      </c>
      <c r="M141" s="52">
        <f ca="1">SUMIFS(OUT!$F$2:$F$11000,OUT!$H$2:$H$11000,H141,OUT!$D$2:$D$11000,"Out",OUT!$E$2:$E$11000,"Alfa")</f>
        <v>326872</v>
      </c>
      <c r="N141" s="52" t="e">
        <f ca="1">SUMIFS(OUT!$F$2:$F$11000,OUT!$H$2:$H$101007,H141,OUT!$D$2:$D$11000,"Out",OUT!$E$2:$E$11000,"Jajan")</f>
        <v>#VALUE!</v>
      </c>
      <c r="O141" s="52">
        <f ca="1">SUMIFS(OUT!$F$2:$F$11000,OUT!$H$2:$H$11000,H141,OUT!$D$2:$D$11000,"Out",OUT!$E$2:$E$11000,"Kitchen")</f>
        <v>902100</v>
      </c>
      <c r="P141" s="52">
        <f ca="1">SUMIFS(OUT!$F$2:$F$11000,OUT!$H$2:$H$11000,H141,OUT!$D$2:$D$11000,"Out",OUT!$E$2:$E$11000,"Loandry")</f>
        <v>42900</v>
      </c>
      <c r="Q141" s="52">
        <f ca="1">SUMIFS(OUT!$F$2:$F$11000,OUT!$H$2:$H$11000,H141,OUT!$D$2:$D$11000,"Out",OUT!$E$2:$E$11000,"Mio")</f>
        <v>732000</v>
      </c>
      <c r="R141" s="52">
        <f ca="1">SUMIFS(OUT!$F$2:$F$11000,OUT!$H$2:$H$11000,H141,OUT!$D$2:$D$11000,"Out",OUT!$E$2:$E$11000,"Sedekah")</f>
        <v>0</v>
      </c>
      <c r="S141" s="52">
        <f ca="1">SUMIFS(OUT!$F$2:$F$11000,OUT!$H$2:$H$11000,H141,OUT!$D$2:$D$11000,"Out",OUT!$E$2:$E$11000,"Zela")</f>
        <v>47011</v>
      </c>
      <c r="T141" s="52">
        <f ca="1">SUMIFS(OUT!$F$2:$F$11000,OUT!$H$2:$H$11000,H141,OUT!$D$2:$D$11000,"Out",OUT!$E$2:$E$11000,"Iqbal")</f>
        <v>251000</v>
      </c>
    </row>
    <row r="142" spans="1:20" x14ac:dyDescent="0.2">
      <c r="A142" s="48">
        <f ca="1">IFERROR(__xludf.DUMMYFUNCTION("""COMPUTED_VALUE"""),46146)</f>
        <v>46146</v>
      </c>
      <c r="B142" s="4" t="str">
        <f ca="1">IFERROR(__xludf.DUMMYFUNCTION("""COMPUTED_VALUE"""),"beras belida (10 kg)")</f>
        <v>beras belida (10 kg)</v>
      </c>
      <c r="C142" s="4" t="str">
        <f ca="1">IFERROR(__xludf.DUMMYFUNCTION("""COMPUTED_VALUE"""),"Cash")</f>
        <v>Cash</v>
      </c>
      <c r="D142" s="4" t="str">
        <f ca="1">IFERROR(__xludf.DUMMYFUNCTION("""COMPUTED_VALUE"""),"Out")</f>
        <v>Out</v>
      </c>
      <c r="E142" s="4" t="str">
        <f ca="1">IFERROR(__xludf.DUMMYFUNCTION("""COMPUTED_VALUE"""),"Kitchen")</f>
        <v>Kitchen</v>
      </c>
      <c r="F142" s="49">
        <f ca="1">IFERROR(__xludf.DUMMYFUNCTION("""COMPUTED_VALUE"""),155000)</f>
        <v>155000</v>
      </c>
      <c r="G142" s="50" t="str">
        <f ca="1">IFERROR(__xludf.DUMMYFUNCTION("""COMPUTED_VALUE"""),"Ibal")</f>
        <v>Ibal</v>
      </c>
      <c r="H142" s="51">
        <f t="shared" ca="1" si="0"/>
        <v>46143</v>
      </c>
      <c r="I142" s="52" t="e">
        <f ca="1">SUMIFS(OUT!$F$2:$F$11000,OUT!$H$2:$H$11000,H142,OUT!$D$2:$D$101007,"In")</f>
        <v>#VALUE!</v>
      </c>
      <c r="J142" s="52">
        <f ca="1">SUMIFS(OUT!$F$2:$F$11000,OUT!$H$2:$H$11000,H142,OUT!$D$2:$D$11000,"Out")</f>
        <v>9490497</v>
      </c>
      <c r="K142" s="52">
        <f ca="1">SUMIFS(OUT!$F$2:$F$11000,OUT!$H$2:$H$11000,H142,OUT!$D$2:$D$11000,"Out",OUT!$E$2:$E$11000,"Fix")</f>
        <v>2703418</v>
      </c>
      <c r="L142" s="52">
        <f ca="1">SUMIFS(OUT!$F$2:$F$11000,OUT!$H$2:$H$11000,H142,OUT!$D$2:$D$11000,"Out",OUT!$E$2:$E$11000,"Bathroom")</f>
        <v>13000</v>
      </c>
      <c r="M142" s="52">
        <f ca="1">SUMIFS(OUT!$F$2:$F$11000,OUT!$H$2:$H$11000,H142,OUT!$D$2:$D$11000,"Out",OUT!$E$2:$E$11000,"Alfa")</f>
        <v>326872</v>
      </c>
      <c r="N142" s="52" t="e">
        <f ca="1">SUMIFS(OUT!$F$2:$F$11000,OUT!$H$2:$H$101007,H142,OUT!$D$2:$D$11000,"Out",OUT!$E$2:$E$11000,"Jajan")</f>
        <v>#VALUE!</v>
      </c>
      <c r="O142" s="52">
        <f ca="1">SUMIFS(OUT!$F$2:$F$11000,OUT!$H$2:$H$11000,H142,OUT!$D$2:$D$11000,"Out",OUT!$E$2:$E$11000,"Kitchen")</f>
        <v>902100</v>
      </c>
      <c r="P142" s="52">
        <f ca="1">SUMIFS(OUT!$F$2:$F$11000,OUT!$H$2:$H$11000,H142,OUT!$D$2:$D$11000,"Out",OUT!$E$2:$E$11000,"Loandry")</f>
        <v>42900</v>
      </c>
      <c r="Q142" s="52">
        <f ca="1">SUMIFS(OUT!$F$2:$F$11000,OUT!$H$2:$H$11000,H142,OUT!$D$2:$D$11000,"Out",OUT!$E$2:$E$11000,"Mio")</f>
        <v>732000</v>
      </c>
      <c r="R142" s="52">
        <f ca="1">SUMIFS(OUT!$F$2:$F$11000,OUT!$H$2:$H$11000,H142,OUT!$D$2:$D$11000,"Out",OUT!$E$2:$E$11000,"Sedekah")</f>
        <v>0</v>
      </c>
      <c r="S142" s="52">
        <f ca="1">SUMIFS(OUT!$F$2:$F$11000,OUT!$H$2:$H$11000,H142,OUT!$D$2:$D$11000,"Out",OUT!$E$2:$E$11000,"Zela")</f>
        <v>47011</v>
      </c>
      <c r="T142" s="52">
        <f ca="1">SUMIFS(OUT!$F$2:$F$11000,OUT!$H$2:$H$11000,H142,OUT!$D$2:$D$11000,"Out",OUT!$E$2:$E$11000,"Iqbal")</f>
        <v>251000</v>
      </c>
    </row>
    <row r="143" spans="1:20" x14ac:dyDescent="0.2">
      <c r="A143" s="48">
        <f ca="1">IFERROR(__xludf.DUMMYFUNCTION("""COMPUTED_VALUE"""),46146)</f>
        <v>46146</v>
      </c>
      <c r="B143" s="4" t="str">
        <f ca="1">IFERROR(__xludf.DUMMYFUNCTION("""COMPUTED_VALUE"""),"pepsodent")</f>
        <v>pepsodent</v>
      </c>
      <c r="C143" s="4" t="str">
        <f ca="1">IFERROR(__xludf.DUMMYFUNCTION("""COMPUTED_VALUE"""),"Cash")</f>
        <v>Cash</v>
      </c>
      <c r="D143" s="4" t="str">
        <f ca="1">IFERROR(__xludf.DUMMYFUNCTION("""COMPUTED_VALUE"""),"Out")</f>
        <v>Out</v>
      </c>
      <c r="E143" s="4" t="str">
        <f ca="1">IFERROR(__xludf.DUMMYFUNCTION("""COMPUTED_VALUE"""),"Bathroom")</f>
        <v>Bathroom</v>
      </c>
      <c r="F143" s="49">
        <f ca="1">IFERROR(__xludf.DUMMYFUNCTION("""COMPUTED_VALUE"""),13000)</f>
        <v>13000</v>
      </c>
      <c r="G143" s="50" t="str">
        <f ca="1">IFERROR(__xludf.DUMMYFUNCTION("""COMPUTED_VALUE"""),"Ibal")</f>
        <v>Ibal</v>
      </c>
      <c r="H143" s="51">
        <f t="shared" ca="1" si="0"/>
        <v>46143</v>
      </c>
      <c r="I143" s="52" t="e">
        <f ca="1">SUMIFS(OUT!$F$2:$F$11000,OUT!$H$2:$H$11000,H143,OUT!$D$2:$D$101007,"In")</f>
        <v>#VALUE!</v>
      </c>
      <c r="J143" s="52">
        <f ca="1">SUMIFS(OUT!$F$2:$F$11000,OUT!$H$2:$H$11000,H143,OUT!$D$2:$D$11000,"Out")</f>
        <v>9490497</v>
      </c>
      <c r="K143" s="52">
        <f ca="1">SUMIFS(OUT!$F$2:$F$11000,OUT!$H$2:$H$11000,H143,OUT!$D$2:$D$11000,"Out",OUT!$E$2:$E$11000,"Fix")</f>
        <v>2703418</v>
      </c>
      <c r="L143" s="52">
        <f ca="1">SUMIFS(OUT!$F$2:$F$11000,OUT!$H$2:$H$11000,H143,OUT!$D$2:$D$11000,"Out",OUT!$E$2:$E$11000,"Bathroom")</f>
        <v>13000</v>
      </c>
      <c r="M143" s="52">
        <f ca="1">SUMIFS(OUT!$F$2:$F$11000,OUT!$H$2:$H$11000,H143,OUT!$D$2:$D$11000,"Out",OUT!$E$2:$E$11000,"Alfa")</f>
        <v>326872</v>
      </c>
      <c r="N143" s="52" t="e">
        <f ca="1">SUMIFS(OUT!$F$2:$F$11000,OUT!$H$2:$H$101007,H143,OUT!$D$2:$D$11000,"Out",OUT!$E$2:$E$11000,"Jajan")</f>
        <v>#VALUE!</v>
      </c>
      <c r="O143" s="52">
        <f ca="1">SUMIFS(OUT!$F$2:$F$11000,OUT!$H$2:$H$11000,H143,OUT!$D$2:$D$11000,"Out",OUT!$E$2:$E$11000,"Kitchen")</f>
        <v>902100</v>
      </c>
      <c r="P143" s="52">
        <f ca="1">SUMIFS(OUT!$F$2:$F$11000,OUT!$H$2:$H$11000,H143,OUT!$D$2:$D$11000,"Out",OUT!$E$2:$E$11000,"Loandry")</f>
        <v>42900</v>
      </c>
      <c r="Q143" s="52">
        <f ca="1">SUMIFS(OUT!$F$2:$F$11000,OUT!$H$2:$H$11000,H143,OUT!$D$2:$D$11000,"Out",OUT!$E$2:$E$11000,"Mio")</f>
        <v>732000</v>
      </c>
      <c r="R143" s="52">
        <f ca="1">SUMIFS(OUT!$F$2:$F$11000,OUT!$H$2:$H$11000,H143,OUT!$D$2:$D$11000,"Out",OUT!$E$2:$E$11000,"Sedekah")</f>
        <v>0</v>
      </c>
      <c r="S143" s="52">
        <f ca="1">SUMIFS(OUT!$F$2:$F$11000,OUT!$H$2:$H$11000,H143,OUT!$D$2:$D$11000,"Out",OUT!$E$2:$E$11000,"Zela")</f>
        <v>47011</v>
      </c>
      <c r="T143" s="52">
        <f ca="1">SUMIFS(OUT!$F$2:$F$11000,OUT!$H$2:$H$11000,H143,OUT!$D$2:$D$11000,"Out",OUT!$E$2:$E$11000,"Iqbal")</f>
        <v>251000</v>
      </c>
    </row>
    <row r="144" spans="1:20" x14ac:dyDescent="0.2">
      <c r="A144" s="48">
        <f ca="1">IFERROR(__xludf.DUMMYFUNCTION("""COMPUTED_VALUE"""),46146)</f>
        <v>46146</v>
      </c>
      <c r="B144" s="4" t="str">
        <f ca="1">IFERROR(__xludf.DUMMYFUNCTION("""COMPUTED_VALUE"""),"pertamax")</f>
        <v>pertamax</v>
      </c>
      <c r="C144" s="4" t="str">
        <f ca="1">IFERROR(__xludf.DUMMYFUNCTION("""COMPUTED_VALUE"""),"Cash")</f>
        <v>Cash</v>
      </c>
      <c r="D144" s="4" t="str">
        <f ca="1">IFERROR(__xludf.DUMMYFUNCTION("""COMPUTED_VALUE"""),"Out")</f>
        <v>Out</v>
      </c>
      <c r="E144" s="4" t="str">
        <f ca="1">IFERROR(__xludf.DUMMYFUNCTION("""COMPUTED_VALUE"""),"Mio")</f>
        <v>Mio</v>
      </c>
      <c r="F144" s="49">
        <f ca="1">IFERROR(__xludf.DUMMYFUNCTION("""COMPUTED_VALUE"""),30000)</f>
        <v>30000</v>
      </c>
      <c r="G144" s="50" t="str">
        <f ca="1">IFERROR(__xludf.DUMMYFUNCTION("""COMPUTED_VALUE"""),"Ibal")</f>
        <v>Ibal</v>
      </c>
      <c r="H144" s="51">
        <f t="shared" ca="1" si="0"/>
        <v>46143</v>
      </c>
      <c r="I144" s="52" t="e">
        <f ca="1">SUMIFS(OUT!$F$2:$F$11000,OUT!$H$2:$H$11000,H144,OUT!$D$2:$D$101007,"In")</f>
        <v>#VALUE!</v>
      </c>
      <c r="J144" s="52">
        <f ca="1">SUMIFS(OUT!$F$2:$F$11000,OUT!$H$2:$H$11000,H144,OUT!$D$2:$D$11000,"Out")</f>
        <v>9490497</v>
      </c>
      <c r="K144" s="52">
        <f ca="1">SUMIFS(OUT!$F$2:$F$11000,OUT!$H$2:$H$11000,H144,OUT!$D$2:$D$11000,"Out",OUT!$E$2:$E$11000,"Fix")</f>
        <v>2703418</v>
      </c>
      <c r="L144" s="52">
        <f ca="1">SUMIFS(OUT!$F$2:$F$11000,OUT!$H$2:$H$11000,H144,OUT!$D$2:$D$11000,"Out",OUT!$E$2:$E$11000,"Bathroom")</f>
        <v>13000</v>
      </c>
      <c r="M144" s="52">
        <f ca="1">SUMIFS(OUT!$F$2:$F$11000,OUT!$H$2:$H$11000,H144,OUT!$D$2:$D$11000,"Out",OUT!$E$2:$E$11000,"Alfa")</f>
        <v>326872</v>
      </c>
      <c r="N144" s="52" t="e">
        <f ca="1">SUMIFS(OUT!$F$2:$F$11000,OUT!$H$2:$H$101007,H144,OUT!$D$2:$D$11000,"Out",OUT!$E$2:$E$11000,"Jajan")</f>
        <v>#VALUE!</v>
      </c>
      <c r="O144" s="52">
        <f ca="1">SUMIFS(OUT!$F$2:$F$11000,OUT!$H$2:$H$11000,H144,OUT!$D$2:$D$11000,"Out",OUT!$E$2:$E$11000,"Kitchen")</f>
        <v>902100</v>
      </c>
      <c r="P144" s="52">
        <f ca="1">SUMIFS(OUT!$F$2:$F$11000,OUT!$H$2:$H$11000,H144,OUT!$D$2:$D$11000,"Out",OUT!$E$2:$E$11000,"Loandry")</f>
        <v>42900</v>
      </c>
      <c r="Q144" s="52">
        <f ca="1">SUMIFS(OUT!$F$2:$F$11000,OUT!$H$2:$H$11000,H144,OUT!$D$2:$D$11000,"Out",OUT!$E$2:$E$11000,"Mio")</f>
        <v>732000</v>
      </c>
      <c r="R144" s="52">
        <f ca="1">SUMIFS(OUT!$F$2:$F$11000,OUT!$H$2:$H$11000,H144,OUT!$D$2:$D$11000,"Out",OUT!$E$2:$E$11000,"Sedekah")</f>
        <v>0</v>
      </c>
      <c r="S144" s="52">
        <f ca="1">SUMIFS(OUT!$F$2:$F$11000,OUT!$H$2:$H$11000,H144,OUT!$D$2:$D$11000,"Out",OUT!$E$2:$E$11000,"Zela")</f>
        <v>47011</v>
      </c>
      <c r="T144" s="52">
        <f ca="1">SUMIFS(OUT!$F$2:$F$11000,OUT!$H$2:$H$11000,H144,OUT!$D$2:$D$11000,"Out",OUT!$E$2:$E$11000,"Iqbal")</f>
        <v>251000</v>
      </c>
    </row>
    <row r="145" spans="1:20" x14ac:dyDescent="0.2">
      <c r="A145" s="48">
        <f ca="1">IFERROR(__xludf.DUMMYFUNCTION("""COMPUTED_VALUE"""),46146)</f>
        <v>46146</v>
      </c>
      <c r="B145" s="4" t="str">
        <f ca="1">IFERROR(__xludf.DUMMYFUNCTION("""COMPUTED_VALUE"""),"token (65,30)")</f>
        <v>token (65,30)</v>
      </c>
      <c r="C145" s="4" t="str">
        <f ca="1">IFERROR(__xludf.DUMMYFUNCTION("""COMPUTED_VALUE"""),"ATM")</f>
        <v>ATM</v>
      </c>
      <c r="D145" s="4" t="str">
        <f ca="1">IFERROR(__xludf.DUMMYFUNCTION("""COMPUTED_VALUE"""),"Out")</f>
        <v>Out</v>
      </c>
      <c r="E145" s="4" t="str">
        <f ca="1">IFERROR(__xludf.DUMMYFUNCTION("""COMPUTED_VALUE"""),"Fix")</f>
        <v>Fix</v>
      </c>
      <c r="F145" s="49">
        <f ca="1">IFERROR(__xludf.DUMMYFUNCTION("""COMPUTED_VALUE"""),100000)</f>
        <v>100000</v>
      </c>
      <c r="G145" s="50" t="str">
        <f ca="1">IFERROR(__xludf.DUMMYFUNCTION("""COMPUTED_VALUE"""),"Ibal")</f>
        <v>Ibal</v>
      </c>
      <c r="H145" s="51">
        <f t="shared" ca="1" si="0"/>
        <v>46143</v>
      </c>
      <c r="I145" s="52" t="e">
        <f ca="1">SUMIFS(OUT!$F$2:$F$11000,OUT!$H$2:$H$11000,H145,OUT!$D$2:$D$101007,"In")</f>
        <v>#VALUE!</v>
      </c>
      <c r="J145" s="52">
        <f ca="1">SUMIFS(OUT!$F$2:$F$11000,OUT!$H$2:$H$11000,H145,OUT!$D$2:$D$11000,"Out")</f>
        <v>9490497</v>
      </c>
      <c r="K145" s="52">
        <f ca="1">SUMIFS(OUT!$F$2:$F$11000,OUT!$H$2:$H$11000,H145,OUT!$D$2:$D$11000,"Out",OUT!$E$2:$E$11000,"Fix")</f>
        <v>2703418</v>
      </c>
      <c r="L145" s="52">
        <f ca="1">SUMIFS(OUT!$F$2:$F$11000,OUT!$H$2:$H$11000,H145,OUT!$D$2:$D$11000,"Out",OUT!$E$2:$E$11000,"Bathroom")</f>
        <v>13000</v>
      </c>
      <c r="M145" s="52">
        <f ca="1">SUMIFS(OUT!$F$2:$F$11000,OUT!$H$2:$H$11000,H145,OUT!$D$2:$D$11000,"Out",OUT!$E$2:$E$11000,"Alfa")</f>
        <v>326872</v>
      </c>
      <c r="N145" s="52" t="e">
        <f ca="1">SUMIFS(OUT!$F$2:$F$11000,OUT!$H$2:$H$101007,H145,OUT!$D$2:$D$11000,"Out",OUT!$E$2:$E$11000,"Jajan")</f>
        <v>#VALUE!</v>
      </c>
      <c r="O145" s="52">
        <f ca="1">SUMIFS(OUT!$F$2:$F$11000,OUT!$H$2:$H$11000,H145,OUT!$D$2:$D$11000,"Out",OUT!$E$2:$E$11000,"Kitchen")</f>
        <v>902100</v>
      </c>
      <c r="P145" s="52">
        <f ca="1">SUMIFS(OUT!$F$2:$F$11000,OUT!$H$2:$H$11000,H145,OUT!$D$2:$D$11000,"Out",OUT!$E$2:$E$11000,"Loandry")</f>
        <v>42900</v>
      </c>
      <c r="Q145" s="52">
        <f ca="1">SUMIFS(OUT!$F$2:$F$11000,OUT!$H$2:$H$11000,H145,OUT!$D$2:$D$11000,"Out",OUT!$E$2:$E$11000,"Mio")</f>
        <v>732000</v>
      </c>
      <c r="R145" s="52">
        <f ca="1">SUMIFS(OUT!$F$2:$F$11000,OUT!$H$2:$H$11000,H145,OUT!$D$2:$D$11000,"Out",OUT!$E$2:$E$11000,"Sedekah")</f>
        <v>0</v>
      </c>
      <c r="S145" s="52">
        <f ca="1">SUMIFS(OUT!$F$2:$F$11000,OUT!$H$2:$H$11000,H145,OUT!$D$2:$D$11000,"Out",OUT!$E$2:$E$11000,"Zela")</f>
        <v>47011</v>
      </c>
      <c r="T145" s="52">
        <f ca="1">SUMIFS(OUT!$F$2:$F$11000,OUT!$H$2:$H$11000,H145,OUT!$D$2:$D$11000,"Out",OUT!$E$2:$E$11000,"Iqbal")</f>
        <v>251000</v>
      </c>
    </row>
    <row r="146" spans="1:20" x14ac:dyDescent="0.2">
      <c r="A146" s="48">
        <f ca="1">IFERROR(__xludf.DUMMYFUNCTION("""COMPUTED_VALUE"""),46147)</f>
        <v>46147</v>
      </c>
      <c r="B146" s="4" t="str">
        <f ca="1">IFERROR(__xludf.DUMMYFUNCTION("""COMPUTED_VALUE"""),"Sewa Rumah Athaya 3 (Mei 2026)")</f>
        <v>Sewa Rumah Athaya 3 (Mei 2026)</v>
      </c>
      <c r="C146" s="4" t="str">
        <f ca="1">IFERROR(__xludf.DUMMYFUNCTION("""COMPUTED_VALUE"""),"ATM")</f>
        <v>ATM</v>
      </c>
      <c r="D146" s="4" t="str">
        <f ca="1">IFERROR(__xludf.DUMMYFUNCTION("""COMPUTED_VALUE"""),"Out")</f>
        <v>Out</v>
      </c>
      <c r="E146" s="4" t="str">
        <f ca="1">IFERROR(__xludf.DUMMYFUNCTION("""COMPUTED_VALUE"""),"Fix")</f>
        <v>Fix</v>
      </c>
      <c r="F146" s="49">
        <f ca="1">IFERROR(__xludf.DUMMYFUNCTION("""COMPUTED_VALUE"""),1000471)</f>
        <v>1000471</v>
      </c>
      <c r="G146" s="50" t="str">
        <f ca="1">IFERROR(__xludf.DUMMYFUNCTION("""COMPUTED_VALUE"""),"Ibal")</f>
        <v>Ibal</v>
      </c>
      <c r="H146" s="51">
        <f t="shared" ca="1" si="0"/>
        <v>46143</v>
      </c>
      <c r="I146" s="52" t="e">
        <f ca="1">SUMIFS(OUT!$F$2:$F$11000,OUT!$H$2:$H$11000,H146,OUT!$D$2:$D$101007,"In")</f>
        <v>#VALUE!</v>
      </c>
      <c r="J146" s="52">
        <f ca="1">SUMIFS(OUT!$F$2:$F$11000,OUT!$H$2:$H$11000,H146,OUT!$D$2:$D$11000,"Out")</f>
        <v>9490497</v>
      </c>
      <c r="K146" s="52">
        <f ca="1">SUMIFS(OUT!$F$2:$F$11000,OUT!$H$2:$H$11000,H146,OUT!$D$2:$D$11000,"Out",OUT!$E$2:$E$11000,"Fix")</f>
        <v>2703418</v>
      </c>
      <c r="L146" s="52">
        <f ca="1">SUMIFS(OUT!$F$2:$F$11000,OUT!$H$2:$H$11000,H146,OUT!$D$2:$D$11000,"Out",OUT!$E$2:$E$11000,"Bathroom")</f>
        <v>13000</v>
      </c>
      <c r="M146" s="52">
        <f ca="1">SUMIFS(OUT!$F$2:$F$11000,OUT!$H$2:$H$11000,H146,OUT!$D$2:$D$11000,"Out",OUT!$E$2:$E$11000,"Alfa")</f>
        <v>326872</v>
      </c>
      <c r="N146" s="52" t="e">
        <f ca="1">SUMIFS(OUT!$F$2:$F$11000,OUT!$H$2:$H$101007,H146,OUT!$D$2:$D$11000,"Out",OUT!$E$2:$E$11000,"Jajan")</f>
        <v>#VALUE!</v>
      </c>
      <c r="O146" s="52">
        <f ca="1">SUMIFS(OUT!$F$2:$F$11000,OUT!$H$2:$H$11000,H146,OUT!$D$2:$D$11000,"Out",OUT!$E$2:$E$11000,"Kitchen")</f>
        <v>902100</v>
      </c>
      <c r="P146" s="52">
        <f ca="1">SUMIFS(OUT!$F$2:$F$11000,OUT!$H$2:$H$11000,H146,OUT!$D$2:$D$11000,"Out",OUT!$E$2:$E$11000,"Loandry")</f>
        <v>42900</v>
      </c>
      <c r="Q146" s="52">
        <f ca="1">SUMIFS(OUT!$F$2:$F$11000,OUT!$H$2:$H$11000,H146,OUT!$D$2:$D$11000,"Out",OUT!$E$2:$E$11000,"Mio")</f>
        <v>732000</v>
      </c>
      <c r="R146" s="52">
        <f ca="1">SUMIFS(OUT!$F$2:$F$11000,OUT!$H$2:$H$11000,H146,OUT!$D$2:$D$11000,"Out",OUT!$E$2:$E$11000,"Sedekah")</f>
        <v>0</v>
      </c>
      <c r="S146" s="52">
        <f ca="1">SUMIFS(OUT!$F$2:$F$11000,OUT!$H$2:$H$11000,H146,OUT!$D$2:$D$11000,"Out",OUT!$E$2:$E$11000,"Zela")</f>
        <v>47011</v>
      </c>
      <c r="T146" s="52">
        <f ca="1">SUMIFS(OUT!$F$2:$F$11000,OUT!$H$2:$H$11000,H146,OUT!$D$2:$D$11000,"Out",OUT!$E$2:$E$11000,"Iqbal")</f>
        <v>251000</v>
      </c>
    </row>
    <row r="147" spans="1:20" x14ac:dyDescent="0.2">
      <c r="A147" s="48">
        <f ca="1">IFERROR(__xludf.DUMMYFUNCTION("""COMPUTED_VALUE"""),46147)</f>
        <v>46147</v>
      </c>
      <c r="B147" s="4" t="str">
        <f ca="1">IFERROR(__xludf.DUMMYFUNCTION("""COMPUTED_VALUE"""),"MyRepublic (3)")</f>
        <v>MyRepublic (3)</v>
      </c>
      <c r="C147" s="4" t="str">
        <f ca="1">IFERROR(__xludf.DUMMYFUNCTION("""COMPUTED_VALUE"""),"ATM")</f>
        <v>ATM</v>
      </c>
      <c r="D147" s="4" t="str">
        <f ca="1">IFERROR(__xludf.DUMMYFUNCTION("""COMPUTED_VALUE"""),"Out")</f>
        <v>Out</v>
      </c>
      <c r="E147" s="4" t="str">
        <f ca="1">IFERROR(__xludf.DUMMYFUNCTION("""COMPUTED_VALUE"""),"Fix")</f>
        <v>Fix</v>
      </c>
      <c r="F147" s="49">
        <f ca="1">IFERROR(__xludf.DUMMYFUNCTION("""COMPUTED_VALUE"""),233100)</f>
        <v>233100</v>
      </c>
      <c r="G147" s="50" t="str">
        <f ca="1">IFERROR(__xludf.DUMMYFUNCTION("""COMPUTED_VALUE"""),"Ibal")</f>
        <v>Ibal</v>
      </c>
      <c r="H147" s="51">
        <f t="shared" ca="1" si="0"/>
        <v>46143</v>
      </c>
      <c r="I147" s="52" t="e">
        <f ca="1">SUMIFS(OUT!$F$2:$F$11000,OUT!$H$2:$H$11000,H147,OUT!$D$2:$D$101007,"In")</f>
        <v>#VALUE!</v>
      </c>
      <c r="J147" s="52">
        <f ca="1">SUMIFS(OUT!$F$2:$F$11000,OUT!$H$2:$H$11000,H147,OUT!$D$2:$D$11000,"Out")</f>
        <v>9490497</v>
      </c>
      <c r="K147" s="52">
        <f ca="1">SUMIFS(OUT!$F$2:$F$11000,OUT!$H$2:$H$11000,H147,OUT!$D$2:$D$11000,"Out",OUT!$E$2:$E$11000,"Fix")</f>
        <v>2703418</v>
      </c>
      <c r="L147" s="52">
        <f ca="1">SUMIFS(OUT!$F$2:$F$11000,OUT!$H$2:$H$11000,H147,OUT!$D$2:$D$11000,"Out",OUT!$E$2:$E$11000,"Bathroom")</f>
        <v>13000</v>
      </c>
      <c r="M147" s="52">
        <f ca="1">SUMIFS(OUT!$F$2:$F$11000,OUT!$H$2:$H$11000,H147,OUT!$D$2:$D$11000,"Out",OUT!$E$2:$E$11000,"Alfa")</f>
        <v>326872</v>
      </c>
      <c r="N147" s="52" t="e">
        <f ca="1">SUMIFS(OUT!$F$2:$F$11000,OUT!$H$2:$H$101007,H147,OUT!$D$2:$D$11000,"Out",OUT!$E$2:$E$11000,"Jajan")</f>
        <v>#VALUE!</v>
      </c>
      <c r="O147" s="52">
        <f ca="1">SUMIFS(OUT!$F$2:$F$11000,OUT!$H$2:$H$11000,H147,OUT!$D$2:$D$11000,"Out",OUT!$E$2:$E$11000,"Kitchen")</f>
        <v>902100</v>
      </c>
      <c r="P147" s="52">
        <f ca="1">SUMIFS(OUT!$F$2:$F$11000,OUT!$H$2:$H$11000,H147,OUT!$D$2:$D$11000,"Out",OUT!$E$2:$E$11000,"Loandry")</f>
        <v>42900</v>
      </c>
      <c r="Q147" s="52">
        <f ca="1">SUMIFS(OUT!$F$2:$F$11000,OUT!$H$2:$H$11000,H147,OUT!$D$2:$D$11000,"Out",OUT!$E$2:$E$11000,"Mio")</f>
        <v>732000</v>
      </c>
      <c r="R147" s="52">
        <f ca="1">SUMIFS(OUT!$F$2:$F$11000,OUT!$H$2:$H$11000,H147,OUT!$D$2:$D$11000,"Out",OUT!$E$2:$E$11000,"Sedekah")</f>
        <v>0</v>
      </c>
      <c r="S147" s="52">
        <f ca="1">SUMIFS(OUT!$F$2:$F$11000,OUT!$H$2:$H$11000,H147,OUT!$D$2:$D$11000,"Out",OUT!$E$2:$E$11000,"Zela")</f>
        <v>47011</v>
      </c>
      <c r="T147" s="52">
        <f ca="1">SUMIFS(OUT!$F$2:$F$11000,OUT!$H$2:$H$11000,H147,OUT!$D$2:$D$11000,"Out",OUT!$E$2:$E$11000,"Iqbal")</f>
        <v>251000</v>
      </c>
    </row>
    <row r="148" spans="1:20" x14ac:dyDescent="0.2">
      <c r="A148" s="48">
        <f ca="1">IFERROR(__xludf.DUMMYFUNCTION("""COMPUTED_VALUE"""),46147)</f>
        <v>46147</v>
      </c>
      <c r="B148" s="4" t="str">
        <f ca="1">IFERROR(__xludf.DUMMYFUNCTION("""COMPUTED_VALUE"""),"Iuran Athaya 3 (Mei 2026)")</f>
        <v>Iuran Athaya 3 (Mei 2026)</v>
      </c>
      <c r="C148" s="4" t="str">
        <f ca="1">IFERROR(__xludf.DUMMYFUNCTION("""COMPUTED_VALUE"""),"ATM")</f>
        <v>ATM</v>
      </c>
      <c r="D148" s="4" t="str">
        <f ca="1">IFERROR(__xludf.DUMMYFUNCTION("""COMPUTED_VALUE"""),"Out")</f>
        <v>Out</v>
      </c>
      <c r="E148" s="4" t="str">
        <f ca="1">IFERROR(__xludf.DUMMYFUNCTION("""COMPUTED_VALUE"""),"Fix")</f>
        <v>Fix</v>
      </c>
      <c r="F148" s="49">
        <f ca="1">IFERROR(__xludf.DUMMYFUNCTION("""COMPUTED_VALUE"""),75000)</f>
        <v>75000</v>
      </c>
      <c r="G148" s="50" t="str">
        <f ca="1">IFERROR(__xludf.DUMMYFUNCTION("""COMPUTED_VALUE"""),"Ibal")</f>
        <v>Ibal</v>
      </c>
      <c r="H148" s="51">
        <f t="shared" ca="1" si="0"/>
        <v>46143</v>
      </c>
      <c r="I148" s="52" t="e">
        <f ca="1">SUMIFS(OUT!$F$2:$F$11000,OUT!$H$2:$H$11000,H148,OUT!$D$2:$D$101007,"In")</f>
        <v>#VALUE!</v>
      </c>
      <c r="J148" s="52">
        <f ca="1">SUMIFS(OUT!$F$2:$F$11000,OUT!$H$2:$H$11000,H148,OUT!$D$2:$D$11000,"Out")</f>
        <v>9490497</v>
      </c>
      <c r="K148" s="52">
        <f ca="1">SUMIFS(OUT!$F$2:$F$11000,OUT!$H$2:$H$11000,H148,OUT!$D$2:$D$11000,"Out",OUT!$E$2:$E$11000,"Fix")</f>
        <v>2703418</v>
      </c>
      <c r="L148" s="52">
        <f ca="1">SUMIFS(OUT!$F$2:$F$11000,OUT!$H$2:$H$11000,H148,OUT!$D$2:$D$11000,"Out",OUT!$E$2:$E$11000,"Bathroom")</f>
        <v>13000</v>
      </c>
      <c r="M148" s="52">
        <f ca="1">SUMIFS(OUT!$F$2:$F$11000,OUT!$H$2:$H$11000,H148,OUT!$D$2:$D$11000,"Out",OUT!$E$2:$E$11000,"Alfa")</f>
        <v>326872</v>
      </c>
      <c r="N148" s="52" t="e">
        <f ca="1">SUMIFS(OUT!$F$2:$F$11000,OUT!$H$2:$H$101007,H148,OUT!$D$2:$D$11000,"Out",OUT!$E$2:$E$11000,"Jajan")</f>
        <v>#VALUE!</v>
      </c>
      <c r="O148" s="52">
        <f ca="1">SUMIFS(OUT!$F$2:$F$11000,OUT!$H$2:$H$11000,H148,OUT!$D$2:$D$11000,"Out",OUT!$E$2:$E$11000,"Kitchen")</f>
        <v>902100</v>
      </c>
      <c r="P148" s="52">
        <f ca="1">SUMIFS(OUT!$F$2:$F$11000,OUT!$H$2:$H$11000,H148,OUT!$D$2:$D$11000,"Out",OUT!$E$2:$E$11000,"Loandry")</f>
        <v>42900</v>
      </c>
      <c r="Q148" s="52">
        <f ca="1">SUMIFS(OUT!$F$2:$F$11000,OUT!$H$2:$H$11000,H148,OUT!$D$2:$D$11000,"Out",OUT!$E$2:$E$11000,"Mio")</f>
        <v>732000</v>
      </c>
      <c r="R148" s="52">
        <f ca="1">SUMIFS(OUT!$F$2:$F$11000,OUT!$H$2:$H$11000,H148,OUT!$D$2:$D$11000,"Out",OUT!$E$2:$E$11000,"Sedekah")</f>
        <v>0</v>
      </c>
      <c r="S148" s="52">
        <f ca="1">SUMIFS(OUT!$F$2:$F$11000,OUT!$H$2:$H$11000,H148,OUT!$D$2:$D$11000,"Out",OUT!$E$2:$E$11000,"Zela")</f>
        <v>47011</v>
      </c>
      <c r="T148" s="52">
        <f ca="1">SUMIFS(OUT!$F$2:$F$11000,OUT!$H$2:$H$11000,H148,OUT!$D$2:$D$11000,"Out",OUT!$E$2:$E$11000,"Iqbal")</f>
        <v>251000</v>
      </c>
    </row>
    <row r="149" spans="1:20" x14ac:dyDescent="0.2">
      <c r="A149" s="48">
        <f ca="1">IFERROR(__xludf.DUMMYFUNCTION("""COMPUTED_VALUE"""),46147)</f>
        <v>46147</v>
      </c>
      <c r="B149" s="4" t="str">
        <f ca="1">IFERROR(__xludf.DUMMYFUNCTION("""COMPUTED_VALUE"""),"rokok")</f>
        <v>rokok</v>
      </c>
      <c r="C149" s="4" t="str">
        <f ca="1">IFERROR(__xludf.DUMMYFUNCTION("""COMPUTED_VALUE"""),"Cash")</f>
        <v>Cash</v>
      </c>
      <c r="D149" s="4" t="str">
        <f ca="1">IFERROR(__xludf.DUMMYFUNCTION("""COMPUTED_VALUE"""),"Out")</f>
        <v>Out</v>
      </c>
      <c r="E149" s="4" t="str">
        <f ca="1">IFERROR(__xludf.DUMMYFUNCTION("""COMPUTED_VALUE"""),"Iqbal")</f>
        <v>Iqbal</v>
      </c>
      <c r="F149" s="49">
        <f ca="1">IFERROR(__xludf.DUMMYFUNCTION("""COMPUTED_VALUE"""),15000)</f>
        <v>15000</v>
      </c>
      <c r="G149" s="50" t="str">
        <f ca="1">IFERROR(__xludf.DUMMYFUNCTION("""COMPUTED_VALUE"""),"Ibal")</f>
        <v>Ibal</v>
      </c>
      <c r="H149" s="51">
        <f t="shared" ca="1" si="0"/>
        <v>46143</v>
      </c>
      <c r="I149" s="52" t="e">
        <f ca="1">SUMIFS(OUT!$F$2:$F$11000,OUT!$H$2:$H$11000,H149,OUT!$D$2:$D$101007,"In")</f>
        <v>#VALUE!</v>
      </c>
      <c r="J149" s="52">
        <f ca="1">SUMIFS(OUT!$F$2:$F$11000,OUT!$H$2:$H$11000,H149,OUT!$D$2:$D$11000,"Out")</f>
        <v>9490497</v>
      </c>
      <c r="K149" s="52">
        <f ca="1">SUMIFS(OUT!$F$2:$F$11000,OUT!$H$2:$H$11000,H149,OUT!$D$2:$D$11000,"Out",OUT!$E$2:$E$11000,"Fix")</f>
        <v>2703418</v>
      </c>
      <c r="L149" s="52">
        <f ca="1">SUMIFS(OUT!$F$2:$F$11000,OUT!$H$2:$H$11000,H149,OUT!$D$2:$D$11000,"Out",OUT!$E$2:$E$11000,"Bathroom")</f>
        <v>13000</v>
      </c>
      <c r="M149" s="52">
        <f ca="1">SUMIFS(OUT!$F$2:$F$11000,OUT!$H$2:$H$11000,H149,OUT!$D$2:$D$11000,"Out",OUT!$E$2:$E$11000,"Alfa")</f>
        <v>326872</v>
      </c>
      <c r="N149" s="52" t="e">
        <f ca="1">SUMIFS(OUT!$F$2:$F$11000,OUT!$H$2:$H$101007,H149,OUT!$D$2:$D$11000,"Out",OUT!$E$2:$E$11000,"Jajan")</f>
        <v>#VALUE!</v>
      </c>
      <c r="O149" s="52">
        <f ca="1">SUMIFS(OUT!$F$2:$F$11000,OUT!$H$2:$H$11000,H149,OUT!$D$2:$D$11000,"Out",OUT!$E$2:$E$11000,"Kitchen")</f>
        <v>902100</v>
      </c>
      <c r="P149" s="52">
        <f ca="1">SUMIFS(OUT!$F$2:$F$11000,OUT!$H$2:$H$11000,H149,OUT!$D$2:$D$11000,"Out",OUT!$E$2:$E$11000,"Loandry")</f>
        <v>42900</v>
      </c>
      <c r="Q149" s="52">
        <f ca="1">SUMIFS(OUT!$F$2:$F$11000,OUT!$H$2:$H$11000,H149,OUT!$D$2:$D$11000,"Out",OUT!$E$2:$E$11000,"Mio")</f>
        <v>732000</v>
      </c>
      <c r="R149" s="52">
        <f ca="1">SUMIFS(OUT!$F$2:$F$11000,OUT!$H$2:$H$11000,H149,OUT!$D$2:$D$11000,"Out",OUT!$E$2:$E$11000,"Sedekah")</f>
        <v>0</v>
      </c>
      <c r="S149" s="52">
        <f ca="1">SUMIFS(OUT!$F$2:$F$11000,OUT!$H$2:$H$11000,H149,OUT!$D$2:$D$11000,"Out",OUT!$E$2:$E$11000,"Zela")</f>
        <v>47011</v>
      </c>
      <c r="T149" s="52">
        <f ca="1">SUMIFS(OUT!$F$2:$F$11000,OUT!$H$2:$H$11000,H149,OUT!$D$2:$D$11000,"Out",OUT!$E$2:$E$11000,"Iqbal")</f>
        <v>251000</v>
      </c>
    </row>
    <row r="150" spans="1:20" x14ac:dyDescent="0.2">
      <c r="A150" s="48">
        <f ca="1">IFERROR(__xludf.DUMMYFUNCTION("""COMPUTED_VALUE"""),46147)</f>
        <v>46147</v>
      </c>
      <c r="B150" s="4" t="str">
        <f ca="1">IFERROR(__xludf.DUMMYFUNCTION("""COMPUTED_VALUE"""),"teh telor tapai")</f>
        <v>teh telor tapai</v>
      </c>
      <c r="C150" s="4" t="str">
        <f ca="1">IFERROR(__xludf.DUMMYFUNCTION("""COMPUTED_VALUE"""),"Cash")</f>
        <v>Cash</v>
      </c>
      <c r="D150" s="4" t="str">
        <f ca="1">IFERROR(__xludf.DUMMYFUNCTION("""COMPUTED_VALUE"""),"Out")</f>
        <v>Out</v>
      </c>
      <c r="E150" s="4" t="str">
        <f ca="1">IFERROR(__xludf.DUMMYFUNCTION("""COMPUTED_VALUE"""),"Iqbal")</f>
        <v>Iqbal</v>
      </c>
      <c r="F150" s="49">
        <f ca="1">IFERROR(__xludf.DUMMYFUNCTION("""COMPUTED_VALUE"""),13000)</f>
        <v>13000</v>
      </c>
      <c r="G150" s="50" t="str">
        <f ca="1">IFERROR(__xludf.DUMMYFUNCTION("""COMPUTED_VALUE"""),"Ibal")</f>
        <v>Ibal</v>
      </c>
      <c r="H150" s="51">
        <f t="shared" ca="1" si="0"/>
        <v>46143</v>
      </c>
      <c r="I150" s="52" t="e">
        <f ca="1">SUMIFS(OUT!$F$2:$F$11000,OUT!$H$2:$H$11000,H150,OUT!$D$2:$D$101007,"In")</f>
        <v>#VALUE!</v>
      </c>
      <c r="J150" s="52">
        <f ca="1">SUMIFS(OUT!$F$2:$F$11000,OUT!$H$2:$H$11000,H150,OUT!$D$2:$D$11000,"Out")</f>
        <v>9490497</v>
      </c>
      <c r="K150" s="52">
        <f ca="1">SUMIFS(OUT!$F$2:$F$11000,OUT!$H$2:$H$11000,H150,OUT!$D$2:$D$11000,"Out",OUT!$E$2:$E$11000,"Fix")</f>
        <v>2703418</v>
      </c>
      <c r="L150" s="52">
        <f ca="1">SUMIFS(OUT!$F$2:$F$11000,OUT!$H$2:$H$11000,H150,OUT!$D$2:$D$11000,"Out",OUT!$E$2:$E$11000,"Bathroom")</f>
        <v>13000</v>
      </c>
      <c r="M150" s="52">
        <f ca="1">SUMIFS(OUT!$F$2:$F$11000,OUT!$H$2:$H$11000,H150,OUT!$D$2:$D$11000,"Out",OUT!$E$2:$E$11000,"Alfa")</f>
        <v>326872</v>
      </c>
      <c r="N150" s="52" t="e">
        <f ca="1">SUMIFS(OUT!$F$2:$F$11000,OUT!$H$2:$H$101007,H150,OUT!$D$2:$D$11000,"Out",OUT!$E$2:$E$11000,"Jajan")</f>
        <v>#VALUE!</v>
      </c>
      <c r="O150" s="52">
        <f ca="1">SUMIFS(OUT!$F$2:$F$11000,OUT!$H$2:$H$11000,H150,OUT!$D$2:$D$11000,"Out",OUT!$E$2:$E$11000,"Kitchen")</f>
        <v>902100</v>
      </c>
      <c r="P150" s="52">
        <f ca="1">SUMIFS(OUT!$F$2:$F$11000,OUT!$H$2:$H$11000,H150,OUT!$D$2:$D$11000,"Out",OUT!$E$2:$E$11000,"Loandry")</f>
        <v>42900</v>
      </c>
      <c r="Q150" s="52">
        <f ca="1">SUMIFS(OUT!$F$2:$F$11000,OUT!$H$2:$H$11000,H150,OUT!$D$2:$D$11000,"Out",OUT!$E$2:$E$11000,"Mio")</f>
        <v>732000</v>
      </c>
      <c r="R150" s="52">
        <f ca="1">SUMIFS(OUT!$F$2:$F$11000,OUT!$H$2:$H$11000,H150,OUT!$D$2:$D$11000,"Out",OUT!$E$2:$E$11000,"Sedekah")</f>
        <v>0</v>
      </c>
      <c r="S150" s="52">
        <f ca="1">SUMIFS(OUT!$F$2:$F$11000,OUT!$H$2:$H$11000,H150,OUT!$D$2:$D$11000,"Out",OUT!$E$2:$E$11000,"Zela")</f>
        <v>47011</v>
      </c>
      <c r="T150" s="52">
        <f ca="1">SUMIFS(OUT!$F$2:$F$11000,OUT!$H$2:$H$11000,H150,OUT!$D$2:$D$11000,"Out",OUT!$E$2:$E$11000,"Iqbal")</f>
        <v>251000</v>
      </c>
    </row>
    <row r="151" spans="1:20" x14ac:dyDescent="0.2">
      <c r="A151" s="48">
        <f ca="1">IFERROR(__xludf.DUMMYFUNCTION("""COMPUTED_VALUE"""),46147)</f>
        <v>46147</v>
      </c>
      <c r="B151" s="4" t="str">
        <f ca="1">IFERROR(__xludf.DUMMYFUNCTION("""COMPUTED_VALUE"""),"sate")</f>
        <v>sate</v>
      </c>
      <c r="C151" s="4" t="str">
        <f ca="1">IFERROR(__xludf.DUMMYFUNCTION("""COMPUTED_VALUE"""),"Cash")</f>
        <v>Cash</v>
      </c>
      <c r="D151" s="4" t="str">
        <f ca="1">IFERROR(__xludf.DUMMYFUNCTION("""COMPUTED_VALUE"""),"Out")</f>
        <v>Out</v>
      </c>
      <c r="E151" s="4" t="str">
        <f ca="1">IFERROR(__xludf.DUMMYFUNCTION("""COMPUTED_VALUE"""),"Jajan")</f>
        <v>Jajan</v>
      </c>
      <c r="F151" s="49">
        <f ca="1">IFERROR(__xludf.DUMMYFUNCTION("""COMPUTED_VALUE"""),20000)</f>
        <v>20000</v>
      </c>
      <c r="G151" s="50" t="str">
        <f ca="1">IFERROR(__xludf.DUMMYFUNCTION("""COMPUTED_VALUE"""),"Ibal")</f>
        <v>Ibal</v>
      </c>
      <c r="H151" s="51">
        <f t="shared" ca="1" si="0"/>
        <v>46143</v>
      </c>
      <c r="I151" s="52" t="e">
        <f ca="1">SUMIFS(OUT!$F$2:$F$11000,OUT!$H$2:$H$11000,H151,OUT!$D$2:$D$101007,"In")</f>
        <v>#VALUE!</v>
      </c>
      <c r="J151" s="52">
        <f ca="1">SUMIFS(OUT!$F$2:$F$11000,OUT!$H$2:$H$11000,H151,OUT!$D$2:$D$11000,"Out")</f>
        <v>9490497</v>
      </c>
      <c r="K151" s="52">
        <f ca="1">SUMIFS(OUT!$F$2:$F$11000,OUT!$H$2:$H$11000,H151,OUT!$D$2:$D$11000,"Out",OUT!$E$2:$E$11000,"Fix")</f>
        <v>2703418</v>
      </c>
      <c r="L151" s="52">
        <f ca="1">SUMIFS(OUT!$F$2:$F$11000,OUT!$H$2:$H$11000,H151,OUT!$D$2:$D$11000,"Out",OUT!$E$2:$E$11000,"Bathroom")</f>
        <v>13000</v>
      </c>
      <c r="M151" s="52">
        <f ca="1">SUMIFS(OUT!$F$2:$F$11000,OUT!$H$2:$H$11000,H151,OUT!$D$2:$D$11000,"Out",OUT!$E$2:$E$11000,"Alfa")</f>
        <v>326872</v>
      </c>
      <c r="N151" s="52" t="e">
        <f ca="1">SUMIFS(OUT!$F$2:$F$11000,OUT!$H$2:$H$101007,H151,OUT!$D$2:$D$11000,"Out",OUT!$E$2:$E$11000,"Jajan")</f>
        <v>#VALUE!</v>
      </c>
      <c r="O151" s="52">
        <f ca="1">SUMIFS(OUT!$F$2:$F$11000,OUT!$H$2:$H$11000,H151,OUT!$D$2:$D$11000,"Out",OUT!$E$2:$E$11000,"Kitchen")</f>
        <v>902100</v>
      </c>
      <c r="P151" s="52">
        <f ca="1">SUMIFS(OUT!$F$2:$F$11000,OUT!$H$2:$H$11000,H151,OUT!$D$2:$D$11000,"Out",OUT!$E$2:$E$11000,"Loandry")</f>
        <v>42900</v>
      </c>
      <c r="Q151" s="52">
        <f ca="1">SUMIFS(OUT!$F$2:$F$11000,OUT!$H$2:$H$11000,H151,OUT!$D$2:$D$11000,"Out",OUT!$E$2:$E$11000,"Mio")</f>
        <v>732000</v>
      </c>
      <c r="R151" s="52">
        <f ca="1">SUMIFS(OUT!$F$2:$F$11000,OUT!$H$2:$H$11000,H151,OUT!$D$2:$D$11000,"Out",OUT!$E$2:$E$11000,"Sedekah")</f>
        <v>0</v>
      </c>
      <c r="S151" s="52">
        <f ca="1">SUMIFS(OUT!$F$2:$F$11000,OUT!$H$2:$H$11000,H151,OUT!$D$2:$D$11000,"Out",OUT!$E$2:$E$11000,"Zela")</f>
        <v>47011</v>
      </c>
      <c r="T151" s="52">
        <f ca="1">SUMIFS(OUT!$F$2:$F$11000,OUT!$H$2:$H$11000,H151,OUT!$D$2:$D$11000,"Out",OUT!$E$2:$E$11000,"Iqbal")</f>
        <v>251000</v>
      </c>
    </row>
    <row r="152" spans="1:20" x14ac:dyDescent="0.2">
      <c r="A152" s="48">
        <f ca="1">IFERROR(__xludf.DUMMYFUNCTION("""COMPUTED_VALUE"""),46147)</f>
        <v>46147</v>
      </c>
      <c r="B152" s="4" t="str">
        <f ca="1">IFERROR(__xludf.DUMMYFUNCTION("""COMPUTED_VALUE"""),"jajan")</f>
        <v>jajan</v>
      </c>
      <c r="C152" s="4" t="str">
        <f ca="1">IFERROR(__xludf.DUMMYFUNCTION("""COMPUTED_VALUE"""),"Cash")</f>
        <v>Cash</v>
      </c>
      <c r="D152" s="4" t="str">
        <f ca="1">IFERROR(__xludf.DUMMYFUNCTION("""COMPUTED_VALUE"""),"Out")</f>
        <v>Out</v>
      </c>
      <c r="E152" s="4" t="str">
        <f ca="1">IFERROR(__xludf.DUMMYFUNCTION("""COMPUTED_VALUE"""),"Jajan")</f>
        <v>Jajan</v>
      </c>
      <c r="F152" s="49">
        <f ca="1">IFERROR(__xludf.DUMMYFUNCTION("""COMPUTED_VALUE"""),35000)</f>
        <v>35000</v>
      </c>
      <c r="G152" s="50" t="str">
        <f ca="1">IFERROR(__xludf.DUMMYFUNCTION("""COMPUTED_VALUE"""),"Ibal")</f>
        <v>Ibal</v>
      </c>
      <c r="H152" s="51">
        <f t="shared" ca="1" si="0"/>
        <v>46143</v>
      </c>
      <c r="I152" s="52" t="e">
        <f ca="1">SUMIFS(OUT!$F$2:$F$11000,OUT!$H$2:$H$11000,H152,OUT!$D$2:$D$101007,"In")</f>
        <v>#VALUE!</v>
      </c>
      <c r="J152" s="52">
        <f ca="1">SUMIFS(OUT!$F$2:$F$11000,OUT!$H$2:$H$11000,H152,OUT!$D$2:$D$11000,"Out")</f>
        <v>9490497</v>
      </c>
      <c r="K152" s="52">
        <f ca="1">SUMIFS(OUT!$F$2:$F$11000,OUT!$H$2:$H$11000,H152,OUT!$D$2:$D$11000,"Out",OUT!$E$2:$E$11000,"Fix")</f>
        <v>2703418</v>
      </c>
      <c r="L152" s="52">
        <f ca="1">SUMIFS(OUT!$F$2:$F$11000,OUT!$H$2:$H$11000,H152,OUT!$D$2:$D$11000,"Out",OUT!$E$2:$E$11000,"Bathroom")</f>
        <v>13000</v>
      </c>
      <c r="M152" s="52">
        <f ca="1">SUMIFS(OUT!$F$2:$F$11000,OUT!$H$2:$H$11000,H152,OUT!$D$2:$D$11000,"Out",OUT!$E$2:$E$11000,"Alfa")</f>
        <v>326872</v>
      </c>
      <c r="N152" s="52" t="e">
        <f ca="1">SUMIFS(OUT!$F$2:$F$11000,OUT!$H$2:$H$101007,H152,OUT!$D$2:$D$11000,"Out",OUT!$E$2:$E$11000,"Jajan")</f>
        <v>#VALUE!</v>
      </c>
      <c r="O152" s="52">
        <f ca="1">SUMIFS(OUT!$F$2:$F$11000,OUT!$H$2:$H$11000,H152,OUT!$D$2:$D$11000,"Out",OUT!$E$2:$E$11000,"Kitchen")</f>
        <v>902100</v>
      </c>
      <c r="P152" s="52">
        <f ca="1">SUMIFS(OUT!$F$2:$F$11000,OUT!$H$2:$H$11000,H152,OUT!$D$2:$D$11000,"Out",OUT!$E$2:$E$11000,"Loandry")</f>
        <v>42900</v>
      </c>
      <c r="Q152" s="52">
        <f ca="1">SUMIFS(OUT!$F$2:$F$11000,OUT!$H$2:$H$11000,H152,OUT!$D$2:$D$11000,"Out",OUT!$E$2:$E$11000,"Mio")</f>
        <v>732000</v>
      </c>
      <c r="R152" s="52">
        <f ca="1">SUMIFS(OUT!$F$2:$F$11000,OUT!$H$2:$H$11000,H152,OUT!$D$2:$D$11000,"Out",OUT!$E$2:$E$11000,"Sedekah")</f>
        <v>0</v>
      </c>
      <c r="S152" s="52">
        <f ca="1">SUMIFS(OUT!$F$2:$F$11000,OUT!$H$2:$H$11000,H152,OUT!$D$2:$D$11000,"Out",OUT!$E$2:$E$11000,"Zela")</f>
        <v>47011</v>
      </c>
      <c r="T152" s="52">
        <f ca="1">SUMIFS(OUT!$F$2:$F$11000,OUT!$H$2:$H$11000,H152,OUT!$D$2:$D$11000,"Out",OUT!$E$2:$E$11000,"Iqbal")</f>
        <v>251000</v>
      </c>
    </row>
    <row r="153" spans="1:20" x14ac:dyDescent="0.2">
      <c r="A153" s="48">
        <f ca="1">IFERROR(__xludf.DUMMYFUNCTION("""COMPUTED_VALUE"""),46148)</f>
        <v>46148</v>
      </c>
      <c r="B153" s="4" t="str">
        <f ca="1">IFERROR(__xludf.DUMMYFUNCTION("""COMPUTED_VALUE"""),"pasar kaget")</f>
        <v>pasar kaget</v>
      </c>
      <c r="C153" s="4" t="str">
        <f ca="1">IFERROR(__xludf.DUMMYFUNCTION("""COMPUTED_VALUE"""),"Cash")</f>
        <v>Cash</v>
      </c>
      <c r="D153" s="4" t="str">
        <f ca="1">IFERROR(__xludf.DUMMYFUNCTION("""COMPUTED_VALUE"""),"Out")</f>
        <v>Out</v>
      </c>
      <c r="E153" s="4" t="str">
        <f ca="1">IFERROR(__xludf.DUMMYFUNCTION("""COMPUTED_VALUE"""),"Kitchen")</f>
        <v>Kitchen</v>
      </c>
      <c r="F153" s="49">
        <f ca="1">IFERROR(__xludf.DUMMYFUNCTION("""COMPUTED_VALUE"""),45000)</f>
        <v>45000</v>
      </c>
      <c r="G153" s="50" t="str">
        <f ca="1">IFERROR(__xludf.DUMMYFUNCTION("""COMPUTED_VALUE"""),"Ibal")</f>
        <v>Ibal</v>
      </c>
      <c r="H153" s="51">
        <f t="shared" ca="1" si="0"/>
        <v>46143</v>
      </c>
      <c r="I153" s="52" t="e">
        <f ca="1">SUMIFS(OUT!$F$2:$F$11000,OUT!$H$2:$H$11000,H153,OUT!$D$2:$D$101007,"In")</f>
        <v>#VALUE!</v>
      </c>
      <c r="J153" s="52">
        <f ca="1">SUMIFS(OUT!$F$2:$F$11000,OUT!$H$2:$H$11000,H153,OUT!$D$2:$D$11000,"Out")</f>
        <v>9490497</v>
      </c>
      <c r="K153" s="52">
        <f ca="1">SUMIFS(OUT!$F$2:$F$11000,OUT!$H$2:$H$11000,H153,OUT!$D$2:$D$11000,"Out",OUT!$E$2:$E$11000,"Fix")</f>
        <v>2703418</v>
      </c>
      <c r="L153" s="52">
        <f ca="1">SUMIFS(OUT!$F$2:$F$11000,OUT!$H$2:$H$11000,H153,OUT!$D$2:$D$11000,"Out",OUT!$E$2:$E$11000,"Bathroom")</f>
        <v>13000</v>
      </c>
      <c r="M153" s="52">
        <f ca="1">SUMIFS(OUT!$F$2:$F$11000,OUT!$H$2:$H$11000,H153,OUT!$D$2:$D$11000,"Out",OUT!$E$2:$E$11000,"Alfa")</f>
        <v>326872</v>
      </c>
      <c r="N153" s="52" t="e">
        <f ca="1">SUMIFS(OUT!$F$2:$F$11000,OUT!$H$2:$H$101007,H153,OUT!$D$2:$D$11000,"Out",OUT!$E$2:$E$11000,"Jajan")</f>
        <v>#VALUE!</v>
      </c>
      <c r="O153" s="52">
        <f ca="1">SUMIFS(OUT!$F$2:$F$11000,OUT!$H$2:$H$11000,H153,OUT!$D$2:$D$11000,"Out",OUT!$E$2:$E$11000,"Kitchen")</f>
        <v>902100</v>
      </c>
      <c r="P153" s="52">
        <f ca="1">SUMIFS(OUT!$F$2:$F$11000,OUT!$H$2:$H$11000,H153,OUT!$D$2:$D$11000,"Out",OUT!$E$2:$E$11000,"Loandry")</f>
        <v>42900</v>
      </c>
      <c r="Q153" s="52">
        <f ca="1">SUMIFS(OUT!$F$2:$F$11000,OUT!$H$2:$H$11000,H153,OUT!$D$2:$D$11000,"Out",OUT!$E$2:$E$11000,"Mio")</f>
        <v>732000</v>
      </c>
      <c r="R153" s="52">
        <f ca="1">SUMIFS(OUT!$F$2:$F$11000,OUT!$H$2:$H$11000,H153,OUT!$D$2:$D$11000,"Out",OUT!$E$2:$E$11000,"Sedekah")</f>
        <v>0</v>
      </c>
      <c r="S153" s="52">
        <f ca="1">SUMIFS(OUT!$F$2:$F$11000,OUT!$H$2:$H$11000,H153,OUT!$D$2:$D$11000,"Out",OUT!$E$2:$E$11000,"Zela")</f>
        <v>47011</v>
      </c>
      <c r="T153" s="52">
        <f ca="1">SUMIFS(OUT!$F$2:$F$11000,OUT!$H$2:$H$11000,H153,OUT!$D$2:$D$11000,"Out",OUT!$E$2:$E$11000,"Iqbal")</f>
        <v>251000</v>
      </c>
    </row>
    <row r="154" spans="1:20" x14ac:dyDescent="0.2">
      <c r="A154" s="48">
        <f ca="1">IFERROR(__xludf.DUMMYFUNCTION("""COMPUTED_VALUE"""),46149)</f>
        <v>46149</v>
      </c>
      <c r="B154" s="4" t="str">
        <f ca="1">IFERROR(__xludf.DUMMYFUNCTION("""COMPUTED_VALUE"""),"pertalite")</f>
        <v>pertalite</v>
      </c>
      <c r="C154" s="4" t="str">
        <f ca="1">IFERROR(__xludf.DUMMYFUNCTION("""COMPUTED_VALUE"""),"Cash")</f>
        <v>Cash</v>
      </c>
      <c r="D154" s="4" t="str">
        <f ca="1">IFERROR(__xludf.DUMMYFUNCTION("""COMPUTED_VALUE"""),"Out")</f>
        <v>Out</v>
      </c>
      <c r="E154" s="4" t="str">
        <f ca="1">IFERROR(__xludf.DUMMYFUNCTION("""COMPUTED_VALUE"""),"Mio")</f>
        <v>Mio</v>
      </c>
      <c r="F154" s="49">
        <f ca="1">IFERROR(__xludf.DUMMYFUNCTION("""COMPUTED_VALUE"""),25000)</f>
        <v>25000</v>
      </c>
      <c r="G154" s="50" t="str">
        <f ca="1">IFERROR(__xludf.DUMMYFUNCTION("""COMPUTED_VALUE"""),"Ibal")</f>
        <v>Ibal</v>
      </c>
      <c r="H154" s="51">
        <f t="shared" ca="1" si="0"/>
        <v>46143</v>
      </c>
      <c r="I154" s="52" t="e">
        <f ca="1">SUMIFS(OUT!$F$2:$F$11000,OUT!$H$2:$H$11000,H154,OUT!$D$2:$D$101007,"In")</f>
        <v>#VALUE!</v>
      </c>
      <c r="J154" s="52">
        <f ca="1">SUMIFS(OUT!$F$2:$F$11000,OUT!$H$2:$H$11000,H154,OUT!$D$2:$D$11000,"Out")</f>
        <v>9490497</v>
      </c>
      <c r="K154" s="52">
        <f ca="1">SUMIFS(OUT!$F$2:$F$11000,OUT!$H$2:$H$11000,H154,OUT!$D$2:$D$11000,"Out",OUT!$E$2:$E$11000,"Fix")</f>
        <v>2703418</v>
      </c>
      <c r="L154" s="52">
        <f ca="1">SUMIFS(OUT!$F$2:$F$11000,OUT!$H$2:$H$11000,H154,OUT!$D$2:$D$11000,"Out",OUT!$E$2:$E$11000,"Bathroom")</f>
        <v>13000</v>
      </c>
      <c r="M154" s="52">
        <f ca="1">SUMIFS(OUT!$F$2:$F$11000,OUT!$H$2:$H$11000,H154,OUT!$D$2:$D$11000,"Out",OUT!$E$2:$E$11000,"Alfa")</f>
        <v>326872</v>
      </c>
      <c r="N154" s="52" t="e">
        <f ca="1">SUMIFS(OUT!$F$2:$F$11000,OUT!$H$2:$H$101007,H154,OUT!$D$2:$D$11000,"Out",OUT!$E$2:$E$11000,"Jajan")</f>
        <v>#VALUE!</v>
      </c>
      <c r="O154" s="52">
        <f ca="1">SUMIFS(OUT!$F$2:$F$11000,OUT!$H$2:$H$11000,H154,OUT!$D$2:$D$11000,"Out",OUT!$E$2:$E$11000,"Kitchen")</f>
        <v>902100</v>
      </c>
      <c r="P154" s="52">
        <f ca="1">SUMIFS(OUT!$F$2:$F$11000,OUT!$H$2:$H$11000,H154,OUT!$D$2:$D$11000,"Out",OUT!$E$2:$E$11000,"Loandry")</f>
        <v>42900</v>
      </c>
      <c r="Q154" s="52">
        <f ca="1">SUMIFS(OUT!$F$2:$F$11000,OUT!$H$2:$H$11000,H154,OUT!$D$2:$D$11000,"Out",OUT!$E$2:$E$11000,"Mio")</f>
        <v>732000</v>
      </c>
      <c r="R154" s="52">
        <f ca="1">SUMIFS(OUT!$F$2:$F$11000,OUT!$H$2:$H$11000,H154,OUT!$D$2:$D$11000,"Out",OUT!$E$2:$E$11000,"Sedekah")</f>
        <v>0</v>
      </c>
      <c r="S154" s="52">
        <f ca="1">SUMIFS(OUT!$F$2:$F$11000,OUT!$H$2:$H$11000,H154,OUT!$D$2:$D$11000,"Out",OUT!$E$2:$E$11000,"Zela")</f>
        <v>47011</v>
      </c>
      <c r="T154" s="52">
        <f ca="1">SUMIFS(OUT!$F$2:$F$11000,OUT!$H$2:$H$11000,H154,OUT!$D$2:$D$11000,"Out",OUT!$E$2:$E$11000,"Iqbal")</f>
        <v>251000</v>
      </c>
    </row>
    <row r="155" spans="1:20" x14ac:dyDescent="0.2">
      <c r="A155" s="48">
        <f ca="1">IFERROR(__xludf.DUMMYFUNCTION("""COMPUTED_VALUE"""),46149)</f>
        <v>46149</v>
      </c>
      <c r="B155" s="4" t="str">
        <f ca="1">IFERROR(__xludf.DUMMYFUNCTION("""COMPUTED_VALUE"""),"jajan alfa")</f>
        <v>jajan alfa</v>
      </c>
      <c r="C155" s="4" t="str">
        <f ca="1">IFERROR(__xludf.DUMMYFUNCTION("""COMPUTED_VALUE"""),"Cash")</f>
        <v>Cash</v>
      </c>
      <c r="D155" s="4" t="str">
        <f ca="1">IFERROR(__xludf.DUMMYFUNCTION("""COMPUTED_VALUE"""),"Out")</f>
        <v>Out</v>
      </c>
      <c r="E155" s="4" t="str">
        <f ca="1">IFERROR(__xludf.DUMMYFUNCTION("""COMPUTED_VALUE"""),"Alfa")</f>
        <v>Alfa</v>
      </c>
      <c r="F155" s="49">
        <f ca="1">IFERROR(__xludf.DUMMYFUNCTION("""COMPUTED_VALUE"""),17500)</f>
        <v>17500</v>
      </c>
      <c r="G155" s="50" t="str">
        <f ca="1">IFERROR(__xludf.DUMMYFUNCTION("""COMPUTED_VALUE"""),"Ibal")</f>
        <v>Ibal</v>
      </c>
      <c r="H155" s="51">
        <f t="shared" ca="1" si="0"/>
        <v>46143</v>
      </c>
      <c r="I155" s="52" t="e">
        <f ca="1">SUMIFS(OUT!$F$2:$F$11000,OUT!$H$2:$H$11000,H155,OUT!$D$2:$D$101007,"In")</f>
        <v>#VALUE!</v>
      </c>
      <c r="J155" s="52">
        <f ca="1">SUMIFS(OUT!$F$2:$F$11000,OUT!$H$2:$H$11000,H155,OUT!$D$2:$D$11000,"Out")</f>
        <v>9490497</v>
      </c>
      <c r="K155" s="52">
        <f ca="1">SUMIFS(OUT!$F$2:$F$11000,OUT!$H$2:$H$11000,H155,OUT!$D$2:$D$11000,"Out",OUT!$E$2:$E$11000,"Fix")</f>
        <v>2703418</v>
      </c>
      <c r="L155" s="52">
        <f ca="1">SUMIFS(OUT!$F$2:$F$11000,OUT!$H$2:$H$11000,H155,OUT!$D$2:$D$11000,"Out",OUT!$E$2:$E$11000,"Bathroom")</f>
        <v>13000</v>
      </c>
      <c r="M155" s="52">
        <f ca="1">SUMIFS(OUT!$F$2:$F$11000,OUT!$H$2:$H$11000,H155,OUT!$D$2:$D$11000,"Out",OUT!$E$2:$E$11000,"Alfa")</f>
        <v>326872</v>
      </c>
      <c r="N155" s="52" t="e">
        <f ca="1">SUMIFS(OUT!$F$2:$F$11000,OUT!$H$2:$H$101007,H155,OUT!$D$2:$D$11000,"Out",OUT!$E$2:$E$11000,"Jajan")</f>
        <v>#VALUE!</v>
      </c>
      <c r="O155" s="52">
        <f ca="1">SUMIFS(OUT!$F$2:$F$11000,OUT!$H$2:$H$11000,H155,OUT!$D$2:$D$11000,"Out",OUT!$E$2:$E$11000,"Kitchen")</f>
        <v>902100</v>
      </c>
      <c r="P155" s="52">
        <f ca="1">SUMIFS(OUT!$F$2:$F$11000,OUT!$H$2:$H$11000,H155,OUT!$D$2:$D$11000,"Out",OUT!$E$2:$E$11000,"Loandry")</f>
        <v>42900</v>
      </c>
      <c r="Q155" s="52">
        <f ca="1">SUMIFS(OUT!$F$2:$F$11000,OUT!$H$2:$H$11000,H155,OUT!$D$2:$D$11000,"Out",OUT!$E$2:$E$11000,"Mio")</f>
        <v>732000</v>
      </c>
      <c r="R155" s="52">
        <f ca="1">SUMIFS(OUT!$F$2:$F$11000,OUT!$H$2:$H$11000,H155,OUT!$D$2:$D$11000,"Out",OUT!$E$2:$E$11000,"Sedekah")</f>
        <v>0</v>
      </c>
      <c r="S155" s="52">
        <f ca="1">SUMIFS(OUT!$F$2:$F$11000,OUT!$H$2:$H$11000,H155,OUT!$D$2:$D$11000,"Out",OUT!$E$2:$E$11000,"Zela")</f>
        <v>47011</v>
      </c>
      <c r="T155" s="52">
        <f ca="1">SUMIFS(OUT!$F$2:$F$11000,OUT!$H$2:$H$11000,H155,OUT!$D$2:$D$11000,"Out",OUT!$E$2:$E$11000,"Iqbal")</f>
        <v>251000</v>
      </c>
    </row>
    <row r="156" spans="1:20" x14ac:dyDescent="0.2">
      <c r="A156" s="48">
        <f ca="1">IFERROR(__xludf.DUMMYFUNCTION("""COMPUTED_VALUE"""),46149)</f>
        <v>46149</v>
      </c>
      <c r="B156" s="4" t="str">
        <f ca="1">IFERROR(__xludf.DUMMYFUNCTION("""COMPUTED_VALUE"""),"parkir giant")</f>
        <v>parkir giant</v>
      </c>
      <c r="C156" s="4" t="str">
        <f ca="1">IFERROR(__xludf.DUMMYFUNCTION("""COMPUTED_VALUE"""),"Cash")</f>
        <v>Cash</v>
      </c>
      <c r="D156" s="4" t="str">
        <f ca="1">IFERROR(__xludf.DUMMYFUNCTION("""COMPUTED_VALUE"""),"Out")</f>
        <v>Out</v>
      </c>
      <c r="E156" s="4" t="str">
        <f ca="1">IFERROR(__xludf.DUMMYFUNCTION("""COMPUTED_VALUE"""),"Jajan")</f>
        <v>Jajan</v>
      </c>
      <c r="F156" s="49">
        <f ca="1">IFERROR(__xludf.DUMMYFUNCTION("""COMPUTED_VALUE"""),3000)</f>
        <v>3000</v>
      </c>
      <c r="G156" s="50" t="str">
        <f ca="1">IFERROR(__xludf.DUMMYFUNCTION("""COMPUTED_VALUE"""),"Ibal")</f>
        <v>Ibal</v>
      </c>
      <c r="H156" s="51">
        <f t="shared" ca="1" si="0"/>
        <v>46143</v>
      </c>
      <c r="I156" s="52" t="e">
        <f ca="1">SUMIFS(OUT!$F$2:$F$11000,OUT!$H$2:$H$11000,H156,OUT!$D$2:$D$101007,"In")</f>
        <v>#VALUE!</v>
      </c>
      <c r="J156" s="52">
        <f ca="1">SUMIFS(OUT!$F$2:$F$11000,OUT!$H$2:$H$11000,H156,OUT!$D$2:$D$11000,"Out")</f>
        <v>9490497</v>
      </c>
      <c r="K156" s="52">
        <f ca="1">SUMIFS(OUT!$F$2:$F$11000,OUT!$H$2:$H$11000,H156,OUT!$D$2:$D$11000,"Out",OUT!$E$2:$E$11000,"Fix")</f>
        <v>2703418</v>
      </c>
      <c r="L156" s="52">
        <f ca="1">SUMIFS(OUT!$F$2:$F$11000,OUT!$H$2:$H$11000,H156,OUT!$D$2:$D$11000,"Out",OUT!$E$2:$E$11000,"Bathroom")</f>
        <v>13000</v>
      </c>
      <c r="M156" s="52">
        <f ca="1">SUMIFS(OUT!$F$2:$F$11000,OUT!$H$2:$H$11000,H156,OUT!$D$2:$D$11000,"Out",OUT!$E$2:$E$11000,"Alfa")</f>
        <v>326872</v>
      </c>
      <c r="N156" s="52" t="e">
        <f ca="1">SUMIFS(OUT!$F$2:$F$11000,OUT!$H$2:$H$101007,H156,OUT!$D$2:$D$11000,"Out",OUT!$E$2:$E$11000,"Jajan")</f>
        <v>#VALUE!</v>
      </c>
      <c r="O156" s="52">
        <f ca="1">SUMIFS(OUT!$F$2:$F$11000,OUT!$H$2:$H$11000,H156,OUT!$D$2:$D$11000,"Out",OUT!$E$2:$E$11000,"Kitchen")</f>
        <v>902100</v>
      </c>
      <c r="P156" s="52">
        <f ca="1">SUMIFS(OUT!$F$2:$F$11000,OUT!$H$2:$H$11000,H156,OUT!$D$2:$D$11000,"Out",OUT!$E$2:$E$11000,"Loandry")</f>
        <v>42900</v>
      </c>
      <c r="Q156" s="52">
        <f ca="1">SUMIFS(OUT!$F$2:$F$11000,OUT!$H$2:$H$11000,H156,OUT!$D$2:$D$11000,"Out",OUT!$E$2:$E$11000,"Mio")</f>
        <v>732000</v>
      </c>
      <c r="R156" s="52">
        <f ca="1">SUMIFS(OUT!$F$2:$F$11000,OUT!$H$2:$H$11000,H156,OUT!$D$2:$D$11000,"Out",OUT!$E$2:$E$11000,"Sedekah")</f>
        <v>0</v>
      </c>
      <c r="S156" s="52">
        <f ca="1">SUMIFS(OUT!$F$2:$F$11000,OUT!$H$2:$H$11000,H156,OUT!$D$2:$D$11000,"Out",OUT!$E$2:$E$11000,"Zela")</f>
        <v>47011</v>
      </c>
      <c r="T156" s="52">
        <f ca="1">SUMIFS(OUT!$F$2:$F$11000,OUT!$H$2:$H$11000,H156,OUT!$D$2:$D$11000,"Out",OUT!$E$2:$E$11000,"Iqbal")</f>
        <v>251000</v>
      </c>
    </row>
    <row r="157" spans="1:20" x14ac:dyDescent="0.2">
      <c r="A157" s="48">
        <f ca="1">IFERROR(__xludf.DUMMYFUNCTION("""COMPUTED_VALUE"""),46149)</f>
        <v>46149</v>
      </c>
      <c r="B157" s="4" t="str">
        <f ca="1">IFERROR(__xludf.DUMMYFUNCTION("""COMPUTED_VALUE"""),"gas")</f>
        <v>gas</v>
      </c>
      <c r="C157" s="4" t="str">
        <f ca="1">IFERROR(__xludf.DUMMYFUNCTION("""COMPUTED_VALUE"""),"Cash")</f>
        <v>Cash</v>
      </c>
      <c r="D157" s="4" t="str">
        <f ca="1">IFERROR(__xludf.DUMMYFUNCTION("""COMPUTED_VALUE"""),"Out")</f>
        <v>Out</v>
      </c>
      <c r="E157" s="4" t="str">
        <f ca="1">IFERROR(__xludf.DUMMYFUNCTION("""COMPUTED_VALUE"""),"Kitchen")</f>
        <v>Kitchen</v>
      </c>
      <c r="F157" s="49">
        <f ca="1">IFERROR(__xludf.DUMMYFUNCTION("""COMPUTED_VALUE"""),18000)</f>
        <v>18000</v>
      </c>
      <c r="G157" s="50" t="str">
        <f ca="1">IFERROR(__xludf.DUMMYFUNCTION("""COMPUTED_VALUE"""),"Ibal")</f>
        <v>Ibal</v>
      </c>
      <c r="H157" s="51">
        <f t="shared" ca="1" si="0"/>
        <v>46143</v>
      </c>
      <c r="I157" s="52" t="e">
        <f ca="1">SUMIFS(OUT!$F$2:$F$11000,OUT!$H$2:$H$11000,H157,OUT!$D$2:$D$101007,"In")</f>
        <v>#VALUE!</v>
      </c>
      <c r="J157" s="52">
        <f ca="1">SUMIFS(OUT!$F$2:$F$11000,OUT!$H$2:$H$11000,H157,OUT!$D$2:$D$11000,"Out")</f>
        <v>9490497</v>
      </c>
      <c r="K157" s="52">
        <f ca="1">SUMIFS(OUT!$F$2:$F$11000,OUT!$H$2:$H$11000,H157,OUT!$D$2:$D$11000,"Out",OUT!$E$2:$E$11000,"Fix")</f>
        <v>2703418</v>
      </c>
      <c r="L157" s="52">
        <f ca="1">SUMIFS(OUT!$F$2:$F$11000,OUT!$H$2:$H$11000,H157,OUT!$D$2:$D$11000,"Out",OUT!$E$2:$E$11000,"Bathroom")</f>
        <v>13000</v>
      </c>
      <c r="M157" s="52">
        <f ca="1">SUMIFS(OUT!$F$2:$F$11000,OUT!$H$2:$H$11000,H157,OUT!$D$2:$D$11000,"Out",OUT!$E$2:$E$11000,"Alfa")</f>
        <v>326872</v>
      </c>
      <c r="N157" s="52" t="e">
        <f ca="1">SUMIFS(OUT!$F$2:$F$11000,OUT!$H$2:$H$101007,H157,OUT!$D$2:$D$11000,"Out",OUT!$E$2:$E$11000,"Jajan")</f>
        <v>#VALUE!</v>
      </c>
      <c r="O157" s="52">
        <f ca="1">SUMIFS(OUT!$F$2:$F$11000,OUT!$H$2:$H$11000,H157,OUT!$D$2:$D$11000,"Out",OUT!$E$2:$E$11000,"Kitchen")</f>
        <v>902100</v>
      </c>
      <c r="P157" s="52">
        <f ca="1">SUMIFS(OUT!$F$2:$F$11000,OUT!$H$2:$H$11000,H157,OUT!$D$2:$D$11000,"Out",OUT!$E$2:$E$11000,"Loandry")</f>
        <v>42900</v>
      </c>
      <c r="Q157" s="52">
        <f ca="1">SUMIFS(OUT!$F$2:$F$11000,OUT!$H$2:$H$11000,H157,OUT!$D$2:$D$11000,"Out",OUT!$E$2:$E$11000,"Mio")</f>
        <v>732000</v>
      </c>
      <c r="R157" s="52">
        <f ca="1">SUMIFS(OUT!$F$2:$F$11000,OUT!$H$2:$H$11000,H157,OUT!$D$2:$D$11000,"Out",OUT!$E$2:$E$11000,"Sedekah")</f>
        <v>0</v>
      </c>
      <c r="S157" s="52">
        <f ca="1">SUMIFS(OUT!$F$2:$F$11000,OUT!$H$2:$H$11000,H157,OUT!$D$2:$D$11000,"Out",OUT!$E$2:$E$11000,"Zela")</f>
        <v>47011</v>
      </c>
      <c r="T157" s="52">
        <f ca="1">SUMIFS(OUT!$F$2:$F$11000,OUT!$H$2:$H$11000,H157,OUT!$D$2:$D$11000,"Out",OUT!$E$2:$E$11000,"Iqbal")</f>
        <v>251000</v>
      </c>
    </row>
    <row r="158" spans="1:20" x14ac:dyDescent="0.2">
      <c r="A158" s="48">
        <f ca="1">IFERROR(__xludf.DUMMYFUNCTION("""COMPUTED_VALUE"""),46149)</f>
        <v>46149</v>
      </c>
      <c r="B158" s="4" t="str">
        <f ca="1">IFERROR(__xludf.DUMMYFUNCTION("""COMPUTED_VALUE"""),"roti gabin")</f>
        <v>roti gabin</v>
      </c>
      <c r="C158" s="4" t="str">
        <f ca="1">IFERROR(__xludf.DUMMYFUNCTION("""COMPUTED_VALUE"""),"Cash")</f>
        <v>Cash</v>
      </c>
      <c r="D158" s="4" t="str">
        <f ca="1">IFERROR(__xludf.DUMMYFUNCTION("""COMPUTED_VALUE"""),"Out")</f>
        <v>Out</v>
      </c>
      <c r="E158" s="4" t="str">
        <f ca="1">IFERROR(__xludf.DUMMYFUNCTION("""COMPUTED_VALUE"""),"Jajan")</f>
        <v>Jajan</v>
      </c>
      <c r="F158" s="49">
        <f ca="1">IFERROR(__xludf.DUMMYFUNCTION("""COMPUTED_VALUE"""),8000)</f>
        <v>8000</v>
      </c>
      <c r="G158" s="50" t="str">
        <f ca="1">IFERROR(__xludf.DUMMYFUNCTION("""COMPUTED_VALUE"""),"Ibal")</f>
        <v>Ibal</v>
      </c>
      <c r="H158" s="51">
        <f t="shared" ca="1" si="0"/>
        <v>46143</v>
      </c>
      <c r="I158" s="52" t="e">
        <f ca="1">SUMIFS(OUT!$F$2:$F$11000,OUT!$H$2:$H$11000,H158,OUT!$D$2:$D$101007,"In")</f>
        <v>#VALUE!</v>
      </c>
      <c r="J158" s="52">
        <f ca="1">SUMIFS(OUT!$F$2:$F$11000,OUT!$H$2:$H$11000,H158,OUT!$D$2:$D$11000,"Out")</f>
        <v>9490497</v>
      </c>
      <c r="K158" s="52">
        <f ca="1">SUMIFS(OUT!$F$2:$F$11000,OUT!$H$2:$H$11000,H158,OUT!$D$2:$D$11000,"Out",OUT!$E$2:$E$11000,"Fix")</f>
        <v>2703418</v>
      </c>
      <c r="L158" s="52">
        <f ca="1">SUMIFS(OUT!$F$2:$F$11000,OUT!$H$2:$H$11000,H158,OUT!$D$2:$D$11000,"Out",OUT!$E$2:$E$11000,"Bathroom")</f>
        <v>13000</v>
      </c>
      <c r="M158" s="52">
        <f ca="1">SUMIFS(OUT!$F$2:$F$11000,OUT!$H$2:$H$11000,H158,OUT!$D$2:$D$11000,"Out",OUT!$E$2:$E$11000,"Alfa")</f>
        <v>326872</v>
      </c>
      <c r="N158" s="52" t="e">
        <f ca="1">SUMIFS(OUT!$F$2:$F$11000,OUT!$H$2:$H$101007,H158,OUT!$D$2:$D$11000,"Out",OUT!$E$2:$E$11000,"Jajan")</f>
        <v>#VALUE!</v>
      </c>
      <c r="O158" s="52">
        <f ca="1">SUMIFS(OUT!$F$2:$F$11000,OUT!$H$2:$H$11000,H158,OUT!$D$2:$D$11000,"Out",OUT!$E$2:$E$11000,"Kitchen")</f>
        <v>902100</v>
      </c>
      <c r="P158" s="52">
        <f ca="1">SUMIFS(OUT!$F$2:$F$11000,OUT!$H$2:$H$11000,H158,OUT!$D$2:$D$11000,"Out",OUT!$E$2:$E$11000,"Loandry")</f>
        <v>42900</v>
      </c>
      <c r="Q158" s="52">
        <f ca="1">SUMIFS(OUT!$F$2:$F$11000,OUT!$H$2:$H$11000,H158,OUT!$D$2:$D$11000,"Out",OUT!$E$2:$E$11000,"Mio")</f>
        <v>732000</v>
      </c>
      <c r="R158" s="52">
        <f ca="1">SUMIFS(OUT!$F$2:$F$11000,OUT!$H$2:$H$11000,H158,OUT!$D$2:$D$11000,"Out",OUT!$E$2:$E$11000,"Sedekah")</f>
        <v>0</v>
      </c>
      <c r="S158" s="52">
        <f ca="1">SUMIFS(OUT!$F$2:$F$11000,OUT!$H$2:$H$11000,H158,OUT!$D$2:$D$11000,"Out",OUT!$E$2:$E$11000,"Zela")</f>
        <v>47011</v>
      </c>
      <c r="T158" s="52">
        <f ca="1">SUMIFS(OUT!$F$2:$F$11000,OUT!$H$2:$H$11000,H158,OUT!$D$2:$D$11000,"Out",OUT!$E$2:$E$11000,"Iqbal")</f>
        <v>251000</v>
      </c>
    </row>
    <row r="159" spans="1:20" x14ac:dyDescent="0.2">
      <c r="A159" s="48">
        <f ca="1">IFERROR(__xludf.DUMMYFUNCTION("""COMPUTED_VALUE"""),46150)</f>
        <v>46150</v>
      </c>
      <c r="B159" s="4" t="str">
        <f ca="1">IFERROR(__xludf.DUMMYFUNCTION("""COMPUTED_VALUE"""),"Gaji April 2026")</f>
        <v>Gaji April 2026</v>
      </c>
      <c r="C159" s="4" t="str">
        <f ca="1">IFERROR(__xludf.DUMMYFUNCTION("""COMPUTED_VALUE"""),"ATM")</f>
        <v>ATM</v>
      </c>
      <c r="D159" s="4" t="str">
        <f ca="1">IFERROR(__xludf.DUMMYFUNCTION("""COMPUTED_VALUE"""),"In")</f>
        <v>In</v>
      </c>
      <c r="E159" s="4" t="str">
        <f ca="1">IFERROR(__xludf.DUMMYFUNCTION("""COMPUTED_VALUE"""),"Fix")</f>
        <v>Fix</v>
      </c>
      <c r="F159" s="49">
        <f ca="1">IFERROR(__xludf.DUMMYFUNCTION("""COMPUTED_VALUE"""),4398235)</f>
        <v>4398235</v>
      </c>
      <c r="G159" s="50" t="str">
        <f ca="1">IFERROR(__xludf.DUMMYFUNCTION("""COMPUTED_VALUE"""),"Ibal")</f>
        <v>Ibal</v>
      </c>
      <c r="H159" s="51">
        <f t="shared" ca="1" si="0"/>
        <v>46143</v>
      </c>
      <c r="I159" s="52" t="e">
        <f ca="1">SUMIFS(OUT!$F$2:$F$11000,OUT!$H$2:$H$11000,H159,OUT!$D$2:$D$101007,"In")</f>
        <v>#VALUE!</v>
      </c>
      <c r="J159" s="52">
        <f ca="1">SUMIFS(OUT!$F$2:$F$11000,OUT!$H$2:$H$11000,H159,OUT!$D$2:$D$11000,"Out")</f>
        <v>9490497</v>
      </c>
      <c r="K159" s="52">
        <f ca="1">SUMIFS(OUT!$F$2:$F$11000,OUT!$H$2:$H$11000,H159,OUT!$D$2:$D$11000,"Out",OUT!$E$2:$E$11000,"Fix")</f>
        <v>2703418</v>
      </c>
      <c r="L159" s="52">
        <f ca="1">SUMIFS(OUT!$F$2:$F$11000,OUT!$H$2:$H$11000,H159,OUT!$D$2:$D$11000,"Out",OUT!$E$2:$E$11000,"Bathroom")</f>
        <v>13000</v>
      </c>
      <c r="M159" s="52">
        <f ca="1">SUMIFS(OUT!$F$2:$F$11000,OUT!$H$2:$H$11000,H159,OUT!$D$2:$D$11000,"Out",OUT!$E$2:$E$11000,"Alfa")</f>
        <v>326872</v>
      </c>
      <c r="N159" s="52" t="e">
        <f ca="1">SUMIFS(OUT!$F$2:$F$11000,OUT!$H$2:$H$101007,H159,OUT!$D$2:$D$11000,"Out",OUT!$E$2:$E$11000,"Jajan")</f>
        <v>#VALUE!</v>
      </c>
      <c r="O159" s="52">
        <f ca="1">SUMIFS(OUT!$F$2:$F$11000,OUT!$H$2:$H$11000,H159,OUT!$D$2:$D$11000,"Out",OUT!$E$2:$E$11000,"Kitchen")</f>
        <v>902100</v>
      </c>
      <c r="P159" s="52">
        <f ca="1">SUMIFS(OUT!$F$2:$F$11000,OUT!$H$2:$H$11000,H159,OUT!$D$2:$D$11000,"Out",OUT!$E$2:$E$11000,"Loandry")</f>
        <v>42900</v>
      </c>
      <c r="Q159" s="52">
        <f ca="1">SUMIFS(OUT!$F$2:$F$11000,OUT!$H$2:$H$11000,H159,OUT!$D$2:$D$11000,"Out",OUT!$E$2:$E$11000,"Mio")</f>
        <v>732000</v>
      </c>
      <c r="R159" s="52">
        <f ca="1">SUMIFS(OUT!$F$2:$F$11000,OUT!$H$2:$H$11000,H159,OUT!$D$2:$D$11000,"Out",OUT!$E$2:$E$11000,"Sedekah")</f>
        <v>0</v>
      </c>
      <c r="S159" s="52">
        <f ca="1">SUMIFS(OUT!$F$2:$F$11000,OUT!$H$2:$H$11000,H159,OUT!$D$2:$D$11000,"Out",OUT!$E$2:$E$11000,"Zela")</f>
        <v>47011</v>
      </c>
      <c r="T159" s="52">
        <f ca="1">SUMIFS(OUT!$F$2:$F$11000,OUT!$H$2:$H$11000,H159,OUT!$D$2:$D$11000,"Out",OUT!$E$2:$E$11000,"Iqbal")</f>
        <v>251000</v>
      </c>
    </row>
    <row r="160" spans="1:20" x14ac:dyDescent="0.2">
      <c r="A160" s="48">
        <f ca="1">IFERROR(__xludf.DUMMYFUNCTION("""COMPUTED_VALUE"""),46150)</f>
        <v>46150</v>
      </c>
      <c r="B160" s="4" t="str">
        <f ca="1">IFERROR(__xludf.DUMMYFUNCTION("""COMPUTED_VALUE"""),"Tarik tunai")</f>
        <v>Tarik tunai</v>
      </c>
      <c r="C160" s="4" t="str">
        <f ca="1">IFERROR(__xludf.DUMMYFUNCTION("""COMPUTED_VALUE"""),"ATM")</f>
        <v>ATM</v>
      </c>
      <c r="D160" s="4" t="str">
        <f ca="1">IFERROR(__xludf.DUMMYFUNCTION("""COMPUTED_VALUE"""),"Out")</f>
        <v>Out</v>
      </c>
      <c r="E160" s="4" t="str">
        <f ca="1">IFERROR(__xludf.DUMMYFUNCTION("""COMPUTED_VALUE"""),"Move")</f>
        <v>Move</v>
      </c>
      <c r="F160" s="49">
        <f ca="1">IFERROR(__xludf.DUMMYFUNCTION("""COMPUTED_VALUE"""),400000)</f>
        <v>400000</v>
      </c>
      <c r="G160" s="50" t="str">
        <f ca="1">IFERROR(__xludf.DUMMYFUNCTION("""COMPUTED_VALUE"""),"Ibal")</f>
        <v>Ibal</v>
      </c>
      <c r="H160" s="51">
        <f t="shared" ca="1" si="0"/>
        <v>46143</v>
      </c>
      <c r="I160" s="52" t="e">
        <f ca="1">SUMIFS(OUT!$F$2:$F$11000,OUT!$H$2:$H$11000,H160,OUT!$D$2:$D$101007,"In")</f>
        <v>#VALUE!</v>
      </c>
      <c r="J160" s="52">
        <f ca="1">SUMIFS(OUT!$F$2:$F$11000,OUT!$H$2:$H$11000,H160,OUT!$D$2:$D$11000,"Out")</f>
        <v>9490497</v>
      </c>
      <c r="K160" s="52">
        <f ca="1">SUMIFS(OUT!$F$2:$F$11000,OUT!$H$2:$H$11000,H160,OUT!$D$2:$D$11000,"Out",OUT!$E$2:$E$11000,"Fix")</f>
        <v>2703418</v>
      </c>
      <c r="L160" s="52">
        <f ca="1">SUMIFS(OUT!$F$2:$F$11000,OUT!$H$2:$H$11000,H160,OUT!$D$2:$D$11000,"Out",OUT!$E$2:$E$11000,"Bathroom")</f>
        <v>13000</v>
      </c>
      <c r="M160" s="52">
        <f ca="1">SUMIFS(OUT!$F$2:$F$11000,OUT!$H$2:$H$11000,H160,OUT!$D$2:$D$11000,"Out",OUT!$E$2:$E$11000,"Alfa")</f>
        <v>326872</v>
      </c>
      <c r="N160" s="52" t="e">
        <f ca="1">SUMIFS(OUT!$F$2:$F$11000,OUT!$H$2:$H$101007,H160,OUT!$D$2:$D$11000,"Out",OUT!$E$2:$E$11000,"Jajan")</f>
        <v>#VALUE!</v>
      </c>
      <c r="O160" s="52">
        <f ca="1">SUMIFS(OUT!$F$2:$F$11000,OUT!$H$2:$H$11000,H160,OUT!$D$2:$D$11000,"Out",OUT!$E$2:$E$11000,"Kitchen")</f>
        <v>902100</v>
      </c>
      <c r="P160" s="52">
        <f ca="1">SUMIFS(OUT!$F$2:$F$11000,OUT!$H$2:$H$11000,H160,OUT!$D$2:$D$11000,"Out",OUT!$E$2:$E$11000,"Loandry")</f>
        <v>42900</v>
      </c>
      <c r="Q160" s="52">
        <f ca="1">SUMIFS(OUT!$F$2:$F$11000,OUT!$H$2:$H$11000,H160,OUT!$D$2:$D$11000,"Out",OUT!$E$2:$E$11000,"Mio")</f>
        <v>732000</v>
      </c>
      <c r="R160" s="52">
        <f ca="1">SUMIFS(OUT!$F$2:$F$11000,OUT!$H$2:$H$11000,H160,OUT!$D$2:$D$11000,"Out",OUT!$E$2:$E$11000,"Sedekah")</f>
        <v>0</v>
      </c>
      <c r="S160" s="52">
        <f ca="1">SUMIFS(OUT!$F$2:$F$11000,OUT!$H$2:$H$11000,H160,OUT!$D$2:$D$11000,"Out",OUT!$E$2:$E$11000,"Zela")</f>
        <v>47011</v>
      </c>
      <c r="T160" s="52">
        <f ca="1">SUMIFS(OUT!$F$2:$F$11000,OUT!$H$2:$H$11000,H160,OUT!$D$2:$D$11000,"Out",OUT!$E$2:$E$11000,"Iqbal")</f>
        <v>251000</v>
      </c>
    </row>
    <row r="161" spans="1:20" x14ac:dyDescent="0.2">
      <c r="A161" s="48">
        <f ca="1">IFERROR(__xludf.DUMMYFUNCTION("""COMPUTED_VALUE"""),46150)</f>
        <v>46150</v>
      </c>
      <c r="B161" s="4" t="str">
        <f ca="1">IFERROR(__xludf.DUMMYFUNCTION("""COMPUTED_VALUE"""),"Teirma Tunai")</f>
        <v>Teirma Tunai</v>
      </c>
      <c r="C161" s="4" t="str">
        <f ca="1">IFERROR(__xludf.DUMMYFUNCTION("""COMPUTED_VALUE"""),"Cash")</f>
        <v>Cash</v>
      </c>
      <c r="D161" s="4" t="str">
        <f ca="1">IFERROR(__xludf.DUMMYFUNCTION("""COMPUTED_VALUE"""),"In")</f>
        <v>In</v>
      </c>
      <c r="E161" s="4" t="str">
        <f ca="1">IFERROR(__xludf.DUMMYFUNCTION("""COMPUTED_VALUE"""),"Move")</f>
        <v>Move</v>
      </c>
      <c r="F161" s="49">
        <f ca="1">IFERROR(__xludf.DUMMYFUNCTION("""COMPUTED_VALUE"""),400000)</f>
        <v>400000</v>
      </c>
      <c r="G161" s="50" t="str">
        <f ca="1">IFERROR(__xludf.DUMMYFUNCTION("""COMPUTED_VALUE"""),"Ibal")</f>
        <v>Ibal</v>
      </c>
      <c r="H161" s="51">
        <f t="shared" ca="1" si="0"/>
        <v>46143</v>
      </c>
      <c r="I161" s="52" t="e">
        <f ca="1">SUMIFS(OUT!$F$2:$F$11000,OUT!$H$2:$H$11000,H161,OUT!$D$2:$D$101007,"In")</f>
        <v>#VALUE!</v>
      </c>
      <c r="J161" s="52">
        <f ca="1">SUMIFS(OUT!$F$2:$F$11000,OUT!$H$2:$H$11000,H161,OUT!$D$2:$D$11000,"Out")</f>
        <v>9490497</v>
      </c>
      <c r="K161" s="52">
        <f ca="1">SUMIFS(OUT!$F$2:$F$11000,OUT!$H$2:$H$11000,H161,OUT!$D$2:$D$11000,"Out",OUT!$E$2:$E$11000,"Fix")</f>
        <v>2703418</v>
      </c>
      <c r="L161" s="52">
        <f ca="1">SUMIFS(OUT!$F$2:$F$11000,OUT!$H$2:$H$11000,H161,OUT!$D$2:$D$11000,"Out",OUT!$E$2:$E$11000,"Bathroom")</f>
        <v>13000</v>
      </c>
      <c r="M161" s="52">
        <f ca="1">SUMIFS(OUT!$F$2:$F$11000,OUT!$H$2:$H$11000,H161,OUT!$D$2:$D$11000,"Out",OUT!$E$2:$E$11000,"Alfa")</f>
        <v>326872</v>
      </c>
      <c r="N161" s="52" t="e">
        <f ca="1">SUMIFS(OUT!$F$2:$F$11000,OUT!$H$2:$H$101007,H161,OUT!$D$2:$D$11000,"Out",OUT!$E$2:$E$11000,"Jajan")</f>
        <v>#VALUE!</v>
      </c>
      <c r="O161" s="52">
        <f ca="1">SUMIFS(OUT!$F$2:$F$11000,OUT!$H$2:$H$11000,H161,OUT!$D$2:$D$11000,"Out",OUT!$E$2:$E$11000,"Kitchen")</f>
        <v>902100</v>
      </c>
      <c r="P161" s="52">
        <f ca="1">SUMIFS(OUT!$F$2:$F$11000,OUT!$H$2:$H$11000,H161,OUT!$D$2:$D$11000,"Out",OUT!$E$2:$E$11000,"Loandry")</f>
        <v>42900</v>
      </c>
      <c r="Q161" s="52">
        <f ca="1">SUMIFS(OUT!$F$2:$F$11000,OUT!$H$2:$H$11000,H161,OUT!$D$2:$D$11000,"Out",OUT!$E$2:$E$11000,"Mio")</f>
        <v>732000</v>
      </c>
      <c r="R161" s="52">
        <f ca="1">SUMIFS(OUT!$F$2:$F$11000,OUT!$H$2:$H$11000,H161,OUT!$D$2:$D$11000,"Out",OUT!$E$2:$E$11000,"Sedekah")</f>
        <v>0</v>
      </c>
      <c r="S161" s="52">
        <f ca="1">SUMIFS(OUT!$F$2:$F$11000,OUT!$H$2:$H$11000,H161,OUT!$D$2:$D$11000,"Out",OUT!$E$2:$E$11000,"Zela")</f>
        <v>47011</v>
      </c>
      <c r="T161" s="52">
        <f ca="1">SUMIFS(OUT!$F$2:$F$11000,OUT!$H$2:$H$11000,H161,OUT!$D$2:$D$11000,"Out",OUT!$E$2:$E$11000,"Iqbal")</f>
        <v>251000</v>
      </c>
    </row>
    <row r="162" spans="1:20" x14ac:dyDescent="0.2">
      <c r="A162" s="48">
        <f ca="1">IFERROR(__xludf.DUMMYFUNCTION("""COMPUTED_VALUE"""),46150)</f>
        <v>46150</v>
      </c>
      <c r="B162" s="4" t="str">
        <f ca="1">IFERROR(__xludf.DUMMYFUNCTION("""COMPUTED_VALUE"""),"Iqbal Shopee (8)")</f>
        <v>Iqbal Shopee (8)</v>
      </c>
      <c r="C162" s="4" t="str">
        <f ca="1">IFERROR(__xludf.DUMMYFUNCTION("""COMPUTED_VALUE"""),"ATM")</f>
        <v>ATM</v>
      </c>
      <c r="D162" s="4" t="str">
        <f ca="1">IFERROR(__xludf.DUMMYFUNCTION("""COMPUTED_VALUE"""),"Out")</f>
        <v>Out</v>
      </c>
      <c r="E162" s="4" t="str">
        <f ca="1">IFERROR(__xludf.DUMMYFUNCTION("""COMPUTED_VALUE"""),"Fix")</f>
        <v>Fix</v>
      </c>
      <c r="F162" s="49">
        <f ca="1">IFERROR(__xludf.DUMMYFUNCTION("""COMPUTED_VALUE"""),624137)</f>
        <v>624137</v>
      </c>
      <c r="G162" s="50" t="str">
        <f ca="1">IFERROR(__xludf.DUMMYFUNCTION("""COMPUTED_VALUE"""),"Ibal")</f>
        <v>Ibal</v>
      </c>
      <c r="H162" s="51">
        <f t="shared" ca="1" si="0"/>
        <v>46143</v>
      </c>
      <c r="I162" s="52" t="e">
        <f ca="1">SUMIFS(OUT!$F$2:$F$11000,OUT!$H$2:$H$11000,H162,OUT!$D$2:$D$101007,"In")</f>
        <v>#VALUE!</v>
      </c>
      <c r="J162" s="52">
        <f ca="1">SUMIFS(OUT!$F$2:$F$11000,OUT!$H$2:$H$11000,H162,OUT!$D$2:$D$11000,"Out")</f>
        <v>9490497</v>
      </c>
      <c r="K162" s="52">
        <f ca="1">SUMIFS(OUT!$F$2:$F$11000,OUT!$H$2:$H$11000,H162,OUT!$D$2:$D$11000,"Out",OUT!$E$2:$E$11000,"Fix")</f>
        <v>2703418</v>
      </c>
      <c r="L162" s="52">
        <f ca="1">SUMIFS(OUT!$F$2:$F$11000,OUT!$H$2:$H$11000,H162,OUT!$D$2:$D$11000,"Out",OUT!$E$2:$E$11000,"Bathroom")</f>
        <v>13000</v>
      </c>
      <c r="M162" s="52">
        <f ca="1">SUMIFS(OUT!$F$2:$F$11000,OUT!$H$2:$H$11000,H162,OUT!$D$2:$D$11000,"Out",OUT!$E$2:$E$11000,"Alfa")</f>
        <v>326872</v>
      </c>
      <c r="N162" s="52" t="e">
        <f ca="1">SUMIFS(OUT!$F$2:$F$11000,OUT!$H$2:$H$101007,H162,OUT!$D$2:$D$11000,"Out",OUT!$E$2:$E$11000,"Jajan")</f>
        <v>#VALUE!</v>
      </c>
      <c r="O162" s="52">
        <f ca="1">SUMIFS(OUT!$F$2:$F$11000,OUT!$H$2:$H$11000,H162,OUT!$D$2:$D$11000,"Out",OUT!$E$2:$E$11000,"Kitchen")</f>
        <v>902100</v>
      </c>
      <c r="P162" s="52">
        <f ca="1">SUMIFS(OUT!$F$2:$F$11000,OUT!$H$2:$H$11000,H162,OUT!$D$2:$D$11000,"Out",OUT!$E$2:$E$11000,"Loandry")</f>
        <v>42900</v>
      </c>
      <c r="Q162" s="52">
        <f ca="1">SUMIFS(OUT!$F$2:$F$11000,OUT!$H$2:$H$11000,H162,OUT!$D$2:$D$11000,"Out",OUT!$E$2:$E$11000,"Mio")</f>
        <v>732000</v>
      </c>
      <c r="R162" s="52">
        <f ca="1">SUMIFS(OUT!$F$2:$F$11000,OUT!$H$2:$H$11000,H162,OUT!$D$2:$D$11000,"Out",OUT!$E$2:$E$11000,"Sedekah")</f>
        <v>0</v>
      </c>
      <c r="S162" s="52">
        <f ca="1">SUMIFS(OUT!$F$2:$F$11000,OUT!$H$2:$H$11000,H162,OUT!$D$2:$D$11000,"Out",OUT!$E$2:$E$11000,"Zela")</f>
        <v>47011</v>
      </c>
      <c r="T162" s="52">
        <f ca="1">SUMIFS(OUT!$F$2:$F$11000,OUT!$H$2:$H$11000,H162,OUT!$D$2:$D$11000,"Out",OUT!$E$2:$E$11000,"Iqbal")</f>
        <v>251000</v>
      </c>
    </row>
    <row r="163" spans="1:20" x14ac:dyDescent="0.2">
      <c r="A163" s="48">
        <f ca="1">IFERROR(__xludf.DUMMYFUNCTION("""COMPUTED_VALUE"""),46150)</f>
        <v>46150</v>
      </c>
      <c r="B163" s="4" t="str">
        <f ca="1">IFERROR(__xludf.DUMMYFUNCTION("""COMPUTED_VALUE"""),"Kulkas (5)")</f>
        <v>Kulkas (5)</v>
      </c>
      <c r="C163" s="4" t="str">
        <f ca="1">IFERROR(__xludf.DUMMYFUNCTION("""COMPUTED_VALUE"""),"ATM")</f>
        <v>ATM</v>
      </c>
      <c r="D163" s="4" t="str">
        <f ca="1">IFERROR(__xludf.DUMMYFUNCTION("""COMPUTED_VALUE"""),"Out")</f>
        <v>Out</v>
      </c>
      <c r="E163" s="4" t="str">
        <f ca="1">IFERROR(__xludf.DUMMYFUNCTION("""COMPUTED_VALUE"""),"Fix")</f>
        <v>Fix</v>
      </c>
      <c r="F163" s="49">
        <f ca="1">IFERROR(__xludf.DUMMYFUNCTION("""COMPUTED_VALUE"""),279187)</f>
        <v>279187</v>
      </c>
      <c r="G163" s="50" t="str">
        <f ca="1">IFERROR(__xludf.DUMMYFUNCTION("""COMPUTED_VALUE"""),"Ibal")</f>
        <v>Ibal</v>
      </c>
      <c r="H163" s="51">
        <f t="shared" ca="1" si="0"/>
        <v>46143</v>
      </c>
      <c r="I163" s="52" t="e">
        <f ca="1">SUMIFS(OUT!$F$2:$F$11000,OUT!$H$2:$H$11000,H163,OUT!$D$2:$D$101007,"In")</f>
        <v>#VALUE!</v>
      </c>
      <c r="J163" s="52">
        <f ca="1">SUMIFS(OUT!$F$2:$F$11000,OUT!$H$2:$H$11000,H163,OUT!$D$2:$D$11000,"Out")</f>
        <v>9490497</v>
      </c>
      <c r="K163" s="52">
        <f ca="1">SUMIFS(OUT!$F$2:$F$11000,OUT!$H$2:$H$11000,H163,OUT!$D$2:$D$11000,"Out",OUT!$E$2:$E$11000,"Fix")</f>
        <v>2703418</v>
      </c>
      <c r="L163" s="52">
        <f ca="1">SUMIFS(OUT!$F$2:$F$11000,OUT!$H$2:$H$11000,H163,OUT!$D$2:$D$11000,"Out",OUT!$E$2:$E$11000,"Bathroom")</f>
        <v>13000</v>
      </c>
      <c r="M163" s="52">
        <f ca="1">SUMIFS(OUT!$F$2:$F$11000,OUT!$H$2:$H$11000,H163,OUT!$D$2:$D$11000,"Out",OUT!$E$2:$E$11000,"Alfa")</f>
        <v>326872</v>
      </c>
      <c r="N163" s="52" t="e">
        <f ca="1">SUMIFS(OUT!$F$2:$F$11000,OUT!$H$2:$H$101007,H163,OUT!$D$2:$D$11000,"Out",OUT!$E$2:$E$11000,"Jajan")</f>
        <v>#VALUE!</v>
      </c>
      <c r="O163" s="52">
        <f ca="1">SUMIFS(OUT!$F$2:$F$11000,OUT!$H$2:$H$11000,H163,OUT!$D$2:$D$11000,"Out",OUT!$E$2:$E$11000,"Kitchen")</f>
        <v>902100</v>
      </c>
      <c r="P163" s="52">
        <f ca="1">SUMIFS(OUT!$F$2:$F$11000,OUT!$H$2:$H$11000,H163,OUT!$D$2:$D$11000,"Out",OUT!$E$2:$E$11000,"Loandry")</f>
        <v>42900</v>
      </c>
      <c r="Q163" s="52">
        <f ca="1">SUMIFS(OUT!$F$2:$F$11000,OUT!$H$2:$H$11000,H163,OUT!$D$2:$D$11000,"Out",OUT!$E$2:$E$11000,"Mio")</f>
        <v>732000</v>
      </c>
      <c r="R163" s="52">
        <f ca="1">SUMIFS(OUT!$F$2:$F$11000,OUT!$H$2:$H$11000,H163,OUT!$D$2:$D$11000,"Out",OUT!$E$2:$E$11000,"Sedekah")</f>
        <v>0</v>
      </c>
      <c r="S163" s="52">
        <f ca="1">SUMIFS(OUT!$F$2:$F$11000,OUT!$H$2:$H$11000,H163,OUT!$D$2:$D$11000,"Out",OUT!$E$2:$E$11000,"Zela")</f>
        <v>47011</v>
      </c>
      <c r="T163" s="52">
        <f ca="1">SUMIFS(OUT!$F$2:$F$11000,OUT!$H$2:$H$11000,H163,OUT!$D$2:$D$11000,"Out",OUT!$E$2:$E$11000,"Iqbal")</f>
        <v>251000</v>
      </c>
    </row>
    <row r="164" spans="1:20" x14ac:dyDescent="0.2">
      <c r="A164" s="48">
        <f ca="1">IFERROR(__xludf.DUMMYFUNCTION("""COMPUTED_VALUE"""),46150)</f>
        <v>46150</v>
      </c>
      <c r="B164" s="4" t="str">
        <f ca="1">IFERROR(__xludf.DUMMYFUNCTION("""COMPUTED_VALUE"""),"Bracket TV (3)")</f>
        <v>Bracket TV (3)</v>
      </c>
      <c r="C164" s="4" t="str">
        <f ca="1">IFERROR(__xludf.DUMMYFUNCTION("""COMPUTED_VALUE"""),"ATM")</f>
        <v>ATM</v>
      </c>
      <c r="D164" s="4" t="str">
        <f ca="1">IFERROR(__xludf.DUMMYFUNCTION("""COMPUTED_VALUE"""),"Out")</f>
        <v>Out</v>
      </c>
      <c r="E164" s="4" t="str">
        <f ca="1">IFERROR(__xludf.DUMMYFUNCTION("""COMPUTED_VALUE"""),"Fix")</f>
        <v>Fix</v>
      </c>
      <c r="F164" s="49">
        <f ca="1">IFERROR(__xludf.DUMMYFUNCTION("""COMPUTED_VALUE"""),20602)</f>
        <v>20602</v>
      </c>
      <c r="G164" s="50" t="str">
        <f ca="1">IFERROR(__xludf.DUMMYFUNCTION("""COMPUTED_VALUE"""),"Ibal")</f>
        <v>Ibal</v>
      </c>
      <c r="H164" s="51">
        <f t="shared" ca="1" si="0"/>
        <v>46143</v>
      </c>
      <c r="I164" s="52" t="e">
        <f ca="1">SUMIFS(OUT!$F$2:$F$11000,OUT!$H$2:$H$11000,H164,OUT!$D$2:$D$101007,"In")</f>
        <v>#VALUE!</v>
      </c>
      <c r="J164" s="52">
        <f ca="1">SUMIFS(OUT!$F$2:$F$11000,OUT!$H$2:$H$11000,H164,OUT!$D$2:$D$11000,"Out")</f>
        <v>9490497</v>
      </c>
      <c r="K164" s="52">
        <f ca="1">SUMIFS(OUT!$F$2:$F$11000,OUT!$H$2:$H$11000,H164,OUT!$D$2:$D$11000,"Out",OUT!$E$2:$E$11000,"Fix")</f>
        <v>2703418</v>
      </c>
      <c r="L164" s="52">
        <f ca="1">SUMIFS(OUT!$F$2:$F$11000,OUT!$H$2:$H$11000,H164,OUT!$D$2:$D$11000,"Out",OUT!$E$2:$E$11000,"Bathroom")</f>
        <v>13000</v>
      </c>
      <c r="M164" s="52">
        <f ca="1">SUMIFS(OUT!$F$2:$F$11000,OUT!$H$2:$H$11000,H164,OUT!$D$2:$D$11000,"Out",OUT!$E$2:$E$11000,"Alfa")</f>
        <v>326872</v>
      </c>
      <c r="N164" s="52" t="e">
        <f ca="1">SUMIFS(OUT!$F$2:$F$11000,OUT!$H$2:$H$101007,H164,OUT!$D$2:$D$11000,"Out",OUT!$E$2:$E$11000,"Jajan")</f>
        <v>#VALUE!</v>
      </c>
      <c r="O164" s="52">
        <f ca="1">SUMIFS(OUT!$F$2:$F$11000,OUT!$H$2:$H$11000,H164,OUT!$D$2:$D$11000,"Out",OUT!$E$2:$E$11000,"Kitchen")</f>
        <v>902100</v>
      </c>
      <c r="P164" s="52">
        <f ca="1">SUMIFS(OUT!$F$2:$F$11000,OUT!$H$2:$H$11000,H164,OUT!$D$2:$D$11000,"Out",OUT!$E$2:$E$11000,"Loandry")</f>
        <v>42900</v>
      </c>
      <c r="Q164" s="52">
        <f ca="1">SUMIFS(OUT!$F$2:$F$11000,OUT!$H$2:$H$11000,H164,OUT!$D$2:$D$11000,"Out",OUT!$E$2:$E$11000,"Mio")</f>
        <v>732000</v>
      </c>
      <c r="R164" s="52">
        <f ca="1">SUMIFS(OUT!$F$2:$F$11000,OUT!$H$2:$H$11000,H164,OUT!$D$2:$D$11000,"Out",OUT!$E$2:$E$11000,"Sedekah")</f>
        <v>0</v>
      </c>
      <c r="S164" s="52">
        <f ca="1">SUMIFS(OUT!$F$2:$F$11000,OUT!$H$2:$H$11000,H164,OUT!$D$2:$D$11000,"Out",OUT!$E$2:$E$11000,"Zela")</f>
        <v>47011</v>
      </c>
      <c r="T164" s="52">
        <f ca="1">SUMIFS(OUT!$F$2:$F$11000,OUT!$H$2:$H$11000,H164,OUT!$D$2:$D$11000,"Out",OUT!$E$2:$E$11000,"Iqbal")</f>
        <v>251000</v>
      </c>
    </row>
    <row r="165" spans="1:20" x14ac:dyDescent="0.2">
      <c r="A165" s="48">
        <f ca="1">IFERROR(__xludf.DUMMYFUNCTION("""COMPUTED_VALUE"""),46150)</f>
        <v>46150</v>
      </c>
      <c r="B165" s="4" t="str">
        <f ca="1">IFERROR(__xludf.DUMMYFUNCTION("""COMPUTED_VALUE"""),"Antenna TV (3)")</f>
        <v>Antenna TV (3)</v>
      </c>
      <c r="C165" s="4" t="str">
        <f ca="1">IFERROR(__xludf.DUMMYFUNCTION("""COMPUTED_VALUE"""),"ATM")</f>
        <v>ATM</v>
      </c>
      <c r="D165" s="4" t="str">
        <f ca="1">IFERROR(__xludf.DUMMYFUNCTION("""COMPUTED_VALUE"""),"Out")</f>
        <v>Out</v>
      </c>
      <c r="E165" s="4" t="str">
        <f ca="1">IFERROR(__xludf.DUMMYFUNCTION("""COMPUTED_VALUE"""),"Fix")</f>
        <v>Fix</v>
      </c>
      <c r="F165" s="49">
        <f ca="1">IFERROR(__xludf.DUMMYFUNCTION("""COMPUTED_VALUE"""),53080)</f>
        <v>53080</v>
      </c>
      <c r="G165" s="50" t="str">
        <f ca="1">IFERROR(__xludf.DUMMYFUNCTION("""COMPUTED_VALUE"""),"Ibal")</f>
        <v>Ibal</v>
      </c>
      <c r="H165" s="51">
        <f t="shared" ca="1" si="0"/>
        <v>46143</v>
      </c>
      <c r="I165" s="52" t="e">
        <f ca="1">SUMIFS(OUT!$F$2:$F$11000,OUT!$H$2:$H$11000,H165,OUT!$D$2:$D$101007,"In")</f>
        <v>#VALUE!</v>
      </c>
      <c r="J165" s="52">
        <f ca="1">SUMIFS(OUT!$F$2:$F$11000,OUT!$H$2:$H$11000,H165,OUT!$D$2:$D$11000,"Out")</f>
        <v>9490497</v>
      </c>
      <c r="K165" s="52">
        <f ca="1">SUMIFS(OUT!$F$2:$F$11000,OUT!$H$2:$H$11000,H165,OUT!$D$2:$D$11000,"Out",OUT!$E$2:$E$11000,"Fix")</f>
        <v>2703418</v>
      </c>
      <c r="L165" s="52">
        <f ca="1">SUMIFS(OUT!$F$2:$F$11000,OUT!$H$2:$H$11000,H165,OUT!$D$2:$D$11000,"Out",OUT!$E$2:$E$11000,"Bathroom")</f>
        <v>13000</v>
      </c>
      <c r="M165" s="52">
        <f ca="1">SUMIFS(OUT!$F$2:$F$11000,OUT!$H$2:$H$11000,H165,OUT!$D$2:$D$11000,"Out",OUT!$E$2:$E$11000,"Alfa")</f>
        <v>326872</v>
      </c>
      <c r="N165" s="52" t="e">
        <f ca="1">SUMIFS(OUT!$F$2:$F$11000,OUT!$H$2:$H$101007,H165,OUT!$D$2:$D$11000,"Out",OUT!$E$2:$E$11000,"Jajan")</f>
        <v>#VALUE!</v>
      </c>
      <c r="O165" s="52">
        <f ca="1">SUMIFS(OUT!$F$2:$F$11000,OUT!$H$2:$H$11000,H165,OUT!$D$2:$D$11000,"Out",OUT!$E$2:$E$11000,"Kitchen")</f>
        <v>902100</v>
      </c>
      <c r="P165" s="52">
        <f ca="1">SUMIFS(OUT!$F$2:$F$11000,OUT!$H$2:$H$11000,H165,OUT!$D$2:$D$11000,"Out",OUT!$E$2:$E$11000,"Loandry")</f>
        <v>42900</v>
      </c>
      <c r="Q165" s="52">
        <f ca="1">SUMIFS(OUT!$F$2:$F$11000,OUT!$H$2:$H$11000,H165,OUT!$D$2:$D$11000,"Out",OUT!$E$2:$E$11000,"Mio")</f>
        <v>732000</v>
      </c>
      <c r="R165" s="52">
        <f ca="1">SUMIFS(OUT!$F$2:$F$11000,OUT!$H$2:$H$11000,H165,OUT!$D$2:$D$11000,"Out",OUT!$E$2:$E$11000,"Sedekah")</f>
        <v>0</v>
      </c>
      <c r="S165" s="52">
        <f ca="1">SUMIFS(OUT!$F$2:$F$11000,OUT!$H$2:$H$11000,H165,OUT!$D$2:$D$11000,"Out",OUT!$E$2:$E$11000,"Zela")</f>
        <v>47011</v>
      </c>
      <c r="T165" s="52">
        <f ca="1">SUMIFS(OUT!$F$2:$F$11000,OUT!$H$2:$H$11000,H165,OUT!$D$2:$D$11000,"Out",OUT!$E$2:$E$11000,"Iqbal")</f>
        <v>251000</v>
      </c>
    </row>
    <row r="166" spans="1:20" x14ac:dyDescent="0.2">
      <c r="A166" s="48">
        <f ca="1">IFERROR(__xludf.DUMMYFUNCTION("""COMPUTED_VALUE"""),46150)</f>
        <v>46150</v>
      </c>
      <c r="B166" s="4" t="str">
        <f ca="1">IFERROR(__xludf.DUMMYFUNCTION("""COMPUTED_VALUE"""),"Kable Duct (3)")</f>
        <v>Kable Duct (3)</v>
      </c>
      <c r="C166" s="4" t="str">
        <f ca="1">IFERROR(__xludf.DUMMYFUNCTION("""COMPUTED_VALUE"""),"ATM")</f>
        <v>ATM</v>
      </c>
      <c r="D166" s="4" t="str">
        <f ca="1">IFERROR(__xludf.DUMMYFUNCTION("""COMPUTED_VALUE"""),"Out")</f>
        <v>Out</v>
      </c>
      <c r="E166" s="4" t="str">
        <f ca="1">IFERROR(__xludf.DUMMYFUNCTION("""COMPUTED_VALUE"""),"Fix")</f>
        <v>Fix</v>
      </c>
      <c r="F166" s="49">
        <f ca="1">IFERROR(__xludf.DUMMYFUNCTION("""COMPUTED_VALUE"""),17541)</f>
        <v>17541</v>
      </c>
      <c r="G166" s="50" t="str">
        <f ca="1">IFERROR(__xludf.DUMMYFUNCTION("""COMPUTED_VALUE"""),"Ibal")</f>
        <v>Ibal</v>
      </c>
      <c r="H166" s="51">
        <f t="shared" ca="1" si="0"/>
        <v>46143</v>
      </c>
      <c r="I166" s="52" t="e">
        <f ca="1">SUMIFS(OUT!$F$2:$F$11000,OUT!$H$2:$H$11000,H166,OUT!$D$2:$D$101007,"In")</f>
        <v>#VALUE!</v>
      </c>
      <c r="J166" s="52">
        <f ca="1">SUMIFS(OUT!$F$2:$F$11000,OUT!$H$2:$H$11000,H166,OUT!$D$2:$D$11000,"Out")</f>
        <v>9490497</v>
      </c>
      <c r="K166" s="52">
        <f ca="1">SUMIFS(OUT!$F$2:$F$11000,OUT!$H$2:$H$11000,H166,OUT!$D$2:$D$11000,"Out",OUT!$E$2:$E$11000,"Fix")</f>
        <v>2703418</v>
      </c>
      <c r="L166" s="52">
        <f ca="1">SUMIFS(OUT!$F$2:$F$11000,OUT!$H$2:$H$11000,H166,OUT!$D$2:$D$11000,"Out",OUT!$E$2:$E$11000,"Bathroom")</f>
        <v>13000</v>
      </c>
      <c r="M166" s="52">
        <f ca="1">SUMIFS(OUT!$F$2:$F$11000,OUT!$H$2:$H$11000,H166,OUT!$D$2:$D$11000,"Out",OUT!$E$2:$E$11000,"Alfa")</f>
        <v>326872</v>
      </c>
      <c r="N166" s="52" t="e">
        <f ca="1">SUMIFS(OUT!$F$2:$F$11000,OUT!$H$2:$H$101007,H166,OUT!$D$2:$D$11000,"Out",OUT!$E$2:$E$11000,"Jajan")</f>
        <v>#VALUE!</v>
      </c>
      <c r="O166" s="52">
        <f ca="1">SUMIFS(OUT!$F$2:$F$11000,OUT!$H$2:$H$11000,H166,OUT!$D$2:$D$11000,"Out",OUT!$E$2:$E$11000,"Kitchen")</f>
        <v>902100</v>
      </c>
      <c r="P166" s="52">
        <f ca="1">SUMIFS(OUT!$F$2:$F$11000,OUT!$H$2:$H$11000,H166,OUT!$D$2:$D$11000,"Out",OUT!$E$2:$E$11000,"Loandry")</f>
        <v>42900</v>
      </c>
      <c r="Q166" s="52">
        <f ca="1">SUMIFS(OUT!$F$2:$F$11000,OUT!$H$2:$H$11000,H166,OUT!$D$2:$D$11000,"Out",OUT!$E$2:$E$11000,"Mio")</f>
        <v>732000</v>
      </c>
      <c r="R166" s="52">
        <f ca="1">SUMIFS(OUT!$F$2:$F$11000,OUT!$H$2:$H$11000,H166,OUT!$D$2:$D$11000,"Out",OUT!$E$2:$E$11000,"Sedekah")</f>
        <v>0</v>
      </c>
      <c r="S166" s="52">
        <f ca="1">SUMIFS(OUT!$F$2:$F$11000,OUT!$H$2:$H$11000,H166,OUT!$D$2:$D$11000,"Out",OUT!$E$2:$E$11000,"Zela")</f>
        <v>47011</v>
      </c>
      <c r="T166" s="52">
        <f ca="1">SUMIFS(OUT!$F$2:$F$11000,OUT!$H$2:$H$11000,H166,OUT!$D$2:$D$11000,"Out",OUT!$E$2:$E$11000,"Iqbal")</f>
        <v>251000</v>
      </c>
    </row>
    <row r="167" spans="1:20" x14ac:dyDescent="0.2">
      <c r="A167" s="48">
        <f ca="1">IFERROR(__xludf.DUMMYFUNCTION("""COMPUTED_VALUE"""),46150)</f>
        <v>46150</v>
      </c>
      <c r="B167" s="4" t="str">
        <f ca="1">IFERROR(__xludf.DUMMYFUNCTION("""COMPUTED_VALUE"""),"istriku")</f>
        <v>istriku</v>
      </c>
      <c r="C167" s="4" t="str">
        <f ca="1">IFERROR(__xludf.DUMMYFUNCTION("""COMPUTED_VALUE"""),"ATM")</f>
        <v>ATM</v>
      </c>
      <c r="D167" s="4" t="str">
        <f ca="1">IFERROR(__xludf.DUMMYFUNCTION("""COMPUTED_VALUE"""),"Out")</f>
        <v>Out</v>
      </c>
      <c r="E167" s="4" t="str">
        <f ca="1">IFERROR(__xludf.DUMMYFUNCTION("""COMPUTED_VALUE"""),"Move")</f>
        <v>Move</v>
      </c>
      <c r="F167" s="49">
        <f ca="1">IFERROR(__xludf.DUMMYFUNCTION("""COMPUTED_VALUE"""),1450000)</f>
        <v>1450000</v>
      </c>
      <c r="G167" s="50" t="str">
        <f ca="1">IFERROR(__xludf.DUMMYFUNCTION("""COMPUTED_VALUE"""),"Ibal")</f>
        <v>Ibal</v>
      </c>
      <c r="H167" s="51">
        <f t="shared" ca="1" si="0"/>
        <v>46143</v>
      </c>
      <c r="I167" s="52" t="e">
        <f ca="1">SUMIFS(OUT!$F$2:$F$11000,OUT!$H$2:$H$11000,H167,OUT!$D$2:$D$101007,"In")</f>
        <v>#VALUE!</v>
      </c>
      <c r="J167" s="52">
        <f ca="1">SUMIFS(OUT!$F$2:$F$11000,OUT!$H$2:$H$11000,H167,OUT!$D$2:$D$11000,"Out")</f>
        <v>9490497</v>
      </c>
      <c r="K167" s="52">
        <f ca="1">SUMIFS(OUT!$F$2:$F$11000,OUT!$H$2:$H$11000,H167,OUT!$D$2:$D$11000,"Out",OUT!$E$2:$E$11000,"Fix")</f>
        <v>2703418</v>
      </c>
      <c r="L167" s="52">
        <f ca="1">SUMIFS(OUT!$F$2:$F$11000,OUT!$H$2:$H$11000,H167,OUT!$D$2:$D$11000,"Out",OUT!$E$2:$E$11000,"Bathroom")</f>
        <v>13000</v>
      </c>
      <c r="M167" s="52">
        <f ca="1">SUMIFS(OUT!$F$2:$F$11000,OUT!$H$2:$H$11000,H167,OUT!$D$2:$D$11000,"Out",OUT!$E$2:$E$11000,"Alfa")</f>
        <v>326872</v>
      </c>
      <c r="N167" s="52" t="e">
        <f ca="1">SUMIFS(OUT!$F$2:$F$11000,OUT!$H$2:$H$101007,H167,OUT!$D$2:$D$11000,"Out",OUT!$E$2:$E$11000,"Jajan")</f>
        <v>#VALUE!</v>
      </c>
      <c r="O167" s="52">
        <f ca="1">SUMIFS(OUT!$F$2:$F$11000,OUT!$H$2:$H$11000,H167,OUT!$D$2:$D$11000,"Out",OUT!$E$2:$E$11000,"Kitchen")</f>
        <v>902100</v>
      </c>
      <c r="P167" s="52">
        <f ca="1">SUMIFS(OUT!$F$2:$F$11000,OUT!$H$2:$H$11000,H167,OUT!$D$2:$D$11000,"Out",OUT!$E$2:$E$11000,"Loandry")</f>
        <v>42900</v>
      </c>
      <c r="Q167" s="52">
        <f ca="1">SUMIFS(OUT!$F$2:$F$11000,OUT!$H$2:$H$11000,H167,OUT!$D$2:$D$11000,"Out",OUT!$E$2:$E$11000,"Mio")</f>
        <v>732000</v>
      </c>
      <c r="R167" s="52">
        <f ca="1">SUMIFS(OUT!$F$2:$F$11000,OUT!$H$2:$H$11000,H167,OUT!$D$2:$D$11000,"Out",OUT!$E$2:$E$11000,"Sedekah")</f>
        <v>0</v>
      </c>
      <c r="S167" s="52">
        <f ca="1">SUMIFS(OUT!$F$2:$F$11000,OUT!$H$2:$H$11000,H167,OUT!$D$2:$D$11000,"Out",OUT!$E$2:$E$11000,"Zela")</f>
        <v>47011</v>
      </c>
      <c r="T167" s="52">
        <f ca="1">SUMIFS(OUT!$F$2:$F$11000,OUT!$H$2:$H$11000,H167,OUT!$D$2:$D$11000,"Out",OUT!$E$2:$E$11000,"Iqbal")</f>
        <v>251000</v>
      </c>
    </row>
    <row r="168" spans="1:20" x14ac:dyDescent="0.2">
      <c r="A168" s="48">
        <f ca="1">IFERROR(__xludf.DUMMYFUNCTION("""COMPUTED_VALUE"""),46150)</f>
        <v>46150</v>
      </c>
      <c r="B168" s="4" t="str">
        <f ca="1">IFERROR(__xludf.DUMMYFUNCTION("""COMPUTED_VALUE"""),"istriku")</f>
        <v>istriku</v>
      </c>
      <c r="C168" s="4" t="str">
        <f ca="1">IFERROR(__xludf.DUMMYFUNCTION("""COMPUTED_VALUE"""),"Cash")</f>
        <v>Cash</v>
      </c>
      <c r="D168" s="4" t="str">
        <f ca="1">IFERROR(__xludf.DUMMYFUNCTION("""COMPUTED_VALUE"""),"Out")</f>
        <v>Out</v>
      </c>
      <c r="E168" s="4" t="str">
        <f ca="1">IFERROR(__xludf.DUMMYFUNCTION("""COMPUTED_VALUE"""),"Move")</f>
        <v>Move</v>
      </c>
      <c r="F168" s="49">
        <f ca="1">IFERROR(__xludf.DUMMYFUNCTION("""COMPUTED_VALUE"""),2500)</f>
        <v>2500</v>
      </c>
      <c r="G168" s="50" t="str">
        <f ca="1">IFERROR(__xludf.DUMMYFUNCTION("""COMPUTED_VALUE"""),"Ibal")</f>
        <v>Ibal</v>
      </c>
      <c r="H168" s="51">
        <f t="shared" ca="1" si="0"/>
        <v>46143</v>
      </c>
      <c r="I168" s="52" t="e">
        <f ca="1">SUMIFS(OUT!$F$2:$F$11000,OUT!$H$2:$H$11000,H168,OUT!$D$2:$D$101007,"In")</f>
        <v>#VALUE!</v>
      </c>
      <c r="J168" s="52">
        <f ca="1">SUMIFS(OUT!$F$2:$F$11000,OUT!$H$2:$H$11000,H168,OUT!$D$2:$D$11000,"Out")</f>
        <v>9490497</v>
      </c>
      <c r="K168" s="52">
        <f ca="1">SUMIFS(OUT!$F$2:$F$11000,OUT!$H$2:$H$11000,H168,OUT!$D$2:$D$11000,"Out",OUT!$E$2:$E$11000,"Fix")</f>
        <v>2703418</v>
      </c>
      <c r="L168" s="52">
        <f ca="1">SUMIFS(OUT!$F$2:$F$11000,OUT!$H$2:$H$11000,H168,OUT!$D$2:$D$11000,"Out",OUT!$E$2:$E$11000,"Bathroom")</f>
        <v>13000</v>
      </c>
      <c r="M168" s="52">
        <f ca="1">SUMIFS(OUT!$F$2:$F$11000,OUT!$H$2:$H$11000,H168,OUT!$D$2:$D$11000,"Out",OUT!$E$2:$E$11000,"Alfa")</f>
        <v>326872</v>
      </c>
      <c r="N168" s="52" t="e">
        <f ca="1">SUMIFS(OUT!$F$2:$F$11000,OUT!$H$2:$H$101007,H168,OUT!$D$2:$D$11000,"Out",OUT!$E$2:$E$11000,"Jajan")</f>
        <v>#VALUE!</v>
      </c>
      <c r="O168" s="52">
        <f ca="1">SUMIFS(OUT!$F$2:$F$11000,OUT!$H$2:$H$11000,H168,OUT!$D$2:$D$11000,"Out",OUT!$E$2:$E$11000,"Kitchen")</f>
        <v>902100</v>
      </c>
      <c r="P168" s="52">
        <f ca="1">SUMIFS(OUT!$F$2:$F$11000,OUT!$H$2:$H$11000,H168,OUT!$D$2:$D$11000,"Out",OUT!$E$2:$E$11000,"Loandry")</f>
        <v>42900</v>
      </c>
      <c r="Q168" s="52">
        <f ca="1">SUMIFS(OUT!$F$2:$F$11000,OUT!$H$2:$H$11000,H168,OUT!$D$2:$D$11000,"Out",OUT!$E$2:$E$11000,"Mio")</f>
        <v>732000</v>
      </c>
      <c r="R168" s="52">
        <f ca="1">SUMIFS(OUT!$F$2:$F$11000,OUT!$H$2:$H$11000,H168,OUT!$D$2:$D$11000,"Out",OUT!$E$2:$E$11000,"Sedekah")</f>
        <v>0</v>
      </c>
      <c r="S168" s="52">
        <f ca="1">SUMIFS(OUT!$F$2:$F$11000,OUT!$H$2:$H$11000,H168,OUT!$D$2:$D$11000,"Out",OUT!$E$2:$E$11000,"Zela")</f>
        <v>47011</v>
      </c>
      <c r="T168" s="52">
        <f ca="1">SUMIFS(OUT!$F$2:$F$11000,OUT!$H$2:$H$11000,H168,OUT!$D$2:$D$11000,"Out",OUT!$E$2:$E$11000,"Iqbal")</f>
        <v>251000</v>
      </c>
    </row>
    <row r="169" spans="1:20" x14ac:dyDescent="0.2">
      <c r="A169" s="48">
        <f ca="1">IFERROR(__xludf.DUMMYFUNCTION("""COMPUTED_VALUE"""),46150)</f>
        <v>46150</v>
      </c>
      <c r="B169" s="4" t="str">
        <f ca="1">IFERROR(__xludf.DUMMYFUNCTION("""COMPUTED_VALUE"""),"byu 7gb (30 hari)")</f>
        <v>byu 7gb (30 hari)</v>
      </c>
      <c r="C169" s="4" t="str">
        <f ca="1">IFERROR(__xludf.DUMMYFUNCTION("""COMPUTED_VALUE"""),"ATM")</f>
        <v>ATM</v>
      </c>
      <c r="D169" s="4" t="str">
        <f ca="1">IFERROR(__xludf.DUMMYFUNCTION("""COMPUTED_VALUE"""),"Out")</f>
        <v>Out</v>
      </c>
      <c r="E169" s="4" t="str">
        <f ca="1">IFERROR(__xludf.DUMMYFUNCTION("""COMPUTED_VALUE"""),"Fix")</f>
        <v>Fix</v>
      </c>
      <c r="F169" s="49">
        <f ca="1">IFERROR(__xludf.DUMMYFUNCTION("""COMPUTED_VALUE"""),38000)</f>
        <v>38000</v>
      </c>
      <c r="G169" s="50" t="str">
        <f ca="1">IFERROR(__xludf.DUMMYFUNCTION("""COMPUTED_VALUE"""),"Ibal")</f>
        <v>Ibal</v>
      </c>
      <c r="H169" s="51">
        <f t="shared" ca="1" si="0"/>
        <v>46143</v>
      </c>
      <c r="I169" s="52" t="e">
        <f ca="1">SUMIFS(OUT!$F$2:$F$11000,OUT!$H$2:$H$11000,H169,OUT!$D$2:$D$101007,"In")</f>
        <v>#VALUE!</v>
      </c>
      <c r="J169" s="52">
        <f ca="1">SUMIFS(OUT!$F$2:$F$11000,OUT!$H$2:$H$11000,H169,OUT!$D$2:$D$11000,"Out")</f>
        <v>9490497</v>
      </c>
      <c r="K169" s="52">
        <f ca="1">SUMIFS(OUT!$F$2:$F$11000,OUT!$H$2:$H$11000,H169,OUT!$D$2:$D$11000,"Out",OUT!$E$2:$E$11000,"Fix")</f>
        <v>2703418</v>
      </c>
      <c r="L169" s="52">
        <f ca="1">SUMIFS(OUT!$F$2:$F$11000,OUT!$H$2:$H$11000,H169,OUT!$D$2:$D$11000,"Out",OUT!$E$2:$E$11000,"Bathroom")</f>
        <v>13000</v>
      </c>
      <c r="M169" s="52">
        <f ca="1">SUMIFS(OUT!$F$2:$F$11000,OUT!$H$2:$H$11000,H169,OUT!$D$2:$D$11000,"Out",OUT!$E$2:$E$11000,"Alfa")</f>
        <v>326872</v>
      </c>
      <c r="N169" s="52" t="e">
        <f ca="1">SUMIFS(OUT!$F$2:$F$11000,OUT!$H$2:$H$101007,H169,OUT!$D$2:$D$11000,"Out",OUT!$E$2:$E$11000,"Jajan")</f>
        <v>#VALUE!</v>
      </c>
      <c r="O169" s="52">
        <f ca="1">SUMIFS(OUT!$F$2:$F$11000,OUT!$H$2:$H$11000,H169,OUT!$D$2:$D$11000,"Out",OUT!$E$2:$E$11000,"Kitchen")</f>
        <v>902100</v>
      </c>
      <c r="P169" s="52">
        <f ca="1">SUMIFS(OUT!$F$2:$F$11000,OUT!$H$2:$H$11000,H169,OUT!$D$2:$D$11000,"Out",OUT!$E$2:$E$11000,"Loandry")</f>
        <v>42900</v>
      </c>
      <c r="Q169" s="52">
        <f ca="1">SUMIFS(OUT!$F$2:$F$11000,OUT!$H$2:$H$11000,H169,OUT!$D$2:$D$11000,"Out",OUT!$E$2:$E$11000,"Mio")</f>
        <v>732000</v>
      </c>
      <c r="R169" s="52">
        <f ca="1">SUMIFS(OUT!$F$2:$F$11000,OUT!$H$2:$H$11000,H169,OUT!$D$2:$D$11000,"Out",OUT!$E$2:$E$11000,"Sedekah")</f>
        <v>0</v>
      </c>
      <c r="S169" s="52">
        <f ca="1">SUMIFS(OUT!$F$2:$F$11000,OUT!$H$2:$H$11000,H169,OUT!$D$2:$D$11000,"Out",OUT!$E$2:$E$11000,"Zela")</f>
        <v>47011</v>
      </c>
      <c r="T169" s="52">
        <f ca="1">SUMIFS(OUT!$F$2:$F$11000,OUT!$H$2:$H$11000,H169,OUT!$D$2:$D$11000,"Out",OUT!$E$2:$E$11000,"Iqbal")</f>
        <v>251000</v>
      </c>
    </row>
    <row r="170" spans="1:20" x14ac:dyDescent="0.2">
      <c r="A170" s="48">
        <f ca="1">IFERROR(__xludf.DUMMYFUNCTION("""COMPUTED_VALUE"""),46152)</f>
        <v>46152</v>
      </c>
      <c r="B170" s="4" t="str">
        <f ca="1">IFERROR(__xludf.DUMMYFUNCTION("""COMPUTED_VALUE"""),"Istriku")</f>
        <v>Istriku</v>
      </c>
      <c r="C170" s="4" t="str">
        <f ca="1">IFERROR(__xludf.DUMMYFUNCTION("""COMPUTED_VALUE"""),"ATM")</f>
        <v>ATM</v>
      </c>
      <c r="D170" s="4" t="str">
        <f ca="1">IFERROR(__xludf.DUMMYFUNCTION("""COMPUTED_VALUE"""),"Out")</f>
        <v>Out</v>
      </c>
      <c r="E170" s="4" t="str">
        <f ca="1">IFERROR(__xludf.DUMMYFUNCTION("""COMPUTED_VALUE"""),"Move")</f>
        <v>Move</v>
      </c>
      <c r="F170" s="49">
        <f ca="1">IFERROR(__xludf.DUMMYFUNCTION("""COMPUTED_VALUE"""),15000)</f>
        <v>15000</v>
      </c>
      <c r="G170" s="50" t="str">
        <f ca="1">IFERROR(__xludf.DUMMYFUNCTION("""COMPUTED_VALUE"""),"Ibal")</f>
        <v>Ibal</v>
      </c>
      <c r="H170" s="51">
        <f t="shared" ca="1" si="0"/>
        <v>46143</v>
      </c>
      <c r="I170" s="52" t="e">
        <f ca="1">SUMIFS(OUT!$F$2:$F$11000,OUT!$H$2:$H$11000,H170,OUT!$D$2:$D$101007,"In")</f>
        <v>#VALUE!</v>
      </c>
      <c r="J170" s="52">
        <f ca="1">SUMIFS(OUT!$F$2:$F$11000,OUT!$H$2:$H$11000,H170,OUT!$D$2:$D$11000,"Out")</f>
        <v>9490497</v>
      </c>
      <c r="K170" s="52">
        <f ca="1">SUMIFS(OUT!$F$2:$F$11000,OUT!$H$2:$H$11000,H170,OUT!$D$2:$D$11000,"Out",OUT!$E$2:$E$11000,"Fix")</f>
        <v>2703418</v>
      </c>
      <c r="L170" s="52">
        <f ca="1">SUMIFS(OUT!$F$2:$F$11000,OUT!$H$2:$H$11000,H170,OUT!$D$2:$D$11000,"Out",OUT!$E$2:$E$11000,"Bathroom")</f>
        <v>13000</v>
      </c>
      <c r="M170" s="52">
        <f ca="1">SUMIFS(OUT!$F$2:$F$11000,OUT!$H$2:$H$11000,H170,OUT!$D$2:$D$11000,"Out",OUT!$E$2:$E$11000,"Alfa")</f>
        <v>326872</v>
      </c>
      <c r="N170" s="52" t="e">
        <f ca="1">SUMIFS(OUT!$F$2:$F$11000,OUT!$H$2:$H$101007,H170,OUT!$D$2:$D$11000,"Out",OUT!$E$2:$E$11000,"Jajan")</f>
        <v>#VALUE!</v>
      </c>
      <c r="O170" s="52">
        <f ca="1">SUMIFS(OUT!$F$2:$F$11000,OUT!$H$2:$H$11000,H170,OUT!$D$2:$D$11000,"Out",OUT!$E$2:$E$11000,"Kitchen")</f>
        <v>902100</v>
      </c>
      <c r="P170" s="52">
        <f ca="1">SUMIFS(OUT!$F$2:$F$11000,OUT!$H$2:$H$11000,H170,OUT!$D$2:$D$11000,"Out",OUT!$E$2:$E$11000,"Loandry")</f>
        <v>42900</v>
      </c>
      <c r="Q170" s="52">
        <f ca="1">SUMIFS(OUT!$F$2:$F$11000,OUT!$H$2:$H$11000,H170,OUT!$D$2:$D$11000,"Out",OUT!$E$2:$E$11000,"Mio")</f>
        <v>732000</v>
      </c>
      <c r="R170" s="52">
        <f ca="1">SUMIFS(OUT!$F$2:$F$11000,OUT!$H$2:$H$11000,H170,OUT!$D$2:$D$11000,"Out",OUT!$E$2:$E$11000,"Sedekah")</f>
        <v>0</v>
      </c>
      <c r="S170" s="52">
        <f ca="1">SUMIFS(OUT!$F$2:$F$11000,OUT!$H$2:$H$11000,H170,OUT!$D$2:$D$11000,"Out",OUT!$E$2:$E$11000,"Zela")</f>
        <v>47011</v>
      </c>
      <c r="T170" s="52">
        <f ca="1">SUMIFS(OUT!$F$2:$F$11000,OUT!$H$2:$H$11000,H170,OUT!$D$2:$D$11000,"Out",OUT!$E$2:$E$11000,"Iqbal")</f>
        <v>251000</v>
      </c>
    </row>
    <row r="171" spans="1:20" x14ac:dyDescent="0.2">
      <c r="A171" s="48">
        <f ca="1">IFERROR(__xludf.DUMMYFUNCTION("""COMPUTED_VALUE"""),46159)</f>
        <v>46159</v>
      </c>
      <c r="B171" s="4" t="str">
        <f ca="1">IFERROR(__xludf.DUMMYFUNCTION("""COMPUTED_VALUE"""),"Eskrim J Chicken")</f>
        <v>Eskrim J Chicken</v>
      </c>
      <c r="C171" s="4" t="str">
        <f ca="1">IFERROR(__xludf.DUMMYFUNCTION("""COMPUTED_VALUE"""),"ATM")</f>
        <v>ATM</v>
      </c>
      <c r="D171" s="4" t="str">
        <f ca="1">IFERROR(__xludf.DUMMYFUNCTION("""COMPUTED_VALUE"""),"Out")</f>
        <v>Out</v>
      </c>
      <c r="E171" s="4" t="str">
        <f ca="1">IFERROR(__xludf.DUMMYFUNCTION("""COMPUTED_VALUE"""),"Jajan")</f>
        <v>Jajan</v>
      </c>
      <c r="F171" s="49">
        <f ca="1">IFERROR(__xludf.DUMMYFUNCTION("""COMPUTED_VALUE"""),1000)</f>
        <v>1000</v>
      </c>
      <c r="G171" s="50" t="str">
        <f ca="1">IFERROR(__xludf.DUMMYFUNCTION("""COMPUTED_VALUE"""),"Ibal")</f>
        <v>Ibal</v>
      </c>
      <c r="H171" s="51">
        <f t="shared" ca="1" si="0"/>
        <v>46143</v>
      </c>
      <c r="I171" s="52" t="e">
        <f ca="1">SUMIFS(OUT!$F$2:$F$11000,OUT!$H$2:$H$11000,H171,OUT!$D$2:$D$101007,"In")</f>
        <v>#VALUE!</v>
      </c>
      <c r="J171" s="52">
        <f ca="1">SUMIFS(OUT!$F$2:$F$11000,OUT!$H$2:$H$11000,H171,OUT!$D$2:$D$11000,"Out")</f>
        <v>9490497</v>
      </c>
      <c r="K171" s="52">
        <f ca="1">SUMIFS(OUT!$F$2:$F$11000,OUT!$H$2:$H$11000,H171,OUT!$D$2:$D$11000,"Out",OUT!$E$2:$E$11000,"Fix")</f>
        <v>2703418</v>
      </c>
      <c r="L171" s="52">
        <f ca="1">SUMIFS(OUT!$F$2:$F$11000,OUT!$H$2:$H$11000,H171,OUT!$D$2:$D$11000,"Out",OUT!$E$2:$E$11000,"Bathroom")</f>
        <v>13000</v>
      </c>
      <c r="M171" s="52">
        <f ca="1">SUMIFS(OUT!$F$2:$F$11000,OUT!$H$2:$H$11000,H171,OUT!$D$2:$D$11000,"Out",OUT!$E$2:$E$11000,"Alfa")</f>
        <v>326872</v>
      </c>
      <c r="N171" s="52" t="e">
        <f ca="1">SUMIFS(OUT!$F$2:$F$11000,OUT!$H$2:$H$101007,H171,OUT!$D$2:$D$11000,"Out",OUT!$E$2:$E$11000,"Jajan")</f>
        <v>#VALUE!</v>
      </c>
      <c r="O171" s="52">
        <f ca="1">SUMIFS(OUT!$F$2:$F$11000,OUT!$H$2:$H$11000,H171,OUT!$D$2:$D$11000,"Out",OUT!$E$2:$E$11000,"Kitchen")</f>
        <v>902100</v>
      </c>
      <c r="P171" s="52">
        <f ca="1">SUMIFS(OUT!$F$2:$F$11000,OUT!$H$2:$H$11000,H171,OUT!$D$2:$D$11000,"Out",OUT!$E$2:$E$11000,"Loandry")</f>
        <v>42900</v>
      </c>
      <c r="Q171" s="52">
        <f ca="1">SUMIFS(OUT!$F$2:$F$11000,OUT!$H$2:$H$11000,H171,OUT!$D$2:$D$11000,"Out",OUT!$E$2:$E$11000,"Mio")</f>
        <v>732000</v>
      </c>
      <c r="R171" s="52">
        <f ca="1">SUMIFS(OUT!$F$2:$F$11000,OUT!$H$2:$H$11000,H171,OUT!$D$2:$D$11000,"Out",OUT!$E$2:$E$11000,"Sedekah")</f>
        <v>0</v>
      </c>
      <c r="S171" s="52">
        <f ca="1">SUMIFS(OUT!$F$2:$F$11000,OUT!$H$2:$H$11000,H171,OUT!$D$2:$D$11000,"Out",OUT!$E$2:$E$11000,"Zela")</f>
        <v>47011</v>
      </c>
      <c r="T171" s="52">
        <f ca="1">SUMIFS(OUT!$F$2:$F$11000,OUT!$H$2:$H$11000,H171,OUT!$D$2:$D$11000,"Out",OUT!$E$2:$E$11000,"Iqbal")</f>
        <v>251000</v>
      </c>
    </row>
    <row r="172" spans="1:20" x14ac:dyDescent="0.2">
      <c r="A172" s="48">
        <f ca="1">IFERROR(__xludf.DUMMYFUNCTION("""COMPUTED_VALUE"""),46160)</f>
        <v>46160</v>
      </c>
      <c r="B172" s="4" t="str">
        <f ca="1">IFERROR(__xludf.DUMMYFUNCTION("""COMPUTED_VALUE"""),"Shopee (Z)")</f>
        <v>Shopee (Z)</v>
      </c>
      <c r="C172" s="4" t="str">
        <f ca="1">IFERROR(__xludf.DUMMYFUNCTION("""COMPUTED_VALUE"""),"ATM")</f>
        <v>ATM</v>
      </c>
      <c r="D172" s="4" t="str">
        <f ca="1">IFERROR(__xludf.DUMMYFUNCTION("""COMPUTED_VALUE"""),"In")</f>
        <v>In</v>
      </c>
      <c r="E172" s="4" t="str">
        <f ca="1">IFERROR(__xludf.DUMMYFUNCTION("""COMPUTED_VALUE"""),"Fix")</f>
        <v>Fix</v>
      </c>
      <c r="F172" s="49">
        <f ca="1">IFERROR(__xludf.DUMMYFUNCTION("""COMPUTED_VALUE"""),300000)</f>
        <v>300000</v>
      </c>
      <c r="G172" s="50" t="str">
        <f ca="1">IFERROR(__xludf.DUMMYFUNCTION("""COMPUTED_VALUE"""),"Ibal")</f>
        <v>Ibal</v>
      </c>
      <c r="H172" s="51">
        <f t="shared" ca="1" si="0"/>
        <v>46143</v>
      </c>
      <c r="I172" s="52" t="e">
        <f ca="1">SUMIFS(OUT!$F$2:$F$11000,OUT!$H$2:$H$11000,H172,OUT!$D$2:$D$101007,"In")</f>
        <v>#VALUE!</v>
      </c>
      <c r="J172" s="52">
        <f ca="1">SUMIFS(OUT!$F$2:$F$11000,OUT!$H$2:$H$11000,H172,OUT!$D$2:$D$11000,"Out")</f>
        <v>9490497</v>
      </c>
      <c r="K172" s="52">
        <f ca="1">SUMIFS(OUT!$F$2:$F$11000,OUT!$H$2:$H$11000,H172,OUT!$D$2:$D$11000,"Out",OUT!$E$2:$E$11000,"Fix")</f>
        <v>2703418</v>
      </c>
      <c r="L172" s="52">
        <f ca="1">SUMIFS(OUT!$F$2:$F$11000,OUT!$H$2:$H$11000,H172,OUT!$D$2:$D$11000,"Out",OUT!$E$2:$E$11000,"Bathroom")</f>
        <v>13000</v>
      </c>
      <c r="M172" s="52">
        <f ca="1">SUMIFS(OUT!$F$2:$F$11000,OUT!$H$2:$H$11000,H172,OUT!$D$2:$D$11000,"Out",OUT!$E$2:$E$11000,"Alfa")</f>
        <v>326872</v>
      </c>
      <c r="N172" s="52" t="e">
        <f ca="1">SUMIFS(OUT!$F$2:$F$11000,OUT!$H$2:$H$101007,H172,OUT!$D$2:$D$11000,"Out",OUT!$E$2:$E$11000,"Jajan")</f>
        <v>#VALUE!</v>
      </c>
      <c r="O172" s="52">
        <f ca="1">SUMIFS(OUT!$F$2:$F$11000,OUT!$H$2:$H$11000,H172,OUT!$D$2:$D$11000,"Out",OUT!$E$2:$E$11000,"Kitchen")</f>
        <v>902100</v>
      </c>
      <c r="P172" s="52">
        <f ca="1">SUMIFS(OUT!$F$2:$F$11000,OUT!$H$2:$H$11000,H172,OUT!$D$2:$D$11000,"Out",OUT!$E$2:$E$11000,"Loandry")</f>
        <v>42900</v>
      </c>
      <c r="Q172" s="52">
        <f ca="1">SUMIFS(OUT!$F$2:$F$11000,OUT!$H$2:$H$11000,H172,OUT!$D$2:$D$11000,"Out",OUT!$E$2:$E$11000,"Mio")</f>
        <v>732000</v>
      </c>
      <c r="R172" s="52">
        <f ca="1">SUMIFS(OUT!$F$2:$F$11000,OUT!$H$2:$H$11000,H172,OUT!$D$2:$D$11000,"Out",OUT!$E$2:$E$11000,"Sedekah")</f>
        <v>0</v>
      </c>
      <c r="S172" s="52">
        <f ca="1">SUMIFS(OUT!$F$2:$F$11000,OUT!$H$2:$H$11000,H172,OUT!$D$2:$D$11000,"Out",OUT!$E$2:$E$11000,"Zela")</f>
        <v>47011</v>
      </c>
      <c r="T172" s="52">
        <f ca="1">SUMIFS(OUT!$F$2:$F$11000,OUT!$H$2:$H$11000,H172,OUT!$D$2:$D$11000,"Out",OUT!$E$2:$E$11000,"Iqbal")</f>
        <v>251000</v>
      </c>
    </row>
    <row r="173" spans="1:20" x14ac:dyDescent="0.2">
      <c r="A173" s="48">
        <f ca="1">IFERROR(__xludf.DUMMYFUNCTION("""COMPUTED_VALUE"""),46160)</f>
        <v>46160</v>
      </c>
      <c r="B173" s="4" t="str">
        <f ca="1">IFERROR(__xludf.DUMMYFUNCTION("""COMPUTED_VALUE"""),"service cvt, komstir, busi, seal2 puli belakang")</f>
        <v>service cvt, komstir, busi, seal2 puli belakang</v>
      </c>
      <c r="C173" s="4" t="str">
        <f ca="1">IFERROR(__xludf.DUMMYFUNCTION("""COMPUTED_VALUE"""),"ATM")</f>
        <v>ATM</v>
      </c>
      <c r="D173" s="4" t="str">
        <f ca="1">IFERROR(__xludf.DUMMYFUNCTION("""COMPUTED_VALUE"""),"Out")</f>
        <v>Out</v>
      </c>
      <c r="E173" s="4" t="str">
        <f ca="1">IFERROR(__xludf.DUMMYFUNCTION("""COMPUTED_VALUE"""),"Mio")</f>
        <v>Mio</v>
      </c>
      <c r="F173" s="49">
        <f ca="1">IFERROR(__xludf.DUMMYFUNCTION("""COMPUTED_VALUE"""),290000)</f>
        <v>290000</v>
      </c>
      <c r="G173" s="50" t="str">
        <f ca="1">IFERROR(__xludf.DUMMYFUNCTION("""COMPUTED_VALUE"""),"Ibal")</f>
        <v>Ibal</v>
      </c>
      <c r="H173" s="51">
        <f t="shared" ca="1" si="0"/>
        <v>46143</v>
      </c>
      <c r="I173" s="52" t="e">
        <f ca="1">SUMIFS(OUT!$F$2:$F$11000,OUT!$H$2:$H$11000,H173,OUT!$D$2:$D$101007,"In")</f>
        <v>#VALUE!</v>
      </c>
      <c r="J173" s="52">
        <f ca="1">SUMIFS(OUT!$F$2:$F$11000,OUT!$H$2:$H$11000,H173,OUT!$D$2:$D$11000,"Out")</f>
        <v>9490497</v>
      </c>
      <c r="K173" s="52">
        <f ca="1">SUMIFS(OUT!$F$2:$F$11000,OUT!$H$2:$H$11000,H173,OUT!$D$2:$D$11000,"Out",OUT!$E$2:$E$11000,"Fix")</f>
        <v>2703418</v>
      </c>
      <c r="L173" s="52">
        <f ca="1">SUMIFS(OUT!$F$2:$F$11000,OUT!$H$2:$H$11000,H173,OUT!$D$2:$D$11000,"Out",OUT!$E$2:$E$11000,"Bathroom")</f>
        <v>13000</v>
      </c>
      <c r="M173" s="52">
        <f ca="1">SUMIFS(OUT!$F$2:$F$11000,OUT!$H$2:$H$11000,H173,OUT!$D$2:$D$11000,"Out",OUT!$E$2:$E$11000,"Alfa")</f>
        <v>326872</v>
      </c>
      <c r="N173" s="52" t="e">
        <f ca="1">SUMIFS(OUT!$F$2:$F$11000,OUT!$H$2:$H$101007,H173,OUT!$D$2:$D$11000,"Out",OUT!$E$2:$E$11000,"Jajan")</f>
        <v>#VALUE!</v>
      </c>
      <c r="O173" s="52">
        <f ca="1">SUMIFS(OUT!$F$2:$F$11000,OUT!$H$2:$H$11000,H173,OUT!$D$2:$D$11000,"Out",OUT!$E$2:$E$11000,"Kitchen")</f>
        <v>902100</v>
      </c>
      <c r="P173" s="52">
        <f ca="1">SUMIFS(OUT!$F$2:$F$11000,OUT!$H$2:$H$11000,H173,OUT!$D$2:$D$11000,"Out",OUT!$E$2:$E$11000,"Loandry")</f>
        <v>42900</v>
      </c>
      <c r="Q173" s="52">
        <f ca="1">SUMIFS(OUT!$F$2:$F$11000,OUT!$H$2:$H$11000,H173,OUT!$D$2:$D$11000,"Out",OUT!$E$2:$E$11000,"Mio")</f>
        <v>732000</v>
      </c>
      <c r="R173" s="52">
        <f ca="1">SUMIFS(OUT!$F$2:$F$11000,OUT!$H$2:$H$11000,H173,OUT!$D$2:$D$11000,"Out",OUT!$E$2:$E$11000,"Sedekah")</f>
        <v>0</v>
      </c>
      <c r="S173" s="52">
        <f ca="1">SUMIFS(OUT!$F$2:$F$11000,OUT!$H$2:$H$11000,H173,OUT!$D$2:$D$11000,"Out",OUT!$E$2:$E$11000,"Zela")</f>
        <v>47011</v>
      </c>
      <c r="T173" s="52">
        <f ca="1">SUMIFS(OUT!$F$2:$F$11000,OUT!$H$2:$H$11000,H173,OUT!$D$2:$D$11000,"Out",OUT!$E$2:$E$11000,"Iqbal")</f>
        <v>251000</v>
      </c>
    </row>
    <row r="174" spans="1:20" x14ac:dyDescent="0.2">
      <c r="A174" s="48">
        <f ca="1">IFERROR(__xludf.DUMMYFUNCTION("""COMPUTED_VALUE"""),46160)</f>
        <v>46160</v>
      </c>
      <c r="B174" s="4" t="str">
        <f ca="1">IFERROR(__xludf.DUMMYFUNCTION("""COMPUTED_VALUE"""),"pertalite")</f>
        <v>pertalite</v>
      </c>
      <c r="C174" s="4" t="str">
        <f ca="1">IFERROR(__xludf.DUMMYFUNCTION("""COMPUTED_VALUE"""),"ATM")</f>
        <v>ATM</v>
      </c>
      <c r="D174" s="4" t="str">
        <f ca="1">IFERROR(__xludf.DUMMYFUNCTION("""COMPUTED_VALUE"""),"Out")</f>
        <v>Out</v>
      </c>
      <c r="E174" s="4" t="str">
        <f ca="1">IFERROR(__xludf.DUMMYFUNCTION("""COMPUTED_VALUE"""),"Mio")</f>
        <v>Mio</v>
      </c>
      <c r="F174" s="49">
        <f ca="1">IFERROR(__xludf.DUMMYFUNCTION("""COMPUTED_VALUE"""),15000)</f>
        <v>15000</v>
      </c>
      <c r="G174" s="50" t="str">
        <f ca="1">IFERROR(__xludf.DUMMYFUNCTION("""COMPUTED_VALUE"""),"Ibal")</f>
        <v>Ibal</v>
      </c>
      <c r="H174" s="51">
        <f t="shared" ca="1" si="0"/>
        <v>46143</v>
      </c>
      <c r="I174" s="52" t="e">
        <f ca="1">SUMIFS(OUT!$F$2:$F$11000,OUT!$H$2:$H$11000,H174,OUT!$D$2:$D$101007,"In")</f>
        <v>#VALUE!</v>
      </c>
      <c r="J174" s="52">
        <f ca="1">SUMIFS(OUT!$F$2:$F$11000,OUT!$H$2:$H$11000,H174,OUT!$D$2:$D$11000,"Out")</f>
        <v>9490497</v>
      </c>
      <c r="K174" s="52">
        <f ca="1">SUMIFS(OUT!$F$2:$F$11000,OUT!$H$2:$H$11000,H174,OUT!$D$2:$D$11000,"Out",OUT!$E$2:$E$11000,"Fix")</f>
        <v>2703418</v>
      </c>
      <c r="L174" s="52">
        <f ca="1">SUMIFS(OUT!$F$2:$F$11000,OUT!$H$2:$H$11000,H174,OUT!$D$2:$D$11000,"Out",OUT!$E$2:$E$11000,"Bathroom")</f>
        <v>13000</v>
      </c>
      <c r="M174" s="52">
        <f ca="1">SUMIFS(OUT!$F$2:$F$11000,OUT!$H$2:$H$11000,H174,OUT!$D$2:$D$11000,"Out",OUT!$E$2:$E$11000,"Alfa")</f>
        <v>326872</v>
      </c>
      <c r="N174" s="52" t="e">
        <f ca="1">SUMIFS(OUT!$F$2:$F$11000,OUT!$H$2:$H$101007,H174,OUT!$D$2:$D$11000,"Out",OUT!$E$2:$E$11000,"Jajan")</f>
        <v>#VALUE!</v>
      </c>
      <c r="O174" s="52">
        <f ca="1">SUMIFS(OUT!$F$2:$F$11000,OUT!$H$2:$H$11000,H174,OUT!$D$2:$D$11000,"Out",OUT!$E$2:$E$11000,"Kitchen")</f>
        <v>902100</v>
      </c>
      <c r="P174" s="52">
        <f ca="1">SUMIFS(OUT!$F$2:$F$11000,OUT!$H$2:$H$11000,H174,OUT!$D$2:$D$11000,"Out",OUT!$E$2:$E$11000,"Loandry")</f>
        <v>42900</v>
      </c>
      <c r="Q174" s="52">
        <f ca="1">SUMIFS(OUT!$F$2:$F$11000,OUT!$H$2:$H$11000,H174,OUT!$D$2:$D$11000,"Out",OUT!$E$2:$E$11000,"Mio")</f>
        <v>732000</v>
      </c>
      <c r="R174" s="52">
        <f ca="1">SUMIFS(OUT!$F$2:$F$11000,OUT!$H$2:$H$11000,H174,OUT!$D$2:$D$11000,"Out",OUT!$E$2:$E$11000,"Sedekah")</f>
        <v>0</v>
      </c>
      <c r="S174" s="52">
        <f ca="1">SUMIFS(OUT!$F$2:$F$11000,OUT!$H$2:$H$11000,H174,OUT!$D$2:$D$11000,"Out",OUT!$E$2:$E$11000,"Zela")</f>
        <v>47011</v>
      </c>
      <c r="T174" s="52">
        <f ca="1">SUMIFS(OUT!$F$2:$F$11000,OUT!$H$2:$H$11000,H174,OUT!$D$2:$D$11000,"Out",OUT!$E$2:$E$11000,"Iqbal")</f>
        <v>251000</v>
      </c>
    </row>
    <row r="175" spans="1:20" x14ac:dyDescent="0.2">
      <c r="A175" s="48">
        <f ca="1">IFERROR(__xludf.DUMMYFUNCTION("""COMPUTED_VALUE"""),46161)</f>
        <v>46161</v>
      </c>
      <c r="B175" s="4" t="str">
        <f ca="1">IFERROR(__xludf.DUMMYFUNCTION("""COMPUTED_VALUE"""),"Istriku")</f>
        <v>Istriku</v>
      </c>
      <c r="C175" s="4" t="str">
        <f ca="1">IFERROR(__xludf.DUMMYFUNCTION("""COMPUTED_VALUE"""),"ATM")</f>
        <v>ATM</v>
      </c>
      <c r="D175" s="4" t="str">
        <f ca="1">IFERROR(__xludf.DUMMYFUNCTION("""COMPUTED_VALUE"""),"Out")</f>
        <v>Out</v>
      </c>
      <c r="E175" s="4" t="str">
        <f ca="1">IFERROR(__xludf.DUMMYFUNCTION("""COMPUTED_VALUE"""),"Move")</f>
        <v>Move</v>
      </c>
      <c r="F175" s="49">
        <f ca="1">IFERROR(__xludf.DUMMYFUNCTION("""COMPUTED_VALUE"""),90000)</f>
        <v>90000</v>
      </c>
      <c r="G175" s="50" t="str">
        <f ca="1">IFERROR(__xludf.DUMMYFUNCTION("""COMPUTED_VALUE"""),"Ibal")</f>
        <v>Ibal</v>
      </c>
      <c r="H175" s="51">
        <f t="shared" ca="1" si="0"/>
        <v>46143</v>
      </c>
      <c r="I175" s="52" t="e">
        <f ca="1">SUMIFS(OUT!$F$2:$F$11000,OUT!$H$2:$H$11000,H175,OUT!$D$2:$D$101007,"In")</f>
        <v>#VALUE!</v>
      </c>
      <c r="J175" s="52">
        <f ca="1">SUMIFS(OUT!$F$2:$F$11000,OUT!$H$2:$H$11000,H175,OUT!$D$2:$D$11000,"Out")</f>
        <v>9490497</v>
      </c>
      <c r="K175" s="52">
        <f ca="1">SUMIFS(OUT!$F$2:$F$11000,OUT!$H$2:$H$11000,H175,OUT!$D$2:$D$11000,"Out",OUT!$E$2:$E$11000,"Fix")</f>
        <v>2703418</v>
      </c>
      <c r="L175" s="52">
        <f ca="1">SUMIFS(OUT!$F$2:$F$11000,OUT!$H$2:$H$11000,H175,OUT!$D$2:$D$11000,"Out",OUT!$E$2:$E$11000,"Bathroom")</f>
        <v>13000</v>
      </c>
      <c r="M175" s="52">
        <f ca="1">SUMIFS(OUT!$F$2:$F$11000,OUT!$H$2:$H$11000,H175,OUT!$D$2:$D$11000,"Out",OUT!$E$2:$E$11000,"Alfa")</f>
        <v>326872</v>
      </c>
      <c r="N175" s="52" t="e">
        <f ca="1">SUMIFS(OUT!$F$2:$F$11000,OUT!$H$2:$H$101007,H175,OUT!$D$2:$D$11000,"Out",OUT!$E$2:$E$11000,"Jajan")</f>
        <v>#VALUE!</v>
      </c>
      <c r="O175" s="52">
        <f ca="1">SUMIFS(OUT!$F$2:$F$11000,OUT!$H$2:$H$11000,H175,OUT!$D$2:$D$11000,"Out",OUT!$E$2:$E$11000,"Kitchen")</f>
        <v>902100</v>
      </c>
      <c r="P175" s="52">
        <f ca="1">SUMIFS(OUT!$F$2:$F$11000,OUT!$H$2:$H$11000,H175,OUT!$D$2:$D$11000,"Out",OUT!$E$2:$E$11000,"Loandry")</f>
        <v>42900</v>
      </c>
      <c r="Q175" s="52">
        <f ca="1">SUMIFS(OUT!$F$2:$F$11000,OUT!$H$2:$H$11000,H175,OUT!$D$2:$D$11000,"Out",OUT!$E$2:$E$11000,"Mio")</f>
        <v>732000</v>
      </c>
      <c r="R175" s="52">
        <f ca="1">SUMIFS(OUT!$F$2:$F$11000,OUT!$H$2:$H$11000,H175,OUT!$D$2:$D$11000,"Out",OUT!$E$2:$E$11000,"Sedekah")</f>
        <v>0</v>
      </c>
      <c r="S175" s="52">
        <f ca="1">SUMIFS(OUT!$F$2:$F$11000,OUT!$H$2:$H$11000,H175,OUT!$D$2:$D$11000,"Out",OUT!$E$2:$E$11000,"Zela")</f>
        <v>47011</v>
      </c>
      <c r="T175" s="52">
        <f ca="1">SUMIFS(OUT!$F$2:$F$11000,OUT!$H$2:$H$11000,H175,OUT!$D$2:$D$11000,"Out",OUT!$E$2:$E$11000,"Iqbal")</f>
        <v>251000</v>
      </c>
    </row>
    <row r="176" spans="1:20" x14ac:dyDescent="0.2">
      <c r="A176" s="48">
        <f ca="1">IFERROR(__xludf.DUMMYFUNCTION("""COMPUTED_VALUE"""),46162)</f>
        <v>46162</v>
      </c>
      <c r="B176" s="4" t="str">
        <f ca="1">IFERROR(__xludf.DUMMYFUNCTION("""COMPUTED_VALUE"""),"Admin bank BRI")</f>
        <v>Admin bank BRI</v>
      </c>
      <c r="C176" s="4" t="str">
        <f ca="1">IFERROR(__xludf.DUMMYFUNCTION("""COMPUTED_VALUE"""),"ATM")</f>
        <v>ATM</v>
      </c>
      <c r="D176" s="4" t="str">
        <f ca="1">IFERROR(__xludf.DUMMYFUNCTION("""COMPUTED_VALUE"""),"Out")</f>
        <v>Out</v>
      </c>
      <c r="E176" s="4" t="str">
        <f ca="1">IFERROR(__xludf.DUMMYFUNCTION("""COMPUTED_VALUE"""),"Fix")</f>
        <v>Fix</v>
      </c>
      <c r="F176" s="49">
        <f ca="1">IFERROR(__xludf.DUMMYFUNCTION("""COMPUTED_VALUE"""),6000)</f>
        <v>6000</v>
      </c>
      <c r="G176" s="50" t="str">
        <f ca="1">IFERROR(__xludf.DUMMYFUNCTION("""COMPUTED_VALUE"""),"Ibal")</f>
        <v>Ibal</v>
      </c>
      <c r="H176" s="51">
        <f t="shared" ca="1" si="0"/>
        <v>46143</v>
      </c>
      <c r="I176" s="52" t="e">
        <f ca="1">SUMIFS(OUT!$F$2:$F$11000,OUT!$H$2:$H$11000,H176,OUT!$D$2:$D$101007,"In")</f>
        <v>#VALUE!</v>
      </c>
      <c r="J176" s="52">
        <f ca="1">SUMIFS(OUT!$F$2:$F$11000,OUT!$H$2:$H$11000,H176,OUT!$D$2:$D$11000,"Out")</f>
        <v>9490497</v>
      </c>
      <c r="K176" s="52">
        <f ca="1">SUMIFS(OUT!$F$2:$F$11000,OUT!$H$2:$H$11000,H176,OUT!$D$2:$D$11000,"Out",OUT!$E$2:$E$11000,"Fix")</f>
        <v>2703418</v>
      </c>
      <c r="L176" s="52">
        <f ca="1">SUMIFS(OUT!$F$2:$F$11000,OUT!$H$2:$H$11000,H176,OUT!$D$2:$D$11000,"Out",OUT!$E$2:$E$11000,"Bathroom")</f>
        <v>13000</v>
      </c>
      <c r="M176" s="52">
        <f ca="1">SUMIFS(OUT!$F$2:$F$11000,OUT!$H$2:$H$11000,H176,OUT!$D$2:$D$11000,"Out",OUT!$E$2:$E$11000,"Alfa")</f>
        <v>326872</v>
      </c>
      <c r="N176" s="52" t="e">
        <f ca="1">SUMIFS(OUT!$F$2:$F$11000,OUT!$H$2:$H$101007,H176,OUT!$D$2:$D$11000,"Out",OUT!$E$2:$E$11000,"Jajan")</f>
        <v>#VALUE!</v>
      </c>
      <c r="O176" s="52">
        <f ca="1">SUMIFS(OUT!$F$2:$F$11000,OUT!$H$2:$H$11000,H176,OUT!$D$2:$D$11000,"Out",OUT!$E$2:$E$11000,"Kitchen")</f>
        <v>902100</v>
      </c>
      <c r="P176" s="52">
        <f ca="1">SUMIFS(OUT!$F$2:$F$11000,OUT!$H$2:$H$11000,H176,OUT!$D$2:$D$11000,"Out",OUT!$E$2:$E$11000,"Loandry")</f>
        <v>42900</v>
      </c>
      <c r="Q176" s="52">
        <f ca="1">SUMIFS(OUT!$F$2:$F$11000,OUT!$H$2:$H$11000,H176,OUT!$D$2:$D$11000,"Out",OUT!$E$2:$E$11000,"Mio")</f>
        <v>732000</v>
      </c>
      <c r="R176" s="52">
        <f ca="1">SUMIFS(OUT!$F$2:$F$11000,OUT!$H$2:$H$11000,H176,OUT!$D$2:$D$11000,"Out",OUT!$E$2:$E$11000,"Sedekah")</f>
        <v>0</v>
      </c>
      <c r="S176" s="52">
        <f ca="1">SUMIFS(OUT!$F$2:$F$11000,OUT!$H$2:$H$11000,H176,OUT!$D$2:$D$11000,"Out",OUT!$E$2:$E$11000,"Zela")</f>
        <v>47011</v>
      </c>
      <c r="T176" s="52">
        <f ca="1">SUMIFS(OUT!$F$2:$F$11000,OUT!$H$2:$H$11000,H176,OUT!$D$2:$D$11000,"Out",OUT!$E$2:$E$11000,"Iqbal")</f>
        <v>251000</v>
      </c>
    </row>
    <row r="177" spans="1:20" x14ac:dyDescent="0.2">
      <c r="A177" s="48">
        <f ca="1">IFERROR(__xludf.DUMMYFUNCTION("""COMPUTED_VALUE"""),46165)</f>
        <v>46165</v>
      </c>
      <c r="B177" s="4" t="str">
        <f ca="1">IFERROR(__xludf.DUMMYFUNCTION("""COMPUTED_VALUE"""),"CGL")</f>
        <v>CGL</v>
      </c>
      <c r="C177" s="4" t="str">
        <f ca="1">IFERROR(__xludf.DUMMYFUNCTION("""COMPUTED_VALUE"""),"ATM")</f>
        <v>ATM</v>
      </c>
      <c r="D177" s="4" t="str">
        <f ca="1">IFERROR(__xludf.DUMMYFUNCTION("""COMPUTED_VALUE"""),"In")</f>
        <v>In</v>
      </c>
      <c r="E177" s="4" t="str">
        <f ca="1">IFERROR(__xludf.DUMMYFUNCTION("""COMPUTED_VALUE"""),"Fix")</f>
        <v>Fix</v>
      </c>
      <c r="F177" s="49">
        <f ca="1">IFERROR(__xludf.DUMMYFUNCTION("""COMPUTED_VALUE"""),300000)</f>
        <v>300000</v>
      </c>
      <c r="G177" s="50" t="str">
        <f ca="1">IFERROR(__xludf.DUMMYFUNCTION("""COMPUTED_VALUE"""),"Ibal")</f>
        <v>Ibal</v>
      </c>
      <c r="H177" s="51">
        <f t="shared" ca="1" si="0"/>
        <v>46143</v>
      </c>
      <c r="I177" s="52" t="e">
        <f ca="1">SUMIFS(OUT!$F$2:$F$11000,OUT!$H$2:$H$11000,H177,OUT!$D$2:$D$101007,"In")</f>
        <v>#VALUE!</v>
      </c>
      <c r="J177" s="52">
        <f ca="1">SUMIFS(OUT!$F$2:$F$11000,OUT!$H$2:$H$11000,H177,OUT!$D$2:$D$11000,"Out")</f>
        <v>9490497</v>
      </c>
      <c r="K177" s="52">
        <f ca="1">SUMIFS(OUT!$F$2:$F$11000,OUT!$H$2:$H$11000,H177,OUT!$D$2:$D$11000,"Out",OUT!$E$2:$E$11000,"Fix")</f>
        <v>2703418</v>
      </c>
      <c r="L177" s="52">
        <f ca="1">SUMIFS(OUT!$F$2:$F$11000,OUT!$H$2:$H$11000,H177,OUT!$D$2:$D$11000,"Out",OUT!$E$2:$E$11000,"Bathroom")</f>
        <v>13000</v>
      </c>
      <c r="M177" s="52">
        <f ca="1">SUMIFS(OUT!$F$2:$F$11000,OUT!$H$2:$H$11000,H177,OUT!$D$2:$D$11000,"Out",OUT!$E$2:$E$11000,"Alfa")</f>
        <v>326872</v>
      </c>
      <c r="N177" s="52" t="e">
        <f ca="1">SUMIFS(OUT!$F$2:$F$11000,OUT!$H$2:$H$101007,H177,OUT!$D$2:$D$11000,"Out",OUT!$E$2:$E$11000,"Jajan")</f>
        <v>#VALUE!</v>
      </c>
      <c r="O177" s="52">
        <f ca="1">SUMIFS(OUT!$F$2:$F$11000,OUT!$H$2:$H$11000,H177,OUT!$D$2:$D$11000,"Out",OUT!$E$2:$E$11000,"Kitchen")</f>
        <v>902100</v>
      </c>
      <c r="P177" s="52">
        <f ca="1">SUMIFS(OUT!$F$2:$F$11000,OUT!$H$2:$H$11000,H177,OUT!$D$2:$D$11000,"Out",OUT!$E$2:$E$11000,"Loandry")</f>
        <v>42900</v>
      </c>
      <c r="Q177" s="52">
        <f ca="1">SUMIFS(OUT!$F$2:$F$11000,OUT!$H$2:$H$11000,H177,OUT!$D$2:$D$11000,"Out",OUT!$E$2:$E$11000,"Mio")</f>
        <v>732000</v>
      </c>
      <c r="R177" s="52">
        <f ca="1">SUMIFS(OUT!$F$2:$F$11000,OUT!$H$2:$H$11000,H177,OUT!$D$2:$D$11000,"Out",OUT!$E$2:$E$11000,"Sedekah")</f>
        <v>0</v>
      </c>
      <c r="S177" s="52">
        <f ca="1">SUMIFS(OUT!$F$2:$F$11000,OUT!$H$2:$H$11000,H177,OUT!$D$2:$D$11000,"Out",OUT!$E$2:$E$11000,"Zela")</f>
        <v>47011</v>
      </c>
      <c r="T177" s="52">
        <f ca="1">SUMIFS(OUT!$F$2:$F$11000,OUT!$H$2:$H$11000,H177,OUT!$D$2:$D$11000,"Out",OUT!$E$2:$E$11000,"Iqbal")</f>
        <v>251000</v>
      </c>
    </row>
    <row r="178" spans="1:20" x14ac:dyDescent="0.2">
      <c r="A178" s="48">
        <f ca="1">IFERROR(__xludf.DUMMYFUNCTION("""COMPUTED_VALUE"""),46165)</f>
        <v>46165</v>
      </c>
      <c r="B178" s="4" t="str">
        <f ca="1">IFERROR(__xludf.DUMMYFUNCTION("""COMPUTED_VALUE"""),"tarik tunai")</f>
        <v>tarik tunai</v>
      </c>
      <c r="C178" s="4" t="str">
        <f ca="1">IFERROR(__xludf.DUMMYFUNCTION("""COMPUTED_VALUE"""),"ATM")</f>
        <v>ATM</v>
      </c>
      <c r="D178" s="4" t="str">
        <f ca="1">IFERROR(__xludf.DUMMYFUNCTION("""COMPUTED_VALUE"""),"Out")</f>
        <v>Out</v>
      </c>
      <c r="E178" s="4" t="str">
        <f ca="1">IFERROR(__xludf.DUMMYFUNCTION("""COMPUTED_VALUE"""),"Move")</f>
        <v>Move</v>
      </c>
      <c r="F178" s="49">
        <f ca="1">IFERROR(__xludf.DUMMYFUNCTION("""COMPUTED_VALUE"""),250000)</f>
        <v>250000</v>
      </c>
      <c r="G178" s="50" t="str">
        <f ca="1">IFERROR(__xludf.DUMMYFUNCTION("""COMPUTED_VALUE"""),"Ibal")</f>
        <v>Ibal</v>
      </c>
      <c r="H178" s="51">
        <f t="shared" ca="1" si="0"/>
        <v>46143</v>
      </c>
      <c r="I178" s="52" t="e">
        <f ca="1">SUMIFS(OUT!$F$2:$F$11000,OUT!$H$2:$H$11000,H178,OUT!$D$2:$D$101007,"In")</f>
        <v>#VALUE!</v>
      </c>
      <c r="J178" s="52">
        <f ca="1">SUMIFS(OUT!$F$2:$F$11000,OUT!$H$2:$H$11000,H178,OUT!$D$2:$D$11000,"Out")</f>
        <v>9490497</v>
      </c>
      <c r="K178" s="52">
        <f ca="1">SUMIFS(OUT!$F$2:$F$11000,OUT!$H$2:$H$11000,H178,OUT!$D$2:$D$11000,"Out",OUT!$E$2:$E$11000,"Fix")</f>
        <v>2703418</v>
      </c>
      <c r="L178" s="52">
        <f ca="1">SUMIFS(OUT!$F$2:$F$11000,OUT!$H$2:$H$11000,H178,OUT!$D$2:$D$11000,"Out",OUT!$E$2:$E$11000,"Bathroom")</f>
        <v>13000</v>
      </c>
      <c r="M178" s="52">
        <f ca="1">SUMIFS(OUT!$F$2:$F$11000,OUT!$H$2:$H$11000,H178,OUT!$D$2:$D$11000,"Out",OUT!$E$2:$E$11000,"Alfa")</f>
        <v>326872</v>
      </c>
      <c r="N178" s="52" t="e">
        <f ca="1">SUMIFS(OUT!$F$2:$F$11000,OUT!$H$2:$H$101007,H178,OUT!$D$2:$D$11000,"Out",OUT!$E$2:$E$11000,"Jajan")</f>
        <v>#VALUE!</v>
      </c>
      <c r="O178" s="52">
        <f ca="1">SUMIFS(OUT!$F$2:$F$11000,OUT!$H$2:$H$11000,H178,OUT!$D$2:$D$11000,"Out",OUT!$E$2:$E$11000,"Kitchen")</f>
        <v>902100</v>
      </c>
      <c r="P178" s="52">
        <f ca="1">SUMIFS(OUT!$F$2:$F$11000,OUT!$H$2:$H$11000,H178,OUT!$D$2:$D$11000,"Out",OUT!$E$2:$E$11000,"Loandry")</f>
        <v>42900</v>
      </c>
      <c r="Q178" s="52">
        <f ca="1">SUMIFS(OUT!$F$2:$F$11000,OUT!$H$2:$H$11000,H178,OUT!$D$2:$D$11000,"Out",OUT!$E$2:$E$11000,"Mio")</f>
        <v>732000</v>
      </c>
      <c r="R178" s="52">
        <f ca="1">SUMIFS(OUT!$F$2:$F$11000,OUT!$H$2:$H$11000,H178,OUT!$D$2:$D$11000,"Out",OUT!$E$2:$E$11000,"Sedekah")</f>
        <v>0</v>
      </c>
      <c r="S178" s="52">
        <f ca="1">SUMIFS(OUT!$F$2:$F$11000,OUT!$H$2:$H$11000,H178,OUT!$D$2:$D$11000,"Out",OUT!$E$2:$E$11000,"Zela")</f>
        <v>47011</v>
      </c>
      <c r="T178" s="52">
        <f ca="1">SUMIFS(OUT!$F$2:$F$11000,OUT!$H$2:$H$11000,H178,OUT!$D$2:$D$11000,"Out",OUT!$E$2:$E$11000,"Iqbal")</f>
        <v>251000</v>
      </c>
    </row>
    <row r="179" spans="1:20" x14ac:dyDescent="0.2">
      <c r="A179" s="48">
        <f ca="1">IFERROR(__xludf.DUMMYFUNCTION("""COMPUTED_VALUE"""),46165)</f>
        <v>46165</v>
      </c>
      <c r="B179" s="4" t="str">
        <f ca="1">IFERROR(__xludf.DUMMYFUNCTION("""COMPUTED_VALUE"""),"terima tunai")</f>
        <v>terima tunai</v>
      </c>
      <c r="C179" s="4" t="str">
        <f ca="1">IFERROR(__xludf.DUMMYFUNCTION("""COMPUTED_VALUE"""),"Cash")</f>
        <v>Cash</v>
      </c>
      <c r="D179" s="4" t="str">
        <f ca="1">IFERROR(__xludf.DUMMYFUNCTION("""COMPUTED_VALUE"""),"In")</f>
        <v>In</v>
      </c>
      <c r="E179" s="4" t="str">
        <f ca="1">IFERROR(__xludf.DUMMYFUNCTION("""COMPUTED_VALUE"""),"Move")</f>
        <v>Move</v>
      </c>
      <c r="F179" s="49">
        <f ca="1">IFERROR(__xludf.DUMMYFUNCTION("""COMPUTED_VALUE"""),250000)</f>
        <v>250000</v>
      </c>
      <c r="G179" s="50" t="str">
        <f ca="1">IFERROR(__xludf.DUMMYFUNCTION("""COMPUTED_VALUE"""),"Ibal")</f>
        <v>Ibal</v>
      </c>
      <c r="H179" s="51">
        <f t="shared" ca="1" si="0"/>
        <v>46143</v>
      </c>
      <c r="I179" s="52" t="e">
        <f ca="1">SUMIFS(OUT!$F$2:$F$11000,OUT!$H$2:$H$11000,H179,OUT!$D$2:$D$101007,"In")</f>
        <v>#VALUE!</v>
      </c>
      <c r="J179" s="52">
        <f ca="1">SUMIFS(OUT!$F$2:$F$11000,OUT!$H$2:$H$11000,H179,OUT!$D$2:$D$11000,"Out")</f>
        <v>9490497</v>
      </c>
      <c r="K179" s="52">
        <f ca="1">SUMIFS(OUT!$F$2:$F$11000,OUT!$H$2:$H$11000,H179,OUT!$D$2:$D$11000,"Out",OUT!$E$2:$E$11000,"Fix")</f>
        <v>2703418</v>
      </c>
      <c r="L179" s="52">
        <f ca="1">SUMIFS(OUT!$F$2:$F$11000,OUT!$H$2:$H$11000,H179,OUT!$D$2:$D$11000,"Out",OUT!$E$2:$E$11000,"Bathroom")</f>
        <v>13000</v>
      </c>
      <c r="M179" s="52">
        <f ca="1">SUMIFS(OUT!$F$2:$F$11000,OUT!$H$2:$H$11000,H179,OUT!$D$2:$D$11000,"Out",OUT!$E$2:$E$11000,"Alfa")</f>
        <v>326872</v>
      </c>
      <c r="N179" s="52" t="e">
        <f ca="1">SUMIFS(OUT!$F$2:$F$11000,OUT!$H$2:$H$101007,H179,OUT!$D$2:$D$11000,"Out",OUT!$E$2:$E$11000,"Jajan")</f>
        <v>#VALUE!</v>
      </c>
      <c r="O179" s="52">
        <f ca="1">SUMIFS(OUT!$F$2:$F$11000,OUT!$H$2:$H$11000,H179,OUT!$D$2:$D$11000,"Out",OUT!$E$2:$E$11000,"Kitchen")</f>
        <v>902100</v>
      </c>
      <c r="P179" s="52">
        <f ca="1">SUMIFS(OUT!$F$2:$F$11000,OUT!$H$2:$H$11000,H179,OUT!$D$2:$D$11000,"Out",OUT!$E$2:$E$11000,"Loandry")</f>
        <v>42900</v>
      </c>
      <c r="Q179" s="52">
        <f ca="1">SUMIFS(OUT!$F$2:$F$11000,OUT!$H$2:$H$11000,H179,OUT!$D$2:$D$11000,"Out",OUT!$E$2:$E$11000,"Mio")</f>
        <v>732000</v>
      </c>
      <c r="R179" s="52">
        <f ca="1">SUMIFS(OUT!$F$2:$F$11000,OUT!$H$2:$H$11000,H179,OUT!$D$2:$D$11000,"Out",OUT!$E$2:$E$11000,"Sedekah")</f>
        <v>0</v>
      </c>
      <c r="S179" s="52">
        <f ca="1">SUMIFS(OUT!$F$2:$F$11000,OUT!$H$2:$H$11000,H179,OUT!$D$2:$D$11000,"Out",OUT!$E$2:$E$11000,"Zela")</f>
        <v>47011</v>
      </c>
      <c r="T179" s="52">
        <f ca="1">SUMIFS(OUT!$F$2:$F$11000,OUT!$H$2:$H$11000,H179,OUT!$D$2:$D$11000,"Out",OUT!$E$2:$E$11000,"Iqbal")</f>
        <v>251000</v>
      </c>
    </row>
    <row r="180" spans="1:20" x14ac:dyDescent="0.2">
      <c r="A180" s="48">
        <f ca="1">IFERROR(__xludf.DUMMYFUNCTION("""COMPUTED_VALUE"""),46165)</f>
        <v>46165</v>
      </c>
      <c r="B180" s="4" t="str">
        <f ca="1">IFERROR(__xludf.DUMMYFUNCTION("""COMPUTED_VALUE"""),"palm sugar + es krim")</f>
        <v>palm sugar + es krim</v>
      </c>
      <c r="C180" s="4" t="str">
        <f ca="1">IFERROR(__xludf.DUMMYFUNCTION("""COMPUTED_VALUE"""),"ATM")</f>
        <v>ATM</v>
      </c>
      <c r="D180" s="4" t="str">
        <f ca="1">IFERROR(__xludf.DUMMYFUNCTION("""COMPUTED_VALUE"""),"Out")</f>
        <v>Out</v>
      </c>
      <c r="E180" s="4" t="str">
        <f ca="1">IFERROR(__xludf.DUMMYFUNCTION("""COMPUTED_VALUE"""),"Alfa")</f>
        <v>Alfa</v>
      </c>
      <c r="F180" s="49">
        <f ca="1">IFERROR(__xludf.DUMMYFUNCTION("""COMPUTED_VALUE"""),23900)</f>
        <v>23900</v>
      </c>
      <c r="G180" s="50" t="str">
        <f ca="1">IFERROR(__xludf.DUMMYFUNCTION("""COMPUTED_VALUE"""),"Ibal")</f>
        <v>Ibal</v>
      </c>
      <c r="H180" s="51">
        <f t="shared" ca="1" si="0"/>
        <v>46143</v>
      </c>
      <c r="I180" s="52" t="e">
        <f ca="1">SUMIFS(OUT!$F$2:$F$11000,OUT!$H$2:$H$11000,H180,OUT!$D$2:$D$101007,"In")</f>
        <v>#VALUE!</v>
      </c>
      <c r="J180" s="52">
        <f ca="1">SUMIFS(OUT!$F$2:$F$11000,OUT!$H$2:$H$11000,H180,OUT!$D$2:$D$11000,"Out")</f>
        <v>9490497</v>
      </c>
      <c r="K180" s="52">
        <f ca="1">SUMIFS(OUT!$F$2:$F$11000,OUT!$H$2:$H$11000,H180,OUT!$D$2:$D$11000,"Out",OUT!$E$2:$E$11000,"Fix")</f>
        <v>2703418</v>
      </c>
      <c r="L180" s="52">
        <f ca="1">SUMIFS(OUT!$F$2:$F$11000,OUT!$H$2:$H$11000,H180,OUT!$D$2:$D$11000,"Out",OUT!$E$2:$E$11000,"Bathroom")</f>
        <v>13000</v>
      </c>
      <c r="M180" s="52">
        <f ca="1">SUMIFS(OUT!$F$2:$F$11000,OUT!$H$2:$H$11000,H180,OUT!$D$2:$D$11000,"Out",OUT!$E$2:$E$11000,"Alfa")</f>
        <v>326872</v>
      </c>
      <c r="N180" s="52" t="e">
        <f ca="1">SUMIFS(OUT!$F$2:$F$11000,OUT!$H$2:$H$101007,H180,OUT!$D$2:$D$11000,"Out",OUT!$E$2:$E$11000,"Jajan")</f>
        <v>#VALUE!</v>
      </c>
      <c r="O180" s="52">
        <f ca="1">SUMIFS(OUT!$F$2:$F$11000,OUT!$H$2:$H$11000,H180,OUT!$D$2:$D$11000,"Out",OUT!$E$2:$E$11000,"Kitchen")</f>
        <v>902100</v>
      </c>
      <c r="P180" s="52">
        <f ca="1">SUMIFS(OUT!$F$2:$F$11000,OUT!$H$2:$H$11000,H180,OUT!$D$2:$D$11000,"Out",OUT!$E$2:$E$11000,"Loandry")</f>
        <v>42900</v>
      </c>
      <c r="Q180" s="52">
        <f ca="1">SUMIFS(OUT!$F$2:$F$11000,OUT!$H$2:$H$11000,H180,OUT!$D$2:$D$11000,"Out",OUT!$E$2:$E$11000,"Mio")</f>
        <v>732000</v>
      </c>
      <c r="R180" s="52">
        <f ca="1">SUMIFS(OUT!$F$2:$F$11000,OUT!$H$2:$H$11000,H180,OUT!$D$2:$D$11000,"Out",OUT!$E$2:$E$11000,"Sedekah")</f>
        <v>0</v>
      </c>
      <c r="S180" s="52">
        <f ca="1">SUMIFS(OUT!$F$2:$F$11000,OUT!$H$2:$H$11000,H180,OUT!$D$2:$D$11000,"Out",OUT!$E$2:$E$11000,"Zela")</f>
        <v>47011</v>
      </c>
      <c r="T180" s="52">
        <f ca="1">SUMIFS(OUT!$F$2:$F$11000,OUT!$H$2:$H$11000,H180,OUT!$D$2:$D$11000,"Out",OUT!$E$2:$E$11000,"Iqbal")</f>
        <v>251000</v>
      </c>
    </row>
    <row r="181" spans="1:20" x14ac:dyDescent="0.2">
      <c r="A181" s="48">
        <f ca="1">IFERROR(__xludf.DUMMYFUNCTION("""COMPUTED_VALUE"""),46165)</f>
        <v>46165</v>
      </c>
      <c r="B181" s="4" t="str">
        <f ca="1">IFERROR(__xludf.DUMMYFUNCTION("""COMPUTED_VALUE"""),"ayam geprek (2)")</f>
        <v>ayam geprek (2)</v>
      </c>
      <c r="C181" s="4" t="str">
        <f ca="1">IFERROR(__xludf.DUMMYFUNCTION("""COMPUTED_VALUE"""),"Cash")</f>
        <v>Cash</v>
      </c>
      <c r="D181" s="4" t="str">
        <f ca="1">IFERROR(__xludf.DUMMYFUNCTION("""COMPUTED_VALUE"""),"Out")</f>
        <v>Out</v>
      </c>
      <c r="E181" s="4" t="str">
        <f ca="1">IFERROR(__xludf.DUMMYFUNCTION("""COMPUTED_VALUE"""),"Kitchen")</f>
        <v>Kitchen</v>
      </c>
      <c r="F181" s="49">
        <f ca="1">IFERROR(__xludf.DUMMYFUNCTION("""COMPUTED_VALUE"""),22000)</f>
        <v>22000</v>
      </c>
      <c r="G181" s="50" t="str">
        <f ca="1">IFERROR(__xludf.DUMMYFUNCTION("""COMPUTED_VALUE"""),"Ibal")</f>
        <v>Ibal</v>
      </c>
      <c r="H181" s="51">
        <f t="shared" ca="1" si="0"/>
        <v>46143</v>
      </c>
      <c r="I181" s="52" t="e">
        <f ca="1">SUMIFS(OUT!$F$2:$F$11000,OUT!$H$2:$H$11000,H181,OUT!$D$2:$D$101007,"In")</f>
        <v>#VALUE!</v>
      </c>
      <c r="J181" s="52">
        <f ca="1">SUMIFS(OUT!$F$2:$F$11000,OUT!$H$2:$H$11000,H181,OUT!$D$2:$D$11000,"Out")</f>
        <v>9490497</v>
      </c>
      <c r="K181" s="52">
        <f ca="1">SUMIFS(OUT!$F$2:$F$11000,OUT!$H$2:$H$11000,H181,OUT!$D$2:$D$11000,"Out",OUT!$E$2:$E$11000,"Fix")</f>
        <v>2703418</v>
      </c>
      <c r="L181" s="52">
        <f ca="1">SUMIFS(OUT!$F$2:$F$11000,OUT!$H$2:$H$11000,H181,OUT!$D$2:$D$11000,"Out",OUT!$E$2:$E$11000,"Bathroom")</f>
        <v>13000</v>
      </c>
      <c r="M181" s="52">
        <f ca="1">SUMIFS(OUT!$F$2:$F$11000,OUT!$H$2:$H$11000,H181,OUT!$D$2:$D$11000,"Out",OUT!$E$2:$E$11000,"Alfa")</f>
        <v>326872</v>
      </c>
      <c r="N181" s="52" t="e">
        <f ca="1">SUMIFS(OUT!$F$2:$F$11000,OUT!$H$2:$H$101007,H181,OUT!$D$2:$D$11000,"Out",OUT!$E$2:$E$11000,"Jajan")</f>
        <v>#VALUE!</v>
      </c>
      <c r="O181" s="52">
        <f ca="1">SUMIFS(OUT!$F$2:$F$11000,OUT!$H$2:$H$11000,H181,OUT!$D$2:$D$11000,"Out",OUT!$E$2:$E$11000,"Kitchen")</f>
        <v>902100</v>
      </c>
      <c r="P181" s="52">
        <f ca="1">SUMIFS(OUT!$F$2:$F$11000,OUT!$H$2:$H$11000,H181,OUT!$D$2:$D$11000,"Out",OUT!$E$2:$E$11000,"Loandry")</f>
        <v>42900</v>
      </c>
      <c r="Q181" s="52">
        <f ca="1">SUMIFS(OUT!$F$2:$F$11000,OUT!$H$2:$H$11000,H181,OUT!$D$2:$D$11000,"Out",OUT!$E$2:$E$11000,"Mio")</f>
        <v>732000</v>
      </c>
      <c r="R181" s="52">
        <f ca="1">SUMIFS(OUT!$F$2:$F$11000,OUT!$H$2:$H$11000,H181,OUT!$D$2:$D$11000,"Out",OUT!$E$2:$E$11000,"Sedekah")</f>
        <v>0</v>
      </c>
      <c r="S181" s="52">
        <f ca="1">SUMIFS(OUT!$F$2:$F$11000,OUT!$H$2:$H$11000,H181,OUT!$D$2:$D$11000,"Out",OUT!$E$2:$E$11000,"Zela")</f>
        <v>47011</v>
      </c>
      <c r="T181" s="52">
        <f ca="1">SUMIFS(OUT!$F$2:$F$11000,OUT!$H$2:$H$11000,H181,OUT!$D$2:$D$11000,"Out",OUT!$E$2:$E$11000,"Iqbal")</f>
        <v>251000</v>
      </c>
    </row>
    <row r="182" spans="1:20" x14ac:dyDescent="0.2">
      <c r="A182" s="48">
        <f ca="1">IFERROR(__xludf.DUMMYFUNCTION("""COMPUTED_VALUE"""),46165)</f>
        <v>46165</v>
      </c>
      <c r="B182" s="4" t="str">
        <f ca="1">IFERROR(__xludf.DUMMYFUNCTION("""COMPUTED_VALUE"""),"kelapa muda")</f>
        <v>kelapa muda</v>
      </c>
      <c r="C182" s="4" t="str">
        <f ca="1">IFERROR(__xludf.DUMMYFUNCTION("""COMPUTED_VALUE"""),"Cash")</f>
        <v>Cash</v>
      </c>
      <c r="D182" s="4" t="str">
        <f ca="1">IFERROR(__xludf.DUMMYFUNCTION("""COMPUTED_VALUE"""),"Out")</f>
        <v>Out</v>
      </c>
      <c r="E182" s="4" t="str">
        <f ca="1">IFERROR(__xludf.DUMMYFUNCTION("""COMPUTED_VALUE"""),"Jajan")</f>
        <v>Jajan</v>
      </c>
      <c r="F182" s="49">
        <f ca="1">IFERROR(__xludf.DUMMYFUNCTION("""COMPUTED_VALUE"""),10000)</f>
        <v>10000</v>
      </c>
      <c r="G182" s="50" t="str">
        <f ca="1">IFERROR(__xludf.DUMMYFUNCTION("""COMPUTED_VALUE"""),"Ibal")</f>
        <v>Ibal</v>
      </c>
      <c r="H182" s="51">
        <f t="shared" ca="1" si="0"/>
        <v>46143</v>
      </c>
      <c r="I182" s="52" t="e">
        <f ca="1">SUMIFS(OUT!$F$2:$F$11000,OUT!$H$2:$H$11000,H182,OUT!$D$2:$D$101007,"In")</f>
        <v>#VALUE!</v>
      </c>
      <c r="J182" s="52">
        <f ca="1">SUMIFS(OUT!$F$2:$F$11000,OUT!$H$2:$H$11000,H182,OUT!$D$2:$D$11000,"Out")</f>
        <v>9490497</v>
      </c>
      <c r="K182" s="52">
        <f ca="1">SUMIFS(OUT!$F$2:$F$11000,OUT!$H$2:$H$11000,H182,OUT!$D$2:$D$11000,"Out",OUT!$E$2:$E$11000,"Fix")</f>
        <v>2703418</v>
      </c>
      <c r="L182" s="52">
        <f ca="1">SUMIFS(OUT!$F$2:$F$11000,OUT!$H$2:$H$11000,H182,OUT!$D$2:$D$11000,"Out",OUT!$E$2:$E$11000,"Bathroom")</f>
        <v>13000</v>
      </c>
      <c r="M182" s="52">
        <f ca="1">SUMIFS(OUT!$F$2:$F$11000,OUT!$H$2:$H$11000,H182,OUT!$D$2:$D$11000,"Out",OUT!$E$2:$E$11000,"Alfa")</f>
        <v>326872</v>
      </c>
      <c r="N182" s="52" t="e">
        <f ca="1">SUMIFS(OUT!$F$2:$F$11000,OUT!$H$2:$H$101007,H182,OUT!$D$2:$D$11000,"Out",OUT!$E$2:$E$11000,"Jajan")</f>
        <v>#VALUE!</v>
      </c>
      <c r="O182" s="52">
        <f ca="1">SUMIFS(OUT!$F$2:$F$11000,OUT!$H$2:$H$11000,H182,OUT!$D$2:$D$11000,"Out",OUT!$E$2:$E$11000,"Kitchen")</f>
        <v>902100</v>
      </c>
      <c r="P182" s="52">
        <f ca="1">SUMIFS(OUT!$F$2:$F$11000,OUT!$H$2:$H$11000,H182,OUT!$D$2:$D$11000,"Out",OUT!$E$2:$E$11000,"Loandry")</f>
        <v>42900</v>
      </c>
      <c r="Q182" s="52">
        <f ca="1">SUMIFS(OUT!$F$2:$F$11000,OUT!$H$2:$H$11000,H182,OUT!$D$2:$D$11000,"Out",OUT!$E$2:$E$11000,"Mio")</f>
        <v>732000</v>
      </c>
      <c r="R182" s="52">
        <f ca="1">SUMIFS(OUT!$F$2:$F$11000,OUT!$H$2:$H$11000,H182,OUT!$D$2:$D$11000,"Out",OUT!$E$2:$E$11000,"Sedekah")</f>
        <v>0</v>
      </c>
      <c r="S182" s="52">
        <f ca="1">SUMIFS(OUT!$F$2:$F$11000,OUT!$H$2:$H$11000,H182,OUT!$D$2:$D$11000,"Out",OUT!$E$2:$E$11000,"Zela")</f>
        <v>47011</v>
      </c>
      <c r="T182" s="52">
        <f ca="1">SUMIFS(OUT!$F$2:$F$11000,OUT!$H$2:$H$11000,H182,OUT!$D$2:$D$11000,"Out",OUT!$E$2:$E$11000,"Iqbal")</f>
        <v>251000</v>
      </c>
    </row>
    <row r="183" spans="1:20" x14ac:dyDescent="0.2">
      <c r="A183" s="48">
        <f ca="1">IFERROR(__xludf.DUMMYFUNCTION("""COMPUTED_VALUE"""),46165)</f>
        <v>46165</v>
      </c>
      <c r="B183" s="4" t="str">
        <f ca="1">IFERROR(__xludf.DUMMYFUNCTION("""COMPUTED_VALUE"""),"es teh (2)")</f>
        <v>es teh (2)</v>
      </c>
      <c r="C183" s="4" t="str">
        <f ca="1">IFERROR(__xludf.DUMMYFUNCTION("""COMPUTED_VALUE"""),"Cash")</f>
        <v>Cash</v>
      </c>
      <c r="D183" s="4" t="str">
        <f ca="1">IFERROR(__xludf.DUMMYFUNCTION("""COMPUTED_VALUE"""),"Out")</f>
        <v>Out</v>
      </c>
      <c r="E183" s="4" t="str">
        <f ca="1">IFERROR(__xludf.DUMMYFUNCTION("""COMPUTED_VALUE"""),"Jajan")</f>
        <v>Jajan</v>
      </c>
      <c r="F183" s="49">
        <f ca="1">IFERROR(__xludf.DUMMYFUNCTION("""COMPUTED_VALUE"""),10000)</f>
        <v>10000</v>
      </c>
      <c r="G183" s="50" t="str">
        <f ca="1">IFERROR(__xludf.DUMMYFUNCTION("""COMPUTED_VALUE"""),"Ibal")</f>
        <v>Ibal</v>
      </c>
      <c r="H183" s="51">
        <f t="shared" ca="1" si="0"/>
        <v>46143</v>
      </c>
      <c r="I183" s="52" t="e">
        <f ca="1">SUMIFS(OUT!$F$2:$F$11000,OUT!$H$2:$H$11000,H183,OUT!$D$2:$D$101007,"In")</f>
        <v>#VALUE!</v>
      </c>
      <c r="J183" s="52">
        <f ca="1">SUMIFS(OUT!$F$2:$F$11000,OUT!$H$2:$H$11000,H183,OUT!$D$2:$D$11000,"Out")</f>
        <v>9490497</v>
      </c>
      <c r="K183" s="52">
        <f ca="1">SUMIFS(OUT!$F$2:$F$11000,OUT!$H$2:$H$11000,H183,OUT!$D$2:$D$11000,"Out",OUT!$E$2:$E$11000,"Fix")</f>
        <v>2703418</v>
      </c>
      <c r="L183" s="52">
        <f ca="1">SUMIFS(OUT!$F$2:$F$11000,OUT!$H$2:$H$11000,H183,OUT!$D$2:$D$11000,"Out",OUT!$E$2:$E$11000,"Bathroom")</f>
        <v>13000</v>
      </c>
      <c r="M183" s="52">
        <f ca="1">SUMIFS(OUT!$F$2:$F$11000,OUT!$H$2:$H$11000,H183,OUT!$D$2:$D$11000,"Out",OUT!$E$2:$E$11000,"Alfa")</f>
        <v>326872</v>
      </c>
      <c r="N183" s="52" t="e">
        <f ca="1">SUMIFS(OUT!$F$2:$F$11000,OUT!$H$2:$H$101007,H183,OUT!$D$2:$D$11000,"Out",OUT!$E$2:$E$11000,"Jajan")</f>
        <v>#VALUE!</v>
      </c>
      <c r="O183" s="52">
        <f ca="1">SUMIFS(OUT!$F$2:$F$11000,OUT!$H$2:$H$11000,H183,OUT!$D$2:$D$11000,"Out",OUT!$E$2:$E$11000,"Kitchen")</f>
        <v>902100</v>
      </c>
      <c r="P183" s="52">
        <f ca="1">SUMIFS(OUT!$F$2:$F$11000,OUT!$H$2:$H$11000,H183,OUT!$D$2:$D$11000,"Out",OUT!$E$2:$E$11000,"Loandry")</f>
        <v>42900</v>
      </c>
      <c r="Q183" s="52">
        <f ca="1">SUMIFS(OUT!$F$2:$F$11000,OUT!$H$2:$H$11000,H183,OUT!$D$2:$D$11000,"Out",OUT!$E$2:$E$11000,"Mio")</f>
        <v>732000</v>
      </c>
      <c r="R183" s="52">
        <f ca="1">SUMIFS(OUT!$F$2:$F$11000,OUT!$H$2:$H$11000,H183,OUT!$D$2:$D$11000,"Out",OUT!$E$2:$E$11000,"Sedekah")</f>
        <v>0</v>
      </c>
      <c r="S183" s="52">
        <f ca="1">SUMIFS(OUT!$F$2:$F$11000,OUT!$H$2:$H$11000,H183,OUT!$D$2:$D$11000,"Out",OUT!$E$2:$E$11000,"Zela")</f>
        <v>47011</v>
      </c>
      <c r="T183" s="52">
        <f ca="1">SUMIFS(OUT!$F$2:$F$11000,OUT!$H$2:$H$11000,H183,OUT!$D$2:$D$11000,"Out",OUT!$E$2:$E$11000,"Iqbal")</f>
        <v>251000</v>
      </c>
    </row>
    <row r="184" spans="1:20" x14ac:dyDescent="0.2">
      <c r="A184" s="48">
        <f ca="1">IFERROR(__xludf.DUMMYFUNCTION("""COMPUTED_VALUE"""),46165)</f>
        <v>46165</v>
      </c>
      <c r="B184" s="4" t="str">
        <f ca="1">IFERROR(__xludf.DUMMYFUNCTION("""COMPUTED_VALUE"""),"bakso bakar, tahu bakar")</f>
        <v>bakso bakar, tahu bakar</v>
      </c>
      <c r="C184" s="4" t="str">
        <f ca="1">IFERROR(__xludf.DUMMYFUNCTION("""COMPUTED_VALUE"""),"Cash")</f>
        <v>Cash</v>
      </c>
      <c r="D184" s="4" t="str">
        <f ca="1">IFERROR(__xludf.DUMMYFUNCTION("""COMPUTED_VALUE"""),"Out")</f>
        <v>Out</v>
      </c>
      <c r="E184" s="4" t="str">
        <f ca="1">IFERROR(__xludf.DUMMYFUNCTION("""COMPUTED_VALUE"""),"Jajan")</f>
        <v>Jajan</v>
      </c>
      <c r="F184" s="49">
        <f ca="1">IFERROR(__xludf.DUMMYFUNCTION("""COMPUTED_VALUE"""),20000)</f>
        <v>20000</v>
      </c>
      <c r="G184" s="50" t="str">
        <f ca="1">IFERROR(__xludf.DUMMYFUNCTION("""COMPUTED_VALUE"""),"Ibal")</f>
        <v>Ibal</v>
      </c>
      <c r="H184" s="51">
        <f t="shared" ca="1" si="0"/>
        <v>46143</v>
      </c>
      <c r="I184" s="52" t="e">
        <f ca="1">SUMIFS(OUT!$F$2:$F$11000,OUT!$H$2:$H$11000,H184,OUT!$D$2:$D$101007,"In")</f>
        <v>#VALUE!</v>
      </c>
      <c r="J184" s="52">
        <f ca="1">SUMIFS(OUT!$F$2:$F$11000,OUT!$H$2:$H$11000,H184,OUT!$D$2:$D$11000,"Out")</f>
        <v>9490497</v>
      </c>
      <c r="K184" s="52">
        <f ca="1">SUMIFS(OUT!$F$2:$F$11000,OUT!$H$2:$H$11000,H184,OUT!$D$2:$D$11000,"Out",OUT!$E$2:$E$11000,"Fix")</f>
        <v>2703418</v>
      </c>
      <c r="L184" s="52">
        <f ca="1">SUMIFS(OUT!$F$2:$F$11000,OUT!$H$2:$H$11000,H184,OUT!$D$2:$D$11000,"Out",OUT!$E$2:$E$11000,"Bathroom")</f>
        <v>13000</v>
      </c>
      <c r="M184" s="52">
        <f ca="1">SUMIFS(OUT!$F$2:$F$11000,OUT!$H$2:$H$11000,H184,OUT!$D$2:$D$11000,"Out",OUT!$E$2:$E$11000,"Alfa")</f>
        <v>326872</v>
      </c>
      <c r="N184" s="52" t="e">
        <f ca="1">SUMIFS(OUT!$F$2:$F$11000,OUT!$H$2:$H$101007,H184,OUT!$D$2:$D$11000,"Out",OUT!$E$2:$E$11000,"Jajan")</f>
        <v>#VALUE!</v>
      </c>
      <c r="O184" s="52">
        <f ca="1">SUMIFS(OUT!$F$2:$F$11000,OUT!$H$2:$H$11000,H184,OUT!$D$2:$D$11000,"Out",OUT!$E$2:$E$11000,"Kitchen")</f>
        <v>902100</v>
      </c>
      <c r="P184" s="52">
        <f ca="1">SUMIFS(OUT!$F$2:$F$11000,OUT!$H$2:$H$11000,H184,OUT!$D$2:$D$11000,"Out",OUT!$E$2:$E$11000,"Loandry")</f>
        <v>42900</v>
      </c>
      <c r="Q184" s="52">
        <f ca="1">SUMIFS(OUT!$F$2:$F$11000,OUT!$H$2:$H$11000,H184,OUT!$D$2:$D$11000,"Out",OUT!$E$2:$E$11000,"Mio")</f>
        <v>732000</v>
      </c>
      <c r="R184" s="52">
        <f ca="1">SUMIFS(OUT!$F$2:$F$11000,OUT!$H$2:$H$11000,H184,OUT!$D$2:$D$11000,"Out",OUT!$E$2:$E$11000,"Sedekah")</f>
        <v>0</v>
      </c>
      <c r="S184" s="52">
        <f ca="1">SUMIFS(OUT!$F$2:$F$11000,OUT!$H$2:$H$11000,H184,OUT!$D$2:$D$11000,"Out",OUT!$E$2:$E$11000,"Zela")</f>
        <v>47011</v>
      </c>
      <c r="T184" s="52">
        <f ca="1">SUMIFS(OUT!$F$2:$F$11000,OUT!$H$2:$H$11000,H184,OUT!$D$2:$D$11000,"Out",OUT!$E$2:$E$11000,"Iqbal")</f>
        <v>251000</v>
      </c>
    </row>
    <row r="185" spans="1:20" x14ac:dyDescent="0.2">
      <c r="A185" s="48">
        <f ca="1">IFERROR(__xludf.DUMMYFUNCTION("""COMPUTED_VALUE"""),46165)</f>
        <v>46165</v>
      </c>
      <c r="B185" s="4" t="str">
        <f ca="1">IFERROR(__xludf.DUMMYFUNCTION("""COMPUTED_VALUE"""),"teh telor tapai")</f>
        <v>teh telor tapai</v>
      </c>
      <c r="C185" s="4" t="str">
        <f ca="1">IFERROR(__xludf.DUMMYFUNCTION("""COMPUTED_VALUE"""),"Cash")</f>
        <v>Cash</v>
      </c>
      <c r="D185" s="4" t="str">
        <f ca="1">IFERROR(__xludf.DUMMYFUNCTION("""COMPUTED_VALUE"""),"Out")</f>
        <v>Out</v>
      </c>
      <c r="E185" s="4" t="str">
        <f ca="1">IFERROR(__xludf.DUMMYFUNCTION("""COMPUTED_VALUE"""),"Jajan")</f>
        <v>Jajan</v>
      </c>
      <c r="F185" s="49">
        <f ca="1">IFERROR(__xludf.DUMMYFUNCTION("""COMPUTED_VALUE"""),14000)</f>
        <v>14000</v>
      </c>
      <c r="G185" s="50" t="str">
        <f ca="1">IFERROR(__xludf.DUMMYFUNCTION("""COMPUTED_VALUE"""),"Ibal")</f>
        <v>Ibal</v>
      </c>
      <c r="H185" s="51">
        <f t="shared" ca="1" si="0"/>
        <v>46143</v>
      </c>
      <c r="I185" s="52" t="e">
        <f ca="1">SUMIFS(OUT!$F$2:$F$11000,OUT!$H$2:$H$11000,H185,OUT!$D$2:$D$101007,"In")</f>
        <v>#VALUE!</v>
      </c>
      <c r="J185" s="52">
        <f ca="1">SUMIFS(OUT!$F$2:$F$11000,OUT!$H$2:$H$11000,H185,OUT!$D$2:$D$11000,"Out")</f>
        <v>9490497</v>
      </c>
      <c r="K185" s="52">
        <f ca="1">SUMIFS(OUT!$F$2:$F$11000,OUT!$H$2:$H$11000,H185,OUT!$D$2:$D$11000,"Out",OUT!$E$2:$E$11000,"Fix")</f>
        <v>2703418</v>
      </c>
      <c r="L185" s="52">
        <f ca="1">SUMIFS(OUT!$F$2:$F$11000,OUT!$H$2:$H$11000,H185,OUT!$D$2:$D$11000,"Out",OUT!$E$2:$E$11000,"Bathroom")</f>
        <v>13000</v>
      </c>
      <c r="M185" s="52">
        <f ca="1">SUMIFS(OUT!$F$2:$F$11000,OUT!$H$2:$H$11000,H185,OUT!$D$2:$D$11000,"Out",OUT!$E$2:$E$11000,"Alfa")</f>
        <v>326872</v>
      </c>
      <c r="N185" s="52" t="e">
        <f ca="1">SUMIFS(OUT!$F$2:$F$11000,OUT!$H$2:$H$101007,H185,OUT!$D$2:$D$11000,"Out",OUT!$E$2:$E$11000,"Jajan")</f>
        <v>#VALUE!</v>
      </c>
      <c r="O185" s="52">
        <f ca="1">SUMIFS(OUT!$F$2:$F$11000,OUT!$H$2:$H$11000,H185,OUT!$D$2:$D$11000,"Out",OUT!$E$2:$E$11000,"Kitchen")</f>
        <v>902100</v>
      </c>
      <c r="P185" s="52">
        <f ca="1">SUMIFS(OUT!$F$2:$F$11000,OUT!$H$2:$H$11000,H185,OUT!$D$2:$D$11000,"Out",OUT!$E$2:$E$11000,"Loandry")</f>
        <v>42900</v>
      </c>
      <c r="Q185" s="52">
        <f ca="1">SUMIFS(OUT!$F$2:$F$11000,OUT!$H$2:$H$11000,H185,OUT!$D$2:$D$11000,"Out",OUT!$E$2:$E$11000,"Mio")</f>
        <v>732000</v>
      </c>
      <c r="R185" s="52">
        <f ca="1">SUMIFS(OUT!$F$2:$F$11000,OUT!$H$2:$H$11000,H185,OUT!$D$2:$D$11000,"Out",OUT!$E$2:$E$11000,"Sedekah")</f>
        <v>0</v>
      </c>
      <c r="S185" s="52">
        <f ca="1">SUMIFS(OUT!$F$2:$F$11000,OUT!$H$2:$H$11000,H185,OUT!$D$2:$D$11000,"Out",OUT!$E$2:$E$11000,"Zela")</f>
        <v>47011</v>
      </c>
      <c r="T185" s="52">
        <f ca="1">SUMIFS(OUT!$F$2:$F$11000,OUT!$H$2:$H$11000,H185,OUT!$D$2:$D$11000,"Out",OUT!$E$2:$E$11000,"Iqbal")</f>
        <v>251000</v>
      </c>
    </row>
    <row r="186" spans="1:20" x14ac:dyDescent="0.2">
      <c r="A186" s="48">
        <f ca="1">IFERROR(__xludf.DUMMYFUNCTION("""COMPUTED_VALUE"""),46165)</f>
        <v>46165</v>
      </c>
      <c r="B186" s="4" t="str">
        <f ca="1">IFERROR(__xludf.DUMMYFUNCTION("""COMPUTED_VALUE"""),"pertamax")</f>
        <v>pertamax</v>
      </c>
      <c r="C186" s="4" t="str">
        <f ca="1">IFERROR(__xludf.DUMMYFUNCTION("""COMPUTED_VALUE"""),"Cash")</f>
        <v>Cash</v>
      </c>
      <c r="D186" s="4" t="str">
        <f ca="1">IFERROR(__xludf.DUMMYFUNCTION("""COMPUTED_VALUE"""),"Out")</f>
        <v>Out</v>
      </c>
      <c r="E186" s="4" t="str">
        <f ca="1">IFERROR(__xludf.DUMMYFUNCTION("""COMPUTED_VALUE"""),"Mio")</f>
        <v>Mio</v>
      </c>
      <c r="F186" s="49">
        <f ca="1">IFERROR(__xludf.DUMMYFUNCTION("""COMPUTED_VALUE"""),25000)</f>
        <v>25000</v>
      </c>
      <c r="G186" s="50" t="str">
        <f ca="1">IFERROR(__xludf.DUMMYFUNCTION("""COMPUTED_VALUE"""),"Ibal")</f>
        <v>Ibal</v>
      </c>
      <c r="H186" s="51">
        <f t="shared" ca="1" si="0"/>
        <v>46143</v>
      </c>
      <c r="I186" s="52" t="e">
        <f ca="1">SUMIFS(OUT!$F$2:$F$11000,OUT!$H$2:$H$11000,H186,OUT!$D$2:$D$101007,"In")</f>
        <v>#VALUE!</v>
      </c>
      <c r="J186" s="52">
        <f ca="1">SUMIFS(OUT!$F$2:$F$11000,OUT!$H$2:$H$11000,H186,OUT!$D$2:$D$11000,"Out")</f>
        <v>9490497</v>
      </c>
      <c r="K186" s="52">
        <f ca="1">SUMIFS(OUT!$F$2:$F$11000,OUT!$H$2:$H$11000,H186,OUT!$D$2:$D$11000,"Out",OUT!$E$2:$E$11000,"Fix")</f>
        <v>2703418</v>
      </c>
      <c r="L186" s="52">
        <f ca="1">SUMIFS(OUT!$F$2:$F$11000,OUT!$H$2:$H$11000,H186,OUT!$D$2:$D$11000,"Out",OUT!$E$2:$E$11000,"Bathroom")</f>
        <v>13000</v>
      </c>
      <c r="M186" s="52">
        <f ca="1">SUMIFS(OUT!$F$2:$F$11000,OUT!$H$2:$H$11000,H186,OUT!$D$2:$D$11000,"Out",OUT!$E$2:$E$11000,"Alfa")</f>
        <v>326872</v>
      </c>
      <c r="N186" s="52" t="e">
        <f ca="1">SUMIFS(OUT!$F$2:$F$11000,OUT!$H$2:$H$101007,H186,OUT!$D$2:$D$11000,"Out",OUT!$E$2:$E$11000,"Jajan")</f>
        <v>#VALUE!</v>
      </c>
      <c r="O186" s="52">
        <f ca="1">SUMIFS(OUT!$F$2:$F$11000,OUT!$H$2:$H$11000,H186,OUT!$D$2:$D$11000,"Out",OUT!$E$2:$E$11000,"Kitchen")</f>
        <v>902100</v>
      </c>
      <c r="P186" s="52">
        <f ca="1">SUMIFS(OUT!$F$2:$F$11000,OUT!$H$2:$H$11000,H186,OUT!$D$2:$D$11000,"Out",OUT!$E$2:$E$11000,"Loandry")</f>
        <v>42900</v>
      </c>
      <c r="Q186" s="52">
        <f ca="1">SUMIFS(OUT!$F$2:$F$11000,OUT!$H$2:$H$11000,H186,OUT!$D$2:$D$11000,"Out",OUT!$E$2:$E$11000,"Mio")</f>
        <v>732000</v>
      </c>
      <c r="R186" s="52">
        <f ca="1">SUMIFS(OUT!$F$2:$F$11000,OUT!$H$2:$H$11000,H186,OUT!$D$2:$D$11000,"Out",OUT!$E$2:$E$11000,"Sedekah")</f>
        <v>0</v>
      </c>
      <c r="S186" s="52">
        <f ca="1">SUMIFS(OUT!$F$2:$F$11000,OUT!$H$2:$H$11000,H186,OUT!$D$2:$D$11000,"Out",OUT!$E$2:$E$11000,"Zela")</f>
        <v>47011</v>
      </c>
      <c r="T186" s="52">
        <f ca="1">SUMIFS(OUT!$F$2:$F$11000,OUT!$H$2:$H$11000,H186,OUT!$D$2:$D$11000,"Out",OUT!$E$2:$E$11000,"Iqbal")</f>
        <v>251000</v>
      </c>
    </row>
    <row r="187" spans="1:20" x14ac:dyDescent="0.2">
      <c r="A187" s="48">
        <f ca="1">IFERROR(__xludf.DUMMYFUNCTION("""COMPUTED_VALUE"""),46165)</f>
        <v>46165</v>
      </c>
      <c r="B187" s="4" t="str">
        <f ca="1">IFERROR(__xludf.DUMMYFUNCTION("""COMPUTED_VALUE"""),"paket nelpon mama")</f>
        <v>paket nelpon mama</v>
      </c>
      <c r="C187" s="4" t="str">
        <f ca="1">IFERROR(__xludf.DUMMYFUNCTION("""COMPUTED_VALUE"""),"Cash")</f>
        <v>Cash</v>
      </c>
      <c r="D187" s="4" t="str">
        <f ca="1">IFERROR(__xludf.DUMMYFUNCTION("""COMPUTED_VALUE"""),"Out")</f>
        <v>Out</v>
      </c>
      <c r="E187" s="4" t="str">
        <f ca="1">IFERROR(__xludf.DUMMYFUNCTION("""COMPUTED_VALUE"""),"Iqbal")</f>
        <v>Iqbal</v>
      </c>
      <c r="F187" s="49">
        <f ca="1">IFERROR(__xludf.DUMMYFUNCTION("""COMPUTED_VALUE"""),30000)</f>
        <v>30000</v>
      </c>
      <c r="G187" s="50" t="str">
        <f ca="1">IFERROR(__xludf.DUMMYFUNCTION("""COMPUTED_VALUE"""),"Ibal")</f>
        <v>Ibal</v>
      </c>
      <c r="H187" s="51">
        <f t="shared" ca="1" si="0"/>
        <v>46143</v>
      </c>
      <c r="I187" s="52" t="e">
        <f ca="1">SUMIFS(OUT!$F$2:$F$11000,OUT!$H$2:$H$11000,H187,OUT!$D$2:$D$101007,"In")</f>
        <v>#VALUE!</v>
      </c>
      <c r="J187" s="52">
        <f ca="1">SUMIFS(OUT!$F$2:$F$11000,OUT!$H$2:$H$11000,H187,OUT!$D$2:$D$11000,"Out")</f>
        <v>9490497</v>
      </c>
      <c r="K187" s="52">
        <f ca="1">SUMIFS(OUT!$F$2:$F$11000,OUT!$H$2:$H$11000,H187,OUT!$D$2:$D$11000,"Out",OUT!$E$2:$E$11000,"Fix")</f>
        <v>2703418</v>
      </c>
      <c r="L187" s="52">
        <f ca="1">SUMIFS(OUT!$F$2:$F$11000,OUT!$H$2:$H$11000,H187,OUT!$D$2:$D$11000,"Out",OUT!$E$2:$E$11000,"Bathroom")</f>
        <v>13000</v>
      </c>
      <c r="M187" s="52">
        <f ca="1">SUMIFS(OUT!$F$2:$F$11000,OUT!$H$2:$H$11000,H187,OUT!$D$2:$D$11000,"Out",OUT!$E$2:$E$11000,"Alfa")</f>
        <v>326872</v>
      </c>
      <c r="N187" s="52" t="e">
        <f ca="1">SUMIFS(OUT!$F$2:$F$11000,OUT!$H$2:$H$101007,H187,OUT!$D$2:$D$11000,"Out",OUT!$E$2:$E$11000,"Jajan")</f>
        <v>#VALUE!</v>
      </c>
      <c r="O187" s="52">
        <f ca="1">SUMIFS(OUT!$F$2:$F$11000,OUT!$H$2:$H$11000,H187,OUT!$D$2:$D$11000,"Out",OUT!$E$2:$E$11000,"Kitchen")</f>
        <v>902100</v>
      </c>
      <c r="P187" s="52">
        <f ca="1">SUMIFS(OUT!$F$2:$F$11000,OUT!$H$2:$H$11000,H187,OUT!$D$2:$D$11000,"Out",OUT!$E$2:$E$11000,"Loandry")</f>
        <v>42900</v>
      </c>
      <c r="Q187" s="52">
        <f ca="1">SUMIFS(OUT!$F$2:$F$11000,OUT!$H$2:$H$11000,H187,OUT!$D$2:$D$11000,"Out",OUT!$E$2:$E$11000,"Mio")</f>
        <v>732000</v>
      </c>
      <c r="R187" s="52">
        <f ca="1">SUMIFS(OUT!$F$2:$F$11000,OUT!$H$2:$H$11000,H187,OUT!$D$2:$D$11000,"Out",OUT!$E$2:$E$11000,"Sedekah")</f>
        <v>0</v>
      </c>
      <c r="S187" s="52">
        <f ca="1">SUMIFS(OUT!$F$2:$F$11000,OUT!$H$2:$H$11000,H187,OUT!$D$2:$D$11000,"Out",OUT!$E$2:$E$11000,"Zela")</f>
        <v>47011</v>
      </c>
      <c r="T187" s="52">
        <f ca="1">SUMIFS(OUT!$F$2:$F$11000,OUT!$H$2:$H$11000,H187,OUT!$D$2:$D$11000,"Out",OUT!$E$2:$E$11000,"Iqbal")</f>
        <v>251000</v>
      </c>
    </row>
    <row r="188" spans="1:20" x14ac:dyDescent="0.2">
      <c r="A188" s="48">
        <f ca="1">IFERROR(__xludf.DUMMYFUNCTION("""COMPUTED_VALUE"""),46165)</f>
        <v>46165</v>
      </c>
      <c r="B188" s="4" t="str">
        <f ca="1">IFERROR(__xludf.DUMMYFUNCTION("""COMPUTED_VALUE"""),"istriku")</f>
        <v>istriku</v>
      </c>
      <c r="C188" s="4" t="str">
        <f ca="1">IFERROR(__xludf.DUMMYFUNCTION("""COMPUTED_VALUE"""),"Cash")</f>
        <v>Cash</v>
      </c>
      <c r="D188" s="4" t="str">
        <f ca="1">IFERROR(__xludf.DUMMYFUNCTION("""COMPUTED_VALUE"""),"In")</f>
        <v>In</v>
      </c>
      <c r="E188" s="4" t="str">
        <f ca="1">IFERROR(__xludf.DUMMYFUNCTION("""COMPUTED_VALUE"""),"Move")</f>
        <v>Move</v>
      </c>
      <c r="F188" s="49">
        <f ca="1">IFERROR(__xludf.DUMMYFUNCTION("""COMPUTED_VALUE"""),4000)</f>
        <v>4000</v>
      </c>
      <c r="G188" s="50" t="str">
        <f ca="1">IFERROR(__xludf.DUMMYFUNCTION("""COMPUTED_VALUE"""),"Ibal")</f>
        <v>Ibal</v>
      </c>
      <c r="H188" s="51">
        <f t="shared" ca="1" si="0"/>
        <v>46143</v>
      </c>
      <c r="I188" s="52" t="e">
        <f ca="1">SUMIFS(OUT!$F$2:$F$11000,OUT!$H$2:$H$11000,H188,OUT!$D$2:$D$101007,"In")</f>
        <v>#VALUE!</v>
      </c>
      <c r="J188" s="52">
        <f ca="1">SUMIFS(OUT!$F$2:$F$11000,OUT!$H$2:$H$11000,H188,OUT!$D$2:$D$11000,"Out")</f>
        <v>9490497</v>
      </c>
      <c r="K188" s="52">
        <f ca="1">SUMIFS(OUT!$F$2:$F$11000,OUT!$H$2:$H$11000,H188,OUT!$D$2:$D$11000,"Out",OUT!$E$2:$E$11000,"Fix")</f>
        <v>2703418</v>
      </c>
      <c r="L188" s="52">
        <f ca="1">SUMIFS(OUT!$F$2:$F$11000,OUT!$H$2:$H$11000,H188,OUT!$D$2:$D$11000,"Out",OUT!$E$2:$E$11000,"Bathroom")</f>
        <v>13000</v>
      </c>
      <c r="M188" s="52">
        <f ca="1">SUMIFS(OUT!$F$2:$F$11000,OUT!$H$2:$H$11000,H188,OUT!$D$2:$D$11000,"Out",OUT!$E$2:$E$11000,"Alfa")</f>
        <v>326872</v>
      </c>
      <c r="N188" s="52" t="e">
        <f ca="1">SUMIFS(OUT!$F$2:$F$11000,OUT!$H$2:$H$101007,H188,OUT!$D$2:$D$11000,"Out",OUT!$E$2:$E$11000,"Jajan")</f>
        <v>#VALUE!</v>
      </c>
      <c r="O188" s="52">
        <f ca="1">SUMIFS(OUT!$F$2:$F$11000,OUT!$H$2:$H$11000,H188,OUT!$D$2:$D$11000,"Out",OUT!$E$2:$E$11000,"Kitchen")</f>
        <v>902100</v>
      </c>
      <c r="P188" s="52">
        <f ca="1">SUMIFS(OUT!$F$2:$F$11000,OUT!$H$2:$H$11000,H188,OUT!$D$2:$D$11000,"Out",OUT!$E$2:$E$11000,"Loandry")</f>
        <v>42900</v>
      </c>
      <c r="Q188" s="52">
        <f ca="1">SUMIFS(OUT!$F$2:$F$11000,OUT!$H$2:$H$11000,H188,OUT!$D$2:$D$11000,"Out",OUT!$E$2:$E$11000,"Mio")</f>
        <v>732000</v>
      </c>
      <c r="R188" s="52">
        <f ca="1">SUMIFS(OUT!$F$2:$F$11000,OUT!$H$2:$H$11000,H188,OUT!$D$2:$D$11000,"Out",OUT!$E$2:$E$11000,"Sedekah")</f>
        <v>0</v>
      </c>
      <c r="S188" s="52">
        <f ca="1">SUMIFS(OUT!$F$2:$F$11000,OUT!$H$2:$H$11000,H188,OUT!$D$2:$D$11000,"Out",OUT!$E$2:$E$11000,"Zela")</f>
        <v>47011</v>
      </c>
      <c r="T188" s="52">
        <f ca="1">SUMIFS(OUT!$F$2:$F$11000,OUT!$H$2:$H$11000,H188,OUT!$D$2:$D$11000,"Out",OUT!$E$2:$E$11000,"Iqbal")</f>
        <v>251000</v>
      </c>
    </row>
    <row r="189" spans="1:20" x14ac:dyDescent="0.2">
      <c r="A189" s="48">
        <f ca="1">IFERROR(__xludf.DUMMYFUNCTION("""COMPUTED_VALUE"""),46166)</f>
        <v>46166</v>
      </c>
      <c r="B189" s="4" t="str">
        <f ca="1">IFERROR(__xludf.DUMMYFUNCTION("""COMPUTED_VALUE"""),"lonsay (1) soto (2) kerupuk (1) bakwan (1) tempe (1)")</f>
        <v>lonsay (1) soto (2) kerupuk (1) bakwan (1) tempe (1)</v>
      </c>
      <c r="C189" s="4" t="str">
        <f ca="1">IFERROR(__xludf.DUMMYFUNCTION("""COMPUTED_VALUE"""),"Cash")</f>
        <v>Cash</v>
      </c>
      <c r="D189" s="4" t="str">
        <f ca="1">IFERROR(__xludf.DUMMYFUNCTION("""COMPUTED_VALUE"""),"Out")</f>
        <v>Out</v>
      </c>
      <c r="E189" s="4" t="str">
        <f ca="1">IFERROR(__xludf.DUMMYFUNCTION("""COMPUTED_VALUE"""),"Jajan")</f>
        <v>Jajan</v>
      </c>
      <c r="F189" s="49">
        <f ca="1">IFERROR(__xludf.DUMMYFUNCTION("""COMPUTED_VALUE"""),33000)</f>
        <v>33000</v>
      </c>
      <c r="G189" s="50" t="str">
        <f ca="1">IFERROR(__xludf.DUMMYFUNCTION("""COMPUTED_VALUE"""),"Ibal")</f>
        <v>Ibal</v>
      </c>
      <c r="H189" s="51">
        <f t="shared" ca="1" si="0"/>
        <v>46143</v>
      </c>
      <c r="I189" s="52" t="e">
        <f ca="1">SUMIFS(OUT!$F$2:$F$11000,OUT!$H$2:$H$11000,H189,OUT!$D$2:$D$101007,"In")</f>
        <v>#VALUE!</v>
      </c>
      <c r="J189" s="52">
        <f ca="1">SUMIFS(OUT!$F$2:$F$11000,OUT!$H$2:$H$11000,H189,OUT!$D$2:$D$11000,"Out")</f>
        <v>9490497</v>
      </c>
      <c r="K189" s="52">
        <f ca="1">SUMIFS(OUT!$F$2:$F$11000,OUT!$H$2:$H$11000,H189,OUT!$D$2:$D$11000,"Out",OUT!$E$2:$E$11000,"Fix")</f>
        <v>2703418</v>
      </c>
      <c r="L189" s="52">
        <f ca="1">SUMIFS(OUT!$F$2:$F$11000,OUT!$H$2:$H$11000,H189,OUT!$D$2:$D$11000,"Out",OUT!$E$2:$E$11000,"Bathroom")</f>
        <v>13000</v>
      </c>
      <c r="M189" s="52">
        <f ca="1">SUMIFS(OUT!$F$2:$F$11000,OUT!$H$2:$H$11000,H189,OUT!$D$2:$D$11000,"Out",OUT!$E$2:$E$11000,"Alfa")</f>
        <v>326872</v>
      </c>
      <c r="N189" s="52" t="e">
        <f ca="1">SUMIFS(OUT!$F$2:$F$11000,OUT!$H$2:$H$101007,H189,OUT!$D$2:$D$11000,"Out",OUT!$E$2:$E$11000,"Jajan")</f>
        <v>#VALUE!</v>
      </c>
      <c r="O189" s="52">
        <f ca="1">SUMIFS(OUT!$F$2:$F$11000,OUT!$H$2:$H$11000,H189,OUT!$D$2:$D$11000,"Out",OUT!$E$2:$E$11000,"Kitchen")</f>
        <v>902100</v>
      </c>
      <c r="P189" s="52">
        <f ca="1">SUMIFS(OUT!$F$2:$F$11000,OUT!$H$2:$H$11000,H189,OUT!$D$2:$D$11000,"Out",OUT!$E$2:$E$11000,"Loandry")</f>
        <v>42900</v>
      </c>
      <c r="Q189" s="52">
        <f ca="1">SUMIFS(OUT!$F$2:$F$11000,OUT!$H$2:$H$11000,H189,OUT!$D$2:$D$11000,"Out",OUT!$E$2:$E$11000,"Mio")</f>
        <v>732000</v>
      </c>
      <c r="R189" s="52">
        <f ca="1">SUMIFS(OUT!$F$2:$F$11000,OUT!$H$2:$H$11000,H189,OUT!$D$2:$D$11000,"Out",OUT!$E$2:$E$11000,"Sedekah")</f>
        <v>0</v>
      </c>
      <c r="S189" s="52">
        <f ca="1">SUMIFS(OUT!$F$2:$F$11000,OUT!$H$2:$H$11000,H189,OUT!$D$2:$D$11000,"Out",OUT!$E$2:$E$11000,"Zela")</f>
        <v>47011</v>
      </c>
      <c r="T189" s="52">
        <f ca="1">SUMIFS(OUT!$F$2:$F$11000,OUT!$H$2:$H$11000,H189,OUT!$D$2:$D$11000,"Out",OUT!$E$2:$E$11000,"Iqbal")</f>
        <v>251000</v>
      </c>
    </row>
    <row r="190" spans="1:20" x14ac:dyDescent="0.2">
      <c r="A190" s="48">
        <f ca="1">IFERROR(__xludf.DUMMYFUNCTION("""COMPUTED_VALUE"""),46166)</f>
        <v>46166</v>
      </c>
      <c r="B190" s="4" t="str">
        <f ca="1">IFERROR(__xludf.DUMMYFUNCTION("""COMPUTED_VALUE"""),"parkir stadion")</f>
        <v>parkir stadion</v>
      </c>
      <c r="C190" s="4" t="str">
        <f ca="1">IFERROR(__xludf.DUMMYFUNCTION("""COMPUTED_VALUE"""),"Cash")</f>
        <v>Cash</v>
      </c>
      <c r="D190" s="4" t="str">
        <f ca="1">IFERROR(__xludf.DUMMYFUNCTION("""COMPUTED_VALUE"""),"Out")</f>
        <v>Out</v>
      </c>
      <c r="E190" s="4" t="str">
        <f ca="1">IFERROR(__xludf.DUMMYFUNCTION("""COMPUTED_VALUE"""),"Jajan")</f>
        <v>Jajan</v>
      </c>
      <c r="F190" s="49">
        <f ca="1">IFERROR(__xludf.DUMMYFUNCTION("""COMPUTED_VALUE"""),3000)</f>
        <v>3000</v>
      </c>
      <c r="G190" s="50" t="str">
        <f ca="1">IFERROR(__xludf.DUMMYFUNCTION("""COMPUTED_VALUE"""),"Ibal")</f>
        <v>Ibal</v>
      </c>
      <c r="H190" s="51">
        <f t="shared" ca="1" si="0"/>
        <v>46143</v>
      </c>
      <c r="I190" s="52" t="e">
        <f ca="1">SUMIFS(OUT!$F$2:$F$11000,OUT!$H$2:$H$11000,H190,OUT!$D$2:$D$101007,"In")</f>
        <v>#VALUE!</v>
      </c>
      <c r="J190" s="52">
        <f ca="1">SUMIFS(OUT!$F$2:$F$11000,OUT!$H$2:$H$11000,H190,OUT!$D$2:$D$11000,"Out")</f>
        <v>9490497</v>
      </c>
      <c r="K190" s="52">
        <f ca="1">SUMIFS(OUT!$F$2:$F$11000,OUT!$H$2:$H$11000,H190,OUT!$D$2:$D$11000,"Out",OUT!$E$2:$E$11000,"Fix")</f>
        <v>2703418</v>
      </c>
      <c r="L190" s="52">
        <f ca="1">SUMIFS(OUT!$F$2:$F$11000,OUT!$H$2:$H$11000,H190,OUT!$D$2:$D$11000,"Out",OUT!$E$2:$E$11000,"Bathroom")</f>
        <v>13000</v>
      </c>
      <c r="M190" s="52">
        <f ca="1">SUMIFS(OUT!$F$2:$F$11000,OUT!$H$2:$H$11000,H190,OUT!$D$2:$D$11000,"Out",OUT!$E$2:$E$11000,"Alfa")</f>
        <v>326872</v>
      </c>
      <c r="N190" s="52" t="e">
        <f ca="1">SUMIFS(OUT!$F$2:$F$11000,OUT!$H$2:$H$101007,H190,OUT!$D$2:$D$11000,"Out",OUT!$E$2:$E$11000,"Jajan")</f>
        <v>#VALUE!</v>
      </c>
      <c r="O190" s="52">
        <f ca="1">SUMIFS(OUT!$F$2:$F$11000,OUT!$H$2:$H$11000,H190,OUT!$D$2:$D$11000,"Out",OUT!$E$2:$E$11000,"Kitchen")</f>
        <v>902100</v>
      </c>
      <c r="P190" s="52">
        <f ca="1">SUMIFS(OUT!$F$2:$F$11000,OUT!$H$2:$H$11000,H190,OUT!$D$2:$D$11000,"Out",OUT!$E$2:$E$11000,"Loandry")</f>
        <v>42900</v>
      </c>
      <c r="Q190" s="52">
        <f ca="1">SUMIFS(OUT!$F$2:$F$11000,OUT!$H$2:$H$11000,H190,OUT!$D$2:$D$11000,"Out",OUT!$E$2:$E$11000,"Mio")</f>
        <v>732000</v>
      </c>
      <c r="R190" s="52">
        <f ca="1">SUMIFS(OUT!$F$2:$F$11000,OUT!$H$2:$H$11000,H190,OUT!$D$2:$D$11000,"Out",OUT!$E$2:$E$11000,"Sedekah")</f>
        <v>0</v>
      </c>
      <c r="S190" s="52">
        <f ca="1">SUMIFS(OUT!$F$2:$F$11000,OUT!$H$2:$H$11000,H190,OUT!$D$2:$D$11000,"Out",OUT!$E$2:$E$11000,"Zela")</f>
        <v>47011</v>
      </c>
      <c r="T190" s="52">
        <f ca="1">SUMIFS(OUT!$F$2:$F$11000,OUT!$H$2:$H$11000,H190,OUT!$D$2:$D$11000,"Out",OUT!$E$2:$E$11000,"Iqbal")</f>
        <v>251000</v>
      </c>
    </row>
    <row r="191" spans="1:20" x14ac:dyDescent="0.2">
      <c r="A191" s="48">
        <f ca="1">IFERROR(__xludf.DUMMYFUNCTION("""COMPUTED_VALUE"""),46166)</f>
        <v>46166</v>
      </c>
      <c r="B191" s="4" t="str">
        <f ca="1">IFERROR(__xludf.DUMMYFUNCTION("""COMPUTED_VALUE"""),"ayam geprek (2)")</f>
        <v>ayam geprek (2)</v>
      </c>
      <c r="C191" s="4" t="str">
        <f ca="1">IFERROR(__xludf.DUMMYFUNCTION("""COMPUTED_VALUE"""),"Cash")</f>
        <v>Cash</v>
      </c>
      <c r="D191" s="4" t="str">
        <f ca="1">IFERROR(__xludf.DUMMYFUNCTION("""COMPUTED_VALUE"""),"Out")</f>
        <v>Out</v>
      </c>
      <c r="E191" s="4" t="str">
        <f ca="1">IFERROR(__xludf.DUMMYFUNCTION("""COMPUTED_VALUE"""),"Kitchen")</f>
        <v>Kitchen</v>
      </c>
      <c r="F191" s="49">
        <f ca="1">IFERROR(__xludf.DUMMYFUNCTION("""COMPUTED_VALUE"""),22000)</f>
        <v>22000</v>
      </c>
      <c r="G191" s="50" t="str">
        <f ca="1">IFERROR(__xludf.DUMMYFUNCTION("""COMPUTED_VALUE"""),"Ibal")</f>
        <v>Ibal</v>
      </c>
      <c r="H191" s="51">
        <f t="shared" ca="1" si="0"/>
        <v>46143</v>
      </c>
      <c r="I191" s="52" t="e">
        <f ca="1">SUMIFS(OUT!$F$2:$F$11000,OUT!$H$2:$H$11000,H191,OUT!$D$2:$D$101007,"In")</f>
        <v>#VALUE!</v>
      </c>
      <c r="J191" s="52">
        <f ca="1">SUMIFS(OUT!$F$2:$F$11000,OUT!$H$2:$H$11000,H191,OUT!$D$2:$D$11000,"Out")</f>
        <v>9490497</v>
      </c>
      <c r="K191" s="52">
        <f ca="1">SUMIFS(OUT!$F$2:$F$11000,OUT!$H$2:$H$11000,H191,OUT!$D$2:$D$11000,"Out",OUT!$E$2:$E$11000,"Fix")</f>
        <v>2703418</v>
      </c>
      <c r="L191" s="52">
        <f ca="1">SUMIFS(OUT!$F$2:$F$11000,OUT!$H$2:$H$11000,H191,OUT!$D$2:$D$11000,"Out",OUT!$E$2:$E$11000,"Bathroom")</f>
        <v>13000</v>
      </c>
      <c r="M191" s="52">
        <f ca="1">SUMIFS(OUT!$F$2:$F$11000,OUT!$H$2:$H$11000,H191,OUT!$D$2:$D$11000,"Out",OUT!$E$2:$E$11000,"Alfa")</f>
        <v>326872</v>
      </c>
      <c r="N191" s="52" t="e">
        <f ca="1">SUMIFS(OUT!$F$2:$F$11000,OUT!$H$2:$H$101007,H191,OUT!$D$2:$D$11000,"Out",OUT!$E$2:$E$11000,"Jajan")</f>
        <v>#VALUE!</v>
      </c>
      <c r="O191" s="52">
        <f ca="1">SUMIFS(OUT!$F$2:$F$11000,OUT!$H$2:$H$11000,H191,OUT!$D$2:$D$11000,"Out",OUT!$E$2:$E$11000,"Kitchen")</f>
        <v>902100</v>
      </c>
      <c r="P191" s="52">
        <f ca="1">SUMIFS(OUT!$F$2:$F$11000,OUT!$H$2:$H$11000,H191,OUT!$D$2:$D$11000,"Out",OUT!$E$2:$E$11000,"Loandry")</f>
        <v>42900</v>
      </c>
      <c r="Q191" s="52">
        <f ca="1">SUMIFS(OUT!$F$2:$F$11000,OUT!$H$2:$H$11000,H191,OUT!$D$2:$D$11000,"Out",OUT!$E$2:$E$11000,"Mio")</f>
        <v>732000</v>
      </c>
      <c r="R191" s="52">
        <f ca="1">SUMIFS(OUT!$F$2:$F$11000,OUT!$H$2:$H$11000,H191,OUT!$D$2:$D$11000,"Out",OUT!$E$2:$E$11000,"Sedekah")</f>
        <v>0</v>
      </c>
      <c r="S191" s="52">
        <f ca="1">SUMIFS(OUT!$F$2:$F$11000,OUT!$H$2:$H$11000,H191,OUT!$D$2:$D$11000,"Out",OUT!$E$2:$E$11000,"Zela")</f>
        <v>47011</v>
      </c>
      <c r="T191" s="52">
        <f ca="1">SUMIFS(OUT!$F$2:$F$11000,OUT!$H$2:$H$11000,H191,OUT!$D$2:$D$11000,"Out",OUT!$E$2:$E$11000,"Iqbal")</f>
        <v>251000</v>
      </c>
    </row>
    <row r="192" spans="1:20" x14ac:dyDescent="0.2">
      <c r="A192" s="48">
        <f ca="1">IFERROR(__xludf.DUMMYFUNCTION("""COMPUTED_VALUE"""),46166)</f>
        <v>46166</v>
      </c>
      <c r="B192" s="4" t="str">
        <f ca="1">IFERROR(__xludf.DUMMYFUNCTION("""COMPUTED_VALUE"""),"yogurt")</f>
        <v>yogurt</v>
      </c>
      <c r="C192" s="4" t="str">
        <f ca="1">IFERROR(__xludf.DUMMYFUNCTION("""COMPUTED_VALUE"""),"Cash")</f>
        <v>Cash</v>
      </c>
      <c r="D192" s="4" t="str">
        <f ca="1">IFERROR(__xludf.DUMMYFUNCTION("""COMPUTED_VALUE"""),"Out")</f>
        <v>Out</v>
      </c>
      <c r="E192" s="4" t="str">
        <f ca="1">IFERROR(__xludf.DUMMYFUNCTION("""COMPUTED_VALUE"""),"Alfa")</f>
        <v>Alfa</v>
      </c>
      <c r="F192" s="49">
        <f ca="1">IFERROR(__xludf.DUMMYFUNCTION("""COMPUTED_VALUE"""),19000)</f>
        <v>19000</v>
      </c>
      <c r="G192" s="50" t="str">
        <f ca="1">IFERROR(__xludf.DUMMYFUNCTION("""COMPUTED_VALUE"""),"Ibal")</f>
        <v>Ibal</v>
      </c>
      <c r="H192" s="51">
        <f t="shared" ca="1" si="0"/>
        <v>46143</v>
      </c>
      <c r="I192" s="52" t="e">
        <f ca="1">SUMIFS(OUT!$F$2:$F$11000,OUT!$H$2:$H$11000,H192,OUT!$D$2:$D$101007,"In")</f>
        <v>#VALUE!</v>
      </c>
      <c r="J192" s="52">
        <f ca="1">SUMIFS(OUT!$F$2:$F$11000,OUT!$H$2:$H$11000,H192,OUT!$D$2:$D$11000,"Out")</f>
        <v>9490497</v>
      </c>
      <c r="K192" s="52">
        <f ca="1">SUMIFS(OUT!$F$2:$F$11000,OUT!$H$2:$H$11000,H192,OUT!$D$2:$D$11000,"Out",OUT!$E$2:$E$11000,"Fix")</f>
        <v>2703418</v>
      </c>
      <c r="L192" s="52">
        <f ca="1">SUMIFS(OUT!$F$2:$F$11000,OUT!$H$2:$H$11000,H192,OUT!$D$2:$D$11000,"Out",OUT!$E$2:$E$11000,"Bathroom")</f>
        <v>13000</v>
      </c>
      <c r="M192" s="52">
        <f ca="1">SUMIFS(OUT!$F$2:$F$11000,OUT!$H$2:$H$11000,H192,OUT!$D$2:$D$11000,"Out",OUT!$E$2:$E$11000,"Alfa")</f>
        <v>326872</v>
      </c>
      <c r="N192" s="52" t="e">
        <f ca="1">SUMIFS(OUT!$F$2:$F$11000,OUT!$H$2:$H$101007,H192,OUT!$D$2:$D$11000,"Out",OUT!$E$2:$E$11000,"Jajan")</f>
        <v>#VALUE!</v>
      </c>
      <c r="O192" s="52">
        <f ca="1">SUMIFS(OUT!$F$2:$F$11000,OUT!$H$2:$H$11000,H192,OUT!$D$2:$D$11000,"Out",OUT!$E$2:$E$11000,"Kitchen")</f>
        <v>902100</v>
      </c>
      <c r="P192" s="52">
        <f ca="1">SUMIFS(OUT!$F$2:$F$11000,OUT!$H$2:$H$11000,H192,OUT!$D$2:$D$11000,"Out",OUT!$E$2:$E$11000,"Loandry")</f>
        <v>42900</v>
      </c>
      <c r="Q192" s="52">
        <f ca="1">SUMIFS(OUT!$F$2:$F$11000,OUT!$H$2:$H$11000,H192,OUT!$D$2:$D$11000,"Out",OUT!$E$2:$E$11000,"Mio")</f>
        <v>732000</v>
      </c>
      <c r="R192" s="52">
        <f ca="1">SUMIFS(OUT!$F$2:$F$11000,OUT!$H$2:$H$11000,H192,OUT!$D$2:$D$11000,"Out",OUT!$E$2:$E$11000,"Sedekah")</f>
        <v>0</v>
      </c>
      <c r="S192" s="52">
        <f ca="1">SUMIFS(OUT!$F$2:$F$11000,OUT!$H$2:$H$11000,H192,OUT!$D$2:$D$11000,"Out",OUT!$E$2:$E$11000,"Zela")</f>
        <v>47011</v>
      </c>
      <c r="T192" s="52">
        <f ca="1">SUMIFS(OUT!$F$2:$F$11000,OUT!$H$2:$H$11000,H192,OUT!$D$2:$D$11000,"Out",OUT!$E$2:$E$11000,"Iqbal")</f>
        <v>251000</v>
      </c>
    </row>
    <row r="193" spans="1:20" x14ac:dyDescent="0.2">
      <c r="A193" s="48">
        <f ca="1">IFERROR(__xludf.DUMMYFUNCTION("""COMPUTED_VALUE"""),46166)</f>
        <v>46166</v>
      </c>
      <c r="B193" s="4" t="str">
        <f ca="1">IFERROR(__xludf.DUMMYFUNCTION("""COMPUTED_VALUE"""),"piscok")</f>
        <v>piscok</v>
      </c>
      <c r="C193" s="4" t="str">
        <f ca="1">IFERROR(__xludf.DUMMYFUNCTION("""COMPUTED_VALUE"""),"Cash")</f>
        <v>Cash</v>
      </c>
      <c r="D193" s="4" t="str">
        <f ca="1">IFERROR(__xludf.DUMMYFUNCTION("""COMPUTED_VALUE"""),"Out")</f>
        <v>Out</v>
      </c>
      <c r="E193" s="4" t="str">
        <f ca="1">IFERROR(__xludf.DUMMYFUNCTION("""COMPUTED_VALUE"""),"Jajan")</f>
        <v>Jajan</v>
      </c>
      <c r="F193" s="49">
        <f ca="1">IFERROR(__xludf.DUMMYFUNCTION("""COMPUTED_VALUE"""),20000)</f>
        <v>20000</v>
      </c>
      <c r="G193" s="50" t="str">
        <f ca="1">IFERROR(__xludf.DUMMYFUNCTION("""COMPUTED_VALUE"""),"Ibal")</f>
        <v>Ibal</v>
      </c>
      <c r="H193" s="51">
        <f t="shared" ca="1" si="0"/>
        <v>46143</v>
      </c>
      <c r="I193" s="52" t="e">
        <f ca="1">SUMIFS(OUT!$F$2:$F$11000,OUT!$H$2:$H$11000,H193,OUT!$D$2:$D$101007,"In")</f>
        <v>#VALUE!</v>
      </c>
      <c r="J193" s="52">
        <f ca="1">SUMIFS(OUT!$F$2:$F$11000,OUT!$H$2:$H$11000,H193,OUT!$D$2:$D$11000,"Out")</f>
        <v>9490497</v>
      </c>
      <c r="K193" s="52">
        <f ca="1">SUMIFS(OUT!$F$2:$F$11000,OUT!$H$2:$H$11000,H193,OUT!$D$2:$D$11000,"Out",OUT!$E$2:$E$11000,"Fix")</f>
        <v>2703418</v>
      </c>
      <c r="L193" s="52">
        <f ca="1">SUMIFS(OUT!$F$2:$F$11000,OUT!$H$2:$H$11000,H193,OUT!$D$2:$D$11000,"Out",OUT!$E$2:$E$11000,"Bathroom")</f>
        <v>13000</v>
      </c>
      <c r="M193" s="52">
        <f ca="1">SUMIFS(OUT!$F$2:$F$11000,OUT!$H$2:$H$11000,H193,OUT!$D$2:$D$11000,"Out",OUT!$E$2:$E$11000,"Alfa")</f>
        <v>326872</v>
      </c>
      <c r="N193" s="52" t="e">
        <f ca="1">SUMIFS(OUT!$F$2:$F$11000,OUT!$H$2:$H$101007,H193,OUT!$D$2:$D$11000,"Out",OUT!$E$2:$E$11000,"Jajan")</f>
        <v>#VALUE!</v>
      </c>
      <c r="O193" s="52">
        <f ca="1">SUMIFS(OUT!$F$2:$F$11000,OUT!$H$2:$H$11000,H193,OUT!$D$2:$D$11000,"Out",OUT!$E$2:$E$11000,"Kitchen")</f>
        <v>902100</v>
      </c>
      <c r="P193" s="52">
        <f ca="1">SUMIFS(OUT!$F$2:$F$11000,OUT!$H$2:$H$11000,H193,OUT!$D$2:$D$11000,"Out",OUT!$E$2:$E$11000,"Loandry")</f>
        <v>42900</v>
      </c>
      <c r="Q193" s="52">
        <f ca="1">SUMIFS(OUT!$F$2:$F$11000,OUT!$H$2:$H$11000,H193,OUT!$D$2:$D$11000,"Out",OUT!$E$2:$E$11000,"Mio")</f>
        <v>732000</v>
      </c>
      <c r="R193" s="52">
        <f ca="1">SUMIFS(OUT!$F$2:$F$11000,OUT!$H$2:$H$11000,H193,OUT!$D$2:$D$11000,"Out",OUT!$E$2:$E$11000,"Sedekah")</f>
        <v>0</v>
      </c>
      <c r="S193" s="52">
        <f ca="1">SUMIFS(OUT!$F$2:$F$11000,OUT!$H$2:$H$11000,H193,OUT!$D$2:$D$11000,"Out",OUT!$E$2:$E$11000,"Zela")</f>
        <v>47011</v>
      </c>
      <c r="T193" s="52">
        <f ca="1">SUMIFS(OUT!$F$2:$F$11000,OUT!$H$2:$H$11000,H193,OUT!$D$2:$D$11000,"Out",OUT!$E$2:$E$11000,"Iqbal")</f>
        <v>251000</v>
      </c>
    </row>
    <row r="194" spans="1:20" x14ac:dyDescent="0.2">
      <c r="A194" s="48">
        <f ca="1">IFERROR(__xludf.DUMMYFUNCTION("""COMPUTED_VALUE"""),46166)</f>
        <v>46166</v>
      </c>
      <c r="B194" s="4" t="str">
        <f ca="1">IFERROR(__xludf.DUMMYFUNCTION("""COMPUTED_VALUE"""),"teh telor (pinang)")</f>
        <v>teh telor (pinang)</v>
      </c>
      <c r="C194" s="4" t="str">
        <f ca="1">IFERROR(__xludf.DUMMYFUNCTION("""COMPUTED_VALUE"""),"Cash")</f>
        <v>Cash</v>
      </c>
      <c r="D194" s="4" t="str">
        <f ca="1">IFERROR(__xludf.DUMMYFUNCTION("""COMPUTED_VALUE"""),"Out")</f>
        <v>Out</v>
      </c>
      <c r="E194" s="4" t="str">
        <f ca="1">IFERROR(__xludf.DUMMYFUNCTION("""COMPUTED_VALUE"""),"Iqbal")</f>
        <v>Iqbal</v>
      </c>
      <c r="F194" s="49">
        <f ca="1">IFERROR(__xludf.DUMMYFUNCTION("""COMPUTED_VALUE"""),13000)</f>
        <v>13000</v>
      </c>
      <c r="G194" s="50" t="str">
        <f ca="1">IFERROR(__xludf.DUMMYFUNCTION("""COMPUTED_VALUE"""),"Ibal")</f>
        <v>Ibal</v>
      </c>
      <c r="H194" s="51">
        <f t="shared" ca="1" si="0"/>
        <v>46143</v>
      </c>
      <c r="I194" s="52" t="e">
        <f ca="1">SUMIFS(OUT!$F$2:$F$11000,OUT!$H$2:$H$11000,H194,OUT!$D$2:$D$101007,"In")</f>
        <v>#VALUE!</v>
      </c>
      <c r="J194" s="52">
        <f ca="1">SUMIFS(OUT!$F$2:$F$11000,OUT!$H$2:$H$11000,H194,OUT!$D$2:$D$11000,"Out")</f>
        <v>9490497</v>
      </c>
      <c r="K194" s="52">
        <f ca="1">SUMIFS(OUT!$F$2:$F$11000,OUT!$H$2:$H$11000,H194,OUT!$D$2:$D$11000,"Out",OUT!$E$2:$E$11000,"Fix")</f>
        <v>2703418</v>
      </c>
      <c r="L194" s="52">
        <f ca="1">SUMIFS(OUT!$F$2:$F$11000,OUT!$H$2:$H$11000,H194,OUT!$D$2:$D$11000,"Out",OUT!$E$2:$E$11000,"Bathroom")</f>
        <v>13000</v>
      </c>
      <c r="M194" s="52">
        <f ca="1">SUMIFS(OUT!$F$2:$F$11000,OUT!$H$2:$H$11000,H194,OUT!$D$2:$D$11000,"Out",OUT!$E$2:$E$11000,"Alfa")</f>
        <v>326872</v>
      </c>
      <c r="N194" s="52" t="e">
        <f ca="1">SUMIFS(OUT!$F$2:$F$11000,OUT!$H$2:$H$101007,H194,OUT!$D$2:$D$11000,"Out",OUT!$E$2:$E$11000,"Jajan")</f>
        <v>#VALUE!</v>
      </c>
      <c r="O194" s="52">
        <f ca="1">SUMIFS(OUT!$F$2:$F$11000,OUT!$H$2:$H$11000,H194,OUT!$D$2:$D$11000,"Out",OUT!$E$2:$E$11000,"Kitchen")</f>
        <v>902100</v>
      </c>
      <c r="P194" s="52">
        <f ca="1">SUMIFS(OUT!$F$2:$F$11000,OUT!$H$2:$H$11000,H194,OUT!$D$2:$D$11000,"Out",OUT!$E$2:$E$11000,"Loandry")</f>
        <v>42900</v>
      </c>
      <c r="Q194" s="52">
        <f ca="1">SUMIFS(OUT!$F$2:$F$11000,OUT!$H$2:$H$11000,H194,OUT!$D$2:$D$11000,"Out",OUT!$E$2:$E$11000,"Mio")</f>
        <v>732000</v>
      </c>
      <c r="R194" s="52">
        <f ca="1">SUMIFS(OUT!$F$2:$F$11000,OUT!$H$2:$H$11000,H194,OUT!$D$2:$D$11000,"Out",OUT!$E$2:$E$11000,"Sedekah")</f>
        <v>0</v>
      </c>
      <c r="S194" s="52">
        <f ca="1">SUMIFS(OUT!$F$2:$F$11000,OUT!$H$2:$H$11000,H194,OUT!$D$2:$D$11000,"Out",OUT!$E$2:$E$11000,"Zela")</f>
        <v>47011</v>
      </c>
      <c r="T194" s="52">
        <f ca="1">SUMIFS(OUT!$F$2:$F$11000,OUT!$H$2:$H$11000,H194,OUT!$D$2:$D$11000,"Out",OUT!$E$2:$E$11000,"Iqbal")</f>
        <v>251000</v>
      </c>
    </row>
    <row r="195" spans="1:20" x14ac:dyDescent="0.2">
      <c r="A195" s="48">
        <f ca="1">IFERROR(__xludf.DUMMYFUNCTION("""COMPUTED_VALUE"""),46168)</f>
        <v>46168</v>
      </c>
      <c r="B195" s="4" t="str">
        <f ca="1">IFERROR(__xludf.DUMMYFUNCTION("""COMPUTED_VALUE"""),"istriku")</f>
        <v>istriku</v>
      </c>
      <c r="C195" s="4" t="str">
        <f ca="1">IFERROR(__xludf.DUMMYFUNCTION("""COMPUTED_VALUE"""),"Cash")</f>
        <v>Cash</v>
      </c>
      <c r="D195" s="4" t="str">
        <f ca="1">IFERROR(__xludf.DUMMYFUNCTION("""COMPUTED_VALUE"""),"In")</f>
        <v>In</v>
      </c>
      <c r="E195" s="4" t="str">
        <f ca="1">IFERROR(__xludf.DUMMYFUNCTION("""COMPUTED_VALUE"""),"Move")</f>
        <v>Move</v>
      </c>
      <c r="F195" s="49">
        <f ca="1">IFERROR(__xludf.DUMMYFUNCTION("""COMPUTED_VALUE"""),50000)</f>
        <v>50000</v>
      </c>
      <c r="G195" s="50" t="str">
        <f ca="1">IFERROR(__xludf.DUMMYFUNCTION("""COMPUTED_VALUE"""),"Ibal")</f>
        <v>Ibal</v>
      </c>
      <c r="H195" s="51">
        <f t="shared" ca="1" si="0"/>
        <v>46143</v>
      </c>
      <c r="I195" s="52" t="e">
        <f ca="1">SUMIFS(OUT!$F$2:$F$11000,OUT!$H$2:$H$11000,H195,OUT!$D$2:$D$101007,"In")</f>
        <v>#VALUE!</v>
      </c>
      <c r="J195" s="52">
        <f ca="1">SUMIFS(OUT!$F$2:$F$11000,OUT!$H$2:$H$11000,H195,OUT!$D$2:$D$11000,"Out")</f>
        <v>9490497</v>
      </c>
      <c r="K195" s="52">
        <f ca="1">SUMIFS(OUT!$F$2:$F$11000,OUT!$H$2:$H$11000,H195,OUT!$D$2:$D$11000,"Out",OUT!$E$2:$E$11000,"Fix")</f>
        <v>2703418</v>
      </c>
      <c r="L195" s="52">
        <f ca="1">SUMIFS(OUT!$F$2:$F$11000,OUT!$H$2:$H$11000,H195,OUT!$D$2:$D$11000,"Out",OUT!$E$2:$E$11000,"Bathroom")</f>
        <v>13000</v>
      </c>
      <c r="M195" s="52">
        <f ca="1">SUMIFS(OUT!$F$2:$F$11000,OUT!$H$2:$H$11000,H195,OUT!$D$2:$D$11000,"Out",OUT!$E$2:$E$11000,"Alfa")</f>
        <v>326872</v>
      </c>
      <c r="N195" s="52" t="e">
        <f ca="1">SUMIFS(OUT!$F$2:$F$11000,OUT!$H$2:$H$101007,H195,OUT!$D$2:$D$11000,"Out",OUT!$E$2:$E$11000,"Jajan")</f>
        <v>#VALUE!</v>
      </c>
      <c r="O195" s="52">
        <f ca="1">SUMIFS(OUT!$F$2:$F$11000,OUT!$H$2:$H$11000,H195,OUT!$D$2:$D$11000,"Out",OUT!$E$2:$E$11000,"Kitchen")</f>
        <v>902100</v>
      </c>
      <c r="P195" s="52">
        <f ca="1">SUMIFS(OUT!$F$2:$F$11000,OUT!$H$2:$H$11000,H195,OUT!$D$2:$D$11000,"Out",OUT!$E$2:$E$11000,"Loandry")</f>
        <v>42900</v>
      </c>
      <c r="Q195" s="52">
        <f ca="1">SUMIFS(OUT!$F$2:$F$11000,OUT!$H$2:$H$11000,H195,OUT!$D$2:$D$11000,"Out",OUT!$E$2:$E$11000,"Mio")</f>
        <v>732000</v>
      </c>
      <c r="R195" s="52">
        <f ca="1">SUMIFS(OUT!$F$2:$F$11000,OUT!$H$2:$H$11000,H195,OUT!$D$2:$D$11000,"Out",OUT!$E$2:$E$11000,"Sedekah")</f>
        <v>0</v>
      </c>
      <c r="S195" s="52">
        <f ca="1">SUMIFS(OUT!$F$2:$F$11000,OUT!$H$2:$H$11000,H195,OUT!$D$2:$D$11000,"Out",OUT!$E$2:$E$11000,"Zela")</f>
        <v>47011</v>
      </c>
      <c r="T195" s="52">
        <f ca="1">SUMIFS(OUT!$F$2:$F$11000,OUT!$H$2:$H$11000,H195,OUT!$D$2:$D$11000,"Out",OUT!$E$2:$E$11000,"Iqbal")</f>
        <v>251000</v>
      </c>
    </row>
    <row r="196" spans="1:20" x14ac:dyDescent="0.2">
      <c r="A196" s="48">
        <f ca="1">IFERROR(__xludf.DUMMYFUNCTION("""COMPUTED_VALUE"""),46168)</f>
        <v>46168</v>
      </c>
      <c r="B196" s="4" t="str">
        <f ca="1">IFERROR(__xludf.DUMMYFUNCTION("""COMPUTED_VALUE"""),"pertamax")</f>
        <v>pertamax</v>
      </c>
      <c r="C196" s="4" t="str">
        <f ca="1">IFERROR(__xludf.DUMMYFUNCTION("""COMPUTED_VALUE"""),"Cash")</f>
        <v>Cash</v>
      </c>
      <c r="D196" s="4" t="str">
        <f ca="1">IFERROR(__xludf.DUMMYFUNCTION("""COMPUTED_VALUE"""),"Out")</f>
        <v>Out</v>
      </c>
      <c r="E196" s="4" t="str">
        <f ca="1">IFERROR(__xludf.DUMMYFUNCTION("""COMPUTED_VALUE"""),"Mio")</f>
        <v>Mio</v>
      </c>
      <c r="F196" s="49">
        <f ca="1">IFERROR(__xludf.DUMMYFUNCTION("""COMPUTED_VALUE"""),30000)</f>
        <v>30000</v>
      </c>
      <c r="G196" s="50" t="str">
        <f ca="1">IFERROR(__xludf.DUMMYFUNCTION("""COMPUTED_VALUE"""),"Ibal")</f>
        <v>Ibal</v>
      </c>
      <c r="H196" s="51">
        <f t="shared" ca="1" si="0"/>
        <v>46143</v>
      </c>
      <c r="I196" s="52" t="e">
        <f ca="1">SUMIFS(OUT!$F$2:$F$11000,OUT!$H$2:$H$11000,H196,OUT!$D$2:$D$101007,"In")</f>
        <v>#VALUE!</v>
      </c>
      <c r="J196" s="52">
        <f ca="1">SUMIFS(OUT!$F$2:$F$11000,OUT!$H$2:$H$11000,H196,OUT!$D$2:$D$11000,"Out")</f>
        <v>9490497</v>
      </c>
      <c r="K196" s="52">
        <f ca="1">SUMIFS(OUT!$F$2:$F$11000,OUT!$H$2:$H$11000,H196,OUT!$D$2:$D$11000,"Out",OUT!$E$2:$E$11000,"Fix")</f>
        <v>2703418</v>
      </c>
      <c r="L196" s="52">
        <f ca="1">SUMIFS(OUT!$F$2:$F$11000,OUT!$H$2:$H$11000,H196,OUT!$D$2:$D$11000,"Out",OUT!$E$2:$E$11000,"Bathroom")</f>
        <v>13000</v>
      </c>
      <c r="M196" s="52">
        <f ca="1">SUMIFS(OUT!$F$2:$F$11000,OUT!$H$2:$H$11000,H196,OUT!$D$2:$D$11000,"Out",OUT!$E$2:$E$11000,"Alfa")</f>
        <v>326872</v>
      </c>
      <c r="N196" s="52" t="e">
        <f ca="1">SUMIFS(OUT!$F$2:$F$11000,OUT!$H$2:$H$101007,H196,OUT!$D$2:$D$11000,"Out",OUT!$E$2:$E$11000,"Jajan")</f>
        <v>#VALUE!</v>
      </c>
      <c r="O196" s="52">
        <f ca="1">SUMIFS(OUT!$F$2:$F$11000,OUT!$H$2:$H$11000,H196,OUT!$D$2:$D$11000,"Out",OUT!$E$2:$E$11000,"Kitchen")</f>
        <v>902100</v>
      </c>
      <c r="P196" s="52">
        <f ca="1">SUMIFS(OUT!$F$2:$F$11000,OUT!$H$2:$H$11000,H196,OUT!$D$2:$D$11000,"Out",OUT!$E$2:$E$11000,"Loandry")</f>
        <v>42900</v>
      </c>
      <c r="Q196" s="52">
        <f ca="1">SUMIFS(OUT!$F$2:$F$11000,OUT!$H$2:$H$11000,H196,OUT!$D$2:$D$11000,"Out",OUT!$E$2:$E$11000,"Mio")</f>
        <v>732000</v>
      </c>
      <c r="R196" s="52">
        <f ca="1">SUMIFS(OUT!$F$2:$F$11000,OUT!$H$2:$H$11000,H196,OUT!$D$2:$D$11000,"Out",OUT!$E$2:$E$11000,"Sedekah")</f>
        <v>0</v>
      </c>
      <c r="S196" s="52">
        <f ca="1">SUMIFS(OUT!$F$2:$F$11000,OUT!$H$2:$H$11000,H196,OUT!$D$2:$D$11000,"Out",OUT!$E$2:$E$11000,"Zela")</f>
        <v>47011</v>
      </c>
      <c r="T196" s="52">
        <f ca="1">SUMIFS(OUT!$F$2:$F$11000,OUT!$H$2:$H$11000,H196,OUT!$D$2:$D$11000,"Out",OUT!$E$2:$E$11000,"Iqbal")</f>
        <v>251000</v>
      </c>
    </row>
    <row r="197" spans="1:20" x14ac:dyDescent="0.2">
      <c r="A197" s="48">
        <f ca="1">IFERROR(__xludf.DUMMYFUNCTION("""COMPUTED_VALUE"""),46168)</f>
        <v>46168</v>
      </c>
      <c r="B197" s="4" t="str">
        <f ca="1">IFERROR(__xludf.DUMMYFUNCTION("""COMPUTED_VALUE"""),"teh telor pinang (2)")</f>
        <v>teh telor pinang (2)</v>
      </c>
      <c r="C197" s="4" t="str">
        <f ca="1">IFERROR(__xludf.DUMMYFUNCTION("""COMPUTED_VALUE"""),"Cash")</f>
        <v>Cash</v>
      </c>
      <c r="D197" s="4" t="str">
        <f ca="1">IFERROR(__xludf.DUMMYFUNCTION("""COMPUTED_VALUE"""),"Out")</f>
        <v>Out</v>
      </c>
      <c r="E197" s="4" t="str">
        <f ca="1">IFERROR(__xludf.DUMMYFUNCTION("""COMPUTED_VALUE"""),"Iqbal")</f>
        <v>Iqbal</v>
      </c>
      <c r="F197" s="49">
        <f ca="1">IFERROR(__xludf.DUMMYFUNCTION("""COMPUTED_VALUE"""),28000)</f>
        <v>28000</v>
      </c>
      <c r="G197" s="50" t="str">
        <f ca="1">IFERROR(__xludf.DUMMYFUNCTION("""COMPUTED_VALUE"""),"Ibal")</f>
        <v>Ibal</v>
      </c>
      <c r="H197" s="51">
        <f t="shared" ca="1" si="0"/>
        <v>46143</v>
      </c>
      <c r="I197" s="52" t="e">
        <f ca="1">SUMIFS(OUT!$F$2:$F$11000,OUT!$H$2:$H$11000,H197,OUT!$D$2:$D$101007,"In")</f>
        <v>#VALUE!</v>
      </c>
      <c r="J197" s="52">
        <f ca="1">SUMIFS(OUT!$F$2:$F$11000,OUT!$H$2:$H$11000,H197,OUT!$D$2:$D$11000,"Out")</f>
        <v>9490497</v>
      </c>
      <c r="K197" s="52">
        <f ca="1">SUMIFS(OUT!$F$2:$F$11000,OUT!$H$2:$H$11000,H197,OUT!$D$2:$D$11000,"Out",OUT!$E$2:$E$11000,"Fix")</f>
        <v>2703418</v>
      </c>
      <c r="L197" s="52">
        <f ca="1">SUMIFS(OUT!$F$2:$F$11000,OUT!$H$2:$H$11000,H197,OUT!$D$2:$D$11000,"Out",OUT!$E$2:$E$11000,"Bathroom")</f>
        <v>13000</v>
      </c>
      <c r="M197" s="52">
        <f ca="1">SUMIFS(OUT!$F$2:$F$11000,OUT!$H$2:$H$11000,H197,OUT!$D$2:$D$11000,"Out",OUT!$E$2:$E$11000,"Alfa")</f>
        <v>326872</v>
      </c>
      <c r="N197" s="52" t="e">
        <f ca="1">SUMIFS(OUT!$F$2:$F$11000,OUT!$H$2:$H$101007,H197,OUT!$D$2:$D$11000,"Out",OUT!$E$2:$E$11000,"Jajan")</f>
        <v>#VALUE!</v>
      </c>
      <c r="O197" s="52">
        <f ca="1">SUMIFS(OUT!$F$2:$F$11000,OUT!$H$2:$H$11000,H197,OUT!$D$2:$D$11000,"Out",OUT!$E$2:$E$11000,"Kitchen")</f>
        <v>902100</v>
      </c>
      <c r="P197" s="52">
        <f ca="1">SUMIFS(OUT!$F$2:$F$11000,OUT!$H$2:$H$11000,H197,OUT!$D$2:$D$11000,"Out",OUT!$E$2:$E$11000,"Loandry")</f>
        <v>42900</v>
      </c>
      <c r="Q197" s="52">
        <f ca="1">SUMIFS(OUT!$F$2:$F$11000,OUT!$H$2:$H$11000,H197,OUT!$D$2:$D$11000,"Out",OUT!$E$2:$E$11000,"Mio")</f>
        <v>732000</v>
      </c>
      <c r="R197" s="52">
        <f ca="1">SUMIFS(OUT!$F$2:$F$11000,OUT!$H$2:$H$11000,H197,OUT!$D$2:$D$11000,"Out",OUT!$E$2:$E$11000,"Sedekah")</f>
        <v>0</v>
      </c>
      <c r="S197" s="52">
        <f ca="1">SUMIFS(OUT!$F$2:$F$11000,OUT!$H$2:$H$11000,H197,OUT!$D$2:$D$11000,"Out",OUT!$E$2:$E$11000,"Zela")</f>
        <v>47011</v>
      </c>
      <c r="T197" s="52">
        <f ca="1">SUMIFS(OUT!$F$2:$F$11000,OUT!$H$2:$H$11000,H197,OUT!$D$2:$D$11000,"Out",OUT!$E$2:$E$11000,"Iqbal")</f>
        <v>251000</v>
      </c>
    </row>
    <row r="198" spans="1:20" x14ac:dyDescent="0.2">
      <c r="A198" s="48">
        <f ca="1">IFERROR(__xludf.DUMMYFUNCTION("""COMPUTED_VALUE"""),46169)</f>
        <v>46169</v>
      </c>
      <c r="B198" s="4" t="str">
        <f ca="1">IFERROR(__xludf.DUMMYFUNCTION("""COMPUTED_VALUE"""),"galon")</f>
        <v>galon</v>
      </c>
      <c r="C198" s="4" t="str">
        <f ca="1">IFERROR(__xludf.DUMMYFUNCTION("""COMPUTED_VALUE"""),"Cash")</f>
        <v>Cash</v>
      </c>
      <c r="D198" s="4" t="str">
        <f ca="1">IFERROR(__xludf.DUMMYFUNCTION("""COMPUTED_VALUE"""),"Out")</f>
        <v>Out</v>
      </c>
      <c r="E198" s="4" t="str">
        <f ca="1">IFERROR(__xludf.DUMMYFUNCTION("""COMPUTED_VALUE"""),"Kitchen")</f>
        <v>Kitchen</v>
      </c>
      <c r="F198" s="49">
        <f ca="1">IFERROR(__xludf.DUMMYFUNCTION("""COMPUTED_VALUE"""),4000)</f>
        <v>4000</v>
      </c>
      <c r="G198" s="50" t="str">
        <f ca="1">IFERROR(__xludf.DUMMYFUNCTION("""COMPUTED_VALUE"""),"Ibal")</f>
        <v>Ibal</v>
      </c>
      <c r="H198" s="51">
        <f t="shared" ca="1" si="0"/>
        <v>46143</v>
      </c>
      <c r="I198" s="52" t="e">
        <f ca="1">SUMIFS(OUT!$F$2:$F$11000,OUT!$H$2:$H$11000,H198,OUT!$D$2:$D$101007,"In")</f>
        <v>#VALUE!</v>
      </c>
      <c r="J198" s="52">
        <f ca="1">SUMIFS(OUT!$F$2:$F$11000,OUT!$H$2:$H$11000,H198,OUT!$D$2:$D$11000,"Out")</f>
        <v>9490497</v>
      </c>
      <c r="K198" s="52">
        <f ca="1">SUMIFS(OUT!$F$2:$F$11000,OUT!$H$2:$H$11000,H198,OUT!$D$2:$D$11000,"Out",OUT!$E$2:$E$11000,"Fix")</f>
        <v>2703418</v>
      </c>
      <c r="L198" s="52">
        <f ca="1">SUMIFS(OUT!$F$2:$F$11000,OUT!$H$2:$H$11000,H198,OUT!$D$2:$D$11000,"Out",OUT!$E$2:$E$11000,"Bathroom")</f>
        <v>13000</v>
      </c>
      <c r="M198" s="52">
        <f ca="1">SUMIFS(OUT!$F$2:$F$11000,OUT!$H$2:$H$11000,H198,OUT!$D$2:$D$11000,"Out",OUT!$E$2:$E$11000,"Alfa")</f>
        <v>326872</v>
      </c>
      <c r="N198" s="52" t="e">
        <f ca="1">SUMIFS(OUT!$F$2:$F$11000,OUT!$H$2:$H$101007,H198,OUT!$D$2:$D$11000,"Out",OUT!$E$2:$E$11000,"Jajan")</f>
        <v>#VALUE!</v>
      </c>
      <c r="O198" s="52">
        <f ca="1">SUMIFS(OUT!$F$2:$F$11000,OUT!$H$2:$H$11000,H198,OUT!$D$2:$D$11000,"Out",OUT!$E$2:$E$11000,"Kitchen")</f>
        <v>902100</v>
      </c>
      <c r="P198" s="52">
        <f ca="1">SUMIFS(OUT!$F$2:$F$11000,OUT!$H$2:$H$11000,H198,OUT!$D$2:$D$11000,"Out",OUT!$E$2:$E$11000,"Loandry")</f>
        <v>42900</v>
      </c>
      <c r="Q198" s="52">
        <f ca="1">SUMIFS(OUT!$F$2:$F$11000,OUT!$H$2:$H$11000,H198,OUT!$D$2:$D$11000,"Out",OUT!$E$2:$E$11000,"Mio")</f>
        <v>732000</v>
      </c>
      <c r="R198" s="52">
        <f ca="1">SUMIFS(OUT!$F$2:$F$11000,OUT!$H$2:$H$11000,H198,OUT!$D$2:$D$11000,"Out",OUT!$E$2:$E$11000,"Sedekah")</f>
        <v>0</v>
      </c>
      <c r="S198" s="52">
        <f ca="1">SUMIFS(OUT!$F$2:$F$11000,OUT!$H$2:$H$11000,H198,OUT!$D$2:$D$11000,"Out",OUT!$E$2:$E$11000,"Zela")</f>
        <v>47011</v>
      </c>
      <c r="T198" s="52">
        <f ca="1">SUMIFS(OUT!$F$2:$F$11000,OUT!$H$2:$H$11000,H198,OUT!$D$2:$D$11000,"Out",OUT!$E$2:$E$11000,"Iqbal")</f>
        <v>251000</v>
      </c>
    </row>
    <row r="199" spans="1:20" x14ac:dyDescent="0.2">
      <c r="A199" s="48">
        <f ca="1">IFERROR(__xludf.DUMMYFUNCTION("""COMPUTED_VALUE"""),46169)</f>
        <v>46169</v>
      </c>
      <c r="B199" s="4" t="str">
        <f ca="1">IFERROR(__xludf.DUMMYFUNCTION("""COMPUTED_VALUE"""),"rokok")</f>
        <v>rokok</v>
      </c>
      <c r="C199" s="4" t="str">
        <f ca="1">IFERROR(__xludf.DUMMYFUNCTION("""COMPUTED_VALUE"""),"ATM")</f>
        <v>ATM</v>
      </c>
      <c r="D199" s="4" t="str">
        <f ca="1">IFERROR(__xludf.DUMMYFUNCTION("""COMPUTED_VALUE"""),"Out")</f>
        <v>Out</v>
      </c>
      <c r="E199" s="4" t="str">
        <f ca="1">IFERROR(__xludf.DUMMYFUNCTION("""COMPUTED_VALUE"""),"Iqbal")</f>
        <v>Iqbal</v>
      </c>
      <c r="F199" s="49">
        <f ca="1">IFERROR(__xludf.DUMMYFUNCTION("""COMPUTED_VALUE"""),17000)</f>
        <v>17000</v>
      </c>
      <c r="G199" s="50" t="str">
        <f ca="1">IFERROR(__xludf.DUMMYFUNCTION("""COMPUTED_VALUE"""),"Ibal")</f>
        <v>Ibal</v>
      </c>
      <c r="H199" s="51">
        <f t="shared" ca="1" si="0"/>
        <v>46143</v>
      </c>
      <c r="I199" s="52" t="e">
        <f ca="1">SUMIFS(OUT!$F$2:$F$11000,OUT!$H$2:$H$11000,H199,OUT!$D$2:$D$101007,"In")</f>
        <v>#VALUE!</v>
      </c>
      <c r="J199" s="52">
        <f ca="1">SUMIFS(OUT!$F$2:$F$11000,OUT!$H$2:$H$11000,H199,OUT!$D$2:$D$11000,"Out")</f>
        <v>9490497</v>
      </c>
      <c r="K199" s="52">
        <f ca="1">SUMIFS(OUT!$F$2:$F$11000,OUT!$H$2:$H$11000,H199,OUT!$D$2:$D$11000,"Out",OUT!$E$2:$E$11000,"Fix")</f>
        <v>2703418</v>
      </c>
      <c r="L199" s="52">
        <f ca="1">SUMIFS(OUT!$F$2:$F$11000,OUT!$H$2:$H$11000,H199,OUT!$D$2:$D$11000,"Out",OUT!$E$2:$E$11000,"Bathroom")</f>
        <v>13000</v>
      </c>
      <c r="M199" s="52">
        <f ca="1">SUMIFS(OUT!$F$2:$F$11000,OUT!$H$2:$H$11000,H199,OUT!$D$2:$D$11000,"Out",OUT!$E$2:$E$11000,"Alfa")</f>
        <v>326872</v>
      </c>
      <c r="N199" s="52" t="e">
        <f ca="1">SUMIFS(OUT!$F$2:$F$11000,OUT!$H$2:$H$101007,H199,OUT!$D$2:$D$11000,"Out",OUT!$E$2:$E$11000,"Jajan")</f>
        <v>#VALUE!</v>
      </c>
      <c r="O199" s="52">
        <f ca="1">SUMIFS(OUT!$F$2:$F$11000,OUT!$H$2:$H$11000,H199,OUT!$D$2:$D$11000,"Out",OUT!$E$2:$E$11000,"Kitchen")</f>
        <v>902100</v>
      </c>
      <c r="P199" s="52">
        <f ca="1">SUMIFS(OUT!$F$2:$F$11000,OUT!$H$2:$H$11000,H199,OUT!$D$2:$D$11000,"Out",OUT!$E$2:$E$11000,"Loandry")</f>
        <v>42900</v>
      </c>
      <c r="Q199" s="52">
        <f ca="1">SUMIFS(OUT!$F$2:$F$11000,OUT!$H$2:$H$11000,H199,OUT!$D$2:$D$11000,"Out",OUT!$E$2:$E$11000,"Mio")</f>
        <v>732000</v>
      </c>
      <c r="R199" s="52">
        <f ca="1">SUMIFS(OUT!$F$2:$F$11000,OUT!$H$2:$H$11000,H199,OUT!$D$2:$D$11000,"Out",OUT!$E$2:$E$11000,"Sedekah")</f>
        <v>0</v>
      </c>
      <c r="S199" s="52">
        <f ca="1">SUMIFS(OUT!$F$2:$F$11000,OUT!$H$2:$H$11000,H199,OUT!$D$2:$D$11000,"Out",OUT!$E$2:$E$11000,"Zela")</f>
        <v>47011</v>
      </c>
      <c r="T199" s="52">
        <f ca="1">SUMIFS(OUT!$F$2:$F$11000,OUT!$H$2:$H$11000,H199,OUT!$D$2:$D$11000,"Out",OUT!$E$2:$E$11000,"Iqbal")</f>
        <v>251000</v>
      </c>
    </row>
    <row r="200" spans="1:20" x14ac:dyDescent="0.2">
      <c r="A200" s="48">
        <f ca="1">IFERROR(__xludf.DUMMYFUNCTION("""COMPUTED_VALUE"""),46172)</f>
        <v>46172</v>
      </c>
      <c r="B200" s="4" t="str">
        <f ca="1">IFERROR(__xludf.DUMMYFUNCTION("""COMPUTED_VALUE"""),"Anto (service Mio)")</f>
        <v>Anto (service Mio)</v>
      </c>
      <c r="C200" s="4" t="str">
        <f ca="1">IFERROR(__xludf.DUMMYFUNCTION("""COMPUTED_VALUE"""),"ATM")</f>
        <v>ATM</v>
      </c>
      <c r="D200" s="4" t="str">
        <f ca="1">IFERROR(__xludf.DUMMYFUNCTION("""COMPUTED_VALUE"""),"In")</f>
        <v>In</v>
      </c>
      <c r="E200" s="4" t="str">
        <f ca="1">IFERROR(__xludf.DUMMYFUNCTION("""COMPUTED_VALUE"""),"Fix")</f>
        <v>Fix</v>
      </c>
      <c r="F200" s="49">
        <f ca="1">IFERROR(__xludf.DUMMYFUNCTION("""COMPUTED_VALUE"""),200000)</f>
        <v>200000</v>
      </c>
      <c r="G200" s="50" t="str">
        <f ca="1">IFERROR(__xludf.DUMMYFUNCTION("""COMPUTED_VALUE"""),"Ibal")</f>
        <v>Ibal</v>
      </c>
      <c r="H200" s="51">
        <f t="shared" ca="1" si="0"/>
        <v>46143</v>
      </c>
      <c r="I200" s="52" t="e">
        <f ca="1">SUMIFS(OUT!$F$2:$F$11000,OUT!$H$2:$H$11000,H200,OUT!$D$2:$D$101007,"In")</f>
        <v>#VALUE!</v>
      </c>
      <c r="J200" s="52">
        <f ca="1">SUMIFS(OUT!$F$2:$F$11000,OUT!$H$2:$H$11000,H200,OUT!$D$2:$D$11000,"Out")</f>
        <v>9490497</v>
      </c>
      <c r="K200" s="52">
        <f ca="1">SUMIFS(OUT!$F$2:$F$11000,OUT!$H$2:$H$11000,H200,OUT!$D$2:$D$11000,"Out",OUT!$E$2:$E$11000,"Fix")</f>
        <v>2703418</v>
      </c>
      <c r="L200" s="52">
        <f ca="1">SUMIFS(OUT!$F$2:$F$11000,OUT!$H$2:$H$11000,H200,OUT!$D$2:$D$11000,"Out",OUT!$E$2:$E$11000,"Bathroom")</f>
        <v>13000</v>
      </c>
      <c r="M200" s="52">
        <f ca="1">SUMIFS(OUT!$F$2:$F$11000,OUT!$H$2:$H$11000,H200,OUT!$D$2:$D$11000,"Out",OUT!$E$2:$E$11000,"Alfa")</f>
        <v>326872</v>
      </c>
      <c r="N200" s="52" t="e">
        <f ca="1">SUMIFS(OUT!$F$2:$F$11000,OUT!$H$2:$H$101007,H200,OUT!$D$2:$D$11000,"Out",OUT!$E$2:$E$11000,"Jajan")</f>
        <v>#VALUE!</v>
      </c>
      <c r="O200" s="52">
        <f ca="1">SUMIFS(OUT!$F$2:$F$11000,OUT!$H$2:$H$11000,H200,OUT!$D$2:$D$11000,"Out",OUT!$E$2:$E$11000,"Kitchen")</f>
        <v>902100</v>
      </c>
      <c r="P200" s="52">
        <f ca="1">SUMIFS(OUT!$F$2:$F$11000,OUT!$H$2:$H$11000,H200,OUT!$D$2:$D$11000,"Out",OUT!$E$2:$E$11000,"Loandry")</f>
        <v>42900</v>
      </c>
      <c r="Q200" s="52">
        <f ca="1">SUMIFS(OUT!$F$2:$F$11000,OUT!$H$2:$H$11000,H200,OUT!$D$2:$D$11000,"Out",OUT!$E$2:$E$11000,"Mio")</f>
        <v>732000</v>
      </c>
      <c r="R200" s="52">
        <f ca="1">SUMIFS(OUT!$F$2:$F$11000,OUT!$H$2:$H$11000,H200,OUT!$D$2:$D$11000,"Out",OUT!$E$2:$E$11000,"Sedekah")</f>
        <v>0</v>
      </c>
      <c r="S200" s="52">
        <f ca="1">SUMIFS(OUT!$F$2:$F$11000,OUT!$H$2:$H$11000,H200,OUT!$D$2:$D$11000,"Out",OUT!$E$2:$E$11000,"Zela")</f>
        <v>47011</v>
      </c>
      <c r="T200" s="52">
        <f ca="1">SUMIFS(OUT!$F$2:$F$11000,OUT!$H$2:$H$11000,H200,OUT!$D$2:$D$11000,"Out",OUT!$E$2:$E$11000,"Iqbal")</f>
        <v>251000</v>
      </c>
    </row>
    <row r="201" spans="1:20" x14ac:dyDescent="0.2">
      <c r="A201" s="48">
        <f ca="1">IFERROR(__xludf.DUMMYFUNCTION("""COMPUTED_VALUE"""),46172)</f>
        <v>46172</v>
      </c>
      <c r="B201" s="4" t="str">
        <f ca="1">IFERROR(__xludf.DUMMYFUNCTION("""COMPUTED_VALUE"""),"tarik tunai")</f>
        <v>tarik tunai</v>
      </c>
      <c r="C201" s="4" t="str">
        <f ca="1">IFERROR(__xludf.DUMMYFUNCTION("""COMPUTED_VALUE"""),"ATM")</f>
        <v>ATM</v>
      </c>
      <c r="D201" s="4" t="str">
        <f ca="1">IFERROR(__xludf.DUMMYFUNCTION("""COMPUTED_VALUE"""),"Out")</f>
        <v>Out</v>
      </c>
      <c r="E201" s="4" t="str">
        <f ca="1">IFERROR(__xludf.DUMMYFUNCTION("""COMPUTED_VALUE"""),"Move")</f>
        <v>Move</v>
      </c>
      <c r="F201" s="49">
        <f ca="1">IFERROR(__xludf.DUMMYFUNCTION("""COMPUTED_VALUE"""),200000)</f>
        <v>200000</v>
      </c>
      <c r="G201" s="50" t="str">
        <f ca="1">IFERROR(__xludf.DUMMYFUNCTION("""COMPUTED_VALUE"""),"Ibal")</f>
        <v>Ibal</v>
      </c>
      <c r="H201" s="51">
        <f t="shared" ca="1" si="0"/>
        <v>46143</v>
      </c>
      <c r="I201" s="52" t="e">
        <f ca="1">SUMIFS(OUT!$F$2:$F$11000,OUT!$H$2:$H$11000,H201,OUT!$D$2:$D$101007,"In")</f>
        <v>#VALUE!</v>
      </c>
      <c r="J201" s="52">
        <f ca="1">SUMIFS(OUT!$F$2:$F$11000,OUT!$H$2:$H$11000,H201,OUT!$D$2:$D$11000,"Out")</f>
        <v>9490497</v>
      </c>
      <c r="K201" s="52">
        <f ca="1">SUMIFS(OUT!$F$2:$F$11000,OUT!$H$2:$H$11000,H201,OUT!$D$2:$D$11000,"Out",OUT!$E$2:$E$11000,"Fix")</f>
        <v>2703418</v>
      </c>
      <c r="L201" s="52">
        <f ca="1">SUMIFS(OUT!$F$2:$F$11000,OUT!$H$2:$H$11000,H201,OUT!$D$2:$D$11000,"Out",OUT!$E$2:$E$11000,"Bathroom")</f>
        <v>13000</v>
      </c>
      <c r="M201" s="52">
        <f ca="1">SUMIFS(OUT!$F$2:$F$11000,OUT!$H$2:$H$11000,H201,OUT!$D$2:$D$11000,"Out",OUT!$E$2:$E$11000,"Alfa")</f>
        <v>326872</v>
      </c>
      <c r="N201" s="52" t="e">
        <f ca="1">SUMIFS(OUT!$F$2:$F$11000,OUT!$H$2:$H$101007,H201,OUT!$D$2:$D$11000,"Out",OUT!$E$2:$E$11000,"Jajan")</f>
        <v>#VALUE!</v>
      </c>
      <c r="O201" s="52">
        <f ca="1">SUMIFS(OUT!$F$2:$F$11000,OUT!$H$2:$H$11000,H201,OUT!$D$2:$D$11000,"Out",OUT!$E$2:$E$11000,"Kitchen")</f>
        <v>902100</v>
      </c>
      <c r="P201" s="52">
        <f ca="1">SUMIFS(OUT!$F$2:$F$11000,OUT!$H$2:$H$11000,H201,OUT!$D$2:$D$11000,"Out",OUT!$E$2:$E$11000,"Loandry")</f>
        <v>42900</v>
      </c>
      <c r="Q201" s="52">
        <f ca="1">SUMIFS(OUT!$F$2:$F$11000,OUT!$H$2:$H$11000,H201,OUT!$D$2:$D$11000,"Out",OUT!$E$2:$E$11000,"Mio")</f>
        <v>732000</v>
      </c>
      <c r="R201" s="52">
        <f ca="1">SUMIFS(OUT!$F$2:$F$11000,OUT!$H$2:$H$11000,H201,OUT!$D$2:$D$11000,"Out",OUT!$E$2:$E$11000,"Sedekah")</f>
        <v>0</v>
      </c>
      <c r="S201" s="52">
        <f ca="1">SUMIFS(OUT!$F$2:$F$11000,OUT!$H$2:$H$11000,H201,OUT!$D$2:$D$11000,"Out",OUT!$E$2:$E$11000,"Zela")</f>
        <v>47011</v>
      </c>
      <c r="T201" s="52">
        <f ca="1">SUMIFS(OUT!$F$2:$F$11000,OUT!$H$2:$H$11000,H201,OUT!$D$2:$D$11000,"Out",OUT!$E$2:$E$11000,"Iqbal")</f>
        <v>251000</v>
      </c>
    </row>
    <row r="202" spans="1:20" x14ac:dyDescent="0.2">
      <c r="A202" s="48">
        <f ca="1">IFERROR(__xludf.DUMMYFUNCTION("""COMPUTED_VALUE"""),46172)</f>
        <v>46172</v>
      </c>
      <c r="B202" s="4" t="str">
        <f ca="1">IFERROR(__xludf.DUMMYFUNCTION("""COMPUTED_VALUE"""),"terima tunai")</f>
        <v>terima tunai</v>
      </c>
      <c r="C202" s="4" t="str">
        <f ca="1">IFERROR(__xludf.DUMMYFUNCTION("""COMPUTED_VALUE"""),"Cash")</f>
        <v>Cash</v>
      </c>
      <c r="D202" s="4" t="str">
        <f ca="1">IFERROR(__xludf.DUMMYFUNCTION("""COMPUTED_VALUE"""),"In")</f>
        <v>In</v>
      </c>
      <c r="E202" s="4" t="str">
        <f ca="1">IFERROR(__xludf.DUMMYFUNCTION("""COMPUTED_VALUE"""),"Move")</f>
        <v>Move</v>
      </c>
      <c r="F202" s="49">
        <f ca="1">IFERROR(__xludf.DUMMYFUNCTION("""COMPUTED_VALUE"""),200000)</f>
        <v>200000</v>
      </c>
      <c r="G202" s="50" t="str">
        <f ca="1">IFERROR(__xludf.DUMMYFUNCTION("""COMPUTED_VALUE"""),"Ibal")</f>
        <v>Ibal</v>
      </c>
      <c r="H202" s="51">
        <f t="shared" ca="1" si="0"/>
        <v>46143</v>
      </c>
      <c r="I202" s="52" t="e">
        <f ca="1">SUMIFS(OUT!$F$2:$F$11000,OUT!$H$2:$H$11000,H202,OUT!$D$2:$D$101007,"In")</f>
        <v>#VALUE!</v>
      </c>
      <c r="J202" s="52">
        <f ca="1">SUMIFS(OUT!$F$2:$F$11000,OUT!$H$2:$H$11000,H202,OUT!$D$2:$D$11000,"Out")</f>
        <v>9490497</v>
      </c>
      <c r="K202" s="52">
        <f ca="1">SUMIFS(OUT!$F$2:$F$11000,OUT!$H$2:$H$11000,H202,OUT!$D$2:$D$11000,"Out",OUT!$E$2:$E$11000,"Fix")</f>
        <v>2703418</v>
      </c>
      <c r="L202" s="52">
        <f ca="1">SUMIFS(OUT!$F$2:$F$11000,OUT!$H$2:$H$11000,H202,OUT!$D$2:$D$11000,"Out",OUT!$E$2:$E$11000,"Bathroom")</f>
        <v>13000</v>
      </c>
      <c r="M202" s="52">
        <f ca="1">SUMIFS(OUT!$F$2:$F$11000,OUT!$H$2:$H$11000,H202,OUT!$D$2:$D$11000,"Out",OUT!$E$2:$E$11000,"Alfa")</f>
        <v>326872</v>
      </c>
      <c r="N202" s="52" t="e">
        <f ca="1">SUMIFS(OUT!$F$2:$F$11000,OUT!$H$2:$H$101007,H202,OUT!$D$2:$D$11000,"Out",OUT!$E$2:$E$11000,"Jajan")</f>
        <v>#VALUE!</v>
      </c>
      <c r="O202" s="52">
        <f ca="1">SUMIFS(OUT!$F$2:$F$11000,OUT!$H$2:$H$11000,H202,OUT!$D$2:$D$11000,"Out",OUT!$E$2:$E$11000,"Kitchen")</f>
        <v>902100</v>
      </c>
      <c r="P202" s="52">
        <f ca="1">SUMIFS(OUT!$F$2:$F$11000,OUT!$H$2:$H$11000,H202,OUT!$D$2:$D$11000,"Out",OUT!$E$2:$E$11000,"Loandry")</f>
        <v>42900</v>
      </c>
      <c r="Q202" s="52">
        <f ca="1">SUMIFS(OUT!$F$2:$F$11000,OUT!$H$2:$H$11000,H202,OUT!$D$2:$D$11000,"Out",OUT!$E$2:$E$11000,"Mio")</f>
        <v>732000</v>
      </c>
      <c r="R202" s="52">
        <f ca="1">SUMIFS(OUT!$F$2:$F$11000,OUT!$H$2:$H$11000,H202,OUT!$D$2:$D$11000,"Out",OUT!$E$2:$E$11000,"Sedekah")</f>
        <v>0</v>
      </c>
      <c r="S202" s="52">
        <f ca="1">SUMIFS(OUT!$F$2:$F$11000,OUT!$H$2:$H$11000,H202,OUT!$D$2:$D$11000,"Out",OUT!$E$2:$E$11000,"Zela")</f>
        <v>47011</v>
      </c>
      <c r="T202" s="52">
        <f ca="1">SUMIFS(OUT!$F$2:$F$11000,OUT!$H$2:$H$11000,H202,OUT!$D$2:$D$11000,"Out",OUT!$E$2:$E$11000,"Iqbal")</f>
        <v>251000</v>
      </c>
    </row>
    <row r="203" spans="1:20" x14ac:dyDescent="0.2">
      <c r="A203" s="48">
        <f ca="1">IFERROR(__xludf.DUMMYFUNCTION("""COMPUTED_VALUE"""),46172)</f>
        <v>46172</v>
      </c>
      <c r="B203" s="4" t="str">
        <f ca="1">IFERROR(__xludf.DUMMYFUNCTION("""COMPUTED_VALUE"""),"arang (2kg)")</f>
        <v>arang (2kg)</v>
      </c>
      <c r="C203" s="4" t="str">
        <f ca="1">IFERROR(__xludf.DUMMYFUNCTION("""COMPUTED_VALUE"""),"Cash")</f>
        <v>Cash</v>
      </c>
      <c r="D203" s="4" t="str">
        <f ca="1">IFERROR(__xludf.DUMMYFUNCTION("""COMPUTED_VALUE"""),"Out")</f>
        <v>Out</v>
      </c>
      <c r="E203" s="4" t="str">
        <f ca="1">IFERROR(__xludf.DUMMYFUNCTION("""COMPUTED_VALUE"""),"Jajan")</f>
        <v>Jajan</v>
      </c>
      <c r="F203" s="49">
        <f ca="1">IFERROR(__xludf.DUMMYFUNCTION("""COMPUTED_VALUE"""),20000)</f>
        <v>20000</v>
      </c>
      <c r="G203" s="50" t="str">
        <f ca="1">IFERROR(__xludf.DUMMYFUNCTION("""COMPUTED_VALUE"""),"Ibal")</f>
        <v>Ibal</v>
      </c>
      <c r="H203" s="51">
        <f t="shared" ca="1" si="0"/>
        <v>46143</v>
      </c>
      <c r="I203" s="52" t="e">
        <f ca="1">SUMIFS(OUT!$F$2:$F$11000,OUT!$H$2:$H$11000,H203,OUT!$D$2:$D$101007,"In")</f>
        <v>#VALUE!</v>
      </c>
      <c r="J203" s="52">
        <f ca="1">SUMIFS(OUT!$F$2:$F$11000,OUT!$H$2:$H$11000,H203,OUT!$D$2:$D$11000,"Out")</f>
        <v>9490497</v>
      </c>
      <c r="K203" s="52">
        <f ca="1">SUMIFS(OUT!$F$2:$F$11000,OUT!$H$2:$H$11000,H203,OUT!$D$2:$D$11000,"Out",OUT!$E$2:$E$11000,"Fix")</f>
        <v>2703418</v>
      </c>
      <c r="L203" s="52">
        <f ca="1">SUMIFS(OUT!$F$2:$F$11000,OUT!$H$2:$H$11000,H203,OUT!$D$2:$D$11000,"Out",OUT!$E$2:$E$11000,"Bathroom")</f>
        <v>13000</v>
      </c>
      <c r="M203" s="52">
        <f ca="1">SUMIFS(OUT!$F$2:$F$11000,OUT!$H$2:$H$11000,H203,OUT!$D$2:$D$11000,"Out",OUT!$E$2:$E$11000,"Alfa")</f>
        <v>326872</v>
      </c>
      <c r="N203" s="52" t="e">
        <f ca="1">SUMIFS(OUT!$F$2:$F$11000,OUT!$H$2:$H$101007,H203,OUT!$D$2:$D$11000,"Out",OUT!$E$2:$E$11000,"Jajan")</f>
        <v>#VALUE!</v>
      </c>
      <c r="O203" s="52">
        <f ca="1">SUMIFS(OUT!$F$2:$F$11000,OUT!$H$2:$H$11000,H203,OUT!$D$2:$D$11000,"Out",OUT!$E$2:$E$11000,"Kitchen")</f>
        <v>902100</v>
      </c>
      <c r="P203" s="52">
        <f ca="1">SUMIFS(OUT!$F$2:$F$11000,OUT!$H$2:$H$11000,H203,OUT!$D$2:$D$11000,"Out",OUT!$E$2:$E$11000,"Loandry")</f>
        <v>42900</v>
      </c>
      <c r="Q203" s="52">
        <f ca="1">SUMIFS(OUT!$F$2:$F$11000,OUT!$H$2:$H$11000,H203,OUT!$D$2:$D$11000,"Out",OUT!$E$2:$E$11000,"Mio")</f>
        <v>732000</v>
      </c>
      <c r="R203" s="52">
        <f ca="1">SUMIFS(OUT!$F$2:$F$11000,OUT!$H$2:$H$11000,H203,OUT!$D$2:$D$11000,"Out",OUT!$E$2:$E$11000,"Sedekah")</f>
        <v>0</v>
      </c>
      <c r="S203" s="52">
        <f ca="1">SUMIFS(OUT!$F$2:$F$11000,OUT!$H$2:$H$11000,H203,OUT!$D$2:$D$11000,"Out",OUT!$E$2:$E$11000,"Zela")</f>
        <v>47011</v>
      </c>
      <c r="T203" s="52">
        <f ca="1">SUMIFS(OUT!$F$2:$F$11000,OUT!$H$2:$H$11000,H203,OUT!$D$2:$D$11000,"Out",OUT!$E$2:$E$11000,"Iqbal")</f>
        <v>251000</v>
      </c>
    </row>
    <row r="204" spans="1:20" x14ac:dyDescent="0.2">
      <c r="A204" s="48">
        <f ca="1">IFERROR(__xludf.DUMMYFUNCTION("""COMPUTED_VALUE"""),46172)</f>
        <v>46172</v>
      </c>
      <c r="B204" s="4" t="str">
        <f ca="1">IFERROR(__xludf.DUMMYFUNCTION("""COMPUTED_VALUE"""),"mama lemon")</f>
        <v>mama lemon</v>
      </c>
      <c r="C204" s="4" t="str">
        <f ca="1">IFERROR(__xludf.DUMMYFUNCTION("""COMPUTED_VALUE"""),"Cash")</f>
        <v>Cash</v>
      </c>
      <c r="D204" s="4" t="str">
        <f ca="1">IFERROR(__xludf.DUMMYFUNCTION("""COMPUTED_VALUE"""),"Out")</f>
        <v>Out</v>
      </c>
      <c r="E204" s="4" t="str">
        <f ca="1">IFERROR(__xludf.DUMMYFUNCTION("""COMPUTED_VALUE"""),"Kitchen")</f>
        <v>Kitchen</v>
      </c>
      <c r="F204" s="49">
        <f ca="1">IFERROR(__xludf.DUMMYFUNCTION("""COMPUTED_VALUE"""),4000)</f>
        <v>4000</v>
      </c>
      <c r="G204" s="50" t="str">
        <f ca="1">IFERROR(__xludf.DUMMYFUNCTION("""COMPUTED_VALUE"""),"Ibal")</f>
        <v>Ibal</v>
      </c>
      <c r="H204" s="51">
        <f t="shared" ca="1" si="0"/>
        <v>46143</v>
      </c>
      <c r="I204" s="52" t="e">
        <f ca="1">SUMIFS(OUT!$F$2:$F$11000,OUT!$H$2:$H$11000,H204,OUT!$D$2:$D$101007,"In")</f>
        <v>#VALUE!</v>
      </c>
      <c r="J204" s="52">
        <f ca="1">SUMIFS(OUT!$F$2:$F$11000,OUT!$H$2:$H$11000,H204,OUT!$D$2:$D$11000,"Out")</f>
        <v>9490497</v>
      </c>
      <c r="K204" s="52">
        <f ca="1">SUMIFS(OUT!$F$2:$F$11000,OUT!$H$2:$H$11000,H204,OUT!$D$2:$D$11000,"Out",OUT!$E$2:$E$11000,"Fix")</f>
        <v>2703418</v>
      </c>
      <c r="L204" s="52">
        <f ca="1">SUMIFS(OUT!$F$2:$F$11000,OUT!$H$2:$H$11000,H204,OUT!$D$2:$D$11000,"Out",OUT!$E$2:$E$11000,"Bathroom")</f>
        <v>13000</v>
      </c>
      <c r="M204" s="52">
        <f ca="1">SUMIFS(OUT!$F$2:$F$11000,OUT!$H$2:$H$11000,H204,OUT!$D$2:$D$11000,"Out",OUT!$E$2:$E$11000,"Alfa")</f>
        <v>326872</v>
      </c>
      <c r="N204" s="52" t="e">
        <f ca="1">SUMIFS(OUT!$F$2:$F$11000,OUT!$H$2:$H$101007,H204,OUT!$D$2:$D$11000,"Out",OUT!$E$2:$E$11000,"Jajan")</f>
        <v>#VALUE!</v>
      </c>
      <c r="O204" s="52">
        <f ca="1">SUMIFS(OUT!$F$2:$F$11000,OUT!$H$2:$H$11000,H204,OUT!$D$2:$D$11000,"Out",OUT!$E$2:$E$11000,"Kitchen")</f>
        <v>902100</v>
      </c>
      <c r="P204" s="52">
        <f ca="1">SUMIFS(OUT!$F$2:$F$11000,OUT!$H$2:$H$11000,H204,OUT!$D$2:$D$11000,"Out",OUT!$E$2:$E$11000,"Loandry")</f>
        <v>42900</v>
      </c>
      <c r="Q204" s="52">
        <f ca="1">SUMIFS(OUT!$F$2:$F$11000,OUT!$H$2:$H$11000,H204,OUT!$D$2:$D$11000,"Out",OUT!$E$2:$E$11000,"Mio")</f>
        <v>732000</v>
      </c>
      <c r="R204" s="52">
        <f ca="1">SUMIFS(OUT!$F$2:$F$11000,OUT!$H$2:$H$11000,H204,OUT!$D$2:$D$11000,"Out",OUT!$E$2:$E$11000,"Sedekah")</f>
        <v>0</v>
      </c>
      <c r="S204" s="52">
        <f ca="1">SUMIFS(OUT!$F$2:$F$11000,OUT!$H$2:$H$11000,H204,OUT!$D$2:$D$11000,"Out",OUT!$E$2:$E$11000,"Zela")</f>
        <v>47011</v>
      </c>
      <c r="T204" s="52">
        <f ca="1">SUMIFS(OUT!$F$2:$F$11000,OUT!$H$2:$H$11000,H204,OUT!$D$2:$D$11000,"Out",OUT!$E$2:$E$11000,"Iqbal")</f>
        <v>251000</v>
      </c>
    </row>
    <row r="205" spans="1:20" x14ac:dyDescent="0.2">
      <c r="A205" s="48">
        <f ca="1">IFERROR(__xludf.DUMMYFUNCTION("""COMPUTED_VALUE"""),46172)</f>
        <v>46172</v>
      </c>
      <c r="B205" s="4" t="str">
        <f ca="1">IFERROR(__xludf.DUMMYFUNCTION("""COMPUTED_VALUE"""),"desaku ketumbar (2)")</f>
        <v>desaku ketumbar (2)</v>
      </c>
      <c r="C205" s="4" t="str">
        <f ca="1">IFERROR(__xludf.DUMMYFUNCTION("""COMPUTED_VALUE"""),"Cash")</f>
        <v>Cash</v>
      </c>
      <c r="D205" s="4" t="str">
        <f ca="1">IFERROR(__xludf.DUMMYFUNCTION("""COMPUTED_VALUE"""),"Out")</f>
        <v>Out</v>
      </c>
      <c r="E205" s="4" t="str">
        <f ca="1">IFERROR(__xludf.DUMMYFUNCTION("""COMPUTED_VALUE"""),"Kitchen")</f>
        <v>Kitchen</v>
      </c>
      <c r="F205" s="49">
        <f ca="1">IFERROR(__xludf.DUMMYFUNCTION("""COMPUTED_VALUE"""),2000)</f>
        <v>2000</v>
      </c>
      <c r="G205" s="50" t="str">
        <f ca="1">IFERROR(__xludf.DUMMYFUNCTION("""COMPUTED_VALUE"""),"Ibal")</f>
        <v>Ibal</v>
      </c>
      <c r="H205" s="51">
        <f t="shared" ca="1" si="0"/>
        <v>46143</v>
      </c>
      <c r="I205" s="52" t="e">
        <f ca="1">SUMIFS(OUT!$F$2:$F$11000,OUT!$H$2:$H$11000,H205,OUT!$D$2:$D$101007,"In")</f>
        <v>#VALUE!</v>
      </c>
      <c r="J205" s="52">
        <f ca="1">SUMIFS(OUT!$F$2:$F$11000,OUT!$H$2:$H$11000,H205,OUT!$D$2:$D$11000,"Out")</f>
        <v>9490497</v>
      </c>
      <c r="K205" s="52">
        <f ca="1">SUMIFS(OUT!$F$2:$F$11000,OUT!$H$2:$H$11000,H205,OUT!$D$2:$D$11000,"Out",OUT!$E$2:$E$11000,"Fix")</f>
        <v>2703418</v>
      </c>
      <c r="L205" s="52">
        <f ca="1">SUMIFS(OUT!$F$2:$F$11000,OUT!$H$2:$H$11000,H205,OUT!$D$2:$D$11000,"Out",OUT!$E$2:$E$11000,"Bathroom")</f>
        <v>13000</v>
      </c>
      <c r="M205" s="52">
        <f ca="1">SUMIFS(OUT!$F$2:$F$11000,OUT!$H$2:$H$11000,H205,OUT!$D$2:$D$11000,"Out",OUT!$E$2:$E$11000,"Alfa")</f>
        <v>326872</v>
      </c>
      <c r="N205" s="52" t="e">
        <f ca="1">SUMIFS(OUT!$F$2:$F$11000,OUT!$H$2:$H$101007,H205,OUT!$D$2:$D$11000,"Out",OUT!$E$2:$E$11000,"Jajan")</f>
        <v>#VALUE!</v>
      </c>
      <c r="O205" s="52">
        <f ca="1">SUMIFS(OUT!$F$2:$F$11000,OUT!$H$2:$H$11000,H205,OUT!$D$2:$D$11000,"Out",OUT!$E$2:$E$11000,"Kitchen")</f>
        <v>902100</v>
      </c>
      <c r="P205" s="52">
        <f ca="1">SUMIFS(OUT!$F$2:$F$11000,OUT!$H$2:$H$11000,H205,OUT!$D$2:$D$11000,"Out",OUT!$E$2:$E$11000,"Loandry")</f>
        <v>42900</v>
      </c>
      <c r="Q205" s="52">
        <f ca="1">SUMIFS(OUT!$F$2:$F$11000,OUT!$H$2:$H$11000,H205,OUT!$D$2:$D$11000,"Out",OUT!$E$2:$E$11000,"Mio")</f>
        <v>732000</v>
      </c>
      <c r="R205" s="52">
        <f ca="1">SUMIFS(OUT!$F$2:$F$11000,OUT!$H$2:$H$11000,H205,OUT!$D$2:$D$11000,"Out",OUT!$E$2:$E$11000,"Sedekah")</f>
        <v>0</v>
      </c>
      <c r="S205" s="52">
        <f ca="1">SUMIFS(OUT!$F$2:$F$11000,OUT!$H$2:$H$11000,H205,OUT!$D$2:$D$11000,"Out",OUT!$E$2:$E$11000,"Zela")</f>
        <v>47011</v>
      </c>
      <c r="T205" s="52">
        <f ca="1">SUMIFS(OUT!$F$2:$F$11000,OUT!$H$2:$H$11000,H205,OUT!$D$2:$D$11000,"Out",OUT!$E$2:$E$11000,"Iqbal")</f>
        <v>251000</v>
      </c>
    </row>
    <row r="206" spans="1:20" x14ac:dyDescent="0.2">
      <c r="A206" s="48">
        <f ca="1">IFERROR(__xludf.DUMMYFUNCTION("""COMPUTED_VALUE"""),46172)</f>
        <v>46172</v>
      </c>
      <c r="B206" s="4" t="str">
        <f ca="1">IFERROR(__xludf.DUMMYFUNCTION("""COMPUTED_VALUE"""),"roti gabin (2)")</f>
        <v>roti gabin (2)</v>
      </c>
      <c r="C206" s="4" t="str">
        <f ca="1">IFERROR(__xludf.DUMMYFUNCTION("""COMPUTED_VALUE"""),"Cash")</f>
        <v>Cash</v>
      </c>
      <c r="D206" s="4" t="str">
        <f ca="1">IFERROR(__xludf.DUMMYFUNCTION("""COMPUTED_VALUE"""),"Out")</f>
        <v>Out</v>
      </c>
      <c r="E206" s="4" t="str">
        <f ca="1">IFERROR(__xludf.DUMMYFUNCTION("""COMPUTED_VALUE"""),"Jajan")</f>
        <v>Jajan</v>
      </c>
      <c r="F206" s="49">
        <f ca="1">IFERROR(__xludf.DUMMYFUNCTION("""COMPUTED_VALUE"""),16000)</f>
        <v>16000</v>
      </c>
      <c r="G206" s="50" t="str">
        <f ca="1">IFERROR(__xludf.DUMMYFUNCTION("""COMPUTED_VALUE"""),"Ibal")</f>
        <v>Ibal</v>
      </c>
      <c r="H206" s="51">
        <f t="shared" ca="1" si="0"/>
        <v>46143</v>
      </c>
      <c r="I206" s="52" t="e">
        <f ca="1">SUMIFS(OUT!$F$2:$F$11000,OUT!$H$2:$H$11000,H206,OUT!$D$2:$D$101007,"In")</f>
        <v>#VALUE!</v>
      </c>
      <c r="J206" s="52">
        <f ca="1">SUMIFS(OUT!$F$2:$F$11000,OUT!$H$2:$H$11000,H206,OUT!$D$2:$D$11000,"Out")</f>
        <v>9490497</v>
      </c>
      <c r="K206" s="52">
        <f ca="1">SUMIFS(OUT!$F$2:$F$11000,OUT!$H$2:$H$11000,H206,OUT!$D$2:$D$11000,"Out",OUT!$E$2:$E$11000,"Fix")</f>
        <v>2703418</v>
      </c>
      <c r="L206" s="52">
        <f ca="1">SUMIFS(OUT!$F$2:$F$11000,OUT!$H$2:$H$11000,H206,OUT!$D$2:$D$11000,"Out",OUT!$E$2:$E$11000,"Bathroom")</f>
        <v>13000</v>
      </c>
      <c r="M206" s="52">
        <f ca="1">SUMIFS(OUT!$F$2:$F$11000,OUT!$H$2:$H$11000,H206,OUT!$D$2:$D$11000,"Out",OUT!$E$2:$E$11000,"Alfa")</f>
        <v>326872</v>
      </c>
      <c r="N206" s="52" t="e">
        <f ca="1">SUMIFS(OUT!$F$2:$F$11000,OUT!$H$2:$H$101007,H206,OUT!$D$2:$D$11000,"Out",OUT!$E$2:$E$11000,"Jajan")</f>
        <v>#VALUE!</v>
      </c>
      <c r="O206" s="52">
        <f ca="1">SUMIFS(OUT!$F$2:$F$11000,OUT!$H$2:$H$11000,H206,OUT!$D$2:$D$11000,"Out",OUT!$E$2:$E$11000,"Kitchen")</f>
        <v>902100</v>
      </c>
      <c r="P206" s="52">
        <f ca="1">SUMIFS(OUT!$F$2:$F$11000,OUT!$H$2:$H$11000,H206,OUT!$D$2:$D$11000,"Out",OUT!$E$2:$E$11000,"Loandry")</f>
        <v>42900</v>
      </c>
      <c r="Q206" s="52">
        <f ca="1">SUMIFS(OUT!$F$2:$F$11000,OUT!$H$2:$H$11000,H206,OUT!$D$2:$D$11000,"Out",OUT!$E$2:$E$11000,"Mio")</f>
        <v>732000</v>
      </c>
      <c r="R206" s="52">
        <f ca="1">SUMIFS(OUT!$F$2:$F$11000,OUT!$H$2:$H$11000,H206,OUT!$D$2:$D$11000,"Out",OUT!$E$2:$E$11000,"Sedekah")</f>
        <v>0</v>
      </c>
      <c r="S206" s="52">
        <f ca="1">SUMIFS(OUT!$F$2:$F$11000,OUT!$H$2:$H$11000,H206,OUT!$D$2:$D$11000,"Out",OUT!$E$2:$E$11000,"Zela")</f>
        <v>47011</v>
      </c>
      <c r="T206" s="52">
        <f ca="1">SUMIFS(OUT!$F$2:$F$11000,OUT!$H$2:$H$11000,H206,OUT!$D$2:$D$11000,"Out",OUT!$E$2:$E$11000,"Iqbal")</f>
        <v>251000</v>
      </c>
    </row>
    <row r="207" spans="1:20" x14ac:dyDescent="0.2">
      <c r="A207" s="48">
        <f ca="1">IFERROR(__xludf.DUMMYFUNCTION("""COMPUTED_VALUE"""),46173)</f>
        <v>46173</v>
      </c>
      <c r="B207" s="4" t="str">
        <f ca="1">IFERROR(__xludf.DUMMYFUNCTION("""COMPUTED_VALUE"""),"roller, oli gear, seal puli, pempers")</f>
        <v>roller, oli gear, seal puli, pempers</v>
      </c>
      <c r="C207" s="4" t="str">
        <f ca="1">IFERROR(__xludf.DUMMYFUNCTION("""COMPUTED_VALUE"""),"Cash")</f>
        <v>Cash</v>
      </c>
      <c r="D207" s="4" t="str">
        <f ca="1">IFERROR(__xludf.DUMMYFUNCTION("""COMPUTED_VALUE"""),"Out")</f>
        <v>Out</v>
      </c>
      <c r="E207" s="4" t="str">
        <f ca="1">IFERROR(__xludf.DUMMYFUNCTION("""COMPUTED_VALUE"""),"Mio")</f>
        <v>Mio</v>
      </c>
      <c r="F207" s="49">
        <f ca="1">IFERROR(__xludf.DUMMYFUNCTION("""COMPUTED_VALUE"""),146000)</f>
        <v>146000</v>
      </c>
      <c r="G207" s="50" t="str">
        <f ca="1">IFERROR(__xludf.DUMMYFUNCTION("""COMPUTED_VALUE"""),"Ibal")</f>
        <v>Ibal</v>
      </c>
      <c r="H207" s="51">
        <f t="shared" ca="1" si="0"/>
        <v>46143</v>
      </c>
      <c r="I207" s="52" t="e">
        <f ca="1">SUMIFS(OUT!$F$2:$F$11000,OUT!$H$2:$H$11000,H207,OUT!$D$2:$D$101007,"In")</f>
        <v>#VALUE!</v>
      </c>
      <c r="J207" s="52">
        <f ca="1">SUMIFS(OUT!$F$2:$F$11000,OUT!$H$2:$H$11000,H207,OUT!$D$2:$D$11000,"Out")</f>
        <v>9490497</v>
      </c>
      <c r="K207" s="52">
        <f ca="1">SUMIFS(OUT!$F$2:$F$11000,OUT!$H$2:$H$11000,H207,OUT!$D$2:$D$11000,"Out",OUT!$E$2:$E$11000,"Fix")</f>
        <v>2703418</v>
      </c>
      <c r="L207" s="52">
        <f ca="1">SUMIFS(OUT!$F$2:$F$11000,OUT!$H$2:$H$11000,H207,OUT!$D$2:$D$11000,"Out",OUT!$E$2:$E$11000,"Bathroom")</f>
        <v>13000</v>
      </c>
      <c r="M207" s="52">
        <f ca="1">SUMIFS(OUT!$F$2:$F$11000,OUT!$H$2:$H$11000,H207,OUT!$D$2:$D$11000,"Out",OUT!$E$2:$E$11000,"Alfa")</f>
        <v>326872</v>
      </c>
      <c r="N207" s="52" t="e">
        <f ca="1">SUMIFS(OUT!$F$2:$F$11000,OUT!$H$2:$H$101007,H207,OUT!$D$2:$D$11000,"Out",OUT!$E$2:$E$11000,"Jajan")</f>
        <v>#VALUE!</v>
      </c>
      <c r="O207" s="52">
        <f ca="1">SUMIFS(OUT!$F$2:$F$11000,OUT!$H$2:$H$11000,H207,OUT!$D$2:$D$11000,"Out",OUT!$E$2:$E$11000,"Kitchen")</f>
        <v>902100</v>
      </c>
      <c r="P207" s="52">
        <f ca="1">SUMIFS(OUT!$F$2:$F$11000,OUT!$H$2:$H$11000,H207,OUT!$D$2:$D$11000,"Out",OUT!$E$2:$E$11000,"Loandry")</f>
        <v>42900</v>
      </c>
      <c r="Q207" s="52">
        <f ca="1">SUMIFS(OUT!$F$2:$F$11000,OUT!$H$2:$H$11000,H207,OUT!$D$2:$D$11000,"Out",OUT!$E$2:$E$11000,"Mio")</f>
        <v>732000</v>
      </c>
      <c r="R207" s="52">
        <f ca="1">SUMIFS(OUT!$F$2:$F$11000,OUT!$H$2:$H$11000,H207,OUT!$D$2:$D$11000,"Out",OUT!$E$2:$E$11000,"Sedekah")</f>
        <v>0</v>
      </c>
      <c r="S207" s="52">
        <f ca="1">SUMIFS(OUT!$F$2:$F$11000,OUT!$H$2:$H$11000,H207,OUT!$D$2:$D$11000,"Out",OUT!$E$2:$E$11000,"Zela")</f>
        <v>47011</v>
      </c>
      <c r="T207" s="52">
        <f ca="1">SUMIFS(OUT!$F$2:$F$11000,OUT!$H$2:$H$11000,H207,OUT!$D$2:$D$11000,"Out",OUT!$E$2:$E$11000,"Iqbal")</f>
        <v>251000</v>
      </c>
    </row>
    <row r="208" spans="1:20" x14ac:dyDescent="0.2">
      <c r="A208" s="48">
        <f ca="1">IFERROR(__xludf.DUMMYFUNCTION("""COMPUTED_VALUE"""),46173)</f>
        <v>46173</v>
      </c>
      <c r="B208" s="4" t="str">
        <f ca="1">IFERROR(__xludf.DUMMYFUNCTION("""COMPUTED_VALUE"""),"Istriku")</f>
        <v>Istriku</v>
      </c>
      <c r="C208" s="4" t="str">
        <f ca="1">IFERROR(__xludf.DUMMYFUNCTION("""COMPUTED_VALUE"""),"Cash")</f>
        <v>Cash</v>
      </c>
      <c r="D208" s="4" t="str">
        <f ca="1">IFERROR(__xludf.DUMMYFUNCTION("""COMPUTED_VALUE"""),"Out")</f>
        <v>Out</v>
      </c>
      <c r="E208" s="4" t="str">
        <f ca="1">IFERROR(__xludf.DUMMYFUNCTION("""COMPUTED_VALUE"""),"Move")</f>
        <v>Move</v>
      </c>
      <c r="F208" s="49">
        <f ca="1">IFERROR(__xludf.DUMMYFUNCTION("""COMPUTED_VALUE"""),13000)</f>
        <v>13000</v>
      </c>
      <c r="G208" s="50" t="str">
        <f ca="1">IFERROR(__xludf.DUMMYFUNCTION("""COMPUTED_VALUE"""),"Ibal")</f>
        <v>Ibal</v>
      </c>
      <c r="H208" s="51">
        <f t="shared" ca="1" si="0"/>
        <v>46143</v>
      </c>
      <c r="I208" s="52" t="e">
        <f ca="1">SUMIFS(OUT!$F$2:$F$11000,OUT!$H$2:$H$11000,H208,OUT!$D$2:$D$101007,"In")</f>
        <v>#VALUE!</v>
      </c>
      <c r="J208" s="52">
        <f ca="1">SUMIFS(OUT!$F$2:$F$11000,OUT!$H$2:$H$11000,H208,OUT!$D$2:$D$11000,"Out")</f>
        <v>9490497</v>
      </c>
      <c r="K208" s="52">
        <f ca="1">SUMIFS(OUT!$F$2:$F$11000,OUT!$H$2:$H$11000,H208,OUT!$D$2:$D$11000,"Out",OUT!$E$2:$E$11000,"Fix")</f>
        <v>2703418</v>
      </c>
      <c r="L208" s="52">
        <f ca="1">SUMIFS(OUT!$F$2:$F$11000,OUT!$H$2:$H$11000,H208,OUT!$D$2:$D$11000,"Out",OUT!$E$2:$E$11000,"Bathroom")</f>
        <v>13000</v>
      </c>
      <c r="M208" s="52">
        <f ca="1">SUMIFS(OUT!$F$2:$F$11000,OUT!$H$2:$H$11000,H208,OUT!$D$2:$D$11000,"Out",OUT!$E$2:$E$11000,"Alfa")</f>
        <v>326872</v>
      </c>
      <c r="N208" s="52" t="e">
        <f ca="1">SUMIFS(OUT!$F$2:$F$11000,OUT!$H$2:$H$101007,H208,OUT!$D$2:$D$11000,"Out",OUT!$E$2:$E$11000,"Jajan")</f>
        <v>#VALUE!</v>
      </c>
      <c r="O208" s="52">
        <f ca="1">SUMIFS(OUT!$F$2:$F$11000,OUT!$H$2:$H$11000,H208,OUT!$D$2:$D$11000,"Out",OUT!$E$2:$E$11000,"Kitchen")</f>
        <v>902100</v>
      </c>
      <c r="P208" s="52">
        <f ca="1">SUMIFS(OUT!$F$2:$F$11000,OUT!$H$2:$H$11000,H208,OUT!$D$2:$D$11000,"Out",OUT!$E$2:$E$11000,"Loandry")</f>
        <v>42900</v>
      </c>
      <c r="Q208" s="52">
        <f ca="1">SUMIFS(OUT!$F$2:$F$11000,OUT!$H$2:$H$11000,H208,OUT!$D$2:$D$11000,"Out",OUT!$E$2:$E$11000,"Mio")</f>
        <v>732000</v>
      </c>
      <c r="R208" s="52">
        <f ca="1">SUMIFS(OUT!$F$2:$F$11000,OUT!$H$2:$H$11000,H208,OUT!$D$2:$D$11000,"Out",OUT!$E$2:$E$11000,"Sedekah")</f>
        <v>0</v>
      </c>
      <c r="S208" s="52">
        <f ca="1">SUMIFS(OUT!$F$2:$F$11000,OUT!$H$2:$H$11000,H208,OUT!$D$2:$D$11000,"Out",OUT!$E$2:$E$11000,"Zela")</f>
        <v>47011</v>
      </c>
      <c r="T208" s="52">
        <f ca="1">SUMIFS(OUT!$F$2:$F$11000,OUT!$H$2:$H$11000,H208,OUT!$D$2:$D$11000,"Out",OUT!$E$2:$E$11000,"Iqbal")</f>
        <v>251000</v>
      </c>
    </row>
    <row r="209" spans="1:20" x14ac:dyDescent="0.2">
      <c r="A209" s="48">
        <f ca="1">IFERROR(__xludf.DUMMYFUNCTION("""COMPUTED_VALUE"""),46175)</f>
        <v>46175</v>
      </c>
      <c r="B209" s="4" t="str">
        <f ca="1">IFERROR(__xludf.DUMMYFUNCTION("""COMPUTED_VALUE"""),"Gaji (Mei 2026)")</f>
        <v>Gaji (Mei 2026)</v>
      </c>
      <c r="C209" s="4" t="str">
        <f ca="1">IFERROR(__xludf.DUMMYFUNCTION("""COMPUTED_VALUE"""),"ATM")</f>
        <v>ATM</v>
      </c>
      <c r="D209" s="4" t="str">
        <f ca="1">IFERROR(__xludf.DUMMYFUNCTION("""COMPUTED_VALUE"""),"In")</f>
        <v>In</v>
      </c>
      <c r="E209" s="4" t="str">
        <f ca="1">IFERROR(__xludf.DUMMYFUNCTION("""COMPUTED_VALUE"""),"Fix")</f>
        <v>Fix</v>
      </c>
      <c r="F209" s="49">
        <f ca="1">IFERROR(__xludf.DUMMYFUNCTION("""COMPUTED_VALUE"""),4383235)</f>
        <v>4383235</v>
      </c>
      <c r="G209" s="50" t="str">
        <f ca="1">IFERROR(__xludf.DUMMYFUNCTION("""COMPUTED_VALUE"""),"Ibal")</f>
        <v>Ibal</v>
      </c>
      <c r="H209" s="51">
        <f t="shared" ca="1" si="0"/>
        <v>46174</v>
      </c>
      <c r="I209" s="52" t="e">
        <f ca="1">SUMIFS(OUT!$F$2:$F$11000,OUT!$H$2:$H$11000,H209,OUT!$D$2:$D$101007,"In")</f>
        <v>#VALUE!</v>
      </c>
      <c r="J209" s="52">
        <f ca="1">SUMIFS(OUT!$F$2:$F$11000,OUT!$H$2:$H$11000,H209,OUT!$D$2:$D$11000,"Out")</f>
        <v>9155672</v>
      </c>
      <c r="K209" s="52">
        <f ca="1">SUMIFS(OUT!$F$2:$F$11000,OUT!$H$2:$H$11000,H209,OUT!$D$2:$D$11000,"Out",OUT!$E$2:$E$11000,"Fix")</f>
        <v>3084727</v>
      </c>
      <c r="L209" s="52">
        <f ca="1">SUMIFS(OUT!$F$2:$F$11000,OUT!$H$2:$H$11000,H209,OUT!$D$2:$D$11000,"Out",OUT!$E$2:$E$11000,"Bathroom")</f>
        <v>37500</v>
      </c>
      <c r="M209" s="52">
        <f ca="1">SUMIFS(OUT!$F$2:$F$11000,OUT!$H$2:$H$11000,H209,OUT!$D$2:$D$11000,"Out",OUT!$E$2:$E$11000,"Alfa")</f>
        <v>317864</v>
      </c>
      <c r="N209" s="52" t="e">
        <f ca="1">SUMIFS(OUT!$F$2:$F$11000,OUT!$H$2:$H$101007,H209,OUT!$D$2:$D$11000,"Out",OUT!$E$2:$E$11000,"Jajan")</f>
        <v>#VALUE!</v>
      </c>
      <c r="O209" s="52">
        <f ca="1">SUMIFS(OUT!$F$2:$F$11000,OUT!$H$2:$H$11000,H209,OUT!$D$2:$D$11000,"Out",OUT!$E$2:$E$11000,"Kitchen")</f>
        <v>985700</v>
      </c>
      <c r="P209" s="52">
        <f ca="1">SUMIFS(OUT!$F$2:$F$11000,OUT!$H$2:$H$11000,H209,OUT!$D$2:$D$11000,"Out",OUT!$E$2:$E$11000,"Loandry")</f>
        <v>21500</v>
      </c>
      <c r="Q209" s="52">
        <f ca="1">SUMIFS(OUT!$F$2:$F$11000,OUT!$H$2:$H$11000,H209,OUT!$D$2:$D$11000,"Out",OUT!$E$2:$E$11000,"Mio")</f>
        <v>265000</v>
      </c>
      <c r="R209" s="52">
        <f ca="1">SUMIFS(OUT!$F$2:$F$11000,OUT!$H$2:$H$11000,H209,OUT!$D$2:$D$11000,"Out",OUT!$E$2:$E$11000,"Sedekah")</f>
        <v>5000</v>
      </c>
      <c r="S209" s="52">
        <f ca="1">SUMIFS(OUT!$F$2:$F$11000,OUT!$H$2:$H$11000,H209,OUT!$D$2:$D$11000,"Out",OUT!$E$2:$E$11000,"Zela")</f>
        <v>33400</v>
      </c>
      <c r="T209" s="52">
        <f ca="1">SUMIFS(OUT!$F$2:$F$11000,OUT!$H$2:$H$11000,H209,OUT!$D$2:$D$11000,"Out",OUT!$E$2:$E$11000,"Iqbal")</f>
        <v>232194</v>
      </c>
    </row>
    <row r="210" spans="1:20" x14ac:dyDescent="0.2">
      <c r="A210" s="48">
        <f ca="1">IFERROR(__xludf.DUMMYFUNCTION("""COMPUTED_VALUE"""),46175)</f>
        <v>46175</v>
      </c>
      <c r="B210" s="4" t="str">
        <f ca="1">IFERROR(__xludf.DUMMYFUNCTION("""COMPUTED_VALUE"""),"Iqbal Shopee (9)")</f>
        <v>Iqbal Shopee (9)</v>
      </c>
      <c r="C210" s="4" t="str">
        <f ca="1">IFERROR(__xludf.DUMMYFUNCTION("""COMPUTED_VALUE"""),"ATM")</f>
        <v>ATM</v>
      </c>
      <c r="D210" s="4" t="str">
        <f ca="1">IFERROR(__xludf.DUMMYFUNCTION("""COMPUTED_VALUE"""),"Out")</f>
        <v>Out</v>
      </c>
      <c r="E210" s="4" t="str">
        <f ca="1">IFERROR(__xludf.DUMMYFUNCTION("""COMPUTED_VALUE"""),"Fix")</f>
        <v>Fix</v>
      </c>
      <c r="F210" s="49">
        <f ca="1">IFERROR(__xludf.DUMMYFUNCTION("""COMPUTED_VALUE"""),624137)</f>
        <v>624137</v>
      </c>
      <c r="G210" s="50" t="str">
        <f ca="1">IFERROR(__xludf.DUMMYFUNCTION("""COMPUTED_VALUE"""),"Ibal")</f>
        <v>Ibal</v>
      </c>
      <c r="H210" s="51">
        <f t="shared" ca="1" si="0"/>
        <v>46174</v>
      </c>
      <c r="I210" s="52" t="e">
        <f ca="1">SUMIFS(OUT!$F$2:$F$11000,OUT!$H$2:$H$11000,H210,OUT!$D$2:$D$101007,"In")</f>
        <v>#VALUE!</v>
      </c>
      <c r="J210" s="52">
        <f ca="1">SUMIFS(OUT!$F$2:$F$11000,OUT!$H$2:$H$11000,H210,OUT!$D$2:$D$11000,"Out")</f>
        <v>9155672</v>
      </c>
      <c r="K210" s="52">
        <f ca="1">SUMIFS(OUT!$F$2:$F$11000,OUT!$H$2:$H$11000,H210,OUT!$D$2:$D$11000,"Out",OUT!$E$2:$E$11000,"Fix")</f>
        <v>3084727</v>
      </c>
      <c r="L210" s="52">
        <f ca="1">SUMIFS(OUT!$F$2:$F$11000,OUT!$H$2:$H$11000,H210,OUT!$D$2:$D$11000,"Out",OUT!$E$2:$E$11000,"Bathroom")</f>
        <v>37500</v>
      </c>
      <c r="M210" s="52">
        <f ca="1">SUMIFS(OUT!$F$2:$F$11000,OUT!$H$2:$H$11000,H210,OUT!$D$2:$D$11000,"Out",OUT!$E$2:$E$11000,"Alfa")</f>
        <v>317864</v>
      </c>
      <c r="N210" s="52" t="e">
        <f ca="1">SUMIFS(OUT!$F$2:$F$11000,OUT!$H$2:$H$101007,H210,OUT!$D$2:$D$11000,"Out",OUT!$E$2:$E$11000,"Jajan")</f>
        <v>#VALUE!</v>
      </c>
      <c r="O210" s="52">
        <f ca="1">SUMIFS(OUT!$F$2:$F$11000,OUT!$H$2:$H$11000,H210,OUT!$D$2:$D$11000,"Out",OUT!$E$2:$E$11000,"Kitchen")</f>
        <v>985700</v>
      </c>
      <c r="P210" s="52">
        <f ca="1">SUMIFS(OUT!$F$2:$F$11000,OUT!$H$2:$H$11000,H210,OUT!$D$2:$D$11000,"Out",OUT!$E$2:$E$11000,"Loandry")</f>
        <v>21500</v>
      </c>
      <c r="Q210" s="52">
        <f ca="1">SUMIFS(OUT!$F$2:$F$11000,OUT!$H$2:$H$11000,H210,OUT!$D$2:$D$11000,"Out",OUT!$E$2:$E$11000,"Mio")</f>
        <v>265000</v>
      </c>
      <c r="R210" s="52">
        <f ca="1">SUMIFS(OUT!$F$2:$F$11000,OUT!$H$2:$H$11000,H210,OUT!$D$2:$D$11000,"Out",OUT!$E$2:$E$11000,"Sedekah")</f>
        <v>5000</v>
      </c>
      <c r="S210" s="52">
        <f ca="1">SUMIFS(OUT!$F$2:$F$11000,OUT!$H$2:$H$11000,H210,OUT!$D$2:$D$11000,"Out",OUT!$E$2:$E$11000,"Zela")</f>
        <v>33400</v>
      </c>
      <c r="T210" s="52">
        <f ca="1">SUMIFS(OUT!$F$2:$F$11000,OUT!$H$2:$H$11000,H210,OUT!$D$2:$D$11000,"Out",OUT!$E$2:$E$11000,"Iqbal")</f>
        <v>232194</v>
      </c>
    </row>
    <row r="211" spans="1:20" x14ac:dyDescent="0.2">
      <c r="A211" s="48">
        <f ca="1">IFERROR(__xludf.DUMMYFUNCTION("""COMPUTED_VALUE"""),46175)</f>
        <v>46175</v>
      </c>
      <c r="B211" s="4" t="str">
        <f ca="1">IFERROR(__xludf.DUMMYFUNCTION("""COMPUTED_VALUE"""),"kulkas (6)")</f>
        <v>kulkas (6)</v>
      </c>
      <c r="C211" s="4" t="str">
        <f ca="1">IFERROR(__xludf.DUMMYFUNCTION("""COMPUTED_VALUE"""),"ATM")</f>
        <v>ATM</v>
      </c>
      <c r="D211" s="4" t="str">
        <f ca="1">IFERROR(__xludf.DUMMYFUNCTION("""COMPUTED_VALUE"""),"Out")</f>
        <v>Out</v>
      </c>
      <c r="E211" s="4" t="str">
        <f ca="1">IFERROR(__xludf.DUMMYFUNCTION("""COMPUTED_VALUE"""),"Fix")</f>
        <v>Fix</v>
      </c>
      <c r="F211" s="49">
        <f ca="1">IFERROR(__xludf.DUMMYFUNCTION("""COMPUTED_VALUE"""),297904)</f>
        <v>297904</v>
      </c>
      <c r="G211" s="50" t="str">
        <f ca="1">IFERROR(__xludf.DUMMYFUNCTION("""COMPUTED_VALUE"""),"Ibal")</f>
        <v>Ibal</v>
      </c>
      <c r="H211" s="51">
        <f t="shared" ca="1" si="0"/>
        <v>46174</v>
      </c>
      <c r="I211" s="52" t="e">
        <f ca="1">SUMIFS(OUT!$F$2:$F$11000,OUT!$H$2:$H$11000,H211,OUT!$D$2:$D$101007,"In")</f>
        <v>#VALUE!</v>
      </c>
      <c r="J211" s="52">
        <f ca="1">SUMIFS(OUT!$F$2:$F$11000,OUT!$H$2:$H$11000,H211,OUT!$D$2:$D$11000,"Out")</f>
        <v>9155672</v>
      </c>
      <c r="K211" s="52">
        <f ca="1">SUMIFS(OUT!$F$2:$F$11000,OUT!$H$2:$H$11000,H211,OUT!$D$2:$D$11000,"Out",OUT!$E$2:$E$11000,"Fix")</f>
        <v>3084727</v>
      </c>
      <c r="L211" s="52">
        <f ca="1">SUMIFS(OUT!$F$2:$F$11000,OUT!$H$2:$H$11000,H211,OUT!$D$2:$D$11000,"Out",OUT!$E$2:$E$11000,"Bathroom")</f>
        <v>37500</v>
      </c>
      <c r="M211" s="52">
        <f ca="1">SUMIFS(OUT!$F$2:$F$11000,OUT!$H$2:$H$11000,H211,OUT!$D$2:$D$11000,"Out",OUT!$E$2:$E$11000,"Alfa")</f>
        <v>317864</v>
      </c>
      <c r="N211" s="52" t="e">
        <f ca="1">SUMIFS(OUT!$F$2:$F$11000,OUT!$H$2:$H$101007,H211,OUT!$D$2:$D$11000,"Out",OUT!$E$2:$E$11000,"Jajan")</f>
        <v>#VALUE!</v>
      </c>
      <c r="O211" s="52">
        <f ca="1">SUMIFS(OUT!$F$2:$F$11000,OUT!$H$2:$H$11000,H211,OUT!$D$2:$D$11000,"Out",OUT!$E$2:$E$11000,"Kitchen")</f>
        <v>985700</v>
      </c>
      <c r="P211" s="52">
        <f ca="1">SUMIFS(OUT!$F$2:$F$11000,OUT!$H$2:$H$11000,H211,OUT!$D$2:$D$11000,"Out",OUT!$E$2:$E$11000,"Loandry")</f>
        <v>21500</v>
      </c>
      <c r="Q211" s="52">
        <f ca="1">SUMIFS(OUT!$F$2:$F$11000,OUT!$H$2:$H$11000,H211,OUT!$D$2:$D$11000,"Out",OUT!$E$2:$E$11000,"Mio")</f>
        <v>265000</v>
      </c>
      <c r="R211" s="52">
        <f ca="1">SUMIFS(OUT!$F$2:$F$11000,OUT!$H$2:$H$11000,H211,OUT!$D$2:$D$11000,"Out",OUT!$E$2:$E$11000,"Sedekah")</f>
        <v>5000</v>
      </c>
      <c r="S211" s="52">
        <f ca="1">SUMIFS(OUT!$F$2:$F$11000,OUT!$H$2:$H$11000,H211,OUT!$D$2:$D$11000,"Out",OUT!$E$2:$E$11000,"Zela")</f>
        <v>33400</v>
      </c>
      <c r="T211" s="52">
        <f ca="1">SUMIFS(OUT!$F$2:$F$11000,OUT!$H$2:$H$11000,H211,OUT!$D$2:$D$11000,"Out",OUT!$E$2:$E$11000,"Iqbal")</f>
        <v>232194</v>
      </c>
    </row>
    <row r="212" spans="1:20" x14ac:dyDescent="0.2">
      <c r="A212" s="48">
        <f ca="1">IFERROR(__xludf.DUMMYFUNCTION("""COMPUTED_VALUE"""),46175)</f>
        <v>46175</v>
      </c>
      <c r="B212" s="4" t="str">
        <f ca="1">IFERROR(__xludf.DUMMYFUNCTION("""COMPUTED_VALUE"""),"Kable Duct (4)")</f>
        <v>Kable Duct (4)</v>
      </c>
      <c r="C212" s="4" t="str">
        <f ca="1">IFERROR(__xludf.DUMMYFUNCTION("""COMPUTED_VALUE"""),"ATM")</f>
        <v>ATM</v>
      </c>
      <c r="D212" s="4" t="str">
        <f ca="1">IFERROR(__xludf.DUMMYFUNCTION("""COMPUTED_VALUE"""),"Out")</f>
        <v>Out</v>
      </c>
      <c r="E212" s="4" t="str">
        <f ca="1">IFERROR(__xludf.DUMMYFUNCTION("""COMPUTED_VALUE"""),"Fix")</f>
        <v>Fix</v>
      </c>
      <c r="F212" s="49">
        <f ca="1">IFERROR(__xludf.DUMMYFUNCTION("""COMPUTED_VALUE"""),17541)</f>
        <v>17541</v>
      </c>
      <c r="G212" s="50" t="str">
        <f ca="1">IFERROR(__xludf.DUMMYFUNCTION("""COMPUTED_VALUE"""),"Ibal")</f>
        <v>Ibal</v>
      </c>
      <c r="H212" s="51">
        <f t="shared" ca="1" si="0"/>
        <v>46174</v>
      </c>
      <c r="I212" s="52" t="e">
        <f ca="1">SUMIFS(OUT!$F$2:$F$11000,OUT!$H$2:$H$11000,H212,OUT!$D$2:$D$101007,"In")</f>
        <v>#VALUE!</v>
      </c>
      <c r="J212" s="52">
        <f ca="1">SUMIFS(OUT!$F$2:$F$11000,OUT!$H$2:$H$11000,H212,OUT!$D$2:$D$11000,"Out")</f>
        <v>9155672</v>
      </c>
      <c r="K212" s="52">
        <f ca="1">SUMIFS(OUT!$F$2:$F$11000,OUT!$H$2:$H$11000,H212,OUT!$D$2:$D$11000,"Out",OUT!$E$2:$E$11000,"Fix")</f>
        <v>3084727</v>
      </c>
      <c r="L212" s="52">
        <f ca="1">SUMIFS(OUT!$F$2:$F$11000,OUT!$H$2:$H$11000,H212,OUT!$D$2:$D$11000,"Out",OUT!$E$2:$E$11000,"Bathroom")</f>
        <v>37500</v>
      </c>
      <c r="M212" s="52">
        <f ca="1">SUMIFS(OUT!$F$2:$F$11000,OUT!$H$2:$H$11000,H212,OUT!$D$2:$D$11000,"Out",OUT!$E$2:$E$11000,"Alfa")</f>
        <v>317864</v>
      </c>
      <c r="N212" s="52" t="e">
        <f ca="1">SUMIFS(OUT!$F$2:$F$11000,OUT!$H$2:$H$101007,H212,OUT!$D$2:$D$11000,"Out",OUT!$E$2:$E$11000,"Jajan")</f>
        <v>#VALUE!</v>
      </c>
      <c r="O212" s="52">
        <f ca="1">SUMIFS(OUT!$F$2:$F$11000,OUT!$H$2:$H$11000,H212,OUT!$D$2:$D$11000,"Out",OUT!$E$2:$E$11000,"Kitchen")</f>
        <v>985700</v>
      </c>
      <c r="P212" s="52">
        <f ca="1">SUMIFS(OUT!$F$2:$F$11000,OUT!$H$2:$H$11000,H212,OUT!$D$2:$D$11000,"Out",OUT!$E$2:$E$11000,"Loandry")</f>
        <v>21500</v>
      </c>
      <c r="Q212" s="52">
        <f ca="1">SUMIFS(OUT!$F$2:$F$11000,OUT!$H$2:$H$11000,H212,OUT!$D$2:$D$11000,"Out",OUT!$E$2:$E$11000,"Mio")</f>
        <v>265000</v>
      </c>
      <c r="R212" s="52">
        <f ca="1">SUMIFS(OUT!$F$2:$F$11000,OUT!$H$2:$H$11000,H212,OUT!$D$2:$D$11000,"Out",OUT!$E$2:$E$11000,"Sedekah")</f>
        <v>5000</v>
      </c>
      <c r="S212" s="52">
        <f ca="1">SUMIFS(OUT!$F$2:$F$11000,OUT!$H$2:$H$11000,H212,OUT!$D$2:$D$11000,"Out",OUT!$E$2:$E$11000,"Zela")</f>
        <v>33400</v>
      </c>
      <c r="T212" s="52">
        <f ca="1">SUMIFS(OUT!$F$2:$F$11000,OUT!$H$2:$H$11000,H212,OUT!$D$2:$D$11000,"Out",OUT!$E$2:$E$11000,"Iqbal")</f>
        <v>232194</v>
      </c>
    </row>
    <row r="213" spans="1:20" x14ac:dyDescent="0.2">
      <c r="A213" s="48">
        <f ca="1">IFERROR(__xludf.DUMMYFUNCTION("""COMPUTED_VALUE"""),46175)</f>
        <v>46175</v>
      </c>
      <c r="B213" s="4" t="str">
        <f ca="1">IFERROR(__xludf.DUMMYFUNCTION("""COMPUTED_VALUE"""),"Service Mio (1) Shopee Zela")</f>
        <v>Service Mio (1) Shopee Zela</v>
      </c>
      <c r="C213" s="4" t="str">
        <f ca="1">IFERROR(__xludf.DUMMYFUNCTION("""COMPUTED_VALUE"""),"ATM")</f>
        <v>ATM</v>
      </c>
      <c r="D213" s="4" t="str">
        <f ca="1">IFERROR(__xludf.DUMMYFUNCTION("""COMPUTED_VALUE"""),"Out")</f>
        <v>Out</v>
      </c>
      <c r="E213" s="4" t="str">
        <f ca="1">IFERROR(__xludf.DUMMYFUNCTION("""COMPUTED_VALUE"""),"Fix")</f>
        <v>Fix</v>
      </c>
      <c r="F213" s="49">
        <f ca="1">IFERROR(__xludf.DUMMYFUNCTION("""COMPUTED_VALUE"""),92333)</f>
        <v>92333</v>
      </c>
      <c r="G213" s="50" t="str">
        <f ca="1">IFERROR(__xludf.DUMMYFUNCTION("""COMPUTED_VALUE"""),"Ibal")</f>
        <v>Ibal</v>
      </c>
      <c r="H213" s="51">
        <f t="shared" ca="1" si="0"/>
        <v>46174</v>
      </c>
      <c r="I213" s="52" t="e">
        <f ca="1">SUMIFS(OUT!$F$2:$F$11000,OUT!$H$2:$H$11000,H213,OUT!$D$2:$D$101007,"In")</f>
        <v>#VALUE!</v>
      </c>
      <c r="J213" s="52">
        <f ca="1">SUMIFS(OUT!$F$2:$F$11000,OUT!$H$2:$H$11000,H213,OUT!$D$2:$D$11000,"Out")</f>
        <v>9155672</v>
      </c>
      <c r="K213" s="52">
        <f ca="1">SUMIFS(OUT!$F$2:$F$11000,OUT!$H$2:$H$11000,H213,OUT!$D$2:$D$11000,"Out",OUT!$E$2:$E$11000,"Fix")</f>
        <v>3084727</v>
      </c>
      <c r="L213" s="52">
        <f ca="1">SUMIFS(OUT!$F$2:$F$11000,OUT!$H$2:$H$11000,H213,OUT!$D$2:$D$11000,"Out",OUT!$E$2:$E$11000,"Bathroom")</f>
        <v>37500</v>
      </c>
      <c r="M213" s="52">
        <f ca="1">SUMIFS(OUT!$F$2:$F$11000,OUT!$H$2:$H$11000,H213,OUT!$D$2:$D$11000,"Out",OUT!$E$2:$E$11000,"Alfa")</f>
        <v>317864</v>
      </c>
      <c r="N213" s="52" t="e">
        <f ca="1">SUMIFS(OUT!$F$2:$F$11000,OUT!$H$2:$H$101007,H213,OUT!$D$2:$D$11000,"Out",OUT!$E$2:$E$11000,"Jajan")</f>
        <v>#VALUE!</v>
      </c>
      <c r="O213" s="52">
        <f ca="1">SUMIFS(OUT!$F$2:$F$11000,OUT!$H$2:$H$11000,H213,OUT!$D$2:$D$11000,"Out",OUT!$E$2:$E$11000,"Kitchen")</f>
        <v>985700</v>
      </c>
      <c r="P213" s="52">
        <f ca="1">SUMIFS(OUT!$F$2:$F$11000,OUT!$H$2:$H$11000,H213,OUT!$D$2:$D$11000,"Out",OUT!$E$2:$E$11000,"Loandry")</f>
        <v>21500</v>
      </c>
      <c r="Q213" s="52">
        <f ca="1">SUMIFS(OUT!$F$2:$F$11000,OUT!$H$2:$H$11000,H213,OUT!$D$2:$D$11000,"Out",OUT!$E$2:$E$11000,"Mio")</f>
        <v>265000</v>
      </c>
      <c r="R213" s="52">
        <f ca="1">SUMIFS(OUT!$F$2:$F$11000,OUT!$H$2:$H$11000,H213,OUT!$D$2:$D$11000,"Out",OUT!$E$2:$E$11000,"Sedekah")</f>
        <v>5000</v>
      </c>
      <c r="S213" s="52">
        <f ca="1">SUMIFS(OUT!$F$2:$F$11000,OUT!$H$2:$H$11000,H213,OUT!$D$2:$D$11000,"Out",OUT!$E$2:$E$11000,"Zela")</f>
        <v>33400</v>
      </c>
      <c r="T213" s="52">
        <f ca="1">SUMIFS(OUT!$F$2:$F$11000,OUT!$H$2:$H$11000,H213,OUT!$D$2:$D$11000,"Out",OUT!$E$2:$E$11000,"Iqbal")</f>
        <v>232194</v>
      </c>
    </row>
    <row r="214" spans="1:20" x14ac:dyDescent="0.2">
      <c r="A214" s="48">
        <f ca="1">IFERROR(__xludf.DUMMYFUNCTION("""COMPUTED_VALUE"""),46175)</f>
        <v>46175</v>
      </c>
      <c r="B214" s="4" t="str">
        <f ca="1">IFERROR(__xludf.DUMMYFUNCTION("""COMPUTED_VALUE"""),"Anto")</f>
        <v>Anto</v>
      </c>
      <c r="C214" s="4" t="str">
        <f ca="1">IFERROR(__xludf.DUMMYFUNCTION("""COMPUTED_VALUE"""),"ATM")</f>
        <v>ATM</v>
      </c>
      <c r="D214" s="4" t="str">
        <f ca="1">IFERROR(__xludf.DUMMYFUNCTION("""COMPUTED_VALUE"""),"Out")</f>
        <v>Out</v>
      </c>
      <c r="E214" s="4" t="str">
        <f ca="1">IFERROR(__xludf.DUMMYFUNCTION("""COMPUTED_VALUE"""),"Fix")</f>
        <v>Fix</v>
      </c>
      <c r="F214" s="49">
        <f ca="1">IFERROR(__xludf.DUMMYFUNCTION("""COMPUTED_VALUE"""),200336)</f>
        <v>200336</v>
      </c>
      <c r="G214" s="50" t="str">
        <f ca="1">IFERROR(__xludf.DUMMYFUNCTION("""COMPUTED_VALUE"""),"Ibal")</f>
        <v>Ibal</v>
      </c>
      <c r="H214" s="51">
        <f t="shared" ca="1" si="0"/>
        <v>46174</v>
      </c>
      <c r="I214" s="52" t="e">
        <f ca="1">SUMIFS(OUT!$F$2:$F$11000,OUT!$H$2:$H$11000,H214,OUT!$D$2:$D$101007,"In")</f>
        <v>#VALUE!</v>
      </c>
      <c r="J214" s="52">
        <f ca="1">SUMIFS(OUT!$F$2:$F$11000,OUT!$H$2:$H$11000,H214,OUT!$D$2:$D$11000,"Out")</f>
        <v>9155672</v>
      </c>
      <c r="K214" s="52">
        <f ca="1">SUMIFS(OUT!$F$2:$F$11000,OUT!$H$2:$H$11000,H214,OUT!$D$2:$D$11000,"Out",OUT!$E$2:$E$11000,"Fix")</f>
        <v>3084727</v>
      </c>
      <c r="L214" s="52">
        <f ca="1">SUMIFS(OUT!$F$2:$F$11000,OUT!$H$2:$H$11000,H214,OUT!$D$2:$D$11000,"Out",OUT!$E$2:$E$11000,"Bathroom")</f>
        <v>37500</v>
      </c>
      <c r="M214" s="52">
        <f ca="1">SUMIFS(OUT!$F$2:$F$11000,OUT!$H$2:$H$11000,H214,OUT!$D$2:$D$11000,"Out",OUT!$E$2:$E$11000,"Alfa")</f>
        <v>317864</v>
      </c>
      <c r="N214" s="52" t="e">
        <f ca="1">SUMIFS(OUT!$F$2:$F$11000,OUT!$H$2:$H$101007,H214,OUT!$D$2:$D$11000,"Out",OUT!$E$2:$E$11000,"Jajan")</f>
        <v>#VALUE!</v>
      </c>
      <c r="O214" s="52">
        <f ca="1">SUMIFS(OUT!$F$2:$F$11000,OUT!$H$2:$H$11000,H214,OUT!$D$2:$D$11000,"Out",OUT!$E$2:$E$11000,"Kitchen")</f>
        <v>985700</v>
      </c>
      <c r="P214" s="52">
        <f ca="1">SUMIFS(OUT!$F$2:$F$11000,OUT!$H$2:$H$11000,H214,OUT!$D$2:$D$11000,"Out",OUT!$E$2:$E$11000,"Loandry")</f>
        <v>21500</v>
      </c>
      <c r="Q214" s="52">
        <f ca="1">SUMIFS(OUT!$F$2:$F$11000,OUT!$H$2:$H$11000,H214,OUT!$D$2:$D$11000,"Out",OUT!$E$2:$E$11000,"Mio")</f>
        <v>265000</v>
      </c>
      <c r="R214" s="52">
        <f ca="1">SUMIFS(OUT!$F$2:$F$11000,OUT!$H$2:$H$11000,H214,OUT!$D$2:$D$11000,"Out",OUT!$E$2:$E$11000,"Sedekah")</f>
        <v>5000</v>
      </c>
      <c r="S214" s="52">
        <f ca="1">SUMIFS(OUT!$F$2:$F$11000,OUT!$H$2:$H$11000,H214,OUT!$D$2:$D$11000,"Out",OUT!$E$2:$E$11000,"Zela")</f>
        <v>33400</v>
      </c>
      <c r="T214" s="52">
        <f ca="1">SUMIFS(OUT!$F$2:$F$11000,OUT!$H$2:$H$11000,H214,OUT!$D$2:$D$11000,"Out",OUT!$E$2:$E$11000,"Iqbal")</f>
        <v>232194</v>
      </c>
    </row>
    <row r="215" spans="1:20" x14ac:dyDescent="0.2">
      <c r="A215" s="48">
        <f ca="1">IFERROR(__xludf.DUMMYFUNCTION("""COMPUTED_VALUE"""),46175)</f>
        <v>46175</v>
      </c>
      <c r="B215" s="4" t="str">
        <f ca="1">IFERROR(__xludf.DUMMYFUNCTION("""COMPUTED_VALUE"""),"Istriku")</f>
        <v>Istriku</v>
      </c>
      <c r="C215" s="4" t="str">
        <f ca="1">IFERROR(__xludf.DUMMYFUNCTION("""COMPUTED_VALUE"""),"ATM")</f>
        <v>ATM</v>
      </c>
      <c r="D215" s="4" t="str">
        <f ca="1">IFERROR(__xludf.DUMMYFUNCTION("""COMPUTED_VALUE"""),"Out")</f>
        <v>Out</v>
      </c>
      <c r="E215" s="4" t="str">
        <f ca="1">IFERROR(__xludf.DUMMYFUNCTION("""COMPUTED_VALUE"""),"Move")</f>
        <v>Move</v>
      </c>
      <c r="F215" s="49">
        <f ca="1">IFERROR(__xludf.DUMMYFUNCTION("""COMPUTED_VALUE"""),1561437)</f>
        <v>1561437</v>
      </c>
      <c r="G215" s="50" t="str">
        <f ca="1">IFERROR(__xludf.DUMMYFUNCTION("""COMPUTED_VALUE"""),"Ibal")</f>
        <v>Ibal</v>
      </c>
      <c r="H215" s="51">
        <f t="shared" ca="1" si="0"/>
        <v>46174</v>
      </c>
      <c r="I215" s="52" t="e">
        <f ca="1">SUMIFS(OUT!$F$2:$F$11000,OUT!$H$2:$H$11000,H215,OUT!$D$2:$D$101007,"In")</f>
        <v>#VALUE!</v>
      </c>
      <c r="J215" s="52">
        <f ca="1">SUMIFS(OUT!$F$2:$F$11000,OUT!$H$2:$H$11000,H215,OUT!$D$2:$D$11000,"Out")</f>
        <v>9155672</v>
      </c>
      <c r="K215" s="52">
        <f ca="1">SUMIFS(OUT!$F$2:$F$11000,OUT!$H$2:$H$11000,H215,OUT!$D$2:$D$11000,"Out",OUT!$E$2:$E$11000,"Fix")</f>
        <v>3084727</v>
      </c>
      <c r="L215" s="52">
        <f ca="1">SUMIFS(OUT!$F$2:$F$11000,OUT!$H$2:$H$11000,H215,OUT!$D$2:$D$11000,"Out",OUT!$E$2:$E$11000,"Bathroom")</f>
        <v>37500</v>
      </c>
      <c r="M215" s="52">
        <f ca="1">SUMIFS(OUT!$F$2:$F$11000,OUT!$H$2:$H$11000,H215,OUT!$D$2:$D$11000,"Out",OUT!$E$2:$E$11000,"Alfa")</f>
        <v>317864</v>
      </c>
      <c r="N215" s="52" t="e">
        <f ca="1">SUMIFS(OUT!$F$2:$F$11000,OUT!$H$2:$H$101007,H215,OUT!$D$2:$D$11000,"Out",OUT!$E$2:$E$11000,"Jajan")</f>
        <v>#VALUE!</v>
      </c>
      <c r="O215" s="52">
        <f ca="1">SUMIFS(OUT!$F$2:$F$11000,OUT!$H$2:$H$11000,H215,OUT!$D$2:$D$11000,"Out",OUT!$E$2:$E$11000,"Kitchen")</f>
        <v>985700</v>
      </c>
      <c r="P215" s="52">
        <f ca="1">SUMIFS(OUT!$F$2:$F$11000,OUT!$H$2:$H$11000,H215,OUT!$D$2:$D$11000,"Out",OUT!$E$2:$E$11000,"Loandry")</f>
        <v>21500</v>
      </c>
      <c r="Q215" s="52">
        <f ca="1">SUMIFS(OUT!$F$2:$F$11000,OUT!$H$2:$H$11000,H215,OUT!$D$2:$D$11000,"Out",OUT!$E$2:$E$11000,"Mio")</f>
        <v>265000</v>
      </c>
      <c r="R215" s="52">
        <f ca="1">SUMIFS(OUT!$F$2:$F$11000,OUT!$H$2:$H$11000,H215,OUT!$D$2:$D$11000,"Out",OUT!$E$2:$E$11000,"Sedekah")</f>
        <v>5000</v>
      </c>
      <c r="S215" s="52">
        <f ca="1">SUMIFS(OUT!$F$2:$F$11000,OUT!$H$2:$H$11000,H215,OUT!$D$2:$D$11000,"Out",OUT!$E$2:$E$11000,"Zela")</f>
        <v>33400</v>
      </c>
      <c r="T215" s="52">
        <f ca="1">SUMIFS(OUT!$F$2:$F$11000,OUT!$H$2:$H$11000,H215,OUT!$D$2:$D$11000,"Out",OUT!$E$2:$E$11000,"Iqbal")</f>
        <v>232194</v>
      </c>
    </row>
    <row r="216" spans="1:20" x14ac:dyDescent="0.2">
      <c r="A216" s="48">
        <f ca="1">IFERROR(__xludf.DUMMYFUNCTION("""COMPUTED_VALUE"""),46175)</f>
        <v>46175</v>
      </c>
      <c r="B216" s="4" t="str">
        <f ca="1">IFERROR(__xludf.DUMMYFUNCTION("""COMPUTED_VALUE"""),"Oli Mesin (Yamalube Hitam)")</f>
        <v>Oli Mesin (Yamalube Hitam)</v>
      </c>
      <c r="C216" s="4" t="str">
        <f ca="1">IFERROR(__xludf.DUMMYFUNCTION("""COMPUTED_VALUE"""),"ATM")</f>
        <v>ATM</v>
      </c>
      <c r="D216" s="4" t="str">
        <f ca="1">IFERROR(__xludf.DUMMYFUNCTION("""COMPUTED_VALUE"""),"Out")</f>
        <v>Out</v>
      </c>
      <c r="E216" s="4" t="str">
        <f ca="1">IFERROR(__xludf.DUMMYFUNCTION("""COMPUTED_VALUE"""),"Mio")</f>
        <v>Mio</v>
      </c>
      <c r="F216" s="49">
        <f ca="1">IFERROR(__xludf.DUMMYFUNCTION("""COMPUTED_VALUE"""),60000)</f>
        <v>60000</v>
      </c>
      <c r="G216" s="50" t="str">
        <f ca="1">IFERROR(__xludf.DUMMYFUNCTION("""COMPUTED_VALUE"""),"Ibal")</f>
        <v>Ibal</v>
      </c>
      <c r="H216" s="51">
        <f t="shared" ca="1" si="0"/>
        <v>46174</v>
      </c>
      <c r="I216" s="52" t="e">
        <f ca="1">SUMIFS(OUT!$F$2:$F$11000,OUT!$H$2:$H$11000,H216,OUT!$D$2:$D$101007,"In")</f>
        <v>#VALUE!</v>
      </c>
      <c r="J216" s="52">
        <f ca="1">SUMIFS(OUT!$F$2:$F$11000,OUT!$H$2:$H$11000,H216,OUT!$D$2:$D$11000,"Out")</f>
        <v>9155672</v>
      </c>
      <c r="K216" s="52">
        <f ca="1">SUMIFS(OUT!$F$2:$F$11000,OUT!$H$2:$H$11000,H216,OUT!$D$2:$D$11000,"Out",OUT!$E$2:$E$11000,"Fix")</f>
        <v>3084727</v>
      </c>
      <c r="L216" s="52">
        <f ca="1">SUMIFS(OUT!$F$2:$F$11000,OUT!$H$2:$H$11000,H216,OUT!$D$2:$D$11000,"Out",OUT!$E$2:$E$11000,"Bathroom")</f>
        <v>37500</v>
      </c>
      <c r="M216" s="52">
        <f ca="1">SUMIFS(OUT!$F$2:$F$11000,OUT!$H$2:$H$11000,H216,OUT!$D$2:$D$11000,"Out",OUT!$E$2:$E$11000,"Alfa")</f>
        <v>317864</v>
      </c>
      <c r="N216" s="52" t="e">
        <f ca="1">SUMIFS(OUT!$F$2:$F$11000,OUT!$H$2:$H$101007,H216,OUT!$D$2:$D$11000,"Out",OUT!$E$2:$E$11000,"Jajan")</f>
        <v>#VALUE!</v>
      </c>
      <c r="O216" s="52">
        <f ca="1">SUMIFS(OUT!$F$2:$F$11000,OUT!$H$2:$H$11000,H216,OUT!$D$2:$D$11000,"Out",OUT!$E$2:$E$11000,"Kitchen")</f>
        <v>985700</v>
      </c>
      <c r="P216" s="52">
        <f ca="1">SUMIFS(OUT!$F$2:$F$11000,OUT!$H$2:$H$11000,H216,OUT!$D$2:$D$11000,"Out",OUT!$E$2:$E$11000,"Loandry")</f>
        <v>21500</v>
      </c>
      <c r="Q216" s="52">
        <f ca="1">SUMIFS(OUT!$F$2:$F$11000,OUT!$H$2:$H$11000,H216,OUT!$D$2:$D$11000,"Out",OUT!$E$2:$E$11000,"Mio")</f>
        <v>265000</v>
      </c>
      <c r="R216" s="52">
        <f ca="1">SUMIFS(OUT!$F$2:$F$11000,OUT!$H$2:$H$11000,H216,OUT!$D$2:$D$11000,"Out",OUT!$E$2:$E$11000,"Sedekah")</f>
        <v>5000</v>
      </c>
      <c r="S216" s="52">
        <f ca="1">SUMIFS(OUT!$F$2:$F$11000,OUT!$H$2:$H$11000,H216,OUT!$D$2:$D$11000,"Out",OUT!$E$2:$E$11000,"Zela")</f>
        <v>33400</v>
      </c>
      <c r="T216" s="52">
        <f ca="1">SUMIFS(OUT!$F$2:$F$11000,OUT!$H$2:$H$11000,H216,OUT!$D$2:$D$11000,"Out",OUT!$E$2:$E$11000,"Iqbal")</f>
        <v>232194</v>
      </c>
    </row>
    <row r="217" spans="1:20" x14ac:dyDescent="0.2">
      <c r="A217" s="48">
        <f ca="1">IFERROR(__xludf.DUMMYFUNCTION("""COMPUTED_VALUE"""),46175)</f>
        <v>46175</v>
      </c>
      <c r="B217" s="4" t="str">
        <f ca="1">IFERROR(__xludf.DUMMYFUNCTION("""COMPUTED_VALUE"""),"Potong rambut")</f>
        <v>Potong rambut</v>
      </c>
      <c r="C217" s="4" t="str">
        <f ca="1">IFERROR(__xludf.DUMMYFUNCTION("""COMPUTED_VALUE"""),"ATM")</f>
        <v>ATM</v>
      </c>
      <c r="D217" s="4" t="str">
        <f ca="1">IFERROR(__xludf.DUMMYFUNCTION("""COMPUTED_VALUE"""),"Out")</f>
        <v>Out</v>
      </c>
      <c r="E217" s="4" t="str">
        <f ca="1">IFERROR(__xludf.DUMMYFUNCTION("""COMPUTED_VALUE"""),"Iqbal")</f>
        <v>Iqbal</v>
      </c>
      <c r="F217" s="49">
        <f ca="1">IFERROR(__xludf.DUMMYFUNCTION("""COMPUTED_VALUE"""),30000)</f>
        <v>30000</v>
      </c>
      <c r="G217" s="50" t="str">
        <f ca="1">IFERROR(__xludf.DUMMYFUNCTION("""COMPUTED_VALUE"""),"Ibal")</f>
        <v>Ibal</v>
      </c>
      <c r="H217" s="51">
        <f t="shared" ca="1" si="0"/>
        <v>46174</v>
      </c>
      <c r="I217" s="52" t="e">
        <f ca="1">SUMIFS(OUT!$F$2:$F$11000,OUT!$H$2:$H$11000,H217,OUT!$D$2:$D$101007,"In")</f>
        <v>#VALUE!</v>
      </c>
      <c r="J217" s="52">
        <f ca="1">SUMIFS(OUT!$F$2:$F$11000,OUT!$H$2:$H$11000,H217,OUT!$D$2:$D$11000,"Out")</f>
        <v>9155672</v>
      </c>
      <c r="K217" s="52">
        <f ca="1">SUMIFS(OUT!$F$2:$F$11000,OUT!$H$2:$H$11000,H217,OUT!$D$2:$D$11000,"Out",OUT!$E$2:$E$11000,"Fix")</f>
        <v>3084727</v>
      </c>
      <c r="L217" s="52">
        <f ca="1">SUMIFS(OUT!$F$2:$F$11000,OUT!$H$2:$H$11000,H217,OUT!$D$2:$D$11000,"Out",OUT!$E$2:$E$11000,"Bathroom")</f>
        <v>37500</v>
      </c>
      <c r="M217" s="52">
        <f ca="1">SUMIFS(OUT!$F$2:$F$11000,OUT!$H$2:$H$11000,H217,OUT!$D$2:$D$11000,"Out",OUT!$E$2:$E$11000,"Alfa")</f>
        <v>317864</v>
      </c>
      <c r="N217" s="52" t="e">
        <f ca="1">SUMIFS(OUT!$F$2:$F$11000,OUT!$H$2:$H$101007,H217,OUT!$D$2:$D$11000,"Out",OUT!$E$2:$E$11000,"Jajan")</f>
        <v>#VALUE!</v>
      </c>
      <c r="O217" s="52">
        <f ca="1">SUMIFS(OUT!$F$2:$F$11000,OUT!$H$2:$H$11000,H217,OUT!$D$2:$D$11000,"Out",OUT!$E$2:$E$11000,"Kitchen")</f>
        <v>985700</v>
      </c>
      <c r="P217" s="52">
        <f ca="1">SUMIFS(OUT!$F$2:$F$11000,OUT!$H$2:$H$11000,H217,OUT!$D$2:$D$11000,"Out",OUT!$E$2:$E$11000,"Loandry")</f>
        <v>21500</v>
      </c>
      <c r="Q217" s="52">
        <f ca="1">SUMIFS(OUT!$F$2:$F$11000,OUT!$H$2:$H$11000,H217,OUT!$D$2:$D$11000,"Out",OUT!$E$2:$E$11000,"Mio")</f>
        <v>265000</v>
      </c>
      <c r="R217" s="52">
        <f ca="1">SUMIFS(OUT!$F$2:$F$11000,OUT!$H$2:$H$11000,H217,OUT!$D$2:$D$11000,"Out",OUT!$E$2:$E$11000,"Sedekah")</f>
        <v>5000</v>
      </c>
      <c r="S217" s="52">
        <f ca="1">SUMIFS(OUT!$F$2:$F$11000,OUT!$H$2:$H$11000,H217,OUT!$D$2:$D$11000,"Out",OUT!$E$2:$E$11000,"Zela")</f>
        <v>33400</v>
      </c>
      <c r="T217" s="52">
        <f ca="1">SUMIFS(OUT!$F$2:$F$11000,OUT!$H$2:$H$11000,H217,OUT!$D$2:$D$11000,"Out",OUT!$E$2:$E$11000,"Iqbal")</f>
        <v>232194</v>
      </c>
    </row>
    <row r="218" spans="1:20" x14ac:dyDescent="0.2">
      <c r="A218" s="48">
        <f ca="1">IFERROR(__xludf.DUMMYFUNCTION("""COMPUTED_VALUE"""),46175)</f>
        <v>46175</v>
      </c>
      <c r="B218" s="4" t="str">
        <f ca="1">IFERROR(__xludf.DUMMYFUNCTION("""COMPUTED_VALUE"""),"Istriku")</f>
        <v>Istriku</v>
      </c>
      <c r="C218" s="4" t="str">
        <f ca="1">IFERROR(__xludf.DUMMYFUNCTION("""COMPUTED_VALUE"""),"ATM")</f>
        <v>ATM</v>
      </c>
      <c r="D218" s="4" t="str">
        <f ca="1">IFERROR(__xludf.DUMMYFUNCTION("""COMPUTED_VALUE"""),"Out")</f>
        <v>Out</v>
      </c>
      <c r="E218" s="4" t="str">
        <f ca="1">IFERROR(__xludf.DUMMYFUNCTION("""COMPUTED_VALUE"""),"Move")</f>
        <v>Move</v>
      </c>
      <c r="F218" s="49">
        <f ca="1">IFERROR(__xludf.DUMMYFUNCTION("""COMPUTED_VALUE"""),10000)</f>
        <v>10000</v>
      </c>
      <c r="G218" s="50" t="str">
        <f ca="1">IFERROR(__xludf.DUMMYFUNCTION("""COMPUTED_VALUE"""),"Ibal")</f>
        <v>Ibal</v>
      </c>
      <c r="H218" s="51">
        <f t="shared" ca="1" si="0"/>
        <v>46174</v>
      </c>
      <c r="I218" s="52" t="e">
        <f ca="1">SUMIFS(OUT!$F$2:$F$11000,OUT!$H$2:$H$11000,H218,OUT!$D$2:$D$101007,"In")</f>
        <v>#VALUE!</v>
      </c>
      <c r="J218" s="52">
        <f ca="1">SUMIFS(OUT!$F$2:$F$11000,OUT!$H$2:$H$11000,H218,OUT!$D$2:$D$11000,"Out")</f>
        <v>9155672</v>
      </c>
      <c r="K218" s="52">
        <f ca="1">SUMIFS(OUT!$F$2:$F$11000,OUT!$H$2:$H$11000,H218,OUT!$D$2:$D$11000,"Out",OUT!$E$2:$E$11000,"Fix")</f>
        <v>3084727</v>
      </c>
      <c r="L218" s="52">
        <f ca="1">SUMIFS(OUT!$F$2:$F$11000,OUT!$H$2:$H$11000,H218,OUT!$D$2:$D$11000,"Out",OUT!$E$2:$E$11000,"Bathroom")</f>
        <v>37500</v>
      </c>
      <c r="M218" s="52">
        <f ca="1">SUMIFS(OUT!$F$2:$F$11000,OUT!$H$2:$H$11000,H218,OUT!$D$2:$D$11000,"Out",OUT!$E$2:$E$11000,"Alfa")</f>
        <v>317864</v>
      </c>
      <c r="N218" s="52" t="e">
        <f ca="1">SUMIFS(OUT!$F$2:$F$11000,OUT!$H$2:$H$101007,H218,OUT!$D$2:$D$11000,"Out",OUT!$E$2:$E$11000,"Jajan")</f>
        <v>#VALUE!</v>
      </c>
      <c r="O218" s="52">
        <f ca="1">SUMIFS(OUT!$F$2:$F$11000,OUT!$H$2:$H$11000,H218,OUT!$D$2:$D$11000,"Out",OUT!$E$2:$E$11000,"Kitchen")</f>
        <v>985700</v>
      </c>
      <c r="P218" s="52">
        <f ca="1">SUMIFS(OUT!$F$2:$F$11000,OUT!$H$2:$H$11000,H218,OUT!$D$2:$D$11000,"Out",OUT!$E$2:$E$11000,"Loandry")</f>
        <v>21500</v>
      </c>
      <c r="Q218" s="52">
        <f ca="1">SUMIFS(OUT!$F$2:$F$11000,OUT!$H$2:$H$11000,H218,OUT!$D$2:$D$11000,"Out",OUT!$E$2:$E$11000,"Mio")</f>
        <v>265000</v>
      </c>
      <c r="R218" s="52">
        <f ca="1">SUMIFS(OUT!$F$2:$F$11000,OUT!$H$2:$H$11000,H218,OUT!$D$2:$D$11000,"Out",OUT!$E$2:$E$11000,"Sedekah")</f>
        <v>5000</v>
      </c>
      <c r="S218" s="52">
        <f ca="1">SUMIFS(OUT!$F$2:$F$11000,OUT!$H$2:$H$11000,H218,OUT!$D$2:$D$11000,"Out",OUT!$E$2:$E$11000,"Zela")</f>
        <v>33400</v>
      </c>
      <c r="T218" s="52">
        <f ca="1">SUMIFS(OUT!$F$2:$F$11000,OUT!$H$2:$H$11000,H218,OUT!$D$2:$D$11000,"Out",OUT!$E$2:$E$11000,"Iqbal")</f>
        <v>232194</v>
      </c>
    </row>
    <row r="219" spans="1:20" x14ac:dyDescent="0.2">
      <c r="A219" s="48">
        <f ca="1">IFERROR(__xludf.DUMMYFUNCTION("""COMPUTED_VALUE"""),46175)</f>
        <v>46175</v>
      </c>
      <c r="B219" s="4" t="str">
        <f ca="1">IFERROR(__xludf.DUMMYFUNCTION("""COMPUTED_VALUE"""),"Token listrik (65,3)")</f>
        <v>Token listrik (65,3)</v>
      </c>
      <c r="C219" s="4" t="str">
        <f ca="1">IFERROR(__xludf.DUMMYFUNCTION("""COMPUTED_VALUE"""),"ATM")</f>
        <v>ATM</v>
      </c>
      <c r="D219" s="4" t="str">
        <f ca="1">IFERROR(__xludf.DUMMYFUNCTION("""COMPUTED_VALUE"""),"Out")</f>
        <v>Out</v>
      </c>
      <c r="E219" s="4" t="str">
        <f ca="1">IFERROR(__xludf.DUMMYFUNCTION("""COMPUTED_VALUE"""),"Fix")</f>
        <v>Fix</v>
      </c>
      <c r="F219" s="49">
        <f ca="1">IFERROR(__xludf.DUMMYFUNCTION("""COMPUTED_VALUE"""),101750)</f>
        <v>101750</v>
      </c>
      <c r="G219" s="50" t="str">
        <f ca="1">IFERROR(__xludf.DUMMYFUNCTION("""COMPUTED_VALUE"""),"Ibal")</f>
        <v>Ibal</v>
      </c>
      <c r="H219" s="51">
        <f t="shared" ca="1" si="0"/>
        <v>46174</v>
      </c>
      <c r="I219" s="52" t="e">
        <f ca="1">SUMIFS(OUT!$F$2:$F$11000,OUT!$H$2:$H$11000,H219,OUT!$D$2:$D$101007,"In")</f>
        <v>#VALUE!</v>
      </c>
      <c r="J219" s="52">
        <f ca="1">SUMIFS(OUT!$F$2:$F$11000,OUT!$H$2:$H$11000,H219,OUT!$D$2:$D$11000,"Out")</f>
        <v>9155672</v>
      </c>
      <c r="K219" s="52">
        <f ca="1">SUMIFS(OUT!$F$2:$F$11000,OUT!$H$2:$H$11000,H219,OUT!$D$2:$D$11000,"Out",OUT!$E$2:$E$11000,"Fix")</f>
        <v>3084727</v>
      </c>
      <c r="L219" s="52">
        <f ca="1">SUMIFS(OUT!$F$2:$F$11000,OUT!$H$2:$H$11000,H219,OUT!$D$2:$D$11000,"Out",OUT!$E$2:$E$11000,"Bathroom")</f>
        <v>37500</v>
      </c>
      <c r="M219" s="52">
        <f ca="1">SUMIFS(OUT!$F$2:$F$11000,OUT!$H$2:$H$11000,H219,OUT!$D$2:$D$11000,"Out",OUT!$E$2:$E$11000,"Alfa")</f>
        <v>317864</v>
      </c>
      <c r="N219" s="52" t="e">
        <f ca="1">SUMIFS(OUT!$F$2:$F$11000,OUT!$H$2:$H$101007,H219,OUT!$D$2:$D$11000,"Out",OUT!$E$2:$E$11000,"Jajan")</f>
        <v>#VALUE!</v>
      </c>
      <c r="O219" s="52">
        <f ca="1">SUMIFS(OUT!$F$2:$F$11000,OUT!$H$2:$H$11000,H219,OUT!$D$2:$D$11000,"Out",OUT!$E$2:$E$11000,"Kitchen")</f>
        <v>985700</v>
      </c>
      <c r="P219" s="52">
        <f ca="1">SUMIFS(OUT!$F$2:$F$11000,OUT!$H$2:$H$11000,H219,OUT!$D$2:$D$11000,"Out",OUT!$E$2:$E$11000,"Loandry")</f>
        <v>21500</v>
      </c>
      <c r="Q219" s="52">
        <f ca="1">SUMIFS(OUT!$F$2:$F$11000,OUT!$H$2:$H$11000,H219,OUT!$D$2:$D$11000,"Out",OUT!$E$2:$E$11000,"Mio")</f>
        <v>265000</v>
      </c>
      <c r="R219" s="52">
        <f ca="1">SUMIFS(OUT!$F$2:$F$11000,OUT!$H$2:$H$11000,H219,OUT!$D$2:$D$11000,"Out",OUT!$E$2:$E$11000,"Sedekah")</f>
        <v>5000</v>
      </c>
      <c r="S219" s="52">
        <f ca="1">SUMIFS(OUT!$F$2:$F$11000,OUT!$H$2:$H$11000,H219,OUT!$D$2:$D$11000,"Out",OUT!$E$2:$E$11000,"Zela")</f>
        <v>33400</v>
      </c>
      <c r="T219" s="52">
        <f ca="1">SUMIFS(OUT!$F$2:$F$11000,OUT!$H$2:$H$11000,H219,OUT!$D$2:$D$11000,"Out",OUT!$E$2:$E$11000,"Iqbal")</f>
        <v>232194</v>
      </c>
    </row>
    <row r="220" spans="1:20" x14ac:dyDescent="0.2">
      <c r="A220" s="48">
        <f ca="1">IFERROR(__xludf.DUMMYFUNCTION("""COMPUTED_VALUE"""),46178)</f>
        <v>46178</v>
      </c>
      <c r="B220" s="4" t="str">
        <f ca="1">IFERROR(__xludf.DUMMYFUNCTION("""COMPUTED_VALUE"""),"Sewa Rumah Athaya 3 (Juni 2026)")</f>
        <v>Sewa Rumah Athaya 3 (Juni 2026)</v>
      </c>
      <c r="C220" s="4" t="str">
        <f ca="1">IFERROR(__xludf.DUMMYFUNCTION("""COMPUTED_VALUE"""),"ATM")</f>
        <v>ATM</v>
      </c>
      <c r="D220" s="4" t="str">
        <f ca="1">IFERROR(__xludf.DUMMYFUNCTION("""COMPUTED_VALUE"""),"Out")</f>
        <v>Out</v>
      </c>
      <c r="E220" s="4" t="str">
        <f ca="1">IFERROR(__xludf.DUMMYFUNCTION("""COMPUTED_VALUE"""),"Fix")</f>
        <v>Fix</v>
      </c>
      <c r="F220" s="49">
        <f ca="1">IFERROR(__xludf.DUMMYFUNCTION("""COMPUTED_VALUE"""),1000376)</f>
        <v>1000376</v>
      </c>
      <c r="G220" s="50" t="str">
        <f ca="1">IFERROR(__xludf.DUMMYFUNCTION("""COMPUTED_VALUE"""),"Ibal")</f>
        <v>Ibal</v>
      </c>
      <c r="H220" s="51">
        <f t="shared" ca="1" si="0"/>
        <v>46174</v>
      </c>
      <c r="I220" s="52" t="e">
        <f ca="1">SUMIFS(OUT!$F$2:$F$11000,OUT!$H$2:$H$11000,H220,OUT!$D$2:$D$101007,"In")</f>
        <v>#VALUE!</v>
      </c>
      <c r="J220" s="52">
        <f ca="1">SUMIFS(OUT!$F$2:$F$11000,OUT!$H$2:$H$11000,H220,OUT!$D$2:$D$11000,"Out")</f>
        <v>9155672</v>
      </c>
      <c r="K220" s="52">
        <f ca="1">SUMIFS(OUT!$F$2:$F$11000,OUT!$H$2:$H$11000,H220,OUT!$D$2:$D$11000,"Out",OUT!$E$2:$E$11000,"Fix")</f>
        <v>3084727</v>
      </c>
      <c r="L220" s="52">
        <f ca="1">SUMIFS(OUT!$F$2:$F$11000,OUT!$H$2:$H$11000,H220,OUT!$D$2:$D$11000,"Out",OUT!$E$2:$E$11000,"Bathroom")</f>
        <v>37500</v>
      </c>
      <c r="M220" s="52">
        <f ca="1">SUMIFS(OUT!$F$2:$F$11000,OUT!$H$2:$H$11000,H220,OUT!$D$2:$D$11000,"Out",OUT!$E$2:$E$11000,"Alfa")</f>
        <v>317864</v>
      </c>
      <c r="N220" s="52" t="e">
        <f ca="1">SUMIFS(OUT!$F$2:$F$11000,OUT!$H$2:$H$101007,H220,OUT!$D$2:$D$11000,"Out",OUT!$E$2:$E$11000,"Jajan")</f>
        <v>#VALUE!</v>
      </c>
      <c r="O220" s="52">
        <f ca="1">SUMIFS(OUT!$F$2:$F$11000,OUT!$H$2:$H$11000,H220,OUT!$D$2:$D$11000,"Out",OUT!$E$2:$E$11000,"Kitchen")</f>
        <v>985700</v>
      </c>
      <c r="P220" s="52">
        <f ca="1">SUMIFS(OUT!$F$2:$F$11000,OUT!$H$2:$H$11000,H220,OUT!$D$2:$D$11000,"Out",OUT!$E$2:$E$11000,"Loandry")</f>
        <v>21500</v>
      </c>
      <c r="Q220" s="52">
        <f ca="1">SUMIFS(OUT!$F$2:$F$11000,OUT!$H$2:$H$11000,H220,OUT!$D$2:$D$11000,"Out",OUT!$E$2:$E$11000,"Mio")</f>
        <v>265000</v>
      </c>
      <c r="R220" s="52">
        <f ca="1">SUMIFS(OUT!$F$2:$F$11000,OUT!$H$2:$H$11000,H220,OUT!$D$2:$D$11000,"Out",OUT!$E$2:$E$11000,"Sedekah")</f>
        <v>5000</v>
      </c>
      <c r="S220" s="52">
        <f ca="1">SUMIFS(OUT!$F$2:$F$11000,OUT!$H$2:$H$11000,H220,OUT!$D$2:$D$11000,"Out",OUT!$E$2:$E$11000,"Zela")</f>
        <v>33400</v>
      </c>
      <c r="T220" s="52">
        <f ca="1">SUMIFS(OUT!$F$2:$F$11000,OUT!$H$2:$H$11000,H220,OUT!$D$2:$D$11000,"Out",OUT!$E$2:$E$11000,"Iqbal")</f>
        <v>232194</v>
      </c>
    </row>
    <row r="221" spans="1:20" x14ac:dyDescent="0.2">
      <c r="A221" s="48">
        <f ca="1">IFERROR(__xludf.DUMMYFUNCTION("""COMPUTED_VALUE"""),46177)</f>
        <v>46177</v>
      </c>
      <c r="B221" s="4" t="str">
        <f ca="1">IFERROR(__xludf.DUMMYFUNCTION("""COMPUTED_VALUE"""),"Iuran Athaya 3 (Juni 2026)")</f>
        <v>Iuran Athaya 3 (Juni 2026)</v>
      </c>
      <c r="C221" s="4" t="str">
        <f ca="1">IFERROR(__xludf.DUMMYFUNCTION("""COMPUTED_VALUE"""),"ATM")</f>
        <v>ATM</v>
      </c>
      <c r="D221" s="4" t="str">
        <f ca="1">IFERROR(__xludf.DUMMYFUNCTION("""COMPUTED_VALUE"""),"Out")</f>
        <v>Out</v>
      </c>
      <c r="E221" s="4" t="str">
        <f ca="1">IFERROR(__xludf.DUMMYFUNCTION("""COMPUTED_VALUE"""),"Fix")</f>
        <v>Fix</v>
      </c>
      <c r="F221" s="49">
        <f ca="1">IFERROR(__xludf.DUMMYFUNCTION("""COMPUTED_VALUE"""),75000)</f>
        <v>75000</v>
      </c>
      <c r="G221" s="50" t="str">
        <f ca="1">IFERROR(__xludf.DUMMYFUNCTION("""COMPUTED_VALUE"""),"Ibal")</f>
        <v>Ibal</v>
      </c>
      <c r="H221" s="51">
        <f t="shared" ca="1" si="0"/>
        <v>46174</v>
      </c>
      <c r="I221" s="52" t="e">
        <f ca="1">SUMIFS(OUT!$F$2:$F$11000,OUT!$H$2:$H$11000,H221,OUT!$D$2:$D$101007,"In")</f>
        <v>#VALUE!</v>
      </c>
      <c r="J221" s="52">
        <f ca="1">SUMIFS(OUT!$F$2:$F$11000,OUT!$H$2:$H$11000,H221,OUT!$D$2:$D$11000,"Out")</f>
        <v>9155672</v>
      </c>
      <c r="K221" s="52">
        <f ca="1">SUMIFS(OUT!$F$2:$F$11000,OUT!$H$2:$H$11000,H221,OUT!$D$2:$D$11000,"Out",OUT!$E$2:$E$11000,"Fix")</f>
        <v>3084727</v>
      </c>
      <c r="L221" s="52">
        <f ca="1">SUMIFS(OUT!$F$2:$F$11000,OUT!$H$2:$H$11000,H221,OUT!$D$2:$D$11000,"Out",OUT!$E$2:$E$11000,"Bathroom")</f>
        <v>37500</v>
      </c>
      <c r="M221" s="52">
        <f ca="1">SUMIFS(OUT!$F$2:$F$11000,OUT!$H$2:$H$11000,H221,OUT!$D$2:$D$11000,"Out",OUT!$E$2:$E$11000,"Alfa")</f>
        <v>317864</v>
      </c>
      <c r="N221" s="52" t="e">
        <f ca="1">SUMIFS(OUT!$F$2:$F$11000,OUT!$H$2:$H$101007,H221,OUT!$D$2:$D$11000,"Out",OUT!$E$2:$E$11000,"Jajan")</f>
        <v>#VALUE!</v>
      </c>
      <c r="O221" s="52">
        <f ca="1">SUMIFS(OUT!$F$2:$F$11000,OUT!$H$2:$H$11000,H221,OUT!$D$2:$D$11000,"Out",OUT!$E$2:$E$11000,"Kitchen")</f>
        <v>985700</v>
      </c>
      <c r="P221" s="52">
        <f ca="1">SUMIFS(OUT!$F$2:$F$11000,OUT!$H$2:$H$11000,H221,OUT!$D$2:$D$11000,"Out",OUT!$E$2:$E$11000,"Loandry")</f>
        <v>21500</v>
      </c>
      <c r="Q221" s="52">
        <f ca="1">SUMIFS(OUT!$F$2:$F$11000,OUT!$H$2:$H$11000,H221,OUT!$D$2:$D$11000,"Out",OUT!$E$2:$E$11000,"Mio")</f>
        <v>265000</v>
      </c>
      <c r="R221" s="52">
        <f ca="1">SUMIFS(OUT!$F$2:$F$11000,OUT!$H$2:$H$11000,H221,OUT!$D$2:$D$11000,"Out",OUT!$E$2:$E$11000,"Sedekah")</f>
        <v>5000</v>
      </c>
      <c r="S221" s="52">
        <f ca="1">SUMIFS(OUT!$F$2:$F$11000,OUT!$H$2:$H$11000,H221,OUT!$D$2:$D$11000,"Out",OUT!$E$2:$E$11000,"Zela")</f>
        <v>33400</v>
      </c>
      <c r="T221" s="52">
        <f ca="1">SUMIFS(OUT!$F$2:$F$11000,OUT!$H$2:$H$11000,H221,OUT!$D$2:$D$11000,"Out",OUT!$E$2:$E$11000,"Iqbal")</f>
        <v>232194</v>
      </c>
    </row>
    <row r="222" spans="1:20" x14ac:dyDescent="0.2">
      <c r="A222" s="48">
        <f ca="1">IFERROR(__xludf.DUMMYFUNCTION("""COMPUTED_VALUE"""),46177)</f>
        <v>46177</v>
      </c>
      <c r="B222" s="4" t="str">
        <f ca="1">IFERROR(__xludf.DUMMYFUNCTION("""COMPUTED_VALUE"""),"MyRepublic (4)")</f>
        <v>MyRepublic (4)</v>
      </c>
      <c r="C222" s="4" t="str">
        <f ca="1">IFERROR(__xludf.DUMMYFUNCTION("""COMPUTED_VALUE"""),"ATM")</f>
        <v>ATM</v>
      </c>
      <c r="D222" s="4" t="str">
        <f ca="1">IFERROR(__xludf.DUMMYFUNCTION("""COMPUTED_VALUE"""),"Out")</f>
        <v>Out</v>
      </c>
      <c r="E222" s="4" t="str">
        <f ca="1">IFERROR(__xludf.DUMMYFUNCTION("""COMPUTED_VALUE"""),"Fix")</f>
        <v>Fix</v>
      </c>
      <c r="F222" s="49">
        <f ca="1">IFERROR(__xludf.DUMMYFUNCTION("""COMPUTED_VALUE"""),233100)</f>
        <v>233100</v>
      </c>
      <c r="G222" s="50" t="str">
        <f ca="1">IFERROR(__xludf.DUMMYFUNCTION("""COMPUTED_VALUE"""),"Ibal")</f>
        <v>Ibal</v>
      </c>
      <c r="H222" s="51">
        <f t="shared" ca="1" si="0"/>
        <v>46174</v>
      </c>
      <c r="I222" s="52" t="e">
        <f ca="1">SUMIFS(OUT!$F$2:$F$11000,OUT!$H$2:$H$11000,H222,OUT!$D$2:$D$101007,"In")</f>
        <v>#VALUE!</v>
      </c>
      <c r="J222" s="52">
        <f ca="1">SUMIFS(OUT!$F$2:$F$11000,OUT!$H$2:$H$11000,H222,OUT!$D$2:$D$11000,"Out")</f>
        <v>9155672</v>
      </c>
      <c r="K222" s="52">
        <f ca="1">SUMIFS(OUT!$F$2:$F$11000,OUT!$H$2:$H$11000,H222,OUT!$D$2:$D$11000,"Out",OUT!$E$2:$E$11000,"Fix")</f>
        <v>3084727</v>
      </c>
      <c r="L222" s="52">
        <f ca="1">SUMIFS(OUT!$F$2:$F$11000,OUT!$H$2:$H$11000,H222,OUT!$D$2:$D$11000,"Out",OUT!$E$2:$E$11000,"Bathroom")</f>
        <v>37500</v>
      </c>
      <c r="M222" s="52">
        <f ca="1">SUMIFS(OUT!$F$2:$F$11000,OUT!$H$2:$H$11000,H222,OUT!$D$2:$D$11000,"Out",OUT!$E$2:$E$11000,"Alfa")</f>
        <v>317864</v>
      </c>
      <c r="N222" s="52" t="e">
        <f ca="1">SUMIFS(OUT!$F$2:$F$11000,OUT!$H$2:$H$101007,H222,OUT!$D$2:$D$11000,"Out",OUT!$E$2:$E$11000,"Jajan")</f>
        <v>#VALUE!</v>
      </c>
      <c r="O222" s="52">
        <f ca="1">SUMIFS(OUT!$F$2:$F$11000,OUT!$H$2:$H$11000,H222,OUT!$D$2:$D$11000,"Out",OUT!$E$2:$E$11000,"Kitchen")</f>
        <v>985700</v>
      </c>
      <c r="P222" s="52">
        <f ca="1">SUMIFS(OUT!$F$2:$F$11000,OUT!$H$2:$H$11000,H222,OUT!$D$2:$D$11000,"Out",OUT!$E$2:$E$11000,"Loandry")</f>
        <v>21500</v>
      </c>
      <c r="Q222" s="52">
        <f ca="1">SUMIFS(OUT!$F$2:$F$11000,OUT!$H$2:$H$11000,H222,OUT!$D$2:$D$11000,"Out",OUT!$E$2:$E$11000,"Mio")</f>
        <v>265000</v>
      </c>
      <c r="R222" s="52">
        <f ca="1">SUMIFS(OUT!$F$2:$F$11000,OUT!$H$2:$H$11000,H222,OUT!$D$2:$D$11000,"Out",OUT!$E$2:$E$11000,"Sedekah")</f>
        <v>5000</v>
      </c>
      <c r="S222" s="52">
        <f ca="1">SUMIFS(OUT!$F$2:$F$11000,OUT!$H$2:$H$11000,H222,OUT!$D$2:$D$11000,"Out",OUT!$E$2:$E$11000,"Zela")</f>
        <v>33400</v>
      </c>
      <c r="T222" s="52">
        <f ca="1">SUMIFS(OUT!$F$2:$F$11000,OUT!$H$2:$H$11000,H222,OUT!$D$2:$D$11000,"Out",OUT!$E$2:$E$11000,"Iqbal")</f>
        <v>232194</v>
      </c>
    </row>
    <row r="223" spans="1:20" x14ac:dyDescent="0.2">
      <c r="A223" s="48">
        <f ca="1">IFERROR(__xludf.DUMMYFUNCTION("""COMPUTED_VALUE"""),46176)</f>
        <v>46176</v>
      </c>
      <c r="B223" s="4" t="str">
        <f ca="1">IFERROR(__xludf.DUMMYFUNCTION("""COMPUTED_VALUE"""),"Atuk Duri")</f>
        <v>Atuk Duri</v>
      </c>
      <c r="C223" s="4" t="str">
        <f ca="1">IFERROR(__xludf.DUMMYFUNCTION("""COMPUTED_VALUE"""),"Cash")</f>
        <v>Cash</v>
      </c>
      <c r="D223" s="4" t="str">
        <f ca="1">IFERROR(__xludf.DUMMYFUNCTION("""COMPUTED_VALUE"""),"In")</f>
        <v>In</v>
      </c>
      <c r="E223" s="4" t="str">
        <f ca="1">IFERROR(__xludf.DUMMYFUNCTION("""COMPUTED_VALUE"""),"Alfa")</f>
        <v>Alfa</v>
      </c>
      <c r="F223" s="49">
        <f ca="1">IFERROR(__xludf.DUMMYFUNCTION("""COMPUTED_VALUE"""),50000)</f>
        <v>50000</v>
      </c>
      <c r="G223" s="50" t="str">
        <f ca="1">IFERROR(__xludf.DUMMYFUNCTION("""COMPUTED_VALUE"""),"Ibal")</f>
        <v>Ibal</v>
      </c>
      <c r="H223" s="51">
        <f t="shared" ca="1" si="0"/>
        <v>46174</v>
      </c>
      <c r="I223" s="52" t="e">
        <f ca="1">SUMIFS(OUT!$F$2:$F$11000,OUT!$H$2:$H$11000,H223,OUT!$D$2:$D$101007,"In")</f>
        <v>#VALUE!</v>
      </c>
      <c r="J223" s="52">
        <f ca="1">SUMIFS(OUT!$F$2:$F$11000,OUT!$H$2:$H$11000,H223,OUT!$D$2:$D$11000,"Out")</f>
        <v>9155672</v>
      </c>
      <c r="K223" s="52">
        <f ca="1">SUMIFS(OUT!$F$2:$F$11000,OUT!$H$2:$H$11000,H223,OUT!$D$2:$D$11000,"Out",OUT!$E$2:$E$11000,"Fix")</f>
        <v>3084727</v>
      </c>
      <c r="L223" s="52">
        <f ca="1">SUMIFS(OUT!$F$2:$F$11000,OUT!$H$2:$H$11000,H223,OUT!$D$2:$D$11000,"Out",OUT!$E$2:$E$11000,"Bathroom")</f>
        <v>37500</v>
      </c>
      <c r="M223" s="52">
        <f ca="1">SUMIFS(OUT!$F$2:$F$11000,OUT!$H$2:$H$11000,H223,OUT!$D$2:$D$11000,"Out",OUT!$E$2:$E$11000,"Alfa")</f>
        <v>317864</v>
      </c>
      <c r="N223" s="52" t="e">
        <f ca="1">SUMIFS(OUT!$F$2:$F$11000,OUT!$H$2:$H$101007,H223,OUT!$D$2:$D$11000,"Out",OUT!$E$2:$E$11000,"Jajan")</f>
        <v>#VALUE!</v>
      </c>
      <c r="O223" s="52">
        <f ca="1">SUMIFS(OUT!$F$2:$F$11000,OUT!$H$2:$H$11000,H223,OUT!$D$2:$D$11000,"Out",OUT!$E$2:$E$11000,"Kitchen")</f>
        <v>985700</v>
      </c>
      <c r="P223" s="52">
        <f ca="1">SUMIFS(OUT!$F$2:$F$11000,OUT!$H$2:$H$11000,H223,OUT!$D$2:$D$11000,"Out",OUT!$E$2:$E$11000,"Loandry")</f>
        <v>21500</v>
      </c>
      <c r="Q223" s="52">
        <f ca="1">SUMIFS(OUT!$F$2:$F$11000,OUT!$H$2:$H$11000,H223,OUT!$D$2:$D$11000,"Out",OUT!$E$2:$E$11000,"Mio")</f>
        <v>265000</v>
      </c>
      <c r="R223" s="52">
        <f ca="1">SUMIFS(OUT!$F$2:$F$11000,OUT!$H$2:$H$11000,H223,OUT!$D$2:$D$11000,"Out",OUT!$E$2:$E$11000,"Sedekah")</f>
        <v>5000</v>
      </c>
      <c r="S223" s="52">
        <f ca="1">SUMIFS(OUT!$F$2:$F$11000,OUT!$H$2:$H$11000,H223,OUT!$D$2:$D$11000,"Out",OUT!$E$2:$E$11000,"Zela")</f>
        <v>33400</v>
      </c>
      <c r="T223" s="52">
        <f ca="1">SUMIFS(OUT!$F$2:$F$11000,OUT!$H$2:$H$11000,H223,OUT!$D$2:$D$11000,"Out",OUT!$E$2:$E$11000,"Iqbal")</f>
        <v>232194</v>
      </c>
    </row>
    <row r="224" spans="1:20" x14ac:dyDescent="0.2">
      <c r="A224" s="48">
        <f ca="1">IFERROR(__xludf.DUMMYFUNCTION("""COMPUTED_VALUE"""),46176)</f>
        <v>46176</v>
      </c>
      <c r="B224" s="4" t="str">
        <f ca="1">IFERROR(__xludf.DUMMYFUNCTION("""COMPUTED_VALUE"""),"Edi")</f>
        <v>Edi</v>
      </c>
      <c r="C224" s="4" t="str">
        <f ca="1">IFERROR(__xludf.DUMMYFUNCTION("""COMPUTED_VALUE"""),"Cash")</f>
        <v>Cash</v>
      </c>
      <c r="D224" s="4" t="str">
        <f ca="1">IFERROR(__xludf.DUMMYFUNCTION("""COMPUTED_VALUE"""),"In")</f>
        <v>In</v>
      </c>
      <c r="E224" s="4" t="str">
        <f ca="1">IFERROR(__xludf.DUMMYFUNCTION("""COMPUTED_VALUE"""),"Iqbal")</f>
        <v>Iqbal</v>
      </c>
      <c r="F224" s="49">
        <f ca="1">IFERROR(__xludf.DUMMYFUNCTION("""COMPUTED_VALUE"""),34000)</f>
        <v>34000</v>
      </c>
      <c r="G224" s="50" t="str">
        <f ca="1">IFERROR(__xludf.DUMMYFUNCTION("""COMPUTED_VALUE"""),"Ibal")</f>
        <v>Ibal</v>
      </c>
      <c r="H224" s="51">
        <f t="shared" ca="1" si="0"/>
        <v>46174</v>
      </c>
      <c r="I224" s="52" t="e">
        <f ca="1">SUMIFS(OUT!$F$2:$F$11000,OUT!$H$2:$H$11000,H224,OUT!$D$2:$D$101007,"In")</f>
        <v>#VALUE!</v>
      </c>
      <c r="J224" s="52">
        <f ca="1">SUMIFS(OUT!$F$2:$F$11000,OUT!$H$2:$H$11000,H224,OUT!$D$2:$D$11000,"Out")</f>
        <v>9155672</v>
      </c>
      <c r="K224" s="52">
        <f ca="1">SUMIFS(OUT!$F$2:$F$11000,OUT!$H$2:$H$11000,H224,OUT!$D$2:$D$11000,"Out",OUT!$E$2:$E$11000,"Fix")</f>
        <v>3084727</v>
      </c>
      <c r="L224" s="52">
        <f ca="1">SUMIFS(OUT!$F$2:$F$11000,OUT!$H$2:$H$11000,H224,OUT!$D$2:$D$11000,"Out",OUT!$E$2:$E$11000,"Bathroom")</f>
        <v>37500</v>
      </c>
      <c r="M224" s="52">
        <f ca="1">SUMIFS(OUT!$F$2:$F$11000,OUT!$H$2:$H$11000,H224,OUT!$D$2:$D$11000,"Out",OUT!$E$2:$E$11000,"Alfa")</f>
        <v>317864</v>
      </c>
      <c r="N224" s="52" t="e">
        <f ca="1">SUMIFS(OUT!$F$2:$F$11000,OUT!$H$2:$H$101007,H224,OUT!$D$2:$D$11000,"Out",OUT!$E$2:$E$11000,"Jajan")</f>
        <v>#VALUE!</v>
      </c>
      <c r="O224" s="52">
        <f ca="1">SUMIFS(OUT!$F$2:$F$11000,OUT!$H$2:$H$11000,H224,OUT!$D$2:$D$11000,"Out",OUT!$E$2:$E$11000,"Kitchen")</f>
        <v>985700</v>
      </c>
      <c r="P224" s="52">
        <f ca="1">SUMIFS(OUT!$F$2:$F$11000,OUT!$H$2:$H$11000,H224,OUT!$D$2:$D$11000,"Out",OUT!$E$2:$E$11000,"Loandry")</f>
        <v>21500</v>
      </c>
      <c r="Q224" s="52">
        <f ca="1">SUMIFS(OUT!$F$2:$F$11000,OUT!$H$2:$H$11000,H224,OUT!$D$2:$D$11000,"Out",OUT!$E$2:$E$11000,"Mio")</f>
        <v>265000</v>
      </c>
      <c r="R224" s="52">
        <f ca="1">SUMIFS(OUT!$F$2:$F$11000,OUT!$H$2:$H$11000,H224,OUT!$D$2:$D$11000,"Out",OUT!$E$2:$E$11000,"Sedekah")</f>
        <v>5000</v>
      </c>
      <c r="S224" s="52">
        <f ca="1">SUMIFS(OUT!$F$2:$F$11000,OUT!$H$2:$H$11000,H224,OUT!$D$2:$D$11000,"Out",OUT!$E$2:$E$11000,"Zela")</f>
        <v>33400</v>
      </c>
      <c r="T224" s="52">
        <f ca="1">SUMIFS(OUT!$F$2:$F$11000,OUT!$H$2:$H$11000,H224,OUT!$D$2:$D$11000,"Out",OUT!$E$2:$E$11000,"Iqbal")</f>
        <v>232194</v>
      </c>
    </row>
    <row r="225" spans="1:20" x14ac:dyDescent="0.2">
      <c r="A225" s="48">
        <f ca="1">IFERROR(__xludf.DUMMYFUNCTION("""COMPUTED_VALUE"""),46177)</f>
        <v>46177</v>
      </c>
      <c r="B225" s="4" t="str">
        <f ca="1">IFERROR(__xludf.DUMMYFUNCTION("""COMPUTED_VALUE"""),"Pertamax")</f>
        <v>Pertamax</v>
      </c>
      <c r="C225" s="4" t="str">
        <f ca="1">IFERROR(__xludf.DUMMYFUNCTION("""COMPUTED_VALUE"""),"Cash")</f>
        <v>Cash</v>
      </c>
      <c r="D225" s="4" t="str">
        <f ca="1">IFERROR(__xludf.DUMMYFUNCTION("""COMPUTED_VALUE"""),"Out")</f>
        <v>Out</v>
      </c>
      <c r="E225" s="4" t="str">
        <f ca="1">IFERROR(__xludf.DUMMYFUNCTION("""COMPUTED_VALUE"""),"Mio")</f>
        <v>Mio</v>
      </c>
      <c r="F225" s="49">
        <f ca="1">IFERROR(__xludf.DUMMYFUNCTION("""COMPUTED_VALUE"""),25000)</f>
        <v>25000</v>
      </c>
      <c r="G225" s="50" t="str">
        <f ca="1">IFERROR(__xludf.DUMMYFUNCTION("""COMPUTED_VALUE"""),"Ibal")</f>
        <v>Ibal</v>
      </c>
      <c r="H225" s="51">
        <f t="shared" ca="1" si="0"/>
        <v>46174</v>
      </c>
      <c r="I225" s="52" t="e">
        <f ca="1">SUMIFS(OUT!$F$2:$F$11000,OUT!$H$2:$H$11000,H225,OUT!$D$2:$D$101007,"In")</f>
        <v>#VALUE!</v>
      </c>
      <c r="J225" s="52">
        <f ca="1">SUMIFS(OUT!$F$2:$F$11000,OUT!$H$2:$H$11000,H225,OUT!$D$2:$D$11000,"Out")</f>
        <v>9155672</v>
      </c>
      <c r="K225" s="52">
        <f ca="1">SUMIFS(OUT!$F$2:$F$11000,OUT!$H$2:$H$11000,H225,OUT!$D$2:$D$11000,"Out",OUT!$E$2:$E$11000,"Fix")</f>
        <v>3084727</v>
      </c>
      <c r="L225" s="52">
        <f ca="1">SUMIFS(OUT!$F$2:$F$11000,OUT!$H$2:$H$11000,H225,OUT!$D$2:$D$11000,"Out",OUT!$E$2:$E$11000,"Bathroom")</f>
        <v>37500</v>
      </c>
      <c r="M225" s="52">
        <f ca="1">SUMIFS(OUT!$F$2:$F$11000,OUT!$H$2:$H$11000,H225,OUT!$D$2:$D$11000,"Out",OUT!$E$2:$E$11000,"Alfa")</f>
        <v>317864</v>
      </c>
      <c r="N225" s="52" t="e">
        <f ca="1">SUMIFS(OUT!$F$2:$F$11000,OUT!$H$2:$H$101007,H225,OUT!$D$2:$D$11000,"Out",OUT!$E$2:$E$11000,"Jajan")</f>
        <v>#VALUE!</v>
      </c>
      <c r="O225" s="52">
        <f ca="1">SUMIFS(OUT!$F$2:$F$11000,OUT!$H$2:$H$11000,H225,OUT!$D$2:$D$11000,"Out",OUT!$E$2:$E$11000,"Kitchen")</f>
        <v>985700</v>
      </c>
      <c r="P225" s="52">
        <f ca="1">SUMIFS(OUT!$F$2:$F$11000,OUT!$H$2:$H$11000,H225,OUT!$D$2:$D$11000,"Out",OUT!$E$2:$E$11000,"Loandry")</f>
        <v>21500</v>
      </c>
      <c r="Q225" s="52">
        <f ca="1">SUMIFS(OUT!$F$2:$F$11000,OUT!$H$2:$H$11000,H225,OUT!$D$2:$D$11000,"Out",OUT!$E$2:$E$11000,"Mio")</f>
        <v>265000</v>
      </c>
      <c r="R225" s="52">
        <f ca="1">SUMIFS(OUT!$F$2:$F$11000,OUT!$H$2:$H$11000,H225,OUT!$D$2:$D$11000,"Out",OUT!$E$2:$E$11000,"Sedekah")</f>
        <v>5000</v>
      </c>
      <c r="S225" s="52">
        <f ca="1">SUMIFS(OUT!$F$2:$F$11000,OUT!$H$2:$H$11000,H225,OUT!$D$2:$D$11000,"Out",OUT!$E$2:$E$11000,"Zela")</f>
        <v>33400</v>
      </c>
      <c r="T225" s="52">
        <f ca="1">SUMIFS(OUT!$F$2:$F$11000,OUT!$H$2:$H$11000,H225,OUT!$D$2:$D$11000,"Out",OUT!$E$2:$E$11000,"Iqbal")</f>
        <v>232194</v>
      </c>
    </row>
    <row r="226" spans="1:20" x14ac:dyDescent="0.2">
      <c r="A226" s="48">
        <f ca="1">IFERROR(__xludf.DUMMYFUNCTION("""COMPUTED_VALUE"""),46177)</f>
        <v>46177</v>
      </c>
      <c r="B226" s="4" t="str">
        <f ca="1">IFERROR(__xludf.DUMMYFUNCTION("""COMPUTED_VALUE"""),"Roti Gabin")</f>
        <v>Roti Gabin</v>
      </c>
      <c r="C226" s="4" t="str">
        <f ca="1">IFERROR(__xludf.DUMMYFUNCTION("""COMPUTED_VALUE"""),"Cash")</f>
        <v>Cash</v>
      </c>
      <c r="D226" s="4" t="str">
        <f ca="1">IFERROR(__xludf.DUMMYFUNCTION("""COMPUTED_VALUE"""),"Out")</f>
        <v>Out</v>
      </c>
      <c r="E226" s="4" t="str">
        <f ca="1">IFERROR(__xludf.DUMMYFUNCTION("""COMPUTED_VALUE"""),"Jajan")</f>
        <v>Jajan</v>
      </c>
      <c r="F226" s="49">
        <f ca="1">IFERROR(__xludf.DUMMYFUNCTION("""COMPUTED_VALUE"""),9000)</f>
        <v>9000</v>
      </c>
      <c r="G226" s="50" t="str">
        <f ca="1">IFERROR(__xludf.DUMMYFUNCTION("""COMPUTED_VALUE"""),"Ibal")</f>
        <v>Ibal</v>
      </c>
      <c r="H226" s="51">
        <f t="shared" ca="1" si="0"/>
        <v>46174</v>
      </c>
      <c r="I226" s="52" t="e">
        <f ca="1">SUMIFS(OUT!$F$2:$F$11000,OUT!$H$2:$H$11000,H226,OUT!$D$2:$D$101007,"In")</f>
        <v>#VALUE!</v>
      </c>
      <c r="J226" s="52">
        <f ca="1">SUMIFS(OUT!$F$2:$F$11000,OUT!$H$2:$H$11000,H226,OUT!$D$2:$D$11000,"Out")</f>
        <v>9155672</v>
      </c>
      <c r="K226" s="52">
        <f ca="1">SUMIFS(OUT!$F$2:$F$11000,OUT!$H$2:$H$11000,H226,OUT!$D$2:$D$11000,"Out",OUT!$E$2:$E$11000,"Fix")</f>
        <v>3084727</v>
      </c>
      <c r="L226" s="52">
        <f ca="1">SUMIFS(OUT!$F$2:$F$11000,OUT!$H$2:$H$11000,H226,OUT!$D$2:$D$11000,"Out",OUT!$E$2:$E$11000,"Bathroom")</f>
        <v>37500</v>
      </c>
      <c r="M226" s="52">
        <f ca="1">SUMIFS(OUT!$F$2:$F$11000,OUT!$H$2:$H$11000,H226,OUT!$D$2:$D$11000,"Out",OUT!$E$2:$E$11000,"Alfa")</f>
        <v>317864</v>
      </c>
      <c r="N226" s="52" t="e">
        <f ca="1">SUMIFS(OUT!$F$2:$F$11000,OUT!$H$2:$H$101007,H226,OUT!$D$2:$D$11000,"Out",OUT!$E$2:$E$11000,"Jajan")</f>
        <v>#VALUE!</v>
      </c>
      <c r="O226" s="52">
        <f ca="1">SUMIFS(OUT!$F$2:$F$11000,OUT!$H$2:$H$11000,H226,OUT!$D$2:$D$11000,"Out",OUT!$E$2:$E$11000,"Kitchen")</f>
        <v>985700</v>
      </c>
      <c r="P226" s="52">
        <f ca="1">SUMIFS(OUT!$F$2:$F$11000,OUT!$H$2:$H$11000,H226,OUT!$D$2:$D$11000,"Out",OUT!$E$2:$E$11000,"Loandry")</f>
        <v>21500</v>
      </c>
      <c r="Q226" s="52">
        <f ca="1">SUMIFS(OUT!$F$2:$F$11000,OUT!$H$2:$H$11000,H226,OUT!$D$2:$D$11000,"Out",OUT!$E$2:$E$11000,"Mio")</f>
        <v>265000</v>
      </c>
      <c r="R226" s="52">
        <f ca="1">SUMIFS(OUT!$F$2:$F$11000,OUT!$H$2:$H$11000,H226,OUT!$D$2:$D$11000,"Out",OUT!$E$2:$E$11000,"Sedekah")</f>
        <v>5000</v>
      </c>
      <c r="S226" s="52">
        <f ca="1">SUMIFS(OUT!$F$2:$F$11000,OUT!$H$2:$H$11000,H226,OUT!$D$2:$D$11000,"Out",OUT!$E$2:$E$11000,"Zela")</f>
        <v>33400</v>
      </c>
      <c r="T226" s="52">
        <f ca="1">SUMIFS(OUT!$F$2:$F$11000,OUT!$H$2:$H$11000,H226,OUT!$D$2:$D$11000,"Out",OUT!$E$2:$E$11000,"Iqbal")</f>
        <v>232194</v>
      </c>
    </row>
    <row r="227" spans="1:20" x14ac:dyDescent="0.2">
      <c r="A227" s="48">
        <f ca="1">IFERROR(__xludf.DUMMYFUNCTION("""COMPUTED_VALUE"""),46179)</f>
        <v>46179</v>
      </c>
      <c r="B227" s="4" t="str">
        <f ca="1">IFERROR(__xludf.DUMMYFUNCTION("""COMPUTED_VALUE"""),"Istriku")</f>
        <v>Istriku</v>
      </c>
      <c r="C227" s="4" t="str">
        <f ca="1">IFERROR(__xludf.DUMMYFUNCTION("""COMPUTED_VALUE"""),"Cash")</f>
        <v>Cash</v>
      </c>
      <c r="D227" s="4" t="str">
        <f ca="1">IFERROR(__xludf.DUMMYFUNCTION("""COMPUTED_VALUE"""),"Out")</f>
        <v>Out</v>
      </c>
      <c r="E227" s="4" t="str">
        <f ca="1">IFERROR(__xludf.DUMMYFUNCTION("""COMPUTED_VALUE"""),"Move")</f>
        <v>Move</v>
      </c>
      <c r="F227" s="49">
        <f ca="1">IFERROR(__xludf.DUMMYFUNCTION("""COMPUTED_VALUE"""),30000)</f>
        <v>30000</v>
      </c>
      <c r="G227" s="50" t="str">
        <f ca="1">IFERROR(__xludf.DUMMYFUNCTION("""COMPUTED_VALUE"""),"Ibal")</f>
        <v>Ibal</v>
      </c>
      <c r="H227" s="51">
        <f t="shared" ca="1" si="0"/>
        <v>46174</v>
      </c>
      <c r="I227" s="52" t="e">
        <f ca="1">SUMIFS(OUT!$F$2:$F$11000,OUT!$H$2:$H$11000,H227,OUT!$D$2:$D$101007,"In")</f>
        <v>#VALUE!</v>
      </c>
      <c r="J227" s="52">
        <f ca="1">SUMIFS(OUT!$F$2:$F$11000,OUT!$H$2:$H$11000,H227,OUT!$D$2:$D$11000,"Out")</f>
        <v>9155672</v>
      </c>
      <c r="K227" s="52">
        <f ca="1">SUMIFS(OUT!$F$2:$F$11000,OUT!$H$2:$H$11000,H227,OUT!$D$2:$D$11000,"Out",OUT!$E$2:$E$11000,"Fix")</f>
        <v>3084727</v>
      </c>
      <c r="L227" s="52">
        <f ca="1">SUMIFS(OUT!$F$2:$F$11000,OUT!$H$2:$H$11000,H227,OUT!$D$2:$D$11000,"Out",OUT!$E$2:$E$11000,"Bathroom")</f>
        <v>37500</v>
      </c>
      <c r="M227" s="52">
        <f ca="1">SUMIFS(OUT!$F$2:$F$11000,OUT!$H$2:$H$11000,H227,OUT!$D$2:$D$11000,"Out",OUT!$E$2:$E$11000,"Alfa")</f>
        <v>317864</v>
      </c>
      <c r="N227" s="52" t="e">
        <f ca="1">SUMIFS(OUT!$F$2:$F$11000,OUT!$H$2:$H$101007,H227,OUT!$D$2:$D$11000,"Out",OUT!$E$2:$E$11000,"Jajan")</f>
        <v>#VALUE!</v>
      </c>
      <c r="O227" s="52">
        <f ca="1">SUMIFS(OUT!$F$2:$F$11000,OUT!$H$2:$H$11000,H227,OUT!$D$2:$D$11000,"Out",OUT!$E$2:$E$11000,"Kitchen")</f>
        <v>985700</v>
      </c>
      <c r="P227" s="52">
        <f ca="1">SUMIFS(OUT!$F$2:$F$11000,OUT!$H$2:$H$11000,H227,OUT!$D$2:$D$11000,"Out",OUT!$E$2:$E$11000,"Loandry")</f>
        <v>21500</v>
      </c>
      <c r="Q227" s="52">
        <f ca="1">SUMIFS(OUT!$F$2:$F$11000,OUT!$H$2:$H$11000,H227,OUT!$D$2:$D$11000,"Out",OUT!$E$2:$E$11000,"Mio")</f>
        <v>265000</v>
      </c>
      <c r="R227" s="52">
        <f ca="1">SUMIFS(OUT!$F$2:$F$11000,OUT!$H$2:$H$11000,H227,OUT!$D$2:$D$11000,"Out",OUT!$E$2:$E$11000,"Sedekah")</f>
        <v>5000</v>
      </c>
      <c r="S227" s="52">
        <f ca="1">SUMIFS(OUT!$F$2:$F$11000,OUT!$H$2:$H$11000,H227,OUT!$D$2:$D$11000,"Out",OUT!$E$2:$E$11000,"Zela")</f>
        <v>33400</v>
      </c>
      <c r="T227" s="52">
        <f ca="1">SUMIFS(OUT!$F$2:$F$11000,OUT!$H$2:$H$11000,H227,OUT!$D$2:$D$11000,"Out",OUT!$E$2:$E$11000,"Iqbal")</f>
        <v>232194</v>
      </c>
    </row>
    <row r="228" spans="1:20" x14ac:dyDescent="0.2">
      <c r="A228" s="48">
        <f ca="1">IFERROR(__xludf.DUMMYFUNCTION("""COMPUTED_VALUE"""),46179)</f>
        <v>46179</v>
      </c>
      <c r="B228" s="4" t="str">
        <f ca="1">IFERROR(__xludf.DUMMYFUNCTION("""COMPUTED_VALUE"""),"Es Tebu (2)")</f>
        <v>Es Tebu (2)</v>
      </c>
      <c r="C228" s="4" t="str">
        <f ca="1">IFERROR(__xludf.DUMMYFUNCTION("""COMPUTED_VALUE"""),"Cash")</f>
        <v>Cash</v>
      </c>
      <c r="D228" s="4" t="str">
        <f ca="1">IFERROR(__xludf.DUMMYFUNCTION("""COMPUTED_VALUE"""),"Out")</f>
        <v>Out</v>
      </c>
      <c r="E228" s="4" t="str">
        <f ca="1">IFERROR(__xludf.DUMMYFUNCTION("""COMPUTED_VALUE"""),"Jajan")</f>
        <v>Jajan</v>
      </c>
      <c r="F228" s="49">
        <f ca="1">IFERROR(__xludf.DUMMYFUNCTION("""COMPUTED_VALUE"""),12000)</f>
        <v>12000</v>
      </c>
      <c r="G228" s="50" t="str">
        <f ca="1">IFERROR(__xludf.DUMMYFUNCTION("""COMPUTED_VALUE"""),"Ibal")</f>
        <v>Ibal</v>
      </c>
      <c r="H228" s="51">
        <f t="shared" ca="1" si="0"/>
        <v>46174</v>
      </c>
      <c r="I228" s="52" t="e">
        <f ca="1">SUMIFS(OUT!$F$2:$F$11000,OUT!$H$2:$H$11000,H228,OUT!$D$2:$D$101007,"In")</f>
        <v>#VALUE!</v>
      </c>
      <c r="J228" s="52">
        <f ca="1">SUMIFS(OUT!$F$2:$F$11000,OUT!$H$2:$H$11000,H228,OUT!$D$2:$D$11000,"Out")</f>
        <v>9155672</v>
      </c>
      <c r="K228" s="52">
        <f ca="1">SUMIFS(OUT!$F$2:$F$11000,OUT!$H$2:$H$11000,H228,OUT!$D$2:$D$11000,"Out",OUT!$E$2:$E$11000,"Fix")</f>
        <v>3084727</v>
      </c>
      <c r="L228" s="52">
        <f ca="1">SUMIFS(OUT!$F$2:$F$11000,OUT!$H$2:$H$11000,H228,OUT!$D$2:$D$11000,"Out",OUT!$E$2:$E$11000,"Bathroom")</f>
        <v>37500</v>
      </c>
      <c r="M228" s="52">
        <f ca="1">SUMIFS(OUT!$F$2:$F$11000,OUT!$H$2:$H$11000,H228,OUT!$D$2:$D$11000,"Out",OUT!$E$2:$E$11000,"Alfa")</f>
        <v>317864</v>
      </c>
      <c r="N228" s="52" t="e">
        <f ca="1">SUMIFS(OUT!$F$2:$F$11000,OUT!$H$2:$H$101007,H228,OUT!$D$2:$D$11000,"Out",OUT!$E$2:$E$11000,"Jajan")</f>
        <v>#VALUE!</v>
      </c>
      <c r="O228" s="52">
        <f ca="1">SUMIFS(OUT!$F$2:$F$11000,OUT!$H$2:$H$11000,H228,OUT!$D$2:$D$11000,"Out",OUT!$E$2:$E$11000,"Kitchen")</f>
        <v>985700</v>
      </c>
      <c r="P228" s="52">
        <f ca="1">SUMIFS(OUT!$F$2:$F$11000,OUT!$H$2:$H$11000,H228,OUT!$D$2:$D$11000,"Out",OUT!$E$2:$E$11000,"Loandry")</f>
        <v>21500</v>
      </c>
      <c r="Q228" s="52">
        <f ca="1">SUMIFS(OUT!$F$2:$F$11000,OUT!$H$2:$H$11000,H228,OUT!$D$2:$D$11000,"Out",OUT!$E$2:$E$11000,"Mio")</f>
        <v>265000</v>
      </c>
      <c r="R228" s="52">
        <f ca="1">SUMIFS(OUT!$F$2:$F$11000,OUT!$H$2:$H$11000,H228,OUT!$D$2:$D$11000,"Out",OUT!$E$2:$E$11000,"Sedekah")</f>
        <v>5000</v>
      </c>
      <c r="S228" s="52">
        <f ca="1">SUMIFS(OUT!$F$2:$F$11000,OUT!$H$2:$H$11000,H228,OUT!$D$2:$D$11000,"Out",OUT!$E$2:$E$11000,"Zela")</f>
        <v>33400</v>
      </c>
      <c r="T228" s="52">
        <f ca="1">SUMIFS(OUT!$F$2:$F$11000,OUT!$H$2:$H$11000,H228,OUT!$D$2:$D$11000,"Out",OUT!$E$2:$E$11000,"Iqbal")</f>
        <v>232194</v>
      </c>
    </row>
    <row r="229" spans="1:20" x14ac:dyDescent="0.2">
      <c r="A229" s="48">
        <f ca="1">IFERROR(__xludf.DUMMYFUNCTION("""COMPUTED_VALUE"""),46179)</f>
        <v>46179</v>
      </c>
      <c r="B229" s="4" t="str">
        <f ca="1">IFERROR(__xludf.DUMMYFUNCTION("""COMPUTED_VALUE"""),"Galon")</f>
        <v>Galon</v>
      </c>
      <c r="C229" s="4" t="str">
        <f ca="1">IFERROR(__xludf.DUMMYFUNCTION("""COMPUTED_VALUE"""),"Cash")</f>
        <v>Cash</v>
      </c>
      <c r="D229" s="4" t="str">
        <f ca="1">IFERROR(__xludf.DUMMYFUNCTION("""COMPUTED_VALUE"""),"Out")</f>
        <v>Out</v>
      </c>
      <c r="E229" s="4" t="str">
        <f ca="1">IFERROR(__xludf.DUMMYFUNCTION("""COMPUTED_VALUE"""),"Kitchen")</f>
        <v>Kitchen</v>
      </c>
      <c r="F229" s="49">
        <f ca="1">IFERROR(__xludf.DUMMYFUNCTION("""COMPUTED_VALUE"""),4000)</f>
        <v>4000</v>
      </c>
      <c r="G229" s="50" t="str">
        <f ca="1">IFERROR(__xludf.DUMMYFUNCTION("""COMPUTED_VALUE"""),"Ibal")</f>
        <v>Ibal</v>
      </c>
      <c r="H229" s="51">
        <f t="shared" ca="1" si="0"/>
        <v>46174</v>
      </c>
      <c r="I229" s="52" t="e">
        <f ca="1">SUMIFS(OUT!$F$2:$F$11000,OUT!$H$2:$H$11000,H229,OUT!$D$2:$D$101007,"In")</f>
        <v>#VALUE!</v>
      </c>
      <c r="J229" s="52">
        <f ca="1">SUMIFS(OUT!$F$2:$F$11000,OUT!$H$2:$H$11000,H229,OUT!$D$2:$D$11000,"Out")</f>
        <v>9155672</v>
      </c>
      <c r="K229" s="52">
        <f ca="1">SUMIFS(OUT!$F$2:$F$11000,OUT!$H$2:$H$11000,H229,OUT!$D$2:$D$11000,"Out",OUT!$E$2:$E$11000,"Fix")</f>
        <v>3084727</v>
      </c>
      <c r="L229" s="52">
        <f ca="1">SUMIFS(OUT!$F$2:$F$11000,OUT!$H$2:$H$11000,H229,OUT!$D$2:$D$11000,"Out",OUT!$E$2:$E$11000,"Bathroom")</f>
        <v>37500</v>
      </c>
      <c r="M229" s="52">
        <f ca="1">SUMIFS(OUT!$F$2:$F$11000,OUT!$H$2:$H$11000,H229,OUT!$D$2:$D$11000,"Out",OUT!$E$2:$E$11000,"Alfa")</f>
        <v>317864</v>
      </c>
      <c r="N229" s="52" t="e">
        <f ca="1">SUMIFS(OUT!$F$2:$F$11000,OUT!$H$2:$H$101007,H229,OUT!$D$2:$D$11000,"Out",OUT!$E$2:$E$11000,"Jajan")</f>
        <v>#VALUE!</v>
      </c>
      <c r="O229" s="52">
        <f ca="1">SUMIFS(OUT!$F$2:$F$11000,OUT!$H$2:$H$11000,H229,OUT!$D$2:$D$11000,"Out",OUT!$E$2:$E$11000,"Kitchen")</f>
        <v>985700</v>
      </c>
      <c r="P229" s="52">
        <f ca="1">SUMIFS(OUT!$F$2:$F$11000,OUT!$H$2:$H$11000,H229,OUT!$D$2:$D$11000,"Out",OUT!$E$2:$E$11000,"Loandry")</f>
        <v>21500</v>
      </c>
      <c r="Q229" s="52">
        <f ca="1">SUMIFS(OUT!$F$2:$F$11000,OUT!$H$2:$H$11000,H229,OUT!$D$2:$D$11000,"Out",OUT!$E$2:$E$11000,"Mio")</f>
        <v>265000</v>
      </c>
      <c r="R229" s="52">
        <f ca="1">SUMIFS(OUT!$F$2:$F$11000,OUT!$H$2:$H$11000,H229,OUT!$D$2:$D$11000,"Out",OUT!$E$2:$E$11000,"Sedekah")</f>
        <v>5000</v>
      </c>
      <c r="S229" s="52">
        <f ca="1">SUMIFS(OUT!$F$2:$F$11000,OUT!$H$2:$H$11000,H229,OUT!$D$2:$D$11000,"Out",OUT!$E$2:$E$11000,"Zela")</f>
        <v>33400</v>
      </c>
      <c r="T229" s="52">
        <f ca="1">SUMIFS(OUT!$F$2:$F$11000,OUT!$H$2:$H$11000,H229,OUT!$D$2:$D$11000,"Out",OUT!$E$2:$E$11000,"Iqbal")</f>
        <v>232194</v>
      </c>
    </row>
    <row r="230" spans="1:20" x14ac:dyDescent="0.2">
      <c r="A230" s="48">
        <f ca="1">IFERROR(__xludf.DUMMYFUNCTION("""COMPUTED_VALUE"""),46179)</f>
        <v>46179</v>
      </c>
      <c r="B230" s="4" t="str">
        <f ca="1">IFERROR(__xludf.DUMMYFUNCTION("""COMPUTED_VALUE"""),"Rokok")</f>
        <v>Rokok</v>
      </c>
      <c r="C230" s="4" t="str">
        <f ca="1">IFERROR(__xludf.DUMMYFUNCTION("""COMPUTED_VALUE"""),"ATM")</f>
        <v>ATM</v>
      </c>
      <c r="D230" s="4" t="str">
        <f ca="1">IFERROR(__xludf.DUMMYFUNCTION("""COMPUTED_VALUE"""),"Out")</f>
        <v>Out</v>
      </c>
      <c r="E230" s="4" t="str">
        <f ca="1">IFERROR(__xludf.DUMMYFUNCTION("""COMPUTED_VALUE"""),"Iqbal")</f>
        <v>Iqbal</v>
      </c>
      <c r="F230" s="49">
        <f ca="1">IFERROR(__xludf.DUMMYFUNCTION("""COMPUTED_VALUE"""),15000)</f>
        <v>15000</v>
      </c>
      <c r="G230" s="50" t="str">
        <f ca="1">IFERROR(__xludf.DUMMYFUNCTION("""COMPUTED_VALUE"""),"Ibal")</f>
        <v>Ibal</v>
      </c>
      <c r="H230" s="51">
        <f t="shared" ca="1" si="0"/>
        <v>46174</v>
      </c>
      <c r="I230" s="52" t="e">
        <f ca="1">SUMIFS(OUT!$F$2:$F$11000,OUT!$H$2:$H$11000,H230,OUT!$D$2:$D$101007,"In")</f>
        <v>#VALUE!</v>
      </c>
      <c r="J230" s="52">
        <f ca="1">SUMIFS(OUT!$F$2:$F$11000,OUT!$H$2:$H$11000,H230,OUT!$D$2:$D$11000,"Out")</f>
        <v>9155672</v>
      </c>
      <c r="K230" s="52">
        <f ca="1">SUMIFS(OUT!$F$2:$F$11000,OUT!$H$2:$H$11000,H230,OUT!$D$2:$D$11000,"Out",OUT!$E$2:$E$11000,"Fix")</f>
        <v>3084727</v>
      </c>
      <c r="L230" s="52">
        <f ca="1">SUMIFS(OUT!$F$2:$F$11000,OUT!$H$2:$H$11000,H230,OUT!$D$2:$D$11000,"Out",OUT!$E$2:$E$11000,"Bathroom")</f>
        <v>37500</v>
      </c>
      <c r="M230" s="52">
        <f ca="1">SUMIFS(OUT!$F$2:$F$11000,OUT!$H$2:$H$11000,H230,OUT!$D$2:$D$11000,"Out",OUT!$E$2:$E$11000,"Alfa")</f>
        <v>317864</v>
      </c>
      <c r="N230" s="52" t="e">
        <f ca="1">SUMIFS(OUT!$F$2:$F$11000,OUT!$H$2:$H$101007,H230,OUT!$D$2:$D$11000,"Out",OUT!$E$2:$E$11000,"Jajan")</f>
        <v>#VALUE!</v>
      </c>
      <c r="O230" s="52">
        <f ca="1">SUMIFS(OUT!$F$2:$F$11000,OUT!$H$2:$H$11000,H230,OUT!$D$2:$D$11000,"Out",OUT!$E$2:$E$11000,"Kitchen")</f>
        <v>985700</v>
      </c>
      <c r="P230" s="52">
        <f ca="1">SUMIFS(OUT!$F$2:$F$11000,OUT!$H$2:$H$11000,H230,OUT!$D$2:$D$11000,"Out",OUT!$E$2:$E$11000,"Loandry")</f>
        <v>21500</v>
      </c>
      <c r="Q230" s="52">
        <f ca="1">SUMIFS(OUT!$F$2:$F$11000,OUT!$H$2:$H$11000,H230,OUT!$D$2:$D$11000,"Out",OUT!$E$2:$E$11000,"Mio")</f>
        <v>265000</v>
      </c>
      <c r="R230" s="52">
        <f ca="1">SUMIFS(OUT!$F$2:$F$11000,OUT!$H$2:$H$11000,H230,OUT!$D$2:$D$11000,"Out",OUT!$E$2:$E$11000,"Sedekah")</f>
        <v>5000</v>
      </c>
      <c r="S230" s="52">
        <f ca="1">SUMIFS(OUT!$F$2:$F$11000,OUT!$H$2:$H$11000,H230,OUT!$D$2:$D$11000,"Out",OUT!$E$2:$E$11000,"Zela")</f>
        <v>33400</v>
      </c>
      <c r="T230" s="52">
        <f ca="1">SUMIFS(OUT!$F$2:$F$11000,OUT!$H$2:$H$11000,H230,OUT!$D$2:$D$11000,"Out",OUT!$E$2:$E$11000,"Iqbal")</f>
        <v>232194</v>
      </c>
    </row>
    <row r="231" spans="1:20" x14ac:dyDescent="0.2">
      <c r="A231" s="48">
        <f ca="1">IFERROR(__xludf.DUMMYFUNCTION("""COMPUTED_VALUE"""),46180)</f>
        <v>46180</v>
      </c>
      <c r="B231" s="4" t="str">
        <f ca="1">IFERROR(__xludf.DUMMYFUNCTION("""COMPUTED_VALUE"""),"Royko ayam")</f>
        <v>Royko ayam</v>
      </c>
      <c r="C231" s="4" t="str">
        <f ca="1">IFERROR(__xludf.DUMMYFUNCTION("""COMPUTED_VALUE"""),"Cash")</f>
        <v>Cash</v>
      </c>
      <c r="D231" s="4" t="str">
        <f ca="1">IFERROR(__xludf.DUMMYFUNCTION("""COMPUTED_VALUE"""),"Out")</f>
        <v>Out</v>
      </c>
      <c r="E231" s="4" t="str">
        <f ca="1">IFERROR(__xludf.DUMMYFUNCTION("""COMPUTED_VALUE"""),"Kitchen")</f>
        <v>Kitchen</v>
      </c>
      <c r="F231" s="49">
        <f ca="1">IFERROR(__xludf.DUMMYFUNCTION("""COMPUTED_VALUE"""),4000)</f>
        <v>4000</v>
      </c>
      <c r="G231" s="50" t="str">
        <f ca="1">IFERROR(__xludf.DUMMYFUNCTION("""COMPUTED_VALUE"""),"Ibal")</f>
        <v>Ibal</v>
      </c>
      <c r="H231" s="51">
        <f t="shared" ca="1" si="0"/>
        <v>46174</v>
      </c>
      <c r="I231" s="52" t="e">
        <f ca="1">SUMIFS(OUT!$F$2:$F$11000,OUT!$H$2:$H$11000,H231,OUT!$D$2:$D$101007,"In")</f>
        <v>#VALUE!</v>
      </c>
      <c r="J231" s="52">
        <f ca="1">SUMIFS(OUT!$F$2:$F$11000,OUT!$H$2:$H$11000,H231,OUT!$D$2:$D$11000,"Out")</f>
        <v>9155672</v>
      </c>
      <c r="K231" s="52">
        <f ca="1">SUMIFS(OUT!$F$2:$F$11000,OUT!$H$2:$H$11000,H231,OUT!$D$2:$D$11000,"Out",OUT!$E$2:$E$11000,"Fix")</f>
        <v>3084727</v>
      </c>
      <c r="L231" s="52">
        <f ca="1">SUMIFS(OUT!$F$2:$F$11000,OUT!$H$2:$H$11000,H231,OUT!$D$2:$D$11000,"Out",OUT!$E$2:$E$11000,"Bathroom")</f>
        <v>37500</v>
      </c>
      <c r="M231" s="52">
        <f ca="1">SUMIFS(OUT!$F$2:$F$11000,OUT!$H$2:$H$11000,H231,OUT!$D$2:$D$11000,"Out",OUT!$E$2:$E$11000,"Alfa")</f>
        <v>317864</v>
      </c>
      <c r="N231" s="52" t="e">
        <f ca="1">SUMIFS(OUT!$F$2:$F$11000,OUT!$H$2:$H$101007,H231,OUT!$D$2:$D$11000,"Out",OUT!$E$2:$E$11000,"Jajan")</f>
        <v>#VALUE!</v>
      </c>
      <c r="O231" s="52">
        <f ca="1">SUMIFS(OUT!$F$2:$F$11000,OUT!$H$2:$H$11000,H231,OUT!$D$2:$D$11000,"Out",OUT!$E$2:$E$11000,"Kitchen")</f>
        <v>985700</v>
      </c>
      <c r="P231" s="52">
        <f ca="1">SUMIFS(OUT!$F$2:$F$11000,OUT!$H$2:$H$11000,H231,OUT!$D$2:$D$11000,"Out",OUT!$E$2:$E$11000,"Loandry")</f>
        <v>21500</v>
      </c>
      <c r="Q231" s="52">
        <f ca="1">SUMIFS(OUT!$F$2:$F$11000,OUT!$H$2:$H$11000,H231,OUT!$D$2:$D$11000,"Out",OUT!$E$2:$E$11000,"Mio")</f>
        <v>265000</v>
      </c>
      <c r="R231" s="52">
        <f ca="1">SUMIFS(OUT!$F$2:$F$11000,OUT!$H$2:$H$11000,H231,OUT!$D$2:$D$11000,"Out",OUT!$E$2:$E$11000,"Sedekah")</f>
        <v>5000</v>
      </c>
      <c r="S231" s="52">
        <f ca="1">SUMIFS(OUT!$F$2:$F$11000,OUT!$H$2:$H$11000,H231,OUT!$D$2:$D$11000,"Out",OUT!$E$2:$E$11000,"Zela")</f>
        <v>33400</v>
      </c>
      <c r="T231" s="52">
        <f ca="1">SUMIFS(OUT!$F$2:$F$11000,OUT!$H$2:$H$11000,H231,OUT!$D$2:$D$11000,"Out",OUT!$E$2:$E$11000,"Iqbal")</f>
        <v>232194</v>
      </c>
    </row>
    <row r="232" spans="1:20" x14ac:dyDescent="0.2">
      <c r="A232" s="48">
        <f ca="1">IFERROR(__xludf.DUMMYFUNCTION("""COMPUTED_VALUE"""),46181)</f>
        <v>46181</v>
      </c>
      <c r="B232" s="4" t="str">
        <f ca="1">IFERROR(__xludf.DUMMYFUNCTION("""COMPUTED_VALUE"""),"Paket byu 7GB")</f>
        <v>Paket byu 7GB</v>
      </c>
      <c r="C232" s="4" t="str">
        <f ca="1">IFERROR(__xludf.DUMMYFUNCTION("""COMPUTED_VALUE"""),"ATM")</f>
        <v>ATM</v>
      </c>
      <c r="D232" s="4" t="str">
        <f ca="1">IFERROR(__xludf.DUMMYFUNCTION("""COMPUTED_VALUE"""),"Out")</f>
        <v>Out</v>
      </c>
      <c r="E232" s="4" t="str">
        <f ca="1">IFERROR(__xludf.DUMMYFUNCTION("""COMPUTED_VALUE"""),"Fix")</f>
        <v>Fix</v>
      </c>
      <c r="F232" s="49">
        <f ca="1">IFERROR(__xludf.DUMMYFUNCTION("""COMPUTED_VALUE"""),38000)</f>
        <v>38000</v>
      </c>
      <c r="G232" s="50" t="str">
        <f ca="1">IFERROR(__xludf.DUMMYFUNCTION("""COMPUTED_VALUE"""),"Ibal")</f>
        <v>Ibal</v>
      </c>
      <c r="H232" s="51">
        <f t="shared" ca="1" si="0"/>
        <v>46174</v>
      </c>
      <c r="I232" s="52" t="e">
        <f ca="1">SUMIFS(OUT!$F$2:$F$11000,OUT!$H$2:$H$11000,H232,OUT!$D$2:$D$101007,"In")</f>
        <v>#VALUE!</v>
      </c>
      <c r="J232" s="52">
        <f ca="1">SUMIFS(OUT!$F$2:$F$11000,OUT!$H$2:$H$11000,H232,OUT!$D$2:$D$11000,"Out")</f>
        <v>9155672</v>
      </c>
      <c r="K232" s="52">
        <f ca="1">SUMIFS(OUT!$F$2:$F$11000,OUT!$H$2:$H$11000,H232,OUT!$D$2:$D$11000,"Out",OUT!$E$2:$E$11000,"Fix")</f>
        <v>3084727</v>
      </c>
      <c r="L232" s="52">
        <f ca="1">SUMIFS(OUT!$F$2:$F$11000,OUT!$H$2:$H$11000,H232,OUT!$D$2:$D$11000,"Out",OUT!$E$2:$E$11000,"Bathroom")</f>
        <v>37500</v>
      </c>
      <c r="M232" s="52">
        <f ca="1">SUMIFS(OUT!$F$2:$F$11000,OUT!$H$2:$H$11000,H232,OUT!$D$2:$D$11000,"Out",OUT!$E$2:$E$11000,"Alfa")</f>
        <v>317864</v>
      </c>
      <c r="N232" s="52" t="e">
        <f ca="1">SUMIFS(OUT!$F$2:$F$11000,OUT!$H$2:$H$101007,H232,OUT!$D$2:$D$11000,"Out",OUT!$E$2:$E$11000,"Jajan")</f>
        <v>#VALUE!</v>
      </c>
      <c r="O232" s="52">
        <f ca="1">SUMIFS(OUT!$F$2:$F$11000,OUT!$H$2:$H$11000,H232,OUT!$D$2:$D$11000,"Out",OUT!$E$2:$E$11000,"Kitchen")</f>
        <v>985700</v>
      </c>
      <c r="P232" s="52">
        <f ca="1">SUMIFS(OUT!$F$2:$F$11000,OUT!$H$2:$H$11000,H232,OUT!$D$2:$D$11000,"Out",OUT!$E$2:$E$11000,"Loandry")</f>
        <v>21500</v>
      </c>
      <c r="Q232" s="52">
        <f ca="1">SUMIFS(OUT!$F$2:$F$11000,OUT!$H$2:$H$11000,H232,OUT!$D$2:$D$11000,"Out",OUT!$E$2:$E$11000,"Mio")</f>
        <v>265000</v>
      </c>
      <c r="R232" s="52">
        <f ca="1">SUMIFS(OUT!$F$2:$F$11000,OUT!$H$2:$H$11000,H232,OUT!$D$2:$D$11000,"Out",OUT!$E$2:$E$11000,"Sedekah")</f>
        <v>5000</v>
      </c>
      <c r="S232" s="52">
        <f ca="1">SUMIFS(OUT!$F$2:$F$11000,OUT!$H$2:$H$11000,H232,OUT!$D$2:$D$11000,"Out",OUT!$E$2:$E$11000,"Zela")</f>
        <v>33400</v>
      </c>
      <c r="T232" s="52">
        <f ca="1">SUMIFS(OUT!$F$2:$F$11000,OUT!$H$2:$H$11000,H232,OUT!$D$2:$D$11000,"Out",OUT!$E$2:$E$11000,"Iqbal")</f>
        <v>232194</v>
      </c>
    </row>
    <row r="233" spans="1:20" x14ac:dyDescent="0.2">
      <c r="A233" s="48">
        <f ca="1">IFERROR(__xludf.DUMMYFUNCTION("""COMPUTED_VALUE"""),46186)</f>
        <v>46186</v>
      </c>
      <c r="B233" s="4" t="str">
        <f ca="1">IFERROR(__xludf.DUMMYFUNCTION("""COMPUTED_VALUE"""),"Istriku")</f>
        <v>Istriku</v>
      </c>
      <c r="C233" s="4" t="str">
        <f ca="1">IFERROR(__xludf.DUMMYFUNCTION("""COMPUTED_VALUE"""),"ATM")</f>
        <v>ATM</v>
      </c>
      <c r="D233" s="4" t="str">
        <f ca="1">IFERROR(__xludf.DUMMYFUNCTION("""COMPUTED_VALUE"""),"Out")</f>
        <v>Out</v>
      </c>
      <c r="E233" s="4" t="str">
        <f ca="1">IFERROR(__xludf.DUMMYFUNCTION("""COMPUTED_VALUE"""),"Move")</f>
        <v>Move</v>
      </c>
      <c r="F233" s="49">
        <f ca="1">IFERROR(__xludf.DUMMYFUNCTION("""COMPUTED_VALUE"""),29000)</f>
        <v>29000</v>
      </c>
      <c r="G233" s="50" t="str">
        <f ca="1">IFERROR(__xludf.DUMMYFUNCTION("""COMPUTED_VALUE"""),"Ibal")</f>
        <v>Ibal</v>
      </c>
      <c r="H233" s="51">
        <f t="shared" ca="1" si="0"/>
        <v>46174</v>
      </c>
      <c r="I233" s="52" t="e">
        <f ca="1">SUMIFS(OUT!$F$2:$F$11000,OUT!$H$2:$H$11000,H233,OUT!$D$2:$D$101007,"In")</f>
        <v>#VALUE!</v>
      </c>
      <c r="J233" s="52">
        <f ca="1">SUMIFS(OUT!$F$2:$F$11000,OUT!$H$2:$H$11000,H233,OUT!$D$2:$D$11000,"Out")</f>
        <v>9155672</v>
      </c>
      <c r="K233" s="52">
        <f ca="1">SUMIFS(OUT!$F$2:$F$11000,OUT!$H$2:$H$11000,H233,OUT!$D$2:$D$11000,"Out",OUT!$E$2:$E$11000,"Fix")</f>
        <v>3084727</v>
      </c>
      <c r="L233" s="52">
        <f ca="1">SUMIFS(OUT!$F$2:$F$11000,OUT!$H$2:$H$11000,H233,OUT!$D$2:$D$11000,"Out",OUT!$E$2:$E$11000,"Bathroom")</f>
        <v>37500</v>
      </c>
      <c r="M233" s="52">
        <f ca="1">SUMIFS(OUT!$F$2:$F$11000,OUT!$H$2:$H$11000,H233,OUT!$D$2:$D$11000,"Out",OUT!$E$2:$E$11000,"Alfa")</f>
        <v>317864</v>
      </c>
      <c r="N233" s="52" t="e">
        <f ca="1">SUMIFS(OUT!$F$2:$F$11000,OUT!$H$2:$H$101007,H233,OUT!$D$2:$D$11000,"Out",OUT!$E$2:$E$11000,"Jajan")</f>
        <v>#VALUE!</v>
      </c>
      <c r="O233" s="52">
        <f ca="1">SUMIFS(OUT!$F$2:$F$11000,OUT!$H$2:$H$11000,H233,OUT!$D$2:$D$11000,"Out",OUT!$E$2:$E$11000,"Kitchen")</f>
        <v>985700</v>
      </c>
      <c r="P233" s="52">
        <f ca="1">SUMIFS(OUT!$F$2:$F$11000,OUT!$H$2:$H$11000,H233,OUT!$D$2:$D$11000,"Out",OUT!$E$2:$E$11000,"Loandry")</f>
        <v>21500</v>
      </c>
      <c r="Q233" s="52">
        <f ca="1">SUMIFS(OUT!$F$2:$F$11000,OUT!$H$2:$H$11000,H233,OUT!$D$2:$D$11000,"Out",OUT!$E$2:$E$11000,"Mio")</f>
        <v>265000</v>
      </c>
      <c r="R233" s="52">
        <f ca="1">SUMIFS(OUT!$F$2:$F$11000,OUT!$H$2:$H$11000,H233,OUT!$D$2:$D$11000,"Out",OUT!$E$2:$E$11000,"Sedekah")</f>
        <v>5000</v>
      </c>
      <c r="S233" s="52">
        <f ca="1">SUMIFS(OUT!$F$2:$F$11000,OUT!$H$2:$H$11000,H233,OUT!$D$2:$D$11000,"Out",OUT!$E$2:$E$11000,"Zela")</f>
        <v>33400</v>
      </c>
      <c r="T233" s="52">
        <f ca="1">SUMIFS(OUT!$F$2:$F$11000,OUT!$H$2:$H$11000,H233,OUT!$D$2:$D$11000,"Out",OUT!$E$2:$E$11000,"Iqbal")</f>
        <v>232194</v>
      </c>
    </row>
    <row r="234" spans="1:20" x14ac:dyDescent="0.2">
      <c r="A234" s="48">
        <f ca="1">IFERROR(__xludf.DUMMYFUNCTION("""COMPUTED_VALUE"""),46193)</f>
        <v>46193</v>
      </c>
      <c r="B234" s="4" t="str">
        <f ca="1">IFERROR(__xludf.DUMMYFUNCTION("""COMPUTED_VALUE"""),"Admin BRI")</f>
        <v>Admin BRI</v>
      </c>
      <c r="C234" s="4" t="str">
        <f ca="1">IFERROR(__xludf.DUMMYFUNCTION("""COMPUTED_VALUE"""),"ATM")</f>
        <v>ATM</v>
      </c>
      <c r="D234" s="4" t="str">
        <f ca="1">IFERROR(__xludf.DUMMYFUNCTION("""COMPUTED_VALUE"""),"Out")</f>
        <v>Out</v>
      </c>
      <c r="E234" s="4" t="str">
        <f ca="1">IFERROR(__xludf.DUMMYFUNCTION("""COMPUTED_VALUE"""),"Fix")</f>
        <v>Fix</v>
      </c>
      <c r="F234" s="49">
        <f ca="1">IFERROR(__xludf.DUMMYFUNCTION("""COMPUTED_VALUE"""),6000)</f>
        <v>6000</v>
      </c>
      <c r="G234" s="50" t="str">
        <f ca="1">IFERROR(__xludf.DUMMYFUNCTION("""COMPUTED_VALUE"""),"Ibal")</f>
        <v>Ibal</v>
      </c>
      <c r="H234" s="51">
        <f t="shared" ca="1" si="0"/>
        <v>46174</v>
      </c>
      <c r="I234" s="52" t="e">
        <f ca="1">SUMIFS(OUT!$F$2:$F$11000,OUT!$H$2:$H$11000,H234,OUT!$D$2:$D$101007,"In")</f>
        <v>#VALUE!</v>
      </c>
      <c r="J234" s="52">
        <f ca="1">SUMIFS(OUT!$F$2:$F$11000,OUT!$H$2:$H$11000,H234,OUT!$D$2:$D$11000,"Out")</f>
        <v>9155672</v>
      </c>
      <c r="K234" s="52">
        <f ca="1">SUMIFS(OUT!$F$2:$F$11000,OUT!$H$2:$H$11000,H234,OUT!$D$2:$D$11000,"Out",OUT!$E$2:$E$11000,"Fix")</f>
        <v>3084727</v>
      </c>
      <c r="L234" s="52">
        <f ca="1">SUMIFS(OUT!$F$2:$F$11000,OUT!$H$2:$H$11000,H234,OUT!$D$2:$D$11000,"Out",OUT!$E$2:$E$11000,"Bathroom")</f>
        <v>37500</v>
      </c>
      <c r="M234" s="52">
        <f ca="1">SUMIFS(OUT!$F$2:$F$11000,OUT!$H$2:$H$11000,H234,OUT!$D$2:$D$11000,"Out",OUT!$E$2:$E$11000,"Alfa")</f>
        <v>317864</v>
      </c>
      <c r="N234" s="52" t="e">
        <f ca="1">SUMIFS(OUT!$F$2:$F$11000,OUT!$H$2:$H$101007,H234,OUT!$D$2:$D$11000,"Out",OUT!$E$2:$E$11000,"Jajan")</f>
        <v>#VALUE!</v>
      </c>
      <c r="O234" s="52">
        <f ca="1">SUMIFS(OUT!$F$2:$F$11000,OUT!$H$2:$H$11000,H234,OUT!$D$2:$D$11000,"Out",OUT!$E$2:$E$11000,"Kitchen")</f>
        <v>985700</v>
      </c>
      <c r="P234" s="52">
        <f ca="1">SUMIFS(OUT!$F$2:$F$11000,OUT!$H$2:$H$11000,H234,OUT!$D$2:$D$11000,"Out",OUT!$E$2:$E$11000,"Loandry")</f>
        <v>21500</v>
      </c>
      <c r="Q234" s="52">
        <f ca="1">SUMIFS(OUT!$F$2:$F$11000,OUT!$H$2:$H$11000,H234,OUT!$D$2:$D$11000,"Out",OUT!$E$2:$E$11000,"Mio")</f>
        <v>265000</v>
      </c>
      <c r="R234" s="52">
        <f ca="1">SUMIFS(OUT!$F$2:$F$11000,OUT!$H$2:$H$11000,H234,OUT!$D$2:$D$11000,"Out",OUT!$E$2:$E$11000,"Sedekah")</f>
        <v>5000</v>
      </c>
      <c r="S234" s="52">
        <f ca="1">SUMIFS(OUT!$F$2:$F$11000,OUT!$H$2:$H$11000,H234,OUT!$D$2:$D$11000,"Out",OUT!$E$2:$E$11000,"Zela")</f>
        <v>33400</v>
      </c>
      <c r="T234" s="52">
        <f ca="1">SUMIFS(OUT!$F$2:$F$11000,OUT!$H$2:$H$11000,H234,OUT!$D$2:$D$11000,"Out",OUT!$E$2:$E$11000,"Iqbal")</f>
        <v>232194</v>
      </c>
    </row>
    <row r="235" spans="1:20" x14ac:dyDescent="0.2">
      <c r="A235" s="48">
        <f ca="1">IFERROR(__xludf.DUMMYFUNCTION("""COMPUTED_VALUE"""),46194)</f>
        <v>46194</v>
      </c>
      <c r="B235" s="4" t="str">
        <f ca="1">IFERROR(__xludf.DUMMYFUNCTION("""COMPUTED_VALUE"""),"pinjam bu eli ")</f>
        <v xml:space="preserve">pinjam bu eli </v>
      </c>
      <c r="C235" s="4" t="str">
        <f ca="1">IFERROR(__xludf.DUMMYFUNCTION("""COMPUTED_VALUE"""),"ATM")</f>
        <v>ATM</v>
      </c>
      <c r="D235" s="4" t="str">
        <f ca="1">IFERROR(__xludf.DUMMYFUNCTION("""COMPUTED_VALUE"""),"In")</f>
        <v>In</v>
      </c>
      <c r="E235" s="4" t="str">
        <f ca="1">IFERROR(__xludf.DUMMYFUNCTION("""COMPUTED_VALUE"""),"Fix")</f>
        <v>Fix</v>
      </c>
      <c r="F235" s="49">
        <f ca="1">IFERROR(__xludf.DUMMYFUNCTION("""COMPUTED_VALUE"""),400000)</f>
        <v>400000</v>
      </c>
      <c r="G235" s="50" t="str">
        <f ca="1">IFERROR(__xludf.DUMMYFUNCTION("""COMPUTED_VALUE"""),"Ibal")</f>
        <v>Ibal</v>
      </c>
      <c r="H235" s="51">
        <f t="shared" ca="1" si="0"/>
        <v>46174</v>
      </c>
      <c r="I235" s="52" t="e">
        <f ca="1">SUMIFS(OUT!$F$2:$F$11000,OUT!$H$2:$H$11000,H235,OUT!$D$2:$D$101007,"In")</f>
        <v>#VALUE!</v>
      </c>
      <c r="J235" s="52">
        <f ca="1">SUMIFS(OUT!$F$2:$F$11000,OUT!$H$2:$H$11000,H235,OUT!$D$2:$D$11000,"Out")</f>
        <v>9155672</v>
      </c>
      <c r="K235" s="52">
        <f ca="1">SUMIFS(OUT!$F$2:$F$11000,OUT!$H$2:$H$11000,H235,OUT!$D$2:$D$11000,"Out",OUT!$E$2:$E$11000,"Fix")</f>
        <v>3084727</v>
      </c>
      <c r="L235" s="52">
        <f ca="1">SUMIFS(OUT!$F$2:$F$11000,OUT!$H$2:$H$11000,H235,OUT!$D$2:$D$11000,"Out",OUT!$E$2:$E$11000,"Bathroom")</f>
        <v>37500</v>
      </c>
      <c r="M235" s="52">
        <f ca="1">SUMIFS(OUT!$F$2:$F$11000,OUT!$H$2:$H$11000,H235,OUT!$D$2:$D$11000,"Out",OUT!$E$2:$E$11000,"Alfa")</f>
        <v>317864</v>
      </c>
      <c r="N235" s="52" t="e">
        <f ca="1">SUMIFS(OUT!$F$2:$F$11000,OUT!$H$2:$H$101007,H235,OUT!$D$2:$D$11000,"Out",OUT!$E$2:$E$11000,"Jajan")</f>
        <v>#VALUE!</v>
      </c>
      <c r="O235" s="52">
        <f ca="1">SUMIFS(OUT!$F$2:$F$11000,OUT!$H$2:$H$11000,H235,OUT!$D$2:$D$11000,"Out",OUT!$E$2:$E$11000,"Kitchen")</f>
        <v>985700</v>
      </c>
      <c r="P235" s="52">
        <f ca="1">SUMIFS(OUT!$F$2:$F$11000,OUT!$H$2:$H$11000,H235,OUT!$D$2:$D$11000,"Out",OUT!$E$2:$E$11000,"Loandry")</f>
        <v>21500</v>
      </c>
      <c r="Q235" s="52">
        <f ca="1">SUMIFS(OUT!$F$2:$F$11000,OUT!$H$2:$H$11000,H235,OUT!$D$2:$D$11000,"Out",OUT!$E$2:$E$11000,"Mio")</f>
        <v>265000</v>
      </c>
      <c r="R235" s="52">
        <f ca="1">SUMIFS(OUT!$F$2:$F$11000,OUT!$H$2:$H$11000,H235,OUT!$D$2:$D$11000,"Out",OUT!$E$2:$E$11000,"Sedekah")</f>
        <v>5000</v>
      </c>
      <c r="S235" s="52">
        <f ca="1">SUMIFS(OUT!$F$2:$F$11000,OUT!$H$2:$H$11000,H235,OUT!$D$2:$D$11000,"Out",OUT!$E$2:$E$11000,"Zela")</f>
        <v>33400</v>
      </c>
      <c r="T235" s="52">
        <f ca="1">SUMIFS(OUT!$F$2:$F$11000,OUT!$H$2:$H$11000,H235,OUT!$D$2:$D$11000,"Out",OUT!$E$2:$E$11000,"Iqbal")</f>
        <v>232194</v>
      </c>
    </row>
    <row r="236" spans="1:20" x14ac:dyDescent="0.2">
      <c r="A236" s="48">
        <f ca="1">IFERROR(__xludf.DUMMYFUNCTION("""COMPUTED_VALUE"""),46194)</f>
        <v>46194</v>
      </c>
      <c r="B236" s="4" t="str">
        <f ca="1">IFERROR(__xludf.DUMMYFUNCTION("""COMPUTED_VALUE"""),"istriku")</f>
        <v>istriku</v>
      </c>
      <c r="C236" s="4" t="str">
        <f ca="1">IFERROR(__xludf.DUMMYFUNCTION("""COMPUTED_VALUE"""),"ATM")</f>
        <v>ATM</v>
      </c>
      <c r="D236" s="4" t="str">
        <f ca="1">IFERROR(__xludf.DUMMYFUNCTION("""COMPUTED_VALUE"""),"Out")</f>
        <v>Out</v>
      </c>
      <c r="E236" s="4" t="str">
        <f ca="1">IFERROR(__xludf.DUMMYFUNCTION("""COMPUTED_VALUE"""),"Move")</f>
        <v>Move</v>
      </c>
      <c r="F236" s="49">
        <f ca="1">IFERROR(__xludf.DUMMYFUNCTION("""COMPUTED_VALUE"""),250000)</f>
        <v>250000</v>
      </c>
      <c r="G236" s="50" t="str">
        <f ca="1">IFERROR(__xludf.DUMMYFUNCTION("""COMPUTED_VALUE"""),"Ibal")</f>
        <v>Ibal</v>
      </c>
      <c r="H236" s="51">
        <f t="shared" ca="1" si="0"/>
        <v>46174</v>
      </c>
      <c r="I236" s="52" t="e">
        <f ca="1">SUMIFS(OUT!$F$2:$F$11000,OUT!$H$2:$H$11000,H236,OUT!$D$2:$D$101007,"In")</f>
        <v>#VALUE!</v>
      </c>
      <c r="J236" s="52">
        <f ca="1">SUMIFS(OUT!$F$2:$F$11000,OUT!$H$2:$H$11000,H236,OUT!$D$2:$D$11000,"Out")</f>
        <v>9155672</v>
      </c>
      <c r="K236" s="52">
        <f ca="1">SUMIFS(OUT!$F$2:$F$11000,OUT!$H$2:$H$11000,H236,OUT!$D$2:$D$11000,"Out",OUT!$E$2:$E$11000,"Fix")</f>
        <v>3084727</v>
      </c>
      <c r="L236" s="52">
        <f ca="1">SUMIFS(OUT!$F$2:$F$11000,OUT!$H$2:$H$11000,H236,OUT!$D$2:$D$11000,"Out",OUT!$E$2:$E$11000,"Bathroom")</f>
        <v>37500</v>
      </c>
      <c r="M236" s="52">
        <f ca="1">SUMIFS(OUT!$F$2:$F$11000,OUT!$H$2:$H$11000,H236,OUT!$D$2:$D$11000,"Out",OUT!$E$2:$E$11000,"Alfa")</f>
        <v>317864</v>
      </c>
      <c r="N236" s="52" t="e">
        <f ca="1">SUMIFS(OUT!$F$2:$F$11000,OUT!$H$2:$H$101007,H236,OUT!$D$2:$D$11000,"Out",OUT!$E$2:$E$11000,"Jajan")</f>
        <v>#VALUE!</v>
      </c>
      <c r="O236" s="52">
        <f ca="1">SUMIFS(OUT!$F$2:$F$11000,OUT!$H$2:$H$11000,H236,OUT!$D$2:$D$11000,"Out",OUT!$E$2:$E$11000,"Kitchen")</f>
        <v>985700</v>
      </c>
      <c r="P236" s="52">
        <f ca="1">SUMIFS(OUT!$F$2:$F$11000,OUT!$H$2:$H$11000,H236,OUT!$D$2:$D$11000,"Out",OUT!$E$2:$E$11000,"Loandry")</f>
        <v>21500</v>
      </c>
      <c r="Q236" s="52">
        <f ca="1">SUMIFS(OUT!$F$2:$F$11000,OUT!$H$2:$H$11000,H236,OUT!$D$2:$D$11000,"Out",OUT!$E$2:$E$11000,"Mio")</f>
        <v>265000</v>
      </c>
      <c r="R236" s="52">
        <f ca="1">SUMIFS(OUT!$F$2:$F$11000,OUT!$H$2:$H$11000,H236,OUT!$D$2:$D$11000,"Out",OUT!$E$2:$E$11000,"Sedekah")</f>
        <v>5000</v>
      </c>
      <c r="S236" s="52">
        <f ca="1">SUMIFS(OUT!$F$2:$F$11000,OUT!$H$2:$H$11000,H236,OUT!$D$2:$D$11000,"Out",OUT!$E$2:$E$11000,"Zela")</f>
        <v>33400</v>
      </c>
      <c r="T236" s="52">
        <f ca="1">SUMIFS(OUT!$F$2:$F$11000,OUT!$H$2:$H$11000,H236,OUT!$D$2:$D$11000,"Out",OUT!$E$2:$E$11000,"Iqbal")</f>
        <v>232194</v>
      </c>
    </row>
    <row r="237" spans="1:20" x14ac:dyDescent="0.2">
      <c r="A237" s="48">
        <f ca="1">IFERROR(__xludf.DUMMYFUNCTION("""COMPUTED_VALUE"""),46194)</f>
        <v>46194</v>
      </c>
      <c r="B237" s="4" t="str">
        <f ca="1">IFERROR(__xludf.DUMMYFUNCTION("""COMPUTED_VALUE"""),"ayam penyet ante")</f>
        <v>ayam penyet ante</v>
      </c>
      <c r="C237" s="4" t="str">
        <f ca="1">IFERROR(__xludf.DUMMYFUNCTION("""COMPUTED_VALUE"""),"ATM")</f>
        <v>ATM</v>
      </c>
      <c r="D237" s="4" t="str">
        <f ca="1">IFERROR(__xludf.DUMMYFUNCTION("""COMPUTED_VALUE"""),"Out")</f>
        <v>Out</v>
      </c>
      <c r="E237" s="4" t="str">
        <f ca="1">IFERROR(__xludf.DUMMYFUNCTION("""COMPUTED_VALUE"""),"Kitchen")</f>
        <v>Kitchen</v>
      </c>
      <c r="F237" s="49">
        <f ca="1">IFERROR(__xludf.DUMMYFUNCTION("""COMPUTED_VALUE"""),13000)</f>
        <v>13000</v>
      </c>
      <c r="G237" s="50" t="str">
        <f ca="1">IFERROR(__xludf.DUMMYFUNCTION("""COMPUTED_VALUE"""),"Ibal")</f>
        <v>Ibal</v>
      </c>
      <c r="H237" s="51">
        <f t="shared" ca="1" si="0"/>
        <v>46174</v>
      </c>
      <c r="I237" s="52" t="e">
        <f ca="1">SUMIFS(OUT!$F$2:$F$11000,OUT!$H$2:$H$11000,H237,OUT!$D$2:$D$101007,"In")</f>
        <v>#VALUE!</v>
      </c>
      <c r="J237" s="52">
        <f ca="1">SUMIFS(OUT!$F$2:$F$11000,OUT!$H$2:$H$11000,H237,OUT!$D$2:$D$11000,"Out")</f>
        <v>9155672</v>
      </c>
      <c r="K237" s="52">
        <f ca="1">SUMIFS(OUT!$F$2:$F$11000,OUT!$H$2:$H$11000,H237,OUT!$D$2:$D$11000,"Out",OUT!$E$2:$E$11000,"Fix")</f>
        <v>3084727</v>
      </c>
      <c r="L237" s="52">
        <f ca="1">SUMIFS(OUT!$F$2:$F$11000,OUT!$H$2:$H$11000,H237,OUT!$D$2:$D$11000,"Out",OUT!$E$2:$E$11000,"Bathroom")</f>
        <v>37500</v>
      </c>
      <c r="M237" s="52">
        <f ca="1">SUMIFS(OUT!$F$2:$F$11000,OUT!$H$2:$H$11000,H237,OUT!$D$2:$D$11000,"Out",OUT!$E$2:$E$11000,"Alfa")</f>
        <v>317864</v>
      </c>
      <c r="N237" s="52" t="e">
        <f ca="1">SUMIFS(OUT!$F$2:$F$11000,OUT!$H$2:$H$101007,H237,OUT!$D$2:$D$11000,"Out",OUT!$E$2:$E$11000,"Jajan")</f>
        <v>#VALUE!</v>
      </c>
      <c r="O237" s="52">
        <f ca="1">SUMIFS(OUT!$F$2:$F$11000,OUT!$H$2:$H$11000,H237,OUT!$D$2:$D$11000,"Out",OUT!$E$2:$E$11000,"Kitchen")</f>
        <v>985700</v>
      </c>
      <c r="P237" s="52">
        <f ca="1">SUMIFS(OUT!$F$2:$F$11000,OUT!$H$2:$H$11000,H237,OUT!$D$2:$D$11000,"Out",OUT!$E$2:$E$11000,"Loandry")</f>
        <v>21500</v>
      </c>
      <c r="Q237" s="52">
        <f ca="1">SUMIFS(OUT!$F$2:$F$11000,OUT!$H$2:$H$11000,H237,OUT!$D$2:$D$11000,"Out",OUT!$E$2:$E$11000,"Mio")</f>
        <v>265000</v>
      </c>
      <c r="R237" s="52">
        <f ca="1">SUMIFS(OUT!$F$2:$F$11000,OUT!$H$2:$H$11000,H237,OUT!$D$2:$D$11000,"Out",OUT!$E$2:$E$11000,"Sedekah")</f>
        <v>5000</v>
      </c>
      <c r="S237" s="52">
        <f ca="1">SUMIFS(OUT!$F$2:$F$11000,OUT!$H$2:$H$11000,H237,OUT!$D$2:$D$11000,"Out",OUT!$E$2:$E$11000,"Zela")</f>
        <v>33400</v>
      </c>
      <c r="T237" s="52">
        <f ca="1">SUMIFS(OUT!$F$2:$F$11000,OUT!$H$2:$H$11000,H237,OUT!$D$2:$D$11000,"Out",OUT!$E$2:$E$11000,"Iqbal")</f>
        <v>232194</v>
      </c>
    </row>
    <row r="238" spans="1:20" x14ac:dyDescent="0.2">
      <c r="A238" s="48">
        <f ca="1">IFERROR(__xludf.DUMMYFUNCTION("""COMPUTED_VALUE"""),46194)</f>
        <v>46194</v>
      </c>
      <c r="B238" s="4" t="str">
        <f ca="1">IFERROR(__xludf.DUMMYFUNCTION("""COMPUTED_VALUE"""),"roti gembong")</f>
        <v>roti gembong</v>
      </c>
      <c r="C238" s="4" t="str">
        <f ca="1">IFERROR(__xludf.DUMMYFUNCTION("""COMPUTED_VALUE"""),"ATM")</f>
        <v>ATM</v>
      </c>
      <c r="D238" s="4" t="str">
        <f ca="1">IFERROR(__xludf.DUMMYFUNCTION("""COMPUTED_VALUE"""),"Out")</f>
        <v>Out</v>
      </c>
      <c r="E238" s="4" t="str">
        <f ca="1">IFERROR(__xludf.DUMMYFUNCTION("""COMPUTED_VALUE"""),"Jajan")</f>
        <v>Jajan</v>
      </c>
      <c r="F238" s="49">
        <f ca="1">IFERROR(__xludf.DUMMYFUNCTION("""COMPUTED_VALUE"""),21000)</f>
        <v>21000</v>
      </c>
      <c r="G238" s="50" t="str">
        <f ca="1">IFERROR(__xludf.DUMMYFUNCTION("""COMPUTED_VALUE"""),"Ibal")</f>
        <v>Ibal</v>
      </c>
      <c r="H238" s="51">
        <f t="shared" ca="1" si="0"/>
        <v>46174</v>
      </c>
      <c r="I238" s="52" t="e">
        <f ca="1">SUMIFS(OUT!$F$2:$F$11000,OUT!$H$2:$H$11000,H238,OUT!$D$2:$D$101007,"In")</f>
        <v>#VALUE!</v>
      </c>
      <c r="J238" s="52">
        <f ca="1">SUMIFS(OUT!$F$2:$F$11000,OUT!$H$2:$H$11000,H238,OUT!$D$2:$D$11000,"Out")</f>
        <v>9155672</v>
      </c>
      <c r="K238" s="52">
        <f ca="1">SUMIFS(OUT!$F$2:$F$11000,OUT!$H$2:$H$11000,H238,OUT!$D$2:$D$11000,"Out",OUT!$E$2:$E$11000,"Fix")</f>
        <v>3084727</v>
      </c>
      <c r="L238" s="52">
        <f ca="1">SUMIFS(OUT!$F$2:$F$11000,OUT!$H$2:$H$11000,H238,OUT!$D$2:$D$11000,"Out",OUT!$E$2:$E$11000,"Bathroom")</f>
        <v>37500</v>
      </c>
      <c r="M238" s="52">
        <f ca="1">SUMIFS(OUT!$F$2:$F$11000,OUT!$H$2:$H$11000,H238,OUT!$D$2:$D$11000,"Out",OUT!$E$2:$E$11000,"Alfa")</f>
        <v>317864</v>
      </c>
      <c r="N238" s="52" t="e">
        <f ca="1">SUMIFS(OUT!$F$2:$F$11000,OUT!$H$2:$H$101007,H238,OUT!$D$2:$D$11000,"Out",OUT!$E$2:$E$11000,"Jajan")</f>
        <v>#VALUE!</v>
      </c>
      <c r="O238" s="52">
        <f ca="1">SUMIFS(OUT!$F$2:$F$11000,OUT!$H$2:$H$11000,H238,OUT!$D$2:$D$11000,"Out",OUT!$E$2:$E$11000,"Kitchen")</f>
        <v>985700</v>
      </c>
      <c r="P238" s="52">
        <f ca="1">SUMIFS(OUT!$F$2:$F$11000,OUT!$H$2:$H$11000,H238,OUT!$D$2:$D$11000,"Out",OUT!$E$2:$E$11000,"Loandry")</f>
        <v>21500</v>
      </c>
      <c r="Q238" s="52">
        <f ca="1">SUMIFS(OUT!$F$2:$F$11000,OUT!$H$2:$H$11000,H238,OUT!$D$2:$D$11000,"Out",OUT!$E$2:$E$11000,"Mio")</f>
        <v>265000</v>
      </c>
      <c r="R238" s="52">
        <f ca="1">SUMIFS(OUT!$F$2:$F$11000,OUT!$H$2:$H$11000,H238,OUT!$D$2:$D$11000,"Out",OUT!$E$2:$E$11000,"Sedekah")</f>
        <v>5000</v>
      </c>
      <c r="S238" s="52">
        <f ca="1">SUMIFS(OUT!$F$2:$F$11000,OUT!$H$2:$H$11000,H238,OUT!$D$2:$D$11000,"Out",OUT!$E$2:$E$11000,"Zela")</f>
        <v>33400</v>
      </c>
      <c r="T238" s="52">
        <f ca="1">SUMIFS(OUT!$F$2:$F$11000,OUT!$H$2:$H$11000,H238,OUT!$D$2:$D$11000,"Out",OUT!$E$2:$E$11000,"Iqbal")</f>
        <v>232194</v>
      </c>
    </row>
    <row r="239" spans="1:20" x14ac:dyDescent="0.2">
      <c r="A239" s="48">
        <f ca="1">IFERROR(__xludf.DUMMYFUNCTION("""COMPUTED_VALUE"""),46195)</f>
        <v>46195</v>
      </c>
      <c r="B239" s="4" t="str">
        <f ca="1">IFERROR(__xludf.DUMMYFUNCTION("""COMPUTED_VALUE"""),"paket nelpon mama")</f>
        <v>paket nelpon mama</v>
      </c>
      <c r="C239" s="4" t="str">
        <f ca="1">IFERROR(__xludf.DUMMYFUNCTION("""COMPUTED_VALUE"""),"ATM")</f>
        <v>ATM</v>
      </c>
      <c r="D239" s="4" t="str">
        <f ca="1">IFERROR(__xludf.DUMMYFUNCTION("""COMPUTED_VALUE"""),"Out")</f>
        <v>Out</v>
      </c>
      <c r="E239" s="4" t="str">
        <f ca="1">IFERROR(__xludf.DUMMYFUNCTION("""COMPUTED_VALUE"""),"Fix")</f>
        <v>Fix</v>
      </c>
      <c r="F239" s="49">
        <f ca="1">IFERROR(__xludf.DUMMYFUNCTION("""COMPUTED_VALUE"""),31000)</f>
        <v>31000</v>
      </c>
      <c r="G239" s="50" t="str">
        <f ca="1">IFERROR(__xludf.DUMMYFUNCTION("""COMPUTED_VALUE"""),"Ibal")</f>
        <v>Ibal</v>
      </c>
      <c r="H239" s="51">
        <f t="shared" ca="1" si="0"/>
        <v>46174</v>
      </c>
      <c r="I239" s="52" t="e">
        <f ca="1">SUMIFS(OUT!$F$2:$F$11000,OUT!$H$2:$H$11000,H239,OUT!$D$2:$D$101007,"In")</f>
        <v>#VALUE!</v>
      </c>
      <c r="J239" s="52">
        <f ca="1">SUMIFS(OUT!$F$2:$F$11000,OUT!$H$2:$H$11000,H239,OUT!$D$2:$D$11000,"Out")</f>
        <v>9155672</v>
      </c>
      <c r="K239" s="52">
        <f ca="1">SUMIFS(OUT!$F$2:$F$11000,OUT!$H$2:$H$11000,H239,OUT!$D$2:$D$11000,"Out",OUT!$E$2:$E$11000,"Fix")</f>
        <v>3084727</v>
      </c>
      <c r="L239" s="52">
        <f ca="1">SUMIFS(OUT!$F$2:$F$11000,OUT!$H$2:$H$11000,H239,OUT!$D$2:$D$11000,"Out",OUT!$E$2:$E$11000,"Bathroom")</f>
        <v>37500</v>
      </c>
      <c r="M239" s="52">
        <f ca="1">SUMIFS(OUT!$F$2:$F$11000,OUT!$H$2:$H$11000,H239,OUT!$D$2:$D$11000,"Out",OUT!$E$2:$E$11000,"Alfa")</f>
        <v>317864</v>
      </c>
      <c r="N239" s="52" t="e">
        <f ca="1">SUMIFS(OUT!$F$2:$F$11000,OUT!$H$2:$H$101007,H239,OUT!$D$2:$D$11000,"Out",OUT!$E$2:$E$11000,"Jajan")</f>
        <v>#VALUE!</v>
      </c>
      <c r="O239" s="52">
        <f ca="1">SUMIFS(OUT!$F$2:$F$11000,OUT!$H$2:$H$11000,H239,OUT!$D$2:$D$11000,"Out",OUT!$E$2:$E$11000,"Kitchen")</f>
        <v>985700</v>
      </c>
      <c r="P239" s="52">
        <f ca="1">SUMIFS(OUT!$F$2:$F$11000,OUT!$H$2:$H$11000,H239,OUT!$D$2:$D$11000,"Out",OUT!$E$2:$E$11000,"Loandry")</f>
        <v>21500</v>
      </c>
      <c r="Q239" s="52">
        <f ca="1">SUMIFS(OUT!$F$2:$F$11000,OUT!$H$2:$H$11000,H239,OUT!$D$2:$D$11000,"Out",OUT!$E$2:$E$11000,"Mio")</f>
        <v>265000</v>
      </c>
      <c r="R239" s="52">
        <f ca="1">SUMIFS(OUT!$F$2:$F$11000,OUT!$H$2:$H$11000,H239,OUT!$D$2:$D$11000,"Out",OUT!$E$2:$E$11000,"Sedekah")</f>
        <v>5000</v>
      </c>
      <c r="S239" s="52">
        <f ca="1">SUMIFS(OUT!$F$2:$F$11000,OUT!$H$2:$H$11000,H239,OUT!$D$2:$D$11000,"Out",OUT!$E$2:$E$11000,"Zela")</f>
        <v>33400</v>
      </c>
      <c r="T239" s="52">
        <f ca="1">SUMIFS(OUT!$F$2:$F$11000,OUT!$H$2:$H$11000,H239,OUT!$D$2:$D$11000,"Out",OUT!$E$2:$E$11000,"Iqbal")</f>
        <v>232194</v>
      </c>
    </row>
    <row r="240" spans="1:20" x14ac:dyDescent="0.2">
      <c r="A240" s="48">
        <f ca="1">IFERROR(__xludf.DUMMYFUNCTION("""COMPUTED_VALUE"""),46195)</f>
        <v>46195</v>
      </c>
      <c r="B240" s="4" t="str">
        <f ca="1">IFERROR(__xludf.DUMMYFUNCTION("""COMPUTED_VALUE"""),"token listrik")</f>
        <v>token listrik</v>
      </c>
      <c r="C240" s="4" t="str">
        <f ca="1">IFERROR(__xludf.DUMMYFUNCTION("""COMPUTED_VALUE"""),"ATM")</f>
        <v>ATM</v>
      </c>
      <c r="D240" s="4" t="str">
        <f ca="1">IFERROR(__xludf.DUMMYFUNCTION("""COMPUTED_VALUE"""),"Out")</f>
        <v>Out</v>
      </c>
      <c r="E240" s="4" t="str">
        <f ca="1">IFERROR(__xludf.DUMMYFUNCTION("""COMPUTED_VALUE"""),"Fix")</f>
        <v>Fix</v>
      </c>
      <c r="F240" s="49">
        <f ca="1">IFERROR(__xludf.DUMMYFUNCTION("""COMPUTED_VALUE"""),51750)</f>
        <v>51750</v>
      </c>
      <c r="G240" s="50" t="str">
        <f ca="1">IFERROR(__xludf.DUMMYFUNCTION("""COMPUTED_VALUE"""),"Ibal")</f>
        <v>Ibal</v>
      </c>
      <c r="H240" s="51">
        <f t="shared" ca="1" si="0"/>
        <v>46174</v>
      </c>
      <c r="I240" s="52" t="e">
        <f ca="1">SUMIFS(OUT!$F$2:$F$11000,OUT!$H$2:$H$11000,H240,OUT!$D$2:$D$101007,"In")</f>
        <v>#VALUE!</v>
      </c>
      <c r="J240" s="52">
        <f ca="1">SUMIFS(OUT!$F$2:$F$11000,OUT!$H$2:$H$11000,H240,OUT!$D$2:$D$11000,"Out")</f>
        <v>9155672</v>
      </c>
      <c r="K240" s="52">
        <f ca="1">SUMIFS(OUT!$F$2:$F$11000,OUT!$H$2:$H$11000,H240,OUT!$D$2:$D$11000,"Out",OUT!$E$2:$E$11000,"Fix")</f>
        <v>3084727</v>
      </c>
      <c r="L240" s="52">
        <f ca="1">SUMIFS(OUT!$F$2:$F$11000,OUT!$H$2:$H$11000,H240,OUT!$D$2:$D$11000,"Out",OUT!$E$2:$E$11000,"Bathroom")</f>
        <v>37500</v>
      </c>
      <c r="M240" s="52">
        <f ca="1">SUMIFS(OUT!$F$2:$F$11000,OUT!$H$2:$H$11000,H240,OUT!$D$2:$D$11000,"Out",OUT!$E$2:$E$11000,"Alfa")</f>
        <v>317864</v>
      </c>
      <c r="N240" s="52" t="e">
        <f ca="1">SUMIFS(OUT!$F$2:$F$11000,OUT!$H$2:$H$101007,H240,OUT!$D$2:$D$11000,"Out",OUT!$E$2:$E$11000,"Jajan")</f>
        <v>#VALUE!</v>
      </c>
      <c r="O240" s="52">
        <f ca="1">SUMIFS(OUT!$F$2:$F$11000,OUT!$H$2:$H$11000,H240,OUT!$D$2:$D$11000,"Out",OUT!$E$2:$E$11000,"Kitchen")</f>
        <v>985700</v>
      </c>
      <c r="P240" s="52">
        <f ca="1">SUMIFS(OUT!$F$2:$F$11000,OUT!$H$2:$H$11000,H240,OUT!$D$2:$D$11000,"Out",OUT!$E$2:$E$11000,"Loandry")</f>
        <v>21500</v>
      </c>
      <c r="Q240" s="52">
        <f ca="1">SUMIFS(OUT!$F$2:$F$11000,OUT!$H$2:$H$11000,H240,OUT!$D$2:$D$11000,"Out",OUT!$E$2:$E$11000,"Mio")</f>
        <v>265000</v>
      </c>
      <c r="R240" s="52">
        <f ca="1">SUMIFS(OUT!$F$2:$F$11000,OUT!$H$2:$H$11000,H240,OUT!$D$2:$D$11000,"Out",OUT!$E$2:$E$11000,"Sedekah")</f>
        <v>5000</v>
      </c>
      <c r="S240" s="52">
        <f ca="1">SUMIFS(OUT!$F$2:$F$11000,OUT!$H$2:$H$11000,H240,OUT!$D$2:$D$11000,"Out",OUT!$E$2:$E$11000,"Zela")</f>
        <v>33400</v>
      </c>
      <c r="T240" s="52">
        <f ca="1">SUMIFS(OUT!$F$2:$F$11000,OUT!$H$2:$H$11000,H240,OUT!$D$2:$D$11000,"Out",OUT!$E$2:$E$11000,"Iqbal")</f>
        <v>232194</v>
      </c>
    </row>
    <row r="241" spans="1:20" x14ac:dyDescent="0.2">
      <c r="A241" s="48">
        <f ca="1">IFERROR(__xludf.DUMMYFUNCTION("""COMPUTED_VALUE"""),46195)</f>
        <v>46195</v>
      </c>
      <c r="B241" s="4" t="str">
        <f ca="1">IFERROR(__xludf.DUMMYFUNCTION("""COMPUTED_VALUE"""),"rokok")</f>
        <v>rokok</v>
      </c>
      <c r="C241" s="4" t="str">
        <f ca="1">IFERROR(__xludf.DUMMYFUNCTION("""COMPUTED_VALUE"""),"ATM")</f>
        <v>ATM</v>
      </c>
      <c r="D241" s="4" t="str">
        <f ca="1">IFERROR(__xludf.DUMMYFUNCTION("""COMPUTED_VALUE"""),"Out")</f>
        <v>Out</v>
      </c>
      <c r="E241" s="4" t="str">
        <f ca="1">IFERROR(__xludf.DUMMYFUNCTION("""COMPUTED_VALUE"""),"Iqbal")</f>
        <v>Iqbal</v>
      </c>
      <c r="F241" s="49">
        <f ca="1">IFERROR(__xludf.DUMMYFUNCTION("""COMPUTED_VALUE"""),15000)</f>
        <v>15000</v>
      </c>
      <c r="G241" s="50" t="str">
        <f ca="1">IFERROR(__xludf.DUMMYFUNCTION("""COMPUTED_VALUE"""),"Ibal")</f>
        <v>Ibal</v>
      </c>
      <c r="H241" s="51">
        <f t="shared" ca="1" si="0"/>
        <v>46174</v>
      </c>
      <c r="I241" s="52" t="e">
        <f ca="1">SUMIFS(OUT!$F$2:$F$11000,OUT!$H$2:$H$11000,H241,OUT!$D$2:$D$101007,"In")</f>
        <v>#VALUE!</v>
      </c>
      <c r="J241" s="52">
        <f ca="1">SUMIFS(OUT!$F$2:$F$11000,OUT!$H$2:$H$11000,H241,OUT!$D$2:$D$11000,"Out")</f>
        <v>9155672</v>
      </c>
      <c r="K241" s="52">
        <f ca="1">SUMIFS(OUT!$F$2:$F$11000,OUT!$H$2:$H$11000,H241,OUT!$D$2:$D$11000,"Out",OUT!$E$2:$E$11000,"Fix")</f>
        <v>3084727</v>
      </c>
      <c r="L241" s="52">
        <f ca="1">SUMIFS(OUT!$F$2:$F$11000,OUT!$H$2:$H$11000,H241,OUT!$D$2:$D$11000,"Out",OUT!$E$2:$E$11000,"Bathroom")</f>
        <v>37500</v>
      </c>
      <c r="M241" s="52">
        <f ca="1">SUMIFS(OUT!$F$2:$F$11000,OUT!$H$2:$H$11000,H241,OUT!$D$2:$D$11000,"Out",OUT!$E$2:$E$11000,"Alfa")</f>
        <v>317864</v>
      </c>
      <c r="N241" s="52" t="e">
        <f ca="1">SUMIFS(OUT!$F$2:$F$11000,OUT!$H$2:$H$101007,H241,OUT!$D$2:$D$11000,"Out",OUT!$E$2:$E$11000,"Jajan")</f>
        <v>#VALUE!</v>
      </c>
      <c r="O241" s="52">
        <f ca="1">SUMIFS(OUT!$F$2:$F$11000,OUT!$H$2:$H$11000,H241,OUT!$D$2:$D$11000,"Out",OUT!$E$2:$E$11000,"Kitchen")</f>
        <v>985700</v>
      </c>
      <c r="P241" s="52">
        <f ca="1">SUMIFS(OUT!$F$2:$F$11000,OUT!$H$2:$H$11000,H241,OUT!$D$2:$D$11000,"Out",OUT!$E$2:$E$11000,"Loandry")</f>
        <v>21500</v>
      </c>
      <c r="Q241" s="52">
        <f ca="1">SUMIFS(OUT!$F$2:$F$11000,OUT!$H$2:$H$11000,H241,OUT!$D$2:$D$11000,"Out",OUT!$E$2:$E$11000,"Mio")</f>
        <v>265000</v>
      </c>
      <c r="R241" s="52">
        <f ca="1">SUMIFS(OUT!$F$2:$F$11000,OUT!$H$2:$H$11000,H241,OUT!$D$2:$D$11000,"Out",OUT!$E$2:$E$11000,"Sedekah")</f>
        <v>5000</v>
      </c>
      <c r="S241" s="52">
        <f ca="1">SUMIFS(OUT!$F$2:$F$11000,OUT!$H$2:$H$11000,H241,OUT!$D$2:$D$11000,"Out",OUT!$E$2:$E$11000,"Zela")</f>
        <v>33400</v>
      </c>
      <c r="T241" s="52">
        <f ca="1">SUMIFS(OUT!$F$2:$F$11000,OUT!$H$2:$H$11000,H241,OUT!$D$2:$D$11000,"Out",OUT!$E$2:$E$11000,"Iqbal")</f>
        <v>232194</v>
      </c>
    </row>
    <row r="242" spans="1:20" x14ac:dyDescent="0.2">
      <c r="A242" s="48">
        <f ca="1">IFERROR(__xludf.DUMMYFUNCTION("""COMPUTED_VALUE"""),46197)</f>
        <v>46197</v>
      </c>
      <c r="B242" s="4" t="str">
        <f ca="1">IFERROR(__xludf.DUMMYFUNCTION("""COMPUTED_VALUE"""),"mie goreng rendang, gula seperempat, stik keju (3)")</f>
        <v>mie goreng rendang, gula seperempat, stik keju (3)</v>
      </c>
      <c r="C242" s="4" t="str">
        <f ca="1">IFERROR(__xludf.DUMMYFUNCTION("""COMPUTED_VALUE"""),"ATM")</f>
        <v>ATM</v>
      </c>
      <c r="D242" s="4" t="str">
        <f ca="1">IFERROR(__xludf.DUMMYFUNCTION("""COMPUTED_VALUE"""),"Out")</f>
        <v>Out</v>
      </c>
      <c r="E242" s="4" t="str">
        <f ca="1">IFERROR(__xludf.DUMMYFUNCTION("""COMPUTED_VALUE"""),"Jajan")</f>
        <v>Jajan</v>
      </c>
      <c r="F242" s="49">
        <f ca="1">IFERROR(__xludf.DUMMYFUNCTION("""COMPUTED_VALUE"""),10000)</f>
        <v>10000</v>
      </c>
      <c r="G242" s="50" t="str">
        <f ca="1">IFERROR(__xludf.DUMMYFUNCTION("""COMPUTED_VALUE"""),"Ibal")</f>
        <v>Ibal</v>
      </c>
      <c r="H242" s="51">
        <f t="shared" ca="1" si="0"/>
        <v>46174</v>
      </c>
      <c r="I242" s="52" t="e">
        <f ca="1">SUMIFS(OUT!$F$2:$F$11000,OUT!$H$2:$H$11000,H242,OUT!$D$2:$D$101007,"In")</f>
        <v>#VALUE!</v>
      </c>
      <c r="J242" s="52">
        <f ca="1">SUMIFS(OUT!$F$2:$F$11000,OUT!$H$2:$H$11000,H242,OUT!$D$2:$D$11000,"Out")</f>
        <v>9155672</v>
      </c>
      <c r="K242" s="52">
        <f ca="1">SUMIFS(OUT!$F$2:$F$11000,OUT!$H$2:$H$11000,H242,OUT!$D$2:$D$11000,"Out",OUT!$E$2:$E$11000,"Fix")</f>
        <v>3084727</v>
      </c>
      <c r="L242" s="52">
        <f ca="1">SUMIFS(OUT!$F$2:$F$11000,OUT!$H$2:$H$11000,H242,OUT!$D$2:$D$11000,"Out",OUT!$E$2:$E$11000,"Bathroom")</f>
        <v>37500</v>
      </c>
      <c r="M242" s="52">
        <f ca="1">SUMIFS(OUT!$F$2:$F$11000,OUT!$H$2:$H$11000,H242,OUT!$D$2:$D$11000,"Out",OUT!$E$2:$E$11000,"Alfa")</f>
        <v>317864</v>
      </c>
      <c r="N242" s="52" t="e">
        <f ca="1">SUMIFS(OUT!$F$2:$F$11000,OUT!$H$2:$H$101007,H242,OUT!$D$2:$D$11000,"Out",OUT!$E$2:$E$11000,"Jajan")</f>
        <v>#VALUE!</v>
      </c>
      <c r="O242" s="52">
        <f ca="1">SUMIFS(OUT!$F$2:$F$11000,OUT!$H$2:$H$11000,H242,OUT!$D$2:$D$11000,"Out",OUT!$E$2:$E$11000,"Kitchen")</f>
        <v>985700</v>
      </c>
      <c r="P242" s="52">
        <f ca="1">SUMIFS(OUT!$F$2:$F$11000,OUT!$H$2:$H$11000,H242,OUT!$D$2:$D$11000,"Out",OUT!$E$2:$E$11000,"Loandry")</f>
        <v>21500</v>
      </c>
      <c r="Q242" s="52">
        <f ca="1">SUMIFS(OUT!$F$2:$F$11000,OUT!$H$2:$H$11000,H242,OUT!$D$2:$D$11000,"Out",OUT!$E$2:$E$11000,"Mio")</f>
        <v>265000</v>
      </c>
      <c r="R242" s="52">
        <f ca="1">SUMIFS(OUT!$F$2:$F$11000,OUT!$H$2:$H$11000,H242,OUT!$D$2:$D$11000,"Out",OUT!$E$2:$E$11000,"Sedekah")</f>
        <v>5000</v>
      </c>
      <c r="S242" s="52">
        <f ca="1">SUMIFS(OUT!$F$2:$F$11000,OUT!$H$2:$H$11000,H242,OUT!$D$2:$D$11000,"Out",OUT!$E$2:$E$11000,"Zela")</f>
        <v>33400</v>
      </c>
      <c r="T242" s="52">
        <f ca="1">SUMIFS(OUT!$F$2:$F$11000,OUT!$H$2:$H$11000,H242,OUT!$D$2:$D$11000,"Out",OUT!$E$2:$E$11000,"Iqbal")</f>
        <v>232194</v>
      </c>
    </row>
    <row r="243" spans="1:20" x14ac:dyDescent="0.2">
      <c r="A243" s="48">
        <f ca="1">IFERROR(__xludf.DUMMYFUNCTION("""COMPUTED_VALUE"""),46204)</f>
        <v>46204</v>
      </c>
      <c r="B243" s="4" t="str">
        <f ca="1">IFERROR(__xludf.DUMMYFUNCTION("""COMPUTED_VALUE"""),"gaji Juni 2026")</f>
        <v>gaji Juni 2026</v>
      </c>
      <c r="C243" s="4" t="str">
        <f ca="1">IFERROR(__xludf.DUMMYFUNCTION("""COMPUTED_VALUE"""),"ATM")</f>
        <v>ATM</v>
      </c>
      <c r="D243" s="4" t="str">
        <f ca="1">IFERROR(__xludf.DUMMYFUNCTION("""COMPUTED_VALUE"""),"In")</f>
        <v>In</v>
      </c>
      <c r="E243" s="4" t="str">
        <f ca="1">IFERROR(__xludf.DUMMYFUNCTION("""COMPUTED_VALUE"""),"Fix")</f>
        <v>Fix</v>
      </c>
      <c r="F243" s="49">
        <f ca="1">IFERROR(__xludf.DUMMYFUNCTION("""COMPUTED_VALUE"""),4383235)</f>
        <v>4383235</v>
      </c>
      <c r="G243" s="50" t="str">
        <f ca="1">IFERROR(__xludf.DUMMYFUNCTION("""COMPUTED_VALUE"""),"Ibal")</f>
        <v>Ibal</v>
      </c>
      <c r="H243" s="51">
        <f t="shared" ca="1" si="0"/>
        <v>46204</v>
      </c>
      <c r="I243" s="52" t="e">
        <f ca="1">SUMIFS(OUT!$F$2:$F$11000,OUT!$H$2:$H$11000,H243,OUT!$D$2:$D$101007,"In")</f>
        <v>#VALUE!</v>
      </c>
      <c r="J243" s="52">
        <f ca="1">SUMIFS(OUT!$F$2:$F$11000,OUT!$H$2:$H$11000,H243,OUT!$D$2:$D$11000,"Out")</f>
        <v>9905717</v>
      </c>
      <c r="K243" s="52">
        <f ca="1">SUMIFS(OUT!$F$2:$F$11000,OUT!$H$2:$H$11000,H243,OUT!$D$2:$D$11000,"Out",OUT!$E$2:$E$11000,"Fix")</f>
        <v>3048680</v>
      </c>
      <c r="L243" s="52">
        <f ca="1">SUMIFS(OUT!$F$2:$F$11000,OUT!$H$2:$H$11000,H243,OUT!$D$2:$D$11000,"Out",OUT!$E$2:$E$11000,"Bathroom")</f>
        <v>50720</v>
      </c>
      <c r="M243" s="52">
        <f ca="1">SUMIFS(OUT!$F$2:$F$11000,OUT!$H$2:$H$11000,H243,OUT!$D$2:$D$11000,"Out",OUT!$E$2:$E$11000,"Alfa")</f>
        <v>294200</v>
      </c>
      <c r="N243" s="52" t="e">
        <f ca="1">SUMIFS(OUT!$F$2:$F$11000,OUT!$H$2:$H$101007,H243,OUT!$D$2:$D$11000,"Out",OUT!$E$2:$E$11000,"Jajan")</f>
        <v>#VALUE!</v>
      </c>
      <c r="O243" s="52">
        <f ca="1">SUMIFS(OUT!$F$2:$F$11000,OUT!$H$2:$H$11000,H243,OUT!$D$2:$D$11000,"Out",OUT!$E$2:$E$11000,"Kitchen")</f>
        <v>1360773</v>
      </c>
      <c r="P243" s="52">
        <f ca="1">SUMIFS(OUT!$F$2:$F$11000,OUT!$H$2:$H$11000,H243,OUT!$D$2:$D$11000,"Out",OUT!$E$2:$E$11000,"Loandry")</f>
        <v>11000</v>
      </c>
      <c r="Q243" s="52">
        <f ca="1">SUMIFS(OUT!$F$2:$F$11000,OUT!$H$2:$H$11000,H243,OUT!$D$2:$D$11000,"Out",OUT!$E$2:$E$11000,"Mio")</f>
        <v>338500</v>
      </c>
      <c r="R243" s="52">
        <f ca="1">SUMIFS(OUT!$F$2:$F$11000,OUT!$H$2:$H$11000,H243,OUT!$D$2:$D$11000,"Out",OUT!$E$2:$E$11000,"Sedekah")</f>
        <v>2500</v>
      </c>
      <c r="S243" s="52">
        <f ca="1">SUMIFS(OUT!$F$2:$F$11000,OUT!$H$2:$H$11000,H243,OUT!$D$2:$D$11000,"Out",OUT!$E$2:$E$11000,"Zela")</f>
        <v>387476</v>
      </c>
      <c r="T243" s="52">
        <f ca="1">SUMIFS(OUT!$F$2:$F$11000,OUT!$H$2:$H$11000,H243,OUT!$D$2:$D$11000,"Out",OUT!$E$2:$E$11000,"Iqbal")</f>
        <v>231000</v>
      </c>
    </row>
    <row r="244" spans="1:20" x14ac:dyDescent="0.2">
      <c r="A244" s="48">
        <f ca="1">IFERROR(__xludf.DUMMYFUNCTION("""COMPUTED_VALUE"""),46204)</f>
        <v>46204</v>
      </c>
      <c r="B244" s="4" t="str">
        <f ca="1">IFERROR(__xludf.DUMMYFUNCTION("""COMPUTED_VALUE"""),"Iqbal Shopee (10)")</f>
        <v>Iqbal Shopee (10)</v>
      </c>
      <c r="C244" s="4" t="str">
        <f ca="1">IFERROR(__xludf.DUMMYFUNCTION("""COMPUTED_VALUE"""),"ATM")</f>
        <v>ATM</v>
      </c>
      <c r="D244" s="4" t="str">
        <f ca="1">IFERROR(__xludf.DUMMYFUNCTION("""COMPUTED_VALUE"""),"Out")</f>
        <v>Out</v>
      </c>
      <c r="E244" s="4" t="str">
        <f ca="1">IFERROR(__xludf.DUMMYFUNCTION("""COMPUTED_VALUE"""),"Fix")</f>
        <v>Fix</v>
      </c>
      <c r="F244" s="49">
        <f ca="1">IFERROR(__xludf.DUMMYFUNCTION("""COMPUTED_VALUE"""),624137)</f>
        <v>624137</v>
      </c>
      <c r="G244" s="50" t="str">
        <f ca="1">IFERROR(__xludf.DUMMYFUNCTION("""COMPUTED_VALUE"""),"Ibal")</f>
        <v>Ibal</v>
      </c>
      <c r="H244" s="51">
        <f t="shared" ca="1" si="0"/>
        <v>46204</v>
      </c>
      <c r="I244" s="52" t="e">
        <f ca="1">SUMIFS(OUT!$F$2:$F$11000,OUT!$H$2:$H$11000,H244,OUT!$D$2:$D$101007,"In")</f>
        <v>#VALUE!</v>
      </c>
      <c r="J244" s="52">
        <f ca="1">SUMIFS(OUT!$F$2:$F$11000,OUT!$H$2:$H$11000,H244,OUT!$D$2:$D$11000,"Out")</f>
        <v>9905717</v>
      </c>
      <c r="K244" s="52">
        <f ca="1">SUMIFS(OUT!$F$2:$F$11000,OUT!$H$2:$H$11000,H244,OUT!$D$2:$D$11000,"Out",OUT!$E$2:$E$11000,"Fix")</f>
        <v>3048680</v>
      </c>
      <c r="L244" s="52">
        <f ca="1">SUMIFS(OUT!$F$2:$F$11000,OUT!$H$2:$H$11000,H244,OUT!$D$2:$D$11000,"Out",OUT!$E$2:$E$11000,"Bathroom")</f>
        <v>50720</v>
      </c>
      <c r="M244" s="52">
        <f ca="1">SUMIFS(OUT!$F$2:$F$11000,OUT!$H$2:$H$11000,H244,OUT!$D$2:$D$11000,"Out",OUT!$E$2:$E$11000,"Alfa")</f>
        <v>294200</v>
      </c>
      <c r="N244" s="52" t="e">
        <f ca="1">SUMIFS(OUT!$F$2:$F$11000,OUT!$H$2:$H$101007,H244,OUT!$D$2:$D$11000,"Out",OUT!$E$2:$E$11000,"Jajan")</f>
        <v>#VALUE!</v>
      </c>
      <c r="O244" s="52">
        <f ca="1">SUMIFS(OUT!$F$2:$F$11000,OUT!$H$2:$H$11000,H244,OUT!$D$2:$D$11000,"Out",OUT!$E$2:$E$11000,"Kitchen")</f>
        <v>1360773</v>
      </c>
      <c r="P244" s="52">
        <f ca="1">SUMIFS(OUT!$F$2:$F$11000,OUT!$H$2:$H$11000,H244,OUT!$D$2:$D$11000,"Out",OUT!$E$2:$E$11000,"Loandry")</f>
        <v>11000</v>
      </c>
      <c r="Q244" s="52">
        <f ca="1">SUMIFS(OUT!$F$2:$F$11000,OUT!$H$2:$H$11000,H244,OUT!$D$2:$D$11000,"Out",OUT!$E$2:$E$11000,"Mio")</f>
        <v>338500</v>
      </c>
      <c r="R244" s="52">
        <f ca="1">SUMIFS(OUT!$F$2:$F$11000,OUT!$H$2:$H$11000,H244,OUT!$D$2:$D$11000,"Out",OUT!$E$2:$E$11000,"Sedekah")</f>
        <v>2500</v>
      </c>
      <c r="S244" s="52">
        <f ca="1">SUMIFS(OUT!$F$2:$F$11000,OUT!$H$2:$H$11000,H244,OUT!$D$2:$D$11000,"Out",OUT!$E$2:$E$11000,"Zela")</f>
        <v>387476</v>
      </c>
      <c r="T244" s="52">
        <f ca="1">SUMIFS(OUT!$F$2:$F$11000,OUT!$H$2:$H$11000,H244,OUT!$D$2:$D$11000,"Out",OUT!$E$2:$E$11000,"Iqbal")</f>
        <v>231000</v>
      </c>
    </row>
    <row r="245" spans="1:20" x14ac:dyDescent="0.2">
      <c r="A245" s="48">
        <f ca="1">IFERROR(__xludf.DUMMYFUNCTION("""COMPUTED_VALUE"""),46204)</f>
        <v>46204</v>
      </c>
      <c r="B245" s="4" t="str">
        <f ca="1">IFERROR(__xludf.DUMMYFUNCTION("""COMPUTED_VALUE"""),"Cable duct (5)")</f>
        <v>Cable duct (5)</v>
      </c>
      <c r="C245" s="4" t="str">
        <f ca="1">IFERROR(__xludf.DUMMYFUNCTION("""COMPUTED_VALUE"""),"ATM")</f>
        <v>ATM</v>
      </c>
      <c r="D245" s="4" t="str">
        <f ca="1">IFERROR(__xludf.DUMMYFUNCTION("""COMPUTED_VALUE"""),"Out")</f>
        <v>Out</v>
      </c>
      <c r="E245" s="4" t="str">
        <f ca="1">IFERROR(__xludf.DUMMYFUNCTION("""COMPUTED_VALUE"""),"Fix")</f>
        <v>Fix</v>
      </c>
      <c r="F245" s="49">
        <f ca="1">IFERROR(__xludf.DUMMYFUNCTION("""COMPUTED_VALUE"""),17541)</f>
        <v>17541</v>
      </c>
      <c r="G245" s="50" t="str">
        <f ca="1">IFERROR(__xludf.DUMMYFUNCTION("""COMPUTED_VALUE"""),"Ibal")</f>
        <v>Ibal</v>
      </c>
      <c r="H245" s="51">
        <f t="shared" ca="1" si="0"/>
        <v>46204</v>
      </c>
      <c r="I245" s="52" t="e">
        <f ca="1">SUMIFS(OUT!$F$2:$F$11000,OUT!$H$2:$H$11000,H245,OUT!$D$2:$D$101007,"In")</f>
        <v>#VALUE!</v>
      </c>
      <c r="J245" s="52">
        <f ca="1">SUMIFS(OUT!$F$2:$F$11000,OUT!$H$2:$H$11000,H245,OUT!$D$2:$D$11000,"Out")</f>
        <v>9905717</v>
      </c>
      <c r="K245" s="52">
        <f ca="1">SUMIFS(OUT!$F$2:$F$11000,OUT!$H$2:$H$11000,H245,OUT!$D$2:$D$11000,"Out",OUT!$E$2:$E$11000,"Fix")</f>
        <v>3048680</v>
      </c>
      <c r="L245" s="52">
        <f ca="1">SUMIFS(OUT!$F$2:$F$11000,OUT!$H$2:$H$11000,H245,OUT!$D$2:$D$11000,"Out",OUT!$E$2:$E$11000,"Bathroom")</f>
        <v>50720</v>
      </c>
      <c r="M245" s="52">
        <f ca="1">SUMIFS(OUT!$F$2:$F$11000,OUT!$H$2:$H$11000,H245,OUT!$D$2:$D$11000,"Out",OUT!$E$2:$E$11000,"Alfa")</f>
        <v>294200</v>
      </c>
      <c r="N245" s="52" t="e">
        <f ca="1">SUMIFS(OUT!$F$2:$F$11000,OUT!$H$2:$H$101007,H245,OUT!$D$2:$D$11000,"Out",OUT!$E$2:$E$11000,"Jajan")</f>
        <v>#VALUE!</v>
      </c>
      <c r="O245" s="52">
        <f ca="1">SUMIFS(OUT!$F$2:$F$11000,OUT!$H$2:$H$11000,H245,OUT!$D$2:$D$11000,"Out",OUT!$E$2:$E$11000,"Kitchen")</f>
        <v>1360773</v>
      </c>
      <c r="P245" s="52">
        <f ca="1">SUMIFS(OUT!$F$2:$F$11000,OUT!$H$2:$H$11000,H245,OUT!$D$2:$D$11000,"Out",OUT!$E$2:$E$11000,"Loandry")</f>
        <v>11000</v>
      </c>
      <c r="Q245" s="52">
        <f ca="1">SUMIFS(OUT!$F$2:$F$11000,OUT!$H$2:$H$11000,H245,OUT!$D$2:$D$11000,"Out",OUT!$E$2:$E$11000,"Mio")</f>
        <v>338500</v>
      </c>
      <c r="R245" s="52">
        <f ca="1">SUMIFS(OUT!$F$2:$F$11000,OUT!$H$2:$H$11000,H245,OUT!$D$2:$D$11000,"Out",OUT!$E$2:$E$11000,"Sedekah")</f>
        <v>2500</v>
      </c>
      <c r="S245" s="52">
        <f ca="1">SUMIFS(OUT!$F$2:$F$11000,OUT!$H$2:$H$11000,H245,OUT!$D$2:$D$11000,"Out",OUT!$E$2:$E$11000,"Zela")</f>
        <v>387476</v>
      </c>
      <c r="T245" s="52">
        <f ca="1">SUMIFS(OUT!$F$2:$F$11000,OUT!$H$2:$H$11000,H245,OUT!$D$2:$D$11000,"Out",OUT!$E$2:$E$11000,"Iqbal")</f>
        <v>231000</v>
      </c>
    </row>
    <row r="246" spans="1:20" x14ac:dyDescent="0.2">
      <c r="A246" s="48">
        <f ca="1">IFERROR(__xludf.DUMMYFUNCTION("""COMPUTED_VALUE"""),46204)</f>
        <v>46204</v>
      </c>
      <c r="B246" s="4" t="str">
        <f ca="1">IFERROR(__xludf.DUMMYFUNCTION("""COMPUTED_VALUE"""),"Service Mio (2)")</f>
        <v>Service Mio (2)</v>
      </c>
      <c r="C246" s="4" t="str">
        <f ca="1">IFERROR(__xludf.DUMMYFUNCTION("""COMPUTED_VALUE"""),"ATM")</f>
        <v>ATM</v>
      </c>
      <c r="D246" s="4" t="str">
        <f ca="1">IFERROR(__xludf.DUMMYFUNCTION("""COMPUTED_VALUE"""),"Out")</f>
        <v>Out</v>
      </c>
      <c r="E246" s="4" t="str">
        <f ca="1">IFERROR(__xludf.DUMMYFUNCTION("""COMPUTED_VALUE"""),"Fix")</f>
        <v>Fix</v>
      </c>
      <c r="F246" s="49">
        <f ca="1">IFERROR(__xludf.DUMMYFUNCTION("""COMPUTED_VALUE"""),92333)</f>
        <v>92333</v>
      </c>
      <c r="G246" s="50" t="str">
        <f ca="1">IFERROR(__xludf.DUMMYFUNCTION("""COMPUTED_VALUE"""),"Ibal")</f>
        <v>Ibal</v>
      </c>
      <c r="H246" s="51">
        <f t="shared" ca="1" si="0"/>
        <v>46204</v>
      </c>
      <c r="I246" s="52" t="e">
        <f ca="1">SUMIFS(OUT!$F$2:$F$11000,OUT!$H$2:$H$11000,H246,OUT!$D$2:$D$101007,"In")</f>
        <v>#VALUE!</v>
      </c>
      <c r="J246" s="52">
        <f ca="1">SUMIFS(OUT!$F$2:$F$11000,OUT!$H$2:$H$11000,H246,OUT!$D$2:$D$11000,"Out")</f>
        <v>9905717</v>
      </c>
      <c r="K246" s="52">
        <f ca="1">SUMIFS(OUT!$F$2:$F$11000,OUT!$H$2:$H$11000,H246,OUT!$D$2:$D$11000,"Out",OUT!$E$2:$E$11000,"Fix")</f>
        <v>3048680</v>
      </c>
      <c r="L246" s="52">
        <f ca="1">SUMIFS(OUT!$F$2:$F$11000,OUT!$H$2:$H$11000,H246,OUT!$D$2:$D$11000,"Out",OUT!$E$2:$E$11000,"Bathroom")</f>
        <v>50720</v>
      </c>
      <c r="M246" s="52">
        <f ca="1">SUMIFS(OUT!$F$2:$F$11000,OUT!$H$2:$H$11000,H246,OUT!$D$2:$D$11000,"Out",OUT!$E$2:$E$11000,"Alfa")</f>
        <v>294200</v>
      </c>
      <c r="N246" s="52" t="e">
        <f ca="1">SUMIFS(OUT!$F$2:$F$11000,OUT!$H$2:$H$101007,H246,OUT!$D$2:$D$11000,"Out",OUT!$E$2:$E$11000,"Jajan")</f>
        <v>#VALUE!</v>
      </c>
      <c r="O246" s="52">
        <f ca="1">SUMIFS(OUT!$F$2:$F$11000,OUT!$H$2:$H$11000,H246,OUT!$D$2:$D$11000,"Out",OUT!$E$2:$E$11000,"Kitchen")</f>
        <v>1360773</v>
      </c>
      <c r="P246" s="52">
        <f ca="1">SUMIFS(OUT!$F$2:$F$11000,OUT!$H$2:$H$11000,H246,OUT!$D$2:$D$11000,"Out",OUT!$E$2:$E$11000,"Loandry")</f>
        <v>11000</v>
      </c>
      <c r="Q246" s="52">
        <f ca="1">SUMIFS(OUT!$F$2:$F$11000,OUT!$H$2:$H$11000,H246,OUT!$D$2:$D$11000,"Out",OUT!$E$2:$E$11000,"Mio")</f>
        <v>338500</v>
      </c>
      <c r="R246" s="52">
        <f ca="1">SUMIFS(OUT!$F$2:$F$11000,OUT!$H$2:$H$11000,H246,OUT!$D$2:$D$11000,"Out",OUT!$E$2:$E$11000,"Sedekah")</f>
        <v>2500</v>
      </c>
      <c r="S246" s="52">
        <f ca="1">SUMIFS(OUT!$F$2:$F$11000,OUT!$H$2:$H$11000,H246,OUT!$D$2:$D$11000,"Out",OUT!$E$2:$E$11000,"Zela")</f>
        <v>387476</v>
      </c>
      <c r="T246" s="52">
        <f ca="1">SUMIFS(OUT!$F$2:$F$11000,OUT!$H$2:$H$11000,H246,OUT!$D$2:$D$11000,"Out",OUT!$E$2:$E$11000,"Iqbal")</f>
        <v>231000</v>
      </c>
    </row>
    <row r="247" spans="1:20" x14ac:dyDescent="0.2">
      <c r="A247" s="48">
        <f ca="1">IFERROR(__xludf.DUMMYFUNCTION("""COMPUTED_VALUE"""),46204)</f>
        <v>46204</v>
      </c>
      <c r="B247" s="4" t="str">
        <f ca="1">IFERROR(__xludf.DUMMYFUNCTION("""COMPUTED_VALUE"""),"Dll")</f>
        <v>Dll</v>
      </c>
      <c r="C247" s="4" t="str">
        <f ca="1">IFERROR(__xludf.DUMMYFUNCTION("""COMPUTED_VALUE"""),"ATM")</f>
        <v>ATM</v>
      </c>
      <c r="D247" s="4" t="str">
        <f ca="1">IFERROR(__xludf.DUMMYFUNCTION("""COMPUTED_VALUE"""),"Out")</f>
        <v>Out</v>
      </c>
      <c r="E247" s="4" t="str">
        <f ca="1">IFERROR(__xludf.DUMMYFUNCTION("""COMPUTED_VALUE"""),"Fix")</f>
        <v>Fix</v>
      </c>
      <c r="F247" s="49">
        <f ca="1">IFERROR(__xludf.DUMMYFUNCTION("""COMPUTED_VALUE"""),74179)</f>
        <v>74179</v>
      </c>
      <c r="G247" s="50" t="str">
        <f ca="1">IFERROR(__xludf.DUMMYFUNCTION("""COMPUTED_VALUE"""),"Ibal")</f>
        <v>Ibal</v>
      </c>
      <c r="H247" s="51">
        <f t="shared" ca="1" si="0"/>
        <v>46204</v>
      </c>
      <c r="I247" s="52" t="e">
        <f ca="1">SUMIFS(OUT!$F$2:$F$11000,OUT!$H$2:$H$11000,H247,OUT!$D$2:$D$101007,"In")</f>
        <v>#VALUE!</v>
      </c>
      <c r="J247" s="52">
        <f ca="1">SUMIFS(OUT!$F$2:$F$11000,OUT!$H$2:$H$11000,H247,OUT!$D$2:$D$11000,"Out")</f>
        <v>9905717</v>
      </c>
      <c r="K247" s="52">
        <f ca="1">SUMIFS(OUT!$F$2:$F$11000,OUT!$H$2:$H$11000,H247,OUT!$D$2:$D$11000,"Out",OUT!$E$2:$E$11000,"Fix")</f>
        <v>3048680</v>
      </c>
      <c r="L247" s="52">
        <f ca="1">SUMIFS(OUT!$F$2:$F$11000,OUT!$H$2:$H$11000,H247,OUT!$D$2:$D$11000,"Out",OUT!$E$2:$E$11000,"Bathroom")</f>
        <v>50720</v>
      </c>
      <c r="M247" s="52">
        <f ca="1">SUMIFS(OUT!$F$2:$F$11000,OUT!$H$2:$H$11000,H247,OUT!$D$2:$D$11000,"Out",OUT!$E$2:$E$11000,"Alfa")</f>
        <v>294200</v>
      </c>
      <c r="N247" s="52" t="e">
        <f ca="1">SUMIFS(OUT!$F$2:$F$11000,OUT!$H$2:$H$101007,H247,OUT!$D$2:$D$11000,"Out",OUT!$E$2:$E$11000,"Jajan")</f>
        <v>#VALUE!</v>
      </c>
      <c r="O247" s="52">
        <f ca="1">SUMIFS(OUT!$F$2:$F$11000,OUT!$H$2:$H$11000,H247,OUT!$D$2:$D$11000,"Out",OUT!$E$2:$E$11000,"Kitchen")</f>
        <v>1360773</v>
      </c>
      <c r="P247" s="52">
        <f ca="1">SUMIFS(OUT!$F$2:$F$11000,OUT!$H$2:$H$11000,H247,OUT!$D$2:$D$11000,"Out",OUT!$E$2:$E$11000,"Loandry")</f>
        <v>11000</v>
      </c>
      <c r="Q247" s="52">
        <f ca="1">SUMIFS(OUT!$F$2:$F$11000,OUT!$H$2:$H$11000,H247,OUT!$D$2:$D$11000,"Out",OUT!$E$2:$E$11000,"Mio")</f>
        <v>338500</v>
      </c>
      <c r="R247" s="52">
        <f ca="1">SUMIFS(OUT!$F$2:$F$11000,OUT!$H$2:$H$11000,H247,OUT!$D$2:$D$11000,"Out",OUT!$E$2:$E$11000,"Sedekah")</f>
        <v>2500</v>
      </c>
      <c r="S247" s="52">
        <f ca="1">SUMIFS(OUT!$F$2:$F$11000,OUT!$H$2:$H$11000,H247,OUT!$D$2:$D$11000,"Out",OUT!$E$2:$E$11000,"Zela")</f>
        <v>387476</v>
      </c>
      <c r="T247" s="52">
        <f ca="1">SUMIFS(OUT!$F$2:$F$11000,OUT!$H$2:$H$11000,H247,OUT!$D$2:$D$11000,"Out",OUT!$E$2:$E$11000,"Iqbal")</f>
        <v>231000</v>
      </c>
    </row>
    <row r="248" spans="1:20" x14ac:dyDescent="0.2">
      <c r="A248" s="48">
        <f ca="1">IFERROR(__xludf.DUMMYFUNCTION("""COMPUTED_VALUE"""),46204)</f>
        <v>46204</v>
      </c>
      <c r="B248" s="4" t="str">
        <f ca="1">IFERROR(__xludf.DUMMYFUNCTION("""COMPUTED_VALUE"""),"Jemuran (1)")</f>
        <v>Jemuran (1)</v>
      </c>
      <c r="C248" s="4" t="str">
        <f ca="1">IFERROR(__xludf.DUMMYFUNCTION("""COMPUTED_VALUE"""),"ATM")</f>
        <v>ATM</v>
      </c>
      <c r="D248" s="4" t="str">
        <f ca="1">IFERROR(__xludf.DUMMYFUNCTION("""COMPUTED_VALUE"""),"Out")</f>
        <v>Out</v>
      </c>
      <c r="E248" s="4" t="str">
        <f ca="1">IFERROR(__xludf.DUMMYFUNCTION("""COMPUTED_VALUE"""),"Fix")</f>
        <v>Fix</v>
      </c>
      <c r="F248" s="49">
        <f ca="1">IFERROR(__xludf.DUMMYFUNCTION("""COMPUTED_VALUE"""),38206)</f>
        <v>38206</v>
      </c>
      <c r="G248" s="50" t="str">
        <f ca="1">IFERROR(__xludf.DUMMYFUNCTION("""COMPUTED_VALUE"""),"Ibal")</f>
        <v>Ibal</v>
      </c>
      <c r="H248" s="51">
        <f t="shared" ca="1" si="0"/>
        <v>46204</v>
      </c>
      <c r="I248" s="52" t="e">
        <f ca="1">SUMIFS(OUT!$F$2:$F$11000,OUT!$H$2:$H$11000,H248,OUT!$D$2:$D$101007,"In")</f>
        <v>#VALUE!</v>
      </c>
      <c r="J248" s="52">
        <f ca="1">SUMIFS(OUT!$F$2:$F$11000,OUT!$H$2:$H$11000,H248,OUT!$D$2:$D$11000,"Out")</f>
        <v>9905717</v>
      </c>
      <c r="K248" s="52">
        <f ca="1">SUMIFS(OUT!$F$2:$F$11000,OUT!$H$2:$H$11000,H248,OUT!$D$2:$D$11000,"Out",OUT!$E$2:$E$11000,"Fix")</f>
        <v>3048680</v>
      </c>
      <c r="L248" s="52">
        <f ca="1">SUMIFS(OUT!$F$2:$F$11000,OUT!$H$2:$H$11000,H248,OUT!$D$2:$D$11000,"Out",OUT!$E$2:$E$11000,"Bathroom")</f>
        <v>50720</v>
      </c>
      <c r="M248" s="52">
        <f ca="1">SUMIFS(OUT!$F$2:$F$11000,OUT!$H$2:$H$11000,H248,OUT!$D$2:$D$11000,"Out",OUT!$E$2:$E$11000,"Alfa")</f>
        <v>294200</v>
      </c>
      <c r="N248" s="52" t="e">
        <f ca="1">SUMIFS(OUT!$F$2:$F$11000,OUT!$H$2:$H$101007,H248,OUT!$D$2:$D$11000,"Out",OUT!$E$2:$E$11000,"Jajan")</f>
        <v>#VALUE!</v>
      </c>
      <c r="O248" s="52">
        <f ca="1">SUMIFS(OUT!$F$2:$F$11000,OUT!$H$2:$H$11000,H248,OUT!$D$2:$D$11000,"Out",OUT!$E$2:$E$11000,"Kitchen")</f>
        <v>1360773</v>
      </c>
      <c r="P248" s="52">
        <f ca="1">SUMIFS(OUT!$F$2:$F$11000,OUT!$H$2:$H$11000,H248,OUT!$D$2:$D$11000,"Out",OUT!$E$2:$E$11000,"Loandry")</f>
        <v>11000</v>
      </c>
      <c r="Q248" s="52">
        <f ca="1">SUMIFS(OUT!$F$2:$F$11000,OUT!$H$2:$H$11000,H248,OUT!$D$2:$D$11000,"Out",OUT!$E$2:$E$11000,"Mio")</f>
        <v>338500</v>
      </c>
      <c r="R248" s="52">
        <f ca="1">SUMIFS(OUT!$F$2:$F$11000,OUT!$H$2:$H$11000,H248,OUT!$D$2:$D$11000,"Out",OUT!$E$2:$E$11000,"Sedekah")</f>
        <v>2500</v>
      </c>
      <c r="S248" s="52">
        <f ca="1">SUMIFS(OUT!$F$2:$F$11000,OUT!$H$2:$H$11000,H248,OUT!$D$2:$D$11000,"Out",OUT!$E$2:$E$11000,"Zela")</f>
        <v>387476</v>
      </c>
      <c r="T248" s="52">
        <f ca="1">SUMIFS(OUT!$F$2:$F$11000,OUT!$H$2:$H$11000,H248,OUT!$D$2:$D$11000,"Out",OUT!$E$2:$E$11000,"Iqbal")</f>
        <v>231000</v>
      </c>
    </row>
    <row r="249" spans="1:20" x14ac:dyDescent="0.2">
      <c r="A249" s="48">
        <f ca="1">IFERROR(__xludf.DUMMYFUNCTION("""COMPUTED_VALUE"""),46204)</f>
        <v>46204</v>
      </c>
      <c r="B249" s="4" t="str">
        <f ca="1">IFERROR(__xludf.DUMMYFUNCTION("""COMPUTED_VALUE"""),"Kacamata (1)")</f>
        <v>Kacamata (1)</v>
      </c>
      <c r="C249" s="4" t="str">
        <f ca="1">IFERROR(__xludf.DUMMYFUNCTION("""COMPUTED_VALUE"""),"ATM")</f>
        <v>ATM</v>
      </c>
      <c r="D249" s="4" t="str">
        <f ca="1">IFERROR(__xludf.DUMMYFUNCTION("""COMPUTED_VALUE"""),"Out")</f>
        <v>Out</v>
      </c>
      <c r="E249" s="4" t="str">
        <f ca="1">IFERROR(__xludf.DUMMYFUNCTION("""COMPUTED_VALUE"""),"Fix")</f>
        <v>Fix</v>
      </c>
      <c r="F249" s="49">
        <f ca="1">IFERROR(__xludf.DUMMYFUNCTION("""COMPUTED_VALUE"""),33000)</f>
        <v>33000</v>
      </c>
      <c r="G249" s="50" t="str">
        <f ca="1">IFERROR(__xludf.DUMMYFUNCTION("""COMPUTED_VALUE"""),"Ibal")</f>
        <v>Ibal</v>
      </c>
      <c r="H249" s="51">
        <f t="shared" ca="1" si="0"/>
        <v>46204</v>
      </c>
      <c r="I249" s="52" t="e">
        <f ca="1">SUMIFS(OUT!$F$2:$F$11000,OUT!$H$2:$H$11000,H249,OUT!$D$2:$D$101007,"In")</f>
        <v>#VALUE!</v>
      </c>
      <c r="J249" s="52">
        <f ca="1">SUMIFS(OUT!$F$2:$F$11000,OUT!$H$2:$H$11000,H249,OUT!$D$2:$D$11000,"Out")</f>
        <v>9905717</v>
      </c>
      <c r="K249" s="52">
        <f ca="1">SUMIFS(OUT!$F$2:$F$11000,OUT!$H$2:$H$11000,H249,OUT!$D$2:$D$11000,"Out",OUT!$E$2:$E$11000,"Fix")</f>
        <v>3048680</v>
      </c>
      <c r="L249" s="52">
        <f ca="1">SUMIFS(OUT!$F$2:$F$11000,OUT!$H$2:$H$11000,H249,OUT!$D$2:$D$11000,"Out",OUT!$E$2:$E$11000,"Bathroom")</f>
        <v>50720</v>
      </c>
      <c r="M249" s="52">
        <f ca="1">SUMIFS(OUT!$F$2:$F$11000,OUT!$H$2:$H$11000,H249,OUT!$D$2:$D$11000,"Out",OUT!$E$2:$E$11000,"Alfa")</f>
        <v>294200</v>
      </c>
      <c r="N249" s="52" t="e">
        <f ca="1">SUMIFS(OUT!$F$2:$F$11000,OUT!$H$2:$H$101007,H249,OUT!$D$2:$D$11000,"Out",OUT!$E$2:$E$11000,"Jajan")</f>
        <v>#VALUE!</v>
      </c>
      <c r="O249" s="52">
        <f ca="1">SUMIFS(OUT!$F$2:$F$11000,OUT!$H$2:$H$11000,H249,OUT!$D$2:$D$11000,"Out",OUT!$E$2:$E$11000,"Kitchen")</f>
        <v>1360773</v>
      </c>
      <c r="P249" s="52">
        <f ca="1">SUMIFS(OUT!$F$2:$F$11000,OUT!$H$2:$H$11000,H249,OUT!$D$2:$D$11000,"Out",OUT!$E$2:$E$11000,"Loandry")</f>
        <v>11000</v>
      </c>
      <c r="Q249" s="52">
        <f ca="1">SUMIFS(OUT!$F$2:$F$11000,OUT!$H$2:$H$11000,H249,OUT!$D$2:$D$11000,"Out",OUT!$E$2:$E$11000,"Mio")</f>
        <v>338500</v>
      </c>
      <c r="R249" s="52">
        <f ca="1">SUMIFS(OUT!$F$2:$F$11000,OUT!$H$2:$H$11000,H249,OUT!$D$2:$D$11000,"Out",OUT!$E$2:$E$11000,"Sedekah")</f>
        <v>2500</v>
      </c>
      <c r="S249" s="52">
        <f ca="1">SUMIFS(OUT!$F$2:$F$11000,OUT!$H$2:$H$11000,H249,OUT!$D$2:$D$11000,"Out",OUT!$E$2:$E$11000,"Zela")</f>
        <v>387476</v>
      </c>
      <c r="T249" s="52">
        <f ca="1">SUMIFS(OUT!$F$2:$F$11000,OUT!$H$2:$H$11000,H249,OUT!$D$2:$D$11000,"Out",OUT!$E$2:$E$11000,"Iqbal")</f>
        <v>231000</v>
      </c>
    </row>
    <row r="250" spans="1:20" x14ac:dyDescent="0.2">
      <c r="A250" s="48">
        <f ca="1">IFERROR(__xludf.DUMMYFUNCTION("""COMPUTED_VALUE"""),46204)</f>
        <v>46204</v>
      </c>
      <c r="B250" s="4" t="str">
        <f ca="1">IFERROR(__xludf.DUMMYFUNCTION("""COMPUTED_VALUE"""),"Bu Eli")</f>
        <v>Bu Eli</v>
      </c>
      <c r="C250" s="4" t="str">
        <f ca="1">IFERROR(__xludf.DUMMYFUNCTION("""COMPUTED_VALUE"""),"ATM")</f>
        <v>ATM</v>
      </c>
      <c r="D250" s="4" t="str">
        <f ca="1">IFERROR(__xludf.DUMMYFUNCTION("""COMPUTED_VALUE"""),"Out")</f>
        <v>Out</v>
      </c>
      <c r="E250" s="4" t="str">
        <f ca="1">IFERROR(__xludf.DUMMYFUNCTION("""COMPUTED_VALUE"""),"Fix")</f>
        <v>Fix</v>
      </c>
      <c r="F250" s="49">
        <f ca="1">IFERROR(__xludf.DUMMYFUNCTION("""COMPUTED_VALUE"""),400000)</f>
        <v>400000</v>
      </c>
      <c r="G250" s="50" t="str">
        <f ca="1">IFERROR(__xludf.DUMMYFUNCTION("""COMPUTED_VALUE"""),"Ibal")</f>
        <v>Ibal</v>
      </c>
      <c r="H250" s="51">
        <f t="shared" ca="1" si="0"/>
        <v>46204</v>
      </c>
      <c r="I250" s="52" t="e">
        <f ca="1">SUMIFS(OUT!$F$2:$F$11000,OUT!$H$2:$H$11000,H250,OUT!$D$2:$D$101007,"In")</f>
        <v>#VALUE!</v>
      </c>
      <c r="J250" s="52">
        <f ca="1">SUMIFS(OUT!$F$2:$F$11000,OUT!$H$2:$H$11000,H250,OUT!$D$2:$D$11000,"Out")</f>
        <v>9905717</v>
      </c>
      <c r="K250" s="52">
        <f ca="1">SUMIFS(OUT!$F$2:$F$11000,OUT!$H$2:$H$11000,H250,OUT!$D$2:$D$11000,"Out",OUT!$E$2:$E$11000,"Fix")</f>
        <v>3048680</v>
      </c>
      <c r="L250" s="52">
        <f ca="1">SUMIFS(OUT!$F$2:$F$11000,OUT!$H$2:$H$11000,H250,OUT!$D$2:$D$11000,"Out",OUT!$E$2:$E$11000,"Bathroom")</f>
        <v>50720</v>
      </c>
      <c r="M250" s="52">
        <f ca="1">SUMIFS(OUT!$F$2:$F$11000,OUT!$H$2:$H$11000,H250,OUT!$D$2:$D$11000,"Out",OUT!$E$2:$E$11000,"Alfa")</f>
        <v>294200</v>
      </c>
      <c r="N250" s="52" t="e">
        <f ca="1">SUMIFS(OUT!$F$2:$F$11000,OUT!$H$2:$H$101007,H250,OUT!$D$2:$D$11000,"Out",OUT!$E$2:$E$11000,"Jajan")</f>
        <v>#VALUE!</v>
      </c>
      <c r="O250" s="52">
        <f ca="1">SUMIFS(OUT!$F$2:$F$11000,OUT!$H$2:$H$11000,H250,OUT!$D$2:$D$11000,"Out",OUT!$E$2:$E$11000,"Kitchen")</f>
        <v>1360773</v>
      </c>
      <c r="P250" s="52">
        <f ca="1">SUMIFS(OUT!$F$2:$F$11000,OUT!$H$2:$H$11000,H250,OUT!$D$2:$D$11000,"Out",OUT!$E$2:$E$11000,"Loandry")</f>
        <v>11000</v>
      </c>
      <c r="Q250" s="52">
        <f ca="1">SUMIFS(OUT!$F$2:$F$11000,OUT!$H$2:$H$11000,H250,OUT!$D$2:$D$11000,"Out",OUT!$E$2:$E$11000,"Mio")</f>
        <v>338500</v>
      </c>
      <c r="R250" s="52">
        <f ca="1">SUMIFS(OUT!$F$2:$F$11000,OUT!$H$2:$H$11000,H250,OUT!$D$2:$D$11000,"Out",OUT!$E$2:$E$11000,"Sedekah")</f>
        <v>2500</v>
      </c>
      <c r="S250" s="52">
        <f ca="1">SUMIFS(OUT!$F$2:$F$11000,OUT!$H$2:$H$11000,H250,OUT!$D$2:$D$11000,"Out",OUT!$E$2:$E$11000,"Zela")</f>
        <v>387476</v>
      </c>
      <c r="T250" s="52">
        <f ca="1">SUMIFS(OUT!$F$2:$F$11000,OUT!$H$2:$H$11000,H250,OUT!$D$2:$D$11000,"Out",OUT!$E$2:$E$11000,"Iqbal")</f>
        <v>231000</v>
      </c>
    </row>
    <row r="251" spans="1:20" x14ac:dyDescent="0.2">
      <c r="A251" s="48">
        <f ca="1">IFERROR(__xludf.DUMMYFUNCTION("""COMPUTED_VALUE"""),46204)</f>
        <v>46204</v>
      </c>
      <c r="B251" s="4" t="str">
        <f ca="1">IFERROR(__xludf.DUMMYFUNCTION("""COMPUTED_VALUE"""),"listrik")</f>
        <v>listrik</v>
      </c>
      <c r="C251" s="4" t="str">
        <f ca="1">IFERROR(__xludf.DUMMYFUNCTION("""COMPUTED_VALUE"""),"ATM")</f>
        <v>ATM</v>
      </c>
      <c r="D251" s="4" t="str">
        <f ca="1">IFERROR(__xludf.DUMMYFUNCTION("""COMPUTED_VALUE"""),"Out")</f>
        <v>Out</v>
      </c>
      <c r="E251" s="4" t="str">
        <f ca="1">IFERROR(__xludf.DUMMYFUNCTION("""COMPUTED_VALUE"""),"Fix")</f>
        <v>Fix</v>
      </c>
      <c r="F251" s="49">
        <f ca="1">IFERROR(__xludf.DUMMYFUNCTION("""COMPUTED_VALUE"""),100830)</f>
        <v>100830</v>
      </c>
      <c r="G251" s="50" t="str">
        <f ca="1">IFERROR(__xludf.DUMMYFUNCTION("""COMPUTED_VALUE"""),"Ibal")</f>
        <v>Ibal</v>
      </c>
      <c r="H251" s="51">
        <f t="shared" ca="1" si="0"/>
        <v>46204</v>
      </c>
      <c r="I251" s="52" t="e">
        <f ca="1">SUMIFS(OUT!$F$2:$F$11000,OUT!$H$2:$H$11000,H251,OUT!$D$2:$D$101007,"In")</f>
        <v>#VALUE!</v>
      </c>
      <c r="J251" s="52">
        <f ca="1">SUMIFS(OUT!$F$2:$F$11000,OUT!$H$2:$H$11000,H251,OUT!$D$2:$D$11000,"Out")</f>
        <v>9905717</v>
      </c>
      <c r="K251" s="52">
        <f ca="1">SUMIFS(OUT!$F$2:$F$11000,OUT!$H$2:$H$11000,H251,OUT!$D$2:$D$11000,"Out",OUT!$E$2:$E$11000,"Fix")</f>
        <v>3048680</v>
      </c>
      <c r="L251" s="52">
        <f ca="1">SUMIFS(OUT!$F$2:$F$11000,OUT!$H$2:$H$11000,H251,OUT!$D$2:$D$11000,"Out",OUT!$E$2:$E$11000,"Bathroom")</f>
        <v>50720</v>
      </c>
      <c r="M251" s="52">
        <f ca="1">SUMIFS(OUT!$F$2:$F$11000,OUT!$H$2:$H$11000,H251,OUT!$D$2:$D$11000,"Out",OUT!$E$2:$E$11000,"Alfa")</f>
        <v>294200</v>
      </c>
      <c r="N251" s="52" t="e">
        <f ca="1">SUMIFS(OUT!$F$2:$F$11000,OUT!$H$2:$H$101007,H251,OUT!$D$2:$D$11000,"Out",OUT!$E$2:$E$11000,"Jajan")</f>
        <v>#VALUE!</v>
      </c>
      <c r="O251" s="52">
        <f ca="1">SUMIFS(OUT!$F$2:$F$11000,OUT!$H$2:$H$11000,H251,OUT!$D$2:$D$11000,"Out",OUT!$E$2:$E$11000,"Kitchen")</f>
        <v>1360773</v>
      </c>
      <c r="P251" s="52">
        <f ca="1">SUMIFS(OUT!$F$2:$F$11000,OUT!$H$2:$H$11000,H251,OUT!$D$2:$D$11000,"Out",OUT!$E$2:$E$11000,"Loandry")</f>
        <v>11000</v>
      </c>
      <c r="Q251" s="52">
        <f ca="1">SUMIFS(OUT!$F$2:$F$11000,OUT!$H$2:$H$11000,H251,OUT!$D$2:$D$11000,"Out",OUT!$E$2:$E$11000,"Mio")</f>
        <v>338500</v>
      </c>
      <c r="R251" s="52">
        <f ca="1">SUMIFS(OUT!$F$2:$F$11000,OUT!$H$2:$H$11000,H251,OUT!$D$2:$D$11000,"Out",OUT!$E$2:$E$11000,"Sedekah")</f>
        <v>2500</v>
      </c>
      <c r="S251" s="52">
        <f ca="1">SUMIFS(OUT!$F$2:$F$11000,OUT!$H$2:$H$11000,H251,OUT!$D$2:$D$11000,"Out",OUT!$E$2:$E$11000,"Zela")</f>
        <v>387476</v>
      </c>
      <c r="T251" s="52">
        <f ca="1">SUMIFS(OUT!$F$2:$F$11000,OUT!$H$2:$H$11000,H251,OUT!$D$2:$D$11000,"Out",OUT!$E$2:$E$11000,"Iqbal")</f>
        <v>231000</v>
      </c>
    </row>
    <row r="252" spans="1:20" x14ac:dyDescent="0.2">
      <c r="A252" s="48">
        <f ca="1">IFERROR(__xludf.DUMMYFUNCTION("""COMPUTED_VALUE"""),46204)</f>
        <v>46204</v>
      </c>
      <c r="B252" s="4" t="str">
        <f ca="1">IFERROR(__xludf.DUMMYFUNCTION("""COMPUTED_VALUE"""),"istriku")</f>
        <v>istriku</v>
      </c>
      <c r="C252" s="4" t="str">
        <f ca="1">IFERROR(__xludf.DUMMYFUNCTION("""COMPUTED_VALUE"""),"ATM")</f>
        <v>ATM</v>
      </c>
      <c r="D252" s="4" t="str">
        <f ca="1">IFERROR(__xludf.DUMMYFUNCTION("""COMPUTED_VALUE"""),"Out")</f>
        <v>Out</v>
      </c>
      <c r="E252" s="4" t="str">
        <f ca="1">IFERROR(__xludf.DUMMYFUNCTION("""COMPUTED_VALUE"""),"Move")</f>
        <v>Move</v>
      </c>
      <c r="F252" s="49">
        <f ca="1">IFERROR(__xludf.DUMMYFUNCTION("""COMPUTED_VALUE"""),1495239)</f>
        <v>1495239</v>
      </c>
      <c r="G252" s="50" t="str">
        <f ca="1">IFERROR(__xludf.DUMMYFUNCTION("""COMPUTED_VALUE"""),"Ibal")</f>
        <v>Ibal</v>
      </c>
      <c r="H252" s="51">
        <f t="shared" ca="1" si="0"/>
        <v>46204</v>
      </c>
      <c r="I252" s="52" t="e">
        <f ca="1">SUMIFS(OUT!$F$2:$F$11000,OUT!$H$2:$H$11000,H252,OUT!$D$2:$D$101007,"In")</f>
        <v>#VALUE!</v>
      </c>
      <c r="J252" s="52">
        <f ca="1">SUMIFS(OUT!$F$2:$F$11000,OUT!$H$2:$H$11000,H252,OUT!$D$2:$D$11000,"Out")</f>
        <v>9905717</v>
      </c>
      <c r="K252" s="52">
        <f ca="1">SUMIFS(OUT!$F$2:$F$11000,OUT!$H$2:$H$11000,H252,OUT!$D$2:$D$11000,"Out",OUT!$E$2:$E$11000,"Fix")</f>
        <v>3048680</v>
      </c>
      <c r="L252" s="52">
        <f ca="1">SUMIFS(OUT!$F$2:$F$11000,OUT!$H$2:$H$11000,H252,OUT!$D$2:$D$11000,"Out",OUT!$E$2:$E$11000,"Bathroom")</f>
        <v>50720</v>
      </c>
      <c r="M252" s="52">
        <f ca="1">SUMIFS(OUT!$F$2:$F$11000,OUT!$H$2:$H$11000,H252,OUT!$D$2:$D$11000,"Out",OUT!$E$2:$E$11000,"Alfa")</f>
        <v>294200</v>
      </c>
      <c r="N252" s="52" t="e">
        <f ca="1">SUMIFS(OUT!$F$2:$F$11000,OUT!$H$2:$H$101007,H252,OUT!$D$2:$D$11000,"Out",OUT!$E$2:$E$11000,"Jajan")</f>
        <v>#VALUE!</v>
      </c>
      <c r="O252" s="52">
        <f ca="1">SUMIFS(OUT!$F$2:$F$11000,OUT!$H$2:$H$11000,H252,OUT!$D$2:$D$11000,"Out",OUT!$E$2:$E$11000,"Kitchen")</f>
        <v>1360773</v>
      </c>
      <c r="P252" s="52">
        <f ca="1">SUMIFS(OUT!$F$2:$F$11000,OUT!$H$2:$H$11000,H252,OUT!$D$2:$D$11000,"Out",OUT!$E$2:$E$11000,"Loandry")</f>
        <v>11000</v>
      </c>
      <c r="Q252" s="52">
        <f ca="1">SUMIFS(OUT!$F$2:$F$11000,OUT!$H$2:$H$11000,H252,OUT!$D$2:$D$11000,"Out",OUT!$E$2:$E$11000,"Mio")</f>
        <v>338500</v>
      </c>
      <c r="R252" s="52">
        <f ca="1">SUMIFS(OUT!$F$2:$F$11000,OUT!$H$2:$H$11000,H252,OUT!$D$2:$D$11000,"Out",OUT!$E$2:$E$11000,"Sedekah")</f>
        <v>2500</v>
      </c>
      <c r="S252" s="52">
        <f ca="1">SUMIFS(OUT!$F$2:$F$11000,OUT!$H$2:$H$11000,H252,OUT!$D$2:$D$11000,"Out",OUT!$E$2:$E$11000,"Zela")</f>
        <v>387476</v>
      </c>
      <c r="T252" s="52">
        <f ca="1">SUMIFS(OUT!$F$2:$F$11000,OUT!$H$2:$H$11000,H252,OUT!$D$2:$D$11000,"Out",OUT!$E$2:$E$11000,"Iqbal")</f>
        <v>231000</v>
      </c>
    </row>
    <row r="253" spans="1:20" x14ac:dyDescent="0.2">
      <c r="A253" s="48">
        <f ca="1">IFERROR(__xludf.DUMMYFUNCTION("""COMPUTED_VALUE"""),46204)</f>
        <v>46204</v>
      </c>
      <c r="B253" s="4" t="str">
        <f ca="1">IFERROR(__xludf.DUMMYFUNCTION("""COMPUTED_VALUE"""),"Oli mesin (Yamalube Hitam) 3715 KM")</f>
        <v>Oli mesin (Yamalube Hitam) 3715 KM</v>
      </c>
      <c r="C253" s="4" t="str">
        <f ca="1">IFERROR(__xludf.DUMMYFUNCTION("""COMPUTED_VALUE"""),"ATM")</f>
        <v>ATM</v>
      </c>
      <c r="D253" s="4" t="str">
        <f ca="1">IFERROR(__xludf.DUMMYFUNCTION("""COMPUTED_VALUE"""),"Out")</f>
        <v>Out</v>
      </c>
      <c r="E253" s="4" t="str">
        <f ca="1">IFERROR(__xludf.DUMMYFUNCTION("""COMPUTED_VALUE"""),"Mio")</f>
        <v>Mio</v>
      </c>
      <c r="F253" s="49">
        <f ca="1">IFERROR(__xludf.DUMMYFUNCTION("""COMPUTED_VALUE"""),65000)</f>
        <v>65000</v>
      </c>
      <c r="G253" s="50" t="str">
        <f ca="1">IFERROR(__xludf.DUMMYFUNCTION("""COMPUTED_VALUE"""),"Ibal")</f>
        <v>Ibal</v>
      </c>
      <c r="H253" s="51">
        <f t="shared" ca="1" si="0"/>
        <v>46204</v>
      </c>
      <c r="I253" s="52" t="e">
        <f ca="1">SUMIFS(OUT!$F$2:$F$11000,OUT!$H$2:$H$11000,H253,OUT!$D$2:$D$101007,"In")</f>
        <v>#VALUE!</v>
      </c>
      <c r="J253" s="52">
        <f ca="1">SUMIFS(OUT!$F$2:$F$11000,OUT!$H$2:$H$11000,H253,OUT!$D$2:$D$11000,"Out")</f>
        <v>9905717</v>
      </c>
      <c r="K253" s="52">
        <f ca="1">SUMIFS(OUT!$F$2:$F$11000,OUT!$H$2:$H$11000,H253,OUT!$D$2:$D$11000,"Out",OUT!$E$2:$E$11000,"Fix")</f>
        <v>3048680</v>
      </c>
      <c r="L253" s="52">
        <f ca="1">SUMIFS(OUT!$F$2:$F$11000,OUT!$H$2:$H$11000,H253,OUT!$D$2:$D$11000,"Out",OUT!$E$2:$E$11000,"Bathroom")</f>
        <v>50720</v>
      </c>
      <c r="M253" s="52">
        <f ca="1">SUMIFS(OUT!$F$2:$F$11000,OUT!$H$2:$H$11000,H253,OUT!$D$2:$D$11000,"Out",OUT!$E$2:$E$11000,"Alfa")</f>
        <v>294200</v>
      </c>
      <c r="N253" s="52" t="e">
        <f ca="1">SUMIFS(OUT!$F$2:$F$11000,OUT!$H$2:$H$101007,H253,OUT!$D$2:$D$11000,"Out",OUT!$E$2:$E$11000,"Jajan")</f>
        <v>#VALUE!</v>
      </c>
      <c r="O253" s="52">
        <f ca="1">SUMIFS(OUT!$F$2:$F$11000,OUT!$H$2:$H$11000,H253,OUT!$D$2:$D$11000,"Out",OUT!$E$2:$E$11000,"Kitchen")</f>
        <v>1360773</v>
      </c>
      <c r="P253" s="52">
        <f ca="1">SUMIFS(OUT!$F$2:$F$11000,OUT!$H$2:$H$11000,H253,OUT!$D$2:$D$11000,"Out",OUT!$E$2:$E$11000,"Loandry")</f>
        <v>11000</v>
      </c>
      <c r="Q253" s="52">
        <f ca="1">SUMIFS(OUT!$F$2:$F$11000,OUT!$H$2:$H$11000,H253,OUT!$D$2:$D$11000,"Out",OUT!$E$2:$E$11000,"Mio")</f>
        <v>338500</v>
      </c>
      <c r="R253" s="52">
        <f ca="1">SUMIFS(OUT!$F$2:$F$11000,OUT!$H$2:$H$11000,H253,OUT!$D$2:$D$11000,"Out",OUT!$E$2:$E$11000,"Sedekah")</f>
        <v>2500</v>
      </c>
      <c r="S253" s="52">
        <f ca="1">SUMIFS(OUT!$F$2:$F$11000,OUT!$H$2:$H$11000,H253,OUT!$D$2:$D$11000,"Out",OUT!$E$2:$E$11000,"Zela")</f>
        <v>387476</v>
      </c>
      <c r="T253" s="52">
        <f ca="1">SUMIFS(OUT!$F$2:$F$11000,OUT!$H$2:$H$11000,H253,OUT!$D$2:$D$11000,"Out",OUT!$E$2:$E$11000,"Iqbal")</f>
        <v>231000</v>
      </c>
    </row>
    <row r="254" spans="1:20" x14ac:dyDescent="0.2">
      <c r="A254" s="48">
        <f ca="1">IFERROR(__xludf.DUMMYFUNCTION("""COMPUTED_VALUE"""),46204)</f>
        <v>46204</v>
      </c>
      <c r="B254" s="4" t="str">
        <f ca="1">IFERROR(__xludf.DUMMYFUNCTION("""COMPUTED_VALUE"""),"rokok (1)")</f>
        <v>rokok (1)</v>
      </c>
      <c r="C254" s="4" t="str">
        <f ca="1">IFERROR(__xludf.DUMMYFUNCTION("""COMPUTED_VALUE"""),"ATM")</f>
        <v>ATM</v>
      </c>
      <c r="D254" s="4" t="str">
        <f ca="1">IFERROR(__xludf.DUMMYFUNCTION("""COMPUTED_VALUE"""),"Out")</f>
        <v>Out</v>
      </c>
      <c r="E254" s="4" t="str">
        <f ca="1">IFERROR(__xludf.DUMMYFUNCTION("""COMPUTED_VALUE"""),"Iqbal")</f>
        <v>Iqbal</v>
      </c>
      <c r="F254" s="49">
        <f ca="1">IFERROR(__xludf.DUMMYFUNCTION("""COMPUTED_VALUE"""),16000)</f>
        <v>16000</v>
      </c>
      <c r="G254" s="50" t="str">
        <f ca="1">IFERROR(__xludf.DUMMYFUNCTION("""COMPUTED_VALUE"""),"Ibal")</f>
        <v>Ibal</v>
      </c>
      <c r="H254" s="51">
        <f t="shared" ca="1" si="0"/>
        <v>46204</v>
      </c>
      <c r="I254" s="52" t="e">
        <f ca="1">SUMIFS(OUT!$F$2:$F$11000,OUT!$H$2:$H$11000,H254,OUT!$D$2:$D$101007,"In")</f>
        <v>#VALUE!</v>
      </c>
      <c r="J254" s="52">
        <f ca="1">SUMIFS(OUT!$F$2:$F$11000,OUT!$H$2:$H$11000,H254,OUT!$D$2:$D$11000,"Out")</f>
        <v>9905717</v>
      </c>
      <c r="K254" s="52">
        <f ca="1">SUMIFS(OUT!$F$2:$F$11000,OUT!$H$2:$H$11000,H254,OUT!$D$2:$D$11000,"Out",OUT!$E$2:$E$11000,"Fix")</f>
        <v>3048680</v>
      </c>
      <c r="L254" s="52">
        <f ca="1">SUMIFS(OUT!$F$2:$F$11000,OUT!$H$2:$H$11000,H254,OUT!$D$2:$D$11000,"Out",OUT!$E$2:$E$11000,"Bathroom")</f>
        <v>50720</v>
      </c>
      <c r="M254" s="52">
        <f ca="1">SUMIFS(OUT!$F$2:$F$11000,OUT!$H$2:$H$11000,H254,OUT!$D$2:$D$11000,"Out",OUT!$E$2:$E$11000,"Alfa")</f>
        <v>294200</v>
      </c>
      <c r="N254" s="52" t="e">
        <f ca="1">SUMIFS(OUT!$F$2:$F$11000,OUT!$H$2:$H$101007,H254,OUT!$D$2:$D$11000,"Out",OUT!$E$2:$E$11000,"Jajan")</f>
        <v>#VALUE!</v>
      </c>
      <c r="O254" s="52">
        <f ca="1">SUMIFS(OUT!$F$2:$F$11000,OUT!$H$2:$H$11000,H254,OUT!$D$2:$D$11000,"Out",OUT!$E$2:$E$11000,"Kitchen")</f>
        <v>1360773</v>
      </c>
      <c r="P254" s="52">
        <f ca="1">SUMIFS(OUT!$F$2:$F$11000,OUT!$H$2:$H$11000,H254,OUT!$D$2:$D$11000,"Out",OUT!$E$2:$E$11000,"Loandry")</f>
        <v>11000</v>
      </c>
      <c r="Q254" s="52">
        <f ca="1">SUMIFS(OUT!$F$2:$F$11000,OUT!$H$2:$H$11000,H254,OUT!$D$2:$D$11000,"Out",OUT!$E$2:$E$11000,"Mio")</f>
        <v>338500</v>
      </c>
      <c r="R254" s="52">
        <f ca="1">SUMIFS(OUT!$F$2:$F$11000,OUT!$H$2:$H$11000,H254,OUT!$D$2:$D$11000,"Out",OUT!$E$2:$E$11000,"Sedekah")</f>
        <v>2500</v>
      </c>
      <c r="S254" s="52">
        <f ca="1">SUMIFS(OUT!$F$2:$F$11000,OUT!$H$2:$H$11000,H254,OUT!$D$2:$D$11000,"Out",OUT!$E$2:$E$11000,"Zela")</f>
        <v>387476</v>
      </c>
      <c r="T254" s="52">
        <f ca="1">SUMIFS(OUT!$F$2:$F$11000,OUT!$H$2:$H$11000,H254,OUT!$D$2:$D$11000,"Out",OUT!$E$2:$E$11000,"Iqbal")</f>
        <v>231000</v>
      </c>
    </row>
    <row r="255" spans="1:20" x14ac:dyDescent="0.2">
      <c r="A255" s="48">
        <f ca="1">IFERROR(__xludf.DUMMYFUNCTION("""COMPUTED_VALUE"""),46204)</f>
        <v>46204</v>
      </c>
      <c r="B255" s="4" t="str">
        <f ca="1">IFERROR(__xludf.DUMMYFUNCTION("""COMPUTED_VALUE"""),"ayam ante (2)")</f>
        <v>ayam ante (2)</v>
      </c>
      <c r="C255" s="4" t="str">
        <f ca="1">IFERROR(__xludf.DUMMYFUNCTION("""COMPUTED_VALUE"""),"ATM")</f>
        <v>ATM</v>
      </c>
      <c r="D255" s="4" t="str">
        <f ca="1">IFERROR(__xludf.DUMMYFUNCTION("""COMPUTED_VALUE"""),"Out")</f>
        <v>Out</v>
      </c>
      <c r="E255" s="4" t="str">
        <f ca="1">IFERROR(__xludf.DUMMYFUNCTION("""COMPUTED_VALUE"""),"Kitchen")</f>
        <v>Kitchen</v>
      </c>
      <c r="F255" s="49">
        <f ca="1">IFERROR(__xludf.DUMMYFUNCTION("""COMPUTED_VALUE"""),22000)</f>
        <v>22000</v>
      </c>
      <c r="G255" s="50" t="str">
        <f ca="1">IFERROR(__xludf.DUMMYFUNCTION("""COMPUTED_VALUE"""),"Ibal")</f>
        <v>Ibal</v>
      </c>
      <c r="H255" s="51">
        <f t="shared" ca="1" si="0"/>
        <v>46204</v>
      </c>
      <c r="I255" s="52" t="e">
        <f ca="1">SUMIFS(OUT!$F$2:$F$11000,OUT!$H$2:$H$11000,H255,OUT!$D$2:$D$101007,"In")</f>
        <v>#VALUE!</v>
      </c>
      <c r="J255" s="52">
        <f ca="1">SUMIFS(OUT!$F$2:$F$11000,OUT!$H$2:$H$11000,H255,OUT!$D$2:$D$11000,"Out")</f>
        <v>9905717</v>
      </c>
      <c r="K255" s="52">
        <f ca="1">SUMIFS(OUT!$F$2:$F$11000,OUT!$H$2:$H$11000,H255,OUT!$D$2:$D$11000,"Out",OUT!$E$2:$E$11000,"Fix")</f>
        <v>3048680</v>
      </c>
      <c r="L255" s="52">
        <f ca="1">SUMIFS(OUT!$F$2:$F$11000,OUT!$H$2:$H$11000,H255,OUT!$D$2:$D$11000,"Out",OUT!$E$2:$E$11000,"Bathroom")</f>
        <v>50720</v>
      </c>
      <c r="M255" s="52">
        <f ca="1">SUMIFS(OUT!$F$2:$F$11000,OUT!$H$2:$H$11000,H255,OUT!$D$2:$D$11000,"Out",OUT!$E$2:$E$11000,"Alfa")</f>
        <v>294200</v>
      </c>
      <c r="N255" s="52" t="e">
        <f ca="1">SUMIFS(OUT!$F$2:$F$11000,OUT!$H$2:$H$101007,H255,OUT!$D$2:$D$11000,"Out",OUT!$E$2:$E$11000,"Jajan")</f>
        <v>#VALUE!</v>
      </c>
      <c r="O255" s="52">
        <f ca="1">SUMIFS(OUT!$F$2:$F$11000,OUT!$H$2:$H$11000,H255,OUT!$D$2:$D$11000,"Out",OUT!$E$2:$E$11000,"Kitchen")</f>
        <v>1360773</v>
      </c>
      <c r="P255" s="52">
        <f ca="1">SUMIFS(OUT!$F$2:$F$11000,OUT!$H$2:$H$11000,H255,OUT!$D$2:$D$11000,"Out",OUT!$E$2:$E$11000,"Loandry")</f>
        <v>11000</v>
      </c>
      <c r="Q255" s="52">
        <f ca="1">SUMIFS(OUT!$F$2:$F$11000,OUT!$H$2:$H$11000,H255,OUT!$D$2:$D$11000,"Out",OUT!$E$2:$E$11000,"Mio")</f>
        <v>338500</v>
      </c>
      <c r="R255" s="52">
        <f ca="1">SUMIFS(OUT!$F$2:$F$11000,OUT!$H$2:$H$11000,H255,OUT!$D$2:$D$11000,"Out",OUT!$E$2:$E$11000,"Sedekah")</f>
        <v>2500</v>
      </c>
      <c r="S255" s="52">
        <f ca="1">SUMIFS(OUT!$F$2:$F$11000,OUT!$H$2:$H$11000,H255,OUT!$D$2:$D$11000,"Out",OUT!$E$2:$E$11000,"Zela")</f>
        <v>387476</v>
      </c>
      <c r="T255" s="52">
        <f ca="1">SUMIFS(OUT!$F$2:$F$11000,OUT!$H$2:$H$11000,H255,OUT!$D$2:$D$11000,"Out",OUT!$E$2:$E$11000,"Iqbal")</f>
        <v>231000</v>
      </c>
    </row>
    <row r="256" spans="1:20" x14ac:dyDescent="0.2">
      <c r="A256" s="48">
        <f ca="1">IFERROR(__xludf.DUMMYFUNCTION("""COMPUTED_VALUE"""),46205)</f>
        <v>46205</v>
      </c>
      <c r="B256" s="4" t="str">
        <f ca="1">IFERROR(__xludf.DUMMYFUNCTION("""COMPUTED_VALUE"""),"mie goren rendang dll")</f>
        <v>mie goren rendang dll</v>
      </c>
      <c r="C256" s="4" t="str">
        <f ca="1">IFERROR(__xludf.DUMMYFUNCTION("""COMPUTED_VALUE"""),"ATM")</f>
        <v>ATM</v>
      </c>
      <c r="D256" s="4" t="str">
        <f ca="1">IFERROR(__xludf.DUMMYFUNCTION("""COMPUTED_VALUE"""),"Out")</f>
        <v>Out</v>
      </c>
      <c r="E256" s="4" t="str">
        <f ca="1">IFERROR(__xludf.DUMMYFUNCTION("""COMPUTED_VALUE"""),"Jajan")</f>
        <v>Jajan</v>
      </c>
      <c r="F256" s="49">
        <f ca="1">IFERROR(__xludf.DUMMYFUNCTION("""COMPUTED_VALUE"""),21500)</f>
        <v>21500</v>
      </c>
      <c r="G256" s="50" t="str">
        <f ca="1">IFERROR(__xludf.DUMMYFUNCTION("""COMPUTED_VALUE"""),"Ibal")</f>
        <v>Ibal</v>
      </c>
      <c r="H256" s="51">
        <f t="shared" ca="1" si="0"/>
        <v>46204</v>
      </c>
      <c r="I256" s="52" t="e">
        <f ca="1">SUMIFS(OUT!$F$2:$F$11000,OUT!$H$2:$H$11000,H256,OUT!$D$2:$D$101007,"In")</f>
        <v>#VALUE!</v>
      </c>
      <c r="J256" s="52">
        <f ca="1">SUMIFS(OUT!$F$2:$F$11000,OUT!$H$2:$H$11000,H256,OUT!$D$2:$D$11000,"Out")</f>
        <v>9905717</v>
      </c>
      <c r="K256" s="52">
        <f ca="1">SUMIFS(OUT!$F$2:$F$11000,OUT!$H$2:$H$11000,H256,OUT!$D$2:$D$11000,"Out",OUT!$E$2:$E$11000,"Fix")</f>
        <v>3048680</v>
      </c>
      <c r="L256" s="52">
        <f ca="1">SUMIFS(OUT!$F$2:$F$11000,OUT!$H$2:$H$11000,H256,OUT!$D$2:$D$11000,"Out",OUT!$E$2:$E$11000,"Bathroom")</f>
        <v>50720</v>
      </c>
      <c r="M256" s="52">
        <f ca="1">SUMIFS(OUT!$F$2:$F$11000,OUT!$H$2:$H$11000,H256,OUT!$D$2:$D$11000,"Out",OUT!$E$2:$E$11000,"Alfa")</f>
        <v>294200</v>
      </c>
      <c r="N256" s="52" t="e">
        <f ca="1">SUMIFS(OUT!$F$2:$F$11000,OUT!$H$2:$H$101007,H256,OUT!$D$2:$D$11000,"Out",OUT!$E$2:$E$11000,"Jajan")</f>
        <v>#VALUE!</v>
      </c>
      <c r="O256" s="52">
        <f ca="1">SUMIFS(OUT!$F$2:$F$11000,OUT!$H$2:$H$11000,H256,OUT!$D$2:$D$11000,"Out",OUT!$E$2:$E$11000,"Kitchen")</f>
        <v>1360773</v>
      </c>
      <c r="P256" s="52">
        <f ca="1">SUMIFS(OUT!$F$2:$F$11000,OUT!$H$2:$H$11000,H256,OUT!$D$2:$D$11000,"Out",OUT!$E$2:$E$11000,"Loandry")</f>
        <v>11000</v>
      </c>
      <c r="Q256" s="52">
        <f ca="1">SUMIFS(OUT!$F$2:$F$11000,OUT!$H$2:$H$11000,H256,OUT!$D$2:$D$11000,"Out",OUT!$E$2:$E$11000,"Mio")</f>
        <v>338500</v>
      </c>
      <c r="R256" s="52">
        <f ca="1">SUMIFS(OUT!$F$2:$F$11000,OUT!$H$2:$H$11000,H256,OUT!$D$2:$D$11000,"Out",OUT!$E$2:$E$11000,"Sedekah")</f>
        <v>2500</v>
      </c>
      <c r="S256" s="52">
        <f ca="1">SUMIFS(OUT!$F$2:$F$11000,OUT!$H$2:$H$11000,H256,OUT!$D$2:$D$11000,"Out",OUT!$E$2:$E$11000,"Zela")</f>
        <v>387476</v>
      </c>
      <c r="T256" s="52">
        <f ca="1">SUMIFS(OUT!$F$2:$F$11000,OUT!$H$2:$H$11000,H256,OUT!$D$2:$D$11000,"Out",OUT!$E$2:$E$11000,"Iqbal")</f>
        <v>231000</v>
      </c>
    </row>
    <row r="257" spans="1:20" x14ac:dyDescent="0.2">
      <c r="A257" s="48">
        <f ca="1">IFERROR(__xludf.DUMMYFUNCTION("""COMPUTED_VALUE"""),46207)</f>
        <v>46207</v>
      </c>
      <c r="B257" s="4" t="str">
        <f ca="1">IFERROR(__xludf.DUMMYFUNCTION("""COMPUTED_VALUE"""),"rokok (2)")</f>
        <v>rokok (2)</v>
      </c>
      <c r="C257" s="4" t="str">
        <f ca="1">IFERROR(__xludf.DUMMYFUNCTION("""COMPUTED_VALUE"""),"ATM")</f>
        <v>ATM</v>
      </c>
      <c r="D257" s="4" t="str">
        <f ca="1">IFERROR(__xludf.DUMMYFUNCTION("""COMPUTED_VALUE"""),"Out")</f>
        <v>Out</v>
      </c>
      <c r="E257" s="4" t="str">
        <f ca="1">IFERROR(__xludf.DUMMYFUNCTION("""COMPUTED_VALUE"""),"Iqbal")</f>
        <v>Iqbal</v>
      </c>
      <c r="F257" s="49">
        <f ca="1">IFERROR(__xludf.DUMMYFUNCTION("""COMPUTED_VALUE"""),17000)</f>
        <v>17000</v>
      </c>
      <c r="G257" s="50" t="str">
        <f ca="1">IFERROR(__xludf.DUMMYFUNCTION("""COMPUTED_VALUE"""),"Ibal")</f>
        <v>Ibal</v>
      </c>
      <c r="H257" s="51">
        <f t="shared" ca="1" si="0"/>
        <v>46204</v>
      </c>
      <c r="I257" s="52" t="e">
        <f ca="1">SUMIFS(OUT!$F$2:$F$11000,OUT!$H$2:$H$11000,H257,OUT!$D$2:$D$101007,"In")</f>
        <v>#VALUE!</v>
      </c>
      <c r="J257" s="52">
        <f ca="1">SUMIFS(OUT!$F$2:$F$11000,OUT!$H$2:$H$11000,H257,OUT!$D$2:$D$11000,"Out")</f>
        <v>9905717</v>
      </c>
      <c r="K257" s="52">
        <f ca="1">SUMIFS(OUT!$F$2:$F$11000,OUT!$H$2:$H$11000,H257,OUT!$D$2:$D$11000,"Out",OUT!$E$2:$E$11000,"Fix")</f>
        <v>3048680</v>
      </c>
      <c r="L257" s="52">
        <f ca="1">SUMIFS(OUT!$F$2:$F$11000,OUT!$H$2:$H$11000,H257,OUT!$D$2:$D$11000,"Out",OUT!$E$2:$E$11000,"Bathroom")</f>
        <v>50720</v>
      </c>
      <c r="M257" s="52">
        <f ca="1">SUMIFS(OUT!$F$2:$F$11000,OUT!$H$2:$H$11000,H257,OUT!$D$2:$D$11000,"Out",OUT!$E$2:$E$11000,"Alfa")</f>
        <v>294200</v>
      </c>
      <c r="N257" s="52" t="e">
        <f ca="1">SUMIFS(OUT!$F$2:$F$11000,OUT!$H$2:$H$101007,H257,OUT!$D$2:$D$11000,"Out",OUT!$E$2:$E$11000,"Jajan")</f>
        <v>#VALUE!</v>
      </c>
      <c r="O257" s="52">
        <f ca="1">SUMIFS(OUT!$F$2:$F$11000,OUT!$H$2:$H$11000,H257,OUT!$D$2:$D$11000,"Out",OUT!$E$2:$E$11000,"Kitchen")</f>
        <v>1360773</v>
      </c>
      <c r="P257" s="52">
        <f ca="1">SUMIFS(OUT!$F$2:$F$11000,OUT!$H$2:$H$11000,H257,OUT!$D$2:$D$11000,"Out",OUT!$E$2:$E$11000,"Loandry")</f>
        <v>11000</v>
      </c>
      <c r="Q257" s="52">
        <f ca="1">SUMIFS(OUT!$F$2:$F$11000,OUT!$H$2:$H$11000,H257,OUT!$D$2:$D$11000,"Out",OUT!$E$2:$E$11000,"Mio")</f>
        <v>338500</v>
      </c>
      <c r="R257" s="52">
        <f ca="1">SUMIFS(OUT!$F$2:$F$11000,OUT!$H$2:$H$11000,H257,OUT!$D$2:$D$11000,"Out",OUT!$E$2:$E$11000,"Sedekah")</f>
        <v>2500</v>
      </c>
      <c r="S257" s="52">
        <f ca="1">SUMIFS(OUT!$F$2:$F$11000,OUT!$H$2:$H$11000,H257,OUT!$D$2:$D$11000,"Out",OUT!$E$2:$E$11000,"Zela")</f>
        <v>387476</v>
      </c>
      <c r="T257" s="52">
        <f ca="1">SUMIFS(OUT!$F$2:$F$11000,OUT!$H$2:$H$11000,H257,OUT!$D$2:$D$11000,"Out",OUT!$E$2:$E$11000,"Iqbal")</f>
        <v>231000</v>
      </c>
    </row>
    <row r="258" spans="1:20" x14ac:dyDescent="0.2">
      <c r="A258" s="48">
        <f ca="1">IFERROR(__xludf.DUMMYFUNCTION("""COMPUTED_VALUE"""),46207)</f>
        <v>46207</v>
      </c>
      <c r="B258" s="4" t="str">
        <f ca="1">IFERROR(__xludf.DUMMYFUNCTION("""COMPUTED_VALUE"""),"MyRepublic (5)")</f>
        <v>MyRepublic (5)</v>
      </c>
      <c r="C258" s="4" t="str">
        <f ca="1">IFERROR(__xludf.DUMMYFUNCTION("""COMPUTED_VALUE"""),"ATM")</f>
        <v>ATM</v>
      </c>
      <c r="D258" s="4" t="str">
        <f ca="1">IFERROR(__xludf.DUMMYFUNCTION("""COMPUTED_VALUE"""),"Out")</f>
        <v>Out</v>
      </c>
      <c r="E258" s="4" t="str">
        <f ca="1">IFERROR(__xludf.DUMMYFUNCTION("""COMPUTED_VALUE"""),"Fix")</f>
        <v>Fix</v>
      </c>
      <c r="F258" s="49">
        <f ca="1">IFERROR(__xludf.DUMMYFUNCTION("""COMPUTED_VALUE"""),233100)</f>
        <v>233100</v>
      </c>
      <c r="G258" s="50" t="str">
        <f ca="1">IFERROR(__xludf.DUMMYFUNCTION("""COMPUTED_VALUE"""),"Ibal")</f>
        <v>Ibal</v>
      </c>
      <c r="H258" s="51">
        <f t="shared" ca="1" si="0"/>
        <v>46204</v>
      </c>
      <c r="I258" s="52" t="e">
        <f ca="1">SUMIFS(OUT!$F$2:$F$11000,OUT!$H$2:$H$11000,H258,OUT!$D$2:$D$101007,"In")</f>
        <v>#VALUE!</v>
      </c>
      <c r="J258" s="52">
        <f ca="1">SUMIFS(OUT!$F$2:$F$11000,OUT!$H$2:$H$11000,H258,OUT!$D$2:$D$11000,"Out")</f>
        <v>9905717</v>
      </c>
      <c r="K258" s="52">
        <f ca="1">SUMIFS(OUT!$F$2:$F$11000,OUT!$H$2:$H$11000,H258,OUT!$D$2:$D$11000,"Out",OUT!$E$2:$E$11000,"Fix")</f>
        <v>3048680</v>
      </c>
      <c r="L258" s="52">
        <f ca="1">SUMIFS(OUT!$F$2:$F$11000,OUT!$H$2:$H$11000,H258,OUT!$D$2:$D$11000,"Out",OUT!$E$2:$E$11000,"Bathroom")</f>
        <v>50720</v>
      </c>
      <c r="M258" s="52">
        <f ca="1">SUMIFS(OUT!$F$2:$F$11000,OUT!$H$2:$H$11000,H258,OUT!$D$2:$D$11000,"Out",OUT!$E$2:$E$11000,"Alfa")</f>
        <v>294200</v>
      </c>
      <c r="N258" s="52" t="e">
        <f ca="1">SUMIFS(OUT!$F$2:$F$11000,OUT!$H$2:$H$101007,H258,OUT!$D$2:$D$11000,"Out",OUT!$E$2:$E$11000,"Jajan")</f>
        <v>#VALUE!</v>
      </c>
      <c r="O258" s="52">
        <f ca="1">SUMIFS(OUT!$F$2:$F$11000,OUT!$H$2:$H$11000,H258,OUT!$D$2:$D$11000,"Out",OUT!$E$2:$E$11000,"Kitchen")</f>
        <v>1360773</v>
      </c>
      <c r="P258" s="52">
        <f ca="1">SUMIFS(OUT!$F$2:$F$11000,OUT!$H$2:$H$11000,H258,OUT!$D$2:$D$11000,"Out",OUT!$E$2:$E$11000,"Loandry")</f>
        <v>11000</v>
      </c>
      <c r="Q258" s="52">
        <f ca="1">SUMIFS(OUT!$F$2:$F$11000,OUT!$H$2:$H$11000,H258,OUT!$D$2:$D$11000,"Out",OUT!$E$2:$E$11000,"Mio")</f>
        <v>338500</v>
      </c>
      <c r="R258" s="52">
        <f ca="1">SUMIFS(OUT!$F$2:$F$11000,OUT!$H$2:$H$11000,H258,OUT!$D$2:$D$11000,"Out",OUT!$E$2:$E$11000,"Sedekah")</f>
        <v>2500</v>
      </c>
      <c r="S258" s="52">
        <f ca="1">SUMIFS(OUT!$F$2:$F$11000,OUT!$H$2:$H$11000,H258,OUT!$D$2:$D$11000,"Out",OUT!$E$2:$E$11000,"Zela")</f>
        <v>387476</v>
      </c>
      <c r="T258" s="52">
        <f ca="1">SUMIFS(OUT!$F$2:$F$11000,OUT!$H$2:$H$11000,H258,OUT!$D$2:$D$11000,"Out",OUT!$E$2:$E$11000,"Iqbal")</f>
        <v>231000</v>
      </c>
    </row>
    <row r="259" spans="1:20" x14ac:dyDescent="0.2">
      <c r="A259" s="48">
        <f ca="1">IFERROR(__xludf.DUMMYFUNCTION("""COMPUTED_VALUE"""),46207)</f>
        <v>46207</v>
      </c>
      <c r="B259" s="4" t="str">
        <f ca="1">IFERROR(__xludf.DUMMYFUNCTION("""COMPUTED_VALUE"""),"BMKG")</f>
        <v>BMKG</v>
      </c>
      <c r="C259" s="4" t="str">
        <f ca="1">IFERROR(__xludf.DUMMYFUNCTION("""COMPUTED_VALUE"""),"ATM")</f>
        <v>ATM</v>
      </c>
      <c r="D259" s="4" t="str">
        <f ca="1">IFERROR(__xludf.DUMMYFUNCTION("""COMPUTED_VALUE"""),"In")</f>
        <v>In</v>
      </c>
      <c r="E259" s="4" t="str">
        <f ca="1">IFERROR(__xludf.DUMMYFUNCTION("""COMPUTED_VALUE"""),"Fix")</f>
        <v>Fix</v>
      </c>
      <c r="F259" s="49">
        <f ca="1">IFERROR(__xludf.DUMMYFUNCTION("""COMPUTED_VALUE"""),200000)</f>
        <v>200000</v>
      </c>
      <c r="G259" s="50" t="str">
        <f ca="1">IFERROR(__xludf.DUMMYFUNCTION("""COMPUTED_VALUE"""),"Ibal")</f>
        <v>Ibal</v>
      </c>
      <c r="H259" s="51">
        <f t="shared" ca="1" si="0"/>
        <v>46204</v>
      </c>
      <c r="I259" s="52" t="e">
        <f ca="1">SUMIFS(OUT!$F$2:$F$11000,OUT!$H$2:$H$11000,H259,OUT!$D$2:$D$101007,"In")</f>
        <v>#VALUE!</v>
      </c>
      <c r="J259" s="52">
        <f ca="1">SUMIFS(OUT!$F$2:$F$11000,OUT!$H$2:$H$11000,H259,OUT!$D$2:$D$11000,"Out")</f>
        <v>9905717</v>
      </c>
      <c r="K259" s="52">
        <f ca="1">SUMIFS(OUT!$F$2:$F$11000,OUT!$H$2:$H$11000,H259,OUT!$D$2:$D$11000,"Out",OUT!$E$2:$E$11000,"Fix")</f>
        <v>3048680</v>
      </c>
      <c r="L259" s="52">
        <f ca="1">SUMIFS(OUT!$F$2:$F$11000,OUT!$H$2:$H$11000,H259,OUT!$D$2:$D$11000,"Out",OUT!$E$2:$E$11000,"Bathroom")</f>
        <v>50720</v>
      </c>
      <c r="M259" s="52">
        <f ca="1">SUMIFS(OUT!$F$2:$F$11000,OUT!$H$2:$H$11000,H259,OUT!$D$2:$D$11000,"Out",OUT!$E$2:$E$11000,"Alfa")</f>
        <v>294200</v>
      </c>
      <c r="N259" s="52" t="e">
        <f ca="1">SUMIFS(OUT!$F$2:$F$11000,OUT!$H$2:$H$101007,H259,OUT!$D$2:$D$11000,"Out",OUT!$E$2:$E$11000,"Jajan")</f>
        <v>#VALUE!</v>
      </c>
      <c r="O259" s="52">
        <f ca="1">SUMIFS(OUT!$F$2:$F$11000,OUT!$H$2:$H$11000,H259,OUT!$D$2:$D$11000,"Out",OUT!$E$2:$E$11000,"Kitchen")</f>
        <v>1360773</v>
      </c>
      <c r="P259" s="52">
        <f ca="1">SUMIFS(OUT!$F$2:$F$11000,OUT!$H$2:$H$11000,H259,OUT!$D$2:$D$11000,"Out",OUT!$E$2:$E$11000,"Loandry")</f>
        <v>11000</v>
      </c>
      <c r="Q259" s="52">
        <f ca="1">SUMIFS(OUT!$F$2:$F$11000,OUT!$H$2:$H$11000,H259,OUT!$D$2:$D$11000,"Out",OUT!$E$2:$E$11000,"Mio")</f>
        <v>338500</v>
      </c>
      <c r="R259" s="52">
        <f ca="1">SUMIFS(OUT!$F$2:$F$11000,OUT!$H$2:$H$11000,H259,OUT!$D$2:$D$11000,"Out",OUT!$E$2:$E$11000,"Sedekah")</f>
        <v>2500</v>
      </c>
      <c r="S259" s="52">
        <f ca="1">SUMIFS(OUT!$F$2:$F$11000,OUT!$H$2:$H$11000,H259,OUT!$D$2:$D$11000,"Out",OUT!$E$2:$E$11000,"Zela")</f>
        <v>387476</v>
      </c>
      <c r="T259" s="52">
        <f ca="1">SUMIFS(OUT!$F$2:$F$11000,OUT!$H$2:$H$11000,H259,OUT!$D$2:$D$11000,"Out",OUT!$E$2:$E$11000,"Iqbal")</f>
        <v>231000</v>
      </c>
    </row>
    <row r="260" spans="1:20" x14ac:dyDescent="0.2">
      <c r="A260" s="48">
        <f ca="1">IFERROR(__xludf.DUMMYFUNCTION("""COMPUTED_VALUE"""),46207)</f>
        <v>46207</v>
      </c>
      <c r="B260" s="4" t="str">
        <f ca="1">IFERROR(__xludf.DUMMYFUNCTION("""COMPUTED_VALUE"""),"Bakso")</f>
        <v>Bakso</v>
      </c>
      <c r="C260" s="4" t="str">
        <f ca="1">IFERROR(__xludf.DUMMYFUNCTION("""COMPUTED_VALUE"""),"ATM")</f>
        <v>ATM</v>
      </c>
      <c r="D260" s="4" t="str">
        <f ca="1">IFERROR(__xludf.DUMMYFUNCTION("""COMPUTED_VALUE"""),"Out")</f>
        <v>Out</v>
      </c>
      <c r="E260" s="4" t="str">
        <f ca="1">IFERROR(__xludf.DUMMYFUNCTION("""COMPUTED_VALUE"""),"Jajan")</f>
        <v>Jajan</v>
      </c>
      <c r="F260" s="49">
        <f ca="1">IFERROR(__xludf.DUMMYFUNCTION("""COMPUTED_VALUE"""),14000)</f>
        <v>14000</v>
      </c>
      <c r="G260" s="50" t="str">
        <f ca="1">IFERROR(__xludf.DUMMYFUNCTION("""COMPUTED_VALUE"""),"Ibal")</f>
        <v>Ibal</v>
      </c>
      <c r="H260" s="51">
        <f t="shared" ca="1" si="0"/>
        <v>46204</v>
      </c>
      <c r="I260" s="52" t="e">
        <f ca="1">SUMIFS(OUT!$F$2:$F$11000,OUT!$H$2:$H$11000,H260,OUT!$D$2:$D$101007,"In")</f>
        <v>#VALUE!</v>
      </c>
      <c r="J260" s="52">
        <f ca="1">SUMIFS(OUT!$F$2:$F$11000,OUT!$H$2:$H$11000,H260,OUT!$D$2:$D$11000,"Out")</f>
        <v>9905717</v>
      </c>
      <c r="K260" s="52">
        <f ca="1">SUMIFS(OUT!$F$2:$F$11000,OUT!$H$2:$H$11000,H260,OUT!$D$2:$D$11000,"Out",OUT!$E$2:$E$11000,"Fix")</f>
        <v>3048680</v>
      </c>
      <c r="L260" s="52">
        <f ca="1">SUMIFS(OUT!$F$2:$F$11000,OUT!$H$2:$H$11000,H260,OUT!$D$2:$D$11000,"Out",OUT!$E$2:$E$11000,"Bathroom")</f>
        <v>50720</v>
      </c>
      <c r="M260" s="52">
        <f ca="1">SUMIFS(OUT!$F$2:$F$11000,OUT!$H$2:$H$11000,H260,OUT!$D$2:$D$11000,"Out",OUT!$E$2:$E$11000,"Alfa")</f>
        <v>294200</v>
      </c>
      <c r="N260" s="52" t="e">
        <f ca="1">SUMIFS(OUT!$F$2:$F$11000,OUT!$H$2:$H$101007,H260,OUT!$D$2:$D$11000,"Out",OUT!$E$2:$E$11000,"Jajan")</f>
        <v>#VALUE!</v>
      </c>
      <c r="O260" s="52">
        <f ca="1">SUMIFS(OUT!$F$2:$F$11000,OUT!$H$2:$H$11000,H260,OUT!$D$2:$D$11000,"Out",OUT!$E$2:$E$11000,"Kitchen")</f>
        <v>1360773</v>
      </c>
      <c r="P260" s="52">
        <f ca="1">SUMIFS(OUT!$F$2:$F$11000,OUT!$H$2:$H$11000,H260,OUT!$D$2:$D$11000,"Out",OUT!$E$2:$E$11000,"Loandry")</f>
        <v>11000</v>
      </c>
      <c r="Q260" s="52">
        <f ca="1">SUMIFS(OUT!$F$2:$F$11000,OUT!$H$2:$H$11000,H260,OUT!$D$2:$D$11000,"Out",OUT!$E$2:$E$11000,"Mio")</f>
        <v>338500</v>
      </c>
      <c r="R260" s="52">
        <f ca="1">SUMIFS(OUT!$F$2:$F$11000,OUT!$H$2:$H$11000,H260,OUT!$D$2:$D$11000,"Out",OUT!$E$2:$E$11000,"Sedekah")</f>
        <v>2500</v>
      </c>
      <c r="S260" s="52">
        <f ca="1">SUMIFS(OUT!$F$2:$F$11000,OUT!$H$2:$H$11000,H260,OUT!$D$2:$D$11000,"Out",OUT!$E$2:$E$11000,"Zela")</f>
        <v>387476</v>
      </c>
      <c r="T260" s="52">
        <f ca="1">SUMIFS(OUT!$F$2:$F$11000,OUT!$H$2:$H$11000,H260,OUT!$D$2:$D$11000,"Out",OUT!$E$2:$E$11000,"Iqbal")</f>
        <v>231000</v>
      </c>
    </row>
    <row r="261" spans="1:20" x14ac:dyDescent="0.2">
      <c r="A261" s="48">
        <f ca="1">IFERROR(__xludf.DUMMYFUNCTION("""COMPUTED_VALUE"""),46207)</f>
        <v>46207</v>
      </c>
      <c r="B261" s="4" t="str">
        <f ca="1">IFERROR(__xludf.DUMMYFUNCTION("""COMPUTED_VALUE"""),"Sempol")</f>
        <v>Sempol</v>
      </c>
      <c r="C261" s="4" t="str">
        <f ca="1">IFERROR(__xludf.DUMMYFUNCTION("""COMPUTED_VALUE"""),"ATM")</f>
        <v>ATM</v>
      </c>
      <c r="D261" s="4" t="str">
        <f ca="1">IFERROR(__xludf.DUMMYFUNCTION("""COMPUTED_VALUE"""),"Out")</f>
        <v>Out</v>
      </c>
      <c r="E261" s="4" t="str">
        <f ca="1">IFERROR(__xludf.DUMMYFUNCTION("""COMPUTED_VALUE"""),"Jajan")</f>
        <v>Jajan</v>
      </c>
      <c r="F261" s="49">
        <f ca="1">IFERROR(__xludf.DUMMYFUNCTION("""COMPUTED_VALUE"""),10000)</f>
        <v>10000</v>
      </c>
      <c r="G261" s="50" t="str">
        <f ca="1">IFERROR(__xludf.DUMMYFUNCTION("""COMPUTED_VALUE"""),"Ibal")</f>
        <v>Ibal</v>
      </c>
      <c r="H261" s="51">
        <f t="shared" ca="1" si="0"/>
        <v>46204</v>
      </c>
      <c r="I261" s="52" t="e">
        <f ca="1">SUMIFS(OUT!$F$2:$F$11000,OUT!$H$2:$H$11000,H261,OUT!$D$2:$D$101007,"In")</f>
        <v>#VALUE!</v>
      </c>
      <c r="J261" s="52">
        <f ca="1">SUMIFS(OUT!$F$2:$F$11000,OUT!$H$2:$H$11000,H261,OUT!$D$2:$D$11000,"Out")</f>
        <v>9905717</v>
      </c>
      <c r="K261" s="52">
        <f ca="1">SUMIFS(OUT!$F$2:$F$11000,OUT!$H$2:$H$11000,H261,OUT!$D$2:$D$11000,"Out",OUT!$E$2:$E$11000,"Fix")</f>
        <v>3048680</v>
      </c>
      <c r="L261" s="52">
        <f ca="1">SUMIFS(OUT!$F$2:$F$11000,OUT!$H$2:$H$11000,H261,OUT!$D$2:$D$11000,"Out",OUT!$E$2:$E$11000,"Bathroom")</f>
        <v>50720</v>
      </c>
      <c r="M261" s="52">
        <f ca="1">SUMIFS(OUT!$F$2:$F$11000,OUT!$H$2:$H$11000,H261,OUT!$D$2:$D$11000,"Out",OUT!$E$2:$E$11000,"Alfa")</f>
        <v>294200</v>
      </c>
      <c r="N261" s="52" t="e">
        <f ca="1">SUMIFS(OUT!$F$2:$F$11000,OUT!$H$2:$H$101007,H261,OUT!$D$2:$D$11000,"Out",OUT!$E$2:$E$11000,"Jajan")</f>
        <v>#VALUE!</v>
      </c>
      <c r="O261" s="52">
        <f ca="1">SUMIFS(OUT!$F$2:$F$11000,OUT!$H$2:$H$11000,H261,OUT!$D$2:$D$11000,"Out",OUT!$E$2:$E$11000,"Kitchen")</f>
        <v>1360773</v>
      </c>
      <c r="P261" s="52">
        <f ca="1">SUMIFS(OUT!$F$2:$F$11000,OUT!$H$2:$H$11000,H261,OUT!$D$2:$D$11000,"Out",OUT!$E$2:$E$11000,"Loandry")</f>
        <v>11000</v>
      </c>
      <c r="Q261" s="52">
        <f ca="1">SUMIFS(OUT!$F$2:$F$11000,OUT!$H$2:$H$11000,H261,OUT!$D$2:$D$11000,"Out",OUT!$E$2:$E$11000,"Mio")</f>
        <v>338500</v>
      </c>
      <c r="R261" s="52">
        <f ca="1">SUMIFS(OUT!$F$2:$F$11000,OUT!$H$2:$H$11000,H261,OUT!$D$2:$D$11000,"Out",OUT!$E$2:$E$11000,"Sedekah")</f>
        <v>2500</v>
      </c>
      <c r="S261" s="52">
        <f ca="1">SUMIFS(OUT!$F$2:$F$11000,OUT!$H$2:$H$11000,H261,OUT!$D$2:$D$11000,"Out",OUT!$E$2:$E$11000,"Zela")</f>
        <v>387476</v>
      </c>
      <c r="T261" s="52">
        <f ca="1">SUMIFS(OUT!$F$2:$F$11000,OUT!$H$2:$H$11000,H261,OUT!$D$2:$D$11000,"Out",OUT!$E$2:$E$11000,"Iqbal")</f>
        <v>231000</v>
      </c>
    </row>
    <row r="262" spans="1:20" x14ac:dyDescent="0.2">
      <c r="A262" s="48">
        <f ca="1">IFERROR(__xludf.DUMMYFUNCTION("""COMPUTED_VALUE"""),46207)</f>
        <v>46207</v>
      </c>
      <c r="B262" s="4" t="str">
        <f ca="1">IFERROR(__xludf.DUMMYFUNCTION("""COMPUTED_VALUE"""),"Roti Bakar (coklat kacang)")</f>
        <v>Roti Bakar (coklat kacang)</v>
      </c>
      <c r="C262" s="4" t="str">
        <f ca="1">IFERROR(__xludf.DUMMYFUNCTION("""COMPUTED_VALUE"""),"ATM")</f>
        <v>ATM</v>
      </c>
      <c r="D262" s="4" t="str">
        <f ca="1">IFERROR(__xludf.DUMMYFUNCTION("""COMPUTED_VALUE"""),"Out")</f>
        <v>Out</v>
      </c>
      <c r="E262" s="4" t="str">
        <f ca="1">IFERROR(__xludf.DUMMYFUNCTION("""COMPUTED_VALUE"""),"Jajan")</f>
        <v>Jajan</v>
      </c>
      <c r="F262" s="49">
        <f ca="1">IFERROR(__xludf.DUMMYFUNCTION("""COMPUTED_VALUE"""),17000)</f>
        <v>17000</v>
      </c>
      <c r="G262" s="50" t="str">
        <f ca="1">IFERROR(__xludf.DUMMYFUNCTION("""COMPUTED_VALUE"""),"Ibal")</f>
        <v>Ibal</v>
      </c>
      <c r="H262" s="51">
        <f t="shared" ca="1" si="0"/>
        <v>46204</v>
      </c>
      <c r="I262" s="52" t="e">
        <f ca="1">SUMIFS(OUT!$F$2:$F$11000,OUT!$H$2:$H$11000,H262,OUT!$D$2:$D$101007,"In")</f>
        <v>#VALUE!</v>
      </c>
      <c r="J262" s="52">
        <f ca="1">SUMIFS(OUT!$F$2:$F$11000,OUT!$H$2:$H$11000,H262,OUT!$D$2:$D$11000,"Out")</f>
        <v>9905717</v>
      </c>
      <c r="K262" s="52">
        <f ca="1">SUMIFS(OUT!$F$2:$F$11000,OUT!$H$2:$H$11000,H262,OUT!$D$2:$D$11000,"Out",OUT!$E$2:$E$11000,"Fix")</f>
        <v>3048680</v>
      </c>
      <c r="L262" s="52">
        <f ca="1">SUMIFS(OUT!$F$2:$F$11000,OUT!$H$2:$H$11000,H262,OUT!$D$2:$D$11000,"Out",OUT!$E$2:$E$11000,"Bathroom")</f>
        <v>50720</v>
      </c>
      <c r="M262" s="52">
        <f ca="1">SUMIFS(OUT!$F$2:$F$11000,OUT!$H$2:$H$11000,H262,OUT!$D$2:$D$11000,"Out",OUT!$E$2:$E$11000,"Alfa")</f>
        <v>294200</v>
      </c>
      <c r="N262" s="52" t="e">
        <f ca="1">SUMIFS(OUT!$F$2:$F$11000,OUT!$H$2:$H$101007,H262,OUT!$D$2:$D$11000,"Out",OUT!$E$2:$E$11000,"Jajan")</f>
        <v>#VALUE!</v>
      </c>
      <c r="O262" s="52">
        <f ca="1">SUMIFS(OUT!$F$2:$F$11000,OUT!$H$2:$H$11000,H262,OUT!$D$2:$D$11000,"Out",OUT!$E$2:$E$11000,"Kitchen")</f>
        <v>1360773</v>
      </c>
      <c r="P262" s="52">
        <f ca="1">SUMIFS(OUT!$F$2:$F$11000,OUT!$H$2:$H$11000,H262,OUT!$D$2:$D$11000,"Out",OUT!$E$2:$E$11000,"Loandry")</f>
        <v>11000</v>
      </c>
      <c r="Q262" s="52">
        <f ca="1">SUMIFS(OUT!$F$2:$F$11000,OUT!$H$2:$H$11000,H262,OUT!$D$2:$D$11000,"Out",OUT!$E$2:$E$11000,"Mio")</f>
        <v>338500</v>
      </c>
      <c r="R262" s="52">
        <f ca="1">SUMIFS(OUT!$F$2:$F$11000,OUT!$H$2:$H$11000,H262,OUT!$D$2:$D$11000,"Out",OUT!$E$2:$E$11000,"Sedekah")</f>
        <v>2500</v>
      </c>
      <c r="S262" s="52">
        <f ca="1">SUMIFS(OUT!$F$2:$F$11000,OUT!$H$2:$H$11000,H262,OUT!$D$2:$D$11000,"Out",OUT!$E$2:$E$11000,"Zela")</f>
        <v>387476</v>
      </c>
      <c r="T262" s="52">
        <f ca="1">SUMIFS(OUT!$F$2:$F$11000,OUT!$H$2:$H$11000,H262,OUT!$D$2:$D$11000,"Out",OUT!$E$2:$E$11000,"Iqbal")</f>
        <v>231000</v>
      </c>
    </row>
    <row r="263" spans="1:20" x14ac:dyDescent="0.2">
      <c r="A263" s="48">
        <f ca="1">IFERROR(__xludf.DUMMYFUNCTION("""COMPUTED_VALUE"""),46207)</f>
        <v>46207</v>
      </c>
      <c r="B263" s="4" t="str">
        <f ca="1">IFERROR(__xludf.DUMMYFUNCTION("""COMPUTED_VALUE"""),"Aqua botol (3)")</f>
        <v>Aqua botol (3)</v>
      </c>
      <c r="C263" s="4" t="str">
        <f ca="1">IFERROR(__xludf.DUMMYFUNCTION("""COMPUTED_VALUE"""),"ATM")</f>
        <v>ATM</v>
      </c>
      <c r="D263" s="4" t="str">
        <f ca="1">IFERROR(__xludf.DUMMYFUNCTION("""COMPUTED_VALUE"""),"Out")</f>
        <v>Out</v>
      </c>
      <c r="E263" s="4" t="str">
        <f ca="1">IFERROR(__xludf.DUMMYFUNCTION("""COMPUTED_VALUE"""),"Jajan")</f>
        <v>Jajan</v>
      </c>
      <c r="F263" s="49">
        <f ca="1">IFERROR(__xludf.DUMMYFUNCTION("""COMPUTED_VALUE"""),12000)</f>
        <v>12000</v>
      </c>
      <c r="G263" s="50" t="str">
        <f ca="1">IFERROR(__xludf.DUMMYFUNCTION("""COMPUTED_VALUE"""),"Ibal")</f>
        <v>Ibal</v>
      </c>
      <c r="H263" s="51">
        <f t="shared" ca="1" si="0"/>
        <v>46204</v>
      </c>
      <c r="I263" s="52" t="e">
        <f ca="1">SUMIFS(OUT!$F$2:$F$11000,OUT!$H$2:$H$11000,H263,OUT!$D$2:$D$101007,"In")</f>
        <v>#VALUE!</v>
      </c>
      <c r="J263" s="52">
        <f ca="1">SUMIFS(OUT!$F$2:$F$11000,OUT!$H$2:$H$11000,H263,OUT!$D$2:$D$11000,"Out")</f>
        <v>9905717</v>
      </c>
      <c r="K263" s="52">
        <f ca="1">SUMIFS(OUT!$F$2:$F$11000,OUT!$H$2:$H$11000,H263,OUT!$D$2:$D$11000,"Out",OUT!$E$2:$E$11000,"Fix")</f>
        <v>3048680</v>
      </c>
      <c r="L263" s="52">
        <f ca="1">SUMIFS(OUT!$F$2:$F$11000,OUT!$H$2:$H$11000,H263,OUT!$D$2:$D$11000,"Out",OUT!$E$2:$E$11000,"Bathroom")</f>
        <v>50720</v>
      </c>
      <c r="M263" s="52">
        <f ca="1">SUMIFS(OUT!$F$2:$F$11000,OUT!$H$2:$H$11000,H263,OUT!$D$2:$D$11000,"Out",OUT!$E$2:$E$11000,"Alfa")</f>
        <v>294200</v>
      </c>
      <c r="N263" s="52" t="e">
        <f ca="1">SUMIFS(OUT!$F$2:$F$11000,OUT!$H$2:$H$101007,H263,OUT!$D$2:$D$11000,"Out",OUT!$E$2:$E$11000,"Jajan")</f>
        <v>#VALUE!</v>
      </c>
      <c r="O263" s="52">
        <f ca="1">SUMIFS(OUT!$F$2:$F$11000,OUT!$H$2:$H$11000,H263,OUT!$D$2:$D$11000,"Out",OUT!$E$2:$E$11000,"Kitchen")</f>
        <v>1360773</v>
      </c>
      <c r="P263" s="52">
        <f ca="1">SUMIFS(OUT!$F$2:$F$11000,OUT!$H$2:$H$11000,H263,OUT!$D$2:$D$11000,"Out",OUT!$E$2:$E$11000,"Loandry")</f>
        <v>11000</v>
      </c>
      <c r="Q263" s="52">
        <f ca="1">SUMIFS(OUT!$F$2:$F$11000,OUT!$H$2:$H$11000,H263,OUT!$D$2:$D$11000,"Out",OUT!$E$2:$E$11000,"Mio")</f>
        <v>338500</v>
      </c>
      <c r="R263" s="52">
        <f ca="1">SUMIFS(OUT!$F$2:$F$11000,OUT!$H$2:$H$11000,H263,OUT!$D$2:$D$11000,"Out",OUT!$E$2:$E$11000,"Sedekah")</f>
        <v>2500</v>
      </c>
      <c r="S263" s="52">
        <f ca="1">SUMIFS(OUT!$F$2:$F$11000,OUT!$H$2:$H$11000,H263,OUT!$D$2:$D$11000,"Out",OUT!$E$2:$E$11000,"Zela")</f>
        <v>387476</v>
      </c>
      <c r="T263" s="52">
        <f ca="1">SUMIFS(OUT!$F$2:$F$11000,OUT!$H$2:$H$11000,H263,OUT!$D$2:$D$11000,"Out",OUT!$E$2:$E$11000,"Iqbal")</f>
        <v>231000</v>
      </c>
    </row>
    <row r="264" spans="1:20" x14ac:dyDescent="0.2">
      <c r="A264" s="48">
        <f ca="1">IFERROR(__xludf.DUMMYFUNCTION("""COMPUTED_VALUE"""),46207)</f>
        <v>46207</v>
      </c>
      <c r="B264" s="4" t="str">
        <f ca="1">IFERROR(__xludf.DUMMYFUNCTION("""COMPUTED_VALUE"""),"Teh tlor (biasa, tapai, pinang)")</f>
        <v>Teh tlor (biasa, tapai, pinang)</v>
      </c>
      <c r="C264" s="4" t="str">
        <f ca="1">IFERROR(__xludf.DUMMYFUNCTION("""COMPUTED_VALUE"""),"ATM")</f>
        <v>ATM</v>
      </c>
      <c r="D264" s="4" t="str">
        <f ca="1">IFERROR(__xludf.DUMMYFUNCTION("""COMPUTED_VALUE"""),"Out")</f>
        <v>Out</v>
      </c>
      <c r="E264" s="4" t="str">
        <f ca="1">IFERROR(__xludf.DUMMYFUNCTION("""COMPUTED_VALUE"""),"Iqbal")</f>
        <v>Iqbal</v>
      </c>
      <c r="F264" s="49">
        <f ca="1">IFERROR(__xludf.DUMMYFUNCTION("""COMPUTED_VALUE"""),40000)</f>
        <v>40000</v>
      </c>
      <c r="G264" s="50" t="str">
        <f ca="1">IFERROR(__xludf.DUMMYFUNCTION("""COMPUTED_VALUE"""),"Ibal")</f>
        <v>Ibal</v>
      </c>
      <c r="H264" s="51">
        <f t="shared" ca="1" si="0"/>
        <v>46204</v>
      </c>
      <c r="I264" s="52" t="e">
        <f ca="1">SUMIFS(OUT!$F$2:$F$11000,OUT!$H$2:$H$11000,H264,OUT!$D$2:$D$101007,"In")</f>
        <v>#VALUE!</v>
      </c>
      <c r="J264" s="52">
        <f ca="1">SUMIFS(OUT!$F$2:$F$11000,OUT!$H$2:$H$11000,H264,OUT!$D$2:$D$11000,"Out")</f>
        <v>9905717</v>
      </c>
      <c r="K264" s="52">
        <f ca="1">SUMIFS(OUT!$F$2:$F$11000,OUT!$H$2:$H$11000,H264,OUT!$D$2:$D$11000,"Out",OUT!$E$2:$E$11000,"Fix")</f>
        <v>3048680</v>
      </c>
      <c r="L264" s="52">
        <f ca="1">SUMIFS(OUT!$F$2:$F$11000,OUT!$H$2:$H$11000,H264,OUT!$D$2:$D$11000,"Out",OUT!$E$2:$E$11000,"Bathroom")</f>
        <v>50720</v>
      </c>
      <c r="M264" s="52">
        <f ca="1">SUMIFS(OUT!$F$2:$F$11000,OUT!$H$2:$H$11000,H264,OUT!$D$2:$D$11000,"Out",OUT!$E$2:$E$11000,"Alfa")</f>
        <v>294200</v>
      </c>
      <c r="N264" s="52" t="e">
        <f ca="1">SUMIFS(OUT!$F$2:$F$11000,OUT!$H$2:$H$101007,H264,OUT!$D$2:$D$11000,"Out",OUT!$E$2:$E$11000,"Jajan")</f>
        <v>#VALUE!</v>
      </c>
      <c r="O264" s="52">
        <f ca="1">SUMIFS(OUT!$F$2:$F$11000,OUT!$H$2:$H$11000,H264,OUT!$D$2:$D$11000,"Out",OUT!$E$2:$E$11000,"Kitchen")</f>
        <v>1360773</v>
      </c>
      <c r="P264" s="52">
        <f ca="1">SUMIFS(OUT!$F$2:$F$11000,OUT!$H$2:$H$11000,H264,OUT!$D$2:$D$11000,"Out",OUT!$E$2:$E$11000,"Loandry")</f>
        <v>11000</v>
      </c>
      <c r="Q264" s="52">
        <f ca="1">SUMIFS(OUT!$F$2:$F$11000,OUT!$H$2:$H$11000,H264,OUT!$D$2:$D$11000,"Out",OUT!$E$2:$E$11000,"Mio")</f>
        <v>338500</v>
      </c>
      <c r="R264" s="52">
        <f ca="1">SUMIFS(OUT!$F$2:$F$11000,OUT!$H$2:$H$11000,H264,OUT!$D$2:$D$11000,"Out",OUT!$E$2:$E$11000,"Sedekah")</f>
        <v>2500</v>
      </c>
      <c r="S264" s="52">
        <f ca="1">SUMIFS(OUT!$F$2:$F$11000,OUT!$H$2:$H$11000,H264,OUT!$D$2:$D$11000,"Out",OUT!$E$2:$E$11000,"Zela")</f>
        <v>387476</v>
      </c>
      <c r="T264" s="52">
        <f ca="1">SUMIFS(OUT!$F$2:$F$11000,OUT!$H$2:$H$11000,H264,OUT!$D$2:$D$11000,"Out",OUT!$E$2:$E$11000,"Iqbal")</f>
        <v>231000</v>
      </c>
    </row>
    <row r="265" spans="1:20" x14ac:dyDescent="0.2">
      <c r="A265" s="48">
        <f ca="1">IFERROR(__xludf.DUMMYFUNCTION("""COMPUTED_VALUE"""),46208)</f>
        <v>46208</v>
      </c>
      <c r="B265" s="4" t="str">
        <f ca="1">IFERROR(__xludf.DUMMYFUNCTION("""COMPUTED_VALUE"""),"Iuran Athaya 3 (Juli 2026)")</f>
        <v>Iuran Athaya 3 (Juli 2026)</v>
      </c>
      <c r="C265" s="4" t="str">
        <f ca="1">IFERROR(__xludf.DUMMYFUNCTION("""COMPUTED_VALUE"""),"ATM")</f>
        <v>ATM</v>
      </c>
      <c r="D265" s="4" t="str">
        <f ca="1">IFERROR(__xludf.DUMMYFUNCTION("""COMPUTED_VALUE"""),"Out")</f>
        <v>Out</v>
      </c>
      <c r="E265" s="4" t="str">
        <f ca="1">IFERROR(__xludf.DUMMYFUNCTION("""COMPUTED_VALUE"""),"Fix")</f>
        <v>Fix</v>
      </c>
      <c r="F265" s="49">
        <f ca="1">IFERROR(__xludf.DUMMYFUNCTION("""COMPUTED_VALUE"""),75000)</f>
        <v>75000</v>
      </c>
      <c r="G265" s="50" t="str">
        <f ca="1">IFERROR(__xludf.DUMMYFUNCTION("""COMPUTED_VALUE"""),"Ibal")</f>
        <v>Ibal</v>
      </c>
      <c r="H265" s="51">
        <f t="shared" ca="1" si="0"/>
        <v>46204</v>
      </c>
      <c r="I265" s="52" t="e">
        <f ca="1">SUMIFS(OUT!$F$2:$F$11000,OUT!$H$2:$H$11000,H265,OUT!$D$2:$D$101007,"In")</f>
        <v>#VALUE!</v>
      </c>
      <c r="J265" s="52">
        <f ca="1">SUMIFS(OUT!$F$2:$F$11000,OUT!$H$2:$H$11000,H265,OUT!$D$2:$D$11000,"Out")</f>
        <v>9905717</v>
      </c>
      <c r="K265" s="52">
        <f ca="1">SUMIFS(OUT!$F$2:$F$11000,OUT!$H$2:$H$11000,H265,OUT!$D$2:$D$11000,"Out",OUT!$E$2:$E$11000,"Fix")</f>
        <v>3048680</v>
      </c>
      <c r="L265" s="52">
        <f ca="1">SUMIFS(OUT!$F$2:$F$11000,OUT!$H$2:$H$11000,H265,OUT!$D$2:$D$11000,"Out",OUT!$E$2:$E$11000,"Bathroom")</f>
        <v>50720</v>
      </c>
      <c r="M265" s="52">
        <f ca="1">SUMIFS(OUT!$F$2:$F$11000,OUT!$H$2:$H$11000,H265,OUT!$D$2:$D$11000,"Out",OUT!$E$2:$E$11000,"Alfa")</f>
        <v>294200</v>
      </c>
      <c r="N265" s="52" t="e">
        <f ca="1">SUMIFS(OUT!$F$2:$F$11000,OUT!$H$2:$H$101007,H265,OUT!$D$2:$D$11000,"Out",OUT!$E$2:$E$11000,"Jajan")</f>
        <v>#VALUE!</v>
      </c>
      <c r="O265" s="52">
        <f ca="1">SUMIFS(OUT!$F$2:$F$11000,OUT!$H$2:$H$11000,H265,OUT!$D$2:$D$11000,"Out",OUT!$E$2:$E$11000,"Kitchen")</f>
        <v>1360773</v>
      </c>
      <c r="P265" s="52">
        <f ca="1">SUMIFS(OUT!$F$2:$F$11000,OUT!$H$2:$H$11000,H265,OUT!$D$2:$D$11000,"Out",OUT!$E$2:$E$11000,"Loandry")</f>
        <v>11000</v>
      </c>
      <c r="Q265" s="52">
        <f ca="1">SUMIFS(OUT!$F$2:$F$11000,OUT!$H$2:$H$11000,H265,OUT!$D$2:$D$11000,"Out",OUT!$E$2:$E$11000,"Mio")</f>
        <v>338500</v>
      </c>
      <c r="R265" s="52">
        <f ca="1">SUMIFS(OUT!$F$2:$F$11000,OUT!$H$2:$H$11000,H265,OUT!$D$2:$D$11000,"Out",OUT!$E$2:$E$11000,"Sedekah")</f>
        <v>2500</v>
      </c>
      <c r="S265" s="52">
        <f ca="1">SUMIFS(OUT!$F$2:$F$11000,OUT!$H$2:$H$11000,H265,OUT!$D$2:$D$11000,"Out",OUT!$E$2:$E$11000,"Zela")</f>
        <v>387476</v>
      </c>
      <c r="T265" s="52">
        <f ca="1">SUMIFS(OUT!$F$2:$F$11000,OUT!$H$2:$H$11000,H265,OUT!$D$2:$D$11000,"Out",OUT!$E$2:$E$11000,"Iqbal")</f>
        <v>231000</v>
      </c>
    </row>
    <row r="266" spans="1:20" x14ac:dyDescent="0.2">
      <c r="A266" s="48">
        <f ca="1">IFERROR(__xludf.DUMMYFUNCTION("""COMPUTED_VALUE"""),46208)</f>
        <v>46208</v>
      </c>
      <c r="B266" s="4" t="str">
        <f ca="1">IFERROR(__xludf.DUMMYFUNCTION("""COMPUTED_VALUE"""),"Sewa Rumah (Juli 2026)")</f>
        <v>Sewa Rumah (Juli 2026)</v>
      </c>
      <c r="C266" s="4" t="str">
        <f ca="1">IFERROR(__xludf.DUMMYFUNCTION("""COMPUTED_VALUE"""),"ATM")</f>
        <v>ATM</v>
      </c>
      <c r="D266" s="4" t="str">
        <f ca="1">IFERROR(__xludf.DUMMYFUNCTION("""COMPUTED_VALUE"""),"Out")</f>
        <v>Out</v>
      </c>
      <c r="E266" s="4" t="str">
        <f ca="1">IFERROR(__xludf.DUMMYFUNCTION("""COMPUTED_VALUE"""),"Fix")</f>
        <v>Fix</v>
      </c>
      <c r="F266" s="49">
        <f ca="1">IFERROR(__xludf.DUMMYFUNCTION("""COMPUTED_VALUE"""),1000460)</f>
        <v>1000460</v>
      </c>
      <c r="G266" s="50" t="str">
        <f ca="1">IFERROR(__xludf.DUMMYFUNCTION("""COMPUTED_VALUE"""),"Ibal")</f>
        <v>Ibal</v>
      </c>
      <c r="H266" s="51">
        <f t="shared" ca="1" si="0"/>
        <v>46204</v>
      </c>
      <c r="I266" s="52" t="e">
        <f ca="1">SUMIFS(OUT!$F$2:$F$11000,OUT!$H$2:$H$11000,H266,OUT!$D$2:$D$101007,"In")</f>
        <v>#VALUE!</v>
      </c>
      <c r="J266" s="52">
        <f ca="1">SUMIFS(OUT!$F$2:$F$11000,OUT!$H$2:$H$11000,H266,OUT!$D$2:$D$11000,"Out")</f>
        <v>9905717</v>
      </c>
      <c r="K266" s="52">
        <f ca="1">SUMIFS(OUT!$F$2:$F$11000,OUT!$H$2:$H$11000,H266,OUT!$D$2:$D$11000,"Out",OUT!$E$2:$E$11000,"Fix")</f>
        <v>3048680</v>
      </c>
      <c r="L266" s="52">
        <f ca="1">SUMIFS(OUT!$F$2:$F$11000,OUT!$H$2:$H$11000,H266,OUT!$D$2:$D$11000,"Out",OUT!$E$2:$E$11000,"Bathroom")</f>
        <v>50720</v>
      </c>
      <c r="M266" s="52">
        <f ca="1">SUMIFS(OUT!$F$2:$F$11000,OUT!$H$2:$H$11000,H266,OUT!$D$2:$D$11000,"Out",OUT!$E$2:$E$11000,"Alfa")</f>
        <v>294200</v>
      </c>
      <c r="N266" s="52" t="e">
        <f ca="1">SUMIFS(OUT!$F$2:$F$11000,OUT!$H$2:$H$101007,H266,OUT!$D$2:$D$11000,"Out",OUT!$E$2:$E$11000,"Jajan")</f>
        <v>#VALUE!</v>
      </c>
      <c r="O266" s="52">
        <f ca="1">SUMIFS(OUT!$F$2:$F$11000,OUT!$H$2:$H$11000,H266,OUT!$D$2:$D$11000,"Out",OUT!$E$2:$E$11000,"Kitchen")</f>
        <v>1360773</v>
      </c>
      <c r="P266" s="52">
        <f ca="1">SUMIFS(OUT!$F$2:$F$11000,OUT!$H$2:$H$11000,H266,OUT!$D$2:$D$11000,"Out",OUT!$E$2:$E$11000,"Loandry")</f>
        <v>11000</v>
      </c>
      <c r="Q266" s="52">
        <f ca="1">SUMIFS(OUT!$F$2:$F$11000,OUT!$H$2:$H$11000,H266,OUT!$D$2:$D$11000,"Out",OUT!$E$2:$E$11000,"Mio")</f>
        <v>338500</v>
      </c>
      <c r="R266" s="52">
        <f ca="1">SUMIFS(OUT!$F$2:$F$11000,OUT!$H$2:$H$11000,H266,OUT!$D$2:$D$11000,"Out",OUT!$E$2:$E$11000,"Sedekah")</f>
        <v>2500</v>
      </c>
      <c r="S266" s="52">
        <f ca="1">SUMIFS(OUT!$F$2:$F$11000,OUT!$H$2:$H$11000,H266,OUT!$D$2:$D$11000,"Out",OUT!$E$2:$E$11000,"Zela")</f>
        <v>387476</v>
      </c>
      <c r="T266" s="52">
        <f ca="1">SUMIFS(OUT!$F$2:$F$11000,OUT!$H$2:$H$11000,H266,OUT!$D$2:$D$11000,"Out",OUT!$E$2:$E$11000,"Iqbal")</f>
        <v>231000</v>
      </c>
    </row>
    <row r="267" spans="1:20" x14ac:dyDescent="0.2">
      <c r="A267" s="48">
        <f ca="1">IFERROR(__xludf.DUMMYFUNCTION("""COMPUTED_VALUE"""),46208)</f>
        <v>46208</v>
      </c>
      <c r="B267" s="4" t="str">
        <f ca="1">IFERROR(__xludf.DUMMYFUNCTION("""COMPUTED_VALUE"""),"Istriku")</f>
        <v>Istriku</v>
      </c>
      <c r="C267" s="4" t="str">
        <f ca="1">IFERROR(__xludf.DUMMYFUNCTION("""COMPUTED_VALUE"""),"ATM")</f>
        <v>ATM</v>
      </c>
      <c r="D267" s="4" t="str">
        <f ca="1">IFERROR(__xludf.DUMMYFUNCTION("""COMPUTED_VALUE"""),"Out")</f>
        <v>Out</v>
      </c>
      <c r="E267" s="4" t="str">
        <f ca="1">IFERROR(__xludf.DUMMYFUNCTION("""COMPUTED_VALUE"""),"Move")</f>
        <v>Move</v>
      </c>
      <c r="F267" s="49">
        <f ca="1">IFERROR(__xludf.DUMMYFUNCTION("""COMPUTED_VALUE"""),35000)</f>
        <v>35000</v>
      </c>
      <c r="G267" s="50" t="str">
        <f ca="1">IFERROR(__xludf.DUMMYFUNCTION("""COMPUTED_VALUE"""),"Ibal")</f>
        <v>Ibal</v>
      </c>
      <c r="H267" s="51">
        <f t="shared" ca="1" si="0"/>
        <v>46204</v>
      </c>
      <c r="I267" s="52" t="e">
        <f ca="1">SUMIFS(OUT!$F$2:$F$11000,OUT!$H$2:$H$11000,H267,OUT!$D$2:$D$101007,"In")</f>
        <v>#VALUE!</v>
      </c>
      <c r="J267" s="52">
        <f ca="1">SUMIFS(OUT!$F$2:$F$11000,OUT!$H$2:$H$11000,H267,OUT!$D$2:$D$11000,"Out")</f>
        <v>9905717</v>
      </c>
      <c r="K267" s="52">
        <f ca="1">SUMIFS(OUT!$F$2:$F$11000,OUT!$H$2:$H$11000,H267,OUT!$D$2:$D$11000,"Out",OUT!$E$2:$E$11000,"Fix")</f>
        <v>3048680</v>
      </c>
      <c r="L267" s="52">
        <f ca="1">SUMIFS(OUT!$F$2:$F$11000,OUT!$H$2:$H$11000,H267,OUT!$D$2:$D$11000,"Out",OUT!$E$2:$E$11000,"Bathroom")</f>
        <v>50720</v>
      </c>
      <c r="M267" s="52">
        <f ca="1">SUMIFS(OUT!$F$2:$F$11000,OUT!$H$2:$H$11000,H267,OUT!$D$2:$D$11000,"Out",OUT!$E$2:$E$11000,"Alfa")</f>
        <v>294200</v>
      </c>
      <c r="N267" s="52" t="e">
        <f ca="1">SUMIFS(OUT!$F$2:$F$11000,OUT!$H$2:$H$101007,H267,OUT!$D$2:$D$11000,"Out",OUT!$E$2:$E$11000,"Jajan")</f>
        <v>#VALUE!</v>
      </c>
      <c r="O267" s="52">
        <f ca="1">SUMIFS(OUT!$F$2:$F$11000,OUT!$H$2:$H$11000,H267,OUT!$D$2:$D$11000,"Out",OUT!$E$2:$E$11000,"Kitchen")</f>
        <v>1360773</v>
      </c>
      <c r="P267" s="52">
        <f ca="1">SUMIFS(OUT!$F$2:$F$11000,OUT!$H$2:$H$11000,H267,OUT!$D$2:$D$11000,"Out",OUT!$E$2:$E$11000,"Loandry")</f>
        <v>11000</v>
      </c>
      <c r="Q267" s="52">
        <f ca="1">SUMIFS(OUT!$F$2:$F$11000,OUT!$H$2:$H$11000,H267,OUT!$D$2:$D$11000,"Out",OUT!$E$2:$E$11000,"Mio")</f>
        <v>338500</v>
      </c>
      <c r="R267" s="52">
        <f ca="1">SUMIFS(OUT!$F$2:$F$11000,OUT!$H$2:$H$11000,H267,OUT!$D$2:$D$11000,"Out",OUT!$E$2:$E$11000,"Sedekah")</f>
        <v>2500</v>
      </c>
      <c r="S267" s="52">
        <f ca="1">SUMIFS(OUT!$F$2:$F$11000,OUT!$H$2:$H$11000,H267,OUT!$D$2:$D$11000,"Out",OUT!$E$2:$E$11000,"Zela")</f>
        <v>387476</v>
      </c>
      <c r="T267" s="52">
        <f ca="1">SUMIFS(OUT!$F$2:$F$11000,OUT!$H$2:$H$11000,H267,OUT!$D$2:$D$11000,"Out",OUT!$E$2:$E$11000,"Iqbal")</f>
        <v>231000</v>
      </c>
    </row>
    <row r="268" spans="1:20" x14ac:dyDescent="0.2">
      <c r="A268" s="48">
        <f ca="1">IFERROR(__xludf.DUMMYFUNCTION("""COMPUTED_VALUE"""),46208)</f>
        <v>46208</v>
      </c>
      <c r="B268" s="4" t="str">
        <f ca="1">IFERROR(__xludf.DUMMYFUNCTION("""COMPUTED_VALUE"""),"Pisang goreng + es jeruk")</f>
        <v>Pisang goreng + es jeruk</v>
      </c>
      <c r="C268" s="4" t="str">
        <f ca="1">IFERROR(__xludf.DUMMYFUNCTION("""COMPUTED_VALUE"""),"ATM")</f>
        <v>ATM</v>
      </c>
      <c r="D268" s="4" t="str">
        <f ca="1">IFERROR(__xludf.DUMMYFUNCTION("""COMPUTED_VALUE"""),"Out")</f>
        <v>Out</v>
      </c>
      <c r="E268" s="4" t="str">
        <f ca="1">IFERROR(__xludf.DUMMYFUNCTION("""COMPUTED_VALUE"""),"Iqbal")</f>
        <v>Iqbal</v>
      </c>
      <c r="F268" s="49">
        <f ca="1">IFERROR(__xludf.DUMMYFUNCTION("""COMPUTED_VALUE"""),20000)</f>
        <v>20000</v>
      </c>
      <c r="G268" s="50" t="str">
        <f ca="1">IFERROR(__xludf.DUMMYFUNCTION("""COMPUTED_VALUE"""),"Ibal")</f>
        <v>Ibal</v>
      </c>
      <c r="H268" s="51">
        <f t="shared" ca="1" si="0"/>
        <v>46204</v>
      </c>
      <c r="I268" s="52" t="e">
        <f ca="1">SUMIFS(OUT!$F$2:$F$11000,OUT!$H$2:$H$11000,H268,OUT!$D$2:$D$101007,"In")</f>
        <v>#VALUE!</v>
      </c>
      <c r="J268" s="52">
        <f ca="1">SUMIFS(OUT!$F$2:$F$11000,OUT!$H$2:$H$11000,H268,OUT!$D$2:$D$11000,"Out")</f>
        <v>9905717</v>
      </c>
      <c r="K268" s="52">
        <f ca="1">SUMIFS(OUT!$F$2:$F$11000,OUT!$H$2:$H$11000,H268,OUT!$D$2:$D$11000,"Out",OUT!$E$2:$E$11000,"Fix")</f>
        <v>3048680</v>
      </c>
      <c r="L268" s="52">
        <f ca="1">SUMIFS(OUT!$F$2:$F$11000,OUT!$H$2:$H$11000,H268,OUT!$D$2:$D$11000,"Out",OUT!$E$2:$E$11000,"Bathroom")</f>
        <v>50720</v>
      </c>
      <c r="M268" s="52">
        <f ca="1">SUMIFS(OUT!$F$2:$F$11000,OUT!$H$2:$H$11000,H268,OUT!$D$2:$D$11000,"Out",OUT!$E$2:$E$11000,"Alfa")</f>
        <v>294200</v>
      </c>
      <c r="N268" s="52" t="e">
        <f ca="1">SUMIFS(OUT!$F$2:$F$11000,OUT!$H$2:$H$101007,H268,OUT!$D$2:$D$11000,"Out",OUT!$E$2:$E$11000,"Jajan")</f>
        <v>#VALUE!</v>
      </c>
      <c r="O268" s="52">
        <f ca="1">SUMIFS(OUT!$F$2:$F$11000,OUT!$H$2:$H$11000,H268,OUT!$D$2:$D$11000,"Out",OUT!$E$2:$E$11000,"Kitchen")</f>
        <v>1360773</v>
      </c>
      <c r="P268" s="52">
        <f ca="1">SUMIFS(OUT!$F$2:$F$11000,OUT!$H$2:$H$11000,H268,OUT!$D$2:$D$11000,"Out",OUT!$E$2:$E$11000,"Loandry")</f>
        <v>11000</v>
      </c>
      <c r="Q268" s="52">
        <f ca="1">SUMIFS(OUT!$F$2:$F$11000,OUT!$H$2:$H$11000,H268,OUT!$D$2:$D$11000,"Out",OUT!$E$2:$E$11000,"Mio")</f>
        <v>338500</v>
      </c>
      <c r="R268" s="52">
        <f ca="1">SUMIFS(OUT!$F$2:$F$11000,OUT!$H$2:$H$11000,H268,OUT!$D$2:$D$11000,"Out",OUT!$E$2:$E$11000,"Sedekah")</f>
        <v>2500</v>
      </c>
      <c r="S268" s="52">
        <f ca="1">SUMIFS(OUT!$F$2:$F$11000,OUT!$H$2:$H$11000,H268,OUT!$D$2:$D$11000,"Out",OUT!$E$2:$E$11000,"Zela")</f>
        <v>387476</v>
      </c>
      <c r="T268" s="52">
        <f ca="1">SUMIFS(OUT!$F$2:$F$11000,OUT!$H$2:$H$11000,H268,OUT!$D$2:$D$11000,"Out",OUT!$E$2:$E$11000,"Iqbal")</f>
        <v>231000</v>
      </c>
    </row>
    <row r="269" spans="1:20" x14ac:dyDescent="0.2">
      <c r="A269" s="48">
        <f ca="1">IFERROR(__xludf.DUMMYFUNCTION("""COMPUTED_VALUE"""),46209)</f>
        <v>46209</v>
      </c>
      <c r="B269" s="4" t="str">
        <f ca="1">IFERROR(__xludf.DUMMYFUNCTION("""COMPUTED_VALUE"""),"Tahu bakar")</f>
        <v>Tahu bakar</v>
      </c>
      <c r="C269" s="4" t="str">
        <f ca="1">IFERROR(__xludf.DUMMYFUNCTION("""COMPUTED_VALUE"""),"ATM")</f>
        <v>ATM</v>
      </c>
      <c r="D269" s="4" t="str">
        <f ca="1">IFERROR(__xludf.DUMMYFUNCTION("""COMPUTED_VALUE"""),"Out")</f>
        <v>Out</v>
      </c>
      <c r="E269" s="4" t="str">
        <f ca="1">IFERROR(__xludf.DUMMYFUNCTION("""COMPUTED_VALUE"""),"Iqbal")</f>
        <v>Iqbal</v>
      </c>
      <c r="F269" s="49">
        <f ca="1">IFERROR(__xludf.DUMMYFUNCTION("""COMPUTED_VALUE"""),15000)</f>
        <v>15000</v>
      </c>
      <c r="G269" s="50" t="str">
        <f ca="1">IFERROR(__xludf.DUMMYFUNCTION("""COMPUTED_VALUE"""),"Ibal")</f>
        <v>Ibal</v>
      </c>
      <c r="H269" s="51">
        <f t="shared" ca="1" si="0"/>
        <v>46204</v>
      </c>
      <c r="I269" s="52" t="e">
        <f ca="1">SUMIFS(OUT!$F$2:$F$11000,OUT!$H$2:$H$11000,H269,OUT!$D$2:$D$101007,"In")</f>
        <v>#VALUE!</v>
      </c>
      <c r="J269" s="52">
        <f ca="1">SUMIFS(OUT!$F$2:$F$11000,OUT!$H$2:$H$11000,H269,OUT!$D$2:$D$11000,"Out")</f>
        <v>9905717</v>
      </c>
      <c r="K269" s="52">
        <f ca="1">SUMIFS(OUT!$F$2:$F$11000,OUT!$H$2:$H$11000,H269,OUT!$D$2:$D$11000,"Out",OUT!$E$2:$E$11000,"Fix")</f>
        <v>3048680</v>
      </c>
      <c r="L269" s="52">
        <f ca="1">SUMIFS(OUT!$F$2:$F$11000,OUT!$H$2:$H$11000,H269,OUT!$D$2:$D$11000,"Out",OUT!$E$2:$E$11000,"Bathroom")</f>
        <v>50720</v>
      </c>
      <c r="M269" s="52">
        <f ca="1">SUMIFS(OUT!$F$2:$F$11000,OUT!$H$2:$H$11000,H269,OUT!$D$2:$D$11000,"Out",OUT!$E$2:$E$11000,"Alfa")</f>
        <v>294200</v>
      </c>
      <c r="N269" s="52" t="e">
        <f ca="1">SUMIFS(OUT!$F$2:$F$11000,OUT!$H$2:$H$101007,H269,OUT!$D$2:$D$11000,"Out",OUT!$E$2:$E$11000,"Jajan")</f>
        <v>#VALUE!</v>
      </c>
      <c r="O269" s="52">
        <f ca="1">SUMIFS(OUT!$F$2:$F$11000,OUT!$H$2:$H$11000,H269,OUT!$D$2:$D$11000,"Out",OUT!$E$2:$E$11000,"Kitchen")</f>
        <v>1360773</v>
      </c>
      <c r="P269" s="52">
        <f ca="1">SUMIFS(OUT!$F$2:$F$11000,OUT!$H$2:$H$11000,H269,OUT!$D$2:$D$11000,"Out",OUT!$E$2:$E$11000,"Loandry")</f>
        <v>11000</v>
      </c>
      <c r="Q269" s="52">
        <f ca="1">SUMIFS(OUT!$F$2:$F$11000,OUT!$H$2:$H$11000,H269,OUT!$D$2:$D$11000,"Out",OUT!$E$2:$E$11000,"Mio")</f>
        <v>338500</v>
      </c>
      <c r="R269" s="52">
        <f ca="1">SUMIFS(OUT!$F$2:$F$11000,OUT!$H$2:$H$11000,H269,OUT!$D$2:$D$11000,"Out",OUT!$E$2:$E$11000,"Sedekah")</f>
        <v>2500</v>
      </c>
      <c r="S269" s="52">
        <f ca="1">SUMIFS(OUT!$F$2:$F$11000,OUT!$H$2:$H$11000,H269,OUT!$D$2:$D$11000,"Out",OUT!$E$2:$E$11000,"Zela")</f>
        <v>387476</v>
      </c>
      <c r="T269" s="52">
        <f ca="1">SUMIFS(OUT!$F$2:$F$11000,OUT!$H$2:$H$11000,H269,OUT!$D$2:$D$11000,"Out",OUT!$E$2:$E$11000,"Iqbal")</f>
        <v>231000</v>
      </c>
    </row>
    <row r="270" spans="1:20" x14ac:dyDescent="0.2">
      <c r="A270" s="48">
        <f ca="1">IFERROR(__xludf.DUMMYFUNCTION("""COMPUTED_VALUE"""),46209)</f>
        <v>46209</v>
      </c>
      <c r="B270" s="4" t="str">
        <f ca="1">IFERROR(__xludf.DUMMYFUNCTION("""COMPUTED_VALUE"""),"Rokok (3)")</f>
        <v>Rokok (3)</v>
      </c>
      <c r="C270" s="4" t="str">
        <f ca="1">IFERROR(__xludf.DUMMYFUNCTION("""COMPUTED_VALUE"""),"ATM")</f>
        <v>ATM</v>
      </c>
      <c r="D270" s="4" t="str">
        <f ca="1">IFERROR(__xludf.DUMMYFUNCTION("""COMPUTED_VALUE"""),"Out")</f>
        <v>Out</v>
      </c>
      <c r="E270" s="4" t="str">
        <f ca="1">IFERROR(__xludf.DUMMYFUNCTION("""COMPUTED_VALUE"""),"Iqbal")</f>
        <v>Iqbal</v>
      </c>
      <c r="F270" s="49">
        <f ca="1">IFERROR(__xludf.DUMMYFUNCTION("""COMPUTED_VALUE"""),17000)</f>
        <v>17000</v>
      </c>
      <c r="G270" s="50" t="str">
        <f ca="1">IFERROR(__xludf.DUMMYFUNCTION("""COMPUTED_VALUE"""),"Ibal")</f>
        <v>Ibal</v>
      </c>
      <c r="H270" s="51">
        <f t="shared" ca="1" si="0"/>
        <v>46204</v>
      </c>
      <c r="I270" s="52" t="e">
        <f ca="1">SUMIFS(OUT!$F$2:$F$11000,OUT!$H$2:$H$11000,H270,OUT!$D$2:$D$101007,"In")</f>
        <v>#VALUE!</v>
      </c>
      <c r="J270" s="52">
        <f ca="1">SUMIFS(OUT!$F$2:$F$11000,OUT!$H$2:$H$11000,H270,OUT!$D$2:$D$11000,"Out")</f>
        <v>9905717</v>
      </c>
      <c r="K270" s="52">
        <f ca="1">SUMIFS(OUT!$F$2:$F$11000,OUT!$H$2:$H$11000,H270,OUT!$D$2:$D$11000,"Out",OUT!$E$2:$E$11000,"Fix")</f>
        <v>3048680</v>
      </c>
      <c r="L270" s="52">
        <f ca="1">SUMIFS(OUT!$F$2:$F$11000,OUT!$H$2:$H$11000,H270,OUT!$D$2:$D$11000,"Out",OUT!$E$2:$E$11000,"Bathroom")</f>
        <v>50720</v>
      </c>
      <c r="M270" s="52">
        <f ca="1">SUMIFS(OUT!$F$2:$F$11000,OUT!$H$2:$H$11000,H270,OUT!$D$2:$D$11000,"Out",OUT!$E$2:$E$11000,"Alfa")</f>
        <v>294200</v>
      </c>
      <c r="N270" s="52" t="e">
        <f ca="1">SUMIFS(OUT!$F$2:$F$11000,OUT!$H$2:$H$101007,H270,OUT!$D$2:$D$11000,"Out",OUT!$E$2:$E$11000,"Jajan")</f>
        <v>#VALUE!</v>
      </c>
      <c r="O270" s="52">
        <f ca="1">SUMIFS(OUT!$F$2:$F$11000,OUT!$H$2:$H$11000,H270,OUT!$D$2:$D$11000,"Out",OUT!$E$2:$E$11000,"Kitchen")</f>
        <v>1360773</v>
      </c>
      <c r="P270" s="52">
        <f ca="1">SUMIFS(OUT!$F$2:$F$11000,OUT!$H$2:$H$11000,H270,OUT!$D$2:$D$11000,"Out",OUT!$E$2:$E$11000,"Loandry")</f>
        <v>11000</v>
      </c>
      <c r="Q270" s="52">
        <f ca="1">SUMIFS(OUT!$F$2:$F$11000,OUT!$H$2:$H$11000,H270,OUT!$D$2:$D$11000,"Out",OUT!$E$2:$E$11000,"Mio")</f>
        <v>338500</v>
      </c>
      <c r="R270" s="52">
        <f ca="1">SUMIFS(OUT!$F$2:$F$11000,OUT!$H$2:$H$11000,H270,OUT!$D$2:$D$11000,"Out",OUT!$E$2:$E$11000,"Sedekah")</f>
        <v>2500</v>
      </c>
      <c r="S270" s="52">
        <f ca="1">SUMIFS(OUT!$F$2:$F$11000,OUT!$H$2:$H$11000,H270,OUT!$D$2:$D$11000,"Out",OUT!$E$2:$E$11000,"Zela")</f>
        <v>387476</v>
      </c>
      <c r="T270" s="52">
        <f ca="1">SUMIFS(OUT!$F$2:$F$11000,OUT!$H$2:$H$11000,H270,OUT!$D$2:$D$11000,"Out",OUT!$E$2:$E$11000,"Iqbal")</f>
        <v>231000</v>
      </c>
    </row>
    <row r="271" spans="1:20" x14ac:dyDescent="0.2">
      <c r="A271" s="48">
        <f ca="1">IFERROR(__xludf.DUMMYFUNCTION("""COMPUTED_VALUE"""),46209)</f>
        <v>46209</v>
      </c>
      <c r="B271" s="4" t="str">
        <f ca="1">IFERROR(__xludf.DUMMYFUNCTION("""COMPUTED_VALUE"""),"Stick keju")</f>
        <v>Stick keju</v>
      </c>
      <c r="C271" s="4" t="str">
        <f ca="1">IFERROR(__xludf.DUMMYFUNCTION("""COMPUTED_VALUE"""),"ATM")</f>
        <v>ATM</v>
      </c>
      <c r="D271" s="4" t="str">
        <f ca="1">IFERROR(__xludf.DUMMYFUNCTION("""COMPUTED_VALUE"""),"Out")</f>
        <v>Out</v>
      </c>
      <c r="E271" s="4" t="str">
        <f ca="1">IFERROR(__xludf.DUMMYFUNCTION("""COMPUTED_VALUE"""),"Alfa")</f>
        <v>Alfa</v>
      </c>
      <c r="F271" s="49">
        <f ca="1">IFERROR(__xludf.DUMMYFUNCTION("""COMPUTED_VALUE"""),3000)</f>
        <v>3000</v>
      </c>
      <c r="G271" s="50" t="str">
        <f ca="1">IFERROR(__xludf.DUMMYFUNCTION("""COMPUTED_VALUE"""),"Ibal")</f>
        <v>Ibal</v>
      </c>
      <c r="H271" s="51">
        <f t="shared" ca="1" si="0"/>
        <v>46204</v>
      </c>
      <c r="I271" s="52" t="e">
        <f ca="1">SUMIFS(OUT!$F$2:$F$11000,OUT!$H$2:$H$11000,H271,OUT!$D$2:$D$101007,"In")</f>
        <v>#VALUE!</v>
      </c>
      <c r="J271" s="52">
        <f ca="1">SUMIFS(OUT!$F$2:$F$11000,OUT!$H$2:$H$11000,H271,OUT!$D$2:$D$11000,"Out")</f>
        <v>9905717</v>
      </c>
      <c r="K271" s="52">
        <f ca="1">SUMIFS(OUT!$F$2:$F$11000,OUT!$H$2:$H$11000,H271,OUT!$D$2:$D$11000,"Out",OUT!$E$2:$E$11000,"Fix")</f>
        <v>3048680</v>
      </c>
      <c r="L271" s="52">
        <f ca="1">SUMIFS(OUT!$F$2:$F$11000,OUT!$H$2:$H$11000,H271,OUT!$D$2:$D$11000,"Out",OUT!$E$2:$E$11000,"Bathroom")</f>
        <v>50720</v>
      </c>
      <c r="M271" s="52">
        <f ca="1">SUMIFS(OUT!$F$2:$F$11000,OUT!$H$2:$H$11000,H271,OUT!$D$2:$D$11000,"Out",OUT!$E$2:$E$11000,"Alfa")</f>
        <v>294200</v>
      </c>
      <c r="N271" s="52" t="e">
        <f ca="1">SUMIFS(OUT!$F$2:$F$11000,OUT!$H$2:$H$101007,H271,OUT!$D$2:$D$11000,"Out",OUT!$E$2:$E$11000,"Jajan")</f>
        <v>#VALUE!</v>
      </c>
      <c r="O271" s="52">
        <f ca="1">SUMIFS(OUT!$F$2:$F$11000,OUT!$H$2:$H$11000,H271,OUT!$D$2:$D$11000,"Out",OUT!$E$2:$E$11000,"Kitchen")</f>
        <v>1360773</v>
      </c>
      <c r="P271" s="52">
        <f ca="1">SUMIFS(OUT!$F$2:$F$11000,OUT!$H$2:$H$11000,H271,OUT!$D$2:$D$11000,"Out",OUT!$E$2:$E$11000,"Loandry")</f>
        <v>11000</v>
      </c>
      <c r="Q271" s="52">
        <f ca="1">SUMIFS(OUT!$F$2:$F$11000,OUT!$H$2:$H$11000,H271,OUT!$D$2:$D$11000,"Out",OUT!$E$2:$E$11000,"Mio")</f>
        <v>338500</v>
      </c>
      <c r="R271" s="52">
        <f ca="1">SUMIFS(OUT!$F$2:$F$11000,OUT!$H$2:$H$11000,H271,OUT!$D$2:$D$11000,"Out",OUT!$E$2:$E$11000,"Sedekah")</f>
        <v>2500</v>
      </c>
      <c r="S271" s="52">
        <f ca="1">SUMIFS(OUT!$F$2:$F$11000,OUT!$H$2:$H$11000,H271,OUT!$D$2:$D$11000,"Out",OUT!$E$2:$E$11000,"Zela")</f>
        <v>387476</v>
      </c>
      <c r="T271" s="52">
        <f ca="1">SUMIFS(OUT!$F$2:$F$11000,OUT!$H$2:$H$11000,H271,OUT!$D$2:$D$11000,"Out",OUT!$E$2:$E$11000,"Iqbal")</f>
        <v>231000</v>
      </c>
    </row>
    <row r="272" spans="1:20" x14ac:dyDescent="0.2">
      <c r="A272" s="48">
        <f ca="1">IFERROR(__xludf.DUMMYFUNCTION("""COMPUTED_VALUE"""),46211)</f>
        <v>46211</v>
      </c>
      <c r="B272" s="4" t="str">
        <f ca="1">IFERROR(__xludf.DUMMYFUNCTION("""COMPUTED_VALUE"""),"paket byu 7gb")</f>
        <v>paket byu 7gb</v>
      </c>
      <c r="C272" s="4" t="str">
        <f ca="1">IFERROR(__xludf.DUMMYFUNCTION("""COMPUTED_VALUE"""),"ATM")</f>
        <v>ATM</v>
      </c>
      <c r="D272" s="4" t="str">
        <f ca="1">IFERROR(__xludf.DUMMYFUNCTION("""COMPUTED_VALUE"""),"Out")</f>
        <v>Out</v>
      </c>
      <c r="E272" s="4" t="str">
        <f ca="1">IFERROR(__xludf.DUMMYFUNCTION("""COMPUTED_VALUE"""),"Fix")</f>
        <v>Fix</v>
      </c>
      <c r="F272" s="49">
        <f ca="1">IFERROR(__xludf.DUMMYFUNCTION("""COMPUTED_VALUE"""),38000)</f>
        <v>38000</v>
      </c>
      <c r="G272" s="50" t="str">
        <f ca="1">IFERROR(__xludf.DUMMYFUNCTION("""COMPUTED_VALUE"""),"Ibal")</f>
        <v>Ibal</v>
      </c>
      <c r="H272" s="51">
        <f t="shared" ca="1" si="0"/>
        <v>46204</v>
      </c>
      <c r="I272" s="52" t="e">
        <f ca="1">SUMIFS(OUT!$F$2:$F$11000,OUT!$H$2:$H$11000,H272,OUT!$D$2:$D$101007,"In")</f>
        <v>#VALUE!</v>
      </c>
      <c r="J272" s="52">
        <f ca="1">SUMIFS(OUT!$F$2:$F$11000,OUT!$H$2:$H$11000,H272,OUT!$D$2:$D$11000,"Out")</f>
        <v>9905717</v>
      </c>
      <c r="K272" s="52">
        <f ca="1">SUMIFS(OUT!$F$2:$F$11000,OUT!$H$2:$H$11000,H272,OUT!$D$2:$D$11000,"Out",OUT!$E$2:$E$11000,"Fix")</f>
        <v>3048680</v>
      </c>
      <c r="L272" s="52">
        <f ca="1">SUMIFS(OUT!$F$2:$F$11000,OUT!$H$2:$H$11000,H272,OUT!$D$2:$D$11000,"Out",OUT!$E$2:$E$11000,"Bathroom")</f>
        <v>50720</v>
      </c>
      <c r="M272" s="52">
        <f ca="1">SUMIFS(OUT!$F$2:$F$11000,OUT!$H$2:$H$11000,H272,OUT!$D$2:$D$11000,"Out",OUT!$E$2:$E$11000,"Alfa")</f>
        <v>294200</v>
      </c>
      <c r="N272" s="52" t="e">
        <f ca="1">SUMIFS(OUT!$F$2:$F$11000,OUT!$H$2:$H$101007,H272,OUT!$D$2:$D$11000,"Out",OUT!$E$2:$E$11000,"Jajan")</f>
        <v>#VALUE!</v>
      </c>
      <c r="O272" s="52">
        <f ca="1">SUMIFS(OUT!$F$2:$F$11000,OUT!$H$2:$H$11000,H272,OUT!$D$2:$D$11000,"Out",OUT!$E$2:$E$11000,"Kitchen")</f>
        <v>1360773</v>
      </c>
      <c r="P272" s="52">
        <f ca="1">SUMIFS(OUT!$F$2:$F$11000,OUT!$H$2:$H$11000,H272,OUT!$D$2:$D$11000,"Out",OUT!$E$2:$E$11000,"Loandry")</f>
        <v>11000</v>
      </c>
      <c r="Q272" s="52">
        <f ca="1">SUMIFS(OUT!$F$2:$F$11000,OUT!$H$2:$H$11000,H272,OUT!$D$2:$D$11000,"Out",OUT!$E$2:$E$11000,"Mio")</f>
        <v>338500</v>
      </c>
      <c r="R272" s="52">
        <f ca="1">SUMIFS(OUT!$F$2:$F$11000,OUT!$H$2:$H$11000,H272,OUT!$D$2:$D$11000,"Out",OUT!$E$2:$E$11000,"Sedekah")</f>
        <v>2500</v>
      </c>
      <c r="S272" s="52">
        <f ca="1">SUMIFS(OUT!$F$2:$F$11000,OUT!$H$2:$H$11000,H272,OUT!$D$2:$D$11000,"Out",OUT!$E$2:$E$11000,"Zela")</f>
        <v>387476</v>
      </c>
      <c r="T272" s="52">
        <f ca="1">SUMIFS(OUT!$F$2:$F$11000,OUT!$H$2:$H$11000,H272,OUT!$D$2:$D$11000,"Out",OUT!$E$2:$E$11000,"Iqbal")</f>
        <v>231000</v>
      </c>
    </row>
    <row r="273" spans="1:20" x14ac:dyDescent="0.2">
      <c r="A273" s="48">
        <f ca="1">IFERROR(__xludf.DUMMYFUNCTION("""COMPUTED_VALUE"""),46212)</f>
        <v>46212</v>
      </c>
      <c r="B273" s="4" t="str">
        <f ca="1">IFERROR(__xludf.DUMMYFUNCTION("""COMPUTED_VALUE"""),"Rokok (4)")</f>
        <v>Rokok (4)</v>
      </c>
      <c r="C273" s="4" t="str">
        <f ca="1">IFERROR(__xludf.DUMMYFUNCTION("""COMPUTED_VALUE"""),"ATM")</f>
        <v>ATM</v>
      </c>
      <c r="D273" s="4" t="str">
        <f ca="1">IFERROR(__xludf.DUMMYFUNCTION("""COMPUTED_VALUE"""),"Out")</f>
        <v>Out</v>
      </c>
      <c r="E273" s="4" t="str">
        <f ca="1">IFERROR(__xludf.DUMMYFUNCTION("""COMPUTED_VALUE"""),"Iqbal")</f>
        <v>Iqbal</v>
      </c>
      <c r="F273" s="49">
        <f ca="1">IFERROR(__xludf.DUMMYFUNCTION("""COMPUTED_VALUE"""),16000)</f>
        <v>16000</v>
      </c>
      <c r="G273" s="50" t="str">
        <f ca="1">IFERROR(__xludf.DUMMYFUNCTION("""COMPUTED_VALUE"""),"Ibal")</f>
        <v>Ibal</v>
      </c>
      <c r="H273" s="51">
        <f t="shared" ca="1" si="0"/>
        <v>46204</v>
      </c>
      <c r="I273" s="52" t="e">
        <f ca="1">SUMIFS(OUT!$F$2:$F$11000,OUT!$H$2:$H$11000,H273,OUT!$D$2:$D$101007,"In")</f>
        <v>#VALUE!</v>
      </c>
      <c r="J273" s="52">
        <f ca="1">SUMIFS(OUT!$F$2:$F$11000,OUT!$H$2:$H$11000,H273,OUT!$D$2:$D$11000,"Out")</f>
        <v>9905717</v>
      </c>
      <c r="K273" s="52">
        <f ca="1">SUMIFS(OUT!$F$2:$F$11000,OUT!$H$2:$H$11000,H273,OUT!$D$2:$D$11000,"Out",OUT!$E$2:$E$11000,"Fix")</f>
        <v>3048680</v>
      </c>
      <c r="L273" s="52">
        <f ca="1">SUMIFS(OUT!$F$2:$F$11000,OUT!$H$2:$H$11000,H273,OUT!$D$2:$D$11000,"Out",OUT!$E$2:$E$11000,"Bathroom")</f>
        <v>50720</v>
      </c>
      <c r="M273" s="52">
        <f ca="1">SUMIFS(OUT!$F$2:$F$11000,OUT!$H$2:$H$11000,H273,OUT!$D$2:$D$11000,"Out",OUT!$E$2:$E$11000,"Alfa")</f>
        <v>294200</v>
      </c>
      <c r="N273" s="52" t="e">
        <f ca="1">SUMIFS(OUT!$F$2:$F$11000,OUT!$H$2:$H$101007,H273,OUT!$D$2:$D$11000,"Out",OUT!$E$2:$E$11000,"Jajan")</f>
        <v>#VALUE!</v>
      </c>
      <c r="O273" s="52">
        <f ca="1">SUMIFS(OUT!$F$2:$F$11000,OUT!$H$2:$H$11000,H273,OUT!$D$2:$D$11000,"Out",OUT!$E$2:$E$11000,"Kitchen")</f>
        <v>1360773</v>
      </c>
      <c r="P273" s="52">
        <f ca="1">SUMIFS(OUT!$F$2:$F$11000,OUT!$H$2:$H$11000,H273,OUT!$D$2:$D$11000,"Out",OUT!$E$2:$E$11000,"Loandry")</f>
        <v>11000</v>
      </c>
      <c r="Q273" s="52">
        <f ca="1">SUMIFS(OUT!$F$2:$F$11000,OUT!$H$2:$H$11000,H273,OUT!$D$2:$D$11000,"Out",OUT!$E$2:$E$11000,"Mio")</f>
        <v>338500</v>
      </c>
      <c r="R273" s="52">
        <f ca="1">SUMIFS(OUT!$F$2:$F$11000,OUT!$H$2:$H$11000,H273,OUT!$D$2:$D$11000,"Out",OUT!$E$2:$E$11000,"Sedekah")</f>
        <v>2500</v>
      </c>
      <c r="S273" s="52">
        <f ca="1">SUMIFS(OUT!$F$2:$F$11000,OUT!$H$2:$H$11000,H273,OUT!$D$2:$D$11000,"Out",OUT!$E$2:$E$11000,"Zela")</f>
        <v>387476</v>
      </c>
      <c r="T273" s="52">
        <f ca="1">SUMIFS(OUT!$F$2:$F$11000,OUT!$H$2:$H$11000,H273,OUT!$D$2:$D$11000,"Out",OUT!$E$2:$E$11000,"Iqbal")</f>
        <v>231000</v>
      </c>
    </row>
    <row r="274" spans="1:20" x14ac:dyDescent="0.2">
      <c r="A274" s="48">
        <f ca="1">IFERROR(__xludf.DUMMYFUNCTION("""COMPUTED_VALUE"""),46212)</f>
        <v>46212</v>
      </c>
      <c r="B274" s="4" t="str">
        <f ca="1">IFERROR(__xludf.DUMMYFUNCTION("""COMPUTED_VALUE"""),"Lebih nyatat")</f>
        <v>Lebih nyatat</v>
      </c>
      <c r="C274" s="4" t="str">
        <f ca="1">IFERROR(__xludf.DUMMYFUNCTION("""COMPUTED_VALUE"""),"ATM")</f>
        <v>ATM</v>
      </c>
      <c r="D274" s="4" t="str">
        <f ca="1">IFERROR(__xludf.DUMMYFUNCTION("""COMPUTED_VALUE"""),"In")</f>
        <v>In</v>
      </c>
      <c r="E274" s="4" t="str">
        <f ca="1">IFERROR(__xludf.DUMMYFUNCTION("""COMPUTED_VALUE"""),"Fix")</f>
        <v>Fix</v>
      </c>
      <c r="F274" s="49">
        <f ca="1">IFERROR(__xludf.DUMMYFUNCTION("""COMPUTED_VALUE"""),36001)</f>
        <v>36001</v>
      </c>
      <c r="G274" s="50" t="str">
        <f ca="1">IFERROR(__xludf.DUMMYFUNCTION("""COMPUTED_VALUE"""),"Ibal")</f>
        <v>Ibal</v>
      </c>
      <c r="H274" s="51">
        <f t="shared" ca="1" si="0"/>
        <v>46204</v>
      </c>
      <c r="I274" s="52" t="e">
        <f ca="1">SUMIFS(OUT!$F$2:$F$11000,OUT!$H$2:$H$11000,H274,OUT!$D$2:$D$101007,"In")</f>
        <v>#VALUE!</v>
      </c>
      <c r="J274" s="52">
        <f ca="1">SUMIFS(OUT!$F$2:$F$11000,OUT!$H$2:$H$11000,H274,OUT!$D$2:$D$11000,"Out")</f>
        <v>9905717</v>
      </c>
      <c r="K274" s="52">
        <f ca="1">SUMIFS(OUT!$F$2:$F$11000,OUT!$H$2:$H$11000,H274,OUT!$D$2:$D$11000,"Out",OUT!$E$2:$E$11000,"Fix")</f>
        <v>3048680</v>
      </c>
      <c r="L274" s="52">
        <f ca="1">SUMIFS(OUT!$F$2:$F$11000,OUT!$H$2:$H$11000,H274,OUT!$D$2:$D$11000,"Out",OUT!$E$2:$E$11000,"Bathroom")</f>
        <v>50720</v>
      </c>
      <c r="M274" s="52">
        <f ca="1">SUMIFS(OUT!$F$2:$F$11000,OUT!$H$2:$H$11000,H274,OUT!$D$2:$D$11000,"Out",OUT!$E$2:$E$11000,"Alfa")</f>
        <v>294200</v>
      </c>
      <c r="N274" s="52" t="e">
        <f ca="1">SUMIFS(OUT!$F$2:$F$11000,OUT!$H$2:$H$101007,H274,OUT!$D$2:$D$11000,"Out",OUT!$E$2:$E$11000,"Jajan")</f>
        <v>#VALUE!</v>
      </c>
      <c r="O274" s="52">
        <f ca="1">SUMIFS(OUT!$F$2:$F$11000,OUT!$H$2:$H$11000,H274,OUT!$D$2:$D$11000,"Out",OUT!$E$2:$E$11000,"Kitchen")</f>
        <v>1360773</v>
      </c>
      <c r="P274" s="52">
        <f ca="1">SUMIFS(OUT!$F$2:$F$11000,OUT!$H$2:$H$11000,H274,OUT!$D$2:$D$11000,"Out",OUT!$E$2:$E$11000,"Loandry")</f>
        <v>11000</v>
      </c>
      <c r="Q274" s="52">
        <f ca="1">SUMIFS(OUT!$F$2:$F$11000,OUT!$H$2:$H$11000,H274,OUT!$D$2:$D$11000,"Out",OUT!$E$2:$E$11000,"Mio")</f>
        <v>338500</v>
      </c>
      <c r="R274" s="52">
        <f ca="1">SUMIFS(OUT!$F$2:$F$11000,OUT!$H$2:$H$11000,H274,OUT!$D$2:$D$11000,"Out",OUT!$E$2:$E$11000,"Sedekah")</f>
        <v>2500</v>
      </c>
      <c r="S274" s="52">
        <f ca="1">SUMIFS(OUT!$F$2:$F$11000,OUT!$H$2:$H$11000,H274,OUT!$D$2:$D$11000,"Out",OUT!$E$2:$E$11000,"Zela")</f>
        <v>387476</v>
      </c>
      <c r="T274" s="52">
        <f ca="1">SUMIFS(OUT!$F$2:$F$11000,OUT!$H$2:$H$11000,H274,OUT!$D$2:$D$11000,"Out",OUT!$E$2:$E$11000,"Iqbal")</f>
        <v>231000</v>
      </c>
    </row>
    <row r="275" spans="1:20" x14ac:dyDescent="0.2">
      <c r="A275" s="48">
        <f ca="1">IFERROR(__xludf.DUMMYFUNCTION("""COMPUTED_VALUE"""),46214)</f>
        <v>46214</v>
      </c>
      <c r="B275" s="4" t="str">
        <f ca="1">IFERROR(__xludf.DUMMYFUNCTION("""COMPUTED_VALUE"""),"Pertalite")</f>
        <v>Pertalite</v>
      </c>
      <c r="C275" s="4" t="str">
        <f ca="1">IFERROR(__xludf.DUMMYFUNCTION("""COMPUTED_VALUE"""),"ATM")</f>
        <v>ATM</v>
      </c>
      <c r="D275" s="4" t="str">
        <f ca="1">IFERROR(__xludf.DUMMYFUNCTION("""COMPUTED_VALUE"""),"Out")</f>
        <v>Out</v>
      </c>
      <c r="E275" s="4" t="str">
        <f ca="1">IFERROR(__xludf.DUMMYFUNCTION("""COMPUTED_VALUE"""),"Mio")</f>
        <v>Mio</v>
      </c>
      <c r="F275" s="49">
        <f ca="1">IFERROR(__xludf.DUMMYFUNCTION("""COMPUTED_VALUE"""),30000)</f>
        <v>30000</v>
      </c>
      <c r="G275" s="50" t="str">
        <f ca="1">IFERROR(__xludf.DUMMYFUNCTION("""COMPUTED_VALUE"""),"Ibal")</f>
        <v>Ibal</v>
      </c>
      <c r="H275" s="51">
        <f t="shared" ca="1" si="0"/>
        <v>46204</v>
      </c>
      <c r="I275" s="52" t="e">
        <f ca="1">SUMIFS(OUT!$F$2:$F$11000,OUT!$H$2:$H$11000,H275,OUT!$D$2:$D$101007,"In")</f>
        <v>#VALUE!</v>
      </c>
      <c r="J275" s="52">
        <f ca="1">SUMIFS(OUT!$F$2:$F$11000,OUT!$H$2:$H$11000,H275,OUT!$D$2:$D$11000,"Out")</f>
        <v>9905717</v>
      </c>
      <c r="K275" s="52">
        <f ca="1">SUMIFS(OUT!$F$2:$F$11000,OUT!$H$2:$H$11000,H275,OUT!$D$2:$D$11000,"Out",OUT!$E$2:$E$11000,"Fix")</f>
        <v>3048680</v>
      </c>
      <c r="L275" s="52">
        <f ca="1">SUMIFS(OUT!$F$2:$F$11000,OUT!$H$2:$H$11000,H275,OUT!$D$2:$D$11000,"Out",OUT!$E$2:$E$11000,"Bathroom")</f>
        <v>50720</v>
      </c>
      <c r="M275" s="52">
        <f ca="1">SUMIFS(OUT!$F$2:$F$11000,OUT!$H$2:$H$11000,H275,OUT!$D$2:$D$11000,"Out",OUT!$E$2:$E$11000,"Alfa")</f>
        <v>294200</v>
      </c>
      <c r="N275" s="52" t="e">
        <f ca="1">SUMIFS(OUT!$F$2:$F$11000,OUT!$H$2:$H$101007,H275,OUT!$D$2:$D$11000,"Out",OUT!$E$2:$E$11000,"Jajan")</f>
        <v>#VALUE!</v>
      </c>
      <c r="O275" s="52">
        <f ca="1">SUMIFS(OUT!$F$2:$F$11000,OUT!$H$2:$H$11000,H275,OUT!$D$2:$D$11000,"Out",OUT!$E$2:$E$11000,"Kitchen")</f>
        <v>1360773</v>
      </c>
      <c r="P275" s="52">
        <f ca="1">SUMIFS(OUT!$F$2:$F$11000,OUT!$H$2:$H$11000,H275,OUT!$D$2:$D$11000,"Out",OUT!$E$2:$E$11000,"Loandry")</f>
        <v>11000</v>
      </c>
      <c r="Q275" s="52">
        <f ca="1">SUMIFS(OUT!$F$2:$F$11000,OUT!$H$2:$H$11000,H275,OUT!$D$2:$D$11000,"Out",OUT!$E$2:$E$11000,"Mio")</f>
        <v>338500</v>
      </c>
      <c r="R275" s="52">
        <f ca="1">SUMIFS(OUT!$F$2:$F$11000,OUT!$H$2:$H$11000,H275,OUT!$D$2:$D$11000,"Out",OUT!$E$2:$E$11000,"Sedekah")</f>
        <v>2500</v>
      </c>
      <c r="S275" s="52">
        <f ca="1">SUMIFS(OUT!$F$2:$F$11000,OUT!$H$2:$H$11000,H275,OUT!$D$2:$D$11000,"Out",OUT!$E$2:$E$11000,"Zela")</f>
        <v>387476</v>
      </c>
      <c r="T275" s="52">
        <f ca="1">SUMIFS(OUT!$F$2:$F$11000,OUT!$H$2:$H$11000,H275,OUT!$D$2:$D$11000,"Out",OUT!$E$2:$E$11000,"Iqbal")</f>
        <v>231000</v>
      </c>
    </row>
    <row r="276" spans="1:20" x14ac:dyDescent="0.2">
      <c r="A276" s="48">
        <f ca="1">IFERROR(__xludf.DUMMYFUNCTION("""COMPUTED_VALUE"""),46212)</f>
        <v>46212</v>
      </c>
      <c r="B276" s="4" t="str">
        <f ca="1">IFERROR(__xludf.DUMMYFUNCTION("""COMPUTED_VALUE"""),"yogurt")</f>
        <v>yogurt</v>
      </c>
      <c r="C276" s="4" t="str">
        <f ca="1">IFERROR(__xludf.DUMMYFUNCTION("""COMPUTED_VALUE"""),"ATM")</f>
        <v>ATM</v>
      </c>
      <c r="D276" s="4" t="str">
        <f ca="1">IFERROR(__xludf.DUMMYFUNCTION("""COMPUTED_VALUE"""),"Out")</f>
        <v>Out</v>
      </c>
      <c r="E276" s="4" t="str">
        <f ca="1">IFERROR(__xludf.DUMMYFUNCTION("""COMPUTED_VALUE"""),"Alfa")</f>
        <v>Alfa</v>
      </c>
      <c r="F276" s="49">
        <f ca="1">IFERROR(__xludf.DUMMYFUNCTION("""COMPUTED_VALUE"""),10200)</f>
        <v>10200</v>
      </c>
      <c r="G276" s="50" t="str">
        <f ca="1">IFERROR(__xludf.DUMMYFUNCTION("""COMPUTED_VALUE"""),"Ibal")</f>
        <v>Ibal</v>
      </c>
      <c r="H276" s="51">
        <f t="shared" ca="1" si="0"/>
        <v>46204</v>
      </c>
      <c r="I276" s="52" t="e">
        <f ca="1">SUMIFS(OUT!$F$2:$F$11000,OUT!$H$2:$H$11000,H276,OUT!$D$2:$D$101007,"In")</f>
        <v>#VALUE!</v>
      </c>
      <c r="J276" s="52">
        <f ca="1">SUMIFS(OUT!$F$2:$F$11000,OUT!$H$2:$H$11000,H276,OUT!$D$2:$D$11000,"Out")</f>
        <v>9905717</v>
      </c>
      <c r="K276" s="52">
        <f ca="1">SUMIFS(OUT!$F$2:$F$11000,OUT!$H$2:$H$11000,H276,OUT!$D$2:$D$11000,"Out",OUT!$E$2:$E$11000,"Fix")</f>
        <v>3048680</v>
      </c>
      <c r="L276" s="52">
        <f ca="1">SUMIFS(OUT!$F$2:$F$11000,OUT!$H$2:$H$11000,H276,OUT!$D$2:$D$11000,"Out",OUT!$E$2:$E$11000,"Bathroom")</f>
        <v>50720</v>
      </c>
      <c r="M276" s="52">
        <f ca="1">SUMIFS(OUT!$F$2:$F$11000,OUT!$H$2:$H$11000,H276,OUT!$D$2:$D$11000,"Out",OUT!$E$2:$E$11000,"Alfa")</f>
        <v>294200</v>
      </c>
      <c r="N276" s="52" t="e">
        <f ca="1">SUMIFS(OUT!$F$2:$F$11000,OUT!$H$2:$H$101007,H276,OUT!$D$2:$D$11000,"Out",OUT!$E$2:$E$11000,"Jajan")</f>
        <v>#VALUE!</v>
      </c>
      <c r="O276" s="52">
        <f ca="1">SUMIFS(OUT!$F$2:$F$11000,OUT!$H$2:$H$11000,H276,OUT!$D$2:$D$11000,"Out",OUT!$E$2:$E$11000,"Kitchen")</f>
        <v>1360773</v>
      </c>
      <c r="P276" s="52">
        <f ca="1">SUMIFS(OUT!$F$2:$F$11000,OUT!$H$2:$H$11000,H276,OUT!$D$2:$D$11000,"Out",OUT!$E$2:$E$11000,"Loandry")</f>
        <v>11000</v>
      </c>
      <c r="Q276" s="52">
        <f ca="1">SUMIFS(OUT!$F$2:$F$11000,OUT!$H$2:$H$11000,H276,OUT!$D$2:$D$11000,"Out",OUT!$E$2:$E$11000,"Mio")</f>
        <v>338500</v>
      </c>
      <c r="R276" s="52">
        <f ca="1">SUMIFS(OUT!$F$2:$F$11000,OUT!$H$2:$H$11000,H276,OUT!$D$2:$D$11000,"Out",OUT!$E$2:$E$11000,"Sedekah")</f>
        <v>2500</v>
      </c>
      <c r="S276" s="52">
        <f ca="1">SUMIFS(OUT!$F$2:$F$11000,OUT!$H$2:$H$11000,H276,OUT!$D$2:$D$11000,"Out",OUT!$E$2:$E$11000,"Zela")</f>
        <v>387476</v>
      </c>
      <c r="T276" s="52">
        <f ca="1">SUMIFS(OUT!$F$2:$F$11000,OUT!$H$2:$H$11000,H276,OUT!$D$2:$D$11000,"Out",OUT!$E$2:$E$11000,"Iqbal")</f>
        <v>231000</v>
      </c>
    </row>
    <row r="277" spans="1:20" x14ac:dyDescent="0.2">
      <c r="A277" s="48">
        <f ca="1">IFERROR(__xludf.DUMMYFUNCTION("""COMPUTED_VALUE"""),46214)</f>
        <v>46214</v>
      </c>
      <c r="B277" s="4" t="str">
        <f ca="1">IFERROR(__xludf.DUMMYFUNCTION("""COMPUTED_VALUE"""),"istriku")</f>
        <v>istriku</v>
      </c>
      <c r="C277" s="4" t="str">
        <f ca="1">IFERROR(__xludf.DUMMYFUNCTION("""COMPUTED_VALUE"""),"ATM")</f>
        <v>ATM</v>
      </c>
      <c r="D277" s="4" t="str">
        <f ca="1">IFERROR(__xludf.DUMMYFUNCTION("""COMPUTED_VALUE"""),"In")</f>
        <v>In</v>
      </c>
      <c r="E277" s="4" t="str">
        <f ca="1">IFERROR(__xludf.DUMMYFUNCTION("""COMPUTED_VALUE"""),"Move")</f>
        <v>Move</v>
      </c>
      <c r="F277" s="49">
        <f ca="1">IFERROR(__xludf.DUMMYFUNCTION("""COMPUTED_VALUE"""),100000)</f>
        <v>100000</v>
      </c>
      <c r="G277" s="50" t="str">
        <f ca="1">IFERROR(__xludf.DUMMYFUNCTION("""COMPUTED_VALUE"""),"Ibal")</f>
        <v>Ibal</v>
      </c>
      <c r="H277" s="51">
        <f t="shared" ca="1" si="0"/>
        <v>46204</v>
      </c>
      <c r="I277" s="52" t="e">
        <f ca="1">SUMIFS(OUT!$F$2:$F$11000,OUT!$H$2:$H$11000,H277,OUT!$D$2:$D$101007,"In")</f>
        <v>#VALUE!</v>
      </c>
      <c r="J277" s="52">
        <f ca="1">SUMIFS(OUT!$F$2:$F$11000,OUT!$H$2:$H$11000,H277,OUT!$D$2:$D$11000,"Out")</f>
        <v>9905717</v>
      </c>
      <c r="K277" s="52">
        <f ca="1">SUMIFS(OUT!$F$2:$F$11000,OUT!$H$2:$H$11000,H277,OUT!$D$2:$D$11000,"Out",OUT!$E$2:$E$11000,"Fix")</f>
        <v>3048680</v>
      </c>
      <c r="L277" s="52">
        <f ca="1">SUMIFS(OUT!$F$2:$F$11000,OUT!$H$2:$H$11000,H277,OUT!$D$2:$D$11000,"Out",OUT!$E$2:$E$11000,"Bathroom")</f>
        <v>50720</v>
      </c>
      <c r="M277" s="52">
        <f ca="1">SUMIFS(OUT!$F$2:$F$11000,OUT!$H$2:$H$11000,H277,OUT!$D$2:$D$11000,"Out",OUT!$E$2:$E$11000,"Alfa")</f>
        <v>294200</v>
      </c>
      <c r="N277" s="52" t="e">
        <f ca="1">SUMIFS(OUT!$F$2:$F$11000,OUT!$H$2:$H$101007,H277,OUT!$D$2:$D$11000,"Out",OUT!$E$2:$E$11000,"Jajan")</f>
        <v>#VALUE!</v>
      </c>
      <c r="O277" s="52">
        <f ca="1">SUMIFS(OUT!$F$2:$F$11000,OUT!$H$2:$H$11000,H277,OUT!$D$2:$D$11000,"Out",OUT!$E$2:$E$11000,"Kitchen")</f>
        <v>1360773</v>
      </c>
      <c r="P277" s="52">
        <f ca="1">SUMIFS(OUT!$F$2:$F$11000,OUT!$H$2:$H$11000,H277,OUT!$D$2:$D$11000,"Out",OUT!$E$2:$E$11000,"Loandry")</f>
        <v>11000</v>
      </c>
      <c r="Q277" s="52">
        <f ca="1">SUMIFS(OUT!$F$2:$F$11000,OUT!$H$2:$H$11000,H277,OUT!$D$2:$D$11000,"Out",OUT!$E$2:$E$11000,"Mio")</f>
        <v>338500</v>
      </c>
      <c r="R277" s="52">
        <f ca="1">SUMIFS(OUT!$F$2:$F$11000,OUT!$H$2:$H$11000,H277,OUT!$D$2:$D$11000,"Out",OUT!$E$2:$E$11000,"Sedekah")</f>
        <v>2500</v>
      </c>
      <c r="S277" s="52">
        <f ca="1">SUMIFS(OUT!$F$2:$F$11000,OUT!$H$2:$H$11000,H277,OUT!$D$2:$D$11000,"Out",OUT!$E$2:$E$11000,"Zela")</f>
        <v>387476</v>
      </c>
      <c r="T277" s="52">
        <f ca="1">SUMIFS(OUT!$F$2:$F$11000,OUT!$H$2:$H$11000,H277,OUT!$D$2:$D$11000,"Out",OUT!$E$2:$E$11000,"Iqbal")</f>
        <v>231000</v>
      </c>
    </row>
    <row r="278" spans="1:20" x14ac:dyDescent="0.2">
      <c r="A278" s="48">
        <f ca="1">IFERROR(__xludf.DUMMYFUNCTION("""COMPUTED_VALUE"""),46214)</f>
        <v>46214</v>
      </c>
      <c r="B278" s="4" t="str">
        <f ca="1">IFERROR(__xludf.DUMMYFUNCTION("""COMPUTED_VALUE"""),"token listrik (65.30 kwh)")</f>
        <v>token listrik (65.30 kwh)</v>
      </c>
      <c r="C278" s="4" t="str">
        <f ca="1">IFERROR(__xludf.DUMMYFUNCTION("""COMPUTED_VALUE"""),"ATM")</f>
        <v>ATM</v>
      </c>
      <c r="D278" s="4" t="str">
        <f ca="1">IFERROR(__xludf.DUMMYFUNCTION("""COMPUTED_VALUE"""),"Out")</f>
        <v>Out</v>
      </c>
      <c r="E278" s="4" t="str">
        <f ca="1">IFERROR(__xludf.DUMMYFUNCTION("""COMPUTED_VALUE"""),"Fix")</f>
        <v>Fix</v>
      </c>
      <c r="F278" s="49">
        <f ca="1">IFERROR(__xludf.DUMMYFUNCTION("""COMPUTED_VALUE"""),100740)</f>
        <v>100740</v>
      </c>
      <c r="G278" s="50" t="str">
        <f ca="1">IFERROR(__xludf.DUMMYFUNCTION("""COMPUTED_VALUE"""),"Ibal")</f>
        <v>Ibal</v>
      </c>
      <c r="H278" s="51">
        <f t="shared" ca="1" si="0"/>
        <v>46204</v>
      </c>
      <c r="I278" s="52" t="e">
        <f ca="1">SUMIFS(OUT!$F$2:$F$11000,OUT!$H$2:$H$11000,H278,OUT!$D$2:$D$101007,"In")</f>
        <v>#VALUE!</v>
      </c>
      <c r="J278" s="52">
        <f ca="1">SUMIFS(OUT!$F$2:$F$11000,OUT!$H$2:$H$11000,H278,OUT!$D$2:$D$11000,"Out")</f>
        <v>9905717</v>
      </c>
      <c r="K278" s="52">
        <f ca="1">SUMIFS(OUT!$F$2:$F$11000,OUT!$H$2:$H$11000,H278,OUT!$D$2:$D$11000,"Out",OUT!$E$2:$E$11000,"Fix")</f>
        <v>3048680</v>
      </c>
      <c r="L278" s="52">
        <f ca="1">SUMIFS(OUT!$F$2:$F$11000,OUT!$H$2:$H$11000,H278,OUT!$D$2:$D$11000,"Out",OUT!$E$2:$E$11000,"Bathroom")</f>
        <v>50720</v>
      </c>
      <c r="M278" s="52">
        <f ca="1">SUMIFS(OUT!$F$2:$F$11000,OUT!$H$2:$H$11000,H278,OUT!$D$2:$D$11000,"Out",OUT!$E$2:$E$11000,"Alfa")</f>
        <v>294200</v>
      </c>
      <c r="N278" s="52" t="e">
        <f ca="1">SUMIFS(OUT!$F$2:$F$11000,OUT!$H$2:$H$101007,H278,OUT!$D$2:$D$11000,"Out",OUT!$E$2:$E$11000,"Jajan")</f>
        <v>#VALUE!</v>
      </c>
      <c r="O278" s="52">
        <f ca="1">SUMIFS(OUT!$F$2:$F$11000,OUT!$H$2:$H$11000,H278,OUT!$D$2:$D$11000,"Out",OUT!$E$2:$E$11000,"Kitchen")</f>
        <v>1360773</v>
      </c>
      <c r="P278" s="52">
        <f ca="1">SUMIFS(OUT!$F$2:$F$11000,OUT!$H$2:$H$11000,H278,OUT!$D$2:$D$11000,"Out",OUT!$E$2:$E$11000,"Loandry")</f>
        <v>11000</v>
      </c>
      <c r="Q278" s="52">
        <f ca="1">SUMIFS(OUT!$F$2:$F$11000,OUT!$H$2:$H$11000,H278,OUT!$D$2:$D$11000,"Out",OUT!$E$2:$E$11000,"Mio")</f>
        <v>338500</v>
      </c>
      <c r="R278" s="52">
        <f ca="1">SUMIFS(OUT!$F$2:$F$11000,OUT!$H$2:$H$11000,H278,OUT!$D$2:$D$11000,"Out",OUT!$E$2:$E$11000,"Sedekah")</f>
        <v>2500</v>
      </c>
      <c r="S278" s="52">
        <f ca="1">SUMIFS(OUT!$F$2:$F$11000,OUT!$H$2:$H$11000,H278,OUT!$D$2:$D$11000,"Out",OUT!$E$2:$E$11000,"Zela")</f>
        <v>387476</v>
      </c>
      <c r="T278" s="52">
        <f ca="1">SUMIFS(OUT!$F$2:$F$11000,OUT!$H$2:$H$11000,H278,OUT!$D$2:$D$11000,"Out",OUT!$E$2:$E$11000,"Iqbal")</f>
        <v>231000</v>
      </c>
    </row>
    <row r="279" spans="1:20" x14ac:dyDescent="0.2">
      <c r="A279" s="48">
        <f ca="1">IFERROR(__xludf.DUMMYFUNCTION("""COMPUTED_VALUE"""),46214)</f>
        <v>46214</v>
      </c>
      <c r="B279" s="4" t="str">
        <f ca="1">IFERROR(__xludf.DUMMYFUNCTION("""COMPUTED_VALUE"""),"istriku")</f>
        <v>istriku</v>
      </c>
      <c r="C279" s="4" t="str">
        <f ca="1">IFERROR(__xludf.DUMMYFUNCTION("""COMPUTED_VALUE"""),"ATM")</f>
        <v>ATM</v>
      </c>
      <c r="D279" s="4" t="str">
        <f ca="1">IFERROR(__xludf.DUMMYFUNCTION("""COMPUTED_VALUE"""),"Out")</f>
        <v>Out</v>
      </c>
      <c r="E279" s="4" t="str">
        <f ca="1">IFERROR(__xludf.DUMMYFUNCTION("""COMPUTED_VALUE"""),"Move")</f>
        <v>Move</v>
      </c>
      <c r="F279" s="49">
        <f ca="1">IFERROR(__xludf.DUMMYFUNCTION("""COMPUTED_VALUE"""),15000)</f>
        <v>15000</v>
      </c>
      <c r="G279" s="50" t="str">
        <f ca="1">IFERROR(__xludf.DUMMYFUNCTION("""COMPUTED_VALUE"""),"Ibal")</f>
        <v>Ibal</v>
      </c>
      <c r="H279" s="51">
        <f t="shared" ca="1" si="0"/>
        <v>46204</v>
      </c>
      <c r="I279" s="52" t="e">
        <f ca="1">SUMIFS(OUT!$F$2:$F$11000,OUT!$H$2:$H$11000,H279,OUT!$D$2:$D$101007,"In")</f>
        <v>#VALUE!</v>
      </c>
      <c r="J279" s="52">
        <f ca="1">SUMIFS(OUT!$F$2:$F$11000,OUT!$H$2:$H$11000,H279,OUT!$D$2:$D$11000,"Out")</f>
        <v>9905717</v>
      </c>
      <c r="K279" s="52">
        <f ca="1">SUMIFS(OUT!$F$2:$F$11000,OUT!$H$2:$H$11000,H279,OUT!$D$2:$D$11000,"Out",OUT!$E$2:$E$11000,"Fix")</f>
        <v>3048680</v>
      </c>
      <c r="L279" s="52">
        <f ca="1">SUMIFS(OUT!$F$2:$F$11000,OUT!$H$2:$H$11000,H279,OUT!$D$2:$D$11000,"Out",OUT!$E$2:$E$11000,"Bathroom")</f>
        <v>50720</v>
      </c>
      <c r="M279" s="52">
        <f ca="1">SUMIFS(OUT!$F$2:$F$11000,OUT!$H$2:$H$11000,H279,OUT!$D$2:$D$11000,"Out",OUT!$E$2:$E$11000,"Alfa")</f>
        <v>294200</v>
      </c>
      <c r="N279" s="52" t="e">
        <f ca="1">SUMIFS(OUT!$F$2:$F$11000,OUT!$H$2:$H$101007,H279,OUT!$D$2:$D$11000,"Out",OUT!$E$2:$E$11000,"Jajan")</f>
        <v>#VALUE!</v>
      </c>
      <c r="O279" s="52">
        <f ca="1">SUMIFS(OUT!$F$2:$F$11000,OUT!$H$2:$H$11000,H279,OUT!$D$2:$D$11000,"Out",OUT!$E$2:$E$11000,"Kitchen")</f>
        <v>1360773</v>
      </c>
      <c r="P279" s="52">
        <f ca="1">SUMIFS(OUT!$F$2:$F$11000,OUT!$H$2:$H$11000,H279,OUT!$D$2:$D$11000,"Out",OUT!$E$2:$E$11000,"Loandry")</f>
        <v>11000</v>
      </c>
      <c r="Q279" s="52">
        <f ca="1">SUMIFS(OUT!$F$2:$F$11000,OUT!$H$2:$H$11000,H279,OUT!$D$2:$D$11000,"Out",OUT!$E$2:$E$11000,"Mio")</f>
        <v>338500</v>
      </c>
      <c r="R279" s="52">
        <f ca="1">SUMIFS(OUT!$F$2:$F$11000,OUT!$H$2:$H$11000,H279,OUT!$D$2:$D$11000,"Out",OUT!$E$2:$E$11000,"Sedekah")</f>
        <v>2500</v>
      </c>
      <c r="S279" s="52">
        <f ca="1">SUMIFS(OUT!$F$2:$F$11000,OUT!$H$2:$H$11000,H279,OUT!$D$2:$D$11000,"Out",OUT!$E$2:$E$11000,"Zela")</f>
        <v>387476</v>
      </c>
      <c r="T279" s="52">
        <f ca="1">SUMIFS(OUT!$F$2:$F$11000,OUT!$H$2:$H$11000,H279,OUT!$D$2:$D$11000,"Out",OUT!$E$2:$E$11000,"Iqbal")</f>
        <v>231000</v>
      </c>
    </row>
    <row r="280" spans="1:20" x14ac:dyDescent="0.2">
      <c r="A280" s="48">
        <f ca="1">IFERROR(__xludf.DUMMYFUNCTION("""COMPUTED_VALUE"""),46223)</f>
        <v>46223</v>
      </c>
      <c r="B280" s="4" t="str">
        <f ca="1">IFERROR(__xludf.DUMMYFUNCTION("""COMPUTED_VALUE"""),"Admin Bank BRI")</f>
        <v>Admin Bank BRI</v>
      </c>
      <c r="C280" s="4" t="str">
        <f ca="1">IFERROR(__xludf.DUMMYFUNCTION("""COMPUTED_VALUE"""),"ATM")</f>
        <v>ATM</v>
      </c>
      <c r="D280" s="4" t="str">
        <f ca="1">IFERROR(__xludf.DUMMYFUNCTION("""COMPUTED_VALUE"""),"Out")</f>
        <v>Out</v>
      </c>
      <c r="E280" s="4" t="str">
        <f ca="1">IFERROR(__xludf.DUMMYFUNCTION("""COMPUTED_VALUE"""),"Fix")</f>
        <v>Fix</v>
      </c>
      <c r="F280" s="49">
        <f ca="1">IFERROR(__xludf.DUMMYFUNCTION("""COMPUTED_VALUE"""),6000)</f>
        <v>6000</v>
      </c>
      <c r="G280" s="50" t="str">
        <f ca="1">IFERROR(__xludf.DUMMYFUNCTION("""COMPUTED_VALUE"""),"Ibal")</f>
        <v>Ibal</v>
      </c>
      <c r="H280" s="51">
        <f t="shared" ca="1" si="0"/>
        <v>46204</v>
      </c>
      <c r="I280" s="52" t="e">
        <f ca="1">SUMIFS(OUT!$F$2:$F$11000,OUT!$H$2:$H$11000,H280,OUT!$D$2:$D$101007,"In")</f>
        <v>#VALUE!</v>
      </c>
      <c r="J280" s="52">
        <f ca="1">SUMIFS(OUT!$F$2:$F$11000,OUT!$H$2:$H$11000,H280,OUT!$D$2:$D$11000,"Out")</f>
        <v>9905717</v>
      </c>
      <c r="K280" s="52">
        <f ca="1">SUMIFS(OUT!$F$2:$F$11000,OUT!$H$2:$H$11000,H280,OUT!$D$2:$D$11000,"Out",OUT!$E$2:$E$11000,"Fix")</f>
        <v>3048680</v>
      </c>
      <c r="L280" s="52">
        <f ca="1">SUMIFS(OUT!$F$2:$F$11000,OUT!$H$2:$H$11000,H280,OUT!$D$2:$D$11000,"Out",OUT!$E$2:$E$11000,"Bathroom")</f>
        <v>50720</v>
      </c>
      <c r="M280" s="52">
        <f ca="1">SUMIFS(OUT!$F$2:$F$11000,OUT!$H$2:$H$11000,H280,OUT!$D$2:$D$11000,"Out",OUT!$E$2:$E$11000,"Alfa")</f>
        <v>294200</v>
      </c>
      <c r="N280" s="52" t="e">
        <f ca="1">SUMIFS(OUT!$F$2:$F$11000,OUT!$H$2:$H$101007,H280,OUT!$D$2:$D$11000,"Out",OUT!$E$2:$E$11000,"Jajan")</f>
        <v>#VALUE!</v>
      </c>
      <c r="O280" s="52">
        <f ca="1">SUMIFS(OUT!$F$2:$F$11000,OUT!$H$2:$H$11000,H280,OUT!$D$2:$D$11000,"Out",OUT!$E$2:$E$11000,"Kitchen")</f>
        <v>1360773</v>
      </c>
      <c r="P280" s="52">
        <f ca="1">SUMIFS(OUT!$F$2:$F$11000,OUT!$H$2:$H$11000,H280,OUT!$D$2:$D$11000,"Out",OUT!$E$2:$E$11000,"Loandry")</f>
        <v>11000</v>
      </c>
      <c r="Q280" s="52">
        <f ca="1">SUMIFS(OUT!$F$2:$F$11000,OUT!$H$2:$H$11000,H280,OUT!$D$2:$D$11000,"Out",OUT!$E$2:$E$11000,"Mio")</f>
        <v>338500</v>
      </c>
      <c r="R280" s="52">
        <f ca="1">SUMIFS(OUT!$F$2:$F$11000,OUT!$H$2:$H$11000,H280,OUT!$D$2:$D$11000,"Out",OUT!$E$2:$E$11000,"Sedekah")</f>
        <v>2500</v>
      </c>
      <c r="S280" s="52">
        <f ca="1">SUMIFS(OUT!$F$2:$F$11000,OUT!$H$2:$H$11000,H280,OUT!$D$2:$D$11000,"Out",OUT!$E$2:$E$11000,"Zela")</f>
        <v>387476</v>
      </c>
      <c r="T280" s="52">
        <f ca="1">SUMIFS(OUT!$F$2:$F$11000,OUT!$H$2:$H$11000,H280,OUT!$D$2:$D$11000,"Out",OUT!$E$2:$E$11000,"Iqbal")</f>
        <v>231000</v>
      </c>
    </row>
    <row r="281" spans="1:20" x14ac:dyDescent="0.2">
      <c r="A281" s="48">
        <f ca="1">IFERROR(__xludf.DUMMYFUNCTION("""COMPUTED_VALUE"""),46232)</f>
        <v>46232</v>
      </c>
      <c r="B281" s="4" t="str">
        <f ca="1">IFERROR(__xludf.DUMMYFUNCTION("""COMPUTED_VALUE"""),"Pinjam Adi")</f>
        <v>Pinjam Adi</v>
      </c>
      <c r="C281" s="4" t="str">
        <f ca="1">IFERROR(__xludf.DUMMYFUNCTION("""COMPUTED_VALUE"""),"ATM")</f>
        <v>ATM</v>
      </c>
      <c r="D281" s="4" t="str">
        <f ca="1">IFERROR(__xludf.DUMMYFUNCTION("""COMPUTED_VALUE"""),"In")</f>
        <v>In</v>
      </c>
      <c r="E281" s="4" t="str">
        <f ca="1">IFERROR(__xludf.DUMMYFUNCTION("""COMPUTED_VALUE"""),"Fix")</f>
        <v>Fix</v>
      </c>
      <c r="F281" s="49">
        <f ca="1">IFERROR(__xludf.DUMMYFUNCTION("""COMPUTED_VALUE"""),300000)</f>
        <v>300000</v>
      </c>
      <c r="G281" s="50" t="str">
        <f ca="1">IFERROR(__xludf.DUMMYFUNCTION("""COMPUTED_VALUE"""),"Ibal")</f>
        <v>Ibal</v>
      </c>
      <c r="H281" s="51">
        <f t="shared" ca="1" si="0"/>
        <v>46204</v>
      </c>
      <c r="I281" s="52" t="e">
        <f ca="1">SUMIFS(OUT!$F$2:$F$11000,OUT!$H$2:$H$11000,H281,OUT!$D$2:$D$101007,"In")</f>
        <v>#VALUE!</v>
      </c>
      <c r="J281" s="52">
        <f ca="1">SUMIFS(OUT!$F$2:$F$11000,OUT!$H$2:$H$11000,H281,OUT!$D$2:$D$11000,"Out")</f>
        <v>9905717</v>
      </c>
      <c r="K281" s="52">
        <f ca="1">SUMIFS(OUT!$F$2:$F$11000,OUT!$H$2:$H$11000,H281,OUT!$D$2:$D$11000,"Out",OUT!$E$2:$E$11000,"Fix")</f>
        <v>3048680</v>
      </c>
      <c r="L281" s="52">
        <f ca="1">SUMIFS(OUT!$F$2:$F$11000,OUT!$H$2:$H$11000,H281,OUT!$D$2:$D$11000,"Out",OUT!$E$2:$E$11000,"Bathroom")</f>
        <v>50720</v>
      </c>
      <c r="M281" s="52">
        <f ca="1">SUMIFS(OUT!$F$2:$F$11000,OUT!$H$2:$H$11000,H281,OUT!$D$2:$D$11000,"Out",OUT!$E$2:$E$11000,"Alfa")</f>
        <v>294200</v>
      </c>
      <c r="N281" s="52" t="e">
        <f ca="1">SUMIFS(OUT!$F$2:$F$11000,OUT!$H$2:$H$101007,H281,OUT!$D$2:$D$11000,"Out",OUT!$E$2:$E$11000,"Jajan")</f>
        <v>#VALUE!</v>
      </c>
      <c r="O281" s="52">
        <f ca="1">SUMIFS(OUT!$F$2:$F$11000,OUT!$H$2:$H$11000,H281,OUT!$D$2:$D$11000,"Out",OUT!$E$2:$E$11000,"Kitchen")</f>
        <v>1360773</v>
      </c>
      <c r="P281" s="52">
        <f ca="1">SUMIFS(OUT!$F$2:$F$11000,OUT!$H$2:$H$11000,H281,OUT!$D$2:$D$11000,"Out",OUT!$E$2:$E$11000,"Loandry")</f>
        <v>11000</v>
      </c>
      <c r="Q281" s="52">
        <f ca="1">SUMIFS(OUT!$F$2:$F$11000,OUT!$H$2:$H$11000,H281,OUT!$D$2:$D$11000,"Out",OUT!$E$2:$E$11000,"Mio")</f>
        <v>338500</v>
      </c>
      <c r="R281" s="52">
        <f ca="1">SUMIFS(OUT!$F$2:$F$11000,OUT!$H$2:$H$11000,H281,OUT!$D$2:$D$11000,"Out",OUT!$E$2:$E$11000,"Sedekah")</f>
        <v>2500</v>
      </c>
      <c r="S281" s="52">
        <f ca="1">SUMIFS(OUT!$F$2:$F$11000,OUT!$H$2:$H$11000,H281,OUT!$D$2:$D$11000,"Out",OUT!$E$2:$E$11000,"Zela")</f>
        <v>387476</v>
      </c>
      <c r="T281" s="52">
        <f ca="1">SUMIFS(OUT!$F$2:$F$11000,OUT!$H$2:$H$11000,H281,OUT!$D$2:$D$11000,"Out",OUT!$E$2:$E$11000,"Iqbal")</f>
        <v>231000</v>
      </c>
    </row>
    <row r="282" spans="1:20" x14ac:dyDescent="0.2">
      <c r="A282" s="48">
        <f ca="1">IFERROR(__xludf.DUMMYFUNCTION("""COMPUTED_VALUE"""),46232)</f>
        <v>46232</v>
      </c>
      <c r="B282" s="4" t="str">
        <f ca="1">IFERROR(__xludf.DUMMYFUNCTION("""COMPUTED_VALUE"""),"shopee paylater Z")</f>
        <v>shopee paylater Z</v>
      </c>
      <c r="C282" s="4" t="str">
        <f ca="1">IFERROR(__xludf.DUMMYFUNCTION("""COMPUTED_VALUE"""),"ATM")</f>
        <v>ATM</v>
      </c>
      <c r="D282" s="4" t="str">
        <f ca="1">IFERROR(__xludf.DUMMYFUNCTION("""COMPUTED_VALUE"""),"Out")</f>
        <v>Out</v>
      </c>
      <c r="E282" s="4" t="str">
        <f ca="1">IFERROR(__xludf.DUMMYFUNCTION("""COMPUTED_VALUE"""),"Fix")</f>
        <v>Fix</v>
      </c>
      <c r="F282" s="49">
        <f ca="1">IFERROR(__xludf.DUMMYFUNCTION("""COMPUTED_VALUE"""),45354)</f>
        <v>45354</v>
      </c>
      <c r="G282" s="50" t="str">
        <f ca="1">IFERROR(__xludf.DUMMYFUNCTION("""COMPUTED_VALUE"""),"Ibal")</f>
        <v>Ibal</v>
      </c>
      <c r="H282" s="51">
        <f t="shared" ca="1" si="0"/>
        <v>46204</v>
      </c>
      <c r="I282" s="52" t="e">
        <f ca="1">SUMIFS(OUT!$F$2:$F$11000,OUT!$H$2:$H$11000,H282,OUT!$D$2:$D$101007,"In")</f>
        <v>#VALUE!</v>
      </c>
      <c r="J282" s="52">
        <f ca="1">SUMIFS(OUT!$F$2:$F$11000,OUT!$H$2:$H$11000,H282,OUT!$D$2:$D$11000,"Out")</f>
        <v>9905717</v>
      </c>
      <c r="K282" s="52">
        <f ca="1">SUMIFS(OUT!$F$2:$F$11000,OUT!$H$2:$H$11000,H282,OUT!$D$2:$D$11000,"Out",OUT!$E$2:$E$11000,"Fix")</f>
        <v>3048680</v>
      </c>
      <c r="L282" s="52">
        <f ca="1">SUMIFS(OUT!$F$2:$F$11000,OUT!$H$2:$H$11000,H282,OUT!$D$2:$D$11000,"Out",OUT!$E$2:$E$11000,"Bathroom")</f>
        <v>50720</v>
      </c>
      <c r="M282" s="52">
        <f ca="1">SUMIFS(OUT!$F$2:$F$11000,OUT!$H$2:$H$11000,H282,OUT!$D$2:$D$11000,"Out",OUT!$E$2:$E$11000,"Alfa")</f>
        <v>294200</v>
      </c>
      <c r="N282" s="52" t="e">
        <f ca="1">SUMIFS(OUT!$F$2:$F$11000,OUT!$H$2:$H$101007,H282,OUT!$D$2:$D$11000,"Out",OUT!$E$2:$E$11000,"Jajan")</f>
        <v>#VALUE!</v>
      </c>
      <c r="O282" s="52">
        <f ca="1">SUMIFS(OUT!$F$2:$F$11000,OUT!$H$2:$H$11000,H282,OUT!$D$2:$D$11000,"Out",OUT!$E$2:$E$11000,"Kitchen")</f>
        <v>1360773</v>
      </c>
      <c r="P282" s="52">
        <f ca="1">SUMIFS(OUT!$F$2:$F$11000,OUT!$H$2:$H$11000,H282,OUT!$D$2:$D$11000,"Out",OUT!$E$2:$E$11000,"Loandry")</f>
        <v>11000</v>
      </c>
      <c r="Q282" s="52">
        <f ca="1">SUMIFS(OUT!$F$2:$F$11000,OUT!$H$2:$H$11000,H282,OUT!$D$2:$D$11000,"Out",OUT!$E$2:$E$11000,"Mio")</f>
        <v>338500</v>
      </c>
      <c r="R282" s="52">
        <f ca="1">SUMIFS(OUT!$F$2:$F$11000,OUT!$H$2:$H$11000,H282,OUT!$D$2:$D$11000,"Out",OUT!$E$2:$E$11000,"Sedekah")</f>
        <v>2500</v>
      </c>
      <c r="S282" s="52">
        <f ca="1">SUMIFS(OUT!$F$2:$F$11000,OUT!$H$2:$H$11000,H282,OUT!$D$2:$D$11000,"Out",OUT!$E$2:$E$11000,"Zela")</f>
        <v>387476</v>
      </c>
      <c r="T282" s="52">
        <f ca="1">SUMIFS(OUT!$F$2:$F$11000,OUT!$H$2:$H$11000,H282,OUT!$D$2:$D$11000,"Out",OUT!$E$2:$E$11000,"Iqbal")</f>
        <v>231000</v>
      </c>
    </row>
    <row r="283" spans="1:20" x14ac:dyDescent="0.2">
      <c r="A283" s="48">
        <f ca="1">IFERROR(__xludf.DUMMYFUNCTION("""COMPUTED_VALUE"""),46232)</f>
        <v>46232</v>
      </c>
      <c r="B283" s="4" t="str">
        <f ca="1">IFERROR(__xludf.DUMMYFUNCTION("""COMPUTED_VALUE"""),"roti tawar, santan, ciki jagung")</f>
        <v>roti tawar, santan, ciki jagung</v>
      </c>
      <c r="C283" s="4" t="str">
        <f ca="1">IFERROR(__xludf.DUMMYFUNCTION("""COMPUTED_VALUE"""),"ATM")</f>
        <v>ATM</v>
      </c>
      <c r="D283" s="4" t="str">
        <f ca="1">IFERROR(__xludf.DUMMYFUNCTION("""COMPUTED_VALUE"""),"Out")</f>
        <v>Out</v>
      </c>
      <c r="E283" s="4" t="str">
        <f ca="1">IFERROR(__xludf.DUMMYFUNCTION("""COMPUTED_VALUE"""),"Kitchen")</f>
        <v>Kitchen</v>
      </c>
      <c r="F283" s="49">
        <f ca="1">IFERROR(__xludf.DUMMYFUNCTION("""COMPUTED_VALUE"""),45500)</f>
        <v>45500</v>
      </c>
      <c r="G283" s="50" t="str">
        <f ca="1">IFERROR(__xludf.DUMMYFUNCTION("""COMPUTED_VALUE"""),"Ibal")</f>
        <v>Ibal</v>
      </c>
      <c r="H283" s="51">
        <f t="shared" ca="1" si="0"/>
        <v>46204</v>
      </c>
      <c r="I283" s="52" t="e">
        <f ca="1">SUMIFS(OUT!$F$2:$F$11000,OUT!$H$2:$H$11000,H283,OUT!$D$2:$D$101007,"In")</f>
        <v>#VALUE!</v>
      </c>
      <c r="J283" s="52">
        <f ca="1">SUMIFS(OUT!$F$2:$F$11000,OUT!$H$2:$H$11000,H283,OUT!$D$2:$D$11000,"Out")</f>
        <v>9905717</v>
      </c>
      <c r="K283" s="52">
        <f ca="1">SUMIFS(OUT!$F$2:$F$11000,OUT!$H$2:$H$11000,H283,OUT!$D$2:$D$11000,"Out",OUT!$E$2:$E$11000,"Fix")</f>
        <v>3048680</v>
      </c>
      <c r="L283" s="52">
        <f ca="1">SUMIFS(OUT!$F$2:$F$11000,OUT!$H$2:$H$11000,H283,OUT!$D$2:$D$11000,"Out",OUT!$E$2:$E$11000,"Bathroom")</f>
        <v>50720</v>
      </c>
      <c r="M283" s="52">
        <f ca="1">SUMIFS(OUT!$F$2:$F$11000,OUT!$H$2:$H$11000,H283,OUT!$D$2:$D$11000,"Out",OUT!$E$2:$E$11000,"Alfa")</f>
        <v>294200</v>
      </c>
      <c r="N283" s="52" t="e">
        <f ca="1">SUMIFS(OUT!$F$2:$F$11000,OUT!$H$2:$H$101007,H283,OUT!$D$2:$D$11000,"Out",OUT!$E$2:$E$11000,"Jajan")</f>
        <v>#VALUE!</v>
      </c>
      <c r="O283" s="52">
        <f ca="1">SUMIFS(OUT!$F$2:$F$11000,OUT!$H$2:$H$11000,H283,OUT!$D$2:$D$11000,"Out",OUT!$E$2:$E$11000,"Kitchen")</f>
        <v>1360773</v>
      </c>
      <c r="P283" s="52">
        <f ca="1">SUMIFS(OUT!$F$2:$F$11000,OUT!$H$2:$H$11000,H283,OUT!$D$2:$D$11000,"Out",OUT!$E$2:$E$11000,"Loandry")</f>
        <v>11000</v>
      </c>
      <c r="Q283" s="52">
        <f ca="1">SUMIFS(OUT!$F$2:$F$11000,OUT!$H$2:$H$11000,H283,OUT!$D$2:$D$11000,"Out",OUT!$E$2:$E$11000,"Mio")</f>
        <v>338500</v>
      </c>
      <c r="R283" s="52">
        <f ca="1">SUMIFS(OUT!$F$2:$F$11000,OUT!$H$2:$H$11000,H283,OUT!$D$2:$D$11000,"Out",OUT!$E$2:$E$11000,"Sedekah")</f>
        <v>2500</v>
      </c>
      <c r="S283" s="52">
        <f ca="1">SUMIFS(OUT!$F$2:$F$11000,OUT!$H$2:$H$11000,H283,OUT!$D$2:$D$11000,"Out",OUT!$E$2:$E$11000,"Zela")</f>
        <v>387476</v>
      </c>
      <c r="T283" s="52">
        <f ca="1">SUMIFS(OUT!$F$2:$F$11000,OUT!$H$2:$H$11000,H283,OUT!$D$2:$D$11000,"Out",OUT!$E$2:$E$11000,"Iqbal")</f>
        <v>231000</v>
      </c>
    </row>
    <row r="284" spans="1:20" x14ac:dyDescent="0.2">
      <c r="A284" s="48">
        <f ca="1">IFERROR(__xludf.DUMMYFUNCTION("""COMPUTED_VALUE"""),46233)</f>
        <v>46233</v>
      </c>
      <c r="B284" s="4" t="str">
        <f ca="1">IFERROR(__xludf.DUMMYFUNCTION("""COMPUTED_VALUE"""),"jilbab")</f>
        <v>jilbab</v>
      </c>
      <c r="C284" s="4" t="str">
        <f ca="1">IFERROR(__xludf.DUMMYFUNCTION("""COMPUTED_VALUE"""),"ATM")</f>
        <v>ATM</v>
      </c>
      <c r="D284" s="4" t="str">
        <f ca="1">IFERROR(__xludf.DUMMYFUNCTION("""COMPUTED_VALUE"""),"Out")</f>
        <v>Out</v>
      </c>
      <c r="E284" s="4" t="str">
        <f ca="1">IFERROR(__xludf.DUMMYFUNCTION("""COMPUTED_VALUE"""),"Zela")</f>
        <v>Zela</v>
      </c>
      <c r="F284" s="49">
        <f ca="1">IFERROR(__xludf.DUMMYFUNCTION("""COMPUTED_VALUE"""),88700)</f>
        <v>88700</v>
      </c>
      <c r="G284" s="50" t="str">
        <f ca="1">IFERROR(__xludf.DUMMYFUNCTION("""COMPUTED_VALUE"""),"Ibal")</f>
        <v>Ibal</v>
      </c>
      <c r="H284" s="51">
        <f t="shared" ca="1" si="0"/>
        <v>46204</v>
      </c>
      <c r="I284" s="52" t="e">
        <f ca="1">SUMIFS(OUT!$F$2:$F$11000,OUT!$H$2:$H$11000,H284,OUT!$D$2:$D$101007,"In")</f>
        <v>#VALUE!</v>
      </c>
      <c r="J284" s="52">
        <f ca="1">SUMIFS(OUT!$F$2:$F$11000,OUT!$H$2:$H$11000,H284,OUT!$D$2:$D$11000,"Out")</f>
        <v>9905717</v>
      </c>
      <c r="K284" s="52">
        <f ca="1">SUMIFS(OUT!$F$2:$F$11000,OUT!$H$2:$H$11000,H284,OUT!$D$2:$D$11000,"Out",OUT!$E$2:$E$11000,"Fix")</f>
        <v>3048680</v>
      </c>
      <c r="L284" s="52">
        <f ca="1">SUMIFS(OUT!$F$2:$F$11000,OUT!$H$2:$H$11000,H284,OUT!$D$2:$D$11000,"Out",OUT!$E$2:$E$11000,"Bathroom")</f>
        <v>50720</v>
      </c>
      <c r="M284" s="52">
        <f ca="1">SUMIFS(OUT!$F$2:$F$11000,OUT!$H$2:$H$11000,H284,OUT!$D$2:$D$11000,"Out",OUT!$E$2:$E$11000,"Alfa")</f>
        <v>294200</v>
      </c>
      <c r="N284" s="52" t="e">
        <f ca="1">SUMIFS(OUT!$F$2:$F$11000,OUT!$H$2:$H$101007,H284,OUT!$D$2:$D$11000,"Out",OUT!$E$2:$E$11000,"Jajan")</f>
        <v>#VALUE!</v>
      </c>
      <c r="O284" s="52">
        <f ca="1">SUMIFS(OUT!$F$2:$F$11000,OUT!$H$2:$H$11000,H284,OUT!$D$2:$D$11000,"Out",OUT!$E$2:$E$11000,"Kitchen")</f>
        <v>1360773</v>
      </c>
      <c r="P284" s="52">
        <f ca="1">SUMIFS(OUT!$F$2:$F$11000,OUT!$H$2:$H$11000,H284,OUT!$D$2:$D$11000,"Out",OUT!$E$2:$E$11000,"Loandry")</f>
        <v>11000</v>
      </c>
      <c r="Q284" s="52">
        <f ca="1">SUMIFS(OUT!$F$2:$F$11000,OUT!$H$2:$H$11000,H284,OUT!$D$2:$D$11000,"Out",OUT!$E$2:$E$11000,"Mio")</f>
        <v>338500</v>
      </c>
      <c r="R284" s="52">
        <f ca="1">SUMIFS(OUT!$F$2:$F$11000,OUT!$H$2:$H$11000,H284,OUT!$D$2:$D$11000,"Out",OUT!$E$2:$E$11000,"Sedekah")</f>
        <v>2500</v>
      </c>
      <c r="S284" s="52">
        <f ca="1">SUMIFS(OUT!$F$2:$F$11000,OUT!$H$2:$H$11000,H284,OUT!$D$2:$D$11000,"Out",OUT!$E$2:$E$11000,"Zela")</f>
        <v>387476</v>
      </c>
      <c r="T284" s="52">
        <f ca="1">SUMIFS(OUT!$F$2:$F$11000,OUT!$H$2:$H$11000,H284,OUT!$D$2:$D$11000,"Out",OUT!$E$2:$E$11000,"Iqbal")</f>
        <v>231000</v>
      </c>
    </row>
    <row r="285" spans="1:20" x14ac:dyDescent="0.2">
      <c r="A285" s="48">
        <f ca="1">IFERROR(__xludf.DUMMYFUNCTION("""COMPUTED_VALUE"""),46233)</f>
        <v>46233</v>
      </c>
      <c r="B285" s="4" t="str">
        <f ca="1">IFERROR(__xludf.DUMMYFUNCTION("""COMPUTED_VALUE"""),"rokok")</f>
        <v>rokok</v>
      </c>
      <c r="C285" s="4" t="str">
        <f ca="1">IFERROR(__xludf.DUMMYFUNCTION("""COMPUTED_VALUE"""),"ATM")</f>
        <v>ATM</v>
      </c>
      <c r="D285" s="4" t="str">
        <f ca="1">IFERROR(__xludf.DUMMYFUNCTION("""COMPUTED_VALUE"""),"Out")</f>
        <v>Out</v>
      </c>
      <c r="E285" s="4" t="str">
        <f ca="1">IFERROR(__xludf.DUMMYFUNCTION("""COMPUTED_VALUE"""),"Iqbal")</f>
        <v>Iqbal</v>
      </c>
      <c r="F285" s="49">
        <f ca="1">IFERROR(__xludf.DUMMYFUNCTION("""COMPUTED_VALUE"""),16000)</f>
        <v>16000</v>
      </c>
      <c r="G285" s="50" t="str">
        <f ca="1">IFERROR(__xludf.DUMMYFUNCTION("""COMPUTED_VALUE"""),"Ibal")</f>
        <v>Ibal</v>
      </c>
      <c r="H285" s="51">
        <f t="shared" ca="1" si="0"/>
        <v>46204</v>
      </c>
      <c r="I285" s="52" t="e">
        <f ca="1">SUMIFS(OUT!$F$2:$F$11000,OUT!$H$2:$H$11000,H285,OUT!$D$2:$D$101007,"In")</f>
        <v>#VALUE!</v>
      </c>
      <c r="J285" s="52">
        <f ca="1">SUMIFS(OUT!$F$2:$F$11000,OUT!$H$2:$H$11000,H285,OUT!$D$2:$D$11000,"Out")</f>
        <v>9905717</v>
      </c>
      <c r="K285" s="52">
        <f ca="1">SUMIFS(OUT!$F$2:$F$11000,OUT!$H$2:$H$11000,H285,OUT!$D$2:$D$11000,"Out",OUT!$E$2:$E$11000,"Fix")</f>
        <v>3048680</v>
      </c>
      <c r="L285" s="52">
        <f ca="1">SUMIFS(OUT!$F$2:$F$11000,OUT!$H$2:$H$11000,H285,OUT!$D$2:$D$11000,"Out",OUT!$E$2:$E$11000,"Bathroom")</f>
        <v>50720</v>
      </c>
      <c r="M285" s="52">
        <f ca="1">SUMIFS(OUT!$F$2:$F$11000,OUT!$H$2:$H$11000,H285,OUT!$D$2:$D$11000,"Out",OUT!$E$2:$E$11000,"Alfa")</f>
        <v>294200</v>
      </c>
      <c r="N285" s="52" t="e">
        <f ca="1">SUMIFS(OUT!$F$2:$F$11000,OUT!$H$2:$H$101007,H285,OUT!$D$2:$D$11000,"Out",OUT!$E$2:$E$11000,"Jajan")</f>
        <v>#VALUE!</v>
      </c>
      <c r="O285" s="52">
        <f ca="1">SUMIFS(OUT!$F$2:$F$11000,OUT!$H$2:$H$11000,H285,OUT!$D$2:$D$11000,"Out",OUT!$E$2:$E$11000,"Kitchen")</f>
        <v>1360773</v>
      </c>
      <c r="P285" s="52">
        <f ca="1">SUMIFS(OUT!$F$2:$F$11000,OUT!$H$2:$H$11000,H285,OUT!$D$2:$D$11000,"Out",OUT!$E$2:$E$11000,"Loandry")</f>
        <v>11000</v>
      </c>
      <c r="Q285" s="52">
        <f ca="1">SUMIFS(OUT!$F$2:$F$11000,OUT!$H$2:$H$11000,H285,OUT!$D$2:$D$11000,"Out",OUT!$E$2:$E$11000,"Mio")</f>
        <v>338500</v>
      </c>
      <c r="R285" s="52">
        <f ca="1">SUMIFS(OUT!$F$2:$F$11000,OUT!$H$2:$H$11000,H285,OUT!$D$2:$D$11000,"Out",OUT!$E$2:$E$11000,"Sedekah")</f>
        <v>2500</v>
      </c>
      <c r="S285" s="52">
        <f ca="1">SUMIFS(OUT!$F$2:$F$11000,OUT!$H$2:$H$11000,H285,OUT!$D$2:$D$11000,"Out",OUT!$E$2:$E$11000,"Zela")</f>
        <v>387476</v>
      </c>
      <c r="T285" s="52">
        <f ca="1">SUMIFS(OUT!$F$2:$F$11000,OUT!$H$2:$H$11000,H285,OUT!$D$2:$D$11000,"Out",OUT!$E$2:$E$11000,"Iqbal")</f>
        <v>231000</v>
      </c>
    </row>
    <row r="286" spans="1:20" x14ac:dyDescent="0.2">
      <c r="A286" s="48">
        <f ca="1">IFERROR(__xludf.DUMMYFUNCTION("""COMPUTED_VALUE"""),46234)</f>
        <v>46234</v>
      </c>
      <c r="B286" s="4" t="str">
        <f ca="1">IFERROR(__xludf.DUMMYFUNCTION("""COMPUTED_VALUE"""),"token (32,7 kwh)")</f>
        <v>token (32,7 kwh)</v>
      </c>
      <c r="C286" s="4" t="str">
        <f ca="1">IFERROR(__xludf.DUMMYFUNCTION("""COMPUTED_VALUE"""),"ATM")</f>
        <v>ATM</v>
      </c>
      <c r="D286" s="4" t="str">
        <f ca="1">IFERROR(__xludf.DUMMYFUNCTION("""COMPUTED_VALUE"""),"Out")</f>
        <v>Out</v>
      </c>
      <c r="E286" s="4" t="str">
        <f ca="1">IFERROR(__xludf.DUMMYFUNCTION("""COMPUTED_VALUE"""),"Fix")</f>
        <v>Fix</v>
      </c>
      <c r="F286" s="49">
        <f ca="1">IFERROR(__xludf.DUMMYFUNCTION("""COMPUTED_VALUE"""),51750)</f>
        <v>51750</v>
      </c>
      <c r="G286" s="50" t="str">
        <f ca="1">IFERROR(__xludf.DUMMYFUNCTION("""COMPUTED_VALUE"""),"Ibal")</f>
        <v>Ibal</v>
      </c>
      <c r="H286" s="51">
        <f t="shared" ca="1" si="0"/>
        <v>46204</v>
      </c>
      <c r="I286" s="52" t="e">
        <f ca="1">SUMIFS(OUT!$F$2:$F$11000,OUT!$H$2:$H$11000,H286,OUT!$D$2:$D$101007,"In")</f>
        <v>#VALUE!</v>
      </c>
      <c r="J286" s="52">
        <f ca="1">SUMIFS(OUT!$F$2:$F$11000,OUT!$H$2:$H$11000,H286,OUT!$D$2:$D$11000,"Out")</f>
        <v>9905717</v>
      </c>
      <c r="K286" s="52">
        <f ca="1">SUMIFS(OUT!$F$2:$F$11000,OUT!$H$2:$H$11000,H286,OUT!$D$2:$D$11000,"Out",OUT!$E$2:$E$11000,"Fix")</f>
        <v>3048680</v>
      </c>
      <c r="L286" s="52">
        <f ca="1">SUMIFS(OUT!$F$2:$F$11000,OUT!$H$2:$H$11000,H286,OUT!$D$2:$D$11000,"Out",OUT!$E$2:$E$11000,"Bathroom")</f>
        <v>50720</v>
      </c>
      <c r="M286" s="52">
        <f ca="1">SUMIFS(OUT!$F$2:$F$11000,OUT!$H$2:$H$11000,H286,OUT!$D$2:$D$11000,"Out",OUT!$E$2:$E$11000,"Alfa")</f>
        <v>294200</v>
      </c>
      <c r="N286" s="52" t="e">
        <f ca="1">SUMIFS(OUT!$F$2:$F$11000,OUT!$H$2:$H$101007,H286,OUT!$D$2:$D$11000,"Out",OUT!$E$2:$E$11000,"Jajan")</f>
        <v>#VALUE!</v>
      </c>
      <c r="O286" s="52">
        <f ca="1">SUMIFS(OUT!$F$2:$F$11000,OUT!$H$2:$H$11000,H286,OUT!$D$2:$D$11000,"Out",OUT!$E$2:$E$11000,"Kitchen")</f>
        <v>1360773</v>
      </c>
      <c r="P286" s="52">
        <f ca="1">SUMIFS(OUT!$F$2:$F$11000,OUT!$H$2:$H$11000,H286,OUT!$D$2:$D$11000,"Out",OUT!$E$2:$E$11000,"Loandry")</f>
        <v>11000</v>
      </c>
      <c r="Q286" s="52">
        <f ca="1">SUMIFS(OUT!$F$2:$F$11000,OUT!$H$2:$H$11000,H286,OUT!$D$2:$D$11000,"Out",OUT!$E$2:$E$11000,"Mio")</f>
        <v>338500</v>
      </c>
      <c r="R286" s="52">
        <f ca="1">SUMIFS(OUT!$F$2:$F$11000,OUT!$H$2:$H$11000,H286,OUT!$D$2:$D$11000,"Out",OUT!$E$2:$E$11000,"Sedekah")</f>
        <v>2500</v>
      </c>
      <c r="S286" s="52">
        <f ca="1">SUMIFS(OUT!$F$2:$F$11000,OUT!$H$2:$H$11000,H286,OUT!$D$2:$D$11000,"Out",OUT!$E$2:$E$11000,"Zela")</f>
        <v>387476</v>
      </c>
      <c r="T286" s="52">
        <f ca="1">SUMIFS(OUT!$F$2:$F$11000,OUT!$H$2:$H$11000,H286,OUT!$D$2:$D$11000,"Out",OUT!$E$2:$E$11000,"Iqbal")</f>
        <v>231000</v>
      </c>
    </row>
    <row r="287" spans="1:20" x14ac:dyDescent="0.2">
      <c r="A287" s="48">
        <f ca="1">IFERROR(__xludf.DUMMYFUNCTION("""COMPUTED_VALUE"""),46234)</f>
        <v>46234</v>
      </c>
      <c r="B287" s="4" t="str">
        <f ca="1">IFERROR(__xludf.DUMMYFUNCTION("""COMPUTED_VALUE"""),"istriku")</f>
        <v>istriku</v>
      </c>
      <c r="C287" s="4" t="str">
        <f ca="1">IFERROR(__xludf.DUMMYFUNCTION("""COMPUTED_VALUE"""),"ATM")</f>
        <v>ATM</v>
      </c>
      <c r="D287" s="4" t="str">
        <f ca="1">IFERROR(__xludf.DUMMYFUNCTION("""COMPUTED_VALUE"""),"In")</f>
        <v>In</v>
      </c>
      <c r="E287" s="4" t="str">
        <f ca="1">IFERROR(__xludf.DUMMYFUNCTION("""COMPUTED_VALUE"""),"Move")</f>
        <v>Move</v>
      </c>
      <c r="F287" s="49">
        <f ca="1">IFERROR(__xludf.DUMMYFUNCTION("""COMPUTED_VALUE"""),99329)</f>
        <v>99329</v>
      </c>
      <c r="G287" s="50" t="str">
        <f ca="1">IFERROR(__xludf.DUMMYFUNCTION("""COMPUTED_VALUE"""),"Ibal")</f>
        <v>Ibal</v>
      </c>
      <c r="H287" s="51">
        <f t="shared" ca="1" si="0"/>
        <v>46204</v>
      </c>
      <c r="I287" s="52" t="e">
        <f ca="1">SUMIFS(OUT!$F$2:$F$11000,OUT!$H$2:$H$11000,H287,OUT!$D$2:$D$101007,"In")</f>
        <v>#VALUE!</v>
      </c>
      <c r="J287" s="52">
        <f ca="1">SUMIFS(OUT!$F$2:$F$11000,OUT!$H$2:$H$11000,H287,OUT!$D$2:$D$11000,"Out")</f>
        <v>9905717</v>
      </c>
      <c r="K287" s="52">
        <f ca="1">SUMIFS(OUT!$F$2:$F$11000,OUT!$H$2:$H$11000,H287,OUT!$D$2:$D$11000,"Out",OUT!$E$2:$E$11000,"Fix")</f>
        <v>3048680</v>
      </c>
      <c r="L287" s="52">
        <f ca="1">SUMIFS(OUT!$F$2:$F$11000,OUT!$H$2:$H$11000,H287,OUT!$D$2:$D$11000,"Out",OUT!$E$2:$E$11000,"Bathroom")</f>
        <v>50720</v>
      </c>
      <c r="M287" s="52">
        <f ca="1">SUMIFS(OUT!$F$2:$F$11000,OUT!$H$2:$H$11000,H287,OUT!$D$2:$D$11000,"Out",OUT!$E$2:$E$11000,"Alfa")</f>
        <v>294200</v>
      </c>
      <c r="N287" s="52" t="e">
        <f ca="1">SUMIFS(OUT!$F$2:$F$11000,OUT!$H$2:$H$101007,H287,OUT!$D$2:$D$11000,"Out",OUT!$E$2:$E$11000,"Jajan")</f>
        <v>#VALUE!</v>
      </c>
      <c r="O287" s="52">
        <f ca="1">SUMIFS(OUT!$F$2:$F$11000,OUT!$H$2:$H$11000,H287,OUT!$D$2:$D$11000,"Out",OUT!$E$2:$E$11000,"Kitchen")</f>
        <v>1360773</v>
      </c>
      <c r="P287" s="52">
        <f ca="1">SUMIFS(OUT!$F$2:$F$11000,OUT!$H$2:$H$11000,H287,OUT!$D$2:$D$11000,"Out",OUT!$E$2:$E$11000,"Loandry")</f>
        <v>11000</v>
      </c>
      <c r="Q287" s="52">
        <f ca="1">SUMIFS(OUT!$F$2:$F$11000,OUT!$H$2:$H$11000,H287,OUT!$D$2:$D$11000,"Out",OUT!$E$2:$E$11000,"Mio")</f>
        <v>338500</v>
      </c>
      <c r="R287" s="52">
        <f ca="1">SUMIFS(OUT!$F$2:$F$11000,OUT!$H$2:$H$11000,H287,OUT!$D$2:$D$11000,"Out",OUT!$E$2:$E$11000,"Sedekah")</f>
        <v>2500</v>
      </c>
      <c r="S287" s="52">
        <f ca="1">SUMIFS(OUT!$F$2:$F$11000,OUT!$H$2:$H$11000,H287,OUT!$D$2:$D$11000,"Out",OUT!$E$2:$E$11000,"Zela")</f>
        <v>387476</v>
      </c>
      <c r="T287" s="52">
        <f ca="1">SUMIFS(OUT!$F$2:$F$11000,OUT!$H$2:$H$11000,H287,OUT!$D$2:$D$11000,"Out",OUT!$E$2:$E$11000,"Iqbal")</f>
        <v>231000</v>
      </c>
    </row>
    <row r="288" spans="1:20" x14ac:dyDescent="0.2">
      <c r="A288" s="48">
        <f ca="1">IFERROR(__xludf.DUMMYFUNCTION("""COMPUTED_VALUE"""),46234)</f>
        <v>46234</v>
      </c>
      <c r="B288" s="4" t="str">
        <f ca="1">IFERROR(__xludf.DUMMYFUNCTION("""COMPUTED_VALUE"""),"istriku")</f>
        <v>istriku</v>
      </c>
      <c r="C288" s="4" t="str">
        <f ca="1">IFERROR(__xludf.DUMMYFUNCTION("""COMPUTED_VALUE"""),"ATM")</f>
        <v>ATM</v>
      </c>
      <c r="D288" s="4" t="str">
        <f ca="1">IFERROR(__xludf.DUMMYFUNCTION("""COMPUTED_VALUE"""),"Out")</f>
        <v>Out</v>
      </c>
      <c r="E288" s="4" t="str">
        <f ca="1">IFERROR(__xludf.DUMMYFUNCTION("""COMPUTED_VALUE"""),"Move")</f>
        <v>Move</v>
      </c>
      <c r="F288" s="49">
        <f ca="1">IFERROR(__xludf.DUMMYFUNCTION("""COMPUTED_VALUE"""),100000)</f>
        <v>100000</v>
      </c>
      <c r="G288" s="50" t="str">
        <f ca="1">IFERROR(__xludf.DUMMYFUNCTION("""COMPUTED_VALUE"""),"Ibal")</f>
        <v>Ibal</v>
      </c>
      <c r="H288" s="51">
        <f t="shared" ca="1" si="0"/>
        <v>46204</v>
      </c>
      <c r="I288" s="52" t="e">
        <f ca="1">SUMIFS(OUT!$F$2:$F$11000,OUT!$H$2:$H$11000,H288,OUT!$D$2:$D$101007,"In")</f>
        <v>#VALUE!</v>
      </c>
      <c r="J288" s="52">
        <f ca="1">SUMIFS(OUT!$F$2:$F$11000,OUT!$H$2:$H$11000,H288,OUT!$D$2:$D$11000,"Out")</f>
        <v>9905717</v>
      </c>
      <c r="K288" s="52">
        <f ca="1">SUMIFS(OUT!$F$2:$F$11000,OUT!$H$2:$H$11000,H288,OUT!$D$2:$D$11000,"Out",OUT!$E$2:$E$11000,"Fix")</f>
        <v>3048680</v>
      </c>
      <c r="L288" s="52">
        <f ca="1">SUMIFS(OUT!$F$2:$F$11000,OUT!$H$2:$H$11000,H288,OUT!$D$2:$D$11000,"Out",OUT!$E$2:$E$11000,"Bathroom")</f>
        <v>50720</v>
      </c>
      <c r="M288" s="52">
        <f ca="1">SUMIFS(OUT!$F$2:$F$11000,OUT!$H$2:$H$11000,H288,OUT!$D$2:$D$11000,"Out",OUT!$E$2:$E$11000,"Alfa")</f>
        <v>294200</v>
      </c>
      <c r="N288" s="52" t="e">
        <f ca="1">SUMIFS(OUT!$F$2:$F$11000,OUT!$H$2:$H$101007,H288,OUT!$D$2:$D$11000,"Out",OUT!$E$2:$E$11000,"Jajan")</f>
        <v>#VALUE!</v>
      </c>
      <c r="O288" s="52">
        <f ca="1">SUMIFS(OUT!$F$2:$F$11000,OUT!$H$2:$H$11000,H288,OUT!$D$2:$D$11000,"Out",OUT!$E$2:$E$11000,"Kitchen")</f>
        <v>1360773</v>
      </c>
      <c r="P288" s="52">
        <f ca="1">SUMIFS(OUT!$F$2:$F$11000,OUT!$H$2:$H$11000,H288,OUT!$D$2:$D$11000,"Out",OUT!$E$2:$E$11000,"Loandry")</f>
        <v>11000</v>
      </c>
      <c r="Q288" s="52">
        <f ca="1">SUMIFS(OUT!$F$2:$F$11000,OUT!$H$2:$H$11000,H288,OUT!$D$2:$D$11000,"Out",OUT!$E$2:$E$11000,"Mio")</f>
        <v>338500</v>
      </c>
      <c r="R288" s="52">
        <f ca="1">SUMIFS(OUT!$F$2:$F$11000,OUT!$H$2:$H$11000,H288,OUT!$D$2:$D$11000,"Out",OUT!$E$2:$E$11000,"Sedekah")</f>
        <v>2500</v>
      </c>
      <c r="S288" s="52">
        <f ca="1">SUMIFS(OUT!$F$2:$F$11000,OUT!$H$2:$H$11000,H288,OUT!$D$2:$D$11000,"Out",OUT!$E$2:$E$11000,"Zela")</f>
        <v>387476</v>
      </c>
      <c r="T288" s="52">
        <f ca="1">SUMIFS(OUT!$F$2:$F$11000,OUT!$H$2:$H$11000,H288,OUT!$D$2:$D$11000,"Out",OUT!$E$2:$E$11000,"Iqbal")</f>
        <v>231000</v>
      </c>
    </row>
    <row r="289" spans="1:20" x14ac:dyDescent="0.2">
      <c r="A289" s="48">
        <f ca="1">IFERROR(__xludf.DUMMYFUNCTION("""COMPUTED_VALUE"""),46235)</f>
        <v>46235</v>
      </c>
      <c r="B289" s="4" t="str">
        <f ca="1">IFERROR(__xludf.DUMMYFUNCTION("""COMPUTED_VALUE"""),"om lika")</f>
        <v>om lika</v>
      </c>
      <c r="C289" s="4" t="str">
        <f ca="1">IFERROR(__xludf.DUMMYFUNCTION("""COMPUTED_VALUE"""),"ATM")</f>
        <v>ATM</v>
      </c>
      <c r="D289" s="4" t="str">
        <f ca="1">IFERROR(__xludf.DUMMYFUNCTION("""COMPUTED_VALUE"""),"In")</f>
        <v>In</v>
      </c>
      <c r="E289" s="4" t="str">
        <f ca="1">IFERROR(__xludf.DUMMYFUNCTION("""COMPUTED_VALUE"""),"Fix")</f>
        <v>Fix</v>
      </c>
      <c r="F289" s="49">
        <f ca="1">IFERROR(__xludf.DUMMYFUNCTION("""COMPUTED_VALUE"""),106000)</f>
        <v>106000</v>
      </c>
      <c r="G289" s="50" t="str">
        <f ca="1">IFERROR(__xludf.DUMMYFUNCTION("""COMPUTED_VALUE"""),"Ibal")</f>
        <v>Ibal</v>
      </c>
      <c r="H289" s="51">
        <f t="shared" ca="1" si="0"/>
        <v>46235</v>
      </c>
      <c r="I289" s="52" t="e">
        <f ca="1">SUMIFS(OUT!$F$2:$F$11000,OUT!$H$2:$H$11000,H289,OUT!$D$2:$D$101007,"In")</f>
        <v>#VALUE!</v>
      </c>
      <c r="J289" s="52">
        <f ca="1">SUMIFS(OUT!$F$2:$F$11000,OUT!$H$2:$H$11000,H289,OUT!$D$2:$D$11000,"Out")</f>
        <v>9573570</v>
      </c>
      <c r="K289" s="52">
        <f ca="1">SUMIFS(OUT!$F$2:$F$11000,OUT!$H$2:$H$11000,H289,OUT!$D$2:$D$11000,"Out",OUT!$E$2:$E$11000,"Fix")</f>
        <v>2533689</v>
      </c>
      <c r="L289" s="52">
        <f ca="1">SUMIFS(OUT!$F$2:$F$11000,OUT!$H$2:$H$11000,H289,OUT!$D$2:$D$11000,"Out",OUT!$E$2:$E$11000,"Bathroom")</f>
        <v>14491</v>
      </c>
      <c r="M289" s="52">
        <f ca="1">SUMIFS(OUT!$F$2:$F$11000,OUT!$H$2:$H$11000,H289,OUT!$D$2:$D$11000,"Out",OUT!$E$2:$E$11000,"Alfa")</f>
        <v>452769</v>
      </c>
      <c r="N289" s="52" t="e">
        <f ca="1">SUMIFS(OUT!$F$2:$F$11000,OUT!$H$2:$H$101007,H289,OUT!$D$2:$D$11000,"Out",OUT!$E$2:$E$11000,"Jajan")</f>
        <v>#VALUE!</v>
      </c>
      <c r="O289" s="52">
        <f ca="1">SUMIFS(OUT!$F$2:$F$11000,OUT!$H$2:$H$11000,H289,OUT!$D$2:$D$11000,"Out",OUT!$E$2:$E$11000,"Kitchen")</f>
        <v>1584204</v>
      </c>
      <c r="P289" s="52">
        <f ca="1">SUMIFS(OUT!$F$2:$F$11000,OUT!$H$2:$H$11000,H289,OUT!$D$2:$D$11000,"Out",OUT!$E$2:$E$11000,"Loandry")</f>
        <v>43448</v>
      </c>
      <c r="Q289" s="52">
        <f ca="1">SUMIFS(OUT!$F$2:$F$11000,OUT!$H$2:$H$11000,H289,OUT!$D$2:$D$11000,"Out",OUT!$E$2:$E$11000,"Mio")</f>
        <v>329000</v>
      </c>
      <c r="R289" s="52">
        <f ca="1">SUMIFS(OUT!$F$2:$F$11000,OUT!$H$2:$H$11000,H289,OUT!$D$2:$D$11000,"Out",OUT!$E$2:$E$11000,"Sedekah")</f>
        <v>5000</v>
      </c>
      <c r="S289" s="52">
        <f ca="1">SUMIFS(OUT!$F$2:$F$11000,OUT!$H$2:$H$11000,H289,OUT!$D$2:$D$11000,"Out",OUT!$E$2:$E$11000,"Zela")</f>
        <v>40500</v>
      </c>
      <c r="T289" s="52">
        <f ca="1">SUMIFS(OUT!$F$2:$F$11000,OUT!$H$2:$H$11000,H289,OUT!$D$2:$D$11000,"Out",OUT!$E$2:$E$11000,"Iqbal")</f>
        <v>295000</v>
      </c>
    </row>
    <row r="290" spans="1:20" x14ac:dyDescent="0.2">
      <c r="A290" s="48">
        <f ca="1">IFERROR(__xludf.DUMMYFUNCTION("""COMPUTED_VALUE"""),46235)</f>
        <v>46235</v>
      </c>
      <c r="B290" s="4" t="str">
        <f ca="1">IFERROR(__xludf.DUMMYFUNCTION("""COMPUTED_VALUE"""),"tarik tunai")</f>
        <v>tarik tunai</v>
      </c>
      <c r="C290" s="4" t="str">
        <f ca="1">IFERROR(__xludf.DUMMYFUNCTION("""COMPUTED_VALUE"""),"ATM")</f>
        <v>ATM</v>
      </c>
      <c r="D290" s="4" t="str">
        <f ca="1">IFERROR(__xludf.DUMMYFUNCTION("""COMPUTED_VALUE"""),"Out")</f>
        <v>Out</v>
      </c>
      <c r="E290" s="4" t="str">
        <f ca="1">IFERROR(__xludf.DUMMYFUNCTION("""COMPUTED_VALUE"""),"Move")</f>
        <v>Move</v>
      </c>
      <c r="F290" s="49">
        <f ca="1">IFERROR(__xludf.DUMMYFUNCTION("""COMPUTED_VALUE"""),101000)</f>
        <v>101000</v>
      </c>
      <c r="G290" s="50" t="str">
        <f ca="1">IFERROR(__xludf.DUMMYFUNCTION("""COMPUTED_VALUE"""),"Ibal")</f>
        <v>Ibal</v>
      </c>
      <c r="H290" s="51">
        <f t="shared" ca="1" si="0"/>
        <v>46235</v>
      </c>
      <c r="I290" s="52" t="e">
        <f ca="1">SUMIFS(OUT!$F$2:$F$11000,OUT!$H$2:$H$11000,H290,OUT!$D$2:$D$101007,"In")</f>
        <v>#VALUE!</v>
      </c>
      <c r="J290" s="52">
        <f ca="1">SUMIFS(OUT!$F$2:$F$11000,OUT!$H$2:$H$11000,H290,OUT!$D$2:$D$11000,"Out")</f>
        <v>9573570</v>
      </c>
      <c r="K290" s="52">
        <f ca="1">SUMIFS(OUT!$F$2:$F$11000,OUT!$H$2:$H$11000,H290,OUT!$D$2:$D$11000,"Out",OUT!$E$2:$E$11000,"Fix")</f>
        <v>2533689</v>
      </c>
      <c r="L290" s="52">
        <f ca="1">SUMIFS(OUT!$F$2:$F$11000,OUT!$H$2:$H$11000,H290,OUT!$D$2:$D$11000,"Out",OUT!$E$2:$E$11000,"Bathroom")</f>
        <v>14491</v>
      </c>
      <c r="M290" s="52">
        <f ca="1">SUMIFS(OUT!$F$2:$F$11000,OUT!$H$2:$H$11000,H290,OUT!$D$2:$D$11000,"Out",OUT!$E$2:$E$11000,"Alfa")</f>
        <v>452769</v>
      </c>
      <c r="N290" s="52" t="e">
        <f ca="1">SUMIFS(OUT!$F$2:$F$11000,OUT!$H$2:$H$101007,H290,OUT!$D$2:$D$11000,"Out",OUT!$E$2:$E$11000,"Jajan")</f>
        <v>#VALUE!</v>
      </c>
      <c r="O290" s="52">
        <f ca="1">SUMIFS(OUT!$F$2:$F$11000,OUT!$H$2:$H$11000,H290,OUT!$D$2:$D$11000,"Out",OUT!$E$2:$E$11000,"Kitchen")</f>
        <v>1584204</v>
      </c>
      <c r="P290" s="52">
        <f ca="1">SUMIFS(OUT!$F$2:$F$11000,OUT!$H$2:$H$11000,H290,OUT!$D$2:$D$11000,"Out",OUT!$E$2:$E$11000,"Loandry")</f>
        <v>43448</v>
      </c>
      <c r="Q290" s="52">
        <f ca="1">SUMIFS(OUT!$F$2:$F$11000,OUT!$H$2:$H$11000,H290,OUT!$D$2:$D$11000,"Out",OUT!$E$2:$E$11000,"Mio")</f>
        <v>329000</v>
      </c>
      <c r="R290" s="52">
        <f ca="1">SUMIFS(OUT!$F$2:$F$11000,OUT!$H$2:$H$11000,H290,OUT!$D$2:$D$11000,"Out",OUT!$E$2:$E$11000,"Sedekah")</f>
        <v>5000</v>
      </c>
      <c r="S290" s="52">
        <f ca="1">SUMIFS(OUT!$F$2:$F$11000,OUT!$H$2:$H$11000,H290,OUT!$D$2:$D$11000,"Out",OUT!$E$2:$E$11000,"Zela")</f>
        <v>40500</v>
      </c>
      <c r="T290" s="52">
        <f ca="1">SUMIFS(OUT!$F$2:$F$11000,OUT!$H$2:$H$11000,H290,OUT!$D$2:$D$11000,"Out",OUT!$E$2:$E$11000,"Iqbal")</f>
        <v>295000</v>
      </c>
    </row>
    <row r="291" spans="1:20" x14ac:dyDescent="0.2">
      <c r="A291" s="48">
        <f ca="1">IFERROR(__xludf.DUMMYFUNCTION("""COMPUTED_VALUE"""),46235)</f>
        <v>46235</v>
      </c>
      <c r="B291" s="4" t="str">
        <f ca="1">IFERROR(__xludf.DUMMYFUNCTION("""COMPUTED_VALUE"""),"terima tunai")</f>
        <v>terima tunai</v>
      </c>
      <c r="C291" s="4" t="str">
        <f ca="1">IFERROR(__xludf.DUMMYFUNCTION("""COMPUTED_VALUE"""),"Cash")</f>
        <v>Cash</v>
      </c>
      <c r="D291" s="4" t="str">
        <f ca="1">IFERROR(__xludf.DUMMYFUNCTION("""COMPUTED_VALUE"""),"In")</f>
        <v>In</v>
      </c>
      <c r="E291" s="4" t="str">
        <f ca="1">IFERROR(__xludf.DUMMYFUNCTION("""COMPUTED_VALUE"""),"Move")</f>
        <v>Move</v>
      </c>
      <c r="F291" s="49">
        <f ca="1">IFERROR(__xludf.DUMMYFUNCTION("""COMPUTED_VALUE"""),101000)</f>
        <v>101000</v>
      </c>
      <c r="G291" s="50" t="str">
        <f ca="1">IFERROR(__xludf.DUMMYFUNCTION("""COMPUTED_VALUE"""),"Ibal")</f>
        <v>Ibal</v>
      </c>
      <c r="H291" s="51">
        <f t="shared" ca="1" si="0"/>
        <v>46235</v>
      </c>
      <c r="I291" s="52" t="e">
        <f ca="1">SUMIFS(OUT!$F$2:$F$11000,OUT!$H$2:$H$11000,H291,OUT!$D$2:$D$101007,"In")</f>
        <v>#VALUE!</v>
      </c>
      <c r="J291" s="52">
        <f ca="1">SUMIFS(OUT!$F$2:$F$11000,OUT!$H$2:$H$11000,H291,OUT!$D$2:$D$11000,"Out")</f>
        <v>9573570</v>
      </c>
      <c r="K291" s="52">
        <f ca="1">SUMIFS(OUT!$F$2:$F$11000,OUT!$H$2:$H$11000,H291,OUT!$D$2:$D$11000,"Out",OUT!$E$2:$E$11000,"Fix")</f>
        <v>2533689</v>
      </c>
      <c r="L291" s="52">
        <f ca="1">SUMIFS(OUT!$F$2:$F$11000,OUT!$H$2:$H$11000,H291,OUT!$D$2:$D$11000,"Out",OUT!$E$2:$E$11000,"Bathroom")</f>
        <v>14491</v>
      </c>
      <c r="M291" s="52">
        <f ca="1">SUMIFS(OUT!$F$2:$F$11000,OUT!$H$2:$H$11000,H291,OUT!$D$2:$D$11000,"Out",OUT!$E$2:$E$11000,"Alfa")</f>
        <v>452769</v>
      </c>
      <c r="N291" s="52" t="e">
        <f ca="1">SUMIFS(OUT!$F$2:$F$11000,OUT!$H$2:$H$101007,H291,OUT!$D$2:$D$11000,"Out",OUT!$E$2:$E$11000,"Jajan")</f>
        <v>#VALUE!</v>
      </c>
      <c r="O291" s="52">
        <f ca="1">SUMIFS(OUT!$F$2:$F$11000,OUT!$H$2:$H$11000,H291,OUT!$D$2:$D$11000,"Out",OUT!$E$2:$E$11000,"Kitchen")</f>
        <v>1584204</v>
      </c>
      <c r="P291" s="52">
        <f ca="1">SUMIFS(OUT!$F$2:$F$11000,OUT!$H$2:$H$11000,H291,OUT!$D$2:$D$11000,"Out",OUT!$E$2:$E$11000,"Loandry")</f>
        <v>43448</v>
      </c>
      <c r="Q291" s="52">
        <f ca="1">SUMIFS(OUT!$F$2:$F$11000,OUT!$H$2:$H$11000,H291,OUT!$D$2:$D$11000,"Out",OUT!$E$2:$E$11000,"Mio")</f>
        <v>329000</v>
      </c>
      <c r="R291" s="52">
        <f ca="1">SUMIFS(OUT!$F$2:$F$11000,OUT!$H$2:$H$11000,H291,OUT!$D$2:$D$11000,"Out",OUT!$E$2:$E$11000,"Sedekah")</f>
        <v>5000</v>
      </c>
      <c r="S291" s="52">
        <f ca="1">SUMIFS(OUT!$F$2:$F$11000,OUT!$H$2:$H$11000,H291,OUT!$D$2:$D$11000,"Out",OUT!$E$2:$E$11000,"Zela")</f>
        <v>40500</v>
      </c>
      <c r="T291" s="52">
        <f ca="1">SUMIFS(OUT!$F$2:$F$11000,OUT!$H$2:$H$11000,H291,OUT!$D$2:$D$11000,"Out",OUT!$E$2:$E$11000,"Iqbal")</f>
        <v>295000</v>
      </c>
    </row>
    <row r="292" spans="1:20" x14ac:dyDescent="0.2">
      <c r="A292" s="48">
        <f ca="1">IFERROR(__xludf.DUMMYFUNCTION("""COMPUTED_VALUE"""),46235)</f>
        <v>46235</v>
      </c>
      <c r="B292" s="4" t="str">
        <f ca="1">IFERROR(__xludf.DUMMYFUNCTION("""COMPUTED_VALUE"""),"ayam dkriuk (6)")</f>
        <v>ayam dkriuk (6)</v>
      </c>
      <c r="C292" s="4" t="str">
        <f ca="1">IFERROR(__xludf.DUMMYFUNCTION("""COMPUTED_VALUE"""),"Cash")</f>
        <v>Cash</v>
      </c>
      <c r="D292" s="4" t="str">
        <f ca="1">IFERROR(__xludf.DUMMYFUNCTION("""COMPUTED_VALUE"""),"Out")</f>
        <v>Out</v>
      </c>
      <c r="E292" s="4" t="str">
        <f ca="1">IFERROR(__xludf.DUMMYFUNCTION("""COMPUTED_VALUE"""),"Kitchen")</f>
        <v>Kitchen</v>
      </c>
      <c r="F292" s="49">
        <f ca="1">IFERROR(__xludf.DUMMYFUNCTION("""COMPUTED_VALUE"""),63000)</f>
        <v>63000</v>
      </c>
      <c r="G292" s="50" t="str">
        <f ca="1">IFERROR(__xludf.DUMMYFUNCTION("""COMPUTED_VALUE"""),"Ibal")</f>
        <v>Ibal</v>
      </c>
      <c r="H292" s="51">
        <f t="shared" ca="1" si="0"/>
        <v>46235</v>
      </c>
      <c r="I292" s="52" t="e">
        <f ca="1">SUMIFS(OUT!$F$2:$F$11000,OUT!$H$2:$H$11000,H292,OUT!$D$2:$D$101007,"In")</f>
        <v>#VALUE!</v>
      </c>
      <c r="J292" s="52">
        <f ca="1">SUMIFS(OUT!$F$2:$F$11000,OUT!$H$2:$H$11000,H292,OUT!$D$2:$D$11000,"Out")</f>
        <v>9573570</v>
      </c>
      <c r="K292" s="52">
        <f ca="1">SUMIFS(OUT!$F$2:$F$11000,OUT!$H$2:$H$11000,H292,OUT!$D$2:$D$11000,"Out",OUT!$E$2:$E$11000,"Fix")</f>
        <v>2533689</v>
      </c>
      <c r="L292" s="52">
        <f ca="1">SUMIFS(OUT!$F$2:$F$11000,OUT!$H$2:$H$11000,H292,OUT!$D$2:$D$11000,"Out",OUT!$E$2:$E$11000,"Bathroom")</f>
        <v>14491</v>
      </c>
      <c r="M292" s="52">
        <f ca="1">SUMIFS(OUT!$F$2:$F$11000,OUT!$H$2:$H$11000,H292,OUT!$D$2:$D$11000,"Out",OUT!$E$2:$E$11000,"Alfa")</f>
        <v>452769</v>
      </c>
      <c r="N292" s="52" t="e">
        <f ca="1">SUMIFS(OUT!$F$2:$F$11000,OUT!$H$2:$H$101007,H292,OUT!$D$2:$D$11000,"Out",OUT!$E$2:$E$11000,"Jajan")</f>
        <v>#VALUE!</v>
      </c>
      <c r="O292" s="52">
        <f ca="1">SUMIFS(OUT!$F$2:$F$11000,OUT!$H$2:$H$11000,H292,OUT!$D$2:$D$11000,"Out",OUT!$E$2:$E$11000,"Kitchen")</f>
        <v>1584204</v>
      </c>
      <c r="P292" s="52">
        <f ca="1">SUMIFS(OUT!$F$2:$F$11000,OUT!$H$2:$H$11000,H292,OUT!$D$2:$D$11000,"Out",OUT!$E$2:$E$11000,"Loandry")</f>
        <v>43448</v>
      </c>
      <c r="Q292" s="52">
        <f ca="1">SUMIFS(OUT!$F$2:$F$11000,OUT!$H$2:$H$11000,H292,OUT!$D$2:$D$11000,"Out",OUT!$E$2:$E$11000,"Mio")</f>
        <v>329000</v>
      </c>
      <c r="R292" s="52">
        <f ca="1">SUMIFS(OUT!$F$2:$F$11000,OUT!$H$2:$H$11000,H292,OUT!$D$2:$D$11000,"Out",OUT!$E$2:$E$11000,"Sedekah")</f>
        <v>5000</v>
      </c>
      <c r="S292" s="52">
        <f ca="1">SUMIFS(OUT!$F$2:$F$11000,OUT!$H$2:$H$11000,H292,OUT!$D$2:$D$11000,"Out",OUT!$E$2:$E$11000,"Zela")</f>
        <v>40500</v>
      </c>
      <c r="T292" s="52">
        <f ca="1">SUMIFS(OUT!$F$2:$F$11000,OUT!$H$2:$H$11000,H292,OUT!$D$2:$D$11000,"Out",OUT!$E$2:$E$11000,"Iqbal")</f>
        <v>295000</v>
      </c>
    </row>
    <row r="293" spans="1:20" x14ac:dyDescent="0.2">
      <c r="A293" s="48">
        <f ca="1">IFERROR(__xludf.DUMMYFUNCTION("""COMPUTED_VALUE"""),46235)</f>
        <v>46235</v>
      </c>
      <c r="B293" s="4" t="str">
        <f ca="1">IFERROR(__xludf.DUMMYFUNCTION("""COMPUTED_VALUE"""),"rokok")</f>
        <v>rokok</v>
      </c>
      <c r="C293" s="4" t="str">
        <f ca="1">IFERROR(__xludf.DUMMYFUNCTION("""COMPUTED_VALUE"""),"Cash")</f>
        <v>Cash</v>
      </c>
      <c r="D293" s="4" t="str">
        <f ca="1">IFERROR(__xludf.DUMMYFUNCTION("""COMPUTED_VALUE"""),"Out")</f>
        <v>Out</v>
      </c>
      <c r="E293" s="4" t="str">
        <f ca="1">IFERROR(__xludf.DUMMYFUNCTION("""COMPUTED_VALUE"""),"Iqbal")</f>
        <v>Iqbal</v>
      </c>
      <c r="F293" s="49">
        <f ca="1">IFERROR(__xludf.DUMMYFUNCTION("""COMPUTED_VALUE"""),16000)</f>
        <v>16000</v>
      </c>
      <c r="G293" s="50" t="str">
        <f ca="1">IFERROR(__xludf.DUMMYFUNCTION("""COMPUTED_VALUE"""),"Ibal")</f>
        <v>Ibal</v>
      </c>
      <c r="H293" s="51">
        <f t="shared" ca="1" si="0"/>
        <v>46235</v>
      </c>
      <c r="I293" s="52" t="e">
        <f ca="1">SUMIFS(OUT!$F$2:$F$11000,OUT!$H$2:$H$11000,H293,OUT!$D$2:$D$101007,"In")</f>
        <v>#VALUE!</v>
      </c>
      <c r="J293" s="52">
        <f ca="1">SUMIFS(OUT!$F$2:$F$11000,OUT!$H$2:$H$11000,H293,OUT!$D$2:$D$11000,"Out")</f>
        <v>9573570</v>
      </c>
      <c r="K293" s="52">
        <f ca="1">SUMIFS(OUT!$F$2:$F$11000,OUT!$H$2:$H$11000,H293,OUT!$D$2:$D$11000,"Out",OUT!$E$2:$E$11000,"Fix")</f>
        <v>2533689</v>
      </c>
      <c r="L293" s="52">
        <f ca="1">SUMIFS(OUT!$F$2:$F$11000,OUT!$H$2:$H$11000,H293,OUT!$D$2:$D$11000,"Out",OUT!$E$2:$E$11000,"Bathroom")</f>
        <v>14491</v>
      </c>
      <c r="M293" s="52">
        <f ca="1">SUMIFS(OUT!$F$2:$F$11000,OUT!$H$2:$H$11000,H293,OUT!$D$2:$D$11000,"Out",OUT!$E$2:$E$11000,"Alfa")</f>
        <v>452769</v>
      </c>
      <c r="N293" s="52" t="e">
        <f ca="1">SUMIFS(OUT!$F$2:$F$11000,OUT!$H$2:$H$101007,H293,OUT!$D$2:$D$11000,"Out",OUT!$E$2:$E$11000,"Jajan")</f>
        <v>#VALUE!</v>
      </c>
      <c r="O293" s="52">
        <f ca="1">SUMIFS(OUT!$F$2:$F$11000,OUT!$H$2:$H$11000,H293,OUT!$D$2:$D$11000,"Out",OUT!$E$2:$E$11000,"Kitchen")</f>
        <v>1584204</v>
      </c>
      <c r="P293" s="52">
        <f ca="1">SUMIFS(OUT!$F$2:$F$11000,OUT!$H$2:$H$11000,H293,OUT!$D$2:$D$11000,"Out",OUT!$E$2:$E$11000,"Loandry")</f>
        <v>43448</v>
      </c>
      <c r="Q293" s="52">
        <f ca="1">SUMIFS(OUT!$F$2:$F$11000,OUT!$H$2:$H$11000,H293,OUT!$D$2:$D$11000,"Out",OUT!$E$2:$E$11000,"Mio")</f>
        <v>329000</v>
      </c>
      <c r="R293" s="52">
        <f ca="1">SUMIFS(OUT!$F$2:$F$11000,OUT!$H$2:$H$11000,H293,OUT!$D$2:$D$11000,"Out",OUT!$E$2:$E$11000,"Sedekah")</f>
        <v>5000</v>
      </c>
      <c r="S293" s="52">
        <f ca="1">SUMIFS(OUT!$F$2:$F$11000,OUT!$H$2:$H$11000,H293,OUT!$D$2:$D$11000,"Out",OUT!$E$2:$E$11000,"Zela")</f>
        <v>40500</v>
      </c>
      <c r="T293" s="52">
        <f ca="1">SUMIFS(OUT!$F$2:$F$11000,OUT!$H$2:$H$11000,H293,OUT!$D$2:$D$11000,"Out",OUT!$E$2:$E$11000,"Iqbal")</f>
        <v>295000</v>
      </c>
    </row>
    <row r="294" spans="1:20" x14ac:dyDescent="0.2">
      <c r="A294" s="48">
        <f ca="1">IFERROR(__xludf.DUMMYFUNCTION("""COMPUTED_VALUE"""),46235)</f>
        <v>46235</v>
      </c>
      <c r="B294" s="4" t="str">
        <f ca="1">IFERROR(__xludf.DUMMYFUNCTION("""COMPUTED_VALUE"""),"golda")</f>
        <v>golda</v>
      </c>
      <c r="C294" s="4" t="str">
        <f ca="1">IFERROR(__xludf.DUMMYFUNCTION("""COMPUTED_VALUE"""),"Cash")</f>
        <v>Cash</v>
      </c>
      <c r="D294" s="4" t="str">
        <f ca="1">IFERROR(__xludf.DUMMYFUNCTION("""COMPUTED_VALUE"""),"Out")</f>
        <v>Out</v>
      </c>
      <c r="E294" s="4" t="str">
        <f ca="1">IFERROR(__xludf.DUMMYFUNCTION("""COMPUTED_VALUE"""),"Iqbal")</f>
        <v>Iqbal</v>
      </c>
      <c r="F294" s="49">
        <f ca="1">IFERROR(__xludf.DUMMYFUNCTION("""COMPUTED_VALUE"""),10000)</f>
        <v>10000</v>
      </c>
      <c r="G294" s="50" t="str">
        <f ca="1">IFERROR(__xludf.DUMMYFUNCTION("""COMPUTED_VALUE"""),"Ibal")</f>
        <v>Ibal</v>
      </c>
      <c r="H294" s="51">
        <f t="shared" ca="1" si="0"/>
        <v>46235</v>
      </c>
      <c r="I294" s="52" t="e">
        <f ca="1">SUMIFS(OUT!$F$2:$F$11000,OUT!$H$2:$H$11000,H294,OUT!$D$2:$D$101007,"In")</f>
        <v>#VALUE!</v>
      </c>
      <c r="J294" s="52">
        <f ca="1">SUMIFS(OUT!$F$2:$F$11000,OUT!$H$2:$H$11000,H294,OUT!$D$2:$D$11000,"Out")</f>
        <v>9573570</v>
      </c>
      <c r="K294" s="52">
        <f ca="1">SUMIFS(OUT!$F$2:$F$11000,OUT!$H$2:$H$11000,H294,OUT!$D$2:$D$11000,"Out",OUT!$E$2:$E$11000,"Fix")</f>
        <v>2533689</v>
      </c>
      <c r="L294" s="52">
        <f ca="1">SUMIFS(OUT!$F$2:$F$11000,OUT!$H$2:$H$11000,H294,OUT!$D$2:$D$11000,"Out",OUT!$E$2:$E$11000,"Bathroom")</f>
        <v>14491</v>
      </c>
      <c r="M294" s="52">
        <f ca="1">SUMIFS(OUT!$F$2:$F$11000,OUT!$H$2:$H$11000,H294,OUT!$D$2:$D$11000,"Out",OUT!$E$2:$E$11000,"Alfa")</f>
        <v>452769</v>
      </c>
      <c r="N294" s="52" t="e">
        <f ca="1">SUMIFS(OUT!$F$2:$F$11000,OUT!$H$2:$H$101007,H294,OUT!$D$2:$D$11000,"Out",OUT!$E$2:$E$11000,"Jajan")</f>
        <v>#VALUE!</v>
      </c>
      <c r="O294" s="52">
        <f ca="1">SUMIFS(OUT!$F$2:$F$11000,OUT!$H$2:$H$11000,H294,OUT!$D$2:$D$11000,"Out",OUT!$E$2:$E$11000,"Kitchen")</f>
        <v>1584204</v>
      </c>
      <c r="P294" s="52">
        <f ca="1">SUMIFS(OUT!$F$2:$F$11000,OUT!$H$2:$H$11000,H294,OUT!$D$2:$D$11000,"Out",OUT!$E$2:$E$11000,"Loandry")</f>
        <v>43448</v>
      </c>
      <c r="Q294" s="52">
        <f ca="1">SUMIFS(OUT!$F$2:$F$11000,OUT!$H$2:$H$11000,H294,OUT!$D$2:$D$11000,"Out",OUT!$E$2:$E$11000,"Mio")</f>
        <v>329000</v>
      </c>
      <c r="R294" s="52">
        <f ca="1">SUMIFS(OUT!$F$2:$F$11000,OUT!$H$2:$H$11000,H294,OUT!$D$2:$D$11000,"Out",OUT!$E$2:$E$11000,"Sedekah")</f>
        <v>5000</v>
      </c>
      <c r="S294" s="52">
        <f ca="1">SUMIFS(OUT!$F$2:$F$11000,OUT!$H$2:$H$11000,H294,OUT!$D$2:$D$11000,"Out",OUT!$E$2:$E$11000,"Zela")</f>
        <v>40500</v>
      </c>
      <c r="T294" s="52">
        <f ca="1">SUMIFS(OUT!$F$2:$F$11000,OUT!$H$2:$H$11000,H294,OUT!$D$2:$D$11000,"Out",OUT!$E$2:$E$11000,"Iqbal")</f>
        <v>295000</v>
      </c>
    </row>
    <row r="295" spans="1:20" x14ac:dyDescent="0.2">
      <c r="A295" s="48">
        <f ca="1">IFERROR(__xludf.DUMMYFUNCTION("""COMPUTED_VALUE"""),46235)</f>
        <v>46235</v>
      </c>
      <c r="B295" s="4" t="str">
        <f ca="1">IFERROR(__xludf.DUMMYFUNCTION("""COMPUTED_VALUE"""),"dramamin")</f>
        <v>dramamin</v>
      </c>
      <c r="C295" s="4" t="str">
        <f ca="1">IFERROR(__xludf.DUMMYFUNCTION("""COMPUTED_VALUE"""),"Cash")</f>
        <v>Cash</v>
      </c>
      <c r="D295" s="4" t="str">
        <f ca="1">IFERROR(__xludf.DUMMYFUNCTION("""COMPUTED_VALUE"""),"Out")</f>
        <v>Out</v>
      </c>
      <c r="E295" s="4" t="str">
        <f ca="1">IFERROR(__xludf.DUMMYFUNCTION("""COMPUTED_VALUE"""),"Iqbal")</f>
        <v>Iqbal</v>
      </c>
      <c r="F295" s="49">
        <f ca="1">IFERROR(__xludf.DUMMYFUNCTION("""COMPUTED_VALUE"""),12000)</f>
        <v>12000</v>
      </c>
      <c r="G295" s="50" t="str">
        <f ca="1">IFERROR(__xludf.DUMMYFUNCTION("""COMPUTED_VALUE"""),"Ibal")</f>
        <v>Ibal</v>
      </c>
      <c r="H295" s="51">
        <f t="shared" ca="1" si="0"/>
        <v>46235</v>
      </c>
      <c r="I295" s="52" t="e">
        <f ca="1">SUMIFS(OUT!$F$2:$F$11000,OUT!$H$2:$H$11000,H295,OUT!$D$2:$D$101007,"In")</f>
        <v>#VALUE!</v>
      </c>
      <c r="J295" s="52">
        <f ca="1">SUMIFS(OUT!$F$2:$F$11000,OUT!$H$2:$H$11000,H295,OUT!$D$2:$D$11000,"Out")</f>
        <v>9573570</v>
      </c>
      <c r="K295" s="52">
        <f ca="1">SUMIFS(OUT!$F$2:$F$11000,OUT!$H$2:$H$11000,H295,OUT!$D$2:$D$11000,"Out",OUT!$E$2:$E$11000,"Fix")</f>
        <v>2533689</v>
      </c>
      <c r="L295" s="52">
        <f ca="1">SUMIFS(OUT!$F$2:$F$11000,OUT!$H$2:$H$11000,H295,OUT!$D$2:$D$11000,"Out",OUT!$E$2:$E$11000,"Bathroom")</f>
        <v>14491</v>
      </c>
      <c r="M295" s="52">
        <f ca="1">SUMIFS(OUT!$F$2:$F$11000,OUT!$H$2:$H$11000,H295,OUT!$D$2:$D$11000,"Out",OUT!$E$2:$E$11000,"Alfa")</f>
        <v>452769</v>
      </c>
      <c r="N295" s="52" t="e">
        <f ca="1">SUMIFS(OUT!$F$2:$F$11000,OUT!$H$2:$H$101007,H295,OUT!$D$2:$D$11000,"Out",OUT!$E$2:$E$11000,"Jajan")</f>
        <v>#VALUE!</v>
      </c>
      <c r="O295" s="52">
        <f ca="1">SUMIFS(OUT!$F$2:$F$11000,OUT!$H$2:$H$11000,H295,OUT!$D$2:$D$11000,"Out",OUT!$E$2:$E$11000,"Kitchen")</f>
        <v>1584204</v>
      </c>
      <c r="P295" s="52">
        <f ca="1">SUMIFS(OUT!$F$2:$F$11000,OUT!$H$2:$H$11000,H295,OUT!$D$2:$D$11000,"Out",OUT!$E$2:$E$11000,"Loandry")</f>
        <v>43448</v>
      </c>
      <c r="Q295" s="52">
        <f ca="1">SUMIFS(OUT!$F$2:$F$11000,OUT!$H$2:$H$11000,H295,OUT!$D$2:$D$11000,"Out",OUT!$E$2:$E$11000,"Mio")</f>
        <v>329000</v>
      </c>
      <c r="R295" s="52">
        <f ca="1">SUMIFS(OUT!$F$2:$F$11000,OUT!$H$2:$H$11000,H295,OUT!$D$2:$D$11000,"Out",OUT!$E$2:$E$11000,"Sedekah")</f>
        <v>5000</v>
      </c>
      <c r="S295" s="52">
        <f ca="1">SUMIFS(OUT!$F$2:$F$11000,OUT!$H$2:$H$11000,H295,OUT!$D$2:$D$11000,"Out",OUT!$E$2:$E$11000,"Zela")</f>
        <v>40500</v>
      </c>
      <c r="T295" s="52">
        <f ca="1">SUMIFS(OUT!$F$2:$F$11000,OUT!$H$2:$H$11000,H295,OUT!$D$2:$D$11000,"Out",OUT!$E$2:$E$11000,"Iqbal")</f>
        <v>295000</v>
      </c>
    </row>
    <row r="296" spans="1:20" x14ac:dyDescent="0.2">
      <c r="A296" s="48">
        <f ca="1">IFERROR(__xludf.DUMMYFUNCTION("""COMPUTED_VALUE"""),46235)</f>
        <v>46235</v>
      </c>
      <c r="B296" s="4" t="str">
        <f ca="1">IFERROR(__xludf.DUMMYFUNCTION("""COMPUTED_VALUE"""),"golda")</f>
        <v>golda</v>
      </c>
      <c r="C296" s="4" t="str">
        <f ca="1">IFERROR(__xludf.DUMMYFUNCTION("""COMPUTED_VALUE"""),"ATM")</f>
        <v>ATM</v>
      </c>
      <c r="D296" s="4" t="str">
        <f ca="1">IFERROR(__xludf.DUMMYFUNCTION("""COMPUTED_VALUE"""),"Out")</f>
        <v>Out</v>
      </c>
      <c r="E296" s="4" t="str">
        <f ca="1">IFERROR(__xludf.DUMMYFUNCTION("""COMPUTED_VALUE"""),"Iqbal")</f>
        <v>Iqbal</v>
      </c>
      <c r="F296" s="49">
        <f ca="1">IFERROR(__xludf.DUMMYFUNCTION("""COMPUTED_VALUE"""),10000)</f>
        <v>10000</v>
      </c>
      <c r="G296" s="50" t="str">
        <f ca="1">IFERROR(__xludf.DUMMYFUNCTION("""COMPUTED_VALUE"""),"Ibal")</f>
        <v>Ibal</v>
      </c>
      <c r="H296" s="51">
        <f t="shared" ca="1" si="0"/>
        <v>46235</v>
      </c>
      <c r="I296" s="52" t="e">
        <f ca="1">SUMIFS(OUT!$F$2:$F$11000,OUT!$H$2:$H$11000,H296,OUT!$D$2:$D$101007,"In")</f>
        <v>#VALUE!</v>
      </c>
      <c r="J296" s="52">
        <f ca="1">SUMIFS(OUT!$F$2:$F$11000,OUT!$H$2:$H$11000,H296,OUT!$D$2:$D$11000,"Out")</f>
        <v>9573570</v>
      </c>
      <c r="K296" s="52">
        <f ca="1">SUMIFS(OUT!$F$2:$F$11000,OUT!$H$2:$H$11000,H296,OUT!$D$2:$D$11000,"Out",OUT!$E$2:$E$11000,"Fix")</f>
        <v>2533689</v>
      </c>
      <c r="L296" s="52">
        <f ca="1">SUMIFS(OUT!$F$2:$F$11000,OUT!$H$2:$H$11000,H296,OUT!$D$2:$D$11000,"Out",OUT!$E$2:$E$11000,"Bathroom")</f>
        <v>14491</v>
      </c>
      <c r="M296" s="52">
        <f ca="1">SUMIFS(OUT!$F$2:$F$11000,OUT!$H$2:$H$11000,H296,OUT!$D$2:$D$11000,"Out",OUT!$E$2:$E$11000,"Alfa")</f>
        <v>452769</v>
      </c>
      <c r="N296" s="52" t="e">
        <f ca="1">SUMIFS(OUT!$F$2:$F$11000,OUT!$H$2:$H$101007,H296,OUT!$D$2:$D$11000,"Out",OUT!$E$2:$E$11000,"Jajan")</f>
        <v>#VALUE!</v>
      </c>
      <c r="O296" s="52">
        <f ca="1">SUMIFS(OUT!$F$2:$F$11000,OUT!$H$2:$H$11000,H296,OUT!$D$2:$D$11000,"Out",OUT!$E$2:$E$11000,"Kitchen")</f>
        <v>1584204</v>
      </c>
      <c r="P296" s="52">
        <f ca="1">SUMIFS(OUT!$F$2:$F$11000,OUT!$H$2:$H$11000,H296,OUT!$D$2:$D$11000,"Out",OUT!$E$2:$E$11000,"Loandry")</f>
        <v>43448</v>
      </c>
      <c r="Q296" s="52">
        <f ca="1">SUMIFS(OUT!$F$2:$F$11000,OUT!$H$2:$H$11000,H296,OUT!$D$2:$D$11000,"Out",OUT!$E$2:$E$11000,"Mio")</f>
        <v>329000</v>
      </c>
      <c r="R296" s="52">
        <f ca="1">SUMIFS(OUT!$F$2:$F$11000,OUT!$H$2:$H$11000,H296,OUT!$D$2:$D$11000,"Out",OUT!$E$2:$E$11000,"Sedekah")</f>
        <v>5000</v>
      </c>
      <c r="S296" s="52">
        <f ca="1">SUMIFS(OUT!$F$2:$F$11000,OUT!$H$2:$H$11000,H296,OUT!$D$2:$D$11000,"Out",OUT!$E$2:$E$11000,"Zela")</f>
        <v>40500</v>
      </c>
      <c r="T296" s="52">
        <f ca="1">SUMIFS(OUT!$F$2:$F$11000,OUT!$H$2:$H$11000,H296,OUT!$D$2:$D$11000,"Out",OUT!$E$2:$E$11000,"Iqbal")</f>
        <v>295000</v>
      </c>
    </row>
    <row r="297" spans="1:20" x14ac:dyDescent="0.2">
      <c r="A297" s="48">
        <f ca="1">IFERROR(__xludf.DUMMYFUNCTION("""COMPUTED_VALUE"""),46236)</f>
        <v>46236</v>
      </c>
      <c r="B297" s="4" t="str">
        <f ca="1">IFERROR(__xludf.DUMMYFUNCTION("""COMPUTED_VALUE"""),"tiktok")</f>
        <v>tiktok</v>
      </c>
      <c r="C297" s="4" t="str">
        <f ca="1">IFERROR(__xludf.DUMMYFUNCTION("""COMPUTED_VALUE"""),"ATM")</f>
        <v>ATM</v>
      </c>
      <c r="D297" s="4" t="str">
        <f ca="1">IFERROR(__xludf.DUMMYFUNCTION("""COMPUTED_VALUE"""),"In")</f>
        <v>In</v>
      </c>
      <c r="E297" s="4" t="str">
        <f ca="1">IFERROR(__xludf.DUMMYFUNCTION("""COMPUTED_VALUE"""),"Fix")</f>
        <v>Fix</v>
      </c>
      <c r="F297" s="49">
        <f ca="1">IFERROR(__xludf.DUMMYFUNCTION("""COMPUTED_VALUE"""),217506)</f>
        <v>217506</v>
      </c>
      <c r="G297" s="50" t="str">
        <f ca="1">IFERROR(__xludf.DUMMYFUNCTION("""COMPUTED_VALUE"""),"Ibal")</f>
        <v>Ibal</v>
      </c>
      <c r="H297" s="51">
        <f t="shared" ca="1" si="0"/>
        <v>46235</v>
      </c>
      <c r="I297" s="52" t="e">
        <f ca="1">SUMIFS(OUT!$F$2:$F$11000,OUT!$H$2:$H$11000,H297,OUT!$D$2:$D$101007,"In")</f>
        <v>#VALUE!</v>
      </c>
      <c r="J297" s="52">
        <f ca="1">SUMIFS(OUT!$F$2:$F$11000,OUT!$H$2:$H$11000,H297,OUT!$D$2:$D$11000,"Out")</f>
        <v>9573570</v>
      </c>
      <c r="K297" s="52">
        <f ca="1">SUMIFS(OUT!$F$2:$F$11000,OUT!$H$2:$H$11000,H297,OUT!$D$2:$D$11000,"Out",OUT!$E$2:$E$11000,"Fix")</f>
        <v>2533689</v>
      </c>
      <c r="L297" s="52">
        <f ca="1">SUMIFS(OUT!$F$2:$F$11000,OUT!$H$2:$H$11000,H297,OUT!$D$2:$D$11000,"Out",OUT!$E$2:$E$11000,"Bathroom")</f>
        <v>14491</v>
      </c>
      <c r="M297" s="52">
        <f ca="1">SUMIFS(OUT!$F$2:$F$11000,OUT!$H$2:$H$11000,H297,OUT!$D$2:$D$11000,"Out",OUT!$E$2:$E$11000,"Alfa")</f>
        <v>452769</v>
      </c>
      <c r="N297" s="52" t="e">
        <f ca="1">SUMIFS(OUT!$F$2:$F$11000,OUT!$H$2:$H$101007,H297,OUT!$D$2:$D$11000,"Out",OUT!$E$2:$E$11000,"Jajan")</f>
        <v>#VALUE!</v>
      </c>
      <c r="O297" s="52">
        <f ca="1">SUMIFS(OUT!$F$2:$F$11000,OUT!$H$2:$H$11000,H297,OUT!$D$2:$D$11000,"Out",OUT!$E$2:$E$11000,"Kitchen")</f>
        <v>1584204</v>
      </c>
      <c r="P297" s="52">
        <f ca="1">SUMIFS(OUT!$F$2:$F$11000,OUT!$H$2:$H$11000,H297,OUT!$D$2:$D$11000,"Out",OUT!$E$2:$E$11000,"Loandry")</f>
        <v>43448</v>
      </c>
      <c r="Q297" s="52">
        <f ca="1">SUMIFS(OUT!$F$2:$F$11000,OUT!$H$2:$H$11000,H297,OUT!$D$2:$D$11000,"Out",OUT!$E$2:$E$11000,"Mio")</f>
        <v>329000</v>
      </c>
      <c r="R297" s="52">
        <f ca="1">SUMIFS(OUT!$F$2:$F$11000,OUT!$H$2:$H$11000,H297,OUT!$D$2:$D$11000,"Out",OUT!$E$2:$E$11000,"Sedekah")</f>
        <v>5000</v>
      </c>
      <c r="S297" s="52">
        <f ca="1">SUMIFS(OUT!$F$2:$F$11000,OUT!$H$2:$H$11000,H297,OUT!$D$2:$D$11000,"Out",OUT!$E$2:$E$11000,"Zela")</f>
        <v>40500</v>
      </c>
      <c r="T297" s="52">
        <f ca="1">SUMIFS(OUT!$F$2:$F$11000,OUT!$H$2:$H$11000,H297,OUT!$D$2:$D$11000,"Out",OUT!$E$2:$E$11000,"Iqbal")</f>
        <v>295000</v>
      </c>
    </row>
    <row r="298" spans="1:20" x14ac:dyDescent="0.2">
      <c r="A298" s="48">
        <f ca="1">IFERROR(__xludf.DUMMYFUNCTION("""COMPUTED_VALUE"""),46236)</f>
        <v>46236</v>
      </c>
      <c r="B298" s="4" t="str">
        <f ca="1">IFERROR(__xludf.DUMMYFUNCTION("""COMPUTED_VALUE"""),"kue kue")</f>
        <v>kue kue</v>
      </c>
      <c r="C298" s="4" t="str">
        <f ca="1">IFERROR(__xludf.DUMMYFUNCTION("""COMPUTED_VALUE"""),"ATM")</f>
        <v>ATM</v>
      </c>
      <c r="D298" s="4" t="str">
        <f ca="1">IFERROR(__xludf.DUMMYFUNCTION("""COMPUTED_VALUE"""),"Out")</f>
        <v>Out</v>
      </c>
      <c r="E298" s="4" t="str">
        <f ca="1">IFERROR(__xludf.DUMMYFUNCTION("""COMPUTED_VALUE"""),"Jajan")</f>
        <v>Jajan</v>
      </c>
      <c r="F298" s="49">
        <f ca="1">IFERROR(__xludf.DUMMYFUNCTION("""COMPUTED_VALUE"""),15000)</f>
        <v>15000</v>
      </c>
      <c r="G298" s="50" t="str">
        <f ca="1">IFERROR(__xludf.DUMMYFUNCTION("""COMPUTED_VALUE"""),"Ibal")</f>
        <v>Ibal</v>
      </c>
      <c r="H298" s="51">
        <f t="shared" ca="1" si="0"/>
        <v>46235</v>
      </c>
      <c r="I298" s="52" t="e">
        <f ca="1">SUMIFS(OUT!$F$2:$F$11000,OUT!$H$2:$H$11000,H298,OUT!$D$2:$D$101007,"In")</f>
        <v>#VALUE!</v>
      </c>
      <c r="J298" s="52">
        <f ca="1">SUMIFS(OUT!$F$2:$F$11000,OUT!$H$2:$H$11000,H298,OUT!$D$2:$D$11000,"Out")</f>
        <v>9573570</v>
      </c>
      <c r="K298" s="52">
        <f ca="1">SUMIFS(OUT!$F$2:$F$11000,OUT!$H$2:$H$11000,H298,OUT!$D$2:$D$11000,"Out",OUT!$E$2:$E$11000,"Fix")</f>
        <v>2533689</v>
      </c>
      <c r="L298" s="52">
        <f ca="1">SUMIFS(OUT!$F$2:$F$11000,OUT!$H$2:$H$11000,H298,OUT!$D$2:$D$11000,"Out",OUT!$E$2:$E$11000,"Bathroom")</f>
        <v>14491</v>
      </c>
      <c r="M298" s="52">
        <f ca="1">SUMIFS(OUT!$F$2:$F$11000,OUT!$H$2:$H$11000,H298,OUT!$D$2:$D$11000,"Out",OUT!$E$2:$E$11000,"Alfa")</f>
        <v>452769</v>
      </c>
      <c r="N298" s="52" t="e">
        <f ca="1">SUMIFS(OUT!$F$2:$F$11000,OUT!$H$2:$H$101007,H298,OUT!$D$2:$D$11000,"Out",OUT!$E$2:$E$11000,"Jajan")</f>
        <v>#VALUE!</v>
      </c>
      <c r="O298" s="52">
        <f ca="1">SUMIFS(OUT!$F$2:$F$11000,OUT!$H$2:$H$11000,H298,OUT!$D$2:$D$11000,"Out",OUT!$E$2:$E$11000,"Kitchen")</f>
        <v>1584204</v>
      </c>
      <c r="P298" s="52">
        <f ca="1">SUMIFS(OUT!$F$2:$F$11000,OUT!$H$2:$H$11000,H298,OUT!$D$2:$D$11000,"Out",OUT!$E$2:$E$11000,"Loandry")</f>
        <v>43448</v>
      </c>
      <c r="Q298" s="52">
        <f ca="1">SUMIFS(OUT!$F$2:$F$11000,OUT!$H$2:$H$11000,H298,OUT!$D$2:$D$11000,"Out",OUT!$E$2:$E$11000,"Mio")</f>
        <v>329000</v>
      </c>
      <c r="R298" s="52">
        <f ca="1">SUMIFS(OUT!$F$2:$F$11000,OUT!$H$2:$H$11000,H298,OUT!$D$2:$D$11000,"Out",OUT!$E$2:$E$11000,"Sedekah")</f>
        <v>5000</v>
      </c>
      <c r="S298" s="52">
        <f ca="1">SUMIFS(OUT!$F$2:$F$11000,OUT!$H$2:$H$11000,H298,OUT!$D$2:$D$11000,"Out",OUT!$E$2:$E$11000,"Zela")</f>
        <v>40500</v>
      </c>
      <c r="T298" s="52">
        <f ca="1">SUMIFS(OUT!$F$2:$F$11000,OUT!$H$2:$H$11000,H298,OUT!$D$2:$D$11000,"Out",OUT!$E$2:$E$11000,"Iqbal")</f>
        <v>295000</v>
      </c>
    </row>
    <row r="299" spans="1:20" x14ac:dyDescent="0.2">
      <c r="A299" s="48">
        <f ca="1">IFERROR(__xludf.DUMMYFUNCTION("""COMPUTED_VALUE"""),46236)</f>
        <v>46236</v>
      </c>
      <c r="B299" s="4" t="str">
        <f ca="1">IFERROR(__xludf.DUMMYFUNCTION("""COMPUTED_VALUE"""),"?")</f>
        <v>?</v>
      </c>
      <c r="C299" s="4" t="str">
        <f ca="1">IFERROR(__xludf.DUMMYFUNCTION("""COMPUTED_VALUE"""),"ATM")</f>
        <v>ATM</v>
      </c>
      <c r="D299" s="4" t="str">
        <f ca="1">IFERROR(__xludf.DUMMYFUNCTION("""COMPUTED_VALUE"""),"Out")</f>
        <v>Out</v>
      </c>
      <c r="E299" s="4" t="str">
        <f ca="1">IFERROR(__xludf.DUMMYFUNCTION("""COMPUTED_VALUE"""),"Jajan")</f>
        <v>Jajan</v>
      </c>
      <c r="F299" s="49">
        <f ca="1">IFERROR(__xludf.DUMMYFUNCTION("""COMPUTED_VALUE"""),14300)</f>
        <v>14300</v>
      </c>
      <c r="G299" s="50" t="str">
        <f ca="1">IFERROR(__xludf.DUMMYFUNCTION("""COMPUTED_VALUE"""),"Ibal")</f>
        <v>Ibal</v>
      </c>
      <c r="H299" s="51">
        <f t="shared" ca="1" si="0"/>
        <v>46235</v>
      </c>
      <c r="I299" s="52" t="e">
        <f ca="1">SUMIFS(OUT!$F$2:$F$11000,OUT!$H$2:$H$11000,H299,OUT!$D$2:$D$101007,"In")</f>
        <v>#VALUE!</v>
      </c>
      <c r="J299" s="52">
        <f ca="1">SUMIFS(OUT!$F$2:$F$11000,OUT!$H$2:$H$11000,H299,OUT!$D$2:$D$11000,"Out")</f>
        <v>9573570</v>
      </c>
      <c r="K299" s="52">
        <f ca="1">SUMIFS(OUT!$F$2:$F$11000,OUT!$H$2:$H$11000,H299,OUT!$D$2:$D$11000,"Out",OUT!$E$2:$E$11000,"Fix")</f>
        <v>2533689</v>
      </c>
      <c r="L299" s="52">
        <f ca="1">SUMIFS(OUT!$F$2:$F$11000,OUT!$H$2:$H$11000,H299,OUT!$D$2:$D$11000,"Out",OUT!$E$2:$E$11000,"Bathroom")</f>
        <v>14491</v>
      </c>
      <c r="M299" s="52">
        <f ca="1">SUMIFS(OUT!$F$2:$F$11000,OUT!$H$2:$H$11000,H299,OUT!$D$2:$D$11000,"Out",OUT!$E$2:$E$11000,"Alfa")</f>
        <v>452769</v>
      </c>
      <c r="N299" s="52" t="e">
        <f ca="1">SUMIFS(OUT!$F$2:$F$11000,OUT!$H$2:$H$101007,H299,OUT!$D$2:$D$11000,"Out",OUT!$E$2:$E$11000,"Jajan")</f>
        <v>#VALUE!</v>
      </c>
      <c r="O299" s="52">
        <f ca="1">SUMIFS(OUT!$F$2:$F$11000,OUT!$H$2:$H$11000,H299,OUT!$D$2:$D$11000,"Out",OUT!$E$2:$E$11000,"Kitchen")</f>
        <v>1584204</v>
      </c>
      <c r="P299" s="52">
        <f ca="1">SUMIFS(OUT!$F$2:$F$11000,OUT!$H$2:$H$11000,H299,OUT!$D$2:$D$11000,"Out",OUT!$E$2:$E$11000,"Loandry")</f>
        <v>43448</v>
      </c>
      <c r="Q299" s="52">
        <f ca="1">SUMIFS(OUT!$F$2:$F$11000,OUT!$H$2:$H$11000,H299,OUT!$D$2:$D$11000,"Out",OUT!$E$2:$E$11000,"Mio")</f>
        <v>329000</v>
      </c>
      <c r="R299" s="52">
        <f ca="1">SUMIFS(OUT!$F$2:$F$11000,OUT!$H$2:$H$11000,H299,OUT!$D$2:$D$11000,"Out",OUT!$E$2:$E$11000,"Sedekah")</f>
        <v>5000</v>
      </c>
      <c r="S299" s="52">
        <f ca="1">SUMIFS(OUT!$F$2:$F$11000,OUT!$H$2:$H$11000,H299,OUT!$D$2:$D$11000,"Out",OUT!$E$2:$E$11000,"Zela")</f>
        <v>40500</v>
      </c>
      <c r="T299" s="52">
        <f ca="1">SUMIFS(OUT!$F$2:$F$11000,OUT!$H$2:$H$11000,H299,OUT!$D$2:$D$11000,"Out",OUT!$E$2:$E$11000,"Iqbal")</f>
        <v>295000</v>
      </c>
    </row>
    <row r="300" spans="1:20" x14ac:dyDescent="0.2">
      <c r="A300" s="48">
        <f ca="1">IFERROR(__xludf.DUMMYFUNCTION("""COMPUTED_VALUE"""),46236)</f>
        <v>46236</v>
      </c>
      <c r="B300" s="4" t="str">
        <f ca="1">IFERROR(__xludf.DUMMYFUNCTION("""COMPUTED_VALUE"""),"dbesto (2)")</f>
        <v>dbesto (2)</v>
      </c>
      <c r="C300" s="4" t="str">
        <f ca="1">IFERROR(__xludf.DUMMYFUNCTION("""COMPUTED_VALUE"""),"ATM")</f>
        <v>ATM</v>
      </c>
      <c r="D300" s="4" t="str">
        <f ca="1">IFERROR(__xludf.DUMMYFUNCTION("""COMPUTED_VALUE"""),"Out")</f>
        <v>Out</v>
      </c>
      <c r="E300" s="4" t="str">
        <f ca="1">IFERROR(__xludf.DUMMYFUNCTION("""COMPUTED_VALUE"""),"Kitchen")</f>
        <v>Kitchen</v>
      </c>
      <c r="F300" s="49">
        <f ca="1">IFERROR(__xludf.DUMMYFUNCTION("""COMPUTED_VALUE"""),26000)</f>
        <v>26000</v>
      </c>
      <c r="G300" s="50" t="str">
        <f ca="1">IFERROR(__xludf.DUMMYFUNCTION("""COMPUTED_VALUE"""),"Ibal")</f>
        <v>Ibal</v>
      </c>
      <c r="H300" s="51">
        <f t="shared" ca="1" si="0"/>
        <v>46235</v>
      </c>
      <c r="I300" s="52" t="e">
        <f ca="1">SUMIFS(OUT!$F$2:$F$11000,OUT!$H$2:$H$11000,H300,OUT!$D$2:$D$101007,"In")</f>
        <v>#VALUE!</v>
      </c>
      <c r="J300" s="52">
        <f ca="1">SUMIFS(OUT!$F$2:$F$11000,OUT!$H$2:$H$11000,H300,OUT!$D$2:$D$11000,"Out")</f>
        <v>9573570</v>
      </c>
      <c r="K300" s="52">
        <f ca="1">SUMIFS(OUT!$F$2:$F$11000,OUT!$H$2:$H$11000,H300,OUT!$D$2:$D$11000,"Out",OUT!$E$2:$E$11000,"Fix")</f>
        <v>2533689</v>
      </c>
      <c r="L300" s="52">
        <f ca="1">SUMIFS(OUT!$F$2:$F$11000,OUT!$H$2:$H$11000,H300,OUT!$D$2:$D$11000,"Out",OUT!$E$2:$E$11000,"Bathroom")</f>
        <v>14491</v>
      </c>
      <c r="M300" s="52">
        <f ca="1">SUMIFS(OUT!$F$2:$F$11000,OUT!$H$2:$H$11000,H300,OUT!$D$2:$D$11000,"Out",OUT!$E$2:$E$11000,"Alfa")</f>
        <v>452769</v>
      </c>
      <c r="N300" s="52" t="e">
        <f ca="1">SUMIFS(OUT!$F$2:$F$11000,OUT!$H$2:$H$101007,H300,OUT!$D$2:$D$11000,"Out",OUT!$E$2:$E$11000,"Jajan")</f>
        <v>#VALUE!</v>
      </c>
      <c r="O300" s="52">
        <f ca="1">SUMIFS(OUT!$F$2:$F$11000,OUT!$H$2:$H$11000,H300,OUT!$D$2:$D$11000,"Out",OUT!$E$2:$E$11000,"Kitchen")</f>
        <v>1584204</v>
      </c>
      <c r="P300" s="52">
        <f ca="1">SUMIFS(OUT!$F$2:$F$11000,OUT!$H$2:$H$11000,H300,OUT!$D$2:$D$11000,"Out",OUT!$E$2:$E$11000,"Loandry")</f>
        <v>43448</v>
      </c>
      <c r="Q300" s="52">
        <f ca="1">SUMIFS(OUT!$F$2:$F$11000,OUT!$H$2:$H$11000,H300,OUT!$D$2:$D$11000,"Out",OUT!$E$2:$E$11000,"Mio")</f>
        <v>329000</v>
      </c>
      <c r="R300" s="52">
        <f ca="1">SUMIFS(OUT!$F$2:$F$11000,OUT!$H$2:$H$11000,H300,OUT!$D$2:$D$11000,"Out",OUT!$E$2:$E$11000,"Sedekah")</f>
        <v>5000</v>
      </c>
      <c r="S300" s="52">
        <f ca="1">SUMIFS(OUT!$F$2:$F$11000,OUT!$H$2:$H$11000,H300,OUT!$D$2:$D$11000,"Out",OUT!$E$2:$E$11000,"Zela")</f>
        <v>40500</v>
      </c>
      <c r="T300" s="52">
        <f ca="1">SUMIFS(OUT!$F$2:$F$11000,OUT!$H$2:$H$11000,H300,OUT!$D$2:$D$11000,"Out",OUT!$E$2:$E$11000,"Iqbal")</f>
        <v>295000</v>
      </c>
    </row>
    <row r="301" spans="1:20" x14ac:dyDescent="0.2">
      <c r="A301" s="48">
        <f ca="1">IFERROR(__xludf.DUMMYFUNCTION("""COMPUTED_VALUE"""),46236)</f>
        <v>46236</v>
      </c>
      <c r="B301" s="4" t="str">
        <f ca="1">IFERROR(__xludf.DUMMYFUNCTION("""COMPUTED_VALUE"""),"pertalite")</f>
        <v>pertalite</v>
      </c>
      <c r="C301" s="4" t="str">
        <f ca="1">IFERROR(__xludf.DUMMYFUNCTION("""COMPUTED_VALUE"""),"ATM")</f>
        <v>ATM</v>
      </c>
      <c r="D301" s="4" t="str">
        <f ca="1">IFERROR(__xludf.DUMMYFUNCTION("""COMPUTED_VALUE"""),"Out")</f>
        <v>Out</v>
      </c>
      <c r="E301" s="4" t="str">
        <f ca="1">IFERROR(__xludf.DUMMYFUNCTION("""COMPUTED_VALUE"""),"Mio")</f>
        <v>Mio</v>
      </c>
      <c r="F301" s="49">
        <f ca="1">IFERROR(__xludf.DUMMYFUNCTION("""COMPUTED_VALUE"""),20000)</f>
        <v>20000</v>
      </c>
      <c r="G301" s="50" t="str">
        <f ca="1">IFERROR(__xludf.DUMMYFUNCTION("""COMPUTED_VALUE"""),"Ibal")</f>
        <v>Ibal</v>
      </c>
      <c r="H301" s="51">
        <f t="shared" ca="1" si="0"/>
        <v>46235</v>
      </c>
      <c r="I301" s="52" t="e">
        <f ca="1">SUMIFS(OUT!$F$2:$F$11000,OUT!$H$2:$H$11000,H301,OUT!$D$2:$D$101007,"In")</f>
        <v>#VALUE!</v>
      </c>
      <c r="J301" s="52">
        <f ca="1">SUMIFS(OUT!$F$2:$F$11000,OUT!$H$2:$H$11000,H301,OUT!$D$2:$D$11000,"Out")</f>
        <v>9573570</v>
      </c>
      <c r="K301" s="52">
        <f ca="1">SUMIFS(OUT!$F$2:$F$11000,OUT!$H$2:$H$11000,H301,OUT!$D$2:$D$11000,"Out",OUT!$E$2:$E$11000,"Fix")</f>
        <v>2533689</v>
      </c>
      <c r="L301" s="52">
        <f ca="1">SUMIFS(OUT!$F$2:$F$11000,OUT!$H$2:$H$11000,H301,OUT!$D$2:$D$11000,"Out",OUT!$E$2:$E$11000,"Bathroom")</f>
        <v>14491</v>
      </c>
      <c r="M301" s="52">
        <f ca="1">SUMIFS(OUT!$F$2:$F$11000,OUT!$H$2:$H$11000,H301,OUT!$D$2:$D$11000,"Out",OUT!$E$2:$E$11000,"Alfa")</f>
        <v>452769</v>
      </c>
      <c r="N301" s="52" t="e">
        <f ca="1">SUMIFS(OUT!$F$2:$F$11000,OUT!$H$2:$H$101007,H301,OUT!$D$2:$D$11000,"Out",OUT!$E$2:$E$11000,"Jajan")</f>
        <v>#VALUE!</v>
      </c>
      <c r="O301" s="52">
        <f ca="1">SUMIFS(OUT!$F$2:$F$11000,OUT!$H$2:$H$11000,H301,OUT!$D$2:$D$11000,"Out",OUT!$E$2:$E$11000,"Kitchen")</f>
        <v>1584204</v>
      </c>
      <c r="P301" s="52">
        <f ca="1">SUMIFS(OUT!$F$2:$F$11000,OUT!$H$2:$H$11000,H301,OUT!$D$2:$D$11000,"Out",OUT!$E$2:$E$11000,"Loandry")</f>
        <v>43448</v>
      </c>
      <c r="Q301" s="52">
        <f ca="1">SUMIFS(OUT!$F$2:$F$11000,OUT!$H$2:$H$11000,H301,OUT!$D$2:$D$11000,"Out",OUT!$E$2:$E$11000,"Mio")</f>
        <v>329000</v>
      </c>
      <c r="R301" s="52">
        <f ca="1">SUMIFS(OUT!$F$2:$F$11000,OUT!$H$2:$H$11000,H301,OUT!$D$2:$D$11000,"Out",OUT!$E$2:$E$11000,"Sedekah")</f>
        <v>5000</v>
      </c>
      <c r="S301" s="52">
        <f ca="1">SUMIFS(OUT!$F$2:$F$11000,OUT!$H$2:$H$11000,H301,OUT!$D$2:$D$11000,"Out",OUT!$E$2:$E$11000,"Zela")</f>
        <v>40500</v>
      </c>
      <c r="T301" s="52">
        <f ca="1">SUMIFS(OUT!$F$2:$F$11000,OUT!$H$2:$H$11000,H301,OUT!$D$2:$D$11000,"Out",OUT!$E$2:$E$11000,"Iqbal")</f>
        <v>295000</v>
      </c>
    </row>
    <row r="302" spans="1:20" x14ac:dyDescent="0.2">
      <c r="A302" s="48">
        <f ca="1">IFERROR(__xludf.DUMMYFUNCTION("""COMPUTED_VALUE"""),46236)</f>
        <v>46236</v>
      </c>
      <c r="B302" s="4" t="str">
        <f ca="1">IFERROR(__xludf.DUMMYFUNCTION("""COMPUTED_VALUE"""),"roti gepeng")</f>
        <v>roti gepeng</v>
      </c>
      <c r="C302" s="4" t="str">
        <f ca="1">IFERROR(__xludf.DUMMYFUNCTION("""COMPUTED_VALUE"""),"ATM")</f>
        <v>ATM</v>
      </c>
      <c r="D302" s="4" t="str">
        <f ca="1">IFERROR(__xludf.DUMMYFUNCTION("""COMPUTED_VALUE"""),"Out")</f>
        <v>Out</v>
      </c>
      <c r="E302" s="4" t="str">
        <f ca="1">IFERROR(__xludf.DUMMYFUNCTION("""COMPUTED_VALUE"""),"Jajan")</f>
        <v>Jajan</v>
      </c>
      <c r="F302" s="49">
        <f ca="1">IFERROR(__xludf.DUMMYFUNCTION("""COMPUTED_VALUE"""),9000)</f>
        <v>9000</v>
      </c>
      <c r="G302" s="50" t="str">
        <f ca="1">IFERROR(__xludf.DUMMYFUNCTION("""COMPUTED_VALUE"""),"Ibal")</f>
        <v>Ibal</v>
      </c>
      <c r="H302" s="51">
        <f t="shared" ca="1" si="0"/>
        <v>46235</v>
      </c>
      <c r="I302" s="52" t="e">
        <f ca="1">SUMIFS(OUT!$F$2:$F$11000,OUT!$H$2:$H$11000,H302,OUT!$D$2:$D$101007,"In")</f>
        <v>#VALUE!</v>
      </c>
      <c r="J302" s="52">
        <f ca="1">SUMIFS(OUT!$F$2:$F$11000,OUT!$H$2:$H$11000,H302,OUT!$D$2:$D$11000,"Out")</f>
        <v>9573570</v>
      </c>
      <c r="K302" s="52">
        <f ca="1">SUMIFS(OUT!$F$2:$F$11000,OUT!$H$2:$H$11000,H302,OUT!$D$2:$D$11000,"Out",OUT!$E$2:$E$11000,"Fix")</f>
        <v>2533689</v>
      </c>
      <c r="L302" s="52">
        <f ca="1">SUMIFS(OUT!$F$2:$F$11000,OUT!$H$2:$H$11000,H302,OUT!$D$2:$D$11000,"Out",OUT!$E$2:$E$11000,"Bathroom")</f>
        <v>14491</v>
      </c>
      <c r="M302" s="52">
        <f ca="1">SUMIFS(OUT!$F$2:$F$11000,OUT!$H$2:$H$11000,H302,OUT!$D$2:$D$11000,"Out",OUT!$E$2:$E$11000,"Alfa")</f>
        <v>452769</v>
      </c>
      <c r="N302" s="52" t="e">
        <f ca="1">SUMIFS(OUT!$F$2:$F$11000,OUT!$H$2:$H$101007,H302,OUT!$D$2:$D$11000,"Out",OUT!$E$2:$E$11000,"Jajan")</f>
        <v>#VALUE!</v>
      </c>
      <c r="O302" s="52">
        <f ca="1">SUMIFS(OUT!$F$2:$F$11000,OUT!$H$2:$H$11000,H302,OUT!$D$2:$D$11000,"Out",OUT!$E$2:$E$11000,"Kitchen")</f>
        <v>1584204</v>
      </c>
      <c r="P302" s="52">
        <f ca="1">SUMIFS(OUT!$F$2:$F$11000,OUT!$H$2:$H$11000,H302,OUT!$D$2:$D$11000,"Out",OUT!$E$2:$E$11000,"Loandry")</f>
        <v>43448</v>
      </c>
      <c r="Q302" s="52">
        <f ca="1">SUMIFS(OUT!$F$2:$F$11000,OUT!$H$2:$H$11000,H302,OUT!$D$2:$D$11000,"Out",OUT!$E$2:$E$11000,"Mio")</f>
        <v>329000</v>
      </c>
      <c r="R302" s="52">
        <f ca="1">SUMIFS(OUT!$F$2:$F$11000,OUT!$H$2:$H$11000,H302,OUT!$D$2:$D$11000,"Out",OUT!$E$2:$E$11000,"Sedekah")</f>
        <v>5000</v>
      </c>
      <c r="S302" s="52">
        <f ca="1">SUMIFS(OUT!$F$2:$F$11000,OUT!$H$2:$H$11000,H302,OUT!$D$2:$D$11000,"Out",OUT!$E$2:$E$11000,"Zela")</f>
        <v>40500</v>
      </c>
      <c r="T302" s="52">
        <f ca="1">SUMIFS(OUT!$F$2:$F$11000,OUT!$H$2:$H$11000,H302,OUT!$D$2:$D$11000,"Out",OUT!$E$2:$E$11000,"Iqbal")</f>
        <v>295000</v>
      </c>
    </row>
    <row r="303" spans="1:20" x14ac:dyDescent="0.2">
      <c r="A303" s="48">
        <f ca="1">IFERROR(__xludf.DUMMYFUNCTION("""COMPUTED_VALUE"""),46236)</f>
        <v>46236</v>
      </c>
      <c r="B303" s="4" t="str">
        <f ca="1">IFERROR(__xludf.DUMMYFUNCTION("""COMPUTED_VALUE"""),"roti bakar (tiramisu+keju)")</f>
        <v>roti bakar (tiramisu+keju)</v>
      </c>
      <c r="C303" s="4" t="str">
        <f ca="1">IFERROR(__xludf.DUMMYFUNCTION("""COMPUTED_VALUE"""),"ATM")</f>
        <v>ATM</v>
      </c>
      <c r="D303" s="4" t="str">
        <f ca="1">IFERROR(__xludf.DUMMYFUNCTION("""COMPUTED_VALUE"""),"Out")</f>
        <v>Out</v>
      </c>
      <c r="E303" s="4" t="str">
        <f ca="1">IFERROR(__xludf.DUMMYFUNCTION("""COMPUTED_VALUE"""),"Jajan")</f>
        <v>Jajan</v>
      </c>
      <c r="F303" s="49">
        <f ca="1">IFERROR(__xludf.DUMMYFUNCTION("""COMPUTED_VALUE"""),21000)</f>
        <v>21000</v>
      </c>
      <c r="G303" s="50" t="str">
        <f ca="1">IFERROR(__xludf.DUMMYFUNCTION("""COMPUTED_VALUE"""),"Ibal")</f>
        <v>Ibal</v>
      </c>
      <c r="H303" s="51">
        <f t="shared" ca="1" si="0"/>
        <v>46235</v>
      </c>
      <c r="I303" s="52" t="e">
        <f ca="1">SUMIFS(OUT!$F$2:$F$11000,OUT!$H$2:$H$11000,H303,OUT!$D$2:$D$101007,"In")</f>
        <v>#VALUE!</v>
      </c>
      <c r="J303" s="52">
        <f ca="1">SUMIFS(OUT!$F$2:$F$11000,OUT!$H$2:$H$11000,H303,OUT!$D$2:$D$11000,"Out")</f>
        <v>9573570</v>
      </c>
      <c r="K303" s="52">
        <f ca="1">SUMIFS(OUT!$F$2:$F$11000,OUT!$H$2:$H$11000,H303,OUT!$D$2:$D$11000,"Out",OUT!$E$2:$E$11000,"Fix")</f>
        <v>2533689</v>
      </c>
      <c r="L303" s="52">
        <f ca="1">SUMIFS(OUT!$F$2:$F$11000,OUT!$H$2:$H$11000,H303,OUT!$D$2:$D$11000,"Out",OUT!$E$2:$E$11000,"Bathroom")</f>
        <v>14491</v>
      </c>
      <c r="M303" s="52">
        <f ca="1">SUMIFS(OUT!$F$2:$F$11000,OUT!$H$2:$H$11000,H303,OUT!$D$2:$D$11000,"Out",OUT!$E$2:$E$11000,"Alfa")</f>
        <v>452769</v>
      </c>
      <c r="N303" s="52" t="e">
        <f ca="1">SUMIFS(OUT!$F$2:$F$11000,OUT!$H$2:$H$101007,H303,OUT!$D$2:$D$11000,"Out",OUT!$E$2:$E$11000,"Jajan")</f>
        <v>#VALUE!</v>
      </c>
      <c r="O303" s="52">
        <f ca="1">SUMIFS(OUT!$F$2:$F$11000,OUT!$H$2:$H$11000,H303,OUT!$D$2:$D$11000,"Out",OUT!$E$2:$E$11000,"Kitchen")</f>
        <v>1584204</v>
      </c>
      <c r="P303" s="52">
        <f ca="1">SUMIFS(OUT!$F$2:$F$11000,OUT!$H$2:$H$11000,H303,OUT!$D$2:$D$11000,"Out",OUT!$E$2:$E$11000,"Loandry")</f>
        <v>43448</v>
      </c>
      <c r="Q303" s="52">
        <f ca="1">SUMIFS(OUT!$F$2:$F$11000,OUT!$H$2:$H$11000,H303,OUT!$D$2:$D$11000,"Out",OUT!$E$2:$E$11000,"Mio")</f>
        <v>329000</v>
      </c>
      <c r="R303" s="52">
        <f ca="1">SUMIFS(OUT!$F$2:$F$11000,OUT!$H$2:$H$11000,H303,OUT!$D$2:$D$11000,"Out",OUT!$E$2:$E$11000,"Sedekah")</f>
        <v>5000</v>
      </c>
      <c r="S303" s="52">
        <f ca="1">SUMIFS(OUT!$F$2:$F$11000,OUT!$H$2:$H$11000,H303,OUT!$D$2:$D$11000,"Out",OUT!$E$2:$E$11000,"Zela")</f>
        <v>40500</v>
      </c>
      <c r="T303" s="52">
        <f ca="1">SUMIFS(OUT!$F$2:$F$11000,OUT!$H$2:$H$11000,H303,OUT!$D$2:$D$11000,"Out",OUT!$E$2:$E$11000,"Iqbal")</f>
        <v>295000</v>
      </c>
    </row>
    <row r="304" spans="1:20" x14ac:dyDescent="0.2">
      <c r="A304" s="48">
        <f ca="1">IFERROR(__xludf.DUMMYFUNCTION("""COMPUTED_VALUE"""),46236)</f>
        <v>46236</v>
      </c>
      <c r="B304" s="4" t="str">
        <f ca="1">IFERROR(__xludf.DUMMYFUNCTION("""COMPUTED_VALUE"""),"sate")</f>
        <v>sate</v>
      </c>
      <c r="C304" s="4" t="str">
        <f ca="1">IFERROR(__xludf.DUMMYFUNCTION("""COMPUTED_VALUE"""),"ATM")</f>
        <v>ATM</v>
      </c>
      <c r="D304" s="4" t="str">
        <f ca="1">IFERROR(__xludf.DUMMYFUNCTION("""COMPUTED_VALUE"""),"Out")</f>
        <v>Out</v>
      </c>
      <c r="E304" s="4" t="str">
        <f ca="1">IFERROR(__xludf.DUMMYFUNCTION("""COMPUTED_VALUE"""),"Kitchen")</f>
        <v>Kitchen</v>
      </c>
      <c r="F304" s="49">
        <f ca="1">IFERROR(__xludf.DUMMYFUNCTION("""COMPUTED_VALUE"""),15000)</f>
        <v>15000</v>
      </c>
      <c r="G304" s="50" t="str">
        <f ca="1">IFERROR(__xludf.DUMMYFUNCTION("""COMPUTED_VALUE"""),"Ibal")</f>
        <v>Ibal</v>
      </c>
      <c r="H304" s="51">
        <f t="shared" ca="1" si="0"/>
        <v>46235</v>
      </c>
      <c r="I304" s="52" t="e">
        <f ca="1">SUMIFS(OUT!$F$2:$F$11000,OUT!$H$2:$H$11000,H304,OUT!$D$2:$D$101007,"In")</f>
        <v>#VALUE!</v>
      </c>
      <c r="J304" s="52">
        <f ca="1">SUMIFS(OUT!$F$2:$F$11000,OUT!$H$2:$H$11000,H304,OUT!$D$2:$D$11000,"Out")</f>
        <v>9573570</v>
      </c>
      <c r="K304" s="52">
        <f ca="1">SUMIFS(OUT!$F$2:$F$11000,OUT!$H$2:$H$11000,H304,OUT!$D$2:$D$11000,"Out",OUT!$E$2:$E$11000,"Fix")</f>
        <v>2533689</v>
      </c>
      <c r="L304" s="52">
        <f ca="1">SUMIFS(OUT!$F$2:$F$11000,OUT!$H$2:$H$11000,H304,OUT!$D$2:$D$11000,"Out",OUT!$E$2:$E$11000,"Bathroom")</f>
        <v>14491</v>
      </c>
      <c r="M304" s="52">
        <f ca="1">SUMIFS(OUT!$F$2:$F$11000,OUT!$H$2:$H$11000,H304,OUT!$D$2:$D$11000,"Out",OUT!$E$2:$E$11000,"Alfa")</f>
        <v>452769</v>
      </c>
      <c r="N304" s="52" t="e">
        <f ca="1">SUMIFS(OUT!$F$2:$F$11000,OUT!$H$2:$H$101007,H304,OUT!$D$2:$D$11000,"Out",OUT!$E$2:$E$11000,"Jajan")</f>
        <v>#VALUE!</v>
      </c>
      <c r="O304" s="52">
        <f ca="1">SUMIFS(OUT!$F$2:$F$11000,OUT!$H$2:$H$11000,H304,OUT!$D$2:$D$11000,"Out",OUT!$E$2:$E$11000,"Kitchen")</f>
        <v>1584204</v>
      </c>
      <c r="P304" s="52">
        <f ca="1">SUMIFS(OUT!$F$2:$F$11000,OUT!$H$2:$H$11000,H304,OUT!$D$2:$D$11000,"Out",OUT!$E$2:$E$11000,"Loandry")</f>
        <v>43448</v>
      </c>
      <c r="Q304" s="52">
        <f ca="1">SUMIFS(OUT!$F$2:$F$11000,OUT!$H$2:$H$11000,H304,OUT!$D$2:$D$11000,"Out",OUT!$E$2:$E$11000,"Mio")</f>
        <v>329000</v>
      </c>
      <c r="R304" s="52">
        <f ca="1">SUMIFS(OUT!$F$2:$F$11000,OUT!$H$2:$H$11000,H304,OUT!$D$2:$D$11000,"Out",OUT!$E$2:$E$11000,"Sedekah")</f>
        <v>5000</v>
      </c>
      <c r="S304" s="52">
        <f ca="1">SUMIFS(OUT!$F$2:$F$11000,OUT!$H$2:$H$11000,H304,OUT!$D$2:$D$11000,"Out",OUT!$E$2:$E$11000,"Zela")</f>
        <v>40500</v>
      </c>
      <c r="T304" s="52">
        <f ca="1">SUMIFS(OUT!$F$2:$F$11000,OUT!$H$2:$H$11000,H304,OUT!$D$2:$D$11000,"Out",OUT!$E$2:$E$11000,"Iqbal")</f>
        <v>295000</v>
      </c>
    </row>
    <row r="305" spans="1:20" x14ac:dyDescent="0.2">
      <c r="A305" s="48">
        <f ca="1">IFERROR(__xludf.DUMMYFUNCTION("""COMPUTED_VALUE"""),46236)</f>
        <v>46236</v>
      </c>
      <c r="B305" s="4" t="str">
        <f ca="1">IFERROR(__xludf.DUMMYFUNCTION("""COMPUTED_VALUE"""),"teh botol + green tea")</f>
        <v>teh botol + green tea</v>
      </c>
      <c r="C305" s="4" t="str">
        <f ca="1">IFERROR(__xludf.DUMMYFUNCTION("""COMPUTED_VALUE"""),"ATM")</f>
        <v>ATM</v>
      </c>
      <c r="D305" s="4" t="str">
        <f ca="1">IFERROR(__xludf.DUMMYFUNCTION("""COMPUTED_VALUE"""),"Out")</f>
        <v>Out</v>
      </c>
      <c r="E305" s="4" t="str">
        <f ca="1">IFERROR(__xludf.DUMMYFUNCTION("""COMPUTED_VALUE"""),"Jajan")</f>
        <v>Jajan</v>
      </c>
      <c r="F305" s="49">
        <f ca="1">IFERROR(__xludf.DUMMYFUNCTION("""COMPUTED_VALUE"""),8700)</f>
        <v>8700</v>
      </c>
      <c r="G305" s="50" t="str">
        <f ca="1">IFERROR(__xludf.DUMMYFUNCTION("""COMPUTED_VALUE"""),"Ibal")</f>
        <v>Ibal</v>
      </c>
      <c r="H305" s="51">
        <f t="shared" ca="1" si="0"/>
        <v>46235</v>
      </c>
      <c r="I305" s="52" t="e">
        <f ca="1">SUMIFS(OUT!$F$2:$F$11000,OUT!$H$2:$H$11000,H305,OUT!$D$2:$D$101007,"In")</f>
        <v>#VALUE!</v>
      </c>
      <c r="J305" s="52">
        <f ca="1">SUMIFS(OUT!$F$2:$F$11000,OUT!$H$2:$H$11000,H305,OUT!$D$2:$D$11000,"Out")</f>
        <v>9573570</v>
      </c>
      <c r="K305" s="52">
        <f ca="1">SUMIFS(OUT!$F$2:$F$11000,OUT!$H$2:$H$11000,H305,OUT!$D$2:$D$11000,"Out",OUT!$E$2:$E$11000,"Fix")</f>
        <v>2533689</v>
      </c>
      <c r="L305" s="52">
        <f ca="1">SUMIFS(OUT!$F$2:$F$11000,OUT!$H$2:$H$11000,H305,OUT!$D$2:$D$11000,"Out",OUT!$E$2:$E$11000,"Bathroom")</f>
        <v>14491</v>
      </c>
      <c r="M305" s="52">
        <f ca="1">SUMIFS(OUT!$F$2:$F$11000,OUT!$H$2:$H$11000,H305,OUT!$D$2:$D$11000,"Out",OUT!$E$2:$E$11000,"Alfa")</f>
        <v>452769</v>
      </c>
      <c r="N305" s="52" t="e">
        <f ca="1">SUMIFS(OUT!$F$2:$F$11000,OUT!$H$2:$H$101007,H305,OUT!$D$2:$D$11000,"Out",OUT!$E$2:$E$11000,"Jajan")</f>
        <v>#VALUE!</v>
      </c>
      <c r="O305" s="52">
        <f ca="1">SUMIFS(OUT!$F$2:$F$11000,OUT!$H$2:$H$11000,H305,OUT!$D$2:$D$11000,"Out",OUT!$E$2:$E$11000,"Kitchen")</f>
        <v>1584204</v>
      </c>
      <c r="P305" s="52">
        <f ca="1">SUMIFS(OUT!$F$2:$F$11000,OUT!$H$2:$H$11000,H305,OUT!$D$2:$D$11000,"Out",OUT!$E$2:$E$11000,"Loandry")</f>
        <v>43448</v>
      </c>
      <c r="Q305" s="52">
        <f ca="1">SUMIFS(OUT!$F$2:$F$11000,OUT!$H$2:$H$11000,H305,OUT!$D$2:$D$11000,"Out",OUT!$E$2:$E$11000,"Mio")</f>
        <v>329000</v>
      </c>
      <c r="R305" s="52">
        <f ca="1">SUMIFS(OUT!$F$2:$F$11000,OUT!$H$2:$H$11000,H305,OUT!$D$2:$D$11000,"Out",OUT!$E$2:$E$11000,"Sedekah")</f>
        <v>5000</v>
      </c>
      <c r="S305" s="52">
        <f ca="1">SUMIFS(OUT!$F$2:$F$11000,OUT!$H$2:$H$11000,H305,OUT!$D$2:$D$11000,"Out",OUT!$E$2:$E$11000,"Zela")</f>
        <v>40500</v>
      </c>
      <c r="T305" s="52">
        <f ca="1">SUMIFS(OUT!$F$2:$F$11000,OUT!$H$2:$H$11000,H305,OUT!$D$2:$D$11000,"Out",OUT!$E$2:$E$11000,"Iqbal")</f>
        <v>295000</v>
      </c>
    </row>
    <row r="306" spans="1:20" x14ac:dyDescent="0.2">
      <c r="A306" s="48">
        <f ca="1">IFERROR(__xludf.DUMMYFUNCTION("""COMPUTED_VALUE"""),46236)</f>
        <v>46236</v>
      </c>
      <c r="B306" s="4" t="str">
        <f ca="1">IFERROR(__xludf.DUMMYFUNCTION("""COMPUTED_VALUE"""),"teh telor")</f>
        <v>teh telor</v>
      </c>
      <c r="C306" s="4" t="str">
        <f ca="1">IFERROR(__xludf.DUMMYFUNCTION("""COMPUTED_VALUE"""),"ATM")</f>
        <v>ATM</v>
      </c>
      <c r="D306" s="4" t="str">
        <f ca="1">IFERROR(__xludf.DUMMYFUNCTION("""COMPUTED_VALUE"""),"Out")</f>
        <v>Out</v>
      </c>
      <c r="E306" s="4" t="str">
        <f ca="1">IFERROR(__xludf.DUMMYFUNCTION("""COMPUTED_VALUE"""),"Iqbal")</f>
        <v>Iqbal</v>
      </c>
      <c r="F306" s="49">
        <f ca="1">IFERROR(__xludf.DUMMYFUNCTION("""COMPUTED_VALUE"""),11000)</f>
        <v>11000</v>
      </c>
      <c r="G306" s="50" t="str">
        <f ca="1">IFERROR(__xludf.DUMMYFUNCTION("""COMPUTED_VALUE"""),"Ibal")</f>
        <v>Ibal</v>
      </c>
      <c r="H306" s="51">
        <f t="shared" ca="1" si="0"/>
        <v>46235</v>
      </c>
      <c r="I306" s="52" t="e">
        <f ca="1">SUMIFS(OUT!$F$2:$F$11000,OUT!$H$2:$H$11000,H306,OUT!$D$2:$D$101007,"In")</f>
        <v>#VALUE!</v>
      </c>
      <c r="J306" s="52">
        <f ca="1">SUMIFS(OUT!$F$2:$F$11000,OUT!$H$2:$H$11000,H306,OUT!$D$2:$D$11000,"Out")</f>
        <v>9573570</v>
      </c>
      <c r="K306" s="52">
        <f ca="1">SUMIFS(OUT!$F$2:$F$11000,OUT!$H$2:$H$11000,H306,OUT!$D$2:$D$11000,"Out",OUT!$E$2:$E$11000,"Fix")</f>
        <v>2533689</v>
      </c>
      <c r="L306" s="52">
        <f ca="1">SUMIFS(OUT!$F$2:$F$11000,OUT!$H$2:$H$11000,H306,OUT!$D$2:$D$11000,"Out",OUT!$E$2:$E$11000,"Bathroom")</f>
        <v>14491</v>
      </c>
      <c r="M306" s="52">
        <f ca="1">SUMIFS(OUT!$F$2:$F$11000,OUT!$H$2:$H$11000,H306,OUT!$D$2:$D$11000,"Out",OUT!$E$2:$E$11000,"Alfa")</f>
        <v>452769</v>
      </c>
      <c r="N306" s="52" t="e">
        <f ca="1">SUMIFS(OUT!$F$2:$F$11000,OUT!$H$2:$H$101007,H306,OUT!$D$2:$D$11000,"Out",OUT!$E$2:$E$11000,"Jajan")</f>
        <v>#VALUE!</v>
      </c>
      <c r="O306" s="52">
        <f ca="1">SUMIFS(OUT!$F$2:$F$11000,OUT!$H$2:$H$11000,H306,OUT!$D$2:$D$11000,"Out",OUT!$E$2:$E$11000,"Kitchen")</f>
        <v>1584204</v>
      </c>
      <c r="P306" s="52">
        <f ca="1">SUMIFS(OUT!$F$2:$F$11000,OUT!$H$2:$H$11000,H306,OUT!$D$2:$D$11000,"Out",OUT!$E$2:$E$11000,"Loandry")</f>
        <v>43448</v>
      </c>
      <c r="Q306" s="52">
        <f ca="1">SUMIFS(OUT!$F$2:$F$11000,OUT!$H$2:$H$11000,H306,OUT!$D$2:$D$11000,"Out",OUT!$E$2:$E$11000,"Mio")</f>
        <v>329000</v>
      </c>
      <c r="R306" s="52">
        <f ca="1">SUMIFS(OUT!$F$2:$F$11000,OUT!$H$2:$H$11000,H306,OUT!$D$2:$D$11000,"Out",OUT!$E$2:$E$11000,"Sedekah")</f>
        <v>5000</v>
      </c>
      <c r="S306" s="52">
        <f ca="1">SUMIFS(OUT!$F$2:$F$11000,OUT!$H$2:$H$11000,H306,OUT!$D$2:$D$11000,"Out",OUT!$E$2:$E$11000,"Zela")</f>
        <v>40500</v>
      </c>
      <c r="T306" s="52">
        <f ca="1">SUMIFS(OUT!$F$2:$F$11000,OUT!$H$2:$H$11000,H306,OUT!$D$2:$D$11000,"Out",OUT!$E$2:$E$11000,"Iqbal")</f>
        <v>295000</v>
      </c>
    </row>
    <row r="307" spans="1:20" x14ac:dyDescent="0.2">
      <c r="A307" s="48">
        <f ca="1">IFERROR(__xludf.DUMMYFUNCTION("""COMPUTED_VALUE"""),46237)</f>
        <v>46237</v>
      </c>
      <c r="B307" s="4" t="str">
        <f ca="1">IFERROR(__xludf.DUMMYFUNCTION("""COMPUTED_VALUE"""),"Gaji (Juli 2026)")</f>
        <v>Gaji (Juli 2026)</v>
      </c>
      <c r="C307" s="4" t="str">
        <f ca="1">IFERROR(__xludf.DUMMYFUNCTION("""COMPUTED_VALUE"""),"ATM")</f>
        <v>ATM</v>
      </c>
      <c r="D307" s="4" t="str">
        <f ca="1">IFERROR(__xludf.DUMMYFUNCTION("""COMPUTED_VALUE"""),"In")</f>
        <v>In</v>
      </c>
      <c r="E307" s="4" t="str">
        <f ca="1">IFERROR(__xludf.DUMMYFUNCTION("""COMPUTED_VALUE"""),"Fix")</f>
        <v>Fix</v>
      </c>
      <c r="F307" s="49">
        <f ca="1">IFERROR(__xludf.DUMMYFUNCTION("""COMPUTED_VALUE"""),4383235)</f>
        <v>4383235</v>
      </c>
      <c r="G307" s="50" t="str">
        <f ca="1">IFERROR(__xludf.DUMMYFUNCTION("""COMPUTED_VALUE"""),"Ibal")</f>
        <v>Ibal</v>
      </c>
      <c r="H307" s="51">
        <f t="shared" ca="1" si="0"/>
        <v>46235</v>
      </c>
      <c r="I307" s="52" t="e">
        <f ca="1">SUMIFS(OUT!$F$2:$F$11000,OUT!$H$2:$H$11000,H307,OUT!$D$2:$D$101007,"In")</f>
        <v>#VALUE!</v>
      </c>
      <c r="J307" s="52">
        <f ca="1">SUMIFS(OUT!$F$2:$F$11000,OUT!$H$2:$H$11000,H307,OUT!$D$2:$D$11000,"Out")</f>
        <v>9573570</v>
      </c>
      <c r="K307" s="52">
        <f ca="1">SUMIFS(OUT!$F$2:$F$11000,OUT!$H$2:$H$11000,H307,OUT!$D$2:$D$11000,"Out",OUT!$E$2:$E$11000,"Fix")</f>
        <v>2533689</v>
      </c>
      <c r="L307" s="52">
        <f ca="1">SUMIFS(OUT!$F$2:$F$11000,OUT!$H$2:$H$11000,H307,OUT!$D$2:$D$11000,"Out",OUT!$E$2:$E$11000,"Bathroom")</f>
        <v>14491</v>
      </c>
      <c r="M307" s="52">
        <f ca="1">SUMIFS(OUT!$F$2:$F$11000,OUT!$H$2:$H$11000,H307,OUT!$D$2:$D$11000,"Out",OUT!$E$2:$E$11000,"Alfa")</f>
        <v>452769</v>
      </c>
      <c r="N307" s="52" t="e">
        <f ca="1">SUMIFS(OUT!$F$2:$F$11000,OUT!$H$2:$H$101007,H307,OUT!$D$2:$D$11000,"Out",OUT!$E$2:$E$11000,"Jajan")</f>
        <v>#VALUE!</v>
      </c>
      <c r="O307" s="52">
        <f ca="1">SUMIFS(OUT!$F$2:$F$11000,OUT!$H$2:$H$11000,H307,OUT!$D$2:$D$11000,"Out",OUT!$E$2:$E$11000,"Kitchen")</f>
        <v>1584204</v>
      </c>
      <c r="P307" s="52">
        <f ca="1">SUMIFS(OUT!$F$2:$F$11000,OUT!$H$2:$H$11000,H307,OUT!$D$2:$D$11000,"Out",OUT!$E$2:$E$11000,"Loandry")</f>
        <v>43448</v>
      </c>
      <c r="Q307" s="52">
        <f ca="1">SUMIFS(OUT!$F$2:$F$11000,OUT!$H$2:$H$11000,H307,OUT!$D$2:$D$11000,"Out",OUT!$E$2:$E$11000,"Mio")</f>
        <v>329000</v>
      </c>
      <c r="R307" s="52">
        <f ca="1">SUMIFS(OUT!$F$2:$F$11000,OUT!$H$2:$H$11000,H307,OUT!$D$2:$D$11000,"Out",OUT!$E$2:$E$11000,"Sedekah")</f>
        <v>5000</v>
      </c>
      <c r="S307" s="52">
        <f ca="1">SUMIFS(OUT!$F$2:$F$11000,OUT!$H$2:$H$11000,H307,OUT!$D$2:$D$11000,"Out",OUT!$E$2:$E$11000,"Zela")</f>
        <v>40500</v>
      </c>
      <c r="T307" s="52">
        <f ca="1">SUMIFS(OUT!$F$2:$F$11000,OUT!$H$2:$H$11000,H307,OUT!$D$2:$D$11000,"Out",OUT!$E$2:$E$11000,"Iqbal")</f>
        <v>295000</v>
      </c>
    </row>
    <row r="308" spans="1:20" x14ac:dyDescent="0.2">
      <c r="A308" s="48">
        <f ca="1">IFERROR(__xludf.DUMMYFUNCTION("""COMPUTED_VALUE"""),46237)</f>
        <v>46237</v>
      </c>
      <c r="B308" s="4" t="str">
        <f ca="1">IFERROR(__xludf.DUMMYFUNCTION("""COMPUTED_VALUE"""),"Iqbal Shopee (11)")</f>
        <v>Iqbal Shopee (11)</v>
      </c>
      <c r="C308" s="4" t="str">
        <f ca="1">IFERROR(__xludf.DUMMYFUNCTION("""COMPUTED_VALUE"""),"ATM")</f>
        <v>ATM</v>
      </c>
      <c r="D308" s="4" t="str">
        <f ca="1">IFERROR(__xludf.DUMMYFUNCTION("""COMPUTED_VALUE"""),"Out")</f>
        <v>Out</v>
      </c>
      <c r="E308" s="4" t="str">
        <f ca="1">IFERROR(__xludf.DUMMYFUNCTION("""COMPUTED_VALUE"""),"Fix")</f>
        <v>Fix</v>
      </c>
      <c r="F308" s="49">
        <f ca="1">IFERROR(__xludf.DUMMYFUNCTION("""COMPUTED_VALUE"""),624137)</f>
        <v>624137</v>
      </c>
      <c r="G308" s="50" t="str">
        <f ca="1">IFERROR(__xludf.DUMMYFUNCTION("""COMPUTED_VALUE"""),"Ibal")</f>
        <v>Ibal</v>
      </c>
      <c r="H308" s="51">
        <f t="shared" ca="1" si="0"/>
        <v>46235</v>
      </c>
      <c r="I308" s="52" t="e">
        <f ca="1">SUMIFS(OUT!$F$2:$F$11000,OUT!$H$2:$H$11000,H308,OUT!$D$2:$D$101007,"In")</f>
        <v>#VALUE!</v>
      </c>
      <c r="J308" s="52">
        <f ca="1">SUMIFS(OUT!$F$2:$F$11000,OUT!$H$2:$H$11000,H308,OUT!$D$2:$D$11000,"Out")</f>
        <v>9573570</v>
      </c>
      <c r="K308" s="52">
        <f ca="1">SUMIFS(OUT!$F$2:$F$11000,OUT!$H$2:$H$11000,H308,OUT!$D$2:$D$11000,"Out",OUT!$E$2:$E$11000,"Fix")</f>
        <v>2533689</v>
      </c>
      <c r="L308" s="52">
        <f ca="1">SUMIFS(OUT!$F$2:$F$11000,OUT!$H$2:$H$11000,H308,OUT!$D$2:$D$11000,"Out",OUT!$E$2:$E$11000,"Bathroom")</f>
        <v>14491</v>
      </c>
      <c r="M308" s="52">
        <f ca="1">SUMIFS(OUT!$F$2:$F$11000,OUT!$H$2:$H$11000,H308,OUT!$D$2:$D$11000,"Out",OUT!$E$2:$E$11000,"Alfa")</f>
        <v>452769</v>
      </c>
      <c r="N308" s="52" t="e">
        <f ca="1">SUMIFS(OUT!$F$2:$F$11000,OUT!$H$2:$H$101007,H308,OUT!$D$2:$D$11000,"Out",OUT!$E$2:$E$11000,"Jajan")</f>
        <v>#VALUE!</v>
      </c>
      <c r="O308" s="52">
        <f ca="1">SUMIFS(OUT!$F$2:$F$11000,OUT!$H$2:$H$11000,H308,OUT!$D$2:$D$11000,"Out",OUT!$E$2:$E$11000,"Kitchen")</f>
        <v>1584204</v>
      </c>
      <c r="P308" s="52">
        <f ca="1">SUMIFS(OUT!$F$2:$F$11000,OUT!$H$2:$H$11000,H308,OUT!$D$2:$D$11000,"Out",OUT!$E$2:$E$11000,"Loandry")</f>
        <v>43448</v>
      </c>
      <c r="Q308" s="52">
        <f ca="1">SUMIFS(OUT!$F$2:$F$11000,OUT!$H$2:$H$11000,H308,OUT!$D$2:$D$11000,"Out",OUT!$E$2:$E$11000,"Mio")</f>
        <v>329000</v>
      </c>
      <c r="R308" s="52">
        <f ca="1">SUMIFS(OUT!$F$2:$F$11000,OUT!$H$2:$H$11000,H308,OUT!$D$2:$D$11000,"Out",OUT!$E$2:$E$11000,"Sedekah")</f>
        <v>5000</v>
      </c>
      <c r="S308" s="52">
        <f ca="1">SUMIFS(OUT!$F$2:$F$11000,OUT!$H$2:$H$11000,H308,OUT!$D$2:$D$11000,"Out",OUT!$E$2:$E$11000,"Zela")</f>
        <v>40500</v>
      </c>
      <c r="T308" s="52">
        <f ca="1">SUMIFS(OUT!$F$2:$F$11000,OUT!$H$2:$H$11000,H308,OUT!$D$2:$D$11000,"Out",OUT!$E$2:$E$11000,"Iqbal")</f>
        <v>295000</v>
      </c>
    </row>
    <row r="309" spans="1:20" x14ac:dyDescent="0.2">
      <c r="A309" s="48">
        <f ca="1">IFERROR(__xludf.DUMMYFUNCTION("""COMPUTED_VALUE"""),46237)</f>
        <v>46237</v>
      </c>
      <c r="B309" s="4" t="str">
        <f ca="1">IFERROR(__xludf.DUMMYFUNCTION("""COMPUTED_VALUE"""),"Bayr utang Adi")</f>
        <v>Bayr utang Adi</v>
      </c>
      <c r="C309" s="4" t="str">
        <f ca="1">IFERROR(__xludf.DUMMYFUNCTION("""COMPUTED_VALUE"""),"ATM")</f>
        <v>ATM</v>
      </c>
      <c r="D309" s="4" t="str">
        <f ca="1">IFERROR(__xludf.DUMMYFUNCTION("""COMPUTED_VALUE"""),"Out")</f>
        <v>Out</v>
      </c>
      <c r="E309" s="4" t="str">
        <f ca="1">IFERROR(__xludf.DUMMYFUNCTION("""COMPUTED_VALUE"""),"Fix")</f>
        <v>Fix</v>
      </c>
      <c r="F309" s="49">
        <f ca="1">IFERROR(__xludf.DUMMYFUNCTION("""COMPUTED_VALUE"""),300000)</f>
        <v>300000</v>
      </c>
      <c r="G309" s="50" t="str">
        <f ca="1">IFERROR(__xludf.DUMMYFUNCTION("""COMPUTED_VALUE"""),"Ibal")</f>
        <v>Ibal</v>
      </c>
      <c r="H309" s="51">
        <f t="shared" ca="1" si="0"/>
        <v>46235</v>
      </c>
      <c r="I309" s="52" t="e">
        <f ca="1">SUMIFS(OUT!$F$2:$F$11000,OUT!$H$2:$H$11000,H309,OUT!$D$2:$D$101007,"In")</f>
        <v>#VALUE!</v>
      </c>
      <c r="J309" s="52">
        <f ca="1">SUMIFS(OUT!$F$2:$F$11000,OUT!$H$2:$H$11000,H309,OUT!$D$2:$D$11000,"Out")</f>
        <v>9573570</v>
      </c>
      <c r="K309" s="52">
        <f ca="1">SUMIFS(OUT!$F$2:$F$11000,OUT!$H$2:$H$11000,H309,OUT!$D$2:$D$11000,"Out",OUT!$E$2:$E$11000,"Fix")</f>
        <v>2533689</v>
      </c>
      <c r="L309" s="52">
        <f ca="1">SUMIFS(OUT!$F$2:$F$11000,OUT!$H$2:$H$11000,H309,OUT!$D$2:$D$11000,"Out",OUT!$E$2:$E$11000,"Bathroom")</f>
        <v>14491</v>
      </c>
      <c r="M309" s="52">
        <f ca="1">SUMIFS(OUT!$F$2:$F$11000,OUT!$H$2:$H$11000,H309,OUT!$D$2:$D$11000,"Out",OUT!$E$2:$E$11000,"Alfa")</f>
        <v>452769</v>
      </c>
      <c r="N309" s="52" t="e">
        <f ca="1">SUMIFS(OUT!$F$2:$F$11000,OUT!$H$2:$H$101007,H309,OUT!$D$2:$D$11000,"Out",OUT!$E$2:$E$11000,"Jajan")</f>
        <v>#VALUE!</v>
      </c>
      <c r="O309" s="52">
        <f ca="1">SUMIFS(OUT!$F$2:$F$11000,OUT!$H$2:$H$11000,H309,OUT!$D$2:$D$11000,"Out",OUT!$E$2:$E$11000,"Kitchen")</f>
        <v>1584204</v>
      </c>
      <c r="P309" s="52">
        <f ca="1">SUMIFS(OUT!$F$2:$F$11000,OUT!$H$2:$H$11000,H309,OUT!$D$2:$D$11000,"Out",OUT!$E$2:$E$11000,"Loandry")</f>
        <v>43448</v>
      </c>
      <c r="Q309" s="52">
        <f ca="1">SUMIFS(OUT!$F$2:$F$11000,OUT!$H$2:$H$11000,H309,OUT!$D$2:$D$11000,"Out",OUT!$E$2:$E$11000,"Mio")</f>
        <v>329000</v>
      </c>
      <c r="R309" s="52">
        <f ca="1">SUMIFS(OUT!$F$2:$F$11000,OUT!$H$2:$H$11000,H309,OUT!$D$2:$D$11000,"Out",OUT!$E$2:$E$11000,"Sedekah")</f>
        <v>5000</v>
      </c>
      <c r="S309" s="52">
        <f ca="1">SUMIFS(OUT!$F$2:$F$11000,OUT!$H$2:$H$11000,H309,OUT!$D$2:$D$11000,"Out",OUT!$E$2:$E$11000,"Zela")</f>
        <v>40500</v>
      </c>
      <c r="T309" s="52">
        <f ca="1">SUMIFS(OUT!$F$2:$F$11000,OUT!$H$2:$H$11000,H309,OUT!$D$2:$D$11000,"Out",OUT!$E$2:$E$11000,"Iqbal")</f>
        <v>295000</v>
      </c>
    </row>
    <row r="310" spans="1:20" x14ac:dyDescent="0.2">
      <c r="A310" s="48">
        <f ca="1">IFERROR(__xludf.DUMMYFUNCTION("""COMPUTED_VALUE"""),46237)</f>
        <v>46237</v>
      </c>
      <c r="B310" s="4" t="str">
        <f ca="1">IFERROR(__xludf.DUMMYFUNCTION("""COMPUTED_VALUE"""),"Kable Duct (Lunas)")</f>
        <v>Kable Duct (Lunas)</v>
      </c>
      <c r="C310" s="4" t="str">
        <f ca="1">IFERROR(__xludf.DUMMYFUNCTION("""COMPUTED_VALUE"""),"ATM")</f>
        <v>ATM</v>
      </c>
      <c r="D310" s="4" t="str">
        <f ca="1">IFERROR(__xludf.DUMMYFUNCTION("""COMPUTED_VALUE"""),"Out")</f>
        <v>Out</v>
      </c>
      <c r="E310" s="4" t="str">
        <f ca="1">IFERROR(__xludf.DUMMYFUNCTION("""COMPUTED_VALUE"""),"Fix")</f>
        <v>Fix</v>
      </c>
      <c r="F310" s="49">
        <f ca="1">IFERROR(__xludf.DUMMYFUNCTION("""COMPUTED_VALUE"""),17541)</f>
        <v>17541</v>
      </c>
      <c r="G310" s="50" t="str">
        <f ca="1">IFERROR(__xludf.DUMMYFUNCTION("""COMPUTED_VALUE"""),"Ibal")</f>
        <v>Ibal</v>
      </c>
      <c r="H310" s="51">
        <f t="shared" ca="1" si="0"/>
        <v>46235</v>
      </c>
      <c r="I310" s="52" t="e">
        <f ca="1">SUMIFS(OUT!$F$2:$F$11000,OUT!$H$2:$H$11000,H310,OUT!$D$2:$D$101007,"In")</f>
        <v>#VALUE!</v>
      </c>
      <c r="J310" s="52">
        <f ca="1">SUMIFS(OUT!$F$2:$F$11000,OUT!$H$2:$H$11000,H310,OUT!$D$2:$D$11000,"Out")</f>
        <v>9573570</v>
      </c>
      <c r="K310" s="52">
        <f ca="1">SUMIFS(OUT!$F$2:$F$11000,OUT!$H$2:$H$11000,H310,OUT!$D$2:$D$11000,"Out",OUT!$E$2:$E$11000,"Fix")</f>
        <v>2533689</v>
      </c>
      <c r="L310" s="52">
        <f ca="1">SUMIFS(OUT!$F$2:$F$11000,OUT!$H$2:$H$11000,H310,OUT!$D$2:$D$11000,"Out",OUT!$E$2:$E$11000,"Bathroom")</f>
        <v>14491</v>
      </c>
      <c r="M310" s="52">
        <f ca="1">SUMIFS(OUT!$F$2:$F$11000,OUT!$H$2:$H$11000,H310,OUT!$D$2:$D$11000,"Out",OUT!$E$2:$E$11000,"Alfa")</f>
        <v>452769</v>
      </c>
      <c r="N310" s="52" t="e">
        <f ca="1">SUMIFS(OUT!$F$2:$F$11000,OUT!$H$2:$H$101007,H310,OUT!$D$2:$D$11000,"Out",OUT!$E$2:$E$11000,"Jajan")</f>
        <v>#VALUE!</v>
      </c>
      <c r="O310" s="52">
        <f ca="1">SUMIFS(OUT!$F$2:$F$11000,OUT!$H$2:$H$11000,H310,OUT!$D$2:$D$11000,"Out",OUT!$E$2:$E$11000,"Kitchen")</f>
        <v>1584204</v>
      </c>
      <c r="P310" s="52">
        <f ca="1">SUMIFS(OUT!$F$2:$F$11000,OUT!$H$2:$H$11000,H310,OUT!$D$2:$D$11000,"Out",OUT!$E$2:$E$11000,"Loandry")</f>
        <v>43448</v>
      </c>
      <c r="Q310" s="52">
        <f ca="1">SUMIFS(OUT!$F$2:$F$11000,OUT!$H$2:$H$11000,H310,OUT!$D$2:$D$11000,"Out",OUT!$E$2:$E$11000,"Mio")</f>
        <v>329000</v>
      </c>
      <c r="R310" s="52">
        <f ca="1">SUMIFS(OUT!$F$2:$F$11000,OUT!$H$2:$H$11000,H310,OUT!$D$2:$D$11000,"Out",OUT!$E$2:$E$11000,"Sedekah")</f>
        <v>5000</v>
      </c>
      <c r="S310" s="52">
        <f ca="1">SUMIFS(OUT!$F$2:$F$11000,OUT!$H$2:$H$11000,H310,OUT!$D$2:$D$11000,"Out",OUT!$E$2:$E$11000,"Zela")</f>
        <v>40500</v>
      </c>
      <c r="T310" s="52">
        <f ca="1">SUMIFS(OUT!$F$2:$F$11000,OUT!$H$2:$H$11000,H310,OUT!$D$2:$D$11000,"Out",OUT!$E$2:$E$11000,"Iqbal")</f>
        <v>295000</v>
      </c>
    </row>
    <row r="311" spans="1:20" x14ac:dyDescent="0.2">
      <c r="A311" s="48">
        <f ca="1">IFERROR(__xludf.DUMMYFUNCTION("""COMPUTED_VALUE"""),46237)</f>
        <v>46237</v>
      </c>
      <c r="B311" s="4" t="str">
        <f ca="1">IFERROR(__xludf.DUMMYFUNCTION("""COMPUTED_VALUE"""),"Service Mio (3)")</f>
        <v>Service Mio (3)</v>
      </c>
      <c r="C311" s="4" t="str">
        <f ca="1">IFERROR(__xludf.DUMMYFUNCTION("""COMPUTED_VALUE"""),"ATM")</f>
        <v>ATM</v>
      </c>
      <c r="D311" s="4" t="str">
        <f ca="1">IFERROR(__xludf.DUMMYFUNCTION("""COMPUTED_VALUE"""),"Out")</f>
        <v>Out</v>
      </c>
      <c r="E311" s="4" t="str">
        <f ca="1">IFERROR(__xludf.DUMMYFUNCTION("""COMPUTED_VALUE"""),"Fix")</f>
        <v>Fix</v>
      </c>
      <c r="F311" s="49">
        <f ca="1">IFERROR(__xludf.DUMMYFUNCTION("""COMPUTED_VALUE"""),92333)</f>
        <v>92333</v>
      </c>
      <c r="G311" s="50" t="str">
        <f ca="1">IFERROR(__xludf.DUMMYFUNCTION("""COMPUTED_VALUE"""),"Ibal")</f>
        <v>Ibal</v>
      </c>
      <c r="H311" s="51">
        <f t="shared" ca="1" si="0"/>
        <v>46235</v>
      </c>
      <c r="I311" s="52" t="e">
        <f ca="1">SUMIFS(OUT!$F$2:$F$11000,OUT!$H$2:$H$11000,H311,OUT!$D$2:$D$101007,"In")</f>
        <v>#VALUE!</v>
      </c>
      <c r="J311" s="52">
        <f ca="1">SUMIFS(OUT!$F$2:$F$11000,OUT!$H$2:$H$11000,H311,OUT!$D$2:$D$11000,"Out")</f>
        <v>9573570</v>
      </c>
      <c r="K311" s="52">
        <f ca="1">SUMIFS(OUT!$F$2:$F$11000,OUT!$H$2:$H$11000,H311,OUT!$D$2:$D$11000,"Out",OUT!$E$2:$E$11000,"Fix")</f>
        <v>2533689</v>
      </c>
      <c r="L311" s="52">
        <f ca="1">SUMIFS(OUT!$F$2:$F$11000,OUT!$H$2:$H$11000,H311,OUT!$D$2:$D$11000,"Out",OUT!$E$2:$E$11000,"Bathroom")</f>
        <v>14491</v>
      </c>
      <c r="M311" s="52">
        <f ca="1">SUMIFS(OUT!$F$2:$F$11000,OUT!$H$2:$H$11000,H311,OUT!$D$2:$D$11000,"Out",OUT!$E$2:$E$11000,"Alfa")</f>
        <v>452769</v>
      </c>
      <c r="N311" s="52" t="e">
        <f ca="1">SUMIFS(OUT!$F$2:$F$11000,OUT!$H$2:$H$101007,H311,OUT!$D$2:$D$11000,"Out",OUT!$E$2:$E$11000,"Jajan")</f>
        <v>#VALUE!</v>
      </c>
      <c r="O311" s="52">
        <f ca="1">SUMIFS(OUT!$F$2:$F$11000,OUT!$H$2:$H$11000,H311,OUT!$D$2:$D$11000,"Out",OUT!$E$2:$E$11000,"Kitchen")</f>
        <v>1584204</v>
      </c>
      <c r="P311" s="52">
        <f ca="1">SUMIFS(OUT!$F$2:$F$11000,OUT!$H$2:$H$11000,H311,OUT!$D$2:$D$11000,"Out",OUT!$E$2:$E$11000,"Loandry")</f>
        <v>43448</v>
      </c>
      <c r="Q311" s="52">
        <f ca="1">SUMIFS(OUT!$F$2:$F$11000,OUT!$H$2:$H$11000,H311,OUT!$D$2:$D$11000,"Out",OUT!$E$2:$E$11000,"Mio")</f>
        <v>329000</v>
      </c>
      <c r="R311" s="52">
        <f ca="1">SUMIFS(OUT!$F$2:$F$11000,OUT!$H$2:$H$11000,H311,OUT!$D$2:$D$11000,"Out",OUT!$E$2:$E$11000,"Sedekah")</f>
        <v>5000</v>
      </c>
      <c r="S311" s="52">
        <f ca="1">SUMIFS(OUT!$F$2:$F$11000,OUT!$H$2:$H$11000,H311,OUT!$D$2:$D$11000,"Out",OUT!$E$2:$E$11000,"Zela")</f>
        <v>40500</v>
      </c>
      <c r="T311" s="52">
        <f ca="1">SUMIFS(OUT!$F$2:$F$11000,OUT!$H$2:$H$11000,H311,OUT!$D$2:$D$11000,"Out",OUT!$E$2:$E$11000,"Iqbal")</f>
        <v>295000</v>
      </c>
    </row>
    <row r="312" spans="1:20" x14ac:dyDescent="0.2">
      <c r="A312" s="48">
        <f ca="1">IFERROR(__xludf.DUMMYFUNCTION("""COMPUTED_VALUE"""),46237)</f>
        <v>46237</v>
      </c>
      <c r="B312" s="4" t="str">
        <f ca="1">IFERROR(__xludf.DUMMYFUNCTION("""COMPUTED_VALUE"""),"Oli mesin (Castrol) 4488 KM")</f>
        <v>Oli mesin (Castrol) 4488 KM</v>
      </c>
      <c r="C312" s="4" t="str">
        <f ca="1">IFERROR(__xludf.DUMMYFUNCTION("""COMPUTED_VALUE"""),"ATM")</f>
        <v>ATM</v>
      </c>
      <c r="D312" s="4" t="str">
        <f ca="1">IFERROR(__xludf.DUMMYFUNCTION("""COMPUTED_VALUE"""),"Out")</f>
        <v>Out</v>
      </c>
      <c r="E312" s="4" t="str">
        <f ca="1">IFERROR(__xludf.DUMMYFUNCTION("""COMPUTED_VALUE"""),"Mio")</f>
        <v>Mio</v>
      </c>
      <c r="F312" s="49">
        <f ca="1">IFERROR(__xludf.DUMMYFUNCTION("""COMPUTED_VALUE"""),60000)</f>
        <v>60000</v>
      </c>
      <c r="G312" s="50" t="str">
        <f ca="1">IFERROR(__xludf.DUMMYFUNCTION("""COMPUTED_VALUE"""),"Ibal")</f>
        <v>Ibal</v>
      </c>
      <c r="H312" s="51">
        <f t="shared" ca="1" si="0"/>
        <v>46235</v>
      </c>
      <c r="I312" s="52" t="e">
        <f ca="1">SUMIFS(OUT!$F$2:$F$11000,OUT!$H$2:$H$11000,H312,OUT!$D$2:$D$101007,"In")</f>
        <v>#VALUE!</v>
      </c>
      <c r="J312" s="52">
        <f ca="1">SUMIFS(OUT!$F$2:$F$11000,OUT!$H$2:$H$11000,H312,OUT!$D$2:$D$11000,"Out")</f>
        <v>9573570</v>
      </c>
      <c r="K312" s="52">
        <f ca="1">SUMIFS(OUT!$F$2:$F$11000,OUT!$H$2:$H$11000,H312,OUT!$D$2:$D$11000,"Out",OUT!$E$2:$E$11000,"Fix")</f>
        <v>2533689</v>
      </c>
      <c r="L312" s="52">
        <f ca="1">SUMIFS(OUT!$F$2:$F$11000,OUT!$H$2:$H$11000,H312,OUT!$D$2:$D$11000,"Out",OUT!$E$2:$E$11000,"Bathroom")</f>
        <v>14491</v>
      </c>
      <c r="M312" s="52">
        <f ca="1">SUMIFS(OUT!$F$2:$F$11000,OUT!$H$2:$H$11000,H312,OUT!$D$2:$D$11000,"Out",OUT!$E$2:$E$11000,"Alfa")</f>
        <v>452769</v>
      </c>
      <c r="N312" s="52" t="e">
        <f ca="1">SUMIFS(OUT!$F$2:$F$11000,OUT!$H$2:$H$101007,H312,OUT!$D$2:$D$11000,"Out",OUT!$E$2:$E$11000,"Jajan")</f>
        <v>#VALUE!</v>
      </c>
      <c r="O312" s="52">
        <f ca="1">SUMIFS(OUT!$F$2:$F$11000,OUT!$H$2:$H$11000,H312,OUT!$D$2:$D$11000,"Out",OUT!$E$2:$E$11000,"Kitchen")</f>
        <v>1584204</v>
      </c>
      <c r="P312" s="52">
        <f ca="1">SUMIFS(OUT!$F$2:$F$11000,OUT!$H$2:$H$11000,H312,OUT!$D$2:$D$11000,"Out",OUT!$E$2:$E$11000,"Loandry")</f>
        <v>43448</v>
      </c>
      <c r="Q312" s="52">
        <f ca="1">SUMIFS(OUT!$F$2:$F$11000,OUT!$H$2:$H$11000,H312,OUT!$D$2:$D$11000,"Out",OUT!$E$2:$E$11000,"Mio")</f>
        <v>329000</v>
      </c>
      <c r="R312" s="52">
        <f ca="1">SUMIFS(OUT!$F$2:$F$11000,OUT!$H$2:$H$11000,H312,OUT!$D$2:$D$11000,"Out",OUT!$E$2:$E$11000,"Sedekah")</f>
        <v>5000</v>
      </c>
      <c r="S312" s="52">
        <f ca="1">SUMIFS(OUT!$F$2:$F$11000,OUT!$H$2:$H$11000,H312,OUT!$D$2:$D$11000,"Out",OUT!$E$2:$E$11000,"Zela")</f>
        <v>40500</v>
      </c>
      <c r="T312" s="52">
        <f ca="1">SUMIFS(OUT!$F$2:$F$11000,OUT!$H$2:$H$11000,H312,OUT!$D$2:$D$11000,"Out",OUT!$E$2:$E$11000,"Iqbal")</f>
        <v>295000</v>
      </c>
    </row>
    <row r="313" spans="1:20" x14ac:dyDescent="0.2">
      <c r="A313" s="48">
        <f ca="1">IFERROR(__xludf.DUMMYFUNCTION("""COMPUTED_VALUE"""),46237)</f>
        <v>46237</v>
      </c>
      <c r="B313" s="4" t="str">
        <f ca="1">IFERROR(__xludf.DUMMYFUNCTION("""COMPUTED_VALUE"""),"Oli gear (Yamalube Kuning) 4488 KM")</f>
        <v>Oli gear (Yamalube Kuning) 4488 KM</v>
      </c>
      <c r="C313" s="4" t="str">
        <f ca="1">IFERROR(__xludf.DUMMYFUNCTION("""COMPUTED_VALUE"""),"ATM")</f>
        <v>ATM</v>
      </c>
      <c r="D313" s="4" t="str">
        <f ca="1">IFERROR(__xludf.DUMMYFUNCTION("""COMPUTED_VALUE"""),"Out")</f>
        <v>Out</v>
      </c>
      <c r="E313" s="4" t="str">
        <f ca="1">IFERROR(__xludf.DUMMYFUNCTION("""COMPUTED_VALUE"""),"Mio")</f>
        <v>Mio</v>
      </c>
      <c r="F313" s="49">
        <f ca="1">IFERROR(__xludf.DUMMYFUNCTION("""COMPUTED_VALUE"""),15000)</f>
        <v>15000</v>
      </c>
      <c r="G313" s="50" t="str">
        <f ca="1">IFERROR(__xludf.DUMMYFUNCTION("""COMPUTED_VALUE"""),"Ibal")</f>
        <v>Ibal</v>
      </c>
      <c r="H313" s="51">
        <f t="shared" ca="1" si="0"/>
        <v>46235</v>
      </c>
      <c r="I313" s="52" t="e">
        <f ca="1">SUMIFS(OUT!$F$2:$F$11000,OUT!$H$2:$H$11000,H313,OUT!$D$2:$D$101007,"In")</f>
        <v>#VALUE!</v>
      </c>
      <c r="J313" s="52">
        <f ca="1">SUMIFS(OUT!$F$2:$F$11000,OUT!$H$2:$H$11000,H313,OUT!$D$2:$D$11000,"Out")</f>
        <v>9573570</v>
      </c>
      <c r="K313" s="52">
        <f ca="1">SUMIFS(OUT!$F$2:$F$11000,OUT!$H$2:$H$11000,H313,OUT!$D$2:$D$11000,"Out",OUT!$E$2:$E$11000,"Fix")</f>
        <v>2533689</v>
      </c>
      <c r="L313" s="52">
        <f ca="1">SUMIFS(OUT!$F$2:$F$11000,OUT!$H$2:$H$11000,H313,OUT!$D$2:$D$11000,"Out",OUT!$E$2:$E$11000,"Bathroom")</f>
        <v>14491</v>
      </c>
      <c r="M313" s="52">
        <f ca="1">SUMIFS(OUT!$F$2:$F$11000,OUT!$H$2:$H$11000,H313,OUT!$D$2:$D$11000,"Out",OUT!$E$2:$E$11000,"Alfa")</f>
        <v>452769</v>
      </c>
      <c r="N313" s="52" t="e">
        <f ca="1">SUMIFS(OUT!$F$2:$F$11000,OUT!$H$2:$H$101007,H313,OUT!$D$2:$D$11000,"Out",OUT!$E$2:$E$11000,"Jajan")</f>
        <v>#VALUE!</v>
      </c>
      <c r="O313" s="52">
        <f ca="1">SUMIFS(OUT!$F$2:$F$11000,OUT!$H$2:$H$11000,H313,OUT!$D$2:$D$11000,"Out",OUT!$E$2:$E$11000,"Kitchen")</f>
        <v>1584204</v>
      </c>
      <c r="P313" s="52">
        <f ca="1">SUMIFS(OUT!$F$2:$F$11000,OUT!$H$2:$H$11000,H313,OUT!$D$2:$D$11000,"Out",OUT!$E$2:$E$11000,"Loandry")</f>
        <v>43448</v>
      </c>
      <c r="Q313" s="52">
        <f ca="1">SUMIFS(OUT!$F$2:$F$11000,OUT!$H$2:$H$11000,H313,OUT!$D$2:$D$11000,"Out",OUT!$E$2:$E$11000,"Mio")</f>
        <v>329000</v>
      </c>
      <c r="R313" s="52">
        <f ca="1">SUMIFS(OUT!$F$2:$F$11000,OUT!$H$2:$H$11000,H313,OUT!$D$2:$D$11000,"Out",OUT!$E$2:$E$11000,"Sedekah")</f>
        <v>5000</v>
      </c>
      <c r="S313" s="52">
        <f ca="1">SUMIFS(OUT!$F$2:$F$11000,OUT!$H$2:$H$11000,H313,OUT!$D$2:$D$11000,"Out",OUT!$E$2:$E$11000,"Zela")</f>
        <v>40500</v>
      </c>
      <c r="T313" s="52">
        <f ca="1">SUMIFS(OUT!$F$2:$F$11000,OUT!$H$2:$H$11000,H313,OUT!$D$2:$D$11000,"Out",OUT!$E$2:$E$11000,"Iqbal")</f>
        <v>295000</v>
      </c>
    </row>
    <row r="314" spans="1:20" x14ac:dyDescent="0.2">
      <c r="A314" s="48">
        <f ca="1">IFERROR(__xludf.DUMMYFUNCTION("""COMPUTED_VALUE"""),46237)</f>
        <v>46237</v>
      </c>
      <c r="B314" s="4" t="str">
        <f ca="1">IFERROR(__xludf.DUMMYFUNCTION("""COMPUTED_VALUE"""),"bakso bakar")</f>
        <v>bakso bakar</v>
      </c>
      <c r="C314" s="4" t="str">
        <f ca="1">IFERROR(__xludf.DUMMYFUNCTION("""COMPUTED_VALUE"""),"ATM")</f>
        <v>ATM</v>
      </c>
      <c r="D314" s="4" t="str">
        <f ca="1">IFERROR(__xludf.DUMMYFUNCTION("""COMPUTED_VALUE"""),"Out")</f>
        <v>Out</v>
      </c>
      <c r="E314" s="4" t="str">
        <f ca="1">IFERROR(__xludf.DUMMYFUNCTION("""COMPUTED_VALUE"""),"Jajan")</f>
        <v>Jajan</v>
      </c>
      <c r="F314" s="49">
        <f ca="1">IFERROR(__xludf.DUMMYFUNCTION("""COMPUTED_VALUE"""),10000)</f>
        <v>10000</v>
      </c>
      <c r="G314" s="50" t="str">
        <f ca="1">IFERROR(__xludf.DUMMYFUNCTION("""COMPUTED_VALUE"""),"Ibal")</f>
        <v>Ibal</v>
      </c>
      <c r="H314" s="51">
        <f t="shared" ca="1" si="0"/>
        <v>46235</v>
      </c>
      <c r="I314" s="52" t="e">
        <f ca="1">SUMIFS(OUT!$F$2:$F$11000,OUT!$H$2:$H$11000,H314,OUT!$D$2:$D$101007,"In")</f>
        <v>#VALUE!</v>
      </c>
      <c r="J314" s="52">
        <f ca="1">SUMIFS(OUT!$F$2:$F$11000,OUT!$H$2:$H$11000,H314,OUT!$D$2:$D$11000,"Out")</f>
        <v>9573570</v>
      </c>
      <c r="K314" s="52">
        <f ca="1">SUMIFS(OUT!$F$2:$F$11000,OUT!$H$2:$H$11000,H314,OUT!$D$2:$D$11000,"Out",OUT!$E$2:$E$11000,"Fix")</f>
        <v>2533689</v>
      </c>
      <c r="L314" s="52">
        <f ca="1">SUMIFS(OUT!$F$2:$F$11000,OUT!$H$2:$H$11000,H314,OUT!$D$2:$D$11000,"Out",OUT!$E$2:$E$11000,"Bathroom")</f>
        <v>14491</v>
      </c>
      <c r="M314" s="52">
        <f ca="1">SUMIFS(OUT!$F$2:$F$11000,OUT!$H$2:$H$11000,H314,OUT!$D$2:$D$11000,"Out",OUT!$E$2:$E$11000,"Alfa")</f>
        <v>452769</v>
      </c>
      <c r="N314" s="52" t="e">
        <f ca="1">SUMIFS(OUT!$F$2:$F$11000,OUT!$H$2:$H$101007,H314,OUT!$D$2:$D$11000,"Out",OUT!$E$2:$E$11000,"Jajan")</f>
        <v>#VALUE!</v>
      </c>
      <c r="O314" s="52">
        <f ca="1">SUMIFS(OUT!$F$2:$F$11000,OUT!$H$2:$H$11000,H314,OUT!$D$2:$D$11000,"Out",OUT!$E$2:$E$11000,"Kitchen")</f>
        <v>1584204</v>
      </c>
      <c r="P314" s="52">
        <f ca="1">SUMIFS(OUT!$F$2:$F$11000,OUT!$H$2:$H$11000,H314,OUT!$D$2:$D$11000,"Out",OUT!$E$2:$E$11000,"Loandry")</f>
        <v>43448</v>
      </c>
      <c r="Q314" s="52">
        <f ca="1">SUMIFS(OUT!$F$2:$F$11000,OUT!$H$2:$H$11000,H314,OUT!$D$2:$D$11000,"Out",OUT!$E$2:$E$11000,"Mio")</f>
        <v>329000</v>
      </c>
      <c r="R314" s="52">
        <f ca="1">SUMIFS(OUT!$F$2:$F$11000,OUT!$H$2:$H$11000,H314,OUT!$D$2:$D$11000,"Out",OUT!$E$2:$E$11000,"Sedekah")</f>
        <v>5000</v>
      </c>
      <c r="S314" s="52">
        <f ca="1">SUMIFS(OUT!$F$2:$F$11000,OUT!$H$2:$H$11000,H314,OUT!$D$2:$D$11000,"Out",OUT!$E$2:$E$11000,"Zela")</f>
        <v>40500</v>
      </c>
      <c r="T314" s="52">
        <f ca="1">SUMIFS(OUT!$F$2:$F$11000,OUT!$H$2:$H$11000,H314,OUT!$D$2:$D$11000,"Out",OUT!$E$2:$E$11000,"Iqbal")</f>
        <v>295000</v>
      </c>
    </row>
    <row r="315" spans="1:20" x14ac:dyDescent="0.2">
      <c r="A315" s="48">
        <f ca="1">IFERROR(__xludf.DUMMYFUNCTION("""COMPUTED_VALUE"""),46237)</f>
        <v>46237</v>
      </c>
      <c r="B315" s="4" t="str">
        <f ca="1">IFERROR(__xludf.DUMMYFUNCTION("""COMPUTED_VALUE"""),"nasgor simpang melati")</f>
        <v>nasgor simpang melati</v>
      </c>
      <c r="C315" s="4" t="str">
        <f ca="1">IFERROR(__xludf.DUMMYFUNCTION("""COMPUTED_VALUE"""),"ATM")</f>
        <v>ATM</v>
      </c>
      <c r="D315" s="4" t="str">
        <f ca="1">IFERROR(__xludf.DUMMYFUNCTION("""COMPUTED_VALUE"""),"Out")</f>
        <v>Out</v>
      </c>
      <c r="E315" s="4" t="str">
        <f ca="1">IFERROR(__xludf.DUMMYFUNCTION("""COMPUTED_VALUE"""),"Kitchen")</f>
        <v>Kitchen</v>
      </c>
      <c r="F315" s="49">
        <f ca="1">IFERROR(__xludf.DUMMYFUNCTION("""COMPUTED_VALUE"""),12000)</f>
        <v>12000</v>
      </c>
      <c r="G315" s="50" t="str">
        <f ca="1">IFERROR(__xludf.DUMMYFUNCTION("""COMPUTED_VALUE"""),"Ibal")</f>
        <v>Ibal</v>
      </c>
      <c r="H315" s="51">
        <f t="shared" ca="1" si="0"/>
        <v>46235</v>
      </c>
      <c r="I315" s="52" t="e">
        <f ca="1">SUMIFS(OUT!$F$2:$F$11000,OUT!$H$2:$H$11000,H315,OUT!$D$2:$D$101007,"In")</f>
        <v>#VALUE!</v>
      </c>
      <c r="J315" s="52">
        <f ca="1">SUMIFS(OUT!$F$2:$F$11000,OUT!$H$2:$H$11000,H315,OUT!$D$2:$D$11000,"Out")</f>
        <v>9573570</v>
      </c>
      <c r="K315" s="52">
        <f ca="1">SUMIFS(OUT!$F$2:$F$11000,OUT!$H$2:$H$11000,H315,OUT!$D$2:$D$11000,"Out",OUT!$E$2:$E$11000,"Fix")</f>
        <v>2533689</v>
      </c>
      <c r="L315" s="52">
        <f ca="1">SUMIFS(OUT!$F$2:$F$11000,OUT!$H$2:$H$11000,H315,OUT!$D$2:$D$11000,"Out",OUT!$E$2:$E$11000,"Bathroom")</f>
        <v>14491</v>
      </c>
      <c r="M315" s="52">
        <f ca="1">SUMIFS(OUT!$F$2:$F$11000,OUT!$H$2:$H$11000,H315,OUT!$D$2:$D$11000,"Out",OUT!$E$2:$E$11000,"Alfa")</f>
        <v>452769</v>
      </c>
      <c r="N315" s="52" t="e">
        <f ca="1">SUMIFS(OUT!$F$2:$F$11000,OUT!$H$2:$H$101007,H315,OUT!$D$2:$D$11000,"Out",OUT!$E$2:$E$11000,"Jajan")</f>
        <v>#VALUE!</v>
      </c>
      <c r="O315" s="52">
        <f ca="1">SUMIFS(OUT!$F$2:$F$11000,OUT!$H$2:$H$11000,H315,OUT!$D$2:$D$11000,"Out",OUT!$E$2:$E$11000,"Kitchen")</f>
        <v>1584204</v>
      </c>
      <c r="P315" s="52">
        <f ca="1">SUMIFS(OUT!$F$2:$F$11000,OUT!$H$2:$H$11000,H315,OUT!$D$2:$D$11000,"Out",OUT!$E$2:$E$11000,"Loandry")</f>
        <v>43448</v>
      </c>
      <c r="Q315" s="52">
        <f ca="1">SUMIFS(OUT!$F$2:$F$11000,OUT!$H$2:$H$11000,H315,OUT!$D$2:$D$11000,"Out",OUT!$E$2:$E$11000,"Mio")</f>
        <v>329000</v>
      </c>
      <c r="R315" s="52">
        <f ca="1">SUMIFS(OUT!$F$2:$F$11000,OUT!$H$2:$H$11000,H315,OUT!$D$2:$D$11000,"Out",OUT!$E$2:$E$11000,"Sedekah")</f>
        <v>5000</v>
      </c>
      <c r="S315" s="52">
        <f ca="1">SUMIFS(OUT!$F$2:$F$11000,OUT!$H$2:$H$11000,H315,OUT!$D$2:$D$11000,"Out",OUT!$E$2:$E$11000,"Zela")</f>
        <v>40500</v>
      </c>
      <c r="T315" s="52">
        <f ca="1">SUMIFS(OUT!$F$2:$F$11000,OUT!$H$2:$H$11000,H315,OUT!$D$2:$D$11000,"Out",OUT!$E$2:$E$11000,"Iqbal")</f>
        <v>295000</v>
      </c>
    </row>
    <row r="316" spans="1:20" x14ac:dyDescent="0.2">
      <c r="A316" s="48">
        <f ca="1">IFERROR(__xludf.DUMMYFUNCTION("""COMPUTED_VALUE"""),46238)</f>
        <v>46238</v>
      </c>
      <c r="B316" s="4" t="str">
        <f ca="1">IFERROR(__xludf.DUMMYFUNCTION("""COMPUTED_VALUE"""),"dkriuk (3 paha atas 1 dada)")</f>
        <v>dkriuk (3 paha atas 1 dada)</v>
      </c>
      <c r="C316" s="4" t="str">
        <f ca="1">IFERROR(__xludf.DUMMYFUNCTION("""COMPUTED_VALUE"""),"ATM")</f>
        <v>ATM</v>
      </c>
      <c r="D316" s="4" t="str">
        <f ca="1">IFERROR(__xludf.DUMMYFUNCTION("""COMPUTED_VALUE"""),"Out")</f>
        <v>Out</v>
      </c>
      <c r="E316" s="4" t="str">
        <f ca="1">IFERROR(__xludf.DUMMYFUNCTION("""COMPUTED_VALUE"""),"Kitchen")</f>
        <v>Kitchen</v>
      </c>
      <c r="F316" s="49">
        <f ca="1">IFERROR(__xludf.DUMMYFUNCTION("""COMPUTED_VALUE"""),48000)</f>
        <v>48000</v>
      </c>
      <c r="G316" s="50" t="str">
        <f ca="1">IFERROR(__xludf.DUMMYFUNCTION("""COMPUTED_VALUE"""),"Ibal")</f>
        <v>Ibal</v>
      </c>
      <c r="H316" s="51">
        <f t="shared" ca="1" si="0"/>
        <v>46235</v>
      </c>
      <c r="I316" s="52" t="e">
        <f ca="1">SUMIFS(OUT!$F$2:$F$11000,OUT!$H$2:$H$11000,H316,OUT!$D$2:$D$101007,"In")</f>
        <v>#VALUE!</v>
      </c>
      <c r="J316" s="52">
        <f ca="1">SUMIFS(OUT!$F$2:$F$11000,OUT!$H$2:$H$11000,H316,OUT!$D$2:$D$11000,"Out")</f>
        <v>9573570</v>
      </c>
      <c r="K316" s="52">
        <f ca="1">SUMIFS(OUT!$F$2:$F$11000,OUT!$H$2:$H$11000,H316,OUT!$D$2:$D$11000,"Out",OUT!$E$2:$E$11000,"Fix")</f>
        <v>2533689</v>
      </c>
      <c r="L316" s="52">
        <f ca="1">SUMIFS(OUT!$F$2:$F$11000,OUT!$H$2:$H$11000,H316,OUT!$D$2:$D$11000,"Out",OUT!$E$2:$E$11000,"Bathroom")</f>
        <v>14491</v>
      </c>
      <c r="M316" s="52">
        <f ca="1">SUMIFS(OUT!$F$2:$F$11000,OUT!$H$2:$H$11000,H316,OUT!$D$2:$D$11000,"Out",OUT!$E$2:$E$11000,"Alfa")</f>
        <v>452769</v>
      </c>
      <c r="N316" s="52" t="e">
        <f ca="1">SUMIFS(OUT!$F$2:$F$11000,OUT!$H$2:$H$101007,H316,OUT!$D$2:$D$11000,"Out",OUT!$E$2:$E$11000,"Jajan")</f>
        <v>#VALUE!</v>
      </c>
      <c r="O316" s="52">
        <f ca="1">SUMIFS(OUT!$F$2:$F$11000,OUT!$H$2:$H$11000,H316,OUT!$D$2:$D$11000,"Out",OUT!$E$2:$E$11000,"Kitchen")</f>
        <v>1584204</v>
      </c>
      <c r="P316" s="52">
        <f ca="1">SUMIFS(OUT!$F$2:$F$11000,OUT!$H$2:$H$11000,H316,OUT!$D$2:$D$11000,"Out",OUT!$E$2:$E$11000,"Loandry")</f>
        <v>43448</v>
      </c>
      <c r="Q316" s="52">
        <f ca="1">SUMIFS(OUT!$F$2:$F$11000,OUT!$H$2:$H$11000,H316,OUT!$D$2:$D$11000,"Out",OUT!$E$2:$E$11000,"Mio")</f>
        <v>329000</v>
      </c>
      <c r="R316" s="52">
        <f ca="1">SUMIFS(OUT!$F$2:$F$11000,OUT!$H$2:$H$11000,H316,OUT!$D$2:$D$11000,"Out",OUT!$E$2:$E$11000,"Sedekah")</f>
        <v>5000</v>
      </c>
      <c r="S316" s="52">
        <f ca="1">SUMIFS(OUT!$F$2:$F$11000,OUT!$H$2:$H$11000,H316,OUT!$D$2:$D$11000,"Out",OUT!$E$2:$E$11000,"Zela")</f>
        <v>40500</v>
      </c>
      <c r="T316" s="52">
        <f ca="1">SUMIFS(OUT!$F$2:$F$11000,OUT!$H$2:$H$11000,H316,OUT!$D$2:$D$11000,"Out",OUT!$E$2:$E$11000,"Iqbal")</f>
        <v>295000</v>
      </c>
    </row>
    <row r="317" spans="1:20" x14ac:dyDescent="0.2">
      <c r="A317" s="48">
        <f ca="1">IFERROR(__xludf.DUMMYFUNCTION("""COMPUTED_VALUE"""),46238)</f>
        <v>46238</v>
      </c>
      <c r="B317" s="4" t="str">
        <f ca="1">IFERROR(__xludf.DUMMYFUNCTION("""COMPUTED_VALUE"""),"Pertalite")</f>
        <v>Pertalite</v>
      </c>
      <c r="C317" s="4" t="str">
        <f ca="1">IFERROR(__xludf.DUMMYFUNCTION("""COMPUTED_VALUE"""),"ATM")</f>
        <v>ATM</v>
      </c>
      <c r="D317" s="4" t="str">
        <f ca="1">IFERROR(__xludf.DUMMYFUNCTION("""COMPUTED_VALUE"""),"Out")</f>
        <v>Out</v>
      </c>
      <c r="E317" s="4" t="str">
        <f ca="1">IFERROR(__xludf.DUMMYFUNCTION("""COMPUTED_VALUE"""),"Mio")</f>
        <v>Mio</v>
      </c>
      <c r="F317" s="49">
        <f ca="1">IFERROR(__xludf.DUMMYFUNCTION("""COMPUTED_VALUE"""),25000)</f>
        <v>25000</v>
      </c>
      <c r="G317" s="50" t="str">
        <f ca="1">IFERROR(__xludf.DUMMYFUNCTION("""COMPUTED_VALUE"""),"Ibal")</f>
        <v>Ibal</v>
      </c>
      <c r="H317" s="51">
        <f t="shared" ca="1" si="0"/>
        <v>46235</v>
      </c>
      <c r="I317" s="52" t="e">
        <f ca="1">SUMIFS(OUT!$F$2:$F$11000,OUT!$H$2:$H$11000,H317,OUT!$D$2:$D$101007,"In")</f>
        <v>#VALUE!</v>
      </c>
      <c r="J317" s="52">
        <f ca="1">SUMIFS(OUT!$F$2:$F$11000,OUT!$H$2:$H$11000,H317,OUT!$D$2:$D$11000,"Out")</f>
        <v>9573570</v>
      </c>
      <c r="K317" s="52">
        <f ca="1">SUMIFS(OUT!$F$2:$F$11000,OUT!$H$2:$H$11000,H317,OUT!$D$2:$D$11000,"Out",OUT!$E$2:$E$11000,"Fix")</f>
        <v>2533689</v>
      </c>
      <c r="L317" s="52">
        <f ca="1">SUMIFS(OUT!$F$2:$F$11000,OUT!$H$2:$H$11000,H317,OUT!$D$2:$D$11000,"Out",OUT!$E$2:$E$11000,"Bathroom")</f>
        <v>14491</v>
      </c>
      <c r="M317" s="52">
        <f ca="1">SUMIFS(OUT!$F$2:$F$11000,OUT!$H$2:$H$11000,H317,OUT!$D$2:$D$11000,"Out",OUT!$E$2:$E$11000,"Alfa")</f>
        <v>452769</v>
      </c>
      <c r="N317" s="52" t="e">
        <f ca="1">SUMIFS(OUT!$F$2:$F$11000,OUT!$H$2:$H$101007,H317,OUT!$D$2:$D$11000,"Out",OUT!$E$2:$E$11000,"Jajan")</f>
        <v>#VALUE!</v>
      </c>
      <c r="O317" s="52">
        <f ca="1">SUMIFS(OUT!$F$2:$F$11000,OUT!$H$2:$H$11000,H317,OUT!$D$2:$D$11000,"Out",OUT!$E$2:$E$11000,"Kitchen")</f>
        <v>1584204</v>
      </c>
      <c r="P317" s="52">
        <f ca="1">SUMIFS(OUT!$F$2:$F$11000,OUT!$H$2:$H$11000,H317,OUT!$D$2:$D$11000,"Out",OUT!$E$2:$E$11000,"Loandry")</f>
        <v>43448</v>
      </c>
      <c r="Q317" s="52">
        <f ca="1">SUMIFS(OUT!$F$2:$F$11000,OUT!$H$2:$H$11000,H317,OUT!$D$2:$D$11000,"Out",OUT!$E$2:$E$11000,"Mio")</f>
        <v>329000</v>
      </c>
      <c r="R317" s="52">
        <f ca="1">SUMIFS(OUT!$F$2:$F$11000,OUT!$H$2:$H$11000,H317,OUT!$D$2:$D$11000,"Out",OUT!$E$2:$E$11000,"Sedekah")</f>
        <v>5000</v>
      </c>
      <c r="S317" s="52">
        <f ca="1">SUMIFS(OUT!$F$2:$F$11000,OUT!$H$2:$H$11000,H317,OUT!$D$2:$D$11000,"Out",OUT!$E$2:$E$11000,"Zela")</f>
        <v>40500</v>
      </c>
      <c r="T317" s="52">
        <f ca="1">SUMIFS(OUT!$F$2:$F$11000,OUT!$H$2:$H$11000,H317,OUT!$D$2:$D$11000,"Out",OUT!$E$2:$E$11000,"Iqbal")</f>
        <v>295000</v>
      </c>
    </row>
    <row r="318" spans="1:20" x14ac:dyDescent="0.2">
      <c r="A318" s="48">
        <f ca="1">IFERROR(__xludf.DUMMYFUNCTION("""COMPUTED_VALUE"""),46238)</f>
        <v>46238</v>
      </c>
      <c r="B318" s="4" t="str">
        <f ca="1">IFERROR(__xludf.DUMMYFUNCTION("""COMPUTED_VALUE"""),"rokok")</f>
        <v>rokok</v>
      </c>
      <c r="C318" s="4" t="str">
        <f ca="1">IFERROR(__xludf.DUMMYFUNCTION("""COMPUTED_VALUE"""),"ATM")</f>
        <v>ATM</v>
      </c>
      <c r="D318" s="4" t="str">
        <f ca="1">IFERROR(__xludf.DUMMYFUNCTION("""COMPUTED_VALUE"""),"Out")</f>
        <v>Out</v>
      </c>
      <c r="E318" s="4" t="str">
        <f ca="1">IFERROR(__xludf.DUMMYFUNCTION("""COMPUTED_VALUE"""),"Iqbal")</f>
        <v>Iqbal</v>
      </c>
      <c r="F318" s="49">
        <f ca="1">IFERROR(__xludf.DUMMYFUNCTION("""COMPUTED_VALUE"""),17000)</f>
        <v>17000</v>
      </c>
      <c r="G318" s="50" t="str">
        <f ca="1">IFERROR(__xludf.DUMMYFUNCTION("""COMPUTED_VALUE"""),"Ibal")</f>
        <v>Ibal</v>
      </c>
      <c r="H318" s="51">
        <f t="shared" ca="1" si="0"/>
        <v>46235</v>
      </c>
      <c r="I318" s="52" t="e">
        <f ca="1">SUMIFS(OUT!$F$2:$F$11000,OUT!$H$2:$H$11000,H318,OUT!$D$2:$D$101007,"In")</f>
        <v>#VALUE!</v>
      </c>
      <c r="J318" s="52">
        <f ca="1">SUMIFS(OUT!$F$2:$F$11000,OUT!$H$2:$H$11000,H318,OUT!$D$2:$D$11000,"Out")</f>
        <v>9573570</v>
      </c>
      <c r="K318" s="52">
        <f ca="1">SUMIFS(OUT!$F$2:$F$11000,OUT!$H$2:$H$11000,H318,OUT!$D$2:$D$11000,"Out",OUT!$E$2:$E$11000,"Fix")</f>
        <v>2533689</v>
      </c>
      <c r="L318" s="52">
        <f ca="1">SUMIFS(OUT!$F$2:$F$11000,OUT!$H$2:$H$11000,H318,OUT!$D$2:$D$11000,"Out",OUT!$E$2:$E$11000,"Bathroom")</f>
        <v>14491</v>
      </c>
      <c r="M318" s="52">
        <f ca="1">SUMIFS(OUT!$F$2:$F$11000,OUT!$H$2:$H$11000,H318,OUT!$D$2:$D$11000,"Out",OUT!$E$2:$E$11000,"Alfa")</f>
        <v>452769</v>
      </c>
      <c r="N318" s="52" t="e">
        <f ca="1">SUMIFS(OUT!$F$2:$F$11000,OUT!$H$2:$H$101007,H318,OUT!$D$2:$D$11000,"Out",OUT!$E$2:$E$11000,"Jajan")</f>
        <v>#VALUE!</v>
      </c>
      <c r="O318" s="52">
        <f ca="1">SUMIFS(OUT!$F$2:$F$11000,OUT!$H$2:$H$11000,H318,OUT!$D$2:$D$11000,"Out",OUT!$E$2:$E$11000,"Kitchen")</f>
        <v>1584204</v>
      </c>
      <c r="P318" s="52">
        <f ca="1">SUMIFS(OUT!$F$2:$F$11000,OUT!$H$2:$H$11000,H318,OUT!$D$2:$D$11000,"Out",OUT!$E$2:$E$11000,"Loandry")</f>
        <v>43448</v>
      </c>
      <c r="Q318" s="52">
        <f ca="1">SUMIFS(OUT!$F$2:$F$11000,OUT!$H$2:$H$11000,H318,OUT!$D$2:$D$11000,"Out",OUT!$E$2:$E$11000,"Mio")</f>
        <v>329000</v>
      </c>
      <c r="R318" s="52">
        <f ca="1">SUMIFS(OUT!$F$2:$F$11000,OUT!$H$2:$H$11000,H318,OUT!$D$2:$D$11000,"Out",OUT!$E$2:$E$11000,"Sedekah")</f>
        <v>5000</v>
      </c>
      <c r="S318" s="52">
        <f ca="1">SUMIFS(OUT!$F$2:$F$11000,OUT!$H$2:$H$11000,H318,OUT!$D$2:$D$11000,"Out",OUT!$E$2:$E$11000,"Zela")</f>
        <v>40500</v>
      </c>
      <c r="T318" s="52">
        <f ca="1">SUMIFS(OUT!$F$2:$F$11000,OUT!$H$2:$H$11000,H318,OUT!$D$2:$D$11000,"Out",OUT!$E$2:$E$11000,"Iqbal")</f>
        <v>295000</v>
      </c>
    </row>
    <row r="319" spans="1:20" x14ac:dyDescent="0.2">
      <c r="A319" s="48">
        <f ca="1">IFERROR(__xludf.DUMMYFUNCTION("""COMPUTED_VALUE"""),46238)</f>
        <v>46238</v>
      </c>
      <c r="B319" s="4" t="str">
        <f ca="1">IFERROR(__xludf.DUMMYFUNCTION("""COMPUTED_VALUE"""),"pdotong rambut")</f>
        <v>pdotong rambut</v>
      </c>
      <c r="C319" s="4" t="str">
        <f ca="1">IFERROR(__xludf.DUMMYFUNCTION("""COMPUTED_VALUE"""),"ATM")</f>
        <v>ATM</v>
      </c>
      <c r="D319" s="4" t="str">
        <f ca="1">IFERROR(__xludf.DUMMYFUNCTION("""COMPUTED_VALUE"""),"Out")</f>
        <v>Out</v>
      </c>
      <c r="E319" s="4" t="str">
        <f ca="1">IFERROR(__xludf.DUMMYFUNCTION("""COMPUTED_VALUE"""),"Iqbal")</f>
        <v>Iqbal</v>
      </c>
      <c r="F319" s="49">
        <f ca="1">IFERROR(__xludf.DUMMYFUNCTION("""COMPUTED_VALUE"""),30000)</f>
        <v>30000</v>
      </c>
      <c r="G319" s="50" t="str">
        <f ca="1">IFERROR(__xludf.DUMMYFUNCTION("""COMPUTED_VALUE"""),"Ibal")</f>
        <v>Ibal</v>
      </c>
      <c r="H319" s="51">
        <f t="shared" ca="1" si="0"/>
        <v>46235</v>
      </c>
      <c r="I319" s="52" t="e">
        <f ca="1">SUMIFS(OUT!$F$2:$F$11000,OUT!$H$2:$H$11000,H319,OUT!$D$2:$D$101007,"In")</f>
        <v>#VALUE!</v>
      </c>
      <c r="J319" s="52">
        <f ca="1">SUMIFS(OUT!$F$2:$F$11000,OUT!$H$2:$H$11000,H319,OUT!$D$2:$D$11000,"Out")</f>
        <v>9573570</v>
      </c>
      <c r="K319" s="52">
        <f ca="1">SUMIFS(OUT!$F$2:$F$11000,OUT!$H$2:$H$11000,H319,OUT!$D$2:$D$11000,"Out",OUT!$E$2:$E$11000,"Fix")</f>
        <v>2533689</v>
      </c>
      <c r="L319" s="52">
        <f ca="1">SUMIFS(OUT!$F$2:$F$11000,OUT!$H$2:$H$11000,H319,OUT!$D$2:$D$11000,"Out",OUT!$E$2:$E$11000,"Bathroom")</f>
        <v>14491</v>
      </c>
      <c r="M319" s="52">
        <f ca="1">SUMIFS(OUT!$F$2:$F$11000,OUT!$H$2:$H$11000,H319,OUT!$D$2:$D$11000,"Out",OUT!$E$2:$E$11000,"Alfa")</f>
        <v>452769</v>
      </c>
      <c r="N319" s="52" t="e">
        <f ca="1">SUMIFS(OUT!$F$2:$F$11000,OUT!$H$2:$H$101007,H319,OUT!$D$2:$D$11000,"Out",OUT!$E$2:$E$11000,"Jajan")</f>
        <v>#VALUE!</v>
      </c>
      <c r="O319" s="52">
        <f ca="1">SUMIFS(OUT!$F$2:$F$11000,OUT!$H$2:$H$11000,H319,OUT!$D$2:$D$11000,"Out",OUT!$E$2:$E$11000,"Kitchen")</f>
        <v>1584204</v>
      </c>
      <c r="P319" s="52">
        <f ca="1">SUMIFS(OUT!$F$2:$F$11000,OUT!$H$2:$H$11000,H319,OUT!$D$2:$D$11000,"Out",OUT!$E$2:$E$11000,"Loandry")</f>
        <v>43448</v>
      </c>
      <c r="Q319" s="52">
        <f ca="1">SUMIFS(OUT!$F$2:$F$11000,OUT!$H$2:$H$11000,H319,OUT!$D$2:$D$11000,"Out",OUT!$E$2:$E$11000,"Mio")</f>
        <v>329000</v>
      </c>
      <c r="R319" s="52">
        <f ca="1">SUMIFS(OUT!$F$2:$F$11000,OUT!$H$2:$H$11000,H319,OUT!$D$2:$D$11000,"Out",OUT!$E$2:$E$11000,"Sedekah")</f>
        <v>5000</v>
      </c>
      <c r="S319" s="52">
        <f ca="1">SUMIFS(OUT!$F$2:$F$11000,OUT!$H$2:$H$11000,H319,OUT!$D$2:$D$11000,"Out",OUT!$E$2:$E$11000,"Zela")</f>
        <v>40500</v>
      </c>
      <c r="T319" s="52">
        <f ca="1">SUMIFS(OUT!$F$2:$F$11000,OUT!$H$2:$H$11000,H319,OUT!$D$2:$D$11000,"Out",OUT!$E$2:$E$11000,"Iqbal")</f>
        <v>295000</v>
      </c>
    </row>
    <row r="320" spans="1:20" x14ac:dyDescent="0.2">
      <c r="A320" s="48">
        <f ca="1">IFERROR(__xludf.DUMMYFUNCTION("""COMPUTED_VALUE"""),46238)</f>
        <v>46238</v>
      </c>
      <c r="B320" s="4" t="str">
        <f ca="1">IFERROR(__xludf.DUMMYFUNCTION("""COMPUTED_VALUE"""),"cuci motor")</f>
        <v>cuci motor</v>
      </c>
      <c r="C320" s="4" t="str">
        <f ca="1">IFERROR(__xludf.DUMMYFUNCTION("""COMPUTED_VALUE"""),"ATM")</f>
        <v>ATM</v>
      </c>
      <c r="D320" s="4" t="str">
        <f ca="1">IFERROR(__xludf.DUMMYFUNCTION("""COMPUTED_VALUE"""),"Out")</f>
        <v>Out</v>
      </c>
      <c r="E320" s="4" t="str">
        <f ca="1">IFERROR(__xludf.DUMMYFUNCTION("""COMPUTED_VALUE"""),"Mio")</f>
        <v>Mio</v>
      </c>
      <c r="F320" s="49">
        <f ca="1">IFERROR(__xludf.DUMMYFUNCTION("""COMPUTED_VALUE"""),20000)</f>
        <v>20000</v>
      </c>
      <c r="G320" s="50" t="str">
        <f ca="1">IFERROR(__xludf.DUMMYFUNCTION("""COMPUTED_VALUE"""),"Ibal")</f>
        <v>Ibal</v>
      </c>
      <c r="H320" s="51">
        <f t="shared" ca="1" si="0"/>
        <v>46235</v>
      </c>
      <c r="I320" s="52" t="e">
        <f ca="1">SUMIFS(OUT!$F$2:$F$11000,OUT!$H$2:$H$11000,H320,OUT!$D$2:$D$101007,"In")</f>
        <v>#VALUE!</v>
      </c>
      <c r="J320" s="52">
        <f ca="1">SUMIFS(OUT!$F$2:$F$11000,OUT!$H$2:$H$11000,H320,OUT!$D$2:$D$11000,"Out")</f>
        <v>9573570</v>
      </c>
      <c r="K320" s="52">
        <f ca="1">SUMIFS(OUT!$F$2:$F$11000,OUT!$H$2:$H$11000,H320,OUT!$D$2:$D$11000,"Out",OUT!$E$2:$E$11000,"Fix")</f>
        <v>2533689</v>
      </c>
      <c r="L320" s="52">
        <f ca="1">SUMIFS(OUT!$F$2:$F$11000,OUT!$H$2:$H$11000,H320,OUT!$D$2:$D$11000,"Out",OUT!$E$2:$E$11000,"Bathroom")</f>
        <v>14491</v>
      </c>
      <c r="M320" s="52">
        <f ca="1">SUMIFS(OUT!$F$2:$F$11000,OUT!$H$2:$H$11000,H320,OUT!$D$2:$D$11000,"Out",OUT!$E$2:$E$11000,"Alfa")</f>
        <v>452769</v>
      </c>
      <c r="N320" s="52" t="e">
        <f ca="1">SUMIFS(OUT!$F$2:$F$11000,OUT!$H$2:$H$101007,H320,OUT!$D$2:$D$11000,"Out",OUT!$E$2:$E$11000,"Jajan")</f>
        <v>#VALUE!</v>
      </c>
      <c r="O320" s="52">
        <f ca="1">SUMIFS(OUT!$F$2:$F$11000,OUT!$H$2:$H$11000,H320,OUT!$D$2:$D$11000,"Out",OUT!$E$2:$E$11000,"Kitchen")</f>
        <v>1584204</v>
      </c>
      <c r="P320" s="52">
        <f ca="1">SUMIFS(OUT!$F$2:$F$11000,OUT!$H$2:$H$11000,H320,OUT!$D$2:$D$11000,"Out",OUT!$E$2:$E$11000,"Loandry")</f>
        <v>43448</v>
      </c>
      <c r="Q320" s="52">
        <f ca="1">SUMIFS(OUT!$F$2:$F$11000,OUT!$H$2:$H$11000,H320,OUT!$D$2:$D$11000,"Out",OUT!$E$2:$E$11000,"Mio")</f>
        <v>329000</v>
      </c>
      <c r="R320" s="52">
        <f ca="1">SUMIFS(OUT!$F$2:$F$11000,OUT!$H$2:$H$11000,H320,OUT!$D$2:$D$11000,"Out",OUT!$E$2:$E$11000,"Sedekah")</f>
        <v>5000</v>
      </c>
      <c r="S320" s="52">
        <f ca="1">SUMIFS(OUT!$F$2:$F$11000,OUT!$H$2:$H$11000,H320,OUT!$D$2:$D$11000,"Out",OUT!$E$2:$E$11000,"Zela")</f>
        <v>40500</v>
      </c>
      <c r="T320" s="52">
        <f ca="1">SUMIFS(OUT!$F$2:$F$11000,OUT!$H$2:$H$11000,H320,OUT!$D$2:$D$11000,"Out",OUT!$E$2:$E$11000,"Iqbal")</f>
        <v>295000</v>
      </c>
    </row>
    <row r="321" spans="1:20" x14ac:dyDescent="0.2">
      <c r="A321" s="48">
        <f ca="1">IFERROR(__xludf.DUMMYFUNCTION("""COMPUTED_VALUE"""),46238)</f>
        <v>46238</v>
      </c>
      <c r="B321" s="4" t="str">
        <f ca="1">IFERROR(__xludf.DUMMYFUNCTION("""COMPUTED_VALUE"""),"MyRepublic")</f>
        <v>MyRepublic</v>
      </c>
      <c r="C321" s="4" t="str">
        <f ca="1">IFERROR(__xludf.DUMMYFUNCTION("""COMPUTED_VALUE"""),"ATM")</f>
        <v>ATM</v>
      </c>
      <c r="D321" s="4" t="str">
        <f ca="1">IFERROR(__xludf.DUMMYFUNCTION("""COMPUTED_VALUE"""),"Out")</f>
        <v>Out</v>
      </c>
      <c r="E321" s="4" t="str">
        <f ca="1">IFERROR(__xludf.DUMMYFUNCTION("""COMPUTED_VALUE"""),"Fix")</f>
        <v>Fix</v>
      </c>
      <c r="F321" s="49">
        <f ca="1">IFERROR(__xludf.DUMMYFUNCTION("""COMPUTED_VALUE"""),233100)</f>
        <v>233100</v>
      </c>
      <c r="G321" s="50" t="str">
        <f ca="1">IFERROR(__xludf.DUMMYFUNCTION("""COMPUTED_VALUE"""),"Ibal")</f>
        <v>Ibal</v>
      </c>
      <c r="H321" s="51">
        <f t="shared" ca="1" si="0"/>
        <v>46235</v>
      </c>
      <c r="I321" s="52" t="e">
        <f ca="1">SUMIFS(OUT!$F$2:$F$11000,OUT!$H$2:$H$11000,H321,OUT!$D$2:$D$101007,"In")</f>
        <v>#VALUE!</v>
      </c>
      <c r="J321" s="52">
        <f ca="1">SUMIFS(OUT!$F$2:$F$11000,OUT!$H$2:$H$11000,H321,OUT!$D$2:$D$11000,"Out")</f>
        <v>9573570</v>
      </c>
      <c r="K321" s="52">
        <f ca="1">SUMIFS(OUT!$F$2:$F$11000,OUT!$H$2:$H$11000,H321,OUT!$D$2:$D$11000,"Out",OUT!$E$2:$E$11000,"Fix")</f>
        <v>2533689</v>
      </c>
      <c r="L321" s="52">
        <f ca="1">SUMIFS(OUT!$F$2:$F$11000,OUT!$H$2:$H$11000,H321,OUT!$D$2:$D$11000,"Out",OUT!$E$2:$E$11000,"Bathroom")</f>
        <v>14491</v>
      </c>
      <c r="M321" s="52">
        <f ca="1">SUMIFS(OUT!$F$2:$F$11000,OUT!$H$2:$H$11000,H321,OUT!$D$2:$D$11000,"Out",OUT!$E$2:$E$11000,"Alfa")</f>
        <v>452769</v>
      </c>
      <c r="N321" s="52" t="e">
        <f ca="1">SUMIFS(OUT!$F$2:$F$11000,OUT!$H$2:$H$101007,H321,OUT!$D$2:$D$11000,"Out",OUT!$E$2:$E$11000,"Jajan")</f>
        <v>#VALUE!</v>
      </c>
      <c r="O321" s="52">
        <f ca="1">SUMIFS(OUT!$F$2:$F$11000,OUT!$H$2:$H$11000,H321,OUT!$D$2:$D$11000,"Out",OUT!$E$2:$E$11000,"Kitchen")</f>
        <v>1584204</v>
      </c>
      <c r="P321" s="52">
        <f ca="1">SUMIFS(OUT!$F$2:$F$11000,OUT!$H$2:$H$11000,H321,OUT!$D$2:$D$11000,"Out",OUT!$E$2:$E$11000,"Loandry")</f>
        <v>43448</v>
      </c>
      <c r="Q321" s="52">
        <f ca="1">SUMIFS(OUT!$F$2:$F$11000,OUT!$H$2:$H$11000,H321,OUT!$D$2:$D$11000,"Out",OUT!$E$2:$E$11000,"Mio")</f>
        <v>329000</v>
      </c>
      <c r="R321" s="52">
        <f ca="1">SUMIFS(OUT!$F$2:$F$11000,OUT!$H$2:$H$11000,H321,OUT!$D$2:$D$11000,"Out",OUT!$E$2:$E$11000,"Sedekah")</f>
        <v>5000</v>
      </c>
      <c r="S321" s="52">
        <f ca="1">SUMIFS(OUT!$F$2:$F$11000,OUT!$H$2:$H$11000,H321,OUT!$D$2:$D$11000,"Out",OUT!$E$2:$E$11000,"Zela")</f>
        <v>40500</v>
      </c>
      <c r="T321" s="52">
        <f ca="1">SUMIFS(OUT!$F$2:$F$11000,OUT!$H$2:$H$11000,H321,OUT!$D$2:$D$11000,"Out",OUT!$E$2:$E$11000,"Iqbal")</f>
        <v>295000</v>
      </c>
    </row>
    <row r="322" spans="1:20" x14ac:dyDescent="0.2">
      <c r="A322" s="48">
        <f ca="1">IFERROR(__xludf.DUMMYFUNCTION("""COMPUTED_VALUE"""),46238)</f>
        <v>46238</v>
      </c>
      <c r="B322" s="4" t="str">
        <f ca="1">IFERROR(__xludf.DUMMYFUNCTION("""COMPUTED_VALUE"""),"roti bakar")</f>
        <v>roti bakar</v>
      </c>
      <c r="C322" s="4" t="str">
        <f ca="1">IFERROR(__xludf.DUMMYFUNCTION("""COMPUTED_VALUE"""),"ATM")</f>
        <v>ATM</v>
      </c>
      <c r="D322" s="4" t="str">
        <f ca="1">IFERROR(__xludf.DUMMYFUNCTION("""COMPUTED_VALUE"""),"Out")</f>
        <v>Out</v>
      </c>
      <c r="E322" s="4" t="str">
        <f ca="1">IFERROR(__xludf.DUMMYFUNCTION("""COMPUTED_VALUE"""),"Jajan")</f>
        <v>Jajan</v>
      </c>
      <c r="F322" s="49">
        <f ca="1">IFERROR(__xludf.DUMMYFUNCTION("""COMPUTED_VALUE"""),19000)</f>
        <v>19000</v>
      </c>
      <c r="G322" s="50" t="str">
        <f ca="1">IFERROR(__xludf.DUMMYFUNCTION("""COMPUTED_VALUE"""),"Ibal")</f>
        <v>Ibal</v>
      </c>
      <c r="H322" s="51">
        <f t="shared" ca="1" si="0"/>
        <v>46235</v>
      </c>
      <c r="I322" s="52" t="e">
        <f ca="1">SUMIFS(OUT!$F$2:$F$11000,OUT!$H$2:$H$11000,H322,OUT!$D$2:$D$101007,"In")</f>
        <v>#VALUE!</v>
      </c>
      <c r="J322" s="52">
        <f ca="1">SUMIFS(OUT!$F$2:$F$11000,OUT!$H$2:$H$11000,H322,OUT!$D$2:$D$11000,"Out")</f>
        <v>9573570</v>
      </c>
      <c r="K322" s="52">
        <f ca="1">SUMIFS(OUT!$F$2:$F$11000,OUT!$H$2:$H$11000,H322,OUT!$D$2:$D$11000,"Out",OUT!$E$2:$E$11000,"Fix")</f>
        <v>2533689</v>
      </c>
      <c r="L322" s="52">
        <f ca="1">SUMIFS(OUT!$F$2:$F$11000,OUT!$H$2:$H$11000,H322,OUT!$D$2:$D$11000,"Out",OUT!$E$2:$E$11000,"Bathroom")</f>
        <v>14491</v>
      </c>
      <c r="M322" s="52">
        <f ca="1">SUMIFS(OUT!$F$2:$F$11000,OUT!$H$2:$H$11000,H322,OUT!$D$2:$D$11000,"Out",OUT!$E$2:$E$11000,"Alfa")</f>
        <v>452769</v>
      </c>
      <c r="N322" s="52" t="e">
        <f ca="1">SUMIFS(OUT!$F$2:$F$11000,OUT!$H$2:$H$101007,H322,OUT!$D$2:$D$11000,"Out",OUT!$E$2:$E$11000,"Jajan")</f>
        <v>#VALUE!</v>
      </c>
      <c r="O322" s="52">
        <f ca="1">SUMIFS(OUT!$F$2:$F$11000,OUT!$H$2:$H$11000,H322,OUT!$D$2:$D$11000,"Out",OUT!$E$2:$E$11000,"Kitchen")</f>
        <v>1584204</v>
      </c>
      <c r="P322" s="52">
        <f ca="1">SUMIFS(OUT!$F$2:$F$11000,OUT!$H$2:$H$11000,H322,OUT!$D$2:$D$11000,"Out",OUT!$E$2:$E$11000,"Loandry")</f>
        <v>43448</v>
      </c>
      <c r="Q322" s="52">
        <f ca="1">SUMIFS(OUT!$F$2:$F$11000,OUT!$H$2:$H$11000,H322,OUT!$D$2:$D$11000,"Out",OUT!$E$2:$E$11000,"Mio")</f>
        <v>329000</v>
      </c>
      <c r="R322" s="52">
        <f ca="1">SUMIFS(OUT!$F$2:$F$11000,OUT!$H$2:$H$11000,H322,OUT!$D$2:$D$11000,"Out",OUT!$E$2:$E$11000,"Sedekah")</f>
        <v>5000</v>
      </c>
      <c r="S322" s="52">
        <f ca="1">SUMIFS(OUT!$F$2:$F$11000,OUT!$H$2:$H$11000,H322,OUT!$D$2:$D$11000,"Out",OUT!$E$2:$E$11000,"Zela")</f>
        <v>40500</v>
      </c>
      <c r="T322" s="52">
        <f ca="1">SUMIFS(OUT!$F$2:$F$11000,OUT!$H$2:$H$11000,H322,OUT!$D$2:$D$11000,"Out",OUT!$E$2:$E$11000,"Iqbal")</f>
        <v>295000</v>
      </c>
    </row>
    <row r="323" spans="1:20" x14ac:dyDescent="0.2">
      <c r="A323" s="48">
        <f ca="1">IFERROR(__xludf.DUMMYFUNCTION("""COMPUTED_VALUE"""),46238)</f>
        <v>46238</v>
      </c>
      <c r="B323" s="4" t="str">
        <f ca="1">IFERROR(__xludf.DUMMYFUNCTION("""COMPUTED_VALUE"""),"tahu bakar")</f>
        <v>tahu bakar</v>
      </c>
      <c r="C323" s="4" t="str">
        <f ca="1">IFERROR(__xludf.DUMMYFUNCTION("""COMPUTED_VALUE"""),"ATM")</f>
        <v>ATM</v>
      </c>
      <c r="D323" s="4" t="str">
        <f ca="1">IFERROR(__xludf.DUMMYFUNCTION("""COMPUTED_VALUE"""),"Out")</f>
        <v>Out</v>
      </c>
      <c r="E323" s="4" t="str">
        <f ca="1">IFERROR(__xludf.DUMMYFUNCTION("""COMPUTED_VALUE"""),"Jajan")</f>
        <v>Jajan</v>
      </c>
      <c r="F323" s="49">
        <f ca="1">IFERROR(__xludf.DUMMYFUNCTION("""COMPUTED_VALUE"""),15000)</f>
        <v>15000</v>
      </c>
      <c r="G323" s="50" t="str">
        <f ca="1">IFERROR(__xludf.DUMMYFUNCTION("""COMPUTED_VALUE"""),"Ibal")</f>
        <v>Ibal</v>
      </c>
      <c r="H323" s="51">
        <f t="shared" ca="1" si="0"/>
        <v>46235</v>
      </c>
      <c r="I323" s="52" t="e">
        <f ca="1">SUMIFS(OUT!$F$2:$F$11000,OUT!$H$2:$H$11000,H323,OUT!$D$2:$D$101007,"In")</f>
        <v>#VALUE!</v>
      </c>
      <c r="J323" s="52">
        <f ca="1">SUMIFS(OUT!$F$2:$F$11000,OUT!$H$2:$H$11000,H323,OUT!$D$2:$D$11000,"Out")</f>
        <v>9573570</v>
      </c>
      <c r="K323" s="52">
        <f ca="1">SUMIFS(OUT!$F$2:$F$11000,OUT!$H$2:$H$11000,H323,OUT!$D$2:$D$11000,"Out",OUT!$E$2:$E$11000,"Fix")</f>
        <v>2533689</v>
      </c>
      <c r="L323" s="52">
        <f ca="1">SUMIFS(OUT!$F$2:$F$11000,OUT!$H$2:$H$11000,H323,OUT!$D$2:$D$11000,"Out",OUT!$E$2:$E$11000,"Bathroom")</f>
        <v>14491</v>
      </c>
      <c r="M323" s="52">
        <f ca="1">SUMIFS(OUT!$F$2:$F$11000,OUT!$H$2:$H$11000,H323,OUT!$D$2:$D$11000,"Out",OUT!$E$2:$E$11000,"Alfa")</f>
        <v>452769</v>
      </c>
      <c r="N323" s="52" t="e">
        <f ca="1">SUMIFS(OUT!$F$2:$F$11000,OUT!$H$2:$H$101007,H323,OUT!$D$2:$D$11000,"Out",OUT!$E$2:$E$11000,"Jajan")</f>
        <v>#VALUE!</v>
      </c>
      <c r="O323" s="52">
        <f ca="1">SUMIFS(OUT!$F$2:$F$11000,OUT!$H$2:$H$11000,H323,OUT!$D$2:$D$11000,"Out",OUT!$E$2:$E$11000,"Kitchen")</f>
        <v>1584204</v>
      </c>
      <c r="P323" s="52">
        <f ca="1">SUMIFS(OUT!$F$2:$F$11000,OUT!$H$2:$H$11000,H323,OUT!$D$2:$D$11000,"Out",OUT!$E$2:$E$11000,"Loandry")</f>
        <v>43448</v>
      </c>
      <c r="Q323" s="52">
        <f ca="1">SUMIFS(OUT!$F$2:$F$11000,OUT!$H$2:$H$11000,H323,OUT!$D$2:$D$11000,"Out",OUT!$E$2:$E$11000,"Mio")</f>
        <v>329000</v>
      </c>
      <c r="R323" s="52">
        <f ca="1">SUMIFS(OUT!$F$2:$F$11000,OUT!$H$2:$H$11000,H323,OUT!$D$2:$D$11000,"Out",OUT!$E$2:$E$11000,"Sedekah")</f>
        <v>5000</v>
      </c>
      <c r="S323" s="52">
        <f ca="1">SUMIFS(OUT!$F$2:$F$11000,OUT!$H$2:$H$11000,H323,OUT!$D$2:$D$11000,"Out",OUT!$E$2:$E$11000,"Zela")</f>
        <v>40500</v>
      </c>
      <c r="T323" s="52">
        <f ca="1">SUMIFS(OUT!$F$2:$F$11000,OUT!$H$2:$H$11000,H323,OUT!$D$2:$D$11000,"Out",OUT!$E$2:$E$11000,"Iqbal")</f>
        <v>295000</v>
      </c>
    </row>
    <row r="324" spans="1:20" x14ac:dyDescent="0.2">
      <c r="A324" s="48">
        <f ca="1">IFERROR(__xludf.DUMMYFUNCTION("""COMPUTED_VALUE"""),46239)</f>
        <v>46239</v>
      </c>
      <c r="B324" s="4" t="str">
        <f ca="1">IFERROR(__xludf.DUMMYFUNCTION("""COMPUTED_VALUE"""),"istriku")</f>
        <v>istriku</v>
      </c>
      <c r="C324" s="4" t="str">
        <f ca="1">IFERROR(__xludf.DUMMYFUNCTION("""COMPUTED_VALUE"""),"ATM")</f>
        <v>ATM</v>
      </c>
      <c r="D324" s="4" t="str">
        <f ca="1">IFERROR(__xludf.DUMMYFUNCTION("""COMPUTED_VALUE"""),"Out")</f>
        <v>Out</v>
      </c>
      <c r="E324" s="4" t="str">
        <f ca="1">IFERROR(__xludf.DUMMYFUNCTION("""COMPUTED_VALUE"""),"Move")</f>
        <v>Move</v>
      </c>
      <c r="F324" s="49">
        <f ca="1">IFERROR(__xludf.DUMMYFUNCTION("""COMPUTED_VALUE"""),1585102)</f>
        <v>1585102</v>
      </c>
      <c r="G324" s="50" t="str">
        <f ca="1">IFERROR(__xludf.DUMMYFUNCTION("""COMPUTED_VALUE"""),"Ibal")</f>
        <v>Ibal</v>
      </c>
      <c r="H324" s="51">
        <f t="shared" ca="1" si="0"/>
        <v>46235</v>
      </c>
      <c r="I324" s="52" t="e">
        <f ca="1">SUMIFS(OUT!$F$2:$F$11000,OUT!$H$2:$H$11000,H324,OUT!$D$2:$D$101007,"In")</f>
        <v>#VALUE!</v>
      </c>
      <c r="J324" s="52">
        <f ca="1">SUMIFS(OUT!$F$2:$F$11000,OUT!$H$2:$H$11000,H324,OUT!$D$2:$D$11000,"Out")</f>
        <v>9573570</v>
      </c>
      <c r="K324" s="52">
        <f ca="1">SUMIFS(OUT!$F$2:$F$11000,OUT!$H$2:$H$11000,H324,OUT!$D$2:$D$11000,"Out",OUT!$E$2:$E$11000,"Fix")</f>
        <v>2533689</v>
      </c>
      <c r="L324" s="52">
        <f ca="1">SUMIFS(OUT!$F$2:$F$11000,OUT!$H$2:$H$11000,H324,OUT!$D$2:$D$11000,"Out",OUT!$E$2:$E$11000,"Bathroom")</f>
        <v>14491</v>
      </c>
      <c r="M324" s="52">
        <f ca="1">SUMIFS(OUT!$F$2:$F$11000,OUT!$H$2:$H$11000,H324,OUT!$D$2:$D$11000,"Out",OUT!$E$2:$E$11000,"Alfa")</f>
        <v>452769</v>
      </c>
      <c r="N324" s="52" t="e">
        <f ca="1">SUMIFS(OUT!$F$2:$F$11000,OUT!$H$2:$H$101007,H324,OUT!$D$2:$D$11000,"Out",OUT!$E$2:$E$11000,"Jajan")</f>
        <v>#VALUE!</v>
      </c>
      <c r="O324" s="52">
        <f ca="1">SUMIFS(OUT!$F$2:$F$11000,OUT!$H$2:$H$11000,H324,OUT!$D$2:$D$11000,"Out",OUT!$E$2:$E$11000,"Kitchen")</f>
        <v>1584204</v>
      </c>
      <c r="P324" s="52">
        <f ca="1">SUMIFS(OUT!$F$2:$F$11000,OUT!$H$2:$H$11000,H324,OUT!$D$2:$D$11000,"Out",OUT!$E$2:$E$11000,"Loandry")</f>
        <v>43448</v>
      </c>
      <c r="Q324" s="52">
        <f ca="1">SUMIFS(OUT!$F$2:$F$11000,OUT!$H$2:$H$11000,H324,OUT!$D$2:$D$11000,"Out",OUT!$E$2:$E$11000,"Mio")</f>
        <v>329000</v>
      </c>
      <c r="R324" s="52">
        <f ca="1">SUMIFS(OUT!$F$2:$F$11000,OUT!$H$2:$H$11000,H324,OUT!$D$2:$D$11000,"Out",OUT!$E$2:$E$11000,"Sedekah")</f>
        <v>5000</v>
      </c>
      <c r="S324" s="52">
        <f ca="1">SUMIFS(OUT!$F$2:$F$11000,OUT!$H$2:$H$11000,H324,OUT!$D$2:$D$11000,"Out",OUT!$E$2:$E$11000,"Zela")</f>
        <v>40500</v>
      </c>
      <c r="T324" s="52">
        <f ca="1">SUMIFS(OUT!$F$2:$F$11000,OUT!$H$2:$H$11000,H324,OUT!$D$2:$D$11000,"Out",OUT!$E$2:$E$11000,"Iqbal")</f>
        <v>295000</v>
      </c>
    </row>
    <row r="325" spans="1:20" x14ac:dyDescent="0.2">
      <c r="A325" s="48">
        <f ca="1">IFERROR(__xludf.DUMMYFUNCTION("""COMPUTED_VALUE"""),46239)</f>
        <v>46239</v>
      </c>
      <c r="B325" s="4" t="str">
        <f ca="1">IFERROR(__xludf.DUMMYFUNCTION("""COMPUTED_VALUE"""),"athaya 3 (8)")</f>
        <v>athaya 3 (8)</v>
      </c>
      <c r="C325" s="4" t="str">
        <f ca="1">IFERROR(__xludf.DUMMYFUNCTION("""COMPUTED_VALUE"""),"ATM")</f>
        <v>ATM</v>
      </c>
      <c r="D325" s="4" t="str">
        <f ca="1">IFERROR(__xludf.DUMMYFUNCTION("""COMPUTED_VALUE"""),"Out")</f>
        <v>Out</v>
      </c>
      <c r="E325" s="4" t="str">
        <f ca="1">IFERROR(__xludf.DUMMYFUNCTION("""COMPUTED_VALUE"""),"Fix")</f>
        <v>Fix</v>
      </c>
      <c r="F325" s="49">
        <f ca="1">IFERROR(__xludf.DUMMYFUNCTION("""COMPUTED_VALUE"""),1000328)</f>
        <v>1000328</v>
      </c>
      <c r="G325" s="50" t="str">
        <f ca="1">IFERROR(__xludf.DUMMYFUNCTION("""COMPUTED_VALUE"""),"Ibal")</f>
        <v>Ibal</v>
      </c>
      <c r="H325" s="51">
        <f t="shared" ca="1" si="0"/>
        <v>46235</v>
      </c>
      <c r="I325" s="52" t="e">
        <f ca="1">SUMIFS(OUT!$F$2:$F$11000,OUT!$H$2:$H$11000,H325,OUT!$D$2:$D$101007,"In")</f>
        <v>#VALUE!</v>
      </c>
      <c r="J325" s="52">
        <f ca="1">SUMIFS(OUT!$F$2:$F$11000,OUT!$H$2:$H$11000,H325,OUT!$D$2:$D$11000,"Out")</f>
        <v>9573570</v>
      </c>
      <c r="K325" s="52">
        <f ca="1">SUMIFS(OUT!$F$2:$F$11000,OUT!$H$2:$H$11000,H325,OUT!$D$2:$D$11000,"Out",OUT!$E$2:$E$11000,"Fix")</f>
        <v>2533689</v>
      </c>
      <c r="L325" s="52">
        <f ca="1">SUMIFS(OUT!$F$2:$F$11000,OUT!$H$2:$H$11000,H325,OUT!$D$2:$D$11000,"Out",OUT!$E$2:$E$11000,"Bathroom")</f>
        <v>14491</v>
      </c>
      <c r="M325" s="52">
        <f ca="1">SUMIFS(OUT!$F$2:$F$11000,OUT!$H$2:$H$11000,H325,OUT!$D$2:$D$11000,"Out",OUT!$E$2:$E$11000,"Alfa")</f>
        <v>452769</v>
      </c>
      <c r="N325" s="52" t="e">
        <f ca="1">SUMIFS(OUT!$F$2:$F$11000,OUT!$H$2:$H$101007,H325,OUT!$D$2:$D$11000,"Out",OUT!$E$2:$E$11000,"Jajan")</f>
        <v>#VALUE!</v>
      </c>
      <c r="O325" s="52">
        <f ca="1">SUMIFS(OUT!$F$2:$F$11000,OUT!$H$2:$H$11000,H325,OUT!$D$2:$D$11000,"Out",OUT!$E$2:$E$11000,"Kitchen")</f>
        <v>1584204</v>
      </c>
      <c r="P325" s="52">
        <f ca="1">SUMIFS(OUT!$F$2:$F$11000,OUT!$H$2:$H$11000,H325,OUT!$D$2:$D$11000,"Out",OUT!$E$2:$E$11000,"Loandry")</f>
        <v>43448</v>
      </c>
      <c r="Q325" s="52">
        <f ca="1">SUMIFS(OUT!$F$2:$F$11000,OUT!$H$2:$H$11000,H325,OUT!$D$2:$D$11000,"Out",OUT!$E$2:$E$11000,"Mio")</f>
        <v>329000</v>
      </c>
      <c r="R325" s="52">
        <f ca="1">SUMIFS(OUT!$F$2:$F$11000,OUT!$H$2:$H$11000,H325,OUT!$D$2:$D$11000,"Out",OUT!$E$2:$E$11000,"Sedekah")</f>
        <v>5000</v>
      </c>
      <c r="S325" s="52">
        <f ca="1">SUMIFS(OUT!$F$2:$F$11000,OUT!$H$2:$H$11000,H325,OUT!$D$2:$D$11000,"Out",OUT!$E$2:$E$11000,"Zela")</f>
        <v>40500</v>
      </c>
      <c r="T325" s="52">
        <f ca="1">SUMIFS(OUT!$F$2:$F$11000,OUT!$H$2:$H$11000,H325,OUT!$D$2:$D$11000,"Out",OUT!$E$2:$E$11000,"Iqbal")</f>
        <v>295000</v>
      </c>
    </row>
    <row r="326" spans="1:20" x14ac:dyDescent="0.2">
      <c r="A326" s="48">
        <f ca="1">IFERROR(__xludf.DUMMYFUNCTION("""COMPUTED_VALUE"""),46239)</f>
        <v>46239</v>
      </c>
      <c r="B326" s="4" t="str">
        <f ca="1">IFERROR(__xludf.DUMMYFUNCTION("""COMPUTED_VALUE"""),"iuran (8)")</f>
        <v>iuran (8)</v>
      </c>
      <c r="C326" s="4" t="str">
        <f ca="1">IFERROR(__xludf.DUMMYFUNCTION("""COMPUTED_VALUE"""),"ATM")</f>
        <v>ATM</v>
      </c>
      <c r="D326" s="4" t="str">
        <f ca="1">IFERROR(__xludf.DUMMYFUNCTION("""COMPUTED_VALUE"""),"Out")</f>
        <v>Out</v>
      </c>
      <c r="E326" s="4" t="str">
        <f ca="1">IFERROR(__xludf.DUMMYFUNCTION("""COMPUTED_VALUE"""),"Fix")</f>
        <v>Fix</v>
      </c>
      <c r="F326" s="49">
        <f ca="1">IFERROR(__xludf.DUMMYFUNCTION("""COMPUTED_VALUE"""),75000)</f>
        <v>75000</v>
      </c>
      <c r="G326" s="50" t="str">
        <f ca="1">IFERROR(__xludf.DUMMYFUNCTION("""COMPUTED_VALUE"""),"Ibal")</f>
        <v>Ibal</v>
      </c>
      <c r="H326" s="51">
        <f t="shared" ca="1" si="0"/>
        <v>46235</v>
      </c>
      <c r="I326" s="52" t="e">
        <f ca="1">SUMIFS(OUT!$F$2:$F$11000,OUT!$H$2:$H$11000,H326,OUT!$D$2:$D$101007,"In")</f>
        <v>#VALUE!</v>
      </c>
      <c r="J326" s="52">
        <f ca="1">SUMIFS(OUT!$F$2:$F$11000,OUT!$H$2:$H$11000,H326,OUT!$D$2:$D$11000,"Out")</f>
        <v>9573570</v>
      </c>
      <c r="K326" s="52">
        <f ca="1">SUMIFS(OUT!$F$2:$F$11000,OUT!$H$2:$H$11000,H326,OUT!$D$2:$D$11000,"Out",OUT!$E$2:$E$11000,"Fix")</f>
        <v>2533689</v>
      </c>
      <c r="L326" s="52">
        <f ca="1">SUMIFS(OUT!$F$2:$F$11000,OUT!$H$2:$H$11000,H326,OUT!$D$2:$D$11000,"Out",OUT!$E$2:$E$11000,"Bathroom")</f>
        <v>14491</v>
      </c>
      <c r="M326" s="52">
        <f ca="1">SUMIFS(OUT!$F$2:$F$11000,OUT!$H$2:$H$11000,H326,OUT!$D$2:$D$11000,"Out",OUT!$E$2:$E$11000,"Alfa")</f>
        <v>452769</v>
      </c>
      <c r="N326" s="52" t="e">
        <f ca="1">SUMIFS(OUT!$F$2:$F$11000,OUT!$H$2:$H$101007,H326,OUT!$D$2:$D$11000,"Out",OUT!$E$2:$E$11000,"Jajan")</f>
        <v>#VALUE!</v>
      </c>
      <c r="O326" s="52">
        <f ca="1">SUMIFS(OUT!$F$2:$F$11000,OUT!$H$2:$H$11000,H326,OUT!$D$2:$D$11000,"Out",OUT!$E$2:$E$11000,"Kitchen")</f>
        <v>1584204</v>
      </c>
      <c r="P326" s="52">
        <f ca="1">SUMIFS(OUT!$F$2:$F$11000,OUT!$H$2:$H$11000,H326,OUT!$D$2:$D$11000,"Out",OUT!$E$2:$E$11000,"Loandry")</f>
        <v>43448</v>
      </c>
      <c r="Q326" s="52">
        <f ca="1">SUMIFS(OUT!$F$2:$F$11000,OUT!$H$2:$H$11000,H326,OUT!$D$2:$D$11000,"Out",OUT!$E$2:$E$11000,"Mio")</f>
        <v>329000</v>
      </c>
      <c r="R326" s="52">
        <f ca="1">SUMIFS(OUT!$F$2:$F$11000,OUT!$H$2:$H$11000,H326,OUT!$D$2:$D$11000,"Out",OUT!$E$2:$E$11000,"Sedekah")</f>
        <v>5000</v>
      </c>
      <c r="S326" s="52">
        <f ca="1">SUMIFS(OUT!$F$2:$F$11000,OUT!$H$2:$H$11000,H326,OUT!$D$2:$D$11000,"Out",OUT!$E$2:$E$11000,"Zela")</f>
        <v>40500</v>
      </c>
      <c r="T326" s="52">
        <f ca="1">SUMIFS(OUT!$F$2:$F$11000,OUT!$H$2:$H$11000,H326,OUT!$D$2:$D$11000,"Out",OUT!$E$2:$E$11000,"Iqbal")</f>
        <v>295000</v>
      </c>
    </row>
    <row r="327" spans="1:20" x14ac:dyDescent="0.2">
      <c r="A327" s="48">
        <f ca="1">IFERROR(__xludf.DUMMYFUNCTION("""COMPUTED_VALUE"""),46239)</f>
        <v>46239</v>
      </c>
      <c r="B327" s="4" t="str">
        <f ca="1">IFERROR(__xludf.DUMMYFUNCTION("""COMPUTED_VALUE"""),"Token listrik H 7")</f>
        <v>Token listrik H 7</v>
      </c>
      <c r="C327" s="4" t="str">
        <f ca="1">IFERROR(__xludf.DUMMYFUNCTION("""COMPUTED_VALUE"""),"ATM")</f>
        <v>ATM</v>
      </c>
      <c r="D327" s="4" t="str">
        <f ca="1">IFERROR(__xludf.DUMMYFUNCTION("""COMPUTED_VALUE"""),"Out")</f>
        <v>Out</v>
      </c>
      <c r="E327" s="4" t="str">
        <f ca="1">IFERROR(__xludf.DUMMYFUNCTION("""COMPUTED_VALUE"""),"Fix")</f>
        <v>Fix</v>
      </c>
      <c r="F327" s="49">
        <f ca="1">IFERROR(__xludf.DUMMYFUNCTION("""COMPUTED_VALUE"""),101750)</f>
        <v>101750</v>
      </c>
      <c r="G327" s="50" t="str">
        <f ca="1">IFERROR(__xludf.DUMMYFUNCTION("""COMPUTED_VALUE"""),"Ibal")</f>
        <v>Ibal</v>
      </c>
      <c r="H327" s="51">
        <f t="shared" ca="1" si="0"/>
        <v>46235</v>
      </c>
      <c r="I327" s="52" t="e">
        <f ca="1">SUMIFS(OUT!$F$2:$F$11000,OUT!$H$2:$H$11000,H327,OUT!$D$2:$D$101007,"In")</f>
        <v>#VALUE!</v>
      </c>
      <c r="J327" s="52">
        <f ca="1">SUMIFS(OUT!$F$2:$F$11000,OUT!$H$2:$H$11000,H327,OUT!$D$2:$D$11000,"Out")</f>
        <v>9573570</v>
      </c>
      <c r="K327" s="52">
        <f ca="1">SUMIFS(OUT!$F$2:$F$11000,OUT!$H$2:$H$11000,H327,OUT!$D$2:$D$11000,"Out",OUT!$E$2:$E$11000,"Fix")</f>
        <v>2533689</v>
      </c>
      <c r="L327" s="52">
        <f ca="1">SUMIFS(OUT!$F$2:$F$11000,OUT!$H$2:$H$11000,H327,OUT!$D$2:$D$11000,"Out",OUT!$E$2:$E$11000,"Bathroom")</f>
        <v>14491</v>
      </c>
      <c r="M327" s="52">
        <f ca="1">SUMIFS(OUT!$F$2:$F$11000,OUT!$H$2:$H$11000,H327,OUT!$D$2:$D$11000,"Out",OUT!$E$2:$E$11000,"Alfa")</f>
        <v>452769</v>
      </c>
      <c r="N327" s="52" t="e">
        <f ca="1">SUMIFS(OUT!$F$2:$F$11000,OUT!$H$2:$H$101007,H327,OUT!$D$2:$D$11000,"Out",OUT!$E$2:$E$11000,"Jajan")</f>
        <v>#VALUE!</v>
      </c>
      <c r="O327" s="52">
        <f ca="1">SUMIFS(OUT!$F$2:$F$11000,OUT!$H$2:$H$11000,H327,OUT!$D$2:$D$11000,"Out",OUT!$E$2:$E$11000,"Kitchen")</f>
        <v>1584204</v>
      </c>
      <c r="P327" s="52">
        <f ca="1">SUMIFS(OUT!$F$2:$F$11000,OUT!$H$2:$H$11000,H327,OUT!$D$2:$D$11000,"Out",OUT!$E$2:$E$11000,"Loandry")</f>
        <v>43448</v>
      </c>
      <c r="Q327" s="52">
        <f ca="1">SUMIFS(OUT!$F$2:$F$11000,OUT!$H$2:$H$11000,H327,OUT!$D$2:$D$11000,"Out",OUT!$E$2:$E$11000,"Mio")</f>
        <v>329000</v>
      </c>
      <c r="R327" s="52">
        <f ca="1">SUMIFS(OUT!$F$2:$F$11000,OUT!$H$2:$H$11000,H327,OUT!$D$2:$D$11000,"Out",OUT!$E$2:$E$11000,"Sedekah")</f>
        <v>5000</v>
      </c>
      <c r="S327" s="52">
        <f ca="1">SUMIFS(OUT!$F$2:$F$11000,OUT!$H$2:$H$11000,H327,OUT!$D$2:$D$11000,"Out",OUT!$E$2:$E$11000,"Zela")</f>
        <v>40500</v>
      </c>
      <c r="T327" s="52">
        <f ca="1">SUMIFS(OUT!$F$2:$F$11000,OUT!$H$2:$H$11000,H327,OUT!$D$2:$D$11000,"Out",OUT!$E$2:$E$11000,"Iqbal")</f>
        <v>295000</v>
      </c>
    </row>
    <row r="328" spans="1:20" x14ac:dyDescent="0.2">
      <c r="A328" s="48">
        <f ca="1">IFERROR(__xludf.DUMMYFUNCTION("""COMPUTED_VALUE"""),46239)</f>
        <v>46239</v>
      </c>
      <c r="B328" s="4" t="str">
        <f ca="1">IFERROR(__xludf.DUMMYFUNCTION("""COMPUTED_VALUE"""),"pisang barangan (3)")</f>
        <v>pisang barangan (3)</v>
      </c>
      <c r="C328" s="4" t="str">
        <f ca="1">IFERROR(__xludf.DUMMYFUNCTION("""COMPUTED_VALUE"""),"ATM")</f>
        <v>ATM</v>
      </c>
      <c r="D328" s="4" t="str">
        <f ca="1">IFERROR(__xludf.DUMMYFUNCTION("""COMPUTED_VALUE"""),"Out")</f>
        <v>Out</v>
      </c>
      <c r="E328" s="4" t="str">
        <f ca="1">IFERROR(__xludf.DUMMYFUNCTION("""COMPUTED_VALUE"""),"Iqbal")</f>
        <v>Iqbal</v>
      </c>
      <c r="F328" s="49">
        <f ca="1">IFERROR(__xludf.DUMMYFUNCTION("""COMPUTED_VALUE"""),35000)</f>
        <v>35000</v>
      </c>
      <c r="G328" s="50" t="str">
        <f ca="1">IFERROR(__xludf.DUMMYFUNCTION("""COMPUTED_VALUE"""),"Ibal")</f>
        <v>Ibal</v>
      </c>
      <c r="H328" s="51">
        <f t="shared" ca="1" si="0"/>
        <v>46235</v>
      </c>
      <c r="I328" s="52" t="e">
        <f ca="1">SUMIFS(OUT!$F$2:$F$11000,OUT!$H$2:$H$11000,H328,OUT!$D$2:$D$101007,"In")</f>
        <v>#VALUE!</v>
      </c>
      <c r="J328" s="52">
        <f ca="1">SUMIFS(OUT!$F$2:$F$11000,OUT!$H$2:$H$11000,H328,OUT!$D$2:$D$11000,"Out")</f>
        <v>9573570</v>
      </c>
      <c r="K328" s="52">
        <f ca="1">SUMIFS(OUT!$F$2:$F$11000,OUT!$H$2:$H$11000,H328,OUT!$D$2:$D$11000,"Out",OUT!$E$2:$E$11000,"Fix")</f>
        <v>2533689</v>
      </c>
      <c r="L328" s="52">
        <f ca="1">SUMIFS(OUT!$F$2:$F$11000,OUT!$H$2:$H$11000,H328,OUT!$D$2:$D$11000,"Out",OUT!$E$2:$E$11000,"Bathroom")</f>
        <v>14491</v>
      </c>
      <c r="M328" s="52">
        <f ca="1">SUMIFS(OUT!$F$2:$F$11000,OUT!$H$2:$H$11000,H328,OUT!$D$2:$D$11000,"Out",OUT!$E$2:$E$11000,"Alfa")</f>
        <v>452769</v>
      </c>
      <c r="N328" s="52" t="e">
        <f ca="1">SUMIFS(OUT!$F$2:$F$11000,OUT!$H$2:$H$101007,H328,OUT!$D$2:$D$11000,"Out",OUT!$E$2:$E$11000,"Jajan")</f>
        <v>#VALUE!</v>
      </c>
      <c r="O328" s="52">
        <f ca="1">SUMIFS(OUT!$F$2:$F$11000,OUT!$H$2:$H$11000,H328,OUT!$D$2:$D$11000,"Out",OUT!$E$2:$E$11000,"Kitchen")</f>
        <v>1584204</v>
      </c>
      <c r="P328" s="52">
        <f ca="1">SUMIFS(OUT!$F$2:$F$11000,OUT!$H$2:$H$11000,H328,OUT!$D$2:$D$11000,"Out",OUT!$E$2:$E$11000,"Loandry")</f>
        <v>43448</v>
      </c>
      <c r="Q328" s="52">
        <f ca="1">SUMIFS(OUT!$F$2:$F$11000,OUT!$H$2:$H$11000,H328,OUT!$D$2:$D$11000,"Out",OUT!$E$2:$E$11000,"Mio")</f>
        <v>329000</v>
      </c>
      <c r="R328" s="52">
        <f ca="1">SUMIFS(OUT!$F$2:$F$11000,OUT!$H$2:$H$11000,H328,OUT!$D$2:$D$11000,"Out",OUT!$E$2:$E$11000,"Sedekah")</f>
        <v>5000</v>
      </c>
      <c r="S328" s="52">
        <f ca="1">SUMIFS(OUT!$F$2:$F$11000,OUT!$H$2:$H$11000,H328,OUT!$D$2:$D$11000,"Out",OUT!$E$2:$E$11000,"Zela")</f>
        <v>40500</v>
      </c>
      <c r="T328" s="52">
        <f ca="1">SUMIFS(OUT!$F$2:$F$11000,OUT!$H$2:$H$11000,H328,OUT!$D$2:$D$11000,"Out",OUT!$E$2:$E$11000,"Iqbal")</f>
        <v>295000</v>
      </c>
    </row>
    <row r="329" spans="1:20" x14ac:dyDescent="0.2">
      <c r="A329" s="48">
        <f ca="1">IFERROR(__xludf.DUMMYFUNCTION("""COMPUTED_VALUE"""),46241)</f>
        <v>46241</v>
      </c>
      <c r="B329" s="4" t="str">
        <f ca="1">IFERROR(__xludf.DUMMYFUNCTION("""COMPUTED_VALUE"""),"paket byu 7gb")</f>
        <v>paket byu 7gb</v>
      </c>
      <c r="C329" s="4" t="str">
        <f ca="1">IFERROR(__xludf.DUMMYFUNCTION("""COMPUTED_VALUE"""),"ATM")</f>
        <v>ATM</v>
      </c>
      <c r="D329" s="4" t="str">
        <f ca="1">IFERROR(__xludf.DUMMYFUNCTION("""COMPUTED_VALUE"""),"Out")</f>
        <v>Out</v>
      </c>
      <c r="E329" s="4" t="str">
        <f ca="1">IFERROR(__xludf.DUMMYFUNCTION("""COMPUTED_VALUE"""),"Fix")</f>
        <v>Fix</v>
      </c>
      <c r="F329" s="49">
        <f ca="1">IFERROR(__xludf.DUMMYFUNCTION("""COMPUTED_VALUE"""),38000)</f>
        <v>38000</v>
      </c>
      <c r="G329" s="50" t="str">
        <f ca="1">IFERROR(__xludf.DUMMYFUNCTION("""COMPUTED_VALUE"""),"Ibal")</f>
        <v>Ibal</v>
      </c>
      <c r="H329" s="51">
        <f t="shared" ca="1" si="0"/>
        <v>46235</v>
      </c>
      <c r="I329" s="52" t="e">
        <f ca="1">SUMIFS(OUT!$F$2:$F$11000,OUT!$H$2:$H$11000,H329,OUT!$D$2:$D$101007,"In")</f>
        <v>#VALUE!</v>
      </c>
      <c r="J329" s="52">
        <f ca="1">SUMIFS(OUT!$F$2:$F$11000,OUT!$H$2:$H$11000,H329,OUT!$D$2:$D$11000,"Out")</f>
        <v>9573570</v>
      </c>
      <c r="K329" s="52">
        <f ca="1">SUMIFS(OUT!$F$2:$F$11000,OUT!$H$2:$H$11000,H329,OUT!$D$2:$D$11000,"Out",OUT!$E$2:$E$11000,"Fix")</f>
        <v>2533689</v>
      </c>
      <c r="L329" s="52">
        <f ca="1">SUMIFS(OUT!$F$2:$F$11000,OUT!$H$2:$H$11000,H329,OUT!$D$2:$D$11000,"Out",OUT!$E$2:$E$11000,"Bathroom")</f>
        <v>14491</v>
      </c>
      <c r="M329" s="52">
        <f ca="1">SUMIFS(OUT!$F$2:$F$11000,OUT!$H$2:$H$11000,H329,OUT!$D$2:$D$11000,"Out",OUT!$E$2:$E$11000,"Alfa")</f>
        <v>452769</v>
      </c>
      <c r="N329" s="52" t="e">
        <f ca="1">SUMIFS(OUT!$F$2:$F$11000,OUT!$H$2:$H$101007,H329,OUT!$D$2:$D$11000,"Out",OUT!$E$2:$E$11000,"Jajan")</f>
        <v>#VALUE!</v>
      </c>
      <c r="O329" s="52">
        <f ca="1">SUMIFS(OUT!$F$2:$F$11000,OUT!$H$2:$H$11000,H329,OUT!$D$2:$D$11000,"Out",OUT!$E$2:$E$11000,"Kitchen")</f>
        <v>1584204</v>
      </c>
      <c r="P329" s="52">
        <f ca="1">SUMIFS(OUT!$F$2:$F$11000,OUT!$H$2:$H$11000,H329,OUT!$D$2:$D$11000,"Out",OUT!$E$2:$E$11000,"Loandry")</f>
        <v>43448</v>
      </c>
      <c r="Q329" s="52">
        <f ca="1">SUMIFS(OUT!$F$2:$F$11000,OUT!$H$2:$H$11000,H329,OUT!$D$2:$D$11000,"Out",OUT!$E$2:$E$11000,"Mio")</f>
        <v>329000</v>
      </c>
      <c r="R329" s="52">
        <f ca="1">SUMIFS(OUT!$F$2:$F$11000,OUT!$H$2:$H$11000,H329,OUT!$D$2:$D$11000,"Out",OUT!$E$2:$E$11000,"Sedekah")</f>
        <v>5000</v>
      </c>
      <c r="S329" s="52">
        <f ca="1">SUMIFS(OUT!$F$2:$F$11000,OUT!$H$2:$H$11000,H329,OUT!$D$2:$D$11000,"Out",OUT!$E$2:$E$11000,"Zela")</f>
        <v>40500</v>
      </c>
      <c r="T329" s="52">
        <f ca="1">SUMIFS(OUT!$F$2:$F$11000,OUT!$H$2:$H$11000,H329,OUT!$D$2:$D$11000,"Out",OUT!$E$2:$E$11000,"Iqbal")</f>
        <v>295000</v>
      </c>
    </row>
    <row r="330" spans="1:20" x14ac:dyDescent="0.2">
      <c r="A330" s="48">
        <f ca="1">IFERROR(__xludf.DUMMYFUNCTION("""COMPUTED_VALUE"""),46241)</f>
        <v>46241</v>
      </c>
      <c r="B330" s="4" t="str">
        <f ca="1">IFERROR(__xludf.DUMMYFUNCTION("""COMPUTED_VALUE"""),"nipis madu")</f>
        <v>nipis madu</v>
      </c>
      <c r="C330" s="4" t="str">
        <f ca="1">IFERROR(__xludf.DUMMYFUNCTION("""COMPUTED_VALUE"""),"ATM")</f>
        <v>ATM</v>
      </c>
      <c r="D330" s="4" t="str">
        <f ca="1">IFERROR(__xludf.DUMMYFUNCTION("""COMPUTED_VALUE"""),"Out")</f>
        <v>Out</v>
      </c>
      <c r="E330" s="4" t="str">
        <f ca="1">IFERROR(__xludf.DUMMYFUNCTION("""COMPUTED_VALUE"""),"Jajan")</f>
        <v>Jajan</v>
      </c>
      <c r="F330" s="49">
        <f ca="1">IFERROR(__xludf.DUMMYFUNCTION("""COMPUTED_VALUE"""),10000)</f>
        <v>10000</v>
      </c>
      <c r="G330" s="50" t="str">
        <f ca="1">IFERROR(__xludf.DUMMYFUNCTION("""COMPUTED_VALUE"""),"Ibal")</f>
        <v>Ibal</v>
      </c>
      <c r="H330" s="51">
        <f t="shared" ca="1" si="0"/>
        <v>46235</v>
      </c>
      <c r="I330" s="52" t="e">
        <f ca="1">SUMIFS(OUT!$F$2:$F$11000,OUT!$H$2:$H$11000,H330,OUT!$D$2:$D$101007,"In")</f>
        <v>#VALUE!</v>
      </c>
      <c r="J330" s="52">
        <f ca="1">SUMIFS(OUT!$F$2:$F$11000,OUT!$H$2:$H$11000,H330,OUT!$D$2:$D$11000,"Out")</f>
        <v>9573570</v>
      </c>
      <c r="K330" s="52">
        <f ca="1">SUMIFS(OUT!$F$2:$F$11000,OUT!$H$2:$H$11000,H330,OUT!$D$2:$D$11000,"Out",OUT!$E$2:$E$11000,"Fix")</f>
        <v>2533689</v>
      </c>
      <c r="L330" s="52">
        <f ca="1">SUMIFS(OUT!$F$2:$F$11000,OUT!$H$2:$H$11000,H330,OUT!$D$2:$D$11000,"Out",OUT!$E$2:$E$11000,"Bathroom")</f>
        <v>14491</v>
      </c>
      <c r="M330" s="52">
        <f ca="1">SUMIFS(OUT!$F$2:$F$11000,OUT!$H$2:$H$11000,H330,OUT!$D$2:$D$11000,"Out",OUT!$E$2:$E$11000,"Alfa")</f>
        <v>452769</v>
      </c>
      <c r="N330" s="52" t="e">
        <f ca="1">SUMIFS(OUT!$F$2:$F$11000,OUT!$H$2:$H$101007,H330,OUT!$D$2:$D$11000,"Out",OUT!$E$2:$E$11000,"Jajan")</f>
        <v>#VALUE!</v>
      </c>
      <c r="O330" s="52">
        <f ca="1">SUMIFS(OUT!$F$2:$F$11000,OUT!$H$2:$H$11000,H330,OUT!$D$2:$D$11000,"Out",OUT!$E$2:$E$11000,"Kitchen")</f>
        <v>1584204</v>
      </c>
      <c r="P330" s="52">
        <f ca="1">SUMIFS(OUT!$F$2:$F$11000,OUT!$H$2:$H$11000,H330,OUT!$D$2:$D$11000,"Out",OUT!$E$2:$E$11000,"Loandry")</f>
        <v>43448</v>
      </c>
      <c r="Q330" s="52">
        <f ca="1">SUMIFS(OUT!$F$2:$F$11000,OUT!$H$2:$H$11000,H330,OUT!$D$2:$D$11000,"Out",OUT!$E$2:$E$11000,"Mio")</f>
        <v>329000</v>
      </c>
      <c r="R330" s="52">
        <f ca="1">SUMIFS(OUT!$F$2:$F$11000,OUT!$H$2:$H$11000,H330,OUT!$D$2:$D$11000,"Out",OUT!$E$2:$E$11000,"Sedekah")</f>
        <v>5000</v>
      </c>
      <c r="S330" s="52">
        <f ca="1">SUMIFS(OUT!$F$2:$F$11000,OUT!$H$2:$H$11000,H330,OUT!$D$2:$D$11000,"Out",OUT!$E$2:$E$11000,"Zela")</f>
        <v>40500</v>
      </c>
      <c r="T330" s="52">
        <f ca="1">SUMIFS(OUT!$F$2:$F$11000,OUT!$H$2:$H$11000,H330,OUT!$D$2:$D$11000,"Out",OUT!$E$2:$E$11000,"Iqbal")</f>
        <v>295000</v>
      </c>
    </row>
    <row r="331" spans="1:20" x14ac:dyDescent="0.2">
      <c r="A331" s="48">
        <f ca="1">IFERROR(__xludf.DUMMYFUNCTION("""COMPUTED_VALUE"""),46242)</f>
        <v>46242</v>
      </c>
      <c r="B331" s="4" t="str">
        <f ca="1">IFERROR(__xludf.DUMMYFUNCTION("""COMPUTED_VALUE"""),"tarik tunai")</f>
        <v>tarik tunai</v>
      </c>
      <c r="C331" s="4" t="str">
        <f ca="1">IFERROR(__xludf.DUMMYFUNCTION("""COMPUTED_VALUE"""),"ATM")</f>
        <v>ATM</v>
      </c>
      <c r="D331" s="4" t="str">
        <f ca="1">IFERROR(__xludf.DUMMYFUNCTION("""COMPUTED_VALUE"""),"Out")</f>
        <v>Out</v>
      </c>
      <c r="E331" s="4" t="str">
        <f ca="1">IFERROR(__xludf.DUMMYFUNCTION("""COMPUTED_VALUE"""),"Move")</f>
        <v>Move</v>
      </c>
      <c r="F331" s="49">
        <f ca="1">IFERROR(__xludf.DUMMYFUNCTION("""COMPUTED_VALUE"""),50000)</f>
        <v>50000</v>
      </c>
      <c r="G331" s="50" t="str">
        <f ca="1">IFERROR(__xludf.DUMMYFUNCTION("""COMPUTED_VALUE"""),"Ibal")</f>
        <v>Ibal</v>
      </c>
      <c r="H331" s="51">
        <f t="shared" ca="1" si="0"/>
        <v>46235</v>
      </c>
      <c r="I331" s="52" t="e">
        <f ca="1">SUMIFS(OUT!$F$2:$F$11000,OUT!$H$2:$H$11000,H331,OUT!$D$2:$D$101007,"In")</f>
        <v>#VALUE!</v>
      </c>
      <c r="J331" s="52">
        <f ca="1">SUMIFS(OUT!$F$2:$F$11000,OUT!$H$2:$H$11000,H331,OUT!$D$2:$D$11000,"Out")</f>
        <v>9573570</v>
      </c>
      <c r="K331" s="52">
        <f ca="1">SUMIFS(OUT!$F$2:$F$11000,OUT!$H$2:$H$11000,H331,OUT!$D$2:$D$11000,"Out",OUT!$E$2:$E$11000,"Fix")</f>
        <v>2533689</v>
      </c>
      <c r="L331" s="52">
        <f ca="1">SUMIFS(OUT!$F$2:$F$11000,OUT!$H$2:$H$11000,H331,OUT!$D$2:$D$11000,"Out",OUT!$E$2:$E$11000,"Bathroom")</f>
        <v>14491</v>
      </c>
      <c r="M331" s="52">
        <f ca="1">SUMIFS(OUT!$F$2:$F$11000,OUT!$H$2:$H$11000,H331,OUT!$D$2:$D$11000,"Out",OUT!$E$2:$E$11000,"Alfa")</f>
        <v>452769</v>
      </c>
      <c r="N331" s="52" t="e">
        <f ca="1">SUMIFS(OUT!$F$2:$F$11000,OUT!$H$2:$H$101007,H331,OUT!$D$2:$D$11000,"Out",OUT!$E$2:$E$11000,"Jajan")</f>
        <v>#VALUE!</v>
      </c>
      <c r="O331" s="52">
        <f ca="1">SUMIFS(OUT!$F$2:$F$11000,OUT!$H$2:$H$11000,H331,OUT!$D$2:$D$11000,"Out",OUT!$E$2:$E$11000,"Kitchen")</f>
        <v>1584204</v>
      </c>
      <c r="P331" s="52">
        <f ca="1">SUMIFS(OUT!$F$2:$F$11000,OUT!$H$2:$H$11000,H331,OUT!$D$2:$D$11000,"Out",OUT!$E$2:$E$11000,"Loandry")</f>
        <v>43448</v>
      </c>
      <c r="Q331" s="52">
        <f ca="1">SUMIFS(OUT!$F$2:$F$11000,OUT!$H$2:$H$11000,H331,OUT!$D$2:$D$11000,"Out",OUT!$E$2:$E$11000,"Mio")</f>
        <v>329000</v>
      </c>
      <c r="R331" s="52">
        <f ca="1">SUMIFS(OUT!$F$2:$F$11000,OUT!$H$2:$H$11000,H331,OUT!$D$2:$D$11000,"Out",OUT!$E$2:$E$11000,"Sedekah")</f>
        <v>5000</v>
      </c>
      <c r="S331" s="52">
        <f ca="1">SUMIFS(OUT!$F$2:$F$11000,OUT!$H$2:$H$11000,H331,OUT!$D$2:$D$11000,"Out",OUT!$E$2:$E$11000,"Zela")</f>
        <v>40500</v>
      </c>
      <c r="T331" s="52">
        <f ca="1">SUMIFS(OUT!$F$2:$F$11000,OUT!$H$2:$H$11000,H331,OUT!$D$2:$D$11000,"Out",OUT!$E$2:$E$11000,"Iqbal")</f>
        <v>295000</v>
      </c>
    </row>
    <row r="332" spans="1:20" x14ac:dyDescent="0.2">
      <c r="A332" s="48">
        <f ca="1">IFERROR(__xludf.DUMMYFUNCTION("""COMPUTED_VALUE"""),46242)</f>
        <v>46242</v>
      </c>
      <c r="B332" s="4" t="str">
        <f ca="1">IFERROR(__xludf.DUMMYFUNCTION("""COMPUTED_VALUE"""),"terima tunai")</f>
        <v>terima tunai</v>
      </c>
      <c r="C332" s="4" t="str">
        <f ca="1">IFERROR(__xludf.DUMMYFUNCTION("""COMPUTED_VALUE"""),"Cash")</f>
        <v>Cash</v>
      </c>
      <c r="D332" s="4" t="str">
        <f ca="1">IFERROR(__xludf.DUMMYFUNCTION("""COMPUTED_VALUE"""),"In")</f>
        <v>In</v>
      </c>
      <c r="E332" s="4" t="str">
        <f ca="1">IFERROR(__xludf.DUMMYFUNCTION("""COMPUTED_VALUE"""),"Move")</f>
        <v>Move</v>
      </c>
      <c r="F332" s="49">
        <f ca="1">IFERROR(__xludf.DUMMYFUNCTION("""COMPUTED_VALUE"""),50000)</f>
        <v>50000</v>
      </c>
      <c r="G332" s="50" t="str">
        <f ca="1">IFERROR(__xludf.DUMMYFUNCTION("""COMPUTED_VALUE"""),"Ibal")</f>
        <v>Ibal</v>
      </c>
      <c r="H332" s="51">
        <f t="shared" ca="1" si="0"/>
        <v>46235</v>
      </c>
      <c r="I332" s="52" t="e">
        <f ca="1">SUMIFS(OUT!$F$2:$F$11000,OUT!$H$2:$H$11000,H332,OUT!$D$2:$D$101007,"In")</f>
        <v>#VALUE!</v>
      </c>
      <c r="J332" s="52">
        <f ca="1">SUMIFS(OUT!$F$2:$F$11000,OUT!$H$2:$H$11000,H332,OUT!$D$2:$D$11000,"Out")</f>
        <v>9573570</v>
      </c>
      <c r="K332" s="52">
        <f ca="1">SUMIFS(OUT!$F$2:$F$11000,OUT!$H$2:$H$11000,H332,OUT!$D$2:$D$11000,"Out",OUT!$E$2:$E$11000,"Fix")</f>
        <v>2533689</v>
      </c>
      <c r="L332" s="52">
        <f ca="1">SUMIFS(OUT!$F$2:$F$11000,OUT!$H$2:$H$11000,H332,OUT!$D$2:$D$11000,"Out",OUT!$E$2:$E$11000,"Bathroom")</f>
        <v>14491</v>
      </c>
      <c r="M332" s="52">
        <f ca="1">SUMIFS(OUT!$F$2:$F$11000,OUT!$H$2:$H$11000,H332,OUT!$D$2:$D$11000,"Out",OUT!$E$2:$E$11000,"Alfa")</f>
        <v>452769</v>
      </c>
      <c r="N332" s="52" t="e">
        <f ca="1">SUMIFS(OUT!$F$2:$F$11000,OUT!$H$2:$H$101007,H332,OUT!$D$2:$D$11000,"Out",OUT!$E$2:$E$11000,"Jajan")</f>
        <v>#VALUE!</v>
      </c>
      <c r="O332" s="52">
        <f ca="1">SUMIFS(OUT!$F$2:$F$11000,OUT!$H$2:$H$11000,H332,OUT!$D$2:$D$11000,"Out",OUT!$E$2:$E$11000,"Kitchen")</f>
        <v>1584204</v>
      </c>
      <c r="P332" s="52">
        <f ca="1">SUMIFS(OUT!$F$2:$F$11000,OUT!$H$2:$H$11000,H332,OUT!$D$2:$D$11000,"Out",OUT!$E$2:$E$11000,"Loandry")</f>
        <v>43448</v>
      </c>
      <c r="Q332" s="52">
        <f ca="1">SUMIFS(OUT!$F$2:$F$11000,OUT!$H$2:$H$11000,H332,OUT!$D$2:$D$11000,"Out",OUT!$E$2:$E$11000,"Mio")</f>
        <v>329000</v>
      </c>
      <c r="R332" s="52">
        <f ca="1">SUMIFS(OUT!$F$2:$F$11000,OUT!$H$2:$H$11000,H332,OUT!$D$2:$D$11000,"Out",OUT!$E$2:$E$11000,"Sedekah")</f>
        <v>5000</v>
      </c>
      <c r="S332" s="52">
        <f ca="1">SUMIFS(OUT!$F$2:$F$11000,OUT!$H$2:$H$11000,H332,OUT!$D$2:$D$11000,"Out",OUT!$E$2:$E$11000,"Zela")</f>
        <v>40500</v>
      </c>
      <c r="T332" s="52">
        <f ca="1">SUMIFS(OUT!$F$2:$F$11000,OUT!$H$2:$H$11000,H332,OUT!$D$2:$D$11000,"Out",OUT!$E$2:$E$11000,"Iqbal")</f>
        <v>295000</v>
      </c>
    </row>
    <row r="333" spans="1:20" x14ac:dyDescent="0.2">
      <c r="A333" s="48">
        <f ca="1">IFERROR(__xludf.DUMMYFUNCTION("""COMPUTED_VALUE"""),46242)</f>
        <v>46242</v>
      </c>
      <c r="B333" s="4" t="str">
        <f ca="1">IFERROR(__xludf.DUMMYFUNCTION("""COMPUTED_VALUE"""),"pertalite")</f>
        <v>pertalite</v>
      </c>
      <c r="C333" s="4" t="str">
        <f ca="1">IFERROR(__xludf.DUMMYFUNCTION("""COMPUTED_VALUE"""),"Cash")</f>
        <v>Cash</v>
      </c>
      <c r="D333" s="4" t="str">
        <f ca="1">IFERROR(__xludf.DUMMYFUNCTION("""COMPUTED_VALUE"""),"Out")</f>
        <v>Out</v>
      </c>
      <c r="E333" s="4" t="str">
        <f ca="1">IFERROR(__xludf.DUMMYFUNCTION("""COMPUTED_VALUE"""),"Mio")</f>
        <v>Mio</v>
      </c>
      <c r="F333" s="49">
        <f ca="1">IFERROR(__xludf.DUMMYFUNCTION("""COMPUTED_VALUE"""),20000)</f>
        <v>20000</v>
      </c>
      <c r="G333" s="50" t="str">
        <f ca="1">IFERROR(__xludf.DUMMYFUNCTION("""COMPUTED_VALUE"""),"Ibal")</f>
        <v>Ibal</v>
      </c>
      <c r="H333" s="51">
        <f t="shared" ca="1" si="0"/>
        <v>46235</v>
      </c>
      <c r="I333" s="52" t="e">
        <f ca="1">SUMIFS(OUT!$F$2:$F$11000,OUT!$H$2:$H$11000,H333,OUT!$D$2:$D$101007,"In")</f>
        <v>#VALUE!</v>
      </c>
      <c r="J333" s="52">
        <f ca="1">SUMIFS(OUT!$F$2:$F$11000,OUT!$H$2:$H$11000,H333,OUT!$D$2:$D$11000,"Out")</f>
        <v>9573570</v>
      </c>
      <c r="K333" s="52">
        <f ca="1">SUMIFS(OUT!$F$2:$F$11000,OUT!$H$2:$H$11000,H333,OUT!$D$2:$D$11000,"Out",OUT!$E$2:$E$11000,"Fix")</f>
        <v>2533689</v>
      </c>
      <c r="L333" s="52">
        <f ca="1">SUMIFS(OUT!$F$2:$F$11000,OUT!$H$2:$H$11000,H333,OUT!$D$2:$D$11000,"Out",OUT!$E$2:$E$11000,"Bathroom")</f>
        <v>14491</v>
      </c>
      <c r="M333" s="52">
        <f ca="1">SUMIFS(OUT!$F$2:$F$11000,OUT!$H$2:$H$11000,H333,OUT!$D$2:$D$11000,"Out",OUT!$E$2:$E$11000,"Alfa")</f>
        <v>452769</v>
      </c>
      <c r="N333" s="52" t="e">
        <f ca="1">SUMIFS(OUT!$F$2:$F$11000,OUT!$H$2:$H$101007,H333,OUT!$D$2:$D$11000,"Out",OUT!$E$2:$E$11000,"Jajan")</f>
        <v>#VALUE!</v>
      </c>
      <c r="O333" s="52">
        <f ca="1">SUMIFS(OUT!$F$2:$F$11000,OUT!$H$2:$H$11000,H333,OUT!$D$2:$D$11000,"Out",OUT!$E$2:$E$11000,"Kitchen")</f>
        <v>1584204</v>
      </c>
      <c r="P333" s="52">
        <f ca="1">SUMIFS(OUT!$F$2:$F$11000,OUT!$H$2:$H$11000,H333,OUT!$D$2:$D$11000,"Out",OUT!$E$2:$E$11000,"Loandry")</f>
        <v>43448</v>
      </c>
      <c r="Q333" s="52">
        <f ca="1">SUMIFS(OUT!$F$2:$F$11000,OUT!$H$2:$H$11000,H333,OUT!$D$2:$D$11000,"Out",OUT!$E$2:$E$11000,"Mio")</f>
        <v>329000</v>
      </c>
      <c r="R333" s="52">
        <f ca="1">SUMIFS(OUT!$F$2:$F$11000,OUT!$H$2:$H$11000,H333,OUT!$D$2:$D$11000,"Out",OUT!$E$2:$E$11000,"Sedekah")</f>
        <v>5000</v>
      </c>
      <c r="S333" s="52">
        <f ca="1">SUMIFS(OUT!$F$2:$F$11000,OUT!$H$2:$H$11000,H333,OUT!$D$2:$D$11000,"Out",OUT!$E$2:$E$11000,"Zela")</f>
        <v>40500</v>
      </c>
      <c r="T333" s="52">
        <f ca="1">SUMIFS(OUT!$F$2:$F$11000,OUT!$H$2:$H$11000,H333,OUT!$D$2:$D$11000,"Out",OUT!$E$2:$E$11000,"Iqbal")</f>
        <v>295000</v>
      </c>
    </row>
    <row r="334" spans="1:20" x14ac:dyDescent="0.2">
      <c r="A334" s="48">
        <f ca="1">IFERROR(__xludf.DUMMYFUNCTION("""COMPUTED_VALUE"""),46242)</f>
        <v>46242</v>
      </c>
      <c r="B334" s="4" t="str">
        <f ca="1">IFERROR(__xludf.DUMMYFUNCTION("""COMPUTED_VALUE"""),"kopi aren (saka)")</f>
        <v>kopi aren (saka)</v>
      </c>
      <c r="C334" s="4" t="str">
        <f ca="1">IFERROR(__xludf.DUMMYFUNCTION("""COMPUTED_VALUE"""),"Cash")</f>
        <v>Cash</v>
      </c>
      <c r="D334" s="4" t="str">
        <f ca="1">IFERROR(__xludf.DUMMYFUNCTION("""COMPUTED_VALUE"""),"Out")</f>
        <v>Out</v>
      </c>
      <c r="E334" s="4" t="str">
        <f ca="1">IFERROR(__xludf.DUMMYFUNCTION("""COMPUTED_VALUE"""),"Jajan")</f>
        <v>Jajan</v>
      </c>
      <c r="F334" s="49">
        <f ca="1">IFERROR(__xludf.DUMMYFUNCTION("""COMPUTED_VALUE"""),24000)</f>
        <v>24000</v>
      </c>
      <c r="G334" s="50" t="str">
        <f ca="1">IFERROR(__xludf.DUMMYFUNCTION("""COMPUTED_VALUE"""),"Ibal")</f>
        <v>Ibal</v>
      </c>
      <c r="H334" s="51">
        <f t="shared" ca="1" si="0"/>
        <v>46235</v>
      </c>
      <c r="I334" s="52" t="e">
        <f ca="1">SUMIFS(OUT!$F$2:$F$11000,OUT!$H$2:$H$11000,H334,OUT!$D$2:$D$101007,"In")</f>
        <v>#VALUE!</v>
      </c>
      <c r="J334" s="52">
        <f ca="1">SUMIFS(OUT!$F$2:$F$11000,OUT!$H$2:$H$11000,H334,OUT!$D$2:$D$11000,"Out")</f>
        <v>9573570</v>
      </c>
      <c r="K334" s="52">
        <f ca="1">SUMIFS(OUT!$F$2:$F$11000,OUT!$H$2:$H$11000,H334,OUT!$D$2:$D$11000,"Out",OUT!$E$2:$E$11000,"Fix")</f>
        <v>2533689</v>
      </c>
      <c r="L334" s="52">
        <f ca="1">SUMIFS(OUT!$F$2:$F$11000,OUT!$H$2:$H$11000,H334,OUT!$D$2:$D$11000,"Out",OUT!$E$2:$E$11000,"Bathroom")</f>
        <v>14491</v>
      </c>
      <c r="M334" s="52">
        <f ca="1">SUMIFS(OUT!$F$2:$F$11000,OUT!$H$2:$H$11000,H334,OUT!$D$2:$D$11000,"Out",OUT!$E$2:$E$11000,"Alfa")</f>
        <v>452769</v>
      </c>
      <c r="N334" s="52" t="e">
        <f ca="1">SUMIFS(OUT!$F$2:$F$11000,OUT!$H$2:$H$101007,H334,OUT!$D$2:$D$11000,"Out",OUT!$E$2:$E$11000,"Jajan")</f>
        <v>#VALUE!</v>
      </c>
      <c r="O334" s="52">
        <f ca="1">SUMIFS(OUT!$F$2:$F$11000,OUT!$H$2:$H$11000,H334,OUT!$D$2:$D$11000,"Out",OUT!$E$2:$E$11000,"Kitchen")</f>
        <v>1584204</v>
      </c>
      <c r="P334" s="52">
        <f ca="1">SUMIFS(OUT!$F$2:$F$11000,OUT!$H$2:$H$11000,H334,OUT!$D$2:$D$11000,"Out",OUT!$E$2:$E$11000,"Loandry")</f>
        <v>43448</v>
      </c>
      <c r="Q334" s="52">
        <f ca="1">SUMIFS(OUT!$F$2:$F$11000,OUT!$H$2:$H$11000,H334,OUT!$D$2:$D$11000,"Out",OUT!$E$2:$E$11000,"Mio")</f>
        <v>329000</v>
      </c>
      <c r="R334" s="52">
        <f ca="1">SUMIFS(OUT!$F$2:$F$11000,OUT!$H$2:$H$11000,H334,OUT!$D$2:$D$11000,"Out",OUT!$E$2:$E$11000,"Sedekah")</f>
        <v>5000</v>
      </c>
      <c r="S334" s="52">
        <f ca="1">SUMIFS(OUT!$F$2:$F$11000,OUT!$H$2:$H$11000,H334,OUT!$D$2:$D$11000,"Out",OUT!$E$2:$E$11000,"Zela")</f>
        <v>40500</v>
      </c>
      <c r="T334" s="52">
        <f ca="1">SUMIFS(OUT!$F$2:$F$11000,OUT!$H$2:$H$11000,H334,OUT!$D$2:$D$11000,"Out",OUT!$E$2:$E$11000,"Iqbal")</f>
        <v>295000</v>
      </c>
    </row>
    <row r="335" spans="1:20" x14ac:dyDescent="0.2">
      <c r="A335" s="48">
        <f ca="1">IFERROR(__xludf.DUMMYFUNCTION("""COMPUTED_VALUE"""),46242)</f>
        <v>46242</v>
      </c>
      <c r="B335" s="4" t="str">
        <f ca="1">IFERROR(__xludf.DUMMYFUNCTION("""COMPUTED_VALUE"""),"air kelapa muda")</f>
        <v>air kelapa muda</v>
      </c>
      <c r="C335" s="4" t="str">
        <f ca="1">IFERROR(__xludf.DUMMYFUNCTION("""COMPUTED_VALUE"""),"Cash")</f>
        <v>Cash</v>
      </c>
      <c r="D335" s="4" t="str">
        <f ca="1">IFERROR(__xludf.DUMMYFUNCTION("""COMPUTED_VALUE"""),"Out")</f>
        <v>Out</v>
      </c>
      <c r="E335" s="4" t="str">
        <f ca="1">IFERROR(__xludf.DUMMYFUNCTION("""COMPUTED_VALUE"""),"Jajan")</f>
        <v>Jajan</v>
      </c>
      <c r="F335" s="49">
        <f ca="1">IFERROR(__xludf.DUMMYFUNCTION("""COMPUTED_VALUE"""),10000)</f>
        <v>10000</v>
      </c>
      <c r="G335" s="50" t="str">
        <f ca="1">IFERROR(__xludf.DUMMYFUNCTION("""COMPUTED_VALUE"""),"Ibal")</f>
        <v>Ibal</v>
      </c>
      <c r="H335" s="51">
        <f t="shared" ca="1" si="0"/>
        <v>46235</v>
      </c>
      <c r="I335" s="52" t="e">
        <f ca="1">SUMIFS(OUT!$F$2:$F$11000,OUT!$H$2:$H$11000,H335,OUT!$D$2:$D$101007,"In")</f>
        <v>#VALUE!</v>
      </c>
      <c r="J335" s="52">
        <f ca="1">SUMIFS(OUT!$F$2:$F$11000,OUT!$H$2:$H$11000,H335,OUT!$D$2:$D$11000,"Out")</f>
        <v>9573570</v>
      </c>
      <c r="K335" s="52">
        <f ca="1">SUMIFS(OUT!$F$2:$F$11000,OUT!$H$2:$H$11000,H335,OUT!$D$2:$D$11000,"Out",OUT!$E$2:$E$11000,"Fix")</f>
        <v>2533689</v>
      </c>
      <c r="L335" s="52">
        <f ca="1">SUMIFS(OUT!$F$2:$F$11000,OUT!$H$2:$H$11000,H335,OUT!$D$2:$D$11000,"Out",OUT!$E$2:$E$11000,"Bathroom")</f>
        <v>14491</v>
      </c>
      <c r="M335" s="52">
        <f ca="1">SUMIFS(OUT!$F$2:$F$11000,OUT!$H$2:$H$11000,H335,OUT!$D$2:$D$11000,"Out",OUT!$E$2:$E$11000,"Alfa")</f>
        <v>452769</v>
      </c>
      <c r="N335" s="52" t="e">
        <f ca="1">SUMIFS(OUT!$F$2:$F$11000,OUT!$H$2:$H$101007,H335,OUT!$D$2:$D$11000,"Out",OUT!$E$2:$E$11000,"Jajan")</f>
        <v>#VALUE!</v>
      </c>
      <c r="O335" s="52">
        <f ca="1">SUMIFS(OUT!$F$2:$F$11000,OUT!$H$2:$H$11000,H335,OUT!$D$2:$D$11000,"Out",OUT!$E$2:$E$11000,"Kitchen")</f>
        <v>1584204</v>
      </c>
      <c r="P335" s="52">
        <f ca="1">SUMIFS(OUT!$F$2:$F$11000,OUT!$H$2:$H$11000,H335,OUT!$D$2:$D$11000,"Out",OUT!$E$2:$E$11000,"Loandry")</f>
        <v>43448</v>
      </c>
      <c r="Q335" s="52">
        <f ca="1">SUMIFS(OUT!$F$2:$F$11000,OUT!$H$2:$H$11000,H335,OUT!$D$2:$D$11000,"Out",OUT!$E$2:$E$11000,"Mio")</f>
        <v>329000</v>
      </c>
      <c r="R335" s="52">
        <f ca="1">SUMIFS(OUT!$F$2:$F$11000,OUT!$H$2:$H$11000,H335,OUT!$D$2:$D$11000,"Out",OUT!$E$2:$E$11000,"Sedekah")</f>
        <v>5000</v>
      </c>
      <c r="S335" s="52">
        <f ca="1">SUMIFS(OUT!$F$2:$F$11000,OUT!$H$2:$H$11000,H335,OUT!$D$2:$D$11000,"Out",OUT!$E$2:$E$11000,"Zela")</f>
        <v>40500</v>
      </c>
      <c r="T335" s="52">
        <f ca="1">SUMIFS(OUT!$F$2:$F$11000,OUT!$H$2:$H$11000,H335,OUT!$D$2:$D$11000,"Out",OUT!$E$2:$E$11000,"Iqbal")</f>
        <v>295000</v>
      </c>
    </row>
    <row r="336" spans="1:20" x14ac:dyDescent="0.2">
      <c r="A336" s="48">
        <f ca="1">IFERROR(__xludf.DUMMYFUNCTION("""COMPUTED_VALUE"""),46242)</f>
        <v>46242</v>
      </c>
      <c r="B336" s="4" t="str">
        <f ca="1">IFERROR(__xludf.DUMMYFUNCTION("""COMPUTED_VALUE"""),"sate")</f>
        <v>sate</v>
      </c>
      <c r="C336" s="4" t="str">
        <f ca="1">IFERROR(__xludf.DUMMYFUNCTION("""COMPUTED_VALUE"""),"Cash")</f>
        <v>Cash</v>
      </c>
      <c r="D336" s="4" t="str">
        <f ca="1">IFERROR(__xludf.DUMMYFUNCTION("""COMPUTED_VALUE"""),"Out")</f>
        <v>Out</v>
      </c>
      <c r="E336" s="4" t="str">
        <f ca="1">IFERROR(__xludf.DUMMYFUNCTION("""COMPUTED_VALUE"""),"Jajan")</f>
        <v>Jajan</v>
      </c>
      <c r="F336" s="49">
        <f ca="1">IFERROR(__xludf.DUMMYFUNCTION("""COMPUTED_VALUE"""),6000)</f>
        <v>6000</v>
      </c>
      <c r="G336" s="50" t="str">
        <f ca="1">IFERROR(__xludf.DUMMYFUNCTION("""COMPUTED_VALUE"""),"Ibal")</f>
        <v>Ibal</v>
      </c>
      <c r="H336" s="51">
        <f t="shared" ca="1" si="0"/>
        <v>46235</v>
      </c>
      <c r="I336" s="52" t="e">
        <f ca="1">SUMIFS(OUT!$F$2:$F$11000,OUT!$H$2:$H$11000,H336,OUT!$D$2:$D$101007,"In")</f>
        <v>#VALUE!</v>
      </c>
      <c r="J336" s="52">
        <f ca="1">SUMIFS(OUT!$F$2:$F$11000,OUT!$H$2:$H$11000,H336,OUT!$D$2:$D$11000,"Out")</f>
        <v>9573570</v>
      </c>
      <c r="K336" s="52">
        <f ca="1">SUMIFS(OUT!$F$2:$F$11000,OUT!$H$2:$H$11000,H336,OUT!$D$2:$D$11000,"Out",OUT!$E$2:$E$11000,"Fix")</f>
        <v>2533689</v>
      </c>
      <c r="L336" s="52">
        <f ca="1">SUMIFS(OUT!$F$2:$F$11000,OUT!$H$2:$H$11000,H336,OUT!$D$2:$D$11000,"Out",OUT!$E$2:$E$11000,"Bathroom")</f>
        <v>14491</v>
      </c>
      <c r="M336" s="52">
        <f ca="1">SUMIFS(OUT!$F$2:$F$11000,OUT!$H$2:$H$11000,H336,OUT!$D$2:$D$11000,"Out",OUT!$E$2:$E$11000,"Alfa")</f>
        <v>452769</v>
      </c>
      <c r="N336" s="52" t="e">
        <f ca="1">SUMIFS(OUT!$F$2:$F$11000,OUT!$H$2:$H$101007,H336,OUT!$D$2:$D$11000,"Out",OUT!$E$2:$E$11000,"Jajan")</f>
        <v>#VALUE!</v>
      </c>
      <c r="O336" s="52">
        <f ca="1">SUMIFS(OUT!$F$2:$F$11000,OUT!$H$2:$H$11000,H336,OUT!$D$2:$D$11000,"Out",OUT!$E$2:$E$11000,"Kitchen")</f>
        <v>1584204</v>
      </c>
      <c r="P336" s="52">
        <f ca="1">SUMIFS(OUT!$F$2:$F$11000,OUT!$H$2:$H$11000,H336,OUT!$D$2:$D$11000,"Out",OUT!$E$2:$E$11000,"Loandry")</f>
        <v>43448</v>
      </c>
      <c r="Q336" s="52">
        <f ca="1">SUMIFS(OUT!$F$2:$F$11000,OUT!$H$2:$H$11000,H336,OUT!$D$2:$D$11000,"Out",OUT!$E$2:$E$11000,"Mio")</f>
        <v>329000</v>
      </c>
      <c r="R336" s="52">
        <f ca="1">SUMIFS(OUT!$F$2:$F$11000,OUT!$H$2:$H$11000,H336,OUT!$D$2:$D$11000,"Out",OUT!$E$2:$E$11000,"Sedekah")</f>
        <v>5000</v>
      </c>
      <c r="S336" s="52">
        <f ca="1">SUMIFS(OUT!$F$2:$F$11000,OUT!$H$2:$H$11000,H336,OUT!$D$2:$D$11000,"Out",OUT!$E$2:$E$11000,"Zela")</f>
        <v>40500</v>
      </c>
      <c r="T336" s="52">
        <f ca="1">SUMIFS(OUT!$F$2:$F$11000,OUT!$H$2:$H$11000,H336,OUT!$D$2:$D$11000,"Out",OUT!$E$2:$E$11000,"Iqbal")</f>
        <v>295000</v>
      </c>
    </row>
    <row r="337" spans="1:20" x14ac:dyDescent="0.2">
      <c r="A337" s="48">
        <f ca="1">IFERROR(__xludf.DUMMYFUNCTION("""COMPUTED_VALUE"""),46242)</f>
        <v>46242</v>
      </c>
      <c r="B337" s="4" t="str">
        <f ca="1">IFERROR(__xludf.DUMMYFUNCTION("""COMPUTED_VALUE"""),"Bang Indra")</f>
        <v>Bang Indra</v>
      </c>
      <c r="C337" s="4" t="str">
        <f ca="1">IFERROR(__xludf.DUMMYFUNCTION("""COMPUTED_VALUE"""),"Cash")</f>
        <v>Cash</v>
      </c>
      <c r="D337" s="4" t="str">
        <f ca="1">IFERROR(__xludf.DUMMYFUNCTION("""COMPUTED_VALUE"""),"In")</f>
        <v>In</v>
      </c>
      <c r="E337" s="4" t="str">
        <f ca="1">IFERROR(__xludf.DUMMYFUNCTION("""COMPUTED_VALUE"""),"Fix")</f>
        <v>Fix</v>
      </c>
      <c r="F337" s="49">
        <f ca="1">IFERROR(__xludf.DUMMYFUNCTION("""COMPUTED_VALUE"""),20000)</f>
        <v>20000</v>
      </c>
      <c r="G337" s="50" t="str">
        <f ca="1">IFERROR(__xludf.DUMMYFUNCTION("""COMPUTED_VALUE"""),"Ibal")</f>
        <v>Ibal</v>
      </c>
      <c r="H337" s="51">
        <f t="shared" ca="1" si="0"/>
        <v>46235</v>
      </c>
      <c r="I337" s="52" t="e">
        <f ca="1">SUMIFS(OUT!$F$2:$F$11000,OUT!$H$2:$H$11000,H337,OUT!$D$2:$D$101007,"In")</f>
        <v>#VALUE!</v>
      </c>
      <c r="J337" s="52">
        <f ca="1">SUMIFS(OUT!$F$2:$F$11000,OUT!$H$2:$H$11000,H337,OUT!$D$2:$D$11000,"Out")</f>
        <v>9573570</v>
      </c>
      <c r="K337" s="52">
        <f ca="1">SUMIFS(OUT!$F$2:$F$11000,OUT!$H$2:$H$11000,H337,OUT!$D$2:$D$11000,"Out",OUT!$E$2:$E$11000,"Fix")</f>
        <v>2533689</v>
      </c>
      <c r="L337" s="52">
        <f ca="1">SUMIFS(OUT!$F$2:$F$11000,OUT!$H$2:$H$11000,H337,OUT!$D$2:$D$11000,"Out",OUT!$E$2:$E$11000,"Bathroom")</f>
        <v>14491</v>
      </c>
      <c r="M337" s="52">
        <f ca="1">SUMIFS(OUT!$F$2:$F$11000,OUT!$H$2:$H$11000,H337,OUT!$D$2:$D$11000,"Out",OUT!$E$2:$E$11000,"Alfa")</f>
        <v>452769</v>
      </c>
      <c r="N337" s="52" t="e">
        <f ca="1">SUMIFS(OUT!$F$2:$F$11000,OUT!$H$2:$H$101007,H337,OUT!$D$2:$D$11000,"Out",OUT!$E$2:$E$11000,"Jajan")</f>
        <v>#VALUE!</v>
      </c>
      <c r="O337" s="52">
        <f ca="1">SUMIFS(OUT!$F$2:$F$11000,OUT!$H$2:$H$11000,H337,OUT!$D$2:$D$11000,"Out",OUT!$E$2:$E$11000,"Kitchen")</f>
        <v>1584204</v>
      </c>
      <c r="P337" s="52">
        <f ca="1">SUMIFS(OUT!$F$2:$F$11000,OUT!$H$2:$H$11000,H337,OUT!$D$2:$D$11000,"Out",OUT!$E$2:$E$11000,"Loandry")</f>
        <v>43448</v>
      </c>
      <c r="Q337" s="52">
        <f ca="1">SUMIFS(OUT!$F$2:$F$11000,OUT!$H$2:$H$11000,H337,OUT!$D$2:$D$11000,"Out",OUT!$E$2:$E$11000,"Mio")</f>
        <v>329000</v>
      </c>
      <c r="R337" s="52">
        <f ca="1">SUMIFS(OUT!$F$2:$F$11000,OUT!$H$2:$H$11000,H337,OUT!$D$2:$D$11000,"Out",OUT!$E$2:$E$11000,"Sedekah")</f>
        <v>5000</v>
      </c>
      <c r="S337" s="52">
        <f ca="1">SUMIFS(OUT!$F$2:$F$11000,OUT!$H$2:$H$11000,H337,OUT!$D$2:$D$11000,"Out",OUT!$E$2:$E$11000,"Zela")</f>
        <v>40500</v>
      </c>
      <c r="T337" s="52">
        <f ca="1">SUMIFS(OUT!$F$2:$F$11000,OUT!$H$2:$H$11000,H337,OUT!$D$2:$D$11000,"Out",OUT!$E$2:$E$11000,"Iqbal")</f>
        <v>295000</v>
      </c>
    </row>
    <row r="338" spans="1:20" x14ac:dyDescent="0.2">
      <c r="A338" s="48">
        <f ca="1">IFERROR(__xludf.DUMMYFUNCTION("""COMPUTED_VALUE"""),46242)</f>
        <v>46242</v>
      </c>
      <c r="B338" s="4" t="str">
        <f ca="1">IFERROR(__xludf.DUMMYFUNCTION("""COMPUTED_VALUE"""),"Service Laptop : Ganti Batrai")</f>
        <v>Service Laptop : Ganti Batrai</v>
      </c>
      <c r="C338" s="4" t="str">
        <f ca="1">IFERROR(__xludf.DUMMYFUNCTION("""COMPUTED_VALUE"""),"ATM")</f>
        <v>ATM</v>
      </c>
      <c r="D338" s="4" t="str">
        <f ca="1">IFERROR(__xludf.DUMMYFUNCTION("""COMPUTED_VALUE"""),"In")</f>
        <v>In</v>
      </c>
      <c r="E338" s="4" t="str">
        <f ca="1">IFERROR(__xludf.DUMMYFUNCTION("""COMPUTED_VALUE"""),"Fix")</f>
        <v>Fix</v>
      </c>
      <c r="F338" s="49">
        <f ca="1">IFERROR(__xludf.DUMMYFUNCTION("""COMPUTED_VALUE"""),100000)</f>
        <v>100000</v>
      </c>
      <c r="G338" s="50" t="str">
        <f ca="1">IFERROR(__xludf.DUMMYFUNCTION("""COMPUTED_VALUE"""),"Ibal")</f>
        <v>Ibal</v>
      </c>
      <c r="H338" s="51">
        <f t="shared" ca="1" si="0"/>
        <v>46235</v>
      </c>
      <c r="I338" s="52" t="e">
        <f ca="1">SUMIFS(OUT!$F$2:$F$11000,OUT!$H$2:$H$11000,H338,OUT!$D$2:$D$101007,"In")</f>
        <v>#VALUE!</v>
      </c>
      <c r="J338" s="52">
        <f ca="1">SUMIFS(OUT!$F$2:$F$11000,OUT!$H$2:$H$11000,H338,OUT!$D$2:$D$11000,"Out")</f>
        <v>9573570</v>
      </c>
      <c r="K338" s="52">
        <f ca="1">SUMIFS(OUT!$F$2:$F$11000,OUT!$H$2:$H$11000,H338,OUT!$D$2:$D$11000,"Out",OUT!$E$2:$E$11000,"Fix")</f>
        <v>2533689</v>
      </c>
      <c r="L338" s="52">
        <f ca="1">SUMIFS(OUT!$F$2:$F$11000,OUT!$H$2:$H$11000,H338,OUT!$D$2:$D$11000,"Out",OUT!$E$2:$E$11000,"Bathroom")</f>
        <v>14491</v>
      </c>
      <c r="M338" s="52">
        <f ca="1">SUMIFS(OUT!$F$2:$F$11000,OUT!$H$2:$H$11000,H338,OUT!$D$2:$D$11000,"Out",OUT!$E$2:$E$11000,"Alfa")</f>
        <v>452769</v>
      </c>
      <c r="N338" s="52" t="e">
        <f ca="1">SUMIFS(OUT!$F$2:$F$11000,OUT!$H$2:$H$101007,H338,OUT!$D$2:$D$11000,"Out",OUT!$E$2:$E$11000,"Jajan")</f>
        <v>#VALUE!</v>
      </c>
      <c r="O338" s="52">
        <f ca="1">SUMIFS(OUT!$F$2:$F$11000,OUT!$H$2:$H$11000,H338,OUT!$D$2:$D$11000,"Out",OUT!$E$2:$E$11000,"Kitchen")</f>
        <v>1584204</v>
      </c>
      <c r="P338" s="52">
        <f ca="1">SUMIFS(OUT!$F$2:$F$11000,OUT!$H$2:$H$11000,H338,OUT!$D$2:$D$11000,"Out",OUT!$E$2:$E$11000,"Loandry")</f>
        <v>43448</v>
      </c>
      <c r="Q338" s="52">
        <f ca="1">SUMIFS(OUT!$F$2:$F$11000,OUT!$H$2:$H$11000,H338,OUT!$D$2:$D$11000,"Out",OUT!$E$2:$E$11000,"Mio")</f>
        <v>329000</v>
      </c>
      <c r="R338" s="52">
        <f ca="1">SUMIFS(OUT!$F$2:$F$11000,OUT!$H$2:$H$11000,H338,OUT!$D$2:$D$11000,"Out",OUT!$E$2:$E$11000,"Sedekah")</f>
        <v>5000</v>
      </c>
      <c r="S338" s="52">
        <f ca="1">SUMIFS(OUT!$F$2:$F$11000,OUT!$H$2:$H$11000,H338,OUT!$D$2:$D$11000,"Out",OUT!$E$2:$E$11000,"Zela")</f>
        <v>40500</v>
      </c>
      <c r="T338" s="52">
        <f ca="1">SUMIFS(OUT!$F$2:$F$11000,OUT!$H$2:$H$11000,H338,OUT!$D$2:$D$11000,"Out",OUT!$E$2:$E$11000,"Iqbal")</f>
        <v>295000</v>
      </c>
    </row>
    <row r="339" spans="1:20" x14ac:dyDescent="0.2">
      <c r="A339" s="48">
        <f ca="1">IFERROR(__xludf.DUMMYFUNCTION("""COMPUTED_VALUE"""),46242)</f>
        <v>46242</v>
      </c>
      <c r="B339" s="4" t="str">
        <f ca="1">IFERROR(__xludf.DUMMYFUNCTION("""COMPUTED_VALUE"""),"Es Batu")</f>
        <v>Es Batu</v>
      </c>
      <c r="C339" s="4" t="str">
        <f ca="1">IFERROR(__xludf.DUMMYFUNCTION("""COMPUTED_VALUE"""),"Cash")</f>
        <v>Cash</v>
      </c>
      <c r="D339" s="4" t="str">
        <f ca="1">IFERROR(__xludf.DUMMYFUNCTION("""COMPUTED_VALUE"""),"Out")</f>
        <v>Out</v>
      </c>
      <c r="E339" s="4" t="str">
        <f ca="1">IFERROR(__xludf.DUMMYFUNCTION("""COMPUTED_VALUE"""),"Jajan")</f>
        <v>Jajan</v>
      </c>
      <c r="F339" s="49">
        <f ca="1">IFERROR(__xludf.DUMMYFUNCTION("""COMPUTED_VALUE"""),10000)</f>
        <v>10000</v>
      </c>
      <c r="G339" s="50" t="str">
        <f ca="1">IFERROR(__xludf.DUMMYFUNCTION("""COMPUTED_VALUE"""),"Ibal")</f>
        <v>Ibal</v>
      </c>
      <c r="H339" s="51">
        <f t="shared" ca="1" si="0"/>
        <v>46235</v>
      </c>
      <c r="I339" s="52" t="e">
        <f ca="1">SUMIFS(OUT!$F$2:$F$11000,OUT!$H$2:$H$11000,H339,OUT!$D$2:$D$101007,"In")</f>
        <v>#VALUE!</v>
      </c>
      <c r="J339" s="52">
        <f ca="1">SUMIFS(OUT!$F$2:$F$11000,OUT!$H$2:$H$11000,H339,OUT!$D$2:$D$11000,"Out")</f>
        <v>9573570</v>
      </c>
      <c r="K339" s="52">
        <f ca="1">SUMIFS(OUT!$F$2:$F$11000,OUT!$H$2:$H$11000,H339,OUT!$D$2:$D$11000,"Out",OUT!$E$2:$E$11000,"Fix")</f>
        <v>2533689</v>
      </c>
      <c r="L339" s="52">
        <f ca="1">SUMIFS(OUT!$F$2:$F$11000,OUT!$H$2:$H$11000,H339,OUT!$D$2:$D$11000,"Out",OUT!$E$2:$E$11000,"Bathroom")</f>
        <v>14491</v>
      </c>
      <c r="M339" s="52">
        <f ca="1">SUMIFS(OUT!$F$2:$F$11000,OUT!$H$2:$H$11000,H339,OUT!$D$2:$D$11000,"Out",OUT!$E$2:$E$11000,"Alfa")</f>
        <v>452769</v>
      </c>
      <c r="N339" s="52" t="e">
        <f ca="1">SUMIFS(OUT!$F$2:$F$11000,OUT!$H$2:$H$101007,H339,OUT!$D$2:$D$11000,"Out",OUT!$E$2:$E$11000,"Jajan")</f>
        <v>#VALUE!</v>
      </c>
      <c r="O339" s="52">
        <f ca="1">SUMIFS(OUT!$F$2:$F$11000,OUT!$H$2:$H$11000,H339,OUT!$D$2:$D$11000,"Out",OUT!$E$2:$E$11000,"Kitchen")</f>
        <v>1584204</v>
      </c>
      <c r="P339" s="52">
        <f ca="1">SUMIFS(OUT!$F$2:$F$11000,OUT!$H$2:$H$11000,H339,OUT!$D$2:$D$11000,"Out",OUT!$E$2:$E$11000,"Loandry")</f>
        <v>43448</v>
      </c>
      <c r="Q339" s="52">
        <f ca="1">SUMIFS(OUT!$F$2:$F$11000,OUT!$H$2:$H$11000,H339,OUT!$D$2:$D$11000,"Out",OUT!$E$2:$E$11000,"Mio")</f>
        <v>329000</v>
      </c>
      <c r="R339" s="52">
        <f ca="1">SUMIFS(OUT!$F$2:$F$11000,OUT!$H$2:$H$11000,H339,OUT!$D$2:$D$11000,"Out",OUT!$E$2:$E$11000,"Sedekah")</f>
        <v>5000</v>
      </c>
      <c r="S339" s="52">
        <f ca="1">SUMIFS(OUT!$F$2:$F$11000,OUT!$H$2:$H$11000,H339,OUT!$D$2:$D$11000,"Out",OUT!$E$2:$E$11000,"Zela")</f>
        <v>40500</v>
      </c>
      <c r="T339" s="52">
        <f ca="1">SUMIFS(OUT!$F$2:$F$11000,OUT!$H$2:$H$11000,H339,OUT!$D$2:$D$11000,"Out",OUT!$E$2:$E$11000,"Iqbal")</f>
        <v>295000</v>
      </c>
    </row>
    <row r="340" spans="1:20" x14ac:dyDescent="0.2">
      <c r="A340" s="48">
        <f ca="1">IFERROR(__xludf.DUMMYFUNCTION("""COMPUTED_VALUE"""),46243)</f>
        <v>46243</v>
      </c>
      <c r="B340" s="4" t="str">
        <f ca="1">IFERROR(__xludf.DUMMYFUNCTION("""COMPUTED_VALUE"""),"Bang Indra")</f>
        <v>Bang Indra</v>
      </c>
      <c r="C340" s="4" t="str">
        <f ca="1">IFERROR(__xludf.DUMMYFUNCTION("""COMPUTED_VALUE"""),"ATM")</f>
        <v>ATM</v>
      </c>
      <c r="D340" s="4" t="str">
        <f ca="1">IFERROR(__xludf.DUMMYFUNCTION("""COMPUTED_VALUE"""),"In")</f>
        <v>In</v>
      </c>
      <c r="E340" s="4" t="str">
        <f ca="1">IFERROR(__xludf.DUMMYFUNCTION("""COMPUTED_VALUE"""),"Fix")</f>
        <v>Fix</v>
      </c>
      <c r="F340" s="49">
        <f ca="1">IFERROR(__xludf.DUMMYFUNCTION("""COMPUTED_VALUE"""),50000)</f>
        <v>50000</v>
      </c>
      <c r="G340" s="50" t="str">
        <f ca="1">IFERROR(__xludf.DUMMYFUNCTION("""COMPUTED_VALUE"""),"Ibal")</f>
        <v>Ibal</v>
      </c>
      <c r="H340" s="51">
        <f t="shared" ca="1" si="0"/>
        <v>46235</v>
      </c>
      <c r="I340" s="52" t="e">
        <f ca="1">SUMIFS(OUT!$F$2:$F$11000,OUT!$H$2:$H$11000,H340,OUT!$D$2:$D$101007,"In")</f>
        <v>#VALUE!</v>
      </c>
      <c r="J340" s="52">
        <f ca="1">SUMIFS(OUT!$F$2:$F$11000,OUT!$H$2:$H$11000,H340,OUT!$D$2:$D$11000,"Out")</f>
        <v>9573570</v>
      </c>
      <c r="K340" s="52">
        <f ca="1">SUMIFS(OUT!$F$2:$F$11000,OUT!$H$2:$H$11000,H340,OUT!$D$2:$D$11000,"Out",OUT!$E$2:$E$11000,"Fix")</f>
        <v>2533689</v>
      </c>
      <c r="L340" s="52">
        <f ca="1">SUMIFS(OUT!$F$2:$F$11000,OUT!$H$2:$H$11000,H340,OUT!$D$2:$D$11000,"Out",OUT!$E$2:$E$11000,"Bathroom")</f>
        <v>14491</v>
      </c>
      <c r="M340" s="52">
        <f ca="1">SUMIFS(OUT!$F$2:$F$11000,OUT!$H$2:$H$11000,H340,OUT!$D$2:$D$11000,"Out",OUT!$E$2:$E$11000,"Alfa")</f>
        <v>452769</v>
      </c>
      <c r="N340" s="52" t="e">
        <f ca="1">SUMIFS(OUT!$F$2:$F$11000,OUT!$H$2:$H$101007,H340,OUT!$D$2:$D$11000,"Out",OUT!$E$2:$E$11000,"Jajan")</f>
        <v>#VALUE!</v>
      </c>
      <c r="O340" s="52">
        <f ca="1">SUMIFS(OUT!$F$2:$F$11000,OUT!$H$2:$H$11000,H340,OUT!$D$2:$D$11000,"Out",OUT!$E$2:$E$11000,"Kitchen")</f>
        <v>1584204</v>
      </c>
      <c r="P340" s="52">
        <f ca="1">SUMIFS(OUT!$F$2:$F$11000,OUT!$H$2:$H$11000,H340,OUT!$D$2:$D$11000,"Out",OUT!$E$2:$E$11000,"Loandry")</f>
        <v>43448</v>
      </c>
      <c r="Q340" s="52">
        <f ca="1">SUMIFS(OUT!$F$2:$F$11000,OUT!$H$2:$H$11000,H340,OUT!$D$2:$D$11000,"Out",OUT!$E$2:$E$11000,"Mio")</f>
        <v>329000</v>
      </c>
      <c r="R340" s="52">
        <f ca="1">SUMIFS(OUT!$F$2:$F$11000,OUT!$H$2:$H$11000,H340,OUT!$D$2:$D$11000,"Out",OUT!$E$2:$E$11000,"Sedekah")</f>
        <v>5000</v>
      </c>
      <c r="S340" s="52">
        <f ca="1">SUMIFS(OUT!$F$2:$F$11000,OUT!$H$2:$H$11000,H340,OUT!$D$2:$D$11000,"Out",OUT!$E$2:$E$11000,"Zela")</f>
        <v>40500</v>
      </c>
      <c r="T340" s="52">
        <f ca="1">SUMIFS(OUT!$F$2:$F$11000,OUT!$H$2:$H$11000,H340,OUT!$D$2:$D$11000,"Out",OUT!$E$2:$E$11000,"Iqbal")</f>
        <v>295000</v>
      </c>
    </row>
    <row r="341" spans="1:20" x14ac:dyDescent="0.2">
      <c r="A341" s="48">
        <f ca="1">IFERROR(__xludf.DUMMYFUNCTION("""COMPUTED_VALUE"""),46243)</f>
        <v>46243</v>
      </c>
      <c r="B341" s="4" t="str">
        <f ca="1">IFERROR(__xludf.DUMMYFUNCTION("""COMPUTED_VALUE"""),"pertalite")</f>
        <v>pertalite</v>
      </c>
      <c r="C341" s="4" t="str">
        <f ca="1">IFERROR(__xludf.DUMMYFUNCTION("""COMPUTED_VALUE"""),"ATM")</f>
        <v>ATM</v>
      </c>
      <c r="D341" s="4" t="str">
        <f ca="1">IFERROR(__xludf.DUMMYFUNCTION("""COMPUTED_VALUE"""),"Out")</f>
        <v>Out</v>
      </c>
      <c r="E341" s="4" t="str">
        <f ca="1">IFERROR(__xludf.DUMMYFUNCTION("""COMPUTED_VALUE"""),"Mio")</f>
        <v>Mio</v>
      </c>
      <c r="F341" s="49">
        <f ca="1">IFERROR(__xludf.DUMMYFUNCTION("""COMPUTED_VALUE"""),20000)</f>
        <v>20000</v>
      </c>
      <c r="G341" s="50" t="str">
        <f ca="1">IFERROR(__xludf.DUMMYFUNCTION("""COMPUTED_VALUE"""),"Ibal")</f>
        <v>Ibal</v>
      </c>
      <c r="H341" s="51">
        <f t="shared" ca="1" si="0"/>
        <v>46235</v>
      </c>
      <c r="I341" s="52" t="e">
        <f ca="1">SUMIFS(OUT!$F$2:$F$11000,OUT!$H$2:$H$11000,H341,OUT!$D$2:$D$101007,"In")</f>
        <v>#VALUE!</v>
      </c>
      <c r="J341" s="52">
        <f ca="1">SUMIFS(OUT!$F$2:$F$11000,OUT!$H$2:$H$11000,H341,OUT!$D$2:$D$11000,"Out")</f>
        <v>9573570</v>
      </c>
      <c r="K341" s="52">
        <f ca="1">SUMIFS(OUT!$F$2:$F$11000,OUT!$H$2:$H$11000,H341,OUT!$D$2:$D$11000,"Out",OUT!$E$2:$E$11000,"Fix")</f>
        <v>2533689</v>
      </c>
      <c r="L341" s="52">
        <f ca="1">SUMIFS(OUT!$F$2:$F$11000,OUT!$H$2:$H$11000,H341,OUT!$D$2:$D$11000,"Out",OUT!$E$2:$E$11000,"Bathroom")</f>
        <v>14491</v>
      </c>
      <c r="M341" s="52">
        <f ca="1">SUMIFS(OUT!$F$2:$F$11000,OUT!$H$2:$H$11000,H341,OUT!$D$2:$D$11000,"Out",OUT!$E$2:$E$11000,"Alfa")</f>
        <v>452769</v>
      </c>
      <c r="N341" s="52" t="e">
        <f ca="1">SUMIFS(OUT!$F$2:$F$11000,OUT!$H$2:$H$101007,H341,OUT!$D$2:$D$11000,"Out",OUT!$E$2:$E$11000,"Jajan")</f>
        <v>#VALUE!</v>
      </c>
      <c r="O341" s="52">
        <f ca="1">SUMIFS(OUT!$F$2:$F$11000,OUT!$H$2:$H$11000,H341,OUT!$D$2:$D$11000,"Out",OUT!$E$2:$E$11000,"Kitchen")</f>
        <v>1584204</v>
      </c>
      <c r="P341" s="52">
        <f ca="1">SUMIFS(OUT!$F$2:$F$11000,OUT!$H$2:$H$11000,H341,OUT!$D$2:$D$11000,"Out",OUT!$E$2:$E$11000,"Loandry")</f>
        <v>43448</v>
      </c>
      <c r="Q341" s="52">
        <f ca="1">SUMIFS(OUT!$F$2:$F$11000,OUT!$H$2:$H$11000,H341,OUT!$D$2:$D$11000,"Out",OUT!$E$2:$E$11000,"Mio")</f>
        <v>329000</v>
      </c>
      <c r="R341" s="52">
        <f ca="1">SUMIFS(OUT!$F$2:$F$11000,OUT!$H$2:$H$11000,H341,OUT!$D$2:$D$11000,"Out",OUT!$E$2:$E$11000,"Sedekah")</f>
        <v>5000</v>
      </c>
      <c r="S341" s="52">
        <f ca="1">SUMIFS(OUT!$F$2:$F$11000,OUT!$H$2:$H$11000,H341,OUT!$D$2:$D$11000,"Out",OUT!$E$2:$E$11000,"Zela")</f>
        <v>40500</v>
      </c>
      <c r="T341" s="52">
        <f ca="1">SUMIFS(OUT!$F$2:$F$11000,OUT!$H$2:$H$11000,H341,OUT!$D$2:$D$11000,"Out",OUT!$E$2:$E$11000,"Iqbal")</f>
        <v>295000</v>
      </c>
    </row>
    <row r="342" spans="1:20" x14ac:dyDescent="0.2">
      <c r="A342" s="48">
        <f ca="1">IFERROR(__xludf.DUMMYFUNCTION("""COMPUTED_VALUE"""),46243)</f>
        <v>46243</v>
      </c>
      <c r="B342" s="4" t="str">
        <f ca="1">IFERROR(__xludf.DUMMYFUNCTION("""COMPUTED_VALUE"""),"ayam krispi unri")</f>
        <v>ayam krispi unri</v>
      </c>
      <c r="C342" s="4" t="str">
        <f ca="1">IFERROR(__xludf.DUMMYFUNCTION("""COMPUTED_VALUE"""),"ATM")</f>
        <v>ATM</v>
      </c>
      <c r="D342" s="4" t="str">
        <f ca="1">IFERROR(__xludf.DUMMYFUNCTION("""COMPUTED_VALUE"""),"Out")</f>
        <v>Out</v>
      </c>
      <c r="E342" s="4" t="str">
        <f ca="1">IFERROR(__xludf.DUMMYFUNCTION("""COMPUTED_VALUE"""),"Kitchen")</f>
        <v>Kitchen</v>
      </c>
      <c r="F342" s="49">
        <f ca="1">IFERROR(__xludf.DUMMYFUNCTION("""COMPUTED_VALUE"""),60000)</f>
        <v>60000</v>
      </c>
      <c r="G342" s="50" t="str">
        <f ca="1">IFERROR(__xludf.DUMMYFUNCTION("""COMPUTED_VALUE"""),"Ibal")</f>
        <v>Ibal</v>
      </c>
      <c r="H342" s="51">
        <f t="shared" ca="1" si="0"/>
        <v>46235</v>
      </c>
      <c r="I342" s="52" t="e">
        <f ca="1">SUMIFS(OUT!$F$2:$F$11000,OUT!$H$2:$H$11000,H342,OUT!$D$2:$D$101007,"In")</f>
        <v>#VALUE!</v>
      </c>
      <c r="J342" s="52">
        <f ca="1">SUMIFS(OUT!$F$2:$F$11000,OUT!$H$2:$H$11000,H342,OUT!$D$2:$D$11000,"Out")</f>
        <v>9573570</v>
      </c>
      <c r="K342" s="52">
        <f ca="1">SUMIFS(OUT!$F$2:$F$11000,OUT!$H$2:$H$11000,H342,OUT!$D$2:$D$11000,"Out",OUT!$E$2:$E$11000,"Fix")</f>
        <v>2533689</v>
      </c>
      <c r="L342" s="52">
        <f ca="1">SUMIFS(OUT!$F$2:$F$11000,OUT!$H$2:$H$11000,H342,OUT!$D$2:$D$11000,"Out",OUT!$E$2:$E$11000,"Bathroom")</f>
        <v>14491</v>
      </c>
      <c r="M342" s="52">
        <f ca="1">SUMIFS(OUT!$F$2:$F$11000,OUT!$H$2:$H$11000,H342,OUT!$D$2:$D$11000,"Out",OUT!$E$2:$E$11000,"Alfa")</f>
        <v>452769</v>
      </c>
      <c r="N342" s="52" t="e">
        <f ca="1">SUMIFS(OUT!$F$2:$F$11000,OUT!$H$2:$H$101007,H342,OUT!$D$2:$D$11000,"Out",OUT!$E$2:$E$11000,"Jajan")</f>
        <v>#VALUE!</v>
      </c>
      <c r="O342" s="52">
        <f ca="1">SUMIFS(OUT!$F$2:$F$11000,OUT!$H$2:$H$11000,H342,OUT!$D$2:$D$11000,"Out",OUT!$E$2:$E$11000,"Kitchen")</f>
        <v>1584204</v>
      </c>
      <c r="P342" s="52">
        <f ca="1">SUMIFS(OUT!$F$2:$F$11000,OUT!$H$2:$H$11000,H342,OUT!$D$2:$D$11000,"Out",OUT!$E$2:$E$11000,"Loandry")</f>
        <v>43448</v>
      </c>
      <c r="Q342" s="52">
        <f ca="1">SUMIFS(OUT!$F$2:$F$11000,OUT!$H$2:$H$11000,H342,OUT!$D$2:$D$11000,"Out",OUT!$E$2:$E$11000,"Mio")</f>
        <v>329000</v>
      </c>
      <c r="R342" s="52">
        <f ca="1">SUMIFS(OUT!$F$2:$F$11000,OUT!$H$2:$H$11000,H342,OUT!$D$2:$D$11000,"Out",OUT!$E$2:$E$11000,"Sedekah")</f>
        <v>5000</v>
      </c>
      <c r="S342" s="52">
        <f ca="1">SUMIFS(OUT!$F$2:$F$11000,OUT!$H$2:$H$11000,H342,OUT!$D$2:$D$11000,"Out",OUT!$E$2:$E$11000,"Zela")</f>
        <v>40500</v>
      </c>
      <c r="T342" s="52">
        <f ca="1">SUMIFS(OUT!$F$2:$F$11000,OUT!$H$2:$H$11000,H342,OUT!$D$2:$D$11000,"Out",OUT!$E$2:$E$11000,"Iqbal")</f>
        <v>295000</v>
      </c>
    </row>
    <row r="343" spans="1:20" x14ac:dyDescent="0.2">
      <c r="A343" s="48">
        <f ca="1">IFERROR(__xludf.DUMMYFUNCTION("""COMPUTED_VALUE"""),46243)</f>
        <v>46243</v>
      </c>
      <c r="B343" s="4" t="str">
        <f ca="1">IFERROR(__xludf.DUMMYFUNCTION("""COMPUTED_VALUE"""),"?")</f>
        <v>?</v>
      </c>
      <c r="C343" s="4" t="str">
        <f ca="1">IFERROR(__xludf.DUMMYFUNCTION("""COMPUTED_VALUE"""),"ATM")</f>
        <v>ATM</v>
      </c>
      <c r="D343" s="4" t="str">
        <f ca="1">IFERROR(__xludf.DUMMYFUNCTION("""COMPUTED_VALUE"""),"Out")</f>
        <v>Out</v>
      </c>
      <c r="E343" s="4" t="str">
        <f ca="1">IFERROR(__xludf.DUMMYFUNCTION("""COMPUTED_VALUE"""),"Jajan")</f>
        <v>Jajan</v>
      </c>
      <c r="F343" s="49">
        <f ca="1">IFERROR(__xludf.DUMMYFUNCTION("""COMPUTED_VALUE"""),40000)</f>
        <v>40000</v>
      </c>
      <c r="G343" s="50" t="str">
        <f ca="1">IFERROR(__xludf.DUMMYFUNCTION("""COMPUTED_VALUE"""),"Ibal")</f>
        <v>Ibal</v>
      </c>
      <c r="H343" s="51">
        <f t="shared" ca="1" si="0"/>
        <v>46235</v>
      </c>
      <c r="I343" s="52" t="e">
        <f ca="1">SUMIFS(OUT!$F$2:$F$11000,OUT!$H$2:$H$11000,H343,OUT!$D$2:$D$101007,"In")</f>
        <v>#VALUE!</v>
      </c>
      <c r="J343" s="52">
        <f ca="1">SUMIFS(OUT!$F$2:$F$11000,OUT!$H$2:$H$11000,H343,OUT!$D$2:$D$11000,"Out")</f>
        <v>9573570</v>
      </c>
      <c r="K343" s="52">
        <f ca="1">SUMIFS(OUT!$F$2:$F$11000,OUT!$H$2:$H$11000,H343,OUT!$D$2:$D$11000,"Out",OUT!$E$2:$E$11000,"Fix")</f>
        <v>2533689</v>
      </c>
      <c r="L343" s="52">
        <f ca="1">SUMIFS(OUT!$F$2:$F$11000,OUT!$H$2:$H$11000,H343,OUT!$D$2:$D$11000,"Out",OUT!$E$2:$E$11000,"Bathroom")</f>
        <v>14491</v>
      </c>
      <c r="M343" s="52">
        <f ca="1">SUMIFS(OUT!$F$2:$F$11000,OUT!$H$2:$H$11000,H343,OUT!$D$2:$D$11000,"Out",OUT!$E$2:$E$11000,"Alfa")</f>
        <v>452769</v>
      </c>
      <c r="N343" s="52" t="e">
        <f ca="1">SUMIFS(OUT!$F$2:$F$11000,OUT!$H$2:$H$101007,H343,OUT!$D$2:$D$11000,"Out",OUT!$E$2:$E$11000,"Jajan")</f>
        <v>#VALUE!</v>
      </c>
      <c r="O343" s="52">
        <f ca="1">SUMIFS(OUT!$F$2:$F$11000,OUT!$H$2:$H$11000,H343,OUT!$D$2:$D$11000,"Out",OUT!$E$2:$E$11000,"Kitchen")</f>
        <v>1584204</v>
      </c>
      <c r="P343" s="52">
        <f ca="1">SUMIFS(OUT!$F$2:$F$11000,OUT!$H$2:$H$11000,H343,OUT!$D$2:$D$11000,"Out",OUT!$E$2:$E$11000,"Loandry")</f>
        <v>43448</v>
      </c>
      <c r="Q343" s="52">
        <f ca="1">SUMIFS(OUT!$F$2:$F$11000,OUT!$H$2:$H$11000,H343,OUT!$D$2:$D$11000,"Out",OUT!$E$2:$E$11000,"Mio")</f>
        <v>329000</v>
      </c>
      <c r="R343" s="52">
        <f ca="1">SUMIFS(OUT!$F$2:$F$11000,OUT!$H$2:$H$11000,H343,OUT!$D$2:$D$11000,"Out",OUT!$E$2:$E$11000,"Sedekah")</f>
        <v>5000</v>
      </c>
      <c r="S343" s="52">
        <f ca="1">SUMIFS(OUT!$F$2:$F$11000,OUT!$H$2:$H$11000,H343,OUT!$D$2:$D$11000,"Out",OUT!$E$2:$E$11000,"Zela")</f>
        <v>40500</v>
      </c>
      <c r="T343" s="52">
        <f ca="1">SUMIFS(OUT!$F$2:$F$11000,OUT!$H$2:$H$11000,H343,OUT!$D$2:$D$11000,"Out",OUT!$E$2:$E$11000,"Iqbal")</f>
        <v>295000</v>
      </c>
    </row>
    <row r="344" spans="1:20" x14ac:dyDescent="0.2">
      <c r="A344" s="48">
        <f ca="1">IFERROR(__xludf.DUMMYFUNCTION("""COMPUTED_VALUE"""),46243)</f>
        <v>46243</v>
      </c>
      <c r="B344" s="4" t="str">
        <f ca="1">IFERROR(__xludf.DUMMYFUNCTION("""COMPUTED_VALUE"""),"?")</f>
        <v>?</v>
      </c>
      <c r="C344" s="4" t="str">
        <f ca="1">IFERROR(__xludf.DUMMYFUNCTION("""COMPUTED_VALUE"""),"ATM")</f>
        <v>ATM</v>
      </c>
      <c r="D344" s="4" t="str">
        <f ca="1">IFERROR(__xludf.DUMMYFUNCTION("""COMPUTED_VALUE"""),"Out")</f>
        <v>Out</v>
      </c>
      <c r="E344" s="4" t="str">
        <f ca="1">IFERROR(__xludf.DUMMYFUNCTION("""COMPUTED_VALUE"""),"Jajan")</f>
        <v>Jajan</v>
      </c>
      <c r="F344" s="49">
        <f ca="1">IFERROR(__xludf.DUMMYFUNCTION("""COMPUTED_VALUE"""),14000)</f>
        <v>14000</v>
      </c>
      <c r="G344" s="50" t="str">
        <f ca="1">IFERROR(__xludf.DUMMYFUNCTION("""COMPUTED_VALUE"""),"Ibal")</f>
        <v>Ibal</v>
      </c>
      <c r="H344" s="51">
        <f t="shared" ca="1" si="0"/>
        <v>46235</v>
      </c>
      <c r="I344" s="52" t="e">
        <f ca="1">SUMIFS(OUT!$F$2:$F$11000,OUT!$H$2:$H$11000,H344,OUT!$D$2:$D$101007,"In")</f>
        <v>#VALUE!</v>
      </c>
      <c r="J344" s="52">
        <f ca="1">SUMIFS(OUT!$F$2:$F$11000,OUT!$H$2:$H$11000,H344,OUT!$D$2:$D$11000,"Out")</f>
        <v>9573570</v>
      </c>
      <c r="K344" s="52">
        <f ca="1">SUMIFS(OUT!$F$2:$F$11000,OUT!$H$2:$H$11000,H344,OUT!$D$2:$D$11000,"Out",OUT!$E$2:$E$11000,"Fix")</f>
        <v>2533689</v>
      </c>
      <c r="L344" s="52">
        <f ca="1">SUMIFS(OUT!$F$2:$F$11000,OUT!$H$2:$H$11000,H344,OUT!$D$2:$D$11000,"Out",OUT!$E$2:$E$11000,"Bathroom")</f>
        <v>14491</v>
      </c>
      <c r="M344" s="52">
        <f ca="1">SUMIFS(OUT!$F$2:$F$11000,OUT!$H$2:$H$11000,H344,OUT!$D$2:$D$11000,"Out",OUT!$E$2:$E$11000,"Alfa")</f>
        <v>452769</v>
      </c>
      <c r="N344" s="52" t="e">
        <f ca="1">SUMIFS(OUT!$F$2:$F$11000,OUT!$H$2:$H$101007,H344,OUT!$D$2:$D$11000,"Out",OUT!$E$2:$E$11000,"Jajan")</f>
        <v>#VALUE!</v>
      </c>
      <c r="O344" s="52">
        <f ca="1">SUMIFS(OUT!$F$2:$F$11000,OUT!$H$2:$H$11000,H344,OUT!$D$2:$D$11000,"Out",OUT!$E$2:$E$11000,"Kitchen")</f>
        <v>1584204</v>
      </c>
      <c r="P344" s="52">
        <f ca="1">SUMIFS(OUT!$F$2:$F$11000,OUT!$H$2:$H$11000,H344,OUT!$D$2:$D$11000,"Out",OUT!$E$2:$E$11000,"Loandry")</f>
        <v>43448</v>
      </c>
      <c r="Q344" s="52">
        <f ca="1">SUMIFS(OUT!$F$2:$F$11000,OUT!$H$2:$H$11000,H344,OUT!$D$2:$D$11000,"Out",OUT!$E$2:$E$11000,"Mio")</f>
        <v>329000</v>
      </c>
      <c r="R344" s="52">
        <f ca="1">SUMIFS(OUT!$F$2:$F$11000,OUT!$H$2:$H$11000,H344,OUT!$D$2:$D$11000,"Out",OUT!$E$2:$E$11000,"Sedekah")</f>
        <v>5000</v>
      </c>
      <c r="S344" s="52">
        <f ca="1">SUMIFS(OUT!$F$2:$F$11000,OUT!$H$2:$H$11000,H344,OUT!$D$2:$D$11000,"Out",OUT!$E$2:$E$11000,"Zela")</f>
        <v>40500</v>
      </c>
      <c r="T344" s="52">
        <f ca="1">SUMIFS(OUT!$F$2:$F$11000,OUT!$H$2:$H$11000,H344,OUT!$D$2:$D$11000,"Out",OUT!$E$2:$E$11000,"Iqbal")</f>
        <v>295000</v>
      </c>
    </row>
    <row r="345" spans="1:20" x14ac:dyDescent="0.2">
      <c r="A345" s="48">
        <f ca="1">IFERROR(__xludf.DUMMYFUNCTION("""COMPUTED_VALUE"""),46243)</f>
        <v>46243</v>
      </c>
      <c r="B345" s="4" t="str">
        <f ca="1">IFERROR(__xludf.DUMMYFUNCTION("""COMPUTED_VALUE"""),"rokok")</f>
        <v>rokok</v>
      </c>
      <c r="C345" s="4" t="str">
        <f ca="1">IFERROR(__xludf.DUMMYFUNCTION("""COMPUTED_VALUE"""),"ATM")</f>
        <v>ATM</v>
      </c>
      <c r="D345" s="4" t="str">
        <f ca="1">IFERROR(__xludf.DUMMYFUNCTION("""COMPUTED_VALUE"""),"Out")</f>
        <v>Out</v>
      </c>
      <c r="E345" s="4" t="str">
        <f ca="1">IFERROR(__xludf.DUMMYFUNCTION("""COMPUTED_VALUE"""),"Iqbal")</f>
        <v>Iqbal</v>
      </c>
      <c r="F345" s="49">
        <f ca="1">IFERROR(__xludf.DUMMYFUNCTION("""COMPUTED_VALUE"""),17000)</f>
        <v>17000</v>
      </c>
      <c r="G345" s="50" t="str">
        <f ca="1">IFERROR(__xludf.DUMMYFUNCTION("""COMPUTED_VALUE"""),"Ibal")</f>
        <v>Ibal</v>
      </c>
      <c r="H345" s="51">
        <f t="shared" ca="1" si="0"/>
        <v>46235</v>
      </c>
      <c r="I345" s="52" t="e">
        <f ca="1">SUMIFS(OUT!$F$2:$F$11000,OUT!$H$2:$H$11000,H345,OUT!$D$2:$D$101007,"In")</f>
        <v>#VALUE!</v>
      </c>
      <c r="J345" s="52">
        <f ca="1">SUMIFS(OUT!$F$2:$F$11000,OUT!$H$2:$H$11000,H345,OUT!$D$2:$D$11000,"Out")</f>
        <v>9573570</v>
      </c>
      <c r="K345" s="52">
        <f ca="1">SUMIFS(OUT!$F$2:$F$11000,OUT!$H$2:$H$11000,H345,OUT!$D$2:$D$11000,"Out",OUT!$E$2:$E$11000,"Fix")</f>
        <v>2533689</v>
      </c>
      <c r="L345" s="52">
        <f ca="1">SUMIFS(OUT!$F$2:$F$11000,OUT!$H$2:$H$11000,H345,OUT!$D$2:$D$11000,"Out",OUT!$E$2:$E$11000,"Bathroom")</f>
        <v>14491</v>
      </c>
      <c r="M345" s="52">
        <f ca="1">SUMIFS(OUT!$F$2:$F$11000,OUT!$H$2:$H$11000,H345,OUT!$D$2:$D$11000,"Out",OUT!$E$2:$E$11000,"Alfa")</f>
        <v>452769</v>
      </c>
      <c r="N345" s="52" t="e">
        <f ca="1">SUMIFS(OUT!$F$2:$F$11000,OUT!$H$2:$H$101007,H345,OUT!$D$2:$D$11000,"Out",OUT!$E$2:$E$11000,"Jajan")</f>
        <v>#VALUE!</v>
      </c>
      <c r="O345" s="52">
        <f ca="1">SUMIFS(OUT!$F$2:$F$11000,OUT!$H$2:$H$11000,H345,OUT!$D$2:$D$11000,"Out",OUT!$E$2:$E$11000,"Kitchen")</f>
        <v>1584204</v>
      </c>
      <c r="P345" s="52">
        <f ca="1">SUMIFS(OUT!$F$2:$F$11000,OUT!$H$2:$H$11000,H345,OUT!$D$2:$D$11000,"Out",OUT!$E$2:$E$11000,"Loandry")</f>
        <v>43448</v>
      </c>
      <c r="Q345" s="52">
        <f ca="1">SUMIFS(OUT!$F$2:$F$11000,OUT!$H$2:$H$11000,H345,OUT!$D$2:$D$11000,"Out",OUT!$E$2:$E$11000,"Mio")</f>
        <v>329000</v>
      </c>
      <c r="R345" s="52">
        <f ca="1">SUMIFS(OUT!$F$2:$F$11000,OUT!$H$2:$H$11000,H345,OUT!$D$2:$D$11000,"Out",OUT!$E$2:$E$11000,"Sedekah")</f>
        <v>5000</v>
      </c>
      <c r="S345" s="52">
        <f ca="1">SUMIFS(OUT!$F$2:$F$11000,OUT!$H$2:$H$11000,H345,OUT!$D$2:$D$11000,"Out",OUT!$E$2:$E$11000,"Zela")</f>
        <v>40500</v>
      </c>
      <c r="T345" s="52">
        <f ca="1">SUMIFS(OUT!$F$2:$F$11000,OUT!$H$2:$H$11000,H345,OUT!$D$2:$D$11000,"Out",OUT!$E$2:$E$11000,"Iqbal")</f>
        <v>295000</v>
      </c>
    </row>
    <row r="346" spans="1:20" x14ac:dyDescent="0.2">
      <c r="A346" s="48">
        <f ca="1">IFERROR(__xludf.DUMMYFUNCTION("""COMPUTED_VALUE"""),46244)</f>
        <v>46244</v>
      </c>
      <c r="B346" s="4" t="str">
        <f ca="1">IFERROR(__xludf.DUMMYFUNCTION("""COMPUTED_VALUE"""),"bakso bakar bang andi")</f>
        <v>bakso bakar bang andi</v>
      </c>
      <c r="C346" s="4" t="str">
        <f ca="1">IFERROR(__xludf.DUMMYFUNCTION("""COMPUTED_VALUE"""),"ATM")</f>
        <v>ATM</v>
      </c>
      <c r="D346" s="4" t="str">
        <f ca="1">IFERROR(__xludf.DUMMYFUNCTION("""COMPUTED_VALUE"""),"Out")</f>
        <v>Out</v>
      </c>
      <c r="E346" s="4" t="str">
        <f ca="1">IFERROR(__xludf.DUMMYFUNCTION("""COMPUTED_VALUE"""),"Jajan")</f>
        <v>Jajan</v>
      </c>
      <c r="F346" s="49">
        <f ca="1">IFERROR(__xludf.DUMMYFUNCTION("""COMPUTED_VALUE"""),20000)</f>
        <v>20000</v>
      </c>
      <c r="G346" s="50" t="str">
        <f ca="1">IFERROR(__xludf.DUMMYFUNCTION("""COMPUTED_VALUE"""),"Ibal")</f>
        <v>Ibal</v>
      </c>
      <c r="H346" s="51">
        <f t="shared" ca="1" si="0"/>
        <v>46235</v>
      </c>
      <c r="I346" s="52" t="e">
        <f ca="1">SUMIFS(OUT!$F$2:$F$11000,OUT!$H$2:$H$11000,H346,OUT!$D$2:$D$101007,"In")</f>
        <v>#VALUE!</v>
      </c>
      <c r="J346" s="52">
        <f ca="1">SUMIFS(OUT!$F$2:$F$11000,OUT!$H$2:$H$11000,H346,OUT!$D$2:$D$11000,"Out")</f>
        <v>9573570</v>
      </c>
      <c r="K346" s="52">
        <f ca="1">SUMIFS(OUT!$F$2:$F$11000,OUT!$H$2:$H$11000,H346,OUT!$D$2:$D$11000,"Out",OUT!$E$2:$E$11000,"Fix")</f>
        <v>2533689</v>
      </c>
      <c r="L346" s="52">
        <f ca="1">SUMIFS(OUT!$F$2:$F$11000,OUT!$H$2:$H$11000,H346,OUT!$D$2:$D$11000,"Out",OUT!$E$2:$E$11000,"Bathroom")</f>
        <v>14491</v>
      </c>
      <c r="M346" s="52">
        <f ca="1">SUMIFS(OUT!$F$2:$F$11000,OUT!$H$2:$H$11000,H346,OUT!$D$2:$D$11000,"Out",OUT!$E$2:$E$11000,"Alfa")</f>
        <v>452769</v>
      </c>
      <c r="N346" s="52" t="e">
        <f ca="1">SUMIFS(OUT!$F$2:$F$11000,OUT!$H$2:$H$101007,H346,OUT!$D$2:$D$11000,"Out",OUT!$E$2:$E$11000,"Jajan")</f>
        <v>#VALUE!</v>
      </c>
      <c r="O346" s="52">
        <f ca="1">SUMIFS(OUT!$F$2:$F$11000,OUT!$H$2:$H$11000,H346,OUT!$D$2:$D$11000,"Out",OUT!$E$2:$E$11000,"Kitchen")</f>
        <v>1584204</v>
      </c>
      <c r="P346" s="52">
        <f ca="1">SUMIFS(OUT!$F$2:$F$11000,OUT!$H$2:$H$11000,H346,OUT!$D$2:$D$11000,"Out",OUT!$E$2:$E$11000,"Loandry")</f>
        <v>43448</v>
      </c>
      <c r="Q346" s="52">
        <f ca="1">SUMIFS(OUT!$F$2:$F$11000,OUT!$H$2:$H$11000,H346,OUT!$D$2:$D$11000,"Out",OUT!$E$2:$E$11000,"Mio")</f>
        <v>329000</v>
      </c>
      <c r="R346" s="52">
        <f ca="1">SUMIFS(OUT!$F$2:$F$11000,OUT!$H$2:$H$11000,H346,OUT!$D$2:$D$11000,"Out",OUT!$E$2:$E$11000,"Sedekah")</f>
        <v>5000</v>
      </c>
      <c r="S346" s="52">
        <f ca="1">SUMIFS(OUT!$F$2:$F$11000,OUT!$H$2:$H$11000,H346,OUT!$D$2:$D$11000,"Out",OUT!$E$2:$E$11000,"Zela")</f>
        <v>40500</v>
      </c>
      <c r="T346" s="52">
        <f ca="1">SUMIFS(OUT!$F$2:$F$11000,OUT!$H$2:$H$11000,H346,OUT!$D$2:$D$11000,"Out",OUT!$E$2:$E$11000,"Iqbal")</f>
        <v>295000</v>
      </c>
    </row>
    <row r="347" spans="1:20" x14ac:dyDescent="0.2">
      <c r="A347" s="48">
        <f ca="1">IFERROR(__xludf.DUMMYFUNCTION("""COMPUTED_VALUE"""),46244)</f>
        <v>46244</v>
      </c>
      <c r="B347" s="4" t="str">
        <f ca="1">IFERROR(__xludf.DUMMYFUNCTION("""COMPUTED_VALUE"""),"bakso bakar bang andi")</f>
        <v>bakso bakar bang andi</v>
      </c>
      <c r="C347" s="4" t="str">
        <f ca="1">IFERROR(__xludf.DUMMYFUNCTION("""COMPUTED_VALUE"""),"ATM")</f>
        <v>ATM</v>
      </c>
      <c r="D347" s="4" t="str">
        <f ca="1">IFERROR(__xludf.DUMMYFUNCTION("""COMPUTED_VALUE"""),"Out")</f>
        <v>Out</v>
      </c>
      <c r="E347" s="4" t="str">
        <f ca="1">IFERROR(__xludf.DUMMYFUNCTION("""COMPUTED_VALUE"""),"Jajan")</f>
        <v>Jajan</v>
      </c>
      <c r="F347" s="49">
        <f ca="1">IFERROR(__xludf.DUMMYFUNCTION("""COMPUTED_VALUE"""),20000)</f>
        <v>20000</v>
      </c>
      <c r="G347" s="50" t="str">
        <f ca="1">IFERROR(__xludf.DUMMYFUNCTION("""COMPUTED_VALUE"""),"Ibal")</f>
        <v>Ibal</v>
      </c>
      <c r="H347" s="51">
        <f t="shared" ca="1" si="0"/>
        <v>46235</v>
      </c>
      <c r="I347" s="52" t="e">
        <f ca="1">SUMIFS(OUT!$F$2:$F$11000,OUT!$H$2:$H$11000,H347,OUT!$D$2:$D$101007,"In")</f>
        <v>#VALUE!</v>
      </c>
      <c r="J347" s="52">
        <f ca="1">SUMIFS(OUT!$F$2:$F$11000,OUT!$H$2:$H$11000,H347,OUT!$D$2:$D$11000,"Out")</f>
        <v>9573570</v>
      </c>
      <c r="K347" s="52">
        <f ca="1">SUMIFS(OUT!$F$2:$F$11000,OUT!$H$2:$H$11000,H347,OUT!$D$2:$D$11000,"Out",OUT!$E$2:$E$11000,"Fix")</f>
        <v>2533689</v>
      </c>
      <c r="L347" s="52">
        <f ca="1">SUMIFS(OUT!$F$2:$F$11000,OUT!$H$2:$H$11000,H347,OUT!$D$2:$D$11000,"Out",OUT!$E$2:$E$11000,"Bathroom")</f>
        <v>14491</v>
      </c>
      <c r="M347" s="52">
        <f ca="1">SUMIFS(OUT!$F$2:$F$11000,OUT!$H$2:$H$11000,H347,OUT!$D$2:$D$11000,"Out",OUT!$E$2:$E$11000,"Alfa")</f>
        <v>452769</v>
      </c>
      <c r="N347" s="52" t="e">
        <f ca="1">SUMIFS(OUT!$F$2:$F$11000,OUT!$H$2:$H$101007,H347,OUT!$D$2:$D$11000,"Out",OUT!$E$2:$E$11000,"Jajan")</f>
        <v>#VALUE!</v>
      </c>
      <c r="O347" s="52">
        <f ca="1">SUMIFS(OUT!$F$2:$F$11000,OUT!$H$2:$H$11000,H347,OUT!$D$2:$D$11000,"Out",OUT!$E$2:$E$11000,"Kitchen")</f>
        <v>1584204</v>
      </c>
      <c r="P347" s="52">
        <f ca="1">SUMIFS(OUT!$F$2:$F$11000,OUT!$H$2:$H$11000,H347,OUT!$D$2:$D$11000,"Out",OUT!$E$2:$E$11000,"Loandry")</f>
        <v>43448</v>
      </c>
      <c r="Q347" s="52">
        <f ca="1">SUMIFS(OUT!$F$2:$F$11000,OUT!$H$2:$H$11000,H347,OUT!$D$2:$D$11000,"Out",OUT!$E$2:$E$11000,"Mio")</f>
        <v>329000</v>
      </c>
      <c r="R347" s="52">
        <f ca="1">SUMIFS(OUT!$F$2:$F$11000,OUT!$H$2:$H$11000,H347,OUT!$D$2:$D$11000,"Out",OUT!$E$2:$E$11000,"Sedekah")</f>
        <v>5000</v>
      </c>
      <c r="S347" s="52">
        <f ca="1">SUMIFS(OUT!$F$2:$F$11000,OUT!$H$2:$H$11000,H347,OUT!$D$2:$D$11000,"Out",OUT!$E$2:$E$11000,"Zela")</f>
        <v>40500</v>
      </c>
      <c r="T347" s="52">
        <f ca="1">SUMIFS(OUT!$F$2:$F$11000,OUT!$H$2:$H$11000,H347,OUT!$D$2:$D$11000,"Out",OUT!$E$2:$E$11000,"Iqbal")</f>
        <v>295000</v>
      </c>
    </row>
    <row r="348" spans="1:20" x14ac:dyDescent="0.2">
      <c r="A348" s="48">
        <f ca="1">IFERROR(__xludf.DUMMYFUNCTION("""COMPUTED_VALUE"""),46244)</f>
        <v>46244</v>
      </c>
      <c r="B348" s="4" t="str">
        <f ca="1">IFERROR(__xludf.DUMMYFUNCTION("""COMPUTED_VALUE"""),"?")</f>
        <v>?</v>
      </c>
      <c r="C348" s="4" t="str">
        <f ca="1">IFERROR(__xludf.DUMMYFUNCTION("""COMPUTED_VALUE"""),"ATM")</f>
        <v>ATM</v>
      </c>
      <c r="D348" s="4" t="str">
        <f ca="1">IFERROR(__xludf.DUMMYFUNCTION("""COMPUTED_VALUE"""),"Out")</f>
        <v>Out</v>
      </c>
      <c r="E348" s="4" t="str">
        <f ca="1">IFERROR(__xludf.DUMMYFUNCTION("""COMPUTED_VALUE"""),"Jajan")</f>
        <v>Jajan</v>
      </c>
      <c r="F348" s="49">
        <f ca="1">IFERROR(__xludf.DUMMYFUNCTION("""COMPUTED_VALUE"""),15000)</f>
        <v>15000</v>
      </c>
      <c r="G348" s="50" t="str">
        <f ca="1">IFERROR(__xludf.DUMMYFUNCTION("""COMPUTED_VALUE"""),"Ibal")</f>
        <v>Ibal</v>
      </c>
      <c r="H348" s="51">
        <f t="shared" ca="1" si="0"/>
        <v>46235</v>
      </c>
      <c r="I348" s="52" t="e">
        <f ca="1">SUMIFS(OUT!$F$2:$F$11000,OUT!$H$2:$H$11000,H348,OUT!$D$2:$D$101007,"In")</f>
        <v>#VALUE!</v>
      </c>
      <c r="J348" s="52">
        <f ca="1">SUMIFS(OUT!$F$2:$F$11000,OUT!$H$2:$H$11000,H348,OUT!$D$2:$D$11000,"Out")</f>
        <v>9573570</v>
      </c>
      <c r="K348" s="52">
        <f ca="1">SUMIFS(OUT!$F$2:$F$11000,OUT!$H$2:$H$11000,H348,OUT!$D$2:$D$11000,"Out",OUT!$E$2:$E$11000,"Fix")</f>
        <v>2533689</v>
      </c>
      <c r="L348" s="52">
        <f ca="1">SUMIFS(OUT!$F$2:$F$11000,OUT!$H$2:$H$11000,H348,OUT!$D$2:$D$11000,"Out",OUT!$E$2:$E$11000,"Bathroom")</f>
        <v>14491</v>
      </c>
      <c r="M348" s="52">
        <f ca="1">SUMIFS(OUT!$F$2:$F$11000,OUT!$H$2:$H$11000,H348,OUT!$D$2:$D$11000,"Out",OUT!$E$2:$E$11000,"Alfa")</f>
        <v>452769</v>
      </c>
      <c r="N348" s="52" t="e">
        <f ca="1">SUMIFS(OUT!$F$2:$F$11000,OUT!$H$2:$H$101007,H348,OUT!$D$2:$D$11000,"Out",OUT!$E$2:$E$11000,"Jajan")</f>
        <v>#VALUE!</v>
      </c>
      <c r="O348" s="52">
        <f ca="1">SUMIFS(OUT!$F$2:$F$11000,OUT!$H$2:$H$11000,H348,OUT!$D$2:$D$11000,"Out",OUT!$E$2:$E$11000,"Kitchen")</f>
        <v>1584204</v>
      </c>
      <c r="P348" s="52">
        <f ca="1">SUMIFS(OUT!$F$2:$F$11000,OUT!$H$2:$H$11000,H348,OUT!$D$2:$D$11000,"Out",OUT!$E$2:$E$11000,"Loandry")</f>
        <v>43448</v>
      </c>
      <c r="Q348" s="52">
        <f ca="1">SUMIFS(OUT!$F$2:$F$11000,OUT!$H$2:$H$11000,H348,OUT!$D$2:$D$11000,"Out",OUT!$E$2:$E$11000,"Mio")</f>
        <v>329000</v>
      </c>
      <c r="R348" s="52">
        <f ca="1">SUMIFS(OUT!$F$2:$F$11000,OUT!$H$2:$H$11000,H348,OUT!$D$2:$D$11000,"Out",OUT!$E$2:$E$11000,"Sedekah")</f>
        <v>5000</v>
      </c>
      <c r="S348" s="52">
        <f ca="1">SUMIFS(OUT!$F$2:$F$11000,OUT!$H$2:$H$11000,H348,OUT!$D$2:$D$11000,"Out",OUT!$E$2:$E$11000,"Zela")</f>
        <v>40500</v>
      </c>
      <c r="T348" s="52">
        <f ca="1">SUMIFS(OUT!$F$2:$F$11000,OUT!$H$2:$H$11000,H348,OUT!$D$2:$D$11000,"Out",OUT!$E$2:$E$11000,"Iqbal")</f>
        <v>295000</v>
      </c>
    </row>
    <row r="349" spans="1:20" x14ac:dyDescent="0.2">
      <c r="A349" s="48">
        <f ca="1">IFERROR(__xludf.DUMMYFUNCTION("""COMPUTED_VALUE"""),46244)</f>
        <v>46244</v>
      </c>
      <c r="B349" s="4" t="str">
        <f ca="1">IFERROR(__xludf.DUMMYFUNCTION("""COMPUTED_VALUE"""),"ayam dkriuk")</f>
        <v>ayam dkriuk</v>
      </c>
      <c r="C349" s="4" t="str">
        <f ca="1">IFERROR(__xludf.DUMMYFUNCTION("""COMPUTED_VALUE"""),"ATM")</f>
        <v>ATM</v>
      </c>
      <c r="D349" s="4" t="str">
        <f ca="1">IFERROR(__xludf.DUMMYFUNCTION("""COMPUTED_VALUE"""),"Out")</f>
        <v>Out</v>
      </c>
      <c r="E349" s="4" t="str">
        <f ca="1">IFERROR(__xludf.DUMMYFUNCTION("""COMPUTED_VALUE"""),"Iqbal")</f>
        <v>Iqbal</v>
      </c>
      <c r="F349" s="49">
        <f ca="1">IFERROR(__xludf.DUMMYFUNCTION("""COMPUTED_VALUE"""),11000)</f>
        <v>11000</v>
      </c>
      <c r="G349" s="50" t="str">
        <f ca="1">IFERROR(__xludf.DUMMYFUNCTION("""COMPUTED_VALUE"""),"Ibal")</f>
        <v>Ibal</v>
      </c>
      <c r="H349" s="51">
        <f t="shared" ca="1" si="0"/>
        <v>46235</v>
      </c>
      <c r="I349" s="52" t="e">
        <f ca="1">SUMIFS(OUT!$F$2:$F$11000,OUT!$H$2:$H$11000,H349,OUT!$D$2:$D$101007,"In")</f>
        <v>#VALUE!</v>
      </c>
      <c r="J349" s="52">
        <f ca="1">SUMIFS(OUT!$F$2:$F$11000,OUT!$H$2:$H$11000,H349,OUT!$D$2:$D$11000,"Out")</f>
        <v>9573570</v>
      </c>
      <c r="K349" s="52">
        <f ca="1">SUMIFS(OUT!$F$2:$F$11000,OUT!$H$2:$H$11000,H349,OUT!$D$2:$D$11000,"Out",OUT!$E$2:$E$11000,"Fix")</f>
        <v>2533689</v>
      </c>
      <c r="L349" s="52">
        <f ca="1">SUMIFS(OUT!$F$2:$F$11000,OUT!$H$2:$H$11000,H349,OUT!$D$2:$D$11000,"Out",OUT!$E$2:$E$11000,"Bathroom")</f>
        <v>14491</v>
      </c>
      <c r="M349" s="52">
        <f ca="1">SUMIFS(OUT!$F$2:$F$11000,OUT!$H$2:$H$11000,H349,OUT!$D$2:$D$11000,"Out",OUT!$E$2:$E$11000,"Alfa")</f>
        <v>452769</v>
      </c>
      <c r="N349" s="52" t="e">
        <f ca="1">SUMIFS(OUT!$F$2:$F$11000,OUT!$H$2:$H$101007,H349,OUT!$D$2:$D$11000,"Out",OUT!$E$2:$E$11000,"Jajan")</f>
        <v>#VALUE!</v>
      </c>
      <c r="O349" s="52">
        <f ca="1">SUMIFS(OUT!$F$2:$F$11000,OUT!$H$2:$H$11000,H349,OUT!$D$2:$D$11000,"Out",OUT!$E$2:$E$11000,"Kitchen")</f>
        <v>1584204</v>
      </c>
      <c r="P349" s="52">
        <f ca="1">SUMIFS(OUT!$F$2:$F$11000,OUT!$H$2:$H$11000,H349,OUT!$D$2:$D$11000,"Out",OUT!$E$2:$E$11000,"Loandry")</f>
        <v>43448</v>
      </c>
      <c r="Q349" s="52">
        <f ca="1">SUMIFS(OUT!$F$2:$F$11000,OUT!$H$2:$H$11000,H349,OUT!$D$2:$D$11000,"Out",OUT!$E$2:$E$11000,"Mio")</f>
        <v>329000</v>
      </c>
      <c r="R349" s="52">
        <f ca="1">SUMIFS(OUT!$F$2:$F$11000,OUT!$H$2:$H$11000,H349,OUT!$D$2:$D$11000,"Out",OUT!$E$2:$E$11000,"Sedekah")</f>
        <v>5000</v>
      </c>
      <c r="S349" s="52">
        <f ca="1">SUMIFS(OUT!$F$2:$F$11000,OUT!$H$2:$H$11000,H349,OUT!$D$2:$D$11000,"Out",OUT!$E$2:$E$11000,"Zela")</f>
        <v>40500</v>
      </c>
      <c r="T349" s="52">
        <f ca="1">SUMIFS(OUT!$F$2:$F$11000,OUT!$H$2:$H$11000,H349,OUT!$D$2:$D$11000,"Out",OUT!$E$2:$E$11000,"Iqbal")</f>
        <v>295000</v>
      </c>
    </row>
    <row r="350" spans="1:20" x14ac:dyDescent="0.2">
      <c r="A350" s="48">
        <f ca="1">IFERROR(__xludf.DUMMYFUNCTION("""COMPUTED_VALUE"""),46245)</f>
        <v>46245</v>
      </c>
      <c r="B350" s="4" t="str">
        <f ca="1">IFERROR(__xludf.DUMMYFUNCTION("""COMPUTED_VALUE"""),"istriku")</f>
        <v>istriku</v>
      </c>
      <c r="C350" s="4" t="str">
        <f ca="1">IFERROR(__xludf.DUMMYFUNCTION("""COMPUTED_VALUE"""),"ATM")</f>
        <v>ATM</v>
      </c>
      <c r="D350" s="4" t="str">
        <f ca="1">IFERROR(__xludf.DUMMYFUNCTION("""COMPUTED_VALUE"""),"Out")</f>
        <v>Out</v>
      </c>
      <c r="E350" s="4" t="str">
        <f ca="1">IFERROR(__xludf.DUMMYFUNCTION("""COMPUTED_VALUE"""),"Move")</f>
        <v>Move</v>
      </c>
      <c r="F350" s="49">
        <f ca="1">IFERROR(__xludf.DUMMYFUNCTION("""COMPUTED_VALUE"""),1522)</f>
        <v>1522</v>
      </c>
      <c r="G350" s="50" t="str">
        <f ca="1">IFERROR(__xludf.DUMMYFUNCTION("""COMPUTED_VALUE"""),"Ibal")</f>
        <v>Ibal</v>
      </c>
      <c r="H350" s="51">
        <f t="shared" ca="1" si="0"/>
        <v>46235</v>
      </c>
      <c r="I350" s="52" t="e">
        <f ca="1">SUMIFS(OUT!$F$2:$F$11000,OUT!$H$2:$H$11000,H350,OUT!$D$2:$D$101007,"In")</f>
        <v>#VALUE!</v>
      </c>
      <c r="J350" s="52">
        <f ca="1">SUMIFS(OUT!$F$2:$F$11000,OUT!$H$2:$H$11000,H350,OUT!$D$2:$D$11000,"Out")</f>
        <v>9573570</v>
      </c>
      <c r="K350" s="52">
        <f ca="1">SUMIFS(OUT!$F$2:$F$11000,OUT!$H$2:$H$11000,H350,OUT!$D$2:$D$11000,"Out",OUT!$E$2:$E$11000,"Fix")</f>
        <v>2533689</v>
      </c>
      <c r="L350" s="52">
        <f ca="1">SUMIFS(OUT!$F$2:$F$11000,OUT!$H$2:$H$11000,H350,OUT!$D$2:$D$11000,"Out",OUT!$E$2:$E$11000,"Bathroom")</f>
        <v>14491</v>
      </c>
      <c r="M350" s="52">
        <f ca="1">SUMIFS(OUT!$F$2:$F$11000,OUT!$H$2:$H$11000,H350,OUT!$D$2:$D$11000,"Out",OUT!$E$2:$E$11000,"Alfa")</f>
        <v>452769</v>
      </c>
      <c r="N350" s="52" t="e">
        <f ca="1">SUMIFS(OUT!$F$2:$F$11000,OUT!$H$2:$H$101007,H350,OUT!$D$2:$D$11000,"Out",OUT!$E$2:$E$11000,"Jajan")</f>
        <v>#VALUE!</v>
      </c>
      <c r="O350" s="52">
        <f ca="1">SUMIFS(OUT!$F$2:$F$11000,OUT!$H$2:$H$11000,H350,OUT!$D$2:$D$11000,"Out",OUT!$E$2:$E$11000,"Kitchen")</f>
        <v>1584204</v>
      </c>
      <c r="P350" s="52">
        <f ca="1">SUMIFS(OUT!$F$2:$F$11000,OUT!$H$2:$H$11000,H350,OUT!$D$2:$D$11000,"Out",OUT!$E$2:$E$11000,"Loandry")</f>
        <v>43448</v>
      </c>
      <c r="Q350" s="52">
        <f ca="1">SUMIFS(OUT!$F$2:$F$11000,OUT!$H$2:$H$11000,H350,OUT!$D$2:$D$11000,"Out",OUT!$E$2:$E$11000,"Mio")</f>
        <v>329000</v>
      </c>
      <c r="R350" s="52">
        <f ca="1">SUMIFS(OUT!$F$2:$F$11000,OUT!$H$2:$H$11000,H350,OUT!$D$2:$D$11000,"Out",OUT!$E$2:$E$11000,"Sedekah")</f>
        <v>5000</v>
      </c>
      <c r="S350" s="52">
        <f ca="1">SUMIFS(OUT!$F$2:$F$11000,OUT!$H$2:$H$11000,H350,OUT!$D$2:$D$11000,"Out",OUT!$E$2:$E$11000,"Zela")</f>
        <v>40500</v>
      </c>
      <c r="T350" s="52">
        <f ca="1">SUMIFS(OUT!$F$2:$F$11000,OUT!$H$2:$H$11000,H350,OUT!$D$2:$D$11000,"Out",OUT!$E$2:$E$11000,"Iqbal")</f>
        <v>295000</v>
      </c>
    </row>
    <row r="351" spans="1:20" x14ac:dyDescent="0.2">
      <c r="A351" s="48">
        <f ca="1">IFERROR(__xludf.DUMMYFUNCTION("""COMPUTED_VALUE"""),46254)</f>
        <v>46254</v>
      </c>
      <c r="B351" s="4" t="str">
        <f ca="1">IFERROR(__xludf.DUMMYFUNCTION("""COMPUTED_VALUE"""),"Admin ATM BRI")</f>
        <v>Admin ATM BRI</v>
      </c>
      <c r="C351" s="4" t="str">
        <f ca="1">IFERROR(__xludf.DUMMYFUNCTION("""COMPUTED_VALUE"""),"ATM")</f>
        <v>ATM</v>
      </c>
      <c r="D351" s="4" t="str">
        <f ca="1">IFERROR(__xludf.DUMMYFUNCTION("""COMPUTED_VALUE"""),"Out")</f>
        <v>Out</v>
      </c>
      <c r="E351" s="4" t="str">
        <f ca="1">IFERROR(__xludf.DUMMYFUNCTION("""COMPUTED_VALUE"""),"Fix")</f>
        <v>Fix</v>
      </c>
      <c r="F351" s="49">
        <f ca="1">IFERROR(__xludf.DUMMYFUNCTION("""COMPUTED_VALUE"""),6000)</f>
        <v>6000</v>
      </c>
      <c r="G351" s="50" t="str">
        <f ca="1">IFERROR(__xludf.DUMMYFUNCTION("""COMPUTED_VALUE"""),"Ibal")</f>
        <v>Ibal</v>
      </c>
      <c r="H351" s="51">
        <f t="shared" ca="1" si="0"/>
        <v>46235</v>
      </c>
      <c r="I351" s="52" t="e">
        <f ca="1">SUMIFS(OUT!$F$2:$F$11000,OUT!$H$2:$H$11000,H351,OUT!$D$2:$D$101007,"In")</f>
        <v>#VALUE!</v>
      </c>
      <c r="J351" s="52">
        <f ca="1">SUMIFS(OUT!$F$2:$F$11000,OUT!$H$2:$H$11000,H351,OUT!$D$2:$D$11000,"Out")</f>
        <v>9573570</v>
      </c>
      <c r="K351" s="52">
        <f ca="1">SUMIFS(OUT!$F$2:$F$11000,OUT!$H$2:$H$11000,H351,OUT!$D$2:$D$11000,"Out",OUT!$E$2:$E$11000,"Fix")</f>
        <v>2533689</v>
      </c>
      <c r="L351" s="52">
        <f ca="1">SUMIFS(OUT!$F$2:$F$11000,OUT!$H$2:$H$11000,H351,OUT!$D$2:$D$11000,"Out",OUT!$E$2:$E$11000,"Bathroom")</f>
        <v>14491</v>
      </c>
      <c r="M351" s="52">
        <f ca="1">SUMIFS(OUT!$F$2:$F$11000,OUT!$H$2:$H$11000,H351,OUT!$D$2:$D$11000,"Out",OUT!$E$2:$E$11000,"Alfa")</f>
        <v>452769</v>
      </c>
      <c r="N351" s="52" t="e">
        <f ca="1">SUMIFS(OUT!$F$2:$F$11000,OUT!$H$2:$H$101007,H351,OUT!$D$2:$D$11000,"Out",OUT!$E$2:$E$11000,"Jajan")</f>
        <v>#VALUE!</v>
      </c>
      <c r="O351" s="52">
        <f ca="1">SUMIFS(OUT!$F$2:$F$11000,OUT!$H$2:$H$11000,H351,OUT!$D$2:$D$11000,"Out",OUT!$E$2:$E$11000,"Kitchen")</f>
        <v>1584204</v>
      </c>
      <c r="P351" s="52">
        <f ca="1">SUMIFS(OUT!$F$2:$F$11000,OUT!$H$2:$H$11000,H351,OUT!$D$2:$D$11000,"Out",OUT!$E$2:$E$11000,"Loandry")</f>
        <v>43448</v>
      </c>
      <c r="Q351" s="52">
        <f ca="1">SUMIFS(OUT!$F$2:$F$11000,OUT!$H$2:$H$11000,H351,OUT!$D$2:$D$11000,"Out",OUT!$E$2:$E$11000,"Mio")</f>
        <v>329000</v>
      </c>
      <c r="R351" s="52">
        <f ca="1">SUMIFS(OUT!$F$2:$F$11000,OUT!$H$2:$H$11000,H351,OUT!$D$2:$D$11000,"Out",OUT!$E$2:$E$11000,"Sedekah")</f>
        <v>5000</v>
      </c>
      <c r="S351" s="52">
        <f ca="1">SUMIFS(OUT!$F$2:$F$11000,OUT!$H$2:$H$11000,H351,OUT!$D$2:$D$11000,"Out",OUT!$E$2:$E$11000,"Zela")</f>
        <v>40500</v>
      </c>
      <c r="T351" s="52">
        <f ca="1">SUMIFS(OUT!$F$2:$F$11000,OUT!$H$2:$H$11000,H351,OUT!$D$2:$D$11000,"Out",OUT!$E$2:$E$11000,"Iqbal")</f>
        <v>295000</v>
      </c>
    </row>
    <row r="352" spans="1:20" x14ac:dyDescent="0.2">
      <c r="A352" s="48">
        <f ca="1">IFERROR(__xludf.DUMMYFUNCTION("""COMPUTED_VALUE"""),46255)</f>
        <v>46255</v>
      </c>
      <c r="B352" s="4" t="str">
        <f ca="1">IFERROR(__xludf.DUMMYFUNCTION("""COMPUTED_VALUE"""),"Adi")</f>
        <v>Adi</v>
      </c>
      <c r="C352" s="4" t="str">
        <f ca="1">IFERROR(__xludf.DUMMYFUNCTION("""COMPUTED_VALUE"""),"ATM")</f>
        <v>ATM</v>
      </c>
      <c r="D352" s="4" t="str">
        <f ca="1">IFERROR(__xludf.DUMMYFUNCTION("""COMPUTED_VALUE"""),"In")</f>
        <v>In</v>
      </c>
      <c r="E352" s="4" t="str">
        <f ca="1">IFERROR(__xludf.DUMMYFUNCTION("""COMPUTED_VALUE"""),"Fix")</f>
        <v>Fix</v>
      </c>
      <c r="F352" s="49">
        <f ca="1">IFERROR(__xludf.DUMMYFUNCTION("""COMPUTED_VALUE"""),300000)</f>
        <v>300000</v>
      </c>
      <c r="G352" s="50" t="str">
        <f ca="1">IFERROR(__xludf.DUMMYFUNCTION("""COMPUTED_VALUE"""),"Ibal")</f>
        <v>Ibal</v>
      </c>
      <c r="H352" s="51">
        <f t="shared" ca="1" si="0"/>
        <v>46235</v>
      </c>
      <c r="I352" s="52" t="e">
        <f ca="1">SUMIFS(OUT!$F$2:$F$11000,OUT!$H$2:$H$11000,H352,OUT!$D$2:$D$101007,"In")</f>
        <v>#VALUE!</v>
      </c>
      <c r="J352" s="52">
        <f ca="1">SUMIFS(OUT!$F$2:$F$11000,OUT!$H$2:$H$11000,H352,OUT!$D$2:$D$11000,"Out")</f>
        <v>9573570</v>
      </c>
      <c r="K352" s="52">
        <f ca="1">SUMIFS(OUT!$F$2:$F$11000,OUT!$H$2:$H$11000,H352,OUT!$D$2:$D$11000,"Out",OUT!$E$2:$E$11000,"Fix")</f>
        <v>2533689</v>
      </c>
      <c r="L352" s="52">
        <f ca="1">SUMIFS(OUT!$F$2:$F$11000,OUT!$H$2:$H$11000,H352,OUT!$D$2:$D$11000,"Out",OUT!$E$2:$E$11000,"Bathroom")</f>
        <v>14491</v>
      </c>
      <c r="M352" s="52">
        <f ca="1">SUMIFS(OUT!$F$2:$F$11000,OUT!$H$2:$H$11000,H352,OUT!$D$2:$D$11000,"Out",OUT!$E$2:$E$11000,"Alfa")</f>
        <v>452769</v>
      </c>
      <c r="N352" s="52" t="e">
        <f ca="1">SUMIFS(OUT!$F$2:$F$11000,OUT!$H$2:$H$101007,H352,OUT!$D$2:$D$11000,"Out",OUT!$E$2:$E$11000,"Jajan")</f>
        <v>#VALUE!</v>
      </c>
      <c r="O352" s="52">
        <f ca="1">SUMIFS(OUT!$F$2:$F$11000,OUT!$H$2:$H$11000,H352,OUT!$D$2:$D$11000,"Out",OUT!$E$2:$E$11000,"Kitchen")</f>
        <v>1584204</v>
      </c>
      <c r="P352" s="52">
        <f ca="1">SUMIFS(OUT!$F$2:$F$11000,OUT!$H$2:$H$11000,H352,OUT!$D$2:$D$11000,"Out",OUT!$E$2:$E$11000,"Loandry")</f>
        <v>43448</v>
      </c>
      <c r="Q352" s="52">
        <f ca="1">SUMIFS(OUT!$F$2:$F$11000,OUT!$H$2:$H$11000,H352,OUT!$D$2:$D$11000,"Out",OUT!$E$2:$E$11000,"Mio")</f>
        <v>329000</v>
      </c>
      <c r="R352" s="52">
        <f ca="1">SUMIFS(OUT!$F$2:$F$11000,OUT!$H$2:$H$11000,H352,OUT!$D$2:$D$11000,"Out",OUT!$E$2:$E$11000,"Sedekah")</f>
        <v>5000</v>
      </c>
      <c r="S352" s="52">
        <f ca="1">SUMIFS(OUT!$F$2:$F$11000,OUT!$H$2:$H$11000,H352,OUT!$D$2:$D$11000,"Out",OUT!$E$2:$E$11000,"Zela")</f>
        <v>40500</v>
      </c>
      <c r="T352" s="52">
        <f ca="1">SUMIFS(OUT!$F$2:$F$11000,OUT!$H$2:$H$11000,H352,OUT!$D$2:$D$11000,"Out",OUT!$E$2:$E$11000,"Iqbal")</f>
        <v>295000</v>
      </c>
    </row>
    <row r="353" spans="1:20" x14ac:dyDescent="0.2">
      <c r="A353" s="48">
        <f ca="1">IFERROR(__xludf.DUMMYFUNCTION("""COMPUTED_VALUE"""),46255)</f>
        <v>46255</v>
      </c>
      <c r="B353" s="4" t="str">
        <f ca="1">IFERROR(__xludf.DUMMYFUNCTION("""COMPUTED_VALUE"""),"Rokok")</f>
        <v>Rokok</v>
      </c>
      <c r="C353" s="4" t="str">
        <f ca="1">IFERROR(__xludf.DUMMYFUNCTION("""COMPUTED_VALUE"""),"ATM")</f>
        <v>ATM</v>
      </c>
      <c r="D353" s="4" t="str">
        <f ca="1">IFERROR(__xludf.DUMMYFUNCTION("""COMPUTED_VALUE"""),"Out")</f>
        <v>Out</v>
      </c>
      <c r="E353" s="4" t="str">
        <f ca="1">IFERROR(__xludf.DUMMYFUNCTION("""COMPUTED_VALUE"""),"Iqbal")</f>
        <v>Iqbal</v>
      </c>
      <c r="F353" s="49">
        <f ca="1">IFERROR(__xludf.DUMMYFUNCTION("""COMPUTED_VALUE"""),17000)</f>
        <v>17000</v>
      </c>
      <c r="G353" s="50" t="str">
        <f ca="1">IFERROR(__xludf.DUMMYFUNCTION("""COMPUTED_VALUE"""),"Ibal")</f>
        <v>Ibal</v>
      </c>
      <c r="H353" s="51">
        <f t="shared" ca="1" si="0"/>
        <v>46235</v>
      </c>
      <c r="I353" s="52" t="e">
        <f ca="1">SUMIFS(OUT!$F$2:$F$11000,OUT!$H$2:$H$11000,H353,OUT!$D$2:$D$101007,"In")</f>
        <v>#VALUE!</v>
      </c>
      <c r="J353" s="52">
        <f ca="1">SUMIFS(OUT!$F$2:$F$11000,OUT!$H$2:$H$11000,H353,OUT!$D$2:$D$11000,"Out")</f>
        <v>9573570</v>
      </c>
      <c r="K353" s="52">
        <f ca="1">SUMIFS(OUT!$F$2:$F$11000,OUT!$H$2:$H$11000,H353,OUT!$D$2:$D$11000,"Out",OUT!$E$2:$E$11000,"Fix")</f>
        <v>2533689</v>
      </c>
      <c r="L353" s="52">
        <f ca="1">SUMIFS(OUT!$F$2:$F$11000,OUT!$H$2:$H$11000,H353,OUT!$D$2:$D$11000,"Out",OUT!$E$2:$E$11000,"Bathroom")</f>
        <v>14491</v>
      </c>
      <c r="M353" s="52">
        <f ca="1">SUMIFS(OUT!$F$2:$F$11000,OUT!$H$2:$H$11000,H353,OUT!$D$2:$D$11000,"Out",OUT!$E$2:$E$11000,"Alfa")</f>
        <v>452769</v>
      </c>
      <c r="N353" s="52" t="e">
        <f ca="1">SUMIFS(OUT!$F$2:$F$11000,OUT!$H$2:$H$101007,H353,OUT!$D$2:$D$11000,"Out",OUT!$E$2:$E$11000,"Jajan")</f>
        <v>#VALUE!</v>
      </c>
      <c r="O353" s="52">
        <f ca="1">SUMIFS(OUT!$F$2:$F$11000,OUT!$H$2:$H$11000,H353,OUT!$D$2:$D$11000,"Out",OUT!$E$2:$E$11000,"Kitchen")</f>
        <v>1584204</v>
      </c>
      <c r="P353" s="52">
        <f ca="1">SUMIFS(OUT!$F$2:$F$11000,OUT!$H$2:$H$11000,H353,OUT!$D$2:$D$11000,"Out",OUT!$E$2:$E$11000,"Loandry")</f>
        <v>43448</v>
      </c>
      <c r="Q353" s="52">
        <f ca="1">SUMIFS(OUT!$F$2:$F$11000,OUT!$H$2:$H$11000,H353,OUT!$D$2:$D$11000,"Out",OUT!$E$2:$E$11000,"Mio")</f>
        <v>329000</v>
      </c>
      <c r="R353" s="52">
        <f ca="1">SUMIFS(OUT!$F$2:$F$11000,OUT!$H$2:$H$11000,H353,OUT!$D$2:$D$11000,"Out",OUT!$E$2:$E$11000,"Sedekah")</f>
        <v>5000</v>
      </c>
      <c r="S353" s="52">
        <f ca="1">SUMIFS(OUT!$F$2:$F$11000,OUT!$H$2:$H$11000,H353,OUT!$D$2:$D$11000,"Out",OUT!$E$2:$E$11000,"Zela")</f>
        <v>40500</v>
      </c>
      <c r="T353" s="52">
        <f ca="1">SUMIFS(OUT!$F$2:$F$11000,OUT!$H$2:$H$11000,H353,OUT!$D$2:$D$11000,"Out",OUT!$E$2:$E$11000,"Iqbal")</f>
        <v>295000</v>
      </c>
    </row>
    <row r="354" spans="1:20" x14ac:dyDescent="0.2">
      <c r="A354" s="48">
        <f ca="1">IFERROR(__xludf.DUMMYFUNCTION("""COMPUTED_VALUE"""),46255)</f>
        <v>46255</v>
      </c>
      <c r="B354" s="4" t="str">
        <f ca="1">IFERROR(__xludf.DUMMYFUNCTION("""COMPUTED_VALUE"""),"Istriku")</f>
        <v>Istriku</v>
      </c>
      <c r="C354" s="4" t="str">
        <f ca="1">IFERROR(__xludf.DUMMYFUNCTION("""COMPUTED_VALUE"""),"ATM")</f>
        <v>ATM</v>
      </c>
      <c r="D354" s="4" t="str">
        <f ca="1">IFERROR(__xludf.DUMMYFUNCTION("""COMPUTED_VALUE"""),"Out")</f>
        <v>Out</v>
      </c>
      <c r="E354" s="4" t="str">
        <f ca="1">IFERROR(__xludf.DUMMYFUNCTION("""COMPUTED_VALUE"""),"Move")</f>
        <v>Move</v>
      </c>
      <c r="F354" s="49">
        <f ca="1">IFERROR(__xludf.DUMMYFUNCTION("""COMPUTED_VALUE"""),250000)</f>
        <v>250000</v>
      </c>
      <c r="G354" s="50" t="str">
        <f ca="1">IFERROR(__xludf.DUMMYFUNCTION("""COMPUTED_VALUE"""),"Ibal")</f>
        <v>Ibal</v>
      </c>
      <c r="H354" s="51">
        <f t="shared" ca="1" si="0"/>
        <v>46235</v>
      </c>
      <c r="I354" s="52" t="e">
        <f ca="1">SUMIFS(OUT!$F$2:$F$11000,OUT!$H$2:$H$11000,H354,OUT!$D$2:$D$101007,"In")</f>
        <v>#VALUE!</v>
      </c>
      <c r="J354" s="52">
        <f ca="1">SUMIFS(OUT!$F$2:$F$11000,OUT!$H$2:$H$11000,H354,OUT!$D$2:$D$11000,"Out")</f>
        <v>9573570</v>
      </c>
      <c r="K354" s="52">
        <f ca="1">SUMIFS(OUT!$F$2:$F$11000,OUT!$H$2:$H$11000,H354,OUT!$D$2:$D$11000,"Out",OUT!$E$2:$E$11000,"Fix")</f>
        <v>2533689</v>
      </c>
      <c r="L354" s="52">
        <f ca="1">SUMIFS(OUT!$F$2:$F$11000,OUT!$H$2:$H$11000,H354,OUT!$D$2:$D$11000,"Out",OUT!$E$2:$E$11000,"Bathroom")</f>
        <v>14491</v>
      </c>
      <c r="M354" s="52">
        <f ca="1">SUMIFS(OUT!$F$2:$F$11000,OUT!$H$2:$H$11000,H354,OUT!$D$2:$D$11000,"Out",OUT!$E$2:$E$11000,"Alfa")</f>
        <v>452769</v>
      </c>
      <c r="N354" s="52" t="e">
        <f ca="1">SUMIFS(OUT!$F$2:$F$11000,OUT!$H$2:$H$101007,H354,OUT!$D$2:$D$11000,"Out",OUT!$E$2:$E$11000,"Jajan")</f>
        <v>#VALUE!</v>
      </c>
      <c r="O354" s="52">
        <f ca="1">SUMIFS(OUT!$F$2:$F$11000,OUT!$H$2:$H$11000,H354,OUT!$D$2:$D$11000,"Out",OUT!$E$2:$E$11000,"Kitchen")</f>
        <v>1584204</v>
      </c>
      <c r="P354" s="52">
        <f ca="1">SUMIFS(OUT!$F$2:$F$11000,OUT!$H$2:$H$11000,H354,OUT!$D$2:$D$11000,"Out",OUT!$E$2:$E$11000,"Loandry")</f>
        <v>43448</v>
      </c>
      <c r="Q354" s="52">
        <f ca="1">SUMIFS(OUT!$F$2:$F$11000,OUT!$H$2:$H$11000,H354,OUT!$D$2:$D$11000,"Out",OUT!$E$2:$E$11000,"Mio")</f>
        <v>329000</v>
      </c>
      <c r="R354" s="52">
        <f ca="1">SUMIFS(OUT!$F$2:$F$11000,OUT!$H$2:$H$11000,H354,OUT!$D$2:$D$11000,"Out",OUT!$E$2:$E$11000,"Sedekah")</f>
        <v>5000</v>
      </c>
      <c r="S354" s="52">
        <f ca="1">SUMIFS(OUT!$F$2:$F$11000,OUT!$H$2:$H$11000,H354,OUT!$D$2:$D$11000,"Out",OUT!$E$2:$E$11000,"Zela")</f>
        <v>40500</v>
      </c>
      <c r="T354" s="52">
        <f ca="1">SUMIFS(OUT!$F$2:$F$11000,OUT!$H$2:$H$11000,H354,OUT!$D$2:$D$11000,"Out",OUT!$E$2:$E$11000,"Iqbal")</f>
        <v>295000</v>
      </c>
    </row>
    <row r="355" spans="1:20" x14ac:dyDescent="0.2">
      <c r="A355" s="48">
        <f ca="1">IFERROR(__xludf.DUMMYFUNCTION("""COMPUTED_VALUE"""),46255)</f>
        <v>46255</v>
      </c>
      <c r="B355" s="4" t="str">
        <f ca="1">IFERROR(__xludf.DUMMYFUNCTION("""COMPUTED_VALUE"""),"Istriku")</f>
        <v>Istriku</v>
      </c>
      <c r="C355" s="4" t="str">
        <f ca="1">IFERROR(__xludf.DUMMYFUNCTION("""COMPUTED_VALUE"""),"ATM")</f>
        <v>ATM</v>
      </c>
      <c r="D355" s="4" t="str">
        <f ca="1">IFERROR(__xludf.DUMMYFUNCTION("""COMPUTED_VALUE"""),"In")</f>
        <v>In</v>
      </c>
      <c r="E355" s="4" t="str">
        <f ca="1">IFERROR(__xludf.DUMMYFUNCTION("""COMPUTED_VALUE"""),"Move")</f>
        <v>Move</v>
      </c>
      <c r="F355" s="49">
        <f ca="1">IFERROR(__xludf.DUMMYFUNCTION("""COMPUTED_VALUE"""),2000)</f>
        <v>2000</v>
      </c>
      <c r="G355" s="50" t="str">
        <f ca="1">IFERROR(__xludf.DUMMYFUNCTION("""COMPUTED_VALUE"""),"Ibal")</f>
        <v>Ibal</v>
      </c>
      <c r="H355" s="51">
        <f t="shared" ca="1" si="0"/>
        <v>46235</v>
      </c>
      <c r="I355" s="52" t="e">
        <f ca="1">SUMIFS(OUT!$F$2:$F$11000,OUT!$H$2:$H$11000,H355,OUT!$D$2:$D$101007,"In")</f>
        <v>#VALUE!</v>
      </c>
      <c r="J355" s="52">
        <f ca="1">SUMIFS(OUT!$F$2:$F$11000,OUT!$H$2:$H$11000,H355,OUT!$D$2:$D$11000,"Out")</f>
        <v>9573570</v>
      </c>
      <c r="K355" s="52">
        <f ca="1">SUMIFS(OUT!$F$2:$F$11000,OUT!$H$2:$H$11000,H355,OUT!$D$2:$D$11000,"Out",OUT!$E$2:$E$11000,"Fix")</f>
        <v>2533689</v>
      </c>
      <c r="L355" s="52">
        <f ca="1">SUMIFS(OUT!$F$2:$F$11000,OUT!$H$2:$H$11000,H355,OUT!$D$2:$D$11000,"Out",OUT!$E$2:$E$11000,"Bathroom")</f>
        <v>14491</v>
      </c>
      <c r="M355" s="52">
        <f ca="1">SUMIFS(OUT!$F$2:$F$11000,OUT!$H$2:$H$11000,H355,OUT!$D$2:$D$11000,"Out",OUT!$E$2:$E$11000,"Alfa")</f>
        <v>452769</v>
      </c>
      <c r="N355" s="52" t="e">
        <f ca="1">SUMIFS(OUT!$F$2:$F$11000,OUT!$H$2:$H$101007,H355,OUT!$D$2:$D$11000,"Out",OUT!$E$2:$E$11000,"Jajan")</f>
        <v>#VALUE!</v>
      </c>
      <c r="O355" s="52">
        <f ca="1">SUMIFS(OUT!$F$2:$F$11000,OUT!$H$2:$H$11000,H355,OUT!$D$2:$D$11000,"Out",OUT!$E$2:$E$11000,"Kitchen")</f>
        <v>1584204</v>
      </c>
      <c r="P355" s="52">
        <f ca="1">SUMIFS(OUT!$F$2:$F$11000,OUT!$H$2:$H$11000,H355,OUT!$D$2:$D$11000,"Out",OUT!$E$2:$E$11000,"Loandry")</f>
        <v>43448</v>
      </c>
      <c r="Q355" s="52">
        <f ca="1">SUMIFS(OUT!$F$2:$F$11000,OUT!$H$2:$H$11000,H355,OUT!$D$2:$D$11000,"Out",OUT!$E$2:$E$11000,"Mio")</f>
        <v>329000</v>
      </c>
      <c r="R355" s="52">
        <f ca="1">SUMIFS(OUT!$F$2:$F$11000,OUT!$H$2:$H$11000,H355,OUT!$D$2:$D$11000,"Out",OUT!$E$2:$E$11000,"Sedekah")</f>
        <v>5000</v>
      </c>
      <c r="S355" s="52">
        <f ca="1">SUMIFS(OUT!$F$2:$F$11000,OUT!$H$2:$H$11000,H355,OUT!$D$2:$D$11000,"Out",OUT!$E$2:$E$11000,"Zela")</f>
        <v>40500</v>
      </c>
      <c r="T355" s="52">
        <f ca="1">SUMIFS(OUT!$F$2:$F$11000,OUT!$H$2:$H$11000,H355,OUT!$D$2:$D$11000,"Out",OUT!$E$2:$E$11000,"Iqbal")</f>
        <v>295000</v>
      </c>
    </row>
    <row r="356" spans="1:20" x14ac:dyDescent="0.2">
      <c r="A356" s="48">
        <f ca="1">IFERROR(__xludf.DUMMYFUNCTION("""COMPUTED_VALUE"""),46256)</f>
        <v>46256</v>
      </c>
      <c r="B356" s="4" t="str">
        <f ca="1">IFERROR(__xludf.DUMMYFUNCTION("""COMPUTED_VALUE"""),"Bakso bakar + sempol")</f>
        <v>Bakso bakar + sempol</v>
      </c>
      <c r="C356" s="4" t="str">
        <f ca="1">IFERROR(__xludf.DUMMYFUNCTION("""COMPUTED_VALUE"""),"ATM")</f>
        <v>ATM</v>
      </c>
      <c r="D356" s="4" t="str">
        <f ca="1">IFERROR(__xludf.DUMMYFUNCTION("""COMPUTED_VALUE"""),"Out")</f>
        <v>Out</v>
      </c>
      <c r="E356" s="4" t="str">
        <f ca="1">IFERROR(__xludf.DUMMYFUNCTION("""COMPUTED_VALUE"""),"Jajan")</f>
        <v>Jajan</v>
      </c>
      <c r="F356" s="49">
        <f ca="1">IFERROR(__xludf.DUMMYFUNCTION("""COMPUTED_VALUE"""),20000)</f>
        <v>20000</v>
      </c>
      <c r="G356" s="50" t="str">
        <f ca="1">IFERROR(__xludf.DUMMYFUNCTION("""COMPUTED_VALUE"""),"Ibal")</f>
        <v>Ibal</v>
      </c>
      <c r="H356" s="51">
        <f t="shared" ca="1" si="0"/>
        <v>46235</v>
      </c>
      <c r="I356" s="52" t="e">
        <f ca="1">SUMIFS(OUT!$F$2:$F$11000,OUT!$H$2:$H$11000,H356,OUT!$D$2:$D$101007,"In")</f>
        <v>#VALUE!</v>
      </c>
      <c r="J356" s="52">
        <f ca="1">SUMIFS(OUT!$F$2:$F$11000,OUT!$H$2:$H$11000,H356,OUT!$D$2:$D$11000,"Out")</f>
        <v>9573570</v>
      </c>
      <c r="K356" s="52">
        <f ca="1">SUMIFS(OUT!$F$2:$F$11000,OUT!$H$2:$H$11000,H356,OUT!$D$2:$D$11000,"Out",OUT!$E$2:$E$11000,"Fix")</f>
        <v>2533689</v>
      </c>
      <c r="L356" s="52">
        <f ca="1">SUMIFS(OUT!$F$2:$F$11000,OUT!$H$2:$H$11000,H356,OUT!$D$2:$D$11000,"Out",OUT!$E$2:$E$11000,"Bathroom")</f>
        <v>14491</v>
      </c>
      <c r="M356" s="52">
        <f ca="1">SUMIFS(OUT!$F$2:$F$11000,OUT!$H$2:$H$11000,H356,OUT!$D$2:$D$11000,"Out",OUT!$E$2:$E$11000,"Alfa")</f>
        <v>452769</v>
      </c>
      <c r="N356" s="52" t="e">
        <f ca="1">SUMIFS(OUT!$F$2:$F$11000,OUT!$H$2:$H$101007,H356,OUT!$D$2:$D$11000,"Out",OUT!$E$2:$E$11000,"Jajan")</f>
        <v>#VALUE!</v>
      </c>
      <c r="O356" s="52">
        <f ca="1">SUMIFS(OUT!$F$2:$F$11000,OUT!$H$2:$H$11000,H356,OUT!$D$2:$D$11000,"Out",OUT!$E$2:$E$11000,"Kitchen")</f>
        <v>1584204</v>
      </c>
      <c r="P356" s="52">
        <f ca="1">SUMIFS(OUT!$F$2:$F$11000,OUT!$H$2:$H$11000,H356,OUT!$D$2:$D$11000,"Out",OUT!$E$2:$E$11000,"Loandry")</f>
        <v>43448</v>
      </c>
      <c r="Q356" s="52">
        <f ca="1">SUMIFS(OUT!$F$2:$F$11000,OUT!$H$2:$H$11000,H356,OUT!$D$2:$D$11000,"Out",OUT!$E$2:$E$11000,"Mio")</f>
        <v>329000</v>
      </c>
      <c r="R356" s="52">
        <f ca="1">SUMIFS(OUT!$F$2:$F$11000,OUT!$H$2:$H$11000,H356,OUT!$D$2:$D$11000,"Out",OUT!$E$2:$E$11000,"Sedekah")</f>
        <v>5000</v>
      </c>
      <c r="S356" s="52">
        <f ca="1">SUMIFS(OUT!$F$2:$F$11000,OUT!$H$2:$H$11000,H356,OUT!$D$2:$D$11000,"Out",OUT!$E$2:$E$11000,"Zela")</f>
        <v>40500</v>
      </c>
      <c r="T356" s="52">
        <f ca="1">SUMIFS(OUT!$F$2:$F$11000,OUT!$H$2:$H$11000,H356,OUT!$D$2:$D$11000,"Out",OUT!$E$2:$E$11000,"Iqbal")</f>
        <v>295000</v>
      </c>
    </row>
    <row r="357" spans="1:20" x14ac:dyDescent="0.2">
      <c r="A357" s="48">
        <f ca="1">IFERROR(__xludf.DUMMYFUNCTION("""COMPUTED_VALUE"""),46257)</f>
        <v>46257</v>
      </c>
      <c r="B357" s="4" t="str">
        <f ca="1">IFERROR(__xludf.DUMMYFUNCTION("""COMPUTED_VALUE"""),"?")</f>
        <v>?</v>
      </c>
      <c r="C357" s="4" t="str">
        <f ca="1">IFERROR(__xludf.DUMMYFUNCTION("""COMPUTED_VALUE"""),"ATM")</f>
        <v>ATM</v>
      </c>
      <c r="D357" s="4" t="str">
        <f ca="1">IFERROR(__xludf.DUMMYFUNCTION("""COMPUTED_VALUE"""),"Out")</f>
        <v>Out</v>
      </c>
      <c r="E357" s="4" t="str">
        <f ca="1">IFERROR(__xludf.DUMMYFUNCTION("""COMPUTED_VALUE"""),"Jajan")</f>
        <v>Jajan</v>
      </c>
      <c r="F357" s="49">
        <f ca="1">IFERROR(__xludf.DUMMYFUNCTION("""COMPUTED_VALUE"""),9000)</f>
        <v>9000</v>
      </c>
      <c r="G357" s="50" t="str">
        <f ca="1">IFERROR(__xludf.DUMMYFUNCTION("""COMPUTED_VALUE"""),"Ibal")</f>
        <v>Ibal</v>
      </c>
      <c r="H357" s="51">
        <f t="shared" ca="1" si="0"/>
        <v>46235</v>
      </c>
      <c r="I357" s="52" t="e">
        <f ca="1">SUMIFS(OUT!$F$2:$F$11000,OUT!$H$2:$H$11000,H357,OUT!$D$2:$D$101007,"In")</f>
        <v>#VALUE!</v>
      </c>
      <c r="J357" s="52">
        <f ca="1">SUMIFS(OUT!$F$2:$F$11000,OUT!$H$2:$H$11000,H357,OUT!$D$2:$D$11000,"Out")</f>
        <v>9573570</v>
      </c>
      <c r="K357" s="52">
        <f ca="1">SUMIFS(OUT!$F$2:$F$11000,OUT!$H$2:$H$11000,H357,OUT!$D$2:$D$11000,"Out",OUT!$E$2:$E$11000,"Fix")</f>
        <v>2533689</v>
      </c>
      <c r="L357" s="52">
        <f ca="1">SUMIFS(OUT!$F$2:$F$11000,OUT!$H$2:$H$11000,H357,OUT!$D$2:$D$11000,"Out",OUT!$E$2:$E$11000,"Bathroom")</f>
        <v>14491</v>
      </c>
      <c r="M357" s="52">
        <f ca="1">SUMIFS(OUT!$F$2:$F$11000,OUT!$H$2:$H$11000,H357,OUT!$D$2:$D$11000,"Out",OUT!$E$2:$E$11000,"Alfa")</f>
        <v>452769</v>
      </c>
      <c r="N357" s="52" t="e">
        <f ca="1">SUMIFS(OUT!$F$2:$F$11000,OUT!$H$2:$H$101007,H357,OUT!$D$2:$D$11000,"Out",OUT!$E$2:$E$11000,"Jajan")</f>
        <v>#VALUE!</v>
      </c>
      <c r="O357" s="52">
        <f ca="1">SUMIFS(OUT!$F$2:$F$11000,OUT!$H$2:$H$11000,H357,OUT!$D$2:$D$11000,"Out",OUT!$E$2:$E$11000,"Kitchen")</f>
        <v>1584204</v>
      </c>
      <c r="P357" s="52">
        <f ca="1">SUMIFS(OUT!$F$2:$F$11000,OUT!$H$2:$H$11000,H357,OUT!$D$2:$D$11000,"Out",OUT!$E$2:$E$11000,"Loandry")</f>
        <v>43448</v>
      </c>
      <c r="Q357" s="52">
        <f ca="1">SUMIFS(OUT!$F$2:$F$11000,OUT!$H$2:$H$11000,H357,OUT!$D$2:$D$11000,"Out",OUT!$E$2:$E$11000,"Mio")</f>
        <v>329000</v>
      </c>
      <c r="R357" s="52">
        <f ca="1">SUMIFS(OUT!$F$2:$F$11000,OUT!$H$2:$H$11000,H357,OUT!$D$2:$D$11000,"Out",OUT!$E$2:$E$11000,"Sedekah")</f>
        <v>5000</v>
      </c>
      <c r="S357" s="52">
        <f ca="1">SUMIFS(OUT!$F$2:$F$11000,OUT!$H$2:$H$11000,H357,OUT!$D$2:$D$11000,"Out",OUT!$E$2:$E$11000,"Zela")</f>
        <v>40500</v>
      </c>
      <c r="T357" s="52">
        <f ca="1">SUMIFS(OUT!$F$2:$F$11000,OUT!$H$2:$H$11000,H357,OUT!$D$2:$D$11000,"Out",OUT!$E$2:$E$11000,"Iqbal")</f>
        <v>295000</v>
      </c>
    </row>
    <row r="358" spans="1:20" x14ac:dyDescent="0.2">
      <c r="A358" s="48">
        <f ca="1">IFERROR(__xludf.DUMMYFUNCTION("""COMPUTED_VALUE"""),46266)</f>
        <v>46266</v>
      </c>
      <c r="B358" s="4" t="str">
        <f ca="1">IFERROR(__xludf.DUMMYFUNCTION("""COMPUTED_VALUE"""),"Gaji Agustus 2026")</f>
        <v>Gaji Agustus 2026</v>
      </c>
      <c r="C358" s="4" t="str">
        <f ca="1">IFERROR(__xludf.DUMMYFUNCTION("""COMPUTED_VALUE"""),"ATM")</f>
        <v>ATM</v>
      </c>
      <c r="D358" s="4" t="str">
        <f ca="1">IFERROR(__xludf.DUMMYFUNCTION("""COMPUTED_VALUE"""),"In")</f>
        <v>In</v>
      </c>
      <c r="E358" s="4" t="str">
        <f ca="1">IFERROR(__xludf.DUMMYFUNCTION("""COMPUTED_VALUE"""),"Fix")</f>
        <v>Fix</v>
      </c>
      <c r="F358" s="49">
        <f ca="1">IFERROR(__xludf.DUMMYFUNCTION("""COMPUTED_VALUE"""),4348235)</f>
        <v>4348235</v>
      </c>
      <c r="G358" s="50" t="str">
        <f ca="1">IFERROR(__xludf.DUMMYFUNCTION("""COMPUTED_VALUE"""),"Ibal")</f>
        <v>Ibal</v>
      </c>
      <c r="H358" s="51">
        <f t="shared" ca="1" si="0"/>
        <v>46266</v>
      </c>
      <c r="I358" s="52" t="e">
        <f ca="1">SUMIFS(OUT!$F$2:$F$11000,OUT!$H$2:$H$11000,H358,OUT!$D$2:$D$101007,"In")</f>
        <v>#VALUE!</v>
      </c>
      <c r="J358" s="52">
        <f ca="1">SUMIFS(OUT!$F$2:$F$11000,OUT!$H$2:$H$11000,H358,OUT!$D$2:$D$11000,"Out")</f>
        <v>7093111</v>
      </c>
      <c r="K358" s="52">
        <f ca="1">SUMIFS(OUT!$F$2:$F$11000,OUT!$H$2:$H$11000,H358,OUT!$D$2:$D$11000,"Out",OUT!$E$2:$E$11000,"Fix")</f>
        <v>2972118</v>
      </c>
      <c r="L358" s="52">
        <f ca="1">SUMIFS(OUT!$F$2:$F$11000,OUT!$H$2:$H$11000,H358,OUT!$D$2:$D$11000,"Out",OUT!$E$2:$E$11000,"Bathroom")</f>
        <v>0</v>
      </c>
      <c r="M358" s="52">
        <f ca="1">SUMIFS(OUT!$F$2:$F$11000,OUT!$H$2:$H$11000,H358,OUT!$D$2:$D$11000,"Out",OUT!$E$2:$E$11000,"Alfa")</f>
        <v>55000</v>
      </c>
      <c r="N358" s="52" t="e">
        <f ca="1">SUMIFS(OUT!$F$2:$F$11000,OUT!$H$2:$H$101007,H358,OUT!$D$2:$D$11000,"Out",OUT!$E$2:$E$11000,"Jajan")</f>
        <v>#VALUE!</v>
      </c>
      <c r="O358" s="52">
        <f ca="1">SUMIFS(OUT!$F$2:$F$11000,OUT!$H$2:$H$11000,H358,OUT!$D$2:$D$11000,"Out",OUT!$E$2:$E$11000,"Kitchen")</f>
        <v>820700</v>
      </c>
      <c r="P358" s="52">
        <f ca="1">SUMIFS(OUT!$F$2:$F$11000,OUT!$H$2:$H$11000,H358,OUT!$D$2:$D$11000,"Out",OUT!$E$2:$E$11000,"Loandry")</f>
        <v>0</v>
      </c>
      <c r="Q358" s="52">
        <f ca="1">SUMIFS(OUT!$F$2:$F$11000,OUT!$H$2:$H$11000,H358,OUT!$D$2:$D$11000,"Out",OUT!$E$2:$E$11000,"Mio")</f>
        <v>137000</v>
      </c>
      <c r="R358" s="52">
        <f ca="1">SUMIFS(OUT!$F$2:$F$11000,OUT!$H$2:$H$11000,H358,OUT!$D$2:$D$11000,"Out",OUT!$E$2:$E$11000,"Sedekah")</f>
        <v>0</v>
      </c>
      <c r="S358" s="52">
        <f ca="1">SUMIFS(OUT!$F$2:$F$11000,OUT!$H$2:$H$11000,H358,OUT!$D$2:$D$11000,"Out",OUT!$E$2:$E$11000,"Zela")</f>
        <v>46126</v>
      </c>
      <c r="T358" s="52">
        <f ca="1">SUMIFS(OUT!$F$2:$F$11000,OUT!$H$2:$H$11000,H358,OUT!$D$2:$D$11000,"Out",OUT!$E$2:$E$11000,"Iqbal")</f>
        <v>125000</v>
      </c>
    </row>
    <row r="359" spans="1:20" x14ac:dyDescent="0.2">
      <c r="A359" s="48">
        <f ca="1">IFERROR(__xludf.DUMMYFUNCTION("""COMPUTED_VALUE"""),46266)</f>
        <v>46266</v>
      </c>
      <c r="B359" s="4" t="str">
        <f ca="1">IFERROR(__xludf.DUMMYFUNCTION("""COMPUTED_VALUE"""),"Rokok (1)")</f>
        <v>Rokok (1)</v>
      </c>
      <c r="C359" s="4" t="str">
        <f ca="1">IFERROR(__xludf.DUMMYFUNCTION("""COMPUTED_VALUE"""),"ATM")</f>
        <v>ATM</v>
      </c>
      <c r="D359" s="4" t="str">
        <f ca="1">IFERROR(__xludf.DUMMYFUNCTION("""COMPUTED_VALUE"""),"Out")</f>
        <v>Out</v>
      </c>
      <c r="E359" s="4" t="str">
        <f ca="1">IFERROR(__xludf.DUMMYFUNCTION("""COMPUTED_VALUE"""),"Iqbal")</f>
        <v>Iqbal</v>
      </c>
      <c r="F359" s="49">
        <f ca="1">IFERROR(__xludf.DUMMYFUNCTION("""COMPUTED_VALUE"""),17000)</f>
        <v>17000</v>
      </c>
      <c r="G359" s="50" t="str">
        <f ca="1">IFERROR(__xludf.DUMMYFUNCTION("""COMPUTED_VALUE"""),"Ibal")</f>
        <v>Ibal</v>
      </c>
      <c r="H359" s="51">
        <f t="shared" ca="1" si="0"/>
        <v>46266</v>
      </c>
      <c r="I359" s="52" t="e">
        <f ca="1">SUMIFS(OUT!$F$2:$F$11000,OUT!$H$2:$H$11000,H359,OUT!$D$2:$D$101007,"In")</f>
        <v>#VALUE!</v>
      </c>
      <c r="J359" s="52">
        <f ca="1">SUMIFS(OUT!$F$2:$F$11000,OUT!$H$2:$H$11000,H359,OUT!$D$2:$D$11000,"Out")</f>
        <v>7093111</v>
      </c>
      <c r="K359" s="52">
        <f ca="1">SUMIFS(OUT!$F$2:$F$11000,OUT!$H$2:$H$11000,H359,OUT!$D$2:$D$11000,"Out",OUT!$E$2:$E$11000,"Fix")</f>
        <v>2972118</v>
      </c>
      <c r="L359" s="52">
        <f ca="1">SUMIFS(OUT!$F$2:$F$11000,OUT!$H$2:$H$11000,H359,OUT!$D$2:$D$11000,"Out",OUT!$E$2:$E$11000,"Bathroom")</f>
        <v>0</v>
      </c>
      <c r="M359" s="52">
        <f ca="1">SUMIFS(OUT!$F$2:$F$11000,OUT!$H$2:$H$11000,H359,OUT!$D$2:$D$11000,"Out",OUT!$E$2:$E$11000,"Alfa")</f>
        <v>55000</v>
      </c>
      <c r="N359" s="52" t="e">
        <f ca="1">SUMIFS(OUT!$F$2:$F$11000,OUT!$H$2:$H$101007,H359,OUT!$D$2:$D$11000,"Out",OUT!$E$2:$E$11000,"Jajan")</f>
        <v>#VALUE!</v>
      </c>
      <c r="O359" s="52">
        <f ca="1">SUMIFS(OUT!$F$2:$F$11000,OUT!$H$2:$H$11000,H359,OUT!$D$2:$D$11000,"Out",OUT!$E$2:$E$11000,"Kitchen")</f>
        <v>820700</v>
      </c>
      <c r="P359" s="52">
        <f ca="1">SUMIFS(OUT!$F$2:$F$11000,OUT!$H$2:$H$11000,H359,OUT!$D$2:$D$11000,"Out",OUT!$E$2:$E$11000,"Loandry")</f>
        <v>0</v>
      </c>
      <c r="Q359" s="52">
        <f ca="1">SUMIFS(OUT!$F$2:$F$11000,OUT!$H$2:$H$11000,H359,OUT!$D$2:$D$11000,"Out",OUT!$E$2:$E$11000,"Mio")</f>
        <v>137000</v>
      </c>
      <c r="R359" s="52">
        <f ca="1">SUMIFS(OUT!$F$2:$F$11000,OUT!$H$2:$H$11000,H359,OUT!$D$2:$D$11000,"Out",OUT!$E$2:$E$11000,"Sedekah")</f>
        <v>0</v>
      </c>
      <c r="S359" s="52">
        <f ca="1">SUMIFS(OUT!$F$2:$F$11000,OUT!$H$2:$H$11000,H359,OUT!$D$2:$D$11000,"Out",OUT!$E$2:$E$11000,"Zela")</f>
        <v>46126</v>
      </c>
      <c r="T359" s="52">
        <f ca="1">SUMIFS(OUT!$F$2:$F$11000,OUT!$H$2:$H$11000,H359,OUT!$D$2:$D$11000,"Out",OUT!$E$2:$E$11000,"Iqbal")</f>
        <v>125000</v>
      </c>
    </row>
    <row r="360" spans="1:20" x14ac:dyDescent="0.2">
      <c r="A360" s="48">
        <f ca="1">IFERROR(__xludf.DUMMYFUNCTION("""COMPUTED_VALUE"""),46266)</f>
        <v>46266</v>
      </c>
      <c r="B360" s="4" t="str">
        <f ca="1">IFERROR(__xludf.DUMMYFUNCTION("""COMPUTED_VALUE"""),"Kopi")</f>
        <v>Kopi</v>
      </c>
      <c r="C360" s="4" t="str">
        <f ca="1">IFERROR(__xludf.DUMMYFUNCTION("""COMPUTED_VALUE"""),"ATM")</f>
        <v>ATM</v>
      </c>
      <c r="D360" s="4" t="str">
        <f ca="1">IFERROR(__xludf.DUMMYFUNCTION("""COMPUTED_VALUE"""),"Out")</f>
        <v>Out</v>
      </c>
      <c r="E360" s="4" t="str">
        <f ca="1">IFERROR(__xludf.DUMMYFUNCTION("""COMPUTED_VALUE"""),"Iqbal")</f>
        <v>Iqbal</v>
      </c>
      <c r="F360" s="49">
        <f ca="1">IFERROR(__xludf.DUMMYFUNCTION("""COMPUTED_VALUE"""),10000)</f>
        <v>10000</v>
      </c>
      <c r="G360" s="50" t="str">
        <f ca="1">IFERROR(__xludf.DUMMYFUNCTION("""COMPUTED_VALUE"""),"Ibal")</f>
        <v>Ibal</v>
      </c>
      <c r="H360" s="51">
        <f t="shared" ca="1" si="0"/>
        <v>46266</v>
      </c>
      <c r="I360" s="52" t="e">
        <f ca="1">SUMIFS(OUT!$F$2:$F$11000,OUT!$H$2:$H$11000,H360,OUT!$D$2:$D$101007,"In")</f>
        <v>#VALUE!</v>
      </c>
      <c r="J360" s="52">
        <f ca="1">SUMIFS(OUT!$F$2:$F$11000,OUT!$H$2:$H$11000,H360,OUT!$D$2:$D$11000,"Out")</f>
        <v>7093111</v>
      </c>
      <c r="K360" s="52">
        <f ca="1">SUMIFS(OUT!$F$2:$F$11000,OUT!$H$2:$H$11000,H360,OUT!$D$2:$D$11000,"Out",OUT!$E$2:$E$11000,"Fix")</f>
        <v>2972118</v>
      </c>
      <c r="L360" s="52">
        <f ca="1">SUMIFS(OUT!$F$2:$F$11000,OUT!$H$2:$H$11000,H360,OUT!$D$2:$D$11000,"Out",OUT!$E$2:$E$11000,"Bathroom")</f>
        <v>0</v>
      </c>
      <c r="M360" s="52">
        <f ca="1">SUMIFS(OUT!$F$2:$F$11000,OUT!$H$2:$H$11000,H360,OUT!$D$2:$D$11000,"Out",OUT!$E$2:$E$11000,"Alfa")</f>
        <v>55000</v>
      </c>
      <c r="N360" s="52" t="e">
        <f ca="1">SUMIFS(OUT!$F$2:$F$11000,OUT!$H$2:$H$101007,H360,OUT!$D$2:$D$11000,"Out",OUT!$E$2:$E$11000,"Jajan")</f>
        <v>#VALUE!</v>
      </c>
      <c r="O360" s="52">
        <f ca="1">SUMIFS(OUT!$F$2:$F$11000,OUT!$H$2:$H$11000,H360,OUT!$D$2:$D$11000,"Out",OUT!$E$2:$E$11000,"Kitchen")</f>
        <v>820700</v>
      </c>
      <c r="P360" s="52">
        <f ca="1">SUMIFS(OUT!$F$2:$F$11000,OUT!$H$2:$H$11000,H360,OUT!$D$2:$D$11000,"Out",OUT!$E$2:$E$11000,"Loandry")</f>
        <v>0</v>
      </c>
      <c r="Q360" s="52">
        <f ca="1">SUMIFS(OUT!$F$2:$F$11000,OUT!$H$2:$H$11000,H360,OUT!$D$2:$D$11000,"Out",OUT!$E$2:$E$11000,"Mio")</f>
        <v>137000</v>
      </c>
      <c r="R360" s="52">
        <f ca="1">SUMIFS(OUT!$F$2:$F$11000,OUT!$H$2:$H$11000,H360,OUT!$D$2:$D$11000,"Out",OUT!$E$2:$E$11000,"Sedekah")</f>
        <v>0</v>
      </c>
      <c r="S360" s="52">
        <f ca="1">SUMIFS(OUT!$F$2:$F$11000,OUT!$H$2:$H$11000,H360,OUT!$D$2:$D$11000,"Out",OUT!$E$2:$E$11000,"Zela")</f>
        <v>46126</v>
      </c>
      <c r="T360" s="52">
        <f ca="1">SUMIFS(OUT!$F$2:$F$11000,OUT!$H$2:$H$11000,H360,OUT!$D$2:$D$11000,"Out",OUT!$E$2:$E$11000,"Iqbal")</f>
        <v>125000</v>
      </c>
    </row>
    <row r="361" spans="1:20" x14ac:dyDescent="0.2">
      <c r="A361" s="48">
        <f ca="1">IFERROR(__xludf.DUMMYFUNCTION("""COMPUTED_VALUE"""),46266)</f>
        <v>46266</v>
      </c>
      <c r="B361" s="4" t="str">
        <f ca="1">IFERROR(__xludf.DUMMYFUNCTION("""COMPUTED_VALUE"""),"Istriku")</f>
        <v>Istriku</v>
      </c>
      <c r="C361" s="4" t="str">
        <f ca="1">IFERROR(__xludf.DUMMYFUNCTION("""COMPUTED_VALUE"""),"ATM")</f>
        <v>ATM</v>
      </c>
      <c r="D361" s="4" t="str">
        <f ca="1">IFERROR(__xludf.DUMMYFUNCTION("""COMPUTED_VALUE"""),"Out")</f>
        <v>Out</v>
      </c>
      <c r="E361" s="4" t="str">
        <f ca="1">IFERROR(__xludf.DUMMYFUNCTION("""COMPUTED_VALUE"""),"Move")</f>
        <v>Move</v>
      </c>
      <c r="F361" s="49">
        <f ca="1">IFERROR(__xludf.DUMMYFUNCTION("""COMPUTED_VALUE"""),1212398)</f>
        <v>1212398</v>
      </c>
      <c r="G361" s="50" t="str">
        <f ca="1">IFERROR(__xludf.DUMMYFUNCTION("""COMPUTED_VALUE"""),"Ibal")</f>
        <v>Ibal</v>
      </c>
      <c r="H361" s="51">
        <f t="shared" ca="1" si="0"/>
        <v>46266</v>
      </c>
      <c r="I361" s="52" t="e">
        <f ca="1">SUMIFS(OUT!$F$2:$F$11000,OUT!$H$2:$H$11000,H361,OUT!$D$2:$D$101007,"In")</f>
        <v>#VALUE!</v>
      </c>
      <c r="J361" s="52">
        <f ca="1">SUMIFS(OUT!$F$2:$F$11000,OUT!$H$2:$H$11000,H361,OUT!$D$2:$D$11000,"Out")</f>
        <v>7093111</v>
      </c>
      <c r="K361" s="52">
        <f ca="1">SUMIFS(OUT!$F$2:$F$11000,OUT!$H$2:$H$11000,H361,OUT!$D$2:$D$11000,"Out",OUT!$E$2:$E$11000,"Fix")</f>
        <v>2972118</v>
      </c>
      <c r="L361" s="52">
        <f ca="1">SUMIFS(OUT!$F$2:$F$11000,OUT!$H$2:$H$11000,H361,OUT!$D$2:$D$11000,"Out",OUT!$E$2:$E$11000,"Bathroom")</f>
        <v>0</v>
      </c>
      <c r="M361" s="52">
        <f ca="1">SUMIFS(OUT!$F$2:$F$11000,OUT!$H$2:$H$11000,H361,OUT!$D$2:$D$11000,"Out",OUT!$E$2:$E$11000,"Alfa")</f>
        <v>55000</v>
      </c>
      <c r="N361" s="52" t="e">
        <f ca="1">SUMIFS(OUT!$F$2:$F$11000,OUT!$H$2:$H$101007,H361,OUT!$D$2:$D$11000,"Out",OUT!$E$2:$E$11000,"Jajan")</f>
        <v>#VALUE!</v>
      </c>
      <c r="O361" s="52">
        <f ca="1">SUMIFS(OUT!$F$2:$F$11000,OUT!$H$2:$H$11000,H361,OUT!$D$2:$D$11000,"Out",OUT!$E$2:$E$11000,"Kitchen")</f>
        <v>820700</v>
      </c>
      <c r="P361" s="52">
        <f ca="1">SUMIFS(OUT!$F$2:$F$11000,OUT!$H$2:$H$11000,H361,OUT!$D$2:$D$11000,"Out",OUT!$E$2:$E$11000,"Loandry")</f>
        <v>0</v>
      </c>
      <c r="Q361" s="52">
        <f ca="1">SUMIFS(OUT!$F$2:$F$11000,OUT!$H$2:$H$11000,H361,OUT!$D$2:$D$11000,"Out",OUT!$E$2:$E$11000,"Mio")</f>
        <v>137000</v>
      </c>
      <c r="R361" s="52">
        <f ca="1">SUMIFS(OUT!$F$2:$F$11000,OUT!$H$2:$H$11000,H361,OUT!$D$2:$D$11000,"Out",OUT!$E$2:$E$11000,"Sedekah")</f>
        <v>0</v>
      </c>
      <c r="S361" s="52">
        <f ca="1">SUMIFS(OUT!$F$2:$F$11000,OUT!$H$2:$H$11000,H361,OUT!$D$2:$D$11000,"Out",OUT!$E$2:$E$11000,"Zela")</f>
        <v>46126</v>
      </c>
      <c r="T361" s="52">
        <f ca="1">SUMIFS(OUT!$F$2:$F$11000,OUT!$H$2:$H$11000,H361,OUT!$D$2:$D$11000,"Out",OUT!$E$2:$E$11000,"Iqbal")</f>
        <v>125000</v>
      </c>
    </row>
    <row r="362" spans="1:20" x14ac:dyDescent="0.2">
      <c r="A362" s="48">
        <f ca="1">IFERROR(__xludf.DUMMYFUNCTION("""COMPUTED_VALUE"""),46266)</f>
        <v>46266</v>
      </c>
      <c r="B362" s="4" t="str">
        <f ca="1">IFERROR(__xludf.DUMMYFUNCTION("""COMPUTED_VALUE"""),"Adi")</f>
        <v>Adi</v>
      </c>
      <c r="C362" s="4" t="str">
        <f ca="1">IFERROR(__xludf.DUMMYFUNCTION("""COMPUTED_VALUE"""),"ATM")</f>
        <v>ATM</v>
      </c>
      <c r="D362" s="4" t="str">
        <f ca="1">IFERROR(__xludf.DUMMYFUNCTION("""COMPUTED_VALUE"""),"Out")</f>
        <v>Out</v>
      </c>
      <c r="E362" s="4" t="str">
        <f ca="1">IFERROR(__xludf.DUMMYFUNCTION("""COMPUTED_VALUE"""),"Fix")</f>
        <v>Fix</v>
      </c>
      <c r="F362" s="49">
        <f ca="1">IFERROR(__xludf.DUMMYFUNCTION("""COMPUTED_VALUE"""),600000)</f>
        <v>600000</v>
      </c>
      <c r="G362" s="50" t="str">
        <f ca="1">IFERROR(__xludf.DUMMYFUNCTION("""COMPUTED_VALUE"""),"Ibal")</f>
        <v>Ibal</v>
      </c>
      <c r="H362" s="51">
        <f t="shared" ca="1" si="0"/>
        <v>46266</v>
      </c>
      <c r="I362" s="52" t="e">
        <f ca="1">SUMIFS(OUT!$F$2:$F$11000,OUT!$H$2:$H$11000,H362,OUT!$D$2:$D$101007,"In")</f>
        <v>#VALUE!</v>
      </c>
      <c r="J362" s="52">
        <f ca="1">SUMIFS(OUT!$F$2:$F$11000,OUT!$H$2:$H$11000,H362,OUT!$D$2:$D$11000,"Out")</f>
        <v>7093111</v>
      </c>
      <c r="K362" s="52">
        <f ca="1">SUMIFS(OUT!$F$2:$F$11000,OUT!$H$2:$H$11000,H362,OUT!$D$2:$D$11000,"Out",OUT!$E$2:$E$11000,"Fix")</f>
        <v>2972118</v>
      </c>
      <c r="L362" s="52">
        <f ca="1">SUMIFS(OUT!$F$2:$F$11000,OUT!$H$2:$H$11000,H362,OUT!$D$2:$D$11000,"Out",OUT!$E$2:$E$11000,"Bathroom")</f>
        <v>0</v>
      </c>
      <c r="M362" s="52">
        <f ca="1">SUMIFS(OUT!$F$2:$F$11000,OUT!$H$2:$H$11000,H362,OUT!$D$2:$D$11000,"Out",OUT!$E$2:$E$11000,"Alfa")</f>
        <v>55000</v>
      </c>
      <c r="N362" s="52" t="e">
        <f ca="1">SUMIFS(OUT!$F$2:$F$11000,OUT!$H$2:$H$101007,H362,OUT!$D$2:$D$11000,"Out",OUT!$E$2:$E$11000,"Jajan")</f>
        <v>#VALUE!</v>
      </c>
      <c r="O362" s="52">
        <f ca="1">SUMIFS(OUT!$F$2:$F$11000,OUT!$H$2:$H$11000,H362,OUT!$D$2:$D$11000,"Out",OUT!$E$2:$E$11000,"Kitchen")</f>
        <v>820700</v>
      </c>
      <c r="P362" s="52">
        <f ca="1">SUMIFS(OUT!$F$2:$F$11000,OUT!$H$2:$H$11000,H362,OUT!$D$2:$D$11000,"Out",OUT!$E$2:$E$11000,"Loandry")</f>
        <v>0</v>
      </c>
      <c r="Q362" s="52">
        <f ca="1">SUMIFS(OUT!$F$2:$F$11000,OUT!$H$2:$H$11000,H362,OUT!$D$2:$D$11000,"Out",OUT!$E$2:$E$11000,"Mio")</f>
        <v>137000</v>
      </c>
      <c r="R362" s="52">
        <f ca="1">SUMIFS(OUT!$F$2:$F$11000,OUT!$H$2:$H$11000,H362,OUT!$D$2:$D$11000,"Out",OUT!$E$2:$E$11000,"Sedekah")</f>
        <v>0</v>
      </c>
      <c r="S362" s="52">
        <f ca="1">SUMIFS(OUT!$F$2:$F$11000,OUT!$H$2:$H$11000,H362,OUT!$D$2:$D$11000,"Out",OUT!$E$2:$E$11000,"Zela")</f>
        <v>46126</v>
      </c>
      <c r="T362" s="52">
        <f ca="1">SUMIFS(OUT!$F$2:$F$11000,OUT!$H$2:$H$11000,H362,OUT!$D$2:$D$11000,"Out",OUT!$E$2:$E$11000,"Iqbal")</f>
        <v>125000</v>
      </c>
    </row>
    <row r="363" spans="1:20" x14ac:dyDescent="0.2">
      <c r="A363" s="48">
        <f ca="1">IFERROR(__xludf.DUMMYFUNCTION("""COMPUTED_VALUE"""),46266)</f>
        <v>46266</v>
      </c>
      <c r="B363" s="4" t="str">
        <f ca="1">IFERROR(__xludf.DUMMYFUNCTION("""COMPUTED_VALUE"""),"BPJS Mama")</f>
        <v>BPJS Mama</v>
      </c>
      <c r="C363" s="4" t="str">
        <f ca="1">IFERROR(__xludf.DUMMYFUNCTION("""COMPUTED_VALUE"""),"ATM")</f>
        <v>ATM</v>
      </c>
      <c r="D363" s="4" t="str">
        <f ca="1">IFERROR(__xludf.DUMMYFUNCTION("""COMPUTED_VALUE"""),"Out")</f>
        <v>Out</v>
      </c>
      <c r="E363" s="4" t="str">
        <f ca="1">IFERROR(__xludf.DUMMYFUNCTION("""COMPUTED_VALUE"""),"Fix")</f>
        <v>Fix</v>
      </c>
      <c r="F363" s="49">
        <f ca="1">IFERROR(__xludf.DUMMYFUNCTION("""COMPUTED_VALUE"""),72500)</f>
        <v>72500</v>
      </c>
      <c r="G363" s="50" t="str">
        <f ca="1">IFERROR(__xludf.DUMMYFUNCTION("""COMPUTED_VALUE"""),"Ibal")</f>
        <v>Ibal</v>
      </c>
      <c r="H363" s="51">
        <f t="shared" ca="1" si="0"/>
        <v>46266</v>
      </c>
      <c r="I363" s="52" t="e">
        <f ca="1">SUMIFS(OUT!$F$2:$F$11000,OUT!$H$2:$H$11000,H363,OUT!$D$2:$D$101007,"In")</f>
        <v>#VALUE!</v>
      </c>
      <c r="J363" s="52">
        <f ca="1">SUMIFS(OUT!$F$2:$F$11000,OUT!$H$2:$H$11000,H363,OUT!$D$2:$D$11000,"Out")</f>
        <v>7093111</v>
      </c>
      <c r="K363" s="52">
        <f ca="1">SUMIFS(OUT!$F$2:$F$11000,OUT!$H$2:$H$11000,H363,OUT!$D$2:$D$11000,"Out",OUT!$E$2:$E$11000,"Fix")</f>
        <v>2972118</v>
      </c>
      <c r="L363" s="52">
        <f ca="1">SUMIFS(OUT!$F$2:$F$11000,OUT!$H$2:$H$11000,H363,OUT!$D$2:$D$11000,"Out",OUT!$E$2:$E$11000,"Bathroom")</f>
        <v>0</v>
      </c>
      <c r="M363" s="52">
        <f ca="1">SUMIFS(OUT!$F$2:$F$11000,OUT!$H$2:$H$11000,H363,OUT!$D$2:$D$11000,"Out",OUT!$E$2:$E$11000,"Alfa")</f>
        <v>55000</v>
      </c>
      <c r="N363" s="52" t="e">
        <f ca="1">SUMIFS(OUT!$F$2:$F$11000,OUT!$H$2:$H$101007,H363,OUT!$D$2:$D$11000,"Out",OUT!$E$2:$E$11000,"Jajan")</f>
        <v>#VALUE!</v>
      </c>
      <c r="O363" s="52">
        <f ca="1">SUMIFS(OUT!$F$2:$F$11000,OUT!$H$2:$H$11000,H363,OUT!$D$2:$D$11000,"Out",OUT!$E$2:$E$11000,"Kitchen")</f>
        <v>820700</v>
      </c>
      <c r="P363" s="52">
        <f ca="1">SUMIFS(OUT!$F$2:$F$11000,OUT!$H$2:$H$11000,H363,OUT!$D$2:$D$11000,"Out",OUT!$E$2:$E$11000,"Loandry")</f>
        <v>0</v>
      </c>
      <c r="Q363" s="52">
        <f ca="1">SUMIFS(OUT!$F$2:$F$11000,OUT!$H$2:$H$11000,H363,OUT!$D$2:$D$11000,"Out",OUT!$E$2:$E$11000,"Mio")</f>
        <v>137000</v>
      </c>
      <c r="R363" s="52">
        <f ca="1">SUMIFS(OUT!$F$2:$F$11000,OUT!$H$2:$H$11000,H363,OUT!$D$2:$D$11000,"Out",OUT!$E$2:$E$11000,"Sedekah")</f>
        <v>0</v>
      </c>
      <c r="S363" s="52">
        <f ca="1">SUMIFS(OUT!$F$2:$F$11000,OUT!$H$2:$H$11000,H363,OUT!$D$2:$D$11000,"Out",OUT!$E$2:$E$11000,"Zela")</f>
        <v>46126</v>
      </c>
      <c r="T363" s="52">
        <f ca="1">SUMIFS(OUT!$F$2:$F$11000,OUT!$H$2:$H$11000,H363,OUT!$D$2:$D$11000,"Out",OUT!$E$2:$E$11000,"Iqbal")</f>
        <v>125000</v>
      </c>
    </row>
    <row r="364" spans="1:20" x14ac:dyDescent="0.2">
      <c r="A364" s="48">
        <f ca="1">IFERROR(__xludf.DUMMYFUNCTION("""COMPUTED_VALUE"""),46266)</f>
        <v>46266</v>
      </c>
      <c r="B364" s="4" t="str">
        <f ca="1">IFERROR(__xludf.DUMMYFUNCTION("""COMPUTED_VALUE"""),"Spaylater (Z)")</f>
        <v>Spaylater (Z)</v>
      </c>
      <c r="C364" s="4" t="str">
        <f ca="1">IFERROR(__xludf.DUMMYFUNCTION("""COMPUTED_VALUE"""),"ATM")</f>
        <v>ATM</v>
      </c>
      <c r="D364" s="4" t="str">
        <f ca="1">IFERROR(__xludf.DUMMYFUNCTION("""COMPUTED_VALUE"""),"Out")</f>
        <v>Out</v>
      </c>
      <c r="E364" s="4" t="str">
        <f ca="1">IFERROR(__xludf.DUMMYFUNCTION("""COMPUTED_VALUE"""),"Kitchen")</f>
        <v>Kitchen</v>
      </c>
      <c r="F364" s="49">
        <f ca="1">IFERROR(__xludf.DUMMYFUNCTION("""COMPUTED_VALUE"""),174700)</f>
        <v>174700</v>
      </c>
      <c r="G364" s="50" t="str">
        <f ca="1">IFERROR(__xludf.DUMMYFUNCTION("""COMPUTED_VALUE"""),"Ibal")</f>
        <v>Ibal</v>
      </c>
      <c r="H364" s="51">
        <f t="shared" ca="1" si="0"/>
        <v>46266</v>
      </c>
      <c r="I364" s="52" t="e">
        <f ca="1">SUMIFS(OUT!$F$2:$F$11000,OUT!$H$2:$H$11000,H364,OUT!$D$2:$D$101007,"In")</f>
        <v>#VALUE!</v>
      </c>
      <c r="J364" s="52">
        <f ca="1">SUMIFS(OUT!$F$2:$F$11000,OUT!$H$2:$H$11000,H364,OUT!$D$2:$D$11000,"Out")</f>
        <v>7093111</v>
      </c>
      <c r="K364" s="52">
        <f ca="1">SUMIFS(OUT!$F$2:$F$11000,OUT!$H$2:$H$11000,H364,OUT!$D$2:$D$11000,"Out",OUT!$E$2:$E$11000,"Fix")</f>
        <v>2972118</v>
      </c>
      <c r="L364" s="52">
        <f ca="1">SUMIFS(OUT!$F$2:$F$11000,OUT!$H$2:$H$11000,H364,OUT!$D$2:$D$11000,"Out",OUT!$E$2:$E$11000,"Bathroom")</f>
        <v>0</v>
      </c>
      <c r="M364" s="52">
        <f ca="1">SUMIFS(OUT!$F$2:$F$11000,OUT!$H$2:$H$11000,H364,OUT!$D$2:$D$11000,"Out",OUT!$E$2:$E$11000,"Alfa")</f>
        <v>55000</v>
      </c>
      <c r="N364" s="52" t="e">
        <f ca="1">SUMIFS(OUT!$F$2:$F$11000,OUT!$H$2:$H$101007,H364,OUT!$D$2:$D$11000,"Out",OUT!$E$2:$E$11000,"Jajan")</f>
        <v>#VALUE!</v>
      </c>
      <c r="O364" s="52">
        <f ca="1">SUMIFS(OUT!$F$2:$F$11000,OUT!$H$2:$H$11000,H364,OUT!$D$2:$D$11000,"Out",OUT!$E$2:$E$11000,"Kitchen")</f>
        <v>820700</v>
      </c>
      <c r="P364" s="52">
        <f ca="1">SUMIFS(OUT!$F$2:$F$11000,OUT!$H$2:$H$11000,H364,OUT!$D$2:$D$11000,"Out",OUT!$E$2:$E$11000,"Loandry")</f>
        <v>0</v>
      </c>
      <c r="Q364" s="52">
        <f ca="1">SUMIFS(OUT!$F$2:$F$11000,OUT!$H$2:$H$11000,H364,OUT!$D$2:$D$11000,"Out",OUT!$E$2:$E$11000,"Mio")</f>
        <v>137000</v>
      </c>
      <c r="R364" s="52">
        <f ca="1">SUMIFS(OUT!$F$2:$F$11000,OUT!$H$2:$H$11000,H364,OUT!$D$2:$D$11000,"Out",OUT!$E$2:$E$11000,"Sedekah")</f>
        <v>0</v>
      </c>
      <c r="S364" s="52">
        <f ca="1">SUMIFS(OUT!$F$2:$F$11000,OUT!$H$2:$H$11000,H364,OUT!$D$2:$D$11000,"Out",OUT!$E$2:$E$11000,"Zela")</f>
        <v>46126</v>
      </c>
      <c r="T364" s="52">
        <f ca="1">SUMIFS(OUT!$F$2:$F$11000,OUT!$H$2:$H$11000,H364,OUT!$D$2:$D$11000,"Out",OUT!$E$2:$E$11000,"Iqbal")</f>
        <v>125000</v>
      </c>
    </row>
    <row r="365" spans="1:20" x14ac:dyDescent="0.2">
      <c r="A365" s="48">
        <f ca="1">IFERROR(__xludf.DUMMYFUNCTION("""COMPUTED_VALUE"""),46266)</f>
        <v>46266</v>
      </c>
      <c r="B365" s="4" t="str">
        <f ca="1">IFERROR(__xludf.DUMMYFUNCTION("""COMPUTED_VALUE"""),"Jemuran (2)")</f>
        <v>Jemuran (2)</v>
      </c>
      <c r="C365" s="4" t="str">
        <f ca="1">IFERROR(__xludf.DUMMYFUNCTION("""COMPUTED_VALUE"""),"ATM")</f>
        <v>ATM</v>
      </c>
      <c r="D365" s="4" t="str">
        <f ca="1">IFERROR(__xludf.DUMMYFUNCTION("""COMPUTED_VALUE"""),"Out")</f>
        <v>Out</v>
      </c>
      <c r="E365" s="4" t="str">
        <f ca="1">IFERROR(__xludf.DUMMYFUNCTION("""COMPUTED_VALUE"""),"Fix")</f>
        <v>Fix</v>
      </c>
      <c r="F365" s="49">
        <f ca="1">IFERROR(__xludf.DUMMYFUNCTION("""COMPUTED_VALUE"""),38206)</f>
        <v>38206</v>
      </c>
      <c r="G365" s="50" t="str">
        <f ca="1">IFERROR(__xludf.DUMMYFUNCTION("""COMPUTED_VALUE"""),"Ibal")</f>
        <v>Ibal</v>
      </c>
      <c r="H365" s="51">
        <f t="shared" ca="1" si="0"/>
        <v>46266</v>
      </c>
      <c r="I365" s="52" t="e">
        <f ca="1">SUMIFS(OUT!$F$2:$F$11000,OUT!$H$2:$H$11000,H365,OUT!$D$2:$D$101007,"In")</f>
        <v>#VALUE!</v>
      </c>
      <c r="J365" s="52">
        <f ca="1">SUMIFS(OUT!$F$2:$F$11000,OUT!$H$2:$H$11000,H365,OUT!$D$2:$D$11000,"Out")</f>
        <v>7093111</v>
      </c>
      <c r="K365" s="52">
        <f ca="1">SUMIFS(OUT!$F$2:$F$11000,OUT!$H$2:$H$11000,H365,OUT!$D$2:$D$11000,"Out",OUT!$E$2:$E$11000,"Fix")</f>
        <v>2972118</v>
      </c>
      <c r="L365" s="52">
        <f ca="1">SUMIFS(OUT!$F$2:$F$11000,OUT!$H$2:$H$11000,H365,OUT!$D$2:$D$11000,"Out",OUT!$E$2:$E$11000,"Bathroom")</f>
        <v>0</v>
      </c>
      <c r="M365" s="52">
        <f ca="1">SUMIFS(OUT!$F$2:$F$11000,OUT!$H$2:$H$11000,H365,OUT!$D$2:$D$11000,"Out",OUT!$E$2:$E$11000,"Alfa")</f>
        <v>55000</v>
      </c>
      <c r="N365" s="52" t="e">
        <f ca="1">SUMIFS(OUT!$F$2:$F$11000,OUT!$H$2:$H$101007,H365,OUT!$D$2:$D$11000,"Out",OUT!$E$2:$E$11000,"Jajan")</f>
        <v>#VALUE!</v>
      </c>
      <c r="O365" s="52">
        <f ca="1">SUMIFS(OUT!$F$2:$F$11000,OUT!$H$2:$H$11000,H365,OUT!$D$2:$D$11000,"Out",OUT!$E$2:$E$11000,"Kitchen")</f>
        <v>820700</v>
      </c>
      <c r="P365" s="52">
        <f ca="1">SUMIFS(OUT!$F$2:$F$11000,OUT!$H$2:$H$11000,H365,OUT!$D$2:$D$11000,"Out",OUT!$E$2:$E$11000,"Loandry")</f>
        <v>0</v>
      </c>
      <c r="Q365" s="52">
        <f ca="1">SUMIFS(OUT!$F$2:$F$11000,OUT!$H$2:$H$11000,H365,OUT!$D$2:$D$11000,"Out",OUT!$E$2:$E$11000,"Mio")</f>
        <v>137000</v>
      </c>
      <c r="R365" s="52">
        <f ca="1">SUMIFS(OUT!$F$2:$F$11000,OUT!$H$2:$H$11000,H365,OUT!$D$2:$D$11000,"Out",OUT!$E$2:$E$11000,"Sedekah")</f>
        <v>0</v>
      </c>
      <c r="S365" s="52">
        <f ca="1">SUMIFS(OUT!$F$2:$F$11000,OUT!$H$2:$H$11000,H365,OUT!$D$2:$D$11000,"Out",OUT!$E$2:$E$11000,"Zela")</f>
        <v>46126</v>
      </c>
      <c r="T365" s="52">
        <f ca="1">SUMIFS(OUT!$F$2:$F$11000,OUT!$H$2:$H$11000,H365,OUT!$D$2:$D$11000,"Out",OUT!$E$2:$E$11000,"Iqbal")</f>
        <v>125000</v>
      </c>
    </row>
    <row r="366" spans="1:20" x14ac:dyDescent="0.2">
      <c r="A366" s="48">
        <f ca="1">IFERROR(__xludf.DUMMYFUNCTION("""COMPUTED_VALUE"""),46266)</f>
        <v>46266</v>
      </c>
      <c r="B366" s="4" t="str">
        <f ca="1">IFERROR(__xludf.DUMMYFUNCTION("""COMPUTED_VALUE"""),"Kaca Mata (2)")</f>
        <v>Kaca Mata (2)</v>
      </c>
      <c r="C366" s="4" t="str">
        <f ca="1">IFERROR(__xludf.DUMMYFUNCTION("""COMPUTED_VALUE"""),"ATM")</f>
        <v>ATM</v>
      </c>
      <c r="D366" s="4" t="str">
        <f ca="1">IFERROR(__xludf.DUMMYFUNCTION("""COMPUTED_VALUE"""),"Out")</f>
        <v>Out</v>
      </c>
      <c r="E366" s="4" t="str">
        <f ca="1">IFERROR(__xludf.DUMMYFUNCTION("""COMPUTED_VALUE"""),"Fix")</f>
        <v>Fix</v>
      </c>
      <c r="F366" s="49">
        <f ca="1">IFERROR(__xludf.DUMMYFUNCTION("""COMPUTED_VALUE"""),32853)</f>
        <v>32853</v>
      </c>
      <c r="G366" s="50" t="str">
        <f ca="1">IFERROR(__xludf.DUMMYFUNCTION("""COMPUTED_VALUE"""),"Ibal")</f>
        <v>Ibal</v>
      </c>
      <c r="H366" s="51">
        <f t="shared" ca="1" si="0"/>
        <v>46266</v>
      </c>
      <c r="I366" s="52" t="e">
        <f ca="1">SUMIFS(OUT!$F$2:$F$11000,OUT!$H$2:$H$11000,H366,OUT!$D$2:$D$101007,"In")</f>
        <v>#VALUE!</v>
      </c>
      <c r="J366" s="52">
        <f ca="1">SUMIFS(OUT!$F$2:$F$11000,OUT!$H$2:$H$11000,H366,OUT!$D$2:$D$11000,"Out")</f>
        <v>7093111</v>
      </c>
      <c r="K366" s="52">
        <f ca="1">SUMIFS(OUT!$F$2:$F$11000,OUT!$H$2:$H$11000,H366,OUT!$D$2:$D$11000,"Out",OUT!$E$2:$E$11000,"Fix")</f>
        <v>2972118</v>
      </c>
      <c r="L366" s="52">
        <f ca="1">SUMIFS(OUT!$F$2:$F$11000,OUT!$H$2:$H$11000,H366,OUT!$D$2:$D$11000,"Out",OUT!$E$2:$E$11000,"Bathroom")</f>
        <v>0</v>
      </c>
      <c r="M366" s="52">
        <f ca="1">SUMIFS(OUT!$F$2:$F$11000,OUT!$H$2:$H$11000,H366,OUT!$D$2:$D$11000,"Out",OUT!$E$2:$E$11000,"Alfa")</f>
        <v>55000</v>
      </c>
      <c r="N366" s="52" t="e">
        <f ca="1">SUMIFS(OUT!$F$2:$F$11000,OUT!$H$2:$H$101007,H366,OUT!$D$2:$D$11000,"Out",OUT!$E$2:$E$11000,"Jajan")</f>
        <v>#VALUE!</v>
      </c>
      <c r="O366" s="52">
        <f ca="1">SUMIFS(OUT!$F$2:$F$11000,OUT!$H$2:$H$11000,H366,OUT!$D$2:$D$11000,"Out",OUT!$E$2:$E$11000,"Kitchen")</f>
        <v>820700</v>
      </c>
      <c r="P366" s="52">
        <f ca="1">SUMIFS(OUT!$F$2:$F$11000,OUT!$H$2:$H$11000,H366,OUT!$D$2:$D$11000,"Out",OUT!$E$2:$E$11000,"Loandry")</f>
        <v>0</v>
      </c>
      <c r="Q366" s="52">
        <f ca="1">SUMIFS(OUT!$F$2:$F$11000,OUT!$H$2:$H$11000,H366,OUT!$D$2:$D$11000,"Out",OUT!$E$2:$E$11000,"Mio")</f>
        <v>137000</v>
      </c>
      <c r="R366" s="52">
        <f ca="1">SUMIFS(OUT!$F$2:$F$11000,OUT!$H$2:$H$11000,H366,OUT!$D$2:$D$11000,"Out",OUT!$E$2:$E$11000,"Sedekah")</f>
        <v>0</v>
      </c>
      <c r="S366" s="52">
        <f ca="1">SUMIFS(OUT!$F$2:$F$11000,OUT!$H$2:$H$11000,H366,OUT!$D$2:$D$11000,"Out",OUT!$E$2:$E$11000,"Zela")</f>
        <v>46126</v>
      </c>
      <c r="T366" s="52">
        <f ca="1">SUMIFS(OUT!$F$2:$F$11000,OUT!$H$2:$H$11000,H366,OUT!$D$2:$D$11000,"Out",OUT!$E$2:$E$11000,"Iqbal")</f>
        <v>125000</v>
      </c>
    </row>
    <row r="367" spans="1:20" x14ac:dyDescent="0.2">
      <c r="A367" s="48">
        <f ca="1">IFERROR(__xludf.DUMMYFUNCTION("""COMPUTED_VALUE"""),46266)</f>
        <v>46266</v>
      </c>
      <c r="B367" s="4" t="str">
        <f ca="1">IFERROR(__xludf.DUMMYFUNCTION("""COMPUTED_VALUE"""),"Iqbal Shopee (Lunas)")</f>
        <v>Iqbal Shopee (Lunas)</v>
      </c>
      <c r="C367" s="4" t="str">
        <f ca="1">IFERROR(__xludf.DUMMYFUNCTION("""COMPUTED_VALUE"""),"ATM")</f>
        <v>ATM</v>
      </c>
      <c r="D367" s="4" t="str">
        <f ca="1">IFERROR(__xludf.DUMMYFUNCTION("""COMPUTED_VALUE"""),"Out")</f>
        <v>Out</v>
      </c>
      <c r="E367" s="4" t="str">
        <f ca="1">IFERROR(__xludf.DUMMYFUNCTION("""COMPUTED_VALUE"""),"Fix")</f>
        <v>Fix</v>
      </c>
      <c r="F367" s="49">
        <f ca="1">IFERROR(__xludf.DUMMYFUNCTION("""COMPUTED_VALUE"""),624145)</f>
        <v>624145</v>
      </c>
      <c r="G367" s="50" t="str">
        <f ca="1">IFERROR(__xludf.DUMMYFUNCTION("""COMPUTED_VALUE"""),"Ibal")</f>
        <v>Ibal</v>
      </c>
      <c r="H367" s="51">
        <f t="shared" ca="1" si="0"/>
        <v>46266</v>
      </c>
      <c r="I367" s="52" t="e">
        <f ca="1">SUMIFS(OUT!$F$2:$F$11000,OUT!$H$2:$H$11000,H367,OUT!$D$2:$D$101007,"In")</f>
        <v>#VALUE!</v>
      </c>
      <c r="J367" s="52">
        <f ca="1">SUMIFS(OUT!$F$2:$F$11000,OUT!$H$2:$H$11000,H367,OUT!$D$2:$D$11000,"Out")</f>
        <v>7093111</v>
      </c>
      <c r="K367" s="52">
        <f ca="1">SUMIFS(OUT!$F$2:$F$11000,OUT!$H$2:$H$11000,H367,OUT!$D$2:$D$11000,"Out",OUT!$E$2:$E$11000,"Fix")</f>
        <v>2972118</v>
      </c>
      <c r="L367" s="52">
        <f ca="1">SUMIFS(OUT!$F$2:$F$11000,OUT!$H$2:$H$11000,H367,OUT!$D$2:$D$11000,"Out",OUT!$E$2:$E$11000,"Bathroom")</f>
        <v>0</v>
      </c>
      <c r="M367" s="52">
        <f ca="1">SUMIFS(OUT!$F$2:$F$11000,OUT!$H$2:$H$11000,H367,OUT!$D$2:$D$11000,"Out",OUT!$E$2:$E$11000,"Alfa")</f>
        <v>55000</v>
      </c>
      <c r="N367" s="52" t="e">
        <f ca="1">SUMIFS(OUT!$F$2:$F$11000,OUT!$H$2:$H$101007,H367,OUT!$D$2:$D$11000,"Out",OUT!$E$2:$E$11000,"Jajan")</f>
        <v>#VALUE!</v>
      </c>
      <c r="O367" s="52">
        <f ca="1">SUMIFS(OUT!$F$2:$F$11000,OUT!$H$2:$H$11000,H367,OUT!$D$2:$D$11000,"Out",OUT!$E$2:$E$11000,"Kitchen")</f>
        <v>820700</v>
      </c>
      <c r="P367" s="52">
        <f ca="1">SUMIFS(OUT!$F$2:$F$11000,OUT!$H$2:$H$11000,H367,OUT!$D$2:$D$11000,"Out",OUT!$E$2:$E$11000,"Loandry")</f>
        <v>0</v>
      </c>
      <c r="Q367" s="52">
        <f ca="1">SUMIFS(OUT!$F$2:$F$11000,OUT!$H$2:$H$11000,H367,OUT!$D$2:$D$11000,"Out",OUT!$E$2:$E$11000,"Mio")</f>
        <v>137000</v>
      </c>
      <c r="R367" s="52">
        <f ca="1">SUMIFS(OUT!$F$2:$F$11000,OUT!$H$2:$H$11000,H367,OUT!$D$2:$D$11000,"Out",OUT!$E$2:$E$11000,"Sedekah")</f>
        <v>0</v>
      </c>
      <c r="S367" s="52">
        <f ca="1">SUMIFS(OUT!$F$2:$F$11000,OUT!$H$2:$H$11000,H367,OUT!$D$2:$D$11000,"Out",OUT!$E$2:$E$11000,"Zela")</f>
        <v>46126</v>
      </c>
      <c r="T367" s="52">
        <f ca="1">SUMIFS(OUT!$F$2:$F$11000,OUT!$H$2:$H$11000,H367,OUT!$D$2:$D$11000,"Out",OUT!$E$2:$E$11000,"Iqbal")</f>
        <v>125000</v>
      </c>
    </row>
    <row r="368" spans="1:20" x14ac:dyDescent="0.2">
      <c r="A368" s="48">
        <f ca="1">IFERROR(__xludf.DUMMYFUNCTION("""COMPUTED_VALUE"""),46266)</f>
        <v>46266</v>
      </c>
      <c r="B368" s="4" t="str">
        <f ca="1">IFERROR(__xludf.DUMMYFUNCTION("""COMPUTED_VALUE"""),"Service Mio (4)")</f>
        <v>Service Mio (4)</v>
      </c>
      <c r="C368" s="4" t="str">
        <f ca="1">IFERROR(__xludf.DUMMYFUNCTION("""COMPUTED_VALUE"""),"ATM")</f>
        <v>ATM</v>
      </c>
      <c r="D368" s="4" t="str">
        <f ca="1">IFERROR(__xludf.DUMMYFUNCTION("""COMPUTED_VALUE"""),"Out")</f>
        <v>Out</v>
      </c>
      <c r="E368" s="4" t="str">
        <f ca="1">IFERROR(__xludf.DUMMYFUNCTION("""COMPUTED_VALUE"""),"Fix")</f>
        <v>Fix</v>
      </c>
      <c r="F368" s="49">
        <f ca="1">IFERROR(__xludf.DUMMYFUNCTION("""COMPUTED_VALUE"""),92333)</f>
        <v>92333</v>
      </c>
      <c r="G368" s="50" t="str">
        <f ca="1">IFERROR(__xludf.DUMMYFUNCTION("""COMPUTED_VALUE"""),"Ibal")</f>
        <v>Ibal</v>
      </c>
      <c r="H368" s="51">
        <f t="shared" ca="1" si="0"/>
        <v>46266</v>
      </c>
      <c r="I368" s="52" t="e">
        <f ca="1">SUMIFS(OUT!$F$2:$F$11000,OUT!$H$2:$H$11000,H368,OUT!$D$2:$D$101007,"In")</f>
        <v>#VALUE!</v>
      </c>
      <c r="J368" s="52">
        <f ca="1">SUMIFS(OUT!$F$2:$F$11000,OUT!$H$2:$H$11000,H368,OUT!$D$2:$D$11000,"Out")</f>
        <v>7093111</v>
      </c>
      <c r="K368" s="52">
        <f ca="1">SUMIFS(OUT!$F$2:$F$11000,OUT!$H$2:$H$11000,H368,OUT!$D$2:$D$11000,"Out",OUT!$E$2:$E$11000,"Fix")</f>
        <v>2972118</v>
      </c>
      <c r="L368" s="52">
        <f ca="1">SUMIFS(OUT!$F$2:$F$11000,OUT!$H$2:$H$11000,H368,OUT!$D$2:$D$11000,"Out",OUT!$E$2:$E$11000,"Bathroom")</f>
        <v>0</v>
      </c>
      <c r="M368" s="52">
        <f ca="1">SUMIFS(OUT!$F$2:$F$11000,OUT!$H$2:$H$11000,H368,OUT!$D$2:$D$11000,"Out",OUT!$E$2:$E$11000,"Alfa")</f>
        <v>55000</v>
      </c>
      <c r="N368" s="52" t="e">
        <f ca="1">SUMIFS(OUT!$F$2:$F$11000,OUT!$H$2:$H$101007,H368,OUT!$D$2:$D$11000,"Out",OUT!$E$2:$E$11000,"Jajan")</f>
        <v>#VALUE!</v>
      </c>
      <c r="O368" s="52">
        <f ca="1">SUMIFS(OUT!$F$2:$F$11000,OUT!$H$2:$H$11000,H368,OUT!$D$2:$D$11000,"Out",OUT!$E$2:$E$11000,"Kitchen")</f>
        <v>820700</v>
      </c>
      <c r="P368" s="52">
        <f ca="1">SUMIFS(OUT!$F$2:$F$11000,OUT!$H$2:$H$11000,H368,OUT!$D$2:$D$11000,"Out",OUT!$E$2:$E$11000,"Loandry")</f>
        <v>0</v>
      </c>
      <c r="Q368" s="52">
        <f ca="1">SUMIFS(OUT!$F$2:$F$11000,OUT!$H$2:$H$11000,H368,OUT!$D$2:$D$11000,"Out",OUT!$E$2:$E$11000,"Mio")</f>
        <v>137000</v>
      </c>
      <c r="R368" s="52">
        <f ca="1">SUMIFS(OUT!$F$2:$F$11000,OUT!$H$2:$H$11000,H368,OUT!$D$2:$D$11000,"Out",OUT!$E$2:$E$11000,"Sedekah")</f>
        <v>0</v>
      </c>
      <c r="S368" s="52">
        <f ca="1">SUMIFS(OUT!$F$2:$F$11000,OUT!$H$2:$H$11000,H368,OUT!$D$2:$D$11000,"Out",OUT!$E$2:$E$11000,"Zela")</f>
        <v>46126</v>
      </c>
      <c r="T368" s="52">
        <f ca="1">SUMIFS(OUT!$F$2:$F$11000,OUT!$H$2:$H$11000,H368,OUT!$D$2:$D$11000,"Out",OUT!$E$2:$E$11000,"Iqbal")</f>
        <v>125000</v>
      </c>
    </row>
    <row r="369" spans="1:20" x14ac:dyDescent="0.2">
      <c r="A369" s="48">
        <f ca="1">IFERROR(__xludf.DUMMYFUNCTION("""COMPUTED_VALUE"""),46266)</f>
        <v>46266</v>
      </c>
      <c r="B369" s="4" t="str">
        <f ca="1">IFERROR(__xludf.DUMMYFUNCTION("""COMPUTED_VALUE"""),"Token listrik (98 kWh)")</f>
        <v>Token listrik (98 kWh)</v>
      </c>
      <c r="C369" s="4" t="str">
        <f ca="1">IFERROR(__xludf.DUMMYFUNCTION("""COMPUTED_VALUE"""),"ATM")</f>
        <v>ATM</v>
      </c>
      <c r="D369" s="4" t="str">
        <f ca="1">IFERROR(__xludf.DUMMYFUNCTION("""COMPUTED_VALUE"""),"Out")</f>
        <v>Out</v>
      </c>
      <c r="E369" s="4" t="str">
        <f ca="1">IFERROR(__xludf.DUMMYFUNCTION("""COMPUTED_VALUE"""),"Fix")</f>
        <v>Fix</v>
      </c>
      <c r="F369" s="49">
        <f ca="1">IFERROR(__xludf.DUMMYFUNCTION("""COMPUTED_VALUE"""),151750)</f>
        <v>151750</v>
      </c>
      <c r="G369" s="50" t="str">
        <f ca="1">IFERROR(__xludf.DUMMYFUNCTION("""COMPUTED_VALUE"""),"Ibal")</f>
        <v>Ibal</v>
      </c>
      <c r="H369" s="51">
        <f t="shared" ca="1" si="0"/>
        <v>46266</v>
      </c>
      <c r="I369" s="52" t="e">
        <f ca="1">SUMIFS(OUT!$F$2:$F$11000,OUT!$H$2:$H$11000,H369,OUT!$D$2:$D$101007,"In")</f>
        <v>#VALUE!</v>
      </c>
      <c r="J369" s="52">
        <f ca="1">SUMIFS(OUT!$F$2:$F$11000,OUT!$H$2:$H$11000,H369,OUT!$D$2:$D$11000,"Out")</f>
        <v>7093111</v>
      </c>
      <c r="K369" s="52">
        <f ca="1">SUMIFS(OUT!$F$2:$F$11000,OUT!$H$2:$H$11000,H369,OUT!$D$2:$D$11000,"Out",OUT!$E$2:$E$11000,"Fix")</f>
        <v>2972118</v>
      </c>
      <c r="L369" s="52">
        <f ca="1">SUMIFS(OUT!$F$2:$F$11000,OUT!$H$2:$H$11000,H369,OUT!$D$2:$D$11000,"Out",OUT!$E$2:$E$11000,"Bathroom")</f>
        <v>0</v>
      </c>
      <c r="M369" s="52">
        <f ca="1">SUMIFS(OUT!$F$2:$F$11000,OUT!$H$2:$H$11000,H369,OUT!$D$2:$D$11000,"Out",OUT!$E$2:$E$11000,"Alfa")</f>
        <v>55000</v>
      </c>
      <c r="N369" s="52" t="e">
        <f ca="1">SUMIFS(OUT!$F$2:$F$11000,OUT!$H$2:$H$101007,H369,OUT!$D$2:$D$11000,"Out",OUT!$E$2:$E$11000,"Jajan")</f>
        <v>#VALUE!</v>
      </c>
      <c r="O369" s="52">
        <f ca="1">SUMIFS(OUT!$F$2:$F$11000,OUT!$H$2:$H$11000,H369,OUT!$D$2:$D$11000,"Out",OUT!$E$2:$E$11000,"Kitchen")</f>
        <v>820700</v>
      </c>
      <c r="P369" s="52">
        <f ca="1">SUMIFS(OUT!$F$2:$F$11000,OUT!$H$2:$H$11000,H369,OUT!$D$2:$D$11000,"Out",OUT!$E$2:$E$11000,"Loandry")</f>
        <v>0</v>
      </c>
      <c r="Q369" s="52">
        <f ca="1">SUMIFS(OUT!$F$2:$F$11000,OUT!$H$2:$H$11000,H369,OUT!$D$2:$D$11000,"Out",OUT!$E$2:$E$11000,"Mio")</f>
        <v>137000</v>
      </c>
      <c r="R369" s="52">
        <f ca="1">SUMIFS(OUT!$F$2:$F$11000,OUT!$H$2:$H$11000,H369,OUT!$D$2:$D$11000,"Out",OUT!$E$2:$E$11000,"Sedekah")</f>
        <v>0</v>
      </c>
      <c r="S369" s="52">
        <f ca="1">SUMIFS(OUT!$F$2:$F$11000,OUT!$H$2:$H$11000,H369,OUT!$D$2:$D$11000,"Out",OUT!$E$2:$E$11000,"Zela")</f>
        <v>46126</v>
      </c>
      <c r="T369" s="52">
        <f ca="1">SUMIFS(OUT!$F$2:$F$11000,OUT!$H$2:$H$11000,H369,OUT!$D$2:$D$11000,"Out",OUT!$E$2:$E$11000,"Iqbal")</f>
        <v>125000</v>
      </c>
    </row>
    <row r="370" spans="1:20" x14ac:dyDescent="0.2">
      <c r="A370" s="48">
        <f ca="1">IFERROR(__xludf.DUMMYFUNCTION("""COMPUTED_VALUE"""),46268)</f>
        <v>46268</v>
      </c>
      <c r="B370" s="4" t="str">
        <f ca="1">IFERROR(__xludf.DUMMYFUNCTION("""COMPUTED_VALUE"""),"Istriku")</f>
        <v>Istriku</v>
      </c>
      <c r="C370" s="4" t="str">
        <f ca="1">IFERROR(__xludf.DUMMYFUNCTION("""COMPUTED_VALUE"""),"ATM")</f>
        <v>ATM</v>
      </c>
      <c r="D370" s="4" t="str">
        <f ca="1">IFERROR(__xludf.DUMMYFUNCTION("""COMPUTED_VALUE"""),"In")</f>
        <v>In</v>
      </c>
      <c r="E370" s="4" t="str">
        <f ca="1">IFERROR(__xludf.DUMMYFUNCTION("""COMPUTED_VALUE"""),"Move")</f>
        <v>Move</v>
      </c>
      <c r="F370" s="49">
        <f ca="1">IFERROR(__xludf.DUMMYFUNCTION("""COMPUTED_VALUE"""),100000)</f>
        <v>100000</v>
      </c>
      <c r="G370" s="50" t="str">
        <f ca="1">IFERROR(__xludf.DUMMYFUNCTION("""COMPUTED_VALUE"""),"Ibal")</f>
        <v>Ibal</v>
      </c>
      <c r="H370" s="51">
        <f t="shared" ca="1" si="0"/>
        <v>46266</v>
      </c>
      <c r="I370" s="52" t="e">
        <f ca="1">SUMIFS(OUT!$F$2:$F$11000,OUT!$H$2:$H$11000,H370,OUT!$D$2:$D$101007,"In")</f>
        <v>#VALUE!</v>
      </c>
      <c r="J370" s="52">
        <f ca="1">SUMIFS(OUT!$F$2:$F$11000,OUT!$H$2:$H$11000,H370,OUT!$D$2:$D$11000,"Out")</f>
        <v>7093111</v>
      </c>
      <c r="K370" s="52">
        <f ca="1">SUMIFS(OUT!$F$2:$F$11000,OUT!$H$2:$H$11000,H370,OUT!$D$2:$D$11000,"Out",OUT!$E$2:$E$11000,"Fix")</f>
        <v>2972118</v>
      </c>
      <c r="L370" s="52">
        <f ca="1">SUMIFS(OUT!$F$2:$F$11000,OUT!$H$2:$H$11000,H370,OUT!$D$2:$D$11000,"Out",OUT!$E$2:$E$11000,"Bathroom")</f>
        <v>0</v>
      </c>
      <c r="M370" s="52">
        <f ca="1">SUMIFS(OUT!$F$2:$F$11000,OUT!$H$2:$H$11000,H370,OUT!$D$2:$D$11000,"Out",OUT!$E$2:$E$11000,"Alfa")</f>
        <v>55000</v>
      </c>
      <c r="N370" s="52" t="e">
        <f ca="1">SUMIFS(OUT!$F$2:$F$11000,OUT!$H$2:$H$101007,H370,OUT!$D$2:$D$11000,"Out",OUT!$E$2:$E$11000,"Jajan")</f>
        <v>#VALUE!</v>
      </c>
      <c r="O370" s="52">
        <f ca="1">SUMIFS(OUT!$F$2:$F$11000,OUT!$H$2:$H$11000,H370,OUT!$D$2:$D$11000,"Out",OUT!$E$2:$E$11000,"Kitchen")</f>
        <v>820700</v>
      </c>
      <c r="P370" s="52">
        <f ca="1">SUMIFS(OUT!$F$2:$F$11000,OUT!$H$2:$H$11000,H370,OUT!$D$2:$D$11000,"Out",OUT!$E$2:$E$11000,"Loandry")</f>
        <v>0</v>
      </c>
      <c r="Q370" s="52">
        <f ca="1">SUMIFS(OUT!$F$2:$F$11000,OUT!$H$2:$H$11000,H370,OUT!$D$2:$D$11000,"Out",OUT!$E$2:$E$11000,"Mio")</f>
        <v>137000</v>
      </c>
      <c r="R370" s="52">
        <f ca="1">SUMIFS(OUT!$F$2:$F$11000,OUT!$H$2:$H$11000,H370,OUT!$D$2:$D$11000,"Out",OUT!$E$2:$E$11000,"Sedekah")</f>
        <v>0</v>
      </c>
      <c r="S370" s="52">
        <f ca="1">SUMIFS(OUT!$F$2:$F$11000,OUT!$H$2:$H$11000,H370,OUT!$D$2:$D$11000,"Out",OUT!$E$2:$E$11000,"Zela")</f>
        <v>46126</v>
      </c>
      <c r="T370" s="52">
        <f ca="1">SUMIFS(OUT!$F$2:$F$11000,OUT!$H$2:$H$11000,H370,OUT!$D$2:$D$11000,"Out",OUT!$E$2:$E$11000,"Iqbal")</f>
        <v>125000</v>
      </c>
    </row>
    <row r="371" spans="1:20" x14ac:dyDescent="0.2">
      <c r="A371" s="48">
        <f ca="1">IFERROR(__xludf.DUMMYFUNCTION("""COMPUTED_VALUE"""),46268)</f>
        <v>46268</v>
      </c>
      <c r="B371" s="4" t="str">
        <f ca="1">IFERROR(__xludf.DUMMYFUNCTION("""COMPUTED_VALUE"""),"Oli Mesin (Yamalube Kuning) 5284 KM")</f>
        <v>Oli Mesin (Yamalube Kuning) 5284 KM</v>
      </c>
      <c r="C371" s="4" t="str">
        <f ca="1">IFERROR(__xludf.DUMMYFUNCTION("""COMPUTED_VALUE"""),"ATM")</f>
        <v>ATM</v>
      </c>
      <c r="D371" s="4" t="str">
        <f ca="1">IFERROR(__xludf.DUMMYFUNCTION("""COMPUTED_VALUE"""),"Out")</f>
        <v>Out</v>
      </c>
      <c r="E371" s="4" t="str">
        <f ca="1">IFERROR(__xludf.DUMMYFUNCTION("""COMPUTED_VALUE"""),"Mio")</f>
        <v>Mio</v>
      </c>
      <c r="F371" s="49">
        <f ca="1">IFERROR(__xludf.DUMMYFUNCTION("""COMPUTED_VALUE"""),65000)</f>
        <v>65000</v>
      </c>
      <c r="G371" s="50" t="str">
        <f ca="1">IFERROR(__xludf.DUMMYFUNCTION("""COMPUTED_VALUE"""),"Ibal")</f>
        <v>Ibal</v>
      </c>
      <c r="H371" s="51">
        <f t="shared" ca="1" si="0"/>
        <v>46266</v>
      </c>
      <c r="I371" s="52" t="e">
        <f ca="1">SUMIFS(OUT!$F$2:$F$11000,OUT!$H$2:$H$11000,H371,OUT!$D$2:$D$101007,"In")</f>
        <v>#VALUE!</v>
      </c>
      <c r="J371" s="52">
        <f ca="1">SUMIFS(OUT!$F$2:$F$11000,OUT!$H$2:$H$11000,H371,OUT!$D$2:$D$11000,"Out")</f>
        <v>7093111</v>
      </c>
      <c r="K371" s="52">
        <f ca="1">SUMIFS(OUT!$F$2:$F$11000,OUT!$H$2:$H$11000,H371,OUT!$D$2:$D$11000,"Out",OUT!$E$2:$E$11000,"Fix")</f>
        <v>2972118</v>
      </c>
      <c r="L371" s="52">
        <f ca="1">SUMIFS(OUT!$F$2:$F$11000,OUT!$H$2:$H$11000,H371,OUT!$D$2:$D$11000,"Out",OUT!$E$2:$E$11000,"Bathroom")</f>
        <v>0</v>
      </c>
      <c r="M371" s="52">
        <f ca="1">SUMIFS(OUT!$F$2:$F$11000,OUT!$H$2:$H$11000,H371,OUT!$D$2:$D$11000,"Out",OUT!$E$2:$E$11000,"Alfa")</f>
        <v>55000</v>
      </c>
      <c r="N371" s="52" t="e">
        <f ca="1">SUMIFS(OUT!$F$2:$F$11000,OUT!$H$2:$H$101007,H371,OUT!$D$2:$D$11000,"Out",OUT!$E$2:$E$11000,"Jajan")</f>
        <v>#VALUE!</v>
      </c>
      <c r="O371" s="52">
        <f ca="1">SUMIFS(OUT!$F$2:$F$11000,OUT!$H$2:$H$11000,H371,OUT!$D$2:$D$11000,"Out",OUT!$E$2:$E$11000,"Kitchen")</f>
        <v>820700</v>
      </c>
      <c r="P371" s="52">
        <f ca="1">SUMIFS(OUT!$F$2:$F$11000,OUT!$H$2:$H$11000,H371,OUT!$D$2:$D$11000,"Out",OUT!$E$2:$E$11000,"Loandry")</f>
        <v>0</v>
      </c>
      <c r="Q371" s="52">
        <f ca="1">SUMIFS(OUT!$F$2:$F$11000,OUT!$H$2:$H$11000,H371,OUT!$D$2:$D$11000,"Out",OUT!$E$2:$E$11000,"Mio")</f>
        <v>137000</v>
      </c>
      <c r="R371" s="52">
        <f ca="1">SUMIFS(OUT!$F$2:$F$11000,OUT!$H$2:$H$11000,H371,OUT!$D$2:$D$11000,"Out",OUT!$E$2:$E$11000,"Sedekah")</f>
        <v>0</v>
      </c>
      <c r="S371" s="52">
        <f ca="1">SUMIFS(OUT!$F$2:$F$11000,OUT!$H$2:$H$11000,H371,OUT!$D$2:$D$11000,"Out",OUT!$E$2:$E$11000,"Zela")</f>
        <v>46126</v>
      </c>
      <c r="T371" s="52">
        <f ca="1">SUMIFS(OUT!$F$2:$F$11000,OUT!$H$2:$H$11000,H371,OUT!$D$2:$D$11000,"Out",OUT!$E$2:$E$11000,"Iqbal")</f>
        <v>125000</v>
      </c>
    </row>
    <row r="372" spans="1:20" x14ac:dyDescent="0.2">
      <c r="A372" s="48">
        <f ca="1">IFERROR(__xludf.DUMMYFUNCTION("""COMPUTED_VALUE"""),46268)</f>
        <v>46268</v>
      </c>
      <c r="B372" s="4" t="str">
        <f ca="1">IFERROR(__xludf.DUMMYFUNCTION("""COMPUTED_VALUE"""),"Bakso bakar")</f>
        <v>Bakso bakar</v>
      </c>
      <c r="C372" s="4" t="str">
        <f ca="1">IFERROR(__xludf.DUMMYFUNCTION("""COMPUTED_VALUE"""),"ATM")</f>
        <v>ATM</v>
      </c>
      <c r="D372" s="4" t="str">
        <f ca="1">IFERROR(__xludf.DUMMYFUNCTION("""COMPUTED_VALUE"""),"Out")</f>
        <v>Out</v>
      </c>
      <c r="E372" s="4" t="str">
        <f ca="1">IFERROR(__xludf.DUMMYFUNCTION("""COMPUTED_VALUE"""),"Jajan")</f>
        <v>Jajan</v>
      </c>
      <c r="F372" s="49">
        <f ca="1">IFERROR(__xludf.DUMMYFUNCTION("""COMPUTED_VALUE"""),15000)</f>
        <v>15000</v>
      </c>
      <c r="G372" s="50" t="str">
        <f ca="1">IFERROR(__xludf.DUMMYFUNCTION("""COMPUTED_VALUE"""),"Ibal")</f>
        <v>Ibal</v>
      </c>
      <c r="H372" s="51">
        <f t="shared" ca="1" si="0"/>
        <v>46266</v>
      </c>
      <c r="I372" s="52" t="e">
        <f ca="1">SUMIFS(OUT!$F$2:$F$11000,OUT!$H$2:$H$11000,H372,OUT!$D$2:$D$101007,"In")</f>
        <v>#VALUE!</v>
      </c>
      <c r="J372" s="52">
        <f ca="1">SUMIFS(OUT!$F$2:$F$11000,OUT!$H$2:$H$11000,H372,OUT!$D$2:$D$11000,"Out")</f>
        <v>7093111</v>
      </c>
      <c r="K372" s="52">
        <f ca="1">SUMIFS(OUT!$F$2:$F$11000,OUT!$H$2:$H$11000,H372,OUT!$D$2:$D$11000,"Out",OUT!$E$2:$E$11000,"Fix")</f>
        <v>2972118</v>
      </c>
      <c r="L372" s="52">
        <f ca="1">SUMIFS(OUT!$F$2:$F$11000,OUT!$H$2:$H$11000,H372,OUT!$D$2:$D$11000,"Out",OUT!$E$2:$E$11000,"Bathroom")</f>
        <v>0</v>
      </c>
      <c r="M372" s="52">
        <f ca="1">SUMIFS(OUT!$F$2:$F$11000,OUT!$H$2:$H$11000,H372,OUT!$D$2:$D$11000,"Out",OUT!$E$2:$E$11000,"Alfa")</f>
        <v>55000</v>
      </c>
      <c r="N372" s="52" t="e">
        <f ca="1">SUMIFS(OUT!$F$2:$F$11000,OUT!$H$2:$H$101007,H372,OUT!$D$2:$D$11000,"Out",OUT!$E$2:$E$11000,"Jajan")</f>
        <v>#VALUE!</v>
      </c>
      <c r="O372" s="52">
        <f ca="1">SUMIFS(OUT!$F$2:$F$11000,OUT!$H$2:$H$11000,H372,OUT!$D$2:$D$11000,"Out",OUT!$E$2:$E$11000,"Kitchen")</f>
        <v>820700</v>
      </c>
      <c r="P372" s="52">
        <f ca="1">SUMIFS(OUT!$F$2:$F$11000,OUT!$H$2:$H$11000,H372,OUT!$D$2:$D$11000,"Out",OUT!$E$2:$E$11000,"Loandry")</f>
        <v>0</v>
      </c>
      <c r="Q372" s="52">
        <f ca="1">SUMIFS(OUT!$F$2:$F$11000,OUT!$H$2:$H$11000,H372,OUT!$D$2:$D$11000,"Out",OUT!$E$2:$E$11000,"Mio")</f>
        <v>137000</v>
      </c>
      <c r="R372" s="52">
        <f ca="1">SUMIFS(OUT!$F$2:$F$11000,OUT!$H$2:$H$11000,H372,OUT!$D$2:$D$11000,"Out",OUT!$E$2:$E$11000,"Sedekah")</f>
        <v>0</v>
      </c>
      <c r="S372" s="52">
        <f ca="1">SUMIFS(OUT!$F$2:$F$11000,OUT!$H$2:$H$11000,H372,OUT!$D$2:$D$11000,"Out",OUT!$E$2:$E$11000,"Zela")</f>
        <v>46126</v>
      </c>
      <c r="T372" s="52">
        <f ca="1">SUMIFS(OUT!$F$2:$F$11000,OUT!$H$2:$H$11000,H372,OUT!$D$2:$D$11000,"Out",OUT!$E$2:$E$11000,"Iqbal")</f>
        <v>125000</v>
      </c>
    </row>
    <row r="373" spans="1:20" x14ac:dyDescent="0.2">
      <c r="A373" s="48">
        <f ca="1">IFERROR(__xludf.DUMMYFUNCTION("""COMPUTED_VALUE"""),46268)</f>
        <v>46268</v>
      </c>
      <c r="B373" s="4" t="str">
        <f ca="1">IFERROR(__xludf.DUMMYFUNCTION("""COMPUTED_VALUE"""),"Ayam Dkriuk")</f>
        <v>Ayam Dkriuk</v>
      </c>
      <c r="C373" s="4" t="str">
        <f ca="1">IFERROR(__xludf.DUMMYFUNCTION("""COMPUTED_VALUE"""),"ATM")</f>
        <v>ATM</v>
      </c>
      <c r="D373" s="4" t="str">
        <f ca="1">IFERROR(__xludf.DUMMYFUNCTION("""COMPUTED_VALUE"""),"Out")</f>
        <v>Out</v>
      </c>
      <c r="E373" s="4" t="str">
        <f ca="1">IFERROR(__xludf.DUMMYFUNCTION("""COMPUTED_VALUE"""),"Kitchen")</f>
        <v>Kitchen</v>
      </c>
      <c r="F373" s="49">
        <f ca="1">IFERROR(__xludf.DUMMYFUNCTION("""COMPUTED_VALUE"""),24000)</f>
        <v>24000</v>
      </c>
      <c r="G373" s="50" t="str">
        <f ca="1">IFERROR(__xludf.DUMMYFUNCTION("""COMPUTED_VALUE"""),"Ibal")</f>
        <v>Ibal</v>
      </c>
      <c r="H373" s="51">
        <f t="shared" ca="1" si="0"/>
        <v>46266</v>
      </c>
      <c r="I373" s="52" t="e">
        <f ca="1">SUMIFS(OUT!$F$2:$F$11000,OUT!$H$2:$H$11000,H373,OUT!$D$2:$D$101007,"In")</f>
        <v>#VALUE!</v>
      </c>
      <c r="J373" s="52">
        <f ca="1">SUMIFS(OUT!$F$2:$F$11000,OUT!$H$2:$H$11000,H373,OUT!$D$2:$D$11000,"Out")</f>
        <v>7093111</v>
      </c>
      <c r="K373" s="52">
        <f ca="1">SUMIFS(OUT!$F$2:$F$11000,OUT!$H$2:$H$11000,H373,OUT!$D$2:$D$11000,"Out",OUT!$E$2:$E$11000,"Fix")</f>
        <v>2972118</v>
      </c>
      <c r="L373" s="52">
        <f ca="1">SUMIFS(OUT!$F$2:$F$11000,OUT!$H$2:$H$11000,H373,OUT!$D$2:$D$11000,"Out",OUT!$E$2:$E$11000,"Bathroom")</f>
        <v>0</v>
      </c>
      <c r="M373" s="52">
        <f ca="1">SUMIFS(OUT!$F$2:$F$11000,OUT!$H$2:$H$11000,H373,OUT!$D$2:$D$11000,"Out",OUT!$E$2:$E$11000,"Alfa")</f>
        <v>55000</v>
      </c>
      <c r="N373" s="52" t="e">
        <f ca="1">SUMIFS(OUT!$F$2:$F$11000,OUT!$H$2:$H$101007,H373,OUT!$D$2:$D$11000,"Out",OUT!$E$2:$E$11000,"Jajan")</f>
        <v>#VALUE!</v>
      </c>
      <c r="O373" s="52">
        <f ca="1">SUMIFS(OUT!$F$2:$F$11000,OUT!$H$2:$H$11000,H373,OUT!$D$2:$D$11000,"Out",OUT!$E$2:$E$11000,"Kitchen")</f>
        <v>820700</v>
      </c>
      <c r="P373" s="52">
        <f ca="1">SUMIFS(OUT!$F$2:$F$11000,OUT!$H$2:$H$11000,H373,OUT!$D$2:$D$11000,"Out",OUT!$E$2:$E$11000,"Loandry")</f>
        <v>0</v>
      </c>
      <c r="Q373" s="52">
        <f ca="1">SUMIFS(OUT!$F$2:$F$11000,OUT!$H$2:$H$11000,H373,OUT!$D$2:$D$11000,"Out",OUT!$E$2:$E$11000,"Mio")</f>
        <v>137000</v>
      </c>
      <c r="R373" s="52">
        <f ca="1">SUMIFS(OUT!$F$2:$F$11000,OUT!$H$2:$H$11000,H373,OUT!$D$2:$D$11000,"Out",OUT!$E$2:$E$11000,"Sedekah")</f>
        <v>0</v>
      </c>
      <c r="S373" s="52">
        <f ca="1">SUMIFS(OUT!$F$2:$F$11000,OUT!$H$2:$H$11000,H373,OUT!$D$2:$D$11000,"Out",OUT!$E$2:$E$11000,"Zela")</f>
        <v>46126</v>
      </c>
      <c r="T373" s="52">
        <f ca="1">SUMIFS(OUT!$F$2:$F$11000,OUT!$H$2:$H$11000,H373,OUT!$D$2:$D$11000,"Out",OUT!$E$2:$E$11000,"Iqbal")</f>
        <v>125000</v>
      </c>
    </row>
    <row r="374" spans="1:20" x14ac:dyDescent="0.2">
      <c r="A374" s="48">
        <f ca="1">IFERROR(__xludf.DUMMYFUNCTION("""COMPUTED_VALUE"""),46269)</f>
        <v>46269</v>
      </c>
      <c r="B374" s="4" t="str">
        <f ca="1">IFERROR(__xludf.DUMMYFUNCTION("""COMPUTED_VALUE"""),"Istriku")</f>
        <v>Istriku</v>
      </c>
      <c r="C374" s="4" t="str">
        <f ca="1">IFERROR(__xludf.DUMMYFUNCTION("""COMPUTED_VALUE"""),"ATM")</f>
        <v>ATM</v>
      </c>
      <c r="D374" s="4" t="str">
        <f ca="1">IFERROR(__xludf.DUMMYFUNCTION("""COMPUTED_VALUE"""),"In")</f>
        <v>In</v>
      </c>
      <c r="E374" s="4" t="str">
        <f ca="1">IFERROR(__xludf.DUMMYFUNCTION("""COMPUTED_VALUE"""),"Move")</f>
        <v>Move</v>
      </c>
      <c r="F374" s="49">
        <f ca="1">IFERROR(__xludf.DUMMYFUNCTION("""COMPUTED_VALUE"""),10000)</f>
        <v>10000</v>
      </c>
      <c r="G374" s="50" t="str">
        <f ca="1">IFERROR(__xludf.DUMMYFUNCTION("""COMPUTED_VALUE"""),"Ibal")</f>
        <v>Ibal</v>
      </c>
      <c r="H374" s="51">
        <f t="shared" ca="1" si="0"/>
        <v>46266</v>
      </c>
      <c r="I374" s="52" t="e">
        <f ca="1">SUMIFS(OUT!$F$2:$F$11000,OUT!$H$2:$H$11000,H374,OUT!$D$2:$D$101007,"In")</f>
        <v>#VALUE!</v>
      </c>
      <c r="J374" s="52">
        <f ca="1">SUMIFS(OUT!$F$2:$F$11000,OUT!$H$2:$H$11000,H374,OUT!$D$2:$D$11000,"Out")</f>
        <v>7093111</v>
      </c>
      <c r="K374" s="52">
        <f ca="1">SUMIFS(OUT!$F$2:$F$11000,OUT!$H$2:$H$11000,H374,OUT!$D$2:$D$11000,"Out",OUT!$E$2:$E$11000,"Fix")</f>
        <v>2972118</v>
      </c>
      <c r="L374" s="52">
        <f ca="1">SUMIFS(OUT!$F$2:$F$11000,OUT!$H$2:$H$11000,H374,OUT!$D$2:$D$11000,"Out",OUT!$E$2:$E$11000,"Bathroom")</f>
        <v>0</v>
      </c>
      <c r="M374" s="52">
        <f ca="1">SUMIFS(OUT!$F$2:$F$11000,OUT!$H$2:$H$11000,H374,OUT!$D$2:$D$11000,"Out",OUT!$E$2:$E$11000,"Alfa")</f>
        <v>55000</v>
      </c>
      <c r="N374" s="52" t="e">
        <f ca="1">SUMIFS(OUT!$F$2:$F$11000,OUT!$H$2:$H$101007,H374,OUT!$D$2:$D$11000,"Out",OUT!$E$2:$E$11000,"Jajan")</f>
        <v>#VALUE!</v>
      </c>
      <c r="O374" s="52">
        <f ca="1">SUMIFS(OUT!$F$2:$F$11000,OUT!$H$2:$H$11000,H374,OUT!$D$2:$D$11000,"Out",OUT!$E$2:$E$11000,"Kitchen")</f>
        <v>820700</v>
      </c>
      <c r="P374" s="52">
        <f ca="1">SUMIFS(OUT!$F$2:$F$11000,OUT!$H$2:$H$11000,H374,OUT!$D$2:$D$11000,"Out",OUT!$E$2:$E$11000,"Loandry")</f>
        <v>0</v>
      </c>
      <c r="Q374" s="52">
        <f ca="1">SUMIFS(OUT!$F$2:$F$11000,OUT!$H$2:$H$11000,H374,OUT!$D$2:$D$11000,"Out",OUT!$E$2:$E$11000,"Mio")</f>
        <v>137000</v>
      </c>
      <c r="R374" s="52">
        <f ca="1">SUMIFS(OUT!$F$2:$F$11000,OUT!$H$2:$H$11000,H374,OUT!$D$2:$D$11000,"Out",OUT!$E$2:$E$11000,"Sedekah")</f>
        <v>0</v>
      </c>
      <c r="S374" s="52">
        <f ca="1">SUMIFS(OUT!$F$2:$F$11000,OUT!$H$2:$H$11000,H374,OUT!$D$2:$D$11000,"Out",OUT!$E$2:$E$11000,"Zela")</f>
        <v>46126</v>
      </c>
      <c r="T374" s="52">
        <f ca="1">SUMIFS(OUT!$F$2:$F$11000,OUT!$H$2:$H$11000,H374,OUT!$D$2:$D$11000,"Out",OUT!$E$2:$E$11000,"Iqbal")</f>
        <v>125000</v>
      </c>
    </row>
    <row r="375" spans="1:20" x14ac:dyDescent="0.2">
      <c r="A375" s="48">
        <f ca="1">IFERROR(__xludf.DUMMYFUNCTION("""COMPUTED_VALUE"""),46269)</f>
        <v>46269</v>
      </c>
      <c r="B375" s="4" t="str">
        <f ca="1">IFERROR(__xludf.DUMMYFUNCTION("""COMPUTED_VALUE"""),"Rokok (2)")</f>
        <v>Rokok (2)</v>
      </c>
      <c r="C375" s="4" t="str">
        <f ca="1">IFERROR(__xludf.DUMMYFUNCTION("""COMPUTED_VALUE"""),"ATM")</f>
        <v>ATM</v>
      </c>
      <c r="D375" s="4" t="str">
        <f ca="1">IFERROR(__xludf.DUMMYFUNCTION("""COMPUTED_VALUE"""),"Out")</f>
        <v>Out</v>
      </c>
      <c r="E375" s="4" t="str">
        <f ca="1">IFERROR(__xludf.DUMMYFUNCTION("""COMPUTED_VALUE"""),"Iqbal")</f>
        <v>Iqbal</v>
      </c>
      <c r="F375" s="49">
        <f ca="1">IFERROR(__xludf.DUMMYFUNCTION("""COMPUTED_VALUE"""),17000)</f>
        <v>17000</v>
      </c>
      <c r="G375" s="50" t="str">
        <f ca="1">IFERROR(__xludf.DUMMYFUNCTION("""COMPUTED_VALUE"""),"Ibal")</f>
        <v>Ibal</v>
      </c>
      <c r="H375" s="51">
        <f t="shared" ca="1" si="0"/>
        <v>46266</v>
      </c>
      <c r="I375" s="52" t="e">
        <f ca="1">SUMIFS(OUT!$F$2:$F$11000,OUT!$H$2:$H$11000,H375,OUT!$D$2:$D$101007,"In")</f>
        <v>#VALUE!</v>
      </c>
      <c r="J375" s="52">
        <f ca="1">SUMIFS(OUT!$F$2:$F$11000,OUT!$H$2:$H$11000,H375,OUT!$D$2:$D$11000,"Out")</f>
        <v>7093111</v>
      </c>
      <c r="K375" s="52">
        <f ca="1">SUMIFS(OUT!$F$2:$F$11000,OUT!$H$2:$H$11000,H375,OUT!$D$2:$D$11000,"Out",OUT!$E$2:$E$11000,"Fix")</f>
        <v>2972118</v>
      </c>
      <c r="L375" s="52">
        <f ca="1">SUMIFS(OUT!$F$2:$F$11000,OUT!$H$2:$H$11000,H375,OUT!$D$2:$D$11000,"Out",OUT!$E$2:$E$11000,"Bathroom")</f>
        <v>0</v>
      </c>
      <c r="M375" s="52">
        <f ca="1">SUMIFS(OUT!$F$2:$F$11000,OUT!$H$2:$H$11000,H375,OUT!$D$2:$D$11000,"Out",OUT!$E$2:$E$11000,"Alfa")</f>
        <v>55000</v>
      </c>
      <c r="N375" s="52" t="e">
        <f ca="1">SUMIFS(OUT!$F$2:$F$11000,OUT!$H$2:$H$101007,H375,OUT!$D$2:$D$11000,"Out",OUT!$E$2:$E$11000,"Jajan")</f>
        <v>#VALUE!</v>
      </c>
      <c r="O375" s="52">
        <f ca="1">SUMIFS(OUT!$F$2:$F$11000,OUT!$H$2:$H$11000,H375,OUT!$D$2:$D$11000,"Out",OUT!$E$2:$E$11000,"Kitchen")</f>
        <v>820700</v>
      </c>
      <c r="P375" s="52">
        <f ca="1">SUMIFS(OUT!$F$2:$F$11000,OUT!$H$2:$H$11000,H375,OUT!$D$2:$D$11000,"Out",OUT!$E$2:$E$11000,"Loandry")</f>
        <v>0</v>
      </c>
      <c r="Q375" s="52">
        <f ca="1">SUMIFS(OUT!$F$2:$F$11000,OUT!$H$2:$H$11000,H375,OUT!$D$2:$D$11000,"Out",OUT!$E$2:$E$11000,"Mio")</f>
        <v>137000</v>
      </c>
      <c r="R375" s="52">
        <f ca="1">SUMIFS(OUT!$F$2:$F$11000,OUT!$H$2:$H$11000,H375,OUT!$D$2:$D$11000,"Out",OUT!$E$2:$E$11000,"Sedekah")</f>
        <v>0</v>
      </c>
      <c r="S375" s="52">
        <f ca="1">SUMIFS(OUT!$F$2:$F$11000,OUT!$H$2:$H$11000,H375,OUT!$D$2:$D$11000,"Out",OUT!$E$2:$E$11000,"Zela")</f>
        <v>46126</v>
      </c>
      <c r="T375" s="52">
        <f ca="1">SUMIFS(OUT!$F$2:$F$11000,OUT!$H$2:$H$11000,H375,OUT!$D$2:$D$11000,"Out",OUT!$E$2:$E$11000,"Iqbal")</f>
        <v>125000</v>
      </c>
    </row>
    <row r="376" spans="1:20" x14ac:dyDescent="0.2">
      <c r="A376" s="48">
        <f ca="1">IFERROR(__xludf.DUMMYFUNCTION("""COMPUTED_VALUE"""),46269)</f>
        <v>46269</v>
      </c>
      <c r="B376" s="4" t="str">
        <f ca="1">IFERROR(__xludf.DUMMYFUNCTION("""COMPUTED_VALUE"""),"MyRepublic (6)")</f>
        <v>MyRepublic (6)</v>
      </c>
      <c r="C376" s="4" t="str">
        <f ca="1">IFERROR(__xludf.DUMMYFUNCTION("""COMPUTED_VALUE"""),"ATM")</f>
        <v>ATM</v>
      </c>
      <c r="D376" s="4" t="str">
        <f ca="1">IFERROR(__xludf.DUMMYFUNCTION("""COMPUTED_VALUE"""),"Out")</f>
        <v>Out</v>
      </c>
      <c r="E376" s="4" t="str">
        <f ca="1">IFERROR(__xludf.DUMMYFUNCTION("""COMPUTED_VALUE"""),"Fix")</f>
        <v>Fix</v>
      </c>
      <c r="F376" s="49">
        <f ca="1">IFERROR(__xludf.DUMMYFUNCTION("""COMPUTED_VALUE"""),233100)</f>
        <v>233100</v>
      </c>
      <c r="G376" s="50" t="str">
        <f ca="1">IFERROR(__xludf.DUMMYFUNCTION("""COMPUTED_VALUE"""),"Ibal")</f>
        <v>Ibal</v>
      </c>
      <c r="H376" s="51">
        <f t="shared" ca="1" si="0"/>
        <v>46266</v>
      </c>
      <c r="I376" s="52" t="e">
        <f ca="1">SUMIFS(OUT!$F$2:$F$11000,OUT!$H$2:$H$11000,H376,OUT!$D$2:$D$101007,"In")</f>
        <v>#VALUE!</v>
      </c>
      <c r="J376" s="52">
        <f ca="1">SUMIFS(OUT!$F$2:$F$11000,OUT!$H$2:$H$11000,H376,OUT!$D$2:$D$11000,"Out")</f>
        <v>7093111</v>
      </c>
      <c r="K376" s="52">
        <f ca="1">SUMIFS(OUT!$F$2:$F$11000,OUT!$H$2:$H$11000,H376,OUT!$D$2:$D$11000,"Out",OUT!$E$2:$E$11000,"Fix")</f>
        <v>2972118</v>
      </c>
      <c r="L376" s="52">
        <f ca="1">SUMIFS(OUT!$F$2:$F$11000,OUT!$H$2:$H$11000,H376,OUT!$D$2:$D$11000,"Out",OUT!$E$2:$E$11000,"Bathroom")</f>
        <v>0</v>
      </c>
      <c r="M376" s="52">
        <f ca="1">SUMIFS(OUT!$F$2:$F$11000,OUT!$H$2:$H$11000,H376,OUT!$D$2:$D$11000,"Out",OUT!$E$2:$E$11000,"Alfa")</f>
        <v>55000</v>
      </c>
      <c r="N376" s="52" t="e">
        <f ca="1">SUMIFS(OUT!$F$2:$F$11000,OUT!$H$2:$H$101007,H376,OUT!$D$2:$D$11000,"Out",OUT!$E$2:$E$11000,"Jajan")</f>
        <v>#VALUE!</v>
      </c>
      <c r="O376" s="52">
        <f ca="1">SUMIFS(OUT!$F$2:$F$11000,OUT!$H$2:$H$11000,H376,OUT!$D$2:$D$11000,"Out",OUT!$E$2:$E$11000,"Kitchen")</f>
        <v>820700</v>
      </c>
      <c r="P376" s="52">
        <f ca="1">SUMIFS(OUT!$F$2:$F$11000,OUT!$H$2:$H$11000,H376,OUT!$D$2:$D$11000,"Out",OUT!$E$2:$E$11000,"Loandry")</f>
        <v>0</v>
      </c>
      <c r="Q376" s="52">
        <f ca="1">SUMIFS(OUT!$F$2:$F$11000,OUT!$H$2:$H$11000,H376,OUT!$D$2:$D$11000,"Out",OUT!$E$2:$E$11000,"Mio")</f>
        <v>137000</v>
      </c>
      <c r="R376" s="52">
        <f ca="1">SUMIFS(OUT!$F$2:$F$11000,OUT!$H$2:$H$11000,H376,OUT!$D$2:$D$11000,"Out",OUT!$E$2:$E$11000,"Sedekah")</f>
        <v>0</v>
      </c>
      <c r="S376" s="52">
        <f ca="1">SUMIFS(OUT!$F$2:$F$11000,OUT!$H$2:$H$11000,H376,OUT!$D$2:$D$11000,"Out",OUT!$E$2:$E$11000,"Zela")</f>
        <v>46126</v>
      </c>
      <c r="T376" s="52">
        <f ca="1">SUMIFS(OUT!$F$2:$F$11000,OUT!$H$2:$H$11000,H376,OUT!$D$2:$D$11000,"Out",OUT!$E$2:$E$11000,"Iqbal")</f>
        <v>125000</v>
      </c>
    </row>
    <row r="377" spans="1:20" x14ac:dyDescent="0.2">
      <c r="A377" s="48">
        <f ca="1">IFERROR(__xludf.DUMMYFUNCTION("""COMPUTED_VALUE"""),46269)</f>
        <v>46269</v>
      </c>
      <c r="B377" s="4" t="str">
        <f ca="1">IFERROR(__xludf.DUMMYFUNCTION("""COMPUTED_VALUE"""),"Iuran Athaya (9)")</f>
        <v>Iuran Athaya (9)</v>
      </c>
      <c r="C377" s="4" t="str">
        <f ca="1">IFERROR(__xludf.DUMMYFUNCTION("""COMPUTED_VALUE"""),"ATM")</f>
        <v>ATM</v>
      </c>
      <c r="D377" s="4" t="str">
        <f ca="1">IFERROR(__xludf.DUMMYFUNCTION("""COMPUTED_VALUE"""),"Out")</f>
        <v>Out</v>
      </c>
      <c r="E377" s="4" t="str">
        <f ca="1">IFERROR(__xludf.DUMMYFUNCTION("""COMPUTED_VALUE"""),"Fix")</f>
        <v>Fix</v>
      </c>
      <c r="F377" s="49">
        <f ca="1">IFERROR(__xludf.DUMMYFUNCTION("""COMPUTED_VALUE"""),75000)</f>
        <v>75000</v>
      </c>
      <c r="G377" s="50" t="str">
        <f ca="1">IFERROR(__xludf.DUMMYFUNCTION("""COMPUTED_VALUE"""),"Ibal")</f>
        <v>Ibal</v>
      </c>
      <c r="H377" s="51">
        <f t="shared" ca="1" si="0"/>
        <v>46266</v>
      </c>
      <c r="I377" s="52" t="e">
        <f ca="1">SUMIFS(OUT!$F$2:$F$11000,OUT!$H$2:$H$11000,H377,OUT!$D$2:$D$101007,"In")</f>
        <v>#VALUE!</v>
      </c>
      <c r="J377" s="52">
        <f ca="1">SUMIFS(OUT!$F$2:$F$11000,OUT!$H$2:$H$11000,H377,OUT!$D$2:$D$11000,"Out")</f>
        <v>7093111</v>
      </c>
      <c r="K377" s="52">
        <f ca="1">SUMIFS(OUT!$F$2:$F$11000,OUT!$H$2:$H$11000,H377,OUT!$D$2:$D$11000,"Out",OUT!$E$2:$E$11000,"Fix")</f>
        <v>2972118</v>
      </c>
      <c r="L377" s="52">
        <f ca="1">SUMIFS(OUT!$F$2:$F$11000,OUT!$H$2:$H$11000,H377,OUT!$D$2:$D$11000,"Out",OUT!$E$2:$E$11000,"Bathroom")</f>
        <v>0</v>
      </c>
      <c r="M377" s="52">
        <f ca="1">SUMIFS(OUT!$F$2:$F$11000,OUT!$H$2:$H$11000,H377,OUT!$D$2:$D$11000,"Out",OUT!$E$2:$E$11000,"Alfa")</f>
        <v>55000</v>
      </c>
      <c r="N377" s="52" t="e">
        <f ca="1">SUMIFS(OUT!$F$2:$F$11000,OUT!$H$2:$H$101007,H377,OUT!$D$2:$D$11000,"Out",OUT!$E$2:$E$11000,"Jajan")</f>
        <v>#VALUE!</v>
      </c>
      <c r="O377" s="52">
        <f ca="1">SUMIFS(OUT!$F$2:$F$11000,OUT!$H$2:$H$11000,H377,OUT!$D$2:$D$11000,"Out",OUT!$E$2:$E$11000,"Kitchen")</f>
        <v>820700</v>
      </c>
      <c r="P377" s="52">
        <f ca="1">SUMIFS(OUT!$F$2:$F$11000,OUT!$H$2:$H$11000,H377,OUT!$D$2:$D$11000,"Out",OUT!$E$2:$E$11000,"Loandry")</f>
        <v>0</v>
      </c>
      <c r="Q377" s="52">
        <f ca="1">SUMIFS(OUT!$F$2:$F$11000,OUT!$H$2:$H$11000,H377,OUT!$D$2:$D$11000,"Out",OUT!$E$2:$E$11000,"Mio")</f>
        <v>137000</v>
      </c>
      <c r="R377" s="52">
        <f ca="1">SUMIFS(OUT!$F$2:$F$11000,OUT!$H$2:$H$11000,H377,OUT!$D$2:$D$11000,"Out",OUT!$E$2:$E$11000,"Sedekah")</f>
        <v>0</v>
      </c>
      <c r="S377" s="52">
        <f ca="1">SUMIFS(OUT!$F$2:$F$11000,OUT!$H$2:$H$11000,H377,OUT!$D$2:$D$11000,"Out",OUT!$E$2:$E$11000,"Zela")</f>
        <v>46126</v>
      </c>
      <c r="T377" s="52">
        <f ca="1">SUMIFS(OUT!$F$2:$F$11000,OUT!$H$2:$H$11000,H377,OUT!$D$2:$D$11000,"Out",OUT!$E$2:$E$11000,"Iqbal")</f>
        <v>125000</v>
      </c>
    </row>
    <row r="378" spans="1:20" x14ac:dyDescent="0.2">
      <c r="A378" s="48">
        <f ca="1">IFERROR(__xludf.DUMMYFUNCTION("""COMPUTED_VALUE"""),46270)</f>
        <v>46270</v>
      </c>
      <c r="B378" s="4" t="str">
        <f ca="1">IFERROR(__xludf.DUMMYFUNCTION("""COMPUTED_VALUE"""),"Sewa Rumah (September 2026)")</f>
        <v>Sewa Rumah (September 2026)</v>
      </c>
      <c r="C378" s="4" t="str">
        <f ca="1">IFERROR(__xludf.DUMMYFUNCTION("""COMPUTED_VALUE"""),"ATM")</f>
        <v>ATM</v>
      </c>
      <c r="D378" s="4" t="str">
        <f ca="1">IFERROR(__xludf.DUMMYFUNCTION("""COMPUTED_VALUE"""),"Out")</f>
        <v>Out</v>
      </c>
      <c r="E378" s="4" t="str">
        <f ca="1">IFERROR(__xludf.DUMMYFUNCTION("""COMPUTED_VALUE"""),"Fix")</f>
        <v>Fix</v>
      </c>
      <c r="F378" s="49">
        <f ca="1">IFERROR(__xludf.DUMMYFUNCTION("""COMPUTED_VALUE"""),1000481)</f>
        <v>1000481</v>
      </c>
      <c r="G378" s="50" t="str">
        <f ca="1">IFERROR(__xludf.DUMMYFUNCTION("""COMPUTED_VALUE"""),"Ibal")</f>
        <v>Ibal</v>
      </c>
      <c r="H378" s="51">
        <f t="shared" ca="1" si="0"/>
        <v>46266</v>
      </c>
      <c r="I378" s="52" t="e">
        <f ca="1">SUMIFS(OUT!$F$2:$F$11000,OUT!$H$2:$H$11000,H378,OUT!$D$2:$D$101007,"In")</f>
        <v>#VALUE!</v>
      </c>
      <c r="J378" s="52">
        <f ca="1">SUMIFS(OUT!$F$2:$F$11000,OUT!$H$2:$H$11000,H378,OUT!$D$2:$D$11000,"Out")</f>
        <v>7093111</v>
      </c>
      <c r="K378" s="52">
        <f ca="1">SUMIFS(OUT!$F$2:$F$11000,OUT!$H$2:$H$11000,H378,OUT!$D$2:$D$11000,"Out",OUT!$E$2:$E$11000,"Fix")</f>
        <v>2972118</v>
      </c>
      <c r="L378" s="52">
        <f ca="1">SUMIFS(OUT!$F$2:$F$11000,OUT!$H$2:$H$11000,H378,OUT!$D$2:$D$11000,"Out",OUT!$E$2:$E$11000,"Bathroom")</f>
        <v>0</v>
      </c>
      <c r="M378" s="52">
        <f ca="1">SUMIFS(OUT!$F$2:$F$11000,OUT!$H$2:$H$11000,H378,OUT!$D$2:$D$11000,"Out",OUT!$E$2:$E$11000,"Alfa")</f>
        <v>55000</v>
      </c>
      <c r="N378" s="52" t="e">
        <f ca="1">SUMIFS(OUT!$F$2:$F$11000,OUT!$H$2:$H$101007,H378,OUT!$D$2:$D$11000,"Out",OUT!$E$2:$E$11000,"Jajan")</f>
        <v>#VALUE!</v>
      </c>
      <c r="O378" s="52">
        <f ca="1">SUMIFS(OUT!$F$2:$F$11000,OUT!$H$2:$H$11000,H378,OUT!$D$2:$D$11000,"Out",OUT!$E$2:$E$11000,"Kitchen")</f>
        <v>820700</v>
      </c>
      <c r="P378" s="52">
        <f ca="1">SUMIFS(OUT!$F$2:$F$11000,OUT!$H$2:$H$11000,H378,OUT!$D$2:$D$11000,"Out",OUT!$E$2:$E$11000,"Loandry")</f>
        <v>0</v>
      </c>
      <c r="Q378" s="52">
        <f ca="1">SUMIFS(OUT!$F$2:$F$11000,OUT!$H$2:$H$11000,H378,OUT!$D$2:$D$11000,"Out",OUT!$E$2:$E$11000,"Mio")</f>
        <v>137000</v>
      </c>
      <c r="R378" s="52">
        <f ca="1">SUMIFS(OUT!$F$2:$F$11000,OUT!$H$2:$H$11000,H378,OUT!$D$2:$D$11000,"Out",OUT!$E$2:$E$11000,"Sedekah")</f>
        <v>0</v>
      </c>
      <c r="S378" s="52">
        <f ca="1">SUMIFS(OUT!$F$2:$F$11000,OUT!$H$2:$H$11000,H378,OUT!$D$2:$D$11000,"Out",OUT!$E$2:$E$11000,"Zela")</f>
        <v>46126</v>
      </c>
      <c r="T378" s="52">
        <f ca="1">SUMIFS(OUT!$F$2:$F$11000,OUT!$H$2:$H$11000,H378,OUT!$D$2:$D$11000,"Out",OUT!$E$2:$E$11000,"Iqbal")</f>
        <v>125000</v>
      </c>
    </row>
    <row r="379" spans="1:20" x14ac:dyDescent="0.2">
      <c r="A379" s="48">
        <f ca="1">IFERROR(__xludf.DUMMYFUNCTION("""COMPUTED_VALUE"""),46279)</f>
        <v>46279</v>
      </c>
      <c r="B379" s="4" t="str">
        <f ca="1">IFERROR(__xludf.DUMMYFUNCTION("""COMPUTED_VALUE"""),"pinjam uang Adi")</f>
        <v>pinjam uang Adi</v>
      </c>
      <c r="C379" s="4" t="str">
        <f ca="1">IFERROR(__xludf.DUMMYFUNCTION("""COMPUTED_VALUE"""),"ATM")</f>
        <v>ATM</v>
      </c>
      <c r="D379" s="4" t="str">
        <f ca="1">IFERROR(__xludf.DUMMYFUNCTION("""COMPUTED_VALUE"""),"In")</f>
        <v>In</v>
      </c>
      <c r="E379" s="4" t="str">
        <f ca="1">IFERROR(__xludf.DUMMYFUNCTION("""COMPUTED_VALUE"""),"Fix")</f>
        <v>Fix</v>
      </c>
      <c r="F379" s="49">
        <f ca="1">IFERROR(__xludf.DUMMYFUNCTION("""COMPUTED_VALUE"""),500000)</f>
        <v>500000</v>
      </c>
      <c r="G379" s="50" t="str">
        <f ca="1">IFERROR(__xludf.DUMMYFUNCTION("""COMPUTED_VALUE"""),"Ibal")</f>
        <v>Ibal</v>
      </c>
      <c r="H379" s="51">
        <f t="shared" ca="1" si="0"/>
        <v>46266</v>
      </c>
      <c r="I379" s="52" t="e">
        <f ca="1">SUMIFS(OUT!$F$2:$F$11000,OUT!$H$2:$H$11000,H379,OUT!$D$2:$D$101007,"In")</f>
        <v>#VALUE!</v>
      </c>
      <c r="J379" s="52">
        <f ca="1">SUMIFS(OUT!$F$2:$F$11000,OUT!$H$2:$H$11000,H379,OUT!$D$2:$D$11000,"Out")</f>
        <v>7093111</v>
      </c>
      <c r="K379" s="52">
        <f ca="1">SUMIFS(OUT!$F$2:$F$11000,OUT!$H$2:$H$11000,H379,OUT!$D$2:$D$11000,"Out",OUT!$E$2:$E$11000,"Fix")</f>
        <v>2972118</v>
      </c>
      <c r="L379" s="52">
        <f ca="1">SUMIFS(OUT!$F$2:$F$11000,OUT!$H$2:$H$11000,H379,OUT!$D$2:$D$11000,"Out",OUT!$E$2:$E$11000,"Bathroom")</f>
        <v>0</v>
      </c>
      <c r="M379" s="52">
        <f ca="1">SUMIFS(OUT!$F$2:$F$11000,OUT!$H$2:$H$11000,H379,OUT!$D$2:$D$11000,"Out",OUT!$E$2:$E$11000,"Alfa")</f>
        <v>55000</v>
      </c>
      <c r="N379" s="52" t="e">
        <f ca="1">SUMIFS(OUT!$F$2:$F$11000,OUT!$H$2:$H$101007,H379,OUT!$D$2:$D$11000,"Out",OUT!$E$2:$E$11000,"Jajan")</f>
        <v>#VALUE!</v>
      </c>
      <c r="O379" s="52">
        <f ca="1">SUMIFS(OUT!$F$2:$F$11000,OUT!$H$2:$H$11000,H379,OUT!$D$2:$D$11000,"Out",OUT!$E$2:$E$11000,"Kitchen")</f>
        <v>820700</v>
      </c>
      <c r="P379" s="52">
        <f ca="1">SUMIFS(OUT!$F$2:$F$11000,OUT!$H$2:$H$11000,H379,OUT!$D$2:$D$11000,"Out",OUT!$E$2:$E$11000,"Loandry")</f>
        <v>0</v>
      </c>
      <c r="Q379" s="52">
        <f ca="1">SUMIFS(OUT!$F$2:$F$11000,OUT!$H$2:$H$11000,H379,OUT!$D$2:$D$11000,"Out",OUT!$E$2:$E$11000,"Mio")</f>
        <v>137000</v>
      </c>
      <c r="R379" s="52">
        <f ca="1">SUMIFS(OUT!$F$2:$F$11000,OUT!$H$2:$H$11000,H379,OUT!$D$2:$D$11000,"Out",OUT!$E$2:$E$11000,"Sedekah")</f>
        <v>0</v>
      </c>
      <c r="S379" s="52">
        <f ca="1">SUMIFS(OUT!$F$2:$F$11000,OUT!$H$2:$H$11000,H379,OUT!$D$2:$D$11000,"Out",OUT!$E$2:$E$11000,"Zela")</f>
        <v>46126</v>
      </c>
      <c r="T379" s="52">
        <f ca="1">SUMIFS(OUT!$F$2:$F$11000,OUT!$H$2:$H$11000,H379,OUT!$D$2:$D$11000,"Out",OUT!$E$2:$E$11000,"Iqbal")</f>
        <v>125000</v>
      </c>
    </row>
    <row r="380" spans="1:20" x14ac:dyDescent="0.2">
      <c r="A380" s="48">
        <f ca="1">IFERROR(__xludf.DUMMYFUNCTION("""COMPUTED_VALUE"""),46279)</f>
        <v>46279</v>
      </c>
      <c r="B380" s="4" t="str">
        <f ca="1">IFERROR(__xludf.DUMMYFUNCTION("""COMPUTED_VALUE"""),"Istriku")</f>
        <v>Istriku</v>
      </c>
      <c r="C380" s="4" t="str">
        <f ca="1">IFERROR(__xludf.DUMMYFUNCTION("""COMPUTED_VALUE"""),"ATM")</f>
        <v>ATM</v>
      </c>
      <c r="D380" s="4" t="str">
        <f ca="1">IFERROR(__xludf.DUMMYFUNCTION("""COMPUTED_VALUE"""),"Out")</f>
        <v>Out</v>
      </c>
      <c r="E380" s="4" t="str">
        <f ca="1">IFERROR(__xludf.DUMMYFUNCTION("""COMPUTED_VALUE"""),"Move")</f>
        <v>Move</v>
      </c>
      <c r="F380" s="49">
        <f ca="1">IFERROR(__xludf.DUMMYFUNCTION("""COMPUTED_VALUE"""),502769)</f>
        <v>502769</v>
      </c>
      <c r="G380" s="50" t="str">
        <f ca="1">IFERROR(__xludf.DUMMYFUNCTION("""COMPUTED_VALUE"""),"Ibal")</f>
        <v>Ibal</v>
      </c>
      <c r="H380" s="51">
        <f t="shared" ca="1" si="0"/>
        <v>46266</v>
      </c>
      <c r="I380" s="52" t="e">
        <f ca="1">SUMIFS(OUT!$F$2:$F$11000,OUT!$H$2:$H$11000,H380,OUT!$D$2:$D$101007,"In")</f>
        <v>#VALUE!</v>
      </c>
      <c r="J380" s="52">
        <f ca="1">SUMIFS(OUT!$F$2:$F$11000,OUT!$H$2:$H$11000,H380,OUT!$D$2:$D$11000,"Out")</f>
        <v>7093111</v>
      </c>
      <c r="K380" s="52">
        <f ca="1">SUMIFS(OUT!$F$2:$F$11000,OUT!$H$2:$H$11000,H380,OUT!$D$2:$D$11000,"Out",OUT!$E$2:$E$11000,"Fix")</f>
        <v>2972118</v>
      </c>
      <c r="L380" s="52">
        <f ca="1">SUMIFS(OUT!$F$2:$F$11000,OUT!$H$2:$H$11000,H380,OUT!$D$2:$D$11000,"Out",OUT!$E$2:$E$11000,"Bathroom")</f>
        <v>0</v>
      </c>
      <c r="M380" s="52">
        <f ca="1">SUMIFS(OUT!$F$2:$F$11000,OUT!$H$2:$H$11000,H380,OUT!$D$2:$D$11000,"Out",OUT!$E$2:$E$11000,"Alfa")</f>
        <v>55000</v>
      </c>
      <c r="N380" s="52" t="e">
        <f ca="1">SUMIFS(OUT!$F$2:$F$11000,OUT!$H$2:$H$101007,H380,OUT!$D$2:$D$11000,"Out",OUT!$E$2:$E$11000,"Jajan")</f>
        <v>#VALUE!</v>
      </c>
      <c r="O380" s="52">
        <f ca="1">SUMIFS(OUT!$F$2:$F$11000,OUT!$H$2:$H$11000,H380,OUT!$D$2:$D$11000,"Out",OUT!$E$2:$E$11000,"Kitchen")</f>
        <v>820700</v>
      </c>
      <c r="P380" s="52">
        <f ca="1">SUMIFS(OUT!$F$2:$F$11000,OUT!$H$2:$H$11000,H380,OUT!$D$2:$D$11000,"Out",OUT!$E$2:$E$11000,"Loandry")</f>
        <v>0</v>
      </c>
      <c r="Q380" s="52">
        <f ca="1">SUMIFS(OUT!$F$2:$F$11000,OUT!$H$2:$H$11000,H380,OUT!$D$2:$D$11000,"Out",OUT!$E$2:$E$11000,"Mio")</f>
        <v>137000</v>
      </c>
      <c r="R380" s="52">
        <f ca="1">SUMIFS(OUT!$F$2:$F$11000,OUT!$H$2:$H$11000,H380,OUT!$D$2:$D$11000,"Out",OUT!$E$2:$E$11000,"Sedekah")</f>
        <v>0</v>
      </c>
      <c r="S380" s="52">
        <f ca="1">SUMIFS(OUT!$F$2:$F$11000,OUT!$H$2:$H$11000,H380,OUT!$D$2:$D$11000,"Out",OUT!$E$2:$E$11000,"Zela")</f>
        <v>46126</v>
      </c>
      <c r="T380" s="52">
        <f ca="1">SUMIFS(OUT!$F$2:$F$11000,OUT!$H$2:$H$11000,H380,OUT!$D$2:$D$11000,"Out",OUT!$E$2:$E$11000,"Iqbal")</f>
        <v>125000</v>
      </c>
    </row>
    <row r="381" spans="1:20" x14ac:dyDescent="0.2">
      <c r="A381" s="48">
        <f ca="1">IFERROR(__xludf.DUMMYFUNCTION("""COMPUTED_VALUE"""),46281)</f>
        <v>46281</v>
      </c>
      <c r="B381" s="4" t="str">
        <f ca="1">IFERROR(__xludf.DUMMYFUNCTION("""COMPUTED_VALUE"""),"CGL")</f>
        <v>CGL</v>
      </c>
      <c r="C381" s="4" t="str">
        <f ca="1">IFERROR(__xludf.DUMMYFUNCTION("""COMPUTED_VALUE"""),"ATM")</f>
        <v>ATM</v>
      </c>
      <c r="D381" s="4" t="str">
        <f ca="1">IFERROR(__xludf.DUMMYFUNCTION("""COMPUTED_VALUE"""),"In")</f>
        <v>In</v>
      </c>
      <c r="E381" s="4" t="str">
        <f ca="1">IFERROR(__xludf.DUMMYFUNCTION("""COMPUTED_VALUE"""),"Fix")</f>
        <v>Fix</v>
      </c>
      <c r="F381" s="49">
        <f ca="1">IFERROR(__xludf.DUMMYFUNCTION("""COMPUTED_VALUE"""),100000)</f>
        <v>100000</v>
      </c>
      <c r="G381" s="50" t="str">
        <f ca="1">IFERROR(__xludf.DUMMYFUNCTION("""COMPUTED_VALUE"""),"Ibal")</f>
        <v>Ibal</v>
      </c>
      <c r="H381" s="51">
        <f t="shared" ca="1" si="0"/>
        <v>46266</v>
      </c>
      <c r="I381" s="52" t="e">
        <f ca="1">SUMIFS(OUT!$F$2:$F$11000,OUT!$H$2:$H$11000,H381,OUT!$D$2:$D$101007,"In")</f>
        <v>#VALUE!</v>
      </c>
      <c r="J381" s="52">
        <f ca="1">SUMIFS(OUT!$F$2:$F$11000,OUT!$H$2:$H$11000,H381,OUT!$D$2:$D$11000,"Out")</f>
        <v>7093111</v>
      </c>
      <c r="K381" s="52">
        <f ca="1">SUMIFS(OUT!$F$2:$F$11000,OUT!$H$2:$H$11000,H381,OUT!$D$2:$D$11000,"Out",OUT!$E$2:$E$11000,"Fix")</f>
        <v>2972118</v>
      </c>
      <c r="L381" s="52">
        <f ca="1">SUMIFS(OUT!$F$2:$F$11000,OUT!$H$2:$H$11000,H381,OUT!$D$2:$D$11000,"Out",OUT!$E$2:$E$11000,"Bathroom")</f>
        <v>0</v>
      </c>
      <c r="M381" s="52">
        <f ca="1">SUMIFS(OUT!$F$2:$F$11000,OUT!$H$2:$H$11000,H381,OUT!$D$2:$D$11000,"Out",OUT!$E$2:$E$11000,"Alfa")</f>
        <v>55000</v>
      </c>
      <c r="N381" s="52" t="e">
        <f ca="1">SUMIFS(OUT!$F$2:$F$11000,OUT!$H$2:$H$101007,H381,OUT!$D$2:$D$11000,"Out",OUT!$E$2:$E$11000,"Jajan")</f>
        <v>#VALUE!</v>
      </c>
      <c r="O381" s="52">
        <f ca="1">SUMIFS(OUT!$F$2:$F$11000,OUT!$H$2:$H$11000,H381,OUT!$D$2:$D$11000,"Out",OUT!$E$2:$E$11000,"Kitchen")</f>
        <v>820700</v>
      </c>
      <c r="P381" s="52">
        <f ca="1">SUMIFS(OUT!$F$2:$F$11000,OUT!$H$2:$H$11000,H381,OUT!$D$2:$D$11000,"Out",OUT!$E$2:$E$11000,"Loandry")</f>
        <v>0</v>
      </c>
      <c r="Q381" s="52">
        <f ca="1">SUMIFS(OUT!$F$2:$F$11000,OUT!$H$2:$H$11000,H381,OUT!$D$2:$D$11000,"Out",OUT!$E$2:$E$11000,"Mio")</f>
        <v>137000</v>
      </c>
      <c r="R381" s="52">
        <f ca="1">SUMIFS(OUT!$F$2:$F$11000,OUT!$H$2:$H$11000,H381,OUT!$D$2:$D$11000,"Out",OUT!$E$2:$E$11000,"Sedekah")</f>
        <v>0</v>
      </c>
      <c r="S381" s="52">
        <f ca="1">SUMIFS(OUT!$F$2:$F$11000,OUT!$H$2:$H$11000,H381,OUT!$D$2:$D$11000,"Out",OUT!$E$2:$E$11000,"Zela")</f>
        <v>46126</v>
      </c>
      <c r="T381" s="52">
        <f ca="1">SUMIFS(OUT!$F$2:$F$11000,OUT!$H$2:$H$11000,H381,OUT!$D$2:$D$11000,"Out",OUT!$E$2:$E$11000,"Iqbal")</f>
        <v>125000</v>
      </c>
    </row>
    <row r="382" spans="1:20" x14ac:dyDescent="0.2">
      <c r="A382" s="48">
        <f ca="1">IFERROR(__xludf.DUMMYFUNCTION("""COMPUTED_VALUE"""),46283)</f>
        <v>46283</v>
      </c>
      <c r="B382" s="4" t="str">
        <f ca="1">IFERROR(__xludf.DUMMYFUNCTION("""COMPUTED_VALUE"""),"Rokok (3)")</f>
        <v>Rokok (3)</v>
      </c>
      <c r="C382" s="4" t="str">
        <f ca="1">IFERROR(__xludf.DUMMYFUNCTION("""COMPUTED_VALUE"""),"ATM")</f>
        <v>ATM</v>
      </c>
      <c r="D382" s="4" t="str">
        <f ca="1">IFERROR(__xludf.DUMMYFUNCTION("""COMPUTED_VALUE"""),"Out")</f>
        <v>Out</v>
      </c>
      <c r="E382" s="4" t="str">
        <f ca="1">IFERROR(__xludf.DUMMYFUNCTION("""COMPUTED_VALUE"""),"Iqbal")</f>
        <v>Iqbal</v>
      </c>
      <c r="F382" s="49">
        <f ca="1">IFERROR(__xludf.DUMMYFUNCTION("""COMPUTED_VALUE"""),17000)</f>
        <v>17000</v>
      </c>
      <c r="G382" s="50" t="str">
        <f ca="1">IFERROR(__xludf.DUMMYFUNCTION("""COMPUTED_VALUE"""),"Ibal")</f>
        <v>Ibal</v>
      </c>
      <c r="H382" s="51">
        <f t="shared" ca="1" si="0"/>
        <v>46266</v>
      </c>
      <c r="I382" s="52" t="e">
        <f ca="1">SUMIFS(OUT!$F$2:$F$11000,OUT!$H$2:$H$11000,H382,OUT!$D$2:$D$101007,"In")</f>
        <v>#VALUE!</v>
      </c>
      <c r="J382" s="52">
        <f ca="1">SUMIFS(OUT!$F$2:$F$11000,OUT!$H$2:$H$11000,H382,OUT!$D$2:$D$11000,"Out")</f>
        <v>7093111</v>
      </c>
      <c r="K382" s="52">
        <f ca="1">SUMIFS(OUT!$F$2:$F$11000,OUT!$H$2:$H$11000,H382,OUT!$D$2:$D$11000,"Out",OUT!$E$2:$E$11000,"Fix")</f>
        <v>2972118</v>
      </c>
      <c r="L382" s="52">
        <f ca="1">SUMIFS(OUT!$F$2:$F$11000,OUT!$H$2:$H$11000,H382,OUT!$D$2:$D$11000,"Out",OUT!$E$2:$E$11000,"Bathroom")</f>
        <v>0</v>
      </c>
      <c r="M382" s="52">
        <f ca="1">SUMIFS(OUT!$F$2:$F$11000,OUT!$H$2:$H$11000,H382,OUT!$D$2:$D$11000,"Out",OUT!$E$2:$E$11000,"Alfa")</f>
        <v>55000</v>
      </c>
      <c r="N382" s="52" t="e">
        <f ca="1">SUMIFS(OUT!$F$2:$F$11000,OUT!$H$2:$H$101007,H382,OUT!$D$2:$D$11000,"Out",OUT!$E$2:$E$11000,"Jajan")</f>
        <v>#VALUE!</v>
      </c>
      <c r="O382" s="52">
        <f ca="1">SUMIFS(OUT!$F$2:$F$11000,OUT!$H$2:$H$11000,H382,OUT!$D$2:$D$11000,"Out",OUT!$E$2:$E$11000,"Kitchen")</f>
        <v>820700</v>
      </c>
      <c r="P382" s="52">
        <f ca="1">SUMIFS(OUT!$F$2:$F$11000,OUT!$H$2:$H$11000,H382,OUT!$D$2:$D$11000,"Out",OUT!$E$2:$E$11000,"Loandry")</f>
        <v>0</v>
      </c>
      <c r="Q382" s="52">
        <f ca="1">SUMIFS(OUT!$F$2:$F$11000,OUT!$H$2:$H$11000,H382,OUT!$D$2:$D$11000,"Out",OUT!$E$2:$E$11000,"Mio")</f>
        <v>137000</v>
      </c>
      <c r="R382" s="52">
        <f ca="1">SUMIFS(OUT!$F$2:$F$11000,OUT!$H$2:$H$11000,H382,OUT!$D$2:$D$11000,"Out",OUT!$E$2:$E$11000,"Sedekah")</f>
        <v>0</v>
      </c>
      <c r="S382" s="52">
        <f ca="1">SUMIFS(OUT!$F$2:$F$11000,OUT!$H$2:$H$11000,H382,OUT!$D$2:$D$11000,"Out",OUT!$E$2:$E$11000,"Zela")</f>
        <v>46126</v>
      </c>
      <c r="T382" s="52">
        <f ca="1">SUMIFS(OUT!$F$2:$F$11000,OUT!$H$2:$H$11000,H382,OUT!$D$2:$D$11000,"Out",OUT!$E$2:$E$11000,"Iqbal")</f>
        <v>125000</v>
      </c>
    </row>
    <row r="383" spans="1:20" x14ac:dyDescent="0.2">
      <c r="A383" s="48">
        <f ca="1">IFERROR(__xludf.DUMMYFUNCTION("""COMPUTED_VALUE"""),46284)</f>
        <v>46284</v>
      </c>
      <c r="B383" s="4" t="str">
        <f ca="1">IFERROR(__xludf.DUMMYFUNCTION("""COMPUTED_VALUE"""),"Ayam penyet")</f>
        <v>Ayam penyet</v>
      </c>
      <c r="C383" s="4" t="str">
        <f ca="1">IFERROR(__xludf.DUMMYFUNCTION("""COMPUTED_VALUE"""),"ATM")</f>
        <v>ATM</v>
      </c>
      <c r="D383" s="4" t="str">
        <f ca="1">IFERROR(__xludf.DUMMYFUNCTION("""COMPUTED_VALUE"""),"Out")</f>
        <v>Out</v>
      </c>
      <c r="E383" s="4" t="str">
        <f ca="1">IFERROR(__xludf.DUMMYFUNCTION("""COMPUTED_VALUE"""),"Kitchen")</f>
        <v>Kitchen</v>
      </c>
      <c r="F383" s="49">
        <f ca="1">IFERROR(__xludf.DUMMYFUNCTION("""COMPUTED_VALUE"""),36000)</f>
        <v>36000</v>
      </c>
      <c r="G383" s="50" t="str">
        <f ca="1">IFERROR(__xludf.DUMMYFUNCTION("""COMPUTED_VALUE"""),"Ibal")</f>
        <v>Ibal</v>
      </c>
      <c r="H383" s="51">
        <f t="shared" ca="1" si="0"/>
        <v>46266</v>
      </c>
      <c r="I383" s="52" t="e">
        <f ca="1">SUMIFS(OUT!$F$2:$F$11000,OUT!$H$2:$H$11000,H383,OUT!$D$2:$D$101007,"In")</f>
        <v>#VALUE!</v>
      </c>
      <c r="J383" s="52">
        <f ca="1">SUMIFS(OUT!$F$2:$F$11000,OUT!$H$2:$H$11000,H383,OUT!$D$2:$D$11000,"Out")</f>
        <v>7093111</v>
      </c>
      <c r="K383" s="52">
        <f ca="1">SUMIFS(OUT!$F$2:$F$11000,OUT!$H$2:$H$11000,H383,OUT!$D$2:$D$11000,"Out",OUT!$E$2:$E$11000,"Fix")</f>
        <v>2972118</v>
      </c>
      <c r="L383" s="52">
        <f ca="1">SUMIFS(OUT!$F$2:$F$11000,OUT!$H$2:$H$11000,H383,OUT!$D$2:$D$11000,"Out",OUT!$E$2:$E$11000,"Bathroom")</f>
        <v>0</v>
      </c>
      <c r="M383" s="52">
        <f ca="1">SUMIFS(OUT!$F$2:$F$11000,OUT!$H$2:$H$11000,H383,OUT!$D$2:$D$11000,"Out",OUT!$E$2:$E$11000,"Alfa")</f>
        <v>55000</v>
      </c>
      <c r="N383" s="52" t="e">
        <f ca="1">SUMIFS(OUT!$F$2:$F$11000,OUT!$H$2:$H$101007,H383,OUT!$D$2:$D$11000,"Out",OUT!$E$2:$E$11000,"Jajan")</f>
        <v>#VALUE!</v>
      </c>
      <c r="O383" s="52">
        <f ca="1">SUMIFS(OUT!$F$2:$F$11000,OUT!$H$2:$H$11000,H383,OUT!$D$2:$D$11000,"Out",OUT!$E$2:$E$11000,"Kitchen")</f>
        <v>820700</v>
      </c>
      <c r="P383" s="52">
        <f ca="1">SUMIFS(OUT!$F$2:$F$11000,OUT!$H$2:$H$11000,H383,OUT!$D$2:$D$11000,"Out",OUT!$E$2:$E$11000,"Loandry")</f>
        <v>0</v>
      </c>
      <c r="Q383" s="52">
        <f ca="1">SUMIFS(OUT!$F$2:$F$11000,OUT!$H$2:$H$11000,H383,OUT!$D$2:$D$11000,"Out",OUT!$E$2:$E$11000,"Mio")</f>
        <v>137000</v>
      </c>
      <c r="R383" s="52">
        <f ca="1">SUMIFS(OUT!$F$2:$F$11000,OUT!$H$2:$H$11000,H383,OUT!$D$2:$D$11000,"Out",OUT!$E$2:$E$11000,"Sedekah")</f>
        <v>0</v>
      </c>
      <c r="S383" s="52">
        <f ca="1">SUMIFS(OUT!$F$2:$F$11000,OUT!$H$2:$H$11000,H383,OUT!$D$2:$D$11000,"Out",OUT!$E$2:$E$11000,"Zela")</f>
        <v>46126</v>
      </c>
      <c r="T383" s="52">
        <f ca="1">SUMIFS(OUT!$F$2:$F$11000,OUT!$H$2:$H$11000,H383,OUT!$D$2:$D$11000,"Out",OUT!$E$2:$E$11000,"Iqbal")</f>
        <v>125000</v>
      </c>
    </row>
    <row r="384" spans="1:20" x14ac:dyDescent="0.2">
      <c r="A384" s="48">
        <f ca="1">IFERROR(__xludf.DUMMYFUNCTION("""COMPUTED_VALUE"""),46284)</f>
        <v>46284</v>
      </c>
      <c r="B384" s="4" t="str">
        <f ca="1">IFERROR(__xludf.DUMMYFUNCTION("""COMPUTED_VALUE"""),"Teh Jumbo")</f>
        <v>Teh Jumbo</v>
      </c>
      <c r="C384" s="4" t="str">
        <f ca="1">IFERROR(__xludf.DUMMYFUNCTION("""COMPUTED_VALUE"""),"ATM")</f>
        <v>ATM</v>
      </c>
      <c r="D384" s="4" t="str">
        <f ca="1">IFERROR(__xludf.DUMMYFUNCTION("""COMPUTED_VALUE"""),"Out")</f>
        <v>Out</v>
      </c>
      <c r="E384" s="4" t="str">
        <f ca="1">IFERROR(__xludf.DUMMYFUNCTION("""COMPUTED_VALUE"""),"Jajan")</f>
        <v>Jajan</v>
      </c>
      <c r="F384" s="49">
        <f ca="1">IFERROR(__xludf.DUMMYFUNCTION("""COMPUTED_VALUE"""),10000)</f>
        <v>10000</v>
      </c>
      <c r="G384" s="50" t="str">
        <f ca="1">IFERROR(__xludf.DUMMYFUNCTION("""COMPUTED_VALUE"""),"Ibal")</f>
        <v>Ibal</v>
      </c>
      <c r="H384" s="51">
        <f t="shared" ca="1" si="0"/>
        <v>46266</v>
      </c>
      <c r="I384" s="52" t="e">
        <f ca="1">SUMIFS(OUT!$F$2:$F$11000,OUT!$H$2:$H$11000,H384,OUT!$D$2:$D$101007,"In")</f>
        <v>#VALUE!</v>
      </c>
      <c r="J384" s="52">
        <f ca="1">SUMIFS(OUT!$F$2:$F$11000,OUT!$H$2:$H$11000,H384,OUT!$D$2:$D$11000,"Out")</f>
        <v>7093111</v>
      </c>
      <c r="K384" s="52">
        <f ca="1">SUMIFS(OUT!$F$2:$F$11000,OUT!$H$2:$H$11000,H384,OUT!$D$2:$D$11000,"Out",OUT!$E$2:$E$11000,"Fix")</f>
        <v>2972118</v>
      </c>
      <c r="L384" s="52">
        <f ca="1">SUMIFS(OUT!$F$2:$F$11000,OUT!$H$2:$H$11000,H384,OUT!$D$2:$D$11000,"Out",OUT!$E$2:$E$11000,"Bathroom")</f>
        <v>0</v>
      </c>
      <c r="M384" s="52">
        <f ca="1">SUMIFS(OUT!$F$2:$F$11000,OUT!$H$2:$H$11000,H384,OUT!$D$2:$D$11000,"Out",OUT!$E$2:$E$11000,"Alfa")</f>
        <v>55000</v>
      </c>
      <c r="N384" s="52" t="e">
        <f ca="1">SUMIFS(OUT!$F$2:$F$11000,OUT!$H$2:$H$101007,H384,OUT!$D$2:$D$11000,"Out",OUT!$E$2:$E$11000,"Jajan")</f>
        <v>#VALUE!</v>
      </c>
      <c r="O384" s="52">
        <f ca="1">SUMIFS(OUT!$F$2:$F$11000,OUT!$H$2:$H$11000,H384,OUT!$D$2:$D$11000,"Out",OUT!$E$2:$E$11000,"Kitchen")</f>
        <v>820700</v>
      </c>
      <c r="P384" s="52">
        <f ca="1">SUMIFS(OUT!$F$2:$F$11000,OUT!$H$2:$H$11000,H384,OUT!$D$2:$D$11000,"Out",OUT!$E$2:$E$11000,"Loandry")</f>
        <v>0</v>
      </c>
      <c r="Q384" s="52">
        <f ca="1">SUMIFS(OUT!$F$2:$F$11000,OUT!$H$2:$H$11000,H384,OUT!$D$2:$D$11000,"Out",OUT!$E$2:$E$11000,"Mio")</f>
        <v>137000</v>
      </c>
      <c r="R384" s="52">
        <f ca="1">SUMIFS(OUT!$F$2:$F$11000,OUT!$H$2:$H$11000,H384,OUT!$D$2:$D$11000,"Out",OUT!$E$2:$E$11000,"Sedekah")</f>
        <v>0</v>
      </c>
      <c r="S384" s="52">
        <f ca="1">SUMIFS(OUT!$F$2:$F$11000,OUT!$H$2:$H$11000,H384,OUT!$D$2:$D$11000,"Out",OUT!$E$2:$E$11000,"Zela")</f>
        <v>46126</v>
      </c>
      <c r="T384" s="52">
        <f ca="1">SUMIFS(OUT!$F$2:$F$11000,OUT!$H$2:$H$11000,H384,OUT!$D$2:$D$11000,"Out",OUT!$E$2:$E$11000,"Iqbal")</f>
        <v>125000</v>
      </c>
    </row>
    <row r="385" spans="1:20" x14ac:dyDescent="0.2">
      <c r="A385" s="48">
        <f ca="1">IFERROR(__xludf.DUMMYFUNCTION("""COMPUTED_VALUE"""),46284)</f>
        <v>46284</v>
      </c>
      <c r="B385" s="4" t="str">
        <f ca="1">IFERROR(__xludf.DUMMYFUNCTION("""COMPUTED_VALUE"""),"CGL")</f>
        <v>CGL</v>
      </c>
      <c r="C385" s="4" t="str">
        <f ca="1">IFERROR(__xludf.DUMMYFUNCTION("""COMPUTED_VALUE"""),"ATM")</f>
        <v>ATM</v>
      </c>
      <c r="D385" s="4" t="str">
        <f ca="1">IFERROR(__xludf.DUMMYFUNCTION("""COMPUTED_VALUE"""),"In")</f>
        <v>In</v>
      </c>
      <c r="E385" s="4" t="str">
        <f ca="1">IFERROR(__xludf.DUMMYFUNCTION("""COMPUTED_VALUE"""),"Fix")</f>
        <v>Fix</v>
      </c>
      <c r="F385" s="49">
        <f ca="1">IFERROR(__xludf.DUMMYFUNCTION("""COMPUTED_VALUE"""),150000)</f>
        <v>150000</v>
      </c>
      <c r="G385" s="50" t="str">
        <f ca="1">IFERROR(__xludf.DUMMYFUNCTION("""COMPUTED_VALUE"""),"Ibal")</f>
        <v>Ibal</v>
      </c>
      <c r="H385" s="51">
        <f t="shared" ca="1" si="0"/>
        <v>46266</v>
      </c>
      <c r="I385" s="52" t="e">
        <f ca="1">SUMIFS(OUT!$F$2:$F$11000,OUT!$H$2:$H$11000,H385,OUT!$D$2:$D$101007,"In")</f>
        <v>#VALUE!</v>
      </c>
      <c r="J385" s="52">
        <f ca="1">SUMIFS(OUT!$F$2:$F$11000,OUT!$H$2:$H$11000,H385,OUT!$D$2:$D$11000,"Out")</f>
        <v>7093111</v>
      </c>
      <c r="K385" s="52">
        <f ca="1">SUMIFS(OUT!$F$2:$F$11000,OUT!$H$2:$H$11000,H385,OUT!$D$2:$D$11000,"Out",OUT!$E$2:$E$11000,"Fix")</f>
        <v>2972118</v>
      </c>
      <c r="L385" s="52">
        <f ca="1">SUMIFS(OUT!$F$2:$F$11000,OUT!$H$2:$H$11000,H385,OUT!$D$2:$D$11000,"Out",OUT!$E$2:$E$11000,"Bathroom")</f>
        <v>0</v>
      </c>
      <c r="M385" s="52">
        <f ca="1">SUMIFS(OUT!$F$2:$F$11000,OUT!$H$2:$H$11000,H385,OUT!$D$2:$D$11000,"Out",OUT!$E$2:$E$11000,"Alfa")</f>
        <v>55000</v>
      </c>
      <c r="N385" s="52" t="e">
        <f ca="1">SUMIFS(OUT!$F$2:$F$11000,OUT!$H$2:$H$101007,H385,OUT!$D$2:$D$11000,"Out",OUT!$E$2:$E$11000,"Jajan")</f>
        <v>#VALUE!</v>
      </c>
      <c r="O385" s="52">
        <f ca="1">SUMIFS(OUT!$F$2:$F$11000,OUT!$H$2:$H$11000,H385,OUT!$D$2:$D$11000,"Out",OUT!$E$2:$E$11000,"Kitchen")</f>
        <v>820700</v>
      </c>
      <c r="P385" s="52">
        <f ca="1">SUMIFS(OUT!$F$2:$F$11000,OUT!$H$2:$H$11000,H385,OUT!$D$2:$D$11000,"Out",OUT!$E$2:$E$11000,"Loandry")</f>
        <v>0</v>
      </c>
      <c r="Q385" s="52">
        <f ca="1">SUMIFS(OUT!$F$2:$F$11000,OUT!$H$2:$H$11000,H385,OUT!$D$2:$D$11000,"Out",OUT!$E$2:$E$11000,"Mio")</f>
        <v>137000</v>
      </c>
      <c r="R385" s="52">
        <f ca="1">SUMIFS(OUT!$F$2:$F$11000,OUT!$H$2:$H$11000,H385,OUT!$D$2:$D$11000,"Out",OUT!$E$2:$E$11000,"Sedekah")</f>
        <v>0</v>
      </c>
      <c r="S385" s="52">
        <f ca="1">SUMIFS(OUT!$F$2:$F$11000,OUT!$H$2:$H$11000,H385,OUT!$D$2:$D$11000,"Out",OUT!$E$2:$E$11000,"Zela")</f>
        <v>46126</v>
      </c>
      <c r="T385" s="52">
        <f ca="1">SUMIFS(OUT!$F$2:$F$11000,OUT!$H$2:$H$11000,H385,OUT!$D$2:$D$11000,"Out",OUT!$E$2:$E$11000,"Iqbal")</f>
        <v>125000</v>
      </c>
    </row>
    <row r="386" spans="1:20" x14ac:dyDescent="0.2">
      <c r="A386" s="48">
        <f ca="1">IFERROR(__xludf.DUMMYFUNCTION("""COMPUTED_VALUE"""),46284)</f>
        <v>46284</v>
      </c>
      <c r="B386" s="4" t="str">
        <f ca="1">IFERROR(__xludf.DUMMYFUNCTION("""COMPUTED_VALUE"""),"Istriku")</f>
        <v>Istriku</v>
      </c>
      <c r="C386" s="4" t="str">
        <f ca="1">IFERROR(__xludf.DUMMYFUNCTION("""COMPUTED_VALUE"""),"ATM")</f>
        <v>ATM</v>
      </c>
      <c r="D386" s="4" t="str">
        <f ca="1">IFERROR(__xludf.DUMMYFUNCTION("""COMPUTED_VALUE"""),"Out")</f>
        <v>Out</v>
      </c>
      <c r="E386" s="4" t="str">
        <f ca="1">IFERROR(__xludf.DUMMYFUNCTION("""COMPUTED_VALUE"""),"Move")</f>
        <v>Move</v>
      </c>
      <c r="F386" s="49">
        <f ca="1">IFERROR(__xludf.DUMMYFUNCTION("""COMPUTED_VALUE"""),100000)</f>
        <v>100000</v>
      </c>
      <c r="G386" s="50" t="str">
        <f ca="1">IFERROR(__xludf.DUMMYFUNCTION("""COMPUTED_VALUE"""),"Ibal")</f>
        <v>Ibal</v>
      </c>
      <c r="H386" s="51">
        <f t="shared" ca="1" si="0"/>
        <v>46266</v>
      </c>
      <c r="I386" s="52" t="e">
        <f ca="1">SUMIFS(OUT!$F$2:$F$11000,OUT!$H$2:$H$11000,H386,OUT!$D$2:$D$101007,"In")</f>
        <v>#VALUE!</v>
      </c>
      <c r="J386" s="52">
        <f ca="1">SUMIFS(OUT!$F$2:$F$11000,OUT!$H$2:$H$11000,H386,OUT!$D$2:$D$11000,"Out")</f>
        <v>7093111</v>
      </c>
      <c r="K386" s="52">
        <f ca="1">SUMIFS(OUT!$F$2:$F$11000,OUT!$H$2:$H$11000,H386,OUT!$D$2:$D$11000,"Out",OUT!$E$2:$E$11000,"Fix")</f>
        <v>2972118</v>
      </c>
      <c r="L386" s="52">
        <f ca="1">SUMIFS(OUT!$F$2:$F$11000,OUT!$H$2:$H$11000,H386,OUT!$D$2:$D$11000,"Out",OUT!$E$2:$E$11000,"Bathroom")</f>
        <v>0</v>
      </c>
      <c r="M386" s="52">
        <f ca="1">SUMIFS(OUT!$F$2:$F$11000,OUT!$H$2:$H$11000,H386,OUT!$D$2:$D$11000,"Out",OUT!$E$2:$E$11000,"Alfa")</f>
        <v>55000</v>
      </c>
      <c r="N386" s="52" t="e">
        <f ca="1">SUMIFS(OUT!$F$2:$F$11000,OUT!$H$2:$H$101007,H386,OUT!$D$2:$D$11000,"Out",OUT!$E$2:$E$11000,"Jajan")</f>
        <v>#VALUE!</v>
      </c>
      <c r="O386" s="52">
        <f ca="1">SUMIFS(OUT!$F$2:$F$11000,OUT!$H$2:$H$11000,H386,OUT!$D$2:$D$11000,"Out",OUT!$E$2:$E$11000,"Kitchen")</f>
        <v>820700</v>
      </c>
      <c r="P386" s="52">
        <f ca="1">SUMIFS(OUT!$F$2:$F$11000,OUT!$H$2:$H$11000,H386,OUT!$D$2:$D$11000,"Out",OUT!$E$2:$E$11000,"Loandry")</f>
        <v>0</v>
      </c>
      <c r="Q386" s="52">
        <f ca="1">SUMIFS(OUT!$F$2:$F$11000,OUT!$H$2:$H$11000,H386,OUT!$D$2:$D$11000,"Out",OUT!$E$2:$E$11000,"Mio")</f>
        <v>137000</v>
      </c>
      <c r="R386" s="52">
        <f ca="1">SUMIFS(OUT!$F$2:$F$11000,OUT!$H$2:$H$11000,H386,OUT!$D$2:$D$11000,"Out",OUT!$E$2:$E$11000,"Sedekah")</f>
        <v>0</v>
      </c>
      <c r="S386" s="52">
        <f ca="1">SUMIFS(OUT!$F$2:$F$11000,OUT!$H$2:$H$11000,H386,OUT!$D$2:$D$11000,"Out",OUT!$E$2:$E$11000,"Zela")</f>
        <v>46126</v>
      </c>
      <c r="T386" s="52">
        <f ca="1">SUMIFS(OUT!$F$2:$F$11000,OUT!$H$2:$H$11000,H386,OUT!$D$2:$D$11000,"Out",OUT!$E$2:$E$11000,"Iqbal")</f>
        <v>125000</v>
      </c>
    </row>
    <row r="387" spans="1:20" x14ac:dyDescent="0.2">
      <c r="A387" s="48">
        <f ca="1">IFERROR(__xludf.DUMMYFUNCTION("""COMPUTED_VALUE"""),46284)</f>
        <v>46284</v>
      </c>
      <c r="B387" s="4" t="str">
        <f ca="1">IFERROR(__xludf.DUMMYFUNCTION("""COMPUTED_VALUE"""),"Sate")</f>
        <v>Sate</v>
      </c>
      <c r="C387" s="4" t="str">
        <f ca="1">IFERROR(__xludf.DUMMYFUNCTION("""COMPUTED_VALUE"""),"ATM")</f>
        <v>ATM</v>
      </c>
      <c r="D387" s="4" t="str">
        <f ca="1">IFERROR(__xludf.DUMMYFUNCTION("""COMPUTED_VALUE"""),"Out")</f>
        <v>Out</v>
      </c>
      <c r="E387" s="4" t="str">
        <f ca="1">IFERROR(__xludf.DUMMYFUNCTION("""COMPUTED_VALUE"""),"Jajan")</f>
        <v>Jajan</v>
      </c>
      <c r="F387" s="49">
        <f ca="1">IFERROR(__xludf.DUMMYFUNCTION("""COMPUTED_VALUE"""),15000)</f>
        <v>15000</v>
      </c>
      <c r="G387" s="50" t="str">
        <f ca="1">IFERROR(__xludf.DUMMYFUNCTION("""COMPUTED_VALUE"""),"Ibal")</f>
        <v>Ibal</v>
      </c>
      <c r="H387" s="51">
        <f t="shared" ca="1" si="0"/>
        <v>46266</v>
      </c>
      <c r="I387" s="52" t="e">
        <f ca="1">SUMIFS(OUT!$F$2:$F$11000,OUT!$H$2:$H$11000,H387,OUT!$D$2:$D$101007,"In")</f>
        <v>#VALUE!</v>
      </c>
      <c r="J387" s="52">
        <f ca="1">SUMIFS(OUT!$F$2:$F$11000,OUT!$H$2:$H$11000,H387,OUT!$D$2:$D$11000,"Out")</f>
        <v>7093111</v>
      </c>
      <c r="K387" s="52">
        <f ca="1">SUMIFS(OUT!$F$2:$F$11000,OUT!$H$2:$H$11000,H387,OUT!$D$2:$D$11000,"Out",OUT!$E$2:$E$11000,"Fix")</f>
        <v>2972118</v>
      </c>
      <c r="L387" s="52">
        <f ca="1">SUMIFS(OUT!$F$2:$F$11000,OUT!$H$2:$H$11000,H387,OUT!$D$2:$D$11000,"Out",OUT!$E$2:$E$11000,"Bathroom")</f>
        <v>0</v>
      </c>
      <c r="M387" s="52">
        <f ca="1">SUMIFS(OUT!$F$2:$F$11000,OUT!$H$2:$H$11000,H387,OUT!$D$2:$D$11000,"Out",OUT!$E$2:$E$11000,"Alfa")</f>
        <v>55000</v>
      </c>
      <c r="N387" s="52" t="e">
        <f ca="1">SUMIFS(OUT!$F$2:$F$11000,OUT!$H$2:$H$101007,H387,OUT!$D$2:$D$11000,"Out",OUT!$E$2:$E$11000,"Jajan")</f>
        <v>#VALUE!</v>
      </c>
      <c r="O387" s="52">
        <f ca="1">SUMIFS(OUT!$F$2:$F$11000,OUT!$H$2:$H$11000,H387,OUT!$D$2:$D$11000,"Out",OUT!$E$2:$E$11000,"Kitchen")</f>
        <v>820700</v>
      </c>
      <c r="P387" s="52">
        <f ca="1">SUMIFS(OUT!$F$2:$F$11000,OUT!$H$2:$H$11000,H387,OUT!$D$2:$D$11000,"Out",OUT!$E$2:$E$11000,"Loandry")</f>
        <v>0</v>
      </c>
      <c r="Q387" s="52">
        <f ca="1">SUMIFS(OUT!$F$2:$F$11000,OUT!$H$2:$H$11000,H387,OUT!$D$2:$D$11000,"Out",OUT!$E$2:$E$11000,"Mio")</f>
        <v>137000</v>
      </c>
      <c r="R387" s="52">
        <f ca="1">SUMIFS(OUT!$F$2:$F$11000,OUT!$H$2:$H$11000,H387,OUT!$D$2:$D$11000,"Out",OUT!$E$2:$E$11000,"Sedekah")</f>
        <v>0</v>
      </c>
      <c r="S387" s="52">
        <f ca="1">SUMIFS(OUT!$F$2:$F$11000,OUT!$H$2:$H$11000,H387,OUT!$D$2:$D$11000,"Out",OUT!$E$2:$E$11000,"Zela")</f>
        <v>46126</v>
      </c>
      <c r="T387" s="52">
        <f ca="1">SUMIFS(OUT!$F$2:$F$11000,OUT!$H$2:$H$11000,H387,OUT!$D$2:$D$11000,"Out",OUT!$E$2:$E$11000,"Iqbal")</f>
        <v>125000</v>
      </c>
    </row>
    <row r="388" spans="1:20" x14ac:dyDescent="0.2">
      <c r="A388" s="48">
        <f ca="1">IFERROR(__xludf.DUMMYFUNCTION("""COMPUTED_VALUE"""),46284)</f>
        <v>46284</v>
      </c>
      <c r="B388" s="4" t="str">
        <f ca="1">IFERROR(__xludf.DUMMYFUNCTION("""COMPUTED_VALUE"""),"Rokok (4)")</f>
        <v>Rokok (4)</v>
      </c>
      <c r="C388" s="4" t="str">
        <f ca="1">IFERROR(__xludf.DUMMYFUNCTION("""COMPUTED_VALUE"""),"ATM")</f>
        <v>ATM</v>
      </c>
      <c r="D388" s="4" t="str">
        <f ca="1">IFERROR(__xludf.DUMMYFUNCTION("""COMPUTED_VALUE"""),"Out")</f>
        <v>Out</v>
      </c>
      <c r="E388" s="4" t="str">
        <f ca="1">IFERROR(__xludf.DUMMYFUNCTION("""COMPUTED_VALUE"""),"Iqbal")</f>
        <v>Iqbal</v>
      </c>
      <c r="F388" s="49">
        <f ca="1">IFERROR(__xludf.DUMMYFUNCTION("""COMPUTED_VALUE"""),17000)</f>
        <v>17000</v>
      </c>
      <c r="G388" s="50" t="str">
        <f ca="1">IFERROR(__xludf.DUMMYFUNCTION("""COMPUTED_VALUE"""),"Ibal")</f>
        <v>Ibal</v>
      </c>
      <c r="H388" s="51">
        <f t="shared" ca="1" si="0"/>
        <v>46266</v>
      </c>
      <c r="I388" s="52" t="e">
        <f ca="1">SUMIFS(OUT!$F$2:$F$11000,OUT!$H$2:$H$11000,H388,OUT!$D$2:$D$101007,"In")</f>
        <v>#VALUE!</v>
      </c>
      <c r="J388" s="52">
        <f ca="1">SUMIFS(OUT!$F$2:$F$11000,OUT!$H$2:$H$11000,H388,OUT!$D$2:$D$11000,"Out")</f>
        <v>7093111</v>
      </c>
      <c r="K388" s="52">
        <f ca="1">SUMIFS(OUT!$F$2:$F$11000,OUT!$H$2:$H$11000,H388,OUT!$D$2:$D$11000,"Out",OUT!$E$2:$E$11000,"Fix")</f>
        <v>2972118</v>
      </c>
      <c r="L388" s="52">
        <f ca="1">SUMIFS(OUT!$F$2:$F$11000,OUT!$H$2:$H$11000,H388,OUT!$D$2:$D$11000,"Out",OUT!$E$2:$E$11000,"Bathroom")</f>
        <v>0</v>
      </c>
      <c r="M388" s="52">
        <f ca="1">SUMIFS(OUT!$F$2:$F$11000,OUT!$H$2:$H$11000,H388,OUT!$D$2:$D$11000,"Out",OUT!$E$2:$E$11000,"Alfa")</f>
        <v>55000</v>
      </c>
      <c r="N388" s="52" t="e">
        <f ca="1">SUMIFS(OUT!$F$2:$F$11000,OUT!$H$2:$H$101007,H388,OUT!$D$2:$D$11000,"Out",OUT!$E$2:$E$11000,"Jajan")</f>
        <v>#VALUE!</v>
      </c>
      <c r="O388" s="52">
        <f ca="1">SUMIFS(OUT!$F$2:$F$11000,OUT!$H$2:$H$11000,H388,OUT!$D$2:$D$11000,"Out",OUT!$E$2:$E$11000,"Kitchen")</f>
        <v>820700</v>
      </c>
      <c r="P388" s="52">
        <f ca="1">SUMIFS(OUT!$F$2:$F$11000,OUT!$H$2:$H$11000,H388,OUT!$D$2:$D$11000,"Out",OUT!$E$2:$E$11000,"Loandry")</f>
        <v>0</v>
      </c>
      <c r="Q388" s="52">
        <f ca="1">SUMIFS(OUT!$F$2:$F$11000,OUT!$H$2:$H$11000,H388,OUT!$D$2:$D$11000,"Out",OUT!$E$2:$E$11000,"Mio")</f>
        <v>137000</v>
      </c>
      <c r="R388" s="52">
        <f ca="1">SUMIFS(OUT!$F$2:$F$11000,OUT!$H$2:$H$11000,H388,OUT!$D$2:$D$11000,"Out",OUT!$E$2:$E$11000,"Sedekah")</f>
        <v>0</v>
      </c>
      <c r="S388" s="52">
        <f ca="1">SUMIFS(OUT!$F$2:$F$11000,OUT!$H$2:$H$11000,H388,OUT!$D$2:$D$11000,"Out",OUT!$E$2:$E$11000,"Zela")</f>
        <v>46126</v>
      </c>
      <c r="T388" s="52">
        <f ca="1">SUMIFS(OUT!$F$2:$F$11000,OUT!$H$2:$H$11000,H388,OUT!$D$2:$D$11000,"Out",OUT!$E$2:$E$11000,"Iqbal")</f>
        <v>125000</v>
      </c>
    </row>
    <row r="389" spans="1:20" x14ac:dyDescent="0.2">
      <c r="A389" s="48">
        <f ca="1">IFERROR(__xludf.DUMMYFUNCTION("""COMPUTED_VALUE"""),46284)</f>
        <v>46284</v>
      </c>
      <c r="B389" s="4" t="str">
        <f ca="1">IFERROR(__xludf.DUMMYFUNCTION("""COMPUTED_VALUE"""),"Token Listrik (kWh 32,7)")</f>
        <v>Token Listrik (kWh 32,7)</v>
      </c>
      <c r="C389" s="4" t="str">
        <f ca="1">IFERROR(__xludf.DUMMYFUNCTION("""COMPUTED_VALUE"""),"ATM")</f>
        <v>ATM</v>
      </c>
      <c r="D389" s="4" t="str">
        <f ca="1">IFERROR(__xludf.DUMMYFUNCTION("""COMPUTED_VALUE"""),"Out")</f>
        <v>Out</v>
      </c>
      <c r="E389" s="4" t="str">
        <f ca="1">IFERROR(__xludf.DUMMYFUNCTION("""COMPUTED_VALUE"""),"Fix")</f>
        <v>Fix</v>
      </c>
      <c r="F389" s="49">
        <f ca="1">IFERROR(__xludf.DUMMYFUNCTION("""COMPUTED_VALUE"""),51750)</f>
        <v>51750</v>
      </c>
      <c r="G389" s="50" t="str">
        <f ca="1">IFERROR(__xludf.DUMMYFUNCTION("""COMPUTED_VALUE"""),"Ibal")</f>
        <v>Ibal</v>
      </c>
      <c r="H389" s="51">
        <f t="shared" ca="1" si="0"/>
        <v>46266</v>
      </c>
      <c r="I389" s="52" t="e">
        <f ca="1">SUMIFS(OUT!$F$2:$F$11000,OUT!$H$2:$H$11000,H389,OUT!$D$2:$D$101007,"In")</f>
        <v>#VALUE!</v>
      </c>
      <c r="J389" s="52">
        <f ca="1">SUMIFS(OUT!$F$2:$F$11000,OUT!$H$2:$H$11000,H389,OUT!$D$2:$D$11000,"Out")</f>
        <v>7093111</v>
      </c>
      <c r="K389" s="52">
        <f ca="1">SUMIFS(OUT!$F$2:$F$11000,OUT!$H$2:$H$11000,H389,OUT!$D$2:$D$11000,"Out",OUT!$E$2:$E$11000,"Fix")</f>
        <v>2972118</v>
      </c>
      <c r="L389" s="52">
        <f ca="1">SUMIFS(OUT!$F$2:$F$11000,OUT!$H$2:$H$11000,H389,OUT!$D$2:$D$11000,"Out",OUT!$E$2:$E$11000,"Bathroom")</f>
        <v>0</v>
      </c>
      <c r="M389" s="52">
        <f ca="1">SUMIFS(OUT!$F$2:$F$11000,OUT!$H$2:$H$11000,H389,OUT!$D$2:$D$11000,"Out",OUT!$E$2:$E$11000,"Alfa")</f>
        <v>55000</v>
      </c>
      <c r="N389" s="52" t="e">
        <f ca="1">SUMIFS(OUT!$F$2:$F$11000,OUT!$H$2:$H$101007,H389,OUT!$D$2:$D$11000,"Out",OUT!$E$2:$E$11000,"Jajan")</f>
        <v>#VALUE!</v>
      </c>
      <c r="O389" s="52">
        <f ca="1">SUMIFS(OUT!$F$2:$F$11000,OUT!$H$2:$H$11000,H389,OUT!$D$2:$D$11000,"Out",OUT!$E$2:$E$11000,"Kitchen")</f>
        <v>820700</v>
      </c>
      <c r="P389" s="52">
        <f ca="1">SUMIFS(OUT!$F$2:$F$11000,OUT!$H$2:$H$11000,H389,OUT!$D$2:$D$11000,"Out",OUT!$E$2:$E$11000,"Loandry")</f>
        <v>0</v>
      </c>
      <c r="Q389" s="52">
        <f ca="1">SUMIFS(OUT!$F$2:$F$11000,OUT!$H$2:$H$11000,H389,OUT!$D$2:$D$11000,"Out",OUT!$E$2:$E$11000,"Mio")</f>
        <v>137000</v>
      </c>
      <c r="R389" s="52">
        <f ca="1">SUMIFS(OUT!$F$2:$F$11000,OUT!$H$2:$H$11000,H389,OUT!$D$2:$D$11000,"Out",OUT!$E$2:$E$11000,"Sedekah")</f>
        <v>0</v>
      </c>
      <c r="S389" s="52">
        <f ca="1">SUMIFS(OUT!$F$2:$F$11000,OUT!$H$2:$H$11000,H389,OUT!$D$2:$D$11000,"Out",OUT!$E$2:$E$11000,"Zela")</f>
        <v>46126</v>
      </c>
      <c r="T389" s="52">
        <f ca="1">SUMIFS(OUT!$F$2:$F$11000,OUT!$H$2:$H$11000,H389,OUT!$D$2:$D$11000,"Out",OUT!$E$2:$E$11000,"Iqbal")</f>
        <v>125000</v>
      </c>
    </row>
    <row r="390" spans="1:20" x14ac:dyDescent="0.2">
      <c r="A390" s="48">
        <f ca="1">IFERROR(__xludf.DUMMYFUNCTION("""COMPUTED_VALUE"""),46050)</f>
        <v>46050</v>
      </c>
      <c r="B390" s="4" t="str">
        <f ca="1">IFERROR(__xludf.DUMMYFUNCTION("""COMPUTED_VALUE"""),"Saldo Awal")</f>
        <v>Saldo Awal</v>
      </c>
      <c r="C390" s="4" t="str">
        <f ca="1">IFERROR(__xludf.DUMMYFUNCTION("""COMPUTED_VALUE"""),"ATM")</f>
        <v>ATM</v>
      </c>
      <c r="D390" s="4" t="str">
        <f ca="1">IFERROR(__xludf.DUMMYFUNCTION("""COMPUTED_VALUE"""),"In")</f>
        <v>In</v>
      </c>
      <c r="E390" s="4" t="str">
        <f ca="1">IFERROR(__xludf.DUMMYFUNCTION("""COMPUTED_VALUE"""),"Fix")</f>
        <v>Fix</v>
      </c>
      <c r="F390" s="49">
        <f ca="1">IFERROR(__xludf.DUMMYFUNCTION("""COMPUTED_VALUE"""),27737)</f>
        <v>27737</v>
      </c>
      <c r="G390" s="50" t="str">
        <f ca="1">IFERROR(__xludf.DUMMYFUNCTION("""COMPUTED_VALUE"""),"Zela")</f>
        <v>Zela</v>
      </c>
      <c r="H390" s="51">
        <f t="shared" ca="1" si="0"/>
        <v>46023</v>
      </c>
      <c r="I390" s="52" t="e">
        <f ca="1">SUMIFS(OUT!$F$2:$F$11000,OUT!$H$2:$H$11000,H390,OUT!$D$2:$D$101007,"In")</f>
        <v>#VALUE!</v>
      </c>
      <c r="J390" s="52">
        <f ca="1">SUMIFS(OUT!$F$2:$F$11000,OUT!$H$2:$H$11000,H390,OUT!$D$2:$D$11000,"Out")</f>
        <v>475850</v>
      </c>
      <c r="K390" s="52">
        <f ca="1">SUMIFS(OUT!$F$2:$F$11000,OUT!$H$2:$H$11000,H390,OUT!$D$2:$D$11000,"Out",OUT!$E$2:$E$11000,"Fix")</f>
        <v>114450</v>
      </c>
      <c r="L390" s="52">
        <f ca="1">SUMIFS(OUT!$F$2:$F$11000,OUT!$H$2:$H$11000,H390,OUT!$D$2:$D$11000,"Out",OUT!$E$2:$E$11000,"Bathroom")</f>
        <v>0</v>
      </c>
      <c r="M390" s="52">
        <f ca="1">SUMIFS(OUT!$F$2:$F$11000,OUT!$H$2:$H$11000,H390,OUT!$D$2:$D$11000,"Out",OUT!$E$2:$E$11000,"Alfa")</f>
        <v>36400</v>
      </c>
      <c r="N390" s="52" t="e">
        <f ca="1">SUMIFS(OUT!$F$2:$F$11000,OUT!$H$2:$H$101007,H390,OUT!$D$2:$D$11000,"Out",OUT!$E$2:$E$11000,"Jajan")</f>
        <v>#VALUE!</v>
      </c>
      <c r="O390" s="52">
        <f ca="1">SUMIFS(OUT!$F$2:$F$11000,OUT!$H$2:$H$11000,H390,OUT!$D$2:$D$11000,"Out",OUT!$E$2:$E$11000,"Kitchen")</f>
        <v>87000</v>
      </c>
      <c r="P390" s="52">
        <f ca="1">SUMIFS(OUT!$F$2:$F$11000,OUT!$H$2:$H$11000,H390,OUT!$D$2:$D$11000,"Out",OUT!$E$2:$E$11000,"Loandry")</f>
        <v>0</v>
      </c>
      <c r="Q390" s="52">
        <f ca="1">SUMIFS(OUT!$F$2:$F$11000,OUT!$H$2:$H$11000,H390,OUT!$D$2:$D$11000,"Out",OUT!$E$2:$E$11000,"Mio")</f>
        <v>0</v>
      </c>
      <c r="R390" s="52">
        <f ca="1">SUMIFS(OUT!$F$2:$F$11000,OUT!$H$2:$H$11000,H390,OUT!$D$2:$D$11000,"Out",OUT!$E$2:$E$11000,"Sedekah")</f>
        <v>0</v>
      </c>
      <c r="S390" s="52">
        <f ca="1">SUMIFS(OUT!$F$2:$F$11000,OUT!$H$2:$H$11000,H390,OUT!$D$2:$D$11000,"Out",OUT!$E$2:$E$11000,"Zela")</f>
        <v>0</v>
      </c>
      <c r="T390" s="52">
        <f ca="1">SUMIFS(OUT!$F$2:$F$11000,OUT!$H$2:$H$11000,H390,OUT!$D$2:$D$11000,"Out",OUT!$E$2:$E$11000,"Iqbal")</f>
        <v>0</v>
      </c>
    </row>
    <row r="391" spans="1:20" x14ac:dyDescent="0.2">
      <c r="A391" s="48">
        <f ca="1">IFERROR(__xludf.DUMMYFUNCTION("""COMPUTED_VALUE"""),46051)</f>
        <v>46051</v>
      </c>
      <c r="B391" s="4" t="str">
        <f ca="1">IFERROR(__xludf.DUMMYFUNCTION("""COMPUTED_VALUE"""),"Suamiku")</f>
        <v>Suamiku</v>
      </c>
      <c r="C391" s="4" t="str">
        <f ca="1">IFERROR(__xludf.DUMMYFUNCTION("""COMPUTED_VALUE"""),"ATM")</f>
        <v>ATM</v>
      </c>
      <c r="D391" s="4" t="str">
        <f ca="1">IFERROR(__xludf.DUMMYFUNCTION("""COMPUTED_VALUE"""),"In")</f>
        <v>In</v>
      </c>
      <c r="E391" s="4" t="str">
        <f ca="1">IFERROR(__xludf.DUMMYFUNCTION("""COMPUTED_VALUE"""),"Fix")</f>
        <v>Fix</v>
      </c>
      <c r="F391" s="49">
        <f ca="1">IFERROR(__xludf.DUMMYFUNCTION("""COMPUTED_VALUE"""),150000)</f>
        <v>150000</v>
      </c>
      <c r="G391" s="50" t="str">
        <f ca="1">IFERROR(__xludf.DUMMYFUNCTION("""COMPUTED_VALUE"""),"Zela")</f>
        <v>Zela</v>
      </c>
      <c r="H391" s="51">
        <f t="shared" ca="1" si="0"/>
        <v>46023</v>
      </c>
      <c r="I391" s="52" t="e">
        <f ca="1">SUMIFS(OUT!$F$2:$F$11000,OUT!$H$2:$H$11000,H391,OUT!$D$2:$D$101007,"In")</f>
        <v>#VALUE!</v>
      </c>
      <c r="J391" s="52">
        <f ca="1">SUMIFS(OUT!$F$2:$F$11000,OUT!$H$2:$H$11000,H391,OUT!$D$2:$D$11000,"Out")</f>
        <v>475850</v>
      </c>
      <c r="K391" s="52">
        <f ca="1">SUMIFS(OUT!$F$2:$F$11000,OUT!$H$2:$H$11000,H391,OUT!$D$2:$D$11000,"Out",OUT!$E$2:$E$11000,"Fix")</f>
        <v>114450</v>
      </c>
      <c r="L391" s="52">
        <f ca="1">SUMIFS(OUT!$F$2:$F$11000,OUT!$H$2:$H$11000,H391,OUT!$D$2:$D$11000,"Out",OUT!$E$2:$E$11000,"Bathroom")</f>
        <v>0</v>
      </c>
      <c r="M391" s="52">
        <f ca="1">SUMIFS(OUT!$F$2:$F$11000,OUT!$H$2:$H$11000,H391,OUT!$D$2:$D$11000,"Out",OUT!$E$2:$E$11000,"Alfa")</f>
        <v>36400</v>
      </c>
      <c r="N391" s="52" t="e">
        <f ca="1">SUMIFS(OUT!$F$2:$F$11000,OUT!$H$2:$H$101007,H391,OUT!$D$2:$D$11000,"Out",OUT!$E$2:$E$11000,"Jajan")</f>
        <v>#VALUE!</v>
      </c>
      <c r="O391" s="52">
        <f ca="1">SUMIFS(OUT!$F$2:$F$11000,OUT!$H$2:$H$11000,H391,OUT!$D$2:$D$11000,"Out",OUT!$E$2:$E$11000,"Kitchen")</f>
        <v>87000</v>
      </c>
      <c r="P391" s="52">
        <f ca="1">SUMIFS(OUT!$F$2:$F$11000,OUT!$H$2:$H$11000,H391,OUT!$D$2:$D$11000,"Out",OUT!$E$2:$E$11000,"Loandry")</f>
        <v>0</v>
      </c>
      <c r="Q391" s="52">
        <f ca="1">SUMIFS(OUT!$F$2:$F$11000,OUT!$H$2:$H$11000,H391,OUT!$D$2:$D$11000,"Out",OUT!$E$2:$E$11000,"Mio")</f>
        <v>0</v>
      </c>
      <c r="R391" s="52">
        <f ca="1">SUMIFS(OUT!$F$2:$F$11000,OUT!$H$2:$H$11000,H391,OUT!$D$2:$D$11000,"Out",OUT!$E$2:$E$11000,"Sedekah")</f>
        <v>0</v>
      </c>
      <c r="S391" s="52">
        <f ca="1">SUMIFS(OUT!$F$2:$F$11000,OUT!$H$2:$H$11000,H391,OUT!$D$2:$D$11000,"Out",OUT!$E$2:$E$11000,"Zela")</f>
        <v>0</v>
      </c>
      <c r="T391" s="52">
        <f ca="1">SUMIFS(OUT!$F$2:$F$11000,OUT!$H$2:$H$11000,H391,OUT!$D$2:$D$11000,"Out",OUT!$E$2:$E$11000,"Iqbal")</f>
        <v>0</v>
      </c>
    </row>
    <row r="392" spans="1:20" x14ac:dyDescent="0.2">
      <c r="A392" s="48">
        <f ca="1">IFERROR(__xludf.DUMMYFUNCTION("""COMPUTED_VALUE"""),46051)</f>
        <v>46051</v>
      </c>
      <c r="B392" s="4" t="str">
        <f ca="1">IFERROR(__xludf.DUMMYFUNCTION("""COMPUTED_VALUE"""),"Byu 15k (6.5gb)")</f>
        <v>Byu 15k (6.5gb)</v>
      </c>
      <c r="C392" s="4" t="str">
        <f ca="1">IFERROR(__xludf.DUMMYFUNCTION("""COMPUTED_VALUE"""),"ATM")</f>
        <v>ATM</v>
      </c>
      <c r="D392" s="4" t="str">
        <f ca="1">IFERROR(__xludf.DUMMYFUNCTION("""COMPUTED_VALUE"""),"Out")</f>
        <v>Out</v>
      </c>
      <c r="E392" s="4" t="str">
        <f ca="1">IFERROR(__xludf.DUMMYFUNCTION("""COMPUTED_VALUE"""),"Fix")</f>
        <v>Fix</v>
      </c>
      <c r="F392" s="49">
        <f ca="1">IFERROR(__xludf.DUMMYFUNCTION("""COMPUTED_VALUE"""),15000)</f>
        <v>15000</v>
      </c>
      <c r="G392" s="50" t="str">
        <f ca="1">IFERROR(__xludf.DUMMYFUNCTION("""COMPUTED_VALUE"""),"Zela")</f>
        <v>Zela</v>
      </c>
      <c r="H392" s="51">
        <f t="shared" ca="1" si="0"/>
        <v>46023</v>
      </c>
      <c r="I392" s="52" t="e">
        <f ca="1">SUMIFS(OUT!$F$2:$F$11000,OUT!$H$2:$H$11000,H392,OUT!$D$2:$D$101007,"In")</f>
        <v>#VALUE!</v>
      </c>
      <c r="J392" s="52">
        <f ca="1">SUMIFS(OUT!$F$2:$F$11000,OUT!$H$2:$H$11000,H392,OUT!$D$2:$D$11000,"Out")</f>
        <v>475850</v>
      </c>
      <c r="K392" s="52">
        <f ca="1">SUMIFS(OUT!$F$2:$F$11000,OUT!$H$2:$H$11000,H392,OUT!$D$2:$D$11000,"Out",OUT!$E$2:$E$11000,"Fix")</f>
        <v>114450</v>
      </c>
      <c r="L392" s="52">
        <f ca="1">SUMIFS(OUT!$F$2:$F$11000,OUT!$H$2:$H$11000,H392,OUT!$D$2:$D$11000,"Out",OUT!$E$2:$E$11000,"Bathroom")</f>
        <v>0</v>
      </c>
      <c r="M392" s="52">
        <f ca="1">SUMIFS(OUT!$F$2:$F$11000,OUT!$H$2:$H$11000,H392,OUT!$D$2:$D$11000,"Out",OUT!$E$2:$E$11000,"Alfa")</f>
        <v>36400</v>
      </c>
      <c r="N392" s="52" t="e">
        <f ca="1">SUMIFS(OUT!$F$2:$F$11000,OUT!$H$2:$H$101007,H392,OUT!$D$2:$D$11000,"Out",OUT!$E$2:$E$11000,"Jajan")</f>
        <v>#VALUE!</v>
      </c>
      <c r="O392" s="52">
        <f ca="1">SUMIFS(OUT!$F$2:$F$11000,OUT!$H$2:$H$11000,H392,OUT!$D$2:$D$11000,"Out",OUT!$E$2:$E$11000,"Kitchen")</f>
        <v>87000</v>
      </c>
      <c r="P392" s="52">
        <f ca="1">SUMIFS(OUT!$F$2:$F$11000,OUT!$H$2:$H$11000,H392,OUT!$D$2:$D$11000,"Out",OUT!$E$2:$E$11000,"Loandry")</f>
        <v>0</v>
      </c>
      <c r="Q392" s="52">
        <f ca="1">SUMIFS(OUT!$F$2:$F$11000,OUT!$H$2:$H$11000,H392,OUT!$D$2:$D$11000,"Out",OUT!$E$2:$E$11000,"Mio")</f>
        <v>0</v>
      </c>
      <c r="R392" s="52">
        <f ca="1">SUMIFS(OUT!$F$2:$F$11000,OUT!$H$2:$H$11000,H392,OUT!$D$2:$D$11000,"Out",OUT!$E$2:$E$11000,"Sedekah")</f>
        <v>0</v>
      </c>
      <c r="S392" s="52">
        <f ca="1">SUMIFS(OUT!$F$2:$F$11000,OUT!$H$2:$H$11000,H392,OUT!$D$2:$D$11000,"Out",OUT!$E$2:$E$11000,"Zela")</f>
        <v>0</v>
      </c>
      <c r="T392" s="52">
        <f ca="1">SUMIFS(OUT!$F$2:$F$11000,OUT!$H$2:$H$11000,H392,OUT!$D$2:$D$11000,"Out",OUT!$E$2:$E$11000,"Iqbal")</f>
        <v>0</v>
      </c>
    </row>
    <row r="393" spans="1:20" x14ac:dyDescent="0.2">
      <c r="A393" s="48">
        <f ca="1">IFERROR(__xludf.DUMMYFUNCTION("""COMPUTED_VALUE"""),46051)</f>
        <v>46051</v>
      </c>
      <c r="B393" s="4" t="str">
        <f ca="1">IFERROR(__xludf.DUMMYFUNCTION("""COMPUTED_VALUE"""),"Tarik tunai")</f>
        <v>Tarik tunai</v>
      </c>
      <c r="C393" s="4" t="str">
        <f ca="1">IFERROR(__xludf.DUMMYFUNCTION("""COMPUTED_VALUE"""),"ATM")</f>
        <v>ATM</v>
      </c>
      <c r="D393" s="4" t="str">
        <f ca="1">IFERROR(__xludf.DUMMYFUNCTION("""COMPUTED_VALUE"""),"Move")</f>
        <v>Move</v>
      </c>
      <c r="E393" s="4" t="str">
        <f ca="1">IFERROR(__xludf.DUMMYFUNCTION("""COMPUTED_VALUE"""),"Move")</f>
        <v>Move</v>
      </c>
      <c r="F393" s="49">
        <f ca="1">IFERROR(__xludf.DUMMYFUNCTION("""COMPUTED_VALUE"""),50000)</f>
        <v>50000</v>
      </c>
      <c r="G393" s="50" t="str">
        <f ca="1">IFERROR(__xludf.DUMMYFUNCTION("""COMPUTED_VALUE"""),"Zela")</f>
        <v>Zela</v>
      </c>
      <c r="H393" s="51">
        <f t="shared" ca="1" si="0"/>
        <v>46023</v>
      </c>
      <c r="I393" s="52" t="e">
        <f ca="1">SUMIFS(OUT!$F$2:$F$11000,OUT!$H$2:$H$11000,H393,OUT!$D$2:$D$101007,"In")</f>
        <v>#VALUE!</v>
      </c>
      <c r="J393" s="52">
        <f ca="1">SUMIFS(OUT!$F$2:$F$11000,OUT!$H$2:$H$11000,H393,OUT!$D$2:$D$11000,"Out")</f>
        <v>475850</v>
      </c>
      <c r="K393" s="52">
        <f ca="1">SUMIFS(OUT!$F$2:$F$11000,OUT!$H$2:$H$11000,H393,OUT!$D$2:$D$11000,"Out",OUT!$E$2:$E$11000,"Fix")</f>
        <v>114450</v>
      </c>
      <c r="L393" s="52">
        <f ca="1">SUMIFS(OUT!$F$2:$F$11000,OUT!$H$2:$H$11000,H393,OUT!$D$2:$D$11000,"Out",OUT!$E$2:$E$11000,"Bathroom")</f>
        <v>0</v>
      </c>
      <c r="M393" s="52">
        <f ca="1">SUMIFS(OUT!$F$2:$F$11000,OUT!$H$2:$H$11000,H393,OUT!$D$2:$D$11000,"Out",OUT!$E$2:$E$11000,"Alfa")</f>
        <v>36400</v>
      </c>
      <c r="N393" s="52" t="e">
        <f ca="1">SUMIFS(OUT!$F$2:$F$11000,OUT!$H$2:$H$101007,H393,OUT!$D$2:$D$11000,"Out",OUT!$E$2:$E$11000,"Jajan")</f>
        <v>#VALUE!</v>
      </c>
      <c r="O393" s="52">
        <f ca="1">SUMIFS(OUT!$F$2:$F$11000,OUT!$H$2:$H$11000,H393,OUT!$D$2:$D$11000,"Out",OUT!$E$2:$E$11000,"Kitchen")</f>
        <v>87000</v>
      </c>
      <c r="P393" s="52">
        <f ca="1">SUMIFS(OUT!$F$2:$F$11000,OUT!$H$2:$H$11000,H393,OUT!$D$2:$D$11000,"Out",OUT!$E$2:$E$11000,"Loandry")</f>
        <v>0</v>
      </c>
      <c r="Q393" s="52">
        <f ca="1">SUMIFS(OUT!$F$2:$F$11000,OUT!$H$2:$H$11000,H393,OUT!$D$2:$D$11000,"Out",OUT!$E$2:$E$11000,"Mio")</f>
        <v>0</v>
      </c>
      <c r="R393" s="52">
        <f ca="1">SUMIFS(OUT!$F$2:$F$11000,OUT!$H$2:$H$11000,H393,OUT!$D$2:$D$11000,"Out",OUT!$E$2:$E$11000,"Sedekah")</f>
        <v>0</v>
      </c>
      <c r="S393" s="52">
        <f ca="1">SUMIFS(OUT!$F$2:$F$11000,OUT!$H$2:$H$11000,H393,OUT!$D$2:$D$11000,"Out",OUT!$E$2:$E$11000,"Zela")</f>
        <v>0</v>
      </c>
      <c r="T393" s="52">
        <f ca="1">SUMIFS(OUT!$F$2:$F$11000,OUT!$H$2:$H$11000,H393,OUT!$D$2:$D$11000,"Out",OUT!$E$2:$E$11000,"Iqbal")</f>
        <v>0</v>
      </c>
    </row>
    <row r="394" spans="1:20" x14ac:dyDescent="0.2">
      <c r="A394" s="48">
        <f ca="1">IFERROR(__xludf.DUMMYFUNCTION("""COMPUTED_VALUE"""),46051)</f>
        <v>46051</v>
      </c>
      <c r="B394" s="4" t="str">
        <f ca="1">IFERROR(__xludf.DUMMYFUNCTION("""COMPUTED_VALUE"""),"Terima tunai")</f>
        <v>Terima tunai</v>
      </c>
      <c r="C394" s="4" t="str">
        <f ca="1">IFERROR(__xludf.DUMMYFUNCTION("""COMPUTED_VALUE"""),"Cash")</f>
        <v>Cash</v>
      </c>
      <c r="D394" s="4" t="str">
        <f ca="1">IFERROR(__xludf.DUMMYFUNCTION("""COMPUTED_VALUE"""),"Move")</f>
        <v>Move</v>
      </c>
      <c r="E394" s="4" t="str">
        <f ca="1">IFERROR(__xludf.DUMMYFUNCTION("""COMPUTED_VALUE"""),"Move")</f>
        <v>Move</v>
      </c>
      <c r="F394" s="49">
        <f ca="1">IFERROR(__xludf.DUMMYFUNCTION("""COMPUTED_VALUE"""),50000)</f>
        <v>50000</v>
      </c>
      <c r="G394" s="50" t="str">
        <f ca="1">IFERROR(__xludf.DUMMYFUNCTION("""COMPUTED_VALUE"""),"Zela")</f>
        <v>Zela</v>
      </c>
      <c r="H394" s="51">
        <f t="shared" ca="1" si="0"/>
        <v>46023</v>
      </c>
      <c r="I394" s="52" t="e">
        <f ca="1">SUMIFS(OUT!$F$2:$F$11000,OUT!$H$2:$H$11000,H394,OUT!$D$2:$D$101007,"In")</f>
        <v>#VALUE!</v>
      </c>
      <c r="J394" s="52">
        <f ca="1">SUMIFS(OUT!$F$2:$F$11000,OUT!$H$2:$H$11000,H394,OUT!$D$2:$D$11000,"Out")</f>
        <v>475850</v>
      </c>
      <c r="K394" s="52">
        <f ca="1">SUMIFS(OUT!$F$2:$F$11000,OUT!$H$2:$H$11000,H394,OUT!$D$2:$D$11000,"Out",OUT!$E$2:$E$11000,"Fix")</f>
        <v>114450</v>
      </c>
      <c r="L394" s="52">
        <f ca="1">SUMIFS(OUT!$F$2:$F$11000,OUT!$H$2:$H$11000,H394,OUT!$D$2:$D$11000,"Out",OUT!$E$2:$E$11000,"Bathroom")</f>
        <v>0</v>
      </c>
      <c r="M394" s="52">
        <f ca="1">SUMIFS(OUT!$F$2:$F$11000,OUT!$H$2:$H$11000,H394,OUT!$D$2:$D$11000,"Out",OUT!$E$2:$E$11000,"Alfa")</f>
        <v>36400</v>
      </c>
      <c r="N394" s="52" t="e">
        <f ca="1">SUMIFS(OUT!$F$2:$F$11000,OUT!$H$2:$H$101007,H394,OUT!$D$2:$D$11000,"Out",OUT!$E$2:$E$11000,"Jajan")</f>
        <v>#VALUE!</v>
      </c>
      <c r="O394" s="52">
        <f ca="1">SUMIFS(OUT!$F$2:$F$11000,OUT!$H$2:$H$11000,H394,OUT!$D$2:$D$11000,"Out",OUT!$E$2:$E$11000,"Kitchen")</f>
        <v>87000</v>
      </c>
      <c r="P394" s="52">
        <f ca="1">SUMIFS(OUT!$F$2:$F$11000,OUT!$H$2:$H$11000,H394,OUT!$D$2:$D$11000,"Out",OUT!$E$2:$E$11000,"Loandry")</f>
        <v>0</v>
      </c>
      <c r="Q394" s="52">
        <f ca="1">SUMIFS(OUT!$F$2:$F$11000,OUT!$H$2:$H$11000,H394,OUT!$D$2:$D$11000,"Out",OUT!$E$2:$E$11000,"Mio")</f>
        <v>0</v>
      </c>
      <c r="R394" s="52">
        <f ca="1">SUMIFS(OUT!$F$2:$F$11000,OUT!$H$2:$H$11000,H394,OUT!$D$2:$D$11000,"Out",OUT!$E$2:$E$11000,"Sedekah")</f>
        <v>0</v>
      </c>
      <c r="S394" s="52">
        <f ca="1">SUMIFS(OUT!$F$2:$F$11000,OUT!$H$2:$H$11000,H394,OUT!$D$2:$D$11000,"Out",OUT!$E$2:$E$11000,"Zela")</f>
        <v>0</v>
      </c>
      <c r="T394" s="52">
        <f ca="1">SUMIFS(OUT!$F$2:$F$11000,OUT!$H$2:$H$11000,H394,OUT!$D$2:$D$11000,"Out",OUT!$E$2:$E$11000,"Iqbal")</f>
        <v>0</v>
      </c>
    </row>
    <row r="395" spans="1:20" x14ac:dyDescent="0.2">
      <c r="A395" s="48">
        <f ca="1">IFERROR(__xludf.DUMMYFUNCTION("""COMPUTED_VALUE"""),46051)</f>
        <v>46051</v>
      </c>
      <c r="B395" s="4" t="str">
        <f ca="1">IFERROR(__xludf.DUMMYFUNCTION("""COMPUTED_VALUE"""),"Minyakita")</f>
        <v>Minyakita</v>
      </c>
      <c r="C395" s="4" t="str">
        <f ca="1">IFERROR(__xludf.DUMMYFUNCTION("""COMPUTED_VALUE"""),"Cash")</f>
        <v>Cash</v>
      </c>
      <c r="D395" s="4" t="str">
        <f ca="1">IFERROR(__xludf.DUMMYFUNCTION("""COMPUTED_VALUE"""),"Out")</f>
        <v>Out</v>
      </c>
      <c r="E395" s="4" t="str">
        <f ca="1">IFERROR(__xludf.DUMMYFUNCTION("""COMPUTED_VALUE"""),"Kitchen")</f>
        <v>Kitchen</v>
      </c>
      <c r="F395" s="49">
        <f ca="1">IFERROR(__xludf.DUMMYFUNCTION("""COMPUTED_VALUE"""),17000)</f>
        <v>17000</v>
      </c>
      <c r="G395" s="50" t="str">
        <f ca="1">IFERROR(__xludf.DUMMYFUNCTION("""COMPUTED_VALUE"""),"Zela")</f>
        <v>Zela</v>
      </c>
      <c r="H395" s="51">
        <f t="shared" ca="1" si="0"/>
        <v>46023</v>
      </c>
      <c r="I395" s="52" t="e">
        <f ca="1">SUMIFS(OUT!$F$2:$F$11000,OUT!$H$2:$H$11000,H395,OUT!$D$2:$D$101007,"In")</f>
        <v>#VALUE!</v>
      </c>
      <c r="J395" s="52">
        <f ca="1">SUMIFS(OUT!$F$2:$F$11000,OUT!$H$2:$H$11000,H395,OUT!$D$2:$D$11000,"Out")</f>
        <v>475850</v>
      </c>
      <c r="K395" s="52">
        <f ca="1">SUMIFS(OUT!$F$2:$F$11000,OUT!$H$2:$H$11000,H395,OUT!$D$2:$D$11000,"Out",OUT!$E$2:$E$11000,"Fix")</f>
        <v>114450</v>
      </c>
      <c r="L395" s="52">
        <f ca="1">SUMIFS(OUT!$F$2:$F$11000,OUT!$H$2:$H$11000,H395,OUT!$D$2:$D$11000,"Out",OUT!$E$2:$E$11000,"Bathroom")</f>
        <v>0</v>
      </c>
      <c r="M395" s="52">
        <f ca="1">SUMIFS(OUT!$F$2:$F$11000,OUT!$H$2:$H$11000,H395,OUT!$D$2:$D$11000,"Out",OUT!$E$2:$E$11000,"Alfa")</f>
        <v>36400</v>
      </c>
      <c r="N395" s="52" t="e">
        <f ca="1">SUMIFS(OUT!$F$2:$F$11000,OUT!$H$2:$H$101007,H395,OUT!$D$2:$D$11000,"Out",OUT!$E$2:$E$11000,"Jajan")</f>
        <v>#VALUE!</v>
      </c>
      <c r="O395" s="52">
        <f ca="1">SUMIFS(OUT!$F$2:$F$11000,OUT!$H$2:$H$11000,H395,OUT!$D$2:$D$11000,"Out",OUT!$E$2:$E$11000,"Kitchen")</f>
        <v>87000</v>
      </c>
      <c r="P395" s="52">
        <f ca="1">SUMIFS(OUT!$F$2:$F$11000,OUT!$H$2:$H$11000,H395,OUT!$D$2:$D$11000,"Out",OUT!$E$2:$E$11000,"Loandry")</f>
        <v>0</v>
      </c>
      <c r="Q395" s="52">
        <f ca="1">SUMIFS(OUT!$F$2:$F$11000,OUT!$H$2:$H$11000,H395,OUT!$D$2:$D$11000,"Out",OUT!$E$2:$E$11000,"Mio")</f>
        <v>0</v>
      </c>
      <c r="R395" s="52">
        <f ca="1">SUMIFS(OUT!$F$2:$F$11000,OUT!$H$2:$H$11000,H395,OUT!$D$2:$D$11000,"Out",OUT!$E$2:$E$11000,"Sedekah")</f>
        <v>0</v>
      </c>
      <c r="S395" s="52">
        <f ca="1">SUMIFS(OUT!$F$2:$F$11000,OUT!$H$2:$H$11000,H395,OUT!$D$2:$D$11000,"Out",OUT!$E$2:$E$11000,"Zela")</f>
        <v>0</v>
      </c>
      <c r="T395" s="52">
        <f ca="1">SUMIFS(OUT!$F$2:$F$11000,OUT!$H$2:$H$11000,H395,OUT!$D$2:$D$11000,"Out",OUT!$E$2:$E$11000,"Iqbal")</f>
        <v>0</v>
      </c>
    </row>
    <row r="396" spans="1:20" x14ac:dyDescent="0.2">
      <c r="A396" s="48">
        <f ca="1">IFERROR(__xludf.DUMMYFUNCTION("""COMPUTED_VALUE"""),46051)</f>
        <v>46051</v>
      </c>
      <c r="B396" s="4" t="str">
        <f ca="1">IFERROR(__xludf.DUMMYFUNCTION("""COMPUTED_VALUE"""),"Hit listrik")</f>
        <v>Hit listrik</v>
      </c>
      <c r="C396" s="4" t="str">
        <f ca="1">IFERROR(__xludf.DUMMYFUNCTION("""COMPUTED_VALUE"""),"Cash")</f>
        <v>Cash</v>
      </c>
      <c r="D396" s="4" t="str">
        <f ca="1">IFERROR(__xludf.DUMMYFUNCTION("""COMPUTED_VALUE"""),"Out")</f>
        <v>Out</v>
      </c>
      <c r="E396" s="4" t="str">
        <f ca="1">IFERROR(__xludf.DUMMYFUNCTION("""COMPUTED_VALUE"""),"Kitchen")</f>
        <v>Kitchen</v>
      </c>
      <c r="F396" s="49">
        <f ca="1">IFERROR(__xludf.DUMMYFUNCTION("""COMPUTED_VALUE"""),7000)</f>
        <v>7000</v>
      </c>
      <c r="G396" s="50" t="str">
        <f ca="1">IFERROR(__xludf.DUMMYFUNCTION("""COMPUTED_VALUE"""),"Zela")</f>
        <v>Zela</v>
      </c>
      <c r="H396" s="51">
        <f t="shared" ca="1" si="0"/>
        <v>46023</v>
      </c>
      <c r="I396" s="52" t="e">
        <f ca="1">SUMIFS(OUT!$F$2:$F$11000,OUT!$H$2:$H$11000,H396,OUT!$D$2:$D$101007,"In")</f>
        <v>#VALUE!</v>
      </c>
      <c r="J396" s="52">
        <f ca="1">SUMIFS(OUT!$F$2:$F$11000,OUT!$H$2:$H$11000,H396,OUT!$D$2:$D$11000,"Out")</f>
        <v>475850</v>
      </c>
      <c r="K396" s="52">
        <f ca="1">SUMIFS(OUT!$F$2:$F$11000,OUT!$H$2:$H$11000,H396,OUT!$D$2:$D$11000,"Out",OUT!$E$2:$E$11000,"Fix")</f>
        <v>114450</v>
      </c>
      <c r="L396" s="52">
        <f ca="1">SUMIFS(OUT!$F$2:$F$11000,OUT!$H$2:$H$11000,H396,OUT!$D$2:$D$11000,"Out",OUT!$E$2:$E$11000,"Bathroom")</f>
        <v>0</v>
      </c>
      <c r="M396" s="52">
        <f ca="1">SUMIFS(OUT!$F$2:$F$11000,OUT!$H$2:$H$11000,H396,OUT!$D$2:$D$11000,"Out",OUT!$E$2:$E$11000,"Alfa")</f>
        <v>36400</v>
      </c>
      <c r="N396" s="52" t="e">
        <f ca="1">SUMIFS(OUT!$F$2:$F$11000,OUT!$H$2:$H$101007,H396,OUT!$D$2:$D$11000,"Out",OUT!$E$2:$E$11000,"Jajan")</f>
        <v>#VALUE!</v>
      </c>
      <c r="O396" s="52">
        <f ca="1">SUMIFS(OUT!$F$2:$F$11000,OUT!$H$2:$H$11000,H396,OUT!$D$2:$D$11000,"Out",OUT!$E$2:$E$11000,"Kitchen")</f>
        <v>87000</v>
      </c>
      <c r="P396" s="52">
        <f ca="1">SUMIFS(OUT!$F$2:$F$11000,OUT!$H$2:$H$11000,H396,OUT!$D$2:$D$11000,"Out",OUT!$E$2:$E$11000,"Loandry")</f>
        <v>0</v>
      </c>
      <c r="Q396" s="52">
        <f ca="1">SUMIFS(OUT!$F$2:$F$11000,OUT!$H$2:$H$11000,H396,OUT!$D$2:$D$11000,"Out",OUT!$E$2:$E$11000,"Mio")</f>
        <v>0</v>
      </c>
      <c r="R396" s="52">
        <f ca="1">SUMIFS(OUT!$F$2:$F$11000,OUT!$H$2:$H$11000,H396,OUT!$D$2:$D$11000,"Out",OUT!$E$2:$E$11000,"Sedekah")</f>
        <v>0</v>
      </c>
      <c r="S396" s="52">
        <f ca="1">SUMIFS(OUT!$F$2:$F$11000,OUT!$H$2:$H$11000,H396,OUT!$D$2:$D$11000,"Out",OUT!$E$2:$E$11000,"Zela")</f>
        <v>0</v>
      </c>
      <c r="T396" s="52">
        <f ca="1">SUMIFS(OUT!$F$2:$F$11000,OUT!$H$2:$H$11000,H396,OUT!$D$2:$D$11000,"Out",OUT!$E$2:$E$11000,"Iqbal")</f>
        <v>0</v>
      </c>
    </row>
    <row r="397" spans="1:20" x14ac:dyDescent="0.2">
      <c r="A397" s="48">
        <f ca="1">IFERROR(__xludf.DUMMYFUNCTION("""COMPUTED_VALUE"""),46051)</f>
        <v>46051</v>
      </c>
      <c r="B397" s="4" t="str">
        <f ca="1">IFERROR(__xludf.DUMMYFUNCTION("""COMPUTED_VALUE"""),"Piscok")</f>
        <v>Piscok</v>
      </c>
      <c r="C397" s="4" t="str">
        <f ca="1">IFERROR(__xludf.DUMMYFUNCTION("""COMPUTED_VALUE"""),"Cash")</f>
        <v>Cash</v>
      </c>
      <c r="D397" s="4" t="str">
        <f ca="1">IFERROR(__xludf.DUMMYFUNCTION("""COMPUTED_VALUE"""),"Out")</f>
        <v>Out</v>
      </c>
      <c r="E397" s="4" t="str">
        <f ca="1">IFERROR(__xludf.DUMMYFUNCTION("""COMPUTED_VALUE"""),"Jajan")</f>
        <v>Jajan</v>
      </c>
      <c r="F397" s="49">
        <f ca="1">IFERROR(__xludf.DUMMYFUNCTION("""COMPUTED_VALUE"""),16000)</f>
        <v>16000</v>
      </c>
      <c r="G397" s="50" t="str">
        <f ca="1">IFERROR(__xludf.DUMMYFUNCTION("""COMPUTED_VALUE"""),"Zela")</f>
        <v>Zela</v>
      </c>
      <c r="H397" s="51">
        <f t="shared" ca="1" si="0"/>
        <v>46023</v>
      </c>
      <c r="I397" s="52" t="e">
        <f ca="1">SUMIFS(OUT!$F$2:$F$11000,OUT!$H$2:$H$11000,H397,OUT!$D$2:$D$101007,"In")</f>
        <v>#VALUE!</v>
      </c>
      <c r="J397" s="52">
        <f ca="1">SUMIFS(OUT!$F$2:$F$11000,OUT!$H$2:$H$11000,H397,OUT!$D$2:$D$11000,"Out")</f>
        <v>475850</v>
      </c>
      <c r="K397" s="52">
        <f ca="1">SUMIFS(OUT!$F$2:$F$11000,OUT!$H$2:$H$11000,H397,OUT!$D$2:$D$11000,"Out",OUT!$E$2:$E$11000,"Fix")</f>
        <v>114450</v>
      </c>
      <c r="L397" s="52">
        <f ca="1">SUMIFS(OUT!$F$2:$F$11000,OUT!$H$2:$H$11000,H397,OUT!$D$2:$D$11000,"Out",OUT!$E$2:$E$11000,"Bathroom")</f>
        <v>0</v>
      </c>
      <c r="M397" s="52">
        <f ca="1">SUMIFS(OUT!$F$2:$F$11000,OUT!$H$2:$H$11000,H397,OUT!$D$2:$D$11000,"Out",OUT!$E$2:$E$11000,"Alfa")</f>
        <v>36400</v>
      </c>
      <c r="N397" s="52" t="e">
        <f ca="1">SUMIFS(OUT!$F$2:$F$11000,OUT!$H$2:$H$101007,H397,OUT!$D$2:$D$11000,"Out",OUT!$E$2:$E$11000,"Jajan")</f>
        <v>#VALUE!</v>
      </c>
      <c r="O397" s="52">
        <f ca="1">SUMIFS(OUT!$F$2:$F$11000,OUT!$H$2:$H$11000,H397,OUT!$D$2:$D$11000,"Out",OUT!$E$2:$E$11000,"Kitchen")</f>
        <v>87000</v>
      </c>
      <c r="P397" s="52">
        <f ca="1">SUMIFS(OUT!$F$2:$F$11000,OUT!$H$2:$H$11000,H397,OUT!$D$2:$D$11000,"Out",OUT!$E$2:$E$11000,"Loandry")</f>
        <v>0</v>
      </c>
      <c r="Q397" s="52">
        <f ca="1">SUMIFS(OUT!$F$2:$F$11000,OUT!$H$2:$H$11000,H397,OUT!$D$2:$D$11000,"Out",OUT!$E$2:$E$11000,"Mio")</f>
        <v>0</v>
      </c>
      <c r="R397" s="52">
        <f ca="1">SUMIFS(OUT!$F$2:$F$11000,OUT!$H$2:$H$11000,H397,OUT!$D$2:$D$11000,"Out",OUT!$E$2:$E$11000,"Sedekah")</f>
        <v>0</v>
      </c>
      <c r="S397" s="52">
        <f ca="1">SUMIFS(OUT!$F$2:$F$11000,OUT!$H$2:$H$11000,H397,OUT!$D$2:$D$11000,"Out",OUT!$E$2:$E$11000,"Zela")</f>
        <v>0</v>
      </c>
      <c r="T397" s="52">
        <f ca="1">SUMIFS(OUT!$F$2:$F$11000,OUT!$H$2:$H$11000,H397,OUT!$D$2:$D$11000,"Out",OUT!$E$2:$E$11000,"Iqbal")</f>
        <v>0</v>
      </c>
    </row>
    <row r="398" spans="1:20" x14ac:dyDescent="0.2">
      <c r="A398" s="48">
        <f ca="1">IFERROR(__xludf.DUMMYFUNCTION("""COMPUTED_VALUE"""),46051)</f>
        <v>46051</v>
      </c>
      <c r="B398" s="4" t="str">
        <f ca="1">IFERROR(__xludf.DUMMYFUNCTION("""COMPUTED_VALUE"""),"Kapal api 60gr")</f>
        <v>Kapal api 60gr</v>
      </c>
      <c r="C398" s="4" t="str">
        <f ca="1">IFERROR(__xludf.DUMMYFUNCTION("""COMPUTED_VALUE"""),"Cash")</f>
        <v>Cash</v>
      </c>
      <c r="D398" s="4" t="str">
        <f ca="1">IFERROR(__xludf.DUMMYFUNCTION("""COMPUTED_VALUE"""),"Out")</f>
        <v>Out</v>
      </c>
      <c r="E398" s="4" t="str">
        <f ca="1">IFERROR(__xludf.DUMMYFUNCTION("""COMPUTED_VALUE"""),"Jajan")</f>
        <v>Jajan</v>
      </c>
      <c r="F398" s="49">
        <f ca="1">IFERROR(__xludf.DUMMYFUNCTION("""COMPUTED_VALUE"""),10000)</f>
        <v>10000</v>
      </c>
      <c r="G398" s="50" t="str">
        <f ca="1">IFERROR(__xludf.DUMMYFUNCTION("""COMPUTED_VALUE"""),"Zela")</f>
        <v>Zela</v>
      </c>
      <c r="H398" s="51">
        <f t="shared" ca="1" si="0"/>
        <v>46023</v>
      </c>
      <c r="I398" s="52" t="e">
        <f ca="1">SUMIFS(OUT!$F$2:$F$11000,OUT!$H$2:$H$11000,H398,OUT!$D$2:$D$101007,"In")</f>
        <v>#VALUE!</v>
      </c>
      <c r="J398" s="52">
        <f ca="1">SUMIFS(OUT!$F$2:$F$11000,OUT!$H$2:$H$11000,H398,OUT!$D$2:$D$11000,"Out")</f>
        <v>475850</v>
      </c>
      <c r="K398" s="52">
        <f ca="1">SUMIFS(OUT!$F$2:$F$11000,OUT!$H$2:$H$11000,H398,OUT!$D$2:$D$11000,"Out",OUT!$E$2:$E$11000,"Fix")</f>
        <v>114450</v>
      </c>
      <c r="L398" s="52">
        <f ca="1">SUMIFS(OUT!$F$2:$F$11000,OUT!$H$2:$H$11000,H398,OUT!$D$2:$D$11000,"Out",OUT!$E$2:$E$11000,"Bathroom")</f>
        <v>0</v>
      </c>
      <c r="M398" s="52">
        <f ca="1">SUMIFS(OUT!$F$2:$F$11000,OUT!$H$2:$H$11000,H398,OUT!$D$2:$D$11000,"Out",OUT!$E$2:$E$11000,"Alfa")</f>
        <v>36400</v>
      </c>
      <c r="N398" s="52" t="e">
        <f ca="1">SUMIFS(OUT!$F$2:$F$11000,OUT!$H$2:$H$101007,H398,OUT!$D$2:$D$11000,"Out",OUT!$E$2:$E$11000,"Jajan")</f>
        <v>#VALUE!</v>
      </c>
      <c r="O398" s="52">
        <f ca="1">SUMIFS(OUT!$F$2:$F$11000,OUT!$H$2:$H$11000,H398,OUT!$D$2:$D$11000,"Out",OUT!$E$2:$E$11000,"Kitchen")</f>
        <v>87000</v>
      </c>
      <c r="P398" s="52">
        <f ca="1">SUMIFS(OUT!$F$2:$F$11000,OUT!$H$2:$H$11000,H398,OUT!$D$2:$D$11000,"Out",OUT!$E$2:$E$11000,"Loandry")</f>
        <v>0</v>
      </c>
      <c r="Q398" s="52">
        <f ca="1">SUMIFS(OUT!$F$2:$F$11000,OUT!$H$2:$H$11000,H398,OUT!$D$2:$D$11000,"Out",OUT!$E$2:$E$11000,"Mio")</f>
        <v>0</v>
      </c>
      <c r="R398" s="52">
        <f ca="1">SUMIFS(OUT!$F$2:$F$11000,OUT!$H$2:$H$11000,H398,OUT!$D$2:$D$11000,"Out",OUT!$E$2:$E$11000,"Sedekah")</f>
        <v>0</v>
      </c>
      <c r="S398" s="52">
        <f ca="1">SUMIFS(OUT!$F$2:$F$11000,OUT!$H$2:$H$11000,H398,OUT!$D$2:$D$11000,"Out",OUT!$E$2:$E$11000,"Zela")</f>
        <v>0</v>
      </c>
      <c r="T398" s="52">
        <f ca="1">SUMIFS(OUT!$F$2:$F$11000,OUT!$H$2:$H$11000,H398,OUT!$D$2:$D$11000,"Out",OUT!$E$2:$E$11000,"Iqbal")</f>
        <v>0</v>
      </c>
    </row>
    <row r="399" spans="1:20" x14ac:dyDescent="0.2">
      <c r="A399" s="48">
        <f ca="1">IFERROR(__xludf.DUMMYFUNCTION("""COMPUTED_VALUE"""),46051)</f>
        <v>46051</v>
      </c>
      <c r="B399" s="4" t="str">
        <f ca="1">IFERROR(__xludf.DUMMYFUNCTION("""COMPUTED_VALUE"""),"Popok Alfa")</f>
        <v>Popok Alfa</v>
      </c>
      <c r="C399" s="4" t="str">
        <f ca="1">IFERROR(__xludf.DUMMYFUNCTION("""COMPUTED_VALUE"""),"ATM")</f>
        <v>ATM</v>
      </c>
      <c r="D399" s="4" t="str">
        <f ca="1">IFERROR(__xludf.DUMMYFUNCTION("""COMPUTED_VALUE"""),"Out")</f>
        <v>Out</v>
      </c>
      <c r="E399" s="4" t="str">
        <f ca="1">IFERROR(__xludf.DUMMYFUNCTION("""COMPUTED_VALUE"""),"Alfa")</f>
        <v>Alfa</v>
      </c>
      <c r="F399" s="49">
        <f ca="1">IFERROR(__xludf.DUMMYFUNCTION("""COMPUTED_VALUE"""),36400)</f>
        <v>36400</v>
      </c>
      <c r="G399" s="50" t="str">
        <f ca="1">IFERROR(__xludf.DUMMYFUNCTION("""COMPUTED_VALUE"""),"Zela")</f>
        <v>Zela</v>
      </c>
      <c r="H399" s="51">
        <f t="shared" ca="1" si="0"/>
        <v>46023</v>
      </c>
      <c r="I399" s="52" t="e">
        <f ca="1">SUMIFS(OUT!$F$2:$F$11000,OUT!$H$2:$H$11000,H399,OUT!$D$2:$D$101007,"In")</f>
        <v>#VALUE!</v>
      </c>
      <c r="J399" s="52">
        <f ca="1">SUMIFS(OUT!$F$2:$F$11000,OUT!$H$2:$H$11000,H399,OUT!$D$2:$D$11000,"Out")</f>
        <v>475850</v>
      </c>
      <c r="K399" s="52">
        <f ca="1">SUMIFS(OUT!$F$2:$F$11000,OUT!$H$2:$H$11000,H399,OUT!$D$2:$D$11000,"Out",OUT!$E$2:$E$11000,"Fix")</f>
        <v>114450</v>
      </c>
      <c r="L399" s="52">
        <f ca="1">SUMIFS(OUT!$F$2:$F$11000,OUT!$H$2:$H$11000,H399,OUT!$D$2:$D$11000,"Out",OUT!$E$2:$E$11000,"Bathroom")</f>
        <v>0</v>
      </c>
      <c r="M399" s="52">
        <f ca="1">SUMIFS(OUT!$F$2:$F$11000,OUT!$H$2:$H$11000,H399,OUT!$D$2:$D$11000,"Out",OUT!$E$2:$E$11000,"Alfa")</f>
        <v>36400</v>
      </c>
      <c r="N399" s="52" t="e">
        <f ca="1">SUMIFS(OUT!$F$2:$F$11000,OUT!$H$2:$H$101007,H399,OUT!$D$2:$D$11000,"Out",OUT!$E$2:$E$11000,"Jajan")</f>
        <v>#VALUE!</v>
      </c>
      <c r="O399" s="52">
        <f ca="1">SUMIFS(OUT!$F$2:$F$11000,OUT!$H$2:$H$11000,H399,OUT!$D$2:$D$11000,"Out",OUT!$E$2:$E$11000,"Kitchen")</f>
        <v>87000</v>
      </c>
      <c r="P399" s="52">
        <f ca="1">SUMIFS(OUT!$F$2:$F$11000,OUT!$H$2:$H$11000,H399,OUT!$D$2:$D$11000,"Out",OUT!$E$2:$E$11000,"Loandry")</f>
        <v>0</v>
      </c>
      <c r="Q399" s="52">
        <f ca="1">SUMIFS(OUT!$F$2:$F$11000,OUT!$H$2:$H$11000,H399,OUT!$D$2:$D$11000,"Out",OUT!$E$2:$E$11000,"Mio")</f>
        <v>0</v>
      </c>
      <c r="R399" s="52">
        <f ca="1">SUMIFS(OUT!$F$2:$F$11000,OUT!$H$2:$H$11000,H399,OUT!$D$2:$D$11000,"Out",OUT!$E$2:$E$11000,"Sedekah")</f>
        <v>0</v>
      </c>
      <c r="S399" s="52">
        <f ca="1">SUMIFS(OUT!$F$2:$F$11000,OUT!$H$2:$H$11000,H399,OUT!$D$2:$D$11000,"Out",OUT!$E$2:$E$11000,"Zela")</f>
        <v>0</v>
      </c>
      <c r="T399" s="52">
        <f ca="1">SUMIFS(OUT!$F$2:$F$11000,OUT!$H$2:$H$11000,H399,OUT!$D$2:$D$11000,"Out",OUT!$E$2:$E$11000,"Iqbal")</f>
        <v>0</v>
      </c>
    </row>
    <row r="400" spans="1:20" x14ac:dyDescent="0.2">
      <c r="A400" s="48">
        <f ca="1">IFERROR(__xludf.DUMMYFUNCTION("""COMPUTED_VALUE"""),46052)</f>
        <v>46052</v>
      </c>
      <c r="B400" s="4" t="str">
        <f ca="1">IFERROR(__xludf.DUMMYFUNCTION("""COMPUTED_VALUE"""),"Suamiku")</f>
        <v>Suamiku</v>
      </c>
      <c r="C400" s="4" t="str">
        <f ca="1">IFERROR(__xludf.DUMMYFUNCTION("""COMPUTED_VALUE"""),"ATM")</f>
        <v>ATM</v>
      </c>
      <c r="D400" s="4" t="str">
        <f ca="1">IFERROR(__xludf.DUMMYFUNCTION("""COMPUTED_VALUE"""),"In")</f>
        <v>In</v>
      </c>
      <c r="E400" s="4" t="str">
        <f ca="1">IFERROR(__xludf.DUMMYFUNCTION("""COMPUTED_VALUE"""),"Fix")</f>
        <v>Fix</v>
      </c>
      <c r="F400" s="49">
        <f ca="1">IFERROR(__xludf.DUMMYFUNCTION("""COMPUTED_VALUE"""),50000)</f>
        <v>50000</v>
      </c>
      <c r="G400" s="50" t="str">
        <f ca="1">IFERROR(__xludf.DUMMYFUNCTION("""COMPUTED_VALUE"""),"Zela")</f>
        <v>Zela</v>
      </c>
      <c r="H400" s="51">
        <f t="shared" ca="1" si="0"/>
        <v>46023</v>
      </c>
      <c r="I400" s="52" t="e">
        <f ca="1">SUMIFS(OUT!$F$2:$F$11000,OUT!$H$2:$H$11000,H400,OUT!$D$2:$D$101007,"In")</f>
        <v>#VALUE!</v>
      </c>
      <c r="J400" s="52">
        <f ca="1">SUMIFS(OUT!$F$2:$F$11000,OUT!$H$2:$H$11000,H400,OUT!$D$2:$D$11000,"Out")</f>
        <v>475850</v>
      </c>
      <c r="K400" s="52">
        <f ca="1">SUMIFS(OUT!$F$2:$F$11000,OUT!$H$2:$H$11000,H400,OUT!$D$2:$D$11000,"Out",OUT!$E$2:$E$11000,"Fix")</f>
        <v>114450</v>
      </c>
      <c r="L400" s="52">
        <f ca="1">SUMIFS(OUT!$F$2:$F$11000,OUT!$H$2:$H$11000,H400,OUT!$D$2:$D$11000,"Out",OUT!$E$2:$E$11000,"Bathroom")</f>
        <v>0</v>
      </c>
      <c r="M400" s="52">
        <f ca="1">SUMIFS(OUT!$F$2:$F$11000,OUT!$H$2:$H$11000,H400,OUT!$D$2:$D$11000,"Out",OUT!$E$2:$E$11000,"Alfa")</f>
        <v>36400</v>
      </c>
      <c r="N400" s="52" t="e">
        <f ca="1">SUMIFS(OUT!$F$2:$F$11000,OUT!$H$2:$H$101007,H400,OUT!$D$2:$D$11000,"Out",OUT!$E$2:$E$11000,"Jajan")</f>
        <v>#VALUE!</v>
      </c>
      <c r="O400" s="52">
        <f ca="1">SUMIFS(OUT!$F$2:$F$11000,OUT!$H$2:$H$11000,H400,OUT!$D$2:$D$11000,"Out",OUT!$E$2:$E$11000,"Kitchen")</f>
        <v>87000</v>
      </c>
      <c r="P400" s="52">
        <f ca="1">SUMIFS(OUT!$F$2:$F$11000,OUT!$H$2:$H$11000,H400,OUT!$D$2:$D$11000,"Out",OUT!$E$2:$E$11000,"Loandry")</f>
        <v>0</v>
      </c>
      <c r="Q400" s="52">
        <f ca="1">SUMIFS(OUT!$F$2:$F$11000,OUT!$H$2:$H$11000,H400,OUT!$D$2:$D$11000,"Out",OUT!$E$2:$E$11000,"Mio")</f>
        <v>0</v>
      </c>
      <c r="R400" s="52">
        <f ca="1">SUMIFS(OUT!$F$2:$F$11000,OUT!$H$2:$H$11000,H400,OUT!$D$2:$D$11000,"Out",OUT!$E$2:$E$11000,"Sedekah")</f>
        <v>0</v>
      </c>
      <c r="S400" s="52">
        <f ca="1">SUMIFS(OUT!$F$2:$F$11000,OUT!$H$2:$H$11000,H400,OUT!$D$2:$D$11000,"Out",OUT!$E$2:$E$11000,"Zela")</f>
        <v>0</v>
      </c>
      <c r="T400" s="52">
        <f ca="1">SUMIFS(OUT!$F$2:$F$11000,OUT!$H$2:$H$11000,H400,OUT!$D$2:$D$11000,"Out",OUT!$E$2:$E$11000,"Iqbal")</f>
        <v>0</v>
      </c>
    </row>
    <row r="401" spans="1:20" x14ac:dyDescent="0.2">
      <c r="A401" s="48">
        <f ca="1">IFERROR(__xludf.DUMMYFUNCTION("""COMPUTED_VALUE"""),46052)</f>
        <v>46052</v>
      </c>
      <c r="B401" s="4" t="str">
        <f ca="1">IFERROR(__xludf.DUMMYFUNCTION("""COMPUTED_VALUE"""),"Tarik tunai")</f>
        <v>Tarik tunai</v>
      </c>
      <c r="C401" s="4" t="str">
        <f ca="1">IFERROR(__xludf.DUMMYFUNCTION("""COMPUTED_VALUE"""),"ATM")</f>
        <v>ATM</v>
      </c>
      <c r="D401" s="4" t="str">
        <f ca="1">IFERROR(__xludf.DUMMYFUNCTION("""COMPUTED_VALUE"""),"Move")</f>
        <v>Move</v>
      </c>
      <c r="E401" s="4" t="str">
        <f ca="1">IFERROR(__xludf.DUMMYFUNCTION("""COMPUTED_VALUE"""),"Move")</f>
        <v>Move</v>
      </c>
      <c r="F401" s="49">
        <f ca="1">IFERROR(__xludf.DUMMYFUNCTION("""COMPUTED_VALUE"""),100000)</f>
        <v>100000</v>
      </c>
      <c r="G401" s="50" t="str">
        <f ca="1">IFERROR(__xludf.DUMMYFUNCTION("""COMPUTED_VALUE"""),"Zela")</f>
        <v>Zela</v>
      </c>
      <c r="H401" s="51">
        <f t="shared" ca="1" si="0"/>
        <v>46023</v>
      </c>
      <c r="I401" s="52" t="e">
        <f ca="1">SUMIFS(OUT!$F$2:$F$11000,OUT!$H$2:$H$11000,H401,OUT!$D$2:$D$101007,"In")</f>
        <v>#VALUE!</v>
      </c>
      <c r="J401" s="52">
        <f ca="1">SUMIFS(OUT!$F$2:$F$11000,OUT!$H$2:$H$11000,H401,OUT!$D$2:$D$11000,"Out")</f>
        <v>475850</v>
      </c>
      <c r="K401" s="52">
        <f ca="1">SUMIFS(OUT!$F$2:$F$11000,OUT!$H$2:$H$11000,H401,OUT!$D$2:$D$11000,"Out",OUT!$E$2:$E$11000,"Fix")</f>
        <v>114450</v>
      </c>
      <c r="L401" s="52">
        <f ca="1">SUMIFS(OUT!$F$2:$F$11000,OUT!$H$2:$H$11000,H401,OUT!$D$2:$D$11000,"Out",OUT!$E$2:$E$11000,"Bathroom")</f>
        <v>0</v>
      </c>
      <c r="M401" s="52">
        <f ca="1">SUMIFS(OUT!$F$2:$F$11000,OUT!$H$2:$H$11000,H401,OUT!$D$2:$D$11000,"Out",OUT!$E$2:$E$11000,"Alfa")</f>
        <v>36400</v>
      </c>
      <c r="N401" s="52" t="e">
        <f ca="1">SUMIFS(OUT!$F$2:$F$11000,OUT!$H$2:$H$101007,H401,OUT!$D$2:$D$11000,"Out",OUT!$E$2:$E$11000,"Jajan")</f>
        <v>#VALUE!</v>
      </c>
      <c r="O401" s="52">
        <f ca="1">SUMIFS(OUT!$F$2:$F$11000,OUT!$H$2:$H$11000,H401,OUT!$D$2:$D$11000,"Out",OUT!$E$2:$E$11000,"Kitchen")</f>
        <v>87000</v>
      </c>
      <c r="P401" s="52">
        <f ca="1">SUMIFS(OUT!$F$2:$F$11000,OUT!$H$2:$H$11000,H401,OUT!$D$2:$D$11000,"Out",OUT!$E$2:$E$11000,"Loandry")</f>
        <v>0</v>
      </c>
      <c r="Q401" s="52">
        <f ca="1">SUMIFS(OUT!$F$2:$F$11000,OUT!$H$2:$H$11000,H401,OUT!$D$2:$D$11000,"Out",OUT!$E$2:$E$11000,"Mio")</f>
        <v>0</v>
      </c>
      <c r="R401" s="52">
        <f ca="1">SUMIFS(OUT!$F$2:$F$11000,OUT!$H$2:$H$11000,H401,OUT!$D$2:$D$11000,"Out",OUT!$E$2:$E$11000,"Sedekah")</f>
        <v>0</v>
      </c>
      <c r="S401" s="52">
        <f ca="1">SUMIFS(OUT!$F$2:$F$11000,OUT!$H$2:$H$11000,H401,OUT!$D$2:$D$11000,"Out",OUT!$E$2:$E$11000,"Zela")</f>
        <v>0</v>
      </c>
      <c r="T401" s="52">
        <f ca="1">SUMIFS(OUT!$F$2:$F$11000,OUT!$H$2:$H$11000,H401,OUT!$D$2:$D$11000,"Out",OUT!$E$2:$E$11000,"Iqbal")</f>
        <v>0</v>
      </c>
    </row>
    <row r="402" spans="1:20" x14ac:dyDescent="0.2">
      <c r="A402" s="48">
        <f ca="1">IFERROR(__xludf.DUMMYFUNCTION("""COMPUTED_VALUE"""),46052)</f>
        <v>46052</v>
      </c>
      <c r="B402" s="4" t="str">
        <f ca="1">IFERROR(__xludf.DUMMYFUNCTION("""COMPUTED_VALUE"""),"Terima tunai")</f>
        <v>Terima tunai</v>
      </c>
      <c r="C402" s="4" t="str">
        <f ca="1">IFERROR(__xludf.DUMMYFUNCTION("""COMPUTED_VALUE"""),"Cash")</f>
        <v>Cash</v>
      </c>
      <c r="D402" s="4" t="str">
        <f ca="1">IFERROR(__xludf.DUMMYFUNCTION("""COMPUTED_VALUE"""),"Move")</f>
        <v>Move</v>
      </c>
      <c r="E402" s="4" t="str">
        <f ca="1">IFERROR(__xludf.DUMMYFUNCTION("""COMPUTED_VALUE"""),"Move")</f>
        <v>Move</v>
      </c>
      <c r="F402" s="49">
        <f ca="1">IFERROR(__xludf.DUMMYFUNCTION("""COMPUTED_VALUE"""),100000)</f>
        <v>100000</v>
      </c>
      <c r="G402" s="50" t="str">
        <f ca="1">IFERROR(__xludf.DUMMYFUNCTION("""COMPUTED_VALUE"""),"Zela")</f>
        <v>Zela</v>
      </c>
      <c r="H402" s="51">
        <f t="shared" ca="1" si="0"/>
        <v>46023</v>
      </c>
      <c r="I402" s="52" t="e">
        <f ca="1">SUMIFS(OUT!$F$2:$F$11000,OUT!$H$2:$H$11000,H402,OUT!$D$2:$D$101007,"In")</f>
        <v>#VALUE!</v>
      </c>
      <c r="J402" s="52">
        <f ca="1">SUMIFS(OUT!$F$2:$F$11000,OUT!$H$2:$H$11000,H402,OUT!$D$2:$D$11000,"Out")</f>
        <v>475850</v>
      </c>
      <c r="K402" s="52">
        <f ca="1">SUMIFS(OUT!$F$2:$F$11000,OUT!$H$2:$H$11000,H402,OUT!$D$2:$D$11000,"Out",OUT!$E$2:$E$11000,"Fix")</f>
        <v>114450</v>
      </c>
      <c r="L402" s="52">
        <f ca="1">SUMIFS(OUT!$F$2:$F$11000,OUT!$H$2:$H$11000,H402,OUT!$D$2:$D$11000,"Out",OUT!$E$2:$E$11000,"Bathroom")</f>
        <v>0</v>
      </c>
      <c r="M402" s="52">
        <f ca="1">SUMIFS(OUT!$F$2:$F$11000,OUT!$H$2:$H$11000,H402,OUT!$D$2:$D$11000,"Out",OUT!$E$2:$E$11000,"Alfa")</f>
        <v>36400</v>
      </c>
      <c r="N402" s="52" t="e">
        <f ca="1">SUMIFS(OUT!$F$2:$F$11000,OUT!$H$2:$H$101007,H402,OUT!$D$2:$D$11000,"Out",OUT!$E$2:$E$11000,"Jajan")</f>
        <v>#VALUE!</v>
      </c>
      <c r="O402" s="52">
        <f ca="1">SUMIFS(OUT!$F$2:$F$11000,OUT!$H$2:$H$11000,H402,OUT!$D$2:$D$11000,"Out",OUT!$E$2:$E$11000,"Kitchen")</f>
        <v>87000</v>
      </c>
      <c r="P402" s="52">
        <f ca="1">SUMIFS(OUT!$F$2:$F$11000,OUT!$H$2:$H$11000,H402,OUT!$D$2:$D$11000,"Out",OUT!$E$2:$E$11000,"Loandry")</f>
        <v>0</v>
      </c>
      <c r="Q402" s="52">
        <f ca="1">SUMIFS(OUT!$F$2:$F$11000,OUT!$H$2:$H$11000,H402,OUT!$D$2:$D$11000,"Out",OUT!$E$2:$E$11000,"Mio")</f>
        <v>0</v>
      </c>
      <c r="R402" s="52">
        <f ca="1">SUMIFS(OUT!$F$2:$F$11000,OUT!$H$2:$H$11000,H402,OUT!$D$2:$D$11000,"Out",OUT!$E$2:$E$11000,"Sedekah")</f>
        <v>0</v>
      </c>
      <c r="S402" s="52">
        <f ca="1">SUMIFS(OUT!$F$2:$F$11000,OUT!$H$2:$H$11000,H402,OUT!$D$2:$D$11000,"Out",OUT!$E$2:$E$11000,"Zela")</f>
        <v>0</v>
      </c>
      <c r="T402" s="52">
        <f ca="1">SUMIFS(OUT!$F$2:$F$11000,OUT!$H$2:$H$11000,H402,OUT!$D$2:$D$11000,"Out",OUT!$E$2:$E$11000,"Iqbal")</f>
        <v>0</v>
      </c>
    </row>
    <row r="403" spans="1:20" x14ac:dyDescent="0.2">
      <c r="A403" s="48">
        <f ca="1">IFERROR(__xludf.DUMMYFUNCTION("""COMPUTED_VALUE"""),46052)</f>
        <v>46052</v>
      </c>
      <c r="B403" s="4" t="str">
        <f ca="1">IFERROR(__xludf.DUMMYFUNCTION("""COMPUTED_VALUE"""),"Pasar kaget+parkir")</f>
        <v>Pasar kaget+parkir</v>
      </c>
      <c r="C403" s="4" t="str">
        <f ca="1">IFERROR(__xludf.DUMMYFUNCTION("""COMPUTED_VALUE"""),"Cash")</f>
        <v>Cash</v>
      </c>
      <c r="D403" s="4" t="str">
        <f ca="1">IFERROR(__xludf.DUMMYFUNCTION("""COMPUTED_VALUE"""),"Out")</f>
        <v>Out</v>
      </c>
      <c r="E403" s="4" t="str">
        <f ca="1">IFERROR(__xludf.DUMMYFUNCTION("""COMPUTED_VALUE"""),"Kitchen")</f>
        <v>Kitchen</v>
      </c>
      <c r="F403" s="49">
        <f ca="1">IFERROR(__xludf.DUMMYFUNCTION("""COMPUTED_VALUE"""),58000)</f>
        <v>58000</v>
      </c>
      <c r="G403" s="50" t="str">
        <f ca="1">IFERROR(__xludf.DUMMYFUNCTION("""COMPUTED_VALUE"""),"Zela")</f>
        <v>Zela</v>
      </c>
      <c r="H403" s="51">
        <f t="shared" ca="1" si="0"/>
        <v>46023</v>
      </c>
      <c r="I403" s="52" t="e">
        <f ca="1">SUMIFS(OUT!$F$2:$F$11000,OUT!$H$2:$H$11000,H403,OUT!$D$2:$D$101007,"In")</f>
        <v>#VALUE!</v>
      </c>
      <c r="J403" s="52">
        <f ca="1">SUMIFS(OUT!$F$2:$F$11000,OUT!$H$2:$H$11000,H403,OUT!$D$2:$D$11000,"Out")</f>
        <v>475850</v>
      </c>
      <c r="K403" s="52">
        <f ca="1">SUMIFS(OUT!$F$2:$F$11000,OUT!$H$2:$H$11000,H403,OUT!$D$2:$D$11000,"Out",OUT!$E$2:$E$11000,"Fix")</f>
        <v>114450</v>
      </c>
      <c r="L403" s="52">
        <f ca="1">SUMIFS(OUT!$F$2:$F$11000,OUT!$H$2:$H$11000,H403,OUT!$D$2:$D$11000,"Out",OUT!$E$2:$E$11000,"Bathroom")</f>
        <v>0</v>
      </c>
      <c r="M403" s="52">
        <f ca="1">SUMIFS(OUT!$F$2:$F$11000,OUT!$H$2:$H$11000,H403,OUT!$D$2:$D$11000,"Out",OUT!$E$2:$E$11000,"Alfa")</f>
        <v>36400</v>
      </c>
      <c r="N403" s="52" t="e">
        <f ca="1">SUMIFS(OUT!$F$2:$F$11000,OUT!$H$2:$H$101007,H403,OUT!$D$2:$D$11000,"Out",OUT!$E$2:$E$11000,"Jajan")</f>
        <v>#VALUE!</v>
      </c>
      <c r="O403" s="52">
        <f ca="1">SUMIFS(OUT!$F$2:$F$11000,OUT!$H$2:$H$11000,H403,OUT!$D$2:$D$11000,"Out",OUT!$E$2:$E$11000,"Kitchen")</f>
        <v>87000</v>
      </c>
      <c r="P403" s="52">
        <f ca="1">SUMIFS(OUT!$F$2:$F$11000,OUT!$H$2:$H$11000,H403,OUT!$D$2:$D$11000,"Out",OUT!$E$2:$E$11000,"Loandry")</f>
        <v>0</v>
      </c>
      <c r="Q403" s="52">
        <f ca="1">SUMIFS(OUT!$F$2:$F$11000,OUT!$H$2:$H$11000,H403,OUT!$D$2:$D$11000,"Out",OUT!$E$2:$E$11000,"Mio")</f>
        <v>0</v>
      </c>
      <c r="R403" s="52">
        <f ca="1">SUMIFS(OUT!$F$2:$F$11000,OUT!$H$2:$H$11000,H403,OUT!$D$2:$D$11000,"Out",OUT!$E$2:$E$11000,"Sedekah")</f>
        <v>0</v>
      </c>
      <c r="S403" s="52">
        <f ca="1">SUMIFS(OUT!$F$2:$F$11000,OUT!$H$2:$H$11000,H403,OUT!$D$2:$D$11000,"Out",OUT!$E$2:$E$11000,"Zela")</f>
        <v>0</v>
      </c>
      <c r="T403" s="52">
        <f ca="1">SUMIFS(OUT!$F$2:$F$11000,OUT!$H$2:$H$11000,H403,OUT!$D$2:$D$11000,"Out",OUT!$E$2:$E$11000,"Iqbal")</f>
        <v>0</v>
      </c>
    </row>
    <row r="404" spans="1:20" x14ac:dyDescent="0.2">
      <c r="A404" s="48">
        <f ca="1">IFERROR(__xludf.DUMMYFUNCTION("""COMPUTED_VALUE"""),46052)</f>
        <v>46052</v>
      </c>
      <c r="B404" s="4" t="str">
        <f ca="1">IFERROR(__xludf.DUMMYFUNCTION("""COMPUTED_VALUE"""),"Sate")</f>
        <v>Sate</v>
      </c>
      <c r="C404" s="4" t="str">
        <f ca="1">IFERROR(__xludf.DUMMYFUNCTION("""COMPUTED_VALUE"""),"Cash")</f>
        <v>Cash</v>
      </c>
      <c r="D404" s="4" t="str">
        <f ca="1">IFERROR(__xludf.DUMMYFUNCTION("""COMPUTED_VALUE"""),"Out")</f>
        <v>Out</v>
      </c>
      <c r="E404" s="4" t="str">
        <f ca="1">IFERROR(__xludf.DUMMYFUNCTION("""COMPUTED_VALUE"""),"Jajan")</f>
        <v>Jajan</v>
      </c>
      <c r="F404" s="49">
        <f ca="1">IFERROR(__xludf.DUMMYFUNCTION("""COMPUTED_VALUE"""),12000)</f>
        <v>12000</v>
      </c>
      <c r="G404" s="50" t="str">
        <f ca="1">IFERROR(__xludf.DUMMYFUNCTION("""COMPUTED_VALUE"""),"Zela")</f>
        <v>Zela</v>
      </c>
      <c r="H404" s="51">
        <f t="shared" ca="1" si="0"/>
        <v>46023</v>
      </c>
      <c r="I404" s="52" t="e">
        <f ca="1">SUMIFS(OUT!$F$2:$F$11000,OUT!$H$2:$H$11000,H404,OUT!$D$2:$D$101007,"In")</f>
        <v>#VALUE!</v>
      </c>
      <c r="J404" s="52">
        <f ca="1">SUMIFS(OUT!$F$2:$F$11000,OUT!$H$2:$H$11000,H404,OUT!$D$2:$D$11000,"Out")</f>
        <v>475850</v>
      </c>
      <c r="K404" s="52">
        <f ca="1">SUMIFS(OUT!$F$2:$F$11000,OUT!$H$2:$H$11000,H404,OUT!$D$2:$D$11000,"Out",OUT!$E$2:$E$11000,"Fix")</f>
        <v>114450</v>
      </c>
      <c r="L404" s="52">
        <f ca="1">SUMIFS(OUT!$F$2:$F$11000,OUT!$H$2:$H$11000,H404,OUT!$D$2:$D$11000,"Out",OUT!$E$2:$E$11000,"Bathroom")</f>
        <v>0</v>
      </c>
      <c r="M404" s="52">
        <f ca="1">SUMIFS(OUT!$F$2:$F$11000,OUT!$H$2:$H$11000,H404,OUT!$D$2:$D$11000,"Out",OUT!$E$2:$E$11000,"Alfa")</f>
        <v>36400</v>
      </c>
      <c r="N404" s="52" t="e">
        <f ca="1">SUMIFS(OUT!$F$2:$F$11000,OUT!$H$2:$H$101007,H404,OUT!$D$2:$D$11000,"Out",OUT!$E$2:$E$11000,"Jajan")</f>
        <v>#VALUE!</v>
      </c>
      <c r="O404" s="52">
        <f ca="1">SUMIFS(OUT!$F$2:$F$11000,OUT!$H$2:$H$11000,H404,OUT!$D$2:$D$11000,"Out",OUT!$E$2:$E$11000,"Kitchen")</f>
        <v>87000</v>
      </c>
      <c r="P404" s="52">
        <f ca="1">SUMIFS(OUT!$F$2:$F$11000,OUT!$H$2:$H$11000,H404,OUT!$D$2:$D$11000,"Out",OUT!$E$2:$E$11000,"Loandry")</f>
        <v>0</v>
      </c>
      <c r="Q404" s="52">
        <f ca="1">SUMIFS(OUT!$F$2:$F$11000,OUT!$H$2:$H$11000,H404,OUT!$D$2:$D$11000,"Out",OUT!$E$2:$E$11000,"Mio")</f>
        <v>0</v>
      </c>
      <c r="R404" s="52">
        <f ca="1">SUMIFS(OUT!$F$2:$F$11000,OUT!$H$2:$H$11000,H404,OUT!$D$2:$D$11000,"Out",OUT!$E$2:$E$11000,"Sedekah")</f>
        <v>0</v>
      </c>
      <c r="S404" s="52">
        <f ca="1">SUMIFS(OUT!$F$2:$F$11000,OUT!$H$2:$H$11000,H404,OUT!$D$2:$D$11000,"Out",OUT!$E$2:$E$11000,"Zela")</f>
        <v>0</v>
      </c>
      <c r="T404" s="52">
        <f ca="1">SUMIFS(OUT!$F$2:$F$11000,OUT!$H$2:$H$11000,H404,OUT!$D$2:$D$11000,"Out",OUT!$E$2:$E$11000,"Iqbal")</f>
        <v>0</v>
      </c>
    </row>
    <row r="405" spans="1:20" x14ac:dyDescent="0.2">
      <c r="A405" s="48">
        <f ca="1">IFERROR(__xludf.DUMMYFUNCTION("""COMPUTED_VALUE"""),46053)</f>
        <v>46053</v>
      </c>
      <c r="B405" s="4" t="str">
        <f ca="1">IFERROR(__xludf.DUMMYFUNCTION("""COMPUTED_VALUE"""),"Galon")</f>
        <v>Galon</v>
      </c>
      <c r="C405" s="4" t="str">
        <f ca="1">IFERROR(__xludf.DUMMYFUNCTION("""COMPUTED_VALUE"""),"Cash")</f>
        <v>Cash</v>
      </c>
      <c r="D405" s="4" t="str">
        <f ca="1">IFERROR(__xludf.DUMMYFUNCTION("""COMPUTED_VALUE"""),"Out")</f>
        <v>Out</v>
      </c>
      <c r="E405" s="4" t="str">
        <f ca="1">IFERROR(__xludf.DUMMYFUNCTION("""COMPUTED_VALUE"""),"Kitchen")</f>
        <v>Kitchen</v>
      </c>
      <c r="F405" s="49">
        <f ca="1">IFERROR(__xludf.DUMMYFUNCTION("""COMPUTED_VALUE"""),5000)</f>
        <v>5000</v>
      </c>
      <c r="G405" s="50" t="str">
        <f ca="1">IFERROR(__xludf.DUMMYFUNCTION("""COMPUTED_VALUE"""),"Zela")</f>
        <v>Zela</v>
      </c>
      <c r="H405" s="51">
        <f t="shared" ca="1" si="0"/>
        <v>46023</v>
      </c>
      <c r="I405" s="52" t="e">
        <f ca="1">SUMIFS(OUT!$F$2:$F$11000,OUT!$H$2:$H$11000,H405,OUT!$D$2:$D$101007,"In")</f>
        <v>#VALUE!</v>
      </c>
      <c r="J405" s="52">
        <f ca="1">SUMIFS(OUT!$F$2:$F$11000,OUT!$H$2:$H$11000,H405,OUT!$D$2:$D$11000,"Out")</f>
        <v>475850</v>
      </c>
      <c r="K405" s="52">
        <f ca="1">SUMIFS(OUT!$F$2:$F$11000,OUT!$H$2:$H$11000,H405,OUT!$D$2:$D$11000,"Out",OUT!$E$2:$E$11000,"Fix")</f>
        <v>114450</v>
      </c>
      <c r="L405" s="52">
        <f ca="1">SUMIFS(OUT!$F$2:$F$11000,OUT!$H$2:$H$11000,H405,OUT!$D$2:$D$11000,"Out",OUT!$E$2:$E$11000,"Bathroom")</f>
        <v>0</v>
      </c>
      <c r="M405" s="52">
        <f ca="1">SUMIFS(OUT!$F$2:$F$11000,OUT!$H$2:$H$11000,H405,OUT!$D$2:$D$11000,"Out",OUT!$E$2:$E$11000,"Alfa")</f>
        <v>36400</v>
      </c>
      <c r="N405" s="52" t="e">
        <f ca="1">SUMIFS(OUT!$F$2:$F$11000,OUT!$H$2:$H$101007,H405,OUT!$D$2:$D$11000,"Out",OUT!$E$2:$E$11000,"Jajan")</f>
        <v>#VALUE!</v>
      </c>
      <c r="O405" s="52">
        <f ca="1">SUMIFS(OUT!$F$2:$F$11000,OUT!$H$2:$H$11000,H405,OUT!$D$2:$D$11000,"Out",OUT!$E$2:$E$11000,"Kitchen")</f>
        <v>87000</v>
      </c>
      <c r="P405" s="52">
        <f ca="1">SUMIFS(OUT!$F$2:$F$11000,OUT!$H$2:$H$11000,H405,OUT!$D$2:$D$11000,"Out",OUT!$E$2:$E$11000,"Loandry")</f>
        <v>0</v>
      </c>
      <c r="Q405" s="52">
        <f ca="1">SUMIFS(OUT!$F$2:$F$11000,OUT!$H$2:$H$11000,H405,OUT!$D$2:$D$11000,"Out",OUT!$E$2:$E$11000,"Mio")</f>
        <v>0</v>
      </c>
      <c r="R405" s="52">
        <f ca="1">SUMIFS(OUT!$F$2:$F$11000,OUT!$H$2:$H$11000,H405,OUT!$D$2:$D$11000,"Out",OUT!$E$2:$E$11000,"Sedekah")</f>
        <v>0</v>
      </c>
      <c r="S405" s="52">
        <f ca="1">SUMIFS(OUT!$F$2:$F$11000,OUT!$H$2:$H$11000,H405,OUT!$D$2:$D$11000,"Out",OUT!$E$2:$E$11000,"Zela")</f>
        <v>0</v>
      </c>
      <c r="T405" s="52">
        <f ca="1">SUMIFS(OUT!$F$2:$F$11000,OUT!$H$2:$H$11000,H405,OUT!$D$2:$D$11000,"Out",OUT!$E$2:$E$11000,"Iqbal")</f>
        <v>0</v>
      </c>
    </row>
    <row r="406" spans="1:20" x14ac:dyDescent="0.2">
      <c r="A406" s="48">
        <f ca="1">IFERROR(__xludf.DUMMYFUNCTION("""COMPUTED_VALUE"""),46054)</f>
        <v>46054</v>
      </c>
      <c r="B406" s="4" t="str">
        <f ca="1">IFERROR(__xludf.DUMMYFUNCTION("""COMPUTED_VALUE"""),"Tiktok")</f>
        <v>Tiktok</v>
      </c>
      <c r="C406" s="4" t="str">
        <f ca="1">IFERROR(__xludf.DUMMYFUNCTION("""COMPUTED_VALUE"""),"ATM")</f>
        <v>ATM</v>
      </c>
      <c r="D406" s="4" t="str">
        <f ca="1">IFERROR(__xludf.DUMMYFUNCTION("""COMPUTED_VALUE"""),"In")</f>
        <v>In</v>
      </c>
      <c r="E406" s="4" t="str">
        <f ca="1">IFERROR(__xludf.DUMMYFUNCTION("""COMPUTED_VALUE"""),"Fix")</f>
        <v>Fix</v>
      </c>
      <c r="F406" s="49">
        <f ca="1">IFERROR(__xludf.DUMMYFUNCTION("""COMPUTED_VALUE"""),11566)</f>
        <v>11566</v>
      </c>
      <c r="G406" s="50" t="str">
        <f ca="1">IFERROR(__xludf.DUMMYFUNCTION("""COMPUTED_VALUE"""),"Zela")</f>
        <v>Zela</v>
      </c>
      <c r="H406" s="51">
        <f t="shared" ca="1" si="0"/>
        <v>46054</v>
      </c>
      <c r="I406" s="52" t="e">
        <f ca="1">SUMIFS(OUT!$F$2:$F$11000,OUT!$H$2:$H$11000,H406,OUT!$D$2:$D$101007,"In")</f>
        <v>#VALUE!</v>
      </c>
      <c r="J406" s="52">
        <f ca="1">SUMIFS(OUT!$F$2:$F$11000,OUT!$H$2:$H$11000,H406,OUT!$D$2:$D$11000,"Out")</f>
        <v>6908733</v>
      </c>
      <c r="K406" s="52">
        <f ca="1">SUMIFS(OUT!$F$2:$F$11000,OUT!$H$2:$H$11000,H406,OUT!$D$2:$D$11000,"Out",OUT!$E$2:$E$11000,"Fix")</f>
        <v>2440568</v>
      </c>
      <c r="L406" s="52">
        <f ca="1">SUMIFS(OUT!$F$2:$F$11000,OUT!$H$2:$H$11000,H406,OUT!$D$2:$D$11000,"Out",OUT!$E$2:$E$11000,"Bathroom")</f>
        <v>34500</v>
      </c>
      <c r="M406" s="52">
        <f ca="1">SUMIFS(OUT!$F$2:$F$11000,OUT!$H$2:$H$11000,H406,OUT!$D$2:$D$11000,"Out",OUT!$E$2:$E$11000,"Alfa")</f>
        <v>293800</v>
      </c>
      <c r="N406" s="52" t="e">
        <f ca="1">SUMIFS(OUT!$F$2:$F$11000,OUT!$H$2:$H$101007,H406,OUT!$D$2:$D$11000,"Out",OUT!$E$2:$E$11000,"Jajan")</f>
        <v>#VALUE!</v>
      </c>
      <c r="O406" s="52">
        <f ca="1">SUMIFS(OUT!$F$2:$F$11000,OUT!$H$2:$H$11000,H406,OUT!$D$2:$D$11000,"Out",OUT!$E$2:$E$11000,"Kitchen")</f>
        <v>992724</v>
      </c>
      <c r="P406" s="52">
        <f ca="1">SUMIFS(OUT!$F$2:$F$11000,OUT!$H$2:$H$11000,H406,OUT!$D$2:$D$11000,"Out",OUT!$E$2:$E$11000,"Loandry")</f>
        <v>41600</v>
      </c>
      <c r="Q406" s="52">
        <f ca="1">SUMIFS(OUT!$F$2:$F$11000,OUT!$H$2:$H$11000,H406,OUT!$D$2:$D$11000,"Out",OUT!$E$2:$E$11000,"Mio")</f>
        <v>249000</v>
      </c>
      <c r="R406" s="52">
        <f ca="1">SUMIFS(OUT!$F$2:$F$11000,OUT!$H$2:$H$11000,H406,OUT!$D$2:$D$11000,"Out",OUT!$E$2:$E$11000,"Sedekah")</f>
        <v>129000</v>
      </c>
      <c r="S406" s="52">
        <f ca="1">SUMIFS(OUT!$F$2:$F$11000,OUT!$H$2:$H$11000,H406,OUT!$D$2:$D$11000,"Out",OUT!$E$2:$E$11000,"Zela")</f>
        <v>24100</v>
      </c>
      <c r="T406" s="52">
        <f ca="1">SUMIFS(OUT!$F$2:$F$11000,OUT!$H$2:$H$11000,H406,OUT!$D$2:$D$11000,"Out",OUT!$E$2:$E$11000,"Iqbal")</f>
        <v>121000</v>
      </c>
    </row>
    <row r="407" spans="1:20" x14ac:dyDescent="0.2">
      <c r="A407" s="48">
        <f ca="1">IFERROR(__xludf.DUMMYFUNCTION("""COMPUTED_VALUE"""),46054)</f>
        <v>46054</v>
      </c>
      <c r="B407" s="4" t="str">
        <f ca="1">IFERROR(__xludf.DUMMYFUNCTION("""COMPUTED_VALUE"""),"Seabank/shopee (jajan Alfa )")</f>
        <v>Seabank/shopee (jajan Alfa )</v>
      </c>
      <c r="C407" s="4" t="str">
        <f ca="1">IFERROR(__xludf.DUMMYFUNCTION("""COMPUTED_VALUE"""),"ATM")</f>
        <v>ATM</v>
      </c>
      <c r="D407" s="4" t="str">
        <f ca="1">IFERROR(__xludf.DUMMYFUNCTION("""COMPUTED_VALUE"""),"Out")</f>
        <v>Out</v>
      </c>
      <c r="E407" s="4" t="str">
        <f ca="1">IFERROR(__xludf.DUMMYFUNCTION("""COMPUTED_VALUE"""),"Alfa")</f>
        <v>Alfa</v>
      </c>
      <c r="F407" s="49">
        <f ca="1">IFERROR(__xludf.DUMMYFUNCTION("""COMPUTED_VALUE"""),12500)</f>
        <v>12500</v>
      </c>
      <c r="G407" s="50" t="str">
        <f ca="1">IFERROR(__xludf.DUMMYFUNCTION("""COMPUTED_VALUE"""),"Zela")</f>
        <v>Zela</v>
      </c>
      <c r="H407" s="51">
        <f t="shared" ca="1" si="0"/>
        <v>46054</v>
      </c>
      <c r="I407" s="52" t="e">
        <f ca="1">SUMIFS(OUT!$F$2:$F$11000,OUT!$H$2:$H$11000,H407,OUT!$D$2:$D$101007,"In")</f>
        <v>#VALUE!</v>
      </c>
      <c r="J407" s="52">
        <f ca="1">SUMIFS(OUT!$F$2:$F$11000,OUT!$H$2:$H$11000,H407,OUT!$D$2:$D$11000,"Out")</f>
        <v>6908733</v>
      </c>
      <c r="K407" s="52">
        <f ca="1">SUMIFS(OUT!$F$2:$F$11000,OUT!$H$2:$H$11000,H407,OUT!$D$2:$D$11000,"Out",OUT!$E$2:$E$11000,"Fix")</f>
        <v>2440568</v>
      </c>
      <c r="L407" s="52">
        <f ca="1">SUMIFS(OUT!$F$2:$F$11000,OUT!$H$2:$H$11000,H407,OUT!$D$2:$D$11000,"Out",OUT!$E$2:$E$11000,"Bathroom")</f>
        <v>34500</v>
      </c>
      <c r="M407" s="52">
        <f ca="1">SUMIFS(OUT!$F$2:$F$11000,OUT!$H$2:$H$11000,H407,OUT!$D$2:$D$11000,"Out",OUT!$E$2:$E$11000,"Alfa")</f>
        <v>293800</v>
      </c>
      <c r="N407" s="52" t="e">
        <f ca="1">SUMIFS(OUT!$F$2:$F$11000,OUT!$H$2:$H$101007,H407,OUT!$D$2:$D$11000,"Out",OUT!$E$2:$E$11000,"Jajan")</f>
        <v>#VALUE!</v>
      </c>
      <c r="O407" s="52">
        <f ca="1">SUMIFS(OUT!$F$2:$F$11000,OUT!$H$2:$H$11000,H407,OUT!$D$2:$D$11000,"Out",OUT!$E$2:$E$11000,"Kitchen")</f>
        <v>992724</v>
      </c>
      <c r="P407" s="52">
        <f ca="1">SUMIFS(OUT!$F$2:$F$11000,OUT!$H$2:$H$11000,H407,OUT!$D$2:$D$11000,"Out",OUT!$E$2:$E$11000,"Loandry")</f>
        <v>41600</v>
      </c>
      <c r="Q407" s="52">
        <f ca="1">SUMIFS(OUT!$F$2:$F$11000,OUT!$H$2:$H$11000,H407,OUT!$D$2:$D$11000,"Out",OUT!$E$2:$E$11000,"Mio")</f>
        <v>249000</v>
      </c>
      <c r="R407" s="52">
        <f ca="1">SUMIFS(OUT!$F$2:$F$11000,OUT!$H$2:$H$11000,H407,OUT!$D$2:$D$11000,"Out",OUT!$E$2:$E$11000,"Sedekah")</f>
        <v>129000</v>
      </c>
      <c r="S407" s="52">
        <f ca="1">SUMIFS(OUT!$F$2:$F$11000,OUT!$H$2:$H$11000,H407,OUT!$D$2:$D$11000,"Out",OUT!$E$2:$E$11000,"Zela")</f>
        <v>24100</v>
      </c>
      <c r="T407" s="52">
        <f ca="1">SUMIFS(OUT!$F$2:$F$11000,OUT!$H$2:$H$11000,H407,OUT!$D$2:$D$11000,"Out",OUT!$E$2:$E$11000,"Iqbal")</f>
        <v>121000</v>
      </c>
    </row>
    <row r="408" spans="1:20" x14ac:dyDescent="0.2">
      <c r="A408" s="48">
        <f ca="1">IFERROR(__xludf.DUMMYFUNCTION("""COMPUTED_VALUE"""),46055)</f>
        <v>46055</v>
      </c>
      <c r="B408" s="4" t="str">
        <f ca="1">IFERROR(__xludf.DUMMYFUNCTION("""COMPUTED_VALUE"""),"Suamiku (gaji Jan 2026)")</f>
        <v>Suamiku (gaji Jan 2026)</v>
      </c>
      <c r="C408" s="4" t="str">
        <f ca="1">IFERROR(__xludf.DUMMYFUNCTION("""COMPUTED_VALUE"""),"ATM")</f>
        <v>ATM</v>
      </c>
      <c r="D408" s="4" t="str">
        <f ca="1">IFERROR(__xludf.DUMMYFUNCTION("""COMPUTED_VALUE"""),"In")</f>
        <v>In</v>
      </c>
      <c r="E408" s="4" t="str">
        <f ca="1">IFERROR(__xludf.DUMMYFUNCTION("""COMPUTED_VALUE"""),"Fix")</f>
        <v>Fix</v>
      </c>
      <c r="F408" s="49">
        <f ca="1">IFERROR(__xludf.DUMMYFUNCTION("""COMPUTED_VALUE"""),1774441)</f>
        <v>1774441</v>
      </c>
      <c r="G408" s="50" t="str">
        <f ca="1">IFERROR(__xludf.DUMMYFUNCTION("""COMPUTED_VALUE"""),"Zela")</f>
        <v>Zela</v>
      </c>
      <c r="H408" s="51">
        <f t="shared" ca="1" si="0"/>
        <v>46054</v>
      </c>
      <c r="I408" s="52" t="e">
        <f ca="1">SUMIFS(OUT!$F$2:$F$11000,OUT!$H$2:$H$11000,H408,OUT!$D$2:$D$101007,"In")</f>
        <v>#VALUE!</v>
      </c>
      <c r="J408" s="52">
        <f ca="1">SUMIFS(OUT!$F$2:$F$11000,OUT!$H$2:$H$11000,H408,OUT!$D$2:$D$11000,"Out")</f>
        <v>6908733</v>
      </c>
      <c r="K408" s="52">
        <f ca="1">SUMIFS(OUT!$F$2:$F$11000,OUT!$H$2:$H$11000,H408,OUT!$D$2:$D$11000,"Out",OUT!$E$2:$E$11000,"Fix")</f>
        <v>2440568</v>
      </c>
      <c r="L408" s="52">
        <f ca="1">SUMIFS(OUT!$F$2:$F$11000,OUT!$H$2:$H$11000,H408,OUT!$D$2:$D$11000,"Out",OUT!$E$2:$E$11000,"Bathroom")</f>
        <v>34500</v>
      </c>
      <c r="M408" s="52">
        <f ca="1">SUMIFS(OUT!$F$2:$F$11000,OUT!$H$2:$H$11000,H408,OUT!$D$2:$D$11000,"Out",OUT!$E$2:$E$11000,"Alfa")</f>
        <v>293800</v>
      </c>
      <c r="N408" s="52" t="e">
        <f ca="1">SUMIFS(OUT!$F$2:$F$11000,OUT!$H$2:$H$101007,H408,OUT!$D$2:$D$11000,"Out",OUT!$E$2:$E$11000,"Jajan")</f>
        <v>#VALUE!</v>
      </c>
      <c r="O408" s="52">
        <f ca="1">SUMIFS(OUT!$F$2:$F$11000,OUT!$H$2:$H$11000,H408,OUT!$D$2:$D$11000,"Out",OUT!$E$2:$E$11000,"Kitchen")</f>
        <v>992724</v>
      </c>
      <c r="P408" s="52">
        <f ca="1">SUMIFS(OUT!$F$2:$F$11000,OUT!$H$2:$H$11000,H408,OUT!$D$2:$D$11000,"Out",OUT!$E$2:$E$11000,"Loandry")</f>
        <v>41600</v>
      </c>
      <c r="Q408" s="52">
        <f ca="1">SUMIFS(OUT!$F$2:$F$11000,OUT!$H$2:$H$11000,H408,OUT!$D$2:$D$11000,"Out",OUT!$E$2:$E$11000,"Mio")</f>
        <v>249000</v>
      </c>
      <c r="R408" s="52">
        <f ca="1">SUMIFS(OUT!$F$2:$F$11000,OUT!$H$2:$H$11000,H408,OUT!$D$2:$D$11000,"Out",OUT!$E$2:$E$11000,"Sedekah")</f>
        <v>129000</v>
      </c>
      <c r="S408" s="52">
        <f ca="1">SUMIFS(OUT!$F$2:$F$11000,OUT!$H$2:$H$11000,H408,OUT!$D$2:$D$11000,"Out",OUT!$E$2:$E$11000,"Zela")</f>
        <v>24100</v>
      </c>
      <c r="T408" s="52">
        <f ca="1">SUMIFS(OUT!$F$2:$F$11000,OUT!$H$2:$H$11000,H408,OUT!$D$2:$D$11000,"Out",OUT!$E$2:$E$11000,"Iqbal")</f>
        <v>121000</v>
      </c>
    </row>
    <row r="409" spans="1:20" x14ac:dyDescent="0.2">
      <c r="A409" s="48">
        <f ca="1">IFERROR(__xludf.DUMMYFUNCTION("""COMPUTED_VALUE"""),46055)</f>
        <v>46055</v>
      </c>
      <c r="B409" s="4" t="str">
        <f ca="1">IFERROR(__xludf.DUMMYFUNCTION("""COMPUTED_VALUE"""),"Tarik Tunai")</f>
        <v>Tarik Tunai</v>
      </c>
      <c r="C409" s="4" t="str">
        <f ca="1">IFERROR(__xludf.DUMMYFUNCTION("""COMPUTED_VALUE"""),"ATM")</f>
        <v>ATM</v>
      </c>
      <c r="D409" s="4" t="str">
        <f ca="1">IFERROR(__xludf.DUMMYFUNCTION("""COMPUTED_VALUE"""),"Move")</f>
        <v>Move</v>
      </c>
      <c r="E409" s="4" t="str">
        <f ca="1">IFERROR(__xludf.DUMMYFUNCTION("""COMPUTED_VALUE"""),"Move")</f>
        <v>Move</v>
      </c>
      <c r="F409" s="49">
        <f ca="1">IFERROR(__xludf.DUMMYFUNCTION("""COMPUTED_VALUE"""),200000)</f>
        <v>200000</v>
      </c>
      <c r="G409" s="50" t="str">
        <f ca="1">IFERROR(__xludf.DUMMYFUNCTION("""COMPUTED_VALUE"""),"Zela")</f>
        <v>Zela</v>
      </c>
      <c r="H409" s="51">
        <f t="shared" ca="1" si="0"/>
        <v>46054</v>
      </c>
      <c r="I409" s="52" t="e">
        <f ca="1">SUMIFS(OUT!$F$2:$F$11000,OUT!$H$2:$H$11000,H409,OUT!$D$2:$D$101007,"In")</f>
        <v>#VALUE!</v>
      </c>
      <c r="J409" s="52">
        <f ca="1">SUMIFS(OUT!$F$2:$F$11000,OUT!$H$2:$H$11000,H409,OUT!$D$2:$D$11000,"Out")</f>
        <v>6908733</v>
      </c>
      <c r="K409" s="52">
        <f ca="1">SUMIFS(OUT!$F$2:$F$11000,OUT!$H$2:$H$11000,H409,OUT!$D$2:$D$11000,"Out",OUT!$E$2:$E$11000,"Fix")</f>
        <v>2440568</v>
      </c>
      <c r="L409" s="52">
        <f ca="1">SUMIFS(OUT!$F$2:$F$11000,OUT!$H$2:$H$11000,H409,OUT!$D$2:$D$11000,"Out",OUT!$E$2:$E$11000,"Bathroom")</f>
        <v>34500</v>
      </c>
      <c r="M409" s="52">
        <f ca="1">SUMIFS(OUT!$F$2:$F$11000,OUT!$H$2:$H$11000,H409,OUT!$D$2:$D$11000,"Out",OUT!$E$2:$E$11000,"Alfa")</f>
        <v>293800</v>
      </c>
      <c r="N409" s="52" t="e">
        <f ca="1">SUMIFS(OUT!$F$2:$F$11000,OUT!$H$2:$H$101007,H409,OUT!$D$2:$D$11000,"Out",OUT!$E$2:$E$11000,"Jajan")</f>
        <v>#VALUE!</v>
      </c>
      <c r="O409" s="52">
        <f ca="1">SUMIFS(OUT!$F$2:$F$11000,OUT!$H$2:$H$11000,H409,OUT!$D$2:$D$11000,"Out",OUT!$E$2:$E$11000,"Kitchen")</f>
        <v>992724</v>
      </c>
      <c r="P409" s="52">
        <f ca="1">SUMIFS(OUT!$F$2:$F$11000,OUT!$H$2:$H$11000,H409,OUT!$D$2:$D$11000,"Out",OUT!$E$2:$E$11000,"Loandry")</f>
        <v>41600</v>
      </c>
      <c r="Q409" s="52">
        <f ca="1">SUMIFS(OUT!$F$2:$F$11000,OUT!$H$2:$H$11000,H409,OUT!$D$2:$D$11000,"Out",OUT!$E$2:$E$11000,"Mio")</f>
        <v>249000</v>
      </c>
      <c r="R409" s="52">
        <f ca="1">SUMIFS(OUT!$F$2:$F$11000,OUT!$H$2:$H$11000,H409,OUT!$D$2:$D$11000,"Out",OUT!$E$2:$E$11000,"Sedekah")</f>
        <v>129000</v>
      </c>
      <c r="S409" s="52">
        <f ca="1">SUMIFS(OUT!$F$2:$F$11000,OUT!$H$2:$H$11000,H409,OUT!$D$2:$D$11000,"Out",OUT!$E$2:$E$11000,"Zela")</f>
        <v>24100</v>
      </c>
      <c r="T409" s="52">
        <f ca="1">SUMIFS(OUT!$F$2:$F$11000,OUT!$H$2:$H$11000,H409,OUT!$D$2:$D$11000,"Out",OUT!$E$2:$E$11000,"Iqbal")</f>
        <v>121000</v>
      </c>
    </row>
    <row r="410" spans="1:20" x14ac:dyDescent="0.2">
      <c r="A410" s="48">
        <f ca="1">IFERROR(__xludf.DUMMYFUNCTION("""COMPUTED_VALUE"""),46055)</f>
        <v>46055</v>
      </c>
      <c r="B410" s="4" t="str">
        <f ca="1">IFERROR(__xludf.DUMMYFUNCTION("""COMPUTED_VALUE"""),"Terima Tunai")</f>
        <v>Terima Tunai</v>
      </c>
      <c r="C410" s="4" t="str">
        <f ca="1">IFERROR(__xludf.DUMMYFUNCTION("""COMPUTED_VALUE"""),"Cash")</f>
        <v>Cash</v>
      </c>
      <c r="D410" s="4" t="str">
        <f ca="1">IFERROR(__xludf.DUMMYFUNCTION("""COMPUTED_VALUE"""),"Move")</f>
        <v>Move</v>
      </c>
      <c r="E410" s="4" t="str">
        <f ca="1">IFERROR(__xludf.DUMMYFUNCTION("""COMPUTED_VALUE"""),"Move")</f>
        <v>Move</v>
      </c>
      <c r="F410" s="49">
        <f ca="1">IFERROR(__xludf.DUMMYFUNCTION("""COMPUTED_VALUE"""),200000)</f>
        <v>200000</v>
      </c>
      <c r="G410" s="50" t="str">
        <f ca="1">IFERROR(__xludf.DUMMYFUNCTION("""COMPUTED_VALUE"""),"Zela")</f>
        <v>Zela</v>
      </c>
      <c r="H410" s="51">
        <f t="shared" ca="1" si="0"/>
        <v>46054</v>
      </c>
      <c r="I410" s="52" t="e">
        <f ca="1">SUMIFS(OUT!$F$2:$F$11000,OUT!$H$2:$H$11000,H410,OUT!$D$2:$D$101007,"In")</f>
        <v>#VALUE!</v>
      </c>
      <c r="J410" s="52">
        <f ca="1">SUMIFS(OUT!$F$2:$F$11000,OUT!$H$2:$H$11000,H410,OUT!$D$2:$D$11000,"Out")</f>
        <v>6908733</v>
      </c>
      <c r="K410" s="52">
        <f ca="1">SUMIFS(OUT!$F$2:$F$11000,OUT!$H$2:$H$11000,H410,OUT!$D$2:$D$11000,"Out",OUT!$E$2:$E$11000,"Fix")</f>
        <v>2440568</v>
      </c>
      <c r="L410" s="52">
        <f ca="1">SUMIFS(OUT!$F$2:$F$11000,OUT!$H$2:$H$11000,H410,OUT!$D$2:$D$11000,"Out",OUT!$E$2:$E$11000,"Bathroom")</f>
        <v>34500</v>
      </c>
      <c r="M410" s="52">
        <f ca="1">SUMIFS(OUT!$F$2:$F$11000,OUT!$H$2:$H$11000,H410,OUT!$D$2:$D$11000,"Out",OUT!$E$2:$E$11000,"Alfa")</f>
        <v>293800</v>
      </c>
      <c r="N410" s="52" t="e">
        <f ca="1">SUMIFS(OUT!$F$2:$F$11000,OUT!$H$2:$H$101007,H410,OUT!$D$2:$D$11000,"Out",OUT!$E$2:$E$11000,"Jajan")</f>
        <v>#VALUE!</v>
      </c>
      <c r="O410" s="52">
        <f ca="1">SUMIFS(OUT!$F$2:$F$11000,OUT!$H$2:$H$11000,H410,OUT!$D$2:$D$11000,"Out",OUT!$E$2:$E$11000,"Kitchen")</f>
        <v>992724</v>
      </c>
      <c r="P410" s="52">
        <f ca="1">SUMIFS(OUT!$F$2:$F$11000,OUT!$H$2:$H$11000,H410,OUT!$D$2:$D$11000,"Out",OUT!$E$2:$E$11000,"Loandry")</f>
        <v>41600</v>
      </c>
      <c r="Q410" s="52">
        <f ca="1">SUMIFS(OUT!$F$2:$F$11000,OUT!$H$2:$H$11000,H410,OUT!$D$2:$D$11000,"Out",OUT!$E$2:$E$11000,"Mio")</f>
        <v>249000</v>
      </c>
      <c r="R410" s="52">
        <f ca="1">SUMIFS(OUT!$F$2:$F$11000,OUT!$H$2:$H$11000,H410,OUT!$D$2:$D$11000,"Out",OUT!$E$2:$E$11000,"Sedekah")</f>
        <v>129000</v>
      </c>
      <c r="S410" s="52">
        <f ca="1">SUMIFS(OUT!$F$2:$F$11000,OUT!$H$2:$H$11000,H410,OUT!$D$2:$D$11000,"Out",OUT!$E$2:$E$11000,"Zela")</f>
        <v>24100</v>
      </c>
      <c r="T410" s="52">
        <f ca="1">SUMIFS(OUT!$F$2:$F$11000,OUT!$H$2:$H$11000,H410,OUT!$D$2:$D$11000,"Out",OUT!$E$2:$E$11000,"Iqbal")</f>
        <v>121000</v>
      </c>
    </row>
    <row r="411" spans="1:20" x14ac:dyDescent="0.2">
      <c r="A411" s="48">
        <f ca="1">IFERROR(__xludf.DUMMYFUNCTION("""COMPUTED_VALUE"""),46054)</f>
        <v>46054</v>
      </c>
      <c r="B411" s="4" t="str">
        <f ca="1">IFERROR(__xludf.DUMMYFUNCTION("""COMPUTED_VALUE"""),"Jajn Alfa")</f>
        <v>Jajn Alfa</v>
      </c>
      <c r="C411" s="4" t="str">
        <f ca="1">IFERROR(__xludf.DUMMYFUNCTION("""COMPUTED_VALUE"""),"Cash")</f>
        <v>Cash</v>
      </c>
      <c r="D411" s="4" t="str">
        <f ca="1">IFERROR(__xludf.DUMMYFUNCTION("""COMPUTED_VALUE"""),"Out")</f>
        <v>Out</v>
      </c>
      <c r="E411" s="4" t="str">
        <f ca="1">IFERROR(__xludf.DUMMYFUNCTION("""COMPUTED_VALUE"""),"Alfa")</f>
        <v>Alfa</v>
      </c>
      <c r="F411" s="49">
        <f ca="1">IFERROR(__xludf.DUMMYFUNCTION("""COMPUTED_VALUE"""),5000)</f>
        <v>5000</v>
      </c>
      <c r="G411" s="50" t="str">
        <f ca="1">IFERROR(__xludf.DUMMYFUNCTION("""COMPUTED_VALUE"""),"Zela")</f>
        <v>Zela</v>
      </c>
      <c r="H411" s="51">
        <f t="shared" ca="1" si="0"/>
        <v>46054</v>
      </c>
      <c r="I411" s="52" t="e">
        <f ca="1">SUMIFS(OUT!$F$2:$F$11000,OUT!$H$2:$H$11000,H411,OUT!$D$2:$D$101007,"In")</f>
        <v>#VALUE!</v>
      </c>
      <c r="J411" s="52">
        <f ca="1">SUMIFS(OUT!$F$2:$F$11000,OUT!$H$2:$H$11000,H411,OUT!$D$2:$D$11000,"Out")</f>
        <v>6908733</v>
      </c>
      <c r="K411" s="52">
        <f ca="1">SUMIFS(OUT!$F$2:$F$11000,OUT!$H$2:$H$11000,H411,OUT!$D$2:$D$11000,"Out",OUT!$E$2:$E$11000,"Fix")</f>
        <v>2440568</v>
      </c>
      <c r="L411" s="52">
        <f ca="1">SUMIFS(OUT!$F$2:$F$11000,OUT!$H$2:$H$11000,H411,OUT!$D$2:$D$11000,"Out",OUT!$E$2:$E$11000,"Bathroom")</f>
        <v>34500</v>
      </c>
      <c r="M411" s="52">
        <f ca="1">SUMIFS(OUT!$F$2:$F$11000,OUT!$H$2:$H$11000,H411,OUT!$D$2:$D$11000,"Out",OUT!$E$2:$E$11000,"Alfa")</f>
        <v>293800</v>
      </c>
      <c r="N411" s="52" t="e">
        <f ca="1">SUMIFS(OUT!$F$2:$F$11000,OUT!$H$2:$H$101007,H411,OUT!$D$2:$D$11000,"Out",OUT!$E$2:$E$11000,"Jajan")</f>
        <v>#VALUE!</v>
      </c>
      <c r="O411" s="52">
        <f ca="1">SUMIFS(OUT!$F$2:$F$11000,OUT!$H$2:$H$11000,H411,OUT!$D$2:$D$11000,"Out",OUT!$E$2:$E$11000,"Kitchen")</f>
        <v>992724</v>
      </c>
      <c r="P411" s="52">
        <f ca="1">SUMIFS(OUT!$F$2:$F$11000,OUT!$H$2:$H$11000,H411,OUT!$D$2:$D$11000,"Out",OUT!$E$2:$E$11000,"Loandry")</f>
        <v>41600</v>
      </c>
      <c r="Q411" s="52">
        <f ca="1">SUMIFS(OUT!$F$2:$F$11000,OUT!$H$2:$H$11000,H411,OUT!$D$2:$D$11000,"Out",OUT!$E$2:$E$11000,"Mio")</f>
        <v>249000</v>
      </c>
      <c r="R411" s="52">
        <f ca="1">SUMIFS(OUT!$F$2:$F$11000,OUT!$H$2:$H$11000,H411,OUT!$D$2:$D$11000,"Out",OUT!$E$2:$E$11000,"Sedekah")</f>
        <v>129000</v>
      </c>
      <c r="S411" s="52">
        <f ca="1">SUMIFS(OUT!$F$2:$F$11000,OUT!$H$2:$H$11000,H411,OUT!$D$2:$D$11000,"Out",OUT!$E$2:$E$11000,"Zela")</f>
        <v>24100</v>
      </c>
      <c r="T411" s="52">
        <f ca="1">SUMIFS(OUT!$F$2:$F$11000,OUT!$H$2:$H$11000,H411,OUT!$D$2:$D$11000,"Out",OUT!$E$2:$E$11000,"Iqbal")</f>
        <v>121000</v>
      </c>
    </row>
    <row r="412" spans="1:20" x14ac:dyDescent="0.2">
      <c r="A412" s="48">
        <f ca="1">IFERROR(__xludf.DUMMYFUNCTION("""COMPUTED_VALUE"""),46054)</f>
        <v>46054</v>
      </c>
      <c r="B412" s="4" t="str">
        <f ca="1">IFERROR(__xludf.DUMMYFUNCTION("""COMPUTED_VALUE"""),"Bensin Motor")</f>
        <v>Bensin Motor</v>
      </c>
      <c r="C412" s="4" t="str">
        <f ca="1">IFERROR(__xludf.DUMMYFUNCTION("""COMPUTED_VALUE"""),"Cash")</f>
        <v>Cash</v>
      </c>
      <c r="D412" s="4" t="str">
        <f ca="1">IFERROR(__xludf.DUMMYFUNCTION("""COMPUTED_VALUE"""),"Out")</f>
        <v>Out</v>
      </c>
      <c r="E412" s="4" t="str">
        <f ca="1">IFERROR(__xludf.DUMMYFUNCTION("""COMPUTED_VALUE"""),"Mio")</f>
        <v>Mio</v>
      </c>
      <c r="F412" s="49">
        <f ca="1">IFERROR(__xludf.DUMMYFUNCTION("""COMPUTED_VALUE"""),20000)</f>
        <v>20000</v>
      </c>
      <c r="G412" s="50" t="str">
        <f ca="1">IFERROR(__xludf.DUMMYFUNCTION("""COMPUTED_VALUE"""),"Zela")</f>
        <v>Zela</v>
      </c>
      <c r="H412" s="51">
        <f t="shared" ca="1" si="0"/>
        <v>46054</v>
      </c>
      <c r="I412" s="52" t="e">
        <f ca="1">SUMIFS(OUT!$F$2:$F$11000,OUT!$H$2:$H$11000,H412,OUT!$D$2:$D$101007,"In")</f>
        <v>#VALUE!</v>
      </c>
      <c r="J412" s="52">
        <f ca="1">SUMIFS(OUT!$F$2:$F$11000,OUT!$H$2:$H$11000,H412,OUT!$D$2:$D$11000,"Out")</f>
        <v>6908733</v>
      </c>
      <c r="K412" s="52">
        <f ca="1">SUMIFS(OUT!$F$2:$F$11000,OUT!$H$2:$H$11000,H412,OUT!$D$2:$D$11000,"Out",OUT!$E$2:$E$11000,"Fix")</f>
        <v>2440568</v>
      </c>
      <c r="L412" s="52">
        <f ca="1">SUMIFS(OUT!$F$2:$F$11000,OUT!$H$2:$H$11000,H412,OUT!$D$2:$D$11000,"Out",OUT!$E$2:$E$11000,"Bathroom")</f>
        <v>34500</v>
      </c>
      <c r="M412" s="52">
        <f ca="1">SUMIFS(OUT!$F$2:$F$11000,OUT!$H$2:$H$11000,H412,OUT!$D$2:$D$11000,"Out",OUT!$E$2:$E$11000,"Alfa")</f>
        <v>293800</v>
      </c>
      <c r="N412" s="52" t="e">
        <f ca="1">SUMIFS(OUT!$F$2:$F$11000,OUT!$H$2:$H$101007,H412,OUT!$D$2:$D$11000,"Out",OUT!$E$2:$E$11000,"Jajan")</f>
        <v>#VALUE!</v>
      </c>
      <c r="O412" s="52">
        <f ca="1">SUMIFS(OUT!$F$2:$F$11000,OUT!$H$2:$H$11000,H412,OUT!$D$2:$D$11000,"Out",OUT!$E$2:$E$11000,"Kitchen")</f>
        <v>992724</v>
      </c>
      <c r="P412" s="52">
        <f ca="1">SUMIFS(OUT!$F$2:$F$11000,OUT!$H$2:$H$11000,H412,OUT!$D$2:$D$11000,"Out",OUT!$E$2:$E$11000,"Loandry")</f>
        <v>41600</v>
      </c>
      <c r="Q412" s="52">
        <f ca="1">SUMIFS(OUT!$F$2:$F$11000,OUT!$H$2:$H$11000,H412,OUT!$D$2:$D$11000,"Out",OUT!$E$2:$E$11000,"Mio")</f>
        <v>249000</v>
      </c>
      <c r="R412" s="52">
        <f ca="1">SUMIFS(OUT!$F$2:$F$11000,OUT!$H$2:$H$11000,H412,OUT!$D$2:$D$11000,"Out",OUT!$E$2:$E$11000,"Sedekah")</f>
        <v>129000</v>
      </c>
      <c r="S412" s="52">
        <f ca="1">SUMIFS(OUT!$F$2:$F$11000,OUT!$H$2:$H$11000,H412,OUT!$D$2:$D$11000,"Out",OUT!$E$2:$E$11000,"Zela")</f>
        <v>24100</v>
      </c>
      <c r="T412" s="52">
        <f ca="1">SUMIFS(OUT!$F$2:$F$11000,OUT!$H$2:$H$11000,H412,OUT!$D$2:$D$11000,"Out",OUT!$E$2:$E$11000,"Iqbal")</f>
        <v>121000</v>
      </c>
    </row>
    <row r="413" spans="1:20" x14ac:dyDescent="0.2">
      <c r="A413" s="48">
        <f ca="1">IFERROR(__xludf.DUMMYFUNCTION("""COMPUTED_VALUE"""),46055)</f>
        <v>46055</v>
      </c>
      <c r="B413" s="4" t="str">
        <f ca="1">IFERROR(__xludf.DUMMYFUNCTION("""COMPUTED_VALUE"""),"Rokok")</f>
        <v>Rokok</v>
      </c>
      <c r="C413" s="4" t="str">
        <f ca="1">IFERROR(__xludf.DUMMYFUNCTION("""COMPUTED_VALUE"""),"Cash")</f>
        <v>Cash</v>
      </c>
      <c r="D413" s="4" t="str">
        <f ca="1">IFERROR(__xludf.DUMMYFUNCTION("""COMPUTED_VALUE"""),"Out")</f>
        <v>Out</v>
      </c>
      <c r="E413" s="4" t="str">
        <f ca="1">IFERROR(__xludf.DUMMYFUNCTION("""COMPUTED_VALUE"""),"Iqbal")</f>
        <v>Iqbal</v>
      </c>
      <c r="F413" s="49">
        <f ca="1">IFERROR(__xludf.DUMMYFUNCTION("""COMPUTED_VALUE"""),14000)</f>
        <v>14000</v>
      </c>
      <c r="G413" s="50" t="str">
        <f ca="1">IFERROR(__xludf.DUMMYFUNCTION("""COMPUTED_VALUE"""),"Zela")</f>
        <v>Zela</v>
      </c>
      <c r="H413" s="51">
        <f t="shared" ca="1" si="0"/>
        <v>46054</v>
      </c>
      <c r="I413" s="52" t="e">
        <f ca="1">SUMIFS(OUT!$F$2:$F$11000,OUT!$H$2:$H$11000,H413,OUT!$D$2:$D$101007,"In")</f>
        <v>#VALUE!</v>
      </c>
      <c r="J413" s="52">
        <f ca="1">SUMIFS(OUT!$F$2:$F$11000,OUT!$H$2:$H$11000,H413,OUT!$D$2:$D$11000,"Out")</f>
        <v>6908733</v>
      </c>
      <c r="K413" s="52">
        <f ca="1">SUMIFS(OUT!$F$2:$F$11000,OUT!$H$2:$H$11000,H413,OUT!$D$2:$D$11000,"Out",OUT!$E$2:$E$11000,"Fix")</f>
        <v>2440568</v>
      </c>
      <c r="L413" s="52">
        <f ca="1">SUMIFS(OUT!$F$2:$F$11000,OUT!$H$2:$H$11000,H413,OUT!$D$2:$D$11000,"Out",OUT!$E$2:$E$11000,"Bathroom")</f>
        <v>34500</v>
      </c>
      <c r="M413" s="52">
        <f ca="1">SUMIFS(OUT!$F$2:$F$11000,OUT!$H$2:$H$11000,H413,OUT!$D$2:$D$11000,"Out",OUT!$E$2:$E$11000,"Alfa")</f>
        <v>293800</v>
      </c>
      <c r="N413" s="52" t="e">
        <f ca="1">SUMIFS(OUT!$F$2:$F$11000,OUT!$H$2:$H$101007,H413,OUT!$D$2:$D$11000,"Out",OUT!$E$2:$E$11000,"Jajan")</f>
        <v>#VALUE!</v>
      </c>
      <c r="O413" s="52">
        <f ca="1">SUMIFS(OUT!$F$2:$F$11000,OUT!$H$2:$H$11000,H413,OUT!$D$2:$D$11000,"Out",OUT!$E$2:$E$11000,"Kitchen")</f>
        <v>992724</v>
      </c>
      <c r="P413" s="52">
        <f ca="1">SUMIFS(OUT!$F$2:$F$11000,OUT!$H$2:$H$11000,H413,OUT!$D$2:$D$11000,"Out",OUT!$E$2:$E$11000,"Loandry")</f>
        <v>41600</v>
      </c>
      <c r="Q413" s="52">
        <f ca="1">SUMIFS(OUT!$F$2:$F$11000,OUT!$H$2:$H$11000,H413,OUT!$D$2:$D$11000,"Out",OUT!$E$2:$E$11000,"Mio")</f>
        <v>249000</v>
      </c>
      <c r="R413" s="52">
        <f ca="1">SUMIFS(OUT!$F$2:$F$11000,OUT!$H$2:$H$11000,H413,OUT!$D$2:$D$11000,"Out",OUT!$E$2:$E$11000,"Sedekah")</f>
        <v>129000</v>
      </c>
      <c r="S413" s="52">
        <f ca="1">SUMIFS(OUT!$F$2:$F$11000,OUT!$H$2:$H$11000,H413,OUT!$D$2:$D$11000,"Out",OUT!$E$2:$E$11000,"Zela")</f>
        <v>24100</v>
      </c>
      <c r="T413" s="52">
        <f ca="1">SUMIFS(OUT!$F$2:$F$11000,OUT!$H$2:$H$11000,H413,OUT!$D$2:$D$11000,"Out",OUT!$E$2:$E$11000,"Iqbal")</f>
        <v>121000</v>
      </c>
    </row>
    <row r="414" spans="1:20" x14ac:dyDescent="0.2">
      <c r="A414" s="48">
        <f ca="1">IFERROR(__xludf.DUMMYFUNCTION("""COMPUTED_VALUE"""),46055)</f>
        <v>46055</v>
      </c>
      <c r="B414" s="4" t="str">
        <f ca="1">IFERROR(__xludf.DUMMYFUNCTION("""COMPUTED_VALUE"""),"Air Kelapa")</f>
        <v>Air Kelapa</v>
      </c>
      <c r="C414" s="4" t="str">
        <f ca="1">IFERROR(__xludf.DUMMYFUNCTION("""COMPUTED_VALUE"""),"Cash")</f>
        <v>Cash</v>
      </c>
      <c r="D414" s="4" t="str">
        <f ca="1">IFERROR(__xludf.DUMMYFUNCTION("""COMPUTED_VALUE"""),"Out")</f>
        <v>Out</v>
      </c>
      <c r="E414" s="4" t="str">
        <f ca="1">IFERROR(__xludf.DUMMYFUNCTION("""COMPUTED_VALUE"""),"Jajan")</f>
        <v>Jajan</v>
      </c>
      <c r="F414" s="49">
        <f ca="1">IFERROR(__xludf.DUMMYFUNCTION("""COMPUTED_VALUE"""),20000)</f>
        <v>20000</v>
      </c>
      <c r="G414" s="50" t="str">
        <f ca="1">IFERROR(__xludf.DUMMYFUNCTION("""COMPUTED_VALUE"""),"Zela")</f>
        <v>Zela</v>
      </c>
      <c r="H414" s="51">
        <f t="shared" ca="1" si="0"/>
        <v>46054</v>
      </c>
      <c r="I414" s="52" t="e">
        <f ca="1">SUMIFS(OUT!$F$2:$F$11000,OUT!$H$2:$H$11000,H414,OUT!$D$2:$D$101007,"In")</f>
        <v>#VALUE!</v>
      </c>
      <c r="J414" s="52">
        <f ca="1">SUMIFS(OUT!$F$2:$F$11000,OUT!$H$2:$H$11000,H414,OUT!$D$2:$D$11000,"Out")</f>
        <v>6908733</v>
      </c>
      <c r="K414" s="52">
        <f ca="1">SUMIFS(OUT!$F$2:$F$11000,OUT!$H$2:$H$11000,H414,OUT!$D$2:$D$11000,"Out",OUT!$E$2:$E$11000,"Fix")</f>
        <v>2440568</v>
      </c>
      <c r="L414" s="52">
        <f ca="1">SUMIFS(OUT!$F$2:$F$11000,OUT!$H$2:$H$11000,H414,OUT!$D$2:$D$11000,"Out",OUT!$E$2:$E$11000,"Bathroom")</f>
        <v>34500</v>
      </c>
      <c r="M414" s="52">
        <f ca="1">SUMIFS(OUT!$F$2:$F$11000,OUT!$H$2:$H$11000,H414,OUT!$D$2:$D$11000,"Out",OUT!$E$2:$E$11000,"Alfa")</f>
        <v>293800</v>
      </c>
      <c r="N414" s="52" t="e">
        <f ca="1">SUMIFS(OUT!$F$2:$F$11000,OUT!$H$2:$H$101007,H414,OUT!$D$2:$D$11000,"Out",OUT!$E$2:$E$11000,"Jajan")</f>
        <v>#VALUE!</v>
      </c>
      <c r="O414" s="52">
        <f ca="1">SUMIFS(OUT!$F$2:$F$11000,OUT!$H$2:$H$11000,H414,OUT!$D$2:$D$11000,"Out",OUT!$E$2:$E$11000,"Kitchen")</f>
        <v>992724</v>
      </c>
      <c r="P414" s="52">
        <f ca="1">SUMIFS(OUT!$F$2:$F$11000,OUT!$H$2:$H$11000,H414,OUT!$D$2:$D$11000,"Out",OUT!$E$2:$E$11000,"Loandry")</f>
        <v>41600</v>
      </c>
      <c r="Q414" s="52">
        <f ca="1">SUMIFS(OUT!$F$2:$F$11000,OUT!$H$2:$H$11000,H414,OUT!$D$2:$D$11000,"Out",OUT!$E$2:$E$11000,"Mio")</f>
        <v>249000</v>
      </c>
      <c r="R414" s="52">
        <f ca="1">SUMIFS(OUT!$F$2:$F$11000,OUT!$H$2:$H$11000,H414,OUT!$D$2:$D$11000,"Out",OUT!$E$2:$E$11000,"Sedekah")</f>
        <v>129000</v>
      </c>
      <c r="S414" s="52">
        <f ca="1">SUMIFS(OUT!$F$2:$F$11000,OUT!$H$2:$H$11000,H414,OUT!$D$2:$D$11000,"Out",OUT!$E$2:$E$11000,"Zela")</f>
        <v>24100</v>
      </c>
      <c r="T414" s="52">
        <f ca="1">SUMIFS(OUT!$F$2:$F$11000,OUT!$H$2:$H$11000,H414,OUT!$D$2:$D$11000,"Out",OUT!$E$2:$E$11000,"Iqbal")</f>
        <v>121000</v>
      </c>
    </row>
    <row r="415" spans="1:20" x14ac:dyDescent="0.2">
      <c r="A415" s="48">
        <f ca="1">IFERROR(__xludf.DUMMYFUNCTION("""COMPUTED_VALUE"""),46055)</f>
        <v>46055</v>
      </c>
      <c r="B415" s="4" t="str">
        <f ca="1">IFERROR(__xludf.DUMMYFUNCTION("""COMPUTED_VALUE"""),"Seabank /Shopee(beras 10 kg)")</f>
        <v>Seabank /Shopee(beras 10 kg)</v>
      </c>
      <c r="C415" s="4" t="str">
        <f ca="1">IFERROR(__xludf.DUMMYFUNCTION("""COMPUTED_VALUE"""),"ATM")</f>
        <v>ATM</v>
      </c>
      <c r="D415" s="4" t="str">
        <f ca="1">IFERROR(__xludf.DUMMYFUNCTION("""COMPUTED_VALUE"""),"Out")</f>
        <v>Out</v>
      </c>
      <c r="E415" s="4" t="str">
        <f ca="1">IFERROR(__xludf.DUMMYFUNCTION("""COMPUTED_VALUE"""),"Kitchen")</f>
        <v>Kitchen</v>
      </c>
      <c r="F415" s="49">
        <f ca="1">IFERROR(__xludf.DUMMYFUNCTION("""COMPUTED_VALUE"""),250000)</f>
        <v>250000</v>
      </c>
      <c r="G415" s="50" t="str">
        <f ca="1">IFERROR(__xludf.DUMMYFUNCTION("""COMPUTED_VALUE"""),"Zela")</f>
        <v>Zela</v>
      </c>
      <c r="H415" s="51">
        <f t="shared" ca="1" si="0"/>
        <v>46054</v>
      </c>
      <c r="I415" s="52" t="e">
        <f ca="1">SUMIFS(OUT!$F$2:$F$11000,OUT!$H$2:$H$11000,H415,OUT!$D$2:$D$101007,"In")</f>
        <v>#VALUE!</v>
      </c>
      <c r="J415" s="52">
        <f ca="1">SUMIFS(OUT!$F$2:$F$11000,OUT!$H$2:$H$11000,H415,OUT!$D$2:$D$11000,"Out")</f>
        <v>6908733</v>
      </c>
      <c r="K415" s="52">
        <f ca="1">SUMIFS(OUT!$F$2:$F$11000,OUT!$H$2:$H$11000,H415,OUT!$D$2:$D$11000,"Out",OUT!$E$2:$E$11000,"Fix")</f>
        <v>2440568</v>
      </c>
      <c r="L415" s="52">
        <f ca="1">SUMIFS(OUT!$F$2:$F$11000,OUT!$H$2:$H$11000,H415,OUT!$D$2:$D$11000,"Out",OUT!$E$2:$E$11000,"Bathroom")</f>
        <v>34500</v>
      </c>
      <c r="M415" s="52">
        <f ca="1">SUMIFS(OUT!$F$2:$F$11000,OUT!$H$2:$H$11000,H415,OUT!$D$2:$D$11000,"Out",OUT!$E$2:$E$11000,"Alfa")</f>
        <v>293800</v>
      </c>
      <c r="N415" s="52" t="e">
        <f ca="1">SUMIFS(OUT!$F$2:$F$11000,OUT!$H$2:$H$101007,H415,OUT!$D$2:$D$11000,"Out",OUT!$E$2:$E$11000,"Jajan")</f>
        <v>#VALUE!</v>
      </c>
      <c r="O415" s="52">
        <f ca="1">SUMIFS(OUT!$F$2:$F$11000,OUT!$H$2:$H$11000,H415,OUT!$D$2:$D$11000,"Out",OUT!$E$2:$E$11000,"Kitchen")</f>
        <v>992724</v>
      </c>
      <c r="P415" s="52">
        <f ca="1">SUMIFS(OUT!$F$2:$F$11000,OUT!$H$2:$H$11000,H415,OUT!$D$2:$D$11000,"Out",OUT!$E$2:$E$11000,"Loandry")</f>
        <v>41600</v>
      </c>
      <c r="Q415" s="52">
        <f ca="1">SUMIFS(OUT!$F$2:$F$11000,OUT!$H$2:$H$11000,H415,OUT!$D$2:$D$11000,"Out",OUT!$E$2:$E$11000,"Mio")</f>
        <v>249000</v>
      </c>
      <c r="R415" s="52">
        <f ca="1">SUMIFS(OUT!$F$2:$F$11000,OUT!$H$2:$H$11000,H415,OUT!$D$2:$D$11000,"Out",OUT!$E$2:$E$11000,"Sedekah")</f>
        <v>129000</v>
      </c>
      <c r="S415" s="52">
        <f ca="1">SUMIFS(OUT!$F$2:$F$11000,OUT!$H$2:$H$11000,H415,OUT!$D$2:$D$11000,"Out",OUT!$E$2:$E$11000,"Zela")</f>
        <v>24100</v>
      </c>
      <c r="T415" s="52">
        <f ca="1">SUMIFS(OUT!$F$2:$F$11000,OUT!$H$2:$H$11000,H415,OUT!$D$2:$D$11000,"Out",OUT!$E$2:$E$11000,"Iqbal")</f>
        <v>121000</v>
      </c>
    </row>
    <row r="416" spans="1:20" x14ac:dyDescent="0.2">
      <c r="A416" s="48">
        <f ca="1">IFERROR(__xludf.DUMMYFUNCTION("""COMPUTED_VALUE"""),46055)</f>
        <v>46055</v>
      </c>
      <c r="B416" s="4" t="str">
        <f ca="1">IFERROR(__xludf.DUMMYFUNCTION("""COMPUTED_VALUE"""),"kuota By.u1&amp;2")</f>
        <v>kuota By.u1&amp;2</v>
      </c>
      <c r="C416" s="4" t="str">
        <f ca="1">IFERROR(__xludf.DUMMYFUNCTION("""COMPUTED_VALUE"""),"ATM")</f>
        <v>ATM</v>
      </c>
      <c r="D416" s="4" t="str">
        <f ca="1">IFERROR(__xludf.DUMMYFUNCTION("""COMPUTED_VALUE"""),"Out")</f>
        <v>Out</v>
      </c>
      <c r="E416" s="4" t="str">
        <f ca="1">IFERROR(__xludf.DUMMYFUNCTION("""COMPUTED_VALUE"""),"Fix")</f>
        <v>Fix</v>
      </c>
      <c r="F416" s="49">
        <f ca="1">IFERROR(__xludf.DUMMYFUNCTION("""COMPUTED_VALUE"""),30000)</f>
        <v>30000</v>
      </c>
      <c r="G416" s="50" t="str">
        <f ca="1">IFERROR(__xludf.DUMMYFUNCTION("""COMPUTED_VALUE"""),"Zela")</f>
        <v>Zela</v>
      </c>
      <c r="H416" s="51">
        <f t="shared" ca="1" si="0"/>
        <v>46054</v>
      </c>
      <c r="I416" s="52" t="e">
        <f ca="1">SUMIFS(OUT!$F$2:$F$11000,OUT!$H$2:$H$11000,H416,OUT!$D$2:$D$101007,"In")</f>
        <v>#VALUE!</v>
      </c>
      <c r="J416" s="52">
        <f ca="1">SUMIFS(OUT!$F$2:$F$11000,OUT!$H$2:$H$11000,H416,OUT!$D$2:$D$11000,"Out")</f>
        <v>6908733</v>
      </c>
      <c r="K416" s="52">
        <f ca="1">SUMIFS(OUT!$F$2:$F$11000,OUT!$H$2:$H$11000,H416,OUT!$D$2:$D$11000,"Out",OUT!$E$2:$E$11000,"Fix")</f>
        <v>2440568</v>
      </c>
      <c r="L416" s="52">
        <f ca="1">SUMIFS(OUT!$F$2:$F$11000,OUT!$H$2:$H$11000,H416,OUT!$D$2:$D$11000,"Out",OUT!$E$2:$E$11000,"Bathroom")</f>
        <v>34500</v>
      </c>
      <c r="M416" s="52">
        <f ca="1">SUMIFS(OUT!$F$2:$F$11000,OUT!$H$2:$H$11000,H416,OUT!$D$2:$D$11000,"Out",OUT!$E$2:$E$11000,"Alfa")</f>
        <v>293800</v>
      </c>
      <c r="N416" s="52" t="e">
        <f ca="1">SUMIFS(OUT!$F$2:$F$11000,OUT!$H$2:$H$101007,H416,OUT!$D$2:$D$11000,"Out",OUT!$E$2:$E$11000,"Jajan")</f>
        <v>#VALUE!</v>
      </c>
      <c r="O416" s="52">
        <f ca="1">SUMIFS(OUT!$F$2:$F$11000,OUT!$H$2:$H$11000,H416,OUT!$D$2:$D$11000,"Out",OUT!$E$2:$E$11000,"Kitchen")</f>
        <v>992724</v>
      </c>
      <c r="P416" s="52">
        <f ca="1">SUMIFS(OUT!$F$2:$F$11000,OUT!$H$2:$H$11000,H416,OUT!$D$2:$D$11000,"Out",OUT!$E$2:$E$11000,"Loandry")</f>
        <v>41600</v>
      </c>
      <c r="Q416" s="52">
        <f ca="1">SUMIFS(OUT!$F$2:$F$11000,OUT!$H$2:$H$11000,H416,OUT!$D$2:$D$11000,"Out",OUT!$E$2:$E$11000,"Mio")</f>
        <v>249000</v>
      </c>
      <c r="R416" s="52">
        <f ca="1">SUMIFS(OUT!$F$2:$F$11000,OUT!$H$2:$H$11000,H416,OUT!$D$2:$D$11000,"Out",OUT!$E$2:$E$11000,"Sedekah")</f>
        <v>129000</v>
      </c>
      <c r="S416" s="52">
        <f ca="1">SUMIFS(OUT!$F$2:$F$11000,OUT!$H$2:$H$11000,H416,OUT!$D$2:$D$11000,"Out",OUT!$E$2:$E$11000,"Zela")</f>
        <v>24100</v>
      </c>
      <c r="T416" s="52">
        <f ca="1">SUMIFS(OUT!$F$2:$F$11000,OUT!$H$2:$H$11000,H416,OUT!$D$2:$D$11000,"Out",OUT!$E$2:$E$11000,"Iqbal")</f>
        <v>121000</v>
      </c>
    </row>
    <row r="417" spans="1:20" x14ac:dyDescent="0.2">
      <c r="A417" s="48">
        <f ca="1">IFERROR(__xludf.DUMMYFUNCTION("""COMPUTED_VALUE"""),46055)</f>
        <v>46055</v>
      </c>
      <c r="B417" s="4" t="str">
        <f ca="1">IFERROR(__xludf.DUMMYFUNCTION("""COMPUTED_VALUE"""),"Sisa saldo seabank (Beli Beras ) TF BRI")</f>
        <v>Sisa saldo seabank (Beli Beras ) TF BRI</v>
      </c>
      <c r="C417" s="4" t="str">
        <f ca="1">IFERROR(__xludf.DUMMYFUNCTION("""COMPUTED_VALUE"""),"ATM")</f>
        <v>ATM</v>
      </c>
      <c r="D417" s="4" t="str">
        <f ca="1">IFERROR(__xludf.DUMMYFUNCTION("""COMPUTED_VALUE"""),"In")</f>
        <v>In</v>
      </c>
      <c r="E417" s="4" t="str">
        <f ca="1">IFERROR(__xludf.DUMMYFUNCTION("""COMPUTED_VALUE"""),"Move")</f>
        <v>Move</v>
      </c>
      <c r="F417" s="49">
        <f ca="1">IFERROR(__xludf.DUMMYFUNCTION("""COMPUTED_VALUE"""),90386)</f>
        <v>90386</v>
      </c>
      <c r="G417" s="50" t="str">
        <f ca="1">IFERROR(__xludf.DUMMYFUNCTION("""COMPUTED_VALUE"""),"Zela")</f>
        <v>Zela</v>
      </c>
      <c r="H417" s="51">
        <f t="shared" ca="1" si="0"/>
        <v>46054</v>
      </c>
      <c r="I417" s="52" t="e">
        <f ca="1">SUMIFS(OUT!$F$2:$F$11000,OUT!$H$2:$H$11000,H417,OUT!$D$2:$D$101007,"In")</f>
        <v>#VALUE!</v>
      </c>
      <c r="J417" s="52">
        <f ca="1">SUMIFS(OUT!$F$2:$F$11000,OUT!$H$2:$H$11000,H417,OUT!$D$2:$D$11000,"Out")</f>
        <v>6908733</v>
      </c>
      <c r="K417" s="52">
        <f ca="1">SUMIFS(OUT!$F$2:$F$11000,OUT!$H$2:$H$11000,H417,OUT!$D$2:$D$11000,"Out",OUT!$E$2:$E$11000,"Fix")</f>
        <v>2440568</v>
      </c>
      <c r="L417" s="52">
        <f ca="1">SUMIFS(OUT!$F$2:$F$11000,OUT!$H$2:$H$11000,H417,OUT!$D$2:$D$11000,"Out",OUT!$E$2:$E$11000,"Bathroom")</f>
        <v>34500</v>
      </c>
      <c r="M417" s="52">
        <f ca="1">SUMIFS(OUT!$F$2:$F$11000,OUT!$H$2:$H$11000,H417,OUT!$D$2:$D$11000,"Out",OUT!$E$2:$E$11000,"Alfa")</f>
        <v>293800</v>
      </c>
      <c r="N417" s="52" t="e">
        <f ca="1">SUMIFS(OUT!$F$2:$F$11000,OUT!$H$2:$H$101007,H417,OUT!$D$2:$D$11000,"Out",OUT!$E$2:$E$11000,"Jajan")</f>
        <v>#VALUE!</v>
      </c>
      <c r="O417" s="52">
        <f ca="1">SUMIFS(OUT!$F$2:$F$11000,OUT!$H$2:$H$11000,H417,OUT!$D$2:$D$11000,"Out",OUT!$E$2:$E$11000,"Kitchen")</f>
        <v>992724</v>
      </c>
      <c r="P417" s="52">
        <f ca="1">SUMIFS(OUT!$F$2:$F$11000,OUT!$H$2:$H$11000,H417,OUT!$D$2:$D$11000,"Out",OUT!$E$2:$E$11000,"Loandry")</f>
        <v>41600</v>
      </c>
      <c r="Q417" s="52">
        <f ca="1">SUMIFS(OUT!$F$2:$F$11000,OUT!$H$2:$H$11000,H417,OUT!$D$2:$D$11000,"Out",OUT!$E$2:$E$11000,"Mio")</f>
        <v>249000</v>
      </c>
      <c r="R417" s="52">
        <f ca="1">SUMIFS(OUT!$F$2:$F$11000,OUT!$H$2:$H$11000,H417,OUT!$D$2:$D$11000,"Out",OUT!$E$2:$E$11000,"Sedekah")</f>
        <v>129000</v>
      </c>
      <c r="S417" s="52">
        <f ca="1">SUMIFS(OUT!$F$2:$F$11000,OUT!$H$2:$H$11000,H417,OUT!$D$2:$D$11000,"Out",OUT!$E$2:$E$11000,"Zela")</f>
        <v>24100</v>
      </c>
      <c r="T417" s="52">
        <f ca="1">SUMIFS(OUT!$F$2:$F$11000,OUT!$H$2:$H$11000,H417,OUT!$D$2:$D$11000,"Out",OUT!$E$2:$E$11000,"Iqbal")</f>
        <v>121000</v>
      </c>
    </row>
    <row r="418" spans="1:20" x14ac:dyDescent="0.2">
      <c r="A418" s="48">
        <f ca="1">IFERROR(__xludf.DUMMYFUNCTION("""COMPUTED_VALUE"""),46055)</f>
        <v>46055</v>
      </c>
      <c r="B418" s="4" t="str">
        <f ca="1">IFERROR(__xludf.DUMMYFUNCTION("""COMPUTED_VALUE"""),"Pasar Kaget+parkir ( Dapur )")</f>
        <v>Pasar Kaget+parkir ( Dapur )</v>
      </c>
      <c r="C418" s="4" t="str">
        <f ca="1">IFERROR(__xludf.DUMMYFUNCTION("""COMPUTED_VALUE"""),"Cash")</f>
        <v>Cash</v>
      </c>
      <c r="D418" s="4" t="str">
        <f ca="1">IFERROR(__xludf.DUMMYFUNCTION("""COMPUTED_VALUE"""),"Out")</f>
        <v>Out</v>
      </c>
      <c r="E418" s="4" t="str">
        <f ca="1">IFERROR(__xludf.DUMMYFUNCTION("""COMPUTED_VALUE"""),"Kitchen")</f>
        <v>Kitchen</v>
      </c>
      <c r="F418" s="49">
        <f ca="1">IFERROR(__xludf.DUMMYFUNCTION("""COMPUTED_VALUE"""),116000)</f>
        <v>116000</v>
      </c>
      <c r="G418" s="50" t="str">
        <f ca="1">IFERROR(__xludf.DUMMYFUNCTION("""COMPUTED_VALUE"""),"Zela")</f>
        <v>Zela</v>
      </c>
      <c r="H418" s="51">
        <f t="shared" ca="1" si="0"/>
        <v>46054</v>
      </c>
      <c r="I418" s="52" t="e">
        <f ca="1">SUMIFS(OUT!$F$2:$F$11000,OUT!$H$2:$H$11000,H418,OUT!$D$2:$D$101007,"In")</f>
        <v>#VALUE!</v>
      </c>
      <c r="J418" s="52">
        <f ca="1">SUMIFS(OUT!$F$2:$F$11000,OUT!$H$2:$H$11000,H418,OUT!$D$2:$D$11000,"Out")</f>
        <v>6908733</v>
      </c>
      <c r="K418" s="52">
        <f ca="1">SUMIFS(OUT!$F$2:$F$11000,OUT!$H$2:$H$11000,H418,OUT!$D$2:$D$11000,"Out",OUT!$E$2:$E$11000,"Fix")</f>
        <v>2440568</v>
      </c>
      <c r="L418" s="52">
        <f ca="1">SUMIFS(OUT!$F$2:$F$11000,OUT!$H$2:$H$11000,H418,OUT!$D$2:$D$11000,"Out",OUT!$E$2:$E$11000,"Bathroom")</f>
        <v>34500</v>
      </c>
      <c r="M418" s="52">
        <f ca="1">SUMIFS(OUT!$F$2:$F$11000,OUT!$H$2:$H$11000,H418,OUT!$D$2:$D$11000,"Out",OUT!$E$2:$E$11000,"Alfa")</f>
        <v>293800</v>
      </c>
      <c r="N418" s="52" t="e">
        <f ca="1">SUMIFS(OUT!$F$2:$F$11000,OUT!$H$2:$H$101007,H418,OUT!$D$2:$D$11000,"Out",OUT!$E$2:$E$11000,"Jajan")</f>
        <v>#VALUE!</v>
      </c>
      <c r="O418" s="52">
        <f ca="1">SUMIFS(OUT!$F$2:$F$11000,OUT!$H$2:$H$11000,H418,OUT!$D$2:$D$11000,"Out",OUT!$E$2:$E$11000,"Kitchen")</f>
        <v>992724</v>
      </c>
      <c r="P418" s="52">
        <f ca="1">SUMIFS(OUT!$F$2:$F$11000,OUT!$H$2:$H$11000,H418,OUT!$D$2:$D$11000,"Out",OUT!$E$2:$E$11000,"Loandry")</f>
        <v>41600</v>
      </c>
      <c r="Q418" s="52">
        <f ca="1">SUMIFS(OUT!$F$2:$F$11000,OUT!$H$2:$H$11000,H418,OUT!$D$2:$D$11000,"Out",OUT!$E$2:$E$11000,"Mio")</f>
        <v>249000</v>
      </c>
      <c r="R418" s="52">
        <f ca="1">SUMIFS(OUT!$F$2:$F$11000,OUT!$H$2:$H$11000,H418,OUT!$D$2:$D$11000,"Out",OUT!$E$2:$E$11000,"Sedekah")</f>
        <v>129000</v>
      </c>
      <c r="S418" s="52">
        <f ca="1">SUMIFS(OUT!$F$2:$F$11000,OUT!$H$2:$H$11000,H418,OUT!$D$2:$D$11000,"Out",OUT!$E$2:$E$11000,"Zela")</f>
        <v>24100</v>
      </c>
      <c r="T418" s="52">
        <f ca="1">SUMIFS(OUT!$F$2:$F$11000,OUT!$H$2:$H$11000,H418,OUT!$D$2:$D$11000,"Out",OUT!$E$2:$E$11000,"Iqbal")</f>
        <v>121000</v>
      </c>
    </row>
    <row r="419" spans="1:20" x14ac:dyDescent="0.2">
      <c r="A419" s="48">
        <f ca="1">IFERROR(__xludf.DUMMYFUNCTION("""COMPUTED_VALUE"""),46055)</f>
        <v>46055</v>
      </c>
      <c r="B419" s="4" t="str">
        <f ca="1">IFERROR(__xludf.DUMMYFUNCTION("""COMPUTED_VALUE"""),"Popok + Tisu Basah")</f>
        <v>Popok + Tisu Basah</v>
      </c>
      <c r="C419" s="4" t="str">
        <f ca="1">IFERROR(__xludf.DUMMYFUNCTION("""COMPUTED_VALUE"""),"ATM")</f>
        <v>ATM</v>
      </c>
      <c r="D419" s="4" t="str">
        <f ca="1">IFERROR(__xludf.DUMMYFUNCTION("""COMPUTED_VALUE"""),"Out")</f>
        <v>Out</v>
      </c>
      <c r="E419" s="4" t="str">
        <f ca="1">IFERROR(__xludf.DUMMYFUNCTION("""COMPUTED_VALUE"""),"Alfa")</f>
        <v>Alfa</v>
      </c>
      <c r="F419" s="49">
        <f ca="1">IFERROR(__xludf.DUMMYFUNCTION("""COMPUTED_VALUE"""),53800)</f>
        <v>53800</v>
      </c>
      <c r="G419" s="50" t="str">
        <f ca="1">IFERROR(__xludf.DUMMYFUNCTION("""COMPUTED_VALUE"""),"Zela")</f>
        <v>Zela</v>
      </c>
      <c r="H419" s="51">
        <f t="shared" ca="1" si="0"/>
        <v>46054</v>
      </c>
      <c r="I419" s="52" t="e">
        <f ca="1">SUMIFS(OUT!$F$2:$F$11000,OUT!$H$2:$H$11000,H419,OUT!$D$2:$D$101007,"In")</f>
        <v>#VALUE!</v>
      </c>
      <c r="J419" s="52">
        <f ca="1">SUMIFS(OUT!$F$2:$F$11000,OUT!$H$2:$H$11000,H419,OUT!$D$2:$D$11000,"Out")</f>
        <v>6908733</v>
      </c>
      <c r="K419" s="52">
        <f ca="1">SUMIFS(OUT!$F$2:$F$11000,OUT!$H$2:$H$11000,H419,OUT!$D$2:$D$11000,"Out",OUT!$E$2:$E$11000,"Fix")</f>
        <v>2440568</v>
      </c>
      <c r="L419" s="52">
        <f ca="1">SUMIFS(OUT!$F$2:$F$11000,OUT!$H$2:$H$11000,H419,OUT!$D$2:$D$11000,"Out",OUT!$E$2:$E$11000,"Bathroom")</f>
        <v>34500</v>
      </c>
      <c r="M419" s="52">
        <f ca="1">SUMIFS(OUT!$F$2:$F$11000,OUT!$H$2:$H$11000,H419,OUT!$D$2:$D$11000,"Out",OUT!$E$2:$E$11000,"Alfa")</f>
        <v>293800</v>
      </c>
      <c r="N419" s="52" t="e">
        <f ca="1">SUMIFS(OUT!$F$2:$F$11000,OUT!$H$2:$H$101007,H419,OUT!$D$2:$D$11000,"Out",OUT!$E$2:$E$11000,"Jajan")</f>
        <v>#VALUE!</v>
      </c>
      <c r="O419" s="52">
        <f ca="1">SUMIFS(OUT!$F$2:$F$11000,OUT!$H$2:$H$11000,H419,OUT!$D$2:$D$11000,"Out",OUT!$E$2:$E$11000,"Kitchen")</f>
        <v>992724</v>
      </c>
      <c r="P419" s="52">
        <f ca="1">SUMIFS(OUT!$F$2:$F$11000,OUT!$H$2:$H$11000,H419,OUT!$D$2:$D$11000,"Out",OUT!$E$2:$E$11000,"Loandry")</f>
        <v>41600</v>
      </c>
      <c r="Q419" s="52">
        <f ca="1">SUMIFS(OUT!$F$2:$F$11000,OUT!$H$2:$H$11000,H419,OUT!$D$2:$D$11000,"Out",OUT!$E$2:$E$11000,"Mio")</f>
        <v>249000</v>
      </c>
      <c r="R419" s="52">
        <f ca="1">SUMIFS(OUT!$F$2:$F$11000,OUT!$H$2:$H$11000,H419,OUT!$D$2:$D$11000,"Out",OUT!$E$2:$E$11000,"Sedekah")</f>
        <v>129000</v>
      </c>
      <c r="S419" s="52">
        <f ca="1">SUMIFS(OUT!$F$2:$F$11000,OUT!$H$2:$H$11000,H419,OUT!$D$2:$D$11000,"Out",OUT!$E$2:$E$11000,"Zela")</f>
        <v>24100</v>
      </c>
      <c r="T419" s="52">
        <f ca="1">SUMIFS(OUT!$F$2:$F$11000,OUT!$H$2:$H$11000,H419,OUT!$D$2:$D$11000,"Out",OUT!$E$2:$E$11000,"Iqbal")</f>
        <v>121000</v>
      </c>
    </row>
    <row r="420" spans="1:20" x14ac:dyDescent="0.2">
      <c r="A420" s="48">
        <f ca="1">IFERROR(__xludf.DUMMYFUNCTION("""COMPUTED_VALUE"""),46055)</f>
        <v>46055</v>
      </c>
      <c r="B420" s="4" t="str">
        <f ca="1">IFERROR(__xludf.DUMMYFUNCTION("""COMPUTED_VALUE"""),"Seabank/shopee (detergen + ekonomi)")</f>
        <v>Seabank/shopee (detergen + ekonomi)</v>
      </c>
      <c r="C420" s="4" t="str">
        <f ca="1">IFERROR(__xludf.DUMMYFUNCTION("""COMPUTED_VALUE"""),"ATM")</f>
        <v>ATM</v>
      </c>
      <c r="D420" s="4" t="str">
        <f ca="1">IFERROR(__xludf.DUMMYFUNCTION("""COMPUTED_VALUE"""),"Out")</f>
        <v>Out</v>
      </c>
      <c r="E420" s="4" t="str">
        <f ca="1">IFERROR(__xludf.DUMMYFUNCTION("""COMPUTED_VALUE"""),"Loandry")</f>
        <v>Loandry</v>
      </c>
      <c r="F420" s="49">
        <f ca="1">IFERROR(__xludf.DUMMYFUNCTION("""COMPUTED_VALUE"""),18100)</f>
        <v>18100</v>
      </c>
      <c r="G420" s="50" t="str">
        <f ca="1">IFERROR(__xludf.DUMMYFUNCTION("""COMPUTED_VALUE"""),"Zela")</f>
        <v>Zela</v>
      </c>
      <c r="H420" s="51">
        <f t="shared" ca="1" si="0"/>
        <v>46054</v>
      </c>
      <c r="I420" s="52" t="e">
        <f ca="1">SUMIFS(OUT!$F$2:$F$11000,OUT!$H$2:$H$11000,H420,OUT!$D$2:$D$101007,"In")</f>
        <v>#VALUE!</v>
      </c>
      <c r="J420" s="52">
        <f ca="1">SUMIFS(OUT!$F$2:$F$11000,OUT!$H$2:$H$11000,H420,OUT!$D$2:$D$11000,"Out")</f>
        <v>6908733</v>
      </c>
      <c r="K420" s="52">
        <f ca="1">SUMIFS(OUT!$F$2:$F$11000,OUT!$H$2:$H$11000,H420,OUT!$D$2:$D$11000,"Out",OUT!$E$2:$E$11000,"Fix")</f>
        <v>2440568</v>
      </c>
      <c r="L420" s="52">
        <f ca="1">SUMIFS(OUT!$F$2:$F$11000,OUT!$H$2:$H$11000,H420,OUT!$D$2:$D$11000,"Out",OUT!$E$2:$E$11000,"Bathroom")</f>
        <v>34500</v>
      </c>
      <c r="M420" s="52">
        <f ca="1">SUMIFS(OUT!$F$2:$F$11000,OUT!$H$2:$H$11000,H420,OUT!$D$2:$D$11000,"Out",OUT!$E$2:$E$11000,"Alfa")</f>
        <v>293800</v>
      </c>
      <c r="N420" s="52" t="e">
        <f ca="1">SUMIFS(OUT!$F$2:$F$11000,OUT!$H$2:$H$101007,H420,OUT!$D$2:$D$11000,"Out",OUT!$E$2:$E$11000,"Jajan")</f>
        <v>#VALUE!</v>
      </c>
      <c r="O420" s="52">
        <f ca="1">SUMIFS(OUT!$F$2:$F$11000,OUT!$H$2:$H$11000,H420,OUT!$D$2:$D$11000,"Out",OUT!$E$2:$E$11000,"Kitchen")</f>
        <v>992724</v>
      </c>
      <c r="P420" s="52">
        <f ca="1">SUMIFS(OUT!$F$2:$F$11000,OUT!$H$2:$H$11000,H420,OUT!$D$2:$D$11000,"Out",OUT!$E$2:$E$11000,"Loandry")</f>
        <v>41600</v>
      </c>
      <c r="Q420" s="52">
        <f ca="1">SUMIFS(OUT!$F$2:$F$11000,OUT!$H$2:$H$11000,H420,OUT!$D$2:$D$11000,"Out",OUT!$E$2:$E$11000,"Mio")</f>
        <v>249000</v>
      </c>
      <c r="R420" s="52">
        <f ca="1">SUMIFS(OUT!$F$2:$F$11000,OUT!$H$2:$H$11000,H420,OUT!$D$2:$D$11000,"Out",OUT!$E$2:$E$11000,"Sedekah")</f>
        <v>129000</v>
      </c>
      <c r="S420" s="52">
        <f ca="1">SUMIFS(OUT!$F$2:$F$11000,OUT!$H$2:$H$11000,H420,OUT!$D$2:$D$11000,"Out",OUT!$E$2:$E$11000,"Zela")</f>
        <v>24100</v>
      </c>
      <c r="T420" s="52">
        <f ca="1">SUMIFS(OUT!$F$2:$F$11000,OUT!$H$2:$H$11000,H420,OUT!$D$2:$D$11000,"Out",OUT!$E$2:$E$11000,"Iqbal")</f>
        <v>121000</v>
      </c>
    </row>
    <row r="421" spans="1:20" x14ac:dyDescent="0.2">
      <c r="A421" s="48">
        <f ca="1">IFERROR(__xludf.DUMMYFUNCTION("""COMPUTED_VALUE"""),46055)</f>
        <v>46055</v>
      </c>
      <c r="B421" s="4" t="str">
        <f ca="1">IFERROR(__xludf.DUMMYFUNCTION("""COMPUTED_VALUE"""),"seabank/shopee (Sabunbotol+ spons + tisu)")</f>
        <v>seabank/shopee (Sabunbotol+ spons + tisu)</v>
      </c>
      <c r="C421" s="4" t="str">
        <f ca="1">IFERROR(__xludf.DUMMYFUNCTION("""COMPUTED_VALUE"""),"ATM")</f>
        <v>ATM</v>
      </c>
      <c r="D421" s="4" t="str">
        <f ca="1">IFERROR(__xludf.DUMMYFUNCTION("""COMPUTED_VALUE"""),"Out")</f>
        <v>Out</v>
      </c>
      <c r="E421" s="4" t="str">
        <f ca="1">IFERROR(__xludf.DUMMYFUNCTION("""COMPUTED_VALUE"""),"Kitchen")</f>
        <v>Kitchen</v>
      </c>
      <c r="F421" s="49">
        <f ca="1">IFERROR(__xludf.DUMMYFUNCTION("""COMPUTED_VALUE"""),50000)</f>
        <v>50000</v>
      </c>
      <c r="G421" s="50" t="str">
        <f ca="1">IFERROR(__xludf.DUMMYFUNCTION("""COMPUTED_VALUE"""),"Zela")</f>
        <v>Zela</v>
      </c>
      <c r="H421" s="51">
        <f t="shared" ca="1" si="0"/>
        <v>46054</v>
      </c>
      <c r="I421" s="52" t="e">
        <f ca="1">SUMIFS(OUT!$F$2:$F$11000,OUT!$H$2:$H$11000,H421,OUT!$D$2:$D$101007,"In")</f>
        <v>#VALUE!</v>
      </c>
      <c r="J421" s="52">
        <f ca="1">SUMIFS(OUT!$F$2:$F$11000,OUT!$H$2:$H$11000,H421,OUT!$D$2:$D$11000,"Out")</f>
        <v>6908733</v>
      </c>
      <c r="K421" s="52">
        <f ca="1">SUMIFS(OUT!$F$2:$F$11000,OUT!$H$2:$H$11000,H421,OUT!$D$2:$D$11000,"Out",OUT!$E$2:$E$11000,"Fix")</f>
        <v>2440568</v>
      </c>
      <c r="L421" s="52">
        <f ca="1">SUMIFS(OUT!$F$2:$F$11000,OUT!$H$2:$H$11000,H421,OUT!$D$2:$D$11000,"Out",OUT!$E$2:$E$11000,"Bathroom")</f>
        <v>34500</v>
      </c>
      <c r="M421" s="52">
        <f ca="1">SUMIFS(OUT!$F$2:$F$11000,OUT!$H$2:$H$11000,H421,OUT!$D$2:$D$11000,"Out",OUT!$E$2:$E$11000,"Alfa")</f>
        <v>293800</v>
      </c>
      <c r="N421" s="52" t="e">
        <f ca="1">SUMIFS(OUT!$F$2:$F$11000,OUT!$H$2:$H$101007,H421,OUT!$D$2:$D$11000,"Out",OUT!$E$2:$E$11000,"Jajan")</f>
        <v>#VALUE!</v>
      </c>
      <c r="O421" s="52">
        <f ca="1">SUMIFS(OUT!$F$2:$F$11000,OUT!$H$2:$H$11000,H421,OUT!$D$2:$D$11000,"Out",OUT!$E$2:$E$11000,"Kitchen")</f>
        <v>992724</v>
      </c>
      <c r="P421" s="52">
        <f ca="1">SUMIFS(OUT!$F$2:$F$11000,OUT!$H$2:$H$11000,H421,OUT!$D$2:$D$11000,"Out",OUT!$E$2:$E$11000,"Loandry")</f>
        <v>41600</v>
      </c>
      <c r="Q421" s="52">
        <f ca="1">SUMIFS(OUT!$F$2:$F$11000,OUT!$H$2:$H$11000,H421,OUT!$D$2:$D$11000,"Out",OUT!$E$2:$E$11000,"Mio")</f>
        <v>249000</v>
      </c>
      <c r="R421" s="52">
        <f ca="1">SUMIFS(OUT!$F$2:$F$11000,OUT!$H$2:$H$11000,H421,OUT!$D$2:$D$11000,"Out",OUT!$E$2:$E$11000,"Sedekah")</f>
        <v>129000</v>
      </c>
      <c r="S421" s="52">
        <f ca="1">SUMIFS(OUT!$F$2:$F$11000,OUT!$H$2:$H$11000,H421,OUT!$D$2:$D$11000,"Out",OUT!$E$2:$E$11000,"Zela")</f>
        <v>24100</v>
      </c>
      <c r="T421" s="52">
        <f ca="1">SUMIFS(OUT!$F$2:$F$11000,OUT!$H$2:$H$11000,H421,OUT!$D$2:$D$11000,"Out",OUT!$E$2:$E$11000,"Iqbal")</f>
        <v>121000</v>
      </c>
    </row>
    <row r="422" spans="1:20" x14ac:dyDescent="0.2">
      <c r="A422" s="48">
        <f ca="1">IFERROR(__xludf.DUMMYFUNCTION("""COMPUTED_VALUE"""),46056)</f>
        <v>46056</v>
      </c>
      <c r="B422" s="4" t="str">
        <f ca="1">IFERROR(__xludf.DUMMYFUNCTION("""COMPUTED_VALUE"""),"Seabank/shopee (Pembalut)")</f>
        <v>Seabank/shopee (Pembalut)</v>
      </c>
      <c r="C422" s="4" t="str">
        <f ca="1">IFERROR(__xludf.DUMMYFUNCTION("""COMPUTED_VALUE"""),"ATM")</f>
        <v>ATM</v>
      </c>
      <c r="D422" s="4" t="str">
        <f ca="1">IFERROR(__xludf.DUMMYFUNCTION("""COMPUTED_VALUE"""),"Out")</f>
        <v>Out</v>
      </c>
      <c r="E422" s="4" t="str">
        <f ca="1">IFERROR(__xludf.DUMMYFUNCTION("""COMPUTED_VALUE"""),"Zela")</f>
        <v>Zela</v>
      </c>
      <c r="F422" s="49">
        <f ca="1">IFERROR(__xludf.DUMMYFUNCTION("""COMPUTED_VALUE"""),6000)</f>
        <v>6000</v>
      </c>
      <c r="G422" s="50" t="str">
        <f ca="1">IFERROR(__xludf.DUMMYFUNCTION("""COMPUTED_VALUE"""),"Zela")</f>
        <v>Zela</v>
      </c>
      <c r="H422" s="51">
        <f t="shared" ca="1" si="0"/>
        <v>46054</v>
      </c>
      <c r="I422" s="52" t="e">
        <f ca="1">SUMIFS(OUT!$F$2:$F$11000,OUT!$H$2:$H$11000,H422,OUT!$D$2:$D$101007,"In")</f>
        <v>#VALUE!</v>
      </c>
      <c r="J422" s="52">
        <f ca="1">SUMIFS(OUT!$F$2:$F$11000,OUT!$H$2:$H$11000,H422,OUT!$D$2:$D$11000,"Out")</f>
        <v>6908733</v>
      </c>
      <c r="K422" s="52">
        <f ca="1">SUMIFS(OUT!$F$2:$F$11000,OUT!$H$2:$H$11000,H422,OUT!$D$2:$D$11000,"Out",OUT!$E$2:$E$11000,"Fix")</f>
        <v>2440568</v>
      </c>
      <c r="L422" s="52">
        <f ca="1">SUMIFS(OUT!$F$2:$F$11000,OUT!$H$2:$H$11000,H422,OUT!$D$2:$D$11000,"Out",OUT!$E$2:$E$11000,"Bathroom")</f>
        <v>34500</v>
      </c>
      <c r="M422" s="52">
        <f ca="1">SUMIFS(OUT!$F$2:$F$11000,OUT!$H$2:$H$11000,H422,OUT!$D$2:$D$11000,"Out",OUT!$E$2:$E$11000,"Alfa")</f>
        <v>293800</v>
      </c>
      <c r="N422" s="52" t="e">
        <f ca="1">SUMIFS(OUT!$F$2:$F$11000,OUT!$H$2:$H$101007,H422,OUT!$D$2:$D$11000,"Out",OUT!$E$2:$E$11000,"Jajan")</f>
        <v>#VALUE!</v>
      </c>
      <c r="O422" s="52">
        <f ca="1">SUMIFS(OUT!$F$2:$F$11000,OUT!$H$2:$H$11000,H422,OUT!$D$2:$D$11000,"Out",OUT!$E$2:$E$11000,"Kitchen")</f>
        <v>992724</v>
      </c>
      <c r="P422" s="52">
        <f ca="1">SUMIFS(OUT!$F$2:$F$11000,OUT!$H$2:$H$11000,H422,OUT!$D$2:$D$11000,"Out",OUT!$E$2:$E$11000,"Loandry")</f>
        <v>41600</v>
      </c>
      <c r="Q422" s="52">
        <f ca="1">SUMIFS(OUT!$F$2:$F$11000,OUT!$H$2:$H$11000,H422,OUT!$D$2:$D$11000,"Out",OUT!$E$2:$E$11000,"Mio")</f>
        <v>249000</v>
      </c>
      <c r="R422" s="52">
        <f ca="1">SUMIFS(OUT!$F$2:$F$11000,OUT!$H$2:$H$11000,H422,OUT!$D$2:$D$11000,"Out",OUT!$E$2:$E$11000,"Sedekah")</f>
        <v>129000</v>
      </c>
      <c r="S422" s="52">
        <f ca="1">SUMIFS(OUT!$F$2:$F$11000,OUT!$H$2:$H$11000,H422,OUT!$D$2:$D$11000,"Out",OUT!$E$2:$E$11000,"Zela")</f>
        <v>24100</v>
      </c>
      <c r="T422" s="52">
        <f ca="1">SUMIFS(OUT!$F$2:$F$11000,OUT!$H$2:$H$11000,H422,OUT!$D$2:$D$11000,"Out",OUT!$E$2:$E$11000,"Iqbal")</f>
        <v>121000</v>
      </c>
    </row>
    <row r="423" spans="1:20" x14ac:dyDescent="0.2">
      <c r="A423" s="48">
        <f ca="1">IFERROR(__xludf.DUMMYFUNCTION("""COMPUTED_VALUE"""),46056)</f>
        <v>46056</v>
      </c>
      <c r="B423" s="4" t="str">
        <f ca="1">IFERROR(__xludf.DUMMYFUNCTION("""COMPUTED_VALUE"""),"Seabank/shopee (Shampo + Odol gigi)")</f>
        <v>Seabank/shopee (Shampo + Odol gigi)</v>
      </c>
      <c r="C423" s="4" t="str">
        <f ca="1">IFERROR(__xludf.DUMMYFUNCTION("""COMPUTED_VALUE"""),"ATM")</f>
        <v>ATM</v>
      </c>
      <c r="D423" s="4" t="str">
        <f ca="1">IFERROR(__xludf.DUMMYFUNCTION("""COMPUTED_VALUE"""),"Out")</f>
        <v>Out</v>
      </c>
      <c r="E423" s="4" t="str">
        <f ca="1">IFERROR(__xludf.DUMMYFUNCTION("""COMPUTED_VALUE"""),"Bathroom")</f>
        <v>Bathroom</v>
      </c>
      <c r="F423" s="49">
        <f ca="1">IFERROR(__xludf.DUMMYFUNCTION("""COMPUTED_VALUE"""),15000)</f>
        <v>15000</v>
      </c>
      <c r="G423" s="50" t="str">
        <f ca="1">IFERROR(__xludf.DUMMYFUNCTION("""COMPUTED_VALUE"""),"Zela")</f>
        <v>Zela</v>
      </c>
      <c r="H423" s="51">
        <f t="shared" ca="1" si="0"/>
        <v>46054</v>
      </c>
      <c r="I423" s="52" t="e">
        <f ca="1">SUMIFS(OUT!$F$2:$F$11000,OUT!$H$2:$H$11000,H423,OUT!$D$2:$D$101007,"In")</f>
        <v>#VALUE!</v>
      </c>
      <c r="J423" s="52">
        <f ca="1">SUMIFS(OUT!$F$2:$F$11000,OUT!$H$2:$H$11000,H423,OUT!$D$2:$D$11000,"Out")</f>
        <v>6908733</v>
      </c>
      <c r="K423" s="52">
        <f ca="1">SUMIFS(OUT!$F$2:$F$11000,OUT!$H$2:$H$11000,H423,OUT!$D$2:$D$11000,"Out",OUT!$E$2:$E$11000,"Fix")</f>
        <v>2440568</v>
      </c>
      <c r="L423" s="52">
        <f ca="1">SUMIFS(OUT!$F$2:$F$11000,OUT!$H$2:$H$11000,H423,OUT!$D$2:$D$11000,"Out",OUT!$E$2:$E$11000,"Bathroom")</f>
        <v>34500</v>
      </c>
      <c r="M423" s="52">
        <f ca="1">SUMIFS(OUT!$F$2:$F$11000,OUT!$H$2:$H$11000,H423,OUT!$D$2:$D$11000,"Out",OUT!$E$2:$E$11000,"Alfa")</f>
        <v>293800</v>
      </c>
      <c r="N423" s="52" t="e">
        <f ca="1">SUMIFS(OUT!$F$2:$F$11000,OUT!$H$2:$H$101007,H423,OUT!$D$2:$D$11000,"Out",OUT!$E$2:$E$11000,"Jajan")</f>
        <v>#VALUE!</v>
      </c>
      <c r="O423" s="52">
        <f ca="1">SUMIFS(OUT!$F$2:$F$11000,OUT!$H$2:$H$11000,H423,OUT!$D$2:$D$11000,"Out",OUT!$E$2:$E$11000,"Kitchen")</f>
        <v>992724</v>
      </c>
      <c r="P423" s="52">
        <f ca="1">SUMIFS(OUT!$F$2:$F$11000,OUT!$H$2:$H$11000,H423,OUT!$D$2:$D$11000,"Out",OUT!$E$2:$E$11000,"Loandry")</f>
        <v>41600</v>
      </c>
      <c r="Q423" s="52">
        <f ca="1">SUMIFS(OUT!$F$2:$F$11000,OUT!$H$2:$H$11000,H423,OUT!$D$2:$D$11000,"Out",OUT!$E$2:$E$11000,"Mio")</f>
        <v>249000</v>
      </c>
      <c r="R423" s="52">
        <f ca="1">SUMIFS(OUT!$F$2:$F$11000,OUT!$H$2:$H$11000,H423,OUT!$D$2:$D$11000,"Out",OUT!$E$2:$E$11000,"Sedekah")</f>
        <v>129000</v>
      </c>
      <c r="S423" s="52">
        <f ca="1">SUMIFS(OUT!$F$2:$F$11000,OUT!$H$2:$H$11000,H423,OUT!$D$2:$D$11000,"Out",OUT!$E$2:$E$11000,"Zela")</f>
        <v>24100</v>
      </c>
      <c r="T423" s="52">
        <f ca="1">SUMIFS(OUT!$F$2:$F$11000,OUT!$H$2:$H$11000,H423,OUT!$D$2:$D$11000,"Out",OUT!$E$2:$E$11000,"Iqbal")</f>
        <v>121000</v>
      </c>
    </row>
    <row r="424" spans="1:20" x14ac:dyDescent="0.2">
      <c r="A424" s="48">
        <f ca="1">IFERROR(__xludf.DUMMYFUNCTION("""COMPUTED_VALUE"""),46056)</f>
        <v>46056</v>
      </c>
      <c r="B424" s="4" t="str">
        <f ca="1">IFERROR(__xludf.DUMMYFUNCTION("""COMPUTED_VALUE"""),"Dancow + Yogurt ( Klik Indomaret)")</f>
        <v>Dancow + Yogurt ( Klik Indomaret)</v>
      </c>
      <c r="C424" s="4" t="str">
        <f ca="1">IFERROR(__xludf.DUMMYFUNCTION("""COMPUTED_VALUE"""),"ATM")</f>
        <v>ATM</v>
      </c>
      <c r="D424" s="4" t="str">
        <f ca="1">IFERROR(__xludf.DUMMYFUNCTION("""COMPUTED_VALUE"""),"Out")</f>
        <v>Out</v>
      </c>
      <c r="E424" s="4" t="str">
        <f ca="1">IFERROR(__xludf.DUMMYFUNCTION("""COMPUTED_VALUE"""),"Alfa")</f>
        <v>Alfa</v>
      </c>
      <c r="F424" s="49">
        <f ca="1">IFERROR(__xludf.DUMMYFUNCTION("""COMPUTED_VALUE"""),48500)</f>
        <v>48500</v>
      </c>
      <c r="G424" s="50" t="str">
        <f ca="1">IFERROR(__xludf.DUMMYFUNCTION("""COMPUTED_VALUE"""),"Zela")</f>
        <v>Zela</v>
      </c>
      <c r="H424" s="51">
        <f t="shared" ca="1" si="0"/>
        <v>46054</v>
      </c>
      <c r="I424" s="52" t="e">
        <f ca="1">SUMIFS(OUT!$F$2:$F$11000,OUT!$H$2:$H$11000,H424,OUT!$D$2:$D$101007,"In")</f>
        <v>#VALUE!</v>
      </c>
      <c r="J424" s="52">
        <f ca="1">SUMIFS(OUT!$F$2:$F$11000,OUT!$H$2:$H$11000,H424,OUT!$D$2:$D$11000,"Out")</f>
        <v>6908733</v>
      </c>
      <c r="K424" s="52">
        <f ca="1">SUMIFS(OUT!$F$2:$F$11000,OUT!$H$2:$H$11000,H424,OUT!$D$2:$D$11000,"Out",OUT!$E$2:$E$11000,"Fix")</f>
        <v>2440568</v>
      </c>
      <c r="L424" s="52">
        <f ca="1">SUMIFS(OUT!$F$2:$F$11000,OUT!$H$2:$H$11000,H424,OUT!$D$2:$D$11000,"Out",OUT!$E$2:$E$11000,"Bathroom")</f>
        <v>34500</v>
      </c>
      <c r="M424" s="52">
        <f ca="1">SUMIFS(OUT!$F$2:$F$11000,OUT!$H$2:$H$11000,H424,OUT!$D$2:$D$11000,"Out",OUT!$E$2:$E$11000,"Alfa")</f>
        <v>293800</v>
      </c>
      <c r="N424" s="52" t="e">
        <f ca="1">SUMIFS(OUT!$F$2:$F$11000,OUT!$H$2:$H$101007,H424,OUT!$D$2:$D$11000,"Out",OUT!$E$2:$E$11000,"Jajan")</f>
        <v>#VALUE!</v>
      </c>
      <c r="O424" s="52">
        <f ca="1">SUMIFS(OUT!$F$2:$F$11000,OUT!$H$2:$H$11000,H424,OUT!$D$2:$D$11000,"Out",OUT!$E$2:$E$11000,"Kitchen")</f>
        <v>992724</v>
      </c>
      <c r="P424" s="52">
        <f ca="1">SUMIFS(OUT!$F$2:$F$11000,OUT!$H$2:$H$11000,H424,OUT!$D$2:$D$11000,"Out",OUT!$E$2:$E$11000,"Loandry")</f>
        <v>41600</v>
      </c>
      <c r="Q424" s="52">
        <f ca="1">SUMIFS(OUT!$F$2:$F$11000,OUT!$H$2:$H$11000,H424,OUT!$D$2:$D$11000,"Out",OUT!$E$2:$E$11000,"Mio")</f>
        <v>249000</v>
      </c>
      <c r="R424" s="52">
        <f ca="1">SUMIFS(OUT!$F$2:$F$11000,OUT!$H$2:$H$11000,H424,OUT!$D$2:$D$11000,"Out",OUT!$E$2:$E$11000,"Sedekah")</f>
        <v>129000</v>
      </c>
      <c r="S424" s="52">
        <f ca="1">SUMIFS(OUT!$F$2:$F$11000,OUT!$H$2:$H$11000,H424,OUT!$D$2:$D$11000,"Out",OUT!$E$2:$E$11000,"Zela")</f>
        <v>24100</v>
      </c>
      <c r="T424" s="52">
        <f ca="1">SUMIFS(OUT!$F$2:$F$11000,OUT!$H$2:$H$11000,H424,OUT!$D$2:$D$11000,"Out",OUT!$E$2:$E$11000,"Iqbal")</f>
        <v>121000</v>
      </c>
    </row>
    <row r="425" spans="1:20" x14ac:dyDescent="0.2">
      <c r="A425" s="48">
        <f ca="1">IFERROR(__xludf.DUMMYFUNCTION("""COMPUTED_VALUE"""),46056)</f>
        <v>46056</v>
      </c>
      <c r="B425" s="4" t="str">
        <f ca="1">IFERROR(__xludf.DUMMYFUNCTION("""COMPUTED_VALUE"""),"Bensin Motor")</f>
        <v>Bensin Motor</v>
      </c>
      <c r="C425" s="4" t="str">
        <f ca="1">IFERROR(__xludf.DUMMYFUNCTION("""COMPUTED_VALUE"""),"Cash")</f>
        <v>Cash</v>
      </c>
      <c r="D425" s="4" t="str">
        <f ca="1">IFERROR(__xludf.DUMMYFUNCTION("""COMPUTED_VALUE"""),"Out")</f>
        <v>Out</v>
      </c>
      <c r="E425" s="4" t="str">
        <f ca="1">IFERROR(__xludf.DUMMYFUNCTION("""COMPUTED_VALUE"""),"Mio")</f>
        <v>Mio</v>
      </c>
      <c r="F425" s="49">
        <f ca="1">IFERROR(__xludf.DUMMYFUNCTION("""COMPUTED_VALUE"""),20000)</f>
        <v>20000</v>
      </c>
      <c r="G425" s="50" t="str">
        <f ca="1">IFERROR(__xludf.DUMMYFUNCTION("""COMPUTED_VALUE"""),"Zela")</f>
        <v>Zela</v>
      </c>
      <c r="H425" s="51">
        <f t="shared" ca="1" si="0"/>
        <v>46054</v>
      </c>
      <c r="I425" s="52" t="e">
        <f ca="1">SUMIFS(OUT!$F$2:$F$11000,OUT!$H$2:$H$11000,H425,OUT!$D$2:$D$101007,"In")</f>
        <v>#VALUE!</v>
      </c>
      <c r="J425" s="52">
        <f ca="1">SUMIFS(OUT!$F$2:$F$11000,OUT!$H$2:$H$11000,H425,OUT!$D$2:$D$11000,"Out")</f>
        <v>6908733</v>
      </c>
      <c r="K425" s="52">
        <f ca="1">SUMIFS(OUT!$F$2:$F$11000,OUT!$H$2:$H$11000,H425,OUT!$D$2:$D$11000,"Out",OUT!$E$2:$E$11000,"Fix")</f>
        <v>2440568</v>
      </c>
      <c r="L425" s="52">
        <f ca="1">SUMIFS(OUT!$F$2:$F$11000,OUT!$H$2:$H$11000,H425,OUT!$D$2:$D$11000,"Out",OUT!$E$2:$E$11000,"Bathroom")</f>
        <v>34500</v>
      </c>
      <c r="M425" s="52">
        <f ca="1">SUMIFS(OUT!$F$2:$F$11000,OUT!$H$2:$H$11000,H425,OUT!$D$2:$D$11000,"Out",OUT!$E$2:$E$11000,"Alfa")</f>
        <v>293800</v>
      </c>
      <c r="N425" s="52" t="e">
        <f ca="1">SUMIFS(OUT!$F$2:$F$11000,OUT!$H$2:$H$101007,H425,OUT!$D$2:$D$11000,"Out",OUT!$E$2:$E$11000,"Jajan")</f>
        <v>#VALUE!</v>
      </c>
      <c r="O425" s="52">
        <f ca="1">SUMIFS(OUT!$F$2:$F$11000,OUT!$H$2:$H$11000,H425,OUT!$D$2:$D$11000,"Out",OUT!$E$2:$E$11000,"Kitchen")</f>
        <v>992724</v>
      </c>
      <c r="P425" s="52">
        <f ca="1">SUMIFS(OUT!$F$2:$F$11000,OUT!$H$2:$H$11000,H425,OUT!$D$2:$D$11000,"Out",OUT!$E$2:$E$11000,"Loandry")</f>
        <v>41600</v>
      </c>
      <c r="Q425" s="52">
        <f ca="1">SUMIFS(OUT!$F$2:$F$11000,OUT!$H$2:$H$11000,H425,OUT!$D$2:$D$11000,"Out",OUT!$E$2:$E$11000,"Mio")</f>
        <v>249000</v>
      </c>
      <c r="R425" s="52">
        <f ca="1">SUMIFS(OUT!$F$2:$F$11000,OUT!$H$2:$H$11000,H425,OUT!$D$2:$D$11000,"Out",OUT!$E$2:$E$11000,"Sedekah")</f>
        <v>129000</v>
      </c>
      <c r="S425" s="52">
        <f ca="1">SUMIFS(OUT!$F$2:$F$11000,OUT!$H$2:$H$11000,H425,OUT!$D$2:$D$11000,"Out",OUT!$E$2:$E$11000,"Zela")</f>
        <v>24100</v>
      </c>
      <c r="T425" s="52">
        <f ca="1">SUMIFS(OUT!$F$2:$F$11000,OUT!$H$2:$H$11000,H425,OUT!$D$2:$D$11000,"Out",OUT!$E$2:$E$11000,"Iqbal")</f>
        <v>121000</v>
      </c>
    </row>
    <row r="426" spans="1:20" x14ac:dyDescent="0.2">
      <c r="A426" s="48">
        <f ca="1">IFERROR(__xludf.DUMMYFUNCTION("""COMPUTED_VALUE"""),46056)</f>
        <v>46056</v>
      </c>
      <c r="B426" s="4" t="str">
        <f ca="1">IFERROR(__xludf.DUMMYFUNCTION("""COMPUTED_VALUE"""),"Santan &amp; kecapmanis")</f>
        <v>Santan &amp; kecapmanis</v>
      </c>
      <c r="C426" s="4" t="str">
        <f ca="1">IFERROR(__xludf.DUMMYFUNCTION("""COMPUTED_VALUE"""),"Cash")</f>
        <v>Cash</v>
      </c>
      <c r="D426" s="4" t="str">
        <f ca="1">IFERROR(__xludf.DUMMYFUNCTION("""COMPUTED_VALUE"""),"Out")</f>
        <v>Out</v>
      </c>
      <c r="E426" s="4" t="str">
        <f ca="1">IFERROR(__xludf.DUMMYFUNCTION("""COMPUTED_VALUE"""),"Kitchen")</f>
        <v>Kitchen</v>
      </c>
      <c r="F426" s="49">
        <f ca="1">IFERROR(__xludf.DUMMYFUNCTION("""COMPUTED_VALUE"""),21000)</f>
        <v>21000</v>
      </c>
      <c r="G426" s="50" t="str">
        <f ca="1">IFERROR(__xludf.DUMMYFUNCTION("""COMPUTED_VALUE"""),"Zela")</f>
        <v>Zela</v>
      </c>
      <c r="H426" s="51">
        <f t="shared" ca="1" si="0"/>
        <v>46054</v>
      </c>
      <c r="I426" s="52" t="e">
        <f ca="1">SUMIFS(OUT!$F$2:$F$11000,OUT!$H$2:$H$11000,H426,OUT!$D$2:$D$101007,"In")</f>
        <v>#VALUE!</v>
      </c>
      <c r="J426" s="52">
        <f ca="1">SUMIFS(OUT!$F$2:$F$11000,OUT!$H$2:$H$11000,H426,OUT!$D$2:$D$11000,"Out")</f>
        <v>6908733</v>
      </c>
      <c r="K426" s="52">
        <f ca="1">SUMIFS(OUT!$F$2:$F$11000,OUT!$H$2:$H$11000,H426,OUT!$D$2:$D$11000,"Out",OUT!$E$2:$E$11000,"Fix")</f>
        <v>2440568</v>
      </c>
      <c r="L426" s="52">
        <f ca="1">SUMIFS(OUT!$F$2:$F$11000,OUT!$H$2:$H$11000,H426,OUT!$D$2:$D$11000,"Out",OUT!$E$2:$E$11000,"Bathroom")</f>
        <v>34500</v>
      </c>
      <c r="M426" s="52">
        <f ca="1">SUMIFS(OUT!$F$2:$F$11000,OUT!$H$2:$H$11000,H426,OUT!$D$2:$D$11000,"Out",OUT!$E$2:$E$11000,"Alfa")</f>
        <v>293800</v>
      </c>
      <c r="N426" s="52" t="e">
        <f ca="1">SUMIFS(OUT!$F$2:$F$11000,OUT!$H$2:$H$101007,H426,OUT!$D$2:$D$11000,"Out",OUT!$E$2:$E$11000,"Jajan")</f>
        <v>#VALUE!</v>
      </c>
      <c r="O426" s="52">
        <f ca="1">SUMIFS(OUT!$F$2:$F$11000,OUT!$H$2:$H$11000,H426,OUT!$D$2:$D$11000,"Out",OUT!$E$2:$E$11000,"Kitchen")</f>
        <v>992724</v>
      </c>
      <c r="P426" s="52">
        <f ca="1">SUMIFS(OUT!$F$2:$F$11000,OUT!$H$2:$H$11000,H426,OUT!$D$2:$D$11000,"Out",OUT!$E$2:$E$11000,"Loandry")</f>
        <v>41600</v>
      </c>
      <c r="Q426" s="52">
        <f ca="1">SUMIFS(OUT!$F$2:$F$11000,OUT!$H$2:$H$11000,H426,OUT!$D$2:$D$11000,"Out",OUT!$E$2:$E$11000,"Mio")</f>
        <v>249000</v>
      </c>
      <c r="R426" s="52">
        <f ca="1">SUMIFS(OUT!$F$2:$F$11000,OUT!$H$2:$H$11000,H426,OUT!$D$2:$D$11000,"Out",OUT!$E$2:$E$11000,"Sedekah")</f>
        <v>129000</v>
      </c>
      <c r="S426" s="52">
        <f ca="1">SUMIFS(OUT!$F$2:$F$11000,OUT!$H$2:$H$11000,H426,OUT!$D$2:$D$11000,"Out",OUT!$E$2:$E$11000,"Zela")</f>
        <v>24100</v>
      </c>
      <c r="T426" s="52">
        <f ca="1">SUMIFS(OUT!$F$2:$F$11000,OUT!$H$2:$H$11000,H426,OUT!$D$2:$D$11000,"Out",OUT!$E$2:$E$11000,"Iqbal")</f>
        <v>121000</v>
      </c>
    </row>
    <row r="427" spans="1:20" x14ac:dyDescent="0.2">
      <c r="A427" s="48">
        <f ca="1">IFERROR(__xludf.DUMMYFUNCTION("""COMPUTED_VALUE"""),46057)</f>
        <v>46057</v>
      </c>
      <c r="B427" s="4" t="str">
        <f ca="1">IFERROR(__xludf.DUMMYFUNCTION("""COMPUTED_VALUE"""),"Jajan Alfa")</f>
        <v>Jajan Alfa</v>
      </c>
      <c r="C427" s="4" t="str">
        <f ca="1">IFERROR(__xludf.DUMMYFUNCTION("""COMPUTED_VALUE"""),"Cash")</f>
        <v>Cash</v>
      </c>
      <c r="D427" s="4" t="str">
        <f ca="1">IFERROR(__xludf.DUMMYFUNCTION("""COMPUTED_VALUE"""),"Out")</f>
        <v>Out</v>
      </c>
      <c r="E427" s="4" t="str">
        <f ca="1">IFERROR(__xludf.DUMMYFUNCTION("""COMPUTED_VALUE"""),"Alfa")</f>
        <v>Alfa</v>
      </c>
      <c r="F427" s="49">
        <f ca="1">IFERROR(__xludf.DUMMYFUNCTION("""COMPUTED_VALUE"""),5000)</f>
        <v>5000</v>
      </c>
      <c r="G427" s="50" t="str">
        <f ca="1">IFERROR(__xludf.DUMMYFUNCTION("""COMPUTED_VALUE"""),"Zela")</f>
        <v>Zela</v>
      </c>
      <c r="H427" s="51">
        <f t="shared" ca="1" si="0"/>
        <v>46054</v>
      </c>
      <c r="I427" s="52" t="e">
        <f ca="1">SUMIFS(OUT!$F$2:$F$11000,OUT!$H$2:$H$11000,H427,OUT!$D$2:$D$101007,"In")</f>
        <v>#VALUE!</v>
      </c>
      <c r="J427" s="52">
        <f ca="1">SUMIFS(OUT!$F$2:$F$11000,OUT!$H$2:$H$11000,H427,OUT!$D$2:$D$11000,"Out")</f>
        <v>6908733</v>
      </c>
      <c r="K427" s="52">
        <f ca="1">SUMIFS(OUT!$F$2:$F$11000,OUT!$H$2:$H$11000,H427,OUT!$D$2:$D$11000,"Out",OUT!$E$2:$E$11000,"Fix")</f>
        <v>2440568</v>
      </c>
      <c r="L427" s="52">
        <f ca="1">SUMIFS(OUT!$F$2:$F$11000,OUT!$H$2:$H$11000,H427,OUT!$D$2:$D$11000,"Out",OUT!$E$2:$E$11000,"Bathroom")</f>
        <v>34500</v>
      </c>
      <c r="M427" s="52">
        <f ca="1">SUMIFS(OUT!$F$2:$F$11000,OUT!$H$2:$H$11000,H427,OUT!$D$2:$D$11000,"Out",OUT!$E$2:$E$11000,"Alfa")</f>
        <v>293800</v>
      </c>
      <c r="N427" s="52" t="e">
        <f ca="1">SUMIFS(OUT!$F$2:$F$11000,OUT!$H$2:$H$101007,H427,OUT!$D$2:$D$11000,"Out",OUT!$E$2:$E$11000,"Jajan")</f>
        <v>#VALUE!</v>
      </c>
      <c r="O427" s="52">
        <f ca="1">SUMIFS(OUT!$F$2:$F$11000,OUT!$H$2:$H$11000,H427,OUT!$D$2:$D$11000,"Out",OUT!$E$2:$E$11000,"Kitchen")</f>
        <v>992724</v>
      </c>
      <c r="P427" s="52">
        <f ca="1">SUMIFS(OUT!$F$2:$F$11000,OUT!$H$2:$H$11000,H427,OUT!$D$2:$D$11000,"Out",OUT!$E$2:$E$11000,"Loandry")</f>
        <v>41600</v>
      </c>
      <c r="Q427" s="52">
        <f ca="1">SUMIFS(OUT!$F$2:$F$11000,OUT!$H$2:$H$11000,H427,OUT!$D$2:$D$11000,"Out",OUT!$E$2:$E$11000,"Mio")</f>
        <v>249000</v>
      </c>
      <c r="R427" s="52">
        <f ca="1">SUMIFS(OUT!$F$2:$F$11000,OUT!$H$2:$H$11000,H427,OUT!$D$2:$D$11000,"Out",OUT!$E$2:$E$11000,"Sedekah")</f>
        <v>129000</v>
      </c>
      <c r="S427" s="52">
        <f ca="1">SUMIFS(OUT!$F$2:$F$11000,OUT!$H$2:$H$11000,H427,OUT!$D$2:$D$11000,"Out",OUT!$E$2:$E$11000,"Zela")</f>
        <v>24100</v>
      </c>
      <c r="T427" s="52">
        <f ca="1">SUMIFS(OUT!$F$2:$F$11000,OUT!$H$2:$H$11000,H427,OUT!$D$2:$D$11000,"Out",OUT!$E$2:$E$11000,"Iqbal")</f>
        <v>121000</v>
      </c>
    </row>
    <row r="428" spans="1:20" x14ac:dyDescent="0.2">
      <c r="A428" s="48">
        <f ca="1">IFERROR(__xludf.DUMMYFUNCTION("""COMPUTED_VALUE"""),46057)</f>
        <v>46057</v>
      </c>
      <c r="B428" s="4" t="str">
        <f ca="1">IFERROR(__xludf.DUMMYFUNCTION("""COMPUTED_VALUE"""),"Tarik Tunai")</f>
        <v>Tarik Tunai</v>
      </c>
      <c r="C428" s="4" t="str">
        <f ca="1">IFERROR(__xludf.DUMMYFUNCTION("""COMPUTED_VALUE"""),"ATM")</f>
        <v>ATM</v>
      </c>
      <c r="D428" s="4" t="str">
        <f ca="1">IFERROR(__xludf.DUMMYFUNCTION("""COMPUTED_VALUE"""),"Move")</f>
        <v>Move</v>
      </c>
      <c r="E428" s="4" t="str">
        <f ca="1">IFERROR(__xludf.DUMMYFUNCTION("""COMPUTED_VALUE"""),"Move")</f>
        <v>Move</v>
      </c>
      <c r="F428" s="49">
        <f ca="1">IFERROR(__xludf.DUMMYFUNCTION("""COMPUTED_VALUE"""),100000)</f>
        <v>100000</v>
      </c>
      <c r="G428" s="50" t="str">
        <f ca="1">IFERROR(__xludf.DUMMYFUNCTION("""COMPUTED_VALUE"""),"Zela")</f>
        <v>Zela</v>
      </c>
      <c r="H428" s="51">
        <f t="shared" ca="1" si="0"/>
        <v>46054</v>
      </c>
      <c r="I428" s="52" t="e">
        <f ca="1">SUMIFS(OUT!$F$2:$F$11000,OUT!$H$2:$H$11000,H428,OUT!$D$2:$D$101007,"In")</f>
        <v>#VALUE!</v>
      </c>
      <c r="J428" s="52">
        <f ca="1">SUMIFS(OUT!$F$2:$F$11000,OUT!$H$2:$H$11000,H428,OUT!$D$2:$D$11000,"Out")</f>
        <v>6908733</v>
      </c>
      <c r="K428" s="52">
        <f ca="1">SUMIFS(OUT!$F$2:$F$11000,OUT!$H$2:$H$11000,H428,OUT!$D$2:$D$11000,"Out",OUT!$E$2:$E$11000,"Fix")</f>
        <v>2440568</v>
      </c>
      <c r="L428" s="52">
        <f ca="1">SUMIFS(OUT!$F$2:$F$11000,OUT!$H$2:$H$11000,H428,OUT!$D$2:$D$11000,"Out",OUT!$E$2:$E$11000,"Bathroom")</f>
        <v>34500</v>
      </c>
      <c r="M428" s="52">
        <f ca="1">SUMIFS(OUT!$F$2:$F$11000,OUT!$H$2:$H$11000,H428,OUT!$D$2:$D$11000,"Out",OUT!$E$2:$E$11000,"Alfa")</f>
        <v>293800</v>
      </c>
      <c r="N428" s="52" t="e">
        <f ca="1">SUMIFS(OUT!$F$2:$F$11000,OUT!$H$2:$H$101007,H428,OUT!$D$2:$D$11000,"Out",OUT!$E$2:$E$11000,"Jajan")</f>
        <v>#VALUE!</v>
      </c>
      <c r="O428" s="52">
        <f ca="1">SUMIFS(OUT!$F$2:$F$11000,OUT!$H$2:$H$11000,H428,OUT!$D$2:$D$11000,"Out",OUT!$E$2:$E$11000,"Kitchen")</f>
        <v>992724</v>
      </c>
      <c r="P428" s="52">
        <f ca="1">SUMIFS(OUT!$F$2:$F$11000,OUT!$H$2:$H$11000,H428,OUT!$D$2:$D$11000,"Out",OUT!$E$2:$E$11000,"Loandry")</f>
        <v>41600</v>
      </c>
      <c r="Q428" s="52">
        <f ca="1">SUMIFS(OUT!$F$2:$F$11000,OUT!$H$2:$H$11000,H428,OUT!$D$2:$D$11000,"Out",OUT!$E$2:$E$11000,"Mio")</f>
        <v>249000</v>
      </c>
      <c r="R428" s="52">
        <f ca="1">SUMIFS(OUT!$F$2:$F$11000,OUT!$H$2:$H$11000,H428,OUT!$D$2:$D$11000,"Out",OUT!$E$2:$E$11000,"Sedekah")</f>
        <v>129000</v>
      </c>
      <c r="S428" s="52">
        <f ca="1">SUMIFS(OUT!$F$2:$F$11000,OUT!$H$2:$H$11000,H428,OUT!$D$2:$D$11000,"Out",OUT!$E$2:$E$11000,"Zela")</f>
        <v>24100</v>
      </c>
      <c r="T428" s="52">
        <f ca="1">SUMIFS(OUT!$F$2:$F$11000,OUT!$H$2:$H$11000,H428,OUT!$D$2:$D$11000,"Out",OUT!$E$2:$E$11000,"Iqbal")</f>
        <v>121000</v>
      </c>
    </row>
    <row r="429" spans="1:20" x14ac:dyDescent="0.2">
      <c r="A429" s="48">
        <f ca="1">IFERROR(__xludf.DUMMYFUNCTION("""COMPUTED_VALUE"""),46057)</f>
        <v>46057</v>
      </c>
      <c r="B429" s="4" t="str">
        <f ca="1">IFERROR(__xludf.DUMMYFUNCTION("""COMPUTED_VALUE"""),"Terima TuNai")</f>
        <v>Terima TuNai</v>
      </c>
      <c r="C429" s="4" t="str">
        <f ca="1">IFERROR(__xludf.DUMMYFUNCTION("""COMPUTED_VALUE"""),"Cash")</f>
        <v>Cash</v>
      </c>
      <c r="D429" s="4" t="str">
        <f ca="1">IFERROR(__xludf.DUMMYFUNCTION("""COMPUTED_VALUE"""),"Move")</f>
        <v>Move</v>
      </c>
      <c r="E429" s="4" t="str">
        <f ca="1">IFERROR(__xludf.DUMMYFUNCTION("""COMPUTED_VALUE"""),"Move")</f>
        <v>Move</v>
      </c>
      <c r="F429" s="49">
        <f ca="1">IFERROR(__xludf.DUMMYFUNCTION("""COMPUTED_VALUE"""),100000)</f>
        <v>100000</v>
      </c>
      <c r="G429" s="50" t="str">
        <f ca="1">IFERROR(__xludf.DUMMYFUNCTION("""COMPUTED_VALUE"""),"Zela")</f>
        <v>Zela</v>
      </c>
      <c r="H429" s="51">
        <f t="shared" ca="1" si="0"/>
        <v>46054</v>
      </c>
      <c r="I429" s="52" t="e">
        <f ca="1">SUMIFS(OUT!$F$2:$F$11000,OUT!$H$2:$H$11000,H429,OUT!$D$2:$D$101007,"In")</f>
        <v>#VALUE!</v>
      </c>
      <c r="J429" s="52">
        <f ca="1">SUMIFS(OUT!$F$2:$F$11000,OUT!$H$2:$H$11000,H429,OUT!$D$2:$D$11000,"Out")</f>
        <v>6908733</v>
      </c>
      <c r="K429" s="52">
        <f ca="1">SUMIFS(OUT!$F$2:$F$11000,OUT!$H$2:$H$11000,H429,OUT!$D$2:$D$11000,"Out",OUT!$E$2:$E$11000,"Fix")</f>
        <v>2440568</v>
      </c>
      <c r="L429" s="52">
        <f ca="1">SUMIFS(OUT!$F$2:$F$11000,OUT!$H$2:$H$11000,H429,OUT!$D$2:$D$11000,"Out",OUT!$E$2:$E$11000,"Bathroom")</f>
        <v>34500</v>
      </c>
      <c r="M429" s="52">
        <f ca="1">SUMIFS(OUT!$F$2:$F$11000,OUT!$H$2:$H$11000,H429,OUT!$D$2:$D$11000,"Out",OUT!$E$2:$E$11000,"Alfa")</f>
        <v>293800</v>
      </c>
      <c r="N429" s="52" t="e">
        <f ca="1">SUMIFS(OUT!$F$2:$F$11000,OUT!$H$2:$H$101007,H429,OUT!$D$2:$D$11000,"Out",OUT!$E$2:$E$11000,"Jajan")</f>
        <v>#VALUE!</v>
      </c>
      <c r="O429" s="52">
        <f ca="1">SUMIFS(OUT!$F$2:$F$11000,OUT!$H$2:$H$11000,H429,OUT!$D$2:$D$11000,"Out",OUT!$E$2:$E$11000,"Kitchen")</f>
        <v>992724</v>
      </c>
      <c r="P429" s="52">
        <f ca="1">SUMIFS(OUT!$F$2:$F$11000,OUT!$H$2:$H$11000,H429,OUT!$D$2:$D$11000,"Out",OUT!$E$2:$E$11000,"Loandry")</f>
        <v>41600</v>
      </c>
      <c r="Q429" s="52">
        <f ca="1">SUMIFS(OUT!$F$2:$F$11000,OUT!$H$2:$H$11000,H429,OUT!$D$2:$D$11000,"Out",OUT!$E$2:$E$11000,"Mio")</f>
        <v>249000</v>
      </c>
      <c r="R429" s="52">
        <f ca="1">SUMIFS(OUT!$F$2:$F$11000,OUT!$H$2:$H$11000,H429,OUT!$D$2:$D$11000,"Out",OUT!$E$2:$E$11000,"Sedekah")</f>
        <v>129000</v>
      </c>
      <c r="S429" s="52">
        <f ca="1">SUMIFS(OUT!$F$2:$F$11000,OUT!$H$2:$H$11000,H429,OUT!$D$2:$D$11000,"Out",OUT!$E$2:$E$11000,"Zela")</f>
        <v>24100</v>
      </c>
      <c r="T429" s="52">
        <f ca="1">SUMIFS(OUT!$F$2:$F$11000,OUT!$H$2:$H$11000,H429,OUT!$D$2:$D$11000,"Out",OUT!$E$2:$E$11000,"Iqbal")</f>
        <v>121000</v>
      </c>
    </row>
    <row r="430" spans="1:20" x14ac:dyDescent="0.2">
      <c r="A430" s="48">
        <f ca="1">IFERROR(__xludf.DUMMYFUNCTION("""COMPUTED_VALUE"""),46057)</f>
        <v>46057</v>
      </c>
      <c r="B430" s="4" t="str">
        <f ca="1">IFERROR(__xludf.DUMMYFUNCTION("""COMPUTED_VALUE"""),"Burger&amp;kebab")</f>
        <v>Burger&amp;kebab</v>
      </c>
      <c r="C430" s="4" t="str">
        <f ca="1">IFERROR(__xludf.DUMMYFUNCTION("""COMPUTED_VALUE"""),"Cash")</f>
        <v>Cash</v>
      </c>
      <c r="D430" s="4" t="str">
        <f ca="1">IFERROR(__xludf.DUMMYFUNCTION("""COMPUTED_VALUE"""),"Out")</f>
        <v>Out</v>
      </c>
      <c r="E430" s="4" t="str">
        <f ca="1">IFERROR(__xludf.DUMMYFUNCTION("""COMPUTED_VALUE"""),"Jajan")</f>
        <v>Jajan</v>
      </c>
      <c r="F430" s="49">
        <f ca="1">IFERROR(__xludf.DUMMYFUNCTION("""COMPUTED_VALUE"""),27000)</f>
        <v>27000</v>
      </c>
      <c r="G430" s="50" t="str">
        <f ca="1">IFERROR(__xludf.DUMMYFUNCTION("""COMPUTED_VALUE"""),"Zela")</f>
        <v>Zela</v>
      </c>
      <c r="H430" s="51">
        <f t="shared" ca="1" si="0"/>
        <v>46054</v>
      </c>
      <c r="I430" s="52" t="e">
        <f ca="1">SUMIFS(OUT!$F$2:$F$11000,OUT!$H$2:$H$11000,H430,OUT!$D$2:$D$101007,"In")</f>
        <v>#VALUE!</v>
      </c>
      <c r="J430" s="52">
        <f ca="1">SUMIFS(OUT!$F$2:$F$11000,OUT!$H$2:$H$11000,H430,OUT!$D$2:$D$11000,"Out")</f>
        <v>6908733</v>
      </c>
      <c r="K430" s="52">
        <f ca="1">SUMIFS(OUT!$F$2:$F$11000,OUT!$H$2:$H$11000,H430,OUT!$D$2:$D$11000,"Out",OUT!$E$2:$E$11000,"Fix")</f>
        <v>2440568</v>
      </c>
      <c r="L430" s="52">
        <f ca="1">SUMIFS(OUT!$F$2:$F$11000,OUT!$H$2:$H$11000,H430,OUT!$D$2:$D$11000,"Out",OUT!$E$2:$E$11000,"Bathroom")</f>
        <v>34500</v>
      </c>
      <c r="M430" s="52">
        <f ca="1">SUMIFS(OUT!$F$2:$F$11000,OUT!$H$2:$H$11000,H430,OUT!$D$2:$D$11000,"Out",OUT!$E$2:$E$11000,"Alfa")</f>
        <v>293800</v>
      </c>
      <c r="N430" s="52" t="e">
        <f ca="1">SUMIFS(OUT!$F$2:$F$11000,OUT!$H$2:$H$101007,H430,OUT!$D$2:$D$11000,"Out",OUT!$E$2:$E$11000,"Jajan")</f>
        <v>#VALUE!</v>
      </c>
      <c r="O430" s="52">
        <f ca="1">SUMIFS(OUT!$F$2:$F$11000,OUT!$H$2:$H$11000,H430,OUT!$D$2:$D$11000,"Out",OUT!$E$2:$E$11000,"Kitchen")</f>
        <v>992724</v>
      </c>
      <c r="P430" s="52">
        <f ca="1">SUMIFS(OUT!$F$2:$F$11000,OUT!$H$2:$H$11000,H430,OUT!$D$2:$D$11000,"Out",OUT!$E$2:$E$11000,"Loandry")</f>
        <v>41600</v>
      </c>
      <c r="Q430" s="52">
        <f ca="1">SUMIFS(OUT!$F$2:$F$11000,OUT!$H$2:$H$11000,H430,OUT!$D$2:$D$11000,"Out",OUT!$E$2:$E$11000,"Mio")</f>
        <v>249000</v>
      </c>
      <c r="R430" s="52">
        <f ca="1">SUMIFS(OUT!$F$2:$F$11000,OUT!$H$2:$H$11000,H430,OUT!$D$2:$D$11000,"Out",OUT!$E$2:$E$11000,"Sedekah")</f>
        <v>129000</v>
      </c>
      <c r="S430" s="52">
        <f ca="1">SUMIFS(OUT!$F$2:$F$11000,OUT!$H$2:$H$11000,H430,OUT!$D$2:$D$11000,"Out",OUT!$E$2:$E$11000,"Zela")</f>
        <v>24100</v>
      </c>
      <c r="T430" s="52">
        <f ca="1">SUMIFS(OUT!$F$2:$F$11000,OUT!$H$2:$H$11000,H430,OUT!$D$2:$D$11000,"Out",OUT!$E$2:$E$11000,"Iqbal")</f>
        <v>121000</v>
      </c>
    </row>
    <row r="431" spans="1:20" x14ac:dyDescent="0.2">
      <c r="A431" s="48">
        <f ca="1">IFERROR(__xludf.DUMMYFUNCTION("""COMPUTED_VALUE"""),46058)</f>
        <v>46058</v>
      </c>
      <c r="B431" s="4" t="str">
        <f ca="1">IFERROR(__xludf.DUMMYFUNCTION("""COMPUTED_VALUE"""),"Suamiku")</f>
        <v>Suamiku</v>
      </c>
      <c r="C431" s="4" t="str">
        <f ca="1">IFERROR(__xludf.DUMMYFUNCTION("""COMPUTED_VALUE"""),"Cash")</f>
        <v>Cash</v>
      </c>
      <c r="D431" s="4" t="str">
        <f ca="1">IFERROR(__xludf.DUMMYFUNCTION("""COMPUTED_VALUE"""),"Out")</f>
        <v>Out</v>
      </c>
      <c r="E431" s="4" t="str">
        <f ca="1">IFERROR(__xludf.DUMMYFUNCTION("""COMPUTED_VALUE"""),"Move")</f>
        <v>Move</v>
      </c>
      <c r="F431" s="49">
        <f ca="1">IFERROR(__xludf.DUMMYFUNCTION("""COMPUTED_VALUE"""),50000)</f>
        <v>50000</v>
      </c>
      <c r="G431" s="50" t="str">
        <f ca="1">IFERROR(__xludf.DUMMYFUNCTION("""COMPUTED_VALUE"""),"Zela")</f>
        <v>Zela</v>
      </c>
      <c r="H431" s="51">
        <f t="shared" ca="1" si="0"/>
        <v>46054</v>
      </c>
      <c r="I431" s="52" t="e">
        <f ca="1">SUMIFS(OUT!$F$2:$F$11000,OUT!$H$2:$H$11000,H431,OUT!$D$2:$D$101007,"In")</f>
        <v>#VALUE!</v>
      </c>
      <c r="J431" s="52">
        <f ca="1">SUMIFS(OUT!$F$2:$F$11000,OUT!$H$2:$H$11000,H431,OUT!$D$2:$D$11000,"Out")</f>
        <v>6908733</v>
      </c>
      <c r="K431" s="52">
        <f ca="1">SUMIFS(OUT!$F$2:$F$11000,OUT!$H$2:$H$11000,H431,OUT!$D$2:$D$11000,"Out",OUT!$E$2:$E$11000,"Fix")</f>
        <v>2440568</v>
      </c>
      <c r="L431" s="52">
        <f ca="1">SUMIFS(OUT!$F$2:$F$11000,OUT!$H$2:$H$11000,H431,OUT!$D$2:$D$11000,"Out",OUT!$E$2:$E$11000,"Bathroom")</f>
        <v>34500</v>
      </c>
      <c r="M431" s="52">
        <f ca="1">SUMIFS(OUT!$F$2:$F$11000,OUT!$H$2:$H$11000,H431,OUT!$D$2:$D$11000,"Out",OUT!$E$2:$E$11000,"Alfa")</f>
        <v>293800</v>
      </c>
      <c r="N431" s="52" t="e">
        <f ca="1">SUMIFS(OUT!$F$2:$F$11000,OUT!$H$2:$H$101007,H431,OUT!$D$2:$D$11000,"Out",OUT!$E$2:$E$11000,"Jajan")</f>
        <v>#VALUE!</v>
      </c>
      <c r="O431" s="52">
        <f ca="1">SUMIFS(OUT!$F$2:$F$11000,OUT!$H$2:$H$11000,H431,OUT!$D$2:$D$11000,"Out",OUT!$E$2:$E$11000,"Kitchen")</f>
        <v>992724</v>
      </c>
      <c r="P431" s="52">
        <f ca="1">SUMIFS(OUT!$F$2:$F$11000,OUT!$H$2:$H$11000,H431,OUT!$D$2:$D$11000,"Out",OUT!$E$2:$E$11000,"Loandry")</f>
        <v>41600</v>
      </c>
      <c r="Q431" s="52">
        <f ca="1">SUMIFS(OUT!$F$2:$F$11000,OUT!$H$2:$H$11000,H431,OUT!$D$2:$D$11000,"Out",OUT!$E$2:$E$11000,"Mio")</f>
        <v>249000</v>
      </c>
      <c r="R431" s="52">
        <f ca="1">SUMIFS(OUT!$F$2:$F$11000,OUT!$H$2:$H$11000,H431,OUT!$D$2:$D$11000,"Out",OUT!$E$2:$E$11000,"Sedekah")</f>
        <v>129000</v>
      </c>
      <c r="S431" s="52">
        <f ca="1">SUMIFS(OUT!$F$2:$F$11000,OUT!$H$2:$H$11000,H431,OUT!$D$2:$D$11000,"Out",OUT!$E$2:$E$11000,"Zela")</f>
        <v>24100</v>
      </c>
      <c r="T431" s="52">
        <f ca="1">SUMIFS(OUT!$F$2:$F$11000,OUT!$H$2:$H$11000,H431,OUT!$D$2:$D$11000,"Out",OUT!$E$2:$E$11000,"Iqbal")</f>
        <v>121000</v>
      </c>
    </row>
    <row r="432" spans="1:20" x14ac:dyDescent="0.2">
      <c r="A432" s="48">
        <f ca="1">IFERROR(__xludf.DUMMYFUNCTION("""COMPUTED_VALUE"""),46057)</f>
        <v>46057</v>
      </c>
      <c r="B432" s="4" t="str">
        <f ca="1">IFERROR(__xludf.DUMMYFUNCTION("""COMPUTED_VALUE"""),"Raiko (Dapur )")</f>
        <v>Raiko (Dapur )</v>
      </c>
      <c r="C432" s="4" t="str">
        <f ca="1">IFERROR(__xludf.DUMMYFUNCTION("""COMPUTED_VALUE"""),"Cash")</f>
        <v>Cash</v>
      </c>
      <c r="D432" s="4" t="str">
        <f ca="1">IFERROR(__xludf.DUMMYFUNCTION("""COMPUTED_VALUE"""),"Out")</f>
        <v>Out</v>
      </c>
      <c r="E432" s="4" t="str">
        <f ca="1">IFERROR(__xludf.DUMMYFUNCTION("""COMPUTED_VALUE"""),"Kitchen")</f>
        <v>Kitchen</v>
      </c>
      <c r="F432" s="49">
        <f ca="1">IFERROR(__xludf.DUMMYFUNCTION("""COMPUTED_VALUE"""),5000)</f>
        <v>5000</v>
      </c>
      <c r="G432" s="50" t="str">
        <f ca="1">IFERROR(__xludf.DUMMYFUNCTION("""COMPUTED_VALUE"""),"Zela")</f>
        <v>Zela</v>
      </c>
      <c r="H432" s="51">
        <f t="shared" ca="1" si="0"/>
        <v>46054</v>
      </c>
      <c r="I432" s="52" t="e">
        <f ca="1">SUMIFS(OUT!$F$2:$F$11000,OUT!$H$2:$H$11000,H432,OUT!$D$2:$D$101007,"In")</f>
        <v>#VALUE!</v>
      </c>
      <c r="J432" s="52">
        <f ca="1">SUMIFS(OUT!$F$2:$F$11000,OUT!$H$2:$H$11000,H432,OUT!$D$2:$D$11000,"Out")</f>
        <v>6908733</v>
      </c>
      <c r="K432" s="52">
        <f ca="1">SUMIFS(OUT!$F$2:$F$11000,OUT!$H$2:$H$11000,H432,OUT!$D$2:$D$11000,"Out",OUT!$E$2:$E$11000,"Fix")</f>
        <v>2440568</v>
      </c>
      <c r="L432" s="52">
        <f ca="1">SUMIFS(OUT!$F$2:$F$11000,OUT!$H$2:$H$11000,H432,OUT!$D$2:$D$11000,"Out",OUT!$E$2:$E$11000,"Bathroom")</f>
        <v>34500</v>
      </c>
      <c r="M432" s="52">
        <f ca="1">SUMIFS(OUT!$F$2:$F$11000,OUT!$H$2:$H$11000,H432,OUT!$D$2:$D$11000,"Out",OUT!$E$2:$E$11000,"Alfa")</f>
        <v>293800</v>
      </c>
      <c r="N432" s="52" t="e">
        <f ca="1">SUMIFS(OUT!$F$2:$F$11000,OUT!$H$2:$H$101007,H432,OUT!$D$2:$D$11000,"Out",OUT!$E$2:$E$11000,"Jajan")</f>
        <v>#VALUE!</v>
      </c>
      <c r="O432" s="52">
        <f ca="1">SUMIFS(OUT!$F$2:$F$11000,OUT!$H$2:$H$11000,H432,OUT!$D$2:$D$11000,"Out",OUT!$E$2:$E$11000,"Kitchen")</f>
        <v>992724</v>
      </c>
      <c r="P432" s="52">
        <f ca="1">SUMIFS(OUT!$F$2:$F$11000,OUT!$H$2:$H$11000,H432,OUT!$D$2:$D$11000,"Out",OUT!$E$2:$E$11000,"Loandry")</f>
        <v>41600</v>
      </c>
      <c r="Q432" s="52">
        <f ca="1">SUMIFS(OUT!$F$2:$F$11000,OUT!$H$2:$H$11000,H432,OUT!$D$2:$D$11000,"Out",OUT!$E$2:$E$11000,"Mio")</f>
        <v>249000</v>
      </c>
      <c r="R432" s="52">
        <f ca="1">SUMIFS(OUT!$F$2:$F$11000,OUT!$H$2:$H$11000,H432,OUT!$D$2:$D$11000,"Out",OUT!$E$2:$E$11000,"Sedekah")</f>
        <v>129000</v>
      </c>
      <c r="S432" s="52">
        <f ca="1">SUMIFS(OUT!$F$2:$F$11000,OUT!$H$2:$H$11000,H432,OUT!$D$2:$D$11000,"Out",OUT!$E$2:$E$11000,"Zela")</f>
        <v>24100</v>
      </c>
      <c r="T432" s="52">
        <f ca="1">SUMIFS(OUT!$F$2:$F$11000,OUT!$H$2:$H$11000,H432,OUT!$D$2:$D$11000,"Out",OUT!$E$2:$E$11000,"Iqbal")</f>
        <v>121000</v>
      </c>
    </row>
    <row r="433" spans="1:20" x14ac:dyDescent="0.2">
      <c r="A433" s="48">
        <f ca="1">IFERROR(__xludf.DUMMYFUNCTION("""COMPUTED_VALUE"""),46059)</f>
        <v>46059</v>
      </c>
      <c r="B433" s="4" t="str">
        <f ca="1">IFERROR(__xludf.DUMMYFUNCTION("""COMPUTED_VALUE"""),"Infak Jum'at")</f>
        <v>Infak Jum'at</v>
      </c>
      <c r="C433" s="4" t="str">
        <f ca="1">IFERROR(__xludf.DUMMYFUNCTION("""COMPUTED_VALUE"""),"Cash")</f>
        <v>Cash</v>
      </c>
      <c r="D433" s="4" t="str">
        <f ca="1">IFERROR(__xludf.DUMMYFUNCTION("""COMPUTED_VALUE"""),"Out")</f>
        <v>Out</v>
      </c>
      <c r="E433" s="4" t="str">
        <f ca="1">IFERROR(__xludf.DUMMYFUNCTION("""COMPUTED_VALUE"""),"Sedekah")</f>
        <v>Sedekah</v>
      </c>
      <c r="F433" s="49">
        <f ca="1">IFERROR(__xludf.DUMMYFUNCTION("""COMPUTED_VALUE"""),10000)</f>
        <v>10000</v>
      </c>
      <c r="G433" s="50" t="str">
        <f ca="1">IFERROR(__xludf.DUMMYFUNCTION("""COMPUTED_VALUE"""),"Zela")</f>
        <v>Zela</v>
      </c>
      <c r="H433" s="51">
        <f t="shared" ca="1" si="0"/>
        <v>46054</v>
      </c>
      <c r="I433" s="52" t="e">
        <f ca="1">SUMIFS(OUT!$F$2:$F$11000,OUT!$H$2:$H$11000,H433,OUT!$D$2:$D$101007,"In")</f>
        <v>#VALUE!</v>
      </c>
      <c r="J433" s="52">
        <f ca="1">SUMIFS(OUT!$F$2:$F$11000,OUT!$H$2:$H$11000,H433,OUT!$D$2:$D$11000,"Out")</f>
        <v>6908733</v>
      </c>
      <c r="K433" s="52">
        <f ca="1">SUMIFS(OUT!$F$2:$F$11000,OUT!$H$2:$H$11000,H433,OUT!$D$2:$D$11000,"Out",OUT!$E$2:$E$11000,"Fix")</f>
        <v>2440568</v>
      </c>
      <c r="L433" s="52">
        <f ca="1">SUMIFS(OUT!$F$2:$F$11000,OUT!$H$2:$H$11000,H433,OUT!$D$2:$D$11000,"Out",OUT!$E$2:$E$11000,"Bathroom")</f>
        <v>34500</v>
      </c>
      <c r="M433" s="52">
        <f ca="1">SUMIFS(OUT!$F$2:$F$11000,OUT!$H$2:$H$11000,H433,OUT!$D$2:$D$11000,"Out",OUT!$E$2:$E$11000,"Alfa")</f>
        <v>293800</v>
      </c>
      <c r="N433" s="52" t="e">
        <f ca="1">SUMIFS(OUT!$F$2:$F$11000,OUT!$H$2:$H$101007,H433,OUT!$D$2:$D$11000,"Out",OUT!$E$2:$E$11000,"Jajan")</f>
        <v>#VALUE!</v>
      </c>
      <c r="O433" s="52">
        <f ca="1">SUMIFS(OUT!$F$2:$F$11000,OUT!$H$2:$H$11000,H433,OUT!$D$2:$D$11000,"Out",OUT!$E$2:$E$11000,"Kitchen")</f>
        <v>992724</v>
      </c>
      <c r="P433" s="52">
        <f ca="1">SUMIFS(OUT!$F$2:$F$11000,OUT!$H$2:$H$11000,H433,OUT!$D$2:$D$11000,"Out",OUT!$E$2:$E$11000,"Loandry")</f>
        <v>41600</v>
      </c>
      <c r="Q433" s="52">
        <f ca="1">SUMIFS(OUT!$F$2:$F$11000,OUT!$H$2:$H$11000,H433,OUT!$D$2:$D$11000,"Out",OUT!$E$2:$E$11000,"Mio")</f>
        <v>249000</v>
      </c>
      <c r="R433" s="52">
        <f ca="1">SUMIFS(OUT!$F$2:$F$11000,OUT!$H$2:$H$11000,H433,OUT!$D$2:$D$11000,"Out",OUT!$E$2:$E$11000,"Sedekah")</f>
        <v>129000</v>
      </c>
      <c r="S433" s="52">
        <f ca="1">SUMIFS(OUT!$F$2:$F$11000,OUT!$H$2:$H$11000,H433,OUT!$D$2:$D$11000,"Out",OUT!$E$2:$E$11000,"Zela")</f>
        <v>24100</v>
      </c>
      <c r="T433" s="52">
        <f ca="1">SUMIFS(OUT!$F$2:$F$11000,OUT!$H$2:$H$11000,H433,OUT!$D$2:$D$11000,"Out",OUT!$E$2:$E$11000,"Iqbal")</f>
        <v>121000</v>
      </c>
    </row>
    <row r="434" spans="1:20" x14ac:dyDescent="0.2">
      <c r="A434" s="48">
        <f ca="1">IFERROR(__xludf.DUMMYFUNCTION("""COMPUTED_VALUE"""),46059)</f>
        <v>46059</v>
      </c>
      <c r="B434" s="4" t="str">
        <f ca="1">IFERROR(__xludf.DUMMYFUNCTION("""COMPUTED_VALUE"""),"Alfa 2 x")</f>
        <v>Alfa 2 x</v>
      </c>
      <c r="C434" s="4" t="str">
        <f ca="1">IFERROR(__xludf.DUMMYFUNCTION("""COMPUTED_VALUE"""),"Cash")</f>
        <v>Cash</v>
      </c>
      <c r="D434" s="4" t="str">
        <f ca="1">IFERROR(__xludf.DUMMYFUNCTION("""COMPUTED_VALUE"""),"Out")</f>
        <v>Out</v>
      </c>
      <c r="E434" s="4" t="str">
        <f ca="1">IFERROR(__xludf.DUMMYFUNCTION("""COMPUTED_VALUE"""),"Alfa")</f>
        <v>Alfa</v>
      </c>
      <c r="F434" s="49">
        <f ca="1">IFERROR(__xludf.DUMMYFUNCTION("""COMPUTED_VALUE"""),7000)</f>
        <v>7000</v>
      </c>
      <c r="G434" s="50" t="str">
        <f ca="1">IFERROR(__xludf.DUMMYFUNCTION("""COMPUTED_VALUE"""),"Zela")</f>
        <v>Zela</v>
      </c>
      <c r="H434" s="51">
        <f t="shared" ca="1" si="0"/>
        <v>46054</v>
      </c>
      <c r="I434" s="52" t="e">
        <f ca="1">SUMIFS(OUT!$F$2:$F$11000,OUT!$H$2:$H$11000,H434,OUT!$D$2:$D$101007,"In")</f>
        <v>#VALUE!</v>
      </c>
      <c r="J434" s="52">
        <f ca="1">SUMIFS(OUT!$F$2:$F$11000,OUT!$H$2:$H$11000,H434,OUT!$D$2:$D$11000,"Out")</f>
        <v>6908733</v>
      </c>
      <c r="K434" s="52">
        <f ca="1">SUMIFS(OUT!$F$2:$F$11000,OUT!$H$2:$H$11000,H434,OUT!$D$2:$D$11000,"Out",OUT!$E$2:$E$11000,"Fix")</f>
        <v>2440568</v>
      </c>
      <c r="L434" s="52">
        <f ca="1">SUMIFS(OUT!$F$2:$F$11000,OUT!$H$2:$H$11000,H434,OUT!$D$2:$D$11000,"Out",OUT!$E$2:$E$11000,"Bathroom")</f>
        <v>34500</v>
      </c>
      <c r="M434" s="52">
        <f ca="1">SUMIFS(OUT!$F$2:$F$11000,OUT!$H$2:$H$11000,H434,OUT!$D$2:$D$11000,"Out",OUT!$E$2:$E$11000,"Alfa")</f>
        <v>293800</v>
      </c>
      <c r="N434" s="52" t="e">
        <f ca="1">SUMIFS(OUT!$F$2:$F$11000,OUT!$H$2:$H$101007,H434,OUT!$D$2:$D$11000,"Out",OUT!$E$2:$E$11000,"Jajan")</f>
        <v>#VALUE!</v>
      </c>
      <c r="O434" s="52">
        <f ca="1">SUMIFS(OUT!$F$2:$F$11000,OUT!$H$2:$H$11000,H434,OUT!$D$2:$D$11000,"Out",OUT!$E$2:$E$11000,"Kitchen")</f>
        <v>992724</v>
      </c>
      <c r="P434" s="52">
        <f ca="1">SUMIFS(OUT!$F$2:$F$11000,OUT!$H$2:$H$11000,H434,OUT!$D$2:$D$11000,"Out",OUT!$E$2:$E$11000,"Loandry")</f>
        <v>41600</v>
      </c>
      <c r="Q434" s="52">
        <f ca="1">SUMIFS(OUT!$F$2:$F$11000,OUT!$H$2:$H$11000,H434,OUT!$D$2:$D$11000,"Out",OUT!$E$2:$E$11000,"Mio")</f>
        <v>249000</v>
      </c>
      <c r="R434" s="52">
        <f ca="1">SUMIFS(OUT!$F$2:$F$11000,OUT!$H$2:$H$11000,H434,OUT!$D$2:$D$11000,"Out",OUT!$E$2:$E$11000,"Sedekah")</f>
        <v>129000</v>
      </c>
      <c r="S434" s="52">
        <f ca="1">SUMIFS(OUT!$F$2:$F$11000,OUT!$H$2:$H$11000,H434,OUT!$D$2:$D$11000,"Out",OUT!$E$2:$E$11000,"Zela")</f>
        <v>24100</v>
      </c>
      <c r="T434" s="52">
        <f ca="1">SUMIFS(OUT!$F$2:$F$11000,OUT!$H$2:$H$11000,H434,OUT!$D$2:$D$11000,"Out",OUT!$E$2:$E$11000,"Iqbal")</f>
        <v>121000</v>
      </c>
    </row>
    <row r="435" spans="1:20" x14ac:dyDescent="0.2">
      <c r="A435" s="48">
        <f ca="1">IFERROR(__xludf.DUMMYFUNCTION("""COMPUTED_VALUE"""),46059)</f>
        <v>46059</v>
      </c>
      <c r="B435" s="4" t="str">
        <f ca="1">IFERROR(__xludf.DUMMYFUNCTION("""COMPUTED_VALUE"""),"Tarik Tunai")</f>
        <v>Tarik Tunai</v>
      </c>
      <c r="C435" s="4" t="str">
        <f ca="1">IFERROR(__xludf.DUMMYFUNCTION("""COMPUTED_VALUE"""),"ATM")</f>
        <v>ATM</v>
      </c>
      <c r="D435" s="4" t="str">
        <f ca="1">IFERROR(__xludf.DUMMYFUNCTION("""COMPUTED_VALUE"""),"Move")</f>
        <v>Move</v>
      </c>
      <c r="E435" s="4" t="str">
        <f ca="1">IFERROR(__xludf.DUMMYFUNCTION("""COMPUTED_VALUE"""),"Move")</f>
        <v>Move</v>
      </c>
      <c r="F435" s="49">
        <f ca="1">IFERROR(__xludf.DUMMYFUNCTION("""COMPUTED_VALUE"""),100000)</f>
        <v>100000</v>
      </c>
      <c r="G435" s="50" t="str">
        <f ca="1">IFERROR(__xludf.DUMMYFUNCTION("""COMPUTED_VALUE"""),"Zela")</f>
        <v>Zela</v>
      </c>
      <c r="H435" s="51">
        <f t="shared" ca="1" si="0"/>
        <v>46054</v>
      </c>
      <c r="I435" s="52" t="e">
        <f ca="1">SUMIFS(OUT!$F$2:$F$11000,OUT!$H$2:$H$11000,H435,OUT!$D$2:$D$101007,"In")</f>
        <v>#VALUE!</v>
      </c>
      <c r="J435" s="52">
        <f ca="1">SUMIFS(OUT!$F$2:$F$11000,OUT!$H$2:$H$11000,H435,OUT!$D$2:$D$11000,"Out")</f>
        <v>6908733</v>
      </c>
      <c r="K435" s="52">
        <f ca="1">SUMIFS(OUT!$F$2:$F$11000,OUT!$H$2:$H$11000,H435,OUT!$D$2:$D$11000,"Out",OUT!$E$2:$E$11000,"Fix")</f>
        <v>2440568</v>
      </c>
      <c r="L435" s="52">
        <f ca="1">SUMIFS(OUT!$F$2:$F$11000,OUT!$H$2:$H$11000,H435,OUT!$D$2:$D$11000,"Out",OUT!$E$2:$E$11000,"Bathroom")</f>
        <v>34500</v>
      </c>
      <c r="M435" s="52">
        <f ca="1">SUMIFS(OUT!$F$2:$F$11000,OUT!$H$2:$H$11000,H435,OUT!$D$2:$D$11000,"Out",OUT!$E$2:$E$11000,"Alfa")</f>
        <v>293800</v>
      </c>
      <c r="N435" s="52" t="e">
        <f ca="1">SUMIFS(OUT!$F$2:$F$11000,OUT!$H$2:$H$101007,H435,OUT!$D$2:$D$11000,"Out",OUT!$E$2:$E$11000,"Jajan")</f>
        <v>#VALUE!</v>
      </c>
      <c r="O435" s="52">
        <f ca="1">SUMIFS(OUT!$F$2:$F$11000,OUT!$H$2:$H$11000,H435,OUT!$D$2:$D$11000,"Out",OUT!$E$2:$E$11000,"Kitchen")</f>
        <v>992724</v>
      </c>
      <c r="P435" s="52">
        <f ca="1">SUMIFS(OUT!$F$2:$F$11000,OUT!$H$2:$H$11000,H435,OUT!$D$2:$D$11000,"Out",OUT!$E$2:$E$11000,"Loandry")</f>
        <v>41600</v>
      </c>
      <c r="Q435" s="52">
        <f ca="1">SUMIFS(OUT!$F$2:$F$11000,OUT!$H$2:$H$11000,H435,OUT!$D$2:$D$11000,"Out",OUT!$E$2:$E$11000,"Mio")</f>
        <v>249000</v>
      </c>
      <c r="R435" s="52">
        <f ca="1">SUMIFS(OUT!$F$2:$F$11000,OUT!$H$2:$H$11000,H435,OUT!$D$2:$D$11000,"Out",OUT!$E$2:$E$11000,"Sedekah")</f>
        <v>129000</v>
      </c>
      <c r="S435" s="52">
        <f ca="1">SUMIFS(OUT!$F$2:$F$11000,OUT!$H$2:$H$11000,H435,OUT!$D$2:$D$11000,"Out",OUT!$E$2:$E$11000,"Zela")</f>
        <v>24100</v>
      </c>
      <c r="T435" s="52">
        <f ca="1">SUMIFS(OUT!$F$2:$F$11000,OUT!$H$2:$H$11000,H435,OUT!$D$2:$D$11000,"Out",OUT!$E$2:$E$11000,"Iqbal")</f>
        <v>121000</v>
      </c>
    </row>
    <row r="436" spans="1:20" x14ac:dyDescent="0.2">
      <c r="A436" s="48">
        <f ca="1">IFERROR(__xludf.DUMMYFUNCTION("""COMPUTED_VALUE"""),46059)</f>
        <v>46059</v>
      </c>
      <c r="B436" s="4" t="str">
        <f ca="1">IFERROR(__xludf.DUMMYFUNCTION("""COMPUTED_VALUE"""),"Terima Tunai")</f>
        <v>Terima Tunai</v>
      </c>
      <c r="C436" s="4" t="str">
        <f ca="1">IFERROR(__xludf.DUMMYFUNCTION("""COMPUTED_VALUE"""),"Cash")</f>
        <v>Cash</v>
      </c>
      <c r="D436" s="4" t="str">
        <f ca="1">IFERROR(__xludf.DUMMYFUNCTION("""COMPUTED_VALUE"""),"Move")</f>
        <v>Move</v>
      </c>
      <c r="E436" s="4" t="str">
        <f ca="1">IFERROR(__xludf.DUMMYFUNCTION("""COMPUTED_VALUE"""),"Move")</f>
        <v>Move</v>
      </c>
      <c r="F436" s="49">
        <f ca="1">IFERROR(__xludf.DUMMYFUNCTION("""COMPUTED_VALUE"""),100000)</f>
        <v>100000</v>
      </c>
      <c r="G436" s="50" t="str">
        <f ca="1">IFERROR(__xludf.DUMMYFUNCTION("""COMPUTED_VALUE"""),"Zela")</f>
        <v>Zela</v>
      </c>
      <c r="H436" s="51">
        <f t="shared" ca="1" si="0"/>
        <v>46054</v>
      </c>
      <c r="I436" s="52" t="e">
        <f ca="1">SUMIFS(OUT!$F$2:$F$11000,OUT!$H$2:$H$11000,H436,OUT!$D$2:$D$101007,"In")</f>
        <v>#VALUE!</v>
      </c>
      <c r="J436" s="52">
        <f ca="1">SUMIFS(OUT!$F$2:$F$11000,OUT!$H$2:$H$11000,H436,OUT!$D$2:$D$11000,"Out")</f>
        <v>6908733</v>
      </c>
      <c r="K436" s="52">
        <f ca="1">SUMIFS(OUT!$F$2:$F$11000,OUT!$H$2:$H$11000,H436,OUT!$D$2:$D$11000,"Out",OUT!$E$2:$E$11000,"Fix")</f>
        <v>2440568</v>
      </c>
      <c r="L436" s="52">
        <f ca="1">SUMIFS(OUT!$F$2:$F$11000,OUT!$H$2:$H$11000,H436,OUT!$D$2:$D$11000,"Out",OUT!$E$2:$E$11000,"Bathroom")</f>
        <v>34500</v>
      </c>
      <c r="M436" s="52">
        <f ca="1">SUMIFS(OUT!$F$2:$F$11000,OUT!$H$2:$H$11000,H436,OUT!$D$2:$D$11000,"Out",OUT!$E$2:$E$11000,"Alfa")</f>
        <v>293800</v>
      </c>
      <c r="N436" s="52" t="e">
        <f ca="1">SUMIFS(OUT!$F$2:$F$11000,OUT!$H$2:$H$101007,H436,OUT!$D$2:$D$11000,"Out",OUT!$E$2:$E$11000,"Jajan")</f>
        <v>#VALUE!</v>
      </c>
      <c r="O436" s="52">
        <f ca="1">SUMIFS(OUT!$F$2:$F$11000,OUT!$H$2:$H$11000,H436,OUT!$D$2:$D$11000,"Out",OUT!$E$2:$E$11000,"Kitchen")</f>
        <v>992724</v>
      </c>
      <c r="P436" s="52">
        <f ca="1">SUMIFS(OUT!$F$2:$F$11000,OUT!$H$2:$H$11000,H436,OUT!$D$2:$D$11000,"Out",OUT!$E$2:$E$11000,"Loandry")</f>
        <v>41600</v>
      </c>
      <c r="Q436" s="52">
        <f ca="1">SUMIFS(OUT!$F$2:$F$11000,OUT!$H$2:$H$11000,H436,OUT!$D$2:$D$11000,"Out",OUT!$E$2:$E$11000,"Mio")</f>
        <v>249000</v>
      </c>
      <c r="R436" s="52">
        <f ca="1">SUMIFS(OUT!$F$2:$F$11000,OUT!$H$2:$H$11000,H436,OUT!$D$2:$D$11000,"Out",OUT!$E$2:$E$11000,"Sedekah")</f>
        <v>129000</v>
      </c>
      <c r="S436" s="52">
        <f ca="1">SUMIFS(OUT!$F$2:$F$11000,OUT!$H$2:$H$11000,H436,OUT!$D$2:$D$11000,"Out",OUT!$E$2:$E$11000,"Zela")</f>
        <v>24100</v>
      </c>
      <c r="T436" s="52">
        <f ca="1">SUMIFS(OUT!$F$2:$F$11000,OUT!$H$2:$H$11000,H436,OUT!$D$2:$D$11000,"Out",OUT!$E$2:$E$11000,"Iqbal")</f>
        <v>121000</v>
      </c>
    </row>
    <row r="437" spans="1:20" x14ac:dyDescent="0.2">
      <c r="A437" s="48">
        <f ca="1">IFERROR(__xludf.DUMMYFUNCTION("""COMPUTED_VALUE"""),46059)</f>
        <v>46059</v>
      </c>
      <c r="B437" s="4" t="str">
        <f ca="1">IFERROR(__xludf.DUMMYFUNCTION("""COMPUTED_VALUE"""),"kerupuk 2 + Gabin tawar")</f>
        <v>kerupuk 2 + Gabin tawar</v>
      </c>
      <c r="C437" s="4" t="str">
        <f ca="1">IFERROR(__xludf.DUMMYFUNCTION("""COMPUTED_VALUE"""),"Cash")</f>
        <v>Cash</v>
      </c>
      <c r="D437" s="4" t="str">
        <f ca="1">IFERROR(__xludf.DUMMYFUNCTION("""COMPUTED_VALUE"""),"Out")</f>
        <v>Out</v>
      </c>
      <c r="E437" s="4" t="str">
        <f ca="1">IFERROR(__xludf.DUMMYFUNCTION("""COMPUTED_VALUE"""),"Jajan")</f>
        <v>Jajan</v>
      </c>
      <c r="F437" s="49">
        <f ca="1">IFERROR(__xludf.DUMMYFUNCTION("""COMPUTED_VALUE"""),18000)</f>
        <v>18000</v>
      </c>
      <c r="G437" s="50" t="str">
        <f ca="1">IFERROR(__xludf.DUMMYFUNCTION("""COMPUTED_VALUE"""),"Zela")</f>
        <v>Zela</v>
      </c>
      <c r="H437" s="51">
        <f t="shared" ca="1" si="0"/>
        <v>46054</v>
      </c>
      <c r="I437" s="52" t="e">
        <f ca="1">SUMIFS(OUT!$F$2:$F$11000,OUT!$H$2:$H$11000,H437,OUT!$D$2:$D$101007,"In")</f>
        <v>#VALUE!</v>
      </c>
      <c r="J437" s="52">
        <f ca="1">SUMIFS(OUT!$F$2:$F$11000,OUT!$H$2:$H$11000,H437,OUT!$D$2:$D$11000,"Out")</f>
        <v>6908733</v>
      </c>
      <c r="K437" s="52">
        <f ca="1">SUMIFS(OUT!$F$2:$F$11000,OUT!$H$2:$H$11000,H437,OUT!$D$2:$D$11000,"Out",OUT!$E$2:$E$11000,"Fix")</f>
        <v>2440568</v>
      </c>
      <c r="L437" s="52">
        <f ca="1">SUMIFS(OUT!$F$2:$F$11000,OUT!$H$2:$H$11000,H437,OUT!$D$2:$D$11000,"Out",OUT!$E$2:$E$11000,"Bathroom")</f>
        <v>34500</v>
      </c>
      <c r="M437" s="52">
        <f ca="1">SUMIFS(OUT!$F$2:$F$11000,OUT!$H$2:$H$11000,H437,OUT!$D$2:$D$11000,"Out",OUT!$E$2:$E$11000,"Alfa")</f>
        <v>293800</v>
      </c>
      <c r="N437" s="52" t="e">
        <f ca="1">SUMIFS(OUT!$F$2:$F$11000,OUT!$H$2:$H$101007,H437,OUT!$D$2:$D$11000,"Out",OUT!$E$2:$E$11000,"Jajan")</f>
        <v>#VALUE!</v>
      </c>
      <c r="O437" s="52">
        <f ca="1">SUMIFS(OUT!$F$2:$F$11000,OUT!$H$2:$H$11000,H437,OUT!$D$2:$D$11000,"Out",OUT!$E$2:$E$11000,"Kitchen")</f>
        <v>992724</v>
      </c>
      <c r="P437" s="52">
        <f ca="1">SUMIFS(OUT!$F$2:$F$11000,OUT!$H$2:$H$11000,H437,OUT!$D$2:$D$11000,"Out",OUT!$E$2:$E$11000,"Loandry")</f>
        <v>41600</v>
      </c>
      <c r="Q437" s="52">
        <f ca="1">SUMIFS(OUT!$F$2:$F$11000,OUT!$H$2:$H$11000,H437,OUT!$D$2:$D$11000,"Out",OUT!$E$2:$E$11000,"Mio")</f>
        <v>249000</v>
      </c>
      <c r="R437" s="52">
        <f ca="1">SUMIFS(OUT!$F$2:$F$11000,OUT!$H$2:$H$11000,H437,OUT!$D$2:$D$11000,"Out",OUT!$E$2:$E$11000,"Sedekah")</f>
        <v>129000</v>
      </c>
      <c r="S437" s="52">
        <f ca="1">SUMIFS(OUT!$F$2:$F$11000,OUT!$H$2:$H$11000,H437,OUT!$D$2:$D$11000,"Out",OUT!$E$2:$E$11000,"Zela")</f>
        <v>24100</v>
      </c>
      <c r="T437" s="52">
        <f ca="1">SUMIFS(OUT!$F$2:$F$11000,OUT!$H$2:$H$11000,H437,OUT!$D$2:$D$11000,"Out",OUT!$E$2:$E$11000,"Iqbal")</f>
        <v>121000</v>
      </c>
    </row>
    <row r="438" spans="1:20" x14ac:dyDescent="0.2">
      <c r="A438" s="48">
        <f ca="1">IFERROR(__xludf.DUMMYFUNCTION("""COMPUTED_VALUE"""),46060)</f>
        <v>46060</v>
      </c>
      <c r="B438" s="4" t="str">
        <f ca="1">IFERROR(__xludf.DUMMYFUNCTION("""COMPUTED_VALUE"""),"Tepung 2 saous ( dapur )")</f>
        <v>Tepung 2 saous ( dapur )</v>
      </c>
      <c r="C438" s="4" t="str">
        <f ca="1">IFERROR(__xludf.DUMMYFUNCTION("""COMPUTED_VALUE"""),"Cash")</f>
        <v>Cash</v>
      </c>
      <c r="D438" s="4" t="str">
        <f ca="1">IFERROR(__xludf.DUMMYFUNCTION("""COMPUTED_VALUE"""),"Out")</f>
        <v>Out</v>
      </c>
      <c r="E438" s="4" t="str">
        <f ca="1">IFERROR(__xludf.DUMMYFUNCTION("""COMPUTED_VALUE"""),"Kitchen")</f>
        <v>Kitchen</v>
      </c>
      <c r="F438" s="49">
        <f ca="1">IFERROR(__xludf.DUMMYFUNCTION("""COMPUTED_VALUE"""),22000)</f>
        <v>22000</v>
      </c>
      <c r="G438" s="50" t="str">
        <f ca="1">IFERROR(__xludf.DUMMYFUNCTION("""COMPUTED_VALUE"""),"Zela")</f>
        <v>Zela</v>
      </c>
      <c r="H438" s="51">
        <f t="shared" ca="1" si="0"/>
        <v>46054</v>
      </c>
      <c r="I438" s="52" t="e">
        <f ca="1">SUMIFS(OUT!$F$2:$F$11000,OUT!$H$2:$H$11000,H438,OUT!$D$2:$D$101007,"In")</f>
        <v>#VALUE!</v>
      </c>
      <c r="J438" s="52">
        <f ca="1">SUMIFS(OUT!$F$2:$F$11000,OUT!$H$2:$H$11000,H438,OUT!$D$2:$D$11000,"Out")</f>
        <v>6908733</v>
      </c>
      <c r="K438" s="52">
        <f ca="1">SUMIFS(OUT!$F$2:$F$11000,OUT!$H$2:$H$11000,H438,OUT!$D$2:$D$11000,"Out",OUT!$E$2:$E$11000,"Fix")</f>
        <v>2440568</v>
      </c>
      <c r="L438" s="52">
        <f ca="1">SUMIFS(OUT!$F$2:$F$11000,OUT!$H$2:$H$11000,H438,OUT!$D$2:$D$11000,"Out",OUT!$E$2:$E$11000,"Bathroom")</f>
        <v>34500</v>
      </c>
      <c r="M438" s="52">
        <f ca="1">SUMIFS(OUT!$F$2:$F$11000,OUT!$H$2:$H$11000,H438,OUT!$D$2:$D$11000,"Out",OUT!$E$2:$E$11000,"Alfa")</f>
        <v>293800</v>
      </c>
      <c r="N438" s="52" t="e">
        <f ca="1">SUMIFS(OUT!$F$2:$F$11000,OUT!$H$2:$H$101007,H438,OUT!$D$2:$D$11000,"Out",OUT!$E$2:$E$11000,"Jajan")</f>
        <v>#VALUE!</v>
      </c>
      <c r="O438" s="52">
        <f ca="1">SUMIFS(OUT!$F$2:$F$11000,OUT!$H$2:$H$11000,H438,OUT!$D$2:$D$11000,"Out",OUT!$E$2:$E$11000,"Kitchen")</f>
        <v>992724</v>
      </c>
      <c r="P438" s="52">
        <f ca="1">SUMIFS(OUT!$F$2:$F$11000,OUT!$H$2:$H$11000,H438,OUT!$D$2:$D$11000,"Out",OUT!$E$2:$E$11000,"Loandry")</f>
        <v>41600</v>
      </c>
      <c r="Q438" s="52">
        <f ca="1">SUMIFS(OUT!$F$2:$F$11000,OUT!$H$2:$H$11000,H438,OUT!$D$2:$D$11000,"Out",OUT!$E$2:$E$11000,"Mio")</f>
        <v>249000</v>
      </c>
      <c r="R438" s="52">
        <f ca="1">SUMIFS(OUT!$F$2:$F$11000,OUT!$H$2:$H$11000,H438,OUT!$D$2:$D$11000,"Out",OUT!$E$2:$E$11000,"Sedekah")</f>
        <v>129000</v>
      </c>
      <c r="S438" s="52">
        <f ca="1">SUMIFS(OUT!$F$2:$F$11000,OUT!$H$2:$H$11000,H438,OUT!$D$2:$D$11000,"Out",OUT!$E$2:$E$11000,"Zela")</f>
        <v>24100</v>
      </c>
      <c r="T438" s="52">
        <f ca="1">SUMIFS(OUT!$F$2:$F$11000,OUT!$H$2:$H$11000,H438,OUT!$D$2:$D$11000,"Out",OUT!$E$2:$E$11000,"Iqbal")</f>
        <v>121000</v>
      </c>
    </row>
    <row r="439" spans="1:20" x14ac:dyDescent="0.2">
      <c r="A439" s="48">
        <f ca="1">IFERROR(__xludf.DUMMYFUNCTION("""COMPUTED_VALUE"""),46060)</f>
        <v>46060</v>
      </c>
      <c r="B439" s="4" t="str">
        <f ca="1">IFERROR(__xludf.DUMMYFUNCTION("""COMPUTED_VALUE"""),"saringan Teh ( Dapur )")</f>
        <v>saringan Teh ( Dapur )</v>
      </c>
      <c r="C439" s="4" t="str">
        <f ca="1">IFERROR(__xludf.DUMMYFUNCTION("""COMPUTED_VALUE"""),"Cash")</f>
        <v>Cash</v>
      </c>
      <c r="D439" s="4" t="str">
        <f ca="1">IFERROR(__xludf.DUMMYFUNCTION("""COMPUTED_VALUE"""),"Out")</f>
        <v>Out</v>
      </c>
      <c r="E439" s="4" t="str">
        <f ca="1">IFERROR(__xludf.DUMMYFUNCTION("""COMPUTED_VALUE"""),"Kitchen")</f>
        <v>Kitchen</v>
      </c>
      <c r="F439" s="49">
        <f ca="1">IFERROR(__xludf.DUMMYFUNCTION("""COMPUTED_VALUE"""),6500)</f>
        <v>6500</v>
      </c>
      <c r="G439" s="50" t="str">
        <f ca="1">IFERROR(__xludf.DUMMYFUNCTION("""COMPUTED_VALUE"""),"Zela")</f>
        <v>Zela</v>
      </c>
      <c r="H439" s="51">
        <f t="shared" ca="1" si="0"/>
        <v>46054</v>
      </c>
      <c r="I439" s="52" t="e">
        <f ca="1">SUMIFS(OUT!$F$2:$F$11000,OUT!$H$2:$H$11000,H439,OUT!$D$2:$D$101007,"In")</f>
        <v>#VALUE!</v>
      </c>
      <c r="J439" s="52">
        <f ca="1">SUMIFS(OUT!$F$2:$F$11000,OUT!$H$2:$H$11000,H439,OUT!$D$2:$D$11000,"Out")</f>
        <v>6908733</v>
      </c>
      <c r="K439" s="52">
        <f ca="1">SUMIFS(OUT!$F$2:$F$11000,OUT!$H$2:$H$11000,H439,OUT!$D$2:$D$11000,"Out",OUT!$E$2:$E$11000,"Fix")</f>
        <v>2440568</v>
      </c>
      <c r="L439" s="52">
        <f ca="1">SUMIFS(OUT!$F$2:$F$11000,OUT!$H$2:$H$11000,H439,OUT!$D$2:$D$11000,"Out",OUT!$E$2:$E$11000,"Bathroom")</f>
        <v>34500</v>
      </c>
      <c r="M439" s="52">
        <f ca="1">SUMIFS(OUT!$F$2:$F$11000,OUT!$H$2:$H$11000,H439,OUT!$D$2:$D$11000,"Out",OUT!$E$2:$E$11000,"Alfa")</f>
        <v>293800</v>
      </c>
      <c r="N439" s="52" t="e">
        <f ca="1">SUMIFS(OUT!$F$2:$F$11000,OUT!$H$2:$H$101007,H439,OUT!$D$2:$D$11000,"Out",OUT!$E$2:$E$11000,"Jajan")</f>
        <v>#VALUE!</v>
      </c>
      <c r="O439" s="52">
        <f ca="1">SUMIFS(OUT!$F$2:$F$11000,OUT!$H$2:$H$11000,H439,OUT!$D$2:$D$11000,"Out",OUT!$E$2:$E$11000,"Kitchen")</f>
        <v>992724</v>
      </c>
      <c r="P439" s="52">
        <f ca="1">SUMIFS(OUT!$F$2:$F$11000,OUT!$H$2:$H$11000,H439,OUT!$D$2:$D$11000,"Out",OUT!$E$2:$E$11000,"Loandry")</f>
        <v>41600</v>
      </c>
      <c r="Q439" s="52">
        <f ca="1">SUMIFS(OUT!$F$2:$F$11000,OUT!$H$2:$H$11000,H439,OUT!$D$2:$D$11000,"Out",OUT!$E$2:$E$11000,"Mio")</f>
        <v>249000</v>
      </c>
      <c r="R439" s="52">
        <f ca="1">SUMIFS(OUT!$F$2:$F$11000,OUT!$H$2:$H$11000,H439,OUT!$D$2:$D$11000,"Out",OUT!$E$2:$E$11000,"Sedekah")</f>
        <v>129000</v>
      </c>
      <c r="S439" s="52">
        <f ca="1">SUMIFS(OUT!$F$2:$F$11000,OUT!$H$2:$H$11000,H439,OUT!$D$2:$D$11000,"Out",OUT!$E$2:$E$11000,"Zela")</f>
        <v>24100</v>
      </c>
      <c r="T439" s="52">
        <f ca="1">SUMIFS(OUT!$F$2:$F$11000,OUT!$H$2:$H$11000,H439,OUT!$D$2:$D$11000,"Out",OUT!$E$2:$E$11000,"Iqbal")</f>
        <v>121000</v>
      </c>
    </row>
    <row r="440" spans="1:20" x14ac:dyDescent="0.2">
      <c r="A440" s="48">
        <f ca="1">IFERROR(__xludf.DUMMYFUNCTION("""COMPUTED_VALUE"""),46060)</f>
        <v>46060</v>
      </c>
      <c r="B440" s="4" t="str">
        <f ca="1">IFERROR(__xludf.DUMMYFUNCTION("""COMPUTED_VALUE"""),"Alfa")</f>
        <v>Alfa</v>
      </c>
      <c r="C440" s="4" t="str">
        <f ca="1">IFERROR(__xludf.DUMMYFUNCTION("""COMPUTED_VALUE"""),"Cash")</f>
        <v>Cash</v>
      </c>
      <c r="D440" s="4" t="str">
        <f ca="1">IFERROR(__xludf.DUMMYFUNCTION("""COMPUTED_VALUE"""),"Out")</f>
        <v>Out</v>
      </c>
      <c r="E440" s="4" t="str">
        <f ca="1">IFERROR(__xludf.DUMMYFUNCTION("""COMPUTED_VALUE"""),"Alfa")</f>
        <v>Alfa</v>
      </c>
      <c r="F440" s="49">
        <f ca="1">IFERROR(__xludf.DUMMYFUNCTION("""COMPUTED_VALUE"""),20000)</f>
        <v>20000</v>
      </c>
      <c r="G440" s="50" t="str">
        <f ca="1">IFERROR(__xludf.DUMMYFUNCTION("""COMPUTED_VALUE"""),"Zela")</f>
        <v>Zela</v>
      </c>
      <c r="H440" s="51">
        <f t="shared" ca="1" si="0"/>
        <v>46054</v>
      </c>
      <c r="I440" s="52" t="e">
        <f ca="1">SUMIFS(OUT!$F$2:$F$11000,OUT!$H$2:$H$11000,H440,OUT!$D$2:$D$101007,"In")</f>
        <v>#VALUE!</v>
      </c>
      <c r="J440" s="52">
        <f ca="1">SUMIFS(OUT!$F$2:$F$11000,OUT!$H$2:$H$11000,H440,OUT!$D$2:$D$11000,"Out")</f>
        <v>6908733</v>
      </c>
      <c r="K440" s="52">
        <f ca="1">SUMIFS(OUT!$F$2:$F$11000,OUT!$H$2:$H$11000,H440,OUT!$D$2:$D$11000,"Out",OUT!$E$2:$E$11000,"Fix")</f>
        <v>2440568</v>
      </c>
      <c r="L440" s="52">
        <f ca="1">SUMIFS(OUT!$F$2:$F$11000,OUT!$H$2:$H$11000,H440,OUT!$D$2:$D$11000,"Out",OUT!$E$2:$E$11000,"Bathroom")</f>
        <v>34500</v>
      </c>
      <c r="M440" s="52">
        <f ca="1">SUMIFS(OUT!$F$2:$F$11000,OUT!$H$2:$H$11000,H440,OUT!$D$2:$D$11000,"Out",OUT!$E$2:$E$11000,"Alfa")</f>
        <v>293800</v>
      </c>
      <c r="N440" s="52" t="e">
        <f ca="1">SUMIFS(OUT!$F$2:$F$11000,OUT!$H$2:$H$101007,H440,OUT!$D$2:$D$11000,"Out",OUT!$E$2:$E$11000,"Jajan")</f>
        <v>#VALUE!</v>
      </c>
      <c r="O440" s="52">
        <f ca="1">SUMIFS(OUT!$F$2:$F$11000,OUT!$H$2:$H$11000,H440,OUT!$D$2:$D$11000,"Out",OUT!$E$2:$E$11000,"Kitchen")</f>
        <v>992724</v>
      </c>
      <c r="P440" s="52">
        <f ca="1">SUMIFS(OUT!$F$2:$F$11000,OUT!$H$2:$H$11000,H440,OUT!$D$2:$D$11000,"Out",OUT!$E$2:$E$11000,"Loandry")</f>
        <v>41600</v>
      </c>
      <c r="Q440" s="52">
        <f ca="1">SUMIFS(OUT!$F$2:$F$11000,OUT!$H$2:$H$11000,H440,OUT!$D$2:$D$11000,"Out",OUT!$E$2:$E$11000,"Mio")</f>
        <v>249000</v>
      </c>
      <c r="R440" s="52">
        <f ca="1">SUMIFS(OUT!$F$2:$F$11000,OUT!$H$2:$H$11000,H440,OUT!$D$2:$D$11000,"Out",OUT!$E$2:$E$11000,"Sedekah")</f>
        <v>129000</v>
      </c>
      <c r="S440" s="52">
        <f ca="1">SUMIFS(OUT!$F$2:$F$11000,OUT!$H$2:$H$11000,H440,OUT!$D$2:$D$11000,"Out",OUT!$E$2:$E$11000,"Zela")</f>
        <v>24100</v>
      </c>
      <c r="T440" s="52">
        <f ca="1">SUMIFS(OUT!$F$2:$F$11000,OUT!$H$2:$H$11000,H440,OUT!$D$2:$D$11000,"Out",OUT!$E$2:$E$11000,"Iqbal")</f>
        <v>121000</v>
      </c>
    </row>
    <row r="441" spans="1:20" x14ac:dyDescent="0.2">
      <c r="A441" s="48">
        <f ca="1">IFERROR(__xludf.DUMMYFUNCTION("""COMPUTED_VALUE"""),46060)</f>
        <v>46060</v>
      </c>
      <c r="B441" s="4" t="str">
        <f ca="1">IFERROR(__xludf.DUMMYFUNCTION("""COMPUTED_VALUE"""),"Molen")</f>
        <v>Molen</v>
      </c>
      <c r="C441" s="4" t="str">
        <f ca="1">IFERROR(__xludf.DUMMYFUNCTION("""COMPUTED_VALUE"""),"Cash")</f>
        <v>Cash</v>
      </c>
      <c r="D441" s="4" t="str">
        <f ca="1">IFERROR(__xludf.DUMMYFUNCTION("""COMPUTED_VALUE"""),"Out")</f>
        <v>Out</v>
      </c>
      <c r="E441" s="4" t="str">
        <f ca="1">IFERROR(__xludf.DUMMYFUNCTION("""COMPUTED_VALUE"""),"Jajan")</f>
        <v>Jajan</v>
      </c>
      <c r="F441" s="49">
        <f ca="1">IFERROR(__xludf.DUMMYFUNCTION("""COMPUTED_VALUE"""),3000)</f>
        <v>3000</v>
      </c>
      <c r="G441" s="50" t="str">
        <f ca="1">IFERROR(__xludf.DUMMYFUNCTION("""COMPUTED_VALUE"""),"Zela")</f>
        <v>Zela</v>
      </c>
      <c r="H441" s="51">
        <f t="shared" ca="1" si="0"/>
        <v>46054</v>
      </c>
      <c r="I441" s="52" t="e">
        <f ca="1">SUMIFS(OUT!$F$2:$F$11000,OUT!$H$2:$H$11000,H441,OUT!$D$2:$D$101007,"In")</f>
        <v>#VALUE!</v>
      </c>
      <c r="J441" s="52">
        <f ca="1">SUMIFS(OUT!$F$2:$F$11000,OUT!$H$2:$H$11000,H441,OUT!$D$2:$D$11000,"Out")</f>
        <v>6908733</v>
      </c>
      <c r="K441" s="52">
        <f ca="1">SUMIFS(OUT!$F$2:$F$11000,OUT!$H$2:$H$11000,H441,OUT!$D$2:$D$11000,"Out",OUT!$E$2:$E$11000,"Fix")</f>
        <v>2440568</v>
      </c>
      <c r="L441" s="52">
        <f ca="1">SUMIFS(OUT!$F$2:$F$11000,OUT!$H$2:$H$11000,H441,OUT!$D$2:$D$11000,"Out",OUT!$E$2:$E$11000,"Bathroom")</f>
        <v>34500</v>
      </c>
      <c r="M441" s="52">
        <f ca="1">SUMIFS(OUT!$F$2:$F$11000,OUT!$H$2:$H$11000,H441,OUT!$D$2:$D$11000,"Out",OUT!$E$2:$E$11000,"Alfa")</f>
        <v>293800</v>
      </c>
      <c r="N441" s="52" t="e">
        <f ca="1">SUMIFS(OUT!$F$2:$F$11000,OUT!$H$2:$H$101007,H441,OUT!$D$2:$D$11000,"Out",OUT!$E$2:$E$11000,"Jajan")</f>
        <v>#VALUE!</v>
      </c>
      <c r="O441" s="52">
        <f ca="1">SUMIFS(OUT!$F$2:$F$11000,OUT!$H$2:$H$11000,H441,OUT!$D$2:$D$11000,"Out",OUT!$E$2:$E$11000,"Kitchen")</f>
        <v>992724</v>
      </c>
      <c r="P441" s="52">
        <f ca="1">SUMIFS(OUT!$F$2:$F$11000,OUT!$H$2:$H$11000,H441,OUT!$D$2:$D$11000,"Out",OUT!$E$2:$E$11000,"Loandry")</f>
        <v>41600</v>
      </c>
      <c r="Q441" s="52">
        <f ca="1">SUMIFS(OUT!$F$2:$F$11000,OUT!$H$2:$H$11000,H441,OUT!$D$2:$D$11000,"Out",OUT!$E$2:$E$11000,"Mio")</f>
        <v>249000</v>
      </c>
      <c r="R441" s="52">
        <f ca="1">SUMIFS(OUT!$F$2:$F$11000,OUT!$H$2:$H$11000,H441,OUT!$D$2:$D$11000,"Out",OUT!$E$2:$E$11000,"Sedekah")</f>
        <v>129000</v>
      </c>
      <c r="S441" s="52">
        <f ca="1">SUMIFS(OUT!$F$2:$F$11000,OUT!$H$2:$H$11000,H441,OUT!$D$2:$D$11000,"Out",OUT!$E$2:$E$11000,"Zela")</f>
        <v>24100</v>
      </c>
      <c r="T441" s="52">
        <f ca="1">SUMIFS(OUT!$F$2:$F$11000,OUT!$H$2:$H$11000,H441,OUT!$D$2:$D$11000,"Out",OUT!$E$2:$E$11000,"Iqbal")</f>
        <v>121000</v>
      </c>
    </row>
    <row r="442" spans="1:20" x14ac:dyDescent="0.2">
      <c r="A442" s="48">
        <f ca="1">IFERROR(__xludf.DUMMYFUNCTION("""COMPUTED_VALUE"""),46061)</f>
        <v>46061</v>
      </c>
      <c r="B442" s="4" t="str">
        <f ca="1">IFERROR(__xludf.DUMMYFUNCTION("""COMPUTED_VALUE"""),"Dapur (minyak,jagung,tahu,daunsupcampur)")</f>
        <v>Dapur (minyak,jagung,tahu,daunsupcampur)</v>
      </c>
      <c r="C442" s="4" t="str">
        <f ca="1">IFERROR(__xludf.DUMMYFUNCTION("""COMPUTED_VALUE"""),"Cash")</f>
        <v>Cash</v>
      </c>
      <c r="D442" s="4" t="str">
        <f ca="1">IFERROR(__xludf.DUMMYFUNCTION("""COMPUTED_VALUE"""),"Out")</f>
        <v>Out</v>
      </c>
      <c r="E442" s="4" t="str">
        <f ca="1">IFERROR(__xludf.DUMMYFUNCTION("""COMPUTED_VALUE"""),"Kitchen")</f>
        <v>Kitchen</v>
      </c>
      <c r="F442" s="49">
        <f ca="1">IFERROR(__xludf.DUMMYFUNCTION("""COMPUTED_VALUE"""),35000)</f>
        <v>35000</v>
      </c>
      <c r="G442" s="50" t="str">
        <f ca="1">IFERROR(__xludf.DUMMYFUNCTION("""COMPUTED_VALUE"""),"Zela")</f>
        <v>Zela</v>
      </c>
      <c r="H442" s="51">
        <f t="shared" ca="1" si="0"/>
        <v>46054</v>
      </c>
      <c r="I442" s="52" t="e">
        <f ca="1">SUMIFS(OUT!$F$2:$F$11000,OUT!$H$2:$H$11000,H442,OUT!$D$2:$D$101007,"In")</f>
        <v>#VALUE!</v>
      </c>
      <c r="J442" s="52">
        <f ca="1">SUMIFS(OUT!$F$2:$F$11000,OUT!$H$2:$H$11000,H442,OUT!$D$2:$D$11000,"Out")</f>
        <v>6908733</v>
      </c>
      <c r="K442" s="52">
        <f ca="1">SUMIFS(OUT!$F$2:$F$11000,OUT!$H$2:$H$11000,H442,OUT!$D$2:$D$11000,"Out",OUT!$E$2:$E$11000,"Fix")</f>
        <v>2440568</v>
      </c>
      <c r="L442" s="52">
        <f ca="1">SUMIFS(OUT!$F$2:$F$11000,OUT!$H$2:$H$11000,H442,OUT!$D$2:$D$11000,"Out",OUT!$E$2:$E$11000,"Bathroom")</f>
        <v>34500</v>
      </c>
      <c r="M442" s="52">
        <f ca="1">SUMIFS(OUT!$F$2:$F$11000,OUT!$H$2:$H$11000,H442,OUT!$D$2:$D$11000,"Out",OUT!$E$2:$E$11000,"Alfa")</f>
        <v>293800</v>
      </c>
      <c r="N442" s="52" t="e">
        <f ca="1">SUMIFS(OUT!$F$2:$F$11000,OUT!$H$2:$H$101007,H442,OUT!$D$2:$D$11000,"Out",OUT!$E$2:$E$11000,"Jajan")</f>
        <v>#VALUE!</v>
      </c>
      <c r="O442" s="52">
        <f ca="1">SUMIFS(OUT!$F$2:$F$11000,OUT!$H$2:$H$11000,H442,OUT!$D$2:$D$11000,"Out",OUT!$E$2:$E$11000,"Kitchen")</f>
        <v>992724</v>
      </c>
      <c r="P442" s="52">
        <f ca="1">SUMIFS(OUT!$F$2:$F$11000,OUT!$H$2:$H$11000,H442,OUT!$D$2:$D$11000,"Out",OUT!$E$2:$E$11000,"Loandry")</f>
        <v>41600</v>
      </c>
      <c r="Q442" s="52">
        <f ca="1">SUMIFS(OUT!$F$2:$F$11000,OUT!$H$2:$H$11000,H442,OUT!$D$2:$D$11000,"Out",OUT!$E$2:$E$11000,"Mio")</f>
        <v>249000</v>
      </c>
      <c r="R442" s="52">
        <f ca="1">SUMIFS(OUT!$F$2:$F$11000,OUT!$H$2:$H$11000,H442,OUT!$D$2:$D$11000,"Out",OUT!$E$2:$E$11000,"Sedekah")</f>
        <v>129000</v>
      </c>
      <c r="S442" s="52">
        <f ca="1">SUMIFS(OUT!$F$2:$F$11000,OUT!$H$2:$H$11000,H442,OUT!$D$2:$D$11000,"Out",OUT!$E$2:$E$11000,"Zela")</f>
        <v>24100</v>
      </c>
      <c r="T442" s="52">
        <f ca="1">SUMIFS(OUT!$F$2:$F$11000,OUT!$H$2:$H$11000,H442,OUT!$D$2:$D$11000,"Out",OUT!$E$2:$E$11000,"Iqbal")</f>
        <v>121000</v>
      </c>
    </row>
    <row r="443" spans="1:20" x14ac:dyDescent="0.2">
      <c r="A443" s="48">
        <f ca="1">IFERROR(__xludf.DUMMYFUNCTION("""COMPUTED_VALUE"""),46061)</f>
        <v>46061</v>
      </c>
      <c r="B443" s="4" t="str">
        <f ca="1">IFERROR(__xludf.DUMMYFUNCTION("""COMPUTED_VALUE"""),"TarikTunai")</f>
        <v>TarikTunai</v>
      </c>
      <c r="C443" s="4" t="str">
        <f ca="1">IFERROR(__xludf.DUMMYFUNCTION("""COMPUTED_VALUE"""),"ATM")</f>
        <v>ATM</v>
      </c>
      <c r="D443" s="4" t="str">
        <f ca="1">IFERROR(__xludf.DUMMYFUNCTION("""COMPUTED_VALUE"""),"Move")</f>
        <v>Move</v>
      </c>
      <c r="E443" s="4" t="str">
        <f ca="1">IFERROR(__xludf.DUMMYFUNCTION("""COMPUTED_VALUE"""),"Move")</f>
        <v>Move</v>
      </c>
      <c r="F443" s="49">
        <f ca="1">IFERROR(__xludf.DUMMYFUNCTION("""COMPUTED_VALUE"""),100000)</f>
        <v>100000</v>
      </c>
      <c r="G443" s="50" t="str">
        <f ca="1">IFERROR(__xludf.DUMMYFUNCTION("""COMPUTED_VALUE"""),"Zela")</f>
        <v>Zela</v>
      </c>
      <c r="H443" s="51">
        <f t="shared" ca="1" si="0"/>
        <v>46054</v>
      </c>
      <c r="I443" s="52" t="e">
        <f ca="1">SUMIFS(OUT!$F$2:$F$11000,OUT!$H$2:$H$11000,H443,OUT!$D$2:$D$101007,"In")</f>
        <v>#VALUE!</v>
      </c>
      <c r="J443" s="52">
        <f ca="1">SUMIFS(OUT!$F$2:$F$11000,OUT!$H$2:$H$11000,H443,OUT!$D$2:$D$11000,"Out")</f>
        <v>6908733</v>
      </c>
      <c r="K443" s="52">
        <f ca="1">SUMIFS(OUT!$F$2:$F$11000,OUT!$H$2:$H$11000,H443,OUT!$D$2:$D$11000,"Out",OUT!$E$2:$E$11000,"Fix")</f>
        <v>2440568</v>
      </c>
      <c r="L443" s="52">
        <f ca="1">SUMIFS(OUT!$F$2:$F$11000,OUT!$H$2:$H$11000,H443,OUT!$D$2:$D$11000,"Out",OUT!$E$2:$E$11000,"Bathroom")</f>
        <v>34500</v>
      </c>
      <c r="M443" s="52">
        <f ca="1">SUMIFS(OUT!$F$2:$F$11000,OUT!$H$2:$H$11000,H443,OUT!$D$2:$D$11000,"Out",OUT!$E$2:$E$11000,"Alfa")</f>
        <v>293800</v>
      </c>
      <c r="N443" s="52" t="e">
        <f ca="1">SUMIFS(OUT!$F$2:$F$11000,OUT!$H$2:$H$101007,H443,OUT!$D$2:$D$11000,"Out",OUT!$E$2:$E$11000,"Jajan")</f>
        <v>#VALUE!</v>
      </c>
      <c r="O443" s="52">
        <f ca="1">SUMIFS(OUT!$F$2:$F$11000,OUT!$H$2:$H$11000,H443,OUT!$D$2:$D$11000,"Out",OUT!$E$2:$E$11000,"Kitchen")</f>
        <v>992724</v>
      </c>
      <c r="P443" s="52">
        <f ca="1">SUMIFS(OUT!$F$2:$F$11000,OUT!$H$2:$H$11000,H443,OUT!$D$2:$D$11000,"Out",OUT!$E$2:$E$11000,"Loandry")</f>
        <v>41600</v>
      </c>
      <c r="Q443" s="52">
        <f ca="1">SUMIFS(OUT!$F$2:$F$11000,OUT!$H$2:$H$11000,H443,OUT!$D$2:$D$11000,"Out",OUT!$E$2:$E$11000,"Mio")</f>
        <v>249000</v>
      </c>
      <c r="R443" s="52">
        <f ca="1">SUMIFS(OUT!$F$2:$F$11000,OUT!$H$2:$H$11000,H443,OUT!$D$2:$D$11000,"Out",OUT!$E$2:$E$11000,"Sedekah")</f>
        <v>129000</v>
      </c>
      <c r="S443" s="52">
        <f ca="1">SUMIFS(OUT!$F$2:$F$11000,OUT!$H$2:$H$11000,H443,OUT!$D$2:$D$11000,"Out",OUT!$E$2:$E$11000,"Zela")</f>
        <v>24100</v>
      </c>
      <c r="T443" s="52">
        <f ca="1">SUMIFS(OUT!$F$2:$F$11000,OUT!$H$2:$H$11000,H443,OUT!$D$2:$D$11000,"Out",OUT!$E$2:$E$11000,"Iqbal")</f>
        <v>121000</v>
      </c>
    </row>
    <row r="444" spans="1:20" x14ac:dyDescent="0.2">
      <c r="A444" s="48">
        <f ca="1">IFERROR(__xludf.DUMMYFUNCTION("""COMPUTED_VALUE"""),46061)</f>
        <v>46061</v>
      </c>
      <c r="B444" s="4" t="str">
        <f ca="1">IFERROR(__xludf.DUMMYFUNCTION("""COMPUTED_VALUE"""),"terima tunai")</f>
        <v>terima tunai</v>
      </c>
      <c r="C444" s="4" t="str">
        <f ca="1">IFERROR(__xludf.DUMMYFUNCTION("""COMPUTED_VALUE"""),"Cash")</f>
        <v>Cash</v>
      </c>
      <c r="D444" s="4" t="str">
        <f ca="1">IFERROR(__xludf.DUMMYFUNCTION("""COMPUTED_VALUE"""),"Move")</f>
        <v>Move</v>
      </c>
      <c r="E444" s="4" t="str">
        <f ca="1">IFERROR(__xludf.DUMMYFUNCTION("""COMPUTED_VALUE"""),"Move")</f>
        <v>Move</v>
      </c>
      <c r="F444" s="49">
        <f ca="1">IFERROR(__xludf.DUMMYFUNCTION("""COMPUTED_VALUE"""),100000)</f>
        <v>100000</v>
      </c>
      <c r="G444" s="50" t="str">
        <f ca="1">IFERROR(__xludf.DUMMYFUNCTION("""COMPUTED_VALUE"""),"Zela")</f>
        <v>Zela</v>
      </c>
      <c r="H444" s="51">
        <f t="shared" ca="1" si="0"/>
        <v>46054</v>
      </c>
      <c r="I444" s="52" t="e">
        <f ca="1">SUMIFS(OUT!$F$2:$F$11000,OUT!$H$2:$H$11000,H444,OUT!$D$2:$D$101007,"In")</f>
        <v>#VALUE!</v>
      </c>
      <c r="J444" s="52">
        <f ca="1">SUMIFS(OUT!$F$2:$F$11000,OUT!$H$2:$H$11000,H444,OUT!$D$2:$D$11000,"Out")</f>
        <v>6908733</v>
      </c>
      <c r="K444" s="52">
        <f ca="1">SUMIFS(OUT!$F$2:$F$11000,OUT!$H$2:$H$11000,H444,OUT!$D$2:$D$11000,"Out",OUT!$E$2:$E$11000,"Fix")</f>
        <v>2440568</v>
      </c>
      <c r="L444" s="52">
        <f ca="1">SUMIFS(OUT!$F$2:$F$11000,OUT!$H$2:$H$11000,H444,OUT!$D$2:$D$11000,"Out",OUT!$E$2:$E$11000,"Bathroom")</f>
        <v>34500</v>
      </c>
      <c r="M444" s="52">
        <f ca="1">SUMIFS(OUT!$F$2:$F$11000,OUT!$H$2:$H$11000,H444,OUT!$D$2:$D$11000,"Out",OUT!$E$2:$E$11000,"Alfa")</f>
        <v>293800</v>
      </c>
      <c r="N444" s="52" t="e">
        <f ca="1">SUMIFS(OUT!$F$2:$F$11000,OUT!$H$2:$H$101007,H444,OUT!$D$2:$D$11000,"Out",OUT!$E$2:$E$11000,"Jajan")</f>
        <v>#VALUE!</v>
      </c>
      <c r="O444" s="52">
        <f ca="1">SUMIFS(OUT!$F$2:$F$11000,OUT!$H$2:$H$11000,H444,OUT!$D$2:$D$11000,"Out",OUT!$E$2:$E$11000,"Kitchen")</f>
        <v>992724</v>
      </c>
      <c r="P444" s="52">
        <f ca="1">SUMIFS(OUT!$F$2:$F$11000,OUT!$H$2:$H$11000,H444,OUT!$D$2:$D$11000,"Out",OUT!$E$2:$E$11000,"Loandry")</f>
        <v>41600</v>
      </c>
      <c r="Q444" s="52">
        <f ca="1">SUMIFS(OUT!$F$2:$F$11000,OUT!$H$2:$H$11000,H444,OUT!$D$2:$D$11000,"Out",OUT!$E$2:$E$11000,"Mio")</f>
        <v>249000</v>
      </c>
      <c r="R444" s="52">
        <f ca="1">SUMIFS(OUT!$F$2:$F$11000,OUT!$H$2:$H$11000,H444,OUT!$D$2:$D$11000,"Out",OUT!$E$2:$E$11000,"Sedekah")</f>
        <v>129000</v>
      </c>
      <c r="S444" s="52">
        <f ca="1">SUMIFS(OUT!$F$2:$F$11000,OUT!$H$2:$H$11000,H444,OUT!$D$2:$D$11000,"Out",OUT!$E$2:$E$11000,"Zela")</f>
        <v>24100</v>
      </c>
      <c r="T444" s="52">
        <f ca="1">SUMIFS(OUT!$F$2:$F$11000,OUT!$H$2:$H$11000,H444,OUT!$D$2:$D$11000,"Out",OUT!$E$2:$E$11000,"Iqbal")</f>
        <v>121000</v>
      </c>
    </row>
    <row r="445" spans="1:20" x14ac:dyDescent="0.2">
      <c r="A445" s="48">
        <f ca="1">IFERROR(__xludf.DUMMYFUNCTION("""COMPUTED_VALUE"""),46061)</f>
        <v>46061</v>
      </c>
      <c r="B445" s="4" t="str">
        <f ca="1">IFERROR(__xludf.DUMMYFUNCTION("""COMPUTED_VALUE"""),"sarapan lotek 2+batagor")</f>
        <v>sarapan lotek 2+batagor</v>
      </c>
      <c r="C445" s="4" t="str">
        <f ca="1">IFERROR(__xludf.DUMMYFUNCTION("""COMPUTED_VALUE"""),"Cash")</f>
        <v>Cash</v>
      </c>
      <c r="D445" s="4" t="str">
        <f ca="1">IFERROR(__xludf.DUMMYFUNCTION("""COMPUTED_VALUE"""),"Out")</f>
        <v>Out</v>
      </c>
      <c r="E445" s="4" t="str">
        <f ca="1">IFERROR(__xludf.DUMMYFUNCTION("""COMPUTED_VALUE"""),"Jajan")</f>
        <v>Jajan</v>
      </c>
      <c r="F445" s="49">
        <f ca="1">IFERROR(__xludf.DUMMYFUNCTION("""COMPUTED_VALUE"""),20000)</f>
        <v>20000</v>
      </c>
      <c r="G445" s="50" t="str">
        <f ca="1">IFERROR(__xludf.DUMMYFUNCTION("""COMPUTED_VALUE"""),"Zela")</f>
        <v>Zela</v>
      </c>
      <c r="H445" s="51">
        <f t="shared" ca="1" si="0"/>
        <v>46054</v>
      </c>
      <c r="I445" s="52" t="e">
        <f ca="1">SUMIFS(OUT!$F$2:$F$11000,OUT!$H$2:$H$11000,H445,OUT!$D$2:$D$101007,"In")</f>
        <v>#VALUE!</v>
      </c>
      <c r="J445" s="52">
        <f ca="1">SUMIFS(OUT!$F$2:$F$11000,OUT!$H$2:$H$11000,H445,OUT!$D$2:$D$11000,"Out")</f>
        <v>6908733</v>
      </c>
      <c r="K445" s="52">
        <f ca="1">SUMIFS(OUT!$F$2:$F$11000,OUT!$H$2:$H$11000,H445,OUT!$D$2:$D$11000,"Out",OUT!$E$2:$E$11000,"Fix")</f>
        <v>2440568</v>
      </c>
      <c r="L445" s="52">
        <f ca="1">SUMIFS(OUT!$F$2:$F$11000,OUT!$H$2:$H$11000,H445,OUT!$D$2:$D$11000,"Out",OUT!$E$2:$E$11000,"Bathroom")</f>
        <v>34500</v>
      </c>
      <c r="M445" s="52">
        <f ca="1">SUMIFS(OUT!$F$2:$F$11000,OUT!$H$2:$H$11000,H445,OUT!$D$2:$D$11000,"Out",OUT!$E$2:$E$11000,"Alfa")</f>
        <v>293800</v>
      </c>
      <c r="N445" s="52" t="e">
        <f ca="1">SUMIFS(OUT!$F$2:$F$11000,OUT!$H$2:$H$101007,H445,OUT!$D$2:$D$11000,"Out",OUT!$E$2:$E$11000,"Jajan")</f>
        <v>#VALUE!</v>
      </c>
      <c r="O445" s="52">
        <f ca="1">SUMIFS(OUT!$F$2:$F$11000,OUT!$H$2:$H$11000,H445,OUT!$D$2:$D$11000,"Out",OUT!$E$2:$E$11000,"Kitchen")</f>
        <v>992724</v>
      </c>
      <c r="P445" s="52">
        <f ca="1">SUMIFS(OUT!$F$2:$F$11000,OUT!$H$2:$H$11000,H445,OUT!$D$2:$D$11000,"Out",OUT!$E$2:$E$11000,"Loandry")</f>
        <v>41600</v>
      </c>
      <c r="Q445" s="52">
        <f ca="1">SUMIFS(OUT!$F$2:$F$11000,OUT!$H$2:$H$11000,H445,OUT!$D$2:$D$11000,"Out",OUT!$E$2:$E$11000,"Mio")</f>
        <v>249000</v>
      </c>
      <c r="R445" s="52">
        <f ca="1">SUMIFS(OUT!$F$2:$F$11000,OUT!$H$2:$H$11000,H445,OUT!$D$2:$D$11000,"Out",OUT!$E$2:$E$11000,"Sedekah")</f>
        <v>129000</v>
      </c>
      <c r="S445" s="52">
        <f ca="1">SUMIFS(OUT!$F$2:$F$11000,OUT!$H$2:$H$11000,H445,OUT!$D$2:$D$11000,"Out",OUT!$E$2:$E$11000,"Zela")</f>
        <v>24100</v>
      </c>
      <c r="T445" s="52">
        <f ca="1">SUMIFS(OUT!$F$2:$F$11000,OUT!$H$2:$H$11000,H445,OUT!$D$2:$D$11000,"Out",OUT!$E$2:$E$11000,"Iqbal")</f>
        <v>121000</v>
      </c>
    </row>
    <row r="446" spans="1:20" x14ac:dyDescent="0.2">
      <c r="A446" s="48">
        <f ca="1">IFERROR(__xludf.DUMMYFUNCTION("""COMPUTED_VALUE"""),46061)</f>
        <v>46061</v>
      </c>
      <c r="B446" s="4" t="str">
        <f ca="1">IFERROR(__xludf.DUMMYFUNCTION("""COMPUTED_VALUE"""),"Ayam pnyet 2")</f>
        <v>Ayam pnyet 2</v>
      </c>
      <c r="C446" s="4" t="str">
        <f ca="1">IFERROR(__xludf.DUMMYFUNCTION("""COMPUTED_VALUE"""),"Cash")</f>
        <v>Cash</v>
      </c>
      <c r="D446" s="4" t="str">
        <f ca="1">IFERROR(__xludf.DUMMYFUNCTION("""COMPUTED_VALUE"""),"Out")</f>
        <v>Out</v>
      </c>
      <c r="E446" s="4" t="str">
        <f ca="1">IFERROR(__xludf.DUMMYFUNCTION("""COMPUTED_VALUE"""),"Jajan")</f>
        <v>Jajan</v>
      </c>
      <c r="F446" s="49">
        <f ca="1">IFERROR(__xludf.DUMMYFUNCTION("""COMPUTED_VALUE"""),32000)</f>
        <v>32000</v>
      </c>
      <c r="G446" s="50" t="str">
        <f ca="1">IFERROR(__xludf.DUMMYFUNCTION("""COMPUTED_VALUE"""),"Zela")</f>
        <v>Zela</v>
      </c>
      <c r="H446" s="51">
        <f t="shared" ca="1" si="0"/>
        <v>46054</v>
      </c>
      <c r="I446" s="52" t="e">
        <f ca="1">SUMIFS(OUT!$F$2:$F$11000,OUT!$H$2:$H$11000,H446,OUT!$D$2:$D$101007,"In")</f>
        <v>#VALUE!</v>
      </c>
      <c r="J446" s="52">
        <f ca="1">SUMIFS(OUT!$F$2:$F$11000,OUT!$H$2:$H$11000,H446,OUT!$D$2:$D$11000,"Out")</f>
        <v>6908733</v>
      </c>
      <c r="K446" s="52">
        <f ca="1">SUMIFS(OUT!$F$2:$F$11000,OUT!$H$2:$H$11000,H446,OUT!$D$2:$D$11000,"Out",OUT!$E$2:$E$11000,"Fix")</f>
        <v>2440568</v>
      </c>
      <c r="L446" s="52">
        <f ca="1">SUMIFS(OUT!$F$2:$F$11000,OUT!$H$2:$H$11000,H446,OUT!$D$2:$D$11000,"Out",OUT!$E$2:$E$11000,"Bathroom")</f>
        <v>34500</v>
      </c>
      <c r="M446" s="52">
        <f ca="1">SUMIFS(OUT!$F$2:$F$11000,OUT!$H$2:$H$11000,H446,OUT!$D$2:$D$11000,"Out",OUT!$E$2:$E$11000,"Alfa")</f>
        <v>293800</v>
      </c>
      <c r="N446" s="52" t="e">
        <f ca="1">SUMIFS(OUT!$F$2:$F$11000,OUT!$H$2:$H$101007,H446,OUT!$D$2:$D$11000,"Out",OUT!$E$2:$E$11000,"Jajan")</f>
        <v>#VALUE!</v>
      </c>
      <c r="O446" s="52">
        <f ca="1">SUMIFS(OUT!$F$2:$F$11000,OUT!$H$2:$H$11000,H446,OUT!$D$2:$D$11000,"Out",OUT!$E$2:$E$11000,"Kitchen")</f>
        <v>992724</v>
      </c>
      <c r="P446" s="52">
        <f ca="1">SUMIFS(OUT!$F$2:$F$11000,OUT!$H$2:$H$11000,H446,OUT!$D$2:$D$11000,"Out",OUT!$E$2:$E$11000,"Loandry")</f>
        <v>41600</v>
      </c>
      <c r="Q446" s="52">
        <f ca="1">SUMIFS(OUT!$F$2:$F$11000,OUT!$H$2:$H$11000,H446,OUT!$D$2:$D$11000,"Out",OUT!$E$2:$E$11000,"Mio")</f>
        <v>249000</v>
      </c>
      <c r="R446" s="52">
        <f ca="1">SUMIFS(OUT!$F$2:$F$11000,OUT!$H$2:$H$11000,H446,OUT!$D$2:$D$11000,"Out",OUT!$E$2:$E$11000,"Sedekah")</f>
        <v>129000</v>
      </c>
      <c r="S446" s="52">
        <f ca="1">SUMIFS(OUT!$F$2:$F$11000,OUT!$H$2:$H$11000,H446,OUT!$D$2:$D$11000,"Out",OUT!$E$2:$E$11000,"Zela")</f>
        <v>24100</v>
      </c>
      <c r="T446" s="52">
        <f ca="1">SUMIFS(OUT!$F$2:$F$11000,OUT!$H$2:$H$11000,H446,OUT!$D$2:$D$11000,"Out",OUT!$E$2:$E$11000,"Iqbal")</f>
        <v>121000</v>
      </c>
    </row>
    <row r="447" spans="1:20" x14ac:dyDescent="0.2">
      <c r="A447" s="48">
        <f ca="1">IFERROR(__xludf.DUMMYFUNCTION("""COMPUTED_VALUE"""),46061)</f>
        <v>46061</v>
      </c>
      <c r="B447" s="4" t="str">
        <f ca="1">IFERROR(__xludf.DUMMYFUNCTION("""COMPUTED_VALUE"""),"Tarik Tunai")</f>
        <v>Tarik Tunai</v>
      </c>
      <c r="C447" s="4" t="str">
        <f ca="1">IFERROR(__xludf.DUMMYFUNCTION("""COMPUTED_VALUE"""),"ATM")</f>
        <v>ATM</v>
      </c>
      <c r="D447" s="4" t="str">
        <f ca="1">IFERROR(__xludf.DUMMYFUNCTION("""COMPUTED_VALUE"""),"Move")</f>
        <v>Move</v>
      </c>
      <c r="E447" s="4" t="str">
        <f ca="1">IFERROR(__xludf.DUMMYFUNCTION("""COMPUTED_VALUE"""),"Move")</f>
        <v>Move</v>
      </c>
      <c r="F447" s="49">
        <f ca="1">IFERROR(__xludf.DUMMYFUNCTION("""COMPUTED_VALUE"""),50000)</f>
        <v>50000</v>
      </c>
      <c r="G447" s="50" t="str">
        <f ca="1">IFERROR(__xludf.DUMMYFUNCTION("""COMPUTED_VALUE"""),"Zela")</f>
        <v>Zela</v>
      </c>
      <c r="H447" s="51">
        <f t="shared" ca="1" si="0"/>
        <v>46054</v>
      </c>
      <c r="I447" s="52" t="e">
        <f ca="1">SUMIFS(OUT!$F$2:$F$11000,OUT!$H$2:$H$11000,H447,OUT!$D$2:$D$101007,"In")</f>
        <v>#VALUE!</v>
      </c>
      <c r="J447" s="52">
        <f ca="1">SUMIFS(OUT!$F$2:$F$11000,OUT!$H$2:$H$11000,H447,OUT!$D$2:$D$11000,"Out")</f>
        <v>6908733</v>
      </c>
      <c r="K447" s="52">
        <f ca="1">SUMIFS(OUT!$F$2:$F$11000,OUT!$H$2:$H$11000,H447,OUT!$D$2:$D$11000,"Out",OUT!$E$2:$E$11000,"Fix")</f>
        <v>2440568</v>
      </c>
      <c r="L447" s="52">
        <f ca="1">SUMIFS(OUT!$F$2:$F$11000,OUT!$H$2:$H$11000,H447,OUT!$D$2:$D$11000,"Out",OUT!$E$2:$E$11000,"Bathroom")</f>
        <v>34500</v>
      </c>
      <c r="M447" s="52">
        <f ca="1">SUMIFS(OUT!$F$2:$F$11000,OUT!$H$2:$H$11000,H447,OUT!$D$2:$D$11000,"Out",OUT!$E$2:$E$11000,"Alfa")</f>
        <v>293800</v>
      </c>
      <c r="N447" s="52" t="e">
        <f ca="1">SUMIFS(OUT!$F$2:$F$11000,OUT!$H$2:$H$101007,H447,OUT!$D$2:$D$11000,"Out",OUT!$E$2:$E$11000,"Jajan")</f>
        <v>#VALUE!</v>
      </c>
      <c r="O447" s="52">
        <f ca="1">SUMIFS(OUT!$F$2:$F$11000,OUT!$H$2:$H$11000,H447,OUT!$D$2:$D$11000,"Out",OUT!$E$2:$E$11000,"Kitchen")</f>
        <v>992724</v>
      </c>
      <c r="P447" s="52">
        <f ca="1">SUMIFS(OUT!$F$2:$F$11000,OUT!$H$2:$H$11000,H447,OUT!$D$2:$D$11000,"Out",OUT!$E$2:$E$11000,"Loandry")</f>
        <v>41600</v>
      </c>
      <c r="Q447" s="52">
        <f ca="1">SUMIFS(OUT!$F$2:$F$11000,OUT!$H$2:$H$11000,H447,OUT!$D$2:$D$11000,"Out",OUT!$E$2:$E$11000,"Mio")</f>
        <v>249000</v>
      </c>
      <c r="R447" s="52">
        <f ca="1">SUMIFS(OUT!$F$2:$F$11000,OUT!$H$2:$H$11000,H447,OUT!$D$2:$D$11000,"Out",OUT!$E$2:$E$11000,"Sedekah")</f>
        <v>129000</v>
      </c>
      <c r="S447" s="52">
        <f ca="1">SUMIFS(OUT!$F$2:$F$11000,OUT!$H$2:$H$11000,H447,OUT!$D$2:$D$11000,"Out",OUT!$E$2:$E$11000,"Zela")</f>
        <v>24100</v>
      </c>
      <c r="T447" s="52">
        <f ca="1">SUMIFS(OUT!$F$2:$F$11000,OUT!$H$2:$H$11000,H447,OUT!$D$2:$D$11000,"Out",OUT!$E$2:$E$11000,"Iqbal")</f>
        <v>121000</v>
      </c>
    </row>
    <row r="448" spans="1:20" x14ac:dyDescent="0.2">
      <c r="A448" s="48">
        <f ca="1">IFERROR(__xludf.DUMMYFUNCTION("""COMPUTED_VALUE"""),46061)</f>
        <v>46061</v>
      </c>
      <c r="B448" s="4" t="str">
        <f ca="1">IFERROR(__xludf.DUMMYFUNCTION("""COMPUTED_VALUE"""),"Terima Tunai")</f>
        <v>Terima Tunai</v>
      </c>
      <c r="C448" s="4" t="str">
        <f ca="1">IFERROR(__xludf.DUMMYFUNCTION("""COMPUTED_VALUE"""),"Cash")</f>
        <v>Cash</v>
      </c>
      <c r="D448" s="4" t="str">
        <f ca="1">IFERROR(__xludf.DUMMYFUNCTION("""COMPUTED_VALUE"""),"Move")</f>
        <v>Move</v>
      </c>
      <c r="E448" s="4" t="str">
        <f ca="1">IFERROR(__xludf.DUMMYFUNCTION("""COMPUTED_VALUE"""),"Move")</f>
        <v>Move</v>
      </c>
      <c r="F448" s="49">
        <f ca="1">IFERROR(__xludf.DUMMYFUNCTION("""COMPUTED_VALUE"""),50000)</f>
        <v>50000</v>
      </c>
      <c r="G448" s="50" t="str">
        <f ca="1">IFERROR(__xludf.DUMMYFUNCTION("""COMPUTED_VALUE"""),"Zela")</f>
        <v>Zela</v>
      </c>
      <c r="H448" s="51">
        <f t="shared" ca="1" si="0"/>
        <v>46054</v>
      </c>
      <c r="I448" s="52" t="e">
        <f ca="1">SUMIFS(OUT!$F$2:$F$11000,OUT!$H$2:$H$11000,H448,OUT!$D$2:$D$101007,"In")</f>
        <v>#VALUE!</v>
      </c>
      <c r="J448" s="52">
        <f ca="1">SUMIFS(OUT!$F$2:$F$11000,OUT!$H$2:$H$11000,H448,OUT!$D$2:$D$11000,"Out")</f>
        <v>6908733</v>
      </c>
      <c r="K448" s="52">
        <f ca="1">SUMIFS(OUT!$F$2:$F$11000,OUT!$H$2:$H$11000,H448,OUT!$D$2:$D$11000,"Out",OUT!$E$2:$E$11000,"Fix")</f>
        <v>2440568</v>
      </c>
      <c r="L448" s="52">
        <f ca="1">SUMIFS(OUT!$F$2:$F$11000,OUT!$H$2:$H$11000,H448,OUT!$D$2:$D$11000,"Out",OUT!$E$2:$E$11000,"Bathroom")</f>
        <v>34500</v>
      </c>
      <c r="M448" s="52">
        <f ca="1">SUMIFS(OUT!$F$2:$F$11000,OUT!$H$2:$H$11000,H448,OUT!$D$2:$D$11000,"Out",OUT!$E$2:$E$11000,"Alfa")</f>
        <v>293800</v>
      </c>
      <c r="N448" s="52" t="e">
        <f ca="1">SUMIFS(OUT!$F$2:$F$11000,OUT!$H$2:$H$101007,H448,OUT!$D$2:$D$11000,"Out",OUT!$E$2:$E$11000,"Jajan")</f>
        <v>#VALUE!</v>
      </c>
      <c r="O448" s="52">
        <f ca="1">SUMIFS(OUT!$F$2:$F$11000,OUT!$H$2:$H$11000,H448,OUT!$D$2:$D$11000,"Out",OUT!$E$2:$E$11000,"Kitchen")</f>
        <v>992724</v>
      </c>
      <c r="P448" s="52">
        <f ca="1">SUMIFS(OUT!$F$2:$F$11000,OUT!$H$2:$H$11000,H448,OUT!$D$2:$D$11000,"Out",OUT!$E$2:$E$11000,"Loandry")</f>
        <v>41600</v>
      </c>
      <c r="Q448" s="52">
        <f ca="1">SUMIFS(OUT!$F$2:$F$11000,OUT!$H$2:$H$11000,H448,OUT!$D$2:$D$11000,"Out",OUT!$E$2:$E$11000,"Mio")</f>
        <v>249000</v>
      </c>
      <c r="R448" s="52">
        <f ca="1">SUMIFS(OUT!$F$2:$F$11000,OUT!$H$2:$H$11000,H448,OUT!$D$2:$D$11000,"Out",OUT!$E$2:$E$11000,"Sedekah")</f>
        <v>129000</v>
      </c>
      <c r="S448" s="52">
        <f ca="1">SUMIFS(OUT!$F$2:$F$11000,OUT!$H$2:$H$11000,H448,OUT!$D$2:$D$11000,"Out",OUT!$E$2:$E$11000,"Zela")</f>
        <v>24100</v>
      </c>
      <c r="T448" s="52">
        <f ca="1">SUMIFS(OUT!$F$2:$F$11000,OUT!$H$2:$H$11000,H448,OUT!$D$2:$D$11000,"Out",OUT!$E$2:$E$11000,"Iqbal")</f>
        <v>121000</v>
      </c>
    </row>
    <row r="449" spans="1:20" x14ac:dyDescent="0.2">
      <c r="A449" s="48">
        <f ca="1">IFERROR(__xludf.DUMMYFUNCTION("""COMPUTED_VALUE"""),46061)</f>
        <v>46061</v>
      </c>
      <c r="B449" s="4" t="str">
        <f ca="1">IFERROR(__xludf.DUMMYFUNCTION("""COMPUTED_VALUE"""),"Piscok")</f>
        <v>Piscok</v>
      </c>
      <c r="C449" s="4" t="str">
        <f ca="1">IFERROR(__xludf.DUMMYFUNCTION("""COMPUTED_VALUE"""),"Cash")</f>
        <v>Cash</v>
      </c>
      <c r="D449" s="4" t="str">
        <f ca="1">IFERROR(__xludf.DUMMYFUNCTION("""COMPUTED_VALUE"""),"Out")</f>
        <v>Out</v>
      </c>
      <c r="E449" s="4" t="str">
        <f ca="1">IFERROR(__xludf.DUMMYFUNCTION("""COMPUTED_VALUE"""),"Jajan")</f>
        <v>Jajan</v>
      </c>
      <c r="F449" s="49">
        <f ca="1">IFERROR(__xludf.DUMMYFUNCTION("""COMPUTED_VALUE"""),16000)</f>
        <v>16000</v>
      </c>
      <c r="G449" s="50" t="str">
        <f ca="1">IFERROR(__xludf.DUMMYFUNCTION("""COMPUTED_VALUE"""),"Zela")</f>
        <v>Zela</v>
      </c>
      <c r="H449" s="51">
        <f t="shared" ca="1" si="0"/>
        <v>46054</v>
      </c>
      <c r="I449" s="52" t="e">
        <f ca="1">SUMIFS(OUT!$F$2:$F$11000,OUT!$H$2:$H$11000,H449,OUT!$D$2:$D$101007,"In")</f>
        <v>#VALUE!</v>
      </c>
      <c r="J449" s="52">
        <f ca="1">SUMIFS(OUT!$F$2:$F$11000,OUT!$H$2:$H$11000,H449,OUT!$D$2:$D$11000,"Out")</f>
        <v>6908733</v>
      </c>
      <c r="K449" s="52">
        <f ca="1">SUMIFS(OUT!$F$2:$F$11000,OUT!$H$2:$H$11000,H449,OUT!$D$2:$D$11000,"Out",OUT!$E$2:$E$11000,"Fix")</f>
        <v>2440568</v>
      </c>
      <c r="L449" s="52">
        <f ca="1">SUMIFS(OUT!$F$2:$F$11000,OUT!$H$2:$H$11000,H449,OUT!$D$2:$D$11000,"Out",OUT!$E$2:$E$11000,"Bathroom")</f>
        <v>34500</v>
      </c>
      <c r="M449" s="52">
        <f ca="1">SUMIFS(OUT!$F$2:$F$11000,OUT!$H$2:$H$11000,H449,OUT!$D$2:$D$11000,"Out",OUT!$E$2:$E$11000,"Alfa")</f>
        <v>293800</v>
      </c>
      <c r="N449" s="52" t="e">
        <f ca="1">SUMIFS(OUT!$F$2:$F$11000,OUT!$H$2:$H$101007,H449,OUT!$D$2:$D$11000,"Out",OUT!$E$2:$E$11000,"Jajan")</f>
        <v>#VALUE!</v>
      </c>
      <c r="O449" s="52">
        <f ca="1">SUMIFS(OUT!$F$2:$F$11000,OUT!$H$2:$H$11000,H449,OUT!$D$2:$D$11000,"Out",OUT!$E$2:$E$11000,"Kitchen")</f>
        <v>992724</v>
      </c>
      <c r="P449" s="52">
        <f ca="1">SUMIFS(OUT!$F$2:$F$11000,OUT!$H$2:$H$11000,H449,OUT!$D$2:$D$11000,"Out",OUT!$E$2:$E$11000,"Loandry")</f>
        <v>41600</v>
      </c>
      <c r="Q449" s="52">
        <f ca="1">SUMIFS(OUT!$F$2:$F$11000,OUT!$H$2:$H$11000,H449,OUT!$D$2:$D$11000,"Out",OUT!$E$2:$E$11000,"Mio")</f>
        <v>249000</v>
      </c>
      <c r="R449" s="52">
        <f ca="1">SUMIFS(OUT!$F$2:$F$11000,OUT!$H$2:$H$11000,H449,OUT!$D$2:$D$11000,"Out",OUT!$E$2:$E$11000,"Sedekah")</f>
        <v>129000</v>
      </c>
      <c r="S449" s="52">
        <f ca="1">SUMIFS(OUT!$F$2:$F$11000,OUT!$H$2:$H$11000,H449,OUT!$D$2:$D$11000,"Out",OUT!$E$2:$E$11000,"Zela")</f>
        <v>24100</v>
      </c>
      <c r="T449" s="52">
        <f ca="1">SUMIFS(OUT!$F$2:$F$11000,OUT!$H$2:$H$11000,H449,OUT!$D$2:$D$11000,"Out",OUT!$E$2:$E$11000,"Iqbal")</f>
        <v>121000</v>
      </c>
    </row>
    <row r="450" spans="1:20" x14ac:dyDescent="0.2">
      <c r="A450" s="48">
        <f ca="1">IFERROR(__xludf.DUMMYFUNCTION("""COMPUTED_VALUE"""),46061)</f>
        <v>46061</v>
      </c>
      <c r="B450" s="4" t="str">
        <f ca="1">IFERROR(__xludf.DUMMYFUNCTION("""COMPUTED_VALUE"""),"Rokok")</f>
        <v>Rokok</v>
      </c>
      <c r="C450" s="4" t="str">
        <f ca="1">IFERROR(__xludf.DUMMYFUNCTION("""COMPUTED_VALUE"""),"Cash")</f>
        <v>Cash</v>
      </c>
      <c r="D450" s="4" t="str">
        <f ca="1">IFERROR(__xludf.DUMMYFUNCTION("""COMPUTED_VALUE"""),"Out")</f>
        <v>Out</v>
      </c>
      <c r="E450" s="4" t="str">
        <f ca="1">IFERROR(__xludf.DUMMYFUNCTION("""COMPUTED_VALUE"""),"Iqbal")</f>
        <v>Iqbal</v>
      </c>
      <c r="F450" s="49">
        <f ca="1">IFERROR(__xludf.DUMMYFUNCTION("""COMPUTED_VALUE"""),15000)</f>
        <v>15000</v>
      </c>
      <c r="G450" s="50" t="str">
        <f ca="1">IFERROR(__xludf.DUMMYFUNCTION("""COMPUTED_VALUE"""),"Zela")</f>
        <v>Zela</v>
      </c>
      <c r="H450" s="51">
        <f t="shared" ca="1" si="0"/>
        <v>46054</v>
      </c>
      <c r="I450" s="52" t="e">
        <f ca="1">SUMIFS(OUT!$F$2:$F$11000,OUT!$H$2:$H$11000,H450,OUT!$D$2:$D$101007,"In")</f>
        <v>#VALUE!</v>
      </c>
      <c r="J450" s="52">
        <f ca="1">SUMIFS(OUT!$F$2:$F$11000,OUT!$H$2:$H$11000,H450,OUT!$D$2:$D$11000,"Out")</f>
        <v>6908733</v>
      </c>
      <c r="K450" s="52">
        <f ca="1">SUMIFS(OUT!$F$2:$F$11000,OUT!$H$2:$H$11000,H450,OUT!$D$2:$D$11000,"Out",OUT!$E$2:$E$11000,"Fix")</f>
        <v>2440568</v>
      </c>
      <c r="L450" s="52">
        <f ca="1">SUMIFS(OUT!$F$2:$F$11000,OUT!$H$2:$H$11000,H450,OUT!$D$2:$D$11000,"Out",OUT!$E$2:$E$11000,"Bathroom")</f>
        <v>34500</v>
      </c>
      <c r="M450" s="52">
        <f ca="1">SUMIFS(OUT!$F$2:$F$11000,OUT!$H$2:$H$11000,H450,OUT!$D$2:$D$11000,"Out",OUT!$E$2:$E$11000,"Alfa")</f>
        <v>293800</v>
      </c>
      <c r="N450" s="52" t="e">
        <f ca="1">SUMIFS(OUT!$F$2:$F$11000,OUT!$H$2:$H$101007,H450,OUT!$D$2:$D$11000,"Out",OUT!$E$2:$E$11000,"Jajan")</f>
        <v>#VALUE!</v>
      </c>
      <c r="O450" s="52">
        <f ca="1">SUMIFS(OUT!$F$2:$F$11000,OUT!$H$2:$H$11000,H450,OUT!$D$2:$D$11000,"Out",OUT!$E$2:$E$11000,"Kitchen")</f>
        <v>992724</v>
      </c>
      <c r="P450" s="52">
        <f ca="1">SUMIFS(OUT!$F$2:$F$11000,OUT!$H$2:$H$11000,H450,OUT!$D$2:$D$11000,"Out",OUT!$E$2:$E$11000,"Loandry")</f>
        <v>41600</v>
      </c>
      <c r="Q450" s="52">
        <f ca="1">SUMIFS(OUT!$F$2:$F$11000,OUT!$H$2:$H$11000,H450,OUT!$D$2:$D$11000,"Out",OUT!$E$2:$E$11000,"Mio")</f>
        <v>249000</v>
      </c>
      <c r="R450" s="52">
        <f ca="1">SUMIFS(OUT!$F$2:$F$11000,OUT!$H$2:$H$11000,H450,OUT!$D$2:$D$11000,"Out",OUT!$E$2:$E$11000,"Sedekah")</f>
        <v>129000</v>
      </c>
      <c r="S450" s="52">
        <f ca="1">SUMIFS(OUT!$F$2:$F$11000,OUT!$H$2:$H$11000,H450,OUT!$D$2:$D$11000,"Out",OUT!$E$2:$E$11000,"Zela")</f>
        <v>24100</v>
      </c>
      <c r="T450" s="52">
        <f ca="1">SUMIFS(OUT!$F$2:$F$11000,OUT!$H$2:$H$11000,H450,OUT!$D$2:$D$11000,"Out",OUT!$E$2:$E$11000,"Iqbal")</f>
        <v>121000</v>
      </c>
    </row>
    <row r="451" spans="1:20" x14ac:dyDescent="0.2">
      <c r="A451" s="48">
        <f ca="1">IFERROR(__xludf.DUMMYFUNCTION("""COMPUTED_VALUE"""),46062)</f>
        <v>46062</v>
      </c>
      <c r="B451" s="4" t="str">
        <f ca="1">IFERROR(__xludf.DUMMYFUNCTION("""COMPUTED_VALUE"""),"Tarik Tunai")</f>
        <v>Tarik Tunai</v>
      </c>
      <c r="C451" s="4" t="str">
        <f ca="1">IFERROR(__xludf.DUMMYFUNCTION("""COMPUTED_VALUE"""),"ATM")</f>
        <v>ATM</v>
      </c>
      <c r="D451" s="4" t="str">
        <f ca="1">IFERROR(__xludf.DUMMYFUNCTION("""COMPUTED_VALUE"""),"Move")</f>
        <v>Move</v>
      </c>
      <c r="E451" s="4" t="str">
        <f ca="1">IFERROR(__xludf.DUMMYFUNCTION("""COMPUTED_VALUE"""),"Move")</f>
        <v>Move</v>
      </c>
      <c r="F451" s="49">
        <f ca="1">IFERROR(__xludf.DUMMYFUNCTION("""COMPUTED_VALUE"""),100000)</f>
        <v>100000</v>
      </c>
      <c r="G451" s="50" t="str">
        <f ca="1">IFERROR(__xludf.DUMMYFUNCTION("""COMPUTED_VALUE"""),"Zela")</f>
        <v>Zela</v>
      </c>
      <c r="H451" s="51">
        <f t="shared" ca="1" si="0"/>
        <v>46054</v>
      </c>
      <c r="I451" s="52" t="e">
        <f ca="1">SUMIFS(OUT!$F$2:$F$11000,OUT!$H$2:$H$11000,H451,OUT!$D$2:$D$101007,"In")</f>
        <v>#VALUE!</v>
      </c>
      <c r="J451" s="52">
        <f ca="1">SUMIFS(OUT!$F$2:$F$11000,OUT!$H$2:$H$11000,H451,OUT!$D$2:$D$11000,"Out")</f>
        <v>6908733</v>
      </c>
      <c r="K451" s="52">
        <f ca="1">SUMIFS(OUT!$F$2:$F$11000,OUT!$H$2:$H$11000,H451,OUT!$D$2:$D$11000,"Out",OUT!$E$2:$E$11000,"Fix")</f>
        <v>2440568</v>
      </c>
      <c r="L451" s="52">
        <f ca="1">SUMIFS(OUT!$F$2:$F$11000,OUT!$H$2:$H$11000,H451,OUT!$D$2:$D$11000,"Out",OUT!$E$2:$E$11000,"Bathroom")</f>
        <v>34500</v>
      </c>
      <c r="M451" s="52">
        <f ca="1">SUMIFS(OUT!$F$2:$F$11000,OUT!$H$2:$H$11000,H451,OUT!$D$2:$D$11000,"Out",OUT!$E$2:$E$11000,"Alfa")</f>
        <v>293800</v>
      </c>
      <c r="N451" s="52" t="e">
        <f ca="1">SUMIFS(OUT!$F$2:$F$11000,OUT!$H$2:$H$101007,H451,OUT!$D$2:$D$11000,"Out",OUT!$E$2:$E$11000,"Jajan")</f>
        <v>#VALUE!</v>
      </c>
      <c r="O451" s="52">
        <f ca="1">SUMIFS(OUT!$F$2:$F$11000,OUT!$H$2:$H$11000,H451,OUT!$D$2:$D$11000,"Out",OUT!$E$2:$E$11000,"Kitchen")</f>
        <v>992724</v>
      </c>
      <c r="P451" s="52">
        <f ca="1">SUMIFS(OUT!$F$2:$F$11000,OUT!$H$2:$H$11000,H451,OUT!$D$2:$D$11000,"Out",OUT!$E$2:$E$11000,"Loandry")</f>
        <v>41600</v>
      </c>
      <c r="Q451" s="52">
        <f ca="1">SUMIFS(OUT!$F$2:$F$11000,OUT!$H$2:$H$11000,H451,OUT!$D$2:$D$11000,"Out",OUT!$E$2:$E$11000,"Mio")</f>
        <v>249000</v>
      </c>
      <c r="R451" s="52">
        <f ca="1">SUMIFS(OUT!$F$2:$F$11000,OUT!$H$2:$H$11000,H451,OUT!$D$2:$D$11000,"Out",OUT!$E$2:$E$11000,"Sedekah")</f>
        <v>129000</v>
      </c>
      <c r="S451" s="52">
        <f ca="1">SUMIFS(OUT!$F$2:$F$11000,OUT!$H$2:$H$11000,H451,OUT!$D$2:$D$11000,"Out",OUT!$E$2:$E$11000,"Zela")</f>
        <v>24100</v>
      </c>
      <c r="T451" s="52">
        <f ca="1">SUMIFS(OUT!$F$2:$F$11000,OUT!$H$2:$H$11000,H451,OUT!$D$2:$D$11000,"Out",OUT!$E$2:$E$11000,"Iqbal")</f>
        <v>121000</v>
      </c>
    </row>
    <row r="452" spans="1:20" x14ac:dyDescent="0.2">
      <c r="A452" s="48">
        <f ca="1">IFERROR(__xludf.DUMMYFUNCTION("""COMPUTED_VALUE"""),46062)</f>
        <v>46062</v>
      </c>
      <c r="B452" s="4" t="str">
        <f ca="1">IFERROR(__xludf.DUMMYFUNCTION("""COMPUTED_VALUE"""),"Terima Tunai")</f>
        <v>Terima Tunai</v>
      </c>
      <c r="C452" s="4" t="str">
        <f ca="1">IFERROR(__xludf.DUMMYFUNCTION("""COMPUTED_VALUE"""),"Cash")</f>
        <v>Cash</v>
      </c>
      <c r="D452" s="4" t="str">
        <f ca="1">IFERROR(__xludf.DUMMYFUNCTION("""COMPUTED_VALUE"""),"Move")</f>
        <v>Move</v>
      </c>
      <c r="E452" s="4" t="str">
        <f ca="1">IFERROR(__xludf.DUMMYFUNCTION("""COMPUTED_VALUE"""),"Move")</f>
        <v>Move</v>
      </c>
      <c r="F452" s="49">
        <f ca="1">IFERROR(__xludf.DUMMYFUNCTION("""COMPUTED_VALUE"""),100000)</f>
        <v>100000</v>
      </c>
      <c r="G452" s="50" t="str">
        <f ca="1">IFERROR(__xludf.DUMMYFUNCTION("""COMPUTED_VALUE"""),"Zela")</f>
        <v>Zela</v>
      </c>
      <c r="H452" s="51">
        <f t="shared" ca="1" si="0"/>
        <v>46054</v>
      </c>
      <c r="I452" s="52" t="e">
        <f ca="1">SUMIFS(OUT!$F$2:$F$11000,OUT!$H$2:$H$11000,H452,OUT!$D$2:$D$101007,"In")</f>
        <v>#VALUE!</v>
      </c>
      <c r="J452" s="52">
        <f ca="1">SUMIFS(OUT!$F$2:$F$11000,OUT!$H$2:$H$11000,H452,OUT!$D$2:$D$11000,"Out")</f>
        <v>6908733</v>
      </c>
      <c r="K452" s="52">
        <f ca="1">SUMIFS(OUT!$F$2:$F$11000,OUT!$H$2:$H$11000,H452,OUT!$D$2:$D$11000,"Out",OUT!$E$2:$E$11000,"Fix")</f>
        <v>2440568</v>
      </c>
      <c r="L452" s="52">
        <f ca="1">SUMIFS(OUT!$F$2:$F$11000,OUT!$H$2:$H$11000,H452,OUT!$D$2:$D$11000,"Out",OUT!$E$2:$E$11000,"Bathroom")</f>
        <v>34500</v>
      </c>
      <c r="M452" s="52">
        <f ca="1">SUMIFS(OUT!$F$2:$F$11000,OUT!$H$2:$H$11000,H452,OUT!$D$2:$D$11000,"Out",OUT!$E$2:$E$11000,"Alfa")</f>
        <v>293800</v>
      </c>
      <c r="N452" s="52" t="e">
        <f ca="1">SUMIFS(OUT!$F$2:$F$11000,OUT!$H$2:$H$101007,H452,OUT!$D$2:$D$11000,"Out",OUT!$E$2:$E$11000,"Jajan")</f>
        <v>#VALUE!</v>
      </c>
      <c r="O452" s="52">
        <f ca="1">SUMIFS(OUT!$F$2:$F$11000,OUT!$H$2:$H$11000,H452,OUT!$D$2:$D$11000,"Out",OUT!$E$2:$E$11000,"Kitchen")</f>
        <v>992724</v>
      </c>
      <c r="P452" s="52">
        <f ca="1">SUMIFS(OUT!$F$2:$F$11000,OUT!$H$2:$H$11000,H452,OUT!$D$2:$D$11000,"Out",OUT!$E$2:$E$11000,"Loandry")</f>
        <v>41600</v>
      </c>
      <c r="Q452" s="52">
        <f ca="1">SUMIFS(OUT!$F$2:$F$11000,OUT!$H$2:$H$11000,H452,OUT!$D$2:$D$11000,"Out",OUT!$E$2:$E$11000,"Mio")</f>
        <v>249000</v>
      </c>
      <c r="R452" s="52">
        <f ca="1">SUMIFS(OUT!$F$2:$F$11000,OUT!$H$2:$H$11000,H452,OUT!$D$2:$D$11000,"Out",OUT!$E$2:$E$11000,"Sedekah")</f>
        <v>129000</v>
      </c>
      <c r="S452" s="52">
        <f ca="1">SUMIFS(OUT!$F$2:$F$11000,OUT!$H$2:$H$11000,H452,OUT!$D$2:$D$11000,"Out",OUT!$E$2:$E$11000,"Zela")</f>
        <v>24100</v>
      </c>
      <c r="T452" s="52">
        <f ca="1">SUMIFS(OUT!$F$2:$F$11000,OUT!$H$2:$H$11000,H452,OUT!$D$2:$D$11000,"Out",OUT!$E$2:$E$11000,"Iqbal")</f>
        <v>121000</v>
      </c>
    </row>
    <row r="453" spans="1:20" x14ac:dyDescent="0.2">
      <c r="A453" s="48">
        <f ca="1">IFERROR(__xludf.DUMMYFUNCTION("""COMPUTED_VALUE"""),46062)</f>
        <v>46062</v>
      </c>
      <c r="B453" s="4" t="str">
        <f ca="1">IFERROR(__xludf.DUMMYFUNCTION("""COMPUTED_VALUE"""),"Pasar Kaget ( Dapur ) + Parkir")</f>
        <v>Pasar Kaget ( Dapur ) + Parkir</v>
      </c>
      <c r="C453" s="4" t="str">
        <f ca="1">IFERROR(__xludf.DUMMYFUNCTION("""COMPUTED_VALUE"""),"Cash")</f>
        <v>Cash</v>
      </c>
      <c r="D453" s="4" t="str">
        <f ca="1">IFERROR(__xludf.DUMMYFUNCTION("""COMPUTED_VALUE"""),"Out")</f>
        <v>Out</v>
      </c>
      <c r="E453" s="4" t="str">
        <f ca="1">IFERROR(__xludf.DUMMYFUNCTION("""COMPUTED_VALUE"""),"Kitchen")</f>
        <v>Kitchen</v>
      </c>
      <c r="F453" s="49">
        <f ca="1">IFERROR(__xludf.DUMMYFUNCTION("""COMPUTED_VALUE"""),110000)</f>
        <v>110000</v>
      </c>
      <c r="G453" s="50" t="str">
        <f ca="1">IFERROR(__xludf.DUMMYFUNCTION("""COMPUTED_VALUE"""),"Zela")</f>
        <v>Zela</v>
      </c>
      <c r="H453" s="51">
        <f t="shared" ca="1" si="0"/>
        <v>46054</v>
      </c>
      <c r="I453" s="52" t="e">
        <f ca="1">SUMIFS(OUT!$F$2:$F$11000,OUT!$H$2:$H$11000,H453,OUT!$D$2:$D$101007,"In")</f>
        <v>#VALUE!</v>
      </c>
      <c r="J453" s="52">
        <f ca="1">SUMIFS(OUT!$F$2:$F$11000,OUT!$H$2:$H$11000,H453,OUT!$D$2:$D$11000,"Out")</f>
        <v>6908733</v>
      </c>
      <c r="K453" s="52">
        <f ca="1">SUMIFS(OUT!$F$2:$F$11000,OUT!$H$2:$H$11000,H453,OUT!$D$2:$D$11000,"Out",OUT!$E$2:$E$11000,"Fix")</f>
        <v>2440568</v>
      </c>
      <c r="L453" s="52">
        <f ca="1">SUMIFS(OUT!$F$2:$F$11000,OUT!$H$2:$H$11000,H453,OUT!$D$2:$D$11000,"Out",OUT!$E$2:$E$11000,"Bathroom")</f>
        <v>34500</v>
      </c>
      <c r="M453" s="52">
        <f ca="1">SUMIFS(OUT!$F$2:$F$11000,OUT!$H$2:$H$11000,H453,OUT!$D$2:$D$11000,"Out",OUT!$E$2:$E$11000,"Alfa")</f>
        <v>293800</v>
      </c>
      <c r="N453" s="52" t="e">
        <f ca="1">SUMIFS(OUT!$F$2:$F$11000,OUT!$H$2:$H$101007,H453,OUT!$D$2:$D$11000,"Out",OUT!$E$2:$E$11000,"Jajan")</f>
        <v>#VALUE!</v>
      </c>
      <c r="O453" s="52">
        <f ca="1">SUMIFS(OUT!$F$2:$F$11000,OUT!$H$2:$H$11000,H453,OUT!$D$2:$D$11000,"Out",OUT!$E$2:$E$11000,"Kitchen")</f>
        <v>992724</v>
      </c>
      <c r="P453" s="52">
        <f ca="1">SUMIFS(OUT!$F$2:$F$11000,OUT!$H$2:$H$11000,H453,OUT!$D$2:$D$11000,"Out",OUT!$E$2:$E$11000,"Loandry")</f>
        <v>41600</v>
      </c>
      <c r="Q453" s="52">
        <f ca="1">SUMIFS(OUT!$F$2:$F$11000,OUT!$H$2:$H$11000,H453,OUT!$D$2:$D$11000,"Out",OUT!$E$2:$E$11000,"Mio")</f>
        <v>249000</v>
      </c>
      <c r="R453" s="52">
        <f ca="1">SUMIFS(OUT!$F$2:$F$11000,OUT!$H$2:$H$11000,H453,OUT!$D$2:$D$11000,"Out",OUT!$E$2:$E$11000,"Sedekah")</f>
        <v>129000</v>
      </c>
      <c r="S453" s="52">
        <f ca="1">SUMIFS(OUT!$F$2:$F$11000,OUT!$H$2:$H$11000,H453,OUT!$D$2:$D$11000,"Out",OUT!$E$2:$E$11000,"Zela")</f>
        <v>24100</v>
      </c>
      <c r="T453" s="52">
        <f ca="1">SUMIFS(OUT!$F$2:$F$11000,OUT!$H$2:$H$11000,H453,OUT!$D$2:$D$11000,"Out",OUT!$E$2:$E$11000,"Iqbal")</f>
        <v>121000</v>
      </c>
    </row>
    <row r="454" spans="1:20" x14ac:dyDescent="0.2">
      <c r="A454" s="48">
        <f ca="1">IFERROR(__xludf.DUMMYFUNCTION("""COMPUTED_VALUE"""),46063)</f>
        <v>46063</v>
      </c>
      <c r="B454" s="4" t="str">
        <f ca="1">IFERROR(__xludf.DUMMYFUNCTION("""COMPUTED_VALUE"""),"bensin")</f>
        <v>bensin</v>
      </c>
      <c r="C454" s="4" t="str">
        <f ca="1">IFERROR(__xludf.DUMMYFUNCTION("""COMPUTED_VALUE"""),"Cash")</f>
        <v>Cash</v>
      </c>
      <c r="D454" s="4" t="str">
        <f ca="1">IFERROR(__xludf.DUMMYFUNCTION("""COMPUTED_VALUE"""),"Out")</f>
        <v>Out</v>
      </c>
      <c r="E454" s="4" t="str">
        <f ca="1">IFERROR(__xludf.DUMMYFUNCTION("""COMPUTED_VALUE"""),"Mio")</f>
        <v>Mio</v>
      </c>
      <c r="F454" s="49">
        <f ca="1">IFERROR(__xludf.DUMMYFUNCTION("""COMPUTED_VALUE"""),20000)</f>
        <v>20000</v>
      </c>
      <c r="G454" s="50" t="str">
        <f ca="1">IFERROR(__xludf.DUMMYFUNCTION("""COMPUTED_VALUE"""),"Zela")</f>
        <v>Zela</v>
      </c>
      <c r="H454" s="51">
        <f t="shared" ca="1" si="0"/>
        <v>46054</v>
      </c>
      <c r="I454" s="52" t="e">
        <f ca="1">SUMIFS(OUT!$F$2:$F$11000,OUT!$H$2:$H$11000,H454,OUT!$D$2:$D$101007,"In")</f>
        <v>#VALUE!</v>
      </c>
      <c r="J454" s="52">
        <f ca="1">SUMIFS(OUT!$F$2:$F$11000,OUT!$H$2:$H$11000,H454,OUT!$D$2:$D$11000,"Out")</f>
        <v>6908733</v>
      </c>
      <c r="K454" s="52">
        <f ca="1">SUMIFS(OUT!$F$2:$F$11000,OUT!$H$2:$H$11000,H454,OUT!$D$2:$D$11000,"Out",OUT!$E$2:$E$11000,"Fix")</f>
        <v>2440568</v>
      </c>
      <c r="L454" s="52">
        <f ca="1">SUMIFS(OUT!$F$2:$F$11000,OUT!$H$2:$H$11000,H454,OUT!$D$2:$D$11000,"Out",OUT!$E$2:$E$11000,"Bathroom")</f>
        <v>34500</v>
      </c>
      <c r="M454" s="52">
        <f ca="1">SUMIFS(OUT!$F$2:$F$11000,OUT!$H$2:$H$11000,H454,OUT!$D$2:$D$11000,"Out",OUT!$E$2:$E$11000,"Alfa")</f>
        <v>293800</v>
      </c>
      <c r="N454" s="52" t="e">
        <f ca="1">SUMIFS(OUT!$F$2:$F$11000,OUT!$H$2:$H$101007,H454,OUT!$D$2:$D$11000,"Out",OUT!$E$2:$E$11000,"Jajan")</f>
        <v>#VALUE!</v>
      </c>
      <c r="O454" s="52">
        <f ca="1">SUMIFS(OUT!$F$2:$F$11000,OUT!$H$2:$H$11000,H454,OUT!$D$2:$D$11000,"Out",OUT!$E$2:$E$11000,"Kitchen")</f>
        <v>992724</v>
      </c>
      <c r="P454" s="52">
        <f ca="1">SUMIFS(OUT!$F$2:$F$11000,OUT!$H$2:$H$11000,H454,OUT!$D$2:$D$11000,"Out",OUT!$E$2:$E$11000,"Loandry")</f>
        <v>41600</v>
      </c>
      <c r="Q454" s="52">
        <f ca="1">SUMIFS(OUT!$F$2:$F$11000,OUT!$H$2:$H$11000,H454,OUT!$D$2:$D$11000,"Out",OUT!$E$2:$E$11000,"Mio")</f>
        <v>249000</v>
      </c>
      <c r="R454" s="52">
        <f ca="1">SUMIFS(OUT!$F$2:$F$11000,OUT!$H$2:$H$11000,H454,OUT!$D$2:$D$11000,"Out",OUT!$E$2:$E$11000,"Sedekah")</f>
        <v>129000</v>
      </c>
      <c r="S454" s="52">
        <f ca="1">SUMIFS(OUT!$F$2:$F$11000,OUT!$H$2:$H$11000,H454,OUT!$D$2:$D$11000,"Out",OUT!$E$2:$E$11000,"Zela")</f>
        <v>24100</v>
      </c>
      <c r="T454" s="52">
        <f ca="1">SUMIFS(OUT!$F$2:$F$11000,OUT!$H$2:$H$11000,H454,OUT!$D$2:$D$11000,"Out",OUT!$E$2:$E$11000,"Iqbal")</f>
        <v>121000</v>
      </c>
    </row>
    <row r="455" spans="1:20" x14ac:dyDescent="0.2">
      <c r="A455" s="48">
        <f ca="1">IFERROR(__xludf.DUMMYFUNCTION("""COMPUTED_VALUE"""),46063)</f>
        <v>46063</v>
      </c>
      <c r="B455" s="4" t="str">
        <f ca="1">IFERROR(__xludf.DUMMYFUNCTION("""COMPUTED_VALUE"""),"mie goreng")</f>
        <v>mie goreng</v>
      </c>
      <c r="C455" s="4" t="str">
        <f ca="1">IFERROR(__xludf.DUMMYFUNCTION("""COMPUTED_VALUE"""),"Cash")</f>
        <v>Cash</v>
      </c>
      <c r="D455" s="4" t="str">
        <f ca="1">IFERROR(__xludf.DUMMYFUNCTION("""COMPUTED_VALUE"""),"Out")</f>
        <v>Out</v>
      </c>
      <c r="E455" s="4" t="str">
        <f ca="1">IFERROR(__xludf.DUMMYFUNCTION("""COMPUTED_VALUE"""),"Jajan")</f>
        <v>Jajan</v>
      </c>
      <c r="F455" s="49">
        <f ca="1">IFERROR(__xludf.DUMMYFUNCTION("""COMPUTED_VALUE"""),8000)</f>
        <v>8000</v>
      </c>
      <c r="G455" s="50" t="str">
        <f ca="1">IFERROR(__xludf.DUMMYFUNCTION("""COMPUTED_VALUE"""),"Zela")</f>
        <v>Zela</v>
      </c>
      <c r="H455" s="51">
        <f t="shared" ca="1" si="0"/>
        <v>46054</v>
      </c>
      <c r="I455" s="52" t="e">
        <f ca="1">SUMIFS(OUT!$F$2:$F$11000,OUT!$H$2:$H$11000,H455,OUT!$D$2:$D$101007,"In")</f>
        <v>#VALUE!</v>
      </c>
      <c r="J455" s="52">
        <f ca="1">SUMIFS(OUT!$F$2:$F$11000,OUT!$H$2:$H$11000,H455,OUT!$D$2:$D$11000,"Out")</f>
        <v>6908733</v>
      </c>
      <c r="K455" s="52">
        <f ca="1">SUMIFS(OUT!$F$2:$F$11000,OUT!$H$2:$H$11000,H455,OUT!$D$2:$D$11000,"Out",OUT!$E$2:$E$11000,"Fix")</f>
        <v>2440568</v>
      </c>
      <c r="L455" s="52">
        <f ca="1">SUMIFS(OUT!$F$2:$F$11000,OUT!$H$2:$H$11000,H455,OUT!$D$2:$D$11000,"Out",OUT!$E$2:$E$11000,"Bathroom")</f>
        <v>34500</v>
      </c>
      <c r="M455" s="52">
        <f ca="1">SUMIFS(OUT!$F$2:$F$11000,OUT!$H$2:$H$11000,H455,OUT!$D$2:$D$11000,"Out",OUT!$E$2:$E$11000,"Alfa")</f>
        <v>293800</v>
      </c>
      <c r="N455" s="52" t="e">
        <f ca="1">SUMIFS(OUT!$F$2:$F$11000,OUT!$H$2:$H$101007,H455,OUT!$D$2:$D$11000,"Out",OUT!$E$2:$E$11000,"Jajan")</f>
        <v>#VALUE!</v>
      </c>
      <c r="O455" s="52">
        <f ca="1">SUMIFS(OUT!$F$2:$F$11000,OUT!$H$2:$H$11000,H455,OUT!$D$2:$D$11000,"Out",OUT!$E$2:$E$11000,"Kitchen")</f>
        <v>992724</v>
      </c>
      <c r="P455" s="52">
        <f ca="1">SUMIFS(OUT!$F$2:$F$11000,OUT!$H$2:$H$11000,H455,OUT!$D$2:$D$11000,"Out",OUT!$E$2:$E$11000,"Loandry")</f>
        <v>41600</v>
      </c>
      <c r="Q455" s="52">
        <f ca="1">SUMIFS(OUT!$F$2:$F$11000,OUT!$H$2:$H$11000,H455,OUT!$D$2:$D$11000,"Out",OUT!$E$2:$E$11000,"Mio")</f>
        <v>249000</v>
      </c>
      <c r="R455" s="52">
        <f ca="1">SUMIFS(OUT!$F$2:$F$11000,OUT!$H$2:$H$11000,H455,OUT!$D$2:$D$11000,"Out",OUT!$E$2:$E$11000,"Sedekah")</f>
        <v>129000</v>
      </c>
      <c r="S455" s="52">
        <f ca="1">SUMIFS(OUT!$F$2:$F$11000,OUT!$H$2:$H$11000,H455,OUT!$D$2:$D$11000,"Out",OUT!$E$2:$E$11000,"Zela")</f>
        <v>24100</v>
      </c>
      <c r="T455" s="52">
        <f ca="1">SUMIFS(OUT!$F$2:$F$11000,OUT!$H$2:$H$11000,H455,OUT!$D$2:$D$11000,"Out",OUT!$E$2:$E$11000,"Iqbal")</f>
        <v>121000</v>
      </c>
    </row>
    <row r="456" spans="1:20" x14ac:dyDescent="0.2">
      <c r="A456" s="48">
        <f ca="1">IFERROR(__xludf.DUMMYFUNCTION("""COMPUTED_VALUE"""),46061)</f>
        <v>46061</v>
      </c>
      <c r="B456" s="4" t="str">
        <f ca="1">IFERROR(__xludf.DUMMYFUNCTION("""COMPUTED_VALUE"""),"Paket By.u 3")</f>
        <v>Paket By.u 3</v>
      </c>
      <c r="C456" s="4" t="str">
        <f ca="1">IFERROR(__xludf.DUMMYFUNCTION("""COMPUTED_VALUE"""),"ATM")</f>
        <v>ATM</v>
      </c>
      <c r="D456" s="4" t="str">
        <f ca="1">IFERROR(__xludf.DUMMYFUNCTION("""COMPUTED_VALUE"""),"Out")</f>
        <v>Out</v>
      </c>
      <c r="E456" s="4" t="str">
        <f ca="1">IFERROR(__xludf.DUMMYFUNCTION("""COMPUTED_VALUE"""),"Fix")</f>
        <v>Fix</v>
      </c>
      <c r="F456" s="49">
        <f ca="1">IFERROR(__xludf.DUMMYFUNCTION("""COMPUTED_VALUE"""),15000)</f>
        <v>15000</v>
      </c>
      <c r="G456" s="50" t="str">
        <f ca="1">IFERROR(__xludf.DUMMYFUNCTION("""COMPUTED_VALUE"""),"Zela")</f>
        <v>Zela</v>
      </c>
      <c r="H456" s="51">
        <f t="shared" ca="1" si="0"/>
        <v>46054</v>
      </c>
      <c r="I456" s="52" t="e">
        <f ca="1">SUMIFS(OUT!$F$2:$F$11000,OUT!$H$2:$H$11000,H456,OUT!$D$2:$D$101007,"In")</f>
        <v>#VALUE!</v>
      </c>
      <c r="J456" s="52">
        <f ca="1">SUMIFS(OUT!$F$2:$F$11000,OUT!$H$2:$H$11000,H456,OUT!$D$2:$D$11000,"Out")</f>
        <v>6908733</v>
      </c>
      <c r="K456" s="52">
        <f ca="1">SUMIFS(OUT!$F$2:$F$11000,OUT!$H$2:$H$11000,H456,OUT!$D$2:$D$11000,"Out",OUT!$E$2:$E$11000,"Fix")</f>
        <v>2440568</v>
      </c>
      <c r="L456" s="52">
        <f ca="1">SUMIFS(OUT!$F$2:$F$11000,OUT!$H$2:$H$11000,H456,OUT!$D$2:$D$11000,"Out",OUT!$E$2:$E$11000,"Bathroom")</f>
        <v>34500</v>
      </c>
      <c r="M456" s="52">
        <f ca="1">SUMIFS(OUT!$F$2:$F$11000,OUT!$H$2:$H$11000,H456,OUT!$D$2:$D$11000,"Out",OUT!$E$2:$E$11000,"Alfa")</f>
        <v>293800</v>
      </c>
      <c r="N456" s="52" t="e">
        <f ca="1">SUMIFS(OUT!$F$2:$F$11000,OUT!$H$2:$H$101007,H456,OUT!$D$2:$D$11000,"Out",OUT!$E$2:$E$11000,"Jajan")</f>
        <v>#VALUE!</v>
      </c>
      <c r="O456" s="52">
        <f ca="1">SUMIFS(OUT!$F$2:$F$11000,OUT!$H$2:$H$11000,H456,OUT!$D$2:$D$11000,"Out",OUT!$E$2:$E$11000,"Kitchen")</f>
        <v>992724</v>
      </c>
      <c r="P456" s="52">
        <f ca="1">SUMIFS(OUT!$F$2:$F$11000,OUT!$H$2:$H$11000,H456,OUT!$D$2:$D$11000,"Out",OUT!$E$2:$E$11000,"Loandry")</f>
        <v>41600</v>
      </c>
      <c r="Q456" s="52">
        <f ca="1">SUMIFS(OUT!$F$2:$F$11000,OUT!$H$2:$H$11000,H456,OUT!$D$2:$D$11000,"Out",OUT!$E$2:$E$11000,"Mio")</f>
        <v>249000</v>
      </c>
      <c r="R456" s="52">
        <f ca="1">SUMIFS(OUT!$F$2:$F$11000,OUT!$H$2:$H$11000,H456,OUT!$D$2:$D$11000,"Out",OUT!$E$2:$E$11000,"Sedekah")</f>
        <v>129000</v>
      </c>
      <c r="S456" s="52">
        <f ca="1">SUMIFS(OUT!$F$2:$F$11000,OUT!$H$2:$H$11000,H456,OUT!$D$2:$D$11000,"Out",OUT!$E$2:$E$11000,"Zela")</f>
        <v>24100</v>
      </c>
      <c r="T456" s="52">
        <f ca="1">SUMIFS(OUT!$F$2:$F$11000,OUT!$H$2:$H$11000,H456,OUT!$D$2:$D$11000,"Out",OUT!$E$2:$E$11000,"Iqbal")</f>
        <v>121000</v>
      </c>
    </row>
    <row r="457" spans="1:20" x14ac:dyDescent="0.2">
      <c r="A457" s="48">
        <f ca="1">IFERROR(__xludf.DUMMYFUNCTION("""COMPUTED_VALUE"""),46063)</f>
        <v>46063</v>
      </c>
      <c r="B457" s="4" t="str">
        <f ca="1">IFERROR(__xludf.DUMMYFUNCTION("""COMPUTED_VALUE"""),"seabank( susu )")</f>
        <v>seabank( susu )</v>
      </c>
      <c r="C457" s="4" t="str">
        <f ca="1">IFERROR(__xludf.DUMMYFUNCTION("""COMPUTED_VALUE"""),"ATM")</f>
        <v>ATM</v>
      </c>
      <c r="D457" s="4" t="str">
        <f ca="1">IFERROR(__xludf.DUMMYFUNCTION("""COMPUTED_VALUE"""),"Out")</f>
        <v>Out</v>
      </c>
      <c r="E457" s="4" t="str">
        <f ca="1">IFERROR(__xludf.DUMMYFUNCTION("""COMPUTED_VALUE"""),"Alfa")</f>
        <v>Alfa</v>
      </c>
      <c r="F457" s="49">
        <f ca="1">IFERROR(__xludf.DUMMYFUNCTION("""COMPUTED_VALUE"""),36000)</f>
        <v>36000</v>
      </c>
      <c r="G457" s="50" t="str">
        <f ca="1">IFERROR(__xludf.DUMMYFUNCTION("""COMPUTED_VALUE"""),"Zela")</f>
        <v>Zela</v>
      </c>
      <c r="H457" s="51">
        <f t="shared" ca="1" si="0"/>
        <v>46054</v>
      </c>
      <c r="I457" s="52" t="e">
        <f ca="1">SUMIFS(OUT!$F$2:$F$11000,OUT!$H$2:$H$11000,H457,OUT!$D$2:$D$101007,"In")</f>
        <v>#VALUE!</v>
      </c>
      <c r="J457" s="52">
        <f ca="1">SUMIFS(OUT!$F$2:$F$11000,OUT!$H$2:$H$11000,H457,OUT!$D$2:$D$11000,"Out")</f>
        <v>6908733</v>
      </c>
      <c r="K457" s="52">
        <f ca="1">SUMIFS(OUT!$F$2:$F$11000,OUT!$H$2:$H$11000,H457,OUT!$D$2:$D$11000,"Out",OUT!$E$2:$E$11000,"Fix")</f>
        <v>2440568</v>
      </c>
      <c r="L457" s="52">
        <f ca="1">SUMIFS(OUT!$F$2:$F$11000,OUT!$H$2:$H$11000,H457,OUT!$D$2:$D$11000,"Out",OUT!$E$2:$E$11000,"Bathroom")</f>
        <v>34500</v>
      </c>
      <c r="M457" s="52">
        <f ca="1">SUMIFS(OUT!$F$2:$F$11000,OUT!$H$2:$H$11000,H457,OUT!$D$2:$D$11000,"Out",OUT!$E$2:$E$11000,"Alfa")</f>
        <v>293800</v>
      </c>
      <c r="N457" s="52" t="e">
        <f ca="1">SUMIFS(OUT!$F$2:$F$11000,OUT!$H$2:$H$101007,H457,OUT!$D$2:$D$11000,"Out",OUT!$E$2:$E$11000,"Jajan")</f>
        <v>#VALUE!</v>
      </c>
      <c r="O457" s="52">
        <f ca="1">SUMIFS(OUT!$F$2:$F$11000,OUT!$H$2:$H$11000,H457,OUT!$D$2:$D$11000,"Out",OUT!$E$2:$E$11000,"Kitchen")</f>
        <v>992724</v>
      </c>
      <c r="P457" s="52">
        <f ca="1">SUMIFS(OUT!$F$2:$F$11000,OUT!$H$2:$H$11000,H457,OUT!$D$2:$D$11000,"Out",OUT!$E$2:$E$11000,"Loandry")</f>
        <v>41600</v>
      </c>
      <c r="Q457" s="52">
        <f ca="1">SUMIFS(OUT!$F$2:$F$11000,OUT!$H$2:$H$11000,H457,OUT!$D$2:$D$11000,"Out",OUT!$E$2:$E$11000,"Mio")</f>
        <v>249000</v>
      </c>
      <c r="R457" s="52">
        <f ca="1">SUMIFS(OUT!$F$2:$F$11000,OUT!$H$2:$H$11000,H457,OUT!$D$2:$D$11000,"Out",OUT!$E$2:$E$11000,"Sedekah")</f>
        <v>129000</v>
      </c>
      <c r="S457" s="52">
        <f ca="1">SUMIFS(OUT!$F$2:$F$11000,OUT!$H$2:$H$11000,H457,OUT!$D$2:$D$11000,"Out",OUT!$E$2:$E$11000,"Zela")</f>
        <v>24100</v>
      </c>
      <c r="T457" s="52">
        <f ca="1">SUMIFS(OUT!$F$2:$F$11000,OUT!$H$2:$H$11000,H457,OUT!$D$2:$D$11000,"Out",OUT!$E$2:$E$11000,"Iqbal")</f>
        <v>121000</v>
      </c>
    </row>
    <row r="458" spans="1:20" x14ac:dyDescent="0.2">
      <c r="A458" s="48">
        <f ca="1">IFERROR(__xludf.DUMMYFUNCTION("""COMPUTED_VALUE"""),46063)</f>
        <v>46063</v>
      </c>
      <c r="B458" s="4" t="str">
        <f ca="1">IFERROR(__xludf.DUMMYFUNCTION("""COMPUTED_VALUE"""),"seabank ( hit)")</f>
        <v>seabank ( hit)</v>
      </c>
      <c r="C458" s="4" t="str">
        <f ca="1">IFERROR(__xludf.DUMMYFUNCTION("""COMPUTED_VALUE"""),"ATM")</f>
        <v>ATM</v>
      </c>
      <c r="D458" s="4" t="str">
        <f ca="1">IFERROR(__xludf.DUMMYFUNCTION("""COMPUTED_VALUE"""),"Out")</f>
        <v>Out</v>
      </c>
      <c r="E458" s="4" t="str">
        <f ca="1">IFERROR(__xludf.DUMMYFUNCTION("""COMPUTED_VALUE"""),"Kitchen")</f>
        <v>Kitchen</v>
      </c>
      <c r="F458" s="49">
        <f ca="1">IFERROR(__xludf.DUMMYFUNCTION("""COMPUTED_VALUE"""),11500)</f>
        <v>11500</v>
      </c>
      <c r="G458" s="50" t="str">
        <f ca="1">IFERROR(__xludf.DUMMYFUNCTION("""COMPUTED_VALUE"""),"Zela")</f>
        <v>Zela</v>
      </c>
      <c r="H458" s="51">
        <f t="shared" ca="1" si="0"/>
        <v>46054</v>
      </c>
      <c r="I458" s="52" t="e">
        <f ca="1">SUMIFS(OUT!$F$2:$F$11000,OUT!$H$2:$H$11000,H458,OUT!$D$2:$D$101007,"In")</f>
        <v>#VALUE!</v>
      </c>
      <c r="J458" s="52">
        <f ca="1">SUMIFS(OUT!$F$2:$F$11000,OUT!$H$2:$H$11000,H458,OUT!$D$2:$D$11000,"Out")</f>
        <v>6908733</v>
      </c>
      <c r="K458" s="52">
        <f ca="1">SUMIFS(OUT!$F$2:$F$11000,OUT!$H$2:$H$11000,H458,OUT!$D$2:$D$11000,"Out",OUT!$E$2:$E$11000,"Fix")</f>
        <v>2440568</v>
      </c>
      <c r="L458" s="52">
        <f ca="1">SUMIFS(OUT!$F$2:$F$11000,OUT!$H$2:$H$11000,H458,OUT!$D$2:$D$11000,"Out",OUT!$E$2:$E$11000,"Bathroom")</f>
        <v>34500</v>
      </c>
      <c r="M458" s="52">
        <f ca="1">SUMIFS(OUT!$F$2:$F$11000,OUT!$H$2:$H$11000,H458,OUT!$D$2:$D$11000,"Out",OUT!$E$2:$E$11000,"Alfa")</f>
        <v>293800</v>
      </c>
      <c r="N458" s="52" t="e">
        <f ca="1">SUMIFS(OUT!$F$2:$F$11000,OUT!$H$2:$H$101007,H458,OUT!$D$2:$D$11000,"Out",OUT!$E$2:$E$11000,"Jajan")</f>
        <v>#VALUE!</v>
      </c>
      <c r="O458" s="52">
        <f ca="1">SUMIFS(OUT!$F$2:$F$11000,OUT!$H$2:$H$11000,H458,OUT!$D$2:$D$11000,"Out",OUT!$E$2:$E$11000,"Kitchen")</f>
        <v>992724</v>
      </c>
      <c r="P458" s="52">
        <f ca="1">SUMIFS(OUT!$F$2:$F$11000,OUT!$H$2:$H$11000,H458,OUT!$D$2:$D$11000,"Out",OUT!$E$2:$E$11000,"Loandry")</f>
        <v>41600</v>
      </c>
      <c r="Q458" s="52">
        <f ca="1">SUMIFS(OUT!$F$2:$F$11000,OUT!$H$2:$H$11000,H458,OUT!$D$2:$D$11000,"Out",OUT!$E$2:$E$11000,"Mio")</f>
        <v>249000</v>
      </c>
      <c r="R458" s="52">
        <f ca="1">SUMIFS(OUT!$F$2:$F$11000,OUT!$H$2:$H$11000,H458,OUT!$D$2:$D$11000,"Out",OUT!$E$2:$E$11000,"Sedekah")</f>
        <v>129000</v>
      </c>
      <c r="S458" s="52">
        <f ca="1">SUMIFS(OUT!$F$2:$F$11000,OUT!$H$2:$H$11000,H458,OUT!$D$2:$D$11000,"Out",OUT!$E$2:$E$11000,"Zela")</f>
        <v>24100</v>
      </c>
      <c r="T458" s="52">
        <f ca="1">SUMIFS(OUT!$F$2:$F$11000,OUT!$H$2:$H$11000,H458,OUT!$D$2:$D$11000,"Out",OUT!$E$2:$E$11000,"Iqbal")</f>
        <v>121000</v>
      </c>
    </row>
    <row r="459" spans="1:20" x14ac:dyDescent="0.2">
      <c r="A459" s="48">
        <f ca="1">IFERROR(__xludf.DUMMYFUNCTION("""COMPUTED_VALUE"""),46064)</f>
        <v>46064</v>
      </c>
      <c r="B459" s="4" t="str">
        <f ca="1">IFERROR(__xludf.DUMMYFUNCTION("""COMPUTED_VALUE"""),"roti+minuman")</f>
        <v>roti+minuman</v>
      </c>
      <c r="C459" s="4" t="str">
        <f ca="1">IFERROR(__xludf.DUMMYFUNCTION("""COMPUTED_VALUE"""),"Cash")</f>
        <v>Cash</v>
      </c>
      <c r="D459" s="4" t="str">
        <f ca="1">IFERROR(__xludf.DUMMYFUNCTION("""COMPUTED_VALUE"""),"Out")</f>
        <v>Out</v>
      </c>
      <c r="E459" s="4" t="str">
        <f ca="1">IFERROR(__xludf.DUMMYFUNCTION("""COMPUTED_VALUE"""),"Jajan")</f>
        <v>Jajan</v>
      </c>
      <c r="F459" s="49">
        <f ca="1">IFERROR(__xludf.DUMMYFUNCTION("""COMPUTED_VALUE"""),22000)</f>
        <v>22000</v>
      </c>
      <c r="G459" s="50" t="str">
        <f ca="1">IFERROR(__xludf.DUMMYFUNCTION("""COMPUTED_VALUE"""),"Zela")</f>
        <v>Zela</v>
      </c>
      <c r="H459" s="51">
        <f t="shared" ca="1" si="0"/>
        <v>46054</v>
      </c>
      <c r="I459" s="52" t="e">
        <f ca="1">SUMIFS(OUT!$F$2:$F$11000,OUT!$H$2:$H$11000,H459,OUT!$D$2:$D$101007,"In")</f>
        <v>#VALUE!</v>
      </c>
      <c r="J459" s="52">
        <f ca="1">SUMIFS(OUT!$F$2:$F$11000,OUT!$H$2:$H$11000,H459,OUT!$D$2:$D$11000,"Out")</f>
        <v>6908733</v>
      </c>
      <c r="K459" s="52">
        <f ca="1">SUMIFS(OUT!$F$2:$F$11000,OUT!$H$2:$H$11000,H459,OUT!$D$2:$D$11000,"Out",OUT!$E$2:$E$11000,"Fix")</f>
        <v>2440568</v>
      </c>
      <c r="L459" s="52">
        <f ca="1">SUMIFS(OUT!$F$2:$F$11000,OUT!$H$2:$H$11000,H459,OUT!$D$2:$D$11000,"Out",OUT!$E$2:$E$11000,"Bathroom")</f>
        <v>34500</v>
      </c>
      <c r="M459" s="52">
        <f ca="1">SUMIFS(OUT!$F$2:$F$11000,OUT!$H$2:$H$11000,H459,OUT!$D$2:$D$11000,"Out",OUT!$E$2:$E$11000,"Alfa")</f>
        <v>293800</v>
      </c>
      <c r="N459" s="52" t="e">
        <f ca="1">SUMIFS(OUT!$F$2:$F$11000,OUT!$H$2:$H$101007,H459,OUT!$D$2:$D$11000,"Out",OUT!$E$2:$E$11000,"Jajan")</f>
        <v>#VALUE!</v>
      </c>
      <c r="O459" s="52">
        <f ca="1">SUMIFS(OUT!$F$2:$F$11000,OUT!$H$2:$H$11000,H459,OUT!$D$2:$D$11000,"Out",OUT!$E$2:$E$11000,"Kitchen")</f>
        <v>992724</v>
      </c>
      <c r="P459" s="52">
        <f ca="1">SUMIFS(OUT!$F$2:$F$11000,OUT!$H$2:$H$11000,H459,OUT!$D$2:$D$11000,"Out",OUT!$E$2:$E$11000,"Loandry")</f>
        <v>41600</v>
      </c>
      <c r="Q459" s="52">
        <f ca="1">SUMIFS(OUT!$F$2:$F$11000,OUT!$H$2:$H$11000,H459,OUT!$D$2:$D$11000,"Out",OUT!$E$2:$E$11000,"Mio")</f>
        <v>249000</v>
      </c>
      <c r="R459" s="52">
        <f ca="1">SUMIFS(OUT!$F$2:$F$11000,OUT!$H$2:$H$11000,H459,OUT!$D$2:$D$11000,"Out",OUT!$E$2:$E$11000,"Sedekah")</f>
        <v>129000</v>
      </c>
      <c r="S459" s="52">
        <f ca="1">SUMIFS(OUT!$F$2:$F$11000,OUT!$H$2:$H$11000,H459,OUT!$D$2:$D$11000,"Out",OUT!$E$2:$E$11000,"Zela")</f>
        <v>24100</v>
      </c>
      <c r="T459" s="52">
        <f ca="1">SUMIFS(OUT!$F$2:$F$11000,OUT!$H$2:$H$11000,H459,OUT!$D$2:$D$11000,"Out",OUT!$E$2:$E$11000,"Iqbal")</f>
        <v>121000</v>
      </c>
    </row>
    <row r="460" spans="1:20" x14ac:dyDescent="0.2">
      <c r="A460" s="48">
        <f ca="1">IFERROR(__xludf.DUMMYFUNCTION("""COMPUTED_VALUE"""),46064)</f>
        <v>46064</v>
      </c>
      <c r="B460" s="4" t="str">
        <f ca="1">IFERROR(__xludf.DUMMYFUNCTION("""COMPUTED_VALUE"""),"Tarik tunai")</f>
        <v>Tarik tunai</v>
      </c>
      <c r="C460" s="4" t="str">
        <f ca="1">IFERROR(__xludf.DUMMYFUNCTION("""COMPUTED_VALUE"""),"ATM")</f>
        <v>ATM</v>
      </c>
      <c r="D460" s="4" t="str">
        <f ca="1">IFERROR(__xludf.DUMMYFUNCTION("""COMPUTED_VALUE"""),"Move")</f>
        <v>Move</v>
      </c>
      <c r="E460" s="4" t="str">
        <f ca="1">IFERROR(__xludf.DUMMYFUNCTION("""COMPUTED_VALUE"""),"Move")</f>
        <v>Move</v>
      </c>
      <c r="F460" s="49">
        <f ca="1">IFERROR(__xludf.DUMMYFUNCTION("""COMPUTED_VALUE"""),150000)</f>
        <v>150000</v>
      </c>
      <c r="G460" s="50" t="str">
        <f ca="1">IFERROR(__xludf.DUMMYFUNCTION("""COMPUTED_VALUE"""),"Zela")</f>
        <v>Zela</v>
      </c>
      <c r="H460" s="51">
        <f t="shared" ca="1" si="0"/>
        <v>46054</v>
      </c>
      <c r="I460" s="52" t="e">
        <f ca="1">SUMIFS(OUT!$F$2:$F$11000,OUT!$H$2:$H$11000,H460,OUT!$D$2:$D$101007,"In")</f>
        <v>#VALUE!</v>
      </c>
      <c r="J460" s="52">
        <f ca="1">SUMIFS(OUT!$F$2:$F$11000,OUT!$H$2:$H$11000,H460,OUT!$D$2:$D$11000,"Out")</f>
        <v>6908733</v>
      </c>
      <c r="K460" s="52">
        <f ca="1">SUMIFS(OUT!$F$2:$F$11000,OUT!$H$2:$H$11000,H460,OUT!$D$2:$D$11000,"Out",OUT!$E$2:$E$11000,"Fix")</f>
        <v>2440568</v>
      </c>
      <c r="L460" s="52">
        <f ca="1">SUMIFS(OUT!$F$2:$F$11000,OUT!$H$2:$H$11000,H460,OUT!$D$2:$D$11000,"Out",OUT!$E$2:$E$11000,"Bathroom")</f>
        <v>34500</v>
      </c>
      <c r="M460" s="52">
        <f ca="1">SUMIFS(OUT!$F$2:$F$11000,OUT!$H$2:$H$11000,H460,OUT!$D$2:$D$11000,"Out",OUT!$E$2:$E$11000,"Alfa")</f>
        <v>293800</v>
      </c>
      <c r="N460" s="52" t="e">
        <f ca="1">SUMIFS(OUT!$F$2:$F$11000,OUT!$H$2:$H$101007,H460,OUT!$D$2:$D$11000,"Out",OUT!$E$2:$E$11000,"Jajan")</f>
        <v>#VALUE!</v>
      </c>
      <c r="O460" s="52">
        <f ca="1">SUMIFS(OUT!$F$2:$F$11000,OUT!$H$2:$H$11000,H460,OUT!$D$2:$D$11000,"Out",OUT!$E$2:$E$11000,"Kitchen")</f>
        <v>992724</v>
      </c>
      <c r="P460" s="52">
        <f ca="1">SUMIFS(OUT!$F$2:$F$11000,OUT!$H$2:$H$11000,H460,OUT!$D$2:$D$11000,"Out",OUT!$E$2:$E$11000,"Loandry")</f>
        <v>41600</v>
      </c>
      <c r="Q460" s="52">
        <f ca="1">SUMIFS(OUT!$F$2:$F$11000,OUT!$H$2:$H$11000,H460,OUT!$D$2:$D$11000,"Out",OUT!$E$2:$E$11000,"Mio")</f>
        <v>249000</v>
      </c>
      <c r="R460" s="52">
        <f ca="1">SUMIFS(OUT!$F$2:$F$11000,OUT!$H$2:$H$11000,H460,OUT!$D$2:$D$11000,"Out",OUT!$E$2:$E$11000,"Sedekah")</f>
        <v>129000</v>
      </c>
      <c r="S460" s="52">
        <f ca="1">SUMIFS(OUT!$F$2:$F$11000,OUT!$H$2:$H$11000,H460,OUT!$D$2:$D$11000,"Out",OUT!$E$2:$E$11000,"Zela")</f>
        <v>24100</v>
      </c>
      <c r="T460" s="52">
        <f ca="1">SUMIFS(OUT!$F$2:$F$11000,OUT!$H$2:$H$11000,H460,OUT!$D$2:$D$11000,"Out",OUT!$E$2:$E$11000,"Iqbal")</f>
        <v>121000</v>
      </c>
    </row>
    <row r="461" spans="1:20" x14ac:dyDescent="0.2">
      <c r="A461" s="48">
        <f ca="1">IFERROR(__xludf.DUMMYFUNCTION("""COMPUTED_VALUE"""),46064)</f>
        <v>46064</v>
      </c>
      <c r="B461" s="4" t="str">
        <f ca="1">IFERROR(__xludf.DUMMYFUNCTION("""COMPUTED_VALUE"""),"Terima Tunai")</f>
        <v>Terima Tunai</v>
      </c>
      <c r="C461" s="4" t="str">
        <f ca="1">IFERROR(__xludf.DUMMYFUNCTION("""COMPUTED_VALUE"""),"Cash")</f>
        <v>Cash</v>
      </c>
      <c r="D461" s="4" t="str">
        <f ca="1">IFERROR(__xludf.DUMMYFUNCTION("""COMPUTED_VALUE"""),"Move")</f>
        <v>Move</v>
      </c>
      <c r="E461" s="4" t="str">
        <f ca="1">IFERROR(__xludf.DUMMYFUNCTION("""COMPUTED_VALUE"""),"Move")</f>
        <v>Move</v>
      </c>
      <c r="F461" s="49">
        <f ca="1">IFERROR(__xludf.DUMMYFUNCTION("""COMPUTED_VALUE"""),150000)</f>
        <v>150000</v>
      </c>
      <c r="G461" s="50" t="str">
        <f ca="1">IFERROR(__xludf.DUMMYFUNCTION("""COMPUTED_VALUE"""),"Zela")</f>
        <v>Zela</v>
      </c>
      <c r="H461" s="51">
        <f t="shared" ca="1" si="0"/>
        <v>46054</v>
      </c>
      <c r="I461" s="52" t="e">
        <f ca="1">SUMIFS(OUT!$F$2:$F$11000,OUT!$H$2:$H$11000,H461,OUT!$D$2:$D$101007,"In")</f>
        <v>#VALUE!</v>
      </c>
      <c r="J461" s="52">
        <f ca="1">SUMIFS(OUT!$F$2:$F$11000,OUT!$H$2:$H$11000,H461,OUT!$D$2:$D$11000,"Out")</f>
        <v>6908733</v>
      </c>
      <c r="K461" s="52">
        <f ca="1">SUMIFS(OUT!$F$2:$F$11000,OUT!$H$2:$H$11000,H461,OUT!$D$2:$D$11000,"Out",OUT!$E$2:$E$11000,"Fix")</f>
        <v>2440568</v>
      </c>
      <c r="L461" s="52">
        <f ca="1">SUMIFS(OUT!$F$2:$F$11000,OUT!$H$2:$H$11000,H461,OUT!$D$2:$D$11000,"Out",OUT!$E$2:$E$11000,"Bathroom")</f>
        <v>34500</v>
      </c>
      <c r="M461" s="52">
        <f ca="1">SUMIFS(OUT!$F$2:$F$11000,OUT!$H$2:$H$11000,H461,OUT!$D$2:$D$11000,"Out",OUT!$E$2:$E$11000,"Alfa")</f>
        <v>293800</v>
      </c>
      <c r="N461" s="52" t="e">
        <f ca="1">SUMIFS(OUT!$F$2:$F$11000,OUT!$H$2:$H$101007,H461,OUT!$D$2:$D$11000,"Out",OUT!$E$2:$E$11000,"Jajan")</f>
        <v>#VALUE!</v>
      </c>
      <c r="O461" s="52">
        <f ca="1">SUMIFS(OUT!$F$2:$F$11000,OUT!$H$2:$H$11000,H461,OUT!$D$2:$D$11000,"Out",OUT!$E$2:$E$11000,"Kitchen")</f>
        <v>992724</v>
      </c>
      <c r="P461" s="52">
        <f ca="1">SUMIFS(OUT!$F$2:$F$11000,OUT!$H$2:$H$11000,H461,OUT!$D$2:$D$11000,"Out",OUT!$E$2:$E$11000,"Loandry")</f>
        <v>41600</v>
      </c>
      <c r="Q461" s="52">
        <f ca="1">SUMIFS(OUT!$F$2:$F$11000,OUT!$H$2:$H$11000,H461,OUT!$D$2:$D$11000,"Out",OUT!$E$2:$E$11000,"Mio")</f>
        <v>249000</v>
      </c>
      <c r="R461" s="52">
        <f ca="1">SUMIFS(OUT!$F$2:$F$11000,OUT!$H$2:$H$11000,H461,OUT!$D$2:$D$11000,"Out",OUT!$E$2:$E$11000,"Sedekah")</f>
        <v>129000</v>
      </c>
      <c r="S461" s="52">
        <f ca="1">SUMIFS(OUT!$F$2:$F$11000,OUT!$H$2:$H$11000,H461,OUT!$D$2:$D$11000,"Out",OUT!$E$2:$E$11000,"Zela")</f>
        <v>24100</v>
      </c>
      <c r="T461" s="52">
        <f ca="1">SUMIFS(OUT!$F$2:$F$11000,OUT!$H$2:$H$11000,H461,OUT!$D$2:$D$11000,"Out",OUT!$E$2:$E$11000,"Iqbal")</f>
        <v>121000</v>
      </c>
    </row>
    <row r="462" spans="1:20" x14ac:dyDescent="0.2">
      <c r="A462" s="48">
        <f ca="1">IFERROR(__xludf.DUMMYFUNCTION("""COMPUTED_VALUE"""),46065)</f>
        <v>46065</v>
      </c>
      <c r="B462" s="4" t="str">
        <f ca="1">IFERROR(__xludf.DUMMYFUNCTION("""COMPUTED_VALUE"""),"paket by.u 4")</f>
        <v>paket by.u 4</v>
      </c>
      <c r="C462" s="4" t="str">
        <f ca="1">IFERROR(__xludf.DUMMYFUNCTION("""COMPUTED_VALUE"""),"ATM")</f>
        <v>ATM</v>
      </c>
      <c r="D462" s="4" t="str">
        <f ca="1">IFERROR(__xludf.DUMMYFUNCTION("""COMPUTED_VALUE"""),"Out")</f>
        <v>Out</v>
      </c>
      <c r="E462" s="4" t="str">
        <f ca="1">IFERROR(__xludf.DUMMYFUNCTION("""COMPUTED_VALUE"""),"Fix")</f>
        <v>Fix</v>
      </c>
      <c r="F462" s="49">
        <f ca="1">IFERROR(__xludf.DUMMYFUNCTION("""COMPUTED_VALUE"""),15000)</f>
        <v>15000</v>
      </c>
      <c r="G462" s="50" t="str">
        <f ca="1">IFERROR(__xludf.DUMMYFUNCTION("""COMPUTED_VALUE"""),"Zela")</f>
        <v>Zela</v>
      </c>
      <c r="H462" s="51">
        <f t="shared" ca="1" si="0"/>
        <v>46054</v>
      </c>
      <c r="I462" s="52" t="e">
        <f ca="1">SUMIFS(OUT!$F$2:$F$11000,OUT!$H$2:$H$11000,H462,OUT!$D$2:$D$101007,"In")</f>
        <v>#VALUE!</v>
      </c>
      <c r="J462" s="52">
        <f ca="1">SUMIFS(OUT!$F$2:$F$11000,OUT!$H$2:$H$11000,H462,OUT!$D$2:$D$11000,"Out")</f>
        <v>6908733</v>
      </c>
      <c r="K462" s="52">
        <f ca="1">SUMIFS(OUT!$F$2:$F$11000,OUT!$H$2:$H$11000,H462,OUT!$D$2:$D$11000,"Out",OUT!$E$2:$E$11000,"Fix")</f>
        <v>2440568</v>
      </c>
      <c r="L462" s="52">
        <f ca="1">SUMIFS(OUT!$F$2:$F$11000,OUT!$H$2:$H$11000,H462,OUT!$D$2:$D$11000,"Out",OUT!$E$2:$E$11000,"Bathroom")</f>
        <v>34500</v>
      </c>
      <c r="M462" s="52">
        <f ca="1">SUMIFS(OUT!$F$2:$F$11000,OUT!$H$2:$H$11000,H462,OUT!$D$2:$D$11000,"Out",OUT!$E$2:$E$11000,"Alfa")</f>
        <v>293800</v>
      </c>
      <c r="N462" s="52" t="e">
        <f ca="1">SUMIFS(OUT!$F$2:$F$11000,OUT!$H$2:$H$101007,H462,OUT!$D$2:$D$11000,"Out",OUT!$E$2:$E$11000,"Jajan")</f>
        <v>#VALUE!</v>
      </c>
      <c r="O462" s="52">
        <f ca="1">SUMIFS(OUT!$F$2:$F$11000,OUT!$H$2:$H$11000,H462,OUT!$D$2:$D$11000,"Out",OUT!$E$2:$E$11000,"Kitchen")</f>
        <v>992724</v>
      </c>
      <c r="P462" s="52">
        <f ca="1">SUMIFS(OUT!$F$2:$F$11000,OUT!$H$2:$H$11000,H462,OUT!$D$2:$D$11000,"Out",OUT!$E$2:$E$11000,"Loandry")</f>
        <v>41600</v>
      </c>
      <c r="Q462" s="52">
        <f ca="1">SUMIFS(OUT!$F$2:$F$11000,OUT!$H$2:$H$11000,H462,OUT!$D$2:$D$11000,"Out",OUT!$E$2:$E$11000,"Mio")</f>
        <v>249000</v>
      </c>
      <c r="R462" s="52">
        <f ca="1">SUMIFS(OUT!$F$2:$F$11000,OUT!$H$2:$H$11000,H462,OUT!$D$2:$D$11000,"Out",OUT!$E$2:$E$11000,"Sedekah")</f>
        <v>129000</v>
      </c>
      <c r="S462" s="52">
        <f ca="1">SUMIFS(OUT!$F$2:$F$11000,OUT!$H$2:$H$11000,H462,OUT!$D$2:$D$11000,"Out",OUT!$E$2:$E$11000,"Zela")</f>
        <v>24100</v>
      </c>
      <c r="T462" s="52">
        <f ca="1">SUMIFS(OUT!$F$2:$F$11000,OUT!$H$2:$H$11000,H462,OUT!$D$2:$D$11000,"Out",OUT!$E$2:$E$11000,"Iqbal")</f>
        <v>121000</v>
      </c>
    </row>
    <row r="463" spans="1:20" x14ac:dyDescent="0.2">
      <c r="A463" s="48">
        <f ca="1">IFERROR(__xludf.DUMMYFUNCTION("""COMPUTED_VALUE"""),46065)</f>
        <v>46065</v>
      </c>
      <c r="B463" s="4" t="str">
        <f ca="1">IFERROR(__xludf.DUMMYFUNCTION("""COMPUTED_VALUE"""),"Kasih Bunda")</f>
        <v>Kasih Bunda</v>
      </c>
      <c r="C463" s="4" t="str">
        <f ca="1">IFERROR(__xludf.DUMMYFUNCTION("""COMPUTED_VALUE"""),"ATM")</f>
        <v>ATM</v>
      </c>
      <c r="D463" s="4" t="str">
        <f ca="1">IFERROR(__xludf.DUMMYFUNCTION("""COMPUTED_VALUE"""),"Out")</f>
        <v>Out</v>
      </c>
      <c r="E463" s="4" t="str">
        <f ca="1">IFERROR(__xludf.DUMMYFUNCTION("""COMPUTED_VALUE"""),"Sedekah")</f>
        <v>Sedekah</v>
      </c>
      <c r="F463" s="49">
        <f ca="1">IFERROR(__xludf.DUMMYFUNCTION("""COMPUTED_VALUE"""),100000)</f>
        <v>100000</v>
      </c>
      <c r="G463" s="50" t="str">
        <f ca="1">IFERROR(__xludf.DUMMYFUNCTION("""COMPUTED_VALUE"""),"Zela")</f>
        <v>Zela</v>
      </c>
      <c r="H463" s="51">
        <f t="shared" ca="1" si="0"/>
        <v>46054</v>
      </c>
      <c r="I463" s="52" t="e">
        <f ca="1">SUMIFS(OUT!$F$2:$F$11000,OUT!$H$2:$H$11000,H463,OUT!$D$2:$D$101007,"In")</f>
        <v>#VALUE!</v>
      </c>
      <c r="J463" s="52">
        <f ca="1">SUMIFS(OUT!$F$2:$F$11000,OUT!$H$2:$H$11000,H463,OUT!$D$2:$D$11000,"Out")</f>
        <v>6908733</v>
      </c>
      <c r="K463" s="52">
        <f ca="1">SUMIFS(OUT!$F$2:$F$11000,OUT!$H$2:$H$11000,H463,OUT!$D$2:$D$11000,"Out",OUT!$E$2:$E$11000,"Fix")</f>
        <v>2440568</v>
      </c>
      <c r="L463" s="52">
        <f ca="1">SUMIFS(OUT!$F$2:$F$11000,OUT!$H$2:$H$11000,H463,OUT!$D$2:$D$11000,"Out",OUT!$E$2:$E$11000,"Bathroom")</f>
        <v>34500</v>
      </c>
      <c r="M463" s="52">
        <f ca="1">SUMIFS(OUT!$F$2:$F$11000,OUT!$H$2:$H$11000,H463,OUT!$D$2:$D$11000,"Out",OUT!$E$2:$E$11000,"Alfa")</f>
        <v>293800</v>
      </c>
      <c r="N463" s="52" t="e">
        <f ca="1">SUMIFS(OUT!$F$2:$F$11000,OUT!$H$2:$H$101007,H463,OUT!$D$2:$D$11000,"Out",OUT!$E$2:$E$11000,"Jajan")</f>
        <v>#VALUE!</v>
      </c>
      <c r="O463" s="52">
        <f ca="1">SUMIFS(OUT!$F$2:$F$11000,OUT!$H$2:$H$11000,H463,OUT!$D$2:$D$11000,"Out",OUT!$E$2:$E$11000,"Kitchen")</f>
        <v>992724</v>
      </c>
      <c r="P463" s="52">
        <f ca="1">SUMIFS(OUT!$F$2:$F$11000,OUT!$H$2:$H$11000,H463,OUT!$D$2:$D$11000,"Out",OUT!$E$2:$E$11000,"Loandry")</f>
        <v>41600</v>
      </c>
      <c r="Q463" s="52">
        <f ca="1">SUMIFS(OUT!$F$2:$F$11000,OUT!$H$2:$H$11000,H463,OUT!$D$2:$D$11000,"Out",OUT!$E$2:$E$11000,"Mio")</f>
        <v>249000</v>
      </c>
      <c r="R463" s="52">
        <f ca="1">SUMIFS(OUT!$F$2:$F$11000,OUT!$H$2:$H$11000,H463,OUT!$D$2:$D$11000,"Out",OUT!$E$2:$E$11000,"Sedekah")</f>
        <v>129000</v>
      </c>
      <c r="S463" s="52">
        <f ca="1">SUMIFS(OUT!$F$2:$F$11000,OUT!$H$2:$H$11000,H463,OUT!$D$2:$D$11000,"Out",OUT!$E$2:$E$11000,"Zela")</f>
        <v>24100</v>
      </c>
      <c r="T463" s="52">
        <f ca="1">SUMIFS(OUT!$F$2:$F$11000,OUT!$H$2:$H$11000,H463,OUT!$D$2:$D$11000,"Out",OUT!$E$2:$E$11000,"Iqbal")</f>
        <v>121000</v>
      </c>
    </row>
    <row r="464" spans="1:20" x14ac:dyDescent="0.2">
      <c r="A464" s="48">
        <f ca="1">IFERROR(__xludf.DUMMYFUNCTION("""COMPUTED_VALUE"""),46066)</f>
        <v>46066</v>
      </c>
      <c r="B464" s="4" t="str">
        <f ca="1">IFERROR(__xludf.DUMMYFUNCTION("""COMPUTED_VALUE"""),"Pantyliner ( Seabank/Shopee)")</f>
        <v>Pantyliner ( Seabank/Shopee)</v>
      </c>
      <c r="C464" s="4" t="str">
        <f ca="1">IFERROR(__xludf.DUMMYFUNCTION("""COMPUTED_VALUE"""),"ATM")</f>
        <v>ATM</v>
      </c>
      <c r="D464" s="4" t="str">
        <f ca="1">IFERROR(__xludf.DUMMYFUNCTION("""COMPUTED_VALUE"""),"Out")</f>
        <v>Out</v>
      </c>
      <c r="E464" s="4" t="str">
        <f ca="1">IFERROR(__xludf.DUMMYFUNCTION("""COMPUTED_VALUE"""),"Zela")</f>
        <v>Zela</v>
      </c>
      <c r="F464" s="49">
        <f ca="1">IFERROR(__xludf.DUMMYFUNCTION("""COMPUTED_VALUE"""),11500)</f>
        <v>11500</v>
      </c>
      <c r="G464" s="50" t="str">
        <f ca="1">IFERROR(__xludf.DUMMYFUNCTION("""COMPUTED_VALUE"""),"Zela")</f>
        <v>Zela</v>
      </c>
      <c r="H464" s="51">
        <f t="shared" ca="1" si="0"/>
        <v>46054</v>
      </c>
      <c r="I464" s="52" t="e">
        <f ca="1">SUMIFS(OUT!$F$2:$F$11000,OUT!$H$2:$H$11000,H464,OUT!$D$2:$D$101007,"In")</f>
        <v>#VALUE!</v>
      </c>
      <c r="J464" s="52">
        <f ca="1">SUMIFS(OUT!$F$2:$F$11000,OUT!$H$2:$H$11000,H464,OUT!$D$2:$D$11000,"Out")</f>
        <v>6908733</v>
      </c>
      <c r="K464" s="52">
        <f ca="1">SUMIFS(OUT!$F$2:$F$11000,OUT!$H$2:$H$11000,H464,OUT!$D$2:$D$11000,"Out",OUT!$E$2:$E$11000,"Fix")</f>
        <v>2440568</v>
      </c>
      <c r="L464" s="52">
        <f ca="1">SUMIFS(OUT!$F$2:$F$11000,OUT!$H$2:$H$11000,H464,OUT!$D$2:$D$11000,"Out",OUT!$E$2:$E$11000,"Bathroom")</f>
        <v>34500</v>
      </c>
      <c r="M464" s="52">
        <f ca="1">SUMIFS(OUT!$F$2:$F$11000,OUT!$H$2:$H$11000,H464,OUT!$D$2:$D$11000,"Out",OUT!$E$2:$E$11000,"Alfa")</f>
        <v>293800</v>
      </c>
      <c r="N464" s="52" t="e">
        <f ca="1">SUMIFS(OUT!$F$2:$F$11000,OUT!$H$2:$H$101007,H464,OUT!$D$2:$D$11000,"Out",OUT!$E$2:$E$11000,"Jajan")</f>
        <v>#VALUE!</v>
      </c>
      <c r="O464" s="52">
        <f ca="1">SUMIFS(OUT!$F$2:$F$11000,OUT!$H$2:$H$11000,H464,OUT!$D$2:$D$11000,"Out",OUT!$E$2:$E$11000,"Kitchen")</f>
        <v>992724</v>
      </c>
      <c r="P464" s="52">
        <f ca="1">SUMIFS(OUT!$F$2:$F$11000,OUT!$H$2:$H$11000,H464,OUT!$D$2:$D$11000,"Out",OUT!$E$2:$E$11000,"Loandry")</f>
        <v>41600</v>
      </c>
      <c r="Q464" s="52">
        <f ca="1">SUMIFS(OUT!$F$2:$F$11000,OUT!$H$2:$H$11000,H464,OUT!$D$2:$D$11000,"Out",OUT!$E$2:$E$11000,"Mio")</f>
        <v>249000</v>
      </c>
      <c r="R464" s="52">
        <f ca="1">SUMIFS(OUT!$F$2:$F$11000,OUT!$H$2:$H$11000,H464,OUT!$D$2:$D$11000,"Out",OUT!$E$2:$E$11000,"Sedekah")</f>
        <v>129000</v>
      </c>
      <c r="S464" s="52">
        <f ca="1">SUMIFS(OUT!$F$2:$F$11000,OUT!$H$2:$H$11000,H464,OUT!$D$2:$D$11000,"Out",OUT!$E$2:$E$11000,"Zela")</f>
        <v>24100</v>
      </c>
      <c r="T464" s="52">
        <f ca="1">SUMIFS(OUT!$F$2:$F$11000,OUT!$H$2:$H$11000,H464,OUT!$D$2:$D$11000,"Out",OUT!$E$2:$E$11000,"Iqbal")</f>
        <v>121000</v>
      </c>
    </row>
    <row r="465" spans="1:20" x14ac:dyDescent="0.2">
      <c r="A465" s="48">
        <f ca="1">IFERROR(__xludf.DUMMYFUNCTION("""COMPUTED_VALUE"""),46066)</f>
        <v>46066</v>
      </c>
      <c r="B465" s="4" t="str">
        <f ca="1">IFERROR(__xludf.DUMMYFUNCTION("""COMPUTED_VALUE"""),"Wadah Ice Cream ( Seabank/Shopee)")</f>
        <v>Wadah Ice Cream ( Seabank/Shopee)</v>
      </c>
      <c r="C465" s="4" t="str">
        <f ca="1">IFERROR(__xludf.DUMMYFUNCTION("""COMPUTED_VALUE"""),"ATM")</f>
        <v>ATM</v>
      </c>
      <c r="D465" s="4" t="str">
        <f ca="1">IFERROR(__xludf.DUMMYFUNCTION("""COMPUTED_VALUE"""),"Out")</f>
        <v>Out</v>
      </c>
      <c r="E465" s="4" t="str">
        <f ca="1">IFERROR(__xludf.DUMMYFUNCTION("""COMPUTED_VALUE"""),"Kitchen")</f>
        <v>Kitchen</v>
      </c>
      <c r="F465" s="49">
        <f ca="1">IFERROR(__xludf.DUMMYFUNCTION("""COMPUTED_VALUE"""),7710)</f>
        <v>7710</v>
      </c>
      <c r="G465" s="50" t="str">
        <f ca="1">IFERROR(__xludf.DUMMYFUNCTION("""COMPUTED_VALUE"""),"Zela")</f>
        <v>Zela</v>
      </c>
      <c r="H465" s="51">
        <f t="shared" ca="1" si="0"/>
        <v>46054</v>
      </c>
      <c r="I465" s="52" t="e">
        <f ca="1">SUMIFS(OUT!$F$2:$F$11000,OUT!$H$2:$H$11000,H465,OUT!$D$2:$D$101007,"In")</f>
        <v>#VALUE!</v>
      </c>
      <c r="J465" s="52">
        <f ca="1">SUMIFS(OUT!$F$2:$F$11000,OUT!$H$2:$H$11000,H465,OUT!$D$2:$D$11000,"Out")</f>
        <v>6908733</v>
      </c>
      <c r="K465" s="52">
        <f ca="1">SUMIFS(OUT!$F$2:$F$11000,OUT!$H$2:$H$11000,H465,OUT!$D$2:$D$11000,"Out",OUT!$E$2:$E$11000,"Fix")</f>
        <v>2440568</v>
      </c>
      <c r="L465" s="52">
        <f ca="1">SUMIFS(OUT!$F$2:$F$11000,OUT!$H$2:$H$11000,H465,OUT!$D$2:$D$11000,"Out",OUT!$E$2:$E$11000,"Bathroom")</f>
        <v>34500</v>
      </c>
      <c r="M465" s="52">
        <f ca="1">SUMIFS(OUT!$F$2:$F$11000,OUT!$H$2:$H$11000,H465,OUT!$D$2:$D$11000,"Out",OUT!$E$2:$E$11000,"Alfa")</f>
        <v>293800</v>
      </c>
      <c r="N465" s="52" t="e">
        <f ca="1">SUMIFS(OUT!$F$2:$F$11000,OUT!$H$2:$H$101007,H465,OUT!$D$2:$D$11000,"Out",OUT!$E$2:$E$11000,"Jajan")</f>
        <v>#VALUE!</v>
      </c>
      <c r="O465" s="52">
        <f ca="1">SUMIFS(OUT!$F$2:$F$11000,OUT!$H$2:$H$11000,H465,OUT!$D$2:$D$11000,"Out",OUT!$E$2:$E$11000,"Kitchen")</f>
        <v>992724</v>
      </c>
      <c r="P465" s="52">
        <f ca="1">SUMIFS(OUT!$F$2:$F$11000,OUT!$H$2:$H$11000,H465,OUT!$D$2:$D$11000,"Out",OUT!$E$2:$E$11000,"Loandry")</f>
        <v>41600</v>
      </c>
      <c r="Q465" s="52">
        <f ca="1">SUMIFS(OUT!$F$2:$F$11000,OUT!$H$2:$H$11000,H465,OUT!$D$2:$D$11000,"Out",OUT!$E$2:$E$11000,"Mio")</f>
        <v>249000</v>
      </c>
      <c r="R465" s="52">
        <f ca="1">SUMIFS(OUT!$F$2:$F$11000,OUT!$H$2:$H$11000,H465,OUT!$D$2:$D$11000,"Out",OUT!$E$2:$E$11000,"Sedekah")</f>
        <v>129000</v>
      </c>
      <c r="S465" s="52">
        <f ca="1">SUMIFS(OUT!$F$2:$F$11000,OUT!$H$2:$H$11000,H465,OUT!$D$2:$D$11000,"Out",OUT!$E$2:$E$11000,"Zela")</f>
        <v>24100</v>
      </c>
      <c r="T465" s="52">
        <f ca="1">SUMIFS(OUT!$F$2:$F$11000,OUT!$H$2:$H$11000,H465,OUT!$D$2:$D$11000,"Out",OUT!$E$2:$E$11000,"Iqbal")</f>
        <v>121000</v>
      </c>
    </row>
    <row r="466" spans="1:20" x14ac:dyDescent="0.2">
      <c r="A466" s="48">
        <f ca="1">IFERROR(__xludf.DUMMYFUNCTION("""COMPUTED_VALUE"""),46066)</f>
        <v>46066</v>
      </c>
      <c r="B466" s="4" t="str">
        <f ca="1">IFERROR(__xludf.DUMMYFUNCTION("""COMPUTED_VALUE"""),"Ladaku")</f>
        <v>Ladaku</v>
      </c>
      <c r="C466" s="4" t="str">
        <f ca="1">IFERROR(__xludf.DUMMYFUNCTION("""COMPUTED_VALUE"""),"Cash")</f>
        <v>Cash</v>
      </c>
      <c r="D466" s="4" t="str">
        <f ca="1">IFERROR(__xludf.DUMMYFUNCTION("""COMPUTED_VALUE"""),"Out")</f>
        <v>Out</v>
      </c>
      <c r="E466" s="4" t="str">
        <f ca="1">IFERROR(__xludf.DUMMYFUNCTION("""COMPUTED_VALUE"""),"Kitchen")</f>
        <v>Kitchen</v>
      </c>
      <c r="F466" s="49">
        <f ca="1">IFERROR(__xludf.DUMMYFUNCTION("""COMPUTED_VALUE"""),10000)</f>
        <v>10000</v>
      </c>
      <c r="G466" s="50" t="str">
        <f ca="1">IFERROR(__xludf.DUMMYFUNCTION("""COMPUTED_VALUE"""),"Zela")</f>
        <v>Zela</v>
      </c>
      <c r="H466" s="51">
        <f t="shared" ca="1" si="0"/>
        <v>46054</v>
      </c>
      <c r="I466" s="52" t="e">
        <f ca="1">SUMIFS(OUT!$F$2:$F$11000,OUT!$H$2:$H$11000,H466,OUT!$D$2:$D$101007,"In")</f>
        <v>#VALUE!</v>
      </c>
      <c r="J466" s="52">
        <f ca="1">SUMIFS(OUT!$F$2:$F$11000,OUT!$H$2:$H$11000,H466,OUT!$D$2:$D$11000,"Out")</f>
        <v>6908733</v>
      </c>
      <c r="K466" s="52">
        <f ca="1">SUMIFS(OUT!$F$2:$F$11000,OUT!$H$2:$H$11000,H466,OUT!$D$2:$D$11000,"Out",OUT!$E$2:$E$11000,"Fix")</f>
        <v>2440568</v>
      </c>
      <c r="L466" s="52">
        <f ca="1">SUMIFS(OUT!$F$2:$F$11000,OUT!$H$2:$H$11000,H466,OUT!$D$2:$D$11000,"Out",OUT!$E$2:$E$11000,"Bathroom")</f>
        <v>34500</v>
      </c>
      <c r="M466" s="52">
        <f ca="1">SUMIFS(OUT!$F$2:$F$11000,OUT!$H$2:$H$11000,H466,OUT!$D$2:$D$11000,"Out",OUT!$E$2:$E$11000,"Alfa")</f>
        <v>293800</v>
      </c>
      <c r="N466" s="52" t="e">
        <f ca="1">SUMIFS(OUT!$F$2:$F$11000,OUT!$H$2:$H$101007,H466,OUT!$D$2:$D$11000,"Out",OUT!$E$2:$E$11000,"Jajan")</f>
        <v>#VALUE!</v>
      </c>
      <c r="O466" s="52">
        <f ca="1">SUMIFS(OUT!$F$2:$F$11000,OUT!$H$2:$H$11000,H466,OUT!$D$2:$D$11000,"Out",OUT!$E$2:$E$11000,"Kitchen")</f>
        <v>992724</v>
      </c>
      <c r="P466" s="52">
        <f ca="1">SUMIFS(OUT!$F$2:$F$11000,OUT!$H$2:$H$11000,H466,OUT!$D$2:$D$11000,"Out",OUT!$E$2:$E$11000,"Loandry")</f>
        <v>41600</v>
      </c>
      <c r="Q466" s="52">
        <f ca="1">SUMIFS(OUT!$F$2:$F$11000,OUT!$H$2:$H$11000,H466,OUT!$D$2:$D$11000,"Out",OUT!$E$2:$E$11000,"Mio")</f>
        <v>249000</v>
      </c>
      <c r="R466" s="52">
        <f ca="1">SUMIFS(OUT!$F$2:$F$11000,OUT!$H$2:$H$11000,H466,OUT!$D$2:$D$11000,"Out",OUT!$E$2:$E$11000,"Sedekah")</f>
        <v>129000</v>
      </c>
      <c r="S466" s="52">
        <f ca="1">SUMIFS(OUT!$F$2:$F$11000,OUT!$H$2:$H$11000,H466,OUT!$D$2:$D$11000,"Out",OUT!$E$2:$E$11000,"Zela")</f>
        <v>24100</v>
      </c>
      <c r="T466" s="52">
        <f ca="1">SUMIFS(OUT!$F$2:$F$11000,OUT!$H$2:$H$11000,H466,OUT!$D$2:$D$11000,"Out",OUT!$E$2:$E$11000,"Iqbal")</f>
        <v>121000</v>
      </c>
    </row>
    <row r="467" spans="1:20" x14ac:dyDescent="0.2">
      <c r="A467" s="48">
        <f ca="1">IFERROR(__xludf.DUMMYFUNCTION("""COMPUTED_VALUE"""),46066)</f>
        <v>46066</v>
      </c>
      <c r="B467" s="4" t="str">
        <f ca="1">IFERROR(__xludf.DUMMYFUNCTION("""COMPUTED_VALUE"""),"Jajan Alfa")</f>
        <v>Jajan Alfa</v>
      </c>
      <c r="C467" s="4" t="str">
        <f ca="1">IFERROR(__xludf.DUMMYFUNCTION("""COMPUTED_VALUE"""),"Cash")</f>
        <v>Cash</v>
      </c>
      <c r="D467" s="4" t="str">
        <f ca="1">IFERROR(__xludf.DUMMYFUNCTION("""COMPUTED_VALUE"""),"Out")</f>
        <v>Out</v>
      </c>
      <c r="E467" s="4" t="str">
        <f ca="1">IFERROR(__xludf.DUMMYFUNCTION("""COMPUTED_VALUE"""),"Alfa")</f>
        <v>Alfa</v>
      </c>
      <c r="F467" s="49">
        <f ca="1">IFERROR(__xludf.DUMMYFUNCTION("""COMPUTED_VALUE"""),10000)</f>
        <v>10000</v>
      </c>
      <c r="G467" s="50" t="str">
        <f ca="1">IFERROR(__xludf.DUMMYFUNCTION("""COMPUTED_VALUE"""),"Zela")</f>
        <v>Zela</v>
      </c>
      <c r="H467" s="51">
        <f t="shared" ca="1" si="0"/>
        <v>46054</v>
      </c>
      <c r="I467" s="52" t="e">
        <f ca="1">SUMIFS(OUT!$F$2:$F$11000,OUT!$H$2:$H$11000,H467,OUT!$D$2:$D$101007,"In")</f>
        <v>#VALUE!</v>
      </c>
      <c r="J467" s="52">
        <f ca="1">SUMIFS(OUT!$F$2:$F$11000,OUT!$H$2:$H$11000,H467,OUT!$D$2:$D$11000,"Out")</f>
        <v>6908733</v>
      </c>
      <c r="K467" s="52">
        <f ca="1">SUMIFS(OUT!$F$2:$F$11000,OUT!$H$2:$H$11000,H467,OUT!$D$2:$D$11000,"Out",OUT!$E$2:$E$11000,"Fix")</f>
        <v>2440568</v>
      </c>
      <c r="L467" s="52">
        <f ca="1">SUMIFS(OUT!$F$2:$F$11000,OUT!$H$2:$H$11000,H467,OUT!$D$2:$D$11000,"Out",OUT!$E$2:$E$11000,"Bathroom")</f>
        <v>34500</v>
      </c>
      <c r="M467" s="52">
        <f ca="1">SUMIFS(OUT!$F$2:$F$11000,OUT!$H$2:$H$11000,H467,OUT!$D$2:$D$11000,"Out",OUT!$E$2:$E$11000,"Alfa")</f>
        <v>293800</v>
      </c>
      <c r="N467" s="52" t="e">
        <f ca="1">SUMIFS(OUT!$F$2:$F$11000,OUT!$H$2:$H$101007,H467,OUT!$D$2:$D$11000,"Out",OUT!$E$2:$E$11000,"Jajan")</f>
        <v>#VALUE!</v>
      </c>
      <c r="O467" s="52">
        <f ca="1">SUMIFS(OUT!$F$2:$F$11000,OUT!$H$2:$H$11000,H467,OUT!$D$2:$D$11000,"Out",OUT!$E$2:$E$11000,"Kitchen")</f>
        <v>992724</v>
      </c>
      <c r="P467" s="52">
        <f ca="1">SUMIFS(OUT!$F$2:$F$11000,OUT!$H$2:$H$11000,H467,OUT!$D$2:$D$11000,"Out",OUT!$E$2:$E$11000,"Loandry")</f>
        <v>41600</v>
      </c>
      <c r="Q467" s="52">
        <f ca="1">SUMIFS(OUT!$F$2:$F$11000,OUT!$H$2:$H$11000,H467,OUT!$D$2:$D$11000,"Out",OUT!$E$2:$E$11000,"Mio")</f>
        <v>249000</v>
      </c>
      <c r="R467" s="52">
        <f ca="1">SUMIFS(OUT!$F$2:$F$11000,OUT!$H$2:$H$11000,H467,OUT!$D$2:$D$11000,"Out",OUT!$E$2:$E$11000,"Sedekah")</f>
        <v>129000</v>
      </c>
      <c r="S467" s="52">
        <f ca="1">SUMIFS(OUT!$F$2:$F$11000,OUT!$H$2:$H$11000,H467,OUT!$D$2:$D$11000,"Out",OUT!$E$2:$E$11000,"Zela")</f>
        <v>24100</v>
      </c>
      <c r="T467" s="52">
        <f ca="1">SUMIFS(OUT!$F$2:$F$11000,OUT!$H$2:$H$11000,H467,OUT!$D$2:$D$11000,"Out",OUT!$E$2:$E$11000,"Iqbal")</f>
        <v>121000</v>
      </c>
    </row>
    <row r="468" spans="1:20" x14ac:dyDescent="0.2">
      <c r="A468" s="48">
        <f ca="1">IFERROR(__xludf.DUMMYFUNCTION("""COMPUTED_VALUE"""),46066)</f>
        <v>46066</v>
      </c>
      <c r="B468" s="4" t="str">
        <f ca="1">IFERROR(__xludf.DUMMYFUNCTION("""COMPUTED_VALUE"""),"Infak Jum'at")</f>
        <v>Infak Jum'at</v>
      </c>
      <c r="C468" s="4" t="str">
        <f ca="1">IFERROR(__xludf.DUMMYFUNCTION("""COMPUTED_VALUE"""),"Cash")</f>
        <v>Cash</v>
      </c>
      <c r="D468" s="4" t="str">
        <f ca="1">IFERROR(__xludf.DUMMYFUNCTION("""COMPUTED_VALUE"""),"Out")</f>
        <v>Out</v>
      </c>
      <c r="E468" s="4" t="str">
        <f ca="1">IFERROR(__xludf.DUMMYFUNCTION("""COMPUTED_VALUE"""),"Sedekah")</f>
        <v>Sedekah</v>
      </c>
      <c r="F468" s="49">
        <f ca="1">IFERROR(__xludf.DUMMYFUNCTION("""COMPUTED_VALUE"""),10000)</f>
        <v>10000</v>
      </c>
      <c r="G468" s="50" t="str">
        <f ca="1">IFERROR(__xludf.DUMMYFUNCTION("""COMPUTED_VALUE"""),"Zela")</f>
        <v>Zela</v>
      </c>
      <c r="H468" s="51">
        <f t="shared" ca="1" si="0"/>
        <v>46054</v>
      </c>
      <c r="I468" s="52" t="e">
        <f ca="1">SUMIFS(OUT!$F$2:$F$11000,OUT!$H$2:$H$11000,H468,OUT!$D$2:$D$101007,"In")</f>
        <v>#VALUE!</v>
      </c>
      <c r="J468" s="52">
        <f ca="1">SUMIFS(OUT!$F$2:$F$11000,OUT!$H$2:$H$11000,H468,OUT!$D$2:$D$11000,"Out")</f>
        <v>6908733</v>
      </c>
      <c r="K468" s="52">
        <f ca="1">SUMIFS(OUT!$F$2:$F$11000,OUT!$H$2:$H$11000,H468,OUT!$D$2:$D$11000,"Out",OUT!$E$2:$E$11000,"Fix")</f>
        <v>2440568</v>
      </c>
      <c r="L468" s="52">
        <f ca="1">SUMIFS(OUT!$F$2:$F$11000,OUT!$H$2:$H$11000,H468,OUT!$D$2:$D$11000,"Out",OUT!$E$2:$E$11000,"Bathroom")</f>
        <v>34500</v>
      </c>
      <c r="M468" s="52">
        <f ca="1">SUMIFS(OUT!$F$2:$F$11000,OUT!$H$2:$H$11000,H468,OUT!$D$2:$D$11000,"Out",OUT!$E$2:$E$11000,"Alfa")</f>
        <v>293800</v>
      </c>
      <c r="N468" s="52" t="e">
        <f ca="1">SUMIFS(OUT!$F$2:$F$11000,OUT!$H$2:$H$101007,H468,OUT!$D$2:$D$11000,"Out",OUT!$E$2:$E$11000,"Jajan")</f>
        <v>#VALUE!</v>
      </c>
      <c r="O468" s="52">
        <f ca="1">SUMIFS(OUT!$F$2:$F$11000,OUT!$H$2:$H$11000,H468,OUT!$D$2:$D$11000,"Out",OUT!$E$2:$E$11000,"Kitchen")</f>
        <v>992724</v>
      </c>
      <c r="P468" s="52">
        <f ca="1">SUMIFS(OUT!$F$2:$F$11000,OUT!$H$2:$H$11000,H468,OUT!$D$2:$D$11000,"Out",OUT!$E$2:$E$11000,"Loandry")</f>
        <v>41600</v>
      </c>
      <c r="Q468" s="52">
        <f ca="1">SUMIFS(OUT!$F$2:$F$11000,OUT!$H$2:$H$11000,H468,OUT!$D$2:$D$11000,"Out",OUT!$E$2:$E$11000,"Mio")</f>
        <v>249000</v>
      </c>
      <c r="R468" s="52">
        <f ca="1">SUMIFS(OUT!$F$2:$F$11000,OUT!$H$2:$H$11000,H468,OUT!$D$2:$D$11000,"Out",OUT!$E$2:$E$11000,"Sedekah")</f>
        <v>129000</v>
      </c>
      <c r="S468" s="52">
        <f ca="1">SUMIFS(OUT!$F$2:$F$11000,OUT!$H$2:$H$11000,H468,OUT!$D$2:$D$11000,"Out",OUT!$E$2:$E$11000,"Zela")</f>
        <v>24100</v>
      </c>
      <c r="T468" s="52">
        <f ca="1">SUMIFS(OUT!$F$2:$F$11000,OUT!$H$2:$H$11000,H468,OUT!$D$2:$D$11000,"Out",OUT!$E$2:$E$11000,"Iqbal")</f>
        <v>121000</v>
      </c>
    </row>
    <row r="469" spans="1:20" x14ac:dyDescent="0.2">
      <c r="A469" s="48">
        <f ca="1">IFERROR(__xludf.DUMMYFUNCTION("""COMPUTED_VALUE"""),46067)</f>
        <v>46067</v>
      </c>
      <c r="B469" s="4" t="str">
        <f ca="1">IFERROR(__xludf.DUMMYFUNCTION("""COMPUTED_VALUE"""),"Trika( Alfagift )")</f>
        <v>Trika( Alfagift )</v>
      </c>
      <c r="C469" s="4" t="str">
        <f ca="1">IFERROR(__xludf.DUMMYFUNCTION("""COMPUTED_VALUE"""),"ATM")</f>
        <v>ATM</v>
      </c>
      <c r="D469" s="4" t="str">
        <f ca="1">IFERROR(__xludf.DUMMYFUNCTION("""COMPUTED_VALUE"""),"Out")</f>
        <v>Out</v>
      </c>
      <c r="E469" s="4" t="str">
        <f ca="1">IFERROR(__xludf.DUMMYFUNCTION("""COMPUTED_VALUE"""),"Loandry")</f>
        <v>Loandry</v>
      </c>
      <c r="F469" s="49">
        <f ca="1">IFERROR(__xludf.DUMMYFUNCTION("""COMPUTED_VALUE"""),11500)</f>
        <v>11500</v>
      </c>
      <c r="G469" s="50" t="str">
        <f ca="1">IFERROR(__xludf.DUMMYFUNCTION("""COMPUTED_VALUE"""),"Zela")</f>
        <v>Zela</v>
      </c>
      <c r="H469" s="51">
        <f t="shared" ca="1" si="0"/>
        <v>46054</v>
      </c>
      <c r="I469" s="52" t="e">
        <f ca="1">SUMIFS(OUT!$F$2:$F$11000,OUT!$H$2:$H$11000,H469,OUT!$D$2:$D$101007,"In")</f>
        <v>#VALUE!</v>
      </c>
      <c r="J469" s="52">
        <f ca="1">SUMIFS(OUT!$F$2:$F$11000,OUT!$H$2:$H$11000,H469,OUT!$D$2:$D$11000,"Out")</f>
        <v>6908733</v>
      </c>
      <c r="K469" s="52">
        <f ca="1">SUMIFS(OUT!$F$2:$F$11000,OUT!$H$2:$H$11000,H469,OUT!$D$2:$D$11000,"Out",OUT!$E$2:$E$11000,"Fix")</f>
        <v>2440568</v>
      </c>
      <c r="L469" s="52">
        <f ca="1">SUMIFS(OUT!$F$2:$F$11000,OUT!$H$2:$H$11000,H469,OUT!$D$2:$D$11000,"Out",OUT!$E$2:$E$11000,"Bathroom")</f>
        <v>34500</v>
      </c>
      <c r="M469" s="52">
        <f ca="1">SUMIFS(OUT!$F$2:$F$11000,OUT!$H$2:$H$11000,H469,OUT!$D$2:$D$11000,"Out",OUT!$E$2:$E$11000,"Alfa")</f>
        <v>293800</v>
      </c>
      <c r="N469" s="52" t="e">
        <f ca="1">SUMIFS(OUT!$F$2:$F$11000,OUT!$H$2:$H$101007,H469,OUT!$D$2:$D$11000,"Out",OUT!$E$2:$E$11000,"Jajan")</f>
        <v>#VALUE!</v>
      </c>
      <c r="O469" s="52">
        <f ca="1">SUMIFS(OUT!$F$2:$F$11000,OUT!$H$2:$H$11000,H469,OUT!$D$2:$D$11000,"Out",OUT!$E$2:$E$11000,"Kitchen")</f>
        <v>992724</v>
      </c>
      <c r="P469" s="52">
        <f ca="1">SUMIFS(OUT!$F$2:$F$11000,OUT!$H$2:$H$11000,H469,OUT!$D$2:$D$11000,"Out",OUT!$E$2:$E$11000,"Loandry")</f>
        <v>41600</v>
      </c>
      <c r="Q469" s="52">
        <f ca="1">SUMIFS(OUT!$F$2:$F$11000,OUT!$H$2:$H$11000,H469,OUT!$D$2:$D$11000,"Out",OUT!$E$2:$E$11000,"Mio")</f>
        <v>249000</v>
      </c>
      <c r="R469" s="52">
        <f ca="1">SUMIFS(OUT!$F$2:$F$11000,OUT!$H$2:$H$11000,H469,OUT!$D$2:$D$11000,"Out",OUT!$E$2:$E$11000,"Sedekah")</f>
        <v>129000</v>
      </c>
      <c r="S469" s="52">
        <f ca="1">SUMIFS(OUT!$F$2:$F$11000,OUT!$H$2:$H$11000,H469,OUT!$D$2:$D$11000,"Out",OUT!$E$2:$E$11000,"Zela")</f>
        <v>24100</v>
      </c>
      <c r="T469" s="52">
        <f ca="1">SUMIFS(OUT!$F$2:$F$11000,OUT!$H$2:$H$11000,H469,OUT!$D$2:$D$11000,"Out",OUT!$E$2:$E$11000,"Iqbal")</f>
        <v>121000</v>
      </c>
    </row>
    <row r="470" spans="1:20" x14ac:dyDescent="0.2">
      <c r="A470" s="48">
        <f ca="1">IFERROR(__xludf.DUMMYFUNCTION("""COMPUTED_VALUE"""),46067)</f>
        <v>46067</v>
      </c>
      <c r="B470" s="4" t="str">
        <f ca="1">IFERROR(__xludf.DUMMYFUNCTION("""COMPUTED_VALUE"""),"Pantyliner ( Alfagift )")</f>
        <v>Pantyliner ( Alfagift )</v>
      </c>
      <c r="C470" s="4" t="str">
        <f ca="1">IFERROR(__xludf.DUMMYFUNCTION("""COMPUTED_VALUE"""),"ATM")</f>
        <v>ATM</v>
      </c>
      <c r="D470" s="4" t="str">
        <f ca="1">IFERROR(__xludf.DUMMYFUNCTION("""COMPUTED_VALUE"""),"Out")</f>
        <v>Out</v>
      </c>
      <c r="E470" s="4" t="str">
        <f ca="1">IFERROR(__xludf.DUMMYFUNCTION("""COMPUTED_VALUE"""),"Zela")</f>
        <v>Zela</v>
      </c>
      <c r="F470" s="49">
        <f ca="1">IFERROR(__xludf.DUMMYFUNCTION("""COMPUTED_VALUE"""),6600)</f>
        <v>6600</v>
      </c>
      <c r="G470" s="50" t="str">
        <f ca="1">IFERROR(__xludf.DUMMYFUNCTION("""COMPUTED_VALUE"""),"Zela")</f>
        <v>Zela</v>
      </c>
      <c r="H470" s="51">
        <f t="shared" ca="1" si="0"/>
        <v>46054</v>
      </c>
      <c r="I470" s="52" t="e">
        <f ca="1">SUMIFS(OUT!$F$2:$F$11000,OUT!$H$2:$H$11000,H470,OUT!$D$2:$D$101007,"In")</f>
        <v>#VALUE!</v>
      </c>
      <c r="J470" s="52">
        <f ca="1">SUMIFS(OUT!$F$2:$F$11000,OUT!$H$2:$H$11000,H470,OUT!$D$2:$D$11000,"Out")</f>
        <v>6908733</v>
      </c>
      <c r="K470" s="52">
        <f ca="1">SUMIFS(OUT!$F$2:$F$11000,OUT!$H$2:$H$11000,H470,OUT!$D$2:$D$11000,"Out",OUT!$E$2:$E$11000,"Fix")</f>
        <v>2440568</v>
      </c>
      <c r="L470" s="52">
        <f ca="1">SUMIFS(OUT!$F$2:$F$11000,OUT!$H$2:$H$11000,H470,OUT!$D$2:$D$11000,"Out",OUT!$E$2:$E$11000,"Bathroom")</f>
        <v>34500</v>
      </c>
      <c r="M470" s="52">
        <f ca="1">SUMIFS(OUT!$F$2:$F$11000,OUT!$H$2:$H$11000,H470,OUT!$D$2:$D$11000,"Out",OUT!$E$2:$E$11000,"Alfa")</f>
        <v>293800</v>
      </c>
      <c r="N470" s="52" t="e">
        <f ca="1">SUMIFS(OUT!$F$2:$F$11000,OUT!$H$2:$H$101007,H470,OUT!$D$2:$D$11000,"Out",OUT!$E$2:$E$11000,"Jajan")</f>
        <v>#VALUE!</v>
      </c>
      <c r="O470" s="52">
        <f ca="1">SUMIFS(OUT!$F$2:$F$11000,OUT!$H$2:$H$11000,H470,OUT!$D$2:$D$11000,"Out",OUT!$E$2:$E$11000,"Kitchen")</f>
        <v>992724</v>
      </c>
      <c r="P470" s="52">
        <f ca="1">SUMIFS(OUT!$F$2:$F$11000,OUT!$H$2:$H$11000,H470,OUT!$D$2:$D$11000,"Out",OUT!$E$2:$E$11000,"Loandry")</f>
        <v>41600</v>
      </c>
      <c r="Q470" s="52">
        <f ca="1">SUMIFS(OUT!$F$2:$F$11000,OUT!$H$2:$H$11000,H470,OUT!$D$2:$D$11000,"Out",OUT!$E$2:$E$11000,"Mio")</f>
        <v>249000</v>
      </c>
      <c r="R470" s="52">
        <f ca="1">SUMIFS(OUT!$F$2:$F$11000,OUT!$H$2:$H$11000,H470,OUT!$D$2:$D$11000,"Out",OUT!$E$2:$E$11000,"Sedekah")</f>
        <v>129000</v>
      </c>
      <c r="S470" s="52">
        <f ca="1">SUMIFS(OUT!$F$2:$F$11000,OUT!$H$2:$H$11000,H470,OUT!$D$2:$D$11000,"Out",OUT!$E$2:$E$11000,"Zela")</f>
        <v>24100</v>
      </c>
      <c r="T470" s="52">
        <f ca="1">SUMIFS(OUT!$F$2:$F$11000,OUT!$H$2:$H$11000,H470,OUT!$D$2:$D$11000,"Out",OUT!$E$2:$E$11000,"Iqbal")</f>
        <v>121000</v>
      </c>
    </row>
    <row r="471" spans="1:20" x14ac:dyDescent="0.2">
      <c r="A471" s="48">
        <f ca="1">IFERROR(__xludf.DUMMYFUNCTION("""COMPUTED_VALUE"""),46066)</f>
        <v>46066</v>
      </c>
      <c r="B471" s="4" t="str">
        <f ca="1">IFERROR(__xludf.DUMMYFUNCTION("""COMPUTED_VALUE"""),"Pasar Kaget ( Dapur ) + Parkir")</f>
        <v>Pasar Kaget ( Dapur ) + Parkir</v>
      </c>
      <c r="C471" s="4" t="str">
        <f ca="1">IFERROR(__xludf.DUMMYFUNCTION("""COMPUTED_VALUE"""),"Cash")</f>
        <v>Cash</v>
      </c>
      <c r="D471" s="4" t="str">
        <f ca="1">IFERROR(__xludf.DUMMYFUNCTION("""COMPUTED_VALUE"""),"Out")</f>
        <v>Out</v>
      </c>
      <c r="E471" s="4" t="str">
        <f ca="1">IFERROR(__xludf.DUMMYFUNCTION("""COMPUTED_VALUE"""),"Kitchen")</f>
        <v>Kitchen</v>
      </c>
      <c r="F471" s="49">
        <f ca="1">IFERROR(__xludf.DUMMYFUNCTION("""COMPUTED_VALUE"""),97000)</f>
        <v>97000</v>
      </c>
      <c r="G471" s="50" t="str">
        <f ca="1">IFERROR(__xludf.DUMMYFUNCTION("""COMPUTED_VALUE"""),"Zela")</f>
        <v>Zela</v>
      </c>
      <c r="H471" s="51">
        <f t="shared" ca="1" si="0"/>
        <v>46054</v>
      </c>
      <c r="I471" s="52" t="e">
        <f ca="1">SUMIFS(OUT!$F$2:$F$11000,OUT!$H$2:$H$11000,H471,OUT!$D$2:$D$101007,"In")</f>
        <v>#VALUE!</v>
      </c>
      <c r="J471" s="52">
        <f ca="1">SUMIFS(OUT!$F$2:$F$11000,OUT!$H$2:$H$11000,H471,OUT!$D$2:$D$11000,"Out")</f>
        <v>6908733</v>
      </c>
      <c r="K471" s="52">
        <f ca="1">SUMIFS(OUT!$F$2:$F$11000,OUT!$H$2:$H$11000,H471,OUT!$D$2:$D$11000,"Out",OUT!$E$2:$E$11000,"Fix")</f>
        <v>2440568</v>
      </c>
      <c r="L471" s="52">
        <f ca="1">SUMIFS(OUT!$F$2:$F$11000,OUT!$H$2:$H$11000,H471,OUT!$D$2:$D$11000,"Out",OUT!$E$2:$E$11000,"Bathroom")</f>
        <v>34500</v>
      </c>
      <c r="M471" s="52">
        <f ca="1">SUMIFS(OUT!$F$2:$F$11000,OUT!$H$2:$H$11000,H471,OUT!$D$2:$D$11000,"Out",OUT!$E$2:$E$11000,"Alfa")</f>
        <v>293800</v>
      </c>
      <c r="N471" s="52" t="e">
        <f ca="1">SUMIFS(OUT!$F$2:$F$11000,OUT!$H$2:$H$101007,H471,OUT!$D$2:$D$11000,"Out",OUT!$E$2:$E$11000,"Jajan")</f>
        <v>#VALUE!</v>
      </c>
      <c r="O471" s="52">
        <f ca="1">SUMIFS(OUT!$F$2:$F$11000,OUT!$H$2:$H$11000,H471,OUT!$D$2:$D$11000,"Out",OUT!$E$2:$E$11000,"Kitchen")</f>
        <v>992724</v>
      </c>
      <c r="P471" s="52">
        <f ca="1">SUMIFS(OUT!$F$2:$F$11000,OUT!$H$2:$H$11000,H471,OUT!$D$2:$D$11000,"Out",OUT!$E$2:$E$11000,"Loandry")</f>
        <v>41600</v>
      </c>
      <c r="Q471" s="52">
        <f ca="1">SUMIFS(OUT!$F$2:$F$11000,OUT!$H$2:$H$11000,H471,OUT!$D$2:$D$11000,"Out",OUT!$E$2:$E$11000,"Mio")</f>
        <v>249000</v>
      </c>
      <c r="R471" s="52">
        <f ca="1">SUMIFS(OUT!$F$2:$F$11000,OUT!$H$2:$H$11000,H471,OUT!$D$2:$D$11000,"Out",OUT!$E$2:$E$11000,"Sedekah")</f>
        <v>129000</v>
      </c>
      <c r="S471" s="52">
        <f ca="1">SUMIFS(OUT!$F$2:$F$11000,OUT!$H$2:$H$11000,H471,OUT!$D$2:$D$11000,"Out",OUT!$E$2:$E$11000,"Zela")</f>
        <v>24100</v>
      </c>
      <c r="T471" s="52">
        <f ca="1">SUMIFS(OUT!$F$2:$F$11000,OUT!$H$2:$H$11000,H471,OUT!$D$2:$D$11000,"Out",OUT!$E$2:$E$11000,"Iqbal")</f>
        <v>121000</v>
      </c>
    </row>
    <row r="472" spans="1:20" x14ac:dyDescent="0.2">
      <c r="A472" s="48">
        <f ca="1">IFERROR(__xludf.DUMMYFUNCTION("""COMPUTED_VALUE"""),46067)</f>
        <v>46067</v>
      </c>
      <c r="B472" s="4" t="str">
        <f ca="1">IFERROR(__xludf.DUMMYFUNCTION("""COMPUTED_VALUE"""),"Bakso Alfa")</f>
        <v>Bakso Alfa</v>
      </c>
      <c r="C472" s="4" t="str">
        <f ca="1">IFERROR(__xludf.DUMMYFUNCTION("""COMPUTED_VALUE"""),"Cash")</f>
        <v>Cash</v>
      </c>
      <c r="D472" s="4" t="str">
        <f ca="1">IFERROR(__xludf.DUMMYFUNCTION("""COMPUTED_VALUE"""),"Out")</f>
        <v>Out</v>
      </c>
      <c r="E472" s="4" t="str">
        <f ca="1">IFERROR(__xludf.DUMMYFUNCTION("""COMPUTED_VALUE"""),"Alfa")</f>
        <v>Alfa</v>
      </c>
      <c r="F472" s="49">
        <f ca="1">IFERROR(__xludf.DUMMYFUNCTION("""COMPUTED_VALUE"""),10000)</f>
        <v>10000</v>
      </c>
      <c r="G472" s="50" t="str">
        <f ca="1">IFERROR(__xludf.DUMMYFUNCTION("""COMPUTED_VALUE"""),"Zela")</f>
        <v>Zela</v>
      </c>
      <c r="H472" s="51">
        <f t="shared" ca="1" si="0"/>
        <v>46054</v>
      </c>
      <c r="I472" s="52" t="e">
        <f ca="1">SUMIFS(OUT!$F$2:$F$11000,OUT!$H$2:$H$11000,H472,OUT!$D$2:$D$101007,"In")</f>
        <v>#VALUE!</v>
      </c>
      <c r="J472" s="52">
        <f ca="1">SUMIFS(OUT!$F$2:$F$11000,OUT!$H$2:$H$11000,H472,OUT!$D$2:$D$11000,"Out")</f>
        <v>6908733</v>
      </c>
      <c r="K472" s="52">
        <f ca="1">SUMIFS(OUT!$F$2:$F$11000,OUT!$H$2:$H$11000,H472,OUT!$D$2:$D$11000,"Out",OUT!$E$2:$E$11000,"Fix")</f>
        <v>2440568</v>
      </c>
      <c r="L472" s="52">
        <f ca="1">SUMIFS(OUT!$F$2:$F$11000,OUT!$H$2:$H$11000,H472,OUT!$D$2:$D$11000,"Out",OUT!$E$2:$E$11000,"Bathroom")</f>
        <v>34500</v>
      </c>
      <c r="M472" s="52">
        <f ca="1">SUMIFS(OUT!$F$2:$F$11000,OUT!$H$2:$H$11000,H472,OUT!$D$2:$D$11000,"Out",OUT!$E$2:$E$11000,"Alfa")</f>
        <v>293800</v>
      </c>
      <c r="N472" s="52" t="e">
        <f ca="1">SUMIFS(OUT!$F$2:$F$11000,OUT!$H$2:$H$101007,H472,OUT!$D$2:$D$11000,"Out",OUT!$E$2:$E$11000,"Jajan")</f>
        <v>#VALUE!</v>
      </c>
      <c r="O472" s="52">
        <f ca="1">SUMIFS(OUT!$F$2:$F$11000,OUT!$H$2:$H$11000,H472,OUT!$D$2:$D$11000,"Out",OUT!$E$2:$E$11000,"Kitchen")</f>
        <v>992724</v>
      </c>
      <c r="P472" s="52">
        <f ca="1">SUMIFS(OUT!$F$2:$F$11000,OUT!$H$2:$H$11000,H472,OUT!$D$2:$D$11000,"Out",OUT!$E$2:$E$11000,"Loandry")</f>
        <v>41600</v>
      </c>
      <c r="Q472" s="52">
        <f ca="1">SUMIFS(OUT!$F$2:$F$11000,OUT!$H$2:$H$11000,H472,OUT!$D$2:$D$11000,"Out",OUT!$E$2:$E$11000,"Mio")</f>
        <v>249000</v>
      </c>
      <c r="R472" s="52">
        <f ca="1">SUMIFS(OUT!$F$2:$F$11000,OUT!$H$2:$H$11000,H472,OUT!$D$2:$D$11000,"Out",OUT!$E$2:$E$11000,"Sedekah")</f>
        <v>129000</v>
      </c>
      <c r="S472" s="52">
        <f ca="1">SUMIFS(OUT!$F$2:$F$11000,OUT!$H$2:$H$11000,H472,OUT!$D$2:$D$11000,"Out",OUT!$E$2:$E$11000,"Zela")</f>
        <v>24100</v>
      </c>
      <c r="T472" s="52">
        <f ca="1">SUMIFS(OUT!$F$2:$F$11000,OUT!$H$2:$H$11000,H472,OUT!$D$2:$D$11000,"Out",OUT!$E$2:$E$11000,"Iqbal")</f>
        <v>121000</v>
      </c>
    </row>
    <row r="473" spans="1:20" x14ac:dyDescent="0.2">
      <c r="A473" s="48">
        <f ca="1">IFERROR(__xludf.DUMMYFUNCTION("""COMPUTED_VALUE"""),46067)</f>
        <v>46067</v>
      </c>
      <c r="B473" s="4" t="str">
        <f ca="1">IFERROR(__xludf.DUMMYFUNCTION("""COMPUTED_VALUE"""),"Bensin Motor")</f>
        <v>Bensin Motor</v>
      </c>
      <c r="C473" s="4" t="str">
        <f ca="1">IFERROR(__xludf.DUMMYFUNCTION("""COMPUTED_VALUE"""),"Cash")</f>
        <v>Cash</v>
      </c>
      <c r="D473" s="4" t="str">
        <f ca="1">IFERROR(__xludf.DUMMYFUNCTION("""COMPUTED_VALUE"""),"Out")</f>
        <v>Out</v>
      </c>
      <c r="E473" s="4" t="str">
        <f ca="1">IFERROR(__xludf.DUMMYFUNCTION("""COMPUTED_VALUE"""),"Mio")</f>
        <v>Mio</v>
      </c>
      <c r="F473" s="49">
        <f ca="1">IFERROR(__xludf.DUMMYFUNCTION("""COMPUTED_VALUE"""),15000)</f>
        <v>15000</v>
      </c>
      <c r="G473" s="50" t="str">
        <f ca="1">IFERROR(__xludf.DUMMYFUNCTION("""COMPUTED_VALUE"""),"Zela")</f>
        <v>Zela</v>
      </c>
      <c r="H473" s="51">
        <f t="shared" ca="1" si="0"/>
        <v>46054</v>
      </c>
      <c r="I473" s="52" t="e">
        <f ca="1">SUMIFS(OUT!$F$2:$F$11000,OUT!$H$2:$H$11000,H473,OUT!$D$2:$D$101007,"In")</f>
        <v>#VALUE!</v>
      </c>
      <c r="J473" s="52">
        <f ca="1">SUMIFS(OUT!$F$2:$F$11000,OUT!$H$2:$H$11000,H473,OUT!$D$2:$D$11000,"Out")</f>
        <v>6908733</v>
      </c>
      <c r="K473" s="52">
        <f ca="1">SUMIFS(OUT!$F$2:$F$11000,OUT!$H$2:$H$11000,H473,OUT!$D$2:$D$11000,"Out",OUT!$E$2:$E$11000,"Fix")</f>
        <v>2440568</v>
      </c>
      <c r="L473" s="52">
        <f ca="1">SUMIFS(OUT!$F$2:$F$11000,OUT!$H$2:$H$11000,H473,OUT!$D$2:$D$11000,"Out",OUT!$E$2:$E$11000,"Bathroom")</f>
        <v>34500</v>
      </c>
      <c r="M473" s="52">
        <f ca="1">SUMIFS(OUT!$F$2:$F$11000,OUT!$H$2:$H$11000,H473,OUT!$D$2:$D$11000,"Out",OUT!$E$2:$E$11000,"Alfa")</f>
        <v>293800</v>
      </c>
      <c r="N473" s="52" t="e">
        <f ca="1">SUMIFS(OUT!$F$2:$F$11000,OUT!$H$2:$H$101007,H473,OUT!$D$2:$D$11000,"Out",OUT!$E$2:$E$11000,"Jajan")</f>
        <v>#VALUE!</v>
      </c>
      <c r="O473" s="52">
        <f ca="1">SUMIFS(OUT!$F$2:$F$11000,OUT!$H$2:$H$11000,H473,OUT!$D$2:$D$11000,"Out",OUT!$E$2:$E$11000,"Kitchen")</f>
        <v>992724</v>
      </c>
      <c r="P473" s="52">
        <f ca="1">SUMIFS(OUT!$F$2:$F$11000,OUT!$H$2:$H$11000,H473,OUT!$D$2:$D$11000,"Out",OUT!$E$2:$E$11000,"Loandry")</f>
        <v>41600</v>
      </c>
      <c r="Q473" s="52">
        <f ca="1">SUMIFS(OUT!$F$2:$F$11000,OUT!$H$2:$H$11000,H473,OUT!$D$2:$D$11000,"Out",OUT!$E$2:$E$11000,"Mio")</f>
        <v>249000</v>
      </c>
      <c r="R473" s="52">
        <f ca="1">SUMIFS(OUT!$F$2:$F$11000,OUT!$H$2:$H$11000,H473,OUT!$D$2:$D$11000,"Out",OUT!$E$2:$E$11000,"Sedekah")</f>
        <v>129000</v>
      </c>
      <c r="S473" s="52">
        <f ca="1">SUMIFS(OUT!$F$2:$F$11000,OUT!$H$2:$H$11000,H473,OUT!$D$2:$D$11000,"Out",OUT!$E$2:$E$11000,"Zela")</f>
        <v>24100</v>
      </c>
      <c r="T473" s="52">
        <f ca="1">SUMIFS(OUT!$F$2:$F$11000,OUT!$H$2:$H$11000,H473,OUT!$D$2:$D$11000,"Out",OUT!$E$2:$E$11000,"Iqbal")</f>
        <v>121000</v>
      </c>
    </row>
    <row r="474" spans="1:20" x14ac:dyDescent="0.2">
      <c r="A474" s="48">
        <f ca="1">IFERROR(__xludf.DUMMYFUNCTION("""COMPUTED_VALUE"""),46068)</f>
        <v>46068</v>
      </c>
      <c r="B474" s="4" t="str">
        <f ca="1">IFERROR(__xludf.DUMMYFUNCTION("""COMPUTED_VALUE"""),"Jajan Alfa")</f>
        <v>Jajan Alfa</v>
      </c>
      <c r="C474" s="4" t="str">
        <f ca="1">IFERROR(__xludf.DUMMYFUNCTION("""COMPUTED_VALUE"""),"Cash")</f>
        <v>Cash</v>
      </c>
      <c r="D474" s="4" t="str">
        <f ca="1">IFERROR(__xludf.DUMMYFUNCTION("""COMPUTED_VALUE"""),"Out")</f>
        <v>Out</v>
      </c>
      <c r="E474" s="4" t="str">
        <f ca="1">IFERROR(__xludf.DUMMYFUNCTION("""COMPUTED_VALUE"""),"Alfa")</f>
        <v>Alfa</v>
      </c>
      <c r="F474" s="49">
        <f ca="1">IFERROR(__xludf.DUMMYFUNCTION("""COMPUTED_VALUE"""),5000)</f>
        <v>5000</v>
      </c>
      <c r="G474" s="50" t="str">
        <f ca="1">IFERROR(__xludf.DUMMYFUNCTION("""COMPUTED_VALUE"""),"Zela")</f>
        <v>Zela</v>
      </c>
      <c r="H474" s="51">
        <f t="shared" ca="1" si="0"/>
        <v>46054</v>
      </c>
      <c r="I474" s="52" t="e">
        <f ca="1">SUMIFS(OUT!$F$2:$F$11000,OUT!$H$2:$H$11000,H474,OUT!$D$2:$D$101007,"In")</f>
        <v>#VALUE!</v>
      </c>
      <c r="J474" s="52">
        <f ca="1">SUMIFS(OUT!$F$2:$F$11000,OUT!$H$2:$H$11000,H474,OUT!$D$2:$D$11000,"Out")</f>
        <v>6908733</v>
      </c>
      <c r="K474" s="52">
        <f ca="1">SUMIFS(OUT!$F$2:$F$11000,OUT!$H$2:$H$11000,H474,OUT!$D$2:$D$11000,"Out",OUT!$E$2:$E$11000,"Fix")</f>
        <v>2440568</v>
      </c>
      <c r="L474" s="52">
        <f ca="1">SUMIFS(OUT!$F$2:$F$11000,OUT!$H$2:$H$11000,H474,OUT!$D$2:$D$11000,"Out",OUT!$E$2:$E$11000,"Bathroom")</f>
        <v>34500</v>
      </c>
      <c r="M474" s="52">
        <f ca="1">SUMIFS(OUT!$F$2:$F$11000,OUT!$H$2:$H$11000,H474,OUT!$D$2:$D$11000,"Out",OUT!$E$2:$E$11000,"Alfa")</f>
        <v>293800</v>
      </c>
      <c r="N474" s="52" t="e">
        <f ca="1">SUMIFS(OUT!$F$2:$F$11000,OUT!$H$2:$H$101007,H474,OUT!$D$2:$D$11000,"Out",OUT!$E$2:$E$11000,"Jajan")</f>
        <v>#VALUE!</v>
      </c>
      <c r="O474" s="52">
        <f ca="1">SUMIFS(OUT!$F$2:$F$11000,OUT!$H$2:$H$11000,H474,OUT!$D$2:$D$11000,"Out",OUT!$E$2:$E$11000,"Kitchen")</f>
        <v>992724</v>
      </c>
      <c r="P474" s="52">
        <f ca="1">SUMIFS(OUT!$F$2:$F$11000,OUT!$H$2:$H$11000,H474,OUT!$D$2:$D$11000,"Out",OUT!$E$2:$E$11000,"Loandry")</f>
        <v>41600</v>
      </c>
      <c r="Q474" s="52">
        <f ca="1">SUMIFS(OUT!$F$2:$F$11000,OUT!$H$2:$H$11000,H474,OUT!$D$2:$D$11000,"Out",OUT!$E$2:$E$11000,"Mio")</f>
        <v>249000</v>
      </c>
      <c r="R474" s="52">
        <f ca="1">SUMIFS(OUT!$F$2:$F$11000,OUT!$H$2:$H$11000,H474,OUT!$D$2:$D$11000,"Out",OUT!$E$2:$E$11000,"Sedekah")</f>
        <v>129000</v>
      </c>
      <c r="S474" s="52">
        <f ca="1">SUMIFS(OUT!$F$2:$F$11000,OUT!$H$2:$H$11000,H474,OUT!$D$2:$D$11000,"Out",OUT!$E$2:$E$11000,"Zela")</f>
        <v>24100</v>
      </c>
      <c r="T474" s="52">
        <f ca="1">SUMIFS(OUT!$F$2:$F$11000,OUT!$H$2:$H$11000,H474,OUT!$D$2:$D$11000,"Out",OUT!$E$2:$E$11000,"Iqbal")</f>
        <v>121000</v>
      </c>
    </row>
    <row r="475" spans="1:20" x14ac:dyDescent="0.2">
      <c r="A475" s="48">
        <f ca="1">IFERROR(__xludf.DUMMYFUNCTION("""COMPUTED_VALUE"""),46068)</f>
        <v>46068</v>
      </c>
      <c r="B475" s="4" t="str">
        <f ca="1">IFERROR(__xludf.DUMMYFUNCTION("""COMPUTED_VALUE"""),"Paket By.u 5")</f>
        <v>Paket By.u 5</v>
      </c>
      <c r="C475" s="4" t="str">
        <f ca="1">IFERROR(__xludf.DUMMYFUNCTION("""COMPUTED_VALUE"""),"ATM")</f>
        <v>ATM</v>
      </c>
      <c r="D475" s="4" t="str">
        <f ca="1">IFERROR(__xludf.DUMMYFUNCTION("""COMPUTED_VALUE"""),"Out")</f>
        <v>Out</v>
      </c>
      <c r="E475" s="4" t="str">
        <f ca="1">IFERROR(__xludf.DUMMYFUNCTION("""COMPUTED_VALUE"""),"Fix")</f>
        <v>Fix</v>
      </c>
      <c r="F475" s="49">
        <f ca="1">IFERROR(__xludf.DUMMYFUNCTION("""COMPUTED_VALUE"""),15000)</f>
        <v>15000</v>
      </c>
      <c r="G475" s="50" t="str">
        <f ca="1">IFERROR(__xludf.DUMMYFUNCTION("""COMPUTED_VALUE"""),"Zela")</f>
        <v>Zela</v>
      </c>
      <c r="H475" s="51">
        <f t="shared" ca="1" si="0"/>
        <v>46054</v>
      </c>
      <c r="I475" s="52" t="e">
        <f ca="1">SUMIFS(OUT!$F$2:$F$11000,OUT!$H$2:$H$11000,H475,OUT!$D$2:$D$101007,"In")</f>
        <v>#VALUE!</v>
      </c>
      <c r="J475" s="52">
        <f ca="1">SUMIFS(OUT!$F$2:$F$11000,OUT!$H$2:$H$11000,H475,OUT!$D$2:$D$11000,"Out")</f>
        <v>6908733</v>
      </c>
      <c r="K475" s="52">
        <f ca="1">SUMIFS(OUT!$F$2:$F$11000,OUT!$H$2:$H$11000,H475,OUT!$D$2:$D$11000,"Out",OUT!$E$2:$E$11000,"Fix")</f>
        <v>2440568</v>
      </c>
      <c r="L475" s="52">
        <f ca="1">SUMIFS(OUT!$F$2:$F$11000,OUT!$H$2:$H$11000,H475,OUT!$D$2:$D$11000,"Out",OUT!$E$2:$E$11000,"Bathroom")</f>
        <v>34500</v>
      </c>
      <c r="M475" s="52">
        <f ca="1">SUMIFS(OUT!$F$2:$F$11000,OUT!$H$2:$H$11000,H475,OUT!$D$2:$D$11000,"Out",OUT!$E$2:$E$11000,"Alfa")</f>
        <v>293800</v>
      </c>
      <c r="N475" s="52" t="e">
        <f ca="1">SUMIFS(OUT!$F$2:$F$11000,OUT!$H$2:$H$101007,H475,OUT!$D$2:$D$11000,"Out",OUT!$E$2:$E$11000,"Jajan")</f>
        <v>#VALUE!</v>
      </c>
      <c r="O475" s="52">
        <f ca="1">SUMIFS(OUT!$F$2:$F$11000,OUT!$H$2:$H$11000,H475,OUT!$D$2:$D$11000,"Out",OUT!$E$2:$E$11000,"Kitchen")</f>
        <v>992724</v>
      </c>
      <c r="P475" s="52">
        <f ca="1">SUMIFS(OUT!$F$2:$F$11000,OUT!$H$2:$H$11000,H475,OUT!$D$2:$D$11000,"Out",OUT!$E$2:$E$11000,"Loandry")</f>
        <v>41600</v>
      </c>
      <c r="Q475" s="52">
        <f ca="1">SUMIFS(OUT!$F$2:$F$11000,OUT!$H$2:$H$11000,H475,OUT!$D$2:$D$11000,"Out",OUT!$E$2:$E$11000,"Mio")</f>
        <v>249000</v>
      </c>
      <c r="R475" s="52">
        <f ca="1">SUMIFS(OUT!$F$2:$F$11000,OUT!$H$2:$H$11000,H475,OUT!$D$2:$D$11000,"Out",OUT!$E$2:$E$11000,"Sedekah")</f>
        <v>129000</v>
      </c>
      <c r="S475" s="52">
        <f ca="1">SUMIFS(OUT!$F$2:$F$11000,OUT!$H$2:$H$11000,H475,OUT!$D$2:$D$11000,"Out",OUT!$E$2:$E$11000,"Zela")</f>
        <v>24100</v>
      </c>
      <c r="T475" s="52">
        <f ca="1">SUMIFS(OUT!$F$2:$F$11000,OUT!$H$2:$H$11000,H475,OUT!$D$2:$D$11000,"Out",OUT!$E$2:$E$11000,"Iqbal")</f>
        <v>121000</v>
      </c>
    </row>
    <row r="476" spans="1:20" x14ac:dyDescent="0.2">
      <c r="A476" s="48">
        <f ca="1">IFERROR(__xludf.DUMMYFUNCTION("""COMPUTED_VALUE"""),46069)</f>
        <v>46069</v>
      </c>
      <c r="B476" s="4" t="str">
        <f ca="1">IFERROR(__xludf.DUMMYFUNCTION("""COMPUTED_VALUE"""),"Suamiku (uang rakit komp aulia)")</f>
        <v>Suamiku (uang rakit komp aulia)</v>
      </c>
      <c r="C476" s="4" t="str">
        <f ca="1">IFERROR(__xludf.DUMMYFUNCTION("""COMPUTED_VALUE"""),"ATM")</f>
        <v>ATM</v>
      </c>
      <c r="D476" s="4" t="str">
        <f ca="1">IFERROR(__xludf.DUMMYFUNCTION("""COMPUTED_VALUE"""),"In")</f>
        <v>In</v>
      </c>
      <c r="E476" s="4" t="str">
        <f ca="1">IFERROR(__xludf.DUMMYFUNCTION("""COMPUTED_VALUE"""),"Fix")</f>
        <v>Fix</v>
      </c>
      <c r="F476" s="49">
        <f ca="1">IFERROR(__xludf.DUMMYFUNCTION("""COMPUTED_VALUE"""),200000)</f>
        <v>200000</v>
      </c>
      <c r="G476" s="50" t="str">
        <f ca="1">IFERROR(__xludf.DUMMYFUNCTION("""COMPUTED_VALUE"""),"Zela")</f>
        <v>Zela</v>
      </c>
      <c r="H476" s="51">
        <f t="shared" ca="1" si="0"/>
        <v>46054</v>
      </c>
      <c r="I476" s="52" t="e">
        <f ca="1">SUMIFS(OUT!$F$2:$F$11000,OUT!$H$2:$H$11000,H476,OUT!$D$2:$D$101007,"In")</f>
        <v>#VALUE!</v>
      </c>
      <c r="J476" s="52">
        <f ca="1">SUMIFS(OUT!$F$2:$F$11000,OUT!$H$2:$H$11000,H476,OUT!$D$2:$D$11000,"Out")</f>
        <v>6908733</v>
      </c>
      <c r="K476" s="52">
        <f ca="1">SUMIFS(OUT!$F$2:$F$11000,OUT!$H$2:$H$11000,H476,OUT!$D$2:$D$11000,"Out",OUT!$E$2:$E$11000,"Fix")</f>
        <v>2440568</v>
      </c>
      <c r="L476" s="52">
        <f ca="1">SUMIFS(OUT!$F$2:$F$11000,OUT!$H$2:$H$11000,H476,OUT!$D$2:$D$11000,"Out",OUT!$E$2:$E$11000,"Bathroom")</f>
        <v>34500</v>
      </c>
      <c r="M476" s="52">
        <f ca="1">SUMIFS(OUT!$F$2:$F$11000,OUT!$H$2:$H$11000,H476,OUT!$D$2:$D$11000,"Out",OUT!$E$2:$E$11000,"Alfa")</f>
        <v>293800</v>
      </c>
      <c r="N476" s="52" t="e">
        <f ca="1">SUMIFS(OUT!$F$2:$F$11000,OUT!$H$2:$H$101007,H476,OUT!$D$2:$D$11000,"Out",OUT!$E$2:$E$11000,"Jajan")</f>
        <v>#VALUE!</v>
      </c>
      <c r="O476" s="52">
        <f ca="1">SUMIFS(OUT!$F$2:$F$11000,OUT!$H$2:$H$11000,H476,OUT!$D$2:$D$11000,"Out",OUT!$E$2:$E$11000,"Kitchen")</f>
        <v>992724</v>
      </c>
      <c r="P476" s="52">
        <f ca="1">SUMIFS(OUT!$F$2:$F$11000,OUT!$H$2:$H$11000,H476,OUT!$D$2:$D$11000,"Out",OUT!$E$2:$E$11000,"Loandry")</f>
        <v>41600</v>
      </c>
      <c r="Q476" s="52">
        <f ca="1">SUMIFS(OUT!$F$2:$F$11000,OUT!$H$2:$H$11000,H476,OUT!$D$2:$D$11000,"Out",OUT!$E$2:$E$11000,"Mio")</f>
        <v>249000</v>
      </c>
      <c r="R476" s="52">
        <f ca="1">SUMIFS(OUT!$F$2:$F$11000,OUT!$H$2:$H$11000,H476,OUT!$D$2:$D$11000,"Out",OUT!$E$2:$E$11000,"Sedekah")</f>
        <v>129000</v>
      </c>
      <c r="S476" s="52">
        <f ca="1">SUMIFS(OUT!$F$2:$F$11000,OUT!$H$2:$H$11000,H476,OUT!$D$2:$D$11000,"Out",OUT!$E$2:$E$11000,"Zela")</f>
        <v>24100</v>
      </c>
      <c r="T476" s="52">
        <f ca="1">SUMIFS(OUT!$F$2:$F$11000,OUT!$H$2:$H$11000,H476,OUT!$D$2:$D$11000,"Out",OUT!$E$2:$E$11000,"Iqbal")</f>
        <v>121000</v>
      </c>
    </row>
    <row r="477" spans="1:20" x14ac:dyDescent="0.2">
      <c r="A477" s="48">
        <f ca="1">IFERROR(__xludf.DUMMYFUNCTION("""COMPUTED_VALUE"""),46069)</f>
        <v>46069</v>
      </c>
      <c r="B477" s="4" t="str">
        <f ca="1">IFERROR(__xludf.DUMMYFUNCTION("""COMPUTED_VALUE"""),"Tarik tunai")</f>
        <v>Tarik tunai</v>
      </c>
      <c r="C477" s="4" t="str">
        <f ca="1">IFERROR(__xludf.DUMMYFUNCTION("""COMPUTED_VALUE"""),"ATM")</f>
        <v>ATM</v>
      </c>
      <c r="D477" s="4" t="str">
        <f ca="1">IFERROR(__xludf.DUMMYFUNCTION("""COMPUTED_VALUE"""),"Move")</f>
        <v>Move</v>
      </c>
      <c r="E477" s="4" t="str">
        <f ca="1">IFERROR(__xludf.DUMMYFUNCTION("""COMPUTED_VALUE"""),"Move")</f>
        <v>Move</v>
      </c>
      <c r="F477" s="49">
        <f ca="1">IFERROR(__xludf.DUMMYFUNCTION("""COMPUTED_VALUE"""),100000)</f>
        <v>100000</v>
      </c>
      <c r="G477" s="50" t="str">
        <f ca="1">IFERROR(__xludf.DUMMYFUNCTION("""COMPUTED_VALUE"""),"Zela")</f>
        <v>Zela</v>
      </c>
      <c r="H477" s="51">
        <f t="shared" ca="1" si="0"/>
        <v>46054</v>
      </c>
      <c r="I477" s="52" t="e">
        <f ca="1">SUMIFS(OUT!$F$2:$F$11000,OUT!$H$2:$H$11000,H477,OUT!$D$2:$D$101007,"In")</f>
        <v>#VALUE!</v>
      </c>
      <c r="J477" s="52">
        <f ca="1">SUMIFS(OUT!$F$2:$F$11000,OUT!$H$2:$H$11000,H477,OUT!$D$2:$D$11000,"Out")</f>
        <v>6908733</v>
      </c>
      <c r="K477" s="52">
        <f ca="1">SUMIFS(OUT!$F$2:$F$11000,OUT!$H$2:$H$11000,H477,OUT!$D$2:$D$11000,"Out",OUT!$E$2:$E$11000,"Fix")</f>
        <v>2440568</v>
      </c>
      <c r="L477" s="52">
        <f ca="1">SUMIFS(OUT!$F$2:$F$11000,OUT!$H$2:$H$11000,H477,OUT!$D$2:$D$11000,"Out",OUT!$E$2:$E$11000,"Bathroom")</f>
        <v>34500</v>
      </c>
      <c r="M477" s="52">
        <f ca="1">SUMIFS(OUT!$F$2:$F$11000,OUT!$H$2:$H$11000,H477,OUT!$D$2:$D$11000,"Out",OUT!$E$2:$E$11000,"Alfa")</f>
        <v>293800</v>
      </c>
      <c r="N477" s="52" t="e">
        <f ca="1">SUMIFS(OUT!$F$2:$F$11000,OUT!$H$2:$H$101007,H477,OUT!$D$2:$D$11000,"Out",OUT!$E$2:$E$11000,"Jajan")</f>
        <v>#VALUE!</v>
      </c>
      <c r="O477" s="52">
        <f ca="1">SUMIFS(OUT!$F$2:$F$11000,OUT!$H$2:$H$11000,H477,OUT!$D$2:$D$11000,"Out",OUT!$E$2:$E$11000,"Kitchen")</f>
        <v>992724</v>
      </c>
      <c r="P477" s="52">
        <f ca="1">SUMIFS(OUT!$F$2:$F$11000,OUT!$H$2:$H$11000,H477,OUT!$D$2:$D$11000,"Out",OUT!$E$2:$E$11000,"Loandry")</f>
        <v>41600</v>
      </c>
      <c r="Q477" s="52">
        <f ca="1">SUMIFS(OUT!$F$2:$F$11000,OUT!$H$2:$H$11000,H477,OUT!$D$2:$D$11000,"Out",OUT!$E$2:$E$11000,"Mio")</f>
        <v>249000</v>
      </c>
      <c r="R477" s="52">
        <f ca="1">SUMIFS(OUT!$F$2:$F$11000,OUT!$H$2:$H$11000,H477,OUT!$D$2:$D$11000,"Out",OUT!$E$2:$E$11000,"Sedekah")</f>
        <v>129000</v>
      </c>
      <c r="S477" s="52">
        <f ca="1">SUMIFS(OUT!$F$2:$F$11000,OUT!$H$2:$H$11000,H477,OUT!$D$2:$D$11000,"Out",OUT!$E$2:$E$11000,"Zela")</f>
        <v>24100</v>
      </c>
      <c r="T477" s="52">
        <f ca="1">SUMIFS(OUT!$F$2:$F$11000,OUT!$H$2:$H$11000,H477,OUT!$D$2:$D$11000,"Out",OUT!$E$2:$E$11000,"Iqbal")</f>
        <v>121000</v>
      </c>
    </row>
    <row r="478" spans="1:20" x14ac:dyDescent="0.2">
      <c r="A478" s="48">
        <f ca="1">IFERROR(__xludf.DUMMYFUNCTION("""COMPUTED_VALUE"""),46069)</f>
        <v>46069</v>
      </c>
      <c r="B478" s="4" t="str">
        <f ca="1">IFERROR(__xludf.DUMMYFUNCTION("""COMPUTED_VALUE"""),"Terima TuNai")</f>
        <v>Terima TuNai</v>
      </c>
      <c r="C478" s="4" t="str">
        <f ca="1">IFERROR(__xludf.DUMMYFUNCTION("""COMPUTED_VALUE"""),"Cash")</f>
        <v>Cash</v>
      </c>
      <c r="D478" s="4" t="str">
        <f ca="1">IFERROR(__xludf.DUMMYFUNCTION("""COMPUTED_VALUE"""),"Move")</f>
        <v>Move</v>
      </c>
      <c r="E478" s="4" t="str">
        <f ca="1">IFERROR(__xludf.DUMMYFUNCTION("""COMPUTED_VALUE"""),"Move")</f>
        <v>Move</v>
      </c>
      <c r="F478" s="49">
        <f ca="1">IFERROR(__xludf.DUMMYFUNCTION("""COMPUTED_VALUE"""),100000)</f>
        <v>100000</v>
      </c>
      <c r="G478" s="50" t="str">
        <f ca="1">IFERROR(__xludf.DUMMYFUNCTION("""COMPUTED_VALUE"""),"Zela")</f>
        <v>Zela</v>
      </c>
      <c r="H478" s="51">
        <f t="shared" ca="1" si="0"/>
        <v>46054</v>
      </c>
      <c r="I478" s="52" t="e">
        <f ca="1">SUMIFS(OUT!$F$2:$F$11000,OUT!$H$2:$H$11000,H478,OUT!$D$2:$D$101007,"In")</f>
        <v>#VALUE!</v>
      </c>
      <c r="J478" s="52">
        <f ca="1">SUMIFS(OUT!$F$2:$F$11000,OUT!$H$2:$H$11000,H478,OUT!$D$2:$D$11000,"Out")</f>
        <v>6908733</v>
      </c>
      <c r="K478" s="52">
        <f ca="1">SUMIFS(OUT!$F$2:$F$11000,OUT!$H$2:$H$11000,H478,OUT!$D$2:$D$11000,"Out",OUT!$E$2:$E$11000,"Fix")</f>
        <v>2440568</v>
      </c>
      <c r="L478" s="52">
        <f ca="1">SUMIFS(OUT!$F$2:$F$11000,OUT!$H$2:$H$11000,H478,OUT!$D$2:$D$11000,"Out",OUT!$E$2:$E$11000,"Bathroom")</f>
        <v>34500</v>
      </c>
      <c r="M478" s="52">
        <f ca="1">SUMIFS(OUT!$F$2:$F$11000,OUT!$H$2:$H$11000,H478,OUT!$D$2:$D$11000,"Out",OUT!$E$2:$E$11000,"Alfa")</f>
        <v>293800</v>
      </c>
      <c r="N478" s="52" t="e">
        <f ca="1">SUMIFS(OUT!$F$2:$F$11000,OUT!$H$2:$H$101007,H478,OUT!$D$2:$D$11000,"Out",OUT!$E$2:$E$11000,"Jajan")</f>
        <v>#VALUE!</v>
      </c>
      <c r="O478" s="52">
        <f ca="1">SUMIFS(OUT!$F$2:$F$11000,OUT!$H$2:$H$11000,H478,OUT!$D$2:$D$11000,"Out",OUT!$E$2:$E$11000,"Kitchen")</f>
        <v>992724</v>
      </c>
      <c r="P478" s="52">
        <f ca="1">SUMIFS(OUT!$F$2:$F$11000,OUT!$H$2:$H$11000,H478,OUT!$D$2:$D$11000,"Out",OUT!$E$2:$E$11000,"Loandry")</f>
        <v>41600</v>
      </c>
      <c r="Q478" s="52">
        <f ca="1">SUMIFS(OUT!$F$2:$F$11000,OUT!$H$2:$H$11000,H478,OUT!$D$2:$D$11000,"Out",OUT!$E$2:$E$11000,"Mio")</f>
        <v>249000</v>
      </c>
      <c r="R478" s="52">
        <f ca="1">SUMIFS(OUT!$F$2:$F$11000,OUT!$H$2:$H$11000,H478,OUT!$D$2:$D$11000,"Out",OUT!$E$2:$E$11000,"Sedekah")</f>
        <v>129000</v>
      </c>
      <c r="S478" s="52">
        <f ca="1">SUMIFS(OUT!$F$2:$F$11000,OUT!$H$2:$H$11000,H478,OUT!$D$2:$D$11000,"Out",OUT!$E$2:$E$11000,"Zela")</f>
        <v>24100</v>
      </c>
      <c r="T478" s="52">
        <f ca="1">SUMIFS(OUT!$F$2:$F$11000,OUT!$H$2:$H$11000,H478,OUT!$D$2:$D$11000,"Out",OUT!$E$2:$E$11000,"Iqbal")</f>
        <v>121000</v>
      </c>
    </row>
    <row r="479" spans="1:20" x14ac:dyDescent="0.2">
      <c r="A479" s="48">
        <f ca="1">IFERROR(__xludf.DUMMYFUNCTION("""COMPUTED_VALUE"""),46068)</f>
        <v>46068</v>
      </c>
      <c r="B479" s="4" t="str">
        <f ca="1">IFERROR(__xludf.DUMMYFUNCTION("""COMPUTED_VALUE"""),"bakso Bakar + goreng Pisang")</f>
        <v>bakso Bakar + goreng Pisang</v>
      </c>
      <c r="C479" s="4" t="str">
        <f ca="1">IFERROR(__xludf.DUMMYFUNCTION("""COMPUTED_VALUE"""),"Cash")</f>
        <v>Cash</v>
      </c>
      <c r="D479" s="4" t="str">
        <f ca="1">IFERROR(__xludf.DUMMYFUNCTION("""COMPUTED_VALUE"""),"Out")</f>
        <v>Out</v>
      </c>
      <c r="E479" s="4" t="str">
        <f ca="1">IFERROR(__xludf.DUMMYFUNCTION("""COMPUTED_VALUE"""),"Jajan")</f>
        <v>Jajan</v>
      </c>
      <c r="F479" s="49">
        <f ca="1">IFERROR(__xludf.DUMMYFUNCTION("""COMPUTED_VALUE"""),20000)</f>
        <v>20000</v>
      </c>
      <c r="G479" s="50" t="str">
        <f ca="1">IFERROR(__xludf.DUMMYFUNCTION("""COMPUTED_VALUE"""),"Zela")</f>
        <v>Zela</v>
      </c>
      <c r="H479" s="51">
        <f t="shared" ca="1" si="0"/>
        <v>46054</v>
      </c>
      <c r="I479" s="52" t="e">
        <f ca="1">SUMIFS(OUT!$F$2:$F$11000,OUT!$H$2:$H$11000,H479,OUT!$D$2:$D$101007,"In")</f>
        <v>#VALUE!</v>
      </c>
      <c r="J479" s="52">
        <f ca="1">SUMIFS(OUT!$F$2:$F$11000,OUT!$H$2:$H$11000,H479,OUT!$D$2:$D$11000,"Out")</f>
        <v>6908733</v>
      </c>
      <c r="K479" s="52">
        <f ca="1">SUMIFS(OUT!$F$2:$F$11000,OUT!$H$2:$H$11000,H479,OUT!$D$2:$D$11000,"Out",OUT!$E$2:$E$11000,"Fix")</f>
        <v>2440568</v>
      </c>
      <c r="L479" s="52">
        <f ca="1">SUMIFS(OUT!$F$2:$F$11000,OUT!$H$2:$H$11000,H479,OUT!$D$2:$D$11000,"Out",OUT!$E$2:$E$11000,"Bathroom")</f>
        <v>34500</v>
      </c>
      <c r="M479" s="52">
        <f ca="1">SUMIFS(OUT!$F$2:$F$11000,OUT!$H$2:$H$11000,H479,OUT!$D$2:$D$11000,"Out",OUT!$E$2:$E$11000,"Alfa")</f>
        <v>293800</v>
      </c>
      <c r="N479" s="52" t="e">
        <f ca="1">SUMIFS(OUT!$F$2:$F$11000,OUT!$H$2:$H$101007,H479,OUT!$D$2:$D$11000,"Out",OUT!$E$2:$E$11000,"Jajan")</f>
        <v>#VALUE!</v>
      </c>
      <c r="O479" s="52">
        <f ca="1">SUMIFS(OUT!$F$2:$F$11000,OUT!$H$2:$H$11000,H479,OUT!$D$2:$D$11000,"Out",OUT!$E$2:$E$11000,"Kitchen")</f>
        <v>992724</v>
      </c>
      <c r="P479" s="52">
        <f ca="1">SUMIFS(OUT!$F$2:$F$11000,OUT!$H$2:$H$11000,H479,OUT!$D$2:$D$11000,"Out",OUT!$E$2:$E$11000,"Loandry")</f>
        <v>41600</v>
      </c>
      <c r="Q479" s="52">
        <f ca="1">SUMIFS(OUT!$F$2:$F$11000,OUT!$H$2:$H$11000,H479,OUT!$D$2:$D$11000,"Out",OUT!$E$2:$E$11000,"Mio")</f>
        <v>249000</v>
      </c>
      <c r="R479" s="52">
        <f ca="1">SUMIFS(OUT!$F$2:$F$11000,OUT!$H$2:$H$11000,H479,OUT!$D$2:$D$11000,"Out",OUT!$E$2:$E$11000,"Sedekah")</f>
        <v>129000</v>
      </c>
      <c r="S479" s="52">
        <f ca="1">SUMIFS(OUT!$F$2:$F$11000,OUT!$H$2:$H$11000,H479,OUT!$D$2:$D$11000,"Out",OUT!$E$2:$E$11000,"Zela")</f>
        <v>24100</v>
      </c>
      <c r="T479" s="52">
        <f ca="1">SUMIFS(OUT!$F$2:$F$11000,OUT!$H$2:$H$11000,H479,OUT!$D$2:$D$11000,"Out",OUT!$E$2:$E$11000,"Iqbal")</f>
        <v>121000</v>
      </c>
    </row>
    <row r="480" spans="1:20" x14ac:dyDescent="0.2">
      <c r="A480" s="48">
        <f ca="1">IFERROR(__xludf.DUMMYFUNCTION("""COMPUTED_VALUE"""),46069)</f>
        <v>46069</v>
      </c>
      <c r="B480" s="4" t="str">
        <f ca="1">IFERROR(__xludf.DUMMYFUNCTION("""COMPUTED_VALUE"""),"Galon")</f>
        <v>Galon</v>
      </c>
      <c r="C480" s="4" t="str">
        <f ca="1">IFERROR(__xludf.DUMMYFUNCTION("""COMPUTED_VALUE"""),"Cash")</f>
        <v>Cash</v>
      </c>
      <c r="D480" s="4" t="str">
        <f ca="1">IFERROR(__xludf.DUMMYFUNCTION("""COMPUTED_VALUE"""),"Out")</f>
        <v>Out</v>
      </c>
      <c r="E480" s="4" t="str">
        <f ca="1">IFERROR(__xludf.DUMMYFUNCTION("""COMPUTED_VALUE"""),"Kitchen")</f>
        <v>Kitchen</v>
      </c>
      <c r="F480" s="49">
        <f ca="1">IFERROR(__xludf.DUMMYFUNCTION("""COMPUTED_VALUE"""),4000)</f>
        <v>4000</v>
      </c>
      <c r="G480" s="50" t="str">
        <f ca="1">IFERROR(__xludf.DUMMYFUNCTION("""COMPUTED_VALUE"""),"Zela")</f>
        <v>Zela</v>
      </c>
      <c r="H480" s="51">
        <f t="shared" ca="1" si="0"/>
        <v>46054</v>
      </c>
      <c r="I480" s="52" t="e">
        <f ca="1">SUMIFS(OUT!$F$2:$F$11000,OUT!$H$2:$H$11000,H480,OUT!$D$2:$D$101007,"In")</f>
        <v>#VALUE!</v>
      </c>
      <c r="J480" s="52">
        <f ca="1">SUMIFS(OUT!$F$2:$F$11000,OUT!$H$2:$H$11000,H480,OUT!$D$2:$D$11000,"Out")</f>
        <v>6908733</v>
      </c>
      <c r="K480" s="52">
        <f ca="1">SUMIFS(OUT!$F$2:$F$11000,OUT!$H$2:$H$11000,H480,OUT!$D$2:$D$11000,"Out",OUT!$E$2:$E$11000,"Fix")</f>
        <v>2440568</v>
      </c>
      <c r="L480" s="52">
        <f ca="1">SUMIFS(OUT!$F$2:$F$11000,OUT!$H$2:$H$11000,H480,OUT!$D$2:$D$11000,"Out",OUT!$E$2:$E$11000,"Bathroom")</f>
        <v>34500</v>
      </c>
      <c r="M480" s="52">
        <f ca="1">SUMIFS(OUT!$F$2:$F$11000,OUT!$H$2:$H$11000,H480,OUT!$D$2:$D$11000,"Out",OUT!$E$2:$E$11000,"Alfa")</f>
        <v>293800</v>
      </c>
      <c r="N480" s="52" t="e">
        <f ca="1">SUMIFS(OUT!$F$2:$F$11000,OUT!$H$2:$H$101007,H480,OUT!$D$2:$D$11000,"Out",OUT!$E$2:$E$11000,"Jajan")</f>
        <v>#VALUE!</v>
      </c>
      <c r="O480" s="52">
        <f ca="1">SUMIFS(OUT!$F$2:$F$11000,OUT!$H$2:$H$11000,H480,OUT!$D$2:$D$11000,"Out",OUT!$E$2:$E$11000,"Kitchen")</f>
        <v>992724</v>
      </c>
      <c r="P480" s="52">
        <f ca="1">SUMIFS(OUT!$F$2:$F$11000,OUT!$H$2:$H$11000,H480,OUT!$D$2:$D$11000,"Out",OUT!$E$2:$E$11000,"Loandry")</f>
        <v>41600</v>
      </c>
      <c r="Q480" s="52">
        <f ca="1">SUMIFS(OUT!$F$2:$F$11000,OUT!$H$2:$H$11000,H480,OUT!$D$2:$D$11000,"Out",OUT!$E$2:$E$11000,"Mio")</f>
        <v>249000</v>
      </c>
      <c r="R480" s="52">
        <f ca="1">SUMIFS(OUT!$F$2:$F$11000,OUT!$H$2:$H$11000,H480,OUT!$D$2:$D$11000,"Out",OUT!$E$2:$E$11000,"Sedekah")</f>
        <v>129000</v>
      </c>
      <c r="S480" s="52">
        <f ca="1">SUMIFS(OUT!$F$2:$F$11000,OUT!$H$2:$H$11000,H480,OUT!$D$2:$D$11000,"Out",OUT!$E$2:$E$11000,"Zela")</f>
        <v>24100</v>
      </c>
      <c r="T480" s="52">
        <f ca="1">SUMIFS(OUT!$F$2:$F$11000,OUT!$H$2:$H$11000,H480,OUT!$D$2:$D$11000,"Out",OUT!$E$2:$E$11000,"Iqbal")</f>
        <v>121000</v>
      </c>
    </row>
    <row r="481" spans="1:20" x14ac:dyDescent="0.2">
      <c r="A481" s="48">
        <f ca="1">IFERROR(__xludf.DUMMYFUNCTION("""COMPUTED_VALUE"""),46069)</f>
        <v>46069</v>
      </c>
      <c r="B481" s="4" t="str">
        <f ca="1">IFERROR(__xludf.DUMMYFUNCTION("""COMPUTED_VALUE"""),"Mi 3 + Oreo+mancis")</f>
        <v>Mi 3 + Oreo+mancis</v>
      </c>
      <c r="C481" s="4" t="str">
        <f ca="1">IFERROR(__xludf.DUMMYFUNCTION("""COMPUTED_VALUE"""),"Cash")</f>
        <v>Cash</v>
      </c>
      <c r="D481" s="4" t="str">
        <f ca="1">IFERROR(__xludf.DUMMYFUNCTION("""COMPUTED_VALUE"""),"Out")</f>
        <v>Out</v>
      </c>
      <c r="E481" s="4" t="str">
        <f ca="1">IFERROR(__xludf.DUMMYFUNCTION("""COMPUTED_VALUE"""),"Jajan")</f>
        <v>Jajan</v>
      </c>
      <c r="F481" s="49">
        <f ca="1">IFERROR(__xludf.DUMMYFUNCTION("""COMPUTED_VALUE"""),21000)</f>
        <v>21000</v>
      </c>
      <c r="G481" s="50" t="str">
        <f ca="1">IFERROR(__xludf.DUMMYFUNCTION("""COMPUTED_VALUE"""),"Zela")</f>
        <v>Zela</v>
      </c>
      <c r="H481" s="51">
        <f t="shared" ca="1" si="0"/>
        <v>46054</v>
      </c>
      <c r="I481" s="52" t="e">
        <f ca="1">SUMIFS(OUT!$F$2:$F$11000,OUT!$H$2:$H$11000,H481,OUT!$D$2:$D$101007,"In")</f>
        <v>#VALUE!</v>
      </c>
      <c r="J481" s="52">
        <f ca="1">SUMIFS(OUT!$F$2:$F$11000,OUT!$H$2:$H$11000,H481,OUT!$D$2:$D$11000,"Out")</f>
        <v>6908733</v>
      </c>
      <c r="K481" s="52">
        <f ca="1">SUMIFS(OUT!$F$2:$F$11000,OUT!$H$2:$H$11000,H481,OUT!$D$2:$D$11000,"Out",OUT!$E$2:$E$11000,"Fix")</f>
        <v>2440568</v>
      </c>
      <c r="L481" s="52">
        <f ca="1">SUMIFS(OUT!$F$2:$F$11000,OUT!$H$2:$H$11000,H481,OUT!$D$2:$D$11000,"Out",OUT!$E$2:$E$11000,"Bathroom")</f>
        <v>34500</v>
      </c>
      <c r="M481" s="52">
        <f ca="1">SUMIFS(OUT!$F$2:$F$11000,OUT!$H$2:$H$11000,H481,OUT!$D$2:$D$11000,"Out",OUT!$E$2:$E$11000,"Alfa")</f>
        <v>293800</v>
      </c>
      <c r="N481" s="52" t="e">
        <f ca="1">SUMIFS(OUT!$F$2:$F$11000,OUT!$H$2:$H$101007,H481,OUT!$D$2:$D$11000,"Out",OUT!$E$2:$E$11000,"Jajan")</f>
        <v>#VALUE!</v>
      </c>
      <c r="O481" s="52">
        <f ca="1">SUMIFS(OUT!$F$2:$F$11000,OUT!$H$2:$H$11000,H481,OUT!$D$2:$D$11000,"Out",OUT!$E$2:$E$11000,"Kitchen")</f>
        <v>992724</v>
      </c>
      <c r="P481" s="52">
        <f ca="1">SUMIFS(OUT!$F$2:$F$11000,OUT!$H$2:$H$11000,H481,OUT!$D$2:$D$11000,"Out",OUT!$E$2:$E$11000,"Loandry")</f>
        <v>41600</v>
      </c>
      <c r="Q481" s="52">
        <f ca="1">SUMIFS(OUT!$F$2:$F$11000,OUT!$H$2:$H$11000,H481,OUT!$D$2:$D$11000,"Out",OUT!$E$2:$E$11000,"Mio")</f>
        <v>249000</v>
      </c>
      <c r="R481" s="52">
        <f ca="1">SUMIFS(OUT!$F$2:$F$11000,OUT!$H$2:$H$11000,H481,OUT!$D$2:$D$11000,"Out",OUT!$E$2:$E$11000,"Sedekah")</f>
        <v>129000</v>
      </c>
      <c r="S481" s="52">
        <f ca="1">SUMIFS(OUT!$F$2:$F$11000,OUT!$H$2:$H$11000,H481,OUT!$D$2:$D$11000,"Out",OUT!$E$2:$E$11000,"Zela")</f>
        <v>24100</v>
      </c>
      <c r="T481" s="52">
        <f ca="1">SUMIFS(OUT!$F$2:$F$11000,OUT!$H$2:$H$11000,H481,OUT!$D$2:$D$11000,"Out",OUT!$E$2:$E$11000,"Iqbal")</f>
        <v>121000</v>
      </c>
    </row>
    <row r="482" spans="1:20" x14ac:dyDescent="0.2">
      <c r="A482" s="48">
        <f ca="1">IFERROR(__xludf.DUMMYFUNCTION("""COMPUTED_VALUE"""),46069)</f>
        <v>46069</v>
      </c>
      <c r="B482" s="4" t="str">
        <f ca="1">IFERROR(__xludf.DUMMYFUNCTION("""COMPUTED_VALUE"""),"Bensin Motor Ke PKU")</f>
        <v>Bensin Motor Ke PKU</v>
      </c>
      <c r="C482" s="4" t="str">
        <f ca="1">IFERROR(__xludf.DUMMYFUNCTION("""COMPUTED_VALUE"""),"Cash")</f>
        <v>Cash</v>
      </c>
      <c r="D482" s="4" t="str">
        <f ca="1">IFERROR(__xludf.DUMMYFUNCTION("""COMPUTED_VALUE"""),"Out")</f>
        <v>Out</v>
      </c>
      <c r="E482" s="4" t="str">
        <f ca="1">IFERROR(__xludf.DUMMYFUNCTION("""COMPUTED_VALUE"""),"Mio")</f>
        <v>Mio</v>
      </c>
      <c r="F482" s="49">
        <f ca="1">IFERROR(__xludf.DUMMYFUNCTION("""COMPUTED_VALUE"""),25000)</f>
        <v>25000</v>
      </c>
      <c r="G482" s="50" t="str">
        <f ca="1">IFERROR(__xludf.DUMMYFUNCTION("""COMPUTED_VALUE"""),"Zela")</f>
        <v>Zela</v>
      </c>
      <c r="H482" s="51">
        <f t="shared" ca="1" si="0"/>
        <v>46054</v>
      </c>
      <c r="I482" s="52" t="e">
        <f ca="1">SUMIFS(OUT!$F$2:$F$11000,OUT!$H$2:$H$11000,H482,OUT!$D$2:$D$101007,"In")</f>
        <v>#VALUE!</v>
      </c>
      <c r="J482" s="52">
        <f ca="1">SUMIFS(OUT!$F$2:$F$11000,OUT!$H$2:$H$11000,H482,OUT!$D$2:$D$11000,"Out")</f>
        <v>6908733</v>
      </c>
      <c r="K482" s="52">
        <f ca="1">SUMIFS(OUT!$F$2:$F$11000,OUT!$H$2:$H$11000,H482,OUT!$D$2:$D$11000,"Out",OUT!$E$2:$E$11000,"Fix")</f>
        <v>2440568</v>
      </c>
      <c r="L482" s="52">
        <f ca="1">SUMIFS(OUT!$F$2:$F$11000,OUT!$H$2:$H$11000,H482,OUT!$D$2:$D$11000,"Out",OUT!$E$2:$E$11000,"Bathroom")</f>
        <v>34500</v>
      </c>
      <c r="M482" s="52">
        <f ca="1">SUMIFS(OUT!$F$2:$F$11000,OUT!$H$2:$H$11000,H482,OUT!$D$2:$D$11000,"Out",OUT!$E$2:$E$11000,"Alfa")</f>
        <v>293800</v>
      </c>
      <c r="N482" s="52" t="e">
        <f ca="1">SUMIFS(OUT!$F$2:$F$11000,OUT!$H$2:$H$101007,H482,OUT!$D$2:$D$11000,"Out",OUT!$E$2:$E$11000,"Jajan")</f>
        <v>#VALUE!</v>
      </c>
      <c r="O482" s="52">
        <f ca="1">SUMIFS(OUT!$F$2:$F$11000,OUT!$H$2:$H$11000,H482,OUT!$D$2:$D$11000,"Out",OUT!$E$2:$E$11000,"Kitchen")</f>
        <v>992724</v>
      </c>
      <c r="P482" s="52">
        <f ca="1">SUMIFS(OUT!$F$2:$F$11000,OUT!$H$2:$H$11000,H482,OUT!$D$2:$D$11000,"Out",OUT!$E$2:$E$11000,"Loandry")</f>
        <v>41600</v>
      </c>
      <c r="Q482" s="52">
        <f ca="1">SUMIFS(OUT!$F$2:$F$11000,OUT!$H$2:$H$11000,H482,OUT!$D$2:$D$11000,"Out",OUT!$E$2:$E$11000,"Mio")</f>
        <v>249000</v>
      </c>
      <c r="R482" s="52">
        <f ca="1">SUMIFS(OUT!$F$2:$F$11000,OUT!$H$2:$H$11000,H482,OUT!$D$2:$D$11000,"Out",OUT!$E$2:$E$11000,"Sedekah")</f>
        <v>129000</v>
      </c>
      <c r="S482" s="52">
        <f ca="1">SUMIFS(OUT!$F$2:$F$11000,OUT!$H$2:$H$11000,H482,OUT!$D$2:$D$11000,"Out",OUT!$E$2:$E$11000,"Zela")</f>
        <v>24100</v>
      </c>
      <c r="T482" s="52">
        <f ca="1">SUMIFS(OUT!$F$2:$F$11000,OUT!$H$2:$H$11000,H482,OUT!$D$2:$D$11000,"Out",OUT!$E$2:$E$11000,"Iqbal")</f>
        <v>121000</v>
      </c>
    </row>
    <row r="483" spans="1:20" x14ac:dyDescent="0.2">
      <c r="A483" s="48">
        <f ca="1">IFERROR(__xludf.DUMMYFUNCTION("""COMPUTED_VALUE"""),46069)</f>
        <v>46069</v>
      </c>
      <c r="B483" s="4" t="str">
        <f ca="1">IFERROR(__xludf.DUMMYFUNCTION("""COMPUTED_VALUE"""),"Sabun baju")</f>
        <v>Sabun baju</v>
      </c>
      <c r="C483" s="4" t="str">
        <f ca="1">IFERROR(__xludf.DUMMYFUNCTION("""COMPUTED_VALUE"""),"Cash")</f>
        <v>Cash</v>
      </c>
      <c r="D483" s="4" t="str">
        <f ca="1">IFERROR(__xludf.DUMMYFUNCTION("""COMPUTED_VALUE"""),"Out")</f>
        <v>Out</v>
      </c>
      <c r="E483" s="4" t="str">
        <f ca="1">IFERROR(__xludf.DUMMYFUNCTION("""COMPUTED_VALUE"""),"Loandry")</f>
        <v>Loandry</v>
      </c>
      <c r="F483" s="49">
        <f ca="1">IFERROR(__xludf.DUMMYFUNCTION("""COMPUTED_VALUE"""),12000)</f>
        <v>12000</v>
      </c>
      <c r="G483" s="50" t="str">
        <f ca="1">IFERROR(__xludf.DUMMYFUNCTION("""COMPUTED_VALUE"""),"Zela")</f>
        <v>Zela</v>
      </c>
      <c r="H483" s="51">
        <f t="shared" ca="1" si="0"/>
        <v>46054</v>
      </c>
      <c r="I483" s="52" t="e">
        <f ca="1">SUMIFS(OUT!$F$2:$F$11000,OUT!$H$2:$H$11000,H483,OUT!$D$2:$D$101007,"In")</f>
        <v>#VALUE!</v>
      </c>
      <c r="J483" s="52">
        <f ca="1">SUMIFS(OUT!$F$2:$F$11000,OUT!$H$2:$H$11000,H483,OUT!$D$2:$D$11000,"Out")</f>
        <v>6908733</v>
      </c>
      <c r="K483" s="52">
        <f ca="1">SUMIFS(OUT!$F$2:$F$11000,OUT!$H$2:$H$11000,H483,OUT!$D$2:$D$11000,"Out",OUT!$E$2:$E$11000,"Fix")</f>
        <v>2440568</v>
      </c>
      <c r="L483" s="52">
        <f ca="1">SUMIFS(OUT!$F$2:$F$11000,OUT!$H$2:$H$11000,H483,OUT!$D$2:$D$11000,"Out",OUT!$E$2:$E$11000,"Bathroom")</f>
        <v>34500</v>
      </c>
      <c r="M483" s="52">
        <f ca="1">SUMIFS(OUT!$F$2:$F$11000,OUT!$H$2:$H$11000,H483,OUT!$D$2:$D$11000,"Out",OUT!$E$2:$E$11000,"Alfa")</f>
        <v>293800</v>
      </c>
      <c r="N483" s="52" t="e">
        <f ca="1">SUMIFS(OUT!$F$2:$F$11000,OUT!$H$2:$H$101007,H483,OUT!$D$2:$D$11000,"Out",OUT!$E$2:$E$11000,"Jajan")</f>
        <v>#VALUE!</v>
      </c>
      <c r="O483" s="52">
        <f ca="1">SUMIFS(OUT!$F$2:$F$11000,OUT!$H$2:$H$11000,H483,OUT!$D$2:$D$11000,"Out",OUT!$E$2:$E$11000,"Kitchen")</f>
        <v>992724</v>
      </c>
      <c r="P483" s="52">
        <f ca="1">SUMIFS(OUT!$F$2:$F$11000,OUT!$H$2:$H$11000,H483,OUT!$D$2:$D$11000,"Out",OUT!$E$2:$E$11000,"Loandry")</f>
        <v>41600</v>
      </c>
      <c r="Q483" s="52">
        <f ca="1">SUMIFS(OUT!$F$2:$F$11000,OUT!$H$2:$H$11000,H483,OUT!$D$2:$D$11000,"Out",OUT!$E$2:$E$11000,"Mio")</f>
        <v>249000</v>
      </c>
      <c r="R483" s="52">
        <f ca="1">SUMIFS(OUT!$F$2:$F$11000,OUT!$H$2:$H$11000,H483,OUT!$D$2:$D$11000,"Out",OUT!$E$2:$E$11000,"Sedekah")</f>
        <v>129000</v>
      </c>
      <c r="S483" s="52">
        <f ca="1">SUMIFS(OUT!$F$2:$F$11000,OUT!$H$2:$H$11000,H483,OUT!$D$2:$D$11000,"Out",OUT!$E$2:$E$11000,"Zela")</f>
        <v>24100</v>
      </c>
      <c r="T483" s="52">
        <f ca="1">SUMIFS(OUT!$F$2:$F$11000,OUT!$H$2:$H$11000,H483,OUT!$D$2:$D$11000,"Out",OUT!$E$2:$E$11000,"Iqbal")</f>
        <v>121000</v>
      </c>
    </row>
    <row r="484" spans="1:20" x14ac:dyDescent="0.2">
      <c r="A484" s="48">
        <f ca="1">IFERROR(__xludf.DUMMYFUNCTION("""COMPUTED_VALUE"""),46069)</f>
        <v>46069</v>
      </c>
      <c r="B484" s="4" t="str">
        <f ca="1">IFERROR(__xludf.DUMMYFUNCTION("""COMPUTED_VALUE"""),"Minyak Goreng")</f>
        <v>Minyak Goreng</v>
      </c>
      <c r="C484" s="4" t="str">
        <f ca="1">IFERROR(__xludf.DUMMYFUNCTION("""COMPUTED_VALUE"""),"Cash")</f>
        <v>Cash</v>
      </c>
      <c r="D484" s="4" t="str">
        <f ca="1">IFERROR(__xludf.DUMMYFUNCTION("""COMPUTED_VALUE"""),"Out")</f>
        <v>Out</v>
      </c>
      <c r="E484" s="4" t="str">
        <f ca="1">IFERROR(__xludf.DUMMYFUNCTION("""COMPUTED_VALUE"""),"Kitchen")</f>
        <v>Kitchen</v>
      </c>
      <c r="F484" s="49">
        <f ca="1">IFERROR(__xludf.DUMMYFUNCTION("""COMPUTED_VALUE"""),18000)</f>
        <v>18000</v>
      </c>
      <c r="G484" s="50" t="str">
        <f ca="1">IFERROR(__xludf.DUMMYFUNCTION("""COMPUTED_VALUE"""),"Zela")</f>
        <v>Zela</v>
      </c>
      <c r="H484" s="51">
        <f t="shared" ca="1" si="0"/>
        <v>46054</v>
      </c>
      <c r="I484" s="52" t="e">
        <f ca="1">SUMIFS(OUT!$F$2:$F$11000,OUT!$H$2:$H$11000,H484,OUT!$D$2:$D$101007,"In")</f>
        <v>#VALUE!</v>
      </c>
      <c r="J484" s="52">
        <f ca="1">SUMIFS(OUT!$F$2:$F$11000,OUT!$H$2:$H$11000,H484,OUT!$D$2:$D$11000,"Out")</f>
        <v>6908733</v>
      </c>
      <c r="K484" s="52">
        <f ca="1">SUMIFS(OUT!$F$2:$F$11000,OUT!$H$2:$H$11000,H484,OUT!$D$2:$D$11000,"Out",OUT!$E$2:$E$11000,"Fix")</f>
        <v>2440568</v>
      </c>
      <c r="L484" s="52">
        <f ca="1">SUMIFS(OUT!$F$2:$F$11000,OUT!$H$2:$H$11000,H484,OUT!$D$2:$D$11000,"Out",OUT!$E$2:$E$11000,"Bathroom")</f>
        <v>34500</v>
      </c>
      <c r="M484" s="52">
        <f ca="1">SUMIFS(OUT!$F$2:$F$11000,OUT!$H$2:$H$11000,H484,OUT!$D$2:$D$11000,"Out",OUT!$E$2:$E$11000,"Alfa")</f>
        <v>293800</v>
      </c>
      <c r="N484" s="52" t="e">
        <f ca="1">SUMIFS(OUT!$F$2:$F$11000,OUT!$H$2:$H$101007,H484,OUT!$D$2:$D$11000,"Out",OUT!$E$2:$E$11000,"Jajan")</f>
        <v>#VALUE!</v>
      </c>
      <c r="O484" s="52">
        <f ca="1">SUMIFS(OUT!$F$2:$F$11000,OUT!$H$2:$H$11000,H484,OUT!$D$2:$D$11000,"Out",OUT!$E$2:$E$11000,"Kitchen")</f>
        <v>992724</v>
      </c>
      <c r="P484" s="52">
        <f ca="1">SUMIFS(OUT!$F$2:$F$11000,OUT!$H$2:$H$11000,H484,OUT!$D$2:$D$11000,"Out",OUT!$E$2:$E$11000,"Loandry")</f>
        <v>41600</v>
      </c>
      <c r="Q484" s="52">
        <f ca="1">SUMIFS(OUT!$F$2:$F$11000,OUT!$H$2:$H$11000,H484,OUT!$D$2:$D$11000,"Out",OUT!$E$2:$E$11000,"Mio")</f>
        <v>249000</v>
      </c>
      <c r="R484" s="52">
        <f ca="1">SUMIFS(OUT!$F$2:$F$11000,OUT!$H$2:$H$11000,H484,OUT!$D$2:$D$11000,"Out",OUT!$E$2:$E$11000,"Sedekah")</f>
        <v>129000</v>
      </c>
      <c r="S484" s="52">
        <f ca="1">SUMIFS(OUT!$F$2:$F$11000,OUT!$H$2:$H$11000,H484,OUT!$D$2:$D$11000,"Out",OUT!$E$2:$E$11000,"Zela")</f>
        <v>24100</v>
      </c>
      <c r="T484" s="52">
        <f ca="1">SUMIFS(OUT!$F$2:$F$11000,OUT!$H$2:$H$11000,H484,OUT!$D$2:$D$11000,"Out",OUT!$E$2:$E$11000,"Iqbal")</f>
        <v>121000</v>
      </c>
    </row>
    <row r="485" spans="1:20" x14ac:dyDescent="0.2">
      <c r="A485" s="48">
        <f ca="1">IFERROR(__xludf.DUMMYFUNCTION("""COMPUTED_VALUE"""),46070)</f>
        <v>46070</v>
      </c>
      <c r="B485" s="4" t="str">
        <f ca="1">IFERROR(__xludf.DUMMYFUNCTION("""COMPUTED_VALUE"""),"sabun Mandi")</f>
        <v>sabun Mandi</v>
      </c>
      <c r="C485" s="4" t="str">
        <f ca="1">IFERROR(__xludf.DUMMYFUNCTION("""COMPUTED_VALUE"""),"ATM")</f>
        <v>ATM</v>
      </c>
      <c r="D485" s="4" t="str">
        <f ca="1">IFERROR(__xludf.DUMMYFUNCTION("""COMPUTED_VALUE"""),"Out")</f>
        <v>Out</v>
      </c>
      <c r="E485" s="4" t="str">
        <f ca="1">IFERROR(__xludf.DUMMYFUNCTION("""COMPUTED_VALUE"""),"Bathroom")</f>
        <v>Bathroom</v>
      </c>
      <c r="F485" s="49">
        <f ca="1">IFERROR(__xludf.DUMMYFUNCTION("""COMPUTED_VALUE"""),13500)</f>
        <v>13500</v>
      </c>
      <c r="G485" s="50" t="str">
        <f ca="1">IFERROR(__xludf.DUMMYFUNCTION("""COMPUTED_VALUE"""),"Zela")</f>
        <v>Zela</v>
      </c>
      <c r="H485" s="51">
        <f t="shared" ca="1" si="0"/>
        <v>46054</v>
      </c>
      <c r="I485" s="52" t="e">
        <f ca="1">SUMIFS(OUT!$F$2:$F$11000,OUT!$H$2:$H$11000,H485,OUT!$D$2:$D$101007,"In")</f>
        <v>#VALUE!</v>
      </c>
      <c r="J485" s="52">
        <f ca="1">SUMIFS(OUT!$F$2:$F$11000,OUT!$H$2:$H$11000,H485,OUT!$D$2:$D$11000,"Out")</f>
        <v>6908733</v>
      </c>
      <c r="K485" s="52">
        <f ca="1">SUMIFS(OUT!$F$2:$F$11000,OUT!$H$2:$H$11000,H485,OUT!$D$2:$D$11000,"Out",OUT!$E$2:$E$11000,"Fix")</f>
        <v>2440568</v>
      </c>
      <c r="L485" s="52">
        <f ca="1">SUMIFS(OUT!$F$2:$F$11000,OUT!$H$2:$H$11000,H485,OUT!$D$2:$D$11000,"Out",OUT!$E$2:$E$11000,"Bathroom")</f>
        <v>34500</v>
      </c>
      <c r="M485" s="52">
        <f ca="1">SUMIFS(OUT!$F$2:$F$11000,OUT!$H$2:$H$11000,H485,OUT!$D$2:$D$11000,"Out",OUT!$E$2:$E$11000,"Alfa")</f>
        <v>293800</v>
      </c>
      <c r="N485" s="52" t="e">
        <f ca="1">SUMIFS(OUT!$F$2:$F$11000,OUT!$H$2:$H$101007,H485,OUT!$D$2:$D$11000,"Out",OUT!$E$2:$E$11000,"Jajan")</f>
        <v>#VALUE!</v>
      </c>
      <c r="O485" s="52">
        <f ca="1">SUMIFS(OUT!$F$2:$F$11000,OUT!$H$2:$H$11000,H485,OUT!$D$2:$D$11000,"Out",OUT!$E$2:$E$11000,"Kitchen")</f>
        <v>992724</v>
      </c>
      <c r="P485" s="52">
        <f ca="1">SUMIFS(OUT!$F$2:$F$11000,OUT!$H$2:$H$11000,H485,OUT!$D$2:$D$11000,"Out",OUT!$E$2:$E$11000,"Loandry")</f>
        <v>41600</v>
      </c>
      <c r="Q485" s="52">
        <f ca="1">SUMIFS(OUT!$F$2:$F$11000,OUT!$H$2:$H$11000,H485,OUT!$D$2:$D$11000,"Out",OUT!$E$2:$E$11000,"Mio")</f>
        <v>249000</v>
      </c>
      <c r="R485" s="52">
        <f ca="1">SUMIFS(OUT!$F$2:$F$11000,OUT!$H$2:$H$11000,H485,OUT!$D$2:$D$11000,"Out",OUT!$E$2:$E$11000,"Sedekah")</f>
        <v>129000</v>
      </c>
      <c r="S485" s="52">
        <f ca="1">SUMIFS(OUT!$F$2:$F$11000,OUT!$H$2:$H$11000,H485,OUT!$D$2:$D$11000,"Out",OUT!$E$2:$E$11000,"Zela")</f>
        <v>24100</v>
      </c>
      <c r="T485" s="52">
        <f ca="1">SUMIFS(OUT!$F$2:$F$11000,OUT!$H$2:$H$11000,H485,OUT!$D$2:$D$11000,"Out",OUT!$E$2:$E$11000,"Iqbal")</f>
        <v>121000</v>
      </c>
    </row>
    <row r="486" spans="1:20" x14ac:dyDescent="0.2">
      <c r="A486" s="48">
        <f ca="1">IFERROR(__xludf.DUMMYFUNCTION("""COMPUTED_VALUE"""),46070)</f>
        <v>46070</v>
      </c>
      <c r="B486" s="4" t="str">
        <f ca="1">IFERROR(__xludf.DUMMYFUNCTION("""COMPUTED_VALUE"""),"Spons + sunlight+lapdapur")</f>
        <v>Spons + sunlight+lapdapur</v>
      </c>
      <c r="C486" s="4" t="str">
        <f ca="1">IFERROR(__xludf.DUMMYFUNCTION("""COMPUTED_VALUE"""),"ATM")</f>
        <v>ATM</v>
      </c>
      <c r="D486" s="4" t="str">
        <f ca="1">IFERROR(__xludf.DUMMYFUNCTION("""COMPUTED_VALUE"""),"Out")</f>
        <v>Out</v>
      </c>
      <c r="E486" s="4" t="str">
        <f ca="1">IFERROR(__xludf.DUMMYFUNCTION("""COMPUTED_VALUE"""),"Kitchen")</f>
        <v>Kitchen</v>
      </c>
      <c r="F486" s="49">
        <f ca="1">IFERROR(__xludf.DUMMYFUNCTION("""COMPUTED_VALUE"""),25500)</f>
        <v>25500</v>
      </c>
      <c r="G486" s="50" t="str">
        <f ca="1">IFERROR(__xludf.DUMMYFUNCTION("""COMPUTED_VALUE"""),"Zela")</f>
        <v>Zela</v>
      </c>
      <c r="H486" s="51">
        <f t="shared" ca="1" si="0"/>
        <v>46054</v>
      </c>
      <c r="I486" s="52" t="e">
        <f ca="1">SUMIFS(OUT!$F$2:$F$11000,OUT!$H$2:$H$11000,H486,OUT!$D$2:$D$101007,"In")</f>
        <v>#VALUE!</v>
      </c>
      <c r="J486" s="52">
        <f ca="1">SUMIFS(OUT!$F$2:$F$11000,OUT!$H$2:$H$11000,H486,OUT!$D$2:$D$11000,"Out")</f>
        <v>6908733</v>
      </c>
      <c r="K486" s="52">
        <f ca="1">SUMIFS(OUT!$F$2:$F$11000,OUT!$H$2:$H$11000,H486,OUT!$D$2:$D$11000,"Out",OUT!$E$2:$E$11000,"Fix")</f>
        <v>2440568</v>
      </c>
      <c r="L486" s="52">
        <f ca="1">SUMIFS(OUT!$F$2:$F$11000,OUT!$H$2:$H$11000,H486,OUT!$D$2:$D$11000,"Out",OUT!$E$2:$E$11000,"Bathroom")</f>
        <v>34500</v>
      </c>
      <c r="M486" s="52">
        <f ca="1">SUMIFS(OUT!$F$2:$F$11000,OUT!$H$2:$H$11000,H486,OUT!$D$2:$D$11000,"Out",OUT!$E$2:$E$11000,"Alfa")</f>
        <v>293800</v>
      </c>
      <c r="N486" s="52" t="e">
        <f ca="1">SUMIFS(OUT!$F$2:$F$11000,OUT!$H$2:$H$101007,H486,OUT!$D$2:$D$11000,"Out",OUT!$E$2:$E$11000,"Jajan")</f>
        <v>#VALUE!</v>
      </c>
      <c r="O486" s="52">
        <f ca="1">SUMIFS(OUT!$F$2:$F$11000,OUT!$H$2:$H$11000,H486,OUT!$D$2:$D$11000,"Out",OUT!$E$2:$E$11000,"Kitchen")</f>
        <v>992724</v>
      </c>
      <c r="P486" s="52">
        <f ca="1">SUMIFS(OUT!$F$2:$F$11000,OUT!$H$2:$H$11000,H486,OUT!$D$2:$D$11000,"Out",OUT!$E$2:$E$11000,"Loandry")</f>
        <v>41600</v>
      </c>
      <c r="Q486" s="52">
        <f ca="1">SUMIFS(OUT!$F$2:$F$11000,OUT!$H$2:$H$11000,H486,OUT!$D$2:$D$11000,"Out",OUT!$E$2:$E$11000,"Mio")</f>
        <v>249000</v>
      </c>
      <c r="R486" s="52">
        <f ca="1">SUMIFS(OUT!$F$2:$F$11000,OUT!$H$2:$H$11000,H486,OUT!$D$2:$D$11000,"Out",OUT!$E$2:$E$11000,"Sedekah")</f>
        <v>129000</v>
      </c>
      <c r="S486" s="52">
        <f ca="1">SUMIFS(OUT!$F$2:$F$11000,OUT!$H$2:$H$11000,H486,OUT!$D$2:$D$11000,"Out",OUT!$E$2:$E$11000,"Zela")</f>
        <v>24100</v>
      </c>
      <c r="T486" s="52">
        <f ca="1">SUMIFS(OUT!$F$2:$F$11000,OUT!$H$2:$H$11000,H486,OUT!$D$2:$D$11000,"Out",OUT!$E$2:$E$11000,"Iqbal")</f>
        <v>121000</v>
      </c>
    </row>
    <row r="487" spans="1:20" x14ac:dyDescent="0.2">
      <c r="A487" s="48">
        <f ca="1">IFERROR(__xludf.DUMMYFUNCTION("""COMPUTED_VALUE"""),46069)</f>
        <v>46069</v>
      </c>
      <c r="B487" s="4" t="str">
        <f ca="1">IFERROR(__xludf.DUMMYFUNCTION("""COMPUTED_VALUE"""),"Admin + Kartu")</f>
        <v>Admin + Kartu</v>
      </c>
      <c r="C487" s="4" t="str">
        <f ca="1">IFERROR(__xludf.DUMMYFUNCTION("""COMPUTED_VALUE"""),"ATM")</f>
        <v>ATM</v>
      </c>
      <c r="D487" s="4" t="str">
        <f ca="1">IFERROR(__xludf.DUMMYFUNCTION("""COMPUTED_VALUE"""),"Out")</f>
        <v>Out</v>
      </c>
      <c r="E487" s="4" t="str">
        <f ca="1">IFERROR(__xludf.DUMMYFUNCTION("""COMPUTED_VALUE"""),"Fix")</f>
        <v>Fix</v>
      </c>
      <c r="F487" s="49">
        <f ca="1">IFERROR(__xludf.DUMMYFUNCTION("""COMPUTED_VALUE"""),9000)</f>
        <v>9000</v>
      </c>
      <c r="G487" s="50" t="str">
        <f ca="1">IFERROR(__xludf.DUMMYFUNCTION("""COMPUTED_VALUE"""),"Zela")</f>
        <v>Zela</v>
      </c>
      <c r="H487" s="51">
        <f t="shared" ca="1" si="0"/>
        <v>46054</v>
      </c>
      <c r="I487" s="52" t="e">
        <f ca="1">SUMIFS(OUT!$F$2:$F$11000,OUT!$H$2:$H$11000,H487,OUT!$D$2:$D$101007,"In")</f>
        <v>#VALUE!</v>
      </c>
      <c r="J487" s="52">
        <f ca="1">SUMIFS(OUT!$F$2:$F$11000,OUT!$H$2:$H$11000,H487,OUT!$D$2:$D$11000,"Out")</f>
        <v>6908733</v>
      </c>
      <c r="K487" s="52">
        <f ca="1">SUMIFS(OUT!$F$2:$F$11000,OUT!$H$2:$H$11000,H487,OUT!$D$2:$D$11000,"Out",OUT!$E$2:$E$11000,"Fix")</f>
        <v>2440568</v>
      </c>
      <c r="L487" s="52">
        <f ca="1">SUMIFS(OUT!$F$2:$F$11000,OUT!$H$2:$H$11000,H487,OUT!$D$2:$D$11000,"Out",OUT!$E$2:$E$11000,"Bathroom")</f>
        <v>34500</v>
      </c>
      <c r="M487" s="52">
        <f ca="1">SUMIFS(OUT!$F$2:$F$11000,OUT!$H$2:$H$11000,H487,OUT!$D$2:$D$11000,"Out",OUT!$E$2:$E$11000,"Alfa")</f>
        <v>293800</v>
      </c>
      <c r="N487" s="52" t="e">
        <f ca="1">SUMIFS(OUT!$F$2:$F$11000,OUT!$H$2:$H$101007,H487,OUT!$D$2:$D$11000,"Out",OUT!$E$2:$E$11000,"Jajan")</f>
        <v>#VALUE!</v>
      </c>
      <c r="O487" s="52">
        <f ca="1">SUMIFS(OUT!$F$2:$F$11000,OUT!$H$2:$H$11000,H487,OUT!$D$2:$D$11000,"Out",OUT!$E$2:$E$11000,"Kitchen")</f>
        <v>992724</v>
      </c>
      <c r="P487" s="52">
        <f ca="1">SUMIFS(OUT!$F$2:$F$11000,OUT!$H$2:$H$11000,H487,OUT!$D$2:$D$11000,"Out",OUT!$E$2:$E$11000,"Loandry")</f>
        <v>41600</v>
      </c>
      <c r="Q487" s="52">
        <f ca="1">SUMIFS(OUT!$F$2:$F$11000,OUT!$H$2:$H$11000,H487,OUT!$D$2:$D$11000,"Out",OUT!$E$2:$E$11000,"Mio")</f>
        <v>249000</v>
      </c>
      <c r="R487" s="52">
        <f ca="1">SUMIFS(OUT!$F$2:$F$11000,OUT!$H$2:$H$11000,H487,OUT!$D$2:$D$11000,"Out",OUT!$E$2:$E$11000,"Sedekah")</f>
        <v>129000</v>
      </c>
      <c r="S487" s="52">
        <f ca="1">SUMIFS(OUT!$F$2:$F$11000,OUT!$H$2:$H$11000,H487,OUT!$D$2:$D$11000,"Out",OUT!$E$2:$E$11000,"Zela")</f>
        <v>24100</v>
      </c>
      <c r="T487" s="52">
        <f ca="1">SUMIFS(OUT!$F$2:$F$11000,OUT!$H$2:$H$11000,H487,OUT!$D$2:$D$11000,"Out",OUT!$E$2:$E$11000,"Iqbal")</f>
        <v>121000</v>
      </c>
    </row>
    <row r="488" spans="1:20" x14ac:dyDescent="0.2">
      <c r="A488" s="48">
        <f ca="1">IFERROR(__xludf.DUMMYFUNCTION("""COMPUTED_VALUE"""),46069)</f>
        <v>46069</v>
      </c>
      <c r="B488" s="4" t="str">
        <f ca="1">IFERROR(__xludf.DUMMYFUNCTION("""COMPUTED_VALUE"""),"Nenek Prawang (Alfa)")</f>
        <v>Nenek Prawang (Alfa)</v>
      </c>
      <c r="C488" s="4" t="str">
        <f ca="1">IFERROR(__xludf.DUMMYFUNCTION("""COMPUTED_VALUE"""),"Cash")</f>
        <v>Cash</v>
      </c>
      <c r="D488" s="4" t="str">
        <f ca="1">IFERROR(__xludf.DUMMYFUNCTION("""COMPUTED_VALUE"""),"In")</f>
        <v>In</v>
      </c>
      <c r="E488" s="4" t="str">
        <f ca="1">IFERROR(__xludf.DUMMYFUNCTION("""COMPUTED_VALUE"""),"Fix")</f>
        <v>Fix</v>
      </c>
      <c r="F488" s="49">
        <f ca="1">IFERROR(__xludf.DUMMYFUNCTION("""COMPUTED_VALUE"""),15000)</f>
        <v>15000</v>
      </c>
      <c r="G488" s="50" t="str">
        <f ca="1">IFERROR(__xludf.DUMMYFUNCTION("""COMPUTED_VALUE"""),"Zela")</f>
        <v>Zela</v>
      </c>
      <c r="H488" s="51">
        <f t="shared" ca="1" si="0"/>
        <v>46054</v>
      </c>
      <c r="I488" s="52" t="e">
        <f ca="1">SUMIFS(OUT!$F$2:$F$11000,OUT!$H$2:$H$11000,H488,OUT!$D$2:$D$101007,"In")</f>
        <v>#VALUE!</v>
      </c>
      <c r="J488" s="52">
        <f ca="1">SUMIFS(OUT!$F$2:$F$11000,OUT!$H$2:$H$11000,H488,OUT!$D$2:$D$11000,"Out")</f>
        <v>6908733</v>
      </c>
      <c r="K488" s="52">
        <f ca="1">SUMIFS(OUT!$F$2:$F$11000,OUT!$H$2:$H$11000,H488,OUT!$D$2:$D$11000,"Out",OUT!$E$2:$E$11000,"Fix")</f>
        <v>2440568</v>
      </c>
      <c r="L488" s="52">
        <f ca="1">SUMIFS(OUT!$F$2:$F$11000,OUT!$H$2:$H$11000,H488,OUT!$D$2:$D$11000,"Out",OUT!$E$2:$E$11000,"Bathroom")</f>
        <v>34500</v>
      </c>
      <c r="M488" s="52">
        <f ca="1">SUMIFS(OUT!$F$2:$F$11000,OUT!$H$2:$H$11000,H488,OUT!$D$2:$D$11000,"Out",OUT!$E$2:$E$11000,"Alfa")</f>
        <v>293800</v>
      </c>
      <c r="N488" s="52" t="e">
        <f ca="1">SUMIFS(OUT!$F$2:$F$11000,OUT!$H$2:$H$101007,H488,OUT!$D$2:$D$11000,"Out",OUT!$E$2:$E$11000,"Jajan")</f>
        <v>#VALUE!</v>
      </c>
      <c r="O488" s="52">
        <f ca="1">SUMIFS(OUT!$F$2:$F$11000,OUT!$H$2:$H$11000,H488,OUT!$D$2:$D$11000,"Out",OUT!$E$2:$E$11000,"Kitchen")</f>
        <v>992724</v>
      </c>
      <c r="P488" s="52">
        <f ca="1">SUMIFS(OUT!$F$2:$F$11000,OUT!$H$2:$H$11000,H488,OUT!$D$2:$D$11000,"Out",OUT!$E$2:$E$11000,"Loandry")</f>
        <v>41600</v>
      </c>
      <c r="Q488" s="52">
        <f ca="1">SUMIFS(OUT!$F$2:$F$11000,OUT!$H$2:$H$11000,H488,OUT!$D$2:$D$11000,"Out",OUT!$E$2:$E$11000,"Mio")</f>
        <v>249000</v>
      </c>
      <c r="R488" s="52">
        <f ca="1">SUMIFS(OUT!$F$2:$F$11000,OUT!$H$2:$H$11000,H488,OUT!$D$2:$D$11000,"Out",OUT!$E$2:$E$11000,"Sedekah")</f>
        <v>129000</v>
      </c>
      <c r="S488" s="52">
        <f ca="1">SUMIFS(OUT!$F$2:$F$11000,OUT!$H$2:$H$11000,H488,OUT!$D$2:$D$11000,"Out",OUT!$E$2:$E$11000,"Zela")</f>
        <v>24100</v>
      </c>
      <c r="T488" s="52">
        <f ca="1">SUMIFS(OUT!$F$2:$F$11000,OUT!$H$2:$H$11000,H488,OUT!$D$2:$D$11000,"Out",OUT!$E$2:$E$11000,"Iqbal")</f>
        <v>121000</v>
      </c>
    </row>
    <row r="489" spans="1:20" x14ac:dyDescent="0.2">
      <c r="A489" s="48">
        <f ca="1">IFERROR(__xludf.DUMMYFUNCTION("""COMPUTED_VALUE"""),46070)</f>
        <v>46070</v>
      </c>
      <c r="B489" s="4" t="str">
        <f ca="1">IFERROR(__xludf.DUMMYFUNCTION("""COMPUTED_VALUE"""),"Tunai (lebih dri duit 100)")</f>
        <v>Tunai (lebih dri duit 100)</v>
      </c>
      <c r="C489" s="4" t="str">
        <f ca="1">IFERROR(__xludf.DUMMYFUNCTION("""COMPUTED_VALUE"""),"Cash")</f>
        <v>Cash</v>
      </c>
      <c r="D489" s="4" t="str">
        <f ca="1">IFERROR(__xludf.DUMMYFUNCTION("""COMPUTED_VALUE"""),"In")</f>
        <v>In</v>
      </c>
      <c r="E489" s="4" t="str">
        <f ca="1">IFERROR(__xludf.DUMMYFUNCTION("""COMPUTED_VALUE"""),"Fix")</f>
        <v>Fix</v>
      </c>
      <c r="F489" s="49">
        <f ca="1">IFERROR(__xludf.DUMMYFUNCTION("""COMPUTED_VALUE"""),50000)</f>
        <v>50000</v>
      </c>
      <c r="G489" s="50" t="str">
        <f ca="1">IFERROR(__xludf.DUMMYFUNCTION("""COMPUTED_VALUE"""),"Zela")</f>
        <v>Zela</v>
      </c>
      <c r="H489" s="51">
        <f t="shared" ca="1" si="0"/>
        <v>46054</v>
      </c>
      <c r="I489" s="52" t="e">
        <f ca="1">SUMIFS(OUT!$F$2:$F$11000,OUT!$H$2:$H$11000,H489,OUT!$D$2:$D$101007,"In")</f>
        <v>#VALUE!</v>
      </c>
      <c r="J489" s="52">
        <f ca="1">SUMIFS(OUT!$F$2:$F$11000,OUT!$H$2:$H$11000,H489,OUT!$D$2:$D$11000,"Out")</f>
        <v>6908733</v>
      </c>
      <c r="K489" s="52">
        <f ca="1">SUMIFS(OUT!$F$2:$F$11000,OUT!$H$2:$H$11000,H489,OUT!$D$2:$D$11000,"Out",OUT!$E$2:$E$11000,"Fix")</f>
        <v>2440568</v>
      </c>
      <c r="L489" s="52">
        <f ca="1">SUMIFS(OUT!$F$2:$F$11000,OUT!$H$2:$H$11000,H489,OUT!$D$2:$D$11000,"Out",OUT!$E$2:$E$11000,"Bathroom")</f>
        <v>34500</v>
      </c>
      <c r="M489" s="52">
        <f ca="1">SUMIFS(OUT!$F$2:$F$11000,OUT!$H$2:$H$11000,H489,OUT!$D$2:$D$11000,"Out",OUT!$E$2:$E$11000,"Alfa")</f>
        <v>293800</v>
      </c>
      <c r="N489" s="52" t="e">
        <f ca="1">SUMIFS(OUT!$F$2:$F$11000,OUT!$H$2:$H$101007,H489,OUT!$D$2:$D$11000,"Out",OUT!$E$2:$E$11000,"Jajan")</f>
        <v>#VALUE!</v>
      </c>
      <c r="O489" s="52">
        <f ca="1">SUMIFS(OUT!$F$2:$F$11000,OUT!$H$2:$H$11000,H489,OUT!$D$2:$D$11000,"Out",OUT!$E$2:$E$11000,"Kitchen")</f>
        <v>992724</v>
      </c>
      <c r="P489" s="52">
        <f ca="1">SUMIFS(OUT!$F$2:$F$11000,OUT!$H$2:$H$11000,H489,OUT!$D$2:$D$11000,"Out",OUT!$E$2:$E$11000,"Loandry")</f>
        <v>41600</v>
      </c>
      <c r="Q489" s="52">
        <f ca="1">SUMIFS(OUT!$F$2:$F$11000,OUT!$H$2:$H$11000,H489,OUT!$D$2:$D$11000,"Out",OUT!$E$2:$E$11000,"Mio")</f>
        <v>249000</v>
      </c>
      <c r="R489" s="52">
        <f ca="1">SUMIFS(OUT!$F$2:$F$11000,OUT!$H$2:$H$11000,H489,OUT!$D$2:$D$11000,"Out",OUT!$E$2:$E$11000,"Sedekah")</f>
        <v>129000</v>
      </c>
      <c r="S489" s="52">
        <f ca="1">SUMIFS(OUT!$F$2:$F$11000,OUT!$H$2:$H$11000,H489,OUT!$D$2:$D$11000,"Out",OUT!$E$2:$E$11000,"Zela")</f>
        <v>24100</v>
      </c>
      <c r="T489" s="52">
        <f ca="1">SUMIFS(OUT!$F$2:$F$11000,OUT!$H$2:$H$11000,H489,OUT!$D$2:$D$11000,"Out",OUT!$E$2:$E$11000,"Iqbal")</f>
        <v>121000</v>
      </c>
    </row>
    <row r="490" spans="1:20" x14ac:dyDescent="0.2">
      <c r="A490" s="48">
        <f ca="1">IFERROR(__xludf.DUMMYFUNCTION("""COMPUTED_VALUE"""),46070)</f>
        <v>46070</v>
      </c>
      <c r="B490" s="4" t="str">
        <f ca="1">IFERROR(__xludf.DUMMYFUNCTION("""COMPUTED_VALUE"""),"Indomie")</f>
        <v>Indomie</v>
      </c>
      <c r="C490" s="4" t="str">
        <f ca="1">IFERROR(__xludf.DUMMYFUNCTION("""COMPUTED_VALUE"""),"ATM")</f>
        <v>ATM</v>
      </c>
      <c r="D490" s="4" t="str">
        <f ca="1">IFERROR(__xludf.DUMMYFUNCTION("""COMPUTED_VALUE"""),"Out")</f>
        <v>Out</v>
      </c>
      <c r="E490" s="4" t="str">
        <f ca="1">IFERROR(__xludf.DUMMYFUNCTION("""COMPUTED_VALUE"""),"Jajan")</f>
        <v>Jajan</v>
      </c>
      <c r="F490" s="49">
        <f ca="1">IFERROR(__xludf.DUMMYFUNCTION("""COMPUTED_VALUE"""),10000)</f>
        <v>10000</v>
      </c>
      <c r="G490" s="50" t="str">
        <f ca="1">IFERROR(__xludf.DUMMYFUNCTION("""COMPUTED_VALUE"""),"Zela")</f>
        <v>Zela</v>
      </c>
      <c r="H490" s="51">
        <f t="shared" ca="1" si="0"/>
        <v>46054</v>
      </c>
      <c r="I490" s="52" t="e">
        <f ca="1">SUMIFS(OUT!$F$2:$F$11000,OUT!$H$2:$H$11000,H490,OUT!$D$2:$D$101007,"In")</f>
        <v>#VALUE!</v>
      </c>
      <c r="J490" s="52">
        <f ca="1">SUMIFS(OUT!$F$2:$F$11000,OUT!$H$2:$H$11000,H490,OUT!$D$2:$D$11000,"Out")</f>
        <v>6908733</v>
      </c>
      <c r="K490" s="52">
        <f ca="1">SUMIFS(OUT!$F$2:$F$11000,OUT!$H$2:$H$11000,H490,OUT!$D$2:$D$11000,"Out",OUT!$E$2:$E$11000,"Fix")</f>
        <v>2440568</v>
      </c>
      <c r="L490" s="52">
        <f ca="1">SUMIFS(OUT!$F$2:$F$11000,OUT!$H$2:$H$11000,H490,OUT!$D$2:$D$11000,"Out",OUT!$E$2:$E$11000,"Bathroom")</f>
        <v>34500</v>
      </c>
      <c r="M490" s="52">
        <f ca="1">SUMIFS(OUT!$F$2:$F$11000,OUT!$H$2:$H$11000,H490,OUT!$D$2:$D$11000,"Out",OUT!$E$2:$E$11000,"Alfa")</f>
        <v>293800</v>
      </c>
      <c r="N490" s="52" t="e">
        <f ca="1">SUMIFS(OUT!$F$2:$F$11000,OUT!$H$2:$H$101007,H490,OUT!$D$2:$D$11000,"Out",OUT!$E$2:$E$11000,"Jajan")</f>
        <v>#VALUE!</v>
      </c>
      <c r="O490" s="52">
        <f ca="1">SUMIFS(OUT!$F$2:$F$11000,OUT!$H$2:$H$11000,H490,OUT!$D$2:$D$11000,"Out",OUT!$E$2:$E$11000,"Kitchen")</f>
        <v>992724</v>
      </c>
      <c r="P490" s="52">
        <f ca="1">SUMIFS(OUT!$F$2:$F$11000,OUT!$H$2:$H$11000,H490,OUT!$D$2:$D$11000,"Out",OUT!$E$2:$E$11000,"Loandry")</f>
        <v>41600</v>
      </c>
      <c r="Q490" s="52">
        <f ca="1">SUMIFS(OUT!$F$2:$F$11000,OUT!$H$2:$H$11000,H490,OUT!$D$2:$D$11000,"Out",OUT!$E$2:$E$11000,"Mio")</f>
        <v>249000</v>
      </c>
      <c r="R490" s="52">
        <f ca="1">SUMIFS(OUT!$F$2:$F$11000,OUT!$H$2:$H$11000,H490,OUT!$D$2:$D$11000,"Out",OUT!$E$2:$E$11000,"Sedekah")</f>
        <v>129000</v>
      </c>
      <c r="S490" s="52">
        <f ca="1">SUMIFS(OUT!$F$2:$F$11000,OUT!$H$2:$H$11000,H490,OUT!$D$2:$D$11000,"Out",OUT!$E$2:$E$11000,"Zela")</f>
        <v>24100</v>
      </c>
      <c r="T490" s="52">
        <f ca="1">SUMIFS(OUT!$F$2:$F$11000,OUT!$H$2:$H$11000,H490,OUT!$D$2:$D$11000,"Out",OUT!$E$2:$E$11000,"Iqbal")</f>
        <v>121000</v>
      </c>
    </row>
    <row r="491" spans="1:20" x14ac:dyDescent="0.2">
      <c r="A491" s="48">
        <f ca="1">IFERROR(__xludf.DUMMYFUNCTION("""COMPUTED_VALUE"""),46070)</f>
        <v>46070</v>
      </c>
      <c r="B491" s="4" t="str">
        <f ca="1">IFERROR(__xludf.DUMMYFUNCTION("""COMPUTED_VALUE"""),"Mancis")</f>
        <v>Mancis</v>
      </c>
      <c r="C491" s="4" t="str">
        <f ca="1">IFERROR(__xludf.DUMMYFUNCTION("""COMPUTED_VALUE"""),"ATM")</f>
        <v>ATM</v>
      </c>
      <c r="D491" s="4" t="str">
        <f ca="1">IFERROR(__xludf.DUMMYFUNCTION("""COMPUTED_VALUE"""),"Out")</f>
        <v>Out</v>
      </c>
      <c r="E491" s="4" t="str">
        <f ca="1">IFERROR(__xludf.DUMMYFUNCTION("""COMPUTED_VALUE"""),"Jajan")</f>
        <v>Jajan</v>
      </c>
      <c r="F491" s="49">
        <f ca="1">IFERROR(__xludf.DUMMYFUNCTION("""COMPUTED_VALUE"""),2000)</f>
        <v>2000</v>
      </c>
      <c r="G491" s="50" t="str">
        <f ca="1">IFERROR(__xludf.DUMMYFUNCTION("""COMPUTED_VALUE"""),"Zela")</f>
        <v>Zela</v>
      </c>
      <c r="H491" s="51">
        <f t="shared" ca="1" si="0"/>
        <v>46054</v>
      </c>
      <c r="I491" s="52" t="e">
        <f ca="1">SUMIFS(OUT!$F$2:$F$11000,OUT!$H$2:$H$11000,H491,OUT!$D$2:$D$101007,"In")</f>
        <v>#VALUE!</v>
      </c>
      <c r="J491" s="52">
        <f ca="1">SUMIFS(OUT!$F$2:$F$11000,OUT!$H$2:$H$11000,H491,OUT!$D$2:$D$11000,"Out")</f>
        <v>6908733</v>
      </c>
      <c r="K491" s="52">
        <f ca="1">SUMIFS(OUT!$F$2:$F$11000,OUT!$H$2:$H$11000,H491,OUT!$D$2:$D$11000,"Out",OUT!$E$2:$E$11000,"Fix")</f>
        <v>2440568</v>
      </c>
      <c r="L491" s="52">
        <f ca="1">SUMIFS(OUT!$F$2:$F$11000,OUT!$H$2:$H$11000,H491,OUT!$D$2:$D$11000,"Out",OUT!$E$2:$E$11000,"Bathroom")</f>
        <v>34500</v>
      </c>
      <c r="M491" s="52">
        <f ca="1">SUMIFS(OUT!$F$2:$F$11000,OUT!$H$2:$H$11000,H491,OUT!$D$2:$D$11000,"Out",OUT!$E$2:$E$11000,"Alfa")</f>
        <v>293800</v>
      </c>
      <c r="N491" s="52" t="e">
        <f ca="1">SUMIFS(OUT!$F$2:$F$11000,OUT!$H$2:$H$101007,H491,OUT!$D$2:$D$11000,"Out",OUT!$E$2:$E$11000,"Jajan")</f>
        <v>#VALUE!</v>
      </c>
      <c r="O491" s="52">
        <f ca="1">SUMIFS(OUT!$F$2:$F$11000,OUT!$H$2:$H$11000,H491,OUT!$D$2:$D$11000,"Out",OUT!$E$2:$E$11000,"Kitchen")</f>
        <v>992724</v>
      </c>
      <c r="P491" s="52">
        <f ca="1">SUMIFS(OUT!$F$2:$F$11000,OUT!$H$2:$H$11000,H491,OUT!$D$2:$D$11000,"Out",OUT!$E$2:$E$11000,"Loandry")</f>
        <v>41600</v>
      </c>
      <c r="Q491" s="52">
        <f ca="1">SUMIFS(OUT!$F$2:$F$11000,OUT!$H$2:$H$11000,H491,OUT!$D$2:$D$11000,"Out",OUT!$E$2:$E$11000,"Mio")</f>
        <v>249000</v>
      </c>
      <c r="R491" s="52">
        <f ca="1">SUMIFS(OUT!$F$2:$F$11000,OUT!$H$2:$H$11000,H491,OUT!$D$2:$D$11000,"Out",OUT!$E$2:$E$11000,"Sedekah")</f>
        <v>129000</v>
      </c>
      <c r="S491" s="52">
        <f ca="1">SUMIFS(OUT!$F$2:$F$11000,OUT!$H$2:$H$11000,H491,OUT!$D$2:$D$11000,"Out",OUT!$E$2:$E$11000,"Zela")</f>
        <v>24100</v>
      </c>
      <c r="T491" s="52">
        <f ca="1">SUMIFS(OUT!$F$2:$F$11000,OUT!$H$2:$H$11000,H491,OUT!$D$2:$D$11000,"Out",OUT!$E$2:$E$11000,"Iqbal")</f>
        <v>121000</v>
      </c>
    </row>
    <row r="492" spans="1:20" x14ac:dyDescent="0.2">
      <c r="A492" s="48">
        <f ca="1">IFERROR(__xludf.DUMMYFUNCTION("""COMPUTED_VALUE"""),46070)</f>
        <v>46070</v>
      </c>
      <c r="B492" s="4" t="str">
        <f ca="1">IFERROR(__xludf.DUMMYFUNCTION("""COMPUTED_VALUE"""),"Oreo")</f>
        <v>Oreo</v>
      </c>
      <c r="C492" s="4" t="str">
        <f ca="1">IFERROR(__xludf.DUMMYFUNCTION("""COMPUTED_VALUE"""),"ATM")</f>
        <v>ATM</v>
      </c>
      <c r="D492" s="4" t="str">
        <f ca="1">IFERROR(__xludf.DUMMYFUNCTION("""COMPUTED_VALUE"""),"Out")</f>
        <v>Out</v>
      </c>
      <c r="E492" s="4" t="str">
        <f ca="1">IFERROR(__xludf.DUMMYFUNCTION("""COMPUTED_VALUE"""),"Jajan")</f>
        <v>Jajan</v>
      </c>
      <c r="F492" s="49">
        <f ca="1">IFERROR(__xludf.DUMMYFUNCTION("""COMPUTED_VALUE"""),9000)</f>
        <v>9000</v>
      </c>
      <c r="G492" s="50" t="str">
        <f ca="1">IFERROR(__xludf.DUMMYFUNCTION("""COMPUTED_VALUE"""),"Zela")</f>
        <v>Zela</v>
      </c>
      <c r="H492" s="51">
        <f t="shared" ca="1" si="0"/>
        <v>46054</v>
      </c>
      <c r="I492" s="52" t="e">
        <f ca="1">SUMIFS(OUT!$F$2:$F$11000,OUT!$H$2:$H$11000,H492,OUT!$D$2:$D$101007,"In")</f>
        <v>#VALUE!</v>
      </c>
      <c r="J492" s="52">
        <f ca="1">SUMIFS(OUT!$F$2:$F$11000,OUT!$H$2:$H$11000,H492,OUT!$D$2:$D$11000,"Out")</f>
        <v>6908733</v>
      </c>
      <c r="K492" s="52">
        <f ca="1">SUMIFS(OUT!$F$2:$F$11000,OUT!$H$2:$H$11000,H492,OUT!$D$2:$D$11000,"Out",OUT!$E$2:$E$11000,"Fix")</f>
        <v>2440568</v>
      </c>
      <c r="L492" s="52">
        <f ca="1">SUMIFS(OUT!$F$2:$F$11000,OUT!$H$2:$H$11000,H492,OUT!$D$2:$D$11000,"Out",OUT!$E$2:$E$11000,"Bathroom")</f>
        <v>34500</v>
      </c>
      <c r="M492" s="52">
        <f ca="1">SUMIFS(OUT!$F$2:$F$11000,OUT!$H$2:$H$11000,H492,OUT!$D$2:$D$11000,"Out",OUT!$E$2:$E$11000,"Alfa")</f>
        <v>293800</v>
      </c>
      <c r="N492" s="52" t="e">
        <f ca="1">SUMIFS(OUT!$F$2:$F$11000,OUT!$H$2:$H$101007,H492,OUT!$D$2:$D$11000,"Out",OUT!$E$2:$E$11000,"Jajan")</f>
        <v>#VALUE!</v>
      </c>
      <c r="O492" s="52">
        <f ca="1">SUMIFS(OUT!$F$2:$F$11000,OUT!$H$2:$H$11000,H492,OUT!$D$2:$D$11000,"Out",OUT!$E$2:$E$11000,"Kitchen")</f>
        <v>992724</v>
      </c>
      <c r="P492" s="52">
        <f ca="1">SUMIFS(OUT!$F$2:$F$11000,OUT!$H$2:$H$11000,H492,OUT!$D$2:$D$11000,"Out",OUT!$E$2:$E$11000,"Loandry")</f>
        <v>41600</v>
      </c>
      <c r="Q492" s="52">
        <f ca="1">SUMIFS(OUT!$F$2:$F$11000,OUT!$H$2:$H$11000,H492,OUT!$D$2:$D$11000,"Out",OUT!$E$2:$E$11000,"Mio")</f>
        <v>249000</v>
      </c>
      <c r="R492" s="52">
        <f ca="1">SUMIFS(OUT!$F$2:$F$11000,OUT!$H$2:$H$11000,H492,OUT!$D$2:$D$11000,"Out",OUT!$E$2:$E$11000,"Sedekah")</f>
        <v>129000</v>
      </c>
      <c r="S492" s="52">
        <f ca="1">SUMIFS(OUT!$F$2:$F$11000,OUT!$H$2:$H$11000,H492,OUT!$D$2:$D$11000,"Out",OUT!$E$2:$E$11000,"Zela")</f>
        <v>24100</v>
      </c>
      <c r="T492" s="52">
        <f ca="1">SUMIFS(OUT!$F$2:$F$11000,OUT!$H$2:$H$11000,H492,OUT!$D$2:$D$11000,"Out",OUT!$E$2:$E$11000,"Iqbal")</f>
        <v>121000</v>
      </c>
    </row>
    <row r="493" spans="1:20" x14ac:dyDescent="0.2">
      <c r="A493" s="48">
        <f ca="1">IFERROR(__xludf.DUMMYFUNCTION("""COMPUTED_VALUE"""),46070)</f>
        <v>46070</v>
      </c>
      <c r="B493" s="4" t="str">
        <f ca="1">IFERROR(__xludf.DUMMYFUNCTION("""COMPUTED_VALUE"""),"Grosir")</f>
        <v>Grosir</v>
      </c>
      <c r="C493" s="4" t="str">
        <f ca="1">IFERROR(__xludf.DUMMYFUNCTION("""COMPUTED_VALUE"""),"ATM")</f>
        <v>ATM</v>
      </c>
      <c r="D493" s="4" t="str">
        <f ca="1">IFERROR(__xludf.DUMMYFUNCTION("""COMPUTED_VALUE"""),"Out")</f>
        <v>Out</v>
      </c>
      <c r="E493" s="4" t="str">
        <f ca="1">IFERROR(__xludf.DUMMYFUNCTION("""COMPUTED_VALUE"""),"Kitchen")</f>
        <v>Kitchen</v>
      </c>
      <c r="F493" s="49">
        <f ca="1">IFERROR(__xludf.DUMMYFUNCTION("""COMPUTED_VALUE"""),29000)</f>
        <v>29000</v>
      </c>
      <c r="G493" s="50" t="str">
        <f ca="1">IFERROR(__xludf.DUMMYFUNCTION("""COMPUTED_VALUE"""),"Zela")</f>
        <v>Zela</v>
      </c>
      <c r="H493" s="51">
        <f t="shared" ca="1" si="0"/>
        <v>46054</v>
      </c>
      <c r="I493" s="52" t="e">
        <f ca="1">SUMIFS(OUT!$F$2:$F$11000,OUT!$H$2:$H$11000,H493,OUT!$D$2:$D$101007,"In")</f>
        <v>#VALUE!</v>
      </c>
      <c r="J493" s="52">
        <f ca="1">SUMIFS(OUT!$F$2:$F$11000,OUT!$H$2:$H$11000,H493,OUT!$D$2:$D$11000,"Out")</f>
        <v>6908733</v>
      </c>
      <c r="K493" s="52">
        <f ca="1">SUMIFS(OUT!$F$2:$F$11000,OUT!$H$2:$H$11000,H493,OUT!$D$2:$D$11000,"Out",OUT!$E$2:$E$11000,"Fix")</f>
        <v>2440568</v>
      </c>
      <c r="L493" s="52">
        <f ca="1">SUMIFS(OUT!$F$2:$F$11000,OUT!$H$2:$H$11000,H493,OUT!$D$2:$D$11000,"Out",OUT!$E$2:$E$11000,"Bathroom")</f>
        <v>34500</v>
      </c>
      <c r="M493" s="52">
        <f ca="1">SUMIFS(OUT!$F$2:$F$11000,OUT!$H$2:$H$11000,H493,OUT!$D$2:$D$11000,"Out",OUT!$E$2:$E$11000,"Alfa")</f>
        <v>293800</v>
      </c>
      <c r="N493" s="52" t="e">
        <f ca="1">SUMIFS(OUT!$F$2:$F$11000,OUT!$H$2:$H$101007,H493,OUT!$D$2:$D$11000,"Out",OUT!$E$2:$E$11000,"Jajan")</f>
        <v>#VALUE!</v>
      </c>
      <c r="O493" s="52">
        <f ca="1">SUMIFS(OUT!$F$2:$F$11000,OUT!$H$2:$H$11000,H493,OUT!$D$2:$D$11000,"Out",OUT!$E$2:$E$11000,"Kitchen")</f>
        <v>992724</v>
      </c>
      <c r="P493" s="52">
        <f ca="1">SUMIFS(OUT!$F$2:$F$11000,OUT!$H$2:$H$11000,H493,OUT!$D$2:$D$11000,"Out",OUT!$E$2:$E$11000,"Loandry")</f>
        <v>41600</v>
      </c>
      <c r="Q493" s="52">
        <f ca="1">SUMIFS(OUT!$F$2:$F$11000,OUT!$H$2:$H$11000,H493,OUT!$D$2:$D$11000,"Out",OUT!$E$2:$E$11000,"Mio")</f>
        <v>249000</v>
      </c>
      <c r="R493" s="52">
        <f ca="1">SUMIFS(OUT!$F$2:$F$11000,OUT!$H$2:$H$11000,H493,OUT!$D$2:$D$11000,"Out",OUT!$E$2:$E$11000,"Sedekah")</f>
        <v>129000</v>
      </c>
      <c r="S493" s="52">
        <f ca="1">SUMIFS(OUT!$F$2:$F$11000,OUT!$H$2:$H$11000,H493,OUT!$D$2:$D$11000,"Out",OUT!$E$2:$E$11000,"Zela")</f>
        <v>24100</v>
      </c>
      <c r="T493" s="52">
        <f ca="1">SUMIFS(OUT!$F$2:$F$11000,OUT!$H$2:$H$11000,H493,OUT!$D$2:$D$11000,"Out",OUT!$E$2:$E$11000,"Iqbal")</f>
        <v>121000</v>
      </c>
    </row>
    <row r="494" spans="1:20" x14ac:dyDescent="0.2">
      <c r="A494" s="48">
        <f ca="1">IFERROR(__xludf.DUMMYFUNCTION("""COMPUTED_VALUE"""),46070)</f>
        <v>46070</v>
      </c>
      <c r="B494" s="4" t="str">
        <f ca="1">IFERROR(__xludf.DUMMYFUNCTION("""COMPUTED_VALUE"""),"Bensin")</f>
        <v>Bensin</v>
      </c>
      <c r="C494" s="4" t="str">
        <f ca="1">IFERROR(__xludf.DUMMYFUNCTION("""COMPUTED_VALUE"""),"Cash")</f>
        <v>Cash</v>
      </c>
      <c r="D494" s="4" t="str">
        <f ca="1">IFERROR(__xludf.DUMMYFUNCTION("""COMPUTED_VALUE"""),"Out")</f>
        <v>Out</v>
      </c>
      <c r="E494" s="4" t="str">
        <f ca="1">IFERROR(__xludf.DUMMYFUNCTION("""COMPUTED_VALUE"""),"Mio")</f>
        <v>Mio</v>
      </c>
      <c r="F494" s="49">
        <f ca="1">IFERROR(__xludf.DUMMYFUNCTION("""COMPUTED_VALUE"""),25000)</f>
        <v>25000</v>
      </c>
      <c r="G494" s="50" t="str">
        <f ca="1">IFERROR(__xludf.DUMMYFUNCTION("""COMPUTED_VALUE"""),"Zela")</f>
        <v>Zela</v>
      </c>
      <c r="H494" s="51">
        <f t="shared" ca="1" si="0"/>
        <v>46054</v>
      </c>
      <c r="I494" s="52" t="e">
        <f ca="1">SUMIFS(OUT!$F$2:$F$11000,OUT!$H$2:$H$11000,H494,OUT!$D$2:$D$101007,"In")</f>
        <v>#VALUE!</v>
      </c>
      <c r="J494" s="52">
        <f ca="1">SUMIFS(OUT!$F$2:$F$11000,OUT!$H$2:$H$11000,H494,OUT!$D$2:$D$11000,"Out")</f>
        <v>6908733</v>
      </c>
      <c r="K494" s="52">
        <f ca="1">SUMIFS(OUT!$F$2:$F$11000,OUT!$H$2:$H$11000,H494,OUT!$D$2:$D$11000,"Out",OUT!$E$2:$E$11000,"Fix")</f>
        <v>2440568</v>
      </c>
      <c r="L494" s="52">
        <f ca="1">SUMIFS(OUT!$F$2:$F$11000,OUT!$H$2:$H$11000,H494,OUT!$D$2:$D$11000,"Out",OUT!$E$2:$E$11000,"Bathroom")</f>
        <v>34500</v>
      </c>
      <c r="M494" s="52">
        <f ca="1">SUMIFS(OUT!$F$2:$F$11000,OUT!$H$2:$H$11000,H494,OUT!$D$2:$D$11000,"Out",OUT!$E$2:$E$11000,"Alfa")</f>
        <v>293800</v>
      </c>
      <c r="N494" s="52" t="e">
        <f ca="1">SUMIFS(OUT!$F$2:$F$11000,OUT!$H$2:$H$101007,H494,OUT!$D$2:$D$11000,"Out",OUT!$E$2:$E$11000,"Jajan")</f>
        <v>#VALUE!</v>
      </c>
      <c r="O494" s="52">
        <f ca="1">SUMIFS(OUT!$F$2:$F$11000,OUT!$H$2:$H$11000,H494,OUT!$D$2:$D$11000,"Out",OUT!$E$2:$E$11000,"Kitchen")</f>
        <v>992724</v>
      </c>
      <c r="P494" s="52">
        <f ca="1">SUMIFS(OUT!$F$2:$F$11000,OUT!$H$2:$H$11000,H494,OUT!$D$2:$D$11000,"Out",OUT!$E$2:$E$11000,"Loandry")</f>
        <v>41600</v>
      </c>
      <c r="Q494" s="52">
        <f ca="1">SUMIFS(OUT!$F$2:$F$11000,OUT!$H$2:$H$11000,H494,OUT!$D$2:$D$11000,"Out",OUT!$E$2:$E$11000,"Mio")</f>
        <v>249000</v>
      </c>
      <c r="R494" s="52">
        <f ca="1">SUMIFS(OUT!$F$2:$F$11000,OUT!$H$2:$H$11000,H494,OUT!$D$2:$D$11000,"Out",OUT!$E$2:$E$11000,"Sedekah")</f>
        <v>129000</v>
      </c>
      <c r="S494" s="52">
        <f ca="1">SUMIFS(OUT!$F$2:$F$11000,OUT!$H$2:$H$11000,H494,OUT!$D$2:$D$11000,"Out",OUT!$E$2:$E$11000,"Zela")</f>
        <v>24100</v>
      </c>
      <c r="T494" s="52">
        <f ca="1">SUMIFS(OUT!$F$2:$F$11000,OUT!$H$2:$H$11000,H494,OUT!$D$2:$D$11000,"Out",OUT!$E$2:$E$11000,"Iqbal")</f>
        <v>121000</v>
      </c>
    </row>
    <row r="495" spans="1:20" x14ac:dyDescent="0.2">
      <c r="A495" s="48">
        <f ca="1">IFERROR(__xludf.DUMMYFUNCTION("""COMPUTED_VALUE"""),46070)</f>
        <v>46070</v>
      </c>
      <c r="B495" s="4" t="str">
        <f ca="1">IFERROR(__xludf.DUMMYFUNCTION("""COMPUTED_VALUE"""),"Gula seperempat")</f>
        <v>Gula seperempat</v>
      </c>
      <c r="C495" s="4" t="str">
        <f ca="1">IFERROR(__xludf.DUMMYFUNCTION("""COMPUTED_VALUE"""),"Cash")</f>
        <v>Cash</v>
      </c>
      <c r="D495" s="4" t="str">
        <f ca="1">IFERROR(__xludf.DUMMYFUNCTION("""COMPUTED_VALUE"""),"Out")</f>
        <v>Out</v>
      </c>
      <c r="E495" s="4" t="str">
        <f ca="1">IFERROR(__xludf.DUMMYFUNCTION("""COMPUTED_VALUE"""),"Kitchen")</f>
        <v>Kitchen</v>
      </c>
      <c r="F495" s="49">
        <f ca="1">IFERROR(__xludf.DUMMYFUNCTION("""COMPUTED_VALUE"""),5500)</f>
        <v>5500</v>
      </c>
      <c r="G495" s="50" t="str">
        <f ca="1">IFERROR(__xludf.DUMMYFUNCTION("""COMPUTED_VALUE"""),"Zela")</f>
        <v>Zela</v>
      </c>
      <c r="H495" s="51">
        <f t="shared" ca="1" si="0"/>
        <v>46054</v>
      </c>
      <c r="I495" s="52" t="e">
        <f ca="1">SUMIFS(OUT!$F$2:$F$11000,OUT!$H$2:$H$11000,H495,OUT!$D$2:$D$101007,"In")</f>
        <v>#VALUE!</v>
      </c>
      <c r="J495" s="52">
        <f ca="1">SUMIFS(OUT!$F$2:$F$11000,OUT!$H$2:$H$11000,H495,OUT!$D$2:$D$11000,"Out")</f>
        <v>6908733</v>
      </c>
      <c r="K495" s="52">
        <f ca="1">SUMIFS(OUT!$F$2:$F$11000,OUT!$H$2:$H$11000,H495,OUT!$D$2:$D$11000,"Out",OUT!$E$2:$E$11000,"Fix")</f>
        <v>2440568</v>
      </c>
      <c r="L495" s="52">
        <f ca="1">SUMIFS(OUT!$F$2:$F$11000,OUT!$H$2:$H$11000,H495,OUT!$D$2:$D$11000,"Out",OUT!$E$2:$E$11000,"Bathroom")</f>
        <v>34500</v>
      </c>
      <c r="M495" s="52">
        <f ca="1">SUMIFS(OUT!$F$2:$F$11000,OUT!$H$2:$H$11000,H495,OUT!$D$2:$D$11000,"Out",OUT!$E$2:$E$11000,"Alfa")</f>
        <v>293800</v>
      </c>
      <c r="N495" s="52" t="e">
        <f ca="1">SUMIFS(OUT!$F$2:$F$11000,OUT!$H$2:$H$101007,H495,OUT!$D$2:$D$11000,"Out",OUT!$E$2:$E$11000,"Jajan")</f>
        <v>#VALUE!</v>
      </c>
      <c r="O495" s="52">
        <f ca="1">SUMIFS(OUT!$F$2:$F$11000,OUT!$H$2:$H$11000,H495,OUT!$D$2:$D$11000,"Out",OUT!$E$2:$E$11000,"Kitchen")</f>
        <v>992724</v>
      </c>
      <c r="P495" s="52">
        <f ca="1">SUMIFS(OUT!$F$2:$F$11000,OUT!$H$2:$H$11000,H495,OUT!$D$2:$D$11000,"Out",OUT!$E$2:$E$11000,"Loandry")</f>
        <v>41600</v>
      </c>
      <c r="Q495" s="52">
        <f ca="1">SUMIFS(OUT!$F$2:$F$11000,OUT!$H$2:$H$11000,H495,OUT!$D$2:$D$11000,"Out",OUT!$E$2:$E$11000,"Mio")</f>
        <v>249000</v>
      </c>
      <c r="R495" s="52">
        <f ca="1">SUMIFS(OUT!$F$2:$F$11000,OUT!$H$2:$H$11000,H495,OUT!$D$2:$D$11000,"Out",OUT!$E$2:$E$11000,"Sedekah")</f>
        <v>129000</v>
      </c>
      <c r="S495" s="52">
        <f ca="1">SUMIFS(OUT!$F$2:$F$11000,OUT!$H$2:$H$11000,H495,OUT!$D$2:$D$11000,"Out",OUT!$E$2:$E$11000,"Zela")</f>
        <v>24100</v>
      </c>
      <c r="T495" s="52">
        <f ca="1">SUMIFS(OUT!$F$2:$F$11000,OUT!$H$2:$H$11000,H495,OUT!$D$2:$D$11000,"Out",OUT!$E$2:$E$11000,"Iqbal")</f>
        <v>121000</v>
      </c>
    </row>
    <row r="496" spans="1:20" x14ac:dyDescent="0.2">
      <c r="A496" s="48">
        <f ca="1">IFERROR(__xludf.DUMMYFUNCTION("""COMPUTED_VALUE"""),46070)</f>
        <v>46070</v>
      </c>
      <c r="B496" s="4" t="str">
        <f ca="1">IFERROR(__xludf.DUMMYFUNCTION("""COMPUTED_VALUE"""),"Sempol")</f>
        <v>Sempol</v>
      </c>
      <c r="C496" s="4" t="str">
        <f ca="1">IFERROR(__xludf.DUMMYFUNCTION("""COMPUTED_VALUE"""),"Cash")</f>
        <v>Cash</v>
      </c>
      <c r="D496" s="4" t="str">
        <f ca="1">IFERROR(__xludf.DUMMYFUNCTION("""COMPUTED_VALUE"""),"Out")</f>
        <v>Out</v>
      </c>
      <c r="E496" s="4" t="str">
        <f ca="1">IFERROR(__xludf.DUMMYFUNCTION("""COMPUTED_VALUE"""),"Jajan")</f>
        <v>Jajan</v>
      </c>
      <c r="F496" s="49">
        <f ca="1">IFERROR(__xludf.DUMMYFUNCTION("""COMPUTED_VALUE"""),10000)</f>
        <v>10000</v>
      </c>
      <c r="G496" s="50" t="str">
        <f ca="1">IFERROR(__xludf.DUMMYFUNCTION("""COMPUTED_VALUE"""),"Zela")</f>
        <v>Zela</v>
      </c>
      <c r="H496" s="51">
        <f t="shared" ca="1" si="0"/>
        <v>46054</v>
      </c>
      <c r="I496" s="52" t="e">
        <f ca="1">SUMIFS(OUT!$F$2:$F$11000,OUT!$H$2:$H$11000,H496,OUT!$D$2:$D$101007,"In")</f>
        <v>#VALUE!</v>
      </c>
      <c r="J496" s="52">
        <f ca="1">SUMIFS(OUT!$F$2:$F$11000,OUT!$H$2:$H$11000,H496,OUT!$D$2:$D$11000,"Out")</f>
        <v>6908733</v>
      </c>
      <c r="K496" s="52">
        <f ca="1">SUMIFS(OUT!$F$2:$F$11000,OUT!$H$2:$H$11000,H496,OUT!$D$2:$D$11000,"Out",OUT!$E$2:$E$11000,"Fix")</f>
        <v>2440568</v>
      </c>
      <c r="L496" s="52">
        <f ca="1">SUMIFS(OUT!$F$2:$F$11000,OUT!$H$2:$H$11000,H496,OUT!$D$2:$D$11000,"Out",OUT!$E$2:$E$11000,"Bathroom")</f>
        <v>34500</v>
      </c>
      <c r="M496" s="52">
        <f ca="1">SUMIFS(OUT!$F$2:$F$11000,OUT!$H$2:$H$11000,H496,OUT!$D$2:$D$11000,"Out",OUT!$E$2:$E$11000,"Alfa")</f>
        <v>293800</v>
      </c>
      <c r="N496" s="52" t="e">
        <f ca="1">SUMIFS(OUT!$F$2:$F$11000,OUT!$H$2:$H$101007,H496,OUT!$D$2:$D$11000,"Out",OUT!$E$2:$E$11000,"Jajan")</f>
        <v>#VALUE!</v>
      </c>
      <c r="O496" s="52">
        <f ca="1">SUMIFS(OUT!$F$2:$F$11000,OUT!$H$2:$H$11000,H496,OUT!$D$2:$D$11000,"Out",OUT!$E$2:$E$11000,"Kitchen")</f>
        <v>992724</v>
      </c>
      <c r="P496" s="52">
        <f ca="1">SUMIFS(OUT!$F$2:$F$11000,OUT!$H$2:$H$11000,H496,OUT!$D$2:$D$11000,"Out",OUT!$E$2:$E$11000,"Loandry")</f>
        <v>41600</v>
      </c>
      <c r="Q496" s="52">
        <f ca="1">SUMIFS(OUT!$F$2:$F$11000,OUT!$H$2:$H$11000,H496,OUT!$D$2:$D$11000,"Out",OUT!$E$2:$E$11000,"Mio")</f>
        <v>249000</v>
      </c>
      <c r="R496" s="52">
        <f ca="1">SUMIFS(OUT!$F$2:$F$11000,OUT!$H$2:$H$11000,H496,OUT!$D$2:$D$11000,"Out",OUT!$E$2:$E$11000,"Sedekah")</f>
        <v>129000</v>
      </c>
      <c r="S496" s="52">
        <f ca="1">SUMIFS(OUT!$F$2:$F$11000,OUT!$H$2:$H$11000,H496,OUT!$D$2:$D$11000,"Out",OUT!$E$2:$E$11000,"Zela")</f>
        <v>24100</v>
      </c>
      <c r="T496" s="52">
        <f ca="1">SUMIFS(OUT!$F$2:$F$11000,OUT!$H$2:$H$11000,H496,OUT!$D$2:$D$11000,"Out",OUT!$E$2:$E$11000,"Iqbal")</f>
        <v>121000</v>
      </c>
    </row>
    <row r="497" spans="1:20" x14ac:dyDescent="0.2">
      <c r="A497" s="48">
        <f ca="1">IFERROR(__xludf.DUMMYFUNCTION("""COMPUTED_VALUE"""),46070)</f>
        <v>46070</v>
      </c>
      <c r="B497" s="4" t="str">
        <f ca="1">IFERROR(__xludf.DUMMYFUNCTION("""COMPUTED_VALUE"""),"Sate +kerupuk")</f>
        <v>Sate +kerupuk</v>
      </c>
      <c r="C497" s="4" t="str">
        <f ca="1">IFERROR(__xludf.DUMMYFUNCTION("""COMPUTED_VALUE"""),"Cash")</f>
        <v>Cash</v>
      </c>
      <c r="D497" s="4" t="str">
        <f ca="1">IFERROR(__xludf.DUMMYFUNCTION("""COMPUTED_VALUE"""),"Out")</f>
        <v>Out</v>
      </c>
      <c r="E497" s="4" t="str">
        <f ca="1">IFERROR(__xludf.DUMMYFUNCTION("""COMPUTED_VALUE"""),"Jajan")</f>
        <v>Jajan</v>
      </c>
      <c r="F497" s="49">
        <f ca="1">IFERROR(__xludf.DUMMYFUNCTION("""COMPUTED_VALUE"""),15000)</f>
        <v>15000</v>
      </c>
      <c r="G497" s="50" t="str">
        <f ca="1">IFERROR(__xludf.DUMMYFUNCTION("""COMPUTED_VALUE"""),"Zela")</f>
        <v>Zela</v>
      </c>
      <c r="H497" s="51">
        <f t="shared" ca="1" si="0"/>
        <v>46054</v>
      </c>
      <c r="I497" s="52" t="e">
        <f ca="1">SUMIFS(OUT!$F$2:$F$11000,OUT!$H$2:$H$11000,H497,OUT!$D$2:$D$101007,"In")</f>
        <v>#VALUE!</v>
      </c>
      <c r="J497" s="52">
        <f ca="1">SUMIFS(OUT!$F$2:$F$11000,OUT!$H$2:$H$11000,H497,OUT!$D$2:$D$11000,"Out")</f>
        <v>6908733</v>
      </c>
      <c r="K497" s="52">
        <f ca="1">SUMIFS(OUT!$F$2:$F$11000,OUT!$H$2:$H$11000,H497,OUT!$D$2:$D$11000,"Out",OUT!$E$2:$E$11000,"Fix")</f>
        <v>2440568</v>
      </c>
      <c r="L497" s="52">
        <f ca="1">SUMIFS(OUT!$F$2:$F$11000,OUT!$H$2:$H$11000,H497,OUT!$D$2:$D$11000,"Out",OUT!$E$2:$E$11000,"Bathroom")</f>
        <v>34500</v>
      </c>
      <c r="M497" s="52">
        <f ca="1">SUMIFS(OUT!$F$2:$F$11000,OUT!$H$2:$H$11000,H497,OUT!$D$2:$D$11000,"Out",OUT!$E$2:$E$11000,"Alfa")</f>
        <v>293800</v>
      </c>
      <c r="N497" s="52" t="e">
        <f ca="1">SUMIFS(OUT!$F$2:$F$11000,OUT!$H$2:$H$101007,H497,OUT!$D$2:$D$11000,"Out",OUT!$E$2:$E$11000,"Jajan")</f>
        <v>#VALUE!</v>
      </c>
      <c r="O497" s="52">
        <f ca="1">SUMIFS(OUT!$F$2:$F$11000,OUT!$H$2:$H$11000,H497,OUT!$D$2:$D$11000,"Out",OUT!$E$2:$E$11000,"Kitchen")</f>
        <v>992724</v>
      </c>
      <c r="P497" s="52">
        <f ca="1">SUMIFS(OUT!$F$2:$F$11000,OUT!$H$2:$H$11000,H497,OUT!$D$2:$D$11000,"Out",OUT!$E$2:$E$11000,"Loandry")</f>
        <v>41600</v>
      </c>
      <c r="Q497" s="52">
        <f ca="1">SUMIFS(OUT!$F$2:$F$11000,OUT!$H$2:$H$11000,H497,OUT!$D$2:$D$11000,"Out",OUT!$E$2:$E$11000,"Mio")</f>
        <v>249000</v>
      </c>
      <c r="R497" s="52">
        <f ca="1">SUMIFS(OUT!$F$2:$F$11000,OUT!$H$2:$H$11000,H497,OUT!$D$2:$D$11000,"Out",OUT!$E$2:$E$11000,"Sedekah")</f>
        <v>129000</v>
      </c>
      <c r="S497" s="52">
        <f ca="1">SUMIFS(OUT!$F$2:$F$11000,OUT!$H$2:$H$11000,H497,OUT!$D$2:$D$11000,"Out",OUT!$E$2:$E$11000,"Zela")</f>
        <v>24100</v>
      </c>
      <c r="T497" s="52">
        <f ca="1">SUMIFS(OUT!$F$2:$F$11000,OUT!$H$2:$H$11000,H497,OUT!$D$2:$D$11000,"Out",OUT!$E$2:$E$11000,"Iqbal")</f>
        <v>121000</v>
      </c>
    </row>
    <row r="498" spans="1:20" x14ac:dyDescent="0.2">
      <c r="A498" s="48">
        <f ca="1">IFERROR(__xludf.DUMMYFUNCTION("""COMPUTED_VALUE"""),46070)</f>
        <v>46070</v>
      </c>
      <c r="B498" s="4" t="str">
        <f ca="1">IFERROR(__xludf.DUMMYFUNCTION("""COMPUTED_VALUE"""),"Suamiku")</f>
        <v>Suamiku</v>
      </c>
      <c r="C498" s="4" t="str">
        <f ca="1">IFERROR(__xludf.DUMMYFUNCTION("""COMPUTED_VALUE"""),"Cash")</f>
        <v>Cash</v>
      </c>
      <c r="D498" s="4" t="str">
        <f ca="1">IFERROR(__xludf.DUMMYFUNCTION("""COMPUTED_VALUE"""),"In")</f>
        <v>In</v>
      </c>
      <c r="E498" s="4" t="str">
        <f ca="1">IFERROR(__xludf.DUMMYFUNCTION("""COMPUTED_VALUE"""),"Fix")</f>
        <v>Fix</v>
      </c>
      <c r="F498" s="49">
        <f ca="1">IFERROR(__xludf.DUMMYFUNCTION("""COMPUTED_VALUE"""),5000)</f>
        <v>5000</v>
      </c>
      <c r="G498" s="50" t="str">
        <f ca="1">IFERROR(__xludf.DUMMYFUNCTION("""COMPUTED_VALUE"""),"Zela")</f>
        <v>Zela</v>
      </c>
      <c r="H498" s="51">
        <f t="shared" ca="1" si="0"/>
        <v>46054</v>
      </c>
      <c r="I498" s="52" t="e">
        <f ca="1">SUMIFS(OUT!$F$2:$F$11000,OUT!$H$2:$H$11000,H498,OUT!$D$2:$D$101007,"In")</f>
        <v>#VALUE!</v>
      </c>
      <c r="J498" s="52">
        <f ca="1">SUMIFS(OUT!$F$2:$F$11000,OUT!$H$2:$H$11000,H498,OUT!$D$2:$D$11000,"Out")</f>
        <v>6908733</v>
      </c>
      <c r="K498" s="52">
        <f ca="1">SUMIFS(OUT!$F$2:$F$11000,OUT!$H$2:$H$11000,H498,OUT!$D$2:$D$11000,"Out",OUT!$E$2:$E$11000,"Fix")</f>
        <v>2440568</v>
      </c>
      <c r="L498" s="52">
        <f ca="1">SUMIFS(OUT!$F$2:$F$11000,OUT!$H$2:$H$11000,H498,OUT!$D$2:$D$11000,"Out",OUT!$E$2:$E$11000,"Bathroom")</f>
        <v>34500</v>
      </c>
      <c r="M498" s="52">
        <f ca="1">SUMIFS(OUT!$F$2:$F$11000,OUT!$H$2:$H$11000,H498,OUT!$D$2:$D$11000,"Out",OUT!$E$2:$E$11000,"Alfa")</f>
        <v>293800</v>
      </c>
      <c r="N498" s="52" t="e">
        <f ca="1">SUMIFS(OUT!$F$2:$F$11000,OUT!$H$2:$H$101007,H498,OUT!$D$2:$D$11000,"Out",OUT!$E$2:$E$11000,"Jajan")</f>
        <v>#VALUE!</v>
      </c>
      <c r="O498" s="52">
        <f ca="1">SUMIFS(OUT!$F$2:$F$11000,OUT!$H$2:$H$11000,H498,OUT!$D$2:$D$11000,"Out",OUT!$E$2:$E$11000,"Kitchen")</f>
        <v>992724</v>
      </c>
      <c r="P498" s="52">
        <f ca="1">SUMIFS(OUT!$F$2:$F$11000,OUT!$H$2:$H$11000,H498,OUT!$D$2:$D$11000,"Out",OUT!$E$2:$E$11000,"Loandry")</f>
        <v>41600</v>
      </c>
      <c r="Q498" s="52">
        <f ca="1">SUMIFS(OUT!$F$2:$F$11000,OUT!$H$2:$H$11000,H498,OUT!$D$2:$D$11000,"Out",OUT!$E$2:$E$11000,"Mio")</f>
        <v>249000</v>
      </c>
      <c r="R498" s="52">
        <f ca="1">SUMIFS(OUT!$F$2:$F$11000,OUT!$H$2:$H$11000,H498,OUT!$D$2:$D$11000,"Out",OUT!$E$2:$E$11000,"Sedekah")</f>
        <v>129000</v>
      </c>
      <c r="S498" s="52">
        <f ca="1">SUMIFS(OUT!$F$2:$F$11000,OUT!$H$2:$H$11000,H498,OUT!$D$2:$D$11000,"Out",OUT!$E$2:$E$11000,"Zela")</f>
        <v>24100</v>
      </c>
      <c r="T498" s="52">
        <f ca="1">SUMIFS(OUT!$F$2:$F$11000,OUT!$H$2:$H$11000,H498,OUT!$D$2:$D$11000,"Out",OUT!$E$2:$E$11000,"Iqbal")</f>
        <v>121000</v>
      </c>
    </row>
    <row r="499" spans="1:20" x14ac:dyDescent="0.2">
      <c r="A499" s="48">
        <f ca="1">IFERROR(__xludf.DUMMYFUNCTION("""COMPUTED_VALUE"""),46071)</f>
        <v>46071</v>
      </c>
      <c r="B499" s="4" t="str">
        <f ca="1">IFERROR(__xludf.DUMMYFUNCTION("""COMPUTED_VALUE"""),"Tarik Tunai")</f>
        <v>Tarik Tunai</v>
      </c>
      <c r="C499" s="4" t="str">
        <f ca="1">IFERROR(__xludf.DUMMYFUNCTION("""COMPUTED_VALUE"""),"ATM")</f>
        <v>ATM</v>
      </c>
      <c r="D499" s="4" t="str">
        <f ca="1">IFERROR(__xludf.DUMMYFUNCTION("""COMPUTED_VALUE"""),"Move")</f>
        <v>Move</v>
      </c>
      <c r="E499" s="4" t="str">
        <f ca="1">IFERROR(__xludf.DUMMYFUNCTION("""COMPUTED_VALUE"""),"Move")</f>
        <v>Move</v>
      </c>
      <c r="F499" s="49">
        <f ca="1">IFERROR(__xludf.DUMMYFUNCTION("""COMPUTED_VALUE"""),100000)</f>
        <v>100000</v>
      </c>
      <c r="G499" s="50" t="str">
        <f ca="1">IFERROR(__xludf.DUMMYFUNCTION("""COMPUTED_VALUE"""),"Zela")</f>
        <v>Zela</v>
      </c>
      <c r="H499" s="51">
        <f t="shared" ca="1" si="0"/>
        <v>46054</v>
      </c>
      <c r="I499" s="52" t="e">
        <f ca="1">SUMIFS(OUT!$F$2:$F$11000,OUT!$H$2:$H$11000,H499,OUT!$D$2:$D$101007,"In")</f>
        <v>#VALUE!</v>
      </c>
      <c r="J499" s="52">
        <f ca="1">SUMIFS(OUT!$F$2:$F$11000,OUT!$H$2:$H$11000,H499,OUT!$D$2:$D$11000,"Out")</f>
        <v>6908733</v>
      </c>
      <c r="K499" s="52">
        <f ca="1">SUMIFS(OUT!$F$2:$F$11000,OUT!$H$2:$H$11000,H499,OUT!$D$2:$D$11000,"Out",OUT!$E$2:$E$11000,"Fix")</f>
        <v>2440568</v>
      </c>
      <c r="L499" s="52">
        <f ca="1">SUMIFS(OUT!$F$2:$F$11000,OUT!$H$2:$H$11000,H499,OUT!$D$2:$D$11000,"Out",OUT!$E$2:$E$11000,"Bathroom")</f>
        <v>34500</v>
      </c>
      <c r="M499" s="52">
        <f ca="1">SUMIFS(OUT!$F$2:$F$11000,OUT!$H$2:$H$11000,H499,OUT!$D$2:$D$11000,"Out",OUT!$E$2:$E$11000,"Alfa")</f>
        <v>293800</v>
      </c>
      <c r="N499" s="52" t="e">
        <f ca="1">SUMIFS(OUT!$F$2:$F$11000,OUT!$H$2:$H$101007,H499,OUT!$D$2:$D$11000,"Out",OUT!$E$2:$E$11000,"Jajan")</f>
        <v>#VALUE!</v>
      </c>
      <c r="O499" s="52">
        <f ca="1">SUMIFS(OUT!$F$2:$F$11000,OUT!$H$2:$H$11000,H499,OUT!$D$2:$D$11000,"Out",OUT!$E$2:$E$11000,"Kitchen")</f>
        <v>992724</v>
      </c>
      <c r="P499" s="52">
        <f ca="1">SUMIFS(OUT!$F$2:$F$11000,OUT!$H$2:$H$11000,H499,OUT!$D$2:$D$11000,"Out",OUT!$E$2:$E$11000,"Loandry")</f>
        <v>41600</v>
      </c>
      <c r="Q499" s="52">
        <f ca="1">SUMIFS(OUT!$F$2:$F$11000,OUT!$H$2:$H$11000,H499,OUT!$D$2:$D$11000,"Out",OUT!$E$2:$E$11000,"Mio")</f>
        <v>249000</v>
      </c>
      <c r="R499" s="52">
        <f ca="1">SUMIFS(OUT!$F$2:$F$11000,OUT!$H$2:$H$11000,H499,OUT!$D$2:$D$11000,"Out",OUT!$E$2:$E$11000,"Sedekah")</f>
        <v>129000</v>
      </c>
      <c r="S499" s="52">
        <f ca="1">SUMIFS(OUT!$F$2:$F$11000,OUT!$H$2:$H$11000,H499,OUT!$D$2:$D$11000,"Out",OUT!$E$2:$E$11000,"Zela")</f>
        <v>24100</v>
      </c>
      <c r="T499" s="52">
        <f ca="1">SUMIFS(OUT!$F$2:$F$11000,OUT!$H$2:$H$11000,H499,OUT!$D$2:$D$11000,"Out",OUT!$E$2:$E$11000,"Iqbal")</f>
        <v>121000</v>
      </c>
    </row>
    <row r="500" spans="1:20" x14ac:dyDescent="0.2">
      <c r="A500" s="48">
        <f ca="1">IFERROR(__xludf.DUMMYFUNCTION("""COMPUTED_VALUE"""),46071)</f>
        <v>46071</v>
      </c>
      <c r="B500" s="4" t="str">
        <f ca="1">IFERROR(__xludf.DUMMYFUNCTION("""COMPUTED_VALUE"""),"Terima Tunai")</f>
        <v>Terima Tunai</v>
      </c>
      <c r="C500" s="4" t="str">
        <f ca="1">IFERROR(__xludf.DUMMYFUNCTION("""COMPUTED_VALUE"""),"Cash")</f>
        <v>Cash</v>
      </c>
      <c r="D500" s="4" t="str">
        <f ca="1">IFERROR(__xludf.DUMMYFUNCTION("""COMPUTED_VALUE"""),"Move")</f>
        <v>Move</v>
      </c>
      <c r="E500" s="4" t="str">
        <f ca="1">IFERROR(__xludf.DUMMYFUNCTION("""COMPUTED_VALUE"""),"Move")</f>
        <v>Move</v>
      </c>
      <c r="F500" s="49">
        <f ca="1">IFERROR(__xludf.DUMMYFUNCTION("""COMPUTED_VALUE"""),100000)</f>
        <v>100000</v>
      </c>
      <c r="G500" s="50" t="str">
        <f ca="1">IFERROR(__xludf.DUMMYFUNCTION("""COMPUTED_VALUE"""),"Zela")</f>
        <v>Zela</v>
      </c>
      <c r="H500" s="51">
        <f t="shared" ca="1" si="0"/>
        <v>46054</v>
      </c>
      <c r="I500" s="52" t="e">
        <f ca="1">SUMIFS(OUT!$F$2:$F$11000,OUT!$H$2:$H$11000,H500,OUT!$D$2:$D$101007,"In")</f>
        <v>#VALUE!</v>
      </c>
      <c r="J500" s="52">
        <f ca="1">SUMIFS(OUT!$F$2:$F$11000,OUT!$H$2:$H$11000,H500,OUT!$D$2:$D$11000,"Out")</f>
        <v>6908733</v>
      </c>
      <c r="K500" s="52">
        <f ca="1">SUMIFS(OUT!$F$2:$F$11000,OUT!$H$2:$H$11000,H500,OUT!$D$2:$D$11000,"Out",OUT!$E$2:$E$11000,"Fix")</f>
        <v>2440568</v>
      </c>
      <c r="L500" s="52">
        <f ca="1">SUMIFS(OUT!$F$2:$F$11000,OUT!$H$2:$H$11000,H500,OUT!$D$2:$D$11000,"Out",OUT!$E$2:$E$11000,"Bathroom")</f>
        <v>34500</v>
      </c>
      <c r="M500" s="52">
        <f ca="1">SUMIFS(OUT!$F$2:$F$11000,OUT!$H$2:$H$11000,H500,OUT!$D$2:$D$11000,"Out",OUT!$E$2:$E$11000,"Alfa")</f>
        <v>293800</v>
      </c>
      <c r="N500" s="52" t="e">
        <f ca="1">SUMIFS(OUT!$F$2:$F$11000,OUT!$H$2:$H$101007,H500,OUT!$D$2:$D$11000,"Out",OUT!$E$2:$E$11000,"Jajan")</f>
        <v>#VALUE!</v>
      </c>
      <c r="O500" s="52">
        <f ca="1">SUMIFS(OUT!$F$2:$F$11000,OUT!$H$2:$H$11000,H500,OUT!$D$2:$D$11000,"Out",OUT!$E$2:$E$11000,"Kitchen")</f>
        <v>992724</v>
      </c>
      <c r="P500" s="52">
        <f ca="1">SUMIFS(OUT!$F$2:$F$11000,OUT!$H$2:$H$11000,H500,OUT!$D$2:$D$11000,"Out",OUT!$E$2:$E$11000,"Loandry")</f>
        <v>41600</v>
      </c>
      <c r="Q500" s="52">
        <f ca="1">SUMIFS(OUT!$F$2:$F$11000,OUT!$H$2:$H$11000,H500,OUT!$D$2:$D$11000,"Out",OUT!$E$2:$E$11000,"Mio")</f>
        <v>249000</v>
      </c>
      <c r="R500" s="52">
        <f ca="1">SUMIFS(OUT!$F$2:$F$11000,OUT!$H$2:$H$11000,H500,OUT!$D$2:$D$11000,"Out",OUT!$E$2:$E$11000,"Sedekah")</f>
        <v>129000</v>
      </c>
      <c r="S500" s="52">
        <f ca="1">SUMIFS(OUT!$F$2:$F$11000,OUT!$H$2:$H$11000,H500,OUT!$D$2:$D$11000,"Out",OUT!$E$2:$E$11000,"Zela")</f>
        <v>24100</v>
      </c>
      <c r="T500" s="52">
        <f ca="1">SUMIFS(OUT!$F$2:$F$11000,OUT!$H$2:$H$11000,H500,OUT!$D$2:$D$11000,"Out",OUT!$E$2:$E$11000,"Iqbal")</f>
        <v>121000</v>
      </c>
    </row>
    <row r="501" spans="1:20" x14ac:dyDescent="0.2">
      <c r="A501" s="48">
        <f ca="1">IFERROR(__xludf.DUMMYFUNCTION("""COMPUTED_VALUE"""),46072)</f>
        <v>46072</v>
      </c>
      <c r="B501" s="4" t="str">
        <f ca="1">IFERROR(__xludf.DUMMYFUNCTION("""COMPUTED_VALUE"""),"Sempol")</f>
        <v>Sempol</v>
      </c>
      <c r="C501" s="4" t="str">
        <f ca="1">IFERROR(__xludf.DUMMYFUNCTION("""COMPUTED_VALUE"""),"Cash")</f>
        <v>Cash</v>
      </c>
      <c r="D501" s="4" t="str">
        <f ca="1">IFERROR(__xludf.DUMMYFUNCTION("""COMPUTED_VALUE"""),"Out")</f>
        <v>Out</v>
      </c>
      <c r="E501" s="4" t="str">
        <f ca="1">IFERROR(__xludf.DUMMYFUNCTION("""COMPUTED_VALUE"""),"Jajan")</f>
        <v>Jajan</v>
      </c>
      <c r="F501" s="49">
        <f ca="1">IFERROR(__xludf.DUMMYFUNCTION("""COMPUTED_VALUE"""),15000)</f>
        <v>15000</v>
      </c>
      <c r="G501" s="50" t="str">
        <f ca="1">IFERROR(__xludf.DUMMYFUNCTION("""COMPUTED_VALUE"""),"Zela")</f>
        <v>Zela</v>
      </c>
      <c r="H501" s="51">
        <f t="shared" ca="1" si="0"/>
        <v>46054</v>
      </c>
      <c r="I501" s="52" t="e">
        <f ca="1">SUMIFS(OUT!$F$2:$F$11000,OUT!$H$2:$H$11000,H501,OUT!$D$2:$D$101007,"In")</f>
        <v>#VALUE!</v>
      </c>
      <c r="J501" s="52">
        <f ca="1">SUMIFS(OUT!$F$2:$F$11000,OUT!$H$2:$H$11000,H501,OUT!$D$2:$D$11000,"Out")</f>
        <v>6908733</v>
      </c>
      <c r="K501" s="52">
        <f ca="1">SUMIFS(OUT!$F$2:$F$11000,OUT!$H$2:$H$11000,H501,OUT!$D$2:$D$11000,"Out",OUT!$E$2:$E$11000,"Fix")</f>
        <v>2440568</v>
      </c>
      <c r="L501" s="52">
        <f ca="1">SUMIFS(OUT!$F$2:$F$11000,OUT!$H$2:$H$11000,H501,OUT!$D$2:$D$11000,"Out",OUT!$E$2:$E$11000,"Bathroom")</f>
        <v>34500</v>
      </c>
      <c r="M501" s="52">
        <f ca="1">SUMIFS(OUT!$F$2:$F$11000,OUT!$H$2:$H$11000,H501,OUT!$D$2:$D$11000,"Out",OUT!$E$2:$E$11000,"Alfa")</f>
        <v>293800</v>
      </c>
      <c r="N501" s="52" t="e">
        <f ca="1">SUMIFS(OUT!$F$2:$F$11000,OUT!$H$2:$H$101007,H501,OUT!$D$2:$D$11000,"Out",OUT!$E$2:$E$11000,"Jajan")</f>
        <v>#VALUE!</v>
      </c>
      <c r="O501" s="52">
        <f ca="1">SUMIFS(OUT!$F$2:$F$11000,OUT!$H$2:$H$11000,H501,OUT!$D$2:$D$11000,"Out",OUT!$E$2:$E$11000,"Kitchen")</f>
        <v>992724</v>
      </c>
      <c r="P501" s="52">
        <f ca="1">SUMIFS(OUT!$F$2:$F$11000,OUT!$H$2:$H$11000,H501,OUT!$D$2:$D$11000,"Out",OUT!$E$2:$E$11000,"Loandry")</f>
        <v>41600</v>
      </c>
      <c r="Q501" s="52">
        <f ca="1">SUMIFS(OUT!$F$2:$F$11000,OUT!$H$2:$H$11000,H501,OUT!$D$2:$D$11000,"Out",OUT!$E$2:$E$11000,"Mio")</f>
        <v>249000</v>
      </c>
      <c r="R501" s="52">
        <f ca="1">SUMIFS(OUT!$F$2:$F$11000,OUT!$H$2:$H$11000,H501,OUT!$D$2:$D$11000,"Out",OUT!$E$2:$E$11000,"Sedekah")</f>
        <v>129000</v>
      </c>
      <c r="S501" s="52">
        <f ca="1">SUMIFS(OUT!$F$2:$F$11000,OUT!$H$2:$H$11000,H501,OUT!$D$2:$D$11000,"Out",OUT!$E$2:$E$11000,"Zela")</f>
        <v>24100</v>
      </c>
      <c r="T501" s="52">
        <f ca="1">SUMIFS(OUT!$F$2:$F$11000,OUT!$H$2:$H$11000,H501,OUT!$D$2:$D$11000,"Out",OUT!$E$2:$E$11000,"Iqbal")</f>
        <v>121000</v>
      </c>
    </row>
    <row r="502" spans="1:20" x14ac:dyDescent="0.2">
      <c r="A502" s="48">
        <f ca="1">IFERROR(__xludf.DUMMYFUNCTION("""COMPUTED_VALUE"""),46072)</f>
        <v>46072</v>
      </c>
      <c r="B502" s="4" t="str">
        <f ca="1">IFERROR(__xludf.DUMMYFUNCTION("""COMPUTED_VALUE"""),"indomie")</f>
        <v>indomie</v>
      </c>
      <c r="C502" s="4" t="str">
        <f ca="1">IFERROR(__xludf.DUMMYFUNCTION("""COMPUTED_VALUE"""),"Cash")</f>
        <v>Cash</v>
      </c>
      <c r="D502" s="4" t="str">
        <f ca="1">IFERROR(__xludf.DUMMYFUNCTION("""COMPUTED_VALUE"""),"Out")</f>
        <v>Out</v>
      </c>
      <c r="E502" s="4" t="str">
        <f ca="1">IFERROR(__xludf.DUMMYFUNCTION("""COMPUTED_VALUE"""),"Jajan")</f>
        <v>Jajan</v>
      </c>
      <c r="F502" s="49">
        <f ca="1">IFERROR(__xludf.DUMMYFUNCTION("""COMPUTED_VALUE"""),10000)</f>
        <v>10000</v>
      </c>
      <c r="G502" s="50" t="str">
        <f ca="1">IFERROR(__xludf.DUMMYFUNCTION("""COMPUTED_VALUE"""),"Zela")</f>
        <v>Zela</v>
      </c>
      <c r="H502" s="51">
        <f t="shared" ca="1" si="0"/>
        <v>46054</v>
      </c>
      <c r="I502" s="52" t="e">
        <f ca="1">SUMIFS(OUT!$F$2:$F$11000,OUT!$H$2:$H$11000,H502,OUT!$D$2:$D$101007,"In")</f>
        <v>#VALUE!</v>
      </c>
      <c r="J502" s="52">
        <f ca="1">SUMIFS(OUT!$F$2:$F$11000,OUT!$H$2:$H$11000,H502,OUT!$D$2:$D$11000,"Out")</f>
        <v>6908733</v>
      </c>
      <c r="K502" s="52">
        <f ca="1">SUMIFS(OUT!$F$2:$F$11000,OUT!$H$2:$H$11000,H502,OUT!$D$2:$D$11000,"Out",OUT!$E$2:$E$11000,"Fix")</f>
        <v>2440568</v>
      </c>
      <c r="L502" s="52">
        <f ca="1">SUMIFS(OUT!$F$2:$F$11000,OUT!$H$2:$H$11000,H502,OUT!$D$2:$D$11000,"Out",OUT!$E$2:$E$11000,"Bathroom")</f>
        <v>34500</v>
      </c>
      <c r="M502" s="52">
        <f ca="1">SUMIFS(OUT!$F$2:$F$11000,OUT!$H$2:$H$11000,H502,OUT!$D$2:$D$11000,"Out",OUT!$E$2:$E$11000,"Alfa")</f>
        <v>293800</v>
      </c>
      <c r="N502" s="52" t="e">
        <f ca="1">SUMIFS(OUT!$F$2:$F$11000,OUT!$H$2:$H$101007,H502,OUT!$D$2:$D$11000,"Out",OUT!$E$2:$E$11000,"Jajan")</f>
        <v>#VALUE!</v>
      </c>
      <c r="O502" s="52">
        <f ca="1">SUMIFS(OUT!$F$2:$F$11000,OUT!$H$2:$H$11000,H502,OUT!$D$2:$D$11000,"Out",OUT!$E$2:$E$11000,"Kitchen")</f>
        <v>992724</v>
      </c>
      <c r="P502" s="52">
        <f ca="1">SUMIFS(OUT!$F$2:$F$11000,OUT!$H$2:$H$11000,H502,OUT!$D$2:$D$11000,"Out",OUT!$E$2:$E$11000,"Loandry")</f>
        <v>41600</v>
      </c>
      <c r="Q502" s="52">
        <f ca="1">SUMIFS(OUT!$F$2:$F$11000,OUT!$H$2:$H$11000,H502,OUT!$D$2:$D$11000,"Out",OUT!$E$2:$E$11000,"Mio")</f>
        <v>249000</v>
      </c>
      <c r="R502" s="52">
        <f ca="1">SUMIFS(OUT!$F$2:$F$11000,OUT!$H$2:$H$11000,H502,OUT!$D$2:$D$11000,"Out",OUT!$E$2:$E$11000,"Sedekah")</f>
        <v>129000</v>
      </c>
      <c r="S502" s="52">
        <f ca="1">SUMIFS(OUT!$F$2:$F$11000,OUT!$H$2:$H$11000,H502,OUT!$D$2:$D$11000,"Out",OUT!$E$2:$E$11000,"Zela")</f>
        <v>24100</v>
      </c>
      <c r="T502" s="52">
        <f ca="1">SUMIFS(OUT!$F$2:$F$11000,OUT!$H$2:$H$11000,H502,OUT!$D$2:$D$11000,"Out",OUT!$E$2:$E$11000,"Iqbal")</f>
        <v>121000</v>
      </c>
    </row>
    <row r="503" spans="1:20" x14ac:dyDescent="0.2">
      <c r="A503" s="48">
        <f ca="1">IFERROR(__xludf.DUMMYFUNCTION("""COMPUTED_VALUE"""),46072)</f>
        <v>46072</v>
      </c>
      <c r="B503" s="4" t="str">
        <f ca="1">IFERROR(__xludf.DUMMYFUNCTION("""COMPUTED_VALUE"""),"byu.6")</f>
        <v>byu.6</v>
      </c>
      <c r="C503" s="4" t="str">
        <f ca="1">IFERROR(__xludf.DUMMYFUNCTION("""COMPUTED_VALUE"""),"ATM")</f>
        <v>ATM</v>
      </c>
      <c r="D503" s="4" t="str">
        <f ca="1">IFERROR(__xludf.DUMMYFUNCTION("""COMPUTED_VALUE"""),"Out")</f>
        <v>Out</v>
      </c>
      <c r="E503" s="4" t="str">
        <f ca="1">IFERROR(__xludf.DUMMYFUNCTION("""COMPUTED_VALUE"""),"Fix")</f>
        <v>Fix</v>
      </c>
      <c r="F503" s="49">
        <f ca="1">IFERROR(__xludf.DUMMYFUNCTION("""COMPUTED_VALUE"""),15000)</f>
        <v>15000</v>
      </c>
      <c r="G503" s="50" t="str">
        <f ca="1">IFERROR(__xludf.DUMMYFUNCTION("""COMPUTED_VALUE"""),"Zela")</f>
        <v>Zela</v>
      </c>
      <c r="H503" s="51">
        <f t="shared" ca="1" si="0"/>
        <v>46054</v>
      </c>
      <c r="I503" s="52" t="e">
        <f ca="1">SUMIFS(OUT!$F$2:$F$11000,OUT!$H$2:$H$11000,H503,OUT!$D$2:$D$101007,"In")</f>
        <v>#VALUE!</v>
      </c>
      <c r="J503" s="52">
        <f ca="1">SUMIFS(OUT!$F$2:$F$11000,OUT!$H$2:$H$11000,H503,OUT!$D$2:$D$11000,"Out")</f>
        <v>6908733</v>
      </c>
      <c r="K503" s="52">
        <f ca="1">SUMIFS(OUT!$F$2:$F$11000,OUT!$H$2:$H$11000,H503,OUT!$D$2:$D$11000,"Out",OUT!$E$2:$E$11000,"Fix")</f>
        <v>2440568</v>
      </c>
      <c r="L503" s="52">
        <f ca="1">SUMIFS(OUT!$F$2:$F$11000,OUT!$H$2:$H$11000,H503,OUT!$D$2:$D$11000,"Out",OUT!$E$2:$E$11000,"Bathroom")</f>
        <v>34500</v>
      </c>
      <c r="M503" s="52">
        <f ca="1">SUMIFS(OUT!$F$2:$F$11000,OUT!$H$2:$H$11000,H503,OUT!$D$2:$D$11000,"Out",OUT!$E$2:$E$11000,"Alfa")</f>
        <v>293800</v>
      </c>
      <c r="N503" s="52" t="e">
        <f ca="1">SUMIFS(OUT!$F$2:$F$11000,OUT!$H$2:$H$101007,H503,OUT!$D$2:$D$11000,"Out",OUT!$E$2:$E$11000,"Jajan")</f>
        <v>#VALUE!</v>
      </c>
      <c r="O503" s="52">
        <f ca="1">SUMIFS(OUT!$F$2:$F$11000,OUT!$H$2:$H$11000,H503,OUT!$D$2:$D$11000,"Out",OUT!$E$2:$E$11000,"Kitchen")</f>
        <v>992724</v>
      </c>
      <c r="P503" s="52">
        <f ca="1">SUMIFS(OUT!$F$2:$F$11000,OUT!$H$2:$H$11000,H503,OUT!$D$2:$D$11000,"Out",OUT!$E$2:$E$11000,"Loandry")</f>
        <v>41600</v>
      </c>
      <c r="Q503" s="52">
        <f ca="1">SUMIFS(OUT!$F$2:$F$11000,OUT!$H$2:$H$11000,H503,OUT!$D$2:$D$11000,"Out",OUT!$E$2:$E$11000,"Mio")</f>
        <v>249000</v>
      </c>
      <c r="R503" s="52">
        <f ca="1">SUMIFS(OUT!$F$2:$F$11000,OUT!$H$2:$H$11000,H503,OUT!$D$2:$D$11000,"Out",OUT!$E$2:$E$11000,"Sedekah")</f>
        <v>129000</v>
      </c>
      <c r="S503" s="52">
        <f ca="1">SUMIFS(OUT!$F$2:$F$11000,OUT!$H$2:$H$11000,H503,OUT!$D$2:$D$11000,"Out",OUT!$E$2:$E$11000,"Zela")</f>
        <v>24100</v>
      </c>
      <c r="T503" s="52">
        <f ca="1">SUMIFS(OUT!$F$2:$F$11000,OUT!$H$2:$H$11000,H503,OUT!$D$2:$D$11000,"Out",OUT!$E$2:$E$11000,"Iqbal")</f>
        <v>121000</v>
      </c>
    </row>
    <row r="504" spans="1:20" x14ac:dyDescent="0.2">
      <c r="A504" s="48">
        <f ca="1">IFERROR(__xludf.DUMMYFUNCTION("""COMPUTED_VALUE"""),46072)</f>
        <v>46072</v>
      </c>
      <c r="B504" s="4" t="str">
        <f ca="1">IFERROR(__xludf.DUMMYFUNCTION("""COMPUTED_VALUE"""),"Suamiku")</f>
        <v>Suamiku</v>
      </c>
      <c r="C504" s="4" t="str">
        <f ca="1">IFERROR(__xludf.DUMMYFUNCTION("""COMPUTED_VALUE"""),"ATM")</f>
        <v>ATM</v>
      </c>
      <c r="D504" s="4" t="str">
        <f ca="1">IFERROR(__xludf.DUMMYFUNCTION("""COMPUTED_VALUE"""),"Out")</f>
        <v>Out</v>
      </c>
      <c r="E504" s="4" t="str">
        <f ca="1">IFERROR(__xludf.DUMMYFUNCTION("""COMPUTED_VALUE"""),"Move")</f>
        <v>Move</v>
      </c>
      <c r="F504" s="49">
        <f ca="1">IFERROR(__xludf.DUMMYFUNCTION("""COMPUTED_VALUE"""),20000)</f>
        <v>20000</v>
      </c>
      <c r="G504" s="50" t="str">
        <f ca="1">IFERROR(__xludf.DUMMYFUNCTION("""COMPUTED_VALUE"""),"Zela")</f>
        <v>Zela</v>
      </c>
      <c r="H504" s="51">
        <f t="shared" ca="1" si="0"/>
        <v>46054</v>
      </c>
      <c r="I504" s="52" t="e">
        <f ca="1">SUMIFS(OUT!$F$2:$F$11000,OUT!$H$2:$H$11000,H504,OUT!$D$2:$D$101007,"In")</f>
        <v>#VALUE!</v>
      </c>
      <c r="J504" s="52">
        <f ca="1">SUMIFS(OUT!$F$2:$F$11000,OUT!$H$2:$H$11000,H504,OUT!$D$2:$D$11000,"Out")</f>
        <v>6908733</v>
      </c>
      <c r="K504" s="52">
        <f ca="1">SUMIFS(OUT!$F$2:$F$11000,OUT!$H$2:$H$11000,H504,OUT!$D$2:$D$11000,"Out",OUT!$E$2:$E$11000,"Fix")</f>
        <v>2440568</v>
      </c>
      <c r="L504" s="52">
        <f ca="1">SUMIFS(OUT!$F$2:$F$11000,OUT!$H$2:$H$11000,H504,OUT!$D$2:$D$11000,"Out",OUT!$E$2:$E$11000,"Bathroom")</f>
        <v>34500</v>
      </c>
      <c r="M504" s="52">
        <f ca="1">SUMIFS(OUT!$F$2:$F$11000,OUT!$H$2:$H$11000,H504,OUT!$D$2:$D$11000,"Out",OUT!$E$2:$E$11000,"Alfa")</f>
        <v>293800</v>
      </c>
      <c r="N504" s="52" t="e">
        <f ca="1">SUMIFS(OUT!$F$2:$F$11000,OUT!$H$2:$H$101007,H504,OUT!$D$2:$D$11000,"Out",OUT!$E$2:$E$11000,"Jajan")</f>
        <v>#VALUE!</v>
      </c>
      <c r="O504" s="52">
        <f ca="1">SUMIFS(OUT!$F$2:$F$11000,OUT!$H$2:$H$11000,H504,OUT!$D$2:$D$11000,"Out",OUT!$E$2:$E$11000,"Kitchen")</f>
        <v>992724</v>
      </c>
      <c r="P504" s="52">
        <f ca="1">SUMIFS(OUT!$F$2:$F$11000,OUT!$H$2:$H$11000,H504,OUT!$D$2:$D$11000,"Out",OUT!$E$2:$E$11000,"Loandry")</f>
        <v>41600</v>
      </c>
      <c r="Q504" s="52">
        <f ca="1">SUMIFS(OUT!$F$2:$F$11000,OUT!$H$2:$H$11000,H504,OUT!$D$2:$D$11000,"Out",OUT!$E$2:$E$11000,"Mio")</f>
        <v>249000</v>
      </c>
      <c r="R504" s="52">
        <f ca="1">SUMIFS(OUT!$F$2:$F$11000,OUT!$H$2:$H$11000,H504,OUT!$D$2:$D$11000,"Out",OUT!$E$2:$E$11000,"Sedekah")</f>
        <v>129000</v>
      </c>
      <c r="S504" s="52">
        <f ca="1">SUMIFS(OUT!$F$2:$F$11000,OUT!$H$2:$H$11000,H504,OUT!$D$2:$D$11000,"Out",OUT!$E$2:$E$11000,"Zela")</f>
        <v>24100</v>
      </c>
      <c r="T504" s="52">
        <f ca="1">SUMIFS(OUT!$F$2:$F$11000,OUT!$H$2:$H$11000,H504,OUT!$D$2:$D$11000,"Out",OUT!$E$2:$E$11000,"Iqbal")</f>
        <v>121000</v>
      </c>
    </row>
    <row r="505" spans="1:20" x14ac:dyDescent="0.2">
      <c r="A505" s="48">
        <f ca="1">IFERROR(__xludf.DUMMYFUNCTION("""COMPUTED_VALUE"""),46074)</f>
        <v>46074</v>
      </c>
      <c r="B505" s="4" t="str">
        <f ca="1">IFERROR(__xludf.DUMMYFUNCTION("""COMPUTED_VALUE"""),"Suamiku")</f>
        <v>Suamiku</v>
      </c>
      <c r="C505" s="4" t="str">
        <f ca="1">IFERROR(__xludf.DUMMYFUNCTION("""COMPUTED_VALUE"""),"ATM")</f>
        <v>ATM</v>
      </c>
      <c r="D505" s="4" t="str">
        <f ca="1">IFERROR(__xludf.DUMMYFUNCTION("""COMPUTED_VALUE"""),"Out")</f>
        <v>Out</v>
      </c>
      <c r="E505" s="4" t="str">
        <f ca="1">IFERROR(__xludf.DUMMYFUNCTION("""COMPUTED_VALUE"""),"Move")</f>
        <v>Move</v>
      </c>
      <c r="F505" s="49">
        <f ca="1">IFERROR(__xludf.DUMMYFUNCTION("""COMPUTED_VALUE"""),20000)</f>
        <v>20000</v>
      </c>
      <c r="G505" s="50" t="str">
        <f ca="1">IFERROR(__xludf.DUMMYFUNCTION("""COMPUTED_VALUE"""),"Zela")</f>
        <v>Zela</v>
      </c>
      <c r="H505" s="51">
        <f t="shared" ca="1" si="0"/>
        <v>46054</v>
      </c>
      <c r="I505" s="52" t="e">
        <f ca="1">SUMIFS(OUT!$F$2:$F$11000,OUT!$H$2:$H$11000,H505,OUT!$D$2:$D$101007,"In")</f>
        <v>#VALUE!</v>
      </c>
      <c r="J505" s="52">
        <f ca="1">SUMIFS(OUT!$F$2:$F$11000,OUT!$H$2:$H$11000,H505,OUT!$D$2:$D$11000,"Out")</f>
        <v>6908733</v>
      </c>
      <c r="K505" s="52">
        <f ca="1">SUMIFS(OUT!$F$2:$F$11000,OUT!$H$2:$H$11000,H505,OUT!$D$2:$D$11000,"Out",OUT!$E$2:$E$11000,"Fix")</f>
        <v>2440568</v>
      </c>
      <c r="L505" s="52">
        <f ca="1">SUMIFS(OUT!$F$2:$F$11000,OUT!$H$2:$H$11000,H505,OUT!$D$2:$D$11000,"Out",OUT!$E$2:$E$11000,"Bathroom")</f>
        <v>34500</v>
      </c>
      <c r="M505" s="52">
        <f ca="1">SUMIFS(OUT!$F$2:$F$11000,OUT!$H$2:$H$11000,H505,OUT!$D$2:$D$11000,"Out",OUT!$E$2:$E$11000,"Alfa")</f>
        <v>293800</v>
      </c>
      <c r="N505" s="52" t="e">
        <f ca="1">SUMIFS(OUT!$F$2:$F$11000,OUT!$H$2:$H$101007,H505,OUT!$D$2:$D$11000,"Out",OUT!$E$2:$E$11000,"Jajan")</f>
        <v>#VALUE!</v>
      </c>
      <c r="O505" s="52">
        <f ca="1">SUMIFS(OUT!$F$2:$F$11000,OUT!$H$2:$H$11000,H505,OUT!$D$2:$D$11000,"Out",OUT!$E$2:$E$11000,"Kitchen")</f>
        <v>992724</v>
      </c>
      <c r="P505" s="52">
        <f ca="1">SUMIFS(OUT!$F$2:$F$11000,OUT!$H$2:$H$11000,H505,OUT!$D$2:$D$11000,"Out",OUT!$E$2:$E$11000,"Loandry")</f>
        <v>41600</v>
      </c>
      <c r="Q505" s="52">
        <f ca="1">SUMIFS(OUT!$F$2:$F$11000,OUT!$H$2:$H$11000,H505,OUT!$D$2:$D$11000,"Out",OUT!$E$2:$E$11000,"Mio")</f>
        <v>249000</v>
      </c>
      <c r="R505" s="52">
        <f ca="1">SUMIFS(OUT!$F$2:$F$11000,OUT!$H$2:$H$11000,H505,OUT!$D$2:$D$11000,"Out",OUT!$E$2:$E$11000,"Sedekah")</f>
        <v>129000</v>
      </c>
      <c r="S505" s="52">
        <f ca="1">SUMIFS(OUT!$F$2:$F$11000,OUT!$H$2:$H$11000,H505,OUT!$D$2:$D$11000,"Out",OUT!$E$2:$E$11000,"Zela")</f>
        <v>24100</v>
      </c>
      <c r="T505" s="52">
        <f ca="1">SUMIFS(OUT!$F$2:$F$11000,OUT!$H$2:$H$11000,H505,OUT!$D$2:$D$11000,"Out",OUT!$E$2:$E$11000,"Iqbal")</f>
        <v>121000</v>
      </c>
    </row>
    <row r="506" spans="1:20" x14ac:dyDescent="0.2">
      <c r="A506" s="48">
        <f ca="1">IFERROR(__xludf.DUMMYFUNCTION("""COMPUTED_VALUE"""),46073)</f>
        <v>46073</v>
      </c>
      <c r="B506" s="4" t="str">
        <f ca="1">IFERROR(__xludf.DUMMYFUNCTION("""COMPUTED_VALUE"""),"Tarik Tunai")</f>
        <v>Tarik Tunai</v>
      </c>
      <c r="C506" s="4" t="str">
        <f ca="1">IFERROR(__xludf.DUMMYFUNCTION("""COMPUTED_VALUE"""),"ATM")</f>
        <v>ATM</v>
      </c>
      <c r="D506" s="4" t="str">
        <f ca="1">IFERROR(__xludf.DUMMYFUNCTION("""COMPUTED_VALUE"""),"Move")</f>
        <v>Move</v>
      </c>
      <c r="E506" s="4" t="str">
        <f ca="1">IFERROR(__xludf.DUMMYFUNCTION("""COMPUTED_VALUE"""),"Move")</f>
        <v>Move</v>
      </c>
      <c r="F506" s="49">
        <f ca="1">IFERROR(__xludf.DUMMYFUNCTION("""COMPUTED_VALUE"""),100000)</f>
        <v>100000</v>
      </c>
      <c r="G506" s="50" t="str">
        <f ca="1">IFERROR(__xludf.DUMMYFUNCTION("""COMPUTED_VALUE"""),"Zela")</f>
        <v>Zela</v>
      </c>
      <c r="H506" s="51">
        <f t="shared" ca="1" si="0"/>
        <v>46054</v>
      </c>
      <c r="I506" s="52" t="e">
        <f ca="1">SUMIFS(OUT!$F$2:$F$11000,OUT!$H$2:$H$11000,H506,OUT!$D$2:$D$101007,"In")</f>
        <v>#VALUE!</v>
      </c>
      <c r="J506" s="52">
        <f ca="1">SUMIFS(OUT!$F$2:$F$11000,OUT!$H$2:$H$11000,H506,OUT!$D$2:$D$11000,"Out")</f>
        <v>6908733</v>
      </c>
      <c r="K506" s="52">
        <f ca="1">SUMIFS(OUT!$F$2:$F$11000,OUT!$H$2:$H$11000,H506,OUT!$D$2:$D$11000,"Out",OUT!$E$2:$E$11000,"Fix")</f>
        <v>2440568</v>
      </c>
      <c r="L506" s="52">
        <f ca="1">SUMIFS(OUT!$F$2:$F$11000,OUT!$H$2:$H$11000,H506,OUT!$D$2:$D$11000,"Out",OUT!$E$2:$E$11000,"Bathroom")</f>
        <v>34500</v>
      </c>
      <c r="M506" s="52">
        <f ca="1">SUMIFS(OUT!$F$2:$F$11000,OUT!$H$2:$H$11000,H506,OUT!$D$2:$D$11000,"Out",OUT!$E$2:$E$11000,"Alfa")</f>
        <v>293800</v>
      </c>
      <c r="N506" s="52" t="e">
        <f ca="1">SUMIFS(OUT!$F$2:$F$11000,OUT!$H$2:$H$101007,H506,OUT!$D$2:$D$11000,"Out",OUT!$E$2:$E$11000,"Jajan")</f>
        <v>#VALUE!</v>
      </c>
      <c r="O506" s="52">
        <f ca="1">SUMIFS(OUT!$F$2:$F$11000,OUT!$H$2:$H$11000,H506,OUT!$D$2:$D$11000,"Out",OUT!$E$2:$E$11000,"Kitchen")</f>
        <v>992724</v>
      </c>
      <c r="P506" s="52">
        <f ca="1">SUMIFS(OUT!$F$2:$F$11000,OUT!$H$2:$H$11000,H506,OUT!$D$2:$D$11000,"Out",OUT!$E$2:$E$11000,"Loandry")</f>
        <v>41600</v>
      </c>
      <c r="Q506" s="52">
        <f ca="1">SUMIFS(OUT!$F$2:$F$11000,OUT!$H$2:$H$11000,H506,OUT!$D$2:$D$11000,"Out",OUT!$E$2:$E$11000,"Mio")</f>
        <v>249000</v>
      </c>
      <c r="R506" s="52">
        <f ca="1">SUMIFS(OUT!$F$2:$F$11000,OUT!$H$2:$H$11000,H506,OUT!$D$2:$D$11000,"Out",OUT!$E$2:$E$11000,"Sedekah")</f>
        <v>129000</v>
      </c>
      <c r="S506" s="52">
        <f ca="1">SUMIFS(OUT!$F$2:$F$11000,OUT!$H$2:$H$11000,H506,OUT!$D$2:$D$11000,"Out",OUT!$E$2:$E$11000,"Zela")</f>
        <v>24100</v>
      </c>
      <c r="T506" s="52">
        <f ca="1">SUMIFS(OUT!$F$2:$F$11000,OUT!$H$2:$H$11000,H506,OUT!$D$2:$D$11000,"Out",OUT!$E$2:$E$11000,"Iqbal")</f>
        <v>121000</v>
      </c>
    </row>
    <row r="507" spans="1:20" x14ac:dyDescent="0.2">
      <c r="A507" s="48">
        <f ca="1">IFERROR(__xludf.DUMMYFUNCTION("""COMPUTED_VALUE"""),46073)</f>
        <v>46073</v>
      </c>
      <c r="B507" s="4" t="str">
        <f ca="1">IFERROR(__xludf.DUMMYFUNCTION("""COMPUTED_VALUE"""),"Terima Tunai")</f>
        <v>Terima Tunai</v>
      </c>
      <c r="C507" s="4" t="str">
        <f ca="1">IFERROR(__xludf.DUMMYFUNCTION("""COMPUTED_VALUE"""),"Cash")</f>
        <v>Cash</v>
      </c>
      <c r="D507" s="4" t="str">
        <f ca="1">IFERROR(__xludf.DUMMYFUNCTION("""COMPUTED_VALUE"""),"Move")</f>
        <v>Move</v>
      </c>
      <c r="E507" s="4" t="str">
        <f ca="1">IFERROR(__xludf.DUMMYFUNCTION("""COMPUTED_VALUE"""),"Move")</f>
        <v>Move</v>
      </c>
      <c r="F507" s="49">
        <f ca="1">IFERROR(__xludf.DUMMYFUNCTION("""COMPUTED_VALUE"""),100000)</f>
        <v>100000</v>
      </c>
      <c r="G507" s="50" t="str">
        <f ca="1">IFERROR(__xludf.DUMMYFUNCTION("""COMPUTED_VALUE"""),"Zela")</f>
        <v>Zela</v>
      </c>
      <c r="H507" s="51">
        <f t="shared" ca="1" si="0"/>
        <v>46054</v>
      </c>
      <c r="I507" s="52" t="e">
        <f ca="1">SUMIFS(OUT!$F$2:$F$11000,OUT!$H$2:$H$11000,H507,OUT!$D$2:$D$101007,"In")</f>
        <v>#VALUE!</v>
      </c>
      <c r="J507" s="52">
        <f ca="1">SUMIFS(OUT!$F$2:$F$11000,OUT!$H$2:$H$11000,H507,OUT!$D$2:$D$11000,"Out")</f>
        <v>6908733</v>
      </c>
      <c r="K507" s="52">
        <f ca="1">SUMIFS(OUT!$F$2:$F$11000,OUT!$H$2:$H$11000,H507,OUT!$D$2:$D$11000,"Out",OUT!$E$2:$E$11000,"Fix")</f>
        <v>2440568</v>
      </c>
      <c r="L507" s="52">
        <f ca="1">SUMIFS(OUT!$F$2:$F$11000,OUT!$H$2:$H$11000,H507,OUT!$D$2:$D$11000,"Out",OUT!$E$2:$E$11000,"Bathroom")</f>
        <v>34500</v>
      </c>
      <c r="M507" s="52">
        <f ca="1">SUMIFS(OUT!$F$2:$F$11000,OUT!$H$2:$H$11000,H507,OUT!$D$2:$D$11000,"Out",OUT!$E$2:$E$11000,"Alfa")</f>
        <v>293800</v>
      </c>
      <c r="N507" s="52" t="e">
        <f ca="1">SUMIFS(OUT!$F$2:$F$11000,OUT!$H$2:$H$101007,H507,OUT!$D$2:$D$11000,"Out",OUT!$E$2:$E$11000,"Jajan")</f>
        <v>#VALUE!</v>
      </c>
      <c r="O507" s="52">
        <f ca="1">SUMIFS(OUT!$F$2:$F$11000,OUT!$H$2:$H$11000,H507,OUT!$D$2:$D$11000,"Out",OUT!$E$2:$E$11000,"Kitchen")</f>
        <v>992724</v>
      </c>
      <c r="P507" s="52">
        <f ca="1">SUMIFS(OUT!$F$2:$F$11000,OUT!$H$2:$H$11000,H507,OUT!$D$2:$D$11000,"Out",OUT!$E$2:$E$11000,"Loandry")</f>
        <v>41600</v>
      </c>
      <c r="Q507" s="52">
        <f ca="1">SUMIFS(OUT!$F$2:$F$11000,OUT!$H$2:$H$11000,H507,OUT!$D$2:$D$11000,"Out",OUT!$E$2:$E$11000,"Mio")</f>
        <v>249000</v>
      </c>
      <c r="R507" s="52">
        <f ca="1">SUMIFS(OUT!$F$2:$F$11000,OUT!$H$2:$H$11000,H507,OUT!$D$2:$D$11000,"Out",OUT!$E$2:$E$11000,"Sedekah")</f>
        <v>129000</v>
      </c>
      <c r="S507" s="52">
        <f ca="1">SUMIFS(OUT!$F$2:$F$11000,OUT!$H$2:$H$11000,H507,OUT!$D$2:$D$11000,"Out",OUT!$E$2:$E$11000,"Zela")</f>
        <v>24100</v>
      </c>
      <c r="T507" s="52">
        <f ca="1">SUMIFS(OUT!$F$2:$F$11000,OUT!$H$2:$H$11000,H507,OUT!$D$2:$D$11000,"Out",OUT!$E$2:$E$11000,"Iqbal")</f>
        <v>121000</v>
      </c>
    </row>
    <row r="508" spans="1:20" x14ac:dyDescent="0.2">
      <c r="A508" s="48">
        <f ca="1">IFERROR(__xludf.DUMMYFUNCTION("""COMPUTED_VALUE"""),46073)</f>
        <v>46073</v>
      </c>
      <c r="B508" s="4" t="str">
        <f ca="1">IFERROR(__xludf.DUMMYFUNCTION("""COMPUTED_VALUE"""),"Popok")</f>
        <v>Popok</v>
      </c>
      <c r="C508" s="4" t="str">
        <f ca="1">IFERROR(__xludf.DUMMYFUNCTION("""COMPUTED_VALUE"""),"Cash")</f>
        <v>Cash</v>
      </c>
      <c r="D508" s="4" t="str">
        <f ca="1">IFERROR(__xludf.DUMMYFUNCTION("""COMPUTED_VALUE"""),"Out")</f>
        <v>Out</v>
      </c>
      <c r="E508" s="4" t="str">
        <f ca="1">IFERROR(__xludf.DUMMYFUNCTION("""COMPUTED_VALUE"""),"Alfa")</f>
        <v>Alfa</v>
      </c>
      <c r="F508" s="49">
        <f ca="1">IFERROR(__xludf.DUMMYFUNCTION("""COMPUTED_VALUE"""),42500)</f>
        <v>42500</v>
      </c>
      <c r="G508" s="50" t="str">
        <f ca="1">IFERROR(__xludf.DUMMYFUNCTION("""COMPUTED_VALUE"""),"Zela")</f>
        <v>Zela</v>
      </c>
      <c r="H508" s="51">
        <f t="shared" ca="1" si="0"/>
        <v>46054</v>
      </c>
      <c r="I508" s="52" t="e">
        <f ca="1">SUMIFS(OUT!$F$2:$F$11000,OUT!$H$2:$H$11000,H508,OUT!$D$2:$D$101007,"In")</f>
        <v>#VALUE!</v>
      </c>
      <c r="J508" s="52">
        <f ca="1">SUMIFS(OUT!$F$2:$F$11000,OUT!$H$2:$H$11000,H508,OUT!$D$2:$D$11000,"Out")</f>
        <v>6908733</v>
      </c>
      <c r="K508" s="52">
        <f ca="1">SUMIFS(OUT!$F$2:$F$11000,OUT!$H$2:$H$11000,H508,OUT!$D$2:$D$11000,"Out",OUT!$E$2:$E$11000,"Fix")</f>
        <v>2440568</v>
      </c>
      <c r="L508" s="52">
        <f ca="1">SUMIFS(OUT!$F$2:$F$11000,OUT!$H$2:$H$11000,H508,OUT!$D$2:$D$11000,"Out",OUT!$E$2:$E$11000,"Bathroom")</f>
        <v>34500</v>
      </c>
      <c r="M508" s="52">
        <f ca="1">SUMIFS(OUT!$F$2:$F$11000,OUT!$H$2:$H$11000,H508,OUT!$D$2:$D$11000,"Out",OUT!$E$2:$E$11000,"Alfa")</f>
        <v>293800</v>
      </c>
      <c r="N508" s="52" t="e">
        <f ca="1">SUMIFS(OUT!$F$2:$F$11000,OUT!$H$2:$H$101007,H508,OUT!$D$2:$D$11000,"Out",OUT!$E$2:$E$11000,"Jajan")</f>
        <v>#VALUE!</v>
      </c>
      <c r="O508" s="52">
        <f ca="1">SUMIFS(OUT!$F$2:$F$11000,OUT!$H$2:$H$11000,H508,OUT!$D$2:$D$11000,"Out",OUT!$E$2:$E$11000,"Kitchen")</f>
        <v>992724</v>
      </c>
      <c r="P508" s="52">
        <f ca="1">SUMIFS(OUT!$F$2:$F$11000,OUT!$H$2:$H$11000,H508,OUT!$D$2:$D$11000,"Out",OUT!$E$2:$E$11000,"Loandry")</f>
        <v>41600</v>
      </c>
      <c r="Q508" s="52">
        <f ca="1">SUMIFS(OUT!$F$2:$F$11000,OUT!$H$2:$H$11000,H508,OUT!$D$2:$D$11000,"Out",OUT!$E$2:$E$11000,"Mio")</f>
        <v>249000</v>
      </c>
      <c r="R508" s="52">
        <f ca="1">SUMIFS(OUT!$F$2:$F$11000,OUT!$H$2:$H$11000,H508,OUT!$D$2:$D$11000,"Out",OUT!$E$2:$E$11000,"Sedekah")</f>
        <v>129000</v>
      </c>
      <c r="S508" s="52">
        <f ca="1">SUMIFS(OUT!$F$2:$F$11000,OUT!$H$2:$H$11000,H508,OUT!$D$2:$D$11000,"Out",OUT!$E$2:$E$11000,"Zela")</f>
        <v>24100</v>
      </c>
      <c r="T508" s="52">
        <f ca="1">SUMIFS(OUT!$F$2:$F$11000,OUT!$H$2:$H$11000,H508,OUT!$D$2:$D$11000,"Out",OUT!$E$2:$E$11000,"Iqbal")</f>
        <v>121000</v>
      </c>
    </row>
    <row r="509" spans="1:20" x14ac:dyDescent="0.2">
      <c r="A509" s="48">
        <f ca="1">IFERROR(__xludf.DUMMYFUNCTION("""COMPUTED_VALUE"""),46073)</f>
        <v>46073</v>
      </c>
      <c r="B509" s="4" t="str">
        <f ca="1">IFERROR(__xludf.DUMMYFUNCTION("""COMPUTED_VALUE"""),"Pasar kaget")</f>
        <v>Pasar kaget</v>
      </c>
      <c r="C509" s="4" t="str">
        <f ca="1">IFERROR(__xludf.DUMMYFUNCTION("""COMPUTED_VALUE"""),"Cash")</f>
        <v>Cash</v>
      </c>
      <c r="D509" s="4" t="str">
        <f ca="1">IFERROR(__xludf.DUMMYFUNCTION("""COMPUTED_VALUE"""),"Out")</f>
        <v>Out</v>
      </c>
      <c r="E509" s="4" t="str">
        <f ca="1">IFERROR(__xludf.DUMMYFUNCTION("""COMPUTED_VALUE"""),"Kitchen")</f>
        <v>Kitchen</v>
      </c>
      <c r="F509" s="49">
        <f ca="1">IFERROR(__xludf.DUMMYFUNCTION("""COMPUTED_VALUE"""),100000)</f>
        <v>100000</v>
      </c>
      <c r="G509" s="50" t="str">
        <f ca="1">IFERROR(__xludf.DUMMYFUNCTION("""COMPUTED_VALUE"""),"Zela")</f>
        <v>Zela</v>
      </c>
      <c r="H509" s="51">
        <f t="shared" ca="1" si="0"/>
        <v>46054</v>
      </c>
      <c r="I509" s="52" t="e">
        <f ca="1">SUMIFS(OUT!$F$2:$F$11000,OUT!$H$2:$H$11000,H509,OUT!$D$2:$D$101007,"In")</f>
        <v>#VALUE!</v>
      </c>
      <c r="J509" s="52">
        <f ca="1">SUMIFS(OUT!$F$2:$F$11000,OUT!$H$2:$H$11000,H509,OUT!$D$2:$D$11000,"Out")</f>
        <v>6908733</v>
      </c>
      <c r="K509" s="52">
        <f ca="1">SUMIFS(OUT!$F$2:$F$11000,OUT!$H$2:$H$11000,H509,OUT!$D$2:$D$11000,"Out",OUT!$E$2:$E$11000,"Fix")</f>
        <v>2440568</v>
      </c>
      <c r="L509" s="52">
        <f ca="1">SUMIFS(OUT!$F$2:$F$11000,OUT!$H$2:$H$11000,H509,OUT!$D$2:$D$11000,"Out",OUT!$E$2:$E$11000,"Bathroom")</f>
        <v>34500</v>
      </c>
      <c r="M509" s="52">
        <f ca="1">SUMIFS(OUT!$F$2:$F$11000,OUT!$H$2:$H$11000,H509,OUT!$D$2:$D$11000,"Out",OUT!$E$2:$E$11000,"Alfa")</f>
        <v>293800</v>
      </c>
      <c r="N509" s="52" t="e">
        <f ca="1">SUMIFS(OUT!$F$2:$F$11000,OUT!$H$2:$H$101007,H509,OUT!$D$2:$D$11000,"Out",OUT!$E$2:$E$11000,"Jajan")</f>
        <v>#VALUE!</v>
      </c>
      <c r="O509" s="52">
        <f ca="1">SUMIFS(OUT!$F$2:$F$11000,OUT!$H$2:$H$11000,H509,OUT!$D$2:$D$11000,"Out",OUT!$E$2:$E$11000,"Kitchen")</f>
        <v>992724</v>
      </c>
      <c r="P509" s="52">
        <f ca="1">SUMIFS(OUT!$F$2:$F$11000,OUT!$H$2:$H$11000,H509,OUT!$D$2:$D$11000,"Out",OUT!$E$2:$E$11000,"Loandry")</f>
        <v>41600</v>
      </c>
      <c r="Q509" s="52">
        <f ca="1">SUMIFS(OUT!$F$2:$F$11000,OUT!$H$2:$H$11000,H509,OUT!$D$2:$D$11000,"Out",OUT!$E$2:$E$11000,"Mio")</f>
        <v>249000</v>
      </c>
      <c r="R509" s="52">
        <f ca="1">SUMIFS(OUT!$F$2:$F$11000,OUT!$H$2:$H$11000,H509,OUT!$D$2:$D$11000,"Out",OUT!$E$2:$E$11000,"Sedekah")</f>
        <v>129000</v>
      </c>
      <c r="S509" s="52">
        <f ca="1">SUMIFS(OUT!$F$2:$F$11000,OUT!$H$2:$H$11000,H509,OUT!$D$2:$D$11000,"Out",OUT!$E$2:$E$11000,"Zela")</f>
        <v>24100</v>
      </c>
      <c r="T509" s="52">
        <f ca="1">SUMIFS(OUT!$F$2:$F$11000,OUT!$H$2:$H$11000,H509,OUT!$D$2:$D$11000,"Out",OUT!$E$2:$E$11000,"Iqbal")</f>
        <v>121000</v>
      </c>
    </row>
    <row r="510" spans="1:20" x14ac:dyDescent="0.2">
      <c r="A510" s="48">
        <f ca="1">IFERROR(__xludf.DUMMYFUNCTION("""COMPUTED_VALUE"""),46073)</f>
        <v>46073</v>
      </c>
      <c r="B510" s="4" t="str">
        <f ca="1">IFERROR(__xludf.DUMMYFUNCTION("""COMPUTED_VALUE"""),"Galon")</f>
        <v>Galon</v>
      </c>
      <c r="C510" s="4" t="str">
        <f ca="1">IFERROR(__xludf.DUMMYFUNCTION("""COMPUTED_VALUE"""),"Cash")</f>
        <v>Cash</v>
      </c>
      <c r="D510" s="4" t="str">
        <f ca="1">IFERROR(__xludf.DUMMYFUNCTION("""COMPUTED_VALUE"""),"Out")</f>
        <v>Out</v>
      </c>
      <c r="E510" s="4" t="str">
        <f ca="1">IFERROR(__xludf.DUMMYFUNCTION("""COMPUTED_VALUE"""),"Kitchen")</f>
        <v>Kitchen</v>
      </c>
      <c r="F510" s="49">
        <f ca="1">IFERROR(__xludf.DUMMYFUNCTION("""COMPUTED_VALUE"""),4000)</f>
        <v>4000</v>
      </c>
      <c r="G510" s="50" t="str">
        <f ca="1">IFERROR(__xludf.DUMMYFUNCTION("""COMPUTED_VALUE"""),"Zela")</f>
        <v>Zela</v>
      </c>
      <c r="H510" s="51">
        <f t="shared" ca="1" si="0"/>
        <v>46054</v>
      </c>
      <c r="I510" s="52" t="e">
        <f ca="1">SUMIFS(OUT!$F$2:$F$11000,OUT!$H$2:$H$11000,H510,OUT!$D$2:$D$101007,"In")</f>
        <v>#VALUE!</v>
      </c>
      <c r="J510" s="52">
        <f ca="1">SUMIFS(OUT!$F$2:$F$11000,OUT!$H$2:$H$11000,H510,OUT!$D$2:$D$11000,"Out")</f>
        <v>6908733</v>
      </c>
      <c r="K510" s="52">
        <f ca="1">SUMIFS(OUT!$F$2:$F$11000,OUT!$H$2:$H$11000,H510,OUT!$D$2:$D$11000,"Out",OUT!$E$2:$E$11000,"Fix")</f>
        <v>2440568</v>
      </c>
      <c r="L510" s="52">
        <f ca="1">SUMIFS(OUT!$F$2:$F$11000,OUT!$H$2:$H$11000,H510,OUT!$D$2:$D$11000,"Out",OUT!$E$2:$E$11000,"Bathroom")</f>
        <v>34500</v>
      </c>
      <c r="M510" s="52">
        <f ca="1">SUMIFS(OUT!$F$2:$F$11000,OUT!$H$2:$H$11000,H510,OUT!$D$2:$D$11000,"Out",OUT!$E$2:$E$11000,"Alfa")</f>
        <v>293800</v>
      </c>
      <c r="N510" s="52" t="e">
        <f ca="1">SUMIFS(OUT!$F$2:$F$11000,OUT!$H$2:$H$101007,H510,OUT!$D$2:$D$11000,"Out",OUT!$E$2:$E$11000,"Jajan")</f>
        <v>#VALUE!</v>
      </c>
      <c r="O510" s="52">
        <f ca="1">SUMIFS(OUT!$F$2:$F$11000,OUT!$H$2:$H$11000,H510,OUT!$D$2:$D$11000,"Out",OUT!$E$2:$E$11000,"Kitchen")</f>
        <v>992724</v>
      </c>
      <c r="P510" s="52">
        <f ca="1">SUMIFS(OUT!$F$2:$F$11000,OUT!$H$2:$H$11000,H510,OUT!$D$2:$D$11000,"Out",OUT!$E$2:$E$11000,"Loandry")</f>
        <v>41600</v>
      </c>
      <c r="Q510" s="52">
        <f ca="1">SUMIFS(OUT!$F$2:$F$11000,OUT!$H$2:$H$11000,H510,OUT!$D$2:$D$11000,"Out",OUT!$E$2:$E$11000,"Mio")</f>
        <v>249000</v>
      </c>
      <c r="R510" s="52">
        <f ca="1">SUMIFS(OUT!$F$2:$F$11000,OUT!$H$2:$H$11000,H510,OUT!$D$2:$D$11000,"Out",OUT!$E$2:$E$11000,"Sedekah")</f>
        <v>129000</v>
      </c>
      <c r="S510" s="52">
        <f ca="1">SUMIFS(OUT!$F$2:$F$11000,OUT!$H$2:$H$11000,H510,OUT!$D$2:$D$11000,"Out",OUT!$E$2:$E$11000,"Zela")</f>
        <v>24100</v>
      </c>
      <c r="T510" s="52">
        <f ca="1">SUMIFS(OUT!$F$2:$F$11000,OUT!$H$2:$H$11000,H510,OUT!$D$2:$D$11000,"Out",OUT!$E$2:$E$11000,"Iqbal")</f>
        <v>121000</v>
      </c>
    </row>
    <row r="511" spans="1:20" x14ac:dyDescent="0.2">
      <c r="A511" s="48">
        <f ca="1">IFERROR(__xludf.DUMMYFUNCTION("""COMPUTED_VALUE"""),46075)</f>
        <v>46075</v>
      </c>
      <c r="B511" s="4" t="str">
        <f ca="1">IFERROR(__xludf.DUMMYFUNCTION("""COMPUTED_VALUE"""),"Indomie")</f>
        <v>Indomie</v>
      </c>
      <c r="C511" s="4" t="str">
        <f ca="1">IFERROR(__xludf.DUMMYFUNCTION("""COMPUTED_VALUE"""),"Cash")</f>
        <v>Cash</v>
      </c>
      <c r="D511" s="4" t="str">
        <f ca="1">IFERROR(__xludf.DUMMYFUNCTION("""COMPUTED_VALUE"""),"Out")</f>
        <v>Out</v>
      </c>
      <c r="E511" s="4" t="str">
        <f ca="1">IFERROR(__xludf.DUMMYFUNCTION("""COMPUTED_VALUE"""),"Jajan")</f>
        <v>Jajan</v>
      </c>
      <c r="F511" s="49">
        <f ca="1">IFERROR(__xludf.DUMMYFUNCTION("""COMPUTED_VALUE"""),10000)</f>
        <v>10000</v>
      </c>
      <c r="G511" s="50" t="str">
        <f ca="1">IFERROR(__xludf.DUMMYFUNCTION("""COMPUTED_VALUE"""),"Zela")</f>
        <v>Zela</v>
      </c>
      <c r="H511" s="51">
        <f t="shared" ca="1" si="0"/>
        <v>46054</v>
      </c>
      <c r="I511" s="52" t="e">
        <f ca="1">SUMIFS(OUT!$F$2:$F$11000,OUT!$H$2:$H$11000,H511,OUT!$D$2:$D$101007,"In")</f>
        <v>#VALUE!</v>
      </c>
      <c r="J511" s="52">
        <f ca="1">SUMIFS(OUT!$F$2:$F$11000,OUT!$H$2:$H$11000,H511,OUT!$D$2:$D$11000,"Out")</f>
        <v>6908733</v>
      </c>
      <c r="K511" s="52">
        <f ca="1">SUMIFS(OUT!$F$2:$F$11000,OUT!$H$2:$H$11000,H511,OUT!$D$2:$D$11000,"Out",OUT!$E$2:$E$11000,"Fix")</f>
        <v>2440568</v>
      </c>
      <c r="L511" s="52">
        <f ca="1">SUMIFS(OUT!$F$2:$F$11000,OUT!$H$2:$H$11000,H511,OUT!$D$2:$D$11000,"Out",OUT!$E$2:$E$11000,"Bathroom")</f>
        <v>34500</v>
      </c>
      <c r="M511" s="52">
        <f ca="1">SUMIFS(OUT!$F$2:$F$11000,OUT!$H$2:$H$11000,H511,OUT!$D$2:$D$11000,"Out",OUT!$E$2:$E$11000,"Alfa")</f>
        <v>293800</v>
      </c>
      <c r="N511" s="52" t="e">
        <f ca="1">SUMIFS(OUT!$F$2:$F$11000,OUT!$H$2:$H$101007,H511,OUT!$D$2:$D$11000,"Out",OUT!$E$2:$E$11000,"Jajan")</f>
        <v>#VALUE!</v>
      </c>
      <c r="O511" s="52">
        <f ca="1">SUMIFS(OUT!$F$2:$F$11000,OUT!$H$2:$H$11000,H511,OUT!$D$2:$D$11000,"Out",OUT!$E$2:$E$11000,"Kitchen")</f>
        <v>992724</v>
      </c>
      <c r="P511" s="52">
        <f ca="1">SUMIFS(OUT!$F$2:$F$11000,OUT!$H$2:$H$11000,H511,OUT!$D$2:$D$11000,"Out",OUT!$E$2:$E$11000,"Loandry")</f>
        <v>41600</v>
      </c>
      <c r="Q511" s="52">
        <f ca="1">SUMIFS(OUT!$F$2:$F$11000,OUT!$H$2:$H$11000,H511,OUT!$D$2:$D$11000,"Out",OUT!$E$2:$E$11000,"Mio")</f>
        <v>249000</v>
      </c>
      <c r="R511" s="52">
        <f ca="1">SUMIFS(OUT!$F$2:$F$11000,OUT!$H$2:$H$11000,H511,OUT!$D$2:$D$11000,"Out",OUT!$E$2:$E$11000,"Sedekah")</f>
        <v>129000</v>
      </c>
      <c r="S511" s="52">
        <f ca="1">SUMIFS(OUT!$F$2:$F$11000,OUT!$H$2:$H$11000,H511,OUT!$D$2:$D$11000,"Out",OUT!$E$2:$E$11000,"Zela")</f>
        <v>24100</v>
      </c>
      <c r="T511" s="52">
        <f ca="1">SUMIFS(OUT!$F$2:$F$11000,OUT!$H$2:$H$11000,H511,OUT!$D$2:$D$11000,"Out",OUT!$E$2:$E$11000,"Iqbal")</f>
        <v>121000</v>
      </c>
    </row>
    <row r="512" spans="1:20" x14ac:dyDescent="0.2">
      <c r="A512" s="48">
        <f ca="1">IFERROR(__xludf.DUMMYFUNCTION("""COMPUTED_VALUE"""),46075)</f>
        <v>46075</v>
      </c>
      <c r="B512" s="4" t="str">
        <f ca="1">IFERROR(__xludf.DUMMYFUNCTION("""COMPUTED_VALUE"""),"Roti bobo")</f>
        <v>Roti bobo</v>
      </c>
      <c r="C512" s="4" t="str">
        <f ca="1">IFERROR(__xludf.DUMMYFUNCTION("""COMPUTED_VALUE"""),"Cash")</f>
        <v>Cash</v>
      </c>
      <c r="D512" s="4" t="str">
        <f ca="1">IFERROR(__xludf.DUMMYFUNCTION("""COMPUTED_VALUE"""),"Out")</f>
        <v>Out</v>
      </c>
      <c r="E512" s="4" t="str">
        <f ca="1">IFERROR(__xludf.DUMMYFUNCTION("""COMPUTED_VALUE"""),"Alfa")</f>
        <v>Alfa</v>
      </c>
      <c r="F512" s="49">
        <f ca="1">IFERROR(__xludf.DUMMYFUNCTION("""COMPUTED_VALUE"""),2000)</f>
        <v>2000</v>
      </c>
      <c r="G512" s="50" t="str">
        <f ca="1">IFERROR(__xludf.DUMMYFUNCTION("""COMPUTED_VALUE"""),"Zela")</f>
        <v>Zela</v>
      </c>
      <c r="H512" s="51">
        <f t="shared" ca="1" si="0"/>
        <v>46054</v>
      </c>
      <c r="I512" s="52" t="e">
        <f ca="1">SUMIFS(OUT!$F$2:$F$11000,OUT!$H$2:$H$11000,H512,OUT!$D$2:$D$101007,"In")</f>
        <v>#VALUE!</v>
      </c>
      <c r="J512" s="52">
        <f ca="1">SUMIFS(OUT!$F$2:$F$11000,OUT!$H$2:$H$11000,H512,OUT!$D$2:$D$11000,"Out")</f>
        <v>6908733</v>
      </c>
      <c r="K512" s="52">
        <f ca="1">SUMIFS(OUT!$F$2:$F$11000,OUT!$H$2:$H$11000,H512,OUT!$D$2:$D$11000,"Out",OUT!$E$2:$E$11000,"Fix")</f>
        <v>2440568</v>
      </c>
      <c r="L512" s="52">
        <f ca="1">SUMIFS(OUT!$F$2:$F$11000,OUT!$H$2:$H$11000,H512,OUT!$D$2:$D$11000,"Out",OUT!$E$2:$E$11000,"Bathroom")</f>
        <v>34500</v>
      </c>
      <c r="M512" s="52">
        <f ca="1">SUMIFS(OUT!$F$2:$F$11000,OUT!$H$2:$H$11000,H512,OUT!$D$2:$D$11000,"Out",OUT!$E$2:$E$11000,"Alfa")</f>
        <v>293800</v>
      </c>
      <c r="N512" s="52" t="e">
        <f ca="1">SUMIFS(OUT!$F$2:$F$11000,OUT!$H$2:$H$101007,H512,OUT!$D$2:$D$11000,"Out",OUT!$E$2:$E$11000,"Jajan")</f>
        <v>#VALUE!</v>
      </c>
      <c r="O512" s="52">
        <f ca="1">SUMIFS(OUT!$F$2:$F$11000,OUT!$H$2:$H$11000,H512,OUT!$D$2:$D$11000,"Out",OUT!$E$2:$E$11000,"Kitchen")</f>
        <v>992724</v>
      </c>
      <c r="P512" s="52">
        <f ca="1">SUMIFS(OUT!$F$2:$F$11000,OUT!$H$2:$H$11000,H512,OUT!$D$2:$D$11000,"Out",OUT!$E$2:$E$11000,"Loandry")</f>
        <v>41600</v>
      </c>
      <c r="Q512" s="52">
        <f ca="1">SUMIFS(OUT!$F$2:$F$11000,OUT!$H$2:$H$11000,H512,OUT!$D$2:$D$11000,"Out",OUT!$E$2:$E$11000,"Mio")</f>
        <v>249000</v>
      </c>
      <c r="R512" s="52">
        <f ca="1">SUMIFS(OUT!$F$2:$F$11000,OUT!$H$2:$H$11000,H512,OUT!$D$2:$D$11000,"Out",OUT!$E$2:$E$11000,"Sedekah")</f>
        <v>129000</v>
      </c>
      <c r="S512" s="52">
        <f ca="1">SUMIFS(OUT!$F$2:$F$11000,OUT!$H$2:$H$11000,H512,OUT!$D$2:$D$11000,"Out",OUT!$E$2:$E$11000,"Zela")</f>
        <v>24100</v>
      </c>
      <c r="T512" s="52">
        <f ca="1">SUMIFS(OUT!$F$2:$F$11000,OUT!$H$2:$H$11000,H512,OUT!$D$2:$D$11000,"Out",OUT!$E$2:$E$11000,"Iqbal")</f>
        <v>121000</v>
      </c>
    </row>
    <row r="513" spans="1:20" x14ac:dyDescent="0.2">
      <c r="A513" s="48">
        <f ca="1">IFERROR(__xludf.DUMMYFUNCTION("""COMPUTED_VALUE"""),46075)</f>
        <v>46075</v>
      </c>
      <c r="B513" s="4" t="str">
        <f ca="1">IFERROR(__xludf.DUMMYFUNCTION("""COMPUTED_VALUE"""),"Susu alfa")</f>
        <v>Susu alfa</v>
      </c>
      <c r="C513" s="4" t="str">
        <f ca="1">IFERROR(__xludf.DUMMYFUNCTION("""COMPUTED_VALUE"""),"ATM")</f>
        <v>ATM</v>
      </c>
      <c r="D513" s="4" t="str">
        <f ca="1">IFERROR(__xludf.DUMMYFUNCTION("""COMPUTED_VALUE"""),"Out")</f>
        <v>Out</v>
      </c>
      <c r="E513" s="4" t="str">
        <f ca="1">IFERROR(__xludf.DUMMYFUNCTION("""COMPUTED_VALUE"""),"Alfa")</f>
        <v>Alfa</v>
      </c>
      <c r="F513" s="49">
        <f ca="1">IFERROR(__xludf.DUMMYFUNCTION("""COMPUTED_VALUE"""),36500)</f>
        <v>36500</v>
      </c>
      <c r="G513" s="50" t="str">
        <f ca="1">IFERROR(__xludf.DUMMYFUNCTION("""COMPUTED_VALUE"""),"Zela")</f>
        <v>Zela</v>
      </c>
      <c r="H513" s="51">
        <f t="shared" ca="1" si="0"/>
        <v>46054</v>
      </c>
      <c r="I513" s="52" t="e">
        <f ca="1">SUMIFS(OUT!$F$2:$F$11000,OUT!$H$2:$H$11000,H513,OUT!$D$2:$D$101007,"In")</f>
        <v>#VALUE!</v>
      </c>
      <c r="J513" s="52">
        <f ca="1">SUMIFS(OUT!$F$2:$F$11000,OUT!$H$2:$H$11000,H513,OUT!$D$2:$D$11000,"Out")</f>
        <v>6908733</v>
      </c>
      <c r="K513" s="52">
        <f ca="1">SUMIFS(OUT!$F$2:$F$11000,OUT!$H$2:$H$11000,H513,OUT!$D$2:$D$11000,"Out",OUT!$E$2:$E$11000,"Fix")</f>
        <v>2440568</v>
      </c>
      <c r="L513" s="52">
        <f ca="1">SUMIFS(OUT!$F$2:$F$11000,OUT!$H$2:$H$11000,H513,OUT!$D$2:$D$11000,"Out",OUT!$E$2:$E$11000,"Bathroom")</f>
        <v>34500</v>
      </c>
      <c r="M513" s="52">
        <f ca="1">SUMIFS(OUT!$F$2:$F$11000,OUT!$H$2:$H$11000,H513,OUT!$D$2:$D$11000,"Out",OUT!$E$2:$E$11000,"Alfa")</f>
        <v>293800</v>
      </c>
      <c r="N513" s="52" t="e">
        <f ca="1">SUMIFS(OUT!$F$2:$F$11000,OUT!$H$2:$H$101007,H513,OUT!$D$2:$D$11000,"Out",OUT!$E$2:$E$11000,"Jajan")</f>
        <v>#VALUE!</v>
      </c>
      <c r="O513" s="52">
        <f ca="1">SUMIFS(OUT!$F$2:$F$11000,OUT!$H$2:$H$11000,H513,OUT!$D$2:$D$11000,"Out",OUT!$E$2:$E$11000,"Kitchen")</f>
        <v>992724</v>
      </c>
      <c r="P513" s="52">
        <f ca="1">SUMIFS(OUT!$F$2:$F$11000,OUT!$H$2:$H$11000,H513,OUT!$D$2:$D$11000,"Out",OUT!$E$2:$E$11000,"Loandry")</f>
        <v>41600</v>
      </c>
      <c r="Q513" s="52">
        <f ca="1">SUMIFS(OUT!$F$2:$F$11000,OUT!$H$2:$H$11000,H513,OUT!$D$2:$D$11000,"Out",OUT!$E$2:$E$11000,"Mio")</f>
        <v>249000</v>
      </c>
      <c r="R513" s="52">
        <f ca="1">SUMIFS(OUT!$F$2:$F$11000,OUT!$H$2:$H$11000,H513,OUT!$D$2:$D$11000,"Out",OUT!$E$2:$E$11000,"Sedekah")</f>
        <v>129000</v>
      </c>
      <c r="S513" s="52">
        <f ca="1">SUMIFS(OUT!$F$2:$F$11000,OUT!$H$2:$H$11000,H513,OUT!$D$2:$D$11000,"Out",OUT!$E$2:$E$11000,"Zela")</f>
        <v>24100</v>
      </c>
      <c r="T513" s="52">
        <f ca="1">SUMIFS(OUT!$F$2:$F$11000,OUT!$H$2:$H$11000,H513,OUT!$D$2:$D$11000,"Out",OUT!$E$2:$E$11000,"Iqbal")</f>
        <v>121000</v>
      </c>
    </row>
    <row r="514" spans="1:20" x14ac:dyDescent="0.2">
      <c r="A514" s="48">
        <f ca="1">IFERROR(__xludf.DUMMYFUNCTION("""COMPUTED_VALUE"""),46075)</f>
        <v>46075</v>
      </c>
      <c r="B514" s="4" t="str">
        <f ca="1">IFERROR(__xludf.DUMMYFUNCTION("""COMPUTED_VALUE"""),"sabun cuci botol")</f>
        <v>sabun cuci botol</v>
      </c>
      <c r="C514" s="4" t="str">
        <f ca="1">IFERROR(__xludf.DUMMYFUNCTION("""COMPUTED_VALUE"""),"ATM")</f>
        <v>ATM</v>
      </c>
      <c r="D514" s="4" t="str">
        <f ca="1">IFERROR(__xludf.DUMMYFUNCTION("""COMPUTED_VALUE"""),"Out")</f>
        <v>Out</v>
      </c>
      <c r="E514" s="4" t="str">
        <f ca="1">IFERROR(__xludf.DUMMYFUNCTION("""COMPUTED_VALUE"""),"Kitchen")</f>
        <v>Kitchen</v>
      </c>
      <c r="F514" s="49">
        <f ca="1">IFERROR(__xludf.DUMMYFUNCTION("""COMPUTED_VALUE"""),23500)</f>
        <v>23500</v>
      </c>
      <c r="G514" s="50" t="str">
        <f ca="1">IFERROR(__xludf.DUMMYFUNCTION("""COMPUTED_VALUE"""),"Zela")</f>
        <v>Zela</v>
      </c>
      <c r="H514" s="51">
        <f t="shared" ca="1" si="0"/>
        <v>46054</v>
      </c>
      <c r="I514" s="52" t="e">
        <f ca="1">SUMIFS(OUT!$F$2:$F$11000,OUT!$H$2:$H$11000,H514,OUT!$D$2:$D$101007,"In")</f>
        <v>#VALUE!</v>
      </c>
      <c r="J514" s="52">
        <f ca="1">SUMIFS(OUT!$F$2:$F$11000,OUT!$H$2:$H$11000,H514,OUT!$D$2:$D$11000,"Out")</f>
        <v>6908733</v>
      </c>
      <c r="K514" s="52">
        <f ca="1">SUMIFS(OUT!$F$2:$F$11000,OUT!$H$2:$H$11000,H514,OUT!$D$2:$D$11000,"Out",OUT!$E$2:$E$11000,"Fix")</f>
        <v>2440568</v>
      </c>
      <c r="L514" s="52">
        <f ca="1">SUMIFS(OUT!$F$2:$F$11000,OUT!$H$2:$H$11000,H514,OUT!$D$2:$D$11000,"Out",OUT!$E$2:$E$11000,"Bathroom")</f>
        <v>34500</v>
      </c>
      <c r="M514" s="52">
        <f ca="1">SUMIFS(OUT!$F$2:$F$11000,OUT!$H$2:$H$11000,H514,OUT!$D$2:$D$11000,"Out",OUT!$E$2:$E$11000,"Alfa")</f>
        <v>293800</v>
      </c>
      <c r="N514" s="52" t="e">
        <f ca="1">SUMIFS(OUT!$F$2:$F$11000,OUT!$H$2:$H$101007,H514,OUT!$D$2:$D$11000,"Out",OUT!$E$2:$E$11000,"Jajan")</f>
        <v>#VALUE!</v>
      </c>
      <c r="O514" s="52">
        <f ca="1">SUMIFS(OUT!$F$2:$F$11000,OUT!$H$2:$H$11000,H514,OUT!$D$2:$D$11000,"Out",OUT!$E$2:$E$11000,"Kitchen")</f>
        <v>992724</v>
      </c>
      <c r="P514" s="52">
        <f ca="1">SUMIFS(OUT!$F$2:$F$11000,OUT!$H$2:$H$11000,H514,OUT!$D$2:$D$11000,"Out",OUT!$E$2:$E$11000,"Loandry")</f>
        <v>41600</v>
      </c>
      <c r="Q514" s="52">
        <f ca="1">SUMIFS(OUT!$F$2:$F$11000,OUT!$H$2:$H$11000,H514,OUT!$D$2:$D$11000,"Out",OUT!$E$2:$E$11000,"Mio")</f>
        <v>249000</v>
      </c>
      <c r="R514" s="52">
        <f ca="1">SUMIFS(OUT!$F$2:$F$11000,OUT!$H$2:$H$11000,H514,OUT!$D$2:$D$11000,"Out",OUT!$E$2:$E$11000,"Sedekah")</f>
        <v>129000</v>
      </c>
      <c r="S514" s="52">
        <f ca="1">SUMIFS(OUT!$F$2:$F$11000,OUT!$H$2:$H$11000,H514,OUT!$D$2:$D$11000,"Out",OUT!$E$2:$E$11000,"Zela")</f>
        <v>24100</v>
      </c>
      <c r="T514" s="52">
        <f ca="1">SUMIFS(OUT!$F$2:$F$11000,OUT!$H$2:$H$11000,H514,OUT!$D$2:$D$11000,"Out",OUT!$E$2:$E$11000,"Iqbal")</f>
        <v>121000</v>
      </c>
    </row>
    <row r="515" spans="1:20" x14ac:dyDescent="0.2">
      <c r="A515" s="48">
        <f ca="1">IFERROR(__xludf.DUMMYFUNCTION("""COMPUTED_VALUE"""),46077)</f>
        <v>46077</v>
      </c>
      <c r="B515" s="4" t="str">
        <f ca="1">IFERROR(__xludf.DUMMYFUNCTION("""COMPUTED_VALUE"""),"Suamiku")</f>
        <v>Suamiku</v>
      </c>
      <c r="C515" s="4" t="str">
        <f ca="1">IFERROR(__xludf.DUMMYFUNCTION("""COMPUTED_VALUE"""),"ATM")</f>
        <v>ATM</v>
      </c>
      <c r="D515" s="4" t="str">
        <f ca="1">IFERROR(__xludf.DUMMYFUNCTION("""COMPUTED_VALUE"""),"In")</f>
        <v>In</v>
      </c>
      <c r="E515" s="4" t="str">
        <f ca="1">IFERROR(__xludf.DUMMYFUNCTION("""COMPUTED_VALUE"""),"Fix")</f>
        <v>Fix</v>
      </c>
      <c r="F515" s="49">
        <f ca="1">IFERROR(__xludf.DUMMYFUNCTION("""COMPUTED_VALUE"""),39000)</f>
        <v>39000</v>
      </c>
      <c r="G515" s="50" t="str">
        <f ca="1">IFERROR(__xludf.DUMMYFUNCTION("""COMPUTED_VALUE"""),"Zela")</f>
        <v>Zela</v>
      </c>
      <c r="H515" s="51">
        <f t="shared" ca="1" si="0"/>
        <v>46054</v>
      </c>
      <c r="I515" s="52" t="e">
        <f ca="1">SUMIFS(OUT!$F$2:$F$11000,OUT!$H$2:$H$11000,H515,OUT!$D$2:$D$101007,"In")</f>
        <v>#VALUE!</v>
      </c>
      <c r="J515" s="52">
        <f ca="1">SUMIFS(OUT!$F$2:$F$11000,OUT!$H$2:$H$11000,H515,OUT!$D$2:$D$11000,"Out")</f>
        <v>6908733</v>
      </c>
      <c r="K515" s="52">
        <f ca="1">SUMIFS(OUT!$F$2:$F$11000,OUT!$H$2:$H$11000,H515,OUT!$D$2:$D$11000,"Out",OUT!$E$2:$E$11000,"Fix")</f>
        <v>2440568</v>
      </c>
      <c r="L515" s="52">
        <f ca="1">SUMIFS(OUT!$F$2:$F$11000,OUT!$H$2:$H$11000,H515,OUT!$D$2:$D$11000,"Out",OUT!$E$2:$E$11000,"Bathroom")</f>
        <v>34500</v>
      </c>
      <c r="M515" s="52">
        <f ca="1">SUMIFS(OUT!$F$2:$F$11000,OUT!$H$2:$H$11000,H515,OUT!$D$2:$D$11000,"Out",OUT!$E$2:$E$11000,"Alfa")</f>
        <v>293800</v>
      </c>
      <c r="N515" s="52" t="e">
        <f ca="1">SUMIFS(OUT!$F$2:$F$11000,OUT!$H$2:$H$101007,H515,OUT!$D$2:$D$11000,"Out",OUT!$E$2:$E$11000,"Jajan")</f>
        <v>#VALUE!</v>
      </c>
      <c r="O515" s="52">
        <f ca="1">SUMIFS(OUT!$F$2:$F$11000,OUT!$H$2:$H$11000,H515,OUT!$D$2:$D$11000,"Out",OUT!$E$2:$E$11000,"Kitchen")</f>
        <v>992724</v>
      </c>
      <c r="P515" s="52">
        <f ca="1">SUMIFS(OUT!$F$2:$F$11000,OUT!$H$2:$H$11000,H515,OUT!$D$2:$D$11000,"Out",OUT!$E$2:$E$11000,"Loandry")</f>
        <v>41600</v>
      </c>
      <c r="Q515" s="52">
        <f ca="1">SUMIFS(OUT!$F$2:$F$11000,OUT!$H$2:$H$11000,H515,OUT!$D$2:$D$11000,"Out",OUT!$E$2:$E$11000,"Mio")</f>
        <v>249000</v>
      </c>
      <c r="R515" s="52">
        <f ca="1">SUMIFS(OUT!$F$2:$F$11000,OUT!$H$2:$H$11000,H515,OUT!$D$2:$D$11000,"Out",OUT!$E$2:$E$11000,"Sedekah")</f>
        <v>129000</v>
      </c>
      <c r="S515" s="52">
        <f ca="1">SUMIFS(OUT!$F$2:$F$11000,OUT!$H$2:$H$11000,H515,OUT!$D$2:$D$11000,"Out",OUT!$E$2:$E$11000,"Zela")</f>
        <v>24100</v>
      </c>
      <c r="T515" s="52">
        <f ca="1">SUMIFS(OUT!$F$2:$F$11000,OUT!$H$2:$H$11000,H515,OUT!$D$2:$D$11000,"Out",OUT!$E$2:$E$11000,"Iqbal")</f>
        <v>121000</v>
      </c>
    </row>
    <row r="516" spans="1:20" x14ac:dyDescent="0.2">
      <c r="A516" s="48">
        <f ca="1">IFERROR(__xludf.DUMMYFUNCTION("""COMPUTED_VALUE"""),46077)</f>
        <v>46077</v>
      </c>
      <c r="B516" s="4" t="str">
        <f ca="1">IFERROR(__xludf.DUMMYFUNCTION("""COMPUTED_VALUE"""),"piscok")</f>
        <v>piscok</v>
      </c>
      <c r="C516" s="4" t="str">
        <f ca="1">IFERROR(__xludf.DUMMYFUNCTION("""COMPUTED_VALUE"""),"Cash")</f>
        <v>Cash</v>
      </c>
      <c r="D516" s="4" t="str">
        <f ca="1">IFERROR(__xludf.DUMMYFUNCTION("""COMPUTED_VALUE"""),"Out")</f>
        <v>Out</v>
      </c>
      <c r="E516" s="4" t="str">
        <f ca="1">IFERROR(__xludf.DUMMYFUNCTION("""COMPUTED_VALUE"""),"Jajan")</f>
        <v>Jajan</v>
      </c>
      <c r="F516" s="49">
        <f ca="1">IFERROR(__xludf.DUMMYFUNCTION("""COMPUTED_VALUE"""),16000)</f>
        <v>16000</v>
      </c>
      <c r="G516" s="50" t="str">
        <f ca="1">IFERROR(__xludf.DUMMYFUNCTION("""COMPUTED_VALUE"""),"Zela")</f>
        <v>Zela</v>
      </c>
      <c r="H516" s="51">
        <f t="shared" ca="1" si="0"/>
        <v>46054</v>
      </c>
      <c r="I516" s="52" t="e">
        <f ca="1">SUMIFS(OUT!$F$2:$F$11000,OUT!$H$2:$H$11000,H516,OUT!$D$2:$D$101007,"In")</f>
        <v>#VALUE!</v>
      </c>
      <c r="J516" s="52">
        <f ca="1">SUMIFS(OUT!$F$2:$F$11000,OUT!$H$2:$H$11000,H516,OUT!$D$2:$D$11000,"Out")</f>
        <v>6908733</v>
      </c>
      <c r="K516" s="52">
        <f ca="1">SUMIFS(OUT!$F$2:$F$11000,OUT!$H$2:$H$11000,H516,OUT!$D$2:$D$11000,"Out",OUT!$E$2:$E$11000,"Fix")</f>
        <v>2440568</v>
      </c>
      <c r="L516" s="52">
        <f ca="1">SUMIFS(OUT!$F$2:$F$11000,OUT!$H$2:$H$11000,H516,OUT!$D$2:$D$11000,"Out",OUT!$E$2:$E$11000,"Bathroom")</f>
        <v>34500</v>
      </c>
      <c r="M516" s="52">
        <f ca="1">SUMIFS(OUT!$F$2:$F$11000,OUT!$H$2:$H$11000,H516,OUT!$D$2:$D$11000,"Out",OUT!$E$2:$E$11000,"Alfa")</f>
        <v>293800</v>
      </c>
      <c r="N516" s="52" t="e">
        <f ca="1">SUMIFS(OUT!$F$2:$F$11000,OUT!$H$2:$H$101007,H516,OUT!$D$2:$D$11000,"Out",OUT!$E$2:$E$11000,"Jajan")</f>
        <v>#VALUE!</v>
      </c>
      <c r="O516" s="52">
        <f ca="1">SUMIFS(OUT!$F$2:$F$11000,OUT!$H$2:$H$11000,H516,OUT!$D$2:$D$11000,"Out",OUT!$E$2:$E$11000,"Kitchen")</f>
        <v>992724</v>
      </c>
      <c r="P516" s="52">
        <f ca="1">SUMIFS(OUT!$F$2:$F$11000,OUT!$H$2:$H$11000,H516,OUT!$D$2:$D$11000,"Out",OUT!$E$2:$E$11000,"Loandry")</f>
        <v>41600</v>
      </c>
      <c r="Q516" s="52">
        <f ca="1">SUMIFS(OUT!$F$2:$F$11000,OUT!$H$2:$H$11000,H516,OUT!$D$2:$D$11000,"Out",OUT!$E$2:$E$11000,"Mio")</f>
        <v>249000</v>
      </c>
      <c r="R516" s="52">
        <f ca="1">SUMIFS(OUT!$F$2:$F$11000,OUT!$H$2:$H$11000,H516,OUT!$D$2:$D$11000,"Out",OUT!$E$2:$E$11000,"Sedekah")</f>
        <v>129000</v>
      </c>
      <c r="S516" s="52">
        <f ca="1">SUMIFS(OUT!$F$2:$F$11000,OUT!$H$2:$H$11000,H516,OUT!$D$2:$D$11000,"Out",OUT!$E$2:$E$11000,"Zela")</f>
        <v>24100</v>
      </c>
      <c r="T516" s="52">
        <f ca="1">SUMIFS(OUT!$F$2:$F$11000,OUT!$H$2:$H$11000,H516,OUT!$D$2:$D$11000,"Out",OUT!$E$2:$E$11000,"Iqbal")</f>
        <v>121000</v>
      </c>
    </row>
    <row r="517" spans="1:20" x14ac:dyDescent="0.2">
      <c r="A517" s="48">
        <f ca="1">IFERROR(__xludf.DUMMYFUNCTION("""COMPUTED_VALUE"""),46077)</f>
        <v>46077</v>
      </c>
      <c r="B517" s="4" t="str">
        <f ca="1">IFERROR(__xludf.DUMMYFUNCTION("""COMPUTED_VALUE"""),"Tarik tunai")</f>
        <v>Tarik tunai</v>
      </c>
      <c r="C517" s="4" t="str">
        <f ca="1">IFERROR(__xludf.DUMMYFUNCTION("""COMPUTED_VALUE"""),"ATM")</f>
        <v>ATM</v>
      </c>
      <c r="D517" s="4" t="str">
        <f ca="1">IFERROR(__xludf.DUMMYFUNCTION("""COMPUTED_VALUE"""),"Out")</f>
        <v>Out</v>
      </c>
      <c r="E517" s="4" t="str">
        <f ca="1">IFERROR(__xludf.DUMMYFUNCTION("""COMPUTED_VALUE"""),"Move")</f>
        <v>Move</v>
      </c>
      <c r="F517" s="49">
        <f ca="1">IFERROR(__xludf.DUMMYFUNCTION("""COMPUTED_VALUE"""),50000)</f>
        <v>50000</v>
      </c>
      <c r="G517" s="50" t="str">
        <f ca="1">IFERROR(__xludf.DUMMYFUNCTION("""COMPUTED_VALUE"""),"Zela")</f>
        <v>Zela</v>
      </c>
      <c r="H517" s="51">
        <f t="shared" ca="1" si="0"/>
        <v>46054</v>
      </c>
      <c r="I517" s="52" t="e">
        <f ca="1">SUMIFS(OUT!$F$2:$F$11000,OUT!$H$2:$H$11000,H517,OUT!$D$2:$D$101007,"In")</f>
        <v>#VALUE!</v>
      </c>
      <c r="J517" s="52">
        <f ca="1">SUMIFS(OUT!$F$2:$F$11000,OUT!$H$2:$H$11000,H517,OUT!$D$2:$D$11000,"Out")</f>
        <v>6908733</v>
      </c>
      <c r="K517" s="52">
        <f ca="1">SUMIFS(OUT!$F$2:$F$11000,OUT!$H$2:$H$11000,H517,OUT!$D$2:$D$11000,"Out",OUT!$E$2:$E$11000,"Fix")</f>
        <v>2440568</v>
      </c>
      <c r="L517" s="52">
        <f ca="1">SUMIFS(OUT!$F$2:$F$11000,OUT!$H$2:$H$11000,H517,OUT!$D$2:$D$11000,"Out",OUT!$E$2:$E$11000,"Bathroom")</f>
        <v>34500</v>
      </c>
      <c r="M517" s="52">
        <f ca="1">SUMIFS(OUT!$F$2:$F$11000,OUT!$H$2:$H$11000,H517,OUT!$D$2:$D$11000,"Out",OUT!$E$2:$E$11000,"Alfa")</f>
        <v>293800</v>
      </c>
      <c r="N517" s="52" t="e">
        <f ca="1">SUMIFS(OUT!$F$2:$F$11000,OUT!$H$2:$H$101007,H517,OUT!$D$2:$D$11000,"Out",OUT!$E$2:$E$11000,"Jajan")</f>
        <v>#VALUE!</v>
      </c>
      <c r="O517" s="52">
        <f ca="1">SUMIFS(OUT!$F$2:$F$11000,OUT!$H$2:$H$11000,H517,OUT!$D$2:$D$11000,"Out",OUT!$E$2:$E$11000,"Kitchen")</f>
        <v>992724</v>
      </c>
      <c r="P517" s="52">
        <f ca="1">SUMIFS(OUT!$F$2:$F$11000,OUT!$H$2:$H$11000,H517,OUT!$D$2:$D$11000,"Out",OUT!$E$2:$E$11000,"Loandry")</f>
        <v>41600</v>
      </c>
      <c r="Q517" s="52">
        <f ca="1">SUMIFS(OUT!$F$2:$F$11000,OUT!$H$2:$H$11000,H517,OUT!$D$2:$D$11000,"Out",OUT!$E$2:$E$11000,"Mio")</f>
        <v>249000</v>
      </c>
      <c r="R517" s="52">
        <f ca="1">SUMIFS(OUT!$F$2:$F$11000,OUT!$H$2:$H$11000,H517,OUT!$D$2:$D$11000,"Out",OUT!$E$2:$E$11000,"Sedekah")</f>
        <v>129000</v>
      </c>
      <c r="S517" s="52">
        <f ca="1">SUMIFS(OUT!$F$2:$F$11000,OUT!$H$2:$H$11000,H517,OUT!$D$2:$D$11000,"Out",OUT!$E$2:$E$11000,"Zela")</f>
        <v>24100</v>
      </c>
      <c r="T517" s="52">
        <f ca="1">SUMIFS(OUT!$F$2:$F$11000,OUT!$H$2:$H$11000,H517,OUT!$D$2:$D$11000,"Out",OUT!$E$2:$E$11000,"Iqbal")</f>
        <v>121000</v>
      </c>
    </row>
    <row r="518" spans="1:20" x14ac:dyDescent="0.2">
      <c r="A518" s="48">
        <f ca="1">IFERROR(__xludf.DUMMYFUNCTION("""COMPUTED_VALUE"""),46077)</f>
        <v>46077</v>
      </c>
      <c r="B518" s="4" t="str">
        <f ca="1">IFERROR(__xludf.DUMMYFUNCTION("""COMPUTED_VALUE"""),"Terima Tunai")</f>
        <v>Terima Tunai</v>
      </c>
      <c r="C518" s="4" t="str">
        <f ca="1">IFERROR(__xludf.DUMMYFUNCTION("""COMPUTED_VALUE"""),"Cash")</f>
        <v>Cash</v>
      </c>
      <c r="D518" s="4" t="str">
        <f ca="1">IFERROR(__xludf.DUMMYFUNCTION("""COMPUTED_VALUE"""),"In")</f>
        <v>In</v>
      </c>
      <c r="E518" s="4" t="str">
        <f ca="1">IFERROR(__xludf.DUMMYFUNCTION("""COMPUTED_VALUE"""),"Move")</f>
        <v>Move</v>
      </c>
      <c r="F518" s="49">
        <f ca="1">IFERROR(__xludf.DUMMYFUNCTION("""COMPUTED_VALUE"""),50000)</f>
        <v>50000</v>
      </c>
      <c r="G518" s="50" t="str">
        <f ca="1">IFERROR(__xludf.DUMMYFUNCTION("""COMPUTED_VALUE"""),"Zela")</f>
        <v>Zela</v>
      </c>
      <c r="H518" s="51">
        <f t="shared" ca="1" si="0"/>
        <v>46054</v>
      </c>
      <c r="I518" s="52" t="e">
        <f ca="1">SUMIFS(OUT!$F$2:$F$11000,OUT!$H$2:$H$11000,H518,OUT!$D$2:$D$101007,"In")</f>
        <v>#VALUE!</v>
      </c>
      <c r="J518" s="52">
        <f ca="1">SUMIFS(OUT!$F$2:$F$11000,OUT!$H$2:$H$11000,H518,OUT!$D$2:$D$11000,"Out")</f>
        <v>6908733</v>
      </c>
      <c r="K518" s="52">
        <f ca="1">SUMIFS(OUT!$F$2:$F$11000,OUT!$H$2:$H$11000,H518,OUT!$D$2:$D$11000,"Out",OUT!$E$2:$E$11000,"Fix")</f>
        <v>2440568</v>
      </c>
      <c r="L518" s="52">
        <f ca="1">SUMIFS(OUT!$F$2:$F$11000,OUT!$H$2:$H$11000,H518,OUT!$D$2:$D$11000,"Out",OUT!$E$2:$E$11000,"Bathroom")</f>
        <v>34500</v>
      </c>
      <c r="M518" s="52">
        <f ca="1">SUMIFS(OUT!$F$2:$F$11000,OUT!$H$2:$H$11000,H518,OUT!$D$2:$D$11000,"Out",OUT!$E$2:$E$11000,"Alfa")</f>
        <v>293800</v>
      </c>
      <c r="N518" s="52" t="e">
        <f ca="1">SUMIFS(OUT!$F$2:$F$11000,OUT!$H$2:$H$101007,H518,OUT!$D$2:$D$11000,"Out",OUT!$E$2:$E$11000,"Jajan")</f>
        <v>#VALUE!</v>
      </c>
      <c r="O518" s="52">
        <f ca="1">SUMIFS(OUT!$F$2:$F$11000,OUT!$H$2:$H$11000,H518,OUT!$D$2:$D$11000,"Out",OUT!$E$2:$E$11000,"Kitchen")</f>
        <v>992724</v>
      </c>
      <c r="P518" s="52">
        <f ca="1">SUMIFS(OUT!$F$2:$F$11000,OUT!$H$2:$H$11000,H518,OUT!$D$2:$D$11000,"Out",OUT!$E$2:$E$11000,"Loandry")</f>
        <v>41600</v>
      </c>
      <c r="Q518" s="52">
        <f ca="1">SUMIFS(OUT!$F$2:$F$11000,OUT!$H$2:$H$11000,H518,OUT!$D$2:$D$11000,"Out",OUT!$E$2:$E$11000,"Mio")</f>
        <v>249000</v>
      </c>
      <c r="R518" s="52">
        <f ca="1">SUMIFS(OUT!$F$2:$F$11000,OUT!$H$2:$H$11000,H518,OUT!$D$2:$D$11000,"Out",OUT!$E$2:$E$11000,"Sedekah")</f>
        <v>129000</v>
      </c>
      <c r="S518" s="52">
        <f ca="1">SUMIFS(OUT!$F$2:$F$11000,OUT!$H$2:$H$11000,H518,OUT!$D$2:$D$11000,"Out",OUT!$E$2:$E$11000,"Zela")</f>
        <v>24100</v>
      </c>
      <c r="T518" s="52">
        <f ca="1">SUMIFS(OUT!$F$2:$F$11000,OUT!$H$2:$H$11000,H518,OUT!$D$2:$D$11000,"Out",OUT!$E$2:$E$11000,"Iqbal")</f>
        <v>121000</v>
      </c>
    </row>
    <row r="519" spans="1:20" x14ac:dyDescent="0.2">
      <c r="A519" s="48">
        <f ca="1">IFERROR(__xludf.DUMMYFUNCTION("""COMPUTED_VALUE"""),46076)</f>
        <v>46076</v>
      </c>
      <c r="B519" s="4" t="str">
        <f ca="1">IFERROR(__xludf.DUMMYFUNCTION("""COMPUTED_VALUE"""),"Paket by.u 7")</f>
        <v>Paket by.u 7</v>
      </c>
      <c r="C519" s="4" t="str">
        <f ca="1">IFERROR(__xludf.DUMMYFUNCTION("""COMPUTED_VALUE"""),"ATM")</f>
        <v>ATM</v>
      </c>
      <c r="D519" s="4" t="str">
        <f ca="1">IFERROR(__xludf.DUMMYFUNCTION("""COMPUTED_VALUE"""),"Out")</f>
        <v>Out</v>
      </c>
      <c r="E519" s="4" t="str">
        <f ca="1">IFERROR(__xludf.DUMMYFUNCTION("""COMPUTED_VALUE"""),"Fix")</f>
        <v>Fix</v>
      </c>
      <c r="F519" s="49">
        <f ca="1">IFERROR(__xludf.DUMMYFUNCTION("""COMPUTED_VALUE"""),15000)</f>
        <v>15000</v>
      </c>
      <c r="G519" s="50" t="str">
        <f ca="1">IFERROR(__xludf.DUMMYFUNCTION("""COMPUTED_VALUE"""),"Zela")</f>
        <v>Zela</v>
      </c>
      <c r="H519" s="51">
        <f t="shared" ca="1" si="0"/>
        <v>46054</v>
      </c>
      <c r="I519" s="52" t="e">
        <f ca="1">SUMIFS(OUT!$F$2:$F$11000,OUT!$H$2:$H$11000,H519,OUT!$D$2:$D$101007,"In")</f>
        <v>#VALUE!</v>
      </c>
      <c r="J519" s="52">
        <f ca="1">SUMIFS(OUT!$F$2:$F$11000,OUT!$H$2:$H$11000,H519,OUT!$D$2:$D$11000,"Out")</f>
        <v>6908733</v>
      </c>
      <c r="K519" s="52">
        <f ca="1">SUMIFS(OUT!$F$2:$F$11000,OUT!$H$2:$H$11000,H519,OUT!$D$2:$D$11000,"Out",OUT!$E$2:$E$11000,"Fix")</f>
        <v>2440568</v>
      </c>
      <c r="L519" s="52">
        <f ca="1">SUMIFS(OUT!$F$2:$F$11000,OUT!$H$2:$H$11000,H519,OUT!$D$2:$D$11000,"Out",OUT!$E$2:$E$11000,"Bathroom")</f>
        <v>34500</v>
      </c>
      <c r="M519" s="52">
        <f ca="1">SUMIFS(OUT!$F$2:$F$11000,OUT!$H$2:$H$11000,H519,OUT!$D$2:$D$11000,"Out",OUT!$E$2:$E$11000,"Alfa")</f>
        <v>293800</v>
      </c>
      <c r="N519" s="52" t="e">
        <f ca="1">SUMIFS(OUT!$F$2:$F$11000,OUT!$H$2:$H$101007,H519,OUT!$D$2:$D$11000,"Out",OUT!$E$2:$E$11000,"Jajan")</f>
        <v>#VALUE!</v>
      </c>
      <c r="O519" s="52">
        <f ca="1">SUMIFS(OUT!$F$2:$F$11000,OUT!$H$2:$H$11000,H519,OUT!$D$2:$D$11000,"Out",OUT!$E$2:$E$11000,"Kitchen")</f>
        <v>992724</v>
      </c>
      <c r="P519" s="52">
        <f ca="1">SUMIFS(OUT!$F$2:$F$11000,OUT!$H$2:$H$11000,H519,OUT!$D$2:$D$11000,"Out",OUT!$E$2:$E$11000,"Loandry")</f>
        <v>41600</v>
      </c>
      <c r="Q519" s="52">
        <f ca="1">SUMIFS(OUT!$F$2:$F$11000,OUT!$H$2:$H$11000,H519,OUT!$D$2:$D$11000,"Out",OUT!$E$2:$E$11000,"Mio")</f>
        <v>249000</v>
      </c>
      <c r="R519" s="52">
        <f ca="1">SUMIFS(OUT!$F$2:$F$11000,OUT!$H$2:$H$11000,H519,OUT!$D$2:$D$11000,"Out",OUT!$E$2:$E$11000,"Sedekah")</f>
        <v>129000</v>
      </c>
      <c r="S519" s="52">
        <f ca="1">SUMIFS(OUT!$F$2:$F$11000,OUT!$H$2:$H$11000,H519,OUT!$D$2:$D$11000,"Out",OUT!$E$2:$E$11000,"Zela")</f>
        <v>24100</v>
      </c>
      <c r="T519" s="52">
        <f ca="1">SUMIFS(OUT!$F$2:$F$11000,OUT!$H$2:$H$11000,H519,OUT!$D$2:$D$11000,"Out",OUT!$E$2:$E$11000,"Iqbal")</f>
        <v>121000</v>
      </c>
    </row>
    <row r="520" spans="1:20" x14ac:dyDescent="0.2">
      <c r="A520" s="48">
        <f ca="1">IFERROR(__xludf.DUMMYFUNCTION("""COMPUTED_VALUE"""),46078)</f>
        <v>46078</v>
      </c>
      <c r="B520" s="4" t="str">
        <f ca="1">IFERROR(__xludf.DUMMYFUNCTION("""COMPUTED_VALUE"""),"Paket by.u baba")</f>
        <v>Paket by.u baba</v>
      </c>
      <c r="C520" s="4" t="str">
        <f ca="1">IFERROR(__xludf.DUMMYFUNCTION("""COMPUTED_VALUE"""),"ATM")</f>
        <v>ATM</v>
      </c>
      <c r="D520" s="4" t="str">
        <f ca="1">IFERROR(__xludf.DUMMYFUNCTION("""COMPUTED_VALUE"""),"Out")</f>
        <v>Out</v>
      </c>
      <c r="E520" s="4" t="str">
        <f ca="1">IFERROR(__xludf.DUMMYFUNCTION("""COMPUTED_VALUE"""),"Fix")</f>
        <v>Fix</v>
      </c>
      <c r="F520" s="49">
        <f ca="1">IFERROR(__xludf.DUMMYFUNCTION("""COMPUTED_VALUE"""),15000)</f>
        <v>15000</v>
      </c>
      <c r="G520" s="50" t="str">
        <f ca="1">IFERROR(__xludf.DUMMYFUNCTION("""COMPUTED_VALUE"""),"Zela")</f>
        <v>Zela</v>
      </c>
      <c r="H520" s="51">
        <f t="shared" ca="1" si="0"/>
        <v>46054</v>
      </c>
      <c r="I520" s="52" t="e">
        <f ca="1">SUMIFS(OUT!$F$2:$F$11000,OUT!$H$2:$H$11000,H520,OUT!$D$2:$D$101007,"In")</f>
        <v>#VALUE!</v>
      </c>
      <c r="J520" s="52">
        <f ca="1">SUMIFS(OUT!$F$2:$F$11000,OUT!$H$2:$H$11000,H520,OUT!$D$2:$D$11000,"Out")</f>
        <v>6908733</v>
      </c>
      <c r="K520" s="52">
        <f ca="1">SUMIFS(OUT!$F$2:$F$11000,OUT!$H$2:$H$11000,H520,OUT!$D$2:$D$11000,"Out",OUT!$E$2:$E$11000,"Fix")</f>
        <v>2440568</v>
      </c>
      <c r="L520" s="52">
        <f ca="1">SUMIFS(OUT!$F$2:$F$11000,OUT!$H$2:$H$11000,H520,OUT!$D$2:$D$11000,"Out",OUT!$E$2:$E$11000,"Bathroom")</f>
        <v>34500</v>
      </c>
      <c r="M520" s="52">
        <f ca="1">SUMIFS(OUT!$F$2:$F$11000,OUT!$H$2:$H$11000,H520,OUT!$D$2:$D$11000,"Out",OUT!$E$2:$E$11000,"Alfa")</f>
        <v>293800</v>
      </c>
      <c r="N520" s="52" t="e">
        <f ca="1">SUMIFS(OUT!$F$2:$F$11000,OUT!$H$2:$H$101007,H520,OUT!$D$2:$D$11000,"Out",OUT!$E$2:$E$11000,"Jajan")</f>
        <v>#VALUE!</v>
      </c>
      <c r="O520" s="52">
        <f ca="1">SUMIFS(OUT!$F$2:$F$11000,OUT!$H$2:$H$11000,H520,OUT!$D$2:$D$11000,"Out",OUT!$E$2:$E$11000,"Kitchen")</f>
        <v>992724</v>
      </c>
      <c r="P520" s="52">
        <f ca="1">SUMIFS(OUT!$F$2:$F$11000,OUT!$H$2:$H$11000,H520,OUT!$D$2:$D$11000,"Out",OUT!$E$2:$E$11000,"Loandry")</f>
        <v>41600</v>
      </c>
      <c r="Q520" s="52">
        <f ca="1">SUMIFS(OUT!$F$2:$F$11000,OUT!$H$2:$H$11000,H520,OUT!$D$2:$D$11000,"Out",OUT!$E$2:$E$11000,"Mio")</f>
        <v>249000</v>
      </c>
      <c r="R520" s="52">
        <f ca="1">SUMIFS(OUT!$F$2:$F$11000,OUT!$H$2:$H$11000,H520,OUT!$D$2:$D$11000,"Out",OUT!$E$2:$E$11000,"Sedekah")</f>
        <v>129000</v>
      </c>
      <c r="S520" s="52">
        <f ca="1">SUMIFS(OUT!$F$2:$F$11000,OUT!$H$2:$H$11000,H520,OUT!$D$2:$D$11000,"Out",OUT!$E$2:$E$11000,"Zela")</f>
        <v>24100</v>
      </c>
      <c r="T520" s="52">
        <f ca="1">SUMIFS(OUT!$F$2:$F$11000,OUT!$H$2:$H$11000,H520,OUT!$D$2:$D$11000,"Out",OUT!$E$2:$E$11000,"Iqbal")</f>
        <v>121000</v>
      </c>
    </row>
    <row r="521" spans="1:20" x14ac:dyDescent="0.2">
      <c r="A521" s="48">
        <f ca="1">IFERROR(__xludf.DUMMYFUNCTION("""COMPUTED_VALUE"""),46078)</f>
        <v>46078</v>
      </c>
      <c r="B521" s="4" t="str">
        <f ca="1">IFERROR(__xludf.DUMMYFUNCTION("""COMPUTED_VALUE"""),"Sisa Saldo shopee")</f>
        <v>Sisa Saldo shopee</v>
      </c>
      <c r="C521" s="4" t="str">
        <f ca="1">IFERROR(__xludf.DUMMYFUNCTION("""COMPUTED_VALUE"""),"ATM")</f>
        <v>ATM</v>
      </c>
      <c r="D521" s="4" t="str">
        <f ca="1">IFERROR(__xludf.DUMMYFUNCTION("""COMPUTED_VALUE"""),"In")</f>
        <v>In</v>
      </c>
      <c r="E521" s="4" t="str">
        <f ca="1">IFERROR(__xludf.DUMMYFUNCTION("""COMPUTED_VALUE"""),"Move")</f>
        <v>Move</v>
      </c>
      <c r="F521" s="49">
        <f ca="1">IFERROR(__xludf.DUMMYFUNCTION("""COMPUTED_VALUE"""),6100)</f>
        <v>6100</v>
      </c>
      <c r="G521" s="50" t="str">
        <f ca="1">IFERROR(__xludf.DUMMYFUNCTION("""COMPUTED_VALUE"""),"Zela")</f>
        <v>Zela</v>
      </c>
      <c r="H521" s="51">
        <f t="shared" ca="1" si="0"/>
        <v>46054</v>
      </c>
      <c r="I521" s="52" t="e">
        <f ca="1">SUMIFS(OUT!$F$2:$F$11000,OUT!$H$2:$H$11000,H521,OUT!$D$2:$D$101007,"In")</f>
        <v>#VALUE!</v>
      </c>
      <c r="J521" s="52">
        <f ca="1">SUMIFS(OUT!$F$2:$F$11000,OUT!$H$2:$H$11000,H521,OUT!$D$2:$D$11000,"Out")</f>
        <v>6908733</v>
      </c>
      <c r="K521" s="52">
        <f ca="1">SUMIFS(OUT!$F$2:$F$11000,OUT!$H$2:$H$11000,H521,OUT!$D$2:$D$11000,"Out",OUT!$E$2:$E$11000,"Fix")</f>
        <v>2440568</v>
      </c>
      <c r="L521" s="52">
        <f ca="1">SUMIFS(OUT!$F$2:$F$11000,OUT!$H$2:$H$11000,H521,OUT!$D$2:$D$11000,"Out",OUT!$E$2:$E$11000,"Bathroom")</f>
        <v>34500</v>
      </c>
      <c r="M521" s="52">
        <f ca="1">SUMIFS(OUT!$F$2:$F$11000,OUT!$H$2:$H$11000,H521,OUT!$D$2:$D$11000,"Out",OUT!$E$2:$E$11000,"Alfa")</f>
        <v>293800</v>
      </c>
      <c r="N521" s="52" t="e">
        <f ca="1">SUMIFS(OUT!$F$2:$F$11000,OUT!$H$2:$H$101007,H521,OUT!$D$2:$D$11000,"Out",OUT!$E$2:$E$11000,"Jajan")</f>
        <v>#VALUE!</v>
      </c>
      <c r="O521" s="52">
        <f ca="1">SUMIFS(OUT!$F$2:$F$11000,OUT!$H$2:$H$11000,H521,OUT!$D$2:$D$11000,"Out",OUT!$E$2:$E$11000,"Kitchen")</f>
        <v>992724</v>
      </c>
      <c r="P521" s="52">
        <f ca="1">SUMIFS(OUT!$F$2:$F$11000,OUT!$H$2:$H$11000,H521,OUT!$D$2:$D$11000,"Out",OUT!$E$2:$E$11000,"Loandry")</f>
        <v>41600</v>
      </c>
      <c r="Q521" s="52">
        <f ca="1">SUMIFS(OUT!$F$2:$F$11000,OUT!$H$2:$H$11000,H521,OUT!$D$2:$D$11000,"Out",OUT!$E$2:$E$11000,"Mio")</f>
        <v>249000</v>
      </c>
      <c r="R521" s="52">
        <f ca="1">SUMIFS(OUT!$F$2:$F$11000,OUT!$H$2:$H$11000,H521,OUT!$D$2:$D$11000,"Out",OUT!$E$2:$E$11000,"Sedekah")</f>
        <v>129000</v>
      </c>
      <c r="S521" s="52">
        <f ca="1">SUMIFS(OUT!$F$2:$F$11000,OUT!$H$2:$H$11000,H521,OUT!$D$2:$D$11000,"Out",OUT!$E$2:$E$11000,"Zela")</f>
        <v>24100</v>
      </c>
      <c r="T521" s="52">
        <f ca="1">SUMIFS(OUT!$F$2:$F$11000,OUT!$H$2:$H$11000,H521,OUT!$D$2:$D$11000,"Out",OUT!$E$2:$E$11000,"Iqbal")</f>
        <v>121000</v>
      </c>
    </row>
    <row r="522" spans="1:20" x14ac:dyDescent="0.2">
      <c r="A522" s="48">
        <f ca="1">IFERROR(__xludf.DUMMYFUNCTION("""COMPUTED_VALUE"""),46078)</f>
        <v>46078</v>
      </c>
      <c r="B522" s="4" t="str">
        <f ca="1">IFERROR(__xludf.DUMMYFUNCTION("""COMPUTED_VALUE"""),"Paket by.u 8")</f>
        <v>Paket by.u 8</v>
      </c>
      <c r="C522" s="4" t="str">
        <f ca="1">IFERROR(__xludf.DUMMYFUNCTION("""COMPUTED_VALUE"""),"ATM")</f>
        <v>ATM</v>
      </c>
      <c r="D522" s="4" t="str">
        <f ca="1">IFERROR(__xludf.DUMMYFUNCTION("""COMPUTED_VALUE"""),"Out")</f>
        <v>Out</v>
      </c>
      <c r="E522" s="4" t="str">
        <f ca="1">IFERROR(__xludf.DUMMYFUNCTION("""COMPUTED_VALUE"""),"Fix")</f>
        <v>Fix</v>
      </c>
      <c r="F522" s="49">
        <f ca="1">IFERROR(__xludf.DUMMYFUNCTION("""COMPUTED_VALUE"""),15000)</f>
        <v>15000</v>
      </c>
      <c r="G522" s="50" t="str">
        <f ca="1">IFERROR(__xludf.DUMMYFUNCTION("""COMPUTED_VALUE"""),"Zela")</f>
        <v>Zela</v>
      </c>
      <c r="H522" s="51">
        <f t="shared" ca="1" si="0"/>
        <v>46054</v>
      </c>
      <c r="I522" s="52" t="e">
        <f ca="1">SUMIFS(OUT!$F$2:$F$11000,OUT!$H$2:$H$11000,H522,OUT!$D$2:$D$101007,"In")</f>
        <v>#VALUE!</v>
      </c>
      <c r="J522" s="52">
        <f ca="1">SUMIFS(OUT!$F$2:$F$11000,OUT!$H$2:$H$11000,H522,OUT!$D$2:$D$11000,"Out")</f>
        <v>6908733</v>
      </c>
      <c r="K522" s="52">
        <f ca="1">SUMIFS(OUT!$F$2:$F$11000,OUT!$H$2:$H$11000,H522,OUT!$D$2:$D$11000,"Out",OUT!$E$2:$E$11000,"Fix")</f>
        <v>2440568</v>
      </c>
      <c r="L522" s="52">
        <f ca="1">SUMIFS(OUT!$F$2:$F$11000,OUT!$H$2:$H$11000,H522,OUT!$D$2:$D$11000,"Out",OUT!$E$2:$E$11000,"Bathroom")</f>
        <v>34500</v>
      </c>
      <c r="M522" s="52">
        <f ca="1">SUMIFS(OUT!$F$2:$F$11000,OUT!$H$2:$H$11000,H522,OUT!$D$2:$D$11000,"Out",OUT!$E$2:$E$11000,"Alfa")</f>
        <v>293800</v>
      </c>
      <c r="N522" s="52" t="e">
        <f ca="1">SUMIFS(OUT!$F$2:$F$11000,OUT!$H$2:$H$101007,H522,OUT!$D$2:$D$11000,"Out",OUT!$E$2:$E$11000,"Jajan")</f>
        <v>#VALUE!</v>
      </c>
      <c r="O522" s="52">
        <f ca="1">SUMIFS(OUT!$F$2:$F$11000,OUT!$H$2:$H$11000,H522,OUT!$D$2:$D$11000,"Out",OUT!$E$2:$E$11000,"Kitchen")</f>
        <v>992724</v>
      </c>
      <c r="P522" s="52">
        <f ca="1">SUMIFS(OUT!$F$2:$F$11000,OUT!$H$2:$H$11000,H522,OUT!$D$2:$D$11000,"Out",OUT!$E$2:$E$11000,"Loandry")</f>
        <v>41600</v>
      </c>
      <c r="Q522" s="52">
        <f ca="1">SUMIFS(OUT!$F$2:$F$11000,OUT!$H$2:$H$11000,H522,OUT!$D$2:$D$11000,"Out",OUT!$E$2:$E$11000,"Mio")</f>
        <v>249000</v>
      </c>
      <c r="R522" s="52">
        <f ca="1">SUMIFS(OUT!$F$2:$F$11000,OUT!$H$2:$H$11000,H522,OUT!$D$2:$D$11000,"Out",OUT!$E$2:$E$11000,"Sedekah")</f>
        <v>129000</v>
      </c>
      <c r="S522" s="52">
        <f ca="1">SUMIFS(OUT!$F$2:$F$11000,OUT!$H$2:$H$11000,H522,OUT!$D$2:$D$11000,"Out",OUT!$E$2:$E$11000,"Zela")</f>
        <v>24100</v>
      </c>
      <c r="T522" s="52">
        <f ca="1">SUMIFS(OUT!$F$2:$F$11000,OUT!$H$2:$H$11000,H522,OUT!$D$2:$D$11000,"Out",OUT!$E$2:$E$11000,"Iqbal")</f>
        <v>121000</v>
      </c>
    </row>
    <row r="523" spans="1:20" x14ac:dyDescent="0.2">
      <c r="A523" s="48">
        <f ca="1">IFERROR(__xludf.DUMMYFUNCTION("""COMPUTED_VALUE"""),46079)</f>
        <v>46079</v>
      </c>
      <c r="B523" s="4" t="str">
        <f ca="1">IFERROR(__xludf.DUMMYFUNCTION("""COMPUTED_VALUE"""),"Biar saldo pas, IN = (OUT+ATM+Cash)")</f>
        <v>Biar saldo pas, IN = (OUT+ATM+Cash)</v>
      </c>
      <c r="C523" s="4" t="str">
        <f ca="1">IFERROR(__xludf.DUMMYFUNCTION("""COMPUTED_VALUE"""),"*****")</f>
        <v>*****</v>
      </c>
      <c r="D523" s="4" t="str">
        <f ca="1">IFERROR(__xludf.DUMMYFUNCTION("""COMPUTED_VALUE"""),"Out")</f>
        <v>Out</v>
      </c>
      <c r="E523" s="4" t="str">
        <f ca="1">IFERROR(__xludf.DUMMYFUNCTION("""COMPUTED_VALUE"""),"Kitchen")</f>
        <v>Kitchen</v>
      </c>
      <c r="F523" s="49">
        <f ca="1">IFERROR(__xludf.DUMMYFUNCTION("""COMPUTED_VALUE"""),-6486)</f>
        <v>-6486</v>
      </c>
      <c r="G523" s="50" t="str">
        <f ca="1">IFERROR(__xludf.DUMMYFUNCTION("""COMPUTED_VALUE"""),"Zela")</f>
        <v>Zela</v>
      </c>
      <c r="H523" s="51">
        <f t="shared" ca="1" si="0"/>
        <v>46054</v>
      </c>
      <c r="I523" s="52" t="e">
        <f ca="1">SUMIFS(OUT!$F$2:$F$11000,OUT!$H$2:$H$11000,H523,OUT!$D$2:$D$101007,"In")</f>
        <v>#VALUE!</v>
      </c>
      <c r="J523" s="52">
        <f ca="1">SUMIFS(OUT!$F$2:$F$11000,OUT!$H$2:$H$11000,H523,OUT!$D$2:$D$11000,"Out")</f>
        <v>6908733</v>
      </c>
      <c r="K523" s="52">
        <f ca="1">SUMIFS(OUT!$F$2:$F$11000,OUT!$H$2:$H$11000,H523,OUT!$D$2:$D$11000,"Out",OUT!$E$2:$E$11000,"Fix")</f>
        <v>2440568</v>
      </c>
      <c r="L523" s="52">
        <f ca="1">SUMIFS(OUT!$F$2:$F$11000,OUT!$H$2:$H$11000,H523,OUT!$D$2:$D$11000,"Out",OUT!$E$2:$E$11000,"Bathroom")</f>
        <v>34500</v>
      </c>
      <c r="M523" s="52">
        <f ca="1">SUMIFS(OUT!$F$2:$F$11000,OUT!$H$2:$H$11000,H523,OUT!$D$2:$D$11000,"Out",OUT!$E$2:$E$11000,"Alfa")</f>
        <v>293800</v>
      </c>
      <c r="N523" s="52" t="e">
        <f ca="1">SUMIFS(OUT!$F$2:$F$11000,OUT!$H$2:$H$101007,H523,OUT!$D$2:$D$11000,"Out",OUT!$E$2:$E$11000,"Jajan")</f>
        <v>#VALUE!</v>
      </c>
      <c r="O523" s="52">
        <f ca="1">SUMIFS(OUT!$F$2:$F$11000,OUT!$H$2:$H$11000,H523,OUT!$D$2:$D$11000,"Out",OUT!$E$2:$E$11000,"Kitchen")</f>
        <v>992724</v>
      </c>
      <c r="P523" s="52">
        <f ca="1">SUMIFS(OUT!$F$2:$F$11000,OUT!$H$2:$H$11000,H523,OUT!$D$2:$D$11000,"Out",OUT!$E$2:$E$11000,"Loandry")</f>
        <v>41600</v>
      </c>
      <c r="Q523" s="52">
        <f ca="1">SUMIFS(OUT!$F$2:$F$11000,OUT!$H$2:$H$11000,H523,OUT!$D$2:$D$11000,"Out",OUT!$E$2:$E$11000,"Mio")</f>
        <v>249000</v>
      </c>
      <c r="R523" s="52">
        <f ca="1">SUMIFS(OUT!$F$2:$F$11000,OUT!$H$2:$H$11000,H523,OUT!$D$2:$D$11000,"Out",OUT!$E$2:$E$11000,"Sedekah")</f>
        <v>129000</v>
      </c>
      <c r="S523" s="52">
        <f ca="1">SUMIFS(OUT!$F$2:$F$11000,OUT!$H$2:$H$11000,H523,OUT!$D$2:$D$11000,"Out",OUT!$E$2:$E$11000,"Zela")</f>
        <v>24100</v>
      </c>
      <c r="T523" s="52">
        <f ca="1">SUMIFS(OUT!$F$2:$F$11000,OUT!$H$2:$H$11000,H523,OUT!$D$2:$D$11000,"Out",OUT!$E$2:$E$11000,"Iqbal")</f>
        <v>121000</v>
      </c>
    </row>
    <row r="524" spans="1:20" x14ac:dyDescent="0.2">
      <c r="A524" s="48">
        <f ca="1">IFERROR(__xludf.DUMMYFUNCTION("""COMPUTED_VALUE"""),46079)</f>
        <v>46079</v>
      </c>
      <c r="B524" s="4" t="str">
        <f ca="1">IFERROR(__xludf.DUMMYFUNCTION("""COMPUTED_VALUE"""),"Suamiku")</f>
        <v>Suamiku</v>
      </c>
      <c r="C524" s="4" t="str">
        <f ca="1">IFERROR(__xludf.DUMMYFUNCTION("""COMPUTED_VALUE"""),"Cash")</f>
        <v>Cash</v>
      </c>
      <c r="D524" s="4" t="str">
        <f ca="1">IFERROR(__xludf.DUMMYFUNCTION("""COMPUTED_VALUE"""),"Out")</f>
        <v>Out</v>
      </c>
      <c r="E524" s="4" t="str">
        <f ca="1">IFERROR(__xludf.DUMMYFUNCTION("""COMPUTED_VALUE"""),"Move")</f>
        <v>Move</v>
      </c>
      <c r="F524" s="49">
        <f ca="1">IFERROR(__xludf.DUMMYFUNCTION("""COMPUTED_VALUE"""),10000)</f>
        <v>10000</v>
      </c>
      <c r="G524" s="50" t="str">
        <f ca="1">IFERROR(__xludf.DUMMYFUNCTION("""COMPUTED_VALUE"""),"Zela")</f>
        <v>Zela</v>
      </c>
      <c r="H524" s="51">
        <f t="shared" ca="1" si="0"/>
        <v>46054</v>
      </c>
      <c r="I524" s="52" t="e">
        <f ca="1">SUMIFS(OUT!$F$2:$F$11000,OUT!$H$2:$H$11000,H524,OUT!$D$2:$D$101007,"In")</f>
        <v>#VALUE!</v>
      </c>
      <c r="J524" s="52">
        <f ca="1">SUMIFS(OUT!$F$2:$F$11000,OUT!$H$2:$H$11000,H524,OUT!$D$2:$D$11000,"Out")</f>
        <v>6908733</v>
      </c>
      <c r="K524" s="52">
        <f ca="1">SUMIFS(OUT!$F$2:$F$11000,OUT!$H$2:$H$11000,H524,OUT!$D$2:$D$11000,"Out",OUT!$E$2:$E$11000,"Fix")</f>
        <v>2440568</v>
      </c>
      <c r="L524" s="52">
        <f ca="1">SUMIFS(OUT!$F$2:$F$11000,OUT!$H$2:$H$11000,H524,OUT!$D$2:$D$11000,"Out",OUT!$E$2:$E$11000,"Bathroom")</f>
        <v>34500</v>
      </c>
      <c r="M524" s="52">
        <f ca="1">SUMIFS(OUT!$F$2:$F$11000,OUT!$H$2:$H$11000,H524,OUT!$D$2:$D$11000,"Out",OUT!$E$2:$E$11000,"Alfa")</f>
        <v>293800</v>
      </c>
      <c r="N524" s="52" t="e">
        <f ca="1">SUMIFS(OUT!$F$2:$F$11000,OUT!$H$2:$H$101007,H524,OUT!$D$2:$D$11000,"Out",OUT!$E$2:$E$11000,"Jajan")</f>
        <v>#VALUE!</v>
      </c>
      <c r="O524" s="52">
        <f ca="1">SUMIFS(OUT!$F$2:$F$11000,OUT!$H$2:$H$11000,H524,OUT!$D$2:$D$11000,"Out",OUT!$E$2:$E$11000,"Kitchen")</f>
        <v>992724</v>
      </c>
      <c r="P524" s="52">
        <f ca="1">SUMIFS(OUT!$F$2:$F$11000,OUT!$H$2:$H$11000,H524,OUT!$D$2:$D$11000,"Out",OUT!$E$2:$E$11000,"Loandry")</f>
        <v>41600</v>
      </c>
      <c r="Q524" s="52">
        <f ca="1">SUMIFS(OUT!$F$2:$F$11000,OUT!$H$2:$H$11000,H524,OUT!$D$2:$D$11000,"Out",OUT!$E$2:$E$11000,"Mio")</f>
        <v>249000</v>
      </c>
      <c r="R524" s="52">
        <f ca="1">SUMIFS(OUT!$F$2:$F$11000,OUT!$H$2:$H$11000,H524,OUT!$D$2:$D$11000,"Out",OUT!$E$2:$E$11000,"Sedekah")</f>
        <v>129000</v>
      </c>
      <c r="S524" s="52">
        <f ca="1">SUMIFS(OUT!$F$2:$F$11000,OUT!$H$2:$H$11000,H524,OUT!$D$2:$D$11000,"Out",OUT!$E$2:$E$11000,"Zela")</f>
        <v>24100</v>
      </c>
      <c r="T524" s="52">
        <f ca="1">SUMIFS(OUT!$F$2:$F$11000,OUT!$H$2:$H$11000,H524,OUT!$D$2:$D$11000,"Out",OUT!$E$2:$E$11000,"Iqbal")</f>
        <v>121000</v>
      </c>
    </row>
    <row r="525" spans="1:20" x14ac:dyDescent="0.2">
      <c r="A525" s="48">
        <f ca="1">IFERROR(__xludf.DUMMYFUNCTION("""COMPUTED_VALUE"""),46079)</f>
        <v>46079</v>
      </c>
      <c r="B525" s="4" t="str">
        <f ca="1">IFERROR(__xludf.DUMMYFUNCTION("""COMPUTED_VALUE"""),"Galon")</f>
        <v>Galon</v>
      </c>
      <c r="C525" s="4" t="str">
        <f ca="1">IFERROR(__xludf.DUMMYFUNCTION("""COMPUTED_VALUE"""),"Cash")</f>
        <v>Cash</v>
      </c>
      <c r="D525" s="4" t="str">
        <f ca="1">IFERROR(__xludf.DUMMYFUNCTION("""COMPUTED_VALUE"""),"Out")</f>
        <v>Out</v>
      </c>
      <c r="E525" s="4" t="str">
        <f ca="1">IFERROR(__xludf.DUMMYFUNCTION("""COMPUTED_VALUE"""),"Kitchen")</f>
        <v>Kitchen</v>
      </c>
      <c r="F525" s="49">
        <f ca="1">IFERROR(__xludf.DUMMYFUNCTION("""COMPUTED_VALUE"""),4000)</f>
        <v>4000</v>
      </c>
      <c r="G525" s="50" t="str">
        <f ca="1">IFERROR(__xludf.DUMMYFUNCTION("""COMPUTED_VALUE"""),"Zela")</f>
        <v>Zela</v>
      </c>
      <c r="H525" s="51">
        <f t="shared" ca="1" si="0"/>
        <v>46054</v>
      </c>
      <c r="I525" s="52" t="e">
        <f ca="1">SUMIFS(OUT!$F$2:$F$11000,OUT!$H$2:$H$11000,H525,OUT!$D$2:$D$101007,"In")</f>
        <v>#VALUE!</v>
      </c>
      <c r="J525" s="52">
        <f ca="1">SUMIFS(OUT!$F$2:$F$11000,OUT!$H$2:$H$11000,H525,OUT!$D$2:$D$11000,"Out")</f>
        <v>6908733</v>
      </c>
      <c r="K525" s="52">
        <f ca="1">SUMIFS(OUT!$F$2:$F$11000,OUT!$H$2:$H$11000,H525,OUT!$D$2:$D$11000,"Out",OUT!$E$2:$E$11000,"Fix")</f>
        <v>2440568</v>
      </c>
      <c r="L525" s="52">
        <f ca="1">SUMIFS(OUT!$F$2:$F$11000,OUT!$H$2:$H$11000,H525,OUT!$D$2:$D$11000,"Out",OUT!$E$2:$E$11000,"Bathroom")</f>
        <v>34500</v>
      </c>
      <c r="M525" s="52">
        <f ca="1">SUMIFS(OUT!$F$2:$F$11000,OUT!$H$2:$H$11000,H525,OUT!$D$2:$D$11000,"Out",OUT!$E$2:$E$11000,"Alfa")</f>
        <v>293800</v>
      </c>
      <c r="N525" s="52" t="e">
        <f ca="1">SUMIFS(OUT!$F$2:$F$11000,OUT!$H$2:$H$101007,H525,OUT!$D$2:$D$11000,"Out",OUT!$E$2:$E$11000,"Jajan")</f>
        <v>#VALUE!</v>
      </c>
      <c r="O525" s="52">
        <f ca="1">SUMIFS(OUT!$F$2:$F$11000,OUT!$H$2:$H$11000,H525,OUT!$D$2:$D$11000,"Out",OUT!$E$2:$E$11000,"Kitchen")</f>
        <v>992724</v>
      </c>
      <c r="P525" s="52">
        <f ca="1">SUMIFS(OUT!$F$2:$F$11000,OUT!$H$2:$H$11000,H525,OUT!$D$2:$D$11000,"Out",OUT!$E$2:$E$11000,"Loandry")</f>
        <v>41600</v>
      </c>
      <c r="Q525" s="52">
        <f ca="1">SUMIFS(OUT!$F$2:$F$11000,OUT!$H$2:$H$11000,H525,OUT!$D$2:$D$11000,"Out",OUT!$E$2:$E$11000,"Mio")</f>
        <v>249000</v>
      </c>
      <c r="R525" s="52">
        <f ca="1">SUMIFS(OUT!$F$2:$F$11000,OUT!$H$2:$H$11000,H525,OUT!$D$2:$D$11000,"Out",OUT!$E$2:$E$11000,"Sedekah")</f>
        <v>129000</v>
      </c>
      <c r="S525" s="52">
        <f ca="1">SUMIFS(OUT!$F$2:$F$11000,OUT!$H$2:$H$11000,H525,OUT!$D$2:$D$11000,"Out",OUT!$E$2:$E$11000,"Zela")</f>
        <v>24100</v>
      </c>
      <c r="T525" s="52">
        <f ca="1">SUMIFS(OUT!$F$2:$F$11000,OUT!$H$2:$H$11000,H525,OUT!$D$2:$D$11000,"Out",OUT!$E$2:$E$11000,"Iqbal")</f>
        <v>121000</v>
      </c>
    </row>
    <row r="526" spans="1:20" x14ac:dyDescent="0.2">
      <c r="A526" s="48">
        <f ca="1">IFERROR(__xludf.DUMMYFUNCTION("""COMPUTED_VALUE"""),46080)</f>
        <v>46080</v>
      </c>
      <c r="B526" s="4" t="str">
        <f ca="1">IFERROR(__xludf.DUMMYFUNCTION("""COMPUTED_VALUE"""),"Pasar Kaget")</f>
        <v>Pasar Kaget</v>
      </c>
      <c r="C526" s="4" t="str">
        <f ca="1">IFERROR(__xludf.DUMMYFUNCTION("""COMPUTED_VALUE"""),"Cash")</f>
        <v>Cash</v>
      </c>
      <c r="D526" s="4" t="str">
        <f ca="1">IFERROR(__xludf.DUMMYFUNCTION("""COMPUTED_VALUE"""),"Out")</f>
        <v>Out</v>
      </c>
      <c r="E526" s="4" t="str">
        <f ca="1">IFERROR(__xludf.DUMMYFUNCTION("""COMPUTED_VALUE"""),"Kitchen")</f>
        <v>Kitchen</v>
      </c>
      <c r="F526" s="49">
        <f ca="1">IFERROR(__xludf.DUMMYFUNCTION("""COMPUTED_VALUE"""),40000)</f>
        <v>40000</v>
      </c>
      <c r="G526" s="50" t="str">
        <f ca="1">IFERROR(__xludf.DUMMYFUNCTION("""COMPUTED_VALUE"""),"Zela")</f>
        <v>Zela</v>
      </c>
      <c r="H526" s="51">
        <f t="shared" ca="1" si="0"/>
        <v>46054</v>
      </c>
      <c r="I526" s="52" t="e">
        <f ca="1">SUMIFS(OUT!$F$2:$F$11000,OUT!$H$2:$H$11000,H526,OUT!$D$2:$D$101007,"In")</f>
        <v>#VALUE!</v>
      </c>
      <c r="J526" s="52">
        <f ca="1">SUMIFS(OUT!$F$2:$F$11000,OUT!$H$2:$H$11000,H526,OUT!$D$2:$D$11000,"Out")</f>
        <v>6908733</v>
      </c>
      <c r="K526" s="52">
        <f ca="1">SUMIFS(OUT!$F$2:$F$11000,OUT!$H$2:$H$11000,H526,OUT!$D$2:$D$11000,"Out",OUT!$E$2:$E$11000,"Fix")</f>
        <v>2440568</v>
      </c>
      <c r="L526" s="52">
        <f ca="1">SUMIFS(OUT!$F$2:$F$11000,OUT!$H$2:$H$11000,H526,OUT!$D$2:$D$11000,"Out",OUT!$E$2:$E$11000,"Bathroom")</f>
        <v>34500</v>
      </c>
      <c r="M526" s="52">
        <f ca="1">SUMIFS(OUT!$F$2:$F$11000,OUT!$H$2:$H$11000,H526,OUT!$D$2:$D$11000,"Out",OUT!$E$2:$E$11000,"Alfa")</f>
        <v>293800</v>
      </c>
      <c r="N526" s="52" t="e">
        <f ca="1">SUMIFS(OUT!$F$2:$F$11000,OUT!$H$2:$H$101007,H526,OUT!$D$2:$D$11000,"Out",OUT!$E$2:$E$11000,"Jajan")</f>
        <v>#VALUE!</v>
      </c>
      <c r="O526" s="52">
        <f ca="1">SUMIFS(OUT!$F$2:$F$11000,OUT!$H$2:$H$11000,H526,OUT!$D$2:$D$11000,"Out",OUT!$E$2:$E$11000,"Kitchen")</f>
        <v>992724</v>
      </c>
      <c r="P526" s="52">
        <f ca="1">SUMIFS(OUT!$F$2:$F$11000,OUT!$H$2:$H$11000,H526,OUT!$D$2:$D$11000,"Out",OUT!$E$2:$E$11000,"Loandry")</f>
        <v>41600</v>
      </c>
      <c r="Q526" s="52">
        <f ca="1">SUMIFS(OUT!$F$2:$F$11000,OUT!$H$2:$H$11000,H526,OUT!$D$2:$D$11000,"Out",OUT!$E$2:$E$11000,"Mio")</f>
        <v>249000</v>
      </c>
      <c r="R526" s="52">
        <f ca="1">SUMIFS(OUT!$F$2:$F$11000,OUT!$H$2:$H$11000,H526,OUT!$D$2:$D$11000,"Out",OUT!$E$2:$E$11000,"Sedekah")</f>
        <v>129000</v>
      </c>
      <c r="S526" s="52">
        <f ca="1">SUMIFS(OUT!$F$2:$F$11000,OUT!$H$2:$H$11000,H526,OUT!$D$2:$D$11000,"Out",OUT!$E$2:$E$11000,"Zela")</f>
        <v>24100</v>
      </c>
      <c r="T526" s="52">
        <f ca="1">SUMIFS(OUT!$F$2:$F$11000,OUT!$H$2:$H$11000,H526,OUT!$D$2:$D$11000,"Out",OUT!$E$2:$E$11000,"Iqbal")</f>
        <v>121000</v>
      </c>
    </row>
    <row r="527" spans="1:20" x14ac:dyDescent="0.2">
      <c r="A527" s="48">
        <f ca="1">IFERROR(__xludf.DUMMYFUNCTION("""COMPUTED_VALUE"""),46081)</f>
        <v>46081</v>
      </c>
      <c r="B527" s="4" t="str">
        <f ca="1">IFERROR(__xludf.DUMMYFUNCTION("""COMPUTED_VALUE"""),"Dikasi oom+nenek(Alfa)")</f>
        <v>Dikasi oom+nenek(Alfa)</v>
      </c>
      <c r="C527" s="4" t="str">
        <f ca="1">IFERROR(__xludf.DUMMYFUNCTION("""COMPUTED_VALUE"""),"Cash")</f>
        <v>Cash</v>
      </c>
      <c r="D527" s="4" t="str">
        <f ca="1">IFERROR(__xludf.DUMMYFUNCTION("""COMPUTED_VALUE"""),"In")</f>
        <v>In</v>
      </c>
      <c r="E527" s="4" t="str">
        <f ca="1">IFERROR(__xludf.DUMMYFUNCTION("""COMPUTED_VALUE"""),"Fix")</f>
        <v>Fix</v>
      </c>
      <c r="F527" s="49">
        <f ca="1">IFERROR(__xludf.DUMMYFUNCTION("""COMPUTED_VALUE"""),29000)</f>
        <v>29000</v>
      </c>
      <c r="G527" s="50" t="str">
        <f ca="1">IFERROR(__xludf.DUMMYFUNCTION("""COMPUTED_VALUE"""),"Zela")</f>
        <v>Zela</v>
      </c>
      <c r="H527" s="51">
        <f t="shared" ca="1" si="0"/>
        <v>46054</v>
      </c>
      <c r="I527" s="52" t="e">
        <f ca="1">SUMIFS(OUT!$F$2:$F$11000,OUT!$H$2:$H$11000,H527,OUT!$D$2:$D$101007,"In")</f>
        <v>#VALUE!</v>
      </c>
      <c r="J527" s="52">
        <f ca="1">SUMIFS(OUT!$F$2:$F$11000,OUT!$H$2:$H$11000,H527,OUT!$D$2:$D$11000,"Out")</f>
        <v>6908733</v>
      </c>
      <c r="K527" s="52">
        <f ca="1">SUMIFS(OUT!$F$2:$F$11000,OUT!$H$2:$H$11000,H527,OUT!$D$2:$D$11000,"Out",OUT!$E$2:$E$11000,"Fix")</f>
        <v>2440568</v>
      </c>
      <c r="L527" s="52">
        <f ca="1">SUMIFS(OUT!$F$2:$F$11000,OUT!$H$2:$H$11000,H527,OUT!$D$2:$D$11000,"Out",OUT!$E$2:$E$11000,"Bathroom")</f>
        <v>34500</v>
      </c>
      <c r="M527" s="52">
        <f ca="1">SUMIFS(OUT!$F$2:$F$11000,OUT!$H$2:$H$11000,H527,OUT!$D$2:$D$11000,"Out",OUT!$E$2:$E$11000,"Alfa")</f>
        <v>293800</v>
      </c>
      <c r="N527" s="52" t="e">
        <f ca="1">SUMIFS(OUT!$F$2:$F$11000,OUT!$H$2:$H$101007,H527,OUT!$D$2:$D$11000,"Out",OUT!$E$2:$E$11000,"Jajan")</f>
        <v>#VALUE!</v>
      </c>
      <c r="O527" s="52">
        <f ca="1">SUMIFS(OUT!$F$2:$F$11000,OUT!$H$2:$H$11000,H527,OUT!$D$2:$D$11000,"Out",OUT!$E$2:$E$11000,"Kitchen")</f>
        <v>992724</v>
      </c>
      <c r="P527" s="52">
        <f ca="1">SUMIFS(OUT!$F$2:$F$11000,OUT!$H$2:$H$11000,H527,OUT!$D$2:$D$11000,"Out",OUT!$E$2:$E$11000,"Loandry")</f>
        <v>41600</v>
      </c>
      <c r="Q527" s="52">
        <f ca="1">SUMIFS(OUT!$F$2:$F$11000,OUT!$H$2:$H$11000,H527,OUT!$D$2:$D$11000,"Out",OUT!$E$2:$E$11000,"Mio")</f>
        <v>249000</v>
      </c>
      <c r="R527" s="52">
        <f ca="1">SUMIFS(OUT!$F$2:$F$11000,OUT!$H$2:$H$11000,H527,OUT!$D$2:$D$11000,"Out",OUT!$E$2:$E$11000,"Sedekah")</f>
        <v>129000</v>
      </c>
      <c r="S527" s="52">
        <f ca="1">SUMIFS(OUT!$F$2:$F$11000,OUT!$H$2:$H$11000,H527,OUT!$D$2:$D$11000,"Out",OUT!$E$2:$E$11000,"Zela")</f>
        <v>24100</v>
      </c>
      <c r="T527" s="52">
        <f ca="1">SUMIFS(OUT!$F$2:$F$11000,OUT!$H$2:$H$11000,H527,OUT!$D$2:$D$11000,"Out",OUT!$E$2:$E$11000,"Iqbal")</f>
        <v>121000</v>
      </c>
    </row>
    <row r="528" spans="1:20" x14ac:dyDescent="0.2">
      <c r="A528" s="48">
        <f ca="1">IFERROR(__xludf.DUMMYFUNCTION("""COMPUTED_VALUE"""),46083)</f>
        <v>46083</v>
      </c>
      <c r="B528" s="4" t="str">
        <f ca="1">IFERROR(__xludf.DUMMYFUNCTION("""COMPUTED_VALUE"""),"saldo Tiktok")</f>
        <v>saldo Tiktok</v>
      </c>
      <c r="C528" s="4" t="str">
        <f ca="1">IFERROR(__xludf.DUMMYFUNCTION("""COMPUTED_VALUE"""),"ATM")</f>
        <v>ATM</v>
      </c>
      <c r="D528" s="4" t="str">
        <f ca="1">IFERROR(__xludf.DUMMYFUNCTION("""COMPUTED_VALUE"""),"In")</f>
        <v>In</v>
      </c>
      <c r="E528" s="4" t="str">
        <f ca="1">IFERROR(__xludf.DUMMYFUNCTION("""COMPUTED_VALUE"""),"Fix")</f>
        <v>Fix</v>
      </c>
      <c r="F528" s="49">
        <f ca="1">IFERROR(__xludf.DUMMYFUNCTION("""COMPUTED_VALUE"""),11576)</f>
        <v>11576</v>
      </c>
      <c r="G528" s="50" t="str">
        <f ca="1">IFERROR(__xludf.DUMMYFUNCTION("""COMPUTED_VALUE"""),"Zela")</f>
        <v>Zela</v>
      </c>
      <c r="H528" s="51">
        <f t="shared" ca="1" si="0"/>
        <v>46082</v>
      </c>
      <c r="I528" s="52" t="e">
        <f ca="1">SUMIFS(OUT!$F$2:$F$11000,OUT!$H$2:$H$11000,H528,OUT!$D$2:$D$101007,"In")</f>
        <v>#VALUE!</v>
      </c>
      <c r="J528" s="52">
        <f ca="1">SUMIFS(OUT!$F$2:$F$11000,OUT!$H$2:$H$11000,H528,OUT!$D$2:$D$11000,"Out")</f>
        <v>12026623</v>
      </c>
      <c r="K528" s="52">
        <f ca="1">SUMIFS(OUT!$F$2:$F$11000,OUT!$H$2:$H$11000,H528,OUT!$D$2:$D$11000,"Out",OUT!$E$2:$E$11000,"Fix")</f>
        <v>2865413</v>
      </c>
      <c r="L528" s="52">
        <f ca="1">SUMIFS(OUT!$F$2:$F$11000,OUT!$H$2:$H$11000,H528,OUT!$D$2:$D$11000,"Out",OUT!$E$2:$E$11000,"Bathroom")</f>
        <v>120488</v>
      </c>
      <c r="M528" s="52">
        <f ca="1">SUMIFS(OUT!$F$2:$F$11000,OUT!$H$2:$H$11000,H528,OUT!$D$2:$D$11000,"Out",OUT!$E$2:$E$11000,"Alfa")</f>
        <v>890962</v>
      </c>
      <c r="N528" s="52" t="e">
        <f ca="1">SUMIFS(OUT!$F$2:$F$11000,OUT!$H$2:$H$101007,H528,OUT!$D$2:$D$11000,"Out",OUT!$E$2:$E$11000,"Jajan")</f>
        <v>#VALUE!</v>
      </c>
      <c r="O528" s="52">
        <f ca="1">SUMIFS(OUT!$F$2:$F$11000,OUT!$H$2:$H$11000,H528,OUT!$D$2:$D$11000,"Out",OUT!$E$2:$E$11000,"Kitchen")</f>
        <v>1152600</v>
      </c>
      <c r="P528" s="52">
        <f ca="1">SUMIFS(OUT!$F$2:$F$11000,OUT!$H$2:$H$11000,H528,OUT!$D$2:$D$11000,"Out",OUT!$E$2:$E$11000,"Loandry")</f>
        <v>41000</v>
      </c>
      <c r="Q528" s="52">
        <f ca="1">SUMIFS(OUT!$F$2:$F$11000,OUT!$H$2:$H$11000,H528,OUT!$D$2:$D$11000,"Out",OUT!$E$2:$E$11000,"Mio")</f>
        <v>895700</v>
      </c>
      <c r="R528" s="52">
        <f ca="1">SUMIFS(OUT!$F$2:$F$11000,OUT!$H$2:$H$11000,H528,OUT!$D$2:$D$11000,"Out",OUT!$E$2:$E$11000,"Sedekah")</f>
        <v>130000</v>
      </c>
      <c r="S528" s="52">
        <f ca="1">SUMIFS(OUT!$F$2:$F$11000,OUT!$H$2:$H$11000,H528,OUT!$D$2:$D$11000,"Out",OUT!$E$2:$E$11000,"Zela")</f>
        <v>215161</v>
      </c>
      <c r="T528" s="52">
        <f ca="1">SUMIFS(OUT!$F$2:$F$11000,OUT!$H$2:$H$11000,H528,OUT!$D$2:$D$11000,"Out",OUT!$E$2:$E$11000,"Iqbal")</f>
        <v>215000</v>
      </c>
    </row>
    <row r="529" spans="1:20" x14ac:dyDescent="0.2">
      <c r="A529" s="48">
        <f ca="1">IFERROR(__xludf.DUMMYFUNCTION("""COMPUTED_VALUE"""),46083)</f>
        <v>46083</v>
      </c>
      <c r="B529" s="4" t="str">
        <f ca="1">IFERROR(__xludf.DUMMYFUNCTION("""COMPUTED_VALUE"""),"Paket By.u baba")</f>
        <v>Paket By.u baba</v>
      </c>
      <c r="C529" s="4" t="str">
        <f ca="1">IFERROR(__xludf.DUMMYFUNCTION("""COMPUTED_VALUE"""),"ATM")</f>
        <v>ATM</v>
      </c>
      <c r="D529" s="4" t="str">
        <f ca="1">IFERROR(__xludf.DUMMYFUNCTION("""COMPUTED_VALUE"""),"Out")</f>
        <v>Out</v>
      </c>
      <c r="E529" s="4" t="str">
        <f ca="1">IFERROR(__xludf.DUMMYFUNCTION("""COMPUTED_VALUE"""),"Fix")</f>
        <v>Fix</v>
      </c>
      <c r="F529" s="49">
        <f ca="1">IFERROR(__xludf.DUMMYFUNCTION("""COMPUTED_VALUE"""),10000)</f>
        <v>10000</v>
      </c>
      <c r="G529" s="50" t="str">
        <f ca="1">IFERROR(__xludf.DUMMYFUNCTION("""COMPUTED_VALUE"""),"Zela")</f>
        <v>Zela</v>
      </c>
      <c r="H529" s="51">
        <f t="shared" ca="1" si="0"/>
        <v>46082</v>
      </c>
      <c r="I529" s="52" t="e">
        <f ca="1">SUMIFS(OUT!$F$2:$F$11000,OUT!$H$2:$H$11000,H529,OUT!$D$2:$D$101007,"In")</f>
        <v>#VALUE!</v>
      </c>
      <c r="J529" s="52">
        <f ca="1">SUMIFS(OUT!$F$2:$F$11000,OUT!$H$2:$H$11000,H529,OUT!$D$2:$D$11000,"Out")</f>
        <v>12026623</v>
      </c>
      <c r="K529" s="52">
        <f ca="1">SUMIFS(OUT!$F$2:$F$11000,OUT!$H$2:$H$11000,H529,OUT!$D$2:$D$11000,"Out",OUT!$E$2:$E$11000,"Fix")</f>
        <v>2865413</v>
      </c>
      <c r="L529" s="52">
        <f ca="1">SUMIFS(OUT!$F$2:$F$11000,OUT!$H$2:$H$11000,H529,OUT!$D$2:$D$11000,"Out",OUT!$E$2:$E$11000,"Bathroom")</f>
        <v>120488</v>
      </c>
      <c r="M529" s="52">
        <f ca="1">SUMIFS(OUT!$F$2:$F$11000,OUT!$H$2:$H$11000,H529,OUT!$D$2:$D$11000,"Out",OUT!$E$2:$E$11000,"Alfa")</f>
        <v>890962</v>
      </c>
      <c r="N529" s="52" t="e">
        <f ca="1">SUMIFS(OUT!$F$2:$F$11000,OUT!$H$2:$H$101007,H529,OUT!$D$2:$D$11000,"Out",OUT!$E$2:$E$11000,"Jajan")</f>
        <v>#VALUE!</v>
      </c>
      <c r="O529" s="52">
        <f ca="1">SUMIFS(OUT!$F$2:$F$11000,OUT!$H$2:$H$11000,H529,OUT!$D$2:$D$11000,"Out",OUT!$E$2:$E$11000,"Kitchen")</f>
        <v>1152600</v>
      </c>
      <c r="P529" s="52">
        <f ca="1">SUMIFS(OUT!$F$2:$F$11000,OUT!$H$2:$H$11000,H529,OUT!$D$2:$D$11000,"Out",OUT!$E$2:$E$11000,"Loandry")</f>
        <v>41000</v>
      </c>
      <c r="Q529" s="52">
        <f ca="1">SUMIFS(OUT!$F$2:$F$11000,OUT!$H$2:$H$11000,H529,OUT!$D$2:$D$11000,"Out",OUT!$E$2:$E$11000,"Mio")</f>
        <v>895700</v>
      </c>
      <c r="R529" s="52">
        <f ca="1">SUMIFS(OUT!$F$2:$F$11000,OUT!$H$2:$H$11000,H529,OUT!$D$2:$D$11000,"Out",OUT!$E$2:$E$11000,"Sedekah")</f>
        <v>130000</v>
      </c>
      <c r="S529" s="52">
        <f ca="1">SUMIFS(OUT!$F$2:$F$11000,OUT!$H$2:$H$11000,H529,OUT!$D$2:$D$11000,"Out",OUT!$E$2:$E$11000,"Zela")</f>
        <v>215161</v>
      </c>
      <c r="T529" s="52">
        <f ca="1">SUMIFS(OUT!$F$2:$F$11000,OUT!$H$2:$H$11000,H529,OUT!$D$2:$D$11000,"Out",OUT!$E$2:$E$11000,"Iqbal")</f>
        <v>215000</v>
      </c>
    </row>
    <row r="530" spans="1:20" x14ac:dyDescent="0.2">
      <c r="A530" s="48">
        <f ca="1">IFERROR(__xludf.DUMMYFUNCTION("""COMPUTED_VALUE"""),46083)</f>
        <v>46083</v>
      </c>
      <c r="B530" s="4" t="str">
        <f ca="1">IFERROR(__xludf.DUMMYFUNCTION("""COMPUTED_VALUE"""),"Gajian Suamiku ( Maret 2026)")</f>
        <v>Gajian Suamiku ( Maret 2026)</v>
      </c>
      <c r="C530" s="4" t="str">
        <f ca="1">IFERROR(__xludf.DUMMYFUNCTION("""COMPUTED_VALUE"""),"ATM")</f>
        <v>ATM</v>
      </c>
      <c r="D530" s="4" t="str">
        <f ca="1">IFERROR(__xludf.DUMMYFUNCTION("""COMPUTED_VALUE"""),"In")</f>
        <v>In</v>
      </c>
      <c r="E530" s="4" t="str">
        <f ca="1">IFERROR(__xludf.DUMMYFUNCTION("""COMPUTED_VALUE"""),"Fix")</f>
        <v>Fix</v>
      </c>
      <c r="F530" s="49">
        <f ca="1">IFERROR(__xludf.DUMMYFUNCTION("""COMPUTED_VALUE"""),2000000)</f>
        <v>2000000</v>
      </c>
      <c r="G530" s="50" t="str">
        <f ca="1">IFERROR(__xludf.DUMMYFUNCTION("""COMPUTED_VALUE"""),"Zela")</f>
        <v>Zela</v>
      </c>
      <c r="H530" s="51">
        <f t="shared" ca="1" si="0"/>
        <v>46082</v>
      </c>
      <c r="I530" s="52" t="e">
        <f ca="1">SUMIFS(OUT!$F$2:$F$11000,OUT!$H$2:$H$11000,H530,OUT!$D$2:$D$101007,"In")</f>
        <v>#VALUE!</v>
      </c>
      <c r="J530" s="52">
        <f ca="1">SUMIFS(OUT!$F$2:$F$11000,OUT!$H$2:$H$11000,H530,OUT!$D$2:$D$11000,"Out")</f>
        <v>12026623</v>
      </c>
      <c r="K530" s="52">
        <f ca="1">SUMIFS(OUT!$F$2:$F$11000,OUT!$H$2:$H$11000,H530,OUT!$D$2:$D$11000,"Out",OUT!$E$2:$E$11000,"Fix")</f>
        <v>2865413</v>
      </c>
      <c r="L530" s="52">
        <f ca="1">SUMIFS(OUT!$F$2:$F$11000,OUT!$H$2:$H$11000,H530,OUT!$D$2:$D$11000,"Out",OUT!$E$2:$E$11000,"Bathroom")</f>
        <v>120488</v>
      </c>
      <c r="M530" s="52">
        <f ca="1">SUMIFS(OUT!$F$2:$F$11000,OUT!$H$2:$H$11000,H530,OUT!$D$2:$D$11000,"Out",OUT!$E$2:$E$11000,"Alfa")</f>
        <v>890962</v>
      </c>
      <c r="N530" s="52" t="e">
        <f ca="1">SUMIFS(OUT!$F$2:$F$11000,OUT!$H$2:$H$101007,H530,OUT!$D$2:$D$11000,"Out",OUT!$E$2:$E$11000,"Jajan")</f>
        <v>#VALUE!</v>
      </c>
      <c r="O530" s="52">
        <f ca="1">SUMIFS(OUT!$F$2:$F$11000,OUT!$H$2:$H$11000,H530,OUT!$D$2:$D$11000,"Out",OUT!$E$2:$E$11000,"Kitchen")</f>
        <v>1152600</v>
      </c>
      <c r="P530" s="52">
        <f ca="1">SUMIFS(OUT!$F$2:$F$11000,OUT!$H$2:$H$11000,H530,OUT!$D$2:$D$11000,"Out",OUT!$E$2:$E$11000,"Loandry")</f>
        <v>41000</v>
      </c>
      <c r="Q530" s="52">
        <f ca="1">SUMIFS(OUT!$F$2:$F$11000,OUT!$H$2:$H$11000,H530,OUT!$D$2:$D$11000,"Out",OUT!$E$2:$E$11000,"Mio")</f>
        <v>895700</v>
      </c>
      <c r="R530" s="52">
        <f ca="1">SUMIFS(OUT!$F$2:$F$11000,OUT!$H$2:$H$11000,H530,OUT!$D$2:$D$11000,"Out",OUT!$E$2:$E$11000,"Sedekah")</f>
        <v>130000</v>
      </c>
      <c r="S530" s="52">
        <f ca="1">SUMIFS(OUT!$F$2:$F$11000,OUT!$H$2:$H$11000,H530,OUT!$D$2:$D$11000,"Out",OUT!$E$2:$E$11000,"Zela")</f>
        <v>215161</v>
      </c>
      <c r="T530" s="52">
        <f ca="1">SUMIFS(OUT!$F$2:$F$11000,OUT!$H$2:$H$11000,H530,OUT!$D$2:$D$11000,"Out",OUT!$E$2:$E$11000,"Iqbal")</f>
        <v>215000</v>
      </c>
    </row>
    <row r="531" spans="1:20" x14ac:dyDescent="0.2">
      <c r="A531" s="48">
        <f ca="1">IFERROR(__xludf.DUMMYFUNCTION("""COMPUTED_VALUE"""),46083)</f>
        <v>46083</v>
      </c>
      <c r="B531" s="4" t="str">
        <f ca="1">IFERROR(__xludf.DUMMYFUNCTION("""COMPUTED_VALUE"""),"Tarik Tunai")</f>
        <v>Tarik Tunai</v>
      </c>
      <c r="C531" s="4" t="str">
        <f ca="1">IFERROR(__xludf.DUMMYFUNCTION("""COMPUTED_VALUE"""),"ATM")</f>
        <v>ATM</v>
      </c>
      <c r="D531" s="4" t="str">
        <f ca="1">IFERROR(__xludf.DUMMYFUNCTION("""COMPUTED_VALUE"""),"Out")</f>
        <v>Out</v>
      </c>
      <c r="E531" s="4" t="str">
        <f ca="1">IFERROR(__xludf.DUMMYFUNCTION("""COMPUTED_VALUE"""),"Move")</f>
        <v>Move</v>
      </c>
      <c r="F531" s="49">
        <f ca="1">IFERROR(__xludf.DUMMYFUNCTION("""COMPUTED_VALUE"""),200000)</f>
        <v>200000</v>
      </c>
      <c r="G531" s="50" t="str">
        <f ca="1">IFERROR(__xludf.DUMMYFUNCTION("""COMPUTED_VALUE"""),"Zela")</f>
        <v>Zela</v>
      </c>
      <c r="H531" s="51">
        <f t="shared" ca="1" si="0"/>
        <v>46082</v>
      </c>
      <c r="I531" s="52" t="e">
        <f ca="1">SUMIFS(OUT!$F$2:$F$11000,OUT!$H$2:$H$11000,H531,OUT!$D$2:$D$101007,"In")</f>
        <v>#VALUE!</v>
      </c>
      <c r="J531" s="52">
        <f ca="1">SUMIFS(OUT!$F$2:$F$11000,OUT!$H$2:$H$11000,H531,OUT!$D$2:$D$11000,"Out")</f>
        <v>12026623</v>
      </c>
      <c r="K531" s="52">
        <f ca="1">SUMIFS(OUT!$F$2:$F$11000,OUT!$H$2:$H$11000,H531,OUT!$D$2:$D$11000,"Out",OUT!$E$2:$E$11000,"Fix")</f>
        <v>2865413</v>
      </c>
      <c r="L531" s="52">
        <f ca="1">SUMIFS(OUT!$F$2:$F$11000,OUT!$H$2:$H$11000,H531,OUT!$D$2:$D$11000,"Out",OUT!$E$2:$E$11000,"Bathroom")</f>
        <v>120488</v>
      </c>
      <c r="M531" s="52">
        <f ca="1">SUMIFS(OUT!$F$2:$F$11000,OUT!$H$2:$H$11000,H531,OUT!$D$2:$D$11000,"Out",OUT!$E$2:$E$11000,"Alfa")</f>
        <v>890962</v>
      </c>
      <c r="N531" s="52" t="e">
        <f ca="1">SUMIFS(OUT!$F$2:$F$11000,OUT!$H$2:$H$101007,H531,OUT!$D$2:$D$11000,"Out",OUT!$E$2:$E$11000,"Jajan")</f>
        <v>#VALUE!</v>
      </c>
      <c r="O531" s="52">
        <f ca="1">SUMIFS(OUT!$F$2:$F$11000,OUT!$H$2:$H$11000,H531,OUT!$D$2:$D$11000,"Out",OUT!$E$2:$E$11000,"Kitchen")</f>
        <v>1152600</v>
      </c>
      <c r="P531" s="52">
        <f ca="1">SUMIFS(OUT!$F$2:$F$11000,OUT!$H$2:$H$11000,H531,OUT!$D$2:$D$11000,"Out",OUT!$E$2:$E$11000,"Loandry")</f>
        <v>41000</v>
      </c>
      <c r="Q531" s="52">
        <f ca="1">SUMIFS(OUT!$F$2:$F$11000,OUT!$H$2:$H$11000,H531,OUT!$D$2:$D$11000,"Out",OUT!$E$2:$E$11000,"Mio")</f>
        <v>895700</v>
      </c>
      <c r="R531" s="52">
        <f ca="1">SUMIFS(OUT!$F$2:$F$11000,OUT!$H$2:$H$11000,H531,OUT!$D$2:$D$11000,"Out",OUT!$E$2:$E$11000,"Sedekah")</f>
        <v>130000</v>
      </c>
      <c r="S531" s="52">
        <f ca="1">SUMIFS(OUT!$F$2:$F$11000,OUT!$H$2:$H$11000,H531,OUT!$D$2:$D$11000,"Out",OUT!$E$2:$E$11000,"Zela")</f>
        <v>215161</v>
      </c>
      <c r="T531" s="52">
        <f ca="1">SUMIFS(OUT!$F$2:$F$11000,OUT!$H$2:$H$11000,H531,OUT!$D$2:$D$11000,"Out",OUT!$E$2:$E$11000,"Iqbal")</f>
        <v>215000</v>
      </c>
    </row>
    <row r="532" spans="1:20" x14ac:dyDescent="0.2">
      <c r="A532" s="48">
        <f ca="1">IFERROR(__xludf.DUMMYFUNCTION("""COMPUTED_VALUE"""),46083)</f>
        <v>46083</v>
      </c>
      <c r="B532" s="4" t="str">
        <f ca="1">IFERROR(__xludf.DUMMYFUNCTION("""COMPUTED_VALUE"""),"Terima Tunai")</f>
        <v>Terima Tunai</v>
      </c>
      <c r="C532" s="4" t="str">
        <f ca="1">IFERROR(__xludf.DUMMYFUNCTION("""COMPUTED_VALUE"""),"Cash")</f>
        <v>Cash</v>
      </c>
      <c r="D532" s="4" t="str">
        <f ca="1">IFERROR(__xludf.DUMMYFUNCTION("""COMPUTED_VALUE"""),"In")</f>
        <v>In</v>
      </c>
      <c r="E532" s="4" t="str">
        <f ca="1">IFERROR(__xludf.DUMMYFUNCTION("""COMPUTED_VALUE"""),"Move")</f>
        <v>Move</v>
      </c>
      <c r="F532" s="49">
        <f ca="1">IFERROR(__xludf.DUMMYFUNCTION("""COMPUTED_VALUE"""),200000)</f>
        <v>200000</v>
      </c>
      <c r="G532" s="50" t="str">
        <f ca="1">IFERROR(__xludf.DUMMYFUNCTION("""COMPUTED_VALUE"""),"Zela")</f>
        <v>Zela</v>
      </c>
      <c r="H532" s="51">
        <f t="shared" ca="1" si="0"/>
        <v>46082</v>
      </c>
      <c r="I532" s="52" t="e">
        <f ca="1">SUMIFS(OUT!$F$2:$F$11000,OUT!$H$2:$H$11000,H532,OUT!$D$2:$D$101007,"In")</f>
        <v>#VALUE!</v>
      </c>
      <c r="J532" s="52">
        <f ca="1">SUMIFS(OUT!$F$2:$F$11000,OUT!$H$2:$H$11000,H532,OUT!$D$2:$D$11000,"Out")</f>
        <v>12026623</v>
      </c>
      <c r="K532" s="52">
        <f ca="1">SUMIFS(OUT!$F$2:$F$11000,OUT!$H$2:$H$11000,H532,OUT!$D$2:$D$11000,"Out",OUT!$E$2:$E$11000,"Fix")</f>
        <v>2865413</v>
      </c>
      <c r="L532" s="52">
        <f ca="1">SUMIFS(OUT!$F$2:$F$11000,OUT!$H$2:$H$11000,H532,OUT!$D$2:$D$11000,"Out",OUT!$E$2:$E$11000,"Bathroom")</f>
        <v>120488</v>
      </c>
      <c r="M532" s="52">
        <f ca="1">SUMIFS(OUT!$F$2:$F$11000,OUT!$H$2:$H$11000,H532,OUT!$D$2:$D$11000,"Out",OUT!$E$2:$E$11000,"Alfa")</f>
        <v>890962</v>
      </c>
      <c r="N532" s="52" t="e">
        <f ca="1">SUMIFS(OUT!$F$2:$F$11000,OUT!$H$2:$H$101007,H532,OUT!$D$2:$D$11000,"Out",OUT!$E$2:$E$11000,"Jajan")</f>
        <v>#VALUE!</v>
      </c>
      <c r="O532" s="52">
        <f ca="1">SUMIFS(OUT!$F$2:$F$11000,OUT!$H$2:$H$11000,H532,OUT!$D$2:$D$11000,"Out",OUT!$E$2:$E$11000,"Kitchen")</f>
        <v>1152600</v>
      </c>
      <c r="P532" s="52">
        <f ca="1">SUMIFS(OUT!$F$2:$F$11000,OUT!$H$2:$H$11000,H532,OUT!$D$2:$D$11000,"Out",OUT!$E$2:$E$11000,"Loandry")</f>
        <v>41000</v>
      </c>
      <c r="Q532" s="52">
        <f ca="1">SUMIFS(OUT!$F$2:$F$11000,OUT!$H$2:$H$11000,H532,OUT!$D$2:$D$11000,"Out",OUT!$E$2:$E$11000,"Mio")</f>
        <v>895700</v>
      </c>
      <c r="R532" s="52">
        <f ca="1">SUMIFS(OUT!$F$2:$F$11000,OUT!$H$2:$H$11000,H532,OUT!$D$2:$D$11000,"Out",OUT!$E$2:$E$11000,"Sedekah")</f>
        <v>130000</v>
      </c>
      <c r="S532" s="52">
        <f ca="1">SUMIFS(OUT!$F$2:$F$11000,OUT!$H$2:$H$11000,H532,OUT!$D$2:$D$11000,"Out",OUT!$E$2:$E$11000,"Zela")</f>
        <v>215161</v>
      </c>
      <c r="T532" s="52">
        <f ca="1">SUMIFS(OUT!$F$2:$F$11000,OUT!$H$2:$H$11000,H532,OUT!$D$2:$D$11000,"Out",OUT!$E$2:$E$11000,"Iqbal")</f>
        <v>215000</v>
      </c>
    </row>
    <row r="533" spans="1:20" x14ac:dyDescent="0.2">
      <c r="A533" s="48">
        <f ca="1">IFERROR(__xludf.DUMMYFUNCTION("""COMPUTED_VALUE"""),46083)</f>
        <v>46083</v>
      </c>
      <c r="B533" s="4" t="str">
        <f ca="1">IFERROR(__xludf.DUMMYFUNCTION("""COMPUTED_VALUE"""),"Pasar Kget")</f>
        <v>Pasar Kget</v>
      </c>
      <c r="C533" s="4" t="str">
        <f ca="1">IFERROR(__xludf.DUMMYFUNCTION("""COMPUTED_VALUE"""),"Cash")</f>
        <v>Cash</v>
      </c>
      <c r="D533" s="4" t="str">
        <f ca="1">IFERROR(__xludf.DUMMYFUNCTION("""COMPUTED_VALUE"""),"Out")</f>
        <v>Out</v>
      </c>
      <c r="E533" s="4" t="str">
        <f ca="1">IFERROR(__xludf.DUMMYFUNCTION("""COMPUTED_VALUE"""),"Kitchen")</f>
        <v>Kitchen</v>
      </c>
      <c r="F533" s="49">
        <f ca="1">IFERROR(__xludf.DUMMYFUNCTION("""COMPUTED_VALUE"""),210000)</f>
        <v>210000</v>
      </c>
      <c r="G533" s="50" t="str">
        <f ca="1">IFERROR(__xludf.DUMMYFUNCTION("""COMPUTED_VALUE"""),"Zela")</f>
        <v>Zela</v>
      </c>
      <c r="H533" s="51">
        <f t="shared" ca="1" si="0"/>
        <v>46082</v>
      </c>
      <c r="I533" s="52" t="e">
        <f ca="1">SUMIFS(OUT!$F$2:$F$11000,OUT!$H$2:$H$11000,H533,OUT!$D$2:$D$101007,"In")</f>
        <v>#VALUE!</v>
      </c>
      <c r="J533" s="52">
        <f ca="1">SUMIFS(OUT!$F$2:$F$11000,OUT!$H$2:$H$11000,H533,OUT!$D$2:$D$11000,"Out")</f>
        <v>12026623</v>
      </c>
      <c r="K533" s="52">
        <f ca="1">SUMIFS(OUT!$F$2:$F$11000,OUT!$H$2:$H$11000,H533,OUT!$D$2:$D$11000,"Out",OUT!$E$2:$E$11000,"Fix")</f>
        <v>2865413</v>
      </c>
      <c r="L533" s="52">
        <f ca="1">SUMIFS(OUT!$F$2:$F$11000,OUT!$H$2:$H$11000,H533,OUT!$D$2:$D$11000,"Out",OUT!$E$2:$E$11000,"Bathroom")</f>
        <v>120488</v>
      </c>
      <c r="M533" s="52">
        <f ca="1">SUMIFS(OUT!$F$2:$F$11000,OUT!$H$2:$H$11000,H533,OUT!$D$2:$D$11000,"Out",OUT!$E$2:$E$11000,"Alfa")</f>
        <v>890962</v>
      </c>
      <c r="N533" s="52" t="e">
        <f ca="1">SUMIFS(OUT!$F$2:$F$11000,OUT!$H$2:$H$101007,H533,OUT!$D$2:$D$11000,"Out",OUT!$E$2:$E$11000,"Jajan")</f>
        <v>#VALUE!</v>
      </c>
      <c r="O533" s="52">
        <f ca="1">SUMIFS(OUT!$F$2:$F$11000,OUT!$H$2:$H$11000,H533,OUT!$D$2:$D$11000,"Out",OUT!$E$2:$E$11000,"Kitchen")</f>
        <v>1152600</v>
      </c>
      <c r="P533" s="52">
        <f ca="1">SUMIFS(OUT!$F$2:$F$11000,OUT!$H$2:$H$11000,H533,OUT!$D$2:$D$11000,"Out",OUT!$E$2:$E$11000,"Loandry")</f>
        <v>41000</v>
      </c>
      <c r="Q533" s="52">
        <f ca="1">SUMIFS(OUT!$F$2:$F$11000,OUT!$H$2:$H$11000,H533,OUT!$D$2:$D$11000,"Out",OUT!$E$2:$E$11000,"Mio")</f>
        <v>895700</v>
      </c>
      <c r="R533" s="52">
        <f ca="1">SUMIFS(OUT!$F$2:$F$11000,OUT!$H$2:$H$11000,H533,OUT!$D$2:$D$11000,"Out",OUT!$E$2:$E$11000,"Sedekah")</f>
        <v>130000</v>
      </c>
      <c r="S533" s="52">
        <f ca="1">SUMIFS(OUT!$F$2:$F$11000,OUT!$H$2:$H$11000,H533,OUT!$D$2:$D$11000,"Out",OUT!$E$2:$E$11000,"Zela")</f>
        <v>215161</v>
      </c>
      <c r="T533" s="52">
        <f ca="1">SUMIFS(OUT!$F$2:$F$11000,OUT!$H$2:$H$11000,H533,OUT!$D$2:$D$11000,"Out",OUT!$E$2:$E$11000,"Iqbal")</f>
        <v>215000</v>
      </c>
    </row>
    <row r="534" spans="1:20" x14ac:dyDescent="0.2">
      <c r="A534" s="48">
        <f ca="1">IFERROR(__xludf.DUMMYFUNCTION("""COMPUTED_VALUE"""),46083)</f>
        <v>46083</v>
      </c>
      <c r="B534" s="4" t="str">
        <f ca="1">IFERROR(__xludf.DUMMYFUNCTION("""COMPUTED_VALUE"""),"Paket by.u sehari")</f>
        <v>Paket by.u sehari</v>
      </c>
      <c r="C534" s="4" t="str">
        <f ca="1">IFERROR(__xludf.DUMMYFUNCTION("""COMPUTED_VALUE"""),"ATM")</f>
        <v>ATM</v>
      </c>
      <c r="D534" s="4" t="str">
        <f ca="1">IFERROR(__xludf.DUMMYFUNCTION("""COMPUTED_VALUE"""),"Out")</f>
        <v>Out</v>
      </c>
      <c r="E534" s="4" t="str">
        <f ca="1">IFERROR(__xludf.DUMMYFUNCTION("""COMPUTED_VALUE"""),"Fix")</f>
        <v>Fix</v>
      </c>
      <c r="F534" s="49">
        <f ca="1">IFERROR(__xludf.DUMMYFUNCTION("""COMPUTED_VALUE"""),10000)</f>
        <v>10000</v>
      </c>
      <c r="G534" s="50" t="str">
        <f ca="1">IFERROR(__xludf.DUMMYFUNCTION("""COMPUTED_VALUE"""),"Zela")</f>
        <v>Zela</v>
      </c>
      <c r="H534" s="51">
        <f t="shared" ca="1" si="0"/>
        <v>46082</v>
      </c>
      <c r="I534" s="52" t="e">
        <f ca="1">SUMIFS(OUT!$F$2:$F$11000,OUT!$H$2:$H$11000,H534,OUT!$D$2:$D$101007,"In")</f>
        <v>#VALUE!</v>
      </c>
      <c r="J534" s="52">
        <f ca="1">SUMIFS(OUT!$F$2:$F$11000,OUT!$H$2:$H$11000,H534,OUT!$D$2:$D$11000,"Out")</f>
        <v>12026623</v>
      </c>
      <c r="K534" s="52">
        <f ca="1">SUMIFS(OUT!$F$2:$F$11000,OUT!$H$2:$H$11000,H534,OUT!$D$2:$D$11000,"Out",OUT!$E$2:$E$11000,"Fix")</f>
        <v>2865413</v>
      </c>
      <c r="L534" s="52">
        <f ca="1">SUMIFS(OUT!$F$2:$F$11000,OUT!$H$2:$H$11000,H534,OUT!$D$2:$D$11000,"Out",OUT!$E$2:$E$11000,"Bathroom")</f>
        <v>120488</v>
      </c>
      <c r="M534" s="52">
        <f ca="1">SUMIFS(OUT!$F$2:$F$11000,OUT!$H$2:$H$11000,H534,OUT!$D$2:$D$11000,"Out",OUT!$E$2:$E$11000,"Alfa")</f>
        <v>890962</v>
      </c>
      <c r="N534" s="52" t="e">
        <f ca="1">SUMIFS(OUT!$F$2:$F$11000,OUT!$H$2:$H$101007,H534,OUT!$D$2:$D$11000,"Out",OUT!$E$2:$E$11000,"Jajan")</f>
        <v>#VALUE!</v>
      </c>
      <c r="O534" s="52">
        <f ca="1">SUMIFS(OUT!$F$2:$F$11000,OUT!$H$2:$H$11000,H534,OUT!$D$2:$D$11000,"Out",OUT!$E$2:$E$11000,"Kitchen")</f>
        <v>1152600</v>
      </c>
      <c r="P534" s="52">
        <f ca="1">SUMIFS(OUT!$F$2:$F$11000,OUT!$H$2:$H$11000,H534,OUT!$D$2:$D$11000,"Out",OUT!$E$2:$E$11000,"Loandry")</f>
        <v>41000</v>
      </c>
      <c r="Q534" s="52">
        <f ca="1">SUMIFS(OUT!$F$2:$F$11000,OUT!$H$2:$H$11000,H534,OUT!$D$2:$D$11000,"Out",OUT!$E$2:$E$11000,"Mio")</f>
        <v>895700</v>
      </c>
      <c r="R534" s="52">
        <f ca="1">SUMIFS(OUT!$F$2:$F$11000,OUT!$H$2:$H$11000,H534,OUT!$D$2:$D$11000,"Out",OUT!$E$2:$E$11000,"Sedekah")</f>
        <v>130000</v>
      </c>
      <c r="S534" s="52">
        <f ca="1">SUMIFS(OUT!$F$2:$F$11000,OUT!$H$2:$H$11000,H534,OUT!$D$2:$D$11000,"Out",OUT!$E$2:$E$11000,"Zela")</f>
        <v>215161</v>
      </c>
      <c r="T534" s="52">
        <f ca="1">SUMIFS(OUT!$F$2:$F$11000,OUT!$H$2:$H$11000,H534,OUT!$D$2:$D$11000,"Out",OUT!$E$2:$E$11000,"Iqbal")</f>
        <v>215000</v>
      </c>
    </row>
    <row r="535" spans="1:20" x14ac:dyDescent="0.2">
      <c r="A535" s="48">
        <f ca="1">IFERROR(__xludf.DUMMYFUNCTION("""COMPUTED_VALUE"""),46083)</f>
        <v>46083</v>
      </c>
      <c r="B535" s="4" t="str">
        <f ca="1">IFERROR(__xludf.DUMMYFUNCTION("""COMPUTED_VALUE"""),"TF Seabank (shopee+Alfagift)")</f>
        <v>TF Seabank (shopee+Alfagift)</v>
      </c>
      <c r="C535" s="4" t="str">
        <f ca="1">IFERROR(__xludf.DUMMYFUNCTION("""COMPUTED_VALUE"""),"ATM")</f>
        <v>ATM</v>
      </c>
      <c r="D535" s="4" t="str">
        <f ca="1">IFERROR(__xludf.DUMMYFUNCTION("""COMPUTED_VALUE"""),"Out")</f>
        <v>Out</v>
      </c>
      <c r="E535" s="4" t="str">
        <f ca="1">IFERROR(__xludf.DUMMYFUNCTION("""COMPUTED_VALUE"""),"Fix")</f>
        <v>Fix</v>
      </c>
      <c r="F535" s="49">
        <f ca="1">IFERROR(__xludf.DUMMYFUNCTION("""COMPUTED_VALUE"""),112600)</f>
        <v>112600</v>
      </c>
      <c r="G535" s="50" t="str">
        <f ca="1">IFERROR(__xludf.DUMMYFUNCTION("""COMPUTED_VALUE"""),"Zela")</f>
        <v>Zela</v>
      </c>
      <c r="H535" s="51">
        <f t="shared" ca="1" si="0"/>
        <v>46082</v>
      </c>
      <c r="I535" s="52" t="e">
        <f ca="1">SUMIFS(OUT!$F$2:$F$11000,OUT!$H$2:$H$11000,H535,OUT!$D$2:$D$101007,"In")</f>
        <v>#VALUE!</v>
      </c>
      <c r="J535" s="52">
        <f ca="1">SUMIFS(OUT!$F$2:$F$11000,OUT!$H$2:$H$11000,H535,OUT!$D$2:$D$11000,"Out")</f>
        <v>12026623</v>
      </c>
      <c r="K535" s="52">
        <f ca="1">SUMIFS(OUT!$F$2:$F$11000,OUT!$H$2:$H$11000,H535,OUT!$D$2:$D$11000,"Out",OUT!$E$2:$E$11000,"Fix")</f>
        <v>2865413</v>
      </c>
      <c r="L535" s="52">
        <f ca="1">SUMIFS(OUT!$F$2:$F$11000,OUT!$H$2:$H$11000,H535,OUT!$D$2:$D$11000,"Out",OUT!$E$2:$E$11000,"Bathroom")</f>
        <v>120488</v>
      </c>
      <c r="M535" s="52">
        <f ca="1">SUMIFS(OUT!$F$2:$F$11000,OUT!$H$2:$H$11000,H535,OUT!$D$2:$D$11000,"Out",OUT!$E$2:$E$11000,"Alfa")</f>
        <v>890962</v>
      </c>
      <c r="N535" s="52" t="e">
        <f ca="1">SUMIFS(OUT!$F$2:$F$11000,OUT!$H$2:$H$101007,H535,OUT!$D$2:$D$11000,"Out",OUT!$E$2:$E$11000,"Jajan")</f>
        <v>#VALUE!</v>
      </c>
      <c r="O535" s="52">
        <f ca="1">SUMIFS(OUT!$F$2:$F$11000,OUT!$H$2:$H$11000,H535,OUT!$D$2:$D$11000,"Out",OUT!$E$2:$E$11000,"Kitchen")</f>
        <v>1152600</v>
      </c>
      <c r="P535" s="52">
        <f ca="1">SUMIFS(OUT!$F$2:$F$11000,OUT!$H$2:$H$11000,H535,OUT!$D$2:$D$11000,"Out",OUT!$E$2:$E$11000,"Loandry")</f>
        <v>41000</v>
      </c>
      <c r="Q535" s="52">
        <f ca="1">SUMIFS(OUT!$F$2:$F$11000,OUT!$H$2:$H$11000,H535,OUT!$D$2:$D$11000,"Out",OUT!$E$2:$E$11000,"Mio")</f>
        <v>895700</v>
      </c>
      <c r="R535" s="52">
        <f ca="1">SUMIFS(OUT!$F$2:$F$11000,OUT!$H$2:$H$11000,H535,OUT!$D$2:$D$11000,"Out",OUT!$E$2:$E$11000,"Sedekah")</f>
        <v>130000</v>
      </c>
      <c r="S535" s="52">
        <f ca="1">SUMIFS(OUT!$F$2:$F$11000,OUT!$H$2:$H$11000,H535,OUT!$D$2:$D$11000,"Out",OUT!$E$2:$E$11000,"Zela")</f>
        <v>215161</v>
      </c>
      <c r="T535" s="52">
        <f ca="1">SUMIFS(OUT!$F$2:$F$11000,OUT!$H$2:$H$11000,H535,OUT!$D$2:$D$11000,"Out",OUT!$E$2:$E$11000,"Iqbal")</f>
        <v>215000</v>
      </c>
    </row>
    <row r="536" spans="1:20" x14ac:dyDescent="0.2">
      <c r="A536" s="48">
        <f ca="1">IFERROR(__xludf.DUMMYFUNCTION("""COMPUTED_VALUE"""),46083)</f>
        <v>46083</v>
      </c>
      <c r="B536" s="4" t="str">
        <f ca="1">IFERROR(__xludf.DUMMYFUNCTION("""COMPUTED_VALUE"""),"TF BRI dri Seabank")</f>
        <v>TF BRI dri Seabank</v>
      </c>
      <c r="C536" s="4" t="str">
        <f ca="1">IFERROR(__xludf.DUMMYFUNCTION("""COMPUTED_VALUE"""),"ATM")</f>
        <v>ATM</v>
      </c>
      <c r="D536" s="4" t="str">
        <f ca="1">IFERROR(__xludf.DUMMYFUNCTION("""COMPUTED_VALUE"""),"In")</f>
        <v>In</v>
      </c>
      <c r="E536" s="4" t="str">
        <f ca="1">IFERROR(__xludf.DUMMYFUNCTION("""COMPUTED_VALUE"""),"Move")</f>
        <v>Move</v>
      </c>
      <c r="F536" s="49">
        <f ca="1">IFERROR(__xludf.DUMMYFUNCTION("""COMPUTED_VALUE"""),12600)</f>
        <v>12600</v>
      </c>
      <c r="G536" s="50" t="str">
        <f ca="1">IFERROR(__xludf.DUMMYFUNCTION("""COMPUTED_VALUE"""),"Zela")</f>
        <v>Zela</v>
      </c>
      <c r="H536" s="51">
        <f t="shared" ca="1" si="0"/>
        <v>46082</v>
      </c>
      <c r="I536" s="52" t="e">
        <f ca="1">SUMIFS(OUT!$F$2:$F$11000,OUT!$H$2:$H$11000,H536,OUT!$D$2:$D$101007,"In")</f>
        <v>#VALUE!</v>
      </c>
      <c r="J536" s="52">
        <f ca="1">SUMIFS(OUT!$F$2:$F$11000,OUT!$H$2:$H$11000,H536,OUT!$D$2:$D$11000,"Out")</f>
        <v>12026623</v>
      </c>
      <c r="K536" s="52">
        <f ca="1">SUMIFS(OUT!$F$2:$F$11000,OUT!$H$2:$H$11000,H536,OUT!$D$2:$D$11000,"Out",OUT!$E$2:$E$11000,"Fix")</f>
        <v>2865413</v>
      </c>
      <c r="L536" s="52">
        <f ca="1">SUMIFS(OUT!$F$2:$F$11000,OUT!$H$2:$H$11000,H536,OUT!$D$2:$D$11000,"Out",OUT!$E$2:$E$11000,"Bathroom")</f>
        <v>120488</v>
      </c>
      <c r="M536" s="52">
        <f ca="1">SUMIFS(OUT!$F$2:$F$11000,OUT!$H$2:$H$11000,H536,OUT!$D$2:$D$11000,"Out",OUT!$E$2:$E$11000,"Alfa")</f>
        <v>890962</v>
      </c>
      <c r="N536" s="52" t="e">
        <f ca="1">SUMIFS(OUT!$F$2:$F$11000,OUT!$H$2:$H$101007,H536,OUT!$D$2:$D$11000,"Out",OUT!$E$2:$E$11000,"Jajan")</f>
        <v>#VALUE!</v>
      </c>
      <c r="O536" s="52">
        <f ca="1">SUMIFS(OUT!$F$2:$F$11000,OUT!$H$2:$H$11000,H536,OUT!$D$2:$D$11000,"Out",OUT!$E$2:$E$11000,"Kitchen")</f>
        <v>1152600</v>
      </c>
      <c r="P536" s="52">
        <f ca="1">SUMIFS(OUT!$F$2:$F$11000,OUT!$H$2:$H$11000,H536,OUT!$D$2:$D$11000,"Out",OUT!$E$2:$E$11000,"Loandry")</f>
        <v>41000</v>
      </c>
      <c r="Q536" s="52">
        <f ca="1">SUMIFS(OUT!$F$2:$F$11000,OUT!$H$2:$H$11000,H536,OUT!$D$2:$D$11000,"Out",OUT!$E$2:$E$11000,"Mio")</f>
        <v>895700</v>
      </c>
      <c r="R536" s="52">
        <f ca="1">SUMIFS(OUT!$F$2:$F$11000,OUT!$H$2:$H$11000,H536,OUT!$D$2:$D$11000,"Out",OUT!$E$2:$E$11000,"Sedekah")</f>
        <v>130000</v>
      </c>
      <c r="S536" s="52">
        <f ca="1">SUMIFS(OUT!$F$2:$F$11000,OUT!$H$2:$H$11000,H536,OUT!$D$2:$D$11000,"Out",OUT!$E$2:$E$11000,"Zela")</f>
        <v>215161</v>
      </c>
      <c r="T536" s="52">
        <f ca="1">SUMIFS(OUT!$F$2:$F$11000,OUT!$H$2:$H$11000,H536,OUT!$D$2:$D$11000,"Out",OUT!$E$2:$E$11000,"Iqbal")</f>
        <v>215000</v>
      </c>
    </row>
    <row r="537" spans="1:20" x14ac:dyDescent="0.2">
      <c r="A537" s="48">
        <f ca="1">IFERROR(__xludf.DUMMYFUNCTION("""COMPUTED_VALUE"""),46083)</f>
        <v>46083</v>
      </c>
      <c r="B537" s="4" t="str">
        <f ca="1">IFERROR(__xludf.DUMMYFUNCTION("""COMPUTED_VALUE"""),"Tisu Basah")</f>
        <v>Tisu Basah</v>
      </c>
      <c r="C537" s="4" t="str">
        <f ca="1">IFERROR(__xludf.DUMMYFUNCTION("""COMPUTED_VALUE"""),"Cash")</f>
        <v>Cash</v>
      </c>
      <c r="D537" s="4" t="str">
        <f ca="1">IFERROR(__xludf.DUMMYFUNCTION("""COMPUTED_VALUE"""),"Out")</f>
        <v>Out</v>
      </c>
      <c r="E537" s="4" t="str">
        <f ca="1">IFERROR(__xludf.DUMMYFUNCTION("""COMPUTED_VALUE"""),"Alfa")</f>
        <v>Alfa</v>
      </c>
      <c r="F537" s="49">
        <f ca="1">IFERROR(__xludf.DUMMYFUNCTION("""COMPUTED_VALUE"""),10000)</f>
        <v>10000</v>
      </c>
      <c r="G537" s="50" t="str">
        <f ca="1">IFERROR(__xludf.DUMMYFUNCTION("""COMPUTED_VALUE"""),"Zela")</f>
        <v>Zela</v>
      </c>
      <c r="H537" s="51">
        <f t="shared" ca="1" si="0"/>
        <v>46082</v>
      </c>
      <c r="I537" s="52" t="e">
        <f ca="1">SUMIFS(OUT!$F$2:$F$11000,OUT!$H$2:$H$11000,H537,OUT!$D$2:$D$101007,"In")</f>
        <v>#VALUE!</v>
      </c>
      <c r="J537" s="52">
        <f ca="1">SUMIFS(OUT!$F$2:$F$11000,OUT!$H$2:$H$11000,H537,OUT!$D$2:$D$11000,"Out")</f>
        <v>12026623</v>
      </c>
      <c r="K537" s="52">
        <f ca="1">SUMIFS(OUT!$F$2:$F$11000,OUT!$H$2:$H$11000,H537,OUT!$D$2:$D$11000,"Out",OUT!$E$2:$E$11000,"Fix")</f>
        <v>2865413</v>
      </c>
      <c r="L537" s="52">
        <f ca="1">SUMIFS(OUT!$F$2:$F$11000,OUT!$H$2:$H$11000,H537,OUT!$D$2:$D$11000,"Out",OUT!$E$2:$E$11000,"Bathroom")</f>
        <v>120488</v>
      </c>
      <c r="M537" s="52">
        <f ca="1">SUMIFS(OUT!$F$2:$F$11000,OUT!$H$2:$H$11000,H537,OUT!$D$2:$D$11000,"Out",OUT!$E$2:$E$11000,"Alfa")</f>
        <v>890962</v>
      </c>
      <c r="N537" s="52" t="e">
        <f ca="1">SUMIFS(OUT!$F$2:$F$11000,OUT!$H$2:$H$101007,H537,OUT!$D$2:$D$11000,"Out",OUT!$E$2:$E$11000,"Jajan")</f>
        <v>#VALUE!</v>
      </c>
      <c r="O537" s="52">
        <f ca="1">SUMIFS(OUT!$F$2:$F$11000,OUT!$H$2:$H$11000,H537,OUT!$D$2:$D$11000,"Out",OUT!$E$2:$E$11000,"Kitchen")</f>
        <v>1152600</v>
      </c>
      <c r="P537" s="52">
        <f ca="1">SUMIFS(OUT!$F$2:$F$11000,OUT!$H$2:$H$11000,H537,OUT!$D$2:$D$11000,"Out",OUT!$E$2:$E$11000,"Loandry")</f>
        <v>41000</v>
      </c>
      <c r="Q537" s="52">
        <f ca="1">SUMIFS(OUT!$F$2:$F$11000,OUT!$H$2:$H$11000,H537,OUT!$D$2:$D$11000,"Out",OUT!$E$2:$E$11000,"Mio")</f>
        <v>895700</v>
      </c>
      <c r="R537" s="52">
        <f ca="1">SUMIFS(OUT!$F$2:$F$11000,OUT!$H$2:$H$11000,H537,OUT!$D$2:$D$11000,"Out",OUT!$E$2:$E$11000,"Sedekah")</f>
        <v>130000</v>
      </c>
      <c r="S537" s="52">
        <f ca="1">SUMIFS(OUT!$F$2:$F$11000,OUT!$H$2:$H$11000,H537,OUT!$D$2:$D$11000,"Out",OUT!$E$2:$E$11000,"Zela")</f>
        <v>215161</v>
      </c>
      <c r="T537" s="52">
        <f ca="1">SUMIFS(OUT!$F$2:$F$11000,OUT!$H$2:$H$11000,H537,OUT!$D$2:$D$11000,"Out",OUT!$E$2:$E$11000,"Iqbal")</f>
        <v>215000</v>
      </c>
    </row>
    <row r="538" spans="1:20" x14ac:dyDescent="0.2">
      <c r="A538" s="48">
        <f ca="1">IFERROR(__xludf.DUMMYFUNCTION("""COMPUTED_VALUE"""),46083)</f>
        <v>46083</v>
      </c>
      <c r="B538" s="4" t="str">
        <f ca="1">IFERROR(__xludf.DUMMYFUNCTION("""COMPUTED_VALUE"""),"Bensin Motor")</f>
        <v>Bensin Motor</v>
      </c>
      <c r="C538" s="4" t="str">
        <f ca="1">IFERROR(__xludf.DUMMYFUNCTION("""COMPUTED_VALUE"""),"Cash")</f>
        <v>Cash</v>
      </c>
      <c r="D538" s="4" t="str">
        <f ca="1">IFERROR(__xludf.DUMMYFUNCTION("""COMPUTED_VALUE"""),"Out")</f>
        <v>Out</v>
      </c>
      <c r="E538" s="4" t="str">
        <f ca="1">IFERROR(__xludf.DUMMYFUNCTION("""COMPUTED_VALUE"""),"Mio")</f>
        <v>Mio</v>
      </c>
      <c r="F538" s="49">
        <f ca="1">IFERROR(__xludf.DUMMYFUNCTION("""COMPUTED_VALUE"""),20000)</f>
        <v>20000</v>
      </c>
      <c r="G538" s="50" t="str">
        <f ca="1">IFERROR(__xludf.DUMMYFUNCTION("""COMPUTED_VALUE"""),"Zela")</f>
        <v>Zela</v>
      </c>
      <c r="H538" s="51">
        <f t="shared" ca="1" si="0"/>
        <v>46082</v>
      </c>
      <c r="I538" s="52" t="e">
        <f ca="1">SUMIFS(OUT!$F$2:$F$11000,OUT!$H$2:$H$11000,H538,OUT!$D$2:$D$101007,"In")</f>
        <v>#VALUE!</v>
      </c>
      <c r="J538" s="52">
        <f ca="1">SUMIFS(OUT!$F$2:$F$11000,OUT!$H$2:$H$11000,H538,OUT!$D$2:$D$11000,"Out")</f>
        <v>12026623</v>
      </c>
      <c r="K538" s="52">
        <f ca="1">SUMIFS(OUT!$F$2:$F$11000,OUT!$H$2:$H$11000,H538,OUT!$D$2:$D$11000,"Out",OUT!$E$2:$E$11000,"Fix")</f>
        <v>2865413</v>
      </c>
      <c r="L538" s="52">
        <f ca="1">SUMIFS(OUT!$F$2:$F$11000,OUT!$H$2:$H$11000,H538,OUT!$D$2:$D$11000,"Out",OUT!$E$2:$E$11000,"Bathroom")</f>
        <v>120488</v>
      </c>
      <c r="M538" s="52">
        <f ca="1">SUMIFS(OUT!$F$2:$F$11000,OUT!$H$2:$H$11000,H538,OUT!$D$2:$D$11000,"Out",OUT!$E$2:$E$11000,"Alfa")</f>
        <v>890962</v>
      </c>
      <c r="N538" s="52" t="e">
        <f ca="1">SUMIFS(OUT!$F$2:$F$11000,OUT!$H$2:$H$101007,H538,OUT!$D$2:$D$11000,"Out",OUT!$E$2:$E$11000,"Jajan")</f>
        <v>#VALUE!</v>
      </c>
      <c r="O538" s="52">
        <f ca="1">SUMIFS(OUT!$F$2:$F$11000,OUT!$H$2:$H$11000,H538,OUT!$D$2:$D$11000,"Out",OUT!$E$2:$E$11000,"Kitchen")</f>
        <v>1152600</v>
      </c>
      <c r="P538" s="52">
        <f ca="1">SUMIFS(OUT!$F$2:$F$11000,OUT!$H$2:$H$11000,H538,OUT!$D$2:$D$11000,"Out",OUT!$E$2:$E$11000,"Loandry")</f>
        <v>41000</v>
      </c>
      <c r="Q538" s="52">
        <f ca="1">SUMIFS(OUT!$F$2:$F$11000,OUT!$H$2:$H$11000,H538,OUT!$D$2:$D$11000,"Out",OUT!$E$2:$E$11000,"Mio")</f>
        <v>895700</v>
      </c>
      <c r="R538" s="52">
        <f ca="1">SUMIFS(OUT!$F$2:$F$11000,OUT!$H$2:$H$11000,H538,OUT!$D$2:$D$11000,"Out",OUT!$E$2:$E$11000,"Sedekah")</f>
        <v>130000</v>
      </c>
      <c r="S538" s="52">
        <f ca="1">SUMIFS(OUT!$F$2:$F$11000,OUT!$H$2:$H$11000,H538,OUT!$D$2:$D$11000,"Out",OUT!$E$2:$E$11000,"Zela")</f>
        <v>215161</v>
      </c>
      <c r="T538" s="52">
        <f ca="1">SUMIFS(OUT!$F$2:$F$11000,OUT!$H$2:$H$11000,H538,OUT!$D$2:$D$11000,"Out",OUT!$E$2:$E$11000,"Iqbal")</f>
        <v>215000</v>
      </c>
    </row>
    <row r="539" spans="1:20" x14ac:dyDescent="0.2">
      <c r="A539" s="48">
        <f ca="1">IFERROR(__xludf.DUMMYFUNCTION("""COMPUTED_VALUE"""),46083)</f>
        <v>46083</v>
      </c>
      <c r="B539" s="4" t="str">
        <f ca="1">IFERROR(__xludf.DUMMYFUNCTION("""COMPUTED_VALUE"""),"TF BRI dri Seabank")</f>
        <v>TF BRI dri Seabank</v>
      </c>
      <c r="C539" s="4" t="str">
        <f ca="1">IFERROR(__xludf.DUMMYFUNCTION("""COMPUTED_VALUE"""),"ATM")</f>
        <v>ATM</v>
      </c>
      <c r="D539" s="4" t="str">
        <f ca="1">IFERROR(__xludf.DUMMYFUNCTION("""COMPUTED_VALUE"""),"In")</f>
        <v>In</v>
      </c>
      <c r="E539" s="4" t="str">
        <f ca="1">IFERROR(__xludf.DUMMYFUNCTION("""COMPUTED_VALUE"""),"Move")</f>
        <v>Move</v>
      </c>
      <c r="F539" s="49">
        <f ca="1">IFERROR(__xludf.DUMMYFUNCTION("""COMPUTED_VALUE"""),16045)</f>
        <v>16045</v>
      </c>
      <c r="G539" s="50" t="str">
        <f ca="1">IFERROR(__xludf.DUMMYFUNCTION("""COMPUTED_VALUE"""),"Zela")</f>
        <v>Zela</v>
      </c>
      <c r="H539" s="51">
        <f t="shared" ca="1" si="0"/>
        <v>46082</v>
      </c>
      <c r="I539" s="52" t="e">
        <f ca="1">SUMIFS(OUT!$F$2:$F$11000,OUT!$H$2:$H$11000,H539,OUT!$D$2:$D$101007,"In")</f>
        <v>#VALUE!</v>
      </c>
      <c r="J539" s="52">
        <f ca="1">SUMIFS(OUT!$F$2:$F$11000,OUT!$H$2:$H$11000,H539,OUT!$D$2:$D$11000,"Out")</f>
        <v>12026623</v>
      </c>
      <c r="K539" s="52">
        <f ca="1">SUMIFS(OUT!$F$2:$F$11000,OUT!$H$2:$H$11000,H539,OUT!$D$2:$D$11000,"Out",OUT!$E$2:$E$11000,"Fix")</f>
        <v>2865413</v>
      </c>
      <c r="L539" s="52">
        <f ca="1">SUMIFS(OUT!$F$2:$F$11000,OUT!$H$2:$H$11000,H539,OUT!$D$2:$D$11000,"Out",OUT!$E$2:$E$11000,"Bathroom")</f>
        <v>120488</v>
      </c>
      <c r="M539" s="52">
        <f ca="1">SUMIFS(OUT!$F$2:$F$11000,OUT!$H$2:$H$11000,H539,OUT!$D$2:$D$11000,"Out",OUT!$E$2:$E$11000,"Alfa")</f>
        <v>890962</v>
      </c>
      <c r="N539" s="52" t="e">
        <f ca="1">SUMIFS(OUT!$F$2:$F$11000,OUT!$H$2:$H$101007,H539,OUT!$D$2:$D$11000,"Out",OUT!$E$2:$E$11000,"Jajan")</f>
        <v>#VALUE!</v>
      </c>
      <c r="O539" s="52">
        <f ca="1">SUMIFS(OUT!$F$2:$F$11000,OUT!$H$2:$H$11000,H539,OUT!$D$2:$D$11000,"Out",OUT!$E$2:$E$11000,"Kitchen")</f>
        <v>1152600</v>
      </c>
      <c r="P539" s="52">
        <f ca="1">SUMIFS(OUT!$F$2:$F$11000,OUT!$H$2:$H$11000,H539,OUT!$D$2:$D$11000,"Out",OUT!$E$2:$E$11000,"Loandry")</f>
        <v>41000</v>
      </c>
      <c r="Q539" s="52">
        <f ca="1">SUMIFS(OUT!$F$2:$F$11000,OUT!$H$2:$H$11000,H539,OUT!$D$2:$D$11000,"Out",OUT!$E$2:$E$11000,"Mio")</f>
        <v>895700</v>
      </c>
      <c r="R539" s="52">
        <f ca="1">SUMIFS(OUT!$F$2:$F$11000,OUT!$H$2:$H$11000,H539,OUT!$D$2:$D$11000,"Out",OUT!$E$2:$E$11000,"Sedekah")</f>
        <v>130000</v>
      </c>
      <c r="S539" s="52">
        <f ca="1">SUMIFS(OUT!$F$2:$F$11000,OUT!$H$2:$H$11000,H539,OUT!$D$2:$D$11000,"Out",OUT!$E$2:$E$11000,"Zela")</f>
        <v>215161</v>
      </c>
      <c r="T539" s="52">
        <f ca="1">SUMIFS(OUT!$F$2:$F$11000,OUT!$H$2:$H$11000,H539,OUT!$D$2:$D$11000,"Out",OUT!$E$2:$E$11000,"Iqbal")</f>
        <v>215000</v>
      </c>
    </row>
    <row r="540" spans="1:20" x14ac:dyDescent="0.2">
      <c r="A540" s="48">
        <f ca="1">IFERROR(__xludf.DUMMYFUNCTION("""COMPUTED_VALUE"""),46083)</f>
        <v>46083</v>
      </c>
      <c r="B540" s="4" t="str">
        <f ca="1">IFERROR(__xludf.DUMMYFUNCTION("""COMPUTED_VALUE"""),"Tarek Tunai")</f>
        <v>Tarek Tunai</v>
      </c>
      <c r="C540" s="4" t="str">
        <f ca="1">IFERROR(__xludf.DUMMYFUNCTION("""COMPUTED_VALUE"""),"ATM")</f>
        <v>ATM</v>
      </c>
      <c r="D540" s="4" t="str">
        <f ca="1">IFERROR(__xludf.DUMMYFUNCTION("""COMPUTED_VALUE"""),"Out")</f>
        <v>Out</v>
      </c>
      <c r="E540" s="4" t="str">
        <f ca="1">IFERROR(__xludf.DUMMYFUNCTION("""COMPUTED_VALUE"""),"Move")</f>
        <v>Move</v>
      </c>
      <c r="F540" s="49">
        <f ca="1">IFERROR(__xludf.DUMMYFUNCTION("""COMPUTED_VALUE"""),100000)</f>
        <v>100000</v>
      </c>
      <c r="G540" s="50" t="str">
        <f ca="1">IFERROR(__xludf.DUMMYFUNCTION("""COMPUTED_VALUE"""),"Zela")</f>
        <v>Zela</v>
      </c>
      <c r="H540" s="51">
        <f t="shared" ca="1" si="0"/>
        <v>46082</v>
      </c>
      <c r="I540" s="52" t="e">
        <f ca="1">SUMIFS(OUT!$F$2:$F$11000,OUT!$H$2:$H$11000,H540,OUT!$D$2:$D$101007,"In")</f>
        <v>#VALUE!</v>
      </c>
      <c r="J540" s="52">
        <f ca="1">SUMIFS(OUT!$F$2:$F$11000,OUT!$H$2:$H$11000,H540,OUT!$D$2:$D$11000,"Out")</f>
        <v>12026623</v>
      </c>
      <c r="K540" s="52">
        <f ca="1">SUMIFS(OUT!$F$2:$F$11000,OUT!$H$2:$H$11000,H540,OUT!$D$2:$D$11000,"Out",OUT!$E$2:$E$11000,"Fix")</f>
        <v>2865413</v>
      </c>
      <c r="L540" s="52">
        <f ca="1">SUMIFS(OUT!$F$2:$F$11000,OUT!$H$2:$H$11000,H540,OUT!$D$2:$D$11000,"Out",OUT!$E$2:$E$11000,"Bathroom")</f>
        <v>120488</v>
      </c>
      <c r="M540" s="52">
        <f ca="1">SUMIFS(OUT!$F$2:$F$11000,OUT!$H$2:$H$11000,H540,OUT!$D$2:$D$11000,"Out",OUT!$E$2:$E$11000,"Alfa")</f>
        <v>890962</v>
      </c>
      <c r="N540" s="52" t="e">
        <f ca="1">SUMIFS(OUT!$F$2:$F$11000,OUT!$H$2:$H$101007,H540,OUT!$D$2:$D$11000,"Out",OUT!$E$2:$E$11000,"Jajan")</f>
        <v>#VALUE!</v>
      </c>
      <c r="O540" s="52">
        <f ca="1">SUMIFS(OUT!$F$2:$F$11000,OUT!$H$2:$H$11000,H540,OUT!$D$2:$D$11000,"Out",OUT!$E$2:$E$11000,"Kitchen")</f>
        <v>1152600</v>
      </c>
      <c r="P540" s="52">
        <f ca="1">SUMIFS(OUT!$F$2:$F$11000,OUT!$H$2:$H$11000,H540,OUT!$D$2:$D$11000,"Out",OUT!$E$2:$E$11000,"Loandry")</f>
        <v>41000</v>
      </c>
      <c r="Q540" s="52">
        <f ca="1">SUMIFS(OUT!$F$2:$F$11000,OUT!$H$2:$H$11000,H540,OUT!$D$2:$D$11000,"Out",OUT!$E$2:$E$11000,"Mio")</f>
        <v>895700</v>
      </c>
      <c r="R540" s="52">
        <f ca="1">SUMIFS(OUT!$F$2:$F$11000,OUT!$H$2:$H$11000,H540,OUT!$D$2:$D$11000,"Out",OUT!$E$2:$E$11000,"Sedekah")</f>
        <v>130000</v>
      </c>
      <c r="S540" s="52">
        <f ca="1">SUMIFS(OUT!$F$2:$F$11000,OUT!$H$2:$H$11000,H540,OUT!$D$2:$D$11000,"Out",OUT!$E$2:$E$11000,"Zela")</f>
        <v>215161</v>
      </c>
      <c r="T540" s="52">
        <f ca="1">SUMIFS(OUT!$F$2:$F$11000,OUT!$H$2:$H$11000,H540,OUT!$D$2:$D$11000,"Out",OUT!$E$2:$E$11000,"Iqbal")</f>
        <v>215000</v>
      </c>
    </row>
    <row r="541" spans="1:20" x14ac:dyDescent="0.2">
      <c r="A541" s="48">
        <f ca="1">IFERROR(__xludf.DUMMYFUNCTION("""COMPUTED_VALUE"""),46083)</f>
        <v>46083</v>
      </c>
      <c r="B541" s="4" t="str">
        <f ca="1">IFERROR(__xludf.DUMMYFUNCTION("""COMPUTED_VALUE"""),"Terima Tunai")</f>
        <v>Terima Tunai</v>
      </c>
      <c r="C541" s="4" t="str">
        <f ca="1">IFERROR(__xludf.DUMMYFUNCTION("""COMPUTED_VALUE"""),"Cash")</f>
        <v>Cash</v>
      </c>
      <c r="D541" s="4" t="str">
        <f ca="1">IFERROR(__xludf.DUMMYFUNCTION("""COMPUTED_VALUE"""),"In")</f>
        <v>In</v>
      </c>
      <c r="E541" s="4" t="str">
        <f ca="1">IFERROR(__xludf.DUMMYFUNCTION("""COMPUTED_VALUE"""),"Move")</f>
        <v>Move</v>
      </c>
      <c r="F541" s="49">
        <f ca="1">IFERROR(__xludf.DUMMYFUNCTION("""COMPUTED_VALUE"""),100000)</f>
        <v>100000</v>
      </c>
      <c r="G541" s="50" t="str">
        <f ca="1">IFERROR(__xludf.DUMMYFUNCTION("""COMPUTED_VALUE"""),"Zela")</f>
        <v>Zela</v>
      </c>
      <c r="H541" s="51">
        <f t="shared" ca="1" si="0"/>
        <v>46082</v>
      </c>
      <c r="I541" s="52" t="e">
        <f ca="1">SUMIFS(OUT!$F$2:$F$11000,OUT!$H$2:$H$11000,H541,OUT!$D$2:$D$101007,"In")</f>
        <v>#VALUE!</v>
      </c>
      <c r="J541" s="52">
        <f ca="1">SUMIFS(OUT!$F$2:$F$11000,OUT!$H$2:$H$11000,H541,OUT!$D$2:$D$11000,"Out")</f>
        <v>12026623</v>
      </c>
      <c r="K541" s="52">
        <f ca="1">SUMIFS(OUT!$F$2:$F$11000,OUT!$H$2:$H$11000,H541,OUT!$D$2:$D$11000,"Out",OUT!$E$2:$E$11000,"Fix")</f>
        <v>2865413</v>
      </c>
      <c r="L541" s="52">
        <f ca="1">SUMIFS(OUT!$F$2:$F$11000,OUT!$H$2:$H$11000,H541,OUT!$D$2:$D$11000,"Out",OUT!$E$2:$E$11000,"Bathroom")</f>
        <v>120488</v>
      </c>
      <c r="M541" s="52">
        <f ca="1">SUMIFS(OUT!$F$2:$F$11000,OUT!$H$2:$H$11000,H541,OUT!$D$2:$D$11000,"Out",OUT!$E$2:$E$11000,"Alfa")</f>
        <v>890962</v>
      </c>
      <c r="N541" s="52" t="e">
        <f ca="1">SUMIFS(OUT!$F$2:$F$11000,OUT!$H$2:$H$101007,H541,OUT!$D$2:$D$11000,"Out",OUT!$E$2:$E$11000,"Jajan")</f>
        <v>#VALUE!</v>
      </c>
      <c r="O541" s="52">
        <f ca="1">SUMIFS(OUT!$F$2:$F$11000,OUT!$H$2:$H$11000,H541,OUT!$D$2:$D$11000,"Out",OUT!$E$2:$E$11000,"Kitchen")</f>
        <v>1152600</v>
      </c>
      <c r="P541" s="52">
        <f ca="1">SUMIFS(OUT!$F$2:$F$11000,OUT!$H$2:$H$11000,H541,OUT!$D$2:$D$11000,"Out",OUT!$E$2:$E$11000,"Loandry")</f>
        <v>41000</v>
      </c>
      <c r="Q541" s="52">
        <f ca="1">SUMIFS(OUT!$F$2:$F$11000,OUT!$H$2:$H$11000,H541,OUT!$D$2:$D$11000,"Out",OUT!$E$2:$E$11000,"Mio")</f>
        <v>895700</v>
      </c>
      <c r="R541" s="52">
        <f ca="1">SUMIFS(OUT!$F$2:$F$11000,OUT!$H$2:$H$11000,H541,OUT!$D$2:$D$11000,"Out",OUT!$E$2:$E$11000,"Sedekah")</f>
        <v>130000</v>
      </c>
      <c r="S541" s="52">
        <f ca="1">SUMIFS(OUT!$F$2:$F$11000,OUT!$H$2:$H$11000,H541,OUT!$D$2:$D$11000,"Out",OUT!$E$2:$E$11000,"Zela")</f>
        <v>215161</v>
      </c>
      <c r="T541" s="52">
        <f ca="1">SUMIFS(OUT!$F$2:$F$11000,OUT!$H$2:$H$11000,H541,OUT!$D$2:$D$11000,"Out",OUT!$E$2:$E$11000,"Iqbal")</f>
        <v>215000</v>
      </c>
    </row>
    <row r="542" spans="1:20" x14ac:dyDescent="0.2">
      <c r="A542" s="48">
        <f ca="1">IFERROR(__xludf.DUMMYFUNCTION("""COMPUTED_VALUE"""),46083)</f>
        <v>46083</v>
      </c>
      <c r="B542" s="4" t="str">
        <f ca="1">IFERROR(__xludf.DUMMYFUNCTION("""COMPUTED_VALUE"""),"Alfagift(Alfa&amp;zela)")</f>
        <v>Alfagift(Alfa&amp;zela)</v>
      </c>
      <c r="C542" s="4" t="str">
        <f ca="1">IFERROR(__xludf.DUMMYFUNCTION("""COMPUTED_VALUE"""),"ATM")</f>
        <v>ATM</v>
      </c>
      <c r="D542" s="4" t="str">
        <f ca="1">IFERROR(__xludf.DUMMYFUNCTION("""COMPUTED_VALUE"""),"Out")</f>
        <v>Out</v>
      </c>
      <c r="E542" s="4" t="str">
        <f ca="1">IFERROR(__xludf.DUMMYFUNCTION("""COMPUTED_VALUE"""),"Alfa")</f>
        <v>Alfa</v>
      </c>
      <c r="F542" s="49">
        <f ca="1">IFERROR(__xludf.DUMMYFUNCTION("""COMPUTED_VALUE"""),117000)</f>
        <v>117000</v>
      </c>
      <c r="G542" s="50" t="str">
        <f ca="1">IFERROR(__xludf.DUMMYFUNCTION("""COMPUTED_VALUE"""),"Zela")</f>
        <v>Zela</v>
      </c>
      <c r="H542" s="51">
        <f t="shared" ca="1" si="0"/>
        <v>46082</v>
      </c>
      <c r="I542" s="52" t="e">
        <f ca="1">SUMIFS(OUT!$F$2:$F$11000,OUT!$H$2:$H$11000,H542,OUT!$D$2:$D$101007,"In")</f>
        <v>#VALUE!</v>
      </c>
      <c r="J542" s="52">
        <f ca="1">SUMIFS(OUT!$F$2:$F$11000,OUT!$H$2:$H$11000,H542,OUT!$D$2:$D$11000,"Out")</f>
        <v>12026623</v>
      </c>
      <c r="K542" s="52">
        <f ca="1">SUMIFS(OUT!$F$2:$F$11000,OUT!$H$2:$H$11000,H542,OUT!$D$2:$D$11000,"Out",OUT!$E$2:$E$11000,"Fix")</f>
        <v>2865413</v>
      </c>
      <c r="L542" s="52">
        <f ca="1">SUMIFS(OUT!$F$2:$F$11000,OUT!$H$2:$H$11000,H542,OUT!$D$2:$D$11000,"Out",OUT!$E$2:$E$11000,"Bathroom")</f>
        <v>120488</v>
      </c>
      <c r="M542" s="52">
        <f ca="1">SUMIFS(OUT!$F$2:$F$11000,OUT!$H$2:$H$11000,H542,OUT!$D$2:$D$11000,"Out",OUT!$E$2:$E$11000,"Alfa")</f>
        <v>890962</v>
      </c>
      <c r="N542" s="52" t="e">
        <f ca="1">SUMIFS(OUT!$F$2:$F$11000,OUT!$H$2:$H$101007,H542,OUT!$D$2:$D$11000,"Out",OUT!$E$2:$E$11000,"Jajan")</f>
        <v>#VALUE!</v>
      </c>
      <c r="O542" s="52">
        <f ca="1">SUMIFS(OUT!$F$2:$F$11000,OUT!$H$2:$H$11000,H542,OUT!$D$2:$D$11000,"Out",OUT!$E$2:$E$11000,"Kitchen")</f>
        <v>1152600</v>
      </c>
      <c r="P542" s="52">
        <f ca="1">SUMIFS(OUT!$F$2:$F$11000,OUT!$H$2:$H$11000,H542,OUT!$D$2:$D$11000,"Out",OUT!$E$2:$E$11000,"Loandry")</f>
        <v>41000</v>
      </c>
      <c r="Q542" s="52">
        <f ca="1">SUMIFS(OUT!$F$2:$F$11000,OUT!$H$2:$H$11000,H542,OUT!$D$2:$D$11000,"Out",OUT!$E$2:$E$11000,"Mio")</f>
        <v>895700</v>
      </c>
      <c r="R542" s="52">
        <f ca="1">SUMIFS(OUT!$F$2:$F$11000,OUT!$H$2:$H$11000,H542,OUT!$D$2:$D$11000,"Out",OUT!$E$2:$E$11000,"Sedekah")</f>
        <v>130000</v>
      </c>
      <c r="S542" s="52">
        <f ca="1">SUMIFS(OUT!$F$2:$F$11000,OUT!$H$2:$H$11000,H542,OUT!$D$2:$D$11000,"Out",OUT!$E$2:$E$11000,"Zela")</f>
        <v>215161</v>
      </c>
      <c r="T542" s="52">
        <f ca="1">SUMIFS(OUT!$F$2:$F$11000,OUT!$H$2:$H$11000,H542,OUT!$D$2:$D$11000,"Out",OUT!$E$2:$E$11000,"Iqbal")</f>
        <v>215000</v>
      </c>
    </row>
    <row r="543" spans="1:20" x14ac:dyDescent="0.2">
      <c r="A543" s="48">
        <f ca="1">IFERROR(__xludf.DUMMYFUNCTION("""COMPUTED_VALUE"""),46084)</f>
        <v>46084</v>
      </c>
      <c r="B543" s="4" t="str">
        <f ca="1">IFERROR(__xludf.DUMMYFUNCTION("""COMPUTED_VALUE"""),"Mie (Alfagift)")</f>
        <v>Mie (Alfagift)</v>
      </c>
      <c r="C543" s="4" t="str">
        <f ca="1">IFERROR(__xludf.DUMMYFUNCTION("""COMPUTED_VALUE"""),"ATM")</f>
        <v>ATM</v>
      </c>
      <c r="D543" s="4" t="str">
        <f ca="1">IFERROR(__xludf.DUMMYFUNCTION("""COMPUTED_VALUE"""),"Out")</f>
        <v>Out</v>
      </c>
      <c r="E543" s="4" t="str">
        <f ca="1">IFERROR(__xludf.DUMMYFUNCTION("""COMPUTED_VALUE"""),"Jajan")</f>
        <v>Jajan</v>
      </c>
      <c r="F543" s="49">
        <f ca="1">IFERROR(__xludf.DUMMYFUNCTION("""COMPUTED_VALUE"""),10000)</f>
        <v>10000</v>
      </c>
      <c r="G543" s="50" t="str">
        <f ca="1">IFERROR(__xludf.DUMMYFUNCTION("""COMPUTED_VALUE"""),"Zela")</f>
        <v>Zela</v>
      </c>
      <c r="H543" s="51">
        <f t="shared" ca="1" si="0"/>
        <v>46082</v>
      </c>
      <c r="I543" s="52" t="e">
        <f ca="1">SUMIFS(OUT!$F$2:$F$11000,OUT!$H$2:$H$11000,H543,OUT!$D$2:$D$101007,"In")</f>
        <v>#VALUE!</v>
      </c>
      <c r="J543" s="52">
        <f ca="1">SUMIFS(OUT!$F$2:$F$11000,OUT!$H$2:$H$11000,H543,OUT!$D$2:$D$11000,"Out")</f>
        <v>12026623</v>
      </c>
      <c r="K543" s="52">
        <f ca="1">SUMIFS(OUT!$F$2:$F$11000,OUT!$H$2:$H$11000,H543,OUT!$D$2:$D$11000,"Out",OUT!$E$2:$E$11000,"Fix")</f>
        <v>2865413</v>
      </c>
      <c r="L543" s="52">
        <f ca="1">SUMIFS(OUT!$F$2:$F$11000,OUT!$H$2:$H$11000,H543,OUT!$D$2:$D$11000,"Out",OUT!$E$2:$E$11000,"Bathroom")</f>
        <v>120488</v>
      </c>
      <c r="M543" s="52">
        <f ca="1">SUMIFS(OUT!$F$2:$F$11000,OUT!$H$2:$H$11000,H543,OUT!$D$2:$D$11000,"Out",OUT!$E$2:$E$11000,"Alfa")</f>
        <v>890962</v>
      </c>
      <c r="N543" s="52" t="e">
        <f ca="1">SUMIFS(OUT!$F$2:$F$11000,OUT!$H$2:$H$101007,H543,OUT!$D$2:$D$11000,"Out",OUT!$E$2:$E$11000,"Jajan")</f>
        <v>#VALUE!</v>
      </c>
      <c r="O543" s="52">
        <f ca="1">SUMIFS(OUT!$F$2:$F$11000,OUT!$H$2:$H$11000,H543,OUT!$D$2:$D$11000,"Out",OUT!$E$2:$E$11000,"Kitchen")</f>
        <v>1152600</v>
      </c>
      <c r="P543" s="52">
        <f ca="1">SUMIFS(OUT!$F$2:$F$11000,OUT!$H$2:$H$11000,H543,OUT!$D$2:$D$11000,"Out",OUT!$E$2:$E$11000,"Loandry")</f>
        <v>41000</v>
      </c>
      <c r="Q543" s="52">
        <f ca="1">SUMIFS(OUT!$F$2:$F$11000,OUT!$H$2:$H$11000,H543,OUT!$D$2:$D$11000,"Out",OUT!$E$2:$E$11000,"Mio")</f>
        <v>895700</v>
      </c>
      <c r="R543" s="52">
        <f ca="1">SUMIFS(OUT!$F$2:$F$11000,OUT!$H$2:$H$11000,H543,OUT!$D$2:$D$11000,"Out",OUT!$E$2:$E$11000,"Sedekah")</f>
        <v>130000</v>
      </c>
      <c r="S543" s="52">
        <f ca="1">SUMIFS(OUT!$F$2:$F$11000,OUT!$H$2:$H$11000,H543,OUT!$D$2:$D$11000,"Out",OUT!$E$2:$E$11000,"Zela")</f>
        <v>215161</v>
      </c>
      <c r="T543" s="52">
        <f ca="1">SUMIFS(OUT!$F$2:$F$11000,OUT!$H$2:$H$11000,H543,OUT!$D$2:$D$11000,"Out",OUT!$E$2:$E$11000,"Iqbal")</f>
        <v>215000</v>
      </c>
    </row>
    <row r="544" spans="1:20" x14ac:dyDescent="0.2">
      <c r="A544" s="48">
        <f ca="1">IFERROR(__xludf.DUMMYFUNCTION("""COMPUTED_VALUE"""),46084)</f>
        <v>46084</v>
      </c>
      <c r="B544" s="4" t="str">
        <f ca="1">IFERROR(__xludf.DUMMYFUNCTION("""COMPUTED_VALUE"""),"Paket by.u")</f>
        <v>Paket by.u</v>
      </c>
      <c r="C544" s="4" t="str">
        <f ca="1">IFERROR(__xludf.DUMMYFUNCTION("""COMPUTED_VALUE"""),"ATM")</f>
        <v>ATM</v>
      </c>
      <c r="D544" s="4" t="str">
        <f ca="1">IFERROR(__xludf.DUMMYFUNCTION("""COMPUTED_VALUE"""),"Out")</f>
        <v>Out</v>
      </c>
      <c r="E544" s="4" t="str">
        <f ca="1">IFERROR(__xludf.DUMMYFUNCTION("""COMPUTED_VALUE"""),"Fix")</f>
        <v>Fix</v>
      </c>
      <c r="F544" s="49">
        <f ca="1">IFERROR(__xludf.DUMMYFUNCTION("""COMPUTED_VALUE"""),15000)</f>
        <v>15000</v>
      </c>
      <c r="G544" s="50" t="str">
        <f ca="1">IFERROR(__xludf.DUMMYFUNCTION("""COMPUTED_VALUE"""),"Zela")</f>
        <v>Zela</v>
      </c>
      <c r="H544" s="51">
        <f t="shared" ca="1" si="0"/>
        <v>46082</v>
      </c>
      <c r="I544" s="52" t="e">
        <f ca="1">SUMIFS(OUT!$F$2:$F$11000,OUT!$H$2:$H$11000,H544,OUT!$D$2:$D$101007,"In")</f>
        <v>#VALUE!</v>
      </c>
      <c r="J544" s="52">
        <f ca="1">SUMIFS(OUT!$F$2:$F$11000,OUT!$H$2:$H$11000,H544,OUT!$D$2:$D$11000,"Out")</f>
        <v>12026623</v>
      </c>
      <c r="K544" s="52">
        <f ca="1">SUMIFS(OUT!$F$2:$F$11000,OUT!$H$2:$H$11000,H544,OUT!$D$2:$D$11000,"Out",OUT!$E$2:$E$11000,"Fix")</f>
        <v>2865413</v>
      </c>
      <c r="L544" s="52">
        <f ca="1">SUMIFS(OUT!$F$2:$F$11000,OUT!$H$2:$H$11000,H544,OUT!$D$2:$D$11000,"Out",OUT!$E$2:$E$11000,"Bathroom")</f>
        <v>120488</v>
      </c>
      <c r="M544" s="52">
        <f ca="1">SUMIFS(OUT!$F$2:$F$11000,OUT!$H$2:$H$11000,H544,OUT!$D$2:$D$11000,"Out",OUT!$E$2:$E$11000,"Alfa")</f>
        <v>890962</v>
      </c>
      <c r="N544" s="52" t="e">
        <f ca="1">SUMIFS(OUT!$F$2:$F$11000,OUT!$H$2:$H$101007,H544,OUT!$D$2:$D$11000,"Out",OUT!$E$2:$E$11000,"Jajan")</f>
        <v>#VALUE!</v>
      </c>
      <c r="O544" s="52">
        <f ca="1">SUMIFS(OUT!$F$2:$F$11000,OUT!$H$2:$H$11000,H544,OUT!$D$2:$D$11000,"Out",OUT!$E$2:$E$11000,"Kitchen")</f>
        <v>1152600</v>
      </c>
      <c r="P544" s="52">
        <f ca="1">SUMIFS(OUT!$F$2:$F$11000,OUT!$H$2:$H$11000,H544,OUT!$D$2:$D$11000,"Out",OUT!$E$2:$E$11000,"Loandry")</f>
        <v>41000</v>
      </c>
      <c r="Q544" s="52">
        <f ca="1">SUMIFS(OUT!$F$2:$F$11000,OUT!$H$2:$H$11000,H544,OUT!$D$2:$D$11000,"Out",OUT!$E$2:$E$11000,"Mio")</f>
        <v>895700</v>
      </c>
      <c r="R544" s="52">
        <f ca="1">SUMIFS(OUT!$F$2:$F$11000,OUT!$H$2:$H$11000,H544,OUT!$D$2:$D$11000,"Out",OUT!$E$2:$E$11000,"Sedekah")</f>
        <v>130000</v>
      </c>
      <c r="S544" s="52">
        <f ca="1">SUMIFS(OUT!$F$2:$F$11000,OUT!$H$2:$H$11000,H544,OUT!$D$2:$D$11000,"Out",OUT!$E$2:$E$11000,"Zela")</f>
        <v>215161</v>
      </c>
      <c r="T544" s="52">
        <f ca="1">SUMIFS(OUT!$F$2:$F$11000,OUT!$H$2:$H$11000,H544,OUT!$D$2:$D$11000,"Out",OUT!$E$2:$E$11000,"Iqbal")</f>
        <v>215000</v>
      </c>
    </row>
    <row r="545" spans="1:20" x14ac:dyDescent="0.2">
      <c r="A545" s="48">
        <f ca="1">IFERROR(__xludf.DUMMYFUNCTION("""COMPUTED_VALUE"""),46084)</f>
        <v>46084</v>
      </c>
      <c r="B545" s="4" t="str">
        <f ca="1">IFERROR(__xludf.DUMMYFUNCTION("""COMPUTED_VALUE"""),"Kerjaan Tambahan Baba")</f>
        <v>Kerjaan Tambahan Baba</v>
      </c>
      <c r="C545" s="4" t="str">
        <f ca="1">IFERROR(__xludf.DUMMYFUNCTION("""COMPUTED_VALUE"""),"ATM")</f>
        <v>ATM</v>
      </c>
      <c r="D545" s="4" t="str">
        <f ca="1">IFERROR(__xludf.DUMMYFUNCTION("""COMPUTED_VALUE"""),"In")</f>
        <v>In</v>
      </c>
      <c r="E545" s="4" t="str">
        <f ca="1">IFERROR(__xludf.DUMMYFUNCTION("""COMPUTED_VALUE"""),"Fix")</f>
        <v>Fix</v>
      </c>
      <c r="F545" s="49">
        <f ca="1">IFERROR(__xludf.DUMMYFUNCTION("""COMPUTED_VALUE"""),150000)</f>
        <v>150000</v>
      </c>
      <c r="G545" s="50" t="str">
        <f ca="1">IFERROR(__xludf.DUMMYFUNCTION("""COMPUTED_VALUE"""),"Zela")</f>
        <v>Zela</v>
      </c>
      <c r="H545" s="51">
        <f t="shared" ca="1" si="0"/>
        <v>46082</v>
      </c>
      <c r="I545" s="52" t="e">
        <f ca="1">SUMIFS(OUT!$F$2:$F$11000,OUT!$H$2:$H$11000,H545,OUT!$D$2:$D$101007,"In")</f>
        <v>#VALUE!</v>
      </c>
      <c r="J545" s="52">
        <f ca="1">SUMIFS(OUT!$F$2:$F$11000,OUT!$H$2:$H$11000,H545,OUT!$D$2:$D$11000,"Out")</f>
        <v>12026623</v>
      </c>
      <c r="K545" s="52">
        <f ca="1">SUMIFS(OUT!$F$2:$F$11000,OUT!$H$2:$H$11000,H545,OUT!$D$2:$D$11000,"Out",OUT!$E$2:$E$11000,"Fix")</f>
        <v>2865413</v>
      </c>
      <c r="L545" s="52">
        <f ca="1">SUMIFS(OUT!$F$2:$F$11000,OUT!$H$2:$H$11000,H545,OUT!$D$2:$D$11000,"Out",OUT!$E$2:$E$11000,"Bathroom")</f>
        <v>120488</v>
      </c>
      <c r="M545" s="52">
        <f ca="1">SUMIFS(OUT!$F$2:$F$11000,OUT!$H$2:$H$11000,H545,OUT!$D$2:$D$11000,"Out",OUT!$E$2:$E$11000,"Alfa")</f>
        <v>890962</v>
      </c>
      <c r="N545" s="52" t="e">
        <f ca="1">SUMIFS(OUT!$F$2:$F$11000,OUT!$H$2:$H$101007,H545,OUT!$D$2:$D$11000,"Out",OUT!$E$2:$E$11000,"Jajan")</f>
        <v>#VALUE!</v>
      </c>
      <c r="O545" s="52">
        <f ca="1">SUMIFS(OUT!$F$2:$F$11000,OUT!$H$2:$H$11000,H545,OUT!$D$2:$D$11000,"Out",OUT!$E$2:$E$11000,"Kitchen")</f>
        <v>1152600</v>
      </c>
      <c r="P545" s="52">
        <f ca="1">SUMIFS(OUT!$F$2:$F$11000,OUT!$H$2:$H$11000,H545,OUT!$D$2:$D$11000,"Out",OUT!$E$2:$E$11000,"Loandry")</f>
        <v>41000</v>
      </c>
      <c r="Q545" s="52">
        <f ca="1">SUMIFS(OUT!$F$2:$F$11000,OUT!$H$2:$H$11000,H545,OUT!$D$2:$D$11000,"Out",OUT!$E$2:$E$11000,"Mio")</f>
        <v>895700</v>
      </c>
      <c r="R545" s="52">
        <f ca="1">SUMIFS(OUT!$F$2:$F$11000,OUT!$H$2:$H$11000,H545,OUT!$D$2:$D$11000,"Out",OUT!$E$2:$E$11000,"Sedekah")</f>
        <v>130000</v>
      </c>
      <c r="S545" s="52">
        <f ca="1">SUMIFS(OUT!$F$2:$F$11000,OUT!$H$2:$H$11000,H545,OUT!$D$2:$D$11000,"Out",OUT!$E$2:$E$11000,"Zela")</f>
        <v>215161</v>
      </c>
      <c r="T545" s="52">
        <f ca="1">SUMIFS(OUT!$F$2:$F$11000,OUT!$H$2:$H$11000,H545,OUT!$D$2:$D$11000,"Out",OUT!$E$2:$E$11000,"Iqbal")</f>
        <v>215000</v>
      </c>
    </row>
    <row r="546" spans="1:20" x14ac:dyDescent="0.2">
      <c r="A546" s="48">
        <f ca="1">IFERROR(__xludf.DUMMYFUNCTION("""COMPUTED_VALUE"""),46084)</f>
        <v>46084</v>
      </c>
      <c r="B546" s="4" t="str">
        <f ca="1">IFERROR(__xludf.DUMMYFUNCTION("""COMPUTED_VALUE"""),"TF baba")</f>
        <v>TF baba</v>
      </c>
      <c r="C546" s="4" t="str">
        <f ca="1">IFERROR(__xludf.DUMMYFUNCTION("""COMPUTED_VALUE"""),"ATM")</f>
        <v>ATM</v>
      </c>
      <c r="D546" s="4" t="str">
        <f ca="1">IFERROR(__xludf.DUMMYFUNCTION("""COMPUTED_VALUE"""),"Out")</f>
        <v>Out</v>
      </c>
      <c r="E546" s="4" t="str">
        <f ca="1">IFERROR(__xludf.DUMMYFUNCTION("""COMPUTED_VALUE"""),"Move")</f>
        <v>Move</v>
      </c>
      <c r="F546" s="49">
        <f ca="1">IFERROR(__xludf.DUMMYFUNCTION("""COMPUTED_VALUE"""),50000)</f>
        <v>50000</v>
      </c>
      <c r="G546" s="50" t="str">
        <f ca="1">IFERROR(__xludf.DUMMYFUNCTION("""COMPUTED_VALUE"""),"Zela")</f>
        <v>Zela</v>
      </c>
      <c r="H546" s="51">
        <f t="shared" ca="1" si="0"/>
        <v>46082</v>
      </c>
      <c r="I546" s="52" t="e">
        <f ca="1">SUMIFS(OUT!$F$2:$F$11000,OUT!$H$2:$H$11000,H546,OUT!$D$2:$D$101007,"In")</f>
        <v>#VALUE!</v>
      </c>
      <c r="J546" s="52">
        <f ca="1">SUMIFS(OUT!$F$2:$F$11000,OUT!$H$2:$H$11000,H546,OUT!$D$2:$D$11000,"Out")</f>
        <v>12026623</v>
      </c>
      <c r="K546" s="52">
        <f ca="1">SUMIFS(OUT!$F$2:$F$11000,OUT!$H$2:$H$11000,H546,OUT!$D$2:$D$11000,"Out",OUT!$E$2:$E$11000,"Fix")</f>
        <v>2865413</v>
      </c>
      <c r="L546" s="52">
        <f ca="1">SUMIFS(OUT!$F$2:$F$11000,OUT!$H$2:$H$11000,H546,OUT!$D$2:$D$11000,"Out",OUT!$E$2:$E$11000,"Bathroom")</f>
        <v>120488</v>
      </c>
      <c r="M546" s="52">
        <f ca="1">SUMIFS(OUT!$F$2:$F$11000,OUT!$H$2:$H$11000,H546,OUT!$D$2:$D$11000,"Out",OUT!$E$2:$E$11000,"Alfa")</f>
        <v>890962</v>
      </c>
      <c r="N546" s="52" t="e">
        <f ca="1">SUMIFS(OUT!$F$2:$F$11000,OUT!$H$2:$H$101007,H546,OUT!$D$2:$D$11000,"Out",OUT!$E$2:$E$11000,"Jajan")</f>
        <v>#VALUE!</v>
      </c>
      <c r="O546" s="52">
        <f ca="1">SUMIFS(OUT!$F$2:$F$11000,OUT!$H$2:$H$11000,H546,OUT!$D$2:$D$11000,"Out",OUT!$E$2:$E$11000,"Kitchen")</f>
        <v>1152600</v>
      </c>
      <c r="P546" s="52">
        <f ca="1">SUMIFS(OUT!$F$2:$F$11000,OUT!$H$2:$H$11000,H546,OUT!$D$2:$D$11000,"Out",OUT!$E$2:$E$11000,"Loandry")</f>
        <v>41000</v>
      </c>
      <c r="Q546" s="52">
        <f ca="1">SUMIFS(OUT!$F$2:$F$11000,OUT!$H$2:$H$11000,H546,OUT!$D$2:$D$11000,"Out",OUT!$E$2:$E$11000,"Mio")</f>
        <v>895700</v>
      </c>
      <c r="R546" s="52">
        <f ca="1">SUMIFS(OUT!$F$2:$F$11000,OUT!$H$2:$H$11000,H546,OUT!$D$2:$D$11000,"Out",OUT!$E$2:$E$11000,"Sedekah")</f>
        <v>130000</v>
      </c>
      <c r="S546" s="52">
        <f ca="1">SUMIFS(OUT!$F$2:$F$11000,OUT!$H$2:$H$11000,H546,OUT!$D$2:$D$11000,"Out",OUT!$E$2:$E$11000,"Zela")</f>
        <v>215161</v>
      </c>
      <c r="T546" s="52">
        <f ca="1">SUMIFS(OUT!$F$2:$F$11000,OUT!$H$2:$H$11000,H546,OUT!$D$2:$D$11000,"Out",OUT!$E$2:$E$11000,"Iqbal")</f>
        <v>215000</v>
      </c>
    </row>
    <row r="547" spans="1:20" x14ac:dyDescent="0.2">
      <c r="A547" s="48">
        <f ca="1">IFERROR(__xludf.DUMMYFUNCTION("""COMPUTED_VALUE"""),46084)</f>
        <v>46084</v>
      </c>
      <c r="B547" s="4" t="str">
        <f ca="1">IFERROR(__xludf.DUMMYFUNCTION("""COMPUTED_VALUE"""),"Galon")</f>
        <v>Galon</v>
      </c>
      <c r="C547" s="4" t="str">
        <f ca="1">IFERROR(__xludf.DUMMYFUNCTION("""COMPUTED_VALUE"""),"Cash")</f>
        <v>Cash</v>
      </c>
      <c r="D547" s="4" t="str">
        <f ca="1">IFERROR(__xludf.DUMMYFUNCTION("""COMPUTED_VALUE"""),"Out")</f>
        <v>Out</v>
      </c>
      <c r="E547" s="4" t="str">
        <f ca="1">IFERROR(__xludf.DUMMYFUNCTION("""COMPUTED_VALUE"""),"Kitchen")</f>
        <v>Kitchen</v>
      </c>
      <c r="F547" s="49">
        <f ca="1">IFERROR(__xludf.DUMMYFUNCTION("""COMPUTED_VALUE"""),4000)</f>
        <v>4000</v>
      </c>
      <c r="G547" s="50" t="str">
        <f ca="1">IFERROR(__xludf.DUMMYFUNCTION("""COMPUTED_VALUE"""),"Zela")</f>
        <v>Zela</v>
      </c>
      <c r="H547" s="51">
        <f t="shared" ca="1" si="0"/>
        <v>46082</v>
      </c>
      <c r="I547" s="52" t="e">
        <f ca="1">SUMIFS(OUT!$F$2:$F$11000,OUT!$H$2:$H$11000,H547,OUT!$D$2:$D$101007,"In")</f>
        <v>#VALUE!</v>
      </c>
      <c r="J547" s="52">
        <f ca="1">SUMIFS(OUT!$F$2:$F$11000,OUT!$H$2:$H$11000,H547,OUT!$D$2:$D$11000,"Out")</f>
        <v>12026623</v>
      </c>
      <c r="K547" s="52">
        <f ca="1">SUMIFS(OUT!$F$2:$F$11000,OUT!$H$2:$H$11000,H547,OUT!$D$2:$D$11000,"Out",OUT!$E$2:$E$11000,"Fix")</f>
        <v>2865413</v>
      </c>
      <c r="L547" s="52">
        <f ca="1">SUMIFS(OUT!$F$2:$F$11000,OUT!$H$2:$H$11000,H547,OUT!$D$2:$D$11000,"Out",OUT!$E$2:$E$11000,"Bathroom")</f>
        <v>120488</v>
      </c>
      <c r="M547" s="52">
        <f ca="1">SUMIFS(OUT!$F$2:$F$11000,OUT!$H$2:$H$11000,H547,OUT!$D$2:$D$11000,"Out",OUT!$E$2:$E$11000,"Alfa")</f>
        <v>890962</v>
      </c>
      <c r="N547" s="52" t="e">
        <f ca="1">SUMIFS(OUT!$F$2:$F$11000,OUT!$H$2:$H$101007,H547,OUT!$D$2:$D$11000,"Out",OUT!$E$2:$E$11000,"Jajan")</f>
        <v>#VALUE!</v>
      </c>
      <c r="O547" s="52">
        <f ca="1">SUMIFS(OUT!$F$2:$F$11000,OUT!$H$2:$H$11000,H547,OUT!$D$2:$D$11000,"Out",OUT!$E$2:$E$11000,"Kitchen")</f>
        <v>1152600</v>
      </c>
      <c r="P547" s="52">
        <f ca="1">SUMIFS(OUT!$F$2:$F$11000,OUT!$H$2:$H$11000,H547,OUT!$D$2:$D$11000,"Out",OUT!$E$2:$E$11000,"Loandry")</f>
        <v>41000</v>
      </c>
      <c r="Q547" s="52">
        <f ca="1">SUMIFS(OUT!$F$2:$F$11000,OUT!$H$2:$H$11000,H547,OUT!$D$2:$D$11000,"Out",OUT!$E$2:$E$11000,"Mio")</f>
        <v>895700</v>
      </c>
      <c r="R547" s="52">
        <f ca="1">SUMIFS(OUT!$F$2:$F$11000,OUT!$H$2:$H$11000,H547,OUT!$D$2:$D$11000,"Out",OUT!$E$2:$E$11000,"Sedekah")</f>
        <v>130000</v>
      </c>
      <c r="S547" s="52">
        <f ca="1">SUMIFS(OUT!$F$2:$F$11000,OUT!$H$2:$H$11000,H547,OUT!$D$2:$D$11000,"Out",OUT!$E$2:$E$11000,"Zela")</f>
        <v>215161</v>
      </c>
      <c r="T547" s="52">
        <f ca="1">SUMIFS(OUT!$F$2:$F$11000,OUT!$H$2:$H$11000,H547,OUT!$D$2:$D$11000,"Out",OUT!$E$2:$E$11000,"Iqbal")</f>
        <v>215000</v>
      </c>
    </row>
    <row r="548" spans="1:20" x14ac:dyDescent="0.2">
      <c r="A548" s="48">
        <f ca="1">IFERROR(__xludf.DUMMYFUNCTION("""COMPUTED_VALUE"""),46084)</f>
        <v>46084</v>
      </c>
      <c r="B548" s="4" t="str">
        <f ca="1">IFERROR(__xludf.DUMMYFUNCTION("""COMPUTED_VALUE"""),"Gas 2")</f>
        <v>Gas 2</v>
      </c>
      <c r="C548" s="4" t="str">
        <f ca="1">IFERROR(__xludf.DUMMYFUNCTION("""COMPUTED_VALUE"""),"Cash")</f>
        <v>Cash</v>
      </c>
      <c r="D548" s="4" t="str">
        <f ca="1">IFERROR(__xludf.DUMMYFUNCTION("""COMPUTED_VALUE"""),"Out")</f>
        <v>Out</v>
      </c>
      <c r="E548" s="4" t="str">
        <f ca="1">IFERROR(__xludf.DUMMYFUNCTION("""COMPUTED_VALUE"""),"Kitchen")</f>
        <v>Kitchen</v>
      </c>
      <c r="F548" s="49">
        <f ca="1">IFERROR(__xludf.DUMMYFUNCTION("""COMPUTED_VALUE"""),36000)</f>
        <v>36000</v>
      </c>
      <c r="G548" s="50" t="str">
        <f ca="1">IFERROR(__xludf.DUMMYFUNCTION("""COMPUTED_VALUE"""),"Zela")</f>
        <v>Zela</v>
      </c>
      <c r="H548" s="51">
        <f t="shared" ca="1" si="0"/>
        <v>46082</v>
      </c>
      <c r="I548" s="52" t="e">
        <f ca="1">SUMIFS(OUT!$F$2:$F$11000,OUT!$H$2:$H$11000,H548,OUT!$D$2:$D$101007,"In")</f>
        <v>#VALUE!</v>
      </c>
      <c r="J548" s="52">
        <f ca="1">SUMIFS(OUT!$F$2:$F$11000,OUT!$H$2:$H$11000,H548,OUT!$D$2:$D$11000,"Out")</f>
        <v>12026623</v>
      </c>
      <c r="K548" s="52">
        <f ca="1">SUMIFS(OUT!$F$2:$F$11000,OUT!$H$2:$H$11000,H548,OUT!$D$2:$D$11000,"Out",OUT!$E$2:$E$11000,"Fix")</f>
        <v>2865413</v>
      </c>
      <c r="L548" s="52">
        <f ca="1">SUMIFS(OUT!$F$2:$F$11000,OUT!$H$2:$H$11000,H548,OUT!$D$2:$D$11000,"Out",OUT!$E$2:$E$11000,"Bathroom")</f>
        <v>120488</v>
      </c>
      <c r="M548" s="52">
        <f ca="1">SUMIFS(OUT!$F$2:$F$11000,OUT!$H$2:$H$11000,H548,OUT!$D$2:$D$11000,"Out",OUT!$E$2:$E$11000,"Alfa")</f>
        <v>890962</v>
      </c>
      <c r="N548" s="52" t="e">
        <f ca="1">SUMIFS(OUT!$F$2:$F$11000,OUT!$H$2:$H$101007,H548,OUT!$D$2:$D$11000,"Out",OUT!$E$2:$E$11000,"Jajan")</f>
        <v>#VALUE!</v>
      </c>
      <c r="O548" s="52">
        <f ca="1">SUMIFS(OUT!$F$2:$F$11000,OUT!$H$2:$H$11000,H548,OUT!$D$2:$D$11000,"Out",OUT!$E$2:$E$11000,"Kitchen")</f>
        <v>1152600</v>
      </c>
      <c r="P548" s="52">
        <f ca="1">SUMIFS(OUT!$F$2:$F$11000,OUT!$H$2:$H$11000,H548,OUT!$D$2:$D$11000,"Out",OUT!$E$2:$E$11000,"Loandry")</f>
        <v>41000</v>
      </c>
      <c r="Q548" s="52">
        <f ca="1">SUMIFS(OUT!$F$2:$F$11000,OUT!$H$2:$H$11000,H548,OUT!$D$2:$D$11000,"Out",OUT!$E$2:$E$11000,"Mio")</f>
        <v>895700</v>
      </c>
      <c r="R548" s="52">
        <f ca="1">SUMIFS(OUT!$F$2:$F$11000,OUT!$H$2:$H$11000,H548,OUT!$D$2:$D$11000,"Out",OUT!$E$2:$E$11000,"Sedekah")</f>
        <v>130000</v>
      </c>
      <c r="S548" s="52">
        <f ca="1">SUMIFS(OUT!$F$2:$F$11000,OUT!$H$2:$H$11000,H548,OUT!$D$2:$D$11000,"Out",OUT!$E$2:$E$11000,"Zela")</f>
        <v>215161</v>
      </c>
      <c r="T548" s="52">
        <f ca="1">SUMIFS(OUT!$F$2:$F$11000,OUT!$H$2:$H$11000,H548,OUT!$D$2:$D$11000,"Out",OUT!$E$2:$E$11000,"Iqbal")</f>
        <v>215000</v>
      </c>
    </row>
    <row r="549" spans="1:20" x14ac:dyDescent="0.2">
      <c r="A549" s="48">
        <f ca="1">IFERROR(__xludf.DUMMYFUNCTION("""COMPUTED_VALUE"""),46085)</f>
        <v>46085</v>
      </c>
      <c r="B549" s="4" t="str">
        <f ca="1">IFERROR(__xludf.DUMMYFUNCTION("""COMPUTED_VALUE"""),"Botol alfa+Soflen+lipstik(Tokopedia)")</f>
        <v>Botol alfa+Soflen+lipstik(Tokopedia)</v>
      </c>
      <c r="C549" s="4" t="str">
        <f ca="1">IFERROR(__xludf.DUMMYFUNCTION("""COMPUTED_VALUE"""),"ATM")</f>
        <v>ATM</v>
      </c>
      <c r="D549" s="4" t="str">
        <f ca="1">IFERROR(__xludf.DUMMYFUNCTION("""COMPUTED_VALUE"""),"Out")</f>
        <v>Out</v>
      </c>
      <c r="E549" s="4" t="str">
        <f ca="1">IFERROR(__xludf.DUMMYFUNCTION("""COMPUTED_VALUE"""),"Zela")</f>
        <v>Zela</v>
      </c>
      <c r="F549" s="49">
        <f ca="1">IFERROR(__xludf.DUMMYFUNCTION("""COMPUTED_VALUE"""),77384)</f>
        <v>77384</v>
      </c>
      <c r="G549" s="50" t="str">
        <f ca="1">IFERROR(__xludf.DUMMYFUNCTION("""COMPUTED_VALUE"""),"Zela")</f>
        <v>Zela</v>
      </c>
      <c r="H549" s="51">
        <f t="shared" ca="1" si="0"/>
        <v>46082</v>
      </c>
      <c r="I549" s="52" t="e">
        <f ca="1">SUMIFS(OUT!$F$2:$F$11000,OUT!$H$2:$H$11000,H549,OUT!$D$2:$D$101007,"In")</f>
        <v>#VALUE!</v>
      </c>
      <c r="J549" s="52">
        <f ca="1">SUMIFS(OUT!$F$2:$F$11000,OUT!$H$2:$H$11000,H549,OUT!$D$2:$D$11000,"Out")</f>
        <v>12026623</v>
      </c>
      <c r="K549" s="52">
        <f ca="1">SUMIFS(OUT!$F$2:$F$11000,OUT!$H$2:$H$11000,H549,OUT!$D$2:$D$11000,"Out",OUT!$E$2:$E$11000,"Fix")</f>
        <v>2865413</v>
      </c>
      <c r="L549" s="52">
        <f ca="1">SUMIFS(OUT!$F$2:$F$11000,OUT!$H$2:$H$11000,H549,OUT!$D$2:$D$11000,"Out",OUT!$E$2:$E$11000,"Bathroom")</f>
        <v>120488</v>
      </c>
      <c r="M549" s="52">
        <f ca="1">SUMIFS(OUT!$F$2:$F$11000,OUT!$H$2:$H$11000,H549,OUT!$D$2:$D$11000,"Out",OUT!$E$2:$E$11000,"Alfa")</f>
        <v>890962</v>
      </c>
      <c r="N549" s="52" t="e">
        <f ca="1">SUMIFS(OUT!$F$2:$F$11000,OUT!$H$2:$H$101007,H549,OUT!$D$2:$D$11000,"Out",OUT!$E$2:$E$11000,"Jajan")</f>
        <v>#VALUE!</v>
      </c>
      <c r="O549" s="52">
        <f ca="1">SUMIFS(OUT!$F$2:$F$11000,OUT!$H$2:$H$11000,H549,OUT!$D$2:$D$11000,"Out",OUT!$E$2:$E$11000,"Kitchen")</f>
        <v>1152600</v>
      </c>
      <c r="P549" s="52">
        <f ca="1">SUMIFS(OUT!$F$2:$F$11000,OUT!$H$2:$H$11000,H549,OUT!$D$2:$D$11000,"Out",OUT!$E$2:$E$11000,"Loandry")</f>
        <v>41000</v>
      </c>
      <c r="Q549" s="52">
        <f ca="1">SUMIFS(OUT!$F$2:$F$11000,OUT!$H$2:$H$11000,H549,OUT!$D$2:$D$11000,"Out",OUT!$E$2:$E$11000,"Mio")</f>
        <v>895700</v>
      </c>
      <c r="R549" s="52">
        <f ca="1">SUMIFS(OUT!$F$2:$F$11000,OUT!$H$2:$H$11000,H549,OUT!$D$2:$D$11000,"Out",OUT!$E$2:$E$11000,"Sedekah")</f>
        <v>130000</v>
      </c>
      <c r="S549" s="52">
        <f ca="1">SUMIFS(OUT!$F$2:$F$11000,OUT!$H$2:$H$11000,H549,OUT!$D$2:$D$11000,"Out",OUT!$E$2:$E$11000,"Zela")</f>
        <v>215161</v>
      </c>
      <c r="T549" s="52">
        <f ca="1">SUMIFS(OUT!$F$2:$F$11000,OUT!$H$2:$H$11000,H549,OUT!$D$2:$D$11000,"Out",OUT!$E$2:$E$11000,"Iqbal")</f>
        <v>215000</v>
      </c>
    </row>
    <row r="550" spans="1:20" x14ac:dyDescent="0.2">
      <c r="A550" s="48">
        <f ca="1">IFERROR(__xludf.DUMMYFUNCTION("""COMPUTED_VALUE"""),46085)</f>
        <v>46085</v>
      </c>
      <c r="B550" s="4" t="str">
        <f ca="1">IFERROR(__xludf.DUMMYFUNCTION("""COMPUTED_VALUE"""),"VT alfa (Temo Eye Eye (Tokopedia)")</f>
        <v>VT alfa (Temo Eye Eye (Tokopedia)</v>
      </c>
      <c r="C550" s="4" t="str">
        <f ca="1">IFERROR(__xludf.DUMMYFUNCTION("""COMPUTED_VALUE"""),"ATM")</f>
        <v>ATM</v>
      </c>
      <c r="D550" s="4" t="str">
        <f ca="1">IFERROR(__xludf.DUMMYFUNCTION("""COMPUTED_VALUE"""),"Out")</f>
        <v>Out</v>
      </c>
      <c r="E550" s="4" t="str">
        <f ca="1">IFERROR(__xludf.DUMMYFUNCTION("""COMPUTED_VALUE"""),"Alfa")</f>
        <v>Alfa</v>
      </c>
      <c r="F550" s="49">
        <f ca="1">IFERROR(__xludf.DUMMYFUNCTION("""COMPUTED_VALUE"""),41588)</f>
        <v>41588</v>
      </c>
      <c r="G550" s="50" t="str">
        <f ca="1">IFERROR(__xludf.DUMMYFUNCTION("""COMPUTED_VALUE"""),"Zela")</f>
        <v>Zela</v>
      </c>
      <c r="H550" s="51">
        <f t="shared" ca="1" si="0"/>
        <v>46082</v>
      </c>
      <c r="I550" s="52" t="e">
        <f ca="1">SUMIFS(OUT!$F$2:$F$11000,OUT!$H$2:$H$11000,H550,OUT!$D$2:$D$101007,"In")</f>
        <v>#VALUE!</v>
      </c>
      <c r="J550" s="52">
        <f ca="1">SUMIFS(OUT!$F$2:$F$11000,OUT!$H$2:$H$11000,H550,OUT!$D$2:$D$11000,"Out")</f>
        <v>12026623</v>
      </c>
      <c r="K550" s="52">
        <f ca="1">SUMIFS(OUT!$F$2:$F$11000,OUT!$H$2:$H$11000,H550,OUT!$D$2:$D$11000,"Out",OUT!$E$2:$E$11000,"Fix")</f>
        <v>2865413</v>
      </c>
      <c r="L550" s="52">
        <f ca="1">SUMIFS(OUT!$F$2:$F$11000,OUT!$H$2:$H$11000,H550,OUT!$D$2:$D$11000,"Out",OUT!$E$2:$E$11000,"Bathroom")</f>
        <v>120488</v>
      </c>
      <c r="M550" s="52">
        <f ca="1">SUMIFS(OUT!$F$2:$F$11000,OUT!$H$2:$H$11000,H550,OUT!$D$2:$D$11000,"Out",OUT!$E$2:$E$11000,"Alfa")</f>
        <v>890962</v>
      </c>
      <c r="N550" s="52" t="e">
        <f ca="1">SUMIFS(OUT!$F$2:$F$11000,OUT!$H$2:$H$101007,H550,OUT!$D$2:$D$11000,"Out",OUT!$E$2:$E$11000,"Jajan")</f>
        <v>#VALUE!</v>
      </c>
      <c r="O550" s="52">
        <f ca="1">SUMIFS(OUT!$F$2:$F$11000,OUT!$H$2:$H$11000,H550,OUT!$D$2:$D$11000,"Out",OUT!$E$2:$E$11000,"Kitchen")</f>
        <v>1152600</v>
      </c>
      <c r="P550" s="52">
        <f ca="1">SUMIFS(OUT!$F$2:$F$11000,OUT!$H$2:$H$11000,H550,OUT!$D$2:$D$11000,"Out",OUT!$E$2:$E$11000,"Loandry")</f>
        <v>41000</v>
      </c>
      <c r="Q550" s="52">
        <f ca="1">SUMIFS(OUT!$F$2:$F$11000,OUT!$H$2:$H$11000,H550,OUT!$D$2:$D$11000,"Out",OUT!$E$2:$E$11000,"Mio")</f>
        <v>895700</v>
      </c>
      <c r="R550" s="52">
        <f ca="1">SUMIFS(OUT!$F$2:$F$11000,OUT!$H$2:$H$11000,H550,OUT!$D$2:$D$11000,"Out",OUT!$E$2:$E$11000,"Sedekah")</f>
        <v>130000</v>
      </c>
      <c r="S550" s="52">
        <f ca="1">SUMIFS(OUT!$F$2:$F$11000,OUT!$H$2:$H$11000,H550,OUT!$D$2:$D$11000,"Out",OUT!$E$2:$E$11000,"Zela")</f>
        <v>215161</v>
      </c>
      <c r="T550" s="52">
        <f ca="1">SUMIFS(OUT!$F$2:$F$11000,OUT!$H$2:$H$11000,H550,OUT!$D$2:$D$11000,"Out",OUT!$E$2:$E$11000,"Iqbal")</f>
        <v>215000</v>
      </c>
    </row>
    <row r="551" spans="1:20" x14ac:dyDescent="0.2">
      <c r="A551" s="48">
        <f ca="1">IFERROR(__xludf.DUMMYFUNCTION("""COMPUTED_VALUE"""),46085)</f>
        <v>46085</v>
      </c>
      <c r="B551" s="4" t="str">
        <f ca="1">IFERROR(__xludf.DUMMYFUNCTION("""COMPUTED_VALUE"""),"Tehbotol+roti + Yogurt Alfa (Teknisi Wifi)")</f>
        <v>Tehbotol+roti + Yogurt Alfa (Teknisi Wifi)</v>
      </c>
      <c r="C551" s="4" t="str">
        <f ca="1">IFERROR(__xludf.DUMMYFUNCTION("""COMPUTED_VALUE"""),"ATM")</f>
        <v>ATM</v>
      </c>
      <c r="D551" s="4" t="str">
        <f ca="1">IFERROR(__xludf.DUMMYFUNCTION("""COMPUTED_VALUE"""),"Out")</f>
        <v>Out</v>
      </c>
      <c r="E551" s="4" t="str">
        <f ca="1">IFERROR(__xludf.DUMMYFUNCTION("""COMPUTED_VALUE"""),"Jajan")</f>
        <v>Jajan</v>
      </c>
      <c r="F551" s="49">
        <f ca="1">IFERROR(__xludf.DUMMYFUNCTION("""COMPUTED_VALUE"""),26800)</f>
        <v>26800</v>
      </c>
      <c r="G551" s="50" t="str">
        <f ca="1">IFERROR(__xludf.DUMMYFUNCTION("""COMPUTED_VALUE"""),"Zela")</f>
        <v>Zela</v>
      </c>
      <c r="H551" s="51">
        <f t="shared" ca="1" si="0"/>
        <v>46082</v>
      </c>
      <c r="I551" s="52" t="e">
        <f ca="1">SUMIFS(OUT!$F$2:$F$11000,OUT!$H$2:$H$11000,H551,OUT!$D$2:$D$101007,"In")</f>
        <v>#VALUE!</v>
      </c>
      <c r="J551" s="52">
        <f ca="1">SUMIFS(OUT!$F$2:$F$11000,OUT!$H$2:$H$11000,H551,OUT!$D$2:$D$11000,"Out")</f>
        <v>12026623</v>
      </c>
      <c r="K551" s="52">
        <f ca="1">SUMIFS(OUT!$F$2:$F$11000,OUT!$H$2:$H$11000,H551,OUT!$D$2:$D$11000,"Out",OUT!$E$2:$E$11000,"Fix")</f>
        <v>2865413</v>
      </c>
      <c r="L551" s="52">
        <f ca="1">SUMIFS(OUT!$F$2:$F$11000,OUT!$H$2:$H$11000,H551,OUT!$D$2:$D$11000,"Out",OUT!$E$2:$E$11000,"Bathroom")</f>
        <v>120488</v>
      </c>
      <c r="M551" s="52">
        <f ca="1">SUMIFS(OUT!$F$2:$F$11000,OUT!$H$2:$H$11000,H551,OUT!$D$2:$D$11000,"Out",OUT!$E$2:$E$11000,"Alfa")</f>
        <v>890962</v>
      </c>
      <c r="N551" s="52" t="e">
        <f ca="1">SUMIFS(OUT!$F$2:$F$11000,OUT!$H$2:$H$101007,H551,OUT!$D$2:$D$11000,"Out",OUT!$E$2:$E$11000,"Jajan")</f>
        <v>#VALUE!</v>
      </c>
      <c r="O551" s="52">
        <f ca="1">SUMIFS(OUT!$F$2:$F$11000,OUT!$H$2:$H$11000,H551,OUT!$D$2:$D$11000,"Out",OUT!$E$2:$E$11000,"Kitchen")</f>
        <v>1152600</v>
      </c>
      <c r="P551" s="52">
        <f ca="1">SUMIFS(OUT!$F$2:$F$11000,OUT!$H$2:$H$11000,H551,OUT!$D$2:$D$11000,"Out",OUT!$E$2:$E$11000,"Loandry")</f>
        <v>41000</v>
      </c>
      <c r="Q551" s="52">
        <f ca="1">SUMIFS(OUT!$F$2:$F$11000,OUT!$H$2:$H$11000,H551,OUT!$D$2:$D$11000,"Out",OUT!$E$2:$E$11000,"Mio")</f>
        <v>895700</v>
      </c>
      <c r="R551" s="52">
        <f ca="1">SUMIFS(OUT!$F$2:$F$11000,OUT!$H$2:$H$11000,H551,OUT!$D$2:$D$11000,"Out",OUT!$E$2:$E$11000,"Sedekah")</f>
        <v>130000</v>
      </c>
      <c r="S551" s="52">
        <f ca="1">SUMIFS(OUT!$F$2:$F$11000,OUT!$H$2:$H$11000,H551,OUT!$D$2:$D$11000,"Out",OUT!$E$2:$E$11000,"Zela")</f>
        <v>215161</v>
      </c>
      <c r="T551" s="52">
        <f ca="1">SUMIFS(OUT!$F$2:$F$11000,OUT!$H$2:$H$11000,H551,OUT!$D$2:$D$11000,"Out",OUT!$E$2:$E$11000,"Iqbal")</f>
        <v>215000</v>
      </c>
    </row>
    <row r="552" spans="1:20" x14ac:dyDescent="0.2">
      <c r="A552" s="48">
        <f ca="1">IFERROR(__xludf.DUMMYFUNCTION("""COMPUTED_VALUE"""),46085)</f>
        <v>46085</v>
      </c>
      <c r="B552" s="4" t="str">
        <f ca="1">IFERROR(__xludf.DUMMYFUNCTION("""COMPUTED_VALUE"""),"Wifi MyRepublic (Maret 2026)")</f>
        <v>Wifi MyRepublic (Maret 2026)</v>
      </c>
      <c r="C552" s="4" t="str">
        <f ca="1">IFERROR(__xludf.DUMMYFUNCTION("""COMPUTED_VALUE"""),"ATM")</f>
        <v>ATM</v>
      </c>
      <c r="D552" s="4" t="str">
        <f ca="1">IFERROR(__xludf.DUMMYFUNCTION("""COMPUTED_VALUE"""),"Out")</f>
        <v>Out</v>
      </c>
      <c r="E552" s="4" t="str">
        <f ca="1">IFERROR(__xludf.DUMMYFUNCTION("""COMPUTED_VALUE"""),"Fix")</f>
        <v>Fix</v>
      </c>
      <c r="F552" s="49">
        <f ca="1">IFERROR(__xludf.DUMMYFUNCTION("""COMPUTED_VALUE"""),233100)</f>
        <v>233100</v>
      </c>
      <c r="G552" s="50" t="str">
        <f ca="1">IFERROR(__xludf.DUMMYFUNCTION("""COMPUTED_VALUE"""),"Zela")</f>
        <v>Zela</v>
      </c>
      <c r="H552" s="51">
        <f t="shared" ca="1" si="0"/>
        <v>46082</v>
      </c>
      <c r="I552" s="52" t="e">
        <f ca="1">SUMIFS(OUT!$F$2:$F$11000,OUT!$H$2:$H$11000,H552,OUT!$D$2:$D$101007,"In")</f>
        <v>#VALUE!</v>
      </c>
      <c r="J552" s="52">
        <f ca="1">SUMIFS(OUT!$F$2:$F$11000,OUT!$H$2:$H$11000,H552,OUT!$D$2:$D$11000,"Out")</f>
        <v>12026623</v>
      </c>
      <c r="K552" s="52">
        <f ca="1">SUMIFS(OUT!$F$2:$F$11000,OUT!$H$2:$H$11000,H552,OUT!$D$2:$D$11000,"Out",OUT!$E$2:$E$11000,"Fix")</f>
        <v>2865413</v>
      </c>
      <c r="L552" s="52">
        <f ca="1">SUMIFS(OUT!$F$2:$F$11000,OUT!$H$2:$H$11000,H552,OUT!$D$2:$D$11000,"Out",OUT!$E$2:$E$11000,"Bathroom")</f>
        <v>120488</v>
      </c>
      <c r="M552" s="52">
        <f ca="1">SUMIFS(OUT!$F$2:$F$11000,OUT!$H$2:$H$11000,H552,OUT!$D$2:$D$11000,"Out",OUT!$E$2:$E$11000,"Alfa")</f>
        <v>890962</v>
      </c>
      <c r="N552" s="52" t="e">
        <f ca="1">SUMIFS(OUT!$F$2:$F$11000,OUT!$H$2:$H$101007,H552,OUT!$D$2:$D$11000,"Out",OUT!$E$2:$E$11000,"Jajan")</f>
        <v>#VALUE!</v>
      </c>
      <c r="O552" s="52">
        <f ca="1">SUMIFS(OUT!$F$2:$F$11000,OUT!$H$2:$H$11000,H552,OUT!$D$2:$D$11000,"Out",OUT!$E$2:$E$11000,"Kitchen")</f>
        <v>1152600</v>
      </c>
      <c r="P552" s="52">
        <f ca="1">SUMIFS(OUT!$F$2:$F$11000,OUT!$H$2:$H$11000,H552,OUT!$D$2:$D$11000,"Out",OUT!$E$2:$E$11000,"Loandry")</f>
        <v>41000</v>
      </c>
      <c r="Q552" s="52">
        <f ca="1">SUMIFS(OUT!$F$2:$F$11000,OUT!$H$2:$H$11000,H552,OUT!$D$2:$D$11000,"Out",OUT!$E$2:$E$11000,"Mio")</f>
        <v>895700</v>
      </c>
      <c r="R552" s="52">
        <f ca="1">SUMIFS(OUT!$F$2:$F$11000,OUT!$H$2:$H$11000,H552,OUT!$D$2:$D$11000,"Out",OUT!$E$2:$E$11000,"Sedekah")</f>
        <v>130000</v>
      </c>
      <c r="S552" s="52">
        <f ca="1">SUMIFS(OUT!$F$2:$F$11000,OUT!$H$2:$H$11000,H552,OUT!$D$2:$D$11000,"Out",OUT!$E$2:$E$11000,"Zela")</f>
        <v>215161</v>
      </c>
      <c r="T552" s="52">
        <f ca="1">SUMIFS(OUT!$F$2:$F$11000,OUT!$H$2:$H$11000,H552,OUT!$D$2:$D$11000,"Out",OUT!$E$2:$E$11000,"Iqbal")</f>
        <v>215000</v>
      </c>
    </row>
    <row r="553" spans="1:20" x14ac:dyDescent="0.2">
      <c r="A553" s="48">
        <f ca="1">IFERROR(__xludf.DUMMYFUNCTION("""COMPUTED_VALUE"""),46086)</f>
        <v>46086</v>
      </c>
      <c r="B553" s="4" t="str">
        <f ca="1">IFERROR(__xludf.DUMMYFUNCTION("""COMPUTED_VALUE"""),"Bensin")</f>
        <v>Bensin</v>
      </c>
      <c r="C553" s="4" t="str">
        <f ca="1">IFERROR(__xludf.DUMMYFUNCTION("""COMPUTED_VALUE"""),"Cash")</f>
        <v>Cash</v>
      </c>
      <c r="D553" s="4" t="str">
        <f ca="1">IFERROR(__xludf.DUMMYFUNCTION("""COMPUTED_VALUE"""),"Out")</f>
        <v>Out</v>
      </c>
      <c r="E553" s="4" t="str">
        <f ca="1">IFERROR(__xludf.DUMMYFUNCTION("""COMPUTED_VALUE"""),"Mio")</f>
        <v>Mio</v>
      </c>
      <c r="F553" s="49">
        <f ca="1">IFERROR(__xludf.DUMMYFUNCTION("""COMPUTED_VALUE"""),19500)</f>
        <v>19500</v>
      </c>
      <c r="G553" s="50" t="str">
        <f ca="1">IFERROR(__xludf.DUMMYFUNCTION("""COMPUTED_VALUE"""),"Zela")</f>
        <v>Zela</v>
      </c>
      <c r="H553" s="51">
        <f t="shared" ca="1" si="0"/>
        <v>46082</v>
      </c>
      <c r="I553" s="52" t="e">
        <f ca="1">SUMIFS(OUT!$F$2:$F$11000,OUT!$H$2:$H$11000,H553,OUT!$D$2:$D$101007,"In")</f>
        <v>#VALUE!</v>
      </c>
      <c r="J553" s="52">
        <f ca="1">SUMIFS(OUT!$F$2:$F$11000,OUT!$H$2:$H$11000,H553,OUT!$D$2:$D$11000,"Out")</f>
        <v>12026623</v>
      </c>
      <c r="K553" s="52">
        <f ca="1">SUMIFS(OUT!$F$2:$F$11000,OUT!$H$2:$H$11000,H553,OUT!$D$2:$D$11000,"Out",OUT!$E$2:$E$11000,"Fix")</f>
        <v>2865413</v>
      </c>
      <c r="L553" s="52">
        <f ca="1">SUMIFS(OUT!$F$2:$F$11000,OUT!$H$2:$H$11000,H553,OUT!$D$2:$D$11000,"Out",OUT!$E$2:$E$11000,"Bathroom")</f>
        <v>120488</v>
      </c>
      <c r="M553" s="52">
        <f ca="1">SUMIFS(OUT!$F$2:$F$11000,OUT!$H$2:$H$11000,H553,OUT!$D$2:$D$11000,"Out",OUT!$E$2:$E$11000,"Alfa")</f>
        <v>890962</v>
      </c>
      <c r="N553" s="52" t="e">
        <f ca="1">SUMIFS(OUT!$F$2:$F$11000,OUT!$H$2:$H$101007,H553,OUT!$D$2:$D$11000,"Out",OUT!$E$2:$E$11000,"Jajan")</f>
        <v>#VALUE!</v>
      </c>
      <c r="O553" s="52">
        <f ca="1">SUMIFS(OUT!$F$2:$F$11000,OUT!$H$2:$H$11000,H553,OUT!$D$2:$D$11000,"Out",OUT!$E$2:$E$11000,"Kitchen")</f>
        <v>1152600</v>
      </c>
      <c r="P553" s="52">
        <f ca="1">SUMIFS(OUT!$F$2:$F$11000,OUT!$H$2:$H$11000,H553,OUT!$D$2:$D$11000,"Out",OUT!$E$2:$E$11000,"Loandry")</f>
        <v>41000</v>
      </c>
      <c r="Q553" s="52">
        <f ca="1">SUMIFS(OUT!$F$2:$F$11000,OUT!$H$2:$H$11000,H553,OUT!$D$2:$D$11000,"Out",OUT!$E$2:$E$11000,"Mio")</f>
        <v>895700</v>
      </c>
      <c r="R553" s="52">
        <f ca="1">SUMIFS(OUT!$F$2:$F$11000,OUT!$H$2:$H$11000,H553,OUT!$D$2:$D$11000,"Out",OUT!$E$2:$E$11000,"Sedekah")</f>
        <v>130000</v>
      </c>
      <c r="S553" s="52">
        <f ca="1">SUMIFS(OUT!$F$2:$F$11000,OUT!$H$2:$H$11000,H553,OUT!$D$2:$D$11000,"Out",OUT!$E$2:$E$11000,"Zela")</f>
        <v>215161</v>
      </c>
      <c r="T553" s="52">
        <f ca="1">SUMIFS(OUT!$F$2:$F$11000,OUT!$H$2:$H$11000,H553,OUT!$D$2:$D$11000,"Out",OUT!$E$2:$E$11000,"Iqbal")</f>
        <v>215000</v>
      </c>
    </row>
    <row r="554" spans="1:20" x14ac:dyDescent="0.2">
      <c r="A554" s="48">
        <f ca="1">IFERROR(__xludf.DUMMYFUNCTION("""COMPUTED_VALUE"""),46085)</f>
        <v>46085</v>
      </c>
      <c r="B554" s="4" t="str">
        <f ca="1">IFERROR(__xludf.DUMMYFUNCTION("""COMPUTED_VALUE"""),"Piscok + Bakso")</f>
        <v>Piscok + Bakso</v>
      </c>
      <c r="C554" s="4" t="str">
        <f ca="1">IFERROR(__xludf.DUMMYFUNCTION("""COMPUTED_VALUE"""),"Cash")</f>
        <v>Cash</v>
      </c>
      <c r="D554" s="4" t="str">
        <f ca="1">IFERROR(__xludf.DUMMYFUNCTION("""COMPUTED_VALUE"""),"Out")</f>
        <v>Out</v>
      </c>
      <c r="E554" s="4" t="str">
        <f ca="1">IFERROR(__xludf.DUMMYFUNCTION("""COMPUTED_VALUE"""),"Jajan")</f>
        <v>Jajan</v>
      </c>
      <c r="F554" s="49">
        <f ca="1">IFERROR(__xludf.DUMMYFUNCTION("""COMPUTED_VALUE"""),26000)</f>
        <v>26000</v>
      </c>
      <c r="G554" s="50" t="str">
        <f ca="1">IFERROR(__xludf.DUMMYFUNCTION("""COMPUTED_VALUE"""),"Zela")</f>
        <v>Zela</v>
      </c>
      <c r="H554" s="51">
        <f t="shared" ca="1" si="0"/>
        <v>46082</v>
      </c>
      <c r="I554" s="52" t="e">
        <f ca="1">SUMIFS(OUT!$F$2:$F$11000,OUT!$H$2:$H$11000,H554,OUT!$D$2:$D$101007,"In")</f>
        <v>#VALUE!</v>
      </c>
      <c r="J554" s="52">
        <f ca="1">SUMIFS(OUT!$F$2:$F$11000,OUT!$H$2:$H$11000,H554,OUT!$D$2:$D$11000,"Out")</f>
        <v>12026623</v>
      </c>
      <c r="K554" s="52">
        <f ca="1">SUMIFS(OUT!$F$2:$F$11000,OUT!$H$2:$H$11000,H554,OUT!$D$2:$D$11000,"Out",OUT!$E$2:$E$11000,"Fix")</f>
        <v>2865413</v>
      </c>
      <c r="L554" s="52">
        <f ca="1">SUMIFS(OUT!$F$2:$F$11000,OUT!$H$2:$H$11000,H554,OUT!$D$2:$D$11000,"Out",OUT!$E$2:$E$11000,"Bathroom")</f>
        <v>120488</v>
      </c>
      <c r="M554" s="52">
        <f ca="1">SUMIFS(OUT!$F$2:$F$11000,OUT!$H$2:$H$11000,H554,OUT!$D$2:$D$11000,"Out",OUT!$E$2:$E$11000,"Alfa")</f>
        <v>890962</v>
      </c>
      <c r="N554" s="52" t="e">
        <f ca="1">SUMIFS(OUT!$F$2:$F$11000,OUT!$H$2:$H$101007,H554,OUT!$D$2:$D$11000,"Out",OUT!$E$2:$E$11000,"Jajan")</f>
        <v>#VALUE!</v>
      </c>
      <c r="O554" s="52">
        <f ca="1">SUMIFS(OUT!$F$2:$F$11000,OUT!$H$2:$H$11000,H554,OUT!$D$2:$D$11000,"Out",OUT!$E$2:$E$11000,"Kitchen")</f>
        <v>1152600</v>
      </c>
      <c r="P554" s="52">
        <f ca="1">SUMIFS(OUT!$F$2:$F$11000,OUT!$H$2:$H$11000,H554,OUT!$D$2:$D$11000,"Out",OUT!$E$2:$E$11000,"Loandry")</f>
        <v>41000</v>
      </c>
      <c r="Q554" s="52">
        <f ca="1">SUMIFS(OUT!$F$2:$F$11000,OUT!$H$2:$H$11000,H554,OUT!$D$2:$D$11000,"Out",OUT!$E$2:$E$11000,"Mio")</f>
        <v>895700</v>
      </c>
      <c r="R554" s="52">
        <f ca="1">SUMIFS(OUT!$F$2:$F$11000,OUT!$H$2:$H$11000,H554,OUT!$D$2:$D$11000,"Out",OUT!$E$2:$E$11000,"Sedekah")</f>
        <v>130000</v>
      </c>
      <c r="S554" s="52">
        <f ca="1">SUMIFS(OUT!$F$2:$F$11000,OUT!$H$2:$H$11000,H554,OUT!$D$2:$D$11000,"Out",OUT!$E$2:$E$11000,"Zela")</f>
        <v>215161</v>
      </c>
      <c r="T554" s="52">
        <f ca="1">SUMIFS(OUT!$F$2:$F$11000,OUT!$H$2:$H$11000,H554,OUT!$D$2:$D$11000,"Out",OUT!$E$2:$E$11000,"Iqbal")</f>
        <v>215000</v>
      </c>
    </row>
    <row r="555" spans="1:20" x14ac:dyDescent="0.2">
      <c r="A555" s="48">
        <f ca="1">IFERROR(__xludf.DUMMYFUNCTION("""COMPUTED_VALUE"""),46086)</f>
        <v>46086</v>
      </c>
      <c r="B555" s="4" t="str">
        <f ca="1">IFERROR(__xludf.DUMMYFUNCTION("""COMPUTED_VALUE"""),"Bakso Pakde")</f>
        <v>Bakso Pakde</v>
      </c>
      <c r="C555" s="4" t="str">
        <f ca="1">IFERROR(__xludf.DUMMYFUNCTION("""COMPUTED_VALUE"""),"Cash")</f>
        <v>Cash</v>
      </c>
      <c r="D555" s="4" t="str">
        <f ca="1">IFERROR(__xludf.DUMMYFUNCTION("""COMPUTED_VALUE"""),"Out")</f>
        <v>Out</v>
      </c>
      <c r="E555" s="4" t="str">
        <f ca="1">IFERROR(__xludf.DUMMYFUNCTION("""COMPUTED_VALUE"""),"Jajan")</f>
        <v>Jajan</v>
      </c>
      <c r="F555" s="49">
        <f ca="1">IFERROR(__xludf.DUMMYFUNCTION("""COMPUTED_VALUE"""),10000)</f>
        <v>10000</v>
      </c>
      <c r="G555" s="50" t="str">
        <f ca="1">IFERROR(__xludf.DUMMYFUNCTION("""COMPUTED_VALUE"""),"Zela")</f>
        <v>Zela</v>
      </c>
      <c r="H555" s="51">
        <f t="shared" ca="1" si="0"/>
        <v>46082</v>
      </c>
      <c r="I555" s="52" t="e">
        <f ca="1">SUMIFS(OUT!$F$2:$F$11000,OUT!$H$2:$H$11000,H555,OUT!$D$2:$D$101007,"In")</f>
        <v>#VALUE!</v>
      </c>
      <c r="J555" s="52">
        <f ca="1">SUMIFS(OUT!$F$2:$F$11000,OUT!$H$2:$H$11000,H555,OUT!$D$2:$D$11000,"Out")</f>
        <v>12026623</v>
      </c>
      <c r="K555" s="52">
        <f ca="1">SUMIFS(OUT!$F$2:$F$11000,OUT!$H$2:$H$11000,H555,OUT!$D$2:$D$11000,"Out",OUT!$E$2:$E$11000,"Fix")</f>
        <v>2865413</v>
      </c>
      <c r="L555" s="52">
        <f ca="1">SUMIFS(OUT!$F$2:$F$11000,OUT!$H$2:$H$11000,H555,OUT!$D$2:$D$11000,"Out",OUT!$E$2:$E$11000,"Bathroom")</f>
        <v>120488</v>
      </c>
      <c r="M555" s="52">
        <f ca="1">SUMIFS(OUT!$F$2:$F$11000,OUT!$H$2:$H$11000,H555,OUT!$D$2:$D$11000,"Out",OUT!$E$2:$E$11000,"Alfa")</f>
        <v>890962</v>
      </c>
      <c r="N555" s="52" t="e">
        <f ca="1">SUMIFS(OUT!$F$2:$F$11000,OUT!$H$2:$H$101007,H555,OUT!$D$2:$D$11000,"Out",OUT!$E$2:$E$11000,"Jajan")</f>
        <v>#VALUE!</v>
      </c>
      <c r="O555" s="52">
        <f ca="1">SUMIFS(OUT!$F$2:$F$11000,OUT!$H$2:$H$11000,H555,OUT!$D$2:$D$11000,"Out",OUT!$E$2:$E$11000,"Kitchen")</f>
        <v>1152600</v>
      </c>
      <c r="P555" s="52">
        <f ca="1">SUMIFS(OUT!$F$2:$F$11000,OUT!$H$2:$H$11000,H555,OUT!$D$2:$D$11000,"Out",OUT!$E$2:$E$11000,"Loandry")</f>
        <v>41000</v>
      </c>
      <c r="Q555" s="52">
        <f ca="1">SUMIFS(OUT!$F$2:$F$11000,OUT!$H$2:$H$11000,H555,OUT!$D$2:$D$11000,"Out",OUT!$E$2:$E$11000,"Mio")</f>
        <v>895700</v>
      </c>
      <c r="R555" s="52">
        <f ca="1">SUMIFS(OUT!$F$2:$F$11000,OUT!$H$2:$H$11000,H555,OUT!$D$2:$D$11000,"Out",OUT!$E$2:$E$11000,"Sedekah")</f>
        <v>130000</v>
      </c>
      <c r="S555" s="52">
        <f ca="1">SUMIFS(OUT!$F$2:$F$11000,OUT!$H$2:$H$11000,H555,OUT!$D$2:$D$11000,"Out",OUT!$E$2:$E$11000,"Zela")</f>
        <v>215161</v>
      </c>
      <c r="T555" s="52">
        <f ca="1">SUMIFS(OUT!$F$2:$F$11000,OUT!$H$2:$H$11000,H555,OUT!$D$2:$D$11000,"Out",OUT!$E$2:$E$11000,"Iqbal")</f>
        <v>215000</v>
      </c>
    </row>
    <row r="556" spans="1:20" x14ac:dyDescent="0.2">
      <c r="A556" s="48">
        <f ca="1">IFERROR(__xludf.DUMMYFUNCTION("""COMPUTED_VALUE"""),46088)</f>
        <v>46088</v>
      </c>
      <c r="B556" s="4" t="str">
        <f ca="1">IFERROR(__xludf.DUMMYFUNCTION("""COMPUTED_VALUE"""),"Galon")</f>
        <v>Galon</v>
      </c>
      <c r="C556" s="4" t="str">
        <f ca="1">IFERROR(__xludf.DUMMYFUNCTION("""COMPUTED_VALUE"""),"Cash")</f>
        <v>Cash</v>
      </c>
      <c r="D556" s="4" t="str">
        <f ca="1">IFERROR(__xludf.DUMMYFUNCTION("""COMPUTED_VALUE"""),"Out")</f>
        <v>Out</v>
      </c>
      <c r="E556" s="4" t="str">
        <f ca="1">IFERROR(__xludf.DUMMYFUNCTION("""COMPUTED_VALUE"""),"Kitchen")</f>
        <v>Kitchen</v>
      </c>
      <c r="F556" s="49">
        <f ca="1">IFERROR(__xludf.DUMMYFUNCTION("""COMPUTED_VALUE"""),5000)</f>
        <v>5000</v>
      </c>
      <c r="G556" s="50" t="str">
        <f ca="1">IFERROR(__xludf.DUMMYFUNCTION("""COMPUTED_VALUE"""),"Zela")</f>
        <v>Zela</v>
      </c>
      <c r="H556" s="51">
        <f t="shared" ca="1" si="0"/>
        <v>46082</v>
      </c>
      <c r="I556" s="52" t="e">
        <f ca="1">SUMIFS(OUT!$F$2:$F$11000,OUT!$H$2:$H$11000,H556,OUT!$D$2:$D$101007,"In")</f>
        <v>#VALUE!</v>
      </c>
      <c r="J556" s="52">
        <f ca="1">SUMIFS(OUT!$F$2:$F$11000,OUT!$H$2:$H$11000,H556,OUT!$D$2:$D$11000,"Out")</f>
        <v>12026623</v>
      </c>
      <c r="K556" s="52">
        <f ca="1">SUMIFS(OUT!$F$2:$F$11000,OUT!$H$2:$H$11000,H556,OUT!$D$2:$D$11000,"Out",OUT!$E$2:$E$11000,"Fix")</f>
        <v>2865413</v>
      </c>
      <c r="L556" s="52">
        <f ca="1">SUMIFS(OUT!$F$2:$F$11000,OUT!$H$2:$H$11000,H556,OUT!$D$2:$D$11000,"Out",OUT!$E$2:$E$11000,"Bathroom")</f>
        <v>120488</v>
      </c>
      <c r="M556" s="52">
        <f ca="1">SUMIFS(OUT!$F$2:$F$11000,OUT!$H$2:$H$11000,H556,OUT!$D$2:$D$11000,"Out",OUT!$E$2:$E$11000,"Alfa")</f>
        <v>890962</v>
      </c>
      <c r="N556" s="52" t="e">
        <f ca="1">SUMIFS(OUT!$F$2:$F$11000,OUT!$H$2:$H$101007,H556,OUT!$D$2:$D$11000,"Out",OUT!$E$2:$E$11000,"Jajan")</f>
        <v>#VALUE!</v>
      </c>
      <c r="O556" s="52">
        <f ca="1">SUMIFS(OUT!$F$2:$F$11000,OUT!$H$2:$H$11000,H556,OUT!$D$2:$D$11000,"Out",OUT!$E$2:$E$11000,"Kitchen")</f>
        <v>1152600</v>
      </c>
      <c r="P556" s="52">
        <f ca="1">SUMIFS(OUT!$F$2:$F$11000,OUT!$H$2:$H$11000,H556,OUT!$D$2:$D$11000,"Out",OUT!$E$2:$E$11000,"Loandry")</f>
        <v>41000</v>
      </c>
      <c r="Q556" s="52">
        <f ca="1">SUMIFS(OUT!$F$2:$F$11000,OUT!$H$2:$H$11000,H556,OUT!$D$2:$D$11000,"Out",OUT!$E$2:$E$11000,"Mio")</f>
        <v>895700</v>
      </c>
      <c r="R556" s="52">
        <f ca="1">SUMIFS(OUT!$F$2:$F$11000,OUT!$H$2:$H$11000,H556,OUT!$D$2:$D$11000,"Out",OUT!$E$2:$E$11000,"Sedekah")</f>
        <v>130000</v>
      </c>
      <c r="S556" s="52">
        <f ca="1">SUMIFS(OUT!$F$2:$F$11000,OUT!$H$2:$H$11000,H556,OUT!$D$2:$D$11000,"Out",OUT!$E$2:$E$11000,"Zela")</f>
        <v>215161</v>
      </c>
      <c r="T556" s="52">
        <f ca="1">SUMIFS(OUT!$F$2:$F$11000,OUT!$H$2:$H$11000,H556,OUT!$D$2:$D$11000,"Out",OUT!$E$2:$E$11000,"Iqbal")</f>
        <v>215000</v>
      </c>
    </row>
    <row r="557" spans="1:20" x14ac:dyDescent="0.2">
      <c r="A557" s="48">
        <f ca="1">IFERROR(__xludf.DUMMYFUNCTION("""COMPUTED_VALUE"""),46087)</f>
        <v>46087</v>
      </c>
      <c r="B557" s="4" t="str">
        <f ca="1">IFERROR(__xludf.DUMMYFUNCTION("""COMPUTED_VALUE"""),"Bedak Zela ( Tokopedia)")</f>
        <v>Bedak Zela ( Tokopedia)</v>
      </c>
      <c r="C557" s="4" t="str">
        <f ca="1">IFERROR(__xludf.DUMMYFUNCTION("""COMPUTED_VALUE"""),"ATM")</f>
        <v>ATM</v>
      </c>
      <c r="D557" s="4" t="str">
        <f ca="1">IFERROR(__xludf.DUMMYFUNCTION("""COMPUTED_VALUE"""),"Out")</f>
        <v>Out</v>
      </c>
      <c r="E557" s="4" t="str">
        <f ca="1">IFERROR(__xludf.DUMMYFUNCTION("""COMPUTED_VALUE"""),"Zela")</f>
        <v>Zela</v>
      </c>
      <c r="F557" s="49">
        <f ca="1">IFERROR(__xludf.DUMMYFUNCTION("""COMPUTED_VALUE"""),47778)</f>
        <v>47778</v>
      </c>
      <c r="G557" s="50" t="str">
        <f ca="1">IFERROR(__xludf.DUMMYFUNCTION("""COMPUTED_VALUE"""),"Zela")</f>
        <v>Zela</v>
      </c>
      <c r="H557" s="51">
        <f t="shared" ca="1" si="0"/>
        <v>46082</v>
      </c>
      <c r="I557" s="52" t="e">
        <f ca="1">SUMIFS(OUT!$F$2:$F$11000,OUT!$H$2:$H$11000,H557,OUT!$D$2:$D$101007,"In")</f>
        <v>#VALUE!</v>
      </c>
      <c r="J557" s="52">
        <f ca="1">SUMIFS(OUT!$F$2:$F$11000,OUT!$H$2:$H$11000,H557,OUT!$D$2:$D$11000,"Out")</f>
        <v>12026623</v>
      </c>
      <c r="K557" s="52">
        <f ca="1">SUMIFS(OUT!$F$2:$F$11000,OUT!$H$2:$H$11000,H557,OUT!$D$2:$D$11000,"Out",OUT!$E$2:$E$11000,"Fix")</f>
        <v>2865413</v>
      </c>
      <c r="L557" s="52">
        <f ca="1">SUMIFS(OUT!$F$2:$F$11000,OUT!$H$2:$H$11000,H557,OUT!$D$2:$D$11000,"Out",OUT!$E$2:$E$11000,"Bathroom")</f>
        <v>120488</v>
      </c>
      <c r="M557" s="52">
        <f ca="1">SUMIFS(OUT!$F$2:$F$11000,OUT!$H$2:$H$11000,H557,OUT!$D$2:$D$11000,"Out",OUT!$E$2:$E$11000,"Alfa")</f>
        <v>890962</v>
      </c>
      <c r="N557" s="52" t="e">
        <f ca="1">SUMIFS(OUT!$F$2:$F$11000,OUT!$H$2:$H$101007,H557,OUT!$D$2:$D$11000,"Out",OUT!$E$2:$E$11000,"Jajan")</f>
        <v>#VALUE!</v>
      </c>
      <c r="O557" s="52">
        <f ca="1">SUMIFS(OUT!$F$2:$F$11000,OUT!$H$2:$H$11000,H557,OUT!$D$2:$D$11000,"Out",OUT!$E$2:$E$11000,"Kitchen")</f>
        <v>1152600</v>
      </c>
      <c r="P557" s="52">
        <f ca="1">SUMIFS(OUT!$F$2:$F$11000,OUT!$H$2:$H$11000,H557,OUT!$D$2:$D$11000,"Out",OUT!$E$2:$E$11000,"Loandry")</f>
        <v>41000</v>
      </c>
      <c r="Q557" s="52">
        <f ca="1">SUMIFS(OUT!$F$2:$F$11000,OUT!$H$2:$H$11000,H557,OUT!$D$2:$D$11000,"Out",OUT!$E$2:$E$11000,"Mio")</f>
        <v>895700</v>
      </c>
      <c r="R557" s="52">
        <f ca="1">SUMIFS(OUT!$F$2:$F$11000,OUT!$H$2:$H$11000,H557,OUT!$D$2:$D$11000,"Out",OUT!$E$2:$E$11000,"Sedekah")</f>
        <v>130000</v>
      </c>
      <c r="S557" s="52">
        <f ca="1">SUMIFS(OUT!$F$2:$F$11000,OUT!$H$2:$H$11000,H557,OUT!$D$2:$D$11000,"Out",OUT!$E$2:$E$11000,"Zela")</f>
        <v>215161</v>
      </c>
      <c r="T557" s="52">
        <f ca="1">SUMIFS(OUT!$F$2:$F$11000,OUT!$H$2:$H$11000,H557,OUT!$D$2:$D$11000,"Out",OUT!$E$2:$E$11000,"Iqbal")</f>
        <v>215000</v>
      </c>
    </row>
    <row r="558" spans="1:20" x14ac:dyDescent="0.2">
      <c r="A558" s="48">
        <f ca="1">IFERROR(__xludf.DUMMYFUNCTION("""COMPUTED_VALUE"""),46087)</f>
        <v>46087</v>
      </c>
      <c r="B558" s="4" t="str">
        <f ca="1">IFERROR(__xludf.DUMMYFUNCTION("""COMPUTED_VALUE"""),"Parfum Alfa ( Tokopedia)")</f>
        <v>Parfum Alfa ( Tokopedia)</v>
      </c>
      <c r="C558" s="4" t="str">
        <f ca="1">IFERROR(__xludf.DUMMYFUNCTION("""COMPUTED_VALUE"""),"ATM")</f>
        <v>ATM</v>
      </c>
      <c r="D558" s="4" t="str">
        <f ca="1">IFERROR(__xludf.DUMMYFUNCTION("""COMPUTED_VALUE"""),"Out")</f>
        <v>Out</v>
      </c>
      <c r="E558" s="4" t="str">
        <f ca="1">IFERROR(__xludf.DUMMYFUNCTION("""COMPUTED_VALUE"""),"Alfa")</f>
        <v>Alfa</v>
      </c>
      <c r="F558" s="49">
        <f ca="1">IFERROR(__xludf.DUMMYFUNCTION("""COMPUTED_VALUE"""),20777)</f>
        <v>20777</v>
      </c>
      <c r="G558" s="50" t="str">
        <f ca="1">IFERROR(__xludf.DUMMYFUNCTION("""COMPUTED_VALUE"""),"Zela")</f>
        <v>Zela</v>
      </c>
      <c r="H558" s="51">
        <f t="shared" ca="1" si="0"/>
        <v>46082</v>
      </c>
      <c r="I558" s="52" t="e">
        <f ca="1">SUMIFS(OUT!$F$2:$F$11000,OUT!$H$2:$H$11000,H558,OUT!$D$2:$D$101007,"In")</f>
        <v>#VALUE!</v>
      </c>
      <c r="J558" s="52">
        <f ca="1">SUMIFS(OUT!$F$2:$F$11000,OUT!$H$2:$H$11000,H558,OUT!$D$2:$D$11000,"Out")</f>
        <v>12026623</v>
      </c>
      <c r="K558" s="52">
        <f ca="1">SUMIFS(OUT!$F$2:$F$11000,OUT!$H$2:$H$11000,H558,OUT!$D$2:$D$11000,"Out",OUT!$E$2:$E$11000,"Fix")</f>
        <v>2865413</v>
      </c>
      <c r="L558" s="52">
        <f ca="1">SUMIFS(OUT!$F$2:$F$11000,OUT!$H$2:$H$11000,H558,OUT!$D$2:$D$11000,"Out",OUT!$E$2:$E$11000,"Bathroom")</f>
        <v>120488</v>
      </c>
      <c r="M558" s="52">
        <f ca="1">SUMIFS(OUT!$F$2:$F$11000,OUT!$H$2:$H$11000,H558,OUT!$D$2:$D$11000,"Out",OUT!$E$2:$E$11000,"Alfa")</f>
        <v>890962</v>
      </c>
      <c r="N558" s="52" t="e">
        <f ca="1">SUMIFS(OUT!$F$2:$F$11000,OUT!$H$2:$H$101007,H558,OUT!$D$2:$D$11000,"Out",OUT!$E$2:$E$11000,"Jajan")</f>
        <v>#VALUE!</v>
      </c>
      <c r="O558" s="52">
        <f ca="1">SUMIFS(OUT!$F$2:$F$11000,OUT!$H$2:$H$11000,H558,OUT!$D$2:$D$11000,"Out",OUT!$E$2:$E$11000,"Kitchen")</f>
        <v>1152600</v>
      </c>
      <c r="P558" s="52">
        <f ca="1">SUMIFS(OUT!$F$2:$F$11000,OUT!$H$2:$H$11000,H558,OUT!$D$2:$D$11000,"Out",OUT!$E$2:$E$11000,"Loandry")</f>
        <v>41000</v>
      </c>
      <c r="Q558" s="52">
        <f ca="1">SUMIFS(OUT!$F$2:$F$11000,OUT!$H$2:$H$11000,H558,OUT!$D$2:$D$11000,"Out",OUT!$E$2:$E$11000,"Mio")</f>
        <v>895700</v>
      </c>
      <c r="R558" s="52">
        <f ca="1">SUMIFS(OUT!$F$2:$F$11000,OUT!$H$2:$H$11000,H558,OUT!$D$2:$D$11000,"Out",OUT!$E$2:$E$11000,"Sedekah")</f>
        <v>130000</v>
      </c>
      <c r="S558" s="52">
        <f ca="1">SUMIFS(OUT!$F$2:$F$11000,OUT!$H$2:$H$11000,H558,OUT!$D$2:$D$11000,"Out",OUT!$E$2:$E$11000,"Zela")</f>
        <v>215161</v>
      </c>
      <c r="T558" s="52">
        <f ca="1">SUMIFS(OUT!$F$2:$F$11000,OUT!$H$2:$H$11000,H558,OUT!$D$2:$D$11000,"Out",OUT!$E$2:$E$11000,"Iqbal")</f>
        <v>215000</v>
      </c>
    </row>
    <row r="559" spans="1:20" x14ac:dyDescent="0.2">
      <c r="A559" s="48">
        <f ca="1">IFERROR(__xludf.DUMMYFUNCTION("""COMPUTED_VALUE"""),46089)</f>
        <v>46089</v>
      </c>
      <c r="B559" s="4" t="str">
        <f ca="1">IFERROR(__xludf.DUMMYFUNCTION("""COMPUTED_VALUE"""),"Pindahan lemari")</f>
        <v>Pindahan lemari</v>
      </c>
      <c r="C559" s="4" t="str">
        <f ca="1">IFERROR(__xludf.DUMMYFUNCTION("""COMPUTED_VALUE"""),"ATM")</f>
        <v>ATM</v>
      </c>
      <c r="D559" s="4" t="str">
        <f ca="1">IFERROR(__xludf.DUMMYFUNCTION("""COMPUTED_VALUE"""),"Out")</f>
        <v>Out</v>
      </c>
      <c r="E559" s="4" t="str">
        <f ca="1">IFERROR(__xludf.DUMMYFUNCTION("""COMPUTED_VALUE"""),"Move")</f>
        <v>Move</v>
      </c>
      <c r="F559" s="49">
        <f ca="1">IFERROR(__xludf.DUMMYFUNCTION("""COMPUTED_VALUE"""),100000)</f>
        <v>100000</v>
      </c>
      <c r="G559" s="50" t="str">
        <f ca="1">IFERROR(__xludf.DUMMYFUNCTION("""COMPUTED_VALUE"""),"Zela")</f>
        <v>Zela</v>
      </c>
      <c r="H559" s="51">
        <f t="shared" ca="1" si="0"/>
        <v>46082</v>
      </c>
      <c r="I559" s="52" t="e">
        <f ca="1">SUMIFS(OUT!$F$2:$F$11000,OUT!$H$2:$H$11000,H559,OUT!$D$2:$D$101007,"In")</f>
        <v>#VALUE!</v>
      </c>
      <c r="J559" s="52">
        <f ca="1">SUMIFS(OUT!$F$2:$F$11000,OUT!$H$2:$H$11000,H559,OUT!$D$2:$D$11000,"Out")</f>
        <v>12026623</v>
      </c>
      <c r="K559" s="52">
        <f ca="1">SUMIFS(OUT!$F$2:$F$11000,OUT!$H$2:$H$11000,H559,OUT!$D$2:$D$11000,"Out",OUT!$E$2:$E$11000,"Fix")</f>
        <v>2865413</v>
      </c>
      <c r="L559" s="52">
        <f ca="1">SUMIFS(OUT!$F$2:$F$11000,OUT!$H$2:$H$11000,H559,OUT!$D$2:$D$11000,"Out",OUT!$E$2:$E$11000,"Bathroom")</f>
        <v>120488</v>
      </c>
      <c r="M559" s="52">
        <f ca="1">SUMIFS(OUT!$F$2:$F$11000,OUT!$H$2:$H$11000,H559,OUT!$D$2:$D$11000,"Out",OUT!$E$2:$E$11000,"Alfa")</f>
        <v>890962</v>
      </c>
      <c r="N559" s="52" t="e">
        <f ca="1">SUMIFS(OUT!$F$2:$F$11000,OUT!$H$2:$H$101007,H559,OUT!$D$2:$D$11000,"Out",OUT!$E$2:$E$11000,"Jajan")</f>
        <v>#VALUE!</v>
      </c>
      <c r="O559" s="52">
        <f ca="1">SUMIFS(OUT!$F$2:$F$11000,OUT!$H$2:$H$11000,H559,OUT!$D$2:$D$11000,"Out",OUT!$E$2:$E$11000,"Kitchen")</f>
        <v>1152600</v>
      </c>
      <c r="P559" s="52">
        <f ca="1">SUMIFS(OUT!$F$2:$F$11000,OUT!$H$2:$H$11000,H559,OUT!$D$2:$D$11000,"Out",OUT!$E$2:$E$11000,"Loandry")</f>
        <v>41000</v>
      </c>
      <c r="Q559" s="52">
        <f ca="1">SUMIFS(OUT!$F$2:$F$11000,OUT!$H$2:$H$11000,H559,OUT!$D$2:$D$11000,"Out",OUT!$E$2:$E$11000,"Mio")</f>
        <v>895700</v>
      </c>
      <c r="R559" s="52">
        <f ca="1">SUMIFS(OUT!$F$2:$F$11000,OUT!$H$2:$H$11000,H559,OUT!$D$2:$D$11000,"Out",OUT!$E$2:$E$11000,"Sedekah")</f>
        <v>130000</v>
      </c>
      <c r="S559" s="52">
        <f ca="1">SUMIFS(OUT!$F$2:$F$11000,OUT!$H$2:$H$11000,H559,OUT!$D$2:$D$11000,"Out",OUT!$E$2:$E$11000,"Zela")</f>
        <v>215161</v>
      </c>
      <c r="T559" s="52">
        <f ca="1">SUMIFS(OUT!$F$2:$F$11000,OUT!$H$2:$H$11000,H559,OUT!$D$2:$D$11000,"Out",OUT!$E$2:$E$11000,"Iqbal")</f>
        <v>215000</v>
      </c>
    </row>
    <row r="560" spans="1:20" x14ac:dyDescent="0.2">
      <c r="A560" s="48">
        <f ca="1">IFERROR(__xludf.DUMMYFUNCTION("""COMPUTED_VALUE"""),46089)</f>
        <v>46089</v>
      </c>
      <c r="B560" s="4" t="str">
        <f ca="1">IFERROR(__xludf.DUMMYFUNCTION("""COMPUTED_VALUE"""),"Tarik tunai")</f>
        <v>Tarik tunai</v>
      </c>
      <c r="C560" s="4" t="str">
        <f ca="1">IFERROR(__xludf.DUMMYFUNCTION("""COMPUTED_VALUE"""),"ATM")</f>
        <v>ATM</v>
      </c>
      <c r="D560" s="4" t="str">
        <f ca="1">IFERROR(__xludf.DUMMYFUNCTION("""COMPUTED_VALUE"""),"Out")</f>
        <v>Out</v>
      </c>
      <c r="E560" s="4" t="str">
        <f ca="1">IFERROR(__xludf.DUMMYFUNCTION("""COMPUTED_VALUE"""),"Move")</f>
        <v>Move</v>
      </c>
      <c r="F560" s="49">
        <f ca="1">IFERROR(__xludf.DUMMYFUNCTION("""COMPUTED_VALUE"""),100000)</f>
        <v>100000</v>
      </c>
      <c r="G560" s="50" t="str">
        <f ca="1">IFERROR(__xludf.DUMMYFUNCTION("""COMPUTED_VALUE"""),"Zela")</f>
        <v>Zela</v>
      </c>
      <c r="H560" s="51">
        <f t="shared" ca="1" si="0"/>
        <v>46082</v>
      </c>
      <c r="I560" s="52" t="e">
        <f ca="1">SUMIFS(OUT!$F$2:$F$11000,OUT!$H$2:$H$11000,H560,OUT!$D$2:$D$101007,"In")</f>
        <v>#VALUE!</v>
      </c>
      <c r="J560" s="52">
        <f ca="1">SUMIFS(OUT!$F$2:$F$11000,OUT!$H$2:$H$11000,H560,OUT!$D$2:$D$11000,"Out")</f>
        <v>12026623</v>
      </c>
      <c r="K560" s="52">
        <f ca="1">SUMIFS(OUT!$F$2:$F$11000,OUT!$H$2:$H$11000,H560,OUT!$D$2:$D$11000,"Out",OUT!$E$2:$E$11000,"Fix")</f>
        <v>2865413</v>
      </c>
      <c r="L560" s="52">
        <f ca="1">SUMIFS(OUT!$F$2:$F$11000,OUT!$H$2:$H$11000,H560,OUT!$D$2:$D$11000,"Out",OUT!$E$2:$E$11000,"Bathroom")</f>
        <v>120488</v>
      </c>
      <c r="M560" s="52">
        <f ca="1">SUMIFS(OUT!$F$2:$F$11000,OUT!$H$2:$H$11000,H560,OUT!$D$2:$D$11000,"Out",OUT!$E$2:$E$11000,"Alfa")</f>
        <v>890962</v>
      </c>
      <c r="N560" s="52" t="e">
        <f ca="1">SUMIFS(OUT!$F$2:$F$11000,OUT!$H$2:$H$101007,H560,OUT!$D$2:$D$11000,"Out",OUT!$E$2:$E$11000,"Jajan")</f>
        <v>#VALUE!</v>
      </c>
      <c r="O560" s="52">
        <f ca="1">SUMIFS(OUT!$F$2:$F$11000,OUT!$H$2:$H$11000,H560,OUT!$D$2:$D$11000,"Out",OUT!$E$2:$E$11000,"Kitchen")</f>
        <v>1152600</v>
      </c>
      <c r="P560" s="52">
        <f ca="1">SUMIFS(OUT!$F$2:$F$11000,OUT!$H$2:$H$11000,H560,OUT!$D$2:$D$11000,"Out",OUT!$E$2:$E$11000,"Loandry")</f>
        <v>41000</v>
      </c>
      <c r="Q560" s="52">
        <f ca="1">SUMIFS(OUT!$F$2:$F$11000,OUT!$H$2:$H$11000,H560,OUT!$D$2:$D$11000,"Out",OUT!$E$2:$E$11000,"Mio")</f>
        <v>895700</v>
      </c>
      <c r="R560" s="52">
        <f ca="1">SUMIFS(OUT!$F$2:$F$11000,OUT!$H$2:$H$11000,H560,OUT!$D$2:$D$11000,"Out",OUT!$E$2:$E$11000,"Sedekah")</f>
        <v>130000</v>
      </c>
      <c r="S560" s="52">
        <f ca="1">SUMIFS(OUT!$F$2:$F$11000,OUT!$H$2:$H$11000,H560,OUT!$D$2:$D$11000,"Out",OUT!$E$2:$E$11000,"Zela")</f>
        <v>215161</v>
      </c>
      <c r="T560" s="52">
        <f ca="1">SUMIFS(OUT!$F$2:$F$11000,OUT!$H$2:$H$11000,H560,OUT!$D$2:$D$11000,"Out",OUT!$E$2:$E$11000,"Iqbal")</f>
        <v>215000</v>
      </c>
    </row>
    <row r="561" spans="1:20" x14ac:dyDescent="0.2">
      <c r="A561" s="48">
        <f ca="1">IFERROR(__xludf.DUMMYFUNCTION("""COMPUTED_VALUE"""),46089)</f>
        <v>46089</v>
      </c>
      <c r="B561" s="4" t="str">
        <f ca="1">IFERROR(__xludf.DUMMYFUNCTION("""COMPUTED_VALUE"""),"terima tunai")</f>
        <v>terima tunai</v>
      </c>
      <c r="C561" s="4" t="str">
        <f ca="1">IFERROR(__xludf.DUMMYFUNCTION("""COMPUTED_VALUE"""),"Cash")</f>
        <v>Cash</v>
      </c>
      <c r="D561" s="4" t="str">
        <f ca="1">IFERROR(__xludf.DUMMYFUNCTION("""COMPUTED_VALUE"""),"In")</f>
        <v>In</v>
      </c>
      <c r="E561" s="4" t="str">
        <f ca="1">IFERROR(__xludf.DUMMYFUNCTION("""COMPUTED_VALUE"""),"Move")</f>
        <v>Move</v>
      </c>
      <c r="F561" s="49">
        <f ca="1">IFERROR(__xludf.DUMMYFUNCTION("""COMPUTED_VALUE"""),100000)</f>
        <v>100000</v>
      </c>
      <c r="G561" s="50" t="str">
        <f ca="1">IFERROR(__xludf.DUMMYFUNCTION("""COMPUTED_VALUE"""),"Zela")</f>
        <v>Zela</v>
      </c>
      <c r="H561" s="51">
        <f t="shared" ca="1" si="0"/>
        <v>46082</v>
      </c>
      <c r="I561" s="52" t="e">
        <f ca="1">SUMIFS(OUT!$F$2:$F$11000,OUT!$H$2:$H$11000,H561,OUT!$D$2:$D$101007,"In")</f>
        <v>#VALUE!</v>
      </c>
      <c r="J561" s="52">
        <f ca="1">SUMIFS(OUT!$F$2:$F$11000,OUT!$H$2:$H$11000,H561,OUT!$D$2:$D$11000,"Out")</f>
        <v>12026623</v>
      </c>
      <c r="K561" s="52">
        <f ca="1">SUMIFS(OUT!$F$2:$F$11000,OUT!$H$2:$H$11000,H561,OUT!$D$2:$D$11000,"Out",OUT!$E$2:$E$11000,"Fix")</f>
        <v>2865413</v>
      </c>
      <c r="L561" s="52">
        <f ca="1">SUMIFS(OUT!$F$2:$F$11000,OUT!$H$2:$H$11000,H561,OUT!$D$2:$D$11000,"Out",OUT!$E$2:$E$11000,"Bathroom")</f>
        <v>120488</v>
      </c>
      <c r="M561" s="52">
        <f ca="1">SUMIFS(OUT!$F$2:$F$11000,OUT!$H$2:$H$11000,H561,OUT!$D$2:$D$11000,"Out",OUT!$E$2:$E$11000,"Alfa")</f>
        <v>890962</v>
      </c>
      <c r="N561" s="52" t="e">
        <f ca="1">SUMIFS(OUT!$F$2:$F$11000,OUT!$H$2:$H$101007,H561,OUT!$D$2:$D$11000,"Out",OUT!$E$2:$E$11000,"Jajan")</f>
        <v>#VALUE!</v>
      </c>
      <c r="O561" s="52">
        <f ca="1">SUMIFS(OUT!$F$2:$F$11000,OUT!$H$2:$H$11000,H561,OUT!$D$2:$D$11000,"Out",OUT!$E$2:$E$11000,"Kitchen")</f>
        <v>1152600</v>
      </c>
      <c r="P561" s="52">
        <f ca="1">SUMIFS(OUT!$F$2:$F$11000,OUT!$H$2:$H$11000,H561,OUT!$D$2:$D$11000,"Out",OUT!$E$2:$E$11000,"Loandry")</f>
        <v>41000</v>
      </c>
      <c r="Q561" s="52">
        <f ca="1">SUMIFS(OUT!$F$2:$F$11000,OUT!$H$2:$H$11000,H561,OUT!$D$2:$D$11000,"Out",OUT!$E$2:$E$11000,"Mio")</f>
        <v>895700</v>
      </c>
      <c r="R561" s="52">
        <f ca="1">SUMIFS(OUT!$F$2:$F$11000,OUT!$H$2:$H$11000,H561,OUT!$D$2:$D$11000,"Out",OUT!$E$2:$E$11000,"Sedekah")</f>
        <v>130000</v>
      </c>
      <c r="S561" s="52">
        <f ca="1">SUMIFS(OUT!$F$2:$F$11000,OUT!$H$2:$H$11000,H561,OUT!$D$2:$D$11000,"Out",OUT!$E$2:$E$11000,"Zela")</f>
        <v>215161</v>
      </c>
      <c r="T561" s="52">
        <f ca="1">SUMIFS(OUT!$F$2:$F$11000,OUT!$H$2:$H$11000,H561,OUT!$D$2:$D$11000,"Out",OUT!$E$2:$E$11000,"Iqbal")</f>
        <v>215000</v>
      </c>
    </row>
    <row r="562" spans="1:20" x14ac:dyDescent="0.2">
      <c r="A562" s="48">
        <f ca="1">IFERROR(__xludf.DUMMYFUNCTION("""COMPUTED_VALUE"""),46089)</f>
        <v>46089</v>
      </c>
      <c r="B562" s="4" t="str">
        <f ca="1">IFERROR(__xludf.DUMMYFUNCTION("""COMPUTED_VALUE"""),"Roti bakat")</f>
        <v>Roti bakat</v>
      </c>
      <c r="C562" s="4" t="str">
        <f ca="1">IFERROR(__xludf.DUMMYFUNCTION("""COMPUTED_VALUE"""),"Cash")</f>
        <v>Cash</v>
      </c>
      <c r="D562" s="4" t="str">
        <f ca="1">IFERROR(__xludf.DUMMYFUNCTION("""COMPUTED_VALUE"""),"Out")</f>
        <v>Out</v>
      </c>
      <c r="E562" s="4" t="str">
        <f ca="1">IFERROR(__xludf.DUMMYFUNCTION("""COMPUTED_VALUE"""),"Jajan")</f>
        <v>Jajan</v>
      </c>
      <c r="F562" s="49">
        <f ca="1">IFERROR(__xludf.DUMMYFUNCTION("""COMPUTED_VALUE"""),17000)</f>
        <v>17000</v>
      </c>
      <c r="G562" s="50" t="str">
        <f ca="1">IFERROR(__xludf.DUMMYFUNCTION("""COMPUTED_VALUE"""),"Zela")</f>
        <v>Zela</v>
      </c>
      <c r="H562" s="51">
        <f t="shared" ca="1" si="0"/>
        <v>46082</v>
      </c>
      <c r="I562" s="52" t="e">
        <f ca="1">SUMIFS(OUT!$F$2:$F$11000,OUT!$H$2:$H$11000,H562,OUT!$D$2:$D$101007,"In")</f>
        <v>#VALUE!</v>
      </c>
      <c r="J562" s="52">
        <f ca="1">SUMIFS(OUT!$F$2:$F$11000,OUT!$H$2:$H$11000,H562,OUT!$D$2:$D$11000,"Out")</f>
        <v>12026623</v>
      </c>
      <c r="K562" s="52">
        <f ca="1">SUMIFS(OUT!$F$2:$F$11000,OUT!$H$2:$H$11000,H562,OUT!$D$2:$D$11000,"Out",OUT!$E$2:$E$11000,"Fix")</f>
        <v>2865413</v>
      </c>
      <c r="L562" s="52">
        <f ca="1">SUMIFS(OUT!$F$2:$F$11000,OUT!$H$2:$H$11000,H562,OUT!$D$2:$D$11000,"Out",OUT!$E$2:$E$11000,"Bathroom")</f>
        <v>120488</v>
      </c>
      <c r="M562" s="52">
        <f ca="1">SUMIFS(OUT!$F$2:$F$11000,OUT!$H$2:$H$11000,H562,OUT!$D$2:$D$11000,"Out",OUT!$E$2:$E$11000,"Alfa")</f>
        <v>890962</v>
      </c>
      <c r="N562" s="52" t="e">
        <f ca="1">SUMIFS(OUT!$F$2:$F$11000,OUT!$H$2:$H$101007,H562,OUT!$D$2:$D$11000,"Out",OUT!$E$2:$E$11000,"Jajan")</f>
        <v>#VALUE!</v>
      </c>
      <c r="O562" s="52">
        <f ca="1">SUMIFS(OUT!$F$2:$F$11000,OUT!$H$2:$H$11000,H562,OUT!$D$2:$D$11000,"Out",OUT!$E$2:$E$11000,"Kitchen")</f>
        <v>1152600</v>
      </c>
      <c r="P562" s="52">
        <f ca="1">SUMIFS(OUT!$F$2:$F$11000,OUT!$H$2:$H$11000,H562,OUT!$D$2:$D$11000,"Out",OUT!$E$2:$E$11000,"Loandry")</f>
        <v>41000</v>
      </c>
      <c r="Q562" s="52">
        <f ca="1">SUMIFS(OUT!$F$2:$F$11000,OUT!$H$2:$H$11000,H562,OUT!$D$2:$D$11000,"Out",OUT!$E$2:$E$11000,"Mio")</f>
        <v>895700</v>
      </c>
      <c r="R562" s="52">
        <f ca="1">SUMIFS(OUT!$F$2:$F$11000,OUT!$H$2:$H$11000,H562,OUT!$D$2:$D$11000,"Out",OUT!$E$2:$E$11000,"Sedekah")</f>
        <v>130000</v>
      </c>
      <c r="S562" s="52">
        <f ca="1">SUMIFS(OUT!$F$2:$F$11000,OUT!$H$2:$H$11000,H562,OUT!$D$2:$D$11000,"Out",OUT!$E$2:$E$11000,"Zela")</f>
        <v>215161</v>
      </c>
      <c r="T562" s="52">
        <f ca="1">SUMIFS(OUT!$F$2:$F$11000,OUT!$H$2:$H$11000,H562,OUT!$D$2:$D$11000,"Out",OUT!$E$2:$E$11000,"Iqbal")</f>
        <v>215000</v>
      </c>
    </row>
    <row r="563" spans="1:20" x14ac:dyDescent="0.2">
      <c r="A563" s="48">
        <f ca="1">IFERROR(__xludf.DUMMYFUNCTION("""COMPUTED_VALUE"""),46089)</f>
        <v>46089</v>
      </c>
      <c r="B563" s="4" t="str">
        <f ca="1">IFERROR(__xludf.DUMMYFUNCTION("""COMPUTED_VALUE"""),"cireng")</f>
        <v>cireng</v>
      </c>
      <c r="C563" s="4" t="str">
        <f ca="1">IFERROR(__xludf.DUMMYFUNCTION("""COMPUTED_VALUE"""),"Cash")</f>
        <v>Cash</v>
      </c>
      <c r="D563" s="4" t="str">
        <f ca="1">IFERROR(__xludf.DUMMYFUNCTION("""COMPUTED_VALUE"""),"Out")</f>
        <v>Out</v>
      </c>
      <c r="E563" s="4" t="str">
        <f ca="1">IFERROR(__xludf.DUMMYFUNCTION("""COMPUTED_VALUE"""),"Jajan")</f>
        <v>Jajan</v>
      </c>
      <c r="F563" s="49">
        <f ca="1">IFERROR(__xludf.DUMMYFUNCTION("""COMPUTED_VALUE"""),13000)</f>
        <v>13000</v>
      </c>
      <c r="G563" s="50" t="str">
        <f ca="1">IFERROR(__xludf.DUMMYFUNCTION("""COMPUTED_VALUE"""),"Zela")</f>
        <v>Zela</v>
      </c>
      <c r="H563" s="51">
        <f t="shared" ca="1" si="0"/>
        <v>46082</v>
      </c>
      <c r="I563" s="52" t="e">
        <f ca="1">SUMIFS(OUT!$F$2:$F$11000,OUT!$H$2:$H$11000,H563,OUT!$D$2:$D$101007,"In")</f>
        <v>#VALUE!</v>
      </c>
      <c r="J563" s="52">
        <f ca="1">SUMIFS(OUT!$F$2:$F$11000,OUT!$H$2:$H$11000,H563,OUT!$D$2:$D$11000,"Out")</f>
        <v>12026623</v>
      </c>
      <c r="K563" s="52">
        <f ca="1">SUMIFS(OUT!$F$2:$F$11000,OUT!$H$2:$H$11000,H563,OUT!$D$2:$D$11000,"Out",OUT!$E$2:$E$11000,"Fix")</f>
        <v>2865413</v>
      </c>
      <c r="L563" s="52">
        <f ca="1">SUMIFS(OUT!$F$2:$F$11000,OUT!$H$2:$H$11000,H563,OUT!$D$2:$D$11000,"Out",OUT!$E$2:$E$11000,"Bathroom")</f>
        <v>120488</v>
      </c>
      <c r="M563" s="52">
        <f ca="1">SUMIFS(OUT!$F$2:$F$11000,OUT!$H$2:$H$11000,H563,OUT!$D$2:$D$11000,"Out",OUT!$E$2:$E$11000,"Alfa")</f>
        <v>890962</v>
      </c>
      <c r="N563" s="52" t="e">
        <f ca="1">SUMIFS(OUT!$F$2:$F$11000,OUT!$H$2:$H$101007,H563,OUT!$D$2:$D$11000,"Out",OUT!$E$2:$E$11000,"Jajan")</f>
        <v>#VALUE!</v>
      </c>
      <c r="O563" s="52">
        <f ca="1">SUMIFS(OUT!$F$2:$F$11000,OUT!$H$2:$H$11000,H563,OUT!$D$2:$D$11000,"Out",OUT!$E$2:$E$11000,"Kitchen")</f>
        <v>1152600</v>
      </c>
      <c r="P563" s="52">
        <f ca="1">SUMIFS(OUT!$F$2:$F$11000,OUT!$H$2:$H$11000,H563,OUT!$D$2:$D$11000,"Out",OUT!$E$2:$E$11000,"Loandry")</f>
        <v>41000</v>
      </c>
      <c r="Q563" s="52">
        <f ca="1">SUMIFS(OUT!$F$2:$F$11000,OUT!$H$2:$H$11000,H563,OUT!$D$2:$D$11000,"Out",OUT!$E$2:$E$11000,"Mio")</f>
        <v>895700</v>
      </c>
      <c r="R563" s="52">
        <f ca="1">SUMIFS(OUT!$F$2:$F$11000,OUT!$H$2:$H$11000,H563,OUT!$D$2:$D$11000,"Out",OUT!$E$2:$E$11000,"Sedekah")</f>
        <v>130000</v>
      </c>
      <c r="S563" s="52">
        <f ca="1">SUMIFS(OUT!$F$2:$F$11000,OUT!$H$2:$H$11000,H563,OUT!$D$2:$D$11000,"Out",OUT!$E$2:$E$11000,"Zela")</f>
        <v>215161</v>
      </c>
      <c r="T563" s="52">
        <f ca="1">SUMIFS(OUT!$F$2:$F$11000,OUT!$H$2:$H$11000,H563,OUT!$D$2:$D$11000,"Out",OUT!$E$2:$E$11000,"Iqbal")</f>
        <v>215000</v>
      </c>
    </row>
    <row r="564" spans="1:20" x14ac:dyDescent="0.2">
      <c r="A564" s="48">
        <f ca="1">IFERROR(__xludf.DUMMYFUNCTION("""COMPUTED_VALUE"""),46089)</f>
        <v>46089</v>
      </c>
      <c r="B564" s="4" t="str">
        <f ca="1">IFERROR(__xludf.DUMMYFUNCTION("""COMPUTED_VALUE"""),"lemon tea")</f>
        <v>lemon tea</v>
      </c>
      <c r="C564" s="4" t="str">
        <f ca="1">IFERROR(__xludf.DUMMYFUNCTION("""COMPUTED_VALUE"""),"Cash")</f>
        <v>Cash</v>
      </c>
      <c r="D564" s="4" t="str">
        <f ca="1">IFERROR(__xludf.DUMMYFUNCTION("""COMPUTED_VALUE"""),"Out")</f>
        <v>Out</v>
      </c>
      <c r="E564" s="4" t="str">
        <f ca="1">IFERROR(__xludf.DUMMYFUNCTION("""COMPUTED_VALUE"""),"Jajan")</f>
        <v>Jajan</v>
      </c>
      <c r="F564" s="49">
        <f ca="1">IFERROR(__xludf.DUMMYFUNCTION("""COMPUTED_VALUE"""),6000)</f>
        <v>6000</v>
      </c>
      <c r="G564" s="50" t="str">
        <f ca="1">IFERROR(__xludf.DUMMYFUNCTION("""COMPUTED_VALUE"""),"Zela")</f>
        <v>Zela</v>
      </c>
      <c r="H564" s="51">
        <f t="shared" ca="1" si="0"/>
        <v>46082</v>
      </c>
      <c r="I564" s="52" t="e">
        <f ca="1">SUMIFS(OUT!$F$2:$F$11000,OUT!$H$2:$H$11000,H564,OUT!$D$2:$D$101007,"In")</f>
        <v>#VALUE!</v>
      </c>
      <c r="J564" s="52">
        <f ca="1">SUMIFS(OUT!$F$2:$F$11000,OUT!$H$2:$H$11000,H564,OUT!$D$2:$D$11000,"Out")</f>
        <v>12026623</v>
      </c>
      <c r="K564" s="52">
        <f ca="1">SUMIFS(OUT!$F$2:$F$11000,OUT!$H$2:$H$11000,H564,OUT!$D$2:$D$11000,"Out",OUT!$E$2:$E$11000,"Fix")</f>
        <v>2865413</v>
      </c>
      <c r="L564" s="52">
        <f ca="1">SUMIFS(OUT!$F$2:$F$11000,OUT!$H$2:$H$11000,H564,OUT!$D$2:$D$11000,"Out",OUT!$E$2:$E$11000,"Bathroom")</f>
        <v>120488</v>
      </c>
      <c r="M564" s="52">
        <f ca="1">SUMIFS(OUT!$F$2:$F$11000,OUT!$H$2:$H$11000,H564,OUT!$D$2:$D$11000,"Out",OUT!$E$2:$E$11000,"Alfa")</f>
        <v>890962</v>
      </c>
      <c r="N564" s="52" t="e">
        <f ca="1">SUMIFS(OUT!$F$2:$F$11000,OUT!$H$2:$H$101007,H564,OUT!$D$2:$D$11000,"Out",OUT!$E$2:$E$11000,"Jajan")</f>
        <v>#VALUE!</v>
      </c>
      <c r="O564" s="52">
        <f ca="1">SUMIFS(OUT!$F$2:$F$11000,OUT!$H$2:$H$11000,H564,OUT!$D$2:$D$11000,"Out",OUT!$E$2:$E$11000,"Kitchen")</f>
        <v>1152600</v>
      </c>
      <c r="P564" s="52">
        <f ca="1">SUMIFS(OUT!$F$2:$F$11000,OUT!$H$2:$H$11000,H564,OUT!$D$2:$D$11000,"Out",OUT!$E$2:$E$11000,"Loandry")</f>
        <v>41000</v>
      </c>
      <c r="Q564" s="52">
        <f ca="1">SUMIFS(OUT!$F$2:$F$11000,OUT!$H$2:$H$11000,H564,OUT!$D$2:$D$11000,"Out",OUT!$E$2:$E$11000,"Mio")</f>
        <v>895700</v>
      </c>
      <c r="R564" s="52">
        <f ca="1">SUMIFS(OUT!$F$2:$F$11000,OUT!$H$2:$H$11000,H564,OUT!$D$2:$D$11000,"Out",OUT!$E$2:$E$11000,"Sedekah")</f>
        <v>130000</v>
      </c>
      <c r="S564" s="52">
        <f ca="1">SUMIFS(OUT!$F$2:$F$11000,OUT!$H$2:$H$11000,H564,OUT!$D$2:$D$11000,"Out",OUT!$E$2:$E$11000,"Zela")</f>
        <v>215161</v>
      </c>
      <c r="T564" s="52">
        <f ca="1">SUMIFS(OUT!$F$2:$F$11000,OUT!$H$2:$H$11000,H564,OUT!$D$2:$D$11000,"Out",OUT!$E$2:$E$11000,"Iqbal")</f>
        <v>215000</v>
      </c>
    </row>
    <row r="565" spans="1:20" x14ac:dyDescent="0.2">
      <c r="A565" s="48">
        <f ca="1">IFERROR(__xludf.DUMMYFUNCTION("""COMPUTED_VALUE"""),46090)</f>
        <v>46090</v>
      </c>
      <c r="B565" s="4" t="str">
        <f ca="1">IFERROR(__xludf.DUMMYFUNCTION("""COMPUTED_VALUE"""),"Pasar Kaget + Parkir")</f>
        <v>Pasar Kaget + Parkir</v>
      </c>
      <c r="C565" s="4" t="str">
        <f ca="1">IFERROR(__xludf.DUMMYFUNCTION("""COMPUTED_VALUE"""),"Cash")</f>
        <v>Cash</v>
      </c>
      <c r="D565" s="4" t="str">
        <f ca="1">IFERROR(__xludf.DUMMYFUNCTION("""COMPUTED_VALUE"""),"Out")</f>
        <v>Out</v>
      </c>
      <c r="E565" s="4" t="str">
        <f ca="1">IFERROR(__xludf.DUMMYFUNCTION("""COMPUTED_VALUE"""),"Kitchen")</f>
        <v>Kitchen</v>
      </c>
      <c r="F565" s="49">
        <f ca="1">IFERROR(__xludf.DUMMYFUNCTION("""COMPUTED_VALUE"""),61000)</f>
        <v>61000</v>
      </c>
      <c r="G565" s="50" t="str">
        <f ca="1">IFERROR(__xludf.DUMMYFUNCTION("""COMPUTED_VALUE"""),"Zela")</f>
        <v>Zela</v>
      </c>
      <c r="H565" s="51">
        <f t="shared" ca="1" si="0"/>
        <v>46082</v>
      </c>
      <c r="I565" s="52" t="e">
        <f ca="1">SUMIFS(OUT!$F$2:$F$11000,OUT!$H$2:$H$11000,H565,OUT!$D$2:$D$101007,"In")</f>
        <v>#VALUE!</v>
      </c>
      <c r="J565" s="52">
        <f ca="1">SUMIFS(OUT!$F$2:$F$11000,OUT!$H$2:$H$11000,H565,OUT!$D$2:$D$11000,"Out")</f>
        <v>12026623</v>
      </c>
      <c r="K565" s="52">
        <f ca="1">SUMIFS(OUT!$F$2:$F$11000,OUT!$H$2:$H$11000,H565,OUT!$D$2:$D$11000,"Out",OUT!$E$2:$E$11000,"Fix")</f>
        <v>2865413</v>
      </c>
      <c r="L565" s="52">
        <f ca="1">SUMIFS(OUT!$F$2:$F$11000,OUT!$H$2:$H$11000,H565,OUT!$D$2:$D$11000,"Out",OUT!$E$2:$E$11000,"Bathroom")</f>
        <v>120488</v>
      </c>
      <c r="M565" s="52">
        <f ca="1">SUMIFS(OUT!$F$2:$F$11000,OUT!$H$2:$H$11000,H565,OUT!$D$2:$D$11000,"Out",OUT!$E$2:$E$11000,"Alfa")</f>
        <v>890962</v>
      </c>
      <c r="N565" s="52" t="e">
        <f ca="1">SUMIFS(OUT!$F$2:$F$11000,OUT!$H$2:$H$101007,H565,OUT!$D$2:$D$11000,"Out",OUT!$E$2:$E$11000,"Jajan")</f>
        <v>#VALUE!</v>
      </c>
      <c r="O565" s="52">
        <f ca="1">SUMIFS(OUT!$F$2:$F$11000,OUT!$H$2:$H$11000,H565,OUT!$D$2:$D$11000,"Out",OUT!$E$2:$E$11000,"Kitchen")</f>
        <v>1152600</v>
      </c>
      <c r="P565" s="52">
        <f ca="1">SUMIFS(OUT!$F$2:$F$11000,OUT!$H$2:$H$11000,H565,OUT!$D$2:$D$11000,"Out",OUT!$E$2:$E$11000,"Loandry")</f>
        <v>41000</v>
      </c>
      <c r="Q565" s="52">
        <f ca="1">SUMIFS(OUT!$F$2:$F$11000,OUT!$H$2:$H$11000,H565,OUT!$D$2:$D$11000,"Out",OUT!$E$2:$E$11000,"Mio")</f>
        <v>895700</v>
      </c>
      <c r="R565" s="52">
        <f ca="1">SUMIFS(OUT!$F$2:$F$11000,OUT!$H$2:$H$11000,H565,OUT!$D$2:$D$11000,"Out",OUT!$E$2:$E$11000,"Sedekah")</f>
        <v>130000</v>
      </c>
      <c r="S565" s="52">
        <f ca="1">SUMIFS(OUT!$F$2:$F$11000,OUT!$H$2:$H$11000,H565,OUT!$D$2:$D$11000,"Out",OUT!$E$2:$E$11000,"Zela")</f>
        <v>215161</v>
      </c>
      <c r="T565" s="52">
        <f ca="1">SUMIFS(OUT!$F$2:$F$11000,OUT!$H$2:$H$11000,H565,OUT!$D$2:$D$11000,"Out",OUT!$E$2:$E$11000,"Iqbal")</f>
        <v>215000</v>
      </c>
    </row>
    <row r="566" spans="1:20" x14ac:dyDescent="0.2">
      <c r="A566" s="48">
        <f ca="1">IFERROR(__xludf.DUMMYFUNCTION("""COMPUTED_VALUE"""),46090)</f>
        <v>46090</v>
      </c>
      <c r="B566" s="4" t="str">
        <f ca="1">IFERROR(__xludf.DUMMYFUNCTION("""COMPUTED_VALUE"""),"Alfamart ( Tarik tunai dana )")</f>
        <v>Alfamart ( Tarik tunai dana )</v>
      </c>
      <c r="C566" s="4" t="str">
        <f ca="1">IFERROR(__xludf.DUMMYFUNCTION("""COMPUTED_VALUE"""),"ATM")</f>
        <v>ATM</v>
      </c>
      <c r="D566" s="4" t="str">
        <f ca="1">IFERROR(__xludf.DUMMYFUNCTION("""COMPUTED_VALUE"""),"Out")</f>
        <v>Out</v>
      </c>
      <c r="E566" s="4" t="str">
        <f ca="1">IFERROR(__xludf.DUMMYFUNCTION("""COMPUTED_VALUE"""),"Move")</f>
        <v>Move</v>
      </c>
      <c r="F566" s="49">
        <f ca="1">IFERROR(__xludf.DUMMYFUNCTION("""COMPUTED_VALUE"""),50000)</f>
        <v>50000</v>
      </c>
      <c r="G566" s="50" t="str">
        <f ca="1">IFERROR(__xludf.DUMMYFUNCTION("""COMPUTED_VALUE"""),"Zela")</f>
        <v>Zela</v>
      </c>
      <c r="H566" s="51">
        <f t="shared" ca="1" si="0"/>
        <v>46082</v>
      </c>
      <c r="I566" s="52" t="e">
        <f ca="1">SUMIFS(OUT!$F$2:$F$11000,OUT!$H$2:$H$11000,H566,OUT!$D$2:$D$101007,"In")</f>
        <v>#VALUE!</v>
      </c>
      <c r="J566" s="52">
        <f ca="1">SUMIFS(OUT!$F$2:$F$11000,OUT!$H$2:$H$11000,H566,OUT!$D$2:$D$11000,"Out")</f>
        <v>12026623</v>
      </c>
      <c r="K566" s="52">
        <f ca="1">SUMIFS(OUT!$F$2:$F$11000,OUT!$H$2:$H$11000,H566,OUT!$D$2:$D$11000,"Out",OUT!$E$2:$E$11000,"Fix")</f>
        <v>2865413</v>
      </c>
      <c r="L566" s="52">
        <f ca="1">SUMIFS(OUT!$F$2:$F$11000,OUT!$H$2:$H$11000,H566,OUT!$D$2:$D$11000,"Out",OUT!$E$2:$E$11000,"Bathroom")</f>
        <v>120488</v>
      </c>
      <c r="M566" s="52">
        <f ca="1">SUMIFS(OUT!$F$2:$F$11000,OUT!$H$2:$H$11000,H566,OUT!$D$2:$D$11000,"Out",OUT!$E$2:$E$11000,"Alfa")</f>
        <v>890962</v>
      </c>
      <c r="N566" s="52" t="e">
        <f ca="1">SUMIFS(OUT!$F$2:$F$11000,OUT!$H$2:$H$101007,H566,OUT!$D$2:$D$11000,"Out",OUT!$E$2:$E$11000,"Jajan")</f>
        <v>#VALUE!</v>
      </c>
      <c r="O566" s="52">
        <f ca="1">SUMIFS(OUT!$F$2:$F$11000,OUT!$H$2:$H$11000,H566,OUT!$D$2:$D$11000,"Out",OUT!$E$2:$E$11000,"Kitchen")</f>
        <v>1152600</v>
      </c>
      <c r="P566" s="52">
        <f ca="1">SUMIFS(OUT!$F$2:$F$11000,OUT!$H$2:$H$11000,H566,OUT!$D$2:$D$11000,"Out",OUT!$E$2:$E$11000,"Loandry")</f>
        <v>41000</v>
      </c>
      <c r="Q566" s="52">
        <f ca="1">SUMIFS(OUT!$F$2:$F$11000,OUT!$H$2:$H$11000,H566,OUT!$D$2:$D$11000,"Out",OUT!$E$2:$E$11000,"Mio")</f>
        <v>895700</v>
      </c>
      <c r="R566" s="52">
        <f ca="1">SUMIFS(OUT!$F$2:$F$11000,OUT!$H$2:$H$11000,H566,OUT!$D$2:$D$11000,"Out",OUT!$E$2:$E$11000,"Sedekah")</f>
        <v>130000</v>
      </c>
      <c r="S566" s="52">
        <f ca="1">SUMIFS(OUT!$F$2:$F$11000,OUT!$H$2:$H$11000,H566,OUT!$D$2:$D$11000,"Out",OUT!$E$2:$E$11000,"Zela")</f>
        <v>215161</v>
      </c>
      <c r="T566" s="52">
        <f ca="1">SUMIFS(OUT!$F$2:$F$11000,OUT!$H$2:$H$11000,H566,OUT!$D$2:$D$11000,"Out",OUT!$E$2:$E$11000,"Iqbal")</f>
        <v>215000</v>
      </c>
    </row>
    <row r="567" spans="1:20" x14ac:dyDescent="0.2">
      <c r="A567" s="48">
        <f ca="1">IFERROR(__xludf.DUMMYFUNCTION("""COMPUTED_VALUE"""),46090)</f>
        <v>46090</v>
      </c>
      <c r="B567" s="4" t="str">
        <f ca="1">IFERROR(__xludf.DUMMYFUNCTION("""COMPUTED_VALUE"""),"Terima Tunai")</f>
        <v>Terima Tunai</v>
      </c>
      <c r="C567" s="4" t="str">
        <f ca="1">IFERROR(__xludf.DUMMYFUNCTION("""COMPUTED_VALUE"""),"Cash")</f>
        <v>Cash</v>
      </c>
      <c r="D567" s="4" t="str">
        <f ca="1">IFERROR(__xludf.DUMMYFUNCTION("""COMPUTED_VALUE"""),"In")</f>
        <v>In</v>
      </c>
      <c r="E567" s="4" t="str">
        <f ca="1">IFERROR(__xludf.DUMMYFUNCTION("""COMPUTED_VALUE"""),"Move")</f>
        <v>Move</v>
      </c>
      <c r="F567" s="49">
        <f ca="1">IFERROR(__xludf.DUMMYFUNCTION("""COMPUTED_VALUE"""),50000)</f>
        <v>50000</v>
      </c>
      <c r="G567" s="50" t="str">
        <f ca="1">IFERROR(__xludf.DUMMYFUNCTION("""COMPUTED_VALUE"""),"Zela")</f>
        <v>Zela</v>
      </c>
      <c r="H567" s="51">
        <f t="shared" ca="1" si="0"/>
        <v>46082</v>
      </c>
      <c r="I567" s="52" t="e">
        <f ca="1">SUMIFS(OUT!$F$2:$F$11000,OUT!$H$2:$H$11000,H567,OUT!$D$2:$D$101007,"In")</f>
        <v>#VALUE!</v>
      </c>
      <c r="J567" s="52">
        <f ca="1">SUMIFS(OUT!$F$2:$F$11000,OUT!$H$2:$H$11000,H567,OUT!$D$2:$D$11000,"Out")</f>
        <v>12026623</v>
      </c>
      <c r="K567" s="52">
        <f ca="1">SUMIFS(OUT!$F$2:$F$11000,OUT!$H$2:$H$11000,H567,OUT!$D$2:$D$11000,"Out",OUT!$E$2:$E$11000,"Fix")</f>
        <v>2865413</v>
      </c>
      <c r="L567" s="52">
        <f ca="1">SUMIFS(OUT!$F$2:$F$11000,OUT!$H$2:$H$11000,H567,OUT!$D$2:$D$11000,"Out",OUT!$E$2:$E$11000,"Bathroom")</f>
        <v>120488</v>
      </c>
      <c r="M567" s="52">
        <f ca="1">SUMIFS(OUT!$F$2:$F$11000,OUT!$H$2:$H$11000,H567,OUT!$D$2:$D$11000,"Out",OUT!$E$2:$E$11000,"Alfa")</f>
        <v>890962</v>
      </c>
      <c r="N567" s="52" t="e">
        <f ca="1">SUMIFS(OUT!$F$2:$F$11000,OUT!$H$2:$H$101007,H567,OUT!$D$2:$D$11000,"Out",OUT!$E$2:$E$11000,"Jajan")</f>
        <v>#VALUE!</v>
      </c>
      <c r="O567" s="52">
        <f ca="1">SUMIFS(OUT!$F$2:$F$11000,OUT!$H$2:$H$11000,H567,OUT!$D$2:$D$11000,"Out",OUT!$E$2:$E$11000,"Kitchen")</f>
        <v>1152600</v>
      </c>
      <c r="P567" s="52">
        <f ca="1">SUMIFS(OUT!$F$2:$F$11000,OUT!$H$2:$H$11000,H567,OUT!$D$2:$D$11000,"Out",OUT!$E$2:$E$11000,"Loandry")</f>
        <v>41000</v>
      </c>
      <c r="Q567" s="52">
        <f ca="1">SUMIFS(OUT!$F$2:$F$11000,OUT!$H$2:$H$11000,H567,OUT!$D$2:$D$11000,"Out",OUT!$E$2:$E$11000,"Mio")</f>
        <v>895700</v>
      </c>
      <c r="R567" s="52">
        <f ca="1">SUMIFS(OUT!$F$2:$F$11000,OUT!$H$2:$H$11000,H567,OUT!$D$2:$D$11000,"Out",OUT!$E$2:$E$11000,"Sedekah")</f>
        <v>130000</v>
      </c>
      <c r="S567" s="52">
        <f ca="1">SUMIFS(OUT!$F$2:$F$11000,OUT!$H$2:$H$11000,H567,OUT!$D$2:$D$11000,"Out",OUT!$E$2:$E$11000,"Zela")</f>
        <v>215161</v>
      </c>
      <c r="T567" s="52">
        <f ca="1">SUMIFS(OUT!$F$2:$F$11000,OUT!$H$2:$H$11000,H567,OUT!$D$2:$D$11000,"Out",OUT!$E$2:$E$11000,"Iqbal")</f>
        <v>215000</v>
      </c>
    </row>
    <row r="568" spans="1:20" x14ac:dyDescent="0.2">
      <c r="A568" s="48">
        <f ca="1">IFERROR(__xludf.DUMMYFUNCTION("""COMPUTED_VALUE"""),46090)</f>
        <v>46090</v>
      </c>
      <c r="B568" s="4" t="str">
        <f ca="1">IFERROR(__xludf.DUMMYFUNCTION("""COMPUTED_VALUE"""),"Yogurt 3")</f>
        <v>Yogurt 3</v>
      </c>
      <c r="C568" s="4" t="str">
        <f ca="1">IFERROR(__xludf.DUMMYFUNCTION("""COMPUTED_VALUE"""),"Cash")</f>
        <v>Cash</v>
      </c>
      <c r="D568" s="4" t="str">
        <f ca="1">IFERROR(__xludf.DUMMYFUNCTION("""COMPUTED_VALUE"""),"Out")</f>
        <v>Out</v>
      </c>
      <c r="E568" s="4" t="str">
        <f ca="1">IFERROR(__xludf.DUMMYFUNCTION("""COMPUTED_VALUE"""),"Jajan")</f>
        <v>Jajan</v>
      </c>
      <c r="F568" s="49">
        <f ca="1">IFERROR(__xludf.DUMMYFUNCTION("""COMPUTED_VALUE"""),6600)</f>
        <v>6600</v>
      </c>
      <c r="G568" s="50" t="str">
        <f ca="1">IFERROR(__xludf.DUMMYFUNCTION("""COMPUTED_VALUE"""),"Zela")</f>
        <v>Zela</v>
      </c>
      <c r="H568" s="51">
        <f t="shared" ca="1" si="0"/>
        <v>46082</v>
      </c>
      <c r="I568" s="52" t="e">
        <f ca="1">SUMIFS(OUT!$F$2:$F$11000,OUT!$H$2:$H$11000,H568,OUT!$D$2:$D$101007,"In")</f>
        <v>#VALUE!</v>
      </c>
      <c r="J568" s="52">
        <f ca="1">SUMIFS(OUT!$F$2:$F$11000,OUT!$H$2:$H$11000,H568,OUT!$D$2:$D$11000,"Out")</f>
        <v>12026623</v>
      </c>
      <c r="K568" s="52">
        <f ca="1">SUMIFS(OUT!$F$2:$F$11000,OUT!$H$2:$H$11000,H568,OUT!$D$2:$D$11000,"Out",OUT!$E$2:$E$11000,"Fix")</f>
        <v>2865413</v>
      </c>
      <c r="L568" s="52">
        <f ca="1">SUMIFS(OUT!$F$2:$F$11000,OUT!$H$2:$H$11000,H568,OUT!$D$2:$D$11000,"Out",OUT!$E$2:$E$11000,"Bathroom")</f>
        <v>120488</v>
      </c>
      <c r="M568" s="52">
        <f ca="1">SUMIFS(OUT!$F$2:$F$11000,OUT!$H$2:$H$11000,H568,OUT!$D$2:$D$11000,"Out",OUT!$E$2:$E$11000,"Alfa")</f>
        <v>890962</v>
      </c>
      <c r="N568" s="52" t="e">
        <f ca="1">SUMIFS(OUT!$F$2:$F$11000,OUT!$H$2:$H$101007,H568,OUT!$D$2:$D$11000,"Out",OUT!$E$2:$E$11000,"Jajan")</f>
        <v>#VALUE!</v>
      </c>
      <c r="O568" s="52">
        <f ca="1">SUMIFS(OUT!$F$2:$F$11000,OUT!$H$2:$H$11000,H568,OUT!$D$2:$D$11000,"Out",OUT!$E$2:$E$11000,"Kitchen")</f>
        <v>1152600</v>
      </c>
      <c r="P568" s="52">
        <f ca="1">SUMIFS(OUT!$F$2:$F$11000,OUT!$H$2:$H$11000,H568,OUT!$D$2:$D$11000,"Out",OUT!$E$2:$E$11000,"Loandry")</f>
        <v>41000</v>
      </c>
      <c r="Q568" s="52">
        <f ca="1">SUMIFS(OUT!$F$2:$F$11000,OUT!$H$2:$H$11000,H568,OUT!$D$2:$D$11000,"Out",OUT!$E$2:$E$11000,"Mio")</f>
        <v>895700</v>
      </c>
      <c r="R568" s="52">
        <f ca="1">SUMIFS(OUT!$F$2:$F$11000,OUT!$H$2:$H$11000,H568,OUT!$D$2:$D$11000,"Out",OUT!$E$2:$E$11000,"Sedekah")</f>
        <v>130000</v>
      </c>
      <c r="S568" s="52">
        <f ca="1">SUMIFS(OUT!$F$2:$F$11000,OUT!$H$2:$H$11000,H568,OUT!$D$2:$D$11000,"Out",OUT!$E$2:$E$11000,"Zela")</f>
        <v>215161</v>
      </c>
      <c r="T568" s="52">
        <f ca="1">SUMIFS(OUT!$F$2:$F$11000,OUT!$H$2:$H$11000,H568,OUT!$D$2:$D$11000,"Out",OUT!$E$2:$E$11000,"Iqbal")</f>
        <v>215000</v>
      </c>
    </row>
    <row r="569" spans="1:20" x14ac:dyDescent="0.2">
      <c r="A569" s="48">
        <f ca="1">IFERROR(__xludf.DUMMYFUNCTION("""COMPUTED_VALUE"""),46091)</f>
        <v>46091</v>
      </c>
      <c r="B569" s="4" t="str">
        <f ca="1">IFERROR(__xludf.DUMMYFUNCTION("""COMPUTED_VALUE"""),"Ketoprak + gorengab")</f>
        <v>Ketoprak + gorengab</v>
      </c>
      <c r="C569" s="4" t="str">
        <f ca="1">IFERROR(__xludf.DUMMYFUNCTION("""COMPUTED_VALUE"""),"Cash")</f>
        <v>Cash</v>
      </c>
      <c r="D569" s="4" t="str">
        <f ca="1">IFERROR(__xludf.DUMMYFUNCTION("""COMPUTED_VALUE"""),"Out")</f>
        <v>Out</v>
      </c>
      <c r="E569" s="4" t="str">
        <f ca="1">IFERROR(__xludf.DUMMYFUNCTION("""COMPUTED_VALUE"""),"Jajan")</f>
        <v>Jajan</v>
      </c>
      <c r="F569" s="49">
        <f ca="1">IFERROR(__xludf.DUMMYFUNCTION("""COMPUTED_VALUE"""),20000)</f>
        <v>20000</v>
      </c>
      <c r="G569" s="50" t="str">
        <f ca="1">IFERROR(__xludf.DUMMYFUNCTION("""COMPUTED_VALUE"""),"Zela")</f>
        <v>Zela</v>
      </c>
      <c r="H569" s="51">
        <f t="shared" ca="1" si="0"/>
        <v>46082</v>
      </c>
      <c r="I569" s="52" t="e">
        <f ca="1">SUMIFS(OUT!$F$2:$F$11000,OUT!$H$2:$H$11000,H569,OUT!$D$2:$D$101007,"In")</f>
        <v>#VALUE!</v>
      </c>
      <c r="J569" s="52">
        <f ca="1">SUMIFS(OUT!$F$2:$F$11000,OUT!$H$2:$H$11000,H569,OUT!$D$2:$D$11000,"Out")</f>
        <v>12026623</v>
      </c>
      <c r="K569" s="52">
        <f ca="1">SUMIFS(OUT!$F$2:$F$11000,OUT!$H$2:$H$11000,H569,OUT!$D$2:$D$11000,"Out",OUT!$E$2:$E$11000,"Fix")</f>
        <v>2865413</v>
      </c>
      <c r="L569" s="52">
        <f ca="1">SUMIFS(OUT!$F$2:$F$11000,OUT!$H$2:$H$11000,H569,OUT!$D$2:$D$11000,"Out",OUT!$E$2:$E$11000,"Bathroom")</f>
        <v>120488</v>
      </c>
      <c r="M569" s="52">
        <f ca="1">SUMIFS(OUT!$F$2:$F$11000,OUT!$H$2:$H$11000,H569,OUT!$D$2:$D$11000,"Out",OUT!$E$2:$E$11000,"Alfa")</f>
        <v>890962</v>
      </c>
      <c r="N569" s="52" t="e">
        <f ca="1">SUMIFS(OUT!$F$2:$F$11000,OUT!$H$2:$H$101007,H569,OUT!$D$2:$D$11000,"Out",OUT!$E$2:$E$11000,"Jajan")</f>
        <v>#VALUE!</v>
      </c>
      <c r="O569" s="52">
        <f ca="1">SUMIFS(OUT!$F$2:$F$11000,OUT!$H$2:$H$11000,H569,OUT!$D$2:$D$11000,"Out",OUT!$E$2:$E$11000,"Kitchen")</f>
        <v>1152600</v>
      </c>
      <c r="P569" s="52">
        <f ca="1">SUMIFS(OUT!$F$2:$F$11000,OUT!$H$2:$H$11000,H569,OUT!$D$2:$D$11000,"Out",OUT!$E$2:$E$11000,"Loandry")</f>
        <v>41000</v>
      </c>
      <c r="Q569" s="52">
        <f ca="1">SUMIFS(OUT!$F$2:$F$11000,OUT!$H$2:$H$11000,H569,OUT!$D$2:$D$11000,"Out",OUT!$E$2:$E$11000,"Mio")</f>
        <v>895700</v>
      </c>
      <c r="R569" s="52">
        <f ca="1">SUMIFS(OUT!$F$2:$F$11000,OUT!$H$2:$H$11000,H569,OUT!$D$2:$D$11000,"Out",OUT!$E$2:$E$11000,"Sedekah")</f>
        <v>130000</v>
      </c>
      <c r="S569" s="52">
        <f ca="1">SUMIFS(OUT!$F$2:$F$11000,OUT!$H$2:$H$11000,H569,OUT!$D$2:$D$11000,"Out",OUT!$E$2:$E$11000,"Zela")</f>
        <v>215161</v>
      </c>
      <c r="T569" s="52">
        <f ca="1">SUMIFS(OUT!$F$2:$F$11000,OUT!$H$2:$H$11000,H569,OUT!$D$2:$D$11000,"Out",OUT!$E$2:$E$11000,"Iqbal")</f>
        <v>215000</v>
      </c>
    </row>
    <row r="570" spans="1:20" x14ac:dyDescent="0.2">
      <c r="A570" s="48">
        <f ca="1">IFERROR(__xludf.DUMMYFUNCTION("""COMPUTED_VALUE"""),46092)</f>
        <v>46092</v>
      </c>
      <c r="B570" s="4" t="str">
        <f ca="1">IFERROR(__xludf.DUMMYFUNCTION("""COMPUTED_VALUE"""),"Kasih Baba")</f>
        <v>Kasih Baba</v>
      </c>
      <c r="C570" s="4" t="str">
        <f ca="1">IFERROR(__xludf.DUMMYFUNCTION("""COMPUTED_VALUE"""),"Cash")</f>
        <v>Cash</v>
      </c>
      <c r="D570" s="4" t="str">
        <f ca="1">IFERROR(__xludf.DUMMYFUNCTION("""COMPUTED_VALUE"""),"Out")</f>
        <v>Out</v>
      </c>
      <c r="E570" s="4" t="str">
        <f ca="1">IFERROR(__xludf.DUMMYFUNCTION("""COMPUTED_VALUE"""),"Mio")</f>
        <v>Mio</v>
      </c>
      <c r="F570" s="49">
        <f ca="1">IFERROR(__xludf.DUMMYFUNCTION("""COMPUTED_VALUE"""),20000)</f>
        <v>20000</v>
      </c>
      <c r="G570" s="50" t="str">
        <f ca="1">IFERROR(__xludf.DUMMYFUNCTION("""COMPUTED_VALUE"""),"Zela")</f>
        <v>Zela</v>
      </c>
      <c r="H570" s="51">
        <f t="shared" ca="1" si="0"/>
        <v>46082</v>
      </c>
      <c r="I570" s="52" t="e">
        <f ca="1">SUMIFS(OUT!$F$2:$F$11000,OUT!$H$2:$H$11000,H570,OUT!$D$2:$D$101007,"In")</f>
        <v>#VALUE!</v>
      </c>
      <c r="J570" s="52">
        <f ca="1">SUMIFS(OUT!$F$2:$F$11000,OUT!$H$2:$H$11000,H570,OUT!$D$2:$D$11000,"Out")</f>
        <v>12026623</v>
      </c>
      <c r="K570" s="52">
        <f ca="1">SUMIFS(OUT!$F$2:$F$11000,OUT!$H$2:$H$11000,H570,OUT!$D$2:$D$11000,"Out",OUT!$E$2:$E$11000,"Fix")</f>
        <v>2865413</v>
      </c>
      <c r="L570" s="52">
        <f ca="1">SUMIFS(OUT!$F$2:$F$11000,OUT!$H$2:$H$11000,H570,OUT!$D$2:$D$11000,"Out",OUT!$E$2:$E$11000,"Bathroom")</f>
        <v>120488</v>
      </c>
      <c r="M570" s="52">
        <f ca="1">SUMIFS(OUT!$F$2:$F$11000,OUT!$H$2:$H$11000,H570,OUT!$D$2:$D$11000,"Out",OUT!$E$2:$E$11000,"Alfa")</f>
        <v>890962</v>
      </c>
      <c r="N570" s="52" t="e">
        <f ca="1">SUMIFS(OUT!$F$2:$F$11000,OUT!$H$2:$H$101007,H570,OUT!$D$2:$D$11000,"Out",OUT!$E$2:$E$11000,"Jajan")</f>
        <v>#VALUE!</v>
      </c>
      <c r="O570" s="52">
        <f ca="1">SUMIFS(OUT!$F$2:$F$11000,OUT!$H$2:$H$11000,H570,OUT!$D$2:$D$11000,"Out",OUT!$E$2:$E$11000,"Kitchen")</f>
        <v>1152600</v>
      </c>
      <c r="P570" s="52">
        <f ca="1">SUMIFS(OUT!$F$2:$F$11000,OUT!$H$2:$H$11000,H570,OUT!$D$2:$D$11000,"Out",OUT!$E$2:$E$11000,"Loandry")</f>
        <v>41000</v>
      </c>
      <c r="Q570" s="52">
        <f ca="1">SUMIFS(OUT!$F$2:$F$11000,OUT!$H$2:$H$11000,H570,OUT!$D$2:$D$11000,"Out",OUT!$E$2:$E$11000,"Mio")</f>
        <v>895700</v>
      </c>
      <c r="R570" s="52">
        <f ca="1">SUMIFS(OUT!$F$2:$F$11000,OUT!$H$2:$H$11000,H570,OUT!$D$2:$D$11000,"Out",OUT!$E$2:$E$11000,"Sedekah")</f>
        <v>130000</v>
      </c>
      <c r="S570" s="52">
        <f ca="1">SUMIFS(OUT!$F$2:$F$11000,OUT!$H$2:$H$11000,H570,OUT!$D$2:$D$11000,"Out",OUT!$E$2:$E$11000,"Zela")</f>
        <v>215161</v>
      </c>
      <c r="T570" s="52">
        <f ca="1">SUMIFS(OUT!$F$2:$F$11000,OUT!$H$2:$H$11000,H570,OUT!$D$2:$D$11000,"Out",OUT!$E$2:$E$11000,"Iqbal")</f>
        <v>215000</v>
      </c>
    </row>
    <row r="571" spans="1:20" x14ac:dyDescent="0.2">
      <c r="A571" s="48">
        <f ca="1">IFERROR(__xludf.DUMMYFUNCTION("""COMPUTED_VALUE"""),46092)</f>
        <v>46092</v>
      </c>
      <c r="B571" s="4" t="str">
        <f ca="1">IFERROR(__xludf.DUMMYFUNCTION("""COMPUTED_VALUE"""),"pulsa Telkomsel")</f>
        <v>pulsa Telkomsel</v>
      </c>
      <c r="C571" s="4" t="str">
        <f ca="1">IFERROR(__xludf.DUMMYFUNCTION("""COMPUTED_VALUE"""),"ATM")</f>
        <v>ATM</v>
      </c>
      <c r="D571" s="4" t="str">
        <f ca="1">IFERROR(__xludf.DUMMYFUNCTION("""COMPUTED_VALUE"""),"Out")</f>
        <v>Out</v>
      </c>
      <c r="E571" s="4" t="str">
        <f ca="1">IFERROR(__xludf.DUMMYFUNCTION("""COMPUTED_VALUE"""),"Fix")</f>
        <v>Fix</v>
      </c>
      <c r="F571" s="49">
        <f ca="1">IFERROR(__xludf.DUMMYFUNCTION("""COMPUTED_VALUE"""),10000)</f>
        <v>10000</v>
      </c>
      <c r="G571" s="50" t="str">
        <f ca="1">IFERROR(__xludf.DUMMYFUNCTION("""COMPUTED_VALUE"""),"Zela")</f>
        <v>Zela</v>
      </c>
      <c r="H571" s="51">
        <f t="shared" ca="1" si="0"/>
        <v>46082</v>
      </c>
      <c r="I571" s="52" t="e">
        <f ca="1">SUMIFS(OUT!$F$2:$F$11000,OUT!$H$2:$H$11000,H571,OUT!$D$2:$D$101007,"In")</f>
        <v>#VALUE!</v>
      </c>
      <c r="J571" s="52">
        <f ca="1">SUMIFS(OUT!$F$2:$F$11000,OUT!$H$2:$H$11000,H571,OUT!$D$2:$D$11000,"Out")</f>
        <v>12026623</v>
      </c>
      <c r="K571" s="52">
        <f ca="1">SUMIFS(OUT!$F$2:$F$11000,OUT!$H$2:$H$11000,H571,OUT!$D$2:$D$11000,"Out",OUT!$E$2:$E$11000,"Fix")</f>
        <v>2865413</v>
      </c>
      <c r="L571" s="52">
        <f ca="1">SUMIFS(OUT!$F$2:$F$11000,OUT!$H$2:$H$11000,H571,OUT!$D$2:$D$11000,"Out",OUT!$E$2:$E$11000,"Bathroom")</f>
        <v>120488</v>
      </c>
      <c r="M571" s="52">
        <f ca="1">SUMIFS(OUT!$F$2:$F$11000,OUT!$H$2:$H$11000,H571,OUT!$D$2:$D$11000,"Out",OUT!$E$2:$E$11000,"Alfa")</f>
        <v>890962</v>
      </c>
      <c r="N571" s="52" t="e">
        <f ca="1">SUMIFS(OUT!$F$2:$F$11000,OUT!$H$2:$H$101007,H571,OUT!$D$2:$D$11000,"Out",OUT!$E$2:$E$11000,"Jajan")</f>
        <v>#VALUE!</v>
      </c>
      <c r="O571" s="52">
        <f ca="1">SUMIFS(OUT!$F$2:$F$11000,OUT!$H$2:$H$11000,H571,OUT!$D$2:$D$11000,"Out",OUT!$E$2:$E$11000,"Kitchen")</f>
        <v>1152600</v>
      </c>
      <c r="P571" s="52">
        <f ca="1">SUMIFS(OUT!$F$2:$F$11000,OUT!$H$2:$H$11000,H571,OUT!$D$2:$D$11000,"Out",OUT!$E$2:$E$11000,"Loandry")</f>
        <v>41000</v>
      </c>
      <c r="Q571" s="52">
        <f ca="1">SUMIFS(OUT!$F$2:$F$11000,OUT!$H$2:$H$11000,H571,OUT!$D$2:$D$11000,"Out",OUT!$E$2:$E$11000,"Mio")</f>
        <v>895700</v>
      </c>
      <c r="R571" s="52">
        <f ca="1">SUMIFS(OUT!$F$2:$F$11000,OUT!$H$2:$H$11000,H571,OUT!$D$2:$D$11000,"Out",OUT!$E$2:$E$11000,"Sedekah")</f>
        <v>130000</v>
      </c>
      <c r="S571" s="52">
        <f ca="1">SUMIFS(OUT!$F$2:$F$11000,OUT!$H$2:$H$11000,H571,OUT!$D$2:$D$11000,"Out",OUT!$E$2:$E$11000,"Zela")</f>
        <v>215161</v>
      </c>
      <c r="T571" s="52">
        <f ca="1">SUMIFS(OUT!$F$2:$F$11000,OUT!$H$2:$H$11000,H571,OUT!$D$2:$D$11000,"Out",OUT!$E$2:$E$11000,"Iqbal")</f>
        <v>215000</v>
      </c>
    </row>
    <row r="572" spans="1:20" x14ac:dyDescent="0.2">
      <c r="A572" s="48">
        <f ca="1">IFERROR(__xludf.DUMMYFUNCTION("""COMPUTED_VALUE"""),46092)</f>
        <v>46092</v>
      </c>
      <c r="B572" s="4" t="str">
        <f ca="1">IFERROR(__xludf.DUMMYFUNCTION("""COMPUTED_VALUE"""),"Galon")</f>
        <v>Galon</v>
      </c>
      <c r="C572" s="4" t="str">
        <f ca="1">IFERROR(__xludf.DUMMYFUNCTION("""COMPUTED_VALUE"""),"Cash")</f>
        <v>Cash</v>
      </c>
      <c r="D572" s="4" t="str">
        <f ca="1">IFERROR(__xludf.DUMMYFUNCTION("""COMPUTED_VALUE"""),"Out")</f>
        <v>Out</v>
      </c>
      <c r="E572" s="4" t="str">
        <f ca="1">IFERROR(__xludf.DUMMYFUNCTION("""COMPUTED_VALUE"""),"Kitchen")</f>
        <v>Kitchen</v>
      </c>
      <c r="F572" s="49">
        <f ca="1">IFERROR(__xludf.DUMMYFUNCTION("""COMPUTED_VALUE"""),4000)</f>
        <v>4000</v>
      </c>
      <c r="G572" s="50" t="str">
        <f ca="1">IFERROR(__xludf.DUMMYFUNCTION("""COMPUTED_VALUE"""),"Zela")</f>
        <v>Zela</v>
      </c>
      <c r="H572" s="51">
        <f t="shared" ca="1" si="0"/>
        <v>46082</v>
      </c>
      <c r="I572" s="52" t="e">
        <f ca="1">SUMIFS(OUT!$F$2:$F$11000,OUT!$H$2:$H$11000,H572,OUT!$D$2:$D$101007,"In")</f>
        <v>#VALUE!</v>
      </c>
      <c r="J572" s="52">
        <f ca="1">SUMIFS(OUT!$F$2:$F$11000,OUT!$H$2:$H$11000,H572,OUT!$D$2:$D$11000,"Out")</f>
        <v>12026623</v>
      </c>
      <c r="K572" s="52">
        <f ca="1">SUMIFS(OUT!$F$2:$F$11000,OUT!$H$2:$H$11000,H572,OUT!$D$2:$D$11000,"Out",OUT!$E$2:$E$11000,"Fix")</f>
        <v>2865413</v>
      </c>
      <c r="L572" s="52">
        <f ca="1">SUMIFS(OUT!$F$2:$F$11000,OUT!$H$2:$H$11000,H572,OUT!$D$2:$D$11000,"Out",OUT!$E$2:$E$11000,"Bathroom")</f>
        <v>120488</v>
      </c>
      <c r="M572" s="52">
        <f ca="1">SUMIFS(OUT!$F$2:$F$11000,OUT!$H$2:$H$11000,H572,OUT!$D$2:$D$11000,"Out",OUT!$E$2:$E$11000,"Alfa")</f>
        <v>890962</v>
      </c>
      <c r="N572" s="52" t="e">
        <f ca="1">SUMIFS(OUT!$F$2:$F$11000,OUT!$H$2:$H$101007,H572,OUT!$D$2:$D$11000,"Out",OUT!$E$2:$E$11000,"Jajan")</f>
        <v>#VALUE!</v>
      </c>
      <c r="O572" s="52">
        <f ca="1">SUMIFS(OUT!$F$2:$F$11000,OUT!$H$2:$H$11000,H572,OUT!$D$2:$D$11000,"Out",OUT!$E$2:$E$11000,"Kitchen")</f>
        <v>1152600</v>
      </c>
      <c r="P572" s="52">
        <f ca="1">SUMIFS(OUT!$F$2:$F$11000,OUT!$H$2:$H$11000,H572,OUT!$D$2:$D$11000,"Out",OUT!$E$2:$E$11000,"Loandry")</f>
        <v>41000</v>
      </c>
      <c r="Q572" s="52">
        <f ca="1">SUMIFS(OUT!$F$2:$F$11000,OUT!$H$2:$H$11000,H572,OUT!$D$2:$D$11000,"Out",OUT!$E$2:$E$11000,"Mio")</f>
        <v>895700</v>
      </c>
      <c r="R572" s="52">
        <f ca="1">SUMIFS(OUT!$F$2:$F$11000,OUT!$H$2:$H$11000,H572,OUT!$D$2:$D$11000,"Out",OUT!$E$2:$E$11000,"Sedekah")</f>
        <v>130000</v>
      </c>
      <c r="S572" s="52">
        <f ca="1">SUMIFS(OUT!$F$2:$F$11000,OUT!$H$2:$H$11000,H572,OUT!$D$2:$D$11000,"Out",OUT!$E$2:$E$11000,"Zela")</f>
        <v>215161</v>
      </c>
      <c r="T572" s="52">
        <f ca="1">SUMIFS(OUT!$F$2:$F$11000,OUT!$H$2:$H$11000,H572,OUT!$D$2:$D$11000,"Out",OUT!$E$2:$E$11000,"Iqbal")</f>
        <v>215000</v>
      </c>
    </row>
    <row r="573" spans="1:20" x14ac:dyDescent="0.2">
      <c r="A573" s="48">
        <f ca="1">IFERROR(__xludf.DUMMYFUNCTION("""COMPUTED_VALUE"""),46092)</f>
        <v>46092</v>
      </c>
      <c r="B573" s="4" t="str">
        <f ca="1">IFERROR(__xludf.DUMMYFUNCTION("""COMPUTED_VALUE"""),"Tarik Tunai")</f>
        <v>Tarik Tunai</v>
      </c>
      <c r="C573" s="4" t="str">
        <f ca="1">IFERROR(__xludf.DUMMYFUNCTION("""COMPUTED_VALUE"""),"ATM")</f>
        <v>ATM</v>
      </c>
      <c r="D573" s="4" t="str">
        <f ca="1">IFERROR(__xludf.DUMMYFUNCTION("""COMPUTED_VALUE"""),"Out")</f>
        <v>Out</v>
      </c>
      <c r="E573" s="4" t="str">
        <f ca="1">IFERROR(__xludf.DUMMYFUNCTION("""COMPUTED_VALUE"""),"Move")</f>
        <v>Move</v>
      </c>
      <c r="F573" s="49">
        <f ca="1">IFERROR(__xludf.DUMMYFUNCTION("""COMPUTED_VALUE"""),100000)</f>
        <v>100000</v>
      </c>
      <c r="G573" s="50" t="str">
        <f ca="1">IFERROR(__xludf.DUMMYFUNCTION("""COMPUTED_VALUE"""),"Zela")</f>
        <v>Zela</v>
      </c>
      <c r="H573" s="51">
        <f t="shared" ca="1" si="0"/>
        <v>46082</v>
      </c>
      <c r="I573" s="52" t="e">
        <f ca="1">SUMIFS(OUT!$F$2:$F$11000,OUT!$H$2:$H$11000,H573,OUT!$D$2:$D$101007,"In")</f>
        <v>#VALUE!</v>
      </c>
      <c r="J573" s="52">
        <f ca="1">SUMIFS(OUT!$F$2:$F$11000,OUT!$H$2:$H$11000,H573,OUT!$D$2:$D$11000,"Out")</f>
        <v>12026623</v>
      </c>
      <c r="K573" s="52">
        <f ca="1">SUMIFS(OUT!$F$2:$F$11000,OUT!$H$2:$H$11000,H573,OUT!$D$2:$D$11000,"Out",OUT!$E$2:$E$11000,"Fix")</f>
        <v>2865413</v>
      </c>
      <c r="L573" s="52">
        <f ca="1">SUMIFS(OUT!$F$2:$F$11000,OUT!$H$2:$H$11000,H573,OUT!$D$2:$D$11000,"Out",OUT!$E$2:$E$11000,"Bathroom")</f>
        <v>120488</v>
      </c>
      <c r="M573" s="52">
        <f ca="1">SUMIFS(OUT!$F$2:$F$11000,OUT!$H$2:$H$11000,H573,OUT!$D$2:$D$11000,"Out",OUT!$E$2:$E$11000,"Alfa")</f>
        <v>890962</v>
      </c>
      <c r="N573" s="52" t="e">
        <f ca="1">SUMIFS(OUT!$F$2:$F$11000,OUT!$H$2:$H$101007,H573,OUT!$D$2:$D$11000,"Out",OUT!$E$2:$E$11000,"Jajan")</f>
        <v>#VALUE!</v>
      </c>
      <c r="O573" s="52">
        <f ca="1">SUMIFS(OUT!$F$2:$F$11000,OUT!$H$2:$H$11000,H573,OUT!$D$2:$D$11000,"Out",OUT!$E$2:$E$11000,"Kitchen")</f>
        <v>1152600</v>
      </c>
      <c r="P573" s="52">
        <f ca="1">SUMIFS(OUT!$F$2:$F$11000,OUT!$H$2:$H$11000,H573,OUT!$D$2:$D$11000,"Out",OUT!$E$2:$E$11000,"Loandry")</f>
        <v>41000</v>
      </c>
      <c r="Q573" s="52">
        <f ca="1">SUMIFS(OUT!$F$2:$F$11000,OUT!$H$2:$H$11000,H573,OUT!$D$2:$D$11000,"Out",OUT!$E$2:$E$11000,"Mio")</f>
        <v>895700</v>
      </c>
      <c r="R573" s="52">
        <f ca="1">SUMIFS(OUT!$F$2:$F$11000,OUT!$H$2:$H$11000,H573,OUT!$D$2:$D$11000,"Out",OUT!$E$2:$E$11000,"Sedekah")</f>
        <v>130000</v>
      </c>
      <c r="S573" s="52">
        <f ca="1">SUMIFS(OUT!$F$2:$F$11000,OUT!$H$2:$H$11000,H573,OUT!$D$2:$D$11000,"Out",OUT!$E$2:$E$11000,"Zela")</f>
        <v>215161</v>
      </c>
      <c r="T573" s="52">
        <f ca="1">SUMIFS(OUT!$F$2:$F$11000,OUT!$H$2:$H$11000,H573,OUT!$D$2:$D$11000,"Out",OUT!$E$2:$E$11000,"Iqbal")</f>
        <v>215000</v>
      </c>
    </row>
    <row r="574" spans="1:20" x14ac:dyDescent="0.2">
      <c r="A574" s="48">
        <f ca="1">IFERROR(__xludf.DUMMYFUNCTION("""COMPUTED_VALUE"""),46092)</f>
        <v>46092</v>
      </c>
      <c r="B574" s="4" t="str">
        <f ca="1">IFERROR(__xludf.DUMMYFUNCTION("""COMPUTED_VALUE"""),"Terima Tunai")</f>
        <v>Terima Tunai</v>
      </c>
      <c r="C574" s="4" t="str">
        <f ca="1">IFERROR(__xludf.DUMMYFUNCTION("""COMPUTED_VALUE"""),"Cash")</f>
        <v>Cash</v>
      </c>
      <c r="D574" s="4" t="str">
        <f ca="1">IFERROR(__xludf.DUMMYFUNCTION("""COMPUTED_VALUE"""),"In")</f>
        <v>In</v>
      </c>
      <c r="E574" s="4" t="str">
        <f ca="1">IFERROR(__xludf.DUMMYFUNCTION("""COMPUTED_VALUE"""),"Move")</f>
        <v>Move</v>
      </c>
      <c r="F574" s="49">
        <f ca="1">IFERROR(__xludf.DUMMYFUNCTION("""COMPUTED_VALUE"""),100000)</f>
        <v>100000</v>
      </c>
      <c r="G574" s="50" t="str">
        <f ca="1">IFERROR(__xludf.DUMMYFUNCTION("""COMPUTED_VALUE"""),"Zela")</f>
        <v>Zela</v>
      </c>
      <c r="H574" s="51">
        <f t="shared" ca="1" si="0"/>
        <v>46082</v>
      </c>
      <c r="I574" s="52" t="e">
        <f ca="1">SUMIFS(OUT!$F$2:$F$11000,OUT!$H$2:$H$11000,H574,OUT!$D$2:$D$101007,"In")</f>
        <v>#VALUE!</v>
      </c>
      <c r="J574" s="52">
        <f ca="1">SUMIFS(OUT!$F$2:$F$11000,OUT!$H$2:$H$11000,H574,OUT!$D$2:$D$11000,"Out")</f>
        <v>12026623</v>
      </c>
      <c r="K574" s="52">
        <f ca="1">SUMIFS(OUT!$F$2:$F$11000,OUT!$H$2:$H$11000,H574,OUT!$D$2:$D$11000,"Out",OUT!$E$2:$E$11000,"Fix")</f>
        <v>2865413</v>
      </c>
      <c r="L574" s="52">
        <f ca="1">SUMIFS(OUT!$F$2:$F$11000,OUT!$H$2:$H$11000,H574,OUT!$D$2:$D$11000,"Out",OUT!$E$2:$E$11000,"Bathroom")</f>
        <v>120488</v>
      </c>
      <c r="M574" s="52">
        <f ca="1">SUMIFS(OUT!$F$2:$F$11000,OUT!$H$2:$H$11000,H574,OUT!$D$2:$D$11000,"Out",OUT!$E$2:$E$11000,"Alfa")</f>
        <v>890962</v>
      </c>
      <c r="N574" s="52" t="e">
        <f ca="1">SUMIFS(OUT!$F$2:$F$11000,OUT!$H$2:$H$101007,H574,OUT!$D$2:$D$11000,"Out",OUT!$E$2:$E$11000,"Jajan")</f>
        <v>#VALUE!</v>
      </c>
      <c r="O574" s="52">
        <f ca="1">SUMIFS(OUT!$F$2:$F$11000,OUT!$H$2:$H$11000,H574,OUT!$D$2:$D$11000,"Out",OUT!$E$2:$E$11000,"Kitchen")</f>
        <v>1152600</v>
      </c>
      <c r="P574" s="52">
        <f ca="1">SUMIFS(OUT!$F$2:$F$11000,OUT!$H$2:$H$11000,H574,OUT!$D$2:$D$11000,"Out",OUT!$E$2:$E$11000,"Loandry")</f>
        <v>41000</v>
      </c>
      <c r="Q574" s="52">
        <f ca="1">SUMIFS(OUT!$F$2:$F$11000,OUT!$H$2:$H$11000,H574,OUT!$D$2:$D$11000,"Out",OUT!$E$2:$E$11000,"Mio")</f>
        <v>895700</v>
      </c>
      <c r="R574" s="52">
        <f ca="1">SUMIFS(OUT!$F$2:$F$11000,OUT!$H$2:$H$11000,H574,OUT!$D$2:$D$11000,"Out",OUT!$E$2:$E$11000,"Sedekah")</f>
        <v>130000</v>
      </c>
      <c r="S574" s="52">
        <f ca="1">SUMIFS(OUT!$F$2:$F$11000,OUT!$H$2:$H$11000,H574,OUT!$D$2:$D$11000,"Out",OUT!$E$2:$E$11000,"Zela")</f>
        <v>215161</v>
      </c>
      <c r="T574" s="52">
        <f ca="1">SUMIFS(OUT!$F$2:$F$11000,OUT!$H$2:$H$11000,H574,OUT!$D$2:$D$11000,"Out",OUT!$E$2:$E$11000,"Iqbal")</f>
        <v>215000</v>
      </c>
    </row>
    <row r="575" spans="1:20" x14ac:dyDescent="0.2">
      <c r="A575" s="48">
        <f ca="1">IFERROR(__xludf.DUMMYFUNCTION("""COMPUTED_VALUE"""),46092)</f>
        <v>46092</v>
      </c>
      <c r="B575" s="4" t="str">
        <f ca="1">IFERROR(__xludf.DUMMYFUNCTION("""COMPUTED_VALUE"""),"Piscok")</f>
        <v>Piscok</v>
      </c>
      <c r="C575" s="4" t="str">
        <f ca="1">IFERROR(__xludf.DUMMYFUNCTION("""COMPUTED_VALUE"""),"Cash")</f>
        <v>Cash</v>
      </c>
      <c r="D575" s="4" t="str">
        <f ca="1">IFERROR(__xludf.DUMMYFUNCTION("""COMPUTED_VALUE"""),"Out")</f>
        <v>Out</v>
      </c>
      <c r="E575" s="4" t="str">
        <f ca="1">IFERROR(__xludf.DUMMYFUNCTION("""COMPUTED_VALUE"""),"Jajan")</f>
        <v>Jajan</v>
      </c>
      <c r="F575" s="49">
        <f ca="1">IFERROR(__xludf.DUMMYFUNCTION("""COMPUTED_VALUE"""),20000)</f>
        <v>20000</v>
      </c>
      <c r="G575" s="50" t="str">
        <f ca="1">IFERROR(__xludf.DUMMYFUNCTION("""COMPUTED_VALUE"""),"Zela")</f>
        <v>Zela</v>
      </c>
      <c r="H575" s="51">
        <f t="shared" ca="1" si="0"/>
        <v>46082</v>
      </c>
      <c r="I575" s="52" t="e">
        <f ca="1">SUMIFS(OUT!$F$2:$F$11000,OUT!$H$2:$H$11000,H575,OUT!$D$2:$D$101007,"In")</f>
        <v>#VALUE!</v>
      </c>
      <c r="J575" s="52">
        <f ca="1">SUMIFS(OUT!$F$2:$F$11000,OUT!$H$2:$H$11000,H575,OUT!$D$2:$D$11000,"Out")</f>
        <v>12026623</v>
      </c>
      <c r="K575" s="52">
        <f ca="1">SUMIFS(OUT!$F$2:$F$11000,OUT!$H$2:$H$11000,H575,OUT!$D$2:$D$11000,"Out",OUT!$E$2:$E$11000,"Fix")</f>
        <v>2865413</v>
      </c>
      <c r="L575" s="52">
        <f ca="1">SUMIFS(OUT!$F$2:$F$11000,OUT!$H$2:$H$11000,H575,OUT!$D$2:$D$11000,"Out",OUT!$E$2:$E$11000,"Bathroom")</f>
        <v>120488</v>
      </c>
      <c r="M575" s="52">
        <f ca="1">SUMIFS(OUT!$F$2:$F$11000,OUT!$H$2:$H$11000,H575,OUT!$D$2:$D$11000,"Out",OUT!$E$2:$E$11000,"Alfa")</f>
        <v>890962</v>
      </c>
      <c r="N575" s="52" t="e">
        <f ca="1">SUMIFS(OUT!$F$2:$F$11000,OUT!$H$2:$H$101007,H575,OUT!$D$2:$D$11000,"Out",OUT!$E$2:$E$11000,"Jajan")</f>
        <v>#VALUE!</v>
      </c>
      <c r="O575" s="52">
        <f ca="1">SUMIFS(OUT!$F$2:$F$11000,OUT!$H$2:$H$11000,H575,OUT!$D$2:$D$11000,"Out",OUT!$E$2:$E$11000,"Kitchen")</f>
        <v>1152600</v>
      </c>
      <c r="P575" s="52">
        <f ca="1">SUMIFS(OUT!$F$2:$F$11000,OUT!$H$2:$H$11000,H575,OUT!$D$2:$D$11000,"Out",OUT!$E$2:$E$11000,"Loandry")</f>
        <v>41000</v>
      </c>
      <c r="Q575" s="52">
        <f ca="1">SUMIFS(OUT!$F$2:$F$11000,OUT!$H$2:$H$11000,H575,OUT!$D$2:$D$11000,"Out",OUT!$E$2:$E$11000,"Mio")</f>
        <v>895700</v>
      </c>
      <c r="R575" s="52">
        <f ca="1">SUMIFS(OUT!$F$2:$F$11000,OUT!$H$2:$H$11000,H575,OUT!$D$2:$D$11000,"Out",OUT!$E$2:$E$11000,"Sedekah")</f>
        <v>130000</v>
      </c>
      <c r="S575" s="52">
        <f ca="1">SUMIFS(OUT!$F$2:$F$11000,OUT!$H$2:$H$11000,H575,OUT!$D$2:$D$11000,"Out",OUT!$E$2:$E$11000,"Zela")</f>
        <v>215161</v>
      </c>
      <c r="T575" s="52">
        <f ca="1">SUMIFS(OUT!$F$2:$F$11000,OUT!$H$2:$H$11000,H575,OUT!$D$2:$D$11000,"Out",OUT!$E$2:$E$11000,"Iqbal")</f>
        <v>215000</v>
      </c>
    </row>
    <row r="576" spans="1:20" x14ac:dyDescent="0.2">
      <c r="A576" s="48">
        <f ca="1">IFERROR(__xludf.DUMMYFUNCTION("""COMPUTED_VALUE"""),46092)</f>
        <v>46092</v>
      </c>
      <c r="B576" s="4" t="str">
        <f ca="1">IFERROR(__xludf.DUMMYFUNCTION("""COMPUTED_VALUE"""),"Headset ( tokopedia )")</f>
        <v>Headset ( tokopedia )</v>
      </c>
      <c r="C576" s="4" t="str">
        <f ca="1">IFERROR(__xludf.DUMMYFUNCTION("""COMPUTED_VALUE"""),"ATM")</f>
        <v>ATM</v>
      </c>
      <c r="D576" s="4" t="str">
        <f ca="1">IFERROR(__xludf.DUMMYFUNCTION("""COMPUTED_VALUE"""),"Out")</f>
        <v>Out</v>
      </c>
      <c r="E576" s="4" t="str">
        <f ca="1">IFERROR(__xludf.DUMMYFUNCTION("""COMPUTED_VALUE"""),"Zela")</f>
        <v>Zela</v>
      </c>
      <c r="F576" s="49">
        <f ca="1">IFERROR(__xludf.DUMMYFUNCTION("""COMPUTED_VALUE"""),19999)</f>
        <v>19999</v>
      </c>
      <c r="G576" s="50" t="str">
        <f ca="1">IFERROR(__xludf.DUMMYFUNCTION("""COMPUTED_VALUE"""),"Zela")</f>
        <v>Zela</v>
      </c>
      <c r="H576" s="51">
        <f t="shared" ca="1" si="0"/>
        <v>46082</v>
      </c>
      <c r="I576" s="52" t="e">
        <f ca="1">SUMIFS(OUT!$F$2:$F$11000,OUT!$H$2:$H$11000,H576,OUT!$D$2:$D$101007,"In")</f>
        <v>#VALUE!</v>
      </c>
      <c r="J576" s="52">
        <f ca="1">SUMIFS(OUT!$F$2:$F$11000,OUT!$H$2:$H$11000,H576,OUT!$D$2:$D$11000,"Out")</f>
        <v>12026623</v>
      </c>
      <c r="K576" s="52">
        <f ca="1">SUMIFS(OUT!$F$2:$F$11000,OUT!$H$2:$H$11000,H576,OUT!$D$2:$D$11000,"Out",OUT!$E$2:$E$11000,"Fix")</f>
        <v>2865413</v>
      </c>
      <c r="L576" s="52">
        <f ca="1">SUMIFS(OUT!$F$2:$F$11000,OUT!$H$2:$H$11000,H576,OUT!$D$2:$D$11000,"Out",OUT!$E$2:$E$11000,"Bathroom")</f>
        <v>120488</v>
      </c>
      <c r="M576" s="52">
        <f ca="1">SUMIFS(OUT!$F$2:$F$11000,OUT!$H$2:$H$11000,H576,OUT!$D$2:$D$11000,"Out",OUT!$E$2:$E$11000,"Alfa")</f>
        <v>890962</v>
      </c>
      <c r="N576" s="52" t="e">
        <f ca="1">SUMIFS(OUT!$F$2:$F$11000,OUT!$H$2:$H$101007,H576,OUT!$D$2:$D$11000,"Out",OUT!$E$2:$E$11000,"Jajan")</f>
        <v>#VALUE!</v>
      </c>
      <c r="O576" s="52">
        <f ca="1">SUMIFS(OUT!$F$2:$F$11000,OUT!$H$2:$H$11000,H576,OUT!$D$2:$D$11000,"Out",OUT!$E$2:$E$11000,"Kitchen")</f>
        <v>1152600</v>
      </c>
      <c r="P576" s="52">
        <f ca="1">SUMIFS(OUT!$F$2:$F$11000,OUT!$H$2:$H$11000,H576,OUT!$D$2:$D$11000,"Out",OUT!$E$2:$E$11000,"Loandry")</f>
        <v>41000</v>
      </c>
      <c r="Q576" s="52">
        <f ca="1">SUMIFS(OUT!$F$2:$F$11000,OUT!$H$2:$H$11000,H576,OUT!$D$2:$D$11000,"Out",OUT!$E$2:$E$11000,"Mio")</f>
        <v>895700</v>
      </c>
      <c r="R576" s="52">
        <f ca="1">SUMIFS(OUT!$F$2:$F$11000,OUT!$H$2:$H$11000,H576,OUT!$D$2:$D$11000,"Out",OUT!$E$2:$E$11000,"Sedekah")</f>
        <v>130000</v>
      </c>
      <c r="S576" s="52">
        <f ca="1">SUMIFS(OUT!$F$2:$F$11000,OUT!$H$2:$H$11000,H576,OUT!$D$2:$D$11000,"Out",OUT!$E$2:$E$11000,"Zela")</f>
        <v>215161</v>
      </c>
      <c r="T576" s="52">
        <f ca="1">SUMIFS(OUT!$F$2:$F$11000,OUT!$H$2:$H$11000,H576,OUT!$D$2:$D$11000,"Out",OUT!$E$2:$E$11000,"Iqbal")</f>
        <v>215000</v>
      </c>
    </row>
    <row r="577" spans="1:20" x14ac:dyDescent="0.2">
      <c r="A577" s="48">
        <f ca="1">IFERROR(__xludf.DUMMYFUNCTION("""COMPUTED_VALUE"""),46093)</f>
        <v>46093</v>
      </c>
      <c r="B577" s="4" t="str">
        <f ca="1">IFERROR(__xludf.DUMMYFUNCTION("""COMPUTED_VALUE"""),"Soda Api 2 Bngkus ( Shopee)")</f>
        <v>Soda Api 2 Bngkus ( Shopee)</v>
      </c>
      <c r="C577" s="4" t="str">
        <f ca="1">IFERROR(__xludf.DUMMYFUNCTION("""COMPUTED_VALUE"""),"ATM")</f>
        <v>ATM</v>
      </c>
      <c r="D577" s="4" t="str">
        <f ca="1">IFERROR(__xludf.DUMMYFUNCTION("""COMPUTED_VALUE"""),"Out")</f>
        <v>Out</v>
      </c>
      <c r="E577" s="4" t="str">
        <f ca="1">IFERROR(__xludf.DUMMYFUNCTION("""COMPUTED_VALUE"""),"Bathroom")</f>
        <v>Bathroom</v>
      </c>
      <c r="F577" s="49">
        <f ca="1">IFERROR(__xludf.DUMMYFUNCTION("""COMPUTED_VALUE"""),13473)</f>
        <v>13473</v>
      </c>
      <c r="G577" s="50" t="str">
        <f ca="1">IFERROR(__xludf.DUMMYFUNCTION("""COMPUTED_VALUE"""),"Zela")</f>
        <v>Zela</v>
      </c>
      <c r="H577" s="51">
        <f t="shared" ca="1" si="0"/>
        <v>46082</v>
      </c>
      <c r="I577" s="52" t="e">
        <f ca="1">SUMIFS(OUT!$F$2:$F$11000,OUT!$H$2:$H$11000,H577,OUT!$D$2:$D$101007,"In")</f>
        <v>#VALUE!</v>
      </c>
      <c r="J577" s="52">
        <f ca="1">SUMIFS(OUT!$F$2:$F$11000,OUT!$H$2:$H$11000,H577,OUT!$D$2:$D$11000,"Out")</f>
        <v>12026623</v>
      </c>
      <c r="K577" s="52">
        <f ca="1">SUMIFS(OUT!$F$2:$F$11000,OUT!$H$2:$H$11000,H577,OUT!$D$2:$D$11000,"Out",OUT!$E$2:$E$11000,"Fix")</f>
        <v>2865413</v>
      </c>
      <c r="L577" s="52">
        <f ca="1">SUMIFS(OUT!$F$2:$F$11000,OUT!$H$2:$H$11000,H577,OUT!$D$2:$D$11000,"Out",OUT!$E$2:$E$11000,"Bathroom")</f>
        <v>120488</v>
      </c>
      <c r="M577" s="52">
        <f ca="1">SUMIFS(OUT!$F$2:$F$11000,OUT!$H$2:$H$11000,H577,OUT!$D$2:$D$11000,"Out",OUT!$E$2:$E$11000,"Alfa")</f>
        <v>890962</v>
      </c>
      <c r="N577" s="52" t="e">
        <f ca="1">SUMIFS(OUT!$F$2:$F$11000,OUT!$H$2:$H$101007,H577,OUT!$D$2:$D$11000,"Out",OUT!$E$2:$E$11000,"Jajan")</f>
        <v>#VALUE!</v>
      </c>
      <c r="O577" s="52">
        <f ca="1">SUMIFS(OUT!$F$2:$F$11000,OUT!$H$2:$H$11000,H577,OUT!$D$2:$D$11000,"Out",OUT!$E$2:$E$11000,"Kitchen")</f>
        <v>1152600</v>
      </c>
      <c r="P577" s="52">
        <f ca="1">SUMIFS(OUT!$F$2:$F$11000,OUT!$H$2:$H$11000,H577,OUT!$D$2:$D$11000,"Out",OUT!$E$2:$E$11000,"Loandry")</f>
        <v>41000</v>
      </c>
      <c r="Q577" s="52">
        <f ca="1">SUMIFS(OUT!$F$2:$F$11000,OUT!$H$2:$H$11000,H577,OUT!$D$2:$D$11000,"Out",OUT!$E$2:$E$11000,"Mio")</f>
        <v>895700</v>
      </c>
      <c r="R577" s="52">
        <f ca="1">SUMIFS(OUT!$F$2:$F$11000,OUT!$H$2:$H$11000,H577,OUT!$D$2:$D$11000,"Out",OUT!$E$2:$E$11000,"Sedekah")</f>
        <v>130000</v>
      </c>
      <c r="S577" s="52">
        <f ca="1">SUMIFS(OUT!$F$2:$F$11000,OUT!$H$2:$H$11000,H577,OUT!$D$2:$D$11000,"Out",OUT!$E$2:$E$11000,"Zela")</f>
        <v>215161</v>
      </c>
      <c r="T577" s="52">
        <f ca="1">SUMIFS(OUT!$F$2:$F$11000,OUT!$H$2:$H$11000,H577,OUT!$D$2:$D$11000,"Out",OUT!$E$2:$E$11000,"Iqbal")</f>
        <v>215000</v>
      </c>
    </row>
    <row r="578" spans="1:20" x14ac:dyDescent="0.2">
      <c r="A578" s="48">
        <f ca="1">IFERROR(__xludf.DUMMYFUNCTION("""COMPUTED_VALUE"""),46093)</f>
        <v>46093</v>
      </c>
      <c r="B578" s="4" t="str">
        <f ca="1">IFERROR(__xludf.DUMMYFUNCTION("""COMPUTED_VALUE"""),"TakJil")</f>
        <v>TakJil</v>
      </c>
      <c r="C578" s="4" t="str">
        <f ca="1">IFERROR(__xludf.DUMMYFUNCTION("""COMPUTED_VALUE"""),"Cash")</f>
        <v>Cash</v>
      </c>
      <c r="D578" s="4" t="str">
        <f ca="1">IFERROR(__xludf.DUMMYFUNCTION("""COMPUTED_VALUE"""),"Out")</f>
        <v>Out</v>
      </c>
      <c r="E578" s="4" t="str">
        <f ca="1">IFERROR(__xludf.DUMMYFUNCTION("""COMPUTED_VALUE"""),"Jajan")</f>
        <v>Jajan</v>
      </c>
      <c r="F578" s="49">
        <f ca="1">IFERROR(__xludf.DUMMYFUNCTION("""COMPUTED_VALUE"""),30000)</f>
        <v>30000</v>
      </c>
      <c r="G578" s="50" t="str">
        <f ca="1">IFERROR(__xludf.DUMMYFUNCTION("""COMPUTED_VALUE"""),"Zela")</f>
        <v>Zela</v>
      </c>
      <c r="H578" s="51">
        <f t="shared" ca="1" si="0"/>
        <v>46082</v>
      </c>
      <c r="I578" s="52" t="e">
        <f ca="1">SUMIFS(OUT!$F$2:$F$11000,OUT!$H$2:$H$11000,H578,OUT!$D$2:$D$101007,"In")</f>
        <v>#VALUE!</v>
      </c>
      <c r="J578" s="52">
        <f ca="1">SUMIFS(OUT!$F$2:$F$11000,OUT!$H$2:$H$11000,H578,OUT!$D$2:$D$11000,"Out")</f>
        <v>12026623</v>
      </c>
      <c r="K578" s="52">
        <f ca="1">SUMIFS(OUT!$F$2:$F$11000,OUT!$H$2:$H$11000,H578,OUT!$D$2:$D$11000,"Out",OUT!$E$2:$E$11000,"Fix")</f>
        <v>2865413</v>
      </c>
      <c r="L578" s="52">
        <f ca="1">SUMIFS(OUT!$F$2:$F$11000,OUT!$H$2:$H$11000,H578,OUT!$D$2:$D$11000,"Out",OUT!$E$2:$E$11000,"Bathroom")</f>
        <v>120488</v>
      </c>
      <c r="M578" s="52">
        <f ca="1">SUMIFS(OUT!$F$2:$F$11000,OUT!$H$2:$H$11000,H578,OUT!$D$2:$D$11000,"Out",OUT!$E$2:$E$11000,"Alfa")</f>
        <v>890962</v>
      </c>
      <c r="N578" s="52" t="e">
        <f ca="1">SUMIFS(OUT!$F$2:$F$11000,OUT!$H$2:$H$101007,H578,OUT!$D$2:$D$11000,"Out",OUT!$E$2:$E$11000,"Jajan")</f>
        <v>#VALUE!</v>
      </c>
      <c r="O578" s="52">
        <f ca="1">SUMIFS(OUT!$F$2:$F$11000,OUT!$H$2:$H$11000,H578,OUT!$D$2:$D$11000,"Out",OUT!$E$2:$E$11000,"Kitchen")</f>
        <v>1152600</v>
      </c>
      <c r="P578" s="52">
        <f ca="1">SUMIFS(OUT!$F$2:$F$11000,OUT!$H$2:$H$11000,H578,OUT!$D$2:$D$11000,"Out",OUT!$E$2:$E$11000,"Loandry")</f>
        <v>41000</v>
      </c>
      <c r="Q578" s="52">
        <f ca="1">SUMIFS(OUT!$F$2:$F$11000,OUT!$H$2:$H$11000,H578,OUT!$D$2:$D$11000,"Out",OUT!$E$2:$E$11000,"Mio")</f>
        <v>895700</v>
      </c>
      <c r="R578" s="52">
        <f ca="1">SUMIFS(OUT!$F$2:$F$11000,OUT!$H$2:$H$11000,H578,OUT!$D$2:$D$11000,"Out",OUT!$E$2:$E$11000,"Sedekah")</f>
        <v>130000</v>
      </c>
      <c r="S578" s="52">
        <f ca="1">SUMIFS(OUT!$F$2:$F$11000,OUT!$H$2:$H$11000,H578,OUT!$D$2:$D$11000,"Out",OUT!$E$2:$E$11000,"Zela")</f>
        <v>215161</v>
      </c>
      <c r="T578" s="52">
        <f ca="1">SUMIFS(OUT!$F$2:$F$11000,OUT!$H$2:$H$11000,H578,OUT!$D$2:$D$11000,"Out",OUT!$E$2:$E$11000,"Iqbal")</f>
        <v>215000</v>
      </c>
    </row>
    <row r="579" spans="1:20" x14ac:dyDescent="0.2">
      <c r="A579" s="48">
        <f ca="1">IFERROR(__xludf.DUMMYFUNCTION("""COMPUTED_VALUE"""),46095)</f>
        <v>46095</v>
      </c>
      <c r="B579" s="4" t="str">
        <f ca="1">IFERROR(__xludf.DUMMYFUNCTION("""COMPUTED_VALUE"""),"Batrai Tv 2 Pasang + Hit listrik")</f>
        <v>Batrai Tv 2 Pasang + Hit listrik</v>
      </c>
      <c r="C579" s="4" t="str">
        <f ca="1">IFERROR(__xludf.DUMMYFUNCTION("""COMPUTED_VALUE"""),"Cash")</f>
        <v>Cash</v>
      </c>
      <c r="D579" s="4" t="str">
        <f ca="1">IFERROR(__xludf.DUMMYFUNCTION("""COMPUTED_VALUE"""),"Out")</f>
        <v>Out</v>
      </c>
      <c r="E579" s="4" t="str">
        <f ca="1">IFERROR(__xludf.DUMMYFUNCTION("""COMPUTED_VALUE"""),"Kitchen")</f>
        <v>Kitchen</v>
      </c>
      <c r="F579" s="49">
        <f ca="1">IFERROR(__xludf.DUMMYFUNCTION("""COMPUTED_VALUE"""),29000)</f>
        <v>29000</v>
      </c>
      <c r="G579" s="50" t="str">
        <f ca="1">IFERROR(__xludf.DUMMYFUNCTION("""COMPUTED_VALUE"""),"Zela")</f>
        <v>Zela</v>
      </c>
      <c r="H579" s="51">
        <f t="shared" ca="1" si="0"/>
        <v>46082</v>
      </c>
      <c r="I579" s="52" t="e">
        <f ca="1">SUMIFS(OUT!$F$2:$F$11000,OUT!$H$2:$H$11000,H579,OUT!$D$2:$D$101007,"In")</f>
        <v>#VALUE!</v>
      </c>
      <c r="J579" s="52">
        <f ca="1">SUMIFS(OUT!$F$2:$F$11000,OUT!$H$2:$H$11000,H579,OUT!$D$2:$D$11000,"Out")</f>
        <v>12026623</v>
      </c>
      <c r="K579" s="52">
        <f ca="1">SUMIFS(OUT!$F$2:$F$11000,OUT!$H$2:$H$11000,H579,OUT!$D$2:$D$11000,"Out",OUT!$E$2:$E$11000,"Fix")</f>
        <v>2865413</v>
      </c>
      <c r="L579" s="52">
        <f ca="1">SUMIFS(OUT!$F$2:$F$11000,OUT!$H$2:$H$11000,H579,OUT!$D$2:$D$11000,"Out",OUT!$E$2:$E$11000,"Bathroom")</f>
        <v>120488</v>
      </c>
      <c r="M579" s="52">
        <f ca="1">SUMIFS(OUT!$F$2:$F$11000,OUT!$H$2:$H$11000,H579,OUT!$D$2:$D$11000,"Out",OUT!$E$2:$E$11000,"Alfa")</f>
        <v>890962</v>
      </c>
      <c r="N579" s="52" t="e">
        <f ca="1">SUMIFS(OUT!$F$2:$F$11000,OUT!$H$2:$H$101007,H579,OUT!$D$2:$D$11000,"Out",OUT!$E$2:$E$11000,"Jajan")</f>
        <v>#VALUE!</v>
      </c>
      <c r="O579" s="52">
        <f ca="1">SUMIFS(OUT!$F$2:$F$11000,OUT!$H$2:$H$11000,H579,OUT!$D$2:$D$11000,"Out",OUT!$E$2:$E$11000,"Kitchen")</f>
        <v>1152600</v>
      </c>
      <c r="P579" s="52">
        <f ca="1">SUMIFS(OUT!$F$2:$F$11000,OUT!$H$2:$H$11000,H579,OUT!$D$2:$D$11000,"Out",OUT!$E$2:$E$11000,"Loandry")</f>
        <v>41000</v>
      </c>
      <c r="Q579" s="52">
        <f ca="1">SUMIFS(OUT!$F$2:$F$11000,OUT!$H$2:$H$11000,H579,OUT!$D$2:$D$11000,"Out",OUT!$E$2:$E$11000,"Mio")</f>
        <v>895700</v>
      </c>
      <c r="R579" s="52">
        <f ca="1">SUMIFS(OUT!$F$2:$F$11000,OUT!$H$2:$H$11000,H579,OUT!$D$2:$D$11000,"Out",OUT!$E$2:$E$11000,"Sedekah")</f>
        <v>130000</v>
      </c>
      <c r="S579" s="52">
        <f ca="1">SUMIFS(OUT!$F$2:$F$11000,OUT!$H$2:$H$11000,H579,OUT!$D$2:$D$11000,"Out",OUT!$E$2:$E$11000,"Zela")</f>
        <v>215161</v>
      </c>
      <c r="T579" s="52">
        <f ca="1">SUMIFS(OUT!$F$2:$F$11000,OUT!$H$2:$H$11000,H579,OUT!$D$2:$D$11000,"Out",OUT!$E$2:$E$11000,"Iqbal")</f>
        <v>215000</v>
      </c>
    </row>
    <row r="580" spans="1:20" x14ac:dyDescent="0.2">
      <c r="A580" s="48">
        <f ca="1">IFERROR(__xludf.DUMMYFUNCTION("""COMPUTED_VALUE"""),46095)</f>
        <v>46095</v>
      </c>
      <c r="B580" s="4" t="str">
        <f ca="1">IFERROR(__xludf.DUMMYFUNCTION("""COMPUTED_VALUE"""),"Uang lebih")</f>
        <v>Uang lebih</v>
      </c>
      <c r="C580" s="4" t="str">
        <f ca="1">IFERROR(__xludf.DUMMYFUNCTION("""COMPUTED_VALUE"""),"Cash")</f>
        <v>Cash</v>
      </c>
      <c r="D580" s="4" t="str">
        <f ca="1">IFERROR(__xludf.DUMMYFUNCTION("""COMPUTED_VALUE"""),"In")</f>
        <v>In</v>
      </c>
      <c r="E580" s="4" t="str">
        <f ca="1">IFERROR(__xludf.DUMMYFUNCTION("""COMPUTED_VALUE"""),"Fix")</f>
        <v>Fix</v>
      </c>
      <c r="F580" s="49">
        <f ca="1">IFERROR(__xludf.DUMMYFUNCTION("""COMPUTED_VALUE"""),7100)</f>
        <v>7100</v>
      </c>
      <c r="G580" s="50" t="str">
        <f ca="1">IFERROR(__xludf.DUMMYFUNCTION("""COMPUTED_VALUE"""),"Zela")</f>
        <v>Zela</v>
      </c>
      <c r="H580" s="51">
        <f t="shared" ca="1" si="0"/>
        <v>46082</v>
      </c>
      <c r="I580" s="52" t="e">
        <f ca="1">SUMIFS(OUT!$F$2:$F$11000,OUT!$H$2:$H$11000,H580,OUT!$D$2:$D$101007,"In")</f>
        <v>#VALUE!</v>
      </c>
      <c r="J580" s="52">
        <f ca="1">SUMIFS(OUT!$F$2:$F$11000,OUT!$H$2:$H$11000,H580,OUT!$D$2:$D$11000,"Out")</f>
        <v>12026623</v>
      </c>
      <c r="K580" s="52">
        <f ca="1">SUMIFS(OUT!$F$2:$F$11000,OUT!$H$2:$H$11000,H580,OUT!$D$2:$D$11000,"Out",OUT!$E$2:$E$11000,"Fix")</f>
        <v>2865413</v>
      </c>
      <c r="L580" s="52">
        <f ca="1">SUMIFS(OUT!$F$2:$F$11000,OUT!$H$2:$H$11000,H580,OUT!$D$2:$D$11000,"Out",OUT!$E$2:$E$11000,"Bathroom")</f>
        <v>120488</v>
      </c>
      <c r="M580" s="52">
        <f ca="1">SUMIFS(OUT!$F$2:$F$11000,OUT!$H$2:$H$11000,H580,OUT!$D$2:$D$11000,"Out",OUT!$E$2:$E$11000,"Alfa")</f>
        <v>890962</v>
      </c>
      <c r="N580" s="52" t="e">
        <f ca="1">SUMIFS(OUT!$F$2:$F$11000,OUT!$H$2:$H$101007,H580,OUT!$D$2:$D$11000,"Out",OUT!$E$2:$E$11000,"Jajan")</f>
        <v>#VALUE!</v>
      </c>
      <c r="O580" s="52">
        <f ca="1">SUMIFS(OUT!$F$2:$F$11000,OUT!$H$2:$H$11000,H580,OUT!$D$2:$D$11000,"Out",OUT!$E$2:$E$11000,"Kitchen")</f>
        <v>1152600</v>
      </c>
      <c r="P580" s="52">
        <f ca="1">SUMIFS(OUT!$F$2:$F$11000,OUT!$H$2:$H$11000,H580,OUT!$D$2:$D$11000,"Out",OUT!$E$2:$E$11000,"Loandry")</f>
        <v>41000</v>
      </c>
      <c r="Q580" s="52">
        <f ca="1">SUMIFS(OUT!$F$2:$F$11000,OUT!$H$2:$H$11000,H580,OUT!$D$2:$D$11000,"Out",OUT!$E$2:$E$11000,"Mio")</f>
        <v>895700</v>
      </c>
      <c r="R580" s="52">
        <f ca="1">SUMIFS(OUT!$F$2:$F$11000,OUT!$H$2:$H$11000,H580,OUT!$D$2:$D$11000,"Out",OUT!$E$2:$E$11000,"Sedekah")</f>
        <v>130000</v>
      </c>
      <c r="S580" s="52">
        <f ca="1">SUMIFS(OUT!$F$2:$F$11000,OUT!$H$2:$H$11000,H580,OUT!$D$2:$D$11000,"Out",OUT!$E$2:$E$11000,"Zela")</f>
        <v>215161</v>
      </c>
      <c r="T580" s="52">
        <f ca="1">SUMIFS(OUT!$F$2:$F$11000,OUT!$H$2:$H$11000,H580,OUT!$D$2:$D$11000,"Out",OUT!$E$2:$E$11000,"Iqbal")</f>
        <v>215000</v>
      </c>
    </row>
    <row r="581" spans="1:20" x14ac:dyDescent="0.2">
      <c r="A581" s="48">
        <f ca="1">IFERROR(__xludf.DUMMYFUNCTION("""COMPUTED_VALUE"""),46094)</f>
        <v>46094</v>
      </c>
      <c r="B581" s="4" t="str">
        <f ca="1">IFERROR(__xludf.DUMMYFUNCTION("""COMPUTED_VALUE"""),"Tarik Tunia")</f>
        <v>Tarik Tunia</v>
      </c>
      <c r="C581" s="4" t="str">
        <f ca="1">IFERROR(__xludf.DUMMYFUNCTION("""COMPUTED_VALUE"""),"ATM")</f>
        <v>ATM</v>
      </c>
      <c r="D581" s="4" t="str">
        <f ca="1">IFERROR(__xludf.DUMMYFUNCTION("""COMPUTED_VALUE"""),"Out")</f>
        <v>Out</v>
      </c>
      <c r="E581" s="4" t="str">
        <f ca="1">IFERROR(__xludf.DUMMYFUNCTION("""COMPUTED_VALUE"""),"Move")</f>
        <v>Move</v>
      </c>
      <c r="F581" s="49">
        <f ca="1">IFERROR(__xludf.DUMMYFUNCTION("""COMPUTED_VALUE"""),150000)</f>
        <v>150000</v>
      </c>
      <c r="G581" s="50" t="str">
        <f ca="1">IFERROR(__xludf.DUMMYFUNCTION("""COMPUTED_VALUE"""),"Zela")</f>
        <v>Zela</v>
      </c>
      <c r="H581" s="51">
        <f t="shared" ca="1" si="0"/>
        <v>46082</v>
      </c>
      <c r="I581" s="52" t="e">
        <f ca="1">SUMIFS(OUT!$F$2:$F$11000,OUT!$H$2:$H$11000,H581,OUT!$D$2:$D$101007,"In")</f>
        <v>#VALUE!</v>
      </c>
      <c r="J581" s="52">
        <f ca="1">SUMIFS(OUT!$F$2:$F$11000,OUT!$H$2:$H$11000,H581,OUT!$D$2:$D$11000,"Out")</f>
        <v>12026623</v>
      </c>
      <c r="K581" s="52">
        <f ca="1">SUMIFS(OUT!$F$2:$F$11000,OUT!$H$2:$H$11000,H581,OUT!$D$2:$D$11000,"Out",OUT!$E$2:$E$11000,"Fix")</f>
        <v>2865413</v>
      </c>
      <c r="L581" s="52">
        <f ca="1">SUMIFS(OUT!$F$2:$F$11000,OUT!$H$2:$H$11000,H581,OUT!$D$2:$D$11000,"Out",OUT!$E$2:$E$11000,"Bathroom")</f>
        <v>120488</v>
      </c>
      <c r="M581" s="52">
        <f ca="1">SUMIFS(OUT!$F$2:$F$11000,OUT!$H$2:$H$11000,H581,OUT!$D$2:$D$11000,"Out",OUT!$E$2:$E$11000,"Alfa")</f>
        <v>890962</v>
      </c>
      <c r="N581" s="52" t="e">
        <f ca="1">SUMIFS(OUT!$F$2:$F$11000,OUT!$H$2:$H$101007,H581,OUT!$D$2:$D$11000,"Out",OUT!$E$2:$E$11000,"Jajan")</f>
        <v>#VALUE!</v>
      </c>
      <c r="O581" s="52">
        <f ca="1">SUMIFS(OUT!$F$2:$F$11000,OUT!$H$2:$H$11000,H581,OUT!$D$2:$D$11000,"Out",OUT!$E$2:$E$11000,"Kitchen")</f>
        <v>1152600</v>
      </c>
      <c r="P581" s="52">
        <f ca="1">SUMIFS(OUT!$F$2:$F$11000,OUT!$H$2:$H$11000,H581,OUT!$D$2:$D$11000,"Out",OUT!$E$2:$E$11000,"Loandry")</f>
        <v>41000</v>
      </c>
      <c r="Q581" s="52">
        <f ca="1">SUMIFS(OUT!$F$2:$F$11000,OUT!$H$2:$H$11000,H581,OUT!$D$2:$D$11000,"Out",OUT!$E$2:$E$11000,"Mio")</f>
        <v>895700</v>
      </c>
      <c r="R581" s="52">
        <f ca="1">SUMIFS(OUT!$F$2:$F$11000,OUT!$H$2:$H$11000,H581,OUT!$D$2:$D$11000,"Out",OUT!$E$2:$E$11000,"Sedekah")</f>
        <v>130000</v>
      </c>
      <c r="S581" s="52">
        <f ca="1">SUMIFS(OUT!$F$2:$F$11000,OUT!$H$2:$H$11000,H581,OUT!$D$2:$D$11000,"Out",OUT!$E$2:$E$11000,"Zela")</f>
        <v>215161</v>
      </c>
      <c r="T581" s="52">
        <f ca="1">SUMIFS(OUT!$F$2:$F$11000,OUT!$H$2:$H$11000,H581,OUT!$D$2:$D$11000,"Out",OUT!$E$2:$E$11000,"Iqbal")</f>
        <v>215000</v>
      </c>
    </row>
    <row r="582" spans="1:20" x14ac:dyDescent="0.2">
      <c r="A582" s="48">
        <f ca="1">IFERROR(__xludf.DUMMYFUNCTION("""COMPUTED_VALUE"""),46094)</f>
        <v>46094</v>
      </c>
      <c r="B582" s="4" t="str">
        <f ca="1">IFERROR(__xludf.DUMMYFUNCTION("""COMPUTED_VALUE"""),"Terima Tunai")</f>
        <v>Terima Tunai</v>
      </c>
      <c r="C582" s="4" t="str">
        <f ca="1">IFERROR(__xludf.DUMMYFUNCTION("""COMPUTED_VALUE"""),"Cash")</f>
        <v>Cash</v>
      </c>
      <c r="D582" s="4" t="str">
        <f ca="1">IFERROR(__xludf.DUMMYFUNCTION("""COMPUTED_VALUE"""),"In")</f>
        <v>In</v>
      </c>
      <c r="E582" s="4" t="str">
        <f ca="1">IFERROR(__xludf.DUMMYFUNCTION("""COMPUTED_VALUE"""),"Move")</f>
        <v>Move</v>
      </c>
      <c r="F582" s="49">
        <f ca="1">IFERROR(__xludf.DUMMYFUNCTION("""COMPUTED_VALUE"""),150000)</f>
        <v>150000</v>
      </c>
      <c r="G582" s="50" t="str">
        <f ca="1">IFERROR(__xludf.DUMMYFUNCTION("""COMPUTED_VALUE"""),"Zela")</f>
        <v>Zela</v>
      </c>
      <c r="H582" s="51">
        <f t="shared" ca="1" si="0"/>
        <v>46082</v>
      </c>
      <c r="I582" s="52" t="e">
        <f ca="1">SUMIFS(OUT!$F$2:$F$11000,OUT!$H$2:$H$11000,H582,OUT!$D$2:$D$101007,"In")</f>
        <v>#VALUE!</v>
      </c>
      <c r="J582" s="52">
        <f ca="1">SUMIFS(OUT!$F$2:$F$11000,OUT!$H$2:$H$11000,H582,OUT!$D$2:$D$11000,"Out")</f>
        <v>12026623</v>
      </c>
      <c r="K582" s="52">
        <f ca="1">SUMIFS(OUT!$F$2:$F$11000,OUT!$H$2:$H$11000,H582,OUT!$D$2:$D$11000,"Out",OUT!$E$2:$E$11000,"Fix")</f>
        <v>2865413</v>
      </c>
      <c r="L582" s="52">
        <f ca="1">SUMIFS(OUT!$F$2:$F$11000,OUT!$H$2:$H$11000,H582,OUT!$D$2:$D$11000,"Out",OUT!$E$2:$E$11000,"Bathroom")</f>
        <v>120488</v>
      </c>
      <c r="M582" s="52">
        <f ca="1">SUMIFS(OUT!$F$2:$F$11000,OUT!$H$2:$H$11000,H582,OUT!$D$2:$D$11000,"Out",OUT!$E$2:$E$11000,"Alfa")</f>
        <v>890962</v>
      </c>
      <c r="N582" s="52" t="e">
        <f ca="1">SUMIFS(OUT!$F$2:$F$11000,OUT!$H$2:$H$101007,H582,OUT!$D$2:$D$11000,"Out",OUT!$E$2:$E$11000,"Jajan")</f>
        <v>#VALUE!</v>
      </c>
      <c r="O582" s="52">
        <f ca="1">SUMIFS(OUT!$F$2:$F$11000,OUT!$H$2:$H$11000,H582,OUT!$D$2:$D$11000,"Out",OUT!$E$2:$E$11000,"Kitchen")</f>
        <v>1152600</v>
      </c>
      <c r="P582" s="52">
        <f ca="1">SUMIFS(OUT!$F$2:$F$11000,OUT!$H$2:$H$11000,H582,OUT!$D$2:$D$11000,"Out",OUT!$E$2:$E$11000,"Loandry")</f>
        <v>41000</v>
      </c>
      <c r="Q582" s="52">
        <f ca="1">SUMIFS(OUT!$F$2:$F$11000,OUT!$H$2:$H$11000,H582,OUT!$D$2:$D$11000,"Out",OUT!$E$2:$E$11000,"Mio")</f>
        <v>895700</v>
      </c>
      <c r="R582" s="52">
        <f ca="1">SUMIFS(OUT!$F$2:$F$11000,OUT!$H$2:$H$11000,H582,OUT!$D$2:$D$11000,"Out",OUT!$E$2:$E$11000,"Sedekah")</f>
        <v>130000</v>
      </c>
      <c r="S582" s="52">
        <f ca="1">SUMIFS(OUT!$F$2:$F$11000,OUT!$H$2:$H$11000,H582,OUT!$D$2:$D$11000,"Out",OUT!$E$2:$E$11000,"Zela")</f>
        <v>215161</v>
      </c>
      <c r="T582" s="52">
        <f ca="1">SUMIFS(OUT!$F$2:$F$11000,OUT!$H$2:$H$11000,H582,OUT!$D$2:$D$11000,"Out",OUT!$E$2:$E$11000,"Iqbal")</f>
        <v>215000</v>
      </c>
    </row>
    <row r="583" spans="1:20" x14ac:dyDescent="0.2">
      <c r="A583" s="48">
        <f ca="1">IFERROR(__xludf.DUMMYFUNCTION("""COMPUTED_VALUE"""),46095)</f>
        <v>46095</v>
      </c>
      <c r="B583" s="4" t="str">
        <f ca="1">IFERROR(__xludf.DUMMYFUNCTION("""COMPUTED_VALUE"""),"Zakat Fitrah")</f>
        <v>Zakat Fitrah</v>
      </c>
      <c r="C583" s="4" t="str">
        <f ca="1">IFERROR(__xludf.DUMMYFUNCTION("""COMPUTED_VALUE"""),"Cash")</f>
        <v>Cash</v>
      </c>
      <c r="D583" s="4" t="str">
        <f ca="1">IFERROR(__xludf.DUMMYFUNCTION("""COMPUTED_VALUE"""),"Out")</f>
        <v>Out</v>
      </c>
      <c r="E583" s="4" t="str">
        <f ca="1">IFERROR(__xludf.DUMMYFUNCTION("""COMPUTED_VALUE"""),"Sedekah")</f>
        <v>Sedekah</v>
      </c>
      <c r="F583" s="49">
        <f ca="1">IFERROR(__xludf.DUMMYFUNCTION("""COMPUTED_VALUE"""),130000)</f>
        <v>130000</v>
      </c>
      <c r="G583" s="50" t="str">
        <f ca="1">IFERROR(__xludf.DUMMYFUNCTION("""COMPUTED_VALUE"""),"Zela")</f>
        <v>Zela</v>
      </c>
      <c r="H583" s="51">
        <f t="shared" ca="1" si="0"/>
        <v>46082</v>
      </c>
      <c r="I583" s="52" t="e">
        <f ca="1">SUMIFS(OUT!$F$2:$F$11000,OUT!$H$2:$H$11000,H583,OUT!$D$2:$D$101007,"In")</f>
        <v>#VALUE!</v>
      </c>
      <c r="J583" s="52">
        <f ca="1">SUMIFS(OUT!$F$2:$F$11000,OUT!$H$2:$H$11000,H583,OUT!$D$2:$D$11000,"Out")</f>
        <v>12026623</v>
      </c>
      <c r="K583" s="52">
        <f ca="1">SUMIFS(OUT!$F$2:$F$11000,OUT!$H$2:$H$11000,H583,OUT!$D$2:$D$11000,"Out",OUT!$E$2:$E$11000,"Fix")</f>
        <v>2865413</v>
      </c>
      <c r="L583" s="52">
        <f ca="1">SUMIFS(OUT!$F$2:$F$11000,OUT!$H$2:$H$11000,H583,OUT!$D$2:$D$11000,"Out",OUT!$E$2:$E$11000,"Bathroom")</f>
        <v>120488</v>
      </c>
      <c r="M583" s="52">
        <f ca="1">SUMIFS(OUT!$F$2:$F$11000,OUT!$H$2:$H$11000,H583,OUT!$D$2:$D$11000,"Out",OUT!$E$2:$E$11000,"Alfa")</f>
        <v>890962</v>
      </c>
      <c r="N583" s="52" t="e">
        <f ca="1">SUMIFS(OUT!$F$2:$F$11000,OUT!$H$2:$H$101007,H583,OUT!$D$2:$D$11000,"Out",OUT!$E$2:$E$11000,"Jajan")</f>
        <v>#VALUE!</v>
      </c>
      <c r="O583" s="52">
        <f ca="1">SUMIFS(OUT!$F$2:$F$11000,OUT!$H$2:$H$11000,H583,OUT!$D$2:$D$11000,"Out",OUT!$E$2:$E$11000,"Kitchen")</f>
        <v>1152600</v>
      </c>
      <c r="P583" s="52">
        <f ca="1">SUMIFS(OUT!$F$2:$F$11000,OUT!$H$2:$H$11000,H583,OUT!$D$2:$D$11000,"Out",OUT!$E$2:$E$11000,"Loandry")</f>
        <v>41000</v>
      </c>
      <c r="Q583" s="52">
        <f ca="1">SUMIFS(OUT!$F$2:$F$11000,OUT!$H$2:$H$11000,H583,OUT!$D$2:$D$11000,"Out",OUT!$E$2:$E$11000,"Mio")</f>
        <v>895700</v>
      </c>
      <c r="R583" s="52">
        <f ca="1">SUMIFS(OUT!$F$2:$F$11000,OUT!$H$2:$H$11000,H583,OUT!$D$2:$D$11000,"Out",OUT!$E$2:$E$11000,"Sedekah")</f>
        <v>130000</v>
      </c>
      <c r="S583" s="52">
        <f ca="1">SUMIFS(OUT!$F$2:$F$11000,OUT!$H$2:$H$11000,H583,OUT!$D$2:$D$11000,"Out",OUT!$E$2:$E$11000,"Zela")</f>
        <v>215161</v>
      </c>
      <c r="T583" s="52">
        <f ca="1">SUMIFS(OUT!$F$2:$F$11000,OUT!$H$2:$H$11000,H583,OUT!$D$2:$D$11000,"Out",OUT!$E$2:$E$11000,"Iqbal")</f>
        <v>215000</v>
      </c>
    </row>
    <row r="584" spans="1:20" x14ac:dyDescent="0.2">
      <c r="A584" s="48">
        <f ca="1">IFERROR(__xludf.DUMMYFUNCTION("""COMPUTED_VALUE"""),46095)</f>
        <v>46095</v>
      </c>
      <c r="B584" s="4" t="str">
        <f ca="1">IFERROR(__xludf.DUMMYFUNCTION("""COMPUTED_VALUE"""),"Teh telor +lemontea+rokok")</f>
        <v>Teh telor +lemontea+rokok</v>
      </c>
      <c r="C584" s="4" t="str">
        <f ca="1">IFERROR(__xludf.DUMMYFUNCTION("""COMPUTED_VALUE"""),"Cash")</f>
        <v>Cash</v>
      </c>
      <c r="D584" s="4" t="str">
        <f ca="1">IFERROR(__xludf.DUMMYFUNCTION("""COMPUTED_VALUE"""),"Out")</f>
        <v>Out</v>
      </c>
      <c r="E584" s="4" t="str">
        <f ca="1">IFERROR(__xludf.DUMMYFUNCTION("""COMPUTED_VALUE"""),"Jajan")</f>
        <v>Jajan</v>
      </c>
      <c r="F584" s="49">
        <f ca="1">IFERROR(__xludf.DUMMYFUNCTION("""COMPUTED_VALUE"""),31000)</f>
        <v>31000</v>
      </c>
      <c r="G584" s="50" t="str">
        <f ca="1">IFERROR(__xludf.DUMMYFUNCTION("""COMPUTED_VALUE"""),"Zela")</f>
        <v>Zela</v>
      </c>
      <c r="H584" s="51">
        <f t="shared" ca="1" si="0"/>
        <v>46082</v>
      </c>
      <c r="I584" s="52" t="e">
        <f ca="1">SUMIFS(OUT!$F$2:$F$11000,OUT!$H$2:$H$11000,H584,OUT!$D$2:$D$101007,"In")</f>
        <v>#VALUE!</v>
      </c>
      <c r="J584" s="52">
        <f ca="1">SUMIFS(OUT!$F$2:$F$11000,OUT!$H$2:$H$11000,H584,OUT!$D$2:$D$11000,"Out")</f>
        <v>12026623</v>
      </c>
      <c r="K584" s="52">
        <f ca="1">SUMIFS(OUT!$F$2:$F$11000,OUT!$H$2:$H$11000,H584,OUT!$D$2:$D$11000,"Out",OUT!$E$2:$E$11000,"Fix")</f>
        <v>2865413</v>
      </c>
      <c r="L584" s="52">
        <f ca="1">SUMIFS(OUT!$F$2:$F$11000,OUT!$H$2:$H$11000,H584,OUT!$D$2:$D$11000,"Out",OUT!$E$2:$E$11000,"Bathroom")</f>
        <v>120488</v>
      </c>
      <c r="M584" s="52">
        <f ca="1">SUMIFS(OUT!$F$2:$F$11000,OUT!$H$2:$H$11000,H584,OUT!$D$2:$D$11000,"Out",OUT!$E$2:$E$11000,"Alfa")</f>
        <v>890962</v>
      </c>
      <c r="N584" s="52" t="e">
        <f ca="1">SUMIFS(OUT!$F$2:$F$11000,OUT!$H$2:$H$101007,H584,OUT!$D$2:$D$11000,"Out",OUT!$E$2:$E$11000,"Jajan")</f>
        <v>#VALUE!</v>
      </c>
      <c r="O584" s="52">
        <f ca="1">SUMIFS(OUT!$F$2:$F$11000,OUT!$H$2:$H$11000,H584,OUT!$D$2:$D$11000,"Out",OUT!$E$2:$E$11000,"Kitchen")</f>
        <v>1152600</v>
      </c>
      <c r="P584" s="52">
        <f ca="1">SUMIFS(OUT!$F$2:$F$11000,OUT!$H$2:$H$11000,H584,OUT!$D$2:$D$11000,"Out",OUT!$E$2:$E$11000,"Loandry")</f>
        <v>41000</v>
      </c>
      <c r="Q584" s="52">
        <f ca="1">SUMIFS(OUT!$F$2:$F$11000,OUT!$H$2:$H$11000,H584,OUT!$D$2:$D$11000,"Out",OUT!$E$2:$E$11000,"Mio")</f>
        <v>895700</v>
      </c>
      <c r="R584" s="52">
        <f ca="1">SUMIFS(OUT!$F$2:$F$11000,OUT!$H$2:$H$11000,H584,OUT!$D$2:$D$11000,"Out",OUT!$E$2:$E$11000,"Sedekah")</f>
        <v>130000</v>
      </c>
      <c r="S584" s="52">
        <f ca="1">SUMIFS(OUT!$F$2:$F$11000,OUT!$H$2:$H$11000,H584,OUT!$D$2:$D$11000,"Out",OUT!$E$2:$E$11000,"Zela")</f>
        <v>215161</v>
      </c>
      <c r="T584" s="52">
        <f ca="1">SUMIFS(OUT!$F$2:$F$11000,OUT!$H$2:$H$11000,H584,OUT!$D$2:$D$11000,"Out",OUT!$E$2:$E$11000,"Iqbal")</f>
        <v>215000</v>
      </c>
    </row>
    <row r="585" spans="1:20" x14ac:dyDescent="0.2">
      <c r="A585" s="48">
        <f ca="1">IFERROR(__xludf.DUMMYFUNCTION("""COMPUTED_VALUE"""),46096)</f>
        <v>46096</v>
      </c>
      <c r="B585" s="4" t="str">
        <f ca="1">IFERROR(__xludf.DUMMYFUNCTION("""COMPUTED_VALUE"""),"by.u")</f>
        <v>by.u</v>
      </c>
      <c r="C585" s="4" t="str">
        <f ca="1">IFERROR(__xludf.DUMMYFUNCTION("""COMPUTED_VALUE"""),"ATM")</f>
        <v>ATM</v>
      </c>
      <c r="D585" s="4" t="str">
        <f ca="1">IFERROR(__xludf.DUMMYFUNCTION("""COMPUTED_VALUE"""),"Out")</f>
        <v>Out</v>
      </c>
      <c r="E585" s="4" t="str">
        <f ca="1">IFERROR(__xludf.DUMMYFUNCTION("""COMPUTED_VALUE"""),"Fix")</f>
        <v>Fix</v>
      </c>
      <c r="F585" s="49">
        <f ca="1">IFERROR(__xludf.DUMMYFUNCTION("""COMPUTED_VALUE"""),15000)</f>
        <v>15000</v>
      </c>
      <c r="G585" s="50" t="str">
        <f ca="1">IFERROR(__xludf.DUMMYFUNCTION("""COMPUTED_VALUE"""),"Zela")</f>
        <v>Zela</v>
      </c>
      <c r="H585" s="51">
        <f t="shared" ca="1" si="0"/>
        <v>46082</v>
      </c>
      <c r="I585" s="52" t="e">
        <f ca="1">SUMIFS(OUT!$F$2:$F$11000,OUT!$H$2:$H$11000,H585,OUT!$D$2:$D$101007,"In")</f>
        <v>#VALUE!</v>
      </c>
      <c r="J585" s="52">
        <f ca="1">SUMIFS(OUT!$F$2:$F$11000,OUT!$H$2:$H$11000,H585,OUT!$D$2:$D$11000,"Out")</f>
        <v>12026623</v>
      </c>
      <c r="K585" s="52">
        <f ca="1">SUMIFS(OUT!$F$2:$F$11000,OUT!$H$2:$H$11000,H585,OUT!$D$2:$D$11000,"Out",OUT!$E$2:$E$11000,"Fix")</f>
        <v>2865413</v>
      </c>
      <c r="L585" s="52">
        <f ca="1">SUMIFS(OUT!$F$2:$F$11000,OUT!$H$2:$H$11000,H585,OUT!$D$2:$D$11000,"Out",OUT!$E$2:$E$11000,"Bathroom")</f>
        <v>120488</v>
      </c>
      <c r="M585" s="52">
        <f ca="1">SUMIFS(OUT!$F$2:$F$11000,OUT!$H$2:$H$11000,H585,OUT!$D$2:$D$11000,"Out",OUT!$E$2:$E$11000,"Alfa")</f>
        <v>890962</v>
      </c>
      <c r="N585" s="52" t="e">
        <f ca="1">SUMIFS(OUT!$F$2:$F$11000,OUT!$H$2:$H$101007,H585,OUT!$D$2:$D$11000,"Out",OUT!$E$2:$E$11000,"Jajan")</f>
        <v>#VALUE!</v>
      </c>
      <c r="O585" s="52">
        <f ca="1">SUMIFS(OUT!$F$2:$F$11000,OUT!$H$2:$H$11000,H585,OUT!$D$2:$D$11000,"Out",OUT!$E$2:$E$11000,"Kitchen")</f>
        <v>1152600</v>
      </c>
      <c r="P585" s="52">
        <f ca="1">SUMIFS(OUT!$F$2:$F$11000,OUT!$H$2:$H$11000,H585,OUT!$D$2:$D$11000,"Out",OUT!$E$2:$E$11000,"Loandry")</f>
        <v>41000</v>
      </c>
      <c r="Q585" s="52">
        <f ca="1">SUMIFS(OUT!$F$2:$F$11000,OUT!$H$2:$H$11000,H585,OUT!$D$2:$D$11000,"Out",OUT!$E$2:$E$11000,"Mio")</f>
        <v>895700</v>
      </c>
      <c r="R585" s="52">
        <f ca="1">SUMIFS(OUT!$F$2:$F$11000,OUT!$H$2:$H$11000,H585,OUT!$D$2:$D$11000,"Out",OUT!$E$2:$E$11000,"Sedekah")</f>
        <v>130000</v>
      </c>
      <c r="S585" s="52">
        <f ca="1">SUMIFS(OUT!$F$2:$F$11000,OUT!$H$2:$H$11000,H585,OUT!$D$2:$D$11000,"Out",OUT!$E$2:$E$11000,"Zela")</f>
        <v>215161</v>
      </c>
      <c r="T585" s="52">
        <f ca="1">SUMIFS(OUT!$F$2:$F$11000,OUT!$H$2:$H$11000,H585,OUT!$D$2:$D$11000,"Out",OUT!$E$2:$E$11000,"Iqbal")</f>
        <v>215000</v>
      </c>
    </row>
    <row r="586" spans="1:20" x14ac:dyDescent="0.2">
      <c r="A586" s="48">
        <f ca="1">IFERROR(__xludf.DUMMYFUNCTION("""COMPUTED_VALUE"""),46096)</f>
        <v>46096</v>
      </c>
      <c r="B586" s="4" t="str">
        <f ca="1">IFERROR(__xludf.DUMMYFUNCTION("""COMPUTED_VALUE"""),"Tarik Tunai")</f>
        <v>Tarik Tunai</v>
      </c>
      <c r="C586" s="4" t="str">
        <f ca="1">IFERROR(__xludf.DUMMYFUNCTION("""COMPUTED_VALUE"""),"ATM")</f>
        <v>ATM</v>
      </c>
      <c r="D586" s="4" t="str">
        <f ca="1">IFERROR(__xludf.DUMMYFUNCTION("""COMPUTED_VALUE"""),"Out")</f>
        <v>Out</v>
      </c>
      <c r="E586" s="4" t="str">
        <f ca="1">IFERROR(__xludf.DUMMYFUNCTION("""COMPUTED_VALUE"""),"Move")</f>
        <v>Move</v>
      </c>
      <c r="F586" s="49">
        <f ca="1">IFERROR(__xludf.DUMMYFUNCTION("""COMPUTED_VALUE"""),200000)</f>
        <v>200000</v>
      </c>
      <c r="G586" s="50" t="str">
        <f ca="1">IFERROR(__xludf.DUMMYFUNCTION("""COMPUTED_VALUE"""),"Zela")</f>
        <v>Zela</v>
      </c>
      <c r="H586" s="51">
        <f t="shared" ca="1" si="0"/>
        <v>46082</v>
      </c>
      <c r="I586" s="52" t="e">
        <f ca="1">SUMIFS(OUT!$F$2:$F$11000,OUT!$H$2:$H$11000,H586,OUT!$D$2:$D$101007,"In")</f>
        <v>#VALUE!</v>
      </c>
      <c r="J586" s="52">
        <f ca="1">SUMIFS(OUT!$F$2:$F$11000,OUT!$H$2:$H$11000,H586,OUT!$D$2:$D$11000,"Out")</f>
        <v>12026623</v>
      </c>
      <c r="K586" s="52">
        <f ca="1">SUMIFS(OUT!$F$2:$F$11000,OUT!$H$2:$H$11000,H586,OUT!$D$2:$D$11000,"Out",OUT!$E$2:$E$11000,"Fix")</f>
        <v>2865413</v>
      </c>
      <c r="L586" s="52">
        <f ca="1">SUMIFS(OUT!$F$2:$F$11000,OUT!$H$2:$H$11000,H586,OUT!$D$2:$D$11000,"Out",OUT!$E$2:$E$11000,"Bathroom")</f>
        <v>120488</v>
      </c>
      <c r="M586" s="52">
        <f ca="1">SUMIFS(OUT!$F$2:$F$11000,OUT!$H$2:$H$11000,H586,OUT!$D$2:$D$11000,"Out",OUT!$E$2:$E$11000,"Alfa")</f>
        <v>890962</v>
      </c>
      <c r="N586" s="52" t="e">
        <f ca="1">SUMIFS(OUT!$F$2:$F$11000,OUT!$H$2:$H$101007,H586,OUT!$D$2:$D$11000,"Out",OUT!$E$2:$E$11000,"Jajan")</f>
        <v>#VALUE!</v>
      </c>
      <c r="O586" s="52">
        <f ca="1">SUMIFS(OUT!$F$2:$F$11000,OUT!$H$2:$H$11000,H586,OUT!$D$2:$D$11000,"Out",OUT!$E$2:$E$11000,"Kitchen")</f>
        <v>1152600</v>
      </c>
      <c r="P586" s="52">
        <f ca="1">SUMIFS(OUT!$F$2:$F$11000,OUT!$H$2:$H$11000,H586,OUT!$D$2:$D$11000,"Out",OUT!$E$2:$E$11000,"Loandry")</f>
        <v>41000</v>
      </c>
      <c r="Q586" s="52">
        <f ca="1">SUMIFS(OUT!$F$2:$F$11000,OUT!$H$2:$H$11000,H586,OUT!$D$2:$D$11000,"Out",OUT!$E$2:$E$11000,"Mio")</f>
        <v>895700</v>
      </c>
      <c r="R586" s="52">
        <f ca="1">SUMIFS(OUT!$F$2:$F$11000,OUT!$H$2:$H$11000,H586,OUT!$D$2:$D$11000,"Out",OUT!$E$2:$E$11000,"Sedekah")</f>
        <v>130000</v>
      </c>
      <c r="S586" s="52">
        <f ca="1">SUMIFS(OUT!$F$2:$F$11000,OUT!$H$2:$H$11000,H586,OUT!$D$2:$D$11000,"Out",OUT!$E$2:$E$11000,"Zela")</f>
        <v>215161</v>
      </c>
      <c r="T586" s="52">
        <f ca="1">SUMIFS(OUT!$F$2:$F$11000,OUT!$H$2:$H$11000,H586,OUT!$D$2:$D$11000,"Out",OUT!$E$2:$E$11000,"Iqbal")</f>
        <v>215000</v>
      </c>
    </row>
    <row r="587" spans="1:20" x14ac:dyDescent="0.2">
      <c r="A587" s="48">
        <f ca="1">IFERROR(__xludf.DUMMYFUNCTION("""COMPUTED_VALUE"""),46096)</f>
        <v>46096</v>
      </c>
      <c r="B587" s="4" t="str">
        <f ca="1">IFERROR(__xludf.DUMMYFUNCTION("""COMPUTED_VALUE"""),"Terima Tunai")</f>
        <v>Terima Tunai</v>
      </c>
      <c r="C587" s="4" t="str">
        <f ca="1">IFERROR(__xludf.DUMMYFUNCTION("""COMPUTED_VALUE"""),"Cash")</f>
        <v>Cash</v>
      </c>
      <c r="D587" s="4" t="str">
        <f ca="1">IFERROR(__xludf.DUMMYFUNCTION("""COMPUTED_VALUE"""),"In")</f>
        <v>In</v>
      </c>
      <c r="E587" s="4" t="str">
        <f ca="1">IFERROR(__xludf.DUMMYFUNCTION("""COMPUTED_VALUE"""),"Move")</f>
        <v>Move</v>
      </c>
      <c r="F587" s="49">
        <f ca="1">IFERROR(__xludf.DUMMYFUNCTION("""COMPUTED_VALUE"""),200000)</f>
        <v>200000</v>
      </c>
      <c r="G587" s="50" t="str">
        <f ca="1">IFERROR(__xludf.DUMMYFUNCTION("""COMPUTED_VALUE"""),"Zela")</f>
        <v>Zela</v>
      </c>
      <c r="H587" s="51">
        <f t="shared" ca="1" si="0"/>
        <v>46082</v>
      </c>
      <c r="I587" s="52" t="e">
        <f ca="1">SUMIFS(OUT!$F$2:$F$11000,OUT!$H$2:$H$11000,H587,OUT!$D$2:$D$101007,"In")</f>
        <v>#VALUE!</v>
      </c>
      <c r="J587" s="52">
        <f ca="1">SUMIFS(OUT!$F$2:$F$11000,OUT!$H$2:$H$11000,H587,OUT!$D$2:$D$11000,"Out")</f>
        <v>12026623</v>
      </c>
      <c r="K587" s="52">
        <f ca="1">SUMIFS(OUT!$F$2:$F$11000,OUT!$H$2:$H$11000,H587,OUT!$D$2:$D$11000,"Out",OUT!$E$2:$E$11000,"Fix")</f>
        <v>2865413</v>
      </c>
      <c r="L587" s="52">
        <f ca="1">SUMIFS(OUT!$F$2:$F$11000,OUT!$H$2:$H$11000,H587,OUT!$D$2:$D$11000,"Out",OUT!$E$2:$E$11000,"Bathroom")</f>
        <v>120488</v>
      </c>
      <c r="M587" s="52">
        <f ca="1">SUMIFS(OUT!$F$2:$F$11000,OUT!$H$2:$H$11000,H587,OUT!$D$2:$D$11000,"Out",OUT!$E$2:$E$11000,"Alfa")</f>
        <v>890962</v>
      </c>
      <c r="N587" s="52" t="e">
        <f ca="1">SUMIFS(OUT!$F$2:$F$11000,OUT!$H$2:$H$101007,H587,OUT!$D$2:$D$11000,"Out",OUT!$E$2:$E$11000,"Jajan")</f>
        <v>#VALUE!</v>
      </c>
      <c r="O587" s="52">
        <f ca="1">SUMIFS(OUT!$F$2:$F$11000,OUT!$H$2:$H$11000,H587,OUT!$D$2:$D$11000,"Out",OUT!$E$2:$E$11000,"Kitchen")</f>
        <v>1152600</v>
      </c>
      <c r="P587" s="52">
        <f ca="1">SUMIFS(OUT!$F$2:$F$11000,OUT!$H$2:$H$11000,H587,OUT!$D$2:$D$11000,"Out",OUT!$E$2:$E$11000,"Loandry")</f>
        <v>41000</v>
      </c>
      <c r="Q587" s="52">
        <f ca="1">SUMIFS(OUT!$F$2:$F$11000,OUT!$H$2:$H$11000,H587,OUT!$D$2:$D$11000,"Out",OUT!$E$2:$E$11000,"Mio")</f>
        <v>895700</v>
      </c>
      <c r="R587" s="52">
        <f ca="1">SUMIFS(OUT!$F$2:$F$11000,OUT!$H$2:$H$11000,H587,OUT!$D$2:$D$11000,"Out",OUT!$E$2:$E$11000,"Sedekah")</f>
        <v>130000</v>
      </c>
      <c r="S587" s="52">
        <f ca="1">SUMIFS(OUT!$F$2:$F$11000,OUT!$H$2:$H$11000,H587,OUT!$D$2:$D$11000,"Out",OUT!$E$2:$E$11000,"Zela")</f>
        <v>215161</v>
      </c>
      <c r="T587" s="52">
        <f ca="1">SUMIFS(OUT!$F$2:$F$11000,OUT!$H$2:$H$11000,H587,OUT!$D$2:$D$11000,"Out",OUT!$E$2:$E$11000,"Iqbal")</f>
        <v>215000</v>
      </c>
    </row>
    <row r="588" spans="1:20" x14ac:dyDescent="0.2">
      <c r="A588" s="48">
        <f ca="1">IFERROR(__xludf.DUMMYFUNCTION("""COMPUTED_VALUE"""),46096)</f>
        <v>46096</v>
      </c>
      <c r="B588" s="4" t="str">
        <f ca="1">IFERROR(__xludf.DUMMYFUNCTION("""COMPUTED_VALUE"""),"Bensin")</f>
        <v>Bensin</v>
      </c>
      <c r="C588" s="4" t="str">
        <f ca="1">IFERROR(__xludf.DUMMYFUNCTION("""COMPUTED_VALUE"""),"Cash")</f>
        <v>Cash</v>
      </c>
      <c r="D588" s="4" t="str">
        <f ca="1">IFERROR(__xludf.DUMMYFUNCTION("""COMPUTED_VALUE"""),"Out")</f>
        <v>Out</v>
      </c>
      <c r="E588" s="4" t="str">
        <f ca="1">IFERROR(__xludf.DUMMYFUNCTION("""COMPUTED_VALUE"""),"Mio")</f>
        <v>Mio</v>
      </c>
      <c r="F588" s="49">
        <f ca="1">IFERROR(__xludf.DUMMYFUNCTION("""COMPUTED_VALUE"""),30000)</f>
        <v>30000</v>
      </c>
      <c r="G588" s="50" t="str">
        <f ca="1">IFERROR(__xludf.DUMMYFUNCTION("""COMPUTED_VALUE"""),"Zela")</f>
        <v>Zela</v>
      </c>
      <c r="H588" s="51">
        <f t="shared" ca="1" si="0"/>
        <v>46082</v>
      </c>
      <c r="I588" s="52" t="e">
        <f ca="1">SUMIFS(OUT!$F$2:$F$11000,OUT!$H$2:$H$11000,H588,OUT!$D$2:$D$101007,"In")</f>
        <v>#VALUE!</v>
      </c>
      <c r="J588" s="52">
        <f ca="1">SUMIFS(OUT!$F$2:$F$11000,OUT!$H$2:$H$11000,H588,OUT!$D$2:$D$11000,"Out")</f>
        <v>12026623</v>
      </c>
      <c r="K588" s="52">
        <f ca="1">SUMIFS(OUT!$F$2:$F$11000,OUT!$H$2:$H$11000,H588,OUT!$D$2:$D$11000,"Out",OUT!$E$2:$E$11000,"Fix")</f>
        <v>2865413</v>
      </c>
      <c r="L588" s="52">
        <f ca="1">SUMIFS(OUT!$F$2:$F$11000,OUT!$H$2:$H$11000,H588,OUT!$D$2:$D$11000,"Out",OUT!$E$2:$E$11000,"Bathroom")</f>
        <v>120488</v>
      </c>
      <c r="M588" s="52">
        <f ca="1">SUMIFS(OUT!$F$2:$F$11000,OUT!$H$2:$H$11000,H588,OUT!$D$2:$D$11000,"Out",OUT!$E$2:$E$11000,"Alfa")</f>
        <v>890962</v>
      </c>
      <c r="N588" s="52" t="e">
        <f ca="1">SUMIFS(OUT!$F$2:$F$11000,OUT!$H$2:$H$101007,H588,OUT!$D$2:$D$11000,"Out",OUT!$E$2:$E$11000,"Jajan")</f>
        <v>#VALUE!</v>
      </c>
      <c r="O588" s="52">
        <f ca="1">SUMIFS(OUT!$F$2:$F$11000,OUT!$H$2:$H$11000,H588,OUT!$D$2:$D$11000,"Out",OUT!$E$2:$E$11000,"Kitchen")</f>
        <v>1152600</v>
      </c>
      <c r="P588" s="52">
        <f ca="1">SUMIFS(OUT!$F$2:$F$11000,OUT!$H$2:$H$11000,H588,OUT!$D$2:$D$11000,"Out",OUT!$E$2:$E$11000,"Loandry")</f>
        <v>41000</v>
      </c>
      <c r="Q588" s="52">
        <f ca="1">SUMIFS(OUT!$F$2:$F$11000,OUT!$H$2:$H$11000,H588,OUT!$D$2:$D$11000,"Out",OUT!$E$2:$E$11000,"Mio")</f>
        <v>895700</v>
      </c>
      <c r="R588" s="52">
        <f ca="1">SUMIFS(OUT!$F$2:$F$11000,OUT!$H$2:$H$11000,H588,OUT!$D$2:$D$11000,"Out",OUT!$E$2:$E$11000,"Sedekah")</f>
        <v>130000</v>
      </c>
      <c r="S588" s="52">
        <f ca="1">SUMIFS(OUT!$F$2:$F$11000,OUT!$H$2:$H$11000,H588,OUT!$D$2:$D$11000,"Out",OUT!$E$2:$E$11000,"Zela")</f>
        <v>215161</v>
      </c>
      <c r="T588" s="52">
        <f ca="1">SUMIFS(OUT!$F$2:$F$11000,OUT!$H$2:$H$11000,H588,OUT!$D$2:$D$11000,"Out",OUT!$E$2:$E$11000,"Iqbal")</f>
        <v>215000</v>
      </c>
    </row>
    <row r="589" spans="1:20" x14ac:dyDescent="0.2">
      <c r="A589" s="48">
        <f ca="1">IFERROR(__xludf.DUMMYFUNCTION("""COMPUTED_VALUE"""),46096)</f>
        <v>46096</v>
      </c>
      <c r="B589" s="4" t="str">
        <f ca="1">IFERROR(__xludf.DUMMYFUNCTION("""COMPUTED_VALUE"""),"Baju Anak Maya")</f>
        <v>Baju Anak Maya</v>
      </c>
      <c r="C589" s="4" t="str">
        <f ca="1">IFERROR(__xludf.DUMMYFUNCTION("""COMPUTED_VALUE"""),"Cash")</f>
        <v>Cash</v>
      </c>
      <c r="D589" s="4" t="str">
        <f ca="1">IFERROR(__xludf.DUMMYFUNCTION("""COMPUTED_VALUE"""),"Out")</f>
        <v>Out</v>
      </c>
      <c r="E589" s="4" t="str">
        <f ca="1">IFERROR(__xludf.DUMMYFUNCTION("""COMPUTED_VALUE"""),"Zela")</f>
        <v>Zela</v>
      </c>
      <c r="F589" s="49">
        <f ca="1">IFERROR(__xludf.DUMMYFUNCTION("""COMPUTED_VALUE"""),70000)</f>
        <v>70000</v>
      </c>
      <c r="G589" s="50" t="str">
        <f ca="1">IFERROR(__xludf.DUMMYFUNCTION("""COMPUTED_VALUE"""),"Zela")</f>
        <v>Zela</v>
      </c>
      <c r="H589" s="51">
        <f t="shared" ca="1" si="0"/>
        <v>46082</v>
      </c>
      <c r="I589" s="52" t="e">
        <f ca="1">SUMIFS(OUT!$F$2:$F$11000,OUT!$H$2:$H$11000,H589,OUT!$D$2:$D$101007,"In")</f>
        <v>#VALUE!</v>
      </c>
      <c r="J589" s="52">
        <f ca="1">SUMIFS(OUT!$F$2:$F$11000,OUT!$H$2:$H$11000,H589,OUT!$D$2:$D$11000,"Out")</f>
        <v>12026623</v>
      </c>
      <c r="K589" s="52">
        <f ca="1">SUMIFS(OUT!$F$2:$F$11000,OUT!$H$2:$H$11000,H589,OUT!$D$2:$D$11000,"Out",OUT!$E$2:$E$11000,"Fix")</f>
        <v>2865413</v>
      </c>
      <c r="L589" s="52">
        <f ca="1">SUMIFS(OUT!$F$2:$F$11000,OUT!$H$2:$H$11000,H589,OUT!$D$2:$D$11000,"Out",OUT!$E$2:$E$11000,"Bathroom")</f>
        <v>120488</v>
      </c>
      <c r="M589" s="52">
        <f ca="1">SUMIFS(OUT!$F$2:$F$11000,OUT!$H$2:$H$11000,H589,OUT!$D$2:$D$11000,"Out",OUT!$E$2:$E$11000,"Alfa")</f>
        <v>890962</v>
      </c>
      <c r="N589" s="52" t="e">
        <f ca="1">SUMIFS(OUT!$F$2:$F$11000,OUT!$H$2:$H$101007,H589,OUT!$D$2:$D$11000,"Out",OUT!$E$2:$E$11000,"Jajan")</f>
        <v>#VALUE!</v>
      </c>
      <c r="O589" s="52">
        <f ca="1">SUMIFS(OUT!$F$2:$F$11000,OUT!$H$2:$H$11000,H589,OUT!$D$2:$D$11000,"Out",OUT!$E$2:$E$11000,"Kitchen")</f>
        <v>1152600</v>
      </c>
      <c r="P589" s="52">
        <f ca="1">SUMIFS(OUT!$F$2:$F$11000,OUT!$H$2:$H$11000,H589,OUT!$D$2:$D$11000,"Out",OUT!$E$2:$E$11000,"Loandry")</f>
        <v>41000</v>
      </c>
      <c r="Q589" s="52">
        <f ca="1">SUMIFS(OUT!$F$2:$F$11000,OUT!$H$2:$H$11000,H589,OUT!$D$2:$D$11000,"Out",OUT!$E$2:$E$11000,"Mio")</f>
        <v>895700</v>
      </c>
      <c r="R589" s="52">
        <f ca="1">SUMIFS(OUT!$F$2:$F$11000,OUT!$H$2:$H$11000,H589,OUT!$D$2:$D$11000,"Out",OUT!$E$2:$E$11000,"Sedekah")</f>
        <v>130000</v>
      </c>
      <c r="S589" s="52">
        <f ca="1">SUMIFS(OUT!$F$2:$F$11000,OUT!$H$2:$H$11000,H589,OUT!$D$2:$D$11000,"Out",OUT!$E$2:$E$11000,"Zela")</f>
        <v>215161</v>
      </c>
      <c r="T589" s="52">
        <f ca="1">SUMIFS(OUT!$F$2:$F$11000,OUT!$H$2:$H$11000,H589,OUT!$D$2:$D$11000,"Out",OUT!$E$2:$E$11000,"Iqbal")</f>
        <v>215000</v>
      </c>
    </row>
    <row r="590" spans="1:20" x14ac:dyDescent="0.2">
      <c r="A590" s="48">
        <f ca="1">IFERROR(__xludf.DUMMYFUNCTION("""COMPUTED_VALUE"""),46096)</f>
        <v>46096</v>
      </c>
      <c r="B590" s="4" t="str">
        <f ca="1">IFERROR(__xludf.DUMMYFUNCTION("""COMPUTED_VALUE"""),"Susu Kntal Manis")</f>
        <v>Susu Kntal Manis</v>
      </c>
      <c r="C590" s="4" t="str">
        <f ca="1">IFERROR(__xludf.DUMMYFUNCTION("""COMPUTED_VALUE"""),"Cash")</f>
        <v>Cash</v>
      </c>
      <c r="D590" s="4" t="str">
        <f ca="1">IFERROR(__xludf.DUMMYFUNCTION("""COMPUTED_VALUE"""),"Out")</f>
        <v>Out</v>
      </c>
      <c r="E590" s="4" t="str">
        <f ca="1">IFERROR(__xludf.DUMMYFUNCTION("""COMPUTED_VALUE"""),"Jajan")</f>
        <v>Jajan</v>
      </c>
      <c r="F590" s="49">
        <f ca="1">IFERROR(__xludf.DUMMYFUNCTION("""COMPUTED_VALUE"""),12700)</f>
        <v>12700</v>
      </c>
      <c r="G590" s="50" t="str">
        <f ca="1">IFERROR(__xludf.DUMMYFUNCTION("""COMPUTED_VALUE"""),"Zela")</f>
        <v>Zela</v>
      </c>
      <c r="H590" s="51">
        <f t="shared" ca="1" si="0"/>
        <v>46082</v>
      </c>
      <c r="I590" s="52" t="e">
        <f ca="1">SUMIFS(OUT!$F$2:$F$11000,OUT!$H$2:$H$11000,H590,OUT!$D$2:$D$101007,"In")</f>
        <v>#VALUE!</v>
      </c>
      <c r="J590" s="52">
        <f ca="1">SUMIFS(OUT!$F$2:$F$11000,OUT!$H$2:$H$11000,H590,OUT!$D$2:$D$11000,"Out")</f>
        <v>12026623</v>
      </c>
      <c r="K590" s="52">
        <f ca="1">SUMIFS(OUT!$F$2:$F$11000,OUT!$H$2:$H$11000,H590,OUT!$D$2:$D$11000,"Out",OUT!$E$2:$E$11000,"Fix")</f>
        <v>2865413</v>
      </c>
      <c r="L590" s="52">
        <f ca="1">SUMIFS(OUT!$F$2:$F$11000,OUT!$H$2:$H$11000,H590,OUT!$D$2:$D$11000,"Out",OUT!$E$2:$E$11000,"Bathroom")</f>
        <v>120488</v>
      </c>
      <c r="M590" s="52">
        <f ca="1">SUMIFS(OUT!$F$2:$F$11000,OUT!$H$2:$H$11000,H590,OUT!$D$2:$D$11000,"Out",OUT!$E$2:$E$11000,"Alfa")</f>
        <v>890962</v>
      </c>
      <c r="N590" s="52" t="e">
        <f ca="1">SUMIFS(OUT!$F$2:$F$11000,OUT!$H$2:$H$101007,H590,OUT!$D$2:$D$11000,"Out",OUT!$E$2:$E$11000,"Jajan")</f>
        <v>#VALUE!</v>
      </c>
      <c r="O590" s="52">
        <f ca="1">SUMIFS(OUT!$F$2:$F$11000,OUT!$H$2:$H$11000,H590,OUT!$D$2:$D$11000,"Out",OUT!$E$2:$E$11000,"Kitchen")</f>
        <v>1152600</v>
      </c>
      <c r="P590" s="52">
        <f ca="1">SUMIFS(OUT!$F$2:$F$11000,OUT!$H$2:$H$11000,H590,OUT!$D$2:$D$11000,"Out",OUT!$E$2:$E$11000,"Loandry")</f>
        <v>41000</v>
      </c>
      <c r="Q590" s="52">
        <f ca="1">SUMIFS(OUT!$F$2:$F$11000,OUT!$H$2:$H$11000,H590,OUT!$D$2:$D$11000,"Out",OUT!$E$2:$E$11000,"Mio")</f>
        <v>895700</v>
      </c>
      <c r="R590" s="52">
        <f ca="1">SUMIFS(OUT!$F$2:$F$11000,OUT!$H$2:$H$11000,H590,OUT!$D$2:$D$11000,"Out",OUT!$E$2:$E$11000,"Sedekah")</f>
        <v>130000</v>
      </c>
      <c r="S590" s="52">
        <f ca="1">SUMIFS(OUT!$F$2:$F$11000,OUT!$H$2:$H$11000,H590,OUT!$D$2:$D$11000,"Out",OUT!$E$2:$E$11000,"Zela")</f>
        <v>215161</v>
      </c>
      <c r="T590" s="52">
        <f ca="1">SUMIFS(OUT!$F$2:$F$11000,OUT!$H$2:$H$11000,H590,OUT!$D$2:$D$11000,"Out",OUT!$E$2:$E$11000,"Iqbal")</f>
        <v>215000</v>
      </c>
    </row>
    <row r="591" spans="1:20" x14ac:dyDescent="0.2">
      <c r="A591" s="48">
        <f ca="1">IFERROR(__xludf.DUMMYFUNCTION("""COMPUTED_VALUE"""),46096)</f>
        <v>46096</v>
      </c>
      <c r="B591" s="4" t="str">
        <f ca="1">IFERROR(__xludf.DUMMYFUNCTION("""COMPUTED_VALUE"""),"sate")</f>
        <v>sate</v>
      </c>
      <c r="C591" s="4" t="str">
        <f ca="1">IFERROR(__xludf.DUMMYFUNCTION("""COMPUTED_VALUE"""),"Cash")</f>
        <v>Cash</v>
      </c>
      <c r="D591" s="4" t="str">
        <f ca="1">IFERROR(__xludf.DUMMYFUNCTION("""COMPUTED_VALUE"""),"Out")</f>
        <v>Out</v>
      </c>
      <c r="E591" s="4" t="str">
        <f ca="1">IFERROR(__xludf.DUMMYFUNCTION("""COMPUTED_VALUE"""),"Jajan")</f>
        <v>Jajan</v>
      </c>
      <c r="F591" s="49">
        <f ca="1">IFERROR(__xludf.DUMMYFUNCTION("""COMPUTED_VALUE"""),10000)</f>
        <v>10000</v>
      </c>
      <c r="G591" s="50" t="str">
        <f ca="1">IFERROR(__xludf.DUMMYFUNCTION("""COMPUTED_VALUE"""),"Zela")</f>
        <v>Zela</v>
      </c>
      <c r="H591" s="51">
        <f t="shared" ca="1" si="0"/>
        <v>46082</v>
      </c>
      <c r="I591" s="52" t="e">
        <f ca="1">SUMIFS(OUT!$F$2:$F$11000,OUT!$H$2:$H$11000,H591,OUT!$D$2:$D$101007,"In")</f>
        <v>#VALUE!</v>
      </c>
      <c r="J591" s="52">
        <f ca="1">SUMIFS(OUT!$F$2:$F$11000,OUT!$H$2:$H$11000,H591,OUT!$D$2:$D$11000,"Out")</f>
        <v>12026623</v>
      </c>
      <c r="K591" s="52">
        <f ca="1">SUMIFS(OUT!$F$2:$F$11000,OUT!$H$2:$H$11000,H591,OUT!$D$2:$D$11000,"Out",OUT!$E$2:$E$11000,"Fix")</f>
        <v>2865413</v>
      </c>
      <c r="L591" s="52">
        <f ca="1">SUMIFS(OUT!$F$2:$F$11000,OUT!$H$2:$H$11000,H591,OUT!$D$2:$D$11000,"Out",OUT!$E$2:$E$11000,"Bathroom")</f>
        <v>120488</v>
      </c>
      <c r="M591" s="52">
        <f ca="1">SUMIFS(OUT!$F$2:$F$11000,OUT!$H$2:$H$11000,H591,OUT!$D$2:$D$11000,"Out",OUT!$E$2:$E$11000,"Alfa")</f>
        <v>890962</v>
      </c>
      <c r="N591" s="52" t="e">
        <f ca="1">SUMIFS(OUT!$F$2:$F$11000,OUT!$H$2:$H$101007,H591,OUT!$D$2:$D$11000,"Out",OUT!$E$2:$E$11000,"Jajan")</f>
        <v>#VALUE!</v>
      </c>
      <c r="O591" s="52">
        <f ca="1">SUMIFS(OUT!$F$2:$F$11000,OUT!$H$2:$H$11000,H591,OUT!$D$2:$D$11000,"Out",OUT!$E$2:$E$11000,"Kitchen")</f>
        <v>1152600</v>
      </c>
      <c r="P591" s="52">
        <f ca="1">SUMIFS(OUT!$F$2:$F$11000,OUT!$H$2:$H$11000,H591,OUT!$D$2:$D$11000,"Out",OUT!$E$2:$E$11000,"Loandry")</f>
        <v>41000</v>
      </c>
      <c r="Q591" s="52">
        <f ca="1">SUMIFS(OUT!$F$2:$F$11000,OUT!$H$2:$H$11000,H591,OUT!$D$2:$D$11000,"Out",OUT!$E$2:$E$11000,"Mio")</f>
        <v>895700</v>
      </c>
      <c r="R591" s="52">
        <f ca="1">SUMIFS(OUT!$F$2:$F$11000,OUT!$H$2:$H$11000,H591,OUT!$D$2:$D$11000,"Out",OUT!$E$2:$E$11000,"Sedekah")</f>
        <v>130000</v>
      </c>
      <c r="S591" s="52">
        <f ca="1">SUMIFS(OUT!$F$2:$F$11000,OUT!$H$2:$H$11000,H591,OUT!$D$2:$D$11000,"Out",OUT!$E$2:$E$11000,"Zela")</f>
        <v>215161</v>
      </c>
      <c r="T591" s="52">
        <f ca="1">SUMIFS(OUT!$F$2:$F$11000,OUT!$H$2:$H$11000,H591,OUT!$D$2:$D$11000,"Out",OUT!$E$2:$E$11000,"Iqbal")</f>
        <v>215000</v>
      </c>
    </row>
    <row r="592" spans="1:20" x14ac:dyDescent="0.2">
      <c r="A592" s="48">
        <f ca="1">IFERROR(__xludf.DUMMYFUNCTION("""COMPUTED_VALUE"""),46097)</f>
        <v>46097</v>
      </c>
      <c r="B592" s="4" t="str">
        <f ca="1">IFERROR(__xludf.DUMMYFUNCTION("""COMPUTED_VALUE"""),"Topup dana")</f>
        <v>Topup dana</v>
      </c>
      <c r="C592" s="4" t="str">
        <f ca="1">IFERROR(__xludf.DUMMYFUNCTION("""COMPUTED_VALUE"""),"ATM")</f>
        <v>ATM</v>
      </c>
      <c r="D592" s="4" t="str">
        <f ca="1">IFERROR(__xludf.DUMMYFUNCTION("""COMPUTED_VALUE"""),"Out")</f>
        <v>Out</v>
      </c>
      <c r="E592" s="4" t="str">
        <f ca="1">IFERROR(__xludf.DUMMYFUNCTION("""COMPUTED_VALUE"""),"Fix")</f>
        <v>Fix</v>
      </c>
      <c r="F592" s="49">
        <f ca="1">IFERROR(__xludf.DUMMYFUNCTION("""COMPUTED_VALUE"""),30000)</f>
        <v>30000</v>
      </c>
      <c r="G592" s="50" t="str">
        <f ca="1">IFERROR(__xludf.DUMMYFUNCTION("""COMPUTED_VALUE"""),"Zela")</f>
        <v>Zela</v>
      </c>
      <c r="H592" s="51">
        <f t="shared" ca="1" si="0"/>
        <v>46082</v>
      </c>
      <c r="I592" s="52" t="e">
        <f ca="1">SUMIFS(OUT!$F$2:$F$11000,OUT!$H$2:$H$11000,H592,OUT!$D$2:$D$101007,"In")</f>
        <v>#VALUE!</v>
      </c>
      <c r="J592" s="52">
        <f ca="1">SUMIFS(OUT!$F$2:$F$11000,OUT!$H$2:$H$11000,H592,OUT!$D$2:$D$11000,"Out")</f>
        <v>12026623</v>
      </c>
      <c r="K592" s="52">
        <f ca="1">SUMIFS(OUT!$F$2:$F$11000,OUT!$H$2:$H$11000,H592,OUT!$D$2:$D$11000,"Out",OUT!$E$2:$E$11000,"Fix")</f>
        <v>2865413</v>
      </c>
      <c r="L592" s="52">
        <f ca="1">SUMIFS(OUT!$F$2:$F$11000,OUT!$H$2:$H$11000,H592,OUT!$D$2:$D$11000,"Out",OUT!$E$2:$E$11000,"Bathroom")</f>
        <v>120488</v>
      </c>
      <c r="M592" s="52">
        <f ca="1">SUMIFS(OUT!$F$2:$F$11000,OUT!$H$2:$H$11000,H592,OUT!$D$2:$D$11000,"Out",OUT!$E$2:$E$11000,"Alfa")</f>
        <v>890962</v>
      </c>
      <c r="N592" s="52" t="e">
        <f ca="1">SUMIFS(OUT!$F$2:$F$11000,OUT!$H$2:$H$101007,H592,OUT!$D$2:$D$11000,"Out",OUT!$E$2:$E$11000,"Jajan")</f>
        <v>#VALUE!</v>
      </c>
      <c r="O592" s="52">
        <f ca="1">SUMIFS(OUT!$F$2:$F$11000,OUT!$H$2:$H$11000,H592,OUT!$D$2:$D$11000,"Out",OUT!$E$2:$E$11000,"Kitchen")</f>
        <v>1152600</v>
      </c>
      <c r="P592" s="52">
        <f ca="1">SUMIFS(OUT!$F$2:$F$11000,OUT!$H$2:$H$11000,H592,OUT!$D$2:$D$11000,"Out",OUT!$E$2:$E$11000,"Loandry")</f>
        <v>41000</v>
      </c>
      <c r="Q592" s="52">
        <f ca="1">SUMIFS(OUT!$F$2:$F$11000,OUT!$H$2:$H$11000,H592,OUT!$D$2:$D$11000,"Out",OUT!$E$2:$E$11000,"Mio")</f>
        <v>895700</v>
      </c>
      <c r="R592" s="52">
        <f ca="1">SUMIFS(OUT!$F$2:$F$11000,OUT!$H$2:$H$11000,H592,OUT!$D$2:$D$11000,"Out",OUT!$E$2:$E$11000,"Sedekah")</f>
        <v>130000</v>
      </c>
      <c r="S592" s="52">
        <f ca="1">SUMIFS(OUT!$F$2:$F$11000,OUT!$H$2:$H$11000,H592,OUT!$D$2:$D$11000,"Out",OUT!$E$2:$E$11000,"Zela")</f>
        <v>215161</v>
      </c>
      <c r="T592" s="52">
        <f ca="1">SUMIFS(OUT!$F$2:$F$11000,OUT!$H$2:$H$11000,H592,OUT!$D$2:$D$11000,"Out",OUT!$E$2:$E$11000,"Iqbal")</f>
        <v>215000</v>
      </c>
    </row>
    <row r="593" spans="1:20" x14ac:dyDescent="0.2">
      <c r="A593" s="48">
        <f ca="1">IFERROR(__xludf.DUMMYFUNCTION("""COMPUTED_VALUE"""),46097)</f>
        <v>46097</v>
      </c>
      <c r="B593" s="4" t="str">
        <f ca="1">IFERROR(__xludf.DUMMYFUNCTION("""COMPUTED_VALUE"""),"Bensin Motor")</f>
        <v>Bensin Motor</v>
      </c>
      <c r="C593" s="4" t="str">
        <f ca="1">IFERROR(__xludf.DUMMYFUNCTION("""COMPUTED_VALUE"""),"Cash")</f>
        <v>Cash</v>
      </c>
      <c r="D593" s="4" t="str">
        <f ca="1">IFERROR(__xludf.DUMMYFUNCTION("""COMPUTED_VALUE"""),"Out")</f>
        <v>Out</v>
      </c>
      <c r="E593" s="4" t="str">
        <f ca="1">IFERROR(__xludf.DUMMYFUNCTION("""COMPUTED_VALUE"""),"Mio")</f>
        <v>Mio</v>
      </c>
      <c r="F593" s="49">
        <f ca="1">IFERROR(__xludf.DUMMYFUNCTION("""COMPUTED_VALUE"""),25000)</f>
        <v>25000</v>
      </c>
      <c r="G593" s="50" t="str">
        <f ca="1">IFERROR(__xludf.DUMMYFUNCTION("""COMPUTED_VALUE"""),"Zela")</f>
        <v>Zela</v>
      </c>
      <c r="H593" s="51">
        <f t="shared" ca="1" si="0"/>
        <v>46082</v>
      </c>
      <c r="I593" s="52" t="e">
        <f ca="1">SUMIFS(OUT!$F$2:$F$11000,OUT!$H$2:$H$11000,H593,OUT!$D$2:$D$101007,"In")</f>
        <v>#VALUE!</v>
      </c>
      <c r="J593" s="52">
        <f ca="1">SUMIFS(OUT!$F$2:$F$11000,OUT!$H$2:$H$11000,H593,OUT!$D$2:$D$11000,"Out")</f>
        <v>12026623</v>
      </c>
      <c r="K593" s="52">
        <f ca="1">SUMIFS(OUT!$F$2:$F$11000,OUT!$H$2:$H$11000,H593,OUT!$D$2:$D$11000,"Out",OUT!$E$2:$E$11000,"Fix")</f>
        <v>2865413</v>
      </c>
      <c r="L593" s="52">
        <f ca="1">SUMIFS(OUT!$F$2:$F$11000,OUT!$H$2:$H$11000,H593,OUT!$D$2:$D$11000,"Out",OUT!$E$2:$E$11000,"Bathroom")</f>
        <v>120488</v>
      </c>
      <c r="M593" s="52">
        <f ca="1">SUMIFS(OUT!$F$2:$F$11000,OUT!$H$2:$H$11000,H593,OUT!$D$2:$D$11000,"Out",OUT!$E$2:$E$11000,"Alfa")</f>
        <v>890962</v>
      </c>
      <c r="N593" s="52" t="e">
        <f ca="1">SUMIFS(OUT!$F$2:$F$11000,OUT!$H$2:$H$101007,H593,OUT!$D$2:$D$11000,"Out",OUT!$E$2:$E$11000,"Jajan")</f>
        <v>#VALUE!</v>
      </c>
      <c r="O593" s="52">
        <f ca="1">SUMIFS(OUT!$F$2:$F$11000,OUT!$H$2:$H$11000,H593,OUT!$D$2:$D$11000,"Out",OUT!$E$2:$E$11000,"Kitchen")</f>
        <v>1152600</v>
      </c>
      <c r="P593" s="52">
        <f ca="1">SUMIFS(OUT!$F$2:$F$11000,OUT!$H$2:$H$11000,H593,OUT!$D$2:$D$11000,"Out",OUT!$E$2:$E$11000,"Loandry")</f>
        <v>41000</v>
      </c>
      <c r="Q593" s="52">
        <f ca="1">SUMIFS(OUT!$F$2:$F$11000,OUT!$H$2:$H$11000,H593,OUT!$D$2:$D$11000,"Out",OUT!$E$2:$E$11000,"Mio")</f>
        <v>895700</v>
      </c>
      <c r="R593" s="52">
        <f ca="1">SUMIFS(OUT!$F$2:$F$11000,OUT!$H$2:$H$11000,H593,OUT!$D$2:$D$11000,"Out",OUT!$E$2:$E$11000,"Sedekah")</f>
        <v>130000</v>
      </c>
      <c r="S593" s="52">
        <f ca="1">SUMIFS(OUT!$F$2:$F$11000,OUT!$H$2:$H$11000,H593,OUT!$D$2:$D$11000,"Out",OUT!$E$2:$E$11000,"Zela")</f>
        <v>215161</v>
      </c>
      <c r="T593" s="52">
        <f ca="1">SUMIFS(OUT!$F$2:$F$11000,OUT!$H$2:$H$11000,H593,OUT!$D$2:$D$11000,"Out",OUT!$E$2:$E$11000,"Iqbal")</f>
        <v>215000</v>
      </c>
    </row>
    <row r="594" spans="1:20" x14ac:dyDescent="0.2">
      <c r="A594" s="48">
        <f ca="1">IFERROR(__xludf.DUMMYFUNCTION("""COMPUTED_VALUE"""),46097)</f>
        <v>46097</v>
      </c>
      <c r="B594" s="4" t="str">
        <f ca="1">IFERROR(__xludf.DUMMYFUNCTION("""COMPUTED_VALUE"""),"Tarik tunai")</f>
        <v>Tarik tunai</v>
      </c>
      <c r="C594" s="4" t="str">
        <f ca="1">IFERROR(__xludf.DUMMYFUNCTION("""COMPUTED_VALUE"""),"ATM")</f>
        <v>ATM</v>
      </c>
      <c r="D594" s="4" t="str">
        <f ca="1">IFERROR(__xludf.DUMMYFUNCTION("""COMPUTED_VALUE"""),"Out")</f>
        <v>Out</v>
      </c>
      <c r="E594" s="4" t="str">
        <f ca="1">IFERROR(__xludf.DUMMYFUNCTION("""COMPUTED_VALUE"""),"Move")</f>
        <v>Move</v>
      </c>
      <c r="F594" s="49">
        <f ca="1">IFERROR(__xludf.DUMMYFUNCTION("""COMPUTED_VALUE"""),100000)</f>
        <v>100000</v>
      </c>
      <c r="G594" s="50" t="str">
        <f ca="1">IFERROR(__xludf.DUMMYFUNCTION("""COMPUTED_VALUE"""),"Zela")</f>
        <v>Zela</v>
      </c>
      <c r="H594" s="51">
        <f t="shared" ca="1" si="0"/>
        <v>46082</v>
      </c>
      <c r="I594" s="52" t="e">
        <f ca="1">SUMIFS(OUT!$F$2:$F$11000,OUT!$H$2:$H$11000,H594,OUT!$D$2:$D$101007,"In")</f>
        <v>#VALUE!</v>
      </c>
      <c r="J594" s="52">
        <f ca="1">SUMIFS(OUT!$F$2:$F$11000,OUT!$H$2:$H$11000,H594,OUT!$D$2:$D$11000,"Out")</f>
        <v>12026623</v>
      </c>
      <c r="K594" s="52">
        <f ca="1">SUMIFS(OUT!$F$2:$F$11000,OUT!$H$2:$H$11000,H594,OUT!$D$2:$D$11000,"Out",OUT!$E$2:$E$11000,"Fix")</f>
        <v>2865413</v>
      </c>
      <c r="L594" s="52">
        <f ca="1">SUMIFS(OUT!$F$2:$F$11000,OUT!$H$2:$H$11000,H594,OUT!$D$2:$D$11000,"Out",OUT!$E$2:$E$11000,"Bathroom")</f>
        <v>120488</v>
      </c>
      <c r="M594" s="52">
        <f ca="1">SUMIFS(OUT!$F$2:$F$11000,OUT!$H$2:$H$11000,H594,OUT!$D$2:$D$11000,"Out",OUT!$E$2:$E$11000,"Alfa")</f>
        <v>890962</v>
      </c>
      <c r="N594" s="52" t="e">
        <f ca="1">SUMIFS(OUT!$F$2:$F$11000,OUT!$H$2:$H$101007,H594,OUT!$D$2:$D$11000,"Out",OUT!$E$2:$E$11000,"Jajan")</f>
        <v>#VALUE!</v>
      </c>
      <c r="O594" s="52">
        <f ca="1">SUMIFS(OUT!$F$2:$F$11000,OUT!$H$2:$H$11000,H594,OUT!$D$2:$D$11000,"Out",OUT!$E$2:$E$11000,"Kitchen")</f>
        <v>1152600</v>
      </c>
      <c r="P594" s="52">
        <f ca="1">SUMIFS(OUT!$F$2:$F$11000,OUT!$H$2:$H$11000,H594,OUT!$D$2:$D$11000,"Out",OUT!$E$2:$E$11000,"Loandry")</f>
        <v>41000</v>
      </c>
      <c r="Q594" s="52">
        <f ca="1">SUMIFS(OUT!$F$2:$F$11000,OUT!$H$2:$H$11000,H594,OUT!$D$2:$D$11000,"Out",OUT!$E$2:$E$11000,"Mio")</f>
        <v>895700</v>
      </c>
      <c r="R594" s="52">
        <f ca="1">SUMIFS(OUT!$F$2:$F$11000,OUT!$H$2:$H$11000,H594,OUT!$D$2:$D$11000,"Out",OUT!$E$2:$E$11000,"Sedekah")</f>
        <v>130000</v>
      </c>
      <c r="S594" s="52">
        <f ca="1">SUMIFS(OUT!$F$2:$F$11000,OUT!$H$2:$H$11000,H594,OUT!$D$2:$D$11000,"Out",OUT!$E$2:$E$11000,"Zela")</f>
        <v>215161</v>
      </c>
      <c r="T594" s="52">
        <f ca="1">SUMIFS(OUT!$F$2:$F$11000,OUT!$H$2:$H$11000,H594,OUT!$D$2:$D$11000,"Out",OUT!$E$2:$E$11000,"Iqbal")</f>
        <v>215000</v>
      </c>
    </row>
    <row r="595" spans="1:20" x14ac:dyDescent="0.2">
      <c r="A595" s="48">
        <f ca="1">IFERROR(__xludf.DUMMYFUNCTION("""COMPUTED_VALUE"""),46097)</f>
        <v>46097</v>
      </c>
      <c r="B595" s="4" t="str">
        <f ca="1">IFERROR(__xludf.DUMMYFUNCTION("""COMPUTED_VALUE"""),"Terima tunai")</f>
        <v>Terima tunai</v>
      </c>
      <c r="C595" s="4" t="str">
        <f ca="1">IFERROR(__xludf.DUMMYFUNCTION("""COMPUTED_VALUE"""),"Cash")</f>
        <v>Cash</v>
      </c>
      <c r="D595" s="4" t="str">
        <f ca="1">IFERROR(__xludf.DUMMYFUNCTION("""COMPUTED_VALUE"""),"In")</f>
        <v>In</v>
      </c>
      <c r="E595" s="4" t="str">
        <f ca="1">IFERROR(__xludf.DUMMYFUNCTION("""COMPUTED_VALUE"""),"Move")</f>
        <v>Move</v>
      </c>
      <c r="F595" s="49">
        <f ca="1">IFERROR(__xludf.DUMMYFUNCTION("""COMPUTED_VALUE"""),100000)</f>
        <v>100000</v>
      </c>
      <c r="G595" s="50" t="str">
        <f ca="1">IFERROR(__xludf.DUMMYFUNCTION("""COMPUTED_VALUE"""),"Zela")</f>
        <v>Zela</v>
      </c>
      <c r="H595" s="51">
        <f t="shared" ca="1" si="0"/>
        <v>46082</v>
      </c>
      <c r="I595" s="52" t="e">
        <f ca="1">SUMIFS(OUT!$F$2:$F$11000,OUT!$H$2:$H$11000,H595,OUT!$D$2:$D$101007,"In")</f>
        <v>#VALUE!</v>
      </c>
      <c r="J595" s="52">
        <f ca="1">SUMIFS(OUT!$F$2:$F$11000,OUT!$H$2:$H$11000,H595,OUT!$D$2:$D$11000,"Out")</f>
        <v>12026623</v>
      </c>
      <c r="K595" s="52">
        <f ca="1">SUMIFS(OUT!$F$2:$F$11000,OUT!$H$2:$H$11000,H595,OUT!$D$2:$D$11000,"Out",OUT!$E$2:$E$11000,"Fix")</f>
        <v>2865413</v>
      </c>
      <c r="L595" s="52">
        <f ca="1">SUMIFS(OUT!$F$2:$F$11000,OUT!$H$2:$H$11000,H595,OUT!$D$2:$D$11000,"Out",OUT!$E$2:$E$11000,"Bathroom")</f>
        <v>120488</v>
      </c>
      <c r="M595" s="52">
        <f ca="1">SUMIFS(OUT!$F$2:$F$11000,OUT!$H$2:$H$11000,H595,OUT!$D$2:$D$11000,"Out",OUT!$E$2:$E$11000,"Alfa")</f>
        <v>890962</v>
      </c>
      <c r="N595" s="52" t="e">
        <f ca="1">SUMIFS(OUT!$F$2:$F$11000,OUT!$H$2:$H$101007,H595,OUT!$D$2:$D$11000,"Out",OUT!$E$2:$E$11000,"Jajan")</f>
        <v>#VALUE!</v>
      </c>
      <c r="O595" s="52">
        <f ca="1">SUMIFS(OUT!$F$2:$F$11000,OUT!$H$2:$H$11000,H595,OUT!$D$2:$D$11000,"Out",OUT!$E$2:$E$11000,"Kitchen")</f>
        <v>1152600</v>
      </c>
      <c r="P595" s="52">
        <f ca="1">SUMIFS(OUT!$F$2:$F$11000,OUT!$H$2:$H$11000,H595,OUT!$D$2:$D$11000,"Out",OUT!$E$2:$E$11000,"Loandry")</f>
        <v>41000</v>
      </c>
      <c r="Q595" s="52">
        <f ca="1">SUMIFS(OUT!$F$2:$F$11000,OUT!$H$2:$H$11000,H595,OUT!$D$2:$D$11000,"Out",OUT!$E$2:$E$11000,"Mio")</f>
        <v>895700</v>
      </c>
      <c r="R595" s="52">
        <f ca="1">SUMIFS(OUT!$F$2:$F$11000,OUT!$H$2:$H$11000,H595,OUT!$D$2:$D$11000,"Out",OUT!$E$2:$E$11000,"Sedekah")</f>
        <v>130000</v>
      </c>
      <c r="S595" s="52">
        <f ca="1">SUMIFS(OUT!$F$2:$F$11000,OUT!$H$2:$H$11000,H595,OUT!$D$2:$D$11000,"Out",OUT!$E$2:$E$11000,"Zela")</f>
        <v>215161</v>
      </c>
      <c r="T595" s="52">
        <f ca="1">SUMIFS(OUT!$F$2:$F$11000,OUT!$H$2:$H$11000,H595,OUT!$D$2:$D$11000,"Out",OUT!$E$2:$E$11000,"Iqbal")</f>
        <v>215000</v>
      </c>
    </row>
    <row r="596" spans="1:20" x14ac:dyDescent="0.2">
      <c r="A596" s="48">
        <f ca="1">IFERROR(__xludf.DUMMYFUNCTION("""COMPUTED_VALUE"""),46097)</f>
        <v>46097</v>
      </c>
      <c r="B596" s="4" t="str">
        <f ca="1">IFERROR(__xludf.DUMMYFUNCTION("""COMPUTED_VALUE"""),"Pasar Kaget + Parkir")</f>
        <v>Pasar Kaget + Parkir</v>
      </c>
      <c r="C596" s="4" t="str">
        <f ca="1">IFERROR(__xludf.DUMMYFUNCTION("""COMPUTED_VALUE"""),"Cash")</f>
        <v>Cash</v>
      </c>
      <c r="D596" s="4" t="str">
        <f ca="1">IFERROR(__xludf.DUMMYFUNCTION("""COMPUTED_VALUE"""),"Out")</f>
        <v>Out</v>
      </c>
      <c r="E596" s="4" t="str">
        <f ca="1">IFERROR(__xludf.DUMMYFUNCTION("""COMPUTED_VALUE"""),"Kitchen")</f>
        <v>Kitchen</v>
      </c>
      <c r="F596" s="49">
        <f ca="1">IFERROR(__xludf.DUMMYFUNCTION("""COMPUTED_VALUE"""),163800)</f>
        <v>163800</v>
      </c>
      <c r="G596" s="50" t="str">
        <f ca="1">IFERROR(__xludf.DUMMYFUNCTION("""COMPUTED_VALUE"""),"Zela")</f>
        <v>Zela</v>
      </c>
      <c r="H596" s="51">
        <f t="shared" ca="1" si="0"/>
        <v>46082</v>
      </c>
      <c r="I596" s="52" t="e">
        <f ca="1">SUMIFS(OUT!$F$2:$F$11000,OUT!$H$2:$H$11000,H596,OUT!$D$2:$D$101007,"In")</f>
        <v>#VALUE!</v>
      </c>
      <c r="J596" s="52">
        <f ca="1">SUMIFS(OUT!$F$2:$F$11000,OUT!$H$2:$H$11000,H596,OUT!$D$2:$D$11000,"Out")</f>
        <v>12026623</v>
      </c>
      <c r="K596" s="52">
        <f ca="1">SUMIFS(OUT!$F$2:$F$11000,OUT!$H$2:$H$11000,H596,OUT!$D$2:$D$11000,"Out",OUT!$E$2:$E$11000,"Fix")</f>
        <v>2865413</v>
      </c>
      <c r="L596" s="52">
        <f ca="1">SUMIFS(OUT!$F$2:$F$11000,OUT!$H$2:$H$11000,H596,OUT!$D$2:$D$11000,"Out",OUT!$E$2:$E$11000,"Bathroom")</f>
        <v>120488</v>
      </c>
      <c r="M596" s="52">
        <f ca="1">SUMIFS(OUT!$F$2:$F$11000,OUT!$H$2:$H$11000,H596,OUT!$D$2:$D$11000,"Out",OUT!$E$2:$E$11000,"Alfa")</f>
        <v>890962</v>
      </c>
      <c r="N596" s="52" t="e">
        <f ca="1">SUMIFS(OUT!$F$2:$F$11000,OUT!$H$2:$H$101007,H596,OUT!$D$2:$D$11000,"Out",OUT!$E$2:$E$11000,"Jajan")</f>
        <v>#VALUE!</v>
      </c>
      <c r="O596" s="52">
        <f ca="1">SUMIFS(OUT!$F$2:$F$11000,OUT!$H$2:$H$11000,H596,OUT!$D$2:$D$11000,"Out",OUT!$E$2:$E$11000,"Kitchen")</f>
        <v>1152600</v>
      </c>
      <c r="P596" s="52">
        <f ca="1">SUMIFS(OUT!$F$2:$F$11000,OUT!$H$2:$H$11000,H596,OUT!$D$2:$D$11000,"Out",OUT!$E$2:$E$11000,"Loandry")</f>
        <v>41000</v>
      </c>
      <c r="Q596" s="52">
        <f ca="1">SUMIFS(OUT!$F$2:$F$11000,OUT!$H$2:$H$11000,H596,OUT!$D$2:$D$11000,"Out",OUT!$E$2:$E$11000,"Mio")</f>
        <v>895700</v>
      </c>
      <c r="R596" s="52">
        <f ca="1">SUMIFS(OUT!$F$2:$F$11000,OUT!$H$2:$H$11000,H596,OUT!$D$2:$D$11000,"Out",OUT!$E$2:$E$11000,"Sedekah")</f>
        <v>130000</v>
      </c>
      <c r="S596" s="52">
        <f ca="1">SUMIFS(OUT!$F$2:$F$11000,OUT!$H$2:$H$11000,H596,OUT!$D$2:$D$11000,"Out",OUT!$E$2:$E$11000,"Zela")</f>
        <v>215161</v>
      </c>
      <c r="T596" s="52">
        <f ca="1">SUMIFS(OUT!$F$2:$F$11000,OUT!$H$2:$H$11000,H596,OUT!$D$2:$D$11000,"Out",OUT!$E$2:$E$11000,"Iqbal")</f>
        <v>215000</v>
      </c>
    </row>
    <row r="597" spans="1:20" x14ac:dyDescent="0.2">
      <c r="A597" s="48">
        <f ca="1">IFERROR(__xludf.DUMMYFUNCTION("""COMPUTED_VALUE"""),46097)</f>
        <v>46097</v>
      </c>
      <c r="B597" s="4" t="str">
        <f ca="1">IFERROR(__xludf.DUMMYFUNCTION("""COMPUTED_VALUE"""),"Galon")</f>
        <v>Galon</v>
      </c>
      <c r="C597" s="4" t="str">
        <f ca="1">IFERROR(__xludf.DUMMYFUNCTION("""COMPUTED_VALUE"""),"Cash")</f>
        <v>Cash</v>
      </c>
      <c r="D597" s="4" t="str">
        <f ca="1">IFERROR(__xludf.DUMMYFUNCTION("""COMPUTED_VALUE"""),"Out")</f>
        <v>Out</v>
      </c>
      <c r="E597" s="4" t="str">
        <f ca="1">IFERROR(__xludf.DUMMYFUNCTION("""COMPUTED_VALUE"""),"Kitchen")</f>
        <v>Kitchen</v>
      </c>
      <c r="F597" s="49">
        <f ca="1">IFERROR(__xludf.DUMMYFUNCTION("""COMPUTED_VALUE"""),3000)</f>
        <v>3000</v>
      </c>
      <c r="G597" s="50" t="str">
        <f ca="1">IFERROR(__xludf.DUMMYFUNCTION("""COMPUTED_VALUE"""),"Zela")</f>
        <v>Zela</v>
      </c>
      <c r="H597" s="51">
        <f t="shared" ca="1" si="0"/>
        <v>46082</v>
      </c>
      <c r="I597" s="52" t="e">
        <f ca="1">SUMIFS(OUT!$F$2:$F$11000,OUT!$H$2:$H$11000,H597,OUT!$D$2:$D$101007,"In")</f>
        <v>#VALUE!</v>
      </c>
      <c r="J597" s="52">
        <f ca="1">SUMIFS(OUT!$F$2:$F$11000,OUT!$H$2:$H$11000,H597,OUT!$D$2:$D$11000,"Out")</f>
        <v>12026623</v>
      </c>
      <c r="K597" s="52">
        <f ca="1">SUMIFS(OUT!$F$2:$F$11000,OUT!$H$2:$H$11000,H597,OUT!$D$2:$D$11000,"Out",OUT!$E$2:$E$11000,"Fix")</f>
        <v>2865413</v>
      </c>
      <c r="L597" s="52">
        <f ca="1">SUMIFS(OUT!$F$2:$F$11000,OUT!$H$2:$H$11000,H597,OUT!$D$2:$D$11000,"Out",OUT!$E$2:$E$11000,"Bathroom")</f>
        <v>120488</v>
      </c>
      <c r="M597" s="52">
        <f ca="1">SUMIFS(OUT!$F$2:$F$11000,OUT!$H$2:$H$11000,H597,OUT!$D$2:$D$11000,"Out",OUT!$E$2:$E$11000,"Alfa")</f>
        <v>890962</v>
      </c>
      <c r="N597" s="52" t="e">
        <f ca="1">SUMIFS(OUT!$F$2:$F$11000,OUT!$H$2:$H$101007,H597,OUT!$D$2:$D$11000,"Out",OUT!$E$2:$E$11000,"Jajan")</f>
        <v>#VALUE!</v>
      </c>
      <c r="O597" s="52">
        <f ca="1">SUMIFS(OUT!$F$2:$F$11000,OUT!$H$2:$H$11000,H597,OUT!$D$2:$D$11000,"Out",OUT!$E$2:$E$11000,"Kitchen")</f>
        <v>1152600</v>
      </c>
      <c r="P597" s="52">
        <f ca="1">SUMIFS(OUT!$F$2:$F$11000,OUT!$H$2:$H$11000,H597,OUT!$D$2:$D$11000,"Out",OUT!$E$2:$E$11000,"Loandry")</f>
        <v>41000</v>
      </c>
      <c r="Q597" s="52">
        <f ca="1">SUMIFS(OUT!$F$2:$F$11000,OUT!$H$2:$H$11000,H597,OUT!$D$2:$D$11000,"Out",OUT!$E$2:$E$11000,"Mio")</f>
        <v>895700</v>
      </c>
      <c r="R597" s="52">
        <f ca="1">SUMIFS(OUT!$F$2:$F$11000,OUT!$H$2:$H$11000,H597,OUT!$D$2:$D$11000,"Out",OUT!$E$2:$E$11000,"Sedekah")</f>
        <v>130000</v>
      </c>
      <c r="S597" s="52">
        <f ca="1">SUMIFS(OUT!$F$2:$F$11000,OUT!$H$2:$H$11000,H597,OUT!$D$2:$D$11000,"Out",OUT!$E$2:$E$11000,"Zela")</f>
        <v>215161</v>
      </c>
      <c r="T597" s="52">
        <f ca="1">SUMIFS(OUT!$F$2:$F$11000,OUT!$H$2:$H$11000,H597,OUT!$D$2:$D$11000,"Out",OUT!$E$2:$E$11000,"Iqbal")</f>
        <v>215000</v>
      </c>
    </row>
    <row r="598" spans="1:20" x14ac:dyDescent="0.2">
      <c r="A598" s="48">
        <f ca="1">IFERROR(__xludf.DUMMYFUNCTION("""COMPUTED_VALUE"""),46097)</f>
        <v>46097</v>
      </c>
      <c r="B598" s="4" t="str">
        <f ca="1">IFERROR(__xludf.DUMMYFUNCTION("""COMPUTED_VALUE"""),"THR baba")</f>
        <v>THR baba</v>
      </c>
      <c r="C598" s="4" t="str">
        <f ca="1">IFERROR(__xludf.DUMMYFUNCTION("""COMPUTED_VALUE"""),"ATM")</f>
        <v>ATM</v>
      </c>
      <c r="D598" s="4" t="str">
        <f ca="1">IFERROR(__xludf.DUMMYFUNCTION("""COMPUTED_VALUE"""),"In")</f>
        <v>In</v>
      </c>
      <c r="E598" s="4" t="str">
        <f ca="1">IFERROR(__xludf.DUMMYFUNCTION("""COMPUTED_VALUE"""),"Fix")</f>
        <v>Fix</v>
      </c>
      <c r="F598" s="49">
        <f ca="1">IFERROR(__xludf.DUMMYFUNCTION("""COMPUTED_VALUE"""),1300700)</f>
        <v>1300700</v>
      </c>
      <c r="G598" s="50" t="str">
        <f ca="1">IFERROR(__xludf.DUMMYFUNCTION("""COMPUTED_VALUE"""),"Zela")</f>
        <v>Zela</v>
      </c>
      <c r="H598" s="51">
        <f t="shared" ca="1" si="0"/>
        <v>46082</v>
      </c>
      <c r="I598" s="52" t="e">
        <f ca="1">SUMIFS(OUT!$F$2:$F$11000,OUT!$H$2:$H$11000,H598,OUT!$D$2:$D$101007,"In")</f>
        <v>#VALUE!</v>
      </c>
      <c r="J598" s="52">
        <f ca="1">SUMIFS(OUT!$F$2:$F$11000,OUT!$H$2:$H$11000,H598,OUT!$D$2:$D$11000,"Out")</f>
        <v>12026623</v>
      </c>
      <c r="K598" s="52">
        <f ca="1">SUMIFS(OUT!$F$2:$F$11000,OUT!$H$2:$H$11000,H598,OUT!$D$2:$D$11000,"Out",OUT!$E$2:$E$11000,"Fix")</f>
        <v>2865413</v>
      </c>
      <c r="L598" s="52">
        <f ca="1">SUMIFS(OUT!$F$2:$F$11000,OUT!$H$2:$H$11000,H598,OUT!$D$2:$D$11000,"Out",OUT!$E$2:$E$11000,"Bathroom")</f>
        <v>120488</v>
      </c>
      <c r="M598" s="52">
        <f ca="1">SUMIFS(OUT!$F$2:$F$11000,OUT!$H$2:$H$11000,H598,OUT!$D$2:$D$11000,"Out",OUT!$E$2:$E$11000,"Alfa")</f>
        <v>890962</v>
      </c>
      <c r="N598" s="52" t="e">
        <f ca="1">SUMIFS(OUT!$F$2:$F$11000,OUT!$H$2:$H$101007,H598,OUT!$D$2:$D$11000,"Out",OUT!$E$2:$E$11000,"Jajan")</f>
        <v>#VALUE!</v>
      </c>
      <c r="O598" s="52">
        <f ca="1">SUMIFS(OUT!$F$2:$F$11000,OUT!$H$2:$H$11000,H598,OUT!$D$2:$D$11000,"Out",OUT!$E$2:$E$11000,"Kitchen")</f>
        <v>1152600</v>
      </c>
      <c r="P598" s="52">
        <f ca="1">SUMIFS(OUT!$F$2:$F$11000,OUT!$H$2:$H$11000,H598,OUT!$D$2:$D$11000,"Out",OUT!$E$2:$E$11000,"Loandry")</f>
        <v>41000</v>
      </c>
      <c r="Q598" s="52">
        <f ca="1">SUMIFS(OUT!$F$2:$F$11000,OUT!$H$2:$H$11000,H598,OUT!$D$2:$D$11000,"Out",OUT!$E$2:$E$11000,"Mio")</f>
        <v>895700</v>
      </c>
      <c r="R598" s="52">
        <f ca="1">SUMIFS(OUT!$F$2:$F$11000,OUT!$H$2:$H$11000,H598,OUT!$D$2:$D$11000,"Out",OUT!$E$2:$E$11000,"Sedekah")</f>
        <v>130000</v>
      </c>
      <c r="S598" s="52">
        <f ca="1">SUMIFS(OUT!$F$2:$F$11000,OUT!$H$2:$H$11000,H598,OUT!$D$2:$D$11000,"Out",OUT!$E$2:$E$11000,"Zela")</f>
        <v>215161</v>
      </c>
      <c r="T598" s="52">
        <f ca="1">SUMIFS(OUT!$F$2:$F$11000,OUT!$H$2:$H$11000,H598,OUT!$D$2:$D$11000,"Out",OUT!$E$2:$E$11000,"Iqbal")</f>
        <v>215000</v>
      </c>
    </row>
    <row r="599" spans="1:20" x14ac:dyDescent="0.2">
      <c r="A599" s="48">
        <f ca="1">IFERROR(__xludf.DUMMYFUNCTION("""COMPUTED_VALUE"""),46097)</f>
        <v>46097</v>
      </c>
      <c r="B599" s="4" t="str">
        <f ca="1">IFERROR(__xludf.DUMMYFUNCTION("""COMPUTED_VALUE"""),"Admin Kartu")</f>
        <v>Admin Kartu</v>
      </c>
      <c r="C599" s="4" t="str">
        <f ca="1">IFERROR(__xludf.DUMMYFUNCTION("""COMPUTED_VALUE"""),"ATM")</f>
        <v>ATM</v>
      </c>
      <c r="D599" s="4" t="str">
        <f ca="1">IFERROR(__xludf.DUMMYFUNCTION("""COMPUTED_VALUE"""),"Out")</f>
        <v>Out</v>
      </c>
      <c r="E599" s="4" t="str">
        <f ca="1">IFERROR(__xludf.DUMMYFUNCTION("""COMPUTED_VALUE"""),"Fix")</f>
        <v>Fix</v>
      </c>
      <c r="F599" s="49">
        <f ca="1">IFERROR(__xludf.DUMMYFUNCTION("""COMPUTED_VALUE"""),6000)</f>
        <v>6000</v>
      </c>
      <c r="G599" s="50" t="str">
        <f ca="1">IFERROR(__xludf.DUMMYFUNCTION("""COMPUTED_VALUE"""),"Zela")</f>
        <v>Zela</v>
      </c>
      <c r="H599" s="51">
        <f t="shared" ca="1" si="0"/>
        <v>46082</v>
      </c>
      <c r="I599" s="52" t="e">
        <f ca="1">SUMIFS(OUT!$F$2:$F$11000,OUT!$H$2:$H$11000,H599,OUT!$D$2:$D$101007,"In")</f>
        <v>#VALUE!</v>
      </c>
      <c r="J599" s="52">
        <f ca="1">SUMIFS(OUT!$F$2:$F$11000,OUT!$H$2:$H$11000,H599,OUT!$D$2:$D$11000,"Out")</f>
        <v>12026623</v>
      </c>
      <c r="K599" s="52">
        <f ca="1">SUMIFS(OUT!$F$2:$F$11000,OUT!$H$2:$H$11000,H599,OUT!$D$2:$D$11000,"Out",OUT!$E$2:$E$11000,"Fix")</f>
        <v>2865413</v>
      </c>
      <c r="L599" s="52">
        <f ca="1">SUMIFS(OUT!$F$2:$F$11000,OUT!$H$2:$H$11000,H599,OUT!$D$2:$D$11000,"Out",OUT!$E$2:$E$11000,"Bathroom")</f>
        <v>120488</v>
      </c>
      <c r="M599" s="52">
        <f ca="1">SUMIFS(OUT!$F$2:$F$11000,OUT!$H$2:$H$11000,H599,OUT!$D$2:$D$11000,"Out",OUT!$E$2:$E$11000,"Alfa")</f>
        <v>890962</v>
      </c>
      <c r="N599" s="52" t="e">
        <f ca="1">SUMIFS(OUT!$F$2:$F$11000,OUT!$H$2:$H$101007,H599,OUT!$D$2:$D$11000,"Out",OUT!$E$2:$E$11000,"Jajan")</f>
        <v>#VALUE!</v>
      </c>
      <c r="O599" s="52">
        <f ca="1">SUMIFS(OUT!$F$2:$F$11000,OUT!$H$2:$H$11000,H599,OUT!$D$2:$D$11000,"Out",OUT!$E$2:$E$11000,"Kitchen")</f>
        <v>1152600</v>
      </c>
      <c r="P599" s="52">
        <f ca="1">SUMIFS(OUT!$F$2:$F$11000,OUT!$H$2:$H$11000,H599,OUT!$D$2:$D$11000,"Out",OUT!$E$2:$E$11000,"Loandry")</f>
        <v>41000</v>
      </c>
      <c r="Q599" s="52">
        <f ca="1">SUMIFS(OUT!$F$2:$F$11000,OUT!$H$2:$H$11000,H599,OUT!$D$2:$D$11000,"Out",OUT!$E$2:$E$11000,"Mio")</f>
        <v>895700</v>
      </c>
      <c r="R599" s="52">
        <f ca="1">SUMIFS(OUT!$F$2:$F$11000,OUT!$H$2:$H$11000,H599,OUT!$D$2:$D$11000,"Out",OUT!$E$2:$E$11000,"Sedekah")</f>
        <v>130000</v>
      </c>
      <c r="S599" s="52">
        <f ca="1">SUMIFS(OUT!$F$2:$F$11000,OUT!$H$2:$H$11000,H599,OUT!$D$2:$D$11000,"Out",OUT!$E$2:$E$11000,"Zela")</f>
        <v>215161</v>
      </c>
      <c r="T599" s="52">
        <f ca="1">SUMIFS(OUT!$F$2:$F$11000,OUT!$H$2:$H$11000,H599,OUT!$D$2:$D$11000,"Out",OUT!$E$2:$E$11000,"Iqbal")</f>
        <v>215000</v>
      </c>
    </row>
    <row r="600" spans="1:20" x14ac:dyDescent="0.2">
      <c r="A600" s="48">
        <f ca="1">IFERROR(__xludf.DUMMYFUNCTION("""COMPUTED_VALUE"""),46098)</f>
        <v>46098</v>
      </c>
      <c r="B600" s="4" t="str">
        <f ca="1">IFERROR(__xludf.DUMMYFUNCTION("""COMPUTED_VALUE"""),"Tarik Tunai")</f>
        <v>Tarik Tunai</v>
      </c>
      <c r="C600" s="4" t="str">
        <f ca="1">IFERROR(__xludf.DUMMYFUNCTION("""COMPUTED_VALUE"""),"ATM")</f>
        <v>ATM</v>
      </c>
      <c r="D600" s="4" t="str">
        <f ca="1">IFERROR(__xludf.DUMMYFUNCTION("""COMPUTED_VALUE"""),"Out")</f>
        <v>Out</v>
      </c>
      <c r="E600" s="4" t="str">
        <f ca="1">IFERROR(__xludf.DUMMYFUNCTION("""COMPUTED_VALUE"""),"Move")</f>
        <v>Move</v>
      </c>
      <c r="F600" s="49">
        <f ca="1">IFERROR(__xludf.DUMMYFUNCTION("""COMPUTED_VALUE"""),200000)</f>
        <v>200000</v>
      </c>
      <c r="G600" s="50" t="str">
        <f ca="1">IFERROR(__xludf.DUMMYFUNCTION("""COMPUTED_VALUE"""),"Zela")</f>
        <v>Zela</v>
      </c>
      <c r="H600" s="51">
        <f t="shared" ca="1" si="0"/>
        <v>46082</v>
      </c>
      <c r="I600" s="52" t="e">
        <f ca="1">SUMIFS(OUT!$F$2:$F$11000,OUT!$H$2:$H$11000,H600,OUT!$D$2:$D$101007,"In")</f>
        <v>#VALUE!</v>
      </c>
      <c r="J600" s="52">
        <f ca="1">SUMIFS(OUT!$F$2:$F$11000,OUT!$H$2:$H$11000,H600,OUT!$D$2:$D$11000,"Out")</f>
        <v>12026623</v>
      </c>
      <c r="K600" s="52">
        <f ca="1">SUMIFS(OUT!$F$2:$F$11000,OUT!$H$2:$H$11000,H600,OUT!$D$2:$D$11000,"Out",OUT!$E$2:$E$11000,"Fix")</f>
        <v>2865413</v>
      </c>
      <c r="L600" s="52">
        <f ca="1">SUMIFS(OUT!$F$2:$F$11000,OUT!$H$2:$H$11000,H600,OUT!$D$2:$D$11000,"Out",OUT!$E$2:$E$11000,"Bathroom")</f>
        <v>120488</v>
      </c>
      <c r="M600" s="52">
        <f ca="1">SUMIFS(OUT!$F$2:$F$11000,OUT!$H$2:$H$11000,H600,OUT!$D$2:$D$11000,"Out",OUT!$E$2:$E$11000,"Alfa")</f>
        <v>890962</v>
      </c>
      <c r="N600" s="52" t="e">
        <f ca="1">SUMIFS(OUT!$F$2:$F$11000,OUT!$H$2:$H$101007,H600,OUT!$D$2:$D$11000,"Out",OUT!$E$2:$E$11000,"Jajan")</f>
        <v>#VALUE!</v>
      </c>
      <c r="O600" s="52">
        <f ca="1">SUMIFS(OUT!$F$2:$F$11000,OUT!$H$2:$H$11000,H600,OUT!$D$2:$D$11000,"Out",OUT!$E$2:$E$11000,"Kitchen")</f>
        <v>1152600</v>
      </c>
      <c r="P600" s="52">
        <f ca="1">SUMIFS(OUT!$F$2:$F$11000,OUT!$H$2:$H$11000,H600,OUT!$D$2:$D$11000,"Out",OUT!$E$2:$E$11000,"Loandry")</f>
        <v>41000</v>
      </c>
      <c r="Q600" s="52">
        <f ca="1">SUMIFS(OUT!$F$2:$F$11000,OUT!$H$2:$H$11000,H600,OUT!$D$2:$D$11000,"Out",OUT!$E$2:$E$11000,"Mio")</f>
        <v>895700</v>
      </c>
      <c r="R600" s="52">
        <f ca="1">SUMIFS(OUT!$F$2:$F$11000,OUT!$H$2:$H$11000,H600,OUT!$D$2:$D$11000,"Out",OUT!$E$2:$E$11000,"Sedekah")</f>
        <v>130000</v>
      </c>
      <c r="S600" s="52">
        <f ca="1">SUMIFS(OUT!$F$2:$F$11000,OUT!$H$2:$H$11000,H600,OUT!$D$2:$D$11000,"Out",OUT!$E$2:$E$11000,"Zela")</f>
        <v>215161</v>
      </c>
      <c r="T600" s="52">
        <f ca="1">SUMIFS(OUT!$F$2:$F$11000,OUT!$H$2:$H$11000,H600,OUT!$D$2:$D$11000,"Out",OUT!$E$2:$E$11000,"Iqbal")</f>
        <v>215000</v>
      </c>
    </row>
    <row r="601" spans="1:20" x14ac:dyDescent="0.2">
      <c r="A601" s="48">
        <f ca="1">IFERROR(__xludf.DUMMYFUNCTION("""COMPUTED_VALUE"""),46098)</f>
        <v>46098</v>
      </c>
      <c r="B601" s="4" t="str">
        <f ca="1">IFERROR(__xludf.DUMMYFUNCTION("""COMPUTED_VALUE"""),"Terima Tunai")</f>
        <v>Terima Tunai</v>
      </c>
      <c r="C601" s="4" t="str">
        <f ca="1">IFERROR(__xludf.DUMMYFUNCTION("""COMPUTED_VALUE"""),"Cash")</f>
        <v>Cash</v>
      </c>
      <c r="D601" s="4" t="str">
        <f ca="1">IFERROR(__xludf.DUMMYFUNCTION("""COMPUTED_VALUE"""),"In")</f>
        <v>In</v>
      </c>
      <c r="E601" s="4" t="str">
        <f ca="1">IFERROR(__xludf.DUMMYFUNCTION("""COMPUTED_VALUE"""),"Move")</f>
        <v>Move</v>
      </c>
      <c r="F601" s="49">
        <f ca="1">IFERROR(__xludf.DUMMYFUNCTION("""COMPUTED_VALUE"""),200000)</f>
        <v>200000</v>
      </c>
      <c r="G601" s="50" t="str">
        <f ca="1">IFERROR(__xludf.DUMMYFUNCTION("""COMPUTED_VALUE"""),"Zela")</f>
        <v>Zela</v>
      </c>
      <c r="H601" s="51">
        <f t="shared" ca="1" si="0"/>
        <v>46082</v>
      </c>
      <c r="I601" s="52" t="e">
        <f ca="1">SUMIFS(OUT!$F$2:$F$11000,OUT!$H$2:$H$11000,H601,OUT!$D$2:$D$101007,"In")</f>
        <v>#VALUE!</v>
      </c>
      <c r="J601" s="52">
        <f ca="1">SUMIFS(OUT!$F$2:$F$11000,OUT!$H$2:$H$11000,H601,OUT!$D$2:$D$11000,"Out")</f>
        <v>12026623</v>
      </c>
      <c r="K601" s="52">
        <f ca="1">SUMIFS(OUT!$F$2:$F$11000,OUT!$H$2:$H$11000,H601,OUT!$D$2:$D$11000,"Out",OUT!$E$2:$E$11000,"Fix")</f>
        <v>2865413</v>
      </c>
      <c r="L601" s="52">
        <f ca="1">SUMIFS(OUT!$F$2:$F$11000,OUT!$H$2:$H$11000,H601,OUT!$D$2:$D$11000,"Out",OUT!$E$2:$E$11000,"Bathroom")</f>
        <v>120488</v>
      </c>
      <c r="M601" s="52">
        <f ca="1">SUMIFS(OUT!$F$2:$F$11000,OUT!$H$2:$H$11000,H601,OUT!$D$2:$D$11000,"Out",OUT!$E$2:$E$11000,"Alfa")</f>
        <v>890962</v>
      </c>
      <c r="N601" s="52" t="e">
        <f ca="1">SUMIFS(OUT!$F$2:$F$11000,OUT!$H$2:$H$101007,H601,OUT!$D$2:$D$11000,"Out",OUT!$E$2:$E$11000,"Jajan")</f>
        <v>#VALUE!</v>
      </c>
      <c r="O601" s="52">
        <f ca="1">SUMIFS(OUT!$F$2:$F$11000,OUT!$H$2:$H$11000,H601,OUT!$D$2:$D$11000,"Out",OUT!$E$2:$E$11000,"Kitchen")</f>
        <v>1152600</v>
      </c>
      <c r="P601" s="52">
        <f ca="1">SUMIFS(OUT!$F$2:$F$11000,OUT!$H$2:$H$11000,H601,OUT!$D$2:$D$11000,"Out",OUT!$E$2:$E$11000,"Loandry")</f>
        <v>41000</v>
      </c>
      <c r="Q601" s="52">
        <f ca="1">SUMIFS(OUT!$F$2:$F$11000,OUT!$H$2:$H$11000,H601,OUT!$D$2:$D$11000,"Out",OUT!$E$2:$E$11000,"Mio")</f>
        <v>895700</v>
      </c>
      <c r="R601" s="52">
        <f ca="1">SUMIFS(OUT!$F$2:$F$11000,OUT!$H$2:$H$11000,H601,OUT!$D$2:$D$11000,"Out",OUT!$E$2:$E$11000,"Sedekah")</f>
        <v>130000</v>
      </c>
      <c r="S601" s="52">
        <f ca="1">SUMIFS(OUT!$F$2:$F$11000,OUT!$H$2:$H$11000,H601,OUT!$D$2:$D$11000,"Out",OUT!$E$2:$E$11000,"Zela")</f>
        <v>215161</v>
      </c>
      <c r="T601" s="52">
        <f ca="1">SUMIFS(OUT!$F$2:$F$11000,OUT!$H$2:$H$11000,H601,OUT!$D$2:$D$11000,"Out",OUT!$E$2:$E$11000,"Iqbal")</f>
        <v>215000</v>
      </c>
    </row>
    <row r="602" spans="1:20" x14ac:dyDescent="0.2">
      <c r="A602" s="48">
        <f ca="1">IFERROR(__xludf.DUMMYFUNCTION("""COMPUTED_VALUE"""),46098)</f>
        <v>46098</v>
      </c>
      <c r="B602" s="4" t="str">
        <f ca="1">IFERROR(__xludf.DUMMYFUNCTION("""COMPUTED_VALUE"""),"Parkir Pasar selasa+ Tambahan Beli Ayam")</f>
        <v>Parkir Pasar selasa+ Tambahan Beli Ayam</v>
      </c>
      <c r="C602" s="4" t="str">
        <f ca="1">IFERROR(__xludf.DUMMYFUNCTION("""COMPUTED_VALUE"""),"Cash")</f>
        <v>Cash</v>
      </c>
      <c r="D602" s="4" t="str">
        <f ca="1">IFERROR(__xludf.DUMMYFUNCTION("""COMPUTED_VALUE"""),"Out")</f>
        <v>Out</v>
      </c>
      <c r="E602" s="4" t="str">
        <f ca="1">IFERROR(__xludf.DUMMYFUNCTION("""COMPUTED_VALUE"""),"Kitchen")</f>
        <v>Kitchen</v>
      </c>
      <c r="F602" s="49">
        <f ca="1">IFERROR(__xludf.DUMMYFUNCTION("""COMPUTED_VALUE"""),3000)</f>
        <v>3000</v>
      </c>
      <c r="G602" s="50" t="str">
        <f ca="1">IFERROR(__xludf.DUMMYFUNCTION("""COMPUTED_VALUE"""),"Zela")</f>
        <v>Zela</v>
      </c>
      <c r="H602" s="51">
        <f t="shared" ca="1" si="0"/>
        <v>46082</v>
      </c>
      <c r="I602" s="52" t="e">
        <f ca="1">SUMIFS(OUT!$F$2:$F$11000,OUT!$H$2:$H$11000,H602,OUT!$D$2:$D$101007,"In")</f>
        <v>#VALUE!</v>
      </c>
      <c r="J602" s="52">
        <f ca="1">SUMIFS(OUT!$F$2:$F$11000,OUT!$H$2:$H$11000,H602,OUT!$D$2:$D$11000,"Out")</f>
        <v>12026623</v>
      </c>
      <c r="K602" s="52">
        <f ca="1">SUMIFS(OUT!$F$2:$F$11000,OUT!$H$2:$H$11000,H602,OUT!$D$2:$D$11000,"Out",OUT!$E$2:$E$11000,"Fix")</f>
        <v>2865413</v>
      </c>
      <c r="L602" s="52">
        <f ca="1">SUMIFS(OUT!$F$2:$F$11000,OUT!$H$2:$H$11000,H602,OUT!$D$2:$D$11000,"Out",OUT!$E$2:$E$11000,"Bathroom")</f>
        <v>120488</v>
      </c>
      <c r="M602" s="52">
        <f ca="1">SUMIFS(OUT!$F$2:$F$11000,OUT!$H$2:$H$11000,H602,OUT!$D$2:$D$11000,"Out",OUT!$E$2:$E$11000,"Alfa")</f>
        <v>890962</v>
      </c>
      <c r="N602" s="52" t="e">
        <f ca="1">SUMIFS(OUT!$F$2:$F$11000,OUT!$H$2:$H$101007,H602,OUT!$D$2:$D$11000,"Out",OUT!$E$2:$E$11000,"Jajan")</f>
        <v>#VALUE!</v>
      </c>
      <c r="O602" s="52">
        <f ca="1">SUMIFS(OUT!$F$2:$F$11000,OUT!$H$2:$H$11000,H602,OUT!$D$2:$D$11000,"Out",OUT!$E$2:$E$11000,"Kitchen")</f>
        <v>1152600</v>
      </c>
      <c r="P602" s="52">
        <f ca="1">SUMIFS(OUT!$F$2:$F$11000,OUT!$H$2:$H$11000,H602,OUT!$D$2:$D$11000,"Out",OUT!$E$2:$E$11000,"Loandry")</f>
        <v>41000</v>
      </c>
      <c r="Q602" s="52">
        <f ca="1">SUMIFS(OUT!$F$2:$F$11000,OUT!$H$2:$H$11000,H602,OUT!$D$2:$D$11000,"Out",OUT!$E$2:$E$11000,"Mio")</f>
        <v>895700</v>
      </c>
      <c r="R602" s="52">
        <f ca="1">SUMIFS(OUT!$F$2:$F$11000,OUT!$H$2:$H$11000,H602,OUT!$D$2:$D$11000,"Out",OUT!$E$2:$E$11000,"Sedekah")</f>
        <v>130000</v>
      </c>
      <c r="S602" s="52">
        <f ca="1">SUMIFS(OUT!$F$2:$F$11000,OUT!$H$2:$H$11000,H602,OUT!$D$2:$D$11000,"Out",OUT!$E$2:$E$11000,"Zela")</f>
        <v>215161</v>
      </c>
      <c r="T602" s="52">
        <f ca="1">SUMIFS(OUT!$F$2:$F$11000,OUT!$H$2:$H$11000,H602,OUT!$D$2:$D$11000,"Out",OUT!$E$2:$E$11000,"Iqbal")</f>
        <v>215000</v>
      </c>
    </row>
    <row r="603" spans="1:20" x14ac:dyDescent="0.2">
      <c r="A603" s="48">
        <f ca="1">IFERROR(__xludf.DUMMYFUNCTION("""COMPUTED_VALUE"""),46098)</f>
        <v>46098</v>
      </c>
      <c r="B603" s="4" t="str">
        <f ca="1">IFERROR(__xludf.DUMMYFUNCTION("""COMPUTED_VALUE"""),"Bensin motor")</f>
        <v>Bensin motor</v>
      </c>
      <c r="C603" s="4" t="str">
        <f ca="1">IFERROR(__xludf.DUMMYFUNCTION("""COMPUTED_VALUE"""),"Cash")</f>
        <v>Cash</v>
      </c>
      <c r="D603" s="4" t="str">
        <f ca="1">IFERROR(__xludf.DUMMYFUNCTION("""COMPUTED_VALUE"""),"Out")</f>
        <v>Out</v>
      </c>
      <c r="E603" s="4" t="str">
        <f ca="1">IFERROR(__xludf.DUMMYFUNCTION("""COMPUTED_VALUE"""),"Mio")</f>
        <v>Mio</v>
      </c>
      <c r="F603" s="49">
        <f ca="1">IFERROR(__xludf.DUMMYFUNCTION("""COMPUTED_VALUE"""),12000)</f>
        <v>12000</v>
      </c>
      <c r="G603" s="50" t="str">
        <f ca="1">IFERROR(__xludf.DUMMYFUNCTION("""COMPUTED_VALUE"""),"Zela")</f>
        <v>Zela</v>
      </c>
      <c r="H603" s="51">
        <f t="shared" ca="1" si="0"/>
        <v>46082</v>
      </c>
      <c r="I603" s="52" t="e">
        <f ca="1">SUMIFS(OUT!$F$2:$F$11000,OUT!$H$2:$H$11000,H603,OUT!$D$2:$D$101007,"In")</f>
        <v>#VALUE!</v>
      </c>
      <c r="J603" s="52">
        <f ca="1">SUMIFS(OUT!$F$2:$F$11000,OUT!$H$2:$H$11000,H603,OUT!$D$2:$D$11000,"Out")</f>
        <v>12026623</v>
      </c>
      <c r="K603" s="52">
        <f ca="1">SUMIFS(OUT!$F$2:$F$11000,OUT!$H$2:$H$11000,H603,OUT!$D$2:$D$11000,"Out",OUT!$E$2:$E$11000,"Fix")</f>
        <v>2865413</v>
      </c>
      <c r="L603" s="52">
        <f ca="1">SUMIFS(OUT!$F$2:$F$11000,OUT!$H$2:$H$11000,H603,OUT!$D$2:$D$11000,"Out",OUT!$E$2:$E$11000,"Bathroom")</f>
        <v>120488</v>
      </c>
      <c r="M603" s="52">
        <f ca="1">SUMIFS(OUT!$F$2:$F$11000,OUT!$H$2:$H$11000,H603,OUT!$D$2:$D$11000,"Out",OUT!$E$2:$E$11000,"Alfa")</f>
        <v>890962</v>
      </c>
      <c r="N603" s="52" t="e">
        <f ca="1">SUMIFS(OUT!$F$2:$F$11000,OUT!$H$2:$H$101007,H603,OUT!$D$2:$D$11000,"Out",OUT!$E$2:$E$11000,"Jajan")</f>
        <v>#VALUE!</v>
      </c>
      <c r="O603" s="52">
        <f ca="1">SUMIFS(OUT!$F$2:$F$11000,OUT!$H$2:$H$11000,H603,OUT!$D$2:$D$11000,"Out",OUT!$E$2:$E$11000,"Kitchen")</f>
        <v>1152600</v>
      </c>
      <c r="P603" s="52">
        <f ca="1">SUMIFS(OUT!$F$2:$F$11000,OUT!$H$2:$H$11000,H603,OUT!$D$2:$D$11000,"Out",OUT!$E$2:$E$11000,"Loandry")</f>
        <v>41000</v>
      </c>
      <c r="Q603" s="52">
        <f ca="1">SUMIFS(OUT!$F$2:$F$11000,OUT!$H$2:$H$11000,H603,OUT!$D$2:$D$11000,"Out",OUT!$E$2:$E$11000,"Mio")</f>
        <v>895700</v>
      </c>
      <c r="R603" s="52">
        <f ca="1">SUMIFS(OUT!$F$2:$F$11000,OUT!$H$2:$H$11000,H603,OUT!$D$2:$D$11000,"Out",OUT!$E$2:$E$11000,"Sedekah")</f>
        <v>130000</v>
      </c>
      <c r="S603" s="52">
        <f ca="1">SUMIFS(OUT!$F$2:$F$11000,OUT!$H$2:$H$11000,H603,OUT!$D$2:$D$11000,"Out",OUT!$E$2:$E$11000,"Zela")</f>
        <v>215161</v>
      </c>
      <c r="T603" s="52">
        <f ca="1">SUMIFS(OUT!$F$2:$F$11000,OUT!$H$2:$H$11000,H603,OUT!$D$2:$D$11000,"Out",OUT!$E$2:$E$11000,"Iqbal")</f>
        <v>215000</v>
      </c>
    </row>
    <row r="604" spans="1:20" x14ac:dyDescent="0.2">
      <c r="A604" s="48">
        <f ca="1">IFERROR(__xludf.DUMMYFUNCTION("""COMPUTED_VALUE"""),46098)</f>
        <v>46098</v>
      </c>
      <c r="B604" s="4" t="str">
        <f ca="1">IFERROR(__xludf.DUMMYFUNCTION("""COMPUTED_VALUE"""),"Mainan Alfa")</f>
        <v>Mainan Alfa</v>
      </c>
      <c r="C604" s="4" t="str">
        <f ca="1">IFERROR(__xludf.DUMMYFUNCTION("""COMPUTED_VALUE"""),"Cash")</f>
        <v>Cash</v>
      </c>
      <c r="D604" s="4" t="str">
        <f ca="1">IFERROR(__xludf.DUMMYFUNCTION("""COMPUTED_VALUE"""),"Out")</f>
        <v>Out</v>
      </c>
      <c r="E604" s="4" t="str">
        <f ca="1">IFERROR(__xludf.DUMMYFUNCTION("""COMPUTED_VALUE"""),"Alfa")</f>
        <v>Alfa</v>
      </c>
      <c r="F604" s="49">
        <f ca="1">IFERROR(__xludf.DUMMYFUNCTION("""COMPUTED_VALUE"""),25000)</f>
        <v>25000</v>
      </c>
      <c r="G604" s="50" t="str">
        <f ca="1">IFERROR(__xludf.DUMMYFUNCTION("""COMPUTED_VALUE"""),"Zela")</f>
        <v>Zela</v>
      </c>
      <c r="H604" s="51">
        <f t="shared" ca="1" si="0"/>
        <v>46082</v>
      </c>
      <c r="I604" s="52" t="e">
        <f ca="1">SUMIFS(OUT!$F$2:$F$11000,OUT!$H$2:$H$11000,H604,OUT!$D$2:$D$101007,"In")</f>
        <v>#VALUE!</v>
      </c>
      <c r="J604" s="52">
        <f ca="1">SUMIFS(OUT!$F$2:$F$11000,OUT!$H$2:$H$11000,H604,OUT!$D$2:$D$11000,"Out")</f>
        <v>12026623</v>
      </c>
      <c r="K604" s="52">
        <f ca="1">SUMIFS(OUT!$F$2:$F$11000,OUT!$H$2:$H$11000,H604,OUT!$D$2:$D$11000,"Out",OUT!$E$2:$E$11000,"Fix")</f>
        <v>2865413</v>
      </c>
      <c r="L604" s="52">
        <f ca="1">SUMIFS(OUT!$F$2:$F$11000,OUT!$H$2:$H$11000,H604,OUT!$D$2:$D$11000,"Out",OUT!$E$2:$E$11000,"Bathroom")</f>
        <v>120488</v>
      </c>
      <c r="M604" s="52">
        <f ca="1">SUMIFS(OUT!$F$2:$F$11000,OUT!$H$2:$H$11000,H604,OUT!$D$2:$D$11000,"Out",OUT!$E$2:$E$11000,"Alfa")</f>
        <v>890962</v>
      </c>
      <c r="N604" s="52" t="e">
        <f ca="1">SUMIFS(OUT!$F$2:$F$11000,OUT!$H$2:$H$101007,H604,OUT!$D$2:$D$11000,"Out",OUT!$E$2:$E$11000,"Jajan")</f>
        <v>#VALUE!</v>
      </c>
      <c r="O604" s="52">
        <f ca="1">SUMIFS(OUT!$F$2:$F$11000,OUT!$H$2:$H$11000,H604,OUT!$D$2:$D$11000,"Out",OUT!$E$2:$E$11000,"Kitchen")</f>
        <v>1152600</v>
      </c>
      <c r="P604" s="52">
        <f ca="1">SUMIFS(OUT!$F$2:$F$11000,OUT!$H$2:$H$11000,H604,OUT!$D$2:$D$11000,"Out",OUT!$E$2:$E$11000,"Loandry")</f>
        <v>41000</v>
      </c>
      <c r="Q604" s="52">
        <f ca="1">SUMIFS(OUT!$F$2:$F$11000,OUT!$H$2:$H$11000,H604,OUT!$D$2:$D$11000,"Out",OUT!$E$2:$E$11000,"Mio")</f>
        <v>895700</v>
      </c>
      <c r="R604" s="52">
        <f ca="1">SUMIFS(OUT!$F$2:$F$11000,OUT!$H$2:$H$11000,H604,OUT!$D$2:$D$11000,"Out",OUT!$E$2:$E$11000,"Sedekah")</f>
        <v>130000</v>
      </c>
      <c r="S604" s="52">
        <f ca="1">SUMIFS(OUT!$F$2:$F$11000,OUT!$H$2:$H$11000,H604,OUT!$D$2:$D$11000,"Out",OUT!$E$2:$E$11000,"Zela")</f>
        <v>215161</v>
      </c>
      <c r="T604" s="52">
        <f ca="1">SUMIFS(OUT!$F$2:$F$11000,OUT!$H$2:$H$11000,H604,OUT!$D$2:$D$11000,"Out",OUT!$E$2:$E$11000,"Iqbal")</f>
        <v>215000</v>
      </c>
    </row>
    <row r="605" spans="1:20" x14ac:dyDescent="0.2">
      <c r="A605" s="48">
        <f ca="1">IFERROR(__xludf.DUMMYFUNCTION("""COMPUTED_VALUE"""),46098)</f>
        <v>46098</v>
      </c>
      <c r="B605" s="4" t="str">
        <f ca="1">IFERROR(__xludf.DUMMYFUNCTION("""COMPUTED_VALUE"""),"Dikasih Nenek")</f>
        <v>Dikasih Nenek</v>
      </c>
      <c r="C605" s="4" t="str">
        <f ca="1">IFERROR(__xludf.DUMMYFUNCTION("""COMPUTED_VALUE"""),"Cash")</f>
        <v>Cash</v>
      </c>
      <c r="D605" s="4" t="str">
        <f ca="1">IFERROR(__xludf.DUMMYFUNCTION("""COMPUTED_VALUE"""),"In")</f>
        <v>In</v>
      </c>
      <c r="E605" s="4" t="str">
        <f ca="1">IFERROR(__xludf.DUMMYFUNCTION("""COMPUTED_VALUE"""),"Fix")</f>
        <v>Fix</v>
      </c>
      <c r="F605" s="49">
        <f ca="1">IFERROR(__xludf.DUMMYFUNCTION("""COMPUTED_VALUE"""),5000)</f>
        <v>5000</v>
      </c>
      <c r="G605" s="50" t="str">
        <f ca="1">IFERROR(__xludf.DUMMYFUNCTION("""COMPUTED_VALUE"""),"Zela")</f>
        <v>Zela</v>
      </c>
      <c r="H605" s="51">
        <f t="shared" ca="1" si="0"/>
        <v>46082</v>
      </c>
      <c r="I605" s="52" t="e">
        <f ca="1">SUMIFS(OUT!$F$2:$F$11000,OUT!$H$2:$H$11000,H605,OUT!$D$2:$D$101007,"In")</f>
        <v>#VALUE!</v>
      </c>
      <c r="J605" s="52">
        <f ca="1">SUMIFS(OUT!$F$2:$F$11000,OUT!$H$2:$H$11000,H605,OUT!$D$2:$D$11000,"Out")</f>
        <v>12026623</v>
      </c>
      <c r="K605" s="52">
        <f ca="1">SUMIFS(OUT!$F$2:$F$11000,OUT!$H$2:$H$11000,H605,OUT!$D$2:$D$11000,"Out",OUT!$E$2:$E$11000,"Fix")</f>
        <v>2865413</v>
      </c>
      <c r="L605" s="52">
        <f ca="1">SUMIFS(OUT!$F$2:$F$11000,OUT!$H$2:$H$11000,H605,OUT!$D$2:$D$11000,"Out",OUT!$E$2:$E$11000,"Bathroom")</f>
        <v>120488</v>
      </c>
      <c r="M605" s="52">
        <f ca="1">SUMIFS(OUT!$F$2:$F$11000,OUT!$H$2:$H$11000,H605,OUT!$D$2:$D$11000,"Out",OUT!$E$2:$E$11000,"Alfa")</f>
        <v>890962</v>
      </c>
      <c r="N605" s="52" t="e">
        <f ca="1">SUMIFS(OUT!$F$2:$F$11000,OUT!$H$2:$H$101007,H605,OUT!$D$2:$D$11000,"Out",OUT!$E$2:$E$11000,"Jajan")</f>
        <v>#VALUE!</v>
      </c>
      <c r="O605" s="52">
        <f ca="1">SUMIFS(OUT!$F$2:$F$11000,OUT!$H$2:$H$11000,H605,OUT!$D$2:$D$11000,"Out",OUT!$E$2:$E$11000,"Kitchen")</f>
        <v>1152600</v>
      </c>
      <c r="P605" s="52">
        <f ca="1">SUMIFS(OUT!$F$2:$F$11000,OUT!$H$2:$H$11000,H605,OUT!$D$2:$D$11000,"Out",OUT!$E$2:$E$11000,"Loandry")</f>
        <v>41000</v>
      </c>
      <c r="Q605" s="52">
        <f ca="1">SUMIFS(OUT!$F$2:$F$11000,OUT!$H$2:$H$11000,H605,OUT!$D$2:$D$11000,"Out",OUT!$E$2:$E$11000,"Mio")</f>
        <v>895700</v>
      </c>
      <c r="R605" s="52">
        <f ca="1">SUMIFS(OUT!$F$2:$F$11000,OUT!$H$2:$H$11000,H605,OUT!$D$2:$D$11000,"Out",OUT!$E$2:$E$11000,"Sedekah")</f>
        <v>130000</v>
      </c>
      <c r="S605" s="52">
        <f ca="1">SUMIFS(OUT!$F$2:$F$11000,OUT!$H$2:$H$11000,H605,OUT!$D$2:$D$11000,"Out",OUT!$E$2:$E$11000,"Zela")</f>
        <v>215161</v>
      </c>
      <c r="T605" s="52">
        <f ca="1">SUMIFS(OUT!$F$2:$F$11000,OUT!$H$2:$H$11000,H605,OUT!$D$2:$D$11000,"Out",OUT!$E$2:$E$11000,"Iqbal")</f>
        <v>215000</v>
      </c>
    </row>
    <row r="606" spans="1:20" x14ac:dyDescent="0.2">
      <c r="A606" s="48">
        <f ca="1">IFERROR(__xludf.DUMMYFUNCTION("""COMPUTED_VALUE"""),46098)</f>
        <v>46098</v>
      </c>
      <c r="B606" s="4" t="str">
        <f ca="1">IFERROR(__xludf.DUMMYFUNCTION("""COMPUTED_VALUE"""),"Yogurt Alfa")</f>
        <v>Yogurt Alfa</v>
      </c>
      <c r="C606" s="4" t="str">
        <f ca="1">IFERROR(__xludf.DUMMYFUNCTION("""COMPUTED_VALUE"""),"Cash")</f>
        <v>Cash</v>
      </c>
      <c r="D606" s="4" t="str">
        <f ca="1">IFERROR(__xludf.DUMMYFUNCTION("""COMPUTED_VALUE"""),"Out")</f>
        <v>Out</v>
      </c>
      <c r="E606" s="4" t="str">
        <f ca="1">IFERROR(__xludf.DUMMYFUNCTION("""COMPUTED_VALUE"""),"Jajan")</f>
        <v>Jajan</v>
      </c>
      <c r="F606" s="49">
        <f ca="1">IFERROR(__xludf.DUMMYFUNCTION("""COMPUTED_VALUE"""),8700)</f>
        <v>8700</v>
      </c>
      <c r="G606" s="50" t="str">
        <f ca="1">IFERROR(__xludf.DUMMYFUNCTION("""COMPUTED_VALUE"""),"Zela")</f>
        <v>Zela</v>
      </c>
      <c r="H606" s="51">
        <f t="shared" ca="1" si="0"/>
        <v>46082</v>
      </c>
      <c r="I606" s="52" t="e">
        <f ca="1">SUMIFS(OUT!$F$2:$F$11000,OUT!$H$2:$H$11000,H606,OUT!$D$2:$D$101007,"In")</f>
        <v>#VALUE!</v>
      </c>
      <c r="J606" s="52">
        <f ca="1">SUMIFS(OUT!$F$2:$F$11000,OUT!$H$2:$H$11000,H606,OUT!$D$2:$D$11000,"Out")</f>
        <v>12026623</v>
      </c>
      <c r="K606" s="52">
        <f ca="1">SUMIFS(OUT!$F$2:$F$11000,OUT!$H$2:$H$11000,H606,OUT!$D$2:$D$11000,"Out",OUT!$E$2:$E$11000,"Fix")</f>
        <v>2865413</v>
      </c>
      <c r="L606" s="52">
        <f ca="1">SUMIFS(OUT!$F$2:$F$11000,OUT!$H$2:$H$11000,H606,OUT!$D$2:$D$11000,"Out",OUT!$E$2:$E$11000,"Bathroom")</f>
        <v>120488</v>
      </c>
      <c r="M606" s="52">
        <f ca="1">SUMIFS(OUT!$F$2:$F$11000,OUT!$H$2:$H$11000,H606,OUT!$D$2:$D$11000,"Out",OUT!$E$2:$E$11000,"Alfa")</f>
        <v>890962</v>
      </c>
      <c r="N606" s="52" t="e">
        <f ca="1">SUMIFS(OUT!$F$2:$F$11000,OUT!$H$2:$H$101007,H606,OUT!$D$2:$D$11000,"Out",OUT!$E$2:$E$11000,"Jajan")</f>
        <v>#VALUE!</v>
      </c>
      <c r="O606" s="52">
        <f ca="1">SUMIFS(OUT!$F$2:$F$11000,OUT!$H$2:$H$11000,H606,OUT!$D$2:$D$11000,"Out",OUT!$E$2:$E$11000,"Kitchen")</f>
        <v>1152600</v>
      </c>
      <c r="P606" s="52">
        <f ca="1">SUMIFS(OUT!$F$2:$F$11000,OUT!$H$2:$H$11000,H606,OUT!$D$2:$D$11000,"Out",OUT!$E$2:$E$11000,"Loandry")</f>
        <v>41000</v>
      </c>
      <c r="Q606" s="52">
        <f ca="1">SUMIFS(OUT!$F$2:$F$11000,OUT!$H$2:$H$11000,H606,OUT!$D$2:$D$11000,"Out",OUT!$E$2:$E$11000,"Mio")</f>
        <v>895700</v>
      </c>
      <c r="R606" s="52">
        <f ca="1">SUMIFS(OUT!$F$2:$F$11000,OUT!$H$2:$H$11000,H606,OUT!$D$2:$D$11000,"Out",OUT!$E$2:$E$11000,"Sedekah")</f>
        <v>130000</v>
      </c>
      <c r="S606" s="52">
        <f ca="1">SUMIFS(OUT!$F$2:$F$11000,OUT!$H$2:$H$11000,H606,OUT!$D$2:$D$11000,"Out",OUT!$E$2:$E$11000,"Zela")</f>
        <v>215161</v>
      </c>
      <c r="T606" s="52">
        <f ca="1">SUMIFS(OUT!$F$2:$F$11000,OUT!$H$2:$H$11000,H606,OUT!$D$2:$D$11000,"Out",OUT!$E$2:$E$11000,"Iqbal")</f>
        <v>215000</v>
      </c>
    </row>
    <row r="607" spans="1:20" x14ac:dyDescent="0.2">
      <c r="A607" s="48">
        <f ca="1">IFERROR(__xludf.DUMMYFUNCTION("""COMPUTED_VALUE"""),46098)</f>
        <v>46098</v>
      </c>
      <c r="B607" s="4" t="str">
        <f ca="1">IFERROR(__xludf.DUMMYFUNCTION("""COMPUTED_VALUE"""),"Kopi 2 bungkus")</f>
        <v>Kopi 2 bungkus</v>
      </c>
      <c r="C607" s="4" t="str">
        <f ca="1">IFERROR(__xludf.DUMMYFUNCTION("""COMPUTED_VALUE"""),"Cash")</f>
        <v>Cash</v>
      </c>
      <c r="D607" s="4" t="str">
        <f ca="1">IFERROR(__xludf.DUMMYFUNCTION("""COMPUTED_VALUE"""),"Out")</f>
        <v>Out</v>
      </c>
      <c r="E607" s="4" t="str">
        <f ca="1">IFERROR(__xludf.DUMMYFUNCTION("""COMPUTED_VALUE"""),"Jajan")</f>
        <v>Jajan</v>
      </c>
      <c r="F607" s="49">
        <f ca="1">IFERROR(__xludf.DUMMYFUNCTION("""COMPUTED_VALUE"""),14000)</f>
        <v>14000</v>
      </c>
      <c r="G607" s="50" t="str">
        <f ca="1">IFERROR(__xludf.DUMMYFUNCTION("""COMPUTED_VALUE"""),"Zela")</f>
        <v>Zela</v>
      </c>
      <c r="H607" s="51">
        <f t="shared" ca="1" si="0"/>
        <v>46082</v>
      </c>
      <c r="I607" s="52" t="e">
        <f ca="1">SUMIFS(OUT!$F$2:$F$11000,OUT!$H$2:$H$11000,H607,OUT!$D$2:$D$101007,"In")</f>
        <v>#VALUE!</v>
      </c>
      <c r="J607" s="52">
        <f ca="1">SUMIFS(OUT!$F$2:$F$11000,OUT!$H$2:$H$11000,H607,OUT!$D$2:$D$11000,"Out")</f>
        <v>12026623</v>
      </c>
      <c r="K607" s="52">
        <f ca="1">SUMIFS(OUT!$F$2:$F$11000,OUT!$H$2:$H$11000,H607,OUT!$D$2:$D$11000,"Out",OUT!$E$2:$E$11000,"Fix")</f>
        <v>2865413</v>
      </c>
      <c r="L607" s="52">
        <f ca="1">SUMIFS(OUT!$F$2:$F$11000,OUT!$H$2:$H$11000,H607,OUT!$D$2:$D$11000,"Out",OUT!$E$2:$E$11000,"Bathroom")</f>
        <v>120488</v>
      </c>
      <c r="M607" s="52">
        <f ca="1">SUMIFS(OUT!$F$2:$F$11000,OUT!$H$2:$H$11000,H607,OUT!$D$2:$D$11000,"Out",OUT!$E$2:$E$11000,"Alfa")</f>
        <v>890962</v>
      </c>
      <c r="N607" s="52" t="e">
        <f ca="1">SUMIFS(OUT!$F$2:$F$11000,OUT!$H$2:$H$101007,H607,OUT!$D$2:$D$11000,"Out",OUT!$E$2:$E$11000,"Jajan")</f>
        <v>#VALUE!</v>
      </c>
      <c r="O607" s="52">
        <f ca="1">SUMIFS(OUT!$F$2:$F$11000,OUT!$H$2:$H$11000,H607,OUT!$D$2:$D$11000,"Out",OUT!$E$2:$E$11000,"Kitchen")</f>
        <v>1152600</v>
      </c>
      <c r="P607" s="52">
        <f ca="1">SUMIFS(OUT!$F$2:$F$11000,OUT!$H$2:$H$11000,H607,OUT!$D$2:$D$11000,"Out",OUT!$E$2:$E$11000,"Loandry")</f>
        <v>41000</v>
      </c>
      <c r="Q607" s="52">
        <f ca="1">SUMIFS(OUT!$F$2:$F$11000,OUT!$H$2:$H$11000,H607,OUT!$D$2:$D$11000,"Out",OUT!$E$2:$E$11000,"Mio")</f>
        <v>895700</v>
      </c>
      <c r="R607" s="52">
        <f ca="1">SUMIFS(OUT!$F$2:$F$11000,OUT!$H$2:$H$11000,H607,OUT!$D$2:$D$11000,"Out",OUT!$E$2:$E$11000,"Sedekah")</f>
        <v>130000</v>
      </c>
      <c r="S607" s="52">
        <f ca="1">SUMIFS(OUT!$F$2:$F$11000,OUT!$H$2:$H$11000,H607,OUT!$D$2:$D$11000,"Out",OUT!$E$2:$E$11000,"Zela")</f>
        <v>215161</v>
      </c>
      <c r="T607" s="52">
        <f ca="1">SUMIFS(OUT!$F$2:$F$11000,OUT!$H$2:$H$11000,H607,OUT!$D$2:$D$11000,"Out",OUT!$E$2:$E$11000,"Iqbal")</f>
        <v>215000</v>
      </c>
    </row>
    <row r="608" spans="1:20" x14ac:dyDescent="0.2">
      <c r="A608" s="48">
        <f ca="1">IFERROR(__xludf.DUMMYFUNCTION("""COMPUTED_VALUE"""),46098)</f>
        <v>46098</v>
      </c>
      <c r="B608" s="4" t="str">
        <f ca="1">IFERROR(__xludf.DUMMYFUNCTION("""COMPUTED_VALUE"""),"Alfagift ( Detergen )")</f>
        <v>Alfagift ( Detergen )</v>
      </c>
      <c r="C608" s="4" t="str">
        <f ca="1">IFERROR(__xludf.DUMMYFUNCTION("""COMPUTED_VALUE"""),"ATM")</f>
        <v>ATM</v>
      </c>
      <c r="D608" s="4" t="str">
        <f ca="1">IFERROR(__xludf.DUMMYFUNCTION("""COMPUTED_VALUE"""),"Out")</f>
        <v>Out</v>
      </c>
      <c r="E608" s="4" t="str">
        <f ca="1">IFERROR(__xludf.DUMMYFUNCTION("""COMPUTED_VALUE"""),"Loandry")</f>
        <v>Loandry</v>
      </c>
      <c r="F608" s="49">
        <f ca="1">IFERROR(__xludf.DUMMYFUNCTION("""COMPUTED_VALUE"""),13200)</f>
        <v>13200</v>
      </c>
      <c r="G608" s="50" t="str">
        <f ca="1">IFERROR(__xludf.DUMMYFUNCTION("""COMPUTED_VALUE"""),"Zela")</f>
        <v>Zela</v>
      </c>
      <c r="H608" s="51">
        <f t="shared" ca="1" si="0"/>
        <v>46082</v>
      </c>
      <c r="I608" s="52" t="e">
        <f ca="1">SUMIFS(OUT!$F$2:$F$11000,OUT!$H$2:$H$11000,H608,OUT!$D$2:$D$101007,"In")</f>
        <v>#VALUE!</v>
      </c>
      <c r="J608" s="52">
        <f ca="1">SUMIFS(OUT!$F$2:$F$11000,OUT!$H$2:$H$11000,H608,OUT!$D$2:$D$11000,"Out")</f>
        <v>12026623</v>
      </c>
      <c r="K608" s="52">
        <f ca="1">SUMIFS(OUT!$F$2:$F$11000,OUT!$H$2:$H$11000,H608,OUT!$D$2:$D$11000,"Out",OUT!$E$2:$E$11000,"Fix")</f>
        <v>2865413</v>
      </c>
      <c r="L608" s="52">
        <f ca="1">SUMIFS(OUT!$F$2:$F$11000,OUT!$H$2:$H$11000,H608,OUT!$D$2:$D$11000,"Out",OUT!$E$2:$E$11000,"Bathroom")</f>
        <v>120488</v>
      </c>
      <c r="M608" s="52">
        <f ca="1">SUMIFS(OUT!$F$2:$F$11000,OUT!$H$2:$H$11000,H608,OUT!$D$2:$D$11000,"Out",OUT!$E$2:$E$11000,"Alfa")</f>
        <v>890962</v>
      </c>
      <c r="N608" s="52" t="e">
        <f ca="1">SUMIFS(OUT!$F$2:$F$11000,OUT!$H$2:$H$101007,H608,OUT!$D$2:$D$11000,"Out",OUT!$E$2:$E$11000,"Jajan")</f>
        <v>#VALUE!</v>
      </c>
      <c r="O608" s="52">
        <f ca="1">SUMIFS(OUT!$F$2:$F$11000,OUT!$H$2:$H$11000,H608,OUT!$D$2:$D$11000,"Out",OUT!$E$2:$E$11000,"Kitchen")</f>
        <v>1152600</v>
      </c>
      <c r="P608" s="52">
        <f ca="1">SUMIFS(OUT!$F$2:$F$11000,OUT!$H$2:$H$11000,H608,OUT!$D$2:$D$11000,"Out",OUT!$E$2:$E$11000,"Loandry")</f>
        <v>41000</v>
      </c>
      <c r="Q608" s="52">
        <f ca="1">SUMIFS(OUT!$F$2:$F$11000,OUT!$H$2:$H$11000,H608,OUT!$D$2:$D$11000,"Out",OUT!$E$2:$E$11000,"Mio")</f>
        <v>895700</v>
      </c>
      <c r="R608" s="52">
        <f ca="1">SUMIFS(OUT!$F$2:$F$11000,OUT!$H$2:$H$11000,H608,OUT!$D$2:$D$11000,"Out",OUT!$E$2:$E$11000,"Sedekah")</f>
        <v>130000</v>
      </c>
      <c r="S608" s="52">
        <f ca="1">SUMIFS(OUT!$F$2:$F$11000,OUT!$H$2:$H$11000,H608,OUT!$D$2:$D$11000,"Out",OUT!$E$2:$E$11000,"Zela")</f>
        <v>215161</v>
      </c>
      <c r="T608" s="52">
        <f ca="1">SUMIFS(OUT!$F$2:$F$11000,OUT!$H$2:$H$11000,H608,OUT!$D$2:$D$11000,"Out",OUT!$E$2:$E$11000,"Iqbal")</f>
        <v>215000</v>
      </c>
    </row>
    <row r="609" spans="1:20" x14ac:dyDescent="0.2">
      <c r="A609" s="48">
        <f ca="1">IFERROR(__xludf.DUMMYFUNCTION("""COMPUTED_VALUE"""),46098)</f>
        <v>46098</v>
      </c>
      <c r="B609" s="4" t="str">
        <f ca="1">IFERROR(__xludf.DUMMYFUNCTION("""COMPUTED_VALUE"""),"Pempes Alfa + Tisu basah")</f>
        <v>Pempes Alfa + Tisu basah</v>
      </c>
      <c r="C609" s="4" t="str">
        <f ca="1">IFERROR(__xludf.DUMMYFUNCTION("""COMPUTED_VALUE"""),"ATM")</f>
        <v>ATM</v>
      </c>
      <c r="D609" s="4" t="str">
        <f ca="1">IFERROR(__xludf.DUMMYFUNCTION("""COMPUTED_VALUE"""),"Out")</f>
        <v>Out</v>
      </c>
      <c r="E609" s="4" t="str">
        <f ca="1">IFERROR(__xludf.DUMMYFUNCTION("""COMPUTED_VALUE"""),"Alfa")</f>
        <v>Alfa</v>
      </c>
      <c r="F609" s="49">
        <f ca="1">IFERROR(__xludf.DUMMYFUNCTION("""COMPUTED_VALUE"""),53800)</f>
        <v>53800</v>
      </c>
      <c r="G609" s="50" t="str">
        <f ca="1">IFERROR(__xludf.DUMMYFUNCTION("""COMPUTED_VALUE"""),"Zela")</f>
        <v>Zela</v>
      </c>
      <c r="H609" s="51">
        <f t="shared" ca="1" si="0"/>
        <v>46082</v>
      </c>
      <c r="I609" s="52" t="e">
        <f ca="1">SUMIFS(OUT!$F$2:$F$11000,OUT!$H$2:$H$11000,H609,OUT!$D$2:$D$101007,"In")</f>
        <v>#VALUE!</v>
      </c>
      <c r="J609" s="52">
        <f ca="1">SUMIFS(OUT!$F$2:$F$11000,OUT!$H$2:$H$11000,H609,OUT!$D$2:$D$11000,"Out")</f>
        <v>12026623</v>
      </c>
      <c r="K609" s="52">
        <f ca="1">SUMIFS(OUT!$F$2:$F$11000,OUT!$H$2:$H$11000,H609,OUT!$D$2:$D$11000,"Out",OUT!$E$2:$E$11000,"Fix")</f>
        <v>2865413</v>
      </c>
      <c r="L609" s="52">
        <f ca="1">SUMIFS(OUT!$F$2:$F$11000,OUT!$H$2:$H$11000,H609,OUT!$D$2:$D$11000,"Out",OUT!$E$2:$E$11000,"Bathroom")</f>
        <v>120488</v>
      </c>
      <c r="M609" s="52">
        <f ca="1">SUMIFS(OUT!$F$2:$F$11000,OUT!$H$2:$H$11000,H609,OUT!$D$2:$D$11000,"Out",OUT!$E$2:$E$11000,"Alfa")</f>
        <v>890962</v>
      </c>
      <c r="N609" s="52" t="e">
        <f ca="1">SUMIFS(OUT!$F$2:$F$11000,OUT!$H$2:$H$101007,H609,OUT!$D$2:$D$11000,"Out",OUT!$E$2:$E$11000,"Jajan")</f>
        <v>#VALUE!</v>
      </c>
      <c r="O609" s="52">
        <f ca="1">SUMIFS(OUT!$F$2:$F$11000,OUT!$H$2:$H$11000,H609,OUT!$D$2:$D$11000,"Out",OUT!$E$2:$E$11000,"Kitchen")</f>
        <v>1152600</v>
      </c>
      <c r="P609" s="52">
        <f ca="1">SUMIFS(OUT!$F$2:$F$11000,OUT!$H$2:$H$11000,H609,OUT!$D$2:$D$11000,"Out",OUT!$E$2:$E$11000,"Loandry")</f>
        <v>41000</v>
      </c>
      <c r="Q609" s="52">
        <f ca="1">SUMIFS(OUT!$F$2:$F$11000,OUT!$H$2:$H$11000,H609,OUT!$D$2:$D$11000,"Out",OUT!$E$2:$E$11000,"Mio")</f>
        <v>895700</v>
      </c>
      <c r="R609" s="52">
        <f ca="1">SUMIFS(OUT!$F$2:$F$11000,OUT!$H$2:$H$11000,H609,OUT!$D$2:$D$11000,"Out",OUT!$E$2:$E$11000,"Sedekah")</f>
        <v>130000</v>
      </c>
      <c r="S609" s="52">
        <f ca="1">SUMIFS(OUT!$F$2:$F$11000,OUT!$H$2:$H$11000,H609,OUT!$D$2:$D$11000,"Out",OUT!$E$2:$E$11000,"Zela")</f>
        <v>215161</v>
      </c>
      <c r="T609" s="52">
        <f ca="1">SUMIFS(OUT!$F$2:$F$11000,OUT!$H$2:$H$11000,H609,OUT!$D$2:$D$11000,"Out",OUT!$E$2:$E$11000,"Iqbal")</f>
        <v>215000</v>
      </c>
    </row>
    <row r="610" spans="1:20" x14ac:dyDescent="0.2">
      <c r="A610" s="48">
        <f ca="1">IFERROR(__xludf.DUMMYFUNCTION("""COMPUTED_VALUE"""),46098)</f>
        <v>46098</v>
      </c>
      <c r="B610" s="4" t="str">
        <f ca="1">IFERROR(__xludf.DUMMYFUNCTION("""COMPUTED_VALUE"""),"Celana Alfa")</f>
        <v>Celana Alfa</v>
      </c>
      <c r="C610" s="4" t="str">
        <f ca="1">IFERROR(__xludf.DUMMYFUNCTION("""COMPUTED_VALUE"""),"Cash")</f>
        <v>Cash</v>
      </c>
      <c r="D610" s="4" t="str">
        <f ca="1">IFERROR(__xludf.DUMMYFUNCTION("""COMPUTED_VALUE"""),"Out")</f>
        <v>Out</v>
      </c>
      <c r="E610" s="4" t="str">
        <f ca="1">IFERROR(__xludf.DUMMYFUNCTION("""COMPUTED_VALUE"""),"Alfa")</f>
        <v>Alfa</v>
      </c>
      <c r="F610" s="49">
        <f ca="1">IFERROR(__xludf.DUMMYFUNCTION("""COMPUTED_VALUE"""),35000)</f>
        <v>35000</v>
      </c>
      <c r="G610" s="50" t="str">
        <f ca="1">IFERROR(__xludf.DUMMYFUNCTION("""COMPUTED_VALUE"""),"Zela")</f>
        <v>Zela</v>
      </c>
      <c r="H610" s="51">
        <f t="shared" ca="1" si="0"/>
        <v>46082</v>
      </c>
      <c r="I610" s="52" t="e">
        <f ca="1">SUMIFS(OUT!$F$2:$F$11000,OUT!$H$2:$H$11000,H610,OUT!$D$2:$D$101007,"In")</f>
        <v>#VALUE!</v>
      </c>
      <c r="J610" s="52">
        <f ca="1">SUMIFS(OUT!$F$2:$F$11000,OUT!$H$2:$H$11000,H610,OUT!$D$2:$D$11000,"Out")</f>
        <v>12026623</v>
      </c>
      <c r="K610" s="52">
        <f ca="1">SUMIFS(OUT!$F$2:$F$11000,OUT!$H$2:$H$11000,H610,OUT!$D$2:$D$11000,"Out",OUT!$E$2:$E$11000,"Fix")</f>
        <v>2865413</v>
      </c>
      <c r="L610" s="52">
        <f ca="1">SUMIFS(OUT!$F$2:$F$11000,OUT!$H$2:$H$11000,H610,OUT!$D$2:$D$11000,"Out",OUT!$E$2:$E$11000,"Bathroom")</f>
        <v>120488</v>
      </c>
      <c r="M610" s="52">
        <f ca="1">SUMIFS(OUT!$F$2:$F$11000,OUT!$H$2:$H$11000,H610,OUT!$D$2:$D$11000,"Out",OUT!$E$2:$E$11000,"Alfa")</f>
        <v>890962</v>
      </c>
      <c r="N610" s="52" t="e">
        <f ca="1">SUMIFS(OUT!$F$2:$F$11000,OUT!$H$2:$H$101007,H610,OUT!$D$2:$D$11000,"Out",OUT!$E$2:$E$11000,"Jajan")</f>
        <v>#VALUE!</v>
      </c>
      <c r="O610" s="52">
        <f ca="1">SUMIFS(OUT!$F$2:$F$11000,OUT!$H$2:$H$11000,H610,OUT!$D$2:$D$11000,"Out",OUT!$E$2:$E$11000,"Kitchen")</f>
        <v>1152600</v>
      </c>
      <c r="P610" s="52">
        <f ca="1">SUMIFS(OUT!$F$2:$F$11000,OUT!$H$2:$H$11000,H610,OUT!$D$2:$D$11000,"Out",OUT!$E$2:$E$11000,"Loandry")</f>
        <v>41000</v>
      </c>
      <c r="Q610" s="52">
        <f ca="1">SUMIFS(OUT!$F$2:$F$11000,OUT!$H$2:$H$11000,H610,OUT!$D$2:$D$11000,"Out",OUT!$E$2:$E$11000,"Mio")</f>
        <v>895700</v>
      </c>
      <c r="R610" s="52">
        <f ca="1">SUMIFS(OUT!$F$2:$F$11000,OUT!$H$2:$H$11000,H610,OUT!$D$2:$D$11000,"Out",OUT!$E$2:$E$11000,"Sedekah")</f>
        <v>130000</v>
      </c>
      <c r="S610" s="52">
        <f ca="1">SUMIFS(OUT!$F$2:$F$11000,OUT!$H$2:$H$11000,H610,OUT!$D$2:$D$11000,"Out",OUT!$E$2:$E$11000,"Zela")</f>
        <v>215161</v>
      </c>
      <c r="T610" s="52">
        <f ca="1">SUMIFS(OUT!$F$2:$F$11000,OUT!$H$2:$H$11000,H610,OUT!$D$2:$D$11000,"Out",OUT!$E$2:$E$11000,"Iqbal")</f>
        <v>215000</v>
      </c>
    </row>
    <row r="611" spans="1:20" x14ac:dyDescent="0.2">
      <c r="A611" s="48">
        <f ca="1">IFERROR(__xludf.DUMMYFUNCTION("""COMPUTED_VALUE"""),46099)</f>
        <v>46099</v>
      </c>
      <c r="B611" s="4" t="str">
        <f ca="1">IFERROR(__xludf.DUMMYFUNCTION("""COMPUTED_VALUE"""),"Aqua Dus")</f>
        <v>Aqua Dus</v>
      </c>
      <c r="C611" s="4" t="str">
        <f ca="1">IFERROR(__xludf.DUMMYFUNCTION("""COMPUTED_VALUE"""),"Cash")</f>
        <v>Cash</v>
      </c>
      <c r="D611" s="4" t="str">
        <f ca="1">IFERROR(__xludf.DUMMYFUNCTION("""COMPUTED_VALUE"""),"Out")</f>
        <v>Out</v>
      </c>
      <c r="E611" s="4" t="str">
        <f ca="1">IFERROR(__xludf.DUMMYFUNCTION("""COMPUTED_VALUE"""),"Kitchen")</f>
        <v>Kitchen</v>
      </c>
      <c r="F611" s="49">
        <f ca="1">IFERROR(__xludf.DUMMYFUNCTION("""COMPUTED_VALUE"""),35000)</f>
        <v>35000</v>
      </c>
      <c r="G611" s="50" t="str">
        <f ca="1">IFERROR(__xludf.DUMMYFUNCTION("""COMPUTED_VALUE"""),"Zela")</f>
        <v>Zela</v>
      </c>
      <c r="H611" s="51">
        <f t="shared" ca="1" si="0"/>
        <v>46082</v>
      </c>
      <c r="I611" s="52" t="e">
        <f ca="1">SUMIFS(OUT!$F$2:$F$11000,OUT!$H$2:$H$11000,H611,OUT!$D$2:$D$101007,"In")</f>
        <v>#VALUE!</v>
      </c>
      <c r="J611" s="52">
        <f ca="1">SUMIFS(OUT!$F$2:$F$11000,OUT!$H$2:$H$11000,H611,OUT!$D$2:$D$11000,"Out")</f>
        <v>12026623</v>
      </c>
      <c r="K611" s="52">
        <f ca="1">SUMIFS(OUT!$F$2:$F$11000,OUT!$H$2:$H$11000,H611,OUT!$D$2:$D$11000,"Out",OUT!$E$2:$E$11000,"Fix")</f>
        <v>2865413</v>
      </c>
      <c r="L611" s="52">
        <f ca="1">SUMIFS(OUT!$F$2:$F$11000,OUT!$H$2:$H$11000,H611,OUT!$D$2:$D$11000,"Out",OUT!$E$2:$E$11000,"Bathroom")</f>
        <v>120488</v>
      </c>
      <c r="M611" s="52">
        <f ca="1">SUMIFS(OUT!$F$2:$F$11000,OUT!$H$2:$H$11000,H611,OUT!$D$2:$D$11000,"Out",OUT!$E$2:$E$11000,"Alfa")</f>
        <v>890962</v>
      </c>
      <c r="N611" s="52" t="e">
        <f ca="1">SUMIFS(OUT!$F$2:$F$11000,OUT!$H$2:$H$101007,H611,OUT!$D$2:$D$11000,"Out",OUT!$E$2:$E$11000,"Jajan")</f>
        <v>#VALUE!</v>
      </c>
      <c r="O611" s="52">
        <f ca="1">SUMIFS(OUT!$F$2:$F$11000,OUT!$H$2:$H$11000,H611,OUT!$D$2:$D$11000,"Out",OUT!$E$2:$E$11000,"Kitchen")</f>
        <v>1152600</v>
      </c>
      <c r="P611" s="52">
        <f ca="1">SUMIFS(OUT!$F$2:$F$11000,OUT!$H$2:$H$11000,H611,OUT!$D$2:$D$11000,"Out",OUT!$E$2:$E$11000,"Loandry")</f>
        <v>41000</v>
      </c>
      <c r="Q611" s="52">
        <f ca="1">SUMIFS(OUT!$F$2:$F$11000,OUT!$H$2:$H$11000,H611,OUT!$D$2:$D$11000,"Out",OUT!$E$2:$E$11000,"Mio")</f>
        <v>895700</v>
      </c>
      <c r="R611" s="52">
        <f ca="1">SUMIFS(OUT!$F$2:$F$11000,OUT!$H$2:$H$11000,H611,OUT!$D$2:$D$11000,"Out",OUT!$E$2:$E$11000,"Sedekah")</f>
        <v>130000</v>
      </c>
      <c r="S611" s="52">
        <f ca="1">SUMIFS(OUT!$F$2:$F$11000,OUT!$H$2:$H$11000,H611,OUT!$D$2:$D$11000,"Out",OUT!$E$2:$E$11000,"Zela")</f>
        <v>215161</v>
      </c>
      <c r="T611" s="52">
        <f ca="1">SUMIFS(OUT!$F$2:$F$11000,OUT!$H$2:$H$11000,H611,OUT!$D$2:$D$11000,"Out",OUT!$E$2:$E$11000,"Iqbal")</f>
        <v>215000</v>
      </c>
    </row>
    <row r="612" spans="1:20" x14ac:dyDescent="0.2">
      <c r="A612" s="48">
        <f ca="1">IFERROR(__xludf.DUMMYFUNCTION("""COMPUTED_VALUE"""),46099)</f>
        <v>46099</v>
      </c>
      <c r="B612" s="4" t="str">
        <f ca="1">IFERROR(__xludf.DUMMYFUNCTION("""COMPUTED_VALUE"""),"Seres + Plastik Gula")</f>
        <v>Seres + Plastik Gula</v>
      </c>
      <c r="C612" s="4" t="str">
        <f ca="1">IFERROR(__xludf.DUMMYFUNCTION("""COMPUTED_VALUE"""),"Cash")</f>
        <v>Cash</v>
      </c>
      <c r="D612" s="4" t="str">
        <f ca="1">IFERROR(__xludf.DUMMYFUNCTION("""COMPUTED_VALUE"""),"Out")</f>
        <v>Out</v>
      </c>
      <c r="E612" s="4" t="str">
        <f ca="1">IFERROR(__xludf.DUMMYFUNCTION("""COMPUTED_VALUE"""),"Kitchen")</f>
        <v>Kitchen</v>
      </c>
      <c r="F612" s="49">
        <f ca="1">IFERROR(__xludf.DUMMYFUNCTION("""COMPUTED_VALUE"""),8000)</f>
        <v>8000</v>
      </c>
      <c r="G612" s="50" t="str">
        <f ca="1">IFERROR(__xludf.DUMMYFUNCTION("""COMPUTED_VALUE"""),"Zela")</f>
        <v>Zela</v>
      </c>
      <c r="H612" s="51">
        <f t="shared" ca="1" si="0"/>
        <v>46082</v>
      </c>
      <c r="I612" s="52" t="e">
        <f ca="1">SUMIFS(OUT!$F$2:$F$11000,OUT!$H$2:$H$11000,H612,OUT!$D$2:$D$101007,"In")</f>
        <v>#VALUE!</v>
      </c>
      <c r="J612" s="52">
        <f ca="1">SUMIFS(OUT!$F$2:$F$11000,OUT!$H$2:$H$11000,H612,OUT!$D$2:$D$11000,"Out")</f>
        <v>12026623</v>
      </c>
      <c r="K612" s="52">
        <f ca="1">SUMIFS(OUT!$F$2:$F$11000,OUT!$H$2:$H$11000,H612,OUT!$D$2:$D$11000,"Out",OUT!$E$2:$E$11000,"Fix")</f>
        <v>2865413</v>
      </c>
      <c r="L612" s="52">
        <f ca="1">SUMIFS(OUT!$F$2:$F$11000,OUT!$H$2:$H$11000,H612,OUT!$D$2:$D$11000,"Out",OUT!$E$2:$E$11000,"Bathroom")</f>
        <v>120488</v>
      </c>
      <c r="M612" s="52">
        <f ca="1">SUMIFS(OUT!$F$2:$F$11000,OUT!$H$2:$H$11000,H612,OUT!$D$2:$D$11000,"Out",OUT!$E$2:$E$11000,"Alfa")</f>
        <v>890962</v>
      </c>
      <c r="N612" s="52" t="e">
        <f ca="1">SUMIFS(OUT!$F$2:$F$11000,OUT!$H$2:$H$101007,H612,OUT!$D$2:$D$11000,"Out",OUT!$E$2:$E$11000,"Jajan")</f>
        <v>#VALUE!</v>
      </c>
      <c r="O612" s="52">
        <f ca="1">SUMIFS(OUT!$F$2:$F$11000,OUT!$H$2:$H$11000,H612,OUT!$D$2:$D$11000,"Out",OUT!$E$2:$E$11000,"Kitchen")</f>
        <v>1152600</v>
      </c>
      <c r="P612" s="52">
        <f ca="1">SUMIFS(OUT!$F$2:$F$11000,OUT!$H$2:$H$11000,H612,OUT!$D$2:$D$11000,"Out",OUT!$E$2:$E$11000,"Loandry")</f>
        <v>41000</v>
      </c>
      <c r="Q612" s="52">
        <f ca="1">SUMIFS(OUT!$F$2:$F$11000,OUT!$H$2:$H$11000,H612,OUT!$D$2:$D$11000,"Out",OUT!$E$2:$E$11000,"Mio")</f>
        <v>895700</v>
      </c>
      <c r="R612" s="52">
        <f ca="1">SUMIFS(OUT!$F$2:$F$11000,OUT!$H$2:$H$11000,H612,OUT!$D$2:$D$11000,"Out",OUT!$E$2:$E$11000,"Sedekah")</f>
        <v>130000</v>
      </c>
      <c r="S612" s="52">
        <f ca="1">SUMIFS(OUT!$F$2:$F$11000,OUT!$H$2:$H$11000,H612,OUT!$D$2:$D$11000,"Out",OUT!$E$2:$E$11000,"Zela")</f>
        <v>215161</v>
      </c>
      <c r="T612" s="52">
        <f ca="1">SUMIFS(OUT!$F$2:$F$11000,OUT!$H$2:$H$11000,H612,OUT!$D$2:$D$11000,"Out",OUT!$E$2:$E$11000,"Iqbal")</f>
        <v>215000</v>
      </c>
    </row>
    <row r="613" spans="1:20" x14ac:dyDescent="0.2">
      <c r="A613" s="48">
        <f ca="1">IFERROR(__xludf.DUMMYFUNCTION("""COMPUTED_VALUE"""),46099)</f>
        <v>46099</v>
      </c>
      <c r="B613" s="4" t="str">
        <f ca="1">IFERROR(__xludf.DUMMYFUNCTION("""COMPUTED_VALUE"""),"Toserba ( sapudll,lakban dll)")</f>
        <v>Toserba ( sapudll,lakban dll)</v>
      </c>
      <c r="C613" s="4" t="str">
        <f ca="1">IFERROR(__xludf.DUMMYFUNCTION("""COMPUTED_VALUE"""),"ATM")</f>
        <v>ATM</v>
      </c>
      <c r="D613" s="4" t="str">
        <f ca="1">IFERROR(__xludf.DUMMYFUNCTION("""COMPUTED_VALUE"""),"Out")</f>
        <v>Out</v>
      </c>
      <c r="E613" s="4" t="str">
        <f ca="1">IFERROR(__xludf.DUMMYFUNCTION("""COMPUTED_VALUE"""),"Kitchen")</f>
        <v>Kitchen</v>
      </c>
      <c r="F613" s="49">
        <f ca="1">IFERROR(__xludf.DUMMYFUNCTION("""COMPUTED_VALUE"""),73000)</f>
        <v>73000</v>
      </c>
      <c r="G613" s="50" t="str">
        <f ca="1">IFERROR(__xludf.DUMMYFUNCTION("""COMPUTED_VALUE"""),"Zela")</f>
        <v>Zela</v>
      </c>
      <c r="H613" s="51">
        <f t="shared" ca="1" si="0"/>
        <v>46082</v>
      </c>
      <c r="I613" s="52" t="e">
        <f ca="1">SUMIFS(OUT!$F$2:$F$11000,OUT!$H$2:$H$11000,H613,OUT!$D$2:$D$101007,"In")</f>
        <v>#VALUE!</v>
      </c>
      <c r="J613" s="52">
        <f ca="1">SUMIFS(OUT!$F$2:$F$11000,OUT!$H$2:$H$11000,H613,OUT!$D$2:$D$11000,"Out")</f>
        <v>12026623</v>
      </c>
      <c r="K613" s="52">
        <f ca="1">SUMIFS(OUT!$F$2:$F$11000,OUT!$H$2:$H$11000,H613,OUT!$D$2:$D$11000,"Out",OUT!$E$2:$E$11000,"Fix")</f>
        <v>2865413</v>
      </c>
      <c r="L613" s="52">
        <f ca="1">SUMIFS(OUT!$F$2:$F$11000,OUT!$H$2:$H$11000,H613,OUT!$D$2:$D$11000,"Out",OUT!$E$2:$E$11000,"Bathroom")</f>
        <v>120488</v>
      </c>
      <c r="M613" s="52">
        <f ca="1">SUMIFS(OUT!$F$2:$F$11000,OUT!$H$2:$H$11000,H613,OUT!$D$2:$D$11000,"Out",OUT!$E$2:$E$11000,"Alfa")</f>
        <v>890962</v>
      </c>
      <c r="N613" s="52" t="e">
        <f ca="1">SUMIFS(OUT!$F$2:$F$11000,OUT!$H$2:$H$101007,H613,OUT!$D$2:$D$11000,"Out",OUT!$E$2:$E$11000,"Jajan")</f>
        <v>#VALUE!</v>
      </c>
      <c r="O613" s="52">
        <f ca="1">SUMIFS(OUT!$F$2:$F$11000,OUT!$H$2:$H$11000,H613,OUT!$D$2:$D$11000,"Out",OUT!$E$2:$E$11000,"Kitchen")</f>
        <v>1152600</v>
      </c>
      <c r="P613" s="52">
        <f ca="1">SUMIFS(OUT!$F$2:$F$11000,OUT!$H$2:$H$11000,H613,OUT!$D$2:$D$11000,"Out",OUT!$E$2:$E$11000,"Loandry")</f>
        <v>41000</v>
      </c>
      <c r="Q613" s="52">
        <f ca="1">SUMIFS(OUT!$F$2:$F$11000,OUT!$H$2:$H$11000,H613,OUT!$D$2:$D$11000,"Out",OUT!$E$2:$E$11000,"Mio")</f>
        <v>895700</v>
      </c>
      <c r="R613" s="52">
        <f ca="1">SUMIFS(OUT!$F$2:$F$11000,OUT!$H$2:$H$11000,H613,OUT!$D$2:$D$11000,"Out",OUT!$E$2:$E$11000,"Sedekah")</f>
        <v>130000</v>
      </c>
      <c r="S613" s="52">
        <f ca="1">SUMIFS(OUT!$F$2:$F$11000,OUT!$H$2:$H$11000,H613,OUT!$D$2:$D$11000,"Out",OUT!$E$2:$E$11000,"Zela")</f>
        <v>215161</v>
      </c>
      <c r="T613" s="52">
        <f ca="1">SUMIFS(OUT!$F$2:$F$11000,OUT!$H$2:$H$11000,H613,OUT!$D$2:$D$11000,"Out",OUT!$E$2:$E$11000,"Iqbal")</f>
        <v>215000</v>
      </c>
    </row>
    <row r="614" spans="1:20" x14ac:dyDescent="0.2">
      <c r="A614" s="48">
        <f ca="1">IFERROR(__xludf.DUMMYFUNCTION("""COMPUTED_VALUE"""),46099)</f>
        <v>46099</v>
      </c>
      <c r="B614" s="4" t="str">
        <f ca="1">IFERROR(__xludf.DUMMYFUNCTION("""COMPUTED_VALUE"""),"Tarik Tunai")</f>
        <v>Tarik Tunai</v>
      </c>
      <c r="C614" s="4" t="str">
        <f ca="1">IFERROR(__xludf.DUMMYFUNCTION("""COMPUTED_VALUE"""),"ATM")</f>
        <v>ATM</v>
      </c>
      <c r="D614" s="4" t="str">
        <f ca="1">IFERROR(__xludf.DUMMYFUNCTION("""COMPUTED_VALUE"""),"Out")</f>
        <v>Out</v>
      </c>
      <c r="E614" s="4" t="str">
        <f ca="1">IFERROR(__xludf.DUMMYFUNCTION("""COMPUTED_VALUE"""),"Move")</f>
        <v>Move</v>
      </c>
      <c r="F614" s="49">
        <f ca="1">IFERROR(__xludf.DUMMYFUNCTION("""COMPUTED_VALUE"""),200000)</f>
        <v>200000</v>
      </c>
      <c r="G614" s="50" t="str">
        <f ca="1">IFERROR(__xludf.DUMMYFUNCTION("""COMPUTED_VALUE"""),"Zela")</f>
        <v>Zela</v>
      </c>
      <c r="H614" s="51">
        <f t="shared" ca="1" si="0"/>
        <v>46082</v>
      </c>
      <c r="I614" s="52" t="e">
        <f ca="1">SUMIFS(OUT!$F$2:$F$11000,OUT!$H$2:$H$11000,H614,OUT!$D$2:$D$101007,"In")</f>
        <v>#VALUE!</v>
      </c>
      <c r="J614" s="52">
        <f ca="1">SUMIFS(OUT!$F$2:$F$11000,OUT!$H$2:$H$11000,H614,OUT!$D$2:$D$11000,"Out")</f>
        <v>12026623</v>
      </c>
      <c r="K614" s="52">
        <f ca="1">SUMIFS(OUT!$F$2:$F$11000,OUT!$H$2:$H$11000,H614,OUT!$D$2:$D$11000,"Out",OUT!$E$2:$E$11000,"Fix")</f>
        <v>2865413</v>
      </c>
      <c r="L614" s="52">
        <f ca="1">SUMIFS(OUT!$F$2:$F$11000,OUT!$H$2:$H$11000,H614,OUT!$D$2:$D$11000,"Out",OUT!$E$2:$E$11000,"Bathroom")</f>
        <v>120488</v>
      </c>
      <c r="M614" s="52">
        <f ca="1">SUMIFS(OUT!$F$2:$F$11000,OUT!$H$2:$H$11000,H614,OUT!$D$2:$D$11000,"Out",OUT!$E$2:$E$11000,"Alfa")</f>
        <v>890962</v>
      </c>
      <c r="N614" s="52" t="e">
        <f ca="1">SUMIFS(OUT!$F$2:$F$11000,OUT!$H$2:$H$101007,H614,OUT!$D$2:$D$11000,"Out",OUT!$E$2:$E$11000,"Jajan")</f>
        <v>#VALUE!</v>
      </c>
      <c r="O614" s="52">
        <f ca="1">SUMIFS(OUT!$F$2:$F$11000,OUT!$H$2:$H$11000,H614,OUT!$D$2:$D$11000,"Out",OUT!$E$2:$E$11000,"Kitchen")</f>
        <v>1152600</v>
      </c>
      <c r="P614" s="52">
        <f ca="1">SUMIFS(OUT!$F$2:$F$11000,OUT!$H$2:$H$11000,H614,OUT!$D$2:$D$11000,"Out",OUT!$E$2:$E$11000,"Loandry")</f>
        <v>41000</v>
      </c>
      <c r="Q614" s="52">
        <f ca="1">SUMIFS(OUT!$F$2:$F$11000,OUT!$H$2:$H$11000,H614,OUT!$D$2:$D$11000,"Out",OUT!$E$2:$E$11000,"Mio")</f>
        <v>895700</v>
      </c>
      <c r="R614" s="52">
        <f ca="1">SUMIFS(OUT!$F$2:$F$11000,OUT!$H$2:$H$11000,H614,OUT!$D$2:$D$11000,"Out",OUT!$E$2:$E$11000,"Sedekah")</f>
        <v>130000</v>
      </c>
      <c r="S614" s="52">
        <f ca="1">SUMIFS(OUT!$F$2:$F$11000,OUT!$H$2:$H$11000,H614,OUT!$D$2:$D$11000,"Out",OUT!$E$2:$E$11000,"Zela")</f>
        <v>215161</v>
      </c>
      <c r="T614" s="52">
        <f ca="1">SUMIFS(OUT!$F$2:$F$11000,OUT!$H$2:$H$11000,H614,OUT!$D$2:$D$11000,"Out",OUT!$E$2:$E$11000,"Iqbal")</f>
        <v>215000</v>
      </c>
    </row>
    <row r="615" spans="1:20" x14ac:dyDescent="0.2">
      <c r="A615" s="48">
        <f ca="1">IFERROR(__xludf.DUMMYFUNCTION("""COMPUTED_VALUE"""),46099)</f>
        <v>46099</v>
      </c>
      <c r="B615" s="4" t="str">
        <f ca="1">IFERROR(__xludf.DUMMYFUNCTION("""COMPUTED_VALUE"""),"Terima Tunai")</f>
        <v>Terima Tunai</v>
      </c>
      <c r="C615" s="4" t="str">
        <f ca="1">IFERROR(__xludf.DUMMYFUNCTION("""COMPUTED_VALUE"""),"Cash")</f>
        <v>Cash</v>
      </c>
      <c r="D615" s="4" t="str">
        <f ca="1">IFERROR(__xludf.DUMMYFUNCTION("""COMPUTED_VALUE"""),"In")</f>
        <v>In</v>
      </c>
      <c r="E615" s="4" t="str">
        <f ca="1">IFERROR(__xludf.DUMMYFUNCTION("""COMPUTED_VALUE"""),"Move")</f>
        <v>Move</v>
      </c>
      <c r="F615" s="49">
        <f ca="1">IFERROR(__xludf.DUMMYFUNCTION("""COMPUTED_VALUE"""),200000)</f>
        <v>200000</v>
      </c>
      <c r="G615" s="50" t="str">
        <f ca="1">IFERROR(__xludf.DUMMYFUNCTION("""COMPUTED_VALUE"""),"Zela")</f>
        <v>Zela</v>
      </c>
      <c r="H615" s="51">
        <f t="shared" ca="1" si="0"/>
        <v>46082</v>
      </c>
      <c r="I615" s="52" t="e">
        <f ca="1">SUMIFS(OUT!$F$2:$F$11000,OUT!$H$2:$H$11000,H615,OUT!$D$2:$D$101007,"In")</f>
        <v>#VALUE!</v>
      </c>
      <c r="J615" s="52">
        <f ca="1">SUMIFS(OUT!$F$2:$F$11000,OUT!$H$2:$H$11000,H615,OUT!$D$2:$D$11000,"Out")</f>
        <v>12026623</v>
      </c>
      <c r="K615" s="52">
        <f ca="1">SUMIFS(OUT!$F$2:$F$11000,OUT!$H$2:$H$11000,H615,OUT!$D$2:$D$11000,"Out",OUT!$E$2:$E$11000,"Fix")</f>
        <v>2865413</v>
      </c>
      <c r="L615" s="52">
        <f ca="1">SUMIFS(OUT!$F$2:$F$11000,OUT!$H$2:$H$11000,H615,OUT!$D$2:$D$11000,"Out",OUT!$E$2:$E$11000,"Bathroom")</f>
        <v>120488</v>
      </c>
      <c r="M615" s="52">
        <f ca="1">SUMIFS(OUT!$F$2:$F$11000,OUT!$H$2:$H$11000,H615,OUT!$D$2:$D$11000,"Out",OUT!$E$2:$E$11000,"Alfa")</f>
        <v>890962</v>
      </c>
      <c r="N615" s="52" t="e">
        <f ca="1">SUMIFS(OUT!$F$2:$F$11000,OUT!$H$2:$H$101007,H615,OUT!$D$2:$D$11000,"Out",OUT!$E$2:$E$11000,"Jajan")</f>
        <v>#VALUE!</v>
      </c>
      <c r="O615" s="52">
        <f ca="1">SUMIFS(OUT!$F$2:$F$11000,OUT!$H$2:$H$11000,H615,OUT!$D$2:$D$11000,"Out",OUT!$E$2:$E$11000,"Kitchen")</f>
        <v>1152600</v>
      </c>
      <c r="P615" s="52">
        <f ca="1">SUMIFS(OUT!$F$2:$F$11000,OUT!$H$2:$H$11000,H615,OUT!$D$2:$D$11000,"Out",OUT!$E$2:$E$11000,"Loandry")</f>
        <v>41000</v>
      </c>
      <c r="Q615" s="52">
        <f ca="1">SUMIFS(OUT!$F$2:$F$11000,OUT!$H$2:$H$11000,H615,OUT!$D$2:$D$11000,"Out",OUT!$E$2:$E$11000,"Mio")</f>
        <v>895700</v>
      </c>
      <c r="R615" s="52">
        <f ca="1">SUMIFS(OUT!$F$2:$F$11000,OUT!$H$2:$H$11000,H615,OUT!$D$2:$D$11000,"Out",OUT!$E$2:$E$11000,"Sedekah")</f>
        <v>130000</v>
      </c>
      <c r="S615" s="52">
        <f ca="1">SUMIFS(OUT!$F$2:$F$11000,OUT!$H$2:$H$11000,H615,OUT!$D$2:$D$11000,"Out",OUT!$E$2:$E$11000,"Zela")</f>
        <v>215161</v>
      </c>
      <c r="T615" s="52">
        <f ca="1">SUMIFS(OUT!$F$2:$F$11000,OUT!$H$2:$H$11000,H615,OUT!$D$2:$D$11000,"Out",OUT!$E$2:$E$11000,"Iqbal")</f>
        <v>215000</v>
      </c>
    </row>
    <row r="616" spans="1:20" x14ac:dyDescent="0.2">
      <c r="A616" s="48">
        <f ca="1">IFERROR(__xludf.DUMMYFUNCTION("""COMPUTED_VALUE"""),46099)</f>
        <v>46099</v>
      </c>
      <c r="B616" s="4" t="str">
        <f ca="1">IFERROR(__xludf.DUMMYFUNCTION("""COMPUTED_VALUE"""),"teh es + jajan Alfa")</f>
        <v>teh es + jajan Alfa</v>
      </c>
      <c r="C616" s="4" t="str">
        <f ca="1">IFERROR(__xludf.DUMMYFUNCTION("""COMPUTED_VALUE"""),"Cash")</f>
        <v>Cash</v>
      </c>
      <c r="D616" s="4" t="str">
        <f ca="1">IFERROR(__xludf.DUMMYFUNCTION("""COMPUTED_VALUE"""),"Out")</f>
        <v>Out</v>
      </c>
      <c r="E616" s="4" t="str">
        <f ca="1">IFERROR(__xludf.DUMMYFUNCTION("""COMPUTED_VALUE"""),"Jajan")</f>
        <v>Jajan</v>
      </c>
      <c r="F616" s="49">
        <f ca="1">IFERROR(__xludf.DUMMYFUNCTION("""COMPUTED_VALUE"""),25000)</f>
        <v>25000</v>
      </c>
      <c r="G616" s="50" t="str">
        <f ca="1">IFERROR(__xludf.DUMMYFUNCTION("""COMPUTED_VALUE"""),"Zela")</f>
        <v>Zela</v>
      </c>
      <c r="H616" s="51">
        <f t="shared" ca="1" si="0"/>
        <v>46082</v>
      </c>
      <c r="I616" s="52" t="e">
        <f ca="1">SUMIFS(OUT!$F$2:$F$11000,OUT!$H$2:$H$11000,H616,OUT!$D$2:$D$101007,"In")</f>
        <v>#VALUE!</v>
      </c>
      <c r="J616" s="52">
        <f ca="1">SUMIFS(OUT!$F$2:$F$11000,OUT!$H$2:$H$11000,H616,OUT!$D$2:$D$11000,"Out")</f>
        <v>12026623</v>
      </c>
      <c r="K616" s="52">
        <f ca="1">SUMIFS(OUT!$F$2:$F$11000,OUT!$H$2:$H$11000,H616,OUT!$D$2:$D$11000,"Out",OUT!$E$2:$E$11000,"Fix")</f>
        <v>2865413</v>
      </c>
      <c r="L616" s="52">
        <f ca="1">SUMIFS(OUT!$F$2:$F$11000,OUT!$H$2:$H$11000,H616,OUT!$D$2:$D$11000,"Out",OUT!$E$2:$E$11000,"Bathroom")</f>
        <v>120488</v>
      </c>
      <c r="M616" s="52">
        <f ca="1">SUMIFS(OUT!$F$2:$F$11000,OUT!$H$2:$H$11000,H616,OUT!$D$2:$D$11000,"Out",OUT!$E$2:$E$11000,"Alfa")</f>
        <v>890962</v>
      </c>
      <c r="N616" s="52" t="e">
        <f ca="1">SUMIFS(OUT!$F$2:$F$11000,OUT!$H$2:$H$101007,H616,OUT!$D$2:$D$11000,"Out",OUT!$E$2:$E$11000,"Jajan")</f>
        <v>#VALUE!</v>
      </c>
      <c r="O616" s="52">
        <f ca="1">SUMIFS(OUT!$F$2:$F$11000,OUT!$H$2:$H$11000,H616,OUT!$D$2:$D$11000,"Out",OUT!$E$2:$E$11000,"Kitchen")</f>
        <v>1152600</v>
      </c>
      <c r="P616" s="52">
        <f ca="1">SUMIFS(OUT!$F$2:$F$11000,OUT!$H$2:$H$11000,H616,OUT!$D$2:$D$11000,"Out",OUT!$E$2:$E$11000,"Loandry")</f>
        <v>41000</v>
      </c>
      <c r="Q616" s="52">
        <f ca="1">SUMIFS(OUT!$F$2:$F$11000,OUT!$H$2:$H$11000,H616,OUT!$D$2:$D$11000,"Out",OUT!$E$2:$E$11000,"Mio")</f>
        <v>895700</v>
      </c>
      <c r="R616" s="52">
        <f ca="1">SUMIFS(OUT!$F$2:$F$11000,OUT!$H$2:$H$11000,H616,OUT!$D$2:$D$11000,"Out",OUT!$E$2:$E$11000,"Sedekah")</f>
        <v>130000</v>
      </c>
      <c r="S616" s="52">
        <f ca="1">SUMIFS(OUT!$F$2:$F$11000,OUT!$H$2:$H$11000,H616,OUT!$D$2:$D$11000,"Out",OUT!$E$2:$E$11000,"Zela")</f>
        <v>215161</v>
      </c>
      <c r="T616" s="52">
        <f ca="1">SUMIFS(OUT!$F$2:$F$11000,OUT!$H$2:$H$11000,H616,OUT!$D$2:$D$11000,"Out",OUT!$E$2:$E$11000,"Iqbal")</f>
        <v>215000</v>
      </c>
    </row>
    <row r="617" spans="1:20" x14ac:dyDescent="0.2">
      <c r="A617" s="48">
        <f ca="1">IFERROR(__xludf.DUMMYFUNCTION("""COMPUTED_VALUE"""),46099)</f>
        <v>46099</v>
      </c>
      <c r="B617" s="4" t="str">
        <f ca="1">IFERROR(__xludf.DUMMYFUNCTION("""COMPUTED_VALUE"""),"BensiN Motor")</f>
        <v>BensiN Motor</v>
      </c>
      <c r="C617" s="4" t="str">
        <f ca="1">IFERROR(__xludf.DUMMYFUNCTION("""COMPUTED_VALUE"""),"Cash")</f>
        <v>Cash</v>
      </c>
      <c r="D617" s="4" t="str">
        <f ca="1">IFERROR(__xludf.DUMMYFUNCTION("""COMPUTED_VALUE"""),"Out")</f>
        <v>Out</v>
      </c>
      <c r="E617" s="4" t="str">
        <f ca="1">IFERROR(__xludf.DUMMYFUNCTION("""COMPUTED_VALUE"""),"Mio")</f>
        <v>Mio</v>
      </c>
      <c r="F617" s="49">
        <f ca="1">IFERROR(__xludf.DUMMYFUNCTION("""COMPUTED_VALUE"""),30000)</f>
        <v>30000</v>
      </c>
      <c r="G617" s="50" t="str">
        <f ca="1">IFERROR(__xludf.DUMMYFUNCTION("""COMPUTED_VALUE"""),"Zela")</f>
        <v>Zela</v>
      </c>
      <c r="H617" s="51">
        <f t="shared" ca="1" si="0"/>
        <v>46082</v>
      </c>
      <c r="I617" s="52" t="e">
        <f ca="1">SUMIFS(OUT!$F$2:$F$11000,OUT!$H$2:$H$11000,H617,OUT!$D$2:$D$101007,"In")</f>
        <v>#VALUE!</v>
      </c>
      <c r="J617" s="52">
        <f ca="1">SUMIFS(OUT!$F$2:$F$11000,OUT!$H$2:$H$11000,H617,OUT!$D$2:$D$11000,"Out")</f>
        <v>12026623</v>
      </c>
      <c r="K617" s="52">
        <f ca="1">SUMIFS(OUT!$F$2:$F$11000,OUT!$H$2:$H$11000,H617,OUT!$D$2:$D$11000,"Out",OUT!$E$2:$E$11000,"Fix")</f>
        <v>2865413</v>
      </c>
      <c r="L617" s="52">
        <f ca="1">SUMIFS(OUT!$F$2:$F$11000,OUT!$H$2:$H$11000,H617,OUT!$D$2:$D$11000,"Out",OUT!$E$2:$E$11000,"Bathroom")</f>
        <v>120488</v>
      </c>
      <c r="M617" s="52">
        <f ca="1">SUMIFS(OUT!$F$2:$F$11000,OUT!$H$2:$H$11000,H617,OUT!$D$2:$D$11000,"Out",OUT!$E$2:$E$11000,"Alfa")</f>
        <v>890962</v>
      </c>
      <c r="N617" s="52" t="e">
        <f ca="1">SUMIFS(OUT!$F$2:$F$11000,OUT!$H$2:$H$101007,H617,OUT!$D$2:$D$11000,"Out",OUT!$E$2:$E$11000,"Jajan")</f>
        <v>#VALUE!</v>
      </c>
      <c r="O617" s="52">
        <f ca="1">SUMIFS(OUT!$F$2:$F$11000,OUT!$H$2:$H$11000,H617,OUT!$D$2:$D$11000,"Out",OUT!$E$2:$E$11000,"Kitchen")</f>
        <v>1152600</v>
      </c>
      <c r="P617" s="52">
        <f ca="1">SUMIFS(OUT!$F$2:$F$11000,OUT!$H$2:$H$11000,H617,OUT!$D$2:$D$11000,"Out",OUT!$E$2:$E$11000,"Loandry")</f>
        <v>41000</v>
      </c>
      <c r="Q617" s="52">
        <f ca="1">SUMIFS(OUT!$F$2:$F$11000,OUT!$H$2:$H$11000,H617,OUT!$D$2:$D$11000,"Out",OUT!$E$2:$E$11000,"Mio")</f>
        <v>895700</v>
      </c>
      <c r="R617" s="52">
        <f ca="1">SUMIFS(OUT!$F$2:$F$11000,OUT!$H$2:$H$11000,H617,OUT!$D$2:$D$11000,"Out",OUT!$E$2:$E$11000,"Sedekah")</f>
        <v>130000</v>
      </c>
      <c r="S617" s="52">
        <f ca="1">SUMIFS(OUT!$F$2:$F$11000,OUT!$H$2:$H$11000,H617,OUT!$D$2:$D$11000,"Out",OUT!$E$2:$E$11000,"Zela")</f>
        <v>215161</v>
      </c>
      <c r="T617" s="52">
        <f ca="1">SUMIFS(OUT!$F$2:$F$11000,OUT!$H$2:$H$11000,H617,OUT!$D$2:$D$11000,"Out",OUT!$E$2:$E$11000,"Iqbal")</f>
        <v>215000</v>
      </c>
    </row>
    <row r="618" spans="1:20" x14ac:dyDescent="0.2">
      <c r="A618" s="48">
        <f ca="1">IFERROR(__xludf.DUMMYFUNCTION("""COMPUTED_VALUE"""),46099)</f>
        <v>46099</v>
      </c>
      <c r="B618" s="4" t="str">
        <f ca="1">IFERROR(__xludf.DUMMYFUNCTION("""COMPUTED_VALUE"""),"Yogurt Alfa")</f>
        <v>Yogurt Alfa</v>
      </c>
      <c r="C618" s="4" t="str">
        <f ca="1">IFERROR(__xludf.DUMMYFUNCTION("""COMPUTED_VALUE"""),"Cash")</f>
        <v>Cash</v>
      </c>
      <c r="D618" s="4" t="str">
        <f ca="1">IFERROR(__xludf.DUMMYFUNCTION("""COMPUTED_VALUE"""),"Out")</f>
        <v>Out</v>
      </c>
      <c r="E618" s="4" t="str">
        <f ca="1">IFERROR(__xludf.DUMMYFUNCTION("""COMPUTED_VALUE"""),"Jajan")</f>
        <v>Jajan</v>
      </c>
      <c r="F618" s="49">
        <f ca="1">IFERROR(__xludf.DUMMYFUNCTION("""COMPUTED_VALUE"""),9300)</f>
        <v>9300</v>
      </c>
      <c r="G618" s="50" t="str">
        <f ca="1">IFERROR(__xludf.DUMMYFUNCTION("""COMPUTED_VALUE"""),"Zela")</f>
        <v>Zela</v>
      </c>
      <c r="H618" s="51">
        <f t="shared" ca="1" si="0"/>
        <v>46082</v>
      </c>
      <c r="I618" s="52" t="e">
        <f ca="1">SUMIFS(OUT!$F$2:$F$11000,OUT!$H$2:$H$11000,H618,OUT!$D$2:$D$101007,"In")</f>
        <v>#VALUE!</v>
      </c>
      <c r="J618" s="52">
        <f ca="1">SUMIFS(OUT!$F$2:$F$11000,OUT!$H$2:$H$11000,H618,OUT!$D$2:$D$11000,"Out")</f>
        <v>12026623</v>
      </c>
      <c r="K618" s="52">
        <f ca="1">SUMIFS(OUT!$F$2:$F$11000,OUT!$H$2:$H$11000,H618,OUT!$D$2:$D$11000,"Out",OUT!$E$2:$E$11000,"Fix")</f>
        <v>2865413</v>
      </c>
      <c r="L618" s="52">
        <f ca="1">SUMIFS(OUT!$F$2:$F$11000,OUT!$H$2:$H$11000,H618,OUT!$D$2:$D$11000,"Out",OUT!$E$2:$E$11000,"Bathroom")</f>
        <v>120488</v>
      </c>
      <c r="M618" s="52">
        <f ca="1">SUMIFS(OUT!$F$2:$F$11000,OUT!$H$2:$H$11000,H618,OUT!$D$2:$D$11000,"Out",OUT!$E$2:$E$11000,"Alfa")</f>
        <v>890962</v>
      </c>
      <c r="N618" s="52" t="e">
        <f ca="1">SUMIFS(OUT!$F$2:$F$11000,OUT!$H$2:$H$101007,H618,OUT!$D$2:$D$11000,"Out",OUT!$E$2:$E$11000,"Jajan")</f>
        <v>#VALUE!</v>
      </c>
      <c r="O618" s="52">
        <f ca="1">SUMIFS(OUT!$F$2:$F$11000,OUT!$H$2:$H$11000,H618,OUT!$D$2:$D$11000,"Out",OUT!$E$2:$E$11000,"Kitchen")</f>
        <v>1152600</v>
      </c>
      <c r="P618" s="52">
        <f ca="1">SUMIFS(OUT!$F$2:$F$11000,OUT!$H$2:$H$11000,H618,OUT!$D$2:$D$11000,"Out",OUT!$E$2:$E$11000,"Loandry")</f>
        <v>41000</v>
      </c>
      <c r="Q618" s="52">
        <f ca="1">SUMIFS(OUT!$F$2:$F$11000,OUT!$H$2:$H$11000,H618,OUT!$D$2:$D$11000,"Out",OUT!$E$2:$E$11000,"Mio")</f>
        <v>895700</v>
      </c>
      <c r="R618" s="52">
        <f ca="1">SUMIFS(OUT!$F$2:$F$11000,OUT!$H$2:$H$11000,H618,OUT!$D$2:$D$11000,"Out",OUT!$E$2:$E$11000,"Sedekah")</f>
        <v>130000</v>
      </c>
      <c r="S618" s="52">
        <f ca="1">SUMIFS(OUT!$F$2:$F$11000,OUT!$H$2:$H$11000,H618,OUT!$D$2:$D$11000,"Out",OUT!$E$2:$E$11000,"Zela")</f>
        <v>215161</v>
      </c>
      <c r="T618" s="52">
        <f ca="1">SUMIFS(OUT!$F$2:$F$11000,OUT!$H$2:$H$11000,H618,OUT!$D$2:$D$11000,"Out",OUT!$E$2:$E$11000,"Iqbal")</f>
        <v>215000</v>
      </c>
    </row>
    <row r="619" spans="1:20" x14ac:dyDescent="0.2">
      <c r="A619" s="48">
        <f ca="1">IFERROR(__xludf.DUMMYFUNCTION("""COMPUTED_VALUE"""),46099)</f>
        <v>46099</v>
      </c>
      <c r="B619" s="4" t="str">
        <f ca="1">IFERROR(__xludf.DUMMYFUNCTION("""COMPUTED_VALUE"""),"Parkir giant")</f>
        <v>Parkir giant</v>
      </c>
      <c r="C619" s="4" t="str">
        <f ca="1">IFERROR(__xludf.DUMMYFUNCTION("""COMPUTED_VALUE"""),"Cash")</f>
        <v>Cash</v>
      </c>
      <c r="D619" s="4" t="str">
        <f ca="1">IFERROR(__xludf.DUMMYFUNCTION("""COMPUTED_VALUE"""),"Out")</f>
        <v>Out</v>
      </c>
      <c r="E619" s="4" t="str">
        <f ca="1">IFERROR(__xludf.DUMMYFUNCTION("""COMPUTED_VALUE"""),"Fix")</f>
        <v>Fix</v>
      </c>
      <c r="F619" s="49">
        <f ca="1">IFERROR(__xludf.DUMMYFUNCTION("""COMPUTED_VALUE"""),3000)</f>
        <v>3000</v>
      </c>
      <c r="G619" s="50" t="str">
        <f ca="1">IFERROR(__xludf.DUMMYFUNCTION("""COMPUTED_VALUE"""),"Zela")</f>
        <v>Zela</v>
      </c>
      <c r="H619" s="51">
        <f t="shared" ca="1" si="0"/>
        <v>46082</v>
      </c>
      <c r="I619" s="52" t="e">
        <f ca="1">SUMIFS(OUT!$F$2:$F$11000,OUT!$H$2:$H$11000,H619,OUT!$D$2:$D$101007,"In")</f>
        <v>#VALUE!</v>
      </c>
      <c r="J619" s="52">
        <f ca="1">SUMIFS(OUT!$F$2:$F$11000,OUT!$H$2:$H$11000,H619,OUT!$D$2:$D$11000,"Out")</f>
        <v>12026623</v>
      </c>
      <c r="K619" s="52">
        <f ca="1">SUMIFS(OUT!$F$2:$F$11000,OUT!$H$2:$H$11000,H619,OUT!$D$2:$D$11000,"Out",OUT!$E$2:$E$11000,"Fix")</f>
        <v>2865413</v>
      </c>
      <c r="L619" s="52">
        <f ca="1">SUMIFS(OUT!$F$2:$F$11000,OUT!$H$2:$H$11000,H619,OUT!$D$2:$D$11000,"Out",OUT!$E$2:$E$11000,"Bathroom")</f>
        <v>120488</v>
      </c>
      <c r="M619" s="52">
        <f ca="1">SUMIFS(OUT!$F$2:$F$11000,OUT!$H$2:$H$11000,H619,OUT!$D$2:$D$11000,"Out",OUT!$E$2:$E$11000,"Alfa")</f>
        <v>890962</v>
      </c>
      <c r="N619" s="52" t="e">
        <f ca="1">SUMIFS(OUT!$F$2:$F$11000,OUT!$H$2:$H$101007,H619,OUT!$D$2:$D$11000,"Out",OUT!$E$2:$E$11000,"Jajan")</f>
        <v>#VALUE!</v>
      </c>
      <c r="O619" s="52">
        <f ca="1">SUMIFS(OUT!$F$2:$F$11000,OUT!$H$2:$H$11000,H619,OUT!$D$2:$D$11000,"Out",OUT!$E$2:$E$11000,"Kitchen")</f>
        <v>1152600</v>
      </c>
      <c r="P619" s="52">
        <f ca="1">SUMIFS(OUT!$F$2:$F$11000,OUT!$H$2:$H$11000,H619,OUT!$D$2:$D$11000,"Out",OUT!$E$2:$E$11000,"Loandry")</f>
        <v>41000</v>
      </c>
      <c r="Q619" s="52">
        <f ca="1">SUMIFS(OUT!$F$2:$F$11000,OUT!$H$2:$H$11000,H619,OUT!$D$2:$D$11000,"Out",OUT!$E$2:$E$11000,"Mio")</f>
        <v>895700</v>
      </c>
      <c r="R619" s="52">
        <f ca="1">SUMIFS(OUT!$F$2:$F$11000,OUT!$H$2:$H$11000,H619,OUT!$D$2:$D$11000,"Out",OUT!$E$2:$E$11000,"Sedekah")</f>
        <v>130000</v>
      </c>
      <c r="S619" s="52">
        <f ca="1">SUMIFS(OUT!$F$2:$F$11000,OUT!$H$2:$H$11000,H619,OUT!$D$2:$D$11000,"Out",OUT!$E$2:$E$11000,"Zela")</f>
        <v>215161</v>
      </c>
      <c r="T619" s="52">
        <f ca="1">SUMIFS(OUT!$F$2:$F$11000,OUT!$H$2:$H$11000,H619,OUT!$D$2:$D$11000,"Out",OUT!$E$2:$E$11000,"Iqbal")</f>
        <v>215000</v>
      </c>
    </row>
    <row r="620" spans="1:20" x14ac:dyDescent="0.2">
      <c r="A620" s="48">
        <f ca="1">IFERROR(__xludf.DUMMYFUNCTION("""COMPUTED_VALUE"""),46099)</f>
        <v>46099</v>
      </c>
      <c r="B620" s="4" t="str">
        <f ca="1">IFERROR(__xludf.DUMMYFUNCTION("""COMPUTED_VALUE"""),"sayur Manis Pakcoy pasar Kaget")</f>
        <v>sayur Manis Pakcoy pasar Kaget</v>
      </c>
      <c r="C620" s="4" t="str">
        <f ca="1">IFERROR(__xludf.DUMMYFUNCTION("""COMPUTED_VALUE"""),"Cash")</f>
        <v>Cash</v>
      </c>
      <c r="D620" s="4" t="str">
        <f ca="1">IFERROR(__xludf.DUMMYFUNCTION("""COMPUTED_VALUE"""),"Out")</f>
        <v>Out</v>
      </c>
      <c r="E620" s="4" t="str">
        <f ca="1">IFERROR(__xludf.DUMMYFUNCTION("""COMPUTED_VALUE"""),"Kitchen")</f>
        <v>Kitchen</v>
      </c>
      <c r="F620" s="49">
        <f ca="1">IFERROR(__xludf.DUMMYFUNCTION("""COMPUTED_VALUE"""),4000)</f>
        <v>4000</v>
      </c>
      <c r="G620" s="50" t="str">
        <f ca="1">IFERROR(__xludf.DUMMYFUNCTION("""COMPUTED_VALUE"""),"Zela")</f>
        <v>Zela</v>
      </c>
      <c r="H620" s="51">
        <f t="shared" ca="1" si="0"/>
        <v>46082</v>
      </c>
      <c r="I620" s="52" t="e">
        <f ca="1">SUMIFS(OUT!$F$2:$F$11000,OUT!$H$2:$H$11000,H620,OUT!$D$2:$D$101007,"In")</f>
        <v>#VALUE!</v>
      </c>
      <c r="J620" s="52">
        <f ca="1">SUMIFS(OUT!$F$2:$F$11000,OUT!$H$2:$H$11000,H620,OUT!$D$2:$D$11000,"Out")</f>
        <v>12026623</v>
      </c>
      <c r="K620" s="52">
        <f ca="1">SUMIFS(OUT!$F$2:$F$11000,OUT!$H$2:$H$11000,H620,OUT!$D$2:$D$11000,"Out",OUT!$E$2:$E$11000,"Fix")</f>
        <v>2865413</v>
      </c>
      <c r="L620" s="52">
        <f ca="1">SUMIFS(OUT!$F$2:$F$11000,OUT!$H$2:$H$11000,H620,OUT!$D$2:$D$11000,"Out",OUT!$E$2:$E$11000,"Bathroom")</f>
        <v>120488</v>
      </c>
      <c r="M620" s="52">
        <f ca="1">SUMIFS(OUT!$F$2:$F$11000,OUT!$H$2:$H$11000,H620,OUT!$D$2:$D$11000,"Out",OUT!$E$2:$E$11000,"Alfa")</f>
        <v>890962</v>
      </c>
      <c r="N620" s="52" t="e">
        <f ca="1">SUMIFS(OUT!$F$2:$F$11000,OUT!$H$2:$H$101007,H620,OUT!$D$2:$D$11000,"Out",OUT!$E$2:$E$11000,"Jajan")</f>
        <v>#VALUE!</v>
      </c>
      <c r="O620" s="52">
        <f ca="1">SUMIFS(OUT!$F$2:$F$11000,OUT!$H$2:$H$11000,H620,OUT!$D$2:$D$11000,"Out",OUT!$E$2:$E$11000,"Kitchen")</f>
        <v>1152600</v>
      </c>
      <c r="P620" s="52">
        <f ca="1">SUMIFS(OUT!$F$2:$F$11000,OUT!$H$2:$H$11000,H620,OUT!$D$2:$D$11000,"Out",OUT!$E$2:$E$11000,"Loandry")</f>
        <v>41000</v>
      </c>
      <c r="Q620" s="52">
        <f ca="1">SUMIFS(OUT!$F$2:$F$11000,OUT!$H$2:$H$11000,H620,OUT!$D$2:$D$11000,"Out",OUT!$E$2:$E$11000,"Mio")</f>
        <v>895700</v>
      </c>
      <c r="R620" s="52">
        <f ca="1">SUMIFS(OUT!$F$2:$F$11000,OUT!$H$2:$H$11000,H620,OUT!$D$2:$D$11000,"Out",OUT!$E$2:$E$11000,"Sedekah")</f>
        <v>130000</v>
      </c>
      <c r="S620" s="52">
        <f ca="1">SUMIFS(OUT!$F$2:$F$11000,OUT!$H$2:$H$11000,H620,OUT!$D$2:$D$11000,"Out",OUT!$E$2:$E$11000,"Zela")</f>
        <v>215161</v>
      </c>
      <c r="T620" s="52">
        <f ca="1">SUMIFS(OUT!$F$2:$F$11000,OUT!$H$2:$H$11000,H620,OUT!$D$2:$D$11000,"Out",OUT!$E$2:$E$11000,"Iqbal")</f>
        <v>215000</v>
      </c>
    </row>
    <row r="621" spans="1:20" x14ac:dyDescent="0.2">
      <c r="A621" s="48">
        <f ca="1">IFERROR(__xludf.DUMMYFUNCTION("""COMPUTED_VALUE"""),46099)</f>
        <v>46099</v>
      </c>
      <c r="B621" s="4" t="str">
        <f ca="1">IFERROR(__xludf.DUMMYFUNCTION("""COMPUTED_VALUE"""),"Kerupuk")</f>
        <v>Kerupuk</v>
      </c>
      <c r="C621" s="4" t="str">
        <f ca="1">IFERROR(__xludf.DUMMYFUNCTION("""COMPUTED_VALUE"""),"Cash")</f>
        <v>Cash</v>
      </c>
      <c r="D621" s="4" t="str">
        <f ca="1">IFERROR(__xludf.DUMMYFUNCTION("""COMPUTED_VALUE"""),"Out")</f>
        <v>Out</v>
      </c>
      <c r="E621" s="4" t="str">
        <f ca="1">IFERROR(__xludf.DUMMYFUNCTION("""COMPUTED_VALUE"""),"Kitchen")</f>
        <v>Kitchen</v>
      </c>
      <c r="F621" s="49">
        <f ca="1">IFERROR(__xludf.DUMMYFUNCTION("""COMPUTED_VALUE"""),42000)</f>
        <v>42000</v>
      </c>
      <c r="G621" s="50" t="str">
        <f ca="1">IFERROR(__xludf.DUMMYFUNCTION("""COMPUTED_VALUE"""),"Zela")</f>
        <v>Zela</v>
      </c>
      <c r="H621" s="51">
        <f t="shared" ca="1" si="0"/>
        <v>46082</v>
      </c>
      <c r="I621" s="52" t="e">
        <f ca="1">SUMIFS(OUT!$F$2:$F$11000,OUT!$H$2:$H$11000,H621,OUT!$D$2:$D$101007,"In")</f>
        <v>#VALUE!</v>
      </c>
      <c r="J621" s="52">
        <f ca="1">SUMIFS(OUT!$F$2:$F$11000,OUT!$H$2:$H$11000,H621,OUT!$D$2:$D$11000,"Out")</f>
        <v>12026623</v>
      </c>
      <c r="K621" s="52">
        <f ca="1">SUMIFS(OUT!$F$2:$F$11000,OUT!$H$2:$H$11000,H621,OUT!$D$2:$D$11000,"Out",OUT!$E$2:$E$11000,"Fix")</f>
        <v>2865413</v>
      </c>
      <c r="L621" s="52">
        <f ca="1">SUMIFS(OUT!$F$2:$F$11000,OUT!$H$2:$H$11000,H621,OUT!$D$2:$D$11000,"Out",OUT!$E$2:$E$11000,"Bathroom")</f>
        <v>120488</v>
      </c>
      <c r="M621" s="52">
        <f ca="1">SUMIFS(OUT!$F$2:$F$11000,OUT!$H$2:$H$11000,H621,OUT!$D$2:$D$11000,"Out",OUT!$E$2:$E$11000,"Alfa")</f>
        <v>890962</v>
      </c>
      <c r="N621" s="52" t="e">
        <f ca="1">SUMIFS(OUT!$F$2:$F$11000,OUT!$H$2:$H$101007,H621,OUT!$D$2:$D$11000,"Out",OUT!$E$2:$E$11000,"Jajan")</f>
        <v>#VALUE!</v>
      </c>
      <c r="O621" s="52">
        <f ca="1">SUMIFS(OUT!$F$2:$F$11000,OUT!$H$2:$H$11000,H621,OUT!$D$2:$D$11000,"Out",OUT!$E$2:$E$11000,"Kitchen")</f>
        <v>1152600</v>
      </c>
      <c r="P621" s="52">
        <f ca="1">SUMIFS(OUT!$F$2:$F$11000,OUT!$H$2:$H$11000,H621,OUT!$D$2:$D$11000,"Out",OUT!$E$2:$E$11000,"Loandry")</f>
        <v>41000</v>
      </c>
      <c r="Q621" s="52">
        <f ca="1">SUMIFS(OUT!$F$2:$F$11000,OUT!$H$2:$H$11000,H621,OUT!$D$2:$D$11000,"Out",OUT!$E$2:$E$11000,"Mio")</f>
        <v>895700</v>
      </c>
      <c r="R621" s="52">
        <f ca="1">SUMIFS(OUT!$F$2:$F$11000,OUT!$H$2:$H$11000,H621,OUT!$D$2:$D$11000,"Out",OUT!$E$2:$E$11000,"Sedekah")</f>
        <v>130000</v>
      </c>
      <c r="S621" s="52">
        <f ca="1">SUMIFS(OUT!$F$2:$F$11000,OUT!$H$2:$H$11000,H621,OUT!$D$2:$D$11000,"Out",OUT!$E$2:$E$11000,"Zela")</f>
        <v>215161</v>
      </c>
      <c r="T621" s="52">
        <f ca="1">SUMIFS(OUT!$F$2:$F$11000,OUT!$H$2:$H$11000,H621,OUT!$D$2:$D$11000,"Out",OUT!$E$2:$E$11000,"Iqbal")</f>
        <v>215000</v>
      </c>
    </row>
    <row r="622" spans="1:20" x14ac:dyDescent="0.2">
      <c r="A622" s="48">
        <f ca="1">IFERROR(__xludf.DUMMYFUNCTION("""COMPUTED_VALUE"""),46099)</f>
        <v>46099</v>
      </c>
      <c r="B622" s="4" t="str">
        <f ca="1">IFERROR(__xludf.DUMMYFUNCTION("""COMPUTED_VALUE"""),"Baju Alfa")</f>
        <v>Baju Alfa</v>
      </c>
      <c r="C622" s="4" t="str">
        <f ca="1">IFERROR(__xludf.DUMMYFUNCTION("""COMPUTED_VALUE"""),"ATM")</f>
        <v>ATM</v>
      </c>
      <c r="D622" s="4" t="str">
        <f ca="1">IFERROR(__xludf.DUMMYFUNCTION("""COMPUTED_VALUE"""),"Out")</f>
        <v>Out</v>
      </c>
      <c r="E622" s="4" t="str">
        <f ca="1">IFERROR(__xludf.DUMMYFUNCTION("""COMPUTED_VALUE"""),"Alfa")</f>
        <v>Alfa</v>
      </c>
      <c r="F622" s="49">
        <f ca="1">IFERROR(__xludf.DUMMYFUNCTION("""COMPUTED_VALUE"""),105000)</f>
        <v>105000</v>
      </c>
      <c r="G622" s="50" t="str">
        <f ca="1">IFERROR(__xludf.DUMMYFUNCTION("""COMPUTED_VALUE"""),"Zela")</f>
        <v>Zela</v>
      </c>
      <c r="H622" s="51">
        <f t="shared" ca="1" si="0"/>
        <v>46082</v>
      </c>
      <c r="I622" s="52" t="e">
        <f ca="1">SUMIFS(OUT!$F$2:$F$11000,OUT!$H$2:$H$11000,H622,OUT!$D$2:$D$101007,"In")</f>
        <v>#VALUE!</v>
      </c>
      <c r="J622" s="52">
        <f ca="1">SUMIFS(OUT!$F$2:$F$11000,OUT!$H$2:$H$11000,H622,OUT!$D$2:$D$11000,"Out")</f>
        <v>12026623</v>
      </c>
      <c r="K622" s="52">
        <f ca="1">SUMIFS(OUT!$F$2:$F$11000,OUT!$H$2:$H$11000,H622,OUT!$D$2:$D$11000,"Out",OUT!$E$2:$E$11000,"Fix")</f>
        <v>2865413</v>
      </c>
      <c r="L622" s="52">
        <f ca="1">SUMIFS(OUT!$F$2:$F$11000,OUT!$H$2:$H$11000,H622,OUT!$D$2:$D$11000,"Out",OUT!$E$2:$E$11000,"Bathroom")</f>
        <v>120488</v>
      </c>
      <c r="M622" s="52">
        <f ca="1">SUMIFS(OUT!$F$2:$F$11000,OUT!$H$2:$H$11000,H622,OUT!$D$2:$D$11000,"Out",OUT!$E$2:$E$11000,"Alfa")</f>
        <v>890962</v>
      </c>
      <c r="N622" s="52" t="e">
        <f ca="1">SUMIFS(OUT!$F$2:$F$11000,OUT!$H$2:$H$101007,H622,OUT!$D$2:$D$11000,"Out",OUT!$E$2:$E$11000,"Jajan")</f>
        <v>#VALUE!</v>
      </c>
      <c r="O622" s="52">
        <f ca="1">SUMIFS(OUT!$F$2:$F$11000,OUT!$H$2:$H$11000,H622,OUT!$D$2:$D$11000,"Out",OUT!$E$2:$E$11000,"Kitchen")</f>
        <v>1152600</v>
      </c>
      <c r="P622" s="52">
        <f ca="1">SUMIFS(OUT!$F$2:$F$11000,OUT!$H$2:$H$11000,H622,OUT!$D$2:$D$11000,"Out",OUT!$E$2:$E$11000,"Loandry")</f>
        <v>41000</v>
      </c>
      <c r="Q622" s="52">
        <f ca="1">SUMIFS(OUT!$F$2:$F$11000,OUT!$H$2:$H$11000,H622,OUT!$D$2:$D$11000,"Out",OUT!$E$2:$E$11000,"Mio")</f>
        <v>895700</v>
      </c>
      <c r="R622" s="52">
        <f ca="1">SUMIFS(OUT!$F$2:$F$11000,OUT!$H$2:$H$11000,H622,OUT!$D$2:$D$11000,"Out",OUT!$E$2:$E$11000,"Sedekah")</f>
        <v>130000</v>
      </c>
      <c r="S622" s="52">
        <f ca="1">SUMIFS(OUT!$F$2:$F$11000,OUT!$H$2:$H$11000,H622,OUT!$D$2:$D$11000,"Out",OUT!$E$2:$E$11000,"Zela")</f>
        <v>215161</v>
      </c>
      <c r="T622" s="52">
        <f ca="1">SUMIFS(OUT!$F$2:$F$11000,OUT!$H$2:$H$11000,H622,OUT!$D$2:$D$11000,"Out",OUT!$E$2:$E$11000,"Iqbal")</f>
        <v>215000</v>
      </c>
    </row>
    <row r="623" spans="1:20" x14ac:dyDescent="0.2">
      <c r="A623" s="48">
        <f ca="1">IFERROR(__xludf.DUMMYFUNCTION("""COMPUTED_VALUE"""),46099)</f>
        <v>46099</v>
      </c>
      <c r="B623" s="4" t="str">
        <f ca="1">IFERROR(__xludf.DUMMYFUNCTION("""COMPUTED_VALUE"""),"Lupa Catat")</f>
        <v>Lupa Catat</v>
      </c>
      <c r="C623" s="4" t="str">
        <f ca="1">IFERROR(__xludf.DUMMYFUNCTION("""COMPUTED_VALUE"""),"Cash")</f>
        <v>Cash</v>
      </c>
      <c r="D623" s="4" t="str">
        <f ca="1">IFERROR(__xludf.DUMMYFUNCTION("""COMPUTED_VALUE"""),"Out")</f>
        <v>Out</v>
      </c>
      <c r="E623" s="4" t="str">
        <f ca="1">IFERROR(__xludf.DUMMYFUNCTION("""COMPUTED_VALUE"""),"Jajan")</f>
        <v>Jajan</v>
      </c>
      <c r="F623" s="49">
        <f ca="1">IFERROR(__xludf.DUMMYFUNCTION("""COMPUTED_VALUE"""),7000)</f>
        <v>7000</v>
      </c>
      <c r="G623" s="50" t="str">
        <f ca="1">IFERROR(__xludf.DUMMYFUNCTION("""COMPUTED_VALUE"""),"Zela")</f>
        <v>Zela</v>
      </c>
      <c r="H623" s="51">
        <f t="shared" ca="1" si="0"/>
        <v>46082</v>
      </c>
      <c r="I623" s="52" t="e">
        <f ca="1">SUMIFS(OUT!$F$2:$F$11000,OUT!$H$2:$H$11000,H623,OUT!$D$2:$D$101007,"In")</f>
        <v>#VALUE!</v>
      </c>
      <c r="J623" s="52">
        <f ca="1">SUMIFS(OUT!$F$2:$F$11000,OUT!$H$2:$H$11000,H623,OUT!$D$2:$D$11000,"Out")</f>
        <v>12026623</v>
      </c>
      <c r="K623" s="52">
        <f ca="1">SUMIFS(OUT!$F$2:$F$11000,OUT!$H$2:$H$11000,H623,OUT!$D$2:$D$11000,"Out",OUT!$E$2:$E$11000,"Fix")</f>
        <v>2865413</v>
      </c>
      <c r="L623" s="52">
        <f ca="1">SUMIFS(OUT!$F$2:$F$11000,OUT!$H$2:$H$11000,H623,OUT!$D$2:$D$11000,"Out",OUT!$E$2:$E$11000,"Bathroom")</f>
        <v>120488</v>
      </c>
      <c r="M623" s="52">
        <f ca="1">SUMIFS(OUT!$F$2:$F$11000,OUT!$H$2:$H$11000,H623,OUT!$D$2:$D$11000,"Out",OUT!$E$2:$E$11000,"Alfa")</f>
        <v>890962</v>
      </c>
      <c r="N623" s="52" t="e">
        <f ca="1">SUMIFS(OUT!$F$2:$F$11000,OUT!$H$2:$H$101007,H623,OUT!$D$2:$D$11000,"Out",OUT!$E$2:$E$11000,"Jajan")</f>
        <v>#VALUE!</v>
      </c>
      <c r="O623" s="52">
        <f ca="1">SUMIFS(OUT!$F$2:$F$11000,OUT!$H$2:$H$11000,H623,OUT!$D$2:$D$11000,"Out",OUT!$E$2:$E$11000,"Kitchen")</f>
        <v>1152600</v>
      </c>
      <c r="P623" s="52">
        <f ca="1">SUMIFS(OUT!$F$2:$F$11000,OUT!$H$2:$H$11000,H623,OUT!$D$2:$D$11000,"Out",OUT!$E$2:$E$11000,"Loandry")</f>
        <v>41000</v>
      </c>
      <c r="Q623" s="52">
        <f ca="1">SUMIFS(OUT!$F$2:$F$11000,OUT!$H$2:$H$11000,H623,OUT!$D$2:$D$11000,"Out",OUT!$E$2:$E$11000,"Mio")</f>
        <v>895700</v>
      </c>
      <c r="R623" s="52">
        <f ca="1">SUMIFS(OUT!$F$2:$F$11000,OUT!$H$2:$H$11000,H623,OUT!$D$2:$D$11000,"Out",OUT!$E$2:$E$11000,"Sedekah")</f>
        <v>130000</v>
      </c>
      <c r="S623" s="52">
        <f ca="1">SUMIFS(OUT!$F$2:$F$11000,OUT!$H$2:$H$11000,H623,OUT!$D$2:$D$11000,"Out",OUT!$E$2:$E$11000,"Zela")</f>
        <v>215161</v>
      </c>
      <c r="T623" s="52">
        <f ca="1">SUMIFS(OUT!$F$2:$F$11000,OUT!$H$2:$H$11000,H623,OUT!$D$2:$D$11000,"Out",OUT!$E$2:$E$11000,"Iqbal")</f>
        <v>215000</v>
      </c>
    </row>
    <row r="624" spans="1:20" x14ac:dyDescent="0.2">
      <c r="A624" s="48">
        <f ca="1">IFERROR(__xludf.DUMMYFUNCTION("""COMPUTED_VALUE"""),46100)</f>
        <v>46100</v>
      </c>
      <c r="B624" s="4" t="str">
        <f ca="1">IFERROR(__xludf.DUMMYFUNCTION("""COMPUTED_VALUE"""),"Susu Kotak")</f>
        <v>Susu Kotak</v>
      </c>
      <c r="C624" s="4" t="str">
        <f ca="1">IFERROR(__xludf.DUMMYFUNCTION("""COMPUTED_VALUE"""),"ATM")</f>
        <v>ATM</v>
      </c>
      <c r="D624" s="4" t="str">
        <f ca="1">IFERROR(__xludf.DUMMYFUNCTION("""COMPUTED_VALUE"""),"Out")</f>
        <v>Out</v>
      </c>
      <c r="E624" s="4" t="str">
        <f ca="1">IFERROR(__xludf.DUMMYFUNCTION("""COMPUTED_VALUE"""),"Alfa")</f>
        <v>Alfa</v>
      </c>
      <c r="F624" s="49">
        <f ca="1">IFERROR(__xludf.DUMMYFUNCTION("""COMPUTED_VALUE"""),16700)</f>
        <v>16700</v>
      </c>
      <c r="G624" s="50" t="str">
        <f ca="1">IFERROR(__xludf.DUMMYFUNCTION("""COMPUTED_VALUE"""),"Zela")</f>
        <v>Zela</v>
      </c>
      <c r="H624" s="51">
        <f t="shared" ca="1" si="0"/>
        <v>46082</v>
      </c>
      <c r="I624" s="52" t="e">
        <f ca="1">SUMIFS(OUT!$F$2:$F$11000,OUT!$H$2:$H$11000,H624,OUT!$D$2:$D$101007,"In")</f>
        <v>#VALUE!</v>
      </c>
      <c r="J624" s="52">
        <f ca="1">SUMIFS(OUT!$F$2:$F$11000,OUT!$H$2:$H$11000,H624,OUT!$D$2:$D$11000,"Out")</f>
        <v>12026623</v>
      </c>
      <c r="K624" s="52">
        <f ca="1">SUMIFS(OUT!$F$2:$F$11000,OUT!$H$2:$H$11000,H624,OUT!$D$2:$D$11000,"Out",OUT!$E$2:$E$11000,"Fix")</f>
        <v>2865413</v>
      </c>
      <c r="L624" s="52">
        <f ca="1">SUMIFS(OUT!$F$2:$F$11000,OUT!$H$2:$H$11000,H624,OUT!$D$2:$D$11000,"Out",OUT!$E$2:$E$11000,"Bathroom")</f>
        <v>120488</v>
      </c>
      <c r="M624" s="52">
        <f ca="1">SUMIFS(OUT!$F$2:$F$11000,OUT!$H$2:$H$11000,H624,OUT!$D$2:$D$11000,"Out",OUT!$E$2:$E$11000,"Alfa")</f>
        <v>890962</v>
      </c>
      <c r="N624" s="52" t="e">
        <f ca="1">SUMIFS(OUT!$F$2:$F$11000,OUT!$H$2:$H$101007,H624,OUT!$D$2:$D$11000,"Out",OUT!$E$2:$E$11000,"Jajan")</f>
        <v>#VALUE!</v>
      </c>
      <c r="O624" s="52">
        <f ca="1">SUMIFS(OUT!$F$2:$F$11000,OUT!$H$2:$H$11000,H624,OUT!$D$2:$D$11000,"Out",OUT!$E$2:$E$11000,"Kitchen")</f>
        <v>1152600</v>
      </c>
      <c r="P624" s="52">
        <f ca="1">SUMIFS(OUT!$F$2:$F$11000,OUT!$H$2:$H$11000,H624,OUT!$D$2:$D$11000,"Out",OUT!$E$2:$E$11000,"Loandry")</f>
        <v>41000</v>
      </c>
      <c r="Q624" s="52">
        <f ca="1">SUMIFS(OUT!$F$2:$F$11000,OUT!$H$2:$H$11000,H624,OUT!$D$2:$D$11000,"Out",OUT!$E$2:$E$11000,"Mio")</f>
        <v>895700</v>
      </c>
      <c r="R624" s="52">
        <f ca="1">SUMIFS(OUT!$F$2:$F$11000,OUT!$H$2:$H$11000,H624,OUT!$D$2:$D$11000,"Out",OUT!$E$2:$E$11000,"Sedekah")</f>
        <v>130000</v>
      </c>
      <c r="S624" s="52">
        <f ca="1">SUMIFS(OUT!$F$2:$F$11000,OUT!$H$2:$H$11000,H624,OUT!$D$2:$D$11000,"Out",OUT!$E$2:$E$11000,"Zela")</f>
        <v>215161</v>
      </c>
      <c r="T624" s="52">
        <f ca="1">SUMIFS(OUT!$F$2:$F$11000,OUT!$H$2:$H$11000,H624,OUT!$D$2:$D$11000,"Out",OUT!$E$2:$E$11000,"Iqbal")</f>
        <v>215000</v>
      </c>
    </row>
    <row r="625" spans="1:20" x14ac:dyDescent="0.2">
      <c r="A625" s="48">
        <f ca="1">IFERROR(__xludf.DUMMYFUNCTION("""COMPUTED_VALUE"""),46100)</f>
        <v>46100</v>
      </c>
      <c r="B625" s="4" t="str">
        <f ca="1">IFERROR(__xludf.DUMMYFUNCTION("""COMPUTED_VALUE"""),"Baju Koko Alfa")</f>
        <v>Baju Koko Alfa</v>
      </c>
      <c r="C625" s="4" t="str">
        <f ca="1">IFERROR(__xludf.DUMMYFUNCTION("""COMPUTED_VALUE"""),"ATM")</f>
        <v>ATM</v>
      </c>
      <c r="D625" s="4" t="str">
        <f ca="1">IFERROR(__xludf.DUMMYFUNCTION("""COMPUTED_VALUE"""),"Out")</f>
        <v>Out</v>
      </c>
      <c r="E625" s="4" t="str">
        <f ca="1">IFERROR(__xludf.DUMMYFUNCTION("""COMPUTED_VALUE"""),"Alfa")</f>
        <v>Alfa</v>
      </c>
      <c r="F625" s="49">
        <f ca="1">IFERROR(__xludf.DUMMYFUNCTION("""COMPUTED_VALUE"""),67600)</f>
        <v>67600</v>
      </c>
      <c r="G625" s="50" t="str">
        <f ca="1">IFERROR(__xludf.DUMMYFUNCTION("""COMPUTED_VALUE"""),"Zela")</f>
        <v>Zela</v>
      </c>
      <c r="H625" s="51">
        <f t="shared" ca="1" si="0"/>
        <v>46082</v>
      </c>
      <c r="I625" s="52" t="e">
        <f ca="1">SUMIFS(OUT!$F$2:$F$11000,OUT!$H$2:$H$11000,H625,OUT!$D$2:$D$101007,"In")</f>
        <v>#VALUE!</v>
      </c>
      <c r="J625" s="52">
        <f ca="1">SUMIFS(OUT!$F$2:$F$11000,OUT!$H$2:$H$11000,H625,OUT!$D$2:$D$11000,"Out")</f>
        <v>12026623</v>
      </c>
      <c r="K625" s="52">
        <f ca="1">SUMIFS(OUT!$F$2:$F$11000,OUT!$H$2:$H$11000,H625,OUT!$D$2:$D$11000,"Out",OUT!$E$2:$E$11000,"Fix")</f>
        <v>2865413</v>
      </c>
      <c r="L625" s="52">
        <f ca="1">SUMIFS(OUT!$F$2:$F$11000,OUT!$H$2:$H$11000,H625,OUT!$D$2:$D$11000,"Out",OUT!$E$2:$E$11000,"Bathroom")</f>
        <v>120488</v>
      </c>
      <c r="M625" s="52">
        <f ca="1">SUMIFS(OUT!$F$2:$F$11000,OUT!$H$2:$H$11000,H625,OUT!$D$2:$D$11000,"Out",OUT!$E$2:$E$11000,"Alfa")</f>
        <v>890962</v>
      </c>
      <c r="N625" s="52" t="e">
        <f ca="1">SUMIFS(OUT!$F$2:$F$11000,OUT!$H$2:$H$101007,H625,OUT!$D$2:$D$11000,"Out",OUT!$E$2:$E$11000,"Jajan")</f>
        <v>#VALUE!</v>
      </c>
      <c r="O625" s="52">
        <f ca="1">SUMIFS(OUT!$F$2:$F$11000,OUT!$H$2:$H$11000,H625,OUT!$D$2:$D$11000,"Out",OUT!$E$2:$E$11000,"Kitchen")</f>
        <v>1152600</v>
      </c>
      <c r="P625" s="52">
        <f ca="1">SUMIFS(OUT!$F$2:$F$11000,OUT!$H$2:$H$11000,H625,OUT!$D$2:$D$11000,"Out",OUT!$E$2:$E$11000,"Loandry")</f>
        <v>41000</v>
      </c>
      <c r="Q625" s="52">
        <f ca="1">SUMIFS(OUT!$F$2:$F$11000,OUT!$H$2:$H$11000,H625,OUT!$D$2:$D$11000,"Out",OUT!$E$2:$E$11000,"Mio")</f>
        <v>895700</v>
      </c>
      <c r="R625" s="52">
        <f ca="1">SUMIFS(OUT!$F$2:$F$11000,OUT!$H$2:$H$11000,H625,OUT!$D$2:$D$11000,"Out",OUT!$E$2:$E$11000,"Sedekah")</f>
        <v>130000</v>
      </c>
      <c r="S625" s="52">
        <f ca="1">SUMIFS(OUT!$F$2:$F$11000,OUT!$H$2:$H$11000,H625,OUT!$D$2:$D$11000,"Out",OUT!$E$2:$E$11000,"Zela")</f>
        <v>215161</v>
      </c>
      <c r="T625" s="52">
        <f ca="1">SUMIFS(OUT!$F$2:$F$11000,OUT!$H$2:$H$11000,H625,OUT!$D$2:$D$11000,"Out",OUT!$E$2:$E$11000,"Iqbal")</f>
        <v>215000</v>
      </c>
    </row>
    <row r="626" spans="1:20" x14ac:dyDescent="0.2">
      <c r="A626" s="48">
        <f ca="1">IFERROR(__xludf.DUMMYFUNCTION("""COMPUTED_VALUE"""),46100)</f>
        <v>46100</v>
      </c>
      <c r="B626" s="4" t="str">
        <f ca="1">IFERROR(__xludf.DUMMYFUNCTION("""COMPUTED_VALUE"""),"sandal alfa")</f>
        <v>sandal alfa</v>
      </c>
      <c r="C626" s="4" t="str">
        <f ca="1">IFERROR(__xludf.DUMMYFUNCTION("""COMPUTED_VALUE"""),"ATM")</f>
        <v>ATM</v>
      </c>
      <c r="D626" s="4" t="str">
        <f ca="1">IFERROR(__xludf.DUMMYFUNCTION("""COMPUTED_VALUE"""),"Out")</f>
        <v>Out</v>
      </c>
      <c r="E626" s="4" t="str">
        <f ca="1">IFERROR(__xludf.DUMMYFUNCTION("""COMPUTED_VALUE"""),"Alfa")</f>
        <v>Alfa</v>
      </c>
      <c r="F626" s="49">
        <f ca="1">IFERROR(__xludf.DUMMYFUNCTION("""COMPUTED_VALUE"""),27865)</f>
        <v>27865</v>
      </c>
      <c r="G626" s="50" t="str">
        <f ca="1">IFERROR(__xludf.DUMMYFUNCTION("""COMPUTED_VALUE"""),"Zela")</f>
        <v>Zela</v>
      </c>
      <c r="H626" s="51">
        <f t="shared" ca="1" si="0"/>
        <v>46082</v>
      </c>
      <c r="I626" s="52" t="e">
        <f ca="1">SUMIFS(OUT!$F$2:$F$11000,OUT!$H$2:$H$11000,H626,OUT!$D$2:$D$101007,"In")</f>
        <v>#VALUE!</v>
      </c>
      <c r="J626" s="52">
        <f ca="1">SUMIFS(OUT!$F$2:$F$11000,OUT!$H$2:$H$11000,H626,OUT!$D$2:$D$11000,"Out")</f>
        <v>12026623</v>
      </c>
      <c r="K626" s="52">
        <f ca="1">SUMIFS(OUT!$F$2:$F$11000,OUT!$H$2:$H$11000,H626,OUT!$D$2:$D$11000,"Out",OUT!$E$2:$E$11000,"Fix")</f>
        <v>2865413</v>
      </c>
      <c r="L626" s="52">
        <f ca="1">SUMIFS(OUT!$F$2:$F$11000,OUT!$H$2:$H$11000,H626,OUT!$D$2:$D$11000,"Out",OUT!$E$2:$E$11000,"Bathroom")</f>
        <v>120488</v>
      </c>
      <c r="M626" s="52">
        <f ca="1">SUMIFS(OUT!$F$2:$F$11000,OUT!$H$2:$H$11000,H626,OUT!$D$2:$D$11000,"Out",OUT!$E$2:$E$11000,"Alfa")</f>
        <v>890962</v>
      </c>
      <c r="N626" s="52" t="e">
        <f ca="1">SUMIFS(OUT!$F$2:$F$11000,OUT!$H$2:$H$101007,H626,OUT!$D$2:$D$11000,"Out",OUT!$E$2:$E$11000,"Jajan")</f>
        <v>#VALUE!</v>
      </c>
      <c r="O626" s="52">
        <f ca="1">SUMIFS(OUT!$F$2:$F$11000,OUT!$H$2:$H$11000,H626,OUT!$D$2:$D$11000,"Out",OUT!$E$2:$E$11000,"Kitchen")</f>
        <v>1152600</v>
      </c>
      <c r="P626" s="52">
        <f ca="1">SUMIFS(OUT!$F$2:$F$11000,OUT!$H$2:$H$11000,H626,OUT!$D$2:$D$11000,"Out",OUT!$E$2:$E$11000,"Loandry")</f>
        <v>41000</v>
      </c>
      <c r="Q626" s="52">
        <f ca="1">SUMIFS(OUT!$F$2:$F$11000,OUT!$H$2:$H$11000,H626,OUT!$D$2:$D$11000,"Out",OUT!$E$2:$E$11000,"Mio")</f>
        <v>895700</v>
      </c>
      <c r="R626" s="52">
        <f ca="1">SUMIFS(OUT!$F$2:$F$11000,OUT!$H$2:$H$11000,H626,OUT!$D$2:$D$11000,"Out",OUT!$E$2:$E$11000,"Sedekah")</f>
        <v>130000</v>
      </c>
      <c r="S626" s="52">
        <f ca="1">SUMIFS(OUT!$F$2:$F$11000,OUT!$H$2:$H$11000,H626,OUT!$D$2:$D$11000,"Out",OUT!$E$2:$E$11000,"Zela")</f>
        <v>215161</v>
      </c>
      <c r="T626" s="52">
        <f ca="1">SUMIFS(OUT!$F$2:$F$11000,OUT!$H$2:$H$11000,H626,OUT!$D$2:$D$11000,"Out",OUT!$E$2:$E$11000,"Iqbal")</f>
        <v>215000</v>
      </c>
    </row>
    <row r="627" spans="1:20" x14ac:dyDescent="0.2">
      <c r="A627" s="48">
        <f ca="1">IFERROR(__xludf.DUMMYFUNCTION("""COMPUTED_VALUE"""),46100)</f>
        <v>46100</v>
      </c>
      <c r="B627" s="4" t="str">
        <f ca="1">IFERROR(__xludf.DUMMYFUNCTION("""COMPUTED_VALUE"""),"Kripik Peyek")</f>
        <v>Kripik Peyek</v>
      </c>
      <c r="C627" s="4" t="str">
        <f ca="1">IFERROR(__xludf.DUMMYFUNCTION("""COMPUTED_VALUE"""),"Cash")</f>
        <v>Cash</v>
      </c>
      <c r="D627" s="4" t="str">
        <f ca="1">IFERROR(__xludf.DUMMYFUNCTION("""COMPUTED_VALUE"""),"Out")</f>
        <v>Out</v>
      </c>
      <c r="E627" s="4" t="str">
        <f ca="1">IFERROR(__xludf.DUMMYFUNCTION("""COMPUTED_VALUE"""),"Kitchen")</f>
        <v>Kitchen</v>
      </c>
      <c r="F627" s="49">
        <f ca="1">IFERROR(__xludf.DUMMYFUNCTION("""COMPUTED_VALUE"""),120000)</f>
        <v>120000</v>
      </c>
      <c r="G627" s="50" t="str">
        <f ca="1">IFERROR(__xludf.DUMMYFUNCTION("""COMPUTED_VALUE"""),"Zela")</f>
        <v>Zela</v>
      </c>
      <c r="H627" s="51">
        <f t="shared" ca="1" si="0"/>
        <v>46082</v>
      </c>
      <c r="I627" s="52" t="e">
        <f ca="1">SUMIFS(OUT!$F$2:$F$11000,OUT!$H$2:$H$11000,H627,OUT!$D$2:$D$101007,"In")</f>
        <v>#VALUE!</v>
      </c>
      <c r="J627" s="52">
        <f ca="1">SUMIFS(OUT!$F$2:$F$11000,OUT!$H$2:$H$11000,H627,OUT!$D$2:$D$11000,"Out")</f>
        <v>12026623</v>
      </c>
      <c r="K627" s="52">
        <f ca="1">SUMIFS(OUT!$F$2:$F$11000,OUT!$H$2:$H$11000,H627,OUT!$D$2:$D$11000,"Out",OUT!$E$2:$E$11000,"Fix")</f>
        <v>2865413</v>
      </c>
      <c r="L627" s="52">
        <f ca="1">SUMIFS(OUT!$F$2:$F$11000,OUT!$H$2:$H$11000,H627,OUT!$D$2:$D$11000,"Out",OUT!$E$2:$E$11000,"Bathroom")</f>
        <v>120488</v>
      </c>
      <c r="M627" s="52">
        <f ca="1">SUMIFS(OUT!$F$2:$F$11000,OUT!$H$2:$H$11000,H627,OUT!$D$2:$D$11000,"Out",OUT!$E$2:$E$11000,"Alfa")</f>
        <v>890962</v>
      </c>
      <c r="N627" s="52" t="e">
        <f ca="1">SUMIFS(OUT!$F$2:$F$11000,OUT!$H$2:$H$101007,H627,OUT!$D$2:$D$11000,"Out",OUT!$E$2:$E$11000,"Jajan")</f>
        <v>#VALUE!</v>
      </c>
      <c r="O627" s="52">
        <f ca="1">SUMIFS(OUT!$F$2:$F$11000,OUT!$H$2:$H$11000,H627,OUT!$D$2:$D$11000,"Out",OUT!$E$2:$E$11000,"Kitchen")</f>
        <v>1152600</v>
      </c>
      <c r="P627" s="52">
        <f ca="1">SUMIFS(OUT!$F$2:$F$11000,OUT!$H$2:$H$11000,H627,OUT!$D$2:$D$11000,"Out",OUT!$E$2:$E$11000,"Loandry")</f>
        <v>41000</v>
      </c>
      <c r="Q627" s="52">
        <f ca="1">SUMIFS(OUT!$F$2:$F$11000,OUT!$H$2:$H$11000,H627,OUT!$D$2:$D$11000,"Out",OUT!$E$2:$E$11000,"Mio")</f>
        <v>895700</v>
      </c>
      <c r="R627" s="52">
        <f ca="1">SUMIFS(OUT!$F$2:$F$11000,OUT!$H$2:$H$11000,H627,OUT!$D$2:$D$11000,"Out",OUT!$E$2:$E$11000,"Sedekah")</f>
        <v>130000</v>
      </c>
      <c r="S627" s="52">
        <f ca="1">SUMIFS(OUT!$F$2:$F$11000,OUT!$H$2:$H$11000,H627,OUT!$D$2:$D$11000,"Out",OUT!$E$2:$E$11000,"Zela")</f>
        <v>215161</v>
      </c>
      <c r="T627" s="52">
        <f ca="1">SUMIFS(OUT!$F$2:$F$11000,OUT!$H$2:$H$11000,H627,OUT!$D$2:$D$11000,"Out",OUT!$E$2:$E$11000,"Iqbal")</f>
        <v>215000</v>
      </c>
    </row>
    <row r="628" spans="1:20" x14ac:dyDescent="0.2">
      <c r="A628" s="48">
        <f ca="1">IFERROR(__xludf.DUMMYFUNCTION("""COMPUTED_VALUE"""),46101)</f>
        <v>46101</v>
      </c>
      <c r="B628" s="4" t="str">
        <f ca="1">IFERROR(__xludf.DUMMYFUNCTION("""COMPUTED_VALUE"""),"Jajan Alfa Indomaret")</f>
        <v>Jajan Alfa Indomaret</v>
      </c>
      <c r="C628" s="4" t="str">
        <f ca="1">IFERROR(__xludf.DUMMYFUNCTION("""COMPUTED_VALUE"""),"Cash")</f>
        <v>Cash</v>
      </c>
      <c r="D628" s="4" t="str">
        <f ca="1">IFERROR(__xludf.DUMMYFUNCTION("""COMPUTED_VALUE"""),"Out")</f>
        <v>Out</v>
      </c>
      <c r="E628" s="4" t="str">
        <f ca="1">IFERROR(__xludf.DUMMYFUNCTION("""COMPUTED_VALUE"""),"Jajan")</f>
        <v>Jajan</v>
      </c>
      <c r="F628" s="49">
        <f ca="1">IFERROR(__xludf.DUMMYFUNCTION("""COMPUTED_VALUE"""),18200)</f>
        <v>18200</v>
      </c>
      <c r="G628" s="50" t="str">
        <f ca="1">IFERROR(__xludf.DUMMYFUNCTION("""COMPUTED_VALUE"""),"Zela")</f>
        <v>Zela</v>
      </c>
      <c r="H628" s="51">
        <f t="shared" ca="1" si="0"/>
        <v>46082</v>
      </c>
      <c r="I628" s="52" t="e">
        <f ca="1">SUMIFS(OUT!$F$2:$F$11000,OUT!$H$2:$H$11000,H628,OUT!$D$2:$D$101007,"In")</f>
        <v>#VALUE!</v>
      </c>
      <c r="J628" s="52">
        <f ca="1">SUMIFS(OUT!$F$2:$F$11000,OUT!$H$2:$H$11000,H628,OUT!$D$2:$D$11000,"Out")</f>
        <v>12026623</v>
      </c>
      <c r="K628" s="52">
        <f ca="1">SUMIFS(OUT!$F$2:$F$11000,OUT!$H$2:$H$11000,H628,OUT!$D$2:$D$11000,"Out",OUT!$E$2:$E$11000,"Fix")</f>
        <v>2865413</v>
      </c>
      <c r="L628" s="52">
        <f ca="1">SUMIFS(OUT!$F$2:$F$11000,OUT!$H$2:$H$11000,H628,OUT!$D$2:$D$11000,"Out",OUT!$E$2:$E$11000,"Bathroom")</f>
        <v>120488</v>
      </c>
      <c r="M628" s="52">
        <f ca="1">SUMIFS(OUT!$F$2:$F$11000,OUT!$H$2:$H$11000,H628,OUT!$D$2:$D$11000,"Out",OUT!$E$2:$E$11000,"Alfa")</f>
        <v>890962</v>
      </c>
      <c r="N628" s="52" t="e">
        <f ca="1">SUMIFS(OUT!$F$2:$F$11000,OUT!$H$2:$H$101007,H628,OUT!$D$2:$D$11000,"Out",OUT!$E$2:$E$11000,"Jajan")</f>
        <v>#VALUE!</v>
      </c>
      <c r="O628" s="52">
        <f ca="1">SUMIFS(OUT!$F$2:$F$11000,OUT!$H$2:$H$11000,H628,OUT!$D$2:$D$11000,"Out",OUT!$E$2:$E$11000,"Kitchen")</f>
        <v>1152600</v>
      </c>
      <c r="P628" s="52">
        <f ca="1">SUMIFS(OUT!$F$2:$F$11000,OUT!$H$2:$H$11000,H628,OUT!$D$2:$D$11000,"Out",OUT!$E$2:$E$11000,"Loandry")</f>
        <v>41000</v>
      </c>
      <c r="Q628" s="52">
        <f ca="1">SUMIFS(OUT!$F$2:$F$11000,OUT!$H$2:$H$11000,H628,OUT!$D$2:$D$11000,"Out",OUT!$E$2:$E$11000,"Mio")</f>
        <v>895700</v>
      </c>
      <c r="R628" s="52">
        <f ca="1">SUMIFS(OUT!$F$2:$F$11000,OUT!$H$2:$H$11000,H628,OUT!$D$2:$D$11000,"Out",OUT!$E$2:$E$11000,"Sedekah")</f>
        <v>130000</v>
      </c>
      <c r="S628" s="52">
        <f ca="1">SUMIFS(OUT!$F$2:$F$11000,OUT!$H$2:$H$11000,H628,OUT!$D$2:$D$11000,"Out",OUT!$E$2:$E$11000,"Zela")</f>
        <v>215161</v>
      </c>
      <c r="T628" s="52">
        <f ca="1">SUMIFS(OUT!$F$2:$F$11000,OUT!$H$2:$H$11000,H628,OUT!$D$2:$D$11000,"Out",OUT!$E$2:$E$11000,"Iqbal")</f>
        <v>215000</v>
      </c>
    </row>
    <row r="629" spans="1:20" x14ac:dyDescent="0.2">
      <c r="A629" s="48">
        <f ca="1">IFERROR(__xludf.DUMMYFUNCTION("""COMPUTED_VALUE"""),46101)</f>
        <v>46101</v>
      </c>
      <c r="B629" s="4" t="str">
        <f ca="1">IFERROR(__xludf.DUMMYFUNCTION("""COMPUTED_VALUE"""),"Tarik Tunai")</f>
        <v>Tarik Tunai</v>
      </c>
      <c r="C629" s="4" t="str">
        <f ca="1">IFERROR(__xludf.DUMMYFUNCTION("""COMPUTED_VALUE"""),"ATM")</f>
        <v>ATM</v>
      </c>
      <c r="D629" s="4" t="str">
        <f ca="1">IFERROR(__xludf.DUMMYFUNCTION("""COMPUTED_VALUE"""),"Out")</f>
        <v>Out</v>
      </c>
      <c r="E629" s="4" t="str">
        <f ca="1">IFERROR(__xludf.DUMMYFUNCTION("""COMPUTED_VALUE"""),"Move")</f>
        <v>Move</v>
      </c>
      <c r="F629" s="49">
        <f ca="1">IFERROR(__xludf.DUMMYFUNCTION("""COMPUTED_VALUE"""),200000)</f>
        <v>200000</v>
      </c>
      <c r="G629" s="50" t="str">
        <f ca="1">IFERROR(__xludf.DUMMYFUNCTION("""COMPUTED_VALUE"""),"Zela")</f>
        <v>Zela</v>
      </c>
      <c r="H629" s="51">
        <f t="shared" ca="1" si="0"/>
        <v>46082</v>
      </c>
      <c r="I629" s="52" t="e">
        <f ca="1">SUMIFS(OUT!$F$2:$F$11000,OUT!$H$2:$H$11000,H629,OUT!$D$2:$D$101007,"In")</f>
        <v>#VALUE!</v>
      </c>
      <c r="J629" s="52">
        <f ca="1">SUMIFS(OUT!$F$2:$F$11000,OUT!$H$2:$H$11000,H629,OUT!$D$2:$D$11000,"Out")</f>
        <v>12026623</v>
      </c>
      <c r="K629" s="52">
        <f ca="1">SUMIFS(OUT!$F$2:$F$11000,OUT!$H$2:$H$11000,H629,OUT!$D$2:$D$11000,"Out",OUT!$E$2:$E$11000,"Fix")</f>
        <v>2865413</v>
      </c>
      <c r="L629" s="52">
        <f ca="1">SUMIFS(OUT!$F$2:$F$11000,OUT!$H$2:$H$11000,H629,OUT!$D$2:$D$11000,"Out",OUT!$E$2:$E$11000,"Bathroom")</f>
        <v>120488</v>
      </c>
      <c r="M629" s="52">
        <f ca="1">SUMIFS(OUT!$F$2:$F$11000,OUT!$H$2:$H$11000,H629,OUT!$D$2:$D$11000,"Out",OUT!$E$2:$E$11000,"Alfa")</f>
        <v>890962</v>
      </c>
      <c r="N629" s="52" t="e">
        <f ca="1">SUMIFS(OUT!$F$2:$F$11000,OUT!$H$2:$H$101007,H629,OUT!$D$2:$D$11000,"Out",OUT!$E$2:$E$11000,"Jajan")</f>
        <v>#VALUE!</v>
      </c>
      <c r="O629" s="52">
        <f ca="1">SUMIFS(OUT!$F$2:$F$11000,OUT!$H$2:$H$11000,H629,OUT!$D$2:$D$11000,"Out",OUT!$E$2:$E$11000,"Kitchen")</f>
        <v>1152600</v>
      </c>
      <c r="P629" s="52">
        <f ca="1">SUMIFS(OUT!$F$2:$F$11000,OUT!$H$2:$H$11000,H629,OUT!$D$2:$D$11000,"Out",OUT!$E$2:$E$11000,"Loandry")</f>
        <v>41000</v>
      </c>
      <c r="Q629" s="52">
        <f ca="1">SUMIFS(OUT!$F$2:$F$11000,OUT!$H$2:$H$11000,H629,OUT!$D$2:$D$11000,"Out",OUT!$E$2:$E$11000,"Mio")</f>
        <v>895700</v>
      </c>
      <c r="R629" s="52">
        <f ca="1">SUMIFS(OUT!$F$2:$F$11000,OUT!$H$2:$H$11000,H629,OUT!$D$2:$D$11000,"Out",OUT!$E$2:$E$11000,"Sedekah")</f>
        <v>130000</v>
      </c>
      <c r="S629" s="52">
        <f ca="1">SUMIFS(OUT!$F$2:$F$11000,OUT!$H$2:$H$11000,H629,OUT!$D$2:$D$11000,"Out",OUT!$E$2:$E$11000,"Zela")</f>
        <v>215161</v>
      </c>
      <c r="T629" s="52">
        <f ca="1">SUMIFS(OUT!$F$2:$F$11000,OUT!$H$2:$H$11000,H629,OUT!$D$2:$D$11000,"Out",OUT!$E$2:$E$11000,"Iqbal")</f>
        <v>215000</v>
      </c>
    </row>
    <row r="630" spans="1:20" x14ac:dyDescent="0.2">
      <c r="A630" s="48">
        <f ca="1">IFERROR(__xludf.DUMMYFUNCTION("""COMPUTED_VALUE"""),46101)</f>
        <v>46101</v>
      </c>
      <c r="B630" s="4" t="str">
        <f ca="1">IFERROR(__xludf.DUMMYFUNCTION("""COMPUTED_VALUE"""),"Terima Tunai")</f>
        <v>Terima Tunai</v>
      </c>
      <c r="C630" s="4" t="str">
        <f ca="1">IFERROR(__xludf.DUMMYFUNCTION("""COMPUTED_VALUE"""),"Cash")</f>
        <v>Cash</v>
      </c>
      <c r="D630" s="4" t="str">
        <f ca="1">IFERROR(__xludf.DUMMYFUNCTION("""COMPUTED_VALUE"""),"In")</f>
        <v>In</v>
      </c>
      <c r="E630" s="4" t="str">
        <f ca="1">IFERROR(__xludf.DUMMYFUNCTION("""COMPUTED_VALUE"""),"Move")</f>
        <v>Move</v>
      </c>
      <c r="F630" s="49">
        <f ca="1">IFERROR(__xludf.DUMMYFUNCTION("""COMPUTED_VALUE"""),200000)</f>
        <v>200000</v>
      </c>
      <c r="G630" s="50" t="str">
        <f ca="1">IFERROR(__xludf.DUMMYFUNCTION("""COMPUTED_VALUE"""),"Zela")</f>
        <v>Zela</v>
      </c>
      <c r="H630" s="51">
        <f t="shared" ca="1" si="0"/>
        <v>46082</v>
      </c>
      <c r="I630" s="52" t="e">
        <f ca="1">SUMIFS(OUT!$F$2:$F$11000,OUT!$H$2:$H$11000,H630,OUT!$D$2:$D$101007,"In")</f>
        <v>#VALUE!</v>
      </c>
      <c r="J630" s="52">
        <f ca="1">SUMIFS(OUT!$F$2:$F$11000,OUT!$H$2:$H$11000,H630,OUT!$D$2:$D$11000,"Out")</f>
        <v>12026623</v>
      </c>
      <c r="K630" s="52">
        <f ca="1">SUMIFS(OUT!$F$2:$F$11000,OUT!$H$2:$H$11000,H630,OUT!$D$2:$D$11000,"Out",OUT!$E$2:$E$11000,"Fix")</f>
        <v>2865413</v>
      </c>
      <c r="L630" s="52">
        <f ca="1">SUMIFS(OUT!$F$2:$F$11000,OUT!$H$2:$H$11000,H630,OUT!$D$2:$D$11000,"Out",OUT!$E$2:$E$11000,"Bathroom")</f>
        <v>120488</v>
      </c>
      <c r="M630" s="52">
        <f ca="1">SUMIFS(OUT!$F$2:$F$11000,OUT!$H$2:$H$11000,H630,OUT!$D$2:$D$11000,"Out",OUT!$E$2:$E$11000,"Alfa")</f>
        <v>890962</v>
      </c>
      <c r="N630" s="52" t="e">
        <f ca="1">SUMIFS(OUT!$F$2:$F$11000,OUT!$H$2:$H$101007,H630,OUT!$D$2:$D$11000,"Out",OUT!$E$2:$E$11000,"Jajan")</f>
        <v>#VALUE!</v>
      </c>
      <c r="O630" s="52">
        <f ca="1">SUMIFS(OUT!$F$2:$F$11000,OUT!$H$2:$H$11000,H630,OUT!$D$2:$D$11000,"Out",OUT!$E$2:$E$11000,"Kitchen")</f>
        <v>1152600</v>
      </c>
      <c r="P630" s="52">
        <f ca="1">SUMIFS(OUT!$F$2:$F$11000,OUT!$H$2:$H$11000,H630,OUT!$D$2:$D$11000,"Out",OUT!$E$2:$E$11000,"Loandry")</f>
        <v>41000</v>
      </c>
      <c r="Q630" s="52">
        <f ca="1">SUMIFS(OUT!$F$2:$F$11000,OUT!$H$2:$H$11000,H630,OUT!$D$2:$D$11000,"Out",OUT!$E$2:$E$11000,"Mio")</f>
        <v>895700</v>
      </c>
      <c r="R630" s="52">
        <f ca="1">SUMIFS(OUT!$F$2:$F$11000,OUT!$H$2:$H$11000,H630,OUT!$D$2:$D$11000,"Out",OUT!$E$2:$E$11000,"Sedekah")</f>
        <v>130000</v>
      </c>
      <c r="S630" s="52">
        <f ca="1">SUMIFS(OUT!$F$2:$F$11000,OUT!$H$2:$H$11000,H630,OUT!$D$2:$D$11000,"Out",OUT!$E$2:$E$11000,"Zela")</f>
        <v>215161</v>
      </c>
      <c r="T630" s="52">
        <f ca="1">SUMIFS(OUT!$F$2:$F$11000,OUT!$H$2:$H$11000,H630,OUT!$D$2:$D$11000,"Out",OUT!$E$2:$E$11000,"Iqbal")</f>
        <v>215000</v>
      </c>
    </row>
    <row r="631" spans="1:20" x14ac:dyDescent="0.2">
      <c r="A631" s="48">
        <f ca="1">IFERROR(__xludf.DUMMYFUNCTION("""COMPUTED_VALUE"""),46101)</f>
        <v>46101</v>
      </c>
      <c r="B631" s="4" t="str">
        <f ca="1">IFERROR(__xludf.DUMMYFUNCTION("""COMPUTED_VALUE"""),"Grosir ( dapur )")</f>
        <v>Grosir ( dapur )</v>
      </c>
      <c r="C631" s="4" t="str">
        <f ca="1">IFERROR(__xludf.DUMMYFUNCTION("""COMPUTED_VALUE"""),"Cash")</f>
        <v>Cash</v>
      </c>
      <c r="D631" s="4" t="str">
        <f ca="1">IFERROR(__xludf.DUMMYFUNCTION("""COMPUTED_VALUE"""),"Out")</f>
        <v>Out</v>
      </c>
      <c r="E631" s="4" t="str">
        <f ca="1">IFERROR(__xludf.DUMMYFUNCTION("""COMPUTED_VALUE"""),"Kitchen")</f>
        <v>Kitchen</v>
      </c>
      <c r="F631" s="49">
        <f ca="1">IFERROR(__xludf.DUMMYFUNCTION("""COMPUTED_VALUE"""),88000)</f>
        <v>88000</v>
      </c>
      <c r="G631" s="50" t="str">
        <f ca="1">IFERROR(__xludf.DUMMYFUNCTION("""COMPUTED_VALUE"""),"Zela")</f>
        <v>Zela</v>
      </c>
      <c r="H631" s="51">
        <f t="shared" ca="1" si="0"/>
        <v>46082</v>
      </c>
      <c r="I631" s="52" t="e">
        <f ca="1">SUMIFS(OUT!$F$2:$F$11000,OUT!$H$2:$H$11000,H631,OUT!$D$2:$D$101007,"In")</f>
        <v>#VALUE!</v>
      </c>
      <c r="J631" s="52">
        <f ca="1">SUMIFS(OUT!$F$2:$F$11000,OUT!$H$2:$H$11000,H631,OUT!$D$2:$D$11000,"Out")</f>
        <v>12026623</v>
      </c>
      <c r="K631" s="52">
        <f ca="1">SUMIFS(OUT!$F$2:$F$11000,OUT!$H$2:$H$11000,H631,OUT!$D$2:$D$11000,"Out",OUT!$E$2:$E$11000,"Fix")</f>
        <v>2865413</v>
      </c>
      <c r="L631" s="52">
        <f ca="1">SUMIFS(OUT!$F$2:$F$11000,OUT!$H$2:$H$11000,H631,OUT!$D$2:$D$11000,"Out",OUT!$E$2:$E$11000,"Bathroom")</f>
        <v>120488</v>
      </c>
      <c r="M631" s="52">
        <f ca="1">SUMIFS(OUT!$F$2:$F$11000,OUT!$H$2:$H$11000,H631,OUT!$D$2:$D$11000,"Out",OUT!$E$2:$E$11000,"Alfa")</f>
        <v>890962</v>
      </c>
      <c r="N631" s="52" t="e">
        <f ca="1">SUMIFS(OUT!$F$2:$F$11000,OUT!$H$2:$H$101007,H631,OUT!$D$2:$D$11000,"Out",OUT!$E$2:$E$11000,"Jajan")</f>
        <v>#VALUE!</v>
      </c>
      <c r="O631" s="52">
        <f ca="1">SUMIFS(OUT!$F$2:$F$11000,OUT!$H$2:$H$11000,H631,OUT!$D$2:$D$11000,"Out",OUT!$E$2:$E$11000,"Kitchen")</f>
        <v>1152600</v>
      </c>
      <c r="P631" s="52">
        <f ca="1">SUMIFS(OUT!$F$2:$F$11000,OUT!$H$2:$H$11000,H631,OUT!$D$2:$D$11000,"Out",OUT!$E$2:$E$11000,"Loandry")</f>
        <v>41000</v>
      </c>
      <c r="Q631" s="52">
        <f ca="1">SUMIFS(OUT!$F$2:$F$11000,OUT!$H$2:$H$11000,H631,OUT!$D$2:$D$11000,"Out",OUT!$E$2:$E$11000,"Mio")</f>
        <v>895700</v>
      </c>
      <c r="R631" s="52">
        <f ca="1">SUMIFS(OUT!$F$2:$F$11000,OUT!$H$2:$H$11000,H631,OUT!$D$2:$D$11000,"Out",OUT!$E$2:$E$11000,"Sedekah")</f>
        <v>130000</v>
      </c>
      <c r="S631" s="52">
        <f ca="1">SUMIFS(OUT!$F$2:$F$11000,OUT!$H$2:$H$11000,H631,OUT!$D$2:$D$11000,"Out",OUT!$E$2:$E$11000,"Zela")</f>
        <v>215161</v>
      </c>
      <c r="T631" s="52">
        <f ca="1">SUMIFS(OUT!$F$2:$F$11000,OUT!$H$2:$H$11000,H631,OUT!$D$2:$D$11000,"Out",OUT!$E$2:$E$11000,"Iqbal")</f>
        <v>215000</v>
      </c>
    </row>
    <row r="632" spans="1:20" x14ac:dyDescent="0.2">
      <c r="A632" s="48">
        <f ca="1">IFERROR(__xludf.DUMMYFUNCTION("""COMPUTED_VALUE"""),46101)</f>
        <v>46101</v>
      </c>
      <c r="B632" s="4" t="str">
        <f ca="1">IFERROR(__xludf.DUMMYFUNCTION("""COMPUTED_VALUE"""),"Kash Baba ( duososes dll )")</f>
        <v>Kash Baba ( duososes dll )</v>
      </c>
      <c r="C632" s="4" t="str">
        <f ca="1">IFERROR(__xludf.DUMMYFUNCTION("""COMPUTED_VALUE"""),"Cash")</f>
        <v>Cash</v>
      </c>
      <c r="D632" s="4" t="str">
        <f ca="1">IFERROR(__xludf.DUMMYFUNCTION("""COMPUTED_VALUE"""),"Out")</f>
        <v>Out</v>
      </c>
      <c r="E632" s="4" t="str">
        <f ca="1">IFERROR(__xludf.DUMMYFUNCTION("""COMPUTED_VALUE"""),"Move")</f>
        <v>Move</v>
      </c>
      <c r="F632" s="49">
        <f ca="1">IFERROR(__xludf.DUMMYFUNCTION("""COMPUTED_VALUE"""),84000)</f>
        <v>84000</v>
      </c>
      <c r="G632" s="50" t="str">
        <f ca="1">IFERROR(__xludf.DUMMYFUNCTION("""COMPUTED_VALUE"""),"Zela")</f>
        <v>Zela</v>
      </c>
      <c r="H632" s="51">
        <f t="shared" ca="1" si="0"/>
        <v>46082</v>
      </c>
      <c r="I632" s="52" t="e">
        <f ca="1">SUMIFS(OUT!$F$2:$F$11000,OUT!$H$2:$H$11000,H632,OUT!$D$2:$D$101007,"In")</f>
        <v>#VALUE!</v>
      </c>
      <c r="J632" s="52">
        <f ca="1">SUMIFS(OUT!$F$2:$F$11000,OUT!$H$2:$H$11000,H632,OUT!$D$2:$D$11000,"Out")</f>
        <v>12026623</v>
      </c>
      <c r="K632" s="52">
        <f ca="1">SUMIFS(OUT!$F$2:$F$11000,OUT!$H$2:$H$11000,H632,OUT!$D$2:$D$11000,"Out",OUT!$E$2:$E$11000,"Fix")</f>
        <v>2865413</v>
      </c>
      <c r="L632" s="52">
        <f ca="1">SUMIFS(OUT!$F$2:$F$11000,OUT!$H$2:$H$11000,H632,OUT!$D$2:$D$11000,"Out",OUT!$E$2:$E$11000,"Bathroom")</f>
        <v>120488</v>
      </c>
      <c r="M632" s="52">
        <f ca="1">SUMIFS(OUT!$F$2:$F$11000,OUT!$H$2:$H$11000,H632,OUT!$D$2:$D$11000,"Out",OUT!$E$2:$E$11000,"Alfa")</f>
        <v>890962</v>
      </c>
      <c r="N632" s="52" t="e">
        <f ca="1">SUMIFS(OUT!$F$2:$F$11000,OUT!$H$2:$H$101007,H632,OUT!$D$2:$D$11000,"Out",OUT!$E$2:$E$11000,"Jajan")</f>
        <v>#VALUE!</v>
      </c>
      <c r="O632" s="52">
        <f ca="1">SUMIFS(OUT!$F$2:$F$11000,OUT!$H$2:$H$11000,H632,OUT!$D$2:$D$11000,"Out",OUT!$E$2:$E$11000,"Kitchen")</f>
        <v>1152600</v>
      </c>
      <c r="P632" s="52">
        <f ca="1">SUMIFS(OUT!$F$2:$F$11000,OUT!$H$2:$H$11000,H632,OUT!$D$2:$D$11000,"Out",OUT!$E$2:$E$11000,"Loandry")</f>
        <v>41000</v>
      </c>
      <c r="Q632" s="52">
        <f ca="1">SUMIFS(OUT!$F$2:$F$11000,OUT!$H$2:$H$11000,H632,OUT!$D$2:$D$11000,"Out",OUT!$E$2:$E$11000,"Mio")</f>
        <v>895700</v>
      </c>
      <c r="R632" s="52">
        <f ca="1">SUMIFS(OUT!$F$2:$F$11000,OUT!$H$2:$H$11000,H632,OUT!$D$2:$D$11000,"Out",OUT!$E$2:$E$11000,"Sedekah")</f>
        <v>130000</v>
      </c>
      <c r="S632" s="52">
        <f ca="1">SUMIFS(OUT!$F$2:$F$11000,OUT!$H$2:$H$11000,H632,OUT!$D$2:$D$11000,"Out",OUT!$E$2:$E$11000,"Zela")</f>
        <v>215161</v>
      </c>
      <c r="T632" s="52">
        <f ca="1">SUMIFS(OUT!$F$2:$F$11000,OUT!$H$2:$H$11000,H632,OUT!$D$2:$D$11000,"Out",OUT!$E$2:$E$11000,"Iqbal")</f>
        <v>215000</v>
      </c>
    </row>
    <row r="633" spans="1:20" x14ac:dyDescent="0.2">
      <c r="A633" s="48">
        <f ca="1">IFERROR(__xludf.DUMMYFUNCTION("""COMPUTED_VALUE"""),46101)</f>
        <v>46101</v>
      </c>
      <c r="B633" s="4" t="str">
        <f ca="1">IFERROR(__xludf.DUMMYFUNCTION("""COMPUTED_VALUE"""),"Pasar Kaget")</f>
        <v>Pasar Kaget</v>
      </c>
      <c r="C633" s="4" t="str">
        <f ca="1">IFERROR(__xludf.DUMMYFUNCTION("""COMPUTED_VALUE"""),"Cash")</f>
        <v>Cash</v>
      </c>
      <c r="D633" s="4" t="str">
        <f ca="1">IFERROR(__xludf.DUMMYFUNCTION("""COMPUTED_VALUE"""),"Out")</f>
        <v>Out</v>
      </c>
      <c r="E633" s="4" t="str">
        <f ca="1">IFERROR(__xludf.DUMMYFUNCTION("""COMPUTED_VALUE"""),"Kitchen")</f>
        <v>Kitchen</v>
      </c>
      <c r="F633" s="49">
        <f ca="1">IFERROR(__xludf.DUMMYFUNCTION("""COMPUTED_VALUE"""),38800)</f>
        <v>38800</v>
      </c>
      <c r="G633" s="50" t="str">
        <f ca="1">IFERROR(__xludf.DUMMYFUNCTION("""COMPUTED_VALUE"""),"Zela")</f>
        <v>Zela</v>
      </c>
      <c r="H633" s="51">
        <f t="shared" ca="1" si="0"/>
        <v>46082</v>
      </c>
      <c r="I633" s="52" t="e">
        <f ca="1">SUMIFS(OUT!$F$2:$F$11000,OUT!$H$2:$H$11000,H633,OUT!$D$2:$D$101007,"In")</f>
        <v>#VALUE!</v>
      </c>
      <c r="J633" s="52">
        <f ca="1">SUMIFS(OUT!$F$2:$F$11000,OUT!$H$2:$H$11000,H633,OUT!$D$2:$D$11000,"Out")</f>
        <v>12026623</v>
      </c>
      <c r="K633" s="52">
        <f ca="1">SUMIFS(OUT!$F$2:$F$11000,OUT!$H$2:$H$11000,H633,OUT!$D$2:$D$11000,"Out",OUT!$E$2:$E$11000,"Fix")</f>
        <v>2865413</v>
      </c>
      <c r="L633" s="52">
        <f ca="1">SUMIFS(OUT!$F$2:$F$11000,OUT!$H$2:$H$11000,H633,OUT!$D$2:$D$11000,"Out",OUT!$E$2:$E$11000,"Bathroom")</f>
        <v>120488</v>
      </c>
      <c r="M633" s="52">
        <f ca="1">SUMIFS(OUT!$F$2:$F$11000,OUT!$H$2:$H$11000,H633,OUT!$D$2:$D$11000,"Out",OUT!$E$2:$E$11000,"Alfa")</f>
        <v>890962</v>
      </c>
      <c r="N633" s="52" t="e">
        <f ca="1">SUMIFS(OUT!$F$2:$F$11000,OUT!$H$2:$H$101007,H633,OUT!$D$2:$D$11000,"Out",OUT!$E$2:$E$11000,"Jajan")</f>
        <v>#VALUE!</v>
      </c>
      <c r="O633" s="52">
        <f ca="1">SUMIFS(OUT!$F$2:$F$11000,OUT!$H$2:$H$11000,H633,OUT!$D$2:$D$11000,"Out",OUT!$E$2:$E$11000,"Kitchen")</f>
        <v>1152600</v>
      </c>
      <c r="P633" s="52">
        <f ca="1">SUMIFS(OUT!$F$2:$F$11000,OUT!$H$2:$H$11000,H633,OUT!$D$2:$D$11000,"Out",OUT!$E$2:$E$11000,"Loandry")</f>
        <v>41000</v>
      </c>
      <c r="Q633" s="52">
        <f ca="1">SUMIFS(OUT!$F$2:$F$11000,OUT!$H$2:$H$11000,H633,OUT!$D$2:$D$11000,"Out",OUT!$E$2:$E$11000,"Mio")</f>
        <v>895700</v>
      </c>
      <c r="R633" s="52">
        <f ca="1">SUMIFS(OUT!$F$2:$F$11000,OUT!$H$2:$H$11000,H633,OUT!$D$2:$D$11000,"Out",OUT!$E$2:$E$11000,"Sedekah")</f>
        <v>130000</v>
      </c>
      <c r="S633" s="52">
        <f ca="1">SUMIFS(OUT!$F$2:$F$11000,OUT!$H$2:$H$11000,H633,OUT!$D$2:$D$11000,"Out",OUT!$E$2:$E$11000,"Zela")</f>
        <v>215161</v>
      </c>
      <c r="T633" s="52">
        <f ca="1">SUMIFS(OUT!$F$2:$F$11000,OUT!$H$2:$H$11000,H633,OUT!$D$2:$D$11000,"Out",OUT!$E$2:$E$11000,"Iqbal")</f>
        <v>215000</v>
      </c>
    </row>
    <row r="634" spans="1:20" x14ac:dyDescent="0.2">
      <c r="A634" s="48">
        <f ca="1">IFERROR(__xludf.DUMMYFUNCTION("""COMPUTED_VALUE"""),46101)</f>
        <v>46101</v>
      </c>
      <c r="B634" s="4" t="str">
        <f ca="1">IFERROR(__xludf.DUMMYFUNCTION("""COMPUTED_VALUE"""),"susu Alfa + Yogurt")</f>
        <v>susu Alfa + Yogurt</v>
      </c>
      <c r="C634" s="4" t="str">
        <f ca="1">IFERROR(__xludf.DUMMYFUNCTION("""COMPUTED_VALUE"""),"ATM")</f>
        <v>ATM</v>
      </c>
      <c r="D634" s="4" t="str">
        <f ca="1">IFERROR(__xludf.DUMMYFUNCTION("""COMPUTED_VALUE"""),"Out")</f>
        <v>Out</v>
      </c>
      <c r="E634" s="4" t="str">
        <f ca="1">IFERROR(__xludf.DUMMYFUNCTION("""COMPUTED_VALUE"""),"Alfa")</f>
        <v>Alfa</v>
      </c>
      <c r="F634" s="49">
        <f ca="1">IFERROR(__xludf.DUMMYFUNCTION("""COMPUTED_VALUE"""),49900)</f>
        <v>49900</v>
      </c>
      <c r="G634" s="50" t="str">
        <f ca="1">IFERROR(__xludf.DUMMYFUNCTION("""COMPUTED_VALUE"""),"Zela")</f>
        <v>Zela</v>
      </c>
      <c r="H634" s="51">
        <f t="shared" ca="1" si="0"/>
        <v>46082</v>
      </c>
      <c r="I634" s="52" t="e">
        <f ca="1">SUMIFS(OUT!$F$2:$F$11000,OUT!$H$2:$H$11000,H634,OUT!$D$2:$D$101007,"In")</f>
        <v>#VALUE!</v>
      </c>
      <c r="J634" s="52">
        <f ca="1">SUMIFS(OUT!$F$2:$F$11000,OUT!$H$2:$H$11000,H634,OUT!$D$2:$D$11000,"Out")</f>
        <v>12026623</v>
      </c>
      <c r="K634" s="52">
        <f ca="1">SUMIFS(OUT!$F$2:$F$11000,OUT!$H$2:$H$11000,H634,OUT!$D$2:$D$11000,"Out",OUT!$E$2:$E$11000,"Fix")</f>
        <v>2865413</v>
      </c>
      <c r="L634" s="52">
        <f ca="1">SUMIFS(OUT!$F$2:$F$11000,OUT!$H$2:$H$11000,H634,OUT!$D$2:$D$11000,"Out",OUT!$E$2:$E$11000,"Bathroom")</f>
        <v>120488</v>
      </c>
      <c r="M634" s="52">
        <f ca="1">SUMIFS(OUT!$F$2:$F$11000,OUT!$H$2:$H$11000,H634,OUT!$D$2:$D$11000,"Out",OUT!$E$2:$E$11000,"Alfa")</f>
        <v>890962</v>
      </c>
      <c r="N634" s="52" t="e">
        <f ca="1">SUMIFS(OUT!$F$2:$F$11000,OUT!$H$2:$H$101007,H634,OUT!$D$2:$D$11000,"Out",OUT!$E$2:$E$11000,"Jajan")</f>
        <v>#VALUE!</v>
      </c>
      <c r="O634" s="52">
        <f ca="1">SUMIFS(OUT!$F$2:$F$11000,OUT!$H$2:$H$11000,H634,OUT!$D$2:$D$11000,"Out",OUT!$E$2:$E$11000,"Kitchen")</f>
        <v>1152600</v>
      </c>
      <c r="P634" s="52">
        <f ca="1">SUMIFS(OUT!$F$2:$F$11000,OUT!$H$2:$H$11000,H634,OUT!$D$2:$D$11000,"Out",OUT!$E$2:$E$11000,"Loandry")</f>
        <v>41000</v>
      </c>
      <c r="Q634" s="52">
        <f ca="1">SUMIFS(OUT!$F$2:$F$11000,OUT!$H$2:$H$11000,H634,OUT!$D$2:$D$11000,"Out",OUT!$E$2:$E$11000,"Mio")</f>
        <v>895700</v>
      </c>
      <c r="R634" s="52">
        <f ca="1">SUMIFS(OUT!$F$2:$F$11000,OUT!$H$2:$H$11000,H634,OUT!$D$2:$D$11000,"Out",OUT!$E$2:$E$11000,"Sedekah")</f>
        <v>130000</v>
      </c>
      <c r="S634" s="52">
        <f ca="1">SUMIFS(OUT!$F$2:$F$11000,OUT!$H$2:$H$11000,H634,OUT!$D$2:$D$11000,"Out",OUT!$E$2:$E$11000,"Zela")</f>
        <v>215161</v>
      </c>
      <c r="T634" s="52">
        <f ca="1">SUMIFS(OUT!$F$2:$F$11000,OUT!$H$2:$H$11000,H634,OUT!$D$2:$D$11000,"Out",OUT!$E$2:$E$11000,"Iqbal")</f>
        <v>215000</v>
      </c>
    </row>
    <row r="635" spans="1:20" x14ac:dyDescent="0.2">
      <c r="A635" s="48">
        <f ca="1">IFERROR(__xludf.DUMMYFUNCTION("""COMPUTED_VALUE"""),46103)</f>
        <v>46103</v>
      </c>
      <c r="B635" s="4" t="str">
        <f ca="1">IFERROR(__xludf.DUMMYFUNCTION("""COMPUTED_VALUE"""),"Detergn")</f>
        <v>Detergn</v>
      </c>
      <c r="C635" s="4" t="str">
        <f ca="1">IFERROR(__xludf.DUMMYFUNCTION("""COMPUTED_VALUE"""),"ATM")</f>
        <v>ATM</v>
      </c>
      <c r="D635" s="4" t="str">
        <f ca="1">IFERROR(__xludf.DUMMYFUNCTION("""COMPUTED_VALUE"""),"Out")</f>
        <v>Out</v>
      </c>
      <c r="E635" s="4" t="str">
        <f ca="1">IFERROR(__xludf.DUMMYFUNCTION("""COMPUTED_VALUE"""),"Loandry")</f>
        <v>Loandry</v>
      </c>
      <c r="F635" s="49">
        <f ca="1">IFERROR(__xludf.DUMMYFUNCTION("""COMPUTED_VALUE"""),27800)</f>
        <v>27800</v>
      </c>
      <c r="G635" s="50" t="str">
        <f ca="1">IFERROR(__xludf.DUMMYFUNCTION("""COMPUTED_VALUE"""),"Zela")</f>
        <v>Zela</v>
      </c>
      <c r="H635" s="51">
        <f t="shared" ca="1" si="0"/>
        <v>46082</v>
      </c>
      <c r="I635" s="52" t="e">
        <f ca="1">SUMIFS(OUT!$F$2:$F$11000,OUT!$H$2:$H$11000,H635,OUT!$D$2:$D$101007,"In")</f>
        <v>#VALUE!</v>
      </c>
      <c r="J635" s="52">
        <f ca="1">SUMIFS(OUT!$F$2:$F$11000,OUT!$H$2:$H$11000,H635,OUT!$D$2:$D$11000,"Out")</f>
        <v>12026623</v>
      </c>
      <c r="K635" s="52">
        <f ca="1">SUMIFS(OUT!$F$2:$F$11000,OUT!$H$2:$H$11000,H635,OUT!$D$2:$D$11000,"Out",OUT!$E$2:$E$11000,"Fix")</f>
        <v>2865413</v>
      </c>
      <c r="L635" s="52">
        <f ca="1">SUMIFS(OUT!$F$2:$F$11000,OUT!$H$2:$H$11000,H635,OUT!$D$2:$D$11000,"Out",OUT!$E$2:$E$11000,"Bathroom")</f>
        <v>120488</v>
      </c>
      <c r="M635" s="52">
        <f ca="1">SUMIFS(OUT!$F$2:$F$11000,OUT!$H$2:$H$11000,H635,OUT!$D$2:$D$11000,"Out",OUT!$E$2:$E$11000,"Alfa")</f>
        <v>890962</v>
      </c>
      <c r="N635" s="52" t="e">
        <f ca="1">SUMIFS(OUT!$F$2:$F$11000,OUT!$H$2:$H$101007,H635,OUT!$D$2:$D$11000,"Out",OUT!$E$2:$E$11000,"Jajan")</f>
        <v>#VALUE!</v>
      </c>
      <c r="O635" s="52">
        <f ca="1">SUMIFS(OUT!$F$2:$F$11000,OUT!$H$2:$H$11000,H635,OUT!$D$2:$D$11000,"Out",OUT!$E$2:$E$11000,"Kitchen")</f>
        <v>1152600</v>
      </c>
      <c r="P635" s="52">
        <f ca="1">SUMIFS(OUT!$F$2:$F$11000,OUT!$H$2:$H$11000,H635,OUT!$D$2:$D$11000,"Out",OUT!$E$2:$E$11000,"Loandry")</f>
        <v>41000</v>
      </c>
      <c r="Q635" s="52">
        <f ca="1">SUMIFS(OUT!$F$2:$F$11000,OUT!$H$2:$H$11000,H635,OUT!$D$2:$D$11000,"Out",OUT!$E$2:$E$11000,"Mio")</f>
        <v>895700</v>
      </c>
      <c r="R635" s="52">
        <f ca="1">SUMIFS(OUT!$F$2:$F$11000,OUT!$H$2:$H$11000,H635,OUT!$D$2:$D$11000,"Out",OUT!$E$2:$E$11000,"Sedekah")</f>
        <v>130000</v>
      </c>
      <c r="S635" s="52">
        <f ca="1">SUMIFS(OUT!$F$2:$F$11000,OUT!$H$2:$H$11000,H635,OUT!$D$2:$D$11000,"Out",OUT!$E$2:$E$11000,"Zela")</f>
        <v>215161</v>
      </c>
      <c r="T635" s="52">
        <f ca="1">SUMIFS(OUT!$F$2:$F$11000,OUT!$H$2:$H$11000,H635,OUT!$D$2:$D$11000,"Out",OUT!$E$2:$E$11000,"Iqbal")</f>
        <v>215000</v>
      </c>
    </row>
    <row r="636" spans="1:20" x14ac:dyDescent="0.2">
      <c r="A636" s="48">
        <f ca="1">IFERROR(__xludf.DUMMYFUNCTION("""COMPUTED_VALUE"""),46104)</f>
        <v>46104</v>
      </c>
      <c r="B636" s="4" t="str">
        <f ca="1">IFERROR(__xludf.DUMMYFUNCTION("""COMPUTED_VALUE"""),"THR alfa")</f>
        <v>THR alfa</v>
      </c>
      <c r="C636" s="4" t="str">
        <f ca="1">IFERROR(__xludf.DUMMYFUNCTION("""COMPUTED_VALUE"""),"Cash")</f>
        <v>Cash</v>
      </c>
      <c r="D636" s="4" t="str">
        <f ca="1">IFERROR(__xludf.DUMMYFUNCTION("""COMPUTED_VALUE"""),"In")</f>
        <v>In</v>
      </c>
      <c r="E636" s="4" t="str">
        <f ca="1">IFERROR(__xludf.DUMMYFUNCTION("""COMPUTED_VALUE"""),"Alfa")</f>
        <v>Alfa</v>
      </c>
      <c r="F636" s="49">
        <f ca="1">IFERROR(__xludf.DUMMYFUNCTION("""COMPUTED_VALUE"""),171000)</f>
        <v>171000</v>
      </c>
      <c r="G636" s="50" t="str">
        <f ca="1">IFERROR(__xludf.DUMMYFUNCTION("""COMPUTED_VALUE"""),"Zela")</f>
        <v>Zela</v>
      </c>
      <c r="H636" s="51">
        <f t="shared" ca="1" si="0"/>
        <v>46082</v>
      </c>
      <c r="I636" s="52" t="e">
        <f ca="1">SUMIFS(OUT!$F$2:$F$11000,OUT!$H$2:$H$11000,H636,OUT!$D$2:$D$101007,"In")</f>
        <v>#VALUE!</v>
      </c>
      <c r="J636" s="52">
        <f ca="1">SUMIFS(OUT!$F$2:$F$11000,OUT!$H$2:$H$11000,H636,OUT!$D$2:$D$11000,"Out")</f>
        <v>12026623</v>
      </c>
      <c r="K636" s="52">
        <f ca="1">SUMIFS(OUT!$F$2:$F$11000,OUT!$H$2:$H$11000,H636,OUT!$D$2:$D$11000,"Out",OUT!$E$2:$E$11000,"Fix")</f>
        <v>2865413</v>
      </c>
      <c r="L636" s="52">
        <f ca="1">SUMIFS(OUT!$F$2:$F$11000,OUT!$H$2:$H$11000,H636,OUT!$D$2:$D$11000,"Out",OUT!$E$2:$E$11000,"Bathroom")</f>
        <v>120488</v>
      </c>
      <c r="M636" s="52">
        <f ca="1">SUMIFS(OUT!$F$2:$F$11000,OUT!$H$2:$H$11000,H636,OUT!$D$2:$D$11000,"Out",OUT!$E$2:$E$11000,"Alfa")</f>
        <v>890962</v>
      </c>
      <c r="N636" s="52" t="e">
        <f ca="1">SUMIFS(OUT!$F$2:$F$11000,OUT!$H$2:$H$101007,H636,OUT!$D$2:$D$11000,"Out",OUT!$E$2:$E$11000,"Jajan")</f>
        <v>#VALUE!</v>
      </c>
      <c r="O636" s="52">
        <f ca="1">SUMIFS(OUT!$F$2:$F$11000,OUT!$H$2:$H$11000,H636,OUT!$D$2:$D$11000,"Out",OUT!$E$2:$E$11000,"Kitchen")</f>
        <v>1152600</v>
      </c>
      <c r="P636" s="52">
        <f ca="1">SUMIFS(OUT!$F$2:$F$11000,OUT!$H$2:$H$11000,H636,OUT!$D$2:$D$11000,"Out",OUT!$E$2:$E$11000,"Loandry")</f>
        <v>41000</v>
      </c>
      <c r="Q636" s="52">
        <f ca="1">SUMIFS(OUT!$F$2:$F$11000,OUT!$H$2:$H$11000,H636,OUT!$D$2:$D$11000,"Out",OUT!$E$2:$E$11000,"Mio")</f>
        <v>895700</v>
      </c>
      <c r="R636" s="52">
        <f ca="1">SUMIFS(OUT!$F$2:$F$11000,OUT!$H$2:$H$11000,H636,OUT!$D$2:$D$11000,"Out",OUT!$E$2:$E$11000,"Sedekah")</f>
        <v>130000</v>
      </c>
      <c r="S636" s="52">
        <f ca="1">SUMIFS(OUT!$F$2:$F$11000,OUT!$H$2:$H$11000,H636,OUT!$D$2:$D$11000,"Out",OUT!$E$2:$E$11000,"Zela")</f>
        <v>215161</v>
      </c>
      <c r="T636" s="52">
        <f ca="1">SUMIFS(OUT!$F$2:$F$11000,OUT!$H$2:$H$11000,H636,OUT!$D$2:$D$11000,"Out",OUT!$E$2:$E$11000,"Iqbal")</f>
        <v>215000</v>
      </c>
    </row>
    <row r="637" spans="1:20" x14ac:dyDescent="0.2">
      <c r="A637" s="48">
        <f ca="1">IFERROR(__xludf.DUMMYFUNCTION("""COMPUTED_VALUE"""),46104)</f>
        <v>46104</v>
      </c>
      <c r="B637" s="4" t="str">
        <f ca="1">IFERROR(__xludf.DUMMYFUNCTION("""COMPUTED_VALUE"""),"Bensin")</f>
        <v>Bensin</v>
      </c>
      <c r="C637" s="4" t="str">
        <f ca="1">IFERROR(__xludf.DUMMYFUNCTION("""COMPUTED_VALUE"""),"Cash")</f>
        <v>Cash</v>
      </c>
      <c r="D637" s="4" t="str">
        <f ca="1">IFERROR(__xludf.DUMMYFUNCTION("""COMPUTED_VALUE"""),"Out")</f>
        <v>Out</v>
      </c>
      <c r="E637" s="4" t="str">
        <f ca="1">IFERROR(__xludf.DUMMYFUNCTION("""COMPUTED_VALUE"""),"Mio")</f>
        <v>Mio</v>
      </c>
      <c r="F637" s="49">
        <f ca="1">IFERROR(__xludf.DUMMYFUNCTION("""COMPUTED_VALUE"""),30000)</f>
        <v>30000</v>
      </c>
      <c r="G637" s="50" t="str">
        <f ca="1">IFERROR(__xludf.DUMMYFUNCTION("""COMPUTED_VALUE"""),"Zela")</f>
        <v>Zela</v>
      </c>
      <c r="H637" s="51">
        <f t="shared" ca="1" si="0"/>
        <v>46082</v>
      </c>
      <c r="I637" s="52" t="e">
        <f ca="1">SUMIFS(OUT!$F$2:$F$11000,OUT!$H$2:$H$11000,H637,OUT!$D$2:$D$101007,"In")</f>
        <v>#VALUE!</v>
      </c>
      <c r="J637" s="52">
        <f ca="1">SUMIFS(OUT!$F$2:$F$11000,OUT!$H$2:$H$11000,H637,OUT!$D$2:$D$11000,"Out")</f>
        <v>12026623</v>
      </c>
      <c r="K637" s="52">
        <f ca="1">SUMIFS(OUT!$F$2:$F$11000,OUT!$H$2:$H$11000,H637,OUT!$D$2:$D$11000,"Out",OUT!$E$2:$E$11000,"Fix")</f>
        <v>2865413</v>
      </c>
      <c r="L637" s="52">
        <f ca="1">SUMIFS(OUT!$F$2:$F$11000,OUT!$H$2:$H$11000,H637,OUT!$D$2:$D$11000,"Out",OUT!$E$2:$E$11000,"Bathroom")</f>
        <v>120488</v>
      </c>
      <c r="M637" s="52">
        <f ca="1">SUMIFS(OUT!$F$2:$F$11000,OUT!$H$2:$H$11000,H637,OUT!$D$2:$D$11000,"Out",OUT!$E$2:$E$11000,"Alfa")</f>
        <v>890962</v>
      </c>
      <c r="N637" s="52" t="e">
        <f ca="1">SUMIFS(OUT!$F$2:$F$11000,OUT!$H$2:$H$101007,H637,OUT!$D$2:$D$11000,"Out",OUT!$E$2:$E$11000,"Jajan")</f>
        <v>#VALUE!</v>
      </c>
      <c r="O637" s="52">
        <f ca="1">SUMIFS(OUT!$F$2:$F$11000,OUT!$H$2:$H$11000,H637,OUT!$D$2:$D$11000,"Out",OUT!$E$2:$E$11000,"Kitchen")</f>
        <v>1152600</v>
      </c>
      <c r="P637" s="52">
        <f ca="1">SUMIFS(OUT!$F$2:$F$11000,OUT!$H$2:$H$11000,H637,OUT!$D$2:$D$11000,"Out",OUT!$E$2:$E$11000,"Loandry")</f>
        <v>41000</v>
      </c>
      <c r="Q637" s="52">
        <f ca="1">SUMIFS(OUT!$F$2:$F$11000,OUT!$H$2:$H$11000,H637,OUT!$D$2:$D$11000,"Out",OUT!$E$2:$E$11000,"Mio")</f>
        <v>895700</v>
      </c>
      <c r="R637" s="52">
        <f ca="1">SUMIFS(OUT!$F$2:$F$11000,OUT!$H$2:$H$11000,H637,OUT!$D$2:$D$11000,"Out",OUT!$E$2:$E$11000,"Sedekah")</f>
        <v>130000</v>
      </c>
      <c r="S637" s="52">
        <f ca="1">SUMIFS(OUT!$F$2:$F$11000,OUT!$H$2:$H$11000,H637,OUT!$D$2:$D$11000,"Out",OUT!$E$2:$E$11000,"Zela")</f>
        <v>215161</v>
      </c>
      <c r="T637" s="52">
        <f ca="1">SUMIFS(OUT!$F$2:$F$11000,OUT!$H$2:$H$11000,H637,OUT!$D$2:$D$11000,"Out",OUT!$E$2:$E$11000,"Iqbal")</f>
        <v>215000</v>
      </c>
    </row>
    <row r="638" spans="1:20" x14ac:dyDescent="0.2">
      <c r="A638" s="48">
        <f ca="1">IFERROR(__xludf.DUMMYFUNCTION("""COMPUTED_VALUE"""),46104)</f>
        <v>46104</v>
      </c>
      <c r="B638" s="4" t="str">
        <f ca="1">IFERROR(__xludf.DUMMYFUNCTION("""COMPUTED_VALUE"""),"sepatu alfa tiktok")</f>
        <v>sepatu alfa tiktok</v>
      </c>
      <c r="C638" s="4" t="str">
        <f ca="1">IFERROR(__xludf.DUMMYFUNCTION("""COMPUTED_VALUE"""),"ATM")</f>
        <v>ATM</v>
      </c>
      <c r="D638" s="4" t="str">
        <f ca="1">IFERROR(__xludf.DUMMYFUNCTION("""COMPUTED_VALUE"""),"Out")</f>
        <v>Out</v>
      </c>
      <c r="E638" s="4" t="str">
        <f ca="1">IFERROR(__xludf.DUMMYFUNCTION("""COMPUTED_VALUE"""),"Alfa")</f>
        <v>Alfa</v>
      </c>
      <c r="F638" s="49">
        <f ca="1">IFERROR(__xludf.DUMMYFUNCTION("""COMPUTED_VALUE"""),39000)</f>
        <v>39000</v>
      </c>
      <c r="G638" s="50" t="str">
        <f ca="1">IFERROR(__xludf.DUMMYFUNCTION("""COMPUTED_VALUE"""),"Zela")</f>
        <v>Zela</v>
      </c>
      <c r="H638" s="51">
        <f t="shared" ca="1" si="0"/>
        <v>46082</v>
      </c>
      <c r="I638" s="52" t="e">
        <f ca="1">SUMIFS(OUT!$F$2:$F$11000,OUT!$H$2:$H$11000,H638,OUT!$D$2:$D$101007,"In")</f>
        <v>#VALUE!</v>
      </c>
      <c r="J638" s="52">
        <f ca="1">SUMIFS(OUT!$F$2:$F$11000,OUT!$H$2:$H$11000,H638,OUT!$D$2:$D$11000,"Out")</f>
        <v>12026623</v>
      </c>
      <c r="K638" s="52">
        <f ca="1">SUMIFS(OUT!$F$2:$F$11000,OUT!$H$2:$H$11000,H638,OUT!$D$2:$D$11000,"Out",OUT!$E$2:$E$11000,"Fix")</f>
        <v>2865413</v>
      </c>
      <c r="L638" s="52">
        <f ca="1">SUMIFS(OUT!$F$2:$F$11000,OUT!$H$2:$H$11000,H638,OUT!$D$2:$D$11000,"Out",OUT!$E$2:$E$11000,"Bathroom")</f>
        <v>120488</v>
      </c>
      <c r="M638" s="52">
        <f ca="1">SUMIFS(OUT!$F$2:$F$11000,OUT!$H$2:$H$11000,H638,OUT!$D$2:$D$11000,"Out",OUT!$E$2:$E$11000,"Alfa")</f>
        <v>890962</v>
      </c>
      <c r="N638" s="52" t="e">
        <f ca="1">SUMIFS(OUT!$F$2:$F$11000,OUT!$H$2:$H$101007,H638,OUT!$D$2:$D$11000,"Out",OUT!$E$2:$E$11000,"Jajan")</f>
        <v>#VALUE!</v>
      </c>
      <c r="O638" s="52">
        <f ca="1">SUMIFS(OUT!$F$2:$F$11000,OUT!$H$2:$H$11000,H638,OUT!$D$2:$D$11000,"Out",OUT!$E$2:$E$11000,"Kitchen")</f>
        <v>1152600</v>
      </c>
      <c r="P638" s="52">
        <f ca="1">SUMIFS(OUT!$F$2:$F$11000,OUT!$H$2:$H$11000,H638,OUT!$D$2:$D$11000,"Out",OUT!$E$2:$E$11000,"Loandry")</f>
        <v>41000</v>
      </c>
      <c r="Q638" s="52">
        <f ca="1">SUMIFS(OUT!$F$2:$F$11000,OUT!$H$2:$H$11000,H638,OUT!$D$2:$D$11000,"Out",OUT!$E$2:$E$11000,"Mio")</f>
        <v>895700</v>
      </c>
      <c r="R638" s="52">
        <f ca="1">SUMIFS(OUT!$F$2:$F$11000,OUT!$H$2:$H$11000,H638,OUT!$D$2:$D$11000,"Out",OUT!$E$2:$E$11000,"Sedekah")</f>
        <v>130000</v>
      </c>
      <c r="S638" s="52">
        <f ca="1">SUMIFS(OUT!$F$2:$F$11000,OUT!$H$2:$H$11000,H638,OUT!$D$2:$D$11000,"Out",OUT!$E$2:$E$11000,"Zela")</f>
        <v>215161</v>
      </c>
      <c r="T638" s="52">
        <f ca="1">SUMIFS(OUT!$F$2:$F$11000,OUT!$H$2:$H$11000,H638,OUT!$D$2:$D$11000,"Out",OUT!$E$2:$E$11000,"Iqbal")</f>
        <v>215000</v>
      </c>
    </row>
    <row r="639" spans="1:20" x14ac:dyDescent="0.2">
      <c r="A639" s="48">
        <f ca="1">IFERROR(__xludf.DUMMYFUNCTION("""COMPUTED_VALUE"""),46104)</f>
        <v>46104</v>
      </c>
      <c r="B639" s="4" t="str">
        <f ca="1">IFERROR(__xludf.DUMMYFUNCTION("""COMPUTED_VALUE"""),"Pengembalian saldo tiktok")</f>
        <v>Pengembalian saldo tiktok</v>
      </c>
      <c r="C639" s="4" t="str">
        <f ca="1">IFERROR(__xludf.DUMMYFUNCTION("""COMPUTED_VALUE"""),"ATM")</f>
        <v>ATM</v>
      </c>
      <c r="D639" s="4" t="str">
        <f ca="1">IFERROR(__xludf.DUMMYFUNCTION("""COMPUTED_VALUE"""),"In")</f>
        <v>In</v>
      </c>
      <c r="E639" s="4" t="str">
        <f ca="1">IFERROR(__xludf.DUMMYFUNCTION("""COMPUTED_VALUE"""),"Move")</f>
        <v>Move</v>
      </c>
      <c r="F639" s="49">
        <f ca="1">IFERROR(__xludf.DUMMYFUNCTION("""COMPUTED_VALUE"""),66865)</f>
        <v>66865</v>
      </c>
      <c r="G639" s="50" t="str">
        <f ca="1">IFERROR(__xludf.DUMMYFUNCTION("""COMPUTED_VALUE"""),"Zela")</f>
        <v>Zela</v>
      </c>
      <c r="H639" s="51">
        <f t="shared" ca="1" si="0"/>
        <v>46082</v>
      </c>
      <c r="I639" s="52" t="e">
        <f ca="1">SUMIFS(OUT!$F$2:$F$11000,OUT!$H$2:$H$11000,H639,OUT!$D$2:$D$101007,"In")</f>
        <v>#VALUE!</v>
      </c>
      <c r="J639" s="52">
        <f ca="1">SUMIFS(OUT!$F$2:$F$11000,OUT!$H$2:$H$11000,H639,OUT!$D$2:$D$11000,"Out")</f>
        <v>12026623</v>
      </c>
      <c r="K639" s="52">
        <f ca="1">SUMIFS(OUT!$F$2:$F$11000,OUT!$H$2:$H$11000,H639,OUT!$D$2:$D$11000,"Out",OUT!$E$2:$E$11000,"Fix")</f>
        <v>2865413</v>
      </c>
      <c r="L639" s="52">
        <f ca="1">SUMIFS(OUT!$F$2:$F$11000,OUT!$H$2:$H$11000,H639,OUT!$D$2:$D$11000,"Out",OUT!$E$2:$E$11000,"Bathroom")</f>
        <v>120488</v>
      </c>
      <c r="M639" s="52">
        <f ca="1">SUMIFS(OUT!$F$2:$F$11000,OUT!$H$2:$H$11000,H639,OUT!$D$2:$D$11000,"Out",OUT!$E$2:$E$11000,"Alfa")</f>
        <v>890962</v>
      </c>
      <c r="N639" s="52" t="e">
        <f ca="1">SUMIFS(OUT!$F$2:$F$11000,OUT!$H$2:$H$101007,H639,OUT!$D$2:$D$11000,"Out",OUT!$E$2:$E$11000,"Jajan")</f>
        <v>#VALUE!</v>
      </c>
      <c r="O639" s="52">
        <f ca="1">SUMIFS(OUT!$F$2:$F$11000,OUT!$H$2:$H$11000,H639,OUT!$D$2:$D$11000,"Out",OUT!$E$2:$E$11000,"Kitchen")</f>
        <v>1152600</v>
      </c>
      <c r="P639" s="52">
        <f ca="1">SUMIFS(OUT!$F$2:$F$11000,OUT!$H$2:$H$11000,H639,OUT!$D$2:$D$11000,"Out",OUT!$E$2:$E$11000,"Loandry")</f>
        <v>41000</v>
      </c>
      <c r="Q639" s="52">
        <f ca="1">SUMIFS(OUT!$F$2:$F$11000,OUT!$H$2:$H$11000,H639,OUT!$D$2:$D$11000,"Out",OUT!$E$2:$E$11000,"Mio")</f>
        <v>895700</v>
      </c>
      <c r="R639" s="52">
        <f ca="1">SUMIFS(OUT!$F$2:$F$11000,OUT!$H$2:$H$11000,H639,OUT!$D$2:$D$11000,"Out",OUT!$E$2:$E$11000,"Sedekah")</f>
        <v>130000</v>
      </c>
      <c r="S639" s="52">
        <f ca="1">SUMIFS(OUT!$F$2:$F$11000,OUT!$H$2:$H$11000,H639,OUT!$D$2:$D$11000,"Out",OUT!$E$2:$E$11000,"Zela")</f>
        <v>215161</v>
      </c>
      <c r="T639" s="52">
        <f ca="1">SUMIFS(OUT!$F$2:$F$11000,OUT!$H$2:$H$11000,H639,OUT!$D$2:$D$11000,"Out",OUT!$E$2:$E$11000,"Iqbal")</f>
        <v>215000</v>
      </c>
    </row>
    <row r="640" spans="1:20" x14ac:dyDescent="0.2">
      <c r="A640" s="48">
        <f ca="1">IFERROR(__xludf.DUMMYFUNCTION("""COMPUTED_VALUE"""),46104)</f>
        <v>46104</v>
      </c>
      <c r="B640" s="4" t="str">
        <f ca="1">IFERROR(__xludf.DUMMYFUNCTION("""COMPUTED_VALUE"""),"Lampu")</f>
        <v>Lampu</v>
      </c>
      <c r="C640" s="4" t="str">
        <f ca="1">IFERROR(__xludf.DUMMYFUNCTION("""COMPUTED_VALUE"""),"Cash")</f>
        <v>Cash</v>
      </c>
      <c r="D640" s="4" t="str">
        <f ca="1">IFERROR(__xludf.DUMMYFUNCTION("""COMPUTED_VALUE"""),"Out")</f>
        <v>Out</v>
      </c>
      <c r="E640" s="4" t="str">
        <f ca="1">IFERROR(__xludf.DUMMYFUNCTION("""COMPUTED_VALUE"""),"Bathroom")</f>
        <v>Bathroom</v>
      </c>
      <c r="F640" s="49">
        <f ca="1">IFERROR(__xludf.DUMMYFUNCTION("""COMPUTED_VALUE"""),35000)</f>
        <v>35000</v>
      </c>
      <c r="G640" s="50" t="str">
        <f ca="1">IFERROR(__xludf.DUMMYFUNCTION("""COMPUTED_VALUE"""),"Zela")</f>
        <v>Zela</v>
      </c>
      <c r="H640" s="51">
        <f t="shared" ca="1" si="0"/>
        <v>46082</v>
      </c>
      <c r="I640" s="52" t="e">
        <f ca="1">SUMIFS(OUT!$F$2:$F$11000,OUT!$H$2:$H$11000,H640,OUT!$D$2:$D$101007,"In")</f>
        <v>#VALUE!</v>
      </c>
      <c r="J640" s="52">
        <f ca="1">SUMIFS(OUT!$F$2:$F$11000,OUT!$H$2:$H$11000,H640,OUT!$D$2:$D$11000,"Out")</f>
        <v>12026623</v>
      </c>
      <c r="K640" s="52">
        <f ca="1">SUMIFS(OUT!$F$2:$F$11000,OUT!$H$2:$H$11000,H640,OUT!$D$2:$D$11000,"Out",OUT!$E$2:$E$11000,"Fix")</f>
        <v>2865413</v>
      </c>
      <c r="L640" s="52">
        <f ca="1">SUMIFS(OUT!$F$2:$F$11000,OUT!$H$2:$H$11000,H640,OUT!$D$2:$D$11000,"Out",OUT!$E$2:$E$11000,"Bathroom")</f>
        <v>120488</v>
      </c>
      <c r="M640" s="52">
        <f ca="1">SUMIFS(OUT!$F$2:$F$11000,OUT!$H$2:$H$11000,H640,OUT!$D$2:$D$11000,"Out",OUT!$E$2:$E$11000,"Alfa")</f>
        <v>890962</v>
      </c>
      <c r="N640" s="52" t="e">
        <f ca="1">SUMIFS(OUT!$F$2:$F$11000,OUT!$H$2:$H$101007,H640,OUT!$D$2:$D$11000,"Out",OUT!$E$2:$E$11000,"Jajan")</f>
        <v>#VALUE!</v>
      </c>
      <c r="O640" s="52">
        <f ca="1">SUMIFS(OUT!$F$2:$F$11000,OUT!$H$2:$H$11000,H640,OUT!$D$2:$D$11000,"Out",OUT!$E$2:$E$11000,"Kitchen")</f>
        <v>1152600</v>
      </c>
      <c r="P640" s="52">
        <f ca="1">SUMIFS(OUT!$F$2:$F$11000,OUT!$H$2:$H$11000,H640,OUT!$D$2:$D$11000,"Out",OUT!$E$2:$E$11000,"Loandry")</f>
        <v>41000</v>
      </c>
      <c r="Q640" s="52">
        <f ca="1">SUMIFS(OUT!$F$2:$F$11000,OUT!$H$2:$H$11000,H640,OUT!$D$2:$D$11000,"Out",OUT!$E$2:$E$11000,"Mio")</f>
        <v>895700</v>
      </c>
      <c r="R640" s="52">
        <f ca="1">SUMIFS(OUT!$F$2:$F$11000,OUT!$H$2:$H$11000,H640,OUT!$D$2:$D$11000,"Out",OUT!$E$2:$E$11000,"Sedekah")</f>
        <v>130000</v>
      </c>
      <c r="S640" s="52">
        <f ca="1">SUMIFS(OUT!$F$2:$F$11000,OUT!$H$2:$H$11000,H640,OUT!$D$2:$D$11000,"Out",OUT!$E$2:$E$11000,"Zela")</f>
        <v>215161</v>
      </c>
      <c r="T640" s="52">
        <f ca="1">SUMIFS(OUT!$F$2:$F$11000,OUT!$H$2:$H$11000,H640,OUT!$D$2:$D$11000,"Out",OUT!$E$2:$E$11000,"Iqbal")</f>
        <v>215000</v>
      </c>
    </row>
    <row r="641" spans="1:20" x14ac:dyDescent="0.2">
      <c r="A641" s="48">
        <f ca="1">IFERROR(__xludf.DUMMYFUNCTION("""COMPUTED_VALUE"""),46104)</f>
        <v>46104</v>
      </c>
      <c r="B641" s="4" t="str">
        <f ca="1">IFERROR(__xludf.DUMMYFUNCTION("""COMPUTED_VALUE"""),"Sate")</f>
        <v>Sate</v>
      </c>
      <c r="C641" s="4" t="str">
        <f ca="1">IFERROR(__xludf.DUMMYFUNCTION("""COMPUTED_VALUE"""),"Cash")</f>
        <v>Cash</v>
      </c>
      <c r="D641" s="4" t="str">
        <f ca="1">IFERROR(__xludf.DUMMYFUNCTION("""COMPUTED_VALUE"""),"Out")</f>
        <v>Out</v>
      </c>
      <c r="E641" s="4" t="str">
        <f ca="1">IFERROR(__xludf.DUMMYFUNCTION("""COMPUTED_VALUE"""),"Jajan")</f>
        <v>Jajan</v>
      </c>
      <c r="F641" s="49">
        <f ca="1">IFERROR(__xludf.DUMMYFUNCTION("""COMPUTED_VALUE"""),15000)</f>
        <v>15000</v>
      </c>
      <c r="G641" s="50" t="str">
        <f ca="1">IFERROR(__xludf.DUMMYFUNCTION("""COMPUTED_VALUE"""),"Zela")</f>
        <v>Zela</v>
      </c>
      <c r="H641" s="51">
        <f t="shared" ca="1" si="0"/>
        <v>46082</v>
      </c>
      <c r="I641" s="52" t="e">
        <f ca="1">SUMIFS(OUT!$F$2:$F$11000,OUT!$H$2:$H$11000,H641,OUT!$D$2:$D$101007,"In")</f>
        <v>#VALUE!</v>
      </c>
      <c r="J641" s="52">
        <f ca="1">SUMIFS(OUT!$F$2:$F$11000,OUT!$H$2:$H$11000,H641,OUT!$D$2:$D$11000,"Out")</f>
        <v>12026623</v>
      </c>
      <c r="K641" s="52">
        <f ca="1">SUMIFS(OUT!$F$2:$F$11000,OUT!$H$2:$H$11000,H641,OUT!$D$2:$D$11000,"Out",OUT!$E$2:$E$11000,"Fix")</f>
        <v>2865413</v>
      </c>
      <c r="L641" s="52">
        <f ca="1">SUMIFS(OUT!$F$2:$F$11000,OUT!$H$2:$H$11000,H641,OUT!$D$2:$D$11000,"Out",OUT!$E$2:$E$11000,"Bathroom")</f>
        <v>120488</v>
      </c>
      <c r="M641" s="52">
        <f ca="1">SUMIFS(OUT!$F$2:$F$11000,OUT!$H$2:$H$11000,H641,OUT!$D$2:$D$11000,"Out",OUT!$E$2:$E$11000,"Alfa")</f>
        <v>890962</v>
      </c>
      <c r="N641" s="52" t="e">
        <f ca="1">SUMIFS(OUT!$F$2:$F$11000,OUT!$H$2:$H$101007,H641,OUT!$D$2:$D$11000,"Out",OUT!$E$2:$E$11000,"Jajan")</f>
        <v>#VALUE!</v>
      </c>
      <c r="O641" s="52">
        <f ca="1">SUMIFS(OUT!$F$2:$F$11000,OUT!$H$2:$H$11000,H641,OUT!$D$2:$D$11000,"Out",OUT!$E$2:$E$11000,"Kitchen")</f>
        <v>1152600</v>
      </c>
      <c r="P641" s="52">
        <f ca="1">SUMIFS(OUT!$F$2:$F$11000,OUT!$H$2:$H$11000,H641,OUT!$D$2:$D$11000,"Out",OUT!$E$2:$E$11000,"Loandry")</f>
        <v>41000</v>
      </c>
      <c r="Q641" s="52">
        <f ca="1">SUMIFS(OUT!$F$2:$F$11000,OUT!$H$2:$H$11000,H641,OUT!$D$2:$D$11000,"Out",OUT!$E$2:$E$11000,"Mio")</f>
        <v>895700</v>
      </c>
      <c r="R641" s="52">
        <f ca="1">SUMIFS(OUT!$F$2:$F$11000,OUT!$H$2:$H$11000,H641,OUT!$D$2:$D$11000,"Out",OUT!$E$2:$E$11000,"Sedekah")</f>
        <v>130000</v>
      </c>
      <c r="S641" s="52">
        <f ca="1">SUMIFS(OUT!$F$2:$F$11000,OUT!$H$2:$H$11000,H641,OUT!$D$2:$D$11000,"Out",OUT!$E$2:$E$11000,"Zela")</f>
        <v>215161</v>
      </c>
      <c r="T641" s="52">
        <f ca="1">SUMIFS(OUT!$F$2:$F$11000,OUT!$H$2:$H$11000,H641,OUT!$D$2:$D$11000,"Out",OUT!$E$2:$E$11000,"Iqbal")</f>
        <v>215000</v>
      </c>
    </row>
    <row r="642" spans="1:20" x14ac:dyDescent="0.2">
      <c r="A642" s="48">
        <f ca="1">IFERROR(__xludf.DUMMYFUNCTION("""COMPUTED_VALUE"""),46105)</f>
        <v>46105</v>
      </c>
      <c r="B642" s="4" t="str">
        <f ca="1">IFERROR(__xludf.DUMMYFUNCTION("""COMPUTED_VALUE"""),"sepatu &amp; BH ( Shopee )")</f>
        <v>sepatu &amp; BH ( Shopee )</v>
      </c>
      <c r="C642" s="4" t="str">
        <f ca="1">IFERROR(__xludf.DUMMYFUNCTION("""COMPUTED_VALUE"""),"ATM")</f>
        <v>ATM</v>
      </c>
      <c r="D642" s="4" t="str">
        <f ca="1">IFERROR(__xludf.DUMMYFUNCTION("""COMPUTED_VALUE"""),"Out")</f>
        <v>Out</v>
      </c>
      <c r="E642" s="4" t="str">
        <f ca="1">IFERROR(__xludf.DUMMYFUNCTION("""COMPUTED_VALUE"""),"Alfa")</f>
        <v>Alfa</v>
      </c>
      <c r="F642" s="49">
        <f ca="1">IFERROR(__xludf.DUMMYFUNCTION("""COMPUTED_VALUE"""),114312)</f>
        <v>114312</v>
      </c>
      <c r="G642" s="50" t="str">
        <f ca="1">IFERROR(__xludf.DUMMYFUNCTION("""COMPUTED_VALUE"""),"Zela")</f>
        <v>Zela</v>
      </c>
      <c r="H642" s="51">
        <f t="shared" ca="1" si="0"/>
        <v>46082</v>
      </c>
      <c r="I642" s="52" t="e">
        <f ca="1">SUMIFS(OUT!$F$2:$F$11000,OUT!$H$2:$H$11000,H642,OUT!$D$2:$D$101007,"In")</f>
        <v>#VALUE!</v>
      </c>
      <c r="J642" s="52">
        <f ca="1">SUMIFS(OUT!$F$2:$F$11000,OUT!$H$2:$H$11000,H642,OUT!$D$2:$D$11000,"Out")</f>
        <v>12026623</v>
      </c>
      <c r="K642" s="52">
        <f ca="1">SUMIFS(OUT!$F$2:$F$11000,OUT!$H$2:$H$11000,H642,OUT!$D$2:$D$11000,"Out",OUT!$E$2:$E$11000,"Fix")</f>
        <v>2865413</v>
      </c>
      <c r="L642" s="52">
        <f ca="1">SUMIFS(OUT!$F$2:$F$11000,OUT!$H$2:$H$11000,H642,OUT!$D$2:$D$11000,"Out",OUT!$E$2:$E$11000,"Bathroom")</f>
        <v>120488</v>
      </c>
      <c r="M642" s="52">
        <f ca="1">SUMIFS(OUT!$F$2:$F$11000,OUT!$H$2:$H$11000,H642,OUT!$D$2:$D$11000,"Out",OUT!$E$2:$E$11000,"Alfa")</f>
        <v>890962</v>
      </c>
      <c r="N642" s="52" t="e">
        <f ca="1">SUMIFS(OUT!$F$2:$F$11000,OUT!$H$2:$H$101007,H642,OUT!$D$2:$D$11000,"Out",OUT!$E$2:$E$11000,"Jajan")</f>
        <v>#VALUE!</v>
      </c>
      <c r="O642" s="52">
        <f ca="1">SUMIFS(OUT!$F$2:$F$11000,OUT!$H$2:$H$11000,H642,OUT!$D$2:$D$11000,"Out",OUT!$E$2:$E$11000,"Kitchen")</f>
        <v>1152600</v>
      </c>
      <c r="P642" s="52">
        <f ca="1">SUMIFS(OUT!$F$2:$F$11000,OUT!$H$2:$H$11000,H642,OUT!$D$2:$D$11000,"Out",OUT!$E$2:$E$11000,"Loandry")</f>
        <v>41000</v>
      </c>
      <c r="Q642" s="52">
        <f ca="1">SUMIFS(OUT!$F$2:$F$11000,OUT!$H$2:$H$11000,H642,OUT!$D$2:$D$11000,"Out",OUT!$E$2:$E$11000,"Mio")</f>
        <v>895700</v>
      </c>
      <c r="R642" s="52">
        <f ca="1">SUMIFS(OUT!$F$2:$F$11000,OUT!$H$2:$H$11000,H642,OUT!$D$2:$D$11000,"Out",OUT!$E$2:$E$11000,"Sedekah")</f>
        <v>130000</v>
      </c>
      <c r="S642" s="52">
        <f ca="1">SUMIFS(OUT!$F$2:$F$11000,OUT!$H$2:$H$11000,H642,OUT!$D$2:$D$11000,"Out",OUT!$E$2:$E$11000,"Zela")</f>
        <v>215161</v>
      </c>
      <c r="T642" s="52">
        <f ca="1">SUMIFS(OUT!$F$2:$F$11000,OUT!$H$2:$H$11000,H642,OUT!$D$2:$D$11000,"Out",OUT!$E$2:$E$11000,"Iqbal")</f>
        <v>215000</v>
      </c>
    </row>
    <row r="643" spans="1:20" x14ac:dyDescent="0.2">
      <c r="A643" s="48">
        <f ca="1">IFERROR(__xludf.DUMMYFUNCTION("""COMPUTED_VALUE"""),46106)</f>
        <v>46106</v>
      </c>
      <c r="B643" s="4" t="str">
        <f ca="1">IFERROR(__xludf.DUMMYFUNCTION("""COMPUTED_VALUE"""),"Bakso mi ayam")</f>
        <v>Bakso mi ayam</v>
      </c>
      <c r="C643" s="4" t="str">
        <f ca="1">IFERROR(__xludf.DUMMYFUNCTION("""COMPUTED_VALUE"""),"Cash")</f>
        <v>Cash</v>
      </c>
      <c r="D643" s="4" t="str">
        <f ca="1">IFERROR(__xludf.DUMMYFUNCTION("""COMPUTED_VALUE"""),"Out")</f>
        <v>Out</v>
      </c>
      <c r="E643" s="4" t="str">
        <f ca="1">IFERROR(__xludf.DUMMYFUNCTION("""COMPUTED_VALUE"""),"Jajan")</f>
        <v>Jajan</v>
      </c>
      <c r="F643" s="49">
        <f ca="1">IFERROR(__xludf.DUMMYFUNCTION("""COMPUTED_VALUE"""),43000)</f>
        <v>43000</v>
      </c>
      <c r="G643" s="50" t="str">
        <f ca="1">IFERROR(__xludf.DUMMYFUNCTION("""COMPUTED_VALUE"""),"Zela")</f>
        <v>Zela</v>
      </c>
      <c r="H643" s="51">
        <f t="shared" ca="1" si="0"/>
        <v>46082</v>
      </c>
      <c r="I643" s="52" t="e">
        <f ca="1">SUMIFS(OUT!$F$2:$F$11000,OUT!$H$2:$H$11000,H643,OUT!$D$2:$D$101007,"In")</f>
        <v>#VALUE!</v>
      </c>
      <c r="J643" s="52">
        <f ca="1">SUMIFS(OUT!$F$2:$F$11000,OUT!$H$2:$H$11000,H643,OUT!$D$2:$D$11000,"Out")</f>
        <v>12026623</v>
      </c>
      <c r="K643" s="52">
        <f ca="1">SUMIFS(OUT!$F$2:$F$11000,OUT!$H$2:$H$11000,H643,OUT!$D$2:$D$11000,"Out",OUT!$E$2:$E$11000,"Fix")</f>
        <v>2865413</v>
      </c>
      <c r="L643" s="52">
        <f ca="1">SUMIFS(OUT!$F$2:$F$11000,OUT!$H$2:$H$11000,H643,OUT!$D$2:$D$11000,"Out",OUT!$E$2:$E$11000,"Bathroom")</f>
        <v>120488</v>
      </c>
      <c r="M643" s="52">
        <f ca="1">SUMIFS(OUT!$F$2:$F$11000,OUT!$H$2:$H$11000,H643,OUT!$D$2:$D$11000,"Out",OUT!$E$2:$E$11000,"Alfa")</f>
        <v>890962</v>
      </c>
      <c r="N643" s="52" t="e">
        <f ca="1">SUMIFS(OUT!$F$2:$F$11000,OUT!$H$2:$H$101007,H643,OUT!$D$2:$D$11000,"Out",OUT!$E$2:$E$11000,"Jajan")</f>
        <v>#VALUE!</v>
      </c>
      <c r="O643" s="52">
        <f ca="1">SUMIFS(OUT!$F$2:$F$11000,OUT!$H$2:$H$11000,H643,OUT!$D$2:$D$11000,"Out",OUT!$E$2:$E$11000,"Kitchen")</f>
        <v>1152600</v>
      </c>
      <c r="P643" s="52">
        <f ca="1">SUMIFS(OUT!$F$2:$F$11000,OUT!$H$2:$H$11000,H643,OUT!$D$2:$D$11000,"Out",OUT!$E$2:$E$11000,"Loandry")</f>
        <v>41000</v>
      </c>
      <c r="Q643" s="52">
        <f ca="1">SUMIFS(OUT!$F$2:$F$11000,OUT!$H$2:$H$11000,H643,OUT!$D$2:$D$11000,"Out",OUT!$E$2:$E$11000,"Mio")</f>
        <v>895700</v>
      </c>
      <c r="R643" s="52">
        <f ca="1">SUMIFS(OUT!$F$2:$F$11000,OUT!$H$2:$H$11000,H643,OUT!$D$2:$D$11000,"Out",OUT!$E$2:$E$11000,"Sedekah")</f>
        <v>130000</v>
      </c>
      <c r="S643" s="52">
        <f ca="1">SUMIFS(OUT!$F$2:$F$11000,OUT!$H$2:$H$11000,H643,OUT!$D$2:$D$11000,"Out",OUT!$E$2:$E$11000,"Zela")</f>
        <v>215161</v>
      </c>
      <c r="T643" s="52">
        <f ca="1">SUMIFS(OUT!$F$2:$F$11000,OUT!$H$2:$H$11000,H643,OUT!$D$2:$D$11000,"Out",OUT!$E$2:$E$11000,"Iqbal")</f>
        <v>215000</v>
      </c>
    </row>
    <row r="644" spans="1:20" x14ac:dyDescent="0.2">
      <c r="A644" s="48">
        <f ca="1">IFERROR(__xludf.DUMMYFUNCTION("""COMPUTED_VALUE"""),46106)</f>
        <v>46106</v>
      </c>
      <c r="B644" s="4" t="str">
        <f ca="1">IFERROR(__xludf.DUMMYFUNCTION("""COMPUTED_VALUE"""),"Bensin")</f>
        <v>Bensin</v>
      </c>
      <c r="C644" s="4" t="str">
        <f ca="1">IFERROR(__xludf.DUMMYFUNCTION("""COMPUTED_VALUE"""),"Cash")</f>
        <v>Cash</v>
      </c>
      <c r="D644" s="4" t="str">
        <f ca="1">IFERROR(__xludf.DUMMYFUNCTION("""COMPUTED_VALUE"""),"Out")</f>
        <v>Out</v>
      </c>
      <c r="E644" s="4" t="str">
        <f ca="1">IFERROR(__xludf.DUMMYFUNCTION("""COMPUTED_VALUE"""),"Mio")</f>
        <v>Mio</v>
      </c>
      <c r="F644" s="49">
        <f ca="1">IFERROR(__xludf.DUMMYFUNCTION("""COMPUTED_VALUE"""),20000)</f>
        <v>20000</v>
      </c>
      <c r="G644" s="50" t="str">
        <f ca="1">IFERROR(__xludf.DUMMYFUNCTION("""COMPUTED_VALUE"""),"Zela")</f>
        <v>Zela</v>
      </c>
      <c r="H644" s="51">
        <f t="shared" ca="1" si="0"/>
        <v>46082</v>
      </c>
      <c r="I644" s="52" t="e">
        <f ca="1">SUMIFS(OUT!$F$2:$F$11000,OUT!$H$2:$H$11000,H644,OUT!$D$2:$D$101007,"In")</f>
        <v>#VALUE!</v>
      </c>
      <c r="J644" s="52">
        <f ca="1">SUMIFS(OUT!$F$2:$F$11000,OUT!$H$2:$H$11000,H644,OUT!$D$2:$D$11000,"Out")</f>
        <v>12026623</v>
      </c>
      <c r="K644" s="52">
        <f ca="1">SUMIFS(OUT!$F$2:$F$11000,OUT!$H$2:$H$11000,H644,OUT!$D$2:$D$11000,"Out",OUT!$E$2:$E$11000,"Fix")</f>
        <v>2865413</v>
      </c>
      <c r="L644" s="52">
        <f ca="1">SUMIFS(OUT!$F$2:$F$11000,OUT!$H$2:$H$11000,H644,OUT!$D$2:$D$11000,"Out",OUT!$E$2:$E$11000,"Bathroom")</f>
        <v>120488</v>
      </c>
      <c r="M644" s="52">
        <f ca="1">SUMIFS(OUT!$F$2:$F$11000,OUT!$H$2:$H$11000,H644,OUT!$D$2:$D$11000,"Out",OUT!$E$2:$E$11000,"Alfa")</f>
        <v>890962</v>
      </c>
      <c r="N644" s="52" t="e">
        <f ca="1">SUMIFS(OUT!$F$2:$F$11000,OUT!$H$2:$H$101007,H644,OUT!$D$2:$D$11000,"Out",OUT!$E$2:$E$11000,"Jajan")</f>
        <v>#VALUE!</v>
      </c>
      <c r="O644" s="52">
        <f ca="1">SUMIFS(OUT!$F$2:$F$11000,OUT!$H$2:$H$11000,H644,OUT!$D$2:$D$11000,"Out",OUT!$E$2:$E$11000,"Kitchen")</f>
        <v>1152600</v>
      </c>
      <c r="P644" s="52">
        <f ca="1">SUMIFS(OUT!$F$2:$F$11000,OUT!$H$2:$H$11000,H644,OUT!$D$2:$D$11000,"Out",OUT!$E$2:$E$11000,"Loandry")</f>
        <v>41000</v>
      </c>
      <c r="Q644" s="52">
        <f ca="1">SUMIFS(OUT!$F$2:$F$11000,OUT!$H$2:$H$11000,H644,OUT!$D$2:$D$11000,"Out",OUT!$E$2:$E$11000,"Mio")</f>
        <v>895700</v>
      </c>
      <c r="R644" s="52">
        <f ca="1">SUMIFS(OUT!$F$2:$F$11000,OUT!$H$2:$H$11000,H644,OUT!$D$2:$D$11000,"Out",OUT!$E$2:$E$11000,"Sedekah")</f>
        <v>130000</v>
      </c>
      <c r="S644" s="52">
        <f ca="1">SUMIFS(OUT!$F$2:$F$11000,OUT!$H$2:$H$11000,H644,OUT!$D$2:$D$11000,"Out",OUT!$E$2:$E$11000,"Zela")</f>
        <v>215161</v>
      </c>
      <c r="T644" s="52">
        <f ca="1">SUMIFS(OUT!$F$2:$F$11000,OUT!$H$2:$H$11000,H644,OUT!$D$2:$D$11000,"Out",OUT!$E$2:$E$11000,"Iqbal")</f>
        <v>215000</v>
      </c>
    </row>
    <row r="645" spans="1:20" x14ac:dyDescent="0.2">
      <c r="A645" s="48">
        <f ca="1">IFERROR(__xludf.DUMMYFUNCTION("""COMPUTED_VALUE"""),46106)</f>
        <v>46106</v>
      </c>
      <c r="B645" s="4" t="str">
        <f ca="1">IFERROR(__xludf.DUMMYFUNCTION("""COMPUTED_VALUE"""),"Tarik Tunai")</f>
        <v>Tarik Tunai</v>
      </c>
      <c r="C645" s="4" t="str">
        <f ca="1">IFERROR(__xludf.DUMMYFUNCTION("""COMPUTED_VALUE"""),"ATM")</f>
        <v>ATM</v>
      </c>
      <c r="D645" s="4" t="str">
        <f ca="1">IFERROR(__xludf.DUMMYFUNCTION("""COMPUTED_VALUE"""),"Out")</f>
        <v>Out</v>
      </c>
      <c r="E645" s="4" t="str">
        <f ca="1">IFERROR(__xludf.DUMMYFUNCTION("""COMPUTED_VALUE"""),"Move")</f>
        <v>Move</v>
      </c>
      <c r="F645" s="49">
        <f ca="1">IFERROR(__xludf.DUMMYFUNCTION("""COMPUTED_VALUE"""),100000)</f>
        <v>100000</v>
      </c>
      <c r="G645" s="50" t="str">
        <f ca="1">IFERROR(__xludf.DUMMYFUNCTION("""COMPUTED_VALUE"""),"Zela")</f>
        <v>Zela</v>
      </c>
      <c r="H645" s="51">
        <f t="shared" ca="1" si="0"/>
        <v>46082</v>
      </c>
      <c r="I645" s="52" t="e">
        <f ca="1">SUMIFS(OUT!$F$2:$F$11000,OUT!$H$2:$H$11000,H645,OUT!$D$2:$D$101007,"In")</f>
        <v>#VALUE!</v>
      </c>
      <c r="J645" s="52">
        <f ca="1">SUMIFS(OUT!$F$2:$F$11000,OUT!$H$2:$H$11000,H645,OUT!$D$2:$D$11000,"Out")</f>
        <v>12026623</v>
      </c>
      <c r="K645" s="52">
        <f ca="1">SUMIFS(OUT!$F$2:$F$11000,OUT!$H$2:$H$11000,H645,OUT!$D$2:$D$11000,"Out",OUT!$E$2:$E$11000,"Fix")</f>
        <v>2865413</v>
      </c>
      <c r="L645" s="52">
        <f ca="1">SUMIFS(OUT!$F$2:$F$11000,OUT!$H$2:$H$11000,H645,OUT!$D$2:$D$11000,"Out",OUT!$E$2:$E$11000,"Bathroom")</f>
        <v>120488</v>
      </c>
      <c r="M645" s="52">
        <f ca="1">SUMIFS(OUT!$F$2:$F$11000,OUT!$H$2:$H$11000,H645,OUT!$D$2:$D$11000,"Out",OUT!$E$2:$E$11000,"Alfa")</f>
        <v>890962</v>
      </c>
      <c r="N645" s="52" t="e">
        <f ca="1">SUMIFS(OUT!$F$2:$F$11000,OUT!$H$2:$H$101007,H645,OUT!$D$2:$D$11000,"Out",OUT!$E$2:$E$11000,"Jajan")</f>
        <v>#VALUE!</v>
      </c>
      <c r="O645" s="52">
        <f ca="1">SUMIFS(OUT!$F$2:$F$11000,OUT!$H$2:$H$11000,H645,OUT!$D$2:$D$11000,"Out",OUT!$E$2:$E$11000,"Kitchen")</f>
        <v>1152600</v>
      </c>
      <c r="P645" s="52">
        <f ca="1">SUMIFS(OUT!$F$2:$F$11000,OUT!$H$2:$H$11000,H645,OUT!$D$2:$D$11000,"Out",OUT!$E$2:$E$11000,"Loandry")</f>
        <v>41000</v>
      </c>
      <c r="Q645" s="52">
        <f ca="1">SUMIFS(OUT!$F$2:$F$11000,OUT!$H$2:$H$11000,H645,OUT!$D$2:$D$11000,"Out",OUT!$E$2:$E$11000,"Mio")</f>
        <v>895700</v>
      </c>
      <c r="R645" s="52">
        <f ca="1">SUMIFS(OUT!$F$2:$F$11000,OUT!$H$2:$H$11000,H645,OUT!$D$2:$D$11000,"Out",OUT!$E$2:$E$11000,"Sedekah")</f>
        <v>130000</v>
      </c>
      <c r="S645" s="52">
        <f ca="1">SUMIFS(OUT!$F$2:$F$11000,OUT!$H$2:$H$11000,H645,OUT!$D$2:$D$11000,"Out",OUT!$E$2:$E$11000,"Zela")</f>
        <v>215161</v>
      </c>
      <c r="T645" s="52">
        <f ca="1">SUMIFS(OUT!$F$2:$F$11000,OUT!$H$2:$H$11000,H645,OUT!$D$2:$D$11000,"Out",OUT!$E$2:$E$11000,"Iqbal")</f>
        <v>215000</v>
      </c>
    </row>
    <row r="646" spans="1:20" x14ac:dyDescent="0.2">
      <c r="A646" s="48">
        <f ca="1">IFERROR(__xludf.DUMMYFUNCTION("""COMPUTED_VALUE"""),46106)</f>
        <v>46106</v>
      </c>
      <c r="B646" s="4" t="str">
        <f ca="1">IFERROR(__xludf.DUMMYFUNCTION("""COMPUTED_VALUE"""),"Terima Tunai")</f>
        <v>Terima Tunai</v>
      </c>
      <c r="C646" s="4" t="str">
        <f ca="1">IFERROR(__xludf.DUMMYFUNCTION("""COMPUTED_VALUE"""),"Cash")</f>
        <v>Cash</v>
      </c>
      <c r="D646" s="4" t="str">
        <f ca="1">IFERROR(__xludf.DUMMYFUNCTION("""COMPUTED_VALUE"""),"In")</f>
        <v>In</v>
      </c>
      <c r="E646" s="4" t="str">
        <f ca="1">IFERROR(__xludf.DUMMYFUNCTION("""COMPUTED_VALUE"""),"Move")</f>
        <v>Move</v>
      </c>
      <c r="F646" s="49">
        <f ca="1">IFERROR(__xludf.DUMMYFUNCTION("""COMPUTED_VALUE"""),100000)</f>
        <v>100000</v>
      </c>
      <c r="G646" s="50" t="str">
        <f ca="1">IFERROR(__xludf.DUMMYFUNCTION("""COMPUTED_VALUE"""),"Zela")</f>
        <v>Zela</v>
      </c>
      <c r="H646" s="51">
        <f t="shared" ca="1" si="0"/>
        <v>46082</v>
      </c>
      <c r="I646" s="52" t="e">
        <f ca="1">SUMIFS(OUT!$F$2:$F$11000,OUT!$H$2:$H$11000,H646,OUT!$D$2:$D$101007,"In")</f>
        <v>#VALUE!</v>
      </c>
      <c r="J646" s="52">
        <f ca="1">SUMIFS(OUT!$F$2:$F$11000,OUT!$H$2:$H$11000,H646,OUT!$D$2:$D$11000,"Out")</f>
        <v>12026623</v>
      </c>
      <c r="K646" s="52">
        <f ca="1">SUMIFS(OUT!$F$2:$F$11000,OUT!$H$2:$H$11000,H646,OUT!$D$2:$D$11000,"Out",OUT!$E$2:$E$11000,"Fix")</f>
        <v>2865413</v>
      </c>
      <c r="L646" s="52">
        <f ca="1">SUMIFS(OUT!$F$2:$F$11000,OUT!$H$2:$H$11000,H646,OUT!$D$2:$D$11000,"Out",OUT!$E$2:$E$11000,"Bathroom")</f>
        <v>120488</v>
      </c>
      <c r="M646" s="52">
        <f ca="1">SUMIFS(OUT!$F$2:$F$11000,OUT!$H$2:$H$11000,H646,OUT!$D$2:$D$11000,"Out",OUT!$E$2:$E$11000,"Alfa")</f>
        <v>890962</v>
      </c>
      <c r="N646" s="52" t="e">
        <f ca="1">SUMIFS(OUT!$F$2:$F$11000,OUT!$H$2:$H$101007,H646,OUT!$D$2:$D$11000,"Out",OUT!$E$2:$E$11000,"Jajan")</f>
        <v>#VALUE!</v>
      </c>
      <c r="O646" s="52">
        <f ca="1">SUMIFS(OUT!$F$2:$F$11000,OUT!$H$2:$H$11000,H646,OUT!$D$2:$D$11000,"Out",OUT!$E$2:$E$11000,"Kitchen")</f>
        <v>1152600</v>
      </c>
      <c r="P646" s="52">
        <f ca="1">SUMIFS(OUT!$F$2:$F$11000,OUT!$H$2:$H$11000,H646,OUT!$D$2:$D$11000,"Out",OUT!$E$2:$E$11000,"Loandry")</f>
        <v>41000</v>
      </c>
      <c r="Q646" s="52">
        <f ca="1">SUMIFS(OUT!$F$2:$F$11000,OUT!$H$2:$H$11000,H646,OUT!$D$2:$D$11000,"Out",OUT!$E$2:$E$11000,"Mio")</f>
        <v>895700</v>
      </c>
      <c r="R646" s="52">
        <f ca="1">SUMIFS(OUT!$F$2:$F$11000,OUT!$H$2:$H$11000,H646,OUT!$D$2:$D$11000,"Out",OUT!$E$2:$E$11000,"Sedekah")</f>
        <v>130000</v>
      </c>
      <c r="S646" s="52">
        <f ca="1">SUMIFS(OUT!$F$2:$F$11000,OUT!$H$2:$H$11000,H646,OUT!$D$2:$D$11000,"Out",OUT!$E$2:$E$11000,"Zela")</f>
        <v>215161</v>
      </c>
      <c r="T646" s="52">
        <f ca="1">SUMIFS(OUT!$F$2:$F$11000,OUT!$H$2:$H$11000,H646,OUT!$D$2:$D$11000,"Out",OUT!$E$2:$E$11000,"Iqbal")</f>
        <v>215000</v>
      </c>
    </row>
    <row r="647" spans="1:20" x14ac:dyDescent="0.2">
      <c r="A647" s="48">
        <f ca="1">IFERROR(__xludf.DUMMYFUNCTION("""COMPUTED_VALUE"""),46106)</f>
        <v>46106</v>
      </c>
      <c r="B647" s="4" t="str">
        <f ca="1">IFERROR(__xludf.DUMMYFUNCTION("""COMPUTED_VALUE"""),"Pempes Alf a")</f>
        <v>Pempes Alf a</v>
      </c>
      <c r="C647" s="4" t="str">
        <f ca="1">IFERROR(__xludf.DUMMYFUNCTION("""COMPUTED_VALUE"""),"Cash")</f>
        <v>Cash</v>
      </c>
      <c r="D647" s="4" t="str">
        <f ca="1">IFERROR(__xludf.DUMMYFUNCTION("""COMPUTED_VALUE"""),"Out")</f>
        <v>Out</v>
      </c>
      <c r="E647" s="4" t="str">
        <f ca="1">IFERROR(__xludf.DUMMYFUNCTION("""COMPUTED_VALUE"""),"Alfa")</f>
        <v>Alfa</v>
      </c>
      <c r="F647" s="49">
        <f ca="1">IFERROR(__xludf.DUMMYFUNCTION("""COMPUTED_VALUE"""),42500)</f>
        <v>42500</v>
      </c>
      <c r="G647" s="50" t="str">
        <f ca="1">IFERROR(__xludf.DUMMYFUNCTION("""COMPUTED_VALUE"""),"Zela")</f>
        <v>Zela</v>
      </c>
      <c r="H647" s="51">
        <f t="shared" ca="1" si="0"/>
        <v>46082</v>
      </c>
      <c r="I647" s="52" t="e">
        <f ca="1">SUMIFS(OUT!$F$2:$F$11000,OUT!$H$2:$H$11000,H647,OUT!$D$2:$D$101007,"In")</f>
        <v>#VALUE!</v>
      </c>
      <c r="J647" s="52">
        <f ca="1">SUMIFS(OUT!$F$2:$F$11000,OUT!$H$2:$H$11000,H647,OUT!$D$2:$D$11000,"Out")</f>
        <v>12026623</v>
      </c>
      <c r="K647" s="52">
        <f ca="1">SUMIFS(OUT!$F$2:$F$11000,OUT!$H$2:$H$11000,H647,OUT!$D$2:$D$11000,"Out",OUT!$E$2:$E$11000,"Fix")</f>
        <v>2865413</v>
      </c>
      <c r="L647" s="52">
        <f ca="1">SUMIFS(OUT!$F$2:$F$11000,OUT!$H$2:$H$11000,H647,OUT!$D$2:$D$11000,"Out",OUT!$E$2:$E$11000,"Bathroom")</f>
        <v>120488</v>
      </c>
      <c r="M647" s="52">
        <f ca="1">SUMIFS(OUT!$F$2:$F$11000,OUT!$H$2:$H$11000,H647,OUT!$D$2:$D$11000,"Out",OUT!$E$2:$E$11000,"Alfa")</f>
        <v>890962</v>
      </c>
      <c r="N647" s="52" t="e">
        <f ca="1">SUMIFS(OUT!$F$2:$F$11000,OUT!$H$2:$H$101007,H647,OUT!$D$2:$D$11000,"Out",OUT!$E$2:$E$11000,"Jajan")</f>
        <v>#VALUE!</v>
      </c>
      <c r="O647" s="52">
        <f ca="1">SUMIFS(OUT!$F$2:$F$11000,OUT!$H$2:$H$11000,H647,OUT!$D$2:$D$11000,"Out",OUT!$E$2:$E$11000,"Kitchen")</f>
        <v>1152600</v>
      </c>
      <c r="P647" s="52">
        <f ca="1">SUMIFS(OUT!$F$2:$F$11000,OUT!$H$2:$H$11000,H647,OUT!$D$2:$D$11000,"Out",OUT!$E$2:$E$11000,"Loandry")</f>
        <v>41000</v>
      </c>
      <c r="Q647" s="52">
        <f ca="1">SUMIFS(OUT!$F$2:$F$11000,OUT!$H$2:$H$11000,H647,OUT!$D$2:$D$11000,"Out",OUT!$E$2:$E$11000,"Mio")</f>
        <v>895700</v>
      </c>
      <c r="R647" s="52">
        <f ca="1">SUMIFS(OUT!$F$2:$F$11000,OUT!$H$2:$H$11000,H647,OUT!$D$2:$D$11000,"Out",OUT!$E$2:$E$11000,"Sedekah")</f>
        <v>130000</v>
      </c>
      <c r="S647" s="52">
        <f ca="1">SUMIFS(OUT!$F$2:$F$11000,OUT!$H$2:$H$11000,H647,OUT!$D$2:$D$11000,"Out",OUT!$E$2:$E$11000,"Zela")</f>
        <v>215161</v>
      </c>
      <c r="T647" s="52">
        <f ca="1">SUMIFS(OUT!$F$2:$F$11000,OUT!$H$2:$H$11000,H647,OUT!$D$2:$D$11000,"Out",OUT!$E$2:$E$11000,"Iqbal")</f>
        <v>215000</v>
      </c>
    </row>
    <row r="648" spans="1:20" x14ac:dyDescent="0.2">
      <c r="A648" s="48">
        <f ca="1">IFERROR(__xludf.DUMMYFUNCTION("""COMPUTED_VALUE"""),46107)</f>
        <v>46107</v>
      </c>
      <c r="B648" s="4" t="str">
        <f ca="1">IFERROR(__xludf.DUMMYFUNCTION("""COMPUTED_VALUE"""),"Bakso mi ayam")</f>
        <v>Bakso mi ayam</v>
      </c>
      <c r="C648" s="4" t="str">
        <f ca="1">IFERROR(__xludf.DUMMYFUNCTION("""COMPUTED_VALUE"""),"Cash")</f>
        <v>Cash</v>
      </c>
      <c r="D648" s="4" t="str">
        <f ca="1">IFERROR(__xludf.DUMMYFUNCTION("""COMPUTED_VALUE"""),"Out")</f>
        <v>Out</v>
      </c>
      <c r="E648" s="4" t="str">
        <f ca="1">IFERROR(__xludf.DUMMYFUNCTION("""COMPUTED_VALUE"""),"Jajan")</f>
        <v>Jajan</v>
      </c>
      <c r="F648" s="49">
        <f ca="1">IFERROR(__xludf.DUMMYFUNCTION("""COMPUTED_VALUE"""),44000)</f>
        <v>44000</v>
      </c>
      <c r="G648" s="50" t="str">
        <f ca="1">IFERROR(__xludf.DUMMYFUNCTION("""COMPUTED_VALUE"""),"Zela")</f>
        <v>Zela</v>
      </c>
      <c r="H648" s="51">
        <f t="shared" ca="1" si="0"/>
        <v>46082</v>
      </c>
      <c r="I648" s="52" t="e">
        <f ca="1">SUMIFS(OUT!$F$2:$F$11000,OUT!$H$2:$H$11000,H648,OUT!$D$2:$D$101007,"In")</f>
        <v>#VALUE!</v>
      </c>
      <c r="J648" s="52">
        <f ca="1">SUMIFS(OUT!$F$2:$F$11000,OUT!$H$2:$H$11000,H648,OUT!$D$2:$D$11000,"Out")</f>
        <v>12026623</v>
      </c>
      <c r="K648" s="52">
        <f ca="1">SUMIFS(OUT!$F$2:$F$11000,OUT!$H$2:$H$11000,H648,OUT!$D$2:$D$11000,"Out",OUT!$E$2:$E$11000,"Fix")</f>
        <v>2865413</v>
      </c>
      <c r="L648" s="52">
        <f ca="1">SUMIFS(OUT!$F$2:$F$11000,OUT!$H$2:$H$11000,H648,OUT!$D$2:$D$11000,"Out",OUT!$E$2:$E$11000,"Bathroom")</f>
        <v>120488</v>
      </c>
      <c r="M648" s="52">
        <f ca="1">SUMIFS(OUT!$F$2:$F$11000,OUT!$H$2:$H$11000,H648,OUT!$D$2:$D$11000,"Out",OUT!$E$2:$E$11000,"Alfa")</f>
        <v>890962</v>
      </c>
      <c r="N648" s="52" t="e">
        <f ca="1">SUMIFS(OUT!$F$2:$F$11000,OUT!$H$2:$H$101007,H648,OUT!$D$2:$D$11000,"Out",OUT!$E$2:$E$11000,"Jajan")</f>
        <v>#VALUE!</v>
      </c>
      <c r="O648" s="52">
        <f ca="1">SUMIFS(OUT!$F$2:$F$11000,OUT!$H$2:$H$11000,H648,OUT!$D$2:$D$11000,"Out",OUT!$E$2:$E$11000,"Kitchen")</f>
        <v>1152600</v>
      </c>
      <c r="P648" s="52">
        <f ca="1">SUMIFS(OUT!$F$2:$F$11000,OUT!$H$2:$H$11000,H648,OUT!$D$2:$D$11000,"Out",OUT!$E$2:$E$11000,"Loandry")</f>
        <v>41000</v>
      </c>
      <c r="Q648" s="52">
        <f ca="1">SUMIFS(OUT!$F$2:$F$11000,OUT!$H$2:$H$11000,H648,OUT!$D$2:$D$11000,"Out",OUT!$E$2:$E$11000,"Mio")</f>
        <v>895700</v>
      </c>
      <c r="R648" s="52">
        <f ca="1">SUMIFS(OUT!$F$2:$F$11000,OUT!$H$2:$H$11000,H648,OUT!$D$2:$D$11000,"Out",OUT!$E$2:$E$11000,"Sedekah")</f>
        <v>130000</v>
      </c>
      <c r="S648" s="52">
        <f ca="1">SUMIFS(OUT!$F$2:$F$11000,OUT!$H$2:$H$11000,H648,OUT!$D$2:$D$11000,"Out",OUT!$E$2:$E$11000,"Zela")</f>
        <v>215161</v>
      </c>
      <c r="T648" s="52">
        <f ca="1">SUMIFS(OUT!$F$2:$F$11000,OUT!$H$2:$H$11000,H648,OUT!$D$2:$D$11000,"Out",OUT!$E$2:$E$11000,"Iqbal")</f>
        <v>215000</v>
      </c>
    </row>
    <row r="649" spans="1:20" x14ac:dyDescent="0.2">
      <c r="A649" s="48">
        <f ca="1">IFERROR(__xludf.DUMMYFUNCTION("""COMPUTED_VALUE"""),46108)</f>
        <v>46108</v>
      </c>
      <c r="B649" s="4" t="str">
        <f ca="1">IFERROR(__xludf.DUMMYFUNCTION("""COMPUTED_VALUE"""),"Dari Baba")</f>
        <v>Dari Baba</v>
      </c>
      <c r="C649" s="4" t="str">
        <f ca="1">IFERROR(__xludf.DUMMYFUNCTION("""COMPUTED_VALUE"""),"ATM")</f>
        <v>ATM</v>
      </c>
      <c r="D649" s="4" t="str">
        <f ca="1">IFERROR(__xludf.DUMMYFUNCTION("""COMPUTED_VALUE"""),"In")</f>
        <v>In</v>
      </c>
      <c r="E649" s="4" t="str">
        <f ca="1">IFERROR(__xludf.DUMMYFUNCTION("""COMPUTED_VALUE"""),"Fix")</f>
        <v>Fix</v>
      </c>
      <c r="F649" s="49">
        <f ca="1">IFERROR(__xludf.DUMMYFUNCTION("""COMPUTED_VALUE"""),100000)</f>
        <v>100000</v>
      </c>
      <c r="G649" s="50" t="str">
        <f ca="1">IFERROR(__xludf.DUMMYFUNCTION("""COMPUTED_VALUE"""),"Zela")</f>
        <v>Zela</v>
      </c>
      <c r="H649" s="51">
        <f t="shared" ca="1" si="0"/>
        <v>46082</v>
      </c>
      <c r="I649" s="52" t="e">
        <f ca="1">SUMIFS(OUT!$F$2:$F$11000,OUT!$H$2:$H$11000,H649,OUT!$D$2:$D$101007,"In")</f>
        <v>#VALUE!</v>
      </c>
      <c r="J649" s="52">
        <f ca="1">SUMIFS(OUT!$F$2:$F$11000,OUT!$H$2:$H$11000,H649,OUT!$D$2:$D$11000,"Out")</f>
        <v>12026623</v>
      </c>
      <c r="K649" s="52">
        <f ca="1">SUMIFS(OUT!$F$2:$F$11000,OUT!$H$2:$H$11000,H649,OUT!$D$2:$D$11000,"Out",OUT!$E$2:$E$11000,"Fix")</f>
        <v>2865413</v>
      </c>
      <c r="L649" s="52">
        <f ca="1">SUMIFS(OUT!$F$2:$F$11000,OUT!$H$2:$H$11000,H649,OUT!$D$2:$D$11000,"Out",OUT!$E$2:$E$11000,"Bathroom")</f>
        <v>120488</v>
      </c>
      <c r="M649" s="52">
        <f ca="1">SUMIFS(OUT!$F$2:$F$11000,OUT!$H$2:$H$11000,H649,OUT!$D$2:$D$11000,"Out",OUT!$E$2:$E$11000,"Alfa")</f>
        <v>890962</v>
      </c>
      <c r="N649" s="52" t="e">
        <f ca="1">SUMIFS(OUT!$F$2:$F$11000,OUT!$H$2:$H$101007,H649,OUT!$D$2:$D$11000,"Out",OUT!$E$2:$E$11000,"Jajan")</f>
        <v>#VALUE!</v>
      </c>
      <c r="O649" s="52">
        <f ca="1">SUMIFS(OUT!$F$2:$F$11000,OUT!$H$2:$H$11000,H649,OUT!$D$2:$D$11000,"Out",OUT!$E$2:$E$11000,"Kitchen")</f>
        <v>1152600</v>
      </c>
      <c r="P649" s="52">
        <f ca="1">SUMIFS(OUT!$F$2:$F$11000,OUT!$H$2:$H$11000,H649,OUT!$D$2:$D$11000,"Out",OUT!$E$2:$E$11000,"Loandry")</f>
        <v>41000</v>
      </c>
      <c r="Q649" s="52">
        <f ca="1">SUMIFS(OUT!$F$2:$F$11000,OUT!$H$2:$H$11000,H649,OUT!$D$2:$D$11000,"Out",OUT!$E$2:$E$11000,"Mio")</f>
        <v>895700</v>
      </c>
      <c r="R649" s="52">
        <f ca="1">SUMIFS(OUT!$F$2:$F$11000,OUT!$H$2:$H$11000,H649,OUT!$D$2:$D$11000,"Out",OUT!$E$2:$E$11000,"Sedekah")</f>
        <v>130000</v>
      </c>
      <c r="S649" s="52">
        <f ca="1">SUMIFS(OUT!$F$2:$F$11000,OUT!$H$2:$H$11000,H649,OUT!$D$2:$D$11000,"Out",OUT!$E$2:$E$11000,"Zela")</f>
        <v>215161</v>
      </c>
      <c r="T649" s="52">
        <f ca="1">SUMIFS(OUT!$F$2:$F$11000,OUT!$H$2:$H$11000,H649,OUT!$D$2:$D$11000,"Out",OUT!$E$2:$E$11000,"Iqbal")</f>
        <v>215000</v>
      </c>
    </row>
    <row r="650" spans="1:20" x14ac:dyDescent="0.2">
      <c r="A650" s="48">
        <f ca="1">IFERROR(__xludf.DUMMYFUNCTION("""COMPUTED_VALUE"""),46108)</f>
        <v>46108</v>
      </c>
      <c r="B650" s="4" t="str">
        <f ca="1">IFERROR(__xludf.DUMMYFUNCTION("""COMPUTED_VALUE"""),"Tarik Tunai")</f>
        <v>Tarik Tunai</v>
      </c>
      <c r="C650" s="4" t="str">
        <f ca="1">IFERROR(__xludf.DUMMYFUNCTION("""COMPUTED_VALUE"""),"ATM")</f>
        <v>ATM</v>
      </c>
      <c r="D650" s="4" t="str">
        <f ca="1">IFERROR(__xludf.DUMMYFUNCTION("""COMPUTED_VALUE"""),"Out")</f>
        <v>Out</v>
      </c>
      <c r="E650" s="4" t="str">
        <f ca="1">IFERROR(__xludf.DUMMYFUNCTION("""COMPUTED_VALUE"""),"Move")</f>
        <v>Move</v>
      </c>
      <c r="F650" s="49">
        <f ca="1">IFERROR(__xludf.DUMMYFUNCTION("""COMPUTED_VALUE"""),200000)</f>
        <v>200000</v>
      </c>
      <c r="G650" s="50" t="str">
        <f ca="1">IFERROR(__xludf.DUMMYFUNCTION("""COMPUTED_VALUE"""),"Zela")</f>
        <v>Zela</v>
      </c>
      <c r="H650" s="51">
        <f t="shared" ca="1" si="0"/>
        <v>46082</v>
      </c>
      <c r="I650" s="52" t="e">
        <f ca="1">SUMIFS(OUT!$F$2:$F$11000,OUT!$H$2:$H$11000,H650,OUT!$D$2:$D$101007,"In")</f>
        <v>#VALUE!</v>
      </c>
      <c r="J650" s="52">
        <f ca="1">SUMIFS(OUT!$F$2:$F$11000,OUT!$H$2:$H$11000,H650,OUT!$D$2:$D$11000,"Out")</f>
        <v>12026623</v>
      </c>
      <c r="K650" s="52">
        <f ca="1">SUMIFS(OUT!$F$2:$F$11000,OUT!$H$2:$H$11000,H650,OUT!$D$2:$D$11000,"Out",OUT!$E$2:$E$11000,"Fix")</f>
        <v>2865413</v>
      </c>
      <c r="L650" s="52">
        <f ca="1">SUMIFS(OUT!$F$2:$F$11000,OUT!$H$2:$H$11000,H650,OUT!$D$2:$D$11000,"Out",OUT!$E$2:$E$11000,"Bathroom")</f>
        <v>120488</v>
      </c>
      <c r="M650" s="52">
        <f ca="1">SUMIFS(OUT!$F$2:$F$11000,OUT!$H$2:$H$11000,H650,OUT!$D$2:$D$11000,"Out",OUT!$E$2:$E$11000,"Alfa")</f>
        <v>890962</v>
      </c>
      <c r="N650" s="52" t="e">
        <f ca="1">SUMIFS(OUT!$F$2:$F$11000,OUT!$H$2:$H$101007,H650,OUT!$D$2:$D$11000,"Out",OUT!$E$2:$E$11000,"Jajan")</f>
        <v>#VALUE!</v>
      </c>
      <c r="O650" s="52">
        <f ca="1">SUMIFS(OUT!$F$2:$F$11000,OUT!$H$2:$H$11000,H650,OUT!$D$2:$D$11000,"Out",OUT!$E$2:$E$11000,"Kitchen")</f>
        <v>1152600</v>
      </c>
      <c r="P650" s="52">
        <f ca="1">SUMIFS(OUT!$F$2:$F$11000,OUT!$H$2:$H$11000,H650,OUT!$D$2:$D$11000,"Out",OUT!$E$2:$E$11000,"Loandry")</f>
        <v>41000</v>
      </c>
      <c r="Q650" s="52">
        <f ca="1">SUMIFS(OUT!$F$2:$F$11000,OUT!$H$2:$H$11000,H650,OUT!$D$2:$D$11000,"Out",OUT!$E$2:$E$11000,"Mio")</f>
        <v>895700</v>
      </c>
      <c r="R650" s="52">
        <f ca="1">SUMIFS(OUT!$F$2:$F$11000,OUT!$H$2:$H$11000,H650,OUT!$D$2:$D$11000,"Out",OUT!$E$2:$E$11000,"Sedekah")</f>
        <v>130000</v>
      </c>
      <c r="S650" s="52">
        <f ca="1">SUMIFS(OUT!$F$2:$F$11000,OUT!$H$2:$H$11000,H650,OUT!$D$2:$D$11000,"Out",OUT!$E$2:$E$11000,"Zela")</f>
        <v>215161</v>
      </c>
      <c r="T650" s="52">
        <f ca="1">SUMIFS(OUT!$F$2:$F$11000,OUT!$H$2:$H$11000,H650,OUT!$D$2:$D$11000,"Out",OUT!$E$2:$E$11000,"Iqbal")</f>
        <v>215000</v>
      </c>
    </row>
    <row r="651" spans="1:20" x14ac:dyDescent="0.2">
      <c r="A651" s="48">
        <f ca="1">IFERROR(__xludf.DUMMYFUNCTION("""COMPUTED_VALUE"""),46108)</f>
        <v>46108</v>
      </c>
      <c r="B651" s="4" t="str">
        <f ca="1">IFERROR(__xludf.DUMMYFUNCTION("""COMPUTED_VALUE"""),"Terima Tunai")</f>
        <v>Terima Tunai</v>
      </c>
      <c r="C651" s="4" t="str">
        <f ca="1">IFERROR(__xludf.DUMMYFUNCTION("""COMPUTED_VALUE"""),"Cash")</f>
        <v>Cash</v>
      </c>
      <c r="D651" s="4" t="str">
        <f ca="1">IFERROR(__xludf.DUMMYFUNCTION("""COMPUTED_VALUE"""),"In")</f>
        <v>In</v>
      </c>
      <c r="E651" s="4" t="str">
        <f ca="1">IFERROR(__xludf.DUMMYFUNCTION("""COMPUTED_VALUE"""),"Move")</f>
        <v>Move</v>
      </c>
      <c r="F651" s="49">
        <f ca="1">IFERROR(__xludf.DUMMYFUNCTION("""COMPUTED_VALUE"""),200000)</f>
        <v>200000</v>
      </c>
      <c r="G651" s="50" t="str">
        <f ca="1">IFERROR(__xludf.DUMMYFUNCTION("""COMPUTED_VALUE"""),"Zela")</f>
        <v>Zela</v>
      </c>
      <c r="H651" s="51">
        <f t="shared" ca="1" si="0"/>
        <v>46082</v>
      </c>
      <c r="I651" s="52" t="e">
        <f ca="1">SUMIFS(OUT!$F$2:$F$11000,OUT!$H$2:$H$11000,H651,OUT!$D$2:$D$101007,"In")</f>
        <v>#VALUE!</v>
      </c>
      <c r="J651" s="52">
        <f ca="1">SUMIFS(OUT!$F$2:$F$11000,OUT!$H$2:$H$11000,H651,OUT!$D$2:$D$11000,"Out")</f>
        <v>12026623</v>
      </c>
      <c r="K651" s="52">
        <f ca="1">SUMIFS(OUT!$F$2:$F$11000,OUT!$H$2:$H$11000,H651,OUT!$D$2:$D$11000,"Out",OUT!$E$2:$E$11000,"Fix")</f>
        <v>2865413</v>
      </c>
      <c r="L651" s="52">
        <f ca="1">SUMIFS(OUT!$F$2:$F$11000,OUT!$H$2:$H$11000,H651,OUT!$D$2:$D$11000,"Out",OUT!$E$2:$E$11000,"Bathroom")</f>
        <v>120488</v>
      </c>
      <c r="M651" s="52">
        <f ca="1">SUMIFS(OUT!$F$2:$F$11000,OUT!$H$2:$H$11000,H651,OUT!$D$2:$D$11000,"Out",OUT!$E$2:$E$11000,"Alfa")</f>
        <v>890962</v>
      </c>
      <c r="N651" s="52" t="e">
        <f ca="1">SUMIFS(OUT!$F$2:$F$11000,OUT!$H$2:$H$101007,H651,OUT!$D$2:$D$11000,"Out",OUT!$E$2:$E$11000,"Jajan")</f>
        <v>#VALUE!</v>
      </c>
      <c r="O651" s="52">
        <f ca="1">SUMIFS(OUT!$F$2:$F$11000,OUT!$H$2:$H$11000,H651,OUT!$D$2:$D$11000,"Out",OUT!$E$2:$E$11000,"Kitchen")</f>
        <v>1152600</v>
      </c>
      <c r="P651" s="52">
        <f ca="1">SUMIFS(OUT!$F$2:$F$11000,OUT!$H$2:$H$11000,H651,OUT!$D$2:$D$11000,"Out",OUT!$E$2:$E$11000,"Loandry")</f>
        <v>41000</v>
      </c>
      <c r="Q651" s="52">
        <f ca="1">SUMIFS(OUT!$F$2:$F$11000,OUT!$H$2:$H$11000,H651,OUT!$D$2:$D$11000,"Out",OUT!$E$2:$E$11000,"Mio")</f>
        <v>895700</v>
      </c>
      <c r="R651" s="52">
        <f ca="1">SUMIFS(OUT!$F$2:$F$11000,OUT!$H$2:$H$11000,H651,OUT!$D$2:$D$11000,"Out",OUT!$E$2:$E$11000,"Sedekah")</f>
        <v>130000</v>
      </c>
      <c r="S651" s="52">
        <f ca="1">SUMIFS(OUT!$F$2:$F$11000,OUT!$H$2:$H$11000,H651,OUT!$D$2:$D$11000,"Out",OUT!$E$2:$E$11000,"Zela")</f>
        <v>215161</v>
      </c>
      <c r="T651" s="52">
        <f ca="1">SUMIFS(OUT!$F$2:$F$11000,OUT!$H$2:$H$11000,H651,OUT!$D$2:$D$11000,"Out",OUT!$E$2:$E$11000,"Iqbal")</f>
        <v>215000</v>
      </c>
    </row>
    <row r="652" spans="1:20" x14ac:dyDescent="0.2">
      <c r="A652" s="48">
        <f ca="1">IFERROR(__xludf.DUMMYFUNCTION("""COMPUTED_VALUE"""),46108)</f>
        <v>46108</v>
      </c>
      <c r="B652" s="4" t="str">
        <f ca="1">IFERROR(__xludf.DUMMYFUNCTION("""COMPUTED_VALUE"""),"Pasar Kaget")</f>
        <v>Pasar Kaget</v>
      </c>
      <c r="C652" s="4" t="str">
        <f ca="1">IFERROR(__xludf.DUMMYFUNCTION("""COMPUTED_VALUE"""),"Cash")</f>
        <v>Cash</v>
      </c>
      <c r="D652" s="4" t="str">
        <f ca="1">IFERROR(__xludf.DUMMYFUNCTION("""COMPUTED_VALUE"""),"Out")</f>
        <v>Out</v>
      </c>
      <c r="E652" s="4" t="str">
        <f ca="1">IFERROR(__xludf.DUMMYFUNCTION("""COMPUTED_VALUE"""),"Kitchen")</f>
        <v>Kitchen</v>
      </c>
      <c r="F652" s="49">
        <f ca="1">IFERROR(__xludf.DUMMYFUNCTION("""COMPUTED_VALUE"""),88000)</f>
        <v>88000</v>
      </c>
      <c r="G652" s="50" t="str">
        <f ca="1">IFERROR(__xludf.DUMMYFUNCTION("""COMPUTED_VALUE"""),"Zela")</f>
        <v>Zela</v>
      </c>
      <c r="H652" s="51">
        <f t="shared" ca="1" si="0"/>
        <v>46082</v>
      </c>
      <c r="I652" s="52" t="e">
        <f ca="1">SUMIFS(OUT!$F$2:$F$11000,OUT!$H$2:$H$11000,H652,OUT!$D$2:$D$101007,"In")</f>
        <v>#VALUE!</v>
      </c>
      <c r="J652" s="52">
        <f ca="1">SUMIFS(OUT!$F$2:$F$11000,OUT!$H$2:$H$11000,H652,OUT!$D$2:$D$11000,"Out")</f>
        <v>12026623</v>
      </c>
      <c r="K652" s="52">
        <f ca="1">SUMIFS(OUT!$F$2:$F$11000,OUT!$H$2:$H$11000,H652,OUT!$D$2:$D$11000,"Out",OUT!$E$2:$E$11000,"Fix")</f>
        <v>2865413</v>
      </c>
      <c r="L652" s="52">
        <f ca="1">SUMIFS(OUT!$F$2:$F$11000,OUT!$H$2:$H$11000,H652,OUT!$D$2:$D$11000,"Out",OUT!$E$2:$E$11000,"Bathroom")</f>
        <v>120488</v>
      </c>
      <c r="M652" s="52">
        <f ca="1">SUMIFS(OUT!$F$2:$F$11000,OUT!$H$2:$H$11000,H652,OUT!$D$2:$D$11000,"Out",OUT!$E$2:$E$11000,"Alfa")</f>
        <v>890962</v>
      </c>
      <c r="N652" s="52" t="e">
        <f ca="1">SUMIFS(OUT!$F$2:$F$11000,OUT!$H$2:$H$101007,H652,OUT!$D$2:$D$11000,"Out",OUT!$E$2:$E$11000,"Jajan")</f>
        <v>#VALUE!</v>
      </c>
      <c r="O652" s="52">
        <f ca="1">SUMIFS(OUT!$F$2:$F$11000,OUT!$H$2:$H$11000,H652,OUT!$D$2:$D$11000,"Out",OUT!$E$2:$E$11000,"Kitchen")</f>
        <v>1152600</v>
      </c>
      <c r="P652" s="52">
        <f ca="1">SUMIFS(OUT!$F$2:$F$11000,OUT!$H$2:$H$11000,H652,OUT!$D$2:$D$11000,"Out",OUT!$E$2:$E$11000,"Loandry")</f>
        <v>41000</v>
      </c>
      <c r="Q652" s="52">
        <f ca="1">SUMIFS(OUT!$F$2:$F$11000,OUT!$H$2:$H$11000,H652,OUT!$D$2:$D$11000,"Out",OUT!$E$2:$E$11000,"Mio")</f>
        <v>895700</v>
      </c>
      <c r="R652" s="52">
        <f ca="1">SUMIFS(OUT!$F$2:$F$11000,OUT!$H$2:$H$11000,H652,OUT!$D$2:$D$11000,"Out",OUT!$E$2:$E$11000,"Sedekah")</f>
        <v>130000</v>
      </c>
      <c r="S652" s="52">
        <f ca="1">SUMIFS(OUT!$F$2:$F$11000,OUT!$H$2:$H$11000,H652,OUT!$D$2:$D$11000,"Out",OUT!$E$2:$E$11000,"Zela")</f>
        <v>215161</v>
      </c>
      <c r="T652" s="52">
        <f ca="1">SUMIFS(OUT!$F$2:$F$11000,OUT!$H$2:$H$11000,H652,OUT!$D$2:$D$11000,"Out",OUT!$E$2:$E$11000,"Iqbal")</f>
        <v>215000</v>
      </c>
    </row>
    <row r="653" spans="1:20" x14ac:dyDescent="0.2">
      <c r="A653" s="48">
        <f ca="1">IFERROR(__xludf.DUMMYFUNCTION("""COMPUTED_VALUE"""),46108)</f>
        <v>46108</v>
      </c>
      <c r="B653" s="4" t="str">
        <f ca="1">IFERROR(__xludf.DUMMYFUNCTION("""COMPUTED_VALUE"""),"eakrim alfa")</f>
        <v>eakrim alfa</v>
      </c>
      <c r="C653" s="4" t="str">
        <f ca="1">IFERROR(__xludf.DUMMYFUNCTION("""COMPUTED_VALUE"""),"Cash")</f>
        <v>Cash</v>
      </c>
      <c r="D653" s="4" t="str">
        <f ca="1">IFERROR(__xludf.DUMMYFUNCTION("""COMPUTED_VALUE"""),"Out")</f>
        <v>Out</v>
      </c>
      <c r="E653" s="4" t="str">
        <f ca="1">IFERROR(__xludf.DUMMYFUNCTION("""COMPUTED_VALUE"""),"Jajan")</f>
        <v>Jajan</v>
      </c>
      <c r="F653" s="49">
        <f ca="1">IFERROR(__xludf.DUMMYFUNCTION("""COMPUTED_VALUE"""),5000)</f>
        <v>5000</v>
      </c>
      <c r="G653" s="50" t="str">
        <f ca="1">IFERROR(__xludf.DUMMYFUNCTION("""COMPUTED_VALUE"""),"Zela")</f>
        <v>Zela</v>
      </c>
      <c r="H653" s="51">
        <f t="shared" ca="1" si="0"/>
        <v>46082</v>
      </c>
      <c r="I653" s="52" t="e">
        <f ca="1">SUMIFS(OUT!$F$2:$F$11000,OUT!$H$2:$H$11000,H653,OUT!$D$2:$D$101007,"In")</f>
        <v>#VALUE!</v>
      </c>
      <c r="J653" s="52">
        <f ca="1">SUMIFS(OUT!$F$2:$F$11000,OUT!$H$2:$H$11000,H653,OUT!$D$2:$D$11000,"Out")</f>
        <v>12026623</v>
      </c>
      <c r="K653" s="52">
        <f ca="1">SUMIFS(OUT!$F$2:$F$11000,OUT!$H$2:$H$11000,H653,OUT!$D$2:$D$11000,"Out",OUT!$E$2:$E$11000,"Fix")</f>
        <v>2865413</v>
      </c>
      <c r="L653" s="52">
        <f ca="1">SUMIFS(OUT!$F$2:$F$11000,OUT!$H$2:$H$11000,H653,OUT!$D$2:$D$11000,"Out",OUT!$E$2:$E$11000,"Bathroom")</f>
        <v>120488</v>
      </c>
      <c r="M653" s="52">
        <f ca="1">SUMIFS(OUT!$F$2:$F$11000,OUT!$H$2:$H$11000,H653,OUT!$D$2:$D$11000,"Out",OUT!$E$2:$E$11000,"Alfa")</f>
        <v>890962</v>
      </c>
      <c r="N653" s="52" t="e">
        <f ca="1">SUMIFS(OUT!$F$2:$F$11000,OUT!$H$2:$H$101007,H653,OUT!$D$2:$D$11000,"Out",OUT!$E$2:$E$11000,"Jajan")</f>
        <v>#VALUE!</v>
      </c>
      <c r="O653" s="52">
        <f ca="1">SUMIFS(OUT!$F$2:$F$11000,OUT!$H$2:$H$11000,H653,OUT!$D$2:$D$11000,"Out",OUT!$E$2:$E$11000,"Kitchen")</f>
        <v>1152600</v>
      </c>
      <c r="P653" s="52">
        <f ca="1">SUMIFS(OUT!$F$2:$F$11000,OUT!$H$2:$H$11000,H653,OUT!$D$2:$D$11000,"Out",OUT!$E$2:$E$11000,"Loandry")</f>
        <v>41000</v>
      </c>
      <c r="Q653" s="52">
        <f ca="1">SUMIFS(OUT!$F$2:$F$11000,OUT!$H$2:$H$11000,H653,OUT!$D$2:$D$11000,"Out",OUT!$E$2:$E$11000,"Mio")</f>
        <v>895700</v>
      </c>
      <c r="R653" s="52">
        <f ca="1">SUMIFS(OUT!$F$2:$F$11000,OUT!$H$2:$H$11000,H653,OUT!$D$2:$D$11000,"Out",OUT!$E$2:$E$11000,"Sedekah")</f>
        <v>130000</v>
      </c>
      <c r="S653" s="52">
        <f ca="1">SUMIFS(OUT!$F$2:$F$11000,OUT!$H$2:$H$11000,H653,OUT!$D$2:$D$11000,"Out",OUT!$E$2:$E$11000,"Zela")</f>
        <v>215161</v>
      </c>
      <c r="T653" s="52">
        <f ca="1">SUMIFS(OUT!$F$2:$F$11000,OUT!$H$2:$H$11000,H653,OUT!$D$2:$D$11000,"Out",OUT!$E$2:$E$11000,"Iqbal")</f>
        <v>215000</v>
      </c>
    </row>
    <row r="654" spans="1:20" x14ac:dyDescent="0.2">
      <c r="A654" s="48">
        <f ca="1">IFERROR(__xludf.DUMMYFUNCTION("""COMPUTED_VALUE"""),46107)</f>
        <v>46107</v>
      </c>
      <c r="B654" s="4" t="str">
        <f ca="1">IFERROR(__xludf.DUMMYFUNCTION("""COMPUTED_VALUE"""),"Katnbud + Obatnyamuk")</f>
        <v>Katnbud + Obatnyamuk</v>
      </c>
      <c r="C654" s="4" t="str">
        <f ca="1">IFERROR(__xludf.DUMMYFUNCTION("""COMPUTED_VALUE"""),"Cash")</f>
        <v>Cash</v>
      </c>
      <c r="D654" s="4" t="str">
        <f ca="1">IFERROR(__xludf.DUMMYFUNCTION("""COMPUTED_VALUE"""),"Out")</f>
        <v>Out</v>
      </c>
      <c r="E654" s="4" t="str">
        <f ca="1">IFERROR(__xludf.DUMMYFUNCTION("""COMPUTED_VALUE"""),"Kitchen")</f>
        <v>Kitchen</v>
      </c>
      <c r="F654" s="49">
        <f ca="1">IFERROR(__xludf.DUMMYFUNCTION("""COMPUTED_VALUE"""),16000)</f>
        <v>16000</v>
      </c>
      <c r="G654" s="50" t="str">
        <f ca="1">IFERROR(__xludf.DUMMYFUNCTION("""COMPUTED_VALUE"""),"Zela")</f>
        <v>Zela</v>
      </c>
      <c r="H654" s="51">
        <f t="shared" ca="1" si="0"/>
        <v>46082</v>
      </c>
      <c r="I654" s="52" t="e">
        <f ca="1">SUMIFS(OUT!$F$2:$F$11000,OUT!$H$2:$H$11000,H654,OUT!$D$2:$D$101007,"In")</f>
        <v>#VALUE!</v>
      </c>
      <c r="J654" s="52">
        <f ca="1">SUMIFS(OUT!$F$2:$F$11000,OUT!$H$2:$H$11000,H654,OUT!$D$2:$D$11000,"Out")</f>
        <v>12026623</v>
      </c>
      <c r="K654" s="52">
        <f ca="1">SUMIFS(OUT!$F$2:$F$11000,OUT!$H$2:$H$11000,H654,OUT!$D$2:$D$11000,"Out",OUT!$E$2:$E$11000,"Fix")</f>
        <v>2865413</v>
      </c>
      <c r="L654" s="52">
        <f ca="1">SUMIFS(OUT!$F$2:$F$11000,OUT!$H$2:$H$11000,H654,OUT!$D$2:$D$11000,"Out",OUT!$E$2:$E$11000,"Bathroom")</f>
        <v>120488</v>
      </c>
      <c r="M654" s="52">
        <f ca="1">SUMIFS(OUT!$F$2:$F$11000,OUT!$H$2:$H$11000,H654,OUT!$D$2:$D$11000,"Out",OUT!$E$2:$E$11000,"Alfa")</f>
        <v>890962</v>
      </c>
      <c r="N654" s="52" t="e">
        <f ca="1">SUMIFS(OUT!$F$2:$F$11000,OUT!$H$2:$H$101007,H654,OUT!$D$2:$D$11000,"Out",OUT!$E$2:$E$11000,"Jajan")</f>
        <v>#VALUE!</v>
      </c>
      <c r="O654" s="52">
        <f ca="1">SUMIFS(OUT!$F$2:$F$11000,OUT!$H$2:$H$11000,H654,OUT!$D$2:$D$11000,"Out",OUT!$E$2:$E$11000,"Kitchen")</f>
        <v>1152600</v>
      </c>
      <c r="P654" s="52">
        <f ca="1">SUMIFS(OUT!$F$2:$F$11000,OUT!$H$2:$H$11000,H654,OUT!$D$2:$D$11000,"Out",OUT!$E$2:$E$11000,"Loandry")</f>
        <v>41000</v>
      </c>
      <c r="Q654" s="52">
        <f ca="1">SUMIFS(OUT!$F$2:$F$11000,OUT!$H$2:$H$11000,H654,OUT!$D$2:$D$11000,"Out",OUT!$E$2:$E$11000,"Mio")</f>
        <v>895700</v>
      </c>
      <c r="R654" s="52">
        <f ca="1">SUMIFS(OUT!$F$2:$F$11000,OUT!$H$2:$H$11000,H654,OUT!$D$2:$D$11000,"Out",OUT!$E$2:$E$11000,"Sedekah")</f>
        <v>130000</v>
      </c>
      <c r="S654" s="52">
        <f ca="1">SUMIFS(OUT!$F$2:$F$11000,OUT!$H$2:$H$11000,H654,OUT!$D$2:$D$11000,"Out",OUT!$E$2:$E$11000,"Zela")</f>
        <v>215161</v>
      </c>
      <c r="T654" s="52">
        <f ca="1">SUMIFS(OUT!$F$2:$F$11000,OUT!$H$2:$H$11000,H654,OUT!$D$2:$D$11000,"Out",OUT!$E$2:$E$11000,"Iqbal")</f>
        <v>215000</v>
      </c>
    </row>
    <row r="655" spans="1:20" x14ac:dyDescent="0.2">
      <c r="A655" s="48">
        <f ca="1">IFERROR(__xludf.DUMMYFUNCTION("""COMPUTED_VALUE"""),46109)</f>
        <v>46109</v>
      </c>
      <c r="B655" s="4" t="str">
        <f ca="1">IFERROR(__xludf.DUMMYFUNCTION("""COMPUTED_VALUE"""),"Sabun+shampo")</f>
        <v>Sabun+shampo</v>
      </c>
      <c r="C655" s="4" t="str">
        <f ca="1">IFERROR(__xludf.DUMMYFUNCTION("""COMPUTED_VALUE"""),"ATM")</f>
        <v>ATM</v>
      </c>
      <c r="D655" s="4" t="str">
        <f ca="1">IFERROR(__xludf.DUMMYFUNCTION("""COMPUTED_VALUE"""),"Out")</f>
        <v>Out</v>
      </c>
      <c r="E655" s="4" t="str">
        <f ca="1">IFERROR(__xludf.DUMMYFUNCTION("""COMPUTED_VALUE"""),"Bathroom")</f>
        <v>Bathroom</v>
      </c>
      <c r="F655" s="49">
        <f ca="1">IFERROR(__xludf.DUMMYFUNCTION("""COMPUTED_VALUE"""),72015)</f>
        <v>72015</v>
      </c>
      <c r="G655" s="50" t="str">
        <f ca="1">IFERROR(__xludf.DUMMYFUNCTION("""COMPUTED_VALUE"""),"Zela")</f>
        <v>Zela</v>
      </c>
      <c r="H655" s="51">
        <f t="shared" ca="1" si="0"/>
        <v>46082</v>
      </c>
      <c r="I655" s="52" t="e">
        <f ca="1">SUMIFS(OUT!$F$2:$F$11000,OUT!$H$2:$H$11000,H655,OUT!$D$2:$D$101007,"In")</f>
        <v>#VALUE!</v>
      </c>
      <c r="J655" s="52">
        <f ca="1">SUMIFS(OUT!$F$2:$F$11000,OUT!$H$2:$H$11000,H655,OUT!$D$2:$D$11000,"Out")</f>
        <v>12026623</v>
      </c>
      <c r="K655" s="52">
        <f ca="1">SUMIFS(OUT!$F$2:$F$11000,OUT!$H$2:$H$11000,H655,OUT!$D$2:$D$11000,"Out",OUT!$E$2:$E$11000,"Fix")</f>
        <v>2865413</v>
      </c>
      <c r="L655" s="52">
        <f ca="1">SUMIFS(OUT!$F$2:$F$11000,OUT!$H$2:$H$11000,H655,OUT!$D$2:$D$11000,"Out",OUT!$E$2:$E$11000,"Bathroom")</f>
        <v>120488</v>
      </c>
      <c r="M655" s="52">
        <f ca="1">SUMIFS(OUT!$F$2:$F$11000,OUT!$H$2:$H$11000,H655,OUT!$D$2:$D$11000,"Out",OUT!$E$2:$E$11000,"Alfa")</f>
        <v>890962</v>
      </c>
      <c r="N655" s="52" t="e">
        <f ca="1">SUMIFS(OUT!$F$2:$F$11000,OUT!$H$2:$H$101007,H655,OUT!$D$2:$D$11000,"Out",OUT!$E$2:$E$11000,"Jajan")</f>
        <v>#VALUE!</v>
      </c>
      <c r="O655" s="52">
        <f ca="1">SUMIFS(OUT!$F$2:$F$11000,OUT!$H$2:$H$11000,H655,OUT!$D$2:$D$11000,"Out",OUT!$E$2:$E$11000,"Kitchen")</f>
        <v>1152600</v>
      </c>
      <c r="P655" s="52">
        <f ca="1">SUMIFS(OUT!$F$2:$F$11000,OUT!$H$2:$H$11000,H655,OUT!$D$2:$D$11000,"Out",OUT!$E$2:$E$11000,"Loandry")</f>
        <v>41000</v>
      </c>
      <c r="Q655" s="52">
        <f ca="1">SUMIFS(OUT!$F$2:$F$11000,OUT!$H$2:$H$11000,H655,OUT!$D$2:$D$11000,"Out",OUT!$E$2:$E$11000,"Mio")</f>
        <v>895700</v>
      </c>
      <c r="R655" s="52">
        <f ca="1">SUMIFS(OUT!$F$2:$F$11000,OUT!$H$2:$H$11000,H655,OUT!$D$2:$D$11000,"Out",OUT!$E$2:$E$11000,"Sedekah")</f>
        <v>130000</v>
      </c>
      <c r="S655" s="52">
        <f ca="1">SUMIFS(OUT!$F$2:$F$11000,OUT!$H$2:$H$11000,H655,OUT!$D$2:$D$11000,"Out",OUT!$E$2:$E$11000,"Zela")</f>
        <v>215161</v>
      </c>
      <c r="T655" s="52">
        <f ca="1">SUMIFS(OUT!$F$2:$F$11000,OUT!$H$2:$H$11000,H655,OUT!$D$2:$D$11000,"Out",OUT!$E$2:$E$11000,"Iqbal")</f>
        <v>215000</v>
      </c>
    </row>
    <row r="656" spans="1:20" x14ac:dyDescent="0.2">
      <c r="A656" s="48">
        <f ca="1">IFERROR(__xludf.DUMMYFUNCTION("""COMPUTED_VALUE"""),46109)</f>
        <v>46109</v>
      </c>
      <c r="B656" s="4" t="str">
        <f ca="1">IFERROR(__xludf.DUMMYFUNCTION("""COMPUTED_VALUE"""),"Sepatu Alfa")</f>
        <v>Sepatu Alfa</v>
      </c>
      <c r="C656" s="4" t="str">
        <f ca="1">IFERROR(__xludf.DUMMYFUNCTION("""COMPUTED_VALUE"""),"ATM")</f>
        <v>ATM</v>
      </c>
      <c r="D656" s="4" t="str">
        <f ca="1">IFERROR(__xludf.DUMMYFUNCTION("""COMPUTED_VALUE"""),"Out")</f>
        <v>Out</v>
      </c>
      <c r="E656" s="4" t="str">
        <f ca="1">IFERROR(__xludf.DUMMYFUNCTION("""COMPUTED_VALUE"""),"Alfa")</f>
        <v>Alfa</v>
      </c>
      <c r="F656" s="49">
        <f ca="1">IFERROR(__xludf.DUMMYFUNCTION("""COMPUTED_VALUE"""),32575)</f>
        <v>32575</v>
      </c>
      <c r="G656" s="50" t="str">
        <f ca="1">IFERROR(__xludf.DUMMYFUNCTION("""COMPUTED_VALUE"""),"Zela")</f>
        <v>Zela</v>
      </c>
      <c r="H656" s="51">
        <f t="shared" ca="1" si="0"/>
        <v>46082</v>
      </c>
      <c r="I656" s="52" t="e">
        <f ca="1">SUMIFS(OUT!$F$2:$F$11000,OUT!$H$2:$H$11000,H656,OUT!$D$2:$D$101007,"In")</f>
        <v>#VALUE!</v>
      </c>
      <c r="J656" s="52">
        <f ca="1">SUMIFS(OUT!$F$2:$F$11000,OUT!$H$2:$H$11000,H656,OUT!$D$2:$D$11000,"Out")</f>
        <v>12026623</v>
      </c>
      <c r="K656" s="52">
        <f ca="1">SUMIFS(OUT!$F$2:$F$11000,OUT!$H$2:$H$11000,H656,OUT!$D$2:$D$11000,"Out",OUT!$E$2:$E$11000,"Fix")</f>
        <v>2865413</v>
      </c>
      <c r="L656" s="52">
        <f ca="1">SUMIFS(OUT!$F$2:$F$11000,OUT!$H$2:$H$11000,H656,OUT!$D$2:$D$11000,"Out",OUT!$E$2:$E$11000,"Bathroom")</f>
        <v>120488</v>
      </c>
      <c r="M656" s="52">
        <f ca="1">SUMIFS(OUT!$F$2:$F$11000,OUT!$H$2:$H$11000,H656,OUT!$D$2:$D$11000,"Out",OUT!$E$2:$E$11000,"Alfa")</f>
        <v>890962</v>
      </c>
      <c r="N656" s="52" t="e">
        <f ca="1">SUMIFS(OUT!$F$2:$F$11000,OUT!$H$2:$H$101007,H656,OUT!$D$2:$D$11000,"Out",OUT!$E$2:$E$11000,"Jajan")</f>
        <v>#VALUE!</v>
      </c>
      <c r="O656" s="52">
        <f ca="1">SUMIFS(OUT!$F$2:$F$11000,OUT!$H$2:$H$11000,H656,OUT!$D$2:$D$11000,"Out",OUT!$E$2:$E$11000,"Kitchen")</f>
        <v>1152600</v>
      </c>
      <c r="P656" s="52">
        <f ca="1">SUMIFS(OUT!$F$2:$F$11000,OUT!$H$2:$H$11000,H656,OUT!$D$2:$D$11000,"Out",OUT!$E$2:$E$11000,"Loandry")</f>
        <v>41000</v>
      </c>
      <c r="Q656" s="52">
        <f ca="1">SUMIFS(OUT!$F$2:$F$11000,OUT!$H$2:$H$11000,H656,OUT!$D$2:$D$11000,"Out",OUT!$E$2:$E$11000,"Mio")</f>
        <v>895700</v>
      </c>
      <c r="R656" s="52">
        <f ca="1">SUMIFS(OUT!$F$2:$F$11000,OUT!$H$2:$H$11000,H656,OUT!$D$2:$D$11000,"Out",OUT!$E$2:$E$11000,"Sedekah")</f>
        <v>130000</v>
      </c>
      <c r="S656" s="52">
        <f ca="1">SUMIFS(OUT!$F$2:$F$11000,OUT!$H$2:$H$11000,H656,OUT!$D$2:$D$11000,"Out",OUT!$E$2:$E$11000,"Zela")</f>
        <v>215161</v>
      </c>
      <c r="T656" s="52">
        <f ca="1">SUMIFS(OUT!$F$2:$F$11000,OUT!$H$2:$H$11000,H656,OUT!$D$2:$D$11000,"Out",OUT!$E$2:$E$11000,"Iqbal")</f>
        <v>215000</v>
      </c>
    </row>
    <row r="657" spans="1:20" x14ac:dyDescent="0.2">
      <c r="A657" s="48">
        <f ca="1">IFERROR(__xludf.DUMMYFUNCTION("""COMPUTED_VALUE"""),46108)</f>
        <v>46108</v>
      </c>
      <c r="B657" s="4" t="str">
        <f ca="1">IFERROR(__xludf.DUMMYFUNCTION("""COMPUTED_VALUE"""),"Pake by.u baba")</f>
        <v>Pake by.u baba</v>
      </c>
      <c r="C657" s="4" t="str">
        <f ca="1">IFERROR(__xludf.DUMMYFUNCTION("""COMPUTED_VALUE"""),"ATM")</f>
        <v>ATM</v>
      </c>
      <c r="D657" s="4" t="str">
        <f ca="1">IFERROR(__xludf.DUMMYFUNCTION("""COMPUTED_VALUE"""),"Out")</f>
        <v>Out</v>
      </c>
      <c r="E657" s="4" t="str">
        <f ca="1">IFERROR(__xludf.DUMMYFUNCTION("""COMPUTED_VALUE"""),"Fix")</f>
        <v>Fix</v>
      </c>
      <c r="F657" s="49">
        <f ca="1">IFERROR(__xludf.DUMMYFUNCTION("""COMPUTED_VALUE"""),15000)</f>
        <v>15000</v>
      </c>
      <c r="G657" s="50" t="str">
        <f ca="1">IFERROR(__xludf.DUMMYFUNCTION("""COMPUTED_VALUE"""),"Zela")</f>
        <v>Zela</v>
      </c>
      <c r="H657" s="51">
        <f t="shared" ca="1" si="0"/>
        <v>46082</v>
      </c>
      <c r="I657" s="52" t="e">
        <f ca="1">SUMIFS(OUT!$F$2:$F$11000,OUT!$H$2:$H$11000,H657,OUT!$D$2:$D$101007,"In")</f>
        <v>#VALUE!</v>
      </c>
      <c r="J657" s="52">
        <f ca="1">SUMIFS(OUT!$F$2:$F$11000,OUT!$H$2:$H$11000,H657,OUT!$D$2:$D$11000,"Out")</f>
        <v>12026623</v>
      </c>
      <c r="K657" s="52">
        <f ca="1">SUMIFS(OUT!$F$2:$F$11000,OUT!$H$2:$H$11000,H657,OUT!$D$2:$D$11000,"Out",OUT!$E$2:$E$11000,"Fix")</f>
        <v>2865413</v>
      </c>
      <c r="L657" s="52">
        <f ca="1">SUMIFS(OUT!$F$2:$F$11000,OUT!$H$2:$H$11000,H657,OUT!$D$2:$D$11000,"Out",OUT!$E$2:$E$11000,"Bathroom")</f>
        <v>120488</v>
      </c>
      <c r="M657" s="52">
        <f ca="1">SUMIFS(OUT!$F$2:$F$11000,OUT!$H$2:$H$11000,H657,OUT!$D$2:$D$11000,"Out",OUT!$E$2:$E$11000,"Alfa")</f>
        <v>890962</v>
      </c>
      <c r="N657" s="52" t="e">
        <f ca="1">SUMIFS(OUT!$F$2:$F$11000,OUT!$H$2:$H$101007,H657,OUT!$D$2:$D$11000,"Out",OUT!$E$2:$E$11000,"Jajan")</f>
        <v>#VALUE!</v>
      </c>
      <c r="O657" s="52">
        <f ca="1">SUMIFS(OUT!$F$2:$F$11000,OUT!$H$2:$H$11000,H657,OUT!$D$2:$D$11000,"Out",OUT!$E$2:$E$11000,"Kitchen")</f>
        <v>1152600</v>
      </c>
      <c r="P657" s="52">
        <f ca="1">SUMIFS(OUT!$F$2:$F$11000,OUT!$H$2:$H$11000,H657,OUT!$D$2:$D$11000,"Out",OUT!$E$2:$E$11000,"Loandry")</f>
        <v>41000</v>
      </c>
      <c r="Q657" s="52">
        <f ca="1">SUMIFS(OUT!$F$2:$F$11000,OUT!$H$2:$H$11000,H657,OUT!$D$2:$D$11000,"Out",OUT!$E$2:$E$11000,"Mio")</f>
        <v>895700</v>
      </c>
      <c r="R657" s="52">
        <f ca="1">SUMIFS(OUT!$F$2:$F$11000,OUT!$H$2:$H$11000,H657,OUT!$D$2:$D$11000,"Out",OUT!$E$2:$E$11000,"Sedekah")</f>
        <v>130000</v>
      </c>
      <c r="S657" s="52">
        <f ca="1">SUMIFS(OUT!$F$2:$F$11000,OUT!$H$2:$H$11000,H657,OUT!$D$2:$D$11000,"Out",OUT!$E$2:$E$11000,"Zela")</f>
        <v>215161</v>
      </c>
      <c r="T657" s="52">
        <f ca="1">SUMIFS(OUT!$F$2:$F$11000,OUT!$H$2:$H$11000,H657,OUT!$D$2:$D$11000,"Out",OUT!$E$2:$E$11000,"Iqbal")</f>
        <v>215000</v>
      </c>
    </row>
    <row r="658" spans="1:20" x14ac:dyDescent="0.2">
      <c r="A658" s="48">
        <f ca="1">IFERROR(__xludf.DUMMYFUNCTION("""COMPUTED_VALUE"""),46109)</f>
        <v>46109</v>
      </c>
      <c r="B658" s="4" t="str">
        <f ca="1">IFERROR(__xludf.DUMMYFUNCTION("""COMPUTED_VALUE"""),"Air Kelapa")</f>
        <v>Air Kelapa</v>
      </c>
      <c r="C658" s="4" t="str">
        <f ca="1">IFERROR(__xludf.DUMMYFUNCTION("""COMPUTED_VALUE"""),"Cash")</f>
        <v>Cash</v>
      </c>
      <c r="D658" s="4" t="str">
        <f ca="1">IFERROR(__xludf.DUMMYFUNCTION("""COMPUTED_VALUE"""),"Out")</f>
        <v>Out</v>
      </c>
      <c r="E658" s="4" t="str">
        <f ca="1">IFERROR(__xludf.DUMMYFUNCTION("""COMPUTED_VALUE"""),"Jajan")</f>
        <v>Jajan</v>
      </c>
      <c r="F658" s="49">
        <f ca="1">IFERROR(__xludf.DUMMYFUNCTION("""COMPUTED_VALUE"""),10000)</f>
        <v>10000</v>
      </c>
      <c r="G658" s="50" t="str">
        <f ca="1">IFERROR(__xludf.DUMMYFUNCTION("""COMPUTED_VALUE"""),"Zela")</f>
        <v>Zela</v>
      </c>
      <c r="H658" s="51">
        <f t="shared" ca="1" si="0"/>
        <v>46082</v>
      </c>
      <c r="I658" s="52" t="e">
        <f ca="1">SUMIFS(OUT!$F$2:$F$11000,OUT!$H$2:$H$11000,H658,OUT!$D$2:$D$101007,"In")</f>
        <v>#VALUE!</v>
      </c>
      <c r="J658" s="52">
        <f ca="1">SUMIFS(OUT!$F$2:$F$11000,OUT!$H$2:$H$11000,H658,OUT!$D$2:$D$11000,"Out")</f>
        <v>12026623</v>
      </c>
      <c r="K658" s="52">
        <f ca="1">SUMIFS(OUT!$F$2:$F$11000,OUT!$H$2:$H$11000,H658,OUT!$D$2:$D$11000,"Out",OUT!$E$2:$E$11000,"Fix")</f>
        <v>2865413</v>
      </c>
      <c r="L658" s="52">
        <f ca="1">SUMIFS(OUT!$F$2:$F$11000,OUT!$H$2:$H$11000,H658,OUT!$D$2:$D$11000,"Out",OUT!$E$2:$E$11000,"Bathroom")</f>
        <v>120488</v>
      </c>
      <c r="M658" s="52">
        <f ca="1">SUMIFS(OUT!$F$2:$F$11000,OUT!$H$2:$H$11000,H658,OUT!$D$2:$D$11000,"Out",OUT!$E$2:$E$11000,"Alfa")</f>
        <v>890962</v>
      </c>
      <c r="N658" s="52" t="e">
        <f ca="1">SUMIFS(OUT!$F$2:$F$11000,OUT!$H$2:$H$101007,H658,OUT!$D$2:$D$11000,"Out",OUT!$E$2:$E$11000,"Jajan")</f>
        <v>#VALUE!</v>
      </c>
      <c r="O658" s="52">
        <f ca="1">SUMIFS(OUT!$F$2:$F$11000,OUT!$H$2:$H$11000,H658,OUT!$D$2:$D$11000,"Out",OUT!$E$2:$E$11000,"Kitchen")</f>
        <v>1152600</v>
      </c>
      <c r="P658" s="52">
        <f ca="1">SUMIFS(OUT!$F$2:$F$11000,OUT!$H$2:$H$11000,H658,OUT!$D$2:$D$11000,"Out",OUT!$E$2:$E$11000,"Loandry")</f>
        <v>41000</v>
      </c>
      <c r="Q658" s="52">
        <f ca="1">SUMIFS(OUT!$F$2:$F$11000,OUT!$H$2:$H$11000,H658,OUT!$D$2:$D$11000,"Out",OUT!$E$2:$E$11000,"Mio")</f>
        <v>895700</v>
      </c>
      <c r="R658" s="52">
        <f ca="1">SUMIFS(OUT!$F$2:$F$11000,OUT!$H$2:$H$11000,H658,OUT!$D$2:$D$11000,"Out",OUT!$E$2:$E$11000,"Sedekah")</f>
        <v>130000</v>
      </c>
      <c r="S658" s="52">
        <f ca="1">SUMIFS(OUT!$F$2:$F$11000,OUT!$H$2:$H$11000,H658,OUT!$D$2:$D$11000,"Out",OUT!$E$2:$E$11000,"Zela")</f>
        <v>215161</v>
      </c>
      <c r="T658" s="52">
        <f ca="1">SUMIFS(OUT!$F$2:$F$11000,OUT!$H$2:$H$11000,H658,OUT!$D$2:$D$11000,"Out",OUT!$E$2:$E$11000,"Iqbal")</f>
        <v>215000</v>
      </c>
    </row>
    <row r="659" spans="1:20" x14ac:dyDescent="0.2">
      <c r="A659" s="48">
        <f ca="1">IFERROR(__xludf.DUMMYFUNCTION("""COMPUTED_VALUE"""),46109)</f>
        <v>46109</v>
      </c>
      <c r="B659" s="4" t="str">
        <f ca="1">IFERROR(__xludf.DUMMYFUNCTION("""COMPUTED_VALUE"""),"Bensin motor")</f>
        <v>Bensin motor</v>
      </c>
      <c r="C659" s="4" t="str">
        <f ca="1">IFERROR(__xludf.DUMMYFUNCTION("""COMPUTED_VALUE"""),"Cash")</f>
        <v>Cash</v>
      </c>
      <c r="D659" s="4" t="str">
        <f ca="1">IFERROR(__xludf.DUMMYFUNCTION("""COMPUTED_VALUE"""),"Out")</f>
        <v>Out</v>
      </c>
      <c r="E659" s="4" t="str">
        <f ca="1">IFERROR(__xludf.DUMMYFUNCTION("""COMPUTED_VALUE"""),"Mio")</f>
        <v>Mio</v>
      </c>
      <c r="F659" s="49">
        <f ca="1">IFERROR(__xludf.DUMMYFUNCTION("""COMPUTED_VALUE"""),25000)</f>
        <v>25000</v>
      </c>
      <c r="G659" s="50" t="str">
        <f ca="1">IFERROR(__xludf.DUMMYFUNCTION("""COMPUTED_VALUE"""),"Zela")</f>
        <v>Zela</v>
      </c>
      <c r="H659" s="51">
        <f t="shared" ca="1" si="0"/>
        <v>46082</v>
      </c>
      <c r="I659" s="52" t="e">
        <f ca="1">SUMIFS(OUT!$F$2:$F$11000,OUT!$H$2:$H$11000,H659,OUT!$D$2:$D$101007,"In")</f>
        <v>#VALUE!</v>
      </c>
      <c r="J659" s="52">
        <f ca="1">SUMIFS(OUT!$F$2:$F$11000,OUT!$H$2:$H$11000,H659,OUT!$D$2:$D$11000,"Out")</f>
        <v>12026623</v>
      </c>
      <c r="K659" s="52">
        <f ca="1">SUMIFS(OUT!$F$2:$F$11000,OUT!$H$2:$H$11000,H659,OUT!$D$2:$D$11000,"Out",OUT!$E$2:$E$11000,"Fix")</f>
        <v>2865413</v>
      </c>
      <c r="L659" s="52">
        <f ca="1">SUMIFS(OUT!$F$2:$F$11000,OUT!$H$2:$H$11000,H659,OUT!$D$2:$D$11000,"Out",OUT!$E$2:$E$11000,"Bathroom")</f>
        <v>120488</v>
      </c>
      <c r="M659" s="52">
        <f ca="1">SUMIFS(OUT!$F$2:$F$11000,OUT!$H$2:$H$11000,H659,OUT!$D$2:$D$11000,"Out",OUT!$E$2:$E$11000,"Alfa")</f>
        <v>890962</v>
      </c>
      <c r="N659" s="52" t="e">
        <f ca="1">SUMIFS(OUT!$F$2:$F$11000,OUT!$H$2:$H$101007,H659,OUT!$D$2:$D$11000,"Out",OUT!$E$2:$E$11000,"Jajan")</f>
        <v>#VALUE!</v>
      </c>
      <c r="O659" s="52">
        <f ca="1">SUMIFS(OUT!$F$2:$F$11000,OUT!$H$2:$H$11000,H659,OUT!$D$2:$D$11000,"Out",OUT!$E$2:$E$11000,"Kitchen")</f>
        <v>1152600</v>
      </c>
      <c r="P659" s="52">
        <f ca="1">SUMIFS(OUT!$F$2:$F$11000,OUT!$H$2:$H$11000,H659,OUT!$D$2:$D$11000,"Out",OUT!$E$2:$E$11000,"Loandry")</f>
        <v>41000</v>
      </c>
      <c r="Q659" s="52">
        <f ca="1">SUMIFS(OUT!$F$2:$F$11000,OUT!$H$2:$H$11000,H659,OUT!$D$2:$D$11000,"Out",OUT!$E$2:$E$11000,"Mio")</f>
        <v>895700</v>
      </c>
      <c r="R659" s="52">
        <f ca="1">SUMIFS(OUT!$F$2:$F$11000,OUT!$H$2:$H$11000,H659,OUT!$D$2:$D$11000,"Out",OUT!$E$2:$E$11000,"Sedekah")</f>
        <v>130000</v>
      </c>
      <c r="S659" s="52">
        <f ca="1">SUMIFS(OUT!$F$2:$F$11000,OUT!$H$2:$H$11000,H659,OUT!$D$2:$D$11000,"Out",OUT!$E$2:$E$11000,"Zela")</f>
        <v>215161</v>
      </c>
      <c r="T659" s="52">
        <f ca="1">SUMIFS(OUT!$F$2:$F$11000,OUT!$H$2:$H$11000,H659,OUT!$D$2:$D$11000,"Out",OUT!$E$2:$E$11000,"Iqbal")</f>
        <v>215000</v>
      </c>
    </row>
    <row r="660" spans="1:20" x14ac:dyDescent="0.2">
      <c r="A660" s="48">
        <f ca="1">IFERROR(__xludf.DUMMYFUNCTION("""COMPUTED_VALUE"""),46109)</f>
        <v>46109</v>
      </c>
      <c r="B660" s="4" t="str">
        <f ca="1">IFERROR(__xludf.DUMMYFUNCTION("""COMPUTED_VALUE"""),"Bakso kuah &amp; Bakso Bakar")</f>
        <v>Bakso kuah &amp; Bakso Bakar</v>
      </c>
      <c r="C660" s="4" t="str">
        <f ca="1">IFERROR(__xludf.DUMMYFUNCTION("""COMPUTED_VALUE"""),"Cash")</f>
        <v>Cash</v>
      </c>
      <c r="D660" s="4" t="str">
        <f ca="1">IFERROR(__xludf.DUMMYFUNCTION("""COMPUTED_VALUE"""),"Out")</f>
        <v>Out</v>
      </c>
      <c r="E660" s="4" t="str">
        <f ca="1">IFERROR(__xludf.DUMMYFUNCTION("""COMPUTED_VALUE"""),"Jajan")</f>
        <v>Jajan</v>
      </c>
      <c r="F660" s="49">
        <f ca="1">IFERROR(__xludf.DUMMYFUNCTION("""COMPUTED_VALUE"""),21000)</f>
        <v>21000</v>
      </c>
      <c r="G660" s="50" t="str">
        <f ca="1">IFERROR(__xludf.DUMMYFUNCTION("""COMPUTED_VALUE"""),"Zela")</f>
        <v>Zela</v>
      </c>
      <c r="H660" s="51">
        <f t="shared" ca="1" si="0"/>
        <v>46082</v>
      </c>
      <c r="I660" s="52" t="e">
        <f ca="1">SUMIFS(OUT!$F$2:$F$11000,OUT!$H$2:$H$11000,H660,OUT!$D$2:$D$101007,"In")</f>
        <v>#VALUE!</v>
      </c>
      <c r="J660" s="52">
        <f ca="1">SUMIFS(OUT!$F$2:$F$11000,OUT!$H$2:$H$11000,H660,OUT!$D$2:$D$11000,"Out")</f>
        <v>12026623</v>
      </c>
      <c r="K660" s="52">
        <f ca="1">SUMIFS(OUT!$F$2:$F$11000,OUT!$H$2:$H$11000,H660,OUT!$D$2:$D$11000,"Out",OUT!$E$2:$E$11000,"Fix")</f>
        <v>2865413</v>
      </c>
      <c r="L660" s="52">
        <f ca="1">SUMIFS(OUT!$F$2:$F$11000,OUT!$H$2:$H$11000,H660,OUT!$D$2:$D$11000,"Out",OUT!$E$2:$E$11000,"Bathroom")</f>
        <v>120488</v>
      </c>
      <c r="M660" s="52">
        <f ca="1">SUMIFS(OUT!$F$2:$F$11000,OUT!$H$2:$H$11000,H660,OUT!$D$2:$D$11000,"Out",OUT!$E$2:$E$11000,"Alfa")</f>
        <v>890962</v>
      </c>
      <c r="N660" s="52" t="e">
        <f ca="1">SUMIFS(OUT!$F$2:$F$11000,OUT!$H$2:$H$101007,H660,OUT!$D$2:$D$11000,"Out",OUT!$E$2:$E$11000,"Jajan")</f>
        <v>#VALUE!</v>
      </c>
      <c r="O660" s="52">
        <f ca="1">SUMIFS(OUT!$F$2:$F$11000,OUT!$H$2:$H$11000,H660,OUT!$D$2:$D$11000,"Out",OUT!$E$2:$E$11000,"Kitchen")</f>
        <v>1152600</v>
      </c>
      <c r="P660" s="52">
        <f ca="1">SUMIFS(OUT!$F$2:$F$11000,OUT!$H$2:$H$11000,H660,OUT!$D$2:$D$11000,"Out",OUT!$E$2:$E$11000,"Loandry")</f>
        <v>41000</v>
      </c>
      <c r="Q660" s="52">
        <f ca="1">SUMIFS(OUT!$F$2:$F$11000,OUT!$H$2:$H$11000,H660,OUT!$D$2:$D$11000,"Out",OUT!$E$2:$E$11000,"Mio")</f>
        <v>895700</v>
      </c>
      <c r="R660" s="52">
        <f ca="1">SUMIFS(OUT!$F$2:$F$11000,OUT!$H$2:$H$11000,H660,OUT!$D$2:$D$11000,"Out",OUT!$E$2:$E$11000,"Sedekah")</f>
        <v>130000</v>
      </c>
      <c r="S660" s="52">
        <f ca="1">SUMIFS(OUT!$F$2:$F$11000,OUT!$H$2:$H$11000,H660,OUT!$D$2:$D$11000,"Out",OUT!$E$2:$E$11000,"Zela")</f>
        <v>215161</v>
      </c>
      <c r="T660" s="52">
        <f ca="1">SUMIFS(OUT!$F$2:$F$11000,OUT!$H$2:$H$11000,H660,OUT!$D$2:$D$11000,"Out",OUT!$E$2:$E$11000,"Iqbal")</f>
        <v>215000</v>
      </c>
    </row>
    <row r="661" spans="1:20" x14ac:dyDescent="0.2">
      <c r="A661" s="48">
        <f ca="1">IFERROR(__xludf.DUMMYFUNCTION("""COMPUTED_VALUE"""),46109)</f>
        <v>46109</v>
      </c>
      <c r="B661" s="4" t="str">
        <f ca="1">IFERROR(__xludf.DUMMYFUNCTION("""COMPUTED_VALUE"""),"Sarapan Pagi")</f>
        <v>Sarapan Pagi</v>
      </c>
      <c r="C661" s="4" t="str">
        <f ca="1">IFERROR(__xludf.DUMMYFUNCTION("""COMPUTED_VALUE"""),"Cash")</f>
        <v>Cash</v>
      </c>
      <c r="D661" s="4" t="str">
        <f ca="1">IFERROR(__xludf.DUMMYFUNCTION("""COMPUTED_VALUE"""),"Out")</f>
        <v>Out</v>
      </c>
      <c r="E661" s="4" t="str">
        <f ca="1">IFERROR(__xludf.DUMMYFUNCTION("""COMPUTED_VALUE"""),"Jajan")</f>
        <v>Jajan</v>
      </c>
      <c r="F661" s="49">
        <f ca="1">IFERROR(__xludf.DUMMYFUNCTION("""COMPUTED_VALUE"""),30000)</f>
        <v>30000</v>
      </c>
      <c r="G661" s="50" t="str">
        <f ca="1">IFERROR(__xludf.DUMMYFUNCTION("""COMPUTED_VALUE"""),"Zela")</f>
        <v>Zela</v>
      </c>
      <c r="H661" s="51">
        <f t="shared" ca="1" si="0"/>
        <v>46082</v>
      </c>
      <c r="I661" s="52" t="e">
        <f ca="1">SUMIFS(OUT!$F$2:$F$11000,OUT!$H$2:$H$11000,H661,OUT!$D$2:$D$101007,"In")</f>
        <v>#VALUE!</v>
      </c>
      <c r="J661" s="52">
        <f ca="1">SUMIFS(OUT!$F$2:$F$11000,OUT!$H$2:$H$11000,H661,OUT!$D$2:$D$11000,"Out")</f>
        <v>12026623</v>
      </c>
      <c r="K661" s="52">
        <f ca="1">SUMIFS(OUT!$F$2:$F$11000,OUT!$H$2:$H$11000,H661,OUT!$D$2:$D$11000,"Out",OUT!$E$2:$E$11000,"Fix")</f>
        <v>2865413</v>
      </c>
      <c r="L661" s="52">
        <f ca="1">SUMIFS(OUT!$F$2:$F$11000,OUT!$H$2:$H$11000,H661,OUT!$D$2:$D$11000,"Out",OUT!$E$2:$E$11000,"Bathroom")</f>
        <v>120488</v>
      </c>
      <c r="M661" s="52">
        <f ca="1">SUMIFS(OUT!$F$2:$F$11000,OUT!$H$2:$H$11000,H661,OUT!$D$2:$D$11000,"Out",OUT!$E$2:$E$11000,"Alfa")</f>
        <v>890962</v>
      </c>
      <c r="N661" s="52" t="e">
        <f ca="1">SUMIFS(OUT!$F$2:$F$11000,OUT!$H$2:$H$101007,H661,OUT!$D$2:$D$11000,"Out",OUT!$E$2:$E$11000,"Jajan")</f>
        <v>#VALUE!</v>
      </c>
      <c r="O661" s="52">
        <f ca="1">SUMIFS(OUT!$F$2:$F$11000,OUT!$H$2:$H$11000,H661,OUT!$D$2:$D$11000,"Out",OUT!$E$2:$E$11000,"Kitchen")</f>
        <v>1152600</v>
      </c>
      <c r="P661" s="52">
        <f ca="1">SUMIFS(OUT!$F$2:$F$11000,OUT!$H$2:$H$11000,H661,OUT!$D$2:$D$11000,"Out",OUT!$E$2:$E$11000,"Loandry")</f>
        <v>41000</v>
      </c>
      <c r="Q661" s="52">
        <f ca="1">SUMIFS(OUT!$F$2:$F$11000,OUT!$H$2:$H$11000,H661,OUT!$D$2:$D$11000,"Out",OUT!$E$2:$E$11000,"Mio")</f>
        <v>895700</v>
      </c>
      <c r="R661" s="52">
        <f ca="1">SUMIFS(OUT!$F$2:$F$11000,OUT!$H$2:$H$11000,H661,OUT!$D$2:$D$11000,"Out",OUT!$E$2:$E$11000,"Sedekah")</f>
        <v>130000</v>
      </c>
      <c r="S661" s="52">
        <f ca="1">SUMIFS(OUT!$F$2:$F$11000,OUT!$H$2:$H$11000,H661,OUT!$D$2:$D$11000,"Out",OUT!$E$2:$E$11000,"Zela")</f>
        <v>215161</v>
      </c>
      <c r="T661" s="52">
        <f ca="1">SUMIFS(OUT!$F$2:$F$11000,OUT!$H$2:$H$11000,H661,OUT!$D$2:$D$11000,"Out",OUT!$E$2:$E$11000,"Iqbal")</f>
        <v>215000</v>
      </c>
    </row>
    <row r="662" spans="1:20" x14ac:dyDescent="0.2">
      <c r="A662" s="48">
        <f ca="1">IFERROR(__xludf.DUMMYFUNCTION("""COMPUTED_VALUE"""),46110)</f>
        <v>46110</v>
      </c>
      <c r="B662" s="4" t="str">
        <f ca="1">IFERROR(__xludf.DUMMYFUNCTION("""COMPUTED_VALUE"""),"Pakettelkomsel 6 Gb 14 hari")</f>
        <v>Pakettelkomsel 6 Gb 14 hari</v>
      </c>
      <c r="C662" s="4" t="str">
        <f ca="1">IFERROR(__xludf.DUMMYFUNCTION("""COMPUTED_VALUE"""),"ATM")</f>
        <v>ATM</v>
      </c>
      <c r="D662" s="4" t="str">
        <f ca="1">IFERROR(__xludf.DUMMYFUNCTION("""COMPUTED_VALUE"""),"Out")</f>
        <v>Out</v>
      </c>
      <c r="E662" s="4" t="str">
        <f ca="1">IFERROR(__xludf.DUMMYFUNCTION("""COMPUTED_VALUE"""),"Fix")</f>
        <v>Fix</v>
      </c>
      <c r="F662" s="49">
        <f ca="1">IFERROR(__xludf.DUMMYFUNCTION("""COMPUTED_VALUE"""),20000)</f>
        <v>20000</v>
      </c>
      <c r="G662" s="50" t="str">
        <f ca="1">IFERROR(__xludf.DUMMYFUNCTION("""COMPUTED_VALUE"""),"Zela")</f>
        <v>Zela</v>
      </c>
      <c r="H662" s="51">
        <f t="shared" ca="1" si="0"/>
        <v>46082</v>
      </c>
      <c r="I662" s="52" t="e">
        <f ca="1">SUMIFS(OUT!$F$2:$F$11000,OUT!$H$2:$H$11000,H662,OUT!$D$2:$D$101007,"In")</f>
        <v>#VALUE!</v>
      </c>
      <c r="J662" s="52">
        <f ca="1">SUMIFS(OUT!$F$2:$F$11000,OUT!$H$2:$H$11000,H662,OUT!$D$2:$D$11000,"Out")</f>
        <v>12026623</v>
      </c>
      <c r="K662" s="52">
        <f ca="1">SUMIFS(OUT!$F$2:$F$11000,OUT!$H$2:$H$11000,H662,OUT!$D$2:$D$11000,"Out",OUT!$E$2:$E$11000,"Fix")</f>
        <v>2865413</v>
      </c>
      <c r="L662" s="52">
        <f ca="1">SUMIFS(OUT!$F$2:$F$11000,OUT!$H$2:$H$11000,H662,OUT!$D$2:$D$11000,"Out",OUT!$E$2:$E$11000,"Bathroom")</f>
        <v>120488</v>
      </c>
      <c r="M662" s="52">
        <f ca="1">SUMIFS(OUT!$F$2:$F$11000,OUT!$H$2:$H$11000,H662,OUT!$D$2:$D$11000,"Out",OUT!$E$2:$E$11000,"Alfa")</f>
        <v>890962</v>
      </c>
      <c r="N662" s="52" t="e">
        <f ca="1">SUMIFS(OUT!$F$2:$F$11000,OUT!$H$2:$H$101007,H662,OUT!$D$2:$D$11000,"Out",OUT!$E$2:$E$11000,"Jajan")</f>
        <v>#VALUE!</v>
      </c>
      <c r="O662" s="52">
        <f ca="1">SUMIFS(OUT!$F$2:$F$11000,OUT!$H$2:$H$11000,H662,OUT!$D$2:$D$11000,"Out",OUT!$E$2:$E$11000,"Kitchen")</f>
        <v>1152600</v>
      </c>
      <c r="P662" s="52">
        <f ca="1">SUMIFS(OUT!$F$2:$F$11000,OUT!$H$2:$H$11000,H662,OUT!$D$2:$D$11000,"Out",OUT!$E$2:$E$11000,"Loandry")</f>
        <v>41000</v>
      </c>
      <c r="Q662" s="52">
        <f ca="1">SUMIFS(OUT!$F$2:$F$11000,OUT!$H$2:$H$11000,H662,OUT!$D$2:$D$11000,"Out",OUT!$E$2:$E$11000,"Mio")</f>
        <v>895700</v>
      </c>
      <c r="R662" s="52">
        <f ca="1">SUMIFS(OUT!$F$2:$F$11000,OUT!$H$2:$H$11000,H662,OUT!$D$2:$D$11000,"Out",OUT!$E$2:$E$11000,"Sedekah")</f>
        <v>130000</v>
      </c>
      <c r="S662" s="52">
        <f ca="1">SUMIFS(OUT!$F$2:$F$11000,OUT!$H$2:$H$11000,H662,OUT!$D$2:$D$11000,"Out",OUT!$E$2:$E$11000,"Zela")</f>
        <v>215161</v>
      </c>
      <c r="T662" s="52">
        <f ca="1">SUMIFS(OUT!$F$2:$F$11000,OUT!$H$2:$H$11000,H662,OUT!$D$2:$D$11000,"Out",OUT!$E$2:$E$11000,"Iqbal")</f>
        <v>215000</v>
      </c>
    </row>
    <row r="663" spans="1:20" x14ac:dyDescent="0.2">
      <c r="A663" s="48">
        <f ca="1">IFERROR(__xludf.DUMMYFUNCTION("""COMPUTED_VALUE"""),46110)</f>
        <v>46110</v>
      </c>
      <c r="B663" s="4" t="str">
        <f ca="1">IFERROR(__xludf.DUMMYFUNCTION("""COMPUTED_VALUE"""),"Saldo Tiktok")</f>
        <v>Saldo Tiktok</v>
      </c>
      <c r="C663" s="4" t="str">
        <f ca="1">IFERROR(__xludf.DUMMYFUNCTION("""COMPUTED_VALUE"""),"ATM")</f>
        <v>ATM</v>
      </c>
      <c r="D663" s="4" t="str">
        <f ca="1">IFERROR(__xludf.DUMMYFUNCTION("""COMPUTED_VALUE"""),"In")</f>
        <v>In</v>
      </c>
      <c r="E663" s="4" t="str">
        <f ca="1">IFERROR(__xludf.DUMMYFUNCTION("""COMPUTED_VALUE"""),"Fix")</f>
        <v>Fix</v>
      </c>
      <c r="F663" s="49">
        <f ca="1">IFERROR(__xludf.DUMMYFUNCTION("""COMPUTED_VALUE"""),120000)</f>
        <v>120000</v>
      </c>
      <c r="G663" s="50" t="str">
        <f ca="1">IFERROR(__xludf.DUMMYFUNCTION("""COMPUTED_VALUE"""),"Zela")</f>
        <v>Zela</v>
      </c>
      <c r="H663" s="51">
        <f t="shared" ca="1" si="0"/>
        <v>46082</v>
      </c>
      <c r="I663" s="52" t="e">
        <f ca="1">SUMIFS(OUT!$F$2:$F$11000,OUT!$H$2:$H$11000,H663,OUT!$D$2:$D$101007,"In")</f>
        <v>#VALUE!</v>
      </c>
      <c r="J663" s="52">
        <f ca="1">SUMIFS(OUT!$F$2:$F$11000,OUT!$H$2:$H$11000,H663,OUT!$D$2:$D$11000,"Out")</f>
        <v>12026623</v>
      </c>
      <c r="K663" s="52">
        <f ca="1">SUMIFS(OUT!$F$2:$F$11000,OUT!$H$2:$H$11000,H663,OUT!$D$2:$D$11000,"Out",OUT!$E$2:$E$11000,"Fix")</f>
        <v>2865413</v>
      </c>
      <c r="L663" s="52">
        <f ca="1">SUMIFS(OUT!$F$2:$F$11000,OUT!$H$2:$H$11000,H663,OUT!$D$2:$D$11000,"Out",OUT!$E$2:$E$11000,"Bathroom")</f>
        <v>120488</v>
      </c>
      <c r="M663" s="52">
        <f ca="1">SUMIFS(OUT!$F$2:$F$11000,OUT!$H$2:$H$11000,H663,OUT!$D$2:$D$11000,"Out",OUT!$E$2:$E$11000,"Alfa")</f>
        <v>890962</v>
      </c>
      <c r="N663" s="52" t="e">
        <f ca="1">SUMIFS(OUT!$F$2:$F$11000,OUT!$H$2:$H$101007,H663,OUT!$D$2:$D$11000,"Out",OUT!$E$2:$E$11000,"Jajan")</f>
        <v>#VALUE!</v>
      </c>
      <c r="O663" s="52">
        <f ca="1">SUMIFS(OUT!$F$2:$F$11000,OUT!$H$2:$H$11000,H663,OUT!$D$2:$D$11000,"Out",OUT!$E$2:$E$11000,"Kitchen")</f>
        <v>1152600</v>
      </c>
      <c r="P663" s="52">
        <f ca="1">SUMIFS(OUT!$F$2:$F$11000,OUT!$H$2:$H$11000,H663,OUT!$D$2:$D$11000,"Out",OUT!$E$2:$E$11000,"Loandry")</f>
        <v>41000</v>
      </c>
      <c r="Q663" s="52">
        <f ca="1">SUMIFS(OUT!$F$2:$F$11000,OUT!$H$2:$H$11000,H663,OUT!$D$2:$D$11000,"Out",OUT!$E$2:$E$11000,"Mio")</f>
        <v>895700</v>
      </c>
      <c r="R663" s="52">
        <f ca="1">SUMIFS(OUT!$F$2:$F$11000,OUT!$H$2:$H$11000,H663,OUT!$D$2:$D$11000,"Out",OUT!$E$2:$E$11000,"Sedekah")</f>
        <v>130000</v>
      </c>
      <c r="S663" s="52">
        <f ca="1">SUMIFS(OUT!$F$2:$F$11000,OUT!$H$2:$H$11000,H663,OUT!$D$2:$D$11000,"Out",OUT!$E$2:$E$11000,"Zela")</f>
        <v>215161</v>
      </c>
      <c r="T663" s="52">
        <f ca="1">SUMIFS(OUT!$F$2:$F$11000,OUT!$H$2:$H$11000,H663,OUT!$D$2:$D$11000,"Out",OUT!$E$2:$E$11000,"Iqbal")</f>
        <v>215000</v>
      </c>
    </row>
    <row r="664" spans="1:20" x14ac:dyDescent="0.2">
      <c r="A664" s="48">
        <f ca="1">IFERROR(__xludf.DUMMYFUNCTION("""COMPUTED_VALUE"""),46110)</f>
        <v>46110</v>
      </c>
      <c r="B664" s="4" t="str">
        <f ca="1">IFERROR(__xludf.DUMMYFUNCTION("""COMPUTED_VALUE"""),"Tarik Tunai")</f>
        <v>Tarik Tunai</v>
      </c>
      <c r="C664" s="4" t="str">
        <f ca="1">IFERROR(__xludf.DUMMYFUNCTION("""COMPUTED_VALUE"""),"ATM")</f>
        <v>ATM</v>
      </c>
      <c r="D664" s="4" t="str">
        <f ca="1">IFERROR(__xludf.DUMMYFUNCTION("""COMPUTED_VALUE"""),"Out")</f>
        <v>Out</v>
      </c>
      <c r="E664" s="4" t="str">
        <f ca="1">IFERROR(__xludf.DUMMYFUNCTION("""COMPUTED_VALUE"""),"Move")</f>
        <v>Move</v>
      </c>
      <c r="F664" s="49">
        <f ca="1">IFERROR(__xludf.DUMMYFUNCTION("""COMPUTED_VALUE"""),100000)</f>
        <v>100000</v>
      </c>
      <c r="G664" s="50" t="str">
        <f ca="1">IFERROR(__xludf.DUMMYFUNCTION("""COMPUTED_VALUE"""),"Zela")</f>
        <v>Zela</v>
      </c>
      <c r="H664" s="51">
        <f t="shared" ca="1" si="0"/>
        <v>46082</v>
      </c>
      <c r="I664" s="52" t="e">
        <f ca="1">SUMIFS(OUT!$F$2:$F$11000,OUT!$H$2:$H$11000,H664,OUT!$D$2:$D$101007,"In")</f>
        <v>#VALUE!</v>
      </c>
      <c r="J664" s="52">
        <f ca="1">SUMIFS(OUT!$F$2:$F$11000,OUT!$H$2:$H$11000,H664,OUT!$D$2:$D$11000,"Out")</f>
        <v>12026623</v>
      </c>
      <c r="K664" s="52">
        <f ca="1">SUMIFS(OUT!$F$2:$F$11000,OUT!$H$2:$H$11000,H664,OUT!$D$2:$D$11000,"Out",OUT!$E$2:$E$11000,"Fix")</f>
        <v>2865413</v>
      </c>
      <c r="L664" s="52">
        <f ca="1">SUMIFS(OUT!$F$2:$F$11000,OUT!$H$2:$H$11000,H664,OUT!$D$2:$D$11000,"Out",OUT!$E$2:$E$11000,"Bathroom")</f>
        <v>120488</v>
      </c>
      <c r="M664" s="52">
        <f ca="1">SUMIFS(OUT!$F$2:$F$11000,OUT!$H$2:$H$11000,H664,OUT!$D$2:$D$11000,"Out",OUT!$E$2:$E$11000,"Alfa")</f>
        <v>890962</v>
      </c>
      <c r="N664" s="52" t="e">
        <f ca="1">SUMIFS(OUT!$F$2:$F$11000,OUT!$H$2:$H$101007,H664,OUT!$D$2:$D$11000,"Out",OUT!$E$2:$E$11000,"Jajan")</f>
        <v>#VALUE!</v>
      </c>
      <c r="O664" s="52">
        <f ca="1">SUMIFS(OUT!$F$2:$F$11000,OUT!$H$2:$H$11000,H664,OUT!$D$2:$D$11000,"Out",OUT!$E$2:$E$11000,"Kitchen")</f>
        <v>1152600</v>
      </c>
      <c r="P664" s="52">
        <f ca="1">SUMIFS(OUT!$F$2:$F$11000,OUT!$H$2:$H$11000,H664,OUT!$D$2:$D$11000,"Out",OUT!$E$2:$E$11000,"Loandry")</f>
        <v>41000</v>
      </c>
      <c r="Q664" s="52">
        <f ca="1">SUMIFS(OUT!$F$2:$F$11000,OUT!$H$2:$H$11000,H664,OUT!$D$2:$D$11000,"Out",OUT!$E$2:$E$11000,"Mio")</f>
        <v>895700</v>
      </c>
      <c r="R664" s="52">
        <f ca="1">SUMIFS(OUT!$F$2:$F$11000,OUT!$H$2:$H$11000,H664,OUT!$D$2:$D$11000,"Out",OUT!$E$2:$E$11000,"Sedekah")</f>
        <v>130000</v>
      </c>
      <c r="S664" s="52">
        <f ca="1">SUMIFS(OUT!$F$2:$F$11000,OUT!$H$2:$H$11000,H664,OUT!$D$2:$D$11000,"Out",OUT!$E$2:$E$11000,"Zela")</f>
        <v>215161</v>
      </c>
      <c r="T664" s="52">
        <f ca="1">SUMIFS(OUT!$F$2:$F$11000,OUT!$H$2:$H$11000,H664,OUT!$D$2:$D$11000,"Out",OUT!$E$2:$E$11000,"Iqbal")</f>
        <v>215000</v>
      </c>
    </row>
    <row r="665" spans="1:20" x14ac:dyDescent="0.2">
      <c r="A665" s="48">
        <f ca="1">IFERROR(__xludf.DUMMYFUNCTION("""COMPUTED_VALUE"""),46110)</f>
        <v>46110</v>
      </c>
      <c r="B665" s="4" t="str">
        <f ca="1">IFERROR(__xludf.DUMMYFUNCTION("""COMPUTED_VALUE"""),"Terima Tunai")</f>
        <v>Terima Tunai</v>
      </c>
      <c r="C665" s="4" t="str">
        <f ca="1">IFERROR(__xludf.DUMMYFUNCTION("""COMPUTED_VALUE"""),"Cash")</f>
        <v>Cash</v>
      </c>
      <c r="D665" s="4" t="str">
        <f ca="1">IFERROR(__xludf.DUMMYFUNCTION("""COMPUTED_VALUE"""),"In")</f>
        <v>In</v>
      </c>
      <c r="E665" s="4" t="str">
        <f ca="1">IFERROR(__xludf.DUMMYFUNCTION("""COMPUTED_VALUE"""),"Move")</f>
        <v>Move</v>
      </c>
      <c r="F665" s="49">
        <f ca="1">IFERROR(__xludf.DUMMYFUNCTION("""COMPUTED_VALUE"""),100000)</f>
        <v>100000</v>
      </c>
      <c r="G665" s="50" t="str">
        <f ca="1">IFERROR(__xludf.DUMMYFUNCTION("""COMPUTED_VALUE"""),"Zela")</f>
        <v>Zela</v>
      </c>
      <c r="H665" s="51">
        <f t="shared" ca="1" si="0"/>
        <v>46082</v>
      </c>
      <c r="I665" s="52" t="e">
        <f ca="1">SUMIFS(OUT!$F$2:$F$11000,OUT!$H$2:$H$11000,H665,OUT!$D$2:$D$101007,"In")</f>
        <v>#VALUE!</v>
      </c>
      <c r="J665" s="52">
        <f ca="1">SUMIFS(OUT!$F$2:$F$11000,OUT!$H$2:$H$11000,H665,OUT!$D$2:$D$11000,"Out")</f>
        <v>12026623</v>
      </c>
      <c r="K665" s="52">
        <f ca="1">SUMIFS(OUT!$F$2:$F$11000,OUT!$H$2:$H$11000,H665,OUT!$D$2:$D$11000,"Out",OUT!$E$2:$E$11000,"Fix")</f>
        <v>2865413</v>
      </c>
      <c r="L665" s="52">
        <f ca="1">SUMIFS(OUT!$F$2:$F$11000,OUT!$H$2:$H$11000,H665,OUT!$D$2:$D$11000,"Out",OUT!$E$2:$E$11000,"Bathroom")</f>
        <v>120488</v>
      </c>
      <c r="M665" s="52">
        <f ca="1">SUMIFS(OUT!$F$2:$F$11000,OUT!$H$2:$H$11000,H665,OUT!$D$2:$D$11000,"Out",OUT!$E$2:$E$11000,"Alfa")</f>
        <v>890962</v>
      </c>
      <c r="N665" s="52" t="e">
        <f ca="1">SUMIFS(OUT!$F$2:$F$11000,OUT!$H$2:$H$101007,H665,OUT!$D$2:$D$11000,"Out",OUT!$E$2:$E$11000,"Jajan")</f>
        <v>#VALUE!</v>
      </c>
      <c r="O665" s="52">
        <f ca="1">SUMIFS(OUT!$F$2:$F$11000,OUT!$H$2:$H$11000,H665,OUT!$D$2:$D$11000,"Out",OUT!$E$2:$E$11000,"Kitchen")</f>
        <v>1152600</v>
      </c>
      <c r="P665" s="52">
        <f ca="1">SUMIFS(OUT!$F$2:$F$11000,OUT!$H$2:$H$11000,H665,OUT!$D$2:$D$11000,"Out",OUT!$E$2:$E$11000,"Loandry")</f>
        <v>41000</v>
      </c>
      <c r="Q665" s="52">
        <f ca="1">SUMIFS(OUT!$F$2:$F$11000,OUT!$H$2:$H$11000,H665,OUT!$D$2:$D$11000,"Out",OUT!$E$2:$E$11000,"Mio")</f>
        <v>895700</v>
      </c>
      <c r="R665" s="52">
        <f ca="1">SUMIFS(OUT!$F$2:$F$11000,OUT!$H$2:$H$11000,H665,OUT!$D$2:$D$11000,"Out",OUT!$E$2:$E$11000,"Sedekah")</f>
        <v>130000</v>
      </c>
      <c r="S665" s="52">
        <f ca="1">SUMIFS(OUT!$F$2:$F$11000,OUT!$H$2:$H$11000,H665,OUT!$D$2:$D$11000,"Out",OUT!$E$2:$E$11000,"Zela")</f>
        <v>215161</v>
      </c>
      <c r="T665" s="52">
        <f ca="1">SUMIFS(OUT!$F$2:$F$11000,OUT!$H$2:$H$11000,H665,OUT!$D$2:$D$11000,"Out",OUT!$E$2:$E$11000,"Iqbal")</f>
        <v>215000</v>
      </c>
    </row>
    <row r="666" spans="1:20" x14ac:dyDescent="0.2">
      <c r="A666" s="48">
        <f ca="1">IFERROR(__xludf.DUMMYFUNCTION("""COMPUTED_VALUE"""),46110)</f>
        <v>46110</v>
      </c>
      <c r="B666" s="4" t="str">
        <f ca="1">IFERROR(__xludf.DUMMYFUNCTION("""COMPUTED_VALUE"""),"Susu Alfa")</f>
        <v>Susu Alfa</v>
      </c>
      <c r="C666" s="4" t="str">
        <f ca="1">IFERROR(__xludf.DUMMYFUNCTION("""COMPUTED_VALUE"""),"ATM")</f>
        <v>ATM</v>
      </c>
      <c r="D666" s="4" t="str">
        <f ca="1">IFERROR(__xludf.DUMMYFUNCTION("""COMPUTED_VALUE"""),"Out")</f>
        <v>Out</v>
      </c>
      <c r="E666" s="4" t="str">
        <f ca="1">IFERROR(__xludf.DUMMYFUNCTION("""COMPUTED_VALUE"""),"Alfa")</f>
        <v>Alfa</v>
      </c>
      <c r="F666" s="49">
        <f ca="1">IFERROR(__xludf.DUMMYFUNCTION("""COMPUTED_VALUE"""),36645)</f>
        <v>36645</v>
      </c>
      <c r="G666" s="50" t="str">
        <f ca="1">IFERROR(__xludf.DUMMYFUNCTION("""COMPUTED_VALUE"""),"Zela")</f>
        <v>Zela</v>
      </c>
      <c r="H666" s="51">
        <f t="shared" ca="1" si="0"/>
        <v>46082</v>
      </c>
      <c r="I666" s="52" t="e">
        <f ca="1">SUMIFS(OUT!$F$2:$F$11000,OUT!$H$2:$H$11000,H666,OUT!$D$2:$D$101007,"In")</f>
        <v>#VALUE!</v>
      </c>
      <c r="J666" s="52">
        <f ca="1">SUMIFS(OUT!$F$2:$F$11000,OUT!$H$2:$H$11000,H666,OUT!$D$2:$D$11000,"Out")</f>
        <v>12026623</v>
      </c>
      <c r="K666" s="52">
        <f ca="1">SUMIFS(OUT!$F$2:$F$11000,OUT!$H$2:$H$11000,H666,OUT!$D$2:$D$11000,"Out",OUT!$E$2:$E$11000,"Fix")</f>
        <v>2865413</v>
      </c>
      <c r="L666" s="52">
        <f ca="1">SUMIFS(OUT!$F$2:$F$11000,OUT!$H$2:$H$11000,H666,OUT!$D$2:$D$11000,"Out",OUT!$E$2:$E$11000,"Bathroom")</f>
        <v>120488</v>
      </c>
      <c r="M666" s="52">
        <f ca="1">SUMIFS(OUT!$F$2:$F$11000,OUT!$H$2:$H$11000,H666,OUT!$D$2:$D$11000,"Out",OUT!$E$2:$E$11000,"Alfa")</f>
        <v>890962</v>
      </c>
      <c r="N666" s="52" t="e">
        <f ca="1">SUMIFS(OUT!$F$2:$F$11000,OUT!$H$2:$H$101007,H666,OUT!$D$2:$D$11000,"Out",OUT!$E$2:$E$11000,"Jajan")</f>
        <v>#VALUE!</v>
      </c>
      <c r="O666" s="52">
        <f ca="1">SUMIFS(OUT!$F$2:$F$11000,OUT!$H$2:$H$11000,H666,OUT!$D$2:$D$11000,"Out",OUT!$E$2:$E$11000,"Kitchen")</f>
        <v>1152600</v>
      </c>
      <c r="P666" s="52">
        <f ca="1">SUMIFS(OUT!$F$2:$F$11000,OUT!$H$2:$H$11000,H666,OUT!$D$2:$D$11000,"Out",OUT!$E$2:$E$11000,"Loandry")</f>
        <v>41000</v>
      </c>
      <c r="Q666" s="52">
        <f ca="1">SUMIFS(OUT!$F$2:$F$11000,OUT!$H$2:$H$11000,H666,OUT!$D$2:$D$11000,"Out",OUT!$E$2:$E$11000,"Mio")</f>
        <v>895700</v>
      </c>
      <c r="R666" s="52">
        <f ca="1">SUMIFS(OUT!$F$2:$F$11000,OUT!$H$2:$H$11000,H666,OUT!$D$2:$D$11000,"Out",OUT!$E$2:$E$11000,"Sedekah")</f>
        <v>130000</v>
      </c>
      <c r="S666" s="52">
        <f ca="1">SUMIFS(OUT!$F$2:$F$11000,OUT!$H$2:$H$11000,H666,OUT!$D$2:$D$11000,"Out",OUT!$E$2:$E$11000,"Zela")</f>
        <v>215161</v>
      </c>
      <c r="T666" s="52">
        <f ca="1">SUMIFS(OUT!$F$2:$F$11000,OUT!$H$2:$H$11000,H666,OUT!$D$2:$D$11000,"Out",OUT!$E$2:$E$11000,"Iqbal")</f>
        <v>215000</v>
      </c>
    </row>
    <row r="667" spans="1:20" x14ac:dyDescent="0.2">
      <c r="A667" s="48">
        <f ca="1">IFERROR(__xludf.DUMMYFUNCTION("""COMPUTED_VALUE"""),46110)</f>
        <v>46110</v>
      </c>
      <c r="B667" s="4" t="str">
        <f ca="1">IFERROR(__xludf.DUMMYFUNCTION("""COMPUTED_VALUE"""),"Beras 2 Kg")</f>
        <v>Beras 2 Kg</v>
      </c>
      <c r="C667" s="4" t="str">
        <f ca="1">IFERROR(__xludf.DUMMYFUNCTION("""COMPUTED_VALUE"""),"Cash")</f>
        <v>Cash</v>
      </c>
      <c r="D667" s="4" t="str">
        <f ca="1">IFERROR(__xludf.DUMMYFUNCTION("""COMPUTED_VALUE"""),"Out")</f>
        <v>Out</v>
      </c>
      <c r="E667" s="4" t="str">
        <f ca="1">IFERROR(__xludf.DUMMYFUNCTION("""COMPUTED_VALUE"""),"Kitchen")</f>
        <v>Kitchen</v>
      </c>
      <c r="F667" s="49">
        <f ca="1">IFERROR(__xludf.DUMMYFUNCTION("""COMPUTED_VALUE"""),32000)</f>
        <v>32000</v>
      </c>
      <c r="G667" s="50" t="str">
        <f ca="1">IFERROR(__xludf.DUMMYFUNCTION("""COMPUTED_VALUE"""),"Zela")</f>
        <v>Zela</v>
      </c>
      <c r="H667" s="51">
        <f t="shared" ca="1" si="0"/>
        <v>46082</v>
      </c>
      <c r="I667" s="52" t="e">
        <f ca="1">SUMIFS(OUT!$F$2:$F$11000,OUT!$H$2:$H$11000,H667,OUT!$D$2:$D$101007,"In")</f>
        <v>#VALUE!</v>
      </c>
      <c r="J667" s="52">
        <f ca="1">SUMIFS(OUT!$F$2:$F$11000,OUT!$H$2:$H$11000,H667,OUT!$D$2:$D$11000,"Out")</f>
        <v>12026623</v>
      </c>
      <c r="K667" s="52">
        <f ca="1">SUMIFS(OUT!$F$2:$F$11000,OUT!$H$2:$H$11000,H667,OUT!$D$2:$D$11000,"Out",OUT!$E$2:$E$11000,"Fix")</f>
        <v>2865413</v>
      </c>
      <c r="L667" s="52">
        <f ca="1">SUMIFS(OUT!$F$2:$F$11000,OUT!$H$2:$H$11000,H667,OUT!$D$2:$D$11000,"Out",OUT!$E$2:$E$11000,"Bathroom")</f>
        <v>120488</v>
      </c>
      <c r="M667" s="52">
        <f ca="1">SUMIFS(OUT!$F$2:$F$11000,OUT!$H$2:$H$11000,H667,OUT!$D$2:$D$11000,"Out",OUT!$E$2:$E$11000,"Alfa")</f>
        <v>890962</v>
      </c>
      <c r="N667" s="52" t="e">
        <f ca="1">SUMIFS(OUT!$F$2:$F$11000,OUT!$H$2:$H$101007,H667,OUT!$D$2:$D$11000,"Out",OUT!$E$2:$E$11000,"Jajan")</f>
        <v>#VALUE!</v>
      </c>
      <c r="O667" s="52">
        <f ca="1">SUMIFS(OUT!$F$2:$F$11000,OUT!$H$2:$H$11000,H667,OUT!$D$2:$D$11000,"Out",OUT!$E$2:$E$11000,"Kitchen")</f>
        <v>1152600</v>
      </c>
      <c r="P667" s="52">
        <f ca="1">SUMIFS(OUT!$F$2:$F$11000,OUT!$H$2:$H$11000,H667,OUT!$D$2:$D$11000,"Out",OUT!$E$2:$E$11000,"Loandry")</f>
        <v>41000</v>
      </c>
      <c r="Q667" s="52">
        <f ca="1">SUMIFS(OUT!$F$2:$F$11000,OUT!$H$2:$H$11000,H667,OUT!$D$2:$D$11000,"Out",OUT!$E$2:$E$11000,"Mio")</f>
        <v>895700</v>
      </c>
      <c r="R667" s="52">
        <f ca="1">SUMIFS(OUT!$F$2:$F$11000,OUT!$H$2:$H$11000,H667,OUT!$D$2:$D$11000,"Out",OUT!$E$2:$E$11000,"Sedekah")</f>
        <v>130000</v>
      </c>
      <c r="S667" s="52">
        <f ca="1">SUMIFS(OUT!$F$2:$F$11000,OUT!$H$2:$H$11000,H667,OUT!$D$2:$D$11000,"Out",OUT!$E$2:$E$11000,"Zela")</f>
        <v>215161</v>
      </c>
      <c r="T667" s="52">
        <f ca="1">SUMIFS(OUT!$F$2:$F$11000,OUT!$H$2:$H$11000,H667,OUT!$D$2:$D$11000,"Out",OUT!$E$2:$E$11000,"Iqbal")</f>
        <v>215000</v>
      </c>
    </row>
    <row r="668" spans="1:20" x14ac:dyDescent="0.2">
      <c r="A668" s="48">
        <f ca="1">IFERROR(__xludf.DUMMYFUNCTION("""COMPUTED_VALUE"""),46110)</f>
        <v>46110</v>
      </c>
      <c r="B668" s="4" t="str">
        <f ca="1">IFERROR(__xludf.DUMMYFUNCTION("""COMPUTED_VALUE"""),"sariroti + Yogurt")</f>
        <v>sariroti + Yogurt</v>
      </c>
      <c r="C668" s="4" t="str">
        <f ca="1">IFERROR(__xludf.DUMMYFUNCTION("""COMPUTED_VALUE"""),"Cash")</f>
        <v>Cash</v>
      </c>
      <c r="D668" s="4" t="str">
        <f ca="1">IFERROR(__xludf.DUMMYFUNCTION("""COMPUTED_VALUE"""),"Out")</f>
        <v>Out</v>
      </c>
      <c r="E668" s="4" t="str">
        <f ca="1">IFERROR(__xludf.DUMMYFUNCTION("""COMPUTED_VALUE"""),"Jajan")</f>
        <v>Jajan</v>
      </c>
      <c r="F668" s="49">
        <f ca="1">IFERROR(__xludf.DUMMYFUNCTION("""COMPUTED_VALUE"""),23200)</f>
        <v>23200</v>
      </c>
      <c r="G668" s="50" t="str">
        <f ca="1">IFERROR(__xludf.DUMMYFUNCTION("""COMPUTED_VALUE"""),"Zela")</f>
        <v>Zela</v>
      </c>
      <c r="H668" s="51">
        <f t="shared" ca="1" si="0"/>
        <v>46082</v>
      </c>
      <c r="I668" s="52" t="e">
        <f ca="1">SUMIFS(OUT!$F$2:$F$11000,OUT!$H$2:$H$11000,H668,OUT!$D$2:$D$101007,"In")</f>
        <v>#VALUE!</v>
      </c>
      <c r="J668" s="52">
        <f ca="1">SUMIFS(OUT!$F$2:$F$11000,OUT!$H$2:$H$11000,H668,OUT!$D$2:$D$11000,"Out")</f>
        <v>12026623</v>
      </c>
      <c r="K668" s="52">
        <f ca="1">SUMIFS(OUT!$F$2:$F$11000,OUT!$H$2:$H$11000,H668,OUT!$D$2:$D$11000,"Out",OUT!$E$2:$E$11000,"Fix")</f>
        <v>2865413</v>
      </c>
      <c r="L668" s="52">
        <f ca="1">SUMIFS(OUT!$F$2:$F$11000,OUT!$H$2:$H$11000,H668,OUT!$D$2:$D$11000,"Out",OUT!$E$2:$E$11000,"Bathroom")</f>
        <v>120488</v>
      </c>
      <c r="M668" s="52">
        <f ca="1">SUMIFS(OUT!$F$2:$F$11000,OUT!$H$2:$H$11000,H668,OUT!$D$2:$D$11000,"Out",OUT!$E$2:$E$11000,"Alfa")</f>
        <v>890962</v>
      </c>
      <c r="N668" s="52" t="e">
        <f ca="1">SUMIFS(OUT!$F$2:$F$11000,OUT!$H$2:$H$101007,H668,OUT!$D$2:$D$11000,"Out",OUT!$E$2:$E$11000,"Jajan")</f>
        <v>#VALUE!</v>
      </c>
      <c r="O668" s="52">
        <f ca="1">SUMIFS(OUT!$F$2:$F$11000,OUT!$H$2:$H$11000,H668,OUT!$D$2:$D$11000,"Out",OUT!$E$2:$E$11000,"Kitchen")</f>
        <v>1152600</v>
      </c>
      <c r="P668" s="52">
        <f ca="1">SUMIFS(OUT!$F$2:$F$11000,OUT!$H$2:$H$11000,H668,OUT!$D$2:$D$11000,"Out",OUT!$E$2:$E$11000,"Loandry")</f>
        <v>41000</v>
      </c>
      <c r="Q668" s="52">
        <f ca="1">SUMIFS(OUT!$F$2:$F$11000,OUT!$H$2:$H$11000,H668,OUT!$D$2:$D$11000,"Out",OUT!$E$2:$E$11000,"Mio")</f>
        <v>895700</v>
      </c>
      <c r="R668" s="52">
        <f ca="1">SUMIFS(OUT!$F$2:$F$11000,OUT!$H$2:$H$11000,H668,OUT!$D$2:$D$11000,"Out",OUT!$E$2:$E$11000,"Sedekah")</f>
        <v>130000</v>
      </c>
      <c r="S668" s="52">
        <f ca="1">SUMIFS(OUT!$F$2:$F$11000,OUT!$H$2:$H$11000,H668,OUT!$D$2:$D$11000,"Out",OUT!$E$2:$E$11000,"Zela")</f>
        <v>215161</v>
      </c>
      <c r="T668" s="52">
        <f ca="1">SUMIFS(OUT!$F$2:$F$11000,OUT!$H$2:$H$11000,H668,OUT!$D$2:$D$11000,"Out",OUT!$E$2:$E$11000,"Iqbal")</f>
        <v>215000</v>
      </c>
    </row>
    <row r="669" spans="1:20" x14ac:dyDescent="0.2">
      <c r="A669" s="48">
        <f ca="1">IFERROR(__xludf.DUMMYFUNCTION("""COMPUTED_VALUE"""),46110)</f>
        <v>46110</v>
      </c>
      <c r="B669" s="4" t="str">
        <f ca="1">IFERROR(__xludf.DUMMYFUNCTION("""COMPUTED_VALUE"""),"Pangkas Rambut")</f>
        <v>Pangkas Rambut</v>
      </c>
      <c r="C669" s="4" t="str">
        <f ca="1">IFERROR(__xludf.DUMMYFUNCTION("""COMPUTED_VALUE"""),"Cash")</f>
        <v>Cash</v>
      </c>
      <c r="D669" s="4" t="str">
        <f ca="1">IFERROR(__xludf.DUMMYFUNCTION("""COMPUTED_VALUE"""),"Out")</f>
        <v>Out</v>
      </c>
      <c r="E669" s="4" t="str">
        <f ca="1">IFERROR(__xludf.DUMMYFUNCTION("""COMPUTED_VALUE"""),"Iqbal")</f>
        <v>Iqbal</v>
      </c>
      <c r="F669" s="49">
        <f ca="1">IFERROR(__xludf.DUMMYFUNCTION("""COMPUTED_VALUE"""),30000)</f>
        <v>30000</v>
      </c>
      <c r="G669" s="50" t="str">
        <f ca="1">IFERROR(__xludf.DUMMYFUNCTION("""COMPUTED_VALUE"""),"Zela")</f>
        <v>Zela</v>
      </c>
      <c r="H669" s="51">
        <f t="shared" ca="1" si="0"/>
        <v>46082</v>
      </c>
      <c r="I669" s="52" t="e">
        <f ca="1">SUMIFS(OUT!$F$2:$F$11000,OUT!$H$2:$H$11000,H669,OUT!$D$2:$D$101007,"In")</f>
        <v>#VALUE!</v>
      </c>
      <c r="J669" s="52">
        <f ca="1">SUMIFS(OUT!$F$2:$F$11000,OUT!$H$2:$H$11000,H669,OUT!$D$2:$D$11000,"Out")</f>
        <v>12026623</v>
      </c>
      <c r="K669" s="52">
        <f ca="1">SUMIFS(OUT!$F$2:$F$11000,OUT!$H$2:$H$11000,H669,OUT!$D$2:$D$11000,"Out",OUT!$E$2:$E$11000,"Fix")</f>
        <v>2865413</v>
      </c>
      <c r="L669" s="52">
        <f ca="1">SUMIFS(OUT!$F$2:$F$11000,OUT!$H$2:$H$11000,H669,OUT!$D$2:$D$11000,"Out",OUT!$E$2:$E$11000,"Bathroom")</f>
        <v>120488</v>
      </c>
      <c r="M669" s="52">
        <f ca="1">SUMIFS(OUT!$F$2:$F$11000,OUT!$H$2:$H$11000,H669,OUT!$D$2:$D$11000,"Out",OUT!$E$2:$E$11000,"Alfa")</f>
        <v>890962</v>
      </c>
      <c r="N669" s="52" t="e">
        <f ca="1">SUMIFS(OUT!$F$2:$F$11000,OUT!$H$2:$H$101007,H669,OUT!$D$2:$D$11000,"Out",OUT!$E$2:$E$11000,"Jajan")</f>
        <v>#VALUE!</v>
      </c>
      <c r="O669" s="52">
        <f ca="1">SUMIFS(OUT!$F$2:$F$11000,OUT!$H$2:$H$11000,H669,OUT!$D$2:$D$11000,"Out",OUT!$E$2:$E$11000,"Kitchen")</f>
        <v>1152600</v>
      </c>
      <c r="P669" s="52">
        <f ca="1">SUMIFS(OUT!$F$2:$F$11000,OUT!$H$2:$H$11000,H669,OUT!$D$2:$D$11000,"Out",OUT!$E$2:$E$11000,"Loandry")</f>
        <v>41000</v>
      </c>
      <c r="Q669" s="52">
        <f ca="1">SUMIFS(OUT!$F$2:$F$11000,OUT!$H$2:$H$11000,H669,OUT!$D$2:$D$11000,"Out",OUT!$E$2:$E$11000,"Mio")</f>
        <v>895700</v>
      </c>
      <c r="R669" s="52">
        <f ca="1">SUMIFS(OUT!$F$2:$F$11000,OUT!$H$2:$H$11000,H669,OUT!$D$2:$D$11000,"Out",OUT!$E$2:$E$11000,"Sedekah")</f>
        <v>130000</v>
      </c>
      <c r="S669" s="52">
        <f ca="1">SUMIFS(OUT!$F$2:$F$11000,OUT!$H$2:$H$11000,H669,OUT!$D$2:$D$11000,"Out",OUT!$E$2:$E$11000,"Zela")</f>
        <v>215161</v>
      </c>
      <c r="T669" s="52">
        <f ca="1">SUMIFS(OUT!$F$2:$F$11000,OUT!$H$2:$H$11000,H669,OUT!$D$2:$D$11000,"Out",OUT!$E$2:$E$11000,"Iqbal")</f>
        <v>215000</v>
      </c>
    </row>
    <row r="670" spans="1:20" x14ac:dyDescent="0.2">
      <c r="A670" s="48">
        <f ca="1">IFERROR(__xludf.DUMMYFUNCTION("""COMPUTED_VALUE"""),46111)</f>
        <v>46111</v>
      </c>
      <c r="B670" s="4" t="str">
        <f ca="1">IFERROR(__xludf.DUMMYFUNCTION("""COMPUTED_VALUE"""),"Teh telor ")</f>
        <v xml:space="preserve">Teh telor </v>
      </c>
      <c r="C670" s="4" t="str">
        <f ca="1">IFERROR(__xludf.DUMMYFUNCTION("""COMPUTED_VALUE"""),"Cash")</f>
        <v>Cash</v>
      </c>
      <c r="D670" s="4" t="str">
        <f ca="1">IFERROR(__xludf.DUMMYFUNCTION("""COMPUTED_VALUE"""),"Out")</f>
        <v>Out</v>
      </c>
      <c r="E670" s="4" t="str">
        <f ca="1">IFERROR(__xludf.DUMMYFUNCTION("""COMPUTED_VALUE"""),"Jajan")</f>
        <v>Jajan</v>
      </c>
      <c r="F670" s="49">
        <f ca="1">IFERROR(__xludf.DUMMYFUNCTION("""COMPUTED_VALUE"""),11000)</f>
        <v>11000</v>
      </c>
      <c r="G670" s="50" t="str">
        <f ca="1">IFERROR(__xludf.DUMMYFUNCTION("""COMPUTED_VALUE"""),"Zela")</f>
        <v>Zela</v>
      </c>
      <c r="H670" s="51">
        <f t="shared" ca="1" si="0"/>
        <v>46082</v>
      </c>
      <c r="I670" s="52" t="e">
        <f ca="1">SUMIFS(OUT!$F$2:$F$11000,OUT!$H$2:$H$11000,H670,OUT!$D$2:$D$101007,"In")</f>
        <v>#VALUE!</v>
      </c>
      <c r="J670" s="52">
        <f ca="1">SUMIFS(OUT!$F$2:$F$11000,OUT!$H$2:$H$11000,H670,OUT!$D$2:$D$11000,"Out")</f>
        <v>12026623</v>
      </c>
      <c r="K670" s="52">
        <f ca="1">SUMIFS(OUT!$F$2:$F$11000,OUT!$H$2:$H$11000,H670,OUT!$D$2:$D$11000,"Out",OUT!$E$2:$E$11000,"Fix")</f>
        <v>2865413</v>
      </c>
      <c r="L670" s="52">
        <f ca="1">SUMIFS(OUT!$F$2:$F$11000,OUT!$H$2:$H$11000,H670,OUT!$D$2:$D$11000,"Out",OUT!$E$2:$E$11000,"Bathroom")</f>
        <v>120488</v>
      </c>
      <c r="M670" s="52">
        <f ca="1">SUMIFS(OUT!$F$2:$F$11000,OUT!$H$2:$H$11000,H670,OUT!$D$2:$D$11000,"Out",OUT!$E$2:$E$11000,"Alfa")</f>
        <v>890962</v>
      </c>
      <c r="N670" s="52" t="e">
        <f ca="1">SUMIFS(OUT!$F$2:$F$11000,OUT!$H$2:$H$101007,H670,OUT!$D$2:$D$11000,"Out",OUT!$E$2:$E$11000,"Jajan")</f>
        <v>#VALUE!</v>
      </c>
      <c r="O670" s="52">
        <f ca="1">SUMIFS(OUT!$F$2:$F$11000,OUT!$H$2:$H$11000,H670,OUT!$D$2:$D$11000,"Out",OUT!$E$2:$E$11000,"Kitchen")</f>
        <v>1152600</v>
      </c>
      <c r="P670" s="52">
        <f ca="1">SUMIFS(OUT!$F$2:$F$11000,OUT!$H$2:$H$11000,H670,OUT!$D$2:$D$11000,"Out",OUT!$E$2:$E$11000,"Loandry")</f>
        <v>41000</v>
      </c>
      <c r="Q670" s="52">
        <f ca="1">SUMIFS(OUT!$F$2:$F$11000,OUT!$H$2:$H$11000,H670,OUT!$D$2:$D$11000,"Out",OUT!$E$2:$E$11000,"Mio")</f>
        <v>895700</v>
      </c>
      <c r="R670" s="52">
        <f ca="1">SUMIFS(OUT!$F$2:$F$11000,OUT!$H$2:$H$11000,H670,OUT!$D$2:$D$11000,"Out",OUT!$E$2:$E$11000,"Sedekah")</f>
        <v>130000</v>
      </c>
      <c r="S670" s="52">
        <f ca="1">SUMIFS(OUT!$F$2:$F$11000,OUT!$H$2:$H$11000,H670,OUT!$D$2:$D$11000,"Out",OUT!$E$2:$E$11000,"Zela")</f>
        <v>215161</v>
      </c>
      <c r="T670" s="52">
        <f ca="1">SUMIFS(OUT!$F$2:$F$11000,OUT!$H$2:$H$11000,H670,OUT!$D$2:$D$11000,"Out",OUT!$E$2:$E$11000,"Iqbal")</f>
        <v>215000</v>
      </c>
    </row>
    <row r="671" spans="1:20" x14ac:dyDescent="0.2">
      <c r="A671" s="48">
        <f ca="1">IFERROR(__xludf.DUMMYFUNCTION("""COMPUTED_VALUE"""),46111)</f>
        <v>46111</v>
      </c>
      <c r="B671" s="4" t="str">
        <f ca="1">IFERROR(__xludf.DUMMYFUNCTION("""COMPUTED_VALUE"""),"sate 2")</f>
        <v>sate 2</v>
      </c>
      <c r="C671" s="4" t="str">
        <f ca="1">IFERROR(__xludf.DUMMYFUNCTION("""COMPUTED_VALUE"""),"Cash")</f>
        <v>Cash</v>
      </c>
      <c r="D671" s="4" t="str">
        <f ca="1">IFERROR(__xludf.DUMMYFUNCTION("""COMPUTED_VALUE"""),"Out")</f>
        <v>Out</v>
      </c>
      <c r="E671" s="4" t="str">
        <f ca="1">IFERROR(__xludf.DUMMYFUNCTION("""COMPUTED_VALUE"""),"Jajan")</f>
        <v>Jajan</v>
      </c>
      <c r="F671" s="49">
        <f ca="1">IFERROR(__xludf.DUMMYFUNCTION("""COMPUTED_VALUE"""),10000)</f>
        <v>10000</v>
      </c>
      <c r="G671" s="50" t="str">
        <f ca="1">IFERROR(__xludf.DUMMYFUNCTION("""COMPUTED_VALUE"""),"Zela")</f>
        <v>Zela</v>
      </c>
      <c r="H671" s="51">
        <f t="shared" ca="1" si="0"/>
        <v>46082</v>
      </c>
      <c r="I671" s="52" t="e">
        <f ca="1">SUMIFS(OUT!$F$2:$F$11000,OUT!$H$2:$H$11000,H671,OUT!$D$2:$D$101007,"In")</f>
        <v>#VALUE!</v>
      </c>
      <c r="J671" s="52">
        <f ca="1">SUMIFS(OUT!$F$2:$F$11000,OUT!$H$2:$H$11000,H671,OUT!$D$2:$D$11000,"Out")</f>
        <v>12026623</v>
      </c>
      <c r="K671" s="52">
        <f ca="1">SUMIFS(OUT!$F$2:$F$11000,OUT!$H$2:$H$11000,H671,OUT!$D$2:$D$11000,"Out",OUT!$E$2:$E$11000,"Fix")</f>
        <v>2865413</v>
      </c>
      <c r="L671" s="52">
        <f ca="1">SUMIFS(OUT!$F$2:$F$11000,OUT!$H$2:$H$11000,H671,OUT!$D$2:$D$11000,"Out",OUT!$E$2:$E$11000,"Bathroom")</f>
        <v>120488</v>
      </c>
      <c r="M671" s="52">
        <f ca="1">SUMIFS(OUT!$F$2:$F$11000,OUT!$H$2:$H$11000,H671,OUT!$D$2:$D$11000,"Out",OUT!$E$2:$E$11000,"Alfa")</f>
        <v>890962</v>
      </c>
      <c r="N671" s="52" t="e">
        <f ca="1">SUMIFS(OUT!$F$2:$F$11000,OUT!$H$2:$H$101007,H671,OUT!$D$2:$D$11000,"Out",OUT!$E$2:$E$11000,"Jajan")</f>
        <v>#VALUE!</v>
      </c>
      <c r="O671" s="52">
        <f ca="1">SUMIFS(OUT!$F$2:$F$11000,OUT!$H$2:$H$11000,H671,OUT!$D$2:$D$11000,"Out",OUT!$E$2:$E$11000,"Kitchen")</f>
        <v>1152600</v>
      </c>
      <c r="P671" s="52">
        <f ca="1">SUMIFS(OUT!$F$2:$F$11000,OUT!$H$2:$H$11000,H671,OUT!$D$2:$D$11000,"Out",OUT!$E$2:$E$11000,"Loandry")</f>
        <v>41000</v>
      </c>
      <c r="Q671" s="52">
        <f ca="1">SUMIFS(OUT!$F$2:$F$11000,OUT!$H$2:$H$11000,H671,OUT!$D$2:$D$11000,"Out",OUT!$E$2:$E$11000,"Mio")</f>
        <v>895700</v>
      </c>
      <c r="R671" s="52">
        <f ca="1">SUMIFS(OUT!$F$2:$F$11000,OUT!$H$2:$H$11000,H671,OUT!$D$2:$D$11000,"Out",OUT!$E$2:$E$11000,"Sedekah")</f>
        <v>130000</v>
      </c>
      <c r="S671" s="52">
        <f ca="1">SUMIFS(OUT!$F$2:$F$11000,OUT!$H$2:$H$11000,H671,OUT!$D$2:$D$11000,"Out",OUT!$E$2:$E$11000,"Zela")</f>
        <v>215161</v>
      </c>
      <c r="T671" s="52">
        <f ca="1">SUMIFS(OUT!$F$2:$F$11000,OUT!$H$2:$H$11000,H671,OUT!$D$2:$D$11000,"Out",OUT!$E$2:$E$11000,"Iqbal")</f>
        <v>215000</v>
      </c>
    </row>
    <row r="672" spans="1:20" x14ac:dyDescent="0.2">
      <c r="A672" s="48">
        <f ca="1">IFERROR(__xludf.DUMMYFUNCTION("""COMPUTED_VALUE"""),46112)</f>
        <v>46112</v>
      </c>
      <c r="B672" s="4" t="str">
        <f ca="1">IFERROR(__xludf.DUMMYFUNCTION("""COMPUTED_VALUE"""),"Sunlight")</f>
        <v>Sunlight</v>
      </c>
      <c r="C672" s="4" t="str">
        <f ca="1">IFERROR(__xludf.DUMMYFUNCTION("""COMPUTED_VALUE"""),"Cash")</f>
        <v>Cash</v>
      </c>
      <c r="D672" s="4" t="str">
        <f ca="1">IFERROR(__xludf.DUMMYFUNCTION("""COMPUTED_VALUE"""),"Out")</f>
        <v>Out</v>
      </c>
      <c r="E672" s="4" t="str">
        <f ca="1">IFERROR(__xludf.DUMMYFUNCTION("""COMPUTED_VALUE"""),"Kitchen")</f>
        <v>Kitchen</v>
      </c>
      <c r="F672" s="49">
        <f ca="1">IFERROR(__xludf.DUMMYFUNCTION("""COMPUTED_VALUE"""),10000)</f>
        <v>10000</v>
      </c>
      <c r="G672" s="50" t="str">
        <f ca="1">IFERROR(__xludf.DUMMYFUNCTION("""COMPUTED_VALUE"""),"Zela")</f>
        <v>Zela</v>
      </c>
      <c r="H672" s="51">
        <f t="shared" ca="1" si="0"/>
        <v>46082</v>
      </c>
      <c r="I672" s="52" t="e">
        <f ca="1">SUMIFS(OUT!$F$2:$F$11000,OUT!$H$2:$H$11000,H672,OUT!$D$2:$D$101007,"In")</f>
        <v>#VALUE!</v>
      </c>
      <c r="J672" s="52">
        <f ca="1">SUMIFS(OUT!$F$2:$F$11000,OUT!$H$2:$H$11000,H672,OUT!$D$2:$D$11000,"Out")</f>
        <v>12026623</v>
      </c>
      <c r="K672" s="52">
        <f ca="1">SUMIFS(OUT!$F$2:$F$11000,OUT!$H$2:$H$11000,H672,OUT!$D$2:$D$11000,"Out",OUT!$E$2:$E$11000,"Fix")</f>
        <v>2865413</v>
      </c>
      <c r="L672" s="52">
        <f ca="1">SUMIFS(OUT!$F$2:$F$11000,OUT!$H$2:$H$11000,H672,OUT!$D$2:$D$11000,"Out",OUT!$E$2:$E$11000,"Bathroom")</f>
        <v>120488</v>
      </c>
      <c r="M672" s="52">
        <f ca="1">SUMIFS(OUT!$F$2:$F$11000,OUT!$H$2:$H$11000,H672,OUT!$D$2:$D$11000,"Out",OUT!$E$2:$E$11000,"Alfa")</f>
        <v>890962</v>
      </c>
      <c r="N672" s="52" t="e">
        <f ca="1">SUMIFS(OUT!$F$2:$F$11000,OUT!$H$2:$H$101007,H672,OUT!$D$2:$D$11000,"Out",OUT!$E$2:$E$11000,"Jajan")</f>
        <v>#VALUE!</v>
      </c>
      <c r="O672" s="52">
        <f ca="1">SUMIFS(OUT!$F$2:$F$11000,OUT!$H$2:$H$11000,H672,OUT!$D$2:$D$11000,"Out",OUT!$E$2:$E$11000,"Kitchen")</f>
        <v>1152600</v>
      </c>
      <c r="P672" s="52">
        <f ca="1">SUMIFS(OUT!$F$2:$F$11000,OUT!$H$2:$H$11000,H672,OUT!$D$2:$D$11000,"Out",OUT!$E$2:$E$11000,"Loandry")</f>
        <v>41000</v>
      </c>
      <c r="Q672" s="52">
        <f ca="1">SUMIFS(OUT!$F$2:$F$11000,OUT!$H$2:$H$11000,H672,OUT!$D$2:$D$11000,"Out",OUT!$E$2:$E$11000,"Mio")</f>
        <v>895700</v>
      </c>
      <c r="R672" s="52">
        <f ca="1">SUMIFS(OUT!$F$2:$F$11000,OUT!$H$2:$H$11000,H672,OUT!$D$2:$D$11000,"Out",OUT!$E$2:$E$11000,"Sedekah")</f>
        <v>130000</v>
      </c>
      <c r="S672" s="52">
        <f ca="1">SUMIFS(OUT!$F$2:$F$11000,OUT!$H$2:$H$11000,H672,OUT!$D$2:$D$11000,"Out",OUT!$E$2:$E$11000,"Zela")</f>
        <v>215161</v>
      </c>
      <c r="T672" s="52">
        <f ca="1">SUMIFS(OUT!$F$2:$F$11000,OUT!$H$2:$H$11000,H672,OUT!$D$2:$D$11000,"Out",OUT!$E$2:$E$11000,"Iqbal")</f>
        <v>215000</v>
      </c>
    </row>
    <row r="673" spans="1:20" x14ac:dyDescent="0.2">
      <c r="A673" s="48">
        <f ca="1">IFERROR(__xludf.DUMMYFUNCTION("""COMPUTED_VALUE"""),46112)</f>
        <v>46112</v>
      </c>
      <c r="B673" s="4" t="str">
        <f ca="1">IFERROR(__xludf.DUMMYFUNCTION("""COMPUTED_VALUE"""),"Yogurt")</f>
        <v>Yogurt</v>
      </c>
      <c r="C673" s="4" t="str">
        <f ca="1">IFERROR(__xludf.DUMMYFUNCTION("""COMPUTED_VALUE"""),"Cash")</f>
        <v>Cash</v>
      </c>
      <c r="D673" s="4" t="str">
        <f ca="1">IFERROR(__xludf.DUMMYFUNCTION("""COMPUTED_VALUE"""),"Out")</f>
        <v>Out</v>
      </c>
      <c r="E673" s="4" t="str">
        <f ca="1">IFERROR(__xludf.DUMMYFUNCTION("""COMPUTED_VALUE"""),"Jajan")</f>
        <v>Jajan</v>
      </c>
      <c r="F673" s="49">
        <f ca="1">IFERROR(__xludf.DUMMYFUNCTION("""COMPUTED_VALUE"""),9000)</f>
        <v>9000</v>
      </c>
      <c r="G673" s="50" t="str">
        <f ca="1">IFERROR(__xludf.DUMMYFUNCTION("""COMPUTED_VALUE"""),"Zela")</f>
        <v>Zela</v>
      </c>
      <c r="H673" s="51">
        <f t="shared" ca="1" si="0"/>
        <v>46082</v>
      </c>
      <c r="I673" s="52" t="e">
        <f ca="1">SUMIFS(OUT!$F$2:$F$11000,OUT!$H$2:$H$11000,H673,OUT!$D$2:$D$101007,"In")</f>
        <v>#VALUE!</v>
      </c>
      <c r="J673" s="52">
        <f ca="1">SUMIFS(OUT!$F$2:$F$11000,OUT!$H$2:$H$11000,H673,OUT!$D$2:$D$11000,"Out")</f>
        <v>12026623</v>
      </c>
      <c r="K673" s="52">
        <f ca="1">SUMIFS(OUT!$F$2:$F$11000,OUT!$H$2:$H$11000,H673,OUT!$D$2:$D$11000,"Out",OUT!$E$2:$E$11000,"Fix")</f>
        <v>2865413</v>
      </c>
      <c r="L673" s="52">
        <f ca="1">SUMIFS(OUT!$F$2:$F$11000,OUT!$H$2:$H$11000,H673,OUT!$D$2:$D$11000,"Out",OUT!$E$2:$E$11000,"Bathroom")</f>
        <v>120488</v>
      </c>
      <c r="M673" s="52">
        <f ca="1">SUMIFS(OUT!$F$2:$F$11000,OUT!$H$2:$H$11000,H673,OUT!$D$2:$D$11000,"Out",OUT!$E$2:$E$11000,"Alfa")</f>
        <v>890962</v>
      </c>
      <c r="N673" s="52" t="e">
        <f ca="1">SUMIFS(OUT!$F$2:$F$11000,OUT!$H$2:$H$101007,H673,OUT!$D$2:$D$11000,"Out",OUT!$E$2:$E$11000,"Jajan")</f>
        <v>#VALUE!</v>
      </c>
      <c r="O673" s="52">
        <f ca="1">SUMIFS(OUT!$F$2:$F$11000,OUT!$H$2:$H$11000,H673,OUT!$D$2:$D$11000,"Out",OUT!$E$2:$E$11000,"Kitchen")</f>
        <v>1152600</v>
      </c>
      <c r="P673" s="52">
        <f ca="1">SUMIFS(OUT!$F$2:$F$11000,OUT!$H$2:$H$11000,H673,OUT!$D$2:$D$11000,"Out",OUT!$E$2:$E$11000,"Loandry")</f>
        <v>41000</v>
      </c>
      <c r="Q673" s="52">
        <f ca="1">SUMIFS(OUT!$F$2:$F$11000,OUT!$H$2:$H$11000,H673,OUT!$D$2:$D$11000,"Out",OUT!$E$2:$E$11000,"Mio")</f>
        <v>895700</v>
      </c>
      <c r="R673" s="52">
        <f ca="1">SUMIFS(OUT!$F$2:$F$11000,OUT!$H$2:$H$11000,H673,OUT!$D$2:$D$11000,"Out",OUT!$E$2:$E$11000,"Sedekah")</f>
        <v>130000</v>
      </c>
      <c r="S673" s="52">
        <f ca="1">SUMIFS(OUT!$F$2:$F$11000,OUT!$H$2:$H$11000,H673,OUT!$D$2:$D$11000,"Out",OUT!$E$2:$E$11000,"Zela")</f>
        <v>215161</v>
      </c>
      <c r="T673" s="52">
        <f ca="1">SUMIFS(OUT!$F$2:$F$11000,OUT!$H$2:$H$11000,H673,OUT!$D$2:$D$11000,"Out",OUT!$E$2:$E$11000,"Iqbal")</f>
        <v>215000</v>
      </c>
    </row>
    <row r="674" spans="1:20" x14ac:dyDescent="0.2">
      <c r="A674" s="48">
        <f ca="1">IFERROR(__xludf.DUMMYFUNCTION("""COMPUTED_VALUE"""),46112)</f>
        <v>46112</v>
      </c>
      <c r="B674" s="4" t="str">
        <f ca="1">IFERROR(__xludf.DUMMYFUNCTION("""COMPUTED_VALUE"""),"diaksih Nenek ( Alfa ?) ")</f>
        <v xml:space="preserve">diaksih Nenek ( Alfa ?) </v>
      </c>
      <c r="C674" s="4" t="str">
        <f ca="1">IFERROR(__xludf.DUMMYFUNCTION("""COMPUTED_VALUE"""),"Cash")</f>
        <v>Cash</v>
      </c>
      <c r="D674" s="4" t="str">
        <f ca="1">IFERROR(__xludf.DUMMYFUNCTION("""COMPUTED_VALUE"""),"In")</f>
        <v>In</v>
      </c>
      <c r="E674" s="4" t="str">
        <f ca="1">IFERROR(__xludf.DUMMYFUNCTION("""COMPUTED_VALUE"""),"Alfa")</f>
        <v>Alfa</v>
      </c>
      <c r="F674" s="49">
        <f ca="1">IFERROR(__xludf.DUMMYFUNCTION("""COMPUTED_VALUE"""),5000)</f>
        <v>5000</v>
      </c>
      <c r="G674" s="50" t="str">
        <f ca="1">IFERROR(__xludf.DUMMYFUNCTION("""COMPUTED_VALUE"""),"Zela")</f>
        <v>Zela</v>
      </c>
      <c r="H674" s="51">
        <f t="shared" ca="1" si="0"/>
        <v>46082</v>
      </c>
      <c r="I674" s="52" t="e">
        <f ca="1">SUMIFS(OUT!$F$2:$F$11000,OUT!$H$2:$H$11000,H674,OUT!$D$2:$D$101007,"In")</f>
        <v>#VALUE!</v>
      </c>
      <c r="J674" s="52">
        <f ca="1">SUMIFS(OUT!$F$2:$F$11000,OUT!$H$2:$H$11000,H674,OUT!$D$2:$D$11000,"Out")</f>
        <v>12026623</v>
      </c>
      <c r="K674" s="52">
        <f ca="1">SUMIFS(OUT!$F$2:$F$11000,OUT!$H$2:$H$11000,H674,OUT!$D$2:$D$11000,"Out",OUT!$E$2:$E$11000,"Fix")</f>
        <v>2865413</v>
      </c>
      <c r="L674" s="52">
        <f ca="1">SUMIFS(OUT!$F$2:$F$11000,OUT!$H$2:$H$11000,H674,OUT!$D$2:$D$11000,"Out",OUT!$E$2:$E$11000,"Bathroom")</f>
        <v>120488</v>
      </c>
      <c r="M674" s="52">
        <f ca="1">SUMIFS(OUT!$F$2:$F$11000,OUT!$H$2:$H$11000,H674,OUT!$D$2:$D$11000,"Out",OUT!$E$2:$E$11000,"Alfa")</f>
        <v>890962</v>
      </c>
      <c r="N674" s="52" t="e">
        <f ca="1">SUMIFS(OUT!$F$2:$F$11000,OUT!$H$2:$H$101007,H674,OUT!$D$2:$D$11000,"Out",OUT!$E$2:$E$11000,"Jajan")</f>
        <v>#VALUE!</v>
      </c>
      <c r="O674" s="52">
        <f ca="1">SUMIFS(OUT!$F$2:$F$11000,OUT!$H$2:$H$11000,H674,OUT!$D$2:$D$11000,"Out",OUT!$E$2:$E$11000,"Kitchen")</f>
        <v>1152600</v>
      </c>
      <c r="P674" s="52">
        <f ca="1">SUMIFS(OUT!$F$2:$F$11000,OUT!$H$2:$H$11000,H674,OUT!$D$2:$D$11000,"Out",OUT!$E$2:$E$11000,"Loandry")</f>
        <v>41000</v>
      </c>
      <c r="Q674" s="52">
        <f ca="1">SUMIFS(OUT!$F$2:$F$11000,OUT!$H$2:$H$11000,H674,OUT!$D$2:$D$11000,"Out",OUT!$E$2:$E$11000,"Mio")</f>
        <v>895700</v>
      </c>
      <c r="R674" s="52">
        <f ca="1">SUMIFS(OUT!$F$2:$F$11000,OUT!$H$2:$H$11000,H674,OUT!$D$2:$D$11000,"Out",OUT!$E$2:$E$11000,"Sedekah")</f>
        <v>130000</v>
      </c>
      <c r="S674" s="52">
        <f ca="1">SUMIFS(OUT!$F$2:$F$11000,OUT!$H$2:$H$11000,H674,OUT!$D$2:$D$11000,"Out",OUT!$E$2:$E$11000,"Zela")</f>
        <v>215161</v>
      </c>
      <c r="T674" s="52">
        <f ca="1">SUMIFS(OUT!$F$2:$F$11000,OUT!$H$2:$H$11000,H674,OUT!$D$2:$D$11000,"Out",OUT!$E$2:$E$11000,"Iqbal")</f>
        <v>215000</v>
      </c>
    </row>
    <row r="675" spans="1:20" x14ac:dyDescent="0.2">
      <c r="A675" s="48">
        <f ca="1">IFERROR(__xludf.DUMMYFUNCTION("""COMPUTED_VALUE"""),46112)</f>
        <v>46112</v>
      </c>
      <c r="B675" s="4" t="str">
        <f ca="1">IFERROR(__xludf.DUMMYFUNCTION("""COMPUTED_VALUE"""),"Mie + roti + eskrim ")</f>
        <v xml:space="preserve">Mie + roti + eskrim </v>
      </c>
      <c r="C675" s="4" t="str">
        <f ca="1">IFERROR(__xludf.DUMMYFUNCTION("""COMPUTED_VALUE"""),"Cash")</f>
        <v>Cash</v>
      </c>
      <c r="D675" s="4" t="str">
        <f ca="1">IFERROR(__xludf.DUMMYFUNCTION("""COMPUTED_VALUE"""),"Out")</f>
        <v>Out</v>
      </c>
      <c r="E675" s="4" t="str">
        <f ca="1">IFERROR(__xludf.DUMMYFUNCTION("""COMPUTED_VALUE"""),"Jajan")</f>
        <v>Jajan</v>
      </c>
      <c r="F675" s="49">
        <f ca="1">IFERROR(__xludf.DUMMYFUNCTION("""COMPUTED_VALUE"""),23000)</f>
        <v>23000</v>
      </c>
      <c r="G675" s="50" t="str">
        <f ca="1">IFERROR(__xludf.DUMMYFUNCTION("""COMPUTED_VALUE"""),"Zela")</f>
        <v>Zela</v>
      </c>
      <c r="H675" s="51">
        <f t="shared" ca="1" si="0"/>
        <v>46082</v>
      </c>
      <c r="I675" s="52" t="e">
        <f ca="1">SUMIFS(OUT!$F$2:$F$11000,OUT!$H$2:$H$11000,H675,OUT!$D$2:$D$101007,"In")</f>
        <v>#VALUE!</v>
      </c>
      <c r="J675" s="52">
        <f ca="1">SUMIFS(OUT!$F$2:$F$11000,OUT!$H$2:$H$11000,H675,OUT!$D$2:$D$11000,"Out")</f>
        <v>12026623</v>
      </c>
      <c r="K675" s="52">
        <f ca="1">SUMIFS(OUT!$F$2:$F$11000,OUT!$H$2:$H$11000,H675,OUT!$D$2:$D$11000,"Out",OUT!$E$2:$E$11000,"Fix")</f>
        <v>2865413</v>
      </c>
      <c r="L675" s="52">
        <f ca="1">SUMIFS(OUT!$F$2:$F$11000,OUT!$H$2:$H$11000,H675,OUT!$D$2:$D$11000,"Out",OUT!$E$2:$E$11000,"Bathroom")</f>
        <v>120488</v>
      </c>
      <c r="M675" s="52">
        <f ca="1">SUMIFS(OUT!$F$2:$F$11000,OUT!$H$2:$H$11000,H675,OUT!$D$2:$D$11000,"Out",OUT!$E$2:$E$11000,"Alfa")</f>
        <v>890962</v>
      </c>
      <c r="N675" s="52" t="e">
        <f ca="1">SUMIFS(OUT!$F$2:$F$11000,OUT!$H$2:$H$101007,H675,OUT!$D$2:$D$11000,"Out",OUT!$E$2:$E$11000,"Jajan")</f>
        <v>#VALUE!</v>
      </c>
      <c r="O675" s="52">
        <f ca="1">SUMIFS(OUT!$F$2:$F$11000,OUT!$H$2:$H$11000,H675,OUT!$D$2:$D$11000,"Out",OUT!$E$2:$E$11000,"Kitchen")</f>
        <v>1152600</v>
      </c>
      <c r="P675" s="52">
        <f ca="1">SUMIFS(OUT!$F$2:$F$11000,OUT!$H$2:$H$11000,H675,OUT!$D$2:$D$11000,"Out",OUT!$E$2:$E$11000,"Loandry")</f>
        <v>41000</v>
      </c>
      <c r="Q675" s="52">
        <f ca="1">SUMIFS(OUT!$F$2:$F$11000,OUT!$H$2:$H$11000,H675,OUT!$D$2:$D$11000,"Out",OUT!$E$2:$E$11000,"Mio")</f>
        <v>895700</v>
      </c>
      <c r="R675" s="52">
        <f ca="1">SUMIFS(OUT!$F$2:$F$11000,OUT!$H$2:$H$11000,H675,OUT!$D$2:$D$11000,"Out",OUT!$E$2:$E$11000,"Sedekah")</f>
        <v>130000</v>
      </c>
      <c r="S675" s="52">
        <f ca="1">SUMIFS(OUT!$F$2:$F$11000,OUT!$H$2:$H$11000,H675,OUT!$D$2:$D$11000,"Out",OUT!$E$2:$E$11000,"Zela")</f>
        <v>215161</v>
      </c>
      <c r="T675" s="52">
        <f ca="1">SUMIFS(OUT!$F$2:$F$11000,OUT!$H$2:$H$11000,H675,OUT!$D$2:$D$11000,"Out",OUT!$E$2:$E$11000,"Iqbal")</f>
        <v>215000</v>
      </c>
    </row>
    <row r="676" spans="1:20" x14ac:dyDescent="0.2">
      <c r="A676" s="48">
        <f ca="1">IFERROR(__xludf.DUMMYFUNCTION("""COMPUTED_VALUE"""),46112)</f>
        <v>46112</v>
      </c>
      <c r="B676" s="4" t="str">
        <f ca="1">IFERROR(__xludf.DUMMYFUNCTION("""COMPUTED_VALUE"""),"Pempes Alfa ")</f>
        <v xml:space="preserve">Pempes Alfa </v>
      </c>
      <c r="C676" s="4" t="str">
        <f ca="1">IFERROR(__xludf.DUMMYFUNCTION("""COMPUTED_VALUE"""),"ATM")</f>
        <v>ATM</v>
      </c>
      <c r="D676" s="4" t="str">
        <f ca="1">IFERROR(__xludf.DUMMYFUNCTION("""COMPUTED_VALUE"""),"Out")</f>
        <v>Out</v>
      </c>
      <c r="E676" s="4" t="str">
        <f ca="1">IFERROR(__xludf.DUMMYFUNCTION("""COMPUTED_VALUE"""),"Alfa")</f>
        <v>Alfa</v>
      </c>
      <c r="F676" s="49">
        <f ca="1">IFERROR(__xludf.DUMMYFUNCTION("""COMPUTED_VALUE"""),46700)</f>
        <v>46700</v>
      </c>
      <c r="G676" s="50" t="str">
        <f ca="1">IFERROR(__xludf.DUMMYFUNCTION("""COMPUTED_VALUE"""),"Zela")</f>
        <v>Zela</v>
      </c>
      <c r="H676" s="51">
        <f t="shared" ca="1" si="0"/>
        <v>46082</v>
      </c>
      <c r="I676" s="52" t="e">
        <f ca="1">SUMIFS(OUT!$F$2:$F$11000,OUT!$H$2:$H$11000,H676,OUT!$D$2:$D$101007,"In")</f>
        <v>#VALUE!</v>
      </c>
      <c r="J676" s="52">
        <f ca="1">SUMIFS(OUT!$F$2:$F$11000,OUT!$H$2:$H$11000,H676,OUT!$D$2:$D$11000,"Out")</f>
        <v>12026623</v>
      </c>
      <c r="K676" s="52">
        <f ca="1">SUMIFS(OUT!$F$2:$F$11000,OUT!$H$2:$H$11000,H676,OUT!$D$2:$D$11000,"Out",OUT!$E$2:$E$11000,"Fix")</f>
        <v>2865413</v>
      </c>
      <c r="L676" s="52">
        <f ca="1">SUMIFS(OUT!$F$2:$F$11000,OUT!$H$2:$H$11000,H676,OUT!$D$2:$D$11000,"Out",OUT!$E$2:$E$11000,"Bathroom")</f>
        <v>120488</v>
      </c>
      <c r="M676" s="52">
        <f ca="1">SUMIFS(OUT!$F$2:$F$11000,OUT!$H$2:$H$11000,H676,OUT!$D$2:$D$11000,"Out",OUT!$E$2:$E$11000,"Alfa")</f>
        <v>890962</v>
      </c>
      <c r="N676" s="52" t="e">
        <f ca="1">SUMIFS(OUT!$F$2:$F$11000,OUT!$H$2:$H$101007,H676,OUT!$D$2:$D$11000,"Out",OUT!$E$2:$E$11000,"Jajan")</f>
        <v>#VALUE!</v>
      </c>
      <c r="O676" s="52">
        <f ca="1">SUMIFS(OUT!$F$2:$F$11000,OUT!$H$2:$H$11000,H676,OUT!$D$2:$D$11000,"Out",OUT!$E$2:$E$11000,"Kitchen")</f>
        <v>1152600</v>
      </c>
      <c r="P676" s="52">
        <f ca="1">SUMIFS(OUT!$F$2:$F$11000,OUT!$H$2:$H$11000,H676,OUT!$D$2:$D$11000,"Out",OUT!$E$2:$E$11000,"Loandry")</f>
        <v>41000</v>
      </c>
      <c r="Q676" s="52">
        <f ca="1">SUMIFS(OUT!$F$2:$F$11000,OUT!$H$2:$H$11000,H676,OUT!$D$2:$D$11000,"Out",OUT!$E$2:$E$11000,"Mio")</f>
        <v>895700</v>
      </c>
      <c r="R676" s="52">
        <f ca="1">SUMIFS(OUT!$F$2:$F$11000,OUT!$H$2:$H$11000,H676,OUT!$D$2:$D$11000,"Out",OUT!$E$2:$E$11000,"Sedekah")</f>
        <v>130000</v>
      </c>
      <c r="S676" s="52">
        <f ca="1">SUMIFS(OUT!$F$2:$F$11000,OUT!$H$2:$H$11000,H676,OUT!$D$2:$D$11000,"Out",OUT!$E$2:$E$11000,"Zela")</f>
        <v>215161</v>
      </c>
      <c r="T676" s="52">
        <f ca="1">SUMIFS(OUT!$F$2:$F$11000,OUT!$H$2:$H$11000,H676,OUT!$D$2:$D$11000,"Out",OUT!$E$2:$E$11000,"Iqbal")</f>
        <v>215000</v>
      </c>
    </row>
    <row r="677" spans="1:20" x14ac:dyDescent="0.2">
      <c r="A677" s="48">
        <f ca="1">IFERROR(__xludf.DUMMYFUNCTION("""COMPUTED_VALUE"""),46114)</f>
        <v>46114</v>
      </c>
      <c r="B677" s="4" t="str">
        <f ca="1">IFERROR(__xludf.DUMMYFUNCTION("""COMPUTED_VALUE"""),"Suamiku")</f>
        <v>Suamiku</v>
      </c>
      <c r="C677" s="4" t="str">
        <f ca="1">IFERROR(__xludf.DUMMYFUNCTION("""COMPUTED_VALUE"""),"ATM")</f>
        <v>ATM</v>
      </c>
      <c r="D677" s="4" t="str">
        <f ca="1">IFERROR(__xludf.DUMMYFUNCTION("""COMPUTED_VALUE"""),"In")</f>
        <v>In</v>
      </c>
      <c r="E677" s="4" t="str">
        <f ca="1">IFERROR(__xludf.DUMMYFUNCTION("""COMPUTED_VALUE"""),"Fix")</f>
        <v>Fix</v>
      </c>
      <c r="F677" s="49">
        <f ca="1">IFERROR(__xludf.DUMMYFUNCTION("""COMPUTED_VALUE"""),1720088)</f>
        <v>1720088</v>
      </c>
      <c r="G677" s="50" t="str">
        <f ca="1">IFERROR(__xludf.DUMMYFUNCTION("""COMPUTED_VALUE"""),"Zela")</f>
        <v>Zela</v>
      </c>
      <c r="H677" s="51">
        <f t="shared" ca="1" si="0"/>
        <v>46113</v>
      </c>
      <c r="I677" s="52" t="e">
        <f ca="1">SUMIFS(OUT!$F$2:$F$11000,OUT!$H$2:$H$11000,H677,OUT!$D$2:$D$101007,"In")</f>
        <v>#VALUE!</v>
      </c>
      <c r="J677" s="52">
        <f ca="1">SUMIFS(OUT!$F$2:$F$11000,OUT!$H$2:$H$11000,H677,OUT!$D$2:$D$11000,"Out")</f>
        <v>8253441</v>
      </c>
      <c r="K677" s="52">
        <f ca="1">SUMIFS(OUT!$F$2:$F$11000,OUT!$H$2:$H$11000,H677,OUT!$D$2:$D$11000,"Out",OUT!$E$2:$E$11000,"Fix")</f>
        <v>2554300</v>
      </c>
      <c r="L677" s="52">
        <f ca="1">SUMIFS(OUT!$F$2:$F$11000,OUT!$H$2:$H$11000,H677,OUT!$D$2:$D$11000,"Out",OUT!$E$2:$E$11000,"Bathroom")</f>
        <v>19900</v>
      </c>
      <c r="M677" s="52">
        <f ca="1">SUMIFS(OUT!$F$2:$F$11000,OUT!$H$2:$H$11000,H677,OUT!$D$2:$D$11000,"Out",OUT!$E$2:$E$11000,"Alfa")</f>
        <v>282719</v>
      </c>
      <c r="N677" s="52" t="e">
        <f ca="1">SUMIFS(OUT!$F$2:$F$11000,OUT!$H$2:$H$101007,H677,OUT!$D$2:$D$11000,"Out",OUT!$E$2:$E$11000,"Jajan")</f>
        <v>#VALUE!</v>
      </c>
      <c r="O677" s="52">
        <f ca="1">SUMIFS(OUT!$F$2:$F$11000,OUT!$H$2:$H$11000,H677,OUT!$D$2:$D$11000,"Out",OUT!$E$2:$E$11000,"Kitchen")</f>
        <v>964968</v>
      </c>
      <c r="P677" s="52">
        <f ca="1">SUMIFS(OUT!$F$2:$F$11000,OUT!$H$2:$H$11000,H677,OUT!$D$2:$D$11000,"Out",OUT!$E$2:$E$11000,"Loandry")</f>
        <v>58396</v>
      </c>
      <c r="Q677" s="52">
        <f ca="1">SUMIFS(OUT!$F$2:$F$11000,OUT!$H$2:$H$11000,H677,OUT!$D$2:$D$11000,"Out",OUT!$E$2:$E$11000,"Mio")</f>
        <v>181000</v>
      </c>
      <c r="R677" s="52">
        <f ca="1">SUMIFS(OUT!$F$2:$F$11000,OUT!$H$2:$H$11000,H677,OUT!$D$2:$D$11000,"Out",OUT!$E$2:$E$11000,"Sedekah")</f>
        <v>0</v>
      </c>
      <c r="S677" s="52">
        <f ca="1">SUMIFS(OUT!$F$2:$F$11000,OUT!$H$2:$H$11000,H677,OUT!$D$2:$D$11000,"Out",OUT!$E$2:$E$11000,"Zela")</f>
        <v>90500</v>
      </c>
      <c r="T677" s="52">
        <f ca="1">SUMIFS(OUT!$F$2:$F$11000,OUT!$H$2:$H$11000,H677,OUT!$D$2:$D$11000,"Out",OUT!$E$2:$E$11000,"Iqbal")</f>
        <v>74070</v>
      </c>
    </row>
    <row r="678" spans="1:20" x14ac:dyDescent="0.2">
      <c r="A678" s="48">
        <f ca="1">IFERROR(__xludf.DUMMYFUNCTION("""COMPUTED_VALUE"""),46114)</f>
        <v>46114</v>
      </c>
      <c r="B678" s="4" t="str">
        <f ca="1">IFERROR(__xludf.DUMMYFUNCTION("""COMPUTED_VALUE"""),"Galon ")</f>
        <v xml:space="preserve">Galon </v>
      </c>
      <c r="C678" s="4" t="str">
        <f ca="1">IFERROR(__xludf.DUMMYFUNCTION("""COMPUTED_VALUE"""),"Cash")</f>
        <v>Cash</v>
      </c>
      <c r="D678" s="4" t="str">
        <f ca="1">IFERROR(__xludf.DUMMYFUNCTION("""COMPUTED_VALUE"""),"Out")</f>
        <v>Out</v>
      </c>
      <c r="E678" s="4" t="str">
        <f ca="1">IFERROR(__xludf.DUMMYFUNCTION("""COMPUTED_VALUE"""),"Kitchen")</f>
        <v>Kitchen</v>
      </c>
      <c r="F678" s="49">
        <f ca="1">IFERROR(__xludf.DUMMYFUNCTION("""COMPUTED_VALUE"""),3300)</f>
        <v>3300</v>
      </c>
      <c r="G678" s="50" t="str">
        <f ca="1">IFERROR(__xludf.DUMMYFUNCTION("""COMPUTED_VALUE"""),"Zela")</f>
        <v>Zela</v>
      </c>
      <c r="H678" s="51">
        <f t="shared" ca="1" si="0"/>
        <v>46113</v>
      </c>
      <c r="I678" s="52" t="e">
        <f ca="1">SUMIFS(OUT!$F$2:$F$11000,OUT!$H$2:$H$11000,H678,OUT!$D$2:$D$101007,"In")</f>
        <v>#VALUE!</v>
      </c>
      <c r="J678" s="52">
        <f ca="1">SUMIFS(OUT!$F$2:$F$11000,OUT!$H$2:$H$11000,H678,OUT!$D$2:$D$11000,"Out")</f>
        <v>8253441</v>
      </c>
      <c r="K678" s="52">
        <f ca="1">SUMIFS(OUT!$F$2:$F$11000,OUT!$H$2:$H$11000,H678,OUT!$D$2:$D$11000,"Out",OUT!$E$2:$E$11000,"Fix")</f>
        <v>2554300</v>
      </c>
      <c r="L678" s="52">
        <f ca="1">SUMIFS(OUT!$F$2:$F$11000,OUT!$H$2:$H$11000,H678,OUT!$D$2:$D$11000,"Out",OUT!$E$2:$E$11000,"Bathroom")</f>
        <v>19900</v>
      </c>
      <c r="M678" s="52">
        <f ca="1">SUMIFS(OUT!$F$2:$F$11000,OUT!$H$2:$H$11000,H678,OUT!$D$2:$D$11000,"Out",OUT!$E$2:$E$11000,"Alfa")</f>
        <v>282719</v>
      </c>
      <c r="N678" s="52" t="e">
        <f ca="1">SUMIFS(OUT!$F$2:$F$11000,OUT!$H$2:$H$101007,H678,OUT!$D$2:$D$11000,"Out",OUT!$E$2:$E$11000,"Jajan")</f>
        <v>#VALUE!</v>
      </c>
      <c r="O678" s="52">
        <f ca="1">SUMIFS(OUT!$F$2:$F$11000,OUT!$H$2:$H$11000,H678,OUT!$D$2:$D$11000,"Out",OUT!$E$2:$E$11000,"Kitchen")</f>
        <v>964968</v>
      </c>
      <c r="P678" s="52">
        <f ca="1">SUMIFS(OUT!$F$2:$F$11000,OUT!$H$2:$H$11000,H678,OUT!$D$2:$D$11000,"Out",OUT!$E$2:$E$11000,"Loandry")</f>
        <v>58396</v>
      </c>
      <c r="Q678" s="52">
        <f ca="1">SUMIFS(OUT!$F$2:$F$11000,OUT!$H$2:$H$11000,H678,OUT!$D$2:$D$11000,"Out",OUT!$E$2:$E$11000,"Mio")</f>
        <v>181000</v>
      </c>
      <c r="R678" s="52">
        <f ca="1">SUMIFS(OUT!$F$2:$F$11000,OUT!$H$2:$H$11000,H678,OUT!$D$2:$D$11000,"Out",OUT!$E$2:$E$11000,"Sedekah")</f>
        <v>0</v>
      </c>
      <c r="S678" s="52">
        <f ca="1">SUMIFS(OUT!$F$2:$F$11000,OUT!$H$2:$H$11000,H678,OUT!$D$2:$D$11000,"Out",OUT!$E$2:$E$11000,"Zela")</f>
        <v>90500</v>
      </c>
      <c r="T678" s="52">
        <f ca="1">SUMIFS(OUT!$F$2:$F$11000,OUT!$H$2:$H$11000,H678,OUT!$D$2:$D$11000,"Out",OUT!$E$2:$E$11000,"Iqbal")</f>
        <v>74070</v>
      </c>
    </row>
    <row r="679" spans="1:20" x14ac:dyDescent="0.2">
      <c r="A679" s="48">
        <f ca="1">IFERROR(__xludf.DUMMYFUNCTION("""COMPUTED_VALUE"""),46115)</f>
        <v>46115</v>
      </c>
      <c r="B679" s="4" t="str">
        <f ca="1">IFERROR(__xludf.DUMMYFUNCTION("""COMPUTED_VALUE"""),"Tisu kering")</f>
        <v>Tisu kering</v>
      </c>
      <c r="C679" s="4" t="str">
        <f ca="1">IFERROR(__xludf.DUMMYFUNCTION("""COMPUTED_VALUE"""),"ATM")</f>
        <v>ATM</v>
      </c>
      <c r="D679" s="4" t="str">
        <f ca="1">IFERROR(__xludf.DUMMYFUNCTION("""COMPUTED_VALUE"""),"Out")</f>
        <v>Out</v>
      </c>
      <c r="E679" s="4" t="str">
        <f ca="1">IFERROR(__xludf.DUMMYFUNCTION("""COMPUTED_VALUE"""),"Kitchen")</f>
        <v>Kitchen</v>
      </c>
      <c r="F679" s="49">
        <f ca="1">IFERROR(__xludf.DUMMYFUNCTION("""COMPUTED_VALUE"""),34868)</f>
        <v>34868</v>
      </c>
      <c r="G679" s="50" t="str">
        <f ca="1">IFERROR(__xludf.DUMMYFUNCTION("""COMPUTED_VALUE"""),"Zela")</f>
        <v>Zela</v>
      </c>
      <c r="H679" s="51">
        <f t="shared" ca="1" si="0"/>
        <v>46113</v>
      </c>
      <c r="I679" s="52" t="e">
        <f ca="1">SUMIFS(OUT!$F$2:$F$11000,OUT!$H$2:$H$11000,H679,OUT!$D$2:$D$101007,"In")</f>
        <v>#VALUE!</v>
      </c>
      <c r="J679" s="52">
        <f ca="1">SUMIFS(OUT!$F$2:$F$11000,OUT!$H$2:$H$11000,H679,OUT!$D$2:$D$11000,"Out")</f>
        <v>8253441</v>
      </c>
      <c r="K679" s="52">
        <f ca="1">SUMIFS(OUT!$F$2:$F$11000,OUT!$H$2:$H$11000,H679,OUT!$D$2:$D$11000,"Out",OUT!$E$2:$E$11000,"Fix")</f>
        <v>2554300</v>
      </c>
      <c r="L679" s="52">
        <f ca="1">SUMIFS(OUT!$F$2:$F$11000,OUT!$H$2:$H$11000,H679,OUT!$D$2:$D$11000,"Out",OUT!$E$2:$E$11000,"Bathroom")</f>
        <v>19900</v>
      </c>
      <c r="M679" s="52">
        <f ca="1">SUMIFS(OUT!$F$2:$F$11000,OUT!$H$2:$H$11000,H679,OUT!$D$2:$D$11000,"Out",OUT!$E$2:$E$11000,"Alfa")</f>
        <v>282719</v>
      </c>
      <c r="N679" s="52" t="e">
        <f ca="1">SUMIFS(OUT!$F$2:$F$11000,OUT!$H$2:$H$101007,H679,OUT!$D$2:$D$11000,"Out",OUT!$E$2:$E$11000,"Jajan")</f>
        <v>#VALUE!</v>
      </c>
      <c r="O679" s="52">
        <f ca="1">SUMIFS(OUT!$F$2:$F$11000,OUT!$H$2:$H$11000,H679,OUT!$D$2:$D$11000,"Out",OUT!$E$2:$E$11000,"Kitchen")</f>
        <v>964968</v>
      </c>
      <c r="P679" s="52">
        <f ca="1">SUMIFS(OUT!$F$2:$F$11000,OUT!$H$2:$H$11000,H679,OUT!$D$2:$D$11000,"Out",OUT!$E$2:$E$11000,"Loandry")</f>
        <v>58396</v>
      </c>
      <c r="Q679" s="52">
        <f ca="1">SUMIFS(OUT!$F$2:$F$11000,OUT!$H$2:$H$11000,H679,OUT!$D$2:$D$11000,"Out",OUT!$E$2:$E$11000,"Mio")</f>
        <v>181000</v>
      </c>
      <c r="R679" s="52">
        <f ca="1">SUMIFS(OUT!$F$2:$F$11000,OUT!$H$2:$H$11000,H679,OUT!$D$2:$D$11000,"Out",OUT!$E$2:$E$11000,"Sedekah")</f>
        <v>0</v>
      </c>
      <c r="S679" s="52">
        <f ca="1">SUMIFS(OUT!$F$2:$F$11000,OUT!$H$2:$H$11000,H679,OUT!$D$2:$D$11000,"Out",OUT!$E$2:$E$11000,"Zela")</f>
        <v>90500</v>
      </c>
      <c r="T679" s="52">
        <f ca="1">SUMIFS(OUT!$F$2:$F$11000,OUT!$H$2:$H$11000,H679,OUT!$D$2:$D$11000,"Out",OUT!$E$2:$E$11000,"Iqbal")</f>
        <v>74070</v>
      </c>
    </row>
    <row r="680" spans="1:20" x14ac:dyDescent="0.2">
      <c r="A680" s="48">
        <f ca="1">IFERROR(__xludf.DUMMYFUNCTION("""COMPUTED_VALUE"""),46115)</f>
        <v>46115</v>
      </c>
      <c r="B680" s="4" t="str">
        <f ca="1">IFERROR(__xludf.DUMMYFUNCTION("""COMPUTED_VALUE"""),"Tisu Basah")</f>
        <v>Tisu Basah</v>
      </c>
      <c r="C680" s="4" t="str">
        <f ca="1">IFERROR(__xludf.DUMMYFUNCTION("""COMPUTED_VALUE"""),"ATM")</f>
        <v>ATM</v>
      </c>
      <c r="D680" s="4" t="str">
        <f ca="1">IFERROR(__xludf.DUMMYFUNCTION("""COMPUTED_VALUE"""),"Out")</f>
        <v>Out</v>
      </c>
      <c r="E680" s="4" t="str">
        <f ca="1">IFERROR(__xludf.DUMMYFUNCTION("""COMPUTED_VALUE"""),"Alfa")</f>
        <v>Alfa</v>
      </c>
      <c r="F680" s="49">
        <f ca="1">IFERROR(__xludf.DUMMYFUNCTION("""COMPUTED_VALUE"""),16352)</f>
        <v>16352</v>
      </c>
      <c r="G680" s="50" t="str">
        <f ca="1">IFERROR(__xludf.DUMMYFUNCTION("""COMPUTED_VALUE"""),"Zela")</f>
        <v>Zela</v>
      </c>
      <c r="H680" s="51">
        <f t="shared" ca="1" si="0"/>
        <v>46113</v>
      </c>
      <c r="I680" s="52" t="e">
        <f ca="1">SUMIFS(OUT!$F$2:$F$11000,OUT!$H$2:$H$11000,H680,OUT!$D$2:$D$101007,"In")</f>
        <v>#VALUE!</v>
      </c>
      <c r="J680" s="52">
        <f ca="1">SUMIFS(OUT!$F$2:$F$11000,OUT!$H$2:$H$11000,H680,OUT!$D$2:$D$11000,"Out")</f>
        <v>8253441</v>
      </c>
      <c r="K680" s="52">
        <f ca="1">SUMIFS(OUT!$F$2:$F$11000,OUT!$H$2:$H$11000,H680,OUT!$D$2:$D$11000,"Out",OUT!$E$2:$E$11000,"Fix")</f>
        <v>2554300</v>
      </c>
      <c r="L680" s="52">
        <f ca="1">SUMIFS(OUT!$F$2:$F$11000,OUT!$H$2:$H$11000,H680,OUT!$D$2:$D$11000,"Out",OUT!$E$2:$E$11000,"Bathroom")</f>
        <v>19900</v>
      </c>
      <c r="M680" s="52">
        <f ca="1">SUMIFS(OUT!$F$2:$F$11000,OUT!$H$2:$H$11000,H680,OUT!$D$2:$D$11000,"Out",OUT!$E$2:$E$11000,"Alfa")</f>
        <v>282719</v>
      </c>
      <c r="N680" s="52" t="e">
        <f ca="1">SUMIFS(OUT!$F$2:$F$11000,OUT!$H$2:$H$101007,H680,OUT!$D$2:$D$11000,"Out",OUT!$E$2:$E$11000,"Jajan")</f>
        <v>#VALUE!</v>
      </c>
      <c r="O680" s="52">
        <f ca="1">SUMIFS(OUT!$F$2:$F$11000,OUT!$H$2:$H$11000,H680,OUT!$D$2:$D$11000,"Out",OUT!$E$2:$E$11000,"Kitchen")</f>
        <v>964968</v>
      </c>
      <c r="P680" s="52">
        <f ca="1">SUMIFS(OUT!$F$2:$F$11000,OUT!$H$2:$H$11000,H680,OUT!$D$2:$D$11000,"Out",OUT!$E$2:$E$11000,"Loandry")</f>
        <v>58396</v>
      </c>
      <c r="Q680" s="52">
        <f ca="1">SUMIFS(OUT!$F$2:$F$11000,OUT!$H$2:$H$11000,H680,OUT!$D$2:$D$11000,"Out",OUT!$E$2:$E$11000,"Mio")</f>
        <v>181000</v>
      </c>
      <c r="R680" s="52">
        <f ca="1">SUMIFS(OUT!$F$2:$F$11000,OUT!$H$2:$H$11000,H680,OUT!$D$2:$D$11000,"Out",OUT!$E$2:$E$11000,"Sedekah")</f>
        <v>0</v>
      </c>
      <c r="S680" s="52">
        <f ca="1">SUMIFS(OUT!$F$2:$F$11000,OUT!$H$2:$H$11000,H680,OUT!$D$2:$D$11000,"Out",OUT!$E$2:$E$11000,"Zela")</f>
        <v>90500</v>
      </c>
      <c r="T680" s="52">
        <f ca="1">SUMIFS(OUT!$F$2:$F$11000,OUT!$H$2:$H$11000,H680,OUT!$D$2:$D$11000,"Out",OUT!$E$2:$E$11000,"Iqbal")</f>
        <v>74070</v>
      </c>
    </row>
    <row r="681" spans="1:20" x14ac:dyDescent="0.2">
      <c r="A681" s="48">
        <f ca="1">IFERROR(__xludf.DUMMYFUNCTION("""COMPUTED_VALUE"""),46115)</f>
        <v>46115</v>
      </c>
      <c r="B681" s="4" t="str">
        <f ca="1">IFERROR(__xludf.DUMMYFUNCTION("""COMPUTED_VALUE"""),"Tarik Tunai ")</f>
        <v xml:space="preserve">Tarik Tunai </v>
      </c>
      <c r="C681" s="4" t="str">
        <f ca="1">IFERROR(__xludf.DUMMYFUNCTION("""COMPUTED_VALUE"""),"ATM")</f>
        <v>ATM</v>
      </c>
      <c r="D681" s="4" t="str">
        <f ca="1">IFERROR(__xludf.DUMMYFUNCTION("""COMPUTED_VALUE"""),"Out")</f>
        <v>Out</v>
      </c>
      <c r="E681" s="4" t="str">
        <f ca="1">IFERROR(__xludf.DUMMYFUNCTION("""COMPUTED_VALUE"""),"Move")</f>
        <v>Move</v>
      </c>
      <c r="F681" s="49">
        <f ca="1">IFERROR(__xludf.DUMMYFUNCTION("""COMPUTED_VALUE"""),400000)</f>
        <v>400000</v>
      </c>
      <c r="G681" s="50" t="str">
        <f ca="1">IFERROR(__xludf.DUMMYFUNCTION("""COMPUTED_VALUE"""),"Zela")</f>
        <v>Zela</v>
      </c>
      <c r="H681" s="51">
        <f t="shared" ca="1" si="0"/>
        <v>46113</v>
      </c>
      <c r="I681" s="52" t="e">
        <f ca="1">SUMIFS(OUT!$F$2:$F$11000,OUT!$H$2:$H$11000,H681,OUT!$D$2:$D$101007,"In")</f>
        <v>#VALUE!</v>
      </c>
      <c r="J681" s="52">
        <f ca="1">SUMIFS(OUT!$F$2:$F$11000,OUT!$H$2:$H$11000,H681,OUT!$D$2:$D$11000,"Out")</f>
        <v>8253441</v>
      </c>
      <c r="K681" s="52">
        <f ca="1">SUMIFS(OUT!$F$2:$F$11000,OUT!$H$2:$H$11000,H681,OUT!$D$2:$D$11000,"Out",OUT!$E$2:$E$11000,"Fix")</f>
        <v>2554300</v>
      </c>
      <c r="L681" s="52">
        <f ca="1">SUMIFS(OUT!$F$2:$F$11000,OUT!$H$2:$H$11000,H681,OUT!$D$2:$D$11000,"Out",OUT!$E$2:$E$11000,"Bathroom")</f>
        <v>19900</v>
      </c>
      <c r="M681" s="52">
        <f ca="1">SUMIFS(OUT!$F$2:$F$11000,OUT!$H$2:$H$11000,H681,OUT!$D$2:$D$11000,"Out",OUT!$E$2:$E$11000,"Alfa")</f>
        <v>282719</v>
      </c>
      <c r="N681" s="52" t="e">
        <f ca="1">SUMIFS(OUT!$F$2:$F$11000,OUT!$H$2:$H$101007,H681,OUT!$D$2:$D$11000,"Out",OUT!$E$2:$E$11000,"Jajan")</f>
        <v>#VALUE!</v>
      </c>
      <c r="O681" s="52">
        <f ca="1">SUMIFS(OUT!$F$2:$F$11000,OUT!$H$2:$H$11000,H681,OUT!$D$2:$D$11000,"Out",OUT!$E$2:$E$11000,"Kitchen")</f>
        <v>964968</v>
      </c>
      <c r="P681" s="52">
        <f ca="1">SUMIFS(OUT!$F$2:$F$11000,OUT!$H$2:$H$11000,H681,OUT!$D$2:$D$11000,"Out",OUT!$E$2:$E$11000,"Loandry")</f>
        <v>58396</v>
      </c>
      <c r="Q681" s="52">
        <f ca="1">SUMIFS(OUT!$F$2:$F$11000,OUT!$H$2:$H$11000,H681,OUT!$D$2:$D$11000,"Out",OUT!$E$2:$E$11000,"Mio")</f>
        <v>181000</v>
      </c>
      <c r="R681" s="52">
        <f ca="1">SUMIFS(OUT!$F$2:$F$11000,OUT!$H$2:$H$11000,H681,OUT!$D$2:$D$11000,"Out",OUT!$E$2:$E$11000,"Sedekah")</f>
        <v>0</v>
      </c>
      <c r="S681" s="52">
        <f ca="1">SUMIFS(OUT!$F$2:$F$11000,OUT!$H$2:$H$11000,H681,OUT!$D$2:$D$11000,"Out",OUT!$E$2:$E$11000,"Zela")</f>
        <v>90500</v>
      </c>
      <c r="T681" s="52">
        <f ca="1">SUMIFS(OUT!$F$2:$F$11000,OUT!$H$2:$H$11000,H681,OUT!$D$2:$D$11000,"Out",OUT!$E$2:$E$11000,"Iqbal")</f>
        <v>74070</v>
      </c>
    </row>
    <row r="682" spans="1:20" x14ac:dyDescent="0.2">
      <c r="A682" s="48">
        <f ca="1">IFERROR(__xludf.DUMMYFUNCTION("""COMPUTED_VALUE"""),46115)</f>
        <v>46115</v>
      </c>
      <c r="B682" s="4" t="str">
        <f ca="1">IFERROR(__xludf.DUMMYFUNCTION("""COMPUTED_VALUE"""),"Terima Tunai ")</f>
        <v xml:space="preserve">Terima Tunai </v>
      </c>
      <c r="C682" s="4" t="str">
        <f ca="1">IFERROR(__xludf.DUMMYFUNCTION("""COMPUTED_VALUE"""),"Cash")</f>
        <v>Cash</v>
      </c>
      <c r="D682" s="4" t="str">
        <f ca="1">IFERROR(__xludf.DUMMYFUNCTION("""COMPUTED_VALUE"""),"In")</f>
        <v>In</v>
      </c>
      <c r="E682" s="4" t="str">
        <f ca="1">IFERROR(__xludf.DUMMYFUNCTION("""COMPUTED_VALUE"""),"Move")</f>
        <v>Move</v>
      </c>
      <c r="F682" s="49">
        <f ca="1">IFERROR(__xludf.DUMMYFUNCTION("""COMPUTED_VALUE"""),400000)</f>
        <v>400000</v>
      </c>
      <c r="G682" s="50" t="str">
        <f ca="1">IFERROR(__xludf.DUMMYFUNCTION("""COMPUTED_VALUE"""),"Zela")</f>
        <v>Zela</v>
      </c>
      <c r="H682" s="51">
        <f t="shared" ca="1" si="0"/>
        <v>46113</v>
      </c>
      <c r="I682" s="52" t="e">
        <f ca="1">SUMIFS(OUT!$F$2:$F$11000,OUT!$H$2:$H$11000,H682,OUT!$D$2:$D$101007,"In")</f>
        <v>#VALUE!</v>
      </c>
      <c r="J682" s="52">
        <f ca="1">SUMIFS(OUT!$F$2:$F$11000,OUT!$H$2:$H$11000,H682,OUT!$D$2:$D$11000,"Out")</f>
        <v>8253441</v>
      </c>
      <c r="K682" s="52">
        <f ca="1">SUMIFS(OUT!$F$2:$F$11000,OUT!$H$2:$H$11000,H682,OUT!$D$2:$D$11000,"Out",OUT!$E$2:$E$11000,"Fix")</f>
        <v>2554300</v>
      </c>
      <c r="L682" s="52">
        <f ca="1">SUMIFS(OUT!$F$2:$F$11000,OUT!$H$2:$H$11000,H682,OUT!$D$2:$D$11000,"Out",OUT!$E$2:$E$11000,"Bathroom")</f>
        <v>19900</v>
      </c>
      <c r="M682" s="52">
        <f ca="1">SUMIFS(OUT!$F$2:$F$11000,OUT!$H$2:$H$11000,H682,OUT!$D$2:$D$11000,"Out",OUT!$E$2:$E$11000,"Alfa")</f>
        <v>282719</v>
      </c>
      <c r="N682" s="52" t="e">
        <f ca="1">SUMIFS(OUT!$F$2:$F$11000,OUT!$H$2:$H$101007,H682,OUT!$D$2:$D$11000,"Out",OUT!$E$2:$E$11000,"Jajan")</f>
        <v>#VALUE!</v>
      </c>
      <c r="O682" s="52">
        <f ca="1">SUMIFS(OUT!$F$2:$F$11000,OUT!$H$2:$H$11000,H682,OUT!$D$2:$D$11000,"Out",OUT!$E$2:$E$11000,"Kitchen")</f>
        <v>964968</v>
      </c>
      <c r="P682" s="52">
        <f ca="1">SUMIFS(OUT!$F$2:$F$11000,OUT!$H$2:$H$11000,H682,OUT!$D$2:$D$11000,"Out",OUT!$E$2:$E$11000,"Loandry")</f>
        <v>58396</v>
      </c>
      <c r="Q682" s="52">
        <f ca="1">SUMIFS(OUT!$F$2:$F$11000,OUT!$H$2:$H$11000,H682,OUT!$D$2:$D$11000,"Out",OUT!$E$2:$E$11000,"Mio")</f>
        <v>181000</v>
      </c>
      <c r="R682" s="52">
        <f ca="1">SUMIFS(OUT!$F$2:$F$11000,OUT!$H$2:$H$11000,H682,OUT!$D$2:$D$11000,"Out",OUT!$E$2:$E$11000,"Sedekah")</f>
        <v>0</v>
      </c>
      <c r="S682" s="52">
        <f ca="1">SUMIFS(OUT!$F$2:$F$11000,OUT!$H$2:$H$11000,H682,OUT!$D$2:$D$11000,"Out",OUT!$E$2:$E$11000,"Zela")</f>
        <v>90500</v>
      </c>
      <c r="T682" s="52">
        <f ca="1">SUMIFS(OUT!$F$2:$F$11000,OUT!$H$2:$H$11000,H682,OUT!$D$2:$D$11000,"Out",OUT!$E$2:$E$11000,"Iqbal")</f>
        <v>74070</v>
      </c>
    </row>
    <row r="683" spans="1:20" x14ac:dyDescent="0.2">
      <c r="A683" s="48">
        <f ca="1">IFERROR(__xludf.DUMMYFUNCTION("""COMPUTED_VALUE"""),46115)</f>
        <v>46115</v>
      </c>
      <c r="B683" s="4" t="str">
        <f ca="1">IFERROR(__xludf.DUMMYFUNCTION("""COMPUTED_VALUE"""),"Rexona ")</f>
        <v xml:space="preserve">Rexona </v>
      </c>
      <c r="C683" s="4" t="str">
        <f ca="1">IFERROR(__xludf.DUMMYFUNCTION("""COMPUTED_VALUE"""),"Cash")</f>
        <v>Cash</v>
      </c>
      <c r="D683" s="4" t="str">
        <f ca="1">IFERROR(__xludf.DUMMYFUNCTION("""COMPUTED_VALUE"""),"Out")</f>
        <v>Out</v>
      </c>
      <c r="E683" s="4" t="str">
        <f ca="1">IFERROR(__xludf.DUMMYFUNCTION("""COMPUTED_VALUE"""),"Zela")</f>
        <v>Zela</v>
      </c>
      <c r="F683" s="49">
        <f ca="1">IFERROR(__xludf.DUMMYFUNCTION("""COMPUTED_VALUE"""),14000)</f>
        <v>14000</v>
      </c>
      <c r="G683" s="50" t="str">
        <f ca="1">IFERROR(__xludf.DUMMYFUNCTION("""COMPUTED_VALUE"""),"Zela")</f>
        <v>Zela</v>
      </c>
      <c r="H683" s="51">
        <f t="shared" ca="1" si="0"/>
        <v>46113</v>
      </c>
      <c r="I683" s="52" t="e">
        <f ca="1">SUMIFS(OUT!$F$2:$F$11000,OUT!$H$2:$H$11000,H683,OUT!$D$2:$D$101007,"In")</f>
        <v>#VALUE!</v>
      </c>
      <c r="J683" s="52">
        <f ca="1">SUMIFS(OUT!$F$2:$F$11000,OUT!$H$2:$H$11000,H683,OUT!$D$2:$D$11000,"Out")</f>
        <v>8253441</v>
      </c>
      <c r="K683" s="52">
        <f ca="1">SUMIFS(OUT!$F$2:$F$11000,OUT!$H$2:$H$11000,H683,OUT!$D$2:$D$11000,"Out",OUT!$E$2:$E$11000,"Fix")</f>
        <v>2554300</v>
      </c>
      <c r="L683" s="52">
        <f ca="1">SUMIFS(OUT!$F$2:$F$11000,OUT!$H$2:$H$11000,H683,OUT!$D$2:$D$11000,"Out",OUT!$E$2:$E$11000,"Bathroom")</f>
        <v>19900</v>
      </c>
      <c r="M683" s="52">
        <f ca="1">SUMIFS(OUT!$F$2:$F$11000,OUT!$H$2:$H$11000,H683,OUT!$D$2:$D$11000,"Out",OUT!$E$2:$E$11000,"Alfa")</f>
        <v>282719</v>
      </c>
      <c r="N683" s="52" t="e">
        <f ca="1">SUMIFS(OUT!$F$2:$F$11000,OUT!$H$2:$H$101007,H683,OUT!$D$2:$D$11000,"Out",OUT!$E$2:$E$11000,"Jajan")</f>
        <v>#VALUE!</v>
      </c>
      <c r="O683" s="52">
        <f ca="1">SUMIFS(OUT!$F$2:$F$11000,OUT!$H$2:$H$11000,H683,OUT!$D$2:$D$11000,"Out",OUT!$E$2:$E$11000,"Kitchen")</f>
        <v>964968</v>
      </c>
      <c r="P683" s="52">
        <f ca="1">SUMIFS(OUT!$F$2:$F$11000,OUT!$H$2:$H$11000,H683,OUT!$D$2:$D$11000,"Out",OUT!$E$2:$E$11000,"Loandry")</f>
        <v>58396</v>
      </c>
      <c r="Q683" s="52">
        <f ca="1">SUMIFS(OUT!$F$2:$F$11000,OUT!$H$2:$H$11000,H683,OUT!$D$2:$D$11000,"Out",OUT!$E$2:$E$11000,"Mio")</f>
        <v>181000</v>
      </c>
      <c r="R683" s="52">
        <f ca="1">SUMIFS(OUT!$F$2:$F$11000,OUT!$H$2:$H$11000,H683,OUT!$D$2:$D$11000,"Out",OUT!$E$2:$E$11000,"Sedekah")</f>
        <v>0</v>
      </c>
      <c r="S683" s="52">
        <f ca="1">SUMIFS(OUT!$F$2:$F$11000,OUT!$H$2:$H$11000,H683,OUT!$D$2:$D$11000,"Out",OUT!$E$2:$E$11000,"Zela")</f>
        <v>90500</v>
      </c>
      <c r="T683" s="52">
        <f ca="1">SUMIFS(OUT!$F$2:$F$11000,OUT!$H$2:$H$11000,H683,OUT!$D$2:$D$11000,"Out",OUT!$E$2:$E$11000,"Iqbal")</f>
        <v>74070</v>
      </c>
    </row>
    <row r="684" spans="1:20" x14ac:dyDescent="0.2">
      <c r="A684" s="48">
        <f ca="1">IFERROR(__xludf.DUMMYFUNCTION("""COMPUTED_VALUE"""),46115)</f>
        <v>46115</v>
      </c>
      <c r="B684" s="4" t="str">
        <f ca="1">IFERROR(__xludf.DUMMYFUNCTION("""COMPUTED_VALUE"""),"Nasi Ramas 3")</f>
        <v>Nasi Ramas 3</v>
      </c>
      <c r="C684" s="4" t="str">
        <f ca="1">IFERROR(__xludf.DUMMYFUNCTION("""COMPUTED_VALUE"""),"Cash")</f>
        <v>Cash</v>
      </c>
      <c r="D684" s="4" t="str">
        <f ca="1">IFERROR(__xludf.DUMMYFUNCTION("""COMPUTED_VALUE"""),"Out")</f>
        <v>Out</v>
      </c>
      <c r="E684" s="4" t="str">
        <f ca="1">IFERROR(__xludf.DUMMYFUNCTION("""COMPUTED_VALUE"""),"Kitchen")</f>
        <v>Kitchen</v>
      </c>
      <c r="F684" s="49">
        <f ca="1">IFERROR(__xludf.DUMMYFUNCTION("""COMPUTED_VALUE"""),34000)</f>
        <v>34000</v>
      </c>
      <c r="G684" s="50" t="str">
        <f ca="1">IFERROR(__xludf.DUMMYFUNCTION("""COMPUTED_VALUE"""),"Zela")</f>
        <v>Zela</v>
      </c>
      <c r="H684" s="51">
        <f t="shared" ca="1" si="0"/>
        <v>46113</v>
      </c>
      <c r="I684" s="52" t="e">
        <f ca="1">SUMIFS(OUT!$F$2:$F$11000,OUT!$H$2:$H$11000,H684,OUT!$D$2:$D$101007,"In")</f>
        <v>#VALUE!</v>
      </c>
      <c r="J684" s="52">
        <f ca="1">SUMIFS(OUT!$F$2:$F$11000,OUT!$H$2:$H$11000,H684,OUT!$D$2:$D$11000,"Out")</f>
        <v>8253441</v>
      </c>
      <c r="K684" s="52">
        <f ca="1">SUMIFS(OUT!$F$2:$F$11000,OUT!$H$2:$H$11000,H684,OUT!$D$2:$D$11000,"Out",OUT!$E$2:$E$11000,"Fix")</f>
        <v>2554300</v>
      </c>
      <c r="L684" s="52">
        <f ca="1">SUMIFS(OUT!$F$2:$F$11000,OUT!$H$2:$H$11000,H684,OUT!$D$2:$D$11000,"Out",OUT!$E$2:$E$11000,"Bathroom")</f>
        <v>19900</v>
      </c>
      <c r="M684" s="52">
        <f ca="1">SUMIFS(OUT!$F$2:$F$11000,OUT!$H$2:$H$11000,H684,OUT!$D$2:$D$11000,"Out",OUT!$E$2:$E$11000,"Alfa")</f>
        <v>282719</v>
      </c>
      <c r="N684" s="52" t="e">
        <f ca="1">SUMIFS(OUT!$F$2:$F$11000,OUT!$H$2:$H$101007,H684,OUT!$D$2:$D$11000,"Out",OUT!$E$2:$E$11000,"Jajan")</f>
        <v>#VALUE!</v>
      </c>
      <c r="O684" s="52">
        <f ca="1">SUMIFS(OUT!$F$2:$F$11000,OUT!$H$2:$H$11000,H684,OUT!$D$2:$D$11000,"Out",OUT!$E$2:$E$11000,"Kitchen")</f>
        <v>964968</v>
      </c>
      <c r="P684" s="52">
        <f ca="1">SUMIFS(OUT!$F$2:$F$11000,OUT!$H$2:$H$11000,H684,OUT!$D$2:$D$11000,"Out",OUT!$E$2:$E$11000,"Loandry")</f>
        <v>58396</v>
      </c>
      <c r="Q684" s="52">
        <f ca="1">SUMIFS(OUT!$F$2:$F$11000,OUT!$H$2:$H$11000,H684,OUT!$D$2:$D$11000,"Out",OUT!$E$2:$E$11000,"Mio")</f>
        <v>181000</v>
      </c>
      <c r="R684" s="52">
        <f ca="1">SUMIFS(OUT!$F$2:$F$11000,OUT!$H$2:$H$11000,H684,OUT!$D$2:$D$11000,"Out",OUT!$E$2:$E$11000,"Sedekah")</f>
        <v>0</v>
      </c>
      <c r="S684" s="52">
        <f ca="1">SUMIFS(OUT!$F$2:$F$11000,OUT!$H$2:$H$11000,H684,OUT!$D$2:$D$11000,"Out",OUT!$E$2:$E$11000,"Zela")</f>
        <v>90500</v>
      </c>
      <c r="T684" s="52">
        <f ca="1">SUMIFS(OUT!$F$2:$F$11000,OUT!$H$2:$H$11000,H684,OUT!$D$2:$D$11000,"Out",OUT!$E$2:$E$11000,"Iqbal")</f>
        <v>74070</v>
      </c>
    </row>
    <row r="685" spans="1:20" x14ac:dyDescent="0.2">
      <c r="A685" s="48">
        <f ca="1">IFERROR(__xludf.DUMMYFUNCTION("""COMPUTED_VALUE"""),46115)</f>
        <v>46115</v>
      </c>
      <c r="B685" s="4" t="str">
        <f ca="1">IFERROR(__xludf.DUMMYFUNCTION("""COMPUTED_VALUE"""),"Minyak + Beras 5 Kg")</f>
        <v>Minyak + Beras 5 Kg</v>
      </c>
      <c r="C685" s="4" t="str">
        <f ca="1">IFERROR(__xludf.DUMMYFUNCTION("""COMPUTED_VALUE"""),"Cash")</f>
        <v>Cash</v>
      </c>
      <c r="D685" s="4" t="str">
        <f ca="1">IFERROR(__xludf.DUMMYFUNCTION("""COMPUTED_VALUE"""),"Out")</f>
        <v>Out</v>
      </c>
      <c r="E685" s="4" t="str">
        <f ca="1">IFERROR(__xludf.DUMMYFUNCTION("""COMPUTED_VALUE"""),"Kitchen")</f>
        <v>Kitchen</v>
      </c>
      <c r="F685" s="49">
        <f ca="1">IFERROR(__xludf.DUMMYFUNCTION("""COMPUTED_VALUE"""),115000)</f>
        <v>115000</v>
      </c>
      <c r="G685" s="50" t="str">
        <f ca="1">IFERROR(__xludf.DUMMYFUNCTION("""COMPUTED_VALUE"""),"Zela")</f>
        <v>Zela</v>
      </c>
      <c r="H685" s="51">
        <f t="shared" ca="1" si="0"/>
        <v>46113</v>
      </c>
      <c r="I685" s="52" t="e">
        <f ca="1">SUMIFS(OUT!$F$2:$F$11000,OUT!$H$2:$H$11000,H685,OUT!$D$2:$D$101007,"In")</f>
        <v>#VALUE!</v>
      </c>
      <c r="J685" s="52">
        <f ca="1">SUMIFS(OUT!$F$2:$F$11000,OUT!$H$2:$H$11000,H685,OUT!$D$2:$D$11000,"Out")</f>
        <v>8253441</v>
      </c>
      <c r="K685" s="52">
        <f ca="1">SUMIFS(OUT!$F$2:$F$11000,OUT!$H$2:$H$11000,H685,OUT!$D$2:$D$11000,"Out",OUT!$E$2:$E$11000,"Fix")</f>
        <v>2554300</v>
      </c>
      <c r="L685" s="52">
        <f ca="1">SUMIFS(OUT!$F$2:$F$11000,OUT!$H$2:$H$11000,H685,OUT!$D$2:$D$11000,"Out",OUT!$E$2:$E$11000,"Bathroom")</f>
        <v>19900</v>
      </c>
      <c r="M685" s="52">
        <f ca="1">SUMIFS(OUT!$F$2:$F$11000,OUT!$H$2:$H$11000,H685,OUT!$D$2:$D$11000,"Out",OUT!$E$2:$E$11000,"Alfa")</f>
        <v>282719</v>
      </c>
      <c r="N685" s="52" t="e">
        <f ca="1">SUMIFS(OUT!$F$2:$F$11000,OUT!$H$2:$H$101007,H685,OUT!$D$2:$D$11000,"Out",OUT!$E$2:$E$11000,"Jajan")</f>
        <v>#VALUE!</v>
      </c>
      <c r="O685" s="52">
        <f ca="1">SUMIFS(OUT!$F$2:$F$11000,OUT!$H$2:$H$11000,H685,OUT!$D$2:$D$11000,"Out",OUT!$E$2:$E$11000,"Kitchen")</f>
        <v>964968</v>
      </c>
      <c r="P685" s="52">
        <f ca="1">SUMIFS(OUT!$F$2:$F$11000,OUT!$H$2:$H$11000,H685,OUT!$D$2:$D$11000,"Out",OUT!$E$2:$E$11000,"Loandry")</f>
        <v>58396</v>
      </c>
      <c r="Q685" s="52">
        <f ca="1">SUMIFS(OUT!$F$2:$F$11000,OUT!$H$2:$H$11000,H685,OUT!$D$2:$D$11000,"Out",OUT!$E$2:$E$11000,"Mio")</f>
        <v>181000</v>
      </c>
      <c r="R685" s="52">
        <f ca="1">SUMIFS(OUT!$F$2:$F$11000,OUT!$H$2:$H$11000,H685,OUT!$D$2:$D$11000,"Out",OUT!$E$2:$E$11000,"Sedekah")</f>
        <v>0</v>
      </c>
      <c r="S685" s="52">
        <f ca="1">SUMIFS(OUT!$F$2:$F$11000,OUT!$H$2:$H$11000,H685,OUT!$D$2:$D$11000,"Out",OUT!$E$2:$E$11000,"Zela")</f>
        <v>90500</v>
      </c>
      <c r="T685" s="52">
        <f ca="1">SUMIFS(OUT!$F$2:$F$11000,OUT!$H$2:$H$11000,H685,OUT!$D$2:$D$11000,"Out",OUT!$E$2:$E$11000,"Iqbal")</f>
        <v>74070</v>
      </c>
    </row>
    <row r="686" spans="1:20" x14ac:dyDescent="0.2">
      <c r="A686" s="48">
        <f ca="1">IFERROR(__xludf.DUMMYFUNCTION("""COMPUTED_VALUE"""),46115)</f>
        <v>46115</v>
      </c>
      <c r="B686" s="4" t="str">
        <f ca="1">IFERROR(__xludf.DUMMYFUNCTION("""COMPUTED_VALUE"""),"Pasar Kaget + Paekir ")</f>
        <v xml:space="preserve">Pasar Kaget + Paekir </v>
      </c>
      <c r="C686" s="4" t="str">
        <f ca="1">IFERROR(__xludf.DUMMYFUNCTION("""COMPUTED_VALUE"""),"Cash")</f>
        <v>Cash</v>
      </c>
      <c r="D686" s="4" t="str">
        <f ca="1">IFERROR(__xludf.DUMMYFUNCTION("""COMPUTED_VALUE"""),"Out")</f>
        <v>Out</v>
      </c>
      <c r="E686" s="4" t="str">
        <f ca="1">IFERROR(__xludf.DUMMYFUNCTION("""COMPUTED_VALUE"""),"Kitchen")</f>
        <v>Kitchen</v>
      </c>
      <c r="F686" s="49">
        <f ca="1">IFERROR(__xludf.DUMMYFUNCTION("""COMPUTED_VALUE"""),177000)</f>
        <v>177000</v>
      </c>
      <c r="G686" s="50" t="str">
        <f ca="1">IFERROR(__xludf.DUMMYFUNCTION("""COMPUTED_VALUE"""),"Zela")</f>
        <v>Zela</v>
      </c>
      <c r="H686" s="51">
        <f t="shared" ca="1" si="0"/>
        <v>46113</v>
      </c>
      <c r="I686" s="52" t="e">
        <f ca="1">SUMIFS(OUT!$F$2:$F$11000,OUT!$H$2:$H$11000,H686,OUT!$D$2:$D$101007,"In")</f>
        <v>#VALUE!</v>
      </c>
      <c r="J686" s="52">
        <f ca="1">SUMIFS(OUT!$F$2:$F$11000,OUT!$H$2:$H$11000,H686,OUT!$D$2:$D$11000,"Out")</f>
        <v>8253441</v>
      </c>
      <c r="K686" s="52">
        <f ca="1">SUMIFS(OUT!$F$2:$F$11000,OUT!$H$2:$H$11000,H686,OUT!$D$2:$D$11000,"Out",OUT!$E$2:$E$11000,"Fix")</f>
        <v>2554300</v>
      </c>
      <c r="L686" s="52">
        <f ca="1">SUMIFS(OUT!$F$2:$F$11000,OUT!$H$2:$H$11000,H686,OUT!$D$2:$D$11000,"Out",OUT!$E$2:$E$11000,"Bathroom")</f>
        <v>19900</v>
      </c>
      <c r="M686" s="52">
        <f ca="1">SUMIFS(OUT!$F$2:$F$11000,OUT!$H$2:$H$11000,H686,OUT!$D$2:$D$11000,"Out",OUT!$E$2:$E$11000,"Alfa")</f>
        <v>282719</v>
      </c>
      <c r="N686" s="52" t="e">
        <f ca="1">SUMIFS(OUT!$F$2:$F$11000,OUT!$H$2:$H$101007,H686,OUT!$D$2:$D$11000,"Out",OUT!$E$2:$E$11000,"Jajan")</f>
        <v>#VALUE!</v>
      </c>
      <c r="O686" s="52">
        <f ca="1">SUMIFS(OUT!$F$2:$F$11000,OUT!$H$2:$H$11000,H686,OUT!$D$2:$D$11000,"Out",OUT!$E$2:$E$11000,"Kitchen")</f>
        <v>964968</v>
      </c>
      <c r="P686" s="52">
        <f ca="1">SUMIFS(OUT!$F$2:$F$11000,OUT!$H$2:$H$11000,H686,OUT!$D$2:$D$11000,"Out",OUT!$E$2:$E$11000,"Loandry")</f>
        <v>58396</v>
      </c>
      <c r="Q686" s="52">
        <f ca="1">SUMIFS(OUT!$F$2:$F$11000,OUT!$H$2:$H$11000,H686,OUT!$D$2:$D$11000,"Out",OUT!$E$2:$E$11000,"Mio")</f>
        <v>181000</v>
      </c>
      <c r="R686" s="52">
        <f ca="1">SUMIFS(OUT!$F$2:$F$11000,OUT!$H$2:$H$11000,H686,OUT!$D$2:$D$11000,"Out",OUT!$E$2:$E$11000,"Sedekah")</f>
        <v>0</v>
      </c>
      <c r="S686" s="52">
        <f ca="1">SUMIFS(OUT!$F$2:$F$11000,OUT!$H$2:$H$11000,H686,OUT!$D$2:$D$11000,"Out",OUT!$E$2:$E$11000,"Zela")</f>
        <v>90500</v>
      </c>
      <c r="T686" s="52">
        <f ca="1">SUMIFS(OUT!$F$2:$F$11000,OUT!$H$2:$H$11000,H686,OUT!$D$2:$D$11000,"Out",OUT!$E$2:$E$11000,"Iqbal")</f>
        <v>74070</v>
      </c>
    </row>
    <row r="687" spans="1:20" x14ac:dyDescent="0.2">
      <c r="A687" s="48">
        <f ca="1">IFERROR(__xludf.DUMMYFUNCTION("""COMPUTED_VALUE"""),46116)</f>
        <v>46116</v>
      </c>
      <c r="B687" s="4" t="str">
        <f ca="1">IFERROR(__xludf.DUMMYFUNCTION("""COMPUTED_VALUE"""),"mie telor + susu")</f>
        <v>mie telor + susu</v>
      </c>
      <c r="C687" s="4" t="str">
        <f ca="1">IFERROR(__xludf.DUMMYFUNCTION("""COMPUTED_VALUE"""),"Cash")</f>
        <v>Cash</v>
      </c>
      <c r="D687" s="4" t="str">
        <f ca="1">IFERROR(__xludf.DUMMYFUNCTION("""COMPUTED_VALUE"""),"Out")</f>
        <v>Out</v>
      </c>
      <c r="E687" s="4" t="str">
        <f ca="1">IFERROR(__xludf.DUMMYFUNCTION("""COMPUTED_VALUE"""),"Jajan")</f>
        <v>Jajan</v>
      </c>
      <c r="F687" s="49">
        <f ca="1">IFERROR(__xludf.DUMMYFUNCTION("""COMPUTED_VALUE"""),18000)</f>
        <v>18000</v>
      </c>
      <c r="G687" s="50" t="str">
        <f ca="1">IFERROR(__xludf.DUMMYFUNCTION("""COMPUTED_VALUE"""),"Zela")</f>
        <v>Zela</v>
      </c>
      <c r="H687" s="51">
        <f t="shared" ca="1" si="0"/>
        <v>46113</v>
      </c>
      <c r="I687" s="52" t="e">
        <f ca="1">SUMIFS(OUT!$F$2:$F$11000,OUT!$H$2:$H$11000,H687,OUT!$D$2:$D$101007,"In")</f>
        <v>#VALUE!</v>
      </c>
      <c r="J687" s="52">
        <f ca="1">SUMIFS(OUT!$F$2:$F$11000,OUT!$H$2:$H$11000,H687,OUT!$D$2:$D$11000,"Out")</f>
        <v>8253441</v>
      </c>
      <c r="K687" s="52">
        <f ca="1">SUMIFS(OUT!$F$2:$F$11000,OUT!$H$2:$H$11000,H687,OUT!$D$2:$D$11000,"Out",OUT!$E$2:$E$11000,"Fix")</f>
        <v>2554300</v>
      </c>
      <c r="L687" s="52">
        <f ca="1">SUMIFS(OUT!$F$2:$F$11000,OUT!$H$2:$H$11000,H687,OUT!$D$2:$D$11000,"Out",OUT!$E$2:$E$11000,"Bathroom")</f>
        <v>19900</v>
      </c>
      <c r="M687" s="52">
        <f ca="1">SUMIFS(OUT!$F$2:$F$11000,OUT!$H$2:$H$11000,H687,OUT!$D$2:$D$11000,"Out",OUT!$E$2:$E$11000,"Alfa")</f>
        <v>282719</v>
      </c>
      <c r="N687" s="52" t="e">
        <f ca="1">SUMIFS(OUT!$F$2:$F$11000,OUT!$H$2:$H$101007,H687,OUT!$D$2:$D$11000,"Out",OUT!$E$2:$E$11000,"Jajan")</f>
        <v>#VALUE!</v>
      </c>
      <c r="O687" s="52">
        <f ca="1">SUMIFS(OUT!$F$2:$F$11000,OUT!$H$2:$H$11000,H687,OUT!$D$2:$D$11000,"Out",OUT!$E$2:$E$11000,"Kitchen")</f>
        <v>964968</v>
      </c>
      <c r="P687" s="52">
        <f ca="1">SUMIFS(OUT!$F$2:$F$11000,OUT!$H$2:$H$11000,H687,OUT!$D$2:$D$11000,"Out",OUT!$E$2:$E$11000,"Loandry")</f>
        <v>58396</v>
      </c>
      <c r="Q687" s="52">
        <f ca="1">SUMIFS(OUT!$F$2:$F$11000,OUT!$H$2:$H$11000,H687,OUT!$D$2:$D$11000,"Out",OUT!$E$2:$E$11000,"Mio")</f>
        <v>181000</v>
      </c>
      <c r="R687" s="52">
        <f ca="1">SUMIFS(OUT!$F$2:$F$11000,OUT!$H$2:$H$11000,H687,OUT!$D$2:$D$11000,"Out",OUT!$E$2:$E$11000,"Sedekah")</f>
        <v>0</v>
      </c>
      <c r="S687" s="52">
        <f ca="1">SUMIFS(OUT!$F$2:$F$11000,OUT!$H$2:$H$11000,H687,OUT!$D$2:$D$11000,"Out",OUT!$E$2:$E$11000,"Zela")</f>
        <v>90500</v>
      </c>
      <c r="T687" s="52">
        <f ca="1">SUMIFS(OUT!$F$2:$F$11000,OUT!$H$2:$H$11000,H687,OUT!$D$2:$D$11000,"Out",OUT!$E$2:$E$11000,"Iqbal")</f>
        <v>74070</v>
      </c>
    </row>
    <row r="688" spans="1:20" x14ac:dyDescent="0.2">
      <c r="A688" s="48">
        <f ca="1">IFERROR(__xludf.DUMMYFUNCTION("""COMPUTED_VALUE"""),46116)</f>
        <v>46116</v>
      </c>
      <c r="B688" s="4" t="str">
        <f ca="1">IFERROR(__xludf.DUMMYFUNCTION("""COMPUTED_VALUE"""),"pempes ")</f>
        <v xml:space="preserve">pempes </v>
      </c>
      <c r="C688" s="4" t="str">
        <f ca="1">IFERROR(__xludf.DUMMYFUNCTION("""COMPUTED_VALUE"""),"ATM")</f>
        <v>ATM</v>
      </c>
      <c r="D688" s="4" t="str">
        <f ca="1">IFERROR(__xludf.DUMMYFUNCTION("""COMPUTED_VALUE"""),"Out")</f>
        <v>Out</v>
      </c>
      <c r="E688" s="4" t="str">
        <f ca="1">IFERROR(__xludf.DUMMYFUNCTION("""COMPUTED_VALUE"""),"Alfa")</f>
        <v>Alfa</v>
      </c>
      <c r="F688" s="49">
        <f ca="1">IFERROR(__xludf.DUMMYFUNCTION("""COMPUTED_VALUE"""),42900)</f>
        <v>42900</v>
      </c>
      <c r="G688" s="50" t="str">
        <f ca="1">IFERROR(__xludf.DUMMYFUNCTION("""COMPUTED_VALUE"""),"Zela")</f>
        <v>Zela</v>
      </c>
      <c r="H688" s="51">
        <f t="shared" ca="1" si="0"/>
        <v>46113</v>
      </c>
      <c r="I688" s="52" t="e">
        <f ca="1">SUMIFS(OUT!$F$2:$F$11000,OUT!$H$2:$H$11000,H688,OUT!$D$2:$D$101007,"In")</f>
        <v>#VALUE!</v>
      </c>
      <c r="J688" s="52">
        <f ca="1">SUMIFS(OUT!$F$2:$F$11000,OUT!$H$2:$H$11000,H688,OUT!$D$2:$D$11000,"Out")</f>
        <v>8253441</v>
      </c>
      <c r="K688" s="52">
        <f ca="1">SUMIFS(OUT!$F$2:$F$11000,OUT!$H$2:$H$11000,H688,OUT!$D$2:$D$11000,"Out",OUT!$E$2:$E$11000,"Fix")</f>
        <v>2554300</v>
      </c>
      <c r="L688" s="52">
        <f ca="1">SUMIFS(OUT!$F$2:$F$11000,OUT!$H$2:$H$11000,H688,OUT!$D$2:$D$11000,"Out",OUT!$E$2:$E$11000,"Bathroom")</f>
        <v>19900</v>
      </c>
      <c r="M688" s="52">
        <f ca="1">SUMIFS(OUT!$F$2:$F$11000,OUT!$H$2:$H$11000,H688,OUT!$D$2:$D$11000,"Out",OUT!$E$2:$E$11000,"Alfa")</f>
        <v>282719</v>
      </c>
      <c r="N688" s="52" t="e">
        <f ca="1">SUMIFS(OUT!$F$2:$F$11000,OUT!$H$2:$H$101007,H688,OUT!$D$2:$D$11000,"Out",OUT!$E$2:$E$11000,"Jajan")</f>
        <v>#VALUE!</v>
      </c>
      <c r="O688" s="52">
        <f ca="1">SUMIFS(OUT!$F$2:$F$11000,OUT!$H$2:$H$11000,H688,OUT!$D$2:$D$11000,"Out",OUT!$E$2:$E$11000,"Kitchen")</f>
        <v>964968</v>
      </c>
      <c r="P688" s="52">
        <f ca="1">SUMIFS(OUT!$F$2:$F$11000,OUT!$H$2:$H$11000,H688,OUT!$D$2:$D$11000,"Out",OUT!$E$2:$E$11000,"Loandry")</f>
        <v>58396</v>
      </c>
      <c r="Q688" s="52">
        <f ca="1">SUMIFS(OUT!$F$2:$F$11000,OUT!$H$2:$H$11000,H688,OUT!$D$2:$D$11000,"Out",OUT!$E$2:$E$11000,"Mio")</f>
        <v>181000</v>
      </c>
      <c r="R688" s="52">
        <f ca="1">SUMIFS(OUT!$F$2:$F$11000,OUT!$H$2:$H$11000,H688,OUT!$D$2:$D$11000,"Out",OUT!$E$2:$E$11000,"Sedekah")</f>
        <v>0</v>
      </c>
      <c r="S688" s="52">
        <f ca="1">SUMIFS(OUT!$F$2:$F$11000,OUT!$H$2:$H$11000,H688,OUT!$D$2:$D$11000,"Out",OUT!$E$2:$E$11000,"Zela")</f>
        <v>90500</v>
      </c>
      <c r="T688" s="52">
        <f ca="1">SUMIFS(OUT!$F$2:$F$11000,OUT!$H$2:$H$11000,H688,OUT!$D$2:$D$11000,"Out",OUT!$E$2:$E$11000,"Iqbal")</f>
        <v>74070</v>
      </c>
    </row>
    <row r="689" spans="1:20" x14ac:dyDescent="0.2">
      <c r="A689" s="48">
        <f ca="1">IFERROR(__xludf.DUMMYFUNCTION("""COMPUTED_VALUE"""),46116)</f>
        <v>46116</v>
      </c>
      <c r="B689" s="4" t="str">
        <f ca="1">IFERROR(__xludf.DUMMYFUNCTION("""COMPUTED_VALUE"""),"Pembalut ")</f>
        <v xml:space="preserve">Pembalut </v>
      </c>
      <c r="C689" s="4" t="str">
        <f ca="1">IFERROR(__xludf.DUMMYFUNCTION("""COMPUTED_VALUE"""),"ATM")</f>
        <v>ATM</v>
      </c>
      <c r="D689" s="4" t="str">
        <f ca="1">IFERROR(__xludf.DUMMYFUNCTION("""COMPUTED_VALUE"""),"Out")</f>
        <v>Out</v>
      </c>
      <c r="E689" s="4" t="str">
        <f ca="1">IFERROR(__xludf.DUMMYFUNCTION("""COMPUTED_VALUE"""),"Zela")</f>
        <v>Zela</v>
      </c>
      <c r="F689" s="49">
        <f ca="1">IFERROR(__xludf.DUMMYFUNCTION("""COMPUTED_VALUE"""),38300)</f>
        <v>38300</v>
      </c>
      <c r="G689" s="50" t="str">
        <f ca="1">IFERROR(__xludf.DUMMYFUNCTION("""COMPUTED_VALUE"""),"Zela")</f>
        <v>Zela</v>
      </c>
      <c r="H689" s="51">
        <f t="shared" ca="1" si="0"/>
        <v>46113</v>
      </c>
      <c r="I689" s="52" t="e">
        <f ca="1">SUMIFS(OUT!$F$2:$F$11000,OUT!$H$2:$H$11000,H689,OUT!$D$2:$D$101007,"In")</f>
        <v>#VALUE!</v>
      </c>
      <c r="J689" s="52">
        <f ca="1">SUMIFS(OUT!$F$2:$F$11000,OUT!$H$2:$H$11000,H689,OUT!$D$2:$D$11000,"Out")</f>
        <v>8253441</v>
      </c>
      <c r="K689" s="52">
        <f ca="1">SUMIFS(OUT!$F$2:$F$11000,OUT!$H$2:$H$11000,H689,OUT!$D$2:$D$11000,"Out",OUT!$E$2:$E$11000,"Fix")</f>
        <v>2554300</v>
      </c>
      <c r="L689" s="52">
        <f ca="1">SUMIFS(OUT!$F$2:$F$11000,OUT!$H$2:$H$11000,H689,OUT!$D$2:$D$11000,"Out",OUT!$E$2:$E$11000,"Bathroom")</f>
        <v>19900</v>
      </c>
      <c r="M689" s="52">
        <f ca="1">SUMIFS(OUT!$F$2:$F$11000,OUT!$H$2:$H$11000,H689,OUT!$D$2:$D$11000,"Out",OUT!$E$2:$E$11000,"Alfa")</f>
        <v>282719</v>
      </c>
      <c r="N689" s="52" t="e">
        <f ca="1">SUMIFS(OUT!$F$2:$F$11000,OUT!$H$2:$H$101007,H689,OUT!$D$2:$D$11000,"Out",OUT!$E$2:$E$11000,"Jajan")</f>
        <v>#VALUE!</v>
      </c>
      <c r="O689" s="52">
        <f ca="1">SUMIFS(OUT!$F$2:$F$11000,OUT!$H$2:$H$11000,H689,OUT!$D$2:$D$11000,"Out",OUT!$E$2:$E$11000,"Kitchen")</f>
        <v>964968</v>
      </c>
      <c r="P689" s="52">
        <f ca="1">SUMIFS(OUT!$F$2:$F$11000,OUT!$H$2:$H$11000,H689,OUT!$D$2:$D$11000,"Out",OUT!$E$2:$E$11000,"Loandry")</f>
        <v>58396</v>
      </c>
      <c r="Q689" s="52">
        <f ca="1">SUMIFS(OUT!$F$2:$F$11000,OUT!$H$2:$H$11000,H689,OUT!$D$2:$D$11000,"Out",OUT!$E$2:$E$11000,"Mio")</f>
        <v>181000</v>
      </c>
      <c r="R689" s="52">
        <f ca="1">SUMIFS(OUT!$F$2:$F$11000,OUT!$H$2:$H$11000,H689,OUT!$D$2:$D$11000,"Out",OUT!$E$2:$E$11000,"Sedekah")</f>
        <v>0</v>
      </c>
      <c r="S689" s="52">
        <f ca="1">SUMIFS(OUT!$F$2:$F$11000,OUT!$H$2:$H$11000,H689,OUT!$D$2:$D$11000,"Out",OUT!$E$2:$E$11000,"Zela")</f>
        <v>90500</v>
      </c>
      <c r="T689" s="52">
        <f ca="1">SUMIFS(OUT!$F$2:$F$11000,OUT!$H$2:$H$11000,H689,OUT!$D$2:$D$11000,"Out",OUT!$E$2:$E$11000,"Iqbal")</f>
        <v>74070</v>
      </c>
    </row>
    <row r="690" spans="1:20" x14ac:dyDescent="0.2">
      <c r="A690" s="48">
        <f ca="1">IFERROR(__xludf.DUMMYFUNCTION("""COMPUTED_VALUE"""),46116)</f>
        <v>46116</v>
      </c>
      <c r="B690" s="4" t="str">
        <f ca="1">IFERROR(__xludf.DUMMYFUNCTION("""COMPUTED_VALUE"""),"Mainan Alfa ")</f>
        <v xml:space="preserve">Mainan Alfa </v>
      </c>
      <c r="C690" s="4" t="str">
        <f ca="1">IFERROR(__xludf.DUMMYFUNCTION("""COMPUTED_VALUE"""),"ATM")</f>
        <v>ATM</v>
      </c>
      <c r="D690" s="4" t="str">
        <f ca="1">IFERROR(__xludf.DUMMYFUNCTION("""COMPUTED_VALUE"""),"Out")</f>
        <v>Out</v>
      </c>
      <c r="E690" s="4" t="str">
        <f ca="1">IFERROR(__xludf.DUMMYFUNCTION("""COMPUTED_VALUE"""),"Alfa")</f>
        <v>Alfa</v>
      </c>
      <c r="F690" s="49">
        <f ca="1">IFERROR(__xludf.DUMMYFUNCTION("""COMPUTED_VALUE"""),32000)</f>
        <v>32000</v>
      </c>
      <c r="G690" s="50" t="str">
        <f ca="1">IFERROR(__xludf.DUMMYFUNCTION("""COMPUTED_VALUE"""),"Zela")</f>
        <v>Zela</v>
      </c>
      <c r="H690" s="51">
        <f t="shared" ca="1" si="0"/>
        <v>46113</v>
      </c>
      <c r="I690" s="52" t="e">
        <f ca="1">SUMIFS(OUT!$F$2:$F$11000,OUT!$H$2:$H$11000,H690,OUT!$D$2:$D$101007,"In")</f>
        <v>#VALUE!</v>
      </c>
      <c r="J690" s="52">
        <f ca="1">SUMIFS(OUT!$F$2:$F$11000,OUT!$H$2:$H$11000,H690,OUT!$D$2:$D$11000,"Out")</f>
        <v>8253441</v>
      </c>
      <c r="K690" s="52">
        <f ca="1">SUMIFS(OUT!$F$2:$F$11000,OUT!$H$2:$H$11000,H690,OUT!$D$2:$D$11000,"Out",OUT!$E$2:$E$11000,"Fix")</f>
        <v>2554300</v>
      </c>
      <c r="L690" s="52">
        <f ca="1">SUMIFS(OUT!$F$2:$F$11000,OUT!$H$2:$H$11000,H690,OUT!$D$2:$D$11000,"Out",OUT!$E$2:$E$11000,"Bathroom")</f>
        <v>19900</v>
      </c>
      <c r="M690" s="52">
        <f ca="1">SUMIFS(OUT!$F$2:$F$11000,OUT!$H$2:$H$11000,H690,OUT!$D$2:$D$11000,"Out",OUT!$E$2:$E$11000,"Alfa")</f>
        <v>282719</v>
      </c>
      <c r="N690" s="52" t="e">
        <f ca="1">SUMIFS(OUT!$F$2:$F$11000,OUT!$H$2:$H$101007,H690,OUT!$D$2:$D$11000,"Out",OUT!$E$2:$E$11000,"Jajan")</f>
        <v>#VALUE!</v>
      </c>
      <c r="O690" s="52">
        <f ca="1">SUMIFS(OUT!$F$2:$F$11000,OUT!$H$2:$H$11000,H690,OUT!$D$2:$D$11000,"Out",OUT!$E$2:$E$11000,"Kitchen")</f>
        <v>964968</v>
      </c>
      <c r="P690" s="52">
        <f ca="1">SUMIFS(OUT!$F$2:$F$11000,OUT!$H$2:$H$11000,H690,OUT!$D$2:$D$11000,"Out",OUT!$E$2:$E$11000,"Loandry")</f>
        <v>58396</v>
      </c>
      <c r="Q690" s="52">
        <f ca="1">SUMIFS(OUT!$F$2:$F$11000,OUT!$H$2:$H$11000,H690,OUT!$D$2:$D$11000,"Out",OUT!$E$2:$E$11000,"Mio")</f>
        <v>181000</v>
      </c>
      <c r="R690" s="52">
        <f ca="1">SUMIFS(OUT!$F$2:$F$11000,OUT!$H$2:$H$11000,H690,OUT!$D$2:$D$11000,"Out",OUT!$E$2:$E$11000,"Sedekah")</f>
        <v>0</v>
      </c>
      <c r="S690" s="52">
        <f ca="1">SUMIFS(OUT!$F$2:$F$11000,OUT!$H$2:$H$11000,H690,OUT!$D$2:$D$11000,"Out",OUT!$E$2:$E$11000,"Zela")</f>
        <v>90500</v>
      </c>
      <c r="T690" s="52">
        <f ca="1">SUMIFS(OUT!$F$2:$F$11000,OUT!$H$2:$H$11000,H690,OUT!$D$2:$D$11000,"Out",OUT!$E$2:$E$11000,"Iqbal")</f>
        <v>74070</v>
      </c>
    </row>
    <row r="691" spans="1:20" x14ac:dyDescent="0.2">
      <c r="A691" s="48">
        <f ca="1">IFERROR(__xludf.DUMMYFUNCTION("""COMPUTED_VALUE"""),46116)</f>
        <v>46116</v>
      </c>
      <c r="B691" s="4" t="str">
        <f ca="1">IFERROR(__xludf.DUMMYFUNCTION("""COMPUTED_VALUE"""),"Gomok")</f>
        <v>Gomok</v>
      </c>
      <c r="C691" s="4" t="str">
        <f ca="1">IFERROR(__xludf.DUMMYFUNCTION("""COMPUTED_VALUE"""),"Cash")</f>
        <v>Cash</v>
      </c>
      <c r="D691" s="4" t="str">
        <f ca="1">IFERROR(__xludf.DUMMYFUNCTION("""COMPUTED_VALUE"""),"Out")</f>
        <v>Out</v>
      </c>
      <c r="E691" s="4" t="str">
        <f ca="1">IFERROR(__xludf.DUMMYFUNCTION("""COMPUTED_VALUE"""),"Mio")</f>
        <v>Mio</v>
      </c>
      <c r="F691" s="49">
        <f ca="1">IFERROR(__xludf.DUMMYFUNCTION("""COMPUTED_VALUE"""),15000)</f>
        <v>15000</v>
      </c>
      <c r="G691" s="50" t="str">
        <f ca="1">IFERROR(__xludf.DUMMYFUNCTION("""COMPUTED_VALUE"""),"Zela")</f>
        <v>Zela</v>
      </c>
      <c r="H691" s="51">
        <f t="shared" ca="1" si="0"/>
        <v>46113</v>
      </c>
      <c r="I691" s="52" t="e">
        <f ca="1">SUMIFS(OUT!$F$2:$F$11000,OUT!$H$2:$H$11000,H691,OUT!$D$2:$D$101007,"In")</f>
        <v>#VALUE!</v>
      </c>
      <c r="J691" s="52">
        <f ca="1">SUMIFS(OUT!$F$2:$F$11000,OUT!$H$2:$H$11000,H691,OUT!$D$2:$D$11000,"Out")</f>
        <v>8253441</v>
      </c>
      <c r="K691" s="52">
        <f ca="1">SUMIFS(OUT!$F$2:$F$11000,OUT!$H$2:$H$11000,H691,OUT!$D$2:$D$11000,"Out",OUT!$E$2:$E$11000,"Fix")</f>
        <v>2554300</v>
      </c>
      <c r="L691" s="52">
        <f ca="1">SUMIFS(OUT!$F$2:$F$11000,OUT!$H$2:$H$11000,H691,OUT!$D$2:$D$11000,"Out",OUT!$E$2:$E$11000,"Bathroom")</f>
        <v>19900</v>
      </c>
      <c r="M691" s="52">
        <f ca="1">SUMIFS(OUT!$F$2:$F$11000,OUT!$H$2:$H$11000,H691,OUT!$D$2:$D$11000,"Out",OUT!$E$2:$E$11000,"Alfa")</f>
        <v>282719</v>
      </c>
      <c r="N691" s="52" t="e">
        <f ca="1">SUMIFS(OUT!$F$2:$F$11000,OUT!$H$2:$H$101007,H691,OUT!$D$2:$D$11000,"Out",OUT!$E$2:$E$11000,"Jajan")</f>
        <v>#VALUE!</v>
      </c>
      <c r="O691" s="52">
        <f ca="1">SUMIFS(OUT!$F$2:$F$11000,OUT!$H$2:$H$11000,H691,OUT!$D$2:$D$11000,"Out",OUT!$E$2:$E$11000,"Kitchen")</f>
        <v>964968</v>
      </c>
      <c r="P691" s="52">
        <f ca="1">SUMIFS(OUT!$F$2:$F$11000,OUT!$H$2:$H$11000,H691,OUT!$D$2:$D$11000,"Out",OUT!$E$2:$E$11000,"Loandry")</f>
        <v>58396</v>
      </c>
      <c r="Q691" s="52">
        <f ca="1">SUMIFS(OUT!$F$2:$F$11000,OUT!$H$2:$H$11000,H691,OUT!$D$2:$D$11000,"Out",OUT!$E$2:$E$11000,"Mio")</f>
        <v>181000</v>
      </c>
      <c r="R691" s="52">
        <f ca="1">SUMIFS(OUT!$F$2:$F$11000,OUT!$H$2:$H$11000,H691,OUT!$D$2:$D$11000,"Out",OUT!$E$2:$E$11000,"Sedekah")</f>
        <v>0</v>
      </c>
      <c r="S691" s="52">
        <f ca="1">SUMIFS(OUT!$F$2:$F$11000,OUT!$H$2:$H$11000,H691,OUT!$D$2:$D$11000,"Out",OUT!$E$2:$E$11000,"Zela")</f>
        <v>90500</v>
      </c>
      <c r="T691" s="52">
        <f ca="1">SUMIFS(OUT!$F$2:$F$11000,OUT!$H$2:$H$11000,H691,OUT!$D$2:$D$11000,"Out",OUT!$E$2:$E$11000,"Iqbal")</f>
        <v>74070</v>
      </c>
    </row>
    <row r="692" spans="1:20" x14ac:dyDescent="0.2">
      <c r="A692" s="48">
        <f ca="1">IFERROR(__xludf.DUMMYFUNCTION("""COMPUTED_VALUE"""),46116)</f>
        <v>46116</v>
      </c>
      <c r="B692" s="4" t="str">
        <f ca="1">IFERROR(__xludf.DUMMYFUNCTION("""COMPUTED_VALUE"""),"Molen ")</f>
        <v xml:space="preserve">Molen </v>
      </c>
      <c r="C692" s="4" t="str">
        <f ca="1">IFERROR(__xludf.DUMMYFUNCTION("""COMPUTED_VALUE"""),"Cash")</f>
        <v>Cash</v>
      </c>
      <c r="D692" s="4" t="str">
        <f ca="1">IFERROR(__xludf.DUMMYFUNCTION("""COMPUTED_VALUE"""),"Out")</f>
        <v>Out</v>
      </c>
      <c r="E692" s="4" t="str">
        <f ca="1">IFERROR(__xludf.DUMMYFUNCTION("""COMPUTED_VALUE"""),"Jajan")</f>
        <v>Jajan</v>
      </c>
      <c r="F692" s="49">
        <f ca="1">IFERROR(__xludf.DUMMYFUNCTION("""COMPUTED_VALUE"""),12000)</f>
        <v>12000</v>
      </c>
      <c r="G692" s="50" t="str">
        <f ca="1">IFERROR(__xludf.DUMMYFUNCTION("""COMPUTED_VALUE"""),"Zela")</f>
        <v>Zela</v>
      </c>
      <c r="H692" s="51">
        <f t="shared" ca="1" si="0"/>
        <v>46113</v>
      </c>
      <c r="I692" s="52" t="e">
        <f ca="1">SUMIFS(OUT!$F$2:$F$11000,OUT!$H$2:$H$11000,H692,OUT!$D$2:$D$101007,"In")</f>
        <v>#VALUE!</v>
      </c>
      <c r="J692" s="52">
        <f ca="1">SUMIFS(OUT!$F$2:$F$11000,OUT!$H$2:$H$11000,H692,OUT!$D$2:$D$11000,"Out")</f>
        <v>8253441</v>
      </c>
      <c r="K692" s="52">
        <f ca="1">SUMIFS(OUT!$F$2:$F$11000,OUT!$H$2:$H$11000,H692,OUT!$D$2:$D$11000,"Out",OUT!$E$2:$E$11000,"Fix")</f>
        <v>2554300</v>
      </c>
      <c r="L692" s="52">
        <f ca="1">SUMIFS(OUT!$F$2:$F$11000,OUT!$H$2:$H$11000,H692,OUT!$D$2:$D$11000,"Out",OUT!$E$2:$E$11000,"Bathroom")</f>
        <v>19900</v>
      </c>
      <c r="M692" s="52">
        <f ca="1">SUMIFS(OUT!$F$2:$F$11000,OUT!$H$2:$H$11000,H692,OUT!$D$2:$D$11000,"Out",OUT!$E$2:$E$11000,"Alfa")</f>
        <v>282719</v>
      </c>
      <c r="N692" s="52" t="e">
        <f ca="1">SUMIFS(OUT!$F$2:$F$11000,OUT!$H$2:$H$101007,H692,OUT!$D$2:$D$11000,"Out",OUT!$E$2:$E$11000,"Jajan")</f>
        <v>#VALUE!</v>
      </c>
      <c r="O692" s="52">
        <f ca="1">SUMIFS(OUT!$F$2:$F$11000,OUT!$H$2:$H$11000,H692,OUT!$D$2:$D$11000,"Out",OUT!$E$2:$E$11000,"Kitchen")</f>
        <v>964968</v>
      </c>
      <c r="P692" s="52">
        <f ca="1">SUMIFS(OUT!$F$2:$F$11000,OUT!$H$2:$H$11000,H692,OUT!$D$2:$D$11000,"Out",OUT!$E$2:$E$11000,"Loandry")</f>
        <v>58396</v>
      </c>
      <c r="Q692" s="52">
        <f ca="1">SUMIFS(OUT!$F$2:$F$11000,OUT!$H$2:$H$11000,H692,OUT!$D$2:$D$11000,"Out",OUT!$E$2:$E$11000,"Mio")</f>
        <v>181000</v>
      </c>
      <c r="R692" s="52">
        <f ca="1">SUMIFS(OUT!$F$2:$F$11000,OUT!$H$2:$H$11000,H692,OUT!$D$2:$D$11000,"Out",OUT!$E$2:$E$11000,"Sedekah")</f>
        <v>0</v>
      </c>
      <c r="S692" s="52">
        <f ca="1">SUMIFS(OUT!$F$2:$F$11000,OUT!$H$2:$H$11000,H692,OUT!$D$2:$D$11000,"Out",OUT!$E$2:$E$11000,"Zela")</f>
        <v>90500</v>
      </c>
      <c r="T692" s="52">
        <f ca="1">SUMIFS(OUT!$F$2:$F$11000,OUT!$H$2:$H$11000,H692,OUT!$D$2:$D$11000,"Out",OUT!$E$2:$E$11000,"Iqbal")</f>
        <v>74070</v>
      </c>
    </row>
    <row r="693" spans="1:20" x14ac:dyDescent="0.2">
      <c r="A693" s="48">
        <f ca="1">IFERROR(__xludf.DUMMYFUNCTION("""COMPUTED_VALUE"""),46116)</f>
        <v>46116</v>
      </c>
      <c r="B693" s="4" t="str">
        <f ca="1">IFERROR(__xludf.DUMMYFUNCTION("""COMPUTED_VALUE"""),"Tarik tunai ")</f>
        <v xml:space="preserve">Tarik tunai </v>
      </c>
      <c r="C693" s="4" t="str">
        <f ca="1">IFERROR(__xludf.DUMMYFUNCTION("""COMPUTED_VALUE"""),"ATM")</f>
        <v>ATM</v>
      </c>
      <c r="D693" s="4" t="str">
        <f ca="1">IFERROR(__xludf.DUMMYFUNCTION("""COMPUTED_VALUE"""),"Out")</f>
        <v>Out</v>
      </c>
      <c r="E693" s="4" t="str">
        <f ca="1">IFERROR(__xludf.DUMMYFUNCTION("""COMPUTED_VALUE"""),"Move")</f>
        <v>Move</v>
      </c>
      <c r="F693" s="49">
        <f ca="1">IFERROR(__xludf.DUMMYFUNCTION("""COMPUTED_VALUE"""),100000)</f>
        <v>100000</v>
      </c>
      <c r="G693" s="50" t="str">
        <f ca="1">IFERROR(__xludf.DUMMYFUNCTION("""COMPUTED_VALUE"""),"Zela")</f>
        <v>Zela</v>
      </c>
      <c r="H693" s="51">
        <f t="shared" ca="1" si="0"/>
        <v>46113</v>
      </c>
      <c r="I693" s="52" t="e">
        <f ca="1">SUMIFS(OUT!$F$2:$F$11000,OUT!$H$2:$H$11000,H693,OUT!$D$2:$D$101007,"In")</f>
        <v>#VALUE!</v>
      </c>
      <c r="J693" s="52">
        <f ca="1">SUMIFS(OUT!$F$2:$F$11000,OUT!$H$2:$H$11000,H693,OUT!$D$2:$D$11000,"Out")</f>
        <v>8253441</v>
      </c>
      <c r="K693" s="52">
        <f ca="1">SUMIFS(OUT!$F$2:$F$11000,OUT!$H$2:$H$11000,H693,OUT!$D$2:$D$11000,"Out",OUT!$E$2:$E$11000,"Fix")</f>
        <v>2554300</v>
      </c>
      <c r="L693" s="52">
        <f ca="1">SUMIFS(OUT!$F$2:$F$11000,OUT!$H$2:$H$11000,H693,OUT!$D$2:$D$11000,"Out",OUT!$E$2:$E$11000,"Bathroom")</f>
        <v>19900</v>
      </c>
      <c r="M693" s="52">
        <f ca="1">SUMIFS(OUT!$F$2:$F$11000,OUT!$H$2:$H$11000,H693,OUT!$D$2:$D$11000,"Out",OUT!$E$2:$E$11000,"Alfa")</f>
        <v>282719</v>
      </c>
      <c r="N693" s="52" t="e">
        <f ca="1">SUMIFS(OUT!$F$2:$F$11000,OUT!$H$2:$H$101007,H693,OUT!$D$2:$D$11000,"Out",OUT!$E$2:$E$11000,"Jajan")</f>
        <v>#VALUE!</v>
      </c>
      <c r="O693" s="52">
        <f ca="1">SUMIFS(OUT!$F$2:$F$11000,OUT!$H$2:$H$11000,H693,OUT!$D$2:$D$11000,"Out",OUT!$E$2:$E$11000,"Kitchen")</f>
        <v>964968</v>
      </c>
      <c r="P693" s="52">
        <f ca="1">SUMIFS(OUT!$F$2:$F$11000,OUT!$H$2:$H$11000,H693,OUT!$D$2:$D$11000,"Out",OUT!$E$2:$E$11000,"Loandry")</f>
        <v>58396</v>
      </c>
      <c r="Q693" s="52">
        <f ca="1">SUMIFS(OUT!$F$2:$F$11000,OUT!$H$2:$H$11000,H693,OUT!$D$2:$D$11000,"Out",OUT!$E$2:$E$11000,"Mio")</f>
        <v>181000</v>
      </c>
      <c r="R693" s="52">
        <f ca="1">SUMIFS(OUT!$F$2:$F$11000,OUT!$H$2:$H$11000,H693,OUT!$D$2:$D$11000,"Out",OUT!$E$2:$E$11000,"Sedekah")</f>
        <v>0</v>
      </c>
      <c r="S693" s="52">
        <f ca="1">SUMIFS(OUT!$F$2:$F$11000,OUT!$H$2:$H$11000,H693,OUT!$D$2:$D$11000,"Out",OUT!$E$2:$E$11000,"Zela")</f>
        <v>90500</v>
      </c>
      <c r="T693" s="52">
        <f ca="1">SUMIFS(OUT!$F$2:$F$11000,OUT!$H$2:$H$11000,H693,OUT!$D$2:$D$11000,"Out",OUT!$E$2:$E$11000,"Iqbal")</f>
        <v>74070</v>
      </c>
    </row>
    <row r="694" spans="1:20" x14ac:dyDescent="0.2">
      <c r="A694" s="48">
        <f ca="1">IFERROR(__xludf.DUMMYFUNCTION("""COMPUTED_VALUE"""),46116)</f>
        <v>46116</v>
      </c>
      <c r="B694" s="4" t="str">
        <f ca="1">IFERROR(__xludf.DUMMYFUNCTION("""COMPUTED_VALUE"""),"Terima Tunai ")</f>
        <v xml:space="preserve">Terima Tunai </v>
      </c>
      <c r="C694" s="4" t="str">
        <f ca="1">IFERROR(__xludf.DUMMYFUNCTION("""COMPUTED_VALUE"""),"Cash")</f>
        <v>Cash</v>
      </c>
      <c r="D694" s="4" t="str">
        <f ca="1">IFERROR(__xludf.DUMMYFUNCTION("""COMPUTED_VALUE"""),"In")</f>
        <v>In</v>
      </c>
      <c r="E694" s="4" t="str">
        <f ca="1">IFERROR(__xludf.DUMMYFUNCTION("""COMPUTED_VALUE"""),"Move")</f>
        <v>Move</v>
      </c>
      <c r="F694" s="49">
        <f ca="1">IFERROR(__xludf.DUMMYFUNCTION("""COMPUTED_VALUE"""),100000)</f>
        <v>100000</v>
      </c>
      <c r="G694" s="50" t="str">
        <f ca="1">IFERROR(__xludf.DUMMYFUNCTION("""COMPUTED_VALUE"""),"Zela")</f>
        <v>Zela</v>
      </c>
      <c r="H694" s="51">
        <f t="shared" ca="1" si="0"/>
        <v>46113</v>
      </c>
      <c r="I694" s="52" t="e">
        <f ca="1">SUMIFS(OUT!$F$2:$F$11000,OUT!$H$2:$H$11000,H694,OUT!$D$2:$D$101007,"In")</f>
        <v>#VALUE!</v>
      </c>
      <c r="J694" s="52">
        <f ca="1">SUMIFS(OUT!$F$2:$F$11000,OUT!$H$2:$H$11000,H694,OUT!$D$2:$D$11000,"Out")</f>
        <v>8253441</v>
      </c>
      <c r="K694" s="52">
        <f ca="1">SUMIFS(OUT!$F$2:$F$11000,OUT!$H$2:$H$11000,H694,OUT!$D$2:$D$11000,"Out",OUT!$E$2:$E$11000,"Fix")</f>
        <v>2554300</v>
      </c>
      <c r="L694" s="52">
        <f ca="1">SUMIFS(OUT!$F$2:$F$11000,OUT!$H$2:$H$11000,H694,OUT!$D$2:$D$11000,"Out",OUT!$E$2:$E$11000,"Bathroom")</f>
        <v>19900</v>
      </c>
      <c r="M694" s="52">
        <f ca="1">SUMIFS(OUT!$F$2:$F$11000,OUT!$H$2:$H$11000,H694,OUT!$D$2:$D$11000,"Out",OUT!$E$2:$E$11000,"Alfa")</f>
        <v>282719</v>
      </c>
      <c r="N694" s="52" t="e">
        <f ca="1">SUMIFS(OUT!$F$2:$F$11000,OUT!$H$2:$H$101007,H694,OUT!$D$2:$D$11000,"Out",OUT!$E$2:$E$11000,"Jajan")</f>
        <v>#VALUE!</v>
      </c>
      <c r="O694" s="52">
        <f ca="1">SUMIFS(OUT!$F$2:$F$11000,OUT!$H$2:$H$11000,H694,OUT!$D$2:$D$11000,"Out",OUT!$E$2:$E$11000,"Kitchen")</f>
        <v>964968</v>
      </c>
      <c r="P694" s="52">
        <f ca="1">SUMIFS(OUT!$F$2:$F$11000,OUT!$H$2:$H$11000,H694,OUT!$D$2:$D$11000,"Out",OUT!$E$2:$E$11000,"Loandry")</f>
        <v>58396</v>
      </c>
      <c r="Q694" s="52">
        <f ca="1">SUMIFS(OUT!$F$2:$F$11000,OUT!$H$2:$H$11000,H694,OUT!$D$2:$D$11000,"Out",OUT!$E$2:$E$11000,"Mio")</f>
        <v>181000</v>
      </c>
      <c r="R694" s="52">
        <f ca="1">SUMIFS(OUT!$F$2:$F$11000,OUT!$H$2:$H$11000,H694,OUT!$D$2:$D$11000,"Out",OUT!$E$2:$E$11000,"Sedekah")</f>
        <v>0</v>
      </c>
      <c r="S694" s="52">
        <f ca="1">SUMIFS(OUT!$F$2:$F$11000,OUT!$H$2:$H$11000,H694,OUT!$D$2:$D$11000,"Out",OUT!$E$2:$E$11000,"Zela")</f>
        <v>90500</v>
      </c>
      <c r="T694" s="52">
        <f ca="1">SUMIFS(OUT!$F$2:$F$11000,OUT!$H$2:$H$11000,H694,OUT!$D$2:$D$11000,"Out",OUT!$E$2:$E$11000,"Iqbal")</f>
        <v>74070</v>
      </c>
    </row>
    <row r="695" spans="1:20" x14ac:dyDescent="0.2">
      <c r="A695" s="48">
        <f ca="1">IFERROR(__xludf.DUMMYFUNCTION("""COMPUTED_VALUE"""),46116)</f>
        <v>46116</v>
      </c>
      <c r="B695" s="4" t="str">
        <f ca="1">IFERROR(__xludf.DUMMYFUNCTION("""COMPUTED_VALUE"""),"Bensin motor ")</f>
        <v xml:space="preserve">Bensin motor </v>
      </c>
      <c r="C695" s="4" t="str">
        <f ca="1">IFERROR(__xludf.DUMMYFUNCTION("""COMPUTED_VALUE"""),"Cash")</f>
        <v>Cash</v>
      </c>
      <c r="D695" s="4" t="str">
        <f ca="1">IFERROR(__xludf.DUMMYFUNCTION("""COMPUTED_VALUE"""),"Out")</f>
        <v>Out</v>
      </c>
      <c r="E695" s="4" t="str">
        <f ca="1">IFERROR(__xludf.DUMMYFUNCTION("""COMPUTED_VALUE"""),"Mio")</f>
        <v>Mio</v>
      </c>
      <c r="F695" s="49">
        <f ca="1">IFERROR(__xludf.DUMMYFUNCTION("""COMPUTED_VALUE"""),30000)</f>
        <v>30000</v>
      </c>
      <c r="G695" s="50" t="str">
        <f ca="1">IFERROR(__xludf.DUMMYFUNCTION("""COMPUTED_VALUE"""),"Zela")</f>
        <v>Zela</v>
      </c>
      <c r="H695" s="51">
        <f t="shared" ca="1" si="0"/>
        <v>46113</v>
      </c>
      <c r="I695" s="52" t="e">
        <f ca="1">SUMIFS(OUT!$F$2:$F$11000,OUT!$H$2:$H$11000,H695,OUT!$D$2:$D$101007,"In")</f>
        <v>#VALUE!</v>
      </c>
      <c r="J695" s="52">
        <f ca="1">SUMIFS(OUT!$F$2:$F$11000,OUT!$H$2:$H$11000,H695,OUT!$D$2:$D$11000,"Out")</f>
        <v>8253441</v>
      </c>
      <c r="K695" s="52">
        <f ca="1">SUMIFS(OUT!$F$2:$F$11000,OUT!$H$2:$H$11000,H695,OUT!$D$2:$D$11000,"Out",OUT!$E$2:$E$11000,"Fix")</f>
        <v>2554300</v>
      </c>
      <c r="L695" s="52">
        <f ca="1">SUMIFS(OUT!$F$2:$F$11000,OUT!$H$2:$H$11000,H695,OUT!$D$2:$D$11000,"Out",OUT!$E$2:$E$11000,"Bathroom")</f>
        <v>19900</v>
      </c>
      <c r="M695" s="52">
        <f ca="1">SUMIFS(OUT!$F$2:$F$11000,OUT!$H$2:$H$11000,H695,OUT!$D$2:$D$11000,"Out",OUT!$E$2:$E$11000,"Alfa")</f>
        <v>282719</v>
      </c>
      <c r="N695" s="52" t="e">
        <f ca="1">SUMIFS(OUT!$F$2:$F$11000,OUT!$H$2:$H$101007,H695,OUT!$D$2:$D$11000,"Out",OUT!$E$2:$E$11000,"Jajan")</f>
        <v>#VALUE!</v>
      </c>
      <c r="O695" s="52">
        <f ca="1">SUMIFS(OUT!$F$2:$F$11000,OUT!$H$2:$H$11000,H695,OUT!$D$2:$D$11000,"Out",OUT!$E$2:$E$11000,"Kitchen")</f>
        <v>964968</v>
      </c>
      <c r="P695" s="52">
        <f ca="1">SUMIFS(OUT!$F$2:$F$11000,OUT!$H$2:$H$11000,H695,OUT!$D$2:$D$11000,"Out",OUT!$E$2:$E$11000,"Loandry")</f>
        <v>58396</v>
      </c>
      <c r="Q695" s="52">
        <f ca="1">SUMIFS(OUT!$F$2:$F$11000,OUT!$H$2:$H$11000,H695,OUT!$D$2:$D$11000,"Out",OUT!$E$2:$E$11000,"Mio")</f>
        <v>181000</v>
      </c>
      <c r="R695" s="52">
        <f ca="1">SUMIFS(OUT!$F$2:$F$11000,OUT!$H$2:$H$11000,H695,OUT!$D$2:$D$11000,"Out",OUT!$E$2:$E$11000,"Sedekah")</f>
        <v>0</v>
      </c>
      <c r="S695" s="52">
        <f ca="1">SUMIFS(OUT!$F$2:$F$11000,OUT!$H$2:$H$11000,H695,OUT!$D$2:$D$11000,"Out",OUT!$E$2:$E$11000,"Zela")</f>
        <v>90500</v>
      </c>
      <c r="T695" s="52">
        <f ca="1">SUMIFS(OUT!$F$2:$F$11000,OUT!$H$2:$H$11000,H695,OUT!$D$2:$D$11000,"Out",OUT!$E$2:$E$11000,"Iqbal")</f>
        <v>74070</v>
      </c>
    </row>
    <row r="696" spans="1:20" x14ac:dyDescent="0.2">
      <c r="A696" s="48">
        <f ca="1">IFERROR(__xludf.DUMMYFUNCTION("""COMPUTED_VALUE"""),46116)</f>
        <v>46116</v>
      </c>
      <c r="B696" s="4" t="str">
        <f ca="1">IFERROR(__xludf.DUMMYFUNCTION("""COMPUTED_VALUE"""),"Martabak ")</f>
        <v xml:space="preserve">Martabak </v>
      </c>
      <c r="C696" s="4" t="str">
        <f ca="1">IFERROR(__xludf.DUMMYFUNCTION("""COMPUTED_VALUE"""),"Cash")</f>
        <v>Cash</v>
      </c>
      <c r="D696" s="4" t="str">
        <f ca="1">IFERROR(__xludf.DUMMYFUNCTION("""COMPUTED_VALUE"""),"Out")</f>
        <v>Out</v>
      </c>
      <c r="E696" s="4" t="str">
        <f ca="1">IFERROR(__xludf.DUMMYFUNCTION("""COMPUTED_VALUE"""),"Jajan")</f>
        <v>Jajan</v>
      </c>
      <c r="F696" s="49">
        <f ca="1">IFERROR(__xludf.DUMMYFUNCTION("""COMPUTED_VALUE"""),20000)</f>
        <v>20000</v>
      </c>
      <c r="G696" s="50" t="str">
        <f ca="1">IFERROR(__xludf.DUMMYFUNCTION("""COMPUTED_VALUE"""),"Zela")</f>
        <v>Zela</v>
      </c>
      <c r="H696" s="51">
        <f t="shared" ca="1" si="0"/>
        <v>46113</v>
      </c>
      <c r="I696" s="52" t="e">
        <f ca="1">SUMIFS(OUT!$F$2:$F$11000,OUT!$H$2:$H$11000,H696,OUT!$D$2:$D$101007,"In")</f>
        <v>#VALUE!</v>
      </c>
      <c r="J696" s="52">
        <f ca="1">SUMIFS(OUT!$F$2:$F$11000,OUT!$H$2:$H$11000,H696,OUT!$D$2:$D$11000,"Out")</f>
        <v>8253441</v>
      </c>
      <c r="K696" s="52">
        <f ca="1">SUMIFS(OUT!$F$2:$F$11000,OUT!$H$2:$H$11000,H696,OUT!$D$2:$D$11000,"Out",OUT!$E$2:$E$11000,"Fix")</f>
        <v>2554300</v>
      </c>
      <c r="L696" s="52">
        <f ca="1">SUMIFS(OUT!$F$2:$F$11000,OUT!$H$2:$H$11000,H696,OUT!$D$2:$D$11000,"Out",OUT!$E$2:$E$11000,"Bathroom")</f>
        <v>19900</v>
      </c>
      <c r="M696" s="52">
        <f ca="1">SUMIFS(OUT!$F$2:$F$11000,OUT!$H$2:$H$11000,H696,OUT!$D$2:$D$11000,"Out",OUT!$E$2:$E$11000,"Alfa")</f>
        <v>282719</v>
      </c>
      <c r="N696" s="52" t="e">
        <f ca="1">SUMIFS(OUT!$F$2:$F$11000,OUT!$H$2:$H$101007,H696,OUT!$D$2:$D$11000,"Out",OUT!$E$2:$E$11000,"Jajan")</f>
        <v>#VALUE!</v>
      </c>
      <c r="O696" s="52">
        <f ca="1">SUMIFS(OUT!$F$2:$F$11000,OUT!$H$2:$H$11000,H696,OUT!$D$2:$D$11000,"Out",OUT!$E$2:$E$11000,"Kitchen")</f>
        <v>964968</v>
      </c>
      <c r="P696" s="52">
        <f ca="1">SUMIFS(OUT!$F$2:$F$11000,OUT!$H$2:$H$11000,H696,OUT!$D$2:$D$11000,"Out",OUT!$E$2:$E$11000,"Loandry")</f>
        <v>58396</v>
      </c>
      <c r="Q696" s="52">
        <f ca="1">SUMIFS(OUT!$F$2:$F$11000,OUT!$H$2:$H$11000,H696,OUT!$D$2:$D$11000,"Out",OUT!$E$2:$E$11000,"Mio")</f>
        <v>181000</v>
      </c>
      <c r="R696" s="52">
        <f ca="1">SUMIFS(OUT!$F$2:$F$11000,OUT!$H$2:$H$11000,H696,OUT!$D$2:$D$11000,"Out",OUT!$E$2:$E$11000,"Sedekah")</f>
        <v>0</v>
      </c>
      <c r="S696" s="52">
        <f ca="1">SUMIFS(OUT!$F$2:$F$11000,OUT!$H$2:$H$11000,H696,OUT!$D$2:$D$11000,"Out",OUT!$E$2:$E$11000,"Zela")</f>
        <v>90500</v>
      </c>
      <c r="T696" s="52">
        <f ca="1">SUMIFS(OUT!$F$2:$F$11000,OUT!$H$2:$H$11000,H696,OUT!$D$2:$D$11000,"Out",OUT!$E$2:$E$11000,"Iqbal")</f>
        <v>74070</v>
      </c>
    </row>
    <row r="697" spans="1:20" x14ac:dyDescent="0.2">
      <c r="A697" s="48">
        <f ca="1">IFERROR(__xludf.DUMMYFUNCTION("""COMPUTED_VALUE"""),46116)</f>
        <v>46116</v>
      </c>
      <c r="B697" s="4" t="str">
        <f ca="1">IFERROR(__xludf.DUMMYFUNCTION("""COMPUTED_VALUE"""),"shampo ")</f>
        <v xml:space="preserve">shampo </v>
      </c>
      <c r="C697" s="4" t="str">
        <f ca="1">IFERROR(__xludf.DUMMYFUNCTION("""COMPUTED_VALUE"""),"ATM")</f>
        <v>ATM</v>
      </c>
      <c r="D697" s="4" t="str">
        <f ca="1">IFERROR(__xludf.DUMMYFUNCTION("""COMPUTED_VALUE"""),"Out")</f>
        <v>Out</v>
      </c>
      <c r="E697" s="4" t="str">
        <f ca="1">IFERROR(__xludf.DUMMYFUNCTION("""COMPUTED_VALUE"""),"Bathroom")</f>
        <v>Bathroom</v>
      </c>
      <c r="F697" s="49">
        <f ca="1">IFERROR(__xludf.DUMMYFUNCTION("""COMPUTED_VALUE"""),19900)</f>
        <v>19900</v>
      </c>
      <c r="G697" s="50" t="str">
        <f ca="1">IFERROR(__xludf.DUMMYFUNCTION("""COMPUTED_VALUE"""),"Zela")</f>
        <v>Zela</v>
      </c>
      <c r="H697" s="51">
        <f t="shared" ca="1" si="0"/>
        <v>46113</v>
      </c>
      <c r="I697" s="52" t="e">
        <f ca="1">SUMIFS(OUT!$F$2:$F$11000,OUT!$H$2:$H$11000,H697,OUT!$D$2:$D$101007,"In")</f>
        <v>#VALUE!</v>
      </c>
      <c r="J697" s="52">
        <f ca="1">SUMIFS(OUT!$F$2:$F$11000,OUT!$H$2:$H$11000,H697,OUT!$D$2:$D$11000,"Out")</f>
        <v>8253441</v>
      </c>
      <c r="K697" s="52">
        <f ca="1">SUMIFS(OUT!$F$2:$F$11000,OUT!$H$2:$H$11000,H697,OUT!$D$2:$D$11000,"Out",OUT!$E$2:$E$11000,"Fix")</f>
        <v>2554300</v>
      </c>
      <c r="L697" s="52">
        <f ca="1">SUMIFS(OUT!$F$2:$F$11000,OUT!$H$2:$H$11000,H697,OUT!$D$2:$D$11000,"Out",OUT!$E$2:$E$11000,"Bathroom")</f>
        <v>19900</v>
      </c>
      <c r="M697" s="52">
        <f ca="1">SUMIFS(OUT!$F$2:$F$11000,OUT!$H$2:$H$11000,H697,OUT!$D$2:$D$11000,"Out",OUT!$E$2:$E$11000,"Alfa")</f>
        <v>282719</v>
      </c>
      <c r="N697" s="52" t="e">
        <f ca="1">SUMIFS(OUT!$F$2:$F$11000,OUT!$H$2:$H$101007,H697,OUT!$D$2:$D$11000,"Out",OUT!$E$2:$E$11000,"Jajan")</f>
        <v>#VALUE!</v>
      </c>
      <c r="O697" s="52">
        <f ca="1">SUMIFS(OUT!$F$2:$F$11000,OUT!$H$2:$H$11000,H697,OUT!$D$2:$D$11000,"Out",OUT!$E$2:$E$11000,"Kitchen")</f>
        <v>964968</v>
      </c>
      <c r="P697" s="52">
        <f ca="1">SUMIFS(OUT!$F$2:$F$11000,OUT!$H$2:$H$11000,H697,OUT!$D$2:$D$11000,"Out",OUT!$E$2:$E$11000,"Loandry")</f>
        <v>58396</v>
      </c>
      <c r="Q697" s="52">
        <f ca="1">SUMIFS(OUT!$F$2:$F$11000,OUT!$H$2:$H$11000,H697,OUT!$D$2:$D$11000,"Out",OUT!$E$2:$E$11000,"Mio")</f>
        <v>181000</v>
      </c>
      <c r="R697" s="52">
        <f ca="1">SUMIFS(OUT!$F$2:$F$11000,OUT!$H$2:$H$11000,H697,OUT!$D$2:$D$11000,"Out",OUT!$E$2:$E$11000,"Sedekah")</f>
        <v>0</v>
      </c>
      <c r="S697" s="52">
        <f ca="1">SUMIFS(OUT!$F$2:$F$11000,OUT!$H$2:$H$11000,H697,OUT!$D$2:$D$11000,"Out",OUT!$E$2:$E$11000,"Zela")</f>
        <v>90500</v>
      </c>
      <c r="T697" s="52">
        <f ca="1">SUMIFS(OUT!$F$2:$F$11000,OUT!$H$2:$H$11000,H697,OUT!$D$2:$D$11000,"Out",OUT!$E$2:$E$11000,"Iqbal")</f>
        <v>74070</v>
      </c>
    </row>
    <row r="698" spans="1:20" x14ac:dyDescent="0.2">
      <c r="A698" s="48">
        <f ca="1">IFERROR(__xludf.DUMMYFUNCTION("""COMPUTED_VALUE"""),46116)</f>
        <v>46116</v>
      </c>
      <c r="B698" s="4" t="str">
        <f ca="1">IFERROR(__xludf.DUMMYFUNCTION("""COMPUTED_VALUE"""),"tisu ")</f>
        <v xml:space="preserve">tisu </v>
      </c>
      <c r="C698" s="4" t="str">
        <f ca="1">IFERROR(__xludf.DUMMYFUNCTION("""COMPUTED_VALUE"""),"ATM")</f>
        <v>ATM</v>
      </c>
      <c r="D698" s="4" t="str">
        <f ca="1">IFERROR(__xludf.DUMMYFUNCTION("""COMPUTED_VALUE"""),"Out")</f>
        <v>Out</v>
      </c>
      <c r="E698" s="4" t="str">
        <f ca="1">IFERROR(__xludf.DUMMYFUNCTION("""COMPUTED_VALUE"""),"Kitchen")</f>
        <v>Kitchen</v>
      </c>
      <c r="F698" s="49">
        <f ca="1">IFERROR(__xludf.DUMMYFUNCTION("""COMPUTED_VALUE"""),12500)</f>
        <v>12500</v>
      </c>
      <c r="G698" s="50" t="str">
        <f ca="1">IFERROR(__xludf.DUMMYFUNCTION("""COMPUTED_VALUE"""),"Zela")</f>
        <v>Zela</v>
      </c>
      <c r="H698" s="51">
        <f t="shared" ca="1" si="0"/>
        <v>46113</v>
      </c>
      <c r="I698" s="52" t="e">
        <f ca="1">SUMIFS(OUT!$F$2:$F$11000,OUT!$H$2:$H$11000,H698,OUT!$D$2:$D$101007,"In")</f>
        <v>#VALUE!</v>
      </c>
      <c r="J698" s="52">
        <f ca="1">SUMIFS(OUT!$F$2:$F$11000,OUT!$H$2:$H$11000,H698,OUT!$D$2:$D$11000,"Out")</f>
        <v>8253441</v>
      </c>
      <c r="K698" s="52">
        <f ca="1">SUMIFS(OUT!$F$2:$F$11000,OUT!$H$2:$H$11000,H698,OUT!$D$2:$D$11000,"Out",OUT!$E$2:$E$11000,"Fix")</f>
        <v>2554300</v>
      </c>
      <c r="L698" s="52">
        <f ca="1">SUMIFS(OUT!$F$2:$F$11000,OUT!$H$2:$H$11000,H698,OUT!$D$2:$D$11000,"Out",OUT!$E$2:$E$11000,"Bathroom")</f>
        <v>19900</v>
      </c>
      <c r="M698" s="52">
        <f ca="1">SUMIFS(OUT!$F$2:$F$11000,OUT!$H$2:$H$11000,H698,OUT!$D$2:$D$11000,"Out",OUT!$E$2:$E$11000,"Alfa")</f>
        <v>282719</v>
      </c>
      <c r="N698" s="52" t="e">
        <f ca="1">SUMIFS(OUT!$F$2:$F$11000,OUT!$H$2:$H$101007,H698,OUT!$D$2:$D$11000,"Out",OUT!$E$2:$E$11000,"Jajan")</f>
        <v>#VALUE!</v>
      </c>
      <c r="O698" s="52">
        <f ca="1">SUMIFS(OUT!$F$2:$F$11000,OUT!$H$2:$H$11000,H698,OUT!$D$2:$D$11000,"Out",OUT!$E$2:$E$11000,"Kitchen")</f>
        <v>964968</v>
      </c>
      <c r="P698" s="52">
        <f ca="1">SUMIFS(OUT!$F$2:$F$11000,OUT!$H$2:$H$11000,H698,OUT!$D$2:$D$11000,"Out",OUT!$E$2:$E$11000,"Loandry")</f>
        <v>58396</v>
      </c>
      <c r="Q698" s="52">
        <f ca="1">SUMIFS(OUT!$F$2:$F$11000,OUT!$H$2:$H$11000,H698,OUT!$D$2:$D$11000,"Out",OUT!$E$2:$E$11000,"Mio")</f>
        <v>181000</v>
      </c>
      <c r="R698" s="52">
        <f ca="1">SUMIFS(OUT!$F$2:$F$11000,OUT!$H$2:$H$11000,H698,OUT!$D$2:$D$11000,"Out",OUT!$E$2:$E$11000,"Sedekah")</f>
        <v>0</v>
      </c>
      <c r="S698" s="52">
        <f ca="1">SUMIFS(OUT!$F$2:$F$11000,OUT!$H$2:$H$11000,H698,OUT!$D$2:$D$11000,"Out",OUT!$E$2:$E$11000,"Zela")</f>
        <v>90500</v>
      </c>
      <c r="T698" s="52">
        <f ca="1">SUMIFS(OUT!$F$2:$F$11000,OUT!$H$2:$H$11000,H698,OUT!$D$2:$D$11000,"Out",OUT!$E$2:$E$11000,"Iqbal")</f>
        <v>74070</v>
      </c>
    </row>
    <row r="699" spans="1:20" x14ac:dyDescent="0.2">
      <c r="A699" s="48">
        <f ca="1">IFERROR(__xludf.DUMMYFUNCTION("""COMPUTED_VALUE"""),46116)</f>
        <v>46116</v>
      </c>
      <c r="B699" s="4" t="str">
        <f ca="1">IFERROR(__xludf.DUMMYFUNCTION("""COMPUTED_VALUE"""),"royal")</f>
        <v>royal</v>
      </c>
      <c r="C699" s="4" t="str">
        <f ca="1">IFERROR(__xludf.DUMMYFUNCTION("""COMPUTED_VALUE"""),"ATM")</f>
        <v>ATM</v>
      </c>
      <c r="D699" s="4" t="str">
        <f ca="1">IFERROR(__xludf.DUMMYFUNCTION("""COMPUTED_VALUE"""),"Out")</f>
        <v>Out</v>
      </c>
      <c r="E699" s="4" t="str">
        <f ca="1">IFERROR(__xludf.DUMMYFUNCTION("""COMPUTED_VALUE"""),"Loandry")</f>
        <v>Loandry</v>
      </c>
      <c r="F699" s="49">
        <f ca="1">IFERROR(__xludf.DUMMYFUNCTION("""COMPUTED_VALUE"""),13500)</f>
        <v>13500</v>
      </c>
      <c r="G699" s="50" t="str">
        <f ca="1">IFERROR(__xludf.DUMMYFUNCTION("""COMPUTED_VALUE"""),"Zela")</f>
        <v>Zela</v>
      </c>
      <c r="H699" s="51">
        <f t="shared" ca="1" si="0"/>
        <v>46113</v>
      </c>
      <c r="I699" s="52" t="e">
        <f ca="1">SUMIFS(OUT!$F$2:$F$11000,OUT!$H$2:$H$11000,H699,OUT!$D$2:$D$101007,"In")</f>
        <v>#VALUE!</v>
      </c>
      <c r="J699" s="52">
        <f ca="1">SUMIFS(OUT!$F$2:$F$11000,OUT!$H$2:$H$11000,H699,OUT!$D$2:$D$11000,"Out")</f>
        <v>8253441</v>
      </c>
      <c r="K699" s="52">
        <f ca="1">SUMIFS(OUT!$F$2:$F$11000,OUT!$H$2:$H$11000,H699,OUT!$D$2:$D$11000,"Out",OUT!$E$2:$E$11000,"Fix")</f>
        <v>2554300</v>
      </c>
      <c r="L699" s="52">
        <f ca="1">SUMIFS(OUT!$F$2:$F$11000,OUT!$H$2:$H$11000,H699,OUT!$D$2:$D$11000,"Out",OUT!$E$2:$E$11000,"Bathroom")</f>
        <v>19900</v>
      </c>
      <c r="M699" s="52">
        <f ca="1">SUMIFS(OUT!$F$2:$F$11000,OUT!$H$2:$H$11000,H699,OUT!$D$2:$D$11000,"Out",OUT!$E$2:$E$11000,"Alfa")</f>
        <v>282719</v>
      </c>
      <c r="N699" s="52" t="e">
        <f ca="1">SUMIFS(OUT!$F$2:$F$11000,OUT!$H$2:$H$101007,H699,OUT!$D$2:$D$11000,"Out",OUT!$E$2:$E$11000,"Jajan")</f>
        <v>#VALUE!</v>
      </c>
      <c r="O699" s="52">
        <f ca="1">SUMIFS(OUT!$F$2:$F$11000,OUT!$H$2:$H$11000,H699,OUT!$D$2:$D$11000,"Out",OUT!$E$2:$E$11000,"Kitchen")</f>
        <v>964968</v>
      </c>
      <c r="P699" s="52">
        <f ca="1">SUMIFS(OUT!$F$2:$F$11000,OUT!$H$2:$H$11000,H699,OUT!$D$2:$D$11000,"Out",OUT!$E$2:$E$11000,"Loandry")</f>
        <v>58396</v>
      </c>
      <c r="Q699" s="52">
        <f ca="1">SUMIFS(OUT!$F$2:$F$11000,OUT!$H$2:$H$11000,H699,OUT!$D$2:$D$11000,"Out",OUT!$E$2:$E$11000,"Mio")</f>
        <v>181000</v>
      </c>
      <c r="R699" s="52">
        <f ca="1">SUMIFS(OUT!$F$2:$F$11000,OUT!$H$2:$H$11000,H699,OUT!$D$2:$D$11000,"Out",OUT!$E$2:$E$11000,"Sedekah")</f>
        <v>0</v>
      </c>
      <c r="S699" s="52">
        <f ca="1">SUMIFS(OUT!$F$2:$F$11000,OUT!$H$2:$H$11000,H699,OUT!$D$2:$D$11000,"Out",OUT!$E$2:$E$11000,"Zela")</f>
        <v>90500</v>
      </c>
      <c r="T699" s="52">
        <f ca="1">SUMIFS(OUT!$F$2:$F$11000,OUT!$H$2:$H$11000,H699,OUT!$D$2:$D$11000,"Out",OUT!$E$2:$E$11000,"Iqbal")</f>
        <v>74070</v>
      </c>
    </row>
    <row r="700" spans="1:20" x14ac:dyDescent="0.2">
      <c r="A700" s="48">
        <f ca="1">IFERROR(__xludf.DUMMYFUNCTION("""COMPUTED_VALUE"""),46116)</f>
        <v>46116</v>
      </c>
      <c r="B700" s="4" t="str">
        <f ca="1">IFERROR(__xludf.DUMMYFUNCTION("""COMPUTED_VALUE"""),"mentos ")</f>
        <v xml:space="preserve">mentos </v>
      </c>
      <c r="C700" s="4" t="str">
        <f ca="1">IFERROR(__xludf.DUMMYFUNCTION("""COMPUTED_VALUE"""),"ATM")</f>
        <v>ATM</v>
      </c>
      <c r="D700" s="4" t="str">
        <f ca="1">IFERROR(__xludf.DUMMYFUNCTION("""COMPUTED_VALUE"""),"Out")</f>
        <v>Out</v>
      </c>
      <c r="E700" s="4" t="str">
        <f ca="1">IFERROR(__xludf.DUMMYFUNCTION("""COMPUTED_VALUE"""),"Jajan")</f>
        <v>Jajan</v>
      </c>
      <c r="F700" s="49">
        <f ca="1">IFERROR(__xludf.DUMMYFUNCTION("""COMPUTED_VALUE"""),4800)</f>
        <v>4800</v>
      </c>
      <c r="G700" s="50" t="str">
        <f ca="1">IFERROR(__xludf.DUMMYFUNCTION("""COMPUTED_VALUE"""),"Zela")</f>
        <v>Zela</v>
      </c>
      <c r="H700" s="51">
        <f t="shared" ca="1" si="0"/>
        <v>46113</v>
      </c>
      <c r="I700" s="52" t="e">
        <f ca="1">SUMIFS(OUT!$F$2:$F$11000,OUT!$H$2:$H$11000,H700,OUT!$D$2:$D$101007,"In")</f>
        <v>#VALUE!</v>
      </c>
      <c r="J700" s="52">
        <f ca="1">SUMIFS(OUT!$F$2:$F$11000,OUT!$H$2:$H$11000,H700,OUT!$D$2:$D$11000,"Out")</f>
        <v>8253441</v>
      </c>
      <c r="K700" s="52">
        <f ca="1">SUMIFS(OUT!$F$2:$F$11000,OUT!$H$2:$H$11000,H700,OUT!$D$2:$D$11000,"Out",OUT!$E$2:$E$11000,"Fix")</f>
        <v>2554300</v>
      </c>
      <c r="L700" s="52">
        <f ca="1">SUMIFS(OUT!$F$2:$F$11000,OUT!$H$2:$H$11000,H700,OUT!$D$2:$D$11000,"Out",OUT!$E$2:$E$11000,"Bathroom")</f>
        <v>19900</v>
      </c>
      <c r="M700" s="52">
        <f ca="1">SUMIFS(OUT!$F$2:$F$11000,OUT!$H$2:$H$11000,H700,OUT!$D$2:$D$11000,"Out",OUT!$E$2:$E$11000,"Alfa")</f>
        <v>282719</v>
      </c>
      <c r="N700" s="52" t="e">
        <f ca="1">SUMIFS(OUT!$F$2:$F$11000,OUT!$H$2:$H$101007,H700,OUT!$D$2:$D$11000,"Out",OUT!$E$2:$E$11000,"Jajan")</f>
        <v>#VALUE!</v>
      </c>
      <c r="O700" s="52">
        <f ca="1">SUMIFS(OUT!$F$2:$F$11000,OUT!$H$2:$H$11000,H700,OUT!$D$2:$D$11000,"Out",OUT!$E$2:$E$11000,"Kitchen")</f>
        <v>964968</v>
      </c>
      <c r="P700" s="52">
        <f ca="1">SUMIFS(OUT!$F$2:$F$11000,OUT!$H$2:$H$11000,H700,OUT!$D$2:$D$11000,"Out",OUT!$E$2:$E$11000,"Loandry")</f>
        <v>58396</v>
      </c>
      <c r="Q700" s="52">
        <f ca="1">SUMIFS(OUT!$F$2:$F$11000,OUT!$H$2:$H$11000,H700,OUT!$D$2:$D$11000,"Out",OUT!$E$2:$E$11000,"Mio")</f>
        <v>181000</v>
      </c>
      <c r="R700" s="52">
        <f ca="1">SUMIFS(OUT!$F$2:$F$11000,OUT!$H$2:$H$11000,H700,OUT!$D$2:$D$11000,"Out",OUT!$E$2:$E$11000,"Sedekah")</f>
        <v>0</v>
      </c>
      <c r="S700" s="52">
        <f ca="1">SUMIFS(OUT!$F$2:$F$11000,OUT!$H$2:$H$11000,H700,OUT!$D$2:$D$11000,"Out",OUT!$E$2:$E$11000,"Zela")</f>
        <v>90500</v>
      </c>
      <c r="T700" s="52">
        <f ca="1">SUMIFS(OUT!$F$2:$F$11000,OUT!$H$2:$H$11000,H700,OUT!$D$2:$D$11000,"Out",OUT!$E$2:$E$11000,"Iqbal")</f>
        <v>74070</v>
      </c>
    </row>
    <row r="701" spans="1:20" x14ac:dyDescent="0.2">
      <c r="A701" s="48">
        <f ca="1">IFERROR(__xludf.DUMMYFUNCTION("""COMPUTED_VALUE"""),46118)</f>
        <v>46118</v>
      </c>
      <c r="B701" s="4" t="str">
        <f ca="1">IFERROR(__xludf.DUMMYFUNCTION("""COMPUTED_VALUE"""),"Galon")</f>
        <v>Galon</v>
      </c>
      <c r="C701" s="4" t="str">
        <f ca="1">IFERROR(__xludf.DUMMYFUNCTION("""COMPUTED_VALUE"""),"Cash")</f>
        <v>Cash</v>
      </c>
      <c r="D701" s="4" t="str">
        <f ca="1">IFERROR(__xludf.DUMMYFUNCTION("""COMPUTED_VALUE"""),"Out")</f>
        <v>Out</v>
      </c>
      <c r="E701" s="4" t="str">
        <f ca="1">IFERROR(__xludf.DUMMYFUNCTION("""COMPUTED_VALUE"""),"Kitchen")</f>
        <v>Kitchen</v>
      </c>
      <c r="F701" s="49">
        <f ca="1">IFERROR(__xludf.DUMMYFUNCTION("""COMPUTED_VALUE"""),5000)</f>
        <v>5000</v>
      </c>
      <c r="G701" s="50" t="str">
        <f ca="1">IFERROR(__xludf.DUMMYFUNCTION("""COMPUTED_VALUE"""),"Zela")</f>
        <v>Zela</v>
      </c>
      <c r="H701" s="51">
        <f t="shared" ca="1" si="0"/>
        <v>46113</v>
      </c>
      <c r="I701" s="52" t="e">
        <f ca="1">SUMIFS(OUT!$F$2:$F$11000,OUT!$H$2:$H$11000,H701,OUT!$D$2:$D$101007,"In")</f>
        <v>#VALUE!</v>
      </c>
      <c r="J701" s="52">
        <f ca="1">SUMIFS(OUT!$F$2:$F$11000,OUT!$H$2:$H$11000,H701,OUT!$D$2:$D$11000,"Out")</f>
        <v>8253441</v>
      </c>
      <c r="K701" s="52">
        <f ca="1">SUMIFS(OUT!$F$2:$F$11000,OUT!$H$2:$H$11000,H701,OUT!$D$2:$D$11000,"Out",OUT!$E$2:$E$11000,"Fix")</f>
        <v>2554300</v>
      </c>
      <c r="L701" s="52">
        <f ca="1">SUMIFS(OUT!$F$2:$F$11000,OUT!$H$2:$H$11000,H701,OUT!$D$2:$D$11000,"Out",OUT!$E$2:$E$11000,"Bathroom")</f>
        <v>19900</v>
      </c>
      <c r="M701" s="52">
        <f ca="1">SUMIFS(OUT!$F$2:$F$11000,OUT!$H$2:$H$11000,H701,OUT!$D$2:$D$11000,"Out",OUT!$E$2:$E$11000,"Alfa")</f>
        <v>282719</v>
      </c>
      <c r="N701" s="52" t="e">
        <f ca="1">SUMIFS(OUT!$F$2:$F$11000,OUT!$H$2:$H$101007,H701,OUT!$D$2:$D$11000,"Out",OUT!$E$2:$E$11000,"Jajan")</f>
        <v>#VALUE!</v>
      </c>
      <c r="O701" s="52">
        <f ca="1">SUMIFS(OUT!$F$2:$F$11000,OUT!$H$2:$H$11000,H701,OUT!$D$2:$D$11000,"Out",OUT!$E$2:$E$11000,"Kitchen")</f>
        <v>964968</v>
      </c>
      <c r="P701" s="52">
        <f ca="1">SUMIFS(OUT!$F$2:$F$11000,OUT!$H$2:$H$11000,H701,OUT!$D$2:$D$11000,"Out",OUT!$E$2:$E$11000,"Loandry")</f>
        <v>58396</v>
      </c>
      <c r="Q701" s="52">
        <f ca="1">SUMIFS(OUT!$F$2:$F$11000,OUT!$H$2:$H$11000,H701,OUT!$D$2:$D$11000,"Out",OUT!$E$2:$E$11000,"Mio")</f>
        <v>181000</v>
      </c>
      <c r="R701" s="52">
        <f ca="1">SUMIFS(OUT!$F$2:$F$11000,OUT!$H$2:$H$11000,H701,OUT!$D$2:$D$11000,"Out",OUT!$E$2:$E$11000,"Sedekah")</f>
        <v>0</v>
      </c>
      <c r="S701" s="52">
        <f ca="1">SUMIFS(OUT!$F$2:$F$11000,OUT!$H$2:$H$11000,H701,OUT!$D$2:$D$11000,"Out",OUT!$E$2:$E$11000,"Zela")</f>
        <v>90500</v>
      </c>
      <c r="T701" s="52">
        <f ca="1">SUMIFS(OUT!$F$2:$F$11000,OUT!$H$2:$H$11000,H701,OUT!$D$2:$D$11000,"Out",OUT!$E$2:$E$11000,"Iqbal")</f>
        <v>74070</v>
      </c>
    </row>
    <row r="702" spans="1:20" x14ac:dyDescent="0.2">
      <c r="A702" s="48">
        <f ca="1">IFERROR(__xludf.DUMMYFUNCTION("""COMPUTED_VALUE"""),46119)</f>
        <v>46119</v>
      </c>
      <c r="B702" s="4" t="str">
        <f ca="1">IFERROR(__xludf.DUMMYFUNCTION("""COMPUTED_VALUE"""),"jajan alfa")</f>
        <v>jajan alfa</v>
      </c>
      <c r="C702" s="4" t="str">
        <f ca="1">IFERROR(__xludf.DUMMYFUNCTION("""COMPUTED_VALUE"""),"Cash")</f>
        <v>Cash</v>
      </c>
      <c r="D702" s="4" t="str">
        <f ca="1">IFERROR(__xludf.DUMMYFUNCTION("""COMPUTED_VALUE"""),"Out")</f>
        <v>Out</v>
      </c>
      <c r="E702" s="4" t="str">
        <f ca="1">IFERROR(__xludf.DUMMYFUNCTION("""COMPUTED_VALUE"""),"Jajan")</f>
        <v>Jajan</v>
      </c>
      <c r="F702" s="49">
        <f ca="1">IFERROR(__xludf.DUMMYFUNCTION("""COMPUTED_VALUE"""),5000)</f>
        <v>5000</v>
      </c>
      <c r="G702" s="50" t="str">
        <f ca="1">IFERROR(__xludf.DUMMYFUNCTION("""COMPUTED_VALUE"""),"Zela")</f>
        <v>Zela</v>
      </c>
      <c r="H702" s="51">
        <f t="shared" ca="1" si="0"/>
        <v>46113</v>
      </c>
      <c r="I702" s="52" t="e">
        <f ca="1">SUMIFS(OUT!$F$2:$F$11000,OUT!$H$2:$H$11000,H702,OUT!$D$2:$D$101007,"In")</f>
        <v>#VALUE!</v>
      </c>
      <c r="J702" s="52">
        <f ca="1">SUMIFS(OUT!$F$2:$F$11000,OUT!$H$2:$H$11000,H702,OUT!$D$2:$D$11000,"Out")</f>
        <v>8253441</v>
      </c>
      <c r="K702" s="52">
        <f ca="1">SUMIFS(OUT!$F$2:$F$11000,OUT!$H$2:$H$11000,H702,OUT!$D$2:$D$11000,"Out",OUT!$E$2:$E$11000,"Fix")</f>
        <v>2554300</v>
      </c>
      <c r="L702" s="52">
        <f ca="1">SUMIFS(OUT!$F$2:$F$11000,OUT!$H$2:$H$11000,H702,OUT!$D$2:$D$11000,"Out",OUT!$E$2:$E$11000,"Bathroom")</f>
        <v>19900</v>
      </c>
      <c r="M702" s="52">
        <f ca="1">SUMIFS(OUT!$F$2:$F$11000,OUT!$H$2:$H$11000,H702,OUT!$D$2:$D$11000,"Out",OUT!$E$2:$E$11000,"Alfa")</f>
        <v>282719</v>
      </c>
      <c r="N702" s="52" t="e">
        <f ca="1">SUMIFS(OUT!$F$2:$F$11000,OUT!$H$2:$H$101007,H702,OUT!$D$2:$D$11000,"Out",OUT!$E$2:$E$11000,"Jajan")</f>
        <v>#VALUE!</v>
      </c>
      <c r="O702" s="52">
        <f ca="1">SUMIFS(OUT!$F$2:$F$11000,OUT!$H$2:$H$11000,H702,OUT!$D$2:$D$11000,"Out",OUT!$E$2:$E$11000,"Kitchen")</f>
        <v>964968</v>
      </c>
      <c r="P702" s="52">
        <f ca="1">SUMIFS(OUT!$F$2:$F$11000,OUT!$H$2:$H$11000,H702,OUT!$D$2:$D$11000,"Out",OUT!$E$2:$E$11000,"Loandry")</f>
        <v>58396</v>
      </c>
      <c r="Q702" s="52">
        <f ca="1">SUMIFS(OUT!$F$2:$F$11000,OUT!$H$2:$H$11000,H702,OUT!$D$2:$D$11000,"Out",OUT!$E$2:$E$11000,"Mio")</f>
        <v>181000</v>
      </c>
      <c r="R702" s="52">
        <f ca="1">SUMIFS(OUT!$F$2:$F$11000,OUT!$H$2:$H$11000,H702,OUT!$D$2:$D$11000,"Out",OUT!$E$2:$E$11000,"Sedekah")</f>
        <v>0</v>
      </c>
      <c r="S702" s="52">
        <f ca="1">SUMIFS(OUT!$F$2:$F$11000,OUT!$H$2:$H$11000,H702,OUT!$D$2:$D$11000,"Out",OUT!$E$2:$E$11000,"Zela")</f>
        <v>90500</v>
      </c>
      <c r="T702" s="52">
        <f ca="1">SUMIFS(OUT!$F$2:$F$11000,OUT!$H$2:$H$11000,H702,OUT!$D$2:$D$11000,"Out",OUT!$E$2:$E$11000,"Iqbal")</f>
        <v>74070</v>
      </c>
    </row>
    <row r="703" spans="1:20" x14ac:dyDescent="0.2">
      <c r="A703" s="48">
        <f ca="1">IFERROR(__xludf.DUMMYFUNCTION("""COMPUTED_VALUE"""),46120)</f>
        <v>46120</v>
      </c>
      <c r="B703" s="4" t="str">
        <f ca="1">IFERROR(__xludf.DUMMYFUNCTION("""COMPUTED_VALUE"""),"Bensin motor ")</f>
        <v xml:space="preserve">Bensin motor </v>
      </c>
      <c r="C703" s="4" t="str">
        <f ca="1">IFERROR(__xludf.DUMMYFUNCTION("""COMPUTED_VALUE"""),"Cash")</f>
        <v>Cash</v>
      </c>
      <c r="D703" s="4" t="str">
        <f ca="1">IFERROR(__xludf.DUMMYFUNCTION("""COMPUTED_VALUE"""),"Out")</f>
        <v>Out</v>
      </c>
      <c r="E703" s="4" t="str">
        <f ca="1">IFERROR(__xludf.DUMMYFUNCTION("""COMPUTED_VALUE"""),"Mio")</f>
        <v>Mio</v>
      </c>
      <c r="F703" s="49">
        <f ca="1">IFERROR(__xludf.DUMMYFUNCTION("""COMPUTED_VALUE"""),30000)</f>
        <v>30000</v>
      </c>
      <c r="G703" s="50" t="str">
        <f ca="1">IFERROR(__xludf.DUMMYFUNCTION("""COMPUTED_VALUE"""),"Zela")</f>
        <v>Zela</v>
      </c>
      <c r="H703" s="51">
        <f t="shared" ca="1" si="0"/>
        <v>46113</v>
      </c>
      <c r="I703" s="52" t="e">
        <f ca="1">SUMIFS(OUT!$F$2:$F$11000,OUT!$H$2:$H$11000,H703,OUT!$D$2:$D$101007,"In")</f>
        <v>#VALUE!</v>
      </c>
      <c r="J703" s="52">
        <f ca="1">SUMIFS(OUT!$F$2:$F$11000,OUT!$H$2:$H$11000,H703,OUT!$D$2:$D$11000,"Out")</f>
        <v>8253441</v>
      </c>
      <c r="K703" s="52">
        <f ca="1">SUMIFS(OUT!$F$2:$F$11000,OUT!$H$2:$H$11000,H703,OUT!$D$2:$D$11000,"Out",OUT!$E$2:$E$11000,"Fix")</f>
        <v>2554300</v>
      </c>
      <c r="L703" s="52">
        <f ca="1">SUMIFS(OUT!$F$2:$F$11000,OUT!$H$2:$H$11000,H703,OUT!$D$2:$D$11000,"Out",OUT!$E$2:$E$11000,"Bathroom")</f>
        <v>19900</v>
      </c>
      <c r="M703" s="52">
        <f ca="1">SUMIFS(OUT!$F$2:$F$11000,OUT!$H$2:$H$11000,H703,OUT!$D$2:$D$11000,"Out",OUT!$E$2:$E$11000,"Alfa")</f>
        <v>282719</v>
      </c>
      <c r="N703" s="52" t="e">
        <f ca="1">SUMIFS(OUT!$F$2:$F$11000,OUT!$H$2:$H$101007,H703,OUT!$D$2:$D$11000,"Out",OUT!$E$2:$E$11000,"Jajan")</f>
        <v>#VALUE!</v>
      </c>
      <c r="O703" s="52">
        <f ca="1">SUMIFS(OUT!$F$2:$F$11000,OUT!$H$2:$H$11000,H703,OUT!$D$2:$D$11000,"Out",OUT!$E$2:$E$11000,"Kitchen")</f>
        <v>964968</v>
      </c>
      <c r="P703" s="52">
        <f ca="1">SUMIFS(OUT!$F$2:$F$11000,OUT!$H$2:$H$11000,H703,OUT!$D$2:$D$11000,"Out",OUT!$E$2:$E$11000,"Loandry")</f>
        <v>58396</v>
      </c>
      <c r="Q703" s="52">
        <f ca="1">SUMIFS(OUT!$F$2:$F$11000,OUT!$H$2:$H$11000,H703,OUT!$D$2:$D$11000,"Out",OUT!$E$2:$E$11000,"Mio")</f>
        <v>181000</v>
      </c>
      <c r="R703" s="52">
        <f ca="1">SUMIFS(OUT!$F$2:$F$11000,OUT!$H$2:$H$11000,H703,OUT!$D$2:$D$11000,"Out",OUT!$E$2:$E$11000,"Sedekah")</f>
        <v>0</v>
      </c>
      <c r="S703" s="52">
        <f ca="1">SUMIFS(OUT!$F$2:$F$11000,OUT!$H$2:$H$11000,H703,OUT!$D$2:$D$11000,"Out",OUT!$E$2:$E$11000,"Zela")</f>
        <v>90500</v>
      </c>
      <c r="T703" s="52">
        <f ca="1">SUMIFS(OUT!$F$2:$F$11000,OUT!$H$2:$H$11000,H703,OUT!$D$2:$D$11000,"Out",OUT!$E$2:$E$11000,"Iqbal")</f>
        <v>74070</v>
      </c>
    </row>
    <row r="704" spans="1:20" x14ac:dyDescent="0.2">
      <c r="A704" s="48">
        <f ca="1">IFERROR(__xludf.DUMMYFUNCTION("""COMPUTED_VALUE"""),46121)</f>
        <v>46121</v>
      </c>
      <c r="B704" s="4" t="str">
        <f ca="1">IFERROR(__xludf.DUMMYFUNCTION("""COMPUTED_VALUE"""),"Molen ")</f>
        <v xml:space="preserve">Molen </v>
      </c>
      <c r="C704" s="4" t="str">
        <f ca="1">IFERROR(__xludf.DUMMYFUNCTION("""COMPUTED_VALUE"""),"Cash")</f>
        <v>Cash</v>
      </c>
      <c r="D704" s="4" t="str">
        <f ca="1">IFERROR(__xludf.DUMMYFUNCTION("""COMPUTED_VALUE"""),"Out")</f>
        <v>Out</v>
      </c>
      <c r="E704" s="4" t="str">
        <f ca="1">IFERROR(__xludf.DUMMYFUNCTION("""COMPUTED_VALUE"""),"Jajan")</f>
        <v>Jajan</v>
      </c>
      <c r="F704" s="49">
        <f ca="1">IFERROR(__xludf.DUMMYFUNCTION("""COMPUTED_VALUE"""),10000)</f>
        <v>10000</v>
      </c>
      <c r="G704" s="50" t="str">
        <f ca="1">IFERROR(__xludf.DUMMYFUNCTION("""COMPUTED_VALUE"""),"Zela")</f>
        <v>Zela</v>
      </c>
      <c r="H704" s="51">
        <f t="shared" ca="1" si="0"/>
        <v>46113</v>
      </c>
      <c r="I704" s="52" t="e">
        <f ca="1">SUMIFS(OUT!$F$2:$F$11000,OUT!$H$2:$H$11000,H704,OUT!$D$2:$D$101007,"In")</f>
        <v>#VALUE!</v>
      </c>
      <c r="J704" s="52">
        <f ca="1">SUMIFS(OUT!$F$2:$F$11000,OUT!$H$2:$H$11000,H704,OUT!$D$2:$D$11000,"Out")</f>
        <v>8253441</v>
      </c>
      <c r="K704" s="52">
        <f ca="1">SUMIFS(OUT!$F$2:$F$11000,OUT!$H$2:$H$11000,H704,OUT!$D$2:$D$11000,"Out",OUT!$E$2:$E$11000,"Fix")</f>
        <v>2554300</v>
      </c>
      <c r="L704" s="52">
        <f ca="1">SUMIFS(OUT!$F$2:$F$11000,OUT!$H$2:$H$11000,H704,OUT!$D$2:$D$11000,"Out",OUT!$E$2:$E$11000,"Bathroom")</f>
        <v>19900</v>
      </c>
      <c r="M704" s="52">
        <f ca="1">SUMIFS(OUT!$F$2:$F$11000,OUT!$H$2:$H$11000,H704,OUT!$D$2:$D$11000,"Out",OUT!$E$2:$E$11000,"Alfa")</f>
        <v>282719</v>
      </c>
      <c r="N704" s="52" t="e">
        <f ca="1">SUMIFS(OUT!$F$2:$F$11000,OUT!$H$2:$H$101007,H704,OUT!$D$2:$D$11000,"Out",OUT!$E$2:$E$11000,"Jajan")</f>
        <v>#VALUE!</v>
      </c>
      <c r="O704" s="52">
        <f ca="1">SUMIFS(OUT!$F$2:$F$11000,OUT!$H$2:$H$11000,H704,OUT!$D$2:$D$11000,"Out",OUT!$E$2:$E$11000,"Kitchen")</f>
        <v>964968</v>
      </c>
      <c r="P704" s="52">
        <f ca="1">SUMIFS(OUT!$F$2:$F$11000,OUT!$H$2:$H$11000,H704,OUT!$D$2:$D$11000,"Out",OUT!$E$2:$E$11000,"Loandry")</f>
        <v>58396</v>
      </c>
      <c r="Q704" s="52">
        <f ca="1">SUMIFS(OUT!$F$2:$F$11000,OUT!$H$2:$H$11000,H704,OUT!$D$2:$D$11000,"Out",OUT!$E$2:$E$11000,"Mio")</f>
        <v>181000</v>
      </c>
      <c r="R704" s="52">
        <f ca="1">SUMIFS(OUT!$F$2:$F$11000,OUT!$H$2:$H$11000,H704,OUT!$D$2:$D$11000,"Out",OUT!$E$2:$E$11000,"Sedekah")</f>
        <v>0</v>
      </c>
      <c r="S704" s="52">
        <f ca="1">SUMIFS(OUT!$F$2:$F$11000,OUT!$H$2:$H$11000,H704,OUT!$D$2:$D$11000,"Out",OUT!$E$2:$E$11000,"Zela")</f>
        <v>90500</v>
      </c>
      <c r="T704" s="52">
        <f ca="1">SUMIFS(OUT!$F$2:$F$11000,OUT!$H$2:$H$11000,H704,OUT!$D$2:$D$11000,"Out",OUT!$E$2:$E$11000,"Iqbal")</f>
        <v>74070</v>
      </c>
    </row>
    <row r="705" spans="1:20" x14ac:dyDescent="0.2">
      <c r="A705" s="48">
        <f ca="1">IFERROR(__xludf.DUMMYFUNCTION("""COMPUTED_VALUE"""),46121)</f>
        <v>46121</v>
      </c>
      <c r="B705" s="4" t="str">
        <f ca="1">IFERROR(__xludf.DUMMYFUNCTION("""COMPUTED_VALUE"""),"sate ")</f>
        <v xml:space="preserve">sate </v>
      </c>
      <c r="C705" s="4" t="str">
        <f ca="1">IFERROR(__xludf.DUMMYFUNCTION("""COMPUTED_VALUE"""),"Cash")</f>
        <v>Cash</v>
      </c>
      <c r="D705" s="4" t="str">
        <f ca="1">IFERROR(__xludf.DUMMYFUNCTION("""COMPUTED_VALUE"""),"Out")</f>
        <v>Out</v>
      </c>
      <c r="E705" s="4" t="str">
        <f ca="1">IFERROR(__xludf.DUMMYFUNCTION("""COMPUTED_VALUE"""),"Jajan")</f>
        <v>Jajan</v>
      </c>
      <c r="F705" s="49">
        <f ca="1">IFERROR(__xludf.DUMMYFUNCTION("""COMPUTED_VALUE"""),10000)</f>
        <v>10000</v>
      </c>
      <c r="G705" s="50" t="str">
        <f ca="1">IFERROR(__xludf.DUMMYFUNCTION("""COMPUTED_VALUE"""),"Zela")</f>
        <v>Zela</v>
      </c>
      <c r="H705" s="51">
        <f t="shared" ca="1" si="0"/>
        <v>46113</v>
      </c>
      <c r="I705" s="52" t="e">
        <f ca="1">SUMIFS(OUT!$F$2:$F$11000,OUT!$H$2:$H$11000,H705,OUT!$D$2:$D$101007,"In")</f>
        <v>#VALUE!</v>
      </c>
      <c r="J705" s="52">
        <f ca="1">SUMIFS(OUT!$F$2:$F$11000,OUT!$H$2:$H$11000,H705,OUT!$D$2:$D$11000,"Out")</f>
        <v>8253441</v>
      </c>
      <c r="K705" s="52">
        <f ca="1">SUMIFS(OUT!$F$2:$F$11000,OUT!$H$2:$H$11000,H705,OUT!$D$2:$D$11000,"Out",OUT!$E$2:$E$11000,"Fix")</f>
        <v>2554300</v>
      </c>
      <c r="L705" s="52">
        <f ca="1">SUMIFS(OUT!$F$2:$F$11000,OUT!$H$2:$H$11000,H705,OUT!$D$2:$D$11000,"Out",OUT!$E$2:$E$11000,"Bathroom")</f>
        <v>19900</v>
      </c>
      <c r="M705" s="52">
        <f ca="1">SUMIFS(OUT!$F$2:$F$11000,OUT!$H$2:$H$11000,H705,OUT!$D$2:$D$11000,"Out",OUT!$E$2:$E$11000,"Alfa")</f>
        <v>282719</v>
      </c>
      <c r="N705" s="52" t="e">
        <f ca="1">SUMIFS(OUT!$F$2:$F$11000,OUT!$H$2:$H$101007,H705,OUT!$D$2:$D$11000,"Out",OUT!$E$2:$E$11000,"Jajan")</f>
        <v>#VALUE!</v>
      </c>
      <c r="O705" s="52">
        <f ca="1">SUMIFS(OUT!$F$2:$F$11000,OUT!$H$2:$H$11000,H705,OUT!$D$2:$D$11000,"Out",OUT!$E$2:$E$11000,"Kitchen")</f>
        <v>964968</v>
      </c>
      <c r="P705" s="52">
        <f ca="1">SUMIFS(OUT!$F$2:$F$11000,OUT!$H$2:$H$11000,H705,OUT!$D$2:$D$11000,"Out",OUT!$E$2:$E$11000,"Loandry")</f>
        <v>58396</v>
      </c>
      <c r="Q705" s="52">
        <f ca="1">SUMIFS(OUT!$F$2:$F$11000,OUT!$H$2:$H$11000,H705,OUT!$D$2:$D$11000,"Out",OUT!$E$2:$E$11000,"Mio")</f>
        <v>181000</v>
      </c>
      <c r="R705" s="52">
        <f ca="1">SUMIFS(OUT!$F$2:$F$11000,OUT!$H$2:$H$11000,H705,OUT!$D$2:$D$11000,"Out",OUT!$E$2:$E$11000,"Sedekah")</f>
        <v>0</v>
      </c>
      <c r="S705" s="52">
        <f ca="1">SUMIFS(OUT!$F$2:$F$11000,OUT!$H$2:$H$11000,H705,OUT!$D$2:$D$11000,"Out",OUT!$E$2:$E$11000,"Zela")</f>
        <v>90500</v>
      </c>
      <c r="T705" s="52">
        <f ca="1">SUMIFS(OUT!$F$2:$F$11000,OUT!$H$2:$H$11000,H705,OUT!$D$2:$D$11000,"Out",OUT!$E$2:$E$11000,"Iqbal")</f>
        <v>74070</v>
      </c>
    </row>
    <row r="706" spans="1:20" x14ac:dyDescent="0.2">
      <c r="A706" s="48">
        <f ca="1">IFERROR(__xludf.DUMMYFUNCTION("""COMPUTED_VALUE"""),46118)</f>
        <v>46118</v>
      </c>
      <c r="B706" s="4" t="str">
        <f ca="1">IFERROR(__xludf.DUMMYFUNCTION("""COMPUTED_VALUE"""),"Lupa catat")</f>
        <v>Lupa catat</v>
      </c>
      <c r="C706" s="4" t="str">
        <f ca="1">IFERROR(__xludf.DUMMYFUNCTION("""COMPUTED_VALUE"""),"Cash")</f>
        <v>Cash</v>
      </c>
      <c r="D706" s="4" t="str">
        <f ca="1">IFERROR(__xludf.DUMMYFUNCTION("""COMPUTED_VALUE"""),"Out")</f>
        <v>Out</v>
      </c>
      <c r="E706" s="4" t="str">
        <f ca="1">IFERROR(__xludf.DUMMYFUNCTION("""COMPUTED_VALUE"""),"Jajan")</f>
        <v>Jajan</v>
      </c>
      <c r="F706" s="49">
        <f ca="1">IFERROR(__xludf.DUMMYFUNCTION("""COMPUTED_VALUE"""),5000)</f>
        <v>5000</v>
      </c>
      <c r="G706" s="50" t="str">
        <f ca="1">IFERROR(__xludf.DUMMYFUNCTION("""COMPUTED_VALUE"""),"Zela")</f>
        <v>Zela</v>
      </c>
      <c r="H706" s="51">
        <f t="shared" ca="1" si="0"/>
        <v>46113</v>
      </c>
      <c r="I706" s="52" t="e">
        <f ca="1">SUMIFS(OUT!$F$2:$F$11000,OUT!$H$2:$H$11000,H706,OUT!$D$2:$D$101007,"In")</f>
        <v>#VALUE!</v>
      </c>
      <c r="J706" s="52">
        <f ca="1">SUMIFS(OUT!$F$2:$F$11000,OUT!$H$2:$H$11000,H706,OUT!$D$2:$D$11000,"Out")</f>
        <v>8253441</v>
      </c>
      <c r="K706" s="52">
        <f ca="1">SUMIFS(OUT!$F$2:$F$11000,OUT!$H$2:$H$11000,H706,OUT!$D$2:$D$11000,"Out",OUT!$E$2:$E$11000,"Fix")</f>
        <v>2554300</v>
      </c>
      <c r="L706" s="52">
        <f ca="1">SUMIFS(OUT!$F$2:$F$11000,OUT!$H$2:$H$11000,H706,OUT!$D$2:$D$11000,"Out",OUT!$E$2:$E$11000,"Bathroom")</f>
        <v>19900</v>
      </c>
      <c r="M706" s="52">
        <f ca="1">SUMIFS(OUT!$F$2:$F$11000,OUT!$H$2:$H$11000,H706,OUT!$D$2:$D$11000,"Out",OUT!$E$2:$E$11000,"Alfa")</f>
        <v>282719</v>
      </c>
      <c r="N706" s="52" t="e">
        <f ca="1">SUMIFS(OUT!$F$2:$F$11000,OUT!$H$2:$H$101007,H706,OUT!$D$2:$D$11000,"Out",OUT!$E$2:$E$11000,"Jajan")</f>
        <v>#VALUE!</v>
      </c>
      <c r="O706" s="52">
        <f ca="1">SUMIFS(OUT!$F$2:$F$11000,OUT!$H$2:$H$11000,H706,OUT!$D$2:$D$11000,"Out",OUT!$E$2:$E$11000,"Kitchen")</f>
        <v>964968</v>
      </c>
      <c r="P706" s="52">
        <f ca="1">SUMIFS(OUT!$F$2:$F$11000,OUT!$H$2:$H$11000,H706,OUT!$D$2:$D$11000,"Out",OUT!$E$2:$E$11000,"Loandry")</f>
        <v>58396</v>
      </c>
      <c r="Q706" s="52">
        <f ca="1">SUMIFS(OUT!$F$2:$F$11000,OUT!$H$2:$H$11000,H706,OUT!$D$2:$D$11000,"Out",OUT!$E$2:$E$11000,"Mio")</f>
        <v>181000</v>
      </c>
      <c r="R706" s="52">
        <f ca="1">SUMIFS(OUT!$F$2:$F$11000,OUT!$H$2:$H$11000,H706,OUT!$D$2:$D$11000,"Out",OUT!$E$2:$E$11000,"Sedekah")</f>
        <v>0</v>
      </c>
      <c r="S706" s="52">
        <f ca="1">SUMIFS(OUT!$F$2:$F$11000,OUT!$H$2:$H$11000,H706,OUT!$D$2:$D$11000,"Out",OUT!$E$2:$E$11000,"Zela")</f>
        <v>90500</v>
      </c>
      <c r="T706" s="52">
        <f ca="1">SUMIFS(OUT!$F$2:$F$11000,OUT!$H$2:$H$11000,H706,OUT!$D$2:$D$11000,"Out",OUT!$E$2:$E$11000,"Iqbal")</f>
        <v>74070</v>
      </c>
    </row>
    <row r="707" spans="1:20" x14ac:dyDescent="0.2">
      <c r="A707" s="48">
        <f ca="1">IFERROR(__xludf.DUMMYFUNCTION("""COMPUTED_VALUE"""),46122)</f>
        <v>46122</v>
      </c>
      <c r="B707" s="4" t="str">
        <f ca="1">IFERROR(__xludf.DUMMYFUNCTION("""COMPUTED_VALUE"""),"susu Alfa ")</f>
        <v xml:space="preserve">susu Alfa </v>
      </c>
      <c r="C707" s="4" t="str">
        <f ca="1">IFERROR(__xludf.DUMMYFUNCTION("""COMPUTED_VALUE"""),"ATM")</f>
        <v>ATM</v>
      </c>
      <c r="D707" s="4" t="str">
        <f ca="1">IFERROR(__xludf.DUMMYFUNCTION("""COMPUTED_VALUE"""),"Out")</f>
        <v>Out</v>
      </c>
      <c r="E707" s="4" t="str">
        <f ca="1">IFERROR(__xludf.DUMMYFUNCTION("""COMPUTED_VALUE"""),"Alfa")</f>
        <v>Alfa</v>
      </c>
      <c r="F707" s="49">
        <f ca="1">IFERROR(__xludf.DUMMYFUNCTION("""COMPUTED_VALUE"""),55867)</f>
        <v>55867</v>
      </c>
      <c r="G707" s="50" t="str">
        <f ca="1">IFERROR(__xludf.DUMMYFUNCTION("""COMPUTED_VALUE"""),"Zela")</f>
        <v>Zela</v>
      </c>
      <c r="H707" s="51">
        <f t="shared" ca="1" si="0"/>
        <v>46113</v>
      </c>
      <c r="I707" s="52" t="e">
        <f ca="1">SUMIFS(OUT!$F$2:$F$11000,OUT!$H$2:$H$11000,H707,OUT!$D$2:$D$101007,"In")</f>
        <v>#VALUE!</v>
      </c>
      <c r="J707" s="52">
        <f ca="1">SUMIFS(OUT!$F$2:$F$11000,OUT!$H$2:$H$11000,H707,OUT!$D$2:$D$11000,"Out")</f>
        <v>8253441</v>
      </c>
      <c r="K707" s="52">
        <f ca="1">SUMIFS(OUT!$F$2:$F$11000,OUT!$H$2:$H$11000,H707,OUT!$D$2:$D$11000,"Out",OUT!$E$2:$E$11000,"Fix")</f>
        <v>2554300</v>
      </c>
      <c r="L707" s="52">
        <f ca="1">SUMIFS(OUT!$F$2:$F$11000,OUT!$H$2:$H$11000,H707,OUT!$D$2:$D$11000,"Out",OUT!$E$2:$E$11000,"Bathroom")</f>
        <v>19900</v>
      </c>
      <c r="M707" s="52">
        <f ca="1">SUMIFS(OUT!$F$2:$F$11000,OUT!$H$2:$H$11000,H707,OUT!$D$2:$D$11000,"Out",OUT!$E$2:$E$11000,"Alfa")</f>
        <v>282719</v>
      </c>
      <c r="N707" s="52" t="e">
        <f ca="1">SUMIFS(OUT!$F$2:$F$11000,OUT!$H$2:$H$101007,H707,OUT!$D$2:$D$11000,"Out",OUT!$E$2:$E$11000,"Jajan")</f>
        <v>#VALUE!</v>
      </c>
      <c r="O707" s="52">
        <f ca="1">SUMIFS(OUT!$F$2:$F$11000,OUT!$H$2:$H$11000,H707,OUT!$D$2:$D$11000,"Out",OUT!$E$2:$E$11000,"Kitchen")</f>
        <v>964968</v>
      </c>
      <c r="P707" s="52">
        <f ca="1">SUMIFS(OUT!$F$2:$F$11000,OUT!$H$2:$H$11000,H707,OUT!$D$2:$D$11000,"Out",OUT!$E$2:$E$11000,"Loandry")</f>
        <v>58396</v>
      </c>
      <c r="Q707" s="52">
        <f ca="1">SUMIFS(OUT!$F$2:$F$11000,OUT!$H$2:$H$11000,H707,OUT!$D$2:$D$11000,"Out",OUT!$E$2:$E$11000,"Mio")</f>
        <v>181000</v>
      </c>
      <c r="R707" s="52">
        <f ca="1">SUMIFS(OUT!$F$2:$F$11000,OUT!$H$2:$H$11000,H707,OUT!$D$2:$D$11000,"Out",OUT!$E$2:$E$11000,"Sedekah")</f>
        <v>0</v>
      </c>
      <c r="S707" s="52">
        <f ca="1">SUMIFS(OUT!$F$2:$F$11000,OUT!$H$2:$H$11000,H707,OUT!$D$2:$D$11000,"Out",OUT!$E$2:$E$11000,"Zela")</f>
        <v>90500</v>
      </c>
      <c r="T707" s="52">
        <f ca="1">SUMIFS(OUT!$F$2:$F$11000,OUT!$H$2:$H$11000,H707,OUT!$D$2:$D$11000,"Out",OUT!$E$2:$E$11000,"Iqbal")</f>
        <v>74070</v>
      </c>
    </row>
    <row r="708" spans="1:20" x14ac:dyDescent="0.2">
      <c r="A708" s="48">
        <f ca="1">IFERROR(__xludf.DUMMYFUNCTION("""COMPUTED_VALUE"""),46122)</f>
        <v>46122</v>
      </c>
      <c r="B708" s="4" t="str">
        <f ca="1">IFERROR(__xludf.DUMMYFUNCTION("""COMPUTED_VALUE"""),"loundry ")</f>
        <v xml:space="preserve">loundry </v>
      </c>
      <c r="C708" s="4" t="str">
        <f ca="1">IFERROR(__xludf.DUMMYFUNCTION("""COMPUTED_VALUE"""),"ATM")</f>
        <v>ATM</v>
      </c>
      <c r="D708" s="4" t="str">
        <f ca="1">IFERROR(__xludf.DUMMYFUNCTION("""COMPUTED_VALUE"""),"Out")</f>
        <v>Out</v>
      </c>
      <c r="E708" s="4" t="str">
        <f ca="1">IFERROR(__xludf.DUMMYFUNCTION("""COMPUTED_VALUE"""),"Loandry")</f>
        <v>Loandry</v>
      </c>
      <c r="F708" s="49">
        <f ca="1">IFERROR(__xludf.DUMMYFUNCTION("""COMPUTED_VALUE"""),19996)</f>
        <v>19996</v>
      </c>
      <c r="G708" s="50" t="str">
        <f ca="1">IFERROR(__xludf.DUMMYFUNCTION("""COMPUTED_VALUE"""),"Zela")</f>
        <v>Zela</v>
      </c>
      <c r="H708" s="51">
        <f t="shared" ca="1" si="0"/>
        <v>46113</v>
      </c>
      <c r="I708" s="52" t="e">
        <f ca="1">SUMIFS(OUT!$F$2:$F$11000,OUT!$H$2:$H$11000,H708,OUT!$D$2:$D$101007,"In")</f>
        <v>#VALUE!</v>
      </c>
      <c r="J708" s="52">
        <f ca="1">SUMIFS(OUT!$F$2:$F$11000,OUT!$H$2:$H$11000,H708,OUT!$D$2:$D$11000,"Out")</f>
        <v>8253441</v>
      </c>
      <c r="K708" s="52">
        <f ca="1">SUMIFS(OUT!$F$2:$F$11000,OUT!$H$2:$H$11000,H708,OUT!$D$2:$D$11000,"Out",OUT!$E$2:$E$11000,"Fix")</f>
        <v>2554300</v>
      </c>
      <c r="L708" s="52">
        <f ca="1">SUMIFS(OUT!$F$2:$F$11000,OUT!$H$2:$H$11000,H708,OUT!$D$2:$D$11000,"Out",OUT!$E$2:$E$11000,"Bathroom")</f>
        <v>19900</v>
      </c>
      <c r="M708" s="52">
        <f ca="1">SUMIFS(OUT!$F$2:$F$11000,OUT!$H$2:$H$11000,H708,OUT!$D$2:$D$11000,"Out",OUT!$E$2:$E$11000,"Alfa")</f>
        <v>282719</v>
      </c>
      <c r="N708" s="52" t="e">
        <f ca="1">SUMIFS(OUT!$F$2:$F$11000,OUT!$H$2:$H$101007,H708,OUT!$D$2:$D$11000,"Out",OUT!$E$2:$E$11000,"Jajan")</f>
        <v>#VALUE!</v>
      </c>
      <c r="O708" s="52">
        <f ca="1">SUMIFS(OUT!$F$2:$F$11000,OUT!$H$2:$H$11000,H708,OUT!$D$2:$D$11000,"Out",OUT!$E$2:$E$11000,"Kitchen")</f>
        <v>964968</v>
      </c>
      <c r="P708" s="52">
        <f ca="1">SUMIFS(OUT!$F$2:$F$11000,OUT!$H$2:$H$11000,H708,OUT!$D$2:$D$11000,"Out",OUT!$E$2:$E$11000,"Loandry")</f>
        <v>58396</v>
      </c>
      <c r="Q708" s="52">
        <f ca="1">SUMIFS(OUT!$F$2:$F$11000,OUT!$H$2:$H$11000,H708,OUT!$D$2:$D$11000,"Out",OUT!$E$2:$E$11000,"Mio")</f>
        <v>181000</v>
      </c>
      <c r="R708" s="52">
        <f ca="1">SUMIFS(OUT!$F$2:$F$11000,OUT!$H$2:$H$11000,H708,OUT!$D$2:$D$11000,"Out",OUT!$E$2:$E$11000,"Sedekah")</f>
        <v>0</v>
      </c>
      <c r="S708" s="52">
        <f ca="1">SUMIFS(OUT!$F$2:$F$11000,OUT!$H$2:$H$11000,H708,OUT!$D$2:$D$11000,"Out",OUT!$E$2:$E$11000,"Zela")</f>
        <v>90500</v>
      </c>
      <c r="T708" s="52">
        <f ca="1">SUMIFS(OUT!$F$2:$F$11000,OUT!$H$2:$H$11000,H708,OUT!$D$2:$D$11000,"Out",OUT!$E$2:$E$11000,"Iqbal")</f>
        <v>74070</v>
      </c>
    </row>
    <row r="709" spans="1:20" x14ac:dyDescent="0.2">
      <c r="A709" s="48">
        <f ca="1">IFERROR(__xludf.DUMMYFUNCTION("""COMPUTED_VALUE"""),46122)</f>
        <v>46122</v>
      </c>
      <c r="B709" s="4" t="str">
        <f ca="1">IFERROR(__xludf.DUMMYFUNCTION("""COMPUTED_VALUE"""),"Tarik Tunai ")</f>
        <v xml:space="preserve">Tarik Tunai </v>
      </c>
      <c r="C709" s="4" t="str">
        <f ca="1">IFERROR(__xludf.DUMMYFUNCTION("""COMPUTED_VALUE"""),"ATM")</f>
        <v>ATM</v>
      </c>
      <c r="D709" s="4" t="str">
        <f ca="1">IFERROR(__xludf.DUMMYFUNCTION("""COMPUTED_VALUE"""),"Out")</f>
        <v>Out</v>
      </c>
      <c r="E709" s="4" t="str">
        <f ca="1">IFERROR(__xludf.DUMMYFUNCTION("""COMPUTED_VALUE"""),"Move")</f>
        <v>Move</v>
      </c>
      <c r="F709" s="49">
        <f ca="1">IFERROR(__xludf.DUMMYFUNCTION("""COMPUTED_VALUE"""),200000)</f>
        <v>200000</v>
      </c>
      <c r="G709" s="50" t="str">
        <f ca="1">IFERROR(__xludf.DUMMYFUNCTION("""COMPUTED_VALUE"""),"Zela")</f>
        <v>Zela</v>
      </c>
      <c r="H709" s="51">
        <f t="shared" ca="1" si="0"/>
        <v>46113</v>
      </c>
      <c r="I709" s="52" t="e">
        <f ca="1">SUMIFS(OUT!$F$2:$F$11000,OUT!$H$2:$H$11000,H709,OUT!$D$2:$D$101007,"In")</f>
        <v>#VALUE!</v>
      </c>
      <c r="J709" s="52">
        <f ca="1">SUMIFS(OUT!$F$2:$F$11000,OUT!$H$2:$H$11000,H709,OUT!$D$2:$D$11000,"Out")</f>
        <v>8253441</v>
      </c>
      <c r="K709" s="52">
        <f ca="1">SUMIFS(OUT!$F$2:$F$11000,OUT!$H$2:$H$11000,H709,OUT!$D$2:$D$11000,"Out",OUT!$E$2:$E$11000,"Fix")</f>
        <v>2554300</v>
      </c>
      <c r="L709" s="52">
        <f ca="1">SUMIFS(OUT!$F$2:$F$11000,OUT!$H$2:$H$11000,H709,OUT!$D$2:$D$11000,"Out",OUT!$E$2:$E$11000,"Bathroom")</f>
        <v>19900</v>
      </c>
      <c r="M709" s="52">
        <f ca="1">SUMIFS(OUT!$F$2:$F$11000,OUT!$H$2:$H$11000,H709,OUT!$D$2:$D$11000,"Out",OUT!$E$2:$E$11000,"Alfa")</f>
        <v>282719</v>
      </c>
      <c r="N709" s="52" t="e">
        <f ca="1">SUMIFS(OUT!$F$2:$F$11000,OUT!$H$2:$H$101007,H709,OUT!$D$2:$D$11000,"Out",OUT!$E$2:$E$11000,"Jajan")</f>
        <v>#VALUE!</v>
      </c>
      <c r="O709" s="52">
        <f ca="1">SUMIFS(OUT!$F$2:$F$11000,OUT!$H$2:$H$11000,H709,OUT!$D$2:$D$11000,"Out",OUT!$E$2:$E$11000,"Kitchen")</f>
        <v>964968</v>
      </c>
      <c r="P709" s="52">
        <f ca="1">SUMIFS(OUT!$F$2:$F$11000,OUT!$H$2:$H$11000,H709,OUT!$D$2:$D$11000,"Out",OUT!$E$2:$E$11000,"Loandry")</f>
        <v>58396</v>
      </c>
      <c r="Q709" s="52">
        <f ca="1">SUMIFS(OUT!$F$2:$F$11000,OUT!$H$2:$H$11000,H709,OUT!$D$2:$D$11000,"Out",OUT!$E$2:$E$11000,"Mio")</f>
        <v>181000</v>
      </c>
      <c r="R709" s="52">
        <f ca="1">SUMIFS(OUT!$F$2:$F$11000,OUT!$H$2:$H$11000,H709,OUT!$D$2:$D$11000,"Out",OUT!$E$2:$E$11000,"Sedekah")</f>
        <v>0</v>
      </c>
      <c r="S709" s="52">
        <f ca="1">SUMIFS(OUT!$F$2:$F$11000,OUT!$H$2:$H$11000,H709,OUT!$D$2:$D$11000,"Out",OUT!$E$2:$E$11000,"Zela")</f>
        <v>90500</v>
      </c>
      <c r="T709" s="52">
        <f ca="1">SUMIFS(OUT!$F$2:$F$11000,OUT!$H$2:$H$11000,H709,OUT!$D$2:$D$11000,"Out",OUT!$E$2:$E$11000,"Iqbal")</f>
        <v>74070</v>
      </c>
    </row>
    <row r="710" spans="1:20" x14ac:dyDescent="0.2">
      <c r="A710" s="48">
        <f ca="1">IFERROR(__xludf.DUMMYFUNCTION("""COMPUTED_VALUE"""),46122)</f>
        <v>46122</v>
      </c>
      <c r="B710" s="4" t="str">
        <f ca="1">IFERROR(__xludf.DUMMYFUNCTION("""COMPUTED_VALUE"""),"Terima Tunai ")</f>
        <v xml:space="preserve">Terima Tunai </v>
      </c>
      <c r="C710" s="4" t="str">
        <f ca="1">IFERROR(__xludf.DUMMYFUNCTION("""COMPUTED_VALUE"""),"Cash")</f>
        <v>Cash</v>
      </c>
      <c r="D710" s="4" t="str">
        <f ca="1">IFERROR(__xludf.DUMMYFUNCTION("""COMPUTED_VALUE"""),"In")</f>
        <v>In</v>
      </c>
      <c r="E710" s="4" t="str">
        <f ca="1">IFERROR(__xludf.DUMMYFUNCTION("""COMPUTED_VALUE"""),"Move")</f>
        <v>Move</v>
      </c>
      <c r="F710" s="49">
        <f ca="1">IFERROR(__xludf.DUMMYFUNCTION("""COMPUTED_VALUE"""),200000)</f>
        <v>200000</v>
      </c>
      <c r="G710" s="50" t="str">
        <f ca="1">IFERROR(__xludf.DUMMYFUNCTION("""COMPUTED_VALUE"""),"Zela")</f>
        <v>Zela</v>
      </c>
      <c r="H710" s="51">
        <f t="shared" ca="1" si="0"/>
        <v>46113</v>
      </c>
      <c r="I710" s="52" t="e">
        <f ca="1">SUMIFS(OUT!$F$2:$F$11000,OUT!$H$2:$H$11000,H710,OUT!$D$2:$D$101007,"In")</f>
        <v>#VALUE!</v>
      </c>
      <c r="J710" s="52">
        <f ca="1">SUMIFS(OUT!$F$2:$F$11000,OUT!$H$2:$H$11000,H710,OUT!$D$2:$D$11000,"Out")</f>
        <v>8253441</v>
      </c>
      <c r="K710" s="52">
        <f ca="1">SUMIFS(OUT!$F$2:$F$11000,OUT!$H$2:$H$11000,H710,OUT!$D$2:$D$11000,"Out",OUT!$E$2:$E$11000,"Fix")</f>
        <v>2554300</v>
      </c>
      <c r="L710" s="52">
        <f ca="1">SUMIFS(OUT!$F$2:$F$11000,OUT!$H$2:$H$11000,H710,OUT!$D$2:$D$11000,"Out",OUT!$E$2:$E$11000,"Bathroom")</f>
        <v>19900</v>
      </c>
      <c r="M710" s="52">
        <f ca="1">SUMIFS(OUT!$F$2:$F$11000,OUT!$H$2:$H$11000,H710,OUT!$D$2:$D$11000,"Out",OUT!$E$2:$E$11000,"Alfa")</f>
        <v>282719</v>
      </c>
      <c r="N710" s="52" t="e">
        <f ca="1">SUMIFS(OUT!$F$2:$F$11000,OUT!$H$2:$H$101007,H710,OUT!$D$2:$D$11000,"Out",OUT!$E$2:$E$11000,"Jajan")</f>
        <v>#VALUE!</v>
      </c>
      <c r="O710" s="52">
        <f ca="1">SUMIFS(OUT!$F$2:$F$11000,OUT!$H$2:$H$11000,H710,OUT!$D$2:$D$11000,"Out",OUT!$E$2:$E$11000,"Kitchen")</f>
        <v>964968</v>
      </c>
      <c r="P710" s="52">
        <f ca="1">SUMIFS(OUT!$F$2:$F$11000,OUT!$H$2:$H$11000,H710,OUT!$D$2:$D$11000,"Out",OUT!$E$2:$E$11000,"Loandry")</f>
        <v>58396</v>
      </c>
      <c r="Q710" s="52">
        <f ca="1">SUMIFS(OUT!$F$2:$F$11000,OUT!$H$2:$H$11000,H710,OUT!$D$2:$D$11000,"Out",OUT!$E$2:$E$11000,"Mio")</f>
        <v>181000</v>
      </c>
      <c r="R710" s="52">
        <f ca="1">SUMIFS(OUT!$F$2:$F$11000,OUT!$H$2:$H$11000,H710,OUT!$D$2:$D$11000,"Out",OUT!$E$2:$E$11000,"Sedekah")</f>
        <v>0</v>
      </c>
      <c r="S710" s="52">
        <f ca="1">SUMIFS(OUT!$F$2:$F$11000,OUT!$H$2:$H$11000,H710,OUT!$D$2:$D$11000,"Out",OUT!$E$2:$E$11000,"Zela")</f>
        <v>90500</v>
      </c>
      <c r="T710" s="52">
        <f ca="1">SUMIFS(OUT!$F$2:$F$11000,OUT!$H$2:$H$11000,H710,OUT!$D$2:$D$11000,"Out",OUT!$E$2:$E$11000,"Iqbal")</f>
        <v>74070</v>
      </c>
    </row>
    <row r="711" spans="1:20" x14ac:dyDescent="0.2">
      <c r="A711" s="48">
        <f ca="1">IFERROR(__xludf.DUMMYFUNCTION("""COMPUTED_VALUE"""),46122)</f>
        <v>46122</v>
      </c>
      <c r="B711" s="4" t="str">
        <f ca="1">IFERROR(__xludf.DUMMYFUNCTION("""COMPUTED_VALUE"""),"Pasar Kaget ")</f>
        <v xml:space="preserve">Pasar Kaget </v>
      </c>
      <c r="C711" s="4" t="str">
        <f ca="1">IFERROR(__xludf.DUMMYFUNCTION("""COMPUTED_VALUE"""),"Cash")</f>
        <v>Cash</v>
      </c>
      <c r="D711" s="4" t="str">
        <f ca="1">IFERROR(__xludf.DUMMYFUNCTION("""COMPUTED_VALUE"""),"Out")</f>
        <v>Out</v>
      </c>
      <c r="E711" s="4" t="str">
        <f ca="1">IFERROR(__xludf.DUMMYFUNCTION("""COMPUTED_VALUE"""),"Kitchen")</f>
        <v>Kitchen</v>
      </c>
      <c r="F711" s="49">
        <f ca="1">IFERROR(__xludf.DUMMYFUNCTION("""COMPUTED_VALUE"""),178000)</f>
        <v>178000</v>
      </c>
      <c r="G711" s="50" t="str">
        <f ca="1">IFERROR(__xludf.DUMMYFUNCTION("""COMPUTED_VALUE"""),"Zela")</f>
        <v>Zela</v>
      </c>
      <c r="H711" s="51">
        <f t="shared" ca="1" si="0"/>
        <v>46113</v>
      </c>
      <c r="I711" s="52" t="e">
        <f ca="1">SUMIFS(OUT!$F$2:$F$11000,OUT!$H$2:$H$11000,H711,OUT!$D$2:$D$101007,"In")</f>
        <v>#VALUE!</v>
      </c>
      <c r="J711" s="52">
        <f ca="1">SUMIFS(OUT!$F$2:$F$11000,OUT!$H$2:$H$11000,H711,OUT!$D$2:$D$11000,"Out")</f>
        <v>8253441</v>
      </c>
      <c r="K711" s="52">
        <f ca="1">SUMIFS(OUT!$F$2:$F$11000,OUT!$H$2:$H$11000,H711,OUT!$D$2:$D$11000,"Out",OUT!$E$2:$E$11000,"Fix")</f>
        <v>2554300</v>
      </c>
      <c r="L711" s="52">
        <f ca="1">SUMIFS(OUT!$F$2:$F$11000,OUT!$H$2:$H$11000,H711,OUT!$D$2:$D$11000,"Out",OUT!$E$2:$E$11000,"Bathroom")</f>
        <v>19900</v>
      </c>
      <c r="M711" s="52">
        <f ca="1">SUMIFS(OUT!$F$2:$F$11000,OUT!$H$2:$H$11000,H711,OUT!$D$2:$D$11000,"Out",OUT!$E$2:$E$11000,"Alfa")</f>
        <v>282719</v>
      </c>
      <c r="N711" s="52" t="e">
        <f ca="1">SUMIFS(OUT!$F$2:$F$11000,OUT!$H$2:$H$101007,H711,OUT!$D$2:$D$11000,"Out",OUT!$E$2:$E$11000,"Jajan")</f>
        <v>#VALUE!</v>
      </c>
      <c r="O711" s="52">
        <f ca="1">SUMIFS(OUT!$F$2:$F$11000,OUT!$H$2:$H$11000,H711,OUT!$D$2:$D$11000,"Out",OUT!$E$2:$E$11000,"Kitchen")</f>
        <v>964968</v>
      </c>
      <c r="P711" s="52">
        <f ca="1">SUMIFS(OUT!$F$2:$F$11000,OUT!$H$2:$H$11000,H711,OUT!$D$2:$D$11000,"Out",OUT!$E$2:$E$11000,"Loandry")</f>
        <v>58396</v>
      </c>
      <c r="Q711" s="52">
        <f ca="1">SUMIFS(OUT!$F$2:$F$11000,OUT!$H$2:$H$11000,H711,OUT!$D$2:$D$11000,"Out",OUT!$E$2:$E$11000,"Mio")</f>
        <v>181000</v>
      </c>
      <c r="R711" s="52">
        <f ca="1">SUMIFS(OUT!$F$2:$F$11000,OUT!$H$2:$H$11000,H711,OUT!$D$2:$D$11000,"Out",OUT!$E$2:$E$11000,"Sedekah")</f>
        <v>0</v>
      </c>
      <c r="S711" s="52">
        <f ca="1">SUMIFS(OUT!$F$2:$F$11000,OUT!$H$2:$H$11000,H711,OUT!$D$2:$D$11000,"Out",OUT!$E$2:$E$11000,"Zela")</f>
        <v>90500</v>
      </c>
      <c r="T711" s="52">
        <f ca="1">SUMIFS(OUT!$F$2:$F$11000,OUT!$H$2:$H$11000,H711,OUT!$D$2:$D$11000,"Out",OUT!$E$2:$E$11000,"Iqbal")</f>
        <v>74070</v>
      </c>
    </row>
    <row r="712" spans="1:20" x14ac:dyDescent="0.2">
      <c r="A712" s="48">
        <f ca="1">IFERROR(__xludf.DUMMYFUNCTION("""COMPUTED_VALUE"""),46124)</f>
        <v>46124</v>
      </c>
      <c r="B712" s="4" t="str">
        <f ca="1">IFERROR(__xludf.DUMMYFUNCTION("""COMPUTED_VALUE"""),"Bensin Motor ")</f>
        <v xml:space="preserve">Bensin Motor </v>
      </c>
      <c r="C712" s="4" t="str">
        <f ca="1">IFERROR(__xludf.DUMMYFUNCTION("""COMPUTED_VALUE"""),"Cash")</f>
        <v>Cash</v>
      </c>
      <c r="D712" s="4" t="str">
        <f ca="1">IFERROR(__xludf.DUMMYFUNCTION("""COMPUTED_VALUE"""),"Out")</f>
        <v>Out</v>
      </c>
      <c r="E712" s="4" t="str">
        <f ca="1">IFERROR(__xludf.DUMMYFUNCTION("""COMPUTED_VALUE"""),"Mio")</f>
        <v>Mio</v>
      </c>
      <c r="F712" s="49">
        <f ca="1">IFERROR(__xludf.DUMMYFUNCTION("""COMPUTED_VALUE"""),22000)</f>
        <v>22000</v>
      </c>
      <c r="G712" s="50" t="str">
        <f ca="1">IFERROR(__xludf.DUMMYFUNCTION("""COMPUTED_VALUE"""),"Zela")</f>
        <v>Zela</v>
      </c>
      <c r="H712" s="51">
        <f t="shared" ca="1" si="0"/>
        <v>46113</v>
      </c>
      <c r="I712" s="52" t="e">
        <f ca="1">SUMIFS(OUT!$F$2:$F$11000,OUT!$H$2:$H$11000,H712,OUT!$D$2:$D$101007,"In")</f>
        <v>#VALUE!</v>
      </c>
      <c r="J712" s="52">
        <f ca="1">SUMIFS(OUT!$F$2:$F$11000,OUT!$H$2:$H$11000,H712,OUT!$D$2:$D$11000,"Out")</f>
        <v>8253441</v>
      </c>
      <c r="K712" s="52">
        <f ca="1">SUMIFS(OUT!$F$2:$F$11000,OUT!$H$2:$H$11000,H712,OUT!$D$2:$D$11000,"Out",OUT!$E$2:$E$11000,"Fix")</f>
        <v>2554300</v>
      </c>
      <c r="L712" s="52">
        <f ca="1">SUMIFS(OUT!$F$2:$F$11000,OUT!$H$2:$H$11000,H712,OUT!$D$2:$D$11000,"Out",OUT!$E$2:$E$11000,"Bathroom")</f>
        <v>19900</v>
      </c>
      <c r="M712" s="52">
        <f ca="1">SUMIFS(OUT!$F$2:$F$11000,OUT!$H$2:$H$11000,H712,OUT!$D$2:$D$11000,"Out",OUT!$E$2:$E$11000,"Alfa")</f>
        <v>282719</v>
      </c>
      <c r="N712" s="52" t="e">
        <f ca="1">SUMIFS(OUT!$F$2:$F$11000,OUT!$H$2:$H$101007,H712,OUT!$D$2:$D$11000,"Out",OUT!$E$2:$E$11000,"Jajan")</f>
        <v>#VALUE!</v>
      </c>
      <c r="O712" s="52">
        <f ca="1">SUMIFS(OUT!$F$2:$F$11000,OUT!$H$2:$H$11000,H712,OUT!$D$2:$D$11000,"Out",OUT!$E$2:$E$11000,"Kitchen")</f>
        <v>964968</v>
      </c>
      <c r="P712" s="52">
        <f ca="1">SUMIFS(OUT!$F$2:$F$11000,OUT!$H$2:$H$11000,H712,OUT!$D$2:$D$11000,"Out",OUT!$E$2:$E$11000,"Loandry")</f>
        <v>58396</v>
      </c>
      <c r="Q712" s="52">
        <f ca="1">SUMIFS(OUT!$F$2:$F$11000,OUT!$H$2:$H$11000,H712,OUT!$D$2:$D$11000,"Out",OUT!$E$2:$E$11000,"Mio")</f>
        <v>181000</v>
      </c>
      <c r="R712" s="52">
        <f ca="1">SUMIFS(OUT!$F$2:$F$11000,OUT!$H$2:$H$11000,H712,OUT!$D$2:$D$11000,"Out",OUT!$E$2:$E$11000,"Sedekah")</f>
        <v>0</v>
      </c>
      <c r="S712" s="52">
        <f ca="1">SUMIFS(OUT!$F$2:$F$11000,OUT!$H$2:$H$11000,H712,OUT!$D$2:$D$11000,"Out",OUT!$E$2:$E$11000,"Zela")</f>
        <v>90500</v>
      </c>
      <c r="T712" s="52">
        <f ca="1">SUMIFS(OUT!$F$2:$F$11000,OUT!$H$2:$H$11000,H712,OUT!$D$2:$D$11000,"Out",OUT!$E$2:$E$11000,"Iqbal")</f>
        <v>74070</v>
      </c>
    </row>
    <row r="713" spans="1:20" x14ac:dyDescent="0.2">
      <c r="A713" s="48">
        <f ca="1">IFERROR(__xludf.DUMMYFUNCTION("""COMPUTED_VALUE"""),46124)</f>
        <v>46124</v>
      </c>
      <c r="B713" s="4" t="str">
        <f ca="1">IFERROR(__xludf.DUMMYFUNCTION("""COMPUTED_VALUE"""),"Tarik Tunai ")</f>
        <v xml:space="preserve">Tarik Tunai </v>
      </c>
      <c r="C713" s="4" t="str">
        <f ca="1">IFERROR(__xludf.DUMMYFUNCTION("""COMPUTED_VALUE"""),"ATM")</f>
        <v>ATM</v>
      </c>
      <c r="D713" s="4" t="str">
        <f ca="1">IFERROR(__xludf.DUMMYFUNCTION("""COMPUTED_VALUE"""),"Out")</f>
        <v>Out</v>
      </c>
      <c r="E713" s="4" t="str">
        <f ca="1">IFERROR(__xludf.DUMMYFUNCTION("""COMPUTED_VALUE"""),"Move")</f>
        <v>Move</v>
      </c>
      <c r="F713" s="49">
        <f ca="1">IFERROR(__xludf.DUMMYFUNCTION("""COMPUTED_VALUE"""),100000)</f>
        <v>100000</v>
      </c>
      <c r="G713" s="50" t="str">
        <f ca="1">IFERROR(__xludf.DUMMYFUNCTION("""COMPUTED_VALUE"""),"Zela")</f>
        <v>Zela</v>
      </c>
      <c r="H713" s="51">
        <f t="shared" ca="1" si="0"/>
        <v>46113</v>
      </c>
      <c r="I713" s="52" t="e">
        <f ca="1">SUMIFS(OUT!$F$2:$F$11000,OUT!$H$2:$H$11000,H713,OUT!$D$2:$D$101007,"In")</f>
        <v>#VALUE!</v>
      </c>
      <c r="J713" s="52">
        <f ca="1">SUMIFS(OUT!$F$2:$F$11000,OUT!$H$2:$H$11000,H713,OUT!$D$2:$D$11000,"Out")</f>
        <v>8253441</v>
      </c>
      <c r="K713" s="52">
        <f ca="1">SUMIFS(OUT!$F$2:$F$11000,OUT!$H$2:$H$11000,H713,OUT!$D$2:$D$11000,"Out",OUT!$E$2:$E$11000,"Fix")</f>
        <v>2554300</v>
      </c>
      <c r="L713" s="52">
        <f ca="1">SUMIFS(OUT!$F$2:$F$11000,OUT!$H$2:$H$11000,H713,OUT!$D$2:$D$11000,"Out",OUT!$E$2:$E$11000,"Bathroom")</f>
        <v>19900</v>
      </c>
      <c r="M713" s="52">
        <f ca="1">SUMIFS(OUT!$F$2:$F$11000,OUT!$H$2:$H$11000,H713,OUT!$D$2:$D$11000,"Out",OUT!$E$2:$E$11000,"Alfa")</f>
        <v>282719</v>
      </c>
      <c r="N713" s="52" t="e">
        <f ca="1">SUMIFS(OUT!$F$2:$F$11000,OUT!$H$2:$H$101007,H713,OUT!$D$2:$D$11000,"Out",OUT!$E$2:$E$11000,"Jajan")</f>
        <v>#VALUE!</v>
      </c>
      <c r="O713" s="52">
        <f ca="1">SUMIFS(OUT!$F$2:$F$11000,OUT!$H$2:$H$11000,H713,OUT!$D$2:$D$11000,"Out",OUT!$E$2:$E$11000,"Kitchen")</f>
        <v>964968</v>
      </c>
      <c r="P713" s="52">
        <f ca="1">SUMIFS(OUT!$F$2:$F$11000,OUT!$H$2:$H$11000,H713,OUT!$D$2:$D$11000,"Out",OUT!$E$2:$E$11000,"Loandry")</f>
        <v>58396</v>
      </c>
      <c r="Q713" s="52">
        <f ca="1">SUMIFS(OUT!$F$2:$F$11000,OUT!$H$2:$H$11000,H713,OUT!$D$2:$D$11000,"Out",OUT!$E$2:$E$11000,"Mio")</f>
        <v>181000</v>
      </c>
      <c r="R713" s="52">
        <f ca="1">SUMIFS(OUT!$F$2:$F$11000,OUT!$H$2:$H$11000,H713,OUT!$D$2:$D$11000,"Out",OUT!$E$2:$E$11000,"Sedekah")</f>
        <v>0</v>
      </c>
      <c r="S713" s="52">
        <f ca="1">SUMIFS(OUT!$F$2:$F$11000,OUT!$H$2:$H$11000,H713,OUT!$D$2:$D$11000,"Out",OUT!$E$2:$E$11000,"Zela")</f>
        <v>90500</v>
      </c>
      <c r="T713" s="52">
        <f ca="1">SUMIFS(OUT!$F$2:$F$11000,OUT!$H$2:$H$11000,H713,OUT!$D$2:$D$11000,"Out",OUT!$E$2:$E$11000,"Iqbal")</f>
        <v>74070</v>
      </c>
    </row>
    <row r="714" spans="1:20" x14ac:dyDescent="0.2">
      <c r="A714" s="48">
        <f ca="1">IFERROR(__xludf.DUMMYFUNCTION("""COMPUTED_VALUE"""),46124)</f>
        <v>46124</v>
      </c>
      <c r="B714" s="4" t="str">
        <f ca="1">IFERROR(__xludf.DUMMYFUNCTION("""COMPUTED_VALUE"""),"Terima Tunai ")</f>
        <v xml:space="preserve">Terima Tunai </v>
      </c>
      <c r="C714" s="4" t="str">
        <f ca="1">IFERROR(__xludf.DUMMYFUNCTION("""COMPUTED_VALUE"""),"Cash")</f>
        <v>Cash</v>
      </c>
      <c r="D714" s="4" t="str">
        <f ca="1">IFERROR(__xludf.DUMMYFUNCTION("""COMPUTED_VALUE"""),"In")</f>
        <v>In</v>
      </c>
      <c r="E714" s="4" t="str">
        <f ca="1">IFERROR(__xludf.DUMMYFUNCTION("""COMPUTED_VALUE"""),"Move")</f>
        <v>Move</v>
      </c>
      <c r="F714" s="49">
        <f ca="1">IFERROR(__xludf.DUMMYFUNCTION("""COMPUTED_VALUE"""),100000)</f>
        <v>100000</v>
      </c>
      <c r="G714" s="50" t="str">
        <f ca="1">IFERROR(__xludf.DUMMYFUNCTION("""COMPUTED_VALUE"""),"Zela")</f>
        <v>Zela</v>
      </c>
      <c r="H714" s="51">
        <f t="shared" ca="1" si="0"/>
        <v>46113</v>
      </c>
      <c r="I714" s="52" t="e">
        <f ca="1">SUMIFS(OUT!$F$2:$F$11000,OUT!$H$2:$H$11000,H714,OUT!$D$2:$D$101007,"In")</f>
        <v>#VALUE!</v>
      </c>
      <c r="J714" s="52">
        <f ca="1">SUMIFS(OUT!$F$2:$F$11000,OUT!$H$2:$H$11000,H714,OUT!$D$2:$D$11000,"Out")</f>
        <v>8253441</v>
      </c>
      <c r="K714" s="52">
        <f ca="1">SUMIFS(OUT!$F$2:$F$11000,OUT!$H$2:$H$11000,H714,OUT!$D$2:$D$11000,"Out",OUT!$E$2:$E$11000,"Fix")</f>
        <v>2554300</v>
      </c>
      <c r="L714" s="52">
        <f ca="1">SUMIFS(OUT!$F$2:$F$11000,OUT!$H$2:$H$11000,H714,OUT!$D$2:$D$11000,"Out",OUT!$E$2:$E$11000,"Bathroom")</f>
        <v>19900</v>
      </c>
      <c r="M714" s="52">
        <f ca="1">SUMIFS(OUT!$F$2:$F$11000,OUT!$H$2:$H$11000,H714,OUT!$D$2:$D$11000,"Out",OUT!$E$2:$E$11000,"Alfa")</f>
        <v>282719</v>
      </c>
      <c r="N714" s="52" t="e">
        <f ca="1">SUMIFS(OUT!$F$2:$F$11000,OUT!$H$2:$H$101007,H714,OUT!$D$2:$D$11000,"Out",OUT!$E$2:$E$11000,"Jajan")</f>
        <v>#VALUE!</v>
      </c>
      <c r="O714" s="52">
        <f ca="1">SUMIFS(OUT!$F$2:$F$11000,OUT!$H$2:$H$11000,H714,OUT!$D$2:$D$11000,"Out",OUT!$E$2:$E$11000,"Kitchen")</f>
        <v>964968</v>
      </c>
      <c r="P714" s="52">
        <f ca="1">SUMIFS(OUT!$F$2:$F$11000,OUT!$H$2:$H$11000,H714,OUT!$D$2:$D$11000,"Out",OUT!$E$2:$E$11000,"Loandry")</f>
        <v>58396</v>
      </c>
      <c r="Q714" s="52">
        <f ca="1">SUMIFS(OUT!$F$2:$F$11000,OUT!$H$2:$H$11000,H714,OUT!$D$2:$D$11000,"Out",OUT!$E$2:$E$11000,"Mio")</f>
        <v>181000</v>
      </c>
      <c r="R714" s="52">
        <f ca="1">SUMIFS(OUT!$F$2:$F$11000,OUT!$H$2:$H$11000,H714,OUT!$D$2:$D$11000,"Out",OUT!$E$2:$E$11000,"Sedekah")</f>
        <v>0</v>
      </c>
      <c r="S714" s="52">
        <f ca="1">SUMIFS(OUT!$F$2:$F$11000,OUT!$H$2:$H$11000,H714,OUT!$D$2:$D$11000,"Out",OUT!$E$2:$E$11000,"Zela")</f>
        <v>90500</v>
      </c>
      <c r="T714" s="52">
        <f ca="1">SUMIFS(OUT!$F$2:$F$11000,OUT!$H$2:$H$11000,H714,OUT!$D$2:$D$11000,"Out",OUT!$E$2:$E$11000,"Iqbal")</f>
        <v>74070</v>
      </c>
    </row>
    <row r="715" spans="1:20" x14ac:dyDescent="0.2">
      <c r="A715" s="48">
        <f ca="1">IFERROR(__xludf.DUMMYFUNCTION("""COMPUTED_VALUE"""),46124)</f>
        <v>46124</v>
      </c>
      <c r="B715" s="4" t="str">
        <f ca="1">IFERROR(__xludf.DUMMYFUNCTION("""COMPUTED_VALUE"""),"Galon ")</f>
        <v xml:space="preserve">Galon </v>
      </c>
      <c r="C715" s="4" t="str">
        <f ca="1">IFERROR(__xludf.DUMMYFUNCTION("""COMPUTED_VALUE"""),"Cash")</f>
        <v>Cash</v>
      </c>
      <c r="D715" s="4" t="str">
        <f ca="1">IFERROR(__xludf.DUMMYFUNCTION("""COMPUTED_VALUE"""),"Out")</f>
        <v>Out</v>
      </c>
      <c r="E715" s="4" t="str">
        <f ca="1">IFERROR(__xludf.DUMMYFUNCTION("""COMPUTED_VALUE"""),"Kitchen")</f>
        <v>Kitchen</v>
      </c>
      <c r="F715" s="49">
        <f ca="1">IFERROR(__xludf.DUMMYFUNCTION("""COMPUTED_VALUE"""),4000)</f>
        <v>4000</v>
      </c>
      <c r="G715" s="50" t="str">
        <f ca="1">IFERROR(__xludf.DUMMYFUNCTION("""COMPUTED_VALUE"""),"Zela")</f>
        <v>Zela</v>
      </c>
      <c r="H715" s="51">
        <f t="shared" ca="1" si="0"/>
        <v>46113</v>
      </c>
      <c r="I715" s="52" t="e">
        <f ca="1">SUMIFS(OUT!$F$2:$F$11000,OUT!$H$2:$H$11000,H715,OUT!$D$2:$D$101007,"In")</f>
        <v>#VALUE!</v>
      </c>
      <c r="J715" s="52">
        <f ca="1">SUMIFS(OUT!$F$2:$F$11000,OUT!$H$2:$H$11000,H715,OUT!$D$2:$D$11000,"Out")</f>
        <v>8253441</v>
      </c>
      <c r="K715" s="52">
        <f ca="1">SUMIFS(OUT!$F$2:$F$11000,OUT!$H$2:$H$11000,H715,OUT!$D$2:$D$11000,"Out",OUT!$E$2:$E$11000,"Fix")</f>
        <v>2554300</v>
      </c>
      <c r="L715" s="52">
        <f ca="1">SUMIFS(OUT!$F$2:$F$11000,OUT!$H$2:$H$11000,H715,OUT!$D$2:$D$11000,"Out",OUT!$E$2:$E$11000,"Bathroom")</f>
        <v>19900</v>
      </c>
      <c r="M715" s="52">
        <f ca="1">SUMIFS(OUT!$F$2:$F$11000,OUT!$H$2:$H$11000,H715,OUT!$D$2:$D$11000,"Out",OUT!$E$2:$E$11000,"Alfa")</f>
        <v>282719</v>
      </c>
      <c r="N715" s="52" t="e">
        <f ca="1">SUMIFS(OUT!$F$2:$F$11000,OUT!$H$2:$H$101007,H715,OUT!$D$2:$D$11000,"Out",OUT!$E$2:$E$11000,"Jajan")</f>
        <v>#VALUE!</v>
      </c>
      <c r="O715" s="52">
        <f ca="1">SUMIFS(OUT!$F$2:$F$11000,OUT!$H$2:$H$11000,H715,OUT!$D$2:$D$11000,"Out",OUT!$E$2:$E$11000,"Kitchen")</f>
        <v>964968</v>
      </c>
      <c r="P715" s="52">
        <f ca="1">SUMIFS(OUT!$F$2:$F$11000,OUT!$H$2:$H$11000,H715,OUT!$D$2:$D$11000,"Out",OUT!$E$2:$E$11000,"Loandry")</f>
        <v>58396</v>
      </c>
      <c r="Q715" s="52">
        <f ca="1">SUMIFS(OUT!$F$2:$F$11000,OUT!$H$2:$H$11000,H715,OUT!$D$2:$D$11000,"Out",OUT!$E$2:$E$11000,"Mio")</f>
        <v>181000</v>
      </c>
      <c r="R715" s="52">
        <f ca="1">SUMIFS(OUT!$F$2:$F$11000,OUT!$H$2:$H$11000,H715,OUT!$D$2:$D$11000,"Out",OUT!$E$2:$E$11000,"Sedekah")</f>
        <v>0</v>
      </c>
      <c r="S715" s="52">
        <f ca="1">SUMIFS(OUT!$F$2:$F$11000,OUT!$H$2:$H$11000,H715,OUT!$D$2:$D$11000,"Out",OUT!$E$2:$E$11000,"Zela")</f>
        <v>90500</v>
      </c>
      <c r="T715" s="52">
        <f ca="1">SUMIFS(OUT!$F$2:$F$11000,OUT!$H$2:$H$11000,H715,OUT!$D$2:$D$11000,"Out",OUT!$E$2:$E$11000,"Iqbal")</f>
        <v>74070</v>
      </c>
    </row>
    <row r="716" spans="1:20" x14ac:dyDescent="0.2">
      <c r="A716" s="48">
        <f ca="1">IFERROR(__xludf.DUMMYFUNCTION("""COMPUTED_VALUE"""),46124)</f>
        <v>46124</v>
      </c>
      <c r="B716" s="4" t="str">
        <f ca="1">IFERROR(__xludf.DUMMYFUNCTION("""COMPUTED_VALUE"""),"jajan")</f>
        <v>jajan</v>
      </c>
      <c r="C716" s="4" t="str">
        <f ca="1">IFERROR(__xludf.DUMMYFUNCTION("""COMPUTED_VALUE"""),"Cash")</f>
        <v>Cash</v>
      </c>
      <c r="D716" s="4" t="str">
        <f ca="1">IFERROR(__xludf.DUMMYFUNCTION("""COMPUTED_VALUE"""),"Out")</f>
        <v>Out</v>
      </c>
      <c r="E716" s="4" t="str">
        <f ca="1">IFERROR(__xludf.DUMMYFUNCTION("""COMPUTED_VALUE"""),"Jajan")</f>
        <v>Jajan</v>
      </c>
      <c r="F716" s="49">
        <f ca="1">IFERROR(__xludf.DUMMYFUNCTION("""COMPUTED_VALUE"""),18000)</f>
        <v>18000</v>
      </c>
      <c r="G716" s="50" t="str">
        <f ca="1">IFERROR(__xludf.DUMMYFUNCTION("""COMPUTED_VALUE"""),"Zela")</f>
        <v>Zela</v>
      </c>
      <c r="H716" s="51">
        <f t="shared" ca="1" si="0"/>
        <v>46113</v>
      </c>
      <c r="I716" s="52" t="e">
        <f ca="1">SUMIFS(OUT!$F$2:$F$11000,OUT!$H$2:$H$11000,H716,OUT!$D$2:$D$101007,"In")</f>
        <v>#VALUE!</v>
      </c>
      <c r="J716" s="52">
        <f ca="1">SUMIFS(OUT!$F$2:$F$11000,OUT!$H$2:$H$11000,H716,OUT!$D$2:$D$11000,"Out")</f>
        <v>8253441</v>
      </c>
      <c r="K716" s="52">
        <f ca="1">SUMIFS(OUT!$F$2:$F$11000,OUT!$H$2:$H$11000,H716,OUT!$D$2:$D$11000,"Out",OUT!$E$2:$E$11000,"Fix")</f>
        <v>2554300</v>
      </c>
      <c r="L716" s="52">
        <f ca="1">SUMIFS(OUT!$F$2:$F$11000,OUT!$H$2:$H$11000,H716,OUT!$D$2:$D$11000,"Out",OUT!$E$2:$E$11000,"Bathroom")</f>
        <v>19900</v>
      </c>
      <c r="M716" s="52">
        <f ca="1">SUMIFS(OUT!$F$2:$F$11000,OUT!$H$2:$H$11000,H716,OUT!$D$2:$D$11000,"Out",OUT!$E$2:$E$11000,"Alfa")</f>
        <v>282719</v>
      </c>
      <c r="N716" s="52" t="e">
        <f ca="1">SUMIFS(OUT!$F$2:$F$11000,OUT!$H$2:$H$101007,H716,OUT!$D$2:$D$11000,"Out",OUT!$E$2:$E$11000,"Jajan")</f>
        <v>#VALUE!</v>
      </c>
      <c r="O716" s="52">
        <f ca="1">SUMIFS(OUT!$F$2:$F$11000,OUT!$H$2:$H$11000,H716,OUT!$D$2:$D$11000,"Out",OUT!$E$2:$E$11000,"Kitchen")</f>
        <v>964968</v>
      </c>
      <c r="P716" s="52">
        <f ca="1">SUMIFS(OUT!$F$2:$F$11000,OUT!$H$2:$H$11000,H716,OUT!$D$2:$D$11000,"Out",OUT!$E$2:$E$11000,"Loandry")</f>
        <v>58396</v>
      </c>
      <c r="Q716" s="52">
        <f ca="1">SUMIFS(OUT!$F$2:$F$11000,OUT!$H$2:$H$11000,H716,OUT!$D$2:$D$11000,"Out",OUT!$E$2:$E$11000,"Mio")</f>
        <v>181000</v>
      </c>
      <c r="R716" s="52">
        <f ca="1">SUMIFS(OUT!$F$2:$F$11000,OUT!$H$2:$H$11000,H716,OUT!$D$2:$D$11000,"Out",OUT!$E$2:$E$11000,"Sedekah")</f>
        <v>0</v>
      </c>
      <c r="S716" s="52">
        <f ca="1">SUMIFS(OUT!$F$2:$F$11000,OUT!$H$2:$H$11000,H716,OUT!$D$2:$D$11000,"Out",OUT!$E$2:$E$11000,"Zela")</f>
        <v>90500</v>
      </c>
      <c r="T716" s="52">
        <f ca="1">SUMIFS(OUT!$F$2:$F$11000,OUT!$H$2:$H$11000,H716,OUT!$D$2:$D$11000,"Out",OUT!$E$2:$E$11000,"Iqbal")</f>
        <v>74070</v>
      </c>
    </row>
    <row r="717" spans="1:20" x14ac:dyDescent="0.2">
      <c r="A717" s="48">
        <f ca="1">IFERROR(__xludf.DUMMYFUNCTION("""COMPUTED_VALUE"""),46124)</f>
        <v>46124</v>
      </c>
      <c r="B717" s="4" t="str">
        <f ca="1">IFERROR(__xludf.DUMMYFUNCTION("""COMPUTED_VALUE"""),"Ayam geprek 3 ")</f>
        <v xml:space="preserve">Ayam geprek 3 </v>
      </c>
      <c r="C717" s="4" t="str">
        <f ca="1">IFERROR(__xludf.DUMMYFUNCTION("""COMPUTED_VALUE"""),"Cash")</f>
        <v>Cash</v>
      </c>
      <c r="D717" s="4" t="str">
        <f ca="1">IFERROR(__xludf.DUMMYFUNCTION("""COMPUTED_VALUE"""),"Out")</f>
        <v>Out</v>
      </c>
      <c r="E717" s="4" t="str">
        <f ca="1">IFERROR(__xludf.DUMMYFUNCTION("""COMPUTED_VALUE"""),"Kitchen")</f>
        <v>Kitchen</v>
      </c>
      <c r="F717" s="49">
        <f ca="1">IFERROR(__xludf.DUMMYFUNCTION("""COMPUTED_VALUE"""),27000)</f>
        <v>27000</v>
      </c>
      <c r="G717" s="50" t="str">
        <f ca="1">IFERROR(__xludf.DUMMYFUNCTION("""COMPUTED_VALUE"""),"Zela")</f>
        <v>Zela</v>
      </c>
      <c r="H717" s="51">
        <f t="shared" ca="1" si="0"/>
        <v>46113</v>
      </c>
      <c r="I717" s="52" t="e">
        <f ca="1">SUMIFS(OUT!$F$2:$F$11000,OUT!$H$2:$H$11000,H717,OUT!$D$2:$D$101007,"In")</f>
        <v>#VALUE!</v>
      </c>
      <c r="J717" s="52">
        <f ca="1">SUMIFS(OUT!$F$2:$F$11000,OUT!$H$2:$H$11000,H717,OUT!$D$2:$D$11000,"Out")</f>
        <v>8253441</v>
      </c>
      <c r="K717" s="52">
        <f ca="1">SUMIFS(OUT!$F$2:$F$11000,OUT!$H$2:$H$11000,H717,OUT!$D$2:$D$11000,"Out",OUT!$E$2:$E$11000,"Fix")</f>
        <v>2554300</v>
      </c>
      <c r="L717" s="52">
        <f ca="1">SUMIFS(OUT!$F$2:$F$11000,OUT!$H$2:$H$11000,H717,OUT!$D$2:$D$11000,"Out",OUT!$E$2:$E$11000,"Bathroom")</f>
        <v>19900</v>
      </c>
      <c r="M717" s="52">
        <f ca="1">SUMIFS(OUT!$F$2:$F$11000,OUT!$H$2:$H$11000,H717,OUT!$D$2:$D$11000,"Out",OUT!$E$2:$E$11000,"Alfa")</f>
        <v>282719</v>
      </c>
      <c r="N717" s="52" t="e">
        <f ca="1">SUMIFS(OUT!$F$2:$F$11000,OUT!$H$2:$H$101007,H717,OUT!$D$2:$D$11000,"Out",OUT!$E$2:$E$11000,"Jajan")</f>
        <v>#VALUE!</v>
      </c>
      <c r="O717" s="52">
        <f ca="1">SUMIFS(OUT!$F$2:$F$11000,OUT!$H$2:$H$11000,H717,OUT!$D$2:$D$11000,"Out",OUT!$E$2:$E$11000,"Kitchen")</f>
        <v>964968</v>
      </c>
      <c r="P717" s="52">
        <f ca="1">SUMIFS(OUT!$F$2:$F$11000,OUT!$H$2:$H$11000,H717,OUT!$D$2:$D$11000,"Out",OUT!$E$2:$E$11000,"Loandry")</f>
        <v>58396</v>
      </c>
      <c r="Q717" s="52">
        <f ca="1">SUMIFS(OUT!$F$2:$F$11000,OUT!$H$2:$H$11000,H717,OUT!$D$2:$D$11000,"Out",OUT!$E$2:$E$11000,"Mio")</f>
        <v>181000</v>
      </c>
      <c r="R717" s="52">
        <f ca="1">SUMIFS(OUT!$F$2:$F$11000,OUT!$H$2:$H$11000,H717,OUT!$D$2:$D$11000,"Out",OUT!$E$2:$E$11000,"Sedekah")</f>
        <v>0</v>
      </c>
      <c r="S717" s="52">
        <f ca="1">SUMIFS(OUT!$F$2:$F$11000,OUT!$H$2:$H$11000,H717,OUT!$D$2:$D$11000,"Out",OUT!$E$2:$E$11000,"Zela")</f>
        <v>90500</v>
      </c>
      <c r="T717" s="52">
        <f ca="1">SUMIFS(OUT!$F$2:$F$11000,OUT!$H$2:$H$11000,H717,OUT!$D$2:$D$11000,"Out",OUT!$E$2:$E$11000,"Iqbal")</f>
        <v>74070</v>
      </c>
    </row>
    <row r="718" spans="1:20" x14ac:dyDescent="0.2">
      <c r="A718" s="48">
        <f ca="1">IFERROR(__xludf.DUMMYFUNCTION("""COMPUTED_VALUE"""),46125)</f>
        <v>46125</v>
      </c>
      <c r="B718" s="4" t="str">
        <f ca="1">IFERROR(__xludf.DUMMYFUNCTION("""COMPUTED_VALUE"""),"pasar Kaget ")</f>
        <v xml:space="preserve">pasar Kaget </v>
      </c>
      <c r="C718" s="4" t="str">
        <f ca="1">IFERROR(__xludf.DUMMYFUNCTION("""COMPUTED_VALUE"""),"Cash")</f>
        <v>Cash</v>
      </c>
      <c r="D718" s="4" t="str">
        <f ca="1">IFERROR(__xludf.DUMMYFUNCTION("""COMPUTED_VALUE"""),"Out")</f>
        <v>Out</v>
      </c>
      <c r="E718" s="4" t="str">
        <f ca="1">IFERROR(__xludf.DUMMYFUNCTION("""COMPUTED_VALUE"""),"Kitchen")</f>
        <v>Kitchen</v>
      </c>
      <c r="F718" s="49">
        <f ca="1">IFERROR(__xludf.DUMMYFUNCTION("""COMPUTED_VALUE"""),51000)</f>
        <v>51000</v>
      </c>
      <c r="G718" s="50" t="str">
        <f ca="1">IFERROR(__xludf.DUMMYFUNCTION("""COMPUTED_VALUE"""),"Zela")</f>
        <v>Zela</v>
      </c>
      <c r="H718" s="51">
        <f t="shared" ca="1" si="0"/>
        <v>46113</v>
      </c>
      <c r="I718" s="52" t="e">
        <f ca="1">SUMIFS(OUT!$F$2:$F$11000,OUT!$H$2:$H$11000,H718,OUT!$D$2:$D$101007,"In")</f>
        <v>#VALUE!</v>
      </c>
      <c r="J718" s="52">
        <f ca="1">SUMIFS(OUT!$F$2:$F$11000,OUT!$H$2:$H$11000,H718,OUT!$D$2:$D$11000,"Out")</f>
        <v>8253441</v>
      </c>
      <c r="K718" s="52">
        <f ca="1">SUMIFS(OUT!$F$2:$F$11000,OUT!$H$2:$H$11000,H718,OUT!$D$2:$D$11000,"Out",OUT!$E$2:$E$11000,"Fix")</f>
        <v>2554300</v>
      </c>
      <c r="L718" s="52">
        <f ca="1">SUMIFS(OUT!$F$2:$F$11000,OUT!$H$2:$H$11000,H718,OUT!$D$2:$D$11000,"Out",OUT!$E$2:$E$11000,"Bathroom")</f>
        <v>19900</v>
      </c>
      <c r="M718" s="52">
        <f ca="1">SUMIFS(OUT!$F$2:$F$11000,OUT!$H$2:$H$11000,H718,OUT!$D$2:$D$11000,"Out",OUT!$E$2:$E$11000,"Alfa")</f>
        <v>282719</v>
      </c>
      <c r="N718" s="52" t="e">
        <f ca="1">SUMIFS(OUT!$F$2:$F$11000,OUT!$H$2:$H$101007,H718,OUT!$D$2:$D$11000,"Out",OUT!$E$2:$E$11000,"Jajan")</f>
        <v>#VALUE!</v>
      </c>
      <c r="O718" s="52">
        <f ca="1">SUMIFS(OUT!$F$2:$F$11000,OUT!$H$2:$H$11000,H718,OUT!$D$2:$D$11000,"Out",OUT!$E$2:$E$11000,"Kitchen")</f>
        <v>964968</v>
      </c>
      <c r="P718" s="52">
        <f ca="1">SUMIFS(OUT!$F$2:$F$11000,OUT!$H$2:$H$11000,H718,OUT!$D$2:$D$11000,"Out",OUT!$E$2:$E$11000,"Loandry")</f>
        <v>58396</v>
      </c>
      <c r="Q718" s="52">
        <f ca="1">SUMIFS(OUT!$F$2:$F$11000,OUT!$H$2:$H$11000,H718,OUT!$D$2:$D$11000,"Out",OUT!$E$2:$E$11000,"Mio")</f>
        <v>181000</v>
      </c>
      <c r="R718" s="52">
        <f ca="1">SUMIFS(OUT!$F$2:$F$11000,OUT!$H$2:$H$11000,H718,OUT!$D$2:$D$11000,"Out",OUT!$E$2:$E$11000,"Sedekah")</f>
        <v>0</v>
      </c>
      <c r="S718" s="52">
        <f ca="1">SUMIFS(OUT!$F$2:$F$11000,OUT!$H$2:$H$11000,H718,OUT!$D$2:$D$11000,"Out",OUT!$E$2:$E$11000,"Zela")</f>
        <v>90500</v>
      </c>
      <c r="T718" s="52">
        <f ca="1">SUMIFS(OUT!$F$2:$F$11000,OUT!$H$2:$H$11000,H718,OUT!$D$2:$D$11000,"Out",OUT!$E$2:$E$11000,"Iqbal")</f>
        <v>74070</v>
      </c>
    </row>
    <row r="719" spans="1:20" x14ac:dyDescent="0.2">
      <c r="A719" s="48">
        <f ca="1">IFERROR(__xludf.DUMMYFUNCTION("""COMPUTED_VALUE"""),46125)</f>
        <v>46125</v>
      </c>
      <c r="B719" s="4" t="str">
        <f ca="1">IFERROR(__xludf.DUMMYFUNCTION("""COMPUTED_VALUE"""),"bedak Alfa ")</f>
        <v xml:space="preserve">bedak Alfa </v>
      </c>
      <c r="C719" s="4" t="str">
        <f ca="1">IFERROR(__xludf.DUMMYFUNCTION("""COMPUTED_VALUE"""),"ATM")</f>
        <v>ATM</v>
      </c>
      <c r="D719" s="4" t="str">
        <f ca="1">IFERROR(__xludf.DUMMYFUNCTION("""COMPUTED_VALUE"""),"Out")</f>
        <v>Out</v>
      </c>
      <c r="E719" s="4" t="str">
        <f ca="1">IFERROR(__xludf.DUMMYFUNCTION("""COMPUTED_VALUE"""),"Alfa")</f>
        <v>Alfa</v>
      </c>
      <c r="F719" s="49">
        <f ca="1">IFERROR(__xludf.DUMMYFUNCTION("""COMPUTED_VALUE"""),15200)</f>
        <v>15200</v>
      </c>
      <c r="G719" s="50" t="str">
        <f ca="1">IFERROR(__xludf.DUMMYFUNCTION("""COMPUTED_VALUE"""),"Zela")</f>
        <v>Zela</v>
      </c>
      <c r="H719" s="51">
        <f t="shared" ca="1" si="0"/>
        <v>46113</v>
      </c>
      <c r="I719" s="52" t="e">
        <f ca="1">SUMIFS(OUT!$F$2:$F$11000,OUT!$H$2:$H$11000,H719,OUT!$D$2:$D$101007,"In")</f>
        <v>#VALUE!</v>
      </c>
      <c r="J719" s="52">
        <f ca="1">SUMIFS(OUT!$F$2:$F$11000,OUT!$H$2:$H$11000,H719,OUT!$D$2:$D$11000,"Out")</f>
        <v>8253441</v>
      </c>
      <c r="K719" s="52">
        <f ca="1">SUMIFS(OUT!$F$2:$F$11000,OUT!$H$2:$H$11000,H719,OUT!$D$2:$D$11000,"Out",OUT!$E$2:$E$11000,"Fix")</f>
        <v>2554300</v>
      </c>
      <c r="L719" s="52">
        <f ca="1">SUMIFS(OUT!$F$2:$F$11000,OUT!$H$2:$H$11000,H719,OUT!$D$2:$D$11000,"Out",OUT!$E$2:$E$11000,"Bathroom")</f>
        <v>19900</v>
      </c>
      <c r="M719" s="52">
        <f ca="1">SUMIFS(OUT!$F$2:$F$11000,OUT!$H$2:$H$11000,H719,OUT!$D$2:$D$11000,"Out",OUT!$E$2:$E$11000,"Alfa")</f>
        <v>282719</v>
      </c>
      <c r="N719" s="52" t="e">
        <f ca="1">SUMIFS(OUT!$F$2:$F$11000,OUT!$H$2:$H$101007,H719,OUT!$D$2:$D$11000,"Out",OUT!$E$2:$E$11000,"Jajan")</f>
        <v>#VALUE!</v>
      </c>
      <c r="O719" s="52">
        <f ca="1">SUMIFS(OUT!$F$2:$F$11000,OUT!$H$2:$H$11000,H719,OUT!$D$2:$D$11000,"Out",OUT!$E$2:$E$11000,"Kitchen")</f>
        <v>964968</v>
      </c>
      <c r="P719" s="52">
        <f ca="1">SUMIFS(OUT!$F$2:$F$11000,OUT!$H$2:$H$11000,H719,OUT!$D$2:$D$11000,"Out",OUT!$E$2:$E$11000,"Loandry")</f>
        <v>58396</v>
      </c>
      <c r="Q719" s="52">
        <f ca="1">SUMIFS(OUT!$F$2:$F$11000,OUT!$H$2:$H$11000,H719,OUT!$D$2:$D$11000,"Out",OUT!$E$2:$E$11000,"Mio")</f>
        <v>181000</v>
      </c>
      <c r="R719" s="52">
        <f ca="1">SUMIFS(OUT!$F$2:$F$11000,OUT!$H$2:$H$11000,H719,OUT!$D$2:$D$11000,"Out",OUT!$E$2:$E$11000,"Sedekah")</f>
        <v>0</v>
      </c>
      <c r="S719" s="52">
        <f ca="1">SUMIFS(OUT!$F$2:$F$11000,OUT!$H$2:$H$11000,H719,OUT!$D$2:$D$11000,"Out",OUT!$E$2:$E$11000,"Zela")</f>
        <v>90500</v>
      </c>
      <c r="T719" s="52">
        <f ca="1">SUMIFS(OUT!$F$2:$F$11000,OUT!$H$2:$H$11000,H719,OUT!$D$2:$D$11000,"Out",OUT!$E$2:$E$11000,"Iqbal")</f>
        <v>74070</v>
      </c>
    </row>
    <row r="720" spans="1:20" x14ac:dyDescent="0.2">
      <c r="A720" s="48">
        <f ca="1">IFERROR(__xludf.DUMMYFUNCTION("""COMPUTED_VALUE"""),46127)</f>
        <v>46127</v>
      </c>
      <c r="B720" s="4" t="str">
        <f ca="1">IFERROR(__xludf.DUMMYFUNCTION("""COMPUTED_VALUE"""),"botol susu + spons Mandi ")</f>
        <v xml:space="preserve">botol susu + spons Mandi </v>
      </c>
      <c r="C720" s="4" t="str">
        <f ca="1">IFERROR(__xludf.DUMMYFUNCTION("""COMPUTED_VALUE"""),"ATM")</f>
        <v>ATM</v>
      </c>
      <c r="D720" s="4" t="str">
        <f ca="1">IFERROR(__xludf.DUMMYFUNCTION("""COMPUTED_VALUE"""),"Out")</f>
        <v>Out</v>
      </c>
      <c r="E720" s="4" t="str">
        <f ca="1">IFERROR(__xludf.DUMMYFUNCTION("""COMPUTED_VALUE"""),"Alfa")</f>
        <v>Alfa</v>
      </c>
      <c r="F720" s="49">
        <f ca="1">IFERROR(__xludf.DUMMYFUNCTION("""COMPUTED_VALUE"""),30000)</f>
        <v>30000</v>
      </c>
      <c r="G720" s="50" t="str">
        <f ca="1">IFERROR(__xludf.DUMMYFUNCTION("""COMPUTED_VALUE"""),"Zela")</f>
        <v>Zela</v>
      </c>
      <c r="H720" s="51">
        <f t="shared" ca="1" si="0"/>
        <v>46113</v>
      </c>
      <c r="I720" s="52" t="e">
        <f ca="1">SUMIFS(OUT!$F$2:$F$11000,OUT!$H$2:$H$11000,H720,OUT!$D$2:$D$101007,"In")</f>
        <v>#VALUE!</v>
      </c>
      <c r="J720" s="52">
        <f ca="1">SUMIFS(OUT!$F$2:$F$11000,OUT!$H$2:$H$11000,H720,OUT!$D$2:$D$11000,"Out")</f>
        <v>8253441</v>
      </c>
      <c r="K720" s="52">
        <f ca="1">SUMIFS(OUT!$F$2:$F$11000,OUT!$H$2:$H$11000,H720,OUT!$D$2:$D$11000,"Out",OUT!$E$2:$E$11000,"Fix")</f>
        <v>2554300</v>
      </c>
      <c r="L720" s="52">
        <f ca="1">SUMIFS(OUT!$F$2:$F$11000,OUT!$H$2:$H$11000,H720,OUT!$D$2:$D$11000,"Out",OUT!$E$2:$E$11000,"Bathroom")</f>
        <v>19900</v>
      </c>
      <c r="M720" s="52">
        <f ca="1">SUMIFS(OUT!$F$2:$F$11000,OUT!$H$2:$H$11000,H720,OUT!$D$2:$D$11000,"Out",OUT!$E$2:$E$11000,"Alfa")</f>
        <v>282719</v>
      </c>
      <c r="N720" s="52" t="e">
        <f ca="1">SUMIFS(OUT!$F$2:$F$11000,OUT!$H$2:$H$101007,H720,OUT!$D$2:$D$11000,"Out",OUT!$E$2:$E$11000,"Jajan")</f>
        <v>#VALUE!</v>
      </c>
      <c r="O720" s="52">
        <f ca="1">SUMIFS(OUT!$F$2:$F$11000,OUT!$H$2:$H$11000,H720,OUT!$D$2:$D$11000,"Out",OUT!$E$2:$E$11000,"Kitchen")</f>
        <v>964968</v>
      </c>
      <c r="P720" s="52">
        <f ca="1">SUMIFS(OUT!$F$2:$F$11000,OUT!$H$2:$H$11000,H720,OUT!$D$2:$D$11000,"Out",OUT!$E$2:$E$11000,"Loandry")</f>
        <v>58396</v>
      </c>
      <c r="Q720" s="52">
        <f ca="1">SUMIFS(OUT!$F$2:$F$11000,OUT!$H$2:$H$11000,H720,OUT!$D$2:$D$11000,"Out",OUT!$E$2:$E$11000,"Mio")</f>
        <v>181000</v>
      </c>
      <c r="R720" s="52">
        <f ca="1">SUMIFS(OUT!$F$2:$F$11000,OUT!$H$2:$H$11000,H720,OUT!$D$2:$D$11000,"Out",OUT!$E$2:$E$11000,"Sedekah")</f>
        <v>0</v>
      </c>
      <c r="S720" s="52">
        <f ca="1">SUMIFS(OUT!$F$2:$F$11000,OUT!$H$2:$H$11000,H720,OUT!$D$2:$D$11000,"Out",OUT!$E$2:$E$11000,"Zela")</f>
        <v>90500</v>
      </c>
      <c r="T720" s="52">
        <f ca="1">SUMIFS(OUT!$F$2:$F$11000,OUT!$H$2:$H$11000,H720,OUT!$D$2:$D$11000,"Out",OUT!$E$2:$E$11000,"Iqbal")</f>
        <v>74070</v>
      </c>
    </row>
    <row r="721" spans="1:20" x14ac:dyDescent="0.2">
      <c r="A721" s="48">
        <f ca="1">IFERROR(__xludf.DUMMYFUNCTION("""COMPUTED_VALUE"""),46128)</f>
        <v>46128</v>
      </c>
      <c r="B721" s="4" t="str">
        <f ca="1">IFERROR(__xludf.DUMMYFUNCTION("""COMPUTED_VALUE"""),"Bensin pertalite")</f>
        <v>Bensin pertalite</v>
      </c>
      <c r="C721" s="4" t="str">
        <f ca="1">IFERROR(__xludf.DUMMYFUNCTION("""COMPUTED_VALUE"""),"Cash")</f>
        <v>Cash</v>
      </c>
      <c r="D721" s="4" t="str">
        <f ca="1">IFERROR(__xludf.DUMMYFUNCTION("""COMPUTED_VALUE"""),"Out")</f>
        <v>Out</v>
      </c>
      <c r="E721" s="4" t="str">
        <f ca="1">IFERROR(__xludf.DUMMYFUNCTION("""COMPUTED_VALUE"""),"Mio")</f>
        <v>Mio</v>
      </c>
      <c r="F721" s="49">
        <f ca="1">IFERROR(__xludf.DUMMYFUNCTION("""COMPUTED_VALUE"""),20000)</f>
        <v>20000</v>
      </c>
      <c r="G721" s="50" t="str">
        <f ca="1">IFERROR(__xludf.DUMMYFUNCTION("""COMPUTED_VALUE"""),"Zela")</f>
        <v>Zela</v>
      </c>
      <c r="H721" s="51">
        <f t="shared" ca="1" si="0"/>
        <v>46113</v>
      </c>
      <c r="I721" s="52" t="e">
        <f ca="1">SUMIFS(OUT!$F$2:$F$11000,OUT!$H$2:$H$11000,H721,OUT!$D$2:$D$101007,"In")</f>
        <v>#VALUE!</v>
      </c>
      <c r="J721" s="52">
        <f ca="1">SUMIFS(OUT!$F$2:$F$11000,OUT!$H$2:$H$11000,H721,OUT!$D$2:$D$11000,"Out")</f>
        <v>8253441</v>
      </c>
      <c r="K721" s="52">
        <f ca="1">SUMIFS(OUT!$F$2:$F$11000,OUT!$H$2:$H$11000,H721,OUT!$D$2:$D$11000,"Out",OUT!$E$2:$E$11000,"Fix")</f>
        <v>2554300</v>
      </c>
      <c r="L721" s="52">
        <f ca="1">SUMIFS(OUT!$F$2:$F$11000,OUT!$H$2:$H$11000,H721,OUT!$D$2:$D$11000,"Out",OUT!$E$2:$E$11000,"Bathroom")</f>
        <v>19900</v>
      </c>
      <c r="M721" s="52">
        <f ca="1">SUMIFS(OUT!$F$2:$F$11000,OUT!$H$2:$H$11000,H721,OUT!$D$2:$D$11000,"Out",OUT!$E$2:$E$11000,"Alfa")</f>
        <v>282719</v>
      </c>
      <c r="N721" s="52" t="e">
        <f ca="1">SUMIFS(OUT!$F$2:$F$11000,OUT!$H$2:$H$101007,H721,OUT!$D$2:$D$11000,"Out",OUT!$E$2:$E$11000,"Jajan")</f>
        <v>#VALUE!</v>
      </c>
      <c r="O721" s="52">
        <f ca="1">SUMIFS(OUT!$F$2:$F$11000,OUT!$H$2:$H$11000,H721,OUT!$D$2:$D$11000,"Out",OUT!$E$2:$E$11000,"Kitchen")</f>
        <v>964968</v>
      </c>
      <c r="P721" s="52">
        <f ca="1">SUMIFS(OUT!$F$2:$F$11000,OUT!$H$2:$H$11000,H721,OUT!$D$2:$D$11000,"Out",OUT!$E$2:$E$11000,"Loandry")</f>
        <v>58396</v>
      </c>
      <c r="Q721" s="52">
        <f ca="1">SUMIFS(OUT!$F$2:$F$11000,OUT!$H$2:$H$11000,H721,OUT!$D$2:$D$11000,"Out",OUT!$E$2:$E$11000,"Mio")</f>
        <v>181000</v>
      </c>
      <c r="R721" s="52">
        <f ca="1">SUMIFS(OUT!$F$2:$F$11000,OUT!$H$2:$H$11000,H721,OUT!$D$2:$D$11000,"Out",OUT!$E$2:$E$11000,"Sedekah")</f>
        <v>0</v>
      </c>
      <c r="S721" s="52">
        <f ca="1">SUMIFS(OUT!$F$2:$F$11000,OUT!$H$2:$H$11000,H721,OUT!$D$2:$D$11000,"Out",OUT!$E$2:$E$11000,"Zela")</f>
        <v>90500</v>
      </c>
      <c r="T721" s="52">
        <f ca="1">SUMIFS(OUT!$F$2:$F$11000,OUT!$H$2:$H$11000,H721,OUT!$D$2:$D$11000,"Out",OUT!$E$2:$E$11000,"Iqbal")</f>
        <v>74070</v>
      </c>
    </row>
    <row r="722" spans="1:20" x14ac:dyDescent="0.2">
      <c r="A722" s="48">
        <f ca="1">IFERROR(__xludf.DUMMYFUNCTION("""COMPUTED_VALUE"""),46128)</f>
        <v>46128</v>
      </c>
      <c r="B722" s="4" t="str">
        <f ca="1">IFERROR(__xludf.DUMMYFUNCTION("""COMPUTED_VALUE"""),"Kopi 2 bungkus")</f>
        <v>Kopi 2 bungkus</v>
      </c>
      <c r="C722" s="4" t="str">
        <f ca="1">IFERROR(__xludf.DUMMYFUNCTION("""COMPUTED_VALUE"""),"Cash")</f>
        <v>Cash</v>
      </c>
      <c r="D722" s="4" t="str">
        <f ca="1">IFERROR(__xludf.DUMMYFUNCTION("""COMPUTED_VALUE"""),"Out")</f>
        <v>Out</v>
      </c>
      <c r="E722" s="4" t="str">
        <f ca="1">IFERROR(__xludf.DUMMYFUNCTION("""COMPUTED_VALUE"""),"Jajan")</f>
        <v>Jajan</v>
      </c>
      <c r="F722" s="49">
        <f ca="1">IFERROR(__xludf.DUMMYFUNCTION("""COMPUTED_VALUE"""),20000)</f>
        <v>20000</v>
      </c>
      <c r="G722" s="50" t="str">
        <f ca="1">IFERROR(__xludf.DUMMYFUNCTION("""COMPUTED_VALUE"""),"Zela")</f>
        <v>Zela</v>
      </c>
      <c r="H722" s="51">
        <f t="shared" ca="1" si="0"/>
        <v>46113</v>
      </c>
      <c r="I722" s="52" t="e">
        <f ca="1">SUMIFS(OUT!$F$2:$F$11000,OUT!$H$2:$H$11000,H722,OUT!$D$2:$D$101007,"In")</f>
        <v>#VALUE!</v>
      </c>
      <c r="J722" s="52">
        <f ca="1">SUMIFS(OUT!$F$2:$F$11000,OUT!$H$2:$H$11000,H722,OUT!$D$2:$D$11000,"Out")</f>
        <v>8253441</v>
      </c>
      <c r="K722" s="52">
        <f ca="1">SUMIFS(OUT!$F$2:$F$11000,OUT!$H$2:$H$11000,H722,OUT!$D$2:$D$11000,"Out",OUT!$E$2:$E$11000,"Fix")</f>
        <v>2554300</v>
      </c>
      <c r="L722" s="52">
        <f ca="1">SUMIFS(OUT!$F$2:$F$11000,OUT!$H$2:$H$11000,H722,OUT!$D$2:$D$11000,"Out",OUT!$E$2:$E$11000,"Bathroom")</f>
        <v>19900</v>
      </c>
      <c r="M722" s="52">
        <f ca="1">SUMIFS(OUT!$F$2:$F$11000,OUT!$H$2:$H$11000,H722,OUT!$D$2:$D$11000,"Out",OUT!$E$2:$E$11000,"Alfa")</f>
        <v>282719</v>
      </c>
      <c r="N722" s="52" t="e">
        <f ca="1">SUMIFS(OUT!$F$2:$F$11000,OUT!$H$2:$H$101007,H722,OUT!$D$2:$D$11000,"Out",OUT!$E$2:$E$11000,"Jajan")</f>
        <v>#VALUE!</v>
      </c>
      <c r="O722" s="52">
        <f ca="1">SUMIFS(OUT!$F$2:$F$11000,OUT!$H$2:$H$11000,H722,OUT!$D$2:$D$11000,"Out",OUT!$E$2:$E$11000,"Kitchen")</f>
        <v>964968</v>
      </c>
      <c r="P722" s="52">
        <f ca="1">SUMIFS(OUT!$F$2:$F$11000,OUT!$H$2:$H$11000,H722,OUT!$D$2:$D$11000,"Out",OUT!$E$2:$E$11000,"Loandry")</f>
        <v>58396</v>
      </c>
      <c r="Q722" s="52">
        <f ca="1">SUMIFS(OUT!$F$2:$F$11000,OUT!$H$2:$H$11000,H722,OUT!$D$2:$D$11000,"Out",OUT!$E$2:$E$11000,"Mio")</f>
        <v>181000</v>
      </c>
      <c r="R722" s="52">
        <f ca="1">SUMIFS(OUT!$F$2:$F$11000,OUT!$H$2:$H$11000,H722,OUT!$D$2:$D$11000,"Out",OUT!$E$2:$E$11000,"Sedekah")</f>
        <v>0</v>
      </c>
      <c r="S722" s="52">
        <f ca="1">SUMIFS(OUT!$F$2:$F$11000,OUT!$H$2:$H$11000,H722,OUT!$D$2:$D$11000,"Out",OUT!$E$2:$E$11000,"Zela")</f>
        <v>90500</v>
      </c>
      <c r="T722" s="52">
        <f ca="1">SUMIFS(OUT!$F$2:$F$11000,OUT!$H$2:$H$11000,H722,OUT!$D$2:$D$11000,"Out",OUT!$E$2:$E$11000,"Iqbal")</f>
        <v>74070</v>
      </c>
    </row>
    <row r="723" spans="1:20" x14ac:dyDescent="0.2">
      <c r="A723" s="48">
        <f ca="1">IFERROR(__xludf.DUMMYFUNCTION("""COMPUTED_VALUE"""),46127)</f>
        <v>46127</v>
      </c>
      <c r="B723" s="4" t="str">
        <f ca="1">IFERROR(__xludf.DUMMYFUNCTION("""COMPUTED_VALUE"""),"Tarik Tunai ")</f>
        <v xml:space="preserve">Tarik Tunai </v>
      </c>
      <c r="C723" s="4" t="str">
        <f ca="1">IFERROR(__xludf.DUMMYFUNCTION("""COMPUTED_VALUE"""),"ATM")</f>
        <v>ATM</v>
      </c>
      <c r="D723" s="4" t="str">
        <f ca="1">IFERROR(__xludf.DUMMYFUNCTION("""COMPUTED_VALUE"""),"Out")</f>
        <v>Out</v>
      </c>
      <c r="E723" s="4" t="str">
        <f ca="1">IFERROR(__xludf.DUMMYFUNCTION("""COMPUTED_VALUE"""),"Move")</f>
        <v>Move</v>
      </c>
      <c r="F723" s="49">
        <f ca="1">IFERROR(__xludf.DUMMYFUNCTION("""COMPUTED_VALUE"""),100000)</f>
        <v>100000</v>
      </c>
      <c r="G723" s="50" t="str">
        <f ca="1">IFERROR(__xludf.DUMMYFUNCTION("""COMPUTED_VALUE"""),"Zela")</f>
        <v>Zela</v>
      </c>
      <c r="H723" s="51">
        <f t="shared" ca="1" si="0"/>
        <v>46113</v>
      </c>
      <c r="I723" s="52" t="e">
        <f ca="1">SUMIFS(OUT!$F$2:$F$11000,OUT!$H$2:$H$11000,H723,OUT!$D$2:$D$101007,"In")</f>
        <v>#VALUE!</v>
      </c>
      <c r="J723" s="52">
        <f ca="1">SUMIFS(OUT!$F$2:$F$11000,OUT!$H$2:$H$11000,H723,OUT!$D$2:$D$11000,"Out")</f>
        <v>8253441</v>
      </c>
      <c r="K723" s="52">
        <f ca="1">SUMIFS(OUT!$F$2:$F$11000,OUT!$H$2:$H$11000,H723,OUT!$D$2:$D$11000,"Out",OUT!$E$2:$E$11000,"Fix")</f>
        <v>2554300</v>
      </c>
      <c r="L723" s="52">
        <f ca="1">SUMIFS(OUT!$F$2:$F$11000,OUT!$H$2:$H$11000,H723,OUT!$D$2:$D$11000,"Out",OUT!$E$2:$E$11000,"Bathroom")</f>
        <v>19900</v>
      </c>
      <c r="M723" s="52">
        <f ca="1">SUMIFS(OUT!$F$2:$F$11000,OUT!$H$2:$H$11000,H723,OUT!$D$2:$D$11000,"Out",OUT!$E$2:$E$11000,"Alfa")</f>
        <v>282719</v>
      </c>
      <c r="N723" s="52" t="e">
        <f ca="1">SUMIFS(OUT!$F$2:$F$11000,OUT!$H$2:$H$101007,H723,OUT!$D$2:$D$11000,"Out",OUT!$E$2:$E$11000,"Jajan")</f>
        <v>#VALUE!</v>
      </c>
      <c r="O723" s="52">
        <f ca="1">SUMIFS(OUT!$F$2:$F$11000,OUT!$H$2:$H$11000,H723,OUT!$D$2:$D$11000,"Out",OUT!$E$2:$E$11000,"Kitchen")</f>
        <v>964968</v>
      </c>
      <c r="P723" s="52">
        <f ca="1">SUMIFS(OUT!$F$2:$F$11000,OUT!$H$2:$H$11000,H723,OUT!$D$2:$D$11000,"Out",OUT!$E$2:$E$11000,"Loandry")</f>
        <v>58396</v>
      </c>
      <c r="Q723" s="52">
        <f ca="1">SUMIFS(OUT!$F$2:$F$11000,OUT!$H$2:$H$11000,H723,OUT!$D$2:$D$11000,"Out",OUT!$E$2:$E$11000,"Mio")</f>
        <v>181000</v>
      </c>
      <c r="R723" s="52">
        <f ca="1">SUMIFS(OUT!$F$2:$F$11000,OUT!$H$2:$H$11000,H723,OUT!$D$2:$D$11000,"Out",OUT!$E$2:$E$11000,"Sedekah")</f>
        <v>0</v>
      </c>
      <c r="S723" s="52">
        <f ca="1">SUMIFS(OUT!$F$2:$F$11000,OUT!$H$2:$H$11000,H723,OUT!$D$2:$D$11000,"Out",OUT!$E$2:$E$11000,"Zela")</f>
        <v>90500</v>
      </c>
      <c r="T723" s="52">
        <f ca="1">SUMIFS(OUT!$F$2:$F$11000,OUT!$H$2:$H$11000,H723,OUT!$D$2:$D$11000,"Out",OUT!$E$2:$E$11000,"Iqbal")</f>
        <v>74070</v>
      </c>
    </row>
    <row r="724" spans="1:20" x14ac:dyDescent="0.2">
      <c r="A724" s="48">
        <f ca="1">IFERROR(__xludf.DUMMYFUNCTION("""COMPUTED_VALUE"""),46127)</f>
        <v>46127</v>
      </c>
      <c r="B724" s="4" t="str">
        <f ca="1">IFERROR(__xludf.DUMMYFUNCTION("""COMPUTED_VALUE"""),"Terima Tunai ")</f>
        <v xml:space="preserve">Terima Tunai </v>
      </c>
      <c r="C724" s="4" t="str">
        <f ca="1">IFERROR(__xludf.DUMMYFUNCTION("""COMPUTED_VALUE"""),"Cash")</f>
        <v>Cash</v>
      </c>
      <c r="D724" s="4" t="str">
        <f ca="1">IFERROR(__xludf.DUMMYFUNCTION("""COMPUTED_VALUE"""),"In")</f>
        <v>In</v>
      </c>
      <c r="E724" s="4" t="str">
        <f ca="1">IFERROR(__xludf.DUMMYFUNCTION("""COMPUTED_VALUE"""),"Move")</f>
        <v>Move</v>
      </c>
      <c r="F724" s="49">
        <f ca="1">IFERROR(__xludf.DUMMYFUNCTION("""COMPUTED_VALUE"""),100000)</f>
        <v>100000</v>
      </c>
      <c r="G724" s="50" t="str">
        <f ca="1">IFERROR(__xludf.DUMMYFUNCTION("""COMPUTED_VALUE"""),"Zela")</f>
        <v>Zela</v>
      </c>
      <c r="H724" s="51">
        <f t="shared" ca="1" si="0"/>
        <v>46113</v>
      </c>
      <c r="I724" s="52" t="e">
        <f ca="1">SUMIFS(OUT!$F$2:$F$11000,OUT!$H$2:$H$11000,H724,OUT!$D$2:$D$101007,"In")</f>
        <v>#VALUE!</v>
      </c>
      <c r="J724" s="52">
        <f ca="1">SUMIFS(OUT!$F$2:$F$11000,OUT!$H$2:$H$11000,H724,OUT!$D$2:$D$11000,"Out")</f>
        <v>8253441</v>
      </c>
      <c r="K724" s="52">
        <f ca="1">SUMIFS(OUT!$F$2:$F$11000,OUT!$H$2:$H$11000,H724,OUT!$D$2:$D$11000,"Out",OUT!$E$2:$E$11000,"Fix")</f>
        <v>2554300</v>
      </c>
      <c r="L724" s="52">
        <f ca="1">SUMIFS(OUT!$F$2:$F$11000,OUT!$H$2:$H$11000,H724,OUT!$D$2:$D$11000,"Out",OUT!$E$2:$E$11000,"Bathroom")</f>
        <v>19900</v>
      </c>
      <c r="M724" s="52">
        <f ca="1">SUMIFS(OUT!$F$2:$F$11000,OUT!$H$2:$H$11000,H724,OUT!$D$2:$D$11000,"Out",OUT!$E$2:$E$11000,"Alfa")</f>
        <v>282719</v>
      </c>
      <c r="N724" s="52" t="e">
        <f ca="1">SUMIFS(OUT!$F$2:$F$11000,OUT!$H$2:$H$101007,H724,OUT!$D$2:$D$11000,"Out",OUT!$E$2:$E$11000,"Jajan")</f>
        <v>#VALUE!</v>
      </c>
      <c r="O724" s="52">
        <f ca="1">SUMIFS(OUT!$F$2:$F$11000,OUT!$H$2:$H$11000,H724,OUT!$D$2:$D$11000,"Out",OUT!$E$2:$E$11000,"Kitchen")</f>
        <v>964968</v>
      </c>
      <c r="P724" s="52">
        <f ca="1">SUMIFS(OUT!$F$2:$F$11000,OUT!$H$2:$H$11000,H724,OUT!$D$2:$D$11000,"Out",OUT!$E$2:$E$11000,"Loandry")</f>
        <v>58396</v>
      </c>
      <c r="Q724" s="52">
        <f ca="1">SUMIFS(OUT!$F$2:$F$11000,OUT!$H$2:$H$11000,H724,OUT!$D$2:$D$11000,"Out",OUT!$E$2:$E$11000,"Mio")</f>
        <v>181000</v>
      </c>
      <c r="R724" s="52">
        <f ca="1">SUMIFS(OUT!$F$2:$F$11000,OUT!$H$2:$H$11000,H724,OUT!$D$2:$D$11000,"Out",OUT!$E$2:$E$11000,"Sedekah")</f>
        <v>0</v>
      </c>
      <c r="S724" s="52">
        <f ca="1">SUMIFS(OUT!$F$2:$F$11000,OUT!$H$2:$H$11000,H724,OUT!$D$2:$D$11000,"Out",OUT!$E$2:$E$11000,"Zela")</f>
        <v>90500</v>
      </c>
      <c r="T724" s="52">
        <f ca="1">SUMIFS(OUT!$F$2:$F$11000,OUT!$H$2:$H$11000,H724,OUT!$D$2:$D$11000,"Out",OUT!$E$2:$E$11000,"Iqbal")</f>
        <v>74070</v>
      </c>
    </row>
    <row r="725" spans="1:20" x14ac:dyDescent="0.2">
      <c r="A725" s="48">
        <f ca="1">IFERROR(__xludf.DUMMYFUNCTION("""COMPUTED_VALUE"""),46127)</f>
        <v>46127</v>
      </c>
      <c r="B725" s="4" t="str">
        <f ca="1">IFERROR(__xludf.DUMMYFUNCTION("""COMPUTED_VALUE"""),"Susu+pentol+bolaayam+rotikeju(Alfamart)")</f>
        <v>Susu+pentol+bolaayam+rotikeju(Alfamart)</v>
      </c>
      <c r="C725" s="4" t="str">
        <f ca="1">IFERROR(__xludf.DUMMYFUNCTION("""COMPUTED_VALUE"""),"Cash")</f>
        <v>Cash</v>
      </c>
      <c r="D725" s="4" t="str">
        <f ca="1">IFERROR(__xludf.DUMMYFUNCTION("""COMPUTED_VALUE"""),"Out")</f>
        <v>Out</v>
      </c>
      <c r="E725" s="4" t="str">
        <f ca="1">IFERROR(__xludf.DUMMYFUNCTION("""COMPUTED_VALUE"""),"Jajan")</f>
        <v>Jajan</v>
      </c>
      <c r="F725" s="49">
        <f ca="1">IFERROR(__xludf.DUMMYFUNCTION("""COMPUTED_VALUE"""),49000)</f>
        <v>49000</v>
      </c>
      <c r="G725" s="50" t="str">
        <f ca="1">IFERROR(__xludf.DUMMYFUNCTION("""COMPUTED_VALUE"""),"Zela")</f>
        <v>Zela</v>
      </c>
      <c r="H725" s="51">
        <f t="shared" ca="1" si="0"/>
        <v>46113</v>
      </c>
      <c r="I725" s="52" t="e">
        <f ca="1">SUMIFS(OUT!$F$2:$F$11000,OUT!$H$2:$H$11000,H725,OUT!$D$2:$D$101007,"In")</f>
        <v>#VALUE!</v>
      </c>
      <c r="J725" s="52">
        <f ca="1">SUMIFS(OUT!$F$2:$F$11000,OUT!$H$2:$H$11000,H725,OUT!$D$2:$D$11000,"Out")</f>
        <v>8253441</v>
      </c>
      <c r="K725" s="52">
        <f ca="1">SUMIFS(OUT!$F$2:$F$11000,OUT!$H$2:$H$11000,H725,OUT!$D$2:$D$11000,"Out",OUT!$E$2:$E$11000,"Fix")</f>
        <v>2554300</v>
      </c>
      <c r="L725" s="52">
        <f ca="1">SUMIFS(OUT!$F$2:$F$11000,OUT!$H$2:$H$11000,H725,OUT!$D$2:$D$11000,"Out",OUT!$E$2:$E$11000,"Bathroom")</f>
        <v>19900</v>
      </c>
      <c r="M725" s="52">
        <f ca="1">SUMIFS(OUT!$F$2:$F$11000,OUT!$H$2:$H$11000,H725,OUT!$D$2:$D$11000,"Out",OUT!$E$2:$E$11000,"Alfa")</f>
        <v>282719</v>
      </c>
      <c r="N725" s="52" t="e">
        <f ca="1">SUMIFS(OUT!$F$2:$F$11000,OUT!$H$2:$H$101007,H725,OUT!$D$2:$D$11000,"Out",OUT!$E$2:$E$11000,"Jajan")</f>
        <v>#VALUE!</v>
      </c>
      <c r="O725" s="52">
        <f ca="1">SUMIFS(OUT!$F$2:$F$11000,OUT!$H$2:$H$11000,H725,OUT!$D$2:$D$11000,"Out",OUT!$E$2:$E$11000,"Kitchen")</f>
        <v>964968</v>
      </c>
      <c r="P725" s="52">
        <f ca="1">SUMIFS(OUT!$F$2:$F$11000,OUT!$H$2:$H$11000,H725,OUT!$D$2:$D$11000,"Out",OUT!$E$2:$E$11000,"Loandry")</f>
        <v>58396</v>
      </c>
      <c r="Q725" s="52">
        <f ca="1">SUMIFS(OUT!$F$2:$F$11000,OUT!$H$2:$H$11000,H725,OUT!$D$2:$D$11000,"Out",OUT!$E$2:$E$11000,"Mio")</f>
        <v>181000</v>
      </c>
      <c r="R725" s="52">
        <f ca="1">SUMIFS(OUT!$F$2:$F$11000,OUT!$H$2:$H$11000,H725,OUT!$D$2:$D$11000,"Out",OUT!$E$2:$E$11000,"Sedekah")</f>
        <v>0</v>
      </c>
      <c r="S725" s="52">
        <f ca="1">SUMIFS(OUT!$F$2:$F$11000,OUT!$H$2:$H$11000,H725,OUT!$D$2:$D$11000,"Out",OUT!$E$2:$E$11000,"Zela")</f>
        <v>90500</v>
      </c>
      <c r="T725" s="52">
        <f ca="1">SUMIFS(OUT!$F$2:$F$11000,OUT!$H$2:$H$11000,H725,OUT!$D$2:$D$11000,"Out",OUT!$E$2:$E$11000,"Iqbal")</f>
        <v>74070</v>
      </c>
    </row>
    <row r="726" spans="1:20" x14ac:dyDescent="0.2">
      <c r="A726" s="48">
        <f ca="1">IFERROR(__xludf.DUMMYFUNCTION("""COMPUTED_VALUE"""),46128)</f>
        <v>46128</v>
      </c>
      <c r="B726" s="4" t="str">
        <f ca="1">IFERROR(__xludf.DUMMYFUNCTION("""COMPUTED_VALUE"""),"Admin Fee Kartu")</f>
        <v>Admin Fee Kartu</v>
      </c>
      <c r="C726" s="4" t="str">
        <f ca="1">IFERROR(__xludf.DUMMYFUNCTION("""COMPUTED_VALUE"""),"ATM")</f>
        <v>ATM</v>
      </c>
      <c r="D726" s="4" t="str">
        <f ca="1">IFERROR(__xludf.DUMMYFUNCTION("""COMPUTED_VALUE"""),"Out")</f>
        <v>Out</v>
      </c>
      <c r="E726" s="4" t="str">
        <f ca="1">IFERROR(__xludf.DUMMYFUNCTION("""COMPUTED_VALUE"""),"Fix")</f>
        <v>Fix</v>
      </c>
      <c r="F726" s="49">
        <f ca="1">IFERROR(__xludf.DUMMYFUNCTION("""COMPUTED_VALUE"""),6000)</f>
        <v>6000</v>
      </c>
      <c r="G726" s="50" t="str">
        <f ca="1">IFERROR(__xludf.DUMMYFUNCTION("""COMPUTED_VALUE"""),"Zela")</f>
        <v>Zela</v>
      </c>
      <c r="H726" s="51">
        <f t="shared" ca="1" si="0"/>
        <v>46113</v>
      </c>
      <c r="I726" s="52" t="e">
        <f ca="1">SUMIFS(OUT!$F$2:$F$11000,OUT!$H$2:$H$11000,H726,OUT!$D$2:$D$101007,"In")</f>
        <v>#VALUE!</v>
      </c>
      <c r="J726" s="52">
        <f ca="1">SUMIFS(OUT!$F$2:$F$11000,OUT!$H$2:$H$11000,H726,OUT!$D$2:$D$11000,"Out")</f>
        <v>8253441</v>
      </c>
      <c r="K726" s="52">
        <f ca="1">SUMIFS(OUT!$F$2:$F$11000,OUT!$H$2:$H$11000,H726,OUT!$D$2:$D$11000,"Out",OUT!$E$2:$E$11000,"Fix")</f>
        <v>2554300</v>
      </c>
      <c r="L726" s="52">
        <f ca="1">SUMIFS(OUT!$F$2:$F$11000,OUT!$H$2:$H$11000,H726,OUT!$D$2:$D$11000,"Out",OUT!$E$2:$E$11000,"Bathroom")</f>
        <v>19900</v>
      </c>
      <c r="M726" s="52">
        <f ca="1">SUMIFS(OUT!$F$2:$F$11000,OUT!$H$2:$H$11000,H726,OUT!$D$2:$D$11000,"Out",OUT!$E$2:$E$11000,"Alfa")</f>
        <v>282719</v>
      </c>
      <c r="N726" s="52" t="e">
        <f ca="1">SUMIFS(OUT!$F$2:$F$11000,OUT!$H$2:$H$101007,H726,OUT!$D$2:$D$11000,"Out",OUT!$E$2:$E$11000,"Jajan")</f>
        <v>#VALUE!</v>
      </c>
      <c r="O726" s="52">
        <f ca="1">SUMIFS(OUT!$F$2:$F$11000,OUT!$H$2:$H$11000,H726,OUT!$D$2:$D$11000,"Out",OUT!$E$2:$E$11000,"Kitchen")</f>
        <v>964968</v>
      </c>
      <c r="P726" s="52">
        <f ca="1">SUMIFS(OUT!$F$2:$F$11000,OUT!$H$2:$H$11000,H726,OUT!$D$2:$D$11000,"Out",OUT!$E$2:$E$11000,"Loandry")</f>
        <v>58396</v>
      </c>
      <c r="Q726" s="52">
        <f ca="1">SUMIFS(OUT!$F$2:$F$11000,OUT!$H$2:$H$11000,H726,OUT!$D$2:$D$11000,"Out",OUT!$E$2:$E$11000,"Mio")</f>
        <v>181000</v>
      </c>
      <c r="R726" s="52">
        <f ca="1">SUMIFS(OUT!$F$2:$F$11000,OUT!$H$2:$H$11000,H726,OUT!$D$2:$D$11000,"Out",OUT!$E$2:$E$11000,"Sedekah")</f>
        <v>0</v>
      </c>
      <c r="S726" s="52">
        <f ca="1">SUMIFS(OUT!$F$2:$F$11000,OUT!$H$2:$H$11000,H726,OUT!$D$2:$D$11000,"Out",OUT!$E$2:$E$11000,"Zela")</f>
        <v>90500</v>
      </c>
      <c r="T726" s="52">
        <f ca="1">SUMIFS(OUT!$F$2:$F$11000,OUT!$H$2:$H$11000,H726,OUT!$D$2:$D$11000,"Out",OUT!$E$2:$E$11000,"Iqbal")</f>
        <v>74070</v>
      </c>
    </row>
    <row r="727" spans="1:20" x14ac:dyDescent="0.2">
      <c r="A727" s="48">
        <f ca="1">IFERROR(__xludf.DUMMYFUNCTION("""COMPUTED_VALUE"""),46129)</f>
        <v>46129</v>
      </c>
      <c r="B727" s="4" t="str">
        <f ca="1">IFERROR(__xludf.DUMMYFUNCTION("""COMPUTED_VALUE"""),"Admin Dana ")</f>
        <v xml:space="preserve">Admin Dana </v>
      </c>
      <c r="C727" s="4" t="str">
        <f ca="1">IFERROR(__xludf.DUMMYFUNCTION("""COMPUTED_VALUE"""),"ATM")</f>
        <v>ATM</v>
      </c>
      <c r="D727" s="4" t="str">
        <f ca="1">IFERROR(__xludf.DUMMYFUNCTION("""COMPUTED_VALUE"""),"Out")</f>
        <v>Out</v>
      </c>
      <c r="E727" s="4" t="str">
        <f ca="1">IFERROR(__xludf.DUMMYFUNCTION("""COMPUTED_VALUE"""),"Fix")</f>
        <v>Fix</v>
      </c>
      <c r="F727" s="49">
        <f ca="1">IFERROR(__xludf.DUMMYFUNCTION("""COMPUTED_VALUE"""),500)</f>
        <v>500</v>
      </c>
      <c r="G727" s="50" t="str">
        <f ca="1">IFERROR(__xludf.DUMMYFUNCTION("""COMPUTED_VALUE"""),"Zela")</f>
        <v>Zela</v>
      </c>
      <c r="H727" s="51">
        <f t="shared" ca="1" si="0"/>
        <v>46113</v>
      </c>
      <c r="I727" s="52" t="e">
        <f ca="1">SUMIFS(OUT!$F$2:$F$11000,OUT!$H$2:$H$11000,H727,OUT!$D$2:$D$101007,"In")</f>
        <v>#VALUE!</v>
      </c>
      <c r="J727" s="52">
        <f ca="1">SUMIFS(OUT!$F$2:$F$11000,OUT!$H$2:$H$11000,H727,OUT!$D$2:$D$11000,"Out")</f>
        <v>8253441</v>
      </c>
      <c r="K727" s="52">
        <f ca="1">SUMIFS(OUT!$F$2:$F$11000,OUT!$H$2:$H$11000,H727,OUT!$D$2:$D$11000,"Out",OUT!$E$2:$E$11000,"Fix")</f>
        <v>2554300</v>
      </c>
      <c r="L727" s="52">
        <f ca="1">SUMIFS(OUT!$F$2:$F$11000,OUT!$H$2:$H$11000,H727,OUT!$D$2:$D$11000,"Out",OUT!$E$2:$E$11000,"Bathroom")</f>
        <v>19900</v>
      </c>
      <c r="M727" s="52">
        <f ca="1">SUMIFS(OUT!$F$2:$F$11000,OUT!$H$2:$H$11000,H727,OUT!$D$2:$D$11000,"Out",OUT!$E$2:$E$11000,"Alfa")</f>
        <v>282719</v>
      </c>
      <c r="N727" s="52" t="e">
        <f ca="1">SUMIFS(OUT!$F$2:$F$11000,OUT!$H$2:$H$101007,H727,OUT!$D$2:$D$11000,"Out",OUT!$E$2:$E$11000,"Jajan")</f>
        <v>#VALUE!</v>
      </c>
      <c r="O727" s="52">
        <f ca="1">SUMIFS(OUT!$F$2:$F$11000,OUT!$H$2:$H$11000,H727,OUT!$D$2:$D$11000,"Out",OUT!$E$2:$E$11000,"Kitchen")</f>
        <v>964968</v>
      </c>
      <c r="P727" s="52">
        <f ca="1">SUMIFS(OUT!$F$2:$F$11000,OUT!$H$2:$H$11000,H727,OUT!$D$2:$D$11000,"Out",OUT!$E$2:$E$11000,"Loandry")</f>
        <v>58396</v>
      </c>
      <c r="Q727" s="52">
        <f ca="1">SUMIFS(OUT!$F$2:$F$11000,OUT!$H$2:$H$11000,H727,OUT!$D$2:$D$11000,"Out",OUT!$E$2:$E$11000,"Mio")</f>
        <v>181000</v>
      </c>
      <c r="R727" s="52">
        <f ca="1">SUMIFS(OUT!$F$2:$F$11000,OUT!$H$2:$H$11000,H727,OUT!$D$2:$D$11000,"Out",OUT!$E$2:$E$11000,"Sedekah")</f>
        <v>0</v>
      </c>
      <c r="S727" s="52">
        <f ca="1">SUMIFS(OUT!$F$2:$F$11000,OUT!$H$2:$H$11000,H727,OUT!$D$2:$D$11000,"Out",OUT!$E$2:$E$11000,"Zela")</f>
        <v>90500</v>
      </c>
      <c r="T727" s="52">
        <f ca="1">SUMIFS(OUT!$F$2:$F$11000,OUT!$H$2:$H$11000,H727,OUT!$D$2:$D$11000,"Out",OUT!$E$2:$E$11000,"Iqbal")</f>
        <v>74070</v>
      </c>
    </row>
    <row r="728" spans="1:20" x14ac:dyDescent="0.2">
      <c r="A728" s="48">
        <f ca="1">IFERROR(__xludf.DUMMYFUNCTION("""COMPUTED_VALUE"""),46129)</f>
        <v>46129</v>
      </c>
      <c r="B728" s="4" t="str">
        <f ca="1">IFERROR(__xludf.DUMMYFUNCTION("""COMPUTED_VALUE"""),"Alfagift ( Royal )")</f>
        <v>Alfagift ( Royal )</v>
      </c>
      <c r="C728" s="4" t="str">
        <f ca="1">IFERROR(__xludf.DUMMYFUNCTION("""COMPUTED_VALUE"""),"ATM")</f>
        <v>ATM</v>
      </c>
      <c r="D728" s="4" t="str">
        <f ca="1">IFERROR(__xludf.DUMMYFUNCTION("""COMPUTED_VALUE"""),"Out")</f>
        <v>Out</v>
      </c>
      <c r="E728" s="4" t="str">
        <f ca="1">IFERROR(__xludf.DUMMYFUNCTION("""COMPUTED_VALUE"""),"Loandry")</f>
        <v>Loandry</v>
      </c>
      <c r="F728" s="49">
        <f ca="1">IFERROR(__xludf.DUMMYFUNCTION("""COMPUTED_VALUE"""),13900)</f>
        <v>13900</v>
      </c>
      <c r="G728" s="50" t="str">
        <f ca="1">IFERROR(__xludf.DUMMYFUNCTION("""COMPUTED_VALUE"""),"Zela")</f>
        <v>Zela</v>
      </c>
      <c r="H728" s="51">
        <f t="shared" ca="1" si="0"/>
        <v>46113</v>
      </c>
      <c r="I728" s="52" t="e">
        <f ca="1">SUMIFS(OUT!$F$2:$F$11000,OUT!$H$2:$H$11000,H728,OUT!$D$2:$D$101007,"In")</f>
        <v>#VALUE!</v>
      </c>
      <c r="J728" s="52">
        <f ca="1">SUMIFS(OUT!$F$2:$F$11000,OUT!$H$2:$H$11000,H728,OUT!$D$2:$D$11000,"Out")</f>
        <v>8253441</v>
      </c>
      <c r="K728" s="52">
        <f ca="1">SUMIFS(OUT!$F$2:$F$11000,OUT!$H$2:$H$11000,H728,OUT!$D$2:$D$11000,"Out",OUT!$E$2:$E$11000,"Fix")</f>
        <v>2554300</v>
      </c>
      <c r="L728" s="52">
        <f ca="1">SUMIFS(OUT!$F$2:$F$11000,OUT!$H$2:$H$11000,H728,OUT!$D$2:$D$11000,"Out",OUT!$E$2:$E$11000,"Bathroom")</f>
        <v>19900</v>
      </c>
      <c r="M728" s="52">
        <f ca="1">SUMIFS(OUT!$F$2:$F$11000,OUT!$H$2:$H$11000,H728,OUT!$D$2:$D$11000,"Out",OUT!$E$2:$E$11000,"Alfa")</f>
        <v>282719</v>
      </c>
      <c r="N728" s="52" t="e">
        <f ca="1">SUMIFS(OUT!$F$2:$F$11000,OUT!$H$2:$H$101007,H728,OUT!$D$2:$D$11000,"Out",OUT!$E$2:$E$11000,"Jajan")</f>
        <v>#VALUE!</v>
      </c>
      <c r="O728" s="52">
        <f ca="1">SUMIFS(OUT!$F$2:$F$11000,OUT!$H$2:$H$11000,H728,OUT!$D$2:$D$11000,"Out",OUT!$E$2:$E$11000,"Kitchen")</f>
        <v>964968</v>
      </c>
      <c r="P728" s="52">
        <f ca="1">SUMIFS(OUT!$F$2:$F$11000,OUT!$H$2:$H$11000,H728,OUT!$D$2:$D$11000,"Out",OUT!$E$2:$E$11000,"Loandry")</f>
        <v>58396</v>
      </c>
      <c r="Q728" s="52">
        <f ca="1">SUMIFS(OUT!$F$2:$F$11000,OUT!$H$2:$H$11000,H728,OUT!$D$2:$D$11000,"Out",OUT!$E$2:$E$11000,"Mio")</f>
        <v>181000</v>
      </c>
      <c r="R728" s="52">
        <f ca="1">SUMIFS(OUT!$F$2:$F$11000,OUT!$H$2:$H$11000,H728,OUT!$D$2:$D$11000,"Out",OUT!$E$2:$E$11000,"Sedekah")</f>
        <v>0</v>
      </c>
      <c r="S728" s="52">
        <f ca="1">SUMIFS(OUT!$F$2:$F$11000,OUT!$H$2:$H$11000,H728,OUT!$D$2:$D$11000,"Out",OUT!$E$2:$E$11000,"Zela")</f>
        <v>90500</v>
      </c>
      <c r="T728" s="52">
        <f ca="1">SUMIFS(OUT!$F$2:$F$11000,OUT!$H$2:$H$11000,H728,OUT!$D$2:$D$11000,"Out",OUT!$E$2:$E$11000,"Iqbal")</f>
        <v>74070</v>
      </c>
    </row>
    <row r="729" spans="1:20" x14ac:dyDescent="0.2">
      <c r="A729" s="48">
        <f ca="1">IFERROR(__xludf.DUMMYFUNCTION("""COMPUTED_VALUE"""),46129)</f>
        <v>46129</v>
      </c>
      <c r="B729" s="4" t="str">
        <f ca="1">IFERROR(__xludf.DUMMYFUNCTION("""COMPUTED_VALUE"""),"Alfagift ( Mie )")</f>
        <v>Alfagift ( Mie )</v>
      </c>
      <c r="C729" s="4" t="str">
        <f ca="1">IFERROR(__xludf.DUMMYFUNCTION("""COMPUTED_VALUE"""),"ATM")</f>
        <v>ATM</v>
      </c>
      <c r="D729" s="4" t="str">
        <f ca="1">IFERROR(__xludf.DUMMYFUNCTION("""COMPUTED_VALUE"""),"Out")</f>
        <v>Out</v>
      </c>
      <c r="E729" s="4" t="str">
        <f ca="1">IFERROR(__xludf.DUMMYFUNCTION("""COMPUTED_VALUE"""),"Kitchen")</f>
        <v>Kitchen</v>
      </c>
      <c r="F729" s="49">
        <f ca="1">IFERROR(__xludf.DUMMYFUNCTION("""COMPUTED_VALUE"""),8000)</f>
        <v>8000</v>
      </c>
      <c r="G729" s="50" t="str">
        <f ca="1">IFERROR(__xludf.DUMMYFUNCTION("""COMPUTED_VALUE"""),"Zela")</f>
        <v>Zela</v>
      </c>
      <c r="H729" s="51">
        <f t="shared" ca="1" si="0"/>
        <v>46113</v>
      </c>
      <c r="I729" s="52" t="e">
        <f ca="1">SUMIFS(OUT!$F$2:$F$11000,OUT!$H$2:$H$11000,H729,OUT!$D$2:$D$101007,"In")</f>
        <v>#VALUE!</v>
      </c>
      <c r="J729" s="52">
        <f ca="1">SUMIFS(OUT!$F$2:$F$11000,OUT!$H$2:$H$11000,H729,OUT!$D$2:$D$11000,"Out")</f>
        <v>8253441</v>
      </c>
      <c r="K729" s="52">
        <f ca="1">SUMIFS(OUT!$F$2:$F$11000,OUT!$H$2:$H$11000,H729,OUT!$D$2:$D$11000,"Out",OUT!$E$2:$E$11000,"Fix")</f>
        <v>2554300</v>
      </c>
      <c r="L729" s="52">
        <f ca="1">SUMIFS(OUT!$F$2:$F$11000,OUT!$H$2:$H$11000,H729,OUT!$D$2:$D$11000,"Out",OUT!$E$2:$E$11000,"Bathroom")</f>
        <v>19900</v>
      </c>
      <c r="M729" s="52">
        <f ca="1">SUMIFS(OUT!$F$2:$F$11000,OUT!$H$2:$H$11000,H729,OUT!$D$2:$D$11000,"Out",OUT!$E$2:$E$11000,"Alfa")</f>
        <v>282719</v>
      </c>
      <c r="N729" s="52" t="e">
        <f ca="1">SUMIFS(OUT!$F$2:$F$11000,OUT!$H$2:$H$101007,H729,OUT!$D$2:$D$11000,"Out",OUT!$E$2:$E$11000,"Jajan")</f>
        <v>#VALUE!</v>
      </c>
      <c r="O729" s="52">
        <f ca="1">SUMIFS(OUT!$F$2:$F$11000,OUT!$H$2:$H$11000,H729,OUT!$D$2:$D$11000,"Out",OUT!$E$2:$E$11000,"Kitchen")</f>
        <v>964968</v>
      </c>
      <c r="P729" s="52">
        <f ca="1">SUMIFS(OUT!$F$2:$F$11000,OUT!$H$2:$H$11000,H729,OUT!$D$2:$D$11000,"Out",OUT!$E$2:$E$11000,"Loandry")</f>
        <v>58396</v>
      </c>
      <c r="Q729" s="52">
        <f ca="1">SUMIFS(OUT!$F$2:$F$11000,OUT!$H$2:$H$11000,H729,OUT!$D$2:$D$11000,"Out",OUT!$E$2:$E$11000,"Mio")</f>
        <v>181000</v>
      </c>
      <c r="R729" s="52">
        <f ca="1">SUMIFS(OUT!$F$2:$F$11000,OUT!$H$2:$H$11000,H729,OUT!$D$2:$D$11000,"Out",OUT!$E$2:$E$11000,"Sedekah")</f>
        <v>0</v>
      </c>
      <c r="S729" s="52">
        <f ca="1">SUMIFS(OUT!$F$2:$F$11000,OUT!$H$2:$H$11000,H729,OUT!$D$2:$D$11000,"Out",OUT!$E$2:$E$11000,"Zela")</f>
        <v>90500</v>
      </c>
      <c r="T729" s="52">
        <f ca="1">SUMIFS(OUT!$F$2:$F$11000,OUT!$H$2:$H$11000,H729,OUT!$D$2:$D$11000,"Out",OUT!$E$2:$E$11000,"Iqbal")</f>
        <v>74070</v>
      </c>
    </row>
    <row r="730" spans="1:20" x14ac:dyDescent="0.2">
      <c r="A730" s="48">
        <f ca="1">IFERROR(__xludf.DUMMYFUNCTION("""COMPUTED_VALUE"""),46129)</f>
        <v>46129</v>
      </c>
      <c r="B730" s="4" t="str">
        <f ca="1">IFERROR(__xludf.DUMMYFUNCTION("""COMPUTED_VALUE"""),"Tarik Tunai  ( dana ) ")</f>
        <v xml:space="preserve">Tarik Tunai  ( dana ) </v>
      </c>
      <c r="C730" s="4" t="str">
        <f ca="1">IFERROR(__xludf.DUMMYFUNCTION("""COMPUTED_VALUE"""),"ATM")</f>
        <v>ATM</v>
      </c>
      <c r="D730" s="4" t="str">
        <f ca="1">IFERROR(__xludf.DUMMYFUNCTION("""COMPUTED_VALUE"""),"Out")</f>
        <v>Out</v>
      </c>
      <c r="E730" s="4" t="str">
        <f ca="1">IFERROR(__xludf.DUMMYFUNCTION("""COMPUTED_VALUE"""),"Move")</f>
        <v>Move</v>
      </c>
      <c r="F730" s="49">
        <f ca="1">IFERROR(__xludf.DUMMYFUNCTION("""COMPUTED_VALUE"""),150000)</f>
        <v>150000</v>
      </c>
      <c r="G730" s="50" t="str">
        <f ca="1">IFERROR(__xludf.DUMMYFUNCTION("""COMPUTED_VALUE"""),"Zela")</f>
        <v>Zela</v>
      </c>
      <c r="H730" s="51">
        <f t="shared" ca="1" si="0"/>
        <v>46113</v>
      </c>
      <c r="I730" s="52" t="e">
        <f ca="1">SUMIFS(OUT!$F$2:$F$11000,OUT!$H$2:$H$11000,H730,OUT!$D$2:$D$101007,"In")</f>
        <v>#VALUE!</v>
      </c>
      <c r="J730" s="52">
        <f ca="1">SUMIFS(OUT!$F$2:$F$11000,OUT!$H$2:$H$11000,H730,OUT!$D$2:$D$11000,"Out")</f>
        <v>8253441</v>
      </c>
      <c r="K730" s="52">
        <f ca="1">SUMIFS(OUT!$F$2:$F$11000,OUT!$H$2:$H$11000,H730,OUT!$D$2:$D$11000,"Out",OUT!$E$2:$E$11000,"Fix")</f>
        <v>2554300</v>
      </c>
      <c r="L730" s="52">
        <f ca="1">SUMIFS(OUT!$F$2:$F$11000,OUT!$H$2:$H$11000,H730,OUT!$D$2:$D$11000,"Out",OUT!$E$2:$E$11000,"Bathroom")</f>
        <v>19900</v>
      </c>
      <c r="M730" s="52">
        <f ca="1">SUMIFS(OUT!$F$2:$F$11000,OUT!$H$2:$H$11000,H730,OUT!$D$2:$D$11000,"Out",OUT!$E$2:$E$11000,"Alfa")</f>
        <v>282719</v>
      </c>
      <c r="N730" s="52" t="e">
        <f ca="1">SUMIFS(OUT!$F$2:$F$11000,OUT!$H$2:$H$101007,H730,OUT!$D$2:$D$11000,"Out",OUT!$E$2:$E$11000,"Jajan")</f>
        <v>#VALUE!</v>
      </c>
      <c r="O730" s="52">
        <f ca="1">SUMIFS(OUT!$F$2:$F$11000,OUT!$H$2:$H$11000,H730,OUT!$D$2:$D$11000,"Out",OUT!$E$2:$E$11000,"Kitchen")</f>
        <v>964968</v>
      </c>
      <c r="P730" s="52">
        <f ca="1">SUMIFS(OUT!$F$2:$F$11000,OUT!$H$2:$H$11000,H730,OUT!$D$2:$D$11000,"Out",OUT!$E$2:$E$11000,"Loandry")</f>
        <v>58396</v>
      </c>
      <c r="Q730" s="52">
        <f ca="1">SUMIFS(OUT!$F$2:$F$11000,OUT!$H$2:$H$11000,H730,OUT!$D$2:$D$11000,"Out",OUT!$E$2:$E$11000,"Mio")</f>
        <v>181000</v>
      </c>
      <c r="R730" s="52">
        <f ca="1">SUMIFS(OUT!$F$2:$F$11000,OUT!$H$2:$H$11000,H730,OUT!$D$2:$D$11000,"Out",OUT!$E$2:$E$11000,"Sedekah")</f>
        <v>0</v>
      </c>
      <c r="S730" s="52">
        <f ca="1">SUMIFS(OUT!$F$2:$F$11000,OUT!$H$2:$H$11000,H730,OUT!$D$2:$D$11000,"Out",OUT!$E$2:$E$11000,"Zela")</f>
        <v>90500</v>
      </c>
      <c r="T730" s="52">
        <f ca="1">SUMIFS(OUT!$F$2:$F$11000,OUT!$H$2:$H$11000,H730,OUT!$D$2:$D$11000,"Out",OUT!$E$2:$E$11000,"Iqbal")</f>
        <v>74070</v>
      </c>
    </row>
    <row r="731" spans="1:20" x14ac:dyDescent="0.2">
      <c r="A731" s="48">
        <f ca="1">IFERROR(__xludf.DUMMYFUNCTION("""COMPUTED_VALUE"""),46129)</f>
        <v>46129</v>
      </c>
      <c r="B731" s="4" t="str">
        <f ca="1">IFERROR(__xludf.DUMMYFUNCTION("""COMPUTED_VALUE"""),"Terima Tunai ( dana ) ")</f>
        <v xml:space="preserve">Terima Tunai ( dana ) </v>
      </c>
      <c r="C731" s="4" t="str">
        <f ca="1">IFERROR(__xludf.DUMMYFUNCTION("""COMPUTED_VALUE"""),"Cash")</f>
        <v>Cash</v>
      </c>
      <c r="D731" s="4" t="str">
        <f ca="1">IFERROR(__xludf.DUMMYFUNCTION("""COMPUTED_VALUE"""),"In")</f>
        <v>In</v>
      </c>
      <c r="E731" s="4" t="str">
        <f ca="1">IFERROR(__xludf.DUMMYFUNCTION("""COMPUTED_VALUE"""),"Move")</f>
        <v>Move</v>
      </c>
      <c r="F731" s="49">
        <f ca="1">IFERROR(__xludf.DUMMYFUNCTION("""COMPUTED_VALUE"""),150000)</f>
        <v>150000</v>
      </c>
      <c r="G731" s="50" t="str">
        <f ca="1">IFERROR(__xludf.DUMMYFUNCTION("""COMPUTED_VALUE"""),"Zela")</f>
        <v>Zela</v>
      </c>
      <c r="H731" s="51">
        <f t="shared" ca="1" si="0"/>
        <v>46113</v>
      </c>
      <c r="I731" s="52" t="e">
        <f ca="1">SUMIFS(OUT!$F$2:$F$11000,OUT!$H$2:$H$11000,H731,OUT!$D$2:$D$101007,"In")</f>
        <v>#VALUE!</v>
      </c>
      <c r="J731" s="52">
        <f ca="1">SUMIFS(OUT!$F$2:$F$11000,OUT!$H$2:$H$11000,H731,OUT!$D$2:$D$11000,"Out")</f>
        <v>8253441</v>
      </c>
      <c r="K731" s="52">
        <f ca="1">SUMIFS(OUT!$F$2:$F$11000,OUT!$H$2:$H$11000,H731,OUT!$D$2:$D$11000,"Out",OUT!$E$2:$E$11000,"Fix")</f>
        <v>2554300</v>
      </c>
      <c r="L731" s="52">
        <f ca="1">SUMIFS(OUT!$F$2:$F$11000,OUT!$H$2:$H$11000,H731,OUT!$D$2:$D$11000,"Out",OUT!$E$2:$E$11000,"Bathroom")</f>
        <v>19900</v>
      </c>
      <c r="M731" s="52">
        <f ca="1">SUMIFS(OUT!$F$2:$F$11000,OUT!$H$2:$H$11000,H731,OUT!$D$2:$D$11000,"Out",OUT!$E$2:$E$11000,"Alfa")</f>
        <v>282719</v>
      </c>
      <c r="N731" s="52" t="e">
        <f ca="1">SUMIFS(OUT!$F$2:$F$11000,OUT!$H$2:$H$101007,H731,OUT!$D$2:$D$11000,"Out",OUT!$E$2:$E$11000,"Jajan")</f>
        <v>#VALUE!</v>
      </c>
      <c r="O731" s="52">
        <f ca="1">SUMIFS(OUT!$F$2:$F$11000,OUT!$H$2:$H$11000,H731,OUT!$D$2:$D$11000,"Out",OUT!$E$2:$E$11000,"Kitchen")</f>
        <v>964968</v>
      </c>
      <c r="P731" s="52">
        <f ca="1">SUMIFS(OUT!$F$2:$F$11000,OUT!$H$2:$H$11000,H731,OUT!$D$2:$D$11000,"Out",OUT!$E$2:$E$11000,"Loandry")</f>
        <v>58396</v>
      </c>
      <c r="Q731" s="52">
        <f ca="1">SUMIFS(OUT!$F$2:$F$11000,OUT!$H$2:$H$11000,H731,OUT!$D$2:$D$11000,"Out",OUT!$E$2:$E$11000,"Mio")</f>
        <v>181000</v>
      </c>
      <c r="R731" s="52">
        <f ca="1">SUMIFS(OUT!$F$2:$F$11000,OUT!$H$2:$H$11000,H731,OUT!$D$2:$D$11000,"Out",OUT!$E$2:$E$11000,"Sedekah")</f>
        <v>0</v>
      </c>
      <c r="S731" s="52">
        <f ca="1">SUMIFS(OUT!$F$2:$F$11000,OUT!$H$2:$H$11000,H731,OUT!$D$2:$D$11000,"Out",OUT!$E$2:$E$11000,"Zela")</f>
        <v>90500</v>
      </c>
      <c r="T731" s="52">
        <f ca="1">SUMIFS(OUT!$F$2:$F$11000,OUT!$H$2:$H$11000,H731,OUT!$D$2:$D$11000,"Out",OUT!$E$2:$E$11000,"Iqbal")</f>
        <v>74070</v>
      </c>
    </row>
    <row r="732" spans="1:20" x14ac:dyDescent="0.2">
      <c r="A732" s="48">
        <f ca="1">IFERROR(__xludf.DUMMYFUNCTION("""COMPUTED_VALUE"""),46129)</f>
        <v>46129</v>
      </c>
      <c r="B732" s="4" t="str">
        <f ca="1">IFERROR(__xludf.DUMMYFUNCTION("""COMPUTED_VALUE"""),"Pasar Kget ")</f>
        <v xml:space="preserve">Pasar Kget </v>
      </c>
      <c r="C732" s="4" t="str">
        <f ca="1">IFERROR(__xludf.DUMMYFUNCTION("""COMPUTED_VALUE"""),"Cash")</f>
        <v>Cash</v>
      </c>
      <c r="D732" s="4" t="str">
        <f ca="1">IFERROR(__xludf.DUMMYFUNCTION("""COMPUTED_VALUE"""),"Out")</f>
        <v>Out</v>
      </c>
      <c r="E732" s="4" t="str">
        <f ca="1">IFERROR(__xludf.DUMMYFUNCTION("""COMPUTED_VALUE"""),"Kitchen")</f>
        <v>Kitchen</v>
      </c>
      <c r="F732" s="49">
        <f ca="1">IFERROR(__xludf.DUMMYFUNCTION("""COMPUTED_VALUE"""),150000)</f>
        <v>150000</v>
      </c>
      <c r="G732" s="50" t="str">
        <f ca="1">IFERROR(__xludf.DUMMYFUNCTION("""COMPUTED_VALUE"""),"Zela")</f>
        <v>Zela</v>
      </c>
      <c r="H732" s="51">
        <f t="shared" ca="1" si="0"/>
        <v>46113</v>
      </c>
      <c r="I732" s="52" t="e">
        <f ca="1">SUMIFS(OUT!$F$2:$F$11000,OUT!$H$2:$H$11000,H732,OUT!$D$2:$D$101007,"In")</f>
        <v>#VALUE!</v>
      </c>
      <c r="J732" s="52">
        <f ca="1">SUMIFS(OUT!$F$2:$F$11000,OUT!$H$2:$H$11000,H732,OUT!$D$2:$D$11000,"Out")</f>
        <v>8253441</v>
      </c>
      <c r="K732" s="52">
        <f ca="1">SUMIFS(OUT!$F$2:$F$11000,OUT!$H$2:$H$11000,H732,OUT!$D$2:$D$11000,"Out",OUT!$E$2:$E$11000,"Fix")</f>
        <v>2554300</v>
      </c>
      <c r="L732" s="52">
        <f ca="1">SUMIFS(OUT!$F$2:$F$11000,OUT!$H$2:$H$11000,H732,OUT!$D$2:$D$11000,"Out",OUT!$E$2:$E$11000,"Bathroom")</f>
        <v>19900</v>
      </c>
      <c r="M732" s="52">
        <f ca="1">SUMIFS(OUT!$F$2:$F$11000,OUT!$H$2:$H$11000,H732,OUT!$D$2:$D$11000,"Out",OUT!$E$2:$E$11000,"Alfa")</f>
        <v>282719</v>
      </c>
      <c r="N732" s="52" t="e">
        <f ca="1">SUMIFS(OUT!$F$2:$F$11000,OUT!$H$2:$H$101007,H732,OUT!$D$2:$D$11000,"Out",OUT!$E$2:$E$11000,"Jajan")</f>
        <v>#VALUE!</v>
      </c>
      <c r="O732" s="52">
        <f ca="1">SUMIFS(OUT!$F$2:$F$11000,OUT!$H$2:$H$11000,H732,OUT!$D$2:$D$11000,"Out",OUT!$E$2:$E$11000,"Kitchen")</f>
        <v>964968</v>
      </c>
      <c r="P732" s="52">
        <f ca="1">SUMIFS(OUT!$F$2:$F$11000,OUT!$H$2:$H$11000,H732,OUT!$D$2:$D$11000,"Out",OUT!$E$2:$E$11000,"Loandry")</f>
        <v>58396</v>
      </c>
      <c r="Q732" s="52">
        <f ca="1">SUMIFS(OUT!$F$2:$F$11000,OUT!$H$2:$H$11000,H732,OUT!$D$2:$D$11000,"Out",OUT!$E$2:$E$11000,"Mio")</f>
        <v>181000</v>
      </c>
      <c r="R732" s="52">
        <f ca="1">SUMIFS(OUT!$F$2:$F$11000,OUT!$H$2:$H$11000,H732,OUT!$D$2:$D$11000,"Out",OUT!$E$2:$E$11000,"Sedekah")</f>
        <v>0</v>
      </c>
      <c r="S732" s="52">
        <f ca="1">SUMIFS(OUT!$F$2:$F$11000,OUT!$H$2:$H$11000,H732,OUT!$D$2:$D$11000,"Out",OUT!$E$2:$E$11000,"Zela")</f>
        <v>90500</v>
      </c>
      <c r="T732" s="52">
        <f ca="1">SUMIFS(OUT!$F$2:$F$11000,OUT!$H$2:$H$11000,H732,OUT!$D$2:$D$11000,"Out",OUT!$E$2:$E$11000,"Iqbal")</f>
        <v>74070</v>
      </c>
    </row>
    <row r="733" spans="1:20" x14ac:dyDescent="0.2">
      <c r="A733" s="48">
        <f ca="1">IFERROR(__xludf.DUMMYFUNCTION("""COMPUTED_VALUE"""),46130)</f>
        <v>46130</v>
      </c>
      <c r="B733" s="4" t="str">
        <f ca="1">IFERROR(__xludf.DUMMYFUNCTION("""COMPUTED_VALUE"""),"Galon ")</f>
        <v xml:space="preserve">Galon </v>
      </c>
      <c r="C733" s="4" t="str">
        <f ca="1">IFERROR(__xludf.DUMMYFUNCTION("""COMPUTED_VALUE"""),"Cash")</f>
        <v>Cash</v>
      </c>
      <c r="D733" s="4" t="str">
        <f ca="1">IFERROR(__xludf.DUMMYFUNCTION("""COMPUTED_VALUE"""),"Out")</f>
        <v>Out</v>
      </c>
      <c r="E733" s="4" t="str">
        <f ca="1">IFERROR(__xludf.DUMMYFUNCTION("""COMPUTED_VALUE"""),"Kitchen")</f>
        <v>Kitchen</v>
      </c>
      <c r="F733" s="49">
        <f ca="1">IFERROR(__xludf.DUMMYFUNCTION("""COMPUTED_VALUE"""),4000)</f>
        <v>4000</v>
      </c>
      <c r="G733" s="50" t="str">
        <f ca="1">IFERROR(__xludf.DUMMYFUNCTION("""COMPUTED_VALUE"""),"Zela")</f>
        <v>Zela</v>
      </c>
      <c r="H733" s="51">
        <f t="shared" ca="1" si="0"/>
        <v>46113</v>
      </c>
      <c r="I733" s="52" t="e">
        <f ca="1">SUMIFS(OUT!$F$2:$F$11000,OUT!$H$2:$H$11000,H733,OUT!$D$2:$D$101007,"In")</f>
        <v>#VALUE!</v>
      </c>
      <c r="J733" s="52">
        <f ca="1">SUMIFS(OUT!$F$2:$F$11000,OUT!$H$2:$H$11000,H733,OUT!$D$2:$D$11000,"Out")</f>
        <v>8253441</v>
      </c>
      <c r="K733" s="52">
        <f ca="1">SUMIFS(OUT!$F$2:$F$11000,OUT!$H$2:$H$11000,H733,OUT!$D$2:$D$11000,"Out",OUT!$E$2:$E$11000,"Fix")</f>
        <v>2554300</v>
      </c>
      <c r="L733" s="52">
        <f ca="1">SUMIFS(OUT!$F$2:$F$11000,OUT!$H$2:$H$11000,H733,OUT!$D$2:$D$11000,"Out",OUT!$E$2:$E$11000,"Bathroom")</f>
        <v>19900</v>
      </c>
      <c r="M733" s="52">
        <f ca="1">SUMIFS(OUT!$F$2:$F$11000,OUT!$H$2:$H$11000,H733,OUT!$D$2:$D$11000,"Out",OUT!$E$2:$E$11000,"Alfa")</f>
        <v>282719</v>
      </c>
      <c r="N733" s="52" t="e">
        <f ca="1">SUMIFS(OUT!$F$2:$F$11000,OUT!$H$2:$H$101007,H733,OUT!$D$2:$D$11000,"Out",OUT!$E$2:$E$11000,"Jajan")</f>
        <v>#VALUE!</v>
      </c>
      <c r="O733" s="52">
        <f ca="1">SUMIFS(OUT!$F$2:$F$11000,OUT!$H$2:$H$11000,H733,OUT!$D$2:$D$11000,"Out",OUT!$E$2:$E$11000,"Kitchen")</f>
        <v>964968</v>
      </c>
      <c r="P733" s="52">
        <f ca="1">SUMIFS(OUT!$F$2:$F$11000,OUT!$H$2:$H$11000,H733,OUT!$D$2:$D$11000,"Out",OUT!$E$2:$E$11000,"Loandry")</f>
        <v>58396</v>
      </c>
      <c r="Q733" s="52">
        <f ca="1">SUMIFS(OUT!$F$2:$F$11000,OUT!$H$2:$H$11000,H733,OUT!$D$2:$D$11000,"Out",OUT!$E$2:$E$11000,"Mio")</f>
        <v>181000</v>
      </c>
      <c r="R733" s="52">
        <f ca="1">SUMIFS(OUT!$F$2:$F$11000,OUT!$H$2:$H$11000,H733,OUT!$D$2:$D$11000,"Out",OUT!$E$2:$E$11000,"Sedekah")</f>
        <v>0</v>
      </c>
      <c r="S733" s="52">
        <f ca="1">SUMIFS(OUT!$F$2:$F$11000,OUT!$H$2:$H$11000,H733,OUT!$D$2:$D$11000,"Out",OUT!$E$2:$E$11000,"Zela")</f>
        <v>90500</v>
      </c>
      <c r="T733" s="52">
        <f ca="1">SUMIFS(OUT!$F$2:$F$11000,OUT!$H$2:$H$11000,H733,OUT!$D$2:$D$11000,"Out",OUT!$E$2:$E$11000,"Iqbal")</f>
        <v>74070</v>
      </c>
    </row>
    <row r="734" spans="1:20" x14ac:dyDescent="0.2">
      <c r="A734" s="48">
        <f ca="1">IFERROR(__xludf.DUMMYFUNCTION("""COMPUTED_VALUE"""),46129)</f>
        <v>46129</v>
      </c>
      <c r="B734" s="4" t="str">
        <f ca="1">IFERROR(__xludf.DUMMYFUNCTION("""COMPUTED_VALUE"""),"Dana + admin ")</f>
        <v xml:space="preserve">Dana + admin </v>
      </c>
      <c r="C734" s="4" t="str">
        <f ca="1">IFERROR(__xludf.DUMMYFUNCTION("""COMPUTED_VALUE"""),"ATM")</f>
        <v>ATM</v>
      </c>
      <c r="D734" s="4" t="str">
        <f ca="1">IFERROR(__xludf.DUMMYFUNCTION("""COMPUTED_VALUE"""),"Out")</f>
        <v>Out</v>
      </c>
      <c r="E734" s="4" t="str">
        <f ca="1">IFERROR(__xludf.DUMMYFUNCTION("""COMPUTED_VALUE"""),"Move")</f>
        <v>Move</v>
      </c>
      <c r="F734" s="49">
        <f ca="1">IFERROR(__xludf.DUMMYFUNCTION("""COMPUTED_VALUE"""),50000)</f>
        <v>50000</v>
      </c>
      <c r="G734" s="50" t="str">
        <f ca="1">IFERROR(__xludf.DUMMYFUNCTION("""COMPUTED_VALUE"""),"Zela")</f>
        <v>Zela</v>
      </c>
      <c r="H734" s="51">
        <f t="shared" ca="1" si="0"/>
        <v>46113</v>
      </c>
      <c r="I734" s="52" t="e">
        <f ca="1">SUMIFS(OUT!$F$2:$F$11000,OUT!$H$2:$H$11000,H734,OUT!$D$2:$D$101007,"In")</f>
        <v>#VALUE!</v>
      </c>
      <c r="J734" s="52">
        <f ca="1">SUMIFS(OUT!$F$2:$F$11000,OUT!$H$2:$H$11000,H734,OUT!$D$2:$D$11000,"Out")</f>
        <v>8253441</v>
      </c>
      <c r="K734" s="52">
        <f ca="1">SUMIFS(OUT!$F$2:$F$11000,OUT!$H$2:$H$11000,H734,OUT!$D$2:$D$11000,"Out",OUT!$E$2:$E$11000,"Fix")</f>
        <v>2554300</v>
      </c>
      <c r="L734" s="52">
        <f ca="1">SUMIFS(OUT!$F$2:$F$11000,OUT!$H$2:$H$11000,H734,OUT!$D$2:$D$11000,"Out",OUT!$E$2:$E$11000,"Bathroom")</f>
        <v>19900</v>
      </c>
      <c r="M734" s="52">
        <f ca="1">SUMIFS(OUT!$F$2:$F$11000,OUT!$H$2:$H$11000,H734,OUT!$D$2:$D$11000,"Out",OUT!$E$2:$E$11000,"Alfa")</f>
        <v>282719</v>
      </c>
      <c r="N734" s="52" t="e">
        <f ca="1">SUMIFS(OUT!$F$2:$F$11000,OUT!$H$2:$H$101007,H734,OUT!$D$2:$D$11000,"Out",OUT!$E$2:$E$11000,"Jajan")</f>
        <v>#VALUE!</v>
      </c>
      <c r="O734" s="52">
        <f ca="1">SUMIFS(OUT!$F$2:$F$11000,OUT!$H$2:$H$11000,H734,OUT!$D$2:$D$11000,"Out",OUT!$E$2:$E$11000,"Kitchen")</f>
        <v>964968</v>
      </c>
      <c r="P734" s="52">
        <f ca="1">SUMIFS(OUT!$F$2:$F$11000,OUT!$H$2:$H$11000,H734,OUT!$D$2:$D$11000,"Out",OUT!$E$2:$E$11000,"Loandry")</f>
        <v>58396</v>
      </c>
      <c r="Q734" s="52">
        <f ca="1">SUMIFS(OUT!$F$2:$F$11000,OUT!$H$2:$H$11000,H734,OUT!$D$2:$D$11000,"Out",OUT!$E$2:$E$11000,"Mio")</f>
        <v>181000</v>
      </c>
      <c r="R734" s="52">
        <f ca="1">SUMIFS(OUT!$F$2:$F$11000,OUT!$H$2:$H$11000,H734,OUT!$D$2:$D$11000,"Out",OUT!$E$2:$E$11000,"Sedekah")</f>
        <v>0</v>
      </c>
      <c r="S734" s="52">
        <f ca="1">SUMIFS(OUT!$F$2:$F$11000,OUT!$H$2:$H$11000,H734,OUT!$D$2:$D$11000,"Out",OUT!$E$2:$E$11000,"Zela")</f>
        <v>90500</v>
      </c>
      <c r="T734" s="52">
        <f ca="1">SUMIFS(OUT!$F$2:$F$11000,OUT!$H$2:$H$11000,H734,OUT!$D$2:$D$11000,"Out",OUT!$E$2:$E$11000,"Iqbal")</f>
        <v>74070</v>
      </c>
    </row>
    <row r="735" spans="1:20" x14ac:dyDescent="0.2">
      <c r="A735" s="48">
        <f ca="1">IFERROR(__xludf.DUMMYFUNCTION("""COMPUTED_VALUE"""),46131)</f>
        <v>46131</v>
      </c>
      <c r="B735" s="4" t="str">
        <f ca="1">IFERROR(__xludf.DUMMYFUNCTION("""COMPUTED_VALUE"""),"Lebih saldo dana ")</f>
        <v xml:space="preserve">Lebih saldo dana </v>
      </c>
      <c r="C735" s="4" t="str">
        <f ca="1">IFERROR(__xludf.DUMMYFUNCTION("""COMPUTED_VALUE"""),"ATM")</f>
        <v>ATM</v>
      </c>
      <c r="D735" s="4" t="str">
        <f ca="1">IFERROR(__xludf.DUMMYFUNCTION("""COMPUTED_VALUE"""),"In")</f>
        <v>In</v>
      </c>
      <c r="E735" s="4" t="str">
        <f ca="1">IFERROR(__xludf.DUMMYFUNCTION("""COMPUTED_VALUE"""),"Move")</f>
        <v>Move</v>
      </c>
      <c r="F735" s="49">
        <f ca="1">IFERROR(__xludf.DUMMYFUNCTION("""COMPUTED_VALUE"""),17500)</f>
        <v>17500</v>
      </c>
      <c r="G735" s="50" t="str">
        <f ca="1">IFERROR(__xludf.DUMMYFUNCTION("""COMPUTED_VALUE"""),"Zela")</f>
        <v>Zela</v>
      </c>
      <c r="H735" s="51">
        <f t="shared" ca="1" si="0"/>
        <v>46113</v>
      </c>
      <c r="I735" s="52" t="e">
        <f ca="1">SUMIFS(OUT!$F$2:$F$11000,OUT!$H$2:$H$11000,H735,OUT!$D$2:$D$101007,"In")</f>
        <v>#VALUE!</v>
      </c>
      <c r="J735" s="52">
        <f ca="1">SUMIFS(OUT!$F$2:$F$11000,OUT!$H$2:$H$11000,H735,OUT!$D$2:$D$11000,"Out")</f>
        <v>8253441</v>
      </c>
      <c r="K735" s="52">
        <f ca="1">SUMIFS(OUT!$F$2:$F$11000,OUT!$H$2:$H$11000,H735,OUT!$D$2:$D$11000,"Out",OUT!$E$2:$E$11000,"Fix")</f>
        <v>2554300</v>
      </c>
      <c r="L735" s="52">
        <f ca="1">SUMIFS(OUT!$F$2:$F$11000,OUT!$H$2:$H$11000,H735,OUT!$D$2:$D$11000,"Out",OUT!$E$2:$E$11000,"Bathroom")</f>
        <v>19900</v>
      </c>
      <c r="M735" s="52">
        <f ca="1">SUMIFS(OUT!$F$2:$F$11000,OUT!$H$2:$H$11000,H735,OUT!$D$2:$D$11000,"Out",OUT!$E$2:$E$11000,"Alfa")</f>
        <v>282719</v>
      </c>
      <c r="N735" s="52" t="e">
        <f ca="1">SUMIFS(OUT!$F$2:$F$11000,OUT!$H$2:$H$101007,H735,OUT!$D$2:$D$11000,"Out",OUT!$E$2:$E$11000,"Jajan")</f>
        <v>#VALUE!</v>
      </c>
      <c r="O735" s="52">
        <f ca="1">SUMIFS(OUT!$F$2:$F$11000,OUT!$H$2:$H$11000,H735,OUT!$D$2:$D$11000,"Out",OUT!$E$2:$E$11000,"Kitchen")</f>
        <v>964968</v>
      </c>
      <c r="P735" s="52">
        <f ca="1">SUMIFS(OUT!$F$2:$F$11000,OUT!$H$2:$H$11000,H735,OUT!$D$2:$D$11000,"Out",OUT!$E$2:$E$11000,"Loandry")</f>
        <v>58396</v>
      </c>
      <c r="Q735" s="52">
        <f ca="1">SUMIFS(OUT!$F$2:$F$11000,OUT!$H$2:$H$11000,H735,OUT!$D$2:$D$11000,"Out",OUT!$E$2:$E$11000,"Mio")</f>
        <v>181000</v>
      </c>
      <c r="R735" s="52">
        <f ca="1">SUMIFS(OUT!$F$2:$F$11000,OUT!$H$2:$H$11000,H735,OUT!$D$2:$D$11000,"Out",OUT!$E$2:$E$11000,"Sedekah")</f>
        <v>0</v>
      </c>
      <c r="S735" s="52">
        <f ca="1">SUMIFS(OUT!$F$2:$F$11000,OUT!$H$2:$H$11000,H735,OUT!$D$2:$D$11000,"Out",OUT!$E$2:$E$11000,"Zela")</f>
        <v>90500</v>
      </c>
      <c r="T735" s="52">
        <f ca="1">SUMIFS(OUT!$F$2:$F$11000,OUT!$H$2:$H$11000,H735,OUT!$D$2:$D$11000,"Out",OUT!$E$2:$E$11000,"Iqbal")</f>
        <v>74070</v>
      </c>
    </row>
    <row r="736" spans="1:20" x14ac:dyDescent="0.2">
      <c r="A736" s="48">
        <f ca="1">IFERROR(__xludf.DUMMYFUNCTION("""COMPUTED_VALUE"""),46131)</f>
        <v>46131</v>
      </c>
      <c r="B736" s="4" t="str">
        <f ca="1">IFERROR(__xludf.DUMMYFUNCTION("""COMPUTED_VALUE"""),"Bakso + mie ayam ")</f>
        <v xml:space="preserve">Bakso + mie ayam </v>
      </c>
      <c r="C736" s="4" t="str">
        <f ca="1">IFERROR(__xludf.DUMMYFUNCTION("""COMPUTED_VALUE"""),"ATM")</f>
        <v>ATM</v>
      </c>
      <c r="D736" s="4" t="str">
        <f ca="1">IFERROR(__xludf.DUMMYFUNCTION("""COMPUTED_VALUE"""),"Out")</f>
        <v>Out</v>
      </c>
      <c r="E736" s="4" t="str">
        <f ca="1">IFERROR(__xludf.DUMMYFUNCTION("""COMPUTED_VALUE"""),"Jajan")</f>
        <v>Jajan</v>
      </c>
      <c r="F736" s="49">
        <f ca="1">IFERROR(__xludf.DUMMYFUNCTION("""COMPUTED_VALUE"""),50000)</f>
        <v>50000</v>
      </c>
      <c r="G736" s="50" t="str">
        <f ca="1">IFERROR(__xludf.DUMMYFUNCTION("""COMPUTED_VALUE"""),"Zela")</f>
        <v>Zela</v>
      </c>
      <c r="H736" s="51">
        <f t="shared" ca="1" si="0"/>
        <v>46113</v>
      </c>
      <c r="I736" s="52" t="e">
        <f ca="1">SUMIFS(OUT!$F$2:$F$11000,OUT!$H$2:$H$11000,H736,OUT!$D$2:$D$101007,"In")</f>
        <v>#VALUE!</v>
      </c>
      <c r="J736" s="52">
        <f ca="1">SUMIFS(OUT!$F$2:$F$11000,OUT!$H$2:$H$11000,H736,OUT!$D$2:$D$11000,"Out")</f>
        <v>8253441</v>
      </c>
      <c r="K736" s="52">
        <f ca="1">SUMIFS(OUT!$F$2:$F$11000,OUT!$H$2:$H$11000,H736,OUT!$D$2:$D$11000,"Out",OUT!$E$2:$E$11000,"Fix")</f>
        <v>2554300</v>
      </c>
      <c r="L736" s="52">
        <f ca="1">SUMIFS(OUT!$F$2:$F$11000,OUT!$H$2:$H$11000,H736,OUT!$D$2:$D$11000,"Out",OUT!$E$2:$E$11000,"Bathroom")</f>
        <v>19900</v>
      </c>
      <c r="M736" s="52">
        <f ca="1">SUMIFS(OUT!$F$2:$F$11000,OUT!$H$2:$H$11000,H736,OUT!$D$2:$D$11000,"Out",OUT!$E$2:$E$11000,"Alfa")</f>
        <v>282719</v>
      </c>
      <c r="N736" s="52" t="e">
        <f ca="1">SUMIFS(OUT!$F$2:$F$11000,OUT!$H$2:$H$101007,H736,OUT!$D$2:$D$11000,"Out",OUT!$E$2:$E$11000,"Jajan")</f>
        <v>#VALUE!</v>
      </c>
      <c r="O736" s="52">
        <f ca="1">SUMIFS(OUT!$F$2:$F$11000,OUT!$H$2:$H$11000,H736,OUT!$D$2:$D$11000,"Out",OUT!$E$2:$E$11000,"Kitchen")</f>
        <v>964968</v>
      </c>
      <c r="P736" s="52">
        <f ca="1">SUMIFS(OUT!$F$2:$F$11000,OUT!$H$2:$H$11000,H736,OUT!$D$2:$D$11000,"Out",OUT!$E$2:$E$11000,"Loandry")</f>
        <v>58396</v>
      </c>
      <c r="Q736" s="52">
        <f ca="1">SUMIFS(OUT!$F$2:$F$11000,OUT!$H$2:$H$11000,H736,OUT!$D$2:$D$11000,"Out",OUT!$E$2:$E$11000,"Mio")</f>
        <v>181000</v>
      </c>
      <c r="R736" s="52">
        <f ca="1">SUMIFS(OUT!$F$2:$F$11000,OUT!$H$2:$H$11000,H736,OUT!$D$2:$D$11000,"Out",OUT!$E$2:$E$11000,"Sedekah")</f>
        <v>0</v>
      </c>
      <c r="S736" s="52">
        <f ca="1">SUMIFS(OUT!$F$2:$F$11000,OUT!$H$2:$H$11000,H736,OUT!$D$2:$D$11000,"Out",OUT!$E$2:$E$11000,"Zela")</f>
        <v>90500</v>
      </c>
      <c r="T736" s="52">
        <f ca="1">SUMIFS(OUT!$F$2:$F$11000,OUT!$H$2:$H$11000,H736,OUT!$D$2:$D$11000,"Out",OUT!$E$2:$E$11000,"Iqbal")</f>
        <v>74070</v>
      </c>
    </row>
    <row r="737" spans="1:20" x14ac:dyDescent="0.2">
      <c r="A737" s="48">
        <f ca="1">IFERROR(__xludf.DUMMYFUNCTION("""COMPUTED_VALUE"""),46132)</f>
        <v>46132</v>
      </c>
      <c r="B737" s="4" t="str">
        <f ca="1">IFERROR(__xludf.DUMMYFUNCTION("""COMPUTED_VALUE"""),"( Alfagift ) pempes+susu +mie")</f>
        <v>( Alfagift ) pempes+susu +mie</v>
      </c>
      <c r="C737" s="4" t="str">
        <f ca="1">IFERROR(__xludf.DUMMYFUNCTION("""COMPUTED_VALUE"""),"ATM")</f>
        <v>ATM</v>
      </c>
      <c r="D737" s="4" t="str">
        <f ca="1">IFERROR(__xludf.DUMMYFUNCTION("""COMPUTED_VALUE"""),"Out")</f>
        <v>Out</v>
      </c>
      <c r="E737" s="4" t="str">
        <f ca="1">IFERROR(__xludf.DUMMYFUNCTION("""COMPUTED_VALUE"""),"Alfa")</f>
        <v>Alfa</v>
      </c>
      <c r="F737" s="49">
        <f ca="1">IFERROR(__xludf.DUMMYFUNCTION("""COMPUTED_VALUE"""),90400)</f>
        <v>90400</v>
      </c>
      <c r="G737" s="50" t="str">
        <f ca="1">IFERROR(__xludf.DUMMYFUNCTION("""COMPUTED_VALUE"""),"Zela")</f>
        <v>Zela</v>
      </c>
      <c r="H737" s="51">
        <f t="shared" ca="1" si="0"/>
        <v>46113</v>
      </c>
      <c r="I737" s="52" t="e">
        <f ca="1">SUMIFS(OUT!$F$2:$F$11000,OUT!$H$2:$H$11000,H737,OUT!$D$2:$D$101007,"In")</f>
        <v>#VALUE!</v>
      </c>
      <c r="J737" s="52">
        <f ca="1">SUMIFS(OUT!$F$2:$F$11000,OUT!$H$2:$H$11000,H737,OUT!$D$2:$D$11000,"Out")</f>
        <v>8253441</v>
      </c>
      <c r="K737" s="52">
        <f ca="1">SUMIFS(OUT!$F$2:$F$11000,OUT!$H$2:$H$11000,H737,OUT!$D$2:$D$11000,"Out",OUT!$E$2:$E$11000,"Fix")</f>
        <v>2554300</v>
      </c>
      <c r="L737" s="52">
        <f ca="1">SUMIFS(OUT!$F$2:$F$11000,OUT!$H$2:$H$11000,H737,OUT!$D$2:$D$11000,"Out",OUT!$E$2:$E$11000,"Bathroom")</f>
        <v>19900</v>
      </c>
      <c r="M737" s="52">
        <f ca="1">SUMIFS(OUT!$F$2:$F$11000,OUT!$H$2:$H$11000,H737,OUT!$D$2:$D$11000,"Out",OUT!$E$2:$E$11000,"Alfa")</f>
        <v>282719</v>
      </c>
      <c r="N737" s="52" t="e">
        <f ca="1">SUMIFS(OUT!$F$2:$F$11000,OUT!$H$2:$H$101007,H737,OUT!$D$2:$D$11000,"Out",OUT!$E$2:$E$11000,"Jajan")</f>
        <v>#VALUE!</v>
      </c>
      <c r="O737" s="52">
        <f ca="1">SUMIFS(OUT!$F$2:$F$11000,OUT!$H$2:$H$11000,H737,OUT!$D$2:$D$11000,"Out",OUT!$E$2:$E$11000,"Kitchen")</f>
        <v>964968</v>
      </c>
      <c r="P737" s="52">
        <f ca="1">SUMIFS(OUT!$F$2:$F$11000,OUT!$H$2:$H$11000,H737,OUT!$D$2:$D$11000,"Out",OUT!$E$2:$E$11000,"Loandry")</f>
        <v>58396</v>
      </c>
      <c r="Q737" s="52">
        <f ca="1">SUMIFS(OUT!$F$2:$F$11000,OUT!$H$2:$H$11000,H737,OUT!$D$2:$D$11000,"Out",OUT!$E$2:$E$11000,"Mio")</f>
        <v>181000</v>
      </c>
      <c r="R737" s="52">
        <f ca="1">SUMIFS(OUT!$F$2:$F$11000,OUT!$H$2:$H$11000,H737,OUT!$D$2:$D$11000,"Out",OUT!$E$2:$E$11000,"Sedekah")</f>
        <v>0</v>
      </c>
      <c r="S737" s="52">
        <f ca="1">SUMIFS(OUT!$F$2:$F$11000,OUT!$H$2:$H$11000,H737,OUT!$D$2:$D$11000,"Out",OUT!$E$2:$E$11000,"Zela")</f>
        <v>90500</v>
      </c>
      <c r="T737" s="52">
        <f ca="1">SUMIFS(OUT!$F$2:$F$11000,OUT!$H$2:$H$11000,H737,OUT!$D$2:$D$11000,"Out",OUT!$E$2:$E$11000,"Iqbal")</f>
        <v>74070</v>
      </c>
    </row>
    <row r="738" spans="1:20" x14ac:dyDescent="0.2">
      <c r="A738" s="48">
        <f ca="1">IFERROR(__xludf.DUMMYFUNCTION("""COMPUTED_VALUE"""),46132)</f>
        <v>46132</v>
      </c>
      <c r="B738" s="4" t="str">
        <f ca="1">IFERROR(__xludf.DUMMYFUNCTION("""COMPUTED_VALUE"""),"Tarik Tunai ")</f>
        <v xml:space="preserve">Tarik Tunai </v>
      </c>
      <c r="C738" s="4" t="str">
        <f ca="1">IFERROR(__xludf.DUMMYFUNCTION("""COMPUTED_VALUE"""),"ATM")</f>
        <v>ATM</v>
      </c>
      <c r="D738" s="4" t="str">
        <f ca="1">IFERROR(__xludf.DUMMYFUNCTION("""COMPUTED_VALUE"""),"Out")</f>
        <v>Out</v>
      </c>
      <c r="E738" s="4" t="str">
        <f ca="1">IFERROR(__xludf.DUMMYFUNCTION("""COMPUTED_VALUE"""),"Move")</f>
        <v>Move</v>
      </c>
      <c r="F738" s="49">
        <f ca="1">IFERROR(__xludf.DUMMYFUNCTION("""COMPUTED_VALUE"""),100000)</f>
        <v>100000</v>
      </c>
      <c r="G738" s="50" t="str">
        <f ca="1">IFERROR(__xludf.DUMMYFUNCTION("""COMPUTED_VALUE"""),"Zela")</f>
        <v>Zela</v>
      </c>
      <c r="H738" s="51">
        <f t="shared" ca="1" si="0"/>
        <v>46113</v>
      </c>
      <c r="I738" s="52" t="e">
        <f ca="1">SUMIFS(OUT!$F$2:$F$11000,OUT!$H$2:$H$11000,H738,OUT!$D$2:$D$101007,"In")</f>
        <v>#VALUE!</v>
      </c>
      <c r="J738" s="52">
        <f ca="1">SUMIFS(OUT!$F$2:$F$11000,OUT!$H$2:$H$11000,H738,OUT!$D$2:$D$11000,"Out")</f>
        <v>8253441</v>
      </c>
      <c r="K738" s="52">
        <f ca="1">SUMIFS(OUT!$F$2:$F$11000,OUT!$H$2:$H$11000,H738,OUT!$D$2:$D$11000,"Out",OUT!$E$2:$E$11000,"Fix")</f>
        <v>2554300</v>
      </c>
      <c r="L738" s="52">
        <f ca="1">SUMIFS(OUT!$F$2:$F$11000,OUT!$H$2:$H$11000,H738,OUT!$D$2:$D$11000,"Out",OUT!$E$2:$E$11000,"Bathroom")</f>
        <v>19900</v>
      </c>
      <c r="M738" s="52">
        <f ca="1">SUMIFS(OUT!$F$2:$F$11000,OUT!$H$2:$H$11000,H738,OUT!$D$2:$D$11000,"Out",OUT!$E$2:$E$11000,"Alfa")</f>
        <v>282719</v>
      </c>
      <c r="N738" s="52" t="e">
        <f ca="1">SUMIFS(OUT!$F$2:$F$11000,OUT!$H$2:$H$101007,H738,OUT!$D$2:$D$11000,"Out",OUT!$E$2:$E$11000,"Jajan")</f>
        <v>#VALUE!</v>
      </c>
      <c r="O738" s="52">
        <f ca="1">SUMIFS(OUT!$F$2:$F$11000,OUT!$H$2:$H$11000,H738,OUT!$D$2:$D$11000,"Out",OUT!$E$2:$E$11000,"Kitchen")</f>
        <v>964968</v>
      </c>
      <c r="P738" s="52">
        <f ca="1">SUMIFS(OUT!$F$2:$F$11000,OUT!$H$2:$H$11000,H738,OUT!$D$2:$D$11000,"Out",OUT!$E$2:$E$11000,"Loandry")</f>
        <v>58396</v>
      </c>
      <c r="Q738" s="52">
        <f ca="1">SUMIFS(OUT!$F$2:$F$11000,OUT!$H$2:$H$11000,H738,OUT!$D$2:$D$11000,"Out",OUT!$E$2:$E$11000,"Mio")</f>
        <v>181000</v>
      </c>
      <c r="R738" s="52">
        <f ca="1">SUMIFS(OUT!$F$2:$F$11000,OUT!$H$2:$H$11000,H738,OUT!$D$2:$D$11000,"Out",OUT!$E$2:$E$11000,"Sedekah")</f>
        <v>0</v>
      </c>
      <c r="S738" s="52">
        <f ca="1">SUMIFS(OUT!$F$2:$F$11000,OUT!$H$2:$H$11000,H738,OUT!$D$2:$D$11000,"Out",OUT!$E$2:$E$11000,"Zela")</f>
        <v>90500</v>
      </c>
      <c r="T738" s="52">
        <f ca="1">SUMIFS(OUT!$F$2:$F$11000,OUT!$H$2:$H$11000,H738,OUT!$D$2:$D$11000,"Out",OUT!$E$2:$E$11000,"Iqbal")</f>
        <v>74070</v>
      </c>
    </row>
    <row r="739" spans="1:20" x14ac:dyDescent="0.2">
      <c r="A739" s="48">
        <f ca="1">IFERROR(__xludf.DUMMYFUNCTION("""COMPUTED_VALUE"""),46132)</f>
        <v>46132</v>
      </c>
      <c r="B739" s="4" t="str">
        <f ca="1">IFERROR(__xludf.DUMMYFUNCTION("""COMPUTED_VALUE"""),"Terima tunai ")</f>
        <v xml:space="preserve">Terima tunai </v>
      </c>
      <c r="C739" s="4" t="str">
        <f ca="1">IFERROR(__xludf.DUMMYFUNCTION("""COMPUTED_VALUE"""),"Cash")</f>
        <v>Cash</v>
      </c>
      <c r="D739" s="4" t="str">
        <f ca="1">IFERROR(__xludf.DUMMYFUNCTION("""COMPUTED_VALUE"""),"In")</f>
        <v>In</v>
      </c>
      <c r="E739" s="4" t="str">
        <f ca="1">IFERROR(__xludf.DUMMYFUNCTION("""COMPUTED_VALUE"""),"Move")</f>
        <v>Move</v>
      </c>
      <c r="F739" s="49">
        <f ca="1">IFERROR(__xludf.DUMMYFUNCTION("""COMPUTED_VALUE"""),100000)</f>
        <v>100000</v>
      </c>
      <c r="G739" s="50" t="str">
        <f ca="1">IFERROR(__xludf.DUMMYFUNCTION("""COMPUTED_VALUE"""),"Zela")</f>
        <v>Zela</v>
      </c>
      <c r="H739" s="51">
        <f t="shared" ca="1" si="0"/>
        <v>46113</v>
      </c>
      <c r="I739" s="52" t="e">
        <f ca="1">SUMIFS(OUT!$F$2:$F$11000,OUT!$H$2:$H$11000,H739,OUT!$D$2:$D$101007,"In")</f>
        <v>#VALUE!</v>
      </c>
      <c r="J739" s="52">
        <f ca="1">SUMIFS(OUT!$F$2:$F$11000,OUT!$H$2:$H$11000,H739,OUT!$D$2:$D$11000,"Out")</f>
        <v>8253441</v>
      </c>
      <c r="K739" s="52">
        <f ca="1">SUMIFS(OUT!$F$2:$F$11000,OUT!$H$2:$H$11000,H739,OUT!$D$2:$D$11000,"Out",OUT!$E$2:$E$11000,"Fix")</f>
        <v>2554300</v>
      </c>
      <c r="L739" s="52">
        <f ca="1">SUMIFS(OUT!$F$2:$F$11000,OUT!$H$2:$H$11000,H739,OUT!$D$2:$D$11000,"Out",OUT!$E$2:$E$11000,"Bathroom")</f>
        <v>19900</v>
      </c>
      <c r="M739" s="52">
        <f ca="1">SUMIFS(OUT!$F$2:$F$11000,OUT!$H$2:$H$11000,H739,OUT!$D$2:$D$11000,"Out",OUT!$E$2:$E$11000,"Alfa")</f>
        <v>282719</v>
      </c>
      <c r="N739" s="52" t="e">
        <f ca="1">SUMIFS(OUT!$F$2:$F$11000,OUT!$H$2:$H$101007,H739,OUT!$D$2:$D$11000,"Out",OUT!$E$2:$E$11000,"Jajan")</f>
        <v>#VALUE!</v>
      </c>
      <c r="O739" s="52">
        <f ca="1">SUMIFS(OUT!$F$2:$F$11000,OUT!$H$2:$H$11000,H739,OUT!$D$2:$D$11000,"Out",OUT!$E$2:$E$11000,"Kitchen")</f>
        <v>964968</v>
      </c>
      <c r="P739" s="52">
        <f ca="1">SUMIFS(OUT!$F$2:$F$11000,OUT!$H$2:$H$11000,H739,OUT!$D$2:$D$11000,"Out",OUT!$E$2:$E$11000,"Loandry")</f>
        <v>58396</v>
      </c>
      <c r="Q739" s="52">
        <f ca="1">SUMIFS(OUT!$F$2:$F$11000,OUT!$H$2:$H$11000,H739,OUT!$D$2:$D$11000,"Out",OUT!$E$2:$E$11000,"Mio")</f>
        <v>181000</v>
      </c>
      <c r="R739" s="52">
        <f ca="1">SUMIFS(OUT!$F$2:$F$11000,OUT!$H$2:$H$11000,H739,OUT!$D$2:$D$11000,"Out",OUT!$E$2:$E$11000,"Sedekah")</f>
        <v>0</v>
      </c>
      <c r="S739" s="52">
        <f ca="1">SUMIFS(OUT!$F$2:$F$11000,OUT!$H$2:$H$11000,H739,OUT!$D$2:$D$11000,"Out",OUT!$E$2:$E$11000,"Zela")</f>
        <v>90500</v>
      </c>
      <c r="T739" s="52">
        <f ca="1">SUMIFS(OUT!$F$2:$F$11000,OUT!$H$2:$H$11000,H739,OUT!$D$2:$D$11000,"Out",OUT!$E$2:$E$11000,"Iqbal")</f>
        <v>74070</v>
      </c>
    </row>
    <row r="740" spans="1:20" x14ac:dyDescent="0.2">
      <c r="A740" s="48">
        <f ca="1">IFERROR(__xludf.DUMMYFUNCTION("""COMPUTED_VALUE"""),46132)</f>
        <v>46132</v>
      </c>
      <c r="B740" s="4" t="str">
        <f ca="1">IFERROR(__xludf.DUMMYFUNCTION("""COMPUTED_VALUE"""),"Roti gembong + piscok ( Ulng tahun aina )")</f>
        <v>Roti gembong + piscok ( Ulng tahun aina )</v>
      </c>
      <c r="C740" s="4" t="str">
        <f ca="1">IFERROR(__xludf.DUMMYFUNCTION("""COMPUTED_VALUE"""),"Cash")</f>
        <v>Cash</v>
      </c>
      <c r="D740" s="4" t="str">
        <f ca="1">IFERROR(__xludf.DUMMYFUNCTION("""COMPUTED_VALUE"""),"Out")</f>
        <v>Out</v>
      </c>
      <c r="E740" s="4" t="str">
        <f ca="1">IFERROR(__xludf.DUMMYFUNCTION("""COMPUTED_VALUE"""),"Jajan")</f>
        <v>Jajan</v>
      </c>
      <c r="F740" s="49">
        <f ca="1">IFERROR(__xludf.DUMMYFUNCTION("""COMPUTED_VALUE"""),46000)</f>
        <v>46000</v>
      </c>
      <c r="G740" s="50" t="str">
        <f ca="1">IFERROR(__xludf.DUMMYFUNCTION("""COMPUTED_VALUE"""),"Zela")</f>
        <v>Zela</v>
      </c>
      <c r="H740" s="51">
        <f t="shared" ca="1" si="0"/>
        <v>46113</v>
      </c>
      <c r="I740" s="52" t="e">
        <f ca="1">SUMIFS(OUT!$F$2:$F$11000,OUT!$H$2:$H$11000,H740,OUT!$D$2:$D$101007,"In")</f>
        <v>#VALUE!</v>
      </c>
      <c r="J740" s="52">
        <f ca="1">SUMIFS(OUT!$F$2:$F$11000,OUT!$H$2:$H$11000,H740,OUT!$D$2:$D$11000,"Out")</f>
        <v>8253441</v>
      </c>
      <c r="K740" s="52">
        <f ca="1">SUMIFS(OUT!$F$2:$F$11000,OUT!$H$2:$H$11000,H740,OUT!$D$2:$D$11000,"Out",OUT!$E$2:$E$11000,"Fix")</f>
        <v>2554300</v>
      </c>
      <c r="L740" s="52">
        <f ca="1">SUMIFS(OUT!$F$2:$F$11000,OUT!$H$2:$H$11000,H740,OUT!$D$2:$D$11000,"Out",OUT!$E$2:$E$11000,"Bathroom")</f>
        <v>19900</v>
      </c>
      <c r="M740" s="52">
        <f ca="1">SUMIFS(OUT!$F$2:$F$11000,OUT!$H$2:$H$11000,H740,OUT!$D$2:$D$11000,"Out",OUT!$E$2:$E$11000,"Alfa")</f>
        <v>282719</v>
      </c>
      <c r="N740" s="52" t="e">
        <f ca="1">SUMIFS(OUT!$F$2:$F$11000,OUT!$H$2:$H$101007,H740,OUT!$D$2:$D$11000,"Out",OUT!$E$2:$E$11000,"Jajan")</f>
        <v>#VALUE!</v>
      </c>
      <c r="O740" s="52">
        <f ca="1">SUMIFS(OUT!$F$2:$F$11000,OUT!$H$2:$H$11000,H740,OUT!$D$2:$D$11000,"Out",OUT!$E$2:$E$11000,"Kitchen")</f>
        <v>964968</v>
      </c>
      <c r="P740" s="52">
        <f ca="1">SUMIFS(OUT!$F$2:$F$11000,OUT!$H$2:$H$11000,H740,OUT!$D$2:$D$11000,"Out",OUT!$E$2:$E$11000,"Loandry")</f>
        <v>58396</v>
      </c>
      <c r="Q740" s="52">
        <f ca="1">SUMIFS(OUT!$F$2:$F$11000,OUT!$H$2:$H$11000,H740,OUT!$D$2:$D$11000,"Out",OUT!$E$2:$E$11000,"Mio")</f>
        <v>181000</v>
      </c>
      <c r="R740" s="52">
        <f ca="1">SUMIFS(OUT!$F$2:$F$11000,OUT!$H$2:$H$11000,H740,OUT!$D$2:$D$11000,"Out",OUT!$E$2:$E$11000,"Sedekah")</f>
        <v>0</v>
      </c>
      <c r="S740" s="52">
        <f ca="1">SUMIFS(OUT!$F$2:$F$11000,OUT!$H$2:$H$11000,H740,OUT!$D$2:$D$11000,"Out",OUT!$E$2:$E$11000,"Zela")</f>
        <v>90500</v>
      </c>
      <c r="T740" s="52">
        <f ca="1">SUMIFS(OUT!$F$2:$F$11000,OUT!$H$2:$H$11000,H740,OUT!$D$2:$D$11000,"Out",OUT!$E$2:$E$11000,"Iqbal")</f>
        <v>74070</v>
      </c>
    </row>
    <row r="741" spans="1:20" x14ac:dyDescent="0.2">
      <c r="A741" s="48">
        <f ca="1">IFERROR(__xludf.DUMMYFUNCTION("""COMPUTED_VALUE"""),46133)</f>
        <v>46133</v>
      </c>
      <c r="B741" s="4" t="str">
        <f ca="1">IFERROR(__xludf.DUMMYFUNCTION("""COMPUTED_VALUE"""),"Beras 1,5 kg ")</f>
        <v xml:space="preserve">Beras 1,5 kg </v>
      </c>
      <c r="C741" s="4" t="str">
        <f ca="1">IFERROR(__xludf.DUMMYFUNCTION("""COMPUTED_VALUE"""),"Cash")</f>
        <v>Cash</v>
      </c>
      <c r="D741" s="4" t="str">
        <f ca="1">IFERROR(__xludf.DUMMYFUNCTION("""COMPUTED_VALUE"""),"Out")</f>
        <v>Out</v>
      </c>
      <c r="E741" s="4" t="str">
        <f ca="1">IFERROR(__xludf.DUMMYFUNCTION("""COMPUTED_VALUE"""),"Kitchen")</f>
        <v>Kitchen</v>
      </c>
      <c r="F741" s="49">
        <f ca="1">IFERROR(__xludf.DUMMYFUNCTION("""COMPUTED_VALUE"""),26000)</f>
        <v>26000</v>
      </c>
      <c r="G741" s="50" t="str">
        <f ca="1">IFERROR(__xludf.DUMMYFUNCTION("""COMPUTED_VALUE"""),"Zela")</f>
        <v>Zela</v>
      </c>
      <c r="H741" s="51">
        <f t="shared" ca="1" si="0"/>
        <v>46113</v>
      </c>
      <c r="I741" s="52" t="e">
        <f ca="1">SUMIFS(OUT!$F$2:$F$11000,OUT!$H$2:$H$11000,H741,OUT!$D$2:$D$101007,"In")</f>
        <v>#VALUE!</v>
      </c>
      <c r="J741" s="52">
        <f ca="1">SUMIFS(OUT!$F$2:$F$11000,OUT!$H$2:$H$11000,H741,OUT!$D$2:$D$11000,"Out")</f>
        <v>8253441</v>
      </c>
      <c r="K741" s="52">
        <f ca="1">SUMIFS(OUT!$F$2:$F$11000,OUT!$H$2:$H$11000,H741,OUT!$D$2:$D$11000,"Out",OUT!$E$2:$E$11000,"Fix")</f>
        <v>2554300</v>
      </c>
      <c r="L741" s="52">
        <f ca="1">SUMIFS(OUT!$F$2:$F$11000,OUT!$H$2:$H$11000,H741,OUT!$D$2:$D$11000,"Out",OUT!$E$2:$E$11000,"Bathroom")</f>
        <v>19900</v>
      </c>
      <c r="M741" s="52">
        <f ca="1">SUMIFS(OUT!$F$2:$F$11000,OUT!$H$2:$H$11000,H741,OUT!$D$2:$D$11000,"Out",OUT!$E$2:$E$11000,"Alfa")</f>
        <v>282719</v>
      </c>
      <c r="N741" s="52" t="e">
        <f ca="1">SUMIFS(OUT!$F$2:$F$11000,OUT!$H$2:$H$101007,H741,OUT!$D$2:$D$11000,"Out",OUT!$E$2:$E$11000,"Jajan")</f>
        <v>#VALUE!</v>
      </c>
      <c r="O741" s="52">
        <f ca="1">SUMIFS(OUT!$F$2:$F$11000,OUT!$H$2:$H$11000,H741,OUT!$D$2:$D$11000,"Out",OUT!$E$2:$E$11000,"Kitchen")</f>
        <v>964968</v>
      </c>
      <c r="P741" s="52">
        <f ca="1">SUMIFS(OUT!$F$2:$F$11000,OUT!$H$2:$H$11000,H741,OUT!$D$2:$D$11000,"Out",OUT!$E$2:$E$11000,"Loandry")</f>
        <v>58396</v>
      </c>
      <c r="Q741" s="52">
        <f ca="1">SUMIFS(OUT!$F$2:$F$11000,OUT!$H$2:$H$11000,H741,OUT!$D$2:$D$11000,"Out",OUT!$E$2:$E$11000,"Mio")</f>
        <v>181000</v>
      </c>
      <c r="R741" s="52">
        <f ca="1">SUMIFS(OUT!$F$2:$F$11000,OUT!$H$2:$H$11000,H741,OUT!$D$2:$D$11000,"Out",OUT!$E$2:$E$11000,"Sedekah")</f>
        <v>0</v>
      </c>
      <c r="S741" s="52">
        <f ca="1">SUMIFS(OUT!$F$2:$F$11000,OUT!$H$2:$H$11000,H741,OUT!$D$2:$D$11000,"Out",OUT!$E$2:$E$11000,"Zela")</f>
        <v>90500</v>
      </c>
      <c r="T741" s="52">
        <f ca="1">SUMIFS(OUT!$F$2:$F$11000,OUT!$H$2:$H$11000,H741,OUT!$D$2:$D$11000,"Out",OUT!$E$2:$E$11000,"Iqbal")</f>
        <v>74070</v>
      </c>
    </row>
    <row r="742" spans="1:20" x14ac:dyDescent="0.2">
      <c r="A742" s="48">
        <f ca="1">IFERROR(__xludf.DUMMYFUNCTION("""COMPUTED_VALUE"""),46133)</f>
        <v>46133</v>
      </c>
      <c r="B742" s="4" t="str">
        <f ca="1">IFERROR(__xludf.DUMMYFUNCTION("""COMPUTED_VALUE"""),"Plastik gula")</f>
        <v>Plastik gula</v>
      </c>
      <c r="C742" s="4" t="str">
        <f ca="1">IFERROR(__xludf.DUMMYFUNCTION("""COMPUTED_VALUE"""),"Cash")</f>
        <v>Cash</v>
      </c>
      <c r="D742" s="4" t="str">
        <f ca="1">IFERROR(__xludf.DUMMYFUNCTION("""COMPUTED_VALUE"""),"Out")</f>
        <v>Out</v>
      </c>
      <c r="E742" s="4" t="str">
        <f ca="1">IFERROR(__xludf.DUMMYFUNCTION("""COMPUTED_VALUE"""),"Kitchen")</f>
        <v>Kitchen</v>
      </c>
      <c r="F742" s="49">
        <f ca="1">IFERROR(__xludf.DUMMYFUNCTION("""COMPUTED_VALUE"""),5000)</f>
        <v>5000</v>
      </c>
      <c r="G742" s="50" t="str">
        <f ca="1">IFERROR(__xludf.DUMMYFUNCTION("""COMPUTED_VALUE"""),"Zela")</f>
        <v>Zela</v>
      </c>
      <c r="H742" s="51">
        <f t="shared" ca="1" si="0"/>
        <v>46113</v>
      </c>
      <c r="I742" s="52" t="e">
        <f ca="1">SUMIFS(OUT!$F$2:$F$11000,OUT!$H$2:$H$11000,H742,OUT!$D$2:$D$101007,"In")</f>
        <v>#VALUE!</v>
      </c>
      <c r="J742" s="52">
        <f ca="1">SUMIFS(OUT!$F$2:$F$11000,OUT!$H$2:$H$11000,H742,OUT!$D$2:$D$11000,"Out")</f>
        <v>8253441</v>
      </c>
      <c r="K742" s="52">
        <f ca="1">SUMIFS(OUT!$F$2:$F$11000,OUT!$H$2:$H$11000,H742,OUT!$D$2:$D$11000,"Out",OUT!$E$2:$E$11000,"Fix")</f>
        <v>2554300</v>
      </c>
      <c r="L742" s="52">
        <f ca="1">SUMIFS(OUT!$F$2:$F$11000,OUT!$H$2:$H$11000,H742,OUT!$D$2:$D$11000,"Out",OUT!$E$2:$E$11000,"Bathroom")</f>
        <v>19900</v>
      </c>
      <c r="M742" s="52">
        <f ca="1">SUMIFS(OUT!$F$2:$F$11000,OUT!$H$2:$H$11000,H742,OUT!$D$2:$D$11000,"Out",OUT!$E$2:$E$11000,"Alfa")</f>
        <v>282719</v>
      </c>
      <c r="N742" s="52" t="e">
        <f ca="1">SUMIFS(OUT!$F$2:$F$11000,OUT!$H$2:$H$101007,H742,OUT!$D$2:$D$11000,"Out",OUT!$E$2:$E$11000,"Jajan")</f>
        <v>#VALUE!</v>
      </c>
      <c r="O742" s="52">
        <f ca="1">SUMIFS(OUT!$F$2:$F$11000,OUT!$H$2:$H$11000,H742,OUT!$D$2:$D$11000,"Out",OUT!$E$2:$E$11000,"Kitchen")</f>
        <v>964968</v>
      </c>
      <c r="P742" s="52">
        <f ca="1">SUMIFS(OUT!$F$2:$F$11000,OUT!$H$2:$H$11000,H742,OUT!$D$2:$D$11000,"Out",OUT!$E$2:$E$11000,"Loandry")</f>
        <v>58396</v>
      </c>
      <c r="Q742" s="52">
        <f ca="1">SUMIFS(OUT!$F$2:$F$11000,OUT!$H$2:$H$11000,H742,OUT!$D$2:$D$11000,"Out",OUT!$E$2:$E$11000,"Mio")</f>
        <v>181000</v>
      </c>
      <c r="R742" s="52">
        <f ca="1">SUMIFS(OUT!$F$2:$F$11000,OUT!$H$2:$H$11000,H742,OUT!$D$2:$D$11000,"Out",OUT!$E$2:$E$11000,"Sedekah")</f>
        <v>0</v>
      </c>
      <c r="S742" s="52">
        <f ca="1">SUMIFS(OUT!$F$2:$F$11000,OUT!$H$2:$H$11000,H742,OUT!$D$2:$D$11000,"Out",OUT!$E$2:$E$11000,"Zela")</f>
        <v>90500</v>
      </c>
      <c r="T742" s="52">
        <f ca="1">SUMIFS(OUT!$F$2:$F$11000,OUT!$H$2:$H$11000,H742,OUT!$D$2:$D$11000,"Out",OUT!$E$2:$E$11000,"Iqbal")</f>
        <v>74070</v>
      </c>
    </row>
    <row r="743" spans="1:20" x14ac:dyDescent="0.2">
      <c r="A743" s="48">
        <f ca="1">IFERROR(__xludf.DUMMYFUNCTION("""COMPUTED_VALUE"""),46133)</f>
        <v>46133</v>
      </c>
      <c r="B743" s="4" t="str">
        <f ca="1">IFERROR(__xludf.DUMMYFUNCTION("""COMPUTED_VALUE"""),"Bensin Motor ")</f>
        <v xml:space="preserve">Bensin Motor </v>
      </c>
      <c r="C743" s="4" t="str">
        <f ca="1">IFERROR(__xludf.DUMMYFUNCTION("""COMPUTED_VALUE"""),"Cash")</f>
        <v>Cash</v>
      </c>
      <c r="D743" s="4" t="str">
        <f ca="1">IFERROR(__xludf.DUMMYFUNCTION("""COMPUTED_VALUE"""),"Out")</f>
        <v>Out</v>
      </c>
      <c r="E743" s="4" t="str">
        <f ca="1">IFERROR(__xludf.DUMMYFUNCTION("""COMPUTED_VALUE"""),"Mio")</f>
        <v>Mio</v>
      </c>
      <c r="F743" s="49">
        <f ca="1">IFERROR(__xludf.DUMMYFUNCTION("""COMPUTED_VALUE"""),20000)</f>
        <v>20000</v>
      </c>
      <c r="G743" s="50" t="str">
        <f ca="1">IFERROR(__xludf.DUMMYFUNCTION("""COMPUTED_VALUE"""),"Zela")</f>
        <v>Zela</v>
      </c>
      <c r="H743" s="51">
        <f t="shared" ca="1" si="0"/>
        <v>46113</v>
      </c>
      <c r="I743" s="52" t="e">
        <f ca="1">SUMIFS(OUT!$F$2:$F$11000,OUT!$H$2:$H$11000,H743,OUT!$D$2:$D$101007,"In")</f>
        <v>#VALUE!</v>
      </c>
      <c r="J743" s="52">
        <f ca="1">SUMIFS(OUT!$F$2:$F$11000,OUT!$H$2:$H$11000,H743,OUT!$D$2:$D$11000,"Out")</f>
        <v>8253441</v>
      </c>
      <c r="K743" s="52">
        <f ca="1">SUMIFS(OUT!$F$2:$F$11000,OUT!$H$2:$H$11000,H743,OUT!$D$2:$D$11000,"Out",OUT!$E$2:$E$11000,"Fix")</f>
        <v>2554300</v>
      </c>
      <c r="L743" s="52">
        <f ca="1">SUMIFS(OUT!$F$2:$F$11000,OUT!$H$2:$H$11000,H743,OUT!$D$2:$D$11000,"Out",OUT!$E$2:$E$11000,"Bathroom")</f>
        <v>19900</v>
      </c>
      <c r="M743" s="52">
        <f ca="1">SUMIFS(OUT!$F$2:$F$11000,OUT!$H$2:$H$11000,H743,OUT!$D$2:$D$11000,"Out",OUT!$E$2:$E$11000,"Alfa")</f>
        <v>282719</v>
      </c>
      <c r="N743" s="52" t="e">
        <f ca="1">SUMIFS(OUT!$F$2:$F$11000,OUT!$H$2:$H$101007,H743,OUT!$D$2:$D$11000,"Out",OUT!$E$2:$E$11000,"Jajan")</f>
        <v>#VALUE!</v>
      </c>
      <c r="O743" s="52">
        <f ca="1">SUMIFS(OUT!$F$2:$F$11000,OUT!$H$2:$H$11000,H743,OUT!$D$2:$D$11000,"Out",OUT!$E$2:$E$11000,"Kitchen")</f>
        <v>964968</v>
      </c>
      <c r="P743" s="52">
        <f ca="1">SUMIFS(OUT!$F$2:$F$11000,OUT!$H$2:$H$11000,H743,OUT!$D$2:$D$11000,"Out",OUT!$E$2:$E$11000,"Loandry")</f>
        <v>58396</v>
      </c>
      <c r="Q743" s="52">
        <f ca="1">SUMIFS(OUT!$F$2:$F$11000,OUT!$H$2:$H$11000,H743,OUT!$D$2:$D$11000,"Out",OUT!$E$2:$E$11000,"Mio")</f>
        <v>181000</v>
      </c>
      <c r="R743" s="52">
        <f ca="1">SUMIFS(OUT!$F$2:$F$11000,OUT!$H$2:$H$11000,H743,OUT!$D$2:$D$11000,"Out",OUT!$E$2:$E$11000,"Sedekah")</f>
        <v>0</v>
      </c>
      <c r="S743" s="52">
        <f ca="1">SUMIFS(OUT!$F$2:$F$11000,OUT!$H$2:$H$11000,H743,OUT!$D$2:$D$11000,"Out",OUT!$E$2:$E$11000,"Zela")</f>
        <v>90500</v>
      </c>
      <c r="T743" s="52">
        <f ca="1">SUMIFS(OUT!$F$2:$F$11000,OUT!$H$2:$H$11000,H743,OUT!$D$2:$D$11000,"Out",OUT!$E$2:$E$11000,"Iqbal")</f>
        <v>74070</v>
      </c>
    </row>
    <row r="744" spans="1:20" x14ac:dyDescent="0.2">
      <c r="A744" s="48">
        <f ca="1">IFERROR(__xludf.DUMMYFUNCTION("""COMPUTED_VALUE"""),46134)</f>
        <v>46134</v>
      </c>
      <c r="B744" s="4" t="str">
        <f ca="1">IFERROR(__xludf.DUMMYFUNCTION("""COMPUTED_VALUE"""),"jajan alfa")</f>
        <v>jajan alfa</v>
      </c>
      <c r="C744" s="4" t="str">
        <f ca="1">IFERROR(__xludf.DUMMYFUNCTION("""COMPUTED_VALUE"""),"Cash")</f>
        <v>Cash</v>
      </c>
      <c r="D744" s="4" t="str">
        <f ca="1">IFERROR(__xludf.DUMMYFUNCTION("""COMPUTED_VALUE"""),"Out")</f>
        <v>Out</v>
      </c>
      <c r="E744" s="4" t="str">
        <f ca="1">IFERROR(__xludf.DUMMYFUNCTION("""COMPUTED_VALUE"""),"Jajan")</f>
        <v>Jajan</v>
      </c>
      <c r="F744" s="49">
        <f ca="1">IFERROR(__xludf.DUMMYFUNCTION("""COMPUTED_VALUE"""),3000)</f>
        <v>3000</v>
      </c>
      <c r="G744" s="50" t="str">
        <f ca="1">IFERROR(__xludf.DUMMYFUNCTION("""COMPUTED_VALUE"""),"Zela")</f>
        <v>Zela</v>
      </c>
      <c r="H744" s="51">
        <f t="shared" ca="1" si="0"/>
        <v>46113</v>
      </c>
      <c r="I744" s="52" t="e">
        <f ca="1">SUMIFS(OUT!$F$2:$F$11000,OUT!$H$2:$H$11000,H744,OUT!$D$2:$D$101007,"In")</f>
        <v>#VALUE!</v>
      </c>
      <c r="J744" s="52">
        <f ca="1">SUMIFS(OUT!$F$2:$F$11000,OUT!$H$2:$H$11000,H744,OUT!$D$2:$D$11000,"Out")</f>
        <v>8253441</v>
      </c>
      <c r="K744" s="52">
        <f ca="1">SUMIFS(OUT!$F$2:$F$11000,OUT!$H$2:$H$11000,H744,OUT!$D$2:$D$11000,"Out",OUT!$E$2:$E$11000,"Fix")</f>
        <v>2554300</v>
      </c>
      <c r="L744" s="52">
        <f ca="1">SUMIFS(OUT!$F$2:$F$11000,OUT!$H$2:$H$11000,H744,OUT!$D$2:$D$11000,"Out",OUT!$E$2:$E$11000,"Bathroom")</f>
        <v>19900</v>
      </c>
      <c r="M744" s="52">
        <f ca="1">SUMIFS(OUT!$F$2:$F$11000,OUT!$H$2:$H$11000,H744,OUT!$D$2:$D$11000,"Out",OUT!$E$2:$E$11000,"Alfa")</f>
        <v>282719</v>
      </c>
      <c r="N744" s="52" t="e">
        <f ca="1">SUMIFS(OUT!$F$2:$F$11000,OUT!$H$2:$H$101007,H744,OUT!$D$2:$D$11000,"Out",OUT!$E$2:$E$11000,"Jajan")</f>
        <v>#VALUE!</v>
      </c>
      <c r="O744" s="52">
        <f ca="1">SUMIFS(OUT!$F$2:$F$11000,OUT!$H$2:$H$11000,H744,OUT!$D$2:$D$11000,"Out",OUT!$E$2:$E$11000,"Kitchen")</f>
        <v>964968</v>
      </c>
      <c r="P744" s="52">
        <f ca="1">SUMIFS(OUT!$F$2:$F$11000,OUT!$H$2:$H$11000,H744,OUT!$D$2:$D$11000,"Out",OUT!$E$2:$E$11000,"Loandry")</f>
        <v>58396</v>
      </c>
      <c r="Q744" s="52">
        <f ca="1">SUMIFS(OUT!$F$2:$F$11000,OUT!$H$2:$H$11000,H744,OUT!$D$2:$D$11000,"Out",OUT!$E$2:$E$11000,"Mio")</f>
        <v>181000</v>
      </c>
      <c r="R744" s="52">
        <f ca="1">SUMIFS(OUT!$F$2:$F$11000,OUT!$H$2:$H$11000,H744,OUT!$D$2:$D$11000,"Out",OUT!$E$2:$E$11000,"Sedekah")</f>
        <v>0</v>
      </c>
      <c r="S744" s="52">
        <f ca="1">SUMIFS(OUT!$F$2:$F$11000,OUT!$H$2:$H$11000,H744,OUT!$D$2:$D$11000,"Out",OUT!$E$2:$E$11000,"Zela")</f>
        <v>90500</v>
      </c>
      <c r="T744" s="52">
        <f ca="1">SUMIFS(OUT!$F$2:$F$11000,OUT!$H$2:$H$11000,H744,OUT!$D$2:$D$11000,"Out",OUT!$E$2:$E$11000,"Iqbal")</f>
        <v>74070</v>
      </c>
    </row>
    <row r="745" spans="1:20" x14ac:dyDescent="0.2">
      <c r="A745" s="48">
        <f ca="1">IFERROR(__xludf.DUMMYFUNCTION("""COMPUTED_VALUE"""),46130)</f>
        <v>46130</v>
      </c>
      <c r="B745" s="4" t="str">
        <f ca="1">IFERROR(__xludf.DUMMYFUNCTION("""COMPUTED_VALUE"""),"molen ")</f>
        <v xml:space="preserve">molen </v>
      </c>
      <c r="C745" s="4" t="str">
        <f ca="1">IFERROR(__xludf.DUMMYFUNCTION("""COMPUTED_VALUE"""),"Cash")</f>
        <v>Cash</v>
      </c>
      <c r="D745" s="4" t="str">
        <f ca="1">IFERROR(__xludf.DUMMYFUNCTION("""COMPUTED_VALUE"""),"Out")</f>
        <v>Out</v>
      </c>
      <c r="E745" s="4" t="str">
        <f ca="1">IFERROR(__xludf.DUMMYFUNCTION("""COMPUTED_VALUE"""),"Jajan")</f>
        <v>Jajan</v>
      </c>
      <c r="F745" s="49">
        <f ca="1">IFERROR(__xludf.DUMMYFUNCTION("""COMPUTED_VALUE"""),7000)</f>
        <v>7000</v>
      </c>
      <c r="G745" s="50" t="str">
        <f ca="1">IFERROR(__xludf.DUMMYFUNCTION("""COMPUTED_VALUE"""),"Zela")</f>
        <v>Zela</v>
      </c>
      <c r="H745" s="51">
        <f t="shared" ca="1" si="0"/>
        <v>46113</v>
      </c>
      <c r="I745" s="52" t="e">
        <f ca="1">SUMIFS(OUT!$F$2:$F$11000,OUT!$H$2:$H$11000,H745,OUT!$D$2:$D$101007,"In")</f>
        <v>#VALUE!</v>
      </c>
      <c r="J745" s="52">
        <f ca="1">SUMIFS(OUT!$F$2:$F$11000,OUT!$H$2:$H$11000,H745,OUT!$D$2:$D$11000,"Out")</f>
        <v>8253441</v>
      </c>
      <c r="K745" s="52">
        <f ca="1">SUMIFS(OUT!$F$2:$F$11000,OUT!$H$2:$H$11000,H745,OUT!$D$2:$D$11000,"Out",OUT!$E$2:$E$11000,"Fix")</f>
        <v>2554300</v>
      </c>
      <c r="L745" s="52">
        <f ca="1">SUMIFS(OUT!$F$2:$F$11000,OUT!$H$2:$H$11000,H745,OUT!$D$2:$D$11000,"Out",OUT!$E$2:$E$11000,"Bathroom")</f>
        <v>19900</v>
      </c>
      <c r="M745" s="52">
        <f ca="1">SUMIFS(OUT!$F$2:$F$11000,OUT!$H$2:$H$11000,H745,OUT!$D$2:$D$11000,"Out",OUT!$E$2:$E$11000,"Alfa")</f>
        <v>282719</v>
      </c>
      <c r="N745" s="52" t="e">
        <f ca="1">SUMIFS(OUT!$F$2:$F$11000,OUT!$H$2:$H$101007,H745,OUT!$D$2:$D$11000,"Out",OUT!$E$2:$E$11000,"Jajan")</f>
        <v>#VALUE!</v>
      </c>
      <c r="O745" s="52">
        <f ca="1">SUMIFS(OUT!$F$2:$F$11000,OUT!$H$2:$H$11000,H745,OUT!$D$2:$D$11000,"Out",OUT!$E$2:$E$11000,"Kitchen")</f>
        <v>964968</v>
      </c>
      <c r="P745" s="52">
        <f ca="1">SUMIFS(OUT!$F$2:$F$11000,OUT!$H$2:$H$11000,H745,OUT!$D$2:$D$11000,"Out",OUT!$E$2:$E$11000,"Loandry")</f>
        <v>58396</v>
      </c>
      <c r="Q745" s="52">
        <f ca="1">SUMIFS(OUT!$F$2:$F$11000,OUT!$H$2:$H$11000,H745,OUT!$D$2:$D$11000,"Out",OUT!$E$2:$E$11000,"Mio")</f>
        <v>181000</v>
      </c>
      <c r="R745" s="52">
        <f ca="1">SUMIFS(OUT!$F$2:$F$11000,OUT!$H$2:$H$11000,H745,OUT!$D$2:$D$11000,"Out",OUT!$E$2:$E$11000,"Sedekah")</f>
        <v>0</v>
      </c>
      <c r="S745" s="52">
        <f ca="1">SUMIFS(OUT!$F$2:$F$11000,OUT!$H$2:$H$11000,H745,OUT!$D$2:$D$11000,"Out",OUT!$E$2:$E$11000,"Zela")</f>
        <v>90500</v>
      </c>
      <c r="T745" s="52">
        <f ca="1">SUMIFS(OUT!$F$2:$F$11000,OUT!$H$2:$H$11000,H745,OUT!$D$2:$D$11000,"Out",OUT!$E$2:$E$11000,"Iqbal")</f>
        <v>74070</v>
      </c>
    </row>
    <row r="746" spans="1:20" x14ac:dyDescent="0.2">
      <c r="A746" s="48">
        <f ca="1">IFERROR(__xludf.DUMMYFUNCTION("""COMPUTED_VALUE"""),46134)</f>
        <v>46134</v>
      </c>
      <c r="B746" s="4" t="str">
        <f ca="1">IFERROR(__xludf.DUMMYFUNCTION("""COMPUTED_VALUE"""),"Saldo Tiktok")</f>
        <v>Saldo Tiktok</v>
      </c>
      <c r="C746" s="4" t="str">
        <f ca="1">IFERROR(__xludf.DUMMYFUNCTION("""COMPUTED_VALUE"""),"ATM")</f>
        <v>ATM</v>
      </c>
      <c r="D746" s="4" t="str">
        <f ca="1">IFERROR(__xludf.DUMMYFUNCTION("""COMPUTED_VALUE"""),"In")</f>
        <v>In</v>
      </c>
      <c r="E746" s="4" t="str">
        <f ca="1">IFERROR(__xludf.DUMMYFUNCTION("""COMPUTED_VALUE"""),"Fix")</f>
        <v>Fix</v>
      </c>
      <c r="F746" s="49">
        <f ca="1">IFERROR(__xludf.DUMMYFUNCTION("""COMPUTED_VALUE"""),181000)</f>
        <v>181000</v>
      </c>
      <c r="G746" s="50" t="str">
        <f ca="1">IFERROR(__xludf.DUMMYFUNCTION("""COMPUTED_VALUE"""),"Zela")</f>
        <v>Zela</v>
      </c>
      <c r="H746" s="51">
        <f t="shared" ca="1" si="0"/>
        <v>46113</v>
      </c>
      <c r="I746" s="52" t="e">
        <f ca="1">SUMIFS(OUT!$F$2:$F$11000,OUT!$H$2:$H$11000,H746,OUT!$D$2:$D$101007,"In")</f>
        <v>#VALUE!</v>
      </c>
      <c r="J746" s="52">
        <f ca="1">SUMIFS(OUT!$F$2:$F$11000,OUT!$H$2:$H$11000,H746,OUT!$D$2:$D$11000,"Out")</f>
        <v>8253441</v>
      </c>
      <c r="K746" s="52">
        <f ca="1">SUMIFS(OUT!$F$2:$F$11000,OUT!$H$2:$H$11000,H746,OUT!$D$2:$D$11000,"Out",OUT!$E$2:$E$11000,"Fix")</f>
        <v>2554300</v>
      </c>
      <c r="L746" s="52">
        <f ca="1">SUMIFS(OUT!$F$2:$F$11000,OUT!$H$2:$H$11000,H746,OUT!$D$2:$D$11000,"Out",OUT!$E$2:$E$11000,"Bathroom")</f>
        <v>19900</v>
      </c>
      <c r="M746" s="52">
        <f ca="1">SUMIFS(OUT!$F$2:$F$11000,OUT!$H$2:$H$11000,H746,OUT!$D$2:$D$11000,"Out",OUT!$E$2:$E$11000,"Alfa")</f>
        <v>282719</v>
      </c>
      <c r="N746" s="52" t="e">
        <f ca="1">SUMIFS(OUT!$F$2:$F$11000,OUT!$H$2:$H$101007,H746,OUT!$D$2:$D$11000,"Out",OUT!$E$2:$E$11000,"Jajan")</f>
        <v>#VALUE!</v>
      </c>
      <c r="O746" s="52">
        <f ca="1">SUMIFS(OUT!$F$2:$F$11000,OUT!$H$2:$H$11000,H746,OUT!$D$2:$D$11000,"Out",OUT!$E$2:$E$11000,"Kitchen")</f>
        <v>964968</v>
      </c>
      <c r="P746" s="52">
        <f ca="1">SUMIFS(OUT!$F$2:$F$11000,OUT!$H$2:$H$11000,H746,OUT!$D$2:$D$11000,"Out",OUT!$E$2:$E$11000,"Loandry")</f>
        <v>58396</v>
      </c>
      <c r="Q746" s="52">
        <f ca="1">SUMIFS(OUT!$F$2:$F$11000,OUT!$H$2:$H$11000,H746,OUT!$D$2:$D$11000,"Out",OUT!$E$2:$E$11000,"Mio")</f>
        <v>181000</v>
      </c>
      <c r="R746" s="52">
        <f ca="1">SUMIFS(OUT!$F$2:$F$11000,OUT!$H$2:$H$11000,H746,OUT!$D$2:$D$11000,"Out",OUT!$E$2:$E$11000,"Sedekah")</f>
        <v>0</v>
      </c>
      <c r="S746" s="52">
        <f ca="1">SUMIFS(OUT!$F$2:$F$11000,OUT!$H$2:$H$11000,H746,OUT!$D$2:$D$11000,"Out",OUT!$E$2:$E$11000,"Zela")</f>
        <v>90500</v>
      </c>
      <c r="T746" s="52">
        <f ca="1">SUMIFS(OUT!$F$2:$F$11000,OUT!$H$2:$H$11000,H746,OUT!$D$2:$D$11000,"Out",OUT!$E$2:$E$11000,"Iqbal")</f>
        <v>74070</v>
      </c>
    </row>
    <row r="747" spans="1:20" x14ac:dyDescent="0.2">
      <c r="A747" s="48">
        <f ca="1">IFERROR(__xludf.DUMMYFUNCTION("""COMPUTED_VALUE"""),46134)</f>
        <v>46134</v>
      </c>
      <c r="B747" s="4" t="str">
        <f ca="1">IFERROR(__xludf.DUMMYFUNCTION("""COMPUTED_VALUE"""),"Tarik tunai")</f>
        <v>Tarik tunai</v>
      </c>
      <c r="C747" s="4" t="str">
        <f ca="1">IFERROR(__xludf.DUMMYFUNCTION("""COMPUTED_VALUE"""),"ATM")</f>
        <v>ATM</v>
      </c>
      <c r="D747" s="4" t="str">
        <f ca="1">IFERROR(__xludf.DUMMYFUNCTION("""COMPUTED_VALUE"""),"Out")</f>
        <v>Out</v>
      </c>
      <c r="E747" s="4" t="str">
        <f ca="1">IFERROR(__xludf.DUMMYFUNCTION("""COMPUTED_VALUE"""),"Move")</f>
        <v>Move</v>
      </c>
      <c r="F747" s="49">
        <f ca="1">IFERROR(__xludf.DUMMYFUNCTION("""COMPUTED_VALUE"""),200000)</f>
        <v>200000</v>
      </c>
      <c r="G747" s="50" t="str">
        <f ca="1">IFERROR(__xludf.DUMMYFUNCTION("""COMPUTED_VALUE"""),"Zela")</f>
        <v>Zela</v>
      </c>
      <c r="H747" s="51">
        <f t="shared" ca="1" si="0"/>
        <v>46113</v>
      </c>
      <c r="I747" s="52" t="e">
        <f ca="1">SUMIFS(OUT!$F$2:$F$11000,OUT!$H$2:$H$11000,H747,OUT!$D$2:$D$101007,"In")</f>
        <v>#VALUE!</v>
      </c>
      <c r="J747" s="52">
        <f ca="1">SUMIFS(OUT!$F$2:$F$11000,OUT!$H$2:$H$11000,H747,OUT!$D$2:$D$11000,"Out")</f>
        <v>8253441</v>
      </c>
      <c r="K747" s="52">
        <f ca="1">SUMIFS(OUT!$F$2:$F$11000,OUT!$H$2:$H$11000,H747,OUT!$D$2:$D$11000,"Out",OUT!$E$2:$E$11000,"Fix")</f>
        <v>2554300</v>
      </c>
      <c r="L747" s="52">
        <f ca="1">SUMIFS(OUT!$F$2:$F$11000,OUT!$H$2:$H$11000,H747,OUT!$D$2:$D$11000,"Out",OUT!$E$2:$E$11000,"Bathroom")</f>
        <v>19900</v>
      </c>
      <c r="M747" s="52">
        <f ca="1">SUMIFS(OUT!$F$2:$F$11000,OUT!$H$2:$H$11000,H747,OUT!$D$2:$D$11000,"Out",OUT!$E$2:$E$11000,"Alfa")</f>
        <v>282719</v>
      </c>
      <c r="N747" s="52" t="e">
        <f ca="1">SUMIFS(OUT!$F$2:$F$11000,OUT!$H$2:$H$101007,H747,OUT!$D$2:$D$11000,"Out",OUT!$E$2:$E$11000,"Jajan")</f>
        <v>#VALUE!</v>
      </c>
      <c r="O747" s="52">
        <f ca="1">SUMIFS(OUT!$F$2:$F$11000,OUT!$H$2:$H$11000,H747,OUT!$D$2:$D$11000,"Out",OUT!$E$2:$E$11000,"Kitchen")</f>
        <v>964968</v>
      </c>
      <c r="P747" s="52">
        <f ca="1">SUMIFS(OUT!$F$2:$F$11000,OUT!$H$2:$H$11000,H747,OUT!$D$2:$D$11000,"Out",OUT!$E$2:$E$11000,"Loandry")</f>
        <v>58396</v>
      </c>
      <c r="Q747" s="52">
        <f ca="1">SUMIFS(OUT!$F$2:$F$11000,OUT!$H$2:$H$11000,H747,OUT!$D$2:$D$11000,"Out",OUT!$E$2:$E$11000,"Mio")</f>
        <v>181000</v>
      </c>
      <c r="R747" s="52">
        <f ca="1">SUMIFS(OUT!$F$2:$F$11000,OUT!$H$2:$H$11000,H747,OUT!$D$2:$D$11000,"Out",OUT!$E$2:$E$11000,"Sedekah")</f>
        <v>0</v>
      </c>
      <c r="S747" s="52">
        <f ca="1">SUMIFS(OUT!$F$2:$F$11000,OUT!$H$2:$H$11000,H747,OUT!$D$2:$D$11000,"Out",OUT!$E$2:$E$11000,"Zela")</f>
        <v>90500</v>
      </c>
      <c r="T747" s="52">
        <f ca="1">SUMIFS(OUT!$F$2:$F$11000,OUT!$H$2:$H$11000,H747,OUT!$D$2:$D$11000,"Out",OUT!$E$2:$E$11000,"Iqbal")</f>
        <v>74070</v>
      </c>
    </row>
    <row r="748" spans="1:20" x14ac:dyDescent="0.2">
      <c r="A748" s="48">
        <f ca="1">IFERROR(__xludf.DUMMYFUNCTION("""COMPUTED_VALUE"""),46134)</f>
        <v>46134</v>
      </c>
      <c r="B748" s="4" t="str">
        <f ca="1">IFERROR(__xludf.DUMMYFUNCTION("""COMPUTED_VALUE"""),"Terima Tunai ")</f>
        <v xml:space="preserve">Terima Tunai </v>
      </c>
      <c r="C748" s="4" t="str">
        <f ca="1">IFERROR(__xludf.DUMMYFUNCTION("""COMPUTED_VALUE"""),"Cash")</f>
        <v>Cash</v>
      </c>
      <c r="D748" s="4" t="str">
        <f ca="1">IFERROR(__xludf.DUMMYFUNCTION("""COMPUTED_VALUE"""),"In")</f>
        <v>In</v>
      </c>
      <c r="E748" s="4" t="str">
        <f ca="1">IFERROR(__xludf.DUMMYFUNCTION("""COMPUTED_VALUE"""),"Move")</f>
        <v>Move</v>
      </c>
      <c r="F748" s="49">
        <f ca="1">IFERROR(__xludf.DUMMYFUNCTION("""COMPUTED_VALUE"""),200000)</f>
        <v>200000</v>
      </c>
      <c r="G748" s="50" t="str">
        <f ca="1">IFERROR(__xludf.DUMMYFUNCTION("""COMPUTED_VALUE"""),"Zela")</f>
        <v>Zela</v>
      </c>
      <c r="H748" s="51">
        <f t="shared" ca="1" si="0"/>
        <v>46113</v>
      </c>
      <c r="I748" s="52" t="e">
        <f ca="1">SUMIFS(OUT!$F$2:$F$11000,OUT!$H$2:$H$11000,H748,OUT!$D$2:$D$101007,"In")</f>
        <v>#VALUE!</v>
      </c>
      <c r="J748" s="52">
        <f ca="1">SUMIFS(OUT!$F$2:$F$11000,OUT!$H$2:$H$11000,H748,OUT!$D$2:$D$11000,"Out")</f>
        <v>8253441</v>
      </c>
      <c r="K748" s="52">
        <f ca="1">SUMIFS(OUT!$F$2:$F$11000,OUT!$H$2:$H$11000,H748,OUT!$D$2:$D$11000,"Out",OUT!$E$2:$E$11000,"Fix")</f>
        <v>2554300</v>
      </c>
      <c r="L748" s="52">
        <f ca="1">SUMIFS(OUT!$F$2:$F$11000,OUT!$H$2:$H$11000,H748,OUT!$D$2:$D$11000,"Out",OUT!$E$2:$E$11000,"Bathroom")</f>
        <v>19900</v>
      </c>
      <c r="M748" s="52">
        <f ca="1">SUMIFS(OUT!$F$2:$F$11000,OUT!$H$2:$H$11000,H748,OUT!$D$2:$D$11000,"Out",OUT!$E$2:$E$11000,"Alfa")</f>
        <v>282719</v>
      </c>
      <c r="N748" s="52" t="e">
        <f ca="1">SUMIFS(OUT!$F$2:$F$11000,OUT!$H$2:$H$101007,H748,OUT!$D$2:$D$11000,"Out",OUT!$E$2:$E$11000,"Jajan")</f>
        <v>#VALUE!</v>
      </c>
      <c r="O748" s="52">
        <f ca="1">SUMIFS(OUT!$F$2:$F$11000,OUT!$H$2:$H$11000,H748,OUT!$D$2:$D$11000,"Out",OUT!$E$2:$E$11000,"Kitchen")</f>
        <v>964968</v>
      </c>
      <c r="P748" s="52">
        <f ca="1">SUMIFS(OUT!$F$2:$F$11000,OUT!$H$2:$H$11000,H748,OUT!$D$2:$D$11000,"Out",OUT!$E$2:$E$11000,"Loandry")</f>
        <v>58396</v>
      </c>
      <c r="Q748" s="52">
        <f ca="1">SUMIFS(OUT!$F$2:$F$11000,OUT!$H$2:$H$11000,H748,OUT!$D$2:$D$11000,"Out",OUT!$E$2:$E$11000,"Mio")</f>
        <v>181000</v>
      </c>
      <c r="R748" s="52">
        <f ca="1">SUMIFS(OUT!$F$2:$F$11000,OUT!$H$2:$H$11000,H748,OUT!$D$2:$D$11000,"Out",OUT!$E$2:$E$11000,"Sedekah")</f>
        <v>0</v>
      </c>
      <c r="S748" s="52">
        <f ca="1">SUMIFS(OUT!$F$2:$F$11000,OUT!$H$2:$H$11000,H748,OUT!$D$2:$D$11000,"Out",OUT!$E$2:$E$11000,"Zela")</f>
        <v>90500</v>
      </c>
      <c r="T748" s="52">
        <f ca="1">SUMIFS(OUT!$F$2:$F$11000,OUT!$H$2:$H$11000,H748,OUT!$D$2:$D$11000,"Out",OUT!$E$2:$E$11000,"Iqbal")</f>
        <v>74070</v>
      </c>
    </row>
    <row r="749" spans="1:20" x14ac:dyDescent="0.2">
      <c r="A749" s="48">
        <f ca="1">IFERROR(__xludf.DUMMYFUNCTION("""COMPUTED_VALUE"""),46134)</f>
        <v>46134</v>
      </c>
      <c r="B749" s="4" t="str">
        <f ca="1">IFERROR(__xludf.DUMMYFUNCTION("""COMPUTED_VALUE"""),"Jus+tehtelor+popice")</f>
        <v>Jus+tehtelor+popice</v>
      </c>
      <c r="C749" s="4" t="str">
        <f ca="1">IFERROR(__xludf.DUMMYFUNCTION("""COMPUTED_VALUE"""),"Cash")</f>
        <v>Cash</v>
      </c>
      <c r="D749" s="4" t="str">
        <f ca="1">IFERROR(__xludf.DUMMYFUNCTION("""COMPUTED_VALUE"""),"Out")</f>
        <v>Out</v>
      </c>
      <c r="E749" s="4" t="str">
        <f ca="1">IFERROR(__xludf.DUMMYFUNCTION("""COMPUTED_VALUE"""),"Jajan")</f>
        <v>Jajan</v>
      </c>
      <c r="F749" s="49">
        <f ca="1">IFERROR(__xludf.DUMMYFUNCTION("""COMPUTED_VALUE"""),26000)</f>
        <v>26000</v>
      </c>
      <c r="G749" s="50" t="str">
        <f ca="1">IFERROR(__xludf.DUMMYFUNCTION("""COMPUTED_VALUE"""),"Zela")</f>
        <v>Zela</v>
      </c>
      <c r="H749" s="51">
        <f t="shared" ca="1" si="0"/>
        <v>46113</v>
      </c>
      <c r="I749" s="52" t="e">
        <f ca="1">SUMIFS(OUT!$F$2:$F$11000,OUT!$H$2:$H$11000,H749,OUT!$D$2:$D$101007,"In")</f>
        <v>#VALUE!</v>
      </c>
      <c r="J749" s="52">
        <f ca="1">SUMIFS(OUT!$F$2:$F$11000,OUT!$H$2:$H$11000,H749,OUT!$D$2:$D$11000,"Out")</f>
        <v>8253441</v>
      </c>
      <c r="K749" s="52">
        <f ca="1">SUMIFS(OUT!$F$2:$F$11000,OUT!$H$2:$H$11000,H749,OUT!$D$2:$D$11000,"Out",OUT!$E$2:$E$11000,"Fix")</f>
        <v>2554300</v>
      </c>
      <c r="L749" s="52">
        <f ca="1">SUMIFS(OUT!$F$2:$F$11000,OUT!$H$2:$H$11000,H749,OUT!$D$2:$D$11000,"Out",OUT!$E$2:$E$11000,"Bathroom")</f>
        <v>19900</v>
      </c>
      <c r="M749" s="52">
        <f ca="1">SUMIFS(OUT!$F$2:$F$11000,OUT!$H$2:$H$11000,H749,OUT!$D$2:$D$11000,"Out",OUT!$E$2:$E$11000,"Alfa")</f>
        <v>282719</v>
      </c>
      <c r="N749" s="52" t="e">
        <f ca="1">SUMIFS(OUT!$F$2:$F$11000,OUT!$H$2:$H$101007,H749,OUT!$D$2:$D$11000,"Out",OUT!$E$2:$E$11000,"Jajan")</f>
        <v>#VALUE!</v>
      </c>
      <c r="O749" s="52">
        <f ca="1">SUMIFS(OUT!$F$2:$F$11000,OUT!$H$2:$H$11000,H749,OUT!$D$2:$D$11000,"Out",OUT!$E$2:$E$11000,"Kitchen")</f>
        <v>964968</v>
      </c>
      <c r="P749" s="52">
        <f ca="1">SUMIFS(OUT!$F$2:$F$11000,OUT!$H$2:$H$11000,H749,OUT!$D$2:$D$11000,"Out",OUT!$E$2:$E$11000,"Loandry")</f>
        <v>58396</v>
      </c>
      <c r="Q749" s="52">
        <f ca="1">SUMIFS(OUT!$F$2:$F$11000,OUT!$H$2:$H$11000,H749,OUT!$D$2:$D$11000,"Out",OUT!$E$2:$E$11000,"Mio")</f>
        <v>181000</v>
      </c>
      <c r="R749" s="52">
        <f ca="1">SUMIFS(OUT!$F$2:$F$11000,OUT!$H$2:$H$11000,H749,OUT!$D$2:$D$11000,"Out",OUT!$E$2:$E$11000,"Sedekah")</f>
        <v>0</v>
      </c>
      <c r="S749" s="52">
        <f ca="1">SUMIFS(OUT!$F$2:$F$11000,OUT!$H$2:$H$11000,H749,OUT!$D$2:$D$11000,"Out",OUT!$E$2:$E$11000,"Zela")</f>
        <v>90500</v>
      </c>
      <c r="T749" s="52">
        <f ca="1">SUMIFS(OUT!$F$2:$F$11000,OUT!$H$2:$H$11000,H749,OUT!$D$2:$D$11000,"Out",OUT!$E$2:$E$11000,"Iqbal")</f>
        <v>74070</v>
      </c>
    </row>
    <row r="750" spans="1:20" x14ac:dyDescent="0.2">
      <c r="A750" s="48">
        <f ca="1">IFERROR(__xludf.DUMMYFUNCTION("""COMPUTED_VALUE"""),46134)</f>
        <v>46134</v>
      </c>
      <c r="B750" s="4" t="str">
        <f ca="1">IFERROR(__xludf.DUMMYFUNCTION("""COMPUTED_VALUE"""),"Antigores hp baba")</f>
        <v>Antigores hp baba</v>
      </c>
      <c r="C750" s="4" t="str">
        <f ca="1">IFERROR(__xludf.DUMMYFUNCTION("""COMPUTED_VALUE"""),"Cash")</f>
        <v>Cash</v>
      </c>
      <c r="D750" s="4" t="str">
        <f ca="1">IFERROR(__xludf.DUMMYFUNCTION("""COMPUTED_VALUE"""),"Out")</f>
        <v>Out</v>
      </c>
      <c r="E750" s="4" t="str">
        <f ca="1">IFERROR(__xludf.DUMMYFUNCTION("""COMPUTED_VALUE"""),"Iqbal")</f>
        <v>Iqbal</v>
      </c>
      <c r="F750" s="49">
        <f ca="1">IFERROR(__xludf.DUMMYFUNCTION("""COMPUTED_VALUE"""),7000)</f>
        <v>7000</v>
      </c>
      <c r="G750" s="50" t="str">
        <f ca="1">IFERROR(__xludf.DUMMYFUNCTION("""COMPUTED_VALUE"""),"Zela")</f>
        <v>Zela</v>
      </c>
      <c r="H750" s="51">
        <f t="shared" ca="1" si="0"/>
        <v>46113</v>
      </c>
      <c r="I750" s="52" t="e">
        <f ca="1">SUMIFS(OUT!$F$2:$F$11000,OUT!$H$2:$H$11000,H750,OUT!$D$2:$D$101007,"In")</f>
        <v>#VALUE!</v>
      </c>
      <c r="J750" s="52">
        <f ca="1">SUMIFS(OUT!$F$2:$F$11000,OUT!$H$2:$H$11000,H750,OUT!$D$2:$D$11000,"Out")</f>
        <v>8253441</v>
      </c>
      <c r="K750" s="52">
        <f ca="1">SUMIFS(OUT!$F$2:$F$11000,OUT!$H$2:$H$11000,H750,OUT!$D$2:$D$11000,"Out",OUT!$E$2:$E$11000,"Fix")</f>
        <v>2554300</v>
      </c>
      <c r="L750" s="52">
        <f ca="1">SUMIFS(OUT!$F$2:$F$11000,OUT!$H$2:$H$11000,H750,OUT!$D$2:$D$11000,"Out",OUT!$E$2:$E$11000,"Bathroom")</f>
        <v>19900</v>
      </c>
      <c r="M750" s="52">
        <f ca="1">SUMIFS(OUT!$F$2:$F$11000,OUT!$H$2:$H$11000,H750,OUT!$D$2:$D$11000,"Out",OUT!$E$2:$E$11000,"Alfa")</f>
        <v>282719</v>
      </c>
      <c r="N750" s="52" t="e">
        <f ca="1">SUMIFS(OUT!$F$2:$F$11000,OUT!$H$2:$H$101007,H750,OUT!$D$2:$D$11000,"Out",OUT!$E$2:$E$11000,"Jajan")</f>
        <v>#VALUE!</v>
      </c>
      <c r="O750" s="52">
        <f ca="1">SUMIFS(OUT!$F$2:$F$11000,OUT!$H$2:$H$11000,H750,OUT!$D$2:$D$11000,"Out",OUT!$E$2:$E$11000,"Kitchen")</f>
        <v>964968</v>
      </c>
      <c r="P750" s="52">
        <f ca="1">SUMIFS(OUT!$F$2:$F$11000,OUT!$H$2:$H$11000,H750,OUT!$D$2:$D$11000,"Out",OUT!$E$2:$E$11000,"Loandry")</f>
        <v>58396</v>
      </c>
      <c r="Q750" s="52">
        <f ca="1">SUMIFS(OUT!$F$2:$F$11000,OUT!$H$2:$H$11000,H750,OUT!$D$2:$D$11000,"Out",OUT!$E$2:$E$11000,"Mio")</f>
        <v>181000</v>
      </c>
      <c r="R750" s="52">
        <f ca="1">SUMIFS(OUT!$F$2:$F$11000,OUT!$H$2:$H$11000,H750,OUT!$D$2:$D$11000,"Out",OUT!$E$2:$E$11000,"Sedekah")</f>
        <v>0</v>
      </c>
      <c r="S750" s="52">
        <f ca="1">SUMIFS(OUT!$F$2:$F$11000,OUT!$H$2:$H$11000,H750,OUT!$D$2:$D$11000,"Out",OUT!$E$2:$E$11000,"Zela")</f>
        <v>90500</v>
      </c>
      <c r="T750" s="52">
        <f ca="1">SUMIFS(OUT!$F$2:$F$11000,OUT!$H$2:$H$11000,H750,OUT!$D$2:$D$11000,"Out",OUT!$E$2:$E$11000,"Iqbal")</f>
        <v>74070</v>
      </c>
    </row>
    <row r="751" spans="1:20" x14ac:dyDescent="0.2">
      <c r="A751" s="48">
        <f ca="1">IFERROR(__xludf.DUMMYFUNCTION("""COMPUTED_VALUE"""),46135)</f>
        <v>46135</v>
      </c>
      <c r="B751" s="4" t="str">
        <f ca="1">IFERROR(__xludf.DUMMYFUNCTION("""COMPUTED_VALUE"""),"bakso ante 4 bungkus")</f>
        <v>bakso ante 4 bungkus</v>
      </c>
      <c r="C751" s="4" t="str">
        <f ca="1">IFERROR(__xludf.DUMMYFUNCTION("""COMPUTED_VALUE"""),"Cash")</f>
        <v>Cash</v>
      </c>
      <c r="D751" s="4" t="str">
        <f ca="1">IFERROR(__xludf.DUMMYFUNCTION("""COMPUTED_VALUE"""),"Out")</f>
        <v>Out</v>
      </c>
      <c r="E751" s="4" t="str">
        <f ca="1">IFERROR(__xludf.DUMMYFUNCTION("""COMPUTED_VALUE"""),"Jajan")</f>
        <v>Jajan</v>
      </c>
      <c r="F751" s="49">
        <f ca="1">IFERROR(__xludf.DUMMYFUNCTION("""COMPUTED_VALUE"""),20000)</f>
        <v>20000</v>
      </c>
      <c r="G751" s="50" t="str">
        <f ca="1">IFERROR(__xludf.DUMMYFUNCTION("""COMPUTED_VALUE"""),"Zela")</f>
        <v>Zela</v>
      </c>
      <c r="H751" s="51">
        <f t="shared" ca="1" si="0"/>
        <v>46113</v>
      </c>
      <c r="I751" s="52" t="e">
        <f ca="1">SUMIFS(OUT!$F$2:$F$11000,OUT!$H$2:$H$11000,H751,OUT!$D$2:$D$101007,"In")</f>
        <v>#VALUE!</v>
      </c>
      <c r="J751" s="52">
        <f ca="1">SUMIFS(OUT!$F$2:$F$11000,OUT!$H$2:$H$11000,H751,OUT!$D$2:$D$11000,"Out")</f>
        <v>8253441</v>
      </c>
      <c r="K751" s="52">
        <f ca="1">SUMIFS(OUT!$F$2:$F$11000,OUT!$H$2:$H$11000,H751,OUT!$D$2:$D$11000,"Out",OUT!$E$2:$E$11000,"Fix")</f>
        <v>2554300</v>
      </c>
      <c r="L751" s="52">
        <f ca="1">SUMIFS(OUT!$F$2:$F$11000,OUT!$H$2:$H$11000,H751,OUT!$D$2:$D$11000,"Out",OUT!$E$2:$E$11000,"Bathroom")</f>
        <v>19900</v>
      </c>
      <c r="M751" s="52">
        <f ca="1">SUMIFS(OUT!$F$2:$F$11000,OUT!$H$2:$H$11000,H751,OUT!$D$2:$D$11000,"Out",OUT!$E$2:$E$11000,"Alfa")</f>
        <v>282719</v>
      </c>
      <c r="N751" s="52" t="e">
        <f ca="1">SUMIFS(OUT!$F$2:$F$11000,OUT!$H$2:$H$101007,H751,OUT!$D$2:$D$11000,"Out",OUT!$E$2:$E$11000,"Jajan")</f>
        <v>#VALUE!</v>
      </c>
      <c r="O751" s="52">
        <f ca="1">SUMIFS(OUT!$F$2:$F$11000,OUT!$H$2:$H$11000,H751,OUT!$D$2:$D$11000,"Out",OUT!$E$2:$E$11000,"Kitchen")</f>
        <v>964968</v>
      </c>
      <c r="P751" s="52">
        <f ca="1">SUMIFS(OUT!$F$2:$F$11000,OUT!$H$2:$H$11000,H751,OUT!$D$2:$D$11000,"Out",OUT!$E$2:$E$11000,"Loandry")</f>
        <v>58396</v>
      </c>
      <c r="Q751" s="52">
        <f ca="1">SUMIFS(OUT!$F$2:$F$11000,OUT!$H$2:$H$11000,H751,OUT!$D$2:$D$11000,"Out",OUT!$E$2:$E$11000,"Mio")</f>
        <v>181000</v>
      </c>
      <c r="R751" s="52">
        <f ca="1">SUMIFS(OUT!$F$2:$F$11000,OUT!$H$2:$H$11000,H751,OUT!$D$2:$D$11000,"Out",OUT!$E$2:$E$11000,"Sedekah")</f>
        <v>0</v>
      </c>
      <c r="S751" s="52">
        <f ca="1">SUMIFS(OUT!$F$2:$F$11000,OUT!$H$2:$H$11000,H751,OUT!$D$2:$D$11000,"Out",OUT!$E$2:$E$11000,"Zela")</f>
        <v>90500</v>
      </c>
      <c r="T751" s="52">
        <f ca="1">SUMIFS(OUT!$F$2:$F$11000,OUT!$H$2:$H$11000,H751,OUT!$D$2:$D$11000,"Out",OUT!$E$2:$E$11000,"Iqbal")</f>
        <v>74070</v>
      </c>
    </row>
    <row r="752" spans="1:20" x14ac:dyDescent="0.2">
      <c r="A752" s="48">
        <f ca="1">IFERROR(__xludf.DUMMYFUNCTION("""COMPUTED_VALUE"""),46135)</f>
        <v>46135</v>
      </c>
      <c r="B752" s="4" t="str">
        <f ca="1">IFERROR(__xludf.DUMMYFUNCTION("""COMPUTED_VALUE"""),"bensin motor")</f>
        <v>bensin motor</v>
      </c>
      <c r="C752" s="4" t="str">
        <f ca="1">IFERROR(__xludf.DUMMYFUNCTION("""COMPUTED_VALUE"""),"Cash")</f>
        <v>Cash</v>
      </c>
      <c r="D752" s="4" t="str">
        <f ca="1">IFERROR(__xludf.DUMMYFUNCTION("""COMPUTED_VALUE"""),"Out")</f>
        <v>Out</v>
      </c>
      <c r="E752" s="4" t="str">
        <f ca="1">IFERROR(__xludf.DUMMYFUNCTION("""COMPUTED_VALUE"""),"Mio")</f>
        <v>Mio</v>
      </c>
      <c r="F752" s="49">
        <f ca="1">IFERROR(__xludf.DUMMYFUNCTION("""COMPUTED_VALUE"""),24000)</f>
        <v>24000</v>
      </c>
      <c r="G752" s="50" t="str">
        <f ca="1">IFERROR(__xludf.DUMMYFUNCTION("""COMPUTED_VALUE"""),"Zela")</f>
        <v>Zela</v>
      </c>
      <c r="H752" s="51">
        <f t="shared" ca="1" si="0"/>
        <v>46113</v>
      </c>
      <c r="I752" s="52" t="e">
        <f ca="1">SUMIFS(OUT!$F$2:$F$11000,OUT!$H$2:$H$11000,H752,OUT!$D$2:$D$101007,"In")</f>
        <v>#VALUE!</v>
      </c>
      <c r="J752" s="52">
        <f ca="1">SUMIFS(OUT!$F$2:$F$11000,OUT!$H$2:$H$11000,H752,OUT!$D$2:$D$11000,"Out")</f>
        <v>8253441</v>
      </c>
      <c r="K752" s="52">
        <f ca="1">SUMIFS(OUT!$F$2:$F$11000,OUT!$H$2:$H$11000,H752,OUT!$D$2:$D$11000,"Out",OUT!$E$2:$E$11000,"Fix")</f>
        <v>2554300</v>
      </c>
      <c r="L752" s="52">
        <f ca="1">SUMIFS(OUT!$F$2:$F$11000,OUT!$H$2:$H$11000,H752,OUT!$D$2:$D$11000,"Out",OUT!$E$2:$E$11000,"Bathroom")</f>
        <v>19900</v>
      </c>
      <c r="M752" s="52">
        <f ca="1">SUMIFS(OUT!$F$2:$F$11000,OUT!$H$2:$H$11000,H752,OUT!$D$2:$D$11000,"Out",OUT!$E$2:$E$11000,"Alfa")</f>
        <v>282719</v>
      </c>
      <c r="N752" s="52" t="e">
        <f ca="1">SUMIFS(OUT!$F$2:$F$11000,OUT!$H$2:$H$101007,H752,OUT!$D$2:$D$11000,"Out",OUT!$E$2:$E$11000,"Jajan")</f>
        <v>#VALUE!</v>
      </c>
      <c r="O752" s="52">
        <f ca="1">SUMIFS(OUT!$F$2:$F$11000,OUT!$H$2:$H$11000,H752,OUT!$D$2:$D$11000,"Out",OUT!$E$2:$E$11000,"Kitchen")</f>
        <v>964968</v>
      </c>
      <c r="P752" s="52">
        <f ca="1">SUMIFS(OUT!$F$2:$F$11000,OUT!$H$2:$H$11000,H752,OUT!$D$2:$D$11000,"Out",OUT!$E$2:$E$11000,"Loandry")</f>
        <v>58396</v>
      </c>
      <c r="Q752" s="52">
        <f ca="1">SUMIFS(OUT!$F$2:$F$11000,OUT!$H$2:$H$11000,H752,OUT!$D$2:$D$11000,"Out",OUT!$E$2:$E$11000,"Mio")</f>
        <v>181000</v>
      </c>
      <c r="R752" s="52">
        <f ca="1">SUMIFS(OUT!$F$2:$F$11000,OUT!$H$2:$H$11000,H752,OUT!$D$2:$D$11000,"Out",OUT!$E$2:$E$11000,"Sedekah")</f>
        <v>0</v>
      </c>
      <c r="S752" s="52">
        <f ca="1">SUMIFS(OUT!$F$2:$F$11000,OUT!$H$2:$H$11000,H752,OUT!$D$2:$D$11000,"Out",OUT!$E$2:$E$11000,"Zela")</f>
        <v>90500</v>
      </c>
      <c r="T752" s="52">
        <f ca="1">SUMIFS(OUT!$F$2:$F$11000,OUT!$H$2:$H$11000,H752,OUT!$D$2:$D$11000,"Out",OUT!$E$2:$E$11000,"Iqbal")</f>
        <v>74070</v>
      </c>
    </row>
    <row r="753" spans="1:20" x14ac:dyDescent="0.2">
      <c r="A753" s="48">
        <f ca="1">IFERROR(__xludf.DUMMYFUNCTION("""COMPUTED_VALUE"""),46136)</f>
        <v>46136</v>
      </c>
      <c r="B753" s="4" t="str">
        <f ca="1">IFERROR(__xludf.DUMMYFUNCTION("""COMPUTED_VALUE"""),"kartu ATM + parkir")</f>
        <v>kartu ATM + parkir</v>
      </c>
      <c r="C753" s="4" t="str">
        <f ca="1">IFERROR(__xludf.DUMMYFUNCTION("""COMPUTED_VALUE"""),"Cash")</f>
        <v>Cash</v>
      </c>
      <c r="D753" s="4" t="str">
        <f ca="1">IFERROR(__xludf.DUMMYFUNCTION("""COMPUTED_VALUE"""),"Out")</f>
        <v>Out</v>
      </c>
      <c r="E753" s="4" t="str">
        <f ca="1">IFERROR(__xludf.DUMMYFUNCTION("""COMPUTED_VALUE"""),"Zela")</f>
        <v>Zela</v>
      </c>
      <c r="F753" s="49">
        <f ca="1">IFERROR(__xludf.DUMMYFUNCTION("""COMPUTED_VALUE"""),26000)</f>
        <v>26000</v>
      </c>
      <c r="G753" s="50" t="str">
        <f ca="1">IFERROR(__xludf.DUMMYFUNCTION("""COMPUTED_VALUE"""),"Zela")</f>
        <v>Zela</v>
      </c>
      <c r="H753" s="51">
        <f t="shared" ca="1" si="0"/>
        <v>46113</v>
      </c>
      <c r="I753" s="52" t="e">
        <f ca="1">SUMIFS(OUT!$F$2:$F$11000,OUT!$H$2:$H$11000,H753,OUT!$D$2:$D$101007,"In")</f>
        <v>#VALUE!</v>
      </c>
      <c r="J753" s="52">
        <f ca="1">SUMIFS(OUT!$F$2:$F$11000,OUT!$H$2:$H$11000,H753,OUT!$D$2:$D$11000,"Out")</f>
        <v>8253441</v>
      </c>
      <c r="K753" s="52">
        <f ca="1">SUMIFS(OUT!$F$2:$F$11000,OUT!$H$2:$H$11000,H753,OUT!$D$2:$D$11000,"Out",OUT!$E$2:$E$11000,"Fix")</f>
        <v>2554300</v>
      </c>
      <c r="L753" s="52">
        <f ca="1">SUMIFS(OUT!$F$2:$F$11000,OUT!$H$2:$H$11000,H753,OUT!$D$2:$D$11000,"Out",OUT!$E$2:$E$11000,"Bathroom")</f>
        <v>19900</v>
      </c>
      <c r="M753" s="52">
        <f ca="1">SUMIFS(OUT!$F$2:$F$11000,OUT!$H$2:$H$11000,H753,OUT!$D$2:$D$11000,"Out",OUT!$E$2:$E$11000,"Alfa")</f>
        <v>282719</v>
      </c>
      <c r="N753" s="52" t="e">
        <f ca="1">SUMIFS(OUT!$F$2:$F$11000,OUT!$H$2:$H$101007,H753,OUT!$D$2:$D$11000,"Out",OUT!$E$2:$E$11000,"Jajan")</f>
        <v>#VALUE!</v>
      </c>
      <c r="O753" s="52">
        <f ca="1">SUMIFS(OUT!$F$2:$F$11000,OUT!$H$2:$H$11000,H753,OUT!$D$2:$D$11000,"Out",OUT!$E$2:$E$11000,"Kitchen")</f>
        <v>964968</v>
      </c>
      <c r="P753" s="52">
        <f ca="1">SUMIFS(OUT!$F$2:$F$11000,OUT!$H$2:$H$11000,H753,OUT!$D$2:$D$11000,"Out",OUT!$E$2:$E$11000,"Loandry")</f>
        <v>58396</v>
      </c>
      <c r="Q753" s="52">
        <f ca="1">SUMIFS(OUT!$F$2:$F$11000,OUT!$H$2:$H$11000,H753,OUT!$D$2:$D$11000,"Out",OUT!$E$2:$E$11000,"Mio")</f>
        <v>181000</v>
      </c>
      <c r="R753" s="52">
        <f ca="1">SUMIFS(OUT!$F$2:$F$11000,OUT!$H$2:$H$11000,H753,OUT!$D$2:$D$11000,"Out",OUT!$E$2:$E$11000,"Sedekah")</f>
        <v>0</v>
      </c>
      <c r="S753" s="52">
        <f ca="1">SUMIFS(OUT!$F$2:$F$11000,OUT!$H$2:$H$11000,H753,OUT!$D$2:$D$11000,"Out",OUT!$E$2:$E$11000,"Zela")</f>
        <v>90500</v>
      </c>
      <c r="T753" s="52">
        <f ca="1">SUMIFS(OUT!$F$2:$F$11000,OUT!$H$2:$H$11000,H753,OUT!$D$2:$D$11000,"Out",OUT!$E$2:$E$11000,"Iqbal")</f>
        <v>74070</v>
      </c>
    </row>
    <row r="754" spans="1:20" x14ac:dyDescent="0.2">
      <c r="A754" s="48">
        <f ca="1">IFERROR(__xludf.DUMMYFUNCTION("""COMPUTED_VALUE"""),46136)</f>
        <v>46136</v>
      </c>
      <c r="B754" s="4" t="str">
        <f ca="1">IFERROR(__xludf.DUMMYFUNCTION("""COMPUTED_VALUE"""),"surat kesehatan madani ")</f>
        <v xml:space="preserve">surat kesehatan madani </v>
      </c>
      <c r="C754" s="4" t="str">
        <f ca="1">IFERROR(__xludf.DUMMYFUNCTION("""COMPUTED_VALUE"""),"Cash")</f>
        <v>Cash</v>
      </c>
      <c r="D754" s="4" t="str">
        <f ca="1">IFERROR(__xludf.DUMMYFUNCTION("""COMPUTED_VALUE"""),"Out")</f>
        <v>Out</v>
      </c>
      <c r="E754" s="4" t="str">
        <f ca="1">IFERROR(__xludf.DUMMYFUNCTION("""COMPUTED_VALUE"""),"Iqbal")</f>
        <v>Iqbal</v>
      </c>
      <c r="F754" s="49">
        <f ca="1">IFERROR(__xludf.DUMMYFUNCTION("""COMPUTED_VALUE"""),57000)</f>
        <v>57000</v>
      </c>
      <c r="G754" s="50" t="str">
        <f ca="1">IFERROR(__xludf.DUMMYFUNCTION("""COMPUTED_VALUE"""),"Zela")</f>
        <v>Zela</v>
      </c>
      <c r="H754" s="51">
        <f t="shared" ca="1" si="0"/>
        <v>46113</v>
      </c>
      <c r="I754" s="52" t="e">
        <f ca="1">SUMIFS(OUT!$F$2:$F$11000,OUT!$H$2:$H$11000,H754,OUT!$D$2:$D$101007,"In")</f>
        <v>#VALUE!</v>
      </c>
      <c r="J754" s="52">
        <f ca="1">SUMIFS(OUT!$F$2:$F$11000,OUT!$H$2:$H$11000,H754,OUT!$D$2:$D$11000,"Out")</f>
        <v>8253441</v>
      </c>
      <c r="K754" s="52">
        <f ca="1">SUMIFS(OUT!$F$2:$F$11000,OUT!$H$2:$H$11000,H754,OUT!$D$2:$D$11000,"Out",OUT!$E$2:$E$11000,"Fix")</f>
        <v>2554300</v>
      </c>
      <c r="L754" s="52">
        <f ca="1">SUMIFS(OUT!$F$2:$F$11000,OUT!$H$2:$H$11000,H754,OUT!$D$2:$D$11000,"Out",OUT!$E$2:$E$11000,"Bathroom")</f>
        <v>19900</v>
      </c>
      <c r="M754" s="52">
        <f ca="1">SUMIFS(OUT!$F$2:$F$11000,OUT!$H$2:$H$11000,H754,OUT!$D$2:$D$11000,"Out",OUT!$E$2:$E$11000,"Alfa")</f>
        <v>282719</v>
      </c>
      <c r="N754" s="52" t="e">
        <f ca="1">SUMIFS(OUT!$F$2:$F$11000,OUT!$H$2:$H$101007,H754,OUT!$D$2:$D$11000,"Out",OUT!$E$2:$E$11000,"Jajan")</f>
        <v>#VALUE!</v>
      </c>
      <c r="O754" s="52">
        <f ca="1">SUMIFS(OUT!$F$2:$F$11000,OUT!$H$2:$H$11000,H754,OUT!$D$2:$D$11000,"Out",OUT!$E$2:$E$11000,"Kitchen")</f>
        <v>964968</v>
      </c>
      <c r="P754" s="52">
        <f ca="1">SUMIFS(OUT!$F$2:$F$11000,OUT!$H$2:$H$11000,H754,OUT!$D$2:$D$11000,"Out",OUT!$E$2:$E$11000,"Loandry")</f>
        <v>58396</v>
      </c>
      <c r="Q754" s="52">
        <f ca="1">SUMIFS(OUT!$F$2:$F$11000,OUT!$H$2:$H$11000,H754,OUT!$D$2:$D$11000,"Out",OUT!$E$2:$E$11000,"Mio")</f>
        <v>181000</v>
      </c>
      <c r="R754" s="52">
        <f ca="1">SUMIFS(OUT!$F$2:$F$11000,OUT!$H$2:$H$11000,H754,OUT!$D$2:$D$11000,"Out",OUT!$E$2:$E$11000,"Sedekah")</f>
        <v>0</v>
      </c>
      <c r="S754" s="52">
        <f ca="1">SUMIFS(OUT!$F$2:$F$11000,OUT!$H$2:$H$11000,H754,OUT!$D$2:$D$11000,"Out",OUT!$E$2:$E$11000,"Zela")</f>
        <v>90500</v>
      </c>
      <c r="T754" s="52">
        <f ca="1">SUMIFS(OUT!$F$2:$F$11000,OUT!$H$2:$H$11000,H754,OUT!$D$2:$D$11000,"Out",OUT!$E$2:$E$11000,"Iqbal")</f>
        <v>74070</v>
      </c>
    </row>
    <row r="755" spans="1:20" x14ac:dyDescent="0.2">
      <c r="A755" s="48">
        <f ca="1">IFERROR(__xludf.DUMMYFUNCTION("""COMPUTED_VALUE"""),46136)</f>
        <v>46136</v>
      </c>
      <c r="B755" s="4" t="str">
        <f ca="1">IFERROR(__xludf.DUMMYFUNCTION("""COMPUTED_VALUE"""),"eskrim")</f>
        <v>eskrim</v>
      </c>
      <c r="C755" s="4" t="str">
        <f ca="1">IFERROR(__xludf.DUMMYFUNCTION("""COMPUTED_VALUE"""),"Cash")</f>
        <v>Cash</v>
      </c>
      <c r="D755" s="4" t="str">
        <f ca="1">IFERROR(__xludf.DUMMYFUNCTION("""COMPUTED_VALUE"""),"Out")</f>
        <v>Out</v>
      </c>
      <c r="E755" s="4" t="str">
        <f ca="1">IFERROR(__xludf.DUMMYFUNCTION("""COMPUTED_VALUE"""),"Jajan")</f>
        <v>Jajan</v>
      </c>
      <c r="F755" s="49">
        <f ca="1">IFERROR(__xludf.DUMMYFUNCTION("""COMPUTED_VALUE"""),15700)</f>
        <v>15700</v>
      </c>
      <c r="G755" s="50" t="str">
        <f ca="1">IFERROR(__xludf.DUMMYFUNCTION("""COMPUTED_VALUE"""),"Zela")</f>
        <v>Zela</v>
      </c>
      <c r="H755" s="51">
        <f t="shared" ca="1" si="0"/>
        <v>46113</v>
      </c>
      <c r="I755" s="52" t="e">
        <f ca="1">SUMIFS(OUT!$F$2:$F$11000,OUT!$H$2:$H$11000,H755,OUT!$D$2:$D$101007,"In")</f>
        <v>#VALUE!</v>
      </c>
      <c r="J755" s="52">
        <f ca="1">SUMIFS(OUT!$F$2:$F$11000,OUT!$H$2:$H$11000,H755,OUT!$D$2:$D$11000,"Out")</f>
        <v>8253441</v>
      </c>
      <c r="K755" s="52">
        <f ca="1">SUMIFS(OUT!$F$2:$F$11000,OUT!$H$2:$H$11000,H755,OUT!$D$2:$D$11000,"Out",OUT!$E$2:$E$11000,"Fix")</f>
        <v>2554300</v>
      </c>
      <c r="L755" s="52">
        <f ca="1">SUMIFS(OUT!$F$2:$F$11000,OUT!$H$2:$H$11000,H755,OUT!$D$2:$D$11000,"Out",OUT!$E$2:$E$11000,"Bathroom")</f>
        <v>19900</v>
      </c>
      <c r="M755" s="52">
        <f ca="1">SUMIFS(OUT!$F$2:$F$11000,OUT!$H$2:$H$11000,H755,OUT!$D$2:$D$11000,"Out",OUT!$E$2:$E$11000,"Alfa")</f>
        <v>282719</v>
      </c>
      <c r="N755" s="52" t="e">
        <f ca="1">SUMIFS(OUT!$F$2:$F$11000,OUT!$H$2:$H$101007,H755,OUT!$D$2:$D$11000,"Out",OUT!$E$2:$E$11000,"Jajan")</f>
        <v>#VALUE!</v>
      </c>
      <c r="O755" s="52">
        <f ca="1">SUMIFS(OUT!$F$2:$F$11000,OUT!$H$2:$H$11000,H755,OUT!$D$2:$D$11000,"Out",OUT!$E$2:$E$11000,"Kitchen")</f>
        <v>964968</v>
      </c>
      <c r="P755" s="52">
        <f ca="1">SUMIFS(OUT!$F$2:$F$11000,OUT!$H$2:$H$11000,H755,OUT!$D$2:$D$11000,"Out",OUT!$E$2:$E$11000,"Loandry")</f>
        <v>58396</v>
      </c>
      <c r="Q755" s="52">
        <f ca="1">SUMIFS(OUT!$F$2:$F$11000,OUT!$H$2:$H$11000,H755,OUT!$D$2:$D$11000,"Out",OUT!$E$2:$E$11000,"Mio")</f>
        <v>181000</v>
      </c>
      <c r="R755" s="52">
        <f ca="1">SUMIFS(OUT!$F$2:$F$11000,OUT!$H$2:$H$11000,H755,OUT!$D$2:$D$11000,"Out",OUT!$E$2:$E$11000,"Sedekah")</f>
        <v>0</v>
      </c>
      <c r="S755" s="52">
        <f ca="1">SUMIFS(OUT!$F$2:$F$11000,OUT!$H$2:$H$11000,H755,OUT!$D$2:$D$11000,"Out",OUT!$E$2:$E$11000,"Zela")</f>
        <v>90500</v>
      </c>
      <c r="T755" s="52">
        <f ca="1">SUMIFS(OUT!$F$2:$F$11000,OUT!$H$2:$H$11000,H755,OUT!$D$2:$D$11000,"Out",OUT!$E$2:$E$11000,"Iqbal")</f>
        <v>74070</v>
      </c>
    </row>
    <row r="756" spans="1:20" x14ac:dyDescent="0.2">
      <c r="A756" s="48">
        <f ca="1">IFERROR(__xludf.DUMMYFUNCTION("""COMPUTED_VALUE"""),46136)</f>
        <v>46136</v>
      </c>
      <c r="B756" s="4" t="str">
        <f ca="1">IFERROR(__xludf.DUMMYFUNCTION("""COMPUTED_VALUE"""),"galon")</f>
        <v>galon</v>
      </c>
      <c r="C756" s="4" t="str">
        <f ca="1">IFERROR(__xludf.DUMMYFUNCTION("""COMPUTED_VALUE"""),"Cash")</f>
        <v>Cash</v>
      </c>
      <c r="D756" s="4" t="str">
        <f ca="1">IFERROR(__xludf.DUMMYFUNCTION("""COMPUTED_VALUE"""),"Out")</f>
        <v>Out</v>
      </c>
      <c r="E756" s="4" t="str">
        <f ca="1">IFERROR(__xludf.DUMMYFUNCTION("""COMPUTED_VALUE"""),"Kitchen")</f>
        <v>Kitchen</v>
      </c>
      <c r="F756" s="49">
        <f ca="1">IFERROR(__xludf.DUMMYFUNCTION("""COMPUTED_VALUE"""),5000)</f>
        <v>5000</v>
      </c>
      <c r="G756" s="50" t="str">
        <f ca="1">IFERROR(__xludf.DUMMYFUNCTION("""COMPUTED_VALUE"""),"Zela")</f>
        <v>Zela</v>
      </c>
      <c r="H756" s="51">
        <f t="shared" ca="1" si="0"/>
        <v>46113</v>
      </c>
      <c r="I756" s="52" t="e">
        <f ca="1">SUMIFS(OUT!$F$2:$F$11000,OUT!$H$2:$H$11000,H756,OUT!$D$2:$D$101007,"In")</f>
        <v>#VALUE!</v>
      </c>
      <c r="J756" s="52">
        <f ca="1">SUMIFS(OUT!$F$2:$F$11000,OUT!$H$2:$H$11000,H756,OUT!$D$2:$D$11000,"Out")</f>
        <v>8253441</v>
      </c>
      <c r="K756" s="52">
        <f ca="1">SUMIFS(OUT!$F$2:$F$11000,OUT!$H$2:$H$11000,H756,OUT!$D$2:$D$11000,"Out",OUT!$E$2:$E$11000,"Fix")</f>
        <v>2554300</v>
      </c>
      <c r="L756" s="52">
        <f ca="1">SUMIFS(OUT!$F$2:$F$11000,OUT!$H$2:$H$11000,H756,OUT!$D$2:$D$11000,"Out",OUT!$E$2:$E$11000,"Bathroom")</f>
        <v>19900</v>
      </c>
      <c r="M756" s="52">
        <f ca="1">SUMIFS(OUT!$F$2:$F$11000,OUT!$H$2:$H$11000,H756,OUT!$D$2:$D$11000,"Out",OUT!$E$2:$E$11000,"Alfa")</f>
        <v>282719</v>
      </c>
      <c r="N756" s="52" t="e">
        <f ca="1">SUMIFS(OUT!$F$2:$F$11000,OUT!$H$2:$H$101007,H756,OUT!$D$2:$D$11000,"Out",OUT!$E$2:$E$11000,"Jajan")</f>
        <v>#VALUE!</v>
      </c>
      <c r="O756" s="52">
        <f ca="1">SUMIFS(OUT!$F$2:$F$11000,OUT!$H$2:$H$11000,H756,OUT!$D$2:$D$11000,"Out",OUT!$E$2:$E$11000,"Kitchen")</f>
        <v>964968</v>
      </c>
      <c r="P756" s="52">
        <f ca="1">SUMIFS(OUT!$F$2:$F$11000,OUT!$H$2:$H$11000,H756,OUT!$D$2:$D$11000,"Out",OUT!$E$2:$E$11000,"Loandry")</f>
        <v>58396</v>
      </c>
      <c r="Q756" s="52">
        <f ca="1">SUMIFS(OUT!$F$2:$F$11000,OUT!$H$2:$H$11000,H756,OUT!$D$2:$D$11000,"Out",OUT!$E$2:$E$11000,"Mio")</f>
        <v>181000</v>
      </c>
      <c r="R756" s="52">
        <f ca="1">SUMIFS(OUT!$F$2:$F$11000,OUT!$H$2:$H$11000,H756,OUT!$D$2:$D$11000,"Out",OUT!$E$2:$E$11000,"Sedekah")</f>
        <v>0</v>
      </c>
      <c r="S756" s="52">
        <f ca="1">SUMIFS(OUT!$F$2:$F$11000,OUT!$H$2:$H$11000,H756,OUT!$D$2:$D$11000,"Out",OUT!$E$2:$E$11000,"Zela")</f>
        <v>90500</v>
      </c>
      <c r="T756" s="52">
        <f ca="1">SUMIFS(OUT!$F$2:$F$11000,OUT!$H$2:$H$11000,H756,OUT!$D$2:$D$11000,"Out",OUT!$E$2:$E$11000,"Iqbal")</f>
        <v>74070</v>
      </c>
    </row>
    <row r="757" spans="1:20" x14ac:dyDescent="0.2">
      <c r="A757" s="48">
        <f ca="1">IFERROR(__xludf.DUMMYFUNCTION("""COMPUTED_VALUE"""),46136)</f>
        <v>46136</v>
      </c>
      <c r="B757" s="4" t="str">
        <f ca="1">IFERROR(__xludf.DUMMYFUNCTION("""COMPUTED_VALUE"""),"alfa ")</f>
        <v xml:space="preserve">alfa </v>
      </c>
      <c r="C757" s="4" t="str">
        <f ca="1">IFERROR(__xludf.DUMMYFUNCTION("""COMPUTED_VALUE"""),"Cash")</f>
        <v>Cash</v>
      </c>
      <c r="D757" s="4" t="str">
        <f ca="1">IFERROR(__xludf.DUMMYFUNCTION("""COMPUTED_VALUE"""),"Out")</f>
        <v>Out</v>
      </c>
      <c r="E757" s="4" t="str">
        <f ca="1">IFERROR(__xludf.DUMMYFUNCTION("""COMPUTED_VALUE"""),"Jajan")</f>
        <v>Jajan</v>
      </c>
      <c r="F757" s="49">
        <f ca="1">IFERROR(__xludf.DUMMYFUNCTION("""COMPUTED_VALUE"""),4000)</f>
        <v>4000</v>
      </c>
      <c r="G757" s="50" t="str">
        <f ca="1">IFERROR(__xludf.DUMMYFUNCTION("""COMPUTED_VALUE"""),"Zela")</f>
        <v>Zela</v>
      </c>
      <c r="H757" s="51">
        <f t="shared" ca="1" si="0"/>
        <v>46113</v>
      </c>
      <c r="I757" s="52" t="e">
        <f ca="1">SUMIFS(OUT!$F$2:$F$11000,OUT!$H$2:$H$11000,H757,OUT!$D$2:$D$101007,"In")</f>
        <v>#VALUE!</v>
      </c>
      <c r="J757" s="52">
        <f ca="1">SUMIFS(OUT!$F$2:$F$11000,OUT!$H$2:$H$11000,H757,OUT!$D$2:$D$11000,"Out")</f>
        <v>8253441</v>
      </c>
      <c r="K757" s="52">
        <f ca="1">SUMIFS(OUT!$F$2:$F$11000,OUT!$H$2:$H$11000,H757,OUT!$D$2:$D$11000,"Out",OUT!$E$2:$E$11000,"Fix")</f>
        <v>2554300</v>
      </c>
      <c r="L757" s="52">
        <f ca="1">SUMIFS(OUT!$F$2:$F$11000,OUT!$H$2:$H$11000,H757,OUT!$D$2:$D$11000,"Out",OUT!$E$2:$E$11000,"Bathroom")</f>
        <v>19900</v>
      </c>
      <c r="M757" s="52">
        <f ca="1">SUMIFS(OUT!$F$2:$F$11000,OUT!$H$2:$H$11000,H757,OUT!$D$2:$D$11000,"Out",OUT!$E$2:$E$11000,"Alfa")</f>
        <v>282719</v>
      </c>
      <c r="N757" s="52" t="e">
        <f ca="1">SUMIFS(OUT!$F$2:$F$11000,OUT!$H$2:$H$101007,H757,OUT!$D$2:$D$11000,"Out",OUT!$E$2:$E$11000,"Jajan")</f>
        <v>#VALUE!</v>
      </c>
      <c r="O757" s="52">
        <f ca="1">SUMIFS(OUT!$F$2:$F$11000,OUT!$H$2:$H$11000,H757,OUT!$D$2:$D$11000,"Out",OUT!$E$2:$E$11000,"Kitchen")</f>
        <v>964968</v>
      </c>
      <c r="P757" s="52">
        <f ca="1">SUMIFS(OUT!$F$2:$F$11000,OUT!$H$2:$H$11000,H757,OUT!$D$2:$D$11000,"Out",OUT!$E$2:$E$11000,"Loandry")</f>
        <v>58396</v>
      </c>
      <c r="Q757" s="52">
        <f ca="1">SUMIFS(OUT!$F$2:$F$11000,OUT!$H$2:$H$11000,H757,OUT!$D$2:$D$11000,"Out",OUT!$E$2:$E$11000,"Mio")</f>
        <v>181000</v>
      </c>
      <c r="R757" s="52">
        <f ca="1">SUMIFS(OUT!$F$2:$F$11000,OUT!$H$2:$H$11000,H757,OUT!$D$2:$D$11000,"Out",OUT!$E$2:$E$11000,"Sedekah")</f>
        <v>0</v>
      </c>
      <c r="S757" s="52">
        <f ca="1">SUMIFS(OUT!$F$2:$F$11000,OUT!$H$2:$H$11000,H757,OUT!$D$2:$D$11000,"Out",OUT!$E$2:$E$11000,"Zela")</f>
        <v>90500</v>
      </c>
      <c r="T757" s="52">
        <f ca="1">SUMIFS(OUT!$F$2:$F$11000,OUT!$H$2:$H$11000,H757,OUT!$D$2:$D$11000,"Out",OUT!$E$2:$E$11000,"Iqbal")</f>
        <v>74070</v>
      </c>
    </row>
    <row r="758" spans="1:20" x14ac:dyDescent="0.2">
      <c r="A758" s="48">
        <f ca="1">IFERROR(__xludf.DUMMYFUNCTION("""COMPUTED_VALUE"""),46136)</f>
        <v>46136</v>
      </c>
      <c r="B758" s="4" t="str">
        <f ca="1">IFERROR(__xludf.DUMMYFUNCTION("""COMPUTED_VALUE"""),"dari baba")</f>
        <v>dari baba</v>
      </c>
      <c r="C758" s="4" t="str">
        <f ca="1">IFERROR(__xludf.DUMMYFUNCTION("""COMPUTED_VALUE"""),"ATM")</f>
        <v>ATM</v>
      </c>
      <c r="D758" s="4" t="str">
        <f ca="1">IFERROR(__xludf.DUMMYFUNCTION("""COMPUTED_VALUE"""),"In")</f>
        <v>In</v>
      </c>
      <c r="E758" s="4" t="str">
        <f ca="1">IFERROR(__xludf.DUMMYFUNCTION("""COMPUTED_VALUE"""),"Fix")</f>
        <v>Fix</v>
      </c>
      <c r="F758" s="49">
        <f ca="1">IFERROR(__xludf.DUMMYFUNCTION("""COMPUTED_VALUE"""),200000)</f>
        <v>200000</v>
      </c>
      <c r="G758" s="50" t="str">
        <f ca="1">IFERROR(__xludf.DUMMYFUNCTION("""COMPUTED_VALUE"""),"Zela")</f>
        <v>Zela</v>
      </c>
      <c r="H758" s="51">
        <f t="shared" ca="1" si="0"/>
        <v>46113</v>
      </c>
      <c r="I758" s="52" t="e">
        <f ca="1">SUMIFS(OUT!$F$2:$F$11000,OUT!$H$2:$H$11000,H758,OUT!$D$2:$D$101007,"In")</f>
        <v>#VALUE!</v>
      </c>
      <c r="J758" s="52">
        <f ca="1">SUMIFS(OUT!$F$2:$F$11000,OUT!$H$2:$H$11000,H758,OUT!$D$2:$D$11000,"Out")</f>
        <v>8253441</v>
      </c>
      <c r="K758" s="52">
        <f ca="1">SUMIFS(OUT!$F$2:$F$11000,OUT!$H$2:$H$11000,H758,OUT!$D$2:$D$11000,"Out",OUT!$E$2:$E$11000,"Fix")</f>
        <v>2554300</v>
      </c>
      <c r="L758" s="52">
        <f ca="1">SUMIFS(OUT!$F$2:$F$11000,OUT!$H$2:$H$11000,H758,OUT!$D$2:$D$11000,"Out",OUT!$E$2:$E$11000,"Bathroom")</f>
        <v>19900</v>
      </c>
      <c r="M758" s="52">
        <f ca="1">SUMIFS(OUT!$F$2:$F$11000,OUT!$H$2:$H$11000,H758,OUT!$D$2:$D$11000,"Out",OUT!$E$2:$E$11000,"Alfa")</f>
        <v>282719</v>
      </c>
      <c r="N758" s="52" t="e">
        <f ca="1">SUMIFS(OUT!$F$2:$F$11000,OUT!$H$2:$H$101007,H758,OUT!$D$2:$D$11000,"Out",OUT!$E$2:$E$11000,"Jajan")</f>
        <v>#VALUE!</v>
      </c>
      <c r="O758" s="52">
        <f ca="1">SUMIFS(OUT!$F$2:$F$11000,OUT!$H$2:$H$11000,H758,OUT!$D$2:$D$11000,"Out",OUT!$E$2:$E$11000,"Kitchen")</f>
        <v>964968</v>
      </c>
      <c r="P758" s="52">
        <f ca="1">SUMIFS(OUT!$F$2:$F$11000,OUT!$H$2:$H$11000,H758,OUT!$D$2:$D$11000,"Out",OUT!$E$2:$E$11000,"Loandry")</f>
        <v>58396</v>
      </c>
      <c r="Q758" s="52">
        <f ca="1">SUMIFS(OUT!$F$2:$F$11000,OUT!$H$2:$H$11000,H758,OUT!$D$2:$D$11000,"Out",OUT!$E$2:$E$11000,"Mio")</f>
        <v>181000</v>
      </c>
      <c r="R758" s="52">
        <f ca="1">SUMIFS(OUT!$F$2:$F$11000,OUT!$H$2:$H$11000,H758,OUT!$D$2:$D$11000,"Out",OUT!$E$2:$E$11000,"Sedekah")</f>
        <v>0</v>
      </c>
      <c r="S758" s="52">
        <f ca="1">SUMIFS(OUT!$F$2:$F$11000,OUT!$H$2:$H$11000,H758,OUT!$D$2:$D$11000,"Out",OUT!$E$2:$E$11000,"Zela")</f>
        <v>90500</v>
      </c>
      <c r="T758" s="52">
        <f ca="1">SUMIFS(OUT!$F$2:$F$11000,OUT!$H$2:$H$11000,H758,OUT!$D$2:$D$11000,"Out",OUT!$E$2:$E$11000,"Iqbal")</f>
        <v>74070</v>
      </c>
    </row>
    <row r="759" spans="1:20" x14ac:dyDescent="0.2">
      <c r="A759" s="48">
        <f ca="1">IFERROR(__xludf.DUMMYFUNCTION("""COMPUTED_VALUE"""),46136)</f>
        <v>46136</v>
      </c>
      <c r="B759" s="4" t="str">
        <f ca="1">IFERROR(__xludf.DUMMYFUNCTION("""COMPUTED_VALUE"""),"tarik tunai")</f>
        <v>tarik tunai</v>
      </c>
      <c r="C759" s="4" t="str">
        <f ca="1">IFERROR(__xludf.DUMMYFUNCTION("""COMPUTED_VALUE"""),"ATM")</f>
        <v>ATM</v>
      </c>
      <c r="D759" s="4" t="str">
        <f ca="1">IFERROR(__xludf.DUMMYFUNCTION("""COMPUTED_VALUE"""),"Out")</f>
        <v>Out</v>
      </c>
      <c r="E759" s="4" t="str">
        <f ca="1">IFERROR(__xludf.DUMMYFUNCTION("""COMPUTED_VALUE"""),"Move")</f>
        <v>Move</v>
      </c>
      <c r="F759" s="49">
        <f ca="1">IFERROR(__xludf.DUMMYFUNCTION("""COMPUTED_VALUE"""),200000)</f>
        <v>200000</v>
      </c>
      <c r="G759" s="50" t="str">
        <f ca="1">IFERROR(__xludf.DUMMYFUNCTION("""COMPUTED_VALUE"""),"Zela")</f>
        <v>Zela</v>
      </c>
      <c r="H759" s="51">
        <f t="shared" ca="1" si="0"/>
        <v>46113</v>
      </c>
      <c r="I759" s="52" t="e">
        <f ca="1">SUMIFS(OUT!$F$2:$F$11000,OUT!$H$2:$H$11000,H759,OUT!$D$2:$D$101007,"In")</f>
        <v>#VALUE!</v>
      </c>
      <c r="J759" s="52">
        <f ca="1">SUMIFS(OUT!$F$2:$F$11000,OUT!$H$2:$H$11000,H759,OUT!$D$2:$D$11000,"Out")</f>
        <v>8253441</v>
      </c>
      <c r="K759" s="52">
        <f ca="1">SUMIFS(OUT!$F$2:$F$11000,OUT!$H$2:$H$11000,H759,OUT!$D$2:$D$11000,"Out",OUT!$E$2:$E$11000,"Fix")</f>
        <v>2554300</v>
      </c>
      <c r="L759" s="52">
        <f ca="1">SUMIFS(OUT!$F$2:$F$11000,OUT!$H$2:$H$11000,H759,OUT!$D$2:$D$11000,"Out",OUT!$E$2:$E$11000,"Bathroom")</f>
        <v>19900</v>
      </c>
      <c r="M759" s="52">
        <f ca="1">SUMIFS(OUT!$F$2:$F$11000,OUT!$H$2:$H$11000,H759,OUT!$D$2:$D$11000,"Out",OUT!$E$2:$E$11000,"Alfa")</f>
        <v>282719</v>
      </c>
      <c r="N759" s="52" t="e">
        <f ca="1">SUMIFS(OUT!$F$2:$F$11000,OUT!$H$2:$H$101007,H759,OUT!$D$2:$D$11000,"Out",OUT!$E$2:$E$11000,"Jajan")</f>
        <v>#VALUE!</v>
      </c>
      <c r="O759" s="52">
        <f ca="1">SUMIFS(OUT!$F$2:$F$11000,OUT!$H$2:$H$11000,H759,OUT!$D$2:$D$11000,"Out",OUT!$E$2:$E$11000,"Kitchen")</f>
        <v>964968</v>
      </c>
      <c r="P759" s="52">
        <f ca="1">SUMIFS(OUT!$F$2:$F$11000,OUT!$H$2:$H$11000,H759,OUT!$D$2:$D$11000,"Out",OUT!$E$2:$E$11000,"Loandry")</f>
        <v>58396</v>
      </c>
      <c r="Q759" s="52">
        <f ca="1">SUMIFS(OUT!$F$2:$F$11000,OUT!$H$2:$H$11000,H759,OUT!$D$2:$D$11000,"Out",OUT!$E$2:$E$11000,"Mio")</f>
        <v>181000</v>
      </c>
      <c r="R759" s="52">
        <f ca="1">SUMIFS(OUT!$F$2:$F$11000,OUT!$H$2:$H$11000,H759,OUT!$D$2:$D$11000,"Out",OUT!$E$2:$E$11000,"Sedekah")</f>
        <v>0</v>
      </c>
      <c r="S759" s="52">
        <f ca="1">SUMIFS(OUT!$F$2:$F$11000,OUT!$H$2:$H$11000,H759,OUT!$D$2:$D$11000,"Out",OUT!$E$2:$E$11000,"Zela")</f>
        <v>90500</v>
      </c>
      <c r="T759" s="52">
        <f ca="1">SUMIFS(OUT!$F$2:$F$11000,OUT!$H$2:$H$11000,H759,OUT!$D$2:$D$11000,"Out",OUT!$E$2:$E$11000,"Iqbal")</f>
        <v>74070</v>
      </c>
    </row>
    <row r="760" spans="1:20" x14ac:dyDescent="0.2">
      <c r="A760" s="48">
        <f ca="1">IFERROR(__xludf.DUMMYFUNCTION("""COMPUTED_VALUE"""),46136)</f>
        <v>46136</v>
      </c>
      <c r="B760" s="4" t="str">
        <f ca="1">IFERROR(__xludf.DUMMYFUNCTION("""COMPUTED_VALUE"""),"terima tunai")</f>
        <v>terima tunai</v>
      </c>
      <c r="C760" s="4" t="str">
        <f ca="1">IFERROR(__xludf.DUMMYFUNCTION("""COMPUTED_VALUE"""),"Cash")</f>
        <v>Cash</v>
      </c>
      <c r="D760" s="4" t="str">
        <f ca="1">IFERROR(__xludf.DUMMYFUNCTION("""COMPUTED_VALUE"""),"In")</f>
        <v>In</v>
      </c>
      <c r="E760" s="4" t="str">
        <f ca="1">IFERROR(__xludf.DUMMYFUNCTION("""COMPUTED_VALUE"""),"Move")</f>
        <v>Move</v>
      </c>
      <c r="F760" s="49">
        <f ca="1">IFERROR(__xludf.DUMMYFUNCTION("""COMPUTED_VALUE"""),200000)</f>
        <v>200000</v>
      </c>
      <c r="G760" s="50" t="str">
        <f ca="1">IFERROR(__xludf.DUMMYFUNCTION("""COMPUTED_VALUE"""),"Zela")</f>
        <v>Zela</v>
      </c>
      <c r="H760" s="51">
        <f t="shared" ca="1" si="0"/>
        <v>46113</v>
      </c>
      <c r="I760" s="52" t="e">
        <f ca="1">SUMIFS(OUT!$F$2:$F$11000,OUT!$H$2:$H$11000,H760,OUT!$D$2:$D$101007,"In")</f>
        <v>#VALUE!</v>
      </c>
      <c r="J760" s="52">
        <f ca="1">SUMIFS(OUT!$F$2:$F$11000,OUT!$H$2:$H$11000,H760,OUT!$D$2:$D$11000,"Out")</f>
        <v>8253441</v>
      </c>
      <c r="K760" s="52">
        <f ca="1">SUMIFS(OUT!$F$2:$F$11000,OUT!$H$2:$H$11000,H760,OUT!$D$2:$D$11000,"Out",OUT!$E$2:$E$11000,"Fix")</f>
        <v>2554300</v>
      </c>
      <c r="L760" s="52">
        <f ca="1">SUMIFS(OUT!$F$2:$F$11000,OUT!$H$2:$H$11000,H760,OUT!$D$2:$D$11000,"Out",OUT!$E$2:$E$11000,"Bathroom")</f>
        <v>19900</v>
      </c>
      <c r="M760" s="52">
        <f ca="1">SUMIFS(OUT!$F$2:$F$11000,OUT!$H$2:$H$11000,H760,OUT!$D$2:$D$11000,"Out",OUT!$E$2:$E$11000,"Alfa")</f>
        <v>282719</v>
      </c>
      <c r="N760" s="52" t="e">
        <f ca="1">SUMIFS(OUT!$F$2:$F$11000,OUT!$H$2:$H$101007,H760,OUT!$D$2:$D$11000,"Out",OUT!$E$2:$E$11000,"Jajan")</f>
        <v>#VALUE!</v>
      </c>
      <c r="O760" s="52">
        <f ca="1">SUMIFS(OUT!$F$2:$F$11000,OUT!$H$2:$H$11000,H760,OUT!$D$2:$D$11000,"Out",OUT!$E$2:$E$11000,"Kitchen")</f>
        <v>964968</v>
      </c>
      <c r="P760" s="52">
        <f ca="1">SUMIFS(OUT!$F$2:$F$11000,OUT!$H$2:$H$11000,H760,OUT!$D$2:$D$11000,"Out",OUT!$E$2:$E$11000,"Loandry")</f>
        <v>58396</v>
      </c>
      <c r="Q760" s="52">
        <f ca="1">SUMIFS(OUT!$F$2:$F$11000,OUT!$H$2:$H$11000,H760,OUT!$D$2:$D$11000,"Out",OUT!$E$2:$E$11000,"Mio")</f>
        <v>181000</v>
      </c>
      <c r="R760" s="52">
        <f ca="1">SUMIFS(OUT!$F$2:$F$11000,OUT!$H$2:$H$11000,H760,OUT!$D$2:$D$11000,"Out",OUT!$E$2:$E$11000,"Sedekah")</f>
        <v>0</v>
      </c>
      <c r="S760" s="52">
        <f ca="1">SUMIFS(OUT!$F$2:$F$11000,OUT!$H$2:$H$11000,H760,OUT!$D$2:$D$11000,"Out",OUT!$E$2:$E$11000,"Zela")</f>
        <v>90500</v>
      </c>
      <c r="T760" s="52">
        <f ca="1">SUMIFS(OUT!$F$2:$F$11000,OUT!$H$2:$H$11000,H760,OUT!$D$2:$D$11000,"Out",OUT!$E$2:$E$11000,"Iqbal")</f>
        <v>74070</v>
      </c>
    </row>
    <row r="761" spans="1:20" x14ac:dyDescent="0.2">
      <c r="A761" s="48">
        <f ca="1">IFERROR(__xludf.DUMMYFUNCTION("""COMPUTED_VALUE"""),46136)</f>
        <v>46136</v>
      </c>
      <c r="B761" s="4" t="str">
        <f ca="1">IFERROR(__xludf.DUMMYFUNCTION("""COMPUTED_VALUE"""),"pasar kaget+parkir")</f>
        <v>pasar kaget+parkir</v>
      </c>
      <c r="C761" s="4" t="str">
        <f ca="1">IFERROR(__xludf.DUMMYFUNCTION("""COMPUTED_VALUE"""),"Cash")</f>
        <v>Cash</v>
      </c>
      <c r="D761" s="4" t="str">
        <f ca="1">IFERROR(__xludf.DUMMYFUNCTION("""COMPUTED_VALUE"""),"Out")</f>
        <v>Out</v>
      </c>
      <c r="E761" s="4" t="str">
        <f ca="1">IFERROR(__xludf.DUMMYFUNCTION("""COMPUTED_VALUE"""),"Kitchen")</f>
        <v>Kitchen</v>
      </c>
      <c r="F761" s="49">
        <f ca="1">IFERROR(__xludf.DUMMYFUNCTION("""COMPUTED_VALUE"""),115300)</f>
        <v>115300</v>
      </c>
      <c r="G761" s="50" t="str">
        <f ca="1">IFERROR(__xludf.DUMMYFUNCTION("""COMPUTED_VALUE"""),"Zela")</f>
        <v>Zela</v>
      </c>
      <c r="H761" s="51">
        <f t="shared" ca="1" si="0"/>
        <v>46113</v>
      </c>
      <c r="I761" s="52" t="e">
        <f ca="1">SUMIFS(OUT!$F$2:$F$11000,OUT!$H$2:$H$11000,H761,OUT!$D$2:$D$101007,"In")</f>
        <v>#VALUE!</v>
      </c>
      <c r="J761" s="52">
        <f ca="1">SUMIFS(OUT!$F$2:$F$11000,OUT!$H$2:$H$11000,H761,OUT!$D$2:$D$11000,"Out")</f>
        <v>8253441</v>
      </c>
      <c r="K761" s="52">
        <f ca="1">SUMIFS(OUT!$F$2:$F$11000,OUT!$H$2:$H$11000,H761,OUT!$D$2:$D$11000,"Out",OUT!$E$2:$E$11000,"Fix")</f>
        <v>2554300</v>
      </c>
      <c r="L761" s="52">
        <f ca="1">SUMIFS(OUT!$F$2:$F$11000,OUT!$H$2:$H$11000,H761,OUT!$D$2:$D$11000,"Out",OUT!$E$2:$E$11000,"Bathroom")</f>
        <v>19900</v>
      </c>
      <c r="M761" s="52">
        <f ca="1">SUMIFS(OUT!$F$2:$F$11000,OUT!$H$2:$H$11000,H761,OUT!$D$2:$D$11000,"Out",OUT!$E$2:$E$11000,"Alfa")</f>
        <v>282719</v>
      </c>
      <c r="N761" s="52" t="e">
        <f ca="1">SUMIFS(OUT!$F$2:$F$11000,OUT!$H$2:$H$101007,H761,OUT!$D$2:$D$11000,"Out",OUT!$E$2:$E$11000,"Jajan")</f>
        <v>#VALUE!</v>
      </c>
      <c r="O761" s="52">
        <f ca="1">SUMIFS(OUT!$F$2:$F$11000,OUT!$H$2:$H$11000,H761,OUT!$D$2:$D$11000,"Out",OUT!$E$2:$E$11000,"Kitchen")</f>
        <v>964968</v>
      </c>
      <c r="P761" s="52">
        <f ca="1">SUMIFS(OUT!$F$2:$F$11000,OUT!$H$2:$H$11000,H761,OUT!$D$2:$D$11000,"Out",OUT!$E$2:$E$11000,"Loandry")</f>
        <v>58396</v>
      </c>
      <c r="Q761" s="52">
        <f ca="1">SUMIFS(OUT!$F$2:$F$11000,OUT!$H$2:$H$11000,H761,OUT!$D$2:$D$11000,"Out",OUT!$E$2:$E$11000,"Mio")</f>
        <v>181000</v>
      </c>
      <c r="R761" s="52">
        <f ca="1">SUMIFS(OUT!$F$2:$F$11000,OUT!$H$2:$H$11000,H761,OUT!$D$2:$D$11000,"Out",OUT!$E$2:$E$11000,"Sedekah")</f>
        <v>0</v>
      </c>
      <c r="S761" s="52">
        <f ca="1">SUMIFS(OUT!$F$2:$F$11000,OUT!$H$2:$H$11000,H761,OUT!$D$2:$D$11000,"Out",OUT!$E$2:$E$11000,"Zela")</f>
        <v>90500</v>
      </c>
      <c r="T761" s="52">
        <f ca="1">SUMIFS(OUT!$F$2:$F$11000,OUT!$H$2:$H$11000,H761,OUT!$D$2:$D$11000,"Out",OUT!$E$2:$E$11000,"Iqbal")</f>
        <v>74070</v>
      </c>
    </row>
    <row r="762" spans="1:20" x14ac:dyDescent="0.2">
      <c r="A762" s="48">
        <f ca="1">IFERROR(__xludf.DUMMYFUNCTION("""COMPUTED_VALUE"""),46137)</f>
        <v>46137</v>
      </c>
      <c r="B762" s="4" t="str">
        <f ca="1">IFERROR(__xludf.DUMMYFUNCTION("""COMPUTED_VALUE"""),"ayam pop ")</f>
        <v xml:space="preserve">ayam pop </v>
      </c>
      <c r="C762" s="4" t="str">
        <f ca="1">IFERROR(__xludf.DUMMYFUNCTION("""COMPUTED_VALUE"""),"Cash")</f>
        <v>Cash</v>
      </c>
      <c r="D762" s="4" t="str">
        <f ca="1">IFERROR(__xludf.DUMMYFUNCTION("""COMPUTED_VALUE"""),"Out")</f>
        <v>Out</v>
      </c>
      <c r="E762" s="4" t="str">
        <f ca="1">IFERROR(__xludf.DUMMYFUNCTION("""COMPUTED_VALUE"""),"Jajan")</f>
        <v>Jajan</v>
      </c>
      <c r="F762" s="49">
        <f ca="1">IFERROR(__xludf.DUMMYFUNCTION("""COMPUTED_VALUE"""),11000)</f>
        <v>11000</v>
      </c>
      <c r="G762" s="50" t="str">
        <f ca="1">IFERROR(__xludf.DUMMYFUNCTION("""COMPUTED_VALUE"""),"Zela")</f>
        <v>Zela</v>
      </c>
      <c r="H762" s="51">
        <f t="shared" ca="1" si="0"/>
        <v>46113</v>
      </c>
      <c r="I762" s="52" t="e">
        <f ca="1">SUMIFS(OUT!$F$2:$F$11000,OUT!$H$2:$H$11000,H762,OUT!$D$2:$D$101007,"In")</f>
        <v>#VALUE!</v>
      </c>
      <c r="J762" s="52">
        <f ca="1">SUMIFS(OUT!$F$2:$F$11000,OUT!$H$2:$H$11000,H762,OUT!$D$2:$D$11000,"Out")</f>
        <v>8253441</v>
      </c>
      <c r="K762" s="52">
        <f ca="1">SUMIFS(OUT!$F$2:$F$11000,OUT!$H$2:$H$11000,H762,OUT!$D$2:$D$11000,"Out",OUT!$E$2:$E$11000,"Fix")</f>
        <v>2554300</v>
      </c>
      <c r="L762" s="52">
        <f ca="1">SUMIFS(OUT!$F$2:$F$11000,OUT!$H$2:$H$11000,H762,OUT!$D$2:$D$11000,"Out",OUT!$E$2:$E$11000,"Bathroom")</f>
        <v>19900</v>
      </c>
      <c r="M762" s="52">
        <f ca="1">SUMIFS(OUT!$F$2:$F$11000,OUT!$H$2:$H$11000,H762,OUT!$D$2:$D$11000,"Out",OUT!$E$2:$E$11000,"Alfa")</f>
        <v>282719</v>
      </c>
      <c r="N762" s="52" t="e">
        <f ca="1">SUMIFS(OUT!$F$2:$F$11000,OUT!$H$2:$H$101007,H762,OUT!$D$2:$D$11000,"Out",OUT!$E$2:$E$11000,"Jajan")</f>
        <v>#VALUE!</v>
      </c>
      <c r="O762" s="52">
        <f ca="1">SUMIFS(OUT!$F$2:$F$11000,OUT!$H$2:$H$11000,H762,OUT!$D$2:$D$11000,"Out",OUT!$E$2:$E$11000,"Kitchen")</f>
        <v>964968</v>
      </c>
      <c r="P762" s="52">
        <f ca="1">SUMIFS(OUT!$F$2:$F$11000,OUT!$H$2:$H$11000,H762,OUT!$D$2:$D$11000,"Out",OUT!$E$2:$E$11000,"Loandry")</f>
        <v>58396</v>
      </c>
      <c r="Q762" s="52">
        <f ca="1">SUMIFS(OUT!$F$2:$F$11000,OUT!$H$2:$H$11000,H762,OUT!$D$2:$D$11000,"Out",OUT!$E$2:$E$11000,"Mio")</f>
        <v>181000</v>
      </c>
      <c r="R762" s="52">
        <f ca="1">SUMIFS(OUT!$F$2:$F$11000,OUT!$H$2:$H$11000,H762,OUT!$D$2:$D$11000,"Out",OUT!$E$2:$E$11000,"Sedekah")</f>
        <v>0</v>
      </c>
      <c r="S762" s="52">
        <f ca="1">SUMIFS(OUT!$F$2:$F$11000,OUT!$H$2:$H$11000,H762,OUT!$D$2:$D$11000,"Out",OUT!$E$2:$E$11000,"Zela")</f>
        <v>90500</v>
      </c>
      <c r="T762" s="52">
        <f ca="1">SUMIFS(OUT!$F$2:$F$11000,OUT!$H$2:$H$11000,H762,OUT!$D$2:$D$11000,"Out",OUT!$E$2:$E$11000,"Iqbal")</f>
        <v>74070</v>
      </c>
    </row>
    <row r="763" spans="1:20" x14ac:dyDescent="0.2">
      <c r="A763" s="48">
        <f ca="1">IFERROR(__xludf.DUMMYFUNCTION("""COMPUTED_VALUE"""),46139)</f>
        <v>46139</v>
      </c>
      <c r="B763" s="4" t="str">
        <f ca="1">IFERROR(__xludf.DUMMYFUNCTION("""COMPUTED_VALUE"""),"mie ")</f>
        <v xml:space="preserve">mie </v>
      </c>
      <c r="C763" s="4" t="str">
        <f ca="1">IFERROR(__xludf.DUMMYFUNCTION("""COMPUTED_VALUE"""),"Cash")</f>
        <v>Cash</v>
      </c>
      <c r="D763" s="4" t="str">
        <f ca="1">IFERROR(__xludf.DUMMYFUNCTION("""COMPUTED_VALUE"""),"Out")</f>
        <v>Out</v>
      </c>
      <c r="E763" s="4" t="str">
        <f ca="1">IFERROR(__xludf.DUMMYFUNCTION("""COMPUTED_VALUE"""),"Kitchen")</f>
        <v>Kitchen</v>
      </c>
      <c r="F763" s="49">
        <f ca="1">IFERROR(__xludf.DUMMYFUNCTION("""COMPUTED_VALUE"""),10000)</f>
        <v>10000</v>
      </c>
      <c r="G763" s="50" t="str">
        <f ca="1">IFERROR(__xludf.DUMMYFUNCTION("""COMPUTED_VALUE"""),"Zela")</f>
        <v>Zela</v>
      </c>
      <c r="H763" s="51">
        <f t="shared" ca="1" si="0"/>
        <v>46113</v>
      </c>
      <c r="I763" s="52" t="e">
        <f ca="1">SUMIFS(OUT!$F$2:$F$11000,OUT!$H$2:$H$11000,H763,OUT!$D$2:$D$101007,"In")</f>
        <v>#VALUE!</v>
      </c>
      <c r="J763" s="52">
        <f ca="1">SUMIFS(OUT!$F$2:$F$11000,OUT!$H$2:$H$11000,H763,OUT!$D$2:$D$11000,"Out")</f>
        <v>8253441</v>
      </c>
      <c r="K763" s="52">
        <f ca="1">SUMIFS(OUT!$F$2:$F$11000,OUT!$H$2:$H$11000,H763,OUT!$D$2:$D$11000,"Out",OUT!$E$2:$E$11000,"Fix")</f>
        <v>2554300</v>
      </c>
      <c r="L763" s="52">
        <f ca="1">SUMIFS(OUT!$F$2:$F$11000,OUT!$H$2:$H$11000,H763,OUT!$D$2:$D$11000,"Out",OUT!$E$2:$E$11000,"Bathroom")</f>
        <v>19900</v>
      </c>
      <c r="M763" s="52">
        <f ca="1">SUMIFS(OUT!$F$2:$F$11000,OUT!$H$2:$H$11000,H763,OUT!$D$2:$D$11000,"Out",OUT!$E$2:$E$11000,"Alfa")</f>
        <v>282719</v>
      </c>
      <c r="N763" s="52" t="e">
        <f ca="1">SUMIFS(OUT!$F$2:$F$11000,OUT!$H$2:$H$101007,H763,OUT!$D$2:$D$11000,"Out",OUT!$E$2:$E$11000,"Jajan")</f>
        <v>#VALUE!</v>
      </c>
      <c r="O763" s="52">
        <f ca="1">SUMIFS(OUT!$F$2:$F$11000,OUT!$H$2:$H$11000,H763,OUT!$D$2:$D$11000,"Out",OUT!$E$2:$E$11000,"Kitchen")</f>
        <v>964968</v>
      </c>
      <c r="P763" s="52">
        <f ca="1">SUMIFS(OUT!$F$2:$F$11000,OUT!$H$2:$H$11000,H763,OUT!$D$2:$D$11000,"Out",OUT!$E$2:$E$11000,"Loandry")</f>
        <v>58396</v>
      </c>
      <c r="Q763" s="52">
        <f ca="1">SUMIFS(OUT!$F$2:$F$11000,OUT!$H$2:$H$11000,H763,OUT!$D$2:$D$11000,"Out",OUT!$E$2:$E$11000,"Mio")</f>
        <v>181000</v>
      </c>
      <c r="R763" s="52">
        <f ca="1">SUMIFS(OUT!$F$2:$F$11000,OUT!$H$2:$H$11000,H763,OUT!$D$2:$D$11000,"Out",OUT!$E$2:$E$11000,"Sedekah")</f>
        <v>0</v>
      </c>
      <c r="S763" s="52">
        <f ca="1">SUMIFS(OUT!$F$2:$F$11000,OUT!$H$2:$H$11000,H763,OUT!$D$2:$D$11000,"Out",OUT!$E$2:$E$11000,"Zela")</f>
        <v>90500</v>
      </c>
      <c r="T763" s="52">
        <f ca="1">SUMIFS(OUT!$F$2:$F$11000,OUT!$H$2:$H$11000,H763,OUT!$D$2:$D$11000,"Out",OUT!$E$2:$E$11000,"Iqbal")</f>
        <v>74070</v>
      </c>
    </row>
    <row r="764" spans="1:20" x14ac:dyDescent="0.2">
      <c r="A764" s="48">
        <f ca="1">IFERROR(__xludf.DUMMYFUNCTION("""COMPUTED_VALUE"""),46139)</f>
        <v>46139</v>
      </c>
      <c r="B764" s="4" t="str">
        <f ca="1">IFERROR(__xludf.DUMMYFUNCTION("""COMPUTED_VALUE"""),"jajan alfa ")</f>
        <v xml:space="preserve">jajan alfa </v>
      </c>
      <c r="C764" s="4" t="str">
        <f ca="1">IFERROR(__xludf.DUMMYFUNCTION("""COMPUTED_VALUE"""),"Cash")</f>
        <v>Cash</v>
      </c>
      <c r="D764" s="4" t="str">
        <f ca="1">IFERROR(__xludf.DUMMYFUNCTION("""COMPUTED_VALUE"""),"Out")</f>
        <v>Out</v>
      </c>
      <c r="E764" s="4" t="str">
        <f ca="1">IFERROR(__xludf.DUMMYFUNCTION("""COMPUTED_VALUE"""),"Jajan")</f>
        <v>Jajan</v>
      </c>
      <c r="F764" s="49">
        <f ca="1">IFERROR(__xludf.DUMMYFUNCTION("""COMPUTED_VALUE"""),9000)</f>
        <v>9000</v>
      </c>
      <c r="G764" s="50" t="str">
        <f ca="1">IFERROR(__xludf.DUMMYFUNCTION("""COMPUTED_VALUE"""),"Zela")</f>
        <v>Zela</v>
      </c>
      <c r="H764" s="51">
        <f t="shared" ca="1" si="0"/>
        <v>46113</v>
      </c>
      <c r="I764" s="52" t="e">
        <f ca="1">SUMIFS(OUT!$F$2:$F$11000,OUT!$H$2:$H$11000,H764,OUT!$D$2:$D$101007,"In")</f>
        <v>#VALUE!</v>
      </c>
      <c r="J764" s="52">
        <f ca="1">SUMIFS(OUT!$F$2:$F$11000,OUT!$H$2:$H$11000,H764,OUT!$D$2:$D$11000,"Out")</f>
        <v>8253441</v>
      </c>
      <c r="K764" s="52">
        <f ca="1">SUMIFS(OUT!$F$2:$F$11000,OUT!$H$2:$H$11000,H764,OUT!$D$2:$D$11000,"Out",OUT!$E$2:$E$11000,"Fix")</f>
        <v>2554300</v>
      </c>
      <c r="L764" s="52">
        <f ca="1">SUMIFS(OUT!$F$2:$F$11000,OUT!$H$2:$H$11000,H764,OUT!$D$2:$D$11000,"Out",OUT!$E$2:$E$11000,"Bathroom")</f>
        <v>19900</v>
      </c>
      <c r="M764" s="52">
        <f ca="1">SUMIFS(OUT!$F$2:$F$11000,OUT!$H$2:$H$11000,H764,OUT!$D$2:$D$11000,"Out",OUT!$E$2:$E$11000,"Alfa")</f>
        <v>282719</v>
      </c>
      <c r="N764" s="52" t="e">
        <f ca="1">SUMIFS(OUT!$F$2:$F$11000,OUT!$H$2:$H$101007,H764,OUT!$D$2:$D$11000,"Out",OUT!$E$2:$E$11000,"Jajan")</f>
        <v>#VALUE!</v>
      </c>
      <c r="O764" s="52">
        <f ca="1">SUMIFS(OUT!$F$2:$F$11000,OUT!$H$2:$H$11000,H764,OUT!$D$2:$D$11000,"Out",OUT!$E$2:$E$11000,"Kitchen")</f>
        <v>964968</v>
      </c>
      <c r="P764" s="52">
        <f ca="1">SUMIFS(OUT!$F$2:$F$11000,OUT!$H$2:$H$11000,H764,OUT!$D$2:$D$11000,"Out",OUT!$E$2:$E$11000,"Loandry")</f>
        <v>58396</v>
      </c>
      <c r="Q764" s="52">
        <f ca="1">SUMIFS(OUT!$F$2:$F$11000,OUT!$H$2:$H$11000,H764,OUT!$D$2:$D$11000,"Out",OUT!$E$2:$E$11000,"Mio")</f>
        <v>181000</v>
      </c>
      <c r="R764" s="52">
        <f ca="1">SUMIFS(OUT!$F$2:$F$11000,OUT!$H$2:$H$11000,H764,OUT!$D$2:$D$11000,"Out",OUT!$E$2:$E$11000,"Sedekah")</f>
        <v>0</v>
      </c>
      <c r="S764" s="52">
        <f ca="1">SUMIFS(OUT!$F$2:$F$11000,OUT!$H$2:$H$11000,H764,OUT!$D$2:$D$11000,"Out",OUT!$E$2:$E$11000,"Zela")</f>
        <v>90500</v>
      </c>
      <c r="T764" s="52">
        <f ca="1">SUMIFS(OUT!$F$2:$F$11000,OUT!$H$2:$H$11000,H764,OUT!$D$2:$D$11000,"Out",OUT!$E$2:$E$11000,"Iqbal")</f>
        <v>74070</v>
      </c>
    </row>
    <row r="765" spans="1:20" x14ac:dyDescent="0.2">
      <c r="A765" s="48">
        <f ca="1">IFERROR(__xludf.DUMMYFUNCTION("""COMPUTED_VALUE"""),46139)</f>
        <v>46139</v>
      </c>
      <c r="B765" s="4" t="str">
        <f ca="1">IFERROR(__xludf.DUMMYFUNCTION("""COMPUTED_VALUE"""),"Detergen ")</f>
        <v xml:space="preserve">Detergen </v>
      </c>
      <c r="C765" s="4" t="str">
        <f ca="1">IFERROR(__xludf.DUMMYFUNCTION("""COMPUTED_VALUE"""),"Cash")</f>
        <v>Cash</v>
      </c>
      <c r="D765" s="4" t="str">
        <f ca="1">IFERROR(__xludf.DUMMYFUNCTION("""COMPUTED_VALUE"""),"Out")</f>
        <v>Out</v>
      </c>
      <c r="E765" s="4" t="str">
        <f ca="1">IFERROR(__xludf.DUMMYFUNCTION("""COMPUTED_VALUE"""),"Loandry")</f>
        <v>Loandry</v>
      </c>
      <c r="F765" s="49">
        <f ca="1">IFERROR(__xludf.DUMMYFUNCTION("""COMPUTED_VALUE"""),11000)</f>
        <v>11000</v>
      </c>
      <c r="G765" s="50" t="str">
        <f ca="1">IFERROR(__xludf.DUMMYFUNCTION("""COMPUTED_VALUE"""),"Zela")</f>
        <v>Zela</v>
      </c>
      <c r="H765" s="51">
        <f t="shared" ca="1" si="0"/>
        <v>46113</v>
      </c>
      <c r="I765" s="52" t="e">
        <f ca="1">SUMIFS(OUT!$F$2:$F$11000,OUT!$H$2:$H$11000,H765,OUT!$D$2:$D$101007,"In")</f>
        <v>#VALUE!</v>
      </c>
      <c r="J765" s="52">
        <f ca="1">SUMIFS(OUT!$F$2:$F$11000,OUT!$H$2:$H$11000,H765,OUT!$D$2:$D$11000,"Out")</f>
        <v>8253441</v>
      </c>
      <c r="K765" s="52">
        <f ca="1">SUMIFS(OUT!$F$2:$F$11000,OUT!$H$2:$H$11000,H765,OUT!$D$2:$D$11000,"Out",OUT!$E$2:$E$11000,"Fix")</f>
        <v>2554300</v>
      </c>
      <c r="L765" s="52">
        <f ca="1">SUMIFS(OUT!$F$2:$F$11000,OUT!$H$2:$H$11000,H765,OUT!$D$2:$D$11000,"Out",OUT!$E$2:$E$11000,"Bathroom")</f>
        <v>19900</v>
      </c>
      <c r="M765" s="52">
        <f ca="1">SUMIFS(OUT!$F$2:$F$11000,OUT!$H$2:$H$11000,H765,OUT!$D$2:$D$11000,"Out",OUT!$E$2:$E$11000,"Alfa")</f>
        <v>282719</v>
      </c>
      <c r="N765" s="52" t="e">
        <f ca="1">SUMIFS(OUT!$F$2:$F$11000,OUT!$H$2:$H$101007,H765,OUT!$D$2:$D$11000,"Out",OUT!$E$2:$E$11000,"Jajan")</f>
        <v>#VALUE!</v>
      </c>
      <c r="O765" s="52">
        <f ca="1">SUMIFS(OUT!$F$2:$F$11000,OUT!$H$2:$H$11000,H765,OUT!$D$2:$D$11000,"Out",OUT!$E$2:$E$11000,"Kitchen")</f>
        <v>964968</v>
      </c>
      <c r="P765" s="52">
        <f ca="1">SUMIFS(OUT!$F$2:$F$11000,OUT!$H$2:$H$11000,H765,OUT!$D$2:$D$11000,"Out",OUT!$E$2:$E$11000,"Loandry")</f>
        <v>58396</v>
      </c>
      <c r="Q765" s="52">
        <f ca="1">SUMIFS(OUT!$F$2:$F$11000,OUT!$H$2:$H$11000,H765,OUT!$D$2:$D$11000,"Out",OUT!$E$2:$E$11000,"Mio")</f>
        <v>181000</v>
      </c>
      <c r="R765" s="52">
        <f ca="1">SUMIFS(OUT!$F$2:$F$11000,OUT!$H$2:$H$11000,H765,OUT!$D$2:$D$11000,"Out",OUT!$E$2:$E$11000,"Sedekah")</f>
        <v>0</v>
      </c>
      <c r="S765" s="52">
        <f ca="1">SUMIFS(OUT!$F$2:$F$11000,OUT!$H$2:$H$11000,H765,OUT!$D$2:$D$11000,"Out",OUT!$E$2:$E$11000,"Zela")</f>
        <v>90500</v>
      </c>
      <c r="T765" s="52">
        <f ca="1">SUMIFS(OUT!$F$2:$F$11000,OUT!$H$2:$H$11000,H765,OUT!$D$2:$D$11000,"Out",OUT!$E$2:$E$11000,"Iqbal")</f>
        <v>74070</v>
      </c>
    </row>
    <row r="766" spans="1:20" x14ac:dyDescent="0.2">
      <c r="A766" s="48">
        <f ca="1">IFERROR(__xludf.DUMMYFUNCTION("""COMPUTED_VALUE"""),46138)</f>
        <v>46138</v>
      </c>
      <c r="B766" s="4" t="str">
        <f ca="1">IFERROR(__xludf.DUMMYFUNCTION("""COMPUTED_VALUE"""),"jajan Alfa ")</f>
        <v xml:space="preserve">jajan Alfa </v>
      </c>
      <c r="C766" s="4" t="str">
        <f ca="1">IFERROR(__xludf.DUMMYFUNCTION("""COMPUTED_VALUE"""),"Cash")</f>
        <v>Cash</v>
      </c>
      <c r="D766" s="4" t="str">
        <f ca="1">IFERROR(__xludf.DUMMYFUNCTION("""COMPUTED_VALUE"""),"Out")</f>
        <v>Out</v>
      </c>
      <c r="E766" s="4" t="str">
        <f ca="1">IFERROR(__xludf.DUMMYFUNCTION("""COMPUTED_VALUE"""),"Jajan")</f>
        <v>Jajan</v>
      </c>
      <c r="F766" s="49">
        <f ca="1">IFERROR(__xludf.DUMMYFUNCTION("""COMPUTED_VALUE"""),3000)</f>
        <v>3000</v>
      </c>
      <c r="G766" s="50" t="str">
        <f ca="1">IFERROR(__xludf.DUMMYFUNCTION("""COMPUTED_VALUE"""),"Zela")</f>
        <v>Zela</v>
      </c>
      <c r="H766" s="51">
        <f t="shared" ca="1" si="0"/>
        <v>46113</v>
      </c>
      <c r="I766" s="52" t="e">
        <f ca="1">SUMIFS(OUT!$F$2:$F$11000,OUT!$H$2:$H$11000,H766,OUT!$D$2:$D$101007,"In")</f>
        <v>#VALUE!</v>
      </c>
      <c r="J766" s="52">
        <f ca="1">SUMIFS(OUT!$F$2:$F$11000,OUT!$H$2:$H$11000,H766,OUT!$D$2:$D$11000,"Out")</f>
        <v>8253441</v>
      </c>
      <c r="K766" s="52">
        <f ca="1">SUMIFS(OUT!$F$2:$F$11000,OUT!$H$2:$H$11000,H766,OUT!$D$2:$D$11000,"Out",OUT!$E$2:$E$11000,"Fix")</f>
        <v>2554300</v>
      </c>
      <c r="L766" s="52">
        <f ca="1">SUMIFS(OUT!$F$2:$F$11000,OUT!$H$2:$H$11000,H766,OUT!$D$2:$D$11000,"Out",OUT!$E$2:$E$11000,"Bathroom")</f>
        <v>19900</v>
      </c>
      <c r="M766" s="52">
        <f ca="1">SUMIFS(OUT!$F$2:$F$11000,OUT!$H$2:$H$11000,H766,OUT!$D$2:$D$11000,"Out",OUT!$E$2:$E$11000,"Alfa")</f>
        <v>282719</v>
      </c>
      <c r="N766" s="52" t="e">
        <f ca="1">SUMIFS(OUT!$F$2:$F$11000,OUT!$H$2:$H$101007,H766,OUT!$D$2:$D$11000,"Out",OUT!$E$2:$E$11000,"Jajan")</f>
        <v>#VALUE!</v>
      </c>
      <c r="O766" s="52">
        <f ca="1">SUMIFS(OUT!$F$2:$F$11000,OUT!$H$2:$H$11000,H766,OUT!$D$2:$D$11000,"Out",OUT!$E$2:$E$11000,"Kitchen")</f>
        <v>964968</v>
      </c>
      <c r="P766" s="52">
        <f ca="1">SUMIFS(OUT!$F$2:$F$11000,OUT!$H$2:$H$11000,H766,OUT!$D$2:$D$11000,"Out",OUT!$E$2:$E$11000,"Loandry")</f>
        <v>58396</v>
      </c>
      <c r="Q766" s="52">
        <f ca="1">SUMIFS(OUT!$F$2:$F$11000,OUT!$H$2:$H$11000,H766,OUT!$D$2:$D$11000,"Out",OUT!$E$2:$E$11000,"Mio")</f>
        <v>181000</v>
      </c>
      <c r="R766" s="52">
        <f ca="1">SUMIFS(OUT!$F$2:$F$11000,OUT!$H$2:$H$11000,H766,OUT!$D$2:$D$11000,"Out",OUT!$E$2:$E$11000,"Sedekah")</f>
        <v>0</v>
      </c>
      <c r="S766" s="52">
        <f ca="1">SUMIFS(OUT!$F$2:$F$11000,OUT!$H$2:$H$11000,H766,OUT!$D$2:$D$11000,"Out",OUT!$E$2:$E$11000,"Zela")</f>
        <v>90500</v>
      </c>
      <c r="T766" s="52">
        <f ca="1">SUMIFS(OUT!$F$2:$F$11000,OUT!$H$2:$H$11000,H766,OUT!$D$2:$D$11000,"Out",OUT!$E$2:$E$11000,"Iqbal")</f>
        <v>74070</v>
      </c>
    </row>
    <row r="767" spans="1:20" x14ac:dyDescent="0.2">
      <c r="A767" s="48">
        <f ca="1">IFERROR(__xludf.DUMMYFUNCTION("""COMPUTED_VALUE"""),46138)</f>
        <v>46138</v>
      </c>
      <c r="B767" s="4" t="str">
        <f ca="1">IFERROR(__xludf.DUMMYFUNCTION("""COMPUTED_VALUE"""),"sempol+bola Ayam ")</f>
        <v xml:space="preserve">sempol+bola Ayam </v>
      </c>
      <c r="C767" s="4" t="str">
        <f ca="1">IFERROR(__xludf.DUMMYFUNCTION("""COMPUTED_VALUE"""),"Cash")</f>
        <v>Cash</v>
      </c>
      <c r="D767" s="4" t="str">
        <f ca="1">IFERROR(__xludf.DUMMYFUNCTION("""COMPUTED_VALUE"""),"Out")</f>
        <v>Out</v>
      </c>
      <c r="E767" s="4" t="str">
        <f ca="1">IFERROR(__xludf.DUMMYFUNCTION("""COMPUTED_VALUE"""),"Jajan")</f>
        <v>Jajan</v>
      </c>
      <c r="F767" s="49">
        <f ca="1">IFERROR(__xludf.DUMMYFUNCTION("""COMPUTED_VALUE"""),20000)</f>
        <v>20000</v>
      </c>
      <c r="G767" s="50" t="str">
        <f ca="1">IFERROR(__xludf.DUMMYFUNCTION("""COMPUTED_VALUE"""),"Zela")</f>
        <v>Zela</v>
      </c>
      <c r="H767" s="51">
        <f t="shared" ca="1" si="0"/>
        <v>46113</v>
      </c>
      <c r="I767" s="52" t="e">
        <f ca="1">SUMIFS(OUT!$F$2:$F$11000,OUT!$H$2:$H$11000,H767,OUT!$D$2:$D$101007,"In")</f>
        <v>#VALUE!</v>
      </c>
      <c r="J767" s="52">
        <f ca="1">SUMIFS(OUT!$F$2:$F$11000,OUT!$H$2:$H$11000,H767,OUT!$D$2:$D$11000,"Out")</f>
        <v>8253441</v>
      </c>
      <c r="K767" s="52">
        <f ca="1">SUMIFS(OUT!$F$2:$F$11000,OUT!$H$2:$H$11000,H767,OUT!$D$2:$D$11000,"Out",OUT!$E$2:$E$11000,"Fix")</f>
        <v>2554300</v>
      </c>
      <c r="L767" s="52">
        <f ca="1">SUMIFS(OUT!$F$2:$F$11000,OUT!$H$2:$H$11000,H767,OUT!$D$2:$D$11000,"Out",OUT!$E$2:$E$11000,"Bathroom")</f>
        <v>19900</v>
      </c>
      <c r="M767" s="52">
        <f ca="1">SUMIFS(OUT!$F$2:$F$11000,OUT!$H$2:$H$11000,H767,OUT!$D$2:$D$11000,"Out",OUT!$E$2:$E$11000,"Alfa")</f>
        <v>282719</v>
      </c>
      <c r="N767" s="52" t="e">
        <f ca="1">SUMIFS(OUT!$F$2:$F$11000,OUT!$H$2:$H$101007,H767,OUT!$D$2:$D$11000,"Out",OUT!$E$2:$E$11000,"Jajan")</f>
        <v>#VALUE!</v>
      </c>
      <c r="O767" s="52">
        <f ca="1">SUMIFS(OUT!$F$2:$F$11000,OUT!$H$2:$H$11000,H767,OUT!$D$2:$D$11000,"Out",OUT!$E$2:$E$11000,"Kitchen")</f>
        <v>964968</v>
      </c>
      <c r="P767" s="52">
        <f ca="1">SUMIFS(OUT!$F$2:$F$11000,OUT!$H$2:$H$11000,H767,OUT!$D$2:$D$11000,"Out",OUT!$E$2:$E$11000,"Loandry")</f>
        <v>58396</v>
      </c>
      <c r="Q767" s="52">
        <f ca="1">SUMIFS(OUT!$F$2:$F$11000,OUT!$H$2:$H$11000,H767,OUT!$D$2:$D$11000,"Out",OUT!$E$2:$E$11000,"Mio")</f>
        <v>181000</v>
      </c>
      <c r="R767" s="52">
        <f ca="1">SUMIFS(OUT!$F$2:$F$11000,OUT!$H$2:$H$11000,H767,OUT!$D$2:$D$11000,"Out",OUT!$E$2:$E$11000,"Sedekah")</f>
        <v>0</v>
      </c>
      <c r="S767" s="52">
        <f ca="1">SUMIFS(OUT!$F$2:$F$11000,OUT!$H$2:$H$11000,H767,OUT!$D$2:$D$11000,"Out",OUT!$E$2:$E$11000,"Zela")</f>
        <v>90500</v>
      </c>
      <c r="T767" s="52">
        <f ca="1">SUMIFS(OUT!$F$2:$F$11000,OUT!$H$2:$H$11000,H767,OUT!$D$2:$D$11000,"Out",OUT!$E$2:$E$11000,"Iqbal")</f>
        <v>74070</v>
      </c>
    </row>
    <row r="768" spans="1:20" x14ac:dyDescent="0.2">
      <c r="A768" s="48">
        <f ca="1">IFERROR(__xludf.DUMMYFUNCTION("""COMPUTED_VALUE"""),46138)</f>
        <v>46138</v>
      </c>
      <c r="B768" s="4" t="str">
        <f ca="1">IFERROR(__xludf.DUMMYFUNCTION("""COMPUTED_VALUE"""),"Holder HP ")</f>
        <v xml:space="preserve">Holder HP </v>
      </c>
      <c r="C768" s="4" t="str">
        <f ca="1">IFERROR(__xludf.DUMMYFUNCTION("""COMPUTED_VALUE"""),"ATM")</f>
        <v>ATM</v>
      </c>
      <c r="D768" s="4" t="str">
        <f ca="1">IFERROR(__xludf.DUMMYFUNCTION("""COMPUTED_VALUE"""),"Out")</f>
        <v>Out</v>
      </c>
      <c r="E768" s="4" t="str">
        <f ca="1">IFERROR(__xludf.DUMMYFUNCTION("""COMPUTED_VALUE"""),"Zela")</f>
        <v>Zela</v>
      </c>
      <c r="F768" s="49">
        <f ca="1">IFERROR(__xludf.DUMMYFUNCTION("""COMPUTED_VALUE"""),12200)</f>
        <v>12200</v>
      </c>
      <c r="G768" s="50" t="str">
        <f ca="1">IFERROR(__xludf.DUMMYFUNCTION("""COMPUTED_VALUE"""),"Zela")</f>
        <v>Zela</v>
      </c>
      <c r="H768" s="51">
        <f t="shared" ca="1" si="0"/>
        <v>46113</v>
      </c>
      <c r="I768" s="52" t="e">
        <f ca="1">SUMIFS(OUT!$F$2:$F$11000,OUT!$H$2:$H$11000,H768,OUT!$D$2:$D$101007,"In")</f>
        <v>#VALUE!</v>
      </c>
      <c r="J768" s="52">
        <f ca="1">SUMIFS(OUT!$F$2:$F$11000,OUT!$H$2:$H$11000,H768,OUT!$D$2:$D$11000,"Out")</f>
        <v>8253441</v>
      </c>
      <c r="K768" s="52">
        <f ca="1">SUMIFS(OUT!$F$2:$F$11000,OUT!$H$2:$H$11000,H768,OUT!$D$2:$D$11000,"Out",OUT!$E$2:$E$11000,"Fix")</f>
        <v>2554300</v>
      </c>
      <c r="L768" s="52">
        <f ca="1">SUMIFS(OUT!$F$2:$F$11000,OUT!$H$2:$H$11000,H768,OUT!$D$2:$D$11000,"Out",OUT!$E$2:$E$11000,"Bathroom")</f>
        <v>19900</v>
      </c>
      <c r="M768" s="52">
        <f ca="1">SUMIFS(OUT!$F$2:$F$11000,OUT!$H$2:$H$11000,H768,OUT!$D$2:$D$11000,"Out",OUT!$E$2:$E$11000,"Alfa")</f>
        <v>282719</v>
      </c>
      <c r="N768" s="52" t="e">
        <f ca="1">SUMIFS(OUT!$F$2:$F$11000,OUT!$H$2:$H$101007,H768,OUT!$D$2:$D$11000,"Out",OUT!$E$2:$E$11000,"Jajan")</f>
        <v>#VALUE!</v>
      </c>
      <c r="O768" s="52">
        <f ca="1">SUMIFS(OUT!$F$2:$F$11000,OUT!$H$2:$H$11000,H768,OUT!$D$2:$D$11000,"Out",OUT!$E$2:$E$11000,"Kitchen")</f>
        <v>964968</v>
      </c>
      <c r="P768" s="52">
        <f ca="1">SUMIFS(OUT!$F$2:$F$11000,OUT!$H$2:$H$11000,H768,OUT!$D$2:$D$11000,"Out",OUT!$E$2:$E$11000,"Loandry")</f>
        <v>58396</v>
      </c>
      <c r="Q768" s="52">
        <f ca="1">SUMIFS(OUT!$F$2:$F$11000,OUT!$H$2:$H$11000,H768,OUT!$D$2:$D$11000,"Out",OUT!$E$2:$E$11000,"Mio")</f>
        <v>181000</v>
      </c>
      <c r="R768" s="52">
        <f ca="1">SUMIFS(OUT!$F$2:$F$11000,OUT!$H$2:$H$11000,H768,OUT!$D$2:$D$11000,"Out",OUT!$E$2:$E$11000,"Sedekah")</f>
        <v>0</v>
      </c>
      <c r="S768" s="52">
        <f ca="1">SUMIFS(OUT!$F$2:$F$11000,OUT!$H$2:$H$11000,H768,OUT!$D$2:$D$11000,"Out",OUT!$E$2:$E$11000,"Zela")</f>
        <v>90500</v>
      </c>
      <c r="T768" s="52">
        <f ca="1">SUMIFS(OUT!$F$2:$F$11000,OUT!$H$2:$H$11000,H768,OUT!$D$2:$D$11000,"Out",OUT!$E$2:$E$11000,"Iqbal")</f>
        <v>74070</v>
      </c>
    </row>
    <row r="769" spans="1:20" x14ac:dyDescent="0.2">
      <c r="A769" s="48">
        <f ca="1">IFERROR(__xludf.DUMMYFUNCTION("""COMPUTED_VALUE"""),46140)</f>
        <v>46140</v>
      </c>
      <c r="B769" s="4" t="str">
        <f ca="1">IFERROR(__xludf.DUMMYFUNCTION("""COMPUTED_VALUE"""),"biaya SMS  Notifikasi ")</f>
        <v xml:space="preserve">biaya SMS  Notifikasi </v>
      </c>
      <c r="C769" s="4" t="str">
        <f ca="1">IFERROR(__xludf.DUMMYFUNCTION("""COMPUTED_VALUE"""),"ATM")</f>
        <v>ATM</v>
      </c>
      <c r="D769" s="4" t="str">
        <f ca="1">IFERROR(__xludf.DUMMYFUNCTION("""COMPUTED_VALUE"""),"Out")</f>
        <v>Out</v>
      </c>
      <c r="E769" s="4" t="str">
        <f ca="1">IFERROR(__xludf.DUMMYFUNCTION("""COMPUTED_VALUE"""),"Fix")</f>
        <v>Fix</v>
      </c>
      <c r="F769" s="49">
        <f ca="1">IFERROR(__xludf.DUMMYFUNCTION("""COMPUTED_VALUE"""),750)</f>
        <v>750</v>
      </c>
      <c r="G769" s="50" t="str">
        <f ca="1">IFERROR(__xludf.DUMMYFUNCTION("""COMPUTED_VALUE"""),"Zela")</f>
        <v>Zela</v>
      </c>
      <c r="H769" s="51">
        <f t="shared" ca="1" si="0"/>
        <v>46113</v>
      </c>
      <c r="I769" s="52" t="e">
        <f ca="1">SUMIFS(OUT!$F$2:$F$11000,OUT!$H$2:$H$11000,H769,OUT!$D$2:$D$101007,"In")</f>
        <v>#VALUE!</v>
      </c>
      <c r="J769" s="52">
        <f ca="1">SUMIFS(OUT!$F$2:$F$11000,OUT!$H$2:$H$11000,H769,OUT!$D$2:$D$11000,"Out")</f>
        <v>8253441</v>
      </c>
      <c r="K769" s="52">
        <f ca="1">SUMIFS(OUT!$F$2:$F$11000,OUT!$H$2:$H$11000,H769,OUT!$D$2:$D$11000,"Out",OUT!$E$2:$E$11000,"Fix")</f>
        <v>2554300</v>
      </c>
      <c r="L769" s="52">
        <f ca="1">SUMIFS(OUT!$F$2:$F$11000,OUT!$H$2:$H$11000,H769,OUT!$D$2:$D$11000,"Out",OUT!$E$2:$E$11000,"Bathroom")</f>
        <v>19900</v>
      </c>
      <c r="M769" s="52">
        <f ca="1">SUMIFS(OUT!$F$2:$F$11000,OUT!$H$2:$H$11000,H769,OUT!$D$2:$D$11000,"Out",OUT!$E$2:$E$11000,"Alfa")</f>
        <v>282719</v>
      </c>
      <c r="N769" s="52" t="e">
        <f ca="1">SUMIFS(OUT!$F$2:$F$11000,OUT!$H$2:$H$101007,H769,OUT!$D$2:$D$11000,"Out",OUT!$E$2:$E$11000,"Jajan")</f>
        <v>#VALUE!</v>
      </c>
      <c r="O769" s="52">
        <f ca="1">SUMIFS(OUT!$F$2:$F$11000,OUT!$H$2:$H$11000,H769,OUT!$D$2:$D$11000,"Out",OUT!$E$2:$E$11000,"Kitchen")</f>
        <v>964968</v>
      </c>
      <c r="P769" s="52">
        <f ca="1">SUMIFS(OUT!$F$2:$F$11000,OUT!$H$2:$H$11000,H769,OUT!$D$2:$D$11000,"Out",OUT!$E$2:$E$11000,"Loandry")</f>
        <v>58396</v>
      </c>
      <c r="Q769" s="52">
        <f ca="1">SUMIFS(OUT!$F$2:$F$11000,OUT!$H$2:$H$11000,H769,OUT!$D$2:$D$11000,"Out",OUT!$E$2:$E$11000,"Mio")</f>
        <v>181000</v>
      </c>
      <c r="R769" s="52">
        <f ca="1">SUMIFS(OUT!$F$2:$F$11000,OUT!$H$2:$H$11000,H769,OUT!$D$2:$D$11000,"Out",OUT!$E$2:$E$11000,"Sedekah")</f>
        <v>0</v>
      </c>
      <c r="S769" s="52">
        <f ca="1">SUMIFS(OUT!$F$2:$F$11000,OUT!$H$2:$H$11000,H769,OUT!$D$2:$D$11000,"Out",OUT!$E$2:$E$11000,"Zela")</f>
        <v>90500</v>
      </c>
      <c r="T769" s="52">
        <f ca="1">SUMIFS(OUT!$F$2:$F$11000,OUT!$H$2:$H$11000,H769,OUT!$D$2:$D$11000,"Out",OUT!$E$2:$E$11000,"Iqbal")</f>
        <v>74070</v>
      </c>
    </row>
    <row r="770" spans="1:20" x14ac:dyDescent="0.2">
      <c r="A770" s="48">
        <f ca="1">IFERROR(__xludf.DUMMYFUNCTION("""COMPUTED_VALUE"""),46142)</f>
        <v>46142</v>
      </c>
      <c r="B770" s="4" t="str">
        <f ca="1">IFERROR(__xludf.DUMMYFUNCTION("""COMPUTED_VALUE"""),"Bensin Pertalite")</f>
        <v>Bensin Pertalite</v>
      </c>
      <c r="C770" s="4" t="str">
        <f ca="1">IFERROR(__xludf.DUMMYFUNCTION("""COMPUTED_VALUE"""),"Cash")</f>
        <v>Cash</v>
      </c>
      <c r="D770" s="4" t="str">
        <f ca="1">IFERROR(__xludf.DUMMYFUNCTION("""COMPUTED_VALUE"""),"Out")</f>
        <v>Out</v>
      </c>
      <c r="E770" s="4" t="str">
        <f ca="1">IFERROR(__xludf.DUMMYFUNCTION("""COMPUTED_VALUE"""),"Mio")</f>
        <v>Mio</v>
      </c>
      <c r="F770" s="49">
        <f ca="1">IFERROR(__xludf.DUMMYFUNCTION("""COMPUTED_VALUE"""),20000)</f>
        <v>20000</v>
      </c>
      <c r="G770" s="50" t="str">
        <f ca="1">IFERROR(__xludf.DUMMYFUNCTION("""COMPUTED_VALUE"""),"Zela")</f>
        <v>Zela</v>
      </c>
      <c r="H770" s="51">
        <f t="shared" ca="1" si="0"/>
        <v>46113</v>
      </c>
      <c r="I770" s="52" t="e">
        <f ca="1">SUMIFS(OUT!$F$2:$F$11000,OUT!$H$2:$H$11000,H770,OUT!$D$2:$D$101007,"In")</f>
        <v>#VALUE!</v>
      </c>
      <c r="J770" s="52">
        <f ca="1">SUMIFS(OUT!$F$2:$F$11000,OUT!$H$2:$H$11000,H770,OUT!$D$2:$D$11000,"Out")</f>
        <v>8253441</v>
      </c>
      <c r="K770" s="52">
        <f ca="1">SUMIFS(OUT!$F$2:$F$11000,OUT!$H$2:$H$11000,H770,OUT!$D$2:$D$11000,"Out",OUT!$E$2:$E$11000,"Fix")</f>
        <v>2554300</v>
      </c>
      <c r="L770" s="52">
        <f ca="1">SUMIFS(OUT!$F$2:$F$11000,OUT!$H$2:$H$11000,H770,OUT!$D$2:$D$11000,"Out",OUT!$E$2:$E$11000,"Bathroom")</f>
        <v>19900</v>
      </c>
      <c r="M770" s="52">
        <f ca="1">SUMIFS(OUT!$F$2:$F$11000,OUT!$H$2:$H$11000,H770,OUT!$D$2:$D$11000,"Out",OUT!$E$2:$E$11000,"Alfa")</f>
        <v>282719</v>
      </c>
      <c r="N770" s="52" t="e">
        <f ca="1">SUMIFS(OUT!$F$2:$F$11000,OUT!$H$2:$H$101007,H770,OUT!$D$2:$D$11000,"Out",OUT!$E$2:$E$11000,"Jajan")</f>
        <v>#VALUE!</v>
      </c>
      <c r="O770" s="52">
        <f ca="1">SUMIFS(OUT!$F$2:$F$11000,OUT!$H$2:$H$11000,H770,OUT!$D$2:$D$11000,"Out",OUT!$E$2:$E$11000,"Kitchen")</f>
        <v>964968</v>
      </c>
      <c r="P770" s="52">
        <f ca="1">SUMIFS(OUT!$F$2:$F$11000,OUT!$H$2:$H$11000,H770,OUT!$D$2:$D$11000,"Out",OUT!$E$2:$E$11000,"Loandry")</f>
        <v>58396</v>
      </c>
      <c r="Q770" s="52">
        <f ca="1">SUMIFS(OUT!$F$2:$F$11000,OUT!$H$2:$H$11000,H770,OUT!$D$2:$D$11000,"Out",OUT!$E$2:$E$11000,"Mio")</f>
        <v>181000</v>
      </c>
      <c r="R770" s="52">
        <f ca="1">SUMIFS(OUT!$F$2:$F$11000,OUT!$H$2:$H$11000,H770,OUT!$D$2:$D$11000,"Out",OUT!$E$2:$E$11000,"Sedekah")</f>
        <v>0</v>
      </c>
      <c r="S770" s="52">
        <f ca="1">SUMIFS(OUT!$F$2:$F$11000,OUT!$H$2:$H$11000,H770,OUT!$D$2:$D$11000,"Out",OUT!$E$2:$E$11000,"Zela")</f>
        <v>90500</v>
      </c>
      <c r="T770" s="52">
        <f ca="1">SUMIFS(OUT!$F$2:$F$11000,OUT!$H$2:$H$11000,H770,OUT!$D$2:$D$11000,"Out",OUT!$E$2:$E$11000,"Iqbal")</f>
        <v>74070</v>
      </c>
    </row>
    <row r="771" spans="1:20" x14ac:dyDescent="0.2">
      <c r="A771" s="48">
        <f ca="1">IFERROR(__xludf.DUMMYFUNCTION("""COMPUTED_VALUE"""),46141)</f>
        <v>46141</v>
      </c>
      <c r="B771" s="4" t="str">
        <f ca="1">IFERROR(__xludf.DUMMYFUNCTION("""COMPUTED_VALUE"""),"pasar Kaget ")</f>
        <v xml:space="preserve">pasar Kaget </v>
      </c>
      <c r="C771" s="4" t="str">
        <f ca="1">IFERROR(__xludf.DUMMYFUNCTION("""COMPUTED_VALUE"""),"Cash")</f>
        <v>Cash</v>
      </c>
      <c r="D771" s="4" t="str">
        <f ca="1">IFERROR(__xludf.DUMMYFUNCTION("""COMPUTED_VALUE"""),"Out")</f>
        <v>Out</v>
      </c>
      <c r="E771" s="4" t="str">
        <f ca="1">IFERROR(__xludf.DUMMYFUNCTION("""COMPUTED_VALUE"""),"Jajan")</f>
        <v>Jajan</v>
      </c>
      <c r="F771" s="49">
        <f ca="1">IFERROR(__xludf.DUMMYFUNCTION("""COMPUTED_VALUE"""),16000)</f>
        <v>16000</v>
      </c>
      <c r="G771" s="50" t="str">
        <f ca="1">IFERROR(__xludf.DUMMYFUNCTION("""COMPUTED_VALUE"""),"Zela")</f>
        <v>Zela</v>
      </c>
      <c r="H771" s="51">
        <f t="shared" ca="1" si="0"/>
        <v>46113</v>
      </c>
      <c r="I771" s="52" t="e">
        <f ca="1">SUMIFS(OUT!$F$2:$F$11000,OUT!$H$2:$H$11000,H771,OUT!$D$2:$D$101007,"In")</f>
        <v>#VALUE!</v>
      </c>
      <c r="J771" s="52">
        <f ca="1">SUMIFS(OUT!$F$2:$F$11000,OUT!$H$2:$H$11000,H771,OUT!$D$2:$D$11000,"Out")</f>
        <v>8253441</v>
      </c>
      <c r="K771" s="52">
        <f ca="1">SUMIFS(OUT!$F$2:$F$11000,OUT!$H$2:$H$11000,H771,OUT!$D$2:$D$11000,"Out",OUT!$E$2:$E$11000,"Fix")</f>
        <v>2554300</v>
      </c>
      <c r="L771" s="52">
        <f ca="1">SUMIFS(OUT!$F$2:$F$11000,OUT!$H$2:$H$11000,H771,OUT!$D$2:$D$11000,"Out",OUT!$E$2:$E$11000,"Bathroom")</f>
        <v>19900</v>
      </c>
      <c r="M771" s="52">
        <f ca="1">SUMIFS(OUT!$F$2:$F$11000,OUT!$H$2:$H$11000,H771,OUT!$D$2:$D$11000,"Out",OUT!$E$2:$E$11000,"Alfa")</f>
        <v>282719</v>
      </c>
      <c r="N771" s="52" t="e">
        <f ca="1">SUMIFS(OUT!$F$2:$F$11000,OUT!$H$2:$H$101007,H771,OUT!$D$2:$D$11000,"Out",OUT!$E$2:$E$11000,"Jajan")</f>
        <v>#VALUE!</v>
      </c>
      <c r="O771" s="52">
        <f ca="1">SUMIFS(OUT!$F$2:$F$11000,OUT!$H$2:$H$11000,H771,OUT!$D$2:$D$11000,"Out",OUT!$E$2:$E$11000,"Kitchen")</f>
        <v>964968</v>
      </c>
      <c r="P771" s="52">
        <f ca="1">SUMIFS(OUT!$F$2:$F$11000,OUT!$H$2:$H$11000,H771,OUT!$D$2:$D$11000,"Out",OUT!$E$2:$E$11000,"Loandry")</f>
        <v>58396</v>
      </c>
      <c r="Q771" s="52">
        <f ca="1">SUMIFS(OUT!$F$2:$F$11000,OUT!$H$2:$H$11000,H771,OUT!$D$2:$D$11000,"Out",OUT!$E$2:$E$11000,"Mio")</f>
        <v>181000</v>
      </c>
      <c r="R771" s="52">
        <f ca="1">SUMIFS(OUT!$F$2:$F$11000,OUT!$H$2:$H$11000,H771,OUT!$D$2:$D$11000,"Out",OUT!$E$2:$E$11000,"Sedekah")</f>
        <v>0</v>
      </c>
      <c r="S771" s="52">
        <f ca="1">SUMIFS(OUT!$F$2:$F$11000,OUT!$H$2:$H$11000,H771,OUT!$D$2:$D$11000,"Out",OUT!$E$2:$E$11000,"Zela")</f>
        <v>90500</v>
      </c>
      <c r="T771" s="52">
        <f ca="1">SUMIFS(OUT!$F$2:$F$11000,OUT!$H$2:$H$11000,H771,OUT!$D$2:$D$11000,"Out",OUT!$E$2:$E$11000,"Iqbal")</f>
        <v>74070</v>
      </c>
    </row>
    <row r="772" spans="1:20" x14ac:dyDescent="0.2">
      <c r="A772" s="48">
        <f ca="1">IFERROR(__xludf.DUMMYFUNCTION("""COMPUTED_VALUE"""),46147)</f>
        <v>46147</v>
      </c>
      <c r="B772" s="4" t="str">
        <f ca="1">IFERROR(__xludf.DUMMYFUNCTION("""COMPUTED_VALUE"""),"saldo Tiktok")</f>
        <v>saldo Tiktok</v>
      </c>
      <c r="C772" s="4" t="str">
        <f ca="1">IFERROR(__xludf.DUMMYFUNCTION("""COMPUTED_VALUE"""),"ATM")</f>
        <v>ATM</v>
      </c>
      <c r="D772" s="4" t="str">
        <f ca="1">IFERROR(__xludf.DUMMYFUNCTION("""COMPUTED_VALUE"""),"In")</f>
        <v>In</v>
      </c>
      <c r="E772" s="4" t="str">
        <f ca="1">IFERROR(__xludf.DUMMYFUNCTION("""COMPUTED_VALUE"""),"Fix")</f>
        <v>Fix</v>
      </c>
      <c r="F772" s="49">
        <f ca="1">IFERROR(__xludf.DUMMYFUNCTION("""COMPUTED_VALUE"""),47874)</f>
        <v>47874</v>
      </c>
      <c r="G772" s="50" t="str">
        <f ca="1">IFERROR(__xludf.DUMMYFUNCTION("""COMPUTED_VALUE"""),"Zela")</f>
        <v>Zela</v>
      </c>
      <c r="H772" s="51">
        <f t="shared" ca="1" si="0"/>
        <v>46143</v>
      </c>
      <c r="I772" s="52" t="e">
        <f ca="1">SUMIFS(OUT!$F$2:$F$11000,OUT!$H$2:$H$11000,H772,OUT!$D$2:$D$101007,"In")</f>
        <v>#VALUE!</v>
      </c>
      <c r="J772" s="52">
        <f ca="1">SUMIFS(OUT!$F$2:$F$11000,OUT!$H$2:$H$11000,H772,OUT!$D$2:$D$11000,"Out")</f>
        <v>9490497</v>
      </c>
      <c r="K772" s="52">
        <f ca="1">SUMIFS(OUT!$F$2:$F$11000,OUT!$H$2:$H$11000,H772,OUT!$D$2:$D$11000,"Out",OUT!$E$2:$E$11000,"Fix")</f>
        <v>2703418</v>
      </c>
      <c r="L772" s="52">
        <f ca="1">SUMIFS(OUT!$F$2:$F$11000,OUT!$H$2:$H$11000,H772,OUT!$D$2:$D$11000,"Out",OUT!$E$2:$E$11000,"Bathroom")</f>
        <v>13000</v>
      </c>
      <c r="M772" s="52">
        <f ca="1">SUMIFS(OUT!$F$2:$F$11000,OUT!$H$2:$H$11000,H772,OUT!$D$2:$D$11000,"Out",OUT!$E$2:$E$11000,"Alfa")</f>
        <v>326872</v>
      </c>
      <c r="N772" s="52" t="e">
        <f ca="1">SUMIFS(OUT!$F$2:$F$11000,OUT!$H$2:$H$101007,H772,OUT!$D$2:$D$11000,"Out",OUT!$E$2:$E$11000,"Jajan")</f>
        <v>#VALUE!</v>
      </c>
      <c r="O772" s="52">
        <f ca="1">SUMIFS(OUT!$F$2:$F$11000,OUT!$H$2:$H$11000,H772,OUT!$D$2:$D$11000,"Out",OUT!$E$2:$E$11000,"Kitchen")</f>
        <v>902100</v>
      </c>
      <c r="P772" s="52">
        <f ca="1">SUMIFS(OUT!$F$2:$F$11000,OUT!$H$2:$H$11000,H772,OUT!$D$2:$D$11000,"Out",OUT!$E$2:$E$11000,"Loandry")</f>
        <v>42900</v>
      </c>
      <c r="Q772" s="52">
        <f ca="1">SUMIFS(OUT!$F$2:$F$11000,OUT!$H$2:$H$11000,H772,OUT!$D$2:$D$11000,"Out",OUT!$E$2:$E$11000,"Mio")</f>
        <v>732000</v>
      </c>
      <c r="R772" s="52">
        <f ca="1">SUMIFS(OUT!$F$2:$F$11000,OUT!$H$2:$H$11000,H772,OUT!$D$2:$D$11000,"Out",OUT!$E$2:$E$11000,"Sedekah")</f>
        <v>0</v>
      </c>
      <c r="S772" s="52">
        <f ca="1">SUMIFS(OUT!$F$2:$F$11000,OUT!$H$2:$H$11000,H772,OUT!$D$2:$D$11000,"Out",OUT!$E$2:$E$11000,"Zela")</f>
        <v>47011</v>
      </c>
      <c r="T772" s="52">
        <f ca="1">SUMIFS(OUT!$F$2:$F$11000,OUT!$H$2:$H$11000,H772,OUT!$D$2:$D$11000,"Out",OUT!$E$2:$E$11000,"Iqbal")</f>
        <v>251000</v>
      </c>
    </row>
    <row r="773" spans="1:20" x14ac:dyDescent="0.2">
      <c r="A773" s="48">
        <f ca="1">IFERROR(__xludf.DUMMYFUNCTION("""COMPUTED_VALUE"""),46148)</f>
        <v>46148</v>
      </c>
      <c r="B773" s="4" t="str">
        <f ca="1">IFERROR(__xludf.DUMMYFUNCTION("""COMPUTED_VALUE"""),"shopee ( bakso+nuget+saos)")</f>
        <v>shopee ( bakso+nuget+saos)</v>
      </c>
      <c r="C773" s="4" t="str">
        <f ca="1">IFERROR(__xludf.DUMMYFUNCTION("""COMPUTED_VALUE"""),"ATM")</f>
        <v>ATM</v>
      </c>
      <c r="D773" s="4" t="str">
        <f ca="1">IFERROR(__xludf.DUMMYFUNCTION("""COMPUTED_VALUE"""),"Out")</f>
        <v>Out</v>
      </c>
      <c r="E773" s="4" t="str">
        <f ca="1">IFERROR(__xludf.DUMMYFUNCTION("""COMPUTED_VALUE"""),"Kitchen")</f>
        <v>Kitchen</v>
      </c>
      <c r="F773" s="49">
        <f ca="1">IFERROR(__xludf.DUMMYFUNCTION("""COMPUTED_VALUE"""),48500)</f>
        <v>48500</v>
      </c>
      <c r="G773" s="50" t="str">
        <f ca="1">IFERROR(__xludf.DUMMYFUNCTION("""COMPUTED_VALUE"""),"Zela")</f>
        <v>Zela</v>
      </c>
      <c r="H773" s="51">
        <f t="shared" ca="1" si="0"/>
        <v>46143</v>
      </c>
      <c r="I773" s="52" t="e">
        <f ca="1">SUMIFS(OUT!$F$2:$F$11000,OUT!$H$2:$H$11000,H773,OUT!$D$2:$D$101007,"In")</f>
        <v>#VALUE!</v>
      </c>
      <c r="J773" s="52">
        <f ca="1">SUMIFS(OUT!$F$2:$F$11000,OUT!$H$2:$H$11000,H773,OUT!$D$2:$D$11000,"Out")</f>
        <v>9490497</v>
      </c>
      <c r="K773" s="52">
        <f ca="1">SUMIFS(OUT!$F$2:$F$11000,OUT!$H$2:$H$11000,H773,OUT!$D$2:$D$11000,"Out",OUT!$E$2:$E$11000,"Fix")</f>
        <v>2703418</v>
      </c>
      <c r="L773" s="52">
        <f ca="1">SUMIFS(OUT!$F$2:$F$11000,OUT!$H$2:$H$11000,H773,OUT!$D$2:$D$11000,"Out",OUT!$E$2:$E$11000,"Bathroom")</f>
        <v>13000</v>
      </c>
      <c r="M773" s="52">
        <f ca="1">SUMIFS(OUT!$F$2:$F$11000,OUT!$H$2:$H$11000,H773,OUT!$D$2:$D$11000,"Out",OUT!$E$2:$E$11000,"Alfa")</f>
        <v>326872</v>
      </c>
      <c r="N773" s="52" t="e">
        <f ca="1">SUMIFS(OUT!$F$2:$F$11000,OUT!$H$2:$H$101007,H773,OUT!$D$2:$D$11000,"Out",OUT!$E$2:$E$11000,"Jajan")</f>
        <v>#VALUE!</v>
      </c>
      <c r="O773" s="52">
        <f ca="1">SUMIFS(OUT!$F$2:$F$11000,OUT!$H$2:$H$11000,H773,OUT!$D$2:$D$11000,"Out",OUT!$E$2:$E$11000,"Kitchen")</f>
        <v>902100</v>
      </c>
      <c r="P773" s="52">
        <f ca="1">SUMIFS(OUT!$F$2:$F$11000,OUT!$H$2:$H$11000,H773,OUT!$D$2:$D$11000,"Out",OUT!$E$2:$E$11000,"Loandry")</f>
        <v>42900</v>
      </c>
      <c r="Q773" s="52">
        <f ca="1">SUMIFS(OUT!$F$2:$F$11000,OUT!$H$2:$H$11000,H773,OUT!$D$2:$D$11000,"Out",OUT!$E$2:$E$11000,"Mio")</f>
        <v>732000</v>
      </c>
      <c r="R773" s="52">
        <f ca="1">SUMIFS(OUT!$F$2:$F$11000,OUT!$H$2:$H$11000,H773,OUT!$D$2:$D$11000,"Out",OUT!$E$2:$E$11000,"Sedekah")</f>
        <v>0</v>
      </c>
      <c r="S773" s="52">
        <f ca="1">SUMIFS(OUT!$F$2:$F$11000,OUT!$H$2:$H$11000,H773,OUT!$D$2:$D$11000,"Out",OUT!$E$2:$E$11000,"Zela")</f>
        <v>47011</v>
      </c>
      <c r="T773" s="52">
        <f ca="1">SUMIFS(OUT!$F$2:$F$11000,OUT!$H$2:$H$11000,H773,OUT!$D$2:$D$11000,"Out",OUT!$E$2:$E$11000,"Iqbal")</f>
        <v>251000</v>
      </c>
    </row>
    <row r="774" spans="1:20" x14ac:dyDescent="0.2">
      <c r="A774" s="48">
        <f ca="1">IFERROR(__xludf.DUMMYFUNCTION("""COMPUTED_VALUE"""),46150)</f>
        <v>46150</v>
      </c>
      <c r="B774" s="4" t="str">
        <f ca="1">IFERROR(__xludf.DUMMYFUNCTION("""COMPUTED_VALUE"""),"suamiku")</f>
        <v>suamiku</v>
      </c>
      <c r="C774" s="4" t="str">
        <f ca="1">IFERROR(__xludf.DUMMYFUNCTION("""COMPUTED_VALUE"""),"ATM")</f>
        <v>ATM</v>
      </c>
      <c r="D774" s="4" t="str">
        <f ca="1">IFERROR(__xludf.DUMMYFUNCTION("""COMPUTED_VALUE"""),"In")</f>
        <v>In</v>
      </c>
      <c r="E774" s="4" t="str">
        <f ca="1">IFERROR(__xludf.DUMMYFUNCTION("""COMPUTED_VALUE"""),"Fix")</f>
        <v>Fix</v>
      </c>
      <c r="F774" s="49">
        <f ca="1">IFERROR(__xludf.DUMMYFUNCTION("""COMPUTED_VALUE"""),1450000)</f>
        <v>1450000</v>
      </c>
      <c r="G774" s="50" t="str">
        <f ca="1">IFERROR(__xludf.DUMMYFUNCTION("""COMPUTED_VALUE"""),"Zela")</f>
        <v>Zela</v>
      </c>
      <c r="H774" s="51">
        <f t="shared" ca="1" si="0"/>
        <v>46143</v>
      </c>
      <c r="I774" s="52" t="e">
        <f ca="1">SUMIFS(OUT!$F$2:$F$11000,OUT!$H$2:$H$11000,H774,OUT!$D$2:$D$101007,"In")</f>
        <v>#VALUE!</v>
      </c>
      <c r="J774" s="52">
        <f ca="1">SUMIFS(OUT!$F$2:$F$11000,OUT!$H$2:$H$11000,H774,OUT!$D$2:$D$11000,"Out")</f>
        <v>9490497</v>
      </c>
      <c r="K774" s="52">
        <f ca="1">SUMIFS(OUT!$F$2:$F$11000,OUT!$H$2:$H$11000,H774,OUT!$D$2:$D$11000,"Out",OUT!$E$2:$E$11000,"Fix")</f>
        <v>2703418</v>
      </c>
      <c r="L774" s="52">
        <f ca="1">SUMIFS(OUT!$F$2:$F$11000,OUT!$H$2:$H$11000,H774,OUT!$D$2:$D$11000,"Out",OUT!$E$2:$E$11000,"Bathroom")</f>
        <v>13000</v>
      </c>
      <c r="M774" s="52">
        <f ca="1">SUMIFS(OUT!$F$2:$F$11000,OUT!$H$2:$H$11000,H774,OUT!$D$2:$D$11000,"Out",OUT!$E$2:$E$11000,"Alfa")</f>
        <v>326872</v>
      </c>
      <c r="N774" s="52" t="e">
        <f ca="1">SUMIFS(OUT!$F$2:$F$11000,OUT!$H$2:$H$101007,H774,OUT!$D$2:$D$11000,"Out",OUT!$E$2:$E$11000,"Jajan")</f>
        <v>#VALUE!</v>
      </c>
      <c r="O774" s="52">
        <f ca="1">SUMIFS(OUT!$F$2:$F$11000,OUT!$H$2:$H$11000,H774,OUT!$D$2:$D$11000,"Out",OUT!$E$2:$E$11000,"Kitchen")</f>
        <v>902100</v>
      </c>
      <c r="P774" s="52">
        <f ca="1">SUMIFS(OUT!$F$2:$F$11000,OUT!$H$2:$H$11000,H774,OUT!$D$2:$D$11000,"Out",OUT!$E$2:$E$11000,"Loandry")</f>
        <v>42900</v>
      </c>
      <c r="Q774" s="52">
        <f ca="1">SUMIFS(OUT!$F$2:$F$11000,OUT!$H$2:$H$11000,H774,OUT!$D$2:$D$11000,"Out",OUT!$E$2:$E$11000,"Mio")</f>
        <v>732000</v>
      </c>
      <c r="R774" s="52">
        <f ca="1">SUMIFS(OUT!$F$2:$F$11000,OUT!$H$2:$H$11000,H774,OUT!$D$2:$D$11000,"Out",OUT!$E$2:$E$11000,"Sedekah")</f>
        <v>0</v>
      </c>
      <c r="S774" s="52">
        <f ca="1">SUMIFS(OUT!$F$2:$F$11000,OUT!$H$2:$H$11000,H774,OUT!$D$2:$D$11000,"Out",OUT!$E$2:$E$11000,"Zela")</f>
        <v>47011</v>
      </c>
      <c r="T774" s="52">
        <f ca="1">SUMIFS(OUT!$F$2:$F$11000,OUT!$H$2:$H$11000,H774,OUT!$D$2:$D$11000,"Out",OUT!$E$2:$E$11000,"Iqbal")</f>
        <v>251000</v>
      </c>
    </row>
    <row r="775" spans="1:20" x14ac:dyDescent="0.2">
      <c r="A775" s="48">
        <f ca="1">IFERROR(__xludf.DUMMYFUNCTION("""COMPUTED_VALUE"""),46150)</f>
        <v>46150</v>
      </c>
      <c r="B775" s="4" t="str">
        <f ca="1">IFERROR(__xludf.DUMMYFUNCTION("""COMPUTED_VALUE"""),"suamiku")</f>
        <v>suamiku</v>
      </c>
      <c r="C775" s="4" t="str">
        <f ca="1">IFERROR(__xludf.DUMMYFUNCTION("""COMPUTED_VALUE"""),"Cash")</f>
        <v>Cash</v>
      </c>
      <c r="D775" s="4" t="str">
        <f ca="1">IFERROR(__xludf.DUMMYFUNCTION("""COMPUTED_VALUE"""),"In")</f>
        <v>In</v>
      </c>
      <c r="E775" s="4" t="str">
        <f ca="1">IFERROR(__xludf.DUMMYFUNCTION("""COMPUTED_VALUE"""),"Fix")</f>
        <v>Fix</v>
      </c>
      <c r="F775" s="49">
        <f ca="1">IFERROR(__xludf.DUMMYFUNCTION("""COMPUTED_VALUE"""),2500)</f>
        <v>2500</v>
      </c>
      <c r="G775" s="50" t="str">
        <f ca="1">IFERROR(__xludf.DUMMYFUNCTION("""COMPUTED_VALUE"""),"Zela")</f>
        <v>Zela</v>
      </c>
      <c r="H775" s="51">
        <f t="shared" ca="1" si="0"/>
        <v>46143</v>
      </c>
      <c r="I775" s="52" t="e">
        <f ca="1">SUMIFS(OUT!$F$2:$F$11000,OUT!$H$2:$H$11000,H775,OUT!$D$2:$D$101007,"In")</f>
        <v>#VALUE!</v>
      </c>
      <c r="J775" s="52">
        <f ca="1">SUMIFS(OUT!$F$2:$F$11000,OUT!$H$2:$H$11000,H775,OUT!$D$2:$D$11000,"Out")</f>
        <v>9490497</v>
      </c>
      <c r="K775" s="52">
        <f ca="1">SUMIFS(OUT!$F$2:$F$11000,OUT!$H$2:$H$11000,H775,OUT!$D$2:$D$11000,"Out",OUT!$E$2:$E$11000,"Fix")</f>
        <v>2703418</v>
      </c>
      <c r="L775" s="52">
        <f ca="1">SUMIFS(OUT!$F$2:$F$11000,OUT!$H$2:$H$11000,H775,OUT!$D$2:$D$11000,"Out",OUT!$E$2:$E$11000,"Bathroom")</f>
        <v>13000</v>
      </c>
      <c r="M775" s="52">
        <f ca="1">SUMIFS(OUT!$F$2:$F$11000,OUT!$H$2:$H$11000,H775,OUT!$D$2:$D$11000,"Out",OUT!$E$2:$E$11000,"Alfa")</f>
        <v>326872</v>
      </c>
      <c r="N775" s="52" t="e">
        <f ca="1">SUMIFS(OUT!$F$2:$F$11000,OUT!$H$2:$H$101007,H775,OUT!$D$2:$D$11000,"Out",OUT!$E$2:$E$11000,"Jajan")</f>
        <v>#VALUE!</v>
      </c>
      <c r="O775" s="52">
        <f ca="1">SUMIFS(OUT!$F$2:$F$11000,OUT!$H$2:$H$11000,H775,OUT!$D$2:$D$11000,"Out",OUT!$E$2:$E$11000,"Kitchen")</f>
        <v>902100</v>
      </c>
      <c r="P775" s="52">
        <f ca="1">SUMIFS(OUT!$F$2:$F$11000,OUT!$H$2:$H$11000,H775,OUT!$D$2:$D$11000,"Out",OUT!$E$2:$E$11000,"Loandry")</f>
        <v>42900</v>
      </c>
      <c r="Q775" s="52">
        <f ca="1">SUMIFS(OUT!$F$2:$F$11000,OUT!$H$2:$H$11000,H775,OUT!$D$2:$D$11000,"Out",OUT!$E$2:$E$11000,"Mio")</f>
        <v>732000</v>
      </c>
      <c r="R775" s="52">
        <f ca="1">SUMIFS(OUT!$F$2:$F$11000,OUT!$H$2:$H$11000,H775,OUT!$D$2:$D$11000,"Out",OUT!$E$2:$E$11000,"Sedekah")</f>
        <v>0</v>
      </c>
      <c r="S775" s="52">
        <f ca="1">SUMIFS(OUT!$F$2:$F$11000,OUT!$H$2:$H$11000,H775,OUT!$D$2:$D$11000,"Out",OUT!$E$2:$E$11000,"Zela")</f>
        <v>47011</v>
      </c>
      <c r="T775" s="52">
        <f ca="1">SUMIFS(OUT!$F$2:$F$11000,OUT!$H$2:$H$11000,H775,OUT!$D$2:$D$11000,"Out",OUT!$E$2:$E$11000,"Iqbal")</f>
        <v>251000</v>
      </c>
    </row>
    <row r="776" spans="1:20" x14ac:dyDescent="0.2">
      <c r="A776" s="48">
        <f ca="1">IFERROR(__xludf.DUMMYFUNCTION("""COMPUTED_VALUE"""),46150)</f>
        <v>46150</v>
      </c>
      <c r="B776" s="4" t="str">
        <f ca="1">IFERROR(__xludf.DUMMYFUNCTION("""COMPUTED_VALUE"""),"Paket Telkomsel 28 Hari 7g")</f>
        <v>Paket Telkomsel 28 Hari 7g</v>
      </c>
      <c r="C776" s="4" t="str">
        <f ca="1">IFERROR(__xludf.DUMMYFUNCTION("""COMPUTED_VALUE"""),"ATM")</f>
        <v>ATM</v>
      </c>
      <c r="D776" s="4" t="str">
        <f ca="1">IFERROR(__xludf.DUMMYFUNCTION("""COMPUTED_VALUE"""),"Out")</f>
        <v>Out</v>
      </c>
      <c r="E776" s="4" t="str">
        <f ca="1">IFERROR(__xludf.DUMMYFUNCTION("""COMPUTED_VALUE"""),"Fix")</f>
        <v>Fix</v>
      </c>
      <c r="F776" s="49">
        <f ca="1">IFERROR(__xludf.DUMMYFUNCTION("""COMPUTED_VALUE"""),35000)</f>
        <v>35000</v>
      </c>
      <c r="G776" s="50" t="str">
        <f ca="1">IFERROR(__xludf.DUMMYFUNCTION("""COMPUTED_VALUE"""),"Zela")</f>
        <v>Zela</v>
      </c>
      <c r="H776" s="51">
        <f t="shared" ca="1" si="0"/>
        <v>46143</v>
      </c>
      <c r="I776" s="52" t="e">
        <f ca="1">SUMIFS(OUT!$F$2:$F$11000,OUT!$H$2:$H$11000,H776,OUT!$D$2:$D$101007,"In")</f>
        <v>#VALUE!</v>
      </c>
      <c r="J776" s="52">
        <f ca="1">SUMIFS(OUT!$F$2:$F$11000,OUT!$H$2:$H$11000,H776,OUT!$D$2:$D$11000,"Out")</f>
        <v>9490497</v>
      </c>
      <c r="K776" s="52">
        <f ca="1">SUMIFS(OUT!$F$2:$F$11000,OUT!$H$2:$H$11000,H776,OUT!$D$2:$D$11000,"Out",OUT!$E$2:$E$11000,"Fix")</f>
        <v>2703418</v>
      </c>
      <c r="L776" s="52">
        <f ca="1">SUMIFS(OUT!$F$2:$F$11000,OUT!$H$2:$H$11000,H776,OUT!$D$2:$D$11000,"Out",OUT!$E$2:$E$11000,"Bathroom")</f>
        <v>13000</v>
      </c>
      <c r="M776" s="52">
        <f ca="1">SUMIFS(OUT!$F$2:$F$11000,OUT!$H$2:$H$11000,H776,OUT!$D$2:$D$11000,"Out",OUT!$E$2:$E$11000,"Alfa")</f>
        <v>326872</v>
      </c>
      <c r="N776" s="52" t="e">
        <f ca="1">SUMIFS(OUT!$F$2:$F$11000,OUT!$H$2:$H$101007,H776,OUT!$D$2:$D$11000,"Out",OUT!$E$2:$E$11000,"Jajan")</f>
        <v>#VALUE!</v>
      </c>
      <c r="O776" s="52">
        <f ca="1">SUMIFS(OUT!$F$2:$F$11000,OUT!$H$2:$H$11000,H776,OUT!$D$2:$D$11000,"Out",OUT!$E$2:$E$11000,"Kitchen")</f>
        <v>902100</v>
      </c>
      <c r="P776" s="52">
        <f ca="1">SUMIFS(OUT!$F$2:$F$11000,OUT!$H$2:$H$11000,H776,OUT!$D$2:$D$11000,"Out",OUT!$E$2:$E$11000,"Loandry")</f>
        <v>42900</v>
      </c>
      <c r="Q776" s="52">
        <f ca="1">SUMIFS(OUT!$F$2:$F$11000,OUT!$H$2:$H$11000,H776,OUT!$D$2:$D$11000,"Out",OUT!$E$2:$E$11000,"Mio")</f>
        <v>732000</v>
      </c>
      <c r="R776" s="52">
        <f ca="1">SUMIFS(OUT!$F$2:$F$11000,OUT!$H$2:$H$11000,H776,OUT!$D$2:$D$11000,"Out",OUT!$E$2:$E$11000,"Sedekah")</f>
        <v>0</v>
      </c>
      <c r="S776" s="52">
        <f ca="1">SUMIFS(OUT!$F$2:$F$11000,OUT!$H$2:$H$11000,H776,OUT!$D$2:$D$11000,"Out",OUT!$E$2:$E$11000,"Zela")</f>
        <v>47011</v>
      </c>
      <c r="T776" s="52">
        <f ca="1">SUMIFS(OUT!$F$2:$F$11000,OUT!$H$2:$H$11000,H776,OUT!$D$2:$D$11000,"Out",OUT!$E$2:$E$11000,"Iqbal")</f>
        <v>251000</v>
      </c>
    </row>
    <row r="777" spans="1:20" x14ac:dyDescent="0.2">
      <c r="A777" s="48">
        <f ca="1">IFERROR(__xludf.DUMMYFUNCTION("""COMPUTED_VALUE"""),46150)</f>
        <v>46150</v>
      </c>
      <c r="B777" s="4" t="str">
        <f ca="1">IFERROR(__xludf.DUMMYFUNCTION("""COMPUTED_VALUE"""),"Taeik Tunai ")</f>
        <v xml:space="preserve">Taeik Tunai </v>
      </c>
      <c r="C777" s="4" t="str">
        <f ca="1">IFERROR(__xludf.DUMMYFUNCTION("""COMPUTED_VALUE"""),"ATM")</f>
        <v>ATM</v>
      </c>
      <c r="D777" s="4" t="str">
        <f ca="1">IFERROR(__xludf.DUMMYFUNCTION("""COMPUTED_VALUE"""),"Out")</f>
        <v>Out</v>
      </c>
      <c r="E777" s="4" t="str">
        <f ca="1">IFERROR(__xludf.DUMMYFUNCTION("""COMPUTED_VALUE"""),"Move")</f>
        <v>Move</v>
      </c>
      <c r="F777" s="49">
        <f ca="1">IFERROR(__xludf.DUMMYFUNCTION("""COMPUTED_VALUE"""),200000)</f>
        <v>200000</v>
      </c>
      <c r="G777" s="50" t="str">
        <f ca="1">IFERROR(__xludf.DUMMYFUNCTION("""COMPUTED_VALUE"""),"Zela")</f>
        <v>Zela</v>
      </c>
      <c r="H777" s="51">
        <f t="shared" ca="1" si="0"/>
        <v>46143</v>
      </c>
      <c r="I777" s="52" t="e">
        <f ca="1">SUMIFS(OUT!$F$2:$F$11000,OUT!$H$2:$H$11000,H777,OUT!$D$2:$D$101007,"In")</f>
        <v>#VALUE!</v>
      </c>
      <c r="J777" s="52">
        <f ca="1">SUMIFS(OUT!$F$2:$F$11000,OUT!$H$2:$H$11000,H777,OUT!$D$2:$D$11000,"Out")</f>
        <v>9490497</v>
      </c>
      <c r="K777" s="52">
        <f ca="1">SUMIFS(OUT!$F$2:$F$11000,OUT!$H$2:$H$11000,H777,OUT!$D$2:$D$11000,"Out",OUT!$E$2:$E$11000,"Fix")</f>
        <v>2703418</v>
      </c>
      <c r="L777" s="52">
        <f ca="1">SUMIFS(OUT!$F$2:$F$11000,OUT!$H$2:$H$11000,H777,OUT!$D$2:$D$11000,"Out",OUT!$E$2:$E$11000,"Bathroom")</f>
        <v>13000</v>
      </c>
      <c r="M777" s="52">
        <f ca="1">SUMIFS(OUT!$F$2:$F$11000,OUT!$H$2:$H$11000,H777,OUT!$D$2:$D$11000,"Out",OUT!$E$2:$E$11000,"Alfa")</f>
        <v>326872</v>
      </c>
      <c r="N777" s="52" t="e">
        <f ca="1">SUMIFS(OUT!$F$2:$F$11000,OUT!$H$2:$H$101007,H777,OUT!$D$2:$D$11000,"Out",OUT!$E$2:$E$11000,"Jajan")</f>
        <v>#VALUE!</v>
      </c>
      <c r="O777" s="52">
        <f ca="1">SUMIFS(OUT!$F$2:$F$11000,OUT!$H$2:$H$11000,H777,OUT!$D$2:$D$11000,"Out",OUT!$E$2:$E$11000,"Kitchen")</f>
        <v>902100</v>
      </c>
      <c r="P777" s="52">
        <f ca="1">SUMIFS(OUT!$F$2:$F$11000,OUT!$H$2:$H$11000,H777,OUT!$D$2:$D$11000,"Out",OUT!$E$2:$E$11000,"Loandry")</f>
        <v>42900</v>
      </c>
      <c r="Q777" s="52">
        <f ca="1">SUMIFS(OUT!$F$2:$F$11000,OUT!$H$2:$H$11000,H777,OUT!$D$2:$D$11000,"Out",OUT!$E$2:$E$11000,"Mio")</f>
        <v>732000</v>
      </c>
      <c r="R777" s="52">
        <f ca="1">SUMIFS(OUT!$F$2:$F$11000,OUT!$H$2:$H$11000,H777,OUT!$D$2:$D$11000,"Out",OUT!$E$2:$E$11000,"Sedekah")</f>
        <v>0</v>
      </c>
      <c r="S777" s="52">
        <f ca="1">SUMIFS(OUT!$F$2:$F$11000,OUT!$H$2:$H$11000,H777,OUT!$D$2:$D$11000,"Out",OUT!$E$2:$E$11000,"Zela")</f>
        <v>47011</v>
      </c>
      <c r="T777" s="52">
        <f ca="1">SUMIFS(OUT!$F$2:$F$11000,OUT!$H$2:$H$11000,H777,OUT!$D$2:$D$11000,"Out",OUT!$E$2:$E$11000,"Iqbal")</f>
        <v>251000</v>
      </c>
    </row>
    <row r="778" spans="1:20" x14ac:dyDescent="0.2">
      <c r="A778" s="48">
        <f ca="1">IFERROR(__xludf.DUMMYFUNCTION("""COMPUTED_VALUE"""),46150)</f>
        <v>46150</v>
      </c>
      <c r="B778" s="4" t="str">
        <f ca="1">IFERROR(__xludf.DUMMYFUNCTION("""COMPUTED_VALUE"""),"Terima Tunai ")</f>
        <v xml:space="preserve">Terima Tunai </v>
      </c>
      <c r="C778" s="4" t="str">
        <f ca="1">IFERROR(__xludf.DUMMYFUNCTION("""COMPUTED_VALUE"""),"Cash")</f>
        <v>Cash</v>
      </c>
      <c r="D778" s="4" t="str">
        <f ca="1">IFERROR(__xludf.DUMMYFUNCTION("""COMPUTED_VALUE"""),"In")</f>
        <v>In</v>
      </c>
      <c r="E778" s="4" t="str">
        <f ca="1">IFERROR(__xludf.DUMMYFUNCTION("""COMPUTED_VALUE"""),"Move")</f>
        <v>Move</v>
      </c>
      <c r="F778" s="49">
        <f ca="1">IFERROR(__xludf.DUMMYFUNCTION("""COMPUTED_VALUE"""),200000)</f>
        <v>200000</v>
      </c>
      <c r="G778" s="50" t="str">
        <f ca="1">IFERROR(__xludf.DUMMYFUNCTION("""COMPUTED_VALUE"""),"Zela")</f>
        <v>Zela</v>
      </c>
      <c r="H778" s="51">
        <f t="shared" ca="1" si="0"/>
        <v>46143</v>
      </c>
      <c r="I778" s="52" t="e">
        <f ca="1">SUMIFS(OUT!$F$2:$F$11000,OUT!$H$2:$H$11000,H778,OUT!$D$2:$D$101007,"In")</f>
        <v>#VALUE!</v>
      </c>
      <c r="J778" s="52">
        <f ca="1">SUMIFS(OUT!$F$2:$F$11000,OUT!$H$2:$H$11000,H778,OUT!$D$2:$D$11000,"Out")</f>
        <v>9490497</v>
      </c>
      <c r="K778" s="52">
        <f ca="1">SUMIFS(OUT!$F$2:$F$11000,OUT!$H$2:$H$11000,H778,OUT!$D$2:$D$11000,"Out",OUT!$E$2:$E$11000,"Fix")</f>
        <v>2703418</v>
      </c>
      <c r="L778" s="52">
        <f ca="1">SUMIFS(OUT!$F$2:$F$11000,OUT!$H$2:$H$11000,H778,OUT!$D$2:$D$11000,"Out",OUT!$E$2:$E$11000,"Bathroom")</f>
        <v>13000</v>
      </c>
      <c r="M778" s="52">
        <f ca="1">SUMIFS(OUT!$F$2:$F$11000,OUT!$H$2:$H$11000,H778,OUT!$D$2:$D$11000,"Out",OUT!$E$2:$E$11000,"Alfa")</f>
        <v>326872</v>
      </c>
      <c r="N778" s="52" t="e">
        <f ca="1">SUMIFS(OUT!$F$2:$F$11000,OUT!$H$2:$H$101007,H778,OUT!$D$2:$D$11000,"Out",OUT!$E$2:$E$11000,"Jajan")</f>
        <v>#VALUE!</v>
      </c>
      <c r="O778" s="52">
        <f ca="1">SUMIFS(OUT!$F$2:$F$11000,OUT!$H$2:$H$11000,H778,OUT!$D$2:$D$11000,"Out",OUT!$E$2:$E$11000,"Kitchen")</f>
        <v>902100</v>
      </c>
      <c r="P778" s="52">
        <f ca="1">SUMIFS(OUT!$F$2:$F$11000,OUT!$H$2:$H$11000,H778,OUT!$D$2:$D$11000,"Out",OUT!$E$2:$E$11000,"Loandry")</f>
        <v>42900</v>
      </c>
      <c r="Q778" s="52">
        <f ca="1">SUMIFS(OUT!$F$2:$F$11000,OUT!$H$2:$H$11000,H778,OUT!$D$2:$D$11000,"Out",OUT!$E$2:$E$11000,"Mio")</f>
        <v>732000</v>
      </c>
      <c r="R778" s="52">
        <f ca="1">SUMIFS(OUT!$F$2:$F$11000,OUT!$H$2:$H$11000,H778,OUT!$D$2:$D$11000,"Out",OUT!$E$2:$E$11000,"Sedekah")</f>
        <v>0</v>
      </c>
      <c r="S778" s="52">
        <f ca="1">SUMIFS(OUT!$F$2:$F$11000,OUT!$H$2:$H$11000,H778,OUT!$D$2:$D$11000,"Out",OUT!$E$2:$E$11000,"Zela")</f>
        <v>47011</v>
      </c>
      <c r="T778" s="52">
        <f ca="1">SUMIFS(OUT!$F$2:$F$11000,OUT!$H$2:$H$11000,H778,OUT!$D$2:$D$11000,"Out",OUT!$E$2:$E$11000,"Iqbal")</f>
        <v>251000</v>
      </c>
    </row>
    <row r="779" spans="1:20" x14ac:dyDescent="0.2">
      <c r="A779" s="48">
        <f ca="1">IFERROR(__xludf.DUMMYFUNCTION("""COMPUTED_VALUE"""),46150)</f>
        <v>46150</v>
      </c>
      <c r="B779" s="4" t="str">
        <f ca="1">IFERROR(__xludf.DUMMYFUNCTION("""COMPUTED_VALUE"""),"Pasar Kaget ")</f>
        <v xml:space="preserve">Pasar Kaget </v>
      </c>
      <c r="C779" s="4" t="str">
        <f ca="1">IFERROR(__xludf.DUMMYFUNCTION("""COMPUTED_VALUE"""),"Cash")</f>
        <v>Cash</v>
      </c>
      <c r="D779" s="4" t="str">
        <f ca="1">IFERROR(__xludf.DUMMYFUNCTION("""COMPUTED_VALUE"""),"Out")</f>
        <v>Out</v>
      </c>
      <c r="E779" s="4" t="str">
        <f ca="1">IFERROR(__xludf.DUMMYFUNCTION("""COMPUTED_VALUE"""),"Kitchen")</f>
        <v>Kitchen</v>
      </c>
      <c r="F779" s="49">
        <f ca="1">IFERROR(__xludf.DUMMYFUNCTION("""COMPUTED_VALUE"""),121000)</f>
        <v>121000</v>
      </c>
      <c r="G779" s="50" t="str">
        <f ca="1">IFERROR(__xludf.DUMMYFUNCTION("""COMPUTED_VALUE"""),"Zela")</f>
        <v>Zela</v>
      </c>
      <c r="H779" s="51">
        <f t="shared" ca="1" si="0"/>
        <v>46143</v>
      </c>
      <c r="I779" s="52" t="e">
        <f ca="1">SUMIFS(OUT!$F$2:$F$11000,OUT!$H$2:$H$11000,H779,OUT!$D$2:$D$101007,"In")</f>
        <v>#VALUE!</v>
      </c>
      <c r="J779" s="52">
        <f ca="1">SUMIFS(OUT!$F$2:$F$11000,OUT!$H$2:$H$11000,H779,OUT!$D$2:$D$11000,"Out")</f>
        <v>9490497</v>
      </c>
      <c r="K779" s="52">
        <f ca="1">SUMIFS(OUT!$F$2:$F$11000,OUT!$H$2:$H$11000,H779,OUT!$D$2:$D$11000,"Out",OUT!$E$2:$E$11000,"Fix")</f>
        <v>2703418</v>
      </c>
      <c r="L779" s="52">
        <f ca="1">SUMIFS(OUT!$F$2:$F$11000,OUT!$H$2:$H$11000,H779,OUT!$D$2:$D$11000,"Out",OUT!$E$2:$E$11000,"Bathroom")</f>
        <v>13000</v>
      </c>
      <c r="M779" s="52">
        <f ca="1">SUMIFS(OUT!$F$2:$F$11000,OUT!$H$2:$H$11000,H779,OUT!$D$2:$D$11000,"Out",OUT!$E$2:$E$11000,"Alfa")</f>
        <v>326872</v>
      </c>
      <c r="N779" s="52" t="e">
        <f ca="1">SUMIFS(OUT!$F$2:$F$11000,OUT!$H$2:$H$101007,H779,OUT!$D$2:$D$11000,"Out",OUT!$E$2:$E$11000,"Jajan")</f>
        <v>#VALUE!</v>
      </c>
      <c r="O779" s="52">
        <f ca="1">SUMIFS(OUT!$F$2:$F$11000,OUT!$H$2:$H$11000,H779,OUT!$D$2:$D$11000,"Out",OUT!$E$2:$E$11000,"Kitchen")</f>
        <v>902100</v>
      </c>
      <c r="P779" s="52">
        <f ca="1">SUMIFS(OUT!$F$2:$F$11000,OUT!$H$2:$H$11000,H779,OUT!$D$2:$D$11000,"Out",OUT!$E$2:$E$11000,"Loandry")</f>
        <v>42900</v>
      </c>
      <c r="Q779" s="52">
        <f ca="1">SUMIFS(OUT!$F$2:$F$11000,OUT!$H$2:$H$11000,H779,OUT!$D$2:$D$11000,"Out",OUT!$E$2:$E$11000,"Mio")</f>
        <v>732000</v>
      </c>
      <c r="R779" s="52">
        <f ca="1">SUMIFS(OUT!$F$2:$F$11000,OUT!$H$2:$H$11000,H779,OUT!$D$2:$D$11000,"Out",OUT!$E$2:$E$11000,"Sedekah")</f>
        <v>0</v>
      </c>
      <c r="S779" s="52">
        <f ca="1">SUMIFS(OUT!$F$2:$F$11000,OUT!$H$2:$H$11000,H779,OUT!$D$2:$D$11000,"Out",OUT!$E$2:$E$11000,"Zela")</f>
        <v>47011</v>
      </c>
      <c r="T779" s="52">
        <f ca="1">SUMIFS(OUT!$F$2:$F$11000,OUT!$H$2:$H$11000,H779,OUT!$D$2:$D$11000,"Out",OUT!$E$2:$E$11000,"Iqbal")</f>
        <v>251000</v>
      </c>
    </row>
    <row r="780" spans="1:20" x14ac:dyDescent="0.2">
      <c r="A780" s="48">
        <f ca="1">IFERROR(__xludf.DUMMYFUNCTION("""COMPUTED_VALUE"""),46150)</f>
        <v>46150</v>
      </c>
      <c r="B780" s="4" t="str">
        <f ca="1">IFERROR(__xludf.DUMMYFUNCTION("""COMPUTED_VALUE"""),"Afamart ( Tisu basah + Kering )")</f>
        <v>Afamart ( Tisu basah + Kering )</v>
      </c>
      <c r="C780" s="4" t="str">
        <f ca="1">IFERROR(__xludf.DUMMYFUNCTION("""COMPUTED_VALUE"""),"ATM")</f>
        <v>ATM</v>
      </c>
      <c r="D780" s="4" t="str">
        <f ca="1">IFERROR(__xludf.DUMMYFUNCTION("""COMPUTED_VALUE"""),"Out")</f>
        <v>Out</v>
      </c>
      <c r="E780" s="4" t="str">
        <f ca="1">IFERROR(__xludf.DUMMYFUNCTION("""COMPUTED_VALUE"""),"Alfa")</f>
        <v>Alfa</v>
      </c>
      <c r="F780" s="49">
        <f ca="1">IFERROR(__xludf.DUMMYFUNCTION("""COMPUTED_VALUE"""),34400)</f>
        <v>34400</v>
      </c>
      <c r="G780" s="50" t="str">
        <f ca="1">IFERROR(__xludf.DUMMYFUNCTION("""COMPUTED_VALUE"""),"Zela")</f>
        <v>Zela</v>
      </c>
      <c r="H780" s="51">
        <f t="shared" ca="1" si="0"/>
        <v>46143</v>
      </c>
      <c r="I780" s="52" t="e">
        <f ca="1">SUMIFS(OUT!$F$2:$F$11000,OUT!$H$2:$H$11000,H780,OUT!$D$2:$D$101007,"In")</f>
        <v>#VALUE!</v>
      </c>
      <c r="J780" s="52">
        <f ca="1">SUMIFS(OUT!$F$2:$F$11000,OUT!$H$2:$H$11000,H780,OUT!$D$2:$D$11000,"Out")</f>
        <v>9490497</v>
      </c>
      <c r="K780" s="52">
        <f ca="1">SUMIFS(OUT!$F$2:$F$11000,OUT!$H$2:$H$11000,H780,OUT!$D$2:$D$11000,"Out",OUT!$E$2:$E$11000,"Fix")</f>
        <v>2703418</v>
      </c>
      <c r="L780" s="52">
        <f ca="1">SUMIFS(OUT!$F$2:$F$11000,OUT!$H$2:$H$11000,H780,OUT!$D$2:$D$11000,"Out",OUT!$E$2:$E$11000,"Bathroom")</f>
        <v>13000</v>
      </c>
      <c r="M780" s="52">
        <f ca="1">SUMIFS(OUT!$F$2:$F$11000,OUT!$H$2:$H$11000,H780,OUT!$D$2:$D$11000,"Out",OUT!$E$2:$E$11000,"Alfa")</f>
        <v>326872</v>
      </c>
      <c r="N780" s="52" t="e">
        <f ca="1">SUMIFS(OUT!$F$2:$F$11000,OUT!$H$2:$H$101007,H780,OUT!$D$2:$D$11000,"Out",OUT!$E$2:$E$11000,"Jajan")</f>
        <v>#VALUE!</v>
      </c>
      <c r="O780" s="52">
        <f ca="1">SUMIFS(OUT!$F$2:$F$11000,OUT!$H$2:$H$11000,H780,OUT!$D$2:$D$11000,"Out",OUT!$E$2:$E$11000,"Kitchen")</f>
        <v>902100</v>
      </c>
      <c r="P780" s="52">
        <f ca="1">SUMIFS(OUT!$F$2:$F$11000,OUT!$H$2:$H$11000,H780,OUT!$D$2:$D$11000,"Out",OUT!$E$2:$E$11000,"Loandry")</f>
        <v>42900</v>
      </c>
      <c r="Q780" s="52">
        <f ca="1">SUMIFS(OUT!$F$2:$F$11000,OUT!$H$2:$H$11000,H780,OUT!$D$2:$D$11000,"Out",OUT!$E$2:$E$11000,"Mio")</f>
        <v>732000</v>
      </c>
      <c r="R780" s="52">
        <f ca="1">SUMIFS(OUT!$F$2:$F$11000,OUT!$H$2:$H$11000,H780,OUT!$D$2:$D$11000,"Out",OUT!$E$2:$E$11000,"Sedekah")</f>
        <v>0</v>
      </c>
      <c r="S780" s="52">
        <f ca="1">SUMIFS(OUT!$F$2:$F$11000,OUT!$H$2:$H$11000,H780,OUT!$D$2:$D$11000,"Out",OUT!$E$2:$E$11000,"Zela")</f>
        <v>47011</v>
      </c>
      <c r="T780" s="52">
        <f ca="1">SUMIFS(OUT!$F$2:$F$11000,OUT!$H$2:$H$11000,H780,OUT!$D$2:$D$11000,"Out",OUT!$E$2:$E$11000,"Iqbal")</f>
        <v>251000</v>
      </c>
    </row>
    <row r="781" spans="1:20" x14ac:dyDescent="0.2">
      <c r="A781" s="48">
        <f ca="1">IFERROR(__xludf.DUMMYFUNCTION("""COMPUTED_VALUE"""),46150)</f>
        <v>46150</v>
      </c>
      <c r="B781" s="4" t="str">
        <f ca="1">IFERROR(__xludf.DUMMYFUNCTION("""COMPUTED_VALUE"""),"Alfamart ( susu )")</f>
        <v>Alfamart ( susu )</v>
      </c>
      <c r="C781" s="4" t="str">
        <f ca="1">IFERROR(__xludf.DUMMYFUNCTION("""COMPUTED_VALUE"""),"ATM")</f>
        <v>ATM</v>
      </c>
      <c r="D781" s="4" t="str">
        <f ca="1">IFERROR(__xludf.DUMMYFUNCTION("""COMPUTED_VALUE"""),"Out")</f>
        <v>Out</v>
      </c>
      <c r="E781" s="4" t="str">
        <f ca="1">IFERROR(__xludf.DUMMYFUNCTION("""COMPUTED_VALUE"""),"Alfa")</f>
        <v>Alfa</v>
      </c>
      <c r="F781" s="49">
        <f ca="1">IFERROR(__xludf.DUMMYFUNCTION("""COMPUTED_VALUE"""),39900)</f>
        <v>39900</v>
      </c>
      <c r="G781" s="50" t="str">
        <f ca="1">IFERROR(__xludf.DUMMYFUNCTION("""COMPUTED_VALUE"""),"Zela")</f>
        <v>Zela</v>
      </c>
      <c r="H781" s="51">
        <f t="shared" ca="1" si="0"/>
        <v>46143</v>
      </c>
      <c r="I781" s="52" t="e">
        <f ca="1">SUMIFS(OUT!$F$2:$F$11000,OUT!$H$2:$H$11000,H781,OUT!$D$2:$D$101007,"In")</f>
        <v>#VALUE!</v>
      </c>
      <c r="J781" s="52">
        <f ca="1">SUMIFS(OUT!$F$2:$F$11000,OUT!$H$2:$H$11000,H781,OUT!$D$2:$D$11000,"Out")</f>
        <v>9490497</v>
      </c>
      <c r="K781" s="52">
        <f ca="1">SUMIFS(OUT!$F$2:$F$11000,OUT!$H$2:$H$11000,H781,OUT!$D$2:$D$11000,"Out",OUT!$E$2:$E$11000,"Fix")</f>
        <v>2703418</v>
      </c>
      <c r="L781" s="52">
        <f ca="1">SUMIFS(OUT!$F$2:$F$11000,OUT!$H$2:$H$11000,H781,OUT!$D$2:$D$11000,"Out",OUT!$E$2:$E$11000,"Bathroom")</f>
        <v>13000</v>
      </c>
      <c r="M781" s="52">
        <f ca="1">SUMIFS(OUT!$F$2:$F$11000,OUT!$H$2:$H$11000,H781,OUT!$D$2:$D$11000,"Out",OUT!$E$2:$E$11000,"Alfa")</f>
        <v>326872</v>
      </c>
      <c r="N781" s="52" t="e">
        <f ca="1">SUMIFS(OUT!$F$2:$F$11000,OUT!$H$2:$H$101007,H781,OUT!$D$2:$D$11000,"Out",OUT!$E$2:$E$11000,"Jajan")</f>
        <v>#VALUE!</v>
      </c>
      <c r="O781" s="52">
        <f ca="1">SUMIFS(OUT!$F$2:$F$11000,OUT!$H$2:$H$11000,H781,OUT!$D$2:$D$11000,"Out",OUT!$E$2:$E$11000,"Kitchen")</f>
        <v>902100</v>
      </c>
      <c r="P781" s="52">
        <f ca="1">SUMIFS(OUT!$F$2:$F$11000,OUT!$H$2:$H$11000,H781,OUT!$D$2:$D$11000,"Out",OUT!$E$2:$E$11000,"Loandry")</f>
        <v>42900</v>
      </c>
      <c r="Q781" s="52">
        <f ca="1">SUMIFS(OUT!$F$2:$F$11000,OUT!$H$2:$H$11000,H781,OUT!$D$2:$D$11000,"Out",OUT!$E$2:$E$11000,"Mio")</f>
        <v>732000</v>
      </c>
      <c r="R781" s="52">
        <f ca="1">SUMIFS(OUT!$F$2:$F$11000,OUT!$H$2:$H$11000,H781,OUT!$D$2:$D$11000,"Out",OUT!$E$2:$E$11000,"Sedekah")</f>
        <v>0</v>
      </c>
      <c r="S781" s="52">
        <f ca="1">SUMIFS(OUT!$F$2:$F$11000,OUT!$H$2:$H$11000,H781,OUT!$D$2:$D$11000,"Out",OUT!$E$2:$E$11000,"Zela")</f>
        <v>47011</v>
      </c>
      <c r="T781" s="52">
        <f ca="1">SUMIFS(OUT!$F$2:$F$11000,OUT!$H$2:$H$11000,H781,OUT!$D$2:$D$11000,"Out",OUT!$E$2:$E$11000,"Iqbal")</f>
        <v>251000</v>
      </c>
    </row>
    <row r="782" spans="1:20" x14ac:dyDescent="0.2">
      <c r="A782" s="48">
        <f ca="1">IFERROR(__xludf.DUMMYFUNCTION("""COMPUTED_VALUE"""),46150)</f>
        <v>46150</v>
      </c>
      <c r="B782" s="4" t="str">
        <f ca="1">IFERROR(__xludf.DUMMYFUNCTION("""COMPUTED_VALUE"""),"Alfamart ( Royal )")</f>
        <v>Alfamart ( Royal )</v>
      </c>
      <c r="C782" s="4" t="str">
        <f ca="1">IFERROR(__xludf.DUMMYFUNCTION("""COMPUTED_VALUE"""),"ATM")</f>
        <v>ATM</v>
      </c>
      <c r="D782" s="4" t="str">
        <f ca="1">IFERROR(__xludf.DUMMYFUNCTION("""COMPUTED_VALUE"""),"Out")</f>
        <v>Out</v>
      </c>
      <c r="E782" s="4" t="str">
        <f ca="1">IFERROR(__xludf.DUMMYFUNCTION("""COMPUTED_VALUE"""),"Loandry")</f>
        <v>Loandry</v>
      </c>
      <c r="F782" s="49">
        <f ca="1">IFERROR(__xludf.DUMMYFUNCTION("""COMPUTED_VALUE"""),13900)</f>
        <v>13900</v>
      </c>
      <c r="G782" s="50" t="str">
        <f ca="1">IFERROR(__xludf.DUMMYFUNCTION("""COMPUTED_VALUE"""),"Zela")</f>
        <v>Zela</v>
      </c>
      <c r="H782" s="51">
        <f t="shared" ca="1" si="0"/>
        <v>46143</v>
      </c>
      <c r="I782" s="52" t="e">
        <f ca="1">SUMIFS(OUT!$F$2:$F$11000,OUT!$H$2:$H$11000,H782,OUT!$D$2:$D$101007,"In")</f>
        <v>#VALUE!</v>
      </c>
      <c r="J782" s="52">
        <f ca="1">SUMIFS(OUT!$F$2:$F$11000,OUT!$H$2:$H$11000,H782,OUT!$D$2:$D$11000,"Out")</f>
        <v>9490497</v>
      </c>
      <c r="K782" s="52">
        <f ca="1">SUMIFS(OUT!$F$2:$F$11000,OUT!$H$2:$H$11000,H782,OUT!$D$2:$D$11000,"Out",OUT!$E$2:$E$11000,"Fix")</f>
        <v>2703418</v>
      </c>
      <c r="L782" s="52">
        <f ca="1">SUMIFS(OUT!$F$2:$F$11000,OUT!$H$2:$H$11000,H782,OUT!$D$2:$D$11000,"Out",OUT!$E$2:$E$11000,"Bathroom")</f>
        <v>13000</v>
      </c>
      <c r="M782" s="52">
        <f ca="1">SUMIFS(OUT!$F$2:$F$11000,OUT!$H$2:$H$11000,H782,OUT!$D$2:$D$11000,"Out",OUT!$E$2:$E$11000,"Alfa")</f>
        <v>326872</v>
      </c>
      <c r="N782" s="52" t="e">
        <f ca="1">SUMIFS(OUT!$F$2:$F$11000,OUT!$H$2:$H$101007,H782,OUT!$D$2:$D$11000,"Out",OUT!$E$2:$E$11000,"Jajan")</f>
        <v>#VALUE!</v>
      </c>
      <c r="O782" s="52">
        <f ca="1">SUMIFS(OUT!$F$2:$F$11000,OUT!$H$2:$H$11000,H782,OUT!$D$2:$D$11000,"Out",OUT!$E$2:$E$11000,"Kitchen")</f>
        <v>902100</v>
      </c>
      <c r="P782" s="52">
        <f ca="1">SUMIFS(OUT!$F$2:$F$11000,OUT!$H$2:$H$11000,H782,OUT!$D$2:$D$11000,"Out",OUT!$E$2:$E$11000,"Loandry")</f>
        <v>42900</v>
      </c>
      <c r="Q782" s="52">
        <f ca="1">SUMIFS(OUT!$F$2:$F$11000,OUT!$H$2:$H$11000,H782,OUT!$D$2:$D$11000,"Out",OUT!$E$2:$E$11000,"Mio")</f>
        <v>732000</v>
      </c>
      <c r="R782" s="52">
        <f ca="1">SUMIFS(OUT!$F$2:$F$11000,OUT!$H$2:$H$11000,H782,OUT!$D$2:$D$11000,"Out",OUT!$E$2:$E$11000,"Sedekah")</f>
        <v>0</v>
      </c>
      <c r="S782" s="52">
        <f ca="1">SUMIFS(OUT!$F$2:$F$11000,OUT!$H$2:$H$11000,H782,OUT!$D$2:$D$11000,"Out",OUT!$E$2:$E$11000,"Zela")</f>
        <v>47011</v>
      </c>
      <c r="T782" s="52">
        <f ca="1">SUMIFS(OUT!$F$2:$F$11000,OUT!$H$2:$H$11000,H782,OUT!$D$2:$D$11000,"Out",OUT!$E$2:$E$11000,"Iqbal")</f>
        <v>251000</v>
      </c>
    </row>
    <row r="783" spans="1:20" x14ac:dyDescent="0.2">
      <c r="A783" s="48">
        <f ca="1">IFERROR(__xludf.DUMMYFUNCTION("""COMPUTED_VALUE"""),46150)</f>
        <v>46150</v>
      </c>
      <c r="B783" s="4" t="str">
        <f ca="1">IFERROR(__xludf.DUMMYFUNCTION("""COMPUTED_VALUE"""),"indomaret ( pempes )")</f>
        <v>indomaret ( pempes )</v>
      </c>
      <c r="C783" s="4" t="str">
        <f ca="1">IFERROR(__xludf.DUMMYFUNCTION("""COMPUTED_VALUE"""),"ATM")</f>
        <v>ATM</v>
      </c>
      <c r="D783" s="4" t="str">
        <f ca="1">IFERROR(__xludf.DUMMYFUNCTION("""COMPUTED_VALUE"""),"Out")</f>
        <v>Out</v>
      </c>
      <c r="E783" s="4" t="str">
        <f ca="1">IFERROR(__xludf.DUMMYFUNCTION("""COMPUTED_VALUE"""),"Alfa")</f>
        <v>Alfa</v>
      </c>
      <c r="F783" s="49">
        <f ca="1">IFERROR(__xludf.DUMMYFUNCTION("""COMPUTED_VALUE"""),35900)</f>
        <v>35900</v>
      </c>
      <c r="G783" s="50" t="str">
        <f ca="1">IFERROR(__xludf.DUMMYFUNCTION("""COMPUTED_VALUE"""),"Zela")</f>
        <v>Zela</v>
      </c>
      <c r="H783" s="51">
        <f t="shared" ca="1" si="0"/>
        <v>46143</v>
      </c>
      <c r="I783" s="52" t="e">
        <f ca="1">SUMIFS(OUT!$F$2:$F$11000,OUT!$H$2:$H$11000,H783,OUT!$D$2:$D$101007,"In")</f>
        <v>#VALUE!</v>
      </c>
      <c r="J783" s="52">
        <f ca="1">SUMIFS(OUT!$F$2:$F$11000,OUT!$H$2:$H$11000,H783,OUT!$D$2:$D$11000,"Out")</f>
        <v>9490497</v>
      </c>
      <c r="K783" s="52">
        <f ca="1">SUMIFS(OUT!$F$2:$F$11000,OUT!$H$2:$H$11000,H783,OUT!$D$2:$D$11000,"Out",OUT!$E$2:$E$11000,"Fix")</f>
        <v>2703418</v>
      </c>
      <c r="L783" s="52">
        <f ca="1">SUMIFS(OUT!$F$2:$F$11000,OUT!$H$2:$H$11000,H783,OUT!$D$2:$D$11000,"Out",OUT!$E$2:$E$11000,"Bathroom")</f>
        <v>13000</v>
      </c>
      <c r="M783" s="52">
        <f ca="1">SUMIFS(OUT!$F$2:$F$11000,OUT!$H$2:$H$11000,H783,OUT!$D$2:$D$11000,"Out",OUT!$E$2:$E$11000,"Alfa")</f>
        <v>326872</v>
      </c>
      <c r="N783" s="52" t="e">
        <f ca="1">SUMIFS(OUT!$F$2:$F$11000,OUT!$H$2:$H$101007,H783,OUT!$D$2:$D$11000,"Out",OUT!$E$2:$E$11000,"Jajan")</f>
        <v>#VALUE!</v>
      </c>
      <c r="O783" s="52">
        <f ca="1">SUMIFS(OUT!$F$2:$F$11000,OUT!$H$2:$H$11000,H783,OUT!$D$2:$D$11000,"Out",OUT!$E$2:$E$11000,"Kitchen")</f>
        <v>902100</v>
      </c>
      <c r="P783" s="52">
        <f ca="1">SUMIFS(OUT!$F$2:$F$11000,OUT!$H$2:$H$11000,H783,OUT!$D$2:$D$11000,"Out",OUT!$E$2:$E$11000,"Loandry")</f>
        <v>42900</v>
      </c>
      <c r="Q783" s="52">
        <f ca="1">SUMIFS(OUT!$F$2:$F$11000,OUT!$H$2:$H$11000,H783,OUT!$D$2:$D$11000,"Out",OUT!$E$2:$E$11000,"Mio")</f>
        <v>732000</v>
      </c>
      <c r="R783" s="52">
        <f ca="1">SUMIFS(OUT!$F$2:$F$11000,OUT!$H$2:$H$11000,H783,OUT!$D$2:$D$11000,"Out",OUT!$E$2:$E$11000,"Sedekah")</f>
        <v>0</v>
      </c>
      <c r="S783" s="52">
        <f ca="1">SUMIFS(OUT!$F$2:$F$11000,OUT!$H$2:$H$11000,H783,OUT!$D$2:$D$11000,"Out",OUT!$E$2:$E$11000,"Zela")</f>
        <v>47011</v>
      </c>
      <c r="T783" s="52">
        <f ca="1">SUMIFS(OUT!$F$2:$F$11000,OUT!$H$2:$H$11000,H783,OUT!$D$2:$D$11000,"Out",OUT!$E$2:$E$11000,"Iqbal")</f>
        <v>251000</v>
      </c>
    </row>
    <row r="784" spans="1:20" x14ac:dyDescent="0.2">
      <c r="A784" s="48">
        <f ca="1">IFERROR(__xludf.DUMMYFUNCTION("""COMPUTED_VALUE"""),46151)</f>
        <v>46151</v>
      </c>
      <c r="B784" s="4" t="str">
        <f ca="1">IFERROR(__xludf.DUMMYFUNCTION("""COMPUTED_VALUE"""),"Minyak goreng")</f>
        <v>Minyak goreng</v>
      </c>
      <c r="C784" s="4" t="str">
        <f ca="1">IFERROR(__xludf.DUMMYFUNCTION("""COMPUTED_VALUE"""),"Cash")</f>
        <v>Cash</v>
      </c>
      <c r="D784" s="4" t="str">
        <f ca="1">IFERROR(__xludf.DUMMYFUNCTION("""COMPUTED_VALUE"""),"Out")</f>
        <v>Out</v>
      </c>
      <c r="E784" s="4" t="str">
        <f ca="1">IFERROR(__xludf.DUMMYFUNCTION("""COMPUTED_VALUE"""),"Kitchen")</f>
        <v>Kitchen</v>
      </c>
      <c r="F784" s="49">
        <f ca="1">IFERROR(__xludf.DUMMYFUNCTION("""COMPUTED_VALUE"""),21000)</f>
        <v>21000</v>
      </c>
      <c r="G784" s="50" t="str">
        <f ca="1">IFERROR(__xludf.DUMMYFUNCTION("""COMPUTED_VALUE"""),"Zela")</f>
        <v>Zela</v>
      </c>
      <c r="H784" s="51">
        <f t="shared" ca="1" si="0"/>
        <v>46143</v>
      </c>
      <c r="I784" s="52" t="e">
        <f ca="1">SUMIFS(OUT!$F$2:$F$11000,OUT!$H$2:$H$11000,H784,OUT!$D$2:$D$101007,"In")</f>
        <v>#VALUE!</v>
      </c>
      <c r="J784" s="52">
        <f ca="1">SUMIFS(OUT!$F$2:$F$11000,OUT!$H$2:$H$11000,H784,OUT!$D$2:$D$11000,"Out")</f>
        <v>9490497</v>
      </c>
      <c r="K784" s="52">
        <f ca="1">SUMIFS(OUT!$F$2:$F$11000,OUT!$H$2:$H$11000,H784,OUT!$D$2:$D$11000,"Out",OUT!$E$2:$E$11000,"Fix")</f>
        <v>2703418</v>
      </c>
      <c r="L784" s="52">
        <f ca="1">SUMIFS(OUT!$F$2:$F$11000,OUT!$H$2:$H$11000,H784,OUT!$D$2:$D$11000,"Out",OUT!$E$2:$E$11000,"Bathroom")</f>
        <v>13000</v>
      </c>
      <c r="M784" s="52">
        <f ca="1">SUMIFS(OUT!$F$2:$F$11000,OUT!$H$2:$H$11000,H784,OUT!$D$2:$D$11000,"Out",OUT!$E$2:$E$11000,"Alfa")</f>
        <v>326872</v>
      </c>
      <c r="N784" s="52" t="e">
        <f ca="1">SUMIFS(OUT!$F$2:$F$11000,OUT!$H$2:$H$101007,H784,OUT!$D$2:$D$11000,"Out",OUT!$E$2:$E$11000,"Jajan")</f>
        <v>#VALUE!</v>
      </c>
      <c r="O784" s="52">
        <f ca="1">SUMIFS(OUT!$F$2:$F$11000,OUT!$H$2:$H$11000,H784,OUT!$D$2:$D$11000,"Out",OUT!$E$2:$E$11000,"Kitchen")</f>
        <v>902100</v>
      </c>
      <c r="P784" s="52">
        <f ca="1">SUMIFS(OUT!$F$2:$F$11000,OUT!$H$2:$H$11000,H784,OUT!$D$2:$D$11000,"Out",OUT!$E$2:$E$11000,"Loandry")</f>
        <v>42900</v>
      </c>
      <c r="Q784" s="52">
        <f ca="1">SUMIFS(OUT!$F$2:$F$11000,OUT!$H$2:$H$11000,H784,OUT!$D$2:$D$11000,"Out",OUT!$E$2:$E$11000,"Mio")</f>
        <v>732000</v>
      </c>
      <c r="R784" s="52">
        <f ca="1">SUMIFS(OUT!$F$2:$F$11000,OUT!$H$2:$H$11000,H784,OUT!$D$2:$D$11000,"Out",OUT!$E$2:$E$11000,"Sedekah")</f>
        <v>0</v>
      </c>
      <c r="S784" s="52">
        <f ca="1">SUMIFS(OUT!$F$2:$F$11000,OUT!$H$2:$H$11000,H784,OUT!$D$2:$D$11000,"Out",OUT!$E$2:$E$11000,"Zela")</f>
        <v>47011</v>
      </c>
      <c r="T784" s="52">
        <f ca="1">SUMIFS(OUT!$F$2:$F$11000,OUT!$H$2:$H$11000,H784,OUT!$D$2:$D$11000,"Out",OUT!$E$2:$E$11000,"Iqbal")</f>
        <v>251000</v>
      </c>
    </row>
    <row r="785" spans="1:20" x14ac:dyDescent="0.2">
      <c r="A785" s="48">
        <f ca="1">IFERROR(__xludf.DUMMYFUNCTION("""COMPUTED_VALUE"""),46151)</f>
        <v>46151</v>
      </c>
      <c r="B785" s="4" t="str">
        <f ca="1">IFERROR(__xludf.DUMMYFUNCTION("""COMPUTED_VALUE"""),"mol3n+roti")</f>
        <v>mol3n+roti</v>
      </c>
      <c r="C785" s="4" t="str">
        <f ca="1">IFERROR(__xludf.DUMMYFUNCTION("""COMPUTED_VALUE"""),"Cash")</f>
        <v>Cash</v>
      </c>
      <c r="D785" s="4" t="str">
        <f ca="1">IFERROR(__xludf.DUMMYFUNCTION("""COMPUTED_VALUE"""),"Out")</f>
        <v>Out</v>
      </c>
      <c r="E785" s="4" t="str">
        <f ca="1">IFERROR(__xludf.DUMMYFUNCTION("""COMPUTED_VALUE"""),"Jajan")</f>
        <v>Jajan</v>
      </c>
      <c r="F785" s="49">
        <f ca="1">IFERROR(__xludf.DUMMYFUNCTION("""COMPUTED_VALUE"""),14000)</f>
        <v>14000</v>
      </c>
      <c r="G785" s="50" t="str">
        <f ca="1">IFERROR(__xludf.DUMMYFUNCTION("""COMPUTED_VALUE"""),"Zela")</f>
        <v>Zela</v>
      </c>
      <c r="H785" s="51">
        <f t="shared" ca="1" si="0"/>
        <v>46143</v>
      </c>
      <c r="I785" s="52" t="e">
        <f ca="1">SUMIFS(OUT!$F$2:$F$11000,OUT!$H$2:$H$11000,H785,OUT!$D$2:$D$101007,"In")</f>
        <v>#VALUE!</v>
      </c>
      <c r="J785" s="52">
        <f ca="1">SUMIFS(OUT!$F$2:$F$11000,OUT!$H$2:$H$11000,H785,OUT!$D$2:$D$11000,"Out")</f>
        <v>9490497</v>
      </c>
      <c r="K785" s="52">
        <f ca="1">SUMIFS(OUT!$F$2:$F$11000,OUT!$H$2:$H$11000,H785,OUT!$D$2:$D$11000,"Out",OUT!$E$2:$E$11000,"Fix")</f>
        <v>2703418</v>
      </c>
      <c r="L785" s="52">
        <f ca="1">SUMIFS(OUT!$F$2:$F$11000,OUT!$H$2:$H$11000,H785,OUT!$D$2:$D$11000,"Out",OUT!$E$2:$E$11000,"Bathroom")</f>
        <v>13000</v>
      </c>
      <c r="M785" s="52">
        <f ca="1">SUMIFS(OUT!$F$2:$F$11000,OUT!$H$2:$H$11000,H785,OUT!$D$2:$D$11000,"Out",OUT!$E$2:$E$11000,"Alfa")</f>
        <v>326872</v>
      </c>
      <c r="N785" s="52" t="e">
        <f ca="1">SUMIFS(OUT!$F$2:$F$11000,OUT!$H$2:$H$101007,H785,OUT!$D$2:$D$11000,"Out",OUT!$E$2:$E$11000,"Jajan")</f>
        <v>#VALUE!</v>
      </c>
      <c r="O785" s="52">
        <f ca="1">SUMIFS(OUT!$F$2:$F$11000,OUT!$H$2:$H$11000,H785,OUT!$D$2:$D$11000,"Out",OUT!$E$2:$E$11000,"Kitchen")</f>
        <v>902100</v>
      </c>
      <c r="P785" s="52">
        <f ca="1">SUMIFS(OUT!$F$2:$F$11000,OUT!$H$2:$H$11000,H785,OUT!$D$2:$D$11000,"Out",OUT!$E$2:$E$11000,"Loandry")</f>
        <v>42900</v>
      </c>
      <c r="Q785" s="52">
        <f ca="1">SUMIFS(OUT!$F$2:$F$11000,OUT!$H$2:$H$11000,H785,OUT!$D$2:$D$11000,"Out",OUT!$E$2:$E$11000,"Mio")</f>
        <v>732000</v>
      </c>
      <c r="R785" s="52">
        <f ca="1">SUMIFS(OUT!$F$2:$F$11000,OUT!$H$2:$H$11000,H785,OUT!$D$2:$D$11000,"Out",OUT!$E$2:$E$11000,"Sedekah")</f>
        <v>0</v>
      </c>
      <c r="S785" s="52">
        <f ca="1">SUMIFS(OUT!$F$2:$F$11000,OUT!$H$2:$H$11000,H785,OUT!$D$2:$D$11000,"Out",OUT!$E$2:$E$11000,"Zela")</f>
        <v>47011</v>
      </c>
      <c r="T785" s="52">
        <f ca="1">SUMIFS(OUT!$F$2:$F$11000,OUT!$H$2:$H$11000,H785,OUT!$D$2:$D$11000,"Out",OUT!$E$2:$E$11000,"Iqbal")</f>
        <v>251000</v>
      </c>
    </row>
    <row r="786" spans="1:20" x14ac:dyDescent="0.2">
      <c r="A786" s="48">
        <f ca="1">IFERROR(__xludf.DUMMYFUNCTION("""COMPUTED_VALUE"""),46151)</f>
        <v>46151</v>
      </c>
      <c r="B786" s="4" t="str">
        <f ca="1">IFERROR(__xludf.DUMMYFUNCTION("""COMPUTED_VALUE"""),"salap tangan")</f>
        <v>salap tangan</v>
      </c>
      <c r="C786" s="4" t="str">
        <f ca="1">IFERROR(__xludf.DUMMYFUNCTION("""COMPUTED_VALUE"""),"Cash")</f>
        <v>Cash</v>
      </c>
      <c r="D786" s="4" t="str">
        <f ca="1">IFERROR(__xludf.DUMMYFUNCTION("""COMPUTED_VALUE"""),"Out")</f>
        <v>Out</v>
      </c>
      <c r="E786" s="4" t="str">
        <f ca="1">IFERROR(__xludf.DUMMYFUNCTION("""COMPUTED_VALUE"""),"Zela")</f>
        <v>Zela</v>
      </c>
      <c r="F786" s="49">
        <f ca="1">IFERROR(__xludf.DUMMYFUNCTION("""COMPUTED_VALUE"""),6000)</f>
        <v>6000</v>
      </c>
      <c r="G786" s="50" t="str">
        <f ca="1">IFERROR(__xludf.DUMMYFUNCTION("""COMPUTED_VALUE"""),"Zela")</f>
        <v>Zela</v>
      </c>
      <c r="H786" s="51">
        <f t="shared" ca="1" si="0"/>
        <v>46143</v>
      </c>
      <c r="I786" s="52" t="e">
        <f ca="1">SUMIFS(OUT!$F$2:$F$11000,OUT!$H$2:$H$11000,H786,OUT!$D$2:$D$101007,"In")</f>
        <v>#VALUE!</v>
      </c>
      <c r="J786" s="52">
        <f ca="1">SUMIFS(OUT!$F$2:$F$11000,OUT!$H$2:$H$11000,H786,OUT!$D$2:$D$11000,"Out")</f>
        <v>9490497</v>
      </c>
      <c r="K786" s="52">
        <f ca="1">SUMIFS(OUT!$F$2:$F$11000,OUT!$H$2:$H$11000,H786,OUT!$D$2:$D$11000,"Out",OUT!$E$2:$E$11000,"Fix")</f>
        <v>2703418</v>
      </c>
      <c r="L786" s="52">
        <f ca="1">SUMIFS(OUT!$F$2:$F$11000,OUT!$H$2:$H$11000,H786,OUT!$D$2:$D$11000,"Out",OUT!$E$2:$E$11000,"Bathroom")</f>
        <v>13000</v>
      </c>
      <c r="M786" s="52">
        <f ca="1">SUMIFS(OUT!$F$2:$F$11000,OUT!$H$2:$H$11000,H786,OUT!$D$2:$D$11000,"Out",OUT!$E$2:$E$11000,"Alfa")</f>
        <v>326872</v>
      </c>
      <c r="N786" s="52" t="e">
        <f ca="1">SUMIFS(OUT!$F$2:$F$11000,OUT!$H$2:$H$101007,H786,OUT!$D$2:$D$11000,"Out",OUT!$E$2:$E$11000,"Jajan")</f>
        <v>#VALUE!</v>
      </c>
      <c r="O786" s="52">
        <f ca="1">SUMIFS(OUT!$F$2:$F$11000,OUT!$H$2:$H$11000,H786,OUT!$D$2:$D$11000,"Out",OUT!$E$2:$E$11000,"Kitchen")</f>
        <v>902100</v>
      </c>
      <c r="P786" s="52">
        <f ca="1">SUMIFS(OUT!$F$2:$F$11000,OUT!$H$2:$H$11000,H786,OUT!$D$2:$D$11000,"Out",OUT!$E$2:$E$11000,"Loandry")</f>
        <v>42900</v>
      </c>
      <c r="Q786" s="52">
        <f ca="1">SUMIFS(OUT!$F$2:$F$11000,OUT!$H$2:$H$11000,H786,OUT!$D$2:$D$11000,"Out",OUT!$E$2:$E$11000,"Mio")</f>
        <v>732000</v>
      </c>
      <c r="R786" s="52">
        <f ca="1">SUMIFS(OUT!$F$2:$F$11000,OUT!$H$2:$H$11000,H786,OUT!$D$2:$D$11000,"Out",OUT!$E$2:$E$11000,"Sedekah")</f>
        <v>0</v>
      </c>
      <c r="S786" s="52">
        <f ca="1">SUMIFS(OUT!$F$2:$F$11000,OUT!$H$2:$H$11000,H786,OUT!$D$2:$D$11000,"Out",OUT!$E$2:$E$11000,"Zela")</f>
        <v>47011</v>
      </c>
      <c r="T786" s="52">
        <f ca="1">SUMIFS(OUT!$F$2:$F$11000,OUT!$H$2:$H$11000,H786,OUT!$D$2:$D$11000,"Out",OUT!$E$2:$E$11000,"Iqbal")</f>
        <v>251000</v>
      </c>
    </row>
    <row r="787" spans="1:20" x14ac:dyDescent="0.2">
      <c r="A787" s="48">
        <f ca="1">IFERROR(__xludf.DUMMYFUNCTION("""COMPUTED_VALUE"""),46151)</f>
        <v>46151</v>
      </c>
      <c r="B787" s="4" t="str">
        <f ca="1">IFERROR(__xludf.DUMMYFUNCTION("""COMPUTED_VALUE"""),"bakso bakar+es jeruk")</f>
        <v>bakso bakar+es jeruk</v>
      </c>
      <c r="C787" s="4" t="str">
        <f ca="1">IFERROR(__xludf.DUMMYFUNCTION("""COMPUTED_VALUE"""),"Cash")</f>
        <v>Cash</v>
      </c>
      <c r="D787" s="4" t="str">
        <f ca="1">IFERROR(__xludf.DUMMYFUNCTION("""COMPUTED_VALUE"""),"Out")</f>
        <v>Out</v>
      </c>
      <c r="E787" s="4" t="str">
        <f ca="1">IFERROR(__xludf.DUMMYFUNCTION("""COMPUTED_VALUE"""),"Jajan")</f>
        <v>Jajan</v>
      </c>
      <c r="F787" s="49">
        <f ca="1">IFERROR(__xludf.DUMMYFUNCTION("""COMPUTED_VALUE"""),33000)</f>
        <v>33000</v>
      </c>
      <c r="G787" s="50" t="str">
        <f ca="1">IFERROR(__xludf.DUMMYFUNCTION("""COMPUTED_VALUE"""),"Zela")</f>
        <v>Zela</v>
      </c>
      <c r="H787" s="51">
        <f t="shared" ca="1" si="0"/>
        <v>46143</v>
      </c>
      <c r="I787" s="52" t="e">
        <f ca="1">SUMIFS(OUT!$F$2:$F$11000,OUT!$H$2:$H$11000,H787,OUT!$D$2:$D$101007,"In")</f>
        <v>#VALUE!</v>
      </c>
      <c r="J787" s="52">
        <f ca="1">SUMIFS(OUT!$F$2:$F$11000,OUT!$H$2:$H$11000,H787,OUT!$D$2:$D$11000,"Out")</f>
        <v>9490497</v>
      </c>
      <c r="K787" s="52">
        <f ca="1">SUMIFS(OUT!$F$2:$F$11000,OUT!$H$2:$H$11000,H787,OUT!$D$2:$D$11000,"Out",OUT!$E$2:$E$11000,"Fix")</f>
        <v>2703418</v>
      </c>
      <c r="L787" s="52">
        <f ca="1">SUMIFS(OUT!$F$2:$F$11000,OUT!$H$2:$H$11000,H787,OUT!$D$2:$D$11000,"Out",OUT!$E$2:$E$11000,"Bathroom")</f>
        <v>13000</v>
      </c>
      <c r="M787" s="52">
        <f ca="1">SUMIFS(OUT!$F$2:$F$11000,OUT!$H$2:$H$11000,H787,OUT!$D$2:$D$11000,"Out",OUT!$E$2:$E$11000,"Alfa")</f>
        <v>326872</v>
      </c>
      <c r="N787" s="52" t="e">
        <f ca="1">SUMIFS(OUT!$F$2:$F$11000,OUT!$H$2:$H$101007,H787,OUT!$D$2:$D$11000,"Out",OUT!$E$2:$E$11000,"Jajan")</f>
        <v>#VALUE!</v>
      </c>
      <c r="O787" s="52">
        <f ca="1">SUMIFS(OUT!$F$2:$F$11000,OUT!$H$2:$H$11000,H787,OUT!$D$2:$D$11000,"Out",OUT!$E$2:$E$11000,"Kitchen")</f>
        <v>902100</v>
      </c>
      <c r="P787" s="52">
        <f ca="1">SUMIFS(OUT!$F$2:$F$11000,OUT!$H$2:$H$11000,H787,OUT!$D$2:$D$11000,"Out",OUT!$E$2:$E$11000,"Loandry")</f>
        <v>42900</v>
      </c>
      <c r="Q787" s="52">
        <f ca="1">SUMIFS(OUT!$F$2:$F$11000,OUT!$H$2:$H$11000,H787,OUT!$D$2:$D$11000,"Out",OUT!$E$2:$E$11000,"Mio")</f>
        <v>732000</v>
      </c>
      <c r="R787" s="52">
        <f ca="1">SUMIFS(OUT!$F$2:$F$11000,OUT!$H$2:$H$11000,H787,OUT!$D$2:$D$11000,"Out",OUT!$E$2:$E$11000,"Sedekah")</f>
        <v>0</v>
      </c>
      <c r="S787" s="52">
        <f ca="1">SUMIFS(OUT!$F$2:$F$11000,OUT!$H$2:$H$11000,H787,OUT!$D$2:$D$11000,"Out",OUT!$E$2:$E$11000,"Zela")</f>
        <v>47011</v>
      </c>
      <c r="T787" s="52">
        <f ca="1">SUMIFS(OUT!$F$2:$F$11000,OUT!$H$2:$H$11000,H787,OUT!$D$2:$D$11000,"Out",OUT!$E$2:$E$11000,"Iqbal")</f>
        <v>251000</v>
      </c>
    </row>
    <row r="788" spans="1:20" x14ac:dyDescent="0.2">
      <c r="A788" s="48">
        <f ca="1">IFERROR(__xludf.DUMMYFUNCTION("""COMPUTED_VALUE"""),46152)</f>
        <v>46152</v>
      </c>
      <c r="B788" s="4" t="str">
        <f ca="1">IFERROR(__xludf.DUMMYFUNCTION("""COMPUTED_VALUE"""),"Tarik tunai ")</f>
        <v xml:space="preserve">Tarik tunai </v>
      </c>
      <c r="C788" s="4" t="str">
        <f ca="1">IFERROR(__xludf.DUMMYFUNCTION("""COMPUTED_VALUE"""),"ATM")</f>
        <v>ATM</v>
      </c>
      <c r="D788" s="4" t="str">
        <f ca="1">IFERROR(__xludf.DUMMYFUNCTION("""COMPUTED_VALUE"""),"Out")</f>
        <v>Out</v>
      </c>
      <c r="E788" s="4" t="str">
        <f ca="1">IFERROR(__xludf.DUMMYFUNCTION("""COMPUTED_VALUE"""),"Move")</f>
        <v>Move</v>
      </c>
      <c r="F788" s="49">
        <f ca="1">IFERROR(__xludf.DUMMYFUNCTION("""COMPUTED_VALUE"""),100000)</f>
        <v>100000</v>
      </c>
      <c r="G788" s="50" t="str">
        <f ca="1">IFERROR(__xludf.DUMMYFUNCTION("""COMPUTED_VALUE"""),"Zela")</f>
        <v>Zela</v>
      </c>
      <c r="H788" s="51">
        <f t="shared" ca="1" si="0"/>
        <v>46143</v>
      </c>
      <c r="I788" s="52" t="e">
        <f ca="1">SUMIFS(OUT!$F$2:$F$11000,OUT!$H$2:$H$11000,H788,OUT!$D$2:$D$101007,"In")</f>
        <v>#VALUE!</v>
      </c>
      <c r="J788" s="52">
        <f ca="1">SUMIFS(OUT!$F$2:$F$11000,OUT!$H$2:$H$11000,H788,OUT!$D$2:$D$11000,"Out")</f>
        <v>9490497</v>
      </c>
      <c r="K788" s="52">
        <f ca="1">SUMIFS(OUT!$F$2:$F$11000,OUT!$H$2:$H$11000,H788,OUT!$D$2:$D$11000,"Out",OUT!$E$2:$E$11000,"Fix")</f>
        <v>2703418</v>
      </c>
      <c r="L788" s="52">
        <f ca="1">SUMIFS(OUT!$F$2:$F$11000,OUT!$H$2:$H$11000,H788,OUT!$D$2:$D$11000,"Out",OUT!$E$2:$E$11000,"Bathroom")</f>
        <v>13000</v>
      </c>
      <c r="M788" s="52">
        <f ca="1">SUMIFS(OUT!$F$2:$F$11000,OUT!$H$2:$H$11000,H788,OUT!$D$2:$D$11000,"Out",OUT!$E$2:$E$11000,"Alfa")</f>
        <v>326872</v>
      </c>
      <c r="N788" s="52" t="e">
        <f ca="1">SUMIFS(OUT!$F$2:$F$11000,OUT!$H$2:$H$101007,H788,OUT!$D$2:$D$11000,"Out",OUT!$E$2:$E$11000,"Jajan")</f>
        <v>#VALUE!</v>
      </c>
      <c r="O788" s="52">
        <f ca="1">SUMIFS(OUT!$F$2:$F$11000,OUT!$H$2:$H$11000,H788,OUT!$D$2:$D$11000,"Out",OUT!$E$2:$E$11000,"Kitchen")</f>
        <v>902100</v>
      </c>
      <c r="P788" s="52">
        <f ca="1">SUMIFS(OUT!$F$2:$F$11000,OUT!$H$2:$H$11000,H788,OUT!$D$2:$D$11000,"Out",OUT!$E$2:$E$11000,"Loandry")</f>
        <v>42900</v>
      </c>
      <c r="Q788" s="52">
        <f ca="1">SUMIFS(OUT!$F$2:$F$11000,OUT!$H$2:$H$11000,H788,OUT!$D$2:$D$11000,"Out",OUT!$E$2:$E$11000,"Mio")</f>
        <v>732000</v>
      </c>
      <c r="R788" s="52">
        <f ca="1">SUMIFS(OUT!$F$2:$F$11000,OUT!$H$2:$H$11000,H788,OUT!$D$2:$D$11000,"Out",OUT!$E$2:$E$11000,"Sedekah")</f>
        <v>0</v>
      </c>
      <c r="S788" s="52">
        <f ca="1">SUMIFS(OUT!$F$2:$F$11000,OUT!$H$2:$H$11000,H788,OUT!$D$2:$D$11000,"Out",OUT!$E$2:$E$11000,"Zela")</f>
        <v>47011</v>
      </c>
      <c r="T788" s="52">
        <f ca="1">SUMIFS(OUT!$F$2:$F$11000,OUT!$H$2:$H$11000,H788,OUT!$D$2:$D$11000,"Out",OUT!$E$2:$E$11000,"Iqbal")</f>
        <v>251000</v>
      </c>
    </row>
    <row r="789" spans="1:20" x14ac:dyDescent="0.2">
      <c r="A789" s="48">
        <f ca="1">IFERROR(__xludf.DUMMYFUNCTION("""COMPUTED_VALUE"""),46152)</f>
        <v>46152</v>
      </c>
      <c r="B789" s="4" t="str">
        <f ca="1">IFERROR(__xludf.DUMMYFUNCTION("""COMPUTED_VALUE"""),"Terima Tunai ")</f>
        <v xml:space="preserve">Terima Tunai </v>
      </c>
      <c r="C789" s="4" t="str">
        <f ca="1">IFERROR(__xludf.DUMMYFUNCTION("""COMPUTED_VALUE"""),"Cash")</f>
        <v>Cash</v>
      </c>
      <c r="D789" s="4" t="str">
        <f ca="1">IFERROR(__xludf.DUMMYFUNCTION("""COMPUTED_VALUE"""),"In")</f>
        <v>In</v>
      </c>
      <c r="E789" s="4" t="str">
        <f ca="1">IFERROR(__xludf.DUMMYFUNCTION("""COMPUTED_VALUE"""),"Move")</f>
        <v>Move</v>
      </c>
      <c r="F789" s="49">
        <f ca="1">IFERROR(__xludf.DUMMYFUNCTION("""COMPUTED_VALUE"""),100000)</f>
        <v>100000</v>
      </c>
      <c r="G789" s="50" t="str">
        <f ca="1">IFERROR(__xludf.DUMMYFUNCTION("""COMPUTED_VALUE"""),"Zela")</f>
        <v>Zela</v>
      </c>
      <c r="H789" s="51">
        <f t="shared" ca="1" si="0"/>
        <v>46143</v>
      </c>
      <c r="I789" s="52" t="e">
        <f ca="1">SUMIFS(OUT!$F$2:$F$11000,OUT!$H$2:$H$11000,H789,OUT!$D$2:$D$101007,"In")</f>
        <v>#VALUE!</v>
      </c>
      <c r="J789" s="52">
        <f ca="1">SUMIFS(OUT!$F$2:$F$11000,OUT!$H$2:$H$11000,H789,OUT!$D$2:$D$11000,"Out")</f>
        <v>9490497</v>
      </c>
      <c r="K789" s="52">
        <f ca="1">SUMIFS(OUT!$F$2:$F$11000,OUT!$H$2:$H$11000,H789,OUT!$D$2:$D$11000,"Out",OUT!$E$2:$E$11000,"Fix")</f>
        <v>2703418</v>
      </c>
      <c r="L789" s="52">
        <f ca="1">SUMIFS(OUT!$F$2:$F$11000,OUT!$H$2:$H$11000,H789,OUT!$D$2:$D$11000,"Out",OUT!$E$2:$E$11000,"Bathroom")</f>
        <v>13000</v>
      </c>
      <c r="M789" s="52">
        <f ca="1">SUMIFS(OUT!$F$2:$F$11000,OUT!$H$2:$H$11000,H789,OUT!$D$2:$D$11000,"Out",OUT!$E$2:$E$11000,"Alfa")</f>
        <v>326872</v>
      </c>
      <c r="N789" s="52" t="e">
        <f ca="1">SUMIFS(OUT!$F$2:$F$11000,OUT!$H$2:$H$101007,H789,OUT!$D$2:$D$11000,"Out",OUT!$E$2:$E$11000,"Jajan")</f>
        <v>#VALUE!</v>
      </c>
      <c r="O789" s="52">
        <f ca="1">SUMIFS(OUT!$F$2:$F$11000,OUT!$H$2:$H$11000,H789,OUT!$D$2:$D$11000,"Out",OUT!$E$2:$E$11000,"Kitchen")</f>
        <v>902100</v>
      </c>
      <c r="P789" s="52">
        <f ca="1">SUMIFS(OUT!$F$2:$F$11000,OUT!$H$2:$H$11000,H789,OUT!$D$2:$D$11000,"Out",OUT!$E$2:$E$11000,"Loandry")</f>
        <v>42900</v>
      </c>
      <c r="Q789" s="52">
        <f ca="1">SUMIFS(OUT!$F$2:$F$11000,OUT!$H$2:$H$11000,H789,OUT!$D$2:$D$11000,"Out",OUT!$E$2:$E$11000,"Mio")</f>
        <v>732000</v>
      </c>
      <c r="R789" s="52">
        <f ca="1">SUMIFS(OUT!$F$2:$F$11000,OUT!$H$2:$H$11000,H789,OUT!$D$2:$D$11000,"Out",OUT!$E$2:$E$11000,"Sedekah")</f>
        <v>0</v>
      </c>
      <c r="S789" s="52">
        <f ca="1">SUMIFS(OUT!$F$2:$F$11000,OUT!$H$2:$H$11000,H789,OUT!$D$2:$D$11000,"Out",OUT!$E$2:$E$11000,"Zela")</f>
        <v>47011</v>
      </c>
      <c r="T789" s="52">
        <f ca="1">SUMIFS(OUT!$F$2:$F$11000,OUT!$H$2:$H$11000,H789,OUT!$D$2:$D$11000,"Out",OUT!$E$2:$E$11000,"Iqbal")</f>
        <v>251000</v>
      </c>
    </row>
    <row r="790" spans="1:20" x14ac:dyDescent="0.2">
      <c r="A790" s="48">
        <f ca="1">IFERROR(__xludf.DUMMYFUNCTION("""COMPUTED_VALUE"""),46152)</f>
        <v>46152</v>
      </c>
      <c r="B790" s="4" t="str">
        <f ca="1">IFERROR(__xludf.DUMMYFUNCTION("""COMPUTED_VALUE"""),"Bensin Motor ")</f>
        <v xml:space="preserve">Bensin Motor </v>
      </c>
      <c r="C790" s="4" t="str">
        <f ca="1">IFERROR(__xludf.DUMMYFUNCTION("""COMPUTED_VALUE"""),"Cash")</f>
        <v>Cash</v>
      </c>
      <c r="D790" s="4" t="str">
        <f ca="1">IFERROR(__xludf.DUMMYFUNCTION("""COMPUTED_VALUE"""),"Out")</f>
        <v>Out</v>
      </c>
      <c r="E790" s="4" t="str">
        <f ca="1">IFERROR(__xludf.DUMMYFUNCTION("""COMPUTED_VALUE"""),"Mio")</f>
        <v>Mio</v>
      </c>
      <c r="F790" s="49">
        <f ca="1">IFERROR(__xludf.DUMMYFUNCTION("""COMPUTED_VALUE"""),26500)</f>
        <v>26500</v>
      </c>
      <c r="G790" s="50" t="str">
        <f ca="1">IFERROR(__xludf.DUMMYFUNCTION("""COMPUTED_VALUE"""),"Zela")</f>
        <v>Zela</v>
      </c>
      <c r="H790" s="51">
        <f t="shared" ca="1" si="0"/>
        <v>46143</v>
      </c>
      <c r="I790" s="52" t="e">
        <f ca="1">SUMIFS(OUT!$F$2:$F$11000,OUT!$H$2:$H$11000,H790,OUT!$D$2:$D$101007,"In")</f>
        <v>#VALUE!</v>
      </c>
      <c r="J790" s="52">
        <f ca="1">SUMIFS(OUT!$F$2:$F$11000,OUT!$H$2:$H$11000,H790,OUT!$D$2:$D$11000,"Out")</f>
        <v>9490497</v>
      </c>
      <c r="K790" s="52">
        <f ca="1">SUMIFS(OUT!$F$2:$F$11000,OUT!$H$2:$H$11000,H790,OUT!$D$2:$D$11000,"Out",OUT!$E$2:$E$11000,"Fix")</f>
        <v>2703418</v>
      </c>
      <c r="L790" s="52">
        <f ca="1">SUMIFS(OUT!$F$2:$F$11000,OUT!$H$2:$H$11000,H790,OUT!$D$2:$D$11000,"Out",OUT!$E$2:$E$11000,"Bathroom")</f>
        <v>13000</v>
      </c>
      <c r="M790" s="52">
        <f ca="1">SUMIFS(OUT!$F$2:$F$11000,OUT!$H$2:$H$11000,H790,OUT!$D$2:$D$11000,"Out",OUT!$E$2:$E$11000,"Alfa")</f>
        <v>326872</v>
      </c>
      <c r="N790" s="52" t="e">
        <f ca="1">SUMIFS(OUT!$F$2:$F$11000,OUT!$H$2:$H$101007,H790,OUT!$D$2:$D$11000,"Out",OUT!$E$2:$E$11000,"Jajan")</f>
        <v>#VALUE!</v>
      </c>
      <c r="O790" s="52">
        <f ca="1">SUMIFS(OUT!$F$2:$F$11000,OUT!$H$2:$H$11000,H790,OUT!$D$2:$D$11000,"Out",OUT!$E$2:$E$11000,"Kitchen")</f>
        <v>902100</v>
      </c>
      <c r="P790" s="52">
        <f ca="1">SUMIFS(OUT!$F$2:$F$11000,OUT!$H$2:$H$11000,H790,OUT!$D$2:$D$11000,"Out",OUT!$E$2:$E$11000,"Loandry")</f>
        <v>42900</v>
      </c>
      <c r="Q790" s="52">
        <f ca="1">SUMIFS(OUT!$F$2:$F$11000,OUT!$H$2:$H$11000,H790,OUT!$D$2:$D$11000,"Out",OUT!$E$2:$E$11000,"Mio")</f>
        <v>732000</v>
      </c>
      <c r="R790" s="52">
        <f ca="1">SUMIFS(OUT!$F$2:$F$11000,OUT!$H$2:$H$11000,H790,OUT!$D$2:$D$11000,"Out",OUT!$E$2:$E$11000,"Sedekah")</f>
        <v>0</v>
      </c>
      <c r="S790" s="52">
        <f ca="1">SUMIFS(OUT!$F$2:$F$11000,OUT!$H$2:$H$11000,H790,OUT!$D$2:$D$11000,"Out",OUT!$E$2:$E$11000,"Zela")</f>
        <v>47011</v>
      </c>
      <c r="T790" s="52">
        <f ca="1">SUMIFS(OUT!$F$2:$F$11000,OUT!$H$2:$H$11000,H790,OUT!$D$2:$D$11000,"Out",OUT!$E$2:$E$11000,"Iqbal")</f>
        <v>251000</v>
      </c>
    </row>
    <row r="791" spans="1:20" x14ac:dyDescent="0.2">
      <c r="A791" s="48">
        <f ca="1">IFERROR(__xludf.DUMMYFUNCTION("""COMPUTED_VALUE"""),46152)</f>
        <v>46152</v>
      </c>
      <c r="B791" s="4" t="str">
        <f ca="1">IFERROR(__xludf.DUMMYFUNCTION("""COMPUTED_VALUE"""),"yogurt")</f>
        <v>yogurt</v>
      </c>
      <c r="C791" s="4" t="str">
        <f ca="1">IFERROR(__xludf.DUMMYFUNCTION("""COMPUTED_VALUE"""),"Cash")</f>
        <v>Cash</v>
      </c>
      <c r="D791" s="4" t="str">
        <f ca="1">IFERROR(__xludf.DUMMYFUNCTION("""COMPUTED_VALUE"""),"Out")</f>
        <v>Out</v>
      </c>
      <c r="E791" s="4" t="str">
        <f ca="1">IFERROR(__xludf.DUMMYFUNCTION("""COMPUTED_VALUE"""),"Jajan")</f>
        <v>Jajan</v>
      </c>
      <c r="F791" s="49">
        <f ca="1">IFERROR(__xludf.DUMMYFUNCTION("""COMPUTED_VALUE"""),6500)</f>
        <v>6500</v>
      </c>
      <c r="G791" s="50" t="str">
        <f ca="1">IFERROR(__xludf.DUMMYFUNCTION("""COMPUTED_VALUE"""),"Zela")</f>
        <v>Zela</v>
      </c>
      <c r="H791" s="51">
        <f t="shared" ca="1" si="0"/>
        <v>46143</v>
      </c>
      <c r="I791" s="52" t="e">
        <f ca="1">SUMIFS(OUT!$F$2:$F$11000,OUT!$H$2:$H$11000,H791,OUT!$D$2:$D$101007,"In")</f>
        <v>#VALUE!</v>
      </c>
      <c r="J791" s="52">
        <f ca="1">SUMIFS(OUT!$F$2:$F$11000,OUT!$H$2:$H$11000,H791,OUT!$D$2:$D$11000,"Out")</f>
        <v>9490497</v>
      </c>
      <c r="K791" s="52">
        <f ca="1">SUMIFS(OUT!$F$2:$F$11000,OUT!$H$2:$H$11000,H791,OUT!$D$2:$D$11000,"Out",OUT!$E$2:$E$11000,"Fix")</f>
        <v>2703418</v>
      </c>
      <c r="L791" s="52">
        <f ca="1">SUMIFS(OUT!$F$2:$F$11000,OUT!$H$2:$H$11000,H791,OUT!$D$2:$D$11000,"Out",OUT!$E$2:$E$11000,"Bathroom")</f>
        <v>13000</v>
      </c>
      <c r="M791" s="52">
        <f ca="1">SUMIFS(OUT!$F$2:$F$11000,OUT!$H$2:$H$11000,H791,OUT!$D$2:$D$11000,"Out",OUT!$E$2:$E$11000,"Alfa")</f>
        <v>326872</v>
      </c>
      <c r="N791" s="52" t="e">
        <f ca="1">SUMIFS(OUT!$F$2:$F$11000,OUT!$H$2:$H$101007,H791,OUT!$D$2:$D$11000,"Out",OUT!$E$2:$E$11000,"Jajan")</f>
        <v>#VALUE!</v>
      </c>
      <c r="O791" s="52">
        <f ca="1">SUMIFS(OUT!$F$2:$F$11000,OUT!$H$2:$H$11000,H791,OUT!$D$2:$D$11000,"Out",OUT!$E$2:$E$11000,"Kitchen")</f>
        <v>902100</v>
      </c>
      <c r="P791" s="52">
        <f ca="1">SUMIFS(OUT!$F$2:$F$11000,OUT!$H$2:$H$11000,H791,OUT!$D$2:$D$11000,"Out",OUT!$E$2:$E$11000,"Loandry")</f>
        <v>42900</v>
      </c>
      <c r="Q791" s="52">
        <f ca="1">SUMIFS(OUT!$F$2:$F$11000,OUT!$H$2:$H$11000,H791,OUT!$D$2:$D$11000,"Out",OUT!$E$2:$E$11000,"Mio")</f>
        <v>732000</v>
      </c>
      <c r="R791" s="52">
        <f ca="1">SUMIFS(OUT!$F$2:$F$11000,OUT!$H$2:$H$11000,H791,OUT!$D$2:$D$11000,"Out",OUT!$E$2:$E$11000,"Sedekah")</f>
        <v>0</v>
      </c>
      <c r="S791" s="52">
        <f ca="1">SUMIFS(OUT!$F$2:$F$11000,OUT!$H$2:$H$11000,H791,OUT!$D$2:$D$11000,"Out",OUT!$E$2:$E$11000,"Zela")</f>
        <v>47011</v>
      </c>
      <c r="T791" s="52">
        <f ca="1">SUMIFS(OUT!$F$2:$F$11000,OUT!$H$2:$H$11000,H791,OUT!$D$2:$D$11000,"Out",OUT!$E$2:$E$11000,"Iqbal")</f>
        <v>251000</v>
      </c>
    </row>
    <row r="792" spans="1:20" x14ac:dyDescent="0.2">
      <c r="A792" s="48">
        <f ca="1">IFERROR(__xludf.DUMMYFUNCTION("""COMPUTED_VALUE"""),46152)</f>
        <v>46152</v>
      </c>
      <c r="B792" s="4" t="str">
        <f ca="1">IFERROR(__xludf.DUMMYFUNCTION("""COMPUTED_VALUE"""),"Obat nyamuk Hits")</f>
        <v>Obat nyamuk Hits</v>
      </c>
      <c r="C792" s="4" t="str">
        <f ca="1">IFERROR(__xludf.DUMMYFUNCTION("""COMPUTED_VALUE"""),"Cash")</f>
        <v>Cash</v>
      </c>
      <c r="D792" s="4" t="str">
        <f ca="1">IFERROR(__xludf.DUMMYFUNCTION("""COMPUTED_VALUE"""),"Out")</f>
        <v>Out</v>
      </c>
      <c r="E792" s="4" t="str">
        <f ca="1">IFERROR(__xludf.DUMMYFUNCTION("""COMPUTED_VALUE"""),"Kitchen")</f>
        <v>Kitchen</v>
      </c>
      <c r="F792" s="49">
        <f ca="1">IFERROR(__xludf.DUMMYFUNCTION("""COMPUTED_VALUE"""),12100)</f>
        <v>12100</v>
      </c>
      <c r="G792" s="50" t="str">
        <f ca="1">IFERROR(__xludf.DUMMYFUNCTION("""COMPUTED_VALUE"""),"Zela")</f>
        <v>Zela</v>
      </c>
      <c r="H792" s="51">
        <f t="shared" ca="1" si="0"/>
        <v>46143</v>
      </c>
      <c r="I792" s="52" t="e">
        <f ca="1">SUMIFS(OUT!$F$2:$F$11000,OUT!$H$2:$H$11000,H792,OUT!$D$2:$D$101007,"In")</f>
        <v>#VALUE!</v>
      </c>
      <c r="J792" s="52">
        <f ca="1">SUMIFS(OUT!$F$2:$F$11000,OUT!$H$2:$H$11000,H792,OUT!$D$2:$D$11000,"Out")</f>
        <v>9490497</v>
      </c>
      <c r="K792" s="52">
        <f ca="1">SUMIFS(OUT!$F$2:$F$11000,OUT!$H$2:$H$11000,H792,OUT!$D$2:$D$11000,"Out",OUT!$E$2:$E$11000,"Fix")</f>
        <v>2703418</v>
      </c>
      <c r="L792" s="52">
        <f ca="1">SUMIFS(OUT!$F$2:$F$11000,OUT!$H$2:$H$11000,H792,OUT!$D$2:$D$11000,"Out",OUT!$E$2:$E$11000,"Bathroom")</f>
        <v>13000</v>
      </c>
      <c r="M792" s="52">
        <f ca="1">SUMIFS(OUT!$F$2:$F$11000,OUT!$H$2:$H$11000,H792,OUT!$D$2:$D$11000,"Out",OUT!$E$2:$E$11000,"Alfa")</f>
        <v>326872</v>
      </c>
      <c r="N792" s="52" t="e">
        <f ca="1">SUMIFS(OUT!$F$2:$F$11000,OUT!$H$2:$H$101007,H792,OUT!$D$2:$D$11000,"Out",OUT!$E$2:$E$11000,"Jajan")</f>
        <v>#VALUE!</v>
      </c>
      <c r="O792" s="52">
        <f ca="1">SUMIFS(OUT!$F$2:$F$11000,OUT!$H$2:$H$11000,H792,OUT!$D$2:$D$11000,"Out",OUT!$E$2:$E$11000,"Kitchen")</f>
        <v>902100</v>
      </c>
      <c r="P792" s="52">
        <f ca="1">SUMIFS(OUT!$F$2:$F$11000,OUT!$H$2:$H$11000,H792,OUT!$D$2:$D$11000,"Out",OUT!$E$2:$E$11000,"Loandry")</f>
        <v>42900</v>
      </c>
      <c r="Q792" s="52">
        <f ca="1">SUMIFS(OUT!$F$2:$F$11000,OUT!$H$2:$H$11000,H792,OUT!$D$2:$D$11000,"Out",OUT!$E$2:$E$11000,"Mio")</f>
        <v>732000</v>
      </c>
      <c r="R792" s="52">
        <f ca="1">SUMIFS(OUT!$F$2:$F$11000,OUT!$H$2:$H$11000,H792,OUT!$D$2:$D$11000,"Out",OUT!$E$2:$E$11000,"Sedekah")</f>
        <v>0</v>
      </c>
      <c r="S792" s="52">
        <f ca="1">SUMIFS(OUT!$F$2:$F$11000,OUT!$H$2:$H$11000,H792,OUT!$D$2:$D$11000,"Out",OUT!$E$2:$E$11000,"Zela")</f>
        <v>47011</v>
      </c>
      <c r="T792" s="52">
        <f ca="1">SUMIFS(OUT!$F$2:$F$11000,OUT!$H$2:$H$11000,H792,OUT!$D$2:$D$11000,"Out",OUT!$E$2:$E$11000,"Iqbal")</f>
        <v>251000</v>
      </c>
    </row>
    <row r="793" spans="1:20" x14ac:dyDescent="0.2">
      <c r="A793" s="48">
        <f ca="1">IFERROR(__xludf.DUMMYFUNCTION("""COMPUTED_VALUE"""),46152)</f>
        <v>46152</v>
      </c>
      <c r="B793" s="4" t="str">
        <f ca="1">IFERROR(__xludf.DUMMYFUNCTION("""COMPUTED_VALUE"""),"teh telor ")</f>
        <v xml:space="preserve">teh telor </v>
      </c>
      <c r="C793" s="4" t="str">
        <f ca="1">IFERROR(__xludf.DUMMYFUNCTION("""COMPUTED_VALUE"""),"Cash")</f>
        <v>Cash</v>
      </c>
      <c r="D793" s="4" t="str">
        <f ca="1">IFERROR(__xludf.DUMMYFUNCTION("""COMPUTED_VALUE"""),"Out")</f>
        <v>Out</v>
      </c>
      <c r="E793" s="4" t="str">
        <f ca="1">IFERROR(__xludf.DUMMYFUNCTION("""COMPUTED_VALUE"""),"Jajan")</f>
        <v>Jajan</v>
      </c>
      <c r="F793" s="49">
        <f ca="1">IFERROR(__xludf.DUMMYFUNCTION("""COMPUTED_VALUE"""),13000)</f>
        <v>13000</v>
      </c>
      <c r="G793" s="50" t="str">
        <f ca="1">IFERROR(__xludf.DUMMYFUNCTION("""COMPUTED_VALUE"""),"Zela")</f>
        <v>Zela</v>
      </c>
      <c r="H793" s="51">
        <f t="shared" ca="1" si="0"/>
        <v>46143</v>
      </c>
      <c r="I793" s="52" t="e">
        <f ca="1">SUMIFS(OUT!$F$2:$F$11000,OUT!$H$2:$H$11000,H793,OUT!$D$2:$D$101007,"In")</f>
        <v>#VALUE!</v>
      </c>
      <c r="J793" s="52">
        <f ca="1">SUMIFS(OUT!$F$2:$F$11000,OUT!$H$2:$H$11000,H793,OUT!$D$2:$D$11000,"Out")</f>
        <v>9490497</v>
      </c>
      <c r="K793" s="52">
        <f ca="1">SUMIFS(OUT!$F$2:$F$11000,OUT!$H$2:$H$11000,H793,OUT!$D$2:$D$11000,"Out",OUT!$E$2:$E$11000,"Fix")</f>
        <v>2703418</v>
      </c>
      <c r="L793" s="52">
        <f ca="1">SUMIFS(OUT!$F$2:$F$11000,OUT!$H$2:$H$11000,H793,OUT!$D$2:$D$11000,"Out",OUT!$E$2:$E$11000,"Bathroom")</f>
        <v>13000</v>
      </c>
      <c r="M793" s="52">
        <f ca="1">SUMIFS(OUT!$F$2:$F$11000,OUT!$H$2:$H$11000,H793,OUT!$D$2:$D$11000,"Out",OUT!$E$2:$E$11000,"Alfa")</f>
        <v>326872</v>
      </c>
      <c r="N793" s="52" t="e">
        <f ca="1">SUMIFS(OUT!$F$2:$F$11000,OUT!$H$2:$H$101007,H793,OUT!$D$2:$D$11000,"Out",OUT!$E$2:$E$11000,"Jajan")</f>
        <v>#VALUE!</v>
      </c>
      <c r="O793" s="52">
        <f ca="1">SUMIFS(OUT!$F$2:$F$11000,OUT!$H$2:$H$11000,H793,OUT!$D$2:$D$11000,"Out",OUT!$E$2:$E$11000,"Kitchen")</f>
        <v>902100</v>
      </c>
      <c r="P793" s="52">
        <f ca="1">SUMIFS(OUT!$F$2:$F$11000,OUT!$H$2:$H$11000,H793,OUT!$D$2:$D$11000,"Out",OUT!$E$2:$E$11000,"Loandry")</f>
        <v>42900</v>
      </c>
      <c r="Q793" s="52">
        <f ca="1">SUMIFS(OUT!$F$2:$F$11000,OUT!$H$2:$H$11000,H793,OUT!$D$2:$D$11000,"Out",OUT!$E$2:$E$11000,"Mio")</f>
        <v>732000</v>
      </c>
      <c r="R793" s="52">
        <f ca="1">SUMIFS(OUT!$F$2:$F$11000,OUT!$H$2:$H$11000,H793,OUT!$D$2:$D$11000,"Out",OUT!$E$2:$E$11000,"Sedekah")</f>
        <v>0</v>
      </c>
      <c r="S793" s="52">
        <f ca="1">SUMIFS(OUT!$F$2:$F$11000,OUT!$H$2:$H$11000,H793,OUT!$D$2:$D$11000,"Out",OUT!$E$2:$E$11000,"Zela")</f>
        <v>47011</v>
      </c>
      <c r="T793" s="52">
        <f ca="1">SUMIFS(OUT!$F$2:$F$11000,OUT!$H$2:$H$11000,H793,OUT!$D$2:$D$11000,"Out",OUT!$E$2:$E$11000,"Iqbal")</f>
        <v>251000</v>
      </c>
    </row>
    <row r="794" spans="1:20" x14ac:dyDescent="0.2">
      <c r="A794" s="48">
        <f ca="1">IFERROR(__xludf.DUMMYFUNCTION("""COMPUTED_VALUE"""),46152)</f>
        <v>46152</v>
      </c>
      <c r="B794" s="4" t="str">
        <f ca="1">IFERROR(__xludf.DUMMYFUNCTION("""COMPUTED_VALUE"""),"Piscok")</f>
        <v>Piscok</v>
      </c>
      <c r="C794" s="4" t="str">
        <f ca="1">IFERROR(__xludf.DUMMYFUNCTION("""COMPUTED_VALUE"""),"Cash")</f>
        <v>Cash</v>
      </c>
      <c r="D794" s="4" t="str">
        <f ca="1">IFERROR(__xludf.DUMMYFUNCTION("""COMPUTED_VALUE"""),"Out")</f>
        <v>Out</v>
      </c>
      <c r="E794" s="4" t="str">
        <f ca="1">IFERROR(__xludf.DUMMYFUNCTION("""COMPUTED_VALUE"""),"Jajan")</f>
        <v>Jajan</v>
      </c>
      <c r="F794" s="49">
        <f ca="1">IFERROR(__xludf.DUMMYFUNCTION("""COMPUTED_VALUE"""),20000)</f>
        <v>20000</v>
      </c>
      <c r="G794" s="50" t="str">
        <f ca="1">IFERROR(__xludf.DUMMYFUNCTION("""COMPUTED_VALUE"""),"Zela")</f>
        <v>Zela</v>
      </c>
      <c r="H794" s="51">
        <f t="shared" ca="1" si="0"/>
        <v>46143</v>
      </c>
      <c r="I794" s="52" t="e">
        <f ca="1">SUMIFS(OUT!$F$2:$F$11000,OUT!$H$2:$H$11000,H794,OUT!$D$2:$D$101007,"In")</f>
        <v>#VALUE!</v>
      </c>
      <c r="J794" s="52">
        <f ca="1">SUMIFS(OUT!$F$2:$F$11000,OUT!$H$2:$H$11000,H794,OUT!$D$2:$D$11000,"Out")</f>
        <v>9490497</v>
      </c>
      <c r="K794" s="52">
        <f ca="1">SUMIFS(OUT!$F$2:$F$11000,OUT!$H$2:$H$11000,H794,OUT!$D$2:$D$11000,"Out",OUT!$E$2:$E$11000,"Fix")</f>
        <v>2703418</v>
      </c>
      <c r="L794" s="52">
        <f ca="1">SUMIFS(OUT!$F$2:$F$11000,OUT!$H$2:$H$11000,H794,OUT!$D$2:$D$11000,"Out",OUT!$E$2:$E$11000,"Bathroom")</f>
        <v>13000</v>
      </c>
      <c r="M794" s="52">
        <f ca="1">SUMIFS(OUT!$F$2:$F$11000,OUT!$H$2:$H$11000,H794,OUT!$D$2:$D$11000,"Out",OUT!$E$2:$E$11000,"Alfa")</f>
        <v>326872</v>
      </c>
      <c r="N794" s="52" t="e">
        <f ca="1">SUMIFS(OUT!$F$2:$F$11000,OUT!$H$2:$H$101007,H794,OUT!$D$2:$D$11000,"Out",OUT!$E$2:$E$11000,"Jajan")</f>
        <v>#VALUE!</v>
      </c>
      <c r="O794" s="52">
        <f ca="1">SUMIFS(OUT!$F$2:$F$11000,OUT!$H$2:$H$11000,H794,OUT!$D$2:$D$11000,"Out",OUT!$E$2:$E$11000,"Kitchen")</f>
        <v>902100</v>
      </c>
      <c r="P794" s="52">
        <f ca="1">SUMIFS(OUT!$F$2:$F$11000,OUT!$H$2:$H$11000,H794,OUT!$D$2:$D$11000,"Out",OUT!$E$2:$E$11000,"Loandry")</f>
        <v>42900</v>
      </c>
      <c r="Q794" s="52">
        <f ca="1">SUMIFS(OUT!$F$2:$F$11000,OUT!$H$2:$H$11000,H794,OUT!$D$2:$D$11000,"Out",OUT!$E$2:$E$11000,"Mio")</f>
        <v>732000</v>
      </c>
      <c r="R794" s="52">
        <f ca="1">SUMIFS(OUT!$F$2:$F$11000,OUT!$H$2:$H$11000,H794,OUT!$D$2:$D$11000,"Out",OUT!$E$2:$E$11000,"Sedekah")</f>
        <v>0</v>
      </c>
      <c r="S794" s="52">
        <f ca="1">SUMIFS(OUT!$F$2:$F$11000,OUT!$H$2:$H$11000,H794,OUT!$D$2:$D$11000,"Out",OUT!$E$2:$E$11000,"Zela")</f>
        <v>47011</v>
      </c>
      <c r="T794" s="52">
        <f ca="1">SUMIFS(OUT!$F$2:$F$11000,OUT!$H$2:$H$11000,H794,OUT!$D$2:$D$11000,"Out",OUT!$E$2:$E$11000,"Iqbal")</f>
        <v>251000</v>
      </c>
    </row>
    <row r="795" spans="1:20" x14ac:dyDescent="0.2">
      <c r="A795" s="48">
        <f ca="1">IFERROR(__xludf.DUMMYFUNCTION("""COMPUTED_VALUE"""),46152)</f>
        <v>46152</v>
      </c>
      <c r="B795" s="4" t="str">
        <f ca="1">IFERROR(__xludf.DUMMYFUNCTION("""COMPUTED_VALUE"""),"rokok")</f>
        <v>rokok</v>
      </c>
      <c r="C795" s="4" t="str">
        <f ca="1">IFERROR(__xludf.DUMMYFUNCTION("""COMPUTED_VALUE"""),"Cash")</f>
        <v>Cash</v>
      </c>
      <c r="D795" s="4" t="str">
        <f ca="1">IFERROR(__xludf.DUMMYFUNCTION("""COMPUTED_VALUE"""),"Out")</f>
        <v>Out</v>
      </c>
      <c r="E795" s="4" t="str">
        <f ca="1">IFERROR(__xludf.DUMMYFUNCTION("""COMPUTED_VALUE"""),"Iqbal")</f>
        <v>Iqbal</v>
      </c>
      <c r="F795" s="49">
        <f ca="1">IFERROR(__xludf.DUMMYFUNCTION("""COMPUTED_VALUE"""),15000)</f>
        <v>15000</v>
      </c>
      <c r="G795" s="50" t="str">
        <f ca="1">IFERROR(__xludf.DUMMYFUNCTION("""COMPUTED_VALUE"""),"Zela")</f>
        <v>Zela</v>
      </c>
      <c r="H795" s="51">
        <f t="shared" ca="1" si="0"/>
        <v>46143</v>
      </c>
      <c r="I795" s="52" t="e">
        <f ca="1">SUMIFS(OUT!$F$2:$F$11000,OUT!$H$2:$H$11000,H795,OUT!$D$2:$D$101007,"In")</f>
        <v>#VALUE!</v>
      </c>
      <c r="J795" s="52">
        <f ca="1">SUMIFS(OUT!$F$2:$F$11000,OUT!$H$2:$H$11000,H795,OUT!$D$2:$D$11000,"Out")</f>
        <v>9490497</v>
      </c>
      <c r="K795" s="52">
        <f ca="1">SUMIFS(OUT!$F$2:$F$11000,OUT!$H$2:$H$11000,H795,OUT!$D$2:$D$11000,"Out",OUT!$E$2:$E$11000,"Fix")</f>
        <v>2703418</v>
      </c>
      <c r="L795" s="52">
        <f ca="1">SUMIFS(OUT!$F$2:$F$11000,OUT!$H$2:$H$11000,H795,OUT!$D$2:$D$11000,"Out",OUT!$E$2:$E$11000,"Bathroom")</f>
        <v>13000</v>
      </c>
      <c r="M795" s="52">
        <f ca="1">SUMIFS(OUT!$F$2:$F$11000,OUT!$H$2:$H$11000,H795,OUT!$D$2:$D$11000,"Out",OUT!$E$2:$E$11000,"Alfa")</f>
        <v>326872</v>
      </c>
      <c r="N795" s="52" t="e">
        <f ca="1">SUMIFS(OUT!$F$2:$F$11000,OUT!$H$2:$H$101007,H795,OUT!$D$2:$D$11000,"Out",OUT!$E$2:$E$11000,"Jajan")</f>
        <v>#VALUE!</v>
      </c>
      <c r="O795" s="52">
        <f ca="1">SUMIFS(OUT!$F$2:$F$11000,OUT!$H$2:$H$11000,H795,OUT!$D$2:$D$11000,"Out",OUT!$E$2:$E$11000,"Kitchen")</f>
        <v>902100</v>
      </c>
      <c r="P795" s="52">
        <f ca="1">SUMIFS(OUT!$F$2:$F$11000,OUT!$H$2:$H$11000,H795,OUT!$D$2:$D$11000,"Out",OUT!$E$2:$E$11000,"Loandry")</f>
        <v>42900</v>
      </c>
      <c r="Q795" s="52">
        <f ca="1">SUMIFS(OUT!$F$2:$F$11000,OUT!$H$2:$H$11000,H795,OUT!$D$2:$D$11000,"Out",OUT!$E$2:$E$11000,"Mio")</f>
        <v>732000</v>
      </c>
      <c r="R795" s="52">
        <f ca="1">SUMIFS(OUT!$F$2:$F$11000,OUT!$H$2:$H$11000,H795,OUT!$D$2:$D$11000,"Out",OUT!$E$2:$E$11000,"Sedekah")</f>
        <v>0</v>
      </c>
      <c r="S795" s="52">
        <f ca="1">SUMIFS(OUT!$F$2:$F$11000,OUT!$H$2:$H$11000,H795,OUT!$D$2:$D$11000,"Out",OUT!$E$2:$E$11000,"Zela")</f>
        <v>47011</v>
      </c>
      <c r="T795" s="52">
        <f ca="1">SUMIFS(OUT!$F$2:$F$11000,OUT!$H$2:$H$11000,H795,OUT!$D$2:$D$11000,"Out",OUT!$E$2:$E$11000,"Iqbal")</f>
        <v>251000</v>
      </c>
    </row>
    <row r="796" spans="1:20" x14ac:dyDescent="0.2">
      <c r="A796" s="48">
        <f ca="1">IFERROR(__xludf.DUMMYFUNCTION("""COMPUTED_VALUE"""),46152)</f>
        <v>46152</v>
      </c>
      <c r="B796" s="4" t="str">
        <f ca="1">IFERROR(__xludf.DUMMYFUNCTION("""COMPUTED_VALUE"""),"Suamiku")</f>
        <v>Suamiku</v>
      </c>
      <c r="C796" s="4" t="str">
        <f ca="1">IFERROR(__xludf.DUMMYFUNCTION("""COMPUTED_VALUE"""),"ATM")</f>
        <v>ATM</v>
      </c>
      <c r="D796" s="4" t="str">
        <f ca="1">IFERROR(__xludf.DUMMYFUNCTION("""COMPUTED_VALUE"""),"In")</f>
        <v>In</v>
      </c>
      <c r="E796" s="4" t="str">
        <f ca="1">IFERROR(__xludf.DUMMYFUNCTION("""COMPUTED_VALUE"""),"Fix")</f>
        <v>Fix</v>
      </c>
      <c r="F796" s="49">
        <f ca="1">IFERROR(__xludf.DUMMYFUNCTION("""COMPUTED_VALUE"""),15000)</f>
        <v>15000</v>
      </c>
      <c r="G796" s="50" t="str">
        <f ca="1">IFERROR(__xludf.DUMMYFUNCTION("""COMPUTED_VALUE"""),"Zela")</f>
        <v>Zela</v>
      </c>
      <c r="H796" s="51">
        <f t="shared" ca="1" si="0"/>
        <v>46143</v>
      </c>
      <c r="I796" s="52" t="e">
        <f ca="1">SUMIFS(OUT!$F$2:$F$11000,OUT!$H$2:$H$11000,H796,OUT!$D$2:$D$101007,"In")</f>
        <v>#VALUE!</v>
      </c>
      <c r="J796" s="52">
        <f ca="1">SUMIFS(OUT!$F$2:$F$11000,OUT!$H$2:$H$11000,H796,OUT!$D$2:$D$11000,"Out")</f>
        <v>9490497</v>
      </c>
      <c r="K796" s="52">
        <f ca="1">SUMIFS(OUT!$F$2:$F$11000,OUT!$H$2:$H$11000,H796,OUT!$D$2:$D$11000,"Out",OUT!$E$2:$E$11000,"Fix")</f>
        <v>2703418</v>
      </c>
      <c r="L796" s="52">
        <f ca="1">SUMIFS(OUT!$F$2:$F$11000,OUT!$H$2:$H$11000,H796,OUT!$D$2:$D$11000,"Out",OUT!$E$2:$E$11000,"Bathroom")</f>
        <v>13000</v>
      </c>
      <c r="M796" s="52">
        <f ca="1">SUMIFS(OUT!$F$2:$F$11000,OUT!$H$2:$H$11000,H796,OUT!$D$2:$D$11000,"Out",OUT!$E$2:$E$11000,"Alfa")</f>
        <v>326872</v>
      </c>
      <c r="N796" s="52" t="e">
        <f ca="1">SUMIFS(OUT!$F$2:$F$11000,OUT!$H$2:$H$101007,H796,OUT!$D$2:$D$11000,"Out",OUT!$E$2:$E$11000,"Jajan")</f>
        <v>#VALUE!</v>
      </c>
      <c r="O796" s="52">
        <f ca="1">SUMIFS(OUT!$F$2:$F$11000,OUT!$H$2:$H$11000,H796,OUT!$D$2:$D$11000,"Out",OUT!$E$2:$E$11000,"Kitchen")</f>
        <v>902100</v>
      </c>
      <c r="P796" s="52">
        <f ca="1">SUMIFS(OUT!$F$2:$F$11000,OUT!$H$2:$H$11000,H796,OUT!$D$2:$D$11000,"Out",OUT!$E$2:$E$11000,"Loandry")</f>
        <v>42900</v>
      </c>
      <c r="Q796" s="52">
        <f ca="1">SUMIFS(OUT!$F$2:$F$11000,OUT!$H$2:$H$11000,H796,OUT!$D$2:$D$11000,"Out",OUT!$E$2:$E$11000,"Mio")</f>
        <v>732000</v>
      </c>
      <c r="R796" s="52">
        <f ca="1">SUMIFS(OUT!$F$2:$F$11000,OUT!$H$2:$H$11000,H796,OUT!$D$2:$D$11000,"Out",OUT!$E$2:$E$11000,"Sedekah")</f>
        <v>0</v>
      </c>
      <c r="S796" s="52">
        <f ca="1">SUMIFS(OUT!$F$2:$F$11000,OUT!$H$2:$H$11000,H796,OUT!$D$2:$D$11000,"Out",OUT!$E$2:$E$11000,"Zela")</f>
        <v>47011</v>
      </c>
      <c r="T796" s="52">
        <f ca="1">SUMIFS(OUT!$F$2:$F$11000,OUT!$H$2:$H$11000,H796,OUT!$D$2:$D$11000,"Out",OUT!$E$2:$E$11000,"Iqbal")</f>
        <v>251000</v>
      </c>
    </row>
    <row r="797" spans="1:20" x14ac:dyDescent="0.2">
      <c r="A797" s="48">
        <f ca="1">IFERROR(__xludf.DUMMYFUNCTION("""COMPUTED_VALUE"""),46153)</f>
        <v>46153</v>
      </c>
      <c r="B797" s="4" t="str">
        <f ca="1">IFERROR(__xludf.DUMMYFUNCTION("""COMPUTED_VALUE"""),"Tas+jam tuk sample")</f>
        <v>Tas+jam tuk sample</v>
      </c>
      <c r="C797" s="4" t="str">
        <f ca="1">IFERROR(__xludf.DUMMYFUNCTION("""COMPUTED_VALUE"""),"ATM")</f>
        <v>ATM</v>
      </c>
      <c r="D797" s="4" t="str">
        <f ca="1">IFERROR(__xludf.DUMMYFUNCTION("""COMPUTED_VALUE"""),"Out")</f>
        <v>Out</v>
      </c>
      <c r="E797" s="4" t="str">
        <f ca="1">IFERROR(__xludf.DUMMYFUNCTION("""COMPUTED_VALUE"""),"Zela")</f>
        <v>Zela</v>
      </c>
      <c r="F797" s="49">
        <f ca="1">IFERROR(__xludf.DUMMYFUNCTION("""COMPUTED_VALUE"""),41011)</f>
        <v>41011</v>
      </c>
      <c r="G797" s="50" t="str">
        <f ca="1">IFERROR(__xludf.DUMMYFUNCTION("""COMPUTED_VALUE"""),"Zela")</f>
        <v>Zela</v>
      </c>
      <c r="H797" s="51">
        <f t="shared" ca="1" si="0"/>
        <v>46143</v>
      </c>
      <c r="I797" s="52" t="e">
        <f ca="1">SUMIFS(OUT!$F$2:$F$11000,OUT!$H$2:$H$11000,H797,OUT!$D$2:$D$101007,"In")</f>
        <v>#VALUE!</v>
      </c>
      <c r="J797" s="52">
        <f ca="1">SUMIFS(OUT!$F$2:$F$11000,OUT!$H$2:$H$11000,H797,OUT!$D$2:$D$11000,"Out")</f>
        <v>9490497</v>
      </c>
      <c r="K797" s="52">
        <f ca="1">SUMIFS(OUT!$F$2:$F$11000,OUT!$H$2:$H$11000,H797,OUT!$D$2:$D$11000,"Out",OUT!$E$2:$E$11000,"Fix")</f>
        <v>2703418</v>
      </c>
      <c r="L797" s="52">
        <f ca="1">SUMIFS(OUT!$F$2:$F$11000,OUT!$H$2:$H$11000,H797,OUT!$D$2:$D$11000,"Out",OUT!$E$2:$E$11000,"Bathroom")</f>
        <v>13000</v>
      </c>
      <c r="M797" s="52">
        <f ca="1">SUMIFS(OUT!$F$2:$F$11000,OUT!$H$2:$H$11000,H797,OUT!$D$2:$D$11000,"Out",OUT!$E$2:$E$11000,"Alfa")</f>
        <v>326872</v>
      </c>
      <c r="N797" s="52" t="e">
        <f ca="1">SUMIFS(OUT!$F$2:$F$11000,OUT!$H$2:$H$101007,H797,OUT!$D$2:$D$11000,"Out",OUT!$E$2:$E$11000,"Jajan")</f>
        <v>#VALUE!</v>
      </c>
      <c r="O797" s="52">
        <f ca="1">SUMIFS(OUT!$F$2:$F$11000,OUT!$H$2:$H$11000,H797,OUT!$D$2:$D$11000,"Out",OUT!$E$2:$E$11000,"Kitchen")</f>
        <v>902100</v>
      </c>
      <c r="P797" s="52">
        <f ca="1">SUMIFS(OUT!$F$2:$F$11000,OUT!$H$2:$H$11000,H797,OUT!$D$2:$D$11000,"Out",OUT!$E$2:$E$11000,"Loandry")</f>
        <v>42900</v>
      </c>
      <c r="Q797" s="52">
        <f ca="1">SUMIFS(OUT!$F$2:$F$11000,OUT!$H$2:$H$11000,H797,OUT!$D$2:$D$11000,"Out",OUT!$E$2:$E$11000,"Mio")</f>
        <v>732000</v>
      </c>
      <c r="R797" s="52">
        <f ca="1">SUMIFS(OUT!$F$2:$F$11000,OUT!$H$2:$H$11000,H797,OUT!$D$2:$D$11000,"Out",OUT!$E$2:$E$11000,"Sedekah")</f>
        <v>0</v>
      </c>
      <c r="S797" s="52">
        <f ca="1">SUMIFS(OUT!$F$2:$F$11000,OUT!$H$2:$H$11000,H797,OUT!$D$2:$D$11000,"Out",OUT!$E$2:$E$11000,"Zela")</f>
        <v>47011</v>
      </c>
      <c r="T797" s="52">
        <f ca="1">SUMIFS(OUT!$F$2:$F$11000,OUT!$H$2:$H$11000,H797,OUT!$D$2:$D$11000,"Out",OUT!$E$2:$E$11000,"Iqbal")</f>
        <v>251000</v>
      </c>
    </row>
    <row r="798" spans="1:20" x14ac:dyDescent="0.2">
      <c r="A798" s="48">
        <f ca="1">IFERROR(__xludf.DUMMYFUNCTION("""COMPUTED_VALUE"""),46153)</f>
        <v>46153</v>
      </c>
      <c r="B798" s="4" t="str">
        <f ca="1">IFERROR(__xludf.DUMMYFUNCTION("""COMPUTED_VALUE"""),"Sabun Noda ")</f>
        <v xml:space="preserve">Sabun Noda </v>
      </c>
      <c r="C798" s="4" t="str">
        <f ca="1">IFERROR(__xludf.DUMMYFUNCTION("""COMPUTED_VALUE"""),"ATM")</f>
        <v>ATM</v>
      </c>
      <c r="D798" s="4" t="str">
        <f ca="1">IFERROR(__xludf.DUMMYFUNCTION("""COMPUTED_VALUE"""),"Out")</f>
        <v>Out</v>
      </c>
      <c r="E798" s="4" t="str">
        <f ca="1">IFERROR(__xludf.DUMMYFUNCTION("""COMPUTED_VALUE"""),"Loandry")</f>
        <v>Loandry</v>
      </c>
      <c r="F798" s="49">
        <f ca="1">IFERROR(__xludf.DUMMYFUNCTION("""COMPUTED_VALUE"""),18000)</f>
        <v>18000</v>
      </c>
      <c r="G798" s="50" t="str">
        <f ca="1">IFERROR(__xludf.DUMMYFUNCTION("""COMPUTED_VALUE"""),"Zela")</f>
        <v>Zela</v>
      </c>
      <c r="H798" s="51">
        <f t="shared" ca="1" si="0"/>
        <v>46143</v>
      </c>
      <c r="I798" s="52" t="e">
        <f ca="1">SUMIFS(OUT!$F$2:$F$11000,OUT!$H$2:$H$11000,H798,OUT!$D$2:$D$101007,"In")</f>
        <v>#VALUE!</v>
      </c>
      <c r="J798" s="52">
        <f ca="1">SUMIFS(OUT!$F$2:$F$11000,OUT!$H$2:$H$11000,H798,OUT!$D$2:$D$11000,"Out")</f>
        <v>9490497</v>
      </c>
      <c r="K798" s="52">
        <f ca="1">SUMIFS(OUT!$F$2:$F$11000,OUT!$H$2:$H$11000,H798,OUT!$D$2:$D$11000,"Out",OUT!$E$2:$E$11000,"Fix")</f>
        <v>2703418</v>
      </c>
      <c r="L798" s="52">
        <f ca="1">SUMIFS(OUT!$F$2:$F$11000,OUT!$H$2:$H$11000,H798,OUT!$D$2:$D$11000,"Out",OUT!$E$2:$E$11000,"Bathroom")</f>
        <v>13000</v>
      </c>
      <c r="M798" s="52">
        <f ca="1">SUMIFS(OUT!$F$2:$F$11000,OUT!$H$2:$H$11000,H798,OUT!$D$2:$D$11000,"Out",OUT!$E$2:$E$11000,"Alfa")</f>
        <v>326872</v>
      </c>
      <c r="N798" s="52" t="e">
        <f ca="1">SUMIFS(OUT!$F$2:$F$11000,OUT!$H$2:$H$101007,H798,OUT!$D$2:$D$11000,"Out",OUT!$E$2:$E$11000,"Jajan")</f>
        <v>#VALUE!</v>
      </c>
      <c r="O798" s="52">
        <f ca="1">SUMIFS(OUT!$F$2:$F$11000,OUT!$H$2:$H$11000,H798,OUT!$D$2:$D$11000,"Out",OUT!$E$2:$E$11000,"Kitchen")</f>
        <v>902100</v>
      </c>
      <c r="P798" s="52">
        <f ca="1">SUMIFS(OUT!$F$2:$F$11000,OUT!$H$2:$H$11000,H798,OUT!$D$2:$D$11000,"Out",OUT!$E$2:$E$11000,"Loandry")</f>
        <v>42900</v>
      </c>
      <c r="Q798" s="52">
        <f ca="1">SUMIFS(OUT!$F$2:$F$11000,OUT!$H$2:$H$11000,H798,OUT!$D$2:$D$11000,"Out",OUT!$E$2:$E$11000,"Mio")</f>
        <v>732000</v>
      </c>
      <c r="R798" s="52">
        <f ca="1">SUMIFS(OUT!$F$2:$F$11000,OUT!$H$2:$H$11000,H798,OUT!$D$2:$D$11000,"Out",OUT!$E$2:$E$11000,"Sedekah")</f>
        <v>0</v>
      </c>
      <c r="S798" s="52">
        <f ca="1">SUMIFS(OUT!$F$2:$F$11000,OUT!$H$2:$H$11000,H798,OUT!$D$2:$D$11000,"Out",OUT!$E$2:$E$11000,"Zela")</f>
        <v>47011</v>
      </c>
      <c r="T798" s="52">
        <f ca="1">SUMIFS(OUT!$F$2:$F$11000,OUT!$H$2:$H$11000,H798,OUT!$D$2:$D$11000,"Out",OUT!$E$2:$E$11000,"Iqbal")</f>
        <v>251000</v>
      </c>
    </row>
    <row r="799" spans="1:20" x14ac:dyDescent="0.2">
      <c r="A799" s="48">
        <f ca="1">IFERROR(__xludf.DUMMYFUNCTION("""COMPUTED_VALUE"""),46153)</f>
        <v>46153</v>
      </c>
      <c r="B799" s="4" t="str">
        <f ca="1">IFERROR(__xludf.DUMMYFUNCTION("""COMPUTED_VALUE"""),"yogurt ")</f>
        <v xml:space="preserve">yogurt </v>
      </c>
      <c r="C799" s="4" t="str">
        <f ca="1">IFERROR(__xludf.DUMMYFUNCTION("""COMPUTED_VALUE"""),"Cash")</f>
        <v>Cash</v>
      </c>
      <c r="D799" s="4" t="str">
        <f ca="1">IFERROR(__xludf.DUMMYFUNCTION("""COMPUTED_VALUE"""),"Out")</f>
        <v>Out</v>
      </c>
      <c r="E799" s="4" t="str">
        <f ca="1">IFERROR(__xludf.DUMMYFUNCTION("""COMPUTED_VALUE"""),"Jajan")</f>
        <v>Jajan</v>
      </c>
      <c r="F799" s="49">
        <f ca="1">IFERROR(__xludf.DUMMYFUNCTION("""COMPUTED_VALUE"""),7800)</f>
        <v>7800</v>
      </c>
      <c r="G799" s="50" t="str">
        <f ca="1">IFERROR(__xludf.DUMMYFUNCTION("""COMPUTED_VALUE"""),"Zela")</f>
        <v>Zela</v>
      </c>
      <c r="H799" s="51">
        <f t="shared" ca="1" si="0"/>
        <v>46143</v>
      </c>
      <c r="I799" s="52" t="e">
        <f ca="1">SUMIFS(OUT!$F$2:$F$11000,OUT!$H$2:$H$11000,H799,OUT!$D$2:$D$101007,"In")</f>
        <v>#VALUE!</v>
      </c>
      <c r="J799" s="52">
        <f ca="1">SUMIFS(OUT!$F$2:$F$11000,OUT!$H$2:$H$11000,H799,OUT!$D$2:$D$11000,"Out")</f>
        <v>9490497</v>
      </c>
      <c r="K799" s="52">
        <f ca="1">SUMIFS(OUT!$F$2:$F$11000,OUT!$H$2:$H$11000,H799,OUT!$D$2:$D$11000,"Out",OUT!$E$2:$E$11000,"Fix")</f>
        <v>2703418</v>
      </c>
      <c r="L799" s="52">
        <f ca="1">SUMIFS(OUT!$F$2:$F$11000,OUT!$H$2:$H$11000,H799,OUT!$D$2:$D$11000,"Out",OUT!$E$2:$E$11000,"Bathroom")</f>
        <v>13000</v>
      </c>
      <c r="M799" s="52">
        <f ca="1">SUMIFS(OUT!$F$2:$F$11000,OUT!$H$2:$H$11000,H799,OUT!$D$2:$D$11000,"Out",OUT!$E$2:$E$11000,"Alfa")</f>
        <v>326872</v>
      </c>
      <c r="N799" s="52" t="e">
        <f ca="1">SUMIFS(OUT!$F$2:$F$11000,OUT!$H$2:$H$101007,H799,OUT!$D$2:$D$11000,"Out",OUT!$E$2:$E$11000,"Jajan")</f>
        <v>#VALUE!</v>
      </c>
      <c r="O799" s="52">
        <f ca="1">SUMIFS(OUT!$F$2:$F$11000,OUT!$H$2:$H$11000,H799,OUT!$D$2:$D$11000,"Out",OUT!$E$2:$E$11000,"Kitchen")</f>
        <v>902100</v>
      </c>
      <c r="P799" s="52">
        <f ca="1">SUMIFS(OUT!$F$2:$F$11000,OUT!$H$2:$H$11000,H799,OUT!$D$2:$D$11000,"Out",OUT!$E$2:$E$11000,"Loandry")</f>
        <v>42900</v>
      </c>
      <c r="Q799" s="52">
        <f ca="1">SUMIFS(OUT!$F$2:$F$11000,OUT!$H$2:$H$11000,H799,OUT!$D$2:$D$11000,"Out",OUT!$E$2:$E$11000,"Mio")</f>
        <v>732000</v>
      </c>
      <c r="R799" s="52">
        <f ca="1">SUMIFS(OUT!$F$2:$F$11000,OUT!$H$2:$H$11000,H799,OUT!$D$2:$D$11000,"Out",OUT!$E$2:$E$11000,"Sedekah")</f>
        <v>0</v>
      </c>
      <c r="S799" s="52">
        <f ca="1">SUMIFS(OUT!$F$2:$F$11000,OUT!$H$2:$H$11000,H799,OUT!$D$2:$D$11000,"Out",OUT!$E$2:$E$11000,"Zela")</f>
        <v>47011</v>
      </c>
      <c r="T799" s="52">
        <f ca="1">SUMIFS(OUT!$F$2:$F$11000,OUT!$H$2:$H$11000,H799,OUT!$D$2:$D$11000,"Out",OUT!$E$2:$E$11000,"Iqbal")</f>
        <v>251000</v>
      </c>
    </row>
    <row r="800" spans="1:20" x14ac:dyDescent="0.2">
      <c r="A800" s="48">
        <f ca="1">IFERROR(__xludf.DUMMYFUNCTION("""COMPUTED_VALUE"""),46153)</f>
        <v>46153</v>
      </c>
      <c r="B800" s="4" t="str">
        <f ca="1">IFERROR(__xludf.DUMMYFUNCTION("""COMPUTED_VALUE"""),"Tarik Tunai ")</f>
        <v xml:space="preserve">Tarik Tunai </v>
      </c>
      <c r="C800" s="4" t="str">
        <f ca="1">IFERROR(__xludf.DUMMYFUNCTION("""COMPUTED_VALUE"""),"ATM")</f>
        <v>ATM</v>
      </c>
      <c r="D800" s="4" t="str">
        <f ca="1">IFERROR(__xludf.DUMMYFUNCTION("""COMPUTED_VALUE"""),"Out")</f>
        <v>Out</v>
      </c>
      <c r="E800" s="4" t="str">
        <f ca="1">IFERROR(__xludf.DUMMYFUNCTION("""COMPUTED_VALUE"""),"Move")</f>
        <v>Move</v>
      </c>
      <c r="F800" s="49">
        <f ca="1">IFERROR(__xludf.DUMMYFUNCTION("""COMPUTED_VALUE"""),50000)</f>
        <v>50000</v>
      </c>
      <c r="G800" s="50" t="str">
        <f ca="1">IFERROR(__xludf.DUMMYFUNCTION("""COMPUTED_VALUE"""),"Zela")</f>
        <v>Zela</v>
      </c>
      <c r="H800" s="51">
        <f t="shared" ca="1" si="0"/>
        <v>46143</v>
      </c>
      <c r="I800" s="52" t="e">
        <f ca="1">SUMIFS(OUT!$F$2:$F$11000,OUT!$H$2:$H$11000,H800,OUT!$D$2:$D$101007,"In")</f>
        <v>#VALUE!</v>
      </c>
      <c r="J800" s="52">
        <f ca="1">SUMIFS(OUT!$F$2:$F$11000,OUT!$H$2:$H$11000,H800,OUT!$D$2:$D$11000,"Out")</f>
        <v>9490497</v>
      </c>
      <c r="K800" s="52">
        <f ca="1">SUMIFS(OUT!$F$2:$F$11000,OUT!$H$2:$H$11000,H800,OUT!$D$2:$D$11000,"Out",OUT!$E$2:$E$11000,"Fix")</f>
        <v>2703418</v>
      </c>
      <c r="L800" s="52">
        <f ca="1">SUMIFS(OUT!$F$2:$F$11000,OUT!$H$2:$H$11000,H800,OUT!$D$2:$D$11000,"Out",OUT!$E$2:$E$11000,"Bathroom")</f>
        <v>13000</v>
      </c>
      <c r="M800" s="52">
        <f ca="1">SUMIFS(OUT!$F$2:$F$11000,OUT!$H$2:$H$11000,H800,OUT!$D$2:$D$11000,"Out",OUT!$E$2:$E$11000,"Alfa")</f>
        <v>326872</v>
      </c>
      <c r="N800" s="52" t="e">
        <f ca="1">SUMIFS(OUT!$F$2:$F$11000,OUT!$H$2:$H$101007,H800,OUT!$D$2:$D$11000,"Out",OUT!$E$2:$E$11000,"Jajan")</f>
        <v>#VALUE!</v>
      </c>
      <c r="O800" s="52">
        <f ca="1">SUMIFS(OUT!$F$2:$F$11000,OUT!$H$2:$H$11000,H800,OUT!$D$2:$D$11000,"Out",OUT!$E$2:$E$11000,"Kitchen")</f>
        <v>902100</v>
      </c>
      <c r="P800" s="52">
        <f ca="1">SUMIFS(OUT!$F$2:$F$11000,OUT!$H$2:$H$11000,H800,OUT!$D$2:$D$11000,"Out",OUT!$E$2:$E$11000,"Loandry")</f>
        <v>42900</v>
      </c>
      <c r="Q800" s="52">
        <f ca="1">SUMIFS(OUT!$F$2:$F$11000,OUT!$H$2:$H$11000,H800,OUT!$D$2:$D$11000,"Out",OUT!$E$2:$E$11000,"Mio")</f>
        <v>732000</v>
      </c>
      <c r="R800" s="52">
        <f ca="1">SUMIFS(OUT!$F$2:$F$11000,OUT!$H$2:$H$11000,H800,OUT!$D$2:$D$11000,"Out",OUT!$E$2:$E$11000,"Sedekah")</f>
        <v>0</v>
      </c>
      <c r="S800" s="52">
        <f ca="1">SUMIFS(OUT!$F$2:$F$11000,OUT!$H$2:$H$11000,H800,OUT!$D$2:$D$11000,"Out",OUT!$E$2:$E$11000,"Zela")</f>
        <v>47011</v>
      </c>
      <c r="T800" s="52">
        <f ca="1">SUMIFS(OUT!$F$2:$F$11000,OUT!$H$2:$H$11000,H800,OUT!$D$2:$D$11000,"Out",OUT!$E$2:$E$11000,"Iqbal")</f>
        <v>251000</v>
      </c>
    </row>
    <row r="801" spans="1:20" x14ac:dyDescent="0.2">
      <c r="A801" s="48">
        <f ca="1">IFERROR(__xludf.DUMMYFUNCTION("""COMPUTED_VALUE"""),46153)</f>
        <v>46153</v>
      </c>
      <c r="B801" s="4" t="str">
        <f ca="1">IFERROR(__xludf.DUMMYFUNCTION("""COMPUTED_VALUE"""),"Terima Tunai ")</f>
        <v xml:space="preserve">Terima Tunai </v>
      </c>
      <c r="C801" s="4" t="str">
        <f ca="1">IFERROR(__xludf.DUMMYFUNCTION("""COMPUTED_VALUE"""),"Cash")</f>
        <v>Cash</v>
      </c>
      <c r="D801" s="4" t="str">
        <f ca="1">IFERROR(__xludf.DUMMYFUNCTION("""COMPUTED_VALUE"""),"In")</f>
        <v>In</v>
      </c>
      <c r="E801" s="4" t="str">
        <f ca="1">IFERROR(__xludf.DUMMYFUNCTION("""COMPUTED_VALUE"""),"Move")</f>
        <v>Move</v>
      </c>
      <c r="F801" s="49">
        <f ca="1">IFERROR(__xludf.DUMMYFUNCTION("""COMPUTED_VALUE"""),50000)</f>
        <v>50000</v>
      </c>
      <c r="G801" s="50" t="str">
        <f ca="1">IFERROR(__xludf.DUMMYFUNCTION("""COMPUTED_VALUE"""),"Zela")</f>
        <v>Zela</v>
      </c>
      <c r="H801" s="51">
        <f t="shared" ca="1" si="0"/>
        <v>46143</v>
      </c>
      <c r="I801" s="52" t="e">
        <f ca="1">SUMIFS(OUT!$F$2:$F$11000,OUT!$H$2:$H$11000,H801,OUT!$D$2:$D$101007,"In")</f>
        <v>#VALUE!</v>
      </c>
      <c r="J801" s="52">
        <f ca="1">SUMIFS(OUT!$F$2:$F$11000,OUT!$H$2:$H$11000,H801,OUT!$D$2:$D$11000,"Out")</f>
        <v>9490497</v>
      </c>
      <c r="K801" s="52">
        <f ca="1">SUMIFS(OUT!$F$2:$F$11000,OUT!$H$2:$H$11000,H801,OUT!$D$2:$D$11000,"Out",OUT!$E$2:$E$11000,"Fix")</f>
        <v>2703418</v>
      </c>
      <c r="L801" s="52">
        <f ca="1">SUMIFS(OUT!$F$2:$F$11000,OUT!$H$2:$H$11000,H801,OUT!$D$2:$D$11000,"Out",OUT!$E$2:$E$11000,"Bathroom")</f>
        <v>13000</v>
      </c>
      <c r="M801" s="52">
        <f ca="1">SUMIFS(OUT!$F$2:$F$11000,OUT!$H$2:$H$11000,H801,OUT!$D$2:$D$11000,"Out",OUT!$E$2:$E$11000,"Alfa")</f>
        <v>326872</v>
      </c>
      <c r="N801" s="52" t="e">
        <f ca="1">SUMIFS(OUT!$F$2:$F$11000,OUT!$H$2:$H$101007,H801,OUT!$D$2:$D$11000,"Out",OUT!$E$2:$E$11000,"Jajan")</f>
        <v>#VALUE!</v>
      </c>
      <c r="O801" s="52">
        <f ca="1">SUMIFS(OUT!$F$2:$F$11000,OUT!$H$2:$H$11000,H801,OUT!$D$2:$D$11000,"Out",OUT!$E$2:$E$11000,"Kitchen")</f>
        <v>902100</v>
      </c>
      <c r="P801" s="52">
        <f ca="1">SUMIFS(OUT!$F$2:$F$11000,OUT!$H$2:$H$11000,H801,OUT!$D$2:$D$11000,"Out",OUT!$E$2:$E$11000,"Loandry")</f>
        <v>42900</v>
      </c>
      <c r="Q801" s="52">
        <f ca="1">SUMIFS(OUT!$F$2:$F$11000,OUT!$H$2:$H$11000,H801,OUT!$D$2:$D$11000,"Out",OUT!$E$2:$E$11000,"Mio")</f>
        <v>732000</v>
      </c>
      <c r="R801" s="52">
        <f ca="1">SUMIFS(OUT!$F$2:$F$11000,OUT!$H$2:$H$11000,H801,OUT!$D$2:$D$11000,"Out",OUT!$E$2:$E$11000,"Sedekah")</f>
        <v>0</v>
      </c>
      <c r="S801" s="52">
        <f ca="1">SUMIFS(OUT!$F$2:$F$11000,OUT!$H$2:$H$11000,H801,OUT!$D$2:$D$11000,"Out",OUT!$E$2:$E$11000,"Zela")</f>
        <v>47011</v>
      </c>
      <c r="T801" s="52">
        <f ca="1">SUMIFS(OUT!$F$2:$F$11000,OUT!$H$2:$H$11000,H801,OUT!$D$2:$D$11000,"Out",OUT!$E$2:$E$11000,"Iqbal")</f>
        <v>251000</v>
      </c>
    </row>
    <row r="802" spans="1:20" x14ac:dyDescent="0.2">
      <c r="A802" s="48">
        <f ca="1">IFERROR(__xludf.DUMMYFUNCTION("""COMPUTED_VALUE"""),46153)</f>
        <v>46153</v>
      </c>
      <c r="B802" s="4" t="str">
        <f ca="1">IFERROR(__xludf.DUMMYFUNCTION("""COMPUTED_VALUE"""),"pasar kAget ")</f>
        <v xml:space="preserve">pasar kAget </v>
      </c>
      <c r="C802" s="4" t="str">
        <f ca="1">IFERROR(__xludf.DUMMYFUNCTION("""COMPUTED_VALUE"""),"Cash")</f>
        <v>Cash</v>
      </c>
      <c r="D802" s="4" t="str">
        <f ca="1">IFERROR(__xludf.DUMMYFUNCTION("""COMPUTED_VALUE"""),"Out")</f>
        <v>Out</v>
      </c>
      <c r="E802" s="4" t="str">
        <f ca="1">IFERROR(__xludf.DUMMYFUNCTION("""COMPUTED_VALUE"""),"Kitchen")</f>
        <v>Kitchen</v>
      </c>
      <c r="F802" s="49">
        <f ca="1">IFERROR(__xludf.DUMMYFUNCTION("""COMPUTED_VALUE"""),30000)</f>
        <v>30000</v>
      </c>
      <c r="G802" s="50" t="str">
        <f ca="1">IFERROR(__xludf.DUMMYFUNCTION("""COMPUTED_VALUE"""),"Zela")</f>
        <v>Zela</v>
      </c>
      <c r="H802" s="51">
        <f t="shared" ca="1" si="0"/>
        <v>46143</v>
      </c>
      <c r="I802" s="52" t="e">
        <f ca="1">SUMIFS(OUT!$F$2:$F$11000,OUT!$H$2:$H$11000,H802,OUT!$D$2:$D$101007,"In")</f>
        <v>#VALUE!</v>
      </c>
      <c r="J802" s="52">
        <f ca="1">SUMIFS(OUT!$F$2:$F$11000,OUT!$H$2:$H$11000,H802,OUT!$D$2:$D$11000,"Out")</f>
        <v>9490497</v>
      </c>
      <c r="K802" s="52">
        <f ca="1">SUMIFS(OUT!$F$2:$F$11000,OUT!$H$2:$H$11000,H802,OUT!$D$2:$D$11000,"Out",OUT!$E$2:$E$11000,"Fix")</f>
        <v>2703418</v>
      </c>
      <c r="L802" s="52">
        <f ca="1">SUMIFS(OUT!$F$2:$F$11000,OUT!$H$2:$H$11000,H802,OUT!$D$2:$D$11000,"Out",OUT!$E$2:$E$11000,"Bathroom")</f>
        <v>13000</v>
      </c>
      <c r="M802" s="52">
        <f ca="1">SUMIFS(OUT!$F$2:$F$11000,OUT!$H$2:$H$11000,H802,OUT!$D$2:$D$11000,"Out",OUT!$E$2:$E$11000,"Alfa")</f>
        <v>326872</v>
      </c>
      <c r="N802" s="52" t="e">
        <f ca="1">SUMIFS(OUT!$F$2:$F$11000,OUT!$H$2:$H$101007,H802,OUT!$D$2:$D$11000,"Out",OUT!$E$2:$E$11000,"Jajan")</f>
        <v>#VALUE!</v>
      </c>
      <c r="O802" s="52">
        <f ca="1">SUMIFS(OUT!$F$2:$F$11000,OUT!$H$2:$H$11000,H802,OUT!$D$2:$D$11000,"Out",OUT!$E$2:$E$11000,"Kitchen")</f>
        <v>902100</v>
      </c>
      <c r="P802" s="52">
        <f ca="1">SUMIFS(OUT!$F$2:$F$11000,OUT!$H$2:$H$11000,H802,OUT!$D$2:$D$11000,"Out",OUT!$E$2:$E$11000,"Loandry")</f>
        <v>42900</v>
      </c>
      <c r="Q802" s="52">
        <f ca="1">SUMIFS(OUT!$F$2:$F$11000,OUT!$H$2:$H$11000,H802,OUT!$D$2:$D$11000,"Out",OUT!$E$2:$E$11000,"Mio")</f>
        <v>732000</v>
      </c>
      <c r="R802" s="52">
        <f ca="1">SUMIFS(OUT!$F$2:$F$11000,OUT!$H$2:$H$11000,H802,OUT!$D$2:$D$11000,"Out",OUT!$E$2:$E$11000,"Sedekah")</f>
        <v>0</v>
      </c>
      <c r="S802" s="52">
        <f ca="1">SUMIFS(OUT!$F$2:$F$11000,OUT!$H$2:$H$11000,H802,OUT!$D$2:$D$11000,"Out",OUT!$E$2:$E$11000,"Zela")</f>
        <v>47011</v>
      </c>
      <c r="T802" s="52">
        <f ca="1">SUMIFS(OUT!$F$2:$F$11000,OUT!$H$2:$H$11000,H802,OUT!$D$2:$D$11000,"Out",OUT!$E$2:$E$11000,"Iqbal")</f>
        <v>251000</v>
      </c>
    </row>
    <row r="803" spans="1:20" x14ac:dyDescent="0.2">
      <c r="A803" s="48">
        <f ca="1">IFERROR(__xludf.DUMMYFUNCTION("""COMPUTED_VALUE"""),46153)</f>
        <v>46153</v>
      </c>
      <c r="B803" s="4" t="str">
        <f ca="1">IFERROR(__xludf.DUMMYFUNCTION("""COMPUTED_VALUE"""),"Lupa catat")</f>
        <v>Lupa catat</v>
      </c>
      <c r="C803" s="4" t="str">
        <f ca="1">IFERROR(__xludf.DUMMYFUNCTION("""COMPUTED_VALUE"""),"Cash")</f>
        <v>Cash</v>
      </c>
      <c r="D803" s="4" t="str">
        <f ca="1">IFERROR(__xludf.DUMMYFUNCTION("""COMPUTED_VALUE"""),"Out")</f>
        <v>Out</v>
      </c>
      <c r="E803" s="4" t="str">
        <f ca="1">IFERROR(__xludf.DUMMYFUNCTION("""COMPUTED_VALUE"""),"Jajan")</f>
        <v>Jajan</v>
      </c>
      <c r="F803" s="49">
        <f ca="1">IFERROR(__xludf.DUMMYFUNCTION("""COMPUTED_VALUE"""),6600)</f>
        <v>6600</v>
      </c>
      <c r="G803" s="50" t="str">
        <f ca="1">IFERROR(__xludf.DUMMYFUNCTION("""COMPUTED_VALUE"""),"Zela")</f>
        <v>Zela</v>
      </c>
      <c r="H803" s="51">
        <f t="shared" ca="1" si="0"/>
        <v>46143</v>
      </c>
      <c r="I803" s="52" t="e">
        <f ca="1">SUMIFS(OUT!$F$2:$F$11000,OUT!$H$2:$H$11000,H803,OUT!$D$2:$D$101007,"In")</f>
        <v>#VALUE!</v>
      </c>
      <c r="J803" s="52">
        <f ca="1">SUMIFS(OUT!$F$2:$F$11000,OUT!$H$2:$H$11000,H803,OUT!$D$2:$D$11000,"Out")</f>
        <v>9490497</v>
      </c>
      <c r="K803" s="52">
        <f ca="1">SUMIFS(OUT!$F$2:$F$11000,OUT!$H$2:$H$11000,H803,OUT!$D$2:$D$11000,"Out",OUT!$E$2:$E$11000,"Fix")</f>
        <v>2703418</v>
      </c>
      <c r="L803" s="52">
        <f ca="1">SUMIFS(OUT!$F$2:$F$11000,OUT!$H$2:$H$11000,H803,OUT!$D$2:$D$11000,"Out",OUT!$E$2:$E$11000,"Bathroom")</f>
        <v>13000</v>
      </c>
      <c r="M803" s="52">
        <f ca="1">SUMIFS(OUT!$F$2:$F$11000,OUT!$H$2:$H$11000,H803,OUT!$D$2:$D$11000,"Out",OUT!$E$2:$E$11000,"Alfa")</f>
        <v>326872</v>
      </c>
      <c r="N803" s="52" t="e">
        <f ca="1">SUMIFS(OUT!$F$2:$F$11000,OUT!$H$2:$H$101007,H803,OUT!$D$2:$D$11000,"Out",OUT!$E$2:$E$11000,"Jajan")</f>
        <v>#VALUE!</v>
      </c>
      <c r="O803" s="52">
        <f ca="1">SUMIFS(OUT!$F$2:$F$11000,OUT!$H$2:$H$11000,H803,OUT!$D$2:$D$11000,"Out",OUT!$E$2:$E$11000,"Kitchen")</f>
        <v>902100</v>
      </c>
      <c r="P803" s="52">
        <f ca="1">SUMIFS(OUT!$F$2:$F$11000,OUT!$H$2:$H$11000,H803,OUT!$D$2:$D$11000,"Out",OUT!$E$2:$E$11000,"Loandry")</f>
        <v>42900</v>
      </c>
      <c r="Q803" s="52">
        <f ca="1">SUMIFS(OUT!$F$2:$F$11000,OUT!$H$2:$H$11000,H803,OUT!$D$2:$D$11000,"Out",OUT!$E$2:$E$11000,"Mio")</f>
        <v>732000</v>
      </c>
      <c r="R803" s="52">
        <f ca="1">SUMIFS(OUT!$F$2:$F$11000,OUT!$H$2:$H$11000,H803,OUT!$D$2:$D$11000,"Out",OUT!$E$2:$E$11000,"Sedekah")</f>
        <v>0</v>
      </c>
      <c r="S803" s="52">
        <f ca="1">SUMIFS(OUT!$F$2:$F$11000,OUT!$H$2:$H$11000,H803,OUT!$D$2:$D$11000,"Out",OUT!$E$2:$E$11000,"Zela")</f>
        <v>47011</v>
      </c>
      <c r="T803" s="52">
        <f ca="1">SUMIFS(OUT!$F$2:$F$11000,OUT!$H$2:$H$11000,H803,OUT!$D$2:$D$11000,"Out",OUT!$E$2:$E$11000,"Iqbal")</f>
        <v>251000</v>
      </c>
    </row>
    <row r="804" spans="1:20" x14ac:dyDescent="0.2">
      <c r="A804" s="48">
        <f ca="1">IFERROR(__xludf.DUMMYFUNCTION("""COMPUTED_VALUE"""),46154)</f>
        <v>46154</v>
      </c>
      <c r="B804" s="4" t="str">
        <f ca="1">IFERROR(__xludf.DUMMYFUNCTION("""COMPUTED_VALUE"""),"kerupuk")</f>
        <v>kerupuk</v>
      </c>
      <c r="C804" s="4" t="str">
        <f ca="1">IFERROR(__xludf.DUMMYFUNCTION("""COMPUTED_VALUE"""),"Cash")</f>
        <v>Cash</v>
      </c>
      <c r="D804" s="4" t="str">
        <f ca="1">IFERROR(__xludf.DUMMYFUNCTION("""COMPUTED_VALUE"""),"Out")</f>
        <v>Out</v>
      </c>
      <c r="E804" s="4" t="str">
        <f ca="1">IFERROR(__xludf.DUMMYFUNCTION("""COMPUTED_VALUE"""),"Jajan")</f>
        <v>Jajan</v>
      </c>
      <c r="F804" s="49">
        <f ca="1">IFERROR(__xludf.DUMMYFUNCTION("""COMPUTED_VALUE"""),5000)</f>
        <v>5000</v>
      </c>
      <c r="G804" s="50" t="str">
        <f ca="1">IFERROR(__xludf.DUMMYFUNCTION("""COMPUTED_VALUE"""),"Zela")</f>
        <v>Zela</v>
      </c>
      <c r="H804" s="51">
        <f t="shared" ca="1" si="0"/>
        <v>46143</v>
      </c>
      <c r="I804" s="52" t="e">
        <f ca="1">SUMIFS(OUT!$F$2:$F$11000,OUT!$H$2:$H$11000,H804,OUT!$D$2:$D$101007,"In")</f>
        <v>#VALUE!</v>
      </c>
      <c r="J804" s="52">
        <f ca="1">SUMIFS(OUT!$F$2:$F$11000,OUT!$H$2:$H$11000,H804,OUT!$D$2:$D$11000,"Out")</f>
        <v>9490497</v>
      </c>
      <c r="K804" s="52">
        <f ca="1">SUMIFS(OUT!$F$2:$F$11000,OUT!$H$2:$H$11000,H804,OUT!$D$2:$D$11000,"Out",OUT!$E$2:$E$11000,"Fix")</f>
        <v>2703418</v>
      </c>
      <c r="L804" s="52">
        <f ca="1">SUMIFS(OUT!$F$2:$F$11000,OUT!$H$2:$H$11000,H804,OUT!$D$2:$D$11000,"Out",OUT!$E$2:$E$11000,"Bathroom")</f>
        <v>13000</v>
      </c>
      <c r="M804" s="52">
        <f ca="1">SUMIFS(OUT!$F$2:$F$11000,OUT!$H$2:$H$11000,H804,OUT!$D$2:$D$11000,"Out",OUT!$E$2:$E$11000,"Alfa")</f>
        <v>326872</v>
      </c>
      <c r="N804" s="52" t="e">
        <f ca="1">SUMIFS(OUT!$F$2:$F$11000,OUT!$H$2:$H$101007,H804,OUT!$D$2:$D$11000,"Out",OUT!$E$2:$E$11000,"Jajan")</f>
        <v>#VALUE!</v>
      </c>
      <c r="O804" s="52">
        <f ca="1">SUMIFS(OUT!$F$2:$F$11000,OUT!$H$2:$H$11000,H804,OUT!$D$2:$D$11000,"Out",OUT!$E$2:$E$11000,"Kitchen")</f>
        <v>902100</v>
      </c>
      <c r="P804" s="52">
        <f ca="1">SUMIFS(OUT!$F$2:$F$11000,OUT!$H$2:$H$11000,H804,OUT!$D$2:$D$11000,"Out",OUT!$E$2:$E$11000,"Loandry")</f>
        <v>42900</v>
      </c>
      <c r="Q804" s="52">
        <f ca="1">SUMIFS(OUT!$F$2:$F$11000,OUT!$H$2:$H$11000,H804,OUT!$D$2:$D$11000,"Out",OUT!$E$2:$E$11000,"Mio")</f>
        <v>732000</v>
      </c>
      <c r="R804" s="52">
        <f ca="1">SUMIFS(OUT!$F$2:$F$11000,OUT!$H$2:$H$11000,H804,OUT!$D$2:$D$11000,"Out",OUT!$E$2:$E$11000,"Sedekah")</f>
        <v>0</v>
      </c>
      <c r="S804" s="52">
        <f ca="1">SUMIFS(OUT!$F$2:$F$11000,OUT!$H$2:$H$11000,H804,OUT!$D$2:$D$11000,"Out",OUT!$E$2:$E$11000,"Zela")</f>
        <v>47011</v>
      </c>
      <c r="T804" s="52">
        <f ca="1">SUMIFS(OUT!$F$2:$F$11000,OUT!$H$2:$H$11000,H804,OUT!$D$2:$D$11000,"Out",OUT!$E$2:$E$11000,"Iqbal")</f>
        <v>251000</v>
      </c>
    </row>
    <row r="805" spans="1:20" x14ac:dyDescent="0.2">
      <c r="A805" s="48">
        <f ca="1">IFERROR(__xludf.DUMMYFUNCTION("""COMPUTED_VALUE"""),46154)</f>
        <v>46154</v>
      </c>
      <c r="B805" s="4" t="str">
        <f ca="1">IFERROR(__xludf.DUMMYFUNCTION("""COMPUTED_VALUE"""),"sabun cuci piring + mie + yogurt( Alfamart )")</f>
        <v>sabun cuci piring + mie + yogurt( Alfamart )</v>
      </c>
      <c r="C805" s="4" t="str">
        <f ca="1">IFERROR(__xludf.DUMMYFUNCTION("""COMPUTED_VALUE"""),"ATM")</f>
        <v>ATM</v>
      </c>
      <c r="D805" s="4" t="str">
        <f ca="1">IFERROR(__xludf.DUMMYFUNCTION("""COMPUTED_VALUE"""),"Out")</f>
        <v>Out</v>
      </c>
      <c r="E805" s="4" t="str">
        <f ca="1">IFERROR(__xludf.DUMMYFUNCTION("""COMPUTED_VALUE"""),"Kitchen")</f>
        <v>Kitchen</v>
      </c>
      <c r="F805" s="49">
        <f ca="1">IFERROR(__xludf.DUMMYFUNCTION("""COMPUTED_VALUE"""),34400)</f>
        <v>34400</v>
      </c>
      <c r="G805" s="50" t="str">
        <f ca="1">IFERROR(__xludf.DUMMYFUNCTION("""COMPUTED_VALUE"""),"Zela")</f>
        <v>Zela</v>
      </c>
      <c r="H805" s="51">
        <f t="shared" ca="1" si="0"/>
        <v>46143</v>
      </c>
      <c r="I805" s="52" t="e">
        <f ca="1">SUMIFS(OUT!$F$2:$F$11000,OUT!$H$2:$H$11000,H805,OUT!$D$2:$D$101007,"In")</f>
        <v>#VALUE!</v>
      </c>
      <c r="J805" s="52">
        <f ca="1">SUMIFS(OUT!$F$2:$F$11000,OUT!$H$2:$H$11000,H805,OUT!$D$2:$D$11000,"Out")</f>
        <v>9490497</v>
      </c>
      <c r="K805" s="52">
        <f ca="1">SUMIFS(OUT!$F$2:$F$11000,OUT!$H$2:$H$11000,H805,OUT!$D$2:$D$11000,"Out",OUT!$E$2:$E$11000,"Fix")</f>
        <v>2703418</v>
      </c>
      <c r="L805" s="52">
        <f ca="1">SUMIFS(OUT!$F$2:$F$11000,OUT!$H$2:$H$11000,H805,OUT!$D$2:$D$11000,"Out",OUT!$E$2:$E$11000,"Bathroom")</f>
        <v>13000</v>
      </c>
      <c r="M805" s="52">
        <f ca="1">SUMIFS(OUT!$F$2:$F$11000,OUT!$H$2:$H$11000,H805,OUT!$D$2:$D$11000,"Out",OUT!$E$2:$E$11000,"Alfa")</f>
        <v>326872</v>
      </c>
      <c r="N805" s="52" t="e">
        <f ca="1">SUMIFS(OUT!$F$2:$F$11000,OUT!$H$2:$H$101007,H805,OUT!$D$2:$D$11000,"Out",OUT!$E$2:$E$11000,"Jajan")</f>
        <v>#VALUE!</v>
      </c>
      <c r="O805" s="52">
        <f ca="1">SUMIFS(OUT!$F$2:$F$11000,OUT!$H$2:$H$11000,H805,OUT!$D$2:$D$11000,"Out",OUT!$E$2:$E$11000,"Kitchen")</f>
        <v>902100</v>
      </c>
      <c r="P805" s="52">
        <f ca="1">SUMIFS(OUT!$F$2:$F$11000,OUT!$H$2:$H$11000,H805,OUT!$D$2:$D$11000,"Out",OUT!$E$2:$E$11000,"Loandry")</f>
        <v>42900</v>
      </c>
      <c r="Q805" s="52">
        <f ca="1">SUMIFS(OUT!$F$2:$F$11000,OUT!$H$2:$H$11000,H805,OUT!$D$2:$D$11000,"Out",OUT!$E$2:$E$11000,"Mio")</f>
        <v>732000</v>
      </c>
      <c r="R805" s="52">
        <f ca="1">SUMIFS(OUT!$F$2:$F$11000,OUT!$H$2:$H$11000,H805,OUT!$D$2:$D$11000,"Out",OUT!$E$2:$E$11000,"Sedekah")</f>
        <v>0</v>
      </c>
      <c r="S805" s="52">
        <f ca="1">SUMIFS(OUT!$F$2:$F$11000,OUT!$H$2:$H$11000,H805,OUT!$D$2:$D$11000,"Out",OUT!$E$2:$E$11000,"Zela")</f>
        <v>47011</v>
      </c>
      <c r="T805" s="52">
        <f ca="1">SUMIFS(OUT!$F$2:$F$11000,OUT!$H$2:$H$11000,H805,OUT!$D$2:$D$11000,"Out",OUT!$E$2:$E$11000,"Iqbal")</f>
        <v>251000</v>
      </c>
    </row>
    <row r="806" spans="1:20" x14ac:dyDescent="0.2">
      <c r="A806" s="48">
        <f ca="1">IFERROR(__xludf.DUMMYFUNCTION("""COMPUTED_VALUE"""),46155)</f>
        <v>46155</v>
      </c>
      <c r="B806" s="4" t="str">
        <f ca="1">IFERROR(__xludf.DUMMYFUNCTION("""COMPUTED_VALUE"""),"Roti Panggang ( tiktok ) ")</f>
        <v xml:space="preserve">Roti Panggang ( tiktok ) </v>
      </c>
      <c r="C806" s="4" t="str">
        <f ca="1">IFERROR(__xludf.DUMMYFUNCTION("""COMPUTED_VALUE"""),"ATM")</f>
        <v>ATM</v>
      </c>
      <c r="D806" s="4" t="str">
        <f ca="1">IFERROR(__xludf.DUMMYFUNCTION("""COMPUTED_VALUE"""),"Out")</f>
        <v>Out</v>
      </c>
      <c r="E806" s="4" t="str">
        <f ca="1">IFERROR(__xludf.DUMMYFUNCTION("""COMPUTED_VALUE"""),"Jajan")</f>
        <v>Jajan</v>
      </c>
      <c r="F806" s="49">
        <f ca="1">IFERROR(__xludf.DUMMYFUNCTION("""COMPUTED_VALUE"""),33196)</f>
        <v>33196</v>
      </c>
      <c r="G806" s="50" t="str">
        <f ca="1">IFERROR(__xludf.DUMMYFUNCTION("""COMPUTED_VALUE"""),"Zela")</f>
        <v>Zela</v>
      </c>
      <c r="H806" s="51">
        <f t="shared" ca="1" si="0"/>
        <v>46143</v>
      </c>
      <c r="I806" s="52" t="e">
        <f ca="1">SUMIFS(OUT!$F$2:$F$11000,OUT!$H$2:$H$11000,H806,OUT!$D$2:$D$101007,"In")</f>
        <v>#VALUE!</v>
      </c>
      <c r="J806" s="52">
        <f ca="1">SUMIFS(OUT!$F$2:$F$11000,OUT!$H$2:$H$11000,H806,OUT!$D$2:$D$11000,"Out")</f>
        <v>9490497</v>
      </c>
      <c r="K806" s="52">
        <f ca="1">SUMIFS(OUT!$F$2:$F$11000,OUT!$H$2:$H$11000,H806,OUT!$D$2:$D$11000,"Out",OUT!$E$2:$E$11000,"Fix")</f>
        <v>2703418</v>
      </c>
      <c r="L806" s="52">
        <f ca="1">SUMIFS(OUT!$F$2:$F$11000,OUT!$H$2:$H$11000,H806,OUT!$D$2:$D$11000,"Out",OUT!$E$2:$E$11000,"Bathroom")</f>
        <v>13000</v>
      </c>
      <c r="M806" s="52">
        <f ca="1">SUMIFS(OUT!$F$2:$F$11000,OUT!$H$2:$H$11000,H806,OUT!$D$2:$D$11000,"Out",OUT!$E$2:$E$11000,"Alfa")</f>
        <v>326872</v>
      </c>
      <c r="N806" s="52" t="e">
        <f ca="1">SUMIFS(OUT!$F$2:$F$11000,OUT!$H$2:$H$101007,H806,OUT!$D$2:$D$11000,"Out",OUT!$E$2:$E$11000,"Jajan")</f>
        <v>#VALUE!</v>
      </c>
      <c r="O806" s="52">
        <f ca="1">SUMIFS(OUT!$F$2:$F$11000,OUT!$H$2:$H$11000,H806,OUT!$D$2:$D$11000,"Out",OUT!$E$2:$E$11000,"Kitchen")</f>
        <v>902100</v>
      </c>
      <c r="P806" s="52">
        <f ca="1">SUMIFS(OUT!$F$2:$F$11000,OUT!$H$2:$H$11000,H806,OUT!$D$2:$D$11000,"Out",OUT!$E$2:$E$11000,"Loandry")</f>
        <v>42900</v>
      </c>
      <c r="Q806" s="52">
        <f ca="1">SUMIFS(OUT!$F$2:$F$11000,OUT!$H$2:$H$11000,H806,OUT!$D$2:$D$11000,"Out",OUT!$E$2:$E$11000,"Mio")</f>
        <v>732000</v>
      </c>
      <c r="R806" s="52">
        <f ca="1">SUMIFS(OUT!$F$2:$F$11000,OUT!$H$2:$H$11000,H806,OUT!$D$2:$D$11000,"Out",OUT!$E$2:$E$11000,"Sedekah")</f>
        <v>0</v>
      </c>
      <c r="S806" s="52">
        <f ca="1">SUMIFS(OUT!$F$2:$F$11000,OUT!$H$2:$H$11000,H806,OUT!$D$2:$D$11000,"Out",OUT!$E$2:$E$11000,"Zela")</f>
        <v>47011</v>
      </c>
      <c r="T806" s="52">
        <f ca="1">SUMIFS(OUT!$F$2:$F$11000,OUT!$H$2:$H$11000,H806,OUT!$D$2:$D$11000,"Out",OUT!$E$2:$E$11000,"Iqbal")</f>
        <v>251000</v>
      </c>
    </row>
    <row r="807" spans="1:20" x14ac:dyDescent="0.2">
      <c r="A807" s="48">
        <f ca="1">IFERROR(__xludf.DUMMYFUNCTION("""COMPUTED_VALUE"""),46156)</f>
        <v>46156</v>
      </c>
      <c r="B807" s="4" t="str">
        <f ca="1">IFERROR(__xludf.DUMMYFUNCTION("""COMPUTED_VALUE"""),"Tarik Tunai ")</f>
        <v xml:space="preserve">Tarik Tunai </v>
      </c>
      <c r="C807" s="4" t="str">
        <f ca="1">IFERROR(__xludf.DUMMYFUNCTION("""COMPUTED_VALUE"""),"ATM")</f>
        <v>ATM</v>
      </c>
      <c r="D807" s="4" t="str">
        <f ca="1">IFERROR(__xludf.DUMMYFUNCTION("""COMPUTED_VALUE"""),"Out")</f>
        <v>Out</v>
      </c>
      <c r="E807" s="4" t="str">
        <f ca="1">IFERROR(__xludf.DUMMYFUNCTION("""COMPUTED_VALUE"""),"Move")</f>
        <v>Move</v>
      </c>
      <c r="F807" s="49">
        <f ca="1">IFERROR(__xludf.DUMMYFUNCTION("""COMPUTED_VALUE"""),200000)</f>
        <v>200000</v>
      </c>
      <c r="G807" s="50" t="str">
        <f ca="1">IFERROR(__xludf.DUMMYFUNCTION("""COMPUTED_VALUE"""),"Zela")</f>
        <v>Zela</v>
      </c>
      <c r="H807" s="51">
        <f t="shared" ca="1" si="0"/>
        <v>46143</v>
      </c>
      <c r="I807" s="52" t="e">
        <f ca="1">SUMIFS(OUT!$F$2:$F$11000,OUT!$H$2:$H$11000,H807,OUT!$D$2:$D$101007,"In")</f>
        <v>#VALUE!</v>
      </c>
      <c r="J807" s="52">
        <f ca="1">SUMIFS(OUT!$F$2:$F$11000,OUT!$H$2:$H$11000,H807,OUT!$D$2:$D$11000,"Out")</f>
        <v>9490497</v>
      </c>
      <c r="K807" s="52">
        <f ca="1">SUMIFS(OUT!$F$2:$F$11000,OUT!$H$2:$H$11000,H807,OUT!$D$2:$D$11000,"Out",OUT!$E$2:$E$11000,"Fix")</f>
        <v>2703418</v>
      </c>
      <c r="L807" s="52">
        <f ca="1">SUMIFS(OUT!$F$2:$F$11000,OUT!$H$2:$H$11000,H807,OUT!$D$2:$D$11000,"Out",OUT!$E$2:$E$11000,"Bathroom")</f>
        <v>13000</v>
      </c>
      <c r="M807" s="52">
        <f ca="1">SUMIFS(OUT!$F$2:$F$11000,OUT!$H$2:$H$11000,H807,OUT!$D$2:$D$11000,"Out",OUT!$E$2:$E$11000,"Alfa")</f>
        <v>326872</v>
      </c>
      <c r="N807" s="52" t="e">
        <f ca="1">SUMIFS(OUT!$F$2:$F$11000,OUT!$H$2:$H$101007,H807,OUT!$D$2:$D$11000,"Out",OUT!$E$2:$E$11000,"Jajan")</f>
        <v>#VALUE!</v>
      </c>
      <c r="O807" s="52">
        <f ca="1">SUMIFS(OUT!$F$2:$F$11000,OUT!$H$2:$H$11000,H807,OUT!$D$2:$D$11000,"Out",OUT!$E$2:$E$11000,"Kitchen")</f>
        <v>902100</v>
      </c>
      <c r="P807" s="52">
        <f ca="1">SUMIFS(OUT!$F$2:$F$11000,OUT!$H$2:$H$11000,H807,OUT!$D$2:$D$11000,"Out",OUT!$E$2:$E$11000,"Loandry")</f>
        <v>42900</v>
      </c>
      <c r="Q807" s="52">
        <f ca="1">SUMIFS(OUT!$F$2:$F$11000,OUT!$H$2:$H$11000,H807,OUT!$D$2:$D$11000,"Out",OUT!$E$2:$E$11000,"Mio")</f>
        <v>732000</v>
      </c>
      <c r="R807" s="52">
        <f ca="1">SUMIFS(OUT!$F$2:$F$11000,OUT!$H$2:$H$11000,H807,OUT!$D$2:$D$11000,"Out",OUT!$E$2:$E$11000,"Sedekah")</f>
        <v>0</v>
      </c>
      <c r="S807" s="52">
        <f ca="1">SUMIFS(OUT!$F$2:$F$11000,OUT!$H$2:$H$11000,H807,OUT!$D$2:$D$11000,"Out",OUT!$E$2:$E$11000,"Zela")</f>
        <v>47011</v>
      </c>
      <c r="T807" s="52">
        <f ca="1">SUMIFS(OUT!$F$2:$F$11000,OUT!$H$2:$H$11000,H807,OUT!$D$2:$D$11000,"Out",OUT!$E$2:$E$11000,"Iqbal")</f>
        <v>251000</v>
      </c>
    </row>
    <row r="808" spans="1:20" x14ac:dyDescent="0.2">
      <c r="A808" s="48">
        <f ca="1">IFERROR(__xludf.DUMMYFUNCTION("""COMPUTED_VALUE"""),46156)</f>
        <v>46156</v>
      </c>
      <c r="B808" s="4" t="str">
        <f ca="1">IFERROR(__xludf.DUMMYFUNCTION("""COMPUTED_VALUE"""),"Terima Tunai ")</f>
        <v xml:space="preserve">Terima Tunai </v>
      </c>
      <c r="C808" s="4" t="str">
        <f ca="1">IFERROR(__xludf.DUMMYFUNCTION("""COMPUTED_VALUE"""),"Cash")</f>
        <v>Cash</v>
      </c>
      <c r="D808" s="4" t="str">
        <f ca="1">IFERROR(__xludf.DUMMYFUNCTION("""COMPUTED_VALUE"""),"In")</f>
        <v>In</v>
      </c>
      <c r="E808" s="4" t="str">
        <f ca="1">IFERROR(__xludf.DUMMYFUNCTION("""COMPUTED_VALUE"""),"Move")</f>
        <v>Move</v>
      </c>
      <c r="F808" s="49">
        <f ca="1">IFERROR(__xludf.DUMMYFUNCTION("""COMPUTED_VALUE"""),200000)</f>
        <v>200000</v>
      </c>
      <c r="G808" s="50" t="str">
        <f ca="1">IFERROR(__xludf.DUMMYFUNCTION("""COMPUTED_VALUE"""),"Zela")</f>
        <v>Zela</v>
      </c>
      <c r="H808" s="51">
        <f t="shared" ca="1" si="0"/>
        <v>46143</v>
      </c>
      <c r="I808" s="52" t="e">
        <f ca="1">SUMIFS(OUT!$F$2:$F$11000,OUT!$H$2:$H$11000,H808,OUT!$D$2:$D$101007,"In")</f>
        <v>#VALUE!</v>
      </c>
      <c r="J808" s="52">
        <f ca="1">SUMIFS(OUT!$F$2:$F$11000,OUT!$H$2:$H$11000,H808,OUT!$D$2:$D$11000,"Out")</f>
        <v>9490497</v>
      </c>
      <c r="K808" s="52">
        <f ca="1">SUMIFS(OUT!$F$2:$F$11000,OUT!$H$2:$H$11000,H808,OUT!$D$2:$D$11000,"Out",OUT!$E$2:$E$11000,"Fix")</f>
        <v>2703418</v>
      </c>
      <c r="L808" s="52">
        <f ca="1">SUMIFS(OUT!$F$2:$F$11000,OUT!$H$2:$H$11000,H808,OUT!$D$2:$D$11000,"Out",OUT!$E$2:$E$11000,"Bathroom")</f>
        <v>13000</v>
      </c>
      <c r="M808" s="52">
        <f ca="1">SUMIFS(OUT!$F$2:$F$11000,OUT!$H$2:$H$11000,H808,OUT!$D$2:$D$11000,"Out",OUT!$E$2:$E$11000,"Alfa")</f>
        <v>326872</v>
      </c>
      <c r="N808" s="52" t="e">
        <f ca="1">SUMIFS(OUT!$F$2:$F$11000,OUT!$H$2:$H$101007,H808,OUT!$D$2:$D$11000,"Out",OUT!$E$2:$E$11000,"Jajan")</f>
        <v>#VALUE!</v>
      </c>
      <c r="O808" s="52">
        <f ca="1">SUMIFS(OUT!$F$2:$F$11000,OUT!$H$2:$H$11000,H808,OUT!$D$2:$D$11000,"Out",OUT!$E$2:$E$11000,"Kitchen")</f>
        <v>902100</v>
      </c>
      <c r="P808" s="52">
        <f ca="1">SUMIFS(OUT!$F$2:$F$11000,OUT!$H$2:$H$11000,H808,OUT!$D$2:$D$11000,"Out",OUT!$E$2:$E$11000,"Loandry")</f>
        <v>42900</v>
      </c>
      <c r="Q808" s="52">
        <f ca="1">SUMIFS(OUT!$F$2:$F$11000,OUT!$H$2:$H$11000,H808,OUT!$D$2:$D$11000,"Out",OUT!$E$2:$E$11000,"Mio")</f>
        <v>732000</v>
      </c>
      <c r="R808" s="52">
        <f ca="1">SUMIFS(OUT!$F$2:$F$11000,OUT!$H$2:$H$11000,H808,OUT!$D$2:$D$11000,"Out",OUT!$E$2:$E$11000,"Sedekah")</f>
        <v>0</v>
      </c>
      <c r="S808" s="52">
        <f ca="1">SUMIFS(OUT!$F$2:$F$11000,OUT!$H$2:$H$11000,H808,OUT!$D$2:$D$11000,"Out",OUT!$E$2:$E$11000,"Zela")</f>
        <v>47011</v>
      </c>
      <c r="T808" s="52">
        <f ca="1">SUMIFS(OUT!$F$2:$F$11000,OUT!$H$2:$H$11000,H808,OUT!$D$2:$D$11000,"Out",OUT!$E$2:$E$11000,"Iqbal")</f>
        <v>251000</v>
      </c>
    </row>
    <row r="809" spans="1:20" x14ac:dyDescent="0.2">
      <c r="A809" s="48">
        <f ca="1">IFERROR(__xludf.DUMMYFUNCTION("""COMPUTED_VALUE"""),46155)</f>
        <v>46155</v>
      </c>
      <c r="B809" s="4" t="str">
        <f ca="1">IFERROR(__xludf.DUMMYFUNCTION("""COMPUTED_VALUE"""),"suamiku")</f>
        <v>suamiku</v>
      </c>
      <c r="C809" s="4" t="str">
        <f ca="1">IFERROR(__xludf.DUMMYFUNCTION("""COMPUTED_VALUE"""),"Cash")</f>
        <v>Cash</v>
      </c>
      <c r="D809" s="4" t="str">
        <f ca="1">IFERROR(__xludf.DUMMYFUNCTION("""COMPUTED_VALUE"""),"Out")</f>
        <v>Out</v>
      </c>
      <c r="E809" s="4" t="str">
        <f ca="1">IFERROR(__xludf.DUMMYFUNCTION("""COMPUTED_VALUE"""),"Jajan")</f>
        <v>Jajan</v>
      </c>
      <c r="F809" s="49">
        <f ca="1">IFERROR(__xludf.DUMMYFUNCTION("""COMPUTED_VALUE"""),15000)</f>
        <v>15000</v>
      </c>
      <c r="G809" s="50" t="str">
        <f ca="1">IFERROR(__xludf.DUMMYFUNCTION("""COMPUTED_VALUE"""),"Zela")</f>
        <v>Zela</v>
      </c>
      <c r="H809" s="51">
        <f t="shared" ca="1" si="0"/>
        <v>46143</v>
      </c>
      <c r="I809" s="52" t="e">
        <f ca="1">SUMIFS(OUT!$F$2:$F$11000,OUT!$H$2:$H$11000,H809,OUT!$D$2:$D$101007,"In")</f>
        <v>#VALUE!</v>
      </c>
      <c r="J809" s="52">
        <f ca="1">SUMIFS(OUT!$F$2:$F$11000,OUT!$H$2:$H$11000,H809,OUT!$D$2:$D$11000,"Out")</f>
        <v>9490497</v>
      </c>
      <c r="K809" s="52">
        <f ca="1">SUMIFS(OUT!$F$2:$F$11000,OUT!$H$2:$H$11000,H809,OUT!$D$2:$D$11000,"Out",OUT!$E$2:$E$11000,"Fix")</f>
        <v>2703418</v>
      </c>
      <c r="L809" s="52">
        <f ca="1">SUMIFS(OUT!$F$2:$F$11000,OUT!$H$2:$H$11000,H809,OUT!$D$2:$D$11000,"Out",OUT!$E$2:$E$11000,"Bathroom")</f>
        <v>13000</v>
      </c>
      <c r="M809" s="52">
        <f ca="1">SUMIFS(OUT!$F$2:$F$11000,OUT!$H$2:$H$11000,H809,OUT!$D$2:$D$11000,"Out",OUT!$E$2:$E$11000,"Alfa")</f>
        <v>326872</v>
      </c>
      <c r="N809" s="52" t="e">
        <f ca="1">SUMIFS(OUT!$F$2:$F$11000,OUT!$H$2:$H$101007,H809,OUT!$D$2:$D$11000,"Out",OUT!$E$2:$E$11000,"Jajan")</f>
        <v>#VALUE!</v>
      </c>
      <c r="O809" s="52">
        <f ca="1">SUMIFS(OUT!$F$2:$F$11000,OUT!$H$2:$H$11000,H809,OUT!$D$2:$D$11000,"Out",OUT!$E$2:$E$11000,"Kitchen")</f>
        <v>902100</v>
      </c>
      <c r="P809" s="52">
        <f ca="1">SUMIFS(OUT!$F$2:$F$11000,OUT!$H$2:$H$11000,H809,OUT!$D$2:$D$11000,"Out",OUT!$E$2:$E$11000,"Loandry")</f>
        <v>42900</v>
      </c>
      <c r="Q809" s="52">
        <f ca="1">SUMIFS(OUT!$F$2:$F$11000,OUT!$H$2:$H$11000,H809,OUT!$D$2:$D$11000,"Out",OUT!$E$2:$E$11000,"Mio")</f>
        <v>732000</v>
      </c>
      <c r="R809" s="52">
        <f ca="1">SUMIFS(OUT!$F$2:$F$11000,OUT!$H$2:$H$11000,H809,OUT!$D$2:$D$11000,"Out",OUT!$E$2:$E$11000,"Sedekah")</f>
        <v>0</v>
      </c>
      <c r="S809" s="52">
        <f ca="1">SUMIFS(OUT!$F$2:$F$11000,OUT!$H$2:$H$11000,H809,OUT!$D$2:$D$11000,"Out",OUT!$E$2:$E$11000,"Zela")</f>
        <v>47011</v>
      </c>
      <c r="T809" s="52">
        <f ca="1">SUMIFS(OUT!$F$2:$F$11000,OUT!$H$2:$H$11000,H809,OUT!$D$2:$D$11000,"Out",OUT!$E$2:$E$11000,"Iqbal")</f>
        <v>251000</v>
      </c>
    </row>
    <row r="810" spans="1:20" x14ac:dyDescent="0.2">
      <c r="A810" s="48">
        <f ca="1">IFERROR(__xludf.DUMMYFUNCTION("""COMPUTED_VALUE"""),46156)</f>
        <v>46156</v>
      </c>
      <c r="B810" s="4" t="str">
        <f ca="1">IFERROR(__xludf.DUMMYFUNCTION("""COMPUTED_VALUE"""),"Bensin ")</f>
        <v xml:space="preserve">Bensin </v>
      </c>
      <c r="C810" s="4" t="str">
        <f ca="1">IFERROR(__xludf.DUMMYFUNCTION("""COMPUTED_VALUE"""),"Cash")</f>
        <v>Cash</v>
      </c>
      <c r="D810" s="4" t="str">
        <f ca="1">IFERROR(__xludf.DUMMYFUNCTION("""COMPUTED_VALUE"""),"Out")</f>
        <v>Out</v>
      </c>
      <c r="E810" s="4" t="str">
        <f ca="1">IFERROR(__xludf.DUMMYFUNCTION("""COMPUTED_VALUE"""),"Mio")</f>
        <v>Mio</v>
      </c>
      <c r="F810" s="49">
        <f ca="1">IFERROR(__xludf.DUMMYFUNCTION("""COMPUTED_VALUE"""),25000)</f>
        <v>25000</v>
      </c>
      <c r="G810" s="50" t="str">
        <f ca="1">IFERROR(__xludf.DUMMYFUNCTION("""COMPUTED_VALUE"""),"Zela")</f>
        <v>Zela</v>
      </c>
      <c r="H810" s="51">
        <f t="shared" ca="1" si="0"/>
        <v>46143</v>
      </c>
      <c r="I810" s="52" t="e">
        <f ca="1">SUMIFS(OUT!$F$2:$F$11000,OUT!$H$2:$H$11000,H810,OUT!$D$2:$D$101007,"In")</f>
        <v>#VALUE!</v>
      </c>
      <c r="J810" s="52">
        <f ca="1">SUMIFS(OUT!$F$2:$F$11000,OUT!$H$2:$H$11000,H810,OUT!$D$2:$D$11000,"Out")</f>
        <v>9490497</v>
      </c>
      <c r="K810" s="52">
        <f ca="1">SUMIFS(OUT!$F$2:$F$11000,OUT!$H$2:$H$11000,H810,OUT!$D$2:$D$11000,"Out",OUT!$E$2:$E$11000,"Fix")</f>
        <v>2703418</v>
      </c>
      <c r="L810" s="52">
        <f ca="1">SUMIFS(OUT!$F$2:$F$11000,OUT!$H$2:$H$11000,H810,OUT!$D$2:$D$11000,"Out",OUT!$E$2:$E$11000,"Bathroom")</f>
        <v>13000</v>
      </c>
      <c r="M810" s="52">
        <f ca="1">SUMIFS(OUT!$F$2:$F$11000,OUT!$H$2:$H$11000,H810,OUT!$D$2:$D$11000,"Out",OUT!$E$2:$E$11000,"Alfa")</f>
        <v>326872</v>
      </c>
      <c r="N810" s="52" t="e">
        <f ca="1">SUMIFS(OUT!$F$2:$F$11000,OUT!$H$2:$H$101007,H810,OUT!$D$2:$D$11000,"Out",OUT!$E$2:$E$11000,"Jajan")</f>
        <v>#VALUE!</v>
      </c>
      <c r="O810" s="52">
        <f ca="1">SUMIFS(OUT!$F$2:$F$11000,OUT!$H$2:$H$11000,H810,OUT!$D$2:$D$11000,"Out",OUT!$E$2:$E$11000,"Kitchen")</f>
        <v>902100</v>
      </c>
      <c r="P810" s="52">
        <f ca="1">SUMIFS(OUT!$F$2:$F$11000,OUT!$H$2:$H$11000,H810,OUT!$D$2:$D$11000,"Out",OUT!$E$2:$E$11000,"Loandry")</f>
        <v>42900</v>
      </c>
      <c r="Q810" s="52">
        <f ca="1">SUMIFS(OUT!$F$2:$F$11000,OUT!$H$2:$H$11000,H810,OUT!$D$2:$D$11000,"Out",OUT!$E$2:$E$11000,"Mio")</f>
        <v>732000</v>
      </c>
      <c r="R810" s="52">
        <f ca="1">SUMIFS(OUT!$F$2:$F$11000,OUT!$H$2:$H$11000,H810,OUT!$D$2:$D$11000,"Out",OUT!$E$2:$E$11000,"Sedekah")</f>
        <v>0</v>
      </c>
      <c r="S810" s="52">
        <f ca="1">SUMIFS(OUT!$F$2:$F$11000,OUT!$H$2:$H$11000,H810,OUT!$D$2:$D$11000,"Out",OUT!$E$2:$E$11000,"Zela")</f>
        <v>47011</v>
      </c>
      <c r="T810" s="52">
        <f ca="1">SUMIFS(OUT!$F$2:$F$11000,OUT!$H$2:$H$11000,H810,OUT!$D$2:$D$11000,"Out",OUT!$E$2:$E$11000,"Iqbal")</f>
        <v>251000</v>
      </c>
    </row>
    <row r="811" spans="1:20" x14ac:dyDescent="0.2">
      <c r="A811" s="48">
        <f ca="1">IFERROR(__xludf.DUMMYFUNCTION("""COMPUTED_VALUE"""),46156)</f>
        <v>46156</v>
      </c>
      <c r="B811" s="4" t="str">
        <f ca="1">IFERROR(__xludf.DUMMYFUNCTION("""COMPUTED_VALUE"""),"molen + gorengan")</f>
        <v>molen + gorengan</v>
      </c>
      <c r="C811" s="4" t="str">
        <f ca="1">IFERROR(__xludf.DUMMYFUNCTION("""COMPUTED_VALUE"""),"Cash")</f>
        <v>Cash</v>
      </c>
      <c r="D811" s="4" t="str">
        <f ca="1">IFERROR(__xludf.DUMMYFUNCTION("""COMPUTED_VALUE"""),"Out")</f>
        <v>Out</v>
      </c>
      <c r="E811" s="4" t="str">
        <f ca="1">IFERROR(__xludf.DUMMYFUNCTION("""COMPUTED_VALUE"""),"Jajan")</f>
        <v>Jajan</v>
      </c>
      <c r="F811" s="49">
        <f ca="1">IFERROR(__xludf.DUMMYFUNCTION("""COMPUTED_VALUE"""),20000)</f>
        <v>20000</v>
      </c>
      <c r="G811" s="50" t="str">
        <f ca="1">IFERROR(__xludf.DUMMYFUNCTION("""COMPUTED_VALUE"""),"Zela")</f>
        <v>Zela</v>
      </c>
      <c r="H811" s="51">
        <f t="shared" ca="1" si="0"/>
        <v>46143</v>
      </c>
      <c r="I811" s="52" t="e">
        <f ca="1">SUMIFS(OUT!$F$2:$F$11000,OUT!$H$2:$H$11000,H811,OUT!$D$2:$D$101007,"In")</f>
        <v>#VALUE!</v>
      </c>
      <c r="J811" s="52">
        <f ca="1">SUMIFS(OUT!$F$2:$F$11000,OUT!$H$2:$H$11000,H811,OUT!$D$2:$D$11000,"Out")</f>
        <v>9490497</v>
      </c>
      <c r="K811" s="52">
        <f ca="1">SUMIFS(OUT!$F$2:$F$11000,OUT!$H$2:$H$11000,H811,OUT!$D$2:$D$11000,"Out",OUT!$E$2:$E$11000,"Fix")</f>
        <v>2703418</v>
      </c>
      <c r="L811" s="52">
        <f ca="1">SUMIFS(OUT!$F$2:$F$11000,OUT!$H$2:$H$11000,H811,OUT!$D$2:$D$11000,"Out",OUT!$E$2:$E$11000,"Bathroom")</f>
        <v>13000</v>
      </c>
      <c r="M811" s="52">
        <f ca="1">SUMIFS(OUT!$F$2:$F$11000,OUT!$H$2:$H$11000,H811,OUT!$D$2:$D$11000,"Out",OUT!$E$2:$E$11000,"Alfa")</f>
        <v>326872</v>
      </c>
      <c r="N811" s="52" t="e">
        <f ca="1">SUMIFS(OUT!$F$2:$F$11000,OUT!$H$2:$H$101007,H811,OUT!$D$2:$D$11000,"Out",OUT!$E$2:$E$11000,"Jajan")</f>
        <v>#VALUE!</v>
      </c>
      <c r="O811" s="52">
        <f ca="1">SUMIFS(OUT!$F$2:$F$11000,OUT!$H$2:$H$11000,H811,OUT!$D$2:$D$11000,"Out",OUT!$E$2:$E$11000,"Kitchen")</f>
        <v>902100</v>
      </c>
      <c r="P811" s="52">
        <f ca="1">SUMIFS(OUT!$F$2:$F$11000,OUT!$H$2:$H$11000,H811,OUT!$D$2:$D$11000,"Out",OUT!$E$2:$E$11000,"Loandry")</f>
        <v>42900</v>
      </c>
      <c r="Q811" s="52">
        <f ca="1">SUMIFS(OUT!$F$2:$F$11000,OUT!$H$2:$H$11000,H811,OUT!$D$2:$D$11000,"Out",OUT!$E$2:$E$11000,"Mio")</f>
        <v>732000</v>
      </c>
      <c r="R811" s="52">
        <f ca="1">SUMIFS(OUT!$F$2:$F$11000,OUT!$H$2:$H$11000,H811,OUT!$D$2:$D$11000,"Out",OUT!$E$2:$E$11000,"Sedekah")</f>
        <v>0</v>
      </c>
      <c r="S811" s="52">
        <f ca="1">SUMIFS(OUT!$F$2:$F$11000,OUT!$H$2:$H$11000,H811,OUT!$D$2:$D$11000,"Out",OUT!$E$2:$E$11000,"Zela")</f>
        <v>47011</v>
      </c>
      <c r="T811" s="52">
        <f ca="1">SUMIFS(OUT!$F$2:$F$11000,OUT!$H$2:$H$11000,H811,OUT!$D$2:$D$11000,"Out",OUT!$E$2:$E$11000,"Iqbal")</f>
        <v>251000</v>
      </c>
    </row>
    <row r="812" spans="1:20" x14ac:dyDescent="0.2">
      <c r="A812" s="48">
        <f ca="1">IFERROR(__xludf.DUMMYFUNCTION("""COMPUTED_VALUE"""),46156)</f>
        <v>46156</v>
      </c>
      <c r="B812" s="4" t="str">
        <f ca="1">IFERROR(__xludf.DUMMYFUNCTION("""COMPUTED_VALUE"""),"Ayam Gprek  2")</f>
        <v>Ayam Gprek  2</v>
      </c>
      <c r="C812" s="4" t="str">
        <f ca="1">IFERROR(__xludf.DUMMYFUNCTION("""COMPUTED_VALUE"""),"Cash")</f>
        <v>Cash</v>
      </c>
      <c r="D812" s="4" t="str">
        <f ca="1">IFERROR(__xludf.DUMMYFUNCTION("""COMPUTED_VALUE"""),"Out")</f>
        <v>Out</v>
      </c>
      <c r="E812" s="4" t="str">
        <f ca="1">IFERROR(__xludf.DUMMYFUNCTION("""COMPUTED_VALUE"""),"Kitchen")</f>
        <v>Kitchen</v>
      </c>
      <c r="F812" s="49">
        <f ca="1">IFERROR(__xludf.DUMMYFUNCTION("""COMPUTED_VALUE"""),18000)</f>
        <v>18000</v>
      </c>
      <c r="G812" s="50" t="str">
        <f ca="1">IFERROR(__xludf.DUMMYFUNCTION("""COMPUTED_VALUE"""),"Zela")</f>
        <v>Zela</v>
      </c>
      <c r="H812" s="51">
        <f t="shared" ca="1" si="0"/>
        <v>46143</v>
      </c>
      <c r="I812" s="52" t="e">
        <f ca="1">SUMIFS(OUT!$F$2:$F$11000,OUT!$H$2:$H$11000,H812,OUT!$D$2:$D$101007,"In")</f>
        <v>#VALUE!</v>
      </c>
      <c r="J812" s="52">
        <f ca="1">SUMIFS(OUT!$F$2:$F$11000,OUT!$H$2:$H$11000,H812,OUT!$D$2:$D$11000,"Out")</f>
        <v>9490497</v>
      </c>
      <c r="K812" s="52">
        <f ca="1">SUMIFS(OUT!$F$2:$F$11000,OUT!$H$2:$H$11000,H812,OUT!$D$2:$D$11000,"Out",OUT!$E$2:$E$11000,"Fix")</f>
        <v>2703418</v>
      </c>
      <c r="L812" s="52">
        <f ca="1">SUMIFS(OUT!$F$2:$F$11000,OUT!$H$2:$H$11000,H812,OUT!$D$2:$D$11000,"Out",OUT!$E$2:$E$11000,"Bathroom")</f>
        <v>13000</v>
      </c>
      <c r="M812" s="52">
        <f ca="1">SUMIFS(OUT!$F$2:$F$11000,OUT!$H$2:$H$11000,H812,OUT!$D$2:$D$11000,"Out",OUT!$E$2:$E$11000,"Alfa")</f>
        <v>326872</v>
      </c>
      <c r="N812" s="52" t="e">
        <f ca="1">SUMIFS(OUT!$F$2:$F$11000,OUT!$H$2:$H$101007,H812,OUT!$D$2:$D$11000,"Out",OUT!$E$2:$E$11000,"Jajan")</f>
        <v>#VALUE!</v>
      </c>
      <c r="O812" s="52">
        <f ca="1">SUMIFS(OUT!$F$2:$F$11000,OUT!$H$2:$H$11000,H812,OUT!$D$2:$D$11000,"Out",OUT!$E$2:$E$11000,"Kitchen")</f>
        <v>902100</v>
      </c>
      <c r="P812" s="52">
        <f ca="1">SUMIFS(OUT!$F$2:$F$11000,OUT!$H$2:$H$11000,H812,OUT!$D$2:$D$11000,"Out",OUT!$E$2:$E$11000,"Loandry")</f>
        <v>42900</v>
      </c>
      <c r="Q812" s="52">
        <f ca="1">SUMIFS(OUT!$F$2:$F$11000,OUT!$H$2:$H$11000,H812,OUT!$D$2:$D$11000,"Out",OUT!$E$2:$E$11000,"Mio")</f>
        <v>732000</v>
      </c>
      <c r="R812" s="52">
        <f ca="1">SUMIFS(OUT!$F$2:$F$11000,OUT!$H$2:$H$11000,H812,OUT!$D$2:$D$11000,"Out",OUT!$E$2:$E$11000,"Sedekah")</f>
        <v>0</v>
      </c>
      <c r="S812" s="52">
        <f ca="1">SUMIFS(OUT!$F$2:$F$11000,OUT!$H$2:$H$11000,H812,OUT!$D$2:$D$11000,"Out",OUT!$E$2:$E$11000,"Zela")</f>
        <v>47011</v>
      </c>
      <c r="T812" s="52">
        <f ca="1">SUMIFS(OUT!$F$2:$F$11000,OUT!$H$2:$H$11000,H812,OUT!$D$2:$D$11000,"Out",OUT!$E$2:$E$11000,"Iqbal")</f>
        <v>251000</v>
      </c>
    </row>
    <row r="813" spans="1:20" x14ac:dyDescent="0.2">
      <c r="A813" s="48">
        <f ca="1">IFERROR(__xludf.DUMMYFUNCTION("""COMPUTED_VALUE"""),46156)</f>
        <v>46156</v>
      </c>
      <c r="B813" s="4" t="str">
        <f ca="1">IFERROR(__xludf.DUMMYFUNCTION("""COMPUTED_VALUE"""),"rokok")</f>
        <v>rokok</v>
      </c>
      <c r="C813" s="4" t="str">
        <f ca="1">IFERROR(__xludf.DUMMYFUNCTION("""COMPUTED_VALUE"""),"Cash")</f>
        <v>Cash</v>
      </c>
      <c r="D813" s="4" t="str">
        <f ca="1">IFERROR(__xludf.DUMMYFUNCTION("""COMPUTED_VALUE"""),"Out")</f>
        <v>Out</v>
      </c>
      <c r="E813" s="4" t="str">
        <f ca="1">IFERROR(__xludf.DUMMYFUNCTION("""COMPUTED_VALUE"""),"Iqbal")</f>
        <v>Iqbal</v>
      </c>
      <c r="F813" s="49">
        <f ca="1">IFERROR(__xludf.DUMMYFUNCTION("""COMPUTED_VALUE"""),16000)</f>
        <v>16000</v>
      </c>
      <c r="G813" s="50" t="str">
        <f ca="1">IFERROR(__xludf.DUMMYFUNCTION("""COMPUTED_VALUE"""),"Zela")</f>
        <v>Zela</v>
      </c>
      <c r="H813" s="51">
        <f t="shared" ca="1" si="0"/>
        <v>46143</v>
      </c>
      <c r="I813" s="52" t="e">
        <f ca="1">SUMIFS(OUT!$F$2:$F$11000,OUT!$H$2:$H$11000,H813,OUT!$D$2:$D$101007,"In")</f>
        <v>#VALUE!</v>
      </c>
      <c r="J813" s="52">
        <f ca="1">SUMIFS(OUT!$F$2:$F$11000,OUT!$H$2:$H$11000,H813,OUT!$D$2:$D$11000,"Out")</f>
        <v>9490497</v>
      </c>
      <c r="K813" s="52">
        <f ca="1">SUMIFS(OUT!$F$2:$F$11000,OUT!$H$2:$H$11000,H813,OUT!$D$2:$D$11000,"Out",OUT!$E$2:$E$11000,"Fix")</f>
        <v>2703418</v>
      </c>
      <c r="L813" s="52">
        <f ca="1">SUMIFS(OUT!$F$2:$F$11000,OUT!$H$2:$H$11000,H813,OUT!$D$2:$D$11000,"Out",OUT!$E$2:$E$11000,"Bathroom")</f>
        <v>13000</v>
      </c>
      <c r="M813" s="52">
        <f ca="1">SUMIFS(OUT!$F$2:$F$11000,OUT!$H$2:$H$11000,H813,OUT!$D$2:$D$11000,"Out",OUT!$E$2:$E$11000,"Alfa")</f>
        <v>326872</v>
      </c>
      <c r="N813" s="52" t="e">
        <f ca="1">SUMIFS(OUT!$F$2:$F$11000,OUT!$H$2:$H$101007,H813,OUT!$D$2:$D$11000,"Out",OUT!$E$2:$E$11000,"Jajan")</f>
        <v>#VALUE!</v>
      </c>
      <c r="O813" s="52">
        <f ca="1">SUMIFS(OUT!$F$2:$F$11000,OUT!$H$2:$H$11000,H813,OUT!$D$2:$D$11000,"Out",OUT!$E$2:$E$11000,"Kitchen")</f>
        <v>902100</v>
      </c>
      <c r="P813" s="52">
        <f ca="1">SUMIFS(OUT!$F$2:$F$11000,OUT!$H$2:$H$11000,H813,OUT!$D$2:$D$11000,"Out",OUT!$E$2:$E$11000,"Loandry")</f>
        <v>42900</v>
      </c>
      <c r="Q813" s="52">
        <f ca="1">SUMIFS(OUT!$F$2:$F$11000,OUT!$H$2:$H$11000,H813,OUT!$D$2:$D$11000,"Out",OUT!$E$2:$E$11000,"Mio")</f>
        <v>732000</v>
      </c>
      <c r="R813" s="52">
        <f ca="1">SUMIFS(OUT!$F$2:$F$11000,OUT!$H$2:$H$11000,H813,OUT!$D$2:$D$11000,"Out",OUT!$E$2:$E$11000,"Sedekah")</f>
        <v>0</v>
      </c>
      <c r="S813" s="52">
        <f ca="1">SUMIFS(OUT!$F$2:$F$11000,OUT!$H$2:$H$11000,H813,OUT!$D$2:$D$11000,"Out",OUT!$E$2:$E$11000,"Zela")</f>
        <v>47011</v>
      </c>
      <c r="T813" s="52">
        <f ca="1">SUMIFS(OUT!$F$2:$F$11000,OUT!$H$2:$H$11000,H813,OUT!$D$2:$D$11000,"Out",OUT!$E$2:$E$11000,"Iqbal")</f>
        <v>251000</v>
      </c>
    </row>
    <row r="814" spans="1:20" x14ac:dyDescent="0.2">
      <c r="A814" s="48">
        <f ca="1">IFERROR(__xludf.DUMMYFUNCTION("""COMPUTED_VALUE"""),46156)</f>
        <v>46156</v>
      </c>
      <c r="B814" s="4" t="str">
        <f ca="1">IFERROR(__xludf.DUMMYFUNCTION("""COMPUTED_VALUE"""),"galon")</f>
        <v>galon</v>
      </c>
      <c r="C814" s="4" t="str">
        <f ca="1">IFERROR(__xludf.DUMMYFUNCTION("""COMPUTED_VALUE"""),"Cash")</f>
        <v>Cash</v>
      </c>
      <c r="D814" s="4" t="str">
        <f ca="1">IFERROR(__xludf.DUMMYFUNCTION("""COMPUTED_VALUE"""),"Out")</f>
        <v>Out</v>
      </c>
      <c r="E814" s="4" t="str">
        <f ca="1">IFERROR(__xludf.DUMMYFUNCTION("""COMPUTED_VALUE"""),"Kitchen")</f>
        <v>Kitchen</v>
      </c>
      <c r="F814" s="49">
        <f ca="1">IFERROR(__xludf.DUMMYFUNCTION("""COMPUTED_VALUE"""),4000)</f>
        <v>4000</v>
      </c>
      <c r="G814" s="50" t="str">
        <f ca="1">IFERROR(__xludf.DUMMYFUNCTION("""COMPUTED_VALUE"""),"Zela")</f>
        <v>Zela</v>
      </c>
      <c r="H814" s="51">
        <f t="shared" ca="1" si="0"/>
        <v>46143</v>
      </c>
      <c r="I814" s="52" t="e">
        <f ca="1">SUMIFS(OUT!$F$2:$F$11000,OUT!$H$2:$H$11000,H814,OUT!$D$2:$D$101007,"In")</f>
        <v>#VALUE!</v>
      </c>
      <c r="J814" s="52">
        <f ca="1">SUMIFS(OUT!$F$2:$F$11000,OUT!$H$2:$H$11000,H814,OUT!$D$2:$D$11000,"Out")</f>
        <v>9490497</v>
      </c>
      <c r="K814" s="52">
        <f ca="1">SUMIFS(OUT!$F$2:$F$11000,OUT!$H$2:$H$11000,H814,OUT!$D$2:$D$11000,"Out",OUT!$E$2:$E$11000,"Fix")</f>
        <v>2703418</v>
      </c>
      <c r="L814" s="52">
        <f ca="1">SUMIFS(OUT!$F$2:$F$11000,OUT!$H$2:$H$11000,H814,OUT!$D$2:$D$11000,"Out",OUT!$E$2:$E$11000,"Bathroom")</f>
        <v>13000</v>
      </c>
      <c r="M814" s="52">
        <f ca="1">SUMIFS(OUT!$F$2:$F$11000,OUT!$H$2:$H$11000,H814,OUT!$D$2:$D$11000,"Out",OUT!$E$2:$E$11000,"Alfa")</f>
        <v>326872</v>
      </c>
      <c r="N814" s="52" t="e">
        <f ca="1">SUMIFS(OUT!$F$2:$F$11000,OUT!$H$2:$H$101007,H814,OUT!$D$2:$D$11000,"Out",OUT!$E$2:$E$11000,"Jajan")</f>
        <v>#VALUE!</v>
      </c>
      <c r="O814" s="52">
        <f ca="1">SUMIFS(OUT!$F$2:$F$11000,OUT!$H$2:$H$11000,H814,OUT!$D$2:$D$11000,"Out",OUT!$E$2:$E$11000,"Kitchen")</f>
        <v>902100</v>
      </c>
      <c r="P814" s="52">
        <f ca="1">SUMIFS(OUT!$F$2:$F$11000,OUT!$H$2:$H$11000,H814,OUT!$D$2:$D$11000,"Out",OUT!$E$2:$E$11000,"Loandry")</f>
        <v>42900</v>
      </c>
      <c r="Q814" s="52">
        <f ca="1">SUMIFS(OUT!$F$2:$F$11000,OUT!$H$2:$H$11000,H814,OUT!$D$2:$D$11000,"Out",OUT!$E$2:$E$11000,"Mio")</f>
        <v>732000</v>
      </c>
      <c r="R814" s="52">
        <f ca="1">SUMIFS(OUT!$F$2:$F$11000,OUT!$H$2:$H$11000,H814,OUT!$D$2:$D$11000,"Out",OUT!$E$2:$E$11000,"Sedekah")</f>
        <v>0</v>
      </c>
      <c r="S814" s="52">
        <f ca="1">SUMIFS(OUT!$F$2:$F$11000,OUT!$H$2:$H$11000,H814,OUT!$D$2:$D$11000,"Out",OUT!$E$2:$E$11000,"Zela")</f>
        <v>47011</v>
      </c>
      <c r="T814" s="52">
        <f ca="1">SUMIFS(OUT!$F$2:$F$11000,OUT!$H$2:$H$11000,H814,OUT!$D$2:$D$11000,"Out",OUT!$E$2:$E$11000,"Iqbal")</f>
        <v>251000</v>
      </c>
    </row>
    <row r="815" spans="1:20" x14ac:dyDescent="0.2">
      <c r="A815" s="48">
        <f ca="1">IFERROR(__xludf.DUMMYFUNCTION("""COMPUTED_VALUE"""),46157)</f>
        <v>46157</v>
      </c>
      <c r="B815" s="4" t="str">
        <f ca="1">IFERROR(__xludf.DUMMYFUNCTION("""COMPUTED_VALUE"""),"jajan kue")</f>
        <v>jajan kue</v>
      </c>
      <c r="C815" s="4" t="str">
        <f ca="1">IFERROR(__xludf.DUMMYFUNCTION("""COMPUTED_VALUE"""),"Cash")</f>
        <v>Cash</v>
      </c>
      <c r="D815" s="4" t="str">
        <f ca="1">IFERROR(__xludf.DUMMYFUNCTION("""COMPUTED_VALUE"""),"Out")</f>
        <v>Out</v>
      </c>
      <c r="E815" s="4" t="str">
        <f ca="1">IFERROR(__xludf.DUMMYFUNCTION("""COMPUTED_VALUE"""),"Jajan")</f>
        <v>Jajan</v>
      </c>
      <c r="F815" s="49">
        <f ca="1">IFERROR(__xludf.DUMMYFUNCTION("""COMPUTED_VALUE"""),12000)</f>
        <v>12000</v>
      </c>
      <c r="G815" s="50" t="str">
        <f ca="1">IFERROR(__xludf.DUMMYFUNCTION("""COMPUTED_VALUE"""),"Zela")</f>
        <v>Zela</v>
      </c>
      <c r="H815" s="51">
        <f t="shared" ca="1" si="0"/>
        <v>46143</v>
      </c>
      <c r="I815" s="52" t="e">
        <f ca="1">SUMIFS(OUT!$F$2:$F$11000,OUT!$H$2:$H$11000,H815,OUT!$D$2:$D$101007,"In")</f>
        <v>#VALUE!</v>
      </c>
      <c r="J815" s="52">
        <f ca="1">SUMIFS(OUT!$F$2:$F$11000,OUT!$H$2:$H$11000,H815,OUT!$D$2:$D$11000,"Out")</f>
        <v>9490497</v>
      </c>
      <c r="K815" s="52">
        <f ca="1">SUMIFS(OUT!$F$2:$F$11000,OUT!$H$2:$H$11000,H815,OUT!$D$2:$D$11000,"Out",OUT!$E$2:$E$11000,"Fix")</f>
        <v>2703418</v>
      </c>
      <c r="L815" s="52">
        <f ca="1">SUMIFS(OUT!$F$2:$F$11000,OUT!$H$2:$H$11000,H815,OUT!$D$2:$D$11000,"Out",OUT!$E$2:$E$11000,"Bathroom")</f>
        <v>13000</v>
      </c>
      <c r="M815" s="52">
        <f ca="1">SUMIFS(OUT!$F$2:$F$11000,OUT!$H$2:$H$11000,H815,OUT!$D$2:$D$11000,"Out",OUT!$E$2:$E$11000,"Alfa")</f>
        <v>326872</v>
      </c>
      <c r="N815" s="52" t="e">
        <f ca="1">SUMIFS(OUT!$F$2:$F$11000,OUT!$H$2:$H$101007,H815,OUT!$D$2:$D$11000,"Out",OUT!$E$2:$E$11000,"Jajan")</f>
        <v>#VALUE!</v>
      </c>
      <c r="O815" s="52">
        <f ca="1">SUMIFS(OUT!$F$2:$F$11000,OUT!$H$2:$H$11000,H815,OUT!$D$2:$D$11000,"Out",OUT!$E$2:$E$11000,"Kitchen")</f>
        <v>902100</v>
      </c>
      <c r="P815" s="52">
        <f ca="1">SUMIFS(OUT!$F$2:$F$11000,OUT!$H$2:$H$11000,H815,OUT!$D$2:$D$11000,"Out",OUT!$E$2:$E$11000,"Loandry")</f>
        <v>42900</v>
      </c>
      <c r="Q815" s="52">
        <f ca="1">SUMIFS(OUT!$F$2:$F$11000,OUT!$H$2:$H$11000,H815,OUT!$D$2:$D$11000,"Out",OUT!$E$2:$E$11000,"Mio")</f>
        <v>732000</v>
      </c>
      <c r="R815" s="52">
        <f ca="1">SUMIFS(OUT!$F$2:$F$11000,OUT!$H$2:$H$11000,H815,OUT!$D$2:$D$11000,"Out",OUT!$E$2:$E$11000,"Sedekah")</f>
        <v>0</v>
      </c>
      <c r="S815" s="52">
        <f ca="1">SUMIFS(OUT!$F$2:$F$11000,OUT!$H$2:$H$11000,H815,OUT!$D$2:$D$11000,"Out",OUT!$E$2:$E$11000,"Zela")</f>
        <v>47011</v>
      </c>
      <c r="T815" s="52">
        <f ca="1">SUMIFS(OUT!$F$2:$F$11000,OUT!$H$2:$H$11000,H815,OUT!$D$2:$D$11000,"Out",OUT!$E$2:$E$11000,"Iqbal")</f>
        <v>251000</v>
      </c>
    </row>
    <row r="816" spans="1:20" x14ac:dyDescent="0.2">
      <c r="A816" s="48">
        <f ca="1">IFERROR(__xludf.DUMMYFUNCTION("""COMPUTED_VALUE"""),46157)</f>
        <v>46157</v>
      </c>
      <c r="B816" s="4" t="str">
        <f ca="1">IFERROR(__xludf.DUMMYFUNCTION("""COMPUTED_VALUE"""),"kopi")</f>
        <v>kopi</v>
      </c>
      <c r="C816" s="4" t="str">
        <f ca="1">IFERROR(__xludf.DUMMYFUNCTION("""COMPUTED_VALUE"""),"Cash")</f>
        <v>Cash</v>
      </c>
      <c r="D816" s="4" t="str">
        <f ca="1">IFERROR(__xludf.DUMMYFUNCTION("""COMPUTED_VALUE"""),"Out")</f>
        <v>Out</v>
      </c>
      <c r="E816" s="4" t="str">
        <f ca="1">IFERROR(__xludf.DUMMYFUNCTION("""COMPUTED_VALUE"""),"Iqbal")</f>
        <v>Iqbal</v>
      </c>
      <c r="F816" s="49">
        <f ca="1">IFERROR(__xludf.DUMMYFUNCTION("""COMPUTED_VALUE"""),5000)</f>
        <v>5000</v>
      </c>
      <c r="G816" s="50" t="str">
        <f ca="1">IFERROR(__xludf.DUMMYFUNCTION("""COMPUTED_VALUE"""),"Zela")</f>
        <v>Zela</v>
      </c>
      <c r="H816" s="51">
        <f t="shared" ca="1" si="0"/>
        <v>46143</v>
      </c>
      <c r="I816" s="52" t="e">
        <f ca="1">SUMIFS(OUT!$F$2:$F$11000,OUT!$H$2:$H$11000,H816,OUT!$D$2:$D$101007,"In")</f>
        <v>#VALUE!</v>
      </c>
      <c r="J816" s="52">
        <f ca="1">SUMIFS(OUT!$F$2:$F$11000,OUT!$H$2:$H$11000,H816,OUT!$D$2:$D$11000,"Out")</f>
        <v>9490497</v>
      </c>
      <c r="K816" s="52">
        <f ca="1">SUMIFS(OUT!$F$2:$F$11000,OUT!$H$2:$H$11000,H816,OUT!$D$2:$D$11000,"Out",OUT!$E$2:$E$11000,"Fix")</f>
        <v>2703418</v>
      </c>
      <c r="L816" s="52">
        <f ca="1">SUMIFS(OUT!$F$2:$F$11000,OUT!$H$2:$H$11000,H816,OUT!$D$2:$D$11000,"Out",OUT!$E$2:$E$11000,"Bathroom")</f>
        <v>13000</v>
      </c>
      <c r="M816" s="52">
        <f ca="1">SUMIFS(OUT!$F$2:$F$11000,OUT!$H$2:$H$11000,H816,OUT!$D$2:$D$11000,"Out",OUT!$E$2:$E$11000,"Alfa")</f>
        <v>326872</v>
      </c>
      <c r="N816" s="52" t="e">
        <f ca="1">SUMIFS(OUT!$F$2:$F$11000,OUT!$H$2:$H$101007,H816,OUT!$D$2:$D$11000,"Out",OUT!$E$2:$E$11000,"Jajan")</f>
        <v>#VALUE!</v>
      </c>
      <c r="O816" s="52">
        <f ca="1">SUMIFS(OUT!$F$2:$F$11000,OUT!$H$2:$H$11000,H816,OUT!$D$2:$D$11000,"Out",OUT!$E$2:$E$11000,"Kitchen")</f>
        <v>902100</v>
      </c>
      <c r="P816" s="52">
        <f ca="1">SUMIFS(OUT!$F$2:$F$11000,OUT!$H$2:$H$11000,H816,OUT!$D$2:$D$11000,"Out",OUT!$E$2:$E$11000,"Loandry")</f>
        <v>42900</v>
      </c>
      <c r="Q816" s="52">
        <f ca="1">SUMIFS(OUT!$F$2:$F$11000,OUT!$H$2:$H$11000,H816,OUT!$D$2:$D$11000,"Out",OUT!$E$2:$E$11000,"Mio")</f>
        <v>732000</v>
      </c>
      <c r="R816" s="52">
        <f ca="1">SUMIFS(OUT!$F$2:$F$11000,OUT!$H$2:$H$11000,H816,OUT!$D$2:$D$11000,"Out",OUT!$E$2:$E$11000,"Sedekah")</f>
        <v>0</v>
      </c>
      <c r="S816" s="52">
        <f ca="1">SUMIFS(OUT!$F$2:$F$11000,OUT!$H$2:$H$11000,H816,OUT!$D$2:$D$11000,"Out",OUT!$E$2:$E$11000,"Zela")</f>
        <v>47011</v>
      </c>
      <c r="T816" s="52">
        <f ca="1">SUMIFS(OUT!$F$2:$F$11000,OUT!$H$2:$H$11000,H816,OUT!$D$2:$D$11000,"Out",OUT!$E$2:$E$11000,"Iqbal")</f>
        <v>251000</v>
      </c>
    </row>
    <row r="817" spans="1:20" x14ac:dyDescent="0.2">
      <c r="A817" s="48">
        <f ca="1">IFERROR(__xludf.DUMMYFUNCTION("""COMPUTED_VALUE"""),46158)</f>
        <v>46158</v>
      </c>
      <c r="B817" s="4" t="str">
        <f ca="1">IFERROR(__xludf.DUMMYFUNCTION("""COMPUTED_VALUE"""),"Lupa Catat")</f>
        <v>Lupa Catat</v>
      </c>
      <c r="C817" s="4" t="str">
        <f ca="1">IFERROR(__xludf.DUMMYFUNCTION("""COMPUTED_VALUE"""),"ATM")</f>
        <v>ATM</v>
      </c>
      <c r="D817" s="4" t="str">
        <f ca="1">IFERROR(__xludf.DUMMYFUNCTION("""COMPUTED_VALUE"""),"Out")</f>
        <v>Out</v>
      </c>
      <c r="E817" s="4" t="str">
        <f ca="1">IFERROR(__xludf.DUMMYFUNCTION("""COMPUTED_VALUE"""),"Jajan")</f>
        <v>Jajan</v>
      </c>
      <c r="F817" s="49">
        <f ca="1">IFERROR(__xludf.DUMMYFUNCTION("""COMPUTED_VALUE"""),3000)</f>
        <v>3000</v>
      </c>
      <c r="G817" s="50" t="str">
        <f ca="1">IFERROR(__xludf.DUMMYFUNCTION("""COMPUTED_VALUE"""),"Zela")</f>
        <v>Zela</v>
      </c>
      <c r="H817" s="51">
        <f t="shared" ca="1" si="0"/>
        <v>46143</v>
      </c>
      <c r="I817" s="52" t="e">
        <f ca="1">SUMIFS(OUT!$F$2:$F$11000,OUT!$H$2:$H$11000,H817,OUT!$D$2:$D$101007,"In")</f>
        <v>#VALUE!</v>
      </c>
      <c r="J817" s="52">
        <f ca="1">SUMIFS(OUT!$F$2:$F$11000,OUT!$H$2:$H$11000,H817,OUT!$D$2:$D$11000,"Out")</f>
        <v>9490497</v>
      </c>
      <c r="K817" s="52">
        <f ca="1">SUMIFS(OUT!$F$2:$F$11000,OUT!$H$2:$H$11000,H817,OUT!$D$2:$D$11000,"Out",OUT!$E$2:$E$11000,"Fix")</f>
        <v>2703418</v>
      </c>
      <c r="L817" s="52">
        <f ca="1">SUMIFS(OUT!$F$2:$F$11000,OUT!$H$2:$H$11000,H817,OUT!$D$2:$D$11000,"Out",OUT!$E$2:$E$11000,"Bathroom")</f>
        <v>13000</v>
      </c>
      <c r="M817" s="52">
        <f ca="1">SUMIFS(OUT!$F$2:$F$11000,OUT!$H$2:$H$11000,H817,OUT!$D$2:$D$11000,"Out",OUT!$E$2:$E$11000,"Alfa")</f>
        <v>326872</v>
      </c>
      <c r="N817" s="52" t="e">
        <f ca="1">SUMIFS(OUT!$F$2:$F$11000,OUT!$H$2:$H$101007,H817,OUT!$D$2:$D$11000,"Out",OUT!$E$2:$E$11000,"Jajan")</f>
        <v>#VALUE!</v>
      </c>
      <c r="O817" s="52">
        <f ca="1">SUMIFS(OUT!$F$2:$F$11000,OUT!$H$2:$H$11000,H817,OUT!$D$2:$D$11000,"Out",OUT!$E$2:$E$11000,"Kitchen")</f>
        <v>902100</v>
      </c>
      <c r="P817" s="52">
        <f ca="1">SUMIFS(OUT!$F$2:$F$11000,OUT!$H$2:$H$11000,H817,OUT!$D$2:$D$11000,"Out",OUT!$E$2:$E$11000,"Loandry")</f>
        <v>42900</v>
      </c>
      <c r="Q817" s="52">
        <f ca="1">SUMIFS(OUT!$F$2:$F$11000,OUT!$H$2:$H$11000,H817,OUT!$D$2:$D$11000,"Out",OUT!$E$2:$E$11000,"Mio")</f>
        <v>732000</v>
      </c>
      <c r="R817" s="52">
        <f ca="1">SUMIFS(OUT!$F$2:$F$11000,OUT!$H$2:$H$11000,H817,OUT!$D$2:$D$11000,"Out",OUT!$E$2:$E$11000,"Sedekah")</f>
        <v>0</v>
      </c>
      <c r="S817" s="52">
        <f ca="1">SUMIFS(OUT!$F$2:$F$11000,OUT!$H$2:$H$11000,H817,OUT!$D$2:$D$11000,"Out",OUT!$E$2:$E$11000,"Zela")</f>
        <v>47011</v>
      </c>
      <c r="T817" s="52">
        <f ca="1">SUMIFS(OUT!$F$2:$F$11000,OUT!$H$2:$H$11000,H817,OUT!$D$2:$D$11000,"Out",OUT!$E$2:$E$11000,"Iqbal")</f>
        <v>251000</v>
      </c>
    </row>
    <row r="818" spans="1:20" x14ac:dyDescent="0.2">
      <c r="A818" s="48">
        <f ca="1">IFERROR(__xludf.DUMMYFUNCTION("""COMPUTED_VALUE"""),46158)</f>
        <v>46158</v>
      </c>
      <c r="B818" s="4" t="str">
        <f ca="1">IFERROR(__xludf.DUMMYFUNCTION("""COMPUTED_VALUE"""),"mi goreng ( Afagift )")</f>
        <v>mi goreng ( Afagift )</v>
      </c>
      <c r="C818" s="4" t="str">
        <f ca="1">IFERROR(__xludf.DUMMYFUNCTION("""COMPUTED_VALUE"""),"ATM")</f>
        <v>ATM</v>
      </c>
      <c r="D818" s="4" t="str">
        <f ca="1">IFERROR(__xludf.DUMMYFUNCTION("""COMPUTED_VALUE"""),"Out")</f>
        <v>Out</v>
      </c>
      <c r="E818" s="4" t="str">
        <f ca="1">IFERROR(__xludf.DUMMYFUNCTION("""COMPUTED_VALUE"""),"Kitchen")</f>
        <v>Kitchen</v>
      </c>
      <c r="F818" s="49">
        <f ca="1">IFERROR(__xludf.DUMMYFUNCTION("""COMPUTED_VALUE"""),11200)</f>
        <v>11200</v>
      </c>
      <c r="G818" s="50" t="str">
        <f ca="1">IFERROR(__xludf.DUMMYFUNCTION("""COMPUTED_VALUE"""),"Zela")</f>
        <v>Zela</v>
      </c>
      <c r="H818" s="51">
        <f t="shared" ca="1" si="0"/>
        <v>46143</v>
      </c>
      <c r="I818" s="52" t="e">
        <f ca="1">SUMIFS(OUT!$F$2:$F$11000,OUT!$H$2:$H$11000,H818,OUT!$D$2:$D$101007,"In")</f>
        <v>#VALUE!</v>
      </c>
      <c r="J818" s="52">
        <f ca="1">SUMIFS(OUT!$F$2:$F$11000,OUT!$H$2:$H$11000,H818,OUT!$D$2:$D$11000,"Out")</f>
        <v>9490497</v>
      </c>
      <c r="K818" s="52">
        <f ca="1">SUMIFS(OUT!$F$2:$F$11000,OUT!$H$2:$H$11000,H818,OUT!$D$2:$D$11000,"Out",OUT!$E$2:$E$11000,"Fix")</f>
        <v>2703418</v>
      </c>
      <c r="L818" s="52">
        <f ca="1">SUMIFS(OUT!$F$2:$F$11000,OUT!$H$2:$H$11000,H818,OUT!$D$2:$D$11000,"Out",OUT!$E$2:$E$11000,"Bathroom")</f>
        <v>13000</v>
      </c>
      <c r="M818" s="52">
        <f ca="1">SUMIFS(OUT!$F$2:$F$11000,OUT!$H$2:$H$11000,H818,OUT!$D$2:$D$11000,"Out",OUT!$E$2:$E$11000,"Alfa")</f>
        <v>326872</v>
      </c>
      <c r="N818" s="52" t="e">
        <f ca="1">SUMIFS(OUT!$F$2:$F$11000,OUT!$H$2:$H$101007,H818,OUT!$D$2:$D$11000,"Out",OUT!$E$2:$E$11000,"Jajan")</f>
        <v>#VALUE!</v>
      </c>
      <c r="O818" s="52">
        <f ca="1">SUMIFS(OUT!$F$2:$F$11000,OUT!$H$2:$H$11000,H818,OUT!$D$2:$D$11000,"Out",OUT!$E$2:$E$11000,"Kitchen")</f>
        <v>902100</v>
      </c>
      <c r="P818" s="52">
        <f ca="1">SUMIFS(OUT!$F$2:$F$11000,OUT!$H$2:$H$11000,H818,OUT!$D$2:$D$11000,"Out",OUT!$E$2:$E$11000,"Loandry")</f>
        <v>42900</v>
      </c>
      <c r="Q818" s="52">
        <f ca="1">SUMIFS(OUT!$F$2:$F$11000,OUT!$H$2:$H$11000,H818,OUT!$D$2:$D$11000,"Out",OUT!$E$2:$E$11000,"Mio")</f>
        <v>732000</v>
      </c>
      <c r="R818" s="52">
        <f ca="1">SUMIFS(OUT!$F$2:$F$11000,OUT!$H$2:$H$11000,H818,OUT!$D$2:$D$11000,"Out",OUT!$E$2:$E$11000,"Sedekah")</f>
        <v>0</v>
      </c>
      <c r="S818" s="52">
        <f ca="1">SUMIFS(OUT!$F$2:$F$11000,OUT!$H$2:$H$11000,H818,OUT!$D$2:$D$11000,"Out",OUT!$E$2:$E$11000,"Zela")</f>
        <v>47011</v>
      </c>
      <c r="T818" s="52">
        <f ca="1">SUMIFS(OUT!$F$2:$F$11000,OUT!$H$2:$H$11000,H818,OUT!$D$2:$D$11000,"Out",OUT!$E$2:$E$11000,"Iqbal")</f>
        <v>251000</v>
      </c>
    </row>
    <row r="819" spans="1:20" x14ac:dyDescent="0.2">
      <c r="A819" s="48">
        <f ca="1">IFERROR(__xludf.DUMMYFUNCTION("""COMPUTED_VALUE"""),46158)</f>
        <v>46158</v>
      </c>
      <c r="B819" s="4" t="str">
        <f ca="1">IFERROR(__xludf.DUMMYFUNCTION("""COMPUTED_VALUE"""),"tarik tunai")</f>
        <v>tarik tunai</v>
      </c>
      <c r="C819" s="4" t="str">
        <f ca="1">IFERROR(__xludf.DUMMYFUNCTION("""COMPUTED_VALUE"""),"ATM")</f>
        <v>ATM</v>
      </c>
      <c r="D819" s="4" t="str">
        <f ca="1">IFERROR(__xludf.DUMMYFUNCTION("""COMPUTED_VALUE"""),"Out")</f>
        <v>Out</v>
      </c>
      <c r="E819" s="4" t="str">
        <f ca="1">IFERROR(__xludf.DUMMYFUNCTION("""COMPUTED_VALUE"""),"Move")</f>
        <v>Move</v>
      </c>
      <c r="F819" s="49">
        <f ca="1">IFERROR(__xludf.DUMMYFUNCTION("""COMPUTED_VALUE"""),100000)</f>
        <v>100000</v>
      </c>
      <c r="G819" s="50" t="str">
        <f ca="1">IFERROR(__xludf.DUMMYFUNCTION("""COMPUTED_VALUE"""),"Zela")</f>
        <v>Zela</v>
      </c>
      <c r="H819" s="51">
        <f t="shared" ca="1" si="0"/>
        <v>46143</v>
      </c>
      <c r="I819" s="52" t="e">
        <f ca="1">SUMIFS(OUT!$F$2:$F$11000,OUT!$H$2:$H$11000,H819,OUT!$D$2:$D$101007,"In")</f>
        <v>#VALUE!</v>
      </c>
      <c r="J819" s="52">
        <f ca="1">SUMIFS(OUT!$F$2:$F$11000,OUT!$H$2:$H$11000,H819,OUT!$D$2:$D$11000,"Out")</f>
        <v>9490497</v>
      </c>
      <c r="K819" s="52">
        <f ca="1">SUMIFS(OUT!$F$2:$F$11000,OUT!$H$2:$H$11000,H819,OUT!$D$2:$D$11000,"Out",OUT!$E$2:$E$11000,"Fix")</f>
        <v>2703418</v>
      </c>
      <c r="L819" s="52">
        <f ca="1">SUMIFS(OUT!$F$2:$F$11000,OUT!$H$2:$H$11000,H819,OUT!$D$2:$D$11000,"Out",OUT!$E$2:$E$11000,"Bathroom")</f>
        <v>13000</v>
      </c>
      <c r="M819" s="52">
        <f ca="1">SUMIFS(OUT!$F$2:$F$11000,OUT!$H$2:$H$11000,H819,OUT!$D$2:$D$11000,"Out",OUT!$E$2:$E$11000,"Alfa")</f>
        <v>326872</v>
      </c>
      <c r="N819" s="52" t="e">
        <f ca="1">SUMIFS(OUT!$F$2:$F$11000,OUT!$H$2:$H$101007,H819,OUT!$D$2:$D$11000,"Out",OUT!$E$2:$E$11000,"Jajan")</f>
        <v>#VALUE!</v>
      </c>
      <c r="O819" s="52">
        <f ca="1">SUMIFS(OUT!$F$2:$F$11000,OUT!$H$2:$H$11000,H819,OUT!$D$2:$D$11000,"Out",OUT!$E$2:$E$11000,"Kitchen")</f>
        <v>902100</v>
      </c>
      <c r="P819" s="52">
        <f ca="1">SUMIFS(OUT!$F$2:$F$11000,OUT!$H$2:$H$11000,H819,OUT!$D$2:$D$11000,"Out",OUT!$E$2:$E$11000,"Loandry")</f>
        <v>42900</v>
      </c>
      <c r="Q819" s="52">
        <f ca="1">SUMIFS(OUT!$F$2:$F$11000,OUT!$H$2:$H$11000,H819,OUT!$D$2:$D$11000,"Out",OUT!$E$2:$E$11000,"Mio")</f>
        <v>732000</v>
      </c>
      <c r="R819" s="52">
        <f ca="1">SUMIFS(OUT!$F$2:$F$11000,OUT!$H$2:$H$11000,H819,OUT!$D$2:$D$11000,"Out",OUT!$E$2:$E$11000,"Sedekah")</f>
        <v>0</v>
      </c>
      <c r="S819" s="52">
        <f ca="1">SUMIFS(OUT!$F$2:$F$11000,OUT!$H$2:$H$11000,H819,OUT!$D$2:$D$11000,"Out",OUT!$E$2:$E$11000,"Zela")</f>
        <v>47011</v>
      </c>
      <c r="T819" s="52">
        <f ca="1">SUMIFS(OUT!$F$2:$F$11000,OUT!$H$2:$H$11000,H819,OUT!$D$2:$D$11000,"Out",OUT!$E$2:$E$11000,"Iqbal")</f>
        <v>251000</v>
      </c>
    </row>
    <row r="820" spans="1:20" x14ac:dyDescent="0.2">
      <c r="A820" s="48">
        <f ca="1">IFERROR(__xludf.DUMMYFUNCTION("""COMPUTED_VALUE"""),46158)</f>
        <v>46158</v>
      </c>
      <c r="B820" s="4" t="str">
        <f ca="1">IFERROR(__xludf.DUMMYFUNCTION("""COMPUTED_VALUE"""),"terima tunai")</f>
        <v>terima tunai</v>
      </c>
      <c r="C820" s="4" t="str">
        <f ca="1">IFERROR(__xludf.DUMMYFUNCTION("""COMPUTED_VALUE"""),"Cash")</f>
        <v>Cash</v>
      </c>
      <c r="D820" s="4" t="str">
        <f ca="1">IFERROR(__xludf.DUMMYFUNCTION("""COMPUTED_VALUE"""),"In")</f>
        <v>In</v>
      </c>
      <c r="E820" s="4" t="str">
        <f ca="1">IFERROR(__xludf.DUMMYFUNCTION("""COMPUTED_VALUE"""),"Move")</f>
        <v>Move</v>
      </c>
      <c r="F820" s="49">
        <f ca="1">IFERROR(__xludf.DUMMYFUNCTION("""COMPUTED_VALUE"""),100000)</f>
        <v>100000</v>
      </c>
      <c r="G820" s="50" t="str">
        <f ca="1">IFERROR(__xludf.DUMMYFUNCTION("""COMPUTED_VALUE"""),"Zela")</f>
        <v>Zela</v>
      </c>
      <c r="H820" s="51">
        <f t="shared" ca="1" si="0"/>
        <v>46143</v>
      </c>
      <c r="I820" s="52" t="e">
        <f ca="1">SUMIFS(OUT!$F$2:$F$11000,OUT!$H$2:$H$11000,H820,OUT!$D$2:$D$101007,"In")</f>
        <v>#VALUE!</v>
      </c>
      <c r="J820" s="52">
        <f ca="1">SUMIFS(OUT!$F$2:$F$11000,OUT!$H$2:$H$11000,H820,OUT!$D$2:$D$11000,"Out")</f>
        <v>9490497</v>
      </c>
      <c r="K820" s="52">
        <f ca="1">SUMIFS(OUT!$F$2:$F$11000,OUT!$H$2:$H$11000,H820,OUT!$D$2:$D$11000,"Out",OUT!$E$2:$E$11000,"Fix")</f>
        <v>2703418</v>
      </c>
      <c r="L820" s="52">
        <f ca="1">SUMIFS(OUT!$F$2:$F$11000,OUT!$H$2:$H$11000,H820,OUT!$D$2:$D$11000,"Out",OUT!$E$2:$E$11000,"Bathroom")</f>
        <v>13000</v>
      </c>
      <c r="M820" s="52">
        <f ca="1">SUMIFS(OUT!$F$2:$F$11000,OUT!$H$2:$H$11000,H820,OUT!$D$2:$D$11000,"Out",OUT!$E$2:$E$11000,"Alfa")</f>
        <v>326872</v>
      </c>
      <c r="N820" s="52" t="e">
        <f ca="1">SUMIFS(OUT!$F$2:$F$11000,OUT!$H$2:$H$101007,H820,OUT!$D$2:$D$11000,"Out",OUT!$E$2:$E$11000,"Jajan")</f>
        <v>#VALUE!</v>
      </c>
      <c r="O820" s="52">
        <f ca="1">SUMIFS(OUT!$F$2:$F$11000,OUT!$H$2:$H$11000,H820,OUT!$D$2:$D$11000,"Out",OUT!$E$2:$E$11000,"Kitchen")</f>
        <v>902100</v>
      </c>
      <c r="P820" s="52">
        <f ca="1">SUMIFS(OUT!$F$2:$F$11000,OUT!$H$2:$H$11000,H820,OUT!$D$2:$D$11000,"Out",OUT!$E$2:$E$11000,"Loandry")</f>
        <v>42900</v>
      </c>
      <c r="Q820" s="52">
        <f ca="1">SUMIFS(OUT!$F$2:$F$11000,OUT!$H$2:$H$11000,H820,OUT!$D$2:$D$11000,"Out",OUT!$E$2:$E$11000,"Mio")</f>
        <v>732000</v>
      </c>
      <c r="R820" s="52">
        <f ca="1">SUMIFS(OUT!$F$2:$F$11000,OUT!$H$2:$H$11000,H820,OUT!$D$2:$D$11000,"Out",OUT!$E$2:$E$11000,"Sedekah")</f>
        <v>0</v>
      </c>
      <c r="S820" s="52">
        <f ca="1">SUMIFS(OUT!$F$2:$F$11000,OUT!$H$2:$H$11000,H820,OUT!$D$2:$D$11000,"Out",OUT!$E$2:$E$11000,"Zela")</f>
        <v>47011</v>
      </c>
      <c r="T820" s="52">
        <f ca="1">SUMIFS(OUT!$F$2:$F$11000,OUT!$H$2:$H$11000,H820,OUT!$D$2:$D$11000,"Out",OUT!$E$2:$E$11000,"Iqbal")</f>
        <v>251000</v>
      </c>
    </row>
    <row r="821" spans="1:20" x14ac:dyDescent="0.2">
      <c r="A821" s="48">
        <f ca="1">IFERROR(__xludf.DUMMYFUNCTION("""COMPUTED_VALUE"""),46158)</f>
        <v>46158</v>
      </c>
      <c r="B821" s="4" t="str">
        <f ca="1">IFERROR(__xludf.DUMMYFUNCTION("""COMPUTED_VALUE"""),"rokok")</f>
        <v>rokok</v>
      </c>
      <c r="C821" s="4" t="str">
        <f ca="1">IFERROR(__xludf.DUMMYFUNCTION("""COMPUTED_VALUE"""),"Cash")</f>
        <v>Cash</v>
      </c>
      <c r="D821" s="4" t="str">
        <f ca="1">IFERROR(__xludf.DUMMYFUNCTION("""COMPUTED_VALUE"""),"Out")</f>
        <v>Out</v>
      </c>
      <c r="E821" s="4" t="str">
        <f ca="1">IFERROR(__xludf.DUMMYFUNCTION("""COMPUTED_VALUE"""),"Iqbal")</f>
        <v>Iqbal</v>
      </c>
      <c r="F821" s="49">
        <f ca="1">IFERROR(__xludf.DUMMYFUNCTION("""COMPUTED_VALUE"""),16000)</f>
        <v>16000</v>
      </c>
      <c r="G821" s="50" t="str">
        <f ca="1">IFERROR(__xludf.DUMMYFUNCTION("""COMPUTED_VALUE"""),"Zela")</f>
        <v>Zela</v>
      </c>
      <c r="H821" s="51">
        <f t="shared" ca="1" si="0"/>
        <v>46143</v>
      </c>
      <c r="I821" s="52" t="e">
        <f ca="1">SUMIFS(OUT!$F$2:$F$11000,OUT!$H$2:$H$11000,H821,OUT!$D$2:$D$101007,"In")</f>
        <v>#VALUE!</v>
      </c>
      <c r="J821" s="52">
        <f ca="1">SUMIFS(OUT!$F$2:$F$11000,OUT!$H$2:$H$11000,H821,OUT!$D$2:$D$11000,"Out")</f>
        <v>9490497</v>
      </c>
      <c r="K821" s="52">
        <f ca="1">SUMIFS(OUT!$F$2:$F$11000,OUT!$H$2:$H$11000,H821,OUT!$D$2:$D$11000,"Out",OUT!$E$2:$E$11000,"Fix")</f>
        <v>2703418</v>
      </c>
      <c r="L821" s="52">
        <f ca="1">SUMIFS(OUT!$F$2:$F$11000,OUT!$H$2:$H$11000,H821,OUT!$D$2:$D$11000,"Out",OUT!$E$2:$E$11000,"Bathroom")</f>
        <v>13000</v>
      </c>
      <c r="M821" s="52">
        <f ca="1">SUMIFS(OUT!$F$2:$F$11000,OUT!$H$2:$H$11000,H821,OUT!$D$2:$D$11000,"Out",OUT!$E$2:$E$11000,"Alfa")</f>
        <v>326872</v>
      </c>
      <c r="N821" s="52" t="e">
        <f ca="1">SUMIFS(OUT!$F$2:$F$11000,OUT!$H$2:$H$101007,H821,OUT!$D$2:$D$11000,"Out",OUT!$E$2:$E$11000,"Jajan")</f>
        <v>#VALUE!</v>
      </c>
      <c r="O821" s="52">
        <f ca="1">SUMIFS(OUT!$F$2:$F$11000,OUT!$H$2:$H$11000,H821,OUT!$D$2:$D$11000,"Out",OUT!$E$2:$E$11000,"Kitchen")</f>
        <v>902100</v>
      </c>
      <c r="P821" s="52">
        <f ca="1">SUMIFS(OUT!$F$2:$F$11000,OUT!$H$2:$H$11000,H821,OUT!$D$2:$D$11000,"Out",OUT!$E$2:$E$11000,"Loandry")</f>
        <v>42900</v>
      </c>
      <c r="Q821" s="52">
        <f ca="1">SUMIFS(OUT!$F$2:$F$11000,OUT!$H$2:$H$11000,H821,OUT!$D$2:$D$11000,"Out",OUT!$E$2:$E$11000,"Mio")</f>
        <v>732000</v>
      </c>
      <c r="R821" s="52">
        <f ca="1">SUMIFS(OUT!$F$2:$F$11000,OUT!$H$2:$H$11000,H821,OUT!$D$2:$D$11000,"Out",OUT!$E$2:$E$11000,"Sedekah")</f>
        <v>0</v>
      </c>
      <c r="S821" s="52">
        <f ca="1">SUMIFS(OUT!$F$2:$F$11000,OUT!$H$2:$H$11000,H821,OUT!$D$2:$D$11000,"Out",OUT!$E$2:$E$11000,"Zela")</f>
        <v>47011</v>
      </c>
      <c r="T821" s="52">
        <f ca="1">SUMIFS(OUT!$F$2:$F$11000,OUT!$H$2:$H$11000,H821,OUT!$D$2:$D$11000,"Out",OUT!$E$2:$E$11000,"Iqbal")</f>
        <v>251000</v>
      </c>
    </row>
    <row r="822" spans="1:20" x14ac:dyDescent="0.2">
      <c r="A822" s="48">
        <f ca="1">IFERROR(__xludf.DUMMYFUNCTION("""COMPUTED_VALUE"""),46159)</f>
        <v>46159</v>
      </c>
      <c r="B822" s="4" t="str">
        <f ca="1">IFERROR(__xludf.DUMMYFUNCTION("""COMPUTED_VALUE"""),"dinamo kipas")</f>
        <v>dinamo kipas</v>
      </c>
      <c r="C822" s="4" t="str">
        <f ca="1">IFERROR(__xludf.DUMMYFUNCTION("""COMPUTED_VALUE"""),"ATM")</f>
        <v>ATM</v>
      </c>
      <c r="D822" s="4" t="str">
        <f ca="1">IFERROR(__xludf.DUMMYFUNCTION("""COMPUTED_VALUE"""),"Out")</f>
        <v>Out</v>
      </c>
      <c r="E822" s="4" t="str">
        <f ca="1">IFERROR(__xludf.DUMMYFUNCTION("""COMPUTED_VALUE"""),"Fix")</f>
        <v>Fix</v>
      </c>
      <c r="F822" s="49">
        <f ca="1">IFERROR(__xludf.DUMMYFUNCTION("""COMPUTED_VALUE"""),75000)</f>
        <v>75000</v>
      </c>
      <c r="G822" s="50" t="str">
        <f ca="1">IFERROR(__xludf.DUMMYFUNCTION("""COMPUTED_VALUE"""),"Zela")</f>
        <v>Zela</v>
      </c>
      <c r="H822" s="51">
        <f t="shared" ca="1" si="0"/>
        <v>46143</v>
      </c>
      <c r="I822" s="52" t="e">
        <f ca="1">SUMIFS(OUT!$F$2:$F$11000,OUT!$H$2:$H$11000,H822,OUT!$D$2:$D$101007,"In")</f>
        <v>#VALUE!</v>
      </c>
      <c r="J822" s="52">
        <f ca="1">SUMIFS(OUT!$F$2:$F$11000,OUT!$H$2:$H$11000,H822,OUT!$D$2:$D$11000,"Out")</f>
        <v>9490497</v>
      </c>
      <c r="K822" s="52">
        <f ca="1">SUMIFS(OUT!$F$2:$F$11000,OUT!$H$2:$H$11000,H822,OUT!$D$2:$D$11000,"Out",OUT!$E$2:$E$11000,"Fix")</f>
        <v>2703418</v>
      </c>
      <c r="L822" s="52">
        <f ca="1">SUMIFS(OUT!$F$2:$F$11000,OUT!$H$2:$H$11000,H822,OUT!$D$2:$D$11000,"Out",OUT!$E$2:$E$11000,"Bathroom")</f>
        <v>13000</v>
      </c>
      <c r="M822" s="52">
        <f ca="1">SUMIFS(OUT!$F$2:$F$11000,OUT!$H$2:$H$11000,H822,OUT!$D$2:$D$11000,"Out",OUT!$E$2:$E$11000,"Alfa")</f>
        <v>326872</v>
      </c>
      <c r="N822" s="52" t="e">
        <f ca="1">SUMIFS(OUT!$F$2:$F$11000,OUT!$H$2:$H$101007,H822,OUT!$D$2:$D$11000,"Out",OUT!$E$2:$E$11000,"Jajan")</f>
        <v>#VALUE!</v>
      </c>
      <c r="O822" s="52">
        <f ca="1">SUMIFS(OUT!$F$2:$F$11000,OUT!$H$2:$H$11000,H822,OUT!$D$2:$D$11000,"Out",OUT!$E$2:$E$11000,"Kitchen")</f>
        <v>902100</v>
      </c>
      <c r="P822" s="52">
        <f ca="1">SUMIFS(OUT!$F$2:$F$11000,OUT!$H$2:$H$11000,H822,OUT!$D$2:$D$11000,"Out",OUT!$E$2:$E$11000,"Loandry")</f>
        <v>42900</v>
      </c>
      <c r="Q822" s="52">
        <f ca="1">SUMIFS(OUT!$F$2:$F$11000,OUT!$H$2:$H$11000,H822,OUT!$D$2:$D$11000,"Out",OUT!$E$2:$E$11000,"Mio")</f>
        <v>732000</v>
      </c>
      <c r="R822" s="52">
        <f ca="1">SUMIFS(OUT!$F$2:$F$11000,OUT!$H$2:$H$11000,H822,OUT!$D$2:$D$11000,"Out",OUT!$E$2:$E$11000,"Sedekah")</f>
        <v>0</v>
      </c>
      <c r="S822" s="52">
        <f ca="1">SUMIFS(OUT!$F$2:$F$11000,OUT!$H$2:$H$11000,H822,OUT!$D$2:$D$11000,"Out",OUT!$E$2:$E$11000,"Zela")</f>
        <v>47011</v>
      </c>
      <c r="T822" s="52">
        <f ca="1">SUMIFS(OUT!$F$2:$F$11000,OUT!$H$2:$H$11000,H822,OUT!$D$2:$D$11000,"Out",OUT!$E$2:$E$11000,"Iqbal")</f>
        <v>251000</v>
      </c>
    </row>
    <row r="823" spans="1:20" x14ac:dyDescent="0.2">
      <c r="A823" s="48">
        <f ca="1">IFERROR(__xludf.DUMMYFUNCTION("""COMPUTED_VALUE"""),46159)</f>
        <v>46159</v>
      </c>
      <c r="B823" s="4" t="str">
        <f ca="1">IFERROR(__xludf.DUMMYFUNCTION("""COMPUTED_VALUE"""),"j chikhen (ayam 3 nasi 2 eskrim 1)")</f>
        <v>j chikhen (ayam 3 nasi 2 eskrim 1)</v>
      </c>
      <c r="C823" s="4" t="str">
        <f ca="1">IFERROR(__xludf.DUMMYFUNCTION("""COMPUTED_VALUE"""),"ATM")</f>
        <v>ATM</v>
      </c>
      <c r="D823" s="4" t="str">
        <f ca="1">IFERROR(__xludf.DUMMYFUNCTION("""COMPUTED_VALUE"""),"Out")</f>
        <v>Out</v>
      </c>
      <c r="E823" s="4" t="str">
        <f ca="1">IFERROR(__xludf.DUMMYFUNCTION("""COMPUTED_VALUE"""),"Jajan")</f>
        <v>Jajan</v>
      </c>
      <c r="F823" s="49">
        <f ca="1">IFERROR(__xludf.DUMMYFUNCTION("""COMPUTED_VALUE"""),50000)</f>
        <v>50000</v>
      </c>
      <c r="G823" s="50" t="str">
        <f ca="1">IFERROR(__xludf.DUMMYFUNCTION("""COMPUTED_VALUE"""),"Zela")</f>
        <v>Zela</v>
      </c>
      <c r="H823" s="51">
        <f t="shared" ca="1" si="0"/>
        <v>46143</v>
      </c>
      <c r="I823" s="52" t="e">
        <f ca="1">SUMIFS(OUT!$F$2:$F$11000,OUT!$H$2:$H$11000,H823,OUT!$D$2:$D$101007,"In")</f>
        <v>#VALUE!</v>
      </c>
      <c r="J823" s="52">
        <f ca="1">SUMIFS(OUT!$F$2:$F$11000,OUT!$H$2:$H$11000,H823,OUT!$D$2:$D$11000,"Out")</f>
        <v>9490497</v>
      </c>
      <c r="K823" s="52">
        <f ca="1">SUMIFS(OUT!$F$2:$F$11000,OUT!$H$2:$H$11000,H823,OUT!$D$2:$D$11000,"Out",OUT!$E$2:$E$11000,"Fix")</f>
        <v>2703418</v>
      </c>
      <c r="L823" s="52">
        <f ca="1">SUMIFS(OUT!$F$2:$F$11000,OUT!$H$2:$H$11000,H823,OUT!$D$2:$D$11000,"Out",OUT!$E$2:$E$11000,"Bathroom")</f>
        <v>13000</v>
      </c>
      <c r="M823" s="52">
        <f ca="1">SUMIFS(OUT!$F$2:$F$11000,OUT!$H$2:$H$11000,H823,OUT!$D$2:$D$11000,"Out",OUT!$E$2:$E$11000,"Alfa")</f>
        <v>326872</v>
      </c>
      <c r="N823" s="52" t="e">
        <f ca="1">SUMIFS(OUT!$F$2:$F$11000,OUT!$H$2:$H$101007,H823,OUT!$D$2:$D$11000,"Out",OUT!$E$2:$E$11000,"Jajan")</f>
        <v>#VALUE!</v>
      </c>
      <c r="O823" s="52">
        <f ca="1">SUMIFS(OUT!$F$2:$F$11000,OUT!$H$2:$H$11000,H823,OUT!$D$2:$D$11000,"Out",OUT!$E$2:$E$11000,"Kitchen")</f>
        <v>902100</v>
      </c>
      <c r="P823" s="52">
        <f ca="1">SUMIFS(OUT!$F$2:$F$11000,OUT!$H$2:$H$11000,H823,OUT!$D$2:$D$11000,"Out",OUT!$E$2:$E$11000,"Loandry")</f>
        <v>42900</v>
      </c>
      <c r="Q823" s="52">
        <f ca="1">SUMIFS(OUT!$F$2:$F$11000,OUT!$H$2:$H$11000,H823,OUT!$D$2:$D$11000,"Out",OUT!$E$2:$E$11000,"Mio")</f>
        <v>732000</v>
      </c>
      <c r="R823" s="52">
        <f ca="1">SUMIFS(OUT!$F$2:$F$11000,OUT!$H$2:$H$11000,H823,OUT!$D$2:$D$11000,"Out",OUT!$E$2:$E$11000,"Sedekah")</f>
        <v>0</v>
      </c>
      <c r="S823" s="52">
        <f ca="1">SUMIFS(OUT!$F$2:$F$11000,OUT!$H$2:$H$11000,H823,OUT!$D$2:$D$11000,"Out",OUT!$E$2:$E$11000,"Zela")</f>
        <v>47011</v>
      </c>
      <c r="T823" s="52">
        <f ca="1">SUMIFS(OUT!$F$2:$F$11000,OUT!$H$2:$H$11000,H823,OUT!$D$2:$D$11000,"Out",OUT!$E$2:$E$11000,"Iqbal")</f>
        <v>251000</v>
      </c>
    </row>
    <row r="824" spans="1:20" x14ac:dyDescent="0.2">
      <c r="A824" s="48">
        <f ca="1">IFERROR(__xludf.DUMMYFUNCTION("""COMPUTED_VALUE"""),46158)</f>
        <v>46158</v>
      </c>
      <c r="B824" s="4" t="str">
        <f ca="1">IFERROR(__xludf.DUMMYFUNCTION("""COMPUTED_VALUE"""),"Ayam Gprek  1  + Tahu")</f>
        <v>Ayam Gprek  1  + Tahu</v>
      </c>
      <c r="C824" s="4" t="str">
        <f ca="1">IFERROR(__xludf.DUMMYFUNCTION("""COMPUTED_VALUE"""),"Cash")</f>
        <v>Cash</v>
      </c>
      <c r="D824" s="4" t="str">
        <f ca="1">IFERROR(__xludf.DUMMYFUNCTION("""COMPUTED_VALUE"""),"Out")</f>
        <v>Out</v>
      </c>
      <c r="E824" s="4" t="str">
        <f ca="1">IFERROR(__xludf.DUMMYFUNCTION("""COMPUTED_VALUE"""),"Kitchen")</f>
        <v>Kitchen</v>
      </c>
      <c r="F824" s="49">
        <f ca="1">IFERROR(__xludf.DUMMYFUNCTION("""COMPUTED_VALUE"""),10000)</f>
        <v>10000</v>
      </c>
      <c r="G824" s="50" t="str">
        <f ca="1">IFERROR(__xludf.DUMMYFUNCTION("""COMPUTED_VALUE"""),"Zela")</f>
        <v>Zela</v>
      </c>
      <c r="H824" s="51">
        <f t="shared" ca="1" si="0"/>
        <v>46143</v>
      </c>
      <c r="I824" s="52" t="e">
        <f ca="1">SUMIFS(OUT!$F$2:$F$11000,OUT!$H$2:$H$11000,H824,OUT!$D$2:$D$101007,"In")</f>
        <v>#VALUE!</v>
      </c>
      <c r="J824" s="52">
        <f ca="1">SUMIFS(OUT!$F$2:$F$11000,OUT!$H$2:$H$11000,H824,OUT!$D$2:$D$11000,"Out")</f>
        <v>9490497</v>
      </c>
      <c r="K824" s="52">
        <f ca="1">SUMIFS(OUT!$F$2:$F$11000,OUT!$H$2:$H$11000,H824,OUT!$D$2:$D$11000,"Out",OUT!$E$2:$E$11000,"Fix")</f>
        <v>2703418</v>
      </c>
      <c r="L824" s="52">
        <f ca="1">SUMIFS(OUT!$F$2:$F$11000,OUT!$H$2:$H$11000,H824,OUT!$D$2:$D$11000,"Out",OUT!$E$2:$E$11000,"Bathroom")</f>
        <v>13000</v>
      </c>
      <c r="M824" s="52">
        <f ca="1">SUMIFS(OUT!$F$2:$F$11000,OUT!$H$2:$H$11000,H824,OUT!$D$2:$D$11000,"Out",OUT!$E$2:$E$11000,"Alfa")</f>
        <v>326872</v>
      </c>
      <c r="N824" s="52" t="e">
        <f ca="1">SUMIFS(OUT!$F$2:$F$11000,OUT!$H$2:$H$101007,H824,OUT!$D$2:$D$11000,"Out",OUT!$E$2:$E$11000,"Jajan")</f>
        <v>#VALUE!</v>
      </c>
      <c r="O824" s="52">
        <f ca="1">SUMIFS(OUT!$F$2:$F$11000,OUT!$H$2:$H$11000,H824,OUT!$D$2:$D$11000,"Out",OUT!$E$2:$E$11000,"Kitchen")</f>
        <v>902100</v>
      </c>
      <c r="P824" s="52">
        <f ca="1">SUMIFS(OUT!$F$2:$F$11000,OUT!$H$2:$H$11000,H824,OUT!$D$2:$D$11000,"Out",OUT!$E$2:$E$11000,"Loandry")</f>
        <v>42900</v>
      </c>
      <c r="Q824" s="52">
        <f ca="1">SUMIFS(OUT!$F$2:$F$11000,OUT!$H$2:$H$11000,H824,OUT!$D$2:$D$11000,"Out",OUT!$E$2:$E$11000,"Mio")</f>
        <v>732000</v>
      </c>
      <c r="R824" s="52">
        <f ca="1">SUMIFS(OUT!$F$2:$F$11000,OUT!$H$2:$H$11000,H824,OUT!$D$2:$D$11000,"Out",OUT!$E$2:$E$11000,"Sedekah")</f>
        <v>0</v>
      </c>
      <c r="S824" s="52">
        <f ca="1">SUMIFS(OUT!$F$2:$F$11000,OUT!$H$2:$H$11000,H824,OUT!$D$2:$D$11000,"Out",OUT!$E$2:$E$11000,"Zela")</f>
        <v>47011</v>
      </c>
      <c r="T824" s="52">
        <f ca="1">SUMIFS(OUT!$F$2:$F$11000,OUT!$H$2:$H$11000,H824,OUT!$D$2:$D$11000,"Out",OUT!$E$2:$E$11000,"Iqbal")</f>
        <v>251000</v>
      </c>
    </row>
    <row r="825" spans="1:20" x14ac:dyDescent="0.2">
      <c r="A825" s="48">
        <f ca="1">IFERROR(__xludf.DUMMYFUNCTION("""COMPUTED_VALUE"""),46157)</f>
        <v>46157</v>
      </c>
      <c r="B825" s="4" t="str">
        <f ca="1">IFERROR(__xludf.DUMMYFUNCTION("""COMPUTED_VALUE"""),"pasar Kaget ")</f>
        <v xml:space="preserve">pasar Kaget </v>
      </c>
      <c r="C825" s="4" t="str">
        <f ca="1">IFERROR(__xludf.DUMMYFUNCTION("""COMPUTED_VALUE"""),"Cash")</f>
        <v>Cash</v>
      </c>
      <c r="D825" s="4" t="str">
        <f ca="1">IFERROR(__xludf.DUMMYFUNCTION("""COMPUTED_VALUE"""),"Out")</f>
        <v>Out</v>
      </c>
      <c r="E825" s="4" t="str">
        <f ca="1">IFERROR(__xludf.DUMMYFUNCTION("""COMPUTED_VALUE"""),"Kitchen")</f>
        <v>Kitchen</v>
      </c>
      <c r="F825" s="49">
        <f ca="1">IFERROR(__xludf.DUMMYFUNCTION("""COMPUTED_VALUE"""),96000)</f>
        <v>96000</v>
      </c>
      <c r="G825" s="50" t="str">
        <f ca="1">IFERROR(__xludf.DUMMYFUNCTION("""COMPUTED_VALUE"""),"Zela")</f>
        <v>Zela</v>
      </c>
      <c r="H825" s="51">
        <f t="shared" ca="1" si="0"/>
        <v>46143</v>
      </c>
      <c r="I825" s="52" t="e">
        <f ca="1">SUMIFS(OUT!$F$2:$F$11000,OUT!$H$2:$H$11000,H825,OUT!$D$2:$D$101007,"In")</f>
        <v>#VALUE!</v>
      </c>
      <c r="J825" s="52">
        <f ca="1">SUMIFS(OUT!$F$2:$F$11000,OUT!$H$2:$H$11000,H825,OUT!$D$2:$D$11000,"Out")</f>
        <v>9490497</v>
      </c>
      <c r="K825" s="52">
        <f ca="1">SUMIFS(OUT!$F$2:$F$11000,OUT!$H$2:$H$11000,H825,OUT!$D$2:$D$11000,"Out",OUT!$E$2:$E$11000,"Fix")</f>
        <v>2703418</v>
      </c>
      <c r="L825" s="52">
        <f ca="1">SUMIFS(OUT!$F$2:$F$11000,OUT!$H$2:$H$11000,H825,OUT!$D$2:$D$11000,"Out",OUT!$E$2:$E$11000,"Bathroom")</f>
        <v>13000</v>
      </c>
      <c r="M825" s="52">
        <f ca="1">SUMIFS(OUT!$F$2:$F$11000,OUT!$H$2:$H$11000,H825,OUT!$D$2:$D$11000,"Out",OUT!$E$2:$E$11000,"Alfa")</f>
        <v>326872</v>
      </c>
      <c r="N825" s="52" t="e">
        <f ca="1">SUMIFS(OUT!$F$2:$F$11000,OUT!$H$2:$H$101007,H825,OUT!$D$2:$D$11000,"Out",OUT!$E$2:$E$11000,"Jajan")</f>
        <v>#VALUE!</v>
      </c>
      <c r="O825" s="52">
        <f ca="1">SUMIFS(OUT!$F$2:$F$11000,OUT!$H$2:$H$11000,H825,OUT!$D$2:$D$11000,"Out",OUT!$E$2:$E$11000,"Kitchen")</f>
        <v>902100</v>
      </c>
      <c r="P825" s="52">
        <f ca="1">SUMIFS(OUT!$F$2:$F$11000,OUT!$H$2:$H$11000,H825,OUT!$D$2:$D$11000,"Out",OUT!$E$2:$E$11000,"Loandry")</f>
        <v>42900</v>
      </c>
      <c r="Q825" s="52">
        <f ca="1">SUMIFS(OUT!$F$2:$F$11000,OUT!$H$2:$H$11000,H825,OUT!$D$2:$D$11000,"Out",OUT!$E$2:$E$11000,"Mio")</f>
        <v>732000</v>
      </c>
      <c r="R825" s="52">
        <f ca="1">SUMIFS(OUT!$F$2:$F$11000,OUT!$H$2:$H$11000,H825,OUT!$D$2:$D$11000,"Out",OUT!$E$2:$E$11000,"Sedekah")</f>
        <v>0</v>
      </c>
      <c r="S825" s="52">
        <f ca="1">SUMIFS(OUT!$F$2:$F$11000,OUT!$H$2:$H$11000,H825,OUT!$D$2:$D$11000,"Out",OUT!$E$2:$E$11000,"Zela")</f>
        <v>47011</v>
      </c>
      <c r="T825" s="52">
        <f ca="1">SUMIFS(OUT!$F$2:$F$11000,OUT!$H$2:$H$11000,H825,OUT!$D$2:$D$11000,"Out",OUT!$E$2:$E$11000,"Iqbal")</f>
        <v>251000</v>
      </c>
    </row>
    <row r="826" spans="1:20" x14ac:dyDescent="0.2">
      <c r="A826" s="48">
        <f ca="1">IFERROR(__xludf.DUMMYFUNCTION("""COMPUTED_VALUE"""),46157)</f>
        <v>46157</v>
      </c>
      <c r="B826" s="4" t="str">
        <f ca="1">IFERROR(__xludf.DUMMYFUNCTION("""COMPUTED_VALUE"""),"sate ")</f>
        <v xml:space="preserve">sate </v>
      </c>
      <c r="C826" s="4" t="str">
        <f ca="1">IFERROR(__xludf.DUMMYFUNCTION("""COMPUTED_VALUE"""),"Cash")</f>
        <v>Cash</v>
      </c>
      <c r="D826" s="4" t="str">
        <f ca="1">IFERROR(__xludf.DUMMYFUNCTION("""COMPUTED_VALUE"""),"Out")</f>
        <v>Out</v>
      </c>
      <c r="E826" s="4" t="str">
        <f ca="1">IFERROR(__xludf.DUMMYFUNCTION("""COMPUTED_VALUE"""),"Jajan")</f>
        <v>Jajan</v>
      </c>
      <c r="F826" s="49">
        <f ca="1">IFERROR(__xludf.DUMMYFUNCTION("""COMPUTED_VALUE"""),9000)</f>
        <v>9000</v>
      </c>
      <c r="G826" s="50" t="str">
        <f ca="1">IFERROR(__xludf.DUMMYFUNCTION("""COMPUTED_VALUE"""),"Zela")</f>
        <v>Zela</v>
      </c>
      <c r="H826" s="51">
        <f t="shared" ca="1" si="0"/>
        <v>46143</v>
      </c>
      <c r="I826" s="52" t="e">
        <f ca="1">SUMIFS(OUT!$F$2:$F$11000,OUT!$H$2:$H$11000,H826,OUT!$D$2:$D$101007,"In")</f>
        <v>#VALUE!</v>
      </c>
      <c r="J826" s="52">
        <f ca="1">SUMIFS(OUT!$F$2:$F$11000,OUT!$H$2:$H$11000,H826,OUT!$D$2:$D$11000,"Out")</f>
        <v>9490497</v>
      </c>
      <c r="K826" s="52">
        <f ca="1">SUMIFS(OUT!$F$2:$F$11000,OUT!$H$2:$H$11000,H826,OUT!$D$2:$D$11000,"Out",OUT!$E$2:$E$11000,"Fix")</f>
        <v>2703418</v>
      </c>
      <c r="L826" s="52">
        <f ca="1">SUMIFS(OUT!$F$2:$F$11000,OUT!$H$2:$H$11000,H826,OUT!$D$2:$D$11000,"Out",OUT!$E$2:$E$11000,"Bathroom")</f>
        <v>13000</v>
      </c>
      <c r="M826" s="52">
        <f ca="1">SUMIFS(OUT!$F$2:$F$11000,OUT!$H$2:$H$11000,H826,OUT!$D$2:$D$11000,"Out",OUT!$E$2:$E$11000,"Alfa")</f>
        <v>326872</v>
      </c>
      <c r="N826" s="52" t="e">
        <f ca="1">SUMIFS(OUT!$F$2:$F$11000,OUT!$H$2:$H$101007,H826,OUT!$D$2:$D$11000,"Out",OUT!$E$2:$E$11000,"Jajan")</f>
        <v>#VALUE!</v>
      </c>
      <c r="O826" s="52">
        <f ca="1">SUMIFS(OUT!$F$2:$F$11000,OUT!$H$2:$H$11000,H826,OUT!$D$2:$D$11000,"Out",OUT!$E$2:$E$11000,"Kitchen")</f>
        <v>902100</v>
      </c>
      <c r="P826" s="52">
        <f ca="1">SUMIFS(OUT!$F$2:$F$11000,OUT!$H$2:$H$11000,H826,OUT!$D$2:$D$11000,"Out",OUT!$E$2:$E$11000,"Loandry")</f>
        <v>42900</v>
      </c>
      <c r="Q826" s="52">
        <f ca="1">SUMIFS(OUT!$F$2:$F$11000,OUT!$H$2:$H$11000,H826,OUT!$D$2:$D$11000,"Out",OUT!$E$2:$E$11000,"Mio")</f>
        <v>732000</v>
      </c>
      <c r="R826" s="52">
        <f ca="1">SUMIFS(OUT!$F$2:$F$11000,OUT!$H$2:$H$11000,H826,OUT!$D$2:$D$11000,"Out",OUT!$E$2:$E$11000,"Sedekah")</f>
        <v>0</v>
      </c>
      <c r="S826" s="52">
        <f ca="1">SUMIFS(OUT!$F$2:$F$11000,OUT!$H$2:$H$11000,H826,OUT!$D$2:$D$11000,"Out",OUT!$E$2:$E$11000,"Zela")</f>
        <v>47011</v>
      </c>
      <c r="T826" s="52">
        <f ca="1">SUMIFS(OUT!$F$2:$F$11000,OUT!$H$2:$H$11000,H826,OUT!$D$2:$D$11000,"Out",OUT!$E$2:$E$11000,"Iqbal")</f>
        <v>251000</v>
      </c>
    </row>
    <row r="827" spans="1:20" x14ac:dyDescent="0.2">
      <c r="A827" s="48">
        <f ca="1">IFERROR(__xludf.DUMMYFUNCTION("""COMPUTED_VALUE"""),46159)</f>
        <v>46159</v>
      </c>
      <c r="B827" s="4" t="str">
        <f ca="1">IFERROR(__xludf.DUMMYFUNCTION("""COMPUTED_VALUE"""),"Bensin Motor ")</f>
        <v xml:space="preserve">Bensin Motor </v>
      </c>
      <c r="C827" s="4" t="str">
        <f ca="1">IFERROR(__xludf.DUMMYFUNCTION("""COMPUTED_VALUE"""),"Cash")</f>
        <v>Cash</v>
      </c>
      <c r="D827" s="4" t="str">
        <f ca="1">IFERROR(__xludf.DUMMYFUNCTION("""COMPUTED_VALUE"""),"Out")</f>
        <v>Out</v>
      </c>
      <c r="E827" s="4" t="str">
        <f ca="1">IFERROR(__xludf.DUMMYFUNCTION("""COMPUTED_VALUE"""),"Mio")</f>
        <v>Mio</v>
      </c>
      <c r="F827" s="49">
        <f ca="1">IFERROR(__xludf.DUMMYFUNCTION("""COMPUTED_VALUE"""),20000)</f>
        <v>20000</v>
      </c>
      <c r="G827" s="50" t="str">
        <f ca="1">IFERROR(__xludf.DUMMYFUNCTION("""COMPUTED_VALUE"""),"Zela")</f>
        <v>Zela</v>
      </c>
      <c r="H827" s="51">
        <f t="shared" ca="1" si="0"/>
        <v>46143</v>
      </c>
      <c r="I827" s="52" t="e">
        <f ca="1">SUMIFS(OUT!$F$2:$F$11000,OUT!$H$2:$H$11000,H827,OUT!$D$2:$D$101007,"In")</f>
        <v>#VALUE!</v>
      </c>
      <c r="J827" s="52">
        <f ca="1">SUMIFS(OUT!$F$2:$F$11000,OUT!$H$2:$H$11000,H827,OUT!$D$2:$D$11000,"Out")</f>
        <v>9490497</v>
      </c>
      <c r="K827" s="52">
        <f ca="1">SUMIFS(OUT!$F$2:$F$11000,OUT!$H$2:$H$11000,H827,OUT!$D$2:$D$11000,"Out",OUT!$E$2:$E$11000,"Fix")</f>
        <v>2703418</v>
      </c>
      <c r="L827" s="52">
        <f ca="1">SUMIFS(OUT!$F$2:$F$11000,OUT!$H$2:$H$11000,H827,OUT!$D$2:$D$11000,"Out",OUT!$E$2:$E$11000,"Bathroom")</f>
        <v>13000</v>
      </c>
      <c r="M827" s="52">
        <f ca="1">SUMIFS(OUT!$F$2:$F$11000,OUT!$H$2:$H$11000,H827,OUT!$D$2:$D$11000,"Out",OUT!$E$2:$E$11000,"Alfa")</f>
        <v>326872</v>
      </c>
      <c r="N827" s="52" t="e">
        <f ca="1">SUMIFS(OUT!$F$2:$F$11000,OUT!$H$2:$H$101007,H827,OUT!$D$2:$D$11000,"Out",OUT!$E$2:$E$11000,"Jajan")</f>
        <v>#VALUE!</v>
      </c>
      <c r="O827" s="52">
        <f ca="1">SUMIFS(OUT!$F$2:$F$11000,OUT!$H$2:$H$11000,H827,OUT!$D$2:$D$11000,"Out",OUT!$E$2:$E$11000,"Kitchen")</f>
        <v>902100</v>
      </c>
      <c r="P827" s="52">
        <f ca="1">SUMIFS(OUT!$F$2:$F$11000,OUT!$H$2:$H$11000,H827,OUT!$D$2:$D$11000,"Out",OUT!$E$2:$E$11000,"Loandry")</f>
        <v>42900</v>
      </c>
      <c r="Q827" s="52">
        <f ca="1">SUMIFS(OUT!$F$2:$F$11000,OUT!$H$2:$H$11000,H827,OUT!$D$2:$D$11000,"Out",OUT!$E$2:$E$11000,"Mio")</f>
        <v>732000</v>
      </c>
      <c r="R827" s="52">
        <f ca="1">SUMIFS(OUT!$F$2:$F$11000,OUT!$H$2:$H$11000,H827,OUT!$D$2:$D$11000,"Out",OUT!$E$2:$E$11000,"Sedekah")</f>
        <v>0</v>
      </c>
      <c r="S827" s="52">
        <f ca="1">SUMIFS(OUT!$F$2:$F$11000,OUT!$H$2:$H$11000,H827,OUT!$D$2:$D$11000,"Out",OUT!$E$2:$E$11000,"Zela")</f>
        <v>47011</v>
      </c>
      <c r="T827" s="52">
        <f ca="1">SUMIFS(OUT!$F$2:$F$11000,OUT!$H$2:$H$11000,H827,OUT!$D$2:$D$11000,"Out",OUT!$E$2:$E$11000,"Iqbal")</f>
        <v>251000</v>
      </c>
    </row>
    <row r="828" spans="1:20" x14ac:dyDescent="0.2">
      <c r="A828" s="48">
        <f ca="1">IFERROR(__xludf.DUMMYFUNCTION("""COMPUTED_VALUE"""),46159)</f>
        <v>46159</v>
      </c>
      <c r="B828" s="4" t="str">
        <f ca="1">IFERROR(__xludf.DUMMYFUNCTION("""COMPUTED_VALUE"""),"Mainan+buku+krayon")</f>
        <v>Mainan+buku+krayon</v>
      </c>
      <c r="C828" s="4" t="str">
        <f ca="1">IFERROR(__xludf.DUMMYFUNCTION("""COMPUTED_VALUE"""),"ATM")</f>
        <v>ATM</v>
      </c>
      <c r="D828" s="4" t="str">
        <f ca="1">IFERROR(__xludf.DUMMYFUNCTION("""COMPUTED_VALUE"""),"Out")</f>
        <v>Out</v>
      </c>
      <c r="E828" s="4" t="str">
        <f ca="1">IFERROR(__xludf.DUMMYFUNCTION("""COMPUTED_VALUE"""),"Alfa")</f>
        <v>Alfa</v>
      </c>
      <c r="F828" s="49">
        <f ca="1">IFERROR(__xludf.DUMMYFUNCTION("""COMPUTED_VALUE"""),57000)</f>
        <v>57000</v>
      </c>
      <c r="G828" s="50" t="str">
        <f ca="1">IFERROR(__xludf.DUMMYFUNCTION("""COMPUTED_VALUE"""),"Zela")</f>
        <v>Zela</v>
      </c>
      <c r="H828" s="51">
        <f t="shared" ca="1" si="0"/>
        <v>46143</v>
      </c>
      <c r="I828" s="52" t="e">
        <f ca="1">SUMIFS(OUT!$F$2:$F$11000,OUT!$H$2:$H$11000,H828,OUT!$D$2:$D$101007,"In")</f>
        <v>#VALUE!</v>
      </c>
      <c r="J828" s="52">
        <f ca="1">SUMIFS(OUT!$F$2:$F$11000,OUT!$H$2:$H$11000,H828,OUT!$D$2:$D$11000,"Out")</f>
        <v>9490497</v>
      </c>
      <c r="K828" s="52">
        <f ca="1">SUMIFS(OUT!$F$2:$F$11000,OUT!$H$2:$H$11000,H828,OUT!$D$2:$D$11000,"Out",OUT!$E$2:$E$11000,"Fix")</f>
        <v>2703418</v>
      </c>
      <c r="L828" s="52">
        <f ca="1">SUMIFS(OUT!$F$2:$F$11000,OUT!$H$2:$H$11000,H828,OUT!$D$2:$D$11000,"Out",OUT!$E$2:$E$11000,"Bathroom")</f>
        <v>13000</v>
      </c>
      <c r="M828" s="52">
        <f ca="1">SUMIFS(OUT!$F$2:$F$11000,OUT!$H$2:$H$11000,H828,OUT!$D$2:$D$11000,"Out",OUT!$E$2:$E$11000,"Alfa")</f>
        <v>326872</v>
      </c>
      <c r="N828" s="52" t="e">
        <f ca="1">SUMIFS(OUT!$F$2:$F$11000,OUT!$H$2:$H$101007,H828,OUT!$D$2:$D$11000,"Out",OUT!$E$2:$E$11000,"Jajan")</f>
        <v>#VALUE!</v>
      </c>
      <c r="O828" s="52">
        <f ca="1">SUMIFS(OUT!$F$2:$F$11000,OUT!$H$2:$H$11000,H828,OUT!$D$2:$D$11000,"Out",OUT!$E$2:$E$11000,"Kitchen")</f>
        <v>902100</v>
      </c>
      <c r="P828" s="52">
        <f ca="1">SUMIFS(OUT!$F$2:$F$11000,OUT!$H$2:$H$11000,H828,OUT!$D$2:$D$11000,"Out",OUT!$E$2:$E$11000,"Loandry")</f>
        <v>42900</v>
      </c>
      <c r="Q828" s="52">
        <f ca="1">SUMIFS(OUT!$F$2:$F$11000,OUT!$H$2:$H$11000,H828,OUT!$D$2:$D$11000,"Out",OUT!$E$2:$E$11000,"Mio")</f>
        <v>732000</v>
      </c>
      <c r="R828" s="52">
        <f ca="1">SUMIFS(OUT!$F$2:$F$11000,OUT!$H$2:$H$11000,H828,OUT!$D$2:$D$11000,"Out",OUT!$E$2:$E$11000,"Sedekah")</f>
        <v>0</v>
      </c>
      <c r="S828" s="52">
        <f ca="1">SUMIFS(OUT!$F$2:$F$11000,OUT!$H$2:$H$11000,H828,OUT!$D$2:$D$11000,"Out",OUT!$E$2:$E$11000,"Zela")</f>
        <v>47011</v>
      </c>
      <c r="T828" s="52">
        <f ca="1">SUMIFS(OUT!$F$2:$F$11000,OUT!$H$2:$H$11000,H828,OUT!$D$2:$D$11000,"Out",OUT!$E$2:$E$11000,"Iqbal")</f>
        <v>251000</v>
      </c>
    </row>
    <row r="829" spans="1:20" x14ac:dyDescent="0.2">
      <c r="A829" s="48">
        <f ca="1">IFERROR(__xludf.DUMMYFUNCTION("""COMPUTED_VALUE"""),46158)</f>
        <v>46158</v>
      </c>
      <c r="B829" s="4" t="str">
        <f ca="1">IFERROR(__xludf.DUMMYFUNCTION("""COMPUTED_VALUE"""),"admin fee  Kartu ")</f>
        <v xml:space="preserve">admin fee  Kartu </v>
      </c>
      <c r="C829" s="4" t="str">
        <f ca="1">IFERROR(__xludf.DUMMYFUNCTION("""COMPUTED_VALUE"""),"ATM")</f>
        <v>ATM</v>
      </c>
      <c r="D829" s="4" t="str">
        <f ca="1">IFERROR(__xludf.DUMMYFUNCTION("""COMPUTED_VALUE"""),"Out")</f>
        <v>Out</v>
      </c>
      <c r="E829" s="4" t="str">
        <f ca="1">IFERROR(__xludf.DUMMYFUNCTION("""COMPUTED_VALUE"""),"Fix")</f>
        <v>Fix</v>
      </c>
      <c r="F829" s="49">
        <f ca="1">IFERROR(__xludf.DUMMYFUNCTION("""COMPUTED_VALUE"""),6500)</f>
        <v>6500</v>
      </c>
      <c r="G829" s="50" t="str">
        <f ca="1">IFERROR(__xludf.DUMMYFUNCTION("""COMPUTED_VALUE"""),"Zela")</f>
        <v>Zela</v>
      </c>
      <c r="H829" s="51">
        <f t="shared" ca="1" si="0"/>
        <v>46143</v>
      </c>
      <c r="I829" s="52" t="e">
        <f ca="1">SUMIFS(OUT!$F$2:$F$11000,OUT!$H$2:$H$11000,H829,OUT!$D$2:$D$101007,"In")</f>
        <v>#VALUE!</v>
      </c>
      <c r="J829" s="52">
        <f ca="1">SUMIFS(OUT!$F$2:$F$11000,OUT!$H$2:$H$11000,H829,OUT!$D$2:$D$11000,"Out")</f>
        <v>9490497</v>
      </c>
      <c r="K829" s="52">
        <f ca="1">SUMIFS(OUT!$F$2:$F$11000,OUT!$H$2:$H$11000,H829,OUT!$D$2:$D$11000,"Out",OUT!$E$2:$E$11000,"Fix")</f>
        <v>2703418</v>
      </c>
      <c r="L829" s="52">
        <f ca="1">SUMIFS(OUT!$F$2:$F$11000,OUT!$H$2:$H$11000,H829,OUT!$D$2:$D$11000,"Out",OUT!$E$2:$E$11000,"Bathroom")</f>
        <v>13000</v>
      </c>
      <c r="M829" s="52">
        <f ca="1">SUMIFS(OUT!$F$2:$F$11000,OUT!$H$2:$H$11000,H829,OUT!$D$2:$D$11000,"Out",OUT!$E$2:$E$11000,"Alfa")</f>
        <v>326872</v>
      </c>
      <c r="N829" s="52" t="e">
        <f ca="1">SUMIFS(OUT!$F$2:$F$11000,OUT!$H$2:$H$101007,H829,OUT!$D$2:$D$11000,"Out",OUT!$E$2:$E$11000,"Jajan")</f>
        <v>#VALUE!</v>
      </c>
      <c r="O829" s="52">
        <f ca="1">SUMIFS(OUT!$F$2:$F$11000,OUT!$H$2:$H$11000,H829,OUT!$D$2:$D$11000,"Out",OUT!$E$2:$E$11000,"Kitchen")</f>
        <v>902100</v>
      </c>
      <c r="P829" s="52">
        <f ca="1">SUMIFS(OUT!$F$2:$F$11000,OUT!$H$2:$H$11000,H829,OUT!$D$2:$D$11000,"Out",OUT!$E$2:$E$11000,"Loandry")</f>
        <v>42900</v>
      </c>
      <c r="Q829" s="52">
        <f ca="1">SUMIFS(OUT!$F$2:$F$11000,OUT!$H$2:$H$11000,H829,OUT!$D$2:$D$11000,"Out",OUT!$E$2:$E$11000,"Mio")</f>
        <v>732000</v>
      </c>
      <c r="R829" s="52">
        <f ca="1">SUMIFS(OUT!$F$2:$F$11000,OUT!$H$2:$H$11000,H829,OUT!$D$2:$D$11000,"Out",OUT!$E$2:$E$11000,"Sedekah")</f>
        <v>0</v>
      </c>
      <c r="S829" s="52">
        <f ca="1">SUMIFS(OUT!$F$2:$F$11000,OUT!$H$2:$H$11000,H829,OUT!$D$2:$D$11000,"Out",OUT!$E$2:$E$11000,"Zela")</f>
        <v>47011</v>
      </c>
      <c r="T829" s="52">
        <f ca="1">SUMIFS(OUT!$F$2:$F$11000,OUT!$H$2:$H$11000,H829,OUT!$D$2:$D$11000,"Out",OUT!$E$2:$E$11000,"Iqbal")</f>
        <v>251000</v>
      </c>
    </row>
    <row r="830" spans="1:20" x14ac:dyDescent="0.2">
      <c r="A830" s="48">
        <f ca="1">IFERROR(__xludf.DUMMYFUNCTION("""COMPUTED_VALUE"""),46160)</f>
        <v>46160</v>
      </c>
      <c r="B830" s="4" t="str">
        <f ca="1">IFERROR(__xludf.DUMMYFUNCTION("""COMPUTED_VALUE"""),"Shopee (Z)")</f>
        <v>Shopee (Z)</v>
      </c>
      <c r="C830" s="4" t="str">
        <f ca="1">IFERROR(__xludf.DUMMYFUNCTION("""COMPUTED_VALUE"""),"ATM")</f>
        <v>ATM</v>
      </c>
      <c r="D830" s="4" t="str">
        <f ca="1">IFERROR(__xludf.DUMMYFUNCTION("""COMPUTED_VALUE"""),"In")</f>
        <v>In</v>
      </c>
      <c r="E830" s="4" t="str">
        <f ca="1">IFERROR(__xludf.DUMMYFUNCTION("""COMPUTED_VALUE"""),"Fix")</f>
        <v>Fix</v>
      </c>
      <c r="F830" s="49">
        <f ca="1">IFERROR(__xludf.DUMMYFUNCTION("""COMPUTED_VALUE"""),200000)</f>
        <v>200000</v>
      </c>
      <c r="G830" s="50" t="str">
        <f ca="1">IFERROR(__xludf.DUMMYFUNCTION("""COMPUTED_VALUE"""),"Zela")</f>
        <v>Zela</v>
      </c>
      <c r="H830" s="51">
        <f t="shared" ca="1" si="0"/>
        <v>46143</v>
      </c>
      <c r="I830" s="52" t="e">
        <f ca="1">SUMIFS(OUT!$F$2:$F$11000,OUT!$H$2:$H$11000,H830,OUT!$D$2:$D$101007,"In")</f>
        <v>#VALUE!</v>
      </c>
      <c r="J830" s="52">
        <f ca="1">SUMIFS(OUT!$F$2:$F$11000,OUT!$H$2:$H$11000,H830,OUT!$D$2:$D$11000,"Out")</f>
        <v>9490497</v>
      </c>
      <c r="K830" s="52">
        <f ca="1">SUMIFS(OUT!$F$2:$F$11000,OUT!$H$2:$H$11000,H830,OUT!$D$2:$D$11000,"Out",OUT!$E$2:$E$11000,"Fix")</f>
        <v>2703418</v>
      </c>
      <c r="L830" s="52">
        <f ca="1">SUMIFS(OUT!$F$2:$F$11000,OUT!$H$2:$H$11000,H830,OUT!$D$2:$D$11000,"Out",OUT!$E$2:$E$11000,"Bathroom")</f>
        <v>13000</v>
      </c>
      <c r="M830" s="52">
        <f ca="1">SUMIFS(OUT!$F$2:$F$11000,OUT!$H$2:$H$11000,H830,OUT!$D$2:$D$11000,"Out",OUT!$E$2:$E$11000,"Alfa")</f>
        <v>326872</v>
      </c>
      <c r="N830" s="52" t="e">
        <f ca="1">SUMIFS(OUT!$F$2:$F$11000,OUT!$H$2:$H$101007,H830,OUT!$D$2:$D$11000,"Out",OUT!$E$2:$E$11000,"Jajan")</f>
        <v>#VALUE!</v>
      </c>
      <c r="O830" s="52">
        <f ca="1">SUMIFS(OUT!$F$2:$F$11000,OUT!$H$2:$H$11000,H830,OUT!$D$2:$D$11000,"Out",OUT!$E$2:$E$11000,"Kitchen")</f>
        <v>902100</v>
      </c>
      <c r="P830" s="52">
        <f ca="1">SUMIFS(OUT!$F$2:$F$11000,OUT!$H$2:$H$11000,H830,OUT!$D$2:$D$11000,"Out",OUT!$E$2:$E$11000,"Loandry")</f>
        <v>42900</v>
      </c>
      <c r="Q830" s="52">
        <f ca="1">SUMIFS(OUT!$F$2:$F$11000,OUT!$H$2:$H$11000,H830,OUT!$D$2:$D$11000,"Out",OUT!$E$2:$E$11000,"Mio")</f>
        <v>732000</v>
      </c>
      <c r="R830" s="52">
        <f ca="1">SUMIFS(OUT!$F$2:$F$11000,OUT!$H$2:$H$11000,H830,OUT!$D$2:$D$11000,"Out",OUT!$E$2:$E$11000,"Sedekah")</f>
        <v>0</v>
      </c>
      <c r="S830" s="52">
        <f ca="1">SUMIFS(OUT!$F$2:$F$11000,OUT!$H$2:$H$11000,H830,OUT!$D$2:$D$11000,"Out",OUT!$E$2:$E$11000,"Zela")</f>
        <v>47011</v>
      </c>
      <c r="T830" s="52">
        <f ca="1">SUMIFS(OUT!$F$2:$F$11000,OUT!$H$2:$H$11000,H830,OUT!$D$2:$D$11000,"Out",OUT!$E$2:$E$11000,"Iqbal")</f>
        <v>251000</v>
      </c>
    </row>
    <row r="831" spans="1:20" x14ac:dyDescent="0.2">
      <c r="A831" s="48">
        <f ca="1">IFERROR(__xludf.DUMMYFUNCTION("""COMPUTED_VALUE"""),46160)</f>
        <v>46160</v>
      </c>
      <c r="B831" s="4" t="str">
        <f ca="1">IFERROR(__xludf.DUMMYFUNCTION("""COMPUTED_VALUE"""),"Iklan Tiktok")</f>
        <v>Iklan Tiktok</v>
      </c>
      <c r="C831" s="4" t="str">
        <f ca="1">IFERROR(__xludf.DUMMYFUNCTION("""COMPUTED_VALUE"""),"ATM")</f>
        <v>ATM</v>
      </c>
      <c r="D831" s="4" t="str">
        <f ca="1">IFERROR(__xludf.DUMMYFUNCTION("""COMPUTED_VALUE"""),"Out")</f>
        <v>Out</v>
      </c>
      <c r="E831" s="4" t="str">
        <f ca="1">IFERROR(__xludf.DUMMYFUNCTION("""COMPUTED_VALUE"""),"Fix")</f>
        <v>Fix</v>
      </c>
      <c r="F831" s="49">
        <f ca="1">IFERROR(__xludf.DUMMYFUNCTION("""COMPUTED_VALUE"""),33300)</f>
        <v>33300</v>
      </c>
      <c r="G831" s="50" t="str">
        <f ca="1">IFERROR(__xludf.DUMMYFUNCTION("""COMPUTED_VALUE"""),"Zela")</f>
        <v>Zela</v>
      </c>
      <c r="H831" s="51">
        <f t="shared" ca="1" si="0"/>
        <v>46143</v>
      </c>
      <c r="I831" s="52" t="e">
        <f ca="1">SUMIFS(OUT!$F$2:$F$11000,OUT!$H$2:$H$11000,H831,OUT!$D$2:$D$101007,"In")</f>
        <v>#VALUE!</v>
      </c>
      <c r="J831" s="52">
        <f ca="1">SUMIFS(OUT!$F$2:$F$11000,OUT!$H$2:$H$11000,H831,OUT!$D$2:$D$11000,"Out")</f>
        <v>9490497</v>
      </c>
      <c r="K831" s="52">
        <f ca="1">SUMIFS(OUT!$F$2:$F$11000,OUT!$H$2:$H$11000,H831,OUT!$D$2:$D$11000,"Out",OUT!$E$2:$E$11000,"Fix")</f>
        <v>2703418</v>
      </c>
      <c r="L831" s="52">
        <f ca="1">SUMIFS(OUT!$F$2:$F$11000,OUT!$H$2:$H$11000,H831,OUT!$D$2:$D$11000,"Out",OUT!$E$2:$E$11000,"Bathroom")</f>
        <v>13000</v>
      </c>
      <c r="M831" s="52">
        <f ca="1">SUMIFS(OUT!$F$2:$F$11000,OUT!$H$2:$H$11000,H831,OUT!$D$2:$D$11000,"Out",OUT!$E$2:$E$11000,"Alfa")</f>
        <v>326872</v>
      </c>
      <c r="N831" s="52" t="e">
        <f ca="1">SUMIFS(OUT!$F$2:$F$11000,OUT!$H$2:$H$101007,H831,OUT!$D$2:$D$11000,"Out",OUT!$E$2:$E$11000,"Jajan")</f>
        <v>#VALUE!</v>
      </c>
      <c r="O831" s="52">
        <f ca="1">SUMIFS(OUT!$F$2:$F$11000,OUT!$H$2:$H$11000,H831,OUT!$D$2:$D$11000,"Out",OUT!$E$2:$E$11000,"Kitchen")</f>
        <v>902100</v>
      </c>
      <c r="P831" s="52">
        <f ca="1">SUMIFS(OUT!$F$2:$F$11000,OUT!$H$2:$H$11000,H831,OUT!$D$2:$D$11000,"Out",OUT!$E$2:$E$11000,"Loandry")</f>
        <v>42900</v>
      </c>
      <c r="Q831" s="52">
        <f ca="1">SUMIFS(OUT!$F$2:$F$11000,OUT!$H$2:$H$11000,H831,OUT!$D$2:$D$11000,"Out",OUT!$E$2:$E$11000,"Mio")</f>
        <v>732000</v>
      </c>
      <c r="R831" s="52">
        <f ca="1">SUMIFS(OUT!$F$2:$F$11000,OUT!$H$2:$H$11000,H831,OUT!$D$2:$D$11000,"Out",OUT!$E$2:$E$11000,"Sedekah")</f>
        <v>0</v>
      </c>
      <c r="S831" s="52">
        <f ca="1">SUMIFS(OUT!$F$2:$F$11000,OUT!$H$2:$H$11000,H831,OUT!$D$2:$D$11000,"Out",OUT!$E$2:$E$11000,"Zela")</f>
        <v>47011</v>
      </c>
      <c r="T831" s="52">
        <f ca="1">SUMIFS(OUT!$F$2:$F$11000,OUT!$H$2:$H$11000,H831,OUT!$D$2:$D$11000,"Out",OUT!$E$2:$E$11000,"Iqbal")</f>
        <v>251000</v>
      </c>
    </row>
    <row r="832" spans="1:20" x14ac:dyDescent="0.2">
      <c r="A832" s="48">
        <f ca="1">IFERROR(__xludf.DUMMYFUNCTION("""COMPUTED_VALUE"""),46160)</f>
        <v>46160</v>
      </c>
      <c r="B832" s="4" t="str">
        <f ca="1">IFERROR(__xludf.DUMMYFUNCTION("""COMPUTED_VALUE"""),"minus ATM ")</f>
        <v xml:space="preserve">minus ATM </v>
      </c>
      <c r="C832" s="4" t="str">
        <f ca="1">IFERROR(__xludf.DUMMYFUNCTION("""COMPUTED_VALUE"""),"ATM")</f>
        <v>ATM</v>
      </c>
      <c r="D832" s="4" t="str">
        <f ca="1">IFERROR(__xludf.DUMMYFUNCTION("""COMPUTED_VALUE"""),"Out")</f>
        <v>Out</v>
      </c>
      <c r="E832" s="4" t="str">
        <f ca="1">IFERROR(__xludf.DUMMYFUNCTION("""COMPUTED_VALUE"""),"Fix")</f>
        <v>Fix</v>
      </c>
      <c r="F832" s="49">
        <f ca="1">IFERROR(__xludf.DUMMYFUNCTION("""COMPUTED_VALUE"""),8500)</f>
        <v>8500</v>
      </c>
      <c r="G832" s="50" t="str">
        <f ca="1">IFERROR(__xludf.DUMMYFUNCTION("""COMPUTED_VALUE"""),"Zela")</f>
        <v>Zela</v>
      </c>
      <c r="H832" s="51">
        <f t="shared" ca="1" si="0"/>
        <v>46143</v>
      </c>
      <c r="I832" s="52" t="e">
        <f ca="1">SUMIFS(OUT!$F$2:$F$11000,OUT!$H$2:$H$11000,H832,OUT!$D$2:$D$101007,"In")</f>
        <v>#VALUE!</v>
      </c>
      <c r="J832" s="52">
        <f ca="1">SUMIFS(OUT!$F$2:$F$11000,OUT!$H$2:$H$11000,H832,OUT!$D$2:$D$11000,"Out")</f>
        <v>9490497</v>
      </c>
      <c r="K832" s="52">
        <f ca="1">SUMIFS(OUT!$F$2:$F$11000,OUT!$H$2:$H$11000,H832,OUT!$D$2:$D$11000,"Out",OUT!$E$2:$E$11000,"Fix")</f>
        <v>2703418</v>
      </c>
      <c r="L832" s="52">
        <f ca="1">SUMIFS(OUT!$F$2:$F$11000,OUT!$H$2:$H$11000,H832,OUT!$D$2:$D$11000,"Out",OUT!$E$2:$E$11000,"Bathroom")</f>
        <v>13000</v>
      </c>
      <c r="M832" s="52">
        <f ca="1">SUMIFS(OUT!$F$2:$F$11000,OUT!$H$2:$H$11000,H832,OUT!$D$2:$D$11000,"Out",OUT!$E$2:$E$11000,"Alfa")</f>
        <v>326872</v>
      </c>
      <c r="N832" s="52" t="e">
        <f ca="1">SUMIFS(OUT!$F$2:$F$11000,OUT!$H$2:$H$101007,H832,OUT!$D$2:$D$11000,"Out",OUT!$E$2:$E$11000,"Jajan")</f>
        <v>#VALUE!</v>
      </c>
      <c r="O832" s="52">
        <f ca="1">SUMIFS(OUT!$F$2:$F$11000,OUT!$H$2:$H$11000,H832,OUT!$D$2:$D$11000,"Out",OUT!$E$2:$E$11000,"Kitchen")</f>
        <v>902100</v>
      </c>
      <c r="P832" s="52">
        <f ca="1">SUMIFS(OUT!$F$2:$F$11000,OUT!$H$2:$H$11000,H832,OUT!$D$2:$D$11000,"Out",OUT!$E$2:$E$11000,"Loandry")</f>
        <v>42900</v>
      </c>
      <c r="Q832" s="52">
        <f ca="1">SUMIFS(OUT!$F$2:$F$11000,OUT!$H$2:$H$11000,H832,OUT!$D$2:$D$11000,"Out",OUT!$E$2:$E$11000,"Mio")</f>
        <v>732000</v>
      </c>
      <c r="R832" s="52">
        <f ca="1">SUMIFS(OUT!$F$2:$F$11000,OUT!$H$2:$H$11000,H832,OUT!$D$2:$D$11000,"Out",OUT!$E$2:$E$11000,"Sedekah")</f>
        <v>0</v>
      </c>
      <c r="S832" s="52">
        <f ca="1">SUMIFS(OUT!$F$2:$F$11000,OUT!$H$2:$H$11000,H832,OUT!$D$2:$D$11000,"Out",OUT!$E$2:$E$11000,"Zela")</f>
        <v>47011</v>
      </c>
      <c r="T832" s="52">
        <f ca="1">SUMIFS(OUT!$F$2:$F$11000,OUT!$H$2:$H$11000,H832,OUT!$D$2:$D$11000,"Out",OUT!$E$2:$E$11000,"Iqbal")</f>
        <v>251000</v>
      </c>
    </row>
    <row r="833" spans="1:20" x14ac:dyDescent="0.2">
      <c r="A833" s="48">
        <f ca="1">IFERROR(__xludf.DUMMYFUNCTION("""COMPUTED_VALUE"""),46159)</f>
        <v>46159</v>
      </c>
      <c r="B833" s="4" t="str">
        <f ca="1">IFERROR(__xludf.DUMMYFUNCTION("""COMPUTED_VALUE"""),"sate ")</f>
        <v xml:space="preserve">sate </v>
      </c>
      <c r="C833" s="4" t="str">
        <f ca="1">IFERROR(__xludf.DUMMYFUNCTION("""COMPUTED_VALUE"""),"Cash")</f>
        <v>Cash</v>
      </c>
      <c r="D833" s="4" t="str">
        <f ca="1">IFERROR(__xludf.DUMMYFUNCTION("""COMPUTED_VALUE"""),"Out")</f>
        <v>Out</v>
      </c>
      <c r="E833" s="4" t="str">
        <f ca="1">IFERROR(__xludf.DUMMYFUNCTION("""COMPUTED_VALUE"""),"Jajan")</f>
        <v>Jajan</v>
      </c>
      <c r="F833" s="49">
        <f ca="1">IFERROR(__xludf.DUMMYFUNCTION("""COMPUTED_VALUE"""),10000)</f>
        <v>10000</v>
      </c>
      <c r="G833" s="50" t="str">
        <f ca="1">IFERROR(__xludf.DUMMYFUNCTION("""COMPUTED_VALUE"""),"Zela")</f>
        <v>Zela</v>
      </c>
      <c r="H833" s="51">
        <f t="shared" ca="1" si="0"/>
        <v>46143</v>
      </c>
      <c r="I833" s="52" t="e">
        <f ca="1">SUMIFS(OUT!$F$2:$F$11000,OUT!$H$2:$H$11000,H833,OUT!$D$2:$D$101007,"In")</f>
        <v>#VALUE!</v>
      </c>
      <c r="J833" s="52">
        <f ca="1">SUMIFS(OUT!$F$2:$F$11000,OUT!$H$2:$H$11000,H833,OUT!$D$2:$D$11000,"Out")</f>
        <v>9490497</v>
      </c>
      <c r="K833" s="52">
        <f ca="1">SUMIFS(OUT!$F$2:$F$11000,OUT!$H$2:$H$11000,H833,OUT!$D$2:$D$11000,"Out",OUT!$E$2:$E$11000,"Fix")</f>
        <v>2703418</v>
      </c>
      <c r="L833" s="52">
        <f ca="1">SUMIFS(OUT!$F$2:$F$11000,OUT!$H$2:$H$11000,H833,OUT!$D$2:$D$11000,"Out",OUT!$E$2:$E$11000,"Bathroom")</f>
        <v>13000</v>
      </c>
      <c r="M833" s="52">
        <f ca="1">SUMIFS(OUT!$F$2:$F$11000,OUT!$H$2:$H$11000,H833,OUT!$D$2:$D$11000,"Out",OUT!$E$2:$E$11000,"Alfa")</f>
        <v>326872</v>
      </c>
      <c r="N833" s="52" t="e">
        <f ca="1">SUMIFS(OUT!$F$2:$F$11000,OUT!$H$2:$H$101007,H833,OUT!$D$2:$D$11000,"Out",OUT!$E$2:$E$11000,"Jajan")</f>
        <v>#VALUE!</v>
      </c>
      <c r="O833" s="52">
        <f ca="1">SUMIFS(OUT!$F$2:$F$11000,OUT!$H$2:$H$11000,H833,OUT!$D$2:$D$11000,"Out",OUT!$E$2:$E$11000,"Kitchen")</f>
        <v>902100</v>
      </c>
      <c r="P833" s="52">
        <f ca="1">SUMIFS(OUT!$F$2:$F$11000,OUT!$H$2:$H$11000,H833,OUT!$D$2:$D$11000,"Out",OUT!$E$2:$E$11000,"Loandry")</f>
        <v>42900</v>
      </c>
      <c r="Q833" s="52">
        <f ca="1">SUMIFS(OUT!$F$2:$F$11000,OUT!$H$2:$H$11000,H833,OUT!$D$2:$D$11000,"Out",OUT!$E$2:$E$11000,"Mio")</f>
        <v>732000</v>
      </c>
      <c r="R833" s="52">
        <f ca="1">SUMIFS(OUT!$F$2:$F$11000,OUT!$H$2:$H$11000,H833,OUT!$D$2:$D$11000,"Out",OUT!$E$2:$E$11000,"Sedekah")</f>
        <v>0</v>
      </c>
      <c r="S833" s="52">
        <f ca="1">SUMIFS(OUT!$F$2:$F$11000,OUT!$H$2:$H$11000,H833,OUT!$D$2:$D$11000,"Out",OUT!$E$2:$E$11000,"Zela")</f>
        <v>47011</v>
      </c>
      <c r="T833" s="52">
        <f ca="1">SUMIFS(OUT!$F$2:$F$11000,OUT!$H$2:$H$11000,H833,OUT!$D$2:$D$11000,"Out",OUT!$E$2:$E$11000,"Iqbal")</f>
        <v>251000</v>
      </c>
    </row>
    <row r="834" spans="1:20" x14ac:dyDescent="0.2">
      <c r="A834" s="48">
        <f ca="1">IFERROR(__xludf.DUMMYFUNCTION("""COMPUTED_VALUE"""),46160)</f>
        <v>46160</v>
      </c>
      <c r="B834" s="4" t="str">
        <f ca="1">IFERROR(__xludf.DUMMYFUNCTION("""COMPUTED_VALUE"""),"jajan alfa ")</f>
        <v xml:space="preserve">jajan alfa </v>
      </c>
      <c r="C834" s="4" t="str">
        <f ca="1">IFERROR(__xludf.DUMMYFUNCTION("""COMPUTED_VALUE"""),"Cash")</f>
        <v>Cash</v>
      </c>
      <c r="D834" s="4" t="str">
        <f ca="1">IFERROR(__xludf.DUMMYFUNCTION("""COMPUTED_VALUE"""),"Out")</f>
        <v>Out</v>
      </c>
      <c r="E834" s="4" t="str">
        <f ca="1">IFERROR(__xludf.DUMMYFUNCTION("""COMPUTED_VALUE"""),"Jajan")</f>
        <v>Jajan</v>
      </c>
      <c r="F834" s="49">
        <f ca="1">IFERROR(__xludf.DUMMYFUNCTION("""COMPUTED_VALUE"""),3000)</f>
        <v>3000</v>
      </c>
      <c r="G834" s="50" t="str">
        <f ca="1">IFERROR(__xludf.DUMMYFUNCTION("""COMPUTED_VALUE"""),"Zela")</f>
        <v>Zela</v>
      </c>
      <c r="H834" s="51">
        <f t="shared" ca="1" si="0"/>
        <v>46143</v>
      </c>
      <c r="I834" s="52" t="e">
        <f ca="1">SUMIFS(OUT!$F$2:$F$11000,OUT!$H$2:$H$11000,H834,OUT!$D$2:$D$101007,"In")</f>
        <v>#VALUE!</v>
      </c>
      <c r="J834" s="52">
        <f ca="1">SUMIFS(OUT!$F$2:$F$11000,OUT!$H$2:$H$11000,H834,OUT!$D$2:$D$11000,"Out")</f>
        <v>9490497</v>
      </c>
      <c r="K834" s="52">
        <f ca="1">SUMIFS(OUT!$F$2:$F$11000,OUT!$H$2:$H$11000,H834,OUT!$D$2:$D$11000,"Out",OUT!$E$2:$E$11000,"Fix")</f>
        <v>2703418</v>
      </c>
      <c r="L834" s="52">
        <f ca="1">SUMIFS(OUT!$F$2:$F$11000,OUT!$H$2:$H$11000,H834,OUT!$D$2:$D$11000,"Out",OUT!$E$2:$E$11000,"Bathroom")</f>
        <v>13000</v>
      </c>
      <c r="M834" s="52">
        <f ca="1">SUMIFS(OUT!$F$2:$F$11000,OUT!$H$2:$H$11000,H834,OUT!$D$2:$D$11000,"Out",OUT!$E$2:$E$11000,"Alfa")</f>
        <v>326872</v>
      </c>
      <c r="N834" s="52" t="e">
        <f ca="1">SUMIFS(OUT!$F$2:$F$11000,OUT!$H$2:$H$101007,H834,OUT!$D$2:$D$11000,"Out",OUT!$E$2:$E$11000,"Jajan")</f>
        <v>#VALUE!</v>
      </c>
      <c r="O834" s="52">
        <f ca="1">SUMIFS(OUT!$F$2:$F$11000,OUT!$H$2:$H$11000,H834,OUT!$D$2:$D$11000,"Out",OUT!$E$2:$E$11000,"Kitchen")</f>
        <v>902100</v>
      </c>
      <c r="P834" s="52">
        <f ca="1">SUMIFS(OUT!$F$2:$F$11000,OUT!$H$2:$H$11000,H834,OUT!$D$2:$D$11000,"Out",OUT!$E$2:$E$11000,"Loandry")</f>
        <v>42900</v>
      </c>
      <c r="Q834" s="52">
        <f ca="1">SUMIFS(OUT!$F$2:$F$11000,OUT!$H$2:$H$11000,H834,OUT!$D$2:$D$11000,"Out",OUT!$E$2:$E$11000,"Mio")</f>
        <v>732000</v>
      </c>
      <c r="R834" s="52">
        <f ca="1">SUMIFS(OUT!$F$2:$F$11000,OUT!$H$2:$H$11000,H834,OUT!$D$2:$D$11000,"Out",OUT!$E$2:$E$11000,"Sedekah")</f>
        <v>0</v>
      </c>
      <c r="S834" s="52">
        <f ca="1">SUMIFS(OUT!$F$2:$F$11000,OUT!$H$2:$H$11000,H834,OUT!$D$2:$D$11000,"Out",OUT!$E$2:$E$11000,"Zela")</f>
        <v>47011</v>
      </c>
      <c r="T834" s="52">
        <f ca="1">SUMIFS(OUT!$F$2:$F$11000,OUT!$H$2:$H$11000,H834,OUT!$D$2:$D$11000,"Out",OUT!$E$2:$E$11000,"Iqbal")</f>
        <v>251000</v>
      </c>
    </row>
    <row r="835" spans="1:20" x14ac:dyDescent="0.2">
      <c r="A835" s="48">
        <f ca="1">IFERROR(__xludf.DUMMYFUNCTION("""COMPUTED_VALUE"""),46158)</f>
        <v>46158</v>
      </c>
      <c r="B835" s="4" t="str">
        <f ca="1">IFERROR(__xludf.DUMMYFUNCTION("""COMPUTED_VALUE"""),"suamiku")</f>
        <v>suamiku</v>
      </c>
      <c r="C835" s="4" t="str">
        <f ca="1">IFERROR(__xludf.DUMMYFUNCTION("""COMPUTED_VALUE"""),"Cash")</f>
        <v>Cash</v>
      </c>
      <c r="D835" s="4" t="str">
        <f ca="1">IFERROR(__xludf.DUMMYFUNCTION("""COMPUTED_VALUE"""),"Out")</f>
        <v>Out</v>
      </c>
      <c r="E835" s="4" t="str">
        <f ca="1">IFERROR(__xludf.DUMMYFUNCTION("""COMPUTED_VALUE"""),"Jajan")</f>
        <v>Jajan</v>
      </c>
      <c r="F835" s="49">
        <f ca="1">IFERROR(__xludf.DUMMYFUNCTION("""COMPUTED_VALUE"""),16000)</f>
        <v>16000</v>
      </c>
      <c r="G835" s="50" t="str">
        <f ca="1">IFERROR(__xludf.DUMMYFUNCTION("""COMPUTED_VALUE"""),"Zela")</f>
        <v>Zela</v>
      </c>
      <c r="H835" s="51">
        <f t="shared" ca="1" si="0"/>
        <v>46143</v>
      </c>
      <c r="I835" s="52" t="e">
        <f ca="1">SUMIFS(OUT!$F$2:$F$11000,OUT!$H$2:$H$11000,H835,OUT!$D$2:$D$101007,"In")</f>
        <v>#VALUE!</v>
      </c>
      <c r="J835" s="52">
        <f ca="1">SUMIFS(OUT!$F$2:$F$11000,OUT!$H$2:$H$11000,H835,OUT!$D$2:$D$11000,"Out")</f>
        <v>9490497</v>
      </c>
      <c r="K835" s="52">
        <f ca="1">SUMIFS(OUT!$F$2:$F$11000,OUT!$H$2:$H$11000,H835,OUT!$D$2:$D$11000,"Out",OUT!$E$2:$E$11000,"Fix")</f>
        <v>2703418</v>
      </c>
      <c r="L835" s="52">
        <f ca="1">SUMIFS(OUT!$F$2:$F$11000,OUT!$H$2:$H$11000,H835,OUT!$D$2:$D$11000,"Out",OUT!$E$2:$E$11000,"Bathroom")</f>
        <v>13000</v>
      </c>
      <c r="M835" s="52">
        <f ca="1">SUMIFS(OUT!$F$2:$F$11000,OUT!$H$2:$H$11000,H835,OUT!$D$2:$D$11000,"Out",OUT!$E$2:$E$11000,"Alfa")</f>
        <v>326872</v>
      </c>
      <c r="N835" s="52" t="e">
        <f ca="1">SUMIFS(OUT!$F$2:$F$11000,OUT!$H$2:$H$101007,H835,OUT!$D$2:$D$11000,"Out",OUT!$E$2:$E$11000,"Jajan")</f>
        <v>#VALUE!</v>
      </c>
      <c r="O835" s="52">
        <f ca="1">SUMIFS(OUT!$F$2:$F$11000,OUT!$H$2:$H$11000,H835,OUT!$D$2:$D$11000,"Out",OUT!$E$2:$E$11000,"Kitchen")</f>
        <v>902100</v>
      </c>
      <c r="P835" s="52">
        <f ca="1">SUMIFS(OUT!$F$2:$F$11000,OUT!$H$2:$H$11000,H835,OUT!$D$2:$D$11000,"Out",OUT!$E$2:$E$11000,"Loandry")</f>
        <v>42900</v>
      </c>
      <c r="Q835" s="52">
        <f ca="1">SUMIFS(OUT!$F$2:$F$11000,OUT!$H$2:$H$11000,H835,OUT!$D$2:$D$11000,"Out",OUT!$E$2:$E$11000,"Mio")</f>
        <v>732000</v>
      </c>
      <c r="R835" s="52">
        <f ca="1">SUMIFS(OUT!$F$2:$F$11000,OUT!$H$2:$H$11000,H835,OUT!$D$2:$D$11000,"Out",OUT!$E$2:$E$11000,"Sedekah")</f>
        <v>0</v>
      </c>
      <c r="S835" s="52">
        <f ca="1">SUMIFS(OUT!$F$2:$F$11000,OUT!$H$2:$H$11000,H835,OUT!$D$2:$D$11000,"Out",OUT!$E$2:$E$11000,"Zela")</f>
        <v>47011</v>
      </c>
      <c r="T835" s="52">
        <f ca="1">SUMIFS(OUT!$F$2:$F$11000,OUT!$H$2:$H$11000,H835,OUT!$D$2:$D$11000,"Out",OUT!$E$2:$E$11000,"Iqbal")</f>
        <v>251000</v>
      </c>
    </row>
    <row r="836" spans="1:20" x14ac:dyDescent="0.2">
      <c r="A836" s="48">
        <f ca="1">IFERROR(__xludf.DUMMYFUNCTION("""COMPUTED_VALUE"""),46161)</f>
        <v>46161</v>
      </c>
      <c r="B836" s="4" t="str">
        <f ca="1">IFERROR(__xludf.DUMMYFUNCTION("""COMPUTED_VALUE"""),"Suamiku")</f>
        <v>Suamiku</v>
      </c>
      <c r="C836" s="4" t="str">
        <f ca="1">IFERROR(__xludf.DUMMYFUNCTION("""COMPUTED_VALUE"""),"ATM")</f>
        <v>ATM</v>
      </c>
      <c r="D836" s="4" t="str">
        <f ca="1">IFERROR(__xludf.DUMMYFUNCTION("""COMPUTED_VALUE"""),"In")</f>
        <v>In</v>
      </c>
      <c r="E836" s="4" t="str">
        <f ca="1">IFERROR(__xludf.DUMMYFUNCTION("""COMPUTED_VALUE"""),"Fix")</f>
        <v>Fix</v>
      </c>
      <c r="F836" s="49">
        <f ca="1">IFERROR(__xludf.DUMMYFUNCTION("""COMPUTED_VALUE"""),90000)</f>
        <v>90000</v>
      </c>
      <c r="G836" s="50" t="str">
        <f ca="1">IFERROR(__xludf.DUMMYFUNCTION("""COMPUTED_VALUE"""),"Zela")</f>
        <v>Zela</v>
      </c>
      <c r="H836" s="51">
        <f t="shared" ca="1" si="0"/>
        <v>46143</v>
      </c>
      <c r="I836" s="52" t="e">
        <f ca="1">SUMIFS(OUT!$F$2:$F$11000,OUT!$H$2:$H$11000,H836,OUT!$D$2:$D$101007,"In")</f>
        <v>#VALUE!</v>
      </c>
      <c r="J836" s="52">
        <f ca="1">SUMIFS(OUT!$F$2:$F$11000,OUT!$H$2:$H$11000,H836,OUT!$D$2:$D$11000,"Out")</f>
        <v>9490497</v>
      </c>
      <c r="K836" s="52">
        <f ca="1">SUMIFS(OUT!$F$2:$F$11000,OUT!$H$2:$H$11000,H836,OUT!$D$2:$D$11000,"Out",OUT!$E$2:$E$11000,"Fix")</f>
        <v>2703418</v>
      </c>
      <c r="L836" s="52">
        <f ca="1">SUMIFS(OUT!$F$2:$F$11000,OUT!$H$2:$H$11000,H836,OUT!$D$2:$D$11000,"Out",OUT!$E$2:$E$11000,"Bathroom")</f>
        <v>13000</v>
      </c>
      <c r="M836" s="52">
        <f ca="1">SUMIFS(OUT!$F$2:$F$11000,OUT!$H$2:$H$11000,H836,OUT!$D$2:$D$11000,"Out",OUT!$E$2:$E$11000,"Alfa")</f>
        <v>326872</v>
      </c>
      <c r="N836" s="52" t="e">
        <f ca="1">SUMIFS(OUT!$F$2:$F$11000,OUT!$H$2:$H$101007,H836,OUT!$D$2:$D$11000,"Out",OUT!$E$2:$E$11000,"Jajan")</f>
        <v>#VALUE!</v>
      </c>
      <c r="O836" s="52">
        <f ca="1">SUMIFS(OUT!$F$2:$F$11000,OUT!$H$2:$H$11000,H836,OUT!$D$2:$D$11000,"Out",OUT!$E$2:$E$11000,"Kitchen")</f>
        <v>902100</v>
      </c>
      <c r="P836" s="52">
        <f ca="1">SUMIFS(OUT!$F$2:$F$11000,OUT!$H$2:$H$11000,H836,OUT!$D$2:$D$11000,"Out",OUT!$E$2:$E$11000,"Loandry")</f>
        <v>42900</v>
      </c>
      <c r="Q836" s="52">
        <f ca="1">SUMIFS(OUT!$F$2:$F$11000,OUT!$H$2:$H$11000,H836,OUT!$D$2:$D$11000,"Out",OUT!$E$2:$E$11000,"Mio")</f>
        <v>732000</v>
      </c>
      <c r="R836" s="52">
        <f ca="1">SUMIFS(OUT!$F$2:$F$11000,OUT!$H$2:$H$11000,H836,OUT!$D$2:$D$11000,"Out",OUT!$E$2:$E$11000,"Sedekah")</f>
        <v>0</v>
      </c>
      <c r="S836" s="52">
        <f ca="1">SUMIFS(OUT!$F$2:$F$11000,OUT!$H$2:$H$11000,H836,OUT!$D$2:$D$11000,"Out",OUT!$E$2:$E$11000,"Zela")</f>
        <v>47011</v>
      </c>
      <c r="T836" s="52">
        <f ca="1">SUMIFS(OUT!$F$2:$F$11000,OUT!$H$2:$H$11000,H836,OUT!$D$2:$D$11000,"Out",OUT!$E$2:$E$11000,"Iqbal")</f>
        <v>251000</v>
      </c>
    </row>
    <row r="837" spans="1:20" x14ac:dyDescent="0.2">
      <c r="A837" s="48">
        <f ca="1">IFERROR(__xludf.DUMMYFUNCTION("""COMPUTED_VALUE"""),46161)</f>
        <v>46161</v>
      </c>
      <c r="B837" s="4" t="str">
        <f ca="1">IFERROR(__xludf.DUMMYFUNCTION("""COMPUTED_VALUE"""),"Token listrik (65.30)")</f>
        <v>Token listrik (65.30)</v>
      </c>
      <c r="C837" s="4" t="str">
        <f ca="1">IFERROR(__xludf.DUMMYFUNCTION("""COMPUTED_VALUE"""),"ATM")</f>
        <v>ATM</v>
      </c>
      <c r="D837" s="4" t="str">
        <f ca="1">IFERROR(__xludf.DUMMYFUNCTION("""COMPUTED_VALUE"""),"Out")</f>
        <v>Out</v>
      </c>
      <c r="E837" s="4" t="str">
        <f ca="1">IFERROR(__xludf.DUMMYFUNCTION("""COMPUTED_VALUE"""),"Fix")</f>
        <v>Fix</v>
      </c>
      <c r="F837" s="49">
        <f ca="1">IFERROR(__xludf.DUMMYFUNCTION("""COMPUTED_VALUE"""),98000)</f>
        <v>98000</v>
      </c>
      <c r="G837" s="50" t="str">
        <f ca="1">IFERROR(__xludf.DUMMYFUNCTION("""COMPUTED_VALUE"""),"Zela")</f>
        <v>Zela</v>
      </c>
      <c r="H837" s="51">
        <f t="shared" ca="1" si="0"/>
        <v>46143</v>
      </c>
      <c r="I837" s="52" t="e">
        <f ca="1">SUMIFS(OUT!$F$2:$F$11000,OUT!$H$2:$H$11000,H837,OUT!$D$2:$D$101007,"In")</f>
        <v>#VALUE!</v>
      </c>
      <c r="J837" s="52">
        <f ca="1">SUMIFS(OUT!$F$2:$F$11000,OUT!$H$2:$H$11000,H837,OUT!$D$2:$D$11000,"Out")</f>
        <v>9490497</v>
      </c>
      <c r="K837" s="52">
        <f ca="1">SUMIFS(OUT!$F$2:$F$11000,OUT!$H$2:$H$11000,H837,OUT!$D$2:$D$11000,"Out",OUT!$E$2:$E$11000,"Fix")</f>
        <v>2703418</v>
      </c>
      <c r="L837" s="52">
        <f ca="1">SUMIFS(OUT!$F$2:$F$11000,OUT!$H$2:$H$11000,H837,OUT!$D$2:$D$11000,"Out",OUT!$E$2:$E$11000,"Bathroom")</f>
        <v>13000</v>
      </c>
      <c r="M837" s="52">
        <f ca="1">SUMIFS(OUT!$F$2:$F$11000,OUT!$H$2:$H$11000,H837,OUT!$D$2:$D$11000,"Out",OUT!$E$2:$E$11000,"Alfa")</f>
        <v>326872</v>
      </c>
      <c r="N837" s="52" t="e">
        <f ca="1">SUMIFS(OUT!$F$2:$F$11000,OUT!$H$2:$H$101007,H837,OUT!$D$2:$D$11000,"Out",OUT!$E$2:$E$11000,"Jajan")</f>
        <v>#VALUE!</v>
      </c>
      <c r="O837" s="52">
        <f ca="1">SUMIFS(OUT!$F$2:$F$11000,OUT!$H$2:$H$11000,H837,OUT!$D$2:$D$11000,"Out",OUT!$E$2:$E$11000,"Kitchen")</f>
        <v>902100</v>
      </c>
      <c r="P837" s="52">
        <f ca="1">SUMIFS(OUT!$F$2:$F$11000,OUT!$H$2:$H$11000,H837,OUT!$D$2:$D$11000,"Out",OUT!$E$2:$E$11000,"Loandry")</f>
        <v>42900</v>
      </c>
      <c r="Q837" s="52">
        <f ca="1">SUMIFS(OUT!$F$2:$F$11000,OUT!$H$2:$H$11000,H837,OUT!$D$2:$D$11000,"Out",OUT!$E$2:$E$11000,"Mio")</f>
        <v>732000</v>
      </c>
      <c r="R837" s="52">
        <f ca="1">SUMIFS(OUT!$F$2:$F$11000,OUT!$H$2:$H$11000,H837,OUT!$D$2:$D$11000,"Out",OUT!$E$2:$E$11000,"Sedekah")</f>
        <v>0</v>
      </c>
      <c r="S837" s="52">
        <f ca="1">SUMIFS(OUT!$F$2:$F$11000,OUT!$H$2:$H$11000,H837,OUT!$D$2:$D$11000,"Out",OUT!$E$2:$E$11000,"Zela")</f>
        <v>47011</v>
      </c>
      <c r="T837" s="52">
        <f ca="1">SUMIFS(OUT!$F$2:$F$11000,OUT!$H$2:$H$11000,H837,OUT!$D$2:$D$11000,"Out",OUT!$E$2:$E$11000,"Iqbal")</f>
        <v>251000</v>
      </c>
    </row>
    <row r="838" spans="1:20" x14ac:dyDescent="0.2">
      <c r="A838" s="48">
        <f ca="1">IFERROR(__xludf.DUMMYFUNCTION("""COMPUTED_VALUE"""),46161)</f>
        <v>46161</v>
      </c>
      <c r="B838" s="4" t="str">
        <f ca="1">IFERROR(__xludf.DUMMYFUNCTION("""COMPUTED_VALUE"""),"susu alfa 3")</f>
        <v>susu alfa 3</v>
      </c>
      <c r="C838" s="4" t="str">
        <f ca="1">IFERROR(__xludf.DUMMYFUNCTION("""COMPUTED_VALUE"""),"ATM")</f>
        <v>ATM</v>
      </c>
      <c r="D838" s="4" t="str">
        <f ca="1">IFERROR(__xludf.DUMMYFUNCTION("""COMPUTED_VALUE"""),"Out")</f>
        <v>Out</v>
      </c>
      <c r="E838" s="4" t="str">
        <f ca="1">IFERROR(__xludf.DUMMYFUNCTION("""COMPUTED_VALUE"""),"Alfa")</f>
        <v>Alfa</v>
      </c>
      <c r="F838" s="49">
        <f ca="1">IFERROR(__xludf.DUMMYFUNCTION("""COMPUTED_VALUE"""),35700)</f>
        <v>35700</v>
      </c>
      <c r="G838" s="50" t="str">
        <f ca="1">IFERROR(__xludf.DUMMYFUNCTION("""COMPUTED_VALUE"""),"Zela")</f>
        <v>Zela</v>
      </c>
      <c r="H838" s="51">
        <f t="shared" ca="1" si="0"/>
        <v>46143</v>
      </c>
      <c r="I838" s="52" t="e">
        <f ca="1">SUMIFS(OUT!$F$2:$F$11000,OUT!$H$2:$H$11000,H838,OUT!$D$2:$D$101007,"In")</f>
        <v>#VALUE!</v>
      </c>
      <c r="J838" s="52">
        <f ca="1">SUMIFS(OUT!$F$2:$F$11000,OUT!$H$2:$H$11000,H838,OUT!$D$2:$D$11000,"Out")</f>
        <v>9490497</v>
      </c>
      <c r="K838" s="52">
        <f ca="1">SUMIFS(OUT!$F$2:$F$11000,OUT!$H$2:$H$11000,H838,OUT!$D$2:$D$11000,"Out",OUT!$E$2:$E$11000,"Fix")</f>
        <v>2703418</v>
      </c>
      <c r="L838" s="52">
        <f ca="1">SUMIFS(OUT!$F$2:$F$11000,OUT!$H$2:$H$11000,H838,OUT!$D$2:$D$11000,"Out",OUT!$E$2:$E$11000,"Bathroom")</f>
        <v>13000</v>
      </c>
      <c r="M838" s="52">
        <f ca="1">SUMIFS(OUT!$F$2:$F$11000,OUT!$H$2:$H$11000,H838,OUT!$D$2:$D$11000,"Out",OUT!$E$2:$E$11000,"Alfa")</f>
        <v>326872</v>
      </c>
      <c r="N838" s="52" t="e">
        <f ca="1">SUMIFS(OUT!$F$2:$F$11000,OUT!$H$2:$H$101007,H838,OUT!$D$2:$D$11000,"Out",OUT!$E$2:$E$11000,"Jajan")</f>
        <v>#VALUE!</v>
      </c>
      <c r="O838" s="52">
        <f ca="1">SUMIFS(OUT!$F$2:$F$11000,OUT!$H$2:$H$11000,H838,OUT!$D$2:$D$11000,"Out",OUT!$E$2:$E$11000,"Kitchen")</f>
        <v>902100</v>
      </c>
      <c r="P838" s="52">
        <f ca="1">SUMIFS(OUT!$F$2:$F$11000,OUT!$H$2:$H$11000,H838,OUT!$D$2:$D$11000,"Out",OUT!$E$2:$E$11000,"Loandry")</f>
        <v>42900</v>
      </c>
      <c r="Q838" s="52">
        <f ca="1">SUMIFS(OUT!$F$2:$F$11000,OUT!$H$2:$H$11000,H838,OUT!$D$2:$D$11000,"Out",OUT!$E$2:$E$11000,"Mio")</f>
        <v>732000</v>
      </c>
      <c r="R838" s="52">
        <f ca="1">SUMIFS(OUT!$F$2:$F$11000,OUT!$H$2:$H$11000,H838,OUT!$D$2:$D$11000,"Out",OUT!$E$2:$E$11000,"Sedekah")</f>
        <v>0</v>
      </c>
      <c r="S838" s="52">
        <f ca="1">SUMIFS(OUT!$F$2:$F$11000,OUT!$H$2:$H$11000,H838,OUT!$D$2:$D$11000,"Out",OUT!$E$2:$E$11000,"Zela")</f>
        <v>47011</v>
      </c>
      <c r="T838" s="52">
        <f ca="1">SUMIFS(OUT!$F$2:$F$11000,OUT!$H$2:$H$11000,H838,OUT!$D$2:$D$11000,"Out",OUT!$E$2:$E$11000,"Iqbal")</f>
        <v>251000</v>
      </c>
    </row>
    <row r="839" spans="1:20" x14ac:dyDescent="0.2">
      <c r="A839" s="48">
        <f ca="1">IFERROR(__xludf.DUMMYFUNCTION("""COMPUTED_VALUE"""),46161)</f>
        <v>46161</v>
      </c>
      <c r="B839" s="4" t="str">
        <f ca="1">IFERROR(__xludf.DUMMYFUNCTION("""COMPUTED_VALUE"""),"Roti Bakar ")</f>
        <v xml:space="preserve">Roti Bakar </v>
      </c>
      <c r="C839" s="4" t="str">
        <f ca="1">IFERROR(__xludf.DUMMYFUNCTION("""COMPUTED_VALUE"""),"Cash")</f>
        <v>Cash</v>
      </c>
      <c r="D839" s="4" t="str">
        <f ca="1">IFERROR(__xludf.DUMMYFUNCTION("""COMPUTED_VALUE"""),"Out")</f>
        <v>Out</v>
      </c>
      <c r="E839" s="4" t="str">
        <f ca="1">IFERROR(__xludf.DUMMYFUNCTION("""COMPUTED_VALUE"""),"Jajan")</f>
        <v>Jajan</v>
      </c>
      <c r="F839" s="49">
        <f ca="1">IFERROR(__xludf.DUMMYFUNCTION("""COMPUTED_VALUE"""),20000)</f>
        <v>20000</v>
      </c>
      <c r="G839" s="50" t="str">
        <f ca="1">IFERROR(__xludf.DUMMYFUNCTION("""COMPUTED_VALUE"""),"Zela")</f>
        <v>Zela</v>
      </c>
      <c r="H839" s="51">
        <f t="shared" ca="1" si="0"/>
        <v>46143</v>
      </c>
      <c r="I839" s="52" t="e">
        <f ca="1">SUMIFS(OUT!$F$2:$F$11000,OUT!$H$2:$H$11000,H839,OUT!$D$2:$D$101007,"In")</f>
        <v>#VALUE!</v>
      </c>
      <c r="J839" s="52">
        <f ca="1">SUMIFS(OUT!$F$2:$F$11000,OUT!$H$2:$H$11000,H839,OUT!$D$2:$D$11000,"Out")</f>
        <v>9490497</v>
      </c>
      <c r="K839" s="52">
        <f ca="1">SUMIFS(OUT!$F$2:$F$11000,OUT!$H$2:$H$11000,H839,OUT!$D$2:$D$11000,"Out",OUT!$E$2:$E$11000,"Fix")</f>
        <v>2703418</v>
      </c>
      <c r="L839" s="52">
        <f ca="1">SUMIFS(OUT!$F$2:$F$11000,OUT!$H$2:$H$11000,H839,OUT!$D$2:$D$11000,"Out",OUT!$E$2:$E$11000,"Bathroom")</f>
        <v>13000</v>
      </c>
      <c r="M839" s="52">
        <f ca="1">SUMIFS(OUT!$F$2:$F$11000,OUT!$H$2:$H$11000,H839,OUT!$D$2:$D$11000,"Out",OUT!$E$2:$E$11000,"Alfa")</f>
        <v>326872</v>
      </c>
      <c r="N839" s="52" t="e">
        <f ca="1">SUMIFS(OUT!$F$2:$F$11000,OUT!$H$2:$H$101007,H839,OUT!$D$2:$D$11000,"Out",OUT!$E$2:$E$11000,"Jajan")</f>
        <v>#VALUE!</v>
      </c>
      <c r="O839" s="52">
        <f ca="1">SUMIFS(OUT!$F$2:$F$11000,OUT!$H$2:$H$11000,H839,OUT!$D$2:$D$11000,"Out",OUT!$E$2:$E$11000,"Kitchen")</f>
        <v>902100</v>
      </c>
      <c r="P839" s="52">
        <f ca="1">SUMIFS(OUT!$F$2:$F$11000,OUT!$H$2:$H$11000,H839,OUT!$D$2:$D$11000,"Out",OUT!$E$2:$E$11000,"Loandry")</f>
        <v>42900</v>
      </c>
      <c r="Q839" s="52">
        <f ca="1">SUMIFS(OUT!$F$2:$F$11000,OUT!$H$2:$H$11000,H839,OUT!$D$2:$D$11000,"Out",OUT!$E$2:$E$11000,"Mio")</f>
        <v>732000</v>
      </c>
      <c r="R839" s="52">
        <f ca="1">SUMIFS(OUT!$F$2:$F$11000,OUT!$H$2:$H$11000,H839,OUT!$D$2:$D$11000,"Out",OUT!$E$2:$E$11000,"Sedekah")</f>
        <v>0</v>
      </c>
      <c r="S839" s="52">
        <f ca="1">SUMIFS(OUT!$F$2:$F$11000,OUT!$H$2:$H$11000,H839,OUT!$D$2:$D$11000,"Out",OUT!$E$2:$E$11000,"Zela")</f>
        <v>47011</v>
      </c>
      <c r="T839" s="52">
        <f ca="1">SUMIFS(OUT!$F$2:$F$11000,OUT!$H$2:$H$11000,H839,OUT!$D$2:$D$11000,"Out",OUT!$E$2:$E$11000,"Iqbal")</f>
        <v>251000</v>
      </c>
    </row>
    <row r="840" spans="1:20" x14ac:dyDescent="0.2">
      <c r="A840" s="48">
        <f ca="1">IFERROR(__xludf.DUMMYFUNCTION("""COMPUTED_VALUE"""),46162)</f>
        <v>46162</v>
      </c>
      <c r="B840" s="4" t="str">
        <f ca="1">IFERROR(__xludf.DUMMYFUNCTION("""COMPUTED_VALUE"""),"Tarik tunai ")</f>
        <v xml:space="preserve">Tarik tunai </v>
      </c>
      <c r="C840" s="4" t="str">
        <f ca="1">IFERROR(__xludf.DUMMYFUNCTION("""COMPUTED_VALUE"""),"ATM")</f>
        <v>ATM</v>
      </c>
      <c r="D840" s="4" t="str">
        <f ca="1">IFERROR(__xludf.DUMMYFUNCTION("""COMPUTED_VALUE"""),"Out")</f>
        <v>Out</v>
      </c>
      <c r="E840" s="4" t="str">
        <f ca="1">IFERROR(__xludf.DUMMYFUNCTION("""COMPUTED_VALUE"""),"Move")</f>
        <v>Move</v>
      </c>
      <c r="F840" s="49">
        <f ca="1">IFERROR(__xludf.DUMMYFUNCTION("""COMPUTED_VALUE"""),150000)</f>
        <v>150000</v>
      </c>
      <c r="G840" s="50" t="str">
        <f ca="1">IFERROR(__xludf.DUMMYFUNCTION("""COMPUTED_VALUE"""),"Zela")</f>
        <v>Zela</v>
      </c>
      <c r="H840" s="51">
        <f t="shared" ca="1" si="0"/>
        <v>46143</v>
      </c>
      <c r="I840" s="52" t="e">
        <f ca="1">SUMIFS(OUT!$F$2:$F$11000,OUT!$H$2:$H$11000,H840,OUT!$D$2:$D$101007,"In")</f>
        <v>#VALUE!</v>
      </c>
      <c r="J840" s="52">
        <f ca="1">SUMIFS(OUT!$F$2:$F$11000,OUT!$H$2:$H$11000,H840,OUT!$D$2:$D$11000,"Out")</f>
        <v>9490497</v>
      </c>
      <c r="K840" s="52">
        <f ca="1">SUMIFS(OUT!$F$2:$F$11000,OUT!$H$2:$H$11000,H840,OUT!$D$2:$D$11000,"Out",OUT!$E$2:$E$11000,"Fix")</f>
        <v>2703418</v>
      </c>
      <c r="L840" s="52">
        <f ca="1">SUMIFS(OUT!$F$2:$F$11000,OUT!$H$2:$H$11000,H840,OUT!$D$2:$D$11000,"Out",OUT!$E$2:$E$11000,"Bathroom")</f>
        <v>13000</v>
      </c>
      <c r="M840" s="52">
        <f ca="1">SUMIFS(OUT!$F$2:$F$11000,OUT!$H$2:$H$11000,H840,OUT!$D$2:$D$11000,"Out",OUT!$E$2:$E$11000,"Alfa")</f>
        <v>326872</v>
      </c>
      <c r="N840" s="52" t="e">
        <f ca="1">SUMIFS(OUT!$F$2:$F$11000,OUT!$H$2:$H$101007,H840,OUT!$D$2:$D$11000,"Out",OUT!$E$2:$E$11000,"Jajan")</f>
        <v>#VALUE!</v>
      </c>
      <c r="O840" s="52">
        <f ca="1">SUMIFS(OUT!$F$2:$F$11000,OUT!$H$2:$H$11000,H840,OUT!$D$2:$D$11000,"Out",OUT!$E$2:$E$11000,"Kitchen")</f>
        <v>902100</v>
      </c>
      <c r="P840" s="52">
        <f ca="1">SUMIFS(OUT!$F$2:$F$11000,OUT!$H$2:$H$11000,H840,OUT!$D$2:$D$11000,"Out",OUT!$E$2:$E$11000,"Loandry")</f>
        <v>42900</v>
      </c>
      <c r="Q840" s="52">
        <f ca="1">SUMIFS(OUT!$F$2:$F$11000,OUT!$H$2:$H$11000,H840,OUT!$D$2:$D$11000,"Out",OUT!$E$2:$E$11000,"Mio")</f>
        <v>732000</v>
      </c>
      <c r="R840" s="52">
        <f ca="1">SUMIFS(OUT!$F$2:$F$11000,OUT!$H$2:$H$11000,H840,OUT!$D$2:$D$11000,"Out",OUT!$E$2:$E$11000,"Sedekah")</f>
        <v>0</v>
      </c>
      <c r="S840" s="52">
        <f ca="1">SUMIFS(OUT!$F$2:$F$11000,OUT!$H$2:$H$11000,H840,OUT!$D$2:$D$11000,"Out",OUT!$E$2:$E$11000,"Zela")</f>
        <v>47011</v>
      </c>
      <c r="T840" s="52">
        <f ca="1">SUMIFS(OUT!$F$2:$F$11000,OUT!$H$2:$H$11000,H840,OUT!$D$2:$D$11000,"Out",OUT!$E$2:$E$11000,"Iqbal")</f>
        <v>251000</v>
      </c>
    </row>
    <row r="841" spans="1:20" x14ac:dyDescent="0.2">
      <c r="A841" s="48">
        <f ca="1">IFERROR(__xludf.DUMMYFUNCTION("""COMPUTED_VALUE"""),46162)</f>
        <v>46162</v>
      </c>
      <c r="B841" s="4" t="str">
        <f ca="1">IFERROR(__xludf.DUMMYFUNCTION("""COMPUTED_VALUE"""),"Terima Tunai ")</f>
        <v xml:space="preserve">Terima Tunai </v>
      </c>
      <c r="C841" s="4" t="str">
        <f ca="1">IFERROR(__xludf.DUMMYFUNCTION("""COMPUTED_VALUE"""),"Cash")</f>
        <v>Cash</v>
      </c>
      <c r="D841" s="4" t="str">
        <f ca="1">IFERROR(__xludf.DUMMYFUNCTION("""COMPUTED_VALUE"""),"In")</f>
        <v>In</v>
      </c>
      <c r="E841" s="4" t="str">
        <f ca="1">IFERROR(__xludf.DUMMYFUNCTION("""COMPUTED_VALUE"""),"Move")</f>
        <v>Move</v>
      </c>
      <c r="F841" s="49">
        <f ca="1">IFERROR(__xludf.DUMMYFUNCTION("""COMPUTED_VALUE"""),150000)</f>
        <v>150000</v>
      </c>
      <c r="G841" s="50" t="str">
        <f ca="1">IFERROR(__xludf.DUMMYFUNCTION("""COMPUTED_VALUE"""),"Zela")</f>
        <v>Zela</v>
      </c>
      <c r="H841" s="51">
        <f t="shared" ca="1" si="0"/>
        <v>46143</v>
      </c>
      <c r="I841" s="52" t="e">
        <f ca="1">SUMIFS(OUT!$F$2:$F$11000,OUT!$H$2:$H$11000,H841,OUT!$D$2:$D$101007,"In")</f>
        <v>#VALUE!</v>
      </c>
      <c r="J841" s="52">
        <f ca="1">SUMIFS(OUT!$F$2:$F$11000,OUT!$H$2:$H$11000,H841,OUT!$D$2:$D$11000,"Out")</f>
        <v>9490497</v>
      </c>
      <c r="K841" s="52">
        <f ca="1">SUMIFS(OUT!$F$2:$F$11000,OUT!$H$2:$H$11000,H841,OUT!$D$2:$D$11000,"Out",OUT!$E$2:$E$11000,"Fix")</f>
        <v>2703418</v>
      </c>
      <c r="L841" s="52">
        <f ca="1">SUMIFS(OUT!$F$2:$F$11000,OUT!$H$2:$H$11000,H841,OUT!$D$2:$D$11000,"Out",OUT!$E$2:$E$11000,"Bathroom")</f>
        <v>13000</v>
      </c>
      <c r="M841" s="52">
        <f ca="1">SUMIFS(OUT!$F$2:$F$11000,OUT!$H$2:$H$11000,H841,OUT!$D$2:$D$11000,"Out",OUT!$E$2:$E$11000,"Alfa")</f>
        <v>326872</v>
      </c>
      <c r="N841" s="52" t="e">
        <f ca="1">SUMIFS(OUT!$F$2:$F$11000,OUT!$H$2:$H$101007,H841,OUT!$D$2:$D$11000,"Out",OUT!$E$2:$E$11000,"Jajan")</f>
        <v>#VALUE!</v>
      </c>
      <c r="O841" s="52">
        <f ca="1">SUMIFS(OUT!$F$2:$F$11000,OUT!$H$2:$H$11000,H841,OUT!$D$2:$D$11000,"Out",OUT!$E$2:$E$11000,"Kitchen")</f>
        <v>902100</v>
      </c>
      <c r="P841" s="52">
        <f ca="1">SUMIFS(OUT!$F$2:$F$11000,OUT!$H$2:$H$11000,H841,OUT!$D$2:$D$11000,"Out",OUT!$E$2:$E$11000,"Loandry")</f>
        <v>42900</v>
      </c>
      <c r="Q841" s="52">
        <f ca="1">SUMIFS(OUT!$F$2:$F$11000,OUT!$H$2:$H$11000,H841,OUT!$D$2:$D$11000,"Out",OUT!$E$2:$E$11000,"Mio")</f>
        <v>732000</v>
      </c>
      <c r="R841" s="52">
        <f ca="1">SUMIFS(OUT!$F$2:$F$11000,OUT!$H$2:$H$11000,H841,OUT!$D$2:$D$11000,"Out",OUT!$E$2:$E$11000,"Sedekah")</f>
        <v>0</v>
      </c>
      <c r="S841" s="52">
        <f ca="1">SUMIFS(OUT!$F$2:$F$11000,OUT!$H$2:$H$11000,H841,OUT!$D$2:$D$11000,"Out",OUT!$E$2:$E$11000,"Zela")</f>
        <v>47011</v>
      </c>
      <c r="T841" s="52">
        <f ca="1">SUMIFS(OUT!$F$2:$F$11000,OUT!$H$2:$H$11000,H841,OUT!$D$2:$D$11000,"Out",OUT!$E$2:$E$11000,"Iqbal")</f>
        <v>251000</v>
      </c>
    </row>
    <row r="842" spans="1:20" x14ac:dyDescent="0.2">
      <c r="A842" s="48">
        <f ca="1">IFERROR(__xludf.DUMMYFUNCTION("""COMPUTED_VALUE"""),46162)</f>
        <v>46162</v>
      </c>
      <c r="B842" s="4" t="str">
        <f ca="1">IFERROR(__xludf.DUMMYFUNCTION("""COMPUTED_VALUE"""),"Galon ")</f>
        <v xml:space="preserve">Galon </v>
      </c>
      <c r="C842" s="4" t="str">
        <f ca="1">IFERROR(__xludf.DUMMYFUNCTION("""COMPUTED_VALUE"""),"Cash")</f>
        <v>Cash</v>
      </c>
      <c r="D842" s="4" t="str">
        <f ca="1">IFERROR(__xludf.DUMMYFUNCTION("""COMPUTED_VALUE"""),"Out")</f>
        <v>Out</v>
      </c>
      <c r="E842" s="4" t="str">
        <f ca="1">IFERROR(__xludf.DUMMYFUNCTION("""COMPUTED_VALUE"""),"Kitchen")</f>
        <v>Kitchen</v>
      </c>
      <c r="F842" s="49">
        <f ca="1">IFERROR(__xludf.DUMMYFUNCTION("""COMPUTED_VALUE"""),4000)</f>
        <v>4000</v>
      </c>
      <c r="G842" s="50" t="str">
        <f ca="1">IFERROR(__xludf.DUMMYFUNCTION("""COMPUTED_VALUE"""),"Zela")</f>
        <v>Zela</v>
      </c>
      <c r="H842" s="51">
        <f t="shared" ca="1" si="0"/>
        <v>46143</v>
      </c>
      <c r="I842" s="52" t="e">
        <f ca="1">SUMIFS(OUT!$F$2:$F$11000,OUT!$H$2:$H$11000,H842,OUT!$D$2:$D$101007,"In")</f>
        <v>#VALUE!</v>
      </c>
      <c r="J842" s="52">
        <f ca="1">SUMIFS(OUT!$F$2:$F$11000,OUT!$H$2:$H$11000,H842,OUT!$D$2:$D$11000,"Out")</f>
        <v>9490497</v>
      </c>
      <c r="K842" s="52">
        <f ca="1">SUMIFS(OUT!$F$2:$F$11000,OUT!$H$2:$H$11000,H842,OUT!$D$2:$D$11000,"Out",OUT!$E$2:$E$11000,"Fix")</f>
        <v>2703418</v>
      </c>
      <c r="L842" s="52">
        <f ca="1">SUMIFS(OUT!$F$2:$F$11000,OUT!$H$2:$H$11000,H842,OUT!$D$2:$D$11000,"Out",OUT!$E$2:$E$11000,"Bathroom")</f>
        <v>13000</v>
      </c>
      <c r="M842" s="52">
        <f ca="1">SUMIFS(OUT!$F$2:$F$11000,OUT!$H$2:$H$11000,H842,OUT!$D$2:$D$11000,"Out",OUT!$E$2:$E$11000,"Alfa")</f>
        <v>326872</v>
      </c>
      <c r="N842" s="52" t="e">
        <f ca="1">SUMIFS(OUT!$F$2:$F$11000,OUT!$H$2:$H$101007,H842,OUT!$D$2:$D$11000,"Out",OUT!$E$2:$E$11000,"Jajan")</f>
        <v>#VALUE!</v>
      </c>
      <c r="O842" s="52">
        <f ca="1">SUMIFS(OUT!$F$2:$F$11000,OUT!$H$2:$H$11000,H842,OUT!$D$2:$D$11000,"Out",OUT!$E$2:$E$11000,"Kitchen")</f>
        <v>902100</v>
      </c>
      <c r="P842" s="52">
        <f ca="1">SUMIFS(OUT!$F$2:$F$11000,OUT!$H$2:$H$11000,H842,OUT!$D$2:$D$11000,"Out",OUT!$E$2:$E$11000,"Loandry")</f>
        <v>42900</v>
      </c>
      <c r="Q842" s="52">
        <f ca="1">SUMIFS(OUT!$F$2:$F$11000,OUT!$H$2:$H$11000,H842,OUT!$D$2:$D$11000,"Out",OUT!$E$2:$E$11000,"Mio")</f>
        <v>732000</v>
      </c>
      <c r="R842" s="52">
        <f ca="1">SUMIFS(OUT!$F$2:$F$11000,OUT!$H$2:$H$11000,H842,OUT!$D$2:$D$11000,"Out",OUT!$E$2:$E$11000,"Sedekah")</f>
        <v>0</v>
      </c>
      <c r="S842" s="52">
        <f ca="1">SUMIFS(OUT!$F$2:$F$11000,OUT!$H$2:$H$11000,H842,OUT!$D$2:$D$11000,"Out",OUT!$E$2:$E$11000,"Zela")</f>
        <v>47011</v>
      </c>
      <c r="T842" s="52">
        <f ca="1">SUMIFS(OUT!$F$2:$F$11000,OUT!$H$2:$H$11000,H842,OUT!$D$2:$D$11000,"Out",OUT!$E$2:$E$11000,"Iqbal")</f>
        <v>251000</v>
      </c>
    </row>
    <row r="843" spans="1:20" x14ac:dyDescent="0.2">
      <c r="A843" s="48">
        <f ca="1">IFERROR(__xludf.DUMMYFUNCTION("""COMPUTED_VALUE"""),46162)</f>
        <v>46162</v>
      </c>
      <c r="B843" s="4" t="str">
        <f ca="1">IFERROR(__xludf.DUMMYFUNCTION("""COMPUTED_VALUE"""),"Bensin Motor ")</f>
        <v xml:space="preserve">Bensin Motor </v>
      </c>
      <c r="C843" s="4" t="str">
        <f ca="1">IFERROR(__xludf.DUMMYFUNCTION("""COMPUTED_VALUE"""),"Cash")</f>
        <v>Cash</v>
      </c>
      <c r="D843" s="4" t="str">
        <f ca="1">IFERROR(__xludf.DUMMYFUNCTION("""COMPUTED_VALUE"""),"Out")</f>
        <v>Out</v>
      </c>
      <c r="E843" s="4" t="str">
        <f ca="1">IFERROR(__xludf.DUMMYFUNCTION("""COMPUTED_VALUE"""),"Mio")</f>
        <v>Mio</v>
      </c>
      <c r="F843" s="49">
        <f ca="1">IFERROR(__xludf.DUMMYFUNCTION("""COMPUTED_VALUE"""),25000)</f>
        <v>25000</v>
      </c>
      <c r="G843" s="50" t="str">
        <f ca="1">IFERROR(__xludf.DUMMYFUNCTION("""COMPUTED_VALUE"""),"Zela")</f>
        <v>Zela</v>
      </c>
      <c r="H843" s="51">
        <f t="shared" ca="1" si="0"/>
        <v>46143</v>
      </c>
      <c r="I843" s="52" t="e">
        <f ca="1">SUMIFS(OUT!$F$2:$F$11000,OUT!$H$2:$H$11000,H843,OUT!$D$2:$D$101007,"In")</f>
        <v>#VALUE!</v>
      </c>
      <c r="J843" s="52">
        <f ca="1">SUMIFS(OUT!$F$2:$F$11000,OUT!$H$2:$H$11000,H843,OUT!$D$2:$D$11000,"Out")</f>
        <v>9490497</v>
      </c>
      <c r="K843" s="52">
        <f ca="1">SUMIFS(OUT!$F$2:$F$11000,OUT!$H$2:$H$11000,H843,OUT!$D$2:$D$11000,"Out",OUT!$E$2:$E$11000,"Fix")</f>
        <v>2703418</v>
      </c>
      <c r="L843" s="52">
        <f ca="1">SUMIFS(OUT!$F$2:$F$11000,OUT!$H$2:$H$11000,H843,OUT!$D$2:$D$11000,"Out",OUT!$E$2:$E$11000,"Bathroom")</f>
        <v>13000</v>
      </c>
      <c r="M843" s="52">
        <f ca="1">SUMIFS(OUT!$F$2:$F$11000,OUT!$H$2:$H$11000,H843,OUT!$D$2:$D$11000,"Out",OUT!$E$2:$E$11000,"Alfa")</f>
        <v>326872</v>
      </c>
      <c r="N843" s="52" t="e">
        <f ca="1">SUMIFS(OUT!$F$2:$F$11000,OUT!$H$2:$H$101007,H843,OUT!$D$2:$D$11000,"Out",OUT!$E$2:$E$11000,"Jajan")</f>
        <v>#VALUE!</v>
      </c>
      <c r="O843" s="52">
        <f ca="1">SUMIFS(OUT!$F$2:$F$11000,OUT!$H$2:$H$11000,H843,OUT!$D$2:$D$11000,"Out",OUT!$E$2:$E$11000,"Kitchen")</f>
        <v>902100</v>
      </c>
      <c r="P843" s="52">
        <f ca="1">SUMIFS(OUT!$F$2:$F$11000,OUT!$H$2:$H$11000,H843,OUT!$D$2:$D$11000,"Out",OUT!$E$2:$E$11000,"Loandry")</f>
        <v>42900</v>
      </c>
      <c r="Q843" s="52">
        <f ca="1">SUMIFS(OUT!$F$2:$F$11000,OUT!$H$2:$H$11000,H843,OUT!$D$2:$D$11000,"Out",OUT!$E$2:$E$11000,"Mio")</f>
        <v>732000</v>
      </c>
      <c r="R843" s="52">
        <f ca="1">SUMIFS(OUT!$F$2:$F$11000,OUT!$H$2:$H$11000,H843,OUT!$D$2:$D$11000,"Out",OUT!$E$2:$E$11000,"Sedekah")</f>
        <v>0</v>
      </c>
      <c r="S843" s="52">
        <f ca="1">SUMIFS(OUT!$F$2:$F$11000,OUT!$H$2:$H$11000,H843,OUT!$D$2:$D$11000,"Out",OUT!$E$2:$E$11000,"Zela")</f>
        <v>47011</v>
      </c>
      <c r="T843" s="52">
        <f ca="1">SUMIFS(OUT!$F$2:$F$11000,OUT!$H$2:$H$11000,H843,OUT!$D$2:$D$11000,"Out",OUT!$E$2:$E$11000,"Iqbal")</f>
        <v>251000</v>
      </c>
    </row>
    <row r="844" spans="1:20" x14ac:dyDescent="0.2">
      <c r="A844" s="48">
        <f ca="1">IFERROR(__xludf.DUMMYFUNCTION("""COMPUTED_VALUE"""),46162)</f>
        <v>46162</v>
      </c>
      <c r="B844" s="4" t="str">
        <f ca="1">IFERROR(__xludf.DUMMYFUNCTION("""COMPUTED_VALUE"""),"rokok")</f>
        <v>rokok</v>
      </c>
      <c r="C844" s="4" t="str">
        <f ca="1">IFERROR(__xludf.DUMMYFUNCTION("""COMPUTED_VALUE"""),"Cash")</f>
        <v>Cash</v>
      </c>
      <c r="D844" s="4" t="str">
        <f ca="1">IFERROR(__xludf.DUMMYFUNCTION("""COMPUTED_VALUE"""),"Out")</f>
        <v>Out</v>
      </c>
      <c r="E844" s="4" t="str">
        <f ca="1">IFERROR(__xludf.DUMMYFUNCTION("""COMPUTED_VALUE"""),"Iqbal")</f>
        <v>Iqbal</v>
      </c>
      <c r="F844" s="49">
        <f ca="1">IFERROR(__xludf.DUMMYFUNCTION("""COMPUTED_VALUE"""),16000)</f>
        <v>16000</v>
      </c>
      <c r="G844" s="50" t="str">
        <f ca="1">IFERROR(__xludf.DUMMYFUNCTION("""COMPUTED_VALUE"""),"Zela")</f>
        <v>Zela</v>
      </c>
      <c r="H844" s="51">
        <f t="shared" ca="1" si="0"/>
        <v>46143</v>
      </c>
      <c r="I844" s="52" t="e">
        <f ca="1">SUMIFS(OUT!$F$2:$F$11000,OUT!$H$2:$H$11000,H844,OUT!$D$2:$D$101007,"In")</f>
        <v>#VALUE!</v>
      </c>
      <c r="J844" s="52">
        <f ca="1">SUMIFS(OUT!$F$2:$F$11000,OUT!$H$2:$H$11000,H844,OUT!$D$2:$D$11000,"Out")</f>
        <v>9490497</v>
      </c>
      <c r="K844" s="52">
        <f ca="1">SUMIFS(OUT!$F$2:$F$11000,OUT!$H$2:$H$11000,H844,OUT!$D$2:$D$11000,"Out",OUT!$E$2:$E$11000,"Fix")</f>
        <v>2703418</v>
      </c>
      <c r="L844" s="52">
        <f ca="1">SUMIFS(OUT!$F$2:$F$11000,OUT!$H$2:$H$11000,H844,OUT!$D$2:$D$11000,"Out",OUT!$E$2:$E$11000,"Bathroom")</f>
        <v>13000</v>
      </c>
      <c r="M844" s="52">
        <f ca="1">SUMIFS(OUT!$F$2:$F$11000,OUT!$H$2:$H$11000,H844,OUT!$D$2:$D$11000,"Out",OUT!$E$2:$E$11000,"Alfa")</f>
        <v>326872</v>
      </c>
      <c r="N844" s="52" t="e">
        <f ca="1">SUMIFS(OUT!$F$2:$F$11000,OUT!$H$2:$H$101007,H844,OUT!$D$2:$D$11000,"Out",OUT!$E$2:$E$11000,"Jajan")</f>
        <v>#VALUE!</v>
      </c>
      <c r="O844" s="52">
        <f ca="1">SUMIFS(OUT!$F$2:$F$11000,OUT!$H$2:$H$11000,H844,OUT!$D$2:$D$11000,"Out",OUT!$E$2:$E$11000,"Kitchen")</f>
        <v>902100</v>
      </c>
      <c r="P844" s="52">
        <f ca="1">SUMIFS(OUT!$F$2:$F$11000,OUT!$H$2:$H$11000,H844,OUT!$D$2:$D$11000,"Out",OUT!$E$2:$E$11000,"Loandry")</f>
        <v>42900</v>
      </c>
      <c r="Q844" s="52">
        <f ca="1">SUMIFS(OUT!$F$2:$F$11000,OUT!$H$2:$H$11000,H844,OUT!$D$2:$D$11000,"Out",OUT!$E$2:$E$11000,"Mio")</f>
        <v>732000</v>
      </c>
      <c r="R844" s="52">
        <f ca="1">SUMIFS(OUT!$F$2:$F$11000,OUT!$H$2:$H$11000,H844,OUT!$D$2:$D$11000,"Out",OUT!$E$2:$E$11000,"Sedekah")</f>
        <v>0</v>
      </c>
      <c r="S844" s="52">
        <f ca="1">SUMIFS(OUT!$F$2:$F$11000,OUT!$H$2:$H$11000,H844,OUT!$D$2:$D$11000,"Out",OUT!$E$2:$E$11000,"Zela")</f>
        <v>47011</v>
      </c>
      <c r="T844" s="52">
        <f ca="1">SUMIFS(OUT!$F$2:$F$11000,OUT!$H$2:$H$11000,H844,OUT!$D$2:$D$11000,"Out",OUT!$E$2:$E$11000,"Iqbal")</f>
        <v>251000</v>
      </c>
    </row>
    <row r="845" spans="1:20" x14ac:dyDescent="0.2">
      <c r="A845" s="48">
        <f ca="1">IFERROR(__xludf.DUMMYFUNCTION("""COMPUTED_VALUE"""),46162)</f>
        <v>46162</v>
      </c>
      <c r="B845" s="4" t="str">
        <f ca="1">IFERROR(__xludf.DUMMYFUNCTION("""COMPUTED_VALUE"""),"Dikasih ""Alfa """)</f>
        <v>Dikasih "Alfa "</v>
      </c>
      <c r="C845" s="4" t="str">
        <f ca="1">IFERROR(__xludf.DUMMYFUNCTION("""COMPUTED_VALUE"""),"Cash")</f>
        <v>Cash</v>
      </c>
      <c r="D845" s="4" t="str">
        <f ca="1">IFERROR(__xludf.DUMMYFUNCTION("""COMPUTED_VALUE"""),"In")</f>
        <v>In</v>
      </c>
      <c r="E845" s="4" t="str">
        <f ca="1">IFERROR(__xludf.DUMMYFUNCTION("""COMPUTED_VALUE"""),"Alfa")</f>
        <v>Alfa</v>
      </c>
      <c r="F845" s="49">
        <f ca="1">IFERROR(__xludf.DUMMYFUNCTION("""COMPUTED_VALUE"""),50000)</f>
        <v>50000</v>
      </c>
      <c r="G845" s="50" t="str">
        <f ca="1">IFERROR(__xludf.DUMMYFUNCTION("""COMPUTED_VALUE"""),"Zela")</f>
        <v>Zela</v>
      </c>
      <c r="H845" s="51">
        <f t="shared" ca="1" si="0"/>
        <v>46143</v>
      </c>
      <c r="I845" s="52" t="e">
        <f ca="1">SUMIFS(OUT!$F$2:$F$11000,OUT!$H$2:$H$11000,H845,OUT!$D$2:$D$101007,"In")</f>
        <v>#VALUE!</v>
      </c>
      <c r="J845" s="52">
        <f ca="1">SUMIFS(OUT!$F$2:$F$11000,OUT!$H$2:$H$11000,H845,OUT!$D$2:$D$11000,"Out")</f>
        <v>9490497</v>
      </c>
      <c r="K845" s="52">
        <f ca="1">SUMIFS(OUT!$F$2:$F$11000,OUT!$H$2:$H$11000,H845,OUT!$D$2:$D$11000,"Out",OUT!$E$2:$E$11000,"Fix")</f>
        <v>2703418</v>
      </c>
      <c r="L845" s="52">
        <f ca="1">SUMIFS(OUT!$F$2:$F$11000,OUT!$H$2:$H$11000,H845,OUT!$D$2:$D$11000,"Out",OUT!$E$2:$E$11000,"Bathroom")</f>
        <v>13000</v>
      </c>
      <c r="M845" s="52">
        <f ca="1">SUMIFS(OUT!$F$2:$F$11000,OUT!$H$2:$H$11000,H845,OUT!$D$2:$D$11000,"Out",OUT!$E$2:$E$11000,"Alfa")</f>
        <v>326872</v>
      </c>
      <c r="N845" s="52" t="e">
        <f ca="1">SUMIFS(OUT!$F$2:$F$11000,OUT!$H$2:$H$101007,H845,OUT!$D$2:$D$11000,"Out",OUT!$E$2:$E$11000,"Jajan")</f>
        <v>#VALUE!</v>
      </c>
      <c r="O845" s="52">
        <f ca="1">SUMIFS(OUT!$F$2:$F$11000,OUT!$H$2:$H$11000,H845,OUT!$D$2:$D$11000,"Out",OUT!$E$2:$E$11000,"Kitchen")</f>
        <v>902100</v>
      </c>
      <c r="P845" s="52">
        <f ca="1">SUMIFS(OUT!$F$2:$F$11000,OUT!$H$2:$H$11000,H845,OUT!$D$2:$D$11000,"Out",OUT!$E$2:$E$11000,"Loandry")</f>
        <v>42900</v>
      </c>
      <c r="Q845" s="52">
        <f ca="1">SUMIFS(OUT!$F$2:$F$11000,OUT!$H$2:$H$11000,H845,OUT!$D$2:$D$11000,"Out",OUT!$E$2:$E$11000,"Mio")</f>
        <v>732000</v>
      </c>
      <c r="R845" s="52">
        <f ca="1">SUMIFS(OUT!$F$2:$F$11000,OUT!$H$2:$H$11000,H845,OUT!$D$2:$D$11000,"Out",OUT!$E$2:$E$11000,"Sedekah")</f>
        <v>0</v>
      </c>
      <c r="S845" s="52">
        <f ca="1">SUMIFS(OUT!$F$2:$F$11000,OUT!$H$2:$H$11000,H845,OUT!$D$2:$D$11000,"Out",OUT!$E$2:$E$11000,"Zela")</f>
        <v>47011</v>
      </c>
      <c r="T845" s="52">
        <f ca="1">SUMIFS(OUT!$F$2:$F$11000,OUT!$H$2:$H$11000,H845,OUT!$D$2:$D$11000,"Out",OUT!$E$2:$E$11000,"Iqbal")</f>
        <v>251000</v>
      </c>
    </row>
    <row r="846" spans="1:20" x14ac:dyDescent="0.2">
      <c r="A846" s="48">
        <f ca="1">IFERROR(__xludf.DUMMYFUNCTION("""COMPUTED_VALUE"""),46162)</f>
        <v>46162</v>
      </c>
      <c r="B846" s="4" t="str">
        <f ca="1">IFERROR(__xludf.DUMMYFUNCTION("""COMPUTED_VALUE"""),"jajan Alfamart yogurt+roti")</f>
        <v>jajan Alfamart yogurt+roti</v>
      </c>
      <c r="C846" s="4" t="str">
        <f ca="1">IFERROR(__xludf.DUMMYFUNCTION("""COMPUTED_VALUE"""),"Cash")</f>
        <v>Cash</v>
      </c>
      <c r="D846" s="4" t="str">
        <f ca="1">IFERROR(__xludf.DUMMYFUNCTION("""COMPUTED_VALUE"""),"Out")</f>
        <v>Out</v>
      </c>
      <c r="E846" s="4" t="str">
        <f ca="1">IFERROR(__xludf.DUMMYFUNCTION("""COMPUTED_VALUE"""),"Jajan")</f>
        <v>Jajan</v>
      </c>
      <c r="F846" s="49">
        <f ca="1">IFERROR(__xludf.DUMMYFUNCTION("""COMPUTED_VALUE"""),16000)</f>
        <v>16000</v>
      </c>
      <c r="G846" s="50" t="str">
        <f ca="1">IFERROR(__xludf.DUMMYFUNCTION("""COMPUTED_VALUE"""),"Zela")</f>
        <v>Zela</v>
      </c>
      <c r="H846" s="51">
        <f t="shared" ca="1" si="0"/>
        <v>46143</v>
      </c>
      <c r="I846" s="52" t="e">
        <f ca="1">SUMIFS(OUT!$F$2:$F$11000,OUT!$H$2:$H$11000,H846,OUT!$D$2:$D$101007,"In")</f>
        <v>#VALUE!</v>
      </c>
      <c r="J846" s="52">
        <f ca="1">SUMIFS(OUT!$F$2:$F$11000,OUT!$H$2:$H$11000,H846,OUT!$D$2:$D$11000,"Out")</f>
        <v>9490497</v>
      </c>
      <c r="K846" s="52">
        <f ca="1">SUMIFS(OUT!$F$2:$F$11000,OUT!$H$2:$H$11000,H846,OUT!$D$2:$D$11000,"Out",OUT!$E$2:$E$11000,"Fix")</f>
        <v>2703418</v>
      </c>
      <c r="L846" s="52">
        <f ca="1">SUMIFS(OUT!$F$2:$F$11000,OUT!$H$2:$H$11000,H846,OUT!$D$2:$D$11000,"Out",OUT!$E$2:$E$11000,"Bathroom")</f>
        <v>13000</v>
      </c>
      <c r="M846" s="52">
        <f ca="1">SUMIFS(OUT!$F$2:$F$11000,OUT!$H$2:$H$11000,H846,OUT!$D$2:$D$11000,"Out",OUT!$E$2:$E$11000,"Alfa")</f>
        <v>326872</v>
      </c>
      <c r="N846" s="52" t="e">
        <f ca="1">SUMIFS(OUT!$F$2:$F$11000,OUT!$H$2:$H$101007,H846,OUT!$D$2:$D$11000,"Out",OUT!$E$2:$E$11000,"Jajan")</f>
        <v>#VALUE!</v>
      </c>
      <c r="O846" s="52">
        <f ca="1">SUMIFS(OUT!$F$2:$F$11000,OUT!$H$2:$H$11000,H846,OUT!$D$2:$D$11000,"Out",OUT!$E$2:$E$11000,"Kitchen")</f>
        <v>902100</v>
      </c>
      <c r="P846" s="52">
        <f ca="1">SUMIFS(OUT!$F$2:$F$11000,OUT!$H$2:$H$11000,H846,OUT!$D$2:$D$11000,"Out",OUT!$E$2:$E$11000,"Loandry")</f>
        <v>42900</v>
      </c>
      <c r="Q846" s="52">
        <f ca="1">SUMIFS(OUT!$F$2:$F$11000,OUT!$H$2:$H$11000,H846,OUT!$D$2:$D$11000,"Out",OUT!$E$2:$E$11000,"Mio")</f>
        <v>732000</v>
      </c>
      <c r="R846" s="52">
        <f ca="1">SUMIFS(OUT!$F$2:$F$11000,OUT!$H$2:$H$11000,H846,OUT!$D$2:$D$11000,"Out",OUT!$E$2:$E$11000,"Sedekah")</f>
        <v>0</v>
      </c>
      <c r="S846" s="52">
        <f ca="1">SUMIFS(OUT!$F$2:$F$11000,OUT!$H$2:$H$11000,H846,OUT!$D$2:$D$11000,"Out",OUT!$E$2:$E$11000,"Zela")</f>
        <v>47011</v>
      </c>
      <c r="T846" s="52">
        <f ca="1">SUMIFS(OUT!$F$2:$F$11000,OUT!$H$2:$H$11000,H846,OUT!$D$2:$D$11000,"Out",OUT!$E$2:$E$11000,"Iqbal")</f>
        <v>251000</v>
      </c>
    </row>
    <row r="847" spans="1:20" x14ac:dyDescent="0.2">
      <c r="A847" s="48">
        <f ca="1">IFERROR(__xludf.DUMMYFUNCTION("""COMPUTED_VALUE"""),46163)</f>
        <v>46163</v>
      </c>
      <c r="B847" s="4" t="str">
        <f ca="1">IFERROR(__xludf.DUMMYFUNCTION("""COMPUTED_VALUE"""),"detergen ")</f>
        <v xml:space="preserve">detergen </v>
      </c>
      <c r="C847" s="4" t="str">
        <f ca="1">IFERROR(__xludf.DUMMYFUNCTION("""COMPUTED_VALUE"""),"Cash")</f>
        <v>Cash</v>
      </c>
      <c r="D847" s="4" t="str">
        <f ca="1">IFERROR(__xludf.DUMMYFUNCTION("""COMPUTED_VALUE"""),"Out")</f>
        <v>Out</v>
      </c>
      <c r="E847" s="4" t="str">
        <f ca="1">IFERROR(__xludf.DUMMYFUNCTION("""COMPUTED_VALUE"""),"Loandry")</f>
        <v>Loandry</v>
      </c>
      <c r="F847" s="49">
        <f ca="1">IFERROR(__xludf.DUMMYFUNCTION("""COMPUTED_VALUE"""),11000)</f>
        <v>11000</v>
      </c>
      <c r="G847" s="50" t="str">
        <f ca="1">IFERROR(__xludf.DUMMYFUNCTION("""COMPUTED_VALUE"""),"Zela")</f>
        <v>Zela</v>
      </c>
      <c r="H847" s="51">
        <f t="shared" ca="1" si="0"/>
        <v>46143</v>
      </c>
      <c r="I847" s="52" t="e">
        <f ca="1">SUMIFS(OUT!$F$2:$F$11000,OUT!$H$2:$H$11000,H847,OUT!$D$2:$D$101007,"In")</f>
        <v>#VALUE!</v>
      </c>
      <c r="J847" s="52">
        <f ca="1">SUMIFS(OUT!$F$2:$F$11000,OUT!$H$2:$H$11000,H847,OUT!$D$2:$D$11000,"Out")</f>
        <v>9490497</v>
      </c>
      <c r="K847" s="52">
        <f ca="1">SUMIFS(OUT!$F$2:$F$11000,OUT!$H$2:$H$11000,H847,OUT!$D$2:$D$11000,"Out",OUT!$E$2:$E$11000,"Fix")</f>
        <v>2703418</v>
      </c>
      <c r="L847" s="52">
        <f ca="1">SUMIFS(OUT!$F$2:$F$11000,OUT!$H$2:$H$11000,H847,OUT!$D$2:$D$11000,"Out",OUT!$E$2:$E$11000,"Bathroom")</f>
        <v>13000</v>
      </c>
      <c r="M847" s="52">
        <f ca="1">SUMIFS(OUT!$F$2:$F$11000,OUT!$H$2:$H$11000,H847,OUT!$D$2:$D$11000,"Out",OUT!$E$2:$E$11000,"Alfa")</f>
        <v>326872</v>
      </c>
      <c r="N847" s="52" t="e">
        <f ca="1">SUMIFS(OUT!$F$2:$F$11000,OUT!$H$2:$H$101007,H847,OUT!$D$2:$D$11000,"Out",OUT!$E$2:$E$11000,"Jajan")</f>
        <v>#VALUE!</v>
      </c>
      <c r="O847" s="52">
        <f ca="1">SUMIFS(OUT!$F$2:$F$11000,OUT!$H$2:$H$11000,H847,OUT!$D$2:$D$11000,"Out",OUT!$E$2:$E$11000,"Kitchen")</f>
        <v>902100</v>
      </c>
      <c r="P847" s="52">
        <f ca="1">SUMIFS(OUT!$F$2:$F$11000,OUT!$H$2:$H$11000,H847,OUT!$D$2:$D$11000,"Out",OUT!$E$2:$E$11000,"Loandry")</f>
        <v>42900</v>
      </c>
      <c r="Q847" s="52">
        <f ca="1">SUMIFS(OUT!$F$2:$F$11000,OUT!$H$2:$H$11000,H847,OUT!$D$2:$D$11000,"Out",OUT!$E$2:$E$11000,"Mio")</f>
        <v>732000</v>
      </c>
      <c r="R847" s="52">
        <f ca="1">SUMIFS(OUT!$F$2:$F$11000,OUT!$H$2:$H$11000,H847,OUT!$D$2:$D$11000,"Out",OUT!$E$2:$E$11000,"Sedekah")</f>
        <v>0</v>
      </c>
      <c r="S847" s="52">
        <f ca="1">SUMIFS(OUT!$F$2:$F$11000,OUT!$H$2:$H$11000,H847,OUT!$D$2:$D$11000,"Out",OUT!$E$2:$E$11000,"Zela")</f>
        <v>47011</v>
      </c>
      <c r="T847" s="52">
        <f ca="1">SUMIFS(OUT!$F$2:$F$11000,OUT!$H$2:$H$11000,H847,OUT!$D$2:$D$11000,"Out",OUT!$E$2:$E$11000,"Iqbal")</f>
        <v>251000</v>
      </c>
    </row>
    <row r="848" spans="1:20" x14ac:dyDescent="0.2">
      <c r="A848" s="48">
        <f ca="1">IFERROR(__xludf.DUMMYFUNCTION("""COMPUTED_VALUE"""),46164)</f>
        <v>46164</v>
      </c>
      <c r="B848" s="4" t="str">
        <f ca="1">IFERROR(__xludf.DUMMYFUNCTION("""COMPUTED_VALUE"""),"Jajan Alfa mbg")</f>
        <v>Jajan Alfa mbg</v>
      </c>
      <c r="C848" s="4" t="str">
        <f ca="1">IFERROR(__xludf.DUMMYFUNCTION("""COMPUTED_VALUE"""),"Cash")</f>
        <v>Cash</v>
      </c>
      <c r="D848" s="4" t="str">
        <f ca="1">IFERROR(__xludf.DUMMYFUNCTION("""COMPUTED_VALUE"""),"Out")</f>
        <v>Out</v>
      </c>
      <c r="E848" s="4" t="str">
        <f ca="1">IFERROR(__xludf.DUMMYFUNCTION("""COMPUTED_VALUE"""),"Jajan")</f>
        <v>Jajan</v>
      </c>
      <c r="F848" s="49">
        <f ca="1">IFERROR(__xludf.DUMMYFUNCTION("""COMPUTED_VALUE"""),5000)</f>
        <v>5000</v>
      </c>
      <c r="G848" s="50" t="str">
        <f ca="1">IFERROR(__xludf.DUMMYFUNCTION("""COMPUTED_VALUE"""),"Zela")</f>
        <v>Zela</v>
      </c>
      <c r="H848" s="51">
        <f t="shared" ca="1" si="0"/>
        <v>46143</v>
      </c>
      <c r="I848" s="52" t="e">
        <f ca="1">SUMIFS(OUT!$F$2:$F$11000,OUT!$H$2:$H$11000,H848,OUT!$D$2:$D$101007,"In")</f>
        <v>#VALUE!</v>
      </c>
      <c r="J848" s="52">
        <f ca="1">SUMIFS(OUT!$F$2:$F$11000,OUT!$H$2:$H$11000,H848,OUT!$D$2:$D$11000,"Out")</f>
        <v>9490497</v>
      </c>
      <c r="K848" s="52">
        <f ca="1">SUMIFS(OUT!$F$2:$F$11000,OUT!$H$2:$H$11000,H848,OUT!$D$2:$D$11000,"Out",OUT!$E$2:$E$11000,"Fix")</f>
        <v>2703418</v>
      </c>
      <c r="L848" s="52">
        <f ca="1">SUMIFS(OUT!$F$2:$F$11000,OUT!$H$2:$H$11000,H848,OUT!$D$2:$D$11000,"Out",OUT!$E$2:$E$11000,"Bathroom")</f>
        <v>13000</v>
      </c>
      <c r="M848" s="52">
        <f ca="1">SUMIFS(OUT!$F$2:$F$11000,OUT!$H$2:$H$11000,H848,OUT!$D$2:$D$11000,"Out",OUT!$E$2:$E$11000,"Alfa")</f>
        <v>326872</v>
      </c>
      <c r="N848" s="52" t="e">
        <f ca="1">SUMIFS(OUT!$F$2:$F$11000,OUT!$H$2:$H$101007,H848,OUT!$D$2:$D$11000,"Out",OUT!$E$2:$E$11000,"Jajan")</f>
        <v>#VALUE!</v>
      </c>
      <c r="O848" s="52">
        <f ca="1">SUMIFS(OUT!$F$2:$F$11000,OUT!$H$2:$H$11000,H848,OUT!$D$2:$D$11000,"Out",OUT!$E$2:$E$11000,"Kitchen")</f>
        <v>902100</v>
      </c>
      <c r="P848" s="52">
        <f ca="1">SUMIFS(OUT!$F$2:$F$11000,OUT!$H$2:$H$11000,H848,OUT!$D$2:$D$11000,"Out",OUT!$E$2:$E$11000,"Loandry")</f>
        <v>42900</v>
      </c>
      <c r="Q848" s="52">
        <f ca="1">SUMIFS(OUT!$F$2:$F$11000,OUT!$H$2:$H$11000,H848,OUT!$D$2:$D$11000,"Out",OUT!$E$2:$E$11000,"Mio")</f>
        <v>732000</v>
      </c>
      <c r="R848" s="52">
        <f ca="1">SUMIFS(OUT!$F$2:$F$11000,OUT!$H$2:$H$11000,H848,OUT!$D$2:$D$11000,"Out",OUT!$E$2:$E$11000,"Sedekah")</f>
        <v>0</v>
      </c>
      <c r="S848" s="52">
        <f ca="1">SUMIFS(OUT!$F$2:$F$11000,OUT!$H$2:$H$11000,H848,OUT!$D$2:$D$11000,"Out",OUT!$E$2:$E$11000,"Zela")</f>
        <v>47011</v>
      </c>
      <c r="T848" s="52">
        <f ca="1">SUMIFS(OUT!$F$2:$F$11000,OUT!$H$2:$H$11000,H848,OUT!$D$2:$D$11000,"Out",OUT!$E$2:$E$11000,"Iqbal")</f>
        <v>251000</v>
      </c>
    </row>
    <row r="849" spans="1:20" x14ac:dyDescent="0.2">
      <c r="A849" s="48">
        <f ca="1">IFERROR(__xludf.DUMMYFUNCTION("""COMPUTED_VALUE"""),46163)</f>
        <v>46163</v>
      </c>
      <c r="B849" s="4" t="str">
        <f ca="1">IFERROR(__xludf.DUMMYFUNCTION("""COMPUTED_VALUE"""),"roti bakar ")</f>
        <v xml:space="preserve">roti bakar </v>
      </c>
      <c r="C849" s="4" t="str">
        <f ca="1">IFERROR(__xludf.DUMMYFUNCTION("""COMPUTED_VALUE"""),"Cash")</f>
        <v>Cash</v>
      </c>
      <c r="D849" s="4" t="str">
        <f ca="1">IFERROR(__xludf.DUMMYFUNCTION("""COMPUTED_VALUE"""),"Out")</f>
        <v>Out</v>
      </c>
      <c r="E849" s="4" t="str">
        <f ca="1">IFERROR(__xludf.DUMMYFUNCTION("""COMPUTED_VALUE"""),"Jajan")</f>
        <v>Jajan</v>
      </c>
      <c r="F849" s="49">
        <f ca="1">IFERROR(__xludf.DUMMYFUNCTION("""COMPUTED_VALUE"""),19000)</f>
        <v>19000</v>
      </c>
      <c r="G849" s="50" t="str">
        <f ca="1">IFERROR(__xludf.DUMMYFUNCTION("""COMPUTED_VALUE"""),"Zela")</f>
        <v>Zela</v>
      </c>
      <c r="H849" s="51">
        <f t="shared" ca="1" si="0"/>
        <v>46143</v>
      </c>
      <c r="I849" s="52" t="e">
        <f ca="1">SUMIFS(OUT!$F$2:$F$11000,OUT!$H$2:$H$11000,H849,OUT!$D$2:$D$101007,"In")</f>
        <v>#VALUE!</v>
      </c>
      <c r="J849" s="52">
        <f ca="1">SUMIFS(OUT!$F$2:$F$11000,OUT!$H$2:$H$11000,H849,OUT!$D$2:$D$11000,"Out")</f>
        <v>9490497</v>
      </c>
      <c r="K849" s="52">
        <f ca="1">SUMIFS(OUT!$F$2:$F$11000,OUT!$H$2:$H$11000,H849,OUT!$D$2:$D$11000,"Out",OUT!$E$2:$E$11000,"Fix")</f>
        <v>2703418</v>
      </c>
      <c r="L849" s="52">
        <f ca="1">SUMIFS(OUT!$F$2:$F$11000,OUT!$H$2:$H$11000,H849,OUT!$D$2:$D$11000,"Out",OUT!$E$2:$E$11000,"Bathroom")</f>
        <v>13000</v>
      </c>
      <c r="M849" s="52">
        <f ca="1">SUMIFS(OUT!$F$2:$F$11000,OUT!$H$2:$H$11000,H849,OUT!$D$2:$D$11000,"Out",OUT!$E$2:$E$11000,"Alfa")</f>
        <v>326872</v>
      </c>
      <c r="N849" s="52" t="e">
        <f ca="1">SUMIFS(OUT!$F$2:$F$11000,OUT!$H$2:$H$101007,H849,OUT!$D$2:$D$11000,"Out",OUT!$E$2:$E$11000,"Jajan")</f>
        <v>#VALUE!</v>
      </c>
      <c r="O849" s="52">
        <f ca="1">SUMIFS(OUT!$F$2:$F$11000,OUT!$H$2:$H$11000,H849,OUT!$D$2:$D$11000,"Out",OUT!$E$2:$E$11000,"Kitchen")</f>
        <v>902100</v>
      </c>
      <c r="P849" s="52">
        <f ca="1">SUMIFS(OUT!$F$2:$F$11000,OUT!$H$2:$H$11000,H849,OUT!$D$2:$D$11000,"Out",OUT!$E$2:$E$11000,"Loandry")</f>
        <v>42900</v>
      </c>
      <c r="Q849" s="52">
        <f ca="1">SUMIFS(OUT!$F$2:$F$11000,OUT!$H$2:$H$11000,H849,OUT!$D$2:$D$11000,"Out",OUT!$E$2:$E$11000,"Mio")</f>
        <v>732000</v>
      </c>
      <c r="R849" s="52">
        <f ca="1">SUMIFS(OUT!$F$2:$F$11000,OUT!$H$2:$H$11000,H849,OUT!$D$2:$D$11000,"Out",OUT!$E$2:$E$11000,"Sedekah")</f>
        <v>0</v>
      </c>
      <c r="S849" s="52">
        <f ca="1">SUMIFS(OUT!$F$2:$F$11000,OUT!$H$2:$H$11000,H849,OUT!$D$2:$D$11000,"Out",OUT!$E$2:$E$11000,"Zela")</f>
        <v>47011</v>
      </c>
      <c r="T849" s="52">
        <f ca="1">SUMIFS(OUT!$F$2:$F$11000,OUT!$H$2:$H$11000,H849,OUT!$D$2:$D$11000,"Out",OUT!$E$2:$E$11000,"Iqbal")</f>
        <v>251000</v>
      </c>
    </row>
    <row r="850" spans="1:20" x14ac:dyDescent="0.2">
      <c r="A850" s="48">
        <f ca="1">IFERROR(__xludf.DUMMYFUNCTION("""COMPUTED_VALUE"""),46164)</f>
        <v>46164</v>
      </c>
      <c r="B850" s="4" t="str">
        <f ca="1">IFERROR(__xludf.DUMMYFUNCTION("""COMPUTED_VALUE"""),"pasar Kaget  + Parkir ")</f>
        <v xml:space="preserve">pasar Kaget  + Parkir </v>
      </c>
      <c r="C850" s="4" t="str">
        <f ca="1">IFERROR(__xludf.DUMMYFUNCTION("""COMPUTED_VALUE"""),"Cash")</f>
        <v>Cash</v>
      </c>
      <c r="D850" s="4" t="str">
        <f ca="1">IFERROR(__xludf.DUMMYFUNCTION("""COMPUTED_VALUE"""),"Out")</f>
        <v>Out</v>
      </c>
      <c r="E850" s="4" t="str">
        <f ca="1">IFERROR(__xludf.DUMMYFUNCTION("""COMPUTED_VALUE"""),"Kitchen")</f>
        <v>Kitchen</v>
      </c>
      <c r="F850" s="49">
        <f ca="1">IFERROR(__xludf.DUMMYFUNCTION("""COMPUTED_VALUE"""),100000)</f>
        <v>100000</v>
      </c>
      <c r="G850" s="50" t="str">
        <f ca="1">IFERROR(__xludf.DUMMYFUNCTION("""COMPUTED_VALUE"""),"Zela")</f>
        <v>Zela</v>
      </c>
      <c r="H850" s="51">
        <f t="shared" ca="1" si="0"/>
        <v>46143</v>
      </c>
      <c r="I850" s="52" t="e">
        <f ca="1">SUMIFS(OUT!$F$2:$F$11000,OUT!$H$2:$H$11000,H850,OUT!$D$2:$D$101007,"In")</f>
        <v>#VALUE!</v>
      </c>
      <c r="J850" s="52">
        <f ca="1">SUMIFS(OUT!$F$2:$F$11000,OUT!$H$2:$H$11000,H850,OUT!$D$2:$D$11000,"Out")</f>
        <v>9490497</v>
      </c>
      <c r="K850" s="52">
        <f ca="1">SUMIFS(OUT!$F$2:$F$11000,OUT!$H$2:$H$11000,H850,OUT!$D$2:$D$11000,"Out",OUT!$E$2:$E$11000,"Fix")</f>
        <v>2703418</v>
      </c>
      <c r="L850" s="52">
        <f ca="1">SUMIFS(OUT!$F$2:$F$11000,OUT!$H$2:$H$11000,H850,OUT!$D$2:$D$11000,"Out",OUT!$E$2:$E$11000,"Bathroom")</f>
        <v>13000</v>
      </c>
      <c r="M850" s="52">
        <f ca="1">SUMIFS(OUT!$F$2:$F$11000,OUT!$H$2:$H$11000,H850,OUT!$D$2:$D$11000,"Out",OUT!$E$2:$E$11000,"Alfa")</f>
        <v>326872</v>
      </c>
      <c r="N850" s="52" t="e">
        <f ca="1">SUMIFS(OUT!$F$2:$F$11000,OUT!$H$2:$H$101007,H850,OUT!$D$2:$D$11000,"Out",OUT!$E$2:$E$11000,"Jajan")</f>
        <v>#VALUE!</v>
      </c>
      <c r="O850" s="52">
        <f ca="1">SUMIFS(OUT!$F$2:$F$11000,OUT!$H$2:$H$11000,H850,OUT!$D$2:$D$11000,"Out",OUT!$E$2:$E$11000,"Kitchen")</f>
        <v>902100</v>
      </c>
      <c r="P850" s="52">
        <f ca="1">SUMIFS(OUT!$F$2:$F$11000,OUT!$H$2:$H$11000,H850,OUT!$D$2:$D$11000,"Out",OUT!$E$2:$E$11000,"Loandry")</f>
        <v>42900</v>
      </c>
      <c r="Q850" s="52">
        <f ca="1">SUMIFS(OUT!$F$2:$F$11000,OUT!$H$2:$H$11000,H850,OUT!$D$2:$D$11000,"Out",OUT!$E$2:$E$11000,"Mio")</f>
        <v>732000</v>
      </c>
      <c r="R850" s="52">
        <f ca="1">SUMIFS(OUT!$F$2:$F$11000,OUT!$H$2:$H$11000,H850,OUT!$D$2:$D$11000,"Out",OUT!$E$2:$E$11000,"Sedekah")</f>
        <v>0</v>
      </c>
      <c r="S850" s="52">
        <f ca="1">SUMIFS(OUT!$F$2:$F$11000,OUT!$H$2:$H$11000,H850,OUT!$D$2:$D$11000,"Out",OUT!$E$2:$E$11000,"Zela")</f>
        <v>47011</v>
      </c>
      <c r="T850" s="52">
        <f ca="1">SUMIFS(OUT!$F$2:$F$11000,OUT!$H$2:$H$11000,H850,OUT!$D$2:$D$11000,"Out",OUT!$E$2:$E$11000,"Iqbal")</f>
        <v>251000</v>
      </c>
    </row>
    <row r="851" spans="1:20" x14ac:dyDescent="0.2">
      <c r="A851" s="48">
        <f ca="1">IFERROR(__xludf.DUMMYFUNCTION("""COMPUTED_VALUE"""),46165)</f>
        <v>46165</v>
      </c>
      <c r="B851" s="4" t="str">
        <f ca="1">IFERROR(__xludf.DUMMYFUNCTION("""COMPUTED_VALUE"""),"suamiku")</f>
        <v>suamiku</v>
      </c>
      <c r="C851" s="4" t="str">
        <f ca="1">IFERROR(__xludf.DUMMYFUNCTION("""COMPUTED_VALUE"""),"Cash")</f>
        <v>Cash</v>
      </c>
      <c r="D851" s="4" t="str">
        <f ca="1">IFERROR(__xludf.DUMMYFUNCTION("""COMPUTED_VALUE"""),"Out")</f>
        <v>Out</v>
      </c>
      <c r="E851" s="4" t="str">
        <f ca="1">IFERROR(__xludf.DUMMYFUNCTION("""COMPUTED_VALUE"""),"Move")</f>
        <v>Move</v>
      </c>
      <c r="F851" s="49">
        <f ca="1">IFERROR(__xludf.DUMMYFUNCTION("""COMPUTED_VALUE"""),4000)</f>
        <v>4000</v>
      </c>
      <c r="G851" s="50" t="str">
        <f ca="1">IFERROR(__xludf.DUMMYFUNCTION("""COMPUTED_VALUE"""),"Zela")</f>
        <v>Zela</v>
      </c>
      <c r="H851" s="51">
        <f t="shared" ca="1" si="0"/>
        <v>46143</v>
      </c>
      <c r="I851" s="52" t="e">
        <f ca="1">SUMIFS(OUT!$F$2:$F$11000,OUT!$H$2:$H$11000,H851,OUT!$D$2:$D$101007,"In")</f>
        <v>#VALUE!</v>
      </c>
      <c r="J851" s="52">
        <f ca="1">SUMIFS(OUT!$F$2:$F$11000,OUT!$H$2:$H$11000,H851,OUT!$D$2:$D$11000,"Out")</f>
        <v>9490497</v>
      </c>
      <c r="K851" s="52">
        <f ca="1">SUMIFS(OUT!$F$2:$F$11000,OUT!$H$2:$H$11000,H851,OUT!$D$2:$D$11000,"Out",OUT!$E$2:$E$11000,"Fix")</f>
        <v>2703418</v>
      </c>
      <c r="L851" s="52">
        <f ca="1">SUMIFS(OUT!$F$2:$F$11000,OUT!$H$2:$H$11000,H851,OUT!$D$2:$D$11000,"Out",OUT!$E$2:$E$11000,"Bathroom")</f>
        <v>13000</v>
      </c>
      <c r="M851" s="52">
        <f ca="1">SUMIFS(OUT!$F$2:$F$11000,OUT!$H$2:$H$11000,H851,OUT!$D$2:$D$11000,"Out",OUT!$E$2:$E$11000,"Alfa")</f>
        <v>326872</v>
      </c>
      <c r="N851" s="52" t="e">
        <f ca="1">SUMIFS(OUT!$F$2:$F$11000,OUT!$H$2:$H$101007,H851,OUT!$D$2:$D$11000,"Out",OUT!$E$2:$E$11000,"Jajan")</f>
        <v>#VALUE!</v>
      </c>
      <c r="O851" s="52">
        <f ca="1">SUMIFS(OUT!$F$2:$F$11000,OUT!$H$2:$H$11000,H851,OUT!$D$2:$D$11000,"Out",OUT!$E$2:$E$11000,"Kitchen")</f>
        <v>902100</v>
      </c>
      <c r="P851" s="52">
        <f ca="1">SUMIFS(OUT!$F$2:$F$11000,OUT!$H$2:$H$11000,H851,OUT!$D$2:$D$11000,"Out",OUT!$E$2:$E$11000,"Loandry")</f>
        <v>42900</v>
      </c>
      <c r="Q851" s="52">
        <f ca="1">SUMIFS(OUT!$F$2:$F$11000,OUT!$H$2:$H$11000,H851,OUT!$D$2:$D$11000,"Out",OUT!$E$2:$E$11000,"Mio")</f>
        <v>732000</v>
      </c>
      <c r="R851" s="52">
        <f ca="1">SUMIFS(OUT!$F$2:$F$11000,OUT!$H$2:$H$11000,H851,OUT!$D$2:$D$11000,"Out",OUT!$E$2:$E$11000,"Sedekah")</f>
        <v>0</v>
      </c>
      <c r="S851" s="52">
        <f ca="1">SUMIFS(OUT!$F$2:$F$11000,OUT!$H$2:$H$11000,H851,OUT!$D$2:$D$11000,"Out",OUT!$E$2:$E$11000,"Zela")</f>
        <v>47011</v>
      </c>
      <c r="T851" s="52">
        <f ca="1">SUMIFS(OUT!$F$2:$F$11000,OUT!$H$2:$H$11000,H851,OUT!$D$2:$D$11000,"Out",OUT!$E$2:$E$11000,"Iqbal")</f>
        <v>251000</v>
      </c>
    </row>
    <row r="852" spans="1:20" x14ac:dyDescent="0.2">
      <c r="A852" s="48">
        <f ca="1">IFERROR(__xludf.DUMMYFUNCTION("""COMPUTED_VALUE"""),46166)</f>
        <v>46166</v>
      </c>
      <c r="B852" s="4" t="str">
        <f ca="1">IFERROR(__xludf.DUMMYFUNCTION("""COMPUTED_VALUE"""),"tarik tunai")</f>
        <v>tarik tunai</v>
      </c>
      <c r="C852" s="4" t="str">
        <f ca="1">IFERROR(__xludf.DUMMYFUNCTION("""COMPUTED_VALUE"""),"ATM")</f>
        <v>ATM</v>
      </c>
      <c r="D852" s="4" t="str">
        <f ca="1">IFERROR(__xludf.DUMMYFUNCTION("""COMPUTED_VALUE"""),"Out")</f>
        <v>Out</v>
      </c>
      <c r="E852" s="4" t="str">
        <f ca="1">IFERROR(__xludf.DUMMYFUNCTION("""COMPUTED_VALUE"""),"Move")</f>
        <v>Move</v>
      </c>
      <c r="F852" s="49">
        <f ca="1">IFERROR(__xludf.DUMMYFUNCTION("""COMPUTED_VALUE"""),50000)</f>
        <v>50000</v>
      </c>
      <c r="G852" s="50" t="str">
        <f ca="1">IFERROR(__xludf.DUMMYFUNCTION("""COMPUTED_VALUE"""),"Zela")</f>
        <v>Zela</v>
      </c>
      <c r="H852" s="51">
        <f t="shared" ca="1" si="0"/>
        <v>46143</v>
      </c>
      <c r="I852" s="52" t="e">
        <f ca="1">SUMIFS(OUT!$F$2:$F$11000,OUT!$H$2:$H$11000,H852,OUT!$D$2:$D$101007,"In")</f>
        <v>#VALUE!</v>
      </c>
      <c r="J852" s="52">
        <f ca="1">SUMIFS(OUT!$F$2:$F$11000,OUT!$H$2:$H$11000,H852,OUT!$D$2:$D$11000,"Out")</f>
        <v>9490497</v>
      </c>
      <c r="K852" s="52">
        <f ca="1">SUMIFS(OUT!$F$2:$F$11000,OUT!$H$2:$H$11000,H852,OUT!$D$2:$D$11000,"Out",OUT!$E$2:$E$11000,"Fix")</f>
        <v>2703418</v>
      </c>
      <c r="L852" s="52">
        <f ca="1">SUMIFS(OUT!$F$2:$F$11000,OUT!$H$2:$H$11000,H852,OUT!$D$2:$D$11000,"Out",OUT!$E$2:$E$11000,"Bathroom")</f>
        <v>13000</v>
      </c>
      <c r="M852" s="52">
        <f ca="1">SUMIFS(OUT!$F$2:$F$11000,OUT!$H$2:$H$11000,H852,OUT!$D$2:$D$11000,"Out",OUT!$E$2:$E$11000,"Alfa")</f>
        <v>326872</v>
      </c>
      <c r="N852" s="52" t="e">
        <f ca="1">SUMIFS(OUT!$F$2:$F$11000,OUT!$H$2:$H$101007,H852,OUT!$D$2:$D$11000,"Out",OUT!$E$2:$E$11000,"Jajan")</f>
        <v>#VALUE!</v>
      </c>
      <c r="O852" s="52">
        <f ca="1">SUMIFS(OUT!$F$2:$F$11000,OUT!$H$2:$H$11000,H852,OUT!$D$2:$D$11000,"Out",OUT!$E$2:$E$11000,"Kitchen")</f>
        <v>902100</v>
      </c>
      <c r="P852" s="52">
        <f ca="1">SUMIFS(OUT!$F$2:$F$11000,OUT!$H$2:$H$11000,H852,OUT!$D$2:$D$11000,"Out",OUT!$E$2:$E$11000,"Loandry")</f>
        <v>42900</v>
      </c>
      <c r="Q852" s="52">
        <f ca="1">SUMIFS(OUT!$F$2:$F$11000,OUT!$H$2:$H$11000,H852,OUT!$D$2:$D$11000,"Out",OUT!$E$2:$E$11000,"Mio")</f>
        <v>732000</v>
      </c>
      <c r="R852" s="52">
        <f ca="1">SUMIFS(OUT!$F$2:$F$11000,OUT!$H$2:$H$11000,H852,OUT!$D$2:$D$11000,"Out",OUT!$E$2:$E$11000,"Sedekah")</f>
        <v>0</v>
      </c>
      <c r="S852" s="52">
        <f ca="1">SUMIFS(OUT!$F$2:$F$11000,OUT!$H$2:$H$11000,H852,OUT!$D$2:$D$11000,"Out",OUT!$E$2:$E$11000,"Zela")</f>
        <v>47011</v>
      </c>
      <c r="T852" s="52">
        <f ca="1">SUMIFS(OUT!$F$2:$F$11000,OUT!$H$2:$H$11000,H852,OUT!$D$2:$D$11000,"Out",OUT!$E$2:$E$11000,"Iqbal")</f>
        <v>251000</v>
      </c>
    </row>
    <row r="853" spans="1:20" x14ac:dyDescent="0.2">
      <c r="A853" s="48">
        <f ca="1">IFERROR(__xludf.DUMMYFUNCTION("""COMPUTED_VALUE"""),46166)</f>
        <v>46166</v>
      </c>
      <c r="B853" s="4" t="str">
        <f ca="1">IFERROR(__xludf.DUMMYFUNCTION("""COMPUTED_VALUE"""),"terima tunai")</f>
        <v>terima tunai</v>
      </c>
      <c r="C853" s="4" t="str">
        <f ca="1">IFERROR(__xludf.DUMMYFUNCTION("""COMPUTED_VALUE"""),"Cash")</f>
        <v>Cash</v>
      </c>
      <c r="D853" s="4" t="str">
        <f ca="1">IFERROR(__xludf.DUMMYFUNCTION("""COMPUTED_VALUE"""),"In")</f>
        <v>In</v>
      </c>
      <c r="E853" s="4" t="str">
        <f ca="1">IFERROR(__xludf.DUMMYFUNCTION("""COMPUTED_VALUE"""),"Move")</f>
        <v>Move</v>
      </c>
      <c r="F853" s="49">
        <f ca="1">IFERROR(__xludf.DUMMYFUNCTION("""COMPUTED_VALUE"""),50000)</f>
        <v>50000</v>
      </c>
      <c r="G853" s="50" t="str">
        <f ca="1">IFERROR(__xludf.DUMMYFUNCTION("""COMPUTED_VALUE"""),"Zela")</f>
        <v>Zela</v>
      </c>
      <c r="H853" s="51">
        <f t="shared" ca="1" si="0"/>
        <v>46143</v>
      </c>
      <c r="I853" s="52" t="e">
        <f ca="1">SUMIFS(OUT!$F$2:$F$11000,OUT!$H$2:$H$11000,H853,OUT!$D$2:$D$101007,"In")</f>
        <v>#VALUE!</v>
      </c>
      <c r="J853" s="52">
        <f ca="1">SUMIFS(OUT!$F$2:$F$11000,OUT!$H$2:$H$11000,H853,OUT!$D$2:$D$11000,"Out")</f>
        <v>9490497</v>
      </c>
      <c r="K853" s="52">
        <f ca="1">SUMIFS(OUT!$F$2:$F$11000,OUT!$H$2:$H$11000,H853,OUT!$D$2:$D$11000,"Out",OUT!$E$2:$E$11000,"Fix")</f>
        <v>2703418</v>
      </c>
      <c r="L853" s="52">
        <f ca="1">SUMIFS(OUT!$F$2:$F$11000,OUT!$H$2:$H$11000,H853,OUT!$D$2:$D$11000,"Out",OUT!$E$2:$E$11000,"Bathroom")</f>
        <v>13000</v>
      </c>
      <c r="M853" s="52">
        <f ca="1">SUMIFS(OUT!$F$2:$F$11000,OUT!$H$2:$H$11000,H853,OUT!$D$2:$D$11000,"Out",OUT!$E$2:$E$11000,"Alfa")</f>
        <v>326872</v>
      </c>
      <c r="N853" s="52" t="e">
        <f ca="1">SUMIFS(OUT!$F$2:$F$11000,OUT!$H$2:$H$101007,H853,OUT!$D$2:$D$11000,"Out",OUT!$E$2:$E$11000,"Jajan")</f>
        <v>#VALUE!</v>
      </c>
      <c r="O853" s="52">
        <f ca="1">SUMIFS(OUT!$F$2:$F$11000,OUT!$H$2:$H$11000,H853,OUT!$D$2:$D$11000,"Out",OUT!$E$2:$E$11000,"Kitchen")</f>
        <v>902100</v>
      </c>
      <c r="P853" s="52">
        <f ca="1">SUMIFS(OUT!$F$2:$F$11000,OUT!$H$2:$H$11000,H853,OUT!$D$2:$D$11000,"Out",OUT!$E$2:$E$11000,"Loandry")</f>
        <v>42900</v>
      </c>
      <c r="Q853" s="52">
        <f ca="1">SUMIFS(OUT!$F$2:$F$11000,OUT!$H$2:$H$11000,H853,OUT!$D$2:$D$11000,"Out",OUT!$E$2:$E$11000,"Mio")</f>
        <v>732000</v>
      </c>
      <c r="R853" s="52">
        <f ca="1">SUMIFS(OUT!$F$2:$F$11000,OUT!$H$2:$H$11000,H853,OUT!$D$2:$D$11000,"Out",OUT!$E$2:$E$11000,"Sedekah")</f>
        <v>0</v>
      </c>
      <c r="S853" s="52">
        <f ca="1">SUMIFS(OUT!$F$2:$F$11000,OUT!$H$2:$H$11000,H853,OUT!$D$2:$D$11000,"Out",OUT!$E$2:$E$11000,"Zela")</f>
        <v>47011</v>
      </c>
      <c r="T853" s="52">
        <f ca="1">SUMIFS(OUT!$F$2:$F$11000,OUT!$H$2:$H$11000,H853,OUT!$D$2:$D$11000,"Out",OUT!$E$2:$E$11000,"Iqbal")</f>
        <v>251000</v>
      </c>
    </row>
    <row r="854" spans="1:20" x14ac:dyDescent="0.2">
      <c r="A854" s="48">
        <f ca="1">IFERROR(__xludf.DUMMYFUNCTION("""COMPUTED_VALUE"""),46167)</f>
        <v>46167</v>
      </c>
      <c r="B854" s="4" t="str">
        <f ca="1">IFERROR(__xludf.DUMMYFUNCTION("""COMPUTED_VALUE"""),"Tiktok  ( BH+Bju alfa)")</f>
        <v>Tiktok  ( BH+Bju alfa)</v>
      </c>
      <c r="C854" s="4" t="str">
        <f ca="1">IFERROR(__xludf.DUMMYFUNCTION("""COMPUTED_VALUE"""),"ATM")</f>
        <v>ATM</v>
      </c>
      <c r="D854" s="4" t="str">
        <f ca="1">IFERROR(__xludf.DUMMYFUNCTION("""COMPUTED_VALUE"""),"Out")</f>
        <v>Out</v>
      </c>
      <c r="E854" s="4" t="str">
        <f ca="1">IFERROR(__xludf.DUMMYFUNCTION("""COMPUTED_VALUE"""),"Alfa")</f>
        <v>Alfa</v>
      </c>
      <c r="F854" s="49">
        <f ca="1">IFERROR(__xludf.DUMMYFUNCTION("""COMPUTED_VALUE"""),63572)</f>
        <v>63572</v>
      </c>
      <c r="G854" s="50" t="str">
        <f ca="1">IFERROR(__xludf.DUMMYFUNCTION("""COMPUTED_VALUE"""),"Zela")</f>
        <v>Zela</v>
      </c>
      <c r="H854" s="51">
        <f t="shared" ca="1" si="0"/>
        <v>46143</v>
      </c>
      <c r="I854" s="52" t="e">
        <f ca="1">SUMIFS(OUT!$F$2:$F$11000,OUT!$H$2:$H$11000,H854,OUT!$D$2:$D$101007,"In")</f>
        <v>#VALUE!</v>
      </c>
      <c r="J854" s="52">
        <f ca="1">SUMIFS(OUT!$F$2:$F$11000,OUT!$H$2:$H$11000,H854,OUT!$D$2:$D$11000,"Out")</f>
        <v>9490497</v>
      </c>
      <c r="K854" s="52">
        <f ca="1">SUMIFS(OUT!$F$2:$F$11000,OUT!$H$2:$H$11000,H854,OUT!$D$2:$D$11000,"Out",OUT!$E$2:$E$11000,"Fix")</f>
        <v>2703418</v>
      </c>
      <c r="L854" s="52">
        <f ca="1">SUMIFS(OUT!$F$2:$F$11000,OUT!$H$2:$H$11000,H854,OUT!$D$2:$D$11000,"Out",OUT!$E$2:$E$11000,"Bathroom")</f>
        <v>13000</v>
      </c>
      <c r="M854" s="52">
        <f ca="1">SUMIFS(OUT!$F$2:$F$11000,OUT!$H$2:$H$11000,H854,OUT!$D$2:$D$11000,"Out",OUT!$E$2:$E$11000,"Alfa")</f>
        <v>326872</v>
      </c>
      <c r="N854" s="52" t="e">
        <f ca="1">SUMIFS(OUT!$F$2:$F$11000,OUT!$H$2:$H$101007,H854,OUT!$D$2:$D$11000,"Out",OUT!$E$2:$E$11000,"Jajan")</f>
        <v>#VALUE!</v>
      </c>
      <c r="O854" s="52">
        <f ca="1">SUMIFS(OUT!$F$2:$F$11000,OUT!$H$2:$H$11000,H854,OUT!$D$2:$D$11000,"Out",OUT!$E$2:$E$11000,"Kitchen")</f>
        <v>902100</v>
      </c>
      <c r="P854" s="52">
        <f ca="1">SUMIFS(OUT!$F$2:$F$11000,OUT!$H$2:$H$11000,H854,OUT!$D$2:$D$11000,"Out",OUT!$E$2:$E$11000,"Loandry")</f>
        <v>42900</v>
      </c>
      <c r="Q854" s="52">
        <f ca="1">SUMIFS(OUT!$F$2:$F$11000,OUT!$H$2:$H$11000,H854,OUT!$D$2:$D$11000,"Out",OUT!$E$2:$E$11000,"Mio")</f>
        <v>732000</v>
      </c>
      <c r="R854" s="52">
        <f ca="1">SUMIFS(OUT!$F$2:$F$11000,OUT!$H$2:$H$11000,H854,OUT!$D$2:$D$11000,"Out",OUT!$E$2:$E$11000,"Sedekah")</f>
        <v>0</v>
      </c>
      <c r="S854" s="52">
        <f ca="1">SUMIFS(OUT!$F$2:$F$11000,OUT!$H$2:$H$11000,H854,OUT!$D$2:$D$11000,"Out",OUT!$E$2:$E$11000,"Zela")</f>
        <v>47011</v>
      </c>
      <c r="T854" s="52">
        <f ca="1">SUMIFS(OUT!$F$2:$F$11000,OUT!$H$2:$H$11000,H854,OUT!$D$2:$D$11000,"Out",OUT!$E$2:$E$11000,"Iqbal")</f>
        <v>251000</v>
      </c>
    </row>
    <row r="855" spans="1:20" x14ac:dyDescent="0.2">
      <c r="A855" s="48">
        <f ca="1">IFERROR(__xludf.DUMMYFUNCTION("""COMPUTED_VALUE"""),46168)</f>
        <v>46168</v>
      </c>
      <c r="B855" s="4" t="str">
        <f ca="1">IFERROR(__xludf.DUMMYFUNCTION("""COMPUTED_VALUE"""),"kasi baba")</f>
        <v>kasi baba</v>
      </c>
      <c r="C855" s="4" t="str">
        <f ca="1">IFERROR(__xludf.DUMMYFUNCTION("""COMPUTED_VALUE"""),"Cash")</f>
        <v>Cash</v>
      </c>
      <c r="D855" s="4" t="str">
        <f ca="1">IFERROR(__xludf.DUMMYFUNCTION("""COMPUTED_VALUE"""),"Out")</f>
        <v>Out</v>
      </c>
      <c r="E855" s="4" t="str">
        <f ca="1">IFERROR(__xludf.DUMMYFUNCTION("""COMPUTED_VALUE"""),"Move")</f>
        <v>Move</v>
      </c>
      <c r="F855" s="49">
        <f ca="1">IFERROR(__xludf.DUMMYFUNCTION("""COMPUTED_VALUE"""),50000)</f>
        <v>50000</v>
      </c>
      <c r="G855" s="50" t="str">
        <f ca="1">IFERROR(__xludf.DUMMYFUNCTION("""COMPUTED_VALUE"""),"Zela")</f>
        <v>Zela</v>
      </c>
      <c r="H855" s="51">
        <f t="shared" ca="1" si="0"/>
        <v>46143</v>
      </c>
      <c r="I855" s="52" t="e">
        <f ca="1">SUMIFS(OUT!$F$2:$F$11000,OUT!$H$2:$H$11000,H855,OUT!$D$2:$D$101007,"In")</f>
        <v>#VALUE!</v>
      </c>
      <c r="J855" s="52">
        <f ca="1">SUMIFS(OUT!$F$2:$F$11000,OUT!$H$2:$H$11000,H855,OUT!$D$2:$D$11000,"Out")</f>
        <v>9490497</v>
      </c>
      <c r="K855" s="52">
        <f ca="1">SUMIFS(OUT!$F$2:$F$11000,OUT!$H$2:$H$11000,H855,OUT!$D$2:$D$11000,"Out",OUT!$E$2:$E$11000,"Fix")</f>
        <v>2703418</v>
      </c>
      <c r="L855" s="52">
        <f ca="1">SUMIFS(OUT!$F$2:$F$11000,OUT!$H$2:$H$11000,H855,OUT!$D$2:$D$11000,"Out",OUT!$E$2:$E$11000,"Bathroom")</f>
        <v>13000</v>
      </c>
      <c r="M855" s="52">
        <f ca="1">SUMIFS(OUT!$F$2:$F$11000,OUT!$H$2:$H$11000,H855,OUT!$D$2:$D$11000,"Out",OUT!$E$2:$E$11000,"Alfa")</f>
        <v>326872</v>
      </c>
      <c r="N855" s="52" t="e">
        <f ca="1">SUMIFS(OUT!$F$2:$F$11000,OUT!$H$2:$H$101007,H855,OUT!$D$2:$D$11000,"Out",OUT!$E$2:$E$11000,"Jajan")</f>
        <v>#VALUE!</v>
      </c>
      <c r="O855" s="52">
        <f ca="1">SUMIFS(OUT!$F$2:$F$11000,OUT!$H$2:$H$11000,H855,OUT!$D$2:$D$11000,"Out",OUT!$E$2:$E$11000,"Kitchen")</f>
        <v>902100</v>
      </c>
      <c r="P855" s="52">
        <f ca="1">SUMIFS(OUT!$F$2:$F$11000,OUT!$H$2:$H$11000,H855,OUT!$D$2:$D$11000,"Out",OUT!$E$2:$E$11000,"Loandry")</f>
        <v>42900</v>
      </c>
      <c r="Q855" s="52">
        <f ca="1">SUMIFS(OUT!$F$2:$F$11000,OUT!$H$2:$H$11000,H855,OUT!$D$2:$D$11000,"Out",OUT!$E$2:$E$11000,"Mio")</f>
        <v>732000</v>
      </c>
      <c r="R855" s="52">
        <f ca="1">SUMIFS(OUT!$F$2:$F$11000,OUT!$H$2:$H$11000,H855,OUT!$D$2:$D$11000,"Out",OUT!$E$2:$E$11000,"Sedekah")</f>
        <v>0</v>
      </c>
      <c r="S855" s="52">
        <f ca="1">SUMIFS(OUT!$F$2:$F$11000,OUT!$H$2:$H$11000,H855,OUT!$D$2:$D$11000,"Out",OUT!$E$2:$E$11000,"Zela")</f>
        <v>47011</v>
      </c>
      <c r="T855" s="52">
        <f ca="1">SUMIFS(OUT!$F$2:$F$11000,OUT!$H$2:$H$11000,H855,OUT!$D$2:$D$11000,"Out",OUT!$E$2:$E$11000,"Iqbal")</f>
        <v>251000</v>
      </c>
    </row>
    <row r="856" spans="1:20" x14ac:dyDescent="0.2">
      <c r="A856" s="48">
        <f ca="1">IFERROR(__xludf.DUMMYFUNCTION("""COMPUTED_VALUE"""),46169)</f>
        <v>46169</v>
      </c>
      <c r="B856" s="4" t="str">
        <f ca="1">IFERROR(__xludf.DUMMYFUNCTION("""COMPUTED_VALUE"""),"tarik tunai")</f>
        <v>tarik tunai</v>
      </c>
      <c r="C856" s="4" t="str">
        <f ca="1">IFERROR(__xludf.DUMMYFUNCTION("""COMPUTED_VALUE"""),"ATM")</f>
        <v>ATM</v>
      </c>
      <c r="D856" s="4" t="str">
        <f ca="1">IFERROR(__xludf.DUMMYFUNCTION("""COMPUTED_VALUE"""),"Out")</f>
        <v>Out</v>
      </c>
      <c r="E856" s="4" t="str">
        <f ca="1">IFERROR(__xludf.DUMMYFUNCTION("""COMPUTED_VALUE"""),"Move")</f>
        <v>Move</v>
      </c>
      <c r="F856" s="49">
        <f ca="1">IFERROR(__xludf.DUMMYFUNCTION("""COMPUTED_VALUE"""),100000)</f>
        <v>100000</v>
      </c>
      <c r="G856" s="50" t="str">
        <f ca="1">IFERROR(__xludf.DUMMYFUNCTION("""COMPUTED_VALUE"""),"Zela")</f>
        <v>Zela</v>
      </c>
      <c r="H856" s="51">
        <f t="shared" ca="1" si="0"/>
        <v>46143</v>
      </c>
      <c r="I856" s="52" t="e">
        <f ca="1">SUMIFS(OUT!$F$2:$F$11000,OUT!$H$2:$H$11000,H856,OUT!$D$2:$D$101007,"In")</f>
        <v>#VALUE!</v>
      </c>
      <c r="J856" s="52">
        <f ca="1">SUMIFS(OUT!$F$2:$F$11000,OUT!$H$2:$H$11000,H856,OUT!$D$2:$D$11000,"Out")</f>
        <v>9490497</v>
      </c>
      <c r="K856" s="52">
        <f ca="1">SUMIFS(OUT!$F$2:$F$11000,OUT!$H$2:$H$11000,H856,OUT!$D$2:$D$11000,"Out",OUT!$E$2:$E$11000,"Fix")</f>
        <v>2703418</v>
      </c>
      <c r="L856" s="52">
        <f ca="1">SUMIFS(OUT!$F$2:$F$11000,OUT!$H$2:$H$11000,H856,OUT!$D$2:$D$11000,"Out",OUT!$E$2:$E$11000,"Bathroom")</f>
        <v>13000</v>
      </c>
      <c r="M856" s="52">
        <f ca="1">SUMIFS(OUT!$F$2:$F$11000,OUT!$H$2:$H$11000,H856,OUT!$D$2:$D$11000,"Out",OUT!$E$2:$E$11000,"Alfa")</f>
        <v>326872</v>
      </c>
      <c r="N856" s="52" t="e">
        <f ca="1">SUMIFS(OUT!$F$2:$F$11000,OUT!$H$2:$H$101007,H856,OUT!$D$2:$D$11000,"Out",OUT!$E$2:$E$11000,"Jajan")</f>
        <v>#VALUE!</v>
      </c>
      <c r="O856" s="52">
        <f ca="1">SUMIFS(OUT!$F$2:$F$11000,OUT!$H$2:$H$11000,H856,OUT!$D$2:$D$11000,"Out",OUT!$E$2:$E$11000,"Kitchen")</f>
        <v>902100</v>
      </c>
      <c r="P856" s="52">
        <f ca="1">SUMIFS(OUT!$F$2:$F$11000,OUT!$H$2:$H$11000,H856,OUT!$D$2:$D$11000,"Out",OUT!$E$2:$E$11000,"Loandry")</f>
        <v>42900</v>
      </c>
      <c r="Q856" s="52">
        <f ca="1">SUMIFS(OUT!$F$2:$F$11000,OUT!$H$2:$H$11000,H856,OUT!$D$2:$D$11000,"Out",OUT!$E$2:$E$11000,"Mio")</f>
        <v>732000</v>
      </c>
      <c r="R856" s="52">
        <f ca="1">SUMIFS(OUT!$F$2:$F$11000,OUT!$H$2:$H$11000,H856,OUT!$D$2:$D$11000,"Out",OUT!$E$2:$E$11000,"Sedekah")</f>
        <v>0</v>
      </c>
      <c r="S856" s="52">
        <f ca="1">SUMIFS(OUT!$F$2:$F$11000,OUT!$H$2:$H$11000,H856,OUT!$D$2:$D$11000,"Out",OUT!$E$2:$E$11000,"Zela")</f>
        <v>47011</v>
      </c>
      <c r="T856" s="52">
        <f ca="1">SUMIFS(OUT!$F$2:$F$11000,OUT!$H$2:$H$11000,H856,OUT!$D$2:$D$11000,"Out",OUT!$E$2:$E$11000,"Iqbal")</f>
        <v>251000</v>
      </c>
    </row>
    <row r="857" spans="1:20" x14ac:dyDescent="0.2">
      <c r="A857" s="48">
        <f ca="1">IFERROR(__xludf.DUMMYFUNCTION("""COMPUTED_VALUE"""),46169)</f>
        <v>46169</v>
      </c>
      <c r="B857" s="4" t="str">
        <f ca="1">IFERROR(__xludf.DUMMYFUNCTION("""COMPUTED_VALUE"""),"terima tunai")</f>
        <v>terima tunai</v>
      </c>
      <c r="C857" s="4" t="str">
        <f ca="1">IFERROR(__xludf.DUMMYFUNCTION("""COMPUTED_VALUE"""),"Cash")</f>
        <v>Cash</v>
      </c>
      <c r="D857" s="4" t="str">
        <f ca="1">IFERROR(__xludf.DUMMYFUNCTION("""COMPUTED_VALUE"""),"In")</f>
        <v>In</v>
      </c>
      <c r="E857" s="4" t="str">
        <f ca="1">IFERROR(__xludf.DUMMYFUNCTION("""COMPUTED_VALUE"""),"Move")</f>
        <v>Move</v>
      </c>
      <c r="F857" s="49">
        <f ca="1">IFERROR(__xludf.DUMMYFUNCTION("""COMPUTED_VALUE"""),100000)</f>
        <v>100000</v>
      </c>
      <c r="G857" s="50" t="str">
        <f ca="1">IFERROR(__xludf.DUMMYFUNCTION("""COMPUTED_VALUE"""),"Zela")</f>
        <v>Zela</v>
      </c>
      <c r="H857" s="51">
        <f t="shared" ca="1" si="0"/>
        <v>46143</v>
      </c>
      <c r="I857" s="52" t="e">
        <f ca="1">SUMIFS(OUT!$F$2:$F$11000,OUT!$H$2:$H$11000,H857,OUT!$D$2:$D$101007,"In")</f>
        <v>#VALUE!</v>
      </c>
      <c r="J857" s="52">
        <f ca="1">SUMIFS(OUT!$F$2:$F$11000,OUT!$H$2:$H$11000,H857,OUT!$D$2:$D$11000,"Out")</f>
        <v>9490497</v>
      </c>
      <c r="K857" s="52">
        <f ca="1">SUMIFS(OUT!$F$2:$F$11000,OUT!$H$2:$H$11000,H857,OUT!$D$2:$D$11000,"Out",OUT!$E$2:$E$11000,"Fix")</f>
        <v>2703418</v>
      </c>
      <c r="L857" s="52">
        <f ca="1">SUMIFS(OUT!$F$2:$F$11000,OUT!$H$2:$H$11000,H857,OUT!$D$2:$D$11000,"Out",OUT!$E$2:$E$11000,"Bathroom")</f>
        <v>13000</v>
      </c>
      <c r="M857" s="52">
        <f ca="1">SUMIFS(OUT!$F$2:$F$11000,OUT!$H$2:$H$11000,H857,OUT!$D$2:$D$11000,"Out",OUT!$E$2:$E$11000,"Alfa")</f>
        <v>326872</v>
      </c>
      <c r="N857" s="52" t="e">
        <f ca="1">SUMIFS(OUT!$F$2:$F$11000,OUT!$H$2:$H$101007,H857,OUT!$D$2:$D$11000,"Out",OUT!$E$2:$E$11000,"Jajan")</f>
        <v>#VALUE!</v>
      </c>
      <c r="O857" s="52">
        <f ca="1">SUMIFS(OUT!$F$2:$F$11000,OUT!$H$2:$H$11000,H857,OUT!$D$2:$D$11000,"Out",OUT!$E$2:$E$11000,"Kitchen")</f>
        <v>902100</v>
      </c>
      <c r="P857" s="52">
        <f ca="1">SUMIFS(OUT!$F$2:$F$11000,OUT!$H$2:$H$11000,H857,OUT!$D$2:$D$11000,"Out",OUT!$E$2:$E$11000,"Loandry")</f>
        <v>42900</v>
      </c>
      <c r="Q857" s="52">
        <f ca="1">SUMIFS(OUT!$F$2:$F$11000,OUT!$H$2:$H$11000,H857,OUT!$D$2:$D$11000,"Out",OUT!$E$2:$E$11000,"Mio")</f>
        <v>732000</v>
      </c>
      <c r="R857" s="52">
        <f ca="1">SUMIFS(OUT!$F$2:$F$11000,OUT!$H$2:$H$11000,H857,OUT!$D$2:$D$11000,"Out",OUT!$E$2:$E$11000,"Sedekah")</f>
        <v>0</v>
      </c>
      <c r="S857" s="52">
        <f ca="1">SUMIFS(OUT!$F$2:$F$11000,OUT!$H$2:$H$11000,H857,OUT!$D$2:$D$11000,"Out",OUT!$E$2:$E$11000,"Zela")</f>
        <v>47011</v>
      </c>
      <c r="T857" s="52">
        <f ca="1">SUMIFS(OUT!$F$2:$F$11000,OUT!$H$2:$H$11000,H857,OUT!$D$2:$D$11000,"Out",OUT!$E$2:$E$11000,"Iqbal")</f>
        <v>251000</v>
      </c>
    </row>
    <row r="858" spans="1:20" x14ac:dyDescent="0.2">
      <c r="A858" s="48">
        <f ca="1">IFERROR(__xludf.DUMMYFUNCTION("""COMPUTED_VALUE"""),46169)</f>
        <v>46169</v>
      </c>
      <c r="B858" s="4" t="str">
        <f ca="1">IFERROR(__xludf.DUMMYFUNCTION("""COMPUTED_VALUE"""),"atuk Man / Alfa ")</f>
        <v xml:space="preserve">atuk Man / Alfa </v>
      </c>
      <c r="C858" s="4" t="str">
        <f ca="1">IFERROR(__xludf.DUMMYFUNCTION("""COMPUTED_VALUE"""),"Cash")</f>
        <v>Cash</v>
      </c>
      <c r="D858" s="4" t="str">
        <f ca="1">IFERROR(__xludf.DUMMYFUNCTION("""COMPUTED_VALUE"""),"In")</f>
        <v>In</v>
      </c>
      <c r="E858" s="4" t="str">
        <f ca="1">IFERROR(__xludf.DUMMYFUNCTION("""COMPUTED_VALUE"""),"Alfa")</f>
        <v>Alfa</v>
      </c>
      <c r="F858" s="49">
        <f ca="1">IFERROR(__xludf.DUMMYFUNCTION("""COMPUTED_VALUE"""),50000)</f>
        <v>50000</v>
      </c>
      <c r="G858" s="50" t="str">
        <f ca="1">IFERROR(__xludf.DUMMYFUNCTION("""COMPUTED_VALUE"""),"Zela")</f>
        <v>Zela</v>
      </c>
      <c r="H858" s="51">
        <f t="shared" ca="1" si="0"/>
        <v>46143</v>
      </c>
      <c r="I858" s="52" t="e">
        <f ca="1">SUMIFS(OUT!$F$2:$F$11000,OUT!$H$2:$H$11000,H858,OUT!$D$2:$D$101007,"In")</f>
        <v>#VALUE!</v>
      </c>
      <c r="J858" s="52">
        <f ca="1">SUMIFS(OUT!$F$2:$F$11000,OUT!$H$2:$H$11000,H858,OUT!$D$2:$D$11000,"Out")</f>
        <v>9490497</v>
      </c>
      <c r="K858" s="52">
        <f ca="1">SUMIFS(OUT!$F$2:$F$11000,OUT!$H$2:$H$11000,H858,OUT!$D$2:$D$11000,"Out",OUT!$E$2:$E$11000,"Fix")</f>
        <v>2703418</v>
      </c>
      <c r="L858" s="52">
        <f ca="1">SUMIFS(OUT!$F$2:$F$11000,OUT!$H$2:$H$11000,H858,OUT!$D$2:$D$11000,"Out",OUT!$E$2:$E$11000,"Bathroom")</f>
        <v>13000</v>
      </c>
      <c r="M858" s="52">
        <f ca="1">SUMIFS(OUT!$F$2:$F$11000,OUT!$H$2:$H$11000,H858,OUT!$D$2:$D$11000,"Out",OUT!$E$2:$E$11000,"Alfa")</f>
        <v>326872</v>
      </c>
      <c r="N858" s="52" t="e">
        <f ca="1">SUMIFS(OUT!$F$2:$F$11000,OUT!$H$2:$H$101007,H858,OUT!$D$2:$D$11000,"Out",OUT!$E$2:$E$11000,"Jajan")</f>
        <v>#VALUE!</v>
      </c>
      <c r="O858" s="52">
        <f ca="1">SUMIFS(OUT!$F$2:$F$11000,OUT!$H$2:$H$11000,H858,OUT!$D$2:$D$11000,"Out",OUT!$E$2:$E$11000,"Kitchen")</f>
        <v>902100</v>
      </c>
      <c r="P858" s="52">
        <f ca="1">SUMIFS(OUT!$F$2:$F$11000,OUT!$H$2:$H$11000,H858,OUT!$D$2:$D$11000,"Out",OUT!$E$2:$E$11000,"Loandry")</f>
        <v>42900</v>
      </c>
      <c r="Q858" s="52">
        <f ca="1">SUMIFS(OUT!$F$2:$F$11000,OUT!$H$2:$H$11000,H858,OUT!$D$2:$D$11000,"Out",OUT!$E$2:$E$11000,"Mio")</f>
        <v>732000</v>
      </c>
      <c r="R858" s="52">
        <f ca="1">SUMIFS(OUT!$F$2:$F$11000,OUT!$H$2:$H$11000,H858,OUT!$D$2:$D$11000,"Out",OUT!$E$2:$E$11000,"Sedekah")</f>
        <v>0</v>
      </c>
      <c r="S858" s="52">
        <f ca="1">SUMIFS(OUT!$F$2:$F$11000,OUT!$H$2:$H$11000,H858,OUT!$D$2:$D$11000,"Out",OUT!$E$2:$E$11000,"Zela")</f>
        <v>47011</v>
      </c>
      <c r="T858" s="52">
        <f ca="1">SUMIFS(OUT!$F$2:$F$11000,OUT!$H$2:$H$11000,H858,OUT!$D$2:$D$11000,"Out",OUT!$E$2:$E$11000,"Iqbal")</f>
        <v>251000</v>
      </c>
    </row>
    <row r="859" spans="1:20" x14ac:dyDescent="0.2">
      <c r="A859" s="48">
        <f ca="1">IFERROR(__xludf.DUMMYFUNCTION("""COMPUTED_VALUE"""),46169)</f>
        <v>46169</v>
      </c>
      <c r="B859" s="4" t="str">
        <f ca="1">IFERROR(__xludf.DUMMYFUNCTION("""COMPUTED_VALUE"""),"nipis madu")</f>
        <v>nipis madu</v>
      </c>
      <c r="C859" s="4" t="str">
        <f ca="1">IFERROR(__xludf.DUMMYFUNCTION("""COMPUTED_VALUE"""),"Cash")</f>
        <v>Cash</v>
      </c>
      <c r="D859" s="4" t="str">
        <f ca="1">IFERROR(__xludf.DUMMYFUNCTION("""COMPUTED_VALUE"""),"Out")</f>
        <v>Out</v>
      </c>
      <c r="E859" s="4" t="str">
        <f ca="1">IFERROR(__xludf.DUMMYFUNCTION("""COMPUTED_VALUE"""),"Jajan")</f>
        <v>Jajan</v>
      </c>
      <c r="F859" s="49">
        <f ca="1">IFERROR(__xludf.DUMMYFUNCTION("""COMPUTED_VALUE"""),3600)</f>
        <v>3600</v>
      </c>
      <c r="G859" s="50" t="str">
        <f ca="1">IFERROR(__xludf.DUMMYFUNCTION("""COMPUTED_VALUE"""),"Zela")</f>
        <v>Zela</v>
      </c>
      <c r="H859" s="51">
        <f t="shared" ca="1" si="0"/>
        <v>46143</v>
      </c>
      <c r="I859" s="52" t="e">
        <f ca="1">SUMIFS(OUT!$F$2:$F$11000,OUT!$H$2:$H$11000,H859,OUT!$D$2:$D$101007,"In")</f>
        <v>#VALUE!</v>
      </c>
      <c r="J859" s="52">
        <f ca="1">SUMIFS(OUT!$F$2:$F$11000,OUT!$H$2:$H$11000,H859,OUT!$D$2:$D$11000,"Out")</f>
        <v>9490497</v>
      </c>
      <c r="K859" s="52">
        <f ca="1">SUMIFS(OUT!$F$2:$F$11000,OUT!$H$2:$H$11000,H859,OUT!$D$2:$D$11000,"Out",OUT!$E$2:$E$11000,"Fix")</f>
        <v>2703418</v>
      </c>
      <c r="L859" s="52">
        <f ca="1">SUMIFS(OUT!$F$2:$F$11000,OUT!$H$2:$H$11000,H859,OUT!$D$2:$D$11000,"Out",OUT!$E$2:$E$11000,"Bathroom")</f>
        <v>13000</v>
      </c>
      <c r="M859" s="52">
        <f ca="1">SUMIFS(OUT!$F$2:$F$11000,OUT!$H$2:$H$11000,H859,OUT!$D$2:$D$11000,"Out",OUT!$E$2:$E$11000,"Alfa")</f>
        <v>326872</v>
      </c>
      <c r="N859" s="52" t="e">
        <f ca="1">SUMIFS(OUT!$F$2:$F$11000,OUT!$H$2:$H$101007,H859,OUT!$D$2:$D$11000,"Out",OUT!$E$2:$E$11000,"Jajan")</f>
        <v>#VALUE!</v>
      </c>
      <c r="O859" s="52">
        <f ca="1">SUMIFS(OUT!$F$2:$F$11000,OUT!$H$2:$H$11000,H859,OUT!$D$2:$D$11000,"Out",OUT!$E$2:$E$11000,"Kitchen")</f>
        <v>902100</v>
      </c>
      <c r="P859" s="52">
        <f ca="1">SUMIFS(OUT!$F$2:$F$11000,OUT!$H$2:$H$11000,H859,OUT!$D$2:$D$11000,"Out",OUT!$E$2:$E$11000,"Loandry")</f>
        <v>42900</v>
      </c>
      <c r="Q859" s="52">
        <f ca="1">SUMIFS(OUT!$F$2:$F$11000,OUT!$H$2:$H$11000,H859,OUT!$D$2:$D$11000,"Out",OUT!$E$2:$E$11000,"Mio")</f>
        <v>732000</v>
      </c>
      <c r="R859" s="52">
        <f ca="1">SUMIFS(OUT!$F$2:$F$11000,OUT!$H$2:$H$11000,H859,OUT!$D$2:$D$11000,"Out",OUT!$E$2:$E$11000,"Sedekah")</f>
        <v>0</v>
      </c>
      <c r="S859" s="52">
        <f ca="1">SUMIFS(OUT!$F$2:$F$11000,OUT!$H$2:$H$11000,H859,OUT!$D$2:$D$11000,"Out",OUT!$E$2:$E$11000,"Zela")</f>
        <v>47011</v>
      </c>
      <c r="T859" s="52">
        <f ca="1">SUMIFS(OUT!$F$2:$F$11000,OUT!$H$2:$H$11000,H859,OUT!$D$2:$D$11000,"Out",OUT!$E$2:$E$11000,"Iqbal")</f>
        <v>251000</v>
      </c>
    </row>
    <row r="860" spans="1:20" x14ac:dyDescent="0.2">
      <c r="A860" s="48">
        <f ca="1">IFERROR(__xludf.DUMMYFUNCTION("""COMPUTED_VALUE"""),46169)</f>
        <v>46169</v>
      </c>
      <c r="B860" s="4" t="str">
        <f ca="1">IFERROR(__xludf.DUMMYFUNCTION("""COMPUTED_VALUE"""),"pertamax")</f>
        <v>pertamax</v>
      </c>
      <c r="C860" s="4" t="str">
        <f ca="1">IFERROR(__xludf.DUMMYFUNCTION("""COMPUTED_VALUE"""),"Cash")</f>
        <v>Cash</v>
      </c>
      <c r="D860" s="4" t="str">
        <f ca="1">IFERROR(__xludf.DUMMYFUNCTION("""COMPUTED_VALUE"""),"Out")</f>
        <v>Out</v>
      </c>
      <c r="E860" s="4" t="str">
        <f ca="1">IFERROR(__xludf.DUMMYFUNCTION("""COMPUTED_VALUE"""),"Mio")</f>
        <v>Mio</v>
      </c>
      <c r="F860" s="49">
        <f ca="1">IFERROR(__xludf.DUMMYFUNCTION("""COMPUTED_VALUE"""),50000)</f>
        <v>50000</v>
      </c>
      <c r="G860" s="50" t="str">
        <f ca="1">IFERROR(__xludf.DUMMYFUNCTION("""COMPUTED_VALUE"""),"Zela")</f>
        <v>Zela</v>
      </c>
      <c r="H860" s="51">
        <f t="shared" ca="1" si="0"/>
        <v>46143</v>
      </c>
      <c r="I860" s="52" t="e">
        <f ca="1">SUMIFS(OUT!$F$2:$F$11000,OUT!$H$2:$H$11000,H860,OUT!$D$2:$D$101007,"In")</f>
        <v>#VALUE!</v>
      </c>
      <c r="J860" s="52">
        <f ca="1">SUMIFS(OUT!$F$2:$F$11000,OUT!$H$2:$H$11000,H860,OUT!$D$2:$D$11000,"Out")</f>
        <v>9490497</v>
      </c>
      <c r="K860" s="52">
        <f ca="1">SUMIFS(OUT!$F$2:$F$11000,OUT!$H$2:$H$11000,H860,OUT!$D$2:$D$11000,"Out",OUT!$E$2:$E$11000,"Fix")</f>
        <v>2703418</v>
      </c>
      <c r="L860" s="52">
        <f ca="1">SUMIFS(OUT!$F$2:$F$11000,OUT!$H$2:$H$11000,H860,OUT!$D$2:$D$11000,"Out",OUT!$E$2:$E$11000,"Bathroom")</f>
        <v>13000</v>
      </c>
      <c r="M860" s="52">
        <f ca="1">SUMIFS(OUT!$F$2:$F$11000,OUT!$H$2:$H$11000,H860,OUT!$D$2:$D$11000,"Out",OUT!$E$2:$E$11000,"Alfa")</f>
        <v>326872</v>
      </c>
      <c r="N860" s="52" t="e">
        <f ca="1">SUMIFS(OUT!$F$2:$F$11000,OUT!$H$2:$H$101007,H860,OUT!$D$2:$D$11000,"Out",OUT!$E$2:$E$11000,"Jajan")</f>
        <v>#VALUE!</v>
      </c>
      <c r="O860" s="52">
        <f ca="1">SUMIFS(OUT!$F$2:$F$11000,OUT!$H$2:$H$11000,H860,OUT!$D$2:$D$11000,"Out",OUT!$E$2:$E$11000,"Kitchen")</f>
        <v>902100</v>
      </c>
      <c r="P860" s="52">
        <f ca="1">SUMIFS(OUT!$F$2:$F$11000,OUT!$H$2:$H$11000,H860,OUT!$D$2:$D$11000,"Out",OUT!$E$2:$E$11000,"Loandry")</f>
        <v>42900</v>
      </c>
      <c r="Q860" s="52">
        <f ca="1">SUMIFS(OUT!$F$2:$F$11000,OUT!$H$2:$H$11000,H860,OUT!$D$2:$D$11000,"Out",OUT!$E$2:$E$11000,"Mio")</f>
        <v>732000</v>
      </c>
      <c r="R860" s="52">
        <f ca="1">SUMIFS(OUT!$F$2:$F$11000,OUT!$H$2:$H$11000,H860,OUT!$D$2:$D$11000,"Out",OUT!$E$2:$E$11000,"Sedekah")</f>
        <v>0</v>
      </c>
      <c r="S860" s="52">
        <f ca="1">SUMIFS(OUT!$F$2:$F$11000,OUT!$H$2:$H$11000,H860,OUT!$D$2:$D$11000,"Out",OUT!$E$2:$E$11000,"Zela")</f>
        <v>47011</v>
      </c>
      <c r="T860" s="52">
        <f ca="1">SUMIFS(OUT!$F$2:$F$11000,OUT!$H$2:$H$11000,H860,OUT!$D$2:$D$11000,"Out",OUT!$E$2:$E$11000,"Iqbal")</f>
        <v>251000</v>
      </c>
    </row>
    <row r="861" spans="1:20" x14ac:dyDescent="0.2">
      <c r="A861" s="48">
        <f ca="1">IFERROR(__xludf.DUMMYFUNCTION("""COMPUTED_VALUE"""),46169)</f>
        <v>46169</v>
      </c>
      <c r="B861" s="4" t="str">
        <f ca="1">IFERROR(__xludf.DUMMYFUNCTION("""COMPUTED_VALUE"""),"teh telor tapai (2)")</f>
        <v>teh telor tapai (2)</v>
      </c>
      <c r="C861" s="4" t="str">
        <f ca="1">IFERROR(__xludf.DUMMYFUNCTION("""COMPUTED_VALUE"""),"Cash")</f>
        <v>Cash</v>
      </c>
      <c r="D861" s="4" t="str">
        <f ca="1">IFERROR(__xludf.DUMMYFUNCTION("""COMPUTED_VALUE"""),"Out")</f>
        <v>Out</v>
      </c>
      <c r="E861" s="4" t="str">
        <f ca="1">IFERROR(__xludf.DUMMYFUNCTION("""COMPUTED_VALUE"""),"Iqbal")</f>
        <v>Iqbal</v>
      </c>
      <c r="F861" s="49">
        <f ca="1">IFERROR(__xludf.DUMMYFUNCTION("""COMPUTED_VALUE"""),28000)</f>
        <v>28000</v>
      </c>
      <c r="G861" s="50" t="str">
        <f ca="1">IFERROR(__xludf.DUMMYFUNCTION("""COMPUTED_VALUE"""),"Zela")</f>
        <v>Zela</v>
      </c>
      <c r="H861" s="51">
        <f t="shared" ca="1" si="0"/>
        <v>46143</v>
      </c>
      <c r="I861" s="52" t="e">
        <f ca="1">SUMIFS(OUT!$F$2:$F$11000,OUT!$H$2:$H$11000,H861,OUT!$D$2:$D$101007,"In")</f>
        <v>#VALUE!</v>
      </c>
      <c r="J861" s="52">
        <f ca="1">SUMIFS(OUT!$F$2:$F$11000,OUT!$H$2:$H$11000,H861,OUT!$D$2:$D$11000,"Out")</f>
        <v>9490497</v>
      </c>
      <c r="K861" s="52">
        <f ca="1">SUMIFS(OUT!$F$2:$F$11000,OUT!$H$2:$H$11000,H861,OUT!$D$2:$D$11000,"Out",OUT!$E$2:$E$11000,"Fix")</f>
        <v>2703418</v>
      </c>
      <c r="L861" s="52">
        <f ca="1">SUMIFS(OUT!$F$2:$F$11000,OUT!$H$2:$H$11000,H861,OUT!$D$2:$D$11000,"Out",OUT!$E$2:$E$11000,"Bathroom")</f>
        <v>13000</v>
      </c>
      <c r="M861" s="52">
        <f ca="1">SUMIFS(OUT!$F$2:$F$11000,OUT!$H$2:$H$11000,H861,OUT!$D$2:$D$11000,"Out",OUT!$E$2:$E$11000,"Alfa")</f>
        <v>326872</v>
      </c>
      <c r="N861" s="52" t="e">
        <f ca="1">SUMIFS(OUT!$F$2:$F$11000,OUT!$H$2:$H$101007,H861,OUT!$D$2:$D$11000,"Out",OUT!$E$2:$E$11000,"Jajan")</f>
        <v>#VALUE!</v>
      </c>
      <c r="O861" s="52">
        <f ca="1">SUMIFS(OUT!$F$2:$F$11000,OUT!$H$2:$H$11000,H861,OUT!$D$2:$D$11000,"Out",OUT!$E$2:$E$11000,"Kitchen")</f>
        <v>902100</v>
      </c>
      <c r="P861" s="52">
        <f ca="1">SUMIFS(OUT!$F$2:$F$11000,OUT!$H$2:$H$11000,H861,OUT!$D$2:$D$11000,"Out",OUT!$E$2:$E$11000,"Loandry")</f>
        <v>42900</v>
      </c>
      <c r="Q861" s="52">
        <f ca="1">SUMIFS(OUT!$F$2:$F$11000,OUT!$H$2:$H$11000,H861,OUT!$D$2:$D$11000,"Out",OUT!$E$2:$E$11000,"Mio")</f>
        <v>732000</v>
      </c>
      <c r="R861" s="52">
        <f ca="1">SUMIFS(OUT!$F$2:$F$11000,OUT!$H$2:$H$11000,H861,OUT!$D$2:$D$11000,"Out",OUT!$E$2:$E$11000,"Sedekah")</f>
        <v>0</v>
      </c>
      <c r="S861" s="52">
        <f ca="1">SUMIFS(OUT!$F$2:$F$11000,OUT!$H$2:$H$11000,H861,OUT!$D$2:$D$11000,"Out",OUT!$E$2:$E$11000,"Zela")</f>
        <v>47011</v>
      </c>
      <c r="T861" s="52">
        <f ca="1">SUMIFS(OUT!$F$2:$F$11000,OUT!$H$2:$H$11000,H861,OUT!$D$2:$D$11000,"Out",OUT!$E$2:$E$11000,"Iqbal")</f>
        <v>251000</v>
      </c>
    </row>
    <row r="862" spans="1:20" x14ac:dyDescent="0.2">
      <c r="A862" s="48">
        <f ca="1">IFERROR(__xludf.DUMMYFUNCTION("""COMPUTED_VALUE"""),46169)</f>
        <v>46169</v>
      </c>
      <c r="B862" s="4" t="str">
        <f ca="1">IFERROR(__xludf.DUMMYFUNCTION("""COMPUTED_VALUE"""),"nenek prawang/Alfa ")</f>
        <v xml:space="preserve">nenek prawang/Alfa </v>
      </c>
      <c r="C862" s="4" t="str">
        <f ca="1">IFERROR(__xludf.DUMMYFUNCTION("""COMPUTED_VALUE"""),"Cash")</f>
        <v>Cash</v>
      </c>
      <c r="D862" s="4" t="str">
        <f ca="1">IFERROR(__xludf.DUMMYFUNCTION("""COMPUTED_VALUE"""),"In")</f>
        <v>In</v>
      </c>
      <c r="E862" s="4" t="str">
        <f ca="1">IFERROR(__xludf.DUMMYFUNCTION("""COMPUTED_VALUE"""),"Alfa")</f>
        <v>Alfa</v>
      </c>
      <c r="F862" s="49">
        <f ca="1">IFERROR(__xludf.DUMMYFUNCTION("""COMPUTED_VALUE"""),20000)</f>
        <v>20000</v>
      </c>
      <c r="G862" s="50" t="str">
        <f ca="1">IFERROR(__xludf.DUMMYFUNCTION("""COMPUTED_VALUE"""),"Zela")</f>
        <v>Zela</v>
      </c>
      <c r="H862" s="51">
        <f t="shared" ca="1" si="0"/>
        <v>46143</v>
      </c>
      <c r="I862" s="52" t="e">
        <f ca="1">SUMIFS(OUT!$F$2:$F$11000,OUT!$H$2:$H$11000,H862,OUT!$D$2:$D$101007,"In")</f>
        <v>#VALUE!</v>
      </c>
      <c r="J862" s="52">
        <f ca="1">SUMIFS(OUT!$F$2:$F$11000,OUT!$H$2:$H$11000,H862,OUT!$D$2:$D$11000,"Out")</f>
        <v>9490497</v>
      </c>
      <c r="K862" s="52">
        <f ca="1">SUMIFS(OUT!$F$2:$F$11000,OUT!$H$2:$H$11000,H862,OUT!$D$2:$D$11000,"Out",OUT!$E$2:$E$11000,"Fix")</f>
        <v>2703418</v>
      </c>
      <c r="L862" s="52">
        <f ca="1">SUMIFS(OUT!$F$2:$F$11000,OUT!$H$2:$H$11000,H862,OUT!$D$2:$D$11000,"Out",OUT!$E$2:$E$11000,"Bathroom")</f>
        <v>13000</v>
      </c>
      <c r="M862" s="52">
        <f ca="1">SUMIFS(OUT!$F$2:$F$11000,OUT!$H$2:$H$11000,H862,OUT!$D$2:$D$11000,"Out",OUT!$E$2:$E$11000,"Alfa")</f>
        <v>326872</v>
      </c>
      <c r="N862" s="52" t="e">
        <f ca="1">SUMIFS(OUT!$F$2:$F$11000,OUT!$H$2:$H$101007,H862,OUT!$D$2:$D$11000,"Out",OUT!$E$2:$E$11000,"Jajan")</f>
        <v>#VALUE!</v>
      </c>
      <c r="O862" s="52">
        <f ca="1">SUMIFS(OUT!$F$2:$F$11000,OUT!$H$2:$H$11000,H862,OUT!$D$2:$D$11000,"Out",OUT!$E$2:$E$11000,"Kitchen")</f>
        <v>902100</v>
      </c>
      <c r="P862" s="52">
        <f ca="1">SUMIFS(OUT!$F$2:$F$11000,OUT!$H$2:$H$11000,H862,OUT!$D$2:$D$11000,"Out",OUT!$E$2:$E$11000,"Loandry")</f>
        <v>42900</v>
      </c>
      <c r="Q862" s="52">
        <f ca="1">SUMIFS(OUT!$F$2:$F$11000,OUT!$H$2:$H$11000,H862,OUT!$D$2:$D$11000,"Out",OUT!$E$2:$E$11000,"Mio")</f>
        <v>732000</v>
      </c>
      <c r="R862" s="52">
        <f ca="1">SUMIFS(OUT!$F$2:$F$11000,OUT!$H$2:$H$11000,H862,OUT!$D$2:$D$11000,"Out",OUT!$E$2:$E$11000,"Sedekah")</f>
        <v>0</v>
      </c>
      <c r="S862" s="52">
        <f ca="1">SUMIFS(OUT!$F$2:$F$11000,OUT!$H$2:$H$11000,H862,OUT!$D$2:$D$11000,"Out",OUT!$E$2:$E$11000,"Zela")</f>
        <v>47011</v>
      </c>
      <c r="T862" s="52">
        <f ca="1">SUMIFS(OUT!$F$2:$F$11000,OUT!$H$2:$H$11000,H862,OUT!$D$2:$D$11000,"Out",OUT!$E$2:$E$11000,"Iqbal")</f>
        <v>251000</v>
      </c>
    </row>
    <row r="863" spans="1:20" x14ac:dyDescent="0.2">
      <c r="A863" s="48">
        <f ca="1">IFERROR(__xludf.DUMMYFUNCTION("""COMPUTED_VALUE"""),46171)</f>
        <v>46171</v>
      </c>
      <c r="B863" s="4" t="str">
        <f ca="1">IFERROR(__xludf.DUMMYFUNCTION("""COMPUTED_VALUE"""),"pasar Kaget ")</f>
        <v xml:space="preserve">pasar Kaget </v>
      </c>
      <c r="C863" s="4" t="str">
        <f ca="1">IFERROR(__xludf.DUMMYFUNCTION("""COMPUTED_VALUE"""),"Cash")</f>
        <v>Cash</v>
      </c>
      <c r="D863" s="4" t="str">
        <f ca="1">IFERROR(__xludf.DUMMYFUNCTION("""COMPUTED_VALUE"""),"Out")</f>
        <v>Out</v>
      </c>
      <c r="E863" s="4" t="str">
        <f ca="1">IFERROR(__xludf.DUMMYFUNCTION("""COMPUTED_VALUE"""),"Kitchen")</f>
        <v>Kitchen</v>
      </c>
      <c r="F863" s="49">
        <f ca="1">IFERROR(__xludf.DUMMYFUNCTION("""COMPUTED_VALUE"""),88400)</f>
        <v>88400</v>
      </c>
      <c r="G863" s="50" t="str">
        <f ca="1">IFERROR(__xludf.DUMMYFUNCTION("""COMPUTED_VALUE"""),"Zela")</f>
        <v>Zela</v>
      </c>
      <c r="H863" s="51">
        <f t="shared" ca="1" si="0"/>
        <v>46143</v>
      </c>
      <c r="I863" s="52" t="e">
        <f ca="1">SUMIFS(OUT!$F$2:$F$11000,OUT!$H$2:$H$11000,H863,OUT!$D$2:$D$101007,"In")</f>
        <v>#VALUE!</v>
      </c>
      <c r="J863" s="52">
        <f ca="1">SUMIFS(OUT!$F$2:$F$11000,OUT!$H$2:$H$11000,H863,OUT!$D$2:$D$11000,"Out")</f>
        <v>9490497</v>
      </c>
      <c r="K863" s="52">
        <f ca="1">SUMIFS(OUT!$F$2:$F$11000,OUT!$H$2:$H$11000,H863,OUT!$D$2:$D$11000,"Out",OUT!$E$2:$E$11000,"Fix")</f>
        <v>2703418</v>
      </c>
      <c r="L863" s="52">
        <f ca="1">SUMIFS(OUT!$F$2:$F$11000,OUT!$H$2:$H$11000,H863,OUT!$D$2:$D$11000,"Out",OUT!$E$2:$E$11000,"Bathroom")</f>
        <v>13000</v>
      </c>
      <c r="M863" s="52">
        <f ca="1">SUMIFS(OUT!$F$2:$F$11000,OUT!$H$2:$H$11000,H863,OUT!$D$2:$D$11000,"Out",OUT!$E$2:$E$11000,"Alfa")</f>
        <v>326872</v>
      </c>
      <c r="N863" s="52" t="e">
        <f ca="1">SUMIFS(OUT!$F$2:$F$11000,OUT!$H$2:$H$101007,H863,OUT!$D$2:$D$11000,"Out",OUT!$E$2:$E$11000,"Jajan")</f>
        <v>#VALUE!</v>
      </c>
      <c r="O863" s="52">
        <f ca="1">SUMIFS(OUT!$F$2:$F$11000,OUT!$H$2:$H$11000,H863,OUT!$D$2:$D$11000,"Out",OUT!$E$2:$E$11000,"Kitchen")</f>
        <v>902100</v>
      </c>
      <c r="P863" s="52">
        <f ca="1">SUMIFS(OUT!$F$2:$F$11000,OUT!$H$2:$H$11000,H863,OUT!$D$2:$D$11000,"Out",OUT!$E$2:$E$11000,"Loandry")</f>
        <v>42900</v>
      </c>
      <c r="Q863" s="52">
        <f ca="1">SUMIFS(OUT!$F$2:$F$11000,OUT!$H$2:$H$11000,H863,OUT!$D$2:$D$11000,"Out",OUT!$E$2:$E$11000,"Mio")</f>
        <v>732000</v>
      </c>
      <c r="R863" s="52">
        <f ca="1">SUMIFS(OUT!$F$2:$F$11000,OUT!$H$2:$H$11000,H863,OUT!$D$2:$D$11000,"Out",OUT!$E$2:$E$11000,"Sedekah")</f>
        <v>0</v>
      </c>
      <c r="S863" s="52">
        <f ca="1">SUMIFS(OUT!$F$2:$F$11000,OUT!$H$2:$H$11000,H863,OUT!$D$2:$D$11000,"Out",OUT!$E$2:$E$11000,"Zela")</f>
        <v>47011</v>
      </c>
      <c r="T863" s="52">
        <f ca="1">SUMIFS(OUT!$F$2:$F$11000,OUT!$H$2:$H$11000,H863,OUT!$D$2:$D$11000,"Out",OUT!$E$2:$E$11000,"Iqbal")</f>
        <v>251000</v>
      </c>
    </row>
    <row r="864" spans="1:20" x14ac:dyDescent="0.2">
      <c r="A864" s="48">
        <f ca="1">IFERROR(__xludf.DUMMYFUNCTION("""COMPUTED_VALUE"""),46171)</f>
        <v>46171</v>
      </c>
      <c r="B864" s="4" t="str">
        <f ca="1">IFERROR(__xludf.DUMMYFUNCTION("""COMPUTED_VALUE"""),"Saldo Tiktok ")</f>
        <v xml:space="preserve">Saldo Tiktok </v>
      </c>
      <c r="C864" s="4" t="str">
        <f ca="1">IFERROR(__xludf.DUMMYFUNCTION("""COMPUTED_VALUE"""),"ATM")</f>
        <v>ATM</v>
      </c>
      <c r="D864" s="4" t="str">
        <f ca="1">IFERROR(__xludf.DUMMYFUNCTION("""COMPUTED_VALUE"""),"In")</f>
        <v>In</v>
      </c>
      <c r="E864" s="4" t="str">
        <f ca="1">IFERROR(__xludf.DUMMYFUNCTION("""COMPUTED_VALUE"""),"Fix")</f>
        <v>Fix</v>
      </c>
      <c r="F864" s="49">
        <f ca="1">IFERROR(__xludf.DUMMYFUNCTION("""COMPUTED_VALUE"""),110284)</f>
        <v>110284</v>
      </c>
      <c r="G864" s="50" t="str">
        <f ca="1">IFERROR(__xludf.DUMMYFUNCTION("""COMPUTED_VALUE"""),"Zela")</f>
        <v>Zela</v>
      </c>
      <c r="H864" s="51">
        <f t="shared" ca="1" si="0"/>
        <v>46143</v>
      </c>
      <c r="I864" s="52" t="e">
        <f ca="1">SUMIFS(OUT!$F$2:$F$11000,OUT!$H$2:$H$11000,H864,OUT!$D$2:$D$101007,"In")</f>
        <v>#VALUE!</v>
      </c>
      <c r="J864" s="52">
        <f ca="1">SUMIFS(OUT!$F$2:$F$11000,OUT!$H$2:$H$11000,H864,OUT!$D$2:$D$11000,"Out")</f>
        <v>9490497</v>
      </c>
      <c r="K864" s="52">
        <f ca="1">SUMIFS(OUT!$F$2:$F$11000,OUT!$H$2:$H$11000,H864,OUT!$D$2:$D$11000,"Out",OUT!$E$2:$E$11000,"Fix")</f>
        <v>2703418</v>
      </c>
      <c r="L864" s="52">
        <f ca="1">SUMIFS(OUT!$F$2:$F$11000,OUT!$H$2:$H$11000,H864,OUT!$D$2:$D$11000,"Out",OUT!$E$2:$E$11000,"Bathroom")</f>
        <v>13000</v>
      </c>
      <c r="M864" s="52">
        <f ca="1">SUMIFS(OUT!$F$2:$F$11000,OUT!$H$2:$H$11000,H864,OUT!$D$2:$D$11000,"Out",OUT!$E$2:$E$11000,"Alfa")</f>
        <v>326872</v>
      </c>
      <c r="N864" s="52" t="e">
        <f ca="1">SUMIFS(OUT!$F$2:$F$11000,OUT!$H$2:$H$101007,H864,OUT!$D$2:$D$11000,"Out",OUT!$E$2:$E$11000,"Jajan")</f>
        <v>#VALUE!</v>
      </c>
      <c r="O864" s="52">
        <f ca="1">SUMIFS(OUT!$F$2:$F$11000,OUT!$H$2:$H$11000,H864,OUT!$D$2:$D$11000,"Out",OUT!$E$2:$E$11000,"Kitchen")</f>
        <v>902100</v>
      </c>
      <c r="P864" s="52">
        <f ca="1">SUMIFS(OUT!$F$2:$F$11000,OUT!$H$2:$H$11000,H864,OUT!$D$2:$D$11000,"Out",OUT!$E$2:$E$11000,"Loandry")</f>
        <v>42900</v>
      </c>
      <c r="Q864" s="52">
        <f ca="1">SUMIFS(OUT!$F$2:$F$11000,OUT!$H$2:$H$11000,H864,OUT!$D$2:$D$11000,"Out",OUT!$E$2:$E$11000,"Mio")</f>
        <v>732000</v>
      </c>
      <c r="R864" s="52">
        <f ca="1">SUMIFS(OUT!$F$2:$F$11000,OUT!$H$2:$H$11000,H864,OUT!$D$2:$D$11000,"Out",OUT!$E$2:$E$11000,"Sedekah")</f>
        <v>0</v>
      </c>
      <c r="S864" s="52">
        <f ca="1">SUMIFS(OUT!$F$2:$F$11000,OUT!$H$2:$H$11000,H864,OUT!$D$2:$D$11000,"Out",OUT!$E$2:$E$11000,"Zela")</f>
        <v>47011</v>
      </c>
      <c r="T864" s="52">
        <f ca="1">SUMIFS(OUT!$F$2:$F$11000,OUT!$H$2:$H$11000,H864,OUT!$D$2:$D$11000,"Out",OUT!$E$2:$E$11000,"Iqbal")</f>
        <v>251000</v>
      </c>
    </row>
    <row r="865" spans="1:20" x14ac:dyDescent="0.2">
      <c r="A865" s="48">
        <f ca="1">IFERROR(__xludf.DUMMYFUNCTION("""COMPUTED_VALUE"""),46172)</f>
        <v>46172</v>
      </c>
      <c r="B865" s="4" t="str">
        <f ca="1">IFERROR(__xludf.DUMMYFUNCTION("""COMPUTED_VALUE"""),"tarik tunai")</f>
        <v>tarik tunai</v>
      </c>
      <c r="C865" s="4" t="str">
        <f ca="1">IFERROR(__xludf.DUMMYFUNCTION("""COMPUTED_VALUE"""),"ATM")</f>
        <v>ATM</v>
      </c>
      <c r="D865" s="4" t="str">
        <f ca="1">IFERROR(__xludf.DUMMYFUNCTION("""COMPUTED_VALUE"""),"Out")</f>
        <v>Out</v>
      </c>
      <c r="E865" s="4" t="str">
        <f ca="1">IFERROR(__xludf.DUMMYFUNCTION("""COMPUTED_VALUE"""),"Move")</f>
        <v>Move</v>
      </c>
      <c r="F865" s="49">
        <f ca="1">IFERROR(__xludf.DUMMYFUNCTION("""COMPUTED_VALUE"""),100000)</f>
        <v>100000</v>
      </c>
      <c r="G865" s="50" t="str">
        <f ca="1">IFERROR(__xludf.DUMMYFUNCTION("""COMPUTED_VALUE"""),"Zela")</f>
        <v>Zela</v>
      </c>
      <c r="H865" s="51">
        <f t="shared" ca="1" si="0"/>
        <v>46143</v>
      </c>
      <c r="I865" s="52" t="e">
        <f ca="1">SUMIFS(OUT!$F$2:$F$11000,OUT!$H$2:$H$11000,H865,OUT!$D$2:$D$101007,"In")</f>
        <v>#VALUE!</v>
      </c>
      <c r="J865" s="52">
        <f ca="1">SUMIFS(OUT!$F$2:$F$11000,OUT!$H$2:$H$11000,H865,OUT!$D$2:$D$11000,"Out")</f>
        <v>9490497</v>
      </c>
      <c r="K865" s="52">
        <f ca="1">SUMIFS(OUT!$F$2:$F$11000,OUT!$H$2:$H$11000,H865,OUT!$D$2:$D$11000,"Out",OUT!$E$2:$E$11000,"Fix")</f>
        <v>2703418</v>
      </c>
      <c r="L865" s="52">
        <f ca="1">SUMIFS(OUT!$F$2:$F$11000,OUT!$H$2:$H$11000,H865,OUT!$D$2:$D$11000,"Out",OUT!$E$2:$E$11000,"Bathroom")</f>
        <v>13000</v>
      </c>
      <c r="M865" s="52">
        <f ca="1">SUMIFS(OUT!$F$2:$F$11000,OUT!$H$2:$H$11000,H865,OUT!$D$2:$D$11000,"Out",OUT!$E$2:$E$11000,"Alfa")</f>
        <v>326872</v>
      </c>
      <c r="N865" s="52" t="e">
        <f ca="1">SUMIFS(OUT!$F$2:$F$11000,OUT!$H$2:$H$101007,H865,OUT!$D$2:$D$11000,"Out",OUT!$E$2:$E$11000,"Jajan")</f>
        <v>#VALUE!</v>
      </c>
      <c r="O865" s="52">
        <f ca="1">SUMIFS(OUT!$F$2:$F$11000,OUT!$H$2:$H$11000,H865,OUT!$D$2:$D$11000,"Out",OUT!$E$2:$E$11000,"Kitchen")</f>
        <v>902100</v>
      </c>
      <c r="P865" s="52">
        <f ca="1">SUMIFS(OUT!$F$2:$F$11000,OUT!$H$2:$H$11000,H865,OUT!$D$2:$D$11000,"Out",OUT!$E$2:$E$11000,"Loandry")</f>
        <v>42900</v>
      </c>
      <c r="Q865" s="52">
        <f ca="1">SUMIFS(OUT!$F$2:$F$11000,OUT!$H$2:$H$11000,H865,OUT!$D$2:$D$11000,"Out",OUT!$E$2:$E$11000,"Mio")</f>
        <v>732000</v>
      </c>
      <c r="R865" s="52">
        <f ca="1">SUMIFS(OUT!$F$2:$F$11000,OUT!$H$2:$H$11000,H865,OUT!$D$2:$D$11000,"Out",OUT!$E$2:$E$11000,"Sedekah")</f>
        <v>0</v>
      </c>
      <c r="S865" s="52">
        <f ca="1">SUMIFS(OUT!$F$2:$F$11000,OUT!$H$2:$H$11000,H865,OUT!$D$2:$D$11000,"Out",OUT!$E$2:$E$11000,"Zela")</f>
        <v>47011</v>
      </c>
      <c r="T865" s="52">
        <f ca="1">SUMIFS(OUT!$F$2:$F$11000,OUT!$H$2:$H$11000,H865,OUT!$D$2:$D$11000,"Out",OUT!$E$2:$E$11000,"Iqbal")</f>
        <v>251000</v>
      </c>
    </row>
    <row r="866" spans="1:20" x14ac:dyDescent="0.2">
      <c r="A866" s="48">
        <f ca="1">IFERROR(__xludf.DUMMYFUNCTION("""COMPUTED_VALUE"""),46172)</f>
        <v>46172</v>
      </c>
      <c r="B866" s="4" t="str">
        <f ca="1">IFERROR(__xludf.DUMMYFUNCTION("""COMPUTED_VALUE"""),"terima tunai")</f>
        <v>terima tunai</v>
      </c>
      <c r="C866" s="4" t="str">
        <f ca="1">IFERROR(__xludf.DUMMYFUNCTION("""COMPUTED_VALUE"""),"Cash")</f>
        <v>Cash</v>
      </c>
      <c r="D866" s="4" t="str">
        <f ca="1">IFERROR(__xludf.DUMMYFUNCTION("""COMPUTED_VALUE"""),"In")</f>
        <v>In</v>
      </c>
      <c r="E866" s="4" t="str">
        <f ca="1">IFERROR(__xludf.DUMMYFUNCTION("""COMPUTED_VALUE"""),"Move")</f>
        <v>Move</v>
      </c>
      <c r="F866" s="49">
        <f ca="1">IFERROR(__xludf.DUMMYFUNCTION("""COMPUTED_VALUE"""),100000)</f>
        <v>100000</v>
      </c>
      <c r="G866" s="50" t="str">
        <f ca="1">IFERROR(__xludf.DUMMYFUNCTION("""COMPUTED_VALUE"""),"Zela")</f>
        <v>Zela</v>
      </c>
      <c r="H866" s="51">
        <f t="shared" ca="1" si="0"/>
        <v>46143</v>
      </c>
      <c r="I866" s="52" t="e">
        <f ca="1">SUMIFS(OUT!$F$2:$F$11000,OUT!$H$2:$H$11000,H866,OUT!$D$2:$D$101007,"In")</f>
        <v>#VALUE!</v>
      </c>
      <c r="J866" s="52">
        <f ca="1">SUMIFS(OUT!$F$2:$F$11000,OUT!$H$2:$H$11000,H866,OUT!$D$2:$D$11000,"Out")</f>
        <v>9490497</v>
      </c>
      <c r="K866" s="52">
        <f ca="1">SUMIFS(OUT!$F$2:$F$11000,OUT!$H$2:$H$11000,H866,OUT!$D$2:$D$11000,"Out",OUT!$E$2:$E$11000,"Fix")</f>
        <v>2703418</v>
      </c>
      <c r="L866" s="52">
        <f ca="1">SUMIFS(OUT!$F$2:$F$11000,OUT!$H$2:$H$11000,H866,OUT!$D$2:$D$11000,"Out",OUT!$E$2:$E$11000,"Bathroom")</f>
        <v>13000</v>
      </c>
      <c r="M866" s="52">
        <f ca="1">SUMIFS(OUT!$F$2:$F$11000,OUT!$H$2:$H$11000,H866,OUT!$D$2:$D$11000,"Out",OUT!$E$2:$E$11000,"Alfa")</f>
        <v>326872</v>
      </c>
      <c r="N866" s="52" t="e">
        <f ca="1">SUMIFS(OUT!$F$2:$F$11000,OUT!$H$2:$H$101007,H866,OUT!$D$2:$D$11000,"Out",OUT!$E$2:$E$11000,"Jajan")</f>
        <v>#VALUE!</v>
      </c>
      <c r="O866" s="52">
        <f ca="1">SUMIFS(OUT!$F$2:$F$11000,OUT!$H$2:$H$11000,H866,OUT!$D$2:$D$11000,"Out",OUT!$E$2:$E$11000,"Kitchen")</f>
        <v>902100</v>
      </c>
      <c r="P866" s="52">
        <f ca="1">SUMIFS(OUT!$F$2:$F$11000,OUT!$H$2:$H$11000,H866,OUT!$D$2:$D$11000,"Out",OUT!$E$2:$E$11000,"Loandry")</f>
        <v>42900</v>
      </c>
      <c r="Q866" s="52">
        <f ca="1">SUMIFS(OUT!$F$2:$F$11000,OUT!$H$2:$H$11000,H866,OUT!$D$2:$D$11000,"Out",OUT!$E$2:$E$11000,"Mio")</f>
        <v>732000</v>
      </c>
      <c r="R866" s="52">
        <f ca="1">SUMIFS(OUT!$F$2:$F$11000,OUT!$H$2:$H$11000,H866,OUT!$D$2:$D$11000,"Out",OUT!$E$2:$E$11000,"Sedekah")</f>
        <v>0</v>
      </c>
      <c r="S866" s="52">
        <f ca="1">SUMIFS(OUT!$F$2:$F$11000,OUT!$H$2:$H$11000,H866,OUT!$D$2:$D$11000,"Out",OUT!$E$2:$E$11000,"Zela")</f>
        <v>47011</v>
      </c>
      <c r="T866" s="52">
        <f ca="1">SUMIFS(OUT!$F$2:$F$11000,OUT!$H$2:$H$11000,H866,OUT!$D$2:$D$11000,"Out",OUT!$E$2:$E$11000,"Iqbal")</f>
        <v>251000</v>
      </c>
    </row>
    <row r="867" spans="1:20" x14ac:dyDescent="0.2">
      <c r="A867" s="48">
        <f ca="1">IFERROR(__xludf.DUMMYFUNCTION("""COMPUTED_VALUE"""),46172)</f>
        <v>46172</v>
      </c>
      <c r="B867" s="4" t="str">
        <f ca="1">IFERROR(__xludf.DUMMYFUNCTION("""COMPUTED_VALUE"""),"mie balap")</f>
        <v>mie balap</v>
      </c>
      <c r="C867" s="4" t="str">
        <f ca="1">IFERROR(__xludf.DUMMYFUNCTION("""COMPUTED_VALUE"""),"Cash")</f>
        <v>Cash</v>
      </c>
      <c r="D867" s="4" t="str">
        <f ca="1">IFERROR(__xludf.DUMMYFUNCTION("""COMPUTED_VALUE"""),"Out")</f>
        <v>Out</v>
      </c>
      <c r="E867" s="4" t="str">
        <f ca="1">IFERROR(__xludf.DUMMYFUNCTION("""COMPUTED_VALUE"""),"Jajan")</f>
        <v>Jajan</v>
      </c>
      <c r="F867" s="49">
        <f ca="1">IFERROR(__xludf.DUMMYFUNCTION("""COMPUTED_VALUE"""),8000)</f>
        <v>8000</v>
      </c>
      <c r="G867" s="50" t="str">
        <f ca="1">IFERROR(__xludf.DUMMYFUNCTION("""COMPUTED_VALUE"""),"Zela")</f>
        <v>Zela</v>
      </c>
      <c r="H867" s="51">
        <f t="shared" ca="1" si="0"/>
        <v>46143</v>
      </c>
      <c r="I867" s="52" t="e">
        <f ca="1">SUMIFS(OUT!$F$2:$F$11000,OUT!$H$2:$H$11000,H867,OUT!$D$2:$D$101007,"In")</f>
        <v>#VALUE!</v>
      </c>
      <c r="J867" s="52">
        <f ca="1">SUMIFS(OUT!$F$2:$F$11000,OUT!$H$2:$H$11000,H867,OUT!$D$2:$D$11000,"Out")</f>
        <v>9490497</v>
      </c>
      <c r="K867" s="52">
        <f ca="1">SUMIFS(OUT!$F$2:$F$11000,OUT!$H$2:$H$11000,H867,OUT!$D$2:$D$11000,"Out",OUT!$E$2:$E$11000,"Fix")</f>
        <v>2703418</v>
      </c>
      <c r="L867" s="52">
        <f ca="1">SUMIFS(OUT!$F$2:$F$11000,OUT!$H$2:$H$11000,H867,OUT!$D$2:$D$11000,"Out",OUT!$E$2:$E$11000,"Bathroom")</f>
        <v>13000</v>
      </c>
      <c r="M867" s="52">
        <f ca="1">SUMIFS(OUT!$F$2:$F$11000,OUT!$H$2:$H$11000,H867,OUT!$D$2:$D$11000,"Out",OUT!$E$2:$E$11000,"Alfa")</f>
        <v>326872</v>
      </c>
      <c r="N867" s="52" t="e">
        <f ca="1">SUMIFS(OUT!$F$2:$F$11000,OUT!$H$2:$H$101007,H867,OUT!$D$2:$D$11000,"Out",OUT!$E$2:$E$11000,"Jajan")</f>
        <v>#VALUE!</v>
      </c>
      <c r="O867" s="52">
        <f ca="1">SUMIFS(OUT!$F$2:$F$11000,OUT!$H$2:$H$11000,H867,OUT!$D$2:$D$11000,"Out",OUT!$E$2:$E$11000,"Kitchen")</f>
        <v>902100</v>
      </c>
      <c r="P867" s="52">
        <f ca="1">SUMIFS(OUT!$F$2:$F$11000,OUT!$H$2:$H$11000,H867,OUT!$D$2:$D$11000,"Out",OUT!$E$2:$E$11000,"Loandry")</f>
        <v>42900</v>
      </c>
      <c r="Q867" s="52">
        <f ca="1">SUMIFS(OUT!$F$2:$F$11000,OUT!$H$2:$H$11000,H867,OUT!$D$2:$D$11000,"Out",OUT!$E$2:$E$11000,"Mio")</f>
        <v>732000</v>
      </c>
      <c r="R867" s="52">
        <f ca="1">SUMIFS(OUT!$F$2:$F$11000,OUT!$H$2:$H$11000,H867,OUT!$D$2:$D$11000,"Out",OUT!$E$2:$E$11000,"Sedekah")</f>
        <v>0</v>
      </c>
      <c r="S867" s="52">
        <f ca="1">SUMIFS(OUT!$F$2:$F$11000,OUT!$H$2:$H$11000,H867,OUT!$D$2:$D$11000,"Out",OUT!$E$2:$E$11000,"Zela")</f>
        <v>47011</v>
      </c>
      <c r="T867" s="52">
        <f ca="1">SUMIFS(OUT!$F$2:$F$11000,OUT!$H$2:$H$11000,H867,OUT!$D$2:$D$11000,"Out",OUT!$E$2:$E$11000,"Iqbal")</f>
        <v>251000</v>
      </c>
    </row>
    <row r="868" spans="1:20" x14ac:dyDescent="0.2">
      <c r="A868" s="48">
        <f ca="1">IFERROR(__xludf.DUMMYFUNCTION("""COMPUTED_VALUE"""),46172)</f>
        <v>46172</v>
      </c>
      <c r="B868" s="4" t="str">
        <f ca="1">IFERROR(__xludf.DUMMYFUNCTION("""COMPUTED_VALUE"""),"racik nasgor + gula")</f>
        <v>racik nasgor + gula</v>
      </c>
      <c r="C868" s="4" t="str">
        <f ca="1">IFERROR(__xludf.DUMMYFUNCTION("""COMPUTED_VALUE"""),"Cash")</f>
        <v>Cash</v>
      </c>
      <c r="D868" s="4" t="str">
        <f ca="1">IFERROR(__xludf.DUMMYFUNCTION("""COMPUTED_VALUE"""),"Out")</f>
        <v>Out</v>
      </c>
      <c r="E868" s="4" t="str">
        <f ca="1">IFERROR(__xludf.DUMMYFUNCTION("""COMPUTED_VALUE"""),"Kitchen")</f>
        <v>Kitchen</v>
      </c>
      <c r="F868" s="49">
        <f ca="1">IFERROR(__xludf.DUMMYFUNCTION("""COMPUTED_VALUE"""),7500)</f>
        <v>7500</v>
      </c>
      <c r="G868" s="50" t="str">
        <f ca="1">IFERROR(__xludf.DUMMYFUNCTION("""COMPUTED_VALUE"""),"Zela")</f>
        <v>Zela</v>
      </c>
      <c r="H868" s="51">
        <f t="shared" ca="1" si="0"/>
        <v>46143</v>
      </c>
      <c r="I868" s="52" t="e">
        <f ca="1">SUMIFS(OUT!$F$2:$F$11000,OUT!$H$2:$H$11000,H868,OUT!$D$2:$D$101007,"In")</f>
        <v>#VALUE!</v>
      </c>
      <c r="J868" s="52">
        <f ca="1">SUMIFS(OUT!$F$2:$F$11000,OUT!$H$2:$H$11000,H868,OUT!$D$2:$D$11000,"Out")</f>
        <v>9490497</v>
      </c>
      <c r="K868" s="52">
        <f ca="1">SUMIFS(OUT!$F$2:$F$11000,OUT!$H$2:$H$11000,H868,OUT!$D$2:$D$11000,"Out",OUT!$E$2:$E$11000,"Fix")</f>
        <v>2703418</v>
      </c>
      <c r="L868" s="52">
        <f ca="1">SUMIFS(OUT!$F$2:$F$11000,OUT!$H$2:$H$11000,H868,OUT!$D$2:$D$11000,"Out",OUT!$E$2:$E$11000,"Bathroom")</f>
        <v>13000</v>
      </c>
      <c r="M868" s="52">
        <f ca="1">SUMIFS(OUT!$F$2:$F$11000,OUT!$H$2:$H$11000,H868,OUT!$D$2:$D$11000,"Out",OUT!$E$2:$E$11000,"Alfa")</f>
        <v>326872</v>
      </c>
      <c r="N868" s="52" t="e">
        <f ca="1">SUMIFS(OUT!$F$2:$F$11000,OUT!$H$2:$H$101007,H868,OUT!$D$2:$D$11000,"Out",OUT!$E$2:$E$11000,"Jajan")</f>
        <v>#VALUE!</v>
      </c>
      <c r="O868" s="52">
        <f ca="1">SUMIFS(OUT!$F$2:$F$11000,OUT!$H$2:$H$11000,H868,OUT!$D$2:$D$11000,"Out",OUT!$E$2:$E$11000,"Kitchen")</f>
        <v>902100</v>
      </c>
      <c r="P868" s="52">
        <f ca="1">SUMIFS(OUT!$F$2:$F$11000,OUT!$H$2:$H$11000,H868,OUT!$D$2:$D$11000,"Out",OUT!$E$2:$E$11000,"Loandry")</f>
        <v>42900</v>
      </c>
      <c r="Q868" s="52">
        <f ca="1">SUMIFS(OUT!$F$2:$F$11000,OUT!$H$2:$H$11000,H868,OUT!$D$2:$D$11000,"Out",OUT!$E$2:$E$11000,"Mio")</f>
        <v>732000</v>
      </c>
      <c r="R868" s="52">
        <f ca="1">SUMIFS(OUT!$F$2:$F$11000,OUT!$H$2:$H$11000,H868,OUT!$D$2:$D$11000,"Out",OUT!$E$2:$E$11000,"Sedekah")</f>
        <v>0</v>
      </c>
      <c r="S868" s="52">
        <f ca="1">SUMIFS(OUT!$F$2:$F$11000,OUT!$H$2:$H$11000,H868,OUT!$D$2:$D$11000,"Out",OUT!$E$2:$E$11000,"Zela")</f>
        <v>47011</v>
      </c>
      <c r="T868" s="52">
        <f ca="1">SUMIFS(OUT!$F$2:$F$11000,OUT!$H$2:$H$11000,H868,OUT!$D$2:$D$11000,"Out",OUT!$E$2:$E$11000,"Iqbal")</f>
        <v>251000</v>
      </c>
    </row>
    <row r="869" spans="1:20" x14ac:dyDescent="0.2">
      <c r="A869" s="48">
        <f ca="1">IFERROR(__xludf.DUMMYFUNCTION("""COMPUTED_VALUE"""),46172)</f>
        <v>46172</v>
      </c>
      <c r="B869" s="4" t="str">
        <f ca="1">IFERROR(__xludf.DUMMYFUNCTION("""COMPUTED_VALUE"""),"molen")</f>
        <v>molen</v>
      </c>
      <c r="C869" s="4" t="str">
        <f ca="1">IFERROR(__xludf.DUMMYFUNCTION("""COMPUTED_VALUE"""),"Cash")</f>
        <v>Cash</v>
      </c>
      <c r="D869" s="4" t="str">
        <f ca="1">IFERROR(__xludf.DUMMYFUNCTION("""COMPUTED_VALUE"""),"Out")</f>
        <v>Out</v>
      </c>
      <c r="E869" s="4" t="str">
        <f ca="1">IFERROR(__xludf.DUMMYFUNCTION("""COMPUTED_VALUE"""),"Jajan")</f>
        <v>Jajan</v>
      </c>
      <c r="F869" s="49">
        <f ca="1">IFERROR(__xludf.DUMMYFUNCTION("""COMPUTED_VALUE"""),10000)</f>
        <v>10000</v>
      </c>
      <c r="G869" s="50" t="str">
        <f ca="1">IFERROR(__xludf.DUMMYFUNCTION("""COMPUTED_VALUE"""),"Zela")</f>
        <v>Zela</v>
      </c>
      <c r="H869" s="51">
        <f t="shared" ca="1" si="0"/>
        <v>46143</v>
      </c>
      <c r="I869" s="52" t="e">
        <f ca="1">SUMIFS(OUT!$F$2:$F$11000,OUT!$H$2:$H$11000,H869,OUT!$D$2:$D$101007,"In")</f>
        <v>#VALUE!</v>
      </c>
      <c r="J869" s="52">
        <f ca="1">SUMIFS(OUT!$F$2:$F$11000,OUT!$H$2:$H$11000,H869,OUT!$D$2:$D$11000,"Out")</f>
        <v>9490497</v>
      </c>
      <c r="K869" s="52">
        <f ca="1">SUMIFS(OUT!$F$2:$F$11000,OUT!$H$2:$H$11000,H869,OUT!$D$2:$D$11000,"Out",OUT!$E$2:$E$11000,"Fix")</f>
        <v>2703418</v>
      </c>
      <c r="L869" s="52">
        <f ca="1">SUMIFS(OUT!$F$2:$F$11000,OUT!$H$2:$H$11000,H869,OUT!$D$2:$D$11000,"Out",OUT!$E$2:$E$11000,"Bathroom")</f>
        <v>13000</v>
      </c>
      <c r="M869" s="52">
        <f ca="1">SUMIFS(OUT!$F$2:$F$11000,OUT!$H$2:$H$11000,H869,OUT!$D$2:$D$11000,"Out",OUT!$E$2:$E$11000,"Alfa")</f>
        <v>326872</v>
      </c>
      <c r="N869" s="52" t="e">
        <f ca="1">SUMIFS(OUT!$F$2:$F$11000,OUT!$H$2:$H$101007,H869,OUT!$D$2:$D$11000,"Out",OUT!$E$2:$E$11000,"Jajan")</f>
        <v>#VALUE!</v>
      </c>
      <c r="O869" s="52">
        <f ca="1">SUMIFS(OUT!$F$2:$F$11000,OUT!$H$2:$H$11000,H869,OUT!$D$2:$D$11000,"Out",OUT!$E$2:$E$11000,"Kitchen")</f>
        <v>902100</v>
      </c>
      <c r="P869" s="52">
        <f ca="1">SUMIFS(OUT!$F$2:$F$11000,OUT!$H$2:$H$11000,H869,OUT!$D$2:$D$11000,"Out",OUT!$E$2:$E$11000,"Loandry")</f>
        <v>42900</v>
      </c>
      <c r="Q869" s="52">
        <f ca="1">SUMIFS(OUT!$F$2:$F$11000,OUT!$H$2:$H$11000,H869,OUT!$D$2:$D$11000,"Out",OUT!$E$2:$E$11000,"Mio")</f>
        <v>732000</v>
      </c>
      <c r="R869" s="52">
        <f ca="1">SUMIFS(OUT!$F$2:$F$11000,OUT!$H$2:$H$11000,H869,OUT!$D$2:$D$11000,"Out",OUT!$E$2:$E$11000,"Sedekah")</f>
        <v>0</v>
      </c>
      <c r="S869" s="52">
        <f ca="1">SUMIFS(OUT!$F$2:$F$11000,OUT!$H$2:$H$11000,H869,OUT!$D$2:$D$11000,"Out",OUT!$E$2:$E$11000,"Zela")</f>
        <v>47011</v>
      </c>
      <c r="T869" s="52">
        <f ca="1">SUMIFS(OUT!$F$2:$F$11000,OUT!$H$2:$H$11000,H869,OUT!$D$2:$D$11000,"Out",OUT!$E$2:$E$11000,"Iqbal")</f>
        <v>251000</v>
      </c>
    </row>
    <row r="870" spans="1:20" x14ac:dyDescent="0.2">
      <c r="A870" s="48">
        <f ca="1">IFERROR(__xludf.DUMMYFUNCTION("""COMPUTED_VALUE"""),46172)</f>
        <v>46172</v>
      </c>
      <c r="B870" s="4" t="str">
        <f ca="1">IFERROR(__xludf.DUMMYFUNCTION("""COMPUTED_VALUE"""),"pertamax")</f>
        <v>pertamax</v>
      </c>
      <c r="C870" s="4" t="str">
        <f ca="1">IFERROR(__xludf.DUMMYFUNCTION("""COMPUTED_VALUE"""),"Cash")</f>
        <v>Cash</v>
      </c>
      <c r="D870" s="4" t="str">
        <f ca="1">IFERROR(__xludf.DUMMYFUNCTION("""COMPUTED_VALUE"""),"Out")</f>
        <v>Out</v>
      </c>
      <c r="E870" s="4" t="str">
        <f ca="1">IFERROR(__xludf.DUMMYFUNCTION("""COMPUTED_VALUE"""),"Mio")</f>
        <v>Mio</v>
      </c>
      <c r="F870" s="49">
        <f ca="1">IFERROR(__xludf.DUMMYFUNCTION("""COMPUTED_VALUE"""),24500)</f>
        <v>24500</v>
      </c>
      <c r="G870" s="50" t="str">
        <f ca="1">IFERROR(__xludf.DUMMYFUNCTION("""COMPUTED_VALUE"""),"Zela")</f>
        <v>Zela</v>
      </c>
      <c r="H870" s="51">
        <f t="shared" ca="1" si="0"/>
        <v>46143</v>
      </c>
      <c r="I870" s="52" t="e">
        <f ca="1">SUMIFS(OUT!$F$2:$F$11000,OUT!$H$2:$H$11000,H870,OUT!$D$2:$D$101007,"In")</f>
        <v>#VALUE!</v>
      </c>
      <c r="J870" s="52">
        <f ca="1">SUMIFS(OUT!$F$2:$F$11000,OUT!$H$2:$H$11000,H870,OUT!$D$2:$D$11000,"Out")</f>
        <v>9490497</v>
      </c>
      <c r="K870" s="52">
        <f ca="1">SUMIFS(OUT!$F$2:$F$11000,OUT!$H$2:$H$11000,H870,OUT!$D$2:$D$11000,"Out",OUT!$E$2:$E$11000,"Fix")</f>
        <v>2703418</v>
      </c>
      <c r="L870" s="52">
        <f ca="1">SUMIFS(OUT!$F$2:$F$11000,OUT!$H$2:$H$11000,H870,OUT!$D$2:$D$11000,"Out",OUT!$E$2:$E$11000,"Bathroom")</f>
        <v>13000</v>
      </c>
      <c r="M870" s="52">
        <f ca="1">SUMIFS(OUT!$F$2:$F$11000,OUT!$H$2:$H$11000,H870,OUT!$D$2:$D$11000,"Out",OUT!$E$2:$E$11000,"Alfa")</f>
        <v>326872</v>
      </c>
      <c r="N870" s="52" t="e">
        <f ca="1">SUMIFS(OUT!$F$2:$F$11000,OUT!$H$2:$H$101007,H870,OUT!$D$2:$D$11000,"Out",OUT!$E$2:$E$11000,"Jajan")</f>
        <v>#VALUE!</v>
      </c>
      <c r="O870" s="52">
        <f ca="1">SUMIFS(OUT!$F$2:$F$11000,OUT!$H$2:$H$11000,H870,OUT!$D$2:$D$11000,"Out",OUT!$E$2:$E$11000,"Kitchen")</f>
        <v>902100</v>
      </c>
      <c r="P870" s="52">
        <f ca="1">SUMIFS(OUT!$F$2:$F$11000,OUT!$H$2:$H$11000,H870,OUT!$D$2:$D$11000,"Out",OUT!$E$2:$E$11000,"Loandry")</f>
        <v>42900</v>
      </c>
      <c r="Q870" s="52">
        <f ca="1">SUMIFS(OUT!$F$2:$F$11000,OUT!$H$2:$H$11000,H870,OUT!$D$2:$D$11000,"Out",OUT!$E$2:$E$11000,"Mio")</f>
        <v>732000</v>
      </c>
      <c r="R870" s="52">
        <f ca="1">SUMIFS(OUT!$F$2:$F$11000,OUT!$H$2:$H$11000,H870,OUT!$D$2:$D$11000,"Out",OUT!$E$2:$E$11000,"Sedekah")</f>
        <v>0</v>
      </c>
      <c r="S870" s="52">
        <f ca="1">SUMIFS(OUT!$F$2:$F$11000,OUT!$H$2:$H$11000,H870,OUT!$D$2:$D$11000,"Out",OUT!$E$2:$E$11000,"Zela")</f>
        <v>47011</v>
      </c>
      <c r="T870" s="52">
        <f ca="1">SUMIFS(OUT!$F$2:$F$11000,OUT!$H$2:$H$11000,H870,OUT!$D$2:$D$11000,"Out",OUT!$E$2:$E$11000,"Iqbal")</f>
        <v>251000</v>
      </c>
    </row>
    <row r="871" spans="1:20" x14ac:dyDescent="0.2">
      <c r="A871" s="48">
        <f ca="1">IFERROR(__xludf.DUMMYFUNCTION("""COMPUTED_VALUE"""),46173)</f>
        <v>46173</v>
      </c>
      <c r="B871" s="4" t="str">
        <f ca="1">IFERROR(__xludf.DUMMYFUNCTION("""COMPUTED_VALUE"""),"teh telor (2)")</f>
        <v>teh telor (2)</v>
      </c>
      <c r="C871" s="4" t="str">
        <f ca="1">IFERROR(__xludf.DUMMYFUNCTION("""COMPUTED_VALUE"""),"Cash")</f>
        <v>Cash</v>
      </c>
      <c r="D871" s="4" t="str">
        <f ca="1">IFERROR(__xludf.DUMMYFUNCTION("""COMPUTED_VALUE"""),"Out")</f>
        <v>Out</v>
      </c>
      <c r="E871" s="4" t="str">
        <f ca="1">IFERROR(__xludf.DUMMYFUNCTION("""COMPUTED_VALUE"""),"Iqbal")</f>
        <v>Iqbal</v>
      </c>
      <c r="F871" s="49">
        <f ca="1">IFERROR(__xludf.DUMMYFUNCTION("""COMPUTED_VALUE"""),24000)</f>
        <v>24000</v>
      </c>
      <c r="G871" s="50" t="str">
        <f ca="1">IFERROR(__xludf.DUMMYFUNCTION("""COMPUTED_VALUE"""),"Zela")</f>
        <v>Zela</v>
      </c>
      <c r="H871" s="51">
        <f t="shared" ca="1" si="0"/>
        <v>46143</v>
      </c>
      <c r="I871" s="52" t="e">
        <f ca="1">SUMIFS(OUT!$F$2:$F$11000,OUT!$H$2:$H$11000,H871,OUT!$D$2:$D$101007,"In")</f>
        <v>#VALUE!</v>
      </c>
      <c r="J871" s="52">
        <f ca="1">SUMIFS(OUT!$F$2:$F$11000,OUT!$H$2:$H$11000,H871,OUT!$D$2:$D$11000,"Out")</f>
        <v>9490497</v>
      </c>
      <c r="K871" s="52">
        <f ca="1">SUMIFS(OUT!$F$2:$F$11000,OUT!$H$2:$H$11000,H871,OUT!$D$2:$D$11000,"Out",OUT!$E$2:$E$11000,"Fix")</f>
        <v>2703418</v>
      </c>
      <c r="L871" s="52">
        <f ca="1">SUMIFS(OUT!$F$2:$F$11000,OUT!$H$2:$H$11000,H871,OUT!$D$2:$D$11000,"Out",OUT!$E$2:$E$11000,"Bathroom")</f>
        <v>13000</v>
      </c>
      <c r="M871" s="52">
        <f ca="1">SUMIFS(OUT!$F$2:$F$11000,OUT!$H$2:$H$11000,H871,OUT!$D$2:$D$11000,"Out",OUT!$E$2:$E$11000,"Alfa")</f>
        <v>326872</v>
      </c>
      <c r="N871" s="52" t="e">
        <f ca="1">SUMIFS(OUT!$F$2:$F$11000,OUT!$H$2:$H$101007,H871,OUT!$D$2:$D$11000,"Out",OUT!$E$2:$E$11000,"Jajan")</f>
        <v>#VALUE!</v>
      </c>
      <c r="O871" s="52">
        <f ca="1">SUMIFS(OUT!$F$2:$F$11000,OUT!$H$2:$H$11000,H871,OUT!$D$2:$D$11000,"Out",OUT!$E$2:$E$11000,"Kitchen")</f>
        <v>902100</v>
      </c>
      <c r="P871" s="52">
        <f ca="1">SUMIFS(OUT!$F$2:$F$11000,OUT!$H$2:$H$11000,H871,OUT!$D$2:$D$11000,"Out",OUT!$E$2:$E$11000,"Loandry")</f>
        <v>42900</v>
      </c>
      <c r="Q871" s="52">
        <f ca="1">SUMIFS(OUT!$F$2:$F$11000,OUT!$H$2:$H$11000,H871,OUT!$D$2:$D$11000,"Out",OUT!$E$2:$E$11000,"Mio")</f>
        <v>732000</v>
      </c>
      <c r="R871" s="52">
        <f ca="1">SUMIFS(OUT!$F$2:$F$11000,OUT!$H$2:$H$11000,H871,OUT!$D$2:$D$11000,"Out",OUT!$E$2:$E$11000,"Sedekah")</f>
        <v>0</v>
      </c>
      <c r="S871" s="52">
        <f ca="1">SUMIFS(OUT!$F$2:$F$11000,OUT!$H$2:$H$11000,H871,OUT!$D$2:$D$11000,"Out",OUT!$E$2:$E$11000,"Zela")</f>
        <v>47011</v>
      </c>
      <c r="T871" s="52">
        <f ca="1">SUMIFS(OUT!$F$2:$F$11000,OUT!$H$2:$H$11000,H871,OUT!$D$2:$D$11000,"Out",OUT!$E$2:$E$11000,"Iqbal")</f>
        <v>251000</v>
      </c>
    </row>
    <row r="872" spans="1:20" x14ac:dyDescent="0.2">
      <c r="A872" s="48">
        <f ca="1">IFERROR(__xludf.DUMMYFUNCTION("""COMPUTED_VALUE"""),46173)</f>
        <v>46173</v>
      </c>
      <c r="B872" s="4" t="str">
        <f ca="1">IFERROR(__xludf.DUMMYFUNCTION("""COMPUTED_VALUE"""),"suamiku")</f>
        <v>suamiku</v>
      </c>
      <c r="C872" s="4" t="str">
        <f ca="1">IFERROR(__xludf.DUMMYFUNCTION("""COMPUTED_VALUE"""),"Cash")</f>
        <v>Cash</v>
      </c>
      <c r="D872" s="4" t="str">
        <f ca="1">IFERROR(__xludf.DUMMYFUNCTION("""COMPUTED_VALUE"""),"In")</f>
        <v>In</v>
      </c>
      <c r="E872" s="4" t="str">
        <f ca="1">IFERROR(__xludf.DUMMYFUNCTION("""COMPUTED_VALUE"""),"Fix")</f>
        <v>Fix</v>
      </c>
      <c r="F872" s="49">
        <f ca="1">IFERROR(__xludf.DUMMYFUNCTION("""COMPUTED_VALUE"""),13000)</f>
        <v>13000</v>
      </c>
      <c r="G872" s="50" t="str">
        <f ca="1">IFERROR(__xludf.DUMMYFUNCTION("""COMPUTED_VALUE"""),"Zela")</f>
        <v>Zela</v>
      </c>
      <c r="H872" s="51">
        <f t="shared" ca="1" si="0"/>
        <v>46143</v>
      </c>
      <c r="I872" s="52" t="e">
        <f ca="1">SUMIFS(OUT!$F$2:$F$11000,OUT!$H$2:$H$11000,H872,OUT!$D$2:$D$101007,"In")</f>
        <v>#VALUE!</v>
      </c>
      <c r="J872" s="52">
        <f ca="1">SUMIFS(OUT!$F$2:$F$11000,OUT!$H$2:$H$11000,H872,OUT!$D$2:$D$11000,"Out")</f>
        <v>9490497</v>
      </c>
      <c r="K872" s="52">
        <f ca="1">SUMIFS(OUT!$F$2:$F$11000,OUT!$H$2:$H$11000,H872,OUT!$D$2:$D$11000,"Out",OUT!$E$2:$E$11000,"Fix")</f>
        <v>2703418</v>
      </c>
      <c r="L872" s="52">
        <f ca="1">SUMIFS(OUT!$F$2:$F$11000,OUT!$H$2:$H$11000,H872,OUT!$D$2:$D$11000,"Out",OUT!$E$2:$E$11000,"Bathroom")</f>
        <v>13000</v>
      </c>
      <c r="M872" s="52">
        <f ca="1">SUMIFS(OUT!$F$2:$F$11000,OUT!$H$2:$H$11000,H872,OUT!$D$2:$D$11000,"Out",OUT!$E$2:$E$11000,"Alfa")</f>
        <v>326872</v>
      </c>
      <c r="N872" s="52" t="e">
        <f ca="1">SUMIFS(OUT!$F$2:$F$11000,OUT!$H$2:$H$101007,H872,OUT!$D$2:$D$11000,"Out",OUT!$E$2:$E$11000,"Jajan")</f>
        <v>#VALUE!</v>
      </c>
      <c r="O872" s="52">
        <f ca="1">SUMIFS(OUT!$F$2:$F$11000,OUT!$H$2:$H$11000,H872,OUT!$D$2:$D$11000,"Out",OUT!$E$2:$E$11000,"Kitchen")</f>
        <v>902100</v>
      </c>
      <c r="P872" s="52">
        <f ca="1">SUMIFS(OUT!$F$2:$F$11000,OUT!$H$2:$H$11000,H872,OUT!$D$2:$D$11000,"Out",OUT!$E$2:$E$11000,"Loandry")</f>
        <v>42900</v>
      </c>
      <c r="Q872" s="52">
        <f ca="1">SUMIFS(OUT!$F$2:$F$11000,OUT!$H$2:$H$11000,H872,OUT!$D$2:$D$11000,"Out",OUT!$E$2:$E$11000,"Mio")</f>
        <v>732000</v>
      </c>
      <c r="R872" s="52">
        <f ca="1">SUMIFS(OUT!$F$2:$F$11000,OUT!$H$2:$H$11000,H872,OUT!$D$2:$D$11000,"Out",OUT!$E$2:$E$11000,"Sedekah")</f>
        <v>0</v>
      </c>
      <c r="S872" s="52">
        <f ca="1">SUMIFS(OUT!$F$2:$F$11000,OUT!$H$2:$H$11000,H872,OUT!$D$2:$D$11000,"Out",OUT!$E$2:$E$11000,"Zela")</f>
        <v>47011</v>
      </c>
      <c r="T872" s="52">
        <f ca="1">SUMIFS(OUT!$F$2:$F$11000,OUT!$H$2:$H$11000,H872,OUT!$D$2:$D$11000,"Out",OUT!$E$2:$E$11000,"Iqbal")</f>
        <v>251000</v>
      </c>
    </row>
    <row r="873" spans="1:20" x14ac:dyDescent="0.2">
      <c r="A873" s="48">
        <f ca="1">IFERROR(__xludf.DUMMYFUNCTION("""COMPUTED_VALUE"""),46173)</f>
        <v>46173</v>
      </c>
      <c r="B873" s="4" t="str">
        <f ca="1">IFERROR(__xludf.DUMMYFUNCTION("""COMPUTED_VALUE"""),"indomie (3) + kerupuk (1)")</f>
        <v>indomie (3) + kerupuk (1)</v>
      </c>
      <c r="C873" s="4" t="str">
        <f ca="1">IFERROR(__xludf.DUMMYFUNCTION("""COMPUTED_VALUE"""),"Cash")</f>
        <v>Cash</v>
      </c>
      <c r="D873" s="4" t="str">
        <f ca="1">IFERROR(__xludf.DUMMYFUNCTION("""COMPUTED_VALUE"""),"Out")</f>
        <v>Out</v>
      </c>
      <c r="E873" s="4" t="str">
        <f ca="1">IFERROR(__xludf.DUMMYFUNCTION("""COMPUTED_VALUE"""),"Kitchen")</f>
        <v>Kitchen</v>
      </c>
      <c r="F873" s="49">
        <f ca="1">IFERROR(__xludf.DUMMYFUNCTION("""COMPUTED_VALUE"""),15000)</f>
        <v>15000</v>
      </c>
      <c r="G873" s="50" t="str">
        <f ca="1">IFERROR(__xludf.DUMMYFUNCTION("""COMPUTED_VALUE"""),"Zela")</f>
        <v>Zela</v>
      </c>
      <c r="H873" s="51">
        <f t="shared" ca="1" si="0"/>
        <v>46143</v>
      </c>
      <c r="I873" s="52" t="e">
        <f ca="1">SUMIFS(OUT!$F$2:$F$11000,OUT!$H$2:$H$11000,H873,OUT!$D$2:$D$101007,"In")</f>
        <v>#VALUE!</v>
      </c>
      <c r="J873" s="52">
        <f ca="1">SUMIFS(OUT!$F$2:$F$11000,OUT!$H$2:$H$11000,H873,OUT!$D$2:$D$11000,"Out")</f>
        <v>9490497</v>
      </c>
      <c r="K873" s="52">
        <f ca="1">SUMIFS(OUT!$F$2:$F$11000,OUT!$H$2:$H$11000,H873,OUT!$D$2:$D$11000,"Out",OUT!$E$2:$E$11000,"Fix")</f>
        <v>2703418</v>
      </c>
      <c r="L873" s="52">
        <f ca="1">SUMIFS(OUT!$F$2:$F$11000,OUT!$H$2:$H$11000,H873,OUT!$D$2:$D$11000,"Out",OUT!$E$2:$E$11000,"Bathroom")</f>
        <v>13000</v>
      </c>
      <c r="M873" s="52">
        <f ca="1">SUMIFS(OUT!$F$2:$F$11000,OUT!$H$2:$H$11000,H873,OUT!$D$2:$D$11000,"Out",OUT!$E$2:$E$11000,"Alfa")</f>
        <v>326872</v>
      </c>
      <c r="N873" s="52" t="e">
        <f ca="1">SUMIFS(OUT!$F$2:$F$11000,OUT!$H$2:$H$101007,H873,OUT!$D$2:$D$11000,"Out",OUT!$E$2:$E$11000,"Jajan")</f>
        <v>#VALUE!</v>
      </c>
      <c r="O873" s="52">
        <f ca="1">SUMIFS(OUT!$F$2:$F$11000,OUT!$H$2:$H$11000,H873,OUT!$D$2:$D$11000,"Out",OUT!$E$2:$E$11000,"Kitchen")</f>
        <v>902100</v>
      </c>
      <c r="P873" s="52">
        <f ca="1">SUMIFS(OUT!$F$2:$F$11000,OUT!$H$2:$H$11000,H873,OUT!$D$2:$D$11000,"Out",OUT!$E$2:$E$11000,"Loandry")</f>
        <v>42900</v>
      </c>
      <c r="Q873" s="52">
        <f ca="1">SUMIFS(OUT!$F$2:$F$11000,OUT!$H$2:$H$11000,H873,OUT!$D$2:$D$11000,"Out",OUT!$E$2:$E$11000,"Mio")</f>
        <v>732000</v>
      </c>
      <c r="R873" s="52">
        <f ca="1">SUMIFS(OUT!$F$2:$F$11000,OUT!$H$2:$H$11000,H873,OUT!$D$2:$D$11000,"Out",OUT!$E$2:$E$11000,"Sedekah")</f>
        <v>0</v>
      </c>
      <c r="S873" s="52">
        <f ca="1">SUMIFS(OUT!$F$2:$F$11000,OUT!$H$2:$H$11000,H873,OUT!$D$2:$D$11000,"Out",OUT!$E$2:$E$11000,"Zela")</f>
        <v>47011</v>
      </c>
      <c r="T873" s="52">
        <f ca="1">SUMIFS(OUT!$F$2:$F$11000,OUT!$H$2:$H$11000,H873,OUT!$D$2:$D$11000,"Out",OUT!$E$2:$E$11000,"Iqbal")</f>
        <v>251000</v>
      </c>
    </row>
    <row r="874" spans="1:20" x14ac:dyDescent="0.2">
      <c r="A874" s="48">
        <f ca="1">IFERROR(__xludf.DUMMYFUNCTION("""COMPUTED_VALUE"""),46174)</f>
        <v>46174</v>
      </c>
      <c r="B874" s="4" t="str">
        <f ca="1">IFERROR(__xludf.DUMMYFUNCTION("""COMPUTED_VALUE"""),"pertamax")</f>
        <v>pertamax</v>
      </c>
      <c r="C874" s="4" t="str">
        <f ca="1">IFERROR(__xludf.DUMMYFUNCTION("""COMPUTED_VALUE"""),"Cash")</f>
        <v>Cash</v>
      </c>
      <c r="D874" s="4" t="str">
        <f ca="1">IFERROR(__xludf.DUMMYFUNCTION("""COMPUTED_VALUE"""),"Out")</f>
        <v>Out</v>
      </c>
      <c r="E874" s="4" t="str">
        <f ca="1">IFERROR(__xludf.DUMMYFUNCTION("""COMPUTED_VALUE"""),"Mio")</f>
        <v>Mio</v>
      </c>
      <c r="F874" s="49">
        <f ca="1">IFERROR(__xludf.DUMMYFUNCTION("""COMPUTED_VALUE"""),24000)</f>
        <v>24000</v>
      </c>
      <c r="G874" s="50" t="str">
        <f ca="1">IFERROR(__xludf.DUMMYFUNCTION("""COMPUTED_VALUE"""),"Zela")</f>
        <v>Zela</v>
      </c>
      <c r="H874" s="51">
        <f t="shared" ca="1" si="0"/>
        <v>46174</v>
      </c>
      <c r="I874" s="52" t="e">
        <f ca="1">SUMIFS(OUT!$F$2:$F$11000,OUT!$H$2:$H$11000,H874,OUT!$D$2:$D$101007,"In")</f>
        <v>#VALUE!</v>
      </c>
      <c r="J874" s="52">
        <f ca="1">SUMIFS(OUT!$F$2:$F$11000,OUT!$H$2:$H$11000,H874,OUT!$D$2:$D$11000,"Out")</f>
        <v>9155672</v>
      </c>
      <c r="K874" s="52">
        <f ca="1">SUMIFS(OUT!$F$2:$F$11000,OUT!$H$2:$H$11000,H874,OUT!$D$2:$D$11000,"Out",OUT!$E$2:$E$11000,"Fix")</f>
        <v>3084727</v>
      </c>
      <c r="L874" s="52">
        <f ca="1">SUMIFS(OUT!$F$2:$F$11000,OUT!$H$2:$H$11000,H874,OUT!$D$2:$D$11000,"Out",OUT!$E$2:$E$11000,"Bathroom")</f>
        <v>37500</v>
      </c>
      <c r="M874" s="52">
        <f ca="1">SUMIFS(OUT!$F$2:$F$11000,OUT!$H$2:$H$11000,H874,OUT!$D$2:$D$11000,"Out",OUT!$E$2:$E$11000,"Alfa")</f>
        <v>317864</v>
      </c>
      <c r="N874" s="52" t="e">
        <f ca="1">SUMIFS(OUT!$F$2:$F$11000,OUT!$H$2:$H$101007,H874,OUT!$D$2:$D$11000,"Out",OUT!$E$2:$E$11000,"Jajan")</f>
        <v>#VALUE!</v>
      </c>
      <c r="O874" s="52">
        <f ca="1">SUMIFS(OUT!$F$2:$F$11000,OUT!$H$2:$H$11000,H874,OUT!$D$2:$D$11000,"Out",OUT!$E$2:$E$11000,"Kitchen")</f>
        <v>985700</v>
      </c>
      <c r="P874" s="52">
        <f ca="1">SUMIFS(OUT!$F$2:$F$11000,OUT!$H$2:$H$11000,H874,OUT!$D$2:$D$11000,"Out",OUT!$E$2:$E$11000,"Loandry")</f>
        <v>21500</v>
      </c>
      <c r="Q874" s="52">
        <f ca="1">SUMIFS(OUT!$F$2:$F$11000,OUT!$H$2:$H$11000,H874,OUT!$D$2:$D$11000,"Out",OUT!$E$2:$E$11000,"Mio")</f>
        <v>265000</v>
      </c>
      <c r="R874" s="52">
        <f ca="1">SUMIFS(OUT!$F$2:$F$11000,OUT!$H$2:$H$11000,H874,OUT!$D$2:$D$11000,"Out",OUT!$E$2:$E$11000,"Sedekah")</f>
        <v>5000</v>
      </c>
      <c r="S874" s="52">
        <f ca="1">SUMIFS(OUT!$F$2:$F$11000,OUT!$H$2:$H$11000,H874,OUT!$D$2:$D$11000,"Out",OUT!$E$2:$E$11000,"Zela")</f>
        <v>33400</v>
      </c>
      <c r="T874" s="52">
        <f ca="1">SUMIFS(OUT!$F$2:$F$11000,OUT!$H$2:$H$11000,H874,OUT!$D$2:$D$11000,"Out",OUT!$E$2:$E$11000,"Iqbal")</f>
        <v>232194</v>
      </c>
    </row>
    <row r="875" spans="1:20" x14ac:dyDescent="0.2">
      <c r="A875" s="48">
        <f ca="1">IFERROR(__xludf.DUMMYFUNCTION("""COMPUTED_VALUE"""),46174)</f>
        <v>46174</v>
      </c>
      <c r="B875" s="4" t="str">
        <f ca="1">IFERROR(__xludf.DUMMYFUNCTION("""COMPUTED_VALUE"""),"tarik tunai")</f>
        <v>tarik tunai</v>
      </c>
      <c r="C875" s="4" t="str">
        <f ca="1">IFERROR(__xludf.DUMMYFUNCTION("""COMPUTED_VALUE"""),"ATM")</f>
        <v>ATM</v>
      </c>
      <c r="D875" s="4" t="str">
        <f ca="1">IFERROR(__xludf.DUMMYFUNCTION("""COMPUTED_VALUE"""),"Out")</f>
        <v>Out</v>
      </c>
      <c r="E875" s="4" t="str">
        <f ca="1">IFERROR(__xludf.DUMMYFUNCTION("""COMPUTED_VALUE"""),"Move")</f>
        <v>Move</v>
      </c>
      <c r="F875" s="49">
        <f ca="1">IFERROR(__xludf.DUMMYFUNCTION("""COMPUTED_VALUE"""),50000)</f>
        <v>50000</v>
      </c>
      <c r="G875" s="50" t="str">
        <f ca="1">IFERROR(__xludf.DUMMYFUNCTION("""COMPUTED_VALUE"""),"Zela")</f>
        <v>Zela</v>
      </c>
      <c r="H875" s="51">
        <f t="shared" ca="1" si="0"/>
        <v>46174</v>
      </c>
      <c r="I875" s="52" t="e">
        <f ca="1">SUMIFS(OUT!$F$2:$F$11000,OUT!$H$2:$H$11000,H875,OUT!$D$2:$D$101007,"In")</f>
        <v>#VALUE!</v>
      </c>
      <c r="J875" s="52">
        <f ca="1">SUMIFS(OUT!$F$2:$F$11000,OUT!$H$2:$H$11000,H875,OUT!$D$2:$D$11000,"Out")</f>
        <v>9155672</v>
      </c>
      <c r="K875" s="52">
        <f ca="1">SUMIFS(OUT!$F$2:$F$11000,OUT!$H$2:$H$11000,H875,OUT!$D$2:$D$11000,"Out",OUT!$E$2:$E$11000,"Fix")</f>
        <v>3084727</v>
      </c>
      <c r="L875" s="52">
        <f ca="1">SUMIFS(OUT!$F$2:$F$11000,OUT!$H$2:$H$11000,H875,OUT!$D$2:$D$11000,"Out",OUT!$E$2:$E$11000,"Bathroom")</f>
        <v>37500</v>
      </c>
      <c r="M875" s="52">
        <f ca="1">SUMIFS(OUT!$F$2:$F$11000,OUT!$H$2:$H$11000,H875,OUT!$D$2:$D$11000,"Out",OUT!$E$2:$E$11000,"Alfa")</f>
        <v>317864</v>
      </c>
      <c r="N875" s="52" t="e">
        <f ca="1">SUMIFS(OUT!$F$2:$F$11000,OUT!$H$2:$H$101007,H875,OUT!$D$2:$D$11000,"Out",OUT!$E$2:$E$11000,"Jajan")</f>
        <v>#VALUE!</v>
      </c>
      <c r="O875" s="52">
        <f ca="1">SUMIFS(OUT!$F$2:$F$11000,OUT!$H$2:$H$11000,H875,OUT!$D$2:$D$11000,"Out",OUT!$E$2:$E$11000,"Kitchen")</f>
        <v>985700</v>
      </c>
      <c r="P875" s="52">
        <f ca="1">SUMIFS(OUT!$F$2:$F$11000,OUT!$H$2:$H$11000,H875,OUT!$D$2:$D$11000,"Out",OUT!$E$2:$E$11000,"Loandry")</f>
        <v>21500</v>
      </c>
      <c r="Q875" s="52">
        <f ca="1">SUMIFS(OUT!$F$2:$F$11000,OUT!$H$2:$H$11000,H875,OUT!$D$2:$D$11000,"Out",OUT!$E$2:$E$11000,"Mio")</f>
        <v>265000</v>
      </c>
      <c r="R875" s="52">
        <f ca="1">SUMIFS(OUT!$F$2:$F$11000,OUT!$H$2:$H$11000,H875,OUT!$D$2:$D$11000,"Out",OUT!$E$2:$E$11000,"Sedekah")</f>
        <v>5000</v>
      </c>
      <c r="S875" s="52">
        <f ca="1">SUMIFS(OUT!$F$2:$F$11000,OUT!$H$2:$H$11000,H875,OUT!$D$2:$D$11000,"Out",OUT!$E$2:$E$11000,"Zela")</f>
        <v>33400</v>
      </c>
      <c r="T875" s="52">
        <f ca="1">SUMIFS(OUT!$F$2:$F$11000,OUT!$H$2:$H$11000,H875,OUT!$D$2:$D$11000,"Out",OUT!$E$2:$E$11000,"Iqbal")</f>
        <v>232194</v>
      </c>
    </row>
    <row r="876" spans="1:20" x14ac:dyDescent="0.2">
      <c r="A876" s="48">
        <f ca="1">IFERROR(__xludf.DUMMYFUNCTION("""COMPUTED_VALUE"""),46174)</f>
        <v>46174</v>
      </c>
      <c r="B876" s="4" t="str">
        <f ca="1">IFERROR(__xludf.DUMMYFUNCTION("""COMPUTED_VALUE"""),"terima tunai")</f>
        <v>terima tunai</v>
      </c>
      <c r="C876" s="4" t="str">
        <f ca="1">IFERROR(__xludf.DUMMYFUNCTION("""COMPUTED_VALUE"""),"Cash")</f>
        <v>Cash</v>
      </c>
      <c r="D876" s="4" t="str">
        <f ca="1">IFERROR(__xludf.DUMMYFUNCTION("""COMPUTED_VALUE"""),"In")</f>
        <v>In</v>
      </c>
      <c r="E876" s="4" t="str">
        <f ca="1">IFERROR(__xludf.DUMMYFUNCTION("""COMPUTED_VALUE"""),"Move")</f>
        <v>Move</v>
      </c>
      <c r="F876" s="49">
        <f ca="1">IFERROR(__xludf.DUMMYFUNCTION("""COMPUTED_VALUE"""),50000)</f>
        <v>50000</v>
      </c>
      <c r="G876" s="50" t="str">
        <f ca="1">IFERROR(__xludf.DUMMYFUNCTION("""COMPUTED_VALUE"""),"Zela")</f>
        <v>Zela</v>
      </c>
      <c r="H876" s="51">
        <f t="shared" ca="1" si="0"/>
        <v>46174</v>
      </c>
      <c r="I876" s="52" t="e">
        <f ca="1">SUMIFS(OUT!$F$2:$F$11000,OUT!$H$2:$H$11000,H876,OUT!$D$2:$D$101007,"In")</f>
        <v>#VALUE!</v>
      </c>
      <c r="J876" s="52">
        <f ca="1">SUMIFS(OUT!$F$2:$F$11000,OUT!$H$2:$H$11000,H876,OUT!$D$2:$D$11000,"Out")</f>
        <v>9155672</v>
      </c>
      <c r="K876" s="52">
        <f ca="1">SUMIFS(OUT!$F$2:$F$11000,OUT!$H$2:$H$11000,H876,OUT!$D$2:$D$11000,"Out",OUT!$E$2:$E$11000,"Fix")</f>
        <v>3084727</v>
      </c>
      <c r="L876" s="52">
        <f ca="1">SUMIFS(OUT!$F$2:$F$11000,OUT!$H$2:$H$11000,H876,OUT!$D$2:$D$11000,"Out",OUT!$E$2:$E$11000,"Bathroom")</f>
        <v>37500</v>
      </c>
      <c r="M876" s="52">
        <f ca="1">SUMIFS(OUT!$F$2:$F$11000,OUT!$H$2:$H$11000,H876,OUT!$D$2:$D$11000,"Out",OUT!$E$2:$E$11000,"Alfa")</f>
        <v>317864</v>
      </c>
      <c r="N876" s="52" t="e">
        <f ca="1">SUMIFS(OUT!$F$2:$F$11000,OUT!$H$2:$H$101007,H876,OUT!$D$2:$D$11000,"Out",OUT!$E$2:$E$11000,"Jajan")</f>
        <v>#VALUE!</v>
      </c>
      <c r="O876" s="52">
        <f ca="1">SUMIFS(OUT!$F$2:$F$11000,OUT!$H$2:$H$11000,H876,OUT!$D$2:$D$11000,"Out",OUT!$E$2:$E$11000,"Kitchen")</f>
        <v>985700</v>
      </c>
      <c r="P876" s="52">
        <f ca="1">SUMIFS(OUT!$F$2:$F$11000,OUT!$H$2:$H$11000,H876,OUT!$D$2:$D$11000,"Out",OUT!$E$2:$E$11000,"Loandry")</f>
        <v>21500</v>
      </c>
      <c r="Q876" s="52">
        <f ca="1">SUMIFS(OUT!$F$2:$F$11000,OUT!$H$2:$H$11000,H876,OUT!$D$2:$D$11000,"Out",OUT!$E$2:$E$11000,"Mio")</f>
        <v>265000</v>
      </c>
      <c r="R876" s="52">
        <f ca="1">SUMIFS(OUT!$F$2:$F$11000,OUT!$H$2:$H$11000,H876,OUT!$D$2:$D$11000,"Out",OUT!$E$2:$E$11000,"Sedekah")</f>
        <v>5000</v>
      </c>
      <c r="S876" s="52">
        <f ca="1">SUMIFS(OUT!$F$2:$F$11000,OUT!$H$2:$H$11000,H876,OUT!$D$2:$D$11000,"Out",OUT!$E$2:$E$11000,"Zela")</f>
        <v>33400</v>
      </c>
      <c r="T876" s="52">
        <f ca="1">SUMIFS(OUT!$F$2:$F$11000,OUT!$H$2:$H$11000,H876,OUT!$D$2:$D$11000,"Out",OUT!$E$2:$E$11000,"Iqbal")</f>
        <v>232194</v>
      </c>
    </row>
    <row r="877" spans="1:20" x14ac:dyDescent="0.2">
      <c r="A877" s="48">
        <f ca="1">IFERROR(__xludf.DUMMYFUNCTION("""COMPUTED_VALUE"""),46174)</f>
        <v>46174</v>
      </c>
      <c r="B877" s="4" t="str">
        <f ca="1">IFERROR(__xludf.DUMMYFUNCTION("""COMPUTED_VALUE"""),"kue-kue")</f>
        <v>kue-kue</v>
      </c>
      <c r="C877" s="4" t="str">
        <f ca="1">IFERROR(__xludf.DUMMYFUNCTION("""COMPUTED_VALUE"""),"Cash")</f>
        <v>Cash</v>
      </c>
      <c r="D877" s="4" t="str">
        <f ca="1">IFERROR(__xludf.DUMMYFUNCTION("""COMPUTED_VALUE"""),"Out")</f>
        <v>Out</v>
      </c>
      <c r="E877" s="4" t="str">
        <f ca="1">IFERROR(__xludf.DUMMYFUNCTION("""COMPUTED_VALUE"""),"Jajan")</f>
        <v>Jajan</v>
      </c>
      <c r="F877" s="49">
        <f ca="1">IFERROR(__xludf.DUMMYFUNCTION("""COMPUTED_VALUE"""),14000)</f>
        <v>14000</v>
      </c>
      <c r="G877" s="50" t="str">
        <f ca="1">IFERROR(__xludf.DUMMYFUNCTION("""COMPUTED_VALUE"""),"Zela")</f>
        <v>Zela</v>
      </c>
      <c r="H877" s="51">
        <f t="shared" ca="1" si="0"/>
        <v>46174</v>
      </c>
      <c r="I877" s="52" t="e">
        <f ca="1">SUMIFS(OUT!$F$2:$F$11000,OUT!$H$2:$H$11000,H877,OUT!$D$2:$D$101007,"In")</f>
        <v>#VALUE!</v>
      </c>
      <c r="J877" s="52">
        <f ca="1">SUMIFS(OUT!$F$2:$F$11000,OUT!$H$2:$H$11000,H877,OUT!$D$2:$D$11000,"Out")</f>
        <v>9155672</v>
      </c>
      <c r="K877" s="52">
        <f ca="1">SUMIFS(OUT!$F$2:$F$11000,OUT!$H$2:$H$11000,H877,OUT!$D$2:$D$11000,"Out",OUT!$E$2:$E$11000,"Fix")</f>
        <v>3084727</v>
      </c>
      <c r="L877" s="52">
        <f ca="1">SUMIFS(OUT!$F$2:$F$11000,OUT!$H$2:$H$11000,H877,OUT!$D$2:$D$11000,"Out",OUT!$E$2:$E$11000,"Bathroom")</f>
        <v>37500</v>
      </c>
      <c r="M877" s="52">
        <f ca="1">SUMIFS(OUT!$F$2:$F$11000,OUT!$H$2:$H$11000,H877,OUT!$D$2:$D$11000,"Out",OUT!$E$2:$E$11000,"Alfa")</f>
        <v>317864</v>
      </c>
      <c r="N877" s="52" t="e">
        <f ca="1">SUMIFS(OUT!$F$2:$F$11000,OUT!$H$2:$H$101007,H877,OUT!$D$2:$D$11000,"Out",OUT!$E$2:$E$11000,"Jajan")</f>
        <v>#VALUE!</v>
      </c>
      <c r="O877" s="52">
        <f ca="1">SUMIFS(OUT!$F$2:$F$11000,OUT!$H$2:$H$11000,H877,OUT!$D$2:$D$11000,"Out",OUT!$E$2:$E$11000,"Kitchen")</f>
        <v>985700</v>
      </c>
      <c r="P877" s="52">
        <f ca="1">SUMIFS(OUT!$F$2:$F$11000,OUT!$H$2:$H$11000,H877,OUT!$D$2:$D$11000,"Out",OUT!$E$2:$E$11000,"Loandry")</f>
        <v>21500</v>
      </c>
      <c r="Q877" s="52">
        <f ca="1">SUMIFS(OUT!$F$2:$F$11000,OUT!$H$2:$H$11000,H877,OUT!$D$2:$D$11000,"Out",OUT!$E$2:$E$11000,"Mio")</f>
        <v>265000</v>
      </c>
      <c r="R877" s="52">
        <f ca="1">SUMIFS(OUT!$F$2:$F$11000,OUT!$H$2:$H$11000,H877,OUT!$D$2:$D$11000,"Out",OUT!$E$2:$E$11000,"Sedekah")</f>
        <v>5000</v>
      </c>
      <c r="S877" s="52">
        <f ca="1">SUMIFS(OUT!$F$2:$F$11000,OUT!$H$2:$H$11000,H877,OUT!$D$2:$D$11000,"Out",OUT!$E$2:$E$11000,"Zela")</f>
        <v>33400</v>
      </c>
      <c r="T877" s="52">
        <f ca="1">SUMIFS(OUT!$F$2:$F$11000,OUT!$H$2:$H$11000,H877,OUT!$D$2:$D$11000,"Out",OUT!$E$2:$E$11000,"Iqbal")</f>
        <v>232194</v>
      </c>
    </row>
    <row r="878" spans="1:20" x14ac:dyDescent="0.2">
      <c r="A878" s="48">
        <f ca="1">IFERROR(__xludf.DUMMYFUNCTION("""COMPUTED_VALUE"""),46174)</f>
        <v>46174</v>
      </c>
      <c r="B878" s="4" t="str">
        <f ca="1">IFERROR(__xludf.DUMMYFUNCTION("""COMPUTED_VALUE"""),"saldo tiktok")</f>
        <v>saldo tiktok</v>
      </c>
      <c r="C878" s="4" t="str">
        <f ca="1">IFERROR(__xludf.DUMMYFUNCTION("""COMPUTED_VALUE"""),"ATM")</f>
        <v>ATM</v>
      </c>
      <c r="D878" s="4" t="str">
        <f ca="1">IFERROR(__xludf.DUMMYFUNCTION("""COMPUTED_VALUE"""),"In")</f>
        <v>In</v>
      </c>
      <c r="E878" s="4" t="str">
        <f ca="1">IFERROR(__xludf.DUMMYFUNCTION("""COMPUTED_VALUE"""),"Fix")</f>
        <v>Fix</v>
      </c>
      <c r="F878" s="49">
        <f ca="1">IFERROR(__xludf.DUMMYFUNCTION("""COMPUTED_VALUE"""),12582)</f>
        <v>12582</v>
      </c>
      <c r="G878" s="50" t="str">
        <f ca="1">IFERROR(__xludf.DUMMYFUNCTION("""COMPUTED_VALUE"""),"Zela")</f>
        <v>Zela</v>
      </c>
      <c r="H878" s="51">
        <f t="shared" ca="1" si="0"/>
        <v>46174</v>
      </c>
      <c r="I878" s="52" t="e">
        <f ca="1">SUMIFS(OUT!$F$2:$F$11000,OUT!$H$2:$H$11000,H878,OUT!$D$2:$D$101007,"In")</f>
        <v>#VALUE!</v>
      </c>
      <c r="J878" s="52">
        <f ca="1">SUMIFS(OUT!$F$2:$F$11000,OUT!$H$2:$H$11000,H878,OUT!$D$2:$D$11000,"Out")</f>
        <v>9155672</v>
      </c>
      <c r="K878" s="52">
        <f ca="1">SUMIFS(OUT!$F$2:$F$11000,OUT!$H$2:$H$11000,H878,OUT!$D$2:$D$11000,"Out",OUT!$E$2:$E$11000,"Fix")</f>
        <v>3084727</v>
      </c>
      <c r="L878" s="52">
        <f ca="1">SUMIFS(OUT!$F$2:$F$11000,OUT!$H$2:$H$11000,H878,OUT!$D$2:$D$11000,"Out",OUT!$E$2:$E$11000,"Bathroom")</f>
        <v>37500</v>
      </c>
      <c r="M878" s="52">
        <f ca="1">SUMIFS(OUT!$F$2:$F$11000,OUT!$H$2:$H$11000,H878,OUT!$D$2:$D$11000,"Out",OUT!$E$2:$E$11000,"Alfa")</f>
        <v>317864</v>
      </c>
      <c r="N878" s="52" t="e">
        <f ca="1">SUMIFS(OUT!$F$2:$F$11000,OUT!$H$2:$H$101007,H878,OUT!$D$2:$D$11000,"Out",OUT!$E$2:$E$11000,"Jajan")</f>
        <v>#VALUE!</v>
      </c>
      <c r="O878" s="52">
        <f ca="1">SUMIFS(OUT!$F$2:$F$11000,OUT!$H$2:$H$11000,H878,OUT!$D$2:$D$11000,"Out",OUT!$E$2:$E$11000,"Kitchen")</f>
        <v>985700</v>
      </c>
      <c r="P878" s="52">
        <f ca="1">SUMIFS(OUT!$F$2:$F$11000,OUT!$H$2:$H$11000,H878,OUT!$D$2:$D$11000,"Out",OUT!$E$2:$E$11000,"Loandry")</f>
        <v>21500</v>
      </c>
      <c r="Q878" s="52">
        <f ca="1">SUMIFS(OUT!$F$2:$F$11000,OUT!$H$2:$H$11000,H878,OUT!$D$2:$D$11000,"Out",OUT!$E$2:$E$11000,"Mio")</f>
        <v>265000</v>
      </c>
      <c r="R878" s="52">
        <f ca="1">SUMIFS(OUT!$F$2:$F$11000,OUT!$H$2:$H$11000,H878,OUT!$D$2:$D$11000,"Out",OUT!$E$2:$E$11000,"Sedekah")</f>
        <v>5000</v>
      </c>
      <c r="S878" s="52">
        <f ca="1">SUMIFS(OUT!$F$2:$F$11000,OUT!$H$2:$H$11000,H878,OUT!$D$2:$D$11000,"Out",OUT!$E$2:$E$11000,"Zela")</f>
        <v>33400</v>
      </c>
      <c r="T878" s="52">
        <f ca="1">SUMIFS(OUT!$F$2:$F$11000,OUT!$H$2:$H$11000,H878,OUT!$D$2:$D$11000,"Out",OUT!$E$2:$E$11000,"Iqbal")</f>
        <v>232194</v>
      </c>
    </row>
    <row r="879" spans="1:20" x14ac:dyDescent="0.2">
      <c r="A879" s="48">
        <f ca="1">IFERROR(__xludf.DUMMYFUNCTION("""COMPUTED_VALUE"""),46174)</f>
        <v>46174</v>
      </c>
      <c r="B879" s="4" t="str">
        <f ca="1">IFERROR(__xludf.DUMMYFUNCTION("""COMPUTED_VALUE"""),"Tarik Tunai ")</f>
        <v xml:space="preserve">Tarik Tunai </v>
      </c>
      <c r="C879" s="4" t="str">
        <f ca="1">IFERROR(__xludf.DUMMYFUNCTION("""COMPUTED_VALUE"""),"ATM")</f>
        <v>ATM</v>
      </c>
      <c r="D879" s="4" t="str">
        <f ca="1">IFERROR(__xludf.DUMMYFUNCTION("""COMPUTED_VALUE"""),"Out")</f>
        <v>Out</v>
      </c>
      <c r="E879" s="4" t="str">
        <f ca="1">IFERROR(__xludf.DUMMYFUNCTION("""COMPUTED_VALUE"""),"Move")</f>
        <v>Move</v>
      </c>
      <c r="F879" s="49">
        <f ca="1">IFERROR(__xludf.DUMMYFUNCTION("""COMPUTED_VALUE"""),50000)</f>
        <v>50000</v>
      </c>
      <c r="G879" s="50" t="str">
        <f ca="1">IFERROR(__xludf.DUMMYFUNCTION("""COMPUTED_VALUE"""),"Zela")</f>
        <v>Zela</v>
      </c>
      <c r="H879" s="51">
        <f t="shared" ca="1" si="0"/>
        <v>46174</v>
      </c>
      <c r="I879" s="52" t="e">
        <f ca="1">SUMIFS(OUT!$F$2:$F$11000,OUT!$H$2:$H$11000,H879,OUT!$D$2:$D$101007,"In")</f>
        <v>#VALUE!</v>
      </c>
      <c r="J879" s="52">
        <f ca="1">SUMIFS(OUT!$F$2:$F$11000,OUT!$H$2:$H$11000,H879,OUT!$D$2:$D$11000,"Out")</f>
        <v>9155672</v>
      </c>
      <c r="K879" s="52">
        <f ca="1">SUMIFS(OUT!$F$2:$F$11000,OUT!$H$2:$H$11000,H879,OUT!$D$2:$D$11000,"Out",OUT!$E$2:$E$11000,"Fix")</f>
        <v>3084727</v>
      </c>
      <c r="L879" s="52">
        <f ca="1">SUMIFS(OUT!$F$2:$F$11000,OUT!$H$2:$H$11000,H879,OUT!$D$2:$D$11000,"Out",OUT!$E$2:$E$11000,"Bathroom")</f>
        <v>37500</v>
      </c>
      <c r="M879" s="52">
        <f ca="1">SUMIFS(OUT!$F$2:$F$11000,OUT!$H$2:$H$11000,H879,OUT!$D$2:$D$11000,"Out",OUT!$E$2:$E$11000,"Alfa")</f>
        <v>317864</v>
      </c>
      <c r="N879" s="52" t="e">
        <f ca="1">SUMIFS(OUT!$F$2:$F$11000,OUT!$H$2:$H$101007,H879,OUT!$D$2:$D$11000,"Out",OUT!$E$2:$E$11000,"Jajan")</f>
        <v>#VALUE!</v>
      </c>
      <c r="O879" s="52">
        <f ca="1">SUMIFS(OUT!$F$2:$F$11000,OUT!$H$2:$H$11000,H879,OUT!$D$2:$D$11000,"Out",OUT!$E$2:$E$11000,"Kitchen")</f>
        <v>985700</v>
      </c>
      <c r="P879" s="52">
        <f ca="1">SUMIFS(OUT!$F$2:$F$11000,OUT!$H$2:$H$11000,H879,OUT!$D$2:$D$11000,"Out",OUT!$E$2:$E$11000,"Loandry")</f>
        <v>21500</v>
      </c>
      <c r="Q879" s="52">
        <f ca="1">SUMIFS(OUT!$F$2:$F$11000,OUT!$H$2:$H$11000,H879,OUT!$D$2:$D$11000,"Out",OUT!$E$2:$E$11000,"Mio")</f>
        <v>265000</v>
      </c>
      <c r="R879" s="52">
        <f ca="1">SUMIFS(OUT!$F$2:$F$11000,OUT!$H$2:$H$11000,H879,OUT!$D$2:$D$11000,"Out",OUT!$E$2:$E$11000,"Sedekah")</f>
        <v>5000</v>
      </c>
      <c r="S879" s="52">
        <f ca="1">SUMIFS(OUT!$F$2:$F$11000,OUT!$H$2:$H$11000,H879,OUT!$D$2:$D$11000,"Out",OUT!$E$2:$E$11000,"Zela")</f>
        <v>33400</v>
      </c>
      <c r="T879" s="52">
        <f ca="1">SUMIFS(OUT!$F$2:$F$11000,OUT!$H$2:$H$11000,H879,OUT!$D$2:$D$11000,"Out",OUT!$E$2:$E$11000,"Iqbal")</f>
        <v>232194</v>
      </c>
    </row>
    <row r="880" spans="1:20" x14ac:dyDescent="0.2">
      <c r="A880" s="48">
        <f ca="1">IFERROR(__xludf.DUMMYFUNCTION("""COMPUTED_VALUE"""),46174)</f>
        <v>46174</v>
      </c>
      <c r="B880" s="4" t="str">
        <f ca="1">IFERROR(__xludf.DUMMYFUNCTION("""COMPUTED_VALUE"""),"Terima Tunai ")</f>
        <v xml:space="preserve">Terima Tunai </v>
      </c>
      <c r="C880" s="4" t="str">
        <f ca="1">IFERROR(__xludf.DUMMYFUNCTION("""COMPUTED_VALUE"""),"Cash")</f>
        <v>Cash</v>
      </c>
      <c r="D880" s="4" t="str">
        <f ca="1">IFERROR(__xludf.DUMMYFUNCTION("""COMPUTED_VALUE"""),"In")</f>
        <v>In</v>
      </c>
      <c r="E880" s="4" t="str">
        <f ca="1">IFERROR(__xludf.DUMMYFUNCTION("""COMPUTED_VALUE"""),"Move")</f>
        <v>Move</v>
      </c>
      <c r="F880" s="49">
        <f ca="1">IFERROR(__xludf.DUMMYFUNCTION("""COMPUTED_VALUE"""),50000)</f>
        <v>50000</v>
      </c>
      <c r="G880" s="50" t="str">
        <f ca="1">IFERROR(__xludf.DUMMYFUNCTION("""COMPUTED_VALUE"""),"Zela")</f>
        <v>Zela</v>
      </c>
      <c r="H880" s="51">
        <f t="shared" ca="1" si="0"/>
        <v>46174</v>
      </c>
      <c r="I880" s="52" t="e">
        <f ca="1">SUMIFS(OUT!$F$2:$F$11000,OUT!$H$2:$H$11000,H880,OUT!$D$2:$D$101007,"In")</f>
        <v>#VALUE!</v>
      </c>
      <c r="J880" s="52">
        <f ca="1">SUMIFS(OUT!$F$2:$F$11000,OUT!$H$2:$H$11000,H880,OUT!$D$2:$D$11000,"Out")</f>
        <v>9155672</v>
      </c>
      <c r="K880" s="52">
        <f ca="1">SUMIFS(OUT!$F$2:$F$11000,OUT!$H$2:$H$11000,H880,OUT!$D$2:$D$11000,"Out",OUT!$E$2:$E$11000,"Fix")</f>
        <v>3084727</v>
      </c>
      <c r="L880" s="52">
        <f ca="1">SUMIFS(OUT!$F$2:$F$11000,OUT!$H$2:$H$11000,H880,OUT!$D$2:$D$11000,"Out",OUT!$E$2:$E$11000,"Bathroom")</f>
        <v>37500</v>
      </c>
      <c r="M880" s="52">
        <f ca="1">SUMIFS(OUT!$F$2:$F$11000,OUT!$H$2:$H$11000,H880,OUT!$D$2:$D$11000,"Out",OUT!$E$2:$E$11000,"Alfa")</f>
        <v>317864</v>
      </c>
      <c r="N880" s="52" t="e">
        <f ca="1">SUMIFS(OUT!$F$2:$F$11000,OUT!$H$2:$H$101007,H880,OUT!$D$2:$D$11000,"Out",OUT!$E$2:$E$11000,"Jajan")</f>
        <v>#VALUE!</v>
      </c>
      <c r="O880" s="52">
        <f ca="1">SUMIFS(OUT!$F$2:$F$11000,OUT!$H$2:$H$11000,H880,OUT!$D$2:$D$11000,"Out",OUT!$E$2:$E$11000,"Kitchen")</f>
        <v>985700</v>
      </c>
      <c r="P880" s="52">
        <f ca="1">SUMIFS(OUT!$F$2:$F$11000,OUT!$H$2:$H$11000,H880,OUT!$D$2:$D$11000,"Out",OUT!$E$2:$E$11000,"Loandry")</f>
        <v>21500</v>
      </c>
      <c r="Q880" s="52">
        <f ca="1">SUMIFS(OUT!$F$2:$F$11000,OUT!$H$2:$H$11000,H880,OUT!$D$2:$D$11000,"Out",OUT!$E$2:$E$11000,"Mio")</f>
        <v>265000</v>
      </c>
      <c r="R880" s="52">
        <f ca="1">SUMIFS(OUT!$F$2:$F$11000,OUT!$H$2:$H$11000,H880,OUT!$D$2:$D$11000,"Out",OUT!$E$2:$E$11000,"Sedekah")</f>
        <v>5000</v>
      </c>
      <c r="S880" s="52">
        <f ca="1">SUMIFS(OUT!$F$2:$F$11000,OUT!$H$2:$H$11000,H880,OUT!$D$2:$D$11000,"Out",OUT!$E$2:$E$11000,"Zela")</f>
        <v>33400</v>
      </c>
      <c r="T880" s="52">
        <f ca="1">SUMIFS(OUT!$F$2:$F$11000,OUT!$H$2:$H$11000,H880,OUT!$D$2:$D$11000,"Out",OUT!$E$2:$E$11000,"Iqbal")</f>
        <v>232194</v>
      </c>
    </row>
    <row r="881" spans="1:20" x14ac:dyDescent="0.2">
      <c r="A881" s="48">
        <f ca="1">IFERROR(__xludf.DUMMYFUNCTION("""COMPUTED_VALUE"""),46175)</f>
        <v>46175</v>
      </c>
      <c r="B881" s="4" t="str">
        <f ca="1">IFERROR(__xludf.DUMMYFUNCTION("""COMPUTED_VALUE"""),"CD alfa ")</f>
        <v xml:space="preserve">CD alfa </v>
      </c>
      <c r="C881" s="4" t="str">
        <f ca="1">IFERROR(__xludf.DUMMYFUNCTION("""COMPUTED_VALUE"""),"Cash")</f>
        <v>Cash</v>
      </c>
      <c r="D881" s="4" t="str">
        <f ca="1">IFERROR(__xludf.DUMMYFUNCTION("""COMPUTED_VALUE"""),"Out")</f>
        <v>Out</v>
      </c>
      <c r="E881" s="4" t="str">
        <f ca="1">IFERROR(__xludf.DUMMYFUNCTION("""COMPUTED_VALUE"""),"Alfa")</f>
        <v>Alfa</v>
      </c>
      <c r="F881" s="49">
        <f ca="1">IFERROR(__xludf.DUMMYFUNCTION("""COMPUTED_VALUE"""),32000)</f>
        <v>32000</v>
      </c>
      <c r="G881" s="50" t="str">
        <f ca="1">IFERROR(__xludf.DUMMYFUNCTION("""COMPUTED_VALUE"""),"Zela")</f>
        <v>Zela</v>
      </c>
      <c r="H881" s="51">
        <f t="shared" ca="1" si="0"/>
        <v>46174</v>
      </c>
      <c r="I881" s="52" t="e">
        <f ca="1">SUMIFS(OUT!$F$2:$F$11000,OUT!$H$2:$H$11000,H881,OUT!$D$2:$D$101007,"In")</f>
        <v>#VALUE!</v>
      </c>
      <c r="J881" s="52">
        <f ca="1">SUMIFS(OUT!$F$2:$F$11000,OUT!$H$2:$H$11000,H881,OUT!$D$2:$D$11000,"Out")</f>
        <v>9155672</v>
      </c>
      <c r="K881" s="52">
        <f ca="1">SUMIFS(OUT!$F$2:$F$11000,OUT!$H$2:$H$11000,H881,OUT!$D$2:$D$11000,"Out",OUT!$E$2:$E$11000,"Fix")</f>
        <v>3084727</v>
      </c>
      <c r="L881" s="52">
        <f ca="1">SUMIFS(OUT!$F$2:$F$11000,OUT!$H$2:$H$11000,H881,OUT!$D$2:$D$11000,"Out",OUT!$E$2:$E$11000,"Bathroom")</f>
        <v>37500</v>
      </c>
      <c r="M881" s="52">
        <f ca="1">SUMIFS(OUT!$F$2:$F$11000,OUT!$H$2:$H$11000,H881,OUT!$D$2:$D$11000,"Out",OUT!$E$2:$E$11000,"Alfa")</f>
        <v>317864</v>
      </c>
      <c r="N881" s="52" t="e">
        <f ca="1">SUMIFS(OUT!$F$2:$F$11000,OUT!$H$2:$H$101007,H881,OUT!$D$2:$D$11000,"Out",OUT!$E$2:$E$11000,"Jajan")</f>
        <v>#VALUE!</v>
      </c>
      <c r="O881" s="52">
        <f ca="1">SUMIFS(OUT!$F$2:$F$11000,OUT!$H$2:$H$11000,H881,OUT!$D$2:$D$11000,"Out",OUT!$E$2:$E$11000,"Kitchen")</f>
        <v>985700</v>
      </c>
      <c r="P881" s="52">
        <f ca="1">SUMIFS(OUT!$F$2:$F$11000,OUT!$H$2:$H$11000,H881,OUT!$D$2:$D$11000,"Out",OUT!$E$2:$E$11000,"Loandry")</f>
        <v>21500</v>
      </c>
      <c r="Q881" s="52">
        <f ca="1">SUMIFS(OUT!$F$2:$F$11000,OUT!$H$2:$H$11000,H881,OUT!$D$2:$D$11000,"Out",OUT!$E$2:$E$11000,"Mio")</f>
        <v>265000</v>
      </c>
      <c r="R881" s="52">
        <f ca="1">SUMIFS(OUT!$F$2:$F$11000,OUT!$H$2:$H$11000,H881,OUT!$D$2:$D$11000,"Out",OUT!$E$2:$E$11000,"Sedekah")</f>
        <v>5000</v>
      </c>
      <c r="S881" s="52">
        <f ca="1">SUMIFS(OUT!$F$2:$F$11000,OUT!$H$2:$H$11000,H881,OUT!$D$2:$D$11000,"Out",OUT!$E$2:$E$11000,"Zela")</f>
        <v>33400</v>
      </c>
      <c r="T881" s="52">
        <f ca="1">SUMIFS(OUT!$F$2:$F$11000,OUT!$H$2:$H$11000,H881,OUT!$D$2:$D$11000,"Out",OUT!$E$2:$E$11000,"Iqbal")</f>
        <v>232194</v>
      </c>
    </row>
    <row r="882" spans="1:20" x14ac:dyDescent="0.2">
      <c r="A882" s="48">
        <f ca="1">IFERROR(__xludf.DUMMYFUNCTION("""COMPUTED_VALUE"""),46174)</f>
        <v>46174</v>
      </c>
      <c r="B882" s="4" t="str">
        <f ca="1">IFERROR(__xludf.DUMMYFUNCTION("""COMPUTED_VALUE"""),"sabun ")</f>
        <v xml:space="preserve">sabun </v>
      </c>
      <c r="C882" s="4" t="str">
        <f ca="1">IFERROR(__xludf.DUMMYFUNCTION("""COMPUTED_VALUE"""),"Cash")</f>
        <v>Cash</v>
      </c>
      <c r="D882" s="4" t="str">
        <f ca="1">IFERROR(__xludf.DUMMYFUNCTION("""COMPUTED_VALUE"""),"Out")</f>
        <v>Out</v>
      </c>
      <c r="E882" s="4" t="str">
        <f ca="1">IFERROR(__xludf.DUMMYFUNCTION("""COMPUTED_VALUE"""),"Bathroom")</f>
        <v>Bathroom</v>
      </c>
      <c r="F882" s="49">
        <f ca="1">IFERROR(__xludf.DUMMYFUNCTION("""COMPUTED_VALUE"""),16500)</f>
        <v>16500</v>
      </c>
      <c r="G882" s="50" t="str">
        <f ca="1">IFERROR(__xludf.DUMMYFUNCTION("""COMPUTED_VALUE"""),"Zela")</f>
        <v>Zela</v>
      </c>
      <c r="H882" s="51">
        <f t="shared" ca="1" si="0"/>
        <v>46174</v>
      </c>
      <c r="I882" s="52" t="e">
        <f ca="1">SUMIFS(OUT!$F$2:$F$11000,OUT!$H$2:$H$11000,H882,OUT!$D$2:$D$101007,"In")</f>
        <v>#VALUE!</v>
      </c>
      <c r="J882" s="52">
        <f ca="1">SUMIFS(OUT!$F$2:$F$11000,OUT!$H$2:$H$11000,H882,OUT!$D$2:$D$11000,"Out")</f>
        <v>9155672</v>
      </c>
      <c r="K882" s="52">
        <f ca="1">SUMIFS(OUT!$F$2:$F$11000,OUT!$H$2:$H$11000,H882,OUT!$D$2:$D$11000,"Out",OUT!$E$2:$E$11000,"Fix")</f>
        <v>3084727</v>
      </c>
      <c r="L882" s="52">
        <f ca="1">SUMIFS(OUT!$F$2:$F$11000,OUT!$H$2:$H$11000,H882,OUT!$D$2:$D$11000,"Out",OUT!$E$2:$E$11000,"Bathroom")</f>
        <v>37500</v>
      </c>
      <c r="M882" s="52">
        <f ca="1">SUMIFS(OUT!$F$2:$F$11000,OUT!$H$2:$H$11000,H882,OUT!$D$2:$D$11000,"Out",OUT!$E$2:$E$11000,"Alfa")</f>
        <v>317864</v>
      </c>
      <c r="N882" s="52" t="e">
        <f ca="1">SUMIFS(OUT!$F$2:$F$11000,OUT!$H$2:$H$101007,H882,OUT!$D$2:$D$11000,"Out",OUT!$E$2:$E$11000,"Jajan")</f>
        <v>#VALUE!</v>
      </c>
      <c r="O882" s="52">
        <f ca="1">SUMIFS(OUT!$F$2:$F$11000,OUT!$H$2:$H$11000,H882,OUT!$D$2:$D$11000,"Out",OUT!$E$2:$E$11000,"Kitchen")</f>
        <v>985700</v>
      </c>
      <c r="P882" s="52">
        <f ca="1">SUMIFS(OUT!$F$2:$F$11000,OUT!$H$2:$H$11000,H882,OUT!$D$2:$D$11000,"Out",OUT!$E$2:$E$11000,"Loandry")</f>
        <v>21500</v>
      </c>
      <c r="Q882" s="52">
        <f ca="1">SUMIFS(OUT!$F$2:$F$11000,OUT!$H$2:$H$11000,H882,OUT!$D$2:$D$11000,"Out",OUT!$E$2:$E$11000,"Mio")</f>
        <v>265000</v>
      </c>
      <c r="R882" s="52">
        <f ca="1">SUMIFS(OUT!$F$2:$F$11000,OUT!$H$2:$H$11000,H882,OUT!$D$2:$D$11000,"Out",OUT!$E$2:$E$11000,"Sedekah")</f>
        <v>5000</v>
      </c>
      <c r="S882" s="52">
        <f ca="1">SUMIFS(OUT!$F$2:$F$11000,OUT!$H$2:$H$11000,H882,OUT!$D$2:$D$11000,"Out",OUT!$E$2:$E$11000,"Zela")</f>
        <v>33400</v>
      </c>
      <c r="T882" s="52">
        <f ca="1">SUMIFS(OUT!$F$2:$F$11000,OUT!$H$2:$H$11000,H882,OUT!$D$2:$D$11000,"Out",OUT!$E$2:$E$11000,"Iqbal")</f>
        <v>232194</v>
      </c>
    </row>
    <row r="883" spans="1:20" x14ac:dyDescent="0.2">
      <c r="A883" s="48">
        <f ca="1">IFERROR(__xludf.DUMMYFUNCTION("""COMPUTED_VALUE"""),46174)</f>
        <v>46174</v>
      </c>
      <c r="B883" s="4" t="str">
        <f ca="1">IFERROR(__xludf.DUMMYFUNCTION("""COMPUTED_VALUE"""),"Jajanan pasar Kaget ")</f>
        <v xml:space="preserve">Jajanan pasar Kaget </v>
      </c>
      <c r="C883" s="4" t="str">
        <f ca="1">IFERROR(__xludf.DUMMYFUNCTION("""COMPUTED_VALUE"""),"Cash")</f>
        <v>Cash</v>
      </c>
      <c r="D883" s="4" t="str">
        <f ca="1">IFERROR(__xludf.DUMMYFUNCTION("""COMPUTED_VALUE"""),"Out")</f>
        <v>Out</v>
      </c>
      <c r="E883" s="4" t="str">
        <f ca="1">IFERROR(__xludf.DUMMYFUNCTION("""COMPUTED_VALUE"""),"Jajan")</f>
        <v>Jajan</v>
      </c>
      <c r="F883" s="49">
        <f ca="1">IFERROR(__xludf.DUMMYFUNCTION("""COMPUTED_VALUE"""),34000)</f>
        <v>34000</v>
      </c>
      <c r="G883" s="50" t="str">
        <f ca="1">IFERROR(__xludf.DUMMYFUNCTION("""COMPUTED_VALUE"""),"Zela")</f>
        <v>Zela</v>
      </c>
      <c r="H883" s="51">
        <f t="shared" ca="1" si="0"/>
        <v>46174</v>
      </c>
      <c r="I883" s="52" t="e">
        <f ca="1">SUMIFS(OUT!$F$2:$F$11000,OUT!$H$2:$H$11000,H883,OUT!$D$2:$D$101007,"In")</f>
        <v>#VALUE!</v>
      </c>
      <c r="J883" s="52">
        <f ca="1">SUMIFS(OUT!$F$2:$F$11000,OUT!$H$2:$H$11000,H883,OUT!$D$2:$D$11000,"Out")</f>
        <v>9155672</v>
      </c>
      <c r="K883" s="52">
        <f ca="1">SUMIFS(OUT!$F$2:$F$11000,OUT!$H$2:$H$11000,H883,OUT!$D$2:$D$11000,"Out",OUT!$E$2:$E$11000,"Fix")</f>
        <v>3084727</v>
      </c>
      <c r="L883" s="52">
        <f ca="1">SUMIFS(OUT!$F$2:$F$11000,OUT!$H$2:$H$11000,H883,OUT!$D$2:$D$11000,"Out",OUT!$E$2:$E$11000,"Bathroom")</f>
        <v>37500</v>
      </c>
      <c r="M883" s="52">
        <f ca="1">SUMIFS(OUT!$F$2:$F$11000,OUT!$H$2:$H$11000,H883,OUT!$D$2:$D$11000,"Out",OUT!$E$2:$E$11000,"Alfa")</f>
        <v>317864</v>
      </c>
      <c r="N883" s="52" t="e">
        <f ca="1">SUMIFS(OUT!$F$2:$F$11000,OUT!$H$2:$H$101007,H883,OUT!$D$2:$D$11000,"Out",OUT!$E$2:$E$11000,"Jajan")</f>
        <v>#VALUE!</v>
      </c>
      <c r="O883" s="52">
        <f ca="1">SUMIFS(OUT!$F$2:$F$11000,OUT!$H$2:$H$11000,H883,OUT!$D$2:$D$11000,"Out",OUT!$E$2:$E$11000,"Kitchen")</f>
        <v>985700</v>
      </c>
      <c r="P883" s="52">
        <f ca="1">SUMIFS(OUT!$F$2:$F$11000,OUT!$H$2:$H$11000,H883,OUT!$D$2:$D$11000,"Out",OUT!$E$2:$E$11000,"Loandry")</f>
        <v>21500</v>
      </c>
      <c r="Q883" s="52">
        <f ca="1">SUMIFS(OUT!$F$2:$F$11000,OUT!$H$2:$H$11000,H883,OUT!$D$2:$D$11000,"Out",OUT!$E$2:$E$11000,"Mio")</f>
        <v>265000</v>
      </c>
      <c r="R883" s="52">
        <f ca="1">SUMIFS(OUT!$F$2:$F$11000,OUT!$H$2:$H$11000,H883,OUT!$D$2:$D$11000,"Out",OUT!$E$2:$E$11000,"Sedekah")</f>
        <v>5000</v>
      </c>
      <c r="S883" s="52">
        <f ca="1">SUMIFS(OUT!$F$2:$F$11000,OUT!$H$2:$H$11000,H883,OUT!$D$2:$D$11000,"Out",OUT!$E$2:$E$11000,"Zela")</f>
        <v>33400</v>
      </c>
      <c r="T883" s="52">
        <f ca="1">SUMIFS(OUT!$F$2:$F$11000,OUT!$H$2:$H$11000,H883,OUT!$D$2:$D$11000,"Out",OUT!$E$2:$E$11000,"Iqbal")</f>
        <v>232194</v>
      </c>
    </row>
    <row r="884" spans="1:20" x14ac:dyDescent="0.2">
      <c r="A884" s="48">
        <f ca="1">IFERROR(__xludf.DUMMYFUNCTION("""COMPUTED_VALUE"""),46174)</f>
        <v>46174</v>
      </c>
      <c r="B884" s="4" t="str">
        <f ca="1">IFERROR(__xludf.DUMMYFUNCTION("""COMPUTED_VALUE"""),"galon ")</f>
        <v xml:space="preserve">galon </v>
      </c>
      <c r="C884" s="4" t="str">
        <f ca="1">IFERROR(__xludf.DUMMYFUNCTION("""COMPUTED_VALUE"""),"Cash")</f>
        <v>Cash</v>
      </c>
      <c r="D884" s="4" t="str">
        <f ca="1">IFERROR(__xludf.DUMMYFUNCTION("""COMPUTED_VALUE"""),"Out")</f>
        <v>Out</v>
      </c>
      <c r="E884" s="4" t="str">
        <f ca="1">IFERROR(__xludf.DUMMYFUNCTION("""COMPUTED_VALUE"""),"Kitchen")</f>
        <v>Kitchen</v>
      </c>
      <c r="F884" s="49">
        <f ca="1">IFERROR(__xludf.DUMMYFUNCTION("""COMPUTED_VALUE"""),3000)</f>
        <v>3000</v>
      </c>
      <c r="G884" s="50" t="str">
        <f ca="1">IFERROR(__xludf.DUMMYFUNCTION("""COMPUTED_VALUE"""),"Zela")</f>
        <v>Zela</v>
      </c>
      <c r="H884" s="51">
        <f t="shared" ca="1" si="0"/>
        <v>46174</v>
      </c>
      <c r="I884" s="52" t="e">
        <f ca="1">SUMIFS(OUT!$F$2:$F$11000,OUT!$H$2:$H$11000,H884,OUT!$D$2:$D$101007,"In")</f>
        <v>#VALUE!</v>
      </c>
      <c r="J884" s="52">
        <f ca="1">SUMIFS(OUT!$F$2:$F$11000,OUT!$H$2:$H$11000,H884,OUT!$D$2:$D$11000,"Out")</f>
        <v>9155672</v>
      </c>
      <c r="K884" s="52">
        <f ca="1">SUMIFS(OUT!$F$2:$F$11000,OUT!$H$2:$H$11000,H884,OUT!$D$2:$D$11000,"Out",OUT!$E$2:$E$11000,"Fix")</f>
        <v>3084727</v>
      </c>
      <c r="L884" s="52">
        <f ca="1">SUMIFS(OUT!$F$2:$F$11000,OUT!$H$2:$H$11000,H884,OUT!$D$2:$D$11000,"Out",OUT!$E$2:$E$11000,"Bathroom")</f>
        <v>37500</v>
      </c>
      <c r="M884" s="52">
        <f ca="1">SUMIFS(OUT!$F$2:$F$11000,OUT!$H$2:$H$11000,H884,OUT!$D$2:$D$11000,"Out",OUT!$E$2:$E$11000,"Alfa")</f>
        <v>317864</v>
      </c>
      <c r="N884" s="52" t="e">
        <f ca="1">SUMIFS(OUT!$F$2:$F$11000,OUT!$H$2:$H$101007,H884,OUT!$D$2:$D$11000,"Out",OUT!$E$2:$E$11000,"Jajan")</f>
        <v>#VALUE!</v>
      </c>
      <c r="O884" s="52">
        <f ca="1">SUMIFS(OUT!$F$2:$F$11000,OUT!$H$2:$H$11000,H884,OUT!$D$2:$D$11000,"Out",OUT!$E$2:$E$11000,"Kitchen")</f>
        <v>985700</v>
      </c>
      <c r="P884" s="52">
        <f ca="1">SUMIFS(OUT!$F$2:$F$11000,OUT!$H$2:$H$11000,H884,OUT!$D$2:$D$11000,"Out",OUT!$E$2:$E$11000,"Loandry")</f>
        <v>21500</v>
      </c>
      <c r="Q884" s="52">
        <f ca="1">SUMIFS(OUT!$F$2:$F$11000,OUT!$H$2:$H$11000,H884,OUT!$D$2:$D$11000,"Out",OUT!$E$2:$E$11000,"Mio")</f>
        <v>265000</v>
      </c>
      <c r="R884" s="52">
        <f ca="1">SUMIFS(OUT!$F$2:$F$11000,OUT!$H$2:$H$11000,H884,OUT!$D$2:$D$11000,"Out",OUT!$E$2:$E$11000,"Sedekah")</f>
        <v>5000</v>
      </c>
      <c r="S884" s="52">
        <f ca="1">SUMIFS(OUT!$F$2:$F$11000,OUT!$H$2:$H$11000,H884,OUT!$D$2:$D$11000,"Out",OUT!$E$2:$E$11000,"Zela")</f>
        <v>33400</v>
      </c>
      <c r="T884" s="52">
        <f ca="1">SUMIFS(OUT!$F$2:$F$11000,OUT!$H$2:$H$11000,H884,OUT!$D$2:$D$11000,"Out",OUT!$E$2:$E$11000,"Iqbal")</f>
        <v>232194</v>
      </c>
    </row>
    <row r="885" spans="1:20" x14ac:dyDescent="0.2">
      <c r="A885" s="48">
        <f ca="1">IFERROR(__xludf.DUMMYFUNCTION("""COMPUTED_VALUE"""),46175)</f>
        <v>46175</v>
      </c>
      <c r="B885" s="4" t="str">
        <f ca="1">IFERROR(__xludf.DUMMYFUNCTION("""COMPUTED_VALUE"""),"suamiku")</f>
        <v>suamiku</v>
      </c>
      <c r="C885" s="4" t="str">
        <f ca="1">IFERROR(__xludf.DUMMYFUNCTION("""COMPUTED_VALUE"""),"ATM")</f>
        <v>ATM</v>
      </c>
      <c r="D885" s="4" t="str">
        <f ca="1">IFERROR(__xludf.DUMMYFUNCTION("""COMPUTED_VALUE"""),"In")</f>
        <v>In</v>
      </c>
      <c r="E885" s="4" t="str">
        <f ca="1">IFERROR(__xludf.DUMMYFUNCTION("""COMPUTED_VALUE"""),"Fix")</f>
        <v>Fix</v>
      </c>
      <c r="F885" s="49">
        <f ca="1">IFERROR(__xludf.DUMMYFUNCTION("""COMPUTED_VALUE"""),1561437)</f>
        <v>1561437</v>
      </c>
      <c r="G885" s="50" t="str">
        <f ca="1">IFERROR(__xludf.DUMMYFUNCTION("""COMPUTED_VALUE"""),"Zela")</f>
        <v>Zela</v>
      </c>
      <c r="H885" s="51">
        <f t="shared" ca="1" si="0"/>
        <v>46174</v>
      </c>
      <c r="I885" s="52" t="e">
        <f ca="1">SUMIFS(OUT!$F$2:$F$11000,OUT!$H$2:$H$11000,H885,OUT!$D$2:$D$101007,"In")</f>
        <v>#VALUE!</v>
      </c>
      <c r="J885" s="52">
        <f ca="1">SUMIFS(OUT!$F$2:$F$11000,OUT!$H$2:$H$11000,H885,OUT!$D$2:$D$11000,"Out")</f>
        <v>9155672</v>
      </c>
      <c r="K885" s="52">
        <f ca="1">SUMIFS(OUT!$F$2:$F$11000,OUT!$H$2:$H$11000,H885,OUT!$D$2:$D$11000,"Out",OUT!$E$2:$E$11000,"Fix")</f>
        <v>3084727</v>
      </c>
      <c r="L885" s="52">
        <f ca="1">SUMIFS(OUT!$F$2:$F$11000,OUT!$H$2:$H$11000,H885,OUT!$D$2:$D$11000,"Out",OUT!$E$2:$E$11000,"Bathroom")</f>
        <v>37500</v>
      </c>
      <c r="M885" s="52">
        <f ca="1">SUMIFS(OUT!$F$2:$F$11000,OUT!$H$2:$H$11000,H885,OUT!$D$2:$D$11000,"Out",OUT!$E$2:$E$11000,"Alfa")</f>
        <v>317864</v>
      </c>
      <c r="N885" s="52" t="e">
        <f ca="1">SUMIFS(OUT!$F$2:$F$11000,OUT!$H$2:$H$101007,H885,OUT!$D$2:$D$11000,"Out",OUT!$E$2:$E$11000,"Jajan")</f>
        <v>#VALUE!</v>
      </c>
      <c r="O885" s="52">
        <f ca="1">SUMIFS(OUT!$F$2:$F$11000,OUT!$H$2:$H$11000,H885,OUT!$D$2:$D$11000,"Out",OUT!$E$2:$E$11000,"Kitchen")</f>
        <v>985700</v>
      </c>
      <c r="P885" s="52">
        <f ca="1">SUMIFS(OUT!$F$2:$F$11000,OUT!$H$2:$H$11000,H885,OUT!$D$2:$D$11000,"Out",OUT!$E$2:$E$11000,"Loandry")</f>
        <v>21500</v>
      </c>
      <c r="Q885" s="52">
        <f ca="1">SUMIFS(OUT!$F$2:$F$11000,OUT!$H$2:$H$11000,H885,OUT!$D$2:$D$11000,"Out",OUT!$E$2:$E$11000,"Mio")</f>
        <v>265000</v>
      </c>
      <c r="R885" s="52">
        <f ca="1">SUMIFS(OUT!$F$2:$F$11000,OUT!$H$2:$H$11000,H885,OUT!$D$2:$D$11000,"Out",OUT!$E$2:$E$11000,"Sedekah")</f>
        <v>5000</v>
      </c>
      <c r="S885" s="52">
        <f ca="1">SUMIFS(OUT!$F$2:$F$11000,OUT!$H$2:$H$11000,H885,OUT!$D$2:$D$11000,"Out",OUT!$E$2:$E$11000,"Zela")</f>
        <v>33400</v>
      </c>
      <c r="T885" s="52">
        <f ca="1">SUMIFS(OUT!$F$2:$F$11000,OUT!$H$2:$H$11000,H885,OUT!$D$2:$D$11000,"Out",OUT!$E$2:$E$11000,"Iqbal")</f>
        <v>232194</v>
      </c>
    </row>
    <row r="886" spans="1:20" x14ac:dyDescent="0.2">
      <c r="A886" s="48">
        <f ca="1">IFERROR(__xludf.DUMMYFUNCTION("""COMPUTED_VALUE"""),46175)</f>
        <v>46175</v>
      </c>
      <c r="B886" s="4" t="str">
        <f ca="1">IFERROR(__xludf.DUMMYFUNCTION("""COMPUTED_VALUE"""),"tarik tunai")</f>
        <v>tarik tunai</v>
      </c>
      <c r="C886" s="4" t="str">
        <f ca="1">IFERROR(__xludf.DUMMYFUNCTION("""COMPUTED_VALUE"""),"ATM")</f>
        <v>ATM</v>
      </c>
      <c r="D886" s="4" t="str">
        <f ca="1">IFERROR(__xludf.DUMMYFUNCTION("""COMPUTED_VALUE"""),"Out")</f>
        <v>Out</v>
      </c>
      <c r="E886" s="4" t="str">
        <f ca="1">IFERROR(__xludf.DUMMYFUNCTION("""COMPUTED_VALUE"""),"Move")</f>
        <v>Move</v>
      </c>
      <c r="F886" s="49">
        <f ca="1">IFERROR(__xludf.DUMMYFUNCTION("""COMPUTED_VALUE"""),100000)</f>
        <v>100000</v>
      </c>
      <c r="G886" s="50" t="str">
        <f ca="1">IFERROR(__xludf.DUMMYFUNCTION("""COMPUTED_VALUE"""),"Zela")</f>
        <v>Zela</v>
      </c>
      <c r="H886" s="51">
        <f t="shared" ca="1" si="0"/>
        <v>46174</v>
      </c>
      <c r="I886" s="52" t="e">
        <f ca="1">SUMIFS(OUT!$F$2:$F$11000,OUT!$H$2:$H$11000,H886,OUT!$D$2:$D$101007,"In")</f>
        <v>#VALUE!</v>
      </c>
      <c r="J886" s="52">
        <f ca="1">SUMIFS(OUT!$F$2:$F$11000,OUT!$H$2:$H$11000,H886,OUT!$D$2:$D$11000,"Out")</f>
        <v>9155672</v>
      </c>
      <c r="K886" s="52">
        <f ca="1">SUMIFS(OUT!$F$2:$F$11000,OUT!$H$2:$H$11000,H886,OUT!$D$2:$D$11000,"Out",OUT!$E$2:$E$11000,"Fix")</f>
        <v>3084727</v>
      </c>
      <c r="L886" s="52">
        <f ca="1">SUMIFS(OUT!$F$2:$F$11000,OUT!$H$2:$H$11000,H886,OUT!$D$2:$D$11000,"Out",OUT!$E$2:$E$11000,"Bathroom")</f>
        <v>37500</v>
      </c>
      <c r="M886" s="52">
        <f ca="1">SUMIFS(OUT!$F$2:$F$11000,OUT!$H$2:$H$11000,H886,OUT!$D$2:$D$11000,"Out",OUT!$E$2:$E$11000,"Alfa")</f>
        <v>317864</v>
      </c>
      <c r="N886" s="52" t="e">
        <f ca="1">SUMIFS(OUT!$F$2:$F$11000,OUT!$H$2:$H$101007,H886,OUT!$D$2:$D$11000,"Out",OUT!$E$2:$E$11000,"Jajan")</f>
        <v>#VALUE!</v>
      </c>
      <c r="O886" s="52">
        <f ca="1">SUMIFS(OUT!$F$2:$F$11000,OUT!$H$2:$H$11000,H886,OUT!$D$2:$D$11000,"Out",OUT!$E$2:$E$11000,"Kitchen")</f>
        <v>985700</v>
      </c>
      <c r="P886" s="52">
        <f ca="1">SUMIFS(OUT!$F$2:$F$11000,OUT!$H$2:$H$11000,H886,OUT!$D$2:$D$11000,"Out",OUT!$E$2:$E$11000,"Loandry")</f>
        <v>21500</v>
      </c>
      <c r="Q886" s="52">
        <f ca="1">SUMIFS(OUT!$F$2:$F$11000,OUT!$H$2:$H$11000,H886,OUT!$D$2:$D$11000,"Out",OUT!$E$2:$E$11000,"Mio")</f>
        <v>265000</v>
      </c>
      <c r="R886" s="52">
        <f ca="1">SUMIFS(OUT!$F$2:$F$11000,OUT!$H$2:$H$11000,H886,OUT!$D$2:$D$11000,"Out",OUT!$E$2:$E$11000,"Sedekah")</f>
        <v>5000</v>
      </c>
      <c r="S886" s="52">
        <f ca="1">SUMIFS(OUT!$F$2:$F$11000,OUT!$H$2:$H$11000,H886,OUT!$D$2:$D$11000,"Out",OUT!$E$2:$E$11000,"Zela")</f>
        <v>33400</v>
      </c>
      <c r="T886" s="52">
        <f ca="1">SUMIFS(OUT!$F$2:$F$11000,OUT!$H$2:$H$11000,H886,OUT!$D$2:$D$11000,"Out",OUT!$E$2:$E$11000,"Iqbal")</f>
        <v>232194</v>
      </c>
    </row>
    <row r="887" spans="1:20" x14ac:dyDescent="0.2">
      <c r="A887" s="48">
        <f ca="1">IFERROR(__xludf.DUMMYFUNCTION("""COMPUTED_VALUE"""),46175)</f>
        <v>46175</v>
      </c>
      <c r="B887" s="4" t="str">
        <f ca="1">IFERROR(__xludf.DUMMYFUNCTION("""COMPUTED_VALUE"""),"terima tunai")</f>
        <v>terima tunai</v>
      </c>
      <c r="C887" s="4" t="str">
        <f ca="1">IFERROR(__xludf.DUMMYFUNCTION("""COMPUTED_VALUE"""),"Cash")</f>
        <v>Cash</v>
      </c>
      <c r="D887" s="4" t="str">
        <f ca="1">IFERROR(__xludf.DUMMYFUNCTION("""COMPUTED_VALUE"""),"In")</f>
        <v>In</v>
      </c>
      <c r="E887" s="4" t="str">
        <f ca="1">IFERROR(__xludf.DUMMYFUNCTION("""COMPUTED_VALUE"""),"Move")</f>
        <v>Move</v>
      </c>
      <c r="F887" s="49">
        <f ca="1">IFERROR(__xludf.DUMMYFUNCTION("""COMPUTED_VALUE"""),100000)</f>
        <v>100000</v>
      </c>
      <c r="G887" s="50" t="str">
        <f ca="1">IFERROR(__xludf.DUMMYFUNCTION("""COMPUTED_VALUE"""),"Zela")</f>
        <v>Zela</v>
      </c>
      <c r="H887" s="51">
        <f t="shared" ca="1" si="0"/>
        <v>46174</v>
      </c>
      <c r="I887" s="52" t="e">
        <f ca="1">SUMIFS(OUT!$F$2:$F$11000,OUT!$H$2:$H$11000,H887,OUT!$D$2:$D$101007,"In")</f>
        <v>#VALUE!</v>
      </c>
      <c r="J887" s="52">
        <f ca="1">SUMIFS(OUT!$F$2:$F$11000,OUT!$H$2:$H$11000,H887,OUT!$D$2:$D$11000,"Out")</f>
        <v>9155672</v>
      </c>
      <c r="K887" s="52">
        <f ca="1">SUMIFS(OUT!$F$2:$F$11000,OUT!$H$2:$H$11000,H887,OUT!$D$2:$D$11000,"Out",OUT!$E$2:$E$11000,"Fix")</f>
        <v>3084727</v>
      </c>
      <c r="L887" s="52">
        <f ca="1">SUMIFS(OUT!$F$2:$F$11000,OUT!$H$2:$H$11000,H887,OUT!$D$2:$D$11000,"Out",OUT!$E$2:$E$11000,"Bathroom")</f>
        <v>37500</v>
      </c>
      <c r="M887" s="52">
        <f ca="1">SUMIFS(OUT!$F$2:$F$11000,OUT!$H$2:$H$11000,H887,OUT!$D$2:$D$11000,"Out",OUT!$E$2:$E$11000,"Alfa")</f>
        <v>317864</v>
      </c>
      <c r="N887" s="52" t="e">
        <f ca="1">SUMIFS(OUT!$F$2:$F$11000,OUT!$H$2:$H$101007,H887,OUT!$D$2:$D$11000,"Out",OUT!$E$2:$E$11000,"Jajan")</f>
        <v>#VALUE!</v>
      </c>
      <c r="O887" s="52">
        <f ca="1">SUMIFS(OUT!$F$2:$F$11000,OUT!$H$2:$H$11000,H887,OUT!$D$2:$D$11000,"Out",OUT!$E$2:$E$11000,"Kitchen")</f>
        <v>985700</v>
      </c>
      <c r="P887" s="52">
        <f ca="1">SUMIFS(OUT!$F$2:$F$11000,OUT!$H$2:$H$11000,H887,OUT!$D$2:$D$11000,"Out",OUT!$E$2:$E$11000,"Loandry")</f>
        <v>21500</v>
      </c>
      <c r="Q887" s="52">
        <f ca="1">SUMIFS(OUT!$F$2:$F$11000,OUT!$H$2:$H$11000,H887,OUT!$D$2:$D$11000,"Out",OUT!$E$2:$E$11000,"Mio")</f>
        <v>265000</v>
      </c>
      <c r="R887" s="52">
        <f ca="1">SUMIFS(OUT!$F$2:$F$11000,OUT!$H$2:$H$11000,H887,OUT!$D$2:$D$11000,"Out",OUT!$E$2:$E$11000,"Sedekah")</f>
        <v>5000</v>
      </c>
      <c r="S887" s="52">
        <f ca="1">SUMIFS(OUT!$F$2:$F$11000,OUT!$H$2:$H$11000,H887,OUT!$D$2:$D$11000,"Out",OUT!$E$2:$E$11000,"Zela")</f>
        <v>33400</v>
      </c>
      <c r="T887" s="52">
        <f ca="1">SUMIFS(OUT!$F$2:$F$11000,OUT!$H$2:$H$11000,H887,OUT!$D$2:$D$11000,"Out",OUT!$E$2:$E$11000,"Iqbal")</f>
        <v>232194</v>
      </c>
    </row>
    <row r="888" spans="1:20" x14ac:dyDescent="0.2">
      <c r="A888" s="48">
        <f ca="1">IFERROR(__xludf.DUMMYFUNCTION("""COMPUTED_VALUE"""),46175)</f>
        <v>46175</v>
      </c>
      <c r="B888" s="4" t="str">
        <f ca="1">IFERROR(__xludf.DUMMYFUNCTION("""COMPUTED_VALUE"""),"bakso ante ndut")</f>
        <v>bakso ante ndut</v>
      </c>
      <c r="C888" s="4" t="str">
        <f ca="1">IFERROR(__xludf.DUMMYFUNCTION("""COMPUTED_VALUE"""),"Cash")</f>
        <v>Cash</v>
      </c>
      <c r="D888" s="4" t="str">
        <f ca="1">IFERROR(__xludf.DUMMYFUNCTION("""COMPUTED_VALUE"""),"Out")</f>
        <v>Out</v>
      </c>
      <c r="E888" s="4" t="str">
        <f ca="1">IFERROR(__xludf.DUMMYFUNCTION("""COMPUTED_VALUE"""),"Jajan")</f>
        <v>Jajan</v>
      </c>
      <c r="F888" s="49">
        <f ca="1">IFERROR(__xludf.DUMMYFUNCTION("""COMPUTED_VALUE"""),10000)</f>
        <v>10000</v>
      </c>
      <c r="G888" s="50" t="str">
        <f ca="1">IFERROR(__xludf.DUMMYFUNCTION("""COMPUTED_VALUE"""),"Zela")</f>
        <v>Zela</v>
      </c>
      <c r="H888" s="51">
        <f t="shared" ca="1" si="0"/>
        <v>46174</v>
      </c>
      <c r="I888" s="52" t="e">
        <f ca="1">SUMIFS(OUT!$F$2:$F$11000,OUT!$H$2:$H$11000,H888,OUT!$D$2:$D$101007,"In")</f>
        <v>#VALUE!</v>
      </c>
      <c r="J888" s="52">
        <f ca="1">SUMIFS(OUT!$F$2:$F$11000,OUT!$H$2:$H$11000,H888,OUT!$D$2:$D$11000,"Out")</f>
        <v>9155672</v>
      </c>
      <c r="K888" s="52">
        <f ca="1">SUMIFS(OUT!$F$2:$F$11000,OUT!$H$2:$H$11000,H888,OUT!$D$2:$D$11000,"Out",OUT!$E$2:$E$11000,"Fix")</f>
        <v>3084727</v>
      </c>
      <c r="L888" s="52">
        <f ca="1">SUMIFS(OUT!$F$2:$F$11000,OUT!$H$2:$H$11000,H888,OUT!$D$2:$D$11000,"Out",OUT!$E$2:$E$11000,"Bathroom")</f>
        <v>37500</v>
      </c>
      <c r="M888" s="52">
        <f ca="1">SUMIFS(OUT!$F$2:$F$11000,OUT!$H$2:$H$11000,H888,OUT!$D$2:$D$11000,"Out",OUT!$E$2:$E$11000,"Alfa")</f>
        <v>317864</v>
      </c>
      <c r="N888" s="52" t="e">
        <f ca="1">SUMIFS(OUT!$F$2:$F$11000,OUT!$H$2:$H$101007,H888,OUT!$D$2:$D$11000,"Out",OUT!$E$2:$E$11000,"Jajan")</f>
        <v>#VALUE!</v>
      </c>
      <c r="O888" s="52">
        <f ca="1">SUMIFS(OUT!$F$2:$F$11000,OUT!$H$2:$H$11000,H888,OUT!$D$2:$D$11000,"Out",OUT!$E$2:$E$11000,"Kitchen")</f>
        <v>985700</v>
      </c>
      <c r="P888" s="52">
        <f ca="1">SUMIFS(OUT!$F$2:$F$11000,OUT!$H$2:$H$11000,H888,OUT!$D$2:$D$11000,"Out",OUT!$E$2:$E$11000,"Loandry")</f>
        <v>21500</v>
      </c>
      <c r="Q888" s="52">
        <f ca="1">SUMIFS(OUT!$F$2:$F$11000,OUT!$H$2:$H$11000,H888,OUT!$D$2:$D$11000,"Out",OUT!$E$2:$E$11000,"Mio")</f>
        <v>265000</v>
      </c>
      <c r="R888" s="52">
        <f ca="1">SUMIFS(OUT!$F$2:$F$11000,OUT!$H$2:$H$11000,H888,OUT!$D$2:$D$11000,"Out",OUT!$E$2:$E$11000,"Sedekah")</f>
        <v>5000</v>
      </c>
      <c r="S888" s="52">
        <f ca="1">SUMIFS(OUT!$F$2:$F$11000,OUT!$H$2:$H$11000,H888,OUT!$D$2:$D$11000,"Out",OUT!$E$2:$E$11000,"Zela")</f>
        <v>33400</v>
      </c>
      <c r="T888" s="52">
        <f ca="1">SUMIFS(OUT!$F$2:$F$11000,OUT!$H$2:$H$11000,H888,OUT!$D$2:$D$11000,"Out",OUT!$E$2:$E$11000,"Iqbal")</f>
        <v>232194</v>
      </c>
    </row>
    <row r="889" spans="1:20" x14ac:dyDescent="0.2">
      <c r="A889" s="48">
        <f ca="1">IFERROR(__xludf.DUMMYFUNCTION("""COMPUTED_VALUE"""),46175)</f>
        <v>46175</v>
      </c>
      <c r="B889" s="4" t="str">
        <f ca="1">IFERROR(__xludf.DUMMYFUNCTION("""COMPUTED_VALUE"""),"buavita + roti bobo")</f>
        <v>buavita + roti bobo</v>
      </c>
      <c r="C889" s="4" t="str">
        <f ca="1">IFERROR(__xludf.DUMMYFUNCTION("""COMPUTED_VALUE"""),"Cash")</f>
        <v>Cash</v>
      </c>
      <c r="D889" s="4" t="str">
        <f ca="1">IFERROR(__xludf.DUMMYFUNCTION("""COMPUTED_VALUE"""),"Out")</f>
        <v>Out</v>
      </c>
      <c r="E889" s="4" t="str">
        <f ca="1">IFERROR(__xludf.DUMMYFUNCTION("""COMPUTED_VALUE"""),"Jajan")</f>
        <v>Jajan</v>
      </c>
      <c r="F889" s="49">
        <f ca="1">IFERROR(__xludf.DUMMYFUNCTION("""COMPUTED_VALUE"""),10000)</f>
        <v>10000</v>
      </c>
      <c r="G889" s="50" t="str">
        <f ca="1">IFERROR(__xludf.DUMMYFUNCTION("""COMPUTED_VALUE"""),"Zela")</f>
        <v>Zela</v>
      </c>
      <c r="H889" s="51">
        <f t="shared" ca="1" si="0"/>
        <v>46174</v>
      </c>
      <c r="I889" s="52" t="e">
        <f ca="1">SUMIFS(OUT!$F$2:$F$11000,OUT!$H$2:$H$11000,H889,OUT!$D$2:$D$101007,"In")</f>
        <v>#VALUE!</v>
      </c>
      <c r="J889" s="52">
        <f ca="1">SUMIFS(OUT!$F$2:$F$11000,OUT!$H$2:$H$11000,H889,OUT!$D$2:$D$11000,"Out")</f>
        <v>9155672</v>
      </c>
      <c r="K889" s="52">
        <f ca="1">SUMIFS(OUT!$F$2:$F$11000,OUT!$H$2:$H$11000,H889,OUT!$D$2:$D$11000,"Out",OUT!$E$2:$E$11000,"Fix")</f>
        <v>3084727</v>
      </c>
      <c r="L889" s="52">
        <f ca="1">SUMIFS(OUT!$F$2:$F$11000,OUT!$H$2:$H$11000,H889,OUT!$D$2:$D$11000,"Out",OUT!$E$2:$E$11000,"Bathroom")</f>
        <v>37500</v>
      </c>
      <c r="M889" s="52">
        <f ca="1">SUMIFS(OUT!$F$2:$F$11000,OUT!$H$2:$H$11000,H889,OUT!$D$2:$D$11000,"Out",OUT!$E$2:$E$11000,"Alfa")</f>
        <v>317864</v>
      </c>
      <c r="N889" s="52" t="e">
        <f ca="1">SUMIFS(OUT!$F$2:$F$11000,OUT!$H$2:$H$101007,H889,OUT!$D$2:$D$11000,"Out",OUT!$E$2:$E$11000,"Jajan")</f>
        <v>#VALUE!</v>
      </c>
      <c r="O889" s="52">
        <f ca="1">SUMIFS(OUT!$F$2:$F$11000,OUT!$H$2:$H$11000,H889,OUT!$D$2:$D$11000,"Out",OUT!$E$2:$E$11000,"Kitchen")</f>
        <v>985700</v>
      </c>
      <c r="P889" s="52">
        <f ca="1">SUMIFS(OUT!$F$2:$F$11000,OUT!$H$2:$H$11000,H889,OUT!$D$2:$D$11000,"Out",OUT!$E$2:$E$11000,"Loandry")</f>
        <v>21500</v>
      </c>
      <c r="Q889" s="52">
        <f ca="1">SUMIFS(OUT!$F$2:$F$11000,OUT!$H$2:$H$11000,H889,OUT!$D$2:$D$11000,"Out",OUT!$E$2:$E$11000,"Mio")</f>
        <v>265000</v>
      </c>
      <c r="R889" s="52">
        <f ca="1">SUMIFS(OUT!$F$2:$F$11000,OUT!$H$2:$H$11000,H889,OUT!$D$2:$D$11000,"Out",OUT!$E$2:$E$11000,"Sedekah")</f>
        <v>5000</v>
      </c>
      <c r="S889" s="52">
        <f ca="1">SUMIFS(OUT!$F$2:$F$11000,OUT!$H$2:$H$11000,H889,OUT!$D$2:$D$11000,"Out",OUT!$E$2:$E$11000,"Zela")</f>
        <v>33400</v>
      </c>
      <c r="T889" s="52">
        <f ca="1">SUMIFS(OUT!$F$2:$F$11000,OUT!$H$2:$H$11000,H889,OUT!$D$2:$D$11000,"Out",OUT!$E$2:$E$11000,"Iqbal")</f>
        <v>232194</v>
      </c>
    </row>
    <row r="890" spans="1:20" x14ac:dyDescent="0.2">
      <c r="A890" s="48">
        <f ca="1">IFERROR(__xludf.DUMMYFUNCTION("""COMPUTED_VALUE"""),46175)</f>
        <v>46175</v>
      </c>
      <c r="B890" s="4" t="str">
        <f ca="1">IFERROR(__xludf.DUMMYFUNCTION("""COMPUTED_VALUE"""),"rokok")</f>
        <v>rokok</v>
      </c>
      <c r="C890" s="4" t="str">
        <f ca="1">IFERROR(__xludf.DUMMYFUNCTION("""COMPUTED_VALUE"""),"Cash")</f>
        <v>Cash</v>
      </c>
      <c r="D890" s="4" t="str">
        <f ca="1">IFERROR(__xludf.DUMMYFUNCTION("""COMPUTED_VALUE"""),"Out")</f>
        <v>Out</v>
      </c>
      <c r="E890" s="4" t="str">
        <f ca="1">IFERROR(__xludf.DUMMYFUNCTION("""COMPUTED_VALUE"""),"Iqbal")</f>
        <v>Iqbal</v>
      </c>
      <c r="F890" s="49">
        <f ca="1">IFERROR(__xludf.DUMMYFUNCTION("""COMPUTED_VALUE"""),27000)</f>
        <v>27000</v>
      </c>
      <c r="G890" s="50" t="str">
        <f ca="1">IFERROR(__xludf.DUMMYFUNCTION("""COMPUTED_VALUE"""),"Zela")</f>
        <v>Zela</v>
      </c>
      <c r="H890" s="51">
        <f t="shared" ca="1" si="0"/>
        <v>46174</v>
      </c>
      <c r="I890" s="52" t="e">
        <f ca="1">SUMIFS(OUT!$F$2:$F$11000,OUT!$H$2:$H$11000,H890,OUT!$D$2:$D$101007,"In")</f>
        <v>#VALUE!</v>
      </c>
      <c r="J890" s="52">
        <f ca="1">SUMIFS(OUT!$F$2:$F$11000,OUT!$H$2:$H$11000,H890,OUT!$D$2:$D$11000,"Out")</f>
        <v>9155672</v>
      </c>
      <c r="K890" s="52">
        <f ca="1">SUMIFS(OUT!$F$2:$F$11000,OUT!$H$2:$H$11000,H890,OUT!$D$2:$D$11000,"Out",OUT!$E$2:$E$11000,"Fix")</f>
        <v>3084727</v>
      </c>
      <c r="L890" s="52">
        <f ca="1">SUMIFS(OUT!$F$2:$F$11000,OUT!$H$2:$H$11000,H890,OUT!$D$2:$D$11000,"Out",OUT!$E$2:$E$11000,"Bathroom")</f>
        <v>37500</v>
      </c>
      <c r="M890" s="52">
        <f ca="1">SUMIFS(OUT!$F$2:$F$11000,OUT!$H$2:$H$11000,H890,OUT!$D$2:$D$11000,"Out",OUT!$E$2:$E$11000,"Alfa")</f>
        <v>317864</v>
      </c>
      <c r="N890" s="52" t="e">
        <f ca="1">SUMIFS(OUT!$F$2:$F$11000,OUT!$H$2:$H$101007,H890,OUT!$D$2:$D$11000,"Out",OUT!$E$2:$E$11000,"Jajan")</f>
        <v>#VALUE!</v>
      </c>
      <c r="O890" s="52">
        <f ca="1">SUMIFS(OUT!$F$2:$F$11000,OUT!$H$2:$H$11000,H890,OUT!$D$2:$D$11000,"Out",OUT!$E$2:$E$11000,"Kitchen")</f>
        <v>985700</v>
      </c>
      <c r="P890" s="52">
        <f ca="1">SUMIFS(OUT!$F$2:$F$11000,OUT!$H$2:$H$11000,H890,OUT!$D$2:$D$11000,"Out",OUT!$E$2:$E$11000,"Loandry")</f>
        <v>21500</v>
      </c>
      <c r="Q890" s="52">
        <f ca="1">SUMIFS(OUT!$F$2:$F$11000,OUT!$H$2:$H$11000,H890,OUT!$D$2:$D$11000,"Out",OUT!$E$2:$E$11000,"Mio")</f>
        <v>265000</v>
      </c>
      <c r="R890" s="52">
        <f ca="1">SUMIFS(OUT!$F$2:$F$11000,OUT!$H$2:$H$11000,H890,OUT!$D$2:$D$11000,"Out",OUT!$E$2:$E$11000,"Sedekah")</f>
        <v>5000</v>
      </c>
      <c r="S890" s="52">
        <f ca="1">SUMIFS(OUT!$F$2:$F$11000,OUT!$H$2:$H$11000,H890,OUT!$D$2:$D$11000,"Out",OUT!$E$2:$E$11000,"Zela")</f>
        <v>33400</v>
      </c>
      <c r="T890" s="52">
        <f ca="1">SUMIFS(OUT!$F$2:$F$11000,OUT!$H$2:$H$11000,H890,OUT!$D$2:$D$11000,"Out",OUT!$E$2:$E$11000,"Iqbal")</f>
        <v>232194</v>
      </c>
    </row>
    <row r="891" spans="1:20" x14ac:dyDescent="0.2">
      <c r="A891" s="48">
        <f ca="1">IFERROR(__xludf.DUMMYFUNCTION("""COMPUTED_VALUE"""),46175)</f>
        <v>46175</v>
      </c>
      <c r="B891" s="4" t="str">
        <f ca="1">IFERROR(__xludf.DUMMYFUNCTION("""COMPUTED_VALUE"""),"suamiku")</f>
        <v>suamiku</v>
      </c>
      <c r="C891" s="4" t="str">
        <f ca="1">IFERROR(__xludf.DUMMYFUNCTION("""COMPUTED_VALUE"""),"ATM")</f>
        <v>ATM</v>
      </c>
      <c r="D891" s="4" t="str">
        <f ca="1">IFERROR(__xludf.DUMMYFUNCTION("""COMPUTED_VALUE"""),"In")</f>
        <v>In</v>
      </c>
      <c r="E891" s="4" t="str">
        <f ca="1">IFERROR(__xludf.DUMMYFUNCTION("""COMPUTED_VALUE"""),"Fix")</f>
        <v>Fix</v>
      </c>
      <c r="F891" s="49">
        <f ca="1">IFERROR(__xludf.DUMMYFUNCTION("""COMPUTED_VALUE"""),10000)</f>
        <v>10000</v>
      </c>
      <c r="G891" s="50" t="str">
        <f ca="1">IFERROR(__xludf.DUMMYFUNCTION("""COMPUTED_VALUE"""),"Zela")</f>
        <v>Zela</v>
      </c>
      <c r="H891" s="51">
        <f t="shared" ca="1" si="0"/>
        <v>46174</v>
      </c>
      <c r="I891" s="52" t="e">
        <f ca="1">SUMIFS(OUT!$F$2:$F$11000,OUT!$H$2:$H$11000,H891,OUT!$D$2:$D$101007,"In")</f>
        <v>#VALUE!</v>
      </c>
      <c r="J891" s="52">
        <f ca="1">SUMIFS(OUT!$F$2:$F$11000,OUT!$H$2:$H$11000,H891,OUT!$D$2:$D$11000,"Out")</f>
        <v>9155672</v>
      </c>
      <c r="K891" s="52">
        <f ca="1">SUMIFS(OUT!$F$2:$F$11000,OUT!$H$2:$H$11000,H891,OUT!$D$2:$D$11000,"Out",OUT!$E$2:$E$11000,"Fix")</f>
        <v>3084727</v>
      </c>
      <c r="L891" s="52">
        <f ca="1">SUMIFS(OUT!$F$2:$F$11000,OUT!$H$2:$H$11000,H891,OUT!$D$2:$D$11000,"Out",OUT!$E$2:$E$11000,"Bathroom")</f>
        <v>37500</v>
      </c>
      <c r="M891" s="52">
        <f ca="1">SUMIFS(OUT!$F$2:$F$11000,OUT!$H$2:$H$11000,H891,OUT!$D$2:$D$11000,"Out",OUT!$E$2:$E$11000,"Alfa")</f>
        <v>317864</v>
      </c>
      <c r="N891" s="52" t="e">
        <f ca="1">SUMIFS(OUT!$F$2:$F$11000,OUT!$H$2:$H$101007,H891,OUT!$D$2:$D$11000,"Out",OUT!$E$2:$E$11000,"Jajan")</f>
        <v>#VALUE!</v>
      </c>
      <c r="O891" s="52">
        <f ca="1">SUMIFS(OUT!$F$2:$F$11000,OUT!$H$2:$H$11000,H891,OUT!$D$2:$D$11000,"Out",OUT!$E$2:$E$11000,"Kitchen")</f>
        <v>985700</v>
      </c>
      <c r="P891" s="52">
        <f ca="1">SUMIFS(OUT!$F$2:$F$11000,OUT!$H$2:$H$11000,H891,OUT!$D$2:$D$11000,"Out",OUT!$E$2:$E$11000,"Loandry")</f>
        <v>21500</v>
      </c>
      <c r="Q891" s="52">
        <f ca="1">SUMIFS(OUT!$F$2:$F$11000,OUT!$H$2:$H$11000,H891,OUT!$D$2:$D$11000,"Out",OUT!$E$2:$E$11000,"Mio")</f>
        <v>265000</v>
      </c>
      <c r="R891" s="52">
        <f ca="1">SUMIFS(OUT!$F$2:$F$11000,OUT!$H$2:$H$11000,H891,OUT!$D$2:$D$11000,"Out",OUT!$E$2:$E$11000,"Sedekah")</f>
        <v>5000</v>
      </c>
      <c r="S891" s="52">
        <f ca="1">SUMIFS(OUT!$F$2:$F$11000,OUT!$H$2:$H$11000,H891,OUT!$D$2:$D$11000,"Out",OUT!$E$2:$E$11000,"Zela")</f>
        <v>33400</v>
      </c>
      <c r="T891" s="52">
        <f ca="1">SUMIFS(OUT!$F$2:$F$11000,OUT!$H$2:$H$11000,H891,OUT!$D$2:$D$11000,"Out",OUT!$E$2:$E$11000,"Iqbal")</f>
        <v>232194</v>
      </c>
    </row>
    <row r="892" spans="1:20" x14ac:dyDescent="0.2">
      <c r="A892" s="48">
        <f ca="1">IFERROR(__xludf.DUMMYFUNCTION("""COMPUTED_VALUE"""),46176)</f>
        <v>46176</v>
      </c>
      <c r="B892" s="4" t="str">
        <f ca="1">IFERROR(__xludf.DUMMYFUNCTION("""COMPUTED_VALUE"""),"susu Alfa ")</f>
        <v xml:space="preserve">susu Alfa </v>
      </c>
      <c r="C892" s="4" t="str">
        <f ca="1">IFERROR(__xludf.DUMMYFUNCTION("""COMPUTED_VALUE"""),"ATM")</f>
        <v>ATM</v>
      </c>
      <c r="D892" s="4" t="str">
        <f ca="1">IFERROR(__xludf.DUMMYFUNCTION("""COMPUTED_VALUE"""),"Out")</f>
        <v>Out</v>
      </c>
      <c r="E892" s="4" t="str">
        <f ca="1">IFERROR(__xludf.DUMMYFUNCTION("""COMPUTED_VALUE"""),"Alfa")</f>
        <v>Alfa</v>
      </c>
      <c r="F892" s="49">
        <f ca="1">IFERROR(__xludf.DUMMYFUNCTION("""COMPUTED_VALUE"""),27800)</f>
        <v>27800</v>
      </c>
      <c r="G892" s="50" t="str">
        <f ca="1">IFERROR(__xludf.DUMMYFUNCTION("""COMPUTED_VALUE"""),"Zela")</f>
        <v>Zela</v>
      </c>
      <c r="H892" s="51">
        <f t="shared" ca="1" si="0"/>
        <v>46174</v>
      </c>
      <c r="I892" s="52" t="e">
        <f ca="1">SUMIFS(OUT!$F$2:$F$11000,OUT!$H$2:$H$11000,H892,OUT!$D$2:$D$101007,"In")</f>
        <v>#VALUE!</v>
      </c>
      <c r="J892" s="52">
        <f ca="1">SUMIFS(OUT!$F$2:$F$11000,OUT!$H$2:$H$11000,H892,OUT!$D$2:$D$11000,"Out")</f>
        <v>9155672</v>
      </c>
      <c r="K892" s="52">
        <f ca="1">SUMIFS(OUT!$F$2:$F$11000,OUT!$H$2:$H$11000,H892,OUT!$D$2:$D$11000,"Out",OUT!$E$2:$E$11000,"Fix")</f>
        <v>3084727</v>
      </c>
      <c r="L892" s="52">
        <f ca="1">SUMIFS(OUT!$F$2:$F$11000,OUT!$H$2:$H$11000,H892,OUT!$D$2:$D$11000,"Out",OUT!$E$2:$E$11000,"Bathroom")</f>
        <v>37500</v>
      </c>
      <c r="M892" s="52">
        <f ca="1">SUMIFS(OUT!$F$2:$F$11000,OUT!$H$2:$H$11000,H892,OUT!$D$2:$D$11000,"Out",OUT!$E$2:$E$11000,"Alfa")</f>
        <v>317864</v>
      </c>
      <c r="N892" s="52" t="e">
        <f ca="1">SUMIFS(OUT!$F$2:$F$11000,OUT!$H$2:$H$101007,H892,OUT!$D$2:$D$11000,"Out",OUT!$E$2:$E$11000,"Jajan")</f>
        <v>#VALUE!</v>
      </c>
      <c r="O892" s="52">
        <f ca="1">SUMIFS(OUT!$F$2:$F$11000,OUT!$H$2:$H$11000,H892,OUT!$D$2:$D$11000,"Out",OUT!$E$2:$E$11000,"Kitchen")</f>
        <v>985700</v>
      </c>
      <c r="P892" s="52">
        <f ca="1">SUMIFS(OUT!$F$2:$F$11000,OUT!$H$2:$H$11000,H892,OUT!$D$2:$D$11000,"Out",OUT!$E$2:$E$11000,"Loandry")</f>
        <v>21500</v>
      </c>
      <c r="Q892" s="52">
        <f ca="1">SUMIFS(OUT!$F$2:$F$11000,OUT!$H$2:$H$11000,H892,OUT!$D$2:$D$11000,"Out",OUT!$E$2:$E$11000,"Mio")</f>
        <v>265000</v>
      </c>
      <c r="R892" s="52">
        <f ca="1">SUMIFS(OUT!$F$2:$F$11000,OUT!$H$2:$H$11000,H892,OUT!$D$2:$D$11000,"Out",OUT!$E$2:$E$11000,"Sedekah")</f>
        <v>5000</v>
      </c>
      <c r="S892" s="52">
        <f ca="1">SUMIFS(OUT!$F$2:$F$11000,OUT!$H$2:$H$11000,H892,OUT!$D$2:$D$11000,"Out",OUT!$E$2:$E$11000,"Zela")</f>
        <v>33400</v>
      </c>
      <c r="T892" s="52">
        <f ca="1">SUMIFS(OUT!$F$2:$F$11000,OUT!$H$2:$H$11000,H892,OUT!$D$2:$D$11000,"Out",OUT!$E$2:$E$11000,"Iqbal")</f>
        <v>232194</v>
      </c>
    </row>
    <row r="893" spans="1:20" x14ac:dyDescent="0.2">
      <c r="A893" s="48">
        <f ca="1">IFERROR(__xludf.DUMMYFUNCTION("""COMPUTED_VALUE"""),46176)</f>
        <v>46176</v>
      </c>
      <c r="B893" s="4" t="str">
        <f ca="1">IFERROR(__xludf.DUMMYFUNCTION("""COMPUTED_VALUE"""),"Sabun colek ")</f>
        <v xml:space="preserve">Sabun colek </v>
      </c>
      <c r="C893" s="4" t="str">
        <f ca="1">IFERROR(__xludf.DUMMYFUNCTION("""COMPUTED_VALUE"""),"ATM")</f>
        <v>ATM</v>
      </c>
      <c r="D893" s="4" t="str">
        <f ca="1">IFERROR(__xludf.DUMMYFUNCTION("""COMPUTED_VALUE"""),"Out")</f>
        <v>Out</v>
      </c>
      <c r="E893" s="4" t="str">
        <f ca="1">IFERROR(__xludf.DUMMYFUNCTION("""COMPUTED_VALUE"""),"Zela")</f>
        <v>Zela</v>
      </c>
      <c r="F893" s="49">
        <f ca="1">IFERROR(__xludf.DUMMYFUNCTION("""COMPUTED_VALUE"""),23400)</f>
        <v>23400</v>
      </c>
      <c r="G893" s="50" t="str">
        <f ca="1">IFERROR(__xludf.DUMMYFUNCTION("""COMPUTED_VALUE"""),"Zela")</f>
        <v>Zela</v>
      </c>
      <c r="H893" s="51">
        <f t="shared" ca="1" si="0"/>
        <v>46174</v>
      </c>
      <c r="I893" s="52" t="e">
        <f ca="1">SUMIFS(OUT!$F$2:$F$11000,OUT!$H$2:$H$11000,H893,OUT!$D$2:$D$101007,"In")</f>
        <v>#VALUE!</v>
      </c>
      <c r="J893" s="52">
        <f ca="1">SUMIFS(OUT!$F$2:$F$11000,OUT!$H$2:$H$11000,H893,OUT!$D$2:$D$11000,"Out")</f>
        <v>9155672</v>
      </c>
      <c r="K893" s="52">
        <f ca="1">SUMIFS(OUT!$F$2:$F$11000,OUT!$H$2:$H$11000,H893,OUT!$D$2:$D$11000,"Out",OUT!$E$2:$E$11000,"Fix")</f>
        <v>3084727</v>
      </c>
      <c r="L893" s="52">
        <f ca="1">SUMIFS(OUT!$F$2:$F$11000,OUT!$H$2:$H$11000,H893,OUT!$D$2:$D$11000,"Out",OUT!$E$2:$E$11000,"Bathroom")</f>
        <v>37500</v>
      </c>
      <c r="M893" s="52">
        <f ca="1">SUMIFS(OUT!$F$2:$F$11000,OUT!$H$2:$H$11000,H893,OUT!$D$2:$D$11000,"Out",OUT!$E$2:$E$11000,"Alfa")</f>
        <v>317864</v>
      </c>
      <c r="N893" s="52" t="e">
        <f ca="1">SUMIFS(OUT!$F$2:$F$11000,OUT!$H$2:$H$101007,H893,OUT!$D$2:$D$11000,"Out",OUT!$E$2:$E$11000,"Jajan")</f>
        <v>#VALUE!</v>
      </c>
      <c r="O893" s="52">
        <f ca="1">SUMIFS(OUT!$F$2:$F$11000,OUT!$H$2:$H$11000,H893,OUT!$D$2:$D$11000,"Out",OUT!$E$2:$E$11000,"Kitchen")</f>
        <v>985700</v>
      </c>
      <c r="P893" s="52">
        <f ca="1">SUMIFS(OUT!$F$2:$F$11000,OUT!$H$2:$H$11000,H893,OUT!$D$2:$D$11000,"Out",OUT!$E$2:$E$11000,"Loandry")</f>
        <v>21500</v>
      </c>
      <c r="Q893" s="52">
        <f ca="1">SUMIFS(OUT!$F$2:$F$11000,OUT!$H$2:$H$11000,H893,OUT!$D$2:$D$11000,"Out",OUT!$E$2:$E$11000,"Mio")</f>
        <v>265000</v>
      </c>
      <c r="R893" s="52">
        <f ca="1">SUMIFS(OUT!$F$2:$F$11000,OUT!$H$2:$H$11000,H893,OUT!$D$2:$D$11000,"Out",OUT!$E$2:$E$11000,"Sedekah")</f>
        <v>5000</v>
      </c>
      <c r="S893" s="52">
        <f ca="1">SUMIFS(OUT!$F$2:$F$11000,OUT!$H$2:$H$11000,H893,OUT!$D$2:$D$11000,"Out",OUT!$E$2:$E$11000,"Zela")</f>
        <v>33400</v>
      </c>
      <c r="T893" s="52">
        <f ca="1">SUMIFS(OUT!$F$2:$F$11000,OUT!$H$2:$H$11000,H893,OUT!$D$2:$D$11000,"Out",OUT!$E$2:$E$11000,"Iqbal")</f>
        <v>232194</v>
      </c>
    </row>
    <row r="894" spans="1:20" x14ac:dyDescent="0.2">
      <c r="A894" s="48">
        <f ca="1">IFERROR(__xludf.DUMMYFUNCTION("""COMPUTED_VALUE"""),46176)</f>
        <v>46176</v>
      </c>
      <c r="B894" s="4" t="str">
        <f ca="1">IFERROR(__xludf.DUMMYFUNCTION("""COMPUTED_VALUE"""),"Pembalut ")</f>
        <v xml:space="preserve">Pembalut </v>
      </c>
      <c r="C894" s="4" t="str">
        <f ca="1">IFERROR(__xludf.DUMMYFUNCTION("""COMPUTED_VALUE"""),"ATM")</f>
        <v>ATM</v>
      </c>
      <c r="D894" s="4" t="str">
        <f ca="1">IFERROR(__xludf.DUMMYFUNCTION("""COMPUTED_VALUE"""),"Out")</f>
        <v>Out</v>
      </c>
      <c r="E894" s="4" t="str">
        <f ca="1">IFERROR(__xludf.DUMMYFUNCTION("""COMPUTED_VALUE"""),"Kitchen")</f>
        <v>Kitchen</v>
      </c>
      <c r="F894" s="49">
        <f ca="1">IFERROR(__xludf.DUMMYFUNCTION("""COMPUTED_VALUE"""),5200)</f>
        <v>5200</v>
      </c>
      <c r="G894" s="50" t="str">
        <f ca="1">IFERROR(__xludf.DUMMYFUNCTION("""COMPUTED_VALUE"""),"Zela")</f>
        <v>Zela</v>
      </c>
      <c r="H894" s="51">
        <f t="shared" ca="1" si="0"/>
        <v>46174</v>
      </c>
      <c r="I894" s="52" t="e">
        <f ca="1">SUMIFS(OUT!$F$2:$F$11000,OUT!$H$2:$H$11000,H894,OUT!$D$2:$D$101007,"In")</f>
        <v>#VALUE!</v>
      </c>
      <c r="J894" s="52">
        <f ca="1">SUMIFS(OUT!$F$2:$F$11000,OUT!$H$2:$H$11000,H894,OUT!$D$2:$D$11000,"Out")</f>
        <v>9155672</v>
      </c>
      <c r="K894" s="52">
        <f ca="1">SUMIFS(OUT!$F$2:$F$11000,OUT!$H$2:$H$11000,H894,OUT!$D$2:$D$11000,"Out",OUT!$E$2:$E$11000,"Fix")</f>
        <v>3084727</v>
      </c>
      <c r="L894" s="52">
        <f ca="1">SUMIFS(OUT!$F$2:$F$11000,OUT!$H$2:$H$11000,H894,OUT!$D$2:$D$11000,"Out",OUT!$E$2:$E$11000,"Bathroom")</f>
        <v>37500</v>
      </c>
      <c r="M894" s="52">
        <f ca="1">SUMIFS(OUT!$F$2:$F$11000,OUT!$H$2:$H$11000,H894,OUT!$D$2:$D$11000,"Out",OUT!$E$2:$E$11000,"Alfa")</f>
        <v>317864</v>
      </c>
      <c r="N894" s="52" t="e">
        <f ca="1">SUMIFS(OUT!$F$2:$F$11000,OUT!$H$2:$H$101007,H894,OUT!$D$2:$D$11000,"Out",OUT!$E$2:$E$11000,"Jajan")</f>
        <v>#VALUE!</v>
      </c>
      <c r="O894" s="52">
        <f ca="1">SUMIFS(OUT!$F$2:$F$11000,OUT!$H$2:$H$11000,H894,OUT!$D$2:$D$11000,"Out",OUT!$E$2:$E$11000,"Kitchen")</f>
        <v>985700</v>
      </c>
      <c r="P894" s="52">
        <f ca="1">SUMIFS(OUT!$F$2:$F$11000,OUT!$H$2:$H$11000,H894,OUT!$D$2:$D$11000,"Out",OUT!$E$2:$E$11000,"Loandry")</f>
        <v>21500</v>
      </c>
      <c r="Q894" s="52">
        <f ca="1">SUMIFS(OUT!$F$2:$F$11000,OUT!$H$2:$H$11000,H894,OUT!$D$2:$D$11000,"Out",OUT!$E$2:$E$11000,"Mio")</f>
        <v>265000</v>
      </c>
      <c r="R894" s="52">
        <f ca="1">SUMIFS(OUT!$F$2:$F$11000,OUT!$H$2:$H$11000,H894,OUT!$D$2:$D$11000,"Out",OUT!$E$2:$E$11000,"Sedekah")</f>
        <v>5000</v>
      </c>
      <c r="S894" s="52">
        <f ca="1">SUMIFS(OUT!$F$2:$F$11000,OUT!$H$2:$H$11000,H894,OUT!$D$2:$D$11000,"Out",OUT!$E$2:$E$11000,"Zela")</f>
        <v>33400</v>
      </c>
      <c r="T894" s="52">
        <f ca="1">SUMIFS(OUT!$F$2:$F$11000,OUT!$H$2:$H$11000,H894,OUT!$D$2:$D$11000,"Out",OUT!$E$2:$E$11000,"Iqbal")</f>
        <v>232194</v>
      </c>
    </row>
    <row r="895" spans="1:20" x14ac:dyDescent="0.2">
      <c r="A895" s="48">
        <f ca="1">IFERROR(__xludf.DUMMYFUNCTION("""COMPUTED_VALUE"""),46176)</f>
        <v>46176</v>
      </c>
      <c r="B895" s="4" t="str">
        <f ca="1">IFERROR(__xludf.DUMMYFUNCTION("""COMPUTED_VALUE"""),"Paylater  Tiktok ")</f>
        <v xml:space="preserve">Paylater  Tiktok </v>
      </c>
      <c r="C895" s="4" t="str">
        <f ca="1">IFERROR(__xludf.DUMMYFUNCTION("""COMPUTED_VALUE"""),"ATM")</f>
        <v>ATM</v>
      </c>
      <c r="D895" s="4" t="str">
        <f ca="1">IFERROR(__xludf.DUMMYFUNCTION("""COMPUTED_VALUE"""),"Out")</f>
        <v>Out</v>
      </c>
      <c r="E895" s="4" t="str">
        <f ca="1">IFERROR(__xludf.DUMMYFUNCTION("""COMPUTED_VALUE"""),"Fix")</f>
        <v>Fix</v>
      </c>
      <c r="F895" s="49">
        <f ca="1">IFERROR(__xludf.DUMMYFUNCTION("""COMPUTED_VALUE"""),100000)</f>
        <v>100000</v>
      </c>
      <c r="G895" s="50" t="str">
        <f ca="1">IFERROR(__xludf.DUMMYFUNCTION("""COMPUTED_VALUE"""),"Zela")</f>
        <v>Zela</v>
      </c>
      <c r="H895" s="51">
        <f t="shared" ca="1" si="0"/>
        <v>46174</v>
      </c>
      <c r="I895" s="52" t="e">
        <f ca="1">SUMIFS(OUT!$F$2:$F$11000,OUT!$H$2:$H$11000,H895,OUT!$D$2:$D$101007,"In")</f>
        <v>#VALUE!</v>
      </c>
      <c r="J895" s="52">
        <f ca="1">SUMIFS(OUT!$F$2:$F$11000,OUT!$H$2:$H$11000,H895,OUT!$D$2:$D$11000,"Out")</f>
        <v>9155672</v>
      </c>
      <c r="K895" s="52">
        <f ca="1">SUMIFS(OUT!$F$2:$F$11000,OUT!$H$2:$H$11000,H895,OUT!$D$2:$D$11000,"Out",OUT!$E$2:$E$11000,"Fix")</f>
        <v>3084727</v>
      </c>
      <c r="L895" s="52">
        <f ca="1">SUMIFS(OUT!$F$2:$F$11000,OUT!$H$2:$H$11000,H895,OUT!$D$2:$D$11000,"Out",OUT!$E$2:$E$11000,"Bathroom")</f>
        <v>37500</v>
      </c>
      <c r="M895" s="52">
        <f ca="1">SUMIFS(OUT!$F$2:$F$11000,OUT!$H$2:$H$11000,H895,OUT!$D$2:$D$11000,"Out",OUT!$E$2:$E$11000,"Alfa")</f>
        <v>317864</v>
      </c>
      <c r="N895" s="52" t="e">
        <f ca="1">SUMIFS(OUT!$F$2:$F$11000,OUT!$H$2:$H$101007,H895,OUT!$D$2:$D$11000,"Out",OUT!$E$2:$E$11000,"Jajan")</f>
        <v>#VALUE!</v>
      </c>
      <c r="O895" s="52">
        <f ca="1">SUMIFS(OUT!$F$2:$F$11000,OUT!$H$2:$H$11000,H895,OUT!$D$2:$D$11000,"Out",OUT!$E$2:$E$11000,"Kitchen")</f>
        <v>985700</v>
      </c>
      <c r="P895" s="52">
        <f ca="1">SUMIFS(OUT!$F$2:$F$11000,OUT!$H$2:$H$11000,H895,OUT!$D$2:$D$11000,"Out",OUT!$E$2:$E$11000,"Loandry")</f>
        <v>21500</v>
      </c>
      <c r="Q895" s="52">
        <f ca="1">SUMIFS(OUT!$F$2:$F$11000,OUT!$H$2:$H$11000,H895,OUT!$D$2:$D$11000,"Out",OUT!$E$2:$E$11000,"Mio")</f>
        <v>265000</v>
      </c>
      <c r="R895" s="52">
        <f ca="1">SUMIFS(OUT!$F$2:$F$11000,OUT!$H$2:$H$11000,H895,OUT!$D$2:$D$11000,"Out",OUT!$E$2:$E$11000,"Sedekah")</f>
        <v>5000</v>
      </c>
      <c r="S895" s="52">
        <f ca="1">SUMIFS(OUT!$F$2:$F$11000,OUT!$H$2:$H$11000,H895,OUT!$D$2:$D$11000,"Out",OUT!$E$2:$E$11000,"Zela")</f>
        <v>33400</v>
      </c>
      <c r="T895" s="52">
        <f ca="1">SUMIFS(OUT!$F$2:$F$11000,OUT!$H$2:$H$11000,H895,OUT!$D$2:$D$11000,"Out",OUT!$E$2:$E$11000,"Iqbal")</f>
        <v>232194</v>
      </c>
    </row>
    <row r="896" spans="1:20" x14ac:dyDescent="0.2">
      <c r="A896" s="48">
        <f ca="1">IFERROR(__xludf.DUMMYFUNCTION("""COMPUTED_VALUE"""),46176)</f>
        <v>46176</v>
      </c>
      <c r="B896" s="4" t="str">
        <f ca="1">IFERROR(__xludf.DUMMYFUNCTION("""COMPUTED_VALUE"""),"Baju Alfa")</f>
        <v>Baju Alfa</v>
      </c>
      <c r="C896" s="4" t="str">
        <f ca="1">IFERROR(__xludf.DUMMYFUNCTION("""COMPUTED_VALUE"""),"ATM")</f>
        <v>ATM</v>
      </c>
      <c r="D896" s="4" t="str">
        <f ca="1">IFERROR(__xludf.DUMMYFUNCTION("""COMPUTED_VALUE"""),"Out")</f>
        <v>Out</v>
      </c>
      <c r="E896" s="4" t="str">
        <f ca="1">IFERROR(__xludf.DUMMYFUNCTION("""COMPUTED_VALUE"""),"Alfa")</f>
        <v>Alfa</v>
      </c>
      <c r="F896" s="49">
        <f ca="1">IFERROR(__xludf.DUMMYFUNCTION("""COMPUTED_VALUE"""),29519)</f>
        <v>29519</v>
      </c>
      <c r="G896" s="50" t="str">
        <f ca="1">IFERROR(__xludf.DUMMYFUNCTION("""COMPUTED_VALUE"""),"Zela")</f>
        <v>Zela</v>
      </c>
      <c r="H896" s="51">
        <f t="shared" ca="1" si="0"/>
        <v>46174</v>
      </c>
      <c r="I896" s="52" t="e">
        <f ca="1">SUMIFS(OUT!$F$2:$F$11000,OUT!$H$2:$H$11000,H896,OUT!$D$2:$D$101007,"In")</f>
        <v>#VALUE!</v>
      </c>
      <c r="J896" s="52">
        <f ca="1">SUMIFS(OUT!$F$2:$F$11000,OUT!$H$2:$H$11000,H896,OUT!$D$2:$D$11000,"Out")</f>
        <v>9155672</v>
      </c>
      <c r="K896" s="52">
        <f ca="1">SUMIFS(OUT!$F$2:$F$11000,OUT!$H$2:$H$11000,H896,OUT!$D$2:$D$11000,"Out",OUT!$E$2:$E$11000,"Fix")</f>
        <v>3084727</v>
      </c>
      <c r="L896" s="52">
        <f ca="1">SUMIFS(OUT!$F$2:$F$11000,OUT!$H$2:$H$11000,H896,OUT!$D$2:$D$11000,"Out",OUT!$E$2:$E$11000,"Bathroom")</f>
        <v>37500</v>
      </c>
      <c r="M896" s="52">
        <f ca="1">SUMIFS(OUT!$F$2:$F$11000,OUT!$H$2:$H$11000,H896,OUT!$D$2:$D$11000,"Out",OUT!$E$2:$E$11000,"Alfa")</f>
        <v>317864</v>
      </c>
      <c r="N896" s="52" t="e">
        <f ca="1">SUMIFS(OUT!$F$2:$F$11000,OUT!$H$2:$H$101007,H896,OUT!$D$2:$D$11000,"Out",OUT!$E$2:$E$11000,"Jajan")</f>
        <v>#VALUE!</v>
      </c>
      <c r="O896" s="52">
        <f ca="1">SUMIFS(OUT!$F$2:$F$11000,OUT!$H$2:$H$11000,H896,OUT!$D$2:$D$11000,"Out",OUT!$E$2:$E$11000,"Kitchen")</f>
        <v>985700</v>
      </c>
      <c r="P896" s="52">
        <f ca="1">SUMIFS(OUT!$F$2:$F$11000,OUT!$H$2:$H$11000,H896,OUT!$D$2:$D$11000,"Out",OUT!$E$2:$E$11000,"Loandry")</f>
        <v>21500</v>
      </c>
      <c r="Q896" s="52">
        <f ca="1">SUMIFS(OUT!$F$2:$F$11000,OUT!$H$2:$H$11000,H896,OUT!$D$2:$D$11000,"Out",OUT!$E$2:$E$11000,"Mio")</f>
        <v>265000</v>
      </c>
      <c r="R896" s="52">
        <f ca="1">SUMIFS(OUT!$F$2:$F$11000,OUT!$H$2:$H$11000,H896,OUT!$D$2:$D$11000,"Out",OUT!$E$2:$E$11000,"Sedekah")</f>
        <v>5000</v>
      </c>
      <c r="S896" s="52">
        <f ca="1">SUMIFS(OUT!$F$2:$F$11000,OUT!$H$2:$H$11000,H896,OUT!$D$2:$D$11000,"Out",OUT!$E$2:$E$11000,"Zela")</f>
        <v>33400</v>
      </c>
      <c r="T896" s="52">
        <f ca="1">SUMIFS(OUT!$F$2:$F$11000,OUT!$H$2:$H$11000,H896,OUT!$D$2:$D$11000,"Out",OUT!$E$2:$E$11000,"Iqbal")</f>
        <v>232194</v>
      </c>
    </row>
    <row r="897" spans="1:20" x14ac:dyDescent="0.2">
      <c r="A897" s="48">
        <f ca="1">IFERROR(__xludf.DUMMYFUNCTION("""COMPUTED_VALUE"""),46176)</f>
        <v>46176</v>
      </c>
      <c r="B897" s="4" t="str">
        <f ca="1">IFERROR(__xludf.DUMMYFUNCTION("""COMPUTED_VALUE"""),"ayam+esteh")</f>
        <v>ayam+esteh</v>
      </c>
      <c r="C897" s="4" t="str">
        <f ca="1">IFERROR(__xludf.DUMMYFUNCTION("""COMPUTED_VALUE"""),"Cash")</f>
        <v>Cash</v>
      </c>
      <c r="D897" s="4" t="str">
        <f ca="1">IFERROR(__xludf.DUMMYFUNCTION("""COMPUTED_VALUE"""),"Out")</f>
        <v>Out</v>
      </c>
      <c r="E897" s="4" t="str">
        <f ca="1">IFERROR(__xludf.DUMMYFUNCTION("""COMPUTED_VALUE"""),"Kitchen")</f>
        <v>Kitchen</v>
      </c>
      <c r="F897" s="49">
        <f ca="1">IFERROR(__xludf.DUMMYFUNCTION("""COMPUTED_VALUE"""),33000)</f>
        <v>33000</v>
      </c>
      <c r="G897" s="50" t="str">
        <f ca="1">IFERROR(__xludf.DUMMYFUNCTION("""COMPUTED_VALUE"""),"Zela")</f>
        <v>Zela</v>
      </c>
      <c r="H897" s="51">
        <f t="shared" ca="1" si="0"/>
        <v>46174</v>
      </c>
      <c r="I897" s="52" t="e">
        <f ca="1">SUMIFS(OUT!$F$2:$F$11000,OUT!$H$2:$H$11000,H897,OUT!$D$2:$D$101007,"In")</f>
        <v>#VALUE!</v>
      </c>
      <c r="J897" s="52">
        <f ca="1">SUMIFS(OUT!$F$2:$F$11000,OUT!$H$2:$H$11000,H897,OUT!$D$2:$D$11000,"Out")</f>
        <v>9155672</v>
      </c>
      <c r="K897" s="52">
        <f ca="1">SUMIFS(OUT!$F$2:$F$11000,OUT!$H$2:$H$11000,H897,OUT!$D$2:$D$11000,"Out",OUT!$E$2:$E$11000,"Fix")</f>
        <v>3084727</v>
      </c>
      <c r="L897" s="52">
        <f ca="1">SUMIFS(OUT!$F$2:$F$11000,OUT!$H$2:$H$11000,H897,OUT!$D$2:$D$11000,"Out",OUT!$E$2:$E$11000,"Bathroom")</f>
        <v>37500</v>
      </c>
      <c r="M897" s="52">
        <f ca="1">SUMIFS(OUT!$F$2:$F$11000,OUT!$H$2:$H$11000,H897,OUT!$D$2:$D$11000,"Out",OUT!$E$2:$E$11000,"Alfa")</f>
        <v>317864</v>
      </c>
      <c r="N897" s="52" t="e">
        <f ca="1">SUMIFS(OUT!$F$2:$F$11000,OUT!$H$2:$H$101007,H897,OUT!$D$2:$D$11000,"Out",OUT!$E$2:$E$11000,"Jajan")</f>
        <v>#VALUE!</v>
      </c>
      <c r="O897" s="52">
        <f ca="1">SUMIFS(OUT!$F$2:$F$11000,OUT!$H$2:$H$11000,H897,OUT!$D$2:$D$11000,"Out",OUT!$E$2:$E$11000,"Kitchen")</f>
        <v>985700</v>
      </c>
      <c r="P897" s="52">
        <f ca="1">SUMIFS(OUT!$F$2:$F$11000,OUT!$H$2:$H$11000,H897,OUT!$D$2:$D$11000,"Out",OUT!$E$2:$E$11000,"Loandry")</f>
        <v>21500</v>
      </c>
      <c r="Q897" s="52">
        <f ca="1">SUMIFS(OUT!$F$2:$F$11000,OUT!$H$2:$H$11000,H897,OUT!$D$2:$D$11000,"Out",OUT!$E$2:$E$11000,"Mio")</f>
        <v>265000</v>
      </c>
      <c r="R897" s="52">
        <f ca="1">SUMIFS(OUT!$F$2:$F$11000,OUT!$H$2:$H$11000,H897,OUT!$D$2:$D$11000,"Out",OUT!$E$2:$E$11000,"Sedekah")</f>
        <v>5000</v>
      </c>
      <c r="S897" s="52">
        <f ca="1">SUMIFS(OUT!$F$2:$F$11000,OUT!$H$2:$H$11000,H897,OUT!$D$2:$D$11000,"Out",OUT!$E$2:$E$11000,"Zela")</f>
        <v>33400</v>
      </c>
      <c r="T897" s="52">
        <f ca="1">SUMIFS(OUT!$F$2:$F$11000,OUT!$H$2:$H$11000,H897,OUT!$D$2:$D$11000,"Out",OUT!$E$2:$E$11000,"Iqbal")</f>
        <v>232194</v>
      </c>
    </row>
    <row r="898" spans="1:20" x14ac:dyDescent="0.2">
      <c r="A898" s="48">
        <f ca="1">IFERROR(__xludf.DUMMYFUNCTION("""COMPUTED_VALUE"""),46177)</f>
        <v>46177</v>
      </c>
      <c r="B898" s="4" t="str">
        <f ca="1">IFERROR(__xludf.DUMMYFUNCTION("""COMPUTED_VALUE"""),"Shampo")</f>
        <v>Shampo</v>
      </c>
      <c r="C898" s="4" t="str">
        <f ca="1">IFERROR(__xludf.DUMMYFUNCTION("""COMPUTED_VALUE"""),"ATM")</f>
        <v>ATM</v>
      </c>
      <c r="D898" s="4" t="str">
        <f ca="1">IFERROR(__xludf.DUMMYFUNCTION("""COMPUTED_VALUE"""),"Out")</f>
        <v>Out</v>
      </c>
      <c r="E898" s="4" t="str">
        <f ca="1">IFERROR(__xludf.DUMMYFUNCTION("""COMPUTED_VALUE"""),"Bathroom")</f>
        <v>Bathroom</v>
      </c>
      <c r="F898" s="49">
        <f ca="1">IFERROR(__xludf.DUMMYFUNCTION("""COMPUTED_VALUE"""),21000)</f>
        <v>21000</v>
      </c>
      <c r="G898" s="50" t="str">
        <f ca="1">IFERROR(__xludf.DUMMYFUNCTION("""COMPUTED_VALUE"""),"Zela")</f>
        <v>Zela</v>
      </c>
      <c r="H898" s="51">
        <f t="shared" ca="1" si="0"/>
        <v>46174</v>
      </c>
      <c r="I898" s="52" t="e">
        <f ca="1">SUMIFS(OUT!$F$2:$F$11000,OUT!$H$2:$H$11000,H898,OUT!$D$2:$D$101007,"In")</f>
        <v>#VALUE!</v>
      </c>
      <c r="J898" s="52">
        <f ca="1">SUMIFS(OUT!$F$2:$F$11000,OUT!$H$2:$H$11000,H898,OUT!$D$2:$D$11000,"Out")</f>
        <v>9155672</v>
      </c>
      <c r="K898" s="52">
        <f ca="1">SUMIFS(OUT!$F$2:$F$11000,OUT!$H$2:$H$11000,H898,OUT!$D$2:$D$11000,"Out",OUT!$E$2:$E$11000,"Fix")</f>
        <v>3084727</v>
      </c>
      <c r="L898" s="52">
        <f ca="1">SUMIFS(OUT!$F$2:$F$11000,OUT!$H$2:$H$11000,H898,OUT!$D$2:$D$11000,"Out",OUT!$E$2:$E$11000,"Bathroom")</f>
        <v>37500</v>
      </c>
      <c r="M898" s="52">
        <f ca="1">SUMIFS(OUT!$F$2:$F$11000,OUT!$H$2:$H$11000,H898,OUT!$D$2:$D$11000,"Out",OUT!$E$2:$E$11000,"Alfa")</f>
        <v>317864</v>
      </c>
      <c r="N898" s="52" t="e">
        <f ca="1">SUMIFS(OUT!$F$2:$F$11000,OUT!$H$2:$H$101007,H898,OUT!$D$2:$D$11000,"Out",OUT!$E$2:$E$11000,"Jajan")</f>
        <v>#VALUE!</v>
      </c>
      <c r="O898" s="52">
        <f ca="1">SUMIFS(OUT!$F$2:$F$11000,OUT!$H$2:$H$11000,H898,OUT!$D$2:$D$11000,"Out",OUT!$E$2:$E$11000,"Kitchen")</f>
        <v>985700</v>
      </c>
      <c r="P898" s="52">
        <f ca="1">SUMIFS(OUT!$F$2:$F$11000,OUT!$H$2:$H$11000,H898,OUT!$D$2:$D$11000,"Out",OUT!$E$2:$E$11000,"Loandry")</f>
        <v>21500</v>
      </c>
      <c r="Q898" s="52">
        <f ca="1">SUMIFS(OUT!$F$2:$F$11000,OUT!$H$2:$H$11000,H898,OUT!$D$2:$D$11000,"Out",OUT!$E$2:$E$11000,"Mio")</f>
        <v>265000</v>
      </c>
      <c r="R898" s="52">
        <f ca="1">SUMIFS(OUT!$F$2:$F$11000,OUT!$H$2:$H$11000,H898,OUT!$D$2:$D$11000,"Out",OUT!$E$2:$E$11000,"Sedekah")</f>
        <v>5000</v>
      </c>
      <c r="S898" s="52">
        <f ca="1">SUMIFS(OUT!$F$2:$F$11000,OUT!$H$2:$H$11000,H898,OUT!$D$2:$D$11000,"Out",OUT!$E$2:$E$11000,"Zela")</f>
        <v>33400</v>
      </c>
      <c r="T898" s="52">
        <f ca="1">SUMIFS(OUT!$F$2:$F$11000,OUT!$H$2:$H$11000,H898,OUT!$D$2:$D$11000,"Out",OUT!$E$2:$E$11000,"Iqbal")</f>
        <v>232194</v>
      </c>
    </row>
    <row r="899" spans="1:20" x14ac:dyDescent="0.2">
      <c r="A899" s="48">
        <f ca="1">IFERROR(__xludf.DUMMYFUNCTION("""COMPUTED_VALUE"""),46177)</f>
        <v>46177</v>
      </c>
      <c r="B899" s="4" t="str">
        <f ca="1">IFERROR(__xludf.DUMMYFUNCTION("""COMPUTED_VALUE"""),"jajan")</f>
        <v>jajan</v>
      </c>
      <c r="C899" s="4" t="str">
        <f ca="1">IFERROR(__xludf.DUMMYFUNCTION("""COMPUTED_VALUE"""),"Cash")</f>
        <v>Cash</v>
      </c>
      <c r="D899" s="4" t="str">
        <f ca="1">IFERROR(__xludf.DUMMYFUNCTION("""COMPUTED_VALUE"""),"Out")</f>
        <v>Out</v>
      </c>
      <c r="E899" s="4" t="str">
        <f ca="1">IFERROR(__xludf.DUMMYFUNCTION("""COMPUTED_VALUE"""),"Alfa")</f>
        <v>Alfa</v>
      </c>
      <c r="F899" s="49">
        <f ca="1">IFERROR(__xludf.DUMMYFUNCTION("""COMPUTED_VALUE"""),3000)</f>
        <v>3000</v>
      </c>
      <c r="G899" s="50" t="str">
        <f ca="1">IFERROR(__xludf.DUMMYFUNCTION("""COMPUTED_VALUE"""),"Zela")</f>
        <v>Zela</v>
      </c>
      <c r="H899" s="51">
        <f t="shared" ca="1" si="0"/>
        <v>46174</v>
      </c>
      <c r="I899" s="52" t="e">
        <f ca="1">SUMIFS(OUT!$F$2:$F$11000,OUT!$H$2:$H$11000,H899,OUT!$D$2:$D$101007,"In")</f>
        <v>#VALUE!</v>
      </c>
      <c r="J899" s="52">
        <f ca="1">SUMIFS(OUT!$F$2:$F$11000,OUT!$H$2:$H$11000,H899,OUT!$D$2:$D$11000,"Out")</f>
        <v>9155672</v>
      </c>
      <c r="K899" s="52">
        <f ca="1">SUMIFS(OUT!$F$2:$F$11000,OUT!$H$2:$H$11000,H899,OUT!$D$2:$D$11000,"Out",OUT!$E$2:$E$11000,"Fix")</f>
        <v>3084727</v>
      </c>
      <c r="L899" s="52">
        <f ca="1">SUMIFS(OUT!$F$2:$F$11000,OUT!$H$2:$H$11000,H899,OUT!$D$2:$D$11000,"Out",OUT!$E$2:$E$11000,"Bathroom")</f>
        <v>37500</v>
      </c>
      <c r="M899" s="52">
        <f ca="1">SUMIFS(OUT!$F$2:$F$11000,OUT!$H$2:$H$11000,H899,OUT!$D$2:$D$11000,"Out",OUT!$E$2:$E$11000,"Alfa")</f>
        <v>317864</v>
      </c>
      <c r="N899" s="52" t="e">
        <f ca="1">SUMIFS(OUT!$F$2:$F$11000,OUT!$H$2:$H$101007,H899,OUT!$D$2:$D$11000,"Out",OUT!$E$2:$E$11000,"Jajan")</f>
        <v>#VALUE!</v>
      </c>
      <c r="O899" s="52">
        <f ca="1">SUMIFS(OUT!$F$2:$F$11000,OUT!$H$2:$H$11000,H899,OUT!$D$2:$D$11000,"Out",OUT!$E$2:$E$11000,"Kitchen")</f>
        <v>985700</v>
      </c>
      <c r="P899" s="52">
        <f ca="1">SUMIFS(OUT!$F$2:$F$11000,OUT!$H$2:$H$11000,H899,OUT!$D$2:$D$11000,"Out",OUT!$E$2:$E$11000,"Loandry")</f>
        <v>21500</v>
      </c>
      <c r="Q899" s="52">
        <f ca="1">SUMIFS(OUT!$F$2:$F$11000,OUT!$H$2:$H$11000,H899,OUT!$D$2:$D$11000,"Out",OUT!$E$2:$E$11000,"Mio")</f>
        <v>265000</v>
      </c>
      <c r="R899" s="52">
        <f ca="1">SUMIFS(OUT!$F$2:$F$11000,OUT!$H$2:$H$11000,H899,OUT!$D$2:$D$11000,"Out",OUT!$E$2:$E$11000,"Sedekah")</f>
        <v>5000</v>
      </c>
      <c r="S899" s="52">
        <f ca="1">SUMIFS(OUT!$F$2:$F$11000,OUT!$H$2:$H$11000,H899,OUT!$D$2:$D$11000,"Out",OUT!$E$2:$E$11000,"Zela")</f>
        <v>33400</v>
      </c>
      <c r="T899" s="52">
        <f ca="1">SUMIFS(OUT!$F$2:$F$11000,OUT!$H$2:$H$11000,H899,OUT!$D$2:$D$11000,"Out",OUT!$E$2:$E$11000,"Iqbal")</f>
        <v>232194</v>
      </c>
    </row>
    <row r="900" spans="1:20" x14ac:dyDescent="0.2">
      <c r="A900" s="48">
        <f ca="1">IFERROR(__xludf.DUMMYFUNCTION("""COMPUTED_VALUE"""),46177)</f>
        <v>46177</v>
      </c>
      <c r="B900" s="4" t="str">
        <f ca="1">IFERROR(__xludf.DUMMYFUNCTION("""COMPUTED_VALUE"""),"pencukur elektrik")</f>
        <v>pencukur elektrik</v>
      </c>
      <c r="C900" s="4" t="str">
        <f ca="1">IFERROR(__xludf.DUMMYFUNCTION("""COMPUTED_VALUE"""),"ATM")</f>
        <v>ATM</v>
      </c>
      <c r="D900" s="4" t="str">
        <f ca="1">IFERROR(__xludf.DUMMYFUNCTION("""COMPUTED_VALUE"""),"Out")</f>
        <v>Out</v>
      </c>
      <c r="E900" s="4" t="str">
        <f ca="1">IFERROR(__xludf.DUMMYFUNCTION("""COMPUTED_VALUE"""),"Iqbal")</f>
        <v>Iqbal</v>
      </c>
      <c r="F900" s="49">
        <f ca="1">IFERROR(__xludf.DUMMYFUNCTION("""COMPUTED_VALUE"""),73694)</f>
        <v>73694</v>
      </c>
      <c r="G900" s="50" t="str">
        <f ca="1">IFERROR(__xludf.DUMMYFUNCTION("""COMPUTED_VALUE"""),"Zela")</f>
        <v>Zela</v>
      </c>
      <c r="H900" s="51">
        <f t="shared" ca="1" si="0"/>
        <v>46174</v>
      </c>
      <c r="I900" s="52" t="e">
        <f ca="1">SUMIFS(OUT!$F$2:$F$11000,OUT!$H$2:$H$11000,H900,OUT!$D$2:$D$101007,"In")</f>
        <v>#VALUE!</v>
      </c>
      <c r="J900" s="52">
        <f ca="1">SUMIFS(OUT!$F$2:$F$11000,OUT!$H$2:$H$11000,H900,OUT!$D$2:$D$11000,"Out")</f>
        <v>9155672</v>
      </c>
      <c r="K900" s="52">
        <f ca="1">SUMIFS(OUT!$F$2:$F$11000,OUT!$H$2:$H$11000,H900,OUT!$D$2:$D$11000,"Out",OUT!$E$2:$E$11000,"Fix")</f>
        <v>3084727</v>
      </c>
      <c r="L900" s="52">
        <f ca="1">SUMIFS(OUT!$F$2:$F$11000,OUT!$H$2:$H$11000,H900,OUT!$D$2:$D$11000,"Out",OUT!$E$2:$E$11000,"Bathroom")</f>
        <v>37500</v>
      </c>
      <c r="M900" s="52">
        <f ca="1">SUMIFS(OUT!$F$2:$F$11000,OUT!$H$2:$H$11000,H900,OUT!$D$2:$D$11000,"Out",OUT!$E$2:$E$11000,"Alfa")</f>
        <v>317864</v>
      </c>
      <c r="N900" s="52" t="e">
        <f ca="1">SUMIFS(OUT!$F$2:$F$11000,OUT!$H$2:$H$101007,H900,OUT!$D$2:$D$11000,"Out",OUT!$E$2:$E$11000,"Jajan")</f>
        <v>#VALUE!</v>
      </c>
      <c r="O900" s="52">
        <f ca="1">SUMIFS(OUT!$F$2:$F$11000,OUT!$H$2:$H$11000,H900,OUT!$D$2:$D$11000,"Out",OUT!$E$2:$E$11000,"Kitchen")</f>
        <v>985700</v>
      </c>
      <c r="P900" s="52">
        <f ca="1">SUMIFS(OUT!$F$2:$F$11000,OUT!$H$2:$H$11000,H900,OUT!$D$2:$D$11000,"Out",OUT!$E$2:$E$11000,"Loandry")</f>
        <v>21500</v>
      </c>
      <c r="Q900" s="52">
        <f ca="1">SUMIFS(OUT!$F$2:$F$11000,OUT!$H$2:$H$11000,H900,OUT!$D$2:$D$11000,"Out",OUT!$E$2:$E$11000,"Mio")</f>
        <v>265000</v>
      </c>
      <c r="R900" s="52">
        <f ca="1">SUMIFS(OUT!$F$2:$F$11000,OUT!$H$2:$H$11000,H900,OUT!$D$2:$D$11000,"Out",OUT!$E$2:$E$11000,"Sedekah")</f>
        <v>5000</v>
      </c>
      <c r="S900" s="52">
        <f ca="1">SUMIFS(OUT!$F$2:$F$11000,OUT!$H$2:$H$11000,H900,OUT!$D$2:$D$11000,"Out",OUT!$E$2:$E$11000,"Zela")</f>
        <v>33400</v>
      </c>
      <c r="T900" s="52">
        <f ca="1">SUMIFS(OUT!$F$2:$F$11000,OUT!$H$2:$H$11000,H900,OUT!$D$2:$D$11000,"Out",OUT!$E$2:$E$11000,"Iqbal")</f>
        <v>232194</v>
      </c>
    </row>
    <row r="901" spans="1:20" x14ac:dyDescent="0.2">
      <c r="A901" s="48">
        <f ca="1">IFERROR(__xludf.DUMMYFUNCTION("""COMPUTED_VALUE"""),46178)</f>
        <v>46178</v>
      </c>
      <c r="B901" s="4" t="str">
        <f ca="1">IFERROR(__xludf.DUMMYFUNCTION("""COMPUTED_VALUE"""),"singlet Alfa")</f>
        <v>singlet Alfa</v>
      </c>
      <c r="C901" s="4" t="str">
        <f ca="1">IFERROR(__xludf.DUMMYFUNCTION("""COMPUTED_VALUE"""),"ATM")</f>
        <v>ATM</v>
      </c>
      <c r="D901" s="4" t="str">
        <f ca="1">IFERROR(__xludf.DUMMYFUNCTION("""COMPUTED_VALUE"""),"Out")</f>
        <v>Out</v>
      </c>
      <c r="E901" s="4" t="str">
        <f ca="1">IFERROR(__xludf.DUMMYFUNCTION("""COMPUTED_VALUE"""),"Alfa")</f>
        <v>Alfa</v>
      </c>
      <c r="F901" s="49">
        <f ca="1">IFERROR(__xludf.DUMMYFUNCTION("""COMPUTED_VALUE"""),43245)</f>
        <v>43245</v>
      </c>
      <c r="G901" s="50" t="str">
        <f ca="1">IFERROR(__xludf.DUMMYFUNCTION("""COMPUTED_VALUE"""),"Zela")</f>
        <v>Zela</v>
      </c>
      <c r="H901" s="51">
        <f t="shared" ca="1" si="0"/>
        <v>46174</v>
      </c>
      <c r="I901" s="52" t="e">
        <f ca="1">SUMIFS(OUT!$F$2:$F$11000,OUT!$H$2:$H$11000,H901,OUT!$D$2:$D$101007,"In")</f>
        <v>#VALUE!</v>
      </c>
      <c r="J901" s="52">
        <f ca="1">SUMIFS(OUT!$F$2:$F$11000,OUT!$H$2:$H$11000,H901,OUT!$D$2:$D$11000,"Out")</f>
        <v>9155672</v>
      </c>
      <c r="K901" s="52">
        <f ca="1">SUMIFS(OUT!$F$2:$F$11000,OUT!$H$2:$H$11000,H901,OUT!$D$2:$D$11000,"Out",OUT!$E$2:$E$11000,"Fix")</f>
        <v>3084727</v>
      </c>
      <c r="L901" s="52">
        <f ca="1">SUMIFS(OUT!$F$2:$F$11000,OUT!$H$2:$H$11000,H901,OUT!$D$2:$D$11000,"Out",OUT!$E$2:$E$11000,"Bathroom")</f>
        <v>37500</v>
      </c>
      <c r="M901" s="52">
        <f ca="1">SUMIFS(OUT!$F$2:$F$11000,OUT!$H$2:$H$11000,H901,OUT!$D$2:$D$11000,"Out",OUT!$E$2:$E$11000,"Alfa")</f>
        <v>317864</v>
      </c>
      <c r="N901" s="52" t="e">
        <f ca="1">SUMIFS(OUT!$F$2:$F$11000,OUT!$H$2:$H$101007,H901,OUT!$D$2:$D$11000,"Out",OUT!$E$2:$E$11000,"Jajan")</f>
        <v>#VALUE!</v>
      </c>
      <c r="O901" s="52">
        <f ca="1">SUMIFS(OUT!$F$2:$F$11000,OUT!$H$2:$H$11000,H901,OUT!$D$2:$D$11000,"Out",OUT!$E$2:$E$11000,"Kitchen")</f>
        <v>985700</v>
      </c>
      <c r="P901" s="52">
        <f ca="1">SUMIFS(OUT!$F$2:$F$11000,OUT!$H$2:$H$11000,H901,OUT!$D$2:$D$11000,"Out",OUT!$E$2:$E$11000,"Loandry")</f>
        <v>21500</v>
      </c>
      <c r="Q901" s="52">
        <f ca="1">SUMIFS(OUT!$F$2:$F$11000,OUT!$H$2:$H$11000,H901,OUT!$D$2:$D$11000,"Out",OUT!$E$2:$E$11000,"Mio")</f>
        <v>265000</v>
      </c>
      <c r="R901" s="52">
        <f ca="1">SUMIFS(OUT!$F$2:$F$11000,OUT!$H$2:$H$11000,H901,OUT!$D$2:$D$11000,"Out",OUT!$E$2:$E$11000,"Sedekah")</f>
        <v>5000</v>
      </c>
      <c r="S901" s="52">
        <f ca="1">SUMIFS(OUT!$F$2:$F$11000,OUT!$H$2:$H$11000,H901,OUT!$D$2:$D$11000,"Out",OUT!$E$2:$E$11000,"Zela")</f>
        <v>33400</v>
      </c>
      <c r="T901" s="52">
        <f ca="1">SUMIFS(OUT!$F$2:$F$11000,OUT!$H$2:$H$11000,H901,OUT!$D$2:$D$11000,"Out",OUT!$E$2:$E$11000,"Iqbal")</f>
        <v>232194</v>
      </c>
    </row>
    <row r="902" spans="1:20" x14ac:dyDescent="0.2">
      <c r="A902" s="48">
        <f ca="1">IFERROR(__xludf.DUMMYFUNCTION("""COMPUTED_VALUE"""),46177)</f>
        <v>46177</v>
      </c>
      <c r="B902" s="4" t="str">
        <f ca="1">IFERROR(__xludf.DUMMYFUNCTION("""COMPUTED_VALUE"""),"Tarik tunak")</f>
        <v>Tarik tunak</v>
      </c>
      <c r="C902" s="4" t="str">
        <f ca="1">IFERROR(__xludf.DUMMYFUNCTION("""COMPUTED_VALUE"""),"ATM")</f>
        <v>ATM</v>
      </c>
      <c r="D902" s="4" t="str">
        <f ca="1">IFERROR(__xludf.DUMMYFUNCTION("""COMPUTED_VALUE"""),"Out")</f>
        <v>Out</v>
      </c>
      <c r="E902" s="4" t="str">
        <f ca="1">IFERROR(__xludf.DUMMYFUNCTION("""COMPUTED_VALUE"""),"Move")</f>
        <v>Move</v>
      </c>
      <c r="F902" s="49">
        <f ca="1">IFERROR(__xludf.DUMMYFUNCTION("""COMPUTED_VALUE"""),200000)</f>
        <v>200000</v>
      </c>
      <c r="G902" s="50" t="str">
        <f ca="1">IFERROR(__xludf.DUMMYFUNCTION("""COMPUTED_VALUE"""),"Zela")</f>
        <v>Zela</v>
      </c>
      <c r="H902" s="51">
        <f t="shared" ca="1" si="0"/>
        <v>46174</v>
      </c>
      <c r="I902" s="52" t="e">
        <f ca="1">SUMIFS(OUT!$F$2:$F$11000,OUT!$H$2:$H$11000,H902,OUT!$D$2:$D$101007,"In")</f>
        <v>#VALUE!</v>
      </c>
      <c r="J902" s="52">
        <f ca="1">SUMIFS(OUT!$F$2:$F$11000,OUT!$H$2:$H$11000,H902,OUT!$D$2:$D$11000,"Out")</f>
        <v>9155672</v>
      </c>
      <c r="K902" s="52">
        <f ca="1">SUMIFS(OUT!$F$2:$F$11000,OUT!$H$2:$H$11000,H902,OUT!$D$2:$D$11000,"Out",OUT!$E$2:$E$11000,"Fix")</f>
        <v>3084727</v>
      </c>
      <c r="L902" s="52">
        <f ca="1">SUMIFS(OUT!$F$2:$F$11000,OUT!$H$2:$H$11000,H902,OUT!$D$2:$D$11000,"Out",OUT!$E$2:$E$11000,"Bathroom")</f>
        <v>37500</v>
      </c>
      <c r="M902" s="52">
        <f ca="1">SUMIFS(OUT!$F$2:$F$11000,OUT!$H$2:$H$11000,H902,OUT!$D$2:$D$11000,"Out",OUT!$E$2:$E$11000,"Alfa")</f>
        <v>317864</v>
      </c>
      <c r="N902" s="52" t="e">
        <f ca="1">SUMIFS(OUT!$F$2:$F$11000,OUT!$H$2:$H$101007,H902,OUT!$D$2:$D$11000,"Out",OUT!$E$2:$E$11000,"Jajan")</f>
        <v>#VALUE!</v>
      </c>
      <c r="O902" s="52">
        <f ca="1">SUMIFS(OUT!$F$2:$F$11000,OUT!$H$2:$H$11000,H902,OUT!$D$2:$D$11000,"Out",OUT!$E$2:$E$11000,"Kitchen")</f>
        <v>985700</v>
      </c>
      <c r="P902" s="52">
        <f ca="1">SUMIFS(OUT!$F$2:$F$11000,OUT!$H$2:$H$11000,H902,OUT!$D$2:$D$11000,"Out",OUT!$E$2:$E$11000,"Loandry")</f>
        <v>21500</v>
      </c>
      <c r="Q902" s="52">
        <f ca="1">SUMIFS(OUT!$F$2:$F$11000,OUT!$H$2:$H$11000,H902,OUT!$D$2:$D$11000,"Out",OUT!$E$2:$E$11000,"Mio")</f>
        <v>265000</v>
      </c>
      <c r="R902" s="52">
        <f ca="1">SUMIFS(OUT!$F$2:$F$11000,OUT!$H$2:$H$11000,H902,OUT!$D$2:$D$11000,"Out",OUT!$E$2:$E$11000,"Sedekah")</f>
        <v>5000</v>
      </c>
      <c r="S902" s="52">
        <f ca="1">SUMIFS(OUT!$F$2:$F$11000,OUT!$H$2:$H$11000,H902,OUT!$D$2:$D$11000,"Out",OUT!$E$2:$E$11000,"Zela")</f>
        <v>33400</v>
      </c>
      <c r="T902" s="52">
        <f ca="1">SUMIFS(OUT!$F$2:$F$11000,OUT!$H$2:$H$11000,H902,OUT!$D$2:$D$11000,"Out",OUT!$E$2:$E$11000,"Iqbal")</f>
        <v>232194</v>
      </c>
    </row>
    <row r="903" spans="1:20" x14ac:dyDescent="0.2">
      <c r="A903" s="48">
        <f ca="1">IFERROR(__xludf.DUMMYFUNCTION("""COMPUTED_VALUE"""),46177)</f>
        <v>46177</v>
      </c>
      <c r="B903" s="4" t="str">
        <f ca="1">IFERROR(__xludf.DUMMYFUNCTION("""COMPUTED_VALUE"""),"Terima Tunai ")</f>
        <v xml:space="preserve">Terima Tunai </v>
      </c>
      <c r="C903" s="4" t="str">
        <f ca="1">IFERROR(__xludf.DUMMYFUNCTION("""COMPUTED_VALUE"""),"Cash")</f>
        <v>Cash</v>
      </c>
      <c r="D903" s="4" t="str">
        <f ca="1">IFERROR(__xludf.DUMMYFUNCTION("""COMPUTED_VALUE"""),"In")</f>
        <v>In</v>
      </c>
      <c r="E903" s="4" t="str">
        <f ca="1">IFERROR(__xludf.DUMMYFUNCTION("""COMPUTED_VALUE"""),"Move")</f>
        <v>Move</v>
      </c>
      <c r="F903" s="49">
        <f ca="1">IFERROR(__xludf.DUMMYFUNCTION("""COMPUTED_VALUE"""),200000)</f>
        <v>200000</v>
      </c>
      <c r="G903" s="50" t="str">
        <f ca="1">IFERROR(__xludf.DUMMYFUNCTION("""COMPUTED_VALUE"""),"Zela")</f>
        <v>Zela</v>
      </c>
      <c r="H903" s="51">
        <f t="shared" ca="1" si="0"/>
        <v>46174</v>
      </c>
      <c r="I903" s="52" t="e">
        <f ca="1">SUMIFS(OUT!$F$2:$F$11000,OUT!$H$2:$H$11000,H903,OUT!$D$2:$D$101007,"In")</f>
        <v>#VALUE!</v>
      </c>
      <c r="J903" s="52">
        <f ca="1">SUMIFS(OUT!$F$2:$F$11000,OUT!$H$2:$H$11000,H903,OUT!$D$2:$D$11000,"Out")</f>
        <v>9155672</v>
      </c>
      <c r="K903" s="52">
        <f ca="1">SUMIFS(OUT!$F$2:$F$11000,OUT!$H$2:$H$11000,H903,OUT!$D$2:$D$11000,"Out",OUT!$E$2:$E$11000,"Fix")</f>
        <v>3084727</v>
      </c>
      <c r="L903" s="52">
        <f ca="1">SUMIFS(OUT!$F$2:$F$11000,OUT!$H$2:$H$11000,H903,OUT!$D$2:$D$11000,"Out",OUT!$E$2:$E$11000,"Bathroom")</f>
        <v>37500</v>
      </c>
      <c r="M903" s="52">
        <f ca="1">SUMIFS(OUT!$F$2:$F$11000,OUT!$H$2:$H$11000,H903,OUT!$D$2:$D$11000,"Out",OUT!$E$2:$E$11000,"Alfa")</f>
        <v>317864</v>
      </c>
      <c r="N903" s="52" t="e">
        <f ca="1">SUMIFS(OUT!$F$2:$F$11000,OUT!$H$2:$H$101007,H903,OUT!$D$2:$D$11000,"Out",OUT!$E$2:$E$11000,"Jajan")</f>
        <v>#VALUE!</v>
      </c>
      <c r="O903" s="52">
        <f ca="1">SUMIFS(OUT!$F$2:$F$11000,OUT!$H$2:$H$11000,H903,OUT!$D$2:$D$11000,"Out",OUT!$E$2:$E$11000,"Kitchen")</f>
        <v>985700</v>
      </c>
      <c r="P903" s="52">
        <f ca="1">SUMIFS(OUT!$F$2:$F$11000,OUT!$H$2:$H$11000,H903,OUT!$D$2:$D$11000,"Out",OUT!$E$2:$E$11000,"Loandry")</f>
        <v>21500</v>
      </c>
      <c r="Q903" s="52">
        <f ca="1">SUMIFS(OUT!$F$2:$F$11000,OUT!$H$2:$H$11000,H903,OUT!$D$2:$D$11000,"Out",OUT!$E$2:$E$11000,"Mio")</f>
        <v>265000</v>
      </c>
      <c r="R903" s="52">
        <f ca="1">SUMIFS(OUT!$F$2:$F$11000,OUT!$H$2:$H$11000,H903,OUT!$D$2:$D$11000,"Out",OUT!$E$2:$E$11000,"Sedekah")</f>
        <v>5000</v>
      </c>
      <c r="S903" s="52">
        <f ca="1">SUMIFS(OUT!$F$2:$F$11000,OUT!$H$2:$H$11000,H903,OUT!$D$2:$D$11000,"Out",OUT!$E$2:$E$11000,"Zela")</f>
        <v>33400</v>
      </c>
      <c r="T903" s="52">
        <f ca="1">SUMIFS(OUT!$F$2:$F$11000,OUT!$H$2:$H$11000,H903,OUT!$D$2:$D$11000,"Out",OUT!$E$2:$E$11000,"Iqbal")</f>
        <v>232194</v>
      </c>
    </row>
    <row r="904" spans="1:20" x14ac:dyDescent="0.2">
      <c r="A904" s="48">
        <f ca="1">IFERROR(__xludf.DUMMYFUNCTION("""COMPUTED_VALUE"""),46177)</f>
        <v>46177</v>
      </c>
      <c r="B904" s="4" t="str">
        <f ca="1">IFERROR(__xludf.DUMMYFUNCTION("""COMPUTED_VALUE"""),"Gorengan")</f>
        <v>Gorengan</v>
      </c>
      <c r="C904" s="4" t="str">
        <f ca="1">IFERROR(__xludf.DUMMYFUNCTION("""COMPUTED_VALUE"""),"Cash")</f>
        <v>Cash</v>
      </c>
      <c r="D904" s="4" t="str">
        <f ca="1">IFERROR(__xludf.DUMMYFUNCTION("""COMPUTED_VALUE"""),"Out")</f>
        <v>Out</v>
      </c>
      <c r="E904" s="4" t="str">
        <f ca="1">IFERROR(__xludf.DUMMYFUNCTION("""COMPUTED_VALUE"""),"Jajan")</f>
        <v>Jajan</v>
      </c>
      <c r="F904" s="49">
        <f ca="1">IFERROR(__xludf.DUMMYFUNCTION("""COMPUTED_VALUE"""),10000)</f>
        <v>10000</v>
      </c>
      <c r="G904" s="50" t="str">
        <f ca="1">IFERROR(__xludf.DUMMYFUNCTION("""COMPUTED_VALUE"""),"Zela")</f>
        <v>Zela</v>
      </c>
      <c r="H904" s="51">
        <f t="shared" ca="1" si="0"/>
        <v>46174</v>
      </c>
      <c r="I904" s="52" t="e">
        <f ca="1">SUMIFS(OUT!$F$2:$F$11000,OUT!$H$2:$H$11000,H904,OUT!$D$2:$D$101007,"In")</f>
        <v>#VALUE!</v>
      </c>
      <c r="J904" s="52">
        <f ca="1">SUMIFS(OUT!$F$2:$F$11000,OUT!$H$2:$H$11000,H904,OUT!$D$2:$D$11000,"Out")</f>
        <v>9155672</v>
      </c>
      <c r="K904" s="52">
        <f ca="1">SUMIFS(OUT!$F$2:$F$11000,OUT!$H$2:$H$11000,H904,OUT!$D$2:$D$11000,"Out",OUT!$E$2:$E$11000,"Fix")</f>
        <v>3084727</v>
      </c>
      <c r="L904" s="52">
        <f ca="1">SUMIFS(OUT!$F$2:$F$11000,OUT!$H$2:$H$11000,H904,OUT!$D$2:$D$11000,"Out",OUT!$E$2:$E$11000,"Bathroom")</f>
        <v>37500</v>
      </c>
      <c r="M904" s="52">
        <f ca="1">SUMIFS(OUT!$F$2:$F$11000,OUT!$H$2:$H$11000,H904,OUT!$D$2:$D$11000,"Out",OUT!$E$2:$E$11000,"Alfa")</f>
        <v>317864</v>
      </c>
      <c r="N904" s="52" t="e">
        <f ca="1">SUMIFS(OUT!$F$2:$F$11000,OUT!$H$2:$H$101007,H904,OUT!$D$2:$D$11000,"Out",OUT!$E$2:$E$11000,"Jajan")</f>
        <v>#VALUE!</v>
      </c>
      <c r="O904" s="52">
        <f ca="1">SUMIFS(OUT!$F$2:$F$11000,OUT!$H$2:$H$11000,H904,OUT!$D$2:$D$11000,"Out",OUT!$E$2:$E$11000,"Kitchen")</f>
        <v>985700</v>
      </c>
      <c r="P904" s="52">
        <f ca="1">SUMIFS(OUT!$F$2:$F$11000,OUT!$H$2:$H$11000,H904,OUT!$D$2:$D$11000,"Out",OUT!$E$2:$E$11000,"Loandry")</f>
        <v>21500</v>
      </c>
      <c r="Q904" s="52">
        <f ca="1">SUMIFS(OUT!$F$2:$F$11000,OUT!$H$2:$H$11000,H904,OUT!$D$2:$D$11000,"Out",OUT!$E$2:$E$11000,"Mio")</f>
        <v>265000</v>
      </c>
      <c r="R904" s="52">
        <f ca="1">SUMIFS(OUT!$F$2:$F$11000,OUT!$H$2:$H$11000,H904,OUT!$D$2:$D$11000,"Out",OUT!$E$2:$E$11000,"Sedekah")</f>
        <v>5000</v>
      </c>
      <c r="S904" s="52">
        <f ca="1">SUMIFS(OUT!$F$2:$F$11000,OUT!$H$2:$H$11000,H904,OUT!$D$2:$D$11000,"Out",OUT!$E$2:$E$11000,"Zela")</f>
        <v>33400</v>
      </c>
      <c r="T904" s="52">
        <f ca="1">SUMIFS(OUT!$F$2:$F$11000,OUT!$H$2:$H$11000,H904,OUT!$D$2:$D$11000,"Out",OUT!$E$2:$E$11000,"Iqbal")</f>
        <v>232194</v>
      </c>
    </row>
    <row r="905" spans="1:20" x14ac:dyDescent="0.2">
      <c r="A905" s="48">
        <f ca="1">IFERROR(__xludf.DUMMYFUNCTION("""COMPUTED_VALUE"""),46177)</f>
        <v>46177</v>
      </c>
      <c r="B905" s="4" t="str">
        <f ca="1">IFERROR(__xludf.DUMMYFUNCTION("""COMPUTED_VALUE"""),"Grosir ( Gabin+kopi+tango)")</f>
        <v>Grosir ( Gabin+kopi+tango)</v>
      </c>
      <c r="C905" s="4" t="str">
        <f ca="1">IFERROR(__xludf.DUMMYFUNCTION("""COMPUTED_VALUE"""),"Cash")</f>
        <v>Cash</v>
      </c>
      <c r="D905" s="4" t="str">
        <f ca="1">IFERROR(__xludf.DUMMYFUNCTION("""COMPUTED_VALUE"""),"Out")</f>
        <v>Out</v>
      </c>
      <c r="E905" s="4" t="str">
        <f ca="1">IFERROR(__xludf.DUMMYFUNCTION("""COMPUTED_VALUE"""),"Jajan")</f>
        <v>Jajan</v>
      </c>
      <c r="F905" s="49">
        <f ca="1">IFERROR(__xludf.DUMMYFUNCTION("""COMPUTED_VALUE"""),31000)</f>
        <v>31000</v>
      </c>
      <c r="G905" s="50" t="str">
        <f ca="1">IFERROR(__xludf.DUMMYFUNCTION("""COMPUTED_VALUE"""),"Zela")</f>
        <v>Zela</v>
      </c>
      <c r="H905" s="51">
        <f t="shared" ca="1" si="0"/>
        <v>46174</v>
      </c>
      <c r="I905" s="52" t="e">
        <f ca="1">SUMIFS(OUT!$F$2:$F$11000,OUT!$H$2:$H$11000,H905,OUT!$D$2:$D$101007,"In")</f>
        <v>#VALUE!</v>
      </c>
      <c r="J905" s="52">
        <f ca="1">SUMIFS(OUT!$F$2:$F$11000,OUT!$H$2:$H$11000,H905,OUT!$D$2:$D$11000,"Out")</f>
        <v>9155672</v>
      </c>
      <c r="K905" s="52">
        <f ca="1">SUMIFS(OUT!$F$2:$F$11000,OUT!$H$2:$H$11000,H905,OUT!$D$2:$D$11000,"Out",OUT!$E$2:$E$11000,"Fix")</f>
        <v>3084727</v>
      </c>
      <c r="L905" s="52">
        <f ca="1">SUMIFS(OUT!$F$2:$F$11000,OUT!$H$2:$H$11000,H905,OUT!$D$2:$D$11000,"Out",OUT!$E$2:$E$11000,"Bathroom")</f>
        <v>37500</v>
      </c>
      <c r="M905" s="52">
        <f ca="1">SUMIFS(OUT!$F$2:$F$11000,OUT!$H$2:$H$11000,H905,OUT!$D$2:$D$11000,"Out",OUT!$E$2:$E$11000,"Alfa")</f>
        <v>317864</v>
      </c>
      <c r="N905" s="52" t="e">
        <f ca="1">SUMIFS(OUT!$F$2:$F$11000,OUT!$H$2:$H$101007,H905,OUT!$D$2:$D$11000,"Out",OUT!$E$2:$E$11000,"Jajan")</f>
        <v>#VALUE!</v>
      </c>
      <c r="O905" s="52">
        <f ca="1">SUMIFS(OUT!$F$2:$F$11000,OUT!$H$2:$H$11000,H905,OUT!$D$2:$D$11000,"Out",OUT!$E$2:$E$11000,"Kitchen")</f>
        <v>985700</v>
      </c>
      <c r="P905" s="52">
        <f ca="1">SUMIFS(OUT!$F$2:$F$11000,OUT!$H$2:$H$11000,H905,OUT!$D$2:$D$11000,"Out",OUT!$E$2:$E$11000,"Loandry")</f>
        <v>21500</v>
      </c>
      <c r="Q905" s="52">
        <f ca="1">SUMIFS(OUT!$F$2:$F$11000,OUT!$H$2:$H$11000,H905,OUT!$D$2:$D$11000,"Out",OUT!$E$2:$E$11000,"Mio")</f>
        <v>265000</v>
      </c>
      <c r="R905" s="52">
        <f ca="1">SUMIFS(OUT!$F$2:$F$11000,OUT!$H$2:$H$11000,H905,OUT!$D$2:$D$11000,"Out",OUT!$E$2:$E$11000,"Sedekah")</f>
        <v>5000</v>
      </c>
      <c r="S905" s="52">
        <f ca="1">SUMIFS(OUT!$F$2:$F$11000,OUT!$H$2:$H$11000,H905,OUT!$D$2:$D$11000,"Out",OUT!$E$2:$E$11000,"Zela")</f>
        <v>33400</v>
      </c>
      <c r="T905" s="52">
        <f ca="1">SUMIFS(OUT!$F$2:$F$11000,OUT!$H$2:$H$11000,H905,OUT!$D$2:$D$11000,"Out",OUT!$E$2:$E$11000,"Iqbal")</f>
        <v>232194</v>
      </c>
    </row>
    <row r="906" spans="1:20" x14ac:dyDescent="0.2">
      <c r="A906" s="48">
        <f ca="1">IFERROR(__xludf.DUMMYFUNCTION("""COMPUTED_VALUE"""),46177)</f>
        <v>46177</v>
      </c>
      <c r="B906" s="4" t="str">
        <f ca="1">IFERROR(__xludf.DUMMYFUNCTION("""COMPUTED_VALUE"""),"gentelgen")</f>
        <v>gentelgen</v>
      </c>
      <c r="C906" s="4" t="str">
        <f ca="1">IFERROR(__xludf.DUMMYFUNCTION("""COMPUTED_VALUE"""),"Cash")</f>
        <v>Cash</v>
      </c>
      <c r="D906" s="4" t="str">
        <f ca="1">IFERROR(__xludf.DUMMYFUNCTION("""COMPUTED_VALUE"""),"Out")</f>
        <v>Out</v>
      </c>
      <c r="E906" s="4" t="str">
        <f ca="1">IFERROR(__xludf.DUMMYFUNCTION("""COMPUTED_VALUE"""),"Loandry")</f>
        <v>Loandry</v>
      </c>
      <c r="F906" s="49">
        <f ca="1">IFERROR(__xludf.DUMMYFUNCTION("""COMPUTED_VALUE"""),10500)</f>
        <v>10500</v>
      </c>
      <c r="G906" s="50" t="str">
        <f ca="1">IFERROR(__xludf.DUMMYFUNCTION("""COMPUTED_VALUE"""),"Zela")</f>
        <v>Zela</v>
      </c>
      <c r="H906" s="51">
        <f t="shared" ca="1" si="0"/>
        <v>46174</v>
      </c>
      <c r="I906" s="52" t="e">
        <f ca="1">SUMIFS(OUT!$F$2:$F$11000,OUT!$H$2:$H$11000,H906,OUT!$D$2:$D$101007,"In")</f>
        <v>#VALUE!</v>
      </c>
      <c r="J906" s="52">
        <f ca="1">SUMIFS(OUT!$F$2:$F$11000,OUT!$H$2:$H$11000,H906,OUT!$D$2:$D$11000,"Out")</f>
        <v>9155672</v>
      </c>
      <c r="K906" s="52">
        <f ca="1">SUMIFS(OUT!$F$2:$F$11000,OUT!$H$2:$H$11000,H906,OUT!$D$2:$D$11000,"Out",OUT!$E$2:$E$11000,"Fix")</f>
        <v>3084727</v>
      </c>
      <c r="L906" s="52">
        <f ca="1">SUMIFS(OUT!$F$2:$F$11000,OUT!$H$2:$H$11000,H906,OUT!$D$2:$D$11000,"Out",OUT!$E$2:$E$11000,"Bathroom")</f>
        <v>37500</v>
      </c>
      <c r="M906" s="52">
        <f ca="1">SUMIFS(OUT!$F$2:$F$11000,OUT!$H$2:$H$11000,H906,OUT!$D$2:$D$11000,"Out",OUT!$E$2:$E$11000,"Alfa")</f>
        <v>317864</v>
      </c>
      <c r="N906" s="52" t="e">
        <f ca="1">SUMIFS(OUT!$F$2:$F$11000,OUT!$H$2:$H$101007,H906,OUT!$D$2:$D$11000,"Out",OUT!$E$2:$E$11000,"Jajan")</f>
        <v>#VALUE!</v>
      </c>
      <c r="O906" s="52">
        <f ca="1">SUMIFS(OUT!$F$2:$F$11000,OUT!$H$2:$H$11000,H906,OUT!$D$2:$D$11000,"Out",OUT!$E$2:$E$11000,"Kitchen")</f>
        <v>985700</v>
      </c>
      <c r="P906" s="52">
        <f ca="1">SUMIFS(OUT!$F$2:$F$11000,OUT!$H$2:$H$11000,H906,OUT!$D$2:$D$11000,"Out",OUT!$E$2:$E$11000,"Loandry")</f>
        <v>21500</v>
      </c>
      <c r="Q906" s="52">
        <f ca="1">SUMIFS(OUT!$F$2:$F$11000,OUT!$H$2:$H$11000,H906,OUT!$D$2:$D$11000,"Out",OUT!$E$2:$E$11000,"Mio")</f>
        <v>265000</v>
      </c>
      <c r="R906" s="52">
        <f ca="1">SUMIFS(OUT!$F$2:$F$11000,OUT!$H$2:$H$11000,H906,OUT!$D$2:$D$11000,"Out",OUT!$E$2:$E$11000,"Sedekah")</f>
        <v>5000</v>
      </c>
      <c r="S906" s="52">
        <f ca="1">SUMIFS(OUT!$F$2:$F$11000,OUT!$H$2:$H$11000,H906,OUT!$D$2:$D$11000,"Out",OUT!$E$2:$E$11000,"Zela")</f>
        <v>33400</v>
      </c>
      <c r="T906" s="52">
        <f ca="1">SUMIFS(OUT!$F$2:$F$11000,OUT!$H$2:$H$11000,H906,OUT!$D$2:$D$11000,"Out",OUT!$E$2:$E$11000,"Iqbal")</f>
        <v>232194</v>
      </c>
    </row>
    <row r="907" spans="1:20" x14ac:dyDescent="0.2">
      <c r="A907" s="48">
        <f ca="1">IFERROR(__xludf.DUMMYFUNCTION("""COMPUTED_VALUE"""),46178)</f>
        <v>46178</v>
      </c>
      <c r="B907" s="4" t="str">
        <f ca="1">IFERROR(__xludf.DUMMYFUNCTION("""COMPUTED_VALUE"""),"sabun+tisubasah")</f>
        <v>sabun+tisubasah</v>
      </c>
      <c r="C907" s="4" t="str">
        <f ca="1">IFERROR(__xludf.DUMMYFUNCTION("""COMPUTED_VALUE"""),"Cash")</f>
        <v>Cash</v>
      </c>
      <c r="D907" s="4" t="str">
        <f ca="1">IFERROR(__xludf.DUMMYFUNCTION("""COMPUTED_VALUE"""),"Out")</f>
        <v>Out</v>
      </c>
      <c r="E907" s="4" t="str">
        <f ca="1">IFERROR(__xludf.DUMMYFUNCTION("""COMPUTED_VALUE"""),"Alfa")</f>
        <v>Alfa</v>
      </c>
      <c r="F907" s="49">
        <f ca="1">IFERROR(__xludf.DUMMYFUNCTION("""COMPUTED_VALUE"""),28500)</f>
        <v>28500</v>
      </c>
      <c r="G907" s="50" t="str">
        <f ca="1">IFERROR(__xludf.DUMMYFUNCTION("""COMPUTED_VALUE"""),"Zela")</f>
        <v>Zela</v>
      </c>
      <c r="H907" s="51">
        <f t="shared" ca="1" si="0"/>
        <v>46174</v>
      </c>
      <c r="I907" s="52" t="e">
        <f ca="1">SUMIFS(OUT!$F$2:$F$11000,OUT!$H$2:$H$11000,H907,OUT!$D$2:$D$101007,"In")</f>
        <v>#VALUE!</v>
      </c>
      <c r="J907" s="52">
        <f ca="1">SUMIFS(OUT!$F$2:$F$11000,OUT!$H$2:$H$11000,H907,OUT!$D$2:$D$11000,"Out")</f>
        <v>9155672</v>
      </c>
      <c r="K907" s="52">
        <f ca="1">SUMIFS(OUT!$F$2:$F$11000,OUT!$H$2:$H$11000,H907,OUT!$D$2:$D$11000,"Out",OUT!$E$2:$E$11000,"Fix")</f>
        <v>3084727</v>
      </c>
      <c r="L907" s="52">
        <f ca="1">SUMIFS(OUT!$F$2:$F$11000,OUT!$H$2:$H$11000,H907,OUT!$D$2:$D$11000,"Out",OUT!$E$2:$E$11000,"Bathroom")</f>
        <v>37500</v>
      </c>
      <c r="M907" s="52">
        <f ca="1">SUMIFS(OUT!$F$2:$F$11000,OUT!$H$2:$H$11000,H907,OUT!$D$2:$D$11000,"Out",OUT!$E$2:$E$11000,"Alfa")</f>
        <v>317864</v>
      </c>
      <c r="N907" s="52" t="e">
        <f ca="1">SUMIFS(OUT!$F$2:$F$11000,OUT!$H$2:$H$101007,H907,OUT!$D$2:$D$11000,"Out",OUT!$E$2:$E$11000,"Jajan")</f>
        <v>#VALUE!</v>
      </c>
      <c r="O907" s="52">
        <f ca="1">SUMIFS(OUT!$F$2:$F$11000,OUT!$H$2:$H$11000,H907,OUT!$D$2:$D$11000,"Out",OUT!$E$2:$E$11000,"Kitchen")</f>
        <v>985700</v>
      </c>
      <c r="P907" s="52">
        <f ca="1">SUMIFS(OUT!$F$2:$F$11000,OUT!$H$2:$H$11000,H907,OUT!$D$2:$D$11000,"Out",OUT!$E$2:$E$11000,"Loandry")</f>
        <v>21500</v>
      </c>
      <c r="Q907" s="52">
        <f ca="1">SUMIFS(OUT!$F$2:$F$11000,OUT!$H$2:$H$11000,H907,OUT!$D$2:$D$11000,"Out",OUT!$E$2:$E$11000,"Mio")</f>
        <v>265000</v>
      </c>
      <c r="R907" s="52">
        <f ca="1">SUMIFS(OUT!$F$2:$F$11000,OUT!$H$2:$H$11000,H907,OUT!$D$2:$D$11000,"Out",OUT!$E$2:$E$11000,"Sedekah")</f>
        <v>5000</v>
      </c>
      <c r="S907" s="52">
        <f ca="1">SUMIFS(OUT!$F$2:$F$11000,OUT!$H$2:$H$11000,H907,OUT!$D$2:$D$11000,"Out",OUT!$E$2:$E$11000,"Zela")</f>
        <v>33400</v>
      </c>
      <c r="T907" s="52">
        <f ca="1">SUMIFS(OUT!$F$2:$F$11000,OUT!$H$2:$H$11000,H907,OUT!$D$2:$D$11000,"Out",OUT!$E$2:$E$11000,"Iqbal")</f>
        <v>232194</v>
      </c>
    </row>
    <row r="908" spans="1:20" x14ac:dyDescent="0.2">
      <c r="A908" s="48">
        <f ca="1">IFERROR(__xludf.DUMMYFUNCTION("""COMPUTED_VALUE"""),46178)</f>
        <v>46178</v>
      </c>
      <c r="B908" s="4" t="str">
        <f ca="1">IFERROR(__xludf.DUMMYFUNCTION("""COMPUTED_VALUE"""),"Token Bunda ")</f>
        <v xml:space="preserve">Token Bunda </v>
      </c>
      <c r="C908" s="4" t="str">
        <f ca="1">IFERROR(__xludf.DUMMYFUNCTION("""COMPUTED_VALUE"""),"ATM")</f>
        <v>ATM</v>
      </c>
      <c r="D908" s="4" t="str">
        <f ca="1">IFERROR(__xludf.DUMMYFUNCTION("""COMPUTED_VALUE"""),"Out")</f>
        <v>Out</v>
      </c>
      <c r="E908" s="4" t="str">
        <f ca="1">IFERROR(__xludf.DUMMYFUNCTION("""COMPUTED_VALUE"""),"Fix")</f>
        <v>Fix</v>
      </c>
      <c r="F908" s="49">
        <f ca="1">IFERROR(__xludf.DUMMYFUNCTION("""COMPUTED_VALUE"""),51000)</f>
        <v>51000</v>
      </c>
      <c r="G908" s="50" t="str">
        <f ca="1">IFERROR(__xludf.DUMMYFUNCTION("""COMPUTED_VALUE"""),"Zela")</f>
        <v>Zela</v>
      </c>
      <c r="H908" s="51">
        <f t="shared" ca="1" si="0"/>
        <v>46174</v>
      </c>
      <c r="I908" s="52" t="e">
        <f ca="1">SUMIFS(OUT!$F$2:$F$11000,OUT!$H$2:$H$11000,H908,OUT!$D$2:$D$101007,"In")</f>
        <v>#VALUE!</v>
      </c>
      <c r="J908" s="52">
        <f ca="1">SUMIFS(OUT!$F$2:$F$11000,OUT!$H$2:$H$11000,H908,OUT!$D$2:$D$11000,"Out")</f>
        <v>9155672</v>
      </c>
      <c r="K908" s="52">
        <f ca="1">SUMIFS(OUT!$F$2:$F$11000,OUT!$H$2:$H$11000,H908,OUT!$D$2:$D$11000,"Out",OUT!$E$2:$E$11000,"Fix")</f>
        <v>3084727</v>
      </c>
      <c r="L908" s="52">
        <f ca="1">SUMIFS(OUT!$F$2:$F$11000,OUT!$H$2:$H$11000,H908,OUT!$D$2:$D$11000,"Out",OUT!$E$2:$E$11000,"Bathroom")</f>
        <v>37500</v>
      </c>
      <c r="M908" s="52">
        <f ca="1">SUMIFS(OUT!$F$2:$F$11000,OUT!$H$2:$H$11000,H908,OUT!$D$2:$D$11000,"Out",OUT!$E$2:$E$11000,"Alfa")</f>
        <v>317864</v>
      </c>
      <c r="N908" s="52" t="e">
        <f ca="1">SUMIFS(OUT!$F$2:$F$11000,OUT!$H$2:$H$101007,H908,OUT!$D$2:$D$11000,"Out",OUT!$E$2:$E$11000,"Jajan")</f>
        <v>#VALUE!</v>
      </c>
      <c r="O908" s="52">
        <f ca="1">SUMIFS(OUT!$F$2:$F$11000,OUT!$H$2:$H$11000,H908,OUT!$D$2:$D$11000,"Out",OUT!$E$2:$E$11000,"Kitchen")</f>
        <v>985700</v>
      </c>
      <c r="P908" s="52">
        <f ca="1">SUMIFS(OUT!$F$2:$F$11000,OUT!$H$2:$H$11000,H908,OUT!$D$2:$D$11000,"Out",OUT!$E$2:$E$11000,"Loandry")</f>
        <v>21500</v>
      </c>
      <c r="Q908" s="52">
        <f ca="1">SUMIFS(OUT!$F$2:$F$11000,OUT!$H$2:$H$11000,H908,OUT!$D$2:$D$11000,"Out",OUT!$E$2:$E$11000,"Mio")</f>
        <v>265000</v>
      </c>
      <c r="R908" s="52">
        <f ca="1">SUMIFS(OUT!$F$2:$F$11000,OUT!$H$2:$H$11000,H908,OUT!$D$2:$D$11000,"Out",OUT!$E$2:$E$11000,"Sedekah")</f>
        <v>5000</v>
      </c>
      <c r="S908" s="52">
        <f ca="1">SUMIFS(OUT!$F$2:$F$11000,OUT!$H$2:$H$11000,H908,OUT!$D$2:$D$11000,"Out",OUT!$E$2:$E$11000,"Zela")</f>
        <v>33400</v>
      </c>
      <c r="T908" s="52">
        <f ca="1">SUMIFS(OUT!$F$2:$F$11000,OUT!$H$2:$H$11000,H908,OUT!$D$2:$D$11000,"Out",OUT!$E$2:$E$11000,"Iqbal")</f>
        <v>232194</v>
      </c>
    </row>
    <row r="909" spans="1:20" x14ac:dyDescent="0.2">
      <c r="A909" s="48">
        <f ca="1">IFERROR(__xludf.DUMMYFUNCTION("""COMPUTED_VALUE"""),46179)</f>
        <v>46179</v>
      </c>
      <c r="B909" s="4" t="str">
        <f ca="1">IFERROR(__xludf.DUMMYFUNCTION("""COMPUTED_VALUE"""),"Roti O + Kopi Aren")</f>
        <v>Roti O + Kopi Aren</v>
      </c>
      <c r="C909" s="4" t="str">
        <f ca="1">IFERROR(__xludf.DUMMYFUNCTION("""COMPUTED_VALUE"""),"ATM")</f>
        <v>ATM</v>
      </c>
      <c r="D909" s="4" t="str">
        <f ca="1">IFERROR(__xludf.DUMMYFUNCTION("""COMPUTED_VALUE"""),"Out")</f>
        <v>Out</v>
      </c>
      <c r="E909" s="4" t="str">
        <f ca="1">IFERROR(__xludf.DUMMYFUNCTION("""COMPUTED_VALUE"""),"Jajan")</f>
        <v>Jajan</v>
      </c>
      <c r="F909" s="49">
        <f ca="1">IFERROR(__xludf.DUMMYFUNCTION("""COMPUTED_VALUE"""),23000)</f>
        <v>23000</v>
      </c>
      <c r="G909" s="50" t="str">
        <f ca="1">IFERROR(__xludf.DUMMYFUNCTION("""COMPUTED_VALUE"""),"Zela")</f>
        <v>Zela</v>
      </c>
      <c r="H909" s="51">
        <f t="shared" ca="1" si="0"/>
        <v>46174</v>
      </c>
      <c r="I909" s="52" t="e">
        <f ca="1">SUMIFS(OUT!$F$2:$F$11000,OUT!$H$2:$H$11000,H909,OUT!$D$2:$D$101007,"In")</f>
        <v>#VALUE!</v>
      </c>
      <c r="J909" s="52">
        <f ca="1">SUMIFS(OUT!$F$2:$F$11000,OUT!$H$2:$H$11000,H909,OUT!$D$2:$D$11000,"Out")</f>
        <v>9155672</v>
      </c>
      <c r="K909" s="52">
        <f ca="1">SUMIFS(OUT!$F$2:$F$11000,OUT!$H$2:$H$11000,H909,OUT!$D$2:$D$11000,"Out",OUT!$E$2:$E$11000,"Fix")</f>
        <v>3084727</v>
      </c>
      <c r="L909" s="52">
        <f ca="1">SUMIFS(OUT!$F$2:$F$11000,OUT!$H$2:$H$11000,H909,OUT!$D$2:$D$11000,"Out",OUT!$E$2:$E$11000,"Bathroom")</f>
        <v>37500</v>
      </c>
      <c r="M909" s="52">
        <f ca="1">SUMIFS(OUT!$F$2:$F$11000,OUT!$H$2:$H$11000,H909,OUT!$D$2:$D$11000,"Out",OUT!$E$2:$E$11000,"Alfa")</f>
        <v>317864</v>
      </c>
      <c r="N909" s="52" t="e">
        <f ca="1">SUMIFS(OUT!$F$2:$F$11000,OUT!$H$2:$H$101007,H909,OUT!$D$2:$D$11000,"Out",OUT!$E$2:$E$11000,"Jajan")</f>
        <v>#VALUE!</v>
      </c>
      <c r="O909" s="52">
        <f ca="1">SUMIFS(OUT!$F$2:$F$11000,OUT!$H$2:$H$11000,H909,OUT!$D$2:$D$11000,"Out",OUT!$E$2:$E$11000,"Kitchen")</f>
        <v>985700</v>
      </c>
      <c r="P909" s="52">
        <f ca="1">SUMIFS(OUT!$F$2:$F$11000,OUT!$H$2:$H$11000,H909,OUT!$D$2:$D$11000,"Out",OUT!$E$2:$E$11000,"Loandry")</f>
        <v>21500</v>
      </c>
      <c r="Q909" s="52">
        <f ca="1">SUMIFS(OUT!$F$2:$F$11000,OUT!$H$2:$H$11000,H909,OUT!$D$2:$D$11000,"Out",OUT!$E$2:$E$11000,"Mio")</f>
        <v>265000</v>
      </c>
      <c r="R909" s="52">
        <f ca="1">SUMIFS(OUT!$F$2:$F$11000,OUT!$H$2:$H$11000,H909,OUT!$D$2:$D$11000,"Out",OUT!$E$2:$E$11000,"Sedekah")</f>
        <v>5000</v>
      </c>
      <c r="S909" s="52">
        <f ca="1">SUMIFS(OUT!$F$2:$F$11000,OUT!$H$2:$H$11000,H909,OUT!$D$2:$D$11000,"Out",OUT!$E$2:$E$11000,"Zela")</f>
        <v>33400</v>
      </c>
      <c r="T909" s="52">
        <f ca="1">SUMIFS(OUT!$F$2:$F$11000,OUT!$H$2:$H$11000,H909,OUT!$D$2:$D$11000,"Out",OUT!$E$2:$E$11000,"Iqbal")</f>
        <v>232194</v>
      </c>
    </row>
    <row r="910" spans="1:20" x14ac:dyDescent="0.2">
      <c r="A910" s="48">
        <f ca="1">IFERROR(__xludf.DUMMYFUNCTION("""COMPUTED_VALUE"""),46179)</f>
        <v>46179</v>
      </c>
      <c r="B910" s="4" t="str">
        <f ca="1">IFERROR(__xludf.DUMMYFUNCTION("""COMPUTED_VALUE"""),"Dapat uang dijalan")</f>
        <v>Dapat uang dijalan</v>
      </c>
      <c r="C910" s="4" t="str">
        <f ca="1">IFERROR(__xludf.DUMMYFUNCTION("""COMPUTED_VALUE"""),"Cash")</f>
        <v>Cash</v>
      </c>
      <c r="D910" s="4" t="str">
        <f ca="1">IFERROR(__xludf.DUMMYFUNCTION("""COMPUTED_VALUE"""),"In")</f>
        <v>In</v>
      </c>
      <c r="E910" s="4" t="str">
        <f ca="1">IFERROR(__xludf.DUMMYFUNCTION("""COMPUTED_VALUE"""),"Fix")</f>
        <v>Fix</v>
      </c>
      <c r="F910" s="49">
        <f ca="1">IFERROR(__xludf.DUMMYFUNCTION("""COMPUTED_VALUE"""),1000)</f>
        <v>1000</v>
      </c>
      <c r="G910" s="50" t="str">
        <f ca="1">IFERROR(__xludf.DUMMYFUNCTION("""COMPUTED_VALUE"""),"Zela")</f>
        <v>Zela</v>
      </c>
      <c r="H910" s="51">
        <f t="shared" ca="1" si="0"/>
        <v>46174</v>
      </c>
      <c r="I910" s="52" t="e">
        <f ca="1">SUMIFS(OUT!$F$2:$F$11000,OUT!$H$2:$H$11000,H910,OUT!$D$2:$D$101007,"In")</f>
        <v>#VALUE!</v>
      </c>
      <c r="J910" s="52">
        <f ca="1">SUMIFS(OUT!$F$2:$F$11000,OUT!$H$2:$H$11000,H910,OUT!$D$2:$D$11000,"Out")</f>
        <v>9155672</v>
      </c>
      <c r="K910" s="52">
        <f ca="1">SUMIFS(OUT!$F$2:$F$11000,OUT!$H$2:$H$11000,H910,OUT!$D$2:$D$11000,"Out",OUT!$E$2:$E$11000,"Fix")</f>
        <v>3084727</v>
      </c>
      <c r="L910" s="52">
        <f ca="1">SUMIFS(OUT!$F$2:$F$11000,OUT!$H$2:$H$11000,H910,OUT!$D$2:$D$11000,"Out",OUT!$E$2:$E$11000,"Bathroom")</f>
        <v>37500</v>
      </c>
      <c r="M910" s="52">
        <f ca="1">SUMIFS(OUT!$F$2:$F$11000,OUT!$H$2:$H$11000,H910,OUT!$D$2:$D$11000,"Out",OUT!$E$2:$E$11000,"Alfa")</f>
        <v>317864</v>
      </c>
      <c r="N910" s="52" t="e">
        <f ca="1">SUMIFS(OUT!$F$2:$F$11000,OUT!$H$2:$H$101007,H910,OUT!$D$2:$D$11000,"Out",OUT!$E$2:$E$11000,"Jajan")</f>
        <v>#VALUE!</v>
      </c>
      <c r="O910" s="52">
        <f ca="1">SUMIFS(OUT!$F$2:$F$11000,OUT!$H$2:$H$11000,H910,OUT!$D$2:$D$11000,"Out",OUT!$E$2:$E$11000,"Kitchen")</f>
        <v>985700</v>
      </c>
      <c r="P910" s="52">
        <f ca="1">SUMIFS(OUT!$F$2:$F$11000,OUT!$H$2:$H$11000,H910,OUT!$D$2:$D$11000,"Out",OUT!$E$2:$E$11000,"Loandry")</f>
        <v>21500</v>
      </c>
      <c r="Q910" s="52">
        <f ca="1">SUMIFS(OUT!$F$2:$F$11000,OUT!$H$2:$H$11000,H910,OUT!$D$2:$D$11000,"Out",OUT!$E$2:$E$11000,"Mio")</f>
        <v>265000</v>
      </c>
      <c r="R910" s="52">
        <f ca="1">SUMIFS(OUT!$F$2:$F$11000,OUT!$H$2:$H$11000,H910,OUT!$D$2:$D$11000,"Out",OUT!$E$2:$E$11000,"Sedekah")</f>
        <v>5000</v>
      </c>
      <c r="S910" s="52">
        <f ca="1">SUMIFS(OUT!$F$2:$F$11000,OUT!$H$2:$H$11000,H910,OUT!$D$2:$D$11000,"Out",OUT!$E$2:$E$11000,"Zela")</f>
        <v>33400</v>
      </c>
      <c r="T910" s="52">
        <f ca="1">SUMIFS(OUT!$F$2:$F$11000,OUT!$H$2:$H$11000,H910,OUT!$D$2:$D$11000,"Out",OUT!$E$2:$E$11000,"Iqbal")</f>
        <v>232194</v>
      </c>
    </row>
    <row r="911" spans="1:20" x14ac:dyDescent="0.2">
      <c r="A911" s="48">
        <f ca="1">IFERROR(__xludf.DUMMYFUNCTION("""COMPUTED_VALUE"""),46179)</f>
        <v>46179</v>
      </c>
      <c r="B911" s="4" t="str">
        <f ca="1">IFERROR(__xludf.DUMMYFUNCTION("""COMPUTED_VALUE"""),"KFC")</f>
        <v>KFC</v>
      </c>
      <c r="C911" s="4" t="str">
        <f ca="1">IFERROR(__xludf.DUMMYFUNCTION("""COMPUTED_VALUE"""),"ATM")</f>
        <v>ATM</v>
      </c>
      <c r="D911" s="4" t="str">
        <f ca="1">IFERROR(__xludf.DUMMYFUNCTION("""COMPUTED_VALUE"""),"Out")</f>
        <v>Out</v>
      </c>
      <c r="E911" s="4" t="str">
        <f ca="1">IFERROR(__xludf.DUMMYFUNCTION("""COMPUTED_VALUE"""),"Kitchen")</f>
        <v>Kitchen</v>
      </c>
      <c r="F911" s="49">
        <f ca="1">IFERROR(__xludf.DUMMYFUNCTION("""COMPUTED_VALUE"""),48000)</f>
        <v>48000</v>
      </c>
      <c r="G911" s="50" t="str">
        <f ca="1">IFERROR(__xludf.DUMMYFUNCTION("""COMPUTED_VALUE"""),"Zela")</f>
        <v>Zela</v>
      </c>
      <c r="H911" s="51">
        <f t="shared" ca="1" si="0"/>
        <v>46174</v>
      </c>
      <c r="I911" s="52" t="e">
        <f ca="1">SUMIFS(OUT!$F$2:$F$11000,OUT!$H$2:$H$11000,H911,OUT!$D$2:$D$101007,"In")</f>
        <v>#VALUE!</v>
      </c>
      <c r="J911" s="52">
        <f ca="1">SUMIFS(OUT!$F$2:$F$11000,OUT!$H$2:$H$11000,H911,OUT!$D$2:$D$11000,"Out")</f>
        <v>9155672</v>
      </c>
      <c r="K911" s="52">
        <f ca="1">SUMIFS(OUT!$F$2:$F$11000,OUT!$H$2:$H$11000,H911,OUT!$D$2:$D$11000,"Out",OUT!$E$2:$E$11000,"Fix")</f>
        <v>3084727</v>
      </c>
      <c r="L911" s="52">
        <f ca="1">SUMIFS(OUT!$F$2:$F$11000,OUT!$H$2:$H$11000,H911,OUT!$D$2:$D$11000,"Out",OUT!$E$2:$E$11000,"Bathroom")</f>
        <v>37500</v>
      </c>
      <c r="M911" s="52">
        <f ca="1">SUMIFS(OUT!$F$2:$F$11000,OUT!$H$2:$H$11000,H911,OUT!$D$2:$D$11000,"Out",OUT!$E$2:$E$11000,"Alfa")</f>
        <v>317864</v>
      </c>
      <c r="N911" s="52" t="e">
        <f ca="1">SUMIFS(OUT!$F$2:$F$11000,OUT!$H$2:$H$101007,H911,OUT!$D$2:$D$11000,"Out",OUT!$E$2:$E$11000,"Jajan")</f>
        <v>#VALUE!</v>
      </c>
      <c r="O911" s="52">
        <f ca="1">SUMIFS(OUT!$F$2:$F$11000,OUT!$H$2:$H$11000,H911,OUT!$D$2:$D$11000,"Out",OUT!$E$2:$E$11000,"Kitchen")</f>
        <v>985700</v>
      </c>
      <c r="P911" s="52">
        <f ca="1">SUMIFS(OUT!$F$2:$F$11000,OUT!$H$2:$H$11000,H911,OUT!$D$2:$D$11000,"Out",OUT!$E$2:$E$11000,"Loandry")</f>
        <v>21500</v>
      </c>
      <c r="Q911" s="52">
        <f ca="1">SUMIFS(OUT!$F$2:$F$11000,OUT!$H$2:$H$11000,H911,OUT!$D$2:$D$11000,"Out",OUT!$E$2:$E$11000,"Mio")</f>
        <v>265000</v>
      </c>
      <c r="R911" s="52">
        <f ca="1">SUMIFS(OUT!$F$2:$F$11000,OUT!$H$2:$H$11000,H911,OUT!$D$2:$D$11000,"Out",OUT!$E$2:$E$11000,"Sedekah")</f>
        <v>5000</v>
      </c>
      <c r="S911" s="52">
        <f ca="1">SUMIFS(OUT!$F$2:$F$11000,OUT!$H$2:$H$11000,H911,OUT!$D$2:$D$11000,"Out",OUT!$E$2:$E$11000,"Zela")</f>
        <v>33400</v>
      </c>
      <c r="T911" s="52">
        <f ca="1">SUMIFS(OUT!$F$2:$F$11000,OUT!$H$2:$H$11000,H911,OUT!$D$2:$D$11000,"Out",OUT!$E$2:$E$11000,"Iqbal")</f>
        <v>232194</v>
      </c>
    </row>
    <row r="912" spans="1:20" x14ac:dyDescent="0.2">
      <c r="A912" s="48">
        <f ca="1">IFERROR(__xludf.DUMMYFUNCTION("""COMPUTED_VALUE"""),46179)</f>
        <v>46179</v>
      </c>
      <c r="B912" s="4" t="str">
        <f ca="1">IFERROR(__xludf.DUMMYFUNCTION("""COMPUTED_VALUE"""),"Parkir Aulia Hospital")</f>
        <v>Parkir Aulia Hospital</v>
      </c>
      <c r="C912" s="4" t="str">
        <f ca="1">IFERROR(__xludf.DUMMYFUNCTION("""COMPUTED_VALUE"""),"Cash")</f>
        <v>Cash</v>
      </c>
      <c r="D912" s="4" t="str">
        <f ca="1">IFERROR(__xludf.DUMMYFUNCTION("""COMPUTED_VALUE"""),"Out")</f>
        <v>Out</v>
      </c>
      <c r="E912" s="4" t="str">
        <f ca="1">IFERROR(__xludf.DUMMYFUNCTION("""COMPUTED_VALUE"""),"Zela")</f>
        <v>Zela</v>
      </c>
      <c r="F912" s="49">
        <f ca="1">IFERROR(__xludf.DUMMYFUNCTION("""COMPUTED_VALUE"""),5000)</f>
        <v>5000</v>
      </c>
      <c r="G912" s="50" t="str">
        <f ca="1">IFERROR(__xludf.DUMMYFUNCTION("""COMPUTED_VALUE"""),"Zela")</f>
        <v>Zela</v>
      </c>
      <c r="H912" s="51">
        <f t="shared" ca="1" si="0"/>
        <v>46174</v>
      </c>
      <c r="I912" s="52" t="e">
        <f ca="1">SUMIFS(OUT!$F$2:$F$11000,OUT!$H$2:$H$11000,H912,OUT!$D$2:$D$101007,"In")</f>
        <v>#VALUE!</v>
      </c>
      <c r="J912" s="52">
        <f ca="1">SUMIFS(OUT!$F$2:$F$11000,OUT!$H$2:$H$11000,H912,OUT!$D$2:$D$11000,"Out")</f>
        <v>9155672</v>
      </c>
      <c r="K912" s="52">
        <f ca="1">SUMIFS(OUT!$F$2:$F$11000,OUT!$H$2:$H$11000,H912,OUT!$D$2:$D$11000,"Out",OUT!$E$2:$E$11000,"Fix")</f>
        <v>3084727</v>
      </c>
      <c r="L912" s="52">
        <f ca="1">SUMIFS(OUT!$F$2:$F$11000,OUT!$H$2:$H$11000,H912,OUT!$D$2:$D$11000,"Out",OUT!$E$2:$E$11000,"Bathroom")</f>
        <v>37500</v>
      </c>
      <c r="M912" s="52">
        <f ca="1">SUMIFS(OUT!$F$2:$F$11000,OUT!$H$2:$H$11000,H912,OUT!$D$2:$D$11000,"Out",OUT!$E$2:$E$11000,"Alfa")</f>
        <v>317864</v>
      </c>
      <c r="N912" s="52" t="e">
        <f ca="1">SUMIFS(OUT!$F$2:$F$11000,OUT!$H$2:$H$101007,H912,OUT!$D$2:$D$11000,"Out",OUT!$E$2:$E$11000,"Jajan")</f>
        <v>#VALUE!</v>
      </c>
      <c r="O912" s="52">
        <f ca="1">SUMIFS(OUT!$F$2:$F$11000,OUT!$H$2:$H$11000,H912,OUT!$D$2:$D$11000,"Out",OUT!$E$2:$E$11000,"Kitchen")</f>
        <v>985700</v>
      </c>
      <c r="P912" s="52">
        <f ca="1">SUMIFS(OUT!$F$2:$F$11000,OUT!$H$2:$H$11000,H912,OUT!$D$2:$D$11000,"Out",OUT!$E$2:$E$11000,"Loandry")</f>
        <v>21500</v>
      </c>
      <c r="Q912" s="52">
        <f ca="1">SUMIFS(OUT!$F$2:$F$11000,OUT!$H$2:$H$11000,H912,OUT!$D$2:$D$11000,"Out",OUT!$E$2:$E$11000,"Mio")</f>
        <v>265000</v>
      </c>
      <c r="R912" s="52">
        <f ca="1">SUMIFS(OUT!$F$2:$F$11000,OUT!$H$2:$H$11000,H912,OUT!$D$2:$D$11000,"Out",OUT!$E$2:$E$11000,"Sedekah")</f>
        <v>5000</v>
      </c>
      <c r="S912" s="52">
        <f ca="1">SUMIFS(OUT!$F$2:$F$11000,OUT!$H$2:$H$11000,H912,OUT!$D$2:$D$11000,"Out",OUT!$E$2:$E$11000,"Zela")</f>
        <v>33400</v>
      </c>
      <c r="T912" s="52">
        <f ca="1">SUMIFS(OUT!$F$2:$F$11000,OUT!$H$2:$H$11000,H912,OUT!$D$2:$D$11000,"Out",OUT!$E$2:$E$11000,"Iqbal")</f>
        <v>232194</v>
      </c>
    </row>
    <row r="913" spans="1:20" x14ac:dyDescent="0.2">
      <c r="A913" s="48">
        <f ca="1">IFERROR(__xludf.DUMMYFUNCTION("""COMPUTED_VALUE"""),46179)</f>
        <v>46179</v>
      </c>
      <c r="B913" s="4" t="str">
        <f ca="1">IFERROR(__xludf.DUMMYFUNCTION("""COMPUTED_VALUE"""),"Parkir KFC")</f>
        <v>Parkir KFC</v>
      </c>
      <c r="C913" s="4" t="str">
        <f ca="1">IFERROR(__xludf.DUMMYFUNCTION("""COMPUTED_VALUE"""),"ATM")</f>
        <v>ATM</v>
      </c>
      <c r="D913" s="4" t="str">
        <f ca="1">IFERROR(__xludf.DUMMYFUNCTION("""COMPUTED_VALUE"""),"Out")</f>
        <v>Out</v>
      </c>
      <c r="E913" s="4" t="str">
        <f ca="1">IFERROR(__xludf.DUMMYFUNCTION("""COMPUTED_VALUE"""),"Kitchen")</f>
        <v>Kitchen</v>
      </c>
      <c r="F913" s="49">
        <f ca="1">IFERROR(__xludf.DUMMYFUNCTION("""COMPUTED_VALUE"""),1000)</f>
        <v>1000</v>
      </c>
      <c r="G913" s="50" t="str">
        <f ca="1">IFERROR(__xludf.DUMMYFUNCTION("""COMPUTED_VALUE"""),"Zela")</f>
        <v>Zela</v>
      </c>
      <c r="H913" s="51">
        <f t="shared" ca="1" si="0"/>
        <v>46174</v>
      </c>
      <c r="I913" s="52" t="e">
        <f ca="1">SUMIFS(OUT!$F$2:$F$11000,OUT!$H$2:$H$11000,H913,OUT!$D$2:$D$101007,"In")</f>
        <v>#VALUE!</v>
      </c>
      <c r="J913" s="52">
        <f ca="1">SUMIFS(OUT!$F$2:$F$11000,OUT!$H$2:$H$11000,H913,OUT!$D$2:$D$11000,"Out")</f>
        <v>9155672</v>
      </c>
      <c r="K913" s="52">
        <f ca="1">SUMIFS(OUT!$F$2:$F$11000,OUT!$H$2:$H$11000,H913,OUT!$D$2:$D$11000,"Out",OUT!$E$2:$E$11000,"Fix")</f>
        <v>3084727</v>
      </c>
      <c r="L913" s="52">
        <f ca="1">SUMIFS(OUT!$F$2:$F$11000,OUT!$H$2:$H$11000,H913,OUT!$D$2:$D$11000,"Out",OUT!$E$2:$E$11000,"Bathroom")</f>
        <v>37500</v>
      </c>
      <c r="M913" s="52">
        <f ca="1">SUMIFS(OUT!$F$2:$F$11000,OUT!$H$2:$H$11000,H913,OUT!$D$2:$D$11000,"Out",OUT!$E$2:$E$11000,"Alfa")</f>
        <v>317864</v>
      </c>
      <c r="N913" s="52" t="e">
        <f ca="1">SUMIFS(OUT!$F$2:$F$11000,OUT!$H$2:$H$101007,H913,OUT!$D$2:$D$11000,"Out",OUT!$E$2:$E$11000,"Jajan")</f>
        <v>#VALUE!</v>
      </c>
      <c r="O913" s="52">
        <f ca="1">SUMIFS(OUT!$F$2:$F$11000,OUT!$H$2:$H$11000,H913,OUT!$D$2:$D$11000,"Out",OUT!$E$2:$E$11000,"Kitchen")</f>
        <v>985700</v>
      </c>
      <c r="P913" s="52">
        <f ca="1">SUMIFS(OUT!$F$2:$F$11000,OUT!$H$2:$H$11000,H913,OUT!$D$2:$D$11000,"Out",OUT!$E$2:$E$11000,"Loandry")</f>
        <v>21500</v>
      </c>
      <c r="Q913" s="52">
        <f ca="1">SUMIFS(OUT!$F$2:$F$11000,OUT!$H$2:$H$11000,H913,OUT!$D$2:$D$11000,"Out",OUT!$E$2:$E$11000,"Mio")</f>
        <v>265000</v>
      </c>
      <c r="R913" s="52">
        <f ca="1">SUMIFS(OUT!$F$2:$F$11000,OUT!$H$2:$H$11000,H913,OUT!$D$2:$D$11000,"Out",OUT!$E$2:$E$11000,"Sedekah")</f>
        <v>5000</v>
      </c>
      <c r="S913" s="52">
        <f ca="1">SUMIFS(OUT!$F$2:$F$11000,OUT!$H$2:$H$11000,H913,OUT!$D$2:$D$11000,"Out",OUT!$E$2:$E$11000,"Zela")</f>
        <v>33400</v>
      </c>
      <c r="T913" s="52">
        <f ca="1">SUMIFS(OUT!$F$2:$F$11000,OUT!$H$2:$H$11000,H913,OUT!$D$2:$D$11000,"Out",OUT!$E$2:$E$11000,"Iqbal")</f>
        <v>232194</v>
      </c>
    </row>
    <row r="914" spans="1:20" x14ac:dyDescent="0.2">
      <c r="A914" s="48">
        <f ca="1">IFERROR(__xludf.DUMMYFUNCTION("""COMPUTED_VALUE"""),46179)</f>
        <v>46179</v>
      </c>
      <c r="B914" s="4" t="str">
        <f ca="1">IFERROR(__xludf.DUMMYFUNCTION("""COMPUTED_VALUE"""),"Ayam penyet + Nasi")</f>
        <v>Ayam penyet + Nasi</v>
      </c>
      <c r="C914" s="4" t="str">
        <f ca="1">IFERROR(__xludf.DUMMYFUNCTION("""COMPUTED_VALUE"""),"ATM")</f>
        <v>ATM</v>
      </c>
      <c r="D914" s="4" t="str">
        <f ca="1">IFERROR(__xludf.DUMMYFUNCTION("""COMPUTED_VALUE"""),"Out")</f>
        <v>Out</v>
      </c>
      <c r="E914" s="4" t="str">
        <f ca="1">IFERROR(__xludf.DUMMYFUNCTION("""COMPUTED_VALUE"""),"Kitchen")</f>
        <v>Kitchen</v>
      </c>
      <c r="F914" s="49">
        <f ca="1">IFERROR(__xludf.DUMMYFUNCTION("""COMPUTED_VALUE"""),13000)</f>
        <v>13000</v>
      </c>
      <c r="G914" s="50" t="str">
        <f ca="1">IFERROR(__xludf.DUMMYFUNCTION("""COMPUTED_VALUE"""),"Zela")</f>
        <v>Zela</v>
      </c>
      <c r="H914" s="51">
        <f t="shared" ca="1" si="0"/>
        <v>46174</v>
      </c>
      <c r="I914" s="52" t="e">
        <f ca="1">SUMIFS(OUT!$F$2:$F$11000,OUT!$H$2:$H$11000,H914,OUT!$D$2:$D$101007,"In")</f>
        <v>#VALUE!</v>
      </c>
      <c r="J914" s="52">
        <f ca="1">SUMIFS(OUT!$F$2:$F$11000,OUT!$H$2:$H$11000,H914,OUT!$D$2:$D$11000,"Out")</f>
        <v>9155672</v>
      </c>
      <c r="K914" s="52">
        <f ca="1">SUMIFS(OUT!$F$2:$F$11000,OUT!$H$2:$H$11000,H914,OUT!$D$2:$D$11000,"Out",OUT!$E$2:$E$11000,"Fix")</f>
        <v>3084727</v>
      </c>
      <c r="L914" s="52">
        <f ca="1">SUMIFS(OUT!$F$2:$F$11000,OUT!$H$2:$H$11000,H914,OUT!$D$2:$D$11000,"Out",OUT!$E$2:$E$11000,"Bathroom")</f>
        <v>37500</v>
      </c>
      <c r="M914" s="52">
        <f ca="1">SUMIFS(OUT!$F$2:$F$11000,OUT!$H$2:$H$11000,H914,OUT!$D$2:$D$11000,"Out",OUT!$E$2:$E$11000,"Alfa")</f>
        <v>317864</v>
      </c>
      <c r="N914" s="52" t="e">
        <f ca="1">SUMIFS(OUT!$F$2:$F$11000,OUT!$H$2:$H$101007,H914,OUT!$D$2:$D$11000,"Out",OUT!$E$2:$E$11000,"Jajan")</f>
        <v>#VALUE!</v>
      </c>
      <c r="O914" s="52">
        <f ca="1">SUMIFS(OUT!$F$2:$F$11000,OUT!$H$2:$H$11000,H914,OUT!$D$2:$D$11000,"Out",OUT!$E$2:$E$11000,"Kitchen")</f>
        <v>985700</v>
      </c>
      <c r="P914" s="52">
        <f ca="1">SUMIFS(OUT!$F$2:$F$11000,OUT!$H$2:$H$11000,H914,OUT!$D$2:$D$11000,"Out",OUT!$E$2:$E$11000,"Loandry")</f>
        <v>21500</v>
      </c>
      <c r="Q914" s="52">
        <f ca="1">SUMIFS(OUT!$F$2:$F$11000,OUT!$H$2:$H$11000,H914,OUT!$D$2:$D$11000,"Out",OUT!$E$2:$E$11000,"Mio")</f>
        <v>265000</v>
      </c>
      <c r="R914" s="52">
        <f ca="1">SUMIFS(OUT!$F$2:$F$11000,OUT!$H$2:$H$11000,H914,OUT!$D$2:$D$11000,"Out",OUT!$E$2:$E$11000,"Sedekah")</f>
        <v>5000</v>
      </c>
      <c r="S914" s="52">
        <f ca="1">SUMIFS(OUT!$F$2:$F$11000,OUT!$H$2:$H$11000,H914,OUT!$D$2:$D$11000,"Out",OUT!$E$2:$E$11000,"Zela")</f>
        <v>33400</v>
      </c>
      <c r="T914" s="52">
        <f ca="1">SUMIFS(OUT!$F$2:$F$11000,OUT!$H$2:$H$11000,H914,OUT!$D$2:$D$11000,"Out",OUT!$E$2:$E$11000,"Iqbal")</f>
        <v>232194</v>
      </c>
    </row>
    <row r="915" spans="1:20" x14ac:dyDescent="0.2">
      <c r="A915" s="48">
        <f ca="1">IFERROR(__xludf.DUMMYFUNCTION("""COMPUTED_VALUE"""),46179)</f>
        <v>46179</v>
      </c>
      <c r="B915" s="4" t="str">
        <f ca="1">IFERROR(__xludf.DUMMYFUNCTION("""COMPUTED_VALUE"""),"Mie Ayam + Kerupuk Cabe")</f>
        <v>Mie Ayam + Kerupuk Cabe</v>
      </c>
      <c r="C915" s="4" t="str">
        <f ca="1">IFERROR(__xludf.DUMMYFUNCTION("""COMPUTED_VALUE"""),"ATM")</f>
        <v>ATM</v>
      </c>
      <c r="D915" s="4" t="str">
        <f ca="1">IFERROR(__xludf.DUMMYFUNCTION("""COMPUTED_VALUE"""),"Out")</f>
        <v>Out</v>
      </c>
      <c r="E915" s="4" t="str">
        <f ca="1">IFERROR(__xludf.DUMMYFUNCTION("""COMPUTED_VALUE"""),"Kitchen")</f>
        <v>Kitchen</v>
      </c>
      <c r="F915" s="49">
        <f ca="1">IFERROR(__xludf.DUMMYFUNCTION("""COMPUTED_VALUE"""),19000)</f>
        <v>19000</v>
      </c>
      <c r="G915" s="50" t="str">
        <f ca="1">IFERROR(__xludf.DUMMYFUNCTION("""COMPUTED_VALUE"""),"Zela")</f>
        <v>Zela</v>
      </c>
      <c r="H915" s="51">
        <f t="shared" ca="1" si="0"/>
        <v>46174</v>
      </c>
      <c r="I915" s="52" t="e">
        <f ca="1">SUMIFS(OUT!$F$2:$F$11000,OUT!$H$2:$H$11000,H915,OUT!$D$2:$D$101007,"In")</f>
        <v>#VALUE!</v>
      </c>
      <c r="J915" s="52">
        <f ca="1">SUMIFS(OUT!$F$2:$F$11000,OUT!$H$2:$H$11000,H915,OUT!$D$2:$D$11000,"Out")</f>
        <v>9155672</v>
      </c>
      <c r="K915" s="52">
        <f ca="1">SUMIFS(OUT!$F$2:$F$11000,OUT!$H$2:$H$11000,H915,OUT!$D$2:$D$11000,"Out",OUT!$E$2:$E$11000,"Fix")</f>
        <v>3084727</v>
      </c>
      <c r="L915" s="52">
        <f ca="1">SUMIFS(OUT!$F$2:$F$11000,OUT!$H$2:$H$11000,H915,OUT!$D$2:$D$11000,"Out",OUT!$E$2:$E$11000,"Bathroom")</f>
        <v>37500</v>
      </c>
      <c r="M915" s="52">
        <f ca="1">SUMIFS(OUT!$F$2:$F$11000,OUT!$H$2:$H$11000,H915,OUT!$D$2:$D$11000,"Out",OUT!$E$2:$E$11000,"Alfa")</f>
        <v>317864</v>
      </c>
      <c r="N915" s="52" t="e">
        <f ca="1">SUMIFS(OUT!$F$2:$F$11000,OUT!$H$2:$H$101007,H915,OUT!$D$2:$D$11000,"Out",OUT!$E$2:$E$11000,"Jajan")</f>
        <v>#VALUE!</v>
      </c>
      <c r="O915" s="52">
        <f ca="1">SUMIFS(OUT!$F$2:$F$11000,OUT!$H$2:$H$11000,H915,OUT!$D$2:$D$11000,"Out",OUT!$E$2:$E$11000,"Kitchen")</f>
        <v>985700</v>
      </c>
      <c r="P915" s="52">
        <f ca="1">SUMIFS(OUT!$F$2:$F$11000,OUT!$H$2:$H$11000,H915,OUT!$D$2:$D$11000,"Out",OUT!$E$2:$E$11000,"Loandry")</f>
        <v>21500</v>
      </c>
      <c r="Q915" s="52">
        <f ca="1">SUMIFS(OUT!$F$2:$F$11000,OUT!$H$2:$H$11000,H915,OUT!$D$2:$D$11000,"Out",OUT!$E$2:$E$11000,"Mio")</f>
        <v>265000</v>
      </c>
      <c r="R915" s="52">
        <f ca="1">SUMIFS(OUT!$F$2:$F$11000,OUT!$H$2:$H$11000,H915,OUT!$D$2:$D$11000,"Out",OUT!$E$2:$E$11000,"Sedekah")</f>
        <v>5000</v>
      </c>
      <c r="S915" s="52">
        <f ca="1">SUMIFS(OUT!$F$2:$F$11000,OUT!$H$2:$H$11000,H915,OUT!$D$2:$D$11000,"Out",OUT!$E$2:$E$11000,"Zela")</f>
        <v>33400</v>
      </c>
      <c r="T915" s="52">
        <f ca="1">SUMIFS(OUT!$F$2:$F$11000,OUT!$H$2:$H$11000,H915,OUT!$D$2:$D$11000,"Out",OUT!$E$2:$E$11000,"Iqbal")</f>
        <v>232194</v>
      </c>
    </row>
    <row r="916" spans="1:20" x14ac:dyDescent="0.2">
      <c r="A916" s="48">
        <f ca="1">IFERROR(__xludf.DUMMYFUNCTION("""COMPUTED_VALUE"""),46178)</f>
        <v>46178</v>
      </c>
      <c r="B916" s="4" t="str">
        <f ca="1">IFERROR(__xludf.DUMMYFUNCTION("""COMPUTED_VALUE"""),"Pasar Kaget")</f>
        <v>Pasar Kaget</v>
      </c>
      <c r="C916" s="4" t="str">
        <f ca="1">IFERROR(__xludf.DUMMYFUNCTION("""COMPUTED_VALUE"""),"Cash")</f>
        <v>Cash</v>
      </c>
      <c r="D916" s="4" t="str">
        <f ca="1">IFERROR(__xludf.DUMMYFUNCTION("""COMPUTED_VALUE"""),"Out")</f>
        <v>Out</v>
      </c>
      <c r="E916" s="4" t="str">
        <f ca="1">IFERROR(__xludf.DUMMYFUNCTION("""COMPUTED_VALUE"""),"Kitchen")</f>
        <v>Kitchen</v>
      </c>
      <c r="F916" s="49">
        <f ca="1">IFERROR(__xludf.DUMMYFUNCTION("""COMPUTED_VALUE"""),133500)</f>
        <v>133500</v>
      </c>
      <c r="G916" s="50" t="str">
        <f ca="1">IFERROR(__xludf.DUMMYFUNCTION("""COMPUTED_VALUE"""),"Zela")</f>
        <v>Zela</v>
      </c>
      <c r="H916" s="51">
        <f t="shared" ca="1" si="0"/>
        <v>46174</v>
      </c>
      <c r="I916" s="52" t="e">
        <f ca="1">SUMIFS(OUT!$F$2:$F$11000,OUT!$H$2:$H$11000,H916,OUT!$D$2:$D$101007,"In")</f>
        <v>#VALUE!</v>
      </c>
      <c r="J916" s="52">
        <f ca="1">SUMIFS(OUT!$F$2:$F$11000,OUT!$H$2:$H$11000,H916,OUT!$D$2:$D$11000,"Out")</f>
        <v>9155672</v>
      </c>
      <c r="K916" s="52">
        <f ca="1">SUMIFS(OUT!$F$2:$F$11000,OUT!$H$2:$H$11000,H916,OUT!$D$2:$D$11000,"Out",OUT!$E$2:$E$11000,"Fix")</f>
        <v>3084727</v>
      </c>
      <c r="L916" s="52">
        <f ca="1">SUMIFS(OUT!$F$2:$F$11000,OUT!$H$2:$H$11000,H916,OUT!$D$2:$D$11000,"Out",OUT!$E$2:$E$11000,"Bathroom")</f>
        <v>37500</v>
      </c>
      <c r="M916" s="52">
        <f ca="1">SUMIFS(OUT!$F$2:$F$11000,OUT!$H$2:$H$11000,H916,OUT!$D$2:$D$11000,"Out",OUT!$E$2:$E$11000,"Alfa")</f>
        <v>317864</v>
      </c>
      <c r="N916" s="52" t="e">
        <f ca="1">SUMIFS(OUT!$F$2:$F$11000,OUT!$H$2:$H$101007,H916,OUT!$D$2:$D$11000,"Out",OUT!$E$2:$E$11000,"Jajan")</f>
        <v>#VALUE!</v>
      </c>
      <c r="O916" s="52">
        <f ca="1">SUMIFS(OUT!$F$2:$F$11000,OUT!$H$2:$H$11000,H916,OUT!$D$2:$D$11000,"Out",OUT!$E$2:$E$11000,"Kitchen")</f>
        <v>985700</v>
      </c>
      <c r="P916" s="52">
        <f ca="1">SUMIFS(OUT!$F$2:$F$11000,OUT!$H$2:$H$11000,H916,OUT!$D$2:$D$11000,"Out",OUT!$E$2:$E$11000,"Loandry")</f>
        <v>21500</v>
      </c>
      <c r="Q916" s="52">
        <f ca="1">SUMIFS(OUT!$F$2:$F$11000,OUT!$H$2:$H$11000,H916,OUT!$D$2:$D$11000,"Out",OUT!$E$2:$E$11000,"Mio")</f>
        <v>265000</v>
      </c>
      <c r="R916" s="52">
        <f ca="1">SUMIFS(OUT!$F$2:$F$11000,OUT!$H$2:$H$11000,H916,OUT!$D$2:$D$11000,"Out",OUT!$E$2:$E$11000,"Sedekah")</f>
        <v>5000</v>
      </c>
      <c r="S916" s="52">
        <f ca="1">SUMIFS(OUT!$F$2:$F$11000,OUT!$H$2:$H$11000,H916,OUT!$D$2:$D$11000,"Out",OUT!$E$2:$E$11000,"Zela")</f>
        <v>33400</v>
      </c>
      <c r="T916" s="52">
        <f ca="1">SUMIFS(OUT!$F$2:$F$11000,OUT!$H$2:$H$11000,H916,OUT!$D$2:$D$11000,"Out",OUT!$E$2:$E$11000,"Iqbal")</f>
        <v>232194</v>
      </c>
    </row>
    <row r="917" spans="1:20" x14ac:dyDescent="0.2">
      <c r="A917" s="48">
        <f ca="1">IFERROR(__xludf.DUMMYFUNCTION("""COMPUTED_VALUE"""),46180)</f>
        <v>46180</v>
      </c>
      <c r="B917" s="4" t="str">
        <f ca="1">IFERROR(__xludf.DUMMYFUNCTION("""COMPUTED_VALUE"""),"Tarik tunai")</f>
        <v>Tarik tunai</v>
      </c>
      <c r="C917" s="4" t="str">
        <f ca="1">IFERROR(__xludf.DUMMYFUNCTION("""COMPUTED_VALUE"""),"ATM")</f>
        <v>ATM</v>
      </c>
      <c r="D917" s="4" t="str">
        <f ca="1">IFERROR(__xludf.DUMMYFUNCTION("""COMPUTED_VALUE"""),"Out")</f>
        <v>Out</v>
      </c>
      <c r="E917" s="4" t="str">
        <f ca="1">IFERROR(__xludf.DUMMYFUNCTION("""COMPUTED_VALUE"""),"Move")</f>
        <v>Move</v>
      </c>
      <c r="F917" s="49">
        <f ca="1">IFERROR(__xludf.DUMMYFUNCTION("""COMPUTED_VALUE"""),100000)</f>
        <v>100000</v>
      </c>
      <c r="G917" s="50" t="str">
        <f ca="1">IFERROR(__xludf.DUMMYFUNCTION("""COMPUTED_VALUE"""),"Zela")</f>
        <v>Zela</v>
      </c>
      <c r="H917" s="51">
        <f t="shared" ca="1" si="0"/>
        <v>46174</v>
      </c>
      <c r="I917" s="52" t="e">
        <f ca="1">SUMIFS(OUT!$F$2:$F$11000,OUT!$H$2:$H$11000,H917,OUT!$D$2:$D$101007,"In")</f>
        <v>#VALUE!</v>
      </c>
      <c r="J917" s="52">
        <f ca="1">SUMIFS(OUT!$F$2:$F$11000,OUT!$H$2:$H$11000,H917,OUT!$D$2:$D$11000,"Out")</f>
        <v>9155672</v>
      </c>
      <c r="K917" s="52">
        <f ca="1">SUMIFS(OUT!$F$2:$F$11000,OUT!$H$2:$H$11000,H917,OUT!$D$2:$D$11000,"Out",OUT!$E$2:$E$11000,"Fix")</f>
        <v>3084727</v>
      </c>
      <c r="L917" s="52">
        <f ca="1">SUMIFS(OUT!$F$2:$F$11000,OUT!$H$2:$H$11000,H917,OUT!$D$2:$D$11000,"Out",OUT!$E$2:$E$11000,"Bathroom")</f>
        <v>37500</v>
      </c>
      <c r="M917" s="52">
        <f ca="1">SUMIFS(OUT!$F$2:$F$11000,OUT!$H$2:$H$11000,H917,OUT!$D$2:$D$11000,"Out",OUT!$E$2:$E$11000,"Alfa")</f>
        <v>317864</v>
      </c>
      <c r="N917" s="52" t="e">
        <f ca="1">SUMIFS(OUT!$F$2:$F$11000,OUT!$H$2:$H$101007,H917,OUT!$D$2:$D$11000,"Out",OUT!$E$2:$E$11000,"Jajan")</f>
        <v>#VALUE!</v>
      </c>
      <c r="O917" s="52">
        <f ca="1">SUMIFS(OUT!$F$2:$F$11000,OUT!$H$2:$H$11000,H917,OUT!$D$2:$D$11000,"Out",OUT!$E$2:$E$11000,"Kitchen")</f>
        <v>985700</v>
      </c>
      <c r="P917" s="52">
        <f ca="1">SUMIFS(OUT!$F$2:$F$11000,OUT!$H$2:$H$11000,H917,OUT!$D$2:$D$11000,"Out",OUT!$E$2:$E$11000,"Loandry")</f>
        <v>21500</v>
      </c>
      <c r="Q917" s="52">
        <f ca="1">SUMIFS(OUT!$F$2:$F$11000,OUT!$H$2:$H$11000,H917,OUT!$D$2:$D$11000,"Out",OUT!$E$2:$E$11000,"Mio")</f>
        <v>265000</v>
      </c>
      <c r="R917" s="52">
        <f ca="1">SUMIFS(OUT!$F$2:$F$11000,OUT!$H$2:$H$11000,H917,OUT!$D$2:$D$11000,"Out",OUT!$E$2:$E$11000,"Sedekah")</f>
        <v>5000</v>
      </c>
      <c r="S917" s="52">
        <f ca="1">SUMIFS(OUT!$F$2:$F$11000,OUT!$H$2:$H$11000,H917,OUT!$D$2:$D$11000,"Out",OUT!$E$2:$E$11000,"Zela")</f>
        <v>33400</v>
      </c>
      <c r="T917" s="52">
        <f ca="1">SUMIFS(OUT!$F$2:$F$11000,OUT!$H$2:$H$11000,H917,OUT!$D$2:$D$11000,"Out",OUT!$E$2:$E$11000,"Iqbal")</f>
        <v>232194</v>
      </c>
    </row>
    <row r="918" spans="1:20" x14ac:dyDescent="0.2">
      <c r="A918" s="48">
        <f ca="1">IFERROR(__xludf.DUMMYFUNCTION("""COMPUTED_VALUE"""),46180)</f>
        <v>46180</v>
      </c>
      <c r="B918" s="4" t="str">
        <f ca="1">IFERROR(__xludf.DUMMYFUNCTION("""COMPUTED_VALUE"""),"Terima tunai")</f>
        <v>Terima tunai</v>
      </c>
      <c r="C918" s="4" t="str">
        <f ca="1">IFERROR(__xludf.DUMMYFUNCTION("""COMPUTED_VALUE"""),"Cash")</f>
        <v>Cash</v>
      </c>
      <c r="D918" s="4" t="str">
        <f ca="1">IFERROR(__xludf.DUMMYFUNCTION("""COMPUTED_VALUE"""),"In")</f>
        <v>In</v>
      </c>
      <c r="E918" s="4" t="str">
        <f ca="1">IFERROR(__xludf.DUMMYFUNCTION("""COMPUTED_VALUE"""),"Move")</f>
        <v>Move</v>
      </c>
      <c r="F918" s="49">
        <f ca="1">IFERROR(__xludf.DUMMYFUNCTION("""COMPUTED_VALUE"""),100000)</f>
        <v>100000</v>
      </c>
      <c r="G918" s="50" t="str">
        <f ca="1">IFERROR(__xludf.DUMMYFUNCTION("""COMPUTED_VALUE"""),"Zela")</f>
        <v>Zela</v>
      </c>
      <c r="H918" s="51">
        <f t="shared" ca="1" si="0"/>
        <v>46174</v>
      </c>
      <c r="I918" s="52" t="e">
        <f ca="1">SUMIFS(OUT!$F$2:$F$11000,OUT!$H$2:$H$11000,H918,OUT!$D$2:$D$101007,"In")</f>
        <v>#VALUE!</v>
      </c>
      <c r="J918" s="52">
        <f ca="1">SUMIFS(OUT!$F$2:$F$11000,OUT!$H$2:$H$11000,H918,OUT!$D$2:$D$11000,"Out")</f>
        <v>9155672</v>
      </c>
      <c r="K918" s="52">
        <f ca="1">SUMIFS(OUT!$F$2:$F$11000,OUT!$H$2:$H$11000,H918,OUT!$D$2:$D$11000,"Out",OUT!$E$2:$E$11000,"Fix")</f>
        <v>3084727</v>
      </c>
      <c r="L918" s="52">
        <f ca="1">SUMIFS(OUT!$F$2:$F$11000,OUT!$H$2:$H$11000,H918,OUT!$D$2:$D$11000,"Out",OUT!$E$2:$E$11000,"Bathroom")</f>
        <v>37500</v>
      </c>
      <c r="M918" s="52">
        <f ca="1">SUMIFS(OUT!$F$2:$F$11000,OUT!$H$2:$H$11000,H918,OUT!$D$2:$D$11000,"Out",OUT!$E$2:$E$11000,"Alfa")</f>
        <v>317864</v>
      </c>
      <c r="N918" s="52" t="e">
        <f ca="1">SUMIFS(OUT!$F$2:$F$11000,OUT!$H$2:$H$101007,H918,OUT!$D$2:$D$11000,"Out",OUT!$E$2:$E$11000,"Jajan")</f>
        <v>#VALUE!</v>
      </c>
      <c r="O918" s="52">
        <f ca="1">SUMIFS(OUT!$F$2:$F$11000,OUT!$H$2:$H$11000,H918,OUT!$D$2:$D$11000,"Out",OUT!$E$2:$E$11000,"Kitchen")</f>
        <v>985700</v>
      </c>
      <c r="P918" s="52">
        <f ca="1">SUMIFS(OUT!$F$2:$F$11000,OUT!$H$2:$H$11000,H918,OUT!$D$2:$D$11000,"Out",OUT!$E$2:$E$11000,"Loandry")</f>
        <v>21500</v>
      </c>
      <c r="Q918" s="52">
        <f ca="1">SUMIFS(OUT!$F$2:$F$11000,OUT!$H$2:$H$11000,H918,OUT!$D$2:$D$11000,"Out",OUT!$E$2:$E$11000,"Mio")</f>
        <v>265000</v>
      </c>
      <c r="R918" s="52">
        <f ca="1">SUMIFS(OUT!$F$2:$F$11000,OUT!$H$2:$H$11000,H918,OUT!$D$2:$D$11000,"Out",OUT!$E$2:$E$11000,"Sedekah")</f>
        <v>5000</v>
      </c>
      <c r="S918" s="52">
        <f ca="1">SUMIFS(OUT!$F$2:$F$11000,OUT!$H$2:$H$11000,H918,OUT!$D$2:$D$11000,"Out",OUT!$E$2:$E$11000,"Zela")</f>
        <v>33400</v>
      </c>
      <c r="T918" s="52">
        <f ca="1">SUMIFS(OUT!$F$2:$F$11000,OUT!$H$2:$H$11000,H918,OUT!$D$2:$D$11000,"Out",OUT!$E$2:$E$11000,"Iqbal")</f>
        <v>232194</v>
      </c>
    </row>
    <row r="919" spans="1:20" x14ac:dyDescent="0.2">
      <c r="A919" s="48">
        <f ca="1">IFERROR(__xludf.DUMMYFUNCTION("""COMPUTED_VALUE"""),46180)</f>
        <v>46180</v>
      </c>
      <c r="B919" s="4" t="str">
        <f ca="1">IFERROR(__xludf.DUMMYFUNCTION("""COMPUTED_VALUE"""),"lem alteko")</f>
        <v>lem alteko</v>
      </c>
      <c r="C919" s="4" t="str">
        <f ca="1">IFERROR(__xludf.DUMMYFUNCTION("""COMPUTED_VALUE"""),"Cash")</f>
        <v>Cash</v>
      </c>
      <c r="D919" s="4" t="str">
        <f ca="1">IFERROR(__xludf.DUMMYFUNCTION("""COMPUTED_VALUE"""),"Out")</f>
        <v>Out</v>
      </c>
      <c r="E919" s="4" t="str">
        <f ca="1">IFERROR(__xludf.DUMMYFUNCTION("""COMPUTED_VALUE"""),"Kitchen")</f>
        <v>Kitchen</v>
      </c>
      <c r="F919" s="49">
        <f ca="1">IFERROR(__xludf.DUMMYFUNCTION("""COMPUTED_VALUE"""),10000)</f>
        <v>10000</v>
      </c>
      <c r="G919" s="50" t="str">
        <f ca="1">IFERROR(__xludf.DUMMYFUNCTION("""COMPUTED_VALUE"""),"Zela")</f>
        <v>Zela</v>
      </c>
      <c r="H919" s="51">
        <f t="shared" ca="1" si="0"/>
        <v>46174</v>
      </c>
      <c r="I919" s="52" t="e">
        <f ca="1">SUMIFS(OUT!$F$2:$F$11000,OUT!$H$2:$H$11000,H919,OUT!$D$2:$D$101007,"In")</f>
        <v>#VALUE!</v>
      </c>
      <c r="J919" s="52">
        <f ca="1">SUMIFS(OUT!$F$2:$F$11000,OUT!$H$2:$H$11000,H919,OUT!$D$2:$D$11000,"Out")</f>
        <v>9155672</v>
      </c>
      <c r="K919" s="52">
        <f ca="1">SUMIFS(OUT!$F$2:$F$11000,OUT!$H$2:$H$11000,H919,OUT!$D$2:$D$11000,"Out",OUT!$E$2:$E$11000,"Fix")</f>
        <v>3084727</v>
      </c>
      <c r="L919" s="52">
        <f ca="1">SUMIFS(OUT!$F$2:$F$11000,OUT!$H$2:$H$11000,H919,OUT!$D$2:$D$11000,"Out",OUT!$E$2:$E$11000,"Bathroom")</f>
        <v>37500</v>
      </c>
      <c r="M919" s="52">
        <f ca="1">SUMIFS(OUT!$F$2:$F$11000,OUT!$H$2:$H$11000,H919,OUT!$D$2:$D$11000,"Out",OUT!$E$2:$E$11000,"Alfa")</f>
        <v>317864</v>
      </c>
      <c r="N919" s="52" t="e">
        <f ca="1">SUMIFS(OUT!$F$2:$F$11000,OUT!$H$2:$H$101007,H919,OUT!$D$2:$D$11000,"Out",OUT!$E$2:$E$11000,"Jajan")</f>
        <v>#VALUE!</v>
      </c>
      <c r="O919" s="52">
        <f ca="1">SUMIFS(OUT!$F$2:$F$11000,OUT!$H$2:$H$11000,H919,OUT!$D$2:$D$11000,"Out",OUT!$E$2:$E$11000,"Kitchen")</f>
        <v>985700</v>
      </c>
      <c r="P919" s="52">
        <f ca="1">SUMIFS(OUT!$F$2:$F$11000,OUT!$H$2:$H$11000,H919,OUT!$D$2:$D$11000,"Out",OUT!$E$2:$E$11000,"Loandry")</f>
        <v>21500</v>
      </c>
      <c r="Q919" s="52">
        <f ca="1">SUMIFS(OUT!$F$2:$F$11000,OUT!$H$2:$H$11000,H919,OUT!$D$2:$D$11000,"Out",OUT!$E$2:$E$11000,"Mio")</f>
        <v>265000</v>
      </c>
      <c r="R919" s="52">
        <f ca="1">SUMIFS(OUT!$F$2:$F$11000,OUT!$H$2:$H$11000,H919,OUT!$D$2:$D$11000,"Out",OUT!$E$2:$E$11000,"Sedekah")</f>
        <v>5000</v>
      </c>
      <c r="S919" s="52">
        <f ca="1">SUMIFS(OUT!$F$2:$F$11000,OUT!$H$2:$H$11000,H919,OUT!$D$2:$D$11000,"Out",OUT!$E$2:$E$11000,"Zela")</f>
        <v>33400</v>
      </c>
      <c r="T919" s="52">
        <f ca="1">SUMIFS(OUT!$F$2:$F$11000,OUT!$H$2:$H$11000,H919,OUT!$D$2:$D$11000,"Out",OUT!$E$2:$E$11000,"Iqbal")</f>
        <v>232194</v>
      </c>
    </row>
    <row r="920" spans="1:20" x14ac:dyDescent="0.2">
      <c r="A920" s="48">
        <f ca="1">IFERROR(__xludf.DUMMYFUNCTION("""COMPUTED_VALUE"""),46180)</f>
        <v>46180</v>
      </c>
      <c r="B920" s="4" t="str">
        <f ca="1">IFERROR(__xludf.DUMMYFUNCTION("""COMPUTED_VALUE"""),"voucher tiktok (gacoan)")</f>
        <v>voucher tiktok (gacoan)</v>
      </c>
      <c r="C920" s="4" t="str">
        <f ca="1">IFERROR(__xludf.DUMMYFUNCTION("""COMPUTED_VALUE"""),"ATM")</f>
        <v>ATM</v>
      </c>
      <c r="D920" s="4" t="str">
        <f ca="1">IFERROR(__xludf.DUMMYFUNCTION("""COMPUTED_VALUE"""),"Out")</f>
        <v>Out</v>
      </c>
      <c r="E920" s="4" t="str">
        <f ca="1">IFERROR(__xludf.DUMMYFUNCTION("""COMPUTED_VALUE"""),"Jajan")</f>
        <v>Jajan</v>
      </c>
      <c r="F920" s="49">
        <f ca="1">IFERROR(__xludf.DUMMYFUNCTION("""COMPUTED_VALUE"""),8250)</f>
        <v>8250</v>
      </c>
      <c r="G920" s="50" t="str">
        <f ca="1">IFERROR(__xludf.DUMMYFUNCTION("""COMPUTED_VALUE"""),"Zela")</f>
        <v>Zela</v>
      </c>
      <c r="H920" s="51">
        <f t="shared" ca="1" si="0"/>
        <v>46174</v>
      </c>
      <c r="I920" s="52" t="e">
        <f ca="1">SUMIFS(OUT!$F$2:$F$11000,OUT!$H$2:$H$11000,H920,OUT!$D$2:$D$101007,"In")</f>
        <v>#VALUE!</v>
      </c>
      <c r="J920" s="52">
        <f ca="1">SUMIFS(OUT!$F$2:$F$11000,OUT!$H$2:$H$11000,H920,OUT!$D$2:$D$11000,"Out")</f>
        <v>9155672</v>
      </c>
      <c r="K920" s="52">
        <f ca="1">SUMIFS(OUT!$F$2:$F$11000,OUT!$H$2:$H$11000,H920,OUT!$D$2:$D$11000,"Out",OUT!$E$2:$E$11000,"Fix")</f>
        <v>3084727</v>
      </c>
      <c r="L920" s="52">
        <f ca="1">SUMIFS(OUT!$F$2:$F$11000,OUT!$H$2:$H$11000,H920,OUT!$D$2:$D$11000,"Out",OUT!$E$2:$E$11000,"Bathroom")</f>
        <v>37500</v>
      </c>
      <c r="M920" s="52">
        <f ca="1">SUMIFS(OUT!$F$2:$F$11000,OUT!$H$2:$H$11000,H920,OUT!$D$2:$D$11000,"Out",OUT!$E$2:$E$11000,"Alfa")</f>
        <v>317864</v>
      </c>
      <c r="N920" s="52" t="e">
        <f ca="1">SUMIFS(OUT!$F$2:$F$11000,OUT!$H$2:$H$101007,H920,OUT!$D$2:$D$11000,"Out",OUT!$E$2:$E$11000,"Jajan")</f>
        <v>#VALUE!</v>
      </c>
      <c r="O920" s="52">
        <f ca="1">SUMIFS(OUT!$F$2:$F$11000,OUT!$H$2:$H$11000,H920,OUT!$D$2:$D$11000,"Out",OUT!$E$2:$E$11000,"Kitchen")</f>
        <v>985700</v>
      </c>
      <c r="P920" s="52">
        <f ca="1">SUMIFS(OUT!$F$2:$F$11000,OUT!$H$2:$H$11000,H920,OUT!$D$2:$D$11000,"Out",OUT!$E$2:$E$11000,"Loandry")</f>
        <v>21500</v>
      </c>
      <c r="Q920" s="52">
        <f ca="1">SUMIFS(OUT!$F$2:$F$11000,OUT!$H$2:$H$11000,H920,OUT!$D$2:$D$11000,"Out",OUT!$E$2:$E$11000,"Mio")</f>
        <v>265000</v>
      </c>
      <c r="R920" s="52">
        <f ca="1">SUMIFS(OUT!$F$2:$F$11000,OUT!$H$2:$H$11000,H920,OUT!$D$2:$D$11000,"Out",OUT!$E$2:$E$11000,"Sedekah")</f>
        <v>5000</v>
      </c>
      <c r="S920" s="52">
        <f ca="1">SUMIFS(OUT!$F$2:$F$11000,OUT!$H$2:$H$11000,H920,OUT!$D$2:$D$11000,"Out",OUT!$E$2:$E$11000,"Zela")</f>
        <v>33400</v>
      </c>
      <c r="T920" s="52">
        <f ca="1">SUMIFS(OUT!$F$2:$F$11000,OUT!$H$2:$H$11000,H920,OUT!$D$2:$D$11000,"Out",OUT!$E$2:$E$11000,"Iqbal")</f>
        <v>232194</v>
      </c>
    </row>
    <row r="921" spans="1:20" x14ac:dyDescent="0.2">
      <c r="A921" s="48">
        <f ca="1">IFERROR(__xludf.DUMMYFUNCTION("""COMPUTED_VALUE"""),46181)</f>
        <v>46181</v>
      </c>
      <c r="B921" s="4" t="str">
        <f ca="1">IFERROR(__xludf.DUMMYFUNCTION("""COMPUTED_VALUE"""),"Bunda ")</f>
        <v xml:space="preserve">Bunda </v>
      </c>
      <c r="C921" s="4" t="str">
        <f ca="1">IFERROR(__xludf.DUMMYFUNCTION("""COMPUTED_VALUE"""),"ATM")</f>
        <v>ATM</v>
      </c>
      <c r="D921" s="4" t="str">
        <f ca="1">IFERROR(__xludf.DUMMYFUNCTION("""COMPUTED_VALUE"""),"Out")</f>
        <v>Out</v>
      </c>
      <c r="E921" s="4" t="str">
        <f ca="1">IFERROR(__xludf.DUMMYFUNCTION("""COMPUTED_VALUE"""),"Fix")</f>
        <v>Fix</v>
      </c>
      <c r="F921" s="49">
        <f ca="1">IFERROR(__xludf.DUMMYFUNCTION("""COMPUTED_VALUE"""),55000)</f>
        <v>55000</v>
      </c>
      <c r="G921" s="50" t="str">
        <f ca="1">IFERROR(__xludf.DUMMYFUNCTION("""COMPUTED_VALUE"""),"Zela")</f>
        <v>Zela</v>
      </c>
      <c r="H921" s="51">
        <f t="shared" ca="1" si="0"/>
        <v>46174</v>
      </c>
      <c r="I921" s="52" t="e">
        <f ca="1">SUMIFS(OUT!$F$2:$F$11000,OUT!$H$2:$H$11000,H921,OUT!$D$2:$D$101007,"In")</f>
        <v>#VALUE!</v>
      </c>
      <c r="J921" s="52">
        <f ca="1">SUMIFS(OUT!$F$2:$F$11000,OUT!$H$2:$H$11000,H921,OUT!$D$2:$D$11000,"Out")</f>
        <v>9155672</v>
      </c>
      <c r="K921" s="52">
        <f ca="1">SUMIFS(OUT!$F$2:$F$11000,OUT!$H$2:$H$11000,H921,OUT!$D$2:$D$11000,"Out",OUT!$E$2:$E$11000,"Fix")</f>
        <v>3084727</v>
      </c>
      <c r="L921" s="52">
        <f ca="1">SUMIFS(OUT!$F$2:$F$11000,OUT!$H$2:$H$11000,H921,OUT!$D$2:$D$11000,"Out",OUT!$E$2:$E$11000,"Bathroom")</f>
        <v>37500</v>
      </c>
      <c r="M921" s="52">
        <f ca="1">SUMIFS(OUT!$F$2:$F$11000,OUT!$H$2:$H$11000,H921,OUT!$D$2:$D$11000,"Out",OUT!$E$2:$E$11000,"Alfa")</f>
        <v>317864</v>
      </c>
      <c r="N921" s="52" t="e">
        <f ca="1">SUMIFS(OUT!$F$2:$F$11000,OUT!$H$2:$H$101007,H921,OUT!$D$2:$D$11000,"Out",OUT!$E$2:$E$11000,"Jajan")</f>
        <v>#VALUE!</v>
      </c>
      <c r="O921" s="52">
        <f ca="1">SUMIFS(OUT!$F$2:$F$11000,OUT!$H$2:$H$11000,H921,OUT!$D$2:$D$11000,"Out",OUT!$E$2:$E$11000,"Kitchen")</f>
        <v>985700</v>
      </c>
      <c r="P921" s="52">
        <f ca="1">SUMIFS(OUT!$F$2:$F$11000,OUT!$H$2:$H$11000,H921,OUT!$D$2:$D$11000,"Out",OUT!$E$2:$E$11000,"Loandry")</f>
        <v>21500</v>
      </c>
      <c r="Q921" s="52">
        <f ca="1">SUMIFS(OUT!$F$2:$F$11000,OUT!$H$2:$H$11000,H921,OUT!$D$2:$D$11000,"Out",OUT!$E$2:$E$11000,"Mio")</f>
        <v>265000</v>
      </c>
      <c r="R921" s="52">
        <f ca="1">SUMIFS(OUT!$F$2:$F$11000,OUT!$H$2:$H$11000,H921,OUT!$D$2:$D$11000,"Out",OUT!$E$2:$E$11000,"Sedekah")</f>
        <v>5000</v>
      </c>
      <c r="S921" s="52">
        <f ca="1">SUMIFS(OUT!$F$2:$F$11000,OUT!$H$2:$H$11000,H921,OUT!$D$2:$D$11000,"Out",OUT!$E$2:$E$11000,"Zela")</f>
        <v>33400</v>
      </c>
      <c r="T921" s="52">
        <f ca="1">SUMIFS(OUT!$F$2:$F$11000,OUT!$H$2:$H$11000,H921,OUT!$D$2:$D$11000,"Out",OUT!$E$2:$E$11000,"Iqbal")</f>
        <v>232194</v>
      </c>
    </row>
    <row r="922" spans="1:20" x14ac:dyDescent="0.2">
      <c r="A922" s="48">
        <f ca="1">IFERROR(__xludf.DUMMYFUNCTION("""COMPUTED_VALUE"""),46180)</f>
        <v>46180</v>
      </c>
      <c r="B922" s="4" t="str">
        <f ca="1">IFERROR(__xludf.DUMMYFUNCTION("""COMPUTED_VALUE"""),"mi ayam + bakso + krupuk")</f>
        <v>mi ayam + bakso + krupuk</v>
      </c>
      <c r="C922" s="4" t="str">
        <f ca="1">IFERROR(__xludf.DUMMYFUNCTION("""COMPUTED_VALUE"""),"Cash")</f>
        <v>Cash</v>
      </c>
      <c r="D922" s="4" t="str">
        <f ca="1">IFERROR(__xludf.DUMMYFUNCTION("""COMPUTED_VALUE"""),"Out")</f>
        <v>Out</v>
      </c>
      <c r="E922" s="4" t="str">
        <f ca="1">IFERROR(__xludf.DUMMYFUNCTION("""COMPUTED_VALUE"""),"Jajan")</f>
        <v>Jajan</v>
      </c>
      <c r="F922" s="49">
        <f ca="1">IFERROR(__xludf.DUMMYFUNCTION("""COMPUTED_VALUE"""),33000)</f>
        <v>33000</v>
      </c>
      <c r="G922" s="50" t="str">
        <f ca="1">IFERROR(__xludf.DUMMYFUNCTION("""COMPUTED_VALUE"""),"Zela")</f>
        <v>Zela</v>
      </c>
      <c r="H922" s="51">
        <f t="shared" ca="1" si="0"/>
        <v>46174</v>
      </c>
      <c r="I922" s="52" t="e">
        <f ca="1">SUMIFS(OUT!$F$2:$F$11000,OUT!$H$2:$H$11000,H922,OUT!$D$2:$D$101007,"In")</f>
        <v>#VALUE!</v>
      </c>
      <c r="J922" s="52">
        <f ca="1">SUMIFS(OUT!$F$2:$F$11000,OUT!$H$2:$H$11000,H922,OUT!$D$2:$D$11000,"Out")</f>
        <v>9155672</v>
      </c>
      <c r="K922" s="52">
        <f ca="1">SUMIFS(OUT!$F$2:$F$11000,OUT!$H$2:$H$11000,H922,OUT!$D$2:$D$11000,"Out",OUT!$E$2:$E$11000,"Fix")</f>
        <v>3084727</v>
      </c>
      <c r="L922" s="52">
        <f ca="1">SUMIFS(OUT!$F$2:$F$11000,OUT!$H$2:$H$11000,H922,OUT!$D$2:$D$11000,"Out",OUT!$E$2:$E$11000,"Bathroom")</f>
        <v>37500</v>
      </c>
      <c r="M922" s="52">
        <f ca="1">SUMIFS(OUT!$F$2:$F$11000,OUT!$H$2:$H$11000,H922,OUT!$D$2:$D$11000,"Out",OUT!$E$2:$E$11000,"Alfa")</f>
        <v>317864</v>
      </c>
      <c r="N922" s="52" t="e">
        <f ca="1">SUMIFS(OUT!$F$2:$F$11000,OUT!$H$2:$H$101007,H922,OUT!$D$2:$D$11000,"Out",OUT!$E$2:$E$11000,"Jajan")</f>
        <v>#VALUE!</v>
      </c>
      <c r="O922" s="52">
        <f ca="1">SUMIFS(OUT!$F$2:$F$11000,OUT!$H$2:$H$11000,H922,OUT!$D$2:$D$11000,"Out",OUT!$E$2:$E$11000,"Kitchen")</f>
        <v>985700</v>
      </c>
      <c r="P922" s="52">
        <f ca="1">SUMIFS(OUT!$F$2:$F$11000,OUT!$H$2:$H$11000,H922,OUT!$D$2:$D$11000,"Out",OUT!$E$2:$E$11000,"Loandry")</f>
        <v>21500</v>
      </c>
      <c r="Q922" s="52">
        <f ca="1">SUMIFS(OUT!$F$2:$F$11000,OUT!$H$2:$H$11000,H922,OUT!$D$2:$D$11000,"Out",OUT!$E$2:$E$11000,"Mio")</f>
        <v>265000</v>
      </c>
      <c r="R922" s="52">
        <f ca="1">SUMIFS(OUT!$F$2:$F$11000,OUT!$H$2:$H$11000,H922,OUT!$D$2:$D$11000,"Out",OUT!$E$2:$E$11000,"Sedekah")</f>
        <v>5000</v>
      </c>
      <c r="S922" s="52">
        <f ca="1">SUMIFS(OUT!$F$2:$F$11000,OUT!$H$2:$H$11000,H922,OUT!$D$2:$D$11000,"Out",OUT!$E$2:$E$11000,"Zela")</f>
        <v>33400</v>
      </c>
      <c r="T922" s="52">
        <f ca="1">SUMIFS(OUT!$F$2:$F$11000,OUT!$H$2:$H$11000,H922,OUT!$D$2:$D$11000,"Out",OUT!$E$2:$E$11000,"Iqbal")</f>
        <v>232194</v>
      </c>
    </row>
    <row r="923" spans="1:20" x14ac:dyDescent="0.2">
      <c r="A923" s="48">
        <f ca="1">IFERROR(__xludf.DUMMYFUNCTION("""COMPUTED_VALUE"""),46182)</f>
        <v>46182</v>
      </c>
      <c r="B923" s="4" t="str">
        <f ca="1">IFERROR(__xludf.DUMMYFUNCTION("""COMPUTED_VALUE"""),"Pertalite")</f>
        <v>Pertalite</v>
      </c>
      <c r="C923" s="4" t="str">
        <f ca="1">IFERROR(__xludf.DUMMYFUNCTION("""COMPUTED_VALUE"""),"Cash")</f>
        <v>Cash</v>
      </c>
      <c r="D923" s="4" t="str">
        <f ca="1">IFERROR(__xludf.DUMMYFUNCTION("""COMPUTED_VALUE"""),"Out")</f>
        <v>Out</v>
      </c>
      <c r="E923" s="4" t="str">
        <f ca="1">IFERROR(__xludf.DUMMYFUNCTION("""COMPUTED_VALUE"""),"Mio")</f>
        <v>Mio</v>
      </c>
      <c r="F923" s="49">
        <f ca="1">IFERROR(__xludf.DUMMYFUNCTION("""COMPUTED_VALUE"""),15000)</f>
        <v>15000</v>
      </c>
      <c r="G923" s="50" t="str">
        <f ca="1">IFERROR(__xludf.DUMMYFUNCTION("""COMPUTED_VALUE"""),"Zela")</f>
        <v>Zela</v>
      </c>
      <c r="H923" s="51">
        <f t="shared" ca="1" si="0"/>
        <v>46174</v>
      </c>
      <c r="I923" s="52" t="e">
        <f ca="1">SUMIFS(OUT!$F$2:$F$11000,OUT!$H$2:$H$11000,H923,OUT!$D$2:$D$101007,"In")</f>
        <v>#VALUE!</v>
      </c>
      <c r="J923" s="52">
        <f ca="1">SUMIFS(OUT!$F$2:$F$11000,OUT!$H$2:$H$11000,H923,OUT!$D$2:$D$11000,"Out")</f>
        <v>9155672</v>
      </c>
      <c r="K923" s="52">
        <f ca="1">SUMIFS(OUT!$F$2:$F$11000,OUT!$H$2:$H$11000,H923,OUT!$D$2:$D$11000,"Out",OUT!$E$2:$E$11000,"Fix")</f>
        <v>3084727</v>
      </c>
      <c r="L923" s="52">
        <f ca="1">SUMIFS(OUT!$F$2:$F$11000,OUT!$H$2:$H$11000,H923,OUT!$D$2:$D$11000,"Out",OUT!$E$2:$E$11000,"Bathroom")</f>
        <v>37500</v>
      </c>
      <c r="M923" s="52">
        <f ca="1">SUMIFS(OUT!$F$2:$F$11000,OUT!$H$2:$H$11000,H923,OUT!$D$2:$D$11000,"Out",OUT!$E$2:$E$11000,"Alfa")</f>
        <v>317864</v>
      </c>
      <c r="N923" s="52" t="e">
        <f ca="1">SUMIFS(OUT!$F$2:$F$11000,OUT!$H$2:$H$101007,H923,OUT!$D$2:$D$11000,"Out",OUT!$E$2:$E$11000,"Jajan")</f>
        <v>#VALUE!</v>
      </c>
      <c r="O923" s="52">
        <f ca="1">SUMIFS(OUT!$F$2:$F$11000,OUT!$H$2:$H$11000,H923,OUT!$D$2:$D$11000,"Out",OUT!$E$2:$E$11000,"Kitchen")</f>
        <v>985700</v>
      </c>
      <c r="P923" s="52">
        <f ca="1">SUMIFS(OUT!$F$2:$F$11000,OUT!$H$2:$H$11000,H923,OUT!$D$2:$D$11000,"Out",OUT!$E$2:$E$11000,"Loandry")</f>
        <v>21500</v>
      </c>
      <c r="Q923" s="52">
        <f ca="1">SUMIFS(OUT!$F$2:$F$11000,OUT!$H$2:$H$11000,H923,OUT!$D$2:$D$11000,"Out",OUT!$E$2:$E$11000,"Mio")</f>
        <v>265000</v>
      </c>
      <c r="R923" s="52">
        <f ca="1">SUMIFS(OUT!$F$2:$F$11000,OUT!$H$2:$H$11000,H923,OUT!$D$2:$D$11000,"Out",OUT!$E$2:$E$11000,"Sedekah")</f>
        <v>5000</v>
      </c>
      <c r="S923" s="52">
        <f ca="1">SUMIFS(OUT!$F$2:$F$11000,OUT!$H$2:$H$11000,H923,OUT!$D$2:$D$11000,"Out",OUT!$E$2:$E$11000,"Zela")</f>
        <v>33400</v>
      </c>
      <c r="T923" s="52">
        <f ca="1">SUMIFS(OUT!$F$2:$F$11000,OUT!$H$2:$H$11000,H923,OUT!$D$2:$D$11000,"Out",OUT!$E$2:$E$11000,"Iqbal")</f>
        <v>232194</v>
      </c>
    </row>
    <row r="924" spans="1:20" x14ac:dyDescent="0.2">
      <c r="A924" s="48">
        <f ca="1">IFERROR(__xludf.DUMMYFUNCTION("""COMPUTED_VALUE"""),46180)</f>
        <v>46180</v>
      </c>
      <c r="B924" s="4" t="str">
        <f ca="1">IFERROR(__xludf.DUMMYFUNCTION("""COMPUTED_VALUE"""),"mi 3 + Roti ")</f>
        <v xml:space="preserve">mi 3 + Roti </v>
      </c>
      <c r="C924" s="4" t="str">
        <f ca="1">IFERROR(__xludf.DUMMYFUNCTION("""COMPUTED_VALUE"""),"Cash")</f>
        <v>Cash</v>
      </c>
      <c r="D924" s="4" t="str">
        <f ca="1">IFERROR(__xludf.DUMMYFUNCTION("""COMPUTED_VALUE"""),"Out")</f>
        <v>Out</v>
      </c>
      <c r="E924" s="4" t="str">
        <f ca="1">IFERROR(__xludf.DUMMYFUNCTION("""COMPUTED_VALUE"""),"Jajan")</f>
        <v>Jajan</v>
      </c>
      <c r="F924" s="49">
        <f ca="1">IFERROR(__xludf.DUMMYFUNCTION("""COMPUTED_VALUE"""),12000)</f>
        <v>12000</v>
      </c>
      <c r="G924" s="50" t="str">
        <f ca="1">IFERROR(__xludf.DUMMYFUNCTION("""COMPUTED_VALUE"""),"Zela")</f>
        <v>Zela</v>
      </c>
      <c r="H924" s="51">
        <f t="shared" ca="1" si="0"/>
        <v>46174</v>
      </c>
      <c r="I924" s="52" t="e">
        <f ca="1">SUMIFS(OUT!$F$2:$F$11000,OUT!$H$2:$H$11000,H924,OUT!$D$2:$D$101007,"In")</f>
        <v>#VALUE!</v>
      </c>
      <c r="J924" s="52">
        <f ca="1">SUMIFS(OUT!$F$2:$F$11000,OUT!$H$2:$H$11000,H924,OUT!$D$2:$D$11000,"Out")</f>
        <v>9155672</v>
      </c>
      <c r="K924" s="52">
        <f ca="1">SUMIFS(OUT!$F$2:$F$11000,OUT!$H$2:$H$11000,H924,OUT!$D$2:$D$11000,"Out",OUT!$E$2:$E$11000,"Fix")</f>
        <v>3084727</v>
      </c>
      <c r="L924" s="52">
        <f ca="1">SUMIFS(OUT!$F$2:$F$11000,OUT!$H$2:$H$11000,H924,OUT!$D$2:$D$11000,"Out",OUT!$E$2:$E$11000,"Bathroom")</f>
        <v>37500</v>
      </c>
      <c r="M924" s="52">
        <f ca="1">SUMIFS(OUT!$F$2:$F$11000,OUT!$H$2:$H$11000,H924,OUT!$D$2:$D$11000,"Out",OUT!$E$2:$E$11000,"Alfa")</f>
        <v>317864</v>
      </c>
      <c r="N924" s="52" t="e">
        <f ca="1">SUMIFS(OUT!$F$2:$F$11000,OUT!$H$2:$H$101007,H924,OUT!$D$2:$D$11000,"Out",OUT!$E$2:$E$11000,"Jajan")</f>
        <v>#VALUE!</v>
      </c>
      <c r="O924" s="52">
        <f ca="1">SUMIFS(OUT!$F$2:$F$11000,OUT!$H$2:$H$11000,H924,OUT!$D$2:$D$11000,"Out",OUT!$E$2:$E$11000,"Kitchen")</f>
        <v>985700</v>
      </c>
      <c r="P924" s="52">
        <f ca="1">SUMIFS(OUT!$F$2:$F$11000,OUT!$H$2:$H$11000,H924,OUT!$D$2:$D$11000,"Out",OUT!$E$2:$E$11000,"Loandry")</f>
        <v>21500</v>
      </c>
      <c r="Q924" s="52">
        <f ca="1">SUMIFS(OUT!$F$2:$F$11000,OUT!$H$2:$H$11000,H924,OUT!$D$2:$D$11000,"Out",OUT!$E$2:$E$11000,"Mio")</f>
        <v>265000</v>
      </c>
      <c r="R924" s="52">
        <f ca="1">SUMIFS(OUT!$F$2:$F$11000,OUT!$H$2:$H$11000,H924,OUT!$D$2:$D$11000,"Out",OUT!$E$2:$E$11000,"Sedekah")</f>
        <v>5000</v>
      </c>
      <c r="S924" s="52">
        <f ca="1">SUMIFS(OUT!$F$2:$F$11000,OUT!$H$2:$H$11000,H924,OUT!$D$2:$D$11000,"Out",OUT!$E$2:$E$11000,"Zela")</f>
        <v>33400</v>
      </c>
      <c r="T924" s="52">
        <f ca="1">SUMIFS(OUT!$F$2:$F$11000,OUT!$H$2:$H$11000,H924,OUT!$D$2:$D$11000,"Out",OUT!$E$2:$E$11000,"Iqbal")</f>
        <v>232194</v>
      </c>
    </row>
    <row r="925" spans="1:20" x14ac:dyDescent="0.2">
      <c r="A925" s="48">
        <f ca="1">IFERROR(__xludf.DUMMYFUNCTION("""COMPUTED_VALUE"""),46181)</f>
        <v>46181</v>
      </c>
      <c r="B925" s="4" t="str">
        <f ca="1">IFERROR(__xludf.DUMMYFUNCTION("""COMPUTED_VALUE"""),"pasar kaget+parkir")</f>
        <v>pasar kaget+parkir</v>
      </c>
      <c r="C925" s="4" t="str">
        <f ca="1">IFERROR(__xludf.DUMMYFUNCTION("""COMPUTED_VALUE"""),"Cash")</f>
        <v>Cash</v>
      </c>
      <c r="D925" s="4" t="str">
        <f ca="1">IFERROR(__xludf.DUMMYFUNCTION("""COMPUTED_VALUE"""),"Out")</f>
        <v>Out</v>
      </c>
      <c r="E925" s="4" t="str">
        <f ca="1">IFERROR(__xludf.DUMMYFUNCTION("""COMPUTED_VALUE"""),"Jajan")</f>
        <v>Jajan</v>
      </c>
      <c r="F925" s="49">
        <f ca="1">IFERROR(__xludf.DUMMYFUNCTION("""COMPUTED_VALUE"""),30000)</f>
        <v>30000</v>
      </c>
      <c r="G925" s="50" t="str">
        <f ca="1">IFERROR(__xludf.DUMMYFUNCTION("""COMPUTED_VALUE"""),"Zela")</f>
        <v>Zela</v>
      </c>
      <c r="H925" s="51">
        <f t="shared" ca="1" si="0"/>
        <v>46174</v>
      </c>
      <c r="I925" s="52" t="e">
        <f ca="1">SUMIFS(OUT!$F$2:$F$11000,OUT!$H$2:$H$11000,H925,OUT!$D$2:$D$101007,"In")</f>
        <v>#VALUE!</v>
      </c>
      <c r="J925" s="52">
        <f ca="1">SUMIFS(OUT!$F$2:$F$11000,OUT!$H$2:$H$11000,H925,OUT!$D$2:$D$11000,"Out")</f>
        <v>9155672</v>
      </c>
      <c r="K925" s="52">
        <f ca="1">SUMIFS(OUT!$F$2:$F$11000,OUT!$H$2:$H$11000,H925,OUT!$D$2:$D$11000,"Out",OUT!$E$2:$E$11000,"Fix")</f>
        <v>3084727</v>
      </c>
      <c r="L925" s="52">
        <f ca="1">SUMIFS(OUT!$F$2:$F$11000,OUT!$H$2:$H$11000,H925,OUT!$D$2:$D$11000,"Out",OUT!$E$2:$E$11000,"Bathroom")</f>
        <v>37500</v>
      </c>
      <c r="M925" s="52">
        <f ca="1">SUMIFS(OUT!$F$2:$F$11000,OUT!$H$2:$H$11000,H925,OUT!$D$2:$D$11000,"Out",OUT!$E$2:$E$11000,"Alfa")</f>
        <v>317864</v>
      </c>
      <c r="N925" s="52" t="e">
        <f ca="1">SUMIFS(OUT!$F$2:$F$11000,OUT!$H$2:$H$101007,H925,OUT!$D$2:$D$11000,"Out",OUT!$E$2:$E$11000,"Jajan")</f>
        <v>#VALUE!</v>
      </c>
      <c r="O925" s="52">
        <f ca="1">SUMIFS(OUT!$F$2:$F$11000,OUT!$H$2:$H$11000,H925,OUT!$D$2:$D$11000,"Out",OUT!$E$2:$E$11000,"Kitchen")</f>
        <v>985700</v>
      </c>
      <c r="P925" s="52">
        <f ca="1">SUMIFS(OUT!$F$2:$F$11000,OUT!$H$2:$H$11000,H925,OUT!$D$2:$D$11000,"Out",OUT!$E$2:$E$11000,"Loandry")</f>
        <v>21500</v>
      </c>
      <c r="Q925" s="52">
        <f ca="1">SUMIFS(OUT!$F$2:$F$11000,OUT!$H$2:$H$11000,H925,OUT!$D$2:$D$11000,"Out",OUT!$E$2:$E$11000,"Mio")</f>
        <v>265000</v>
      </c>
      <c r="R925" s="52">
        <f ca="1">SUMIFS(OUT!$F$2:$F$11000,OUT!$H$2:$H$11000,H925,OUT!$D$2:$D$11000,"Out",OUT!$E$2:$E$11000,"Sedekah")</f>
        <v>5000</v>
      </c>
      <c r="S925" s="52">
        <f ca="1">SUMIFS(OUT!$F$2:$F$11000,OUT!$H$2:$H$11000,H925,OUT!$D$2:$D$11000,"Out",OUT!$E$2:$E$11000,"Zela")</f>
        <v>33400</v>
      </c>
      <c r="T925" s="52">
        <f ca="1">SUMIFS(OUT!$F$2:$F$11000,OUT!$H$2:$H$11000,H925,OUT!$D$2:$D$11000,"Out",OUT!$E$2:$E$11000,"Iqbal")</f>
        <v>232194</v>
      </c>
    </row>
    <row r="926" spans="1:20" x14ac:dyDescent="0.2">
      <c r="A926" s="48">
        <f ca="1">IFERROR(__xludf.DUMMYFUNCTION("""COMPUTED_VALUE"""),46182)</f>
        <v>46182</v>
      </c>
      <c r="B926" s="4" t="str">
        <f ca="1">IFERROR(__xludf.DUMMYFUNCTION("""COMPUTED_VALUE"""),"Headset")</f>
        <v>Headset</v>
      </c>
      <c r="C926" s="4" t="str">
        <f ca="1">IFERROR(__xludf.DUMMYFUNCTION("""COMPUTED_VALUE"""),"ATM")</f>
        <v>ATM</v>
      </c>
      <c r="D926" s="4" t="str">
        <f ca="1">IFERROR(__xludf.DUMMYFUNCTION("""COMPUTED_VALUE"""),"Out")</f>
        <v>Out</v>
      </c>
      <c r="E926" s="4" t="str">
        <f ca="1">IFERROR(__xludf.DUMMYFUNCTION("""COMPUTED_VALUE"""),"Iqbal")</f>
        <v>Iqbal</v>
      </c>
      <c r="F926" s="49">
        <f ca="1">IFERROR(__xludf.DUMMYFUNCTION("""COMPUTED_VALUE"""),29500)</f>
        <v>29500</v>
      </c>
      <c r="G926" s="50" t="str">
        <f ca="1">IFERROR(__xludf.DUMMYFUNCTION("""COMPUTED_VALUE"""),"Zela")</f>
        <v>Zela</v>
      </c>
      <c r="H926" s="51">
        <f t="shared" ca="1" si="0"/>
        <v>46174</v>
      </c>
      <c r="I926" s="52" t="e">
        <f ca="1">SUMIFS(OUT!$F$2:$F$11000,OUT!$H$2:$H$11000,H926,OUT!$D$2:$D$101007,"In")</f>
        <v>#VALUE!</v>
      </c>
      <c r="J926" s="52">
        <f ca="1">SUMIFS(OUT!$F$2:$F$11000,OUT!$H$2:$H$11000,H926,OUT!$D$2:$D$11000,"Out")</f>
        <v>9155672</v>
      </c>
      <c r="K926" s="52">
        <f ca="1">SUMIFS(OUT!$F$2:$F$11000,OUT!$H$2:$H$11000,H926,OUT!$D$2:$D$11000,"Out",OUT!$E$2:$E$11000,"Fix")</f>
        <v>3084727</v>
      </c>
      <c r="L926" s="52">
        <f ca="1">SUMIFS(OUT!$F$2:$F$11000,OUT!$H$2:$H$11000,H926,OUT!$D$2:$D$11000,"Out",OUT!$E$2:$E$11000,"Bathroom")</f>
        <v>37500</v>
      </c>
      <c r="M926" s="52">
        <f ca="1">SUMIFS(OUT!$F$2:$F$11000,OUT!$H$2:$H$11000,H926,OUT!$D$2:$D$11000,"Out",OUT!$E$2:$E$11000,"Alfa")</f>
        <v>317864</v>
      </c>
      <c r="N926" s="52" t="e">
        <f ca="1">SUMIFS(OUT!$F$2:$F$11000,OUT!$H$2:$H$101007,H926,OUT!$D$2:$D$11000,"Out",OUT!$E$2:$E$11000,"Jajan")</f>
        <v>#VALUE!</v>
      </c>
      <c r="O926" s="52">
        <f ca="1">SUMIFS(OUT!$F$2:$F$11000,OUT!$H$2:$H$11000,H926,OUT!$D$2:$D$11000,"Out",OUT!$E$2:$E$11000,"Kitchen")</f>
        <v>985700</v>
      </c>
      <c r="P926" s="52">
        <f ca="1">SUMIFS(OUT!$F$2:$F$11000,OUT!$H$2:$H$11000,H926,OUT!$D$2:$D$11000,"Out",OUT!$E$2:$E$11000,"Loandry")</f>
        <v>21500</v>
      </c>
      <c r="Q926" s="52">
        <f ca="1">SUMIFS(OUT!$F$2:$F$11000,OUT!$H$2:$H$11000,H926,OUT!$D$2:$D$11000,"Out",OUT!$E$2:$E$11000,"Mio")</f>
        <v>265000</v>
      </c>
      <c r="R926" s="52">
        <f ca="1">SUMIFS(OUT!$F$2:$F$11000,OUT!$H$2:$H$11000,H926,OUT!$D$2:$D$11000,"Out",OUT!$E$2:$E$11000,"Sedekah")</f>
        <v>5000</v>
      </c>
      <c r="S926" s="52">
        <f ca="1">SUMIFS(OUT!$F$2:$F$11000,OUT!$H$2:$H$11000,H926,OUT!$D$2:$D$11000,"Out",OUT!$E$2:$E$11000,"Zela")</f>
        <v>33400</v>
      </c>
      <c r="T926" s="52">
        <f ca="1">SUMIFS(OUT!$F$2:$F$11000,OUT!$H$2:$H$11000,H926,OUT!$D$2:$D$11000,"Out",OUT!$E$2:$E$11000,"Iqbal")</f>
        <v>232194</v>
      </c>
    </row>
    <row r="927" spans="1:20" x14ac:dyDescent="0.2">
      <c r="A927" s="48">
        <f ca="1">IFERROR(__xludf.DUMMYFUNCTION("""COMPUTED_VALUE"""),46181)</f>
        <v>46181</v>
      </c>
      <c r="B927" s="4" t="str">
        <f ca="1">IFERROR(__xludf.DUMMYFUNCTION("""COMPUTED_VALUE"""),"Tarik Tunai")</f>
        <v>Tarik Tunai</v>
      </c>
      <c r="C927" s="4" t="str">
        <f ca="1">IFERROR(__xludf.DUMMYFUNCTION("""COMPUTED_VALUE"""),"ATM")</f>
        <v>ATM</v>
      </c>
      <c r="D927" s="4" t="str">
        <f ca="1">IFERROR(__xludf.DUMMYFUNCTION("""COMPUTED_VALUE"""),"Out")</f>
        <v>Out</v>
      </c>
      <c r="E927" s="4" t="str">
        <f ca="1">IFERROR(__xludf.DUMMYFUNCTION("""COMPUTED_VALUE"""),"Move")</f>
        <v>Move</v>
      </c>
      <c r="F927" s="49">
        <f ca="1">IFERROR(__xludf.DUMMYFUNCTION("""COMPUTED_VALUE"""),100000)</f>
        <v>100000</v>
      </c>
      <c r="G927" s="50" t="str">
        <f ca="1">IFERROR(__xludf.DUMMYFUNCTION("""COMPUTED_VALUE"""),"Zela")</f>
        <v>Zela</v>
      </c>
      <c r="H927" s="51">
        <f t="shared" ca="1" si="0"/>
        <v>46174</v>
      </c>
      <c r="I927" s="52" t="e">
        <f ca="1">SUMIFS(OUT!$F$2:$F$11000,OUT!$H$2:$H$11000,H927,OUT!$D$2:$D$101007,"In")</f>
        <v>#VALUE!</v>
      </c>
      <c r="J927" s="52">
        <f ca="1">SUMIFS(OUT!$F$2:$F$11000,OUT!$H$2:$H$11000,H927,OUT!$D$2:$D$11000,"Out")</f>
        <v>9155672</v>
      </c>
      <c r="K927" s="52">
        <f ca="1">SUMIFS(OUT!$F$2:$F$11000,OUT!$H$2:$H$11000,H927,OUT!$D$2:$D$11000,"Out",OUT!$E$2:$E$11000,"Fix")</f>
        <v>3084727</v>
      </c>
      <c r="L927" s="52">
        <f ca="1">SUMIFS(OUT!$F$2:$F$11000,OUT!$H$2:$H$11000,H927,OUT!$D$2:$D$11000,"Out",OUT!$E$2:$E$11000,"Bathroom")</f>
        <v>37500</v>
      </c>
      <c r="M927" s="52">
        <f ca="1">SUMIFS(OUT!$F$2:$F$11000,OUT!$H$2:$H$11000,H927,OUT!$D$2:$D$11000,"Out",OUT!$E$2:$E$11000,"Alfa")</f>
        <v>317864</v>
      </c>
      <c r="N927" s="52" t="e">
        <f ca="1">SUMIFS(OUT!$F$2:$F$11000,OUT!$H$2:$H$101007,H927,OUT!$D$2:$D$11000,"Out",OUT!$E$2:$E$11000,"Jajan")</f>
        <v>#VALUE!</v>
      </c>
      <c r="O927" s="52">
        <f ca="1">SUMIFS(OUT!$F$2:$F$11000,OUT!$H$2:$H$11000,H927,OUT!$D$2:$D$11000,"Out",OUT!$E$2:$E$11000,"Kitchen")</f>
        <v>985700</v>
      </c>
      <c r="P927" s="52">
        <f ca="1">SUMIFS(OUT!$F$2:$F$11000,OUT!$H$2:$H$11000,H927,OUT!$D$2:$D$11000,"Out",OUT!$E$2:$E$11000,"Loandry")</f>
        <v>21500</v>
      </c>
      <c r="Q927" s="52">
        <f ca="1">SUMIFS(OUT!$F$2:$F$11000,OUT!$H$2:$H$11000,H927,OUT!$D$2:$D$11000,"Out",OUT!$E$2:$E$11000,"Mio")</f>
        <v>265000</v>
      </c>
      <c r="R927" s="52">
        <f ca="1">SUMIFS(OUT!$F$2:$F$11000,OUT!$H$2:$H$11000,H927,OUT!$D$2:$D$11000,"Out",OUT!$E$2:$E$11000,"Sedekah")</f>
        <v>5000</v>
      </c>
      <c r="S927" s="52">
        <f ca="1">SUMIFS(OUT!$F$2:$F$11000,OUT!$H$2:$H$11000,H927,OUT!$D$2:$D$11000,"Out",OUT!$E$2:$E$11000,"Zela")</f>
        <v>33400</v>
      </c>
      <c r="T927" s="52">
        <f ca="1">SUMIFS(OUT!$F$2:$F$11000,OUT!$H$2:$H$11000,H927,OUT!$D$2:$D$11000,"Out",OUT!$E$2:$E$11000,"Iqbal")</f>
        <v>232194</v>
      </c>
    </row>
    <row r="928" spans="1:20" x14ac:dyDescent="0.2">
      <c r="A928" s="48">
        <f ca="1">IFERROR(__xludf.DUMMYFUNCTION("""COMPUTED_VALUE"""),46181)</f>
        <v>46181</v>
      </c>
      <c r="B928" s="4" t="str">
        <f ca="1">IFERROR(__xludf.DUMMYFUNCTION("""COMPUTED_VALUE"""),"Terima Tunai ")</f>
        <v xml:space="preserve">Terima Tunai </v>
      </c>
      <c r="C928" s="4" t="str">
        <f ca="1">IFERROR(__xludf.DUMMYFUNCTION("""COMPUTED_VALUE"""),"Cash")</f>
        <v>Cash</v>
      </c>
      <c r="D928" s="4" t="str">
        <f ca="1">IFERROR(__xludf.DUMMYFUNCTION("""COMPUTED_VALUE"""),"In")</f>
        <v>In</v>
      </c>
      <c r="E928" s="4" t="str">
        <f ca="1">IFERROR(__xludf.DUMMYFUNCTION("""COMPUTED_VALUE"""),"Move")</f>
        <v>Move</v>
      </c>
      <c r="F928" s="49">
        <f ca="1">IFERROR(__xludf.DUMMYFUNCTION("""COMPUTED_VALUE"""),100000)</f>
        <v>100000</v>
      </c>
      <c r="G928" s="50" t="str">
        <f ca="1">IFERROR(__xludf.DUMMYFUNCTION("""COMPUTED_VALUE"""),"Zela")</f>
        <v>Zela</v>
      </c>
      <c r="H928" s="51">
        <f t="shared" ca="1" si="0"/>
        <v>46174</v>
      </c>
      <c r="I928" s="52" t="e">
        <f ca="1">SUMIFS(OUT!$F$2:$F$11000,OUT!$H$2:$H$11000,H928,OUT!$D$2:$D$101007,"In")</f>
        <v>#VALUE!</v>
      </c>
      <c r="J928" s="52">
        <f ca="1">SUMIFS(OUT!$F$2:$F$11000,OUT!$H$2:$H$11000,H928,OUT!$D$2:$D$11000,"Out")</f>
        <v>9155672</v>
      </c>
      <c r="K928" s="52">
        <f ca="1">SUMIFS(OUT!$F$2:$F$11000,OUT!$H$2:$H$11000,H928,OUT!$D$2:$D$11000,"Out",OUT!$E$2:$E$11000,"Fix")</f>
        <v>3084727</v>
      </c>
      <c r="L928" s="52">
        <f ca="1">SUMIFS(OUT!$F$2:$F$11000,OUT!$H$2:$H$11000,H928,OUT!$D$2:$D$11000,"Out",OUT!$E$2:$E$11000,"Bathroom")</f>
        <v>37500</v>
      </c>
      <c r="M928" s="52">
        <f ca="1">SUMIFS(OUT!$F$2:$F$11000,OUT!$H$2:$H$11000,H928,OUT!$D$2:$D$11000,"Out",OUT!$E$2:$E$11000,"Alfa")</f>
        <v>317864</v>
      </c>
      <c r="N928" s="52" t="e">
        <f ca="1">SUMIFS(OUT!$F$2:$F$11000,OUT!$H$2:$H$101007,H928,OUT!$D$2:$D$11000,"Out",OUT!$E$2:$E$11000,"Jajan")</f>
        <v>#VALUE!</v>
      </c>
      <c r="O928" s="52">
        <f ca="1">SUMIFS(OUT!$F$2:$F$11000,OUT!$H$2:$H$11000,H928,OUT!$D$2:$D$11000,"Out",OUT!$E$2:$E$11000,"Kitchen")</f>
        <v>985700</v>
      </c>
      <c r="P928" s="52">
        <f ca="1">SUMIFS(OUT!$F$2:$F$11000,OUT!$H$2:$H$11000,H928,OUT!$D$2:$D$11000,"Out",OUT!$E$2:$E$11000,"Loandry")</f>
        <v>21500</v>
      </c>
      <c r="Q928" s="52">
        <f ca="1">SUMIFS(OUT!$F$2:$F$11000,OUT!$H$2:$H$11000,H928,OUT!$D$2:$D$11000,"Out",OUT!$E$2:$E$11000,"Mio")</f>
        <v>265000</v>
      </c>
      <c r="R928" s="52">
        <f ca="1">SUMIFS(OUT!$F$2:$F$11000,OUT!$H$2:$H$11000,H928,OUT!$D$2:$D$11000,"Out",OUT!$E$2:$E$11000,"Sedekah")</f>
        <v>5000</v>
      </c>
      <c r="S928" s="52">
        <f ca="1">SUMIFS(OUT!$F$2:$F$11000,OUT!$H$2:$H$11000,H928,OUT!$D$2:$D$11000,"Out",OUT!$E$2:$E$11000,"Zela")</f>
        <v>33400</v>
      </c>
      <c r="T928" s="52">
        <f ca="1">SUMIFS(OUT!$F$2:$F$11000,OUT!$H$2:$H$11000,H928,OUT!$D$2:$D$11000,"Out",OUT!$E$2:$E$11000,"Iqbal")</f>
        <v>232194</v>
      </c>
    </row>
    <row r="929" spans="1:20" x14ac:dyDescent="0.2">
      <c r="A929" s="48">
        <f ca="1">IFERROR(__xludf.DUMMYFUNCTION("""COMPUTED_VALUE"""),46182)</f>
        <v>46182</v>
      </c>
      <c r="B929" s="4" t="str">
        <f ca="1">IFERROR(__xludf.DUMMYFUNCTION("""COMPUTED_VALUE"""),"Nasi+ayam")</f>
        <v>Nasi+ayam</v>
      </c>
      <c r="C929" s="4" t="str">
        <f ca="1">IFERROR(__xludf.DUMMYFUNCTION("""COMPUTED_VALUE"""),"Cash")</f>
        <v>Cash</v>
      </c>
      <c r="D929" s="4" t="str">
        <f ca="1">IFERROR(__xludf.DUMMYFUNCTION("""COMPUTED_VALUE"""),"Out")</f>
        <v>Out</v>
      </c>
      <c r="E929" s="4" t="str">
        <f ca="1">IFERROR(__xludf.DUMMYFUNCTION("""COMPUTED_VALUE"""),"Kitchen")</f>
        <v>Kitchen</v>
      </c>
      <c r="F929" s="49">
        <f ca="1">IFERROR(__xludf.DUMMYFUNCTION("""COMPUTED_VALUE"""),13000)</f>
        <v>13000</v>
      </c>
      <c r="G929" s="50" t="str">
        <f ca="1">IFERROR(__xludf.DUMMYFUNCTION("""COMPUTED_VALUE"""),"Zela")</f>
        <v>Zela</v>
      </c>
      <c r="H929" s="51">
        <f t="shared" ca="1" si="0"/>
        <v>46174</v>
      </c>
      <c r="I929" s="52" t="e">
        <f ca="1">SUMIFS(OUT!$F$2:$F$11000,OUT!$H$2:$H$11000,H929,OUT!$D$2:$D$101007,"In")</f>
        <v>#VALUE!</v>
      </c>
      <c r="J929" s="52">
        <f ca="1">SUMIFS(OUT!$F$2:$F$11000,OUT!$H$2:$H$11000,H929,OUT!$D$2:$D$11000,"Out")</f>
        <v>9155672</v>
      </c>
      <c r="K929" s="52">
        <f ca="1">SUMIFS(OUT!$F$2:$F$11000,OUT!$H$2:$H$11000,H929,OUT!$D$2:$D$11000,"Out",OUT!$E$2:$E$11000,"Fix")</f>
        <v>3084727</v>
      </c>
      <c r="L929" s="52">
        <f ca="1">SUMIFS(OUT!$F$2:$F$11000,OUT!$H$2:$H$11000,H929,OUT!$D$2:$D$11000,"Out",OUT!$E$2:$E$11000,"Bathroom")</f>
        <v>37500</v>
      </c>
      <c r="M929" s="52">
        <f ca="1">SUMIFS(OUT!$F$2:$F$11000,OUT!$H$2:$H$11000,H929,OUT!$D$2:$D$11000,"Out",OUT!$E$2:$E$11000,"Alfa")</f>
        <v>317864</v>
      </c>
      <c r="N929" s="52" t="e">
        <f ca="1">SUMIFS(OUT!$F$2:$F$11000,OUT!$H$2:$H$101007,H929,OUT!$D$2:$D$11000,"Out",OUT!$E$2:$E$11000,"Jajan")</f>
        <v>#VALUE!</v>
      </c>
      <c r="O929" s="52">
        <f ca="1">SUMIFS(OUT!$F$2:$F$11000,OUT!$H$2:$H$11000,H929,OUT!$D$2:$D$11000,"Out",OUT!$E$2:$E$11000,"Kitchen")</f>
        <v>985700</v>
      </c>
      <c r="P929" s="52">
        <f ca="1">SUMIFS(OUT!$F$2:$F$11000,OUT!$H$2:$H$11000,H929,OUT!$D$2:$D$11000,"Out",OUT!$E$2:$E$11000,"Loandry")</f>
        <v>21500</v>
      </c>
      <c r="Q929" s="52">
        <f ca="1">SUMIFS(OUT!$F$2:$F$11000,OUT!$H$2:$H$11000,H929,OUT!$D$2:$D$11000,"Out",OUT!$E$2:$E$11000,"Mio")</f>
        <v>265000</v>
      </c>
      <c r="R929" s="52">
        <f ca="1">SUMIFS(OUT!$F$2:$F$11000,OUT!$H$2:$H$11000,H929,OUT!$D$2:$D$11000,"Out",OUT!$E$2:$E$11000,"Sedekah")</f>
        <v>5000</v>
      </c>
      <c r="S929" s="52">
        <f ca="1">SUMIFS(OUT!$F$2:$F$11000,OUT!$H$2:$H$11000,H929,OUT!$D$2:$D$11000,"Out",OUT!$E$2:$E$11000,"Zela")</f>
        <v>33400</v>
      </c>
      <c r="T929" s="52">
        <f ca="1">SUMIFS(OUT!$F$2:$F$11000,OUT!$H$2:$H$11000,H929,OUT!$D$2:$D$11000,"Out",OUT!$E$2:$E$11000,"Iqbal")</f>
        <v>232194</v>
      </c>
    </row>
    <row r="930" spans="1:20" x14ac:dyDescent="0.2">
      <c r="A930" s="48">
        <f ca="1">IFERROR(__xludf.DUMMYFUNCTION("""COMPUTED_VALUE"""),46182)</f>
        <v>46182</v>
      </c>
      <c r="B930" s="4" t="str">
        <f ca="1">IFERROR(__xludf.DUMMYFUNCTION("""COMPUTED_VALUE"""),"Teh Telor ")</f>
        <v xml:space="preserve">Teh Telor </v>
      </c>
      <c r="C930" s="4" t="str">
        <f ca="1">IFERROR(__xludf.DUMMYFUNCTION("""COMPUTED_VALUE"""),"Cash")</f>
        <v>Cash</v>
      </c>
      <c r="D930" s="4" t="str">
        <f ca="1">IFERROR(__xludf.DUMMYFUNCTION("""COMPUTED_VALUE"""),"Out")</f>
        <v>Out</v>
      </c>
      <c r="E930" s="4" t="str">
        <f ca="1">IFERROR(__xludf.DUMMYFUNCTION("""COMPUTED_VALUE"""),"Jajan")</f>
        <v>Jajan</v>
      </c>
      <c r="F930" s="49">
        <f ca="1">IFERROR(__xludf.DUMMYFUNCTION("""COMPUTED_VALUE"""),13000)</f>
        <v>13000</v>
      </c>
      <c r="G930" s="50" t="str">
        <f ca="1">IFERROR(__xludf.DUMMYFUNCTION("""COMPUTED_VALUE"""),"Zela")</f>
        <v>Zela</v>
      </c>
      <c r="H930" s="51">
        <f t="shared" ca="1" si="0"/>
        <v>46174</v>
      </c>
      <c r="I930" s="52" t="e">
        <f ca="1">SUMIFS(OUT!$F$2:$F$11000,OUT!$H$2:$H$11000,H930,OUT!$D$2:$D$101007,"In")</f>
        <v>#VALUE!</v>
      </c>
      <c r="J930" s="52">
        <f ca="1">SUMIFS(OUT!$F$2:$F$11000,OUT!$H$2:$H$11000,H930,OUT!$D$2:$D$11000,"Out")</f>
        <v>9155672</v>
      </c>
      <c r="K930" s="52">
        <f ca="1">SUMIFS(OUT!$F$2:$F$11000,OUT!$H$2:$H$11000,H930,OUT!$D$2:$D$11000,"Out",OUT!$E$2:$E$11000,"Fix")</f>
        <v>3084727</v>
      </c>
      <c r="L930" s="52">
        <f ca="1">SUMIFS(OUT!$F$2:$F$11000,OUT!$H$2:$H$11000,H930,OUT!$D$2:$D$11000,"Out",OUT!$E$2:$E$11000,"Bathroom")</f>
        <v>37500</v>
      </c>
      <c r="M930" s="52">
        <f ca="1">SUMIFS(OUT!$F$2:$F$11000,OUT!$H$2:$H$11000,H930,OUT!$D$2:$D$11000,"Out",OUT!$E$2:$E$11000,"Alfa")</f>
        <v>317864</v>
      </c>
      <c r="N930" s="52" t="e">
        <f ca="1">SUMIFS(OUT!$F$2:$F$11000,OUT!$H$2:$H$101007,H930,OUT!$D$2:$D$11000,"Out",OUT!$E$2:$E$11000,"Jajan")</f>
        <v>#VALUE!</v>
      </c>
      <c r="O930" s="52">
        <f ca="1">SUMIFS(OUT!$F$2:$F$11000,OUT!$H$2:$H$11000,H930,OUT!$D$2:$D$11000,"Out",OUT!$E$2:$E$11000,"Kitchen")</f>
        <v>985700</v>
      </c>
      <c r="P930" s="52">
        <f ca="1">SUMIFS(OUT!$F$2:$F$11000,OUT!$H$2:$H$11000,H930,OUT!$D$2:$D$11000,"Out",OUT!$E$2:$E$11000,"Loandry")</f>
        <v>21500</v>
      </c>
      <c r="Q930" s="52">
        <f ca="1">SUMIFS(OUT!$F$2:$F$11000,OUT!$H$2:$H$11000,H930,OUT!$D$2:$D$11000,"Out",OUT!$E$2:$E$11000,"Mio")</f>
        <v>265000</v>
      </c>
      <c r="R930" s="52">
        <f ca="1">SUMIFS(OUT!$F$2:$F$11000,OUT!$H$2:$H$11000,H930,OUT!$D$2:$D$11000,"Out",OUT!$E$2:$E$11000,"Sedekah")</f>
        <v>5000</v>
      </c>
      <c r="S930" s="52">
        <f ca="1">SUMIFS(OUT!$F$2:$F$11000,OUT!$H$2:$H$11000,H930,OUT!$D$2:$D$11000,"Out",OUT!$E$2:$E$11000,"Zela")</f>
        <v>33400</v>
      </c>
      <c r="T930" s="52">
        <f ca="1">SUMIFS(OUT!$F$2:$F$11000,OUT!$H$2:$H$11000,H930,OUT!$D$2:$D$11000,"Out",OUT!$E$2:$E$11000,"Iqbal")</f>
        <v>232194</v>
      </c>
    </row>
    <row r="931" spans="1:20" x14ac:dyDescent="0.2">
      <c r="A931" s="48">
        <f ca="1">IFERROR(__xludf.DUMMYFUNCTION("""COMPUTED_VALUE"""),46183)</f>
        <v>46183</v>
      </c>
      <c r="B931" s="4" t="str">
        <f ca="1">IFERROR(__xludf.DUMMYFUNCTION("""COMPUTED_VALUE"""),"Hit Listrik ")</f>
        <v xml:space="preserve">Hit Listrik </v>
      </c>
      <c r="C931" s="4" t="str">
        <f ca="1">IFERROR(__xludf.DUMMYFUNCTION("""COMPUTED_VALUE"""),"ATM")</f>
        <v>ATM</v>
      </c>
      <c r="D931" s="4" t="str">
        <f ca="1">IFERROR(__xludf.DUMMYFUNCTION("""COMPUTED_VALUE"""),"Out")</f>
        <v>Out</v>
      </c>
      <c r="E931" s="4" t="str">
        <f ca="1">IFERROR(__xludf.DUMMYFUNCTION("""COMPUTED_VALUE"""),"Fix")</f>
        <v>Fix</v>
      </c>
      <c r="F931" s="49">
        <f ca="1">IFERROR(__xludf.DUMMYFUNCTION("""COMPUTED_VALUE"""),9250)</f>
        <v>9250</v>
      </c>
      <c r="G931" s="50" t="str">
        <f ca="1">IFERROR(__xludf.DUMMYFUNCTION("""COMPUTED_VALUE"""),"Zela")</f>
        <v>Zela</v>
      </c>
      <c r="H931" s="51">
        <f t="shared" ca="1" si="0"/>
        <v>46174</v>
      </c>
      <c r="I931" s="52" t="e">
        <f ca="1">SUMIFS(OUT!$F$2:$F$11000,OUT!$H$2:$H$11000,H931,OUT!$D$2:$D$101007,"In")</f>
        <v>#VALUE!</v>
      </c>
      <c r="J931" s="52">
        <f ca="1">SUMIFS(OUT!$F$2:$F$11000,OUT!$H$2:$H$11000,H931,OUT!$D$2:$D$11000,"Out")</f>
        <v>9155672</v>
      </c>
      <c r="K931" s="52">
        <f ca="1">SUMIFS(OUT!$F$2:$F$11000,OUT!$H$2:$H$11000,H931,OUT!$D$2:$D$11000,"Out",OUT!$E$2:$E$11000,"Fix")</f>
        <v>3084727</v>
      </c>
      <c r="L931" s="52">
        <f ca="1">SUMIFS(OUT!$F$2:$F$11000,OUT!$H$2:$H$11000,H931,OUT!$D$2:$D$11000,"Out",OUT!$E$2:$E$11000,"Bathroom")</f>
        <v>37500</v>
      </c>
      <c r="M931" s="52">
        <f ca="1">SUMIFS(OUT!$F$2:$F$11000,OUT!$H$2:$H$11000,H931,OUT!$D$2:$D$11000,"Out",OUT!$E$2:$E$11000,"Alfa")</f>
        <v>317864</v>
      </c>
      <c r="N931" s="52" t="e">
        <f ca="1">SUMIFS(OUT!$F$2:$F$11000,OUT!$H$2:$H$101007,H931,OUT!$D$2:$D$11000,"Out",OUT!$E$2:$E$11000,"Jajan")</f>
        <v>#VALUE!</v>
      </c>
      <c r="O931" s="52">
        <f ca="1">SUMIFS(OUT!$F$2:$F$11000,OUT!$H$2:$H$11000,H931,OUT!$D$2:$D$11000,"Out",OUT!$E$2:$E$11000,"Kitchen")</f>
        <v>985700</v>
      </c>
      <c r="P931" s="52">
        <f ca="1">SUMIFS(OUT!$F$2:$F$11000,OUT!$H$2:$H$11000,H931,OUT!$D$2:$D$11000,"Out",OUT!$E$2:$E$11000,"Loandry")</f>
        <v>21500</v>
      </c>
      <c r="Q931" s="52">
        <f ca="1">SUMIFS(OUT!$F$2:$F$11000,OUT!$H$2:$H$11000,H931,OUT!$D$2:$D$11000,"Out",OUT!$E$2:$E$11000,"Mio")</f>
        <v>265000</v>
      </c>
      <c r="R931" s="52">
        <f ca="1">SUMIFS(OUT!$F$2:$F$11000,OUT!$H$2:$H$11000,H931,OUT!$D$2:$D$11000,"Out",OUT!$E$2:$E$11000,"Sedekah")</f>
        <v>5000</v>
      </c>
      <c r="S931" s="52">
        <f ca="1">SUMIFS(OUT!$F$2:$F$11000,OUT!$H$2:$H$11000,H931,OUT!$D$2:$D$11000,"Out",OUT!$E$2:$E$11000,"Zela")</f>
        <v>33400</v>
      </c>
      <c r="T931" s="52">
        <f ca="1">SUMIFS(OUT!$F$2:$F$11000,OUT!$H$2:$H$11000,H931,OUT!$D$2:$D$11000,"Out",OUT!$E$2:$E$11000,"Iqbal")</f>
        <v>232194</v>
      </c>
    </row>
    <row r="932" spans="1:20" x14ac:dyDescent="0.2">
      <c r="A932" s="48">
        <f ca="1">IFERROR(__xludf.DUMMYFUNCTION("""COMPUTED_VALUE"""),46183)</f>
        <v>46183</v>
      </c>
      <c r="B932" s="4" t="str">
        <f ca="1">IFERROR(__xludf.DUMMYFUNCTION("""COMPUTED_VALUE"""),"jajan alfa")</f>
        <v>jajan alfa</v>
      </c>
      <c r="C932" s="4" t="str">
        <f ca="1">IFERROR(__xludf.DUMMYFUNCTION("""COMPUTED_VALUE"""),"Cash")</f>
        <v>Cash</v>
      </c>
      <c r="D932" s="4" t="str">
        <f ca="1">IFERROR(__xludf.DUMMYFUNCTION("""COMPUTED_VALUE"""),"Out")</f>
        <v>Out</v>
      </c>
      <c r="E932" s="4" t="str">
        <f ca="1">IFERROR(__xludf.DUMMYFUNCTION("""COMPUTED_VALUE"""),"Jajan")</f>
        <v>Jajan</v>
      </c>
      <c r="F932" s="49">
        <f ca="1">IFERROR(__xludf.DUMMYFUNCTION("""COMPUTED_VALUE"""),4000)</f>
        <v>4000</v>
      </c>
      <c r="G932" s="50" t="str">
        <f ca="1">IFERROR(__xludf.DUMMYFUNCTION("""COMPUTED_VALUE"""),"Zela")</f>
        <v>Zela</v>
      </c>
      <c r="H932" s="51">
        <f t="shared" ca="1" si="0"/>
        <v>46174</v>
      </c>
      <c r="I932" s="52" t="e">
        <f ca="1">SUMIFS(OUT!$F$2:$F$11000,OUT!$H$2:$H$11000,H932,OUT!$D$2:$D$101007,"In")</f>
        <v>#VALUE!</v>
      </c>
      <c r="J932" s="52">
        <f ca="1">SUMIFS(OUT!$F$2:$F$11000,OUT!$H$2:$H$11000,H932,OUT!$D$2:$D$11000,"Out")</f>
        <v>9155672</v>
      </c>
      <c r="K932" s="52">
        <f ca="1">SUMIFS(OUT!$F$2:$F$11000,OUT!$H$2:$H$11000,H932,OUT!$D$2:$D$11000,"Out",OUT!$E$2:$E$11000,"Fix")</f>
        <v>3084727</v>
      </c>
      <c r="L932" s="52">
        <f ca="1">SUMIFS(OUT!$F$2:$F$11000,OUT!$H$2:$H$11000,H932,OUT!$D$2:$D$11000,"Out",OUT!$E$2:$E$11000,"Bathroom")</f>
        <v>37500</v>
      </c>
      <c r="M932" s="52">
        <f ca="1">SUMIFS(OUT!$F$2:$F$11000,OUT!$H$2:$H$11000,H932,OUT!$D$2:$D$11000,"Out",OUT!$E$2:$E$11000,"Alfa")</f>
        <v>317864</v>
      </c>
      <c r="N932" s="52" t="e">
        <f ca="1">SUMIFS(OUT!$F$2:$F$11000,OUT!$H$2:$H$101007,H932,OUT!$D$2:$D$11000,"Out",OUT!$E$2:$E$11000,"Jajan")</f>
        <v>#VALUE!</v>
      </c>
      <c r="O932" s="52">
        <f ca="1">SUMIFS(OUT!$F$2:$F$11000,OUT!$H$2:$H$11000,H932,OUT!$D$2:$D$11000,"Out",OUT!$E$2:$E$11000,"Kitchen")</f>
        <v>985700</v>
      </c>
      <c r="P932" s="52">
        <f ca="1">SUMIFS(OUT!$F$2:$F$11000,OUT!$H$2:$H$11000,H932,OUT!$D$2:$D$11000,"Out",OUT!$E$2:$E$11000,"Loandry")</f>
        <v>21500</v>
      </c>
      <c r="Q932" s="52">
        <f ca="1">SUMIFS(OUT!$F$2:$F$11000,OUT!$H$2:$H$11000,H932,OUT!$D$2:$D$11000,"Out",OUT!$E$2:$E$11000,"Mio")</f>
        <v>265000</v>
      </c>
      <c r="R932" s="52">
        <f ca="1">SUMIFS(OUT!$F$2:$F$11000,OUT!$H$2:$H$11000,H932,OUT!$D$2:$D$11000,"Out",OUT!$E$2:$E$11000,"Sedekah")</f>
        <v>5000</v>
      </c>
      <c r="S932" s="52">
        <f ca="1">SUMIFS(OUT!$F$2:$F$11000,OUT!$H$2:$H$11000,H932,OUT!$D$2:$D$11000,"Out",OUT!$E$2:$E$11000,"Zela")</f>
        <v>33400</v>
      </c>
      <c r="T932" s="52">
        <f ca="1">SUMIFS(OUT!$F$2:$F$11000,OUT!$H$2:$H$11000,H932,OUT!$D$2:$D$11000,"Out",OUT!$E$2:$E$11000,"Iqbal")</f>
        <v>232194</v>
      </c>
    </row>
    <row r="933" spans="1:20" x14ac:dyDescent="0.2">
      <c r="A933" s="48">
        <f ca="1">IFERROR(__xludf.DUMMYFUNCTION("""COMPUTED_VALUE"""),46183)</f>
        <v>46183</v>
      </c>
      <c r="B933" s="4" t="str">
        <f ca="1">IFERROR(__xludf.DUMMYFUNCTION("""COMPUTED_VALUE"""),"Mi ayam+bakso2")</f>
        <v>Mi ayam+bakso2</v>
      </c>
      <c r="C933" s="4" t="str">
        <f ca="1">IFERROR(__xludf.DUMMYFUNCTION("""COMPUTED_VALUE"""),"Cash")</f>
        <v>Cash</v>
      </c>
      <c r="D933" s="4" t="str">
        <f ca="1">IFERROR(__xludf.DUMMYFUNCTION("""COMPUTED_VALUE"""),"Out")</f>
        <v>Out</v>
      </c>
      <c r="E933" s="4" t="str">
        <f ca="1">IFERROR(__xludf.DUMMYFUNCTION("""COMPUTED_VALUE"""),"Kitchen")</f>
        <v>Kitchen</v>
      </c>
      <c r="F933" s="49">
        <f ca="1">IFERROR(__xludf.DUMMYFUNCTION("""COMPUTED_VALUE"""),45000)</f>
        <v>45000</v>
      </c>
      <c r="G933" s="50" t="str">
        <f ca="1">IFERROR(__xludf.DUMMYFUNCTION("""COMPUTED_VALUE"""),"Zela")</f>
        <v>Zela</v>
      </c>
      <c r="H933" s="51">
        <f t="shared" ca="1" si="0"/>
        <v>46174</v>
      </c>
      <c r="I933" s="52" t="e">
        <f ca="1">SUMIFS(OUT!$F$2:$F$11000,OUT!$H$2:$H$11000,H933,OUT!$D$2:$D$101007,"In")</f>
        <v>#VALUE!</v>
      </c>
      <c r="J933" s="52">
        <f ca="1">SUMIFS(OUT!$F$2:$F$11000,OUT!$H$2:$H$11000,H933,OUT!$D$2:$D$11000,"Out")</f>
        <v>9155672</v>
      </c>
      <c r="K933" s="52">
        <f ca="1">SUMIFS(OUT!$F$2:$F$11000,OUT!$H$2:$H$11000,H933,OUT!$D$2:$D$11000,"Out",OUT!$E$2:$E$11000,"Fix")</f>
        <v>3084727</v>
      </c>
      <c r="L933" s="52">
        <f ca="1">SUMIFS(OUT!$F$2:$F$11000,OUT!$H$2:$H$11000,H933,OUT!$D$2:$D$11000,"Out",OUT!$E$2:$E$11000,"Bathroom")</f>
        <v>37500</v>
      </c>
      <c r="M933" s="52">
        <f ca="1">SUMIFS(OUT!$F$2:$F$11000,OUT!$H$2:$H$11000,H933,OUT!$D$2:$D$11000,"Out",OUT!$E$2:$E$11000,"Alfa")</f>
        <v>317864</v>
      </c>
      <c r="N933" s="52" t="e">
        <f ca="1">SUMIFS(OUT!$F$2:$F$11000,OUT!$H$2:$H$101007,H933,OUT!$D$2:$D$11000,"Out",OUT!$E$2:$E$11000,"Jajan")</f>
        <v>#VALUE!</v>
      </c>
      <c r="O933" s="52">
        <f ca="1">SUMIFS(OUT!$F$2:$F$11000,OUT!$H$2:$H$11000,H933,OUT!$D$2:$D$11000,"Out",OUT!$E$2:$E$11000,"Kitchen")</f>
        <v>985700</v>
      </c>
      <c r="P933" s="52">
        <f ca="1">SUMIFS(OUT!$F$2:$F$11000,OUT!$H$2:$H$11000,H933,OUT!$D$2:$D$11000,"Out",OUT!$E$2:$E$11000,"Loandry")</f>
        <v>21500</v>
      </c>
      <c r="Q933" s="52">
        <f ca="1">SUMIFS(OUT!$F$2:$F$11000,OUT!$H$2:$H$11000,H933,OUT!$D$2:$D$11000,"Out",OUT!$E$2:$E$11000,"Mio")</f>
        <v>265000</v>
      </c>
      <c r="R933" s="52">
        <f ca="1">SUMIFS(OUT!$F$2:$F$11000,OUT!$H$2:$H$11000,H933,OUT!$D$2:$D$11000,"Out",OUT!$E$2:$E$11000,"Sedekah")</f>
        <v>5000</v>
      </c>
      <c r="S933" s="52">
        <f ca="1">SUMIFS(OUT!$F$2:$F$11000,OUT!$H$2:$H$11000,H933,OUT!$D$2:$D$11000,"Out",OUT!$E$2:$E$11000,"Zela")</f>
        <v>33400</v>
      </c>
      <c r="T933" s="52">
        <f ca="1">SUMIFS(OUT!$F$2:$F$11000,OUT!$H$2:$H$11000,H933,OUT!$D$2:$D$11000,"Out",OUT!$E$2:$E$11000,"Iqbal")</f>
        <v>232194</v>
      </c>
    </row>
    <row r="934" spans="1:20" x14ac:dyDescent="0.2">
      <c r="A934" s="48">
        <f ca="1">IFERROR(__xludf.DUMMYFUNCTION("""COMPUTED_VALUE"""),46184)</f>
        <v>46184</v>
      </c>
      <c r="B934" s="4" t="str">
        <f ca="1">IFERROR(__xludf.DUMMYFUNCTION("""COMPUTED_VALUE"""),"tarik Tunai ")</f>
        <v xml:space="preserve">tarik Tunai </v>
      </c>
      <c r="C934" s="4" t="str">
        <f ca="1">IFERROR(__xludf.DUMMYFUNCTION("""COMPUTED_VALUE"""),"ATM")</f>
        <v>ATM</v>
      </c>
      <c r="D934" s="4" t="str">
        <f ca="1">IFERROR(__xludf.DUMMYFUNCTION("""COMPUTED_VALUE"""),"Out")</f>
        <v>Out</v>
      </c>
      <c r="E934" s="4" t="str">
        <f ca="1">IFERROR(__xludf.DUMMYFUNCTION("""COMPUTED_VALUE"""),"Move")</f>
        <v>Move</v>
      </c>
      <c r="F934" s="49">
        <f ca="1">IFERROR(__xludf.DUMMYFUNCTION("""COMPUTED_VALUE"""),100000)</f>
        <v>100000</v>
      </c>
      <c r="G934" s="50" t="str">
        <f ca="1">IFERROR(__xludf.DUMMYFUNCTION("""COMPUTED_VALUE"""),"Zela")</f>
        <v>Zela</v>
      </c>
      <c r="H934" s="51">
        <f t="shared" ca="1" si="0"/>
        <v>46174</v>
      </c>
      <c r="I934" s="52" t="e">
        <f ca="1">SUMIFS(OUT!$F$2:$F$11000,OUT!$H$2:$H$11000,H934,OUT!$D$2:$D$101007,"In")</f>
        <v>#VALUE!</v>
      </c>
      <c r="J934" s="52">
        <f ca="1">SUMIFS(OUT!$F$2:$F$11000,OUT!$H$2:$H$11000,H934,OUT!$D$2:$D$11000,"Out")</f>
        <v>9155672</v>
      </c>
      <c r="K934" s="52">
        <f ca="1">SUMIFS(OUT!$F$2:$F$11000,OUT!$H$2:$H$11000,H934,OUT!$D$2:$D$11000,"Out",OUT!$E$2:$E$11000,"Fix")</f>
        <v>3084727</v>
      </c>
      <c r="L934" s="52">
        <f ca="1">SUMIFS(OUT!$F$2:$F$11000,OUT!$H$2:$H$11000,H934,OUT!$D$2:$D$11000,"Out",OUT!$E$2:$E$11000,"Bathroom")</f>
        <v>37500</v>
      </c>
      <c r="M934" s="52">
        <f ca="1">SUMIFS(OUT!$F$2:$F$11000,OUT!$H$2:$H$11000,H934,OUT!$D$2:$D$11000,"Out",OUT!$E$2:$E$11000,"Alfa")</f>
        <v>317864</v>
      </c>
      <c r="N934" s="52" t="e">
        <f ca="1">SUMIFS(OUT!$F$2:$F$11000,OUT!$H$2:$H$101007,H934,OUT!$D$2:$D$11000,"Out",OUT!$E$2:$E$11000,"Jajan")</f>
        <v>#VALUE!</v>
      </c>
      <c r="O934" s="52">
        <f ca="1">SUMIFS(OUT!$F$2:$F$11000,OUT!$H$2:$H$11000,H934,OUT!$D$2:$D$11000,"Out",OUT!$E$2:$E$11000,"Kitchen")</f>
        <v>985700</v>
      </c>
      <c r="P934" s="52">
        <f ca="1">SUMIFS(OUT!$F$2:$F$11000,OUT!$H$2:$H$11000,H934,OUT!$D$2:$D$11000,"Out",OUT!$E$2:$E$11000,"Loandry")</f>
        <v>21500</v>
      </c>
      <c r="Q934" s="52">
        <f ca="1">SUMIFS(OUT!$F$2:$F$11000,OUT!$H$2:$H$11000,H934,OUT!$D$2:$D$11000,"Out",OUT!$E$2:$E$11000,"Mio")</f>
        <v>265000</v>
      </c>
      <c r="R934" s="52">
        <f ca="1">SUMIFS(OUT!$F$2:$F$11000,OUT!$H$2:$H$11000,H934,OUT!$D$2:$D$11000,"Out",OUT!$E$2:$E$11000,"Sedekah")</f>
        <v>5000</v>
      </c>
      <c r="S934" s="52">
        <f ca="1">SUMIFS(OUT!$F$2:$F$11000,OUT!$H$2:$H$11000,H934,OUT!$D$2:$D$11000,"Out",OUT!$E$2:$E$11000,"Zela")</f>
        <v>33400</v>
      </c>
      <c r="T934" s="52">
        <f ca="1">SUMIFS(OUT!$F$2:$F$11000,OUT!$H$2:$H$11000,H934,OUT!$D$2:$D$11000,"Out",OUT!$E$2:$E$11000,"Iqbal")</f>
        <v>232194</v>
      </c>
    </row>
    <row r="935" spans="1:20" x14ac:dyDescent="0.2">
      <c r="A935" s="48">
        <f ca="1">IFERROR(__xludf.DUMMYFUNCTION("""COMPUTED_VALUE"""),46184)</f>
        <v>46184</v>
      </c>
      <c r="B935" s="4" t="str">
        <f ca="1">IFERROR(__xludf.DUMMYFUNCTION("""COMPUTED_VALUE"""),"Terima Tunai ")</f>
        <v xml:space="preserve">Terima Tunai </v>
      </c>
      <c r="C935" s="4" t="str">
        <f ca="1">IFERROR(__xludf.DUMMYFUNCTION("""COMPUTED_VALUE"""),"Cash")</f>
        <v>Cash</v>
      </c>
      <c r="D935" s="4" t="str">
        <f ca="1">IFERROR(__xludf.DUMMYFUNCTION("""COMPUTED_VALUE"""),"In")</f>
        <v>In</v>
      </c>
      <c r="E935" s="4" t="str">
        <f ca="1">IFERROR(__xludf.DUMMYFUNCTION("""COMPUTED_VALUE"""),"Move")</f>
        <v>Move</v>
      </c>
      <c r="F935" s="49">
        <f ca="1">IFERROR(__xludf.DUMMYFUNCTION("""COMPUTED_VALUE"""),100000)</f>
        <v>100000</v>
      </c>
      <c r="G935" s="50" t="str">
        <f ca="1">IFERROR(__xludf.DUMMYFUNCTION("""COMPUTED_VALUE"""),"Zela")</f>
        <v>Zela</v>
      </c>
      <c r="H935" s="51">
        <f t="shared" ca="1" si="0"/>
        <v>46174</v>
      </c>
      <c r="I935" s="52" t="e">
        <f ca="1">SUMIFS(OUT!$F$2:$F$11000,OUT!$H$2:$H$11000,H935,OUT!$D$2:$D$101007,"In")</f>
        <v>#VALUE!</v>
      </c>
      <c r="J935" s="52">
        <f ca="1">SUMIFS(OUT!$F$2:$F$11000,OUT!$H$2:$H$11000,H935,OUT!$D$2:$D$11000,"Out")</f>
        <v>9155672</v>
      </c>
      <c r="K935" s="52">
        <f ca="1">SUMIFS(OUT!$F$2:$F$11000,OUT!$H$2:$H$11000,H935,OUT!$D$2:$D$11000,"Out",OUT!$E$2:$E$11000,"Fix")</f>
        <v>3084727</v>
      </c>
      <c r="L935" s="52">
        <f ca="1">SUMIFS(OUT!$F$2:$F$11000,OUT!$H$2:$H$11000,H935,OUT!$D$2:$D$11000,"Out",OUT!$E$2:$E$11000,"Bathroom")</f>
        <v>37500</v>
      </c>
      <c r="M935" s="52">
        <f ca="1">SUMIFS(OUT!$F$2:$F$11000,OUT!$H$2:$H$11000,H935,OUT!$D$2:$D$11000,"Out",OUT!$E$2:$E$11000,"Alfa")</f>
        <v>317864</v>
      </c>
      <c r="N935" s="52" t="e">
        <f ca="1">SUMIFS(OUT!$F$2:$F$11000,OUT!$H$2:$H$101007,H935,OUT!$D$2:$D$11000,"Out",OUT!$E$2:$E$11000,"Jajan")</f>
        <v>#VALUE!</v>
      </c>
      <c r="O935" s="52">
        <f ca="1">SUMIFS(OUT!$F$2:$F$11000,OUT!$H$2:$H$11000,H935,OUT!$D$2:$D$11000,"Out",OUT!$E$2:$E$11000,"Kitchen")</f>
        <v>985700</v>
      </c>
      <c r="P935" s="52">
        <f ca="1">SUMIFS(OUT!$F$2:$F$11000,OUT!$H$2:$H$11000,H935,OUT!$D$2:$D$11000,"Out",OUT!$E$2:$E$11000,"Loandry")</f>
        <v>21500</v>
      </c>
      <c r="Q935" s="52">
        <f ca="1">SUMIFS(OUT!$F$2:$F$11000,OUT!$H$2:$H$11000,H935,OUT!$D$2:$D$11000,"Out",OUT!$E$2:$E$11000,"Mio")</f>
        <v>265000</v>
      </c>
      <c r="R935" s="52">
        <f ca="1">SUMIFS(OUT!$F$2:$F$11000,OUT!$H$2:$H$11000,H935,OUT!$D$2:$D$11000,"Out",OUT!$E$2:$E$11000,"Sedekah")</f>
        <v>5000</v>
      </c>
      <c r="S935" s="52">
        <f ca="1">SUMIFS(OUT!$F$2:$F$11000,OUT!$H$2:$H$11000,H935,OUT!$D$2:$D$11000,"Out",OUT!$E$2:$E$11000,"Zela")</f>
        <v>33400</v>
      </c>
      <c r="T935" s="52">
        <f ca="1">SUMIFS(OUT!$F$2:$F$11000,OUT!$H$2:$H$11000,H935,OUT!$D$2:$D$11000,"Out",OUT!$E$2:$E$11000,"Iqbal")</f>
        <v>232194</v>
      </c>
    </row>
    <row r="936" spans="1:20" x14ac:dyDescent="0.2">
      <c r="A936" s="48">
        <f ca="1">IFERROR(__xludf.DUMMYFUNCTION("""COMPUTED_VALUE"""),46184)</f>
        <v>46184</v>
      </c>
      <c r="B936" s="4" t="str">
        <f ca="1">IFERROR(__xludf.DUMMYFUNCTION("""COMPUTED_VALUE"""),"Tomat")</f>
        <v>Tomat</v>
      </c>
      <c r="C936" s="4" t="str">
        <f ca="1">IFERROR(__xludf.DUMMYFUNCTION("""COMPUTED_VALUE"""),"Cash")</f>
        <v>Cash</v>
      </c>
      <c r="D936" s="4" t="str">
        <f ca="1">IFERROR(__xludf.DUMMYFUNCTION("""COMPUTED_VALUE"""),"Out")</f>
        <v>Out</v>
      </c>
      <c r="E936" s="4" t="str">
        <f ca="1">IFERROR(__xludf.DUMMYFUNCTION("""COMPUTED_VALUE"""),"Kitchen")</f>
        <v>Kitchen</v>
      </c>
      <c r="F936" s="49">
        <f ca="1">IFERROR(__xludf.DUMMYFUNCTION("""COMPUTED_VALUE"""),3000)</f>
        <v>3000</v>
      </c>
      <c r="G936" s="50" t="str">
        <f ca="1">IFERROR(__xludf.DUMMYFUNCTION("""COMPUTED_VALUE"""),"Zela")</f>
        <v>Zela</v>
      </c>
      <c r="H936" s="51">
        <f t="shared" ca="1" si="0"/>
        <v>46174</v>
      </c>
      <c r="I936" s="52" t="e">
        <f ca="1">SUMIFS(OUT!$F$2:$F$11000,OUT!$H$2:$H$11000,H936,OUT!$D$2:$D$101007,"In")</f>
        <v>#VALUE!</v>
      </c>
      <c r="J936" s="52">
        <f ca="1">SUMIFS(OUT!$F$2:$F$11000,OUT!$H$2:$H$11000,H936,OUT!$D$2:$D$11000,"Out")</f>
        <v>9155672</v>
      </c>
      <c r="K936" s="52">
        <f ca="1">SUMIFS(OUT!$F$2:$F$11000,OUT!$H$2:$H$11000,H936,OUT!$D$2:$D$11000,"Out",OUT!$E$2:$E$11000,"Fix")</f>
        <v>3084727</v>
      </c>
      <c r="L936" s="52">
        <f ca="1">SUMIFS(OUT!$F$2:$F$11000,OUT!$H$2:$H$11000,H936,OUT!$D$2:$D$11000,"Out",OUT!$E$2:$E$11000,"Bathroom")</f>
        <v>37500</v>
      </c>
      <c r="M936" s="52">
        <f ca="1">SUMIFS(OUT!$F$2:$F$11000,OUT!$H$2:$H$11000,H936,OUT!$D$2:$D$11000,"Out",OUT!$E$2:$E$11000,"Alfa")</f>
        <v>317864</v>
      </c>
      <c r="N936" s="52" t="e">
        <f ca="1">SUMIFS(OUT!$F$2:$F$11000,OUT!$H$2:$H$101007,H936,OUT!$D$2:$D$11000,"Out",OUT!$E$2:$E$11000,"Jajan")</f>
        <v>#VALUE!</v>
      </c>
      <c r="O936" s="52">
        <f ca="1">SUMIFS(OUT!$F$2:$F$11000,OUT!$H$2:$H$11000,H936,OUT!$D$2:$D$11000,"Out",OUT!$E$2:$E$11000,"Kitchen")</f>
        <v>985700</v>
      </c>
      <c r="P936" s="52">
        <f ca="1">SUMIFS(OUT!$F$2:$F$11000,OUT!$H$2:$H$11000,H936,OUT!$D$2:$D$11000,"Out",OUT!$E$2:$E$11000,"Loandry")</f>
        <v>21500</v>
      </c>
      <c r="Q936" s="52">
        <f ca="1">SUMIFS(OUT!$F$2:$F$11000,OUT!$H$2:$H$11000,H936,OUT!$D$2:$D$11000,"Out",OUT!$E$2:$E$11000,"Mio")</f>
        <v>265000</v>
      </c>
      <c r="R936" s="52">
        <f ca="1">SUMIFS(OUT!$F$2:$F$11000,OUT!$H$2:$H$11000,H936,OUT!$D$2:$D$11000,"Out",OUT!$E$2:$E$11000,"Sedekah")</f>
        <v>5000</v>
      </c>
      <c r="S936" s="52">
        <f ca="1">SUMIFS(OUT!$F$2:$F$11000,OUT!$H$2:$H$11000,H936,OUT!$D$2:$D$11000,"Out",OUT!$E$2:$E$11000,"Zela")</f>
        <v>33400</v>
      </c>
      <c r="T936" s="52">
        <f ca="1">SUMIFS(OUT!$F$2:$F$11000,OUT!$H$2:$H$11000,H936,OUT!$D$2:$D$11000,"Out",OUT!$E$2:$E$11000,"Iqbal")</f>
        <v>232194</v>
      </c>
    </row>
    <row r="937" spans="1:20" x14ac:dyDescent="0.2">
      <c r="A937" s="48">
        <f ca="1">IFERROR(__xludf.DUMMYFUNCTION("""COMPUTED_VALUE"""),46184)</f>
        <v>46184</v>
      </c>
      <c r="B937" s="4" t="str">
        <f ca="1">IFERROR(__xludf.DUMMYFUNCTION("""COMPUTED_VALUE"""),"Bensin mOtor Pertalite")</f>
        <v>Bensin mOtor Pertalite</v>
      </c>
      <c r="C937" s="4" t="str">
        <f ca="1">IFERROR(__xludf.DUMMYFUNCTION("""COMPUTED_VALUE"""),"Cash")</f>
        <v>Cash</v>
      </c>
      <c r="D937" s="4" t="str">
        <f ca="1">IFERROR(__xludf.DUMMYFUNCTION("""COMPUTED_VALUE"""),"Out")</f>
        <v>Out</v>
      </c>
      <c r="E937" s="4" t="str">
        <f ca="1">IFERROR(__xludf.DUMMYFUNCTION("""COMPUTED_VALUE"""),"Mio")</f>
        <v>Mio</v>
      </c>
      <c r="F937" s="49">
        <f ca="1">IFERROR(__xludf.DUMMYFUNCTION("""COMPUTED_VALUE"""),22000)</f>
        <v>22000</v>
      </c>
      <c r="G937" s="50" t="str">
        <f ca="1">IFERROR(__xludf.DUMMYFUNCTION("""COMPUTED_VALUE"""),"Zela")</f>
        <v>Zela</v>
      </c>
      <c r="H937" s="51">
        <f t="shared" ca="1" si="0"/>
        <v>46174</v>
      </c>
      <c r="I937" s="52" t="e">
        <f ca="1">SUMIFS(OUT!$F$2:$F$11000,OUT!$H$2:$H$11000,H937,OUT!$D$2:$D$101007,"In")</f>
        <v>#VALUE!</v>
      </c>
      <c r="J937" s="52">
        <f ca="1">SUMIFS(OUT!$F$2:$F$11000,OUT!$H$2:$H$11000,H937,OUT!$D$2:$D$11000,"Out")</f>
        <v>9155672</v>
      </c>
      <c r="K937" s="52">
        <f ca="1">SUMIFS(OUT!$F$2:$F$11000,OUT!$H$2:$H$11000,H937,OUT!$D$2:$D$11000,"Out",OUT!$E$2:$E$11000,"Fix")</f>
        <v>3084727</v>
      </c>
      <c r="L937" s="52">
        <f ca="1">SUMIFS(OUT!$F$2:$F$11000,OUT!$H$2:$H$11000,H937,OUT!$D$2:$D$11000,"Out",OUT!$E$2:$E$11000,"Bathroom")</f>
        <v>37500</v>
      </c>
      <c r="M937" s="52">
        <f ca="1">SUMIFS(OUT!$F$2:$F$11000,OUT!$H$2:$H$11000,H937,OUT!$D$2:$D$11000,"Out",OUT!$E$2:$E$11000,"Alfa")</f>
        <v>317864</v>
      </c>
      <c r="N937" s="52" t="e">
        <f ca="1">SUMIFS(OUT!$F$2:$F$11000,OUT!$H$2:$H$101007,H937,OUT!$D$2:$D$11000,"Out",OUT!$E$2:$E$11000,"Jajan")</f>
        <v>#VALUE!</v>
      </c>
      <c r="O937" s="52">
        <f ca="1">SUMIFS(OUT!$F$2:$F$11000,OUT!$H$2:$H$11000,H937,OUT!$D$2:$D$11000,"Out",OUT!$E$2:$E$11000,"Kitchen")</f>
        <v>985700</v>
      </c>
      <c r="P937" s="52">
        <f ca="1">SUMIFS(OUT!$F$2:$F$11000,OUT!$H$2:$H$11000,H937,OUT!$D$2:$D$11000,"Out",OUT!$E$2:$E$11000,"Loandry")</f>
        <v>21500</v>
      </c>
      <c r="Q937" s="52">
        <f ca="1">SUMIFS(OUT!$F$2:$F$11000,OUT!$H$2:$H$11000,H937,OUT!$D$2:$D$11000,"Out",OUT!$E$2:$E$11000,"Mio")</f>
        <v>265000</v>
      </c>
      <c r="R937" s="52">
        <f ca="1">SUMIFS(OUT!$F$2:$F$11000,OUT!$H$2:$H$11000,H937,OUT!$D$2:$D$11000,"Out",OUT!$E$2:$E$11000,"Sedekah")</f>
        <v>5000</v>
      </c>
      <c r="S937" s="52">
        <f ca="1">SUMIFS(OUT!$F$2:$F$11000,OUT!$H$2:$H$11000,H937,OUT!$D$2:$D$11000,"Out",OUT!$E$2:$E$11000,"Zela")</f>
        <v>33400</v>
      </c>
      <c r="T937" s="52">
        <f ca="1">SUMIFS(OUT!$F$2:$F$11000,OUT!$H$2:$H$11000,H937,OUT!$D$2:$D$11000,"Out",OUT!$E$2:$E$11000,"Iqbal")</f>
        <v>232194</v>
      </c>
    </row>
    <row r="938" spans="1:20" x14ac:dyDescent="0.2">
      <c r="A938" s="48">
        <f ca="1">IFERROR(__xludf.DUMMYFUNCTION("""COMPUTED_VALUE"""),46184)</f>
        <v>46184</v>
      </c>
      <c r="B938" s="4" t="str">
        <f ca="1">IFERROR(__xludf.DUMMYFUNCTION("""COMPUTED_VALUE"""),"Tambah Angin ")</f>
        <v xml:space="preserve">Tambah Angin </v>
      </c>
      <c r="C938" s="4" t="str">
        <f ca="1">IFERROR(__xludf.DUMMYFUNCTION("""COMPUTED_VALUE"""),"Cash")</f>
        <v>Cash</v>
      </c>
      <c r="D938" s="4" t="str">
        <f ca="1">IFERROR(__xludf.DUMMYFUNCTION("""COMPUTED_VALUE"""),"Out")</f>
        <v>Out</v>
      </c>
      <c r="E938" s="4" t="str">
        <f ca="1">IFERROR(__xludf.DUMMYFUNCTION("""COMPUTED_VALUE"""),"Mio")</f>
        <v>Mio</v>
      </c>
      <c r="F938" s="49">
        <f ca="1">IFERROR(__xludf.DUMMYFUNCTION("""COMPUTED_VALUE"""),6000)</f>
        <v>6000</v>
      </c>
      <c r="G938" s="50" t="str">
        <f ca="1">IFERROR(__xludf.DUMMYFUNCTION("""COMPUTED_VALUE"""),"Zela")</f>
        <v>Zela</v>
      </c>
      <c r="H938" s="51">
        <f t="shared" ca="1" si="0"/>
        <v>46174</v>
      </c>
      <c r="I938" s="52" t="e">
        <f ca="1">SUMIFS(OUT!$F$2:$F$11000,OUT!$H$2:$H$11000,H938,OUT!$D$2:$D$101007,"In")</f>
        <v>#VALUE!</v>
      </c>
      <c r="J938" s="52">
        <f ca="1">SUMIFS(OUT!$F$2:$F$11000,OUT!$H$2:$H$11000,H938,OUT!$D$2:$D$11000,"Out")</f>
        <v>9155672</v>
      </c>
      <c r="K938" s="52">
        <f ca="1">SUMIFS(OUT!$F$2:$F$11000,OUT!$H$2:$H$11000,H938,OUT!$D$2:$D$11000,"Out",OUT!$E$2:$E$11000,"Fix")</f>
        <v>3084727</v>
      </c>
      <c r="L938" s="52">
        <f ca="1">SUMIFS(OUT!$F$2:$F$11000,OUT!$H$2:$H$11000,H938,OUT!$D$2:$D$11000,"Out",OUT!$E$2:$E$11000,"Bathroom")</f>
        <v>37500</v>
      </c>
      <c r="M938" s="52">
        <f ca="1">SUMIFS(OUT!$F$2:$F$11000,OUT!$H$2:$H$11000,H938,OUT!$D$2:$D$11000,"Out",OUT!$E$2:$E$11000,"Alfa")</f>
        <v>317864</v>
      </c>
      <c r="N938" s="52" t="e">
        <f ca="1">SUMIFS(OUT!$F$2:$F$11000,OUT!$H$2:$H$101007,H938,OUT!$D$2:$D$11000,"Out",OUT!$E$2:$E$11000,"Jajan")</f>
        <v>#VALUE!</v>
      </c>
      <c r="O938" s="52">
        <f ca="1">SUMIFS(OUT!$F$2:$F$11000,OUT!$H$2:$H$11000,H938,OUT!$D$2:$D$11000,"Out",OUT!$E$2:$E$11000,"Kitchen")</f>
        <v>985700</v>
      </c>
      <c r="P938" s="52">
        <f ca="1">SUMIFS(OUT!$F$2:$F$11000,OUT!$H$2:$H$11000,H938,OUT!$D$2:$D$11000,"Out",OUT!$E$2:$E$11000,"Loandry")</f>
        <v>21500</v>
      </c>
      <c r="Q938" s="52">
        <f ca="1">SUMIFS(OUT!$F$2:$F$11000,OUT!$H$2:$H$11000,H938,OUT!$D$2:$D$11000,"Out",OUT!$E$2:$E$11000,"Mio")</f>
        <v>265000</v>
      </c>
      <c r="R938" s="52">
        <f ca="1">SUMIFS(OUT!$F$2:$F$11000,OUT!$H$2:$H$11000,H938,OUT!$D$2:$D$11000,"Out",OUT!$E$2:$E$11000,"Sedekah")</f>
        <v>5000</v>
      </c>
      <c r="S938" s="52">
        <f ca="1">SUMIFS(OUT!$F$2:$F$11000,OUT!$H$2:$H$11000,H938,OUT!$D$2:$D$11000,"Out",OUT!$E$2:$E$11000,"Zela")</f>
        <v>33400</v>
      </c>
      <c r="T938" s="52">
        <f ca="1">SUMIFS(OUT!$F$2:$F$11000,OUT!$H$2:$H$11000,H938,OUT!$D$2:$D$11000,"Out",OUT!$E$2:$E$11000,"Iqbal")</f>
        <v>232194</v>
      </c>
    </row>
    <row r="939" spans="1:20" x14ac:dyDescent="0.2">
      <c r="A939" s="48">
        <f ca="1">IFERROR(__xludf.DUMMYFUNCTION("""COMPUTED_VALUE"""),46184)</f>
        <v>46184</v>
      </c>
      <c r="B939" s="4" t="str">
        <f ca="1">IFERROR(__xludf.DUMMYFUNCTION("""COMPUTED_VALUE"""),"Galon ")</f>
        <v xml:space="preserve">Galon </v>
      </c>
      <c r="C939" s="4" t="str">
        <f ca="1">IFERROR(__xludf.DUMMYFUNCTION("""COMPUTED_VALUE"""),"Cash")</f>
        <v>Cash</v>
      </c>
      <c r="D939" s="4" t="str">
        <f ca="1">IFERROR(__xludf.DUMMYFUNCTION("""COMPUTED_VALUE"""),"Out")</f>
        <v>Out</v>
      </c>
      <c r="E939" s="4" t="str">
        <f ca="1">IFERROR(__xludf.DUMMYFUNCTION("""COMPUTED_VALUE"""),"Kitchen")</f>
        <v>Kitchen</v>
      </c>
      <c r="F939" s="49">
        <f ca="1">IFERROR(__xludf.DUMMYFUNCTION("""COMPUTED_VALUE"""),5000)</f>
        <v>5000</v>
      </c>
      <c r="G939" s="50" t="str">
        <f ca="1">IFERROR(__xludf.DUMMYFUNCTION("""COMPUTED_VALUE"""),"Zela")</f>
        <v>Zela</v>
      </c>
      <c r="H939" s="51">
        <f t="shared" ca="1" si="0"/>
        <v>46174</v>
      </c>
      <c r="I939" s="52" t="e">
        <f ca="1">SUMIFS(OUT!$F$2:$F$11000,OUT!$H$2:$H$11000,H939,OUT!$D$2:$D$101007,"In")</f>
        <v>#VALUE!</v>
      </c>
      <c r="J939" s="52">
        <f ca="1">SUMIFS(OUT!$F$2:$F$11000,OUT!$H$2:$H$11000,H939,OUT!$D$2:$D$11000,"Out")</f>
        <v>9155672</v>
      </c>
      <c r="K939" s="52">
        <f ca="1">SUMIFS(OUT!$F$2:$F$11000,OUT!$H$2:$H$11000,H939,OUT!$D$2:$D$11000,"Out",OUT!$E$2:$E$11000,"Fix")</f>
        <v>3084727</v>
      </c>
      <c r="L939" s="52">
        <f ca="1">SUMIFS(OUT!$F$2:$F$11000,OUT!$H$2:$H$11000,H939,OUT!$D$2:$D$11000,"Out",OUT!$E$2:$E$11000,"Bathroom")</f>
        <v>37500</v>
      </c>
      <c r="M939" s="52">
        <f ca="1">SUMIFS(OUT!$F$2:$F$11000,OUT!$H$2:$H$11000,H939,OUT!$D$2:$D$11000,"Out",OUT!$E$2:$E$11000,"Alfa")</f>
        <v>317864</v>
      </c>
      <c r="N939" s="52" t="e">
        <f ca="1">SUMIFS(OUT!$F$2:$F$11000,OUT!$H$2:$H$101007,H939,OUT!$D$2:$D$11000,"Out",OUT!$E$2:$E$11000,"Jajan")</f>
        <v>#VALUE!</v>
      </c>
      <c r="O939" s="52">
        <f ca="1">SUMIFS(OUT!$F$2:$F$11000,OUT!$H$2:$H$11000,H939,OUT!$D$2:$D$11000,"Out",OUT!$E$2:$E$11000,"Kitchen")</f>
        <v>985700</v>
      </c>
      <c r="P939" s="52">
        <f ca="1">SUMIFS(OUT!$F$2:$F$11000,OUT!$H$2:$H$11000,H939,OUT!$D$2:$D$11000,"Out",OUT!$E$2:$E$11000,"Loandry")</f>
        <v>21500</v>
      </c>
      <c r="Q939" s="52">
        <f ca="1">SUMIFS(OUT!$F$2:$F$11000,OUT!$H$2:$H$11000,H939,OUT!$D$2:$D$11000,"Out",OUT!$E$2:$E$11000,"Mio")</f>
        <v>265000</v>
      </c>
      <c r="R939" s="52">
        <f ca="1">SUMIFS(OUT!$F$2:$F$11000,OUT!$H$2:$H$11000,H939,OUT!$D$2:$D$11000,"Out",OUT!$E$2:$E$11000,"Sedekah")</f>
        <v>5000</v>
      </c>
      <c r="S939" s="52">
        <f ca="1">SUMIFS(OUT!$F$2:$F$11000,OUT!$H$2:$H$11000,H939,OUT!$D$2:$D$11000,"Out",OUT!$E$2:$E$11000,"Zela")</f>
        <v>33400</v>
      </c>
      <c r="T939" s="52">
        <f ca="1">SUMIFS(OUT!$F$2:$F$11000,OUT!$H$2:$H$11000,H939,OUT!$D$2:$D$11000,"Out",OUT!$E$2:$E$11000,"Iqbal")</f>
        <v>232194</v>
      </c>
    </row>
    <row r="940" spans="1:20" x14ac:dyDescent="0.2">
      <c r="A940" s="48">
        <f ca="1">IFERROR(__xludf.DUMMYFUNCTION("""COMPUTED_VALUE"""),46184)</f>
        <v>46184</v>
      </c>
      <c r="B940" s="4" t="str">
        <f ca="1">IFERROR(__xludf.DUMMYFUNCTION("""COMPUTED_VALUE"""),"Roti Gabin 2 ")</f>
        <v xml:space="preserve">Roti Gabin 2 </v>
      </c>
      <c r="C940" s="4" t="str">
        <f ca="1">IFERROR(__xludf.DUMMYFUNCTION("""COMPUTED_VALUE"""),"Cash")</f>
        <v>Cash</v>
      </c>
      <c r="D940" s="4" t="str">
        <f ca="1">IFERROR(__xludf.DUMMYFUNCTION("""COMPUTED_VALUE"""),"Out")</f>
        <v>Out</v>
      </c>
      <c r="E940" s="4" t="str">
        <f ca="1">IFERROR(__xludf.DUMMYFUNCTION("""COMPUTED_VALUE"""),"Jajan")</f>
        <v>Jajan</v>
      </c>
      <c r="F940" s="49">
        <f ca="1">IFERROR(__xludf.DUMMYFUNCTION("""COMPUTED_VALUE"""),16000)</f>
        <v>16000</v>
      </c>
      <c r="G940" s="50" t="str">
        <f ca="1">IFERROR(__xludf.DUMMYFUNCTION("""COMPUTED_VALUE"""),"Zela")</f>
        <v>Zela</v>
      </c>
      <c r="H940" s="51">
        <f t="shared" ca="1" si="0"/>
        <v>46174</v>
      </c>
      <c r="I940" s="52" t="e">
        <f ca="1">SUMIFS(OUT!$F$2:$F$11000,OUT!$H$2:$H$11000,H940,OUT!$D$2:$D$101007,"In")</f>
        <v>#VALUE!</v>
      </c>
      <c r="J940" s="52">
        <f ca="1">SUMIFS(OUT!$F$2:$F$11000,OUT!$H$2:$H$11000,H940,OUT!$D$2:$D$11000,"Out")</f>
        <v>9155672</v>
      </c>
      <c r="K940" s="52">
        <f ca="1">SUMIFS(OUT!$F$2:$F$11000,OUT!$H$2:$H$11000,H940,OUT!$D$2:$D$11000,"Out",OUT!$E$2:$E$11000,"Fix")</f>
        <v>3084727</v>
      </c>
      <c r="L940" s="52">
        <f ca="1">SUMIFS(OUT!$F$2:$F$11000,OUT!$H$2:$H$11000,H940,OUT!$D$2:$D$11000,"Out",OUT!$E$2:$E$11000,"Bathroom")</f>
        <v>37500</v>
      </c>
      <c r="M940" s="52">
        <f ca="1">SUMIFS(OUT!$F$2:$F$11000,OUT!$H$2:$H$11000,H940,OUT!$D$2:$D$11000,"Out",OUT!$E$2:$E$11000,"Alfa")</f>
        <v>317864</v>
      </c>
      <c r="N940" s="52" t="e">
        <f ca="1">SUMIFS(OUT!$F$2:$F$11000,OUT!$H$2:$H$101007,H940,OUT!$D$2:$D$11000,"Out",OUT!$E$2:$E$11000,"Jajan")</f>
        <v>#VALUE!</v>
      </c>
      <c r="O940" s="52">
        <f ca="1">SUMIFS(OUT!$F$2:$F$11000,OUT!$H$2:$H$11000,H940,OUT!$D$2:$D$11000,"Out",OUT!$E$2:$E$11000,"Kitchen")</f>
        <v>985700</v>
      </c>
      <c r="P940" s="52">
        <f ca="1">SUMIFS(OUT!$F$2:$F$11000,OUT!$H$2:$H$11000,H940,OUT!$D$2:$D$11000,"Out",OUT!$E$2:$E$11000,"Loandry")</f>
        <v>21500</v>
      </c>
      <c r="Q940" s="52">
        <f ca="1">SUMIFS(OUT!$F$2:$F$11000,OUT!$H$2:$H$11000,H940,OUT!$D$2:$D$11000,"Out",OUT!$E$2:$E$11000,"Mio")</f>
        <v>265000</v>
      </c>
      <c r="R940" s="52">
        <f ca="1">SUMIFS(OUT!$F$2:$F$11000,OUT!$H$2:$H$11000,H940,OUT!$D$2:$D$11000,"Out",OUT!$E$2:$E$11000,"Sedekah")</f>
        <v>5000</v>
      </c>
      <c r="S940" s="52">
        <f ca="1">SUMIFS(OUT!$F$2:$F$11000,OUT!$H$2:$H$11000,H940,OUT!$D$2:$D$11000,"Out",OUT!$E$2:$E$11000,"Zela")</f>
        <v>33400</v>
      </c>
      <c r="T940" s="52">
        <f ca="1">SUMIFS(OUT!$F$2:$F$11000,OUT!$H$2:$H$11000,H940,OUT!$D$2:$D$11000,"Out",OUT!$E$2:$E$11000,"Iqbal")</f>
        <v>232194</v>
      </c>
    </row>
    <row r="941" spans="1:20" x14ac:dyDescent="0.2">
      <c r="A941" s="48">
        <f ca="1">IFERROR(__xludf.DUMMYFUNCTION("""COMPUTED_VALUE"""),46184)</f>
        <v>46184</v>
      </c>
      <c r="B941" s="4" t="str">
        <f ca="1">IFERROR(__xludf.DUMMYFUNCTION("""COMPUTED_VALUE"""),"Roti Bakar ")</f>
        <v xml:space="preserve">Roti Bakar </v>
      </c>
      <c r="C941" s="4" t="str">
        <f ca="1">IFERROR(__xludf.DUMMYFUNCTION("""COMPUTED_VALUE"""),"Cash")</f>
        <v>Cash</v>
      </c>
      <c r="D941" s="4" t="str">
        <f ca="1">IFERROR(__xludf.DUMMYFUNCTION("""COMPUTED_VALUE"""),"Out")</f>
        <v>Out</v>
      </c>
      <c r="E941" s="4" t="str">
        <f ca="1">IFERROR(__xludf.DUMMYFUNCTION("""COMPUTED_VALUE"""),"Jajan")</f>
        <v>Jajan</v>
      </c>
      <c r="F941" s="49">
        <f ca="1">IFERROR(__xludf.DUMMYFUNCTION("""COMPUTED_VALUE"""),19000)</f>
        <v>19000</v>
      </c>
      <c r="G941" s="50" t="str">
        <f ca="1">IFERROR(__xludf.DUMMYFUNCTION("""COMPUTED_VALUE"""),"Zela")</f>
        <v>Zela</v>
      </c>
      <c r="H941" s="51">
        <f t="shared" ca="1" si="0"/>
        <v>46174</v>
      </c>
      <c r="I941" s="52" t="e">
        <f ca="1">SUMIFS(OUT!$F$2:$F$11000,OUT!$H$2:$H$11000,H941,OUT!$D$2:$D$101007,"In")</f>
        <v>#VALUE!</v>
      </c>
      <c r="J941" s="52">
        <f ca="1">SUMIFS(OUT!$F$2:$F$11000,OUT!$H$2:$H$11000,H941,OUT!$D$2:$D$11000,"Out")</f>
        <v>9155672</v>
      </c>
      <c r="K941" s="52">
        <f ca="1">SUMIFS(OUT!$F$2:$F$11000,OUT!$H$2:$H$11000,H941,OUT!$D$2:$D$11000,"Out",OUT!$E$2:$E$11000,"Fix")</f>
        <v>3084727</v>
      </c>
      <c r="L941" s="52">
        <f ca="1">SUMIFS(OUT!$F$2:$F$11000,OUT!$H$2:$H$11000,H941,OUT!$D$2:$D$11000,"Out",OUT!$E$2:$E$11000,"Bathroom")</f>
        <v>37500</v>
      </c>
      <c r="M941" s="52">
        <f ca="1">SUMIFS(OUT!$F$2:$F$11000,OUT!$H$2:$H$11000,H941,OUT!$D$2:$D$11000,"Out",OUT!$E$2:$E$11000,"Alfa")</f>
        <v>317864</v>
      </c>
      <c r="N941" s="52" t="e">
        <f ca="1">SUMIFS(OUT!$F$2:$F$11000,OUT!$H$2:$H$101007,H941,OUT!$D$2:$D$11000,"Out",OUT!$E$2:$E$11000,"Jajan")</f>
        <v>#VALUE!</v>
      </c>
      <c r="O941" s="52">
        <f ca="1">SUMIFS(OUT!$F$2:$F$11000,OUT!$H$2:$H$11000,H941,OUT!$D$2:$D$11000,"Out",OUT!$E$2:$E$11000,"Kitchen")</f>
        <v>985700</v>
      </c>
      <c r="P941" s="52">
        <f ca="1">SUMIFS(OUT!$F$2:$F$11000,OUT!$H$2:$H$11000,H941,OUT!$D$2:$D$11000,"Out",OUT!$E$2:$E$11000,"Loandry")</f>
        <v>21500</v>
      </c>
      <c r="Q941" s="52">
        <f ca="1">SUMIFS(OUT!$F$2:$F$11000,OUT!$H$2:$H$11000,H941,OUT!$D$2:$D$11000,"Out",OUT!$E$2:$E$11000,"Mio")</f>
        <v>265000</v>
      </c>
      <c r="R941" s="52">
        <f ca="1">SUMIFS(OUT!$F$2:$F$11000,OUT!$H$2:$H$11000,H941,OUT!$D$2:$D$11000,"Out",OUT!$E$2:$E$11000,"Sedekah")</f>
        <v>5000</v>
      </c>
      <c r="S941" s="52">
        <f ca="1">SUMIFS(OUT!$F$2:$F$11000,OUT!$H$2:$H$11000,H941,OUT!$D$2:$D$11000,"Out",OUT!$E$2:$E$11000,"Zela")</f>
        <v>33400</v>
      </c>
      <c r="T941" s="52">
        <f ca="1">SUMIFS(OUT!$F$2:$F$11000,OUT!$H$2:$H$11000,H941,OUT!$D$2:$D$11000,"Out",OUT!$E$2:$E$11000,"Iqbal")</f>
        <v>232194</v>
      </c>
    </row>
    <row r="942" spans="1:20" x14ac:dyDescent="0.2">
      <c r="A942" s="48">
        <f ca="1">IFERROR(__xludf.DUMMYFUNCTION("""COMPUTED_VALUE"""),46184)</f>
        <v>46184</v>
      </c>
      <c r="B942" s="4" t="str">
        <f ca="1">IFERROR(__xludf.DUMMYFUNCTION("""COMPUTED_VALUE"""),"susu Alfa 2")</f>
        <v>susu Alfa 2</v>
      </c>
      <c r="C942" s="4" t="str">
        <f ca="1">IFERROR(__xludf.DUMMYFUNCTION("""COMPUTED_VALUE"""),"Cash")</f>
        <v>Cash</v>
      </c>
      <c r="D942" s="4" t="str">
        <f ca="1">IFERROR(__xludf.DUMMYFUNCTION("""COMPUTED_VALUE"""),"Out")</f>
        <v>Out</v>
      </c>
      <c r="E942" s="4" t="str">
        <f ca="1">IFERROR(__xludf.DUMMYFUNCTION("""COMPUTED_VALUE"""),"Alfa")</f>
        <v>Alfa</v>
      </c>
      <c r="F942" s="49">
        <f ca="1">IFERROR(__xludf.DUMMYFUNCTION("""COMPUTED_VALUE"""),28000)</f>
        <v>28000</v>
      </c>
      <c r="G942" s="50" t="str">
        <f ca="1">IFERROR(__xludf.DUMMYFUNCTION("""COMPUTED_VALUE"""),"Zela")</f>
        <v>Zela</v>
      </c>
      <c r="H942" s="51">
        <f t="shared" ca="1" si="0"/>
        <v>46174</v>
      </c>
      <c r="I942" s="52" t="e">
        <f ca="1">SUMIFS(OUT!$F$2:$F$11000,OUT!$H$2:$H$11000,H942,OUT!$D$2:$D$101007,"In")</f>
        <v>#VALUE!</v>
      </c>
      <c r="J942" s="52">
        <f ca="1">SUMIFS(OUT!$F$2:$F$11000,OUT!$H$2:$H$11000,H942,OUT!$D$2:$D$11000,"Out")</f>
        <v>9155672</v>
      </c>
      <c r="K942" s="52">
        <f ca="1">SUMIFS(OUT!$F$2:$F$11000,OUT!$H$2:$H$11000,H942,OUT!$D$2:$D$11000,"Out",OUT!$E$2:$E$11000,"Fix")</f>
        <v>3084727</v>
      </c>
      <c r="L942" s="52">
        <f ca="1">SUMIFS(OUT!$F$2:$F$11000,OUT!$H$2:$H$11000,H942,OUT!$D$2:$D$11000,"Out",OUT!$E$2:$E$11000,"Bathroom")</f>
        <v>37500</v>
      </c>
      <c r="M942" s="52">
        <f ca="1">SUMIFS(OUT!$F$2:$F$11000,OUT!$H$2:$H$11000,H942,OUT!$D$2:$D$11000,"Out",OUT!$E$2:$E$11000,"Alfa")</f>
        <v>317864</v>
      </c>
      <c r="N942" s="52" t="e">
        <f ca="1">SUMIFS(OUT!$F$2:$F$11000,OUT!$H$2:$H$101007,H942,OUT!$D$2:$D$11000,"Out",OUT!$E$2:$E$11000,"Jajan")</f>
        <v>#VALUE!</v>
      </c>
      <c r="O942" s="52">
        <f ca="1">SUMIFS(OUT!$F$2:$F$11000,OUT!$H$2:$H$11000,H942,OUT!$D$2:$D$11000,"Out",OUT!$E$2:$E$11000,"Kitchen")</f>
        <v>985700</v>
      </c>
      <c r="P942" s="52">
        <f ca="1">SUMIFS(OUT!$F$2:$F$11000,OUT!$H$2:$H$11000,H942,OUT!$D$2:$D$11000,"Out",OUT!$E$2:$E$11000,"Loandry")</f>
        <v>21500</v>
      </c>
      <c r="Q942" s="52">
        <f ca="1">SUMIFS(OUT!$F$2:$F$11000,OUT!$H$2:$H$11000,H942,OUT!$D$2:$D$11000,"Out",OUT!$E$2:$E$11000,"Mio")</f>
        <v>265000</v>
      </c>
      <c r="R942" s="52">
        <f ca="1">SUMIFS(OUT!$F$2:$F$11000,OUT!$H$2:$H$11000,H942,OUT!$D$2:$D$11000,"Out",OUT!$E$2:$E$11000,"Sedekah")</f>
        <v>5000</v>
      </c>
      <c r="S942" s="52">
        <f ca="1">SUMIFS(OUT!$F$2:$F$11000,OUT!$H$2:$H$11000,H942,OUT!$D$2:$D$11000,"Out",OUT!$E$2:$E$11000,"Zela")</f>
        <v>33400</v>
      </c>
      <c r="T942" s="52">
        <f ca="1">SUMIFS(OUT!$F$2:$F$11000,OUT!$H$2:$H$11000,H942,OUT!$D$2:$D$11000,"Out",OUT!$E$2:$E$11000,"Iqbal")</f>
        <v>232194</v>
      </c>
    </row>
    <row r="943" spans="1:20" x14ac:dyDescent="0.2">
      <c r="A943" s="48">
        <f ca="1">IFERROR(__xludf.DUMMYFUNCTION("""COMPUTED_VALUE"""),46185)</f>
        <v>46185</v>
      </c>
      <c r="B943" s="4" t="str">
        <f ca="1">IFERROR(__xludf.DUMMYFUNCTION("""COMPUTED_VALUE"""),"Gas ")</f>
        <v xml:space="preserve">Gas </v>
      </c>
      <c r="C943" s="4" t="str">
        <f ca="1">IFERROR(__xludf.DUMMYFUNCTION("""COMPUTED_VALUE"""),"Cash")</f>
        <v>Cash</v>
      </c>
      <c r="D943" s="4" t="str">
        <f ca="1">IFERROR(__xludf.DUMMYFUNCTION("""COMPUTED_VALUE"""),"Out")</f>
        <v>Out</v>
      </c>
      <c r="E943" s="4" t="str">
        <f ca="1">IFERROR(__xludf.DUMMYFUNCTION("""COMPUTED_VALUE"""),"Kitchen")</f>
        <v>Kitchen</v>
      </c>
      <c r="F943" s="49">
        <f ca="1">IFERROR(__xludf.DUMMYFUNCTION("""COMPUTED_VALUE"""),18000)</f>
        <v>18000</v>
      </c>
      <c r="G943" s="50" t="str">
        <f ca="1">IFERROR(__xludf.DUMMYFUNCTION("""COMPUTED_VALUE"""),"Zela")</f>
        <v>Zela</v>
      </c>
      <c r="H943" s="51">
        <f t="shared" ca="1" si="0"/>
        <v>46174</v>
      </c>
      <c r="I943" s="52" t="e">
        <f ca="1">SUMIFS(OUT!$F$2:$F$11000,OUT!$H$2:$H$11000,H943,OUT!$D$2:$D$101007,"In")</f>
        <v>#VALUE!</v>
      </c>
      <c r="J943" s="52">
        <f ca="1">SUMIFS(OUT!$F$2:$F$11000,OUT!$H$2:$H$11000,H943,OUT!$D$2:$D$11000,"Out")</f>
        <v>9155672</v>
      </c>
      <c r="K943" s="52">
        <f ca="1">SUMIFS(OUT!$F$2:$F$11000,OUT!$H$2:$H$11000,H943,OUT!$D$2:$D$11000,"Out",OUT!$E$2:$E$11000,"Fix")</f>
        <v>3084727</v>
      </c>
      <c r="L943" s="52">
        <f ca="1">SUMIFS(OUT!$F$2:$F$11000,OUT!$H$2:$H$11000,H943,OUT!$D$2:$D$11000,"Out",OUT!$E$2:$E$11000,"Bathroom")</f>
        <v>37500</v>
      </c>
      <c r="M943" s="52">
        <f ca="1">SUMIFS(OUT!$F$2:$F$11000,OUT!$H$2:$H$11000,H943,OUT!$D$2:$D$11000,"Out",OUT!$E$2:$E$11000,"Alfa")</f>
        <v>317864</v>
      </c>
      <c r="N943" s="52" t="e">
        <f ca="1">SUMIFS(OUT!$F$2:$F$11000,OUT!$H$2:$H$101007,H943,OUT!$D$2:$D$11000,"Out",OUT!$E$2:$E$11000,"Jajan")</f>
        <v>#VALUE!</v>
      </c>
      <c r="O943" s="52">
        <f ca="1">SUMIFS(OUT!$F$2:$F$11000,OUT!$H$2:$H$11000,H943,OUT!$D$2:$D$11000,"Out",OUT!$E$2:$E$11000,"Kitchen")</f>
        <v>985700</v>
      </c>
      <c r="P943" s="52">
        <f ca="1">SUMIFS(OUT!$F$2:$F$11000,OUT!$H$2:$H$11000,H943,OUT!$D$2:$D$11000,"Out",OUT!$E$2:$E$11000,"Loandry")</f>
        <v>21500</v>
      </c>
      <c r="Q943" s="52">
        <f ca="1">SUMIFS(OUT!$F$2:$F$11000,OUT!$H$2:$H$11000,H943,OUT!$D$2:$D$11000,"Out",OUT!$E$2:$E$11000,"Mio")</f>
        <v>265000</v>
      </c>
      <c r="R943" s="52">
        <f ca="1">SUMIFS(OUT!$F$2:$F$11000,OUT!$H$2:$H$11000,H943,OUT!$D$2:$D$11000,"Out",OUT!$E$2:$E$11000,"Sedekah")</f>
        <v>5000</v>
      </c>
      <c r="S943" s="52">
        <f ca="1">SUMIFS(OUT!$F$2:$F$11000,OUT!$H$2:$H$11000,H943,OUT!$D$2:$D$11000,"Out",OUT!$E$2:$E$11000,"Zela")</f>
        <v>33400</v>
      </c>
      <c r="T943" s="52">
        <f ca="1">SUMIFS(OUT!$F$2:$F$11000,OUT!$H$2:$H$11000,H943,OUT!$D$2:$D$11000,"Out",OUT!$E$2:$E$11000,"Iqbal")</f>
        <v>232194</v>
      </c>
    </row>
    <row r="944" spans="1:20" x14ac:dyDescent="0.2">
      <c r="A944" s="48">
        <f ca="1">IFERROR(__xludf.DUMMYFUNCTION("""COMPUTED_VALUE"""),46185)</f>
        <v>46185</v>
      </c>
      <c r="B944" s="4" t="str">
        <f ca="1">IFERROR(__xludf.DUMMYFUNCTION("""COMPUTED_VALUE"""),"jajan alfa ")</f>
        <v xml:space="preserve">jajan alfa </v>
      </c>
      <c r="C944" s="4" t="str">
        <f ca="1">IFERROR(__xludf.DUMMYFUNCTION("""COMPUTED_VALUE"""),"Cash")</f>
        <v>Cash</v>
      </c>
      <c r="D944" s="4" t="str">
        <f ca="1">IFERROR(__xludf.DUMMYFUNCTION("""COMPUTED_VALUE"""),"Out")</f>
        <v>Out</v>
      </c>
      <c r="E944" s="4" t="str">
        <f ca="1">IFERROR(__xludf.DUMMYFUNCTION("""COMPUTED_VALUE"""),"Jajan")</f>
        <v>Jajan</v>
      </c>
      <c r="F944" s="49">
        <f ca="1">IFERROR(__xludf.DUMMYFUNCTION("""COMPUTED_VALUE"""),5000)</f>
        <v>5000</v>
      </c>
      <c r="G944" s="50" t="str">
        <f ca="1">IFERROR(__xludf.DUMMYFUNCTION("""COMPUTED_VALUE"""),"Zela")</f>
        <v>Zela</v>
      </c>
      <c r="H944" s="51">
        <f t="shared" ca="1" si="0"/>
        <v>46174</v>
      </c>
      <c r="I944" s="52" t="e">
        <f ca="1">SUMIFS(OUT!$F$2:$F$11000,OUT!$H$2:$H$11000,H944,OUT!$D$2:$D$101007,"In")</f>
        <v>#VALUE!</v>
      </c>
      <c r="J944" s="52">
        <f ca="1">SUMIFS(OUT!$F$2:$F$11000,OUT!$H$2:$H$11000,H944,OUT!$D$2:$D$11000,"Out")</f>
        <v>9155672</v>
      </c>
      <c r="K944" s="52">
        <f ca="1">SUMIFS(OUT!$F$2:$F$11000,OUT!$H$2:$H$11000,H944,OUT!$D$2:$D$11000,"Out",OUT!$E$2:$E$11000,"Fix")</f>
        <v>3084727</v>
      </c>
      <c r="L944" s="52">
        <f ca="1">SUMIFS(OUT!$F$2:$F$11000,OUT!$H$2:$H$11000,H944,OUT!$D$2:$D$11000,"Out",OUT!$E$2:$E$11000,"Bathroom")</f>
        <v>37500</v>
      </c>
      <c r="M944" s="52">
        <f ca="1">SUMIFS(OUT!$F$2:$F$11000,OUT!$H$2:$H$11000,H944,OUT!$D$2:$D$11000,"Out",OUT!$E$2:$E$11000,"Alfa")</f>
        <v>317864</v>
      </c>
      <c r="N944" s="52" t="e">
        <f ca="1">SUMIFS(OUT!$F$2:$F$11000,OUT!$H$2:$H$101007,H944,OUT!$D$2:$D$11000,"Out",OUT!$E$2:$E$11000,"Jajan")</f>
        <v>#VALUE!</v>
      </c>
      <c r="O944" s="52">
        <f ca="1">SUMIFS(OUT!$F$2:$F$11000,OUT!$H$2:$H$11000,H944,OUT!$D$2:$D$11000,"Out",OUT!$E$2:$E$11000,"Kitchen")</f>
        <v>985700</v>
      </c>
      <c r="P944" s="52">
        <f ca="1">SUMIFS(OUT!$F$2:$F$11000,OUT!$H$2:$H$11000,H944,OUT!$D$2:$D$11000,"Out",OUT!$E$2:$E$11000,"Loandry")</f>
        <v>21500</v>
      </c>
      <c r="Q944" s="52">
        <f ca="1">SUMIFS(OUT!$F$2:$F$11000,OUT!$H$2:$H$11000,H944,OUT!$D$2:$D$11000,"Out",OUT!$E$2:$E$11000,"Mio")</f>
        <v>265000</v>
      </c>
      <c r="R944" s="52">
        <f ca="1">SUMIFS(OUT!$F$2:$F$11000,OUT!$H$2:$H$11000,H944,OUT!$D$2:$D$11000,"Out",OUT!$E$2:$E$11000,"Sedekah")</f>
        <v>5000</v>
      </c>
      <c r="S944" s="52">
        <f ca="1">SUMIFS(OUT!$F$2:$F$11000,OUT!$H$2:$H$11000,H944,OUT!$D$2:$D$11000,"Out",OUT!$E$2:$E$11000,"Zela")</f>
        <v>33400</v>
      </c>
      <c r="T944" s="52">
        <f ca="1">SUMIFS(OUT!$F$2:$F$11000,OUT!$H$2:$H$11000,H944,OUT!$D$2:$D$11000,"Out",OUT!$E$2:$E$11000,"Iqbal")</f>
        <v>232194</v>
      </c>
    </row>
    <row r="945" spans="1:20" x14ac:dyDescent="0.2">
      <c r="A945" s="48">
        <f ca="1">IFERROR(__xludf.DUMMYFUNCTION("""COMPUTED_VALUE"""),46185)</f>
        <v>46185</v>
      </c>
      <c r="B945" s="4" t="str">
        <f ca="1">IFERROR(__xludf.DUMMYFUNCTION("""COMPUTED_VALUE"""),"Ayam Shopee")</f>
        <v>Ayam Shopee</v>
      </c>
      <c r="C945" s="4" t="str">
        <f ca="1">IFERROR(__xludf.DUMMYFUNCTION("""COMPUTED_VALUE"""),"ATM")</f>
        <v>ATM</v>
      </c>
      <c r="D945" s="4" t="str">
        <f ca="1">IFERROR(__xludf.DUMMYFUNCTION("""COMPUTED_VALUE"""),"Out")</f>
        <v>Out</v>
      </c>
      <c r="E945" s="4" t="str">
        <f ca="1">IFERROR(__xludf.DUMMYFUNCTION("""COMPUTED_VALUE"""),"Kitchen")</f>
        <v>Kitchen</v>
      </c>
      <c r="F945" s="49">
        <f ca="1">IFERROR(__xludf.DUMMYFUNCTION("""COMPUTED_VALUE"""),35000)</f>
        <v>35000</v>
      </c>
      <c r="G945" s="50" t="str">
        <f ca="1">IFERROR(__xludf.DUMMYFUNCTION("""COMPUTED_VALUE"""),"Zela")</f>
        <v>Zela</v>
      </c>
      <c r="H945" s="51">
        <f t="shared" ca="1" si="0"/>
        <v>46174</v>
      </c>
      <c r="I945" s="52" t="e">
        <f ca="1">SUMIFS(OUT!$F$2:$F$11000,OUT!$H$2:$H$11000,H945,OUT!$D$2:$D$101007,"In")</f>
        <v>#VALUE!</v>
      </c>
      <c r="J945" s="52">
        <f ca="1">SUMIFS(OUT!$F$2:$F$11000,OUT!$H$2:$H$11000,H945,OUT!$D$2:$D$11000,"Out")</f>
        <v>9155672</v>
      </c>
      <c r="K945" s="52">
        <f ca="1">SUMIFS(OUT!$F$2:$F$11000,OUT!$H$2:$H$11000,H945,OUT!$D$2:$D$11000,"Out",OUT!$E$2:$E$11000,"Fix")</f>
        <v>3084727</v>
      </c>
      <c r="L945" s="52">
        <f ca="1">SUMIFS(OUT!$F$2:$F$11000,OUT!$H$2:$H$11000,H945,OUT!$D$2:$D$11000,"Out",OUT!$E$2:$E$11000,"Bathroom")</f>
        <v>37500</v>
      </c>
      <c r="M945" s="52">
        <f ca="1">SUMIFS(OUT!$F$2:$F$11000,OUT!$H$2:$H$11000,H945,OUT!$D$2:$D$11000,"Out",OUT!$E$2:$E$11000,"Alfa")</f>
        <v>317864</v>
      </c>
      <c r="N945" s="52" t="e">
        <f ca="1">SUMIFS(OUT!$F$2:$F$11000,OUT!$H$2:$H$101007,H945,OUT!$D$2:$D$11000,"Out",OUT!$E$2:$E$11000,"Jajan")</f>
        <v>#VALUE!</v>
      </c>
      <c r="O945" s="52">
        <f ca="1">SUMIFS(OUT!$F$2:$F$11000,OUT!$H$2:$H$11000,H945,OUT!$D$2:$D$11000,"Out",OUT!$E$2:$E$11000,"Kitchen")</f>
        <v>985700</v>
      </c>
      <c r="P945" s="52">
        <f ca="1">SUMIFS(OUT!$F$2:$F$11000,OUT!$H$2:$H$11000,H945,OUT!$D$2:$D$11000,"Out",OUT!$E$2:$E$11000,"Loandry")</f>
        <v>21500</v>
      </c>
      <c r="Q945" s="52">
        <f ca="1">SUMIFS(OUT!$F$2:$F$11000,OUT!$H$2:$H$11000,H945,OUT!$D$2:$D$11000,"Out",OUT!$E$2:$E$11000,"Mio")</f>
        <v>265000</v>
      </c>
      <c r="R945" s="52">
        <f ca="1">SUMIFS(OUT!$F$2:$F$11000,OUT!$H$2:$H$11000,H945,OUT!$D$2:$D$11000,"Out",OUT!$E$2:$E$11000,"Sedekah")</f>
        <v>5000</v>
      </c>
      <c r="S945" s="52">
        <f ca="1">SUMIFS(OUT!$F$2:$F$11000,OUT!$H$2:$H$11000,H945,OUT!$D$2:$D$11000,"Out",OUT!$E$2:$E$11000,"Zela")</f>
        <v>33400</v>
      </c>
      <c r="T945" s="52">
        <f ca="1">SUMIFS(OUT!$F$2:$F$11000,OUT!$H$2:$H$11000,H945,OUT!$D$2:$D$11000,"Out",OUT!$E$2:$E$11000,"Iqbal")</f>
        <v>232194</v>
      </c>
    </row>
    <row r="946" spans="1:20" x14ac:dyDescent="0.2">
      <c r="A946" s="48">
        <f ca="1">IFERROR(__xludf.DUMMYFUNCTION("""COMPUTED_VALUE"""),46185)</f>
        <v>46185</v>
      </c>
      <c r="B946" s="4" t="str">
        <f ca="1">IFERROR(__xludf.DUMMYFUNCTION("""COMPUTED_VALUE"""),"pulsa Telkomsel")</f>
        <v>pulsa Telkomsel</v>
      </c>
      <c r="C946" s="4" t="str">
        <f ca="1">IFERROR(__xludf.DUMMYFUNCTION("""COMPUTED_VALUE"""),"ATM")</f>
        <v>ATM</v>
      </c>
      <c r="D946" s="4" t="str">
        <f ca="1">IFERROR(__xludf.DUMMYFUNCTION("""COMPUTED_VALUE"""),"Out")</f>
        <v>Out</v>
      </c>
      <c r="E946" s="4" t="str">
        <f ca="1">IFERROR(__xludf.DUMMYFUNCTION("""COMPUTED_VALUE"""),"Zela")</f>
        <v>Zela</v>
      </c>
      <c r="F946" s="49">
        <f ca="1">IFERROR(__xludf.DUMMYFUNCTION("""COMPUTED_VALUE"""),5000)</f>
        <v>5000</v>
      </c>
      <c r="G946" s="50" t="str">
        <f ca="1">IFERROR(__xludf.DUMMYFUNCTION("""COMPUTED_VALUE"""),"Zela")</f>
        <v>Zela</v>
      </c>
      <c r="H946" s="51">
        <f t="shared" ca="1" si="0"/>
        <v>46174</v>
      </c>
      <c r="I946" s="52" t="e">
        <f ca="1">SUMIFS(OUT!$F$2:$F$11000,OUT!$H$2:$H$11000,H946,OUT!$D$2:$D$101007,"In")</f>
        <v>#VALUE!</v>
      </c>
      <c r="J946" s="52">
        <f ca="1">SUMIFS(OUT!$F$2:$F$11000,OUT!$H$2:$H$11000,H946,OUT!$D$2:$D$11000,"Out")</f>
        <v>9155672</v>
      </c>
      <c r="K946" s="52">
        <f ca="1">SUMIFS(OUT!$F$2:$F$11000,OUT!$H$2:$H$11000,H946,OUT!$D$2:$D$11000,"Out",OUT!$E$2:$E$11000,"Fix")</f>
        <v>3084727</v>
      </c>
      <c r="L946" s="52">
        <f ca="1">SUMIFS(OUT!$F$2:$F$11000,OUT!$H$2:$H$11000,H946,OUT!$D$2:$D$11000,"Out",OUT!$E$2:$E$11000,"Bathroom")</f>
        <v>37500</v>
      </c>
      <c r="M946" s="52">
        <f ca="1">SUMIFS(OUT!$F$2:$F$11000,OUT!$H$2:$H$11000,H946,OUT!$D$2:$D$11000,"Out",OUT!$E$2:$E$11000,"Alfa")</f>
        <v>317864</v>
      </c>
      <c r="N946" s="52" t="e">
        <f ca="1">SUMIFS(OUT!$F$2:$F$11000,OUT!$H$2:$H$101007,H946,OUT!$D$2:$D$11000,"Out",OUT!$E$2:$E$11000,"Jajan")</f>
        <v>#VALUE!</v>
      </c>
      <c r="O946" s="52">
        <f ca="1">SUMIFS(OUT!$F$2:$F$11000,OUT!$H$2:$H$11000,H946,OUT!$D$2:$D$11000,"Out",OUT!$E$2:$E$11000,"Kitchen")</f>
        <v>985700</v>
      </c>
      <c r="P946" s="52">
        <f ca="1">SUMIFS(OUT!$F$2:$F$11000,OUT!$H$2:$H$11000,H946,OUT!$D$2:$D$11000,"Out",OUT!$E$2:$E$11000,"Loandry")</f>
        <v>21500</v>
      </c>
      <c r="Q946" s="52">
        <f ca="1">SUMIFS(OUT!$F$2:$F$11000,OUT!$H$2:$H$11000,H946,OUT!$D$2:$D$11000,"Out",OUT!$E$2:$E$11000,"Mio")</f>
        <v>265000</v>
      </c>
      <c r="R946" s="52">
        <f ca="1">SUMIFS(OUT!$F$2:$F$11000,OUT!$H$2:$H$11000,H946,OUT!$D$2:$D$11000,"Out",OUT!$E$2:$E$11000,"Sedekah")</f>
        <v>5000</v>
      </c>
      <c r="S946" s="52">
        <f ca="1">SUMIFS(OUT!$F$2:$F$11000,OUT!$H$2:$H$11000,H946,OUT!$D$2:$D$11000,"Out",OUT!$E$2:$E$11000,"Zela")</f>
        <v>33400</v>
      </c>
      <c r="T946" s="52">
        <f ca="1">SUMIFS(OUT!$F$2:$F$11000,OUT!$H$2:$H$11000,H946,OUT!$D$2:$D$11000,"Out",OUT!$E$2:$E$11000,"Iqbal")</f>
        <v>232194</v>
      </c>
    </row>
    <row r="947" spans="1:20" x14ac:dyDescent="0.2">
      <c r="A947" s="48">
        <f ca="1">IFERROR(__xludf.DUMMYFUNCTION("""COMPUTED_VALUE"""),46185)</f>
        <v>46185</v>
      </c>
      <c r="B947" s="4" t="str">
        <f ca="1">IFERROR(__xludf.DUMMYFUNCTION("""COMPUTED_VALUE"""),"Alfa ( botol susu+selang+sikt gigi+sikat botol )")</f>
        <v>Alfa ( botol susu+selang+sikt gigi+sikat botol )</v>
      </c>
      <c r="C947" s="4" t="str">
        <f ca="1">IFERROR(__xludf.DUMMYFUNCTION("""COMPUTED_VALUE"""),"ATM")</f>
        <v>ATM</v>
      </c>
      <c r="D947" s="4" t="str">
        <f ca="1">IFERROR(__xludf.DUMMYFUNCTION("""COMPUTED_VALUE"""),"Out")</f>
        <v>Out</v>
      </c>
      <c r="E947" s="4" t="str">
        <f ca="1">IFERROR(__xludf.DUMMYFUNCTION("""COMPUTED_VALUE"""),"Alfa")</f>
        <v>Alfa</v>
      </c>
      <c r="F947" s="49">
        <f ca="1">IFERROR(__xludf.DUMMYFUNCTION("""COMPUTED_VALUE"""),60000)</f>
        <v>60000</v>
      </c>
      <c r="G947" s="50" t="str">
        <f ca="1">IFERROR(__xludf.DUMMYFUNCTION("""COMPUTED_VALUE"""),"Zela")</f>
        <v>Zela</v>
      </c>
      <c r="H947" s="51">
        <f t="shared" ca="1" si="0"/>
        <v>46174</v>
      </c>
      <c r="I947" s="52" t="e">
        <f ca="1">SUMIFS(OUT!$F$2:$F$11000,OUT!$H$2:$H$11000,H947,OUT!$D$2:$D$101007,"In")</f>
        <v>#VALUE!</v>
      </c>
      <c r="J947" s="52">
        <f ca="1">SUMIFS(OUT!$F$2:$F$11000,OUT!$H$2:$H$11000,H947,OUT!$D$2:$D$11000,"Out")</f>
        <v>9155672</v>
      </c>
      <c r="K947" s="52">
        <f ca="1">SUMIFS(OUT!$F$2:$F$11000,OUT!$H$2:$H$11000,H947,OUT!$D$2:$D$11000,"Out",OUT!$E$2:$E$11000,"Fix")</f>
        <v>3084727</v>
      </c>
      <c r="L947" s="52">
        <f ca="1">SUMIFS(OUT!$F$2:$F$11000,OUT!$H$2:$H$11000,H947,OUT!$D$2:$D$11000,"Out",OUT!$E$2:$E$11000,"Bathroom")</f>
        <v>37500</v>
      </c>
      <c r="M947" s="52">
        <f ca="1">SUMIFS(OUT!$F$2:$F$11000,OUT!$H$2:$H$11000,H947,OUT!$D$2:$D$11000,"Out",OUT!$E$2:$E$11000,"Alfa")</f>
        <v>317864</v>
      </c>
      <c r="N947" s="52" t="e">
        <f ca="1">SUMIFS(OUT!$F$2:$F$11000,OUT!$H$2:$H$101007,H947,OUT!$D$2:$D$11000,"Out",OUT!$E$2:$E$11000,"Jajan")</f>
        <v>#VALUE!</v>
      </c>
      <c r="O947" s="52">
        <f ca="1">SUMIFS(OUT!$F$2:$F$11000,OUT!$H$2:$H$11000,H947,OUT!$D$2:$D$11000,"Out",OUT!$E$2:$E$11000,"Kitchen")</f>
        <v>985700</v>
      </c>
      <c r="P947" s="52">
        <f ca="1">SUMIFS(OUT!$F$2:$F$11000,OUT!$H$2:$H$11000,H947,OUT!$D$2:$D$11000,"Out",OUT!$E$2:$E$11000,"Loandry")</f>
        <v>21500</v>
      </c>
      <c r="Q947" s="52">
        <f ca="1">SUMIFS(OUT!$F$2:$F$11000,OUT!$H$2:$H$11000,H947,OUT!$D$2:$D$11000,"Out",OUT!$E$2:$E$11000,"Mio")</f>
        <v>265000</v>
      </c>
      <c r="R947" s="52">
        <f ca="1">SUMIFS(OUT!$F$2:$F$11000,OUT!$H$2:$H$11000,H947,OUT!$D$2:$D$11000,"Out",OUT!$E$2:$E$11000,"Sedekah")</f>
        <v>5000</v>
      </c>
      <c r="S947" s="52">
        <f ca="1">SUMIFS(OUT!$F$2:$F$11000,OUT!$H$2:$H$11000,H947,OUT!$D$2:$D$11000,"Out",OUT!$E$2:$E$11000,"Zela")</f>
        <v>33400</v>
      </c>
      <c r="T947" s="52">
        <f ca="1">SUMIFS(OUT!$F$2:$F$11000,OUT!$H$2:$H$11000,H947,OUT!$D$2:$D$11000,"Out",OUT!$E$2:$E$11000,"Iqbal")</f>
        <v>232194</v>
      </c>
    </row>
    <row r="948" spans="1:20" x14ac:dyDescent="0.2">
      <c r="A948" s="48">
        <f ca="1">IFERROR(__xludf.DUMMYFUNCTION("""COMPUTED_VALUE"""),46185)</f>
        <v>46185</v>
      </c>
      <c r="B948" s="4" t="str">
        <f ca="1">IFERROR(__xludf.DUMMYFUNCTION("""COMPUTED_VALUE"""),"Tarik Tunai ")</f>
        <v xml:space="preserve">Tarik Tunai </v>
      </c>
      <c r="C948" s="4" t="str">
        <f ca="1">IFERROR(__xludf.DUMMYFUNCTION("""COMPUTED_VALUE"""),"ATM")</f>
        <v>ATM</v>
      </c>
      <c r="D948" s="4" t="str">
        <f ca="1">IFERROR(__xludf.DUMMYFUNCTION("""COMPUTED_VALUE"""),"Out")</f>
        <v>Out</v>
      </c>
      <c r="E948" s="4" t="str">
        <f ca="1">IFERROR(__xludf.DUMMYFUNCTION("""COMPUTED_VALUE"""),"Move")</f>
        <v>Move</v>
      </c>
      <c r="F948" s="49">
        <f ca="1">IFERROR(__xludf.DUMMYFUNCTION("""COMPUTED_VALUE"""),100000)</f>
        <v>100000</v>
      </c>
      <c r="G948" s="50" t="str">
        <f ca="1">IFERROR(__xludf.DUMMYFUNCTION("""COMPUTED_VALUE"""),"Zela")</f>
        <v>Zela</v>
      </c>
      <c r="H948" s="51">
        <f t="shared" ca="1" si="0"/>
        <v>46174</v>
      </c>
      <c r="I948" s="52" t="e">
        <f ca="1">SUMIFS(OUT!$F$2:$F$11000,OUT!$H$2:$H$11000,H948,OUT!$D$2:$D$101007,"In")</f>
        <v>#VALUE!</v>
      </c>
      <c r="J948" s="52">
        <f ca="1">SUMIFS(OUT!$F$2:$F$11000,OUT!$H$2:$H$11000,H948,OUT!$D$2:$D$11000,"Out")</f>
        <v>9155672</v>
      </c>
      <c r="K948" s="52">
        <f ca="1">SUMIFS(OUT!$F$2:$F$11000,OUT!$H$2:$H$11000,H948,OUT!$D$2:$D$11000,"Out",OUT!$E$2:$E$11000,"Fix")</f>
        <v>3084727</v>
      </c>
      <c r="L948" s="52">
        <f ca="1">SUMIFS(OUT!$F$2:$F$11000,OUT!$H$2:$H$11000,H948,OUT!$D$2:$D$11000,"Out",OUT!$E$2:$E$11000,"Bathroom")</f>
        <v>37500</v>
      </c>
      <c r="M948" s="52">
        <f ca="1">SUMIFS(OUT!$F$2:$F$11000,OUT!$H$2:$H$11000,H948,OUT!$D$2:$D$11000,"Out",OUT!$E$2:$E$11000,"Alfa")</f>
        <v>317864</v>
      </c>
      <c r="N948" s="52" t="e">
        <f ca="1">SUMIFS(OUT!$F$2:$F$11000,OUT!$H$2:$H$101007,H948,OUT!$D$2:$D$11000,"Out",OUT!$E$2:$E$11000,"Jajan")</f>
        <v>#VALUE!</v>
      </c>
      <c r="O948" s="52">
        <f ca="1">SUMIFS(OUT!$F$2:$F$11000,OUT!$H$2:$H$11000,H948,OUT!$D$2:$D$11000,"Out",OUT!$E$2:$E$11000,"Kitchen")</f>
        <v>985700</v>
      </c>
      <c r="P948" s="52">
        <f ca="1">SUMIFS(OUT!$F$2:$F$11000,OUT!$H$2:$H$11000,H948,OUT!$D$2:$D$11000,"Out",OUT!$E$2:$E$11000,"Loandry")</f>
        <v>21500</v>
      </c>
      <c r="Q948" s="52">
        <f ca="1">SUMIFS(OUT!$F$2:$F$11000,OUT!$H$2:$H$11000,H948,OUT!$D$2:$D$11000,"Out",OUT!$E$2:$E$11000,"Mio")</f>
        <v>265000</v>
      </c>
      <c r="R948" s="52">
        <f ca="1">SUMIFS(OUT!$F$2:$F$11000,OUT!$H$2:$H$11000,H948,OUT!$D$2:$D$11000,"Out",OUT!$E$2:$E$11000,"Sedekah")</f>
        <v>5000</v>
      </c>
      <c r="S948" s="52">
        <f ca="1">SUMIFS(OUT!$F$2:$F$11000,OUT!$H$2:$H$11000,H948,OUT!$D$2:$D$11000,"Out",OUT!$E$2:$E$11000,"Zela")</f>
        <v>33400</v>
      </c>
      <c r="T948" s="52">
        <f ca="1">SUMIFS(OUT!$F$2:$F$11000,OUT!$H$2:$H$11000,H948,OUT!$D$2:$D$11000,"Out",OUT!$E$2:$E$11000,"Iqbal")</f>
        <v>232194</v>
      </c>
    </row>
    <row r="949" spans="1:20" x14ac:dyDescent="0.2">
      <c r="A949" s="48">
        <f ca="1">IFERROR(__xludf.DUMMYFUNCTION("""COMPUTED_VALUE"""),46185)</f>
        <v>46185</v>
      </c>
      <c r="B949" s="4" t="str">
        <f ca="1">IFERROR(__xludf.DUMMYFUNCTION("""COMPUTED_VALUE"""),"Terima Tunai ")</f>
        <v xml:space="preserve">Terima Tunai </v>
      </c>
      <c r="C949" s="4" t="str">
        <f ca="1">IFERROR(__xludf.DUMMYFUNCTION("""COMPUTED_VALUE"""),"Cash")</f>
        <v>Cash</v>
      </c>
      <c r="D949" s="4" t="str">
        <f ca="1">IFERROR(__xludf.DUMMYFUNCTION("""COMPUTED_VALUE"""),"In")</f>
        <v>In</v>
      </c>
      <c r="E949" s="4" t="str">
        <f ca="1">IFERROR(__xludf.DUMMYFUNCTION("""COMPUTED_VALUE"""),"Move")</f>
        <v>Move</v>
      </c>
      <c r="F949" s="49">
        <f ca="1">IFERROR(__xludf.DUMMYFUNCTION("""COMPUTED_VALUE"""),100000)</f>
        <v>100000</v>
      </c>
      <c r="G949" s="50" t="str">
        <f ca="1">IFERROR(__xludf.DUMMYFUNCTION("""COMPUTED_VALUE"""),"Zela")</f>
        <v>Zela</v>
      </c>
      <c r="H949" s="51">
        <f t="shared" ca="1" si="0"/>
        <v>46174</v>
      </c>
      <c r="I949" s="52" t="e">
        <f ca="1">SUMIFS(OUT!$F$2:$F$11000,OUT!$H$2:$H$11000,H949,OUT!$D$2:$D$101007,"In")</f>
        <v>#VALUE!</v>
      </c>
      <c r="J949" s="52">
        <f ca="1">SUMIFS(OUT!$F$2:$F$11000,OUT!$H$2:$H$11000,H949,OUT!$D$2:$D$11000,"Out")</f>
        <v>9155672</v>
      </c>
      <c r="K949" s="52">
        <f ca="1">SUMIFS(OUT!$F$2:$F$11000,OUT!$H$2:$H$11000,H949,OUT!$D$2:$D$11000,"Out",OUT!$E$2:$E$11000,"Fix")</f>
        <v>3084727</v>
      </c>
      <c r="L949" s="52">
        <f ca="1">SUMIFS(OUT!$F$2:$F$11000,OUT!$H$2:$H$11000,H949,OUT!$D$2:$D$11000,"Out",OUT!$E$2:$E$11000,"Bathroom")</f>
        <v>37500</v>
      </c>
      <c r="M949" s="52">
        <f ca="1">SUMIFS(OUT!$F$2:$F$11000,OUT!$H$2:$H$11000,H949,OUT!$D$2:$D$11000,"Out",OUT!$E$2:$E$11000,"Alfa")</f>
        <v>317864</v>
      </c>
      <c r="N949" s="52" t="e">
        <f ca="1">SUMIFS(OUT!$F$2:$F$11000,OUT!$H$2:$H$101007,H949,OUT!$D$2:$D$11000,"Out",OUT!$E$2:$E$11000,"Jajan")</f>
        <v>#VALUE!</v>
      </c>
      <c r="O949" s="52">
        <f ca="1">SUMIFS(OUT!$F$2:$F$11000,OUT!$H$2:$H$11000,H949,OUT!$D$2:$D$11000,"Out",OUT!$E$2:$E$11000,"Kitchen")</f>
        <v>985700</v>
      </c>
      <c r="P949" s="52">
        <f ca="1">SUMIFS(OUT!$F$2:$F$11000,OUT!$H$2:$H$11000,H949,OUT!$D$2:$D$11000,"Out",OUT!$E$2:$E$11000,"Loandry")</f>
        <v>21500</v>
      </c>
      <c r="Q949" s="52">
        <f ca="1">SUMIFS(OUT!$F$2:$F$11000,OUT!$H$2:$H$11000,H949,OUT!$D$2:$D$11000,"Out",OUT!$E$2:$E$11000,"Mio")</f>
        <v>265000</v>
      </c>
      <c r="R949" s="52">
        <f ca="1">SUMIFS(OUT!$F$2:$F$11000,OUT!$H$2:$H$11000,H949,OUT!$D$2:$D$11000,"Out",OUT!$E$2:$E$11000,"Sedekah")</f>
        <v>5000</v>
      </c>
      <c r="S949" s="52">
        <f ca="1">SUMIFS(OUT!$F$2:$F$11000,OUT!$H$2:$H$11000,H949,OUT!$D$2:$D$11000,"Out",OUT!$E$2:$E$11000,"Zela")</f>
        <v>33400</v>
      </c>
      <c r="T949" s="52">
        <f ca="1">SUMIFS(OUT!$F$2:$F$11000,OUT!$H$2:$H$11000,H949,OUT!$D$2:$D$11000,"Out",OUT!$E$2:$E$11000,"Iqbal")</f>
        <v>232194</v>
      </c>
    </row>
    <row r="950" spans="1:20" x14ac:dyDescent="0.2">
      <c r="A950" s="48">
        <f ca="1">IFERROR(__xludf.DUMMYFUNCTION("""COMPUTED_VALUE"""),46185)</f>
        <v>46185</v>
      </c>
      <c r="B950" s="4" t="str">
        <f ca="1">IFERROR(__xludf.DUMMYFUNCTION("""COMPUTED_VALUE"""),"Pasar Kaget +parkir ")</f>
        <v xml:space="preserve">Pasar Kaget +parkir </v>
      </c>
      <c r="C950" s="4" t="str">
        <f ca="1">IFERROR(__xludf.DUMMYFUNCTION("""COMPUTED_VALUE"""),"Cash")</f>
        <v>Cash</v>
      </c>
      <c r="D950" s="4" t="str">
        <f ca="1">IFERROR(__xludf.DUMMYFUNCTION("""COMPUTED_VALUE"""),"Out")</f>
        <v>Out</v>
      </c>
      <c r="E950" s="4" t="str">
        <f ca="1">IFERROR(__xludf.DUMMYFUNCTION("""COMPUTED_VALUE"""),"Kitchen")</f>
        <v>Kitchen</v>
      </c>
      <c r="F950" s="49">
        <f ca="1">IFERROR(__xludf.DUMMYFUNCTION("""COMPUTED_VALUE"""),92000)</f>
        <v>92000</v>
      </c>
      <c r="G950" s="50" t="str">
        <f ca="1">IFERROR(__xludf.DUMMYFUNCTION("""COMPUTED_VALUE"""),"Zela")</f>
        <v>Zela</v>
      </c>
      <c r="H950" s="51">
        <f t="shared" ca="1" si="0"/>
        <v>46174</v>
      </c>
      <c r="I950" s="52" t="e">
        <f ca="1">SUMIFS(OUT!$F$2:$F$11000,OUT!$H$2:$H$11000,H950,OUT!$D$2:$D$101007,"In")</f>
        <v>#VALUE!</v>
      </c>
      <c r="J950" s="52">
        <f ca="1">SUMIFS(OUT!$F$2:$F$11000,OUT!$H$2:$H$11000,H950,OUT!$D$2:$D$11000,"Out")</f>
        <v>9155672</v>
      </c>
      <c r="K950" s="52">
        <f ca="1">SUMIFS(OUT!$F$2:$F$11000,OUT!$H$2:$H$11000,H950,OUT!$D$2:$D$11000,"Out",OUT!$E$2:$E$11000,"Fix")</f>
        <v>3084727</v>
      </c>
      <c r="L950" s="52">
        <f ca="1">SUMIFS(OUT!$F$2:$F$11000,OUT!$H$2:$H$11000,H950,OUT!$D$2:$D$11000,"Out",OUT!$E$2:$E$11000,"Bathroom")</f>
        <v>37500</v>
      </c>
      <c r="M950" s="52">
        <f ca="1">SUMIFS(OUT!$F$2:$F$11000,OUT!$H$2:$H$11000,H950,OUT!$D$2:$D$11000,"Out",OUT!$E$2:$E$11000,"Alfa")</f>
        <v>317864</v>
      </c>
      <c r="N950" s="52" t="e">
        <f ca="1">SUMIFS(OUT!$F$2:$F$11000,OUT!$H$2:$H$101007,H950,OUT!$D$2:$D$11000,"Out",OUT!$E$2:$E$11000,"Jajan")</f>
        <v>#VALUE!</v>
      </c>
      <c r="O950" s="52">
        <f ca="1">SUMIFS(OUT!$F$2:$F$11000,OUT!$H$2:$H$11000,H950,OUT!$D$2:$D$11000,"Out",OUT!$E$2:$E$11000,"Kitchen")</f>
        <v>985700</v>
      </c>
      <c r="P950" s="52">
        <f ca="1">SUMIFS(OUT!$F$2:$F$11000,OUT!$H$2:$H$11000,H950,OUT!$D$2:$D$11000,"Out",OUT!$E$2:$E$11000,"Loandry")</f>
        <v>21500</v>
      </c>
      <c r="Q950" s="52">
        <f ca="1">SUMIFS(OUT!$F$2:$F$11000,OUT!$H$2:$H$11000,H950,OUT!$D$2:$D$11000,"Out",OUT!$E$2:$E$11000,"Mio")</f>
        <v>265000</v>
      </c>
      <c r="R950" s="52">
        <f ca="1">SUMIFS(OUT!$F$2:$F$11000,OUT!$H$2:$H$11000,H950,OUT!$D$2:$D$11000,"Out",OUT!$E$2:$E$11000,"Sedekah")</f>
        <v>5000</v>
      </c>
      <c r="S950" s="52">
        <f ca="1">SUMIFS(OUT!$F$2:$F$11000,OUT!$H$2:$H$11000,H950,OUT!$D$2:$D$11000,"Out",OUT!$E$2:$E$11000,"Zela")</f>
        <v>33400</v>
      </c>
      <c r="T950" s="52">
        <f ca="1">SUMIFS(OUT!$F$2:$F$11000,OUT!$H$2:$H$11000,H950,OUT!$D$2:$D$11000,"Out",OUT!$E$2:$E$11000,"Iqbal")</f>
        <v>232194</v>
      </c>
    </row>
    <row r="951" spans="1:20" x14ac:dyDescent="0.2">
      <c r="A951" s="48">
        <f ca="1">IFERROR(__xludf.DUMMYFUNCTION("""COMPUTED_VALUE"""),46186)</f>
        <v>46186</v>
      </c>
      <c r="B951" s="4" t="str">
        <f ca="1">IFERROR(__xludf.DUMMYFUNCTION("""COMPUTED_VALUE"""),"Roti Kukus ")</f>
        <v xml:space="preserve">Roti Kukus </v>
      </c>
      <c r="C951" s="4" t="str">
        <f ca="1">IFERROR(__xludf.DUMMYFUNCTION("""COMPUTED_VALUE"""),"ATM")</f>
        <v>ATM</v>
      </c>
      <c r="D951" s="4" t="str">
        <f ca="1">IFERROR(__xludf.DUMMYFUNCTION("""COMPUTED_VALUE"""),"Out")</f>
        <v>Out</v>
      </c>
      <c r="E951" s="4" t="str">
        <f ca="1">IFERROR(__xludf.DUMMYFUNCTION("""COMPUTED_VALUE"""),"Jajan")</f>
        <v>Jajan</v>
      </c>
      <c r="F951" s="49">
        <f ca="1">IFERROR(__xludf.DUMMYFUNCTION("""COMPUTED_VALUE"""),6000)</f>
        <v>6000</v>
      </c>
      <c r="G951" s="50" t="str">
        <f ca="1">IFERROR(__xludf.DUMMYFUNCTION("""COMPUTED_VALUE"""),"Zela")</f>
        <v>Zela</v>
      </c>
      <c r="H951" s="51">
        <f t="shared" ca="1" si="0"/>
        <v>46174</v>
      </c>
      <c r="I951" s="52" t="e">
        <f ca="1">SUMIFS(OUT!$F$2:$F$11000,OUT!$H$2:$H$11000,H951,OUT!$D$2:$D$101007,"In")</f>
        <v>#VALUE!</v>
      </c>
      <c r="J951" s="52">
        <f ca="1">SUMIFS(OUT!$F$2:$F$11000,OUT!$H$2:$H$11000,H951,OUT!$D$2:$D$11000,"Out")</f>
        <v>9155672</v>
      </c>
      <c r="K951" s="52">
        <f ca="1">SUMIFS(OUT!$F$2:$F$11000,OUT!$H$2:$H$11000,H951,OUT!$D$2:$D$11000,"Out",OUT!$E$2:$E$11000,"Fix")</f>
        <v>3084727</v>
      </c>
      <c r="L951" s="52">
        <f ca="1">SUMIFS(OUT!$F$2:$F$11000,OUT!$H$2:$H$11000,H951,OUT!$D$2:$D$11000,"Out",OUT!$E$2:$E$11000,"Bathroom")</f>
        <v>37500</v>
      </c>
      <c r="M951" s="52">
        <f ca="1">SUMIFS(OUT!$F$2:$F$11000,OUT!$H$2:$H$11000,H951,OUT!$D$2:$D$11000,"Out",OUT!$E$2:$E$11000,"Alfa")</f>
        <v>317864</v>
      </c>
      <c r="N951" s="52" t="e">
        <f ca="1">SUMIFS(OUT!$F$2:$F$11000,OUT!$H$2:$H$101007,H951,OUT!$D$2:$D$11000,"Out",OUT!$E$2:$E$11000,"Jajan")</f>
        <v>#VALUE!</v>
      </c>
      <c r="O951" s="52">
        <f ca="1">SUMIFS(OUT!$F$2:$F$11000,OUT!$H$2:$H$11000,H951,OUT!$D$2:$D$11000,"Out",OUT!$E$2:$E$11000,"Kitchen")</f>
        <v>985700</v>
      </c>
      <c r="P951" s="52">
        <f ca="1">SUMIFS(OUT!$F$2:$F$11000,OUT!$H$2:$H$11000,H951,OUT!$D$2:$D$11000,"Out",OUT!$E$2:$E$11000,"Loandry")</f>
        <v>21500</v>
      </c>
      <c r="Q951" s="52">
        <f ca="1">SUMIFS(OUT!$F$2:$F$11000,OUT!$H$2:$H$11000,H951,OUT!$D$2:$D$11000,"Out",OUT!$E$2:$E$11000,"Mio")</f>
        <v>265000</v>
      </c>
      <c r="R951" s="52">
        <f ca="1">SUMIFS(OUT!$F$2:$F$11000,OUT!$H$2:$H$11000,H951,OUT!$D$2:$D$11000,"Out",OUT!$E$2:$E$11000,"Sedekah")</f>
        <v>5000</v>
      </c>
      <c r="S951" s="52">
        <f ca="1">SUMIFS(OUT!$F$2:$F$11000,OUT!$H$2:$H$11000,H951,OUT!$D$2:$D$11000,"Out",OUT!$E$2:$E$11000,"Zela")</f>
        <v>33400</v>
      </c>
      <c r="T951" s="52">
        <f ca="1">SUMIFS(OUT!$F$2:$F$11000,OUT!$H$2:$H$11000,H951,OUT!$D$2:$D$11000,"Out",OUT!$E$2:$E$11000,"Iqbal")</f>
        <v>232194</v>
      </c>
    </row>
    <row r="952" spans="1:20" x14ac:dyDescent="0.2">
      <c r="A952" s="48">
        <f ca="1">IFERROR(__xludf.DUMMYFUNCTION("""COMPUTED_VALUE"""),46186)</f>
        <v>46186</v>
      </c>
      <c r="B952" s="4" t="str">
        <f ca="1">IFERROR(__xludf.DUMMYFUNCTION("""COMPUTED_VALUE"""),"Es Jeruk ")</f>
        <v xml:space="preserve">Es Jeruk </v>
      </c>
      <c r="C952" s="4" t="str">
        <f ca="1">IFERROR(__xludf.DUMMYFUNCTION("""COMPUTED_VALUE"""),"ATM")</f>
        <v>ATM</v>
      </c>
      <c r="D952" s="4" t="str">
        <f ca="1">IFERROR(__xludf.DUMMYFUNCTION("""COMPUTED_VALUE"""),"Out")</f>
        <v>Out</v>
      </c>
      <c r="E952" s="4" t="str">
        <f ca="1">IFERROR(__xludf.DUMMYFUNCTION("""COMPUTED_VALUE"""),"Jajan")</f>
        <v>Jajan</v>
      </c>
      <c r="F952" s="49">
        <f ca="1">IFERROR(__xludf.DUMMYFUNCTION("""COMPUTED_VALUE"""),8000)</f>
        <v>8000</v>
      </c>
      <c r="G952" s="50" t="str">
        <f ca="1">IFERROR(__xludf.DUMMYFUNCTION("""COMPUTED_VALUE"""),"Zela")</f>
        <v>Zela</v>
      </c>
      <c r="H952" s="51">
        <f t="shared" ca="1" si="0"/>
        <v>46174</v>
      </c>
      <c r="I952" s="52" t="e">
        <f ca="1">SUMIFS(OUT!$F$2:$F$11000,OUT!$H$2:$H$11000,H952,OUT!$D$2:$D$101007,"In")</f>
        <v>#VALUE!</v>
      </c>
      <c r="J952" s="52">
        <f ca="1">SUMIFS(OUT!$F$2:$F$11000,OUT!$H$2:$H$11000,H952,OUT!$D$2:$D$11000,"Out")</f>
        <v>9155672</v>
      </c>
      <c r="K952" s="52">
        <f ca="1">SUMIFS(OUT!$F$2:$F$11000,OUT!$H$2:$H$11000,H952,OUT!$D$2:$D$11000,"Out",OUT!$E$2:$E$11000,"Fix")</f>
        <v>3084727</v>
      </c>
      <c r="L952" s="52">
        <f ca="1">SUMIFS(OUT!$F$2:$F$11000,OUT!$H$2:$H$11000,H952,OUT!$D$2:$D$11000,"Out",OUT!$E$2:$E$11000,"Bathroom")</f>
        <v>37500</v>
      </c>
      <c r="M952" s="52">
        <f ca="1">SUMIFS(OUT!$F$2:$F$11000,OUT!$H$2:$H$11000,H952,OUT!$D$2:$D$11000,"Out",OUT!$E$2:$E$11000,"Alfa")</f>
        <v>317864</v>
      </c>
      <c r="N952" s="52" t="e">
        <f ca="1">SUMIFS(OUT!$F$2:$F$11000,OUT!$H$2:$H$101007,H952,OUT!$D$2:$D$11000,"Out",OUT!$E$2:$E$11000,"Jajan")</f>
        <v>#VALUE!</v>
      </c>
      <c r="O952" s="52">
        <f ca="1">SUMIFS(OUT!$F$2:$F$11000,OUT!$H$2:$H$11000,H952,OUT!$D$2:$D$11000,"Out",OUT!$E$2:$E$11000,"Kitchen")</f>
        <v>985700</v>
      </c>
      <c r="P952" s="52">
        <f ca="1">SUMIFS(OUT!$F$2:$F$11000,OUT!$H$2:$H$11000,H952,OUT!$D$2:$D$11000,"Out",OUT!$E$2:$E$11000,"Loandry")</f>
        <v>21500</v>
      </c>
      <c r="Q952" s="52">
        <f ca="1">SUMIFS(OUT!$F$2:$F$11000,OUT!$H$2:$H$11000,H952,OUT!$D$2:$D$11000,"Out",OUT!$E$2:$E$11000,"Mio")</f>
        <v>265000</v>
      </c>
      <c r="R952" s="52">
        <f ca="1">SUMIFS(OUT!$F$2:$F$11000,OUT!$H$2:$H$11000,H952,OUT!$D$2:$D$11000,"Out",OUT!$E$2:$E$11000,"Sedekah")</f>
        <v>5000</v>
      </c>
      <c r="S952" s="52">
        <f ca="1">SUMIFS(OUT!$F$2:$F$11000,OUT!$H$2:$H$11000,H952,OUT!$D$2:$D$11000,"Out",OUT!$E$2:$E$11000,"Zela")</f>
        <v>33400</v>
      </c>
      <c r="T952" s="52">
        <f ca="1">SUMIFS(OUT!$F$2:$F$11000,OUT!$H$2:$H$11000,H952,OUT!$D$2:$D$11000,"Out",OUT!$E$2:$E$11000,"Iqbal")</f>
        <v>232194</v>
      </c>
    </row>
    <row r="953" spans="1:20" x14ac:dyDescent="0.2">
      <c r="A953" s="48">
        <f ca="1">IFERROR(__xludf.DUMMYFUNCTION("""COMPUTED_VALUE"""),46186)</f>
        <v>46186</v>
      </c>
      <c r="B953" s="4" t="str">
        <f ca="1">IFERROR(__xludf.DUMMYFUNCTION("""COMPUTED_VALUE"""),"Teh Poci +sate ")</f>
        <v xml:space="preserve">Teh Poci +sate </v>
      </c>
      <c r="C953" s="4" t="str">
        <f ca="1">IFERROR(__xludf.DUMMYFUNCTION("""COMPUTED_VALUE"""),"ATM")</f>
        <v>ATM</v>
      </c>
      <c r="D953" s="4" t="str">
        <f ca="1">IFERROR(__xludf.DUMMYFUNCTION("""COMPUTED_VALUE"""),"Out")</f>
        <v>Out</v>
      </c>
      <c r="E953" s="4" t="str">
        <f ca="1">IFERROR(__xludf.DUMMYFUNCTION("""COMPUTED_VALUE"""),"Jajan")</f>
        <v>Jajan</v>
      </c>
      <c r="F953" s="49">
        <f ca="1">IFERROR(__xludf.DUMMYFUNCTION("""COMPUTED_VALUE"""),25000)</f>
        <v>25000</v>
      </c>
      <c r="G953" s="50" t="str">
        <f ca="1">IFERROR(__xludf.DUMMYFUNCTION("""COMPUTED_VALUE"""),"Zela")</f>
        <v>Zela</v>
      </c>
      <c r="H953" s="51">
        <f t="shared" ca="1" si="0"/>
        <v>46174</v>
      </c>
      <c r="I953" s="52" t="e">
        <f ca="1">SUMIFS(OUT!$F$2:$F$11000,OUT!$H$2:$H$11000,H953,OUT!$D$2:$D$101007,"In")</f>
        <v>#VALUE!</v>
      </c>
      <c r="J953" s="52">
        <f ca="1">SUMIFS(OUT!$F$2:$F$11000,OUT!$H$2:$H$11000,H953,OUT!$D$2:$D$11000,"Out")</f>
        <v>9155672</v>
      </c>
      <c r="K953" s="52">
        <f ca="1">SUMIFS(OUT!$F$2:$F$11000,OUT!$H$2:$H$11000,H953,OUT!$D$2:$D$11000,"Out",OUT!$E$2:$E$11000,"Fix")</f>
        <v>3084727</v>
      </c>
      <c r="L953" s="52">
        <f ca="1">SUMIFS(OUT!$F$2:$F$11000,OUT!$H$2:$H$11000,H953,OUT!$D$2:$D$11000,"Out",OUT!$E$2:$E$11000,"Bathroom")</f>
        <v>37500</v>
      </c>
      <c r="M953" s="52">
        <f ca="1">SUMIFS(OUT!$F$2:$F$11000,OUT!$H$2:$H$11000,H953,OUT!$D$2:$D$11000,"Out",OUT!$E$2:$E$11000,"Alfa")</f>
        <v>317864</v>
      </c>
      <c r="N953" s="52" t="e">
        <f ca="1">SUMIFS(OUT!$F$2:$F$11000,OUT!$H$2:$H$101007,H953,OUT!$D$2:$D$11000,"Out",OUT!$E$2:$E$11000,"Jajan")</f>
        <v>#VALUE!</v>
      </c>
      <c r="O953" s="52">
        <f ca="1">SUMIFS(OUT!$F$2:$F$11000,OUT!$H$2:$H$11000,H953,OUT!$D$2:$D$11000,"Out",OUT!$E$2:$E$11000,"Kitchen")</f>
        <v>985700</v>
      </c>
      <c r="P953" s="52">
        <f ca="1">SUMIFS(OUT!$F$2:$F$11000,OUT!$H$2:$H$11000,H953,OUT!$D$2:$D$11000,"Out",OUT!$E$2:$E$11000,"Loandry")</f>
        <v>21500</v>
      </c>
      <c r="Q953" s="52">
        <f ca="1">SUMIFS(OUT!$F$2:$F$11000,OUT!$H$2:$H$11000,H953,OUT!$D$2:$D$11000,"Out",OUT!$E$2:$E$11000,"Mio")</f>
        <v>265000</v>
      </c>
      <c r="R953" s="52">
        <f ca="1">SUMIFS(OUT!$F$2:$F$11000,OUT!$H$2:$H$11000,H953,OUT!$D$2:$D$11000,"Out",OUT!$E$2:$E$11000,"Sedekah")</f>
        <v>5000</v>
      </c>
      <c r="S953" s="52">
        <f ca="1">SUMIFS(OUT!$F$2:$F$11000,OUT!$H$2:$H$11000,H953,OUT!$D$2:$D$11000,"Out",OUT!$E$2:$E$11000,"Zela")</f>
        <v>33400</v>
      </c>
      <c r="T953" s="52">
        <f ca="1">SUMIFS(OUT!$F$2:$F$11000,OUT!$H$2:$H$11000,H953,OUT!$D$2:$D$11000,"Out",OUT!$E$2:$E$11000,"Iqbal")</f>
        <v>232194</v>
      </c>
    </row>
    <row r="954" spans="1:20" x14ac:dyDescent="0.2">
      <c r="A954" s="48">
        <f ca="1">IFERROR(__xludf.DUMMYFUNCTION("""COMPUTED_VALUE"""),46186)</f>
        <v>46186</v>
      </c>
      <c r="B954" s="4" t="str">
        <f ca="1">IFERROR(__xludf.DUMMYFUNCTION("""COMPUTED_VALUE"""),"Tisu Basah")</f>
        <v>Tisu Basah</v>
      </c>
      <c r="C954" s="4" t="str">
        <f ca="1">IFERROR(__xludf.DUMMYFUNCTION("""COMPUTED_VALUE"""),"ATM")</f>
        <v>ATM</v>
      </c>
      <c r="D954" s="4" t="str">
        <f ca="1">IFERROR(__xludf.DUMMYFUNCTION("""COMPUTED_VALUE"""),"Out")</f>
        <v>Out</v>
      </c>
      <c r="E954" s="4" t="str">
        <f ca="1">IFERROR(__xludf.DUMMYFUNCTION("""COMPUTED_VALUE"""),"Alfa")</f>
        <v>Alfa</v>
      </c>
      <c r="F954" s="49">
        <f ca="1">IFERROR(__xludf.DUMMYFUNCTION("""COMPUTED_VALUE"""),9000)</f>
        <v>9000</v>
      </c>
      <c r="G954" s="50" t="str">
        <f ca="1">IFERROR(__xludf.DUMMYFUNCTION("""COMPUTED_VALUE"""),"Zela")</f>
        <v>Zela</v>
      </c>
      <c r="H954" s="51">
        <f t="shared" ca="1" si="0"/>
        <v>46174</v>
      </c>
      <c r="I954" s="52" t="e">
        <f ca="1">SUMIFS(OUT!$F$2:$F$11000,OUT!$H$2:$H$11000,H954,OUT!$D$2:$D$101007,"In")</f>
        <v>#VALUE!</v>
      </c>
      <c r="J954" s="52">
        <f ca="1">SUMIFS(OUT!$F$2:$F$11000,OUT!$H$2:$H$11000,H954,OUT!$D$2:$D$11000,"Out")</f>
        <v>9155672</v>
      </c>
      <c r="K954" s="52">
        <f ca="1">SUMIFS(OUT!$F$2:$F$11000,OUT!$H$2:$H$11000,H954,OUT!$D$2:$D$11000,"Out",OUT!$E$2:$E$11000,"Fix")</f>
        <v>3084727</v>
      </c>
      <c r="L954" s="52">
        <f ca="1">SUMIFS(OUT!$F$2:$F$11000,OUT!$H$2:$H$11000,H954,OUT!$D$2:$D$11000,"Out",OUT!$E$2:$E$11000,"Bathroom")</f>
        <v>37500</v>
      </c>
      <c r="M954" s="52">
        <f ca="1">SUMIFS(OUT!$F$2:$F$11000,OUT!$H$2:$H$11000,H954,OUT!$D$2:$D$11000,"Out",OUT!$E$2:$E$11000,"Alfa")</f>
        <v>317864</v>
      </c>
      <c r="N954" s="52" t="e">
        <f ca="1">SUMIFS(OUT!$F$2:$F$11000,OUT!$H$2:$H$101007,H954,OUT!$D$2:$D$11000,"Out",OUT!$E$2:$E$11000,"Jajan")</f>
        <v>#VALUE!</v>
      </c>
      <c r="O954" s="52">
        <f ca="1">SUMIFS(OUT!$F$2:$F$11000,OUT!$H$2:$H$11000,H954,OUT!$D$2:$D$11000,"Out",OUT!$E$2:$E$11000,"Kitchen")</f>
        <v>985700</v>
      </c>
      <c r="P954" s="52">
        <f ca="1">SUMIFS(OUT!$F$2:$F$11000,OUT!$H$2:$H$11000,H954,OUT!$D$2:$D$11000,"Out",OUT!$E$2:$E$11000,"Loandry")</f>
        <v>21500</v>
      </c>
      <c r="Q954" s="52">
        <f ca="1">SUMIFS(OUT!$F$2:$F$11000,OUT!$H$2:$H$11000,H954,OUT!$D$2:$D$11000,"Out",OUT!$E$2:$E$11000,"Mio")</f>
        <v>265000</v>
      </c>
      <c r="R954" s="52">
        <f ca="1">SUMIFS(OUT!$F$2:$F$11000,OUT!$H$2:$H$11000,H954,OUT!$D$2:$D$11000,"Out",OUT!$E$2:$E$11000,"Sedekah")</f>
        <v>5000</v>
      </c>
      <c r="S954" s="52">
        <f ca="1">SUMIFS(OUT!$F$2:$F$11000,OUT!$H$2:$H$11000,H954,OUT!$D$2:$D$11000,"Out",OUT!$E$2:$E$11000,"Zela")</f>
        <v>33400</v>
      </c>
      <c r="T954" s="52">
        <f ca="1">SUMIFS(OUT!$F$2:$F$11000,OUT!$H$2:$H$11000,H954,OUT!$D$2:$D$11000,"Out",OUT!$E$2:$E$11000,"Iqbal")</f>
        <v>232194</v>
      </c>
    </row>
    <row r="955" spans="1:20" x14ac:dyDescent="0.2">
      <c r="A955" s="48">
        <f ca="1">IFERROR(__xludf.DUMMYFUNCTION("""COMPUTED_VALUE"""),46186)</f>
        <v>46186</v>
      </c>
      <c r="B955" s="4" t="str">
        <f ca="1">IFERROR(__xludf.DUMMYFUNCTION("""COMPUTED_VALUE"""),"Telur gulung ")</f>
        <v xml:space="preserve">Telur gulung </v>
      </c>
      <c r="C955" s="4" t="str">
        <f ca="1">IFERROR(__xludf.DUMMYFUNCTION("""COMPUTED_VALUE"""),"Cash")</f>
        <v>Cash</v>
      </c>
      <c r="D955" s="4" t="str">
        <f ca="1">IFERROR(__xludf.DUMMYFUNCTION("""COMPUTED_VALUE"""),"Out")</f>
        <v>Out</v>
      </c>
      <c r="E955" s="4" t="str">
        <f ca="1">IFERROR(__xludf.DUMMYFUNCTION("""COMPUTED_VALUE"""),"Jajan")</f>
        <v>Jajan</v>
      </c>
      <c r="F955" s="49">
        <f ca="1">IFERROR(__xludf.DUMMYFUNCTION("""COMPUTED_VALUE"""),10000)</f>
        <v>10000</v>
      </c>
      <c r="G955" s="50" t="str">
        <f ca="1">IFERROR(__xludf.DUMMYFUNCTION("""COMPUTED_VALUE"""),"Zela")</f>
        <v>Zela</v>
      </c>
      <c r="H955" s="51">
        <f t="shared" ca="1" si="0"/>
        <v>46174</v>
      </c>
      <c r="I955" s="52" t="e">
        <f ca="1">SUMIFS(OUT!$F$2:$F$11000,OUT!$H$2:$H$11000,H955,OUT!$D$2:$D$101007,"In")</f>
        <v>#VALUE!</v>
      </c>
      <c r="J955" s="52">
        <f ca="1">SUMIFS(OUT!$F$2:$F$11000,OUT!$H$2:$H$11000,H955,OUT!$D$2:$D$11000,"Out")</f>
        <v>9155672</v>
      </c>
      <c r="K955" s="52">
        <f ca="1">SUMIFS(OUT!$F$2:$F$11000,OUT!$H$2:$H$11000,H955,OUT!$D$2:$D$11000,"Out",OUT!$E$2:$E$11000,"Fix")</f>
        <v>3084727</v>
      </c>
      <c r="L955" s="52">
        <f ca="1">SUMIFS(OUT!$F$2:$F$11000,OUT!$H$2:$H$11000,H955,OUT!$D$2:$D$11000,"Out",OUT!$E$2:$E$11000,"Bathroom")</f>
        <v>37500</v>
      </c>
      <c r="M955" s="52">
        <f ca="1">SUMIFS(OUT!$F$2:$F$11000,OUT!$H$2:$H$11000,H955,OUT!$D$2:$D$11000,"Out",OUT!$E$2:$E$11000,"Alfa")</f>
        <v>317864</v>
      </c>
      <c r="N955" s="52" t="e">
        <f ca="1">SUMIFS(OUT!$F$2:$F$11000,OUT!$H$2:$H$101007,H955,OUT!$D$2:$D$11000,"Out",OUT!$E$2:$E$11000,"Jajan")</f>
        <v>#VALUE!</v>
      </c>
      <c r="O955" s="52">
        <f ca="1">SUMIFS(OUT!$F$2:$F$11000,OUT!$H$2:$H$11000,H955,OUT!$D$2:$D$11000,"Out",OUT!$E$2:$E$11000,"Kitchen")</f>
        <v>985700</v>
      </c>
      <c r="P955" s="52">
        <f ca="1">SUMIFS(OUT!$F$2:$F$11000,OUT!$H$2:$H$11000,H955,OUT!$D$2:$D$11000,"Out",OUT!$E$2:$E$11000,"Loandry")</f>
        <v>21500</v>
      </c>
      <c r="Q955" s="52">
        <f ca="1">SUMIFS(OUT!$F$2:$F$11000,OUT!$H$2:$H$11000,H955,OUT!$D$2:$D$11000,"Out",OUT!$E$2:$E$11000,"Mio")</f>
        <v>265000</v>
      </c>
      <c r="R955" s="52">
        <f ca="1">SUMIFS(OUT!$F$2:$F$11000,OUT!$H$2:$H$11000,H955,OUT!$D$2:$D$11000,"Out",OUT!$E$2:$E$11000,"Sedekah")</f>
        <v>5000</v>
      </c>
      <c r="S955" s="52">
        <f ca="1">SUMIFS(OUT!$F$2:$F$11000,OUT!$H$2:$H$11000,H955,OUT!$D$2:$D$11000,"Out",OUT!$E$2:$E$11000,"Zela")</f>
        <v>33400</v>
      </c>
      <c r="T955" s="52">
        <f ca="1">SUMIFS(OUT!$F$2:$F$11000,OUT!$H$2:$H$11000,H955,OUT!$D$2:$D$11000,"Out",OUT!$E$2:$E$11000,"Iqbal")</f>
        <v>232194</v>
      </c>
    </row>
    <row r="956" spans="1:20" x14ac:dyDescent="0.2">
      <c r="A956" s="48">
        <f ca="1">IFERROR(__xludf.DUMMYFUNCTION("""COMPUTED_VALUE"""),46186)</f>
        <v>46186</v>
      </c>
      <c r="B956" s="4" t="str">
        <f ca="1">IFERROR(__xludf.DUMMYFUNCTION("""COMPUTED_VALUE"""),"Tarik Tunai ")</f>
        <v xml:space="preserve">Tarik Tunai </v>
      </c>
      <c r="C956" s="4" t="str">
        <f ca="1">IFERROR(__xludf.DUMMYFUNCTION("""COMPUTED_VALUE"""),"ATM")</f>
        <v>ATM</v>
      </c>
      <c r="D956" s="4" t="str">
        <f ca="1">IFERROR(__xludf.DUMMYFUNCTION("""COMPUTED_VALUE"""),"Out")</f>
        <v>Out</v>
      </c>
      <c r="E956" s="4" t="str">
        <f ca="1">IFERROR(__xludf.DUMMYFUNCTION("""COMPUTED_VALUE"""),"Move")</f>
        <v>Move</v>
      </c>
      <c r="F956" s="49">
        <f ca="1">IFERROR(__xludf.DUMMYFUNCTION("""COMPUTED_VALUE"""),100000)</f>
        <v>100000</v>
      </c>
      <c r="G956" s="50" t="str">
        <f ca="1">IFERROR(__xludf.DUMMYFUNCTION("""COMPUTED_VALUE"""),"Zela")</f>
        <v>Zela</v>
      </c>
      <c r="H956" s="51">
        <f t="shared" ca="1" si="0"/>
        <v>46174</v>
      </c>
      <c r="I956" s="52" t="e">
        <f ca="1">SUMIFS(OUT!$F$2:$F$11000,OUT!$H$2:$H$11000,H956,OUT!$D$2:$D$101007,"In")</f>
        <v>#VALUE!</v>
      </c>
      <c r="J956" s="52">
        <f ca="1">SUMIFS(OUT!$F$2:$F$11000,OUT!$H$2:$H$11000,H956,OUT!$D$2:$D$11000,"Out")</f>
        <v>9155672</v>
      </c>
      <c r="K956" s="52">
        <f ca="1">SUMIFS(OUT!$F$2:$F$11000,OUT!$H$2:$H$11000,H956,OUT!$D$2:$D$11000,"Out",OUT!$E$2:$E$11000,"Fix")</f>
        <v>3084727</v>
      </c>
      <c r="L956" s="52">
        <f ca="1">SUMIFS(OUT!$F$2:$F$11000,OUT!$H$2:$H$11000,H956,OUT!$D$2:$D$11000,"Out",OUT!$E$2:$E$11000,"Bathroom")</f>
        <v>37500</v>
      </c>
      <c r="M956" s="52">
        <f ca="1">SUMIFS(OUT!$F$2:$F$11000,OUT!$H$2:$H$11000,H956,OUT!$D$2:$D$11000,"Out",OUT!$E$2:$E$11000,"Alfa")</f>
        <v>317864</v>
      </c>
      <c r="N956" s="52" t="e">
        <f ca="1">SUMIFS(OUT!$F$2:$F$11000,OUT!$H$2:$H$101007,H956,OUT!$D$2:$D$11000,"Out",OUT!$E$2:$E$11000,"Jajan")</f>
        <v>#VALUE!</v>
      </c>
      <c r="O956" s="52">
        <f ca="1">SUMIFS(OUT!$F$2:$F$11000,OUT!$H$2:$H$11000,H956,OUT!$D$2:$D$11000,"Out",OUT!$E$2:$E$11000,"Kitchen")</f>
        <v>985700</v>
      </c>
      <c r="P956" s="52">
        <f ca="1">SUMIFS(OUT!$F$2:$F$11000,OUT!$H$2:$H$11000,H956,OUT!$D$2:$D$11000,"Out",OUT!$E$2:$E$11000,"Loandry")</f>
        <v>21500</v>
      </c>
      <c r="Q956" s="52">
        <f ca="1">SUMIFS(OUT!$F$2:$F$11000,OUT!$H$2:$H$11000,H956,OUT!$D$2:$D$11000,"Out",OUT!$E$2:$E$11000,"Mio")</f>
        <v>265000</v>
      </c>
      <c r="R956" s="52">
        <f ca="1">SUMIFS(OUT!$F$2:$F$11000,OUT!$H$2:$H$11000,H956,OUT!$D$2:$D$11000,"Out",OUT!$E$2:$E$11000,"Sedekah")</f>
        <v>5000</v>
      </c>
      <c r="S956" s="52">
        <f ca="1">SUMIFS(OUT!$F$2:$F$11000,OUT!$H$2:$H$11000,H956,OUT!$D$2:$D$11000,"Out",OUT!$E$2:$E$11000,"Zela")</f>
        <v>33400</v>
      </c>
      <c r="T956" s="52">
        <f ca="1">SUMIFS(OUT!$F$2:$F$11000,OUT!$H$2:$H$11000,H956,OUT!$D$2:$D$11000,"Out",OUT!$E$2:$E$11000,"Iqbal")</f>
        <v>232194</v>
      </c>
    </row>
    <row r="957" spans="1:20" x14ac:dyDescent="0.2">
      <c r="A957" s="48">
        <f ca="1">IFERROR(__xludf.DUMMYFUNCTION("""COMPUTED_VALUE"""),46186)</f>
        <v>46186</v>
      </c>
      <c r="B957" s="4" t="str">
        <f ca="1">IFERROR(__xludf.DUMMYFUNCTION("""COMPUTED_VALUE"""),"Terima Tunai ")</f>
        <v xml:space="preserve">Terima Tunai </v>
      </c>
      <c r="C957" s="4" t="str">
        <f ca="1">IFERROR(__xludf.DUMMYFUNCTION("""COMPUTED_VALUE"""),"Cash")</f>
        <v>Cash</v>
      </c>
      <c r="D957" s="4" t="str">
        <f ca="1">IFERROR(__xludf.DUMMYFUNCTION("""COMPUTED_VALUE"""),"In")</f>
        <v>In</v>
      </c>
      <c r="E957" s="4" t="str">
        <f ca="1">IFERROR(__xludf.DUMMYFUNCTION("""COMPUTED_VALUE"""),"Move")</f>
        <v>Move</v>
      </c>
      <c r="F957" s="49">
        <f ca="1">IFERROR(__xludf.DUMMYFUNCTION("""COMPUTED_VALUE"""),100000)</f>
        <v>100000</v>
      </c>
      <c r="G957" s="50" t="str">
        <f ca="1">IFERROR(__xludf.DUMMYFUNCTION("""COMPUTED_VALUE"""),"Zela")</f>
        <v>Zela</v>
      </c>
      <c r="H957" s="51">
        <f t="shared" ca="1" si="0"/>
        <v>46174</v>
      </c>
      <c r="I957" s="52" t="e">
        <f ca="1">SUMIFS(OUT!$F$2:$F$11000,OUT!$H$2:$H$11000,H957,OUT!$D$2:$D$101007,"In")</f>
        <v>#VALUE!</v>
      </c>
      <c r="J957" s="52">
        <f ca="1">SUMIFS(OUT!$F$2:$F$11000,OUT!$H$2:$H$11000,H957,OUT!$D$2:$D$11000,"Out")</f>
        <v>9155672</v>
      </c>
      <c r="K957" s="52">
        <f ca="1">SUMIFS(OUT!$F$2:$F$11000,OUT!$H$2:$H$11000,H957,OUT!$D$2:$D$11000,"Out",OUT!$E$2:$E$11000,"Fix")</f>
        <v>3084727</v>
      </c>
      <c r="L957" s="52">
        <f ca="1">SUMIFS(OUT!$F$2:$F$11000,OUT!$H$2:$H$11000,H957,OUT!$D$2:$D$11000,"Out",OUT!$E$2:$E$11000,"Bathroom")</f>
        <v>37500</v>
      </c>
      <c r="M957" s="52">
        <f ca="1">SUMIFS(OUT!$F$2:$F$11000,OUT!$H$2:$H$11000,H957,OUT!$D$2:$D$11000,"Out",OUT!$E$2:$E$11000,"Alfa")</f>
        <v>317864</v>
      </c>
      <c r="N957" s="52" t="e">
        <f ca="1">SUMIFS(OUT!$F$2:$F$11000,OUT!$H$2:$H$101007,H957,OUT!$D$2:$D$11000,"Out",OUT!$E$2:$E$11000,"Jajan")</f>
        <v>#VALUE!</v>
      </c>
      <c r="O957" s="52">
        <f ca="1">SUMIFS(OUT!$F$2:$F$11000,OUT!$H$2:$H$11000,H957,OUT!$D$2:$D$11000,"Out",OUT!$E$2:$E$11000,"Kitchen")</f>
        <v>985700</v>
      </c>
      <c r="P957" s="52">
        <f ca="1">SUMIFS(OUT!$F$2:$F$11000,OUT!$H$2:$H$11000,H957,OUT!$D$2:$D$11000,"Out",OUT!$E$2:$E$11000,"Loandry")</f>
        <v>21500</v>
      </c>
      <c r="Q957" s="52">
        <f ca="1">SUMIFS(OUT!$F$2:$F$11000,OUT!$H$2:$H$11000,H957,OUT!$D$2:$D$11000,"Out",OUT!$E$2:$E$11000,"Mio")</f>
        <v>265000</v>
      </c>
      <c r="R957" s="52">
        <f ca="1">SUMIFS(OUT!$F$2:$F$11000,OUT!$H$2:$H$11000,H957,OUT!$D$2:$D$11000,"Out",OUT!$E$2:$E$11000,"Sedekah")</f>
        <v>5000</v>
      </c>
      <c r="S957" s="52">
        <f ca="1">SUMIFS(OUT!$F$2:$F$11000,OUT!$H$2:$H$11000,H957,OUT!$D$2:$D$11000,"Out",OUT!$E$2:$E$11000,"Zela")</f>
        <v>33400</v>
      </c>
      <c r="T957" s="52">
        <f ca="1">SUMIFS(OUT!$F$2:$F$11000,OUT!$H$2:$H$11000,H957,OUT!$D$2:$D$11000,"Out",OUT!$E$2:$E$11000,"Iqbal")</f>
        <v>232194</v>
      </c>
    </row>
    <row r="958" spans="1:20" x14ac:dyDescent="0.2">
      <c r="A958" s="48">
        <f ca="1">IFERROR(__xludf.DUMMYFUNCTION("""COMPUTED_VALUE"""),46186)</f>
        <v>46186</v>
      </c>
      <c r="B958" s="4" t="str">
        <f ca="1">IFERROR(__xludf.DUMMYFUNCTION("""COMPUTED_VALUE"""),"Bensin Motor pertalite ")</f>
        <v xml:space="preserve">Bensin Motor pertalite </v>
      </c>
      <c r="C958" s="4" t="str">
        <f ca="1">IFERROR(__xludf.DUMMYFUNCTION("""COMPUTED_VALUE"""),"Cash")</f>
        <v>Cash</v>
      </c>
      <c r="D958" s="4" t="str">
        <f ca="1">IFERROR(__xludf.DUMMYFUNCTION("""COMPUTED_VALUE"""),"Out")</f>
        <v>Out</v>
      </c>
      <c r="E958" s="4" t="str">
        <f ca="1">IFERROR(__xludf.DUMMYFUNCTION("""COMPUTED_VALUE"""),"Mio")</f>
        <v>Mio</v>
      </c>
      <c r="F958" s="49">
        <f ca="1">IFERROR(__xludf.DUMMYFUNCTION("""COMPUTED_VALUE"""),25000)</f>
        <v>25000</v>
      </c>
      <c r="G958" s="50" t="str">
        <f ca="1">IFERROR(__xludf.DUMMYFUNCTION("""COMPUTED_VALUE"""),"Zela")</f>
        <v>Zela</v>
      </c>
      <c r="H958" s="51">
        <f t="shared" ca="1" si="0"/>
        <v>46174</v>
      </c>
      <c r="I958" s="52" t="e">
        <f ca="1">SUMIFS(OUT!$F$2:$F$11000,OUT!$H$2:$H$11000,H958,OUT!$D$2:$D$101007,"In")</f>
        <v>#VALUE!</v>
      </c>
      <c r="J958" s="52">
        <f ca="1">SUMIFS(OUT!$F$2:$F$11000,OUT!$H$2:$H$11000,H958,OUT!$D$2:$D$11000,"Out")</f>
        <v>9155672</v>
      </c>
      <c r="K958" s="52">
        <f ca="1">SUMIFS(OUT!$F$2:$F$11000,OUT!$H$2:$H$11000,H958,OUT!$D$2:$D$11000,"Out",OUT!$E$2:$E$11000,"Fix")</f>
        <v>3084727</v>
      </c>
      <c r="L958" s="52">
        <f ca="1">SUMIFS(OUT!$F$2:$F$11000,OUT!$H$2:$H$11000,H958,OUT!$D$2:$D$11000,"Out",OUT!$E$2:$E$11000,"Bathroom")</f>
        <v>37500</v>
      </c>
      <c r="M958" s="52">
        <f ca="1">SUMIFS(OUT!$F$2:$F$11000,OUT!$H$2:$H$11000,H958,OUT!$D$2:$D$11000,"Out",OUT!$E$2:$E$11000,"Alfa")</f>
        <v>317864</v>
      </c>
      <c r="N958" s="52" t="e">
        <f ca="1">SUMIFS(OUT!$F$2:$F$11000,OUT!$H$2:$H$101007,H958,OUT!$D$2:$D$11000,"Out",OUT!$E$2:$E$11000,"Jajan")</f>
        <v>#VALUE!</v>
      </c>
      <c r="O958" s="52">
        <f ca="1">SUMIFS(OUT!$F$2:$F$11000,OUT!$H$2:$H$11000,H958,OUT!$D$2:$D$11000,"Out",OUT!$E$2:$E$11000,"Kitchen")</f>
        <v>985700</v>
      </c>
      <c r="P958" s="52">
        <f ca="1">SUMIFS(OUT!$F$2:$F$11000,OUT!$H$2:$H$11000,H958,OUT!$D$2:$D$11000,"Out",OUT!$E$2:$E$11000,"Loandry")</f>
        <v>21500</v>
      </c>
      <c r="Q958" s="52">
        <f ca="1">SUMIFS(OUT!$F$2:$F$11000,OUT!$H$2:$H$11000,H958,OUT!$D$2:$D$11000,"Out",OUT!$E$2:$E$11000,"Mio")</f>
        <v>265000</v>
      </c>
      <c r="R958" s="52">
        <f ca="1">SUMIFS(OUT!$F$2:$F$11000,OUT!$H$2:$H$11000,H958,OUT!$D$2:$D$11000,"Out",OUT!$E$2:$E$11000,"Sedekah")</f>
        <v>5000</v>
      </c>
      <c r="S958" s="52">
        <f ca="1">SUMIFS(OUT!$F$2:$F$11000,OUT!$H$2:$H$11000,H958,OUT!$D$2:$D$11000,"Out",OUT!$E$2:$E$11000,"Zela")</f>
        <v>33400</v>
      </c>
      <c r="T958" s="52">
        <f ca="1">SUMIFS(OUT!$F$2:$F$11000,OUT!$H$2:$H$11000,H958,OUT!$D$2:$D$11000,"Out",OUT!$E$2:$E$11000,"Iqbal")</f>
        <v>232194</v>
      </c>
    </row>
    <row r="959" spans="1:20" x14ac:dyDescent="0.2">
      <c r="A959" s="48">
        <f ca="1">IFERROR(__xludf.DUMMYFUNCTION("""COMPUTED_VALUE"""),46186)</f>
        <v>46186</v>
      </c>
      <c r="B959" s="4" t="str">
        <f ca="1">IFERROR(__xludf.DUMMYFUNCTION("""COMPUTED_VALUE"""),"Teh tarik")</f>
        <v>Teh tarik</v>
      </c>
      <c r="C959" s="4" t="str">
        <f ca="1">IFERROR(__xludf.DUMMYFUNCTION("""COMPUTED_VALUE"""),"Cash")</f>
        <v>Cash</v>
      </c>
      <c r="D959" s="4" t="str">
        <f ca="1">IFERROR(__xludf.DUMMYFUNCTION("""COMPUTED_VALUE"""),"Out")</f>
        <v>Out</v>
      </c>
      <c r="E959" s="4" t="str">
        <f ca="1">IFERROR(__xludf.DUMMYFUNCTION("""COMPUTED_VALUE"""),"Jajan")</f>
        <v>Jajan</v>
      </c>
      <c r="F959" s="49">
        <f ca="1">IFERROR(__xludf.DUMMYFUNCTION("""COMPUTED_VALUE"""),23000)</f>
        <v>23000</v>
      </c>
      <c r="G959" s="50" t="str">
        <f ca="1">IFERROR(__xludf.DUMMYFUNCTION("""COMPUTED_VALUE"""),"Zela")</f>
        <v>Zela</v>
      </c>
      <c r="H959" s="51">
        <f t="shared" ca="1" si="0"/>
        <v>46174</v>
      </c>
      <c r="I959" s="52" t="e">
        <f ca="1">SUMIFS(OUT!$F$2:$F$11000,OUT!$H$2:$H$11000,H959,OUT!$D$2:$D$101007,"In")</f>
        <v>#VALUE!</v>
      </c>
      <c r="J959" s="52">
        <f ca="1">SUMIFS(OUT!$F$2:$F$11000,OUT!$H$2:$H$11000,H959,OUT!$D$2:$D$11000,"Out")</f>
        <v>9155672</v>
      </c>
      <c r="K959" s="52">
        <f ca="1">SUMIFS(OUT!$F$2:$F$11000,OUT!$H$2:$H$11000,H959,OUT!$D$2:$D$11000,"Out",OUT!$E$2:$E$11000,"Fix")</f>
        <v>3084727</v>
      </c>
      <c r="L959" s="52">
        <f ca="1">SUMIFS(OUT!$F$2:$F$11000,OUT!$H$2:$H$11000,H959,OUT!$D$2:$D$11000,"Out",OUT!$E$2:$E$11000,"Bathroom")</f>
        <v>37500</v>
      </c>
      <c r="M959" s="52">
        <f ca="1">SUMIFS(OUT!$F$2:$F$11000,OUT!$H$2:$H$11000,H959,OUT!$D$2:$D$11000,"Out",OUT!$E$2:$E$11000,"Alfa")</f>
        <v>317864</v>
      </c>
      <c r="N959" s="52" t="e">
        <f ca="1">SUMIFS(OUT!$F$2:$F$11000,OUT!$H$2:$H$101007,H959,OUT!$D$2:$D$11000,"Out",OUT!$E$2:$E$11000,"Jajan")</f>
        <v>#VALUE!</v>
      </c>
      <c r="O959" s="52">
        <f ca="1">SUMIFS(OUT!$F$2:$F$11000,OUT!$H$2:$H$11000,H959,OUT!$D$2:$D$11000,"Out",OUT!$E$2:$E$11000,"Kitchen")</f>
        <v>985700</v>
      </c>
      <c r="P959" s="52">
        <f ca="1">SUMIFS(OUT!$F$2:$F$11000,OUT!$H$2:$H$11000,H959,OUT!$D$2:$D$11000,"Out",OUT!$E$2:$E$11000,"Loandry")</f>
        <v>21500</v>
      </c>
      <c r="Q959" s="52">
        <f ca="1">SUMIFS(OUT!$F$2:$F$11000,OUT!$H$2:$H$11000,H959,OUT!$D$2:$D$11000,"Out",OUT!$E$2:$E$11000,"Mio")</f>
        <v>265000</v>
      </c>
      <c r="R959" s="52">
        <f ca="1">SUMIFS(OUT!$F$2:$F$11000,OUT!$H$2:$H$11000,H959,OUT!$D$2:$D$11000,"Out",OUT!$E$2:$E$11000,"Sedekah")</f>
        <v>5000</v>
      </c>
      <c r="S959" s="52">
        <f ca="1">SUMIFS(OUT!$F$2:$F$11000,OUT!$H$2:$H$11000,H959,OUT!$D$2:$D$11000,"Out",OUT!$E$2:$E$11000,"Zela")</f>
        <v>33400</v>
      </c>
      <c r="T959" s="52">
        <f ca="1">SUMIFS(OUT!$F$2:$F$11000,OUT!$H$2:$H$11000,H959,OUT!$D$2:$D$11000,"Out",OUT!$E$2:$E$11000,"Iqbal")</f>
        <v>232194</v>
      </c>
    </row>
    <row r="960" spans="1:20" x14ac:dyDescent="0.2">
      <c r="A960" s="48">
        <f ca="1">IFERROR(__xludf.DUMMYFUNCTION("""COMPUTED_VALUE"""),46186)</f>
        <v>46186</v>
      </c>
      <c r="B960" s="4" t="str">
        <f ca="1">IFERROR(__xludf.DUMMYFUNCTION("""COMPUTED_VALUE"""),"Alfa ( Fee Curcuma Plus Tiktok )")</f>
        <v>Alfa ( Fee Curcuma Plus Tiktok )</v>
      </c>
      <c r="C960" s="4" t="str">
        <f ca="1">IFERROR(__xludf.DUMMYFUNCTION("""COMPUTED_VALUE"""),"ATM")</f>
        <v>ATM</v>
      </c>
      <c r="D960" s="4" t="str">
        <f ca="1">IFERROR(__xludf.DUMMYFUNCTION("""COMPUTED_VALUE"""),"In")</f>
        <v>In</v>
      </c>
      <c r="E960" s="4" t="str">
        <f ca="1">IFERROR(__xludf.DUMMYFUNCTION("""COMPUTED_VALUE"""),"Alfa")</f>
        <v>Alfa</v>
      </c>
      <c r="F960" s="49">
        <f ca="1">IFERROR(__xludf.DUMMYFUNCTION("""COMPUTED_VALUE"""),100000)</f>
        <v>100000</v>
      </c>
      <c r="G960" s="50" t="str">
        <f ca="1">IFERROR(__xludf.DUMMYFUNCTION("""COMPUTED_VALUE"""),"Zela")</f>
        <v>Zela</v>
      </c>
      <c r="H960" s="51">
        <f t="shared" ca="1" si="0"/>
        <v>46174</v>
      </c>
      <c r="I960" s="52" t="e">
        <f ca="1">SUMIFS(OUT!$F$2:$F$11000,OUT!$H$2:$H$11000,H960,OUT!$D$2:$D$101007,"In")</f>
        <v>#VALUE!</v>
      </c>
      <c r="J960" s="52">
        <f ca="1">SUMIFS(OUT!$F$2:$F$11000,OUT!$H$2:$H$11000,H960,OUT!$D$2:$D$11000,"Out")</f>
        <v>9155672</v>
      </c>
      <c r="K960" s="52">
        <f ca="1">SUMIFS(OUT!$F$2:$F$11000,OUT!$H$2:$H$11000,H960,OUT!$D$2:$D$11000,"Out",OUT!$E$2:$E$11000,"Fix")</f>
        <v>3084727</v>
      </c>
      <c r="L960" s="52">
        <f ca="1">SUMIFS(OUT!$F$2:$F$11000,OUT!$H$2:$H$11000,H960,OUT!$D$2:$D$11000,"Out",OUT!$E$2:$E$11000,"Bathroom")</f>
        <v>37500</v>
      </c>
      <c r="M960" s="52">
        <f ca="1">SUMIFS(OUT!$F$2:$F$11000,OUT!$H$2:$H$11000,H960,OUT!$D$2:$D$11000,"Out",OUT!$E$2:$E$11000,"Alfa")</f>
        <v>317864</v>
      </c>
      <c r="N960" s="52" t="e">
        <f ca="1">SUMIFS(OUT!$F$2:$F$11000,OUT!$H$2:$H$101007,H960,OUT!$D$2:$D$11000,"Out",OUT!$E$2:$E$11000,"Jajan")</f>
        <v>#VALUE!</v>
      </c>
      <c r="O960" s="52">
        <f ca="1">SUMIFS(OUT!$F$2:$F$11000,OUT!$H$2:$H$11000,H960,OUT!$D$2:$D$11000,"Out",OUT!$E$2:$E$11000,"Kitchen")</f>
        <v>985700</v>
      </c>
      <c r="P960" s="52">
        <f ca="1">SUMIFS(OUT!$F$2:$F$11000,OUT!$H$2:$H$11000,H960,OUT!$D$2:$D$11000,"Out",OUT!$E$2:$E$11000,"Loandry")</f>
        <v>21500</v>
      </c>
      <c r="Q960" s="52">
        <f ca="1">SUMIFS(OUT!$F$2:$F$11000,OUT!$H$2:$H$11000,H960,OUT!$D$2:$D$11000,"Out",OUT!$E$2:$E$11000,"Mio")</f>
        <v>265000</v>
      </c>
      <c r="R960" s="52">
        <f ca="1">SUMIFS(OUT!$F$2:$F$11000,OUT!$H$2:$H$11000,H960,OUT!$D$2:$D$11000,"Out",OUT!$E$2:$E$11000,"Sedekah")</f>
        <v>5000</v>
      </c>
      <c r="S960" s="52">
        <f ca="1">SUMIFS(OUT!$F$2:$F$11000,OUT!$H$2:$H$11000,H960,OUT!$D$2:$D$11000,"Out",OUT!$E$2:$E$11000,"Zela")</f>
        <v>33400</v>
      </c>
      <c r="T960" s="52">
        <f ca="1">SUMIFS(OUT!$F$2:$F$11000,OUT!$H$2:$H$11000,H960,OUT!$D$2:$D$11000,"Out",OUT!$E$2:$E$11000,"Iqbal")</f>
        <v>232194</v>
      </c>
    </row>
    <row r="961" spans="1:20" x14ac:dyDescent="0.2">
      <c r="A961" s="48">
        <f ca="1">IFERROR(__xludf.DUMMYFUNCTION("""COMPUTED_VALUE"""),46187)</f>
        <v>46187</v>
      </c>
      <c r="B961" s="4" t="str">
        <f ca="1">IFERROR(__xludf.DUMMYFUNCTION("""COMPUTED_VALUE"""),"Nasgor + Ayam nasi 2 ")</f>
        <v xml:space="preserve">Nasgor + Ayam nasi 2 </v>
      </c>
      <c r="C961" s="4" t="str">
        <f ca="1">IFERROR(__xludf.DUMMYFUNCTION("""COMPUTED_VALUE"""),"Cash")</f>
        <v>Cash</v>
      </c>
      <c r="D961" s="4" t="str">
        <f ca="1">IFERROR(__xludf.DUMMYFUNCTION("""COMPUTED_VALUE"""),"Out")</f>
        <v>Out</v>
      </c>
      <c r="E961" s="4" t="str">
        <f ca="1">IFERROR(__xludf.DUMMYFUNCTION("""COMPUTED_VALUE"""),"Kitchen")</f>
        <v>Kitchen</v>
      </c>
      <c r="F961" s="49">
        <f ca="1">IFERROR(__xludf.DUMMYFUNCTION("""COMPUTED_VALUE"""),36000)</f>
        <v>36000</v>
      </c>
      <c r="G961" s="50" t="str">
        <f ca="1">IFERROR(__xludf.DUMMYFUNCTION("""COMPUTED_VALUE"""),"Zela")</f>
        <v>Zela</v>
      </c>
      <c r="H961" s="51">
        <f t="shared" ca="1" si="0"/>
        <v>46174</v>
      </c>
      <c r="I961" s="52" t="e">
        <f ca="1">SUMIFS(OUT!$F$2:$F$11000,OUT!$H$2:$H$11000,H961,OUT!$D$2:$D$101007,"In")</f>
        <v>#VALUE!</v>
      </c>
      <c r="J961" s="52">
        <f ca="1">SUMIFS(OUT!$F$2:$F$11000,OUT!$H$2:$H$11000,H961,OUT!$D$2:$D$11000,"Out")</f>
        <v>9155672</v>
      </c>
      <c r="K961" s="52">
        <f ca="1">SUMIFS(OUT!$F$2:$F$11000,OUT!$H$2:$H$11000,H961,OUT!$D$2:$D$11000,"Out",OUT!$E$2:$E$11000,"Fix")</f>
        <v>3084727</v>
      </c>
      <c r="L961" s="52">
        <f ca="1">SUMIFS(OUT!$F$2:$F$11000,OUT!$H$2:$H$11000,H961,OUT!$D$2:$D$11000,"Out",OUT!$E$2:$E$11000,"Bathroom")</f>
        <v>37500</v>
      </c>
      <c r="M961" s="52">
        <f ca="1">SUMIFS(OUT!$F$2:$F$11000,OUT!$H$2:$H$11000,H961,OUT!$D$2:$D$11000,"Out",OUT!$E$2:$E$11000,"Alfa")</f>
        <v>317864</v>
      </c>
      <c r="N961" s="52" t="e">
        <f ca="1">SUMIFS(OUT!$F$2:$F$11000,OUT!$H$2:$H$101007,H961,OUT!$D$2:$D$11000,"Out",OUT!$E$2:$E$11000,"Jajan")</f>
        <v>#VALUE!</v>
      </c>
      <c r="O961" s="52">
        <f ca="1">SUMIFS(OUT!$F$2:$F$11000,OUT!$H$2:$H$11000,H961,OUT!$D$2:$D$11000,"Out",OUT!$E$2:$E$11000,"Kitchen")</f>
        <v>985700</v>
      </c>
      <c r="P961" s="52">
        <f ca="1">SUMIFS(OUT!$F$2:$F$11000,OUT!$H$2:$H$11000,H961,OUT!$D$2:$D$11000,"Out",OUT!$E$2:$E$11000,"Loandry")</f>
        <v>21500</v>
      </c>
      <c r="Q961" s="52">
        <f ca="1">SUMIFS(OUT!$F$2:$F$11000,OUT!$H$2:$H$11000,H961,OUT!$D$2:$D$11000,"Out",OUT!$E$2:$E$11000,"Mio")</f>
        <v>265000</v>
      </c>
      <c r="R961" s="52">
        <f ca="1">SUMIFS(OUT!$F$2:$F$11000,OUT!$H$2:$H$11000,H961,OUT!$D$2:$D$11000,"Out",OUT!$E$2:$E$11000,"Sedekah")</f>
        <v>5000</v>
      </c>
      <c r="S961" s="52">
        <f ca="1">SUMIFS(OUT!$F$2:$F$11000,OUT!$H$2:$H$11000,H961,OUT!$D$2:$D$11000,"Out",OUT!$E$2:$E$11000,"Zela")</f>
        <v>33400</v>
      </c>
      <c r="T961" s="52">
        <f ca="1">SUMIFS(OUT!$F$2:$F$11000,OUT!$H$2:$H$11000,H961,OUT!$D$2:$D$11000,"Out",OUT!$E$2:$E$11000,"Iqbal")</f>
        <v>232194</v>
      </c>
    </row>
    <row r="962" spans="1:20" x14ac:dyDescent="0.2">
      <c r="A962" s="48">
        <f ca="1">IFERROR(__xludf.DUMMYFUNCTION("""COMPUTED_VALUE"""),46187)</f>
        <v>46187</v>
      </c>
      <c r="B962" s="4" t="str">
        <f ca="1">IFERROR(__xludf.DUMMYFUNCTION("""COMPUTED_VALUE"""),"Es Teh")</f>
        <v>Es Teh</v>
      </c>
      <c r="C962" s="4" t="str">
        <f ca="1">IFERROR(__xludf.DUMMYFUNCTION("""COMPUTED_VALUE"""),"Cash")</f>
        <v>Cash</v>
      </c>
      <c r="D962" s="4" t="str">
        <f ca="1">IFERROR(__xludf.DUMMYFUNCTION("""COMPUTED_VALUE"""),"Out")</f>
        <v>Out</v>
      </c>
      <c r="E962" s="4" t="str">
        <f ca="1">IFERROR(__xludf.DUMMYFUNCTION("""COMPUTED_VALUE"""),"Jajan")</f>
        <v>Jajan</v>
      </c>
      <c r="F962" s="49">
        <f ca="1">IFERROR(__xludf.DUMMYFUNCTION("""COMPUTED_VALUE"""),10000)</f>
        <v>10000</v>
      </c>
      <c r="G962" s="50" t="str">
        <f ca="1">IFERROR(__xludf.DUMMYFUNCTION("""COMPUTED_VALUE"""),"Zela")</f>
        <v>Zela</v>
      </c>
      <c r="H962" s="51">
        <f t="shared" ca="1" si="0"/>
        <v>46174</v>
      </c>
      <c r="I962" s="52" t="e">
        <f ca="1">SUMIFS(OUT!$F$2:$F$11000,OUT!$H$2:$H$11000,H962,OUT!$D$2:$D$101007,"In")</f>
        <v>#VALUE!</v>
      </c>
      <c r="J962" s="52">
        <f ca="1">SUMIFS(OUT!$F$2:$F$11000,OUT!$H$2:$H$11000,H962,OUT!$D$2:$D$11000,"Out")</f>
        <v>9155672</v>
      </c>
      <c r="K962" s="52">
        <f ca="1">SUMIFS(OUT!$F$2:$F$11000,OUT!$H$2:$H$11000,H962,OUT!$D$2:$D$11000,"Out",OUT!$E$2:$E$11000,"Fix")</f>
        <v>3084727</v>
      </c>
      <c r="L962" s="52">
        <f ca="1">SUMIFS(OUT!$F$2:$F$11000,OUT!$H$2:$H$11000,H962,OUT!$D$2:$D$11000,"Out",OUT!$E$2:$E$11000,"Bathroom")</f>
        <v>37500</v>
      </c>
      <c r="M962" s="52">
        <f ca="1">SUMIFS(OUT!$F$2:$F$11000,OUT!$H$2:$H$11000,H962,OUT!$D$2:$D$11000,"Out",OUT!$E$2:$E$11000,"Alfa")</f>
        <v>317864</v>
      </c>
      <c r="N962" s="52" t="e">
        <f ca="1">SUMIFS(OUT!$F$2:$F$11000,OUT!$H$2:$H$101007,H962,OUT!$D$2:$D$11000,"Out",OUT!$E$2:$E$11000,"Jajan")</f>
        <v>#VALUE!</v>
      </c>
      <c r="O962" s="52">
        <f ca="1">SUMIFS(OUT!$F$2:$F$11000,OUT!$H$2:$H$11000,H962,OUT!$D$2:$D$11000,"Out",OUT!$E$2:$E$11000,"Kitchen")</f>
        <v>985700</v>
      </c>
      <c r="P962" s="52">
        <f ca="1">SUMIFS(OUT!$F$2:$F$11000,OUT!$H$2:$H$11000,H962,OUT!$D$2:$D$11000,"Out",OUT!$E$2:$E$11000,"Loandry")</f>
        <v>21500</v>
      </c>
      <c r="Q962" s="52">
        <f ca="1">SUMIFS(OUT!$F$2:$F$11000,OUT!$H$2:$H$11000,H962,OUT!$D$2:$D$11000,"Out",OUT!$E$2:$E$11000,"Mio")</f>
        <v>265000</v>
      </c>
      <c r="R962" s="52">
        <f ca="1">SUMIFS(OUT!$F$2:$F$11000,OUT!$H$2:$H$11000,H962,OUT!$D$2:$D$11000,"Out",OUT!$E$2:$E$11000,"Sedekah")</f>
        <v>5000</v>
      </c>
      <c r="S962" s="52">
        <f ca="1">SUMIFS(OUT!$F$2:$F$11000,OUT!$H$2:$H$11000,H962,OUT!$D$2:$D$11000,"Out",OUT!$E$2:$E$11000,"Zela")</f>
        <v>33400</v>
      </c>
      <c r="T962" s="52">
        <f ca="1">SUMIFS(OUT!$F$2:$F$11000,OUT!$H$2:$H$11000,H962,OUT!$D$2:$D$11000,"Out",OUT!$E$2:$E$11000,"Iqbal")</f>
        <v>232194</v>
      </c>
    </row>
    <row r="963" spans="1:20" x14ac:dyDescent="0.2">
      <c r="A963" s="48">
        <f ca="1">IFERROR(__xludf.DUMMYFUNCTION("""COMPUTED_VALUE"""),46186)</f>
        <v>46186</v>
      </c>
      <c r="B963" s="4" t="str">
        <f ca="1">IFERROR(__xludf.DUMMYFUNCTION("""COMPUTED_VALUE"""),"suamiku")</f>
        <v>suamiku</v>
      </c>
      <c r="C963" s="4" t="str">
        <f ca="1">IFERROR(__xludf.DUMMYFUNCTION("""COMPUTED_VALUE"""),"ATM")</f>
        <v>ATM</v>
      </c>
      <c r="D963" s="4" t="str">
        <f ca="1">IFERROR(__xludf.DUMMYFUNCTION("""COMPUTED_VALUE"""),"In")</f>
        <v>In</v>
      </c>
      <c r="E963" s="4" t="str">
        <f ca="1">IFERROR(__xludf.DUMMYFUNCTION("""COMPUTED_VALUE"""),"Fix")</f>
        <v>Fix</v>
      </c>
      <c r="F963" s="49">
        <f ca="1">IFERROR(__xludf.DUMMYFUNCTION("""COMPUTED_VALUE"""),29000)</f>
        <v>29000</v>
      </c>
      <c r="G963" s="50" t="str">
        <f ca="1">IFERROR(__xludf.DUMMYFUNCTION("""COMPUTED_VALUE"""),"Zela")</f>
        <v>Zela</v>
      </c>
      <c r="H963" s="51">
        <f t="shared" ca="1" si="0"/>
        <v>46174</v>
      </c>
      <c r="I963" s="52" t="e">
        <f ca="1">SUMIFS(OUT!$F$2:$F$11000,OUT!$H$2:$H$11000,H963,OUT!$D$2:$D$101007,"In")</f>
        <v>#VALUE!</v>
      </c>
      <c r="J963" s="52">
        <f ca="1">SUMIFS(OUT!$F$2:$F$11000,OUT!$H$2:$H$11000,H963,OUT!$D$2:$D$11000,"Out")</f>
        <v>9155672</v>
      </c>
      <c r="K963" s="52">
        <f ca="1">SUMIFS(OUT!$F$2:$F$11000,OUT!$H$2:$H$11000,H963,OUT!$D$2:$D$11000,"Out",OUT!$E$2:$E$11000,"Fix")</f>
        <v>3084727</v>
      </c>
      <c r="L963" s="52">
        <f ca="1">SUMIFS(OUT!$F$2:$F$11000,OUT!$H$2:$H$11000,H963,OUT!$D$2:$D$11000,"Out",OUT!$E$2:$E$11000,"Bathroom")</f>
        <v>37500</v>
      </c>
      <c r="M963" s="52">
        <f ca="1">SUMIFS(OUT!$F$2:$F$11000,OUT!$H$2:$H$11000,H963,OUT!$D$2:$D$11000,"Out",OUT!$E$2:$E$11000,"Alfa")</f>
        <v>317864</v>
      </c>
      <c r="N963" s="52" t="e">
        <f ca="1">SUMIFS(OUT!$F$2:$F$11000,OUT!$H$2:$H$101007,H963,OUT!$D$2:$D$11000,"Out",OUT!$E$2:$E$11000,"Jajan")</f>
        <v>#VALUE!</v>
      </c>
      <c r="O963" s="52">
        <f ca="1">SUMIFS(OUT!$F$2:$F$11000,OUT!$H$2:$H$11000,H963,OUT!$D$2:$D$11000,"Out",OUT!$E$2:$E$11000,"Kitchen")</f>
        <v>985700</v>
      </c>
      <c r="P963" s="52">
        <f ca="1">SUMIFS(OUT!$F$2:$F$11000,OUT!$H$2:$H$11000,H963,OUT!$D$2:$D$11000,"Out",OUT!$E$2:$E$11000,"Loandry")</f>
        <v>21500</v>
      </c>
      <c r="Q963" s="52">
        <f ca="1">SUMIFS(OUT!$F$2:$F$11000,OUT!$H$2:$H$11000,H963,OUT!$D$2:$D$11000,"Out",OUT!$E$2:$E$11000,"Mio")</f>
        <v>265000</v>
      </c>
      <c r="R963" s="52">
        <f ca="1">SUMIFS(OUT!$F$2:$F$11000,OUT!$H$2:$H$11000,H963,OUT!$D$2:$D$11000,"Out",OUT!$E$2:$E$11000,"Sedekah")</f>
        <v>5000</v>
      </c>
      <c r="S963" s="52">
        <f ca="1">SUMIFS(OUT!$F$2:$F$11000,OUT!$H$2:$H$11000,H963,OUT!$D$2:$D$11000,"Out",OUT!$E$2:$E$11000,"Zela")</f>
        <v>33400</v>
      </c>
      <c r="T963" s="52">
        <f ca="1">SUMIFS(OUT!$F$2:$F$11000,OUT!$H$2:$H$11000,H963,OUT!$D$2:$D$11000,"Out",OUT!$E$2:$E$11000,"Iqbal")</f>
        <v>232194</v>
      </c>
    </row>
    <row r="964" spans="1:20" x14ac:dyDescent="0.2">
      <c r="A964" s="48">
        <f ca="1">IFERROR(__xludf.DUMMYFUNCTION("""COMPUTED_VALUE"""),46187)</f>
        <v>46187</v>
      </c>
      <c r="B964" s="4" t="str">
        <f ca="1">IFERROR(__xludf.DUMMYFUNCTION("""COMPUTED_VALUE"""),"Top Up Shopee + Pulsa Telkomsel 5rb")</f>
        <v>Top Up Shopee + Pulsa Telkomsel 5rb</v>
      </c>
      <c r="C964" s="4" t="str">
        <f ca="1">IFERROR(__xludf.DUMMYFUNCTION("""COMPUTED_VALUE"""),"ATM")</f>
        <v>ATM</v>
      </c>
      <c r="D964" s="4" t="str">
        <f ca="1">IFERROR(__xludf.DUMMYFUNCTION("""COMPUTED_VALUE"""),"Out")</f>
        <v>Out</v>
      </c>
      <c r="E964" s="4" t="str">
        <f ca="1">IFERROR(__xludf.DUMMYFUNCTION("""COMPUTED_VALUE"""),"Fix")</f>
        <v>Fix</v>
      </c>
      <c r="F964" s="49">
        <f ca="1">IFERROR(__xludf.DUMMYFUNCTION("""COMPUTED_VALUE"""),12000)</f>
        <v>12000</v>
      </c>
      <c r="G964" s="50" t="str">
        <f ca="1">IFERROR(__xludf.DUMMYFUNCTION("""COMPUTED_VALUE"""),"Zela")</f>
        <v>Zela</v>
      </c>
      <c r="H964" s="51">
        <f t="shared" ca="1" si="0"/>
        <v>46174</v>
      </c>
      <c r="I964" s="52" t="e">
        <f ca="1">SUMIFS(OUT!$F$2:$F$11000,OUT!$H$2:$H$11000,H964,OUT!$D$2:$D$101007,"In")</f>
        <v>#VALUE!</v>
      </c>
      <c r="J964" s="52">
        <f ca="1">SUMIFS(OUT!$F$2:$F$11000,OUT!$H$2:$H$11000,H964,OUT!$D$2:$D$11000,"Out")</f>
        <v>9155672</v>
      </c>
      <c r="K964" s="52">
        <f ca="1">SUMIFS(OUT!$F$2:$F$11000,OUT!$H$2:$H$11000,H964,OUT!$D$2:$D$11000,"Out",OUT!$E$2:$E$11000,"Fix")</f>
        <v>3084727</v>
      </c>
      <c r="L964" s="52">
        <f ca="1">SUMIFS(OUT!$F$2:$F$11000,OUT!$H$2:$H$11000,H964,OUT!$D$2:$D$11000,"Out",OUT!$E$2:$E$11000,"Bathroom")</f>
        <v>37500</v>
      </c>
      <c r="M964" s="52">
        <f ca="1">SUMIFS(OUT!$F$2:$F$11000,OUT!$H$2:$H$11000,H964,OUT!$D$2:$D$11000,"Out",OUT!$E$2:$E$11000,"Alfa")</f>
        <v>317864</v>
      </c>
      <c r="N964" s="52" t="e">
        <f ca="1">SUMIFS(OUT!$F$2:$F$11000,OUT!$H$2:$H$101007,H964,OUT!$D$2:$D$11000,"Out",OUT!$E$2:$E$11000,"Jajan")</f>
        <v>#VALUE!</v>
      </c>
      <c r="O964" s="52">
        <f ca="1">SUMIFS(OUT!$F$2:$F$11000,OUT!$H$2:$H$11000,H964,OUT!$D$2:$D$11000,"Out",OUT!$E$2:$E$11000,"Kitchen")</f>
        <v>985700</v>
      </c>
      <c r="P964" s="52">
        <f ca="1">SUMIFS(OUT!$F$2:$F$11000,OUT!$H$2:$H$11000,H964,OUT!$D$2:$D$11000,"Out",OUT!$E$2:$E$11000,"Loandry")</f>
        <v>21500</v>
      </c>
      <c r="Q964" s="52">
        <f ca="1">SUMIFS(OUT!$F$2:$F$11000,OUT!$H$2:$H$11000,H964,OUT!$D$2:$D$11000,"Out",OUT!$E$2:$E$11000,"Mio")</f>
        <v>265000</v>
      </c>
      <c r="R964" s="52">
        <f ca="1">SUMIFS(OUT!$F$2:$F$11000,OUT!$H$2:$H$11000,H964,OUT!$D$2:$D$11000,"Out",OUT!$E$2:$E$11000,"Sedekah")</f>
        <v>5000</v>
      </c>
      <c r="S964" s="52">
        <f ca="1">SUMIFS(OUT!$F$2:$F$11000,OUT!$H$2:$H$11000,H964,OUT!$D$2:$D$11000,"Out",OUT!$E$2:$E$11000,"Zela")</f>
        <v>33400</v>
      </c>
      <c r="T964" s="52">
        <f ca="1">SUMIFS(OUT!$F$2:$F$11000,OUT!$H$2:$H$11000,H964,OUT!$D$2:$D$11000,"Out",OUT!$E$2:$E$11000,"Iqbal")</f>
        <v>232194</v>
      </c>
    </row>
    <row r="965" spans="1:20" x14ac:dyDescent="0.2">
      <c r="A965" s="48">
        <f ca="1">IFERROR(__xludf.DUMMYFUNCTION("""COMPUTED_VALUE"""),46190)</f>
        <v>46190</v>
      </c>
      <c r="B965" s="4" t="str">
        <f ca="1">IFERROR(__xludf.DUMMYFUNCTION("""COMPUTED_VALUE"""),"token listrik 50rb (32,7)")</f>
        <v>token listrik 50rb (32,7)</v>
      </c>
      <c r="C965" s="4" t="str">
        <f ca="1">IFERROR(__xludf.DUMMYFUNCTION("""COMPUTED_VALUE"""),"ATM")</f>
        <v>ATM</v>
      </c>
      <c r="D965" s="4" t="str">
        <f ca="1">IFERROR(__xludf.DUMMYFUNCTION("""COMPUTED_VALUE"""),"Out")</f>
        <v>Out</v>
      </c>
      <c r="E965" s="4" t="str">
        <f ca="1">IFERROR(__xludf.DUMMYFUNCTION("""COMPUTED_VALUE"""),"Fix")</f>
        <v>Fix</v>
      </c>
      <c r="F965" s="49">
        <f ca="1">IFERROR(__xludf.DUMMYFUNCTION("""COMPUTED_VALUE"""),51750)</f>
        <v>51750</v>
      </c>
      <c r="G965" s="50" t="str">
        <f ca="1">IFERROR(__xludf.DUMMYFUNCTION("""COMPUTED_VALUE"""),"Zela")</f>
        <v>Zela</v>
      </c>
      <c r="H965" s="51">
        <f t="shared" ca="1" si="0"/>
        <v>46174</v>
      </c>
      <c r="I965" s="52" t="e">
        <f ca="1">SUMIFS(OUT!$F$2:$F$11000,OUT!$H$2:$H$11000,H965,OUT!$D$2:$D$101007,"In")</f>
        <v>#VALUE!</v>
      </c>
      <c r="J965" s="52">
        <f ca="1">SUMIFS(OUT!$F$2:$F$11000,OUT!$H$2:$H$11000,H965,OUT!$D$2:$D$11000,"Out")</f>
        <v>9155672</v>
      </c>
      <c r="K965" s="52">
        <f ca="1">SUMIFS(OUT!$F$2:$F$11000,OUT!$H$2:$H$11000,H965,OUT!$D$2:$D$11000,"Out",OUT!$E$2:$E$11000,"Fix")</f>
        <v>3084727</v>
      </c>
      <c r="L965" s="52">
        <f ca="1">SUMIFS(OUT!$F$2:$F$11000,OUT!$H$2:$H$11000,H965,OUT!$D$2:$D$11000,"Out",OUT!$E$2:$E$11000,"Bathroom")</f>
        <v>37500</v>
      </c>
      <c r="M965" s="52">
        <f ca="1">SUMIFS(OUT!$F$2:$F$11000,OUT!$H$2:$H$11000,H965,OUT!$D$2:$D$11000,"Out",OUT!$E$2:$E$11000,"Alfa")</f>
        <v>317864</v>
      </c>
      <c r="N965" s="52" t="e">
        <f ca="1">SUMIFS(OUT!$F$2:$F$11000,OUT!$H$2:$H$101007,H965,OUT!$D$2:$D$11000,"Out",OUT!$E$2:$E$11000,"Jajan")</f>
        <v>#VALUE!</v>
      </c>
      <c r="O965" s="52">
        <f ca="1">SUMIFS(OUT!$F$2:$F$11000,OUT!$H$2:$H$11000,H965,OUT!$D$2:$D$11000,"Out",OUT!$E$2:$E$11000,"Kitchen")</f>
        <v>985700</v>
      </c>
      <c r="P965" s="52">
        <f ca="1">SUMIFS(OUT!$F$2:$F$11000,OUT!$H$2:$H$11000,H965,OUT!$D$2:$D$11000,"Out",OUT!$E$2:$E$11000,"Loandry")</f>
        <v>21500</v>
      </c>
      <c r="Q965" s="52">
        <f ca="1">SUMIFS(OUT!$F$2:$F$11000,OUT!$H$2:$H$11000,H965,OUT!$D$2:$D$11000,"Out",OUT!$E$2:$E$11000,"Mio")</f>
        <v>265000</v>
      </c>
      <c r="R965" s="52">
        <f ca="1">SUMIFS(OUT!$F$2:$F$11000,OUT!$H$2:$H$11000,H965,OUT!$D$2:$D$11000,"Out",OUT!$E$2:$E$11000,"Sedekah")</f>
        <v>5000</v>
      </c>
      <c r="S965" s="52">
        <f ca="1">SUMIFS(OUT!$F$2:$F$11000,OUT!$H$2:$H$11000,H965,OUT!$D$2:$D$11000,"Out",OUT!$E$2:$E$11000,"Zela")</f>
        <v>33400</v>
      </c>
      <c r="T965" s="52">
        <f ca="1">SUMIFS(OUT!$F$2:$F$11000,OUT!$H$2:$H$11000,H965,OUT!$D$2:$D$11000,"Out",OUT!$E$2:$E$11000,"Iqbal")</f>
        <v>232194</v>
      </c>
    </row>
    <row r="966" spans="1:20" x14ac:dyDescent="0.2">
      <c r="A966" s="48">
        <f ca="1">IFERROR(__xludf.DUMMYFUNCTION("""COMPUTED_VALUE"""),46187)</f>
        <v>46187</v>
      </c>
      <c r="B966" s="4" t="str">
        <f ca="1">IFERROR(__xludf.DUMMYFUNCTION("""COMPUTED_VALUE"""),"masker")</f>
        <v>masker</v>
      </c>
      <c r="C966" s="4" t="str">
        <f ca="1">IFERROR(__xludf.DUMMYFUNCTION("""COMPUTED_VALUE"""),"ATM")</f>
        <v>ATM</v>
      </c>
      <c r="D966" s="4" t="str">
        <f ca="1">IFERROR(__xludf.DUMMYFUNCTION("""COMPUTED_VALUE"""),"Out")</f>
        <v>Out</v>
      </c>
      <c r="E966" s="4" t="str">
        <f ca="1">IFERROR(__xludf.DUMMYFUNCTION("""COMPUTED_VALUE"""),"Iqbal")</f>
        <v>Iqbal</v>
      </c>
      <c r="F966" s="49">
        <f ca="1">IFERROR(__xludf.DUMMYFUNCTION("""COMPUTED_VALUE"""),12000)</f>
        <v>12000</v>
      </c>
      <c r="G966" s="50" t="str">
        <f ca="1">IFERROR(__xludf.DUMMYFUNCTION("""COMPUTED_VALUE"""),"Zela")</f>
        <v>Zela</v>
      </c>
      <c r="H966" s="51">
        <f t="shared" ca="1" si="0"/>
        <v>46174</v>
      </c>
      <c r="I966" s="52" t="e">
        <f ca="1">SUMIFS(OUT!$F$2:$F$11000,OUT!$H$2:$H$11000,H966,OUT!$D$2:$D$101007,"In")</f>
        <v>#VALUE!</v>
      </c>
      <c r="J966" s="52">
        <f ca="1">SUMIFS(OUT!$F$2:$F$11000,OUT!$H$2:$H$11000,H966,OUT!$D$2:$D$11000,"Out")</f>
        <v>9155672</v>
      </c>
      <c r="K966" s="52">
        <f ca="1">SUMIFS(OUT!$F$2:$F$11000,OUT!$H$2:$H$11000,H966,OUT!$D$2:$D$11000,"Out",OUT!$E$2:$E$11000,"Fix")</f>
        <v>3084727</v>
      </c>
      <c r="L966" s="52">
        <f ca="1">SUMIFS(OUT!$F$2:$F$11000,OUT!$H$2:$H$11000,H966,OUT!$D$2:$D$11000,"Out",OUT!$E$2:$E$11000,"Bathroom")</f>
        <v>37500</v>
      </c>
      <c r="M966" s="52">
        <f ca="1">SUMIFS(OUT!$F$2:$F$11000,OUT!$H$2:$H$11000,H966,OUT!$D$2:$D$11000,"Out",OUT!$E$2:$E$11000,"Alfa")</f>
        <v>317864</v>
      </c>
      <c r="N966" s="52" t="e">
        <f ca="1">SUMIFS(OUT!$F$2:$F$11000,OUT!$H$2:$H$101007,H966,OUT!$D$2:$D$11000,"Out",OUT!$E$2:$E$11000,"Jajan")</f>
        <v>#VALUE!</v>
      </c>
      <c r="O966" s="52">
        <f ca="1">SUMIFS(OUT!$F$2:$F$11000,OUT!$H$2:$H$11000,H966,OUT!$D$2:$D$11000,"Out",OUT!$E$2:$E$11000,"Kitchen")</f>
        <v>985700</v>
      </c>
      <c r="P966" s="52">
        <f ca="1">SUMIFS(OUT!$F$2:$F$11000,OUT!$H$2:$H$11000,H966,OUT!$D$2:$D$11000,"Out",OUT!$E$2:$E$11000,"Loandry")</f>
        <v>21500</v>
      </c>
      <c r="Q966" s="52">
        <f ca="1">SUMIFS(OUT!$F$2:$F$11000,OUT!$H$2:$H$11000,H966,OUT!$D$2:$D$11000,"Out",OUT!$E$2:$E$11000,"Mio")</f>
        <v>265000</v>
      </c>
      <c r="R966" s="52">
        <f ca="1">SUMIFS(OUT!$F$2:$F$11000,OUT!$H$2:$H$11000,H966,OUT!$D$2:$D$11000,"Out",OUT!$E$2:$E$11000,"Sedekah")</f>
        <v>5000</v>
      </c>
      <c r="S966" s="52">
        <f ca="1">SUMIFS(OUT!$F$2:$F$11000,OUT!$H$2:$H$11000,H966,OUT!$D$2:$D$11000,"Out",OUT!$E$2:$E$11000,"Zela")</f>
        <v>33400</v>
      </c>
      <c r="T966" s="52">
        <f ca="1">SUMIFS(OUT!$F$2:$F$11000,OUT!$H$2:$H$11000,H966,OUT!$D$2:$D$11000,"Out",OUT!$E$2:$E$11000,"Iqbal")</f>
        <v>232194</v>
      </c>
    </row>
    <row r="967" spans="1:20" x14ac:dyDescent="0.2">
      <c r="A967" s="48">
        <f ca="1">IFERROR(__xludf.DUMMYFUNCTION("""COMPUTED_VALUE"""),46188)</f>
        <v>46188</v>
      </c>
      <c r="B967" s="4" t="str">
        <f ca="1">IFERROR(__xludf.DUMMYFUNCTION("""COMPUTED_VALUE"""),"ayam 3")</f>
        <v>ayam 3</v>
      </c>
      <c r="C967" s="4" t="str">
        <f ca="1">IFERROR(__xludf.DUMMYFUNCTION("""COMPUTED_VALUE"""),"ATM")</f>
        <v>ATM</v>
      </c>
      <c r="D967" s="4" t="str">
        <f ca="1">IFERROR(__xludf.DUMMYFUNCTION("""COMPUTED_VALUE"""),"Out")</f>
        <v>Out</v>
      </c>
      <c r="E967" s="4" t="str">
        <f ca="1">IFERROR(__xludf.DUMMYFUNCTION("""COMPUTED_VALUE"""),"Kitchen")</f>
        <v>Kitchen</v>
      </c>
      <c r="F967" s="49">
        <f ca="1">IFERROR(__xludf.DUMMYFUNCTION("""COMPUTED_VALUE"""),33000)</f>
        <v>33000</v>
      </c>
      <c r="G967" s="50" t="str">
        <f ca="1">IFERROR(__xludf.DUMMYFUNCTION("""COMPUTED_VALUE"""),"Zela")</f>
        <v>Zela</v>
      </c>
      <c r="H967" s="51">
        <f t="shared" ca="1" si="0"/>
        <v>46174</v>
      </c>
      <c r="I967" s="52" t="e">
        <f ca="1">SUMIFS(OUT!$F$2:$F$11000,OUT!$H$2:$H$11000,H967,OUT!$D$2:$D$101007,"In")</f>
        <v>#VALUE!</v>
      </c>
      <c r="J967" s="52">
        <f ca="1">SUMIFS(OUT!$F$2:$F$11000,OUT!$H$2:$H$11000,H967,OUT!$D$2:$D$11000,"Out")</f>
        <v>9155672</v>
      </c>
      <c r="K967" s="52">
        <f ca="1">SUMIFS(OUT!$F$2:$F$11000,OUT!$H$2:$H$11000,H967,OUT!$D$2:$D$11000,"Out",OUT!$E$2:$E$11000,"Fix")</f>
        <v>3084727</v>
      </c>
      <c r="L967" s="52">
        <f ca="1">SUMIFS(OUT!$F$2:$F$11000,OUT!$H$2:$H$11000,H967,OUT!$D$2:$D$11000,"Out",OUT!$E$2:$E$11000,"Bathroom")</f>
        <v>37500</v>
      </c>
      <c r="M967" s="52">
        <f ca="1">SUMIFS(OUT!$F$2:$F$11000,OUT!$H$2:$H$11000,H967,OUT!$D$2:$D$11000,"Out",OUT!$E$2:$E$11000,"Alfa")</f>
        <v>317864</v>
      </c>
      <c r="N967" s="52" t="e">
        <f ca="1">SUMIFS(OUT!$F$2:$F$11000,OUT!$H$2:$H$101007,H967,OUT!$D$2:$D$11000,"Out",OUT!$E$2:$E$11000,"Jajan")</f>
        <v>#VALUE!</v>
      </c>
      <c r="O967" s="52">
        <f ca="1">SUMIFS(OUT!$F$2:$F$11000,OUT!$H$2:$H$11000,H967,OUT!$D$2:$D$11000,"Out",OUT!$E$2:$E$11000,"Kitchen")</f>
        <v>985700</v>
      </c>
      <c r="P967" s="52">
        <f ca="1">SUMIFS(OUT!$F$2:$F$11000,OUT!$H$2:$H$11000,H967,OUT!$D$2:$D$11000,"Out",OUT!$E$2:$E$11000,"Loandry")</f>
        <v>21500</v>
      </c>
      <c r="Q967" s="52">
        <f ca="1">SUMIFS(OUT!$F$2:$F$11000,OUT!$H$2:$H$11000,H967,OUT!$D$2:$D$11000,"Out",OUT!$E$2:$E$11000,"Mio")</f>
        <v>265000</v>
      </c>
      <c r="R967" s="52">
        <f ca="1">SUMIFS(OUT!$F$2:$F$11000,OUT!$H$2:$H$11000,H967,OUT!$D$2:$D$11000,"Out",OUT!$E$2:$E$11000,"Sedekah")</f>
        <v>5000</v>
      </c>
      <c r="S967" s="52">
        <f ca="1">SUMIFS(OUT!$F$2:$F$11000,OUT!$H$2:$H$11000,H967,OUT!$D$2:$D$11000,"Out",OUT!$E$2:$E$11000,"Zela")</f>
        <v>33400</v>
      </c>
      <c r="T967" s="52">
        <f ca="1">SUMIFS(OUT!$F$2:$F$11000,OUT!$H$2:$H$11000,H967,OUT!$D$2:$D$11000,"Out",OUT!$E$2:$E$11000,"Iqbal")</f>
        <v>232194</v>
      </c>
    </row>
    <row r="968" spans="1:20" x14ac:dyDescent="0.2">
      <c r="A968" s="48">
        <f ca="1">IFERROR(__xludf.DUMMYFUNCTION("""COMPUTED_VALUE"""),46188)</f>
        <v>46188</v>
      </c>
      <c r="B968" s="4" t="str">
        <f ca="1">IFERROR(__xludf.DUMMYFUNCTION("""COMPUTED_VALUE"""),"pempes+susu Alfa")</f>
        <v>pempes+susu Alfa</v>
      </c>
      <c r="C968" s="4" t="str">
        <f ca="1">IFERROR(__xludf.DUMMYFUNCTION("""COMPUTED_VALUE"""),"ATM")</f>
        <v>ATM</v>
      </c>
      <c r="D968" s="4" t="str">
        <f ca="1">IFERROR(__xludf.DUMMYFUNCTION("""COMPUTED_VALUE"""),"Out")</f>
        <v>Out</v>
      </c>
      <c r="E968" s="4" t="str">
        <f ca="1">IFERROR(__xludf.DUMMYFUNCTION("""COMPUTED_VALUE"""),"Alfa")</f>
        <v>Alfa</v>
      </c>
      <c r="F968" s="49">
        <f ca="1">IFERROR(__xludf.DUMMYFUNCTION("""COMPUTED_VALUE"""),56800)</f>
        <v>56800</v>
      </c>
      <c r="G968" s="50" t="str">
        <f ca="1">IFERROR(__xludf.DUMMYFUNCTION("""COMPUTED_VALUE"""),"Zela")</f>
        <v>Zela</v>
      </c>
      <c r="H968" s="51">
        <f t="shared" ca="1" si="0"/>
        <v>46174</v>
      </c>
      <c r="I968" s="52" t="e">
        <f ca="1">SUMIFS(OUT!$F$2:$F$11000,OUT!$H$2:$H$11000,H968,OUT!$D$2:$D$101007,"In")</f>
        <v>#VALUE!</v>
      </c>
      <c r="J968" s="52">
        <f ca="1">SUMIFS(OUT!$F$2:$F$11000,OUT!$H$2:$H$11000,H968,OUT!$D$2:$D$11000,"Out")</f>
        <v>9155672</v>
      </c>
      <c r="K968" s="52">
        <f ca="1">SUMIFS(OUT!$F$2:$F$11000,OUT!$H$2:$H$11000,H968,OUT!$D$2:$D$11000,"Out",OUT!$E$2:$E$11000,"Fix")</f>
        <v>3084727</v>
      </c>
      <c r="L968" s="52">
        <f ca="1">SUMIFS(OUT!$F$2:$F$11000,OUT!$H$2:$H$11000,H968,OUT!$D$2:$D$11000,"Out",OUT!$E$2:$E$11000,"Bathroom")</f>
        <v>37500</v>
      </c>
      <c r="M968" s="52">
        <f ca="1">SUMIFS(OUT!$F$2:$F$11000,OUT!$H$2:$H$11000,H968,OUT!$D$2:$D$11000,"Out",OUT!$E$2:$E$11000,"Alfa")</f>
        <v>317864</v>
      </c>
      <c r="N968" s="52" t="e">
        <f ca="1">SUMIFS(OUT!$F$2:$F$11000,OUT!$H$2:$H$101007,H968,OUT!$D$2:$D$11000,"Out",OUT!$E$2:$E$11000,"Jajan")</f>
        <v>#VALUE!</v>
      </c>
      <c r="O968" s="52">
        <f ca="1">SUMIFS(OUT!$F$2:$F$11000,OUT!$H$2:$H$11000,H968,OUT!$D$2:$D$11000,"Out",OUT!$E$2:$E$11000,"Kitchen")</f>
        <v>985700</v>
      </c>
      <c r="P968" s="52">
        <f ca="1">SUMIFS(OUT!$F$2:$F$11000,OUT!$H$2:$H$11000,H968,OUT!$D$2:$D$11000,"Out",OUT!$E$2:$E$11000,"Loandry")</f>
        <v>21500</v>
      </c>
      <c r="Q968" s="52">
        <f ca="1">SUMIFS(OUT!$F$2:$F$11000,OUT!$H$2:$H$11000,H968,OUT!$D$2:$D$11000,"Out",OUT!$E$2:$E$11000,"Mio")</f>
        <v>265000</v>
      </c>
      <c r="R968" s="52">
        <f ca="1">SUMIFS(OUT!$F$2:$F$11000,OUT!$H$2:$H$11000,H968,OUT!$D$2:$D$11000,"Out",OUT!$E$2:$E$11000,"Sedekah")</f>
        <v>5000</v>
      </c>
      <c r="S968" s="52">
        <f ca="1">SUMIFS(OUT!$F$2:$F$11000,OUT!$H$2:$H$11000,H968,OUT!$D$2:$D$11000,"Out",OUT!$E$2:$E$11000,"Zela")</f>
        <v>33400</v>
      </c>
      <c r="T968" s="52">
        <f ca="1">SUMIFS(OUT!$F$2:$F$11000,OUT!$H$2:$H$11000,H968,OUT!$D$2:$D$11000,"Out",OUT!$E$2:$E$11000,"Iqbal")</f>
        <v>232194</v>
      </c>
    </row>
    <row r="969" spans="1:20" x14ac:dyDescent="0.2">
      <c r="A969" s="48">
        <f ca="1">IFERROR(__xludf.DUMMYFUNCTION("""COMPUTED_VALUE"""),46189)</f>
        <v>46189</v>
      </c>
      <c r="B969" s="4" t="str">
        <f ca="1">IFERROR(__xludf.DUMMYFUNCTION("""COMPUTED_VALUE"""),"Voucher Tiktok Gacoan ")</f>
        <v xml:space="preserve">Voucher Tiktok Gacoan </v>
      </c>
      <c r="C969" s="4" t="str">
        <f ca="1">IFERROR(__xludf.DUMMYFUNCTION("""COMPUTED_VALUE"""),"ATM")</f>
        <v>ATM</v>
      </c>
      <c r="D969" s="4" t="str">
        <f ca="1">IFERROR(__xludf.DUMMYFUNCTION("""COMPUTED_VALUE"""),"Out")</f>
        <v>Out</v>
      </c>
      <c r="E969" s="4" t="str">
        <f ca="1">IFERROR(__xludf.DUMMYFUNCTION("""COMPUTED_VALUE"""),"Jajan")</f>
        <v>Jajan</v>
      </c>
      <c r="F969" s="49">
        <f ca="1">IFERROR(__xludf.DUMMYFUNCTION("""COMPUTED_VALUE"""),55200)</f>
        <v>55200</v>
      </c>
      <c r="G969" s="50" t="str">
        <f ca="1">IFERROR(__xludf.DUMMYFUNCTION("""COMPUTED_VALUE"""),"Zela")</f>
        <v>Zela</v>
      </c>
      <c r="H969" s="51">
        <f t="shared" ca="1" si="0"/>
        <v>46174</v>
      </c>
      <c r="I969" s="52" t="e">
        <f ca="1">SUMIFS(OUT!$F$2:$F$11000,OUT!$H$2:$H$11000,H969,OUT!$D$2:$D$101007,"In")</f>
        <v>#VALUE!</v>
      </c>
      <c r="J969" s="52">
        <f ca="1">SUMIFS(OUT!$F$2:$F$11000,OUT!$H$2:$H$11000,H969,OUT!$D$2:$D$11000,"Out")</f>
        <v>9155672</v>
      </c>
      <c r="K969" s="52">
        <f ca="1">SUMIFS(OUT!$F$2:$F$11000,OUT!$H$2:$H$11000,H969,OUT!$D$2:$D$11000,"Out",OUT!$E$2:$E$11000,"Fix")</f>
        <v>3084727</v>
      </c>
      <c r="L969" s="52">
        <f ca="1">SUMIFS(OUT!$F$2:$F$11000,OUT!$H$2:$H$11000,H969,OUT!$D$2:$D$11000,"Out",OUT!$E$2:$E$11000,"Bathroom")</f>
        <v>37500</v>
      </c>
      <c r="M969" s="52">
        <f ca="1">SUMIFS(OUT!$F$2:$F$11000,OUT!$H$2:$H$11000,H969,OUT!$D$2:$D$11000,"Out",OUT!$E$2:$E$11000,"Alfa")</f>
        <v>317864</v>
      </c>
      <c r="N969" s="52" t="e">
        <f ca="1">SUMIFS(OUT!$F$2:$F$11000,OUT!$H$2:$H$101007,H969,OUT!$D$2:$D$11000,"Out",OUT!$E$2:$E$11000,"Jajan")</f>
        <v>#VALUE!</v>
      </c>
      <c r="O969" s="52">
        <f ca="1">SUMIFS(OUT!$F$2:$F$11000,OUT!$H$2:$H$11000,H969,OUT!$D$2:$D$11000,"Out",OUT!$E$2:$E$11000,"Kitchen")</f>
        <v>985700</v>
      </c>
      <c r="P969" s="52">
        <f ca="1">SUMIFS(OUT!$F$2:$F$11000,OUT!$H$2:$H$11000,H969,OUT!$D$2:$D$11000,"Out",OUT!$E$2:$E$11000,"Loandry")</f>
        <v>21500</v>
      </c>
      <c r="Q969" s="52">
        <f ca="1">SUMIFS(OUT!$F$2:$F$11000,OUT!$H$2:$H$11000,H969,OUT!$D$2:$D$11000,"Out",OUT!$E$2:$E$11000,"Mio")</f>
        <v>265000</v>
      </c>
      <c r="R969" s="52">
        <f ca="1">SUMIFS(OUT!$F$2:$F$11000,OUT!$H$2:$H$11000,H969,OUT!$D$2:$D$11000,"Out",OUT!$E$2:$E$11000,"Sedekah")</f>
        <v>5000</v>
      </c>
      <c r="S969" s="52">
        <f ca="1">SUMIFS(OUT!$F$2:$F$11000,OUT!$H$2:$H$11000,H969,OUT!$D$2:$D$11000,"Out",OUT!$E$2:$E$11000,"Zela")</f>
        <v>33400</v>
      </c>
      <c r="T969" s="52">
        <f ca="1">SUMIFS(OUT!$F$2:$F$11000,OUT!$H$2:$H$11000,H969,OUT!$D$2:$D$11000,"Out",OUT!$E$2:$E$11000,"Iqbal")</f>
        <v>232194</v>
      </c>
    </row>
    <row r="970" spans="1:20" x14ac:dyDescent="0.2">
      <c r="A970" s="48">
        <f ca="1">IFERROR(__xludf.DUMMYFUNCTION("""COMPUTED_VALUE"""),46189)</f>
        <v>46189</v>
      </c>
      <c r="B970" s="4" t="str">
        <f ca="1">IFERROR(__xludf.DUMMYFUNCTION("""COMPUTED_VALUE"""),"Saldo tiktok  1")</f>
        <v>Saldo tiktok  1</v>
      </c>
      <c r="C970" s="4" t="str">
        <f ca="1">IFERROR(__xludf.DUMMYFUNCTION("""COMPUTED_VALUE"""),"ATM")</f>
        <v>ATM</v>
      </c>
      <c r="D970" s="4" t="str">
        <f ca="1">IFERROR(__xludf.DUMMYFUNCTION("""COMPUTED_VALUE"""),"In")</f>
        <v>In</v>
      </c>
      <c r="E970" s="4" t="str">
        <f ca="1">IFERROR(__xludf.DUMMYFUNCTION("""COMPUTED_VALUE"""),"Fix")</f>
        <v>Fix</v>
      </c>
      <c r="F970" s="49">
        <f ca="1">IFERROR(__xludf.DUMMYFUNCTION("""COMPUTED_VALUE"""),48900)</f>
        <v>48900</v>
      </c>
      <c r="G970" s="50" t="str">
        <f ca="1">IFERROR(__xludf.DUMMYFUNCTION("""COMPUTED_VALUE"""),"Zela")</f>
        <v>Zela</v>
      </c>
      <c r="H970" s="51">
        <f t="shared" ca="1" si="0"/>
        <v>46174</v>
      </c>
      <c r="I970" s="52" t="e">
        <f ca="1">SUMIFS(OUT!$F$2:$F$11000,OUT!$H$2:$H$11000,H970,OUT!$D$2:$D$101007,"In")</f>
        <v>#VALUE!</v>
      </c>
      <c r="J970" s="52">
        <f ca="1">SUMIFS(OUT!$F$2:$F$11000,OUT!$H$2:$H$11000,H970,OUT!$D$2:$D$11000,"Out")</f>
        <v>9155672</v>
      </c>
      <c r="K970" s="52">
        <f ca="1">SUMIFS(OUT!$F$2:$F$11000,OUT!$H$2:$H$11000,H970,OUT!$D$2:$D$11000,"Out",OUT!$E$2:$E$11000,"Fix")</f>
        <v>3084727</v>
      </c>
      <c r="L970" s="52">
        <f ca="1">SUMIFS(OUT!$F$2:$F$11000,OUT!$H$2:$H$11000,H970,OUT!$D$2:$D$11000,"Out",OUT!$E$2:$E$11000,"Bathroom")</f>
        <v>37500</v>
      </c>
      <c r="M970" s="52">
        <f ca="1">SUMIFS(OUT!$F$2:$F$11000,OUT!$H$2:$H$11000,H970,OUT!$D$2:$D$11000,"Out",OUT!$E$2:$E$11000,"Alfa")</f>
        <v>317864</v>
      </c>
      <c r="N970" s="52" t="e">
        <f ca="1">SUMIFS(OUT!$F$2:$F$11000,OUT!$H$2:$H$101007,H970,OUT!$D$2:$D$11000,"Out",OUT!$E$2:$E$11000,"Jajan")</f>
        <v>#VALUE!</v>
      </c>
      <c r="O970" s="52">
        <f ca="1">SUMIFS(OUT!$F$2:$F$11000,OUT!$H$2:$H$11000,H970,OUT!$D$2:$D$11000,"Out",OUT!$E$2:$E$11000,"Kitchen")</f>
        <v>985700</v>
      </c>
      <c r="P970" s="52">
        <f ca="1">SUMIFS(OUT!$F$2:$F$11000,OUT!$H$2:$H$11000,H970,OUT!$D$2:$D$11000,"Out",OUT!$E$2:$E$11000,"Loandry")</f>
        <v>21500</v>
      </c>
      <c r="Q970" s="52">
        <f ca="1">SUMIFS(OUT!$F$2:$F$11000,OUT!$H$2:$H$11000,H970,OUT!$D$2:$D$11000,"Out",OUT!$E$2:$E$11000,"Mio")</f>
        <v>265000</v>
      </c>
      <c r="R970" s="52">
        <f ca="1">SUMIFS(OUT!$F$2:$F$11000,OUT!$H$2:$H$11000,H970,OUT!$D$2:$D$11000,"Out",OUT!$E$2:$E$11000,"Sedekah")</f>
        <v>5000</v>
      </c>
      <c r="S970" s="52">
        <f ca="1">SUMIFS(OUT!$F$2:$F$11000,OUT!$H$2:$H$11000,H970,OUT!$D$2:$D$11000,"Out",OUT!$E$2:$E$11000,"Zela")</f>
        <v>33400</v>
      </c>
      <c r="T970" s="52">
        <f ca="1">SUMIFS(OUT!$F$2:$F$11000,OUT!$H$2:$H$11000,H970,OUT!$D$2:$D$11000,"Out",OUT!$E$2:$E$11000,"Iqbal")</f>
        <v>232194</v>
      </c>
    </row>
    <row r="971" spans="1:20" x14ac:dyDescent="0.2">
      <c r="A971" s="48">
        <f ca="1">IFERROR(__xludf.DUMMYFUNCTION("""COMPUTED_VALUE"""),46189)</f>
        <v>46189</v>
      </c>
      <c r="B971" s="4" t="str">
        <f ca="1">IFERROR(__xludf.DUMMYFUNCTION("""COMPUTED_VALUE"""),"Saldo Tiktok 2")</f>
        <v>Saldo Tiktok 2</v>
      </c>
      <c r="C971" s="4" t="str">
        <f ca="1">IFERROR(__xludf.DUMMYFUNCTION("""COMPUTED_VALUE"""),"ATM")</f>
        <v>ATM</v>
      </c>
      <c r="D971" s="4" t="str">
        <f ca="1">IFERROR(__xludf.DUMMYFUNCTION("""COMPUTED_VALUE"""),"In")</f>
        <v>In</v>
      </c>
      <c r="E971" s="4" t="str">
        <f ca="1">IFERROR(__xludf.DUMMYFUNCTION("""COMPUTED_VALUE"""),"Fix")</f>
        <v>Fix</v>
      </c>
      <c r="F971" s="49">
        <f ca="1">IFERROR(__xludf.DUMMYFUNCTION("""COMPUTED_VALUE"""),153840)</f>
        <v>153840</v>
      </c>
      <c r="G971" s="50" t="str">
        <f ca="1">IFERROR(__xludf.DUMMYFUNCTION("""COMPUTED_VALUE"""),"Zela")</f>
        <v>Zela</v>
      </c>
      <c r="H971" s="51">
        <f t="shared" ca="1" si="0"/>
        <v>46174</v>
      </c>
      <c r="I971" s="52" t="e">
        <f ca="1">SUMIFS(OUT!$F$2:$F$11000,OUT!$H$2:$H$11000,H971,OUT!$D$2:$D$101007,"In")</f>
        <v>#VALUE!</v>
      </c>
      <c r="J971" s="52">
        <f ca="1">SUMIFS(OUT!$F$2:$F$11000,OUT!$H$2:$H$11000,H971,OUT!$D$2:$D$11000,"Out")</f>
        <v>9155672</v>
      </c>
      <c r="K971" s="52">
        <f ca="1">SUMIFS(OUT!$F$2:$F$11000,OUT!$H$2:$H$11000,H971,OUT!$D$2:$D$11000,"Out",OUT!$E$2:$E$11000,"Fix")</f>
        <v>3084727</v>
      </c>
      <c r="L971" s="52">
        <f ca="1">SUMIFS(OUT!$F$2:$F$11000,OUT!$H$2:$H$11000,H971,OUT!$D$2:$D$11000,"Out",OUT!$E$2:$E$11000,"Bathroom")</f>
        <v>37500</v>
      </c>
      <c r="M971" s="52">
        <f ca="1">SUMIFS(OUT!$F$2:$F$11000,OUT!$H$2:$H$11000,H971,OUT!$D$2:$D$11000,"Out",OUT!$E$2:$E$11000,"Alfa")</f>
        <v>317864</v>
      </c>
      <c r="N971" s="52" t="e">
        <f ca="1">SUMIFS(OUT!$F$2:$F$11000,OUT!$H$2:$H$101007,H971,OUT!$D$2:$D$11000,"Out",OUT!$E$2:$E$11000,"Jajan")</f>
        <v>#VALUE!</v>
      </c>
      <c r="O971" s="52">
        <f ca="1">SUMIFS(OUT!$F$2:$F$11000,OUT!$H$2:$H$11000,H971,OUT!$D$2:$D$11000,"Out",OUT!$E$2:$E$11000,"Kitchen")</f>
        <v>985700</v>
      </c>
      <c r="P971" s="52">
        <f ca="1">SUMIFS(OUT!$F$2:$F$11000,OUT!$H$2:$H$11000,H971,OUT!$D$2:$D$11000,"Out",OUT!$E$2:$E$11000,"Loandry")</f>
        <v>21500</v>
      </c>
      <c r="Q971" s="52">
        <f ca="1">SUMIFS(OUT!$F$2:$F$11000,OUT!$H$2:$H$11000,H971,OUT!$D$2:$D$11000,"Out",OUT!$E$2:$E$11000,"Mio")</f>
        <v>265000</v>
      </c>
      <c r="R971" s="52">
        <f ca="1">SUMIFS(OUT!$F$2:$F$11000,OUT!$H$2:$H$11000,H971,OUT!$D$2:$D$11000,"Out",OUT!$E$2:$E$11000,"Sedekah")</f>
        <v>5000</v>
      </c>
      <c r="S971" s="52">
        <f ca="1">SUMIFS(OUT!$F$2:$F$11000,OUT!$H$2:$H$11000,H971,OUT!$D$2:$D$11000,"Out",OUT!$E$2:$E$11000,"Zela")</f>
        <v>33400</v>
      </c>
      <c r="T971" s="52">
        <f ca="1">SUMIFS(OUT!$F$2:$F$11000,OUT!$H$2:$H$11000,H971,OUT!$D$2:$D$11000,"Out",OUT!$E$2:$E$11000,"Iqbal")</f>
        <v>232194</v>
      </c>
    </row>
    <row r="972" spans="1:20" x14ac:dyDescent="0.2">
      <c r="A972" s="48">
        <f ca="1">IFERROR(__xludf.DUMMYFUNCTION("""COMPUTED_VALUE"""),46189)</f>
        <v>46189</v>
      </c>
      <c r="B972" s="4" t="str">
        <f ca="1">IFERROR(__xludf.DUMMYFUNCTION("""COMPUTED_VALUE"""),"Tarik Tunai ")</f>
        <v xml:space="preserve">Tarik Tunai </v>
      </c>
      <c r="C972" s="4" t="str">
        <f ca="1">IFERROR(__xludf.DUMMYFUNCTION("""COMPUTED_VALUE"""),"ATM")</f>
        <v>ATM</v>
      </c>
      <c r="D972" s="4" t="str">
        <f ca="1">IFERROR(__xludf.DUMMYFUNCTION("""COMPUTED_VALUE"""),"Out")</f>
        <v>Out</v>
      </c>
      <c r="E972" s="4" t="str">
        <f ca="1">IFERROR(__xludf.DUMMYFUNCTION("""COMPUTED_VALUE"""),"Move")</f>
        <v>Move</v>
      </c>
      <c r="F972" s="49">
        <f ca="1">IFERROR(__xludf.DUMMYFUNCTION("""COMPUTED_VALUE"""),50000)</f>
        <v>50000</v>
      </c>
      <c r="G972" s="50" t="str">
        <f ca="1">IFERROR(__xludf.DUMMYFUNCTION("""COMPUTED_VALUE"""),"Zela")</f>
        <v>Zela</v>
      </c>
      <c r="H972" s="51">
        <f t="shared" ca="1" si="0"/>
        <v>46174</v>
      </c>
      <c r="I972" s="52" t="e">
        <f ca="1">SUMIFS(OUT!$F$2:$F$11000,OUT!$H$2:$H$11000,H972,OUT!$D$2:$D$101007,"In")</f>
        <v>#VALUE!</v>
      </c>
      <c r="J972" s="52">
        <f ca="1">SUMIFS(OUT!$F$2:$F$11000,OUT!$H$2:$H$11000,H972,OUT!$D$2:$D$11000,"Out")</f>
        <v>9155672</v>
      </c>
      <c r="K972" s="52">
        <f ca="1">SUMIFS(OUT!$F$2:$F$11000,OUT!$H$2:$H$11000,H972,OUT!$D$2:$D$11000,"Out",OUT!$E$2:$E$11000,"Fix")</f>
        <v>3084727</v>
      </c>
      <c r="L972" s="52">
        <f ca="1">SUMIFS(OUT!$F$2:$F$11000,OUT!$H$2:$H$11000,H972,OUT!$D$2:$D$11000,"Out",OUT!$E$2:$E$11000,"Bathroom")</f>
        <v>37500</v>
      </c>
      <c r="M972" s="52">
        <f ca="1">SUMIFS(OUT!$F$2:$F$11000,OUT!$H$2:$H$11000,H972,OUT!$D$2:$D$11000,"Out",OUT!$E$2:$E$11000,"Alfa")</f>
        <v>317864</v>
      </c>
      <c r="N972" s="52" t="e">
        <f ca="1">SUMIFS(OUT!$F$2:$F$11000,OUT!$H$2:$H$101007,H972,OUT!$D$2:$D$11000,"Out",OUT!$E$2:$E$11000,"Jajan")</f>
        <v>#VALUE!</v>
      </c>
      <c r="O972" s="52">
        <f ca="1">SUMIFS(OUT!$F$2:$F$11000,OUT!$H$2:$H$11000,H972,OUT!$D$2:$D$11000,"Out",OUT!$E$2:$E$11000,"Kitchen")</f>
        <v>985700</v>
      </c>
      <c r="P972" s="52">
        <f ca="1">SUMIFS(OUT!$F$2:$F$11000,OUT!$H$2:$H$11000,H972,OUT!$D$2:$D$11000,"Out",OUT!$E$2:$E$11000,"Loandry")</f>
        <v>21500</v>
      </c>
      <c r="Q972" s="52">
        <f ca="1">SUMIFS(OUT!$F$2:$F$11000,OUT!$H$2:$H$11000,H972,OUT!$D$2:$D$11000,"Out",OUT!$E$2:$E$11000,"Mio")</f>
        <v>265000</v>
      </c>
      <c r="R972" s="52">
        <f ca="1">SUMIFS(OUT!$F$2:$F$11000,OUT!$H$2:$H$11000,H972,OUT!$D$2:$D$11000,"Out",OUT!$E$2:$E$11000,"Sedekah")</f>
        <v>5000</v>
      </c>
      <c r="S972" s="52">
        <f ca="1">SUMIFS(OUT!$F$2:$F$11000,OUT!$H$2:$H$11000,H972,OUT!$D$2:$D$11000,"Out",OUT!$E$2:$E$11000,"Zela")</f>
        <v>33400</v>
      </c>
      <c r="T972" s="52">
        <f ca="1">SUMIFS(OUT!$F$2:$F$11000,OUT!$H$2:$H$11000,H972,OUT!$D$2:$D$11000,"Out",OUT!$E$2:$E$11000,"Iqbal")</f>
        <v>232194</v>
      </c>
    </row>
    <row r="973" spans="1:20" x14ac:dyDescent="0.2">
      <c r="A973" s="48">
        <f ca="1">IFERROR(__xludf.DUMMYFUNCTION("""COMPUTED_VALUE"""),46189)</f>
        <v>46189</v>
      </c>
      <c r="B973" s="4" t="str">
        <f ca="1">IFERROR(__xludf.DUMMYFUNCTION("""COMPUTED_VALUE"""),"Terima Tunai ")</f>
        <v xml:space="preserve">Terima Tunai </v>
      </c>
      <c r="C973" s="4" t="str">
        <f ca="1">IFERROR(__xludf.DUMMYFUNCTION("""COMPUTED_VALUE"""),"Cash")</f>
        <v>Cash</v>
      </c>
      <c r="D973" s="4" t="str">
        <f ca="1">IFERROR(__xludf.DUMMYFUNCTION("""COMPUTED_VALUE"""),"In")</f>
        <v>In</v>
      </c>
      <c r="E973" s="4" t="str">
        <f ca="1">IFERROR(__xludf.DUMMYFUNCTION("""COMPUTED_VALUE"""),"Move")</f>
        <v>Move</v>
      </c>
      <c r="F973" s="49">
        <f ca="1">IFERROR(__xludf.DUMMYFUNCTION("""COMPUTED_VALUE"""),50000)</f>
        <v>50000</v>
      </c>
      <c r="G973" s="50" t="str">
        <f ca="1">IFERROR(__xludf.DUMMYFUNCTION("""COMPUTED_VALUE"""),"Zela")</f>
        <v>Zela</v>
      </c>
      <c r="H973" s="51">
        <f t="shared" ca="1" si="0"/>
        <v>46174</v>
      </c>
      <c r="I973" s="52" t="e">
        <f ca="1">SUMIFS(OUT!$F$2:$F$11000,OUT!$H$2:$H$11000,H973,OUT!$D$2:$D$101007,"In")</f>
        <v>#VALUE!</v>
      </c>
      <c r="J973" s="52">
        <f ca="1">SUMIFS(OUT!$F$2:$F$11000,OUT!$H$2:$H$11000,H973,OUT!$D$2:$D$11000,"Out")</f>
        <v>9155672</v>
      </c>
      <c r="K973" s="52">
        <f ca="1">SUMIFS(OUT!$F$2:$F$11000,OUT!$H$2:$H$11000,H973,OUT!$D$2:$D$11000,"Out",OUT!$E$2:$E$11000,"Fix")</f>
        <v>3084727</v>
      </c>
      <c r="L973" s="52">
        <f ca="1">SUMIFS(OUT!$F$2:$F$11000,OUT!$H$2:$H$11000,H973,OUT!$D$2:$D$11000,"Out",OUT!$E$2:$E$11000,"Bathroom")</f>
        <v>37500</v>
      </c>
      <c r="M973" s="52">
        <f ca="1">SUMIFS(OUT!$F$2:$F$11000,OUT!$H$2:$H$11000,H973,OUT!$D$2:$D$11000,"Out",OUT!$E$2:$E$11000,"Alfa")</f>
        <v>317864</v>
      </c>
      <c r="N973" s="52" t="e">
        <f ca="1">SUMIFS(OUT!$F$2:$F$11000,OUT!$H$2:$H$101007,H973,OUT!$D$2:$D$11000,"Out",OUT!$E$2:$E$11000,"Jajan")</f>
        <v>#VALUE!</v>
      </c>
      <c r="O973" s="52">
        <f ca="1">SUMIFS(OUT!$F$2:$F$11000,OUT!$H$2:$H$11000,H973,OUT!$D$2:$D$11000,"Out",OUT!$E$2:$E$11000,"Kitchen")</f>
        <v>985700</v>
      </c>
      <c r="P973" s="52">
        <f ca="1">SUMIFS(OUT!$F$2:$F$11000,OUT!$H$2:$H$11000,H973,OUT!$D$2:$D$11000,"Out",OUT!$E$2:$E$11000,"Loandry")</f>
        <v>21500</v>
      </c>
      <c r="Q973" s="52">
        <f ca="1">SUMIFS(OUT!$F$2:$F$11000,OUT!$H$2:$H$11000,H973,OUT!$D$2:$D$11000,"Out",OUT!$E$2:$E$11000,"Mio")</f>
        <v>265000</v>
      </c>
      <c r="R973" s="52">
        <f ca="1">SUMIFS(OUT!$F$2:$F$11000,OUT!$H$2:$H$11000,H973,OUT!$D$2:$D$11000,"Out",OUT!$E$2:$E$11000,"Sedekah")</f>
        <v>5000</v>
      </c>
      <c r="S973" s="52">
        <f ca="1">SUMIFS(OUT!$F$2:$F$11000,OUT!$H$2:$H$11000,H973,OUT!$D$2:$D$11000,"Out",OUT!$E$2:$E$11000,"Zela")</f>
        <v>33400</v>
      </c>
      <c r="T973" s="52">
        <f ca="1">SUMIFS(OUT!$F$2:$F$11000,OUT!$H$2:$H$11000,H973,OUT!$D$2:$D$11000,"Out",OUT!$E$2:$E$11000,"Iqbal")</f>
        <v>232194</v>
      </c>
    </row>
    <row r="974" spans="1:20" x14ac:dyDescent="0.2">
      <c r="A974" s="48">
        <f ca="1">IFERROR(__xludf.DUMMYFUNCTION("""COMPUTED_VALUE"""),46189)</f>
        <v>46189</v>
      </c>
      <c r="B974" s="4" t="str">
        <f ca="1">IFERROR(__xludf.DUMMYFUNCTION("""COMPUTED_VALUE"""),"Tarik Tunai ")</f>
        <v xml:space="preserve">Tarik Tunai </v>
      </c>
      <c r="C974" s="4" t="str">
        <f ca="1">IFERROR(__xludf.DUMMYFUNCTION("""COMPUTED_VALUE"""),"ATM")</f>
        <v>ATM</v>
      </c>
      <c r="D974" s="4" t="str">
        <f ca="1">IFERROR(__xludf.DUMMYFUNCTION("""COMPUTED_VALUE"""),"Out")</f>
        <v>Out</v>
      </c>
      <c r="E974" s="4" t="str">
        <f ca="1">IFERROR(__xludf.DUMMYFUNCTION("""COMPUTED_VALUE"""),"Move")</f>
        <v>Move</v>
      </c>
      <c r="F974" s="49">
        <f ca="1">IFERROR(__xludf.DUMMYFUNCTION("""COMPUTED_VALUE"""),100000)</f>
        <v>100000</v>
      </c>
      <c r="G974" s="50" t="str">
        <f ca="1">IFERROR(__xludf.DUMMYFUNCTION("""COMPUTED_VALUE"""),"Zela")</f>
        <v>Zela</v>
      </c>
      <c r="H974" s="51">
        <f t="shared" ca="1" si="0"/>
        <v>46174</v>
      </c>
      <c r="I974" s="52" t="e">
        <f ca="1">SUMIFS(OUT!$F$2:$F$11000,OUT!$H$2:$H$11000,H974,OUT!$D$2:$D$101007,"In")</f>
        <v>#VALUE!</v>
      </c>
      <c r="J974" s="52">
        <f ca="1">SUMIFS(OUT!$F$2:$F$11000,OUT!$H$2:$H$11000,H974,OUT!$D$2:$D$11000,"Out")</f>
        <v>9155672</v>
      </c>
      <c r="K974" s="52">
        <f ca="1">SUMIFS(OUT!$F$2:$F$11000,OUT!$H$2:$H$11000,H974,OUT!$D$2:$D$11000,"Out",OUT!$E$2:$E$11000,"Fix")</f>
        <v>3084727</v>
      </c>
      <c r="L974" s="52">
        <f ca="1">SUMIFS(OUT!$F$2:$F$11000,OUT!$H$2:$H$11000,H974,OUT!$D$2:$D$11000,"Out",OUT!$E$2:$E$11000,"Bathroom")</f>
        <v>37500</v>
      </c>
      <c r="M974" s="52">
        <f ca="1">SUMIFS(OUT!$F$2:$F$11000,OUT!$H$2:$H$11000,H974,OUT!$D$2:$D$11000,"Out",OUT!$E$2:$E$11000,"Alfa")</f>
        <v>317864</v>
      </c>
      <c r="N974" s="52" t="e">
        <f ca="1">SUMIFS(OUT!$F$2:$F$11000,OUT!$H$2:$H$101007,H974,OUT!$D$2:$D$11000,"Out",OUT!$E$2:$E$11000,"Jajan")</f>
        <v>#VALUE!</v>
      </c>
      <c r="O974" s="52">
        <f ca="1">SUMIFS(OUT!$F$2:$F$11000,OUT!$H$2:$H$11000,H974,OUT!$D$2:$D$11000,"Out",OUT!$E$2:$E$11000,"Kitchen")</f>
        <v>985700</v>
      </c>
      <c r="P974" s="52">
        <f ca="1">SUMIFS(OUT!$F$2:$F$11000,OUT!$H$2:$H$11000,H974,OUT!$D$2:$D$11000,"Out",OUT!$E$2:$E$11000,"Loandry")</f>
        <v>21500</v>
      </c>
      <c r="Q974" s="52">
        <f ca="1">SUMIFS(OUT!$F$2:$F$11000,OUT!$H$2:$H$11000,H974,OUT!$D$2:$D$11000,"Out",OUT!$E$2:$E$11000,"Mio")</f>
        <v>265000</v>
      </c>
      <c r="R974" s="52">
        <f ca="1">SUMIFS(OUT!$F$2:$F$11000,OUT!$H$2:$H$11000,H974,OUT!$D$2:$D$11000,"Out",OUT!$E$2:$E$11000,"Sedekah")</f>
        <v>5000</v>
      </c>
      <c r="S974" s="52">
        <f ca="1">SUMIFS(OUT!$F$2:$F$11000,OUT!$H$2:$H$11000,H974,OUT!$D$2:$D$11000,"Out",OUT!$E$2:$E$11000,"Zela")</f>
        <v>33400</v>
      </c>
      <c r="T974" s="52">
        <f ca="1">SUMIFS(OUT!$F$2:$F$11000,OUT!$H$2:$H$11000,H974,OUT!$D$2:$D$11000,"Out",OUT!$E$2:$E$11000,"Iqbal")</f>
        <v>232194</v>
      </c>
    </row>
    <row r="975" spans="1:20" x14ac:dyDescent="0.2">
      <c r="A975" s="48">
        <f ca="1">IFERROR(__xludf.DUMMYFUNCTION("""COMPUTED_VALUE"""),46189)</f>
        <v>46189</v>
      </c>
      <c r="B975" s="4" t="str">
        <f ca="1">IFERROR(__xludf.DUMMYFUNCTION("""COMPUTED_VALUE"""),"Terima Tunai ")</f>
        <v xml:space="preserve">Terima Tunai </v>
      </c>
      <c r="C975" s="4" t="str">
        <f ca="1">IFERROR(__xludf.DUMMYFUNCTION("""COMPUTED_VALUE"""),"Cash")</f>
        <v>Cash</v>
      </c>
      <c r="D975" s="4" t="str">
        <f ca="1">IFERROR(__xludf.DUMMYFUNCTION("""COMPUTED_VALUE"""),"In")</f>
        <v>In</v>
      </c>
      <c r="E975" s="4" t="str">
        <f ca="1">IFERROR(__xludf.DUMMYFUNCTION("""COMPUTED_VALUE"""),"Move")</f>
        <v>Move</v>
      </c>
      <c r="F975" s="49">
        <f ca="1">IFERROR(__xludf.DUMMYFUNCTION("""COMPUTED_VALUE"""),100000)</f>
        <v>100000</v>
      </c>
      <c r="G975" s="50" t="str">
        <f ca="1">IFERROR(__xludf.DUMMYFUNCTION("""COMPUTED_VALUE"""),"Zela")</f>
        <v>Zela</v>
      </c>
      <c r="H975" s="51">
        <f t="shared" ca="1" si="0"/>
        <v>46174</v>
      </c>
      <c r="I975" s="52" t="e">
        <f ca="1">SUMIFS(OUT!$F$2:$F$11000,OUT!$H$2:$H$11000,H975,OUT!$D$2:$D$101007,"In")</f>
        <v>#VALUE!</v>
      </c>
      <c r="J975" s="52">
        <f ca="1">SUMIFS(OUT!$F$2:$F$11000,OUT!$H$2:$H$11000,H975,OUT!$D$2:$D$11000,"Out")</f>
        <v>9155672</v>
      </c>
      <c r="K975" s="52">
        <f ca="1">SUMIFS(OUT!$F$2:$F$11000,OUT!$H$2:$H$11000,H975,OUT!$D$2:$D$11000,"Out",OUT!$E$2:$E$11000,"Fix")</f>
        <v>3084727</v>
      </c>
      <c r="L975" s="52">
        <f ca="1">SUMIFS(OUT!$F$2:$F$11000,OUT!$H$2:$H$11000,H975,OUT!$D$2:$D$11000,"Out",OUT!$E$2:$E$11000,"Bathroom")</f>
        <v>37500</v>
      </c>
      <c r="M975" s="52">
        <f ca="1">SUMIFS(OUT!$F$2:$F$11000,OUT!$H$2:$H$11000,H975,OUT!$D$2:$D$11000,"Out",OUT!$E$2:$E$11000,"Alfa")</f>
        <v>317864</v>
      </c>
      <c r="N975" s="52" t="e">
        <f ca="1">SUMIFS(OUT!$F$2:$F$11000,OUT!$H$2:$H$101007,H975,OUT!$D$2:$D$11000,"Out",OUT!$E$2:$E$11000,"Jajan")</f>
        <v>#VALUE!</v>
      </c>
      <c r="O975" s="52">
        <f ca="1">SUMIFS(OUT!$F$2:$F$11000,OUT!$H$2:$H$11000,H975,OUT!$D$2:$D$11000,"Out",OUT!$E$2:$E$11000,"Kitchen")</f>
        <v>985700</v>
      </c>
      <c r="P975" s="52">
        <f ca="1">SUMIFS(OUT!$F$2:$F$11000,OUT!$H$2:$H$11000,H975,OUT!$D$2:$D$11000,"Out",OUT!$E$2:$E$11000,"Loandry")</f>
        <v>21500</v>
      </c>
      <c r="Q975" s="52">
        <f ca="1">SUMIFS(OUT!$F$2:$F$11000,OUT!$H$2:$H$11000,H975,OUT!$D$2:$D$11000,"Out",OUT!$E$2:$E$11000,"Mio")</f>
        <v>265000</v>
      </c>
      <c r="R975" s="52">
        <f ca="1">SUMIFS(OUT!$F$2:$F$11000,OUT!$H$2:$H$11000,H975,OUT!$D$2:$D$11000,"Out",OUT!$E$2:$E$11000,"Sedekah")</f>
        <v>5000</v>
      </c>
      <c r="S975" s="52">
        <f ca="1">SUMIFS(OUT!$F$2:$F$11000,OUT!$H$2:$H$11000,H975,OUT!$D$2:$D$11000,"Out",OUT!$E$2:$E$11000,"Zela")</f>
        <v>33400</v>
      </c>
      <c r="T975" s="52">
        <f ca="1">SUMIFS(OUT!$F$2:$F$11000,OUT!$H$2:$H$11000,H975,OUT!$D$2:$D$11000,"Out",OUT!$E$2:$E$11000,"Iqbal")</f>
        <v>232194</v>
      </c>
    </row>
    <row r="976" spans="1:20" x14ac:dyDescent="0.2">
      <c r="A976" s="48">
        <f ca="1">IFERROR(__xludf.DUMMYFUNCTION("""COMPUTED_VALUE"""),46189)</f>
        <v>46189</v>
      </c>
      <c r="B976" s="4" t="str">
        <f ca="1">IFERROR(__xludf.DUMMYFUNCTION("""COMPUTED_VALUE"""),"parkir gcoan ")</f>
        <v xml:space="preserve">parkir gcoan </v>
      </c>
      <c r="C976" s="4" t="str">
        <f ca="1">IFERROR(__xludf.DUMMYFUNCTION("""COMPUTED_VALUE"""),"Cash")</f>
        <v>Cash</v>
      </c>
      <c r="D976" s="4" t="str">
        <f ca="1">IFERROR(__xludf.DUMMYFUNCTION("""COMPUTED_VALUE"""),"Out")</f>
        <v>Out</v>
      </c>
      <c r="E976" s="4" t="str">
        <f ca="1">IFERROR(__xludf.DUMMYFUNCTION("""COMPUTED_VALUE"""),"Jajan")</f>
        <v>Jajan</v>
      </c>
      <c r="F976" s="49">
        <f ca="1">IFERROR(__xludf.DUMMYFUNCTION("""COMPUTED_VALUE"""),2000)</f>
        <v>2000</v>
      </c>
      <c r="G976" s="50" t="str">
        <f ca="1">IFERROR(__xludf.DUMMYFUNCTION("""COMPUTED_VALUE"""),"Zela")</f>
        <v>Zela</v>
      </c>
      <c r="H976" s="51">
        <f t="shared" ca="1" si="0"/>
        <v>46174</v>
      </c>
      <c r="I976" s="52" t="e">
        <f ca="1">SUMIFS(OUT!$F$2:$F$11000,OUT!$H$2:$H$11000,H976,OUT!$D$2:$D$101007,"In")</f>
        <v>#VALUE!</v>
      </c>
      <c r="J976" s="52">
        <f ca="1">SUMIFS(OUT!$F$2:$F$11000,OUT!$H$2:$H$11000,H976,OUT!$D$2:$D$11000,"Out")</f>
        <v>9155672</v>
      </c>
      <c r="K976" s="52">
        <f ca="1">SUMIFS(OUT!$F$2:$F$11000,OUT!$H$2:$H$11000,H976,OUT!$D$2:$D$11000,"Out",OUT!$E$2:$E$11000,"Fix")</f>
        <v>3084727</v>
      </c>
      <c r="L976" s="52">
        <f ca="1">SUMIFS(OUT!$F$2:$F$11000,OUT!$H$2:$H$11000,H976,OUT!$D$2:$D$11000,"Out",OUT!$E$2:$E$11000,"Bathroom")</f>
        <v>37500</v>
      </c>
      <c r="M976" s="52">
        <f ca="1">SUMIFS(OUT!$F$2:$F$11000,OUT!$H$2:$H$11000,H976,OUT!$D$2:$D$11000,"Out",OUT!$E$2:$E$11000,"Alfa")</f>
        <v>317864</v>
      </c>
      <c r="N976" s="52" t="e">
        <f ca="1">SUMIFS(OUT!$F$2:$F$11000,OUT!$H$2:$H$101007,H976,OUT!$D$2:$D$11000,"Out",OUT!$E$2:$E$11000,"Jajan")</f>
        <v>#VALUE!</v>
      </c>
      <c r="O976" s="52">
        <f ca="1">SUMIFS(OUT!$F$2:$F$11000,OUT!$H$2:$H$11000,H976,OUT!$D$2:$D$11000,"Out",OUT!$E$2:$E$11000,"Kitchen")</f>
        <v>985700</v>
      </c>
      <c r="P976" s="52">
        <f ca="1">SUMIFS(OUT!$F$2:$F$11000,OUT!$H$2:$H$11000,H976,OUT!$D$2:$D$11000,"Out",OUT!$E$2:$E$11000,"Loandry")</f>
        <v>21500</v>
      </c>
      <c r="Q976" s="52">
        <f ca="1">SUMIFS(OUT!$F$2:$F$11000,OUT!$H$2:$H$11000,H976,OUT!$D$2:$D$11000,"Out",OUT!$E$2:$E$11000,"Mio")</f>
        <v>265000</v>
      </c>
      <c r="R976" s="52">
        <f ca="1">SUMIFS(OUT!$F$2:$F$11000,OUT!$H$2:$H$11000,H976,OUT!$D$2:$D$11000,"Out",OUT!$E$2:$E$11000,"Sedekah")</f>
        <v>5000</v>
      </c>
      <c r="S976" s="52">
        <f ca="1">SUMIFS(OUT!$F$2:$F$11000,OUT!$H$2:$H$11000,H976,OUT!$D$2:$D$11000,"Out",OUT!$E$2:$E$11000,"Zela")</f>
        <v>33400</v>
      </c>
      <c r="T976" s="52">
        <f ca="1">SUMIFS(OUT!$F$2:$F$11000,OUT!$H$2:$H$11000,H976,OUT!$D$2:$D$11000,"Out",OUT!$E$2:$E$11000,"Iqbal")</f>
        <v>232194</v>
      </c>
    </row>
    <row r="977" spans="1:20" x14ac:dyDescent="0.2">
      <c r="A977" s="48">
        <f ca="1">IFERROR(__xludf.DUMMYFUNCTION("""COMPUTED_VALUE"""),46189)</f>
        <v>46189</v>
      </c>
      <c r="B977" s="4" t="str">
        <f ca="1">IFERROR(__xludf.DUMMYFUNCTION("""COMPUTED_VALUE"""),"roti gabin+ tawar ( Jenguk Mutia )")</f>
        <v>roti gabin+ tawar ( Jenguk Mutia )</v>
      </c>
      <c r="C977" s="4" t="str">
        <f ca="1">IFERROR(__xludf.DUMMYFUNCTION("""COMPUTED_VALUE"""),"Cash")</f>
        <v>Cash</v>
      </c>
      <c r="D977" s="4" t="str">
        <f ca="1">IFERROR(__xludf.DUMMYFUNCTION("""COMPUTED_VALUE"""),"Out")</f>
        <v>Out</v>
      </c>
      <c r="E977" s="4" t="str">
        <f ca="1">IFERROR(__xludf.DUMMYFUNCTION("""COMPUTED_VALUE"""),"Jajan")</f>
        <v>Jajan</v>
      </c>
      <c r="F977" s="49">
        <f ca="1">IFERROR(__xludf.DUMMYFUNCTION("""COMPUTED_VALUE"""),31000)</f>
        <v>31000</v>
      </c>
      <c r="G977" s="50" t="str">
        <f ca="1">IFERROR(__xludf.DUMMYFUNCTION("""COMPUTED_VALUE"""),"Zela")</f>
        <v>Zela</v>
      </c>
      <c r="H977" s="51">
        <f t="shared" ca="1" si="0"/>
        <v>46174</v>
      </c>
      <c r="I977" s="52" t="e">
        <f ca="1">SUMIFS(OUT!$F$2:$F$11000,OUT!$H$2:$H$11000,H977,OUT!$D$2:$D$101007,"In")</f>
        <v>#VALUE!</v>
      </c>
      <c r="J977" s="52">
        <f ca="1">SUMIFS(OUT!$F$2:$F$11000,OUT!$H$2:$H$11000,H977,OUT!$D$2:$D$11000,"Out")</f>
        <v>9155672</v>
      </c>
      <c r="K977" s="52">
        <f ca="1">SUMIFS(OUT!$F$2:$F$11000,OUT!$H$2:$H$11000,H977,OUT!$D$2:$D$11000,"Out",OUT!$E$2:$E$11000,"Fix")</f>
        <v>3084727</v>
      </c>
      <c r="L977" s="52">
        <f ca="1">SUMIFS(OUT!$F$2:$F$11000,OUT!$H$2:$H$11000,H977,OUT!$D$2:$D$11000,"Out",OUT!$E$2:$E$11000,"Bathroom")</f>
        <v>37500</v>
      </c>
      <c r="M977" s="52">
        <f ca="1">SUMIFS(OUT!$F$2:$F$11000,OUT!$H$2:$H$11000,H977,OUT!$D$2:$D$11000,"Out",OUT!$E$2:$E$11000,"Alfa")</f>
        <v>317864</v>
      </c>
      <c r="N977" s="52" t="e">
        <f ca="1">SUMIFS(OUT!$F$2:$F$11000,OUT!$H$2:$H$101007,H977,OUT!$D$2:$D$11000,"Out",OUT!$E$2:$E$11000,"Jajan")</f>
        <v>#VALUE!</v>
      </c>
      <c r="O977" s="52">
        <f ca="1">SUMIFS(OUT!$F$2:$F$11000,OUT!$H$2:$H$11000,H977,OUT!$D$2:$D$11000,"Out",OUT!$E$2:$E$11000,"Kitchen")</f>
        <v>985700</v>
      </c>
      <c r="P977" s="52">
        <f ca="1">SUMIFS(OUT!$F$2:$F$11000,OUT!$H$2:$H$11000,H977,OUT!$D$2:$D$11000,"Out",OUT!$E$2:$E$11000,"Loandry")</f>
        <v>21500</v>
      </c>
      <c r="Q977" s="52">
        <f ca="1">SUMIFS(OUT!$F$2:$F$11000,OUT!$H$2:$H$11000,H977,OUT!$D$2:$D$11000,"Out",OUT!$E$2:$E$11000,"Mio")</f>
        <v>265000</v>
      </c>
      <c r="R977" s="52">
        <f ca="1">SUMIFS(OUT!$F$2:$F$11000,OUT!$H$2:$H$11000,H977,OUT!$D$2:$D$11000,"Out",OUT!$E$2:$E$11000,"Sedekah")</f>
        <v>5000</v>
      </c>
      <c r="S977" s="52">
        <f ca="1">SUMIFS(OUT!$F$2:$F$11000,OUT!$H$2:$H$11000,H977,OUT!$D$2:$D$11000,"Out",OUT!$E$2:$E$11000,"Zela")</f>
        <v>33400</v>
      </c>
      <c r="T977" s="52">
        <f ca="1">SUMIFS(OUT!$F$2:$F$11000,OUT!$H$2:$H$11000,H977,OUT!$D$2:$D$11000,"Out",OUT!$E$2:$E$11000,"Iqbal")</f>
        <v>232194</v>
      </c>
    </row>
    <row r="978" spans="1:20" x14ac:dyDescent="0.2">
      <c r="A978" s="48">
        <f ca="1">IFERROR(__xludf.DUMMYFUNCTION("""COMPUTED_VALUE"""),46189)</f>
        <v>46189</v>
      </c>
      <c r="B978" s="4" t="str">
        <f ca="1">IFERROR(__xludf.DUMMYFUNCTION("""COMPUTED_VALUE"""),"Parkir ekahospital")</f>
        <v>Parkir ekahospital</v>
      </c>
      <c r="C978" s="4" t="str">
        <f ca="1">IFERROR(__xludf.DUMMYFUNCTION("""COMPUTED_VALUE"""),"Cash")</f>
        <v>Cash</v>
      </c>
      <c r="D978" s="4" t="str">
        <f ca="1">IFERROR(__xludf.DUMMYFUNCTION("""COMPUTED_VALUE"""),"Out")</f>
        <v>Out</v>
      </c>
      <c r="E978" s="4" t="str">
        <f ca="1">IFERROR(__xludf.DUMMYFUNCTION("""COMPUTED_VALUE"""),"Jajan")</f>
        <v>Jajan</v>
      </c>
      <c r="F978" s="49">
        <f ca="1">IFERROR(__xludf.DUMMYFUNCTION("""COMPUTED_VALUE"""),4000)</f>
        <v>4000</v>
      </c>
      <c r="G978" s="50" t="str">
        <f ca="1">IFERROR(__xludf.DUMMYFUNCTION("""COMPUTED_VALUE"""),"Zela")</f>
        <v>Zela</v>
      </c>
      <c r="H978" s="51">
        <f t="shared" ca="1" si="0"/>
        <v>46174</v>
      </c>
      <c r="I978" s="52" t="e">
        <f ca="1">SUMIFS(OUT!$F$2:$F$11000,OUT!$H$2:$H$11000,H978,OUT!$D$2:$D$101007,"In")</f>
        <v>#VALUE!</v>
      </c>
      <c r="J978" s="52">
        <f ca="1">SUMIFS(OUT!$F$2:$F$11000,OUT!$H$2:$H$11000,H978,OUT!$D$2:$D$11000,"Out")</f>
        <v>9155672</v>
      </c>
      <c r="K978" s="52">
        <f ca="1">SUMIFS(OUT!$F$2:$F$11000,OUT!$H$2:$H$11000,H978,OUT!$D$2:$D$11000,"Out",OUT!$E$2:$E$11000,"Fix")</f>
        <v>3084727</v>
      </c>
      <c r="L978" s="52">
        <f ca="1">SUMIFS(OUT!$F$2:$F$11000,OUT!$H$2:$H$11000,H978,OUT!$D$2:$D$11000,"Out",OUT!$E$2:$E$11000,"Bathroom")</f>
        <v>37500</v>
      </c>
      <c r="M978" s="52">
        <f ca="1">SUMIFS(OUT!$F$2:$F$11000,OUT!$H$2:$H$11000,H978,OUT!$D$2:$D$11000,"Out",OUT!$E$2:$E$11000,"Alfa")</f>
        <v>317864</v>
      </c>
      <c r="N978" s="52" t="e">
        <f ca="1">SUMIFS(OUT!$F$2:$F$11000,OUT!$H$2:$H$101007,H978,OUT!$D$2:$D$11000,"Out",OUT!$E$2:$E$11000,"Jajan")</f>
        <v>#VALUE!</v>
      </c>
      <c r="O978" s="52">
        <f ca="1">SUMIFS(OUT!$F$2:$F$11000,OUT!$H$2:$H$11000,H978,OUT!$D$2:$D$11000,"Out",OUT!$E$2:$E$11000,"Kitchen")</f>
        <v>985700</v>
      </c>
      <c r="P978" s="52">
        <f ca="1">SUMIFS(OUT!$F$2:$F$11000,OUT!$H$2:$H$11000,H978,OUT!$D$2:$D$11000,"Out",OUT!$E$2:$E$11000,"Loandry")</f>
        <v>21500</v>
      </c>
      <c r="Q978" s="52">
        <f ca="1">SUMIFS(OUT!$F$2:$F$11000,OUT!$H$2:$H$11000,H978,OUT!$D$2:$D$11000,"Out",OUT!$E$2:$E$11000,"Mio")</f>
        <v>265000</v>
      </c>
      <c r="R978" s="52">
        <f ca="1">SUMIFS(OUT!$F$2:$F$11000,OUT!$H$2:$H$11000,H978,OUT!$D$2:$D$11000,"Out",OUT!$E$2:$E$11000,"Sedekah")</f>
        <v>5000</v>
      </c>
      <c r="S978" s="52">
        <f ca="1">SUMIFS(OUT!$F$2:$F$11000,OUT!$H$2:$H$11000,H978,OUT!$D$2:$D$11000,"Out",OUT!$E$2:$E$11000,"Zela")</f>
        <v>33400</v>
      </c>
      <c r="T978" s="52">
        <f ca="1">SUMIFS(OUT!$F$2:$F$11000,OUT!$H$2:$H$11000,H978,OUT!$D$2:$D$11000,"Out",OUT!$E$2:$E$11000,"Iqbal")</f>
        <v>232194</v>
      </c>
    </row>
    <row r="979" spans="1:20" x14ac:dyDescent="0.2">
      <c r="A979" s="48">
        <f ca="1">IFERROR(__xludf.DUMMYFUNCTION("""COMPUTED_VALUE"""),46189)</f>
        <v>46189</v>
      </c>
      <c r="B979" s="4" t="str">
        <f ca="1">IFERROR(__xludf.DUMMYFUNCTION("""COMPUTED_VALUE"""),"Bensin Motor perralite ")</f>
        <v xml:space="preserve">Bensin Motor perralite </v>
      </c>
      <c r="C979" s="4" t="str">
        <f ca="1">IFERROR(__xludf.DUMMYFUNCTION("""COMPUTED_VALUE"""),"Cash")</f>
        <v>Cash</v>
      </c>
      <c r="D979" s="4" t="str">
        <f ca="1">IFERROR(__xludf.DUMMYFUNCTION("""COMPUTED_VALUE"""),"Out")</f>
        <v>Out</v>
      </c>
      <c r="E979" s="4" t="str">
        <f ca="1">IFERROR(__xludf.DUMMYFUNCTION("""COMPUTED_VALUE"""),"Mio")</f>
        <v>Mio</v>
      </c>
      <c r="F979" s="49">
        <f ca="1">IFERROR(__xludf.DUMMYFUNCTION("""COMPUTED_VALUE"""),23000)</f>
        <v>23000</v>
      </c>
      <c r="G979" s="50" t="str">
        <f ca="1">IFERROR(__xludf.DUMMYFUNCTION("""COMPUTED_VALUE"""),"Zela")</f>
        <v>Zela</v>
      </c>
      <c r="H979" s="51">
        <f t="shared" ca="1" si="0"/>
        <v>46174</v>
      </c>
      <c r="I979" s="52" t="e">
        <f ca="1">SUMIFS(OUT!$F$2:$F$11000,OUT!$H$2:$H$11000,H979,OUT!$D$2:$D$101007,"In")</f>
        <v>#VALUE!</v>
      </c>
      <c r="J979" s="52">
        <f ca="1">SUMIFS(OUT!$F$2:$F$11000,OUT!$H$2:$H$11000,H979,OUT!$D$2:$D$11000,"Out")</f>
        <v>9155672</v>
      </c>
      <c r="K979" s="52">
        <f ca="1">SUMIFS(OUT!$F$2:$F$11000,OUT!$H$2:$H$11000,H979,OUT!$D$2:$D$11000,"Out",OUT!$E$2:$E$11000,"Fix")</f>
        <v>3084727</v>
      </c>
      <c r="L979" s="52">
        <f ca="1">SUMIFS(OUT!$F$2:$F$11000,OUT!$H$2:$H$11000,H979,OUT!$D$2:$D$11000,"Out",OUT!$E$2:$E$11000,"Bathroom")</f>
        <v>37500</v>
      </c>
      <c r="M979" s="52">
        <f ca="1">SUMIFS(OUT!$F$2:$F$11000,OUT!$H$2:$H$11000,H979,OUT!$D$2:$D$11000,"Out",OUT!$E$2:$E$11000,"Alfa")</f>
        <v>317864</v>
      </c>
      <c r="N979" s="52" t="e">
        <f ca="1">SUMIFS(OUT!$F$2:$F$11000,OUT!$H$2:$H$101007,H979,OUT!$D$2:$D$11000,"Out",OUT!$E$2:$E$11000,"Jajan")</f>
        <v>#VALUE!</v>
      </c>
      <c r="O979" s="52">
        <f ca="1">SUMIFS(OUT!$F$2:$F$11000,OUT!$H$2:$H$11000,H979,OUT!$D$2:$D$11000,"Out",OUT!$E$2:$E$11000,"Kitchen")</f>
        <v>985700</v>
      </c>
      <c r="P979" s="52">
        <f ca="1">SUMIFS(OUT!$F$2:$F$11000,OUT!$H$2:$H$11000,H979,OUT!$D$2:$D$11000,"Out",OUT!$E$2:$E$11000,"Loandry")</f>
        <v>21500</v>
      </c>
      <c r="Q979" s="52">
        <f ca="1">SUMIFS(OUT!$F$2:$F$11000,OUT!$H$2:$H$11000,H979,OUT!$D$2:$D$11000,"Out",OUT!$E$2:$E$11000,"Mio")</f>
        <v>265000</v>
      </c>
      <c r="R979" s="52">
        <f ca="1">SUMIFS(OUT!$F$2:$F$11000,OUT!$H$2:$H$11000,H979,OUT!$D$2:$D$11000,"Out",OUT!$E$2:$E$11000,"Sedekah")</f>
        <v>5000</v>
      </c>
      <c r="S979" s="52">
        <f ca="1">SUMIFS(OUT!$F$2:$F$11000,OUT!$H$2:$H$11000,H979,OUT!$D$2:$D$11000,"Out",OUT!$E$2:$E$11000,"Zela")</f>
        <v>33400</v>
      </c>
      <c r="T979" s="52">
        <f ca="1">SUMIFS(OUT!$F$2:$F$11000,OUT!$H$2:$H$11000,H979,OUT!$D$2:$D$11000,"Out",OUT!$E$2:$E$11000,"Iqbal")</f>
        <v>232194</v>
      </c>
    </row>
    <row r="980" spans="1:20" x14ac:dyDescent="0.2">
      <c r="A980" s="48">
        <f ca="1">IFERROR(__xludf.DUMMYFUNCTION("""COMPUTED_VALUE"""),46189)</f>
        <v>46189</v>
      </c>
      <c r="B980" s="4" t="str">
        <f ca="1">IFERROR(__xludf.DUMMYFUNCTION("""COMPUTED_VALUE"""),"mochi eskrim 2 ")</f>
        <v xml:space="preserve">mochi eskrim 2 </v>
      </c>
      <c r="C980" s="4" t="str">
        <f ca="1">IFERROR(__xludf.DUMMYFUNCTION("""COMPUTED_VALUE"""),"Cash")</f>
        <v>Cash</v>
      </c>
      <c r="D980" s="4" t="str">
        <f ca="1">IFERROR(__xludf.DUMMYFUNCTION("""COMPUTED_VALUE"""),"Out")</f>
        <v>Out</v>
      </c>
      <c r="E980" s="4" t="str">
        <f ca="1">IFERROR(__xludf.DUMMYFUNCTION("""COMPUTED_VALUE"""),"Jajan")</f>
        <v>Jajan</v>
      </c>
      <c r="F980" s="49">
        <f ca="1">IFERROR(__xludf.DUMMYFUNCTION("""COMPUTED_VALUE"""),9000)</f>
        <v>9000</v>
      </c>
      <c r="G980" s="50" t="str">
        <f ca="1">IFERROR(__xludf.DUMMYFUNCTION("""COMPUTED_VALUE"""),"Zela")</f>
        <v>Zela</v>
      </c>
      <c r="H980" s="51">
        <f t="shared" ca="1" si="0"/>
        <v>46174</v>
      </c>
      <c r="I980" s="52" t="e">
        <f ca="1">SUMIFS(OUT!$F$2:$F$11000,OUT!$H$2:$H$11000,H980,OUT!$D$2:$D$101007,"In")</f>
        <v>#VALUE!</v>
      </c>
      <c r="J980" s="52">
        <f ca="1">SUMIFS(OUT!$F$2:$F$11000,OUT!$H$2:$H$11000,H980,OUT!$D$2:$D$11000,"Out")</f>
        <v>9155672</v>
      </c>
      <c r="K980" s="52">
        <f ca="1">SUMIFS(OUT!$F$2:$F$11000,OUT!$H$2:$H$11000,H980,OUT!$D$2:$D$11000,"Out",OUT!$E$2:$E$11000,"Fix")</f>
        <v>3084727</v>
      </c>
      <c r="L980" s="52">
        <f ca="1">SUMIFS(OUT!$F$2:$F$11000,OUT!$H$2:$H$11000,H980,OUT!$D$2:$D$11000,"Out",OUT!$E$2:$E$11000,"Bathroom")</f>
        <v>37500</v>
      </c>
      <c r="M980" s="52">
        <f ca="1">SUMIFS(OUT!$F$2:$F$11000,OUT!$H$2:$H$11000,H980,OUT!$D$2:$D$11000,"Out",OUT!$E$2:$E$11000,"Alfa")</f>
        <v>317864</v>
      </c>
      <c r="N980" s="52" t="e">
        <f ca="1">SUMIFS(OUT!$F$2:$F$11000,OUT!$H$2:$H$101007,H980,OUT!$D$2:$D$11000,"Out",OUT!$E$2:$E$11000,"Jajan")</f>
        <v>#VALUE!</v>
      </c>
      <c r="O980" s="52">
        <f ca="1">SUMIFS(OUT!$F$2:$F$11000,OUT!$H$2:$H$11000,H980,OUT!$D$2:$D$11000,"Out",OUT!$E$2:$E$11000,"Kitchen")</f>
        <v>985700</v>
      </c>
      <c r="P980" s="52">
        <f ca="1">SUMIFS(OUT!$F$2:$F$11000,OUT!$H$2:$H$11000,H980,OUT!$D$2:$D$11000,"Out",OUT!$E$2:$E$11000,"Loandry")</f>
        <v>21500</v>
      </c>
      <c r="Q980" s="52">
        <f ca="1">SUMIFS(OUT!$F$2:$F$11000,OUT!$H$2:$H$11000,H980,OUT!$D$2:$D$11000,"Out",OUT!$E$2:$E$11000,"Mio")</f>
        <v>265000</v>
      </c>
      <c r="R980" s="52">
        <f ca="1">SUMIFS(OUT!$F$2:$F$11000,OUT!$H$2:$H$11000,H980,OUT!$D$2:$D$11000,"Out",OUT!$E$2:$E$11000,"Sedekah")</f>
        <v>5000</v>
      </c>
      <c r="S980" s="52">
        <f ca="1">SUMIFS(OUT!$F$2:$F$11000,OUT!$H$2:$H$11000,H980,OUT!$D$2:$D$11000,"Out",OUT!$E$2:$E$11000,"Zela")</f>
        <v>33400</v>
      </c>
      <c r="T980" s="52">
        <f ca="1">SUMIFS(OUT!$F$2:$F$11000,OUT!$H$2:$H$11000,H980,OUT!$D$2:$D$11000,"Out",OUT!$E$2:$E$11000,"Iqbal")</f>
        <v>232194</v>
      </c>
    </row>
    <row r="981" spans="1:20" x14ac:dyDescent="0.2">
      <c r="A981" s="48">
        <f ca="1">IFERROR(__xludf.DUMMYFUNCTION("""COMPUTED_VALUE"""),46190)</f>
        <v>46190</v>
      </c>
      <c r="B981" s="4" t="str">
        <f ca="1">IFERROR(__xludf.DUMMYFUNCTION("""COMPUTED_VALUE"""),"Jajan Alfa ")</f>
        <v xml:space="preserve">Jajan Alfa </v>
      </c>
      <c r="C981" s="4" t="str">
        <f ca="1">IFERROR(__xludf.DUMMYFUNCTION("""COMPUTED_VALUE"""),"Cash")</f>
        <v>Cash</v>
      </c>
      <c r="D981" s="4" t="str">
        <f ca="1">IFERROR(__xludf.DUMMYFUNCTION("""COMPUTED_VALUE"""),"Out")</f>
        <v>Out</v>
      </c>
      <c r="E981" s="4" t="str">
        <f ca="1">IFERROR(__xludf.DUMMYFUNCTION("""COMPUTED_VALUE"""),"Jajan")</f>
        <v>Jajan</v>
      </c>
      <c r="F981" s="49">
        <f ca="1">IFERROR(__xludf.DUMMYFUNCTION("""COMPUTED_VALUE"""),5000)</f>
        <v>5000</v>
      </c>
      <c r="G981" s="50" t="str">
        <f ca="1">IFERROR(__xludf.DUMMYFUNCTION("""COMPUTED_VALUE"""),"Zela")</f>
        <v>Zela</v>
      </c>
      <c r="H981" s="51">
        <f t="shared" ca="1" si="0"/>
        <v>46174</v>
      </c>
      <c r="I981" s="52" t="e">
        <f ca="1">SUMIFS(OUT!$F$2:$F$11000,OUT!$H$2:$H$11000,H981,OUT!$D$2:$D$101007,"In")</f>
        <v>#VALUE!</v>
      </c>
      <c r="J981" s="52">
        <f ca="1">SUMIFS(OUT!$F$2:$F$11000,OUT!$H$2:$H$11000,H981,OUT!$D$2:$D$11000,"Out")</f>
        <v>9155672</v>
      </c>
      <c r="K981" s="52">
        <f ca="1">SUMIFS(OUT!$F$2:$F$11000,OUT!$H$2:$H$11000,H981,OUT!$D$2:$D$11000,"Out",OUT!$E$2:$E$11000,"Fix")</f>
        <v>3084727</v>
      </c>
      <c r="L981" s="52">
        <f ca="1">SUMIFS(OUT!$F$2:$F$11000,OUT!$H$2:$H$11000,H981,OUT!$D$2:$D$11000,"Out",OUT!$E$2:$E$11000,"Bathroom")</f>
        <v>37500</v>
      </c>
      <c r="M981" s="52">
        <f ca="1">SUMIFS(OUT!$F$2:$F$11000,OUT!$H$2:$H$11000,H981,OUT!$D$2:$D$11000,"Out",OUT!$E$2:$E$11000,"Alfa")</f>
        <v>317864</v>
      </c>
      <c r="N981" s="52" t="e">
        <f ca="1">SUMIFS(OUT!$F$2:$F$11000,OUT!$H$2:$H$101007,H981,OUT!$D$2:$D$11000,"Out",OUT!$E$2:$E$11000,"Jajan")</f>
        <v>#VALUE!</v>
      </c>
      <c r="O981" s="52">
        <f ca="1">SUMIFS(OUT!$F$2:$F$11000,OUT!$H$2:$H$11000,H981,OUT!$D$2:$D$11000,"Out",OUT!$E$2:$E$11000,"Kitchen")</f>
        <v>985700</v>
      </c>
      <c r="P981" s="52">
        <f ca="1">SUMIFS(OUT!$F$2:$F$11000,OUT!$H$2:$H$11000,H981,OUT!$D$2:$D$11000,"Out",OUT!$E$2:$E$11000,"Loandry")</f>
        <v>21500</v>
      </c>
      <c r="Q981" s="52">
        <f ca="1">SUMIFS(OUT!$F$2:$F$11000,OUT!$H$2:$H$11000,H981,OUT!$D$2:$D$11000,"Out",OUT!$E$2:$E$11000,"Mio")</f>
        <v>265000</v>
      </c>
      <c r="R981" s="52">
        <f ca="1">SUMIFS(OUT!$F$2:$F$11000,OUT!$H$2:$H$11000,H981,OUT!$D$2:$D$11000,"Out",OUT!$E$2:$E$11000,"Sedekah")</f>
        <v>5000</v>
      </c>
      <c r="S981" s="52">
        <f ca="1">SUMIFS(OUT!$F$2:$F$11000,OUT!$H$2:$H$11000,H981,OUT!$D$2:$D$11000,"Out",OUT!$E$2:$E$11000,"Zela")</f>
        <v>33400</v>
      </c>
      <c r="T981" s="52">
        <f ca="1">SUMIFS(OUT!$F$2:$F$11000,OUT!$H$2:$H$11000,H981,OUT!$D$2:$D$11000,"Out",OUT!$E$2:$E$11000,"Iqbal")</f>
        <v>232194</v>
      </c>
    </row>
    <row r="982" spans="1:20" x14ac:dyDescent="0.2">
      <c r="A982" s="48">
        <f ca="1">IFERROR(__xludf.DUMMYFUNCTION("""COMPUTED_VALUE"""),46190)</f>
        <v>46190</v>
      </c>
      <c r="B982" s="4" t="str">
        <f ca="1">IFERROR(__xludf.DUMMYFUNCTION("""COMPUTED_VALUE"""),"Grosir")</f>
        <v>Grosir</v>
      </c>
      <c r="C982" s="4" t="str">
        <f ca="1">IFERROR(__xludf.DUMMYFUNCTION("""COMPUTED_VALUE"""),"Cash")</f>
        <v>Cash</v>
      </c>
      <c r="D982" s="4" t="str">
        <f ca="1">IFERROR(__xludf.DUMMYFUNCTION("""COMPUTED_VALUE"""),"Out")</f>
        <v>Out</v>
      </c>
      <c r="E982" s="4" t="str">
        <f ca="1">IFERROR(__xludf.DUMMYFUNCTION("""COMPUTED_VALUE"""),"Kitchen")</f>
        <v>Kitchen</v>
      </c>
      <c r="F982" s="49">
        <f ca="1">IFERROR(__xludf.DUMMYFUNCTION("""COMPUTED_VALUE"""),43000)</f>
        <v>43000</v>
      </c>
      <c r="G982" s="50" t="str">
        <f ca="1">IFERROR(__xludf.DUMMYFUNCTION("""COMPUTED_VALUE"""),"Zela")</f>
        <v>Zela</v>
      </c>
      <c r="H982" s="51">
        <f t="shared" ca="1" si="0"/>
        <v>46174</v>
      </c>
      <c r="I982" s="52" t="e">
        <f ca="1">SUMIFS(OUT!$F$2:$F$11000,OUT!$H$2:$H$11000,H982,OUT!$D$2:$D$101007,"In")</f>
        <v>#VALUE!</v>
      </c>
      <c r="J982" s="52">
        <f ca="1">SUMIFS(OUT!$F$2:$F$11000,OUT!$H$2:$H$11000,H982,OUT!$D$2:$D$11000,"Out")</f>
        <v>9155672</v>
      </c>
      <c r="K982" s="52">
        <f ca="1">SUMIFS(OUT!$F$2:$F$11000,OUT!$H$2:$H$11000,H982,OUT!$D$2:$D$11000,"Out",OUT!$E$2:$E$11000,"Fix")</f>
        <v>3084727</v>
      </c>
      <c r="L982" s="52">
        <f ca="1">SUMIFS(OUT!$F$2:$F$11000,OUT!$H$2:$H$11000,H982,OUT!$D$2:$D$11000,"Out",OUT!$E$2:$E$11000,"Bathroom")</f>
        <v>37500</v>
      </c>
      <c r="M982" s="52">
        <f ca="1">SUMIFS(OUT!$F$2:$F$11000,OUT!$H$2:$H$11000,H982,OUT!$D$2:$D$11000,"Out",OUT!$E$2:$E$11000,"Alfa")</f>
        <v>317864</v>
      </c>
      <c r="N982" s="52" t="e">
        <f ca="1">SUMIFS(OUT!$F$2:$F$11000,OUT!$H$2:$H$101007,H982,OUT!$D$2:$D$11000,"Out",OUT!$E$2:$E$11000,"Jajan")</f>
        <v>#VALUE!</v>
      </c>
      <c r="O982" s="52">
        <f ca="1">SUMIFS(OUT!$F$2:$F$11000,OUT!$H$2:$H$11000,H982,OUT!$D$2:$D$11000,"Out",OUT!$E$2:$E$11000,"Kitchen")</f>
        <v>985700</v>
      </c>
      <c r="P982" s="52">
        <f ca="1">SUMIFS(OUT!$F$2:$F$11000,OUT!$H$2:$H$11000,H982,OUT!$D$2:$D$11000,"Out",OUT!$E$2:$E$11000,"Loandry")</f>
        <v>21500</v>
      </c>
      <c r="Q982" s="52">
        <f ca="1">SUMIFS(OUT!$F$2:$F$11000,OUT!$H$2:$H$11000,H982,OUT!$D$2:$D$11000,"Out",OUT!$E$2:$E$11000,"Mio")</f>
        <v>265000</v>
      </c>
      <c r="R982" s="52">
        <f ca="1">SUMIFS(OUT!$F$2:$F$11000,OUT!$H$2:$H$11000,H982,OUT!$D$2:$D$11000,"Out",OUT!$E$2:$E$11000,"Sedekah")</f>
        <v>5000</v>
      </c>
      <c r="S982" s="52">
        <f ca="1">SUMIFS(OUT!$F$2:$F$11000,OUT!$H$2:$H$11000,H982,OUT!$D$2:$D$11000,"Out",OUT!$E$2:$E$11000,"Zela")</f>
        <v>33400</v>
      </c>
      <c r="T982" s="52">
        <f ca="1">SUMIFS(OUT!$F$2:$F$11000,OUT!$H$2:$H$11000,H982,OUT!$D$2:$D$11000,"Out",OUT!$E$2:$E$11000,"Iqbal")</f>
        <v>232194</v>
      </c>
    </row>
    <row r="983" spans="1:20" x14ac:dyDescent="0.2">
      <c r="A983" s="48">
        <f ca="1">IFERROR(__xludf.DUMMYFUNCTION("""COMPUTED_VALUE"""),46192)</f>
        <v>46192</v>
      </c>
      <c r="B983" s="4" t="str">
        <f ca="1">IFERROR(__xludf.DUMMYFUNCTION("""COMPUTED_VALUE"""),"roti kacang Hijau ")</f>
        <v xml:space="preserve">roti kacang Hijau </v>
      </c>
      <c r="C983" s="4" t="str">
        <f ca="1">IFERROR(__xludf.DUMMYFUNCTION("""COMPUTED_VALUE"""),"Cash")</f>
        <v>Cash</v>
      </c>
      <c r="D983" s="4" t="str">
        <f ca="1">IFERROR(__xludf.DUMMYFUNCTION("""COMPUTED_VALUE"""),"Out")</f>
        <v>Out</v>
      </c>
      <c r="E983" s="4" t="str">
        <f ca="1">IFERROR(__xludf.DUMMYFUNCTION("""COMPUTED_VALUE"""),"Jajan")</f>
        <v>Jajan</v>
      </c>
      <c r="F983" s="49">
        <f ca="1">IFERROR(__xludf.DUMMYFUNCTION("""COMPUTED_VALUE"""),10000)</f>
        <v>10000</v>
      </c>
      <c r="G983" s="50" t="str">
        <f ca="1">IFERROR(__xludf.DUMMYFUNCTION("""COMPUTED_VALUE"""),"Zela")</f>
        <v>Zela</v>
      </c>
      <c r="H983" s="51">
        <f t="shared" ca="1" si="0"/>
        <v>46174</v>
      </c>
      <c r="I983" s="52" t="e">
        <f ca="1">SUMIFS(OUT!$F$2:$F$11000,OUT!$H$2:$H$11000,H983,OUT!$D$2:$D$101007,"In")</f>
        <v>#VALUE!</v>
      </c>
      <c r="J983" s="52">
        <f ca="1">SUMIFS(OUT!$F$2:$F$11000,OUT!$H$2:$H$11000,H983,OUT!$D$2:$D$11000,"Out")</f>
        <v>9155672</v>
      </c>
      <c r="K983" s="52">
        <f ca="1">SUMIFS(OUT!$F$2:$F$11000,OUT!$H$2:$H$11000,H983,OUT!$D$2:$D$11000,"Out",OUT!$E$2:$E$11000,"Fix")</f>
        <v>3084727</v>
      </c>
      <c r="L983" s="52">
        <f ca="1">SUMIFS(OUT!$F$2:$F$11000,OUT!$H$2:$H$11000,H983,OUT!$D$2:$D$11000,"Out",OUT!$E$2:$E$11000,"Bathroom")</f>
        <v>37500</v>
      </c>
      <c r="M983" s="52">
        <f ca="1">SUMIFS(OUT!$F$2:$F$11000,OUT!$H$2:$H$11000,H983,OUT!$D$2:$D$11000,"Out",OUT!$E$2:$E$11000,"Alfa")</f>
        <v>317864</v>
      </c>
      <c r="N983" s="52" t="e">
        <f ca="1">SUMIFS(OUT!$F$2:$F$11000,OUT!$H$2:$H$101007,H983,OUT!$D$2:$D$11000,"Out",OUT!$E$2:$E$11000,"Jajan")</f>
        <v>#VALUE!</v>
      </c>
      <c r="O983" s="52">
        <f ca="1">SUMIFS(OUT!$F$2:$F$11000,OUT!$H$2:$H$11000,H983,OUT!$D$2:$D$11000,"Out",OUT!$E$2:$E$11000,"Kitchen")</f>
        <v>985700</v>
      </c>
      <c r="P983" s="52">
        <f ca="1">SUMIFS(OUT!$F$2:$F$11000,OUT!$H$2:$H$11000,H983,OUT!$D$2:$D$11000,"Out",OUT!$E$2:$E$11000,"Loandry")</f>
        <v>21500</v>
      </c>
      <c r="Q983" s="52">
        <f ca="1">SUMIFS(OUT!$F$2:$F$11000,OUT!$H$2:$H$11000,H983,OUT!$D$2:$D$11000,"Out",OUT!$E$2:$E$11000,"Mio")</f>
        <v>265000</v>
      </c>
      <c r="R983" s="52">
        <f ca="1">SUMIFS(OUT!$F$2:$F$11000,OUT!$H$2:$H$11000,H983,OUT!$D$2:$D$11000,"Out",OUT!$E$2:$E$11000,"Sedekah")</f>
        <v>5000</v>
      </c>
      <c r="S983" s="52">
        <f ca="1">SUMIFS(OUT!$F$2:$F$11000,OUT!$H$2:$H$11000,H983,OUT!$D$2:$D$11000,"Out",OUT!$E$2:$E$11000,"Zela")</f>
        <v>33400</v>
      </c>
      <c r="T983" s="52">
        <f ca="1">SUMIFS(OUT!$F$2:$F$11000,OUT!$H$2:$H$11000,H983,OUT!$D$2:$D$11000,"Out",OUT!$E$2:$E$11000,"Iqbal")</f>
        <v>232194</v>
      </c>
    </row>
    <row r="984" spans="1:20" x14ac:dyDescent="0.2">
      <c r="A984" s="48">
        <f ca="1">IFERROR(__xludf.DUMMYFUNCTION("""COMPUTED_VALUE"""),46192)</f>
        <v>46192</v>
      </c>
      <c r="B984" s="4" t="str">
        <f ca="1">IFERROR(__xludf.DUMMYFUNCTION("""COMPUTED_VALUE"""),"Suamiku ")</f>
        <v xml:space="preserve">Suamiku </v>
      </c>
      <c r="C984" s="4" t="str">
        <f ca="1">IFERROR(__xludf.DUMMYFUNCTION("""COMPUTED_VALUE"""),"ATM")</f>
        <v>ATM</v>
      </c>
      <c r="D984" s="4" t="str">
        <f ca="1">IFERROR(__xludf.DUMMYFUNCTION("""COMPUTED_VALUE"""),"In")</f>
        <v>In</v>
      </c>
      <c r="E984" s="4" t="str">
        <f ca="1">IFERROR(__xludf.DUMMYFUNCTION("""COMPUTED_VALUE"""),"Fix")</f>
        <v>Fix</v>
      </c>
      <c r="F984" s="49">
        <f ca="1">IFERROR(__xludf.DUMMYFUNCTION("""COMPUTED_VALUE"""),100000)</f>
        <v>100000</v>
      </c>
      <c r="G984" s="50" t="str">
        <f ca="1">IFERROR(__xludf.DUMMYFUNCTION("""COMPUTED_VALUE"""),"Zela")</f>
        <v>Zela</v>
      </c>
      <c r="H984" s="51">
        <f t="shared" ca="1" si="0"/>
        <v>46174</v>
      </c>
      <c r="I984" s="52" t="e">
        <f ca="1">SUMIFS(OUT!$F$2:$F$11000,OUT!$H$2:$H$11000,H984,OUT!$D$2:$D$101007,"In")</f>
        <v>#VALUE!</v>
      </c>
      <c r="J984" s="52">
        <f ca="1">SUMIFS(OUT!$F$2:$F$11000,OUT!$H$2:$H$11000,H984,OUT!$D$2:$D$11000,"Out")</f>
        <v>9155672</v>
      </c>
      <c r="K984" s="52">
        <f ca="1">SUMIFS(OUT!$F$2:$F$11000,OUT!$H$2:$H$11000,H984,OUT!$D$2:$D$11000,"Out",OUT!$E$2:$E$11000,"Fix")</f>
        <v>3084727</v>
      </c>
      <c r="L984" s="52">
        <f ca="1">SUMIFS(OUT!$F$2:$F$11000,OUT!$H$2:$H$11000,H984,OUT!$D$2:$D$11000,"Out",OUT!$E$2:$E$11000,"Bathroom")</f>
        <v>37500</v>
      </c>
      <c r="M984" s="52">
        <f ca="1">SUMIFS(OUT!$F$2:$F$11000,OUT!$H$2:$H$11000,H984,OUT!$D$2:$D$11000,"Out",OUT!$E$2:$E$11000,"Alfa")</f>
        <v>317864</v>
      </c>
      <c r="N984" s="52" t="e">
        <f ca="1">SUMIFS(OUT!$F$2:$F$11000,OUT!$H$2:$H$101007,H984,OUT!$D$2:$D$11000,"Out",OUT!$E$2:$E$11000,"Jajan")</f>
        <v>#VALUE!</v>
      </c>
      <c r="O984" s="52">
        <f ca="1">SUMIFS(OUT!$F$2:$F$11000,OUT!$H$2:$H$11000,H984,OUT!$D$2:$D$11000,"Out",OUT!$E$2:$E$11000,"Kitchen")</f>
        <v>985700</v>
      </c>
      <c r="P984" s="52">
        <f ca="1">SUMIFS(OUT!$F$2:$F$11000,OUT!$H$2:$H$11000,H984,OUT!$D$2:$D$11000,"Out",OUT!$E$2:$E$11000,"Loandry")</f>
        <v>21500</v>
      </c>
      <c r="Q984" s="52">
        <f ca="1">SUMIFS(OUT!$F$2:$F$11000,OUT!$H$2:$H$11000,H984,OUT!$D$2:$D$11000,"Out",OUT!$E$2:$E$11000,"Mio")</f>
        <v>265000</v>
      </c>
      <c r="R984" s="52">
        <f ca="1">SUMIFS(OUT!$F$2:$F$11000,OUT!$H$2:$H$11000,H984,OUT!$D$2:$D$11000,"Out",OUT!$E$2:$E$11000,"Sedekah")</f>
        <v>5000</v>
      </c>
      <c r="S984" s="52">
        <f ca="1">SUMIFS(OUT!$F$2:$F$11000,OUT!$H$2:$H$11000,H984,OUT!$D$2:$D$11000,"Out",OUT!$E$2:$E$11000,"Zela")</f>
        <v>33400</v>
      </c>
      <c r="T984" s="52">
        <f ca="1">SUMIFS(OUT!$F$2:$F$11000,OUT!$H$2:$H$11000,H984,OUT!$D$2:$D$11000,"Out",OUT!$E$2:$E$11000,"Iqbal")</f>
        <v>232194</v>
      </c>
    </row>
    <row r="985" spans="1:20" x14ac:dyDescent="0.2">
      <c r="A985" s="48">
        <f ca="1">IFERROR(__xludf.DUMMYFUNCTION("""COMPUTED_VALUE"""),46192)</f>
        <v>46192</v>
      </c>
      <c r="B985" s="4" t="str">
        <f ca="1">IFERROR(__xludf.DUMMYFUNCTION("""COMPUTED_VALUE"""),"Tarik Tunai ")</f>
        <v xml:space="preserve">Tarik Tunai </v>
      </c>
      <c r="C985" s="4" t="str">
        <f ca="1">IFERROR(__xludf.DUMMYFUNCTION("""COMPUTED_VALUE"""),"ATM")</f>
        <v>ATM</v>
      </c>
      <c r="D985" s="4" t="str">
        <f ca="1">IFERROR(__xludf.DUMMYFUNCTION("""COMPUTED_VALUE"""),"Out")</f>
        <v>Out</v>
      </c>
      <c r="E985" s="4" t="str">
        <f ca="1">IFERROR(__xludf.DUMMYFUNCTION("""COMPUTED_VALUE"""),"Move")</f>
        <v>Move</v>
      </c>
      <c r="F985" s="49">
        <f ca="1">IFERROR(__xludf.DUMMYFUNCTION("""COMPUTED_VALUE"""),100000)</f>
        <v>100000</v>
      </c>
      <c r="G985" s="50" t="str">
        <f ca="1">IFERROR(__xludf.DUMMYFUNCTION("""COMPUTED_VALUE"""),"Zela")</f>
        <v>Zela</v>
      </c>
      <c r="H985" s="51">
        <f t="shared" ca="1" si="0"/>
        <v>46174</v>
      </c>
      <c r="I985" s="52" t="e">
        <f ca="1">SUMIFS(OUT!$F$2:$F$11000,OUT!$H$2:$H$11000,H985,OUT!$D$2:$D$101007,"In")</f>
        <v>#VALUE!</v>
      </c>
      <c r="J985" s="52">
        <f ca="1">SUMIFS(OUT!$F$2:$F$11000,OUT!$H$2:$H$11000,H985,OUT!$D$2:$D$11000,"Out")</f>
        <v>9155672</v>
      </c>
      <c r="K985" s="52">
        <f ca="1">SUMIFS(OUT!$F$2:$F$11000,OUT!$H$2:$H$11000,H985,OUT!$D$2:$D$11000,"Out",OUT!$E$2:$E$11000,"Fix")</f>
        <v>3084727</v>
      </c>
      <c r="L985" s="52">
        <f ca="1">SUMIFS(OUT!$F$2:$F$11000,OUT!$H$2:$H$11000,H985,OUT!$D$2:$D$11000,"Out",OUT!$E$2:$E$11000,"Bathroom")</f>
        <v>37500</v>
      </c>
      <c r="M985" s="52">
        <f ca="1">SUMIFS(OUT!$F$2:$F$11000,OUT!$H$2:$H$11000,H985,OUT!$D$2:$D$11000,"Out",OUT!$E$2:$E$11000,"Alfa")</f>
        <v>317864</v>
      </c>
      <c r="N985" s="52" t="e">
        <f ca="1">SUMIFS(OUT!$F$2:$F$11000,OUT!$H$2:$H$101007,H985,OUT!$D$2:$D$11000,"Out",OUT!$E$2:$E$11000,"Jajan")</f>
        <v>#VALUE!</v>
      </c>
      <c r="O985" s="52">
        <f ca="1">SUMIFS(OUT!$F$2:$F$11000,OUT!$H$2:$H$11000,H985,OUT!$D$2:$D$11000,"Out",OUT!$E$2:$E$11000,"Kitchen")</f>
        <v>985700</v>
      </c>
      <c r="P985" s="52">
        <f ca="1">SUMIFS(OUT!$F$2:$F$11000,OUT!$H$2:$H$11000,H985,OUT!$D$2:$D$11000,"Out",OUT!$E$2:$E$11000,"Loandry")</f>
        <v>21500</v>
      </c>
      <c r="Q985" s="52">
        <f ca="1">SUMIFS(OUT!$F$2:$F$11000,OUT!$H$2:$H$11000,H985,OUT!$D$2:$D$11000,"Out",OUT!$E$2:$E$11000,"Mio")</f>
        <v>265000</v>
      </c>
      <c r="R985" s="52">
        <f ca="1">SUMIFS(OUT!$F$2:$F$11000,OUT!$H$2:$H$11000,H985,OUT!$D$2:$D$11000,"Out",OUT!$E$2:$E$11000,"Sedekah")</f>
        <v>5000</v>
      </c>
      <c r="S985" s="52">
        <f ca="1">SUMIFS(OUT!$F$2:$F$11000,OUT!$H$2:$H$11000,H985,OUT!$D$2:$D$11000,"Out",OUT!$E$2:$E$11000,"Zela")</f>
        <v>33400</v>
      </c>
      <c r="T985" s="52">
        <f ca="1">SUMIFS(OUT!$F$2:$F$11000,OUT!$H$2:$H$11000,H985,OUT!$D$2:$D$11000,"Out",OUT!$E$2:$E$11000,"Iqbal")</f>
        <v>232194</v>
      </c>
    </row>
    <row r="986" spans="1:20" x14ac:dyDescent="0.2">
      <c r="A986" s="48">
        <f ca="1">IFERROR(__xludf.DUMMYFUNCTION("""COMPUTED_VALUE"""),46192)</f>
        <v>46192</v>
      </c>
      <c r="B986" s="4" t="str">
        <f ca="1">IFERROR(__xludf.DUMMYFUNCTION("""COMPUTED_VALUE"""),"Terima Tunai ")</f>
        <v xml:space="preserve">Terima Tunai </v>
      </c>
      <c r="C986" s="4" t="str">
        <f ca="1">IFERROR(__xludf.DUMMYFUNCTION("""COMPUTED_VALUE"""),"Cash")</f>
        <v>Cash</v>
      </c>
      <c r="D986" s="4" t="str">
        <f ca="1">IFERROR(__xludf.DUMMYFUNCTION("""COMPUTED_VALUE"""),"In")</f>
        <v>In</v>
      </c>
      <c r="E986" s="4" t="str">
        <f ca="1">IFERROR(__xludf.DUMMYFUNCTION("""COMPUTED_VALUE"""),"Move")</f>
        <v>Move</v>
      </c>
      <c r="F986" s="49">
        <f ca="1">IFERROR(__xludf.DUMMYFUNCTION("""COMPUTED_VALUE"""),100000)</f>
        <v>100000</v>
      </c>
      <c r="G986" s="50" t="str">
        <f ca="1">IFERROR(__xludf.DUMMYFUNCTION("""COMPUTED_VALUE"""),"Zela")</f>
        <v>Zela</v>
      </c>
      <c r="H986" s="51">
        <f t="shared" ca="1" si="0"/>
        <v>46174</v>
      </c>
      <c r="I986" s="52" t="e">
        <f ca="1">SUMIFS(OUT!$F$2:$F$11000,OUT!$H$2:$H$11000,H986,OUT!$D$2:$D$101007,"In")</f>
        <v>#VALUE!</v>
      </c>
      <c r="J986" s="52">
        <f ca="1">SUMIFS(OUT!$F$2:$F$11000,OUT!$H$2:$H$11000,H986,OUT!$D$2:$D$11000,"Out")</f>
        <v>9155672</v>
      </c>
      <c r="K986" s="52">
        <f ca="1">SUMIFS(OUT!$F$2:$F$11000,OUT!$H$2:$H$11000,H986,OUT!$D$2:$D$11000,"Out",OUT!$E$2:$E$11000,"Fix")</f>
        <v>3084727</v>
      </c>
      <c r="L986" s="52">
        <f ca="1">SUMIFS(OUT!$F$2:$F$11000,OUT!$H$2:$H$11000,H986,OUT!$D$2:$D$11000,"Out",OUT!$E$2:$E$11000,"Bathroom")</f>
        <v>37500</v>
      </c>
      <c r="M986" s="52">
        <f ca="1">SUMIFS(OUT!$F$2:$F$11000,OUT!$H$2:$H$11000,H986,OUT!$D$2:$D$11000,"Out",OUT!$E$2:$E$11000,"Alfa")</f>
        <v>317864</v>
      </c>
      <c r="N986" s="52" t="e">
        <f ca="1">SUMIFS(OUT!$F$2:$F$11000,OUT!$H$2:$H$101007,H986,OUT!$D$2:$D$11000,"Out",OUT!$E$2:$E$11000,"Jajan")</f>
        <v>#VALUE!</v>
      </c>
      <c r="O986" s="52">
        <f ca="1">SUMIFS(OUT!$F$2:$F$11000,OUT!$H$2:$H$11000,H986,OUT!$D$2:$D$11000,"Out",OUT!$E$2:$E$11000,"Kitchen")</f>
        <v>985700</v>
      </c>
      <c r="P986" s="52">
        <f ca="1">SUMIFS(OUT!$F$2:$F$11000,OUT!$H$2:$H$11000,H986,OUT!$D$2:$D$11000,"Out",OUT!$E$2:$E$11000,"Loandry")</f>
        <v>21500</v>
      </c>
      <c r="Q986" s="52">
        <f ca="1">SUMIFS(OUT!$F$2:$F$11000,OUT!$H$2:$H$11000,H986,OUT!$D$2:$D$11000,"Out",OUT!$E$2:$E$11000,"Mio")</f>
        <v>265000</v>
      </c>
      <c r="R986" s="52">
        <f ca="1">SUMIFS(OUT!$F$2:$F$11000,OUT!$H$2:$H$11000,H986,OUT!$D$2:$D$11000,"Out",OUT!$E$2:$E$11000,"Sedekah")</f>
        <v>5000</v>
      </c>
      <c r="S986" s="52">
        <f ca="1">SUMIFS(OUT!$F$2:$F$11000,OUT!$H$2:$H$11000,H986,OUT!$D$2:$D$11000,"Out",OUT!$E$2:$E$11000,"Zela")</f>
        <v>33400</v>
      </c>
      <c r="T986" s="52">
        <f ca="1">SUMIFS(OUT!$F$2:$F$11000,OUT!$H$2:$H$11000,H986,OUT!$D$2:$D$11000,"Out",OUT!$E$2:$E$11000,"Iqbal")</f>
        <v>232194</v>
      </c>
    </row>
    <row r="987" spans="1:20" x14ac:dyDescent="0.2">
      <c r="A987" s="48">
        <f ca="1">IFERROR(__xludf.DUMMYFUNCTION("""COMPUTED_VALUE"""),46192)</f>
        <v>46192</v>
      </c>
      <c r="B987" s="4" t="str">
        <f ca="1">IFERROR(__xludf.DUMMYFUNCTION("""COMPUTED_VALUE"""),"Pasar Kaget ")</f>
        <v xml:space="preserve">Pasar Kaget </v>
      </c>
      <c r="C987" s="4" t="str">
        <f ca="1">IFERROR(__xludf.DUMMYFUNCTION("""COMPUTED_VALUE"""),"Cash")</f>
        <v>Cash</v>
      </c>
      <c r="D987" s="4" t="str">
        <f ca="1">IFERROR(__xludf.DUMMYFUNCTION("""COMPUTED_VALUE"""),"Out")</f>
        <v>Out</v>
      </c>
      <c r="E987" s="4" t="str">
        <f ca="1">IFERROR(__xludf.DUMMYFUNCTION("""COMPUTED_VALUE"""),"Kitchen")</f>
        <v>Kitchen</v>
      </c>
      <c r="F987" s="49">
        <f ca="1">IFERROR(__xludf.DUMMYFUNCTION("""COMPUTED_VALUE"""),130000)</f>
        <v>130000</v>
      </c>
      <c r="G987" s="50" t="str">
        <f ca="1">IFERROR(__xludf.DUMMYFUNCTION("""COMPUTED_VALUE"""),"Zela")</f>
        <v>Zela</v>
      </c>
      <c r="H987" s="51">
        <f t="shared" ca="1" si="0"/>
        <v>46174</v>
      </c>
      <c r="I987" s="52" t="e">
        <f ca="1">SUMIFS(OUT!$F$2:$F$11000,OUT!$H$2:$H$11000,H987,OUT!$D$2:$D$101007,"In")</f>
        <v>#VALUE!</v>
      </c>
      <c r="J987" s="52">
        <f ca="1">SUMIFS(OUT!$F$2:$F$11000,OUT!$H$2:$H$11000,H987,OUT!$D$2:$D$11000,"Out")</f>
        <v>9155672</v>
      </c>
      <c r="K987" s="52">
        <f ca="1">SUMIFS(OUT!$F$2:$F$11000,OUT!$H$2:$H$11000,H987,OUT!$D$2:$D$11000,"Out",OUT!$E$2:$E$11000,"Fix")</f>
        <v>3084727</v>
      </c>
      <c r="L987" s="52">
        <f ca="1">SUMIFS(OUT!$F$2:$F$11000,OUT!$H$2:$H$11000,H987,OUT!$D$2:$D$11000,"Out",OUT!$E$2:$E$11000,"Bathroom")</f>
        <v>37500</v>
      </c>
      <c r="M987" s="52">
        <f ca="1">SUMIFS(OUT!$F$2:$F$11000,OUT!$H$2:$H$11000,H987,OUT!$D$2:$D$11000,"Out",OUT!$E$2:$E$11000,"Alfa")</f>
        <v>317864</v>
      </c>
      <c r="N987" s="52" t="e">
        <f ca="1">SUMIFS(OUT!$F$2:$F$11000,OUT!$H$2:$H$101007,H987,OUT!$D$2:$D$11000,"Out",OUT!$E$2:$E$11000,"Jajan")</f>
        <v>#VALUE!</v>
      </c>
      <c r="O987" s="52">
        <f ca="1">SUMIFS(OUT!$F$2:$F$11000,OUT!$H$2:$H$11000,H987,OUT!$D$2:$D$11000,"Out",OUT!$E$2:$E$11000,"Kitchen")</f>
        <v>985700</v>
      </c>
      <c r="P987" s="52">
        <f ca="1">SUMIFS(OUT!$F$2:$F$11000,OUT!$H$2:$H$11000,H987,OUT!$D$2:$D$11000,"Out",OUT!$E$2:$E$11000,"Loandry")</f>
        <v>21500</v>
      </c>
      <c r="Q987" s="52">
        <f ca="1">SUMIFS(OUT!$F$2:$F$11000,OUT!$H$2:$H$11000,H987,OUT!$D$2:$D$11000,"Out",OUT!$E$2:$E$11000,"Mio")</f>
        <v>265000</v>
      </c>
      <c r="R987" s="52">
        <f ca="1">SUMIFS(OUT!$F$2:$F$11000,OUT!$H$2:$H$11000,H987,OUT!$D$2:$D$11000,"Out",OUT!$E$2:$E$11000,"Sedekah")</f>
        <v>5000</v>
      </c>
      <c r="S987" s="52">
        <f ca="1">SUMIFS(OUT!$F$2:$F$11000,OUT!$H$2:$H$11000,H987,OUT!$D$2:$D$11000,"Out",OUT!$E$2:$E$11000,"Zela")</f>
        <v>33400</v>
      </c>
      <c r="T987" s="52">
        <f ca="1">SUMIFS(OUT!$F$2:$F$11000,OUT!$H$2:$H$11000,H987,OUT!$D$2:$D$11000,"Out",OUT!$E$2:$E$11000,"Iqbal")</f>
        <v>232194</v>
      </c>
    </row>
    <row r="988" spans="1:20" x14ac:dyDescent="0.2">
      <c r="A988" s="48">
        <f ca="1">IFERROR(__xludf.DUMMYFUNCTION("""COMPUTED_VALUE"""),46194)</f>
        <v>46194</v>
      </c>
      <c r="B988" s="4" t="str">
        <f ca="1">IFERROR(__xludf.DUMMYFUNCTION("""COMPUTED_VALUE"""),"Saldo Tiktok")</f>
        <v>Saldo Tiktok</v>
      </c>
      <c r="C988" s="4" t="str">
        <f ca="1">IFERROR(__xludf.DUMMYFUNCTION("""COMPUTED_VALUE"""),"ATM")</f>
        <v>ATM</v>
      </c>
      <c r="D988" s="4" t="str">
        <f ca="1">IFERROR(__xludf.DUMMYFUNCTION("""COMPUTED_VALUE"""),"In")</f>
        <v>In</v>
      </c>
      <c r="E988" s="4" t="str">
        <f ca="1">IFERROR(__xludf.DUMMYFUNCTION("""COMPUTED_VALUE"""),"Fix")</f>
        <v>Fix</v>
      </c>
      <c r="F988" s="49">
        <f ca="1">IFERROR(__xludf.DUMMYFUNCTION("""COMPUTED_VALUE"""),45324)</f>
        <v>45324</v>
      </c>
      <c r="G988" s="50" t="str">
        <f ca="1">IFERROR(__xludf.DUMMYFUNCTION("""COMPUTED_VALUE"""),"Zela")</f>
        <v>Zela</v>
      </c>
      <c r="H988" s="51">
        <f t="shared" ca="1" si="0"/>
        <v>46174</v>
      </c>
      <c r="I988" s="52" t="e">
        <f ca="1">SUMIFS(OUT!$F$2:$F$11000,OUT!$H$2:$H$11000,H988,OUT!$D$2:$D$101007,"In")</f>
        <v>#VALUE!</v>
      </c>
      <c r="J988" s="52">
        <f ca="1">SUMIFS(OUT!$F$2:$F$11000,OUT!$H$2:$H$11000,H988,OUT!$D$2:$D$11000,"Out")</f>
        <v>9155672</v>
      </c>
      <c r="K988" s="52">
        <f ca="1">SUMIFS(OUT!$F$2:$F$11000,OUT!$H$2:$H$11000,H988,OUT!$D$2:$D$11000,"Out",OUT!$E$2:$E$11000,"Fix")</f>
        <v>3084727</v>
      </c>
      <c r="L988" s="52">
        <f ca="1">SUMIFS(OUT!$F$2:$F$11000,OUT!$H$2:$H$11000,H988,OUT!$D$2:$D$11000,"Out",OUT!$E$2:$E$11000,"Bathroom")</f>
        <v>37500</v>
      </c>
      <c r="M988" s="52">
        <f ca="1">SUMIFS(OUT!$F$2:$F$11000,OUT!$H$2:$H$11000,H988,OUT!$D$2:$D$11000,"Out",OUT!$E$2:$E$11000,"Alfa")</f>
        <v>317864</v>
      </c>
      <c r="N988" s="52" t="e">
        <f ca="1">SUMIFS(OUT!$F$2:$F$11000,OUT!$H$2:$H$101007,H988,OUT!$D$2:$D$11000,"Out",OUT!$E$2:$E$11000,"Jajan")</f>
        <v>#VALUE!</v>
      </c>
      <c r="O988" s="52">
        <f ca="1">SUMIFS(OUT!$F$2:$F$11000,OUT!$H$2:$H$11000,H988,OUT!$D$2:$D$11000,"Out",OUT!$E$2:$E$11000,"Kitchen")</f>
        <v>985700</v>
      </c>
      <c r="P988" s="52">
        <f ca="1">SUMIFS(OUT!$F$2:$F$11000,OUT!$H$2:$H$11000,H988,OUT!$D$2:$D$11000,"Out",OUT!$E$2:$E$11000,"Loandry")</f>
        <v>21500</v>
      </c>
      <c r="Q988" s="52">
        <f ca="1">SUMIFS(OUT!$F$2:$F$11000,OUT!$H$2:$H$11000,H988,OUT!$D$2:$D$11000,"Out",OUT!$E$2:$E$11000,"Mio")</f>
        <v>265000</v>
      </c>
      <c r="R988" s="52">
        <f ca="1">SUMIFS(OUT!$F$2:$F$11000,OUT!$H$2:$H$11000,H988,OUT!$D$2:$D$11000,"Out",OUT!$E$2:$E$11000,"Sedekah")</f>
        <v>5000</v>
      </c>
      <c r="S988" s="52">
        <f ca="1">SUMIFS(OUT!$F$2:$F$11000,OUT!$H$2:$H$11000,H988,OUT!$D$2:$D$11000,"Out",OUT!$E$2:$E$11000,"Zela")</f>
        <v>33400</v>
      </c>
      <c r="T988" s="52">
        <f ca="1">SUMIFS(OUT!$F$2:$F$11000,OUT!$H$2:$H$11000,H988,OUT!$D$2:$D$11000,"Out",OUT!$E$2:$E$11000,"Iqbal")</f>
        <v>232194</v>
      </c>
    </row>
    <row r="989" spans="1:20" x14ac:dyDescent="0.2">
      <c r="A989" s="48">
        <f ca="1">IFERROR(__xludf.DUMMYFUNCTION("""COMPUTED_VALUE"""),46194)</f>
        <v>46194</v>
      </c>
      <c r="B989" s="4" t="str">
        <f ca="1">IFERROR(__xludf.DUMMYFUNCTION("""COMPUTED_VALUE"""),"Tarik Tunai ")</f>
        <v xml:space="preserve">Tarik Tunai </v>
      </c>
      <c r="C989" s="4" t="str">
        <f ca="1">IFERROR(__xludf.DUMMYFUNCTION("""COMPUTED_VALUE"""),"ATM")</f>
        <v>ATM</v>
      </c>
      <c r="D989" s="4" t="str">
        <f ca="1">IFERROR(__xludf.DUMMYFUNCTION("""COMPUTED_VALUE"""),"Out")</f>
        <v>Out</v>
      </c>
      <c r="E989" s="4" t="str">
        <f ca="1">IFERROR(__xludf.DUMMYFUNCTION("""COMPUTED_VALUE"""),"Move")</f>
        <v>Move</v>
      </c>
      <c r="F989" s="49">
        <f ca="1">IFERROR(__xludf.DUMMYFUNCTION("""COMPUTED_VALUE"""),50000)</f>
        <v>50000</v>
      </c>
      <c r="G989" s="50" t="str">
        <f ca="1">IFERROR(__xludf.DUMMYFUNCTION("""COMPUTED_VALUE"""),"Zela")</f>
        <v>Zela</v>
      </c>
      <c r="H989" s="51">
        <f t="shared" ca="1" si="0"/>
        <v>46174</v>
      </c>
      <c r="I989" s="52" t="e">
        <f ca="1">SUMIFS(OUT!$F$2:$F$11000,OUT!$H$2:$H$11000,H989,OUT!$D$2:$D$101007,"In")</f>
        <v>#VALUE!</v>
      </c>
      <c r="J989" s="52">
        <f ca="1">SUMIFS(OUT!$F$2:$F$11000,OUT!$H$2:$H$11000,H989,OUT!$D$2:$D$11000,"Out")</f>
        <v>9155672</v>
      </c>
      <c r="K989" s="52">
        <f ca="1">SUMIFS(OUT!$F$2:$F$11000,OUT!$H$2:$H$11000,H989,OUT!$D$2:$D$11000,"Out",OUT!$E$2:$E$11000,"Fix")</f>
        <v>3084727</v>
      </c>
      <c r="L989" s="52">
        <f ca="1">SUMIFS(OUT!$F$2:$F$11000,OUT!$H$2:$H$11000,H989,OUT!$D$2:$D$11000,"Out",OUT!$E$2:$E$11000,"Bathroom")</f>
        <v>37500</v>
      </c>
      <c r="M989" s="52">
        <f ca="1">SUMIFS(OUT!$F$2:$F$11000,OUT!$H$2:$H$11000,H989,OUT!$D$2:$D$11000,"Out",OUT!$E$2:$E$11000,"Alfa")</f>
        <v>317864</v>
      </c>
      <c r="N989" s="52" t="e">
        <f ca="1">SUMIFS(OUT!$F$2:$F$11000,OUT!$H$2:$H$101007,H989,OUT!$D$2:$D$11000,"Out",OUT!$E$2:$E$11000,"Jajan")</f>
        <v>#VALUE!</v>
      </c>
      <c r="O989" s="52">
        <f ca="1">SUMIFS(OUT!$F$2:$F$11000,OUT!$H$2:$H$11000,H989,OUT!$D$2:$D$11000,"Out",OUT!$E$2:$E$11000,"Kitchen")</f>
        <v>985700</v>
      </c>
      <c r="P989" s="52">
        <f ca="1">SUMIFS(OUT!$F$2:$F$11000,OUT!$H$2:$H$11000,H989,OUT!$D$2:$D$11000,"Out",OUT!$E$2:$E$11000,"Loandry")</f>
        <v>21500</v>
      </c>
      <c r="Q989" s="52">
        <f ca="1">SUMIFS(OUT!$F$2:$F$11000,OUT!$H$2:$H$11000,H989,OUT!$D$2:$D$11000,"Out",OUT!$E$2:$E$11000,"Mio")</f>
        <v>265000</v>
      </c>
      <c r="R989" s="52">
        <f ca="1">SUMIFS(OUT!$F$2:$F$11000,OUT!$H$2:$H$11000,H989,OUT!$D$2:$D$11000,"Out",OUT!$E$2:$E$11000,"Sedekah")</f>
        <v>5000</v>
      </c>
      <c r="S989" s="52">
        <f ca="1">SUMIFS(OUT!$F$2:$F$11000,OUT!$H$2:$H$11000,H989,OUT!$D$2:$D$11000,"Out",OUT!$E$2:$E$11000,"Zela")</f>
        <v>33400</v>
      </c>
      <c r="T989" s="52">
        <f ca="1">SUMIFS(OUT!$F$2:$F$11000,OUT!$H$2:$H$11000,H989,OUT!$D$2:$D$11000,"Out",OUT!$E$2:$E$11000,"Iqbal")</f>
        <v>232194</v>
      </c>
    </row>
    <row r="990" spans="1:20" x14ac:dyDescent="0.2">
      <c r="A990" s="48">
        <f ca="1">IFERROR(__xludf.DUMMYFUNCTION("""COMPUTED_VALUE"""),46194)</f>
        <v>46194</v>
      </c>
      <c r="B990" s="4" t="str">
        <f ca="1">IFERROR(__xludf.DUMMYFUNCTION("""COMPUTED_VALUE"""),"Terima Tunai ")</f>
        <v xml:space="preserve">Terima Tunai </v>
      </c>
      <c r="C990" s="4" t="str">
        <f ca="1">IFERROR(__xludf.DUMMYFUNCTION("""COMPUTED_VALUE"""),"Cash")</f>
        <v>Cash</v>
      </c>
      <c r="D990" s="4" t="str">
        <f ca="1">IFERROR(__xludf.DUMMYFUNCTION("""COMPUTED_VALUE"""),"In")</f>
        <v>In</v>
      </c>
      <c r="E990" s="4" t="str">
        <f ca="1">IFERROR(__xludf.DUMMYFUNCTION("""COMPUTED_VALUE"""),"Move")</f>
        <v>Move</v>
      </c>
      <c r="F990" s="49">
        <f ca="1">IFERROR(__xludf.DUMMYFUNCTION("""COMPUTED_VALUE"""),50000)</f>
        <v>50000</v>
      </c>
      <c r="G990" s="50" t="str">
        <f ca="1">IFERROR(__xludf.DUMMYFUNCTION("""COMPUTED_VALUE"""),"Zela")</f>
        <v>Zela</v>
      </c>
      <c r="H990" s="51">
        <f t="shared" ca="1" si="0"/>
        <v>46174</v>
      </c>
      <c r="I990" s="52" t="e">
        <f ca="1">SUMIFS(OUT!$F$2:$F$11000,OUT!$H$2:$H$11000,H990,OUT!$D$2:$D$101007,"In")</f>
        <v>#VALUE!</v>
      </c>
      <c r="J990" s="52">
        <f ca="1">SUMIFS(OUT!$F$2:$F$11000,OUT!$H$2:$H$11000,H990,OUT!$D$2:$D$11000,"Out")</f>
        <v>9155672</v>
      </c>
      <c r="K990" s="52">
        <f ca="1">SUMIFS(OUT!$F$2:$F$11000,OUT!$H$2:$H$11000,H990,OUT!$D$2:$D$11000,"Out",OUT!$E$2:$E$11000,"Fix")</f>
        <v>3084727</v>
      </c>
      <c r="L990" s="52">
        <f ca="1">SUMIFS(OUT!$F$2:$F$11000,OUT!$H$2:$H$11000,H990,OUT!$D$2:$D$11000,"Out",OUT!$E$2:$E$11000,"Bathroom")</f>
        <v>37500</v>
      </c>
      <c r="M990" s="52">
        <f ca="1">SUMIFS(OUT!$F$2:$F$11000,OUT!$H$2:$H$11000,H990,OUT!$D$2:$D$11000,"Out",OUT!$E$2:$E$11000,"Alfa")</f>
        <v>317864</v>
      </c>
      <c r="N990" s="52" t="e">
        <f ca="1">SUMIFS(OUT!$F$2:$F$11000,OUT!$H$2:$H$101007,H990,OUT!$D$2:$D$11000,"Out",OUT!$E$2:$E$11000,"Jajan")</f>
        <v>#VALUE!</v>
      </c>
      <c r="O990" s="52">
        <f ca="1">SUMIFS(OUT!$F$2:$F$11000,OUT!$H$2:$H$11000,H990,OUT!$D$2:$D$11000,"Out",OUT!$E$2:$E$11000,"Kitchen")</f>
        <v>985700</v>
      </c>
      <c r="P990" s="52">
        <f ca="1">SUMIFS(OUT!$F$2:$F$11000,OUT!$H$2:$H$11000,H990,OUT!$D$2:$D$11000,"Out",OUT!$E$2:$E$11000,"Loandry")</f>
        <v>21500</v>
      </c>
      <c r="Q990" s="52">
        <f ca="1">SUMIFS(OUT!$F$2:$F$11000,OUT!$H$2:$H$11000,H990,OUT!$D$2:$D$11000,"Out",OUT!$E$2:$E$11000,"Mio")</f>
        <v>265000</v>
      </c>
      <c r="R990" s="52">
        <f ca="1">SUMIFS(OUT!$F$2:$F$11000,OUT!$H$2:$H$11000,H990,OUT!$D$2:$D$11000,"Out",OUT!$E$2:$E$11000,"Sedekah")</f>
        <v>5000</v>
      </c>
      <c r="S990" s="52">
        <f ca="1">SUMIFS(OUT!$F$2:$F$11000,OUT!$H$2:$H$11000,H990,OUT!$D$2:$D$11000,"Out",OUT!$E$2:$E$11000,"Zela")</f>
        <v>33400</v>
      </c>
      <c r="T990" s="52">
        <f ca="1">SUMIFS(OUT!$F$2:$F$11000,OUT!$H$2:$H$11000,H990,OUT!$D$2:$D$11000,"Out",OUT!$E$2:$E$11000,"Iqbal")</f>
        <v>232194</v>
      </c>
    </row>
    <row r="991" spans="1:20" x14ac:dyDescent="0.2">
      <c r="A991" s="48">
        <f ca="1">IFERROR(__xludf.DUMMYFUNCTION("""COMPUTED_VALUE"""),46194)</f>
        <v>46194</v>
      </c>
      <c r="B991" s="4" t="str">
        <f ca="1">IFERROR(__xludf.DUMMYFUNCTION("""COMPUTED_VALUE"""),"galon")</f>
        <v>galon</v>
      </c>
      <c r="C991" s="4" t="str">
        <f ca="1">IFERROR(__xludf.DUMMYFUNCTION("""COMPUTED_VALUE"""),"Cash")</f>
        <v>Cash</v>
      </c>
      <c r="D991" s="4" t="str">
        <f ca="1">IFERROR(__xludf.DUMMYFUNCTION("""COMPUTED_VALUE"""),"Out")</f>
        <v>Out</v>
      </c>
      <c r="E991" s="4" t="str">
        <f ca="1">IFERROR(__xludf.DUMMYFUNCTION("""COMPUTED_VALUE"""),"Kitchen")</f>
        <v>Kitchen</v>
      </c>
      <c r="F991" s="49">
        <f ca="1">IFERROR(__xludf.DUMMYFUNCTION("""COMPUTED_VALUE"""),4000)</f>
        <v>4000</v>
      </c>
      <c r="G991" s="50" t="str">
        <f ca="1">IFERROR(__xludf.DUMMYFUNCTION("""COMPUTED_VALUE"""),"Zela")</f>
        <v>Zela</v>
      </c>
      <c r="H991" s="51">
        <f t="shared" ca="1" si="0"/>
        <v>46174</v>
      </c>
      <c r="I991" s="52" t="e">
        <f ca="1">SUMIFS(OUT!$F$2:$F$11000,OUT!$H$2:$H$11000,H991,OUT!$D$2:$D$101007,"In")</f>
        <v>#VALUE!</v>
      </c>
      <c r="J991" s="52">
        <f ca="1">SUMIFS(OUT!$F$2:$F$11000,OUT!$H$2:$H$11000,H991,OUT!$D$2:$D$11000,"Out")</f>
        <v>9155672</v>
      </c>
      <c r="K991" s="52">
        <f ca="1">SUMIFS(OUT!$F$2:$F$11000,OUT!$H$2:$H$11000,H991,OUT!$D$2:$D$11000,"Out",OUT!$E$2:$E$11000,"Fix")</f>
        <v>3084727</v>
      </c>
      <c r="L991" s="52">
        <f ca="1">SUMIFS(OUT!$F$2:$F$11000,OUT!$H$2:$H$11000,H991,OUT!$D$2:$D$11000,"Out",OUT!$E$2:$E$11000,"Bathroom")</f>
        <v>37500</v>
      </c>
      <c r="M991" s="52">
        <f ca="1">SUMIFS(OUT!$F$2:$F$11000,OUT!$H$2:$H$11000,H991,OUT!$D$2:$D$11000,"Out",OUT!$E$2:$E$11000,"Alfa")</f>
        <v>317864</v>
      </c>
      <c r="N991" s="52" t="e">
        <f ca="1">SUMIFS(OUT!$F$2:$F$11000,OUT!$H$2:$H$101007,H991,OUT!$D$2:$D$11000,"Out",OUT!$E$2:$E$11000,"Jajan")</f>
        <v>#VALUE!</v>
      </c>
      <c r="O991" s="52">
        <f ca="1">SUMIFS(OUT!$F$2:$F$11000,OUT!$H$2:$H$11000,H991,OUT!$D$2:$D$11000,"Out",OUT!$E$2:$E$11000,"Kitchen")</f>
        <v>985700</v>
      </c>
      <c r="P991" s="52">
        <f ca="1">SUMIFS(OUT!$F$2:$F$11000,OUT!$H$2:$H$11000,H991,OUT!$D$2:$D$11000,"Out",OUT!$E$2:$E$11000,"Loandry")</f>
        <v>21500</v>
      </c>
      <c r="Q991" s="52">
        <f ca="1">SUMIFS(OUT!$F$2:$F$11000,OUT!$H$2:$H$11000,H991,OUT!$D$2:$D$11000,"Out",OUT!$E$2:$E$11000,"Mio")</f>
        <v>265000</v>
      </c>
      <c r="R991" s="52">
        <f ca="1">SUMIFS(OUT!$F$2:$F$11000,OUT!$H$2:$H$11000,H991,OUT!$D$2:$D$11000,"Out",OUT!$E$2:$E$11000,"Sedekah")</f>
        <v>5000</v>
      </c>
      <c r="S991" s="52">
        <f ca="1">SUMIFS(OUT!$F$2:$F$11000,OUT!$H$2:$H$11000,H991,OUT!$D$2:$D$11000,"Out",OUT!$E$2:$E$11000,"Zela")</f>
        <v>33400</v>
      </c>
      <c r="T991" s="52">
        <f ca="1">SUMIFS(OUT!$F$2:$F$11000,OUT!$H$2:$H$11000,H991,OUT!$D$2:$D$11000,"Out",OUT!$E$2:$E$11000,"Iqbal")</f>
        <v>232194</v>
      </c>
    </row>
    <row r="992" spans="1:20" x14ac:dyDescent="0.2">
      <c r="A992" s="48">
        <f ca="1">IFERROR(__xludf.DUMMYFUNCTION("""COMPUTED_VALUE"""),46194)</f>
        <v>46194</v>
      </c>
      <c r="B992" s="4" t="str">
        <f ca="1">IFERROR(__xludf.DUMMYFUNCTION("""COMPUTED_VALUE"""),"nipis madu")</f>
        <v>nipis madu</v>
      </c>
      <c r="C992" s="4" t="str">
        <f ca="1">IFERROR(__xludf.DUMMYFUNCTION("""COMPUTED_VALUE"""),"Cash")</f>
        <v>Cash</v>
      </c>
      <c r="D992" s="4" t="str">
        <f ca="1">IFERROR(__xludf.DUMMYFUNCTION("""COMPUTED_VALUE"""),"Out")</f>
        <v>Out</v>
      </c>
      <c r="E992" s="4" t="str">
        <f ca="1">IFERROR(__xludf.DUMMYFUNCTION("""COMPUTED_VALUE"""),"Jajan")</f>
        <v>Jajan</v>
      </c>
      <c r="F992" s="49">
        <f ca="1">IFERROR(__xludf.DUMMYFUNCTION("""COMPUTED_VALUE"""),5000)</f>
        <v>5000</v>
      </c>
      <c r="G992" s="50" t="str">
        <f ca="1">IFERROR(__xludf.DUMMYFUNCTION("""COMPUTED_VALUE"""),"Zela")</f>
        <v>Zela</v>
      </c>
      <c r="H992" s="51">
        <f t="shared" ca="1" si="0"/>
        <v>46174</v>
      </c>
      <c r="I992" s="52" t="e">
        <f ca="1">SUMIFS(OUT!$F$2:$F$11000,OUT!$H$2:$H$11000,H992,OUT!$D$2:$D$101007,"In")</f>
        <v>#VALUE!</v>
      </c>
      <c r="J992" s="52">
        <f ca="1">SUMIFS(OUT!$F$2:$F$11000,OUT!$H$2:$H$11000,H992,OUT!$D$2:$D$11000,"Out")</f>
        <v>9155672</v>
      </c>
      <c r="K992" s="52">
        <f ca="1">SUMIFS(OUT!$F$2:$F$11000,OUT!$H$2:$H$11000,H992,OUT!$D$2:$D$11000,"Out",OUT!$E$2:$E$11000,"Fix")</f>
        <v>3084727</v>
      </c>
      <c r="L992" s="52">
        <f ca="1">SUMIFS(OUT!$F$2:$F$11000,OUT!$H$2:$H$11000,H992,OUT!$D$2:$D$11000,"Out",OUT!$E$2:$E$11000,"Bathroom")</f>
        <v>37500</v>
      </c>
      <c r="M992" s="52">
        <f ca="1">SUMIFS(OUT!$F$2:$F$11000,OUT!$H$2:$H$11000,H992,OUT!$D$2:$D$11000,"Out",OUT!$E$2:$E$11000,"Alfa")</f>
        <v>317864</v>
      </c>
      <c r="N992" s="52" t="e">
        <f ca="1">SUMIFS(OUT!$F$2:$F$11000,OUT!$H$2:$H$101007,H992,OUT!$D$2:$D$11000,"Out",OUT!$E$2:$E$11000,"Jajan")</f>
        <v>#VALUE!</v>
      </c>
      <c r="O992" s="52">
        <f ca="1">SUMIFS(OUT!$F$2:$F$11000,OUT!$H$2:$H$11000,H992,OUT!$D$2:$D$11000,"Out",OUT!$E$2:$E$11000,"Kitchen")</f>
        <v>985700</v>
      </c>
      <c r="P992" s="52">
        <f ca="1">SUMIFS(OUT!$F$2:$F$11000,OUT!$H$2:$H$11000,H992,OUT!$D$2:$D$11000,"Out",OUT!$E$2:$E$11000,"Loandry")</f>
        <v>21500</v>
      </c>
      <c r="Q992" s="52">
        <f ca="1">SUMIFS(OUT!$F$2:$F$11000,OUT!$H$2:$H$11000,H992,OUT!$D$2:$D$11000,"Out",OUT!$E$2:$E$11000,"Mio")</f>
        <v>265000</v>
      </c>
      <c r="R992" s="52">
        <f ca="1">SUMIFS(OUT!$F$2:$F$11000,OUT!$H$2:$H$11000,H992,OUT!$D$2:$D$11000,"Out",OUT!$E$2:$E$11000,"Sedekah")</f>
        <v>5000</v>
      </c>
      <c r="S992" s="52">
        <f ca="1">SUMIFS(OUT!$F$2:$F$11000,OUT!$H$2:$H$11000,H992,OUT!$D$2:$D$11000,"Out",OUT!$E$2:$E$11000,"Zela")</f>
        <v>33400</v>
      </c>
      <c r="T992" s="52">
        <f ca="1">SUMIFS(OUT!$F$2:$F$11000,OUT!$H$2:$H$11000,H992,OUT!$D$2:$D$11000,"Out",OUT!$E$2:$E$11000,"Iqbal")</f>
        <v>232194</v>
      </c>
    </row>
    <row r="993" spans="1:20" x14ac:dyDescent="0.2">
      <c r="A993" s="48">
        <f ca="1">IFERROR(__xludf.DUMMYFUNCTION("""COMPUTED_VALUE"""),46194)</f>
        <v>46194</v>
      </c>
      <c r="B993" s="4" t="str">
        <f ca="1">IFERROR(__xludf.DUMMYFUNCTION("""COMPUTED_VALUE"""),"milku")</f>
        <v>milku</v>
      </c>
      <c r="C993" s="4" t="str">
        <f ca="1">IFERROR(__xludf.DUMMYFUNCTION("""COMPUTED_VALUE"""),"Cash")</f>
        <v>Cash</v>
      </c>
      <c r="D993" s="4" t="str">
        <f ca="1">IFERROR(__xludf.DUMMYFUNCTION("""COMPUTED_VALUE"""),"Out")</f>
        <v>Out</v>
      </c>
      <c r="E993" s="4" t="str">
        <f ca="1">IFERROR(__xludf.DUMMYFUNCTION("""COMPUTED_VALUE"""),"Jajan")</f>
        <v>Jajan</v>
      </c>
      <c r="F993" s="49">
        <f ca="1">IFERROR(__xludf.DUMMYFUNCTION("""COMPUTED_VALUE"""),5000)</f>
        <v>5000</v>
      </c>
      <c r="G993" s="50" t="str">
        <f ca="1">IFERROR(__xludf.DUMMYFUNCTION("""COMPUTED_VALUE"""),"Zela")</f>
        <v>Zela</v>
      </c>
      <c r="H993" s="51">
        <f t="shared" ca="1" si="0"/>
        <v>46174</v>
      </c>
      <c r="I993" s="52" t="e">
        <f ca="1">SUMIFS(OUT!$F$2:$F$11000,OUT!$H$2:$H$11000,H993,OUT!$D$2:$D$101007,"In")</f>
        <v>#VALUE!</v>
      </c>
      <c r="J993" s="52">
        <f ca="1">SUMIFS(OUT!$F$2:$F$11000,OUT!$H$2:$H$11000,H993,OUT!$D$2:$D$11000,"Out")</f>
        <v>9155672</v>
      </c>
      <c r="K993" s="52">
        <f ca="1">SUMIFS(OUT!$F$2:$F$11000,OUT!$H$2:$H$11000,H993,OUT!$D$2:$D$11000,"Out",OUT!$E$2:$E$11000,"Fix")</f>
        <v>3084727</v>
      </c>
      <c r="L993" s="52">
        <f ca="1">SUMIFS(OUT!$F$2:$F$11000,OUT!$H$2:$H$11000,H993,OUT!$D$2:$D$11000,"Out",OUT!$E$2:$E$11000,"Bathroom")</f>
        <v>37500</v>
      </c>
      <c r="M993" s="52">
        <f ca="1">SUMIFS(OUT!$F$2:$F$11000,OUT!$H$2:$H$11000,H993,OUT!$D$2:$D$11000,"Out",OUT!$E$2:$E$11000,"Alfa")</f>
        <v>317864</v>
      </c>
      <c r="N993" s="52" t="e">
        <f ca="1">SUMIFS(OUT!$F$2:$F$11000,OUT!$H$2:$H$101007,H993,OUT!$D$2:$D$11000,"Out",OUT!$E$2:$E$11000,"Jajan")</f>
        <v>#VALUE!</v>
      </c>
      <c r="O993" s="52">
        <f ca="1">SUMIFS(OUT!$F$2:$F$11000,OUT!$H$2:$H$11000,H993,OUT!$D$2:$D$11000,"Out",OUT!$E$2:$E$11000,"Kitchen")</f>
        <v>985700</v>
      </c>
      <c r="P993" s="52">
        <f ca="1">SUMIFS(OUT!$F$2:$F$11000,OUT!$H$2:$H$11000,H993,OUT!$D$2:$D$11000,"Out",OUT!$E$2:$E$11000,"Loandry")</f>
        <v>21500</v>
      </c>
      <c r="Q993" s="52">
        <f ca="1">SUMIFS(OUT!$F$2:$F$11000,OUT!$H$2:$H$11000,H993,OUT!$D$2:$D$11000,"Out",OUT!$E$2:$E$11000,"Mio")</f>
        <v>265000</v>
      </c>
      <c r="R993" s="52">
        <f ca="1">SUMIFS(OUT!$F$2:$F$11000,OUT!$H$2:$H$11000,H993,OUT!$D$2:$D$11000,"Out",OUT!$E$2:$E$11000,"Sedekah")</f>
        <v>5000</v>
      </c>
      <c r="S993" s="52">
        <f ca="1">SUMIFS(OUT!$F$2:$F$11000,OUT!$H$2:$H$11000,H993,OUT!$D$2:$D$11000,"Out",OUT!$E$2:$E$11000,"Zela")</f>
        <v>33400</v>
      </c>
      <c r="T993" s="52">
        <f ca="1">SUMIFS(OUT!$F$2:$F$11000,OUT!$H$2:$H$11000,H993,OUT!$D$2:$D$11000,"Out",OUT!$E$2:$E$11000,"Iqbal")</f>
        <v>232194</v>
      </c>
    </row>
    <row r="994" spans="1:20" x14ac:dyDescent="0.2">
      <c r="A994" s="48">
        <f ca="1">IFERROR(__xludf.DUMMYFUNCTION("""COMPUTED_VALUE"""),46194)</f>
        <v>46194</v>
      </c>
      <c r="B994" s="4" t="str">
        <f ca="1">IFERROR(__xludf.DUMMYFUNCTION("""COMPUTED_VALUE"""),"pertalite")</f>
        <v>pertalite</v>
      </c>
      <c r="C994" s="4" t="str">
        <f ca="1">IFERROR(__xludf.DUMMYFUNCTION("""COMPUTED_VALUE"""),"Cash")</f>
        <v>Cash</v>
      </c>
      <c r="D994" s="4" t="str">
        <f ca="1">IFERROR(__xludf.DUMMYFUNCTION("""COMPUTED_VALUE"""),"Out")</f>
        <v>Out</v>
      </c>
      <c r="E994" s="4" t="str">
        <f ca="1">IFERROR(__xludf.DUMMYFUNCTION("""COMPUTED_VALUE"""),"Mio")</f>
        <v>Mio</v>
      </c>
      <c r="F994" s="49">
        <f ca="1">IFERROR(__xludf.DUMMYFUNCTION("""COMPUTED_VALUE"""),20000)</f>
        <v>20000</v>
      </c>
      <c r="G994" s="50" t="str">
        <f ca="1">IFERROR(__xludf.DUMMYFUNCTION("""COMPUTED_VALUE"""),"Zela")</f>
        <v>Zela</v>
      </c>
      <c r="H994" s="51">
        <f t="shared" ca="1" si="0"/>
        <v>46174</v>
      </c>
      <c r="I994" s="52" t="e">
        <f ca="1">SUMIFS(OUT!$F$2:$F$11000,OUT!$H$2:$H$11000,H994,OUT!$D$2:$D$101007,"In")</f>
        <v>#VALUE!</v>
      </c>
      <c r="J994" s="52">
        <f ca="1">SUMIFS(OUT!$F$2:$F$11000,OUT!$H$2:$H$11000,H994,OUT!$D$2:$D$11000,"Out")</f>
        <v>9155672</v>
      </c>
      <c r="K994" s="52">
        <f ca="1">SUMIFS(OUT!$F$2:$F$11000,OUT!$H$2:$H$11000,H994,OUT!$D$2:$D$11000,"Out",OUT!$E$2:$E$11000,"Fix")</f>
        <v>3084727</v>
      </c>
      <c r="L994" s="52">
        <f ca="1">SUMIFS(OUT!$F$2:$F$11000,OUT!$H$2:$H$11000,H994,OUT!$D$2:$D$11000,"Out",OUT!$E$2:$E$11000,"Bathroom")</f>
        <v>37500</v>
      </c>
      <c r="M994" s="52">
        <f ca="1">SUMIFS(OUT!$F$2:$F$11000,OUT!$H$2:$H$11000,H994,OUT!$D$2:$D$11000,"Out",OUT!$E$2:$E$11000,"Alfa")</f>
        <v>317864</v>
      </c>
      <c r="N994" s="52" t="e">
        <f ca="1">SUMIFS(OUT!$F$2:$F$11000,OUT!$H$2:$H$101007,H994,OUT!$D$2:$D$11000,"Out",OUT!$E$2:$E$11000,"Jajan")</f>
        <v>#VALUE!</v>
      </c>
      <c r="O994" s="52">
        <f ca="1">SUMIFS(OUT!$F$2:$F$11000,OUT!$H$2:$H$11000,H994,OUT!$D$2:$D$11000,"Out",OUT!$E$2:$E$11000,"Kitchen")</f>
        <v>985700</v>
      </c>
      <c r="P994" s="52">
        <f ca="1">SUMIFS(OUT!$F$2:$F$11000,OUT!$H$2:$H$11000,H994,OUT!$D$2:$D$11000,"Out",OUT!$E$2:$E$11000,"Loandry")</f>
        <v>21500</v>
      </c>
      <c r="Q994" s="52">
        <f ca="1">SUMIFS(OUT!$F$2:$F$11000,OUT!$H$2:$H$11000,H994,OUT!$D$2:$D$11000,"Out",OUT!$E$2:$E$11000,"Mio")</f>
        <v>265000</v>
      </c>
      <c r="R994" s="52">
        <f ca="1">SUMIFS(OUT!$F$2:$F$11000,OUT!$H$2:$H$11000,H994,OUT!$D$2:$D$11000,"Out",OUT!$E$2:$E$11000,"Sedekah")</f>
        <v>5000</v>
      </c>
      <c r="S994" s="52">
        <f ca="1">SUMIFS(OUT!$F$2:$F$11000,OUT!$H$2:$H$11000,H994,OUT!$D$2:$D$11000,"Out",OUT!$E$2:$E$11000,"Zela")</f>
        <v>33400</v>
      </c>
      <c r="T994" s="52">
        <f ca="1">SUMIFS(OUT!$F$2:$F$11000,OUT!$H$2:$H$11000,H994,OUT!$D$2:$D$11000,"Out",OUT!$E$2:$E$11000,"Iqbal")</f>
        <v>232194</v>
      </c>
    </row>
    <row r="995" spans="1:20" x14ac:dyDescent="0.2">
      <c r="A995" s="48">
        <f ca="1">IFERROR(__xludf.DUMMYFUNCTION("""COMPUTED_VALUE"""),46194)</f>
        <v>46194</v>
      </c>
      <c r="B995" s="4" t="str">
        <f ca="1">IFERROR(__xludf.DUMMYFUNCTION("""COMPUTED_VALUE"""),"suamiku")</f>
        <v>suamiku</v>
      </c>
      <c r="C995" s="4" t="str">
        <f ca="1">IFERROR(__xludf.DUMMYFUNCTION("""COMPUTED_VALUE"""),"ATM")</f>
        <v>ATM</v>
      </c>
      <c r="D995" s="4" t="str">
        <f ca="1">IFERROR(__xludf.DUMMYFUNCTION("""COMPUTED_VALUE"""),"In")</f>
        <v>In</v>
      </c>
      <c r="E995" s="4" t="str">
        <f ca="1">IFERROR(__xludf.DUMMYFUNCTION("""COMPUTED_VALUE"""),"Fix")</f>
        <v>Fix</v>
      </c>
      <c r="F995" s="49">
        <f ca="1">IFERROR(__xludf.DUMMYFUNCTION("""COMPUTED_VALUE"""),250000)</f>
        <v>250000</v>
      </c>
      <c r="G995" s="50" t="str">
        <f ca="1">IFERROR(__xludf.DUMMYFUNCTION("""COMPUTED_VALUE"""),"Zela")</f>
        <v>Zela</v>
      </c>
      <c r="H995" s="51">
        <f t="shared" ca="1" si="0"/>
        <v>46174</v>
      </c>
      <c r="I995" s="52" t="e">
        <f ca="1">SUMIFS(OUT!$F$2:$F$11000,OUT!$H$2:$H$11000,H995,OUT!$D$2:$D$101007,"In")</f>
        <v>#VALUE!</v>
      </c>
      <c r="J995" s="52">
        <f ca="1">SUMIFS(OUT!$F$2:$F$11000,OUT!$H$2:$H$11000,H995,OUT!$D$2:$D$11000,"Out")</f>
        <v>9155672</v>
      </c>
      <c r="K995" s="52">
        <f ca="1">SUMIFS(OUT!$F$2:$F$11000,OUT!$H$2:$H$11000,H995,OUT!$D$2:$D$11000,"Out",OUT!$E$2:$E$11000,"Fix")</f>
        <v>3084727</v>
      </c>
      <c r="L995" s="52">
        <f ca="1">SUMIFS(OUT!$F$2:$F$11000,OUT!$H$2:$H$11000,H995,OUT!$D$2:$D$11000,"Out",OUT!$E$2:$E$11000,"Bathroom")</f>
        <v>37500</v>
      </c>
      <c r="M995" s="52">
        <f ca="1">SUMIFS(OUT!$F$2:$F$11000,OUT!$H$2:$H$11000,H995,OUT!$D$2:$D$11000,"Out",OUT!$E$2:$E$11000,"Alfa")</f>
        <v>317864</v>
      </c>
      <c r="N995" s="52" t="e">
        <f ca="1">SUMIFS(OUT!$F$2:$F$11000,OUT!$H$2:$H$101007,H995,OUT!$D$2:$D$11000,"Out",OUT!$E$2:$E$11000,"Jajan")</f>
        <v>#VALUE!</v>
      </c>
      <c r="O995" s="52">
        <f ca="1">SUMIFS(OUT!$F$2:$F$11000,OUT!$H$2:$H$11000,H995,OUT!$D$2:$D$11000,"Out",OUT!$E$2:$E$11000,"Kitchen")</f>
        <v>985700</v>
      </c>
      <c r="P995" s="52">
        <f ca="1">SUMIFS(OUT!$F$2:$F$11000,OUT!$H$2:$H$11000,H995,OUT!$D$2:$D$11000,"Out",OUT!$E$2:$E$11000,"Loandry")</f>
        <v>21500</v>
      </c>
      <c r="Q995" s="52">
        <f ca="1">SUMIFS(OUT!$F$2:$F$11000,OUT!$H$2:$H$11000,H995,OUT!$D$2:$D$11000,"Out",OUT!$E$2:$E$11000,"Mio")</f>
        <v>265000</v>
      </c>
      <c r="R995" s="52">
        <f ca="1">SUMIFS(OUT!$F$2:$F$11000,OUT!$H$2:$H$11000,H995,OUT!$D$2:$D$11000,"Out",OUT!$E$2:$E$11000,"Sedekah")</f>
        <v>5000</v>
      </c>
      <c r="S995" s="52">
        <f ca="1">SUMIFS(OUT!$F$2:$F$11000,OUT!$H$2:$H$11000,H995,OUT!$D$2:$D$11000,"Out",OUT!$E$2:$E$11000,"Zela")</f>
        <v>33400</v>
      </c>
      <c r="T995" s="52">
        <f ca="1">SUMIFS(OUT!$F$2:$F$11000,OUT!$H$2:$H$11000,H995,OUT!$D$2:$D$11000,"Out",OUT!$E$2:$E$11000,"Iqbal")</f>
        <v>232194</v>
      </c>
    </row>
    <row r="996" spans="1:20" x14ac:dyDescent="0.2">
      <c r="A996" s="48">
        <f ca="1">IFERROR(__xludf.DUMMYFUNCTION("""COMPUTED_VALUE"""),46194)</f>
        <v>46194</v>
      </c>
      <c r="B996" s="4" t="str">
        <f ca="1">IFERROR(__xludf.DUMMYFUNCTION("""COMPUTED_VALUE"""),"tarik tunai")</f>
        <v>tarik tunai</v>
      </c>
      <c r="C996" s="4" t="str">
        <f ca="1">IFERROR(__xludf.DUMMYFUNCTION("""COMPUTED_VALUE"""),"ATM")</f>
        <v>ATM</v>
      </c>
      <c r="D996" s="4" t="str">
        <f ca="1">IFERROR(__xludf.DUMMYFUNCTION("""COMPUTED_VALUE"""),"Out")</f>
        <v>Out</v>
      </c>
      <c r="E996" s="4" t="str">
        <f ca="1">IFERROR(__xludf.DUMMYFUNCTION("""COMPUTED_VALUE"""),"Move")</f>
        <v>Move</v>
      </c>
      <c r="F996" s="49">
        <f ca="1">IFERROR(__xludf.DUMMYFUNCTION("""COMPUTED_VALUE"""),100000)</f>
        <v>100000</v>
      </c>
      <c r="G996" s="50" t="str">
        <f ca="1">IFERROR(__xludf.DUMMYFUNCTION("""COMPUTED_VALUE"""),"Zela")</f>
        <v>Zela</v>
      </c>
      <c r="H996" s="51">
        <f t="shared" ca="1" si="0"/>
        <v>46174</v>
      </c>
      <c r="I996" s="52" t="e">
        <f ca="1">SUMIFS(OUT!$F$2:$F$11000,OUT!$H$2:$H$11000,H996,OUT!$D$2:$D$101007,"In")</f>
        <v>#VALUE!</v>
      </c>
      <c r="J996" s="52">
        <f ca="1">SUMIFS(OUT!$F$2:$F$11000,OUT!$H$2:$H$11000,H996,OUT!$D$2:$D$11000,"Out")</f>
        <v>9155672</v>
      </c>
      <c r="K996" s="52">
        <f ca="1">SUMIFS(OUT!$F$2:$F$11000,OUT!$H$2:$H$11000,H996,OUT!$D$2:$D$11000,"Out",OUT!$E$2:$E$11000,"Fix")</f>
        <v>3084727</v>
      </c>
      <c r="L996" s="52">
        <f ca="1">SUMIFS(OUT!$F$2:$F$11000,OUT!$H$2:$H$11000,H996,OUT!$D$2:$D$11000,"Out",OUT!$E$2:$E$11000,"Bathroom")</f>
        <v>37500</v>
      </c>
      <c r="M996" s="52">
        <f ca="1">SUMIFS(OUT!$F$2:$F$11000,OUT!$H$2:$H$11000,H996,OUT!$D$2:$D$11000,"Out",OUT!$E$2:$E$11000,"Alfa")</f>
        <v>317864</v>
      </c>
      <c r="N996" s="52" t="e">
        <f ca="1">SUMIFS(OUT!$F$2:$F$11000,OUT!$H$2:$H$101007,H996,OUT!$D$2:$D$11000,"Out",OUT!$E$2:$E$11000,"Jajan")</f>
        <v>#VALUE!</v>
      </c>
      <c r="O996" s="52">
        <f ca="1">SUMIFS(OUT!$F$2:$F$11000,OUT!$H$2:$H$11000,H996,OUT!$D$2:$D$11000,"Out",OUT!$E$2:$E$11000,"Kitchen")</f>
        <v>985700</v>
      </c>
      <c r="P996" s="52">
        <f ca="1">SUMIFS(OUT!$F$2:$F$11000,OUT!$H$2:$H$11000,H996,OUT!$D$2:$D$11000,"Out",OUT!$E$2:$E$11000,"Loandry")</f>
        <v>21500</v>
      </c>
      <c r="Q996" s="52">
        <f ca="1">SUMIFS(OUT!$F$2:$F$11000,OUT!$H$2:$H$11000,H996,OUT!$D$2:$D$11000,"Out",OUT!$E$2:$E$11000,"Mio")</f>
        <v>265000</v>
      </c>
      <c r="R996" s="52">
        <f ca="1">SUMIFS(OUT!$F$2:$F$11000,OUT!$H$2:$H$11000,H996,OUT!$D$2:$D$11000,"Out",OUT!$E$2:$E$11000,"Sedekah")</f>
        <v>5000</v>
      </c>
      <c r="S996" s="52">
        <f ca="1">SUMIFS(OUT!$F$2:$F$11000,OUT!$H$2:$H$11000,H996,OUT!$D$2:$D$11000,"Out",OUT!$E$2:$E$11000,"Zela")</f>
        <v>33400</v>
      </c>
      <c r="T996" s="52">
        <f ca="1">SUMIFS(OUT!$F$2:$F$11000,OUT!$H$2:$H$11000,H996,OUT!$D$2:$D$11000,"Out",OUT!$E$2:$E$11000,"Iqbal")</f>
        <v>232194</v>
      </c>
    </row>
    <row r="997" spans="1:20" x14ac:dyDescent="0.2">
      <c r="A997" s="48">
        <f ca="1">IFERROR(__xludf.DUMMYFUNCTION("""COMPUTED_VALUE"""),46194)</f>
        <v>46194</v>
      </c>
      <c r="B997" s="4" t="str">
        <f ca="1">IFERROR(__xludf.DUMMYFUNCTION("""COMPUTED_VALUE"""),"terima tunai")</f>
        <v>terima tunai</v>
      </c>
      <c r="C997" s="4" t="str">
        <f ca="1">IFERROR(__xludf.DUMMYFUNCTION("""COMPUTED_VALUE"""),"Cash")</f>
        <v>Cash</v>
      </c>
      <c r="D997" s="4" t="str">
        <f ca="1">IFERROR(__xludf.DUMMYFUNCTION("""COMPUTED_VALUE"""),"In")</f>
        <v>In</v>
      </c>
      <c r="E997" s="4" t="str">
        <f ca="1">IFERROR(__xludf.DUMMYFUNCTION("""COMPUTED_VALUE"""),"Move")</f>
        <v>Move</v>
      </c>
      <c r="F997" s="49">
        <f ca="1">IFERROR(__xludf.DUMMYFUNCTION("""COMPUTED_VALUE"""),100000)</f>
        <v>100000</v>
      </c>
      <c r="G997" s="50" t="str">
        <f ca="1">IFERROR(__xludf.DUMMYFUNCTION("""COMPUTED_VALUE"""),"Zela")</f>
        <v>Zela</v>
      </c>
      <c r="H997" s="51">
        <f t="shared" ca="1" si="0"/>
        <v>46174</v>
      </c>
      <c r="I997" s="52" t="e">
        <f ca="1">SUMIFS(OUT!$F$2:$F$11000,OUT!$H$2:$H$11000,H997,OUT!$D$2:$D$101007,"In")</f>
        <v>#VALUE!</v>
      </c>
      <c r="J997" s="52">
        <f ca="1">SUMIFS(OUT!$F$2:$F$11000,OUT!$H$2:$H$11000,H997,OUT!$D$2:$D$11000,"Out")</f>
        <v>9155672</v>
      </c>
      <c r="K997" s="52">
        <f ca="1">SUMIFS(OUT!$F$2:$F$11000,OUT!$H$2:$H$11000,H997,OUT!$D$2:$D$11000,"Out",OUT!$E$2:$E$11000,"Fix")</f>
        <v>3084727</v>
      </c>
      <c r="L997" s="52">
        <f ca="1">SUMIFS(OUT!$F$2:$F$11000,OUT!$H$2:$H$11000,H997,OUT!$D$2:$D$11000,"Out",OUT!$E$2:$E$11000,"Bathroom")</f>
        <v>37500</v>
      </c>
      <c r="M997" s="52">
        <f ca="1">SUMIFS(OUT!$F$2:$F$11000,OUT!$H$2:$H$11000,H997,OUT!$D$2:$D$11000,"Out",OUT!$E$2:$E$11000,"Alfa")</f>
        <v>317864</v>
      </c>
      <c r="N997" s="52" t="e">
        <f ca="1">SUMIFS(OUT!$F$2:$F$11000,OUT!$H$2:$H$101007,H997,OUT!$D$2:$D$11000,"Out",OUT!$E$2:$E$11000,"Jajan")</f>
        <v>#VALUE!</v>
      </c>
      <c r="O997" s="52">
        <f ca="1">SUMIFS(OUT!$F$2:$F$11000,OUT!$H$2:$H$11000,H997,OUT!$D$2:$D$11000,"Out",OUT!$E$2:$E$11000,"Kitchen")</f>
        <v>985700</v>
      </c>
      <c r="P997" s="52">
        <f ca="1">SUMIFS(OUT!$F$2:$F$11000,OUT!$H$2:$H$11000,H997,OUT!$D$2:$D$11000,"Out",OUT!$E$2:$E$11000,"Loandry")</f>
        <v>21500</v>
      </c>
      <c r="Q997" s="52">
        <f ca="1">SUMIFS(OUT!$F$2:$F$11000,OUT!$H$2:$H$11000,H997,OUT!$D$2:$D$11000,"Out",OUT!$E$2:$E$11000,"Mio")</f>
        <v>265000</v>
      </c>
      <c r="R997" s="52">
        <f ca="1">SUMIFS(OUT!$F$2:$F$11000,OUT!$H$2:$H$11000,H997,OUT!$D$2:$D$11000,"Out",OUT!$E$2:$E$11000,"Sedekah")</f>
        <v>5000</v>
      </c>
      <c r="S997" s="52">
        <f ca="1">SUMIFS(OUT!$F$2:$F$11000,OUT!$H$2:$H$11000,H997,OUT!$D$2:$D$11000,"Out",OUT!$E$2:$E$11000,"Zela")</f>
        <v>33400</v>
      </c>
      <c r="T997" s="52">
        <f ca="1">SUMIFS(OUT!$F$2:$F$11000,OUT!$H$2:$H$11000,H997,OUT!$D$2:$D$11000,"Out",OUT!$E$2:$E$11000,"Iqbal")</f>
        <v>232194</v>
      </c>
    </row>
    <row r="998" spans="1:20" x14ac:dyDescent="0.2">
      <c r="A998" s="48">
        <f ca="1">IFERROR(__xludf.DUMMYFUNCTION("""COMPUTED_VALUE"""),46194)</f>
        <v>46194</v>
      </c>
      <c r="B998" s="4" t="str">
        <f ca="1">IFERROR(__xludf.DUMMYFUNCTION("""COMPUTED_VALUE"""),"sunlight ungu")</f>
        <v>sunlight ungu</v>
      </c>
      <c r="C998" s="4" t="str">
        <f ca="1">IFERROR(__xludf.DUMMYFUNCTION("""COMPUTED_VALUE"""),"Cash")</f>
        <v>Cash</v>
      </c>
      <c r="D998" s="4" t="str">
        <f ca="1">IFERROR(__xludf.DUMMYFUNCTION("""COMPUTED_VALUE"""),"Out")</f>
        <v>Out</v>
      </c>
      <c r="E998" s="4" t="str">
        <f ca="1">IFERROR(__xludf.DUMMYFUNCTION("""COMPUTED_VALUE"""),"Kitchen")</f>
        <v>Kitchen</v>
      </c>
      <c r="F998" s="49">
        <f ca="1">IFERROR(__xludf.DUMMYFUNCTION("""COMPUTED_VALUE"""),9400)</f>
        <v>9400</v>
      </c>
      <c r="G998" s="50" t="str">
        <f ca="1">IFERROR(__xludf.DUMMYFUNCTION("""COMPUTED_VALUE"""),"Zela")</f>
        <v>Zela</v>
      </c>
      <c r="H998" s="51">
        <f t="shared" ca="1" si="0"/>
        <v>46174</v>
      </c>
      <c r="I998" s="52" t="e">
        <f ca="1">SUMIFS(OUT!$F$2:$F$11000,OUT!$H$2:$H$11000,H998,OUT!$D$2:$D$101007,"In")</f>
        <v>#VALUE!</v>
      </c>
      <c r="J998" s="52">
        <f ca="1">SUMIFS(OUT!$F$2:$F$11000,OUT!$H$2:$H$11000,H998,OUT!$D$2:$D$11000,"Out")</f>
        <v>9155672</v>
      </c>
      <c r="K998" s="52">
        <f ca="1">SUMIFS(OUT!$F$2:$F$11000,OUT!$H$2:$H$11000,H998,OUT!$D$2:$D$11000,"Out",OUT!$E$2:$E$11000,"Fix")</f>
        <v>3084727</v>
      </c>
      <c r="L998" s="52">
        <f ca="1">SUMIFS(OUT!$F$2:$F$11000,OUT!$H$2:$H$11000,H998,OUT!$D$2:$D$11000,"Out",OUT!$E$2:$E$11000,"Bathroom")</f>
        <v>37500</v>
      </c>
      <c r="M998" s="52">
        <f ca="1">SUMIFS(OUT!$F$2:$F$11000,OUT!$H$2:$H$11000,H998,OUT!$D$2:$D$11000,"Out",OUT!$E$2:$E$11000,"Alfa")</f>
        <v>317864</v>
      </c>
      <c r="N998" s="52" t="e">
        <f ca="1">SUMIFS(OUT!$F$2:$F$11000,OUT!$H$2:$H$101007,H998,OUT!$D$2:$D$11000,"Out",OUT!$E$2:$E$11000,"Jajan")</f>
        <v>#VALUE!</v>
      </c>
      <c r="O998" s="52">
        <f ca="1">SUMIFS(OUT!$F$2:$F$11000,OUT!$H$2:$H$11000,H998,OUT!$D$2:$D$11000,"Out",OUT!$E$2:$E$11000,"Kitchen")</f>
        <v>985700</v>
      </c>
      <c r="P998" s="52">
        <f ca="1">SUMIFS(OUT!$F$2:$F$11000,OUT!$H$2:$H$11000,H998,OUT!$D$2:$D$11000,"Out",OUT!$E$2:$E$11000,"Loandry")</f>
        <v>21500</v>
      </c>
      <c r="Q998" s="52">
        <f ca="1">SUMIFS(OUT!$F$2:$F$11000,OUT!$H$2:$H$11000,H998,OUT!$D$2:$D$11000,"Out",OUT!$E$2:$E$11000,"Mio")</f>
        <v>265000</v>
      </c>
      <c r="R998" s="52">
        <f ca="1">SUMIFS(OUT!$F$2:$F$11000,OUT!$H$2:$H$11000,H998,OUT!$D$2:$D$11000,"Out",OUT!$E$2:$E$11000,"Sedekah")</f>
        <v>5000</v>
      </c>
      <c r="S998" s="52">
        <f ca="1">SUMIFS(OUT!$F$2:$F$11000,OUT!$H$2:$H$11000,H998,OUT!$D$2:$D$11000,"Out",OUT!$E$2:$E$11000,"Zela")</f>
        <v>33400</v>
      </c>
      <c r="T998" s="52">
        <f ca="1">SUMIFS(OUT!$F$2:$F$11000,OUT!$H$2:$H$11000,H998,OUT!$D$2:$D$11000,"Out",OUT!$E$2:$E$11000,"Iqbal")</f>
        <v>232194</v>
      </c>
    </row>
    <row r="999" spans="1:20" x14ac:dyDescent="0.2">
      <c r="A999" s="48">
        <f ca="1">IFERROR(__xludf.DUMMYFUNCTION("""COMPUTED_VALUE"""),46195)</f>
        <v>46195</v>
      </c>
      <c r="B999" s="4" t="str">
        <f ca="1">IFERROR(__xludf.DUMMYFUNCTION("""COMPUTED_VALUE"""),"roti gepeng")</f>
        <v>roti gepeng</v>
      </c>
      <c r="C999" s="4" t="str">
        <f ca="1">IFERROR(__xludf.DUMMYFUNCTION("""COMPUTED_VALUE"""),"Cash")</f>
        <v>Cash</v>
      </c>
      <c r="D999" s="4" t="str">
        <f ca="1">IFERROR(__xludf.DUMMYFUNCTION("""COMPUTED_VALUE"""),"Out")</f>
        <v>Out</v>
      </c>
      <c r="E999" s="4" t="str">
        <f ca="1">IFERROR(__xludf.DUMMYFUNCTION("""COMPUTED_VALUE"""),"Jajan")</f>
        <v>Jajan</v>
      </c>
      <c r="F999" s="49">
        <f ca="1">IFERROR(__xludf.DUMMYFUNCTION("""COMPUTED_VALUE"""),9000)</f>
        <v>9000</v>
      </c>
      <c r="G999" s="50" t="str">
        <f ca="1">IFERROR(__xludf.DUMMYFUNCTION("""COMPUTED_VALUE"""),"Zela")</f>
        <v>Zela</v>
      </c>
      <c r="H999" s="51">
        <f t="shared" ca="1" si="0"/>
        <v>46174</v>
      </c>
      <c r="I999" s="52" t="e">
        <f ca="1">SUMIFS(OUT!$F$2:$F$11000,OUT!$H$2:$H$11000,H999,OUT!$D$2:$D$101007,"In")</f>
        <v>#VALUE!</v>
      </c>
      <c r="J999" s="52">
        <f ca="1">SUMIFS(OUT!$F$2:$F$11000,OUT!$H$2:$H$11000,H999,OUT!$D$2:$D$11000,"Out")</f>
        <v>9155672</v>
      </c>
      <c r="K999" s="52">
        <f ca="1">SUMIFS(OUT!$F$2:$F$11000,OUT!$H$2:$H$11000,H999,OUT!$D$2:$D$11000,"Out",OUT!$E$2:$E$11000,"Fix")</f>
        <v>3084727</v>
      </c>
      <c r="L999" s="52">
        <f ca="1">SUMIFS(OUT!$F$2:$F$11000,OUT!$H$2:$H$11000,H999,OUT!$D$2:$D$11000,"Out",OUT!$E$2:$E$11000,"Bathroom")</f>
        <v>37500</v>
      </c>
      <c r="M999" s="52">
        <f ca="1">SUMIFS(OUT!$F$2:$F$11000,OUT!$H$2:$H$11000,H999,OUT!$D$2:$D$11000,"Out",OUT!$E$2:$E$11000,"Alfa")</f>
        <v>317864</v>
      </c>
      <c r="N999" s="52" t="e">
        <f ca="1">SUMIFS(OUT!$F$2:$F$11000,OUT!$H$2:$H$101007,H999,OUT!$D$2:$D$11000,"Out",OUT!$E$2:$E$11000,"Jajan")</f>
        <v>#VALUE!</v>
      </c>
      <c r="O999" s="52">
        <f ca="1">SUMIFS(OUT!$F$2:$F$11000,OUT!$H$2:$H$11000,H999,OUT!$D$2:$D$11000,"Out",OUT!$E$2:$E$11000,"Kitchen")</f>
        <v>985700</v>
      </c>
      <c r="P999" s="52">
        <f ca="1">SUMIFS(OUT!$F$2:$F$11000,OUT!$H$2:$H$11000,H999,OUT!$D$2:$D$11000,"Out",OUT!$E$2:$E$11000,"Loandry")</f>
        <v>21500</v>
      </c>
      <c r="Q999" s="52">
        <f ca="1">SUMIFS(OUT!$F$2:$F$11000,OUT!$H$2:$H$11000,H999,OUT!$D$2:$D$11000,"Out",OUT!$E$2:$E$11000,"Mio")</f>
        <v>265000</v>
      </c>
      <c r="R999" s="52">
        <f ca="1">SUMIFS(OUT!$F$2:$F$11000,OUT!$H$2:$H$11000,H999,OUT!$D$2:$D$11000,"Out",OUT!$E$2:$E$11000,"Sedekah")</f>
        <v>5000</v>
      </c>
      <c r="S999" s="52">
        <f ca="1">SUMIFS(OUT!$F$2:$F$11000,OUT!$H$2:$H$11000,H999,OUT!$D$2:$D$11000,"Out",OUT!$E$2:$E$11000,"Zela")</f>
        <v>33400</v>
      </c>
      <c r="T999" s="52">
        <f ca="1">SUMIFS(OUT!$F$2:$F$11000,OUT!$H$2:$H$11000,H999,OUT!$D$2:$D$11000,"Out",OUT!$E$2:$E$11000,"Iqbal")</f>
        <v>232194</v>
      </c>
    </row>
    <row r="1000" spans="1:20" x14ac:dyDescent="0.2">
      <c r="A1000" s="48">
        <f ca="1">IFERROR(__xludf.DUMMYFUNCTION("""COMPUTED_VALUE"""),46195)</f>
        <v>46195</v>
      </c>
      <c r="B1000" s="4" t="str">
        <f ca="1">IFERROR(__xludf.DUMMYFUNCTION("""COMPUTED_VALUE"""),"kopi")</f>
        <v>kopi</v>
      </c>
      <c r="C1000" s="4" t="str">
        <f ca="1">IFERROR(__xludf.DUMMYFUNCTION("""COMPUTED_VALUE"""),"Cash")</f>
        <v>Cash</v>
      </c>
      <c r="D1000" s="4" t="str">
        <f ca="1">IFERROR(__xludf.DUMMYFUNCTION("""COMPUTED_VALUE"""),"Out")</f>
        <v>Out</v>
      </c>
      <c r="E1000" s="4" t="str">
        <f ca="1">IFERROR(__xludf.DUMMYFUNCTION("""COMPUTED_VALUE"""),"Iqbal")</f>
        <v>Iqbal</v>
      </c>
      <c r="F1000" s="49">
        <f ca="1">IFERROR(__xludf.DUMMYFUNCTION("""COMPUTED_VALUE"""),10000)</f>
        <v>10000</v>
      </c>
      <c r="G1000" s="50" t="str">
        <f ca="1">IFERROR(__xludf.DUMMYFUNCTION("""COMPUTED_VALUE"""),"Zela")</f>
        <v>Zela</v>
      </c>
      <c r="H1000" s="51">
        <f t="shared" ca="1" si="0"/>
        <v>46174</v>
      </c>
      <c r="I1000" s="52" t="e">
        <f ca="1">SUMIFS(OUT!$F$2:$F$11000,OUT!$H$2:$H$11000,H1000,OUT!$D$2:$D$101007,"In")</f>
        <v>#VALUE!</v>
      </c>
      <c r="J1000" s="52">
        <f ca="1">SUMIFS(OUT!$F$2:$F$11000,OUT!$H$2:$H$11000,H1000,OUT!$D$2:$D$11000,"Out")</f>
        <v>9155672</v>
      </c>
      <c r="K1000" s="52">
        <f ca="1">SUMIFS(OUT!$F$2:$F$11000,OUT!$H$2:$H$11000,H1000,OUT!$D$2:$D$11000,"Out",OUT!$E$2:$E$11000,"Fix")</f>
        <v>3084727</v>
      </c>
      <c r="L1000" s="52">
        <f ca="1">SUMIFS(OUT!$F$2:$F$11000,OUT!$H$2:$H$11000,H1000,OUT!$D$2:$D$11000,"Out",OUT!$E$2:$E$11000,"Bathroom")</f>
        <v>37500</v>
      </c>
      <c r="M1000" s="52">
        <f ca="1">SUMIFS(OUT!$F$2:$F$11000,OUT!$H$2:$H$11000,H1000,OUT!$D$2:$D$11000,"Out",OUT!$E$2:$E$11000,"Alfa")</f>
        <v>317864</v>
      </c>
      <c r="N1000" s="52" t="e">
        <f ca="1">SUMIFS(OUT!$F$2:$F$11000,OUT!$H$2:$H$101007,H1000,OUT!$D$2:$D$11000,"Out",OUT!$E$2:$E$11000,"Jajan")</f>
        <v>#VALUE!</v>
      </c>
      <c r="O1000" s="52">
        <f ca="1">SUMIFS(OUT!$F$2:$F$11000,OUT!$H$2:$H$11000,H1000,OUT!$D$2:$D$11000,"Out",OUT!$E$2:$E$11000,"Kitchen")</f>
        <v>985700</v>
      </c>
      <c r="P1000" s="52">
        <f ca="1">SUMIFS(OUT!$F$2:$F$11000,OUT!$H$2:$H$11000,H1000,OUT!$D$2:$D$11000,"Out",OUT!$E$2:$E$11000,"Loandry")</f>
        <v>21500</v>
      </c>
      <c r="Q1000" s="52">
        <f ca="1">SUMIFS(OUT!$F$2:$F$11000,OUT!$H$2:$H$11000,H1000,OUT!$D$2:$D$11000,"Out",OUT!$E$2:$E$11000,"Mio")</f>
        <v>265000</v>
      </c>
      <c r="R1000" s="52">
        <f ca="1">SUMIFS(OUT!$F$2:$F$11000,OUT!$H$2:$H$11000,H1000,OUT!$D$2:$D$11000,"Out",OUT!$E$2:$E$11000,"Sedekah")</f>
        <v>5000</v>
      </c>
      <c r="S1000" s="52">
        <f ca="1">SUMIFS(OUT!$F$2:$F$11000,OUT!$H$2:$H$11000,H1000,OUT!$D$2:$D$11000,"Out",OUT!$E$2:$E$11000,"Zela")</f>
        <v>33400</v>
      </c>
      <c r="T1000" s="52">
        <f ca="1">SUMIFS(OUT!$F$2:$F$11000,OUT!$H$2:$H$11000,H1000,OUT!$D$2:$D$11000,"Out",OUT!$E$2:$E$11000,"Iqbal")</f>
        <v>232194</v>
      </c>
    </row>
    <row r="1001" spans="1:20" x14ac:dyDescent="0.2">
      <c r="A1001" s="48">
        <f ca="1">IFERROR(__xludf.DUMMYFUNCTION("""COMPUTED_VALUE"""),46196)</f>
        <v>46196</v>
      </c>
      <c r="B1001" s="4" t="str">
        <f ca="1">IFERROR(__xludf.DUMMYFUNCTION("""COMPUTED_VALUE"""),"Tarik Tunai")</f>
        <v>Tarik Tunai</v>
      </c>
      <c r="C1001" s="4" t="str">
        <f ca="1">IFERROR(__xludf.DUMMYFUNCTION("""COMPUTED_VALUE"""),"ATM")</f>
        <v>ATM</v>
      </c>
      <c r="D1001" s="4" t="str">
        <f ca="1">IFERROR(__xludf.DUMMYFUNCTION("""COMPUTED_VALUE"""),"Out")</f>
        <v>Out</v>
      </c>
      <c r="E1001" s="4" t="str">
        <f ca="1">IFERROR(__xludf.DUMMYFUNCTION("""COMPUTED_VALUE"""),"Move")</f>
        <v>Move</v>
      </c>
      <c r="F1001" s="49">
        <f ca="1">IFERROR(__xludf.DUMMYFUNCTION("""COMPUTED_VALUE"""),50000)</f>
        <v>50000</v>
      </c>
      <c r="G1001" s="50" t="str">
        <f ca="1">IFERROR(__xludf.DUMMYFUNCTION("""COMPUTED_VALUE"""),"Zela")</f>
        <v>Zela</v>
      </c>
      <c r="H1001" s="51">
        <f t="shared" ca="1" si="0"/>
        <v>46174</v>
      </c>
      <c r="I1001" s="52" t="e">
        <f ca="1">SUMIFS(OUT!$F$2:$F$11000,OUT!$H$2:$H$11000,H1001,OUT!$D$2:$D$101007,"In")</f>
        <v>#VALUE!</v>
      </c>
      <c r="J1001" s="52">
        <f ca="1">SUMIFS(OUT!$F$2:$F$11000,OUT!$H$2:$H$11000,H1001,OUT!$D$2:$D$11000,"Out")</f>
        <v>9155672</v>
      </c>
      <c r="K1001" s="52">
        <f ca="1">SUMIFS(OUT!$F$2:$F$11000,OUT!$H$2:$H$11000,H1001,OUT!$D$2:$D$11000,"Out",OUT!$E$2:$E$11000,"Fix")</f>
        <v>3084727</v>
      </c>
      <c r="L1001" s="52">
        <f ca="1">SUMIFS(OUT!$F$2:$F$11000,OUT!$H$2:$H$11000,H1001,OUT!$D$2:$D$11000,"Out",OUT!$E$2:$E$11000,"Bathroom")</f>
        <v>37500</v>
      </c>
      <c r="M1001" s="52">
        <f ca="1">SUMIFS(OUT!$F$2:$F$11000,OUT!$H$2:$H$11000,H1001,OUT!$D$2:$D$11000,"Out",OUT!$E$2:$E$11000,"Alfa")</f>
        <v>317864</v>
      </c>
      <c r="N1001" s="52" t="e">
        <f ca="1">SUMIFS(OUT!$F$2:$F$11000,OUT!$H$2:$H$101007,H1001,OUT!$D$2:$D$11000,"Out",OUT!$E$2:$E$11000,"Jajan")</f>
        <v>#VALUE!</v>
      </c>
      <c r="O1001" s="52">
        <f ca="1">SUMIFS(OUT!$F$2:$F$11000,OUT!$H$2:$H$11000,H1001,OUT!$D$2:$D$11000,"Out",OUT!$E$2:$E$11000,"Kitchen")</f>
        <v>985700</v>
      </c>
      <c r="P1001" s="52">
        <f ca="1">SUMIFS(OUT!$F$2:$F$11000,OUT!$H$2:$H$11000,H1001,OUT!$D$2:$D$11000,"Out",OUT!$E$2:$E$11000,"Loandry")</f>
        <v>21500</v>
      </c>
      <c r="Q1001" s="52">
        <f ca="1">SUMIFS(OUT!$F$2:$F$11000,OUT!$H$2:$H$11000,H1001,OUT!$D$2:$D$11000,"Out",OUT!$E$2:$E$11000,"Mio")</f>
        <v>265000</v>
      </c>
      <c r="R1001" s="52">
        <f ca="1">SUMIFS(OUT!$F$2:$F$11000,OUT!$H$2:$H$11000,H1001,OUT!$D$2:$D$11000,"Out",OUT!$E$2:$E$11000,"Sedekah")</f>
        <v>5000</v>
      </c>
      <c r="S1001" s="52">
        <f ca="1">SUMIFS(OUT!$F$2:$F$11000,OUT!$H$2:$H$11000,H1001,OUT!$D$2:$D$11000,"Out",OUT!$E$2:$E$11000,"Zela")</f>
        <v>33400</v>
      </c>
      <c r="T1001" s="52">
        <f ca="1">SUMIFS(OUT!$F$2:$F$11000,OUT!$H$2:$H$11000,H1001,OUT!$D$2:$D$11000,"Out",OUT!$E$2:$E$11000,"Iqbal")</f>
        <v>232194</v>
      </c>
    </row>
    <row r="1002" spans="1:20" x14ac:dyDescent="0.2">
      <c r="A1002" s="48">
        <f ca="1">IFERROR(__xludf.DUMMYFUNCTION("""COMPUTED_VALUE"""),46196)</f>
        <v>46196</v>
      </c>
      <c r="B1002" s="4" t="str">
        <f ca="1">IFERROR(__xludf.DUMMYFUNCTION("""COMPUTED_VALUE"""),"Terima Tunai ")</f>
        <v xml:space="preserve">Terima Tunai </v>
      </c>
      <c r="C1002" s="4" t="str">
        <f ca="1">IFERROR(__xludf.DUMMYFUNCTION("""COMPUTED_VALUE"""),"Cash")</f>
        <v>Cash</v>
      </c>
      <c r="D1002" s="4" t="str">
        <f ca="1">IFERROR(__xludf.DUMMYFUNCTION("""COMPUTED_VALUE"""),"In")</f>
        <v>In</v>
      </c>
      <c r="E1002" s="4" t="str">
        <f ca="1">IFERROR(__xludf.DUMMYFUNCTION("""COMPUTED_VALUE"""),"Move")</f>
        <v>Move</v>
      </c>
      <c r="F1002" s="49">
        <f ca="1">IFERROR(__xludf.DUMMYFUNCTION("""COMPUTED_VALUE"""),50000)</f>
        <v>50000</v>
      </c>
      <c r="G1002" s="50" t="str">
        <f ca="1">IFERROR(__xludf.DUMMYFUNCTION("""COMPUTED_VALUE"""),"Zela")</f>
        <v>Zela</v>
      </c>
      <c r="H1002" s="51">
        <f t="shared" ca="1" si="0"/>
        <v>46174</v>
      </c>
      <c r="I1002" s="52" t="e">
        <f ca="1">SUMIFS(OUT!$F$2:$F$11000,OUT!$H$2:$H$11000,H1002,OUT!$D$2:$D$101007,"In")</f>
        <v>#VALUE!</v>
      </c>
      <c r="J1002" s="52">
        <f ca="1">SUMIFS(OUT!$F$2:$F$11000,OUT!$H$2:$H$11000,H1002,OUT!$D$2:$D$11000,"Out")</f>
        <v>9155672</v>
      </c>
      <c r="K1002" s="52">
        <f ca="1">SUMIFS(OUT!$F$2:$F$11000,OUT!$H$2:$H$11000,H1002,OUT!$D$2:$D$11000,"Out",OUT!$E$2:$E$11000,"Fix")</f>
        <v>3084727</v>
      </c>
      <c r="L1002" s="52">
        <f ca="1">SUMIFS(OUT!$F$2:$F$11000,OUT!$H$2:$H$11000,H1002,OUT!$D$2:$D$11000,"Out",OUT!$E$2:$E$11000,"Bathroom")</f>
        <v>37500</v>
      </c>
      <c r="M1002" s="52">
        <f ca="1">SUMIFS(OUT!$F$2:$F$11000,OUT!$H$2:$H$11000,H1002,OUT!$D$2:$D$11000,"Out",OUT!$E$2:$E$11000,"Alfa")</f>
        <v>317864</v>
      </c>
      <c r="N1002" s="52" t="e">
        <f ca="1">SUMIFS(OUT!$F$2:$F$11000,OUT!$H$2:$H$101007,H1002,OUT!$D$2:$D$11000,"Out",OUT!$E$2:$E$11000,"Jajan")</f>
        <v>#VALUE!</v>
      </c>
      <c r="O1002" s="52">
        <f ca="1">SUMIFS(OUT!$F$2:$F$11000,OUT!$H$2:$H$11000,H1002,OUT!$D$2:$D$11000,"Out",OUT!$E$2:$E$11000,"Kitchen")</f>
        <v>985700</v>
      </c>
      <c r="P1002" s="52">
        <f ca="1">SUMIFS(OUT!$F$2:$F$11000,OUT!$H$2:$H$11000,H1002,OUT!$D$2:$D$11000,"Out",OUT!$E$2:$E$11000,"Loandry")</f>
        <v>21500</v>
      </c>
      <c r="Q1002" s="52">
        <f ca="1">SUMIFS(OUT!$F$2:$F$11000,OUT!$H$2:$H$11000,H1002,OUT!$D$2:$D$11000,"Out",OUT!$E$2:$E$11000,"Mio")</f>
        <v>265000</v>
      </c>
      <c r="R1002" s="52">
        <f ca="1">SUMIFS(OUT!$F$2:$F$11000,OUT!$H$2:$H$11000,H1002,OUT!$D$2:$D$11000,"Out",OUT!$E$2:$E$11000,"Sedekah")</f>
        <v>5000</v>
      </c>
      <c r="S1002" s="52">
        <f ca="1">SUMIFS(OUT!$F$2:$F$11000,OUT!$H$2:$H$11000,H1002,OUT!$D$2:$D$11000,"Out",OUT!$E$2:$E$11000,"Zela")</f>
        <v>33400</v>
      </c>
      <c r="T1002" s="52">
        <f ca="1">SUMIFS(OUT!$F$2:$F$11000,OUT!$H$2:$H$11000,H1002,OUT!$D$2:$D$11000,"Out",OUT!$E$2:$E$11000,"Iqbal")</f>
        <v>232194</v>
      </c>
    </row>
    <row r="1003" spans="1:20" x14ac:dyDescent="0.2">
      <c r="A1003" s="48">
        <f ca="1">IFERROR(__xludf.DUMMYFUNCTION("""COMPUTED_VALUE"""),46196)</f>
        <v>46196</v>
      </c>
      <c r="B1003" s="4" t="str">
        <f ca="1">IFERROR(__xludf.DUMMYFUNCTION("""COMPUTED_VALUE"""),"Roti gepeng ")</f>
        <v xml:space="preserve">Roti gepeng </v>
      </c>
      <c r="C1003" s="4" t="str">
        <f ca="1">IFERROR(__xludf.DUMMYFUNCTION("""COMPUTED_VALUE"""),"Cash")</f>
        <v>Cash</v>
      </c>
      <c r="D1003" s="4" t="str">
        <f ca="1">IFERROR(__xludf.DUMMYFUNCTION("""COMPUTED_VALUE"""),"Out")</f>
        <v>Out</v>
      </c>
      <c r="E1003" s="4" t="str">
        <f ca="1">IFERROR(__xludf.DUMMYFUNCTION("""COMPUTED_VALUE"""),"Jajan")</f>
        <v>Jajan</v>
      </c>
      <c r="F1003" s="49">
        <f ca="1">IFERROR(__xludf.DUMMYFUNCTION("""COMPUTED_VALUE"""),9000)</f>
        <v>9000</v>
      </c>
      <c r="G1003" s="50" t="str">
        <f ca="1">IFERROR(__xludf.DUMMYFUNCTION("""COMPUTED_VALUE"""),"Zela")</f>
        <v>Zela</v>
      </c>
      <c r="H1003" s="51">
        <f t="shared" ca="1" si="0"/>
        <v>46174</v>
      </c>
      <c r="I1003" s="52" t="e">
        <f ca="1">SUMIFS(OUT!$F$2:$F$11000,OUT!$H$2:$H$11000,H1003,OUT!$D$2:$D$101007,"In")</f>
        <v>#VALUE!</v>
      </c>
      <c r="J1003" s="52">
        <f ca="1">SUMIFS(OUT!$F$2:$F$11000,OUT!$H$2:$H$11000,H1003,OUT!$D$2:$D$11000,"Out")</f>
        <v>9155672</v>
      </c>
      <c r="K1003" s="52">
        <f ca="1">SUMIFS(OUT!$F$2:$F$11000,OUT!$H$2:$H$11000,H1003,OUT!$D$2:$D$11000,"Out",OUT!$E$2:$E$11000,"Fix")</f>
        <v>3084727</v>
      </c>
      <c r="L1003" s="52">
        <f ca="1">SUMIFS(OUT!$F$2:$F$11000,OUT!$H$2:$H$11000,H1003,OUT!$D$2:$D$11000,"Out",OUT!$E$2:$E$11000,"Bathroom")</f>
        <v>37500</v>
      </c>
      <c r="M1003" s="52">
        <f ca="1">SUMIFS(OUT!$F$2:$F$11000,OUT!$H$2:$H$11000,H1003,OUT!$D$2:$D$11000,"Out",OUT!$E$2:$E$11000,"Alfa")</f>
        <v>317864</v>
      </c>
      <c r="N1003" s="52" t="e">
        <f ca="1">SUMIFS(OUT!$F$2:$F$11000,OUT!$H$2:$H$101007,H1003,OUT!$D$2:$D$11000,"Out",OUT!$E$2:$E$11000,"Jajan")</f>
        <v>#VALUE!</v>
      </c>
      <c r="O1003" s="52">
        <f ca="1">SUMIFS(OUT!$F$2:$F$11000,OUT!$H$2:$H$11000,H1003,OUT!$D$2:$D$11000,"Out",OUT!$E$2:$E$11000,"Kitchen")</f>
        <v>985700</v>
      </c>
      <c r="P1003" s="52">
        <f ca="1">SUMIFS(OUT!$F$2:$F$11000,OUT!$H$2:$H$11000,H1003,OUT!$D$2:$D$11000,"Out",OUT!$E$2:$E$11000,"Loandry")</f>
        <v>21500</v>
      </c>
      <c r="Q1003" s="52">
        <f ca="1">SUMIFS(OUT!$F$2:$F$11000,OUT!$H$2:$H$11000,H1003,OUT!$D$2:$D$11000,"Out",OUT!$E$2:$E$11000,"Mio")</f>
        <v>265000</v>
      </c>
      <c r="R1003" s="52">
        <f ca="1">SUMIFS(OUT!$F$2:$F$11000,OUT!$H$2:$H$11000,H1003,OUT!$D$2:$D$11000,"Out",OUT!$E$2:$E$11000,"Sedekah")</f>
        <v>5000</v>
      </c>
      <c r="S1003" s="52">
        <f ca="1">SUMIFS(OUT!$F$2:$F$11000,OUT!$H$2:$H$11000,H1003,OUT!$D$2:$D$11000,"Out",OUT!$E$2:$E$11000,"Zela")</f>
        <v>33400</v>
      </c>
      <c r="T1003" s="52">
        <f ca="1">SUMIFS(OUT!$F$2:$F$11000,OUT!$H$2:$H$11000,H1003,OUT!$D$2:$D$11000,"Out",OUT!$E$2:$E$11000,"Iqbal")</f>
        <v>232194</v>
      </c>
    </row>
    <row r="1004" spans="1:20" x14ac:dyDescent="0.2">
      <c r="A1004" s="48">
        <f ca="1">IFERROR(__xludf.DUMMYFUNCTION("""COMPUTED_VALUE"""),46196)</f>
        <v>46196</v>
      </c>
      <c r="B1004" s="4" t="str">
        <f ca="1">IFERROR(__xludf.DUMMYFUNCTION("""COMPUTED_VALUE"""),"Gentelgen Baju")</f>
        <v>Gentelgen Baju</v>
      </c>
      <c r="C1004" s="4" t="str">
        <f ca="1">IFERROR(__xludf.DUMMYFUNCTION("""COMPUTED_VALUE"""),"Cash")</f>
        <v>Cash</v>
      </c>
      <c r="D1004" s="4" t="str">
        <f ca="1">IFERROR(__xludf.DUMMYFUNCTION("""COMPUTED_VALUE"""),"Out")</f>
        <v>Out</v>
      </c>
      <c r="E1004" s="4" t="str">
        <f ca="1">IFERROR(__xludf.DUMMYFUNCTION("""COMPUTED_VALUE"""),"Loandry")</f>
        <v>Loandry</v>
      </c>
      <c r="F1004" s="49">
        <f ca="1">IFERROR(__xludf.DUMMYFUNCTION("""COMPUTED_VALUE"""),11000)</f>
        <v>11000</v>
      </c>
      <c r="G1004" s="50" t="str">
        <f ca="1">IFERROR(__xludf.DUMMYFUNCTION("""COMPUTED_VALUE"""),"Zela")</f>
        <v>Zela</v>
      </c>
      <c r="H1004" s="51">
        <f t="shared" ca="1" si="0"/>
        <v>46174</v>
      </c>
      <c r="I1004" s="52" t="e">
        <f ca="1">SUMIFS(OUT!$F$2:$F$11000,OUT!$H$2:$H$11000,H1004,OUT!$D$2:$D$101007,"In")</f>
        <v>#VALUE!</v>
      </c>
      <c r="J1004" s="52">
        <f ca="1">SUMIFS(OUT!$F$2:$F$11000,OUT!$H$2:$H$11000,H1004,OUT!$D$2:$D$11000,"Out")</f>
        <v>9155672</v>
      </c>
      <c r="K1004" s="52">
        <f ca="1">SUMIFS(OUT!$F$2:$F$11000,OUT!$H$2:$H$11000,H1004,OUT!$D$2:$D$11000,"Out",OUT!$E$2:$E$11000,"Fix")</f>
        <v>3084727</v>
      </c>
      <c r="L1004" s="52">
        <f ca="1">SUMIFS(OUT!$F$2:$F$11000,OUT!$H$2:$H$11000,H1004,OUT!$D$2:$D$11000,"Out",OUT!$E$2:$E$11000,"Bathroom")</f>
        <v>37500</v>
      </c>
      <c r="M1004" s="52">
        <f ca="1">SUMIFS(OUT!$F$2:$F$11000,OUT!$H$2:$H$11000,H1004,OUT!$D$2:$D$11000,"Out",OUT!$E$2:$E$11000,"Alfa")</f>
        <v>317864</v>
      </c>
      <c r="N1004" s="52" t="e">
        <f ca="1">SUMIFS(OUT!$F$2:$F$11000,OUT!$H$2:$H$101007,H1004,OUT!$D$2:$D$11000,"Out",OUT!$E$2:$E$11000,"Jajan")</f>
        <v>#VALUE!</v>
      </c>
      <c r="O1004" s="52">
        <f ca="1">SUMIFS(OUT!$F$2:$F$11000,OUT!$H$2:$H$11000,H1004,OUT!$D$2:$D$11000,"Out",OUT!$E$2:$E$11000,"Kitchen")</f>
        <v>985700</v>
      </c>
      <c r="P1004" s="52">
        <f ca="1">SUMIFS(OUT!$F$2:$F$11000,OUT!$H$2:$H$11000,H1004,OUT!$D$2:$D$11000,"Out",OUT!$E$2:$E$11000,"Loandry")</f>
        <v>21500</v>
      </c>
      <c r="Q1004" s="52">
        <f ca="1">SUMIFS(OUT!$F$2:$F$11000,OUT!$H$2:$H$11000,H1004,OUT!$D$2:$D$11000,"Out",OUT!$E$2:$E$11000,"Mio")</f>
        <v>265000</v>
      </c>
      <c r="R1004" s="52">
        <f ca="1">SUMIFS(OUT!$F$2:$F$11000,OUT!$H$2:$H$11000,H1004,OUT!$D$2:$D$11000,"Out",OUT!$E$2:$E$11000,"Sedekah")</f>
        <v>5000</v>
      </c>
      <c r="S1004" s="52">
        <f ca="1">SUMIFS(OUT!$F$2:$F$11000,OUT!$H$2:$H$11000,H1004,OUT!$D$2:$D$11000,"Out",OUT!$E$2:$E$11000,"Zela")</f>
        <v>33400</v>
      </c>
      <c r="T1004" s="52">
        <f ca="1">SUMIFS(OUT!$F$2:$F$11000,OUT!$H$2:$H$11000,H1004,OUT!$D$2:$D$11000,"Out",OUT!$E$2:$E$11000,"Iqbal")</f>
        <v>232194</v>
      </c>
    </row>
    <row r="1005" spans="1:20" x14ac:dyDescent="0.2">
      <c r="A1005" s="48">
        <f ca="1">IFERROR(__xludf.DUMMYFUNCTION("""COMPUTED_VALUE"""),46195)</f>
        <v>46195</v>
      </c>
      <c r="B1005" s="4" t="str">
        <f ca="1">IFERROR(__xludf.DUMMYFUNCTION("""COMPUTED_VALUE"""),"Mi ayam")</f>
        <v>Mi ayam</v>
      </c>
      <c r="C1005" s="4" t="str">
        <f ca="1">IFERROR(__xludf.DUMMYFUNCTION("""COMPUTED_VALUE"""),"Cash")</f>
        <v>Cash</v>
      </c>
      <c r="D1005" s="4" t="str">
        <f ca="1">IFERROR(__xludf.DUMMYFUNCTION("""COMPUTED_VALUE"""),"Out")</f>
        <v>Out</v>
      </c>
      <c r="E1005" s="4" t="str">
        <f ca="1">IFERROR(__xludf.DUMMYFUNCTION("""COMPUTED_VALUE"""),"Kitchen")</f>
        <v>Kitchen</v>
      </c>
      <c r="F1005" s="49">
        <f ca="1">IFERROR(__xludf.DUMMYFUNCTION("""COMPUTED_VALUE"""),17000)</f>
        <v>17000</v>
      </c>
      <c r="G1005" s="50" t="str">
        <f ca="1">IFERROR(__xludf.DUMMYFUNCTION("""COMPUTED_VALUE"""),"Zela")</f>
        <v>Zela</v>
      </c>
      <c r="H1005" s="51">
        <f t="shared" ca="1" si="0"/>
        <v>46174</v>
      </c>
      <c r="I1005" s="52" t="e">
        <f ca="1">SUMIFS(OUT!$F$2:$F$11000,OUT!$H$2:$H$11000,H1005,OUT!$D$2:$D$101007,"In")</f>
        <v>#VALUE!</v>
      </c>
      <c r="J1005" s="52">
        <f ca="1">SUMIFS(OUT!$F$2:$F$11000,OUT!$H$2:$H$11000,H1005,OUT!$D$2:$D$11000,"Out")</f>
        <v>9155672</v>
      </c>
      <c r="K1005" s="52">
        <f ca="1">SUMIFS(OUT!$F$2:$F$11000,OUT!$H$2:$H$11000,H1005,OUT!$D$2:$D$11000,"Out",OUT!$E$2:$E$11000,"Fix")</f>
        <v>3084727</v>
      </c>
      <c r="L1005" s="52">
        <f ca="1">SUMIFS(OUT!$F$2:$F$11000,OUT!$H$2:$H$11000,H1005,OUT!$D$2:$D$11000,"Out",OUT!$E$2:$E$11000,"Bathroom")</f>
        <v>37500</v>
      </c>
      <c r="M1005" s="52">
        <f ca="1">SUMIFS(OUT!$F$2:$F$11000,OUT!$H$2:$H$11000,H1005,OUT!$D$2:$D$11000,"Out",OUT!$E$2:$E$11000,"Alfa")</f>
        <v>317864</v>
      </c>
      <c r="N1005" s="52" t="e">
        <f ca="1">SUMIFS(OUT!$F$2:$F$11000,OUT!$H$2:$H$101007,H1005,OUT!$D$2:$D$11000,"Out",OUT!$E$2:$E$11000,"Jajan")</f>
        <v>#VALUE!</v>
      </c>
      <c r="O1005" s="52">
        <f ca="1">SUMIFS(OUT!$F$2:$F$11000,OUT!$H$2:$H$11000,H1005,OUT!$D$2:$D$11000,"Out",OUT!$E$2:$E$11000,"Kitchen")</f>
        <v>985700</v>
      </c>
      <c r="P1005" s="52">
        <f ca="1">SUMIFS(OUT!$F$2:$F$11000,OUT!$H$2:$H$11000,H1005,OUT!$D$2:$D$11000,"Out",OUT!$E$2:$E$11000,"Loandry")</f>
        <v>21500</v>
      </c>
      <c r="Q1005" s="52">
        <f ca="1">SUMIFS(OUT!$F$2:$F$11000,OUT!$H$2:$H$11000,H1005,OUT!$D$2:$D$11000,"Out",OUT!$E$2:$E$11000,"Mio")</f>
        <v>265000</v>
      </c>
      <c r="R1005" s="52">
        <f ca="1">SUMIFS(OUT!$F$2:$F$11000,OUT!$H$2:$H$11000,H1005,OUT!$D$2:$D$11000,"Out",OUT!$E$2:$E$11000,"Sedekah")</f>
        <v>5000</v>
      </c>
      <c r="S1005" s="52">
        <f ca="1">SUMIFS(OUT!$F$2:$F$11000,OUT!$H$2:$H$11000,H1005,OUT!$D$2:$D$11000,"Out",OUT!$E$2:$E$11000,"Zela")</f>
        <v>33400</v>
      </c>
      <c r="T1005" s="52">
        <f ca="1">SUMIFS(OUT!$F$2:$F$11000,OUT!$H$2:$H$11000,H1005,OUT!$D$2:$D$11000,"Out",OUT!$E$2:$E$11000,"Iqbal")</f>
        <v>232194</v>
      </c>
    </row>
    <row r="1006" spans="1:20" x14ac:dyDescent="0.2">
      <c r="A1006" s="48">
        <f ca="1">IFERROR(__xludf.DUMMYFUNCTION("""COMPUTED_VALUE"""),46195)</f>
        <v>46195</v>
      </c>
      <c r="B1006" s="4" t="str">
        <f ca="1">IFERROR(__xludf.DUMMYFUNCTION("""COMPUTED_VALUE"""),"ayam 2")</f>
        <v>ayam 2</v>
      </c>
      <c r="C1006" s="4" t="str">
        <f ca="1">IFERROR(__xludf.DUMMYFUNCTION("""COMPUTED_VALUE"""),"Cash")</f>
        <v>Cash</v>
      </c>
      <c r="D1006" s="4" t="str">
        <f ca="1">IFERROR(__xludf.DUMMYFUNCTION("""COMPUTED_VALUE"""),"Out")</f>
        <v>Out</v>
      </c>
      <c r="E1006" s="4" t="str">
        <f ca="1">IFERROR(__xludf.DUMMYFUNCTION("""COMPUTED_VALUE"""),"Kitchen")</f>
        <v>Kitchen</v>
      </c>
      <c r="F1006" s="49">
        <f ca="1">IFERROR(__xludf.DUMMYFUNCTION("""COMPUTED_VALUE"""),22000)</f>
        <v>22000</v>
      </c>
      <c r="G1006" s="50" t="str">
        <f ca="1">IFERROR(__xludf.DUMMYFUNCTION("""COMPUTED_VALUE"""),"Zela")</f>
        <v>Zela</v>
      </c>
      <c r="H1006" s="51">
        <f t="shared" ca="1" si="0"/>
        <v>46174</v>
      </c>
      <c r="I1006" s="52" t="e">
        <f ca="1">SUMIFS(OUT!$F$2:$F$11000,OUT!$H$2:$H$11000,H1006,OUT!$D$2:$D$101007,"In")</f>
        <v>#VALUE!</v>
      </c>
      <c r="J1006" s="52">
        <f ca="1">SUMIFS(OUT!$F$2:$F$11000,OUT!$H$2:$H$11000,H1006,OUT!$D$2:$D$11000,"Out")</f>
        <v>9155672</v>
      </c>
      <c r="K1006" s="52">
        <f ca="1">SUMIFS(OUT!$F$2:$F$11000,OUT!$H$2:$H$11000,H1006,OUT!$D$2:$D$11000,"Out",OUT!$E$2:$E$11000,"Fix")</f>
        <v>3084727</v>
      </c>
      <c r="L1006" s="52">
        <f ca="1">SUMIFS(OUT!$F$2:$F$11000,OUT!$H$2:$H$11000,H1006,OUT!$D$2:$D$11000,"Out",OUT!$E$2:$E$11000,"Bathroom")</f>
        <v>37500</v>
      </c>
      <c r="M1006" s="52">
        <f ca="1">SUMIFS(OUT!$F$2:$F$11000,OUT!$H$2:$H$11000,H1006,OUT!$D$2:$D$11000,"Out",OUT!$E$2:$E$11000,"Alfa")</f>
        <v>317864</v>
      </c>
      <c r="N1006" s="52" t="e">
        <f ca="1">SUMIFS(OUT!$F$2:$F$11000,OUT!$H$2:$H$101007,H1006,OUT!$D$2:$D$11000,"Out",OUT!$E$2:$E$11000,"Jajan")</f>
        <v>#VALUE!</v>
      </c>
      <c r="O1006" s="52">
        <f ca="1">SUMIFS(OUT!$F$2:$F$11000,OUT!$H$2:$H$11000,H1006,OUT!$D$2:$D$11000,"Out",OUT!$E$2:$E$11000,"Kitchen")</f>
        <v>985700</v>
      </c>
      <c r="P1006" s="52">
        <f ca="1">SUMIFS(OUT!$F$2:$F$11000,OUT!$H$2:$H$11000,H1006,OUT!$D$2:$D$11000,"Out",OUT!$E$2:$E$11000,"Loandry")</f>
        <v>21500</v>
      </c>
      <c r="Q1006" s="52">
        <f ca="1">SUMIFS(OUT!$F$2:$F$11000,OUT!$H$2:$H$11000,H1006,OUT!$D$2:$D$11000,"Out",OUT!$E$2:$E$11000,"Mio")</f>
        <v>265000</v>
      </c>
      <c r="R1006" s="52">
        <f ca="1">SUMIFS(OUT!$F$2:$F$11000,OUT!$H$2:$H$11000,H1006,OUT!$D$2:$D$11000,"Out",OUT!$E$2:$E$11000,"Sedekah")</f>
        <v>5000</v>
      </c>
      <c r="S1006" s="52">
        <f ca="1">SUMIFS(OUT!$F$2:$F$11000,OUT!$H$2:$H$11000,H1006,OUT!$D$2:$D$11000,"Out",OUT!$E$2:$E$11000,"Zela")</f>
        <v>33400</v>
      </c>
      <c r="T1006" s="52">
        <f ca="1">SUMIFS(OUT!$F$2:$F$11000,OUT!$H$2:$H$11000,H1006,OUT!$D$2:$D$11000,"Out",OUT!$E$2:$E$11000,"Iqbal")</f>
        <v>232194</v>
      </c>
    </row>
    <row r="1007" spans="1:20" x14ac:dyDescent="0.2">
      <c r="A1007" s="48">
        <f ca="1">IFERROR(__xludf.DUMMYFUNCTION("""COMPUTED_VALUE"""),46195)</f>
        <v>46195</v>
      </c>
      <c r="B1007" s="4" t="str">
        <f ca="1">IFERROR(__xludf.DUMMYFUNCTION("""COMPUTED_VALUE"""),"pasar Kaget ")</f>
        <v xml:space="preserve">pasar Kaget </v>
      </c>
      <c r="C1007" s="4" t="str">
        <f ca="1">IFERROR(__xludf.DUMMYFUNCTION("""COMPUTED_VALUE"""),"Cash")</f>
        <v>Cash</v>
      </c>
      <c r="D1007" s="4" t="str">
        <f ca="1">IFERROR(__xludf.DUMMYFUNCTION("""COMPUTED_VALUE"""),"Out")</f>
        <v>Out</v>
      </c>
      <c r="E1007" s="4" t="str">
        <f ca="1">IFERROR(__xludf.DUMMYFUNCTION("""COMPUTED_VALUE"""),"Kitchen")</f>
        <v>Kitchen</v>
      </c>
      <c r="F1007" s="49">
        <f ca="1">IFERROR(__xludf.DUMMYFUNCTION("""COMPUTED_VALUE"""),41000)</f>
        <v>41000</v>
      </c>
      <c r="G1007" s="50" t="str">
        <f ca="1">IFERROR(__xludf.DUMMYFUNCTION("""COMPUTED_VALUE"""),"Zela")</f>
        <v>Zela</v>
      </c>
      <c r="H1007" s="51">
        <f t="shared" ca="1" si="0"/>
        <v>46174</v>
      </c>
      <c r="I1007" s="52" t="e">
        <f ca="1">SUMIFS(OUT!$F$2:$F$11000,OUT!$H$2:$H$11000,H1007,OUT!$D$2:$D$101007,"In")</f>
        <v>#VALUE!</v>
      </c>
      <c r="J1007" s="52">
        <f ca="1">SUMIFS(OUT!$F$2:$F$11000,OUT!$H$2:$H$11000,H1007,OUT!$D$2:$D$11000,"Out")</f>
        <v>9155672</v>
      </c>
      <c r="K1007" s="52">
        <f ca="1">SUMIFS(OUT!$F$2:$F$11000,OUT!$H$2:$H$11000,H1007,OUT!$D$2:$D$11000,"Out",OUT!$E$2:$E$11000,"Fix")</f>
        <v>3084727</v>
      </c>
      <c r="L1007" s="52">
        <f ca="1">SUMIFS(OUT!$F$2:$F$11000,OUT!$H$2:$H$11000,H1007,OUT!$D$2:$D$11000,"Out",OUT!$E$2:$E$11000,"Bathroom")</f>
        <v>37500</v>
      </c>
      <c r="M1007" s="52">
        <f ca="1">SUMIFS(OUT!$F$2:$F$11000,OUT!$H$2:$H$11000,H1007,OUT!$D$2:$D$11000,"Out",OUT!$E$2:$E$11000,"Alfa")</f>
        <v>317864</v>
      </c>
      <c r="N1007" s="52" t="e">
        <f ca="1">SUMIFS(OUT!$F$2:$F$11000,OUT!$H$2:$H$101007,H1007,OUT!$D$2:$D$11000,"Out",OUT!$E$2:$E$11000,"Jajan")</f>
        <v>#VALUE!</v>
      </c>
      <c r="O1007" s="52">
        <f ca="1">SUMIFS(OUT!$F$2:$F$11000,OUT!$H$2:$H$11000,H1007,OUT!$D$2:$D$11000,"Out",OUT!$E$2:$E$11000,"Kitchen")</f>
        <v>985700</v>
      </c>
      <c r="P1007" s="52">
        <f ca="1">SUMIFS(OUT!$F$2:$F$11000,OUT!$H$2:$H$11000,H1007,OUT!$D$2:$D$11000,"Out",OUT!$E$2:$E$11000,"Loandry")</f>
        <v>21500</v>
      </c>
      <c r="Q1007" s="52">
        <f ca="1">SUMIFS(OUT!$F$2:$F$11000,OUT!$H$2:$H$11000,H1007,OUT!$D$2:$D$11000,"Out",OUT!$E$2:$E$11000,"Mio")</f>
        <v>265000</v>
      </c>
      <c r="R1007" s="52">
        <f ca="1">SUMIFS(OUT!$F$2:$F$11000,OUT!$H$2:$H$11000,H1007,OUT!$D$2:$D$11000,"Out",OUT!$E$2:$E$11000,"Sedekah")</f>
        <v>5000</v>
      </c>
      <c r="S1007" s="52">
        <f ca="1">SUMIFS(OUT!$F$2:$F$11000,OUT!$H$2:$H$11000,H1007,OUT!$D$2:$D$11000,"Out",OUT!$E$2:$E$11000,"Zela")</f>
        <v>33400</v>
      </c>
      <c r="T1007" s="52">
        <f ca="1">SUMIFS(OUT!$F$2:$F$11000,OUT!$H$2:$H$11000,H1007,OUT!$D$2:$D$11000,"Out",OUT!$E$2:$E$11000,"Iqbal")</f>
        <v>232194</v>
      </c>
    </row>
    <row r="1008" spans="1:20" x14ac:dyDescent="0.2">
      <c r="A1008" s="48">
        <f ca="1">IFERROR(__xludf.DUMMYFUNCTION("""COMPUTED_VALUE"""),46196)</f>
        <v>46196</v>
      </c>
      <c r="B1008" s="4" t="str">
        <f ca="1">IFERROR(__xludf.DUMMYFUNCTION("""COMPUTED_VALUE"""),"kasih mama")</f>
        <v>kasih mama</v>
      </c>
      <c r="C1008" s="4" t="str">
        <f ca="1">IFERROR(__xludf.DUMMYFUNCTION("""COMPUTED_VALUE"""),"Cash")</f>
        <v>Cash</v>
      </c>
      <c r="D1008" s="4" t="str">
        <f ca="1">IFERROR(__xludf.DUMMYFUNCTION("""COMPUTED_VALUE"""),"Out")</f>
        <v>Out</v>
      </c>
      <c r="E1008" s="4" t="str">
        <f ca="1">IFERROR(__xludf.DUMMYFUNCTION("""COMPUTED_VALUE"""),"Fix")</f>
        <v>Fix</v>
      </c>
      <c r="F1008" s="49">
        <f ca="1">IFERROR(__xludf.DUMMYFUNCTION("""COMPUTED_VALUE"""),6000)</f>
        <v>6000</v>
      </c>
      <c r="G1008" s="50" t="str">
        <f ca="1">IFERROR(__xludf.DUMMYFUNCTION("""COMPUTED_VALUE"""),"Zela")</f>
        <v>Zela</v>
      </c>
      <c r="H1008" s="51">
        <f t="shared" ca="1" si="0"/>
        <v>46174</v>
      </c>
      <c r="I1008" s="52" t="e">
        <f ca="1">SUMIFS(OUT!$F$2:$F$11000,OUT!$H$2:$H$11000,H1008,OUT!$D$2:$D$101007,"In")</f>
        <v>#VALUE!</v>
      </c>
      <c r="J1008" s="52">
        <f ca="1">SUMIFS(OUT!$F$2:$F$11000,OUT!$H$2:$H$11000,H1008,OUT!$D$2:$D$11000,"Out")</f>
        <v>9155672</v>
      </c>
      <c r="K1008" s="52">
        <f ca="1">SUMIFS(OUT!$F$2:$F$11000,OUT!$H$2:$H$11000,H1008,OUT!$D$2:$D$11000,"Out",OUT!$E$2:$E$11000,"Fix")</f>
        <v>3084727</v>
      </c>
      <c r="L1008" s="52">
        <f ca="1">SUMIFS(OUT!$F$2:$F$11000,OUT!$H$2:$H$11000,H1008,OUT!$D$2:$D$11000,"Out",OUT!$E$2:$E$11000,"Bathroom")</f>
        <v>37500</v>
      </c>
      <c r="M1008" s="52">
        <f ca="1">SUMIFS(OUT!$F$2:$F$11000,OUT!$H$2:$H$11000,H1008,OUT!$D$2:$D$11000,"Out",OUT!$E$2:$E$11000,"Alfa")</f>
        <v>317864</v>
      </c>
      <c r="N1008" s="52" t="e">
        <f ca="1">SUMIFS(OUT!$F$2:$F$11000,OUT!$H$2:$H$101007,H1008,OUT!$D$2:$D$11000,"Out",OUT!$E$2:$E$11000,"Jajan")</f>
        <v>#VALUE!</v>
      </c>
      <c r="O1008" s="52">
        <f ca="1">SUMIFS(OUT!$F$2:$F$11000,OUT!$H$2:$H$11000,H1008,OUT!$D$2:$D$11000,"Out",OUT!$E$2:$E$11000,"Kitchen")</f>
        <v>985700</v>
      </c>
      <c r="P1008" s="52">
        <f ca="1">SUMIFS(OUT!$F$2:$F$11000,OUT!$H$2:$H$11000,H1008,OUT!$D$2:$D$11000,"Out",OUT!$E$2:$E$11000,"Loandry")</f>
        <v>21500</v>
      </c>
      <c r="Q1008" s="52">
        <f ca="1">SUMIFS(OUT!$F$2:$F$11000,OUT!$H$2:$H$11000,H1008,OUT!$D$2:$D$11000,"Out",OUT!$E$2:$E$11000,"Mio")</f>
        <v>265000</v>
      </c>
      <c r="R1008" s="52">
        <f ca="1">SUMIFS(OUT!$F$2:$F$11000,OUT!$H$2:$H$11000,H1008,OUT!$D$2:$D$11000,"Out",OUT!$E$2:$E$11000,"Sedekah")</f>
        <v>5000</v>
      </c>
      <c r="S1008" s="52">
        <f ca="1">SUMIFS(OUT!$F$2:$F$11000,OUT!$H$2:$H$11000,H1008,OUT!$D$2:$D$11000,"Out",OUT!$E$2:$E$11000,"Zela")</f>
        <v>33400</v>
      </c>
      <c r="T1008" s="52">
        <f ca="1">SUMIFS(OUT!$F$2:$F$11000,OUT!$H$2:$H$11000,H1008,OUT!$D$2:$D$11000,"Out",OUT!$E$2:$E$11000,"Iqbal")</f>
        <v>232194</v>
      </c>
    </row>
    <row r="1009" spans="1:20" x14ac:dyDescent="0.2">
      <c r="A1009" s="48">
        <f ca="1">IFERROR(__xludf.DUMMYFUNCTION("""COMPUTED_VALUE"""),46197)</f>
        <v>46197</v>
      </c>
      <c r="B1009" s="4" t="str">
        <f ca="1">IFERROR(__xludf.DUMMYFUNCTION("""COMPUTED_VALUE"""),"suamiku")</f>
        <v>suamiku</v>
      </c>
      <c r="C1009" s="4" t="str">
        <f ca="1">IFERROR(__xludf.DUMMYFUNCTION("""COMPUTED_VALUE"""),"ATM")</f>
        <v>ATM</v>
      </c>
      <c r="D1009" s="4" t="str">
        <f ca="1">IFERROR(__xludf.DUMMYFUNCTION("""COMPUTED_VALUE"""),"In")</f>
        <v>In</v>
      </c>
      <c r="E1009" s="4" t="str">
        <f ca="1">IFERROR(__xludf.DUMMYFUNCTION("""COMPUTED_VALUE"""),"Fix")</f>
        <v>Fix</v>
      </c>
      <c r="F1009" s="49">
        <f ca="1">IFERROR(__xludf.DUMMYFUNCTION("""COMPUTED_VALUE"""),150000)</f>
        <v>150000</v>
      </c>
      <c r="G1009" s="50" t="str">
        <f ca="1">IFERROR(__xludf.DUMMYFUNCTION("""COMPUTED_VALUE"""),"Zela")</f>
        <v>Zela</v>
      </c>
      <c r="H1009" s="51">
        <f t="shared" ca="1" si="0"/>
        <v>46174</v>
      </c>
      <c r="I1009" s="52" t="e">
        <f ca="1">SUMIFS(OUT!$F$2:$F$11000,OUT!$H$2:$H$11000,H1009,OUT!$D$2:$D$101007,"In")</f>
        <v>#VALUE!</v>
      </c>
      <c r="J1009" s="52">
        <f ca="1">SUMIFS(OUT!$F$2:$F$11000,OUT!$H$2:$H$11000,H1009,OUT!$D$2:$D$11000,"Out")</f>
        <v>9155672</v>
      </c>
      <c r="K1009" s="52">
        <f ca="1">SUMIFS(OUT!$F$2:$F$11000,OUT!$H$2:$H$11000,H1009,OUT!$D$2:$D$11000,"Out",OUT!$E$2:$E$11000,"Fix")</f>
        <v>3084727</v>
      </c>
      <c r="L1009" s="52">
        <f ca="1">SUMIFS(OUT!$F$2:$F$11000,OUT!$H$2:$H$11000,H1009,OUT!$D$2:$D$11000,"Out",OUT!$E$2:$E$11000,"Bathroom")</f>
        <v>37500</v>
      </c>
      <c r="M1009" s="52">
        <f ca="1">SUMIFS(OUT!$F$2:$F$11000,OUT!$H$2:$H$11000,H1009,OUT!$D$2:$D$11000,"Out",OUT!$E$2:$E$11000,"Alfa")</f>
        <v>317864</v>
      </c>
      <c r="N1009" s="52" t="e">
        <f ca="1">SUMIFS(OUT!$F$2:$F$11000,OUT!$H$2:$H$101007,H1009,OUT!$D$2:$D$11000,"Out",OUT!$E$2:$E$11000,"Jajan")</f>
        <v>#VALUE!</v>
      </c>
      <c r="O1009" s="52">
        <f ca="1">SUMIFS(OUT!$F$2:$F$11000,OUT!$H$2:$H$11000,H1009,OUT!$D$2:$D$11000,"Out",OUT!$E$2:$E$11000,"Kitchen")</f>
        <v>985700</v>
      </c>
      <c r="P1009" s="52">
        <f ca="1">SUMIFS(OUT!$F$2:$F$11000,OUT!$H$2:$H$11000,H1009,OUT!$D$2:$D$11000,"Out",OUT!$E$2:$E$11000,"Loandry")</f>
        <v>21500</v>
      </c>
      <c r="Q1009" s="52">
        <f ca="1">SUMIFS(OUT!$F$2:$F$11000,OUT!$H$2:$H$11000,H1009,OUT!$D$2:$D$11000,"Out",OUT!$E$2:$E$11000,"Mio")</f>
        <v>265000</v>
      </c>
      <c r="R1009" s="52">
        <f ca="1">SUMIFS(OUT!$F$2:$F$11000,OUT!$H$2:$H$11000,H1009,OUT!$D$2:$D$11000,"Out",OUT!$E$2:$E$11000,"Sedekah")</f>
        <v>5000</v>
      </c>
      <c r="S1009" s="52">
        <f ca="1">SUMIFS(OUT!$F$2:$F$11000,OUT!$H$2:$H$11000,H1009,OUT!$D$2:$D$11000,"Out",OUT!$E$2:$E$11000,"Zela")</f>
        <v>33400</v>
      </c>
      <c r="T1009" s="52">
        <f ca="1">SUMIFS(OUT!$F$2:$F$11000,OUT!$H$2:$H$11000,H1009,OUT!$D$2:$D$11000,"Out",OUT!$E$2:$E$11000,"Iqbal")</f>
        <v>232194</v>
      </c>
    </row>
    <row r="1010" spans="1:20" x14ac:dyDescent="0.2">
      <c r="A1010" s="48">
        <f ca="1">IFERROR(__xludf.DUMMYFUNCTION("""COMPUTED_VALUE"""),46197)</f>
        <v>46197</v>
      </c>
      <c r="B1010" s="4" t="str">
        <f ca="1">IFERROR(__xludf.DUMMYFUNCTION("""COMPUTED_VALUE"""),"tarik tunai")</f>
        <v>tarik tunai</v>
      </c>
      <c r="C1010" s="4" t="str">
        <f ca="1">IFERROR(__xludf.DUMMYFUNCTION("""COMPUTED_VALUE"""),"ATM")</f>
        <v>ATM</v>
      </c>
      <c r="D1010" s="4" t="str">
        <f ca="1">IFERROR(__xludf.DUMMYFUNCTION("""COMPUTED_VALUE"""),"Out")</f>
        <v>Out</v>
      </c>
      <c r="E1010" s="4" t="str">
        <f ca="1">IFERROR(__xludf.DUMMYFUNCTION("""COMPUTED_VALUE"""),"Move")</f>
        <v>Move</v>
      </c>
      <c r="F1010" s="49">
        <f ca="1">IFERROR(__xludf.DUMMYFUNCTION("""COMPUTED_VALUE"""),200000)</f>
        <v>200000</v>
      </c>
      <c r="G1010" s="50" t="str">
        <f ca="1">IFERROR(__xludf.DUMMYFUNCTION("""COMPUTED_VALUE"""),"Zela")</f>
        <v>Zela</v>
      </c>
      <c r="H1010" s="51">
        <f t="shared" ca="1" si="0"/>
        <v>46174</v>
      </c>
      <c r="I1010" s="52" t="e">
        <f ca="1">SUMIFS(OUT!$F$2:$F$11000,OUT!$H$2:$H$11000,H1010,OUT!$D$2:$D$101007,"In")</f>
        <v>#VALUE!</v>
      </c>
      <c r="J1010" s="52">
        <f ca="1">SUMIFS(OUT!$F$2:$F$11000,OUT!$H$2:$H$11000,H1010,OUT!$D$2:$D$11000,"Out")</f>
        <v>9155672</v>
      </c>
      <c r="K1010" s="52">
        <f ca="1">SUMIFS(OUT!$F$2:$F$11000,OUT!$H$2:$H$11000,H1010,OUT!$D$2:$D$11000,"Out",OUT!$E$2:$E$11000,"Fix")</f>
        <v>3084727</v>
      </c>
      <c r="L1010" s="52">
        <f ca="1">SUMIFS(OUT!$F$2:$F$11000,OUT!$H$2:$H$11000,H1010,OUT!$D$2:$D$11000,"Out",OUT!$E$2:$E$11000,"Bathroom")</f>
        <v>37500</v>
      </c>
      <c r="M1010" s="52">
        <f ca="1">SUMIFS(OUT!$F$2:$F$11000,OUT!$H$2:$H$11000,H1010,OUT!$D$2:$D$11000,"Out",OUT!$E$2:$E$11000,"Alfa")</f>
        <v>317864</v>
      </c>
      <c r="N1010" s="52" t="e">
        <f ca="1">SUMIFS(OUT!$F$2:$F$11000,OUT!$H$2:$H$101007,H1010,OUT!$D$2:$D$11000,"Out",OUT!$E$2:$E$11000,"Jajan")</f>
        <v>#VALUE!</v>
      </c>
      <c r="O1010" s="52">
        <f ca="1">SUMIFS(OUT!$F$2:$F$11000,OUT!$H$2:$H$11000,H1010,OUT!$D$2:$D$11000,"Out",OUT!$E$2:$E$11000,"Kitchen")</f>
        <v>985700</v>
      </c>
      <c r="P1010" s="52">
        <f ca="1">SUMIFS(OUT!$F$2:$F$11000,OUT!$H$2:$H$11000,H1010,OUT!$D$2:$D$11000,"Out",OUT!$E$2:$E$11000,"Loandry")</f>
        <v>21500</v>
      </c>
      <c r="Q1010" s="52">
        <f ca="1">SUMIFS(OUT!$F$2:$F$11000,OUT!$H$2:$H$11000,H1010,OUT!$D$2:$D$11000,"Out",OUT!$E$2:$E$11000,"Mio")</f>
        <v>265000</v>
      </c>
      <c r="R1010" s="52">
        <f ca="1">SUMIFS(OUT!$F$2:$F$11000,OUT!$H$2:$H$11000,H1010,OUT!$D$2:$D$11000,"Out",OUT!$E$2:$E$11000,"Sedekah")</f>
        <v>5000</v>
      </c>
      <c r="S1010" s="52">
        <f ca="1">SUMIFS(OUT!$F$2:$F$11000,OUT!$H$2:$H$11000,H1010,OUT!$D$2:$D$11000,"Out",OUT!$E$2:$E$11000,"Zela")</f>
        <v>33400</v>
      </c>
      <c r="T1010" s="52">
        <f ca="1">SUMIFS(OUT!$F$2:$F$11000,OUT!$H$2:$H$11000,H1010,OUT!$D$2:$D$11000,"Out",OUT!$E$2:$E$11000,"Iqbal")</f>
        <v>232194</v>
      </c>
    </row>
    <row r="1011" spans="1:20" x14ac:dyDescent="0.2">
      <c r="A1011" s="48">
        <f ca="1">IFERROR(__xludf.DUMMYFUNCTION("""COMPUTED_VALUE"""),46197)</f>
        <v>46197</v>
      </c>
      <c r="B1011" s="4" t="str">
        <f ca="1">IFERROR(__xludf.DUMMYFUNCTION("""COMPUTED_VALUE"""),"terima runai")</f>
        <v>terima runai</v>
      </c>
      <c r="C1011" s="4" t="str">
        <f ca="1">IFERROR(__xludf.DUMMYFUNCTION("""COMPUTED_VALUE"""),"Cash")</f>
        <v>Cash</v>
      </c>
      <c r="D1011" s="4" t="str">
        <f ca="1">IFERROR(__xludf.DUMMYFUNCTION("""COMPUTED_VALUE"""),"In")</f>
        <v>In</v>
      </c>
      <c r="E1011" s="4" t="str">
        <f ca="1">IFERROR(__xludf.DUMMYFUNCTION("""COMPUTED_VALUE"""),"Move")</f>
        <v>Move</v>
      </c>
      <c r="F1011" s="49">
        <f ca="1">IFERROR(__xludf.DUMMYFUNCTION("""COMPUTED_VALUE"""),200000)</f>
        <v>200000</v>
      </c>
      <c r="G1011" s="50" t="str">
        <f ca="1">IFERROR(__xludf.DUMMYFUNCTION("""COMPUTED_VALUE"""),"Zela")</f>
        <v>Zela</v>
      </c>
      <c r="H1011" s="51">
        <f t="shared" ca="1" si="0"/>
        <v>46174</v>
      </c>
      <c r="I1011" s="52" t="e">
        <f ca="1">SUMIFS(OUT!$F$2:$F$11000,OUT!$H$2:$H$11000,H1011,OUT!$D$2:$D$101007,"In")</f>
        <v>#VALUE!</v>
      </c>
      <c r="J1011" s="52">
        <f ca="1">SUMIFS(OUT!$F$2:$F$11000,OUT!$H$2:$H$11000,H1011,OUT!$D$2:$D$11000,"Out")</f>
        <v>9155672</v>
      </c>
      <c r="K1011" s="52">
        <f ca="1">SUMIFS(OUT!$F$2:$F$11000,OUT!$H$2:$H$11000,H1011,OUT!$D$2:$D$11000,"Out",OUT!$E$2:$E$11000,"Fix")</f>
        <v>3084727</v>
      </c>
      <c r="L1011" s="52">
        <f ca="1">SUMIFS(OUT!$F$2:$F$11000,OUT!$H$2:$H$11000,H1011,OUT!$D$2:$D$11000,"Out",OUT!$E$2:$E$11000,"Bathroom")</f>
        <v>37500</v>
      </c>
      <c r="M1011" s="52">
        <f ca="1">SUMIFS(OUT!$F$2:$F$11000,OUT!$H$2:$H$11000,H1011,OUT!$D$2:$D$11000,"Out",OUT!$E$2:$E$11000,"Alfa")</f>
        <v>317864</v>
      </c>
      <c r="N1011" s="52" t="e">
        <f ca="1">SUMIFS(OUT!$F$2:$F$11000,OUT!$H$2:$H$101007,H1011,OUT!$D$2:$D$11000,"Out",OUT!$E$2:$E$11000,"Jajan")</f>
        <v>#VALUE!</v>
      </c>
      <c r="O1011" s="52">
        <f ca="1">SUMIFS(OUT!$F$2:$F$11000,OUT!$H$2:$H$11000,H1011,OUT!$D$2:$D$11000,"Out",OUT!$E$2:$E$11000,"Kitchen")</f>
        <v>985700</v>
      </c>
      <c r="P1011" s="52">
        <f ca="1">SUMIFS(OUT!$F$2:$F$11000,OUT!$H$2:$H$11000,H1011,OUT!$D$2:$D$11000,"Out",OUT!$E$2:$E$11000,"Loandry")</f>
        <v>21500</v>
      </c>
      <c r="Q1011" s="52">
        <f ca="1">SUMIFS(OUT!$F$2:$F$11000,OUT!$H$2:$H$11000,H1011,OUT!$D$2:$D$11000,"Out",OUT!$E$2:$E$11000,"Mio")</f>
        <v>265000</v>
      </c>
      <c r="R1011" s="52">
        <f ca="1">SUMIFS(OUT!$F$2:$F$11000,OUT!$H$2:$H$11000,H1011,OUT!$D$2:$D$11000,"Out",OUT!$E$2:$E$11000,"Sedekah")</f>
        <v>5000</v>
      </c>
      <c r="S1011" s="52">
        <f ca="1">SUMIFS(OUT!$F$2:$F$11000,OUT!$H$2:$H$11000,H1011,OUT!$D$2:$D$11000,"Out",OUT!$E$2:$E$11000,"Zela")</f>
        <v>33400</v>
      </c>
      <c r="T1011" s="52">
        <f ca="1">SUMIFS(OUT!$F$2:$F$11000,OUT!$H$2:$H$11000,H1011,OUT!$D$2:$D$11000,"Out",OUT!$E$2:$E$11000,"Iqbal")</f>
        <v>232194</v>
      </c>
    </row>
    <row r="1012" spans="1:20" x14ac:dyDescent="0.2">
      <c r="A1012" s="48">
        <f ca="1">IFERROR(__xludf.DUMMYFUNCTION("""COMPUTED_VALUE"""),46198)</f>
        <v>46198</v>
      </c>
      <c r="B1012" s="4" t="str">
        <f ca="1">IFERROR(__xludf.DUMMYFUNCTION("""COMPUTED_VALUE"""),"pertalite")</f>
        <v>pertalite</v>
      </c>
      <c r="C1012" s="4" t="str">
        <f ca="1">IFERROR(__xludf.DUMMYFUNCTION("""COMPUTED_VALUE"""),"Cash")</f>
        <v>Cash</v>
      </c>
      <c r="D1012" s="4" t="str">
        <f ca="1">IFERROR(__xludf.DUMMYFUNCTION("""COMPUTED_VALUE"""),"Out")</f>
        <v>Out</v>
      </c>
      <c r="E1012" s="4" t="str">
        <f ca="1">IFERROR(__xludf.DUMMYFUNCTION("""COMPUTED_VALUE"""),"Mio")</f>
        <v>Mio</v>
      </c>
      <c r="F1012" s="49">
        <f ca="1">IFERROR(__xludf.DUMMYFUNCTION("""COMPUTED_VALUE"""),20000)</f>
        <v>20000</v>
      </c>
      <c r="G1012" s="50" t="str">
        <f ca="1">IFERROR(__xludf.DUMMYFUNCTION("""COMPUTED_VALUE"""),"Zela")</f>
        <v>Zela</v>
      </c>
      <c r="H1012" s="51">
        <f t="shared" ca="1" si="0"/>
        <v>46174</v>
      </c>
      <c r="I1012" s="52" t="e">
        <f ca="1">SUMIFS(OUT!$F$2:$F$11000,OUT!$H$2:$H$11000,H1012,OUT!$D$2:$D$101007,"In")</f>
        <v>#VALUE!</v>
      </c>
      <c r="J1012" s="52">
        <f ca="1">SUMIFS(OUT!$F$2:$F$11000,OUT!$H$2:$H$11000,H1012,OUT!$D$2:$D$11000,"Out")</f>
        <v>9155672</v>
      </c>
      <c r="K1012" s="52">
        <f ca="1">SUMIFS(OUT!$F$2:$F$11000,OUT!$H$2:$H$11000,H1012,OUT!$D$2:$D$11000,"Out",OUT!$E$2:$E$11000,"Fix")</f>
        <v>3084727</v>
      </c>
      <c r="L1012" s="52">
        <f ca="1">SUMIFS(OUT!$F$2:$F$11000,OUT!$H$2:$H$11000,H1012,OUT!$D$2:$D$11000,"Out",OUT!$E$2:$E$11000,"Bathroom")</f>
        <v>37500</v>
      </c>
      <c r="M1012" s="52">
        <f ca="1">SUMIFS(OUT!$F$2:$F$11000,OUT!$H$2:$H$11000,H1012,OUT!$D$2:$D$11000,"Out",OUT!$E$2:$E$11000,"Alfa")</f>
        <v>317864</v>
      </c>
      <c r="N1012" s="52" t="e">
        <f ca="1">SUMIFS(OUT!$F$2:$F$11000,OUT!$H$2:$H$101007,H1012,OUT!$D$2:$D$11000,"Out",OUT!$E$2:$E$11000,"Jajan")</f>
        <v>#VALUE!</v>
      </c>
      <c r="O1012" s="52">
        <f ca="1">SUMIFS(OUT!$F$2:$F$11000,OUT!$H$2:$H$11000,H1012,OUT!$D$2:$D$11000,"Out",OUT!$E$2:$E$11000,"Kitchen")</f>
        <v>985700</v>
      </c>
      <c r="P1012" s="52">
        <f ca="1">SUMIFS(OUT!$F$2:$F$11000,OUT!$H$2:$H$11000,H1012,OUT!$D$2:$D$11000,"Out",OUT!$E$2:$E$11000,"Loandry")</f>
        <v>21500</v>
      </c>
      <c r="Q1012" s="52">
        <f ca="1">SUMIFS(OUT!$F$2:$F$11000,OUT!$H$2:$H$11000,H1012,OUT!$D$2:$D$11000,"Out",OUT!$E$2:$E$11000,"Mio")</f>
        <v>265000</v>
      </c>
      <c r="R1012" s="52">
        <f ca="1">SUMIFS(OUT!$F$2:$F$11000,OUT!$H$2:$H$11000,H1012,OUT!$D$2:$D$11000,"Out",OUT!$E$2:$E$11000,"Sedekah")</f>
        <v>5000</v>
      </c>
      <c r="S1012" s="52">
        <f ca="1">SUMIFS(OUT!$F$2:$F$11000,OUT!$H$2:$H$11000,H1012,OUT!$D$2:$D$11000,"Out",OUT!$E$2:$E$11000,"Zela")</f>
        <v>33400</v>
      </c>
      <c r="T1012" s="52">
        <f ca="1">SUMIFS(OUT!$F$2:$F$11000,OUT!$H$2:$H$11000,H1012,OUT!$D$2:$D$11000,"Out",OUT!$E$2:$E$11000,"Iqbal")</f>
        <v>232194</v>
      </c>
    </row>
    <row r="1013" spans="1:20" x14ac:dyDescent="0.2">
      <c r="A1013" s="48">
        <f ca="1">IFERROR(__xludf.DUMMYFUNCTION("""COMPUTED_VALUE"""),46197)</f>
        <v>46197</v>
      </c>
      <c r="B1013" s="4" t="str">
        <f ca="1">IFERROR(__xludf.DUMMYFUNCTION("""COMPUTED_VALUE"""),"ibuprofen")</f>
        <v>ibuprofen</v>
      </c>
      <c r="C1013" s="4" t="str">
        <f ca="1">IFERROR(__xludf.DUMMYFUNCTION("""COMPUTED_VALUE"""),"Cash")</f>
        <v>Cash</v>
      </c>
      <c r="D1013" s="4" t="str">
        <f ca="1">IFERROR(__xludf.DUMMYFUNCTION("""COMPUTED_VALUE"""),"Out")</f>
        <v>Out</v>
      </c>
      <c r="E1013" s="4" t="str">
        <f ca="1">IFERROR(__xludf.DUMMYFUNCTION("""COMPUTED_VALUE"""),"Iqbal")</f>
        <v>Iqbal</v>
      </c>
      <c r="F1013" s="49">
        <f ca="1">IFERROR(__xludf.DUMMYFUNCTION("""COMPUTED_VALUE"""),5000)</f>
        <v>5000</v>
      </c>
      <c r="G1013" s="50" t="str">
        <f ca="1">IFERROR(__xludf.DUMMYFUNCTION("""COMPUTED_VALUE"""),"Zela")</f>
        <v>Zela</v>
      </c>
      <c r="H1013" s="51">
        <f t="shared" ca="1" si="0"/>
        <v>46174</v>
      </c>
      <c r="I1013" s="52" t="e">
        <f ca="1">SUMIFS(OUT!$F$2:$F$11000,OUT!$H$2:$H$11000,H1013,OUT!$D$2:$D$101007,"In")</f>
        <v>#VALUE!</v>
      </c>
      <c r="J1013" s="52">
        <f ca="1">SUMIFS(OUT!$F$2:$F$11000,OUT!$H$2:$H$11000,H1013,OUT!$D$2:$D$11000,"Out")</f>
        <v>9155672</v>
      </c>
      <c r="K1013" s="52">
        <f ca="1">SUMIFS(OUT!$F$2:$F$11000,OUT!$H$2:$H$11000,H1013,OUT!$D$2:$D$11000,"Out",OUT!$E$2:$E$11000,"Fix")</f>
        <v>3084727</v>
      </c>
      <c r="L1013" s="52">
        <f ca="1">SUMIFS(OUT!$F$2:$F$11000,OUT!$H$2:$H$11000,H1013,OUT!$D$2:$D$11000,"Out",OUT!$E$2:$E$11000,"Bathroom")</f>
        <v>37500</v>
      </c>
      <c r="M1013" s="52">
        <f ca="1">SUMIFS(OUT!$F$2:$F$11000,OUT!$H$2:$H$11000,H1013,OUT!$D$2:$D$11000,"Out",OUT!$E$2:$E$11000,"Alfa")</f>
        <v>317864</v>
      </c>
      <c r="N1013" s="52" t="e">
        <f ca="1">SUMIFS(OUT!$F$2:$F$11000,OUT!$H$2:$H$101007,H1013,OUT!$D$2:$D$11000,"Out",OUT!$E$2:$E$11000,"Jajan")</f>
        <v>#VALUE!</v>
      </c>
      <c r="O1013" s="52">
        <f ca="1">SUMIFS(OUT!$F$2:$F$11000,OUT!$H$2:$H$11000,H1013,OUT!$D$2:$D$11000,"Out",OUT!$E$2:$E$11000,"Kitchen")</f>
        <v>985700</v>
      </c>
      <c r="P1013" s="52">
        <f ca="1">SUMIFS(OUT!$F$2:$F$11000,OUT!$H$2:$H$11000,H1013,OUT!$D$2:$D$11000,"Out",OUT!$E$2:$E$11000,"Loandry")</f>
        <v>21500</v>
      </c>
      <c r="Q1013" s="52">
        <f ca="1">SUMIFS(OUT!$F$2:$F$11000,OUT!$H$2:$H$11000,H1013,OUT!$D$2:$D$11000,"Out",OUT!$E$2:$E$11000,"Mio")</f>
        <v>265000</v>
      </c>
      <c r="R1013" s="52">
        <f ca="1">SUMIFS(OUT!$F$2:$F$11000,OUT!$H$2:$H$11000,H1013,OUT!$D$2:$D$11000,"Out",OUT!$E$2:$E$11000,"Sedekah")</f>
        <v>5000</v>
      </c>
      <c r="S1013" s="52">
        <f ca="1">SUMIFS(OUT!$F$2:$F$11000,OUT!$H$2:$H$11000,H1013,OUT!$D$2:$D$11000,"Out",OUT!$E$2:$E$11000,"Zela")</f>
        <v>33400</v>
      </c>
      <c r="T1013" s="52">
        <f ca="1">SUMIFS(OUT!$F$2:$F$11000,OUT!$H$2:$H$11000,H1013,OUT!$D$2:$D$11000,"Out",OUT!$E$2:$E$11000,"Iqbal")</f>
        <v>232194</v>
      </c>
    </row>
    <row r="1014" spans="1:20" x14ac:dyDescent="0.2">
      <c r="A1014" s="48">
        <f ca="1">IFERROR(__xludf.DUMMYFUNCTION("""COMPUTED_VALUE"""),46197)</f>
        <v>46197</v>
      </c>
      <c r="B1014" s="4" t="str">
        <f ca="1">IFERROR(__xludf.DUMMYFUNCTION("""COMPUTED_VALUE"""),"roti gepeng")</f>
        <v>roti gepeng</v>
      </c>
      <c r="C1014" s="4" t="str">
        <f ca="1">IFERROR(__xludf.DUMMYFUNCTION("""COMPUTED_VALUE"""),"Cash")</f>
        <v>Cash</v>
      </c>
      <c r="D1014" s="4" t="str">
        <f ca="1">IFERROR(__xludf.DUMMYFUNCTION("""COMPUTED_VALUE"""),"Out")</f>
        <v>Out</v>
      </c>
      <c r="E1014" s="4" t="str">
        <f ca="1">IFERROR(__xludf.DUMMYFUNCTION("""COMPUTED_VALUE"""),"Jajan")</f>
        <v>Jajan</v>
      </c>
      <c r="F1014" s="49">
        <f ca="1">IFERROR(__xludf.DUMMYFUNCTION("""COMPUTED_VALUE"""),9000)</f>
        <v>9000</v>
      </c>
      <c r="G1014" s="50" t="str">
        <f ca="1">IFERROR(__xludf.DUMMYFUNCTION("""COMPUTED_VALUE"""),"Zela")</f>
        <v>Zela</v>
      </c>
      <c r="H1014" s="51">
        <f t="shared" ca="1" si="0"/>
        <v>46174</v>
      </c>
      <c r="I1014" s="52" t="e">
        <f ca="1">SUMIFS(OUT!$F$2:$F$11000,OUT!$H$2:$H$11000,H1014,OUT!$D$2:$D$101007,"In")</f>
        <v>#VALUE!</v>
      </c>
      <c r="J1014" s="52">
        <f ca="1">SUMIFS(OUT!$F$2:$F$11000,OUT!$H$2:$H$11000,H1014,OUT!$D$2:$D$11000,"Out")</f>
        <v>9155672</v>
      </c>
      <c r="K1014" s="52">
        <f ca="1">SUMIFS(OUT!$F$2:$F$11000,OUT!$H$2:$H$11000,H1014,OUT!$D$2:$D$11000,"Out",OUT!$E$2:$E$11000,"Fix")</f>
        <v>3084727</v>
      </c>
      <c r="L1014" s="52">
        <f ca="1">SUMIFS(OUT!$F$2:$F$11000,OUT!$H$2:$H$11000,H1014,OUT!$D$2:$D$11000,"Out",OUT!$E$2:$E$11000,"Bathroom")</f>
        <v>37500</v>
      </c>
      <c r="M1014" s="52">
        <f ca="1">SUMIFS(OUT!$F$2:$F$11000,OUT!$H$2:$H$11000,H1014,OUT!$D$2:$D$11000,"Out",OUT!$E$2:$E$11000,"Alfa")</f>
        <v>317864</v>
      </c>
      <c r="N1014" s="52" t="e">
        <f ca="1">SUMIFS(OUT!$F$2:$F$11000,OUT!$H$2:$H$101007,H1014,OUT!$D$2:$D$11000,"Out",OUT!$E$2:$E$11000,"Jajan")</f>
        <v>#VALUE!</v>
      </c>
      <c r="O1014" s="52">
        <f ca="1">SUMIFS(OUT!$F$2:$F$11000,OUT!$H$2:$H$11000,H1014,OUT!$D$2:$D$11000,"Out",OUT!$E$2:$E$11000,"Kitchen")</f>
        <v>985700</v>
      </c>
      <c r="P1014" s="52">
        <f ca="1">SUMIFS(OUT!$F$2:$F$11000,OUT!$H$2:$H$11000,H1014,OUT!$D$2:$D$11000,"Out",OUT!$E$2:$E$11000,"Loandry")</f>
        <v>21500</v>
      </c>
      <c r="Q1014" s="52">
        <f ca="1">SUMIFS(OUT!$F$2:$F$11000,OUT!$H$2:$H$11000,H1014,OUT!$D$2:$D$11000,"Out",OUT!$E$2:$E$11000,"Mio")</f>
        <v>265000</v>
      </c>
      <c r="R1014" s="52">
        <f ca="1">SUMIFS(OUT!$F$2:$F$11000,OUT!$H$2:$H$11000,H1014,OUT!$D$2:$D$11000,"Out",OUT!$E$2:$E$11000,"Sedekah")</f>
        <v>5000</v>
      </c>
      <c r="S1014" s="52">
        <f ca="1">SUMIFS(OUT!$F$2:$F$11000,OUT!$H$2:$H$11000,H1014,OUT!$D$2:$D$11000,"Out",OUT!$E$2:$E$11000,"Zela")</f>
        <v>33400</v>
      </c>
      <c r="T1014" s="52">
        <f ca="1">SUMIFS(OUT!$F$2:$F$11000,OUT!$H$2:$H$11000,H1014,OUT!$D$2:$D$11000,"Out",OUT!$E$2:$E$11000,"Iqbal")</f>
        <v>232194</v>
      </c>
    </row>
    <row r="1015" spans="1:20" x14ac:dyDescent="0.2">
      <c r="A1015" s="48">
        <f ca="1">IFERROR(__xludf.DUMMYFUNCTION("""COMPUTED_VALUE"""),46197)</f>
        <v>46197</v>
      </c>
      <c r="B1015" s="4" t="str">
        <f ca="1">IFERROR(__xludf.DUMMYFUNCTION("""COMPUTED_VALUE"""),"biskuit panda")</f>
        <v>biskuit panda</v>
      </c>
      <c r="C1015" s="4" t="str">
        <f ca="1">IFERROR(__xludf.DUMMYFUNCTION("""COMPUTED_VALUE"""),"Cash")</f>
        <v>Cash</v>
      </c>
      <c r="D1015" s="4" t="str">
        <f ca="1">IFERROR(__xludf.DUMMYFUNCTION("""COMPUTED_VALUE"""),"Out")</f>
        <v>Out</v>
      </c>
      <c r="E1015" s="4" t="str">
        <f ca="1">IFERROR(__xludf.DUMMYFUNCTION("""COMPUTED_VALUE"""),"Jajan")</f>
        <v>Jajan</v>
      </c>
      <c r="F1015" s="49">
        <f ca="1">IFERROR(__xludf.DUMMYFUNCTION("""COMPUTED_VALUE"""),9000)</f>
        <v>9000</v>
      </c>
      <c r="G1015" s="50" t="str">
        <f ca="1">IFERROR(__xludf.DUMMYFUNCTION("""COMPUTED_VALUE"""),"Zela")</f>
        <v>Zela</v>
      </c>
      <c r="H1015" s="51">
        <f t="shared" ca="1" si="0"/>
        <v>46174</v>
      </c>
      <c r="I1015" s="52" t="e">
        <f ca="1">SUMIFS(OUT!$F$2:$F$11000,OUT!$H$2:$H$11000,H1015,OUT!$D$2:$D$101007,"In")</f>
        <v>#VALUE!</v>
      </c>
      <c r="J1015" s="52">
        <f ca="1">SUMIFS(OUT!$F$2:$F$11000,OUT!$H$2:$H$11000,H1015,OUT!$D$2:$D$11000,"Out")</f>
        <v>9155672</v>
      </c>
      <c r="K1015" s="52">
        <f ca="1">SUMIFS(OUT!$F$2:$F$11000,OUT!$H$2:$H$11000,H1015,OUT!$D$2:$D$11000,"Out",OUT!$E$2:$E$11000,"Fix")</f>
        <v>3084727</v>
      </c>
      <c r="L1015" s="52">
        <f ca="1">SUMIFS(OUT!$F$2:$F$11000,OUT!$H$2:$H$11000,H1015,OUT!$D$2:$D$11000,"Out",OUT!$E$2:$E$11000,"Bathroom")</f>
        <v>37500</v>
      </c>
      <c r="M1015" s="52">
        <f ca="1">SUMIFS(OUT!$F$2:$F$11000,OUT!$H$2:$H$11000,H1015,OUT!$D$2:$D$11000,"Out",OUT!$E$2:$E$11000,"Alfa")</f>
        <v>317864</v>
      </c>
      <c r="N1015" s="52" t="e">
        <f ca="1">SUMIFS(OUT!$F$2:$F$11000,OUT!$H$2:$H$101007,H1015,OUT!$D$2:$D$11000,"Out",OUT!$E$2:$E$11000,"Jajan")</f>
        <v>#VALUE!</v>
      </c>
      <c r="O1015" s="52">
        <f ca="1">SUMIFS(OUT!$F$2:$F$11000,OUT!$H$2:$H$11000,H1015,OUT!$D$2:$D$11000,"Out",OUT!$E$2:$E$11000,"Kitchen")</f>
        <v>985700</v>
      </c>
      <c r="P1015" s="52">
        <f ca="1">SUMIFS(OUT!$F$2:$F$11000,OUT!$H$2:$H$11000,H1015,OUT!$D$2:$D$11000,"Out",OUT!$E$2:$E$11000,"Loandry")</f>
        <v>21500</v>
      </c>
      <c r="Q1015" s="52">
        <f ca="1">SUMIFS(OUT!$F$2:$F$11000,OUT!$H$2:$H$11000,H1015,OUT!$D$2:$D$11000,"Out",OUT!$E$2:$E$11000,"Mio")</f>
        <v>265000</v>
      </c>
      <c r="R1015" s="52">
        <f ca="1">SUMIFS(OUT!$F$2:$F$11000,OUT!$H$2:$H$11000,H1015,OUT!$D$2:$D$11000,"Out",OUT!$E$2:$E$11000,"Sedekah")</f>
        <v>5000</v>
      </c>
      <c r="S1015" s="52">
        <f ca="1">SUMIFS(OUT!$F$2:$F$11000,OUT!$H$2:$H$11000,H1015,OUT!$D$2:$D$11000,"Out",OUT!$E$2:$E$11000,"Zela")</f>
        <v>33400</v>
      </c>
      <c r="T1015" s="52">
        <f ca="1">SUMIFS(OUT!$F$2:$F$11000,OUT!$H$2:$H$11000,H1015,OUT!$D$2:$D$11000,"Out",OUT!$E$2:$E$11000,"Iqbal")</f>
        <v>232194</v>
      </c>
    </row>
    <row r="1016" spans="1:20" x14ac:dyDescent="0.2">
      <c r="A1016" s="48">
        <f ca="1">IFERROR(__xludf.DUMMYFUNCTION("""COMPUTED_VALUE"""),46197)</f>
        <v>46197</v>
      </c>
      <c r="B1016" s="4" t="str">
        <f ca="1">IFERROR(__xludf.DUMMYFUNCTION("""COMPUTED_VALUE"""),"minyak goreng Tropical (1L)")</f>
        <v>minyak goreng Tropical (1L)</v>
      </c>
      <c r="C1016" s="4" t="str">
        <f ca="1">IFERROR(__xludf.DUMMYFUNCTION("""COMPUTED_VALUE"""),"Cash")</f>
        <v>Cash</v>
      </c>
      <c r="D1016" s="4" t="str">
        <f ca="1">IFERROR(__xludf.DUMMYFUNCTION("""COMPUTED_VALUE"""),"Out")</f>
        <v>Out</v>
      </c>
      <c r="E1016" s="4" t="str">
        <f ca="1">IFERROR(__xludf.DUMMYFUNCTION("""COMPUTED_VALUE"""),"Kitchen")</f>
        <v>Kitchen</v>
      </c>
      <c r="F1016" s="49">
        <f ca="1">IFERROR(__xludf.DUMMYFUNCTION("""COMPUTED_VALUE"""),24000)</f>
        <v>24000</v>
      </c>
      <c r="G1016" s="50" t="str">
        <f ca="1">IFERROR(__xludf.DUMMYFUNCTION("""COMPUTED_VALUE"""),"Zela")</f>
        <v>Zela</v>
      </c>
      <c r="H1016" s="51">
        <f t="shared" ca="1" si="0"/>
        <v>46174</v>
      </c>
      <c r="I1016" s="52" t="e">
        <f ca="1">SUMIFS(OUT!$F$2:$F$11000,OUT!$H$2:$H$11000,H1016,OUT!$D$2:$D$101007,"In")</f>
        <v>#VALUE!</v>
      </c>
      <c r="J1016" s="52">
        <f ca="1">SUMIFS(OUT!$F$2:$F$11000,OUT!$H$2:$H$11000,H1016,OUT!$D$2:$D$11000,"Out")</f>
        <v>9155672</v>
      </c>
      <c r="K1016" s="52">
        <f ca="1">SUMIFS(OUT!$F$2:$F$11000,OUT!$H$2:$H$11000,H1016,OUT!$D$2:$D$11000,"Out",OUT!$E$2:$E$11000,"Fix")</f>
        <v>3084727</v>
      </c>
      <c r="L1016" s="52">
        <f ca="1">SUMIFS(OUT!$F$2:$F$11000,OUT!$H$2:$H$11000,H1016,OUT!$D$2:$D$11000,"Out",OUT!$E$2:$E$11000,"Bathroom")</f>
        <v>37500</v>
      </c>
      <c r="M1016" s="52">
        <f ca="1">SUMIFS(OUT!$F$2:$F$11000,OUT!$H$2:$H$11000,H1016,OUT!$D$2:$D$11000,"Out",OUT!$E$2:$E$11000,"Alfa")</f>
        <v>317864</v>
      </c>
      <c r="N1016" s="52" t="e">
        <f ca="1">SUMIFS(OUT!$F$2:$F$11000,OUT!$H$2:$H$101007,H1016,OUT!$D$2:$D$11000,"Out",OUT!$E$2:$E$11000,"Jajan")</f>
        <v>#VALUE!</v>
      </c>
      <c r="O1016" s="52">
        <f ca="1">SUMIFS(OUT!$F$2:$F$11000,OUT!$H$2:$H$11000,H1016,OUT!$D$2:$D$11000,"Out",OUT!$E$2:$E$11000,"Kitchen")</f>
        <v>985700</v>
      </c>
      <c r="P1016" s="52">
        <f ca="1">SUMIFS(OUT!$F$2:$F$11000,OUT!$H$2:$H$11000,H1016,OUT!$D$2:$D$11000,"Out",OUT!$E$2:$E$11000,"Loandry")</f>
        <v>21500</v>
      </c>
      <c r="Q1016" s="52">
        <f ca="1">SUMIFS(OUT!$F$2:$F$11000,OUT!$H$2:$H$11000,H1016,OUT!$D$2:$D$11000,"Out",OUT!$E$2:$E$11000,"Mio")</f>
        <v>265000</v>
      </c>
      <c r="R1016" s="52">
        <f ca="1">SUMIFS(OUT!$F$2:$F$11000,OUT!$H$2:$H$11000,H1016,OUT!$D$2:$D$11000,"Out",OUT!$E$2:$E$11000,"Sedekah")</f>
        <v>5000</v>
      </c>
      <c r="S1016" s="52">
        <f ca="1">SUMIFS(OUT!$F$2:$F$11000,OUT!$H$2:$H$11000,H1016,OUT!$D$2:$D$11000,"Out",OUT!$E$2:$E$11000,"Zela")</f>
        <v>33400</v>
      </c>
      <c r="T1016" s="52">
        <f ca="1">SUMIFS(OUT!$F$2:$F$11000,OUT!$H$2:$H$11000,H1016,OUT!$D$2:$D$11000,"Out",OUT!$E$2:$E$11000,"Iqbal")</f>
        <v>232194</v>
      </c>
    </row>
    <row r="1017" spans="1:20" x14ac:dyDescent="0.2">
      <c r="A1017" s="48">
        <f ca="1">IFERROR(__xludf.DUMMYFUNCTION("""COMPUTED_VALUE"""),46199)</f>
        <v>46199</v>
      </c>
      <c r="B1017" s="4" t="str">
        <f ca="1">IFERROR(__xludf.DUMMYFUNCTION("""COMPUTED_VALUE"""),"indomie goreng rendang")</f>
        <v>indomie goreng rendang</v>
      </c>
      <c r="C1017" s="4" t="str">
        <f ca="1">IFERROR(__xludf.DUMMYFUNCTION("""COMPUTED_VALUE"""),"Cash")</f>
        <v>Cash</v>
      </c>
      <c r="D1017" s="4" t="str">
        <f ca="1">IFERROR(__xludf.DUMMYFUNCTION("""COMPUTED_VALUE"""),"Out")</f>
        <v>Out</v>
      </c>
      <c r="E1017" s="4" t="str">
        <f ca="1">IFERROR(__xludf.DUMMYFUNCTION("""COMPUTED_VALUE"""),"Kitchen")</f>
        <v>Kitchen</v>
      </c>
      <c r="F1017" s="49">
        <f ca="1">IFERROR(__xludf.DUMMYFUNCTION("""COMPUTED_VALUE"""),10000)</f>
        <v>10000</v>
      </c>
      <c r="G1017" s="50" t="str">
        <f ca="1">IFERROR(__xludf.DUMMYFUNCTION("""COMPUTED_VALUE"""),"Zela")</f>
        <v>Zela</v>
      </c>
      <c r="H1017" s="51">
        <f t="shared" ca="1" si="0"/>
        <v>46174</v>
      </c>
      <c r="I1017" s="52" t="e">
        <f ca="1">SUMIFS(OUT!$F$2:$F$11000,OUT!$H$2:$H$11000,H1017,OUT!$D$2:$D$101007,"In")</f>
        <v>#VALUE!</v>
      </c>
      <c r="J1017" s="52">
        <f ca="1">SUMIFS(OUT!$F$2:$F$11000,OUT!$H$2:$H$11000,H1017,OUT!$D$2:$D$11000,"Out")</f>
        <v>9155672</v>
      </c>
      <c r="K1017" s="52">
        <f ca="1">SUMIFS(OUT!$F$2:$F$11000,OUT!$H$2:$H$11000,H1017,OUT!$D$2:$D$11000,"Out",OUT!$E$2:$E$11000,"Fix")</f>
        <v>3084727</v>
      </c>
      <c r="L1017" s="52">
        <f ca="1">SUMIFS(OUT!$F$2:$F$11000,OUT!$H$2:$H$11000,H1017,OUT!$D$2:$D$11000,"Out",OUT!$E$2:$E$11000,"Bathroom")</f>
        <v>37500</v>
      </c>
      <c r="M1017" s="52">
        <f ca="1">SUMIFS(OUT!$F$2:$F$11000,OUT!$H$2:$H$11000,H1017,OUT!$D$2:$D$11000,"Out",OUT!$E$2:$E$11000,"Alfa")</f>
        <v>317864</v>
      </c>
      <c r="N1017" s="52" t="e">
        <f ca="1">SUMIFS(OUT!$F$2:$F$11000,OUT!$H$2:$H$101007,H1017,OUT!$D$2:$D$11000,"Out",OUT!$E$2:$E$11000,"Jajan")</f>
        <v>#VALUE!</v>
      </c>
      <c r="O1017" s="52">
        <f ca="1">SUMIFS(OUT!$F$2:$F$11000,OUT!$H$2:$H$11000,H1017,OUT!$D$2:$D$11000,"Out",OUT!$E$2:$E$11000,"Kitchen")</f>
        <v>985700</v>
      </c>
      <c r="P1017" s="52">
        <f ca="1">SUMIFS(OUT!$F$2:$F$11000,OUT!$H$2:$H$11000,H1017,OUT!$D$2:$D$11000,"Out",OUT!$E$2:$E$11000,"Loandry")</f>
        <v>21500</v>
      </c>
      <c r="Q1017" s="52">
        <f ca="1">SUMIFS(OUT!$F$2:$F$11000,OUT!$H$2:$H$11000,H1017,OUT!$D$2:$D$11000,"Out",OUT!$E$2:$E$11000,"Mio")</f>
        <v>265000</v>
      </c>
      <c r="R1017" s="52">
        <f ca="1">SUMIFS(OUT!$F$2:$F$11000,OUT!$H$2:$H$11000,H1017,OUT!$D$2:$D$11000,"Out",OUT!$E$2:$E$11000,"Sedekah")</f>
        <v>5000</v>
      </c>
      <c r="S1017" s="52">
        <f ca="1">SUMIFS(OUT!$F$2:$F$11000,OUT!$H$2:$H$11000,H1017,OUT!$D$2:$D$11000,"Out",OUT!$E$2:$E$11000,"Zela")</f>
        <v>33400</v>
      </c>
      <c r="T1017" s="52">
        <f ca="1">SUMIFS(OUT!$F$2:$F$11000,OUT!$H$2:$H$11000,H1017,OUT!$D$2:$D$11000,"Out",OUT!$E$2:$E$11000,"Iqbal")</f>
        <v>232194</v>
      </c>
    </row>
    <row r="1018" spans="1:20" x14ac:dyDescent="0.2">
      <c r="A1018" s="48">
        <f ca="1">IFERROR(__xludf.DUMMYFUNCTION("""COMPUTED_VALUE"""),46199)</f>
        <v>46199</v>
      </c>
      <c r="B1018" s="4" t="str">
        <f ca="1">IFERROR(__xludf.DUMMYFUNCTION("""COMPUTED_VALUE"""),"pasar + parkir")</f>
        <v>pasar + parkir</v>
      </c>
      <c r="C1018" s="4" t="str">
        <f ca="1">IFERROR(__xludf.DUMMYFUNCTION("""COMPUTED_VALUE"""),"Cash")</f>
        <v>Cash</v>
      </c>
      <c r="D1018" s="4" t="str">
        <f ca="1">IFERROR(__xludf.DUMMYFUNCTION("""COMPUTED_VALUE"""),"Out")</f>
        <v>Out</v>
      </c>
      <c r="E1018" s="4" t="str">
        <f ca="1">IFERROR(__xludf.DUMMYFUNCTION("""COMPUTED_VALUE"""),"Kitchen")</f>
        <v>Kitchen</v>
      </c>
      <c r="F1018" s="49">
        <f ca="1">IFERROR(__xludf.DUMMYFUNCTION("""COMPUTED_VALUE"""),103600)</f>
        <v>103600</v>
      </c>
      <c r="G1018" s="50" t="str">
        <f ca="1">IFERROR(__xludf.DUMMYFUNCTION("""COMPUTED_VALUE"""),"Zela")</f>
        <v>Zela</v>
      </c>
      <c r="H1018" s="51">
        <f t="shared" ca="1" si="0"/>
        <v>46174</v>
      </c>
      <c r="I1018" s="52" t="e">
        <f ca="1">SUMIFS(OUT!$F$2:$F$11000,OUT!$H$2:$H$11000,H1018,OUT!$D$2:$D$101007,"In")</f>
        <v>#VALUE!</v>
      </c>
      <c r="J1018" s="52">
        <f ca="1">SUMIFS(OUT!$F$2:$F$11000,OUT!$H$2:$H$11000,H1018,OUT!$D$2:$D$11000,"Out")</f>
        <v>9155672</v>
      </c>
      <c r="K1018" s="52">
        <f ca="1">SUMIFS(OUT!$F$2:$F$11000,OUT!$H$2:$H$11000,H1018,OUT!$D$2:$D$11000,"Out",OUT!$E$2:$E$11000,"Fix")</f>
        <v>3084727</v>
      </c>
      <c r="L1018" s="52">
        <f ca="1">SUMIFS(OUT!$F$2:$F$11000,OUT!$H$2:$H$11000,H1018,OUT!$D$2:$D$11000,"Out",OUT!$E$2:$E$11000,"Bathroom")</f>
        <v>37500</v>
      </c>
      <c r="M1018" s="52">
        <f ca="1">SUMIFS(OUT!$F$2:$F$11000,OUT!$H$2:$H$11000,H1018,OUT!$D$2:$D$11000,"Out",OUT!$E$2:$E$11000,"Alfa")</f>
        <v>317864</v>
      </c>
      <c r="N1018" s="52" t="e">
        <f ca="1">SUMIFS(OUT!$F$2:$F$11000,OUT!$H$2:$H$101007,H1018,OUT!$D$2:$D$11000,"Out",OUT!$E$2:$E$11000,"Jajan")</f>
        <v>#VALUE!</v>
      </c>
      <c r="O1018" s="52">
        <f ca="1">SUMIFS(OUT!$F$2:$F$11000,OUT!$H$2:$H$11000,H1018,OUT!$D$2:$D$11000,"Out",OUT!$E$2:$E$11000,"Kitchen")</f>
        <v>985700</v>
      </c>
      <c r="P1018" s="52">
        <f ca="1">SUMIFS(OUT!$F$2:$F$11000,OUT!$H$2:$H$11000,H1018,OUT!$D$2:$D$11000,"Out",OUT!$E$2:$E$11000,"Loandry")</f>
        <v>21500</v>
      </c>
      <c r="Q1018" s="52">
        <f ca="1">SUMIFS(OUT!$F$2:$F$11000,OUT!$H$2:$H$11000,H1018,OUT!$D$2:$D$11000,"Out",OUT!$E$2:$E$11000,"Mio")</f>
        <v>265000</v>
      </c>
      <c r="R1018" s="52">
        <f ca="1">SUMIFS(OUT!$F$2:$F$11000,OUT!$H$2:$H$11000,H1018,OUT!$D$2:$D$11000,"Out",OUT!$E$2:$E$11000,"Sedekah")</f>
        <v>5000</v>
      </c>
      <c r="S1018" s="52">
        <f ca="1">SUMIFS(OUT!$F$2:$F$11000,OUT!$H$2:$H$11000,H1018,OUT!$D$2:$D$11000,"Out",OUT!$E$2:$E$11000,"Zela")</f>
        <v>33400</v>
      </c>
      <c r="T1018" s="52">
        <f ca="1">SUMIFS(OUT!$F$2:$F$11000,OUT!$H$2:$H$11000,H1018,OUT!$D$2:$D$11000,"Out",OUT!$E$2:$E$11000,"Iqbal")</f>
        <v>232194</v>
      </c>
    </row>
    <row r="1019" spans="1:20" x14ac:dyDescent="0.2">
      <c r="A1019" s="48">
        <f ca="1">IFERROR(__xludf.DUMMYFUNCTION("""COMPUTED_VALUE"""),46199)</f>
        <v>46199</v>
      </c>
      <c r="B1019" s="4" t="str">
        <f ca="1">IFERROR(__xludf.DUMMYFUNCTION("""COMPUTED_VALUE"""),"rokok")</f>
        <v>rokok</v>
      </c>
      <c r="C1019" s="4" t="str">
        <f ca="1">IFERROR(__xludf.DUMMYFUNCTION("""COMPUTED_VALUE"""),"Cash")</f>
        <v>Cash</v>
      </c>
      <c r="D1019" s="4" t="str">
        <f ca="1">IFERROR(__xludf.DUMMYFUNCTION("""COMPUTED_VALUE"""),"Out")</f>
        <v>Out</v>
      </c>
      <c r="E1019" s="4" t="str">
        <f ca="1">IFERROR(__xludf.DUMMYFUNCTION("""COMPUTED_VALUE"""),"Iqbal")</f>
        <v>Iqbal</v>
      </c>
      <c r="F1019" s="49">
        <f ca="1">IFERROR(__xludf.DUMMYFUNCTION("""COMPUTED_VALUE"""),15000)</f>
        <v>15000</v>
      </c>
      <c r="G1019" s="50" t="str">
        <f ca="1">IFERROR(__xludf.DUMMYFUNCTION("""COMPUTED_VALUE"""),"Zela")</f>
        <v>Zela</v>
      </c>
      <c r="H1019" s="51">
        <f t="shared" ca="1" si="0"/>
        <v>46174</v>
      </c>
      <c r="I1019" s="52" t="e">
        <f ca="1">SUMIFS(OUT!$F$2:$F$11000,OUT!$H$2:$H$11000,H1019,OUT!$D$2:$D$101007,"In")</f>
        <v>#VALUE!</v>
      </c>
      <c r="J1019" s="52">
        <f ca="1">SUMIFS(OUT!$F$2:$F$11000,OUT!$H$2:$H$11000,H1019,OUT!$D$2:$D$11000,"Out")</f>
        <v>9155672</v>
      </c>
      <c r="K1019" s="52">
        <f ca="1">SUMIFS(OUT!$F$2:$F$11000,OUT!$H$2:$H$11000,H1019,OUT!$D$2:$D$11000,"Out",OUT!$E$2:$E$11000,"Fix")</f>
        <v>3084727</v>
      </c>
      <c r="L1019" s="52">
        <f ca="1">SUMIFS(OUT!$F$2:$F$11000,OUT!$H$2:$H$11000,H1019,OUT!$D$2:$D$11000,"Out",OUT!$E$2:$E$11000,"Bathroom")</f>
        <v>37500</v>
      </c>
      <c r="M1019" s="52">
        <f ca="1">SUMIFS(OUT!$F$2:$F$11000,OUT!$H$2:$H$11000,H1019,OUT!$D$2:$D$11000,"Out",OUT!$E$2:$E$11000,"Alfa")</f>
        <v>317864</v>
      </c>
      <c r="N1019" s="52" t="e">
        <f ca="1">SUMIFS(OUT!$F$2:$F$11000,OUT!$H$2:$H$101007,H1019,OUT!$D$2:$D$11000,"Out",OUT!$E$2:$E$11000,"Jajan")</f>
        <v>#VALUE!</v>
      </c>
      <c r="O1019" s="52">
        <f ca="1">SUMIFS(OUT!$F$2:$F$11000,OUT!$H$2:$H$11000,H1019,OUT!$D$2:$D$11000,"Out",OUT!$E$2:$E$11000,"Kitchen")</f>
        <v>985700</v>
      </c>
      <c r="P1019" s="52">
        <f ca="1">SUMIFS(OUT!$F$2:$F$11000,OUT!$H$2:$H$11000,H1019,OUT!$D$2:$D$11000,"Out",OUT!$E$2:$E$11000,"Loandry")</f>
        <v>21500</v>
      </c>
      <c r="Q1019" s="52">
        <f ca="1">SUMIFS(OUT!$F$2:$F$11000,OUT!$H$2:$H$11000,H1019,OUT!$D$2:$D$11000,"Out",OUT!$E$2:$E$11000,"Mio")</f>
        <v>265000</v>
      </c>
      <c r="R1019" s="52">
        <f ca="1">SUMIFS(OUT!$F$2:$F$11000,OUT!$H$2:$H$11000,H1019,OUT!$D$2:$D$11000,"Out",OUT!$E$2:$E$11000,"Sedekah")</f>
        <v>5000</v>
      </c>
      <c r="S1019" s="52">
        <f ca="1">SUMIFS(OUT!$F$2:$F$11000,OUT!$H$2:$H$11000,H1019,OUT!$D$2:$D$11000,"Out",OUT!$E$2:$E$11000,"Zela")</f>
        <v>33400</v>
      </c>
      <c r="T1019" s="52">
        <f ca="1">SUMIFS(OUT!$F$2:$F$11000,OUT!$H$2:$H$11000,H1019,OUT!$D$2:$D$11000,"Out",OUT!$E$2:$E$11000,"Iqbal")</f>
        <v>232194</v>
      </c>
    </row>
    <row r="1020" spans="1:20" x14ac:dyDescent="0.2">
      <c r="A1020" s="48">
        <f ca="1">IFERROR(__xludf.DUMMYFUNCTION("""COMPUTED_VALUE"""),46200)</f>
        <v>46200</v>
      </c>
      <c r="B1020" s="4" t="str">
        <f ca="1">IFERROR(__xludf.DUMMYFUNCTION("""COMPUTED_VALUE"""),"Kue putu")</f>
        <v>Kue putu</v>
      </c>
      <c r="C1020" s="4" t="str">
        <f ca="1">IFERROR(__xludf.DUMMYFUNCTION("""COMPUTED_VALUE"""),"Cash")</f>
        <v>Cash</v>
      </c>
      <c r="D1020" s="4" t="str">
        <f ca="1">IFERROR(__xludf.DUMMYFUNCTION("""COMPUTED_VALUE"""),"Out")</f>
        <v>Out</v>
      </c>
      <c r="E1020" s="4" t="str">
        <f ca="1">IFERROR(__xludf.DUMMYFUNCTION("""COMPUTED_VALUE"""),"Jajan")</f>
        <v>Jajan</v>
      </c>
      <c r="F1020" s="49">
        <f ca="1">IFERROR(__xludf.DUMMYFUNCTION("""COMPUTED_VALUE"""),10000)</f>
        <v>10000</v>
      </c>
      <c r="G1020" s="50" t="str">
        <f ca="1">IFERROR(__xludf.DUMMYFUNCTION("""COMPUTED_VALUE"""),"Zela")</f>
        <v>Zela</v>
      </c>
      <c r="H1020" s="51">
        <f t="shared" ca="1" si="0"/>
        <v>46174</v>
      </c>
      <c r="I1020" s="52" t="e">
        <f ca="1">SUMIFS(OUT!$F$2:$F$11000,OUT!$H$2:$H$11000,H1020,OUT!$D$2:$D$101007,"In")</f>
        <v>#VALUE!</v>
      </c>
      <c r="J1020" s="52">
        <f ca="1">SUMIFS(OUT!$F$2:$F$11000,OUT!$H$2:$H$11000,H1020,OUT!$D$2:$D$11000,"Out")</f>
        <v>9155672</v>
      </c>
      <c r="K1020" s="52">
        <f ca="1">SUMIFS(OUT!$F$2:$F$11000,OUT!$H$2:$H$11000,H1020,OUT!$D$2:$D$11000,"Out",OUT!$E$2:$E$11000,"Fix")</f>
        <v>3084727</v>
      </c>
      <c r="L1020" s="52">
        <f ca="1">SUMIFS(OUT!$F$2:$F$11000,OUT!$H$2:$H$11000,H1020,OUT!$D$2:$D$11000,"Out",OUT!$E$2:$E$11000,"Bathroom")</f>
        <v>37500</v>
      </c>
      <c r="M1020" s="52">
        <f ca="1">SUMIFS(OUT!$F$2:$F$11000,OUT!$H$2:$H$11000,H1020,OUT!$D$2:$D$11000,"Out",OUT!$E$2:$E$11000,"Alfa")</f>
        <v>317864</v>
      </c>
      <c r="N1020" s="52" t="e">
        <f ca="1">SUMIFS(OUT!$F$2:$F$11000,OUT!$H$2:$H$101007,H1020,OUT!$D$2:$D$11000,"Out",OUT!$E$2:$E$11000,"Jajan")</f>
        <v>#VALUE!</v>
      </c>
      <c r="O1020" s="52">
        <f ca="1">SUMIFS(OUT!$F$2:$F$11000,OUT!$H$2:$H$11000,H1020,OUT!$D$2:$D$11000,"Out",OUT!$E$2:$E$11000,"Kitchen")</f>
        <v>985700</v>
      </c>
      <c r="P1020" s="52">
        <f ca="1">SUMIFS(OUT!$F$2:$F$11000,OUT!$H$2:$H$11000,H1020,OUT!$D$2:$D$11000,"Out",OUT!$E$2:$E$11000,"Loandry")</f>
        <v>21500</v>
      </c>
      <c r="Q1020" s="52">
        <f ca="1">SUMIFS(OUT!$F$2:$F$11000,OUT!$H$2:$H$11000,H1020,OUT!$D$2:$D$11000,"Out",OUT!$E$2:$E$11000,"Mio")</f>
        <v>265000</v>
      </c>
      <c r="R1020" s="52">
        <f ca="1">SUMIFS(OUT!$F$2:$F$11000,OUT!$H$2:$H$11000,H1020,OUT!$D$2:$D$11000,"Out",OUT!$E$2:$E$11000,"Sedekah")</f>
        <v>5000</v>
      </c>
      <c r="S1020" s="52">
        <f ca="1">SUMIFS(OUT!$F$2:$F$11000,OUT!$H$2:$H$11000,H1020,OUT!$D$2:$D$11000,"Out",OUT!$E$2:$E$11000,"Zela")</f>
        <v>33400</v>
      </c>
      <c r="T1020" s="52">
        <f ca="1">SUMIFS(OUT!$F$2:$F$11000,OUT!$H$2:$H$11000,H1020,OUT!$D$2:$D$11000,"Out",OUT!$E$2:$E$11000,"Iqbal")</f>
        <v>232194</v>
      </c>
    </row>
    <row r="1021" spans="1:20" x14ac:dyDescent="0.2">
      <c r="A1021" s="48">
        <f ca="1">IFERROR(__xludf.DUMMYFUNCTION("""COMPUTED_VALUE"""),46200)</f>
        <v>46200</v>
      </c>
      <c r="B1021" s="4" t="str">
        <f ca="1">IFERROR(__xludf.DUMMYFUNCTION("""COMPUTED_VALUE"""),"Gula ")</f>
        <v xml:space="preserve">Gula </v>
      </c>
      <c r="C1021" s="4" t="str">
        <f ca="1">IFERROR(__xludf.DUMMYFUNCTION("""COMPUTED_VALUE"""),"Cash")</f>
        <v>Cash</v>
      </c>
      <c r="D1021" s="4" t="str">
        <f ca="1">IFERROR(__xludf.DUMMYFUNCTION("""COMPUTED_VALUE"""),"Out")</f>
        <v>Out</v>
      </c>
      <c r="E1021" s="4" t="str">
        <f ca="1">IFERROR(__xludf.DUMMYFUNCTION("""COMPUTED_VALUE"""),"Kitchen")</f>
        <v>Kitchen</v>
      </c>
      <c r="F1021" s="49">
        <f ca="1">IFERROR(__xludf.DUMMYFUNCTION("""COMPUTED_VALUE"""),5000)</f>
        <v>5000</v>
      </c>
      <c r="G1021" s="50" t="str">
        <f ca="1">IFERROR(__xludf.DUMMYFUNCTION("""COMPUTED_VALUE"""),"Zela")</f>
        <v>Zela</v>
      </c>
      <c r="H1021" s="51">
        <f t="shared" ca="1" si="0"/>
        <v>46174</v>
      </c>
      <c r="I1021" s="52" t="e">
        <f ca="1">SUMIFS(OUT!$F$2:$F$11000,OUT!$H$2:$H$11000,H1021,OUT!$D$2:$D$101007,"In")</f>
        <v>#VALUE!</v>
      </c>
      <c r="J1021" s="52">
        <f ca="1">SUMIFS(OUT!$F$2:$F$11000,OUT!$H$2:$H$11000,H1021,OUT!$D$2:$D$11000,"Out")</f>
        <v>9155672</v>
      </c>
      <c r="K1021" s="52">
        <f ca="1">SUMIFS(OUT!$F$2:$F$11000,OUT!$H$2:$H$11000,H1021,OUT!$D$2:$D$11000,"Out",OUT!$E$2:$E$11000,"Fix")</f>
        <v>3084727</v>
      </c>
      <c r="L1021" s="52">
        <f ca="1">SUMIFS(OUT!$F$2:$F$11000,OUT!$H$2:$H$11000,H1021,OUT!$D$2:$D$11000,"Out",OUT!$E$2:$E$11000,"Bathroom")</f>
        <v>37500</v>
      </c>
      <c r="M1021" s="52">
        <f ca="1">SUMIFS(OUT!$F$2:$F$11000,OUT!$H$2:$H$11000,H1021,OUT!$D$2:$D$11000,"Out",OUT!$E$2:$E$11000,"Alfa")</f>
        <v>317864</v>
      </c>
      <c r="N1021" s="52" t="e">
        <f ca="1">SUMIFS(OUT!$F$2:$F$11000,OUT!$H$2:$H$101007,H1021,OUT!$D$2:$D$11000,"Out",OUT!$E$2:$E$11000,"Jajan")</f>
        <v>#VALUE!</v>
      </c>
      <c r="O1021" s="52">
        <f ca="1">SUMIFS(OUT!$F$2:$F$11000,OUT!$H$2:$H$11000,H1021,OUT!$D$2:$D$11000,"Out",OUT!$E$2:$E$11000,"Kitchen")</f>
        <v>985700</v>
      </c>
      <c r="P1021" s="52">
        <f ca="1">SUMIFS(OUT!$F$2:$F$11000,OUT!$H$2:$H$11000,H1021,OUT!$D$2:$D$11000,"Out",OUT!$E$2:$E$11000,"Loandry")</f>
        <v>21500</v>
      </c>
      <c r="Q1021" s="52">
        <f ca="1">SUMIFS(OUT!$F$2:$F$11000,OUT!$H$2:$H$11000,H1021,OUT!$D$2:$D$11000,"Out",OUT!$E$2:$E$11000,"Mio")</f>
        <v>265000</v>
      </c>
      <c r="R1021" s="52">
        <f ca="1">SUMIFS(OUT!$F$2:$F$11000,OUT!$H$2:$H$11000,H1021,OUT!$D$2:$D$11000,"Out",OUT!$E$2:$E$11000,"Sedekah")</f>
        <v>5000</v>
      </c>
      <c r="S1021" s="52">
        <f ca="1">SUMIFS(OUT!$F$2:$F$11000,OUT!$H$2:$H$11000,H1021,OUT!$D$2:$D$11000,"Out",OUT!$E$2:$E$11000,"Zela")</f>
        <v>33400</v>
      </c>
      <c r="T1021" s="52">
        <f ca="1">SUMIFS(OUT!$F$2:$F$11000,OUT!$H$2:$H$11000,H1021,OUT!$D$2:$D$11000,"Out",OUT!$E$2:$E$11000,"Iqbal")</f>
        <v>232194</v>
      </c>
    </row>
    <row r="1022" spans="1:20" x14ac:dyDescent="0.2">
      <c r="A1022" s="48">
        <f ca="1">IFERROR(__xludf.DUMMYFUNCTION("""COMPUTED_VALUE"""),46201)</f>
        <v>46201</v>
      </c>
      <c r="B1022" s="4" t="str">
        <f ca="1">IFERROR(__xludf.DUMMYFUNCTION("""COMPUTED_VALUE"""),"saldo Tiktok 2")</f>
        <v>saldo Tiktok 2</v>
      </c>
      <c r="C1022" s="4" t="str">
        <f ca="1">IFERROR(__xludf.DUMMYFUNCTION("""COMPUTED_VALUE"""),"ATM")</f>
        <v>ATM</v>
      </c>
      <c r="D1022" s="4" t="str">
        <f ca="1">IFERROR(__xludf.DUMMYFUNCTION("""COMPUTED_VALUE"""),"In")</f>
        <v>In</v>
      </c>
      <c r="E1022" s="4" t="str">
        <f ca="1">IFERROR(__xludf.DUMMYFUNCTION("""COMPUTED_VALUE"""),"Fix")</f>
        <v>Fix</v>
      </c>
      <c r="F1022" s="49">
        <f ca="1">IFERROR(__xludf.DUMMYFUNCTION("""COMPUTED_VALUE"""),65730)</f>
        <v>65730</v>
      </c>
      <c r="G1022" s="50" t="str">
        <f ca="1">IFERROR(__xludf.DUMMYFUNCTION("""COMPUTED_VALUE"""),"Zela")</f>
        <v>Zela</v>
      </c>
      <c r="H1022" s="51">
        <f t="shared" ca="1" si="0"/>
        <v>46174</v>
      </c>
      <c r="I1022" s="52" t="e">
        <f ca="1">SUMIFS(OUT!$F$2:$F$11000,OUT!$H$2:$H$11000,H1022,OUT!$D$2:$D$101007,"In")</f>
        <v>#VALUE!</v>
      </c>
      <c r="J1022" s="52">
        <f ca="1">SUMIFS(OUT!$F$2:$F$11000,OUT!$H$2:$H$11000,H1022,OUT!$D$2:$D$11000,"Out")</f>
        <v>9155672</v>
      </c>
      <c r="K1022" s="52">
        <f ca="1">SUMIFS(OUT!$F$2:$F$11000,OUT!$H$2:$H$11000,H1022,OUT!$D$2:$D$11000,"Out",OUT!$E$2:$E$11000,"Fix")</f>
        <v>3084727</v>
      </c>
      <c r="L1022" s="52">
        <f ca="1">SUMIFS(OUT!$F$2:$F$11000,OUT!$H$2:$H$11000,H1022,OUT!$D$2:$D$11000,"Out",OUT!$E$2:$E$11000,"Bathroom")</f>
        <v>37500</v>
      </c>
      <c r="M1022" s="52">
        <f ca="1">SUMIFS(OUT!$F$2:$F$11000,OUT!$H$2:$H$11000,H1022,OUT!$D$2:$D$11000,"Out",OUT!$E$2:$E$11000,"Alfa")</f>
        <v>317864</v>
      </c>
      <c r="N1022" s="52" t="e">
        <f ca="1">SUMIFS(OUT!$F$2:$F$11000,OUT!$H$2:$H$101007,H1022,OUT!$D$2:$D$11000,"Out",OUT!$E$2:$E$11000,"Jajan")</f>
        <v>#VALUE!</v>
      </c>
      <c r="O1022" s="52">
        <f ca="1">SUMIFS(OUT!$F$2:$F$11000,OUT!$H$2:$H$11000,H1022,OUT!$D$2:$D$11000,"Out",OUT!$E$2:$E$11000,"Kitchen")</f>
        <v>985700</v>
      </c>
      <c r="P1022" s="52">
        <f ca="1">SUMIFS(OUT!$F$2:$F$11000,OUT!$H$2:$H$11000,H1022,OUT!$D$2:$D$11000,"Out",OUT!$E$2:$E$11000,"Loandry")</f>
        <v>21500</v>
      </c>
      <c r="Q1022" s="52">
        <f ca="1">SUMIFS(OUT!$F$2:$F$11000,OUT!$H$2:$H$11000,H1022,OUT!$D$2:$D$11000,"Out",OUT!$E$2:$E$11000,"Mio")</f>
        <v>265000</v>
      </c>
      <c r="R1022" s="52">
        <f ca="1">SUMIFS(OUT!$F$2:$F$11000,OUT!$H$2:$H$11000,H1022,OUT!$D$2:$D$11000,"Out",OUT!$E$2:$E$11000,"Sedekah")</f>
        <v>5000</v>
      </c>
      <c r="S1022" s="52">
        <f ca="1">SUMIFS(OUT!$F$2:$F$11000,OUT!$H$2:$H$11000,H1022,OUT!$D$2:$D$11000,"Out",OUT!$E$2:$E$11000,"Zela")</f>
        <v>33400</v>
      </c>
      <c r="T1022" s="52">
        <f ca="1">SUMIFS(OUT!$F$2:$F$11000,OUT!$H$2:$H$11000,H1022,OUT!$D$2:$D$11000,"Out",OUT!$E$2:$E$11000,"Iqbal")</f>
        <v>232194</v>
      </c>
    </row>
    <row r="1023" spans="1:20" x14ac:dyDescent="0.2">
      <c r="A1023" s="48">
        <f ca="1">IFERROR(__xludf.DUMMYFUNCTION("""COMPUTED_VALUE"""),46201)</f>
        <v>46201</v>
      </c>
      <c r="B1023" s="4" t="str">
        <f ca="1">IFERROR(__xludf.DUMMYFUNCTION("""COMPUTED_VALUE"""),"Tarik Tunai ")</f>
        <v xml:space="preserve">Tarik Tunai </v>
      </c>
      <c r="C1023" s="4" t="str">
        <f ca="1">IFERROR(__xludf.DUMMYFUNCTION("""COMPUTED_VALUE"""),"ATM")</f>
        <v>ATM</v>
      </c>
      <c r="D1023" s="4" t="str">
        <f ca="1">IFERROR(__xludf.DUMMYFUNCTION("""COMPUTED_VALUE"""),"Out")</f>
        <v>Out</v>
      </c>
      <c r="E1023" s="4" t="str">
        <f ca="1">IFERROR(__xludf.DUMMYFUNCTION("""COMPUTED_VALUE"""),"Move")</f>
        <v>Move</v>
      </c>
      <c r="F1023" s="49">
        <f ca="1">IFERROR(__xludf.DUMMYFUNCTION("""COMPUTED_VALUE"""),100000)</f>
        <v>100000</v>
      </c>
      <c r="G1023" s="50" t="str">
        <f ca="1">IFERROR(__xludf.DUMMYFUNCTION("""COMPUTED_VALUE"""),"Zela")</f>
        <v>Zela</v>
      </c>
      <c r="H1023" s="51">
        <f t="shared" ca="1" si="0"/>
        <v>46174</v>
      </c>
      <c r="I1023" s="52" t="e">
        <f ca="1">SUMIFS(OUT!$F$2:$F$11000,OUT!$H$2:$H$11000,H1023,OUT!$D$2:$D$101007,"In")</f>
        <v>#VALUE!</v>
      </c>
      <c r="J1023" s="52">
        <f ca="1">SUMIFS(OUT!$F$2:$F$11000,OUT!$H$2:$H$11000,H1023,OUT!$D$2:$D$11000,"Out")</f>
        <v>9155672</v>
      </c>
      <c r="K1023" s="52">
        <f ca="1">SUMIFS(OUT!$F$2:$F$11000,OUT!$H$2:$H$11000,H1023,OUT!$D$2:$D$11000,"Out",OUT!$E$2:$E$11000,"Fix")</f>
        <v>3084727</v>
      </c>
      <c r="L1023" s="52">
        <f ca="1">SUMIFS(OUT!$F$2:$F$11000,OUT!$H$2:$H$11000,H1023,OUT!$D$2:$D$11000,"Out",OUT!$E$2:$E$11000,"Bathroom")</f>
        <v>37500</v>
      </c>
      <c r="M1023" s="52">
        <f ca="1">SUMIFS(OUT!$F$2:$F$11000,OUT!$H$2:$H$11000,H1023,OUT!$D$2:$D$11000,"Out",OUT!$E$2:$E$11000,"Alfa")</f>
        <v>317864</v>
      </c>
      <c r="N1023" s="52" t="e">
        <f ca="1">SUMIFS(OUT!$F$2:$F$11000,OUT!$H$2:$H$101007,H1023,OUT!$D$2:$D$11000,"Out",OUT!$E$2:$E$11000,"Jajan")</f>
        <v>#VALUE!</v>
      </c>
      <c r="O1023" s="52">
        <f ca="1">SUMIFS(OUT!$F$2:$F$11000,OUT!$H$2:$H$11000,H1023,OUT!$D$2:$D$11000,"Out",OUT!$E$2:$E$11000,"Kitchen")</f>
        <v>985700</v>
      </c>
      <c r="P1023" s="52">
        <f ca="1">SUMIFS(OUT!$F$2:$F$11000,OUT!$H$2:$H$11000,H1023,OUT!$D$2:$D$11000,"Out",OUT!$E$2:$E$11000,"Loandry")</f>
        <v>21500</v>
      </c>
      <c r="Q1023" s="52">
        <f ca="1">SUMIFS(OUT!$F$2:$F$11000,OUT!$H$2:$H$11000,H1023,OUT!$D$2:$D$11000,"Out",OUT!$E$2:$E$11000,"Mio")</f>
        <v>265000</v>
      </c>
      <c r="R1023" s="52">
        <f ca="1">SUMIFS(OUT!$F$2:$F$11000,OUT!$H$2:$H$11000,H1023,OUT!$D$2:$D$11000,"Out",OUT!$E$2:$E$11000,"Sedekah")</f>
        <v>5000</v>
      </c>
      <c r="S1023" s="52">
        <f ca="1">SUMIFS(OUT!$F$2:$F$11000,OUT!$H$2:$H$11000,H1023,OUT!$D$2:$D$11000,"Out",OUT!$E$2:$E$11000,"Zela")</f>
        <v>33400</v>
      </c>
      <c r="T1023" s="52">
        <f ca="1">SUMIFS(OUT!$F$2:$F$11000,OUT!$H$2:$H$11000,H1023,OUT!$D$2:$D$11000,"Out",OUT!$E$2:$E$11000,"Iqbal")</f>
        <v>232194</v>
      </c>
    </row>
    <row r="1024" spans="1:20" x14ac:dyDescent="0.2">
      <c r="A1024" s="48">
        <f ca="1">IFERROR(__xludf.DUMMYFUNCTION("""COMPUTED_VALUE"""),46201)</f>
        <v>46201</v>
      </c>
      <c r="B1024" s="4" t="str">
        <f ca="1">IFERROR(__xludf.DUMMYFUNCTION("""COMPUTED_VALUE"""),"Terima tunai ")</f>
        <v xml:space="preserve">Terima tunai </v>
      </c>
      <c r="C1024" s="4" t="str">
        <f ca="1">IFERROR(__xludf.DUMMYFUNCTION("""COMPUTED_VALUE"""),"Cash")</f>
        <v>Cash</v>
      </c>
      <c r="D1024" s="4" t="str">
        <f ca="1">IFERROR(__xludf.DUMMYFUNCTION("""COMPUTED_VALUE"""),"In")</f>
        <v>In</v>
      </c>
      <c r="E1024" s="4" t="str">
        <f ca="1">IFERROR(__xludf.DUMMYFUNCTION("""COMPUTED_VALUE"""),"Move")</f>
        <v>Move</v>
      </c>
      <c r="F1024" s="49">
        <f ca="1">IFERROR(__xludf.DUMMYFUNCTION("""COMPUTED_VALUE"""),100000)</f>
        <v>100000</v>
      </c>
      <c r="G1024" s="50" t="str">
        <f ca="1">IFERROR(__xludf.DUMMYFUNCTION("""COMPUTED_VALUE"""),"Zela")</f>
        <v>Zela</v>
      </c>
      <c r="H1024" s="51">
        <f t="shared" ca="1" si="0"/>
        <v>46174</v>
      </c>
      <c r="I1024" s="52" t="e">
        <f ca="1">SUMIFS(OUT!$F$2:$F$11000,OUT!$H$2:$H$11000,H1024,OUT!$D$2:$D$101007,"In")</f>
        <v>#VALUE!</v>
      </c>
      <c r="J1024" s="52">
        <f ca="1">SUMIFS(OUT!$F$2:$F$11000,OUT!$H$2:$H$11000,H1024,OUT!$D$2:$D$11000,"Out")</f>
        <v>9155672</v>
      </c>
      <c r="K1024" s="52">
        <f ca="1">SUMIFS(OUT!$F$2:$F$11000,OUT!$H$2:$H$11000,H1024,OUT!$D$2:$D$11000,"Out",OUT!$E$2:$E$11000,"Fix")</f>
        <v>3084727</v>
      </c>
      <c r="L1024" s="52">
        <f ca="1">SUMIFS(OUT!$F$2:$F$11000,OUT!$H$2:$H$11000,H1024,OUT!$D$2:$D$11000,"Out",OUT!$E$2:$E$11000,"Bathroom")</f>
        <v>37500</v>
      </c>
      <c r="M1024" s="52">
        <f ca="1">SUMIFS(OUT!$F$2:$F$11000,OUT!$H$2:$H$11000,H1024,OUT!$D$2:$D$11000,"Out",OUT!$E$2:$E$11000,"Alfa")</f>
        <v>317864</v>
      </c>
      <c r="N1024" s="52" t="e">
        <f ca="1">SUMIFS(OUT!$F$2:$F$11000,OUT!$H$2:$H$101007,H1024,OUT!$D$2:$D$11000,"Out",OUT!$E$2:$E$11000,"Jajan")</f>
        <v>#VALUE!</v>
      </c>
      <c r="O1024" s="52">
        <f ca="1">SUMIFS(OUT!$F$2:$F$11000,OUT!$H$2:$H$11000,H1024,OUT!$D$2:$D$11000,"Out",OUT!$E$2:$E$11000,"Kitchen")</f>
        <v>985700</v>
      </c>
      <c r="P1024" s="52">
        <f ca="1">SUMIFS(OUT!$F$2:$F$11000,OUT!$H$2:$H$11000,H1024,OUT!$D$2:$D$11000,"Out",OUT!$E$2:$E$11000,"Loandry")</f>
        <v>21500</v>
      </c>
      <c r="Q1024" s="52">
        <f ca="1">SUMIFS(OUT!$F$2:$F$11000,OUT!$H$2:$H$11000,H1024,OUT!$D$2:$D$11000,"Out",OUT!$E$2:$E$11000,"Mio")</f>
        <v>265000</v>
      </c>
      <c r="R1024" s="52">
        <f ca="1">SUMIFS(OUT!$F$2:$F$11000,OUT!$H$2:$H$11000,H1024,OUT!$D$2:$D$11000,"Out",OUT!$E$2:$E$11000,"Sedekah")</f>
        <v>5000</v>
      </c>
      <c r="S1024" s="52">
        <f ca="1">SUMIFS(OUT!$F$2:$F$11000,OUT!$H$2:$H$11000,H1024,OUT!$D$2:$D$11000,"Out",OUT!$E$2:$E$11000,"Zela")</f>
        <v>33400</v>
      </c>
      <c r="T1024" s="52">
        <f ca="1">SUMIFS(OUT!$F$2:$F$11000,OUT!$H$2:$H$11000,H1024,OUT!$D$2:$D$11000,"Out",OUT!$E$2:$E$11000,"Iqbal")</f>
        <v>232194</v>
      </c>
    </row>
    <row r="1025" spans="1:20" x14ac:dyDescent="0.2">
      <c r="A1025" s="48">
        <f ca="1">IFERROR(__xludf.DUMMYFUNCTION("""COMPUTED_VALUE"""),46201)</f>
        <v>46201</v>
      </c>
      <c r="B1025" s="4" t="str">
        <f ca="1">IFERROR(__xludf.DUMMYFUNCTION("""COMPUTED_VALUE"""),"Bensin Pertalite")</f>
        <v>Bensin Pertalite</v>
      </c>
      <c r="C1025" s="4" t="str">
        <f ca="1">IFERROR(__xludf.DUMMYFUNCTION("""COMPUTED_VALUE"""),"Cash")</f>
        <v>Cash</v>
      </c>
      <c r="D1025" s="4" t="str">
        <f ca="1">IFERROR(__xludf.DUMMYFUNCTION("""COMPUTED_VALUE"""),"Out")</f>
        <v>Out</v>
      </c>
      <c r="E1025" s="4" t="str">
        <f ca="1">IFERROR(__xludf.DUMMYFUNCTION("""COMPUTED_VALUE"""),"Mio")</f>
        <v>Mio</v>
      </c>
      <c r="F1025" s="49">
        <f ca="1">IFERROR(__xludf.DUMMYFUNCTION("""COMPUTED_VALUE"""),25000)</f>
        <v>25000</v>
      </c>
      <c r="G1025" s="50" t="str">
        <f ca="1">IFERROR(__xludf.DUMMYFUNCTION("""COMPUTED_VALUE"""),"Zela")</f>
        <v>Zela</v>
      </c>
      <c r="H1025" s="51">
        <f t="shared" ca="1" si="0"/>
        <v>46174</v>
      </c>
      <c r="I1025" s="52" t="e">
        <f ca="1">SUMIFS(OUT!$F$2:$F$11000,OUT!$H$2:$H$11000,H1025,OUT!$D$2:$D$101007,"In")</f>
        <v>#VALUE!</v>
      </c>
      <c r="J1025" s="52">
        <f ca="1">SUMIFS(OUT!$F$2:$F$11000,OUT!$H$2:$H$11000,H1025,OUT!$D$2:$D$11000,"Out")</f>
        <v>9155672</v>
      </c>
      <c r="K1025" s="52">
        <f ca="1">SUMIFS(OUT!$F$2:$F$11000,OUT!$H$2:$H$11000,H1025,OUT!$D$2:$D$11000,"Out",OUT!$E$2:$E$11000,"Fix")</f>
        <v>3084727</v>
      </c>
      <c r="L1025" s="52">
        <f ca="1">SUMIFS(OUT!$F$2:$F$11000,OUT!$H$2:$H$11000,H1025,OUT!$D$2:$D$11000,"Out",OUT!$E$2:$E$11000,"Bathroom")</f>
        <v>37500</v>
      </c>
      <c r="M1025" s="52">
        <f ca="1">SUMIFS(OUT!$F$2:$F$11000,OUT!$H$2:$H$11000,H1025,OUT!$D$2:$D$11000,"Out",OUT!$E$2:$E$11000,"Alfa")</f>
        <v>317864</v>
      </c>
      <c r="N1025" s="52" t="e">
        <f ca="1">SUMIFS(OUT!$F$2:$F$11000,OUT!$H$2:$H$101007,H1025,OUT!$D$2:$D$11000,"Out",OUT!$E$2:$E$11000,"Jajan")</f>
        <v>#VALUE!</v>
      </c>
      <c r="O1025" s="52">
        <f ca="1">SUMIFS(OUT!$F$2:$F$11000,OUT!$H$2:$H$11000,H1025,OUT!$D$2:$D$11000,"Out",OUT!$E$2:$E$11000,"Kitchen")</f>
        <v>985700</v>
      </c>
      <c r="P1025" s="52">
        <f ca="1">SUMIFS(OUT!$F$2:$F$11000,OUT!$H$2:$H$11000,H1025,OUT!$D$2:$D$11000,"Out",OUT!$E$2:$E$11000,"Loandry")</f>
        <v>21500</v>
      </c>
      <c r="Q1025" s="52">
        <f ca="1">SUMIFS(OUT!$F$2:$F$11000,OUT!$H$2:$H$11000,H1025,OUT!$D$2:$D$11000,"Out",OUT!$E$2:$E$11000,"Mio")</f>
        <v>265000</v>
      </c>
      <c r="R1025" s="52">
        <f ca="1">SUMIFS(OUT!$F$2:$F$11000,OUT!$H$2:$H$11000,H1025,OUT!$D$2:$D$11000,"Out",OUT!$E$2:$E$11000,"Sedekah")</f>
        <v>5000</v>
      </c>
      <c r="S1025" s="52">
        <f ca="1">SUMIFS(OUT!$F$2:$F$11000,OUT!$H$2:$H$11000,H1025,OUT!$D$2:$D$11000,"Out",OUT!$E$2:$E$11000,"Zela")</f>
        <v>33400</v>
      </c>
      <c r="T1025" s="52">
        <f ca="1">SUMIFS(OUT!$F$2:$F$11000,OUT!$H$2:$H$11000,H1025,OUT!$D$2:$D$11000,"Out",OUT!$E$2:$E$11000,"Iqbal")</f>
        <v>232194</v>
      </c>
    </row>
    <row r="1026" spans="1:20" x14ac:dyDescent="0.2">
      <c r="A1026" s="48">
        <f ca="1">IFERROR(__xludf.DUMMYFUNCTION("""COMPUTED_VALUE"""),46201)</f>
        <v>46201</v>
      </c>
      <c r="B1026" s="4" t="str">
        <f ca="1">IFERROR(__xludf.DUMMYFUNCTION("""COMPUTED_VALUE"""),"momoyo ")</f>
        <v xml:space="preserve">momoyo </v>
      </c>
      <c r="C1026" s="4" t="str">
        <f ca="1">IFERROR(__xludf.DUMMYFUNCTION("""COMPUTED_VALUE"""),"ATM")</f>
        <v>ATM</v>
      </c>
      <c r="D1026" s="4" t="str">
        <f ca="1">IFERROR(__xludf.DUMMYFUNCTION("""COMPUTED_VALUE"""),"Out")</f>
        <v>Out</v>
      </c>
      <c r="E1026" s="4" t="str">
        <f ca="1">IFERROR(__xludf.DUMMYFUNCTION("""COMPUTED_VALUE"""),"Jajan")</f>
        <v>Jajan</v>
      </c>
      <c r="F1026" s="49">
        <f ca="1">IFERROR(__xludf.DUMMYFUNCTION("""COMPUTED_VALUE"""),9900)</f>
        <v>9900</v>
      </c>
      <c r="G1026" s="50" t="str">
        <f ca="1">IFERROR(__xludf.DUMMYFUNCTION("""COMPUTED_VALUE"""),"Zela")</f>
        <v>Zela</v>
      </c>
      <c r="H1026" s="51">
        <f t="shared" ca="1" si="0"/>
        <v>46174</v>
      </c>
      <c r="I1026" s="52" t="e">
        <f ca="1">SUMIFS(OUT!$F$2:$F$11000,OUT!$H$2:$H$11000,H1026,OUT!$D$2:$D$101007,"In")</f>
        <v>#VALUE!</v>
      </c>
      <c r="J1026" s="52">
        <f ca="1">SUMIFS(OUT!$F$2:$F$11000,OUT!$H$2:$H$11000,H1026,OUT!$D$2:$D$11000,"Out")</f>
        <v>9155672</v>
      </c>
      <c r="K1026" s="52">
        <f ca="1">SUMIFS(OUT!$F$2:$F$11000,OUT!$H$2:$H$11000,H1026,OUT!$D$2:$D$11000,"Out",OUT!$E$2:$E$11000,"Fix")</f>
        <v>3084727</v>
      </c>
      <c r="L1026" s="52">
        <f ca="1">SUMIFS(OUT!$F$2:$F$11000,OUT!$H$2:$H$11000,H1026,OUT!$D$2:$D$11000,"Out",OUT!$E$2:$E$11000,"Bathroom")</f>
        <v>37500</v>
      </c>
      <c r="M1026" s="52">
        <f ca="1">SUMIFS(OUT!$F$2:$F$11000,OUT!$H$2:$H$11000,H1026,OUT!$D$2:$D$11000,"Out",OUT!$E$2:$E$11000,"Alfa")</f>
        <v>317864</v>
      </c>
      <c r="N1026" s="52" t="e">
        <f ca="1">SUMIFS(OUT!$F$2:$F$11000,OUT!$H$2:$H$101007,H1026,OUT!$D$2:$D$11000,"Out",OUT!$E$2:$E$11000,"Jajan")</f>
        <v>#VALUE!</v>
      </c>
      <c r="O1026" s="52">
        <f ca="1">SUMIFS(OUT!$F$2:$F$11000,OUT!$H$2:$H$11000,H1026,OUT!$D$2:$D$11000,"Out",OUT!$E$2:$E$11000,"Kitchen")</f>
        <v>985700</v>
      </c>
      <c r="P1026" s="52">
        <f ca="1">SUMIFS(OUT!$F$2:$F$11000,OUT!$H$2:$H$11000,H1026,OUT!$D$2:$D$11000,"Out",OUT!$E$2:$E$11000,"Loandry")</f>
        <v>21500</v>
      </c>
      <c r="Q1026" s="52">
        <f ca="1">SUMIFS(OUT!$F$2:$F$11000,OUT!$H$2:$H$11000,H1026,OUT!$D$2:$D$11000,"Out",OUT!$E$2:$E$11000,"Mio")</f>
        <v>265000</v>
      </c>
      <c r="R1026" s="52">
        <f ca="1">SUMIFS(OUT!$F$2:$F$11000,OUT!$H$2:$H$11000,H1026,OUT!$D$2:$D$11000,"Out",OUT!$E$2:$E$11000,"Sedekah")</f>
        <v>5000</v>
      </c>
      <c r="S1026" s="52">
        <f ca="1">SUMIFS(OUT!$F$2:$F$11000,OUT!$H$2:$H$11000,H1026,OUT!$D$2:$D$11000,"Out",OUT!$E$2:$E$11000,"Zela")</f>
        <v>33400</v>
      </c>
      <c r="T1026" s="52">
        <f ca="1">SUMIFS(OUT!$F$2:$F$11000,OUT!$H$2:$H$11000,H1026,OUT!$D$2:$D$11000,"Out",OUT!$E$2:$E$11000,"Iqbal")</f>
        <v>232194</v>
      </c>
    </row>
    <row r="1027" spans="1:20" x14ac:dyDescent="0.2">
      <c r="A1027" s="48">
        <f ca="1">IFERROR(__xludf.DUMMYFUNCTION("""COMPUTED_VALUE"""),46201)</f>
        <v>46201</v>
      </c>
      <c r="B1027" s="4" t="str">
        <f ca="1">IFERROR(__xludf.DUMMYFUNCTION("""COMPUTED_VALUE"""),"Sedekah ")</f>
        <v xml:space="preserve">Sedekah </v>
      </c>
      <c r="C1027" s="4" t="str">
        <f ca="1">IFERROR(__xludf.DUMMYFUNCTION("""COMPUTED_VALUE"""),"Cash")</f>
        <v>Cash</v>
      </c>
      <c r="D1027" s="4" t="str">
        <f ca="1">IFERROR(__xludf.DUMMYFUNCTION("""COMPUTED_VALUE"""),"Out")</f>
        <v>Out</v>
      </c>
      <c r="E1027" s="4" t="str">
        <f ca="1">IFERROR(__xludf.DUMMYFUNCTION("""COMPUTED_VALUE"""),"Sedekah")</f>
        <v>Sedekah</v>
      </c>
      <c r="F1027" s="49">
        <f ca="1">IFERROR(__xludf.DUMMYFUNCTION("""COMPUTED_VALUE"""),5000)</f>
        <v>5000</v>
      </c>
      <c r="G1027" s="50" t="str">
        <f ca="1">IFERROR(__xludf.DUMMYFUNCTION("""COMPUTED_VALUE"""),"Zela")</f>
        <v>Zela</v>
      </c>
      <c r="H1027" s="51">
        <f t="shared" ca="1" si="0"/>
        <v>46174</v>
      </c>
      <c r="I1027" s="52" t="e">
        <f ca="1">SUMIFS(OUT!$F$2:$F$11000,OUT!$H$2:$H$11000,H1027,OUT!$D$2:$D$101007,"In")</f>
        <v>#VALUE!</v>
      </c>
      <c r="J1027" s="52">
        <f ca="1">SUMIFS(OUT!$F$2:$F$11000,OUT!$H$2:$H$11000,H1027,OUT!$D$2:$D$11000,"Out")</f>
        <v>9155672</v>
      </c>
      <c r="K1027" s="52">
        <f ca="1">SUMIFS(OUT!$F$2:$F$11000,OUT!$H$2:$H$11000,H1027,OUT!$D$2:$D$11000,"Out",OUT!$E$2:$E$11000,"Fix")</f>
        <v>3084727</v>
      </c>
      <c r="L1027" s="52">
        <f ca="1">SUMIFS(OUT!$F$2:$F$11000,OUT!$H$2:$H$11000,H1027,OUT!$D$2:$D$11000,"Out",OUT!$E$2:$E$11000,"Bathroom")</f>
        <v>37500</v>
      </c>
      <c r="M1027" s="52">
        <f ca="1">SUMIFS(OUT!$F$2:$F$11000,OUT!$H$2:$H$11000,H1027,OUT!$D$2:$D$11000,"Out",OUT!$E$2:$E$11000,"Alfa")</f>
        <v>317864</v>
      </c>
      <c r="N1027" s="52" t="e">
        <f ca="1">SUMIFS(OUT!$F$2:$F$11000,OUT!$H$2:$H$101007,H1027,OUT!$D$2:$D$11000,"Out",OUT!$E$2:$E$11000,"Jajan")</f>
        <v>#VALUE!</v>
      </c>
      <c r="O1027" s="52">
        <f ca="1">SUMIFS(OUT!$F$2:$F$11000,OUT!$H$2:$H$11000,H1027,OUT!$D$2:$D$11000,"Out",OUT!$E$2:$E$11000,"Kitchen")</f>
        <v>985700</v>
      </c>
      <c r="P1027" s="52">
        <f ca="1">SUMIFS(OUT!$F$2:$F$11000,OUT!$H$2:$H$11000,H1027,OUT!$D$2:$D$11000,"Out",OUT!$E$2:$E$11000,"Loandry")</f>
        <v>21500</v>
      </c>
      <c r="Q1027" s="52">
        <f ca="1">SUMIFS(OUT!$F$2:$F$11000,OUT!$H$2:$H$11000,H1027,OUT!$D$2:$D$11000,"Out",OUT!$E$2:$E$11000,"Mio")</f>
        <v>265000</v>
      </c>
      <c r="R1027" s="52">
        <f ca="1">SUMIFS(OUT!$F$2:$F$11000,OUT!$H$2:$H$11000,H1027,OUT!$D$2:$D$11000,"Out",OUT!$E$2:$E$11000,"Sedekah")</f>
        <v>5000</v>
      </c>
      <c r="S1027" s="52">
        <f ca="1">SUMIFS(OUT!$F$2:$F$11000,OUT!$H$2:$H$11000,H1027,OUT!$D$2:$D$11000,"Out",OUT!$E$2:$E$11000,"Zela")</f>
        <v>33400</v>
      </c>
      <c r="T1027" s="52">
        <f ca="1">SUMIFS(OUT!$F$2:$F$11000,OUT!$H$2:$H$11000,H1027,OUT!$D$2:$D$11000,"Out",OUT!$E$2:$E$11000,"Iqbal")</f>
        <v>232194</v>
      </c>
    </row>
    <row r="1028" spans="1:20" x14ac:dyDescent="0.2">
      <c r="A1028" s="48">
        <f ca="1">IFERROR(__xludf.DUMMYFUNCTION("""COMPUTED_VALUE"""),46201)</f>
        <v>46201</v>
      </c>
      <c r="B1028" s="4" t="str">
        <f ca="1">IFERROR(__xludf.DUMMYFUNCTION("""COMPUTED_VALUE"""),"Teh tarik + Sempol+ Bola² ayam")</f>
        <v>Teh tarik + Sempol+ Bola² ayam</v>
      </c>
      <c r="C1028" s="4" t="str">
        <f ca="1">IFERROR(__xludf.DUMMYFUNCTION("""COMPUTED_VALUE"""),"Cash")</f>
        <v>Cash</v>
      </c>
      <c r="D1028" s="4" t="str">
        <f ca="1">IFERROR(__xludf.DUMMYFUNCTION("""COMPUTED_VALUE"""),"Out")</f>
        <v>Out</v>
      </c>
      <c r="E1028" s="4" t="str">
        <f ca="1">IFERROR(__xludf.DUMMYFUNCTION("""COMPUTED_VALUE"""),"Jajan")</f>
        <v>Jajan</v>
      </c>
      <c r="F1028" s="49">
        <f ca="1">IFERROR(__xludf.DUMMYFUNCTION("""COMPUTED_VALUE"""),30000)</f>
        <v>30000</v>
      </c>
      <c r="G1028" s="50" t="str">
        <f ca="1">IFERROR(__xludf.DUMMYFUNCTION("""COMPUTED_VALUE"""),"Zela")</f>
        <v>Zela</v>
      </c>
      <c r="H1028" s="51">
        <f t="shared" ca="1" si="0"/>
        <v>46174</v>
      </c>
      <c r="I1028" s="52" t="e">
        <f ca="1">SUMIFS(OUT!$F$2:$F$11000,OUT!$H$2:$H$11000,H1028,OUT!$D$2:$D$101007,"In")</f>
        <v>#VALUE!</v>
      </c>
      <c r="J1028" s="52">
        <f ca="1">SUMIFS(OUT!$F$2:$F$11000,OUT!$H$2:$H$11000,H1028,OUT!$D$2:$D$11000,"Out")</f>
        <v>9155672</v>
      </c>
      <c r="K1028" s="52">
        <f ca="1">SUMIFS(OUT!$F$2:$F$11000,OUT!$H$2:$H$11000,H1028,OUT!$D$2:$D$11000,"Out",OUT!$E$2:$E$11000,"Fix")</f>
        <v>3084727</v>
      </c>
      <c r="L1028" s="52">
        <f ca="1">SUMIFS(OUT!$F$2:$F$11000,OUT!$H$2:$H$11000,H1028,OUT!$D$2:$D$11000,"Out",OUT!$E$2:$E$11000,"Bathroom")</f>
        <v>37500</v>
      </c>
      <c r="M1028" s="52">
        <f ca="1">SUMIFS(OUT!$F$2:$F$11000,OUT!$H$2:$H$11000,H1028,OUT!$D$2:$D$11000,"Out",OUT!$E$2:$E$11000,"Alfa")</f>
        <v>317864</v>
      </c>
      <c r="N1028" s="52" t="e">
        <f ca="1">SUMIFS(OUT!$F$2:$F$11000,OUT!$H$2:$H$101007,H1028,OUT!$D$2:$D$11000,"Out",OUT!$E$2:$E$11000,"Jajan")</f>
        <v>#VALUE!</v>
      </c>
      <c r="O1028" s="52">
        <f ca="1">SUMIFS(OUT!$F$2:$F$11000,OUT!$H$2:$H$11000,H1028,OUT!$D$2:$D$11000,"Out",OUT!$E$2:$E$11000,"Kitchen")</f>
        <v>985700</v>
      </c>
      <c r="P1028" s="52">
        <f ca="1">SUMIFS(OUT!$F$2:$F$11000,OUT!$H$2:$H$11000,H1028,OUT!$D$2:$D$11000,"Out",OUT!$E$2:$E$11000,"Loandry")</f>
        <v>21500</v>
      </c>
      <c r="Q1028" s="52">
        <f ca="1">SUMIFS(OUT!$F$2:$F$11000,OUT!$H$2:$H$11000,H1028,OUT!$D$2:$D$11000,"Out",OUT!$E$2:$E$11000,"Mio")</f>
        <v>265000</v>
      </c>
      <c r="R1028" s="52">
        <f ca="1">SUMIFS(OUT!$F$2:$F$11000,OUT!$H$2:$H$11000,H1028,OUT!$D$2:$D$11000,"Out",OUT!$E$2:$E$11000,"Sedekah")</f>
        <v>5000</v>
      </c>
      <c r="S1028" s="52">
        <f ca="1">SUMIFS(OUT!$F$2:$F$11000,OUT!$H$2:$H$11000,H1028,OUT!$D$2:$D$11000,"Out",OUT!$E$2:$E$11000,"Zela")</f>
        <v>33400</v>
      </c>
      <c r="T1028" s="52">
        <f ca="1">SUMIFS(OUT!$F$2:$F$11000,OUT!$H$2:$H$11000,H1028,OUT!$D$2:$D$11000,"Out",OUT!$E$2:$E$11000,"Iqbal")</f>
        <v>232194</v>
      </c>
    </row>
    <row r="1029" spans="1:20" x14ac:dyDescent="0.2">
      <c r="A1029" s="48">
        <f ca="1">IFERROR(__xludf.DUMMYFUNCTION("""COMPUTED_VALUE"""),46202)</f>
        <v>46202</v>
      </c>
      <c r="B1029" s="4" t="str">
        <f ca="1">IFERROR(__xludf.DUMMYFUNCTION("""COMPUTED_VALUE"""),"Telor ")</f>
        <v xml:space="preserve">Telor </v>
      </c>
      <c r="C1029" s="4" t="str">
        <f ca="1">IFERROR(__xludf.DUMMYFUNCTION("""COMPUTED_VALUE"""),"Cash")</f>
        <v>Cash</v>
      </c>
      <c r="D1029" s="4" t="str">
        <f ca="1">IFERROR(__xludf.DUMMYFUNCTION("""COMPUTED_VALUE"""),"Out")</f>
        <v>Out</v>
      </c>
      <c r="E1029" s="4" t="str">
        <f ca="1">IFERROR(__xludf.DUMMYFUNCTION("""COMPUTED_VALUE"""),"Kitchen")</f>
        <v>Kitchen</v>
      </c>
      <c r="F1029" s="49">
        <f ca="1">IFERROR(__xludf.DUMMYFUNCTION("""COMPUTED_VALUE"""),10000)</f>
        <v>10000</v>
      </c>
      <c r="G1029" s="50" t="str">
        <f ca="1">IFERROR(__xludf.DUMMYFUNCTION("""COMPUTED_VALUE"""),"Zela")</f>
        <v>Zela</v>
      </c>
      <c r="H1029" s="51">
        <f t="shared" ca="1" si="0"/>
        <v>46174</v>
      </c>
      <c r="I1029" s="52" t="e">
        <f ca="1">SUMIFS(OUT!$F$2:$F$11000,OUT!$H$2:$H$11000,H1029,OUT!$D$2:$D$101007,"In")</f>
        <v>#VALUE!</v>
      </c>
      <c r="J1029" s="52">
        <f ca="1">SUMIFS(OUT!$F$2:$F$11000,OUT!$H$2:$H$11000,H1029,OUT!$D$2:$D$11000,"Out")</f>
        <v>9155672</v>
      </c>
      <c r="K1029" s="52">
        <f ca="1">SUMIFS(OUT!$F$2:$F$11000,OUT!$H$2:$H$11000,H1029,OUT!$D$2:$D$11000,"Out",OUT!$E$2:$E$11000,"Fix")</f>
        <v>3084727</v>
      </c>
      <c r="L1029" s="52">
        <f ca="1">SUMIFS(OUT!$F$2:$F$11000,OUT!$H$2:$H$11000,H1029,OUT!$D$2:$D$11000,"Out",OUT!$E$2:$E$11000,"Bathroom")</f>
        <v>37500</v>
      </c>
      <c r="M1029" s="52">
        <f ca="1">SUMIFS(OUT!$F$2:$F$11000,OUT!$H$2:$H$11000,H1029,OUT!$D$2:$D$11000,"Out",OUT!$E$2:$E$11000,"Alfa")</f>
        <v>317864</v>
      </c>
      <c r="N1029" s="52" t="e">
        <f ca="1">SUMIFS(OUT!$F$2:$F$11000,OUT!$H$2:$H$101007,H1029,OUT!$D$2:$D$11000,"Out",OUT!$E$2:$E$11000,"Jajan")</f>
        <v>#VALUE!</v>
      </c>
      <c r="O1029" s="52">
        <f ca="1">SUMIFS(OUT!$F$2:$F$11000,OUT!$H$2:$H$11000,H1029,OUT!$D$2:$D$11000,"Out",OUT!$E$2:$E$11000,"Kitchen")</f>
        <v>985700</v>
      </c>
      <c r="P1029" s="52">
        <f ca="1">SUMIFS(OUT!$F$2:$F$11000,OUT!$H$2:$H$11000,H1029,OUT!$D$2:$D$11000,"Out",OUT!$E$2:$E$11000,"Loandry")</f>
        <v>21500</v>
      </c>
      <c r="Q1029" s="52">
        <f ca="1">SUMIFS(OUT!$F$2:$F$11000,OUT!$H$2:$H$11000,H1029,OUT!$D$2:$D$11000,"Out",OUT!$E$2:$E$11000,"Mio")</f>
        <v>265000</v>
      </c>
      <c r="R1029" s="52">
        <f ca="1">SUMIFS(OUT!$F$2:$F$11000,OUT!$H$2:$H$11000,H1029,OUT!$D$2:$D$11000,"Out",OUT!$E$2:$E$11000,"Sedekah")</f>
        <v>5000</v>
      </c>
      <c r="S1029" s="52">
        <f ca="1">SUMIFS(OUT!$F$2:$F$11000,OUT!$H$2:$H$11000,H1029,OUT!$D$2:$D$11000,"Out",OUT!$E$2:$E$11000,"Zela")</f>
        <v>33400</v>
      </c>
      <c r="T1029" s="52">
        <f ca="1">SUMIFS(OUT!$F$2:$F$11000,OUT!$H$2:$H$11000,H1029,OUT!$D$2:$D$11000,"Out",OUT!$E$2:$E$11000,"Iqbal")</f>
        <v>232194</v>
      </c>
    </row>
    <row r="1030" spans="1:20" x14ac:dyDescent="0.2">
      <c r="A1030" s="48">
        <f ca="1">IFERROR(__xludf.DUMMYFUNCTION("""COMPUTED_VALUE"""),46202)</f>
        <v>46202</v>
      </c>
      <c r="B1030" s="4" t="str">
        <f ca="1">IFERROR(__xludf.DUMMYFUNCTION("""COMPUTED_VALUE"""),"salak + parkir + gorengan")</f>
        <v>salak + parkir + gorengan</v>
      </c>
      <c r="C1030" s="4" t="str">
        <f ca="1">IFERROR(__xludf.DUMMYFUNCTION("""COMPUTED_VALUE"""),"Cash")</f>
        <v>Cash</v>
      </c>
      <c r="D1030" s="4" t="str">
        <f ca="1">IFERROR(__xludf.DUMMYFUNCTION("""COMPUTED_VALUE"""),"Out")</f>
        <v>Out</v>
      </c>
      <c r="E1030" s="4" t="str">
        <f ca="1">IFERROR(__xludf.DUMMYFUNCTION("""COMPUTED_VALUE"""),"Jajan")</f>
        <v>Jajan</v>
      </c>
      <c r="F1030" s="49">
        <f ca="1">IFERROR(__xludf.DUMMYFUNCTION("""COMPUTED_VALUE"""),21000)</f>
        <v>21000</v>
      </c>
      <c r="G1030" s="50" t="str">
        <f ca="1">IFERROR(__xludf.DUMMYFUNCTION("""COMPUTED_VALUE"""),"Zela")</f>
        <v>Zela</v>
      </c>
      <c r="H1030" s="51">
        <f t="shared" ca="1" si="0"/>
        <v>46174</v>
      </c>
      <c r="I1030" s="52" t="e">
        <f ca="1">SUMIFS(OUT!$F$2:$F$11000,OUT!$H$2:$H$11000,H1030,OUT!$D$2:$D$101007,"In")</f>
        <v>#VALUE!</v>
      </c>
      <c r="J1030" s="52">
        <f ca="1">SUMIFS(OUT!$F$2:$F$11000,OUT!$H$2:$H$11000,H1030,OUT!$D$2:$D$11000,"Out")</f>
        <v>9155672</v>
      </c>
      <c r="K1030" s="52">
        <f ca="1">SUMIFS(OUT!$F$2:$F$11000,OUT!$H$2:$H$11000,H1030,OUT!$D$2:$D$11000,"Out",OUT!$E$2:$E$11000,"Fix")</f>
        <v>3084727</v>
      </c>
      <c r="L1030" s="52">
        <f ca="1">SUMIFS(OUT!$F$2:$F$11000,OUT!$H$2:$H$11000,H1030,OUT!$D$2:$D$11000,"Out",OUT!$E$2:$E$11000,"Bathroom")</f>
        <v>37500</v>
      </c>
      <c r="M1030" s="52">
        <f ca="1">SUMIFS(OUT!$F$2:$F$11000,OUT!$H$2:$H$11000,H1030,OUT!$D$2:$D$11000,"Out",OUT!$E$2:$E$11000,"Alfa")</f>
        <v>317864</v>
      </c>
      <c r="N1030" s="52" t="e">
        <f ca="1">SUMIFS(OUT!$F$2:$F$11000,OUT!$H$2:$H$101007,H1030,OUT!$D$2:$D$11000,"Out",OUT!$E$2:$E$11000,"Jajan")</f>
        <v>#VALUE!</v>
      </c>
      <c r="O1030" s="52">
        <f ca="1">SUMIFS(OUT!$F$2:$F$11000,OUT!$H$2:$H$11000,H1030,OUT!$D$2:$D$11000,"Out",OUT!$E$2:$E$11000,"Kitchen")</f>
        <v>985700</v>
      </c>
      <c r="P1030" s="52">
        <f ca="1">SUMIFS(OUT!$F$2:$F$11000,OUT!$H$2:$H$11000,H1030,OUT!$D$2:$D$11000,"Out",OUT!$E$2:$E$11000,"Loandry")</f>
        <v>21500</v>
      </c>
      <c r="Q1030" s="52">
        <f ca="1">SUMIFS(OUT!$F$2:$F$11000,OUT!$H$2:$H$11000,H1030,OUT!$D$2:$D$11000,"Out",OUT!$E$2:$E$11000,"Mio")</f>
        <v>265000</v>
      </c>
      <c r="R1030" s="52">
        <f ca="1">SUMIFS(OUT!$F$2:$F$11000,OUT!$H$2:$H$11000,H1030,OUT!$D$2:$D$11000,"Out",OUT!$E$2:$E$11000,"Sedekah")</f>
        <v>5000</v>
      </c>
      <c r="S1030" s="52">
        <f ca="1">SUMIFS(OUT!$F$2:$F$11000,OUT!$H$2:$H$11000,H1030,OUT!$D$2:$D$11000,"Out",OUT!$E$2:$E$11000,"Zela")</f>
        <v>33400</v>
      </c>
      <c r="T1030" s="52">
        <f ca="1">SUMIFS(OUT!$F$2:$F$11000,OUT!$H$2:$H$11000,H1030,OUT!$D$2:$D$11000,"Out",OUT!$E$2:$E$11000,"Iqbal")</f>
        <v>232194</v>
      </c>
    </row>
    <row r="1031" spans="1:20" x14ac:dyDescent="0.2">
      <c r="A1031" s="48">
        <f ca="1">IFERROR(__xludf.DUMMYFUNCTION("""COMPUTED_VALUE"""),46203)</f>
        <v>46203</v>
      </c>
      <c r="B1031" s="4" t="str">
        <f ca="1">IFERROR(__xludf.DUMMYFUNCTION("""COMPUTED_VALUE"""),"Saldo Tiktok")</f>
        <v>Saldo Tiktok</v>
      </c>
      <c r="C1031" s="4" t="str">
        <f ca="1">IFERROR(__xludf.DUMMYFUNCTION("""COMPUTED_VALUE"""),"ATM")</f>
        <v>ATM</v>
      </c>
      <c r="D1031" s="4" t="str">
        <f ca="1">IFERROR(__xludf.DUMMYFUNCTION("""COMPUTED_VALUE"""),"In")</f>
        <v>In</v>
      </c>
      <c r="E1031" s="4" t="str">
        <f ca="1">IFERROR(__xludf.DUMMYFUNCTION("""COMPUTED_VALUE"""),"Fix")</f>
        <v>Fix</v>
      </c>
      <c r="F1031" s="49">
        <f ca="1">IFERROR(__xludf.DUMMYFUNCTION("""COMPUTED_VALUE"""),14355)</f>
        <v>14355</v>
      </c>
      <c r="G1031" s="50" t="str">
        <f ca="1">IFERROR(__xludf.DUMMYFUNCTION("""COMPUTED_VALUE"""),"Zela")</f>
        <v>Zela</v>
      </c>
      <c r="H1031" s="51">
        <f t="shared" ca="1" si="0"/>
        <v>46174</v>
      </c>
      <c r="I1031" s="52" t="e">
        <f ca="1">SUMIFS(OUT!$F$2:$F$11000,OUT!$H$2:$H$11000,H1031,OUT!$D$2:$D$101007,"In")</f>
        <v>#VALUE!</v>
      </c>
      <c r="J1031" s="52">
        <f ca="1">SUMIFS(OUT!$F$2:$F$11000,OUT!$H$2:$H$11000,H1031,OUT!$D$2:$D$11000,"Out")</f>
        <v>9155672</v>
      </c>
      <c r="K1031" s="52">
        <f ca="1">SUMIFS(OUT!$F$2:$F$11000,OUT!$H$2:$H$11000,H1031,OUT!$D$2:$D$11000,"Out",OUT!$E$2:$E$11000,"Fix")</f>
        <v>3084727</v>
      </c>
      <c r="L1031" s="52">
        <f ca="1">SUMIFS(OUT!$F$2:$F$11000,OUT!$H$2:$H$11000,H1031,OUT!$D$2:$D$11000,"Out",OUT!$E$2:$E$11000,"Bathroom")</f>
        <v>37500</v>
      </c>
      <c r="M1031" s="52">
        <f ca="1">SUMIFS(OUT!$F$2:$F$11000,OUT!$H$2:$H$11000,H1031,OUT!$D$2:$D$11000,"Out",OUT!$E$2:$E$11000,"Alfa")</f>
        <v>317864</v>
      </c>
      <c r="N1031" s="52" t="e">
        <f ca="1">SUMIFS(OUT!$F$2:$F$11000,OUT!$H$2:$H$101007,H1031,OUT!$D$2:$D$11000,"Out",OUT!$E$2:$E$11000,"Jajan")</f>
        <v>#VALUE!</v>
      </c>
      <c r="O1031" s="52">
        <f ca="1">SUMIFS(OUT!$F$2:$F$11000,OUT!$H$2:$H$11000,H1031,OUT!$D$2:$D$11000,"Out",OUT!$E$2:$E$11000,"Kitchen")</f>
        <v>985700</v>
      </c>
      <c r="P1031" s="52">
        <f ca="1">SUMIFS(OUT!$F$2:$F$11000,OUT!$H$2:$H$11000,H1031,OUT!$D$2:$D$11000,"Out",OUT!$E$2:$E$11000,"Loandry")</f>
        <v>21500</v>
      </c>
      <c r="Q1031" s="52">
        <f ca="1">SUMIFS(OUT!$F$2:$F$11000,OUT!$H$2:$H$11000,H1031,OUT!$D$2:$D$11000,"Out",OUT!$E$2:$E$11000,"Mio")</f>
        <v>265000</v>
      </c>
      <c r="R1031" s="52">
        <f ca="1">SUMIFS(OUT!$F$2:$F$11000,OUT!$H$2:$H$11000,H1031,OUT!$D$2:$D$11000,"Out",OUT!$E$2:$E$11000,"Sedekah")</f>
        <v>5000</v>
      </c>
      <c r="S1031" s="52">
        <f ca="1">SUMIFS(OUT!$F$2:$F$11000,OUT!$H$2:$H$11000,H1031,OUT!$D$2:$D$11000,"Out",OUT!$E$2:$E$11000,"Zela")</f>
        <v>33400</v>
      </c>
      <c r="T1031" s="52">
        <f ca="1">SUMIFS(OUT!$F$2:$F$11000,OUT!$H$2:$H$11000,H1031,OUT!$D$2:$D$11000,"Out",OUT!$E$2:$E$11000,"Iqbal")</f>
        <v>232194</v>
      </c>
    </row>
    <row r="1032" spans="1:20" x14ac:dyDescent="0.2">
      <c r="A1032" s="48">
        <f ca="1">IFERROR(__xludf.DUMMYFUNCTION("""COMPUTED_VALUE"""),46203)</f>
        <v>46203</v>
      </c>
      <c r="B1032" s="4" t="str">
        <f ca="1">IFERROR(__xludf.DUMMYFUNCTION("""COMPUTED_VALUE"""),"Shopee")</f>
        <v>Shopee</v>
      </c>
      <c r="C1032" s="4" t="str">
        <f ca="1">IFERROR(__xludf.DUMMYFUNCTION("""COMPUTED_VALUE"""),"ATM")</f>
        <v>ATM</v>
      </c>
      <c r="D1032" s="4" t="str">
        <f ca="1">IFERROR(__xludf.DUMMYFUNCTION("""COMPUTED_VALUE"""),"Out")</f>
        <v>Out</v>
      </c>
      <c r="E1032" s="4" t="str">
        <f ca="1">IFERROR(__xludf.DUMMYFUNCTION("""COMPUTED_VALUE"""),"Fix")</f>
        <v>Fix</v>
      </c>
      <c r="F1032" s="49">
        <f ca="1">IFERROR(__xludf.DUMMYFUNCTION("""COMPUTED_VALUE"""),20500)</f>
        <v>20500</v>
      </c>
      <c r="G1032" s="50" t="str">
        <f ca="1">IFERROR(__xludf.DUMMYFUNCTION("""COMPUTED_VALUE"""),"Zela")</f>
        <v>Zela</v>
      </c>
      <c r="H1032" s="51">
        <f t="shared" ca="1" si="0"/>
        <v>46174</v>
      </c>
      <c r="I1032" s="52" t="e">
        <f ca="1">SUMIFS(OUT!$F$2:$F$11000,OUT!$H$2:$H$11000,H1032,OUT!$D$2:$D$101007,"In")</f>
        <v>#VALUE!</v>
      </c>
      <c r="J1032" s="52">
        <f ca="1">SUMIFS(OUT!$F$2:$F$11000,OUT!$H$2:$H$11000,H1032,OUT!$D$2:$D$11000,"Out")</f>
        <v>9155672</v>
      </c>
      <c r="K1032" s="52">
        <f ca="1">SUMIFS(OUT!$F$2:$F$11000,OUT!$H$2:$H$11000,H1032,OUT!$D$2:$D$11000,"Out",OUT!$E$2:$E$11000,"Fix")</f>
        <v>3084727</v>
      </c>
      <c r="L1032" s="52">
        <f ca="1">SUMIFS(OUT!$F$2:$F$11000,OUT!$H$2:$H$11000,H1032,OUT!$D$2:$D$11000,"Out",OUT!$E$2:$E$11000,"Bathroom")</f>
        <v>37500</v>
      </c>
      <c r="M1032" s="52">
        <f ca="1">SUMIFS(OUT!$F$2:$F$11000,OUT!$H$2:$H$11000,H1032,OUT!$D$2:$D$11000,"Out",OUT!$E$2:$E$11000,"Alfa")</f>
        <v>317864</v>
      </c>
      <c r="N1032" s="52" t="e">
        <f ca="1">SUMIFS(OUT!$F$2:$F$11000,OUT!$H$2:$H$101007,H1032,OUT!$D$2:$D$11000,"Out",OUT!$E$2:$E$11000,"Jajan")</f>
        <v>#VALUE!</v>
      </c>
      <c r="O1032" s="52">
        <f ca="1">SUMIFS(OUT!$F$2:$F$11000,OUT!$H$2:$H$11000,H1032,OUT!$D$2:$D$11000,"Out",OUT!$E$2:$E$11000,"Kitchen")</f>
        <v>985700</v>
      </c>
      <c r="P1032" s="52">
        <f ca="1">SUMIFS(OUT!$F$2:$F$11000,OUT!$H$2:$H$11000,H1032,OUT!$D$2:$D$11000,"Out",OUT!$E$2:$E$11000,"Loandry")</f>
        <v>21500</v>
      </c>
      <c r="Q1032" s="52">
        <f ca="1">SUMIFS(OUT!$F$2:$F$11000,OUT!$H$2:$H$11000,H1032,OUT!$D$2:$D$11000,"Out",OUT!$E$2:$E$11000,"Mio")</f>
        <v>265000</v>
      </c>
      <c r="R1032" s="52">
        <f ca="1">SUMIFS(OUT!$F$2:$F$11000,OUT!$H$2:$H$11000,H1032,OUT!$D$2:$D$11000,"Out",OUT!$E$2:$E$11000,"Sedekah")</f>
        <v>5000</v>
      </c>
      <c r="S1032" s="52">
        <f ca="1">SUMIFS(OUT!$F$2:$F$11000,OUT!$H$2:$H$11000,H1032,OUT!$D$2:$D$11000,"Out",OUT!$E$2:$E$11000,"Zela")</f>
        <v>33400</v>
      </c>
      <c r="T1032" s="52">
        <f ca="1">SUMIFS(OUT!$F$2:$F$11000,OUT!$H$2:$H$11000,H1032,OUT!$D$2:$D$11000,"Out",OUT!$E$2:$E$11000,"Iqbal")</f>
        <v>232194</v>
      </c>
    </row>
    <row r="1033" spans="1:20" x14ac:dyDescent="0.2">
      <c r="A1033" s="48">
        <f ca="1">IFERROR(__xludf.DUMMYFUNCTION("""COMPUTED_VALUE"""),46203)</f>
        <v>46203</v>
      </c>
      <c r="B1033" s="4" t="str">
        <f ca="1">IFERROR(__xludf.DUMMYFUNCTION("""COMPUTED_VALUE"""),"Saldo seabank")</f>
        <v>Saldo seabank</v>
      </c>
      <c r="C1033" s="4" t="str">
        <f ca="1">IFERROR(__xludf.DUMMYFUNCTION("""COMPUTED_VALUE"""),"ATM")</f>
        <v>ATM</v>
      </c>
      <c r="D1033" s="4" t="str">
        <f ca="1">IFERROR(__xludf.DUMMYFUNCTION("""COMPUTED_VALUE"""),"In")</f>
        <v>In</v>
      </c>
      <c r="E1033" s="4" t="str">
        <f ca="1">IFERROR(__xludf.DUMMYFUNCTION("""COMPUTED_VALUE"""),"Fix")</f>
        <v>Fix</v>
      </c>
      <c r="F1033" s="49">
        <f ca="1">IFERROR(__xludf.DUMMYFUNCTION("""COMPUTED_VALUE"""),22855)</f>
        <v>22855</v>
      </c>
      <c r="G1033" s="50" t="str">
        <f ca="1">IFERROR(__xludf.DUMMYFUNCTION("""COMPUTED_VALUE"""),"Zela")</f>
        <v>Zela</v>
      </c>
      <c r="H1033" s="51">
        <f t="shared" ca="1" si="0"/>
        <v>46174</v>
      </c>
      <c r="I1033" s="52" t="e">
        <f ca="1">SUMIFS(OUT!$F$2:$F$11000,OUT!$H$2:$H$11000,H1033,OUT!$D$2:$D$101007,"In")</f>
        <v>#VALUE!</v>
      </c>
      <c r="J1033" s="52">
        <f ca="1">SUMIFS(OUT!$F$2:$F$11000,OUT!$H$2:$H$11000,H1033,OUT!$D$2:$D$11000,"Out")</f>
        <v>9155672</v>
      </c>
      <c r="K1033" s="52">
        <f ca="1">SUMIFS(OUT!$F$2:$F$11000,OUT!$H$2:$H$11000,H1033,OUT!$D$2:$D$11000,"Out",OUT!$E$2:$E$11000,"Fix")</f>
        <v>3084727</v>
      </c>
      <c r="L1033" s="52">
        <f ca="1">SUMIFS(OUT!$F$2:$F$11000,OUT!$H$2:$H$11000,H1033,OUT!$D$2:$D$11000,"Out",OUT!$E$2:$E$11000,"Bathroom")</f>
        <v>37500</v>
      </c>
      <c r="M1033" s="52">
        <f ca="1">SUMIFS(OUT!$F$2:$F$11000,OUT!$H$2:$H$11000,H1033,OUT!$D$2:$D$11000,"Out",OUT!$E$2:$E$11000,"Alfa")</f>
        <v>317864</v>
      </c>
      <c r="N1033" s="52" t="e">
        <f ca="1">SUMIFS(OUT!$F$2:$F$11000,OUT!$H$2:$H$101007,H1033,OUT!$D$2:$D$11000,"Out",OUT!$E$2:$E$11000,"Jajan")</f>
        <v>#VALUE!</v>
      </c>
      <c r="O1033" s="52">
        <f ca="1">SUMIFS(OUT!$F$2:$F$11000,OUT!$H$2:$H$11000,H1033,OUT!$D$2:$D$11000,"Out",OUT!$E$2:$E$11000,"Kitchen")</f>
        <v>985700</v>
      </c>
      <c r="P1033" s="52">
        <f ca="1">SUMIFS(OUT!$F$2:$F$11000,OUT!$H$2:$H$11000,H1033,OUT!$D$2:$D$11000,"Out",OUT!$E$2:$E$11000,"Loandry")</f>
        <v>21500</v>
      </c>
      <c r="Q1033" s="52">
        <f ca="1">SUMIFS(OUT!$F$2:$F$11000,OUT!$H$2:$H$11000,H1033,OUT!$D$2:$D$11000,"Out",OUT!$E$2:$E$11000,"Mio")</f>
        <v>265000</v>
      </c>
      <c r="R1033" s="52">
        <f ca="1">SUMIFS(OUT!$F$2:$F$11000,OUT!$H$2:$H$11000,H1033,OUT!$D$2:$D$11000,"Out",OUT!$E$2:$E$11000,"Sedekah")</f>
        <v>5000</v>
      </c>
      <c r="S1033" s="52">
        <f ca="1">SUMIFS(OUT!$F$2:$F$11000,OUT!$H$2:$H$11000,H1033,OUT!$D$2:$D$11000,"Out",OUT!$E$2:$E$11000,"Zela")</f>
        <v>33400</v>
      </c>
      <c r="T1033" s="52">
        <f ca="1">SUMIFS(OUT!$F$2:$F$11000,OUT!$H$2:$H$11000,H1033,OUT!$D$2:$D$11000,"Out",OUT!$E$2:$E$11000,"Iqbal")</f>
        <v>232194</v>
      </c>
    </row>
    <row r="1034" spans="1:20" x14ac:dyDescent="0.2">
      <c r="A1034" s="48">
        <f ca="1">IFERROR(__xludf.DUMMYFUNCTION("""COMPUTED_VALUE"""),46203)</f>
        <v>46203</v>
      </c>
      <c r="B1034" s="4" t="str">
        <f ca="1">IFERROR(__xludf.DUMMYFUNCTION("""COMPUTED_VALUE""")," Top Up Shopee")</f>
        <v xml:space="preserve"> Top Up Shopee</v>
      </c>
      <c r="C1034" s="4" t="str">
        <f ca="1">IFERROR(__xludf.DUMMYFUNCTION("""COMPUTED_VALUE"""),"ATM")</f>
        <v>ATM</v>
      </c>
      <c r="D1034" s="4" t="str">
        <f ca="1">IFERROR(__xludf.DUMMYFUNCTION("""COMPUTED_VALUE"""),"Out")</f>
        <v>Out</v>
      </c>
      <c r="E1034" s="4" t="str">
        <f ca="1">IFERROR(__xludf.DUMMYFUNCTION("""COMPUTED_VALUE"""),"Fix")</f>
        <v>Fix</v>
      </c>
      <c r="F1034" s="49">
        <f ca="1">IFERROR(__xludf.DUMMYFUNCTION("""COMPUTED_VALUE"""),10000)</f>
        <v>10000</v>
      </c>
      <c r="G1034" s="50" t="str">
        <f ca="1">IFERROR(__xludf.DUMMYFUNCTION("""COMPUTED_VALUE"""),"Zela")</f>
        <v>Zela</v>
      </c>
      <c r="H1034" s="51">
        <f t="shared" ca="1" si="0"/>
        <v>46174</v>
      </c>
      <c r="I1034" s="52" t="e">
        <f ca="1">SUMIFS(OUT!$F$2:$F$11000,OUT!$H$2:$H$11000,H1034,OUT!$D$2:$D$101007,"In")</f>
        <v>#VALUE!</v>
      </c>
      <c r="J1034" s="52">
        <f ca="1">SUMIFS(OUT!$F$2:$F$11000,OUT!$H$2:$H$11000,H1034,OUT!$D$2:$D$11000,"Out")</f>
        <v>9155672</v>
      </c>
      <c r="K1034" s="52">
        <f ca="1">SUMIFS(OUT!$F$2:$F$11000,OUT!$H$2:$H$11000,H1034,OUT!$D$2:$D$11000,"Out",OUT!$E$2:$E$11000,"Fix")</f>
        <v>3084727</v>
      </c>
      <c r="L1034" s="52">
        <f ca="1">SUMIFS(OUT!$F$2:$F$11000,OUT!$H$2:$H$11000,H1034,OUT!$D$2:$D$11000,"Out",OUT!$E$2:$E$11000,"Bathroom")</f>
        <v>37500</v>
      </c>
      <c r="M1034" s="52">
        <f ca="1">SUMIFS(OUT!$F$2:$F$11000,OUT!$H$2:$H$11000,H1034,OUT!$D$2:$D$11000,"Out",OUT!$E$2:$E$11000,"Alfa")</f>
        <v>317864</v>
      </c>
      <c r="N1034" s="52" t="e">
        <f ca="1">SUMIFS(OUT!$F$2:$F$11000,OUT!$H$2:$H$101007,H1034,OUT!$D$2:$D$11000,"Out",OUT!$E$2:$E$11000,"Jajan")</f>
        <v>#VALUE!</v>
      </c>
      <c r="O1034" s="52">
        <f ca="1">SUMIFS(OUT!$F$2:$F$11000,OUT!$H$2:$H$11000,H1034,OUT!$D$2:$D$11000,"Out",OUT!$E$2:$E$11000,"Kitchen")</f>
        <v>985700</v>
      </c>
      <c r="P1034" s="52">
        <f ca="1">SUMIFS(OUT!$F$2:$F$11000,OUT!$H$2:$H$11000,H1034,OUT!$D$2:$D$11000,"Out",OUT!$E$2:$E$11000,"Loandry")</f>
        <v>21500</v>
      </c>
      <c r="Q1034" s="52">
        <f ca="1">SUMIFS(OUT!$F$2:$F$11000,OUT!$H$2:$H$11000,H1034,OUT!$D$2:$D$11000,"Out",OUT!$E$2:$E$11000,"Mio")</f>
        <v>265000</v>
      </c>
      <c r="R1034" s="52">
        <f ca="1">SUMIFS(OUT!$F$2:$F$11000,OUT!$H$2:$H$11000,H1034,OUT!$D$2:$D$11000,"Out",OUT!$E$2:$E$11000,"Sedekah")</f>
        <v>5000</v>
      </c>
      <c r="S1034" s="52">
        <f ca="1">SUMIFS(OUT!$F$2:$F$11000,OUT!$H$2:$H$11000,H1034,OUT!$D$2:$D$11000,"Out",OUT!$E$2:$E$11000,"Zela")</f>
        <v>33400</v>
      </c>
      <c r="T1034" s="52">
        <f ca="1">SUMIFS(OUT!$F$2:$F$11000,OUT!$H$2:$H$11000,H1034,OUT!$D$2:$D$11000,"Out",OUT!$E$2:$E$11000,"Iqbal")</f>
        <v>232194</v>
      </c>
    </row>
    <row r="1035" spans="1:20" x14ac:dyDescent="0.2">
      <c r="A1035" s="48">
        <f ca="1">IFERROR(__xludf.DUMMYFUNCTION("""COMPUTED_VALUE"""),46204)</f>
        <v>46204</v>
      </c>
      <c r="B1035" s="4" t="str">
        <f ca="1">IFERROR(__xludf.DUMMYFUNCTION("""COMPUTED_VALUE"""),"Suamiku ")</f>
        <v xml:space="preserve">Suamiku </v>
      </c>
      <c r="C1035" s="4" t="str">
        <f ca="1">IFERROR(__xludf.DUMMYFUNCTION("""COMPUTED_VALUE"""),"ATM")</f>
        <v>ATM</v>
      </c>
      <c r="D1035" s="4" t="str">
        <f ca="1">IFERROR(__xludf.DUMMYFUNCTION("""COMPUTED_VALUE"""),"In")</f>
        <v>In</v>
      </c>
      <c r="E1035" s="4" t="str">
        <f ca="1">IFERROR(__xludf.DUMMYFUNCTION("""COMPUTED_VALUE"""),"Fix")</f>
        <v>Fix</v>
      </c>
      <c r="F1035" s="49">
        <f ca="1">IFERROR(__xludf.DUMMYFUNCTION("""COMPUTED_VALUE"""),1495239)</f>
        <v>1495239</v>
      </c>
      <c r="G1035" s="50" t="str">
        <f ca="1">IFERROR(__xludf.DUMMYFUNCTION("""COMPUTED_VALUE"""),"Zela")</f>
        <v>Zela</v>
      </c>
      <c r="H1035" s="51">
        <f t="shared" ca="1" si="0"/>
        <v>46204</v>
      </c>
      <c r="I1035" s="52" t="e">
        <f ca="1">SUMIFS(OUT!$F$2:$F$11000,OUT!$H$2:$H$11000,H1035,OUT!$D$2:$D$101007,"In")</f>
        <v>#VALUE!</v>
      </c>
      <c r="J1035" s="52">
        <f ca="1">SUMIFS(OUT!$F$2:$F$11000,OUT!$H$2:$H$11000,H1035,OUT!$D$2:$D$11000,"Out")</f>
        <v>9905717</v>
      </c>
      <c r="K1035" s="52">
        <f ca="1">SUMIFS(OUT!$F$2:$F$11000,OUT!$H$2:$H$11000,H1035,OUT!$D$2:$D$11000,"Out",OUT!$E$2:$E$11000,"Fix")</f>
        <v>3048680</v>
      </c>
      <c r="L1035" s="52">
        <f ca="1">SUMIFS(OUT!$F$2:$F$11000,OUT!$H$2:$H$11000,H1035,OUT!$D$2:$D$11000,"Out",OUT!$E$2:$E$11000,"Bathroom")</f>
        <v>50720</v>
      </c>
      <c r="M1035" s="52">
        <f ca="1">SUMIFS(OUT!$F$2:$F$11000,OUT!$H$2:$H$11000,H1035,OUT!$D$2:$D$11000,"Out",OUT!$E$2:$E$11000,"Alfa")</f>
        <v>294200</v>
      </c>
      <c r="N1035" s="52" t="e">
        <f ca="1">SUMIFS(OUT!$F$2:$F$11000,OUT!$H$2:$H$101007,H1035,OUT!$D$2:$D$11000,"Out",OUT!$E$2:$E$11000,"Jajan")</f>
        <v>#VALUE!</v>
      </c>
      <c r="O1035" s="52">
        <f ca="1">SUMIFS(OUT!$F$2:$F$11000,OUT!$H$2:$H$11000,H1035,OUT!$D$2:$D$11000,"Out",OUT!$E$2:$E$11000,"Kitchen")</f>
        <v>1360773</v>
      </c>
      <c r="P1035" s="52">
        <f ca="1">SUMIFS(OUT!$F$2:$F$11000,OUT!$H$2:$H$11000,H1035,OUT!$D$2:$D$11000,"Out",OUT!$E$2:$E$11000,"Loandry")</f>
        <v>11000</v>
      </c>
      <c r="Q1035" s="52">
        <f ca="1">SUMIFS(OUT!$F$2:$F$11000,OUT!$H$2:$H$11000,H1035,OUT!$D$2:$D$11000,"Out",OUT!$E$2:$E$11000,"Mio")</f>
        <v>338500</v>
      </c>
      <c r="R1035" s="52">
        <f ca="1">SUMIFS(OUT!$F$2:$F$11000,OUT!$H$2:$H$11000,H1035,OUT!$D$2:$D$11000,"Out",OUT!$E$2:$E$11000,"Sedekah")</f>
        <v>2500</v>
      </c>
      <c r="S1035" s="52">
        <f ca="1">SUMIFS(OUT!$F$2:$F$11000,OUT!$H$2:$H$11000,H1035,OUT!$D$2:$D$11000,"Out",OUT!$E$2:$E$11000,"Zela")</f>
        <v>387476</v>
      </c>
      <c r="T1035" s="52">
        <f ca="1">SUMIFS(OUT!$F$2:$F$11000,OUT!$H$2:$H$11000,H1035,OUT!$D$2:$D$11000,"Out",OUT!$E$2:$E$11000,"Iqbal")</f>
        <v>231000</v>
      </c>
    </row>
    <row r="1036" spans="1:20" x14ac:dyDescent="0.2">
      <c r="A1036" s="48">
        <f ca="1">IFERROR(__xludf.DUMMYFUNCTION("""COMPUTED_VALUE"""),46204)</f>
        <v>46204</v>
      </c>
      <c r="B1036" s="4" t="str">
        <f ca="1">IFERROR(__xludf.DUMMYFUNCTION("""COMPUTED_VALUE"""),"Shopee ( minyak 2L+ berss 5 kg )")</f>
        <v>Shopee ( minyak 2L+ berss 5 kg )</v>
      </c>
      <c r="C1036" s="4" t="str">
        <f ca="1">IFERROR(__xludf.DUMMYFUNCTION("""COMPUTED_VALUE"""),"ATM")</f>
        <v>ATM</v>
      </c>
      <c r="D1036" s="4" t="str">
        <f ca="1">IFERROR(__xludf.DUMMYFUNCTION("""COMPUTED_VALUE"""),"Out")</f>
        <v>Out</v>
      </c>
      <c r="E1036" s="4" t="str">
        <f ca="1">IFERROR(__xludf.DUMMYFUNCTION("""COMPUTED_VALUE"""),"Kitchen")</f>
        <v>Kitchen</v>
      </c>
      <c r="F1036" s="49">
        <f ca="1">IFERROR(__xludf.DUMMYFUNCTION("""COMPUTED_VALUE"""),118000)</f>
        <v>118000</v>
      </c>
      <c r="G1036" s="50" t="str">
        <f ca="1">IFERROR(__xludf.DUMMYFUNCTION("""COMPUTED_VALUE"""),"Zela")</f>
        <v>Zela</v>
      </c>
      <c r="H1036" s="51">
        <f t="shared" ca="1" si="0"/>
        <v>46204</v>
      </c>
      <c r="I1036" s="52" t="e">
        <f ca="1">SUMIFS(OUT!$F$2:$F$11000,OUT!$H$2:$H$11000,H1036,OUT!$D$2:$D$101007,"In")</f>
        <v>#VALUE!</v>
      </c>
      <c r="J1036" s="52">
        <f ca="1">SUMIFS(OUT!$F$2:$F$11000,OUT!$H$2:$H$11000,H1036,OUT!$D$2:$D$11000,"Out")</f>
        <v>9905717</v>
      </c>
      <c r="K1036" s="52">
        <f ca="1">SUMIFS(OUT!$F$2:$F$11000,OUT!$H$2:$H$11000,H1036,OUT!$D$2:$D$11000,"Out",OUT!$E$2:$E$11000,"Fix")</f>
        <v>3048680</v>
      </c>
      <c r="L1036" s="52">
        <f ca="1">SUMIFS(OUT!$F$2:$F$11000,OUT!$H$2:$H$11000,H1036,OUT!$D$2:$D$11000,"Out",OUT!$E$2:$E$11000,"Bathroom")</f>
        <v>50720</v>
      </c>
      <c r="M1036" s="52">
        <f ca="1">SUMIFS(OUT!$F$2:$F$11000,OUT!$H$2:$H$11000,H1036,OUT!$D$2:$D$11000,"Out",OUT!$E$2:$E$11000,"Alfa")</f>
        <v>294200</v>
      </c>
      <c r="N1036" s="52" t="e">
        <f ca="1">SUMIFS(OUT!$F$2:$F$11000,OUT!$H$2:$H$101007,H1036,OUT!$D$2:$D$11000,"Out",OUT!$E$2:$E$11000,"Jajan")</f>
        <v>#VALUE!</v>
      </c>
      <c r="O1036" s="52">
        <f ca="1">SUMIFS(OUT!$F$2:$F$11000,OUT!$H$2:$H$11000,H1036,OUT!$D$2:$D$11000,"Out",OUT!$E$2:$E$11000,"Kitchen")</f>
        <v>1360773</v>
      </c>
      <c r="P1036" s="52">
        <f ca="1">SUMIFS(OUT!$F$2:$F$11000,OUT!$H$2:$H$11000,H1036,OUT!$D$2:$D$11000,"Out",OUT!$E$2:$E$11000,"Loandry")</f>
        <v>11000</v>
      </c>
      <c r="Q1036" s="52">
        <f ca="1">SUMIFS(OUT!$F$2:$F$11000,OUT!$H$2:$H$11000,H1036,OUT!$D$2:$D$11000,"Out",OUT!$E$2:$E$11000,"Mio")</f>
        <v>338500</v>
      </c>
      <c r="R1036" s="52">
        <f ca="1">SUMIFS(OUT!$F$2:$F$11000,OUT!$H$2:$H$11000,H1036,OUT!$D$2:$D$11000,"Out",OUT!$E$2:$E$11000,"Sedekah")</f>
        <v>2500</v>
      </c>
      <c r="S1036" s="52">
        <f ca="1">SUMIFS(OUT!$F$2:$F$11000,OUT!$H$2:$H$11000,H1036,OUT!$D$2:$D$11000,"Out",OUT!$E$2:$E$11000,"Zela")</f>
        <v>387476</v>
      </c>
      <c r="T1036" s="52">
        <f ca="1">SUMIFS(OUT!$F$2:$F$11000,OUT!$H$2:$H$11000,H1036,OUT!$D$2:$D$11000,"Out",OUT!$E$2:$E$11000,"Iqbal")</f>
        <v>231000</v>
      </c>
    </row>
    <row r="1037" spans="1:20" x14ac:dyDescent="0.2">
      <c r="A1037" s="48">
        <f ca="1">IFERROR(__xludf.DUMMYFUNCTION("""COMPUTED_VALUE"""),46204)</f>
        <v>46204</v>
      </c>
      <c r="B1037" s="4" t="str">
        <f ca="1">IFERROR(__xludf.DUMMYFUNCTION("""COMPUTED_VALUE"""),"trika + pembalut ")</f>
        <v xml:space="preserve">trika + pembalut </v>
      </c>
      <c r="C1037" s="4" t="str">
        <f ca="1">IFERROR(__xludf.DUMMYFUNCTION("""COMPUTED_VALUE"""),"ATM")</f>
        <v>ATM</v>
      </c>
      <c r="D1037" s="4" t="str">
        <f ca="1">IFERROR(__xludf.DUMMYFUNCTION("""COMPUTED_VALUE"""),"Out")</f>
        <v>Out</v>
      </c>
      <c r="E1037" s="4" t="str">
        <f ca="1">IFERROR(__xludf.DUMMYFUNCTION("""COMPUTED_VALUE"""),"Zela")</f>
        <v>Zela</v>
      </c>
      <c r="F1037" s="49">
        <f ca="1">IFERROR(__xludf.DUMMYFUNCTION("""COMPUTED_VALUE"""),14125)</f>
        <v>14125</v>
      </c>
      <c r="G1037" s="50" t="str">
        <f ca="1">IFERROR(__xludf.DUMMYFUNCTION("""COMPUTED_VALUE"""),"Zela")</f>
        <v>Zela</v>
      </c>
      <c r="H1037" s="51">
        <f t="shared" ca="1" si="0"/>
        <v>46204</v>
      </c>
      <c r="I1037" s="52" t="e">
        <f ca="1">SUMIFS(OUT!$F$2:$F$11000,OUT!$H$2:$H$11000,H1037,OUT!$D$2:$D$101007,"In")</f>
        <v>#VALUE!</v>
      </c>
      <c r="J1037" s="52">
        <f ca="1">SUMIFS(OUT!$F$2:$F$11000,OUT!$H$2:$H$11000,H1037,OUT!$D$2:$D$11000,"Out")</f>
        <v>9905717</v>
      </c>
      <c r="K1037" s="52">
        <f ca="1">SUMIFS(OUT!$F$2:$F$11000,OUT!$H$2:$H$11000,H1037,OUT!$D$2:$D$11000,"Out",OUT!$E$2:$E$11000,"Fix")</f>
        <v>3048680</v>
      </c>
      <c r="L1037" s="52">
        <f ca="1">SUMIFS(OUT!$F$2:$F$11000,OUT!$H$2:$H$11000,H1037,OUT!$D$2:$D$11000,"Out",OUT!$E$2:$E$11000,"Bathroom")</f>
        <v>50720</v>
      </c>
      <c r="M1037" s="52">
        <f ca="1">SUMIFS(OUT!$F$2:$F$11000,OUT!$H$2:$H$11000,H1037,OUT!$D$2:$D$11000,"Out",OUT!$E$2:$E$11000,"Alfa")</f>
        <v>294200</v>
      </c>
      <c r="N1037" s="52" t="e">
        <f ca="1">SUMIFS(OUT!$F$2:$F$11000,OUT!$H$2:$H$101007,H1037,OUT!$D$2:$D$11000,"Out",OUT!$E$2:$E$11000,"Jajan")</f>
        <v>#VALUE!</v>
      </c>
      <c r="O1037" s="52">
        <f ca="1">SUMIFS(OUT!$F$2:$F$11000,OUT!$H$2:$H$11000,H1037,OUT!$D$2:$D$11000,"Out",OUT!$E$2:$E$11000,"Kitchen")</f>
        <v>1360773</v>
      </c>
      <c r="P1037" s="52">
        <f ca="1">SUMIFS(OUT!$F$2:$F$11000,OUT!$H$2:$H$11000,H1037,OUT!$D$2:$D$11000,"Out",OUT!$E$2:$E$11000,"Loandry")</f>
        <v>11000</v>
      </c>
      <c r="Q1037" s="52">
        <f ca="1">SUMIFS(OUT!$F$2:$F$11000,OUT!$H$2:$H$11000,H1037,OUT!$D$2:$D$11000,"Out",OUT!$E$2:$E$11000,"Mio")</f>
        <v>338500</v>
      </c>
      <c r="R1037" s="52">
        <f ca="1">SUMIFS(OUT!$F$2:$F$11000,OUT!$H$2:$H$11000,H1037,OUT!$D$2:$D$11000,"Out",OUT!$E$2:$E$11000,"Sedekah")</f>
        <v>2500</v>
      </c>
      <c r="S1037" s="52">
        <f ca="1">SUMIFS(OUT!$F$2:$F$11000,OUT!$H$2:$H$11000,H1037,OUT!$D$2:$D$11000,"Out",OUT!$E$2:$E$11000,"Zela")</f>
        <v>387476</v>
      </c>
      <c r="T1037" s="52">
        <f ca="1">SUMIFS(OUT!$F$2:$F$11000,OUT!$H$2:$H$11000,H1037,OUT!$D$2:$D$11000,"Out",OUT!$E$2:$E$11000,"Iqbal")</f>
        <v>231000</v>
      </c>
    </row>
    <row r="1038" spans="1:20" x14ac:dyDescent="0.2">
      <c r="A1038" s="48">
        <f ca="1">IFERROR(__xludf.DUMMYFUNCTION("""COMPUTED_VALUE"""),46204)</f>
        <v>46204</v>
      </c>
      <c r="B1038" s="4" t="str">
        <f ca="1">IFERROR(__xludf.DUMMYFUNCTION("""COMPUTED_VALUE"""),"Paylater Tiktok Mei ")</f>
        <v xml:space="preserve">Paylater Tiktok Mei </v>
      </c>
      <c r="C1038" s="4" t="str">
        <f ca="1">IFERROR(__xludf.DUMMYFUNCTION("""COMPUTED_VALUE"""),"ATM")</f>
        <v>ATM</v>
      </c>
      <c r="D1038" s="4" t="str">
        <f ca="1">IFERROR(__xludf.DUMMYFUNCTION("""COMPUTED_VALUE"""),"Out")</f>
        <v>Out</v>
      </c>
      <c r="E1038" s="4" t="str">
        <f ca="1">IFERROR(__xludf.DUMMYFUNCTION("""COMPUTED_VALUE"""),"Zela")</f>
        <v>Zela</v>
      </c>
      <c r="F1038" s="49">
        <f ca="1">IFERROR(__xludf.DUMMYFUNCTION("""COMPUTED_VALUE"""),100000)</f>
        <v>100000</v>
      </c>
      <c r="G1038" s="50" t="str">
        <f ca="1">IFERROR(__xludf.DUMMYFUNCTION("""COMPUTED_VALUE"""),"Zela")</f>
        <v>Zela</v>
      </c>
      <c r="H1038" s="51">
        <f t="shared" ca="1" si="0"/>
        <v>46204</v>
      </c>
      <c r="I1038" s="52" t="e">
        <f ca="1">SUMIFS(OUT!$F$2:$F$11000,OUT!$H$2:$H$11000,H1038,OUT!$D$2:$D$101007,"In")</f>
        <v>#VALUE!</v>
      </c>
      <c r="J1038" s="52">
        <f ca="1">SUMIFS(OUT!$F$2:$F$11000,OUT!$H$2:$H$11000,H1038,OUT!$D$2:$D$11000,"Out")</f>
        <v>9905717</v>
      </c>
      <c r="K1038" s="52">
        <f ca="1">SUMIFS(OUT!$F$2:$F$11000,OUT!$H$2:$H$11000,H1038,OUT!$D$2:$D$11000,"Out",OUT!$E$2:$E$11000,"Fix")</f>
        <v>3048680</v>
      </c>
      <c r="L1038" s="52">
        <f ca="1">SUMIFS(OUT!$F$2:$F$11000,OUT!$H$2:$H$11000,H1038,OUT!$D$2:$D$11000,"Out",OUT!$E$2:$E$11000,"Bathroom")</f>
        <v>50720</v>
      </c>
      <c r="M1038" s="52">
        <f ca="1">SUMIFS(OUT!$F$2:$F$11000,OUT!$H$2:$H$11000,H1038,OUT!$D$2:$D$11000,"Out",OUT!$E$2:$E$11000,"Alfa")</f>
        <v>294200</v>
      </c>
      <c r="N1038" s="52" t="e">
        <f ca="1">SUMIFS(OUT!$F$2:$F$11000,OUT!$H$2:$H$101007,H1038,OUT!$D$2:$D$11000,"Out",OUT!$E$2:$E$11000,"Jajan")</f>
        <v>#VALUE!</v>
      </c>
      <c r="O1038" s="52">
        <f ca="1">SUMIFS(OUT!$F$2:$F$11000,OUT!$H$2:$H$11000,H1038,OUT!$D$2:$D$11000,"Out",OUT!$E$2:$E$11000,"Kitchen")</f>
        <v>1360773</v>
      </c>
      <c r="P1038" s="52">
        <f ca="1">SUMIFS(OUT!$F$2:$F$11000,OUT!$H$2:$H$11000,H1038,OUT!$D$2:$D$11000,"Out",OUT!$E$2:$E$11000,"Loandry")</f>
        <v>11000</v>
      </c>
      <c r="Q1038" s="52">
        <f ca="1">SUMIFS(OUT!$F$2:$F$11000,OUT!$H$2:$H$11000,H1038,OUT!$D$2:$D$11000,"Out",OUT!$E$2:$E$11000,"Mio")</f>
        <v>338500</v>
      </c>
      <c r="R1038" s="52">
        <f ca="1">SUMIFS(OUT!$F$2:$F$11000,OUT!$H$2:$H$11000,H1038,OUT!$D$2:$D$11000,"Out",OUT!$E$2:$E$11000,"Sedekah")</f>
        <v>2500</v>
      </c>
      <c r="S1038" s="52">
        <f ca="1">SUMIFS(OUT!$F$2:$F$11000,OUT!$H$2:$H$11000,H1038,OUT!$D$2:$D$11000,"Out",OUT!$E$2:$E$11000,"Zela")</f>
        <v>387476</v>
      </c>
      <c r="T1038" s="52">
        <f ca="1">SUMIFS(OUT!$F$2:$F$11000,OUT!$H$2:$H$11000,H1038,OUT!$D$2:$D$11000,"Out",OUT!$E$2:$E$11000,"Iqbal")</f>
        <v>231000</v>
      </c>
    </row>
    <row r="1039" spans="1:20" x14ac:dyDescent="0.2">
      <c r="A1039" s="48">
        <f ca="1">IFERROR(__xludf.DUMMYFUNCTION("""COMPUTED_VALUE"""),46204)</f>
        <v>46204</v>
      </c>
      <c r="B1039" s="4" t="str">
        <f ca="1">IFERROR(__xludf.DUMMYFUNCTION("""COMPUTED_VALUE"""),"susu+tisu")</f>
        <v>susu+tisu</v>
      </c>
      <c r="C1039" s="4" t="str">
        <f ca="1">IFERROR(__xludf.DUMMYFUNCTION("""COMPUTED_VALUE"""),"ATM")</f>
        <v>ATM</v>
      </c>
      <c r="D1039" s="4" t="str">
        <f ca="1">IFERROR(__xludf.DUMMYFUNCTION("""COMPUTED_VALUE"""),"Out")</f>
        <v>Out</v>
      </c>
      <c r="E1039" s="4" t="str">
        <f ca="1">IFERROR(__xludf.DUMMYFUNCTION("""COMPUTED_VALUE"""),"Alfa")</f>
        <v>Alfa</v>
      </c>
      <c r="F1039" s="49">
        <f ca="1">IFERROR(__xludf.DUMMYFUNCTION("""COMPUTED_VALUE"""),53000)</f>
        <v>53000</v>
      </c>
      <c r="G1039" s="50" t="str">
        <f ca="1">IFERROR(__xludf.DUMMYFUNCTION("""COMPUTED_VALUE"""),"Zela")</f>
        <v>Zela</v>
      </c>
      <c r="H1039" s="51">
        <f t="shared" ca="1" si="0"/>
        <v>46204</v>
      </c>
      <c r="I1039" s="52" t="e">
        <f ca="1">SUMIFS(OUT!$F$2:$F$11000,OUT!$H$2:$H$11000,H1039,OUT!$D$2:$D$101007,"In")</f>
        <v>#VALUE!</v>
      </c>
      <c r="J1039" s="52">
        <f ca="1">SUMIFS(OUT!$F$2:$F$11000,OUT!$H$2:$H$11000,H1039,OUT!$D$2:$D$11000,"Out")</f>
        <v>9905717</v>
      </c>
      <c r="K1039" s="52">
        <f ca="1">SUMIFS(OUT!$F$2:$F$11000,OUT!$H$2:$H$11000,H1039,OUT!$D$2:$D$11000,"Out",OUT!$E$2:$E$11000,"Fix")</f>
        <v>3048680</v>
      </c>
      <c r="L1039" s="52">
        <f ca="1">SUMIFS(OUT!$F$2:$F$11000,OUT!$H$2:$H$11000,H1039,OUT!$D$2:$D$11000,"Out",OUT!$E$2:$E$11000,"Bathroom")</f>
        <v>50720</v>
      </c>
      <c r="M1039" s="52">
        <f ca="1">SUMIFS(OUT!$F$2:$F$11000,OUT!$H$2:$H$11000,H1039,OUT!$D$2:$D$11000,"Out",OUT!$E$2:$E$11000,"Alfa")</f>
        <v>294200</v>
      </c>
      <c r="N1039" s="52" t="e">
        <f ca="1">SUMIFS(OUT!$F$2:$F$11000,OUT!$H$2:$H$101007,H1039,OUT!$D$2:$D$11000,"Out",OUT!$E$2:$E$11000,"Jajan")</f>
        <v>#VALUE!</v>
      </c>
      <c r="O1039" s="52">
        <f ca="1">SUMIFS(OUT!$F$2:$F$11000,OUT!$H$2:$H$11000,H1039,OUT!$D$2:$D$11000,"Out",OUT!$E$2:$E$11000,"Kitchen")</f>
        <v>1360773</v>
      </c>
      <c r="P1039" s="52">
        <f ca="1">SUMIFS(OUT!$F$2:$F$11000,OUT!$H$2:$H$11000,H1039,OUT!$D$2:$D$11000,"Out",OUT!$E$2:$E$11000,"Loandry")</f>
        <v>11000</v>
      </c>
      <c r="Q1039" s="52">
        <f ca="1">SUMIFS(OUT!$F$2:$F$11000,OUT!$H$2:$H$11000,H1039,OUT!$D$2:$D$11000,"Out",OUT!$E$2:$E$11000,"Mio")</f>
        <v>338500</v>
      </c>
      <c r="R1039" s="52">
        <f ca="1">SUMIFS(OUT!$F$2:$F$11000,OUT!$H$2:$H$11000,H1039,OUT!$D$2:$D$11000,"Out",OUT!$E$2:$E$11000,"Sedekah")</f>
        <v>2500</v>
      </c>
      <c r="S1039" s="52">
        <f ca="1">SUMIFS(OUT!$F$2:$F$11000,OUT!$H$2:$H$11000,H1039,OUT!$D$2:$D$11000,"Out",OUT!$E$2:$E$11000,"Zela")</f>
        <v>387476</v>
      </c>
      <c r="T1039" s="52">
        <f ca="1">SUMIFS(OUT!$F$2:$F$11000,OUT!$H$2:$H$11000,H1039,OUT!$D$2:$D$11000,"Out",OUT!$E$2:$E$11000,"Iqbal")</f>
        <v>231000</v>
      </c>
    </row>
    <row r="1040" spans="1:20" x14ac:dyDescent="0.2">
      <c r="A1040" s="48">
        <f ca="1">IFERROR(__xludf.DUMMYFUNCTION("""COMPUTED_VALUE"""),46204)</f>
        <v>46204</v>
      </c>
      <c r="B1040" s="4" t="str">
        <f ca="1">IFERROR(__xludf.DUMMYFUNCTION("""COMPUTED_VALUE"""),"pertalite")</f>
        <v>pertalite</v>
      </c>
      <c r="C1040" s="4" t="str">
        <f ca="1">IFERROR(__xludf.DUMMYFUNCTION("""COMPUTED_VALUE"""),"Cash")</f>
        <v>Cash</v>
      </c>
      <c r="D1040" s="4" t="str">
        <f ca="1">IFERROR(__xludf.DUMMYFUNCTION("""COMPUTED_VALUE"""),"Out")</f>
        <v>Out</v>
      </c>
      <c r="E1040" s="4" t="str">
        <f ca="1">IFERROR(__xludf.DUMMYFUNCTION("""COMPUTED_VALUE"""),"Mio")</f>
        <v>Mio</v>
      </c>
      <c r="F1040" s="49">
        <f ca="1">IFERROR(__xludf.DUMMYFUNCTION("""COMPUTED_VALUE"""),20000)</f>
        <v>20000</v>
      </c>
      <c r="G1040" s="50" t="str">
        <f ca="1">IFERROR(__xludf.DUMMYFUNCTION("""COMPUTED_VALUE"""),"Zela")</f>
        <v>Zela</v>
      </c>
      <c r="H1040" s="51">
        <f t="shared" ca="1" si="0"/>
        <v>46204</v>
      </c>
      <c r="I1040" s="52" t="e">
        <f ca="1">SUMIFS(OUT!$F$2:$F$11000,OUT!$H$2:$H$11000,H1040,OUT!$D$2:$D$101007,"In")</f>
        <v>#VALUE!</v>
      </c>
      <c r="J1040" s="52">
        <f ca="1">SUMIFS(OUT!$F$2:$F$11000,OUT!$H$2:$H$11000,H1040,OUT!$D$2:$D$11000,"Out")</f>
        <v>9905717</v>
      </c>
      <c r="K1040" s="52">
        <f ca="1">SUMIFS(OUT!$F$2:$F$11000,OUT!$H$2:$H$11000,H1040,OUT!$D$2:$D$11000,"Out",OUT!$E$2:$E$11000,"Fix")</f>
        <v>3048680</v>
      </c>
      <c r="L1040" s="52">
        <f ca="1">SUMIFS(OUT!$F$2:$F$11000,OUT!$H$2:$H$11000,H1040,OUT!$D$2:$D$11000,"Out",OUT!$E$2:$E$11000,"Bathroom")</f>
        <v>50720</v>
      </c>
      <c r="M1040" s="52">
        <f ca="1">SUMIFS(OUT!$F$2:$F$11000,OUT!$H$2:$H$11000,H1040,OUT!$D$2:$D$11000,"Out",OUT!$E$2:$E$11000,"Alfa")</f>
        <v>294200</v>
      </c>
      <c r="N1040" s="52" t="e">
        <f ca="1">SUMIFS(OUT!$F$2:$F$11000,OUT!$H$2:$H$101007,H1040,OUT!$D$2:$D$11000,"Out",OUT!$E$2:$E$11000,"Jajan")</f>
        <v>#VALUE!</v>
      </c>
      <c r="O1040" s="52">
        <f ca="1">SUMIFS(OUT!$F$2:$F$11000,OUT!$H$2:$H$11000,H1040,OUT!$D$2:$D$11000,"Out",OUT!$E$2:$E$11000,"Kitchen")</f>
        <v>1360773</v>
      </c>
      <c r="P1040" s="52">
        <f ca="1">SUMIFS(OUT!$F$2:$F$11000,OUT!$H$2:$H$11000,H1040,OUT!$D$2:$D$11000,"Out",OUT!$E$2:$E$11000,"Loandry")</f>
        <v>11000</v>
      </c>
      <c r="Q1040" s="52">
        <f ca="1">SUMIFS(OUT!$F$2:$F$11000,OUT!$H$2:$H$11000,H1040,OUT!$D$2:$D$11000,"Out",OUT!$E$2:$E$11000,"Mio")</f>
        <v>338500</v>
      </c>
      <c r="R1040" s="52">
        <f ca="1">SUMIFS(OUT!$F$2:$F$11000,OUT!$H$2:$H$11000,H1040,OUT!$D$2:$D$11000,"Out",OUT!$E$2:$E$11000,"Sedekah")</f>
        <v>2500</v>
      </c>
      <c r="S1040" s="52">
        <f ca="1">SUMIFS(OUT!$F$2:$F$11000,OUT!$H$2:$H$11000,H1040,OUT!$D$2:$D$11000,"Out",OUT!$E$2:$E$11000,"Zela")</f>
        <v>387476</v>
      </c>
      <c r="T1040" s="52">
        <f ca="1">SUMIFS(OUT!$F$2:$F$11000,OUT!$H$2:$H$11000,H1040,OUT!$D$2:$D$11000,"Out",OUT!$E$2:$E$11000,"Iqbal")</f>
        <v>231000</v>
      </c>
    </row>
    <row r="1041" spans="1:20" x14ac:dyDescent="0.2">
      <c r="A1041" s="48">
        <f ca="1">IFERROR(__xludf.DUMMYFUNCTION("""COMPUTED_VALUE"""),46203)</f>
        <v>46203</v>
      </c>
      <c r="B1041" s="4" t="str">
        <f ca="1">IFERROR(__xludf.DUMMYFUNCTION("""COMPUTED_VALUE"""),"parkir MTC")</f>
        <v>parkir MTC</v>
      </c>
      <c r="C1041" s="4" t="str">
        <f ca="1">IFERROR(__xludf.DUMMYFUNCTION("""COMPUTED_VALUE"""),"Cash")</f>
        <v>Cash</v>
      </c>
      <c r="D1041" s="4" t="str">
        <f ca="1">IFERROR(__xludf.DUMMYFUNCTION("""COMPUTED_VALUE"""),"Out")</f>
        <v>Out</v>
      </c>
      <c r="E1041" s="4" t="str">
        <f ca="1">IFERROR(__xludf.DUMMYFUNCTION("""COMPUTED_VALUE"""),"Jajan")</f>
        <v>Jajan</v>
      </c>
      <c r="F1041" s="49">
        <f ca="1">IFERROR(__xludf.DUMMYFUNCTION("""COMPUTED_VALUE"""),3000)</f>
        <v>3000</v>
      </c>
      <c r="G1041" s="50" t="str">
        <f ca="1">IFERROR(__xludf.DUMMYFUNCTION("""COMPUTED_VALUE"""),"Zela")</f>
        <v>Zela</v>
      </c>
      <c r="H1041" s="51">
        <f t="shared" ca="1" si="0"/>
        <v>46174</v>
      </c>
      <c r="I1041" s="52" t="e">
        <f ca="1">SUMIFS(OUT!$F$2:$F$11000,OUT!$H$2:$H$11000,H1041,OUT!$D$2:$D$101007,"In")</f>
        <v>#VALUE!</v>
      </c>
      <c r="J1041" s="52">
        <f ca="1">SUMIFS(OUT!$F$2:$F$11000,OUT!$H$2:$H$11000,H1041,OUT!$D$2:$D$11000,"Out")</f>
        <v>9155672</v>
      </c>
      <c r="K1041" s="52">
        <f ca="1">SUMIFS(OUT!$F$2:$F$11000,OUT!$H$2:$H$11000,H1041,OUT!$D$2:$D$11000,"Out",OUT!$E$2:$E$11000,"Fix")</f>
        <v>3084727</v>
      </c>
      <c r="L1041" s="52">
        <f ca="1">SUMIFS(OUT!$F$2:$F$11000,OUT!$H$2:$H$11000,H1041,OUT!$D$2:$D$11000,"Out",OUT!$E$2:$E$11000,"Bathroom")</f>
        <v>37500</v>
      </c>
      <c r="M1041" s="52">
        <f ca="1">SUMIFS(OUT!$F$2:$F$11000,OUT!$H$2:$H$11000,H1041,OUT!$D$2:$D$11000,"Out",OUT!$E$2:$E$11000,"Alfa")</f>
        <v>317864</v>
      </c>
      <c r="N1041" s="52" t="e">
        <f ca="1">SUMIFS(OUT!$F$2:$F$11000,OUT!$H$2:$H$101007,H1041,OUT!$D$2:$D$11000,"Out",OUT!$E$2:$E$11000,"Jajan")</f>
        <v>#VALUE!</v>
      </c>
      <c r="O1041" s="52">
        <f ca="1">SUMIFS(OUT!$F$2:$F$11000,OUT!$H$2:$H$11000,H1041,OUT!$D$2:$D$11000,"Out",OUT!$E$2:$E$11000,"Kitchen")</f>
        <v>985700</v>
      </c>
      <c r="P1041" s="52">
        <f ca="1">SUMIFS(OUT!$F$2:$F$11000,OUT!$H$2:$H$11000,H1041,OUT!$D$2:$D$11000,"Out",OUT!$E$2:$E$11000,"Loandry")</f>
        <v>21500</v>
      </c>
      <c r="Q1041" s="52">
        <f ca="1">SUMIFS(OUT!$F$2:$F$11000,OUT!$H$2:$H$11000,H1041,OUT!$D$2:$D$11000,"Out",OUT!$E$2:$E$11000,"Mio")</f>
        <v>265000</v>
      </c>
      <c r="R1041" s="52">
        <f ca="1">SUMIFS(OUT!$F$2:$F$11000,OUT!$H$2:$H$11000,H1041,OUT!$D$2:$D$11000,"Out",OUT!$E$2:$E$11000,"Sedekah")</f>
        <v>5000</v>
      </c>
      <c r="S1041" s="52">
        <f ca="1">SUMIFS(OUT!$F$2:$F$11000,OUT!$H$2:$H$11000,H1041,OUT!$D$2:$D$11000,"Out",OUT!$E$2:$E$11000,"Zela")</f>
        <v>33400</v>
      </c>
      <c r="T1041" s="52">
        <f ca="1">SUMIFS(OUT!$F$2:$F$11000,OUT!$H$2:$H$11000,H1041,OUT!$D$2:$D$11000,"Out",OUT!$E$2:$E$11000,"Iqbal")</f>
        <v>232194</v>
      </c>
    </row>
    <row r="1042" spans="1:20" x14ac:dyDescent="0.2">
      <c r="A1042" s="48">
        <f ca="1">IFERROR(__xludf.DUMMYFUNCTION("""COMPUTED_VALUE"""),46204)</f>
        <v>46204</v>
      </c>
      <c r="B1042" s="4" t="str">
        <f ca="1">IFERROR(__xludf.DUMMYFUNCTION("""COMPUTED_VALUE"""),"roti alfa")</f>
        <v>roti alfa</v>
      </c>
      <c r="C1042" s="4" t="str">
        <f ca="1">IFERROR(__xludf.DUMMYFUNCTION("""COMPUTED_VALUE"""),"Cash")</f>
        <v>Cash</v>
      </c>
      <c r="D1042" s="4" t="str">
        <f ca="1">IFERROR(__xludf.DUMMYFUNCTION("""COMPUTED_VALUE"""),"Out")</f>
        <v>Out</v>
      </c>
      <c r="E1042" s="4" t="str">
        <f ca="1">IFERROR(__xludf.DUMMYFUNCTION("""COMPUTED_VALUE"""),"Jajan")</f>
        <v>Jajan</v>
      </c>
      <c r="F1042" s="49">
        <f ca="1">IFERROR(__xludf.DUMMYFUNCTION("""COMPUTED_VALUE"""),2000)</f>
        <v>2000</v>
      </c>
      <c r="G1042" s="50" t="str">
        <f ca="1">IFERROR(__xludf.DUMMYFUNCTION("""COMPUTED_VALUE"""),"Zela")</f>
        <v>Zela</v>
      </c>
      <c r="H1042" s="51">
        <f t="shared" ca="1" si="0"/>
        <v>46204</v>
      </c>
      <c r="I1042" s="52" t="e">
        <f ca="1">SUMIFS(OUT!$F$2:$F$11000,OUT!$H$2:$H$11000,H1042,OUT!$D$2:$D$101007,"In")</f>
        <v>#VALUE!</v>
      </c>
      <c r="J1042" s="52">
        <f ca="1">SUMIFS(OUT!$F$2:$F$11000,OUT!$H$2:$H$11000,H1042,OUT!$D$2:$D$11000,"Out")</f>
        <v>9905717</v>
      </c>
      <c r="K1042" s="52">
        <f ca="1">SUMIFS(OUT!$F$2:$F$11000,OUT!$H$2:$H$11000,H1042,OUT!$D$2:$D$11000,"Out",OUT!$E$2:$E$11000,"Fix")</f>
        <v>3048680</v>
      </c>
      <c r="L1042" s="52">
        <f ca="1">SUMIFS(OUT!$F$2:$F$11000,OUT!$H$2:$H$11000,H1042,OUT!$D$2:$D$11000,"Out",OUT!$E$2:$E$11000,"Bathroom")</f>
        <v>50720</v>
      </c>
      <c r="M1042" s="52">
        <f ca="1">SUMIFS(OUT!$F$2:$F$11000,OUT!$H$2:$H$11000,H1042,OUT!$D$2:$D$11000,"Out",OUT!$E$2:$E$11000,"Alfa")</f>
        <v>294200</v>
      </c>
      <c r="N1042" s="52" t="e">
        <f ca="1">SUMIFS(OUT!$F$2:$F$11000,OUT!$H$2:$H$101007,H1042,OUT!$D$2:$D$11000,"Out",OUT!$E$2:$E$11000,"Jajan")</f>
        <v>#VALUE!</v>
      </c>
      <c r="O1042" s="52">
        <f ca="1">SUMIFS(OUT!$F$2:$F$11000,OUT!$H$2:$H$11000,H1042,OUT!$D$2:$D$11000,"Out",OUT!$E$2:$E$11000,"Kitchen")</f>
        <v>1360773</v>
      </c>
      <c r="P1042" s="52">
        <f ca="1">SUMIFS(OUT!$F$2:$F$11000,OUT!$H$2:$H$11000,H1042,OUT!$D$2:$D$11000,"Out",OUT!$E$2:$E$11000,"Loandry")</f>
        <v>11000</v>
      </c>
      <c r="Q1042" s="52">
        <f ca="1">SUMIFS(OUT!$F$2:$F$11000,OUT!$H$2:$H$11000,H1042,OUT!$D$2:$D$11000,"Out",OUT!$E$2:$E$11000,"Mio")</f>
        <v>338500</v>
      </c>
      <c r="R1042" s="52">
        <f ca="1">SUMIFS(OUT!$F$2:$F$11000,OUT!$H$2:$H$11000,H1042,OUT!$D$2:$D$11000,"Out",OUT!$E$2:$E$11000,"Sedekah")</f>
        <v>2500</v>
      </c>
      <c r="S1042" s="52">
        <f ca="1">SUMIFS(OUT!$F$2:$F$11000,OUT!$H$2:$H$11000,H1042,OUT!$D$2:$D$11000,"Out",OUT!$E$2:$E$11000,"Zela")</f>
        <v>387476</v>
      </c>
      <c r="T1042" s="52">
        <f ca="1">SUMIFS(OUT!$F$2:$F$11000,OUT!$H$2:$H$11000,H1042,OUT!$D$2:$D$11000,"Out",OUT!$E$2:$E$11000,"Iqbal")</f>
        <v>231000</v>
      </c>
    </row>
    <row r="1043" spans="1:20" x14ac:dyDescent="0.2">
      <c r="A1043" s="48">
        <f ca="1">IFERROR(__xludf.DUMMYFUNCTION("""COMPUTED_VALUE"""),46204)</f>
        <v>46204</v>
      </c>
      <c r="B1043" s="4" t="str">
        <f ca="1">IFERROR(__xludf.DUMMYFUNCTION("""COMPUTED_VALUE"""),"Tarik Tunai ")</f>
        <v xml:space="preserve">Tarik Tunai </v>
      </c>
      <c r="C1043" s="4" t="str">
        <f ca="1">IFERROR(__xludf.DUMMYFUNCTION("""COMPUTED_VALUE"""),"ATM")</f>
        <v>ATM</v>
      </c>
      <c r="D1043" s="4" t="str">
        <f ca="1">IFERROR(__xludf.DUMMYFUNCTION("""COMPUTED_VALUE"""),"Out")</f>
        <v>Out</v>
      </c>
      <c r="E1043" s="4" t="str">
        <f ca="1">IFERROR(__xludf.DUMMYFUNCTION("""COMPUTED_VALUE"""),"Move")</f>
        <v>Move</v>
      </c>
      <c r="F1043" s="49">
        <f ca="1">IFERROR(__xludf.DUMMYFUNCTION("""COMPUTED_VALUE"""),100000)</f>
        <v>100000</v>
      </c>
      <c r="G1043" s="50" t="str">
        <f ca="1">IFERROR(__xludf.DUMMYFUNCTION("""COMPUTED_VALUE"""),"Zela")</f>
        <v>Zela</v>
      </c>
      <c r="H1043" s="51">
        <f t="shared" ca="1" si="0"/>
        <v>46204</v>
      </c>
      <c r="I1043" s="52" t="e">
        <f ca="1">SUMIFS(OUT!$F$2:$F$11000,OUT!$H$2:$H$11000,H1043,OUT!$D$2:$D$101007,"In")</f>
        <v>#VALUE!</v>
      </c>
      <c r="J1043" s="52">
        <f ca="1">SUMIFS(OUT!$F$2:$F$11000,OUT!$H$2:$H$11000,H1043,OUT!$D$2:$D$11000,"Out")</f>
        <v>9905717</v>
      </c>
      <c r="K1043" s="52">
        <f ca="1">SUMIFS(OUT!$F$2:$F$11000,OUT!$H$2:$H$11000,H1043,OUT!$D$2:$D$11000,"Out",OUT!$E$2:$E$11000,"Fix")</f>
        <v>3048680</v>
      </c>
      <c r="L1043" s="52">
        <f ca="1">SUMIFS(OUT!$F$2:$F$11000,OUT!$H$2:$H$11000,H1043,OUT!$D$2:$D$11000,"Out",OUT!$E$2:$E$11000,"Bathroom")</f>
        <v>50720</v>
      </c>
      <c r="M1043" s="52">
        <f ca="1">SUMIFS(OUT!$F$2:$F$11000,OUT!$H$2:$H$11000,H1043,OUT!$D$2:$D$11000,"Out",OUT!$E$2:$E$11000,"Alfa")</f>
        <v>294200</v>
      </c>
      <c r="N1043" s="52" t="e">
        <f ca="1">SUMIFS(OUT!$F$2:$F$11000,OUT!$H$2:$H$101007,H1043,OUT!$D$2:$D$11000,"Out",OUT!$E$2:$E$11000,"Jajan")</f>
        <v>#VALUE!</v>
      </c>
      <c r="O1043" s="52">
        <f ca="1">SUMIFS(OUT!$F$2:$F$11000,OUT!$H$2:$H$11000,H1043,OUT!$D$2:$D$11000,"Out",OUT!$E$2:$E$11000,"Kitchen")</f>
        <v>1360773</v>
      </c>
      <c r="P1043" s="52">
        <f ca="1">SUMIFS(OUT!$F$2:$F$11000,OUT!$H$2:$H$11000,H1043,OUT!$D$2:$D$11000,"Out",OUT!$E$2:$E$11000,"Loandry")</f>
        <v>11000</v>
      </c>
      <c r="Q1043" s="52">
        <f ca="1">SUMIFS(OUT!$F$2:$F$11000,OUT!$H$2:$H$11000,H1043,OUT!$D$2:$D$11000,"Out",OUT!$E$2:$E$11000,"Mio")</f>
        <v>338500</v>
      </c>
      <c r="R1043" s="52">
        <f ca="1">SUMIFS(OUT!$F$2:$F$11000,OUT!$H$2:$H$11000,H1043,OUT!$D$2:$D$11000,"Out",OUT!$E$2:$E$11000,"Sedekah")</f>
        <v>2500</v>
      </c>
      <c r="S1043" s="52">
        <f ca="1">SUMIFS(OUT!$F$2:$F$11000,OUT!$H$2:$H$11000,H1043,OUT!$D$2:$D$11000,"Out",OUT!$E$2:$E$11000,"Zela")</f>
        <v>387476</v>
      </c>
      <c r="T1043" s="52">
        <f ca="1">SUMIFS(OUT!$F$2:$F$11000,OUT!$H$2:$H$11000,H1043,OUT!$D$2:$D$11000,"Out",OUT!$E$2:$E$11000,"Iqbal")</f>
        <v>231000</v>
      </c>
    </row>
    <row r="1044" spans="1:20" x14ac:dyDescent="0.2">
      <c r="A1044" s="48">
        <f ca="1">IFERROR(__xludf.DUMMYFUNCTION("""COMPUTED_VALUE"""),46204)</f>
        <v>46204</v>
      </c>
      <c r="B1044" s="4" t="str">
        <f ca="1">IFERROR(__xludf.DUMMYFUNCTION("""COMPUTED_VALUE"""),"Terima Tunai ")</f>
        <v xml:space="preserve">Terima Tunai </v>
      </c>
      <c r="C1044" s="4" t="str">
        <f ca="1">IFERROR(__xludf.DUMMYFUNCTION("""COMPUTED_VALUE"""),"Cash")</f>
        <v>Cash</v>
      </c>
      <c r="D1044" s="4" t="str">
        <f ca="1">IFERROR(__xludf.DUMMYFUNCTION("""COMPUTED_VALUE"""),"In")</f>
        <v>In</v>
      </c>
      <c r="E1044" s="4" t="str">
        <f ca="1">IFERROR(__xludf.DUMMYFUNCTION("""COMPUTED_VALUE"""),"Move")</f>
        <v>Move</v>
      </c>
      <c r="F1044" s="49">
        <f ca="1">IFERROR(__xludf.DUMMYFUNCTION("""COMPUTED_VALUE"""),100000)</f>
        <v>100000</v>
      </c>
      <c r="G1044" s="50" t="str">
        <f ca="1">IFERROR(__xludf.DUMMYFUNCTION("""COMPUTED_VALUE"""),"Zela")</f>
        <v>Zela</v>
      </c>
      <c r="H1044" s="51">
        <f t="shared" ca="1" si="0"/>
        <v>46204</v>
      </c>
      <c r="I1044" s="52" t="e">
        <f ca="1">SUMIFS(OUT!$F$2:$F$11000,OUT!$H$2:$H$11000,H1044,OUT!$D$2:$D$101007,"In")</f>
        <v>#VALUE!</v>
      </c>
      <c r="J1044" s="52">
        <f ca="1">SUMIFS(OUT!$F$2:$F$11000,OUT!$H$2:$H$11000,H1044,OUT!$D$2:$D$11000,"Out")</f>
        <v>9905717</v>
      </c>
      <c r="K1044" s="52">
        <f ca="1">SUMIFS(OUT!$F$2:$F$11000,OUT!$H$2:$H$11000,H1044,OUT!$D$2:$D$11000,"Out",OUT!$E$2:$E$11000,"Fix")</f>
        <v>3048680</v>
      </c>
      <c r="L1044" s="52">
        <f ca="1">SUMIFS(OUT!$F$2:$F$11000,OUT!$H$2:$H$11000,H1044,OUT!$D$2:$D$11000,"Out",OUT!$E$2:$E$11000,"Bathroom")</f>
        <v>50720</v>
      </c>
      <c r="M1044" s="52">
        <f ca="1">SUMIFS(OUT!$F$2:$F$11000,OUT!$H$2:$H$11000,H1044,OUT!$D$2:$D$11000,"Out",OUT!$E$2:$E$11000,"Alfa")</f>
        <v>294200</v>
      </c>
      <c r="N1044" s="52" t="e">
        <f ca="1">SUMIFS(OUT!$F$2:$F$11000,OUT!$H$2:$H$101007,H1044,OUT!$D$2:$D$11000,"Out",OUT!$E$2:$E$11000,"Jajan")</f>
        <v>#VALUE!</v>
      </c>
      <c r="O1044" s="52">
        <f ca="1">SUMIFS(OUT!$F$2:$F$11000,OUT!$H$2:$H$11000,H1044,OUT!$D$2:$D$11000,"Out",OUT!$E$2:$E$11000,"Kitchen")</f>
        <v>1360773</v>
      </c>
      <c r="P1044" s="52">
        <f ca="1">SUMIFS(OUT!$F$2:$F$11000,OUT!$H$2:$H$11000,H1044,OUT!$D$2:$D$11000,"Out",OUT!$E$2:$E$11000,"Loandry")</f>
        <v>11000</v>
      </c>
      <c r="Q1044" s="52">
        <f ca="1">SUMIFS(OUT!$F$2:$F$11000,OUT!$H$2:$H$11000,H1044,OUT!$D$2:$D$11000,"Out",OUT!$E$2:$E$11000,"Mio")</f>
        <v>338500</v>
      </c>
      <c r="R1044" s="52">
        <f ca="1">SUMIFS(OUT!$F$2:$F$11000,OUT!$H$2:$H$11000,H1044,OUT!$D$2:$D$11000,"Out",OUT!$E$2:$E$11000,"Sedekah")</f>
        <v>2500</v>
      </c>
      <c r="S1044" s="52">
        <f ca="1">SUMIFS(OUT!$F$2:$F$11000,OUT!$H$2:$H$11000,H1044,OUT!$D$2:$D$11000,"Out",OUT!$E$2:$E$11000,"Zela")</f>
        <v>387476</v>
      </c>
      <c r="T1044" s="52">
        <f ca="1">SUMIFS(OUT!$F$2:$F$11000,OUT!$H$2:$H$11000,H1044,OUT!$D$2:$D$11000,"Out",OUT!$E$2:$E$11000,"Iqbal")</f>
        <v>231000</v>
      </c>
    </row>
    <row r="1045" spans="1:20" x14ac:dyDescent="0.2">
      <c r="A1045" s="48">
        <f ca="1">IFERROR(__xludf.DUMMYFUNCTION("""COMPUTED_VALUE"""),46204)</f>
        <v>46204</v>
      </c>
      <c r="B1045" s="4" t="str">
        <f ca="1">IFERROR(__xludf.DUMMYFUNCTION("""COMPUTED_VALUE"""),"suamiku (dana )")</f>
        <v>suamiku (dana )</v>
      </c>
      <c r="C1045" s="4" t="str">
        <f ca="1">IFERROR(__xludf.DUMMYFUNCTION("""COMPUTED_VALUE"""),"ATM")</f>
        <v>ATM</v>
      </c>
      <c r="D1045" s="4" t="str">
        <f ca="1">IFERROR(__xludf.DUMMYFUNCTION("""COMPUTED_VALUE"""),"Out")</f>
        <v>Out</v>
      </c>
      <c r="E1045" s="4" t="str">
        <f ca="1">IFERROR(__xludf.DUMMYFUNCTION("""COMPUTED_VALUE"""),"Jajan")</f>
        <v>Jajan</v>
      </c>
      <c r="F1045" s="49">
        <f ca="1">IFERROR(__xludf.DUMMYFUNCTION("""COMPUTED_VALUE"""),10000)</f>
        <v>10000</v>
      </c>
      <c r="G1045" s="50" t="str">
        <f ca="1">IFERROR(__xludf.DUMMYFUNCTION("""COMPUTED_VALUE"""),"Zela")</f>
        <v>Zela</v>
      </c>
      <c r="H1045" s="51">
        <f t="shared" ca="1" si="0"/>
        <v>46204</v>
      </c>
      <c r="I1045" s="52" t="e">
        <f ca="1">SUMIFS(OUT!$F$2:$F$11000,OUT!$H$2:$H$11000,H1045,OUT!$D$2:$D$101007,"In")</f>
        <v>#VALUE!</v>
      </c>
      <c r="J1045" s="52">
        <f ca="1">SUMIFS(OUT!$F$2:$F$11000,OUT!$H$2:$H$11000,H1045,OUT!$D$2:$D$11000,"Out")</f>
        <v>9905717</v>
      </c>
      <c r="K1045" s="52">
        <f ca="1">SUMIFS(OUT!$F$2:$F$11000,OUT!$H$2:$H$11000,H1045,OUT!$D$2:$D$11000,"Out",OUT!$E$2:$E$11000,"Fix")</f>
        <v>3048680</v>
      </c>
      <c r="L1045" s="52">
        <f ca="1">SUMIFS(OUT!$F$2:$F$11000,OUT!$H$2:$H$11000,H1045,OUT!$D$2:$D$11000,"Out",OUT!$E$2:$E$11000,"Bathroom")</f>
        <v>50720</v>
      </c>
      <c r="M1045" s="52">
        <f ca="1">SUMIFS(OUT!$F$2:$F$11000,OUT!$H$2:$H$11000,H1045,OUT!$D$2:$D$11000,"Out",OUT!$E$2:$E$11000,"Alfa")</f>
        <v>294200</v>
      </c>
      <c r="N1045" s="52" t="e">
        <f ca="1">SUMIFS(OUT!$F$2:$F$11000,OUT!$H$2:$H$101007,H1045,OUT!$D$2:$D$11000,"Out",OUT!$E$2:$E$11000,"Jajan")</f>
        <v>#VALUE!</v>
      </c>
      <c r="O1045" s="52">
        <f ca="1">SUMIFS(OUT!$F$2:$F$11000,OUT!$H$2:$H$11000,H1045,OUT!$D$2:$D$11000,"Out",OUT!$E$2:$E$11000,"Kitchen")</f>
        <v>1360773</v>
      </c>
      <c r="P1045" s="52">
        <f ca="1">SUMIFS(OUT!$F$2:$F$11000,OUT!$H$2:$H$11000,H1045,OUT!$D$2:$D$11000,"Out",OUT!$E$2:$E$11000,"Loandry")</f>
        <v>11000</v>
      </c>
      <c r="Q1045" s="52">
        <f ca="1">SUMIFS(OUT!$F$2:$F$11000,OUT!$H$2:$H$11000,H1045,OUT!$D$2:$D$11000,"Out",OUT!$E$2:$E$11000,"Mio")</f>
        <v>338500</v>
      </c>
      <c r="R1045" s="52">
        <f ca="1">SUMIFS(OUT!$F$2:$F$11000,OUT!$H$2:$H$11000,H1045,OUT!$D$2:$D$11000,"Out",OUT!$E$2:$E$11000,"Sedekah")</f>
        <v>2500</v>
      </c>
      <c r="S1045" s="52">
        <f ca="1">SUMIFS(OUT!$F$2:$F$11000,OUT!$H$2:$H$11000,H1045,OUT!$D$2:$D$11000,"Out",OUT!$E$2:$E$11000,"Zela")</f>
        <v>387476</v>
      </c>
      <c r="T1045" s="52">
        <f ca="1">SUMIFS(OUT!$F$2:$F$11000,OUT!$H$2:$H$11000,H1045,OUT!$D$2:$D$11000,"Out",OUT!$E$2:$E$11000,"Iqbal")</f>
        <v>231000</v>
      </c>
    </row>
    <row r="1046" spans="1:20" x14ac:dyDescent="0.2">
      <c r="A1046" s="48">
        <f ca="1">IFERROR(__xludf.DUMMYFUNCTION("""COMPUTED_VALUE"""),46205)</f>
        <v>46205</v>
      </c>
      <c r="B1046" s="4" t="str">
        <f ca="1">IFERROR(__xludf.DUMMYFUNCTION("""COMPUTED_VALUE"""),"token bunda")</f>
        <v>token bunda</v>
      </c>
      <c r="C1046" s="4" t="str">
        <f ca="1">IFERROR(__xludf.DUMMYFUNCTION("""COMPUTED_VALUE"""),"ATM")</f>
        <v>ATM</v>
      </c>
      <c r="D1046" s="4" t="str">
        <f ca="1">IFERROR(__xludf.DUMMYFUNCTION("""COMPUTED_VALUE"""),"Out")</f>
        <v>Out</v>
      </c>
      <c r="E1046" s="4" t="str">
        <f ca="1">IFERROR(__xludf.DUMMYFUNCTION("""COMPUTED_VALUE"""),"Fix")</f>
        <v>Fix</v>
      </c>
      <c r="F1046" s="49">
        <f ca="1">IFERROR(__xludf.DUMMYFUNCTION("""COMPUTED_VALUE"""),20000)</f>
        <v>20000</v>
      </c>
      <c r="G1046" s="50" t="str">
        <f ca="1">IFERROR(__xludf.DUMMYFUNCTION("""COMPUTED_VALUE"""),"Zela")</f>
        <v>Zela</v>
      </c>
      <c r="H1046" s="51">
        <f t="shared" ca="1" si="0"/>
        <v>46204</v>
      </c>
      <c r="I1046" s="52" t="e">
        <f ca="1">SUMIFS(OUT!$F$2:$F$11000,OUT!$H$2:$H$11000,H1046,OUT!$D$2:$D$101007,"In")</f>
        <v>#VALUE!</v>
      </c>
      <c r="J1046" s="52">
        <f ca="1">SUMIFS(OUT!$F$2:$F$11000,OUT!$H$2:$H$11000,H1046,OUT!$D$2:$D$11000,"Out")</f>
        <v>9905717</v>
      </c>
      <c r="K1046" s="52">
        <f ca="1">SUMIFS(OUT!$F$2:$F$11000,OUT!$H$2:$H$11000,H1046,OUT!$D$2:$D$11000,"Out",OUT!$E$2:$E$11000,"Fix")</f>
        <v>3048680</v>
      </c>
      <c r="L1046" s="52">
        <f ca="1">SUMIFS(OUT!$F$2:$F$11000,OUT!$H$2:$H$11000,H1046,OUT!$D$2:$D$11000,"Out",OUT!$E$2:$E$11000,"Bathroom")</f>
        <v>50720</v>
      </c>
      <c r="M1046" s="52">
        <f ca="1">SUMIFS(OUT!$F$2:$F$11000,OUT!$H$2:$H$11000,H1046,OUT!$D$2:$D$11000,"Out",OUT!$E$2:$E$11000,"Alfa")</f>
        <v>294200</v>
      </c>
      <c r="N1046" s="52" t="e">
        <f ca="1">SUMIFS(OUT!$F$2:$F$11000,OUT!$H$2:$H$101007,H1046,OUT!$D$2:$D$11000,"Out",OUT!$E$2:$E$11000,"Jajan")</f>
        <v>#VALUE!</v>
      </c>
      <c r="O1046" s="52">
        <f ca="1">SUMIFS(OUT!$F$2:$F$11000,OUT!$H$2:$H$11000,H1046,OUT!$D$2:$D$11000,"Out",OUT!$E$2:$E$11000,"Kitchen")</f>
        <v>1360773</v>
      </c>
      <c r="P1046" s="52">
        <f ca="1">SUMIFS(OUT!$F$2:$F$11000,OUT!$H$2:$H$11000,H1046,OUT!$D$2:$D$11000,"Out",OUT!$E$2:$E$11000,"Loandry")</f>
        <v>11000</v>
      </c>
      <c r="Q1046" s="52">
        <f ca="1">SUMIFS(OUT!$F$2:$F$11000,OUT!$H$2:$H$11000,H1046,OUT!$D$2:$D$11000,"Out",OUT!$E$2:$E$11000,"Mio")</f>
        <v>338500</v>
      </c>
      <c r="R1046" s="52">
        <f ca="1">SUMIFS(OUT!$F$2:$F$11000,OUT!$H$2:$H$11000,H1046,OUT!$D$2:$D$11000,"Out",OUT!$E$2:$E$11000,"Sedekah")</f>
        <v>2500</v>
      </c>
      <c r="S1046" s="52">
        <f ca="1">SUMIFS(OUT!$F$2:$F$11000,OUT!$H$2:$H$11000,H1046,OUT!$D$2:$D$11000,"Out",OUT!$E$2:$E$11000,"Zela")</f>
        <v>387476</v>
      </c>
      <c r="T1046" s="52">
        <f ca="1">SUMIFS(OUT!$F$2:$F$11000,OUT!$H$2:$H$11000,H1046,OUT!$D$2:$D$11000,"Out",OUT!$E$2:$E$11000,"Iqbal")</f>
        <v>231000</v>
      </c>
    </row>
    <row r="1047" spans="1:20" x14ac:dyDescent="0.2">
      <c r="A1047" s="48">
        <f ca="1">IFERROR(__xludf.DUMMYFUNCTION("""COMPUTED_VALUE"""),46206)</f>
        <v>46206</v>
      </c>
      <c r="B1047" s="4" t="str">
        <f ca="1">IFERROR(__xludf.DUMMYFUNCTION("""COMPUTED_VALUE"""),"sHopee ( ayam 3 ) ")</f>
        <v xml:space="preserve">sHopee ( ayam 3 ) </v>
      </c>
      <c r="C1047" s="4" t="str">
        <f ca="1">IFERROR(__xludf.DUMMYFUNCTION("""COMPUTED_VALUE"""),"ATM")</f>
        <v>ATM</v>
      </c>
      <c r="D1047" s="4" t="str">
        <f ca="1">IFERROR(__xludf.DUMMYFUNCTION("""COMPUTED_VALUE"""),"Out")</f>
        <v>Out</v>
      </c>
      <c r="E1047" s="4" t="str">
        <f ca="1">IFERROR(__xludf.DUMMYFUNCTION("""COMPUTED_VALUE"""),"Kitchen")</f>
        <v>Kitchen</v>
      </c>
      <c r="F1047" s="49">
        <f ca="1">IFERROR(__xludf.DUMMYFUNCTION("""COMPUTED_VALUE"""),25973)</f>
        <v>25973</v>
      </c>
      <c r="G1047" s="50" t="str">
        <f ca="1">IFERROR(__xludf.DUMMYFUNCTION("""COMPUTED_VALUE"""),"Zela")</f>
        <v>Zela</v>
      </c>
      <c r="H1047" s="51">
        <f t="shared" ca="1" si="0"/>
        <v>46204</v>
      </c>
      <c r="I1047" s="52" t="e">
        <f ca="1">SUMIFS(OUT!$F$2:$F$11000,OUT!$H$2:$H$11000,H1047,OUT!$D$2:$D$101007,"In")</f>
        <v>#VALUE!</v>
      </c>
      <c r="J1047" s="52">
        <f ca="1">SUMIFS(OUT!$F$2:$F$11000,OUT!$H$2:$H$11000,H1047,OUT!$D$2:$D$11000,"Out")</f>
        <v>9905717</v>
      </c>
      <c r="K1047" s="52">
        <f ca="1">SUMIFS(OUT!$F$2:$F$11000,OUT!$H$2:$H$11000,H1047,OUT!$D$2:$D$11000,"Out",OUT!$E$2:$E$11000,"Fix")</f>
        <v>3048680</v>
      </c>
      <c r="L1047" s="52">
        <f ca="1">SUMIFS(OUT!$F$2:$F$11000,OUT!$H$2:$H$11000,H1047,OUT!$D$2:$D$11000,"Out",OUT!$E$2:$E$11000,"Bathroom")</f>
        <v>50720</v>
      </c>
      <c r="M1047" s="52">
        <f ca="1">SUMIFS(OUT!$F$2:$F$11000,OUT!$H$2:$H$11000,H1047,OUT!$D$2:$D$11000,"Out",OUT!$E$2:$E$11000,"Alfa")</f>
        <v>294200</v>
      </c>
      <c r="N1047" s="52" t="e">
        <f ca="1">SUMIFS(OUT!$F$2:$F$11000,OUT!$H$2:$H$101007,H1047,OUT!$D$2:$D$11000,"Out",OUT!$E$2:$E$11000,"Jajan")</f>
        <v>#VALUE!</v>
      </c>
      <c r="O1047" s="52">
        <f ca="1">SUMIFS(OUT!$F$2:$F$11000,OUT!$H$2:$H$11000,H1047,OUT!$D$2:$D$11000,"Out",OUT!$E$2:$E$11000,"Kitchen")</f>
        <v>1360773</v>
      </c>
      <c r="P1047" s="52">
        <f ca="1">SUMIFS(OUT!$F$2:$F$11000,OUT!$H$2:$H$11000,H1047,OUT!$D$2:$D$11000,"Out",OUT!$E$2:$E$11000,"Loandry")</f>
        <v>11000</v>
      </c>
      <c r="Q1047" s="52">
        <f ca="1">SUMIFS(OUT!$F$2:$F$11000,OUT!$H$2:$H$11000,H1047,OUT!$D$2:$D$11000,"Out",OUT!$E$2:$E$11000,"Mio")</f>
        <v>338500</v>
      </c>
      <c r="R1047" s="52">
        <f ca="1">SUMIFS(OUT!$F$2:$F$11000,OUT!$H$2:$H$11000,H1047,OUT!$D$2:$D$11000,"Out",OUT!$E$2:$E$11000,"Sedekah")</f>
        <v>2500</v>
      </c>
      <c r="S1047" s="52">
        <f ca="1">SUMIFS(OUT!$F$2:$F$11000,OUT!$H$2:$H$11000,H1047,OUT!$D$2:$D$11000,"Out",OUT!$E$2:$E$11000,"Zela")</f>
        <v>387476</v>
      </c>
      <c r="T1047" s="52">
        <f ca="1">SUMIFS(OUT!$F$2:$F$11000,OUT!$H$2:$H$11000,H1047,OUT!$D$2:$D$11000,"Out",OUT!$E$2:$E$11000,"Iqbal")</f>
        <v>231000</v>
      </c>
    </row>
    <row r="1048" spans="1:20" x14ac:dyDescent="0.2">
      <c r="A1048" s="48">
        <f ca="1">IFERROR(__xludf.DUMMYFUNCTION("""COMPUTED_VALUE"""),46206)</f>
        <v>46206</v>
      </c>
      <c r="B1048" s="4" t="str">
        <f ca="1">IFERROR(__xludf.DUMMYFUNCTION("""COMPUTED_VALUE"""),"infaq jumat")</f>
        <v>infaq jumat</v>
      </c>
      <c r="C1048" s="4" t="str">
        <f ca="1">IFERROR(__xludf.DUMMYFUNCTION("""COMPUTED_VALUE"""),"Cash")</f>
        <v>Cash</v>
      </c>
      <c r="D1048" s="4" t="str">
        <f ca="1">IFERROR(__xludf.DUMMYFUNCTION("""COMPUTED_VALUE"""),"Out")</f>
        <v>Out</v>
      </c>
      <c r="E1048" s="4" t="str">
        <f ca="1">IFERROR(__xludf.DUMMYFUNCTION("""COMPUTED_VALUE"""),"Sedekah")</f>
        <v>Sedekah</v>
      </c>
      <c r="F1048" s="49">
        <f ca="1">IFERROR(__xludf.DUMMYFUNCTION("""COMPUTED_VALUE"""),2500)</f>
        <v>2500</v>
      </c>
      <c r="G1048" s="50" t="str">
        <f ca="1">IFERROR(__xludf.DUMMYFUNCTION("""COMPUTED_VALUE"""),"Zela")</f>
        <v>Zela</v>
      </c>
      <c r="H1048" s="51">
        <f t="shared" ca="1" si="0"/>
        <v>46204</v>
      </c>
      <c r="I1048" s="52" t="e">
        <f ca="1">SUMIFS(OUT!$F$2:$F$11000,OUT!$H$2:$H$11000,H1048,OUT!$D$2:$D$101007,"In")</f>
        <v>#VALUE!</v>
      </c>
      <c r="J1048" s="52">
        <f ca="1">SUMIFS(OUT!$F$2:$F$11000,OUT!$H$2:$H$11000,H1048,OUT!$D$2:$D$11000,"Out")</f>
        <v>9905717</v>
      </c>
      <c r="K1048" s="52">
        <f ca="1">SUMIFS(OUT!$F$2:$F$11000,OUT!$H$2:$H$11000,H1048,OUT!$D$2:$D$11000,"Out",OUT!$E$2:$E$11000,"Fix")</f>
        <v>3048680</v>
      </c>
      <c r="L1048" s="52">
        <f ca="1">SUMIFS(OUT!$F$2:$F$11000,OUT!$H$2:$H$11000,H1048,OUT!$D$2:$D$11000,"Out",OUT!$E$2:$E$11000,"Bathroom")</f>
        <v>50720</v>
      </c>
      <c r="M1048" s="52">
        <f ca="1">SUMIFS(OUT!$F$2:$F$11000,OUT!$H$2:$H$11000,H1048,OUT!$D$2:$D$11000,"Out",OUT!$E$2:$E$11000,"Alfa")</f>
        <v>294200</v>
      </c>
      <c r="N1048" s="52" t="e">
        <f ca="1">SUMIFS(OUT!$F$2:$F$11000,OUT!$H$2:$H$101007,H1048,OUT!$D$2:$D$11000,"Out",OUT!$E$2:$E$11000,"Jajan")</f>
        <v>#VALUE!</v>
      </c>
      <c r="O1048" s="52">
        <f ca="1">SUMIFS(OUT!$F$2:$F$11000,OUT!$H$2:$H$11000,H1048,OUT!$D$2:$D$11000,"Out",OUT!$E$2:$E$11000,"Kitchen")</f>
        <v>1360773</v>
      </c>
      <c r="P1048" s="52">
        <f ca="1">SUMIFS(OUT!$F$2:$F$11000,OUT!$H$2:$H$11000,H1048,OUT!$D$2:$D$11000,"Out",OUT!$E$2:$E$11000,"Loandry")</f>
        <v>11000</v>
      </c>
      <c r="Q1048" s="52">
        <f ca="1">SUMIFS(OUT!$F$2:$F$11000,OUT!$H$2:$H$11000,H1048,OUT!$D$2:$D$11000,"Out",OUT!$E$2:$E$11000,"Mio")</f>
        <v>338500</v>
      </c>
      <c r="R1048" s="52">
        <f ca="1">SUMIFS(OUT!$F$2:$F$11000,OUT!$H$2:$H$11000,H1048,OUT!$D$2:$D$11000,"Out",OUT!$E$2:$E$11000,"Sedekah")</f>
        <v>2500</v>
      </c>
      <c r="S1048" s="52">
        <f ca="1">SUMIFS(OUT!$F$2:$F$11000,OUT!$H$2:$H$11000,H1048,OUT!$D$2:$D$11000,"Out",OUT!$E$2:$E$11000,"Zela")</f>
        <v>387476</v>
      </c>
      <c r="T1048" s="52">
        <f ca="1">SUMIFS(OUT!$F$2:$F$11000,OUT!$H$2:$H$11000,H1048,OUT!$D$2:$D$11000,"Out",OUT!$E$2:$E$11000,"Iqbal")</f>
        <v>231000</v>
      </c>
    </row>
    <row r="1049" spans="1:20" x14ac:dyDescent="0.2">
      <c r="A1049" s="48">
        <f ca="1">IFERROR(__xludf.DUMMYFUNCTION("""COMPUTED_VALUE"""),46206)</f>
        <v>46206</v>
      </c>
      <c r="B1049" s="4" t="str">
        <f ca="1">IFERROR(__xludf.DUMMYFUNCTION("""COMPUTED_VALUE"""),"galon")</f>
        <v>galon</v>
      </c>
      <c r="C1049" s="4" t="str">
        <f ca="1">IFERROR(__xludf.DUMMYFUNCTION("""COMPUTED_VALUE"""),"Cash")</f>
        <v>Cash</v>
      </c>
      <c r="D1049" s="4" t="str">
        <f ca="1">IFERROR(__xludf.DUMMYFUNCTION("""COMPUTED_VALUE"""),"Out")</f>
        <v>Out</v>
      </c>
      <c r="E1049" s="4" t="str">
        <f ca="1">IFERROR(__xludf.DUMMYFUNCTION("""COMPUTED_VALUE"""),"Kitchen")</f>
        <v>Kitchen</v>
      </c>
      <c r="F1049" s="49">
        <f ca="1">IFERROR(__xludf.DUMMYFUNCTION("""COMPUTED_VALUE"""),4000)</f>
        <v>4000</v>
      </c>
      <c r="G1049" s="50" t="str">
        <f ca="1">IFERROR(__xludf.DUMMYFUNCTION("""COMPUTED_VALUE"""),"Zela")</f>
        <v>Zela</v>
      </c>
      <c r="H1049" s="51">
        <f t="shared" ca="1" si="0"/>
        <v>46204</v>
      </c>
      <c r="I1049" s="52" t="e">
        <f ca="1">SUMIFS(OUT!$F$2:$F$11000,OUT!$H$2:$H$11000,H1049,OUT!$D$2:$D$101007,"In")</f>
        <v>#VALUE!</v>
      </c>
      <c r="J1049" s="52">
        <f ca="1">SUMIFS(OUT!$F$2:$F$11000,OUT!$H$2:$H$11000,H1049,OUT!$D$2:$D$11000,"Out")</f>
        <v>9905717</v>
      </c>
      <c r="K1049" s="52">
        <f ca="1">SUMIFS(OUT!$F$2:$F$11000,OUT!$H$2:$H$11000,H1049,OUT!$D$2:$D$11000,"Out",OUT!$E$2:$E$11000,"Fix")</f>
        <v>3048680</v>
      </c>
      <c r="L1049" s="52">
        <f ca="1">SUMIFS(OUT!$F$2:$F$11000,OUT!$H$2:$H$11000,H1049,OUT!$D$2:$D$11000,"Out",OUT!$E$2:$E$11000,"Bathroom")</f>
        <v>50720</v>
      </c>
      <c r="M1049" s="52">
        <f ca="1">SUMIFS(OUT!$F$2:$F$11000,OUT!$H$2:$H$11000,H1049,OUT!$D$2:$D$11000,"Out",OUT!$E$2:$E$11000,"Alfa")</f>
        <v>294200</v>
      </c>
      <c r="N1049" s="52" t="e">
        <f ca="1">SUMIFS(OUT!$F$2:$F$11000,OUT!$H$2:$H$101007,H1049,OUT!$D$2:$D$11000,"Out",OUT!$E$2:$E$11000,"Jajan")</f>
        <v>#VALUE!</v>
      </c>
      <c r="O1049" s="52">
        <f ca="1">SUMIFS(OUT!$F$2:$F$11000,OUT!$H$2:$H$11000,H1049,OUT!$D$2:$D$11000,"Out",OUT!$E$2:$E$11000,"Kitchen")</f>
        <v>1360773</v>
      </c>
      <c r="P1049" s="52">
        <f ca="1">SUMIFS(OUT!$F$2:$F$11000,OUT!$H$2:$H$11000,H1049,OUT!$D$2:$D$11000,"Out",OUT!$E$2:$E$11000,"Loandry")</f>
        <v>11000</v>
      </c>
      <c r="Q1049" s="52">
        <f ca="1">SUMIFS(OUT!$F$2:$F$11000,OUT!$H$2:$H$11000,H1049,OUT!$D$2:$D$11000,"Out",OUT!$E$2:$E$11000,"Mio")</f>
        <v>338500</v>
      </c>
      <c r="R1049" s="52">
        <f ca="1">SUMIFS(OUT!$F$2:$F$11000,OUT!$H$2:$H$11000,H1049,OUT!$D$2:$D$11000,"Out",OUT!$E$2:$E$11000,"Sedekah")</f>
        <v>2500</v>
      </c>
      <c r="S1049" s="52">
        <f ca="1">SUMIFS(OUT!$F$2:$F$11000,OUT!$H$2:$H$11000,H1049,OUT!$D$2:$D$11000,"Out",OUT!$E$2:$E$11000,"Zela")</f>
        <v>387476</v>
      </c>
      <c r="T1049" s="52">
        <f ca="1">SUMIFS(OUT!$F$2:$F$11000,OUT!$H$2:$H$11000,H1049,OUT!$D$2:$D$11000,"Out",OUT!$E$2:$E$11000,"Iqbal")</f>
        <v>231000</v>
      </c>
    </row>
    <row r="1050" spans="1:20" x14ac:dyDescent="0.2">
      <c r="A1050" s="48">
        <f ca="1">IFERROR(__xludf.DUMMYFUNCTION("""COMPUTED_VALUE"""),46206)</f>
        <v>46206</v>
      </c>
      <c r="B1050" s="4" t="str">
        <f ca="1">IFERROR(__xludf.DUMMYFUNCTION("""COMPUTED_VALUE"""),"sikat gigi")</f>
        <v>sikat gigi</v>
      </c>
      <c r="C1050" s="4" t="str">
        <f ca="1">IFERROR(__xludf.DUMMYFUNCTION("""COMPUTED_VALUE"""),"Cash")</f>
        <v>Cash</v>
      </c>
      <c r="D1050" s="4" t="str">
        <f ca="1">IFERROR(__xludf.DUMMYFUNCTION("""COMPUTED_VALUE"""),"Out")</f>
        <v>Out</v>
      </c>
      <c r="E1050" s="4" t="str">
        <f ca="1">IFERROR(__xludf.DUMMYFUNCTION("""COMPUTED_VALUE"""),"Bathroom")</f>
        <v>Bathroom</v>
      </c>
      <c r="F1050" s="49">
        <f ca="1">IFERROR(__xludf.DUMMYFUNCTION("""COMPUTED_VALUE"""),8100)</f>
        <v>8100</v>
      </c>
      <c r="G1050" s="50" t="str">
        <f ca="1">IFERROR(__xludf.DUMMYFUNCTION("""COMPUTED_VALUE"""),"Zela")</f>
        <v>Zela</v>
      </c>
      <c r="H1050" s="51">
        <f t="shared" ca="1" si="0"/>
        <v>46204</v>
      </c>
      <c r="I1050" s="52" t="e">
        <f ca="1">SUMIFS(OUT!$F$2:$F$11000,OUT!$H$2:$H$11000,H1050,OUT!$D$2:$D$101007,"In")</f>
        <v>#VALUE!</v>
      </c>
      <c r="J1050" s="52">
        <f ca="1">SUMIFS(OUT!$F$2:$F$11000,OUT!$H$2:$H$11000,H1050,OUT!$D$2:$D$11000,"Out")</f>
        <v>9905717</v>
      </c>
      <c r="K1050" s="52">
        <f ca="1">SUMIFS(OUT!$F$2:$F$11000,OUT!$H$2:$H$11000,H1050,OUT!$D$2:$D$11000,"Out",OUT!$E$2:$E$11000,"Fix")</f>
        <v>3048680</v>
      </c>
      <c r="L1050" s="52">
        <f ca="1">SUMIFS(OUT!$F$2:$F$11000,OUT!$H$2:$H$11000,H1050,OUT!$D$2:$D$11000,"Out",OUT!$E$2:$E$11000,"Bathroom")</f>
        <v>50720</v>
      </c>
      <c r="M1050" s="52">
        <f ca="1">SUMIFS(OUT!$F$2:$F$11000,OUT!$H$2:$H$11000,H1050,OUT!$D$2:$D$11000,"Out",OUT!$E$2:$E$11000,"Alfa")</f>
        <v>294200</v>
      </c>
      <c r="N1050" s="52" t="e">
        <f ca="1">SUMIFS(OUT!$F$2:$F$11000,OUT!$H$2:$H$101007,H1050,OUT!$D$2:$D$11000,"Out",OUT!$E$2:$E$11000,"Jajan")</f>
        <v>#VALUE!</v>
      </c>
      <c r="O1050" s="52">
        <f ca="1">SUMIFS(OUT!$F$2:$F$11000,OUT!$H$2:$H$11000,H1050,OUT!$D$2:$D$11000,"Out",OUT!$E$2:$E$11000,"Kitchen")</f>
        <v>1360773</v>
      </c>
      <c r="P1050" s="52">
        <f ca="1">SUMIFS(OUT!$F$2:$F$11000,OUT!$H$2:$H$11000,H1050,OUT!$D$2:$D$11000,"Out",OUT!$E$2:$E$11000,"Loandry")</f>
        <v>11000</v>
      </c>
      <c r="Q1050" s="52">
        <f ca="1">SUMIFS(OUT!$F$2:$F$11000,OUT!$H$2:$H$11000,H1050,OUT!$D$2:$D$11000,"Out",OUT!$E$2:$E$11000,"Mio")</f>
        <v>338500</v>
      </c>
      <c r="R1050" s="52">
        <f ca="1">SUMIFS(OUT!$F$2:$F$11000,OUT!$H$2:$H$11000,H1050,OUT!$D$2:$D$11000,"Out",OUT!$E$2:$E$11000,"Sedekah")</f>
        <v>2500</v>
      </c>
      <c r="S1050" s="52">
        <f ca="1">SUMIFS(OUT!$F$2:$F$11000,OUT!$H$2:$H$11000,H1050,OUT!$D$2:$D$11000,"Out",OUT!$E$2:$E$11000,"Zela")</f>
        <v>387476</v>
      </c>
      <c r="T1050" s="52">
        <f ca="1">SUMIFS(OUT!$F$2:$F$11000,OUT!$H$2:$H$11000,H1050,OUT!$D$2:$D$11000,"Out",OUT!$E$2:$E$11000,"Iqbal")</f>
        <v>231000</v>
      </c>
    </row>
    <row r="1051" spans="1:20" x14ac:dyDescent="0.2">
      <c r="A1051" s="48">
        <f ca="1">IFERROR(__xludf.DUMMYFUNCTION("""COMPUTED_VALUE"""),46206)</f>
        <v>46206</v>
      </c>
      <c r="B1051" s="4" t="str">
        <f ca="1">IFERROR(__xludf.DUMMYFUNCTION("""COMPUTED_VALUE"""),"sabun mandi")</f>
        <v>sabun mandi</v>
      </c>
      <c r="C1051" s="4" t="str">
        <f ca="1">IFERROR(__xludf.DUMMYFUNCTION("""COMPUTED_VALUE"""),"Cash")</f>
        <v>Cash</v>
      </c>
      <c r="D1051" s="4" t="str">
        <f ca="1">IFERROR(__xludf.DUMMYFUNCTION("""COMPUTED_VALUE"""),"Out")</f>
        <v>Out</v>
      </c>
      <c r="E1051" s="4" t="str">
        <f ca="1">IFERROR(__xludf.DUMMYFUNCTION("""COMPUTED_VALUE"""),"Bathroom")</f>
        <v>Bathroom</v>
      </c>
      <c r="F1051" s="49">
        <f ca="1">IFERROR(__xludf.DUMMYFUNCTION("""COMPUTED_VALUE"""),16900)</f>
        <v>16900</v>
      </c>
      <c r="G1051" s="50" t="str">
        <f ca="1">IFERROR(__xludf.DUMMYFUNCTION("""COMPUTED_VALUE"""),"Zela")</f>
        <v>Zela</v>
      </c>
      <c r="H1051" s="51">
        <f t="shared" ca="1" si="0"/>
        <v>46204</v>
      </c>
      <c r="I1051" s="52" t="e">
        <f ca="1">SUMIFS(OUT!$F$2:$F$11000,OUT!$H$2:$H$11000,H1051,OUT!$D$2:$D$101007,"In")</f>
        <v>#VALUE!</v>
      </c>
      <c r="J1051" s="52">
        <f ca="1">SUMIFS(OUT!$F$2:$F$11000,OUT!$H$2:$H$11000,H1051,OUT!$D$2:$D$11000,"Out")</f>
        <v>9905717</v>
      </c>
      <c r="K1051" s="52">
        <f ca="1">SUMIFS(OUT!$F$2:$F$11000,OUT!$H$2:$H$11000,H1051,OUT!$D$2:$D$11000,"Out",OUT!$E$2:$E$11000,"Fix")</f>
        <v>3048680</v>
      </c>
      <c r="L1051" s="52">
        <f ca="1">SUMIFS(OUT!$F$2:$F$11000,OUT!$H$2:$H$11000,H1051,OUT!$D$2:$D$11000,"Out",OUT!$E$2:$E$11000,"Bathroom")</f>
        <v>50720</v>
      </c>
      <c r="M1051" s="52">
        <f ca="1">SUMIFS(OUT!$F$2:$F$11000,OUT!$H$2:$H$11000,H1051,OUT!$D$2:$D$11000,"Out",OUT!$E$2:$E$11000,"Alfa")</f>
        <v>294200</v>
      </c>
      <c r="N1051" s="52" t="e">
        <f ca="1">SUMIFS(OUT!$F$2:$F$11000,OUT!$H$2:$H$101007,H1051,OUT!$D$2:$D$11000,"Out",OUT!$E$2:$E$11000,"Jajan")</f>
        <v>#VALUE!</v>
      </c>
      <c r="O1051" s="52">
        <f ca="1">SUMIFS(OUT!$F$2:$F$11000,OUT!$H$2:$H$11000,H1051,OUT!$D$2:$D$11000,"Out",OUT!$E$2:$E$11000,"Kitchen")</f>
        <v>1360773</v>
      </c>
      <c r="P1051" s="52">
        <f ca="1">SUMIFS(OUT!$F$2:$F$11000,OUT!$H$2:$H$11000,H1051,OUT!$D$2:$D$11000,"Out",OUT!$E$2:$E$11000,"Loandry")</f>
        <v>11000</v>
      </c>
      <c r="Q1051" s="52">
        <f ca="1">SUMIFS(OUT!$F$2:$F$11000,OUT!$H$2:$H$11000,H1051,OUT!$D$2:$D$11000,"Out",OUT!$E$2:$E$11000,"Mio")</f>
        <v>338500</v>
      </c>
      <c r="R1051" s="52">
        <f ca="1">SUMIFS(OUT!$F$2:$F$11000,OUT!$H$2:$H$11000,H1051,OUT!$D$2:$D$11000,"Out",OUT!$E$2:$E$11000,"Sedekah")</f>
        <v>2500</v>
      </c>
      <c r="S1051" s="52">
        <f ca="1">SUMIFS(OUT!$F$2:$F$11000,OUT!$H$2:$H$11000,H1051,OUT!$D$2:$D$11000,"Out",OUT!$E$2:$E$11000,"Zela")</f>
        <v>387476</v>
      </c>
      <c r="T1051" s="52">
        <f ca="1">SUMIFS(OUT!$F$2:$F$11000,OUT!$H$2:$H$11000,H1051,OUT!$D$2:$D$11000,"Out",OUT!$E$2:$E$11000,"Iqbal")</f>
        <v>231000</v>
      </c>
    </row>
    <row r="1052" spans="1:20" x14ac:dyDescent="0.2">
      <c r="A1052" s="48">
        <f ca="1">IFERROR(__xludf.DUMMYFUNCTION("""COMPUTED_VALUE"""),46206)</f>
        <v>46206</v>
      </c>
      <c r="B1052" s="4" t="str">
        <f ca="1">IFERROR(__xludf.DUMMYFUNCTION("""COMPUTED_VALUE"""),"sabun cuci piring")</f>
        <v>sabun cuci piring</v>
      </c>
      <c r="C1052" s="4" t="str">
        <f ca="1">IFERROR(__xludf.DUMMYFUNCTION("""COMPUTED_VALUE"""),"Cash")</f>
        <v>Cash</v>
      </c>
      <c r="D1052" s="4" t="str">
        <f ca="1">IFERROR(__xludf.DUMMYFUNCTION("""COMPUTED_VALUE"""),"Out")</f>
        <v>Out</v>
      </c>
      <c r="E1052" s="4" t="str">
        <f ca="1">IFERROR(__xludf.DUMMYFUNCTION("""COMPUTED_VALUE"""),"Kitchen")</f>
        <v>Kitchen</v>
      </c>
      <c r="F1052" s="49">
        <f ca="1">IFERROR(__xludf.DUMMYFUNCTION("""COMPUTED_VALUE"""),7500)</f>
        <v>7500</v>
      </c>
      <c r="G1052" s="50" t="str">
        <f ca="1">IFERROR(__xludf.DUMMYFUNCTION("""COMPUTED_VALUE"""),"Zela")</f>
        <v>Zela</v>
      </c>
      <c r="H1052" s="51">
        <f t="shared" ca="1" si="0"/>
        <v>46204</v>
      </c>
      <c r="I1052" s="52" t="e">
        <f ca="1">SUMIFS(OUT!$F$2:$F$11000,OUT!$H$2:$H$11000,H1052,OUT!$D$2:$D$101007,"In")</f>
        <v>#VALUE!</v>
      </c>
      <c r="J1052" s="52">
        <f ca="1">SUMIFS(OUT!$F$2:$F$11000,OUT!$H$2:$H$11000,H1052,OUT!$D$2:$D$11000,"Out")</f>
        <v>9905717</v>
      </c>
      <c r="K1052" s="52">
        <f ca="1">SUMIFS(OUT!$F$2:$F$11000,OUT!$H$2:$H$11000,H1052,OUT!$D$2:$D$11000,"Out",OUT!$E$2:$E$11000,"Fix")</f>
        <v>3048680</v>
      </c>
      <c r="L1052" s="52">
        <f ca="1">SUMIFS(OUT!$F$2:$F$11000,OUT!$H$2:$H$11000,H1052,OUT!$D$2:$D$11000,"Out",OUT!$E$2:$E$11000,"Bathroom")</f>
        <v>50720</v>
      </c>
      <c r="M1052" s="52">
        <f ca="1">SUMIFS(OUT!$F$2:$F$11000,OUT!$H$2:$H$11000,H1052,OUT!$D$2:$D$11000,"Out",OUT!$E$2:$E$11000,"Alfa")</f>
        <v>294200</v>
      </c>
      <c r="N1052" s="52" t="e">
        <f ca="1">SUMIFS(OUT!$F$2:$F$11000,OUT!$H$2:$H$101007,H1052,OUT!$D$2:$D$11000,"Out",OUT!$E$2:$E$11000,"Jajan")</f>
        <v>#VALUE!</v>
      </c>
      <c r="O1052" s="52">
        <f ca="1">SUMIFS(OUT!$F$2:$F$11000,OUT!$H$2:$H$11000,H1052,OUT!$D$2:$D$11000,"Out",OUT!$E$2:$E$11000,"Kitchen")</f>
        <v>1360773</v>
      </c>
      <c r="P1052" s="52">
        <f ca="1">SUMIFS(OUT!$F$2:$F$11000,OUT!$H$2:$H$11000,H1052,OUT!$D$2:$D$11000,"Out",OUT!$E$2:$E$11000,"Loandry")</f>
        <v>11000</v>
      </c>
      <c r="Q1052" s="52">
        <f ca="1">SUMIFS(OUT!$F$2:$F$11000,OUT!$H$2:$H$11000,H1052,OUT!$D$2:$D$11000,"Out",OUT!$E$2:$E$11000,"Mio")</f>
        <v>338500</v>
      </c>
      <c r="R1052" s="52">
        <f ca="1">SUMIFS(OUT!$F$2:$F$11000,OUT!$H$2:$H$11000,H1052,OUT!$D$2:$D$11000,"Out",OUT!$E$2:$E$11000,"Sedekah")</f>
        <v>2500</v>
      </c>
      <c r="S1052" s="52">
        <f ca="1">SUMIFS(OUT!$F$2:$F$11000,OUT!$H$2:$H$11000,H1052,OUT!$D$2:$D$11000,"Out",OUT!$E$2:$E$11000,"Zela")</f>
        <v>387476</v>
      </c>
      <c r="T1052" s="52">
        <f ca="1">SUMIFS(OUT!$F$2:$F$11000,OUT!$H$2:$H$11000,H1052,OUT!$D$2:$D$11000,"Out",OUT!$E$2:$E$11000,"Iqbal")</f>
        <v>231000</v>
      </c>
    </row>
    <row r="1053" spans="1:20" x14ac:dyDescent="0.2">
      <c r="A1053" s="48">
        <f ca="1">IFERROR(__xludf.DUMMYFUNCTION("""COMPUTED_VALUE"""),46206)</f>
        <v>46206</v>
      </c>
      <c r="B1053" s="4" t="str">
        <f ca="1">IFERROR(__xludf.DUMMYFUNCTION("""COMPUTED_VALUE"""),"Tarik Tunai ")</f>
        <v xml:space="preserve">Tarik Tunai </v>
      </c>
      <c r="C1053" s="4" t="str">
        <f ca="1">IFERROR(__xludf.DUMMYFUNCTION("""COMPUTED_VALUE"""),"ATM")</f>
        <v>ATM</v>
      </c>
      <c r="D1053" s="4" t="str">
        <f ca="1">IFERROR(__xludf.DUMMYFUNCTION("""COMPUTED_VALUE"""),"Out")</f>
        <v>Out</v>
      </c>
      <c r="E1053" s="4" t="str">
        <f ca="1">IFERROR(__xludf.DUMMYFUNCTION("""COMPUTED_VALUE"""),"Move")</f>
        <v>Move</v>
      </c>
      <c r="F1053" s="49">
        <f ca="1">IFERROR(__xludf.DUMMYFUNCTION("""COMPUTED_VALUE"""),100000)</f>
        <v>100000</v>
      </c>
      <c r="G1053" s="50" t="str">
        <f ca="1">IFERROR(__xludf.DUMMYFUNCTION("""COMPUTED_VALUE"""),"Zela")</f>
        <v>Zela</v>
      </c>
      <c r="H1053" s="51">
        <f t="shared" ca="1" si="0"/>
        <v>46204</v>
      </c>
      <c r="I1053" s="52" t="e">
        <f ca="1">SUMIFS(OUT!$F$2:$F$11000,OUT!$H$2:$H$11000,H1053,OUT!$D$2:$D$101007,"In")</f>
        <v>#VALUE!</v>
      </c>
      <c r="J1053" s="52">
        <f ca="1">SUMIFS(OUT!$F$2:$F$11000,OUT!$H$2:$H$11000,H1053,OUT!$D$2:$D$11000,"Out")</f>
        <v>9905717</v>
      </c>
      <c r="K1053" s="52">
        <f ca="1">SUMIFS(OUT!$F$2:$F$11000,OUT!$H$2:$H$11000,H1053,OUT!$D$2:$D$11000,"Out",OUT!$E$2:$E$11000,"Fix")</f>
        <v>3048680</v>
      </c>
      <c r="L1053" s="52">
        <f ca="1">SUMIFS(OUT!$F$2:$F$11000,OUT!$H$2:$H$11000,H1053,OUT!$D$2:$D$11000,"Out",OUT!$E$2:$E$11000,"Bathroom")</f>
        <v>50720</v>
      </c>
      <c r="M1053" s="52">
        <f ca="1">SUMIFS(OUT!$F$2:$F$11000,OUT!$H$2:$H$11000,H1053,OUT!$D$2:$D$11000,"Out",OUT!$E$2:$E$11000,"Alfa")</f>
        <v>294200</v>
      </c>
      <c r="N1053" s="52" t="e">
        <f ca="1">SUMIFS(OUT!$F$2:$F$11000,OUT!$H$2:$H$101007,H1053,OUT!$D$2:$D$11000,"Out",OUT!$E$2:$E$11000,"Jajan")</f>
        <v>#VALUE!</v>
      </c>
      <c r="O1053" s="52">
        <f ca="1">SUMIFS(OUT!$F$2:$F$11000,OUT!$H$2:$H$11000,H1053,OUT!$D$2:$D$11000,"Out",OUT!$E$2:$E$11000,"Kitchen")</f>
        <v>1360773</v>
      </c>
      <c r="P1053" s="52">
        <f ca="1">SUMIFS(OUT!$F$2:$F$11000,OUT!$H$2:$H$11000,H1053,OUT!$D$2:$D$11000,"Out",OUT!$E$2:$E$11000,"Loandry")</f>
        <v>11000</v>
      </c>
      <c r="Q1053" s="52">
        <f ca="1">SUMIFS(OUT!$F$2:$F$11000,OUT!$H$2:$H$11000,H1053,OUT!$D$2:$D$11000,"Out",OUT!$E$2:$E$11000,"Mio")</f>
        <v>338500</v>
      </c>
      <c r="R1053" s="52">
        <f ca="1">SUMIFS(OUT!$F$2:$F$11000,OUT!$H$2:$H$11000,H1053,OUT!$D$2:$D$11000,"Out",OUT!$E$2:$E$11000,"Sedekah")</f>
        <v>2500</v>
      </c>
      <c r="S1053" s="52">
        <f ca="1">SUMIFS(OUT!$F$2:$F$11000,OUT!$H$2:$H$11000,H1053,OUT!$D$2:$D$11000,"Out",OUT!$E$2:$E$11000,"Zela")</f>
        <v>387476</v>
      </c>
      <c r="T1053" s="52">
        <f ca="1">SUMIFS(OUT!$F$2:$F$11000,OUT!$H$2:$H$11000,H1053,OUT!$D$2:$D$11000,"Out",OUT!$E$2:$E$11000,"Iqbal")</f>
        <v>231000</v>
      </c>
    </row>
    <row r="1054" spans="1:20" x14ac:dyDescent="0.2">
      <c r="A1054" s="48">
        <f ca="1">IFERROR(__xludf.DUMMYFUNCTION("""COMPUTED_VALUE"""),46206)</f>
        <v>46206</v>
      </c>
      <c r="B1054" s="4" t="str">
        <f ca="1">IFERROR(__xludf.DUMMYFUNCTION("""COMPUTED_VALUE"""),"Terima Tunai ")</f>
        <v xml:space="preserve">Terima Tunai </v>
      </c>
      <c r="C1054" s="4" t="str">
        <f ca="1">IFERROR(__xludf.DUMMYFUNCTION("""COMPUTED_VALUE"""),"Cash")</f>
        <v>Cash</v>
      </c>
      <c r="D1054" s="4" t="str">
        <f ca="1">IFERROR(__xludf.DUMMYFUNCTION("""COMPUTED_VALUE"""),"In")</f>
        <v>In</v>
      </c>
      <c r="E1054" s="4" t="str">
        <f ca="1">IFERROR(__xludf.DUMMYFUNCTION("""COMPUTED_VALUE"""),"Move")</f>
        <v>Move</v>
      </c>
      <c r="F1054" s="49">
        <f ca="1">IFERROR(__xludf.DUMMYFUNCTION("""COMPUTED_VALUE"""),100000)</f>
        <v>100000</v>
      </c>
      <c r="G1054" s="50" t="str">
        <f ca="1">IFERROR(__xludf.DUMMYFUNCTION("""COMPUTED_VALUE"""),"Zela")</f>
        <v>Zela</v>
      </c>
      <c r="H1054" s="51">
        <f t="shared" ca="1" si="0"/>
        <v>46204</v>
      </c>
      <c r="I1054" s="52" t="e">
        <f ca="1">SUMIFS(OUT!$F$2:$F$11000,OUT!$H$2:$H$11000,H1054,OUT!$D$2:$D$101007,"In")</f>
        <v>#VALUE!</v>
      </c>
      <c r="J1054" s="52">
        <f ca="1">SUMIFS(OUT!$F$2:$F$11000,OUT!$H$2:$H$11000,H1054,OUT!$D$2:$D$11000,"Out")</f>
        <v>9905717</v>
      </c>
      <c r="K1054" s="52">
        <f ca="1">SUMIFS(OUT!$F$2:$F$11000,OUT!$H$2:$H$11000,H1054,OUT!$D$2:$D$11000,"Out",OUT!$E$2:$E$11000,"Fix")</f>
        <v>3048680</v>
      </c>
      <c r="L1054" s="52">
        <f ca="1">SUMIFS(OUT!$F$2:$F$11000,OUT!$H$2:$H$11000,H1054,OUT!$D$2:$D$11000,"Out",OUT!$E$2:$E$11000,"Bathroom")</f>
        <v>50720</v>
      </c>
      <c r="M1054" s="52">
        <f ca="1">SUMIFS(OUT!$F$2:$F$11000,OUT!$H$2:$H$11000,H1054,OUT!$D$2:$D$11000,"Out",OUT!$E$2:$E$11000,"Alfa")</f>
        <v>294200</v>
      </c>
      <c r="N1054" s="52" t="e">
        <f ca="1">SUMIFS(OUT!$F$2:$F$11000,OUT!$H$2:$H$101007,H1054,OUT!$D$2:$D$11000,"Out",OUT!$E$2:$E$11000,"Jajan")</f>
        <v>#VALUE!</v>
      </c>
      <c r="O1054" s="52">
        <f ca="1">SUMIFS(OUT!$F$2:$F$11000,OUT!$H$2:$H$11000,H1054,OUT!$D$2:$D$11000,"Out",OUT!$E$2:$E$11000,"Kitchen")</f>
        <v>1360773</v>
      </c>
      <c r="P1054" s="52">
        <f ca="1">SUMIFS(OUT!$F$2:$F$11000,OUT!$H$2:$H$11000,H1054,OUT!$D$2:$D$11000,"Out",OUT!$E$2:$E$11000,"Loandry")</f>
        <v>11000</v>
      </c>
      <c r="Q1054" s="52">
        <f ca="1">SUMIFS(OUT!$F$2:$F$11000,OUT!$H$2:$H$11000,H1054,OUT!$D$2:$D$11000,"Out",OUT!$E$2:$E$11000,"Mio")</f>
        <v>338500</v>
      </c>
      <c r="R1054" s="52">
        <f ca="1">SUMIFS(OUT!$F$2:$F$11000,OUT!$H$2:$H$11000,H1054,OUT!$D$2:$D$11000,"Out",OUT!$E$2:$E$11000,"Sedekah")</f>
        <v>2500</v>
      </c>
      <c r="S1054" s="52">
        <f ca="1">SUMIFS(OUT!$F$2:$F$11000,OUT!$H$2:$H$11000,H1054,OUT!$D$2:$D$11000,"Out",OUT!$E$2:$E$11000,"Zela")</f>
        <v>387476</v>
      </c>
      <c r="T1054" s="52">
        <f ca="1">SUMIFS(OUT!$F$2:$F$11000,OUT!$H$2:$H$11000,H1054,OUT!$D$2:$D$11000,"Out",OUT!$E$2:$E$11000,"Iqbal")</f>
        <v>231000</v>
      </c>
    </row>
    <row r="1055" spans="1:20" x14ac:dyDescent="0.2">
      <c r="A1055" s="48">
        <f ca="1">IFERROR(__xludf.DUMMYFUNCTION("""COMPUTED_VALUE"""),46206)</f>
        <v>46206</v>
      </c>
      <c r="B1055" s="4" t="str">
        <f ca="1">IFERROR(__xludf.DUMMYFUNCTION("""COMPUTED_VALUE"""),"Pasar Kaget + Parkir ")</f>
        <v xml:space="preserve">Pasar Kaget + Parkir </v>
      </c>
      <c r="C1055" s="4" t="str">
        <f ca="1">IFERROR(__xludf.DUMMYFUNCTION("""COMPUTED_VALUE"""),"Cash")</f>
        <v>Cash</v>
      </c>
      <c r="D1055" s="4" t="str">
        <f ca="1">IFERROR(__xludf.DUMMYFUNCTION("""COMPUTED_VALUE"""),"Out")</f>
        <v>Out</v>
      </c>
      <c r="E1055" s="4" t="str">
        <f ca="1">IFERROR(__xludf.DUMMYFUNCTION("""COMPUTED_VALUE"""),"Kitchen")</f>
        <v>Kitchen</v>
      </c>
      <c r="F1055" s="49">
        <f ca="1">IFERROR(__xludf.DUMMYFUNCTION("""COMPUTED_VALUE"""),160000)</f>
        <v>160000</v>
      </c>
      <c r="G1055" s="50" t="str">
        <f ca="1">IFERROR(__xludf.DUMMYFUNCTION("""COMPUTED_VALUE"""),"Zela")</f>
        <v>Zela</v>
      </c>
      <c r="H1055" s="51">
        <f t="shared" ca="1" si="0"/>
        <v>46204</v>
      </c>
      <c r="I1055" s="52" t="e">
        <f ca="1">SUMIFS(OUT!$F$2:$F$11000,OUT!$H$2:$H$11000,H1055,OUT!$D$2:$D$101007,"In")</f>
        <v>#VALUE!</v>
      </c>
      <c r="J1055" s="52">
        <f ca="1">SUMIFS(OUT!$F$2:$F$11000,OUT!$H$2:$H$11000,H1055,OUT!$D$2:$D$11000,"Out")</f>
        <v>9905717</v>
      </c>
      <c r="K1055" s="52">
        <f ca="1">SUMIFS(OUT!$F$2:$F$11000,OUT!$H$2:$H$11000,H1055,OUT!$D$2:$D$11000,"Out",OUT!$E$2:$E$11000,"Fix")</f>
        <v>3048680</v>
      </c>
      <c r="L1055" s="52">
        <f ca="1">SUMIFS(OUT!$F$2:$F$11000,OUT!$H$2:$H$11000,H1055,OUT!$D$2:$D$11000,"Out",OUT!$E$2:$E$11000,"Bathroom")</f>
        <v>50720</v>
      </c>
      <c r="M1055" s="52">
        <f ca="1">SUMIFS(OUT!$F$2:$F$11000,OUT!$H$2:$H$11000,H1055,OUT!$D$2:$D$11000,"Out",OUT!$E$2:$E$11000,"Alfa")</f>
        <v>294200</v>
      </c>
      <c r="N1055" s="52" t="e">
        <f ca="1">SUMIFS(OUT!$F$2:$F$11000,OUT!$H$2:$H$101007,H1055,OUT!$D$2:$D$11000,"Out",OUT!$E$2:$E$11000,"Jajan")</f>
        <v>#VALUE!</v>
      </c>
      <c r="O1055" s="52">
        <f ca="1">SUMIFS(OUT!$F$2:$F$11000,OUT!$H$2:$H$11000,H1055,OUT!$D$2:$D$11000,"Out",OUT!$E$2:$E$11000,"Kitchen")</f>
        <v>1360773</v>
      </c>
      <c r="P1055" s="52">
        <f ca="1">SUMIFS(OUT!$F$2:$F$11000,OUT!$H$2:$H$11000,H1055,OUT!$D$2:$D$11000,"Out",OUT!$E$2:$E$11000,"Loandry")</f>
        <v>11000</v>
      </c>
      <c r="Q1055" s="52">
        <f ca="1">SUMIFS(OUT!$F$2:$F$11000,OUT!$H$2:$H$11000,H1055,OUT!$D$2:$D$11000,"Out",OUT!$E$2:$E$11000,"Mio")</f>
        <v>338500</v>
      </c>
      <c r="R1055" s="52">
        <f ca="1">SUMIFS(OUT!$F$2:$F$11000,OUT!$H$2:$H$11000,H1055,OUT!$D$2:$D$11000,"Out",OUT!$E$2:$E$11000,"Sedekah")</f>
        <v>2500</v>
      </c>
      <c r="S1055" s="52">
        <f ca="1">SUMIFS(OUT!$F$2:$F$11000,OUT!$H$2:$H$11000,H1055,OUT!$D$2:$D$11000,"Out",OUT!$E$2:$E$11000,"Zela")</f>
        <v>387476</v>
      </c>
      <c r="T1055" s="52">
        <f ca="1">SUMIFS(OUT!$F$2:$F$11000,OUT!$H$2:$H$11000,H1055,OUT!$D$2:$D$11000,"Out",OUT!$E$2:$E$11000,"Iqbal")</f>
        <v>231000</v>
      </c>
    </row>
    <row r="1056" spans="1:20" x14ac:dyDescent="0.2">
      <c r="A1056" s="48">
        <f ca="1">IFERROR(__xludf.DUMMYFUNCTION("""COMPUTED_VALUE"""),46206)</f>
        <v>46206</v>
      </c>
      <c r="B1056" s="4" t="str">
        <f ca="1">IFERROR(__xludf.DUMMYFUNCTION("""COMPUTED_VALUE"""),"Tarik Tunai ")</f>
        <v xml:space="preserve">Tarik Tunai </v>
      </c>
      <c r="C1056" s="4" t="str">
        <f ca="1">IFERROR(__xludf.DUMMYFUNCTION("""COMPUTED_VALUE"""),"ATM")</f>
        <v>ATM</v>
      </c>
      <c r="D1056" s="4" t="str">
        <f ca="1">IFERROR(__xludf.DUMMYFUNCTION("""COMPUTED_VALUE"""),"Out")</f>
        <v>Out</v>
      </c>
      <c r="E1056" s="4" t="str">
        <f ca="1">IFERROR(__xludf.DUMMYFUNCTION("""COMPUTED_VALUE"""),"Move")</f>
        <v>Move</v>
      </c>
      <c r="F1056" s="49">
        <f ca="1">IFERROR(__xludf.DUMMYFUNCTION("""COMPUTED_VALUE"""),100000)</f>
        <v>100000</v>
      </c>
      <c r="G1056" s="50" t="str">
        <f ca="1">IFERROR(__xludf.DUMMYFUNCTION("""COMPUTED_VALUE"""),"Zela")</f>
        <v>Zela</v>
      </c>
      <c r="H1056" s="51">
        <f t="shared" ca="1" si="0"/>
        <v>46204</v>
      </c>
      <c r="I1056" s="52" t="e">
        <f ca="1">SUMIFS(OUT!$F$2:$F$11000,OUT!$H$2:$H$11000,H1056,OUT!$D$2:$D$101007,"In")</f>
        <v>#VALUE!</v>
      </c>
      <c r="J1056" s="52">
        <f ca="1">SUMIFS(OUT!$F$2:$F$11000,OUT!$H$2:$H$11000,H1056,OUT!$D$2:$D$11000,"Out")</f>
        <v>9905717</v>
      </c>
      <c r="K1056" s="52">
        <f ca="1">SUMIFS(OUT!$F$2:$F$11000,OUT!$H$2:$H$11000,H1056,OUT!$D$2:$D$11000,"Out",OUT!$E$2:$E$11000,"Fix")</f>
        <v>3048680</v>
      </c>
      <c r="L1056" s="52">
        <f ca="1">SUMIFS(OUT!$F$2:$F$11000,OUT!$H$2:$H$11000,H1056,OUT!$D$2:$D$11000,"Out",OUT!$E$2:$E$11000,"Bathroom")</f>
        <v>50720</v>
      </c>
      <c r="M1056" s="52">
        <f ca="1">SUMIFS(OUT!$F$2:$F$11000,OUT!$H$2:$H$11000,H1056,OUT!$D$2:$D$11000,"Out",OUT!$E$2:$E$11000,"Alfa")</f>
        <v>294200</v>
      </c>
      <c r="N1056" s="52" t="e">
        <f ca="1">SUMIFS(OUT!$F$2:$F$11000,OUT!$H$2:$H$101007,H1056,OUT!$D$2:$D$11000,"Out",OUT!$E$2:$E$11000,"Jajan")</f>
        <v>#VALUE!</v>
      </c>
      <c r="O1056" s="52">
        <f ca="1">SUMIFS(OUT!$F$2:$F$11000,OUT!$H$2:$H$11000,H1056,OUT!$D$2:$D$11000,"Out",OUT!$E$2:$E$11000,"Kitchen")</f>
        <v>1360773</v>
      </c>
      <c r="P1056" s="52">
        <f ca="1">SUMIFS(OUT!$F$2:$F$11000,OUT!$H$2:$H$11000,H1056,OUT!$D$2:$D$11000,"Out",OUT!$E$2:$E$11000,"Loandry")</f>
        <v>11000</v>
      </c>
      <c r="Q1056" s="52">
        <f ca="1">SUMIFS(OUT!$F$2:$F$11000,OUT!$H$2:$H$11000,H1056,OUT!$D$2:$D$11000,"Out",OUT!$E$2:$E$11000,"Mio")</f>
        <v>338500</v>
      </c>
      <c r="R1056" s="52">
        <f ca="1">SUMIFS(OUT!$F$2:$F$11000,OUT!$H$2:$H$11000,H1056,OUT!$D$2:$D$11000,"Out",OUT!$E$2:$E$11000,"Sedekah")</f>
        <v>2500</v>
      </c>
      <c r="S1056" s="52">
        <f ca="1">SUMIFS(OUT!$F$2:$F$11000,OUT!$H$2:$H$11000,H1056,OUT!$D$2:$D$11000,"Out",OUT!$E$2:$E$11000,"Zela")</f>
        <v>387476</v>
      </c>
      <c r="T1056" s="52">
        <f ca="1">SUMIFS(OUT!$F$2:$F$11000,OUT!$H$2:$H$11000,H1056,OUT!$D$2:$D$11000,"Out",OUT!$E$2:$E$11000,"Iqbal")</f>
        <v>231000</v>
      </c>
    </row>
    <row r="1057" spans="1:20" x14ac:dyDescent="0.2">
      <c r="A1057" s="48">
        <f ca="1">IFERROR(__xludf.DUMMYFUNCTION("""COMPUTED_VALUE"""),46206)</f>
        <v>46206</v>
      </c>
      <c r="B1057" s="4" t="str">
        <f ca="1">IFERROR(__xludf.DUMMYFUNCTION("""COMPUTED_VALUE"""),"Terima Tunai ")</f>
        <v xml:space="preserve">Terima Tunai </v>
      </c>
      <c r="C1057" s="4" t="str">
        <f ca="1">IFERROR(__xludf.DUMMYFUNCTION("""COMPUTED_VALUE"""),"Cash")</f>
        <v>Cash</v>
      </c>
      <c r="D1057" s="4" t="str">
        <f ca="1">IFERROR(__xludf.DUMMYFUNCTION("""COMPUTED_VALUE"""),"In")</f>
        <v>In</v>
      </c>
      <c r="E1057" s="4" t="str">
        <f ca="1">IFERROR(__xludf.DUMMYFUNCTION("""COMPUTED_VALUE"""),"Move")</f>
        <v>Move</v>
      </c>
      <c r="F1057" s="49">
        <f ca="1">IFERROR(__xludf.DUMMYFUNCTION("""COMPUTED_VALUE"""),100000)</f>
        <v>100000</v>
      </c>
      <c r="G1057" s="50" t="str">
        <f ca="1">IFERROR(__xludf.DUMMYFUNCTION("""COMPUTED_VALUE"""),"Zela")</f>
        <v>Zela</v>
      </c>
      <c r="H1057" s="51">
        <f t="shared" ca="1" si="0"/>
        <v>46204</v>
      </c>
      <c r="I1057" s="52" t="e">
        <f ca="1">SUMIFS(OUT!$F$2:$F$11000,OUT!$H$2:$H$11000,H1057,OUT!$D$2:$D$101007,"In")</f>
        <v>#VALUE!</v>
      </c>
      <c r="J1057" s="52">
        <f ca="1">SUMIFS(OUT!$F$2:$F$11000,OUT!$H$2:$H$11000,H1057,OUT!$D$2:$D$11000,"Out")</f>
        <v>9905717</v>
      </c>
      <c r="K1057" s="52">
        <f ca="1">SUMIFS(OUT!$F$2:$F$11000,OUT!$H$2:$H$11000,H1057,OUT!$D$2:$D$11000,"Out",OUT!$E$2:$E$11000,"Fix")</f>
        <v>3048680</v>
      </c>
      <c r="L1057" s="52">
        <f ca="1">SUMIFS(OUT!$F$2:$F$11000,OUT!$H$2:$H$11000,H1057,OUT!$D$2:$D$11000,"Out",OUT!$E$2:$E$11000,"Bathroom")</f>
        <v>50720</v>
      </c>
      <c r="M1057" s="52">
        <f ca="1">SUMIFS(OUT!$F$2:$F$11000,OUT!$H$2:$H$11000,H1057,OUT!$D$2:$D$11000,"Out",OUT!$E$2:$E$11000,"Alfa")</f>
        <v>294200</v>
      </c>
      <c r="N1057" s="52" t="e">
        <f ca="1">SUMIFS(OUT!$F$2:$F$11000,OUT!$H$2:$H$101007,H1057,OUT!$D$2:$D$11000,"Out",OUT!$E$2:$E$11000,"Jajan")</f>
        <v>#VALUE!</v>
      </c>
      <c r="O1057" s="52">
        <f ca="1">SUMIFS(OUT!$F$2:$F$11000,OUT!$H$2:$H$11000,H1057,OUT!$D$2:$D$11000,"Out",OUT!$E$2:$E$11000,"Kitchen")</f>
        <v>1360773</v>
      </c>
      <c r="P1057" s="52">
        <f ca="1">SUMIFS(OUT!$F$2:$F$11000,OUT!$H$2:$H$11000,H1057,OUT!$D$2:$D$11000,"Out",OUT!$E$2:$E$11000,"Loandry")</f>
        <v>11000</v>
      </c>
      <c r="Q1057" s="52">
        <f ca="1">SUMIFS(OUT!$F$2:$F$11000,OUT!$H$2:$H$11000,H1057,OUT!$D$2:$D$11000,"Out",OUT!$E$2:$E$11000,"Mio")</f>
        <v>338500</v>
      </c>
      <c r="R1057" s="52">
        <f ca="1">SUMIFS(OUT!$F$2:$F$11000,OUT!$H$2:$H$11000,H1057,OUT!$D$2:$D$11000,"Out",OUT!$E$2:$E$11000,"Sedekah")</f>
        <v>2500</v>
      </c>
      <c r="S1057" s="52">
        <f ca="1">SUMIFS(OUT!$F$2:$F$11000,OUT!$H$2:$H$11000,H1057,OUT!$D$2:$D$11000,"Out",OUT!$E$2:$E$11000,"Zela")</f>
        <v>387476</v>
      </c>
      <c r="T1057" s="52">
        <f ca="1">SUMIFS(OUT!$F$2:$F$11000,OUT!$H$2:$H$11000,H1057,OUT!$D$2:$D$11000,"Out",OUT!$E$2:$E$11000,"Iqbal")</f>
        <v>231000</v>
      </c>
    </row>
    <row r="1058" spans="1:20" x14ac:dyDescent="0.2">
      <c r="A1058" s="48">
        <f ca="1">IFERROR(__xludf.DUMMYFUNCTION("""COMPUTED_VALUE"""),46206)</f>
        <v>46206</v>
      </c>
      <c r="B1058" s="4" t="str">
        <f ca="1">IFERROR(__xludf.DUMMYFUNCTION("""COMPUTED_VALUE"""),"Iklan Promosi VT")</f>
        <v>Iklan Promosi VT</v>
      </c>
      <c r="C1058" s="4" t="str">
        <f ca="1">IFERROR(__xludf.DUMMYFUNCTION("""COMPUTED_VALUE"""),"ATM")</f>
        <v>ATM</v>
      </c>
      <c r="D1058" s="4" t="str">
        <f ca="1">IFERROR(__xludf.DUMMYFUNCTION("""COMPUTED_VALUE"""),"Out")</f>
        <v>Out</v>
      </c>
      <c r="E1058" s="4" t="str">
        <f ca="1">IFERROR(__xludf.DUMMYFUNCTION("""COMPUTED_VALUE"""),"Zela")</f>
        <v>Zela</v>
      </c>
      <c r="F1058" s="49">
        <f ca="1">IFERROR(__xludf.DUMMYFUNCTION("""COMPUTED_VALUE"""),33300)</f>
        <v>33300</v>
      </c>
      <c r="G1058" s="50" t="str">
        <f ca="1">IFERROR(__xludf.DUMMYFUNCTION("""COMPUTED_VALUE"""),"Zela")</f>
        <v>Zela</v>
      </c>
      <c r="H1058" s="51">
        <f t="shared" ca="1" si="0"/>
        <v>46204</v>
      </c>
      <c r="I1058" s="52" t="e">
        <f ca="1">SUMIFS(OUT!$F$2:$F$11000,OUT!$H$2:$H$11000,H1058,OUT!$D$2:$D$101007,"In")</f>
        <v>#VALUE!</v>
      </c>
      <c r="J1058" s="52">
        <f ca="1">SUMIFS(OUT!$F$2:$F$11000,OUT!$H$2:$H$11000,H1058,OUT!$D$2:$D$11000,"Out")</f>
        <v>9905717</v>
      </c>
      <c r="K1058" s="52">
        <f ca="1">SUMIFS(OUT!$F$2:$F$11000,OUT!$H$2:$H$11000,H1058,OUT!$D$2:$D$11000,"Out",OUT!$E$2:$E$11000,"Fix")</f>
        <v>3048680</v>
      </c>
      <c r="L1058" s="52">
        <f ca="1">SUMIFS(OUT!$F$2:$F$11000,OUT!$H$2:$H$11000,H1058,OUT!$D$2:$D$11000,"Out",OUT!$E$2:$E$11000,"Bathroom")</f>
        <v>50720</v>
      </c>
      <c r="M1058" s="52">
        <f ca="1">SUMIFS(OUT!$F$2:$F$11000,OUT!$H$2:$H$11000,H1058,OUT!$D$2:$D$11000,"Out",OUT!$E$2:$E$11000,"Alfa")</f>
        <v>294200</v>
      </c>
      <c r="N1058" s="52" t="e">
        <f ca="1">SUMIFS(OUT!$F$2:$F$11000,OUT!$H$2:$H$101007,H1058,OUT!$D$2:$D$11000,"Out",OUT!$E$2:$E$11000,"Jajan")</f>
        <v>#VALUE!</v>
      </c>
      <c r="O1058" s="52">
        <f ca="1">SUMIFS(OUT!$F$2:$F$11000,OUT!$H$2:$H$11000,H1058,OUT!$D$2:$D$11000,"Out",OUT!$E$2:$E$11000,"Kitchen")</f>
        <v>1360773</v>
      </c>
      <c r="P1058" s="52">
        <f ca="1">SUMIFS(OUT!$F$2:$F$11000,OUT!$H$2:$H$11000,H1058,OUT!$D$2:$D$11000,"Out",OUT!$E$2:$E$11000,"Loandry")</f>
        <v>11000</v>
      </c>
      <c r="Q1058" s="52">
        <f ca="1">SUMIFS(OUT!$F$2:$F$11000,OUT!$H$2:$H$11000,H1058,OUT!$D$2:$D$11000,"Out",OUT!$E$2:$E$11000,"Mio")</f>
        <v>338500</v>
      </c>
      <c r="R1058" s="52">
        <f ca="1">SUMIFS(OUT!$F$2:$F$11000,OUT!$H$2:$H$11000,H1058,OUT!$D$2:$D$11000,"Out",OUT!$E$2:$E$11000,"Sedekah")</f>
        <v>2500</v>
      </c>
      <c r="S1058" s="52">
        <f ca="1">SUMIFS(OUT!$F$2:$F$11000,OUT!$H$2:$H$11000,H1058,OUT!$D$2:$D$11000,"Out",OUT!$E$2:$E$11000,"Zela")</f>
        <v>387476</v>
      </c>
      <c r="T1058" s="52">
        <f ca="1">SUMIFS(OUT!$F$2:$F$11000,OUT!$H$2:$H$11000,H1058,OUT!$D$2:$D$11000,"Out",OUT!$E$2:$E$11000,"Iqbal")</f>
        <v>231000</v>
      </c>
    </row>
    <row r="1059" spans="1:20" x14ac:dyDescent="0.2">
      <c r="A1059" s="48">
        <f ca="1">IFERROR(__xludf.DUMMYFUNCTION("""COMPUTED_VALUE"""),46207)</f>
        <v>46207</v>
      </c>
      <c r="B1059" s="4" t="str">
        <f ca="1">IFERROR(__xludf.DUMMYFUNCTION("""COMPUTED_VALUE"""),"Gorengan")</f>
        <v>Gorengan</v>
      </c>
      <c r="C1059" s="4" t="str">
        <f ca="1">IFERROR(__xludf.DUMMYFUNCTION("""COMPUTED_VALUE"""),"Cash")</f>
        <v>Cash</v>
      </c>
      <c r="D1059" s="4" t="str">
        <f ca="1">IFERROR(__xludf.DUMMYFUNCTION("""COMPUTED_VALUE"""),"Out")</f>
        <v>Out</v>
      </c>
      <c r="E1059" s="4" t="str">
        <f ca="1">IFERROR(__xludf.DUMMYFUNCTION("""COMPUTED_VALUE"""),"Jajan")</f>
        <v>Jajan</v>
      </c>
      <c r="F1059" s="49">
        <f ca="1">IFERROR(__xludf.DUMMYFUNCTION("""COMPUTED_VALUE"""),20000)</f>
        <v>20000</v>
      </c>
      <c r="G1059" s="50" t="str">
        <f ca="1">IFERROR(__xludf.DUMMYFUNCTION("""COMPUTED_VALUE"""),"Zela")</f>
        <v>Zela</v>
      </c>
      <c r="H1059" s="51">
        <f t="shared" ca="1" si="0"/>
        <v>46204</v>
      </c>
      <c r="I1059" s="52" t="e">
        <f ca="1">SUMIFS(OUT!$F$2:$F$11000,OUT!$H$2:$H$11000,H1059,OUT!$D$2:$D$101007,"In")</f>
        <v>#VALUE!</v>
      </c>
      <c r="J1059" s="52">
        <f ca="1">SUMIFS(OUT!$F$2:$F$11000,OUT!$H$2:$H$11000,H1059,OUT!$D$2:$D$11000,"Out")</f>
        <v>9905717</v>
      </c>
      <c r="K1059" s="52">
        <f ca="1">SUMIFS(OUT!$F$2:$F$11000,OUT!$H$2:$H$11000,H1059,OUT!$D$2:$D$11000,"Out",OUT!$E$2:$E$11000,"Fix")</f>
        <v>3048680</v>
      </c>
      <c r="L1059" s="52">
        <f ca="1">SUMIFS(OUT!$F$2:$F$11000,OUT!$H$2:$H$11000,H1059,OUT!$D$2:$D$11000,"Out",OUT!$E$2:$E$11000,"Bathroom")</f>
        <v>50720</v>
      </c>
      <c r="M1059" s="52">
        <f ca="1">SUMIFS(OUT!$F$2:$F$11000,OUT!$H$2:$H$11000,H1059,OUT!$D$2:$D$11000,"Out",OUT!$E$2:$E$11000,"Alfa")</f>
        <v>294200</v>
      </c>
      <c r="N1059" s="52" t="e">
        <f ca="1">SUMIFS(OUT!$F$2:$F$11000,OUT!$H$2:$H$101007,H1059,OUT!$D$2:$D$11000,"Out",OUT!$E$2:$E$11000,"Jajan")</f>
        <v>#VALUE!</v>
      </c>
      <c r="O1059" s="52">
        <f ca="1">SUMIFS(OUT!$F$2:$F$11000,OUT!$H$2:$H$11000,H1059,OUT!$D$2:$D$11000,"Out",OUT!$E$2:$E$11000,"Kitchen")</f>
        <v>1360773</v>
      </c>
      <c r="P1059" s="52">
        <f ca="1">SUMIFS(OUT!$F$2:$F$11000,OUT!$H$2:$H$11000,H1059,OUT!$D$2:$D$11000,"Out",OUT!$E$2:$E$11000,"Loandry")</f>
        <v>11000</v>
      </c>
      <c r="Q1059" s="52">
        <f ca="1">SUMIFS(OUT!$F$2:$F$11000,OUT!$H$2:$H$11000,H1059,OUT!$D$2:$D$11000,"Out",OUT!$E$2:$E$11000,"Mio")</f>
        <v>338500</v>
      </c>
      <c r="R1059" s="52">
        <f ca="1">SUMIFS(OUT!$F$2:$F$11000,OUT!$H$2:$H$11000,H1059,OUT!$D$2:$D$11000,"Out",OUT!$E$2:$E$11000,"Sedekah")</f>
        <v>2500</v>
      </c>
      <c r="S1059" s="52">
        <f ca="1">SUMIFS(OUT!$F$2:$F$11000,OUT!$H$2:$H$11000,H1059,OUT!$D$2:$D$11000,"Out",OUT!$E$2:$E$11000,"Zela")</f>
        <v>387476</v>
      </c>
      <c r="T1059" s="52">
        <f ca="1">SUMIFS(OUT!$F$2:$F$11000,OUT!$H$2:$H$11000,H1059,OUT!$D$2:$D$11000,"Out",OUT!$E$2:$E$11000,"Iqbal")</f>
        <v>231000</v>
      </c>
    </row>
    <row r="1060" spans="1:20" x14ac:dyDescent="0.2">
      <c r="A1060" s="48">
        <f ca="1">IFERROR(__xludf.DUMMYFUNCTION("""COMPUTED_VALUE"""),46207)</f>
        <v>46207</v>
      </c>
      <c r="B1060" s="4" t="str">
        <f ca="1">IFERROR(__xludf.DUMMYFUNCTION("""COMPUTED_VALUE"""),"Teh telor")</f>
        <v>Teh telor</v>
      </c>
      <c r="C1060" s="4" t="str">
        <f ca="1">IFERROR(__xludf.DUMMYFUNCTION("""COMPUTED_VALUE"""),"Cash")</f>
        <v>Cash</v>
      </c>
      <c r="D1060" s="4" t="str">
        <f ca="1">IFERROR(__xludf.DUMMYFUNCTION("""COMPUTED_VALUE"""),"Out")</f>
        <v>Out</v>
      </c>
      <c r="E1060" s="4" t="str">
        <f ca="1">IFERROR(__xludf.DUMMYFUNCTION("""COMPUTED_VALUE"""),"Iqbal")</f>
        <v>Iqbal</v>
      </c>
      <c r="F1060" s="49">
        <f ca="1">IFERROR(__xludf.DUMMYFUNCTION("""COMPUTED_VALUE"""),13000)</f>
        <v>13000</v>
      </c>
      <c r="G1060" s="50" t="str">
        <f ca="1">IFERROR(__xludf.DUMMYFUNCTION("""COMPUTED_VALUE"""),"Zela")</f>
        <v>Zela</v>
      </c>
      <c r="H1060" s="51">
        <f t="shared" ca="1" si="0"/>
        <v>46204</v>
      </c>
      <c r="I1060" s="52" t="e">
        <f ca="1">SUMIFS(OUT!$F$2:$F$11000,OUT!$H$2:$H$11000,H1060,OUT!$D$2:$D$101007,"In")</f>
        <v>#VALUE!</v>
      </c>
      <c r="J1060" s="52">
        <f ca="1">SUMIFS(OUT!$F$2:$F$11000,OUT!$H$2:$H$11000,H1060,OUT!$D$2:$D$11000,"Out")</f>
        <v>9905717</v>
      </c>
      <c r="K1060" s="52">
        <f ca="1">SUMIFS(OUT!$F$2:$F$11000,OUT!$H$2:$H$11000,H1060,OUT!$D$2:$D$11000,"Out",OUT!$E$2:$E$11000,"Fix")</f>
        <v>3048680</v>
      </c>
      <c r="L1060" s="52">
        <f ca="1">SUMIFS(OUT!$F$2:$F$11000,OUT!$H$2:$H$11000,H1060,OUT!$D$2:$D$11000,"Out",OUT!$E$2:$E$11000,"Bathroom")</f>
        <v>50720</v>
      </c>
      <c r="M1060" s="52">
        <f ca="1">SUMIFS(OUT!$F$2:$F$11000,OUT!$H$2:$H$11000,H1060,OUT!$D$2:$D$11000,"Out",OUT!$E$2:$E$11000,"Alfa")</f>
        <v>294200</v>
      </c>
      <c r="N1060" s="52" t="e">
        <f ca="1">SUMIFS(OUT!$F$2:$F$11000,OUT!$H$2:$H$101007,H1060,OUT!$D$2:$D$11000,"Out",OUT!$E$2:$E$11000,"Jajan")</f>
        <v>#VALUE!</v>
      </c>
      <c r="O1060" s="52">
        <f ca="1">SUMIFS(OUT!$F$2:$F$11000,OUT!$H$2:$H$11000,H1060,OUT!$D$2:$D$11000,"Out",OUT!$E$2:$E$11000,"Kitchen")</f>
        <v>1360773</v>
      </c>
      <c r="P1060" s="52">
        <f ca="1">SUMIFS(OUT!$F$2:$F$11000,OUT!$H$2:$H$11000,H1060,OUT!$D$2:$D$11000,"Out",OUT!$E$2:$E$11000,"Loandry")</f>
        <v>11000</v>
      </c>
      <c r="Q1060" s="52">
        <f ca="1">SUMIFS(OUT!$F$2:$F$11000,OUT!$H$2:$H$11000,H1060,OUT!$D$2:$D$11000,"Out",OUT!$E$2:$E$11000,"Mio")</f>
        <v>338500</v>
      </c>
      <c r="R1060" s="52">
        <f ca="1">SUMIFS(OUT!$F$2:$F$11000,OUT!$H$2:$H$11000,H1060,OUT!$D$2:$D$11000,"Out",OUT!$E$2:$E$11000,"Sedekah")</f>
        <v>2500</v>
      </c>
      <c r="S1060" s="52">
        <f ca="1">SUMIFS(OUT!$F$2:$F$11000,OUT!$H$2:$H$11000,H1060,OUT!$D$2:$D$11000,"Out",OUT!$E$2:$E$11000,"Zela")</f>
        <v>387476</v>
      </c>
      <c r="T1060" s="52">
        <f ca="1">SUMIFS(OUT!$F$2:$F$11000,OUT!$H$2:$H$11000,H1060,OUT!$D$2:$D$11000,"Out",OUT!$E$2:$E$11000,"Iqbal")</f>
        <v>231000</v>
      </c>
    </row>
    <row r="1061" spans="1:20" x14ac:dyDescent="0.2">
      <c r="A1061" s="48">
        <f ca="1">IFERROR(__xludf.DUMMYFUNCTION("""COMPUTED_VALUE"""),46207)</f>
        <v>46207</v>
      </c>
      <c r="B1061" s="4" t="str">
        <f ca="1">IFERROR(__xludf.DUMMYFUNCTION("""COMPUTED_VALUE"""),"Pertalite")</f>
        <v>Pertalite</v>
      </c>
      <c r="C1061" s="4" t="str">
        <f ca="1">IFERROR(__xludf.DUMMYFUNCTION("""COMPUTED_VALUE"""),"Cash")</f>
        <v>Cash</v>
      </c>
      <c r="D1061" s="4" t="str">
        <f ca="1">IFERROR(__xludf.DUMMYFUNCTION("""COMPUTED_VALUE"""),"Out")</f>
        <v>Out</v>
      </c>
      <c r="E1061" s="4" t="str">
        <f ca="1">IFERROR(__xludf.DUMMYFUNCTION("""COMPUTED_VALUE"""),"Mio")</f>
        <v>Mio</v>
      </c>
      <c r="F1061" s="49">
        <f ca="1">IFERROR(__xludf.DUMMYFUNCTION("""COMPUTED_VALUE"""),20000)</f>
        <v>20000</v>
      </c>
      <c r="G1061" s="50" t="str">
        <f ca="1">IFERROR(__xludf.DUMMYFUNCTION("""COMPUTED_VALUE"""),"Zela")</f>
        <v>Zela</v>
      </c>
      <c r="H1061" s="51">
        <f t="shared" ca="1" si="0"/>
        <v>46204</v>
      </c>
      <c r="I1061" s="52" t="e">
        <f ca="1">SUMIFS(OUT!$F$2:$F$11000,OUT!$H$2:$H$11000,H1061,OUT!$D$2:$D$101007,"In")</f>
        <v>#VALUE!</v>
      </c>
      <c r="J1061" s="52">
        <f ca="1">SUMIFS(OUT!$F$2:$F$11000,OUT!$H$2:$H$11000,H1061,OUT!$D$2:$D$11000,"Out")</f>
        <v>9905717</v>
      </c>
      <c r="K1061" s="52">
        <f ca="1">SUMIFS(OUT!$F$2:$F$11000,OUT!$H$2:$H$11000,H1061,OUT!$D$2:$D$11000,"Out",OUT!$E$2:$E$11000,"Fix")</f>
        <v>3048680</v>
      </c>
      <c r="L1061" s="52">
        <f ca="1">SUMIFS(OUT!$F$2:$F$11000,OUT!$H$2:$H$11000,H1061,OUT!$D$2:$D$11000,"Out",OUT!$E$2:$E$11000,"Bathroom")</f>
        <v>50720</v>
      </c>
      <c r="M1061" s="52">
        <f ca="1">SUMIFS(OUT!$F$2:$F$11000,OUT!$H$2:$H$11000,H1061,OUT!$D$2:$D$11000,"Out",OUT!$E$2:$E$11000,"Alfa")</f>
        <v>294200</v>
      </c>
      <c r="N1061" s="52" t="e">
        <f ca="1">SUMIFS(OUT!$F$2:$F$11000,OUT!$H$2:$H$101007,H1061,OUT!$D$2:$D$11000,"Out",OUT!$E$2:$E$11000,"Jajan")</f>
        <v>#VALUE!</v>
      </c>
      <c r="O1061" s="52">
        <f ca="1">SUMIFS(OUT!$F$2:$F$11000,OUT!$H$2:$H$11000,H1061,OUT!$D$2:$D$11000,"Out",OUT!$E$2:$E$11000,"Kitchen")</f>
        <v>1360773</v>
      </c>
      <c r="P1061" s="52">
        <f ca="1">SUMIFS(OUT!$F$2:$F$11000,OUT!$H$2:$H$11000,H1061,OUT!$D$2:$D$11000,"Out",OUT!$E$2:$E$11000,"Loandry")</f>
        <v>11000</v>
      </c>
      <c r="Q1061" s="52">
        <f ca="1">SUMIFS(OUT!$F$2:$F$11000,OUT!$H$2:$H$11000,H1061,OUT!$D$2:$D$11000,"Out",OUT!$E$2:$E$11000,"Mio")</f>
        <v>338500</v>
      </c>
      <c r="R1061" s="52">
        <f ca="1">SUMIFS(OUT!$F$2:$F$11000,OUT!$H$2:$H$11000,H1061,OUT!$D$2:$D$11000,"Out",OUT!$E$2:$E$11000,"Sedekah")</f>
        <v>2500</v>
      </c>
      <c r="S1061" s="52">
        <f ca="1">SUMIFS(OUT!$F$2:$F$11000,OUT!$H$2:$H$11000,H1061,OUT!$D$2:$D$11000,"Out",OUT!$E$2:$E$11000,"Zela")</f>
        <v>387476</v>
      </c>
      <c r="T1061" s="52">
        <f ca="1">SUMIFS(OUT!$F$2:$F$11000,OUT!$H$2:$H$11000,H1061,OUT!$D$2:$D$11000,"Out",OUT!$E$2:$E$11000,"Iqbal")</f>
        <v>231000</v>
      </c>
    </row>
    <row r="1062" spans="1:20" x14ac:dyDescent="0.2">
      <c r="A1062" s="48">
        <f ca="1">IFERROR(__xludf.DUMMYFUNCTION("""COMPUTED_VALUE"""),46208)</f>
        <v>46208</v>
      </c>
      <c r="B1062" s="4" t="str">
        <f ca="1">IFERROR(__xludf.DUMMYFUNCTION("""COMPUTED_VALUE"""),"Roti gepeng, gentlegen, teh, susu")</f>
        <v>Roti gepeng, gentlegen, teh, susu</v>
      </c>
      <c r="C1062" s="4" t="str">
        <f ca="1">IFERROR(__xludf.DUMMYFUNCTION("""COMPUTED_VALUE"""),"Cash")</f>
        <v>Cash</v>
      </c>
      <c r="D1062" s="4" t="str">
        <f ca="1">IFERROR(__xludf.DUMMYFUNCTION("""COMPUTED_VALUE"""),"Out")</f>
        <v>Out</v>
      </c>
      <c r="E1062" s="4" t="str">
        <f ca="1">IFERROR(__xludf.DUMMYFUNCTION("""COMPUTED_VALUE"""),"Jajan")</f>
        <v>Jajan</v>
      </c>
      <c r="F1062" s="49">
        <f ca="1">IFERROR(__xludf.DUMMYFUNCTION("""COMPUTED_VALUE"""),35000)</f>
        <v>35000</v>
      </c>
      <c r="G1062" s="50" t="str">
        <f ca="1">IFERROR(__xludf.DUMMYFUNCTION("""COMPUTED_VALUE"""),"Zela")</f>
        <v>Zela</v>
      </c>
      <c r="H1062" s="51">
        <f t="shared" ca="1" si="0"/>
        <v>46204</v>
      </c>
      <c r="I1062" s="52" t="e">
        <f ca="1">SUMIFS(OUT!$F$2:$F$11000,OUT!$H$2:$H$11000,H1062,OUT!$D$2:$D$101007,"In")</f>
        <v>#VALUE!</v>
      </c>
      <c r="J1062" s="52">
        <f ca="1">SUMIFS(OUT!$F$2:$F$11000,OUT!$H$2:$H$11000,H1062,OUT!$D$2:$D$11000,"Out")</f>
        <v>9905717</v>
      </c>
      <c r="K1062" s="52">
        <f ca="1">SUMIFS(OUT!$F$2:$F$11000,OUT!$H$2:$H$11000,H1062,OUT!$D$2:$D$11000,"Out",OUT!$E$2:$E$11000,"Fix")</f>
        <v>3048680</v>
      </c>
      <c r="L1062" s="52">
        <f ca="1">SUMIFS(OUT!$F$2:$F$11000,OUT!$H$2:$H$11000,H1062,OUT!$D$2:$D$11000,"Out",OUT!$E$2:$E$11000,"Bathroom")</f>
        <v>50720</v>
      </c>
      <c r="M1062" s="52">
        <f ca="1">SUMIFS(OUT!$F$2:$F$11000,OUT!$H$2:$H$11000,H1062,OUT!$D$2:$D$11000,"Out",OUT!$E$2:$E$11000,"Alfa")</f>
        <v>294200</v>
      </c>
      <c r="N1062" s="52" t="e">
        <f ca="1">SUMIFS(OUT!$F$2:$F$11000,OUT!$H$2:$H$101007,H1062,OUT!$D$2:$D$11000,"Out",OUT!$E$2:$E$11000,"Jajan")</f>
        <v>#VALUE!</v>
      </c>
      <c r="O1062" s="52">
        <f ca="1">SUMIFS(OUT!$F$2:$F$11000,OUT!$H$2:$H$11000,H1062,OUT!$D$2:$D$11000,"Out",OUT!$E$2:$E$11000,"Kitchen")</f>
        <v>1360773</v>
      </c>
      <c r="P1062" s="52">
        <f ca="1">SUMIFS(OUT!$F$2:$F$11000,OUT!$H$2:$H$11000,H1062,OUT!$D$2:$D$11000,"Out",OUT!$E$2:$E$11000,"Loandry")</f>
        <v>11000</v>
      </c>
      <c r="Q1062" s="52">
        <f ca="1">SUMIFS(OUT!$F$2:$F$11000,OUT!$H$2:$H$11000,H1062,OUT!$D$2:$D$11000,"Out",OUT!$E$2:$E$11000,"Mio")</f>
        <v>338500</v>
      </c>
      <c r="R1062" s="52">
        <f ca="1">SUMIFS(OUT!$F$2:$F$11000,OUT!$H$2:$H$11000,H1062,OUT!$D$2:$D$11000,"Out",OUT!$E$2:$E$11000,"Sedekah")</f>
        <v>2500</v>
      </c>
      <c r="S1062" s="52">
        <f ca="1">SUMIFS(OUT!$F$2:$F$11000,OUT!$H$2:$H$11000,H1062,OUT!$D$2:$D$11000,"Out",OUT!$E$2:$E$11000,"Zela")</f>
        <v>387476</v>
      </c>
      <c r="T1062" s="52">
        <f ca="1">SUMIFS(OUT!$F$2:$F$11000,OUT!$H$2:$H$11000,H1062,OUT!$D$2:$D$11000,"Out",OUT!$E$2:$E$11000,"Iqbal")</f>
        <v>231000</v>
      </c>
    </row>
    <row r="1063" spans="1:20" x14ac:dyDescent="0.2">
      <c r="A1063" s="48">
        <f ca="1">IFERROR(__xludf.DUMMYFUNCTION("""COMPUTED_VALUE"""),46208)</f>
        <v>46208</v>
      </c>
      <c r="B1063" s="4" t="str">
        <f ca="1">IFERROR(__xludf.DUMMYFUNCTION("""COMPUTED_VALUE"""),"Suamiku")</f>
        <v>Suamiku</v>
      </c>
      <c r="C1063" s="4" t="str">
        <f ca="1">IFERROR(__xludf.DUMMYFUNCTION("""COMPUTED_VALUE"""),"ATM")</f>
        <v>ATM</v>
      </c>
      <c r="D1063" s="4" t="str">
        <f ca="1">IFERROR(__xludf.DUMMYFUNCTION("""COMPUTED_VALUE"""),"In")</f>
        <v>In</v>
      </c>
      <c r="E1063" s="4" t="str">
        <f ca="1">IFERROR(__xludf.DUMMYFUNCTION("""COMPUTED_VALUE"""),"Fix")</f>
        <v>Fix</v>
      </c>
      <c r="F1063" s="49">
        <f ca="1">IFERROR(__xludf.DUMMYFUNCTION("""COMPUTED_VALUE"""),35000)</f>
        <v>35000</v>
      </c>
      <c r="G1063" s="50" t="str">
        <f ca="1">IFERROR(__xludf.DUMMYFUNCTION("""COMPUTED_VALUE"""),"Zela")</f>
        <v>Zela</v>
      </c>
      <c r="H1063" s="51">
        <f t="shared" ca="1" si="0"/>
        <v>46204</v>
      </c>
      <c r="I1063" s="52" t="e">
        <f ca="1">SUMIFS(OUT!$F$2:$F$11000,OUT!$H$2:$H$11000,H1063,OUT!$D$2:$D$101007,"In")</f>
        <v>#VALUE!</v>
      </c>
      <c r="J1063" s="52">
        <f ca="1">SUMIFS(OUT!$F$2:$F$11000,OUT!$H$2:$H$11000,H1063,OUT!$D$2:$D$11000,"Out")</f>
        <v>9905717</v>
      </c>
      <c r="K1063" s="52">
        <f ca="1">SUMIFS(OUT!$F$2:$F$11000,OUT!$H$2:$H$11000,H1063,OUT!$D$2:$D$11000,"Out",OUT!$E$2:$E$11000,"Fix")</f>
        <v>3048680</v>
      </c>
      <c r="L1063" s="52">
        <f ca="1">SUMIFS(OUT!$F$2:$F$11000,OUT!$H$2:$H$11000,H1063,OUT!$D$2:$D$11000,"Out",OUT!$E$2:$E$11000,"Bathroom")</f>
        <v>50720</v>
      </c>
      <c r="M1063" s="52">
        <f ca="1">SUMIFS(OUT!$F$2:$F$11000,OUT!$H$2:$H$11000,H1063,OUT!$D$2:$D$11000,"Out",OUT!$E$2:$E$11000,"Alfa")</f>
        <v>294200</v>
      </c>
      <c r="N1063" s="52" t="e">
        <f ca="1">SUMIFS(OUT!$F$2:$F$11000,OUT!$H$2:$H$101007,H1063,OUT!$D$2:$D$11000,"Out",OUT!$E$2:$E$11000,"Jajan")</f>
        <v>#VALUE!</v>
      </c>
      <c r="O1063" s="52">
        <f ca="1">SUMIFS(OUT!$F$2:$F$11000,OUT!$H$2:$H$11000,H1063,OUT!$D$2:$D$11000,"Out",OUT!$E$2:$E$11000,"Kitchen")</f>
        <v>1360773</v>
      </c>
      <c r="P1063" s="52">
        <f ca="1">SUMIFS(OUT!$F$2:$F$11000,OUT!$H$2:$H$11000,H1063,OUT!$D$2:$D$11000,"Out",OUT!$E$2:$E$11000,"Loandry")</f>
        <v>11000</v>
      </c>
      <c r="Q1063" s="52">
        <f ca="1">SUMIFS(OUT!$F$2:$F$11000,OUT!$H$2:$H$11000,H1063,OUT!$D$2:$D$11000,"Out",OUT!$E$2:$E$11000,"Mio")</f>
        <v>338500</v>
      </c>
      <c r="R1063" s="52">
        <f ca="1">SUMIFS(OUT!$F$2:$F$11000,OUT!$H$2:$H$11000,H1063,OUT!$D$2:$D$11000,"Out",OUT!$E$2:$E$11000,"Sedekah")</f>
        <v>2500</v>
      </c>
      <c r="S1063" s="52">
        <f ca="1">SUMIFS(OUT!$F$2:$F$11000,OUT!$H$2:$H$11000,H1063,OUT!$D$2:$D$11000,"Out",OUT!$E$2:$E$11000,"Zela")</f>
        <v>387476</v>
      </c>
      <c r="T1063" s="52">
        <f ca="1">SUMIFS(OUT!$F$2:$F$11000,OUT!$H$2:$H$11000,H1063,OUT!$D$2:$D$11000,"Out",OUT!$E$2:$E$11000,"Iqbal")</f>
        <v>231000</v>
      </c>
    </row>
    <row r="1064" spans="1:20" x14ac:dyDescent="0.2">
      <c r="A1064" s="48">
        <f ca="1">IFERROR(__xludf.DUMMYFUNCTION("""COMPUTED_VALUE"""),46208)</f>
        <v>46208</v>
      </c>
      <c r="B1064" s="4" t="str">
        <f ca="1">IFERROR(__xludf.DUMMYFUNCTION("""COMPUTED_VALUE"""),"Parkir ekahospital")</f>
        <v>Parkir ekahospital</v>
      </c>
      <c r="C1064" s="4" t="str">
        <f ca="1">IFERROR(__xludf.DUMMYFUNCTION("""COMPUTED_VALUE"""),"Cash")</f>
        <v>Cash</v>
      </c>
      <c r="D1064" s="4" t="str">
        <f ca="1">IFERROR(__xludf.DUMMYFUNCTION("""COMPUTED_VALUE"""),"Out")</f>
        <v>Out</v>
      </c>
      <c r="E1064" s="4" t="str">
        <f ca="1">IFERROR(__xludf.DUMMYFUNCTION("""COMPUTED_VALUE"""),"Iqbal")</f>
        <v>Iqbal</v>
      </c>
      <c r="F1064" s="49">
        <f ca="1">IFERROR(__xludf.DUMMYFUNCTION("""COMPUTED_VALUE"""),2000)</f>
        <v>2000</v>
      </c>
      <c r="G1064" s="50" t="str">
        <f ca="1">IFERROR(__xludf.DUMMYFUNCTION("""COMPUTED_VALUE"""),"Zela")</f>
        <v>Zela</v>
      </c>
      <c r="H1064" s="51">
        <f t="shared" ca="1" si="0"/>
        <v>46204</v>
      </c>
      <c r="I1064" s="52" t="e">
        <f ca="1">SUMIFS(OUT!$F$2:$F$11000,OUT!$H$2:$H$11000,H1064,OUT!$D$2:$D$101007,"In")</f>
        <v>#VALUE!</v>
      </c>
      <c r="J1064" s="52">
        <f ca="1">SUMIFS(OUT!$F$2:$F$11000,OUT!$H$2:$H$11000,H1064,OUT!$D$2:$D$11000,"Out")</f>
        <v>9905717</v>
      </c>
      <c r="K1064" s="52">
        <f ca="1">SUMIFS(OUT!$F$2:$F$11000,OUT!$H$2:$H$11000,H1064,OUT!$D$2:$D$11000,"Out",OUT!$E$2:$E$11000,"Fix")</f>
        <v>3048680</v>
      </c>
      <c r="L1064" s="52">
        <f ca="1">SUMIFS(OUT!$F$2:$F$11000,OUT!$H$2:$H$11000,H1064,OUT!$D$2:$D$11000,"Out",OUT!$E$2:$E$11000,"Bathroom")</f>
        <v>50720</v>
      </c>
      <c r="M1064" s="52">
        <f ca="1">SUMIFS(OUT!$F$2:$F$11000,OUT!$H$2:$H$11000,H1064,OUT!$D$2:$D$11000,"Out",OUT!$E$2:$E$11000,"Alfa")</f>
        <v>294200</v>
      </c>
      <c r="N1064" s="52" t="e">
        <f ca="1">SUMIFS(OUT!$F$2:$F$11000,OUT!$H$2:$H$101007,H1064,OUT!$D$2:$D$11000,"Out",OUT!$E$2:$E$11000,"Jajan")</f>
        <v>#VALUE!</v>
      </c>
      <c r="O1064" s="52">
        <f ca="1">SUMIFS(OUT!$F$2:$F$11000,OUT!$H$2:$H$11000,H1064,OUT!$D$2:$D$11000,"Out",OUT!$E$2:$E$11000,"Kitchen")</f>
        <v>1360773</v>
      </c>
      <c r="P1064" s="52">
        <f ca="1">SUMIFS(OUT!$F$2:$F$11000,OUT!$H$2:$H$11000,H1064,OUT!$D$2:$D$11000,"Out",OUT!$E$2:$E$11000,"Loandry")</f>
        <v>11000</v>
      </c>
      <c r="Q1064" s="52">
        <f ca="1">SUMIFS(OUT!$F$2:$F$11000,OUT!$H$2:$H$11000,H1064,OUT!$D$2:$D$11000,"Out",OUT!$E$2:$E$11000,"Mio")</f>
        <v>338500</v>
      </c>
      <c r="R1064" s="52">
        <f ca="1">SUMIFS(OUT!$F$2:$F$11000,OUT!$H$2:$H$11000,H1064,OUT!$D$2:$D$11000,"Out",OUT!$E$2:$E$11000,"Sedekah")</f>
        <v>2500</v>
      </c>
      <c r="S1064" s="52">
        <f ca="1">SUMIFS(OUT!$F$2:$F$11000,OUT!$H$2:$H$11000,H1064,OUT!$D$2:$D$11000,"Out",OUT!$E$2:$E$11000,"Zela")</f>
        <v>387476</v>
      </c>
      <c r="T1064" s="52">
        <f ca="1">SUMIFS(OUT!$F$2:$F$11000,OUT!$H$2:$H$11000,H1064,OUT!$D$2:$D$11000,"Out",OUT!$E$2:$E$11000,"Iqbal")</f>
        <v>231000</v>
      </c>
    </row>
    <row r="1065" spans="1:20" x14ac:dyDescent="0.2">
      <c r="A1065" s="48">
        <f ca="1">IFERROR(__xludf.DUMMYFUNCTION("""COMPUTED_VALUE"""),46208)</f>
        <v>46208</v>
      </c>
      <c r="B1065" s="4" t="str">
        <f ca="1">IFERROR(__xludf.DUMMYFUNCTION("""COMPUTED_VALUE"""),"Tarik tunai")</f>
        <v>Tarik tunai</v>
      </c>
      <c r="C1065" s="4" t="str">
        <f ca="1">IFERROR(__xludf.DUMMYFUNCTION("""COMPUTED_VALUE"""),"ATM")</f>
        <v>ATM</v>
      </c>
      <c r="D1065" s="4" t="str">
        <f ca="1">IFERROR(__xludf.DUMMYFUNCTION("""COMPUTED_VALUE"""),"Out")</f>
        <v>Out</v>
      </c>
      <c r="E1065" s="4" t="str">
        <f ca="1">IFERROR(__xludf.DUMMYFUNCTION("""COMPUTED_VALUE"""),"Move")</f>
        <v>Move</v>
      </c>
      <c r="F1065" s="49">
        <f ca="1">IFERROR(__xludf.DUMMYFUNCTION("""COMPUTED_VALUE"""),100000)</f>
        <v>100000</v>
      </c>
      <c r="G1065" s="50" t="str">
        <f ca="1">IFERROR(__xludf.DUMMYFUNCTION("""COMPUTED_VALUE"""),"Zela")</f>
        <v>Zela</v>
      </c>
      <c r="H1065" s="51">
        <f t="shared" ca="1" si="0"/>
        <v>46204</v>
      </c>
      <c r="I1065" s="52" t="e">
        <f ca="1">SUMIFS(OUT!$F$2:$F$11000,OUT!$H$2:$H$11000,H1065,OUT!$D$2:$D$101007,"In")</f>
        <v>#VALUE!</v>
      </c>
      <c r="J1065" s="52">
        <f ca="1">SUMIFS(OUT!$F$2:$F$11000,OUT!$H$2:$H$11000,H1065,OUT!$D$2:$D$11000,"Out")</f>
        <v>9905717</v>
      </c>
      <c r="K1065" s="52">
        <f ca="1">SUMIFS(OUT!$F$2:$F$11000,OUT!$H$2:$H$11000,H1065,OUT!$D$2:$D$11000,"Out",OUT!$E$2:$E$11000,"Fix")</f>
        <v>3048680</v>
      </c>
      <c r="L1065" s="52">
        <f ca="1">SUMIFS(OUT!$F$2:$F$11000,OUT!$H$2:$H$11000,H1065,OUT!$D$2:$D$11000,"Out",OUT!$E$2:$E$11000,"Bathroom")</f>
        <v>50720</v>
      </c>
      <c r="M1065" s="52">
        <f ca="1">SUMIFS(OUT!$F$2:$F$11000,OUT!$H$2:$H$11000,H1065,OUT!$D$2:$D$11000,"Out",OUT!$E$2:$E$11000,"Alfa")</f>
        <v>294200</v>
      </c>
      <c r="N1065" s="52" t="e">
        <f ca="1">SUMIFS(OUT!$F$2:$F$11000,OUT!$H$2:$H$101007,H1065,OUT!$D$2:$D$11000,"Out",OUT!$E$2:$E$11000,"Jajan")</f>
        <v>#VALUE!</v>
      </c>
      <c r="O1065" s="52">
        <f ca="1">SUMIFS(OUT!$F$2:$F$11000,OUT!$H$2:$H$11000,H1065,OUT!$D$2:$D$11000,"Out",OUT!$E$2:$E$11000,"Kitchen")</f>
        <v>1360773</v>
      </c>
      <c r="P1065" s="52">
        <f ca="1">SUMIFS(OUT!$F$2:$F$11000,OUT!$H$2:$H$11000,H1065,OUT!$D$2:$D$11000,"Out",OUT!$E$2:$E$11000,"Loandry")</f>
        <v>11000</v>
      </c>
      <c r="Q1065" s="52">
        <f ca="1">SUMIFS(OUT!$F$2:$F$11000,OUT!$H$2:$H$11000,H1065,OUT!$D$2:$D$11000,"Out",OUT!$E$2:$E$11000,"Mio")</f>
        <v>338500</v>
      </c>
      <c r="R1065" s="52">
        <f ca="1">SUMIFS(OUT!$F$2:$F$11000,OUT!$H$2:$H$11000,H1065,OUT!$D$2:$D$11000,"Out",OUT!$E$2:$E$11000,"Sedekah")</f>
        <v>2500</v>
      </c>
      <c r="S1065" s="52">
        <f ca="1">SUMIFS(OUT!$F$2:$F$11000,OUT!$H$2:$H$11000,H1065,OUT!$D$2:$D$11000,"Out",OUT!$E$2:$E$11000,"Zela")</f>
        <v>387476</v>
      </c>
      <c r="T1065" s="52">
        <f ca="1">SUMIFS(OUT!$F$2:$F$11000,OUT!$H$2:$H$11000,H1065,OUT!$D$2:$D$11000,"Out",OUT!$E$2:$E$11000,"Iqbal")</f>
        <v>231000</v>
      </c>
    </row>
    <row r="1066" spans="1:20" x14ac:dyDescent="0.2">
      <c r="A1066" s="48">
        <f ca="1">IFERROR(__xludf.DUMMYFUNCTION("""COMPUTED_VALUE"""),46208)</f>
        <v>46208</v>
      </c>
      <c r="B1066" s="4" t="str">
        <f ca="1">IFERROR(__xludf.DUMMYFUNCTION("""COMPUTED_VALUE"""),"terima tunai")</f>
        <v>terima tunai</v>
      </c>
      <c r="C1066" s="4" t="str">
        <f ca="1">IFERROR(__xludf.DUMMYFUNCTION("""COMPUTED_VALUE"""),"Cash")</f>
        <v>Cash</v>
      </c>
      <c r="D1066" s="4" t="str">
        <f ca="1">IFERROR(__xludf.DUMMYFUNCTION("""COMPUTED_VALUE"""),"In")</f>
        <v>In</v>
      </c>
      <c r="E1066" s="4" t="str">
        <f ca="1">IFERROR(__xludf.DUMMYFUNCTION("""COMPUTED_VALUE"""),"Move")</f>
        <v>Move</v>
      </c>
      <c r="F1066" s="49">
        <f ca="1">IFERROR(__xludf.DUMMYFUNCTION("""COMPUTED_VALUE"""),100000)</f>
        <v>100000</v>
      </c>
      <c r="G1066" s="50" t="str">
        <f ca="1">IFERROR(__xludf.DUMMYFUNCTION("""COMPUTED_VALUE"""),"Zela")</f>
        <v>Zela</v>
      </c>
      <c r="H1066" s="51">
        <f t="shared" ca="1" si="0"/>
        <v>46204</v>
      </c>
      <c r="I1066" s="52" t="e">
        <f ca="1">SUMIFS(OUT!$F$2:$F$11000,OUT!$H$2:$H$11000,H1066,OUT!$D$2:$D$101007,"In")</f>
        <v>#VALUE!</v>
      </c>
      <c r="J1066" s="52">
        <f ca="1">SUMIFS(OUT!$F$2:$F$11000,OUT!$H$2:$H$11000,H1066,OUT!$D$2:$D$11000,"Out")</f>
        <v>9905717</v>
      </c>
      <c r="K1066" s="52">
        <f ca="1">SUMIFS(OUT!$F$2:$F$11000,OUT!$H$2:$H$11000,H1066,OUT!$D$2:$D$11000,"Out",OUT!$E$2:$E$11000,"Fix")</f>
        <v>3048680</v>
      </c>
      <c r="L1066" s="52">
        <f ca="1">SUMIFS(OUT!$F$2:$F$11000,OUT!$H$2:$H$11000,H1066,OUT!$D$2:$D$11000,"Out",OUT!$E$2:$E$11000,"Bathroom")</f>
        <v>50720</v>
      </c>
      <c r="M1066" s="52">
        <f ca="1">SUMIFS(OUT!$F$2:$F$11000,OUT!$H$2:$H$11000,H1066,OUT!$D$2:$D$11000,"Out",OUT!$E$2:$E$11000,"Alfa")</f>
        <v>294200</v>
      </c>
      <c r="N1066" s="52" t="e">
        <f ca="1">SUMIFS(OUT!$F$2:$F$11000,OUT!$H$2:$H$101007,H1066,OUT!$D$2:$D$11000,"Out",OUT!$E$2:$E$11000,"Jajan")</f>
        <v>#VALUE!</v>
      </c>
      <c r="O1066" s="52">
        <f ca="1">SUMIFS(OUT!$F$2:$F$11000,OUT!$H$2:$H$11000,H1066,OUT!$D$2:$D$11000,"Out",OUT!$E$2:$E$11000,"Kitchen")</f>
        <v>1360773</v>
      </c>
      <c r="P1066" s="52">
        <f ca="1">SUMIFS(OUT!$F$2:$F$11000,OUT!$H$2:$H$11000,H1066,OUT!$D$2:$D$11000,"Out",OUT!$E$2:$E$11000,"Loandry")</f>
        <v>11000</v>
      </c>
      <c r="Q1066" s="52">
        <f ca="1">SUMIFS(OUT!$F$2:$F$11000,OUT!$H$2:$H$11000,H1066,OUT!$D$2:$D$11000,"Out",OUT!$E$2:$E$11000,"Mio")</f>
        <v>338500</v>
      </c>
      <c r="R1066" s="52">
        <f ca="1">SUMIFS(OUT!$F$2:$F$11000,OUT!$H$2:$H$11000,H1066,OUT!$D$2:$D$11000,"Out",OUT!$E$2:$E$11000,"Sedekah")</f>
        <v>2500</v>
      </c>
      <c r="S1066" s="52">
        <f ca="1">SUMIFS(OUT!$F$2:$F$11000,OUT!$H$2:$H$11000,H1066,OUT!$D$2:$D$11000,"Out",OUT!$E$2:$E$11000,"Zela")</f>
        <v>387476</v>
      </c>
      <c r="T1066" s="52">
        <f ca="1">SUMIFS(OUT!$F$2:$F$11000,OUT!$H$2:$H$11000,H1066,OUT!$D$2:$D$11000,"Out",OUT!$E$2:$E$11000,"Iqbal")</f>
        <v>231000</v>
      </c>
    </row>
    <row r="1067" spans="1:20" x14ac:dyDescent="0.2">
      <c r="A1067" s="48">
        <f ca="1">IFERROR(__xludf.DUMMYFUNCTION("""COMPUTED_VALUE"""),46208)</f>
        <v>46208</v>
      </c>
      <c r="B1067" s="4" t="str">
        <f ca="1">IFERROR(__xludf.DUMMYFUNCTION("""COMPUTED_VALUE"""),"mie ayam")</f>
        <v>mie ayam</v>
      </c>
      <c r="C1067" s="4" t="str">
        <f ca="1">IFERROR(__xludf.DUMMYFUNCTION("""COMPUTED_VALUE"""),"Cash")</f>
        <v>Cash</v>
      </c>
      <c r="D1067" s="4" t="str">
        <f ca="1">IFERROR(__xludf.DUMMYFUNCTION("""COMPUTED_VALUE"""),"Out")</f>
        <v>Out</v>
      </c>
      <c r="E1067" s="4" t="str">
        <f ca="1">IFERROR(__xludf.DUMMYFUNCTION("""COMPUTED_VALUE"""),"Kitchen")</f>
        <v>Kitchen</v>
      </c>
      <c r="F1067" s="49">
        <f ca="1">IFERROR(__xludf.DUMMYFUNCTION("""COMPUTED_VALUE"""),17000)</f>
        <v>17000</v>
      </c>
      <c r="G1067" s="50" t="str">
        <f ca="1">IFERROR(__xludf.DUMMYFUNCTION("""COMPUTED_VALUE"""),"Zela")</f>
        <v>Zela</v>
      </c>
      <c r="H1067" s="51">
        <f t="shared" ca="1" si="0"/>
        <v>46204</v>
      </c>
      <c r="I1067" s="52" t="e">
        <f ca="1">SUMIFS(OUT!$F$2:$F$11000,OUT!$H$2:$H$11000,H1067,OUT!$D$2:$D$101007,"In")</f>
        <v>#VALUE!</v>
      </c>
      <c r="J1067" s="52">
        <f ca="1">SUMIFS(OUT!$F$2:$F$11000,OUT!$H$2:$H$11000,H1067,OUT!$D$2:$D$11000,"Out")</f>
        <v>9905717</v>
      </c>
      <c r="K1067" s="52">
        <f ca="1">SUMIFS(OUT!$F$2:$F$11000,OUT!$H$2:$H$11000,H1067,OUT!$D$2:$D$11000,"Out",OUT!$E$2:$E$11000,"Fix")</f>
        <v>3048680</v>
      </c>
      <c r="L1067" s="52">
        <f ca="1">SUMIFS(OUT!$F$2:$F$11000,OUT!$H$2:$H$11000,H1067,OUT!$D$2:$D$11000,"Out",OUT!$E$2:$E$11000,"Bathroom")</f>
        <v>50720</v>
      </c>
      <c r="M1067" s="52">
        <f ca="1">SUMIFS(OUT!$F$2:$F$11000,OUT!$H$2:$H$11000,H1067,OUT!$D$2:$D$11000,"Out",OUT!$E$2:$E$11000,"Alfa")</f>
        <v>294200</v>
      </c>
      <c r="N1067" s="52" t="e">
        <f ca="1">SUMIFS(OUT!$F$2:$F$11000,OUT!$H$2:$H$101007,H1067,OUT!$D$2:$D$11000,"Out",OUT!$E$2:$E$11000,"Jajan")</f>
        <v>#VALUE!</v>
      </c>
      <c r="O1067" s="52">
        <f ca="1">SUMIFS(OUT!$F$2:$F$11000,OUT!$H$2:$H$11000,H1067,OUT!$D$2:$D$11000,"Out",OUT!$E$2:$E$11000,"Kitchen")</f>
        <v>1360773</v>
      </c>
      <c r="P1067" s="52">
        <f ca="1">SUMIFS(OUT!$F$2:$F$11000,OUT!$H$2:$H$11000,H1067,OUT!$D$2:$D$11000,"Out",OUT!$E$2:$E$11000,"Loandry")</f>
        <v>11000</v>
      </c>
      <c r="Q1067" s="52">
        <f ca="1">SUMIFS(OUT!$F$2:$F$11000,OUT!$H$2:$H$11000,H1067,OUT!$D$2:$D$11000,"Out",OUT!$E$2:$E$11000,"Mio")</f>
        <v>338500</v>
      </c>
      <c r="R1067" s="52">
        <f ca="1">SUMIFS(OUT!$F$2:$F$11000,OUT!$H$2:$H$11000,H1067,OUT!$D$2:$D$11000,"Out",OUT!$E$2:$E$11000,"Sedekah")</f>
        <v>2500</v>
      </c>
      <c r="S1067" s="52">
        <f ca="1">SUMIFS(OUT!$F$2:$F$11000,OUT!$H$2:$H$11000,H1067,OUT!$D$2:$D$11000,"Out",OUT!$E$2:$E$11000,"Zela")</f>
        <v>387476</v>
      </c>
      <c r="T1067" s="52">
        <f ca="1">SUMIFS(OUT!$F$2:$F$11000,OUT!$H$2:$H$11000,H1067,OUT!$D$2:$D$11000,"Out",OUT!$E$2:$E$11000,"Iqbal")</f>
        <v>231000</v>
      </c>
    </row>
    <row r="1068" spans="1:20" x14ac:dyDescent="0.2">
      <c r="A1068" s="48">
        <f ca="1">IFERROR(__xludf.DUMMYFUNCTION("""COMPUTED_VALUE"""),46208)</f>
        <v>46208</v>
      </c>
      <c r="B1068" s="4" t="str">
        <f ca="1">IFERROR(__xludf.DUMMYFUNCTION("""COMPUTED_VALUE"""),"pertalite")</f>
        <v>pertalite</v>
      </c>
      <c r="C1068" s="4" t="str">
        <f ca="1">IFERROR(__xludf.DUMMYFUNCTION("""COMPUTED_VALUE"""),"Cash")</f>
        <v>Cash</v>
      </c>
      <c r="D1068" s="4" t="str">
        <f ca="1">IFERROR(__xludf.DUMMYFUNCTION("""COMPUTED_VALUE"""),"Out")</f>
        <v>Out</v>
      </c>
      <c r="E1068" s="4" t="str">
        <f ca="1">IFERROR(__xludf.DUMMYFUNCTION("""COMPUTED_VALUE"""),"Mio")</f>
        <v>Mio</v>
      </c>
      <c r="F1068" s="49">
        <f ca="1">IFERROR(__xludf.DUMMYFUNCTION("""COMPUTED_VALUE"""),20000)</f>
        <v>20000</v>
      </c>
      <c r="G1068" s="50" t="str">
        <f ca="1">IFERROR(__xludf.DUMMYFUNCTION("""COMPUTED_VALUE"""),"Zela")</f>
        <v>Zela</v>
      </c>
      <c r="H1068" s="51">
        <f t="shared" ca="1" si="0"/>
        <v>46204</v>
      </c>
      <c r="I1068" s="52" t="e">
        <f ca="1">SUMIFS(OUT!$F$2:$F$11000,OUT!$H$2:$H$11000,H1068,OUT!$D$2:$D$101007,"In")</f>
        <v>#VALUE!</v>
      </c>
      <c r="J1068" s="52">
        <f ca="1">SUMIFS(OUT!$F$2:$F$11000,OUT!$H$2:$H$11000,H1068,OUT!$D$2:$D$11000,"Out")</f>
        <v>9905717</v>
      </c>
      <c r="K1068" s="52">
        <f ca="1">SUMIFS(OUT!$F$2:$F$11000,OUT!$H$2:$H$11000,H1068,OUT!$D$2:$D$11000,"Out",OUT!$E$2:$E$11000,"Fix")</f>
        <v>3048680</v>
      </c>
      <c r="L1068" s="52">
        <f ca="1">SUMIFS(OUT!$F$2:$F$11000,OUT!$H$2:$H$11000,H1068,OUT!$D$2:$D$11000,"Out",OUT!$E$2:$E$11000,"Bathroom")</f>
        <v>50720</v>
      </c>
      <c r="M1068" s="52">
        <f ca="1">SUMIFS(OUT!$F$2:$F$11000,OUT!$H$2:$H$11000,H1068,OUT!$D$2:$D$11000,"Out",OUT!$E$2:$E$11000,"Alfa")</f>
        <v>294200</v>
      </c>
      <c r="N1068" s="52" t="e">
        <f ca="1">SUMIFS(OUT!$F$2:$F$11000,OUT!$H$2:$H$101007,H1068,OUT!$D$2:$D$11000,"Out",OUT!$E$2:$E$11000,"Jajan")</f>
        <v>#VALUE!</v>
      </c>
      <c r="O1068" s="52">
        <f ca="1">SUMIFS(OUT!$F$2:$F$11000,OUT!$H$2:$H$11000,H1068,OUT!$D$2:$D$11000,"Out",OUT!$E$2:$E$11000,"Kitchen")</f>
        <v>1360773</v>
      </c>
      <c r="P1068" s="52">
        <f ca="1">SUMIFS(OUT!$F$2:$F$11000,OUT!$H$2:$H$11000,H1068,OUT!$D$2:$D$11000,"Out",OUT!$E$2:$E$11000,"Loandry")</f>
        <v>11000</v>
      </c>
      <c r="Q1068" s="52">
        <f ca="1">SUMIFS(OUT!$F$2:$F$11000,OUT!$H$2:$H$11000,H1068,OUT!$D$2:$D$11000,"Out",OUT!$E$2:$E$11000,"Mio")</f>
        <v>338500</v>
      </c>
      <c r="R1068" s="52">
        <f ca="1">SUMIFS(OUT!$F$2:$F$11000,OUT!$H$2:$H$11000,H1068,OUT!$D$2:$D$11000,"Out",OUT!$E$2:$E$11000,"Sedekah")</f>
        <v>2500</v>
      </c>
      <c r="S1068" s="52">
        <f ca="1">SUMIFS(OUT!$F$2:$F$11000,OUT!$H$2:$H$11000,H1068,OUT!$D$2:$D$11000,"Out",OUT!$E$2:$E$11000,"Zela")</f>
        <v>387476</v>
      </c>
      <c r="T1068" s="52">
        <f ca="1">SUMIFS(OUT!$F$2:$F$11000,OUT!$H$2:$H$11000,H1068,OUT!$D$2:$D$11000,"Out",OUT!$E$2:$E$11000,"Iqbal")</f>
        <v>231000</v>
      </c>
    </row>
    <row r="1069" spans="1:20" x14ac:dyDescent="0.2">
      <c r="A1069" s="48">
        <f ca="1">IFERROR(__xludf.DUMMYFUNCTION("""COMPUTED_VALUE"""),46209)</f>
        <v>46209</v>
      </c>
      <c r="B1069" s="4" t="str">
        <f ca="1">IFERROR(__xludf.DUMMYFUNCTION("""COMPUTED_VALUE"""),"Parkir ekahospital")</f>
        <v>Parkir ekahospital</v>
      </c>
      <c r="C1069" s="4" t="str">
        <f ca="1">IFERROR(__xludf.DUMMYFUNCTION("""COMPUTED_VALUE"""),"Cash")</f>
        <v>Cash</v>
      </c>
      <c r="D1069" s="4" t="str">
        <f ca="1">IFERROR(__xludf.DUMMYFUNCTION("""COMPUTED_VALUE"""),"Out")</f>
        <v>Out</v>
      </c>
      <c r="E1069" s="4" t="str">
        <f ca="1">IFERROR(__xludf.DUMMYFUNCTION("""COMPUTED_VALUE"""),"Iqbal")</f>
        <v>Iqbal</v>
      </c>
      <c r="F1069" s="49">
        <f ca="1">IFERROR(__xludf.DUMMYFUNCTION("""COMPUTED_VALUE"""),3000)</f>
        <v>3000</v>
      </c>
      <c r="G1069" s="50" t="str">
        <f ca="1">IFERROR(__xludf.DUMMYFUNCTION("""COMPUTED_VALUE"""),"Zela")</f>
        <v>Zela</v>
      </c>
      <c r="H1069" s="51">
        <f t="shared" ca="1" si="0"/>
        <v>46204</v>
      </c>
      <c r="I1069" s="52" t="e">
        <f ca="1">SUMIFS(OUT!$F$2:$F$11000,OUT!$H$2:$H$11000,H1069,OUT!$D$2:$D$101007,"In")</f>
        <v>#VALUE!</v>
      </c>
      <c r="J1069" s="52">
        <f ca="1">SUMIFS(OUT!$F$2:$F$11000,OUT!$H$2:$H$11000,H1069,OUT!$D$2:$D$11000,"Out")</f>
        <v>9905717</v>
      </c>
      <c r="K1069" s="52">
        <f ca="1">SUMIFS(OUT!$F$2:$F$11000,OUT!$H$2:$H$11000,H1069,OUT!$D$2:$D$11000,"Out",OUT!$E$2:$E$11000,"Fix")</f>
        <v>3048680</v>
      </c>
      <c r="L1069" s="52">
        <f ca="1">SUMIFS(OUT!$F$2:$F$11000,OUT!$H$2:$H$11000,H1069,OUT!$D$2:$D$11000,"Out",OUT!$E$2:$E$11000,"Bathroom")</f>
        <v>50720</v>
      </c>
      <c r="M1069" s="52">
        <f ca="1">SUMIFS(OUT!$F$2:$F$11000,OUT!$H$2:$H$11000,H1069,OUT!$D$2:$D$11000,"Out",OUT!$E$2:$E$11000,"Alfa")</f>
        <v>294200</v>
      </c>
      <c r="N1069" s="52" t="e">
        <f ca="1">SUMIFS(OUT!$F$2:$F$11000,OUT!$H$2:$H$101007,H1069,OUT!$D$2:$D$11000,"Out",OUT!$E$2:$E$11000,"Jajan")</f>
        <v>#VALUE!</v>
      </c>
      <c r="O1069" s="52">
        <f ca="1">SUMIFS(OUT!$F$2:$F$11000,OUT!$H$2:$H$11000,H1069,OUT!$D$2:$D$11000,"Out",OUT!$E$2:$E$11000,"Kitchen")</f>
        <v>1360773</v>
      </c>
      <c r="P1069" s="52">
        <f ca="1">SUMIFS(OUT!$F$2:$F$11000,OUT!$H$2:$H$11000,H1069,OUT!$D$2:$D$11000,"Out",OUT!$E$2:$E$11000,"Loandry")</f>
        <v>11000</v>
      </c>
      <c r="Q1069" s="52">
        <f ca="1">SUMIFS(OUT!$F$2:$F$11000,OUT!$H$2:$H$11000,H1069,OUT!$D$2:$D$11000,"Out",OUT!$E$2:$E$11000,"Mio")</f>
        <v>338500</v>
      </c>
      <c r="R1069" s="52">
        <f ca="1">SUMIFS(OUT!$F$2:$F$11000,OUT!$H$2:$H$11000,H1069,OUT!$D$2:$D$11000,"Out",OUT!$E$2:$E$11000,"Sedekah")</f>
        <v>2500</v>
      </c>
      <c r="S1069" s="52">
        <f ca="1">SUMIFS(OUT!$F$2:$F$11000,OUT!$H$2:$H$11000,H1069,OUT!$D$2:$D$11000,"Out",OUT!$E$2:$E$11000,"Zela")</f>
        <v>387476</v>
      </c>
      <c r="T1069" s="52">
        <f ca="1">SUMIFS(OUT!$F$2:$F$11000,OUT!$H$2:$H$11000,H1069,OUT!$D$2:$D$11000,"Out",OUT!$E$2:$E$11000,"Iqbal")</f>
        <v>231000</v>
      </c>
    </row>
    <row r="1070" spans="1:20" x14ac:dyDescent="0.2">
      <c r="A1070" s="48">
        <f ca="1">IFERROR(__xludf.DUMMYFUNCTION("""COMPUTED_VALUE"""),46209)</f>
        <v>46209</v>
      </c>
      <c r="B1070" s="4" t="str">
        <f ca="1">IFERROR(__xludf.DUMMYFUNCTION("""COMPUTED_VALUE"""),"Gorengan ")</f>
        <v xml:space="preserve">Gorengan </v>
      </c>
      <c r="C1070" s="4" t="str">
        <f ca="1">IFERROR(__xludf.DUMMYFUNCTION("""COMPUTED_VALUE"""),"Cash")</f>
        <v>Cash</v>
      </c>
      <c r="D1070" s="4" t="str">
        <f ca="1">IFERROR(__xludf.DUMMYFUNCTION("""COMPUTED_VALUE"""),"Out")</f>
        <v>Out</v>
      </c>
      <c r="E1070" s="4" t="str">
        <f ca="1">IFERROR(__xludf.DUMMYFUNCTION("""COMPUTED_VALUE"""),"Jajan")</f>
        <v>Jajan</v>
      </c>
      <c r="F1070" s="49">
        <f ca="1">IFERROR(__xludf.DUMMYFUNCTION("""COMPUTED_VALUE"""),15000)</f>
        <v>15000</v>
      </c>
      <c r="G1070" s="50" t="str">
        <f ca="1">IFERROR(__xludf.DUMMYFUNCTION("""COMPUTED_VALUE"""),"Zela")</f>
        <v>Zela</v>
      </c>
      <c r="H1070" s="51">
        <f t="shared" ca="1" si="0"/>
        <v>46204</v>
      </c>
      <c r="I1070" s="52" t="e">
        <f ca="1">SUMIFS(OUT!$F$2:$F$11000,OUT!$H$2:$H$11000,H1070,OUT!$D$2:$D$101007,"In")</f>
        <v>#VALUE!</v>
      </c>
      <c r="J1070" s="52">
        <f ca="1">SUMIFS(OUT!$F$2:$F$11000,OUT!$H$2:$H$11000,H1070,OUT!$D$2:$D$11000,"Out")</f>
        <v>9905717</v>
      </c>
      <c r="K1070" s="52">
        <f ca="1">SUMIFS(OUT!$F$2:$F$11000,OUT!$H$2:$H$11000,H1070,OUT!$D$2:$D$11000,"Out",OUT!$E$2:$E$11000,"Fix")</f>
        <v>3048680</v>
      </c>
      <c r="L1070" s="52">
        <f ca="1">SUMIFS(OUT!$F$2:$F$11000,OUT!$H$2:$H$11000,H1070,OUT!$D$2:$D$11000,"Out",OUT!$E$2:$E$11000,"Bathroom")</f>
        <v>50720</v>
      </c>
      <c r="M1070" s="52">
        <f ca="1">SUMIFS(OUT!$F$2:$F$11000,OUT!$H$2:$H$11000,H1070,OUT!$D$2:$D$11000,"Out",OUT!$E$2:$E$11000,"Alfa")</f>
        <v>294200</v>
      </c>
      <c r="N1070" s="52" t="e">
        <f ca="1">SUMIFS(OUT!$F$2:$F$11000,OUT!$H$2:$H$101007,H1070,OUT!$D$2:$D$11000,"Out",OUT!$E$2:$E$11000,"Jajan")</f>
        <v>#VALUE!</v>
      </c>
      <c r="O1070" s="52">
        <f ca="1">SUMIFS(OUT!$F$2:$F$11000,OUT!$H$2:$H$11000,H1070,OUT!$D$2:$D$11000,"Out",OUT!$E$2:$E$11000,"Kitchen")</f>
        <v>1360773</v>
      </c>
      <c r="P1070" s="52">
        <f ca="1">SUMIFS(OUT!$F$2:$F$11000,OUT!$H$2:$H$11000,H1070,OUT!$D$2:$D$11000,"Out",OUT!$E$2:$E$11000,"Loandry")</f>
        <v>11000</v>
      </c>
      <c r="Q1070" s="52">
        <f ca="1">SUMIFS(OUT!$F$2:$F$11000,OUT!$H$2:$H$11000,H1070,OUT!$D$2:$D$11000,"Out",OUT!$E$2:$E$11000,"Mio")</f>
        <v>338500</v>
      </c>
      <c r="R1070" s="52">
        <f ca="1">SUMIFS(OUT!$F$2:$F$11000,OUT!$H$2:$H$11000,H1070,OUT!$D$2:$D$11000,"Out",OUT!$E$2:$E$11000,"Sedekah")</f>
        <v>2500</v>
      </c>
      <c r="S1070" s="52">
        <f ca="1">SUMIFS(OUT!$F$2:$F$11000,OUT!$H$2:$H$11000,H1070,OUT!$D$2:$D$11000,"Out",OUT!$E$2:$E$11000,"Zela")</f>
        <v>387476</v>
      </c>
      <c r="T1070" s="52">
        <f ca="1">SUMIFS(OUT!$F$2:$F$11000,OUT!$H$2:$H$11000,H1070,OUT!$D$2:$D$11000,"Out",OUT!$E$2:$E$11000,"Iqbal")</f>
        <v>231000</v>
      </c>
    </row>
    <row r="1071" spans="1:20" x14ac:dyDescent="0.2">
      <c r="A1071" s="48">
        <f ca="1">IFERROR(__xludf.DUMMYFUNCTION("""COMPUTED_VALUE"""),46210)</f>
        <v>46210</v>
      </c>
      <c r="B1071" s="4" t="str">
        <f ca="1">IFERROR(__xludf.DUMMYFUNCTION("""COMPUTED_VALUE"""),"PHD tiktok")</f>
        <v>PHD tiktok</v>
      </c>
      <c r="C1071" s="4" t="str">
        <f ca="1">IFERROR(__xludf.DUMMYFUNCTION("""COMPUTED_VALUE"""),"ATM")</f>
        <v>ATM</v>
      </c>
      <c r="D1071" s="4" t="str">
        <f ca="1">IFERROR(__xludf.DUMMYFUNCTION("""COMPUTED_VALUE"""),"Out")</f>
        <v>Out</v>
      </c>
      <c r="E1071" s="4" t="str">
        <f ca="1">IFERROR(__xludf.DUMMYFUNCTION("""COMPUTED_VALUE"""),"Jajan")</f>
        <v>Jajan</v>
      </c>
      <c r="F1071" s="49">
        <f ca="1">IFERROR(__xludf.DUMMYFUNCTION("""COMPUTED_VALUE"""),47000)</f>
        <v>47000</v>
      </c>
      <c r="G1071" s="50" t="str">
        <f ca="1">IFERROR(__xludf.DUMMYFUNCTION("""COMPUTED_VALUE"""),"Zela")</f>
        <v>Zela</v>
      </c>
      <c r="H1071" s="51">
        <f t="shared" ca="1" si="0"/>
        <v>46204</v>
      </c>
      <c r="I1071" s="52" t="e">
        <f ca="1">SUMIFS(OUT!$F$2:$F$11000,OUT!$H$2:$H$11000,H1071,OUT!$D$2:$D$101007,"In")</f>
        <v>#VALUE!</v>
      </c>
      <c r="J1071" s="52">
        <f ca="1">SUMIFS(OUT!$F$2:$F$11000,OUT!$H$2:$H$11000,H1071,OUT!$D$2:$D$11000,"Out")</f>
        <v>9905717</v>
      </c>
      <c r="K1071" s="52">
        <f ca="1">SUMIFS(OUT!$F$2:$F$11000,OUT!$H$2:$H$11000,H1071,OUT!$D$2:$D$11000,"Out",OUT!$E$2:$E$11000,"Fix")</f>
        <v>3048680</v>
      </c>
      <c r="L1071" s="52">
        <f ca="1">SUMIFS(OUT!$F$2:$F$11000,OUT!$H$2:$H$11000,H1071,OUT!$D$2:$D$11000,"Out",OUT!$E$2:$E$11000,"Bathroom")</f>
        <v>50720</v>
      </c>
      <c r="M1071" s="52">
        <f ca="1">SUMIFS(OUT!$F$2:$F$11000,OUT!$H$2:$H$11000,H1071,OUT!$D$2:$D$11000,"Out",OUT!$E$2:$E$11000,"Alfa")</f>
        <v>294200</v>
      </c>
      <c r="N1071" s="52" t="e">
        <f ca="1">SUMIFS(OUT!$F$2:$F$11000,OUT!$H$2:$H$101007,H1071,OUT!$D$2:$D$11000,"Out",OUT!$E$2:$E$11000,"Jajan")</f>
        <v>#VALUE!</v>
      </c>
      <c r="O1071" s="52">
        <f ca="1">SUMIFS(OUT!$F$2:$F$11000,OUT!$H$2:$H$11000,H1071,OUT!$D$2:$D$11000,"Out",OUT!$E$2:$E$11000,"Kitchen")</f>
        <v>1360773</v>
      </c>
      <c r="P1071" s="52">
        <f ca="1">SUMIFS(OUT!$F$2:$F$11000,OUT!$H$2:$H$11000,H1071,OUT!$D$2:$D$11000,"Out",OUT!$E$2:$E$11000,"Loandry")</f>
        <v>11000</v>
      </c>
      <c r="Q1071" s="52">
        <f ca="1">SUMIFS(OUT!$F$2:$F$11000,OUT!$H$2:$H$11000,H1071,OUT!$D$2:$D$11000,"Out",OUT!$E$2:$E$11000,"Mio")</f>
        <v>338500</v>
      </c>
      <c r="R1071" s="52">
        <f ca="1">SUMIFS(OUT!$F$2:$F$11000,OUT!$H$2:$H$11000,H1071,OUT!$D$2:$D$11000,"Out",OUT!$E$2:$E$11000,"Sedekah")</f>
        <v>2500</v>
      </c>
      <c r="S1071" s="52">
        <f ca="1">SUMIFS(OUT!$F$2:$F$11000,OUT!$H$2:$H$11000,H1071,OUT!$D$2:$D$11000,"Out",OUT!$E$2:$E$11000,"Zela")</f>
        <v>387476</v>
      </c>
      <c r="T1071" s="52">
        <f ca="1">SUMIFS(OUT!$F$2:$F$11000,OUT!$H$2:$H$11000,H1071,OUT!$D$2:$D$11000,"Out",OUT!$E$2:$E$11000,"Iqbal")</f>
        <v>231000</v>
      </c>
    </row>
    <row r="1072" spans="1:20" x14ac:dyDescent="0.2">
      <c r="A1072" s="48">
        <f ca="1">IFERROR(__xludf.DUMMYFUNCTION("""COMPUTED_VALUE"""),46210)</f>
        <v>46210</v>
      </c>
      <c r="B1072" s="4" t="str">
        <f ca="1">IFERROR(__xludf.DUMMYFUNCTION("""COMPUTED_VALUE"""),"cas phd outlet ")</f>
        <v xml:space="preserve">cas phd outlet </v>
      </c>
      <c r="C1072" s="4" t="str">
        <f ca="1">IFERROR(__xludf.DUMMYFUNCTION("""COMPUTED_VALUE"""),"Cash")</f>
        <v>Cash</v>
      </c>
      <c r="D1072" s="4" t="str">
        <f ca="1">IFERROR(__xludf.DUMMYFUNCTION("""COMPUTED_VALUE"""),"Out")</f>
        <v>Out</v>
      </c>
      <c r="E1072" s="4" t="str">
        <f ca="1">IFERROR(__xludf.DUMMYFUNCTION("""COMPUTED_VALUE"""),"Jajan")</f>
        <v>Jajan</v>
      </c>
      <c r="F1072" s="49">
        <f ca="1">IFERROR(__xludf.DUMMYFUNCTION("""COMPUTED_VALUE"""),3000)</f>
        <v>3000</v>
      </c>
      <c r="G1072" s="50" t="str">
        <f ca="1">IFERROR(__xludf.DUMMYFUNCTION("""COMPUTED_VALUE"""),"Zela")</f>
        <v>Zela</v>
      </c>
      <c r="H1072" s="51">
        <f t="shared" ca="1" si="0"/>
        <v>46204</v>
      </c>
      <c r="I1072" s="52" t="e">
        <f ca="1">SUMIFS(OUT!$F$2:$F$11000,OUT!$H$2:$H$11000,H1072,OUT!$D$2:$D$101007,"In")</f>
        <v>#VALUE!</v>
      </c>
      <c r="J1072" s="52">
        <f ca="1">SUMIFS(OUT!$F$2:$F$11000,OUT!$H$2:$H$11000,H1072,OUT!$D$2:$D$11000,"Out")</f>
        <v>9905717</v>
      </c>
      <c r="K1072" s="52">
        <f ca="1">SUMIFS(OUT!$F$2:$F$11000,OUT!$H$2:$H$11000,H1072,OUT!$D$2:$D$11000,"Out",OUT!$E$2:$E$11000,"Fix")</f>
        <v>3048680</v>
      </c>
      <c r="L1072" s="52">
        <f ca="1">SUMIFS(OUT!$F$2:$F$11000,OUT!$H$2:$H$11000,H1072,OUT!$D$2:$D$11000,"Out",OUT!$E$2:$E$11000,"Bathroom")</f>
        <v>50720</v>
      </c>
      <c r="M1072" s="52">
        <f ca="1">SUMIFS(OUT!$F$2:$F$11000,OUT!$H$2:$H$11000,H1072,OUT!$D$2:$D$11000,"Out",OUT!$E$2:$E$11000,"Alfa")</f>
        <v>294200</v>
      </c>
      <c r="N1072" s="52" t="e">
        <f ca="1">SUMIFS(OUT!$F$2:$F$11000,OUT!$H$2:$H$101007,H1072,OUT!$D$2:$D$11000,"Out",OUT!$E$2:$E$11000,"Jajan")</f>
        <v>#VALUE!</v>
      </c>
      <c r="O1072" s="52">
        <f ca="1">SUMIFS(OUT!$F$2:$F$11000,OUT!$H$2:$H$11000,H1072,OUT!$D$2:$D$11000,"Out",OUT!$E$2:$E$11000,"Kitchen")</f>
        <v>1360773</v>
      </c>
      <c r="P1072" s="52">
        <f ca="1">SUMIFS(OUT!$F$2:$F$11000,OUT!$H$2:$H$11000,H1072,OUT!$D$2:$D$11000,"Out",OUT!$E$2:$E$11000,"Loandry")</f>
        <v>11000</v>
      </c>
      <c r="Q1072" s="52">
        <f ca="1">SUMIFS(OUT!$F$2:$F$11000,OUT!$H$2:$H$11000,H1072,OUT!$D$2:$D$11000,"Out",OUT!$E$2:$E$11000,"Mio")</f>
        <v>338500</v>
      </c>
      <c r="R1072" s="52">
        <f ca="1">SUMIFS(OUT!$F$2:$F$11000,OUT!$H$2:$H$11000,H1072,OUT!$D$2:$D$11000,"Out",OUT!$E$2:$E$11000,"Sedekah")</f>
        <v>2500</v>
      </c>
      <c r="S1072" s="52">
        <f ca="1">SUMIFS(OUT!$F$2:$F$11000,OUT!$H$2:$H$11000,H1072,OUT!$D$2:$D$11000,"Out",OUT!$E$2:$E$11000,"Zela")</f>
        <v>387476</v>
      </c>
      <c r="T1072" s="52">
        <f ca="1">SUMIFS(OUT!$F$2:$F$11000,OUT!$H$2:$H$11000,H1072,OUT!$D$2:$D$11000,"Out",OUT!$E$2:$E$11000,"Iqbal")</f>
        <v>231000</v>
      </c>
    </row>
    <row r="1073" spans="1:20" x14ac:dyDescent="0.2">
      <c r="A1073" s="48">
        <f ca="1">IFERROR(__xludf.DUMMYFUNCTION("""COMPUTED_VALUE"""),46210)</f>
        <v>46210</v>
      </c>
      <c r="B1073" s="4" t="str">
        <f ca="1">IFERROR(__xludf.DUMMYFUNCTION("""COMPUTED_VALUE"""),"Ayam Penyet")</f>
        <v>Ayam Penyet</v>
      </c>
      <c r="C1073" s="4" t="str">
        <f ca="1">IFERROR(__xludf.DUMMYFUNCTION("""COMPUTED_VALUE"""),"Cash")</f>
        <v>Cash</v>
      </c>
      <c r="D1073" s="4" t="str">
        <f ca="1">IFERROR(__xludf.DUMMYFUNCTION("""COMPUTED_VALUE"""),"Out")</f>
        <v>Out</v>
      </c>
      <c r="E1073" s="4" t="str">
        <f ca="1">IFERROR(__xludf.DUMMYFUNCTION("""COMPUTED_VALUE"""),"Kitchen")</f>
        <v>Kitchen</v>
      </c>
      <c r="F1073" s="49">
        <f ca="1">IFERROR(__xludf.DUMMYFUNCTION("""COMPUTED_VALUE"""),16000)</f>
        <v>16000</v>
      </c>
      <c r="G1073" s="50" t="str">
        <f ca="1">IFERROR(__xludf.DUMMYFUNCTION("""COMPUTED_VALUE"""),"Zela")</f>
        <v>Zela</v>
      </c>
      <c r="H1073" s="51">
        <f t="shared" ca="1" si="0"/>
        <v>46204</v>
      </c>
      <c r="I1073" s="52" t="e">
        <f ca="1">SUMIFS(OUT!$F$2:$F$11000,OUT!$H$2:$H$11000,H1073,OUT!$D$2:$D$101007,"In")</f>
        <v>#VALUE!</v>
      </c>
      <c r="J1073" s="52">
        <f ca="1">SUMIFS(OUT!$F$2:$F$11000,OUT!$H$2:$H$11000,H1073,OUT!$D$2:$D$11000,"Out")</f>
        <v>9905717</v>
      </c>
      <c r="K1073" s="52">
        <f ca="1">SUMIFS(OUT!$F$2:$F$11000,OUT!$H$2:$H$11000,H1073,OUT!$D$2:$D$11000,"Out",OUT!$E$2:$E$11000,"Fix")</f>
        <v>3048680</v>
      </c>
      <c r="L1073" s="52">
        <f ca="1">SUMIFS(OUT!$F$2:$F$11000,OUT!$H$2:$H$11000,H1073,OUT!$D$2:$D$11000,"Out",OUT!$E$2:$E$11000,"Bathroom")</f>
        <v>50720</v>
      </c>
      <c r="M1073" s="52">
        <f ca="1">SUMIFS(OUT!$F$2:$F$11000,OUT!$H$2:$H$11000,H1073,OUT!$D$2:$D$11000,"Out",OUT!$E$2:$E$11000,"Alfa")</f>
        <v>294200</v>
      </c>
      <c r="N1073" s="52" t="e">
        <f ca="1">SUMIFS(OUT!$F$2:$F$11000,OUT!$H$2:$H$101007,H1073,OUT!$D$2:$D$11000,"Out",OUT!$E$2:$E$11000,"Jajan")</f>
        <v>#VALUE!</v>
      </c>
      <c r="O1073" s="52">
        <f ca="1">SUMIFS(OUT!$F$2:$F$11000,OUT!$H$2:$H$11000,H1073,OUT!$D$2:$D$11000,"Out",OUT!$E$2:$E$11000,"Kitchen")</f>
        <v>1360773</v>
      </c>
      <c r="P1073" s="52">
        <f ca="1">SUMIFS(OUT!$F$2:$F$11000,OUT!$H$2:$H$11000,H1073,OUT!$D$2:$D$11000,"Out",OUT!$E$2:$E$11000,"Loandry")</f>
        <v>11000</v>
      </c>
      <c r="Q1073" s="52">
        <f ca="1">SUMIFS(OUT!$F$2:$F$11000,OUT!$H$2:$H$11000,H1073,OUT!$D$2:$D$11000,"Out",OUT!$E$2:$E$11000,"Mio")</f>
        <v>338500</v>
      </c>
      <c r="R1073" s="52">
        <f ca="1">SUMIFS(OUT!$F$2:$F$11000,OUT!$H$2:$H$11000,H1073,OUT!$D$2:$D$11000,"Out",OUT!$E$2:$E$11000,"Sedekah")</f>
        <v>2500</v>
      </c>
      <c r="S1073" s="52">
        <f ca="1">SUMIFS(OUT!$F$2:$F$11000,OUT!$H$2:$H$11000,H1073,OUT!$D$2:$D$11000,"Out",OUT!$E$2:$E$11000,"Zela")</f>
        <v>387476</v>
      </c>
      <c r="T1073" s="52">
        <f ca="1">SUMIFS(OUT!$F$2:$F$11000,OUT!$H$2:$H$11000,H1073,OUT!$D$2:$D$11000,"Out",OUT!$E$2:$E$11000,"Iqbal")</f>
        <v>231000</v>
      </c>
    </row>
    <row r="1074" spans="1:20" x14ac:dyDescent="0.2">
      <c r="A1074" s="48">
        <f ca="1">IFERROR(__xludf.DUMMYFUNCTION("""COMPUTED_VALUE"""),46211)</f>
        <v>46211</v>
      </c>
      <c r="B1074" s="4" t="str">
        <f ca="1">IFERROR(__xludf.DUMMYFUNCTION("""COMPUTED_VALUE"""),"Tarik Tunai")</f>
        <v>Tarik Tunai</v>
      </c>
      <c r="C1074" s="4" t="str">
        <f ca="1">IFERROR(__xludf.DUMMYFUNCTION("""COMPUTED_VALUE"""),"ATM")</f>
        <v>ATM</v>
      </c>
      <c r="D1074" s="4" t="str">
        <f ca="1">IFERROR(__xludf.DUMMYFUNCTION("""COMPUTED_VALUE"""),"Out")</f>
        <v>Out</v>
      </c>
      <c r="E1074" s="4" t="str">
        <f ca="1">IFERROR(__xludf.DUMMYFUNCTION("""COMPUTED_VALUE"""),"Move")</f>
        <v>Move</v>
      </c>
      <c r="F1074" s="49">
        <f ca="1">IFERROR(__xludf.DUMMYFUNCTION("""COMPUTED_VALUE"""),100000)</f>
        <v>100000</v>
      </c>
      <c r="G1074" s="50" t="str">
        <f ca="1">IFERROR(__xludf.DUMMYFUNCTION("""COMPUTED_VALUE"""),"Zela")</f>
        <v>Zela</v>
      </c>
      <c r="H1074" s="51">
        <f t="shared" ca="1" si="0"/>
        <v>46204</v>
      </c>
      <c r="I1074" s="52" t="e">
        <f ca="1">SUMIFS(OUT!$F$2:$F$11000,OUT!$H$2:$H$11000,H1074,OUT!$D$2:$D$101007,"In")</f>
        <v>#VALUE!</v>
      </c>
      <c r="J1074" s="52">
        <f ca="1">SUMIFS(OUT!$F$2:$F$11000,OUT!$H$2:$H$11000,H1074,OUT!$D$2:$D$11000,"Out")</f>
        <v>9905717</v>
      </c>
      <c r="K1074" s="52">
        <f ca="1">SUMIFS(OUT!$F$2:$F$11000,OUT!$H$2:$H$11000,H1074,OUT!$D$2:$D$11000,"Out",OUT!$E$2:$E$11000,"Fix")</f>
        <v>3048680</v>
      </c>
      <c r="L1074" s="52">
        <f ca="1">SUMIFS(OUT!$F$2:$F$11000,OUT!$H$2:$H$11000,H1074,OUT!$D$2:$D$11000,"Out",OUT!$E$2:$E$11000,"Bathroom")</f>
        <v>50720</v>
      </c>
      <c r="M1074" s="52">
        <f ca="1">SUMIFS(OUT!$F$2:$F$11000,OUT!$H$2:$H$11000,H1074,OUT!$D$2:$D$11000,"Out",OUT!$E$2:$E$11000,"Alfa")</f>
        <v>294200</v>
      </c>
      <c r="N1074" s="52" t="e">
        <f ca="1">SUMIFS(OUT!$F$2:$F$11000,OUT!$H$2:$H$101007,H1074,OUT!$D$2:$D$11000,"Out",OUT!$E$2:$E$11000,"Jajan")</f>
        <v>#VALUE!</v>
      </c>
      <c r="O1074" s="52">
        <f ca="1">SUMIFS(OUT!$F$2:$F$11000,OUT!$H$2:$H$11000,H1074,OUT!$D$2:$D$11000,"Out",OUT!$E$2:$E$11000,"Kitchen")</f>
        <v>1360773</v>
      </c>
      <c r="P1074" s="52">
        <f ca="1">SUMIFS(OUT!$F$2:$F$11000,OUT!$H$2:$H$11000,H1074,OUT!$D$2:$D$11000,"Out",OUT!$E$2:$E$11000,"Loandry")</f>
        <v>11000</v>
      </c>
      <c r="Q1074" s="52">
        <f ca="1">SUMIFS(OUT!$F$2:$F$11000,OUT!$H$2:$H$11000,H1074,OUT!$D$2:$D$11000,"Out",OUT!$E$2:$E$11000,"Mio")</f>
        <v>338500</v>
      </c>
      <c r="R1074" s="52">
        <f ca="1">SUMIFS(OUT!$F$2:$F$11000,OUT!$H$2:$H$11000,H1074,OUT!$D$2:$D$11000,"Out",OUT!$E$2:$E$11000,"Sedekah")</f>
        <v>2500</v>
      </c>
      <c r="S1074" s="52">
        <f ca="1">SUMIFS(OUT!$F$2:$F$11000,OUT!$H$2:$H$11000,H1074,OUT!$D$2:$D$11000,"Out",OUT!$E$2:$E$11000,"Zela")</f>
        <v>387476</v>
      </c>
      <c r="T1074" s="52">
        <f ca="1">SUMIFS(OUT!$F$2:$F$11000,OUT!$H$2:$H$11000,H1074,OUT!$D$2:$D$11000,"Out",OUT!$E$2:$E$11000,"Iqbal")</f>
        <v>231000</v>
      </c>
    </row>
    <row r="1075" spans="1:20" x14ac:dyDescent="0.2">
      <c r="A1075" s="48">
        <f ca="1">IFERROR(__xludf.DUMMYFUNCTION("""COMPUTED_VALUE"""),46211)</f>
        <v>46211</v>
      </c>
      <c r="B1075" s="4" t="str">
        <f ca="1">IFERROR(__xludf.DUMMYFUNCTION("""COMPUTED_VALUE"""),"Terima Tunai")</f>
        <v>Terima Tunai</v>
      </c>
      <c r="C1075" s="4" t="str">
        <f ca="1">IFERROR(__xludf.DUMMYFUNCTION("""COMPUTED_VALUE"""),"Cash")</f>
        <v>Cash</v>
      </c>
      <c r="D1075" s="4" t="str">
        <f ca="1">IFERROR(__xludf.DUMMYFUNCTION("""COMPUTED_VALUE"""),"In")</f>
        <v>In</v>
      </c>
      <c r="E1075" s="4" t="str">
        <f ca="1">IFERROR(__xludf.DUMMYFUNCTION("""COMPUTED_VALUE"""),"Move")</f>
        <v>Move</v>
      </c>
      <c r="F1075" s="49">
        <f ca="1">IFERROR(__xludf.DUMMYFUNCTION("""COMPUTED_VALUE"""),100000)</f>
        <v>100000</v>
      </c>
      <c r="G1075" s="50" t="str">
        <f ca="1">IFERROR(__xludf.DUMMYFUNCTION("""COMPUTED_VALUE"""),"Zela")</f>
        <v>Zela</v>
      </c>
      <c r="H1075" s="51">
        <f t="shared" ca="1" si="0"/>
        <v>46204</v>
      </c>
      <c r="I1075" s="52" t="e">
        <f ca="1">SUMIFS(OUT!$F$2:$F$11000,OUT!$H$2:$H$11000,H1075,OUT!$D$2:$D$101007,"In")</f>
        <v>#VALUE!</v>
      </c>
      <c r="J1075" s="52">
        <f ca="1">SUMIFS(OUT!$F$2:$F$11000,OUT!$H$2:$H$11000,H1075,OUT!$D$2:$D$11000,"Out")</f>
        <v>9905717</v>
      </c>
      <c r="K1075" s="52">
        <f ca="1">SUMIFS(OUT!$F$2:$F$11000,OUT!$H$2:$H$11000,H1075,OUT!$D$2:$D$11000,"Out",OUT!$E$2:$E$11000,"Fix")</f>
        <v>3048680</v>
      </c>
      <c r="L1075" s="52">
        <f ca="1">SUMIFS(OUT!$F$2:$F$11000,OUT!$H$2:$H$11000,H1075,OUT!$D$2:$D$11000,"Out",OUT!$E$2:$E$11000,"Bathroom")</f>
        <v>50720</v>
      </c>
      <c r="M1075" s="52">
        <f ca="1">SUMIFS(OUT!$F$2:$F$11000,OUT!$H$2:$H$11000,H1075,OUT!$D$2:$D$11000,"Out",OUT!$E$2:$E$11000,"Alfa")</f>
        <v>294200</v>
      </c>
      <c r="N1075" s="52" t="e">
        <f ca="1">SUMIFS(OUT!$F$2:$F$11000,OUT!$H$2:$H$101007,H1075,OUT!$D$2:$D$11000,"Out",OUT!$E$2:$E$11000,"Jajan")</f>
        <v>#VALUE!</v>
      </c>
      <c r="O1075" s="52">
        <f ca="1">SUMIFS(OUT!$F$2:$F$11000,OUT!$H$2:$H$11000,H1075,OUT!$D$2:$D$11000,"Out",OUT!$E$2:$E$11000,"Kitchen")</f>
        <v>1360773</v>
      </c>
      <c r="P1075" s="52">
        <f ca="1">SUMIFS(OUT!$F$2:$F$11000,OUT!$H$2:$H$11000,H1075,OUT!$D$2:$D$11000,"Out",OUT!$E$2:$E$11000,"Loandry")</f>
        <v>11000</v>
      </c>
      <c r="Q1075" s="52">
        <f ca="1">SUMIFS(OUT!$F$2:$F$11000,OUT!$H$2:$H$11000,H1075,OUT!$D$2:$D$11000,"Out",OUT!$E$2:$E$11000,"Mio")</f>
        <v>338500</v>
      </c>
      <c r="R1075" s="52">
        <f ca="1">SUMIFS(OUT!$F$2:$F$11000,OUT!$H$2:$H$11000,H1075,OUT!$D$2:$D$11000,"Out",OUT!$E$2:$E$11000,"Sedekah")</f>
        <v>2500</v>
      </c>
      <c r="S1075" s="52">
        <f ca="1">SUMIFS(OUT!$F$2:$F$11000,OUT!$H$2:$H$11000,H1075,OUT!$D$2:$D$11000,"Out",OUT!$E$2:$E$11000,"Zela")</f>
        <v>387476</v>
      </c>
      <c r="T1075" s="52">
        <f ca="1">SUMIFS(OUT!$F$2:$F$11000,OUT!$H$2:$H$11000,H1075,OUT!$D$2:$D$11000,"Out",OUT!$E$2:$E$11000,"Iqbal")</f>
        <v>231000</v>
      </c>
    </row>
    <row r="1076" spans="1:20" x14ac:dyDescent="0.2">
      <c r="A1076" s="48">
        <f ca="1">IFERROR(__xludf.DUMMYFUNCTION("""COMPUTED_VALUE"""),46211)</f>
        <v>46211</v>
      </c>
      <c r="B1076" s="4" t="str">
        <f ca="1">IFERROR(__xludf.DUMMYFUNCTION("""COMPUTED_VALUE"""),"Gorengan pagi")</f>
        <v>Gorengan pagi</v>
      </c>
      <c r="C1076" s="4" t="str">
        <f ca="1">IFERROR(__xludf.DUMMYFUNCTION("""COMPUTED_VALUE"""),"Cash")</f>
        <v>Cash</v>
      </c>
      <c r="D1076" s="4" t="str">
        <f ca="1">IFERROR(__xludf.DUMMYFUNCTION("""COMPUTED_VALUE"""),"Out")</f>
        <v>Out</v>
      </c>
      <c r="E1076" s="4" t="str">
        <f ca="1">IFERROR(__xludf.DUMMYFUNCTION("""COMPUTED_VALUE"""),"Jajan")</f>
        <v>Jajan</v>
      </c>
      <c r="F1076" s="49">
        <f ca="1">IFERROR(__xludf.DUMMYFUNCTION("""COMPUTED_VALUE"""),15000)</f>
        <v>15000</v>
      </c>
      <c r="G1076" s="50" t="str">
        <f ca="1">IFERROR(__xludf.DUMMYFUNCTION("""COMPUTED_VALUE"""),"Zela")</f>
        <v>Zela</v>
      </c>
      <c r="H1076" s="51">
        <f t="shared" ca="1" si="0"/>
        <v>46204</v>
      </c>
      <c r="I1076" s="52" t="e">
        <f ca="1">SUMIFS(OUT!$F$2:$F$11000,OUT!$H$2:$H$11000,H1076,OUT!$D$2:$D$101007,"In")</f>
        <v>#VALUE!</v>
      </c>
      <c r="J1076" s="52">
        <f ca="1">SUMIFS(OUT!$F$2:$F$11000,OUT!$H$2:$H$11000,H1076,OUT!$D$2:$D$11000,"Out")</f>
        <v>9905717</v>
      </c>
      <c r="K1076" s="52">
        <f ca="1">SUMIFS(OUT!$F$2:$F$11000,OUT!$H$2:$H$11000,H1076,OUT!$D$2:$D$11000,"Out",OUT!$E$2:$E$11000,"Fix")</f>
        <v>3048680</v>
      </c>
      <c r="L1076" s="52">
        <f ca="1">SUMIFS(OUT!$F$2:$F$11000,OUT!$H$2:$H$11000,H1076,OUT!$D$2:$D$11000,"Out",OUT!$E$2:$E$11000,"Bathroom")</f>
        <v>50720</v>
      </c>
      <c r="M1076" s="52">
        <f ca="1">SUMIFS(OUT!$F$2:$F$11000,OUT!$H$2:$H$11000,H1076,OUT!$D$2:$D$11000,"Out",OUT!$E$2:$E$11000,"Alfa")</f>
        <v>294200</v>
      </c>
      <c r="N1076" s="52" t="e">
        <f ca="1">SUMIFS(OUT!$F$2:$F$11000,OUT!$H$2:$H$101007,H1076,OUT!$D$2:$D$11000,"Out",OUT!$E$2:$E$11000,"Jajan")</f>
        <v>#VALUE!</v>
      </c>
      <c r="O1076" s="52">
        <f ca="1">SUMIFS(OUT!$F$2:$F$11000,OUT!$H$2:$H$11000,H1076,OUT!$D$2:$D$11000,"Out",OUT!$E$2:$E$11000,"Kitchen")</f>
        <v>1360773</v>
      </c>
      <c r="P1076" s="52">
        <f ca="1">SUMIFS(OUT!$F$2:$F$11000,OUT!$H$2:$H$11000,H1076,OUT!$D$2:$D$11000,"Out",OUT!$E$2:$E$11000,"Loandry")</f>
        <v>11000</v>
      </c>
      <c r="Q1076" s="52">
        <f ca="1">SUMIFS(OUT!$F$2:$F$11000,OUT!$H$2:$H$11000,H1076,OUT!$D$2:$D$11000,"Out",OUT!$E$2:$E$11000,"Mio")</f>
        <v>338500</v>
      </c>
      <c r="R1076" s="52">
        <f ca="1">SUMIFS(OUT!$F$2:$F$11000,OUT!$H$2:$H$11000,H1076,OUT!$D$2:$D$11000,"Out",OUT!$E$2:$E$11000,"Sedekah")</f>
        <v>2500</v>
      </c>
      <c r="S1076" s="52">
        <f ca="1">SUMIFS(OUT!$F$2:$F$11000,OUT!$H$2:$H$11000,H1076,OUT!$D$2:$D$11000,"Out",OUT!$E$2:$E$11000,"Zela")</f>
        <v>387476</v>
      </c>
      <c r="T1076" s="52">
        <f ca="1">SUMIFS(OUT!$F$2:$F$11000,OUT!$H$2:$H$11000,H1076,OUT!$D$2:$D$11000,"Out",OUT!$E$2:$E$11000,"Iqbal")</f>
        <v>231000</v>
      </c>
    </row>
    <row r="1077" spans="1:20" x14ac:dyDescent="0.2">
      <c r="A1077" s="48">
        <f ca="1">IFERROR(__xludf.DUMMYFUNCTION("""COMPUTED_VALUE"""),46211)</f>
        <v>46211</v>
      </c>
      <c r="B1077" s="4" t="str">
        <f ca="1">IFERROR(__xludf.DUMMYFUNCTION("""COMPUTED_VALUE"""),"Bensin Pertalite mini")</f>
        <v>Bensin Pertalite mini</v>
      </c>
      <c r="C1077" s="4" t="str">
        <f ca="1">IFERROR(__xludf.DUMMYFUNCTION("""COMPUTED_VALUE"""),"Cash")</f>
        <v>Cash</v>
      </c>
      <c r="D1077" s="4" t="str">
        <f ca="1">IFERROR(__xludf.DUMMYFUNCTION("""COMPUTED_VALUE"""),"Out")</f>
        <v>Out</v>
      </c>
      <c r="E1077" s="4" t="str">
        <f ca="1">IFERROR(__xludf.DUMMYFUNCTION("""COMPUTED_VALUE"""),"Mio")</f>
        <v>Mio</v>
      </c>
      <c r="F1077" s="49">
        <f ca="1">IFERROR(__xludf.DUMMYFUNCTION("""COMPUTED_VALUE"""),20000)</f>
        <v>20000</v>
      </c>
      <c r="G1077" s="50" t="str">
        <f ca="1">IFERROR(__xludf.DUMMYFUNCTION("""COMPUTED_VALUE"""),"Zela")</f>
        <v>Zela</v>
      </c>
      <c r="H1077" s="51">
        <f t="shared" ca="1" si="0"/>
        <v>46204</v>
      </c>
      <c r="I1077" s="52" t="e">
        <f ca="1">SUMIFS(OUT!$F$2:$F$11000,OUT!$H$2:$H$11000,H1077,OUT!$D$2:$D$101007,"In")</f>
        <v>#VALUE!</v>
      </c>
      <c r="J1077" s="52">
        <f ca="1">SUMIFS(OUT!$F$2:$F$11000,OUT!$H$2:$H$11000,H1077,OUT!$D$2:$D$11000,"Out")</f>
        <v>9905717</v>
      </c>
      <c r="K1077" s="52">
        <f ca="1">SUMIFS(OUT!$F$2:$F$11000,OUT!$H$2:$H$11000,H1077,OUT!$D$2:$D$11000,"Out",OUT!$E$2:$E$11000,"Fix")</f>
        <v>3048680</v>
      </c>
      <c r="L1077" s="52">
        <f ca="1">SUMIFS(OUT!$F$2:$F$11000,OUT!$H$2:$H$11000,H1077,OUT!$D$2:$D$11000,"Out",OUT!$E$2:$E$11000,"Bathroom")</f>
        <v>50720</v>
      </c>
      <c r="M1077" s="52">
        <f ca="1">SUMIFS(OUT!$F$2:$F$11000,OUT!$H$2:$H$11000,H1077,OUT!$D$2:$D$11000,"Out",OUT!$E$2:$E$11000,"Alfa")</f>
        <v>294200</v>
      </c>
      <c r="N1077" s="52" t="e">
        <f ca="1">SUMIFS(OUT!$F$2:$F$11000,OUT!$H$2:$H$101007,H1077,OUT!$D$2:$D$11000,"Out",OUT!$E$2:$E$11000,"Jajan")</f>
        <v>#VALUE!</v>
      </c>
      <c r="O1077" s="52">
        <f ca="1">SUMIFS(OUT!$F$2:$F$11000,OUT!$H$2:$H$11000,H1077,OUT!$D$2:$D$11000,"Out",OUT!$E$2:$E$11000,"Kitchen")</f>
        <v>1360773</v>
      </c>
      <c r="P1077" s="52">
        <f ca="1">SUMIFS(OUT!$F$2:$F$11000,OUT!$H$2:$H$11000,H1077,OUT!$D$2:$D$11000,"Out",OUT!$E$2:$E$11000,"Loandry")</f>
        <v>11000</v>
      </c>
      <c r="Q1077" s="52">
        <f ca="1">SUMIFS(OUT!$F$2:$F$11000,OUT!$H$2:$H$11000,H1077,OUT!$D$2:$D$11000,"Out",OUT!$E$2:$E$11000,"Mio")</f>
        <v>338500</v>
      </c>
      <c r="R1077" s="52">
        <f ca="1">SUMIFS(OUT!$F$2:$F$11000,OUT!$H$2:$H$11000,H1077,OUT!$D$2:$D$11000,"Out",OUT!$E$2:$E$11000,"Sedekah")</f>
        <v>2500</v>
      </c>
      <c r="S1077" s="52">
        <f ca="1">SUMIFS(OUT!$F$2:$F$11000,OUT!$H$2:$H$11000,H1077,OUT!$D$2:$D$11000,"Out",OUT!$E$2:$E$11000,"Zela")</f>
        <v>387476</v>
      </c>
      <c r="T1077" s="52">
        <f ca="1">SUMIFS(OUT!$F$2:$F$11000,OUT!$H$2:$H$11000,H1077,OUT!$D$2:$D$11000,"Out",OUT!$E$2:$E$11000,"Iqbal")</f>
        <v>231000</v>
      </c>
    </row>
    <row r="1078" spans="1:20" x14ac:dyDescent="0.2">
      <c r="A1078" s="48">
        <f ca="1">IFERROR(__xludf.DUMMYFUNCTION("""COMPUTED_VALUE"""),46211)</f>
        <v>46211</v>
      </c>
      <c r="B1078" s="4" t="str">
        <f ca="1">IFERROR(__xludf.DUMMYFUNCTION("""COMPUTED_VALUE"""),"COD celana Kulot ")</f>
        <v xml:space="preserve">COD celana Kulot </v>
      </c>
      <c r="C1078" s="4" t="str">
        <f ca="1">IFERROR(__xludf.DUMMYFUNCTION("""COMPUTED_VALUE"""),"Cash")</f>
        <v>Cash</v>
      </c>
      <c r="D1078" s="4" t="str">
        <f ca="1">IFERROR(__xludf.DUMMYFUNCTION("""COMPUTED_VALUE"""),"Out")</f>
        <v>Out</v>
      </c>
      <c r="E1078" s="4" t="str">
        <f ca="1">IFERROR(__xludf.DUMMYFUNCTION("""COMPUTED_VALUE"""),"Zela")</f>
        <v>Zela</v>
      </c>
      <c r="F1078" s="49">
        <f ca="1">IFERROR(__xludf.DUMMYFUNCTION("""COMPUTED_VALUE"""),37000)</f>
        <v>37000</v>
      </c>
      <c r="G1078" s="50" t="str">
        <f ca="1">IFERROR(__xludf.DUMMYFUNCTION("""COMPUTED_VALUE"""),"Zela")</f>
        <v>Zela</v>
      </c>
      <c r="H1078" s="51">
        <f t="shared" ca="1" si="0"/>
        <v>46204</v>
      </c>
      <c r="I1078" s="52" t="e">
        <f ca="1">SUMIFS(OUT!$F$2:$F$11000,OUT!$H$2:$H$11000,H1078,OUT!$D$2:$D$101007,"In")</f>
        <v>#VALUE!</v>
      </c>
      <c r="J1078" s="52">
        <f ca="1">SUMIFS(OUT!$F$2:$F$11000,OUT!$H$2:$H$11000,H1078,OUT!$D$2:$D$11000,"Out")</f>
        <v>9905717</v>
      </c>
      <c r="K1078" s="52">
        <f ca="1">SUMIFS(OUT!$F$2:$F$11000,OUT!$H$2:$H$11000,H1078,OUT!$D$2:$D$11000,"Out",OUT!$E$2:$E$11000,"Fix")</f>
        <v>3048680</v>
      </c>
      <c r="L1078" s="52">
        <f ca="1">SUMIFS(OUT!$F$2:$F$11000,OUT!$H$2:$H$11000,H1078,OUT!$D$2:$D$11000,"Out",OUT!$E$2:$E$11000,"Bathroom")</f>
        <v>50720</v>
      </c>
      <c r="M1078" s="52">
        <f ca="1">SUMIFS(OUT!$F$2:$F$11000,OUT!$H$2:$H$11000,H1078,OUT!$D$2:$D$11000,"Out",OUT!$E$2:$E$11000,"Alfa")</f>
        <v>294200</v>
      </c>
      <c r="N1078" s="52" t="e">
        <f ca="1">SUMIFS(OUT!$F$2:$F$11000,OUT!$H$2:$H$101007,H1078,OUT!$D$2:$D$11000,"Out",OUT!$E$2:$E$11000,"Jajan")</f>
        <v>#VALUE!</v>
      </c>
      <c r="O1078" s="52">
        <f ca="1">SUMIFS(OUT!$F$2:$F$11000,OUT!$H$2:$H$11000,H1078,OUT!$D$2:$D$11000,"Out",OUT!$E$2:$E$11000,"Kitchen")</f>
        <v>1360773</v>
      </c>
      <c r="P1078" s="52">
        <f ca="1">SUMIFS(OUT!$F$2:$F$11000,OUT!$H$2:$H$11000,H1078,OUT!$D$2:$D$11000,"Out",OUT!$E$2:$E$11000,"Loandry")</f>
        <v>11000</v>
      </c>
      <c r="Q1078" s="52">
        <f ca="1">SUMIFS(OUT!$F$2:$F$11000,OUT!$H$2:$H$11000,H1078,OUT!$D$2:$D$11000,"Out",OUT!$E$2:$E$11000,"Mio")</f>
        <v>338500</v>
      </c>
      <c r="R1078" s="52">
        <f ca="1">SUMIFS(OUT!$F$2:$F$11000,OUT!$H$2:$H$11000,H1078,OUT!$D$2:$D$11000,"Out",OUT!$E$2:$E$11000,"Sedekah")</f>
        <v>2500</v>
      </c>
      <c r="S1078" s="52">
        <f ca="1">SUMIFS(OUT!$F$2:$F$11000,OUT!$H$2:$H$11000,H1078,OUT!$D$2:$D$11000,"Out",OUT!$E$2:$E$11000,"Zela")</f>
        <v>387476</v>
      </c>
      <c r="T1078" s="52">
        <f ca="1">SUMIFS(OUT!$F$2:$F$11000,OUT!$H$2:$H$11000,H1078,OUT!$D$2:$D$11000,"Out",OUT!$E$2:$E$11000,"Iqbal")</f>
        <v>231000</v>
      </c>
    </row>
    <row r="1079" spans="1:20" x14ac:dyDescent="0.2">
      <c r="A1079" s="48">
        <f ca="1">IFERROR(__xludf.DUMMYFUNCTION("""COMPUTED_VALUE"""),46207)</f>
        <v>46207</v>
      </c>
      <c r="B1079" s="4" t="str">
        <f ca="1">IFERROR(__xludf.DUMMYFUNCTION("""COMPUTED_VALUE"""),"sate padeh ")</f>
        <v xml:space="preserve">sate padeh </v>
      </c>
      <c r="C1079" s="4" t="str">
        <f ca="1">IFERROR(__xludf.DUMMYFUNCTION("""COMPUTED_VALUE"""),"Cash")</f>
        <v>Cash</v>
      </c>
      <c r="D1079" s="4" t="str">
        <f ca="1">IFERROR(__xludf.DUMMYFUNCTION("""COMPUTED_VALUE"""),"Out")</f>
        <v>Out</v>
      </c>
      <c r="E1079" s="4" t="str">
        <f ca="1">IFERROR(__xludf.DUMMYFUNCTION("""COMPUTED_VALUE"""),"Jajan")</f>
        <v>Jajan</v>
      </c>
      <c r="F1079" s="49">
        <f ca="1">IFERROR(__xludf.DUMMYFUNCTION("""COMPUTED_VALUE"""),10000)</f>
        <v>10000</v>
      </c>
      <c r="G1079" s="50" t="str">
        <f ca="1">IFERROR(__xludf.DUMMYFUNCTION("""COMPUTED_VALUE"""),"Zela")</f>
        <v>Zela</v>
      </c>
      <c r="H1079" s="51">
        <f t="shared" ca="1" si="0"/>
        <v>46204</v>
      </c>
      <c r="I1079" s="52" t="e">
        <f ca="1">SUMIFS(OUT!$F$2:$F$11000,OUT!$H$2:$H$11000,H1079,OUT!$D$2:$D$101007,"In")</f>
        <v>#VALUE!</v>
      </c>
      <c r="J1079" s="52">
        <f ca="1">SUMIFS(OUT!$F$2:$F$11000,OUT!$H$2:$H$11000,H1079,OUT!$D$2:$D$11000,"Out")</f>
        <v>9905717</v>
      </c>
      <c r="K1079" s="52">
        <f ca="1">SUMIFS(OUT!$F$2:$F$11000,OUT!$H$2:$H$11000,H1079,OUT!$D$2:$D$11000,"Out",OUT!$E$2:$E$11000,"Fix")</f>
        <v>3048680</v>
      </c>
      <c r="L1079" s="52">
        <f ca="1">SUMIFS(OUT!$F$2:$F$11000,OUT!$H$2:$H$11000,H1079,OUT!$D$2:$D$11000,"Out",OUT!$E$2:$E$11000,"Bathroom")</f>
        <v>50720</v>
      </c>
      <c r="M1079" s="52">
        <f ca="1">SUMIFS(OUT!$F$2:$F$11000,OUT!$H$2:$H$11000,H1079,OUT!$D$2:$D$11000,"Out",OUT!$E$2:$E$11000,"Alfa")</f>
        <v>294200</v>
      </c>
      <c r="N1079" s="52" t="e">
        <f ca="1">SUMIFS(OUT!$F$2:$F$11000,OUT!$H$2:$H$101007,H1079,OUT!$D$2:$D$11000,"Out",OUT!$E$2:$E$11000,"Jajan")</f>
        <v>#VALUE!</v>
      </c>
      <c r="O1079" s="52">
        <f ca="1">SUMIFS(OUT!$F$2:$F$11000,OUT!$H$2:$H$11000,H1079,OUT!$D$2:$D$11000,"Out",OUT!$E$2:$E$11000,"Kitchen")</f>
        <v>1360773</v>
      </c>
      <c r="P1079" s="52">
        <f ca="1">SUMIFS(OUT!$F$2:$F$11000,OUT!$H$2:$H$11000,H1079,OUT!$D$2:$D$11000,"Out",OUT!$E$2:$E$11000,"Loandry")</f>
        <v>11000</v>
      </c>
      <c r="Q1079" s="52">
        <f ca="1">SUMIFS(OUT!$F$2:$F$11000,OUT!$H$2:$H$11000,H1079,OUT!$D$2:$D$11000,"Out",OUT!$E$2:$E$11000,"Mio")</f>
        <v>338500</v>
      </c>
      <c r="R1079" s="52">
        <f ca="1">SUMIFS(OUT!$F$2:$F$11000,OUT!$H$2:$H$11000,H1079,OUT!$D$2:$D$11000,"Out",OUT!$E$2:$E$11000,"Sedekah")</f>
        <v>2500</v>
      </c>
      <c r="S1079" s="52">
        <f ca="1">SUMIFS(OUT!$F$2:$F$11000,OUT!$H$2:$H$11000,H1079,OUT!$D$2:$D$11000,"Out",OUT!$E$2:$E$11000,"Zela")</f>
        <v>387476</v>
      </c>
      <c r="T1079" s="52">
        <f ca="1">SUMIFS(OUT!$F$2:$F$11000,OUT!$H$2:$H$11000,H1079,OUT!$D$2:$D$11000,"Out",OUT!$E$2:$E$11000,"Iqbal")</f>
        <v>231000</v>
      </c>
    </row>
    <row r="1080" spans="1:20" x14ac:dyDescent="0.2">
      <c r="A1080" s="48">
        <f ca="1">IFERROR(__xludf.DUMMYFUNCTION("""COMPUTED_VALUE"""),46211)</f>
        <v>46211</v>
      </c>
      <c r="B1080" s="4" t="str">
        <f ca="1">IFERROR(__xludf.DUMMYFUNCTION("""COMPUTED_VALUE"""),"galon ")</f>
        <v xml:space="preserve">galon </v>
      </c>
      <c r="C1080" s="4" t="str">
        <f ca="1">IFERROR(__xludf.DUMMYFUNCTION("""COMPUTED_VALUE"""),"Cash")</f>
        <v>Cash</v>
      </c>
      <c r="D1080" s="4" t="str">
        <f ca="1">IFERROR(__xludf.DUMMYFUNCTION("""COMPUTED_VALUE"""),"Out")</f>
        <v>Out</v>
      </c>
      <c r="E1080" s="4" t="str">
        <f ca="1">IFERROR(__xludf.DUMMYFUNCTION("""COMPUTED_VALUE"""),"Kitchen")</f>
        <v>Kitchen</v>
      </c>
      <c r="F1080" s="49">
        <f ca="1">IFERROR(__xludf.DUMMYFUNCTION("""COMPUTED_VALUE"""),3000)</f>
        <v>3000</v>
      </c>
      <c r="G1080" s="50" t="str">
        <f ca="1">IFERROR(__xludf.DUMMYFUNCTION("""COMPUTED_VALUE"""),"Zela")</f>
        <v>Zela</v>
      </c>
      <c r="H1080" s="51">
        <f t="shared" ca="1" si="0"/>
        <v>46204</v>
      </c>
      <c r="I1080" s="52" t="e">
        <f ca="1">SUMIFS(OUT!$F$2:$F$11000,OUT!$H$2:$H$11000,H1080,OUT!$D$2:$D$101007,"In")</f>
        <v>#VALUE!</v>
      </c>
      <c r="J1080" s="52">
        <f ca="1">SUMIFS(OUT!$F$2:$F$11000,OUT!$H$2:$H$11000,H1080,OUT!$D$2:$D$11000,"Out")</f>
        <v>9905717</v>
      </c>
      <c r="K1080" s="52">
        <f ca="1">SUMIFS(OUT!$F$2:$F$11000,OUT!$H$2:$H$11000,H1080,OUT!$D$2:$D$11000,"Out",OUT!$E$2:$E$11000,"Fix")</f>
        <v>3048680</v>
      </c>
      <c r="L1080" s="52">
        <f ca="1">SUMIFS(OUT!$F$2:$F$11000,OUT!$H$2:$H$11000,H1080,OUT!$D$2:$D$11000,"Out",OUT!$E$2:$E$11000,"Bathroom")</f>
        <v>50720</v>
      </c>
      <c r="M1080" s="52">
        <f ca="1">SUMIFS(OUT!$F$2:$F$11000,OUT!$H$2:$H$11000,H1080,OUT!$D$2:$D$11000,"Out",OUT!$E$2:$E$11000,"Alfa")</f>
        <v>294200</v>
      </c>
      <c r="N1080" s="52" t="e">
        <f ca="1">SUMIFS(OUT!$F$2:$F$11000,OUT!$H$2:$H$101007,H1080,OUT!$D$2:$D$11000,"Out",OUT!$E$2:$E$11000,"Jajan")</f>
        <v>#VALUE!</v>
      </c>
      <c r="O1080" s="52">
        <f ca="1">SUMIFS(OUT!$F$2:$F$11000,OUT!$H$2:$H$11000,H1080,OUT!$D$2:$D$11000,"Out",OUT!$E$2:$E$11000,"Kitchen")</f>
        <v>1360773</v>
      </c>
      <c r="P1080" s="52">
        <f ca="1">SUMIFS(OUT!$F$2:$F$11000,OUT!$H$2:$H$11000,H1080,OUT!$D$2:$D$11000,"Out",OUT!$E$2:$E$11000,"Loandry")</f>
        <v>11000</v>
      </c>
      <c r="Q1080" s="52">
        <f ca="1">SUMIFS(OUT!$F$2:$F$11000,OUT!$H$2:$H$11000,H1080,OUT!$D$2:$D$11000,"Out",OUT!$E$2:$E$11000,"Mio")</f>
        <v>338500</v>
      </c>
      <c r="R1080" s="52">
        <f ca="1">SUMIFS(OUT!$F$2:$F$11000,OUT!$H$2:$H$11000,H1080,OUT!$D$2:$D$11000,"Out",OUT!$E$2:$E$11000,"Sedekah")</f>
        <v>2500</v>
      </c>
      <c r="S1080" s="52">
        <f ca="1">SUMIFS(OUT!$F$2:$F$11000,OUT!$H$2:$H$11000,H1080,OUT!$D$2:$D$11000,"Out",OUT!$E$2:$E$11000,"Zela")</f>
        <v>387476</v>
      </c>
      <c r="T1080" s="52">
        <f ca="1">SUMIFS(OUT!$F$2:$F$11000,OUT!$H$2:$H$11000,H1080,OUT!$D$2:$D$11000,"Out",OUT!$E$2:$E$11000,"Iqbal")</f>
        <v>231000</v>
      </c>
    </row>
    <row r="1081" spans="1:20" x14ac:dyDescent="0.2">
      <c r="A1081" s="48">
        <f ca="1">IFERROR(__xludf.DUMMYFUNCTION("""COMPUTED_VALUE"""),46211)</f>
        <v>46211</v>
      </c>
      <c r="B1081" s="4" t="str">
        <f ca="1">IFERROR(__xludf.DUMMYFUNCTION("""COMPUTED_VALUE"""),"gabin+gepeng ")</f>
        <v xml:space="preserve">gabin+gepeng </v>
      </c>
      <c r="C1081" s="4" t="str">
        <f ca="1">IFERROR(__xludf.DUMMYFUNCTION("""COMPUTED_VALUE"""),"Cash")</f>
        <v>Cash</v>
      </c>
      <c r="D1081" s="4" t="str">
        <f ca="1">IFERROR(__xludf.DUMMYFUNCTION("""COMPUTED_VALUE"""),"Out")</f>
        <v>Out</v>
      </c>
      <c r="E1081" s="4" t="str">
        <f ca="1">IFERROR(__xludf.DUMMYFUNCTION("""COMPUTED_VALUE"""),"Jajan")</f>
        <v>Jajan</v>
      </c>
      <c r="F1081" s="49">
        <f ca="1">IFERROR(__xludf.DUMMYFUNCTION("""COMPUTED_VALUE"""),17000)</f>
        <v>17000</v>
      </c>
      <c r="G1081" s="50" t="str">
        <f ca="1">IFERROR(__xludf.DUMMYFUNCTION("""COMPUTED_VALUE"""),"Zela")</f>
        <v>Zela</v>
      </c>
      <c r="H1081" s="51">
        <f t="shared" ca="1" si="0"/>
        <v>46204</v>
      </c>
      <c r="I1081" s="52" t="e">
        <f ca="1">SUMIFS(OUT!$F$2:$F$11000,OUT!$H$2:$H$11000,H1081,OUT!$D$2:$D$101007,"In")</f>
        <v>#VALUE!</v>
      </c>
      <c r="J1081" s="52">
        <f ca="1">SUMIFS(OUT!$F$2:$F$11000,OUT!$H$2:$H$11000,H1081,OUT!$D$2:$D$11000,"Out")</f>
        <v>9905717</v>
      </c>
      <c r="K1081" s="52">
        <f ca="1">SUMIFS(OUT!$F$2:$F$11000,OUT!$H$2:$H$11000,H1081,OUT!$D$2:$D$11000,"Out",OUT!$E$2:$E$11000,"Fix")</f>
        <v>3048680</v>
      </c>
      <c r="L1081" s="52">
        <f ca="1">SUMIFS(OUT!$F$2:$F$11000,OUT!$H$2:$H$11000,H1081,OUT!$D$2:$D$11000,"Out",OUT!$E$2:$E$11000,"Bathroom")</f>
        <v>50720</v>
      </c>
      <c r="M1081" s="52">
        <f ca="1">SUMIFS(OUT!$F$2:$F$11000,OUT!$H$2:$H$11000,H1081,OUT!$D$2:$D$11000,"Out",OUT!$E$2:$E$11000,"Alfa")</f>
        <v>294200</v>
      </c>
      <c r="N1081" s="52" t="e">
        <f ca="1">SUMIFS(OUT!$F$2:$F$11000,OUT!$H$2:$H$101007,H1081,OUT!$D$2:$D$11000,"Out",OUT!$E$2:$E$11000,"Jajan")</f>
        <v>#VALUE!</v>
      </c>
      <c r="O1081" s="52">
        <f ca="1">SUMIFS(OUT!$F$2:$F$11000,OUT!$H$2:$H$11000,H1081,OUT!$D$2:$D$11000,"Out",OUT!$E$2:$E$11000,"Kitchen")</f>
        <v>1360773</v>
      </c>
      <c r="P1081" s="52">
        <f ca="1">SUMIFS(OUT!$F$2:$F$11000,OUT!$H$2:$H$11000,H1081,OUT!$D$2:$D$11000,"Out",OUT!$E$2:$E$11000,"Loandry")</f>
        <v>11000</v>
      </c>
      <c r="Q1081" s="52">
        <f ca="1">SUMIFS(OUT!$F$2:$F$11000,OUT!$H$2:$H$11000,H1081,OUT!$D$2:$D$11000,"Out",OUT!$E$2:$E$11000,"Mio")</f>
        <v>338500</v>
      </c>
      <c r="R1081" s="52">
        <f ca="1">SUMIFS(OUT!$F$2:$F$11000,OUT!$H$2:$H$11000,H1081,OUT!$D$2:$D$11000,"Out",OUT!$E$2:$E$11000,"Sedekah")</f>
        <v>2500</v>
      </c>
      <c r="S1081" s="52">
        <f ca="1">SUMIFS(OUT!$F$2:$F$11000,OUT!$H$2:$H$11000,H1081,OUT!$D$2:$D$11000,"Out",OUT!$E$2:$E$11000,"Zela")</f>
        <v>387476</v>
      </c>
      <c r="T1081" s="52">
        <f ca="1">SUMIFS(OUT!$F$2:$F$11000,OUT!$H$2:$H$11000,H1081,OUT!$D$2:$D$11000,"Out",OUT!$E$2:$E$11000,"Iqbal")</f>
        <v>231000</v>
      </c>
    </row>
    <row r="1082" spans="1:20" x14ac:dyDescent="0.2">
      <c r="A1082" s="48">
        <f ca="1">IFERROR(__xludf.DUMMYFUNCTION("""COMPUTED_VALUE"""),46212)</f>
        <v>46212</v>
      </c>
      <c r="B1082" s="4" t="str">
        <f ca="1">IFERROR(__xludf.DUMMYFUNCTION("""COMPUTED_VALUE"""),"COD khiban shopee")</f>
        <v>COD khiban shopee</v>
      </c>
      <c r="C1082" s="4" t="str">
        <f ca="1">IFERROR(__xludf.DUMMYFUNCTION("""COMPUTED_VALUE"""),"Cash")</f>
        <v>Cash</v>
      </c>
      <c r="D1082" s="4" t="str">
        <f ca="1">IFERROR(__xludf.DUMMYFUNCTION("""COMPUTED_VALUE"""),"Out")</f>
        <v>Out</v>
      </c>
      <c r="E1082" s="4" t="str">
        <f ca="1">IFERROR(__xludf.DUMMYFUNCTION("""COMPUTED_VALUE"""),"Zela")</f>
        <v>Zela</v>
      </c>
      <c r="F1082" s="49">
        <f ca="1">IFERROR(__xludf.DUMMYFUNCTION("""COMPUTED_VALUE"""),23000)</f>
        <v>23000</v>
      </c>
      <c r="G1082" s="50" t="str">
        <f ca="1">IFERROR(__xludf.DUMMYFUNCTION("""COMPUTED_VALUE"""),"Zela")</f>
        <v>Zela</v>
      </c>
      <c r="H1082" s="51">
        <f t="shared" ca="1" si="0"/>
        <v>46204</v>
      </c>
      <c r="I1082" s="52" t="e">
        <f ca="1">SUMIFS(OUT!$F$2:$F$11000,OUT!$H$2:$H$11000,H1082,OUT!$D$2:$D$101007,"In")</f>
        <v>#VALUE!</v>
      </c>
      <c r="J1082" s="52">
        <f ca="1">SUMIFS(OUT!$F$2:$F$11000,OUT!$H$2:$H$11000,H1082,OUT!$D$2:$D$11000,"Out")</f>
        <v>9905717</v>
      </c>
      <c r="K1082" s="52">
        <f ca="1">SUMIFS(OUT!$F$2:$F$11000,OUT!$H$2:$H$11000,H1082,OUT!$D$2:$D$11000,"Out",OUT!$E$2:$E$11000,"Fix")</f>
        <v>3048680</v>
      </c>
      <c r="L1082" s="52">
        <f ca="1">SUMIFS(OUT!$F$2:$F$11000,OUT!$H$2:$H$11000,H1082,OUT!$D$2:$D$11000,"Out",OUT!$E$2:$E$11000,"Bathroom")</f>
        <v>50720</v>
      </c>
      <c r="M1082" s="52">
        <f ca="1">SUMIFS(OUT!$F$2:$F$11000,OUT!$H$2:$H$11000,H1082,OUT!$D$2:$D$11000,"Out",OUT!$E$2:$E$11000,"Alfa")</f>
        <v>294200</v>
      </c>
      <c r="N1082" s="52" t="e">
        <f ca="1">SUMIFS(OUT!$F$2:$F$11000,OUT!$H$2:$H$101007,H1082,OUT!$D$2:$D$11000,"Out",OUT!$E$2:$E$11000,"Jajan")</f>
        <v>#VALUE!</v>
      </c>
      <c r="O1082" s="52">
        <f ca="1">SUMIFS(OUT!$F$2:$F$11000,OUT!$H$2:$H$11000,H1082,OUT!$D$2:$D$11000,"Out",OUT!$E$2:$E$11000,"Kitchen")</f>
        <v>1360773</v>
      </c>
      <c r="P1082" s="52">
        <f ca="1">SUMIFS(OUT!$F$2:$F$11000,OUT!$H$2:$H$11000,H1082,OUT!$D$2:$D$11000,"Out",OUT!$E$2:$E$11000,"Loandry")</f>
        <v>11000</v>
      </c>
      <c r="Q1082" s="52">
        <f ca="1">SUMIFS(OUT!$F$2:$F$11000,OUT!$H$2:$H$11000,H1082,OUT!$D$2:$D$11000,"Out",OUT!$E$2:$E$11000,"Mio")</f>
        <v>338500</v>
      </c>
      <c r="R1082" s="52">
        <f ca="1">SUMIFS(OUT!$F$2:$F$11000,OUT!$H$2:$H$11000,H1082,OUT!$D$2:$D$11000,"Out",OUT!$E$2:$E$11000,"Sedekah")</f>
        <v>2500</v>
      </c>
      <c r="S1082" s="52">
        <f ca="1">SUMIFS(OUT!$F$2:$F$11000,OUT!$H$2:$H$11000,H1082,OUT!$D$2:$D$11000,"Out",OUT!$E$2:$E$11000,"Zela")</f>
        <v>387476</v>
      </c>
      <c r="T1082" s="52">
        <f ca="1">SUMIFS(OUT!$F$2:$F$11000,OUT!$H$2:$H$11000,H1082,OUT!$D$2:$D$11000,"Out",OUT!$E$2:$E$11000,"Iqbal")</f>
        <v>231000</v>
      </c>
    </row>
    <row r="1083" spans="1:20" x14ac:dyDescent="0.2">
      <c r="A1083" s="48">
        <f ca="1">IFERROR(__xludf.DUMMYFUNCTION("""COMPUTED_VALUE"""),46212)</f>
        <v>46212</v>
      </c>
      <c r="B1083" s="4" t="str">
        <f ca="1">IFERROR(__xludf.DUMMYFUNCTION("""COMPUTED_VALUE"""),"Shopee ( bakso+sabun batang )")</f>
        <v>Shopee ( bakso+sabun batang )</v>
      </c>
      <c r="C1083" s="4" t="str">
        <f ca="1">IFERROR(__xludf.DUMMYFUNCTION("""COMPUTED_VALUE"""),"ATM")</f>
        <v>ATM</v>
      </c>
      <c r="D1083" s="4" t="str">
        <f ca="1">IFERROR(__xludf.DUMMYFUNCTION("""COMPUTED_VALUE"""),"Out")</f>
        <v>Out</v>
      </c>
      <c r="E1083" s="4" t="str">
        <f ca="1">IFERROR(__xludf.DUMMYFUNCTION("""COMPUTED_VALUE"""),"Kitchen")</f>
        <v>Kitchen</v>
      </c>
      <c r="F1083" s="49">
        <f ca="1">IFERROR(__xludf.DUMMYFUNCTION("""COMPUTED_VALUE"""),32000)</f>
        <v>32000</v>
      </c>
      <c r="G1083" s="50" t="str">
        <f ca="1">IFERROR(__xludf.DUMMYFUNCTION("""COMPUTED_VALUE"""),"Zela")</f>
        <v>Zela</v>
      </c>
      <c r="H1083" s="51">
        <f t="shared" ca="1" si="0"/>
        <v>46204</v>
      </c>
      <c r="I1083" s="52" t="e">
        <f ca="1">SUMIFS(OUT!$F$2:$F$11000,OUT!$H$2:$H$11000,H1083,OUT!$D$2:$D$101007,"In")</f>
        <v>#VALUE!</v>
      </c>
      <c r="J1083" s="52">
        <f ca="1">SUMIFS(OUT!$F$2:$F$11000,OUT!$H$2:$H$11000,H1083,OUT!$D$2:$D$11000,"Out")</f>
        <v>9905717</v>
      </c>
      <c r="K1083" s="52">
        <f ca="1">SUMIFS(OUT!$F$2:$F$11000,OUT!$H$2:$H$11000,H1083,OUT!$D$2:$D$11000,"Out",OUT!$E$2:$E$11000,"Fix")</f>
        <v>3048680</v>
      </c>
      <c r="L1083" s="52">
        <f ca="1">SUMIFS(OUT!$F$2:$F$11000,OUT!$H$2:$H$11000,H1083,OUT!$D$2:$D$11000,"Out",OUT!$E$2:$E$11000,"Bathroom")</f>
        <v>50720</v>
      </c>
      <c r="M1083" s="52">
        <f ca="1">SUMIFS(OUT!$F$2:$F$11000,OUT!$H$2:$H$11000,H1083,OUT!$D$2:$D$11000,"Out",OUT!$E$2:$E$11000,"Alfa")</f>
        <v>294200</v>
      </c>
      <c r="N1083" s="52" t="e">
        <f ca="1">SUMIFS(OUT!$F$2:$F$11000,OUT!$H$2:$H$101007,H1083,OUT!$D$2:$D$11000,"Out",OUT!$E$2:$E$11000,"Jajan")</f>
        <v>#VALUE!</v>
      </c>
      <c r="O1083" s="52">
        <f ca="1">SUMIFS(OUT!$F$2:$F$11000,OUT!$H$2:$H$11000,H1083,OUT!$D$2:$D$11000,"Out",OUT!$E$2:$E$11000,"Kitchen")</f>
        <v>1360773</v>
      </c>
      <c r="P1083" s="52">
        <f ca="1">SUMIFS(OUT!$F$2:$F$11000,OUT!$H$2:$H$11000,H1083,OUT!$D$2:$D$11000,"Out",OUT!$E$2:$E$11000,"Loandry")</f>
        <v>11000</v>
      </c>
      <c r="Q1083" s="52">
        <f ca="1">SUMIFS(OUT!$F$2:$F$11000,OUT!$H$2:$H$11000,H1083,OUT!$D$2:$D$11000,"Out",OUT!$E$2:$E$11000,"Mio")</f>
        <v>338500</v>
      </c>
      <c r="R1083" s="52">
        <f ca="1">SUMIFS(OUT!$F$2:$F$11000,OUT!$H$2:$H$11000,H1083,OUT!$D$2:$D$11000,"Out",OUT!$E$2:$E$11000,"Sedekah")</f>
        <v>2500</v>
      </c>
      <c r="S1083" s="52">
        <f ca="1">SUMIFS(OUT!$F$2:$F$11000,OUT!$H$2:$H$11000,H1083,OUT!$D$2:$D$11000,"Out",OUT!$E$2:$E$11000,"Zela")</f>
        <v>387476</v>
      </c>
      <c r="T1083" s="52">
        <f ca="1">SUMIFS(OUT!$F$2:$F$11000,OUT!$H$2:$H$11000,H1083,OUT!$D$2:$D$11000,"Out",OUT!$E$2:$E$11000,"Iqbal")</f>
        <v>231000</v>
      </c>
    </row>
    <row r="1084" spans="1:20" x14ac:dyDescent="0.2">
      <c r="A1084" s="48">
        <f ca="1">IFERROR(__xludf.DUMMYFUNCTION("""COMPUTED_VALUE"""),46212)</f>
        <v>46212</v>
      </c>
      <c r="B1084" s="4" t="str">
        <f ca="1">IFERROR(__xludf.DUMMYFUNCTION("""COMPUTED_VALUE"""),"Tarik Tunai ")</f>
        <v xml:space="preserve">Tarik Tunai </v>
      </c>
      <c r="C1084" s="4" t="str">
        <f ca="1">IFERROR(__xludf.DUMMYFUNCTION("""COMPUTED_VALUE"""),"ATM")</f>
        <v>ATM</v>
      </c>
      <c r="D1084" s="4" t="str">
        <f ca="1">IFERROR(__xludf.DUMMYFUNCTION("""COMPUTED_VALUE"""),"Out")</f>
        <v>Out</v>
      </c>
      <c r="E1084" s="4" t="str">
        <f ca="1">IFERROR(__xludf.DUMMYFUNCTION("""COMPUTED_VALUE"""),"Move")</f>
        <v>Move</v>
      </c>
      <c r="F1084" s="49">
        <f ca="1">IFERROR(__xludf.DUMMYFUNCTION("""COMPUTED_VALUE"""),100000)</f>
        <v>100000</v>
      </c>
      <c r="G1084" s="50" t="str">
        <f ca="1">IFERROR(__xludf.DUMMYFUNCTION("""COMPUTED_VALUE"""),"Zela")</f>
        <v>Zela</v>
      </c>
      <c r="H1084" s="51">
        <f t="shared" ca="1" si="0"/>
        <v>46204</v>
      </c>
      <c r="I1084" s="52" t="e">
        <f ca="1">SUMIFS(OUT!$F$2:$F$11000,OUT!$H$2:$H$11000,H1084,OUT!$D$2:$D$101007,"In")</f>
        <v>#VALUE!</v>
      </c>
      <c r="J1084" s="52">
        <f ca="1">SUMIFS(OUT!$F$2:$F$11000,OUT!$H$2:$H$11000,H1084,OUT!$D$2:$D$11000,"Out")</f>
        <v>9905717</v>
      </c>
      <c r="K1084" s="52">
        <f ca="1">SUMIFS(OUT!$F$2:$F$11000,OUT!$H$2:$H$11000,H1084,OUT!$D$2:$D$11000,"Out",OUT!$E$2:$E$11000,"Fix")</f>
        <v>3048680</v>
      </c>
      <c r="L1084" s="52">
        <f ca="1">SUMIFS(OUT!$F$2:$F$11000,OUT!$H$2:$H$11000,H1084,OUT!$D$2:$D$11000,"Out",OUT!$E$2:$E$11000,"Bathroom")</f>
        <v>50720</v>
      </c>
      <c r="M1084" s="52">
        <f ca="1">SUMIFS(OUT!$F$2:$F$11000,OUT!$H$2:$H$11000,H1084,OUT!$D$2:$D$11000,"Out",OUT!$E$2:$E$11000,"Alfa")</f>
        <v>294200</v>
      </c>
      <c r="N1084" s="52" t="e">
        <f ca="1">SUMIFS(OUT!$F$2:$F$11000,OUT!$H$2:$H$101007,H1084,OUT!$D$2:$D$11000,"Out",OUT!$E$2:$E$11000,"Jajan")</f>
        <v>#VALUE!</v>
      </c>
      <c r="O1084" s="52">
        <f ca="1">SUMIFS(OUT!$F$2:$F$11000,OUT!$H$2:$H$11000,H1084,OUT!$D$2:$D$11000,"Out",OUT!$E$2:$E$11000,"Kitchen")</f>
        <v>1360773</v>
      </c>
      <c r="P1084" s="52">
        <f ca="1">SUMIFS(OUT!$F$2:$F$11000,OUT!$H$2:$H$11000,H1084,OUT!$D$2:$D$11000,"Out",OUT!$E$2:$E$11000,"Loandry")</f>
        <v>11000</v>
      </c>
      <c r="Q1084" s="52">
        <f ca="1">SUMIFS(OUT!$F$2:$F$11000,OUT!$H$2:$H$11000,H1084,OUT!$D$2:$D$11000,"Out",OUT!$E$2:$E$11000,"Mio")</f>
        <v>338500</v>
      </c>
      <c r="R1084" s="52">
        <f ca="1">SUMIFS(OUT!$F$2:$F$11000,OUT!$H$2:$H$11000,H1084,OUT!$D$2:$D$11000,"Out",OUT!$E$2:$E$11000,"Sedekah")</f>
        <v>2500</v>
      </c>
      <c r="S1084" s="52">
        <f ca="1">SUMIFS(OUT!$F$2:$F$11000,OUT!$H$2:$H$11000,H1084,OUT!$D$2:$D$11000,"Out",OUT!$E$2:$E$11000,"Zela")</f>
        <v>387476</v>
      </c>
      <c r="T1084" s="52">
        <f ca="1">SUMIFS(OUT!$F$2:$F$11000,OUT!$H$2:$H$11000,H1084,OUT!$D$2:$D$11000,"Out",OUT!$E$2:$E$11000,"Iqbal")</f>
        <v>231000</v>
      </c>
    </row>
    <row r="1085" spans="1:20" x14ac:dyDescent="0.2">
      <c r="A1085" s="48">
        <f ca="1">IFERROR(__xludf.DUMMYFUNCTION("""COMPUTED_VALUE"""),46212)</f>
        <v>46212</v>
      </c>
      <c r="B1085" s="4" t="str">
        <f ca="1">IFERROR(__xludf.DUMMYFUNCTION("""COMPUTED_VALUE"""),"Terima Tunai ")</f>
        <v xml:space="preserve">Terima Tunai </v>
      </c>
      <c r="C1085" s="4" t="str">
        <f ca="1">IFERROR(__xludf.DUMMYFUNCTION("""COMPUTED_VALUE"""),"Cash")</f>
        <v>Cash</v>
      </c>
      <c r="D1085" s="4" t="str">
        <f ca="1">IFERROR(__xludf.DUMMYFUNCTION("""COMPUTED_VALUE"""),"In")</f>
        <v>In</v>
      </c>
      <c r="E1085" s="4" t="str">
        <f ca="1">IFERROR(__xludf.DUMMYFUNCTION("""COMPUTED_VALUE"""),"Move")</f>
        <v>Move</v>
      </c>
      <c r="F1085" s="49">
        <f ca="1">IFERROR(__xludf.DUMMYFUNCTION("""COMPUTED_VALUE"""),100000)</f>
        <v>100000</v>
      </c>
      <c r="G1085" s="50" t="str">
        <f ca="1">IFERROR(__xludf.DUMMYFUNCTION("""COMPUTED_VALUE"""),"Zela")</f>
        <v>Zela</v>
      </c>
      <c r="H1085" s="51">
        <f t="shared" ca="1" si="0"/>
        <v>46204</v>
      </c>
      <c r="I1085" s="52" t="e">
        <f ca="1">SUMIFS(OUT!$F$2:$F$11000,OUT!$H$2:$H$11000,H1085,OUT!$D$2:$D$101007,"In")</f>
        <v>#VALUE!</v>
      </c>
      <c r="J1085" s="52">
        <f ca="1">SUMIFS(OUT!$F$2:$F$11000,OUT!$H$2:$H$11000,H1085,OUT!$D$2:$D$11000,"Out")</f>
        <v>9905717</v>
      </c>
      <c r="K1085" s="52">
        <f ca="1">SUMIFS(OUT!$F$2:$F$11000,OUT!$H$2:$H$11000,H1085,OUT!$D$2:$D$11000,"Out",OUT!$E$2:$E$11000,"Fix")</f>
        <v>3048680</v>
      </c>
      <c r="L1085" s="52">
        <f ca="1">SUMIFS(OUT!$F$2:$F$11000,OUT!$H$2:$H$11000,H1085,OUT!$D$2:$D$11000,"Out",OUT!$E$2:$E$11000,"Bathroom")</f>
        <v>50720</v>
      </c>
      <c r="M1085" s="52">
        <f ca="1">SUMIFS(OUT!$F$2:$F$11000,OUT!$H$2:$H$11000,H1085,OUT!$D$2:$D$11000,"Out",OUT!$E$2:$E$11000,"Alfa")</f>
        <v>294200</v>
      </c>
      <c r="N1085" s="52" t="e">
        <f ca="1">SUMIFS(OUT!$F$2:$F$11000,OUT!$H$2:$H$101007,H1085,OUT!$D$2:$D$11000,"Out",OUT!$E$2:$E$11000,"Jajan")</f>
        <v>#VALUE!</v>
      </c>
      <c r="O1085" s="52">
        <f ca="1">SUMIFS(OUT!$F$2:$F$11000,OUT!$H$2:$H$11000,H1085,OUT!$D$2:$D$11000,"Out",OUT!$E$2:$E$11000,"Kitchen")</f>
        <v>1360773</v>
      </c>
      <c r="P1085" s="52">
        <f ca="1">SUMIFS(OUT!$F$2:$F$11000,OUT!$H$2:$H$11000,H1085,OUT!$D$2:$D$11000,"Out",OUT!$E$2:$E$11000,"Loandry")</f>
        <v>11000</v>
      </c>
      <c r="Q1085" s="52">
        <f ca="1">SUMIFS(OUT!$F$2:$F$11000,OUT!$H$2:$H$11000,H1085,OUT!$D$2:$D$11000,"Out",OUT!$E$2:$E$11000,"Mio")</f>
        <v>338500</v>
      </c>
      <c r="R1085" s="52">
        <f ca="1">SUMIFS(OUT!$F$2:$F$11000,OUT!$H$2:$H$11000,H1085,OUT!$D$2:$D$11000,"Out",OUT!$E$2:$E$11000,"Sedekah")</f>
        <v>2500</v>
      </c>
      <c r="S1085" s="52">
        <f ca="1">SUMIFS(OUT!$F$2:$F$11000,OUT!$H$2:$H$11000,H1085,OUT!$D$2:$D$11000,"Out",OUT!$E$2:$E$11000,"Zela")</f>
        <v>387476</v>
      </c>
      <c r="T1085" s="52">
        <f ca="1">SUMIFS(OUT!$F$2:$F$11000,OUT!$H$2:$H$11000,H1085,OUT!$D$2:$D$11000,"Out",OUT!$E$2:$E$11000,"Iqbal")</f>
        <v>231000</v>
      </c>
    </row>
    <row r="1086" spans="1:20" x14ac:dyDescent="0.2">
      <c r="A1086" s="48">
        <f ca="1">IFERROR(__xludf.DUMMYFUNCTION("""COMPUTED_VALUE"""),46213)</f>
        <v>46213</v>
      </c>
      <c r="B1086" s="4" t="str">
        <f ca="1">IFERROR(__xludf.DUMMYFUNCTION("""COMPUTED_VALUE"""),"Bakso+sotong shopee")</f>
        <v>Bakso+sotong shopee</v>
      </c>
      <c r="C1086" s="4" t="str">
        <f ca="1">IFERROR(__xludf.DUMMYFUNCTION("""COMPUTED_VALUE"""),"ATM")</f>
        <v>ATM</v>
      </c>
      <c r="D1086" s="4" t="str">
        <f ca="1">IFERROR(__xludf.DUMMYFUNCTION("""COMPUTED_VALUE"""),"Out")</f>
        <v>Out</v>
      </c>
      <c r="E1086" s="4" t="str">
        <f ca="1">IFERROR(__xludf.DUMMYFUNCTION("""COMPUTED_VALUE"""),"Kitchen")</f>
        <v>Kitchen</v>
      </c>
      <c r="F1086" s="49">
        <f ca="1">IFERROR(__xludf.DUMMYFUNCTION("""COMPUTED_VALUE"""),31800)</f>
        <v>31800</v>
      </c>
      <c r="G1086" s="50" t="str">
        <f ca="1">IFERROR(__xludf.DUMMYFUNCTION("""COMPUTED_VALUE"""),"Zela")</f>
        <v>Zela</v>
      </c>
      <c r="H1086" s="51">
        <f t="shared" ca="1" si="0"/>
        <v>46204</v>
      </c>
      <c r="I1086" s="52" t="e">
        <f ca="1">SUMIFS(OUT!$F$2:$F$11000,OUT!$H$2:$H$11000,H1086,OUT!$D$2:$D$101007,"In")</f>
        <v>#VALUE!</v>
      </c>
      <c r="J1086" s="52">
        <f ca="1">SUMIFS(OUT!$F$2:$F$11000,OUT!$H$2:$H$11000,H1086,OUT!$D$2:$D$11000,"Out")</f>
        <v>9905717</v>
      </c>
      <c r="K1086" s="52">
        <f ca="1">SUMIFS(OUT!$F$2:$F$11000,OUT!$H$2:$H$11000,H1086,OUT!$D$2:$D$11000,"Out",OUT!$E$2:$E$11000,"Fix")</f>
        <v>3048680</v>
      </c>
      <c r="L1086" s="52">
        <f ca="1">SUMIFS(OUT!$F$2:$F$11000,OUT!$H$2:$H$11000,H1086,OUT!$D$2:$D$11000,"Out",OUT!$E$2:$E$11000,"Bathroom")</f>
        <v>50720</v>
      </c>
      <c r="M1086" s="52">
        <f ca="1">SUMIFS(OUT!$F$2:$F$11000,OUT!$H$2:$H$11000,H1086,OUT!$D$2:$D$11000,"Out",OUT!$E$2:$E$11000,"Alfa")</f>
        <v>294200</v>
      </c>
      <c r="N1086" s="52" t="e">
        <f ca="1">SUMIFS(OUT!$F$2:$F$11000,OUT!$H$2:$H$101007,H1086,OUT!$D$2:$D$11000,"Out",OUT!$E$2:$E$11000,"Jajan")</f>
        <v>#VALUE!</v>
      </c>
      <c r="O1086" s="52">
        <f ca="1">SUMIFS(OUT!$F$2:$F$11000,OUT!$H$2:$H$11000,H1086,OUT!$D$2:$D$11000,"Out",OUT!$E$2:$E$11000,"Kitchen")</f>
        <v>1360773</v>
      </c>
      <c r="P1086" s="52">
        <f ca="1">SUMIFS(OUT!$F$2:$F$11000,OUT!$H$2:$H$11000,H1086,OUT!$D$2:$D$11000,"Out",OUT!$E$2:$E$11000,"Loandry")</f>
        <v>11000</v>
      </c>
      <c r="Q1086" s="52">
        <f ca="1">SUMIFS(OUT!$F$2:$F$11000,OUT!$H$2:$H$11000,H1086,OUT!$D$2:$D$11000,"Out",OUT!$E$2:$E$11000,"Mio")</f>
        <v>338500</v>
      </c>
      <c r="R1086" s="52">
        <f ca="1">SUMIFS(OUT!$F$2:$F$11000,OUT!$H$2:$H$11000,H1086,OUT!$D$2:$D$11000,"Out",OUT!$E$2:$E$11000,"Sedekah")</f>
        <v>2500</v>
      </c>
      <c r="S1086" s="52">
        <f ca="1">SUMIFS(OUT!$F$2:$F$11000,OUT!$H$2:$H$11000,H1086,OUT!$D$2:$D$11000,"Out",OUT!$E$2:$E$11000,"Zela")</f>
        <v>387476</v>
      </c>
      <c r="T1086" s="52">
        <f ca="1">SUMIFS(OUT!$F$2:$F$11000,OUT!$H$2:$H$11000,H1086,OUT!$D$2:$D$11000,"Out",OUT!$E$2:$E$11000,"Iqbal")</f>
        <v>231000</v>
      </c>
    </row>
    <row r="1087" spans="1:20" x14ac:dyDescent="0.2">
      <c r="A1087" s="48">
        <f ca="1">IFERROR(__xludf.DUMMYFUNCTION("""COMPUTED_VALUE"""),46213)</f>
        <v>46213</v>
      </c>
      <c r="B1087" s="4" t="str">
        <f ca="1">IFERROR(__xludf.DUMMYFUNCTION("""COMPUTED_VALUE"""),"Makan siang Ayam2 ")</f>
        <v xml:space="preserve">Makan siang Ayam2 </v>
      </c>
      <c r="C1087" s="4" t="str">
        <f ca="1">IFERROR(__xludf.DUMMYFUNCTION("""COMPUTED_VALUE"""),"ATM")</f>
        <v>ATM</v>
      </c>
      <c r="D1087" s="4" t="str">
        <f ca="1">IFERROR(__xludf.DUMMYFUNCTION("""COMPUTED_VALUE"""),"Out")</f>
        <v>Out</v>
      </c>
      <c r="E1087" s="4" t="str">
        <f ca="1">IFERROR(__xludf.DUMMYFUNCTION("""COMPUTED_VALUE"""),"Kitchen")</f>
        <v>Kitchen</v>
      </c>
      <c r="F1087" s="49">
        <f ca="1">IFERROR(__xludf.DUMMYFUNCTION("""COMPUTED_VALUE"""),25000)</f>
        <v>25000</v>
      </c>
      <c r="G1087" s="50" t="str">
        <f ca="1">IFERROR(__xludf.DUMMYFUNCTION("""COMPUTED_VALUE"""),"Zela")</f>
        <v>Zela</v>
      </c>
      <c r="H1087" s="51">
        <f t="shared" ca="1" si="0"/>
        <v>46204</v>
      </c>
      <c r="I1087" s="52" t="e">
        <f ca="1">SUMIFS(OUT!$F$2:$F$11000,OUT!$H$2:$H$11000,H1087,OUT!$D$2:$D$101007,"In")</f>
        <v>#VALUE!</v>
      </c>
      <c r="J1087" s="52">
        <f ca="1">SUMIFS(OUT!$F$2:$F$11000,OUT!$H$2:$H$11000,H1087,OUT!$D$2:$D$11000,"Out")</f>
        <v>9905717</v>
      </c>
      <c r="K1087" s="52">
        <f ca="1">SUMIFS(OUT!$F$2:$F$11000,OUT!$H$2:$H$11000,H1087,OUT!$D$2:$D$11000,"Out",OUT!$E$2:$E$11000,"Fix")</f>
        <v>3048680</v>
      </c>
      <c r="L1087" s="52">
        <f ca="1">SUMIFS(OUT!$F$2:$F$11000,OUT!$H$2:$H$11000,H1087,OUT!$D$2:$D$11000,"Out",OUT!$E$2:$E$11000,"Bathroom")</f>
        <v>50720</v>
      </c>
      <c r="M1087" s="52">
        <f ca="1">SUMIFS(OUT!$F$2:$F$11000,OUT!$H$2:$H$11000,H1087,OUT!$D$2:$D$11000,"Out",OUT!$E$2:$E$11000,"Alfa")</f>
        <v>294200</v>
      </c>
      <c r="N1087" s="52" t="e">
        <f ca="1">SUMIFS(OUT!$F$2:$F$11000,OUT!$H$2:$H$101007,H1087,OUT!$D$2:$D$11000,"Out",OUT!$E$2:$E$11000,"Jajan")</f>
        <v>#VALUE!</v>
      </c>
      <c r="O1087" s="52">
        <f ca="1">SUMIFS(OUT!$F$2:$F$11000,OUT!$H$2:$H$11000,H1087,OUT!$D$2:$D$11000,"Out",OUT!$E$2:$E$11000,"Kitchen")</f>
        <v>1360773</v>
      </c>
      <c r="P1087" s="52">
        <f ca="1">SUMIFS(OUT!$F$2:$F$11000,OUT!$H$2:$H$11000,H1087,OUT!$D$2:$D$11000,"Out",OUT!$E$2:$E$11000,"Loandry")</f>
        <v>11000</v>
      </c>
      <c r="Q1087" s="52">
        <f ca="1">SUMIFS(OUT!$F$2:$F$11000,OUT!$H$2:$H$11000,H1087,OUT!$D$2:$D$11000,"Out",OUT!$E$2:$E$11000,"Mio")</f>
        <v>338500</v>
      </c>
      <c r="R1087" s="52">
        <f ca="1">SUMIFS(OUT!$F$2:$F$11000,OUT!$H$2:$H$11000,H1087,OUT!$D$2:$D$11000,"Out",OUT!$E$2:$E$11000,"Sedekah")</f>
        <v>2500</v>
      </c>
      <c r="S1087" s="52">
        <f ca="1">SUMIFS(OUT!$F$2:$F$11000,OUT!$H$2:$H$11000,H1087,OUT!$D$2:$D$11000,"Out",OUT!$E$2:$E$11000,"Zela")</f>
        <v>387476</v>
      </c>
      <c r="T1087" s="52">
        <f ca="1">SUMIFS(OUT!$F$2:$F$11000,OUT!$H$2:$H$11000,H1087,OUT!$D$2:$D$11000,"Out",OUT!$E$2:$E$11000,"Iqbal")</f>
        <v>231000</v>
      </c>
    </row>
    <row r="1088" spans="1:20" x14ac:dyDescent="0.2">
      <c r="A1088" s="48">
        <f ca="1">IFERROR(__xludf.DUMMYFUNCTION("""COMPUTED_VALUE"""),46213)</f>
        <v>46213</v>
      </c>
      <c r="B1088" s="4" t="str">
        <f ca="1">IFERROR(__xludf.DUMMYFUNCTION("""COMPUTED_VALUE"""),"....")</f>
        <v>....</v>
      </c>
      <c r="C1088" s="4" t="str">
        <f ca="1">IFERROR(__xludf.DUMMYFUNCTION("""COMPUTED_VALUE"""),"Cash")</f>
        <v>Cash</v>
      </c>
      <c r="D1088" s="4" t="str">
        <f ca="1">IFERROR(__xludf.DUMMYFUNCTION("""COMPUTED_VALUE"""),"Out")</f>
        <v>Out</v>
      </c>
      <c r="E1088" s="4" t="str">
        <f ca="1">IFERROR(__xludf.DUMMYFUNCTION("""COMPUTED_VALUE"""),"Jajan")</f>
        <v>Jajan</v>
      </c>
      <c r="F1088" s="49">
        <f ca="1">IFERROR(__xludf.DUMMYFUNCTION("""COMPUTED_VALUE"""),7000)</f>
        <v>7000</v>
      </c>
      <c r="G1088" s="50" t="str">
        <f ca="1">IFERROR(__xludf.DUMMYFUNCTION("""COMPUTED_VALUE"""),"Zela")</f>
        <v>Zela</v>
      </c>
      <c r="H1088" s="51">
        <f t="shared" ca="1" si="0"/>
        <v>46204</v>
      </c>
      <c r="I1088" s="52" t="e">
        <f ca="1">SUMIFS(OUT!$F$2:$F$11000,OUT!$H$2:$H$11000,H1088,OUT!$D$2:$D$101007,"In")</f>
        <v>#VALUE!</v>
      </c>
      <c r="J1088" s="52">
        <f ca="1">SUMIFS(OUT!$F$2:$F$11000,OUT!$H$2:$H$11000,H1088,OUT!$D$2:$D$11000,"Out")</f>
        <v>9905717</v>
      </c>
      <c r="K1088" s="52">
        <f ca="1">SUMIFS(OUT!$F$2:$F$11000,OUT!$H$2:$H$11000,H1088,OUT!$D$2:$D$11000,"Out",OUT!$E$2:$E$11000,"Fix")</f>
        <v>3048680</v>
      </c>
      <c r="L1088" s="52">
        <f ca="1">SUMIFS(OUT!$F$2:$F$11000,OUT!$H$2:$H$11000,H1088,OUT!$D$2:$D$11000,"Out",OUT!$E$2:$E$11000,"Bathroom")</f>
        <v>50720</v>
      </c>
      <c r="M1088" s="52">
        <f ca="1">SUMIFS(OUT!$F$2:$F$11000,OUT!$H$2:$H$11000,H1088,OUT!$D$2:$D$11000,"Out",OUT!$E$2:$E$11000,"Alfa")</f>
        <v>294200</v>
      </c>
      <c r="N1088" s="52" t="e">
        <f ca="1">SUMIFS(OUT!$F$2:$F$11000,OUT!$H$2:$H$101007,H1088,OUT!$D$2:$D$11000,"Out",OUT!$E$2:$E$11000,"Jajan")</f>
        <v>#VALUE!</v>
      </c>
      <c r="O1088" s="52">
        <f ca="1">SUMIFS(OUT!$F$2:$F$11000,OUT!$H$2:$H$11000,H1088,OUT!$D$2:$D$11000,"Out",OUT!$E$2:$E$11000,"Kitchen")</f>
        <v>1360773</v>
      </c>
      <c r="P1088" s="52">
        <f ca="1">SUMIFS(OUT!$F$2:$F$11000,OUT!$H$2:$H$11000,H1088,OUT!$D$2:$D$11000,"Out",OUT!$E$2:$E$11000,"Loandry")</f>
        <v>11000</v>
      </c>
      <c r="Q1088" s="52">
        <f ca="1">SUMIFS(OUT!$F$2:$F$11000,OUT!$H$2:$H$11000,H1088,OUT!$D$2:$D$11000,"Out",OUT!$E$2:$E$11000,"Mio")</f>
        <v>338500</v>
      </c>
      <c r="R1088" s="52">
        <f ca="1">SUMIFS(OUT!$F$2:$F$11000,OUT!$H$2:$H$11000,H1088,OUT!$D$2:$D$11000,"Out",OUT!$E$2:$E$11000,"Sedekah")</f>
        <v>2500</v>
      </c>
      <c r="S1088" s="52">
        <f ca="1">SUMIFS(OUT!$F$2:$F$11000,OUT!$H$2:$H$11000,H1088,OUT!$D$2:$D$11000,"Out",OUT!$E$2:$E$11000,"Zela")</f>
        <v>387476</v>
      </c>
      <c r="T1088" s="52">
        <f ca="1">SUMIFS(OUT!$F$2:$F$11000,OUT!$H$2:$H$11000,H1088,OUT!$D$2:$D$11000,"Out",OUT!$E$2:$E$11000,"Iqbal")</f>
        <v>231000</v>
      </c>
    </row>
    <row r="1089" spans="1:20" x14ac:dyDescent="0.2">
      <c r="A1089" s="48">
        <f ca="1">IFERROR(__xludf.DUMMYFUNCTION("""COMPUTED_VALUE"""),46212)</f>
        <v>46212</v>
      </c>
      <c r="B1089" s="4" t="str">
        <f ca="1">IFERROR(__xludf.DUMMYFUNCTION("""COMPUTED_VALUE"""),"parkir eka hospital")</f>
        <v>parkir eka hospital</v>
      </c>
      <c r="C1089" s="4" t="str">
        <f ca="1">IFERROR(__xludf.DUMMYFUNCTION("""COMPUTED_VALUE"""),"Cash")</f>
        <v>Cash</v>
      </c>
      <c r="D1089" s="4" t="str">
        <f ca="1">IFERROR(__xludf.DUMMYFUNCTION("""COMPUTED_VALUE"""),"Out")</f>
        <v>Out</v>
      </c>
      <c r="E1089" s="4" t="str">
        <f ca="1">IFERROR(__xludf.DUMMYFUNCTION("""COMPUTED_VALUE"""),"Iqbal")</f>
        <v>Iqbal</v>
      </c>
      <c r="F1089" s="49">
        <f ca="1">IFERROR(__xludf.DUMMYFUNCTION("""COMPUTED_VALUE"""),5000)</f>
        <v>5000</v>
      </c>
      <c r="G1089" s="50" t="str">
        <f ca="1">IFERROR(__xludf.DUMMYFUNCTION("""COMPUTED_VALUE"""),"Zela")</f>
        <v>Zela</v>
      </c>
      <c r="H1089" s="51">
        <f t="shared" ca="1" si="0"/>
        <v>46204</v>
      </c>
      <c r="I1089" s="52" t="e">
        <f ca="1">SUMIFS(OUT!$F$2:$F$11000,OUT!$H$2:$H$11000,H1089,OUT!$D$2:$D$101007,"In")</f>
        <v>#VALUE!</v>
      </c>
      <c r="J1089" s="52">
        <f ca="1">SUMIFS(OUT!$F$2:$F$11000,OUT!$H$2:$H$11000,H1089,OUT!$D$2:$D$11000,"Out")</f>
        <v>9905717</v>
      </c>
      <c r="K1089" s="52">
        <f ca="1">SUMIFS(OUT!$F$2:$F$11000,OUT!$H$2:$H$11000,H1089,OUT!$D$2:$D$11000,"Out",OUT!$E$2:$E$11000,"Fix")</f>
        <v>3048680</v>
      </c>
      <c r="L1089" s="52">
        <f ca="1">SUMIFS(OUT!$F$2:$F$11000,OUT!$H$2:$H$11000,H1089,OUT!$D$2:$D$11000,"Out",OUT!$E$2:$E$11000,"Bathroom")</f>
        <v>50720</v>
      </c>
      <c r="M1089" s="52">
        <f ca="1">SUMIFS(OUT!$F$2:$F$11000,OUT!$H$2:$H$11000,H1089,OUT!$D$2:$D$11000,"Out",OUT!$E$2:$E$11000,"Alfa")</f>
        <v>294200</v>
      </c>
      <c r="N1089" s="52" t="e">
        <f ca="1">SUMIFS(OUT!$F$2:$F$11000,OUT!$H$2:$H$101007,H1089,OUT!$D$2:$D$11000,"Out",OUT!$E$2:$E$11000,"Jajan")</f>
        <v>#VALUE!</v>
      </c>
      <c r="O1089" s="52">
        <f ca="1">SUMIFS(OUT!$F$2:$F$11000,OUT!$H$2:$H$11000,H1089,OUT!$D$2:$D$11000,"Out",OUT!$E$2:$E$11000,"Kitchen")</f>
        <v>1360773</v>
      </c>
      <c r="P1089" s="52">
        <f ca="1">SUMIFS(OUT!$F$2:$F$11000,OUT!$H$2:$H$11000,H1089,OUT!$D$2:$D$11000,"Out",OUT!$E$2:$E$11000,"Loandry")</f>
        <v>11000</v>
      </c>
      <c r="Q1089" s="52">
        <f ca="1">SUMIFS(OUT!$F$2:$F$11000,OUT!$H$2:$H$11000,H1089,OUT!$D$2:$D$11000,"Out",OUT!$E$2:$E$11000,"Mio")</f>
        <v>338500</v>
      </c>
      <c r="R1089" s="52">
        <f ca="1">SUMIFS(OUT!$F$2:$F$11000,OUT!$H$2:$H$11000,H1089,OUT!$D$2:$D$11000,"Out",OUT!$E$2:$E$11000,"Sedekah")</f>
        <v>2500</v>
      </c>
      <c r="S1089" s="52">
        <f ca="1">SUMIFS(OUT!$F$2:$F$11000,OUT!$H$2:$H$11000,H1089,OUT!$D$2:$D$11000,"Out",OUT!$E$2:$E$11000,"Zela")</f>
        <v>387476</v>
      </c>
      <c r="T1089" s="52">
        <f ca="1">SUMIFS(OUT!$F$2:$F$11000,OUT!$H$2:$H$11000,H1089,OUT!$D$2:$D$11000,"Out",OUT!$E$2:$E$11000,"Iqbal")</f>
        <v>231000</v>
      </c>
    </row>
    <row r="1090" spans="1:20" x14ac:dyDescent="0.2">
      <c r="A1090" s="48">
        <f ca="1">IFERROR(__xludf.DUMMYFUNCTION("""COMPUTED_VALUE"""),46213)</f>
        <v>46213</v>
      </c>
      <c r="B1090" s="4" t="str">
        <f ca="1">IFERROR(__xludf.DUMMYFUNCTION("""COMPUTED_VALUE"""),"tarik tunai")</f>
        <v>tarik tunai</v>
      </c>
      <c r="C1090" s="4" t="str">
        <f ca="1">IFERROR(__xludf.DUMMYFUNCTION("""COMPUTED_VALUE"""),"ATM")</f>
        <v>ATM</v>
      </c>
      <c r="D1090" s="4" t="str">
        <f ca="1">IFERROR(__xludf.DUMMYFUNCTION("""COMPUTED_VALUE"""),"Out")</f>
        <v>Out</v>
      </c>
      <c r="E1090" s="4" t="str">
        <f ca="1">IFERROR(__xludf.DUMMYFUNCTION("""COMPUTED_VALUE"""),"Move")</f>
        <v>Move</v>
      </c>
      <c r="F1090" s="49">
        <f ca="1">IFERROR(__xludf.DUMMYFUNCTION("""COMPUTED_VALUE"""),100000)</f>
        <v>100000</v>
      </c>
      <c r="G1090" s="50" t="str">
        <f ca="1">IFERROR(__xludf.DUMMYFUNCTION("""COMPUTED_VALUE"""),"Zela")</f>
        <v>Zela</v>
      </c>
      <c r="H1090" s="51">
        <f t="shared" ca="1" si="0"/>
        <v>46204</v>
      </c>
      <c r="I1090" s="52" t="e">
        <f ca="1">SUMIFS(OUT!$F$2:$F$11000,OUT!$H$2:$H$11000,H1090,OUT!$D$2:$D$101007,"In")</f>
        <v>#VALUE!</v>
      </c>
      <c r="J1090" s="52">
        <f ca="1">SUMIFS(OUT!$F$2:$F$11000,OUT!$H$2:$H$11000,H1090,OUT!$D$2:$D$11000,"Out")</f>
        <v>9905717</v>
      </c>
      <c r="K1090" s="52">
        <f ca="1">SUMIFS(OUT!$F$2:$F$11000,OUT!$H$2:$H$11000,H1090,OUT!$D$2:$D$11000,"Out",OUT!$E$2:$E$11000,"Fix")</f>
        <v>3048680</v>
      </c>
      <c r="L1090" s="52">
        <f ca="1">SUMIFS(OUT!$F$2:$F$11000,OUT!$H$2:$H$11000,H1090,OUT!$D$2:$D$11000,"Out",OUT!$E$2:$E$11000,"Bathroom")</f>
        <v>50720</v>
      </c>
      <c r="M1090" s="52">
        <f ca="1">SUMIFS(OUT!$F$2:$F$11000,OUT!$H$2:$H$11000,H1090,OUT!$D$2:$D$11000,"Out",OUT!$E$2:$E$11000,"Alfa")</f>
        <v>294200</v>
      </c>
      <c r="N1090" s="52" t="e">
        <f ca="1">SUMIFS(OUT!$F$2:$F$11000,OUT!$H$2:$H$101007,H1090,OUT!$D$2:$D$11000,"Out",OUT!$E$2:$E$11000,"Jajan")</f>
        <v>#VALUE!</v>
      </c>
      <c r="O1090" s="52">
        <f ca="1">SUMIFS(OUT!$F$2:$F$11000,OUT!$H$2:$H$11000,H1090,OUT!$D$2:$D$11000,"Out",OUT!$E$2:$E$11000,"Kitchen")</f>
        <v>1360773</v>
      </c>
      <c r="P1090" s="52">
        <f ca="1">SUMIFS(OUT!$F$2:$F$11000,OUT!$H$2:$H$11000,H1090,OUT!$D$2:$D$11000,"Out",OUT!$E$2:$E$11000,"Loandry")</f>
        <v>11000</v>
      </c>
      <c r="Q1090" s="52">
        <f ca="1">SUMIFS(OUT!$F$2:$F$11000,OUT!$H$2:$H$11000,H1090,OUT!$D$2:$D$11000,"Out",OUT!$E$2:$E$11000,"Mio")</f>
        <v>338500</v>
      </c>
      <c r="R1090" s="52">
        <f ca="1">SUMIFS(OUT!$F$2:$F$11000,OUT!$H$2:$H$11000,H1090,OUT!$D$2:$D$11000,"Out",OUT!$E$2:$E$11000,"Sedekah")</f>
        <v>2500</v>
      </c>
      <c r="S1090" s="52">
        <f ca="1">SUMIFS(OUT!$F$2:$F$11000,OUT!$H$2:$H$11000,H1090,OUT!$D$2:$D$11000,"Out",OUT!$E$2:$E$11000,"Zela")</f>
        <v>387476</v>
      </c>
      <c r="T1090" s="52">
        <f ca="1">SUMIFS(OUT!$F$2:$F$11000,OUT!$H$2:$H$11000,H1090,OUT!$D$2:$D$11000,"Out",OUT!$E$2:$E$11000,"Iqbal")</f>
        <v>231000</v>
      </c>
    </row>
    <row r="1091" spans="1:20" x14ac:dyDescent="0.2">
      <c r="A1091" s="48">
        <f ca="1">IFERROR(__xludf.DUMMYFUNCTION("""COMPUTED_VALUE"""),46213)</f>
        <v>46213</v>
      </c>
      <c r="B1091" s="4" t="str">
        <f ca="1">IFERROR(__xludf.DUMMYFUNCTION("""COMPUTED_VALUE"""),"terima tunai")</f>
        <v>terima tunai</v>
      </c>
      <c r="C1091" s="4" t="str">
        <f ca="1">IFERROR(__xludf.DUMMYFUNCTION("""COMPUTED_VALUE"""),"Cash")</f>
        <v>Cash</v>
      </c>
      <c r="D1091" s="4" t="str">
        <f ca="1">IFERROR(__xludf.DUMMYFUNCTION("""COMPUTED_VALUE"""),"In")</f>
        <v>In</v>
      </c>
      <c r="E1091" s="4" t="str">
        <f ca="1">IFERROR(__xludf.DUMMYFUNCTION("""COMPUTED_VALUE"""),"Move")</f>
        <v>Move</v>
      </c>
      <c r="F1091" s="49">
        <f ca="1">IFERROR(__xludf.DUMMYFUNCTION("""COMPUTED_VALUE"""),100000)</f>
        <v>100000</v>
      </c>
      <c r="G1091" s="50" t="str">
        <f ca="1">IFERROR(__xludf.DUMMYFUNCTION("""COMPUTED_VALUE"""),"Zela")</f>
        <v>Zela</v>
      </c>
      <c r="H1091" s="51">
        <f t="shared" ca="1" si="0"/>
        <v>46204</v>
      </c>
      <c r="I1091" s="52" t="e">
        <f ca="1">SUMIFS(OUT!$F$2:$F$11000,OUT!$H$2:$H$11000,H1091,OUT!$D$2:$D$101007,"In")</f>
        <v>#VALUE!</v>
      </c>
      <c r="J1091" s="52">
        <f ca="1">SUMIFS(OUT!$F$2:$F$11000,OUT!$H$2:$H$11000,H1091,OUT!$D$2:$D$11000,"Out")</f>
        <v>9905717</v>
      </c>
      <c r="K1091" s="52">
        <f ca="1">SUMIFS(OUT!$F$2:$F$11000,OUT!$H$2:$H$11000,H1091,OUT!$D$2:$D$11000,"Out",OUT!$E$2:$E$11000,"Fix")</f>
        <v>3048680</v>
      </c>
      <c r="L1091" s="52">
        <f ca="1">SUMIFS(OUT!$F$2:$F$11000,OUT!$H$2:$H$11000,H1091,OUT!$D$2:$D$11000,"Out",OUT!$E$2:$E$11000,"Bathroom")</f>
        <v>50720</v>
      </c>
      <c r="M1091" s="52">
        <f ca="1">SUMIFS(OUT!$F$2:$F$11000,OUT!$H$2:$H$11000,H1091,OUT!$D$2:$D$11000,"Out",OUT!$E$2:$E$11000,"Alfa")</f>
        <v>294200</v>
      </c>
      <c r="N1091" s="52" t="e">
        <f ca="1">SUMIFS(OUT!$F$2:$F$11000,OUT!$H$2:$H$101007,H1091,OUT!$D$2:$D$11000,"Out",OUT!$E$2:$E$11000,"Jajan")</f>
        <v>#VALUE!</v>
      </c>
      <c r="O1091" s="52">
        <f ca="1">SUMIFS(OUT!$F$2:$F$11000,OUT!$H$2:$H$11000,H1091,OUT!$D$2:$D$11000,"Out",OUT!$E$2:$E$11000,"Kitchen")</f>
        <v>1360773</v>
      </c>
      <c r="P1091" s="52">
        <f ca="1">SUMIFS(OUT!$F$2:$F$11000,OUT!$H$2:$H$11000,H1091,OUT!$D$2:$D$11000,"Out",OUT!$E$2:$E$11000,"Loandry")</f>
        <v>11000</v>
      </c>
      <c r="Q1091" s="52">
        <f ca="1">SUMIFS(OUT!$F$2:$F$11000,OUT!$H$2:$H$11000,H1091,OUT!$D$2:$D$11000,"Out",OUT!$E$2:$E$11000,"Mio")</f>
        <v>338500</v>
      </c>
      <c r="R1091" s="52">
        <f ca="1">SUMIFS(OUT!$F$2:$F$11000,OUT!$H$2:$H$11000,H1091,OUT!$D$2:$D$11000,"Out",OUT!$E$2:$E$11000,"Sedekah")</f>
        <v>2500</v>
      </c>
      <c r="S1091" s="52">
        <f ca="1">SUMIFS(OUT!$F$2:$F$11000,OUT!$H$2:$H$11000,H1091,OUT!$D$2:$D$11000,"Out",OUT!$E$2:$E$11000,"Zela")</f>
        <v>387476</v>
      </c>
      <c r="T1091" s="52">
        <f ca="1">SUMIFS(OUT!$F$2:$F$11000,OUT!$H$2:$H$11000,H1091,OUT!$D$2:$D$11000,"Out",OUT!$E$2:$E$11000,"Iqbal")</f>
        <v>231000</v>
      </c>
    </row>
    <row r="1092" spans="1:20" x14ac:dyDescent="0.2">
      <c r="A1092" s="48">
        <f ca="1">IFERROR(__xludf.DUMMYFUNCTION("""COMPUTED_VALUE"""),46213)</f>
        <v>46213</v>
      </c>
      <c r="B1092" s="4" t="str">
        <f ca="1">IFERROR(__xludf.DUMMYFUNCTION("""COMPUTED_VALUE"""),"gas (2)")</f>
        <v>gas (2)</v>
      </c>
      <c r="C1092" s="4" t="str">
        <f ca="1">IFERROR(__xludf.DUMMYFUNCTION("""COMPUTED_VALUE"""),"Cash")</f>
        <v>Cash</v>
      </c>
      <c r="D1092" s="4" t="str">
        <f ca="1">IFERROR(__xludf.DUMMYFUNCTION("""COMPUTED_VALUE"""),"Out")</f>
        <v>Out</v>
      </c>
      <c r="E1092" s="4" t="str">
        <f ca="1">IFERROR(__xludf.DUMMYFUNCTION("""COMPUTED_VALUE"""),"Kitchen")</f>
        <v>Kitchen</v>
      </c>
      <c r="F1092" s="49">
        <f ca="1">IFERROR(__xludf.DUMMYFUNCTION("""COMPUTED_VALUE"""),36000)</f>
        <v>36000</v>
      </c>
      <c r="G1092" s="50" t="str">
        <f ca="1">IFERROR(__xludf.DUMMYFUNCTION("""COMPUTED_VALUE"""),"Zela")</f>
        <v>Zela</v>
      </c>
      <c r="H1092" s="51">
        <f t="shared" ca="1" si="0"/>
        <v>46204</v>
      </c>
      <c r="I1092" s="52" t="e">
        <f ca="1">SUMIFS(OUT!$F$2:$F$11000,OUT!$H$2:$H$11000,H1092,OUT!$D$2:$D$101007,"In")</f>
        <v>#VALUE!</v>
      </c>
      <c r="J1092" s="52">
        <f ca="1">SUMIFS(OUT!$F$2:$F$11000,OUT!$H$2:$H$11000,H1092,OUT!$D$2:$D$11000,"Out")</f>
        <v>9905717</v>
      </c>
      <c r="K1092" s="52">
        <f ca="1">SUMIFS(OUT!$F$2:$F$11000,OUT!$H$2:$H$11000,H1092,OUT!$D$2:$D$11000,"Out",OUT!$E$2:$E$11000,"Fix")</f>
        <v>3048680</v>
      </c>
      <c r="L1092" s="52">
        <f ca="1">SUMIFS(OUT!$F$2:$F$11000,OUT!$H$2:$H$11000,H1092,OUT!$D$2:$D$11000,"Out",OUT!$E$2:$E$11000,"Bathroom")</f>
        <v>50720</v>
      </c>
      <c r="M1092" s="52">
        <f ca="1">SUMIFS(OUT!$F$2:$F$11000,OUT!$H$2:$H$11000,H1092,OUT!$D$2:$D$11000,"Out",OUT!$E$2:$E$11000,"Alfa")</f>
        <v>294200</v>
      </c>
      <c r="N1092" s="52" t="e">
        <f ca="1">SUMIFS(OUT!$F$2:$F$11000,OUT!$H$2:$H$101007,H1092,OUT!$D$2:$D$11000,"Out",OUT!$E$2:$E$11000,"Jajan")</f>
        <v>#VALUE!</v>
      </c>
      <c r="O1092" s="52">
        <f ca="1">SUMIFS(OUT!$F$2:$F$11000,OUT!$H$2:$H$11000,H1092,OUT!$D$2:$D$11000,"Out",OUT!$E$2:$E$11000,"Kitchen")</f>
        <v>1360773</v>
      </c>
      <c r="P1092" s="52">
        <f ca="1">SUMIFS(OUT!$F$2:$F$11000,OUT!$H$2:$H$11000,H1092,OUT!$D$2:$D$11000,"Out",OUT!$E$2:$E$11000,"Loandry")</f>
        <v>11000</v>
      </c>
      <c r="Q1092" s="52">
        <f ca="1">SUMIFS(OUT!$F$2:$F$11000,OUT!$H$2:$H$11000,H1092,OUT!$D$2:$D$11000,"Out",OUT!$E$2:$E$11000,"Mio")</f>
        <v>338500</v>
      </c>
      <c r="R1092" s="52">
        <f ca="1">SUMIFS(OUT!$F$2:$F$11000,OUT!$H$2:$H$11000,H1092,OUT!$D$2:$D$11000,"Out",OUT!$E$2:$E$11000,"Sedekah")</f>
        <v>2500</v>
      </c>
      <c r="S1092" s="52">
        <f ca="1">SUMIFS(OUT!$F$2:$F$11000,OUT!$H$2:$H$11000,H1092,OUT!$D$2:$D$11000,"Out",OUT!$E$2:$E$11000,"Zela")</f>
        <v>387476</v>
      </c>
      <c r="T1092" s="52">
        <f ca="1">SUMIFS(OUT!$F$2:$F$11000,OUT!$H$2:$H$11000,H1092,OUT!$D$2:$D$11000,"Out",OUT!$E$2:$E$11000,"Iqbal")</f>
        <v>231000</v>
      </c>
    </row>
    <row r="1093" spans="1:20" x14ac:dyDescent="0.2">
      <c r="A1093" s="48">
        <f ca="1">IFERROR(__xludf.DUMMYFUNCTION("""COMPUTED_VALUE"""),46213)</f>
        <v>46213</v>
      </c>
      <c r="B1093" s="4" t="str">
        <f ca="1">IFERROR(__xludf.DUMMYFUNCTION("""COMPUTED_VALUE"""),"mie rendang")</f>
        <v>mie rendang</v>
      </c>
      <c r="C1093" s="4" t="str">
        <f ca="1">IFERROR(__xludf.DUMMYFUNCTION("""COMPUTED_VALUE"""),"Cash")</f>
        <v>Cash</v>
      </c>
      <c r="D1093" s="4" t="str">
        <f ca="1">IFERROR(__xludf.DUMMYFUNCTION("""COMPUTED_VALUE"""),"Out")</f>
        <v>Out</v>
      </c>
      <c r="E1093" s="4" t="str">
        <f ca="1">IFERROR(__xludf.DUMMYFUNCTION("""COMPUTED_VALUE"""),"Kitchen")</f>
        <v>Kitchen</v>
      </c>
      <c r="F1093" s="49">
        <f ca="1">IFERROR(__xludf.DUMMYFUNCTION("""COMPUTED_VALUE"""),10000)</f>
        <v>10000</v>
      </c>
      <c r="G1093" s="50" t="str">
        <f ca="1">IFERROR(__xludf.DUMMYFUNCTION("""COMPUTED_VALUE"""),"Zela")</f>
        <v>Zela</v>
      </c>
      <c r="H1093" s="51">
        <f t="shared" ca="1" si="0"/>
        <v>46204</v>
      </c>
      <c r="I1093" s="52" t="e">
        <f ca="1">SUMIFS(OUT!$F$2:$F$11000,OUT!$H$2:$H$11000,H1093,OUT!$D$2:$D$101007,"In")</f>
        <v>#VALUE!</v>
      </c>
      <c r="J1093" s="52">
        <f ca="1">SUMIFS(OUT!$F$2:$F$11000,OUT!$H$2:$H$11000,H1093,OUT!$D$2:$D$11000,"Out")</f>
        <v>9905717</v>
      </c>
      <c r="K1093" s="52">
        <f ca="1">SUMIFS(OUT!$F$2:$F$11000,OUT!$H$2:$H$11000,H1093,OUT!$D$2:$D$11000,"Out",OUT!$E$2:$E$11000,"Fix")</f>
        <v>3048680</v>
      </c>
      <c r="L1093" s="52">
        <f ca="1">SUMIFS(OUT!$F$2:$F$11000,OUT!$H$2:$H$11000,H1093,OUT!$D$2:$D$11000,"Out",OUT!$E$2:$E$11000,"Bathroom")</f>
        <v>50720</v>
      </c>
      <c r="M1093" s="52">
        <f ca="1">SUMIFS(OUT!$F$2:$F$11000,OUT!$H$2:$H$11000,H1093,OUT!$D$2:$D$11000,"Out",OUT!$E$2:$E$11000,"Alfa")</f>
        <v>294200</v>
      </c>
      <c r="N1093" s="52" t="e">
        <f ca="1">SUMIFS(OUT!$F$2:$F$11000,OUT!$H$2:$H$101007,H1093,OUT!$D$2:$D$11000,"Out",OUT!$E$2:$E$11000,"Jajan")</f>
        <v>#VALUE!</v>
      </c>
      <c r="O1093" s="52">
        <f ca="1">SUMIFS(OUT!$F$2:$F$11000,OUT!$H$2:$H$11000,H1093,OUT!$D$2:$D$11000,"Out",OUT!$E$2:$E$11000,"Kitchen")</f>
        <v>1360773</v>
      </c>
      <c r="P1093" s="52">
        <f ca="1">SUMIFS(OUT!$F$2:$F$11000,OUT!$H$2:$H$11000,H1093,OUT!$D$2:$D$11000,"Out",OUT!$E$2:$E$11000,"Loandry")</f>
        <v>11000</v>
      </c>
      <c r="Q1093" s="52">
        <f ca="1">SUMIFS(OUT!$F$2:$F$11000,OUT!$H$2:$H$11000,H1093,OUT!$D$2:$D$11000,"Out",OUT!$E$2:$E$11000,"Mio")</f>
        <v>338500</v>
      </c>
      <c r="R1093" s="52">
        <f ca="1">SUMIFS(OUT!$F$2:$F$11000,OUT!$H$2:$H$11000,H1093,OUT!$D$2:$D$11000,"Out",OUT!$E$2:$E$11000,"Sedekah")</f>
        <v>2500</v>
      </c>
      <c r="S1093" s="52">
        <f ca="1">SUMIFS(OUT!$F$2:$F$11000,OUT!$H$2:$H$11000,H1093,OUT!$D$2:$D$11000,"Out",OUT!$E$2:$E$11000,"Zela")</f>
        <v>387476</v>
      </c>
      <c r="T1093" s="52">
        <f ca="1">SUMIFS(OUT!$F$2:$F$11000,OUT!$H$2:$H$11000,H1093,OUT!$D$2:$D$11000,"Out",OUT!$E$2:$E$11000,"Iqbal")</f>
        <v>231000</v>
      </c>
    </row>
    <row r="1094" spans="1:20" x14ac:dyDescent="0.2">
      <c r="A1094" s="48">
        <f ca="1">IFERROR(__xludf.DUMMYFUNCTION("""COMPUTED_VALUE"""),46213)</f>
        <v>46213</v>
      </c>
      <c r="B1094" s="4" t="str">
        <f ca="1">IFERROR(__xludf.DUMMYFUNCTION("""COMPUTED_VALUE"""),"wafer keju")</f>
        <v>wafer keju</v>
      </c>
      <c r="C1094" s="4" t="str">
        <f ca="1">IFERROR(__xludf.DUMMYFUNCTION("""COMPUTED_VALUE"""),"Cash")</f>
        <v>Cash</v>
      </c>
      <c r="D1094" s="4" t="str">
        <f ca="1">IFERROR(__xludf.DUMMYFUNCTION("""COMPUTED_VALUE"""),"Out")</f>
        <v>Out</v>
      </c>
      <c r="E1094" s="4" t="str">
        <f ca="1">IFERROR(__xludf.DUMMYFUNCTION("""COMPUTED_VALUE"""),"Jajan")</f>
        <v>Jajan</v>
      </c>
      <c r="F1094" s="49">
        <f ca="1">IFERROR(__xludf.DUMMYFUNCTION("""COMPUTED_VALUE"""),3000)</f>
        <v>3000</v>
      </c>
      <c r="G1094" s="50" t="str">
        <f ca="1">IFERROR(__xludf.DUMMYFUNCTION("""COMPUTED_VALUE"""),"Zela")</f>
        <v>Zela</v>
      </c>
      <c r="H1094" s="51">
        <f t="shared" ca="1" si="0"/>
        <v>46204</v>
      </c>
      <c r="I1094" s="52" t="e">
        <f ca="1">SUMIFS(OUT!$F$2:$F$11000,OUT!$H$2:$H$11000,H1094,OUT!$D$2:$D$101007,"In")</f>
        <v>#VALUE!</v>
      </c>
      <c r="J1094" s="52">
        <f ca="1">SUMIFS(OUT!$F$2:$F$11000,OUT!$H$2:$H$11000,H1094,OUT!$D$2:$D$11000,"Out")</f>
        <v>9905717</v>
      </c>
      <c r="K1094" s="52">
        <f ca="1">SUMIFS(OUT!$F$2:$F$11000,OUT!$H$2:$H$11000,H1094,OUT!$D$2:$D$11000,"Out",OUT!$E$2:$E$11000,"Fix")</f>
        <v>3048680</v>
      </c>
      <c r="L1094" s="52">
        <f ca="1">SUMIFS(OUT!$F$2:$F$11000,OUT!$H$2:$H$11000,H1094,OUT!$D$2:$D$11000,"Out",OUT!$E$2:$E$11000,"Bathroom")</f>
        <v>50720</v>
      </c>
      <c r="M1094" s="52">
        <f ca="1">SUMIFS(OUT!$F$2:$F$11000,OUT!$H$2:$H$11000,H1094,OUT!$D$2:$D$11000,"Out",OUT!$E$2:$E$11000,"Alfa")</f>
        <v>294200</v>
      </c>
      <c r="N1094" s="52" t="e">
        <f ca="1">SUMIFS(OUT!$F$2:$F$11000,OUT!$H$2:$H$101007,H1094,OUT!$D$2:$D$11000,"Out",OUT!$E$2:$E$11000,"Jajan")</f>
        <v>#VALUE!</v>
      </c>
      <c r="O1094" s="52">
        <f ca="1">SUMIFS(OUT!$F$2:$F$11000,OUT!$H$2:$H$11000,H1094,OUT!$D$2:$D$11000,"Out",OUT!$E$2:$E$11000,"Kitchen")</f>
        <v>1360773</v>
      </c>
      <c r="P1094" s="52">
        <f ca="1">SUMIFS(OUT!$F$2:$F$11000,OUT!$H$2:$H$11000,H1094,OUT!$D$2:$D$11000,"Out",OUT!$E$2:$E$11000,"Loandry")</f>
        <v>11000</v>
      </c>
      <c r="Q1094" s="52">
        <f ca="1">SUMIFS(OUT!$F$2:$F$11000,OUT!$H$2:$H$11000,H1094,OUT!$D$2:$D$11000,"Out",OUT!$E$2:$E$11000,"Mio")</f>
        <v>338500</v>
      </c>
      <c r="R1094" s="52">
        <f ca="1">SUMIFS(OUT!$F$2:$F$11000,OUT!$H$2:$H$11000,H1094,OUT!$D$2:$D$11000,"Out",OUT!$E$2:$E$11000,"Sedekah")</f>
        <v>2500</v>
      </c>
      <c r="S1094" s="52">
        <f ca="1">SUMIFS(OUT!$F$2:$F$11000,OUT!$H$2:$H$11000,H1094,OUT!$D$2:$D$11000,"Out",OUT!$E$2:$E$11000,"Zela")</f>
        <v>387476</v>
      </c>
      <c r="T1094" s="52">
        <f ca="1">SUMIFS(OUT!$F$2:$F$11000,OUT!$H$2:$H$11000,H1094,OUT!$D$2:$D$11000,"Out",OUT!$E$2:$E$11000,"Iqbal")</f>
        <v>231000</v>
      </c>
    </row>
    <row r="1095" spans="1:20" x14ac:dyDescent="0.2">
      <c r="A1095" s="48">
        <f ca="1">IFERROR(__xludf.DUMMYFUNCTION("""COMPUTED_VALUE"""),46213)</f>
        <v>46213</v>
      </c>
      <c r="B1095" s="4" t="str">
        <f ca="1">IFERROR(__xludf.DUMMYFUNCTION("""COMPUTED_VALUE"""),"pertalite")</f>
        <v>pertalite</v>
      </c>
      <c r="C1095" s="4" t="str">
        <f ca="1">IFERROR(__xludf.DUMMYFUNCTION("""COMPUTED_VALUE"""),"Cash")</f>
        <v>Cash</v>
      </c>
      <c r="D1095" s="4" t="str">
        <f ca="1">IFERROR(__xludf.DUMMYFUNCTION("""COMPUTED_VALUE"""),"Out")</f>
        <v>Out</v>
      </c>
      <c r="E1095" s="4" t="str">
        <f ca="1">IFERROR(__xludf.DUMMYFUNCTION("""COMPUTED_VALUE"""),"Mio")</f>
        <v>Mio</v>
      </c>
      <c r="F1095" s="49">
        <f ca="1">IFERROR(__xludf.DUMMYFUNCTION("""COMPUTED_VALUE"""),20000)</f>
        <v>20000</v>
      </c>
      <c r="G1095" s="50" t="str">
        <f ca="1">IFERROR(__xludf.DUMMYFUNCTION("""COMPUTED_VALUE"""),"Zela")</f>
        <v>Zela</v>
      </c>
      <c r="H1095" s="51">
        <f t="shared" ca="1" si="0"/>
        <v>46204</v>
      </c>
      <c r="I1095" s="52" t="e">
        <f ca="1">SUMIFS(OUT!$F$2:$F$11000,OUT!$H$2:$H$11000,H1095,OUT!$D$2:$D$101007,"In")</f>
        <v>#VALUE!</v>
      </c>
      <c r="J1095" s="52">
        <f ca="1">SUMIFS(OUT!$F$2:$F$11000,OUT!$H$2:$H$11000,H1095,OUT!$D$2:$D$11000,"Out")</f>
        <v>9905717</v>
      </c>
      <c r="K1095" s="52">
        <f ca="1">SUMIFS(OUT!$F$2:$F$11000,OUT!$H$2:$H$11000,H1095,OUT!$D$2:$D$11000,"Out",OUT!$E$2:$E$11000,"Fix")</f>
        <v>3048680</v>
      </c>
      <c r="L1095" s="52">
        <f ca="1">SUMIFS(OUT!$F$2:$F$11000,OUT!$H$2:$H$11000,H1095,OUT!$D$2:$D$11000,"Out",OUT!$E$2:$E$11000,"Bathroom")</f>
        <v>50720</v>
      </c>
      <c r="M1095" s="52">
        <f ca="1">SUMIFS(OUT!$F$2:$F$11000,OUT!$H$2:$H$11000,H1095,OUT!$D$2:$D$11000,"Out",OUT!$E$2:$E$11000,"Alfa")</f>
        <v>294200</v>
      </c>
      <c r="N1095" s="52" t="e">
        <f ca="1">SUMIFS(OUT!$F$2:$F$11000,OUT!$H$2:$H$101007,H1095,OUT!$D$2:$D$11000,"Out",OUT!$E$2:$E$11000,"Jajan")</f>
        <v>#VALUE!</v>
      </c>
      <c r="O1095" s="52">
        <f ca="1">SUMIFS(OUT!$F$2:$F$11000,OUT!$H$2:$H$11000,H1095,OUT!$D$2:$D$11000,"Out",OUT!$E$2:$E$11000,"Kitchen")</f>
        <v>1360773</v>
      </c>
      <c r="P1095" s="52">
        <f ca="1">SUMIFS(OUT!$F$2:$F$11000,OUT!$H$2:$H$11000,H1095,OUT!$D$2:$D$11000,"Out",OUT!$E$2:$E$11000,"Loandry")</f>
        <v>11000</v>
      </c>
      <c r="Q1095" s="52">
        <f ca="1">SUMIFS(OUT!$F$2:$F$11000,OUT!$H$2:$H$11000,H1095,OUT!$D$2:$D$11000,"Out",OUT!$E$2:$E$11000,"Mio")</f>
        <v>338500</v>
      </c>
      <c r="R1095" s="52">
        <f ca="1">SUMIFS(OUT!$F$2:$F$11000,OUT!$H$2:$H$11000,H1095,OUT!$D$2:$D$11000,"Out",OUT!$E$2:$E$11000,"Sedekah")</f>
        <v>2500</v>
      </c>
      <c r="S1095" s="52">
        <f ca="1">SUMIFS(OUT!$F$2:$F$11000,OUT!$H$2:$H$11000,H1095,OUT!$D$2:$D$11000,"Out",OUT!$E$2:$E$11000,"Zela")</f>
        <v>387476</v>
      </c>
      <c r="T1095" s="52">
        <f ca="1">SUMIFS(OUT!$F$2:$F$11000,OUT!$H$2:$H$11000,H1095,OUT!$D$2:$D$11000,"Out",OUT!$E$2:$E$11000,"Iqbal")</f>
        <v>231000</v>
      </c>
    </row>
    <row r="1096" spans="1:20" x14ac:dyDescent="0.2">
      <c r="A1096" s="48">
        <f ca="1">IFERROR(__xludf.DUMMYFUNCTION("""COMPUTED_VALUE"""),46214)</f>
        <v>46214</v>
      </c>
      <c r="B1096" s="4" t="str">
        <f ca="1">IFERROR(__xludf.DUMMYFUNCTION("""COMPUTED_VALUE"""),"suamiku")</f>
        <v>suamiku</v>
      </c>
      <c r="C1096" s="4" t="str">
        <f ca="1">IFERROR(__xludf.DUMMYFUNCTION("""COMPUTED_VALUE"""),"ATM")</f>
        <v>ATM</v>
      </c>
      <c r="D1096" s="4" t="str">
        <f ca="1">IFERROR(__xludf.DUMMYFUNCTION("""COMPUTED_VALUE"""),"Out")</f>
        <v>Out</v>
      </c>
      <c r="E1096" s="4" t="str">
        <f ca="1">IFERROR(__xludf.DUMMYFUNCTION("""COMPUTED_VALUE"""),"Move")</f>
        <v>Move</v>
      </c>
      <c r="F1096" s="49">
        <f ca="1">IFERROR(__xludf.DUMMYFUNCTION("""COMPUTED_VALUE"""),100000)</f>
        <v>100000</v>
      </c>
      <c r="G1096" s="50" t="str">
        <f ca="1">IFERROR(__xludf.DUMMYFUNCTION("""COMPUTED_VALUE"""),"Zela")</f>
        <v>Zela</v>
      </c>
      <c r="H1096" s="51">
        <f t="shared" ca="1" si="0"/>
        <v>46204</v>
      </c>
      <c r="I1096" s="52" t="e">
        <f ca="1">SUMIFS(OUT!$F$2:$F$11000,OUT!$H$2:$H$11000,H1096,OUT!$D$2:$D$101007,"In")</f>
        <v>#VALUE!</v>
      </c>
      <c r="J1096" s="52">
        <f ca="1">SUMIFS(OUT!$F$2:$F$11000,OUT!$H$2:$H$11000,H1096,OUT!$D$2:$D$11000,"Out")</f>
        <v>9905717</v>
      </c>
      <c r="K1096" s="52">
        <f ca="1">SUMIFS(OUT!$F$2:$F$11000,OUT!$H$2:$H$11000,H1096,OUT!$D$2:$D$11000,"Out",OUT!$E$2:$E$11000,"Fix")</f>
        <v>3048680</v>
      </c>
      <c r="L1096" s="52">
        <f ca="1">SUMIFS(OUT!$F$2:$F$11000,OUT!$H$2:$H$11000,H1096,OUT!$D$2:$D$11000,"Out",OUT!$E$2:$E$11000,"Bathroom")</f>
        <v>50720</v>
      </c>
      <c r="M1096" s="52">
        <f ca="1">SUMIFS(OUT!$F$2:$F$11000,OUT!$H$2:$H$11000,H1096,OUT!$D$2:$D$11000,"Out",OUT!$E$2:$E$11000,"Alfa")</f>
        <v>294200</v>
      </c>
      <c r="N1096" s="52" t="e">
        <f ca="1">SUMIFS(OUT!$F$2:$F$11000,OUT!$H$2:$H$101007,H1096,OUT!$D$2:$D$11000,"Out",OUT!$E$2:$E$11000,"Jajan")</f>
        <v>#VALUE!</v>
      </c>
      <c r="O1096" s="52">
        <f ca="1">SUMIFS(OUT!$F$2:$F$11000,OUT!$H$2:$H$11000,H1096,OUT!$D$2:$D$11000,"Out",OUT!$E$2:$E$11000,"Kitchen")</f>
        <v>1360773</v>
      </c>
      <c r="P1096" s="52">
        <f ca="1">SUMIFS(OUT!$F$2:$F$11000,OUT!$H$2:$H$11000,H1096,OUT!$D$2:$D$11000,"Out",OUT!$E$2:$E$11000,"Loandry")</f>
        <v>11000</v>
      </c>
      <c r="Q1096" s="52">
        <f ca="1">SUMIFS(OUT!$F$2:$F$11000,OUT!$H$2:$H$11000,H1096,OUT!$D$2:$D$11000,"Out",OUT!$E$2:$E$11000,"Mio")</f>
        <v>338500</v>
      </c>
      <c r="R1096" s="52">
        <f ca="1">SUMIFS(OUT!$F$2:$F$11000,OUT!$H$2:$H$11000,H1096,OUT!$D$2:$D$11000,"Out",OUT!$E$2:$E$11000,"Sedekah")</f>
        <v>2500</v>
      </c>
      <c r="S1096" s="52">
        <f ca="1">SUMIFS(OUT!$F$2:$F$11000,OUT!$H$2:$H$11000,H1096,OUT!$D$2:$D$11000,"Out",OUT!$E$2:$E$11000,"Zela")</f>
        <v>387476</v>
      </c>
      <c r="T1096" s="52">
        <f ca="1">SUMIFS(OUT!$F$2:$F$11000,OUT!$H$2:$H$11000,H1096,OUT!$D$2:$D$11000,"Out",OUT!$E$2:$E$11000,"Iqbal")</f>
        <v>231000</v>
      </c>
    </row>
    <row r="1097" spans="1:20" x14ac:dyDescent="0.2">
      <c r="A1097" s="48">
        <f ca="1">IFERROR(__xludf.DUMMYFUNCTION("""COMPUTED_VALUE"""),46215)</f>
        <v>46215</v>
      </c>
      <c r="B1097" s="4" t="str">
        <f ca="1">IFERROR(__xludf.DUMMYFUNCTION("""COMPUTED_VALUE"""),"top up emoney shopee (25k)")</f>
        <v>top up emoney shopee (25k)</v>
      </c>
      <c r="C1097" s="4" t="str">
        <f ca="1">IFERROR(__xludf.DUMMYFUNCTION("""COMPUTED_VALUE"""),"ATM")</f>
        <v>ATM</v>
      </c>
      <c r="D1097" s="4" t="str">
        <f ca="1">IFERROR(__xludf.DUMMYFUNCTION("""COMPUTED_VALUE"""),"Out")</f>
        <v>Out</v>
      </c>
      <c r="E1097" s="4" t="str">
        <f ca="1">IFERROR(__xludf.DUMMYFUNCTION("""COMPUTED_VALUE"""),"Jajan")</f>
        <v>Jajan</v>
      </c>
      <c r="F1097" s="49">
        <f ca="1">IFERROR(__xludf.DUMMYFUNCTION("""COMPUTED_VALUE"""),27500)</f>
        <v>27500</v>
      </c>
      <c r="G1097" s="50" t="str">
        <f ca="1">IFERROR(__xludf.DUMMYFUNCTION("""COMPUTED_VALUE"""),"Zela")</f>
        <v>Zela</v>
      </c>
      <c r="H1097" s="51">
        <f t="shared" ca="1" si="0"/>
        <v>46204</v>
      </c>
      <c r="I1097" s="52" t="e">
        <f ca="1">SUMIFS(OUT!$F$2:$F$11000,OUT!$H$2:$H$11000,H1097,OUT!$D$2:$D$101007,"In")</f>
        <v>#VALUE!</v>
      </c>
      <c r="J1097" s="52">
        <f ca="1">SUMIFS(OUT!$F$2:$F$11000,OUT!$H$2:$H$11000,H1097,OUT!$D$2:$D$11000,"Out")</f>
        <v>9905717</v>
      </c>
      <c r="K1097" s="52">
        <f ca="1">SUMIFS(OUT!$F$2:$F$11000,OUT!$H$2:$H$11000,H1097,OUT!$D$2:$D$11000,"Out",OUT!$E$2:$E$11000,"Fix")</f>
        <v>3048680</v>
      </c>
      <c r="L1097" s="52">
        <f ca="1">SUMIFS(OUT!$F$2:$F$11000,OUT!$H$2:$H$11000,H1097,OUT!$D$2:$D$11000,"Out",OUT!$E$2:$E$11000,"Bathroom")</f>
        <v>50720</v>
      </c>
      <c r="M1097" s="52">
        <f ca="1">SUMIFS(OUT!$F$2:$F$11000,OUT!$H$2:$H$11000,H1097,OUT!$D$2:$D$11000,"Out",OUT!$E$2:$E$11000,"Alfa")</f>
        <v>294200</v>
      </c>
      <c r="N1097" s="52" t="e">
        <f ca="1">SUMIFS(OUT!$F$2:$F$11000,OUT!$H$2:$H$101007,H1097,OUT!$D$2:$D$11000,"Out",OUT!$E$2:$E$11000,"Jajan")</f>
        <v>#VALUE!</v>
      </c>
      <c r="O1097" s="52">
        <f ca="1">SUMIFS(OUT!$F$2:$F$11000,OUT!$H$2:$H$11000,H1097,OUT!$D$2:$D$11000,"Out",OUT!$E$2:$E$11000,"Kitchen")</f>
        <v>1360773</v>
      </c>
      <c r="P1097" s="52">
        <f ca="1">SUMIFS(OUT!$F$2:$F$11000,OUT!$H$2:$H$11000,H1097,OUT!$D$2:$D$11000,"Out",OUT!$E$2:$E$11000,"Loandry")</f>
        <v>11000</v>
      </c>
      <c r="Q1097" s="52">
        <f ca="1">SUMIFS(OUT!$F$2:$F$11000,OUT!$H$2:$H$11000,H1097,OUT!$D$2:$D$11000,"Out",OUT!$E$2:$E$11000,"Mio")</f>
        <v>338500</v>
      </c>
      <c r="R1097" s="52">
        <f ca="1">SUMIFS(OUT!$F$2:$F$11000,OUT!$H$2:$H$11000,H1097,OUT!$D$2:$D$11000,"Out",OUT!$E$2:$E$11000,"Sedekah")</f>
        <v>2500</v>
      </c>
      <c r="S1097" s="52">
        <f ca="1">SUMIFS(OUT!$F$2:$F$11000,OUT!$H$2:$H$11000,H1097,OUT!$D$2:$D$11000,"Out",OUT!$E$2:$E$11000,"Zela")</f>
        <v>387476</v>
      </c>
      <c r="T1097" s="52">
        <f ca="1">SUMIFS(OUT!$F$2:$F$11000,OUT!$H$2:$H$11000,H1097,OUT!$D$2:$D$11000,"Out",OUT!$E$2:$E$11000,"Iqbal")</f>
        <v>231000</v>
      </c>
    </row>
    <row r="1098" spans="1:20" x14ac:dyDescent="0.2">
      <c r="A1098" s="48">
        <f ca="1">IFERROR(__xludf.DUMMYFUNCTION("""COMPUTED_VALUE"""),46215)</f>
        <v>46215</v>
      </c>
      <c r="B1098" s="4" t="str">
        <f ca="1">IFERROR(__xludf.DUMMYFUNCTION("""COMPUTED_VALUE"""),"makan siang di mega mulia (4)")</f>
        <v>makan siang di mega mulia (4)</v>
      </c>
      <c r="C1098" s="4" t="str">
        <f ca="1">IFERROR(__xludf.DUMMYFUNCTION("""COMPUTED_VALUE"""),"Cash")</f>
        <v>Cash</v>
      </c>
      <c r="D1098" s="4" t="str">
        <f ca="1">IFERROR(__xludf.DUMMYFUNCTION("""COMPUTED_VALUE"""),"Out")</f>
        <v>Out</v>
      </c>
      <c r="E1098" s="4" t="str">
        <f ca="1">IFERROR(__xludf.DUMMYFUNCTION("""COMPUTED_VALUE"""),"Kitchen")</f>
        <v>Kitchen</v>
      </c>
      <c r="F1098" s="49">
        <f ca="1">IFERROR(__xludf.DUMMYFUNCTION("""COMPUTED_VALUE"""),84000)</f>
        <v>84000</v>
      </c>
      <c r="G1098" s="50" t="str">
        <f ca="1">IFERROR(__xludf.DUMMYFUNCTION("""COMPUTED_VALUE"""),"Zela")</f>
        <v>Zela</v>
      </c>
      <c r="H1098" s="51">
        <f t="shared" ca="1" si="0"/>
        <v>46204</v>
      </c>
      <c r="I1098" s="52" t="e">
        <f ca="1">SUMIFS(OUT!$F$2:$F$11000,OUT!$H$2:$H$11000,H1098,OUT!$D$2:$D$101007,"In")</f>
        <v>#VALUE!</v>
      </c>
      <c r="J1098" s="52">
        <f ca="1">SUMIFS(OUT!$F$2:$F$11000,OUT!$H$2:$H$11000,H1098,OUT!$D$2:$D$11000,"Out")</f>
        <v>9905717</v>
      </c>
      <c r="K1098" s="52">
        <f ca="1">SUMIFS(OUT!$F$2:$F$11000,OUT!$H$2:$H$11000,H1098,OUT!$D$2:$D$11000,"Out",OUT!$E$2:$E$11000,"Fix")</f>
        <v>3048680</v>
      </c>
      <c r="L1098" s="52">
        <f ca="1">SUMIFS(OUT!$F$2:$F$11000,OUT!$H$2:$H$11000,H1098,OUT!$D$2:$D$11000,"Out",OUT!$E$2:$E$11000,"Bathroom")</f>
        <v>50720</v>
      </c>
      <c r="M1098" s="52">
        <f ca="1">SUMIFS(OUT!$F$2:$F$11000,OUT!$H$2:$H$11000,H1098,OUT!$D$2:$D$11000,"Out",OUT!$E$2:$E$11000,"Alfa")</f>
        <v>294200</v>
      </c>
      <c r="N1098" s="52" t="e">
        <f ca="1">SUMIFS(OUT!$F$2:$F$11000,OUT!$H$2:$H$101007,H1098,OUT!$D$2:$D$11000,"Out",OUT!$E$2:$E$11000,"Jajan")</f>
        <v>#VALUE!</v>
      </c>
      <c r="O1098" s="52">
        <f ca="1">SUMIFS(OUT!$F$2:$F$11000,OUT!$H$2:$H$11000,H1098,OUT!$D$2:$D$11000,"Out",OUT!$E$2:$E$11000,"Kitchen")</f>
        <v>1360773</v>
      </c>
      <c r="P1098" s="52">
        <f ca="1">SUMIFS(OUT!$F$2:$F$11000,OUT!$H$2:$H$11000,H1098,OUT!$D$2:$D$11000,"Out",OUT!$E$2:$E$11000,"Loandry")</f>
        <v>11000</v>
      </c>
      <c r="Q1098" s="52">
        <f ca="1">SUMIFS(OUT!$F$2:$F$11000,OUT!$H$2:$H$11000,H1098,OUT!$D$2:$D$11000,"Out",OUT!$E$2:$E$11000,"Mio")</f>
        <v>338500</v>
      </c>
      <c r="R1098" s="52">
        <f ca="1">SUMIFS(OUT!$F$2:$F$11000,OUT!$H$2:$H$11000,H1098,OUT!$D$2:$D$11000,"Out",OUT!$E$2:$E$11000,"Sedekah")</f>
        <v>2500</v>
      </c>
      <c r="S1098" s="52">
        <f ca="1">SUMIFS(OUT!$F$2:$F$11000,OUT!$H$2:$H$11000,H1098,OUT!$D$2:$D$11000,"Out",OUT!$E$2:$E$11000,"Zela")</f>
        <v>387476</v>
      </c>
      <c r="T1098" s="52">
        <f ca="1">SUMIFS(OUT!$F$2:$F$11000,OUT!$H$2:$H$11000,H1098,OUT!$D$2:$D$11000,"Out",OUT!$E$2:$E$11000,"Iqbal")</f>
        <v>231000</v>
      </c>
    </row>
    <row r="1099" spans="1:20" x14ac:dyDescent="0.2">
      <c r="A1099" s="48">
        <f ca="1">IFERROR(__xludf.DUMMYFUNCTION("""COMPUTED_VALUE"""),46215)</f>
        <v>46215</v>
      </c>
      <c r="B1099" s="4" t="str">
        <f ca="1">IFERROR(__xludf.DUMMYFUNCTION("""COMPUTED_VALUE"""),"parkir mega mulia")</f>
        <v>parkir mega mulia</v>
      </c>
      <c r="C1099" s="4" t="str">
        <f ca="1">IFERROR(__xludf.DUMMYFUNCTION("""COMPUTED_VALUE"""),"Cash")</f>
        <v>Cash</v>
      </c>
      <c r="D1099" s="4" t="str">
        <f ca="1">IFERROR(__xludf.DUMMYFUNCTION("""COMPUTED_VALUE"""),"Out")</f>
        <v>Out</v>
      </c>
      <c r="E1099" s="4" t="str">
        <f ca="1">IFERROR(__xludf.DUMMYFUNCTION("""COMPUTED_VALUE"""),"Kitchen")</f>
        <v>Kitchen</v>
      </c>
      <c r="F1099" s="49">
        <f ca="1">IFERROR(__xludf.DUMMYFUNCTION("""COMPUTED_VALUE"""),1500)</f>
        <v>1500</v>
      </c>
      <c r="G1099" s="50" t="str">
        <f ca="1">IFERROR(__xludf.DUMMYFUNCTION("""COMPUTED_VALUE"""),"Zela")</f>
        <v>Zela</v>
      </c>
      <c r="H1099" s="51">
        <f t="shared" ca="1" si="0"/>
        <v>46204</v>
      </c>
      <c r="I1099" s="52" t="e">
        <f ca="1">SUMIFS(OUT!$F$2:$F$11000,OUT!$H$2:$H$11000,H1099,OUT!$D$2:$D$101007,"In")</f>
        <v>#VALUE!</v>
      </c>
      <c r="J1099" s="52">
        <f ca="1">SUMIFS(OUT!$F$2:$F$11000,OUT!$H$2:$H$11000,H1099,OUT!$D$2:$D$11000,"Out")</f>
        <v>9905717</v>
      </c>
      <c r="K1099" s="52">
        <f ca="1">SUMIFS(OUT!$F$2:$F$11000,OUT!$H$2:$H$11000,H1099,OUT!$D$2:$D$11000,"Out",OUT!$E$2:$E$11000,"Fix")</f>
        <v>3048680</v>
      </c>
      <c r="L1099" s="52">
        <f ca="1">SUMIFS(OUT!$F$2:$F$11000,OUT!$H$2:$H$11000,H1099,OUT!$D$2:$D$11000,"Out",OUT!$E$2:$E$11000,"Bathroom")</f>
        <v>50720</v>
      </c>
      <c r="M1099" s="52">
        <f ca="1">SUMIFS(OUT!$F$2:$F$11000,OUT!$H$2:$H$11000,H1099,OUT!$D$2:$D$11000,"Out",OUT!$E$2:$E$11000,"Alfa")</f>
        <v>294200</v>
      </c>
      <c r="N1099" s="52" t="e">
        <f ca="1">SUMIFS(OUT!$F$2:$F$11000,OUT!$H$2:$H$101007,H1099,OUT!$D$2:$D$11000,"Out",OUT!$E$2:$E$11000,"Jajan")</f>
        <v>#VALUE!</v>
      </c>
      <c r="O1099" s="52">
        <f ca="1">SUMIFS(OUT!$F$2:$F$11000,OUT!$H$2:$H$11000,H1099,OUT!$D$2:$D$11000,"Out",OUT!$E$2:$E$11000,"Kitchen")</f>
        <v>1360773</v>
      </c>
      <c r="P1099" s="52">
        <f ca="1">SUMIFS(OUT!$F$2:$F$11000,OUT!$H$2:$H$11000,H1099,OUT!$D$2:$D$11000,"Out",OUT!$E$2:$E$11000,"Loandry")</f>
        <v>11000</v>
      </c>
      <c r="Q1099" s="52">
        <f ca="1">SUMIFS(OUT!$F$2:$F$11000,OUT!$H$2:$H$11000,H1099,OUT!$D$2:$D$11000,"Out",OUT!$E$2:$E$11000,"Mio")</f>
        <v>338500</v>
      </c>
      <c r="R1099" s="52">
        <f ca="1">SUMIFS(OUT!$F$2:$F$11000,OUT!$H$2:$H$11000,H1099,OUT!$D$2:$D$11000,"Out",OUT!$E$2:$E$11000,"Sedekah")</f>
        <v>2500</v>
      </c>
      <c r="S1099" s="52">
        <f ca="1">SUMIFS(OUT!$F$2:$F$11000,OUT!$H$2:$H$11000,H1099,OUT!$D$2:$D$11000,"Out",OUT!$E$2:$E$11000,"Zela")</f>
        <v>387476</v>
      </c>
      <c r="T1099" s="52">
        <f ca="1">SUMIFS(OUT!$F$2:$F$11000,OUT!$H$2:$H$11000,H1099,OUT!$D$2:$D$11000,"Out",OUT!$E$2:$E$11000,"Iqbal")</f>
        <v>231000</v>
      </c>
    </row>
    <row r="1100" spans="1:20" x14ac:dyDescent="0.2">
      <c r="A1100" s="48">
        <f ca="1">IFERROR(__xludf.DUMMYFUNCTION("""COMPUTED_VALUE"""),46215)</f>
        <v>46215</v>
      </c>
      <c r="B1100" s="4" t="str">
        <f ca="1">IFERROR(__xludf.DUMMYFUNCTION("""COMPUTED_VALUE"""),"mainan alfa")</f>
        <v>mainan alfa</v>
      </c>
      <c r="C1100" s="4" t="str">
        <f ca="1">IFERROR(__xludf.DUMMYFUNCTION("""COMPUTED_VALUE"""),"ATM")</f>
        <v>ATM</v>
      </c>
      <c r="D1100" s="4" t="str">
        <f ca="1">IFERROR(__xludf.DUMMYFUNCTION("""COMPUTED_VALUE"""),"Out")</f>
        <v>Out</v>
      </c>
      <c r="E1100" s="4" t="str">
        <f ca="1">IFERROR(__xludf.DUMMYFUNCTION("""COMPUTED_VALUE"""),"Alfa")</f>
        <v>Alfa</v>
      </c>
      <c r="F1100" s="49">
        <f ca="1">IFERROR(__xludf.DUMMYFUNCTION("""COMPUTED_VALUE"""),70000)</f>
        <v>70000</v>
      </c>
      <c r="G1100" s="50" t="str">
        <f ca="1">IFERROR(__xludf.DUMMYFUNCTION("""COMPUTED_VALUE"""),"Zela")</f>
        <v>Zela</v>
      </c>
      <c r="H1100" s="51">
        <f t="shared" ca="1" si="0"/>
        <v>46204</v>
      </c>
      <c r="I1100" s="52" t="e">
        <f ca="1">SUMIFS(OUT!$F$2:$F$11000,OUT!$H$2:$H$11000,H1100,OUT!$D$2:$D$101007,"In")</f>
        <v>#VALUE!</v>
      </c>
      <c r="J1100" s="52">
        <f ca="1">SUMIFS(OUT!$F$2:$F$11000,OUT!$H$2:$H$11000,H1100,OUT!$D$2:$D$11000,"Out")</f>
        <v>9905717</v>
      </c>
      <c r="K1100" s="52">
        <f ca="1">SUMIFS(OUT!$F$2:$F$11000,OUT!$H$2:$H$11000,H1100,OUT!$D$2:$D$11000,"Out",OUT!$E$2:$E$11000,"Fix")</f>
        <v>3048680</v>
      </c>
      <c r="L1100" s="52">
        <f ca="1">SUMIFS(OUT!$F$2:$F$11000,OUT!$H$2:$H$11000,H1100,OUT!$D$2:$D$11000,"Out",OUT!$E$2:$E$11000,"Bathroom")</f>
        <v>50720</v>
      </c>
      <c r="M1100" s="52">
        <f ca="1">SUMIFS(OUT!$F$2:$F$11000,OUT!$H$2:$H$11000,H1100,OUT!$D$2:$D$11000,"Out",OUT!$E$2:$E$11000,"Alfa")</f>
        <v>294200</v>
      </c>
      <c r="N1100" s="52" t="e">
        <f ca="1">SUMIFS(OUT!$F$2:$F$11000,OUT!$H$2:$H$101007,H1100,OUT!$D$2:$D$11000,"Out",OUT!$E$2:$E$11000,"Jajan")</f>
        <v>#VALUE!</v>
      </c>
      <c r="O1100" s="52">
        <f ca="1">SUMIFS(OUT!$F$2:$F$11000,OUT!$H$2:$H$11000,H1100,OUT!$D$2:$D$11000,"Out",OUT!$E$2:$E$11000,"Kitchen")</f>
        <v>1360773</v>
      </c>
      <c r="P1100" s="52">
        <f ca="1">SUMIFS(OUT!$F$2:$F$11000,OUT!$H$2:$H$11000,H1100,OUT!$D$2:$D$11000,"Out",OUT!$E$2:$E$11000,"Loandry")</f>
        <v>11000</v>
      </c>
      <c r="Q1100" s="52">
        <f ca="1">SUMIFS(OUT!$F$2:$F$11000,OUT!$H$2:$H$11000,H1100,OUT!$D$2:$D$11000,"Out",OUT!$E$2:$E$11000,"Mio")</f>
        <v>338500</v>
      </c>
      <c r="R1100" s="52">
        <f ca="1">SUMIFS(OUT!$F$2:$F$11000,OUT!$H$2:$H$11000,H1100,OUT!$D$2:$D$11000,"Out",OUT!$E$2:$E$11000,"Sedekah")</f>
        <v>2500</v>
      </c>
      <c r="S1100" s="52">
        <f ca="1">SUMIFS(OUT!$F$2:$F$11000,OUT!$H$2:$H$11000,H1100,OUT!$D$2:$D$11000,"Out",OUT!$E$2:$E$11000,"Zela")</f>
        <v>387476</v>
      </c>
      <c r="T1100" s="52">
        <f ca="1">SUMIFS(OUT!$F$2:$F$11000,OUT!$H$2:$H$11000,H1100,OUT!$D$2:$D$11000,"Out",OUT!$E$2:$E$11000,"Iqbal")</f>
        <v>231000</v>
      </c>
    </row>
    <row r="1101" spans="1:20" x14ac:dyDescent="0.2">
      <c r="A1101" s="48">
        <f ca="1">IFERROR(__xludf.DUMMYFUNCTION("""COMPUTED_VALUE"""),46215)</f>
        <v>46215</v>
      </c>
      <c r="B1101" s="4" t="str">
        <f ca="1">IFERROR(__xludf.DUMMYFUNCTION("""COMPUTED_VALUE"""),"tarik tunai")</f>
        <v>tarik tunai</v>
      </c>
      <c r="C1101" s="4" t="str">
        <f ca="1">IFERROR(__xludf.DUMMYFUNCTION("""COMPUTED_VALUE"""),"ATM")</f>
        <v>ATM</v>
      </c>
      <c r="D1101" s="4" t="str">
        <f ca="1">IFERROR(__xludf.DUMMYFUNCTION("""COMPUTED_VALUE"""),"Out")</f>
        <v>Out</v>
      </c>
      <c r="E1101" s="4" t="str">
        <f ca="1">IFERROR(__xludf.DUMMYFUNCTION("""COMPUTED_VALUE"""),"Move")</f>
        <v>Move</v>
      </c>
      <c r="F1101" s="49">
        <f ca="1">IFERROR(__xludf.DUMMYFUNCTION("""COMPUTED_VALUE"""),10000)</f>
        <v>10000</v>
      </c>
      <c r="G1101" s="50" t="str">
        <f ca="1">IFERROR(__xludf.DUMMYFUNCTION("""COMPUTED_VALUE"""),"Zela")</f>
        <v>Zela</v>
      </c>
      <c r="H1101" s="51">
        <f t="shared" ca="1" si="0"/>
        <v>46204</v>
      </c>
      <c r="I1101" s="52" t="e">
        <f ca="1">SUMIFS(OUT!$F$2:$F$11000,OUT!$H$2:$H$11000,H1101,OUT!$D$2:$D$101007,"In")</f>
        <v>#VALUE!</v>
      </c>
      <c r="J1101" s="52">
        <f ca="1">SUMIFS(OUT!$F$2:$F$11000,OUT!$H$2:$H$11000,H1101,OUT!$D$2:$D$11000,"Out")</f>
        <v>9905717</v>
      </c>
      <c r="K1101" s="52">
        <f ca="1">SUMIFS(OUT!$F$2:$F$11000,OUT!$H$2:$H$11000,H1101,OUT!$D$2:$D$11000,"Out",OUT!$E$2:$E$11000,"Fix")</f>
        <v>3048680</v>
      </c>
      <c r="L1101" s="52">
        <f ca="1">SUMIFS(OUT!$F$2:$F$11000,OUT!$H$2:$H$11000,H1101,OUT!$D$2:$D$11000,"Out",OUT!$E$2:$E$11000,"Bathroom")</f>
        <v>50720</v>
      </c>
      <c r="M1101" s="52">
        <f ca="1">SUMIFS(OUT!$F$2:$F$11000,OUT!$H$2:$H$11000,H1101,OUT!$D$2:$D$11000,"Out",OUT!$E$2:$E$11000,"Alfa")</f>
        <v>294200</v>
      </c>
      <c r="N1101" s="52" t="e">
        <f ca="1">SUMIFS(OUT!$F$2:$F$11000,OUT!$H$2:$H$101007,H1101,OUT!$D$2:$D$11000,"Out",OUT!$E$2:$E$11000,"Jajan")</f>
        <v>#VALUE!</v>
      </c>
      <c r="O1101" s="52">
        <f ca="1">SUMIFS(OUT!$F$2:$F$11000,OUT!$H$2:$H$11000,H1101,OUT!$D$2:$D$11000,"Out",OUT!$E$2:$E$11000,"Kitchen")</f>
        <v>1360773</v>
      </c>
      <c r="P1101" s="52">
        <f ca="1">SUMIFS(OUT!$F$2:$F$11000,OUT!$H$2:$H$11000,H1101,OUT!$D$2:$D$11000,"Out",OUT!$E$2:$E$11000,"Loandry")</f>
        <v>11000</v>
      </c>
      <c r="Q1101" s="52">
        <f ca="1">SUMIFS(OUT!$F$2:$F$11000,OUT!$H$2:$H$11000,H1101,OUT!$D$2:$D$11000,"Out",OUT!$E$2:$E$11000,"Mio")</f>
        <v>338500</v>
      </c>
      <c r="R1101" s="52">
        <f ca="1">SUMIFS(OUT!$F$2:$F$11000,OUT!$H$2:$H$11000,H1101,OUT!$D$2:$D$11000,"Out",OUT!$E$2:$E$11000,"Sedekah")</f>
        <v>2500</v>
      </c>
      <c r="S1101" s="52">
        <f ca="1">SUMIFS(OUT!$F$2:$F$11000,OUT!$H$2:$H$11000,H1101,OUT!$D$2:$D$11000,"Out",OUT!$E$2:$E$11000,"Zela")</f>
        <v>387476</v>
      </c>
      <c r="T1101" s="52">
        <f ca="1">SUMIFS(OUT!$F$2:$F$11000,OUT!$H$2:$H$11000,H1101,OUT!$D$2:$D$11000,"Out",OUT!$E$2:$E$11000,"Iqbal")</f>
        <v>231000</v>
      </c>
    </row>
    <row r="1102" spans="1:20" x14ac:dyDescent="0.2">
      <c r="A1102" s="48">
        <f ca="1">IFERROR(__xludf.DUMMYFUNCTION("""COMPUTED_VALUE"""),46215)</f>
        <v>46215</v>
      </c>
      <c r="B1102" s="4" t="str">
        <f ca="1">IFERROR(__xludf.DUMMYFUNCTION("""COMPUTED_VALUE"""),"terima tunai")</f>
        <v>terima tunai</v>
      </c>
      <c r="C1102" s="4" t="str">
        <f ca="1">IFERROR(__xludf.DUMMYFUNCTION("""COMPUTED_VALUE"""),"Cash")</f>
        <v>Cash</v>
      </c>
      <c r="D1102" s="4" t="str">
        <f ca="1">IFERROR(__xludf.DUMMYFUNCTION("""COMPUTED_VALUE"""),"In")</f>
        <v>In</v>
      </c>
      <c r="E1102" s="4" t="str">
        <f ca="1">IFERROR(__xludf.DUMMYFUNCTION("""COMPUTED_VALUE"""),"Move")</f>
        <v>Move</v>
      </c>
      <c r="F1102" s="49">
        <f ca="1">IFERROR(__xludf.DUMMYFUNCTION("""COMPUTED_VALUE"""),10000)</f>
        <v>10000</v>
      </c>
      <c r="G1102" s="50" t="str">
        <f ca="1">IFERROR(__xludf.DUMMYFUNCTION("""COMPUTED_VALUE"""),"Zela")</f>
        <v>Zela</v>
      </c>
      <c r="H1102" s="51">
        <f t="shared" ca="1" si="0"/>
        <v>46204</v>
      </c>
      <c r="I1102" s="52" t="e">
        <f ca="1">SUMIFS(OUT!$F$2:$F$11000,OUT!$H$2:$H$11000,H1102,OUT!$D$2:$D$101007,"In")</f>
        <v>#VALUE!</v>
      </c>
      <c r="J1102" s="52">
        <f ca="1">SUMIFS(OUT!$F$2:$F$11000,OUT!$H$2:$H$11000,H1102,OUT!$D$2:$D$11000,"Out")</f>
        <v>9905717</v>
      </c>
      <c r="K1102" s="52">
        <f ca="1">SUMIFS(OUT!$F$2:$F$11000,OUT!$H$2:$H$11000,H1102,OUT!$D$2:$D$11000,"Out",OUT!$E$2:$E$11000,"Fix")</f>
        <v>3048680</v>
      </c>
      <c r="L1102" s="52">
        <f ca="1">SUMIFS(OUT!$F$2:$F$11000,OUT!$H$2:$H$11000,H1102,OUT!$D$2:$D$11000,"Out",OUT!$E$2:$E$11000,"Bathroom")</f>
        <v>50720</v>
      </c>
      <c r="M1102" s="52">
        <f ca="1">SUMIFS(OUT!$F$2:$F$11000,OUT!$H$2:$H$11000,H1102,OUT!$D$2:$D$11000,"Out",OUT!$E$2:$E$11000,"Alfa")</f>
        <v>294200</v>
      </c>
      <c r="N1102" s="52" t="e">
        <f ca="1">SUMIFS(OUT!$F$2:$F$11000,OUT!$H$2:$H$101007,H1102,OUT!$D$2:$D$11000,"Out",OUT!$E$2:$E$11000,"Jajan")</f>
        <v>#VALUE!</v>
      </c>
      <c r="O1102" s="52">
        <f ca="1">SUMIFS(OUT!$F$2:$F$11000,OUT!$H$2:$H$11000,H1102,OUT!$D$2:$D$11000,"Out",OUT!$E$2:$E$11000,"Kitchen")</f>
        <v>1360773</v>
      </c>
      <c r="P1102" s="52">
        <f ca="1">SUMIFS(OUT!$F$2:$F$11000,OUT!$H$2:$H$11000,H1102,OUT!$D$2:$D$11000,"Out",OUT!$E$2:$E$11000,"Loandry")</f>
        <v>11000</v>
      </c>
      <c r="Q1102" s="52">
        <f ca="1">SUMIFS(OUT!$F$2:$F$11000,OUT!$H$2:$H$11000,H1102,OUT!$D$2:$D$11000,"Out",OUT!$E$2:$E$11000,"Mio")</f>
        <v>338500</v>
      </c>
      <c r="R1102" s="52">
        <f ca="1">SUMIFS(OUT!$F$2:$F$11000,OUT!$H$2:$H$11000,H1102,OUT!$D$2:$D$11000,"Out",OUT!$E$2:$E$11000,"Sedekah")</f>
        <v>2500</v>
      </c>
      <c r="S1102" s="52">
        <f ca="1">SUMIFS(OUT!$F$2:$F$11000,OUT!$H$2:$H$11000,H1102,OUT!$D$2:$D$11000,"Out",OUT!$E$2:$E$11000,"Zela")</f>
        <v>387476</v>
      </c>
      <c r="T1102" s="52">
        <f ca="1">SUMIFS(OUT!$F$2:$F$11000,OUT!$H$2:$H$11000,H1102,OUT!$D$2:$D$11000,"Out",OUT!$E$2:$E$11000,"Iqbal")</f>
        <v>231000</v>
      </c>
    </row>
    <row r="1103" spans="1:20" x14ac:dyDescent="0.2">
      <c r="A1103" s="48">
        <f ca="1">IFERROR(__xludf.DUMMYFUNCTION("""COMPUTED_VALUE"""),46215)</f>
        <v>46215</v>
      </c>
      <c r="B1103" s="4" t="str">
        <f ca="1">IFERROR(__xludf.DUMMYFUNCTION("""COMPUTED_VALUE"""),"tarik tunai")</f>
        <v>tarik tunai</v>
      </c>
      <c r="C1103" s="4" t="str">
        <f ca="1">IFERROR(__xludf.DUMMYFUNCTION("""COMPUTED_VALUE"""),"ATM")</f>
        <v>ATM</v>
      </c>
      <c r="D1103" s="4" t="str">
        <f ca="1">IFERROR(__xludf.DUMMYFUNCTION("""COMPUTED_VALUE"""),"Out")</f>
        <v>Out</v>
      </c>
      <c r="E1103" s="4" t="str">
        <f ca="1">IFERROR(__xludf.DUMMYFUNCTION("""COMPUTED_VALUE"""),"Move")</f>
        <v>Move</v>
      </c>
      <c r="F1103" s="49">
        <f ca="1">IFERROR(__xludf.DUMMYFUNCTION("""COMPUTED_VALUE"""),100000)</f>
        <v>100000</v>
      </c>
      <c r="G1103" s="50" t="str">
        <f ca="1">IFERROR(__xludf.DUMMYFUNCTION("""COMPUTED_VALUE"""),"Zela")</f>
        <v>Zela</v>
      </c>
      <c r="H1103" s="51">
        <f t="shared" ca="1" si="0"/>
        <v>46204</v>
      </c>
      <c r="I1103" s="52" t="e">
        <f ca="1">SUMIFS(OUT!$F$2:$F$11000,OUT!$H$2:$H$11000,H1103,OUT!$D$2:$D$101007,"In")</f>
        <v>#VALUE!</v>
      </c>
      <c r="J1103" s="52">
        <f ca="1">SUMIFS(OUT!$F$2:$F$11000,OUT!$H$2:$H$11000,H1103,OUT!$D$2:$D$11000,"Out")</f>
        <v>9905717</v>
      </c>
      <c r="K1103" s="52">
        <f ca="1">SUMIFS(OUT!$F$2:$F$11000,OUT!$H$2:$H$11000,H1103,OUT!$D$2:$D$11000,"Out",OUT!$E$2:$E$11000,"Fix")</f>
        <v>3048680</v>
      </c>
      <c r="L1103" s="52">
        <f ca="1">SUMIFS(OUT!$F$2:$F$11000,OUT!$H$2:$H$11000,H1103,OUT!$D$2:$D$11000,"Out",OUT!$E$2:$E$11000,"Bathroom")</f>
        <v>50720</v>
      </c>
      <c r="M1103" s="52">
        <f ca="1">SUMIFS(OUT!$F$2:$F$11000,OUT!$H$2:$H$11000,H1103,OUT!$D$2:$D$11000,"Out",OUT!$E$2:$E$11000,"Alfa")</f>
        <v>294200</v>
      </c>
      <c r="N1103" s="52" t="e">
        <f ca="1">SUMIFS(OUT!$F$2:$F$11000,OUT!$H$2:$H$101007,H1103,OUT!$D$2:$D$11000,"Out",OUT!$E$2:$E$11000,"Jajan")</f>
        <v>#VALUE!</v>
      </c>
      <c r="O1103" s="52">
        <f ca="1">SUMIFS(OUT!$F$2:$F$11000,OUT!$H$2:$H$11000,H1103,OUT!$D$2:$D$11000,"Out",OUT!$E$2:$E$11000,"Kitchen")</f>
        <v>1360773</v>
      </c>
      <c r="P1103" s="52">
        <f ca="1">SUMIFS(OUT!$F$2:$F$11000,OUT!$H$2:$H$11000,H1103,OUT!$D$2:$D$11000,"Out",OUT!$E$2:$E$11000,"Loandry")</f>
        <v>11000</v>
      </c>
      <c r="Q1103" s="52">
        <f ca="1">SUMIFS(OUT!$F$2:$F$11000,OUT!$H$2:$H$11000,H1103,OUT!$D$2:$D$11000,"Out",OUT!$E$2:$E$11000,"Mio")</f>
        <v>338500</v>
      </c>
      <c r="R1103" s="52">
        <f ca="1">SUMIFS(OUT!$F$2:$F$11000,OUT!$H$2:$H$11000,H1103,OUT!$D$2:$D$11000,"Out",OUT!$E$2:$E$11000,"Sedekah")</f>
        <v>2500</v>
      </c>
      <c r="S1103" s="52">
        <f ca="1">SUMIFS(OUT!$F$2:$F$11000,OUT!$H$2:$H$11000,H1103,OUT!$D$2:$D$11000,"Out",OUT!$E$2:$E$11000,"Zela")</f>
        <v>387476</v>
      </c>
      <c r="T1103" s="52">
        <f ca="1">SUMIFS(OUT!$F$2:$F$11000,OUT!$H$2:$H$11000,H1103,OUT!$D$2:$D$11000,"Out",OUT!$E$2:$E$11000,"Iqbal")</f>
        <v>231000</v>
      </c>
    </row>
    <row r="1104" spans="1:20" x14ac:dyDescent="0.2">
      <c r="A1104" s="48">
        <f ca="1">IFERROR(__xludf.DUMMYFUNCTION("""COMPUTED_VALUE"""),46215)</f>
        <v>46215</v>
      </c>
      <c r="B1104" s="4" t="str">
        <f ca="1">IFERROR(__xludf.DUMMYFUNCTION("""COMPUTED_VALUE"""),"terima tunai")</f>
        <v>terima tunai</v>
      </c>
      <c r="C1104" s="4" t="str">
        <f ca="1">IFERROR(__xludf.DUMMYFUNCTION("""COMPUTED_VALUE"""),"Cash")</f>
        <v>Cash</v>
      </c>
      <c r="D1104" s="4" t="str">
        <f ca="1">IFERROR(__xludf.DUMMYFUNCTION("""COMPUTED_VALUE"""),"In")</f>
        <v>In</v>
      </c>
      <c r="E1104" s="4" t="str">
        <f ca="1">IFERROR(__xludf.DUMMYFUNCTION("""COMPUTED_VALUE"""),"Move")</f>
        <v>Move</v>
      </c>
      <c r="F1104" s="49">
        <f ca="1">IFERROR(__xludf.DUMMYFUNCTION("""COMPUTED_VALUE"""),100000)</f>
        <v>100000</v>
      </c>
      <c r="G1104" s="50" t="str">
        <f ca="1">IFERROR(__xludf.DUMMYFUNCTION("""COMPUTED_VALUE"""),"Zela")</f>
        <v>Zela</v>
      </c>
      <c r="H1104" s="51">
        <f t="shared" ca="1" si="0"/>
        <v>46204</v>
      </c>
      <c r="I1104" s="52" t="e">
        <f ca="1">SUMIFS(OUT!$F$2:$F$11000,OUT!$H$2:$H$11000,H1104,OUT!$D$2:$D$101007,"In")</f>
        <v>#VALUE!</v>
      </c>
      <c r="J1104" s="52">
        <f ca="1">SUMIFS(OUT!$F$2:$F$11000,OUT!$H$2:$H$11000,H1104,OUT!$D$2:$D$11000,"Out")</f>
        <v>9905717</v>
      </c>
      <c r="K1104" s="52">
        <f ca="1">SUMIFS(OUT!$F$2:$F$11000,OUT!$H$2:$H$11000,H1104,OUT!$D$2:$D$11000,"Out",OUT!$E$2:$E$11000,"Fix")</f>
        <v>3048680</v>
      </c>
      <c r="L1104" s="52">
        <f ca="1">SUMIFS(OUT!$F$2:$F$11000,OUT!$H$2:$H$11000,H1104,OUT!$D$2:$D$11000,"Out",OUT!$E$2:$E$11000,"Bathroom")</f>
        <v>50720</v>
      </c>
      <c r="M1104" s="52">
        <f ca="1">SUMIFS(OUT!$F$2:$F$11000,OUT!$H$2:$H$11000,H1104,OUT!$D$2:$D$11000,"Out",OUT!$E$2:$E$11000,"Alfa")</f>
        <v>294200</v>
      </c>
      <c r="N1104" s="52" t="e">
        <f ca="1">SUMIFS(OUT!$F$2:$F$11000,OUT!$H$2:$H$101007,H1104,OUT!$D$2:$D$11000,"Out",OUT!$E$2:$E$11000,"Jajan")</f>
        <v>#VALUE!</v>
      </c>
      <c r="O1104" s="52">
        <f ca="1">SUMIFS(OUT!$F$2:$F$11000,OUT!$H$2:$H$11000,H1104,OUT!$D$2:$D$11000,"Out",OUT!$E$2:$E$11000,"Kitchen")</f>
        <v>1360773</v>
      </c>
      <c r="P1104" s="52">
        <f ca="1">SUMIFS(OUT!$F$2:$F$11000,OUT!$H$2:$H$11000,H1104,OUT!$D$2:$D$11000,"Out",OUT!$E$2:$E$11000,"Loandry")</f>
        <v>11000</v>
      </c>
      <c r="Q1104" s="52">
        <f ca="1">SUMIFS(OUT!$F$2:$F$11000,OUT!$H$2:$H$11000,H1104,OUT!$D$2:$D$11000,"Out",OUT!$E$2:$E$11000,"Mio")</f>
        <v>338500</v>
      </c>
      <c r="R1104" s="52">
        <f ca="1">SUMIFS(OUT!$F$2:$F$11000,OUT!$H$2:$H$11000,H1104,OUT!$D$2:$D$11000,"Out",OUT!$E$2:$E$11000,"Sedekah")</f>
        <v>2500</v>
      </c>
      <c r="S1104" s="52">
        <f ca="1">SUMIFS(OUT!$F$2:$F$11000,OUT!$H$2:$H$11000,H1104,OUT!$D$2:$D$11000,"Out",OUT!$E$2:$E$11000,"Zela")</f>
        <v>387476</v>
      </c>
      <c r="T1104" s="52">
        <f ca="1">SUMIFS(OUT!$F$2:$F$11000,OUT!$H$2:$H$11000,H1104,OUT!$D$2:$D$11000,"Out",OUT!$E$2:$E$11000,"Iqbal")</f>
        <v>231000</v>
      </c>
    </row>
    <row r="1105" spans="1:20" x14ac:dyDescent="0.2">
      <c r="A1105" s="48">
        <f ca="1">IFERROR(__xludf.DUMMYFUNCTION("""COMPUTED_VALUE"""),46215)</f>
        <v>46215</v>
      </c>
      <c r="B1105" s="4" t="str">
        <f ca="1">IFERROR(__xludf.DUMMYFUNCTION("""COMPUTED_VALUE"""),"pertalite")</f>
        <v>pertalite</v>
      </c>
      <c r="C1105" s="4" t="str">
        <f ca="1">IFERROR(__xludf.DUMMYFUNCTION("""COMPUTED_VALUE"""),"Cash")</f>
        <v>Cash</v>
      </c>
      <c r="D1105" s="4" t="str">
        <f ca="1">IFERROR(__xludf.DUMMYFUNCTION("""COMPUTED_VALUE"""),"Out")</f>
        <v>Out</v>
      </c>
      <c r="E1105" s="4" t="str">
        <f ca="1">IFERROR(__xludf.DUMMYFUNCTION("""COMPUTED_VALUE"""),"Mio")</f>
        <v>Mio</v>
      </c>
      <c r="F1105" s="49">
        <f ca="1">IFERROR(__xludf.DUMMYFUNCTION("""COMPUTED_VALUE"""),15000)</f>
        <v>15000</v>
      </c>
      <c r="G1105" s="50" t="str">
        <f ca="1">IFERROR(__xludf.DUMMYFUNCTION("""COMPUTED_VALUE"""),"Zela")</f>
        <v>Zela</v>
      </c>
      <c r="H1105" s="51">
        <f t="shared" ca="1" si="0"/>
        <v>46204</v>
      </c>
      <c r="I1105" s="52" t="e">
        <f ca="1">SUMIFS(OUT!$F$2:$F$11000,OUT!$H$2:$H$11000,H1105,OUT!$D$2:$D$101007,"In")</f>
        <v>#VALUE!</v>
      </c>
      <c r="J1105" s="52">
        <f ca="1">SUMIFS(OUT!$F$2:$F$11000,OUT!$H$2:$H$11000,H1105,OUT!$D$2:$D$11000,"Out")</f>
        <v>9905717</v>
      </c>
      <c r="K1105" s="52">
        <f ca="1">SUMIFS(OUT!$F$2:$F$11000,OUT!$H$2:$H$11000,H1105,OUT!$D$2:$D$11000,"Out",OUT!$E$2:$E$11000,"Fix")</f>
        <v>3048680</v>
      </c>
      <c r="L1105" s="52">
        <f ca="1">SUMIFS(OUT!$F$2:$F$11000,OUT!$H$2:$H$11000,H1105,OUT!$D$2:$D$11000,"Out",OUT!$E$2:$E$11000,"Bathroom")</f>
        <v>50720</v>
      </c>
      <c r="M1105" s="52">
        <f ca="1">SUMIFS(OUT!$F$2:$F$11000,OUT!$H$2:$H$11000,H1105,OUT!$D$2:$D$11000,"Out",OUT!$E$2:$E$11000,"Alfa")</f>
        <v>294200</v>
      </c>
      <c r="N1105" s="52" t="e">
        <f ca="1">SUMIFS(OUT!$F$2:$F$11000,OUT!$H$2:$H$101007,H1105,OUT!$D$2:$D$11000,"Out",OUT!$E$2:$E$11000,"Jajan")</f>
        <v>#VALUE!</v>
      </c>
      <c r="O1105" s="52">
        <f ca="1">SUMIFS(OUT!$F$2:$F$11000,OUT!$H$2:$H$11000,H1105,OUT!$D$2:$D$11000,"Out",OUT!$E$2:$E$11000,"Kitchen")</f>
        <v>1360773</v>
      </c>
      <c r="P1105" s="52">
        <f ca="1">SUMIFS(OUT!$F$2:$F$11000,OUT!$H$2:$H$11000,H1105,OUT!$D$2:$D$11000,"Out",OUT!$E$2:$E$11000,"Loandry")</f>
        <v>11000</v>
      </c>
      <c r="Q1105" s="52">
        <f ca="1">SUMIFS(OUT!$F$2:$F$11000,OUT!$H$2:$H$11000,H1105,OUT!$D$2:$D$11000,"Out",OUT!$E$2:$E$11000,"Mio")</f>
        <v>338500</v>
      </c>
      <c r="R1105" s="52">
        <f ca="1">SUMIFS(OUT!$F$2:$F$11000,OUT!$H$2:$H$11000,H1105,OUT!$D$2:$D$11000,"Out",OUT!$E$2:$E$11000,"Sedekah")</f>
        <v>2500</v>
      </c>
      <c r="S1105" s="52">
        <f ca="1">SUMIFS(OUT!$F$2:$F$11000,OUT!$H$2:$H$11000,H1105,OUT!$D$2:$D$11000,"Out",OUT!$E$2:$E$11000,"Zela")</f>
        <v>387476</v>
      </c>
      <c r="T1105" s="52">
        <f ca="1">SUMIFS(OUT!$F$2:$F$11000,OUT!$H$2:$H$11000,H1105,OUT!$D$2:$D$11000,"Out",OUT!$E$2:$E$11000,"Iqbal")</f>
        <v>231000</v>
      </c>
    </row>
    <row r="1106" spans="1:20" x14ac:dyDescent="0.2">
      <c r="A1106" s="48">
        <f ca="1">IFERROR(__xludf.DUMMYFUNCTION("""COMPUTED_VALUE"""),46214)</f>
        <v>46214</v>
      </c>
      <c r="B1106" s="4" t="str">
        <f ca="1">IFERROR(__xludf.DUMMYFUNCTION("""COMPUTED_VALUE"""),"rokok (5)")</f>
        <v>rokok (5)</v>
      </c>
      <c r="C1106" s="4" t="str">
        <f ca="1">IFERROR(__xludf.DUMMYFUNCTION("""COMPUTED_VALUE"""),"Cash")</f>
        <v>Cash</v>
      </c>
      <c r="D1106" s="4" t="str">
        <f ca="1">IFERROR(__xludf.DUMMYFUNCTION("""COMPUTED_VALUE"""),"Out")</f>
        <v>Out</v>
      </c>
      <c r="E1106" s="4" t="str">
        <f ca="1">IFERROR(__xludf.DUMMYFUNCTION("""COMPUTED_VALUE"""),"Iqbal")</f>
        <v>Iqbal</v>
      </c>
      <c r="F1106" s="49">
        <f ca="1">IFERROR(__xludf.DUMMYFUNCTION("""COMPUTED_VALUE"""),17000)</f>
        <v>17000</v>
      </c>
      <c r="G1106" s="50" t="str">
        <f ca="1">IFERROR(__xludf.DUMMYFUNCTION("""COMPUTED_VALUE"""),"Zela")</f>
        <v>Zela</v>
      </c>
      <c r="H1106" s="51">
        <f t="shared" ca="1" si="0"/>
        <v>46204</v>
      </c>
      <c r="I1106" s="52" t="e">
        <f ca="1">SUMIFS(OUT!$F$2:$F$11000,OUT!$H$2:$H$11000,H1106,OUT!$D$2:$D$101007,"In")</f>
        <v>#VALUE!</v>
      </c>
      <c r="J1106" s="52">
        <f ca="1">SUMIFS(OUT!$F$2:$F$11000,OUT!$H$2:$H$11000,H1106,OUT!$D$2:$D$11000,"Out")</f>
        <v>9905717</v>
      </c>
      <c r="K1106" s="52">
        <f ca="1">SUMIFS(OUT!$F$2:$F$11000,OUT!$H$2:$H$11000,H1106,OUT!$D$2:$D$11000,"Out",OUT!$E$2:$E$11000,"Fix")</f>
        <v>3048680</v>
      </c>
      <c r="L1106" s="52">
        <f ca="1">SUMIFS(OUT!$F$2:$F$11000,OUT!$H$2:$H$11000,H1106,OUT!$D$2:$D$11000,"Out",OUT!$E$2:$E$11000,"Bathroom")</f>
        <v>50720</v>
      </c>
      <c r="M1106" s="52">
        <f ca="1">SUMIFS(OUT!$F$2:$F$11000,OUT!$H$2:$H$11000,H1106,OUT!$D$2:$D$11000,"Out",OUT!$E$2:$E$11000,"Alfa")</f>
        <v>294200</v>
      </c>
      <c r="N1106" s="52" t="e">
        <f ca="1">SUMIFS(OUT!$F$2:$F$11000,OUT!$H$2:$H$101007,H1106,OUT!$D$2:$D$11000,"Out",OUT!$E$2:$E$11000,"Jajan")</f>
        <v>#VALUE!</v>
      </c>
      <c r="O1106" s="52">
        <f ca="1">SUMIFS(OUT!$F$2:$F$11000,OUT!$H$2:$H$11000,H1106,OUT!$D$2:$D$11000,"Out",OUT!$E$2:$E$11000,"Kitchen")</f>
        <v>1360773</v>
      </c>
      <c r="P1106" s="52">
        <f ca="1">SUMIFS(OUT!$F$2:$F$11000,OUT!$H$2:$H$11000,H1106,OUT!$D$2:$D$11000,"Out",OUT!$E$2:$E$11000,"Loandry")</f>
        <v>11000</v>
      </c>
      <c r="Q1106" s="52">
        <f ca="1">SUMIFS(OUT!$F$2:$F$11000,OUT!$H$2:$H$11000,H1106,OUT!$D$2:$D$11000,"Out",OUT!$E$2:$E$11000,"Mio")</f>
        <v>338500</v>
      </c>
      <c r="R1106" s="52">
        <f ca="1">SUMIFS(OUT!$F$2:$F$11000,OUT!$H$2:$H$11000,H1106,OUT!$D$2:$D$11000,"Out",OUT!$E$2:$E$11000,"Sedekah")</f>
        <v>2500</v>
      </c>
      <c r="S1106" s="52">
        <f ca="1">SUMIFS(OUT!$F$2:$F$11000,OUT!$H$2:$H$11000,H1106,OUT!$D$2:$D$11000,"Out",OUT!$E$2:$E$11000,"Zela")</f>
        <v>387476</v>
      </c>
      <c r="T1106" s="52">
        <f ca="1">SUMIFS(OUT!$F$2:$F$11000,OUT!$H$2:$H$11000,H1106,OUT!$D$2:$D$11000,"Out",OUT!$E$2:$E$11000,"Iqbal")</f>
        <v>231000</v>
      </c>
    </row>
    <row r="1107" spans="1:20" x14ac:dyDescent="0.2">
      <c r="A1107" s="48">
        <f ca="1">IFERROR(__xludf.DUMMYFUNCTION("""COMPUTED_VALUE"""),46214)</f>
        <v>46214</v>
      </c>
      <c r="B1107" s="4" t="str">
        <f ca="1">IFERROR(__xludf.DUMMYFUNCTION("""COMPUTED_VALUE"""),"roti gepeng")</f>
        <v>roti gepeng</v>
      </c>
      <c r="C1107" s="4" t="str">
        <f ca="1">IFERROR(__xludf.DUMMYFUNCTION("""COMPUTED_VALUE"""),"Cash")</f>
        <v>Cash</v>
      </c>
      <c r="D1107" s="4" t="str">
        <f ca="1">IFERROR(__xludf.DUMMYFUNCTION("""COMPUTED_VALUE"""),"Out")</f>
        <v>Out</v>
      </c>
      <c r="E1107" s="4" t="str">
        <f ca="1">IFERROR(__xludf.DUMMYFUNCTION("""COMPUTED_VALUE"""),"Alfa")</f>
        <v>Alfa</v>
      </c>
      <c r="F1107" s="49">
        <f ca="1">IFERROR(__xludf.DUMMYFUNCTION("""COMPUTED_VALUE"""),9000)</f>
        <v>9000</v>
      </c>
      <c r="G1107" s="50" t="str">
        <f ca="1">IFERROR(__xludf.DUMMYFUNCTION("""COMPUTED_VALUE"""),"Zela")</f>
        <v>Zela</v>
      </c>
      <c r="H1107" s="51">
        <f t="shared" ca="1" si="0"/>
        <v>46204</v>
      </c>
      <c r="I1107" s="52" t="e">
        <f ca="1">SUMIFS(OUT!$F$2:$F$11000,OUT!$H$2:$H$11000,H1107,OUT!$D$2:$D$101007,"In")</f>
        <v>#VALUE!</v>
      </c>
      <c r="J1107" s="52">
        <f ca="1">SUMIFS(OUT!$F$2:$F$11000,OUT!$H$2:$H$11000,H1107,OUT!$D$2:$D$11000,"Out")</f>
        <v>9905717</v>
      </c>
      <c r="K1107" s="52">
        <f ca="1">SUMIFS(OUT!$F$2:$F$11000,OUT!$H$2:$H$11000,H1107,OUT!$D$2:$D$11000,"Out",OUT!$E$2:$E$11000,"Fix")</f>
        <v>3048680</v>
      </c>
      <c r="L1107" s="52">
        <f ca="1">SUMIFS(OUT!$F$2:$F$11000,OUT!$H$2:$H$11000,H1107,OUT!$D$2:$D$11000,"Out",OUT!$E$2:$E$11000,"Bathroom")</f>
        <v>50720</v>
      </c>
      <c r="M1107" s="52">
        <f ca="1">SUMIFS(OUT!$F$2:$F$11000,OUT!$H$2:$H$11000,H1107,OUT!$D$2:$D$11000,"Out",OUT!$E$2:$E$11000,"Alfa")</f>
        <v>294200</v>
      </c>
      <c r="N1107" s="52" t="e">
        <f ca="1">SUMIFS(OUT!$F$2:$F$11000,OUT!$H$2:$H$101007,H1107,OUT!$D$2:$D$11000,"Out",OUT!$E$2:$E$11000,"Jajan")</f>
        <v>#VALUE!</v>
      </c>
      <c r="O1107" s="52">
        <f ca="1">SUMIFS(OUT!$F$2:$F$11000,OUT!$H$2:$H$11000,H1107,OUT!$D$2:$D$11000,"Out",OUT!$E$2:$E$11000,"Kitchen")</f>
        <v>1360773</v>
      </c>
      <c r="P1107" s="52">
        <f ca="1">SUMIFS(OUT!$F$2:$F$11000,OUT!$H$2:$H$11000,H1107,OUT!$D$2:$D$11000,"Out",OUT!$E$2:$E$11000,"Loandry")</f>
        <v>11000</v>
      </c>
      <c r="Q1107" s="52">
        <f ca="1">SUMIFS(OUT!$F$2:$F$11000,OUT!$H$2:$H$11000,H1107,OUT!$D$2:$D$11000,"Out",OUT!$E$2:$E$11000,"Mio")</f>
        <v>338500</v>
      </c>
      <c r="R1107" s="52">
        <f ca="1">SUMIFS(OUT!$F$2:$F$11000,OUT!$H$2:$H$11000,H1107,OUT!$D$2:$D$11000,"Out",OUT!$E$2:$E$11000,"Sedekah")</f>
        <v>2500</v>
      </c>
      <c r="S1107" s="52">
        <f ca="1">SUMIFS(OUT!$F$2:$F$11000,OUT!$H$2:$H$11000,H1107,OUT!$D$2:$D$11000,"Out",OUT!$E$2:$E$11000,"Zela")</f>
        <v>387476</v>
      </c>
      <c r="T1107" s="52">
        <f ca="1">SUMIFS(OUT!$F$2:$F$11000,OUT!$H$2:$H$11000,H1107,OUT!$D$2:$D$11000,"Out",OUT!$E$2:$E$11000,"Iqbal")</f>
        <v>231000</v>
      </c>
    </row>
    <row r="1108" spans="1:20" x14ac:dyDescent="0.2">
      <c r="A1108" s="48">
        <f ca="1">IFERROR(__xludf.DUMMYFUNCTION("""COMPUTED_VALUE"""),46214)</f>
        <v>46214</v>
      </c>
      <c r="B1108" s="4" t="str">
        <f ca="1">IFERROR(__xludf.DUMMYFUNCTION("""COMPUTED_VALUE"""),"susu")</f>
        <v>susu</v>
      </c>
      <c r="C1108" s="4" t="str">
        <f ca="1">IFERROR(__xludf.DUMMYFUNCTION("""COMPUTED_VALUE"""),"Cash")</f>
        <v>Cash</v>
      </c>
      <c r="D1108" s="4" t="str">
        <f ca="1">IFERROR(__xludf.DUMMYFUNCTION("""COMPUTED_VALUE"""),"Out")</f>
        <v>Out</v>
      </c>
      <c r="E1108" s="4" t="str">
        <f ca="1">IFERROR(__xludf.DUMMYFUNCTION("""COMPUTED_VALUE"""),"Alfa")</f>
        <v>Alfa</v>
      </c>
      <c r="F1108" s="49">
        <f ca="1">IFERROR(__xludf.DUMMYFUNCTION("""COMPUTED_VALUE"""),4000)</f>
        <v>4000</v>
      </c>
      <c r="G1108" s="50" t="str">
        <f ca="1">IFERROR(__xludf.DUMMYFUNCTION("""COMPUTED_VALUE"""),"Zela")</f>
        <v>Zela</v>
      </c>
      <c r="H1108" s="51">
        <f t="shared" ca="1" si="0"/>
        <v>46204</v>
      </c>
      <c r="I1108" s="52" t="e">
        <f ca="1">SUMIFS(OUT!$F$2:$F$11000,OUT!$H$2:$H$11000,H1108,OUT!$D$2:$D$101007,"In")</f>
        <v>#VALUE!</v>
      </c>
      <c r="J1108" s="52">
        <f ca="1">SUMIFS(OUT!$F$2:$F$11000,OUT!$H$2:$H$11000,H1108,OUT!$D$2:$D$11000,"Out")</f>
        <v>9905717</v>
      </c>
      <c r="K1108" s="52">
        <f ca="1">SUMIFS(OUT!$F$2:$F$11000,OUT!$H$2:$H$11000,H1108,OUT!$D$2:$D$11000,"Out",OUT!$E$2:$E$11000,"Fix")</f>
        <v>3048680</v>
      </c>
      <c r="L1108" s="52">
        <f ca="1">SUMIFS(OUT!$F$2:$F$11000,OUT!$H$2:$H$11000,H1108,OUT!$D$2:$D$11000,"Out",OUT!$E$2:$E$11000,"Bathroom")</f>
        <v>50720</v>
      </c>
      <c r="M1108" s="52">
        <f ca="1">SUMIFS(OUT!$F$2:$F$11000,OUT!$H$2:$H$11000,H1108,OUT!$D$2:$D$11000,"Out",OUT!$E$2:$E$11000,"Alfa")</f>
        <v>294200</v>
      </c>
      <c r="N1108" s="52" t="e">
        <f ca="1">SUMIFS(OUT!$F$2:$F$11000,OUT!$H$2:$H$101007,H1108,OUT!$D$2:$D$11000,"Out",OUT!$E$2:$E$11000,"Jajan")</f>
        <v>#VALUE!</v>
      </c>
      <c r="O1108" s="52">
        <f ca="1">SUMIFS(OUT!$F$2:$F$11000,OUT!$H$2:$H$11000,H1108,OUT!$D$2:$D$11000,"Out",OUT!$E$2:$E$11000,"Kitchen")</f>
        <v>1360773</v>
      </c>
      <c r="P1108" s="52">
        <f ca="1">SUMIFS(OUT!$F$2:$F$11000,OUT!$H$2:$H$11000,H1108,OUT!$D$2:$D$11000,"Out",OUT!$E$2:$E$11000,"Loandry")</f>
        <v>11000</v>
      </c>
      <c r="Q1108" s="52">
        <f ca="1">SUMIFS(OUT!$F$2:$F$11000,OUT!$H$2:$H$11000,H1108,OUT!$D$2:$D$11000,"Out",OUT!$E$2:$E$11000,"Mio")</f>
        <v>338500</v>
      </c>
      <c r="R1108" s="52">
        <f ca="1">SUMIFS(OUT!$F$2:$F$11000,OUT!$H$2:$H$11000,H1108,OUT!$D$2:$D$11000,"Out",OUT!$E$2:$E$11000,"Sedekah")</f>
        <v>2500</v>
      </c>
      <c r="S1108" s="52">
        <f ca="1">SUMIFS(OUT!$F$2:$F$11000,OUT!$H$2:$H$11000,H1108,OUT!$D$2:$D$11000,"Out",OUT!$E$2:$E$11000,"Zela")</f>
        <v>387476</v>
      </c>
      <c r="T1108" s="52">
        <f ca="1">SUMIFS(OUT!$F$2:$F$11000,OUT!$H$2:$H$11000,H1108,OUT!$D$2:$D$11000,"Out",OUT!$E$2:$E$11000,"Iqbal")</f>
        <v>231000</v>
      </c>
    </row>
    <row r="1109" spans="1:20" x14ac:dyDescent="0.2">
      <c r="A1109" s="48">
        <f ca="1">IFERROR(__xludf.DUMMYFUNCTION("""COMPUTED_VALUE"""),46220)</f>
        <v>46220</v>
      </c>
      <c r="B1109" s="4" t="str">
        <f ca="1">IFERROR(__xludf.DUMMYFUNCTION("""COMPUTED_VALUE"""),"Pasar Kaget+ parkir ")</f>
        <v xml:space="preserve">Pasar Kaget+ parkir </v>
      </c>
      <c r="C1109" s="4" t="str">
        <f ca="1">IFERROR(__xludf.DUMMYFUNCTION("""COMPUTED_VALUE"""),"Cash")</f>
        <v>Cash</v>
      </c>
      <c r="D1109" s="4" t="str">
        <f ca="1">IFERROR(__xludf.DUMMYFUNCTION("""COMPUTED_VALUE"""),"Out")</f>
        <v>Out</v>
      </c>
      <c r="E1109" s="4" t="str">
        <f ca="1">IFERROR(__xludf.DUMMYFUNCTION("""COMPUTED_VALUE"""),"Kitchen")</f>
        <v>Kitchen</v>
      </c>
      <c r="F1109" s="49">
        <f ca="1">IFERROR(__xludf.DUMMYFUNCTION("""COMPUTED_VALUE"""),111000)</f>
        <v>111000</v>
      </c>
      <c r="G1109" s="50" t="str">
        <f ca="1">IFERROR(__xludf.DUMMYFUNCTION("""COMPUTED_VALUE"""),"Zela")</f>
        <v>Zela</v>
      </c>
      <c r="H1109" s="51">
        <f t="shared" ca="1" si="0"/>
        <v>46204</v>
      </c>
      <c r="I1109" s="52" t="e">
        <f ca="1">SUMIFS(OUT!$F$2:$F$11000,OUT!$H$2:$H$11000,H1109,OUT!$D$2:$D$101007,"In")</f>
        <v>#VALUE!</v>
      </c>
      <c r="J1109" s="52">
        <f ca="1">SUMIFS(OUT!$F$2:$F$11000,OUT!$H$2:$H$11000,H1109,OUT!$D$2:$D$11000,"Out")</f>
        <v>9905717</v>
      </c>
      <c r="K1109" s="52">
        <f ca="1">SUMIFS(OUT!$F$2:$F$11000,OUT!$H$2:$H$11000,H1109,OUT!$D$2:$D$11000,"Out",OUT!$E$2:$E$11000,"Fix")</f>
        <v>3048680</v>
      </c>
      <c r="L1109" s="52">
        <f ca="1">SUMIFS(OUT!$F$2:$F$11000,OUT!$H$2:$H$11000,H1109,OUT!$D$2:$D$11000,"Out",OUT!$E$2:$E$11000,"Bathroom")</f>
        <v>50720</v>
      </c>
      <c r="M1109" s="52">
        <f ca="1">SUMIFS(OUT!$F$2:$F$11000,OUT!$H$2:$H$11000,H1109,OUT!$D$2:$D$11000,"Out",OUT!$E$2:$E$11000,"Alfa")</f>
        <v>294200</v>
      </c>
      <c r="N1109" s="52" t="e">
        <f ca="1">SUMIFS(OUT!$F$2:$F$11000,OUT!$H$2:$H$101007,H1109,OUT!$D$2:$D$11000,"Out",OUT!$E$2:$E$11000,"Jajan")</f>
        <v>#VALUE!</v>
      </c>
      <c r="O1109" s="52">
        <f ca="1">SUMIFS(OUT!$F$2:$F$11000,OUT!$H$2:$H$11000,H1109,OUT!$D$2:$D$11000,"Out",OUT!$E$2:$E$11000,"Kitchen")</f>
        <v>1360773</v>
      </c>
      <c r="P1109" s="52">
        <f ca="1">SUMIFS(OUT!$F$2:$F$11000,OUT!$H$2:$H$11000,H1109,OUT!$D$2:$D$11000,"Out",OUT!$E$2:$E$11000,"Loandry")</f>
        <v>11000</v>
      </c>
      <c r="Q1109" s="52">
        <f ca="1">SUMIFS(OUT!$F$2:$F$11000,OUT!$H$2:$H$11000,H1109,OUT!$D$2:$D$11000,"Out",OUT!$E$2:$E$11000,"Mio")</f>
        <v>338500</v>
      </c>
      <c r="R1109" s="52">
        <f ca="1">SUMIFS(OUT!$F$2:$F$11000,OUT!$H$2:$H$11000,H1109,OUT!$D$2:$D$11000,"Out",OUT!$E$2:$E$11000,"Sedekah")</f>
        <v>2500</v>
      </c>
      <c r="S1109" s="52">
        <f ca="1">SUMIFS(OUT!$F$2:$F$11000,OUT!$H$2:$H$11000,H1109,OUT!$D$2:$D$11000,"Out",OUT!$E$2:$E$11000,"Zela")</f>
        <v>387476</v>
      </c>
      <c r="T1109" s="52">
        <f ca="1">SUMIFS(OUT!$F$2:$F$11000,OUT!$H$2:$H$11000,H1109,OUT!$D$2:$D$11000,"Out",OUT!$E$2:$E$11000,"Iqbal")</f>
        <v>231000</v>
      </c>
    </row>
    <row r="1110" spans="1:20" x14ac:dyDescent="0.2">
      <c r="A1110" s="48">
        <f ca="1">IFERROR(__xludf.DUMMYFUNCTION("""COMPUTED_VALUE"""),46215)</f>
        <v>46215</v>
      </c>
      <c r="B1110" s="4" t="str">
        <f ca="1">IFERROR(__xludf.DUMMYFUNCTION("""COMPUTED_VALUE"""),"Dana Lebih 10 rb Mainan Alfa")</f>
        <v>Dana Lebih 10 rb Mainan Alfa</v>
      </c>
      <c r="C1110" s="4" t="str">
        <f ca="1">IFERROR(__xludf.DUMMYFUNCTION("""COMPUTED_VALUE"""),"ATM")</f>
        <v>ATM</v>
      </c>
      <c r="D1110" s="4" t="str">
        <f ca="1">IFERROR(__xludf.DUMMYFUNCTION("""COMPUTED_VALUE"""),"Out")</f>
        <v>Out</v>
      </c>
      <c r="E1110" s="4" t="str">
        <f ca="1">IFERROR(__xludf.DUMMYFUNCTION("""COMPUTED_VALUE"""),"Move")</f>
        <v>Move</v>
      </c>
      <c r="F1110" s="49">
        <f ca="1">IFERROR(__xludf.DUMMYFUNCTION("""COMPUTED_VALUE"""),10000)</f>
        <v>10000</v>
      </c>
      <c r="G1110" s="50" t="str">
        <f ca="1">IFERROR(__xludf.DUMMYFUNCTION("""COMPUTED_VALUE"""),"Zela")</f>
        <v>Zela</v>
      </c>
      <c r="H1110" s="51">
        <f t="shared" ca="1" si="0"/>
        <v>46204</v>
      </c>
      <c r="I1110" s="52" t="e">
        <f ca="1">SUMIFS(OUT!$F$2:$F$11000,OUT!$H$2:$H$11000,H1110,OUT!$D$2:$D$101007,"In")</f>
        <v>#VALUE!</v>
      </c>
      <c r="J1110" s="52">
        <f ca="1">SUMIFS(OUT!$F$2:$F$11000,OUT!$H$2:$H$11000,H1110,OUT!$D$2:$D$11000,"Out")</f>
        <v>9905717</v>
      </c>
      <c r="K1110" s="52">
        <f ca="1">SUMIFS(OUT!$F$2:$F$11000,OUT!$H$2:$H$11000,H1110,OUT!$D$2:$D$11000,"Out",OUT!$E$2:$E$11000,"Fix")</f>
        <v>3048680</v>
      </c>
      <c r="L1110" s="52">
        <f ca="1">SUMIFS(OUT!$F$2:$F$11000,OUT!$H$2:$H$11000,H1110,OUT!$D$2:$D$11000,"Out",OUT!$E$2:$E$11000,"Bathroom")</f>
        <v>50720</v>
      </c>
      <c r="M1110" s="52">
        <f ca="1">SUMIFS(OUT!$F$2:$F$11000,OUT!$H$2:$H$11000,H1110,OUT!$D$2:$D$11000,"Out",OUT!$E$2:$E$11000,"Alfa")</f>
        <v>294200</v>
      </c>
      <c r="N1110" s="52" t="e">
        <f ca="1">SUMIFS(OUT!$F$2:$F$11000,OUT!$H$2:$H$101007,H1110,OUT!$D$2:$D$11000,"Out",OUT!$E$2:$E$11000,"Jajan")</f>
        <v>#VALUE!</v>
      </c>
      <c r="O1110" s="52">
        <f ca="1">SUMIFS(OUT!$F$2:$F$11000,OUT!$H$2:$H$11000,H1110,OUT!$D$2:$D$11000,"Out",OUT!$E$2:$E$11000,"Kitchen")</f>
        <v>1360773</v>
      </c>
      <c r="P1110" s="52">
        <f ca="1">SUMIFS(OUT!$F$2:$F$11000,OUT!$H$2:$H$11000,H1110,OUT!$D$2:$D$11000,"Out",OUT!$E$2:$E$11000,"Loandry")</f>
        <v>11000</v>
      </c>
      <c r="Q1110" s="52">
        <f ca="1">SUMIFS(OUT!$F$2:$F$11000,OUT!$H$2:$H$11000,H1110,OUT!$D$2:$D$11000,"Out",OUT!$E$2:$E$11000,"Mio")</f>
        <v>338500</v>
      </c>
      <c r="R1110" s="52">
        <f ca="1">SUMIFS(OUT!$F$2:$F$11000,OUT!$H$2:$H$11000,H1110,OUT!$D$2:$D$11000,"Out",OUT!$E$2:$E$11000,"Sedekah")</f>
        <v>2500</v>
      </c>
      <c r="S1110" s="52">
        <f ca="1">SUMIFS(OUT!$F$2:$F$11000,OUT!$H$2:$H$11000,H1110,OUT!$D$2:$D$11000,"Out",OUT!$E$2:$E$11000,"Zela")</f>
        <v>387476</v>
      </c>
      <c r="T1110" s="52">
        <f ca="1">SUMIFS(OUT!$F$2:$F$11000,OUT!$H$2:$H$11000,H1110,OUT!$D$2:$D$11000,"Out",OUT!$E$2:$E$11000,"Iqbal")</f>
        <v>231000</v>
      </c>
    </row>
    <row r="1111" spans="1:20" x14ac:dyDescent="0.2">
      <c r="A1111" s="48">
        <f ca="1">IFERROR(__xludf.DUMMYFUNCTION("""COMPUTED_VALUE"""),46215)</f>
        <v>46215</v>
      </c>
      <c r="B1111" s="4" t="str">
        <f ca="1">IFERROR(__xludf.DUMMYFUNCTION("""COMPUTED_VALUE"""),"cash dana ")</f>
        <v xml:space="preserve">cash dana </v>
      </c>
      <c r="C1111" s="4" t="str">
        <f ca="1">IFERROR(__xludf.DUMMYFUNCTION("""COMPUTED_VALUE"""),"Cash")</f>
        <v>Cash</v>
      </c>
      <c r="D1111" s="4" t="str">
        <f ca="1">IFERROR(__xludf.DUMMYFUNCTION("""COMPUTED_VALUE"""),"In")</f>
        <v>In</v>
      </c>
      <c r="E1111" s="4" t="str">
        <f ca="1">IFERROR(__xludf.DUMMYFUNCTION("""COMPUTED_VALUE"""),"Move")</f>
        <v>Move</v>
      </c>
      <c r="F1111" s="49">
        <f ca="1">IFERROR(__xludf.DUMMYFUNCTION("""COMPUTED_VALUE"""),10000)</f>
        <v>10000</v>
      </c>
      <c r="G1111" s="50" t="str">
        <f ca="1">IFERROR(__xludf.DUMMYFUNCTION("""COMPUTED_VALUE"""),"Zela")</f>
        <v>Zela</v>
      </c>
      <c r="H1111" s="51">
        <f t="shared" ca="1" si="0"/>
        <v>46204</v>
      </c>
      <c r="I1111" s="52" t="e">
        <f ca="1">SUMIFS(OUT!$F$2:$F$11000,OUT!$H$2:$H$11000,H1111,OUT!$D$2:$D$101007,"In")</f>
        <v>#VALUE!</v>
      </c>
      <c r="J1111" s="52">
        <f ca="1">SUMIFS(OUT!$F$2:$F$11000,OUT!$H$2:$H$11000,H1111,OUT!$D$2:$D$11000,"Out")</f>
        <v>9905717</v>
      </c>
      <c r="K1111" s="52">
        <f ca="1">SUMIFS(OUT!$F$2:$F$11000,OUT!$H$2:$H$11000,H1111,OUT!$D$2:$D$11000,"Out",OUT!$E$2:$E$11000,"Fix")</f>
        <v>3048680</v>
      </c>
      <c r="L1111" s="52">
        <f ca="1">SUMIFS(OUT!$F$2:$F$11000,OUT!$H$2:$H$11000,H1111,OUT!$D$2:$D$11000,"Out",OUT!$E$2:$E$11000,"Bathroom")</f>
        <v>50720</v>
      </c>
      <c r="M1111" s="52">
        <f ca="1">SUMIFS(OUT!$F$2:$F$11000,OUT!$H$2:$H$11000,H1111,OUT!$D$2:$D$11000,"Out",OUT!$E$2:$E$11000,"Alfa")</f>
        <v>294200</v>
      </c>
      <c r="N1111" s="52" t="e">
        <f ca="1">SUMIFS(OUT!$F$2:$F$11000,OUT!$H$2:$H$101007,H1111,OUT!$D$2:$D$11000,"Out",OUT!$E$2:$E$11000,"Jajan")</f>
        <v>#VALUE!</v>
      </c>
      <c r="O1111" s="52">
        <f ca="1">SUMIFS(OUT!$F$2:$F$11000,OUT!$H$2:$H$11000,H1111,OUT!$D$2:$D$11000,"Out",OUT!$E$2:$E$11000,"Kitchen")</f>
        <v>1360773</v>
      </c>
      <c r="P1111" s="52">
        <f ca="1">SUMIFS(OUT!$F$2:$F$11000,OUT!$H$2:$H$11000,H1111,OUT!$D$2:$D$11000,"Out",OUT!$E$2:$E$11000,"Loandry")</f>
        <v>11000</v>
      </c>
      <c r="Q1111" s="52">
        <f ca="1">SUMIFS(OUT!$F$2:$F$11000,OUT!$H$2:$H$11000,H1111,OUT!$D$2:$D$11000,"Out",OUT!$E$2:$E$11000,"Mio")</f>
        <v>338500</v>
      </c>
      <c r="R1111" s="52">
        <f ca="1">SUMIFS(OUT!$F$2:$F$11000,OUT!$H$2:$H$11000,H1111,OUT!$D$2:$D$11000,"Out",OUT!$E$2:$E$11000,"Sedekah")</f>
        <v>2500</v>
      </c>
      <c r="S1111" s="52">
        <f ca="1">SUMIFS(OUT!$F$2:$F$11000,OUT!$H$2:$H$11000,H1111,OUT!$D$2:$D$11000,"Out",OUT!$E$2:$E$11000,"Zela")</f>
        <v>387476</v>
      </c>
      <c r="T1111" s="52">
        <f ca="1">SUMIFS(OUT!$F$2:$F$11000,OUT!$H$2:$H$11000,H1111,OUT!$D$2:$D$11000,"Out",OUT!$E$2:$E$11000,"Iqbal")</f>
        <v>231000</v>
      </c>
    </row>
    <row r="1112" spans="1:20" x14ac:dyDescent="0.2">
      <c r="A1112" s="48">
        <f ca="1">IFERROR(__xludf.DUMMYFUNCTION("""COMPUTED_VALUE"""),46216)</f>
        <v>46216</v>
      </c>
      <c r="B1112" s="4" t="str">
        <f ca="1">IFERROR(__xludf.DUMMYFUNCTION("""COMPUTED_VALUE"""),"Saldo Tiktok 2")</f>
        <v>Saldo Tiktok 2</v>
      </c>
      <c r="C1112" s="4" t="str">
        <f ca="1">IFERROR(__xludf.DUMMYFUNCTION("""COMPUTED_VALUE"""),"ATM")</f>
        <v>ATM</v>
      </c>
      <c r="D1112" s="4" t="str">
        <f ca="1">IFERROR(__xludf.DUMMYFUNCTION("""COMPUTED_VALUE"""),"In")</f>
        <v>In</v>
      </c>
      <c r="E1112" s="4" t="str">
        <f ca="1">IFERROR(__xludf.DUMMYFUNCTION("""COMPUTED_VALUE"""),"Fix")</f>
        <v>Fix</v>
      </c>
      <c r="F1112" s="49">
        <f ca="1">IFERROR(__xludf.DUMMYFUNCTION("""COMPUTED_VALUE"""),144300)</f>
        <v>144300</v>
      </c>
      <c r="G1112" s="50" t="str">
        <f ca="1">IFERROR(__xludf.DUMMYFUNCTION("""COMPUTED_VALUE"""),"Zela")</f>
        <v>Zela</v>
      </c>
      <c r="H1112" s="51">
        <f t="shared" ca="1" si="0"/>
        <v>46204</v>
      </c>
      <c r="I1112" s="52" t="e">
        <f ca="1">SUMIFS(OUT!$F$2:$F$11000,OUT!$H$2:$H$11000,H1112,OUT!$D$2:$D$101007,"In")</f>
        <v>#VALUE!</v>
      </c>
      <c r="J1112" s="52">
        <f ca="1">SUMIFS(OUT!$F$2:$F$11000,OUT!$H$2:$H$11000,H1112,OUT!$D$2:$D$11000,"Out")</f>
        <v>9905717</v>
      </c>
      <c r="K1112" s="52">
        <f ca="1">SUMIFS(OUT!$F$2:$F$11000,OUT!$H$2:$H$11000,H1112,OUT!$D$2:$D$11000,"Out",OUT!$E$2:$E$11000,"Fix")</f>
        <v>3048680</v>
      </c>
      <c r="L1112" s="52">
        <f ca="1">SUMIFS(OUT!$F$2:$F$11000,OUT!$H$2:$H$11000,H1112,OUT!$D$2:$D$11000,"Out",OUT!$E$2:$E$11000,"Bathroom")</f>
        <v>50720</v>
      </c>
      <c r="M1112" s="52">
        <f ca="1">SUMIFS(OUT!$F$2:$F$11000,OUT!$H$2:$H$11000,H1112,OUT!$D$2:$D$11000,"Out",OUT!$E$2:$E$11000,"Alfa")</f>
        <v>294200</v>
      </c>
      <c r="N1112" s="52" t="e">
        <f ca="1">SUMIFS(OUT!$F$2:$F$11000,OUT!$H$2:$H$101007,H1112,OUT!$D$2:$D$11000,"Out",OUT!$E$2:$E$11000,"Jajan")</f>
        <v>#VALUE!</v>
      </c>
      <c r="O1112" s="52">
        <f ca="1">SUMIFS(OUT!$F$2:$F$11000,OUT!$H$2:$H$11000,H1112,OUT!$D$2:$D$11000,"Out",OUT!$E$2:$E$11000,"Kitchen")</f>
        <v>1360773</v>
      </c>
      <c r="P1112" s="52">
        <f ca="1">SUMIFS(OUT!$F$2:$F$11000,OUT!$H$2:$H$11000,H1112,OUT!$D$2:$D$11000,"Out",OUT!$E$2:$E$11000,"Loandry")</f>
        <v>11000</v>
      </c>
      <c r="Q1112" s="52">
        <f ca="1">SUMIFS(OUT!$F$2:$F$11000,OUT!$H$2:$H$11000,H1112,OUT!$D$2:$D$11000,"Out",OUT!$E$2:$E$11000,"Mio")</f>
        <v>338500</v>
      </c>
      <c r="R1112" s="52">
        <f ca="1">SUMIFS(OUT!$F$2:$F$11000,OUT!$H$2:$H$11000,H1112,OUT!$D$2:$D$11000,"Out",OUT!$E$2:$E$11000,"Sedekah")</f>
        <v>2500</v>
      </c>
      <c r="S1112" s="52">
        <f ca="1">SUMIFS(OUT!$F$2:$F$11000,OUT!$H$2:$H$11000,H1112,OUT!$D$2:$D$11000,"Out",OUT!$E$2:$E$11000,"Zela")</f>
        <v>387476</v>
      </c>
      <c r="T1112" s="52">
        <f ca="1">SUMIFS(OUT!$F$2:$F$11000,OUT!$H$2:$H$11000,H1112,OUT!$D$2:$D$11000,"Out",OUT!$E$2:$E$11000,"Iqbal")</f>
        <v>231000</v>
      </c>
    </row>
    <row r="1113" spans="1:20" x14ac:dyDescent="0.2">
      <c r="A1113" s="48">
        <f ca="1">IFERROR(__xludf.DUMMYFUNCTION("""COMPUTED_VALUE"""),46216)</f>
        <v>46216</v>
      </c>
      <c r="B1113" s="4" t="str">
        <f ca="1">IFERROR(__xludf.DUMMYFUNCTION("""COMPUTED_VALUE"""),"Tarik tunai ")</f>
        <v xml:space="preserve">Tarik tunai </v>
      </c>
      <c r="C1113" s="4" t="str">
        <f ca="1">IFERROR(__xludf.DUMMYFUNCTION("""COMPUTED_VALUE"""),"ATM")</f>
        <v>ATM</v>
      </c>
      <c r="D1113" s="4" t="str">
        <f ca="1">IFERROR(__xludf.DUMMYFUNCTION("""COMPUTED_VALUE"""),"Out")</f>
        <v>Out</v>
      </c>
      <c r="E1113" s="4" t="str">
        <f ca="1">IFERROR(__xludf.DUMMYFUNCTION("""COMPUTED_VALUE"""),"Move")</f>
        <v>Move</v>
      </c>
      <c r="F1113" s="49">
        <f ca="1">IFERROR(__xludf.DUMMYFUNCTION("""COMPUTED_VALUE"""),100000)</f>
        <v>100000</v>
      </c>
      <c r="G1113" s="50" t="str">
        <f ca="1">IFERROR(__xludf.DUMMYFUNCTION("""COMPUTED_VALUE"""),"Zela")</f>
        <v>Zela</v>
      </c>
      <c r="H1113" s="51">
        <f t="shared" ca="1" si="0"/>
        <v>46204</v>
      </c>
      <c r="I1113" s="52" t="e">
        <f ca="1">SUMIFS(OUT!$F$2:$F$11000,OUT!$H$2:$H$11000,H1113,OUT!$D$2:$D$101007,"In")</f>
        <v>#VALUE!</v>
      </c>
      <c r="J1113" s="52">
        <f ca="1">SUMIFS(OUT!$F$2:$F$11000,OUT!$H$2:$H$11000,H1113,OUT!$D$2:$D$11000,"Out")</f>
        <v>9905717</v>
      </c>
      <c r="K1113" s="52">
        <f ca="1">SUMIFS(OUT!$F$2:$F$11000,OUT!$H$2:$H$11000,H1113,OUT!$D$2:$D$11000,"Out",OUT!$E$2:$E$11000,"Fix")</f>
        <v>3048680</v>
      </c>
      <c r="L1113" s="52">
        <f ca="1">SUMIFS(OUT!$F$2:$F$11000,OUT!$H$2:$H$11000,H1113,OUT!$D$2:$D$11000,"Out",OUT!$E$2:$E$11000,"Bathroom")</f>
        <v>50720</v>
      </c>
      <c r="M1113" s="52">
        <f ca="1">SUMIFS(OUT!$F$2:$F$11000,OUT!$H$2:$H$11000,H1113,OUT!$D$2:$D$11000,"Out",OUT!$E$2:$E$11000,"Alfa")</f>
        <v>294200</v>
      </c>
      <c r="N1113" s="52" t="e">
        <f ca="1">SUMIFS(OUT!$F$2:$F$11000,OUT!$H$2:$H$101007,H1113,OUT!$D$2:$D$11000,"Out",OUT!$E$2:$E$11000,"Jajan")</f>
        <v>#VALUE!</v>
      </c>
      <c r="O1113" s="52">
        <f ca="1">SUMIFS(OUT!$F$2:$F$11000,OUT!$H$2:$H$11000,H1113,OUT!$D$2:$D$11000,"Out",OUT!$E$2:$E$11000,"Kitchen")</f>
        <v>1360773</v>
      </c>
      <c r="P1113" s="52">
        <f ca="1">SUMIFS(OUT!$F$2:$F$11000,OUT!$H$2:$H$11000,H1113,OUT!$D$2:$D$11000,"Out",OUT!$E$2:$E$11000,"Loandry")</f>
        <v>11000</v>
      </c>
      <c r="Q1113" s="52">
        <f ca="1">SUMIFS(OUT!$F$2:$F$11000,OUT!$H$2:$H$11000,H1113,OUT!$D$2:$D$11000,"Out",OUT!$E$2:$E$11000,"Mio")</f>
        <v>338500</v>
      </c>
      <c r="R1113" s="52">
        <f ca="1">SUMIFS(OUT!$F$2:$F$11000,OUT!$H$2:$H$11000,H1113,OUT!$D$2:$D$11000,"Out",OUT!$E$2:$E$11000,"Sedekah")</f>
        <v>2500</v>
      </c>
      <c r="S1113" s="52">
        <f ca="1">SUMIFS(OUT!$F$2:$F$11000,OUT!$H$2:$H$11000,H1113,OUT!$D$2:$D$11000,"Out",OUT!$E$2:$E$11000,"Zela")</f>
        <v>387476</v>
      </c>
      <c r="T1113" s="52">
        <f ca="1">SUMIFS(OUT!$F$2:$F$11000,OUT!$H$2:$H$11000,H1113,OUT!$D$2:$D$11000,"Out",OUT!$E$2:$E$11000,"Iqbal")</f>
        <v>231000</v>
      </c>
    </row>
    <row r="1114" spans="1:20" x14ac:dyDescent="0.2">
      <c r="A1114" s="48">
        <f ca="1">IFERROR(__xludf.DUMMYFUNCTION("""COMPUTED_VALUE"""),46216)</f>
        <v>46216</v>
      </c>
      <c r="B1114" s="4" t="str">
        <f ca="1">IFERROR(__xludf.DUMMYFUNCTION("""COMPUTED_VALUE"""),"Terima Tunai ")</f>
        <v xml:space="preserve">Terima Tunai </v>
      </c>
      <c r="C1114" s="4" t="str">
        <f ca="1">IFERROR(__xludf.DUMMYFUNCTION("""COMPUTED_VALUE"""),"Cash")</f>
        <v>Cash</v>
      </c>
      <c r="D1114" s="4" t="str">
        <f ca="1">IFERROR(__xludf.DUMMYFUNCTION("""COMPUTED_VALUE"""),"In")</f>
        <v>In</v>
      </c>
      <c r="E1114" s="4" t="str">
        <f ca="1">IFERROR(__xludf.DUMMYFUNCTION("""COMPUTED_VALUE"""),"Move")</f>
        <v>Move</v>
      </c>
      <c r="F1114" s="49">
        <f ca="1">IFERROR(__xludf.DUMMYFUNCTION("""COMPUTED_VALUE"""),100000)</f>
        <v>100000</v>
      </c>
      <c r="G1114" s="50" t="str">
        <f ca="1">IFERROR(__xludf.DUMMYFUNCTION("""COMPUTED_VALUE"""),"Zela")</f>
        <v>Zela</v>
      </c>
      <c r="H1114" s="51">
        <f t="shared" ca="1" si="0"/>
        <v>46204</v>
      </c>
      <c r="I1114" s="52" t="e">
        <f ca="1">SUMIFS(OUT!$F$2:$F$11000,OUT!$H$2:$H$11000,H1114,OUT!$D$2:$D$101007,"In")</f>
        <v>#VALUE!</v>
      </c>
      <c r="J1114" s="52">
        <f ca="1">SUMIFS(OUT!$F$2:$F$11000,OUT!$H$2:$H$11000,H1114,OUT!$D$2:$D$11000,"Out")</f>
        <v>9905717</v>
      </c>
      <c r="K1114" s="52">
        <f ca="1">SUMIFS(OUT!$F$2:$F$11000,OUT!$H$2:$H$11000,H1114,OUT!$D$2:$D$11000,"Out",OUT!$E$2:$E$11000,"Fix")</f>
        <v>3048680</v>
      </c>
      <c r="L1114" s="52">
        <f ca="1">SUMIFS(OUT!$F$2:$F$11000,OUT!$H$2:$H$11000,H1114,OUT!$D$2:$D$11000,"Out",OUT!$E$2:$E$11000,"Bathroom")</f>
        <v>50720</v>
      </c>
      <c r="M1114" s="52">
        <f ca="1">SUMIFS(OUT!$F$2:$F$11000,OUT!$H$2:$H$11000,H1114,OUT!$D$2:$D$11000,"Out",OUT!$E$2:$E$11000,"Alfa")</f>
        <v>294200</v>
      </c>
      <c r="N1114" s="52" t="e">
        <f ca="1">SUMIFS(OUT!$F$2:$F$11000,OUT!$H$2:$H$101007,H1114,OUT!$D$2:$D$11000,"Out",OUT!$E$2:$E$11000,"Jajan")</f>
        <v>#VALUE!</v>
      </c>
      <c r="O1114" s="52">
        <f ca="1">SUMIFS(OUT!$F$2:$F$11000,OUT!$H$2:$H$11000,H1114,OUT!$D$2:$D$11000,"Out",OUT!$E$2:$E$11000,"Kitchen")</f>
        <v>1360773</v>
      </c>
      <c r="P1114" s="52">
        <f ca="1">SUMIFS(OUT!$F$2:$F$11000,OUT!$H$2:$H$11000,H1114,OUT!$D$2:$D$11000,"Out",OUT!$E$2:$E$11000,"Loandry")</f>
        <v>11000</v>
      </c>
      <c r="Q1114" s="52">
        <f ca="1">SUMIFS(OUT!$F$2:$F$11000,OUT!$H$2:$H$11000,H1114,OUT!$D$2:$D$11000,"Out",OUT!$E$2:$E$11000,"Mio")</f>
        <v>338500</v>
      </c>
      <c r="R1114" s="52">
        <f ca="1">SUMIFS(OUT!$F$2:$F$11000,OUT!$H$2:$H$11000,H1114,OUT!$D$2:$D$11000,"Out",OUT!$E$2:$E$11000,"Sedekah")</f>
        <v>2500</v>
      </c>
      <c r="S1114" s="52">
        <f ca="1">SUMIFS(OUT!$F$2:$F$11000,OUT!$H$2:$H$11000,H1114,OUT!$D$2:$D$11000,"Out",OUT!$E$2:$E$11000,"Zela")</f>
        <v>387476</v>
      </c>
      <c r="T1114" s="52">
        <f ca="1">SUMIFS(OUT!$F$2:$F$11000,OUT!$H$2:$H$11000,H1114,OUT!$D$2:$D$11000,"Out",OUT!$E$2:$E$11000,"Iqbal")</f>
        <v>231000</v>
      </c>
    </row>
    <row r="1115" spans="1:20" x14ac:dyDescent="0.2">
      <c r="A1115" s="48">
        <f ca="1">IFERROR(__xludf.DUMMYFUNCTION("""COMPUTED_VALUE"""),46216)</f>
        <v>46216</v>
      </c>
      <c r="B1115" s="4" t="str">
        <f ca="1">IFERROR(__xludf.DUMMYFUNCTION("""COMPUTED_VALUE"""),"jajan alfa ")</f>
        <v xml:space="preserve">jajan alfa </v>
      </c>
      <c r="C1115" s="4" t="str">
        <f ca="1">IFERROR(__xludf.DUMMYFUNCTION("""COMPUTED_VALUE"""),"Cash")</f>
        <v>Cash</v>
      </c>
      <c r="D1115" s="4" t="str">
        <f ca="1">IFERROR(__xludf.DUMMYFUNCTION("""COMPUTED_VALUE"""),"Out")</f>
        <v>Out</v>
      </c>
      <c r="E1115" s="4" t="str">
        <f ca="1">IFERROR(__xludf.DUMMYFUNCTION("""COMPUTED_VALUE"""),"Jajan")</f>
        <v>Jajan</v>
      </c>
      <c r="F1115" s="49">
        <f ca="1">IFERROR(__xludf.DUMMYFUNCTION("""COMPUTED_VALUE"""),4000)</f>
        <v>4000</v>
      </c>
      <c r="G1115" s="50" t="str">
        <f ca="1">IFERROR(__xludf.DUMMYFUNCTION("""COMPUTED_VALUE"""),"Zela")</f>
        <v>Zela</v>
      </c>
      <c r="H1115" s="51">
        <f t="shared" ca="1" si="0"/>
        <v>46204</v>
      </c>
      <c r="I1115" s="52" t="e">
        <f ca="1">SUMIFS(OUT!$F$2:$F$11000,OUT!$H$2:$H$11000,H1115,OUT!$D$2:$D$101007,"In")</f>
        <v>#VALUE!</v>
      </c>
      <c r="J1115" s="52">
        <f ca="1">SUMIFS(OUT!$F$2:$F$11000,OUT!$H$2:$H$11000,H1115,OUT!$D$2:$D$11000,"Out")</f>
        <v>9905717</v>
      </c>
      <c r="K1115" s="52">
        <f ca="1">SUMIFS(OUT!$F$2:$F$11000,OUT!$H$2:$H$11000,H1115,OUT!$D$2:$D$11000,"Out",OUT!$E$2:$E$11000,"Fix")</f>
        <v>3048680</v>
      </c>
      <c r="L1115" s="52">
        <f ca="1">SUMIFS(OUT!$F$2:$F$11000,OUT!$H$2:$H$11000,H1115,OUT!$D$2:$D$11000,"Out",OUT!$E$2:$E$11000,"Bathroom")</f>
        <v>50720</v>
      </c>
      <c r="M1115" s="52">
        <f ca="1">SUMIFS(OUT!$F$2:$F$11000,OUT!$H$2:$H$11000,H1115,OUT!$D$2:$D$11000,"Out",OUT!$E$2:$E$11000,"Alfa")</f>
        <v>294200</v>
      </c>
      <c r="N1115" s="52" t="e">
        <f ca="1">SUMIFS(OUT!$F$2:$F$11000,OUT!$H$2:$H$101007,H1115,OUT!$D$2:$D$11000,"Out",OUT!$E$2:$E$11000,"Jajan")</f>
        <v>#VALUE!</v>
      </c>
      <c r="O1115" s="52">
        <f ca="1">SUMIFS(OUT!$F$2:$F$11000,OUT!$H$2:$H$11000,H1115,OUT!$D$2:$D$11000,"Out",OUT!$E$2:$E$11000,"Kitchen")</f>
        <v>1360773</v>
      </c>
      <c r="P1115" s="52">
        <f ca="1">SUMIFS(OUT!$F$2:$F$11000,OUT!$H$2:$H$11000,H1115,OUT!$D$2:$D$11000,"Out",OUT!$E$2:$E$11000,"Loandry")</f>
        <v>11000</v>
      </c>
      <c r="Q1115" s="52">
        <f ca="1">SUMIFS(OUT!$F$2:$F$11000,OUT!$H$2:$H$11000,H1115,OUT!$D$2:$D$11000,"Out",OUT!$E$2:$E$11000,"Mio")</f>
        <v>338500</v>
      </c>
      <c r="R1115" s="52">
        <f ca="1">SUMIFS(OUT!$F$2:$F$11000,OUT!$H$2:$H$11000,H1115,OUT!$D$2:$D$11000,"Out",OUT!$E$2:$E$11000,"Sedekah")</f>
        <v>2500</v>
      </c>
      <c r="S1115" s="52">
        <f ca="1">SUMIFS(OUT!$F$2:$F$11000,OUT!$H$2:$H$11000,H1115,OUT!$D$2:$D$11000,"Out",OUT!$E$2:$E$11000,"Zela")</f>
        <v>387476</v>
      </c>
      <c r="T1115" s="52">
        <f ca="1">SUMIFS(OUT!$F$2:$F$11000,OUT!$H$2:$H$11000,H1115,OUT!$D$2:$D$11000,"Out",OUT!$E$2:$E$11000,"Iqbal")</f>
        <v>231000</v>
      </c>
    </row>
    <row r="1116" spans="1:20" x14ac:dyDescent="0.2">
      <c r="A1116" s="48">
        <f ca="1">IFERROR(__xludf.DUMMYFUNCTION("""COMPUTED_VALUE"""),46217)</f>
        <v>46217</v>
      </c>
      <c r="B1116" s="4" t="str">
        <f ca="1">IFERROR(__xludf.DUMMYFUNCTION("""COMPUTED_VALUE"""),"alfa ")</f>
        <v xml:space="preserve">alfa </v>
      </c>
      <c r="C1116" s="4" t="str">
        <f ca="1">IFERROR(__xludf.DUMMYFUNCTION("""COMPUTED_VALUE"""),"Cash")</f>
        <v>Cash</v>
      </c>
      <c r="D1116" s="4" t="str">
        <f ca="1">IFERROR(__xludf.DUMMYFUNCTION("""COMPUTED_VALUE"""),"Out")</f>
        <v>Out</v>
      </c>
      <c r="E1116" s="4" t="str">
        <f ca="1">IFERROR(__xludf.DUMMYFUNCTION("""COMPUTED_VALUE"""),"Jajan")</f>
        <v>Jajan</v>
      </c>
      <c r="F1116" s="49">
        <f ca="1">IFERROR(__xludf.DUMMYFUNCTION("""COMPUTED_VALUE"""),5000)</f>
        <v>5000</v>
      </c>
      <c r="G1116" s="50" t="str">
        <f ca="1">IFERROR(__xludf.DUMMYFUNCTION("""COMPUTED_VALUE"""),"Zela")</f>
        <v>Zela</v>
      </c>
      <c r="H1116" s="51">
        <f t="shared" ca="1" si="0"/>
        <v>46204</v>
      </c>
      <c r="I1116" s="52" t="e">
        <f ca="1">SUMIFS(OUT!$F$2:$F$11000,OUT!$H$2:$H$11000,H1116,OUT!$D$2:$D$101007,"In")</f>
        <v>#VALUE!</v>
      </c>
      <c r="J1116" s="52">
        <f ca="1">SUMIFS(OUT!$F$2:$F$11000,OUT!$H$2:$H$11000,H1116,OUT!$D$2:$D$11000,"Out")</f>
        <v>9905717</v>
      </c>
      <c r="K1116" s="52">
        <f ca="1">SUMIFS(OUT!$F$2:$F$11000,OUT!$H$2:$H$11000,H1116,OUT!$D$2:$D$11000,"Out",OUT!$E$2:$E$11000,"Fix")</f>
        <v>3048680</v>
      </c>
      <c r="L1116" s="52">
        <f ca="1">SUMIFS(OUT!$F$2:$F$11000,OUT!$H$2:$H$11000,H1116,OUT!$D$2:$D$11000,"Out",OUT!$E$2:$E$11000,"Bathroom")</f>
        <v>50720</v>
      </c>
      <c r="M1116" s="52">
        <f ca="1">SUMIFS(OUT!$F$2:$F$11000,OUT!$H$2:$H$11000,H1116,OUT!$D$2:$D$11000,"Out",OUT!$E$2:$E$11000,"Alfa")</f>
        <v>294200</v>
      </c>
      <c r="N1116" s="52" t="e">
        <f ca="1">SUMIFS(OUT!$F$2:$F$11000,OUT!$H$2:$H$101007,H1116,OUT!$D$2:$D$11000,"Out",OUT!$E$2:$E$11000,"Jajan")</f>
        <v>#VALUE!</v>
      </c>
      <c r="O1116" s="52">
        <f ca="1">SUMIFS(OUT!$F$2:$F$11000,OUT!$H$2:$H$11000,H1116,OUT!$D$2:$D$11000,"Out",OUT!$E$2:$E$11000,"Kitchen")</f>
        <v>1360773</v>
      </c>
      <c r="P1116" s="52">
        <f ca="1">SUMIFS(OUT!$F$2:$F$11000,OUT!$H$2:$H$11000,H1116,OUT!$D$2:$D$11000,"Out",OUT!$E$2:$E$11000,"Loandry")</f>
        <v>11000</v>
      </c>
      <c r="Q1116" s="52">
        <f ca="1">SUMIFS(OUT!$F$2:$F$11000,OUT!$H$2:$H$11000,H1116,OUT!$D$2:$D$11000,"Out",OUT!$E$2:$E$11000,"Mio")</f>
        <v>338500</v>
      </c>
      <c r="R1116" s="52">
        <f ca="1">SUMIFS(OUT!$F$2:$F$11000,OUT!$H$2:$H$11000,H1116,OUT!$D$2:$D$11000,"Out",OUT!$E$2:$E$11000,"Sedekah")</f>
        <v>2500</v>
      </c>
      <c r="S1116" s="52">
        <f ca="1">SUMIFS(OUT!$F$2:$F$11000,OUT!$H$2:$H$11000,H1116,OUT!$D$2:$D$11000,"Out",OUT!$E$2:$E$11000,"Zela")</f>
        <v>387476</v>
      </c>
      <c r="T1116" s="52">
        <f ca="1">SUMIFS(OUT!$F$2:$F$11000,OUT!$H$2:$H$11000,H1116,OUT!$D$2:$D$11000,"Out",OUT!$E$2:$E$11000,"Iqbal")</f>
        <v>231000</v>
      </c>
    </row>
    <row r="1117" spans="1:20" x14ac:dyDescent="0.2">
      <c r="A1117" s="48">
        <f ca="1">IFERROR(__xludf.DUMMYFUNCTION("""COMPUTED_VALUE"""),46217)</f>
        <v>46217</v>
      </c>
      <c r="B1117" s="4" t="str">
        <f ca="1">IFERROR(__xludf.DUMMYFUNCTION("""COMPUTED_VALUE"""),"Galon ")</f>
        <v xml:space="preserve">Galon </v>
      </c>
      <c r="C1117" s="4" t="str">
        <f ca="1">IFERROR(__xludf.DUMMYFUNCTION("""COMPUTED_VALUE"""),"Cash")</f>
        <v>Cash</v>
      </c>
      <c r="D1117" s="4" t="str">
        <f ca="1">IFERROR(__xludf.DUMMYFUNCTION("""COMPUTED_VALUE"""),"Out")</f>
        <v>Out</v>
      </c>
      <c r="E1117" s="4" t="str">
        <f ca="1">IFERROR(__xludf.DUMMYFUNCTION("""COMPUTED_VALUE"""),"Kitchen")</f>
        <v>Kitchen</v>
      </c>
      <c r="F1117" s="49">
        <f ca="1">IFERROR(__xludf.DUMMYFUNCTION("""COMPUTED_VALUE"""),5000)</f>
        <v>5000</v>
      </c>
      <c r="G1117" s="50" t="str">
        <f ca="1">IFERROR(__xludf.DUMMYFUNCTION("""COMPUTED_VALUE"""),"Zela")</f>
        <v>Zela</v>
      </c>
      <c r="H1117" s="51">
        <f t="shared" ca="1" si="0"/>
        <v>46204</v>
      </c>
      <c r="I1117" s="52" t="e">
        <f ca="1">SUMIFS(OUT!$F$2:$F$11000,OUT!$H$2:$H$11000,H1117,OUT!$D$2:$D$101007,"In")</f>
        <v>#VALUE!</v>
      </c>
      <c r="J1117" s="52">
        <f ca="1">SUMIFS(OUT!$F$2:$F$11000,OUT!$H$2:$H$11000,H1117,OUT!$D$2:$D$11000,"Out")</f>
        <v>9905717</v>
      </c>
      <c r="K1117" s="52">
        <f ca="1">SUMIFS(OUT!$F$2:$F$11000,OUT!$H$2:$H$11000,H1117,OUT!$D$2:$D$11000,"Out",OUT!$E$2:$E$11000,"Fix")</f>
        <v>3048680</v>
      </c>
      <c r="L1117" s="52">
        <f ca="1">SUMIFS(OUT!$F$2:$F$11000,OUT!$H$2:$H$11000,H1117,OUT!$D$2:$D$11000,"Out",OUT!$E$2:$E$11000,"Bathroom")</f>
        <v>50720</v>
      </c>
      <c r="M1117" s="52">
        <f ca="1">SUMIFS(OUT!$F$2:$F$11000,OUT!$H$2:$H$11000,H1117,OUT!$D$2:$D$11000,"Out",OUT!$E$2:$E$11000,"Alfa")</f>
        <v>294200</v>
      </c>
      <c r="N1117" s="52" t="e">
        <f ca="1">SUMIFS(OUT!$F$2:$F$11000,OUT!$H$2:$H$101007,H1117,OUT!$D$2:$D$11000,"Out",OUT!$E$2:$E$11000,"Jajan")</f>
        <v>#VALUE!</v>
      </c>
      <c r="O1117" s="52">
        <f ca="1">SUMIFS(OUT!$F$2:$F$11000,OUT!$H$2:$H$11000,H1117,OUT!$D$2:$D$11000,"Out",OUT!$E$2:$E$11000,"Kitchen")</f>
        <v>1360773</v>
      </c>
      <c r="P1117" s="52">
        <f ca="1">SUMIFS(OUT!$F$2:$F$11000,OUT!$H$2:$H$11000,H1117,OUT!$D$2:$D$11000,"Out",OUT!$E$2:$E$11000,"Loandry")</f>
        <v>11000</v>
      </c>
      <c r="Q1117" s="52">
        <f ca="1">SUMIFS(OUT!$F$2:$F$11000,OUT!$H$2:$H$11000,H1117,OUT!$D$2:$D$11000,"Out",OUT!$E$2:$E$11000,"Mio")</f>
        <v>338500</v>
      </c>
      <c r="R1117" s="52">
        <f ca="1">SUMIFS(OUT!$F$2:$F$11000,OUT!$H$2:$H$11000,H1117,OUT!$D$2:$D$11000,"Out",OUT!$E$2:$E$11000,"Sedekah")</f>
        <v>2500</v>
      </c>
      <c r="S1117" s="52">
        <f ca="1">SUMIFS(OUT!$F$2:$F$11000,OUT!$H$2:$H$11000,H1117,OUT!$D$2:$D$11000,"Out",OUT!$E$2:$E$11000,"Zela")</f>
        <v>387476</v>
      </c>
      <c r="T1117" s="52">
        <f ca="1">SUMIFS(OUT!$F$2:$F$11000,OUT!$H$2:$H$11000,H1117,OUT!$D$2:$D$11000,"Out",OUT!$E$2:$E$11000,"Iqbal")</f>
        <v>231000</v>
      </c>
    </row>
    <row r="1118" spans="1:20" x14ac:dyDescent="0.2">
      <c r="A1118" s="48">
        <f ca="1">IFERROR(__xludf.DUMMYFUNCTION("""COMPUTED_VALUE"""),46216)</f>
        <v>46216</v>
      </c>
      <c r="B1118" s="4" t="str">
        <f ca="1">IFERROR(__xludf.DUMMYFUNCTION("""COMPUTED_VALUE"""),"pasar kaget ")</f>
        <v xml:space="preserve">pasar kaget </v>
      </c>
      <c r="C1118" s="4" t="str">
        <f ca="1">IFERROR(__xludf.DUMMYFUNCTION("""COMPUTED_VALUE"""),"Cash")</f>
        <v>Cash</v>
      </c>
      <c r="D1118" s="4" t="str">
        <f ca="1">IFERROR(__xludf.DUMMYFUNCTION("""COMPUTED_VALUE"""),"Out")</f>
        <v>Out</v>
      </c>
      <c r="E1118" s="4" t="str">
        <f ca="1">IFERROR(__xludf.DUMMYFUNCTION("""COMPUTED_VALUE"""),"Kitchen")</f>
        <v>Kitchen</v>
      </c>
      <c r="F1118" s="49">
        <f ca="1">IFERROR(__xludf.DUMMYFUNCTION("""COMPUTED_VALUE"""),86000)</f>
        <v>86000</v>
      </c>
      <c r="G1118" s="50" t="str">
        <f ca="1">IFERROR(__xludf.DUMMYFUNCTION("""COMPUTED_VALUE"""),"Zela")</f>
        <v>Zela</v>
      </c>
      <c r="H1118" s="51">
        <f t="shared" ca="1" si="0"/>
        <v>46204</v>
      </c>
      <c r="I1118" s="52" t="e">
        <f ca="1">SUMIFS(OUT!$F$2:$F$11000,OUT!$H$2:$H$11000,H1118,OUT!$D$2:$D$101007,"In")</f>
        <v>#VALUE!</v>
      </c>
      <c r="J1118" s="52">
        <f ca="1">SUMIFS(OUT!$F$2:$F$11000,OUT!$H$2:$H$11000,H1118,OUT!$D$2:$D$11000,"Out")</f>
        <v>9905717</v>
      </c>
      <c r="K1118" s="52">
        <f ca="1">SUMIFS(OUT!$F$2:$F$11000,OUT!$H$2:$H$11000,H1118,OUT!$D$2:$D$11000,"Out",OUT!$E$2:$E$11000,"Fix")</f>
        <v>3048680</v>
      </c>
      <c r="L1118" s="52">
        <f ca="1">SUMIFS(OUT!$F$2:$F$11000,OUT!$H$2:$H$11000,H1118,OUT!$D$2:$D$11000,"Out",OUT!$E$2:$E$11000,"Bathroom")</f>
        <v>50720</v>
      </c>
      <c r="M1118" s="52">
        <f ca="1">SUMIFS(OUT!$F$2:$F$11000,OUT!$H$2:$H$11000,H1118,OUT!$D$2:$D$11000,"Out",OUT!$E$2:$E$11000,"Alfa")</f>
        <v>294200</v>
      </c>
      <c r="N1118" s="52" t="e">
        <f ca="1">SUMIFS(OUT!$F$2:$F$11000,OUT!$H$2:$H$101007,H1118,OUT!$D$2:$D$11000,"Out",OUT!$E$2:$E$11000,"Jajan")</f>
        <v>#VALUE!</v>
      </c>
      <c r="O1118" s="52">
        <f ca="1">SUMIFS(OUT!$F$2:$F$11000,OUT!$H$2:$H$11000,H1118,OUT!$D$2:$D$11000,"Out",OUT!$E$2:$E$11000,"Kitchen")</f>
        <v>1360773</v>
      </c>
      <c r="P1118" s="52">
        <f ca="1">SUMIFS(OUT!$F$2:$F$11000,OUT!$H$2:$H$11000,H1118,OUT!$D$2:$D$11000,"Out",OUT!$E$2:$E$11000,"Loandry")</f>
        <v>11000</v>
      </c>
      <c r="Q1118" s="52">
        <f ca="1">SUMIFS(OUT!$F$2:$F$11000,OUT!$H$2:$H$11000,H1118,OUT!$D$2:$D$11000,"Out",OUT!$E$2:$E$11000,"Mio")</f>
        <v>338500</v>
      </c>
      <c r="R1118" s="52">
        <f ca="1">SUMIFS(OUT!$F$2:$F$11000,OUT!$H$2:$H$11000,H1118,OUT!$D$2:$D$11000,"Out",OUT!$E$2:$E$11000,"Sedekah")</f>
        <v>2500</v>
      </c>
      <c r="S1118" s="52">
        <f ca="1">SUMIFS(OUT!$F$2:$F$11000,OUT!$H$2:$H$11000,H1118,OUT!$D$2:$D$11000,"Out",OUT!$E$2:$E$11000,"Zela")</f>
        <v>387476</v>
      </c>
      <c r="T1118" s="52">
        <f ca="1">SUMIFS(OUT!$F$2:$F$11000,OUT!$H$2:$H$11000,H1118,OUT!$D$2:$D$11000,"Out",OUT!$E$2:$E$11000,"Iqbal")</f>
        <v>231000</v>
      </c>
    </row>
    <row r="1119" spans="1:20" x14ac:dyDescent="0.2">
      <c r="A1119" s="48">
        <f ca="1">IFERROR(__xludf.DUMMYFUNCTION("""COMPUTED_VALUE"""),46217)</f>
        <v>46217</v>
      </c>
      <c r="B1119" s="4" t="str">
        <f ca="1">IFERROR(__xludf.DUMMYFUNCTION("""COMPUTED_VALUE"""),"susu Alfa ( shopee ) ")</f>
        <v xml:space="preserve">susu Alfa ( shopee ) </v>
      </c>
      <c r="C1119" s="4" t="str">
        <f ca="1">IFERROR(__xludf.DUMMYFUNCTION("""COMPUTED_VALUE"""),"ATM")</f>
        <v>ATM</v>
      </c>
      <c r="D1119" s="4" t="str">
        <f ca="1">IFERROR(__xludf.DUMMYFUNCTION("""COMPUTED_VALUE"""),"Out")</f>
        <v>Out</v>
      </c>
      <c r="E1119" s="4" t="str">
        <f ca="1">IFERROR(__xludf.DUMMYFUNCTION("""COMPUTED_VALUE"""),"Alfa")</f>
        <v>Alfa</v>
      </c>
      <c r="F1119" s="49">
        <f ca="1">IFERROR(__xludf.DUMMYFUNCTION("""COMPUTED_VALUE"""),30500)</f>
        <v>30500</v>
      </c>
      <c r="G1119" s="50" t="str">
        <f ca="1">IFERROR(__xludf.DUMMYFUNCTION("""COMPUTED_VALUE"""),"Zela")</f>
        <v>Zela</v>
      </c>
      <c r="H1119" s="51">
        <f t="shared" ca="1" si="0"/>
        <v>46204</v>
      </c>
      <c r="I1119" s="52" t="e">
        <f ca="1">SUMIFS(OUT!$F$2:$F$11000,OUT!$H$2:$H$11000,H1119,OUT!$D$2:$D$101007,"In")</f>
        <v>#VALUE!</v>
      </c>
      <c r="J1119" s="52">
        <f ca="1">SUMIFS(OUT!$F$2:$F$11000,OUT!$H$2:$H$11000,H1119,OUT!$D$2:$D$11000,"Out")</f>
        <v>9905717</v>
      </c>
      <c r="K1119" s="52">
        <f ca="1">SUMIFS(OUT!$F$2:$F$11000,OUT!$H$2:$H$11000,H1119,OUT!$D$2:$D$11000,"Out",OUT!$E$2:$E$11000,"Fix")</f>
        <v>3048680</v>
      </c>
      <c r="L1119" s="52">
        <f ca="1">SUMIFS(OUT!$F$2:$F$11000,OUT!$H$2:$H$11000,H1119,OUT!$D$2:$D$11000,"Out",OUT!$E$2:$E$11000,"Bathroom")</f>
        <v>50720</v>
      </c>
      <c r="M1119" s="52">
        <f ca="1">SUMIFS(OUT!$F$2:$F$11000,OUT!$H$2:$H$11000,H1119,OUT!$D$2:$D$11000,"Out",OUT!$E$2:$E$11000,"Alfa")</f>
        <v>294200</v>
      </c>
      <c r="N1119" s="52" t="e">
        <f ca="1">SUMIFS(OUT!$F$2:$F$11000,OUT!$H$2:$H$101007,H1119,OUT!$D$2:$D$11000,"Out",OUT!$E$2:$E$11000,"Jajan")</f>
        <v>#VALUE!</v>
      </c>
      <c r="O1119" s="52">
        <f ca="1">SUMIFS(OUT!$F$2:$F$11000,OUT!$H$2:$H$11000,H1119,OUT!$D$2:$D$11000,"Out",OUT!$E$2:$E$11000,"Kitchen")</f>
        <v>1360773</v>
      </c>
      <c r="P1119" s="52">
        <f ca="1">SUMIFS(OUT!$F$2:$F$11000,OUT!$H$2:$H$11000,H1119,OUT!$D$2:$D$11000,"Out",OUT!$E$2:$E$11000,"Loandry")</f>
        <v>11000</v>
      </c>
      <c r="Q1119" s="52">
        <f ca="1">SUMIFS(OUT!$F$2:$F$11000,OUT!$H$2:$H$11000,H1119,OUT!$D$2:$D$11000,"Out",OUT!$E$2:$E$11000,"Mio")</f>
        <v>338500</v>
      </c>
      <c r="R1119" s="52">
        <f ca="1">SUMIFS(OUT!$F$2:$F$11000,OUT!$H$2:$H$11000,H1119,OUT!$D$2:$D$11000,"Out",OUT!$E$2:$E$11000,"Sedekah")</f>
        <v>2500</v>
      </c>
      <c r="S1119" s="52">
        <f ca="1">SUMIFS(OUT!$F$2:$F$11000,OUT!$H$2:$H$11000,H1119,OUT!$D$2:$D$11000,"Out",OUT!$E$2:$E$11000,"Zela")</f>
        <v>387476</v>
      </c>
      <c r="T1119" s="52">
        <f ca="1">SUMIFS(OUT!$F$2:$F$11000,OUT!$H$2:$H$11000,H1119,OUT!$D$2:$D$11000,"Out",OUT!$E$2:$E$11000,"Iqbal")</f>
        <v>231000</v>
      </c>
    </row>
    <row r="1120" spans="1:20" x14ac:dyDescent="0.2">
      <c r="A1120" s="48">
        <f ca="1">IFERROR(__xludf.DUMMYFUNCTION("""COMPUTED_VALUE"""),46217)</f>
        <v>46217</v>
      </c>
      <c r="B1120" s="4" t="str">
        <f ca="1">IFERROR(__xludf.DUMMYFUNCTION("""COMPUTED_VALUE"""),"spons cupir+brosmandi(shopee)")</f>
        <v>spons cupir+brosmandi(shopee)</v>
      </c>
      <c r="C1120" s="4" t="str">
        <f ca="1">IFERROR(__xludf.DUMMYFUNCTION("""COMPUTED_VALUE"""),"ATM")</f>
        <v>ATM</v>
      </c>
      <c r="D1120" s="4" t="str">
        <f ca="1">IFERROR(__xludf.DUMMYFUNCTION("""COMPUTED_VALUE"""),"Out")</f>
        <v>Out</v>
      </c>
      <c r="E1120" s="4" t="str">
        <f ca="1">IFERROR(__xludf.DUMMYFUNCTION("""COMPUTED_VALUE"""),"Bathroom")</f>
        <v>Bathroom</v>
      </c>
      <c r="F1120" s="49">
        <f ca="1">IFERROR(__xludf.DUMMYFUNCTION("""COMPUTED_VALUE"""),15720)</f>
        <v>15720</v>
      </c>
      <c r="G1120" s="50" t="str">
        <f ca="1">IFERROR(__xludf.DUMMYFUNCTION("""COMPUTED_VALUE"""),"Zela")</f>
        <v>Zela</v>
      </c>
      <c r="H1120" s="51">
        <f t="shared" ca="1" si="0"/>
        <v>46204</v>
      </c>
      <c r="I1120" s="52" t="e">
        <f ca="1">SUMIFS(OUT!$F$2:$F$11000,OUT!$H$2:$H$11000,H1120,OUT!$D$2:$D$101007,"In")</f>
        <v>#VALUE!</v>
      </c>
      <c r="J1120" s="52">
        <f ca="1">SUMIFS(OUT!$F$2:$F$11000,OUT!$H$2:$H$11000,H1120,OUT!$D$2:$D$11000,"Out")</f>
        <v>9905717</v>
      </c>
      <c r="K1120" s="52">
        <f ca="1">SUMIFS(OUT!$F$2:$F$11000,OUT!$H$2:$H$11000,H1120,OUT!$D$2:$D$11000,"Out",OUT!$E$2:$E$11000,"Fix")</f>
        <v>3048680</v>
      </c>
      <c r="L1120" s="52">
        <f ca="1">SUMIFS(OUT!$F$2:$F$11000,OUT!$H$2:$H$11000,H1120,OUT!$D$2:$D$11000,"Out",OUT!$E$2:$E$11000,"Bathroom")</f>
        <v>50720</v>
      </c>
      <c r="M1120" s="52">
        <f ca="1">SUMIFS(OUT!$F$2:$F$11000,OUT!$H$2:$H$11000,H1120,OUT!$D$2:$D$11000,"Out",OUT!$E$2:$E$11000,"Alfa")</f>
        <v>294200</v>
      </c>
      <c r="N1120" s="52" t="e">
        <f ca="1">SUMIFS(OUT!$F$2:$F$11000,OUT!$H$2:$H$101007,H1120,OUT!$D$2:$D$11000,"Out",OUT!$E$2:$E$11000,"Jajan")</f>
        <v>#VALUE!</v>
      </c>
      <c r="O1120" s="52">
        <f ca="1">SUMIFS(OUT!$F$2:$F$11000,OUT!$H$2:$H$11000,H1120,OUT!$D$2:$D$11000,"Out",OUT!$E$2:$E$11000,"Kitchen")</f>
        <v>1360773</v>
      </c>
      <c r="P1120" s="52">
        <f ca="1">SUMIFS(OUT!$F$2:$F$11000,OUT!$H$2:$H$11000,H1120,OUT!$D$2:$D$11000,"Out",OUT!$E$2:$E$11000,"Loandry")</f>
        <v>11000</v>
      </c>
      <c r="Q1120" s="52">
        <f ca="1">SUMIFS(OUT!$F$2:$F$11000,OUT!$H$2:$H$11000,H1120,OUT!$D$2:$D$11000,"Out",OUT!$E$2:$E$11000,"Mio")</f>
        <v>338500</v>
      </c>
      <c r="R1120" s="52">
        <f ca="1">SUMIFS(OUT!$F$2:$F$11000,OUT!$H$2:$H$11000,H1120,OUT!$D$2:$D$11000,"Out",OUT!$E$2:$E$11000,"Sedekah")</f>
        <v>2500</v>
      </c>
      <c r="S1120" s="52">
        <f ca="1">SUMIFS(OUT!$F$2:$F$11000,OUT!$H$2:$H$11000,H1120,OUT!$D$2:$D$11000,"Out",OUT!$E$2:$E$11000,"Zela")</f>
        <v>387476</v>
      </c>
      <c r="T1120" s="52">
        <f ca="1">SUMIFS(OUT!$F$2:$F$11000,OUT!$H$2:$H$11000,H1120,OUT!$D$2:$D$11000,"Out",OUT!$E$2:$E$11000,"Iqbal")</f>
        <v>231000</v>
      </c>
    </row>
    <row r="1121" spans="1:20" x14ac:dyDescent="0.2">
      <c r="A1121" s="48">
        <f ca="1">IFERROR(__xludf.DUMMYFUNCTION("""COMPUTED_VALUE"""),46217)</f>
        <v>46217</v>
      </c>
      <c r="B1121" s="4" t="str">
        <f ca="1">IFERROR(__xludf.DUMMYFUNCTION("""COMPUTED_VALUE"""),"seabank ")</f>
        <v xml:space="preserve">seabank </v>
      </c>
      <c r="C1121" s="4" t="str">
        <f ca="1">IFERROR(__xludf.DUMMYFUNCTION("""COMPUTED_VALUE"""),"ATM")</f>
        <v>ATM</v>
      </c>
      <c r="D1121" s="4" t="str">
        <f ca="1">IFERROR(__xludf.DUMMYFUNCTION("""COMPUTED_VALUE"""),"In")</f>
        <v>In</v>
      </c>
      <c r="E1121" s="4" t="str">
        <f ca="1">IFERROR(__xludf.DUMMYFUNCTION("""COMPUTED_VALUE"""),"Move")</f>
        <v>Move</v>
      </c>
      <c r="F1121" s="49">
        <f ca="1">IFERROR(__xludf.DUMMYFUNCTION("""COMPUTED_VALUE"""),25010)</f>
        <v>25010</v>
      </c>
      <c r="G1121" s="50" t="str">
        <f ca="1">IFERROR(__xludf.DUMMYFUNCTION("""COMPUTED_VALUE"""),"Zela")</f>
        <v>Zela</v>
      </c>
      <c r="H1121" s="51">
        <f t="shared" ca="1" si="0"/>
        <v>46204</v>
      </c>
      <c r="I1121" s="52" t="e">
        <f ca="1">SUMIFS(OUT!$F$2:$F$11000,OUT!$H$2:$H$11000,H1121,OUT!$D$2:$D$101007,"In")</f>
        <v>#VALUE!</v>
      </c>
      <c r="J1121" s="52">
        <f ca="1">SUMIFS(OUT!$F$2:$F$11000,OUT!$H$2:$H$11000,H1121,OUT!$D$2:$D$11000,"Out")</f>
        <v>9905717</v>
      </c>
      <c r="K1121" s="52">
        <f ca="1">SUMIFS(OUT!$F$2:$F$11000,OUT!$H$2:$H$11000,H1121,OUT!$D$2:$D$11000,"Out",OUT!$E$2:$E$11000,"Fix")</f>
        <v>3048680</v>
      </c>
      <c r="L1121" s="52">
        <f ca="1">SUMIFS(OUT!$F$2:$F$11000,OUT!$H$2:$H$11000,H1121,OUT!$D$2:$D$11000,"Out",OUT!$E$2:$E$11000,"Bathroom")</f>
        <v>50720</v>
      </c>
      <c r="M1121" s="52">
        <f ca="1">SUMIFS(OUT!$F$2:$F$11000,OUT!$H$2:$H$11000,H1121,OUT!$D$2:$D$11000,"Out",OUT!$E$2:$E$11000,"Alfa")</f>
        <v>294200</v>
      </c>
      <c r="N1121" s="52" t="e">
        <f ca="1">SUMIFS(OUT!$F$2:$F$11000,OUT!$H$2:$H$101007,H1121,OUT!$D$2:$D$11000,"Out",OUT!$E$2:$E$11000,"Jajan")</f>
        <v>#VALUE!</v>
      </c>
      <c r="O1121" s="52">
        <f ca="1">SUMIFS(OUT!$F$2:$F$11000,OUT!$H$2:$H$11000,H1121,OUT!$D$2:$D$11000,"Out",OUT!$E$2:$E$11000,"Kitchen")</f>
        <v>1360773</v>
      </c>
      <c r="P1121" s="52">
        <f ca="1">SUMIFS(OUT!$F$2:$F$11000,OUT!$H$2:$H$11000,H1121,OUT!$D$2:$D$11000,"Out",OUT!$E$2:$E$11000,"Loandry")</f>
        <v>11000</v>
      </c>
      <c r="Q1121" s="52">
        <f ca="1">SUMIFS(OUT!$F$2:$F$11000,OUT!$H$2:$H$11000,H1121,OUT!$D$2:$D$11000,"Out",OUT!$E$2:$E$11000,"Mio")</f>
        <v>338500</v>
      </c>
      <c r="R1121" s="52">
        <f ca="1">SUMIFS(OUT!$F$2:$F$11000,OUT!$H$2:$H$11000,H1121,OUT!$D$2:$D$11000,"Out",OUT!$E$2:$E$11000,"Sedekah")</f>
        <v>2500</v>
      </c>
      <c r="S1121" s="52">
        <f ca="1">SUMIFS(OUT!$F$2:$F$11000,OUT!$H$2:$H$11000,H1121,OUT!$D$2:$D$11000,"Out",OUT!$E$2:$E$11000,"Zela")</f>
        <v>387476</v>
      </c>
      <c r="T1121" s="52">
        <f ca="1">SUMIFS(OUT!$F$2:$F$11000,OUT!$H$2:$H$11000,H1121,OUT!$D$2:$D$11000,"Out",OUT!$E$2:$E$11000,"Iqbal")</f>
        <v>231000</v>
      </c>
    </row>
    <row r="1122" spans="1:20" x14ac:dyDescent="0.2">
      <c r="A1122" s="48">
        <f ca="1">IFERROR(__xludf.DUMMYFUNCTION("""COMPUTED_VALUE"""),46218)</f>
        <v>46218</v>
      </c>
      <c r="B1122" s="4" t="str">
        <f ca="1">IFERROR(__xludf.DUMMYFUNCTION("""COMPUTED_VALUE"""),"bensin")</f>
        <v>bensin</v>
      </c>
      <c r="C1122" s="4" t="str">
        <f ca="1">IFERROR(__xludf.DUMMYFUNCTION("""COMPUTED_VALUE"""),"Cash")</f>
        <v>Cash</v>
      </c>
      <c r="D1122" s="4" t="str">
        <f ca="1">IFERROR(__xludf.DUMMYFUNCTION("""COMPUTED_VALUE"""),"Out")</f>
        <v>Out</v>
      </c>
      <c r="E1122" s="4" t="str">
        <f ca="1">IFERROR(__xludf.DUMMYFUNCTION("""COMPUTED_VALUE"""),"Mio")</f>
        <v>Mio</v>
      </c>
      <c r="F1122" s="49">
        <f ca="1">IFERROR(__xludf.DUMMYFUNCTION("""COMPUTED_VALUE"""),14500)</f>
        <v>14500</v>
      </c>
      <c r="G1122" s="50" t="str">
        <f ca="1">IFERROR(__xludf.DUMMYFUNCTION("""COMPUTED_VALUE"""),"Zela")</f>
        <v>Zela</v>
      </c>
      <c r="H1122" s="51">
        <f t="shared" ca="1" si="0"/>
        <v>46204</v>
      </c>
      <c r="I1122" s="52" t="e">
        <f ca="1">SUMIFS(OUT!$F$2:$F$11000,OUT!$H$2:$H$11000,H1122,OUT!$D$2:$D$101007,"In")</f>
        <v>#VALUE!</v>
      </c>
      <c r="J1122" s="52">
        <f ca="1">SUMIFS(OUT!$F$2:$F$11000,OUT!$H$2:$H$11000,H1122,OUT!$D$2:$D$11000,"Out")</f>
        <v>9905717</v>
      </c>
      <c r="K1122" s="52">
        <f ca="1">SUMIFS(OUT!$F$2:$F$11000,OUT!$H$2:$H$11000,H1122,OUT!$D$2:$D$11000,"Out",OUT!$E$2:$E$11000,"Fix")</f>
        <v>3048680</v>
      </c>
      <c r="L1122" s="52">
        <f ca="1">SUMIFS(OUT!$F$2:$F$11000,OUT!$H$2:$H$11000,H1122,OUT!$D$2:$D$11000,"Out",OUT!$E$2:$E$11000,"Bathroom")</f>
        <v>50720</v>
      </c>
      <c r="M1122" s="52">
        <f ca="1">SUMIFS(OUT!$F$2:$F$11000,OUT!$H$2:$H$11000,H1122,OUT!$D$2:$D$11000,"Out",OUT!$E$2:$E$11000,"Alfa")</f>
        <v>294200</v>
      </c>
      <c r="N1122" s="52" t="e">
        <f ca="1">SUMIFS(OUT!$F$2:$F$11000,OUT!$H$2:$H$101007,H1122,OUT!$D$2:$D$11000,"Out",OUT!$E$2:$E$11000,"Jajan")</f>
        <v>#VALUE!</v>
      </c>
      <c r="O1122" s="52">
        <f ca="1">SUMIFS(OUT!$F$2:$F$11000,OUT!$H$2:$H$11000,H1122,OUT!$D$2:$D$11000,"Out",OUT!$E$2:$E$11000,"Kitchen")</f>
        <v>1360773</v>
      </c>
      <c r="P1122" s="52">
        <f ca="1">SUMIFS(OUT!$F$2:$F$11000,OUT!$H$2:$H$11000,H1122,OUT!$D$2:$D$11000,"Out",OUT!$E$2:$E$11000,"Loandry")</f>
        <v>11000</v>
      </c>
      <c r="Q1122" s="52">
        <f ca="1">SUMIFS(OUT!$F$2:$F$11000,OUT!$H$2:$H$11000,H1122,OUT!$D$2:$D$11000,"Out",OUT!$E$2:$E$11000,"Mio")</f>
        <v>338500</v>
      </c>
      <c r="R1122" s="52">
        <f ca="1">SUMIFS(OUT!$F$2:$F$11000,OUT!$H$2:$H$11000,H1122,OUT!$D$2:$D$11000,"Out",OUT!$E$2:$E$11000,"Sedekah")</f>
        <v>2500</v>
      </c>
      <c r="S1122" s="52">
        <f ca="1">SUMIFS(OUT!$F$2:$F$11000,OUT!$H$2:$H$11000,H1122,OUT!$D$2:$D$11000,"Out",OUT!$E$2:$E$11000,"Zela")</f>
        <v>387476</v>
      </c>
      <c r="T1122" s="52">
        <f ca="1">SUMIFS(OUT!$F$2:$F$11000,OUT!$H$2:$H$11000,H1122,OUT!$D$2:$D$11000,"Out",OUT!$E$2:$E$11000,"Iqbal")</f>
        <v>231000</v>
      </c>
    </row>
    <row r="1123" spans="1:20" x14ac:dyDescent="0.2">
      <c r="A1123" s="48">
        <f ca="1">IFERROR(__xludf.DUMMYFUNCTION("""COMPUTED_VALUE"""),46218)</f>
        <v>46218</v>
      </c>
      <c r="B1123" s="4" t="str">
        <f ca="1">IFERROR(__xludf.DUMMYFUNCTION("""COMPUTED_VALUE"""),"Saldo Tiktok 1")</f>
        <v>Saldo Tiktok 1</v>
      </c>
      <c r="C1123" s="4" t="str">
        <f ca="1">IFERROR(__xludf.DUMMYFUNCTION("""COMPUTED_VALUE"""),"ATM")</f>
        <v>ATM</v>
      </c>
      <c r="D1123" s="4" t="str">
        <f ca="1">IFERROR(__xludf.DUMMYFUNCTION("""COMPUTED_VALUE"""),"In")</f>
        <v>In</v>
      </c>
      <c r="E1123" s="4" t="str">
        <f ca="1">IFERROR(__xludf.DUMMYFUNCTION("""COMPUTED_VALUE"""),"Fix")</f>
        <v>Fix</v>
      </c>
      <c r="F1123" s="49">
        <f ca="1">IFERROR(__xludf.DUMMYFUNCTION("""COMPUTED_VALUE"""),303108)</f>
        <v>303108</v>
      </c>
      <c r="G1123" s="50" t="str">
        <f ca="1">IFERROR(__xludf.DUMMYFUNCTION("""COMPUTED_VALUE"""),"Zela")</f>
        <v>Zela</v>
      </c>
      <c r="H1123" s="51">
        <f t="shared" ca="1" si="0"/>
        <v>46204</v>
      </c>
      <c r="I1123" s="52" t="e">
        <f ca="1">SUMIFS(OUT!$F$2:$F$11000,OUT!$H$2:$H$11000,H1123,OUT!$D$2:$D$101007,"In")</f>
        <v>#VALUE!</v>
      </c>
      <c r="J1123" s="52">
        <f ca="1">SUMIFS(OUT!$F$2:$F$11000,OUT!$H$2:$H$11000,H1123,OUT!$D$2:$D$11000,"Out")</f>
        <v>9905717</v>
      </c>
      <c r="K1123" s="52">
        <f ca="1">SUMIFS(OUT!$F$2:$F$11000,OUT!$H$2:$H$11000,H1123,OUT!$D$2:$D$11000,"Out",OUT!$E$2:$E$11000,"Fix")</f>
        <v>3048680</v>
      </c>
      <c r="L1123" s="52">
        <f ca="1">SUMIFS(OUT!$F$2:$F$11000,OUT!$H$2:$H$11000,H1123,OUT!$D$2:$D$11000,"Out",OUT!$E$2:$E$11000,"Bathroom")</f>
        <v>50720</v>
      </c>
      <c r="M1123" s="52">
        <f ca="1">SUMIFS(OUT!$F$2:$F$11000,OUT!$H$2:$H$11000,H1123,OUT!$D$2:$D$11000,"Out",OUT!$E$2:$E$11000,"Alfa")</f>
        <v>294200</v>
      </c>
      <c r="N1123" s="52" t="e">
        <f ca="1">SUMIFS(OUT!$F$2:$F$11000,OUT!$H$2:$H$101007,H1123,OUT!$D$2:$D$11000,"Out",OUT!$E$2:$E$11000,"Jajan")</f>
        <v>#VALUE!</v>
      </c>
      <c r="O1123" s="52">
        <f ca="1">SUMIFS(OUT!$F$2:$F$11000,OUT!$H$2:$H$11000,H1123,OUT!$D$2:$D$11000,"Out",OUT!$E$2:$E$11000,"Kitchen")</f>
        <v>1360773</v>
      </c>
      <c r="P1123" s="52">
        <f ca="1">SUMIFS(OUT!$F$2:$F$11000,OUT!$H$2:$H$11000,H1123,OUT!$D$2:$D$11000,"Out",OUT!$E$2:$E$11000,"Loandry")</f>
        <v>11000</v>
      </c>
      <c r="Q1123" s="52">
        <f ca="1">SUMIFS(OUT!$F$2:$F$11000,OUT!$H$2:$H$11000,H1123,OUT!$D$2:$D$11000,"Out",OUT!$E$2:$E$11000,"Mio")</f>
        <v>338500</v>
      </c>
      <c r="R1123" s="52">
        <f ca="1">SUMIFS(OUT!$F$2:$F$11000,OUT!$H$2:$H$11000,H1123,OUT!$D$2:$D$11000,"Out",OUT!$E$2:$E$11000,"Sedekah")</f>
        <v>2500</v>
      </c>
      <c r="S1123" s="52">
        <f ca="1">SUMIFS(OUT!$F$2:$F$11000,OUT!$H$2:$H$11000,H1123,OUT!$D$2:$D$11000,"Out",OUT!$E$2:$E$11000,"Zela")</f>
        <v>387476</v>
      </c>
      <c r="T1123" s="52">
        <f ca="1">SUMIFS(OUT!$F$2:$F$11000,OUT!$H$2:$H$11000,H1123,OUT!$D$2:$D$11000,"Out",OUT!$E$2:$E$11000,"Iqbal")</f>
        <v>231000</v>
      </c>
    </row>
    <row r="1124" spans="1:20" x14ac:dyDescent="0.2">
      <c r="A1124" s="48">
        <f ca="1">IFERROR(__xludf.DUMMYFUNCTION("""COMPUTED_VALUE"""),46218)</f>
        <v>46218</v>
      </c>
      <c r="B1124" s="4" t="str">
        <f ca="1">IFERROR(__xludf.DUMMYFUNCTION("""COMPUTED_VALUE"""),"Tarik tunai")</f>
        <v>Tarik tunai</v>
      </c>
      <c r="C1124" s="4" t="str">
        <f ca="1">IFERROR(__xludf.DUMMYFUNCTION("""COMPUTED_VALUE"""),"ATM")</f>
        <v>ATM</v>
      </c>
      <c r="D1124" s="4" t="str">
        <f ca="1">IFERROR(__xludf.DUMMYFUNCTION("""COMPUTED_VALUE"""),"Out")</f>
        <v>Out</v>
      </c>
      <c r="E1124" s="4" t="str">
        <f ca="1">IFERROR(__xludf.DUMMYFUNCTION("""COMPUTED_VALUE"""),"Move")</f>
        <v>Move</v>
      </c>
      <c r="F1124" s="49">
        <f ca="1">IFERROR(__xludf.DUMMYFUNCTION("""COMPUTED_VALUE"""),150000)</f>
        <v>150000</v>
      </c>
      <c r="G1124" s="50" t="str">
        <f ca="1">IFERROR(__xludf.DUMMYFUNCTION("""COMPUTED_VALUE"""),"Zela")</f>
        <v>Zela</v>
      </c>
      <c r="H1124" s="51">
        <f t="shared" ca="1" si="0"/>
        <v>46204</v>
      </c>
      <c r="I1124" s="52" t="e">
        <f ca="1">SUMIFS(OUT!$F$2:$F$11000,OUT!$H$2:$H$11000,H1124,OUT!$D$2:$D$101007,"In")</f>
        <v>#VALUE!</v>
      </c>
      <c r="J1124" s="52">
        <f ca="1">SUMIFS(OUT!$F$2:$F$11000,OUT!$H$2:$H$11000,H1124,OUT!$D$2:$D$11000,"Out")</f>
        <v>9905717</v>
      </c>
      <c r="K1124" s="52">
        <f ca="1">SUMIFS(OUT!$F$2:$F$11000,OUT!$H$2:$H$11000,H1124,OUT!$D$2:$D$11000,"Out",OUT!$E$2:$E$11000,"Fix")</f>
        <v>3048680</v>
      </c>
      <c r="L1124" s="52">
        <f ca="1">SUMIFS(OUT!$F$2:$F$11000,OUT!$H$2:$H$11000,H1124,OUT!$D$2:$D$11000,"Out",OUT!$E$2:$E$11000,"Bathroom")</f>
        <v>50720</v>
      </c>
      <c r="M1124" s="52">
        <f ca="1">SUMIFS(OUT!$F$2:$F$11000,OUT!$H$2:$H$11000,H1124,OUT!$D$2:$D$11000,"Out",OUT!$E$2:$E$11000,"Alfa")</f>
        <v>294200</v>
      </c>
      <c r="N1124" s="52" t="e">
        <f ca="1">SUMIFS(OUT!$F$2:$F$11000,OUT!$H$2:$H$101007,H1124,OUT!$D$2:$D$11000,"Out",OUT!$E$2:$E$11000,"Jajan")</f>
        <v>#VALUE!</v>
      </c>
      <c r="O1124" s="52">
        <f ca="1">SUMIFS(OUT!$F$2:$F$11000,OUT!$H$2:$H$11000,H1124,OUT!$D$2:$D$11000,"Out",OUT!$E$2:$E$11000,"Kitchen")</f>
        <v>1360773</v>
      </c>
      <c r="P1124" s="52">
        <f ca="1">SUMIFS(OUT!$F$2:$F$11000,OUT!$H$2:$H$11000,H1124,OUT!$D$2:$D$11000,"Out",OUT!$E$2:$E$11000,"Loandry")</f>
        <v>11000</v>
      </c>
      <c r="Q1124" s="52">
        <f ca="1">SUMIFS(OUT!$F$2:$F$11000,OUT!$H$2:$H$11000,H1124,OUT!$D$2:$D$11000,"Out",OUT!$E$2:$E$11000,"Mio")</f>
        <v>338500</v>
      </c>
      <c r="R1124" s="52">
        <f ca="1">SUMIFS(OUT!$F$2:$F$11000,OUT!$H$2:$H$11000,H1124,OUT!$D$2:$D$11000,"Out",OUT!$E$2:$E$11000,"Sedekah")</f>
        <v>2500</v>
      </c>
      <c r="S1124" s="52">
        <f ca="1">SUMIFS(OUT!$F$2:$F$11000,OUT!$H$2:$H$11000,H1124,OUT!$D$2:$D$11000,"Out",OUT!$E$2:$E$11000,"Zela")</f>
        <v>387476</v>
      </c>
      <c r="T1124" s="52">
        <f ca="1">SUMIFS(OUT!$F$2:$F$11000,OUT!$H$2:$H$11000,H1124,OUT!$D$2:$D$11000,"Out",OUT!$E$2:$E$11000,"Iqbal")</f>
        <v>231000</v>
      </c>
    </row>
    <row r="1125" spans="1:20" x14ac:dyDescent="0.2">
      <c r="A1125" s="48">
        <f ca="1">IFERROR(__xludf.DUMMYFUNCTION("""COMPUTED_VALUE"""),46218)</f>
        <v>46218</v>
      </c>
      <c r="B1125" s="4" t="str">
        <f ca="1">IFERROR(__xludf.DUMMYFUNCTION("""COMPUTED_VALUE"""),"terima tunai")</f>
        <v>terima tunai</v>
      </c>
      <c r="C1125" s="4" t="str">
        <f ca="1">IFERROR(__xludf.DUMMYFUNCTION("""COMPUTED_VALUE"""),"Cash")</f>
        <v>Cash</v>
      </c>
      <c r="D1125" s="4" t="str">
        <f ca="1">IFERROR(__xludf.DUMMYFUNCTION("""COMPUTED_VALUE"""),"In")</f>
        <v>In</v>
      </c>
      <c r="E1125" s="4" t="str">
        <f ca="1">IFERROR(__xludf.DUMMYFUNCTION("""COMPUTED_VALUE"""),"Move")</f>
        <v>Move</v>
      </c>
      <c r="F1125" s="49">
        <f ca="1">IFERROR(__xludf.DUMMYFUNCTION("""COMPUTED_VALUE"""),150000)</f>
        <v>150000</v>
      </c>
      <c r="G1125" s="50" t="str">
        <f ca="1">IFERROR(__xludf.DUMMYFUNCTION("""COMPUTED_VALUE"""),"Zela")</f>
        <v>Zela</v>
      </c>
      <c r="H1125" s="51">
        <f t="shared" ca="1" si="0"/>
        <v>46204</v>
      </c>
      <c r="I1125" s="52" t="e">
        <f ca="1">SUMIFS(OUT!$F$2:$F$11000,OUT!$H$2:$H$11000,H1125,OUT!$D$2:$D$101007,"In")</f>
        <v>#VALUE!</v>
      </c>
      <c r="J1125" s="52">
        <f ca="1">SUMIFS(OUT!$F$2:$F$11000,OUT!$H$2:$H$11000,H1125,OUT!$D$2:$D$11000,"Out")</f>
        <v>9905717</v>
      </c>
      <c r="K1125" s="52">
        <f ca="1">SUMIFS(OUT!$F$2:$F$11000,OUT!$H$2:$H$11000,H1125,OUT!$D$2:$D$11000,"Out",OUT!$E$2:$E$11000,"Fix")</f>
        <v>3048680</v>
      </c>
      <c r="L1125" s="52">
        <f ca="1">SUMIFS(OUT!$F$2:$F$11000,OUT!$H$2:$H$11000,H1125,OUT!$D$2:$D$11000,"Out",OUT!$E$2:$E$11000,"Bathroom")</f>
        <v>50720</v>
      </c>
      <c r="M1125" s="52">
        <f ca="1">SUMIFS(OUT!$F$2:$F$11000,OUT!$H$2:$H$11000,H1125,OUT!$D$2:$D$11000,"Out",OUT!$E$2:$E$11000,"Alfa")</f>
        <v>294200</v>
      </c>
      <c r="N1125" s="52" t="e">
        <f ca="1">SUMIFS(OUT!$F$2:$F$11000,OUT!$H$2:$H$101007,H1125,OUT!$D$2:$D$11000,"Out",OUT!$E$2:$E$11000,"Jajan")</f>
        <v>#VALUE!</v>
      </c>
      <c r="O1125" s="52">
        <f ca="1">SUMIFS(OUT!$F$2:$F$11000,OUT!$H$2:$H$11000,H1125,OUT!$D$2:$D$11000,"Out",OUT!$E$2:$E$11000,"Kitchen")</f>
        <v>1360773</v>
      </c>
      <c r="P1125" s="52">
        <f ca="1">SUMIFS(OUT!$F$2:$F$11000,OUT!$H$2:$H$11000,H1125,OUT!$D$2:$D$11000,"Out",OUT!$E$2:$E$11000,"Loandry")</f>
        <v>11000</v>
      </c>
      <c r="Q1125" s="52">
        <f ca="1">SUMIFS(OUT!$F$2:$F$11000,OUT!$H$2:$H$11000,H1125,OUT!$D$2:$D$11000,"Out",OUT!$E$2:$E$11000,"Mio")</f>
        <v>338500</v>
      </c>
      <c r="R1125" s="52">
        <f ca="1">SUMIFS(OUT!$F$2:$F$11000,OUT!$H$2:$H$11000,H1125,OUT!$D$2:$D$11000,"Out",OUT!$E$2:$E$11000,"Sedekah")</f>
        <v>2500</v>
      </c>
      <c r="S1125" s="52">
        <f ca="1">SUMIFS(OUT!$F$2:$F$11000,OUT!$H$2:$H$11000,H1125,OUT!$D$2:$D$11000,"Out",OUT!$E$2:$E$11000,"Zela")</f>
        <v>387476</v>
      </c>
      <c r="T1125" s="52">
        <f ca="1">SUMIFS(OUT!$F$2:$F$11000,OUT!$H$2:$H$11000,H1125,OUT!$D$2:$D$11000,"Out",OUT!$E$2:$E$11000,"Iqbal")</f>
        <v>231000</v>
      </c>
    </row>
    <row r="1126" spans="1:20" x14ac:dyDescent="0.2">
      <c r="A1126" s="48">
        <f ca="1">IFERROR(__xludf.DUMMYFUNCTION("""COMPUTED_VALUE"""),46218)</f>
        <v>46218</v>
      </c>
      <c r="B1126" s="4" t="str">
        <f ca="1">IFERROR(__xludf.DUMMYFUNCTION("""COMPUTED_VALUE"""),"eskrim 2")</f>
        <v>eskrim 2</v>
      </c>
      <c r="C1126" s="4" t="str">
        <f ca="1">IFERROR(__xludf.DUMMYFUNCTION("""COMPUTED_VALUE"""),"Cash")</f>
        <v>Cash</v>
      </c>
      <c r="D1126" s="4" t="str">
        <f ca="1">IFERROR(__xludf.DUMMYFUNCTION("""COMPUTED_VALUE"""),"Out")</f>
        <v>Out</v>
      </c>
      <c r="E1126" s="4" t="str">
        <f ca="1">IFERROR(__xludf.DUMMYFUNCTION("""COMPUTED_VALUE"""),"Jajan")</f>
        <v>Jajan</v>
      </c>
      <c r="F1126" s="49">
        <f ca="1">IFERROR(__xludf.DUMMYFUNCTION("""COMPUTED_VALUE"""),9300)</f>
        <v>9300</v>
      </c>
      <c r="G1126" s="50" t="str">
        <f ca="1">IFERROR(__xludf.DUMMYFUNCTION("""COMPUTED_VALUE"""),"Zela")</f>
        <v>Zela</v>
      </c>
      <c r="H1126" s="51">
        <f t="shared" ca="1" si="0"/>
        <v>46204</v>
      </c>
      <c r="I1126" s="52" t="e">
        <f ca="1">SUMIFS(OUT!$F$2:$F$11000,OUT!$H$2:$H$11000,H1126,OUT!$D$2:$D$101007,"In")</f>
        <v>#VALUE!</v>
      </c>
      <c r="J1126" s="52">
        <f ca="1">SUMIFS(OUT!$F$2:$F$11000,OUT!$H$2:$H$11000,H1126,OUT!$D$2:$D$11000,"Out")</f>
        <v>9905717</v>
      </c>
      <c r="K1126" s="52">
        <f ca="1">SUMIFS(OUT!$F$2:$F$11000,OUT!$H$2:$H$11000,H1126,OUT!$D$2:$D$11000,"Out",OUT!$E$2:$E$11000,"Fix")</f>
        <v>3048680</v>
      </c>
      <c r="L1126" s="52">
        <f ca="1">SUMIFS(OUT!$F$2:$F$11000,OUT!$H$2:$H$11000,H1126,OUT!$D$2:$D$11000,"Out",OUT!$E$2:$E$11000,"Bathroom")</f>
        <v>50720</v>
      </c>
      <c r="M1126" s="52">
        <f ca="1">SUMIFS(OUT!$F$2:$F$11000,OUT!$H$2:$H$11000,H1126,OUT!$D$2:$D$11000,"Out",OUT!$E$2:$E$11000,"Alfa")</f>
        <v>294200</v>
      </c>
      <c r="N1126" s="52" t="e">
        <f ca="1">SUMIFS(OUT!$F$2:$F$11000,OUT!$H$2:$H$101007,H1126,OUT!$D$2:$D$11000,"Out",OUT!$E$2:$E$11000,"Jajan")</f>
        <v>#VALUE!</v>
      </c>
      <c r="O1126" s="52">
        <f ca="1">SUMIFS(OUT!$F$2:$F$11000,OUT!$H$2:$H$11000,H1126,OUT!$D$2:$D$11000,"Out",OUT!$E$2:$E$11000,"Kitchen")</f>
        <v>1360773</v>
      </c>
      <c r="P1126" s="52">
        <f ca="1">SUMIFS(OUT!$F$2:$F$11000,OUT!$H$2:$H$11000,H1126,OUT!$D$2:$D$11000,"Out",OUT!$E$2:$E$11000,"Loandry")</f>
        <v>11000</v>
      </c>
      <c r="Q1126" s="52">
        <f ca="1">SUMIFS(OUT!$F$2:$F$11000,OUT!$H$2:$H$11000,H1126,OUT!$D$2:$D$11000,"Out",OUT!$E$2:$E$11000,"Mio")</f>
        <v>338500</v>
      </c>
      <c r="R1126" s="52">
        <f ca="1">SUMIFS(OUT!$F$2:$F$11000,OUT!$H$2:$H$11000,H1126,OUT!$D$2:$D$11000,"Out",OUT!$E$2:$E$11000,"Sedekah")</f>
        <v>2500</v>
      </c>
      <c r="S1126" s="52">
        <f ca="1">SUMIFS(OUT!$F$2:$F$11000,OUT!$H$2:$H$11000,H1126,OUT!$D$2:$D$11000,"Out",OUT!$E$2:$E$11000,"Zela")</f>
        <v>387476</v>
      </c>
      <c r="T1126" s="52">
        <f ca="1">SUMIFS(OUT!$F$2:$F$11000,OUT!$H$2:$H$11000,H1126,OUT!$D$2:$D$11000,"Out",OUT!$E$2:$E$11000,"Iqbal")</f>
        <v>231000</v>
      </c>
    </row>
    <row r="1127" spans="1:20" x14ac:dyDescent="0.2">
      <c r="A1127" s="48">
        <f ca="1">IFERROR(__xludf.DUMMYFUNCTION("""COMPUTED_VALUE"""),46218)</f>
        <v>46218</v>
      </c>
      <c r="B1127" s="4" t="str">
        <f ca="1">IFERROR(__xludf.DUMMYFUNCTION("""COMPUTED_VALUE"""),"nipismadu+rti gepeng")</f>
        <v>nipismadu+rti gepeng</v>
      </c>
      <c r="C1127" s="4" t="str">
        <f ca="1">IFERROR(__xludf.DUMMYFUNCTION("""COMPUTED_VALUE"""),"Cash")</f>
        <v>Cash</v>
      </c>
      <c r="D1127" s="4" t="str">
        <f ca="1">IFERROR(__xludf.DUMMYFUNCTION("""COMPUTED_VALUE"""),"Out")</f>
        <v>Out</v>
      </c>
      <c r="E1127" s="4" t="str">
        <f ca="1">IFERROR(__xludf.DUMMYFUNCTION("""COMPUTED_VALUE"""),"Jajan")</f>
        <v>Jajan</v>
      </c>
      <c r="F1127" s="49">
        <f ca="1">IFERROR(__xludf.DUMMYFUNCTION("""COMPUTED_VALUE"""),14000)</f>
        <v>14000</v>
      </c>
      <c r="G1127" s="50" t="str">
        <f ca="1">IFERROR(__xludf.DUMMYFUNCTION("""COMPUTED_VALUE"""),"Zela")</f>
        <v>Zela</v>
      </c>
      <c r="H1127" s="51">
        <f t="shared" ca="1" si="0"/>
        <v>46204</v>
      </c>
      <c r="I1127" s="52" t="e">
        <f ca="1">SUMIFS(OUT!$F$2:$F$11000,OUT!$H$2:$H$11000,H1127,OUT!$D$2:$D$101007,"In")</f>
        <v>#VALUE!</v>
      </c>
      <c r="J1127" s="52">
        <f ca="1">SUMIFS(OUT!$F$2:$F$11000,OUT!$H$2:$H$11000,H1127,OUT!$D$2:$D$11000,"Out")</f>
        <v>9905717</v>
      </c>
      <c r="K1127" s="52">
        <f ca="1">SUMIFS(OUT!$F$2:$F$11000,OUT!$H$2:$H$11000,H1127,OUT!$D$2:$D$11000,"Out",OUT!$E$2:$E$11000,"Fix")</f>
        <v>3048680</v>
      </c>
      <c r="L1127" s="52">
        <f ca="1">SUMIFS(OUT!$F$2:$F$11000,OUT!$H$2:$H$11000,H1127,OUT!$D$2:$D$11000,"Out",OUT!$E$2:$E$11000,"Bathroom")</f>
        <v>50720</v>
      </c>
      <c r="M1127" s="52">
        <f ca="1">SUMIFS(OUT!$F$2:$F$11000,OUT!$H$2:$H$11000,H1127,OUT!$D$2:$D$11000,"Out",OUT!$E$2:$E$11000,"Alfa")</f>
        <v>294200</v>
      </c>
      <c r="N1127" s="52" t="e">
        <f ca="1">SUMIFS(OUT!$F$2:$F$11000,OUT!$H$2:$H$101007,H1127,OUT!$D$2:$D$11000,"Out",OUT!$E$2:$E$11000,"Jajan")</f>
        <v>#VALUE!</v>
      </c>
      <c r="O1127" s="52">
        <f ca="1">SUMIFS(OUT!$F$2:$F$11000,OUT!$H$2:$H$11000,H1127,OUT!$D$2:$D$11000,"Out",OUT!$E$2:$E$11000,"Kitchen")</f>
        <v>1360773</v>
      </c>
      <c r="P1127" s="52">
        <f ca="1">SUMIFS(OUT!$F$2:$F$11000,OUT!$H$2:$H$11000,H1127,OUT!$D$2:$D$11000,"Out",OUT!$E$2:$E$11000,"Loandry")</f>
        <v>11000</v>
      </c>
      <c r="Q1127" s="52">
        <f ca="1">SUMIFS(OUT!$F$2:$F$11000,OUT!$H$2:$H$11000,H1127,OUT!$D$2:$D$11000,"Out",OUT!$E$2:$E$11000,"Mio")</f>
        <v>338500</v>
      </c>
      <c r="R1127" s="52">
        <f ca="1">SUMIFS(OUT!$F$2:$F$11000,OUT!$H$2:$H$11000,H1127,OUT!$D$2:$D$11000,"Out",OUT!$E$2:$E$11000,"Sedekah")</f>
        <v>2500</v>
      </c>
      <c r="S1127" s="52">
        <f ca="1">SUMIFS(OUT!$F$2:$F$11000,OUT!$H$2:$H$11000,H1127,OUT!$D$2:$D$11000,"Out",OUT!$E$2:$E$11000,"Zela")</f>
        <v>387476</v>
      </c>
      <c r="T1127" s="52">
        <f ca="1">SUMIFS(OUT!$F$2:$F$11000,OUT!$H$2:$H$11000,H1127,OUT!$D$2:$D$11000,"Out",OUT!$E$2:$E$11000,"Iqbal")</f>
        <v>231000</v>
      </c>
    </row>
    <row r="1128" spans="1:20" x14ac:dyDescent="0.2">
      <c r="A1128" s="48">
        <f ca="1">IFERROR(__xludf.DUMMYFUNCTION("""COMPUTED_VALUE"""),46218)</f>
        <v>46218</v>
      </c>
      <c r="B1128" s="4" t="str">
        <f ca="1">IFERROR(__xludf.DUMMYFUNCTION("""COMPUTED_VALUE"""),"rokok")</f>
        <v>rokok</v>
      </c>
      <c r="C1128" s="4" t="str">
        <f ca="1">IFERROR(__xludf.DUMMYFUNCTION("""COMPUTED_VALUE"""),"Cash")</f>
        <v>Cash</v>
      </c>
      <c r="D1128" s="4" t="str">
        <f ca="1">IFERROR(__xludf.DUMMYFUNCTION("""COMPUTED_VALUE"""),"Out")</f>
        <v>Out</v>
      </c>
      <c r="E1128" s="4" t="str">
        <f ca="1">IFERROR(__xludf.DUMMYFUNCTION("""COMPUTED_VALUE"""),"Iqbal")</f>
        <v>Iqbal</v>
      </c>
      <c r="F1128" s="49">
        <f ca="1">IFERROR(__xludf.DUMMYFUNCTION("""COMPUTED_VALUE"""),17000)</f>
        <v>17000</v>
      </c>
      <c r="G1128" s="50" t="str">
        <f ca="1">IFERROR(__xludf.DUMMYFUNCTION("""COMPUTED_VALUE"""),"Zela")</f>
        <v>Zela</v>
      </c>
      <c r="H1128" s="51">
        <f t="shared" ca="1" si="0"/>
        <v>46204</v>
      </c>
      <c r="I1128" s="52" t="e">
        <f ca="1">SUMIFS(OUT!$F$2:$F$11000,OUT!$H$2:$H$11000,H1128,OUT!$D$2:$D$101007,"In")</f>
        <v>#VALUE!</v>
      </c>
      <c r="J1128" s="52">
        <f ca="1">SUMIFS(OUT!$F$2:$F$11000,OUT!$H$2:$H$11000,H1128,OUT!$D$2:$D$11000,"Out")</f>
        <v>9905717</v>
      </c>
      <c r="K1128" s="52">
        <f ca="1">SUMIFS(OUT!$F$2:$F$11000,OUT!$H$2:$H$11000,H1128,OUT!$D$2:$D$11000,"Out",OUT!$E$2:$E$11000,"Fix")</f>
        <v>3048680</v>
      </c>
      <c r="L1128" s="52">
        <f ca="1">SUMIFS(OUT!$F$2:$F$11000,OUT!$H$2:$H$11000,H1128,OUT!$D$2:$D$11000,"Out",OUT!$E$2:$E$11000,"Bathroom")</f>
        <v>50720</v>
      </c>
      <c r="M1128" s="52">
        <f ca="1">SUMIFS(OUT!$F$2:$F$11000,OUT!$H$2:$H$11000,H1128,OUT!$D$2:$D$11000,"Out",OUT!$E$2:$E$11000,"Alfa")</f>
        <v>294200</v>
      </c>
      <c r="N1128" s="52" t="e">
        <f ca="1">SUMIFS(OUT!$F$2:$F$11000,OUT!$H$2:$H$101007,H1128,OUT!$D$2:$D$11000,"Out",OUT!$E$2:$E$11000,"Jajan")</f>
        <v>#VALUE!</v>
      </c>
      <c r="O1128" s="52">
        <f ca="1">SUMIFS(OUT!$F$2:$F$11000,OUT!$H$2:$H$11000,H1128,OUT!$D$2:$D$11000,"Out",OUT!$E$2:$E$11000,"Kitchen")</f>
        <v>1360773</v>
      </c>
      <c r="P1128" s="52">
        <f ca="1">SUMIFS(OUT!$F$2:$F$11000,OUT!$H$2:$H$11000,H1128,OUT!$D$2:$D$11000,"Out",OUT!$E$2:$E$11000,"Loandry")</f>
        <v>11000</v>
      </c>
      <c r="Q1128" s="52">
        <f ca="1">SUMIFS(OUT!$F$2:$F$11000,OUT!$H$2:$H$11000,H1128,OUT!$D$2:$D$11000,"Out",OUT!$E$2:$E$11000,"Mio")</f>
        <v>338500</v>
      </c>
      <c r="R1128" s="52">
        <f ca="1">SUMIFS(OUT!$F$2:$F$11000,OUT!$H$2:$H$11000,H1128,OUT!$D$2:$D$11000,"Out",OUT!$E$2:$E$11000,"Sedekah")</f>
        <v>2500</v>
      </c>
      <c r="S1128" s="52">
        <f ca="1">SUMIFS(OUT!$F$2:$F$11000,OUT!$H$2:$H$11000,H1128,OUT!$D$2:$D$11000,"Out",OUT!$E$2:$E$11000,"Zela")</f>
        <v>387476</v>
      </c>
      <c r="T1128" s="52">
        <f ca="1">SUMIFS(OUT!$F$2:$F$11000,OUT!$H$2:$H$11000,H1128,OUT!$D$2:$D$11000,"Out",OUT!$E$2:$E$11000,"Iqbal")</f>
        <v>231000</v>
      </c>
    </row>
    <row r="1129" spans="1:20" x14ac:dyDescent="0.2">
      <c r="A1129" s="48">
        <f ca="1">IFERROR(__xludf.DUMMYFUNCTION("""COMPUTED_VALUE"""),46219)</f>
        <v>46219</v>
      </c>
      <c r="B1129" s="4" t="str">
        <f ca="1">IFERROR(__xludf.DUMMYFUNCTION("""COMPUTED_VALUE"""),"Admin Kartu ")</f>
        <v xml:space="preserve">Admin Kartu </v>
      </c>
      <c r="C1129" s="4" t="str">
        <f ca="1">IFERROR(__xludf.DUMMYFUNCTION("""COMPUTED_VALUE"""),"ATM")</f>
        <v>ATM</v>
      </c>
      <c r="D1129" s="4" t="str">
        <f ca="1">IFERROR(__xludf.DUMMYFUNCTION("""COMPUTED_VALUE"""),"Out")</f>
        <v>Out</v>
      </c>
      <c r="E1129" s="4" t="str">
        <f ca="1">IFERROR(__xludf.DUMMYFUNCTION("""COMPUTED_VALUE"""),"Fix")</f>
        <v>Fix</v>
      </c>
      <c r="F1129" s="49">
        <f ca="1">IFERROR(__xludf.DUMMYFUNCTION("""COMPUTED_VALUE"""),8000)</f>
        <v>8000</v>
      </c>
      <c r="G1129" s="50" t="str">
        <f ca="1">IFERROR(__xludf.DUMMYFUNCTION("""COMPUTED_VALUE"""),"Zela")</f>
        <v>Zela</v>
      </c>
      <c r="H1129" s="51">
        <f t="shared" ca="1" si="0"/>
        <v>46204</v>
      </c>
      <c r="I1129" s="52" t="e">
        <f ca="1">SUMIFS(OUT!$F$2:$F$11000,OUT!$H$2:$H$11000,H1129,OUT!$D$2:$D$101007,"In")</f>
        <v>#VALUE!</v>
      </c>
      <c r="J1129" s="52">
        <f ca="1">SUMIFS(OUT!$F$2:$F$11000,OUT!$H$2:$H$11000,H1129,OUT!$D$2:$D$11000,"Out")</f>
        <v>9905717</v>
      </c>
      <c r="K1129" s="52">
        <f ca="1">SUMIFS(OUT!$F$2:$F$11000,OUT!$H$2:$H$11000,H1129,OUT!$D$2:$D$11000,"Out",OUT!$E$2:$E$11000,"Fix")</f>
        <v>3048680</v>
      </c>
      <c r="L1129" s="52">
        <f ca="1">SUMIFS(OUT!$F$2:$F$11000,OUT!$H$2:$H$11000,H1129,OUT!$D$2:$D$11000,"Out",OUT!$E$2:$E$11000,"Bathroom")</f>
        <v>50720</v>
      </c>
      <c r="M1129" s="52">
        <f ca="1">SUMIFS(OUT!$F$2:$F$11000,OUT!$H$2:$H$11000,H1129,OUT!$D$2:$D$11000,"Out",OUT!$E$2:$E$11000,"Alfa")</f>
        <v>294200</v>
      </c>
      <c r="N1129" s="52" t="e">
        <f ca="1">SUMIFS(OUT!$F$2:$F$11000,OUT!$H$2:$H$101007,H1129,OUT!$D$2:$D$11000,"Out",OUT!$E$2:$E$11000,"Jajan")</f>
        <v>#VALUE!</v>
      </c>
      <c r="O1129" s="52">
        <f ca="1">SUMIFS(OUT!$F$2:$F$11000,OUT!$H$2:$H$11000,H1129,OUT!$D$2:$D$11000,"Out",OUT!$E$2:$E$11000,"Kitchen")</f>
        <v>1360773</v>
      </c>
      <c r="P1129" s="52">
        <f ca="1">SUMIFS(OUT!$F$2:$F$11000,OUT!$H$2:$H$11000,H1129,OUT!$D$2:$D$11000,"Out",OUT!$E$2:$E$11000,"Loandry")</f>
        <v>11000</v>
      </c>
      <c r="Q1129" s="52">
        <f ca="1">SUMIFS(OUT!$F$2:$F$11000,OUT!$H$2:$H$11000,H1129,OUT!$D$2:$D$11000,"Out",OUT!$E$2:$E$11000,"Mio")</f>
        <v>338500</v>
      </c>
      <c r="R1129" s="52">
        <f ca="1">SUMIFS(OUT!$F$2:$F$11000,OUT!$H$2:$H$11000,H1129,OUT!$D$2:$D$11000,"Out",OUT!$E$2:$E$11000,"Sedekah")</f>
        <v>2500</v>
      </c>
      <c r="S1129" s="52">
        <f ca="1">SUMIFS(OUT!$F$2:$F$11000,OUT!$H$2:$H$11000,H1129,OUT!$D$2:$D$11000,"Out",OUT!$E$2:$E$11000,"Zela")</f>
        <v>387476</v>
      </c>
      <c r="T1129" s="52">
        <f ca="1">SUMIFS(OUT!$F$2:$F$11000,OUT!$H$2:$H$11000,H1129,OUT!$D$2:$D$11000,"Out",OUT!$E$2:$E$11000,"Iqbal")</f>
        <v>231000</v>
      </c>
    </row>
    <row r="1130" spans="1:20" x14ac:dyDescent="0.2">
      <c r="A1130" s="48">
        <f ca="1">IFERROR(__xludf.DUMMYFUNCTION("""COMPUTED_VALUE"""),46220)</f>
        <v>46220</v>
      </c>
      <c r="B1130" s="4" t="str">
        <f ca="1">IFERROR(__xludf.DUMMYFUNCTION("""COMPUTED_VALUE"""),"Tarik tunai ")</f>
        <v xml:space="preserve">Tarik tunai </v>
      </c>
      <c r="C1130" s="4" t="str">
        <f ca="1">IFERROR(__xludf.DUMMYFUNCTION("""COMPUTED_VALUE"""),"ATM")</f>
        <v>ATM</v>
      </c>
      <c r="D1130" s="4" t="str">
        <f ca="1">IFERROR(__xludf.DUMMYFUNCTION("""COMPUTED_VALUE"""),"Out")</f>
        <v>Out</v>
      </c>
      <c r="E1130" s="4" t="str">
        <f ca="1">IFERROR(__xludf.DUMMYFUNCTION("""COMPUTED_VALUE"""),"Move")</f>
        <v>Move</v>
      </c>
      <c r="F1130" s="49">
        <f ca="1">IFERROR(__xludf.DUMMYFUNCTION("""COMPUTED_VALUE"""),50000)</f>
        <v>50000</v>
      </c>
      <c r="G1130" s="50" t="str">
        <f ca="1">IFERROR(__xludf.DUMMYFUNCTION("""COMPUTED_VALUE"""),"Zela")</f>
        <v>Zela</v>
      </c>
      <c r="H1130" s="51">
        <f t="shared" ca="1" si="0"/>
        <v>46204</v>
      </c>
      <c r="I1130" s="52" t="e">
        <f ca="1">SUMIFS(OUT!$F$2:$F$11000,OUT!$H$2:$H$11000,H1130,OUT!$D$2:$D$101007,"In")</f>
        <v>#VALUE!</v>
      </c>
      <c r="J1130" s="52">
        <f ca="1">SUMIFS(OUT!$F$2:$F$11000,OUT!$H$2:$H$11000,H1130,OUT!$D$2:$D$11000,"Out")</f>
        <v>9905717</v>
      </c>
      <c r="K1130" s="52">
        <f ca="1">SUMIFS(OUT!$F$2:$F$11000,OUT!$H$2:$H$11000,H1130,OUT!$D$2:$D$11000,"Out",OUT!$E$2:$E$11000,"Fix")</f>
        <v>3048680</v>
      </c>
      <c r="L1130" s="52">
        <f ca="1">SUMIFS(OUT!$F$2:$F$11000,OUT!$H$2:$H$11000,H1130,OUT!$D$2:$D$11000,"Out",OUT!$E$2:$E$11000,"Bathroom")</f>
        <v>50720</v>
      </c>
      <c r="M1130" s="52">
        <f ca="1">SUMIFS(OUT!$F$2:$F$11000,OUT!$H$2:$H$11000,H1130,OUT!$D$2:$D$11000,"Out",OUT!$E$2:$E$11000,"Alfa")</f>
        <v>294200</v>
      </c>
      <c r="N1130" s="52" t="e">
        <f ca="1">SUMIFS(OUT!$F$2:$F$11000,OUT!$H$2:$H$101007,H1130,OUT!$D$2:$D$11000,"Out",OUT!$E$2:$E$11000,"Jajan")</f>
        <v>#VALUE!</v>
      </c>
      <c r="O1130" s="52">
        <f ca="1">SUMIFS(OUT!$F$2:$F$11000,OUT!$H$2:$H$11000,H1130,OUT!$D$2:$D$11000,"Out",OUT!$E$2:$E$11000,"Kitchen")</f>
        <v>1360773</v>
      </c>
      <c r="P1130" s="52">
        <f ca="1">SUMIFS(OUT!$F$2:$F$11000,OUT!$H$2:$H$11000,H1130,OUT!$D$2:$D$11000,"Out",OUT!$E$2:$E$11000,"Loandry")</f>
        <v>11000</v>
      </c>
      <c r="Q1130" s="52">
        <f ca="1">SUMIFS(OUT!$F$2:$F$11000,OUT!$H$2:$H$11000,H1130,OUT!$D$2:$D$11000,"Out",OUT!$E$2:$E$11000,"Mio")</f>
        <v>338500</v>
      </c>
      <c r="R1130" s="52">
        <f ca="1">SUMIFS(OUT!$F$2:$F$11000,OUT!$H$2:$H$11000,H1130,OUT!$D$2:$D$11000,"Out",OUT!$E$2:$E$11000,"Sedekah")</f>
        <v>2500</v>
      </c>
      <c r="S1130" s="52">
        <f ca="1">SUMIFS(OUT!$F$2:$F$11000,OUT!$H$2:$H$11000,H1130,OUT!$D$2:$D$11000,"Out",OUT!$E$2:$E$11000,"Zela")</f>
        <v>387476</v>
      </c>
      <c r="T1130" s="52">
        <f ca="1">SUMIFS(OUT!$F$2:$F$11000,OUT!$H$2:$H$11000,H1130,OUT!$D$2:$D$11000,"Out",OUT!$E$2:$E$11000,"Iqbal")</f>
        <v>231000</v>
      </c>
    </row>
    <row r="1131" spans="1:20" x14ac:dyDescent="0.2">
      <c r="A1131" s="48">
        <f ca="1">IFERROR(__xludf.DUMMYFUNCTION("""COMPUTED_VALUE"""),46220)</f>
        <v>46220</v>
      </c>
      <c r="B1131" s="4" t="str">
        <f ca="1">IFERROR(__xludf.DUMMYFUNCTION("""COMPUTED_VALUE"""),"Terima tunai ")</f>
        <v xml:space="preserve">Terima tunai </v>
      </c>
      <c r="C1131" s="4" t="str">
        <f ca="1">IFERROR(__xludf.DUMMYFUNCTION("""COMPUTED_VALUE"""),"Cash")</f>
        <v>Cash</v>
      </c>
      <c r="D1131" s="4" t="str">
        <f ca="1">IFERROR(__xludf.DUMMYFUNCTION("""COMPUTED_VALUE"""),"In")</f>
        <v>In</v>
      </c>
      <c r="E1131" s="4" t="str">
        <f ca="1">IFERROR(__xludf.DUMMYFUNCTION("""COMPUTED_VALUE"""),"Move")</f>
        <v>Move</v>
      </c>
      <c r="F1131" s="49">
        <f ca="1">IFERROR(__xludf.DUMMYFUNCTION("""COMPUTED_VALUE"""),50000)</f>
        <v>50000</v>
      </c>
      <c r="G1131" s="50" t="str">
        <f ca="1">IFERROR(__xludf.DUMMYFUNCTION("""COMPUTED_VALUE"""),"Zela")</f>
        <v>Zela</v>
      </c>
      <c r="H1131" s="51">
        <f t="shared" ca="1" si="0"/>
        <v>46204</v>
      </c>
      <c r="I1131" s="52" t="e">
        <f ca="1">SUMIFS(OUT!$F$2:$F$11000,OUT!$H$2:$H$11000,H1131,OUT!$D$2:$D$101007,"In")</f>
        <v>#VALUE!</v>
      </c>
      <c r="J1131" s="52">
        <f ca="1">SUMIFS(OUT!$F$2:$F$11000,OUT!$H$2:$H$11000,H1131,OUT!$D$2:$D$11000,"Out")</f>
        <v>9905717</v>
      </c>
      <c r="K1131" s="52">
        <f ca="1">SUMIFS(OUT!$F$2:$F$11000,OUT!$H$2:$H$11000,H1131,OUT!$D$2:$D$11000,"Out",OUT!$E$2:$E$11000,"Fix")</f>
        <v>3048680</v>
      </c>
      <c r="L1131" s="52">
        <f ca="1">SUMIFS(OUT!$F$2:$F$11000,OUT!$H$2:$H$11000,H1131,OUT!$D$2:$D$11000,"Out",OUT!$E$2:$E$11000,"Bathroom")</f>
        <v>50720</v>
      </c>
      <c r="M1131" s="52">
        <f ca="1">SUMIFS(OUT!$F$2:$F$11000,OUT!$H$2:$H$11000,H1131,OUT!$D$2:$D$11000,"Out",OUT!$E$2:$E$11000,"Alfa")</f>
        <v>294200</v>
      </c>
      <c r="N1131" s="52" t="e">
        <f ca="1">SUMIFS(OUT!$F$2:$F$11000,OUT!$H$2:$H$101007,H1131,OUT!$D$2:$D$11000,"Out",OUT!$E$2:$E$11000,"Jajan")</f>
        <v>#VALUE!</v>
      </c>
      <c r="O1131" s="52">
        <f ca="1">SUMIFS(OUT!$F$2:$F$11000,OUT!$H$2:$H$11000,H1131,OUT!$D$2:$D$11000,"Out",OUT!$E$2:$E$11000,"Kitchen")</f>
        <v>1360773</v>
      </c>
      <c r="P1131" s="52">
        <f ca="1">SUMIFS(OUT!$F$2:$F$11000,OUT!$H$2:$H$11000,H1131,OUT!$D$2:$D$11000,"Out",OUT!$E$2:$E$11000,"Loandry")</f>
        <v>11000</v>
      </c>
      <c r="Q1131" s="52">
        <f ca="1">SUMIFS(OUT!$F$2:$F$11000,OUT!$H$2:$H$11000,H1131,OUT!$D$2:$D$11000,"Out",OUT!$E$2:$E$11000,"Mio")</f>
        <v>338500</v>
      </c>
      <c r="R1131" s="52">
        <f ca="1">SUMIFS(OUT!$F$2:$F$11000,OUT!$H$2:$H$11000,H1131,OUT!$D$2:$D$11000,"Out",OUT!$E$2:$E$11000,"Sedekah")</f>
        <v>2500</v>
      </c>
      <c r="S1131" s="52">
        <f ca="1">SUMIFS(OUT!$F$2:$F$11000,OUT!$H$2:$H$11000,H1131,OUT!$D$2:$D$11000,"Out",OUT!$E$2:$E$11000,"Zela")</f>
        <v>387476</v>
      </c>
      <c r="T1131" s="52">
        <f ca="1">SUMIFS(OUT!$F$2:$F$11000,OUT!$H$2:$H$11000,H1131,OUT!$D$2:$D$11000,"Out",OUT!$E$2:$E$11000,"Iqbal")</f>
        <v>231000</v>
      </c>
    </row>
    <row r="1132" spans="1:20" x14ac:dyDescent="0.2">
      <c r="A1132" s="48">
        <f ca="1">IFERROR(__xludf.DUMMYFUNCTION("""COMPUTED_VALUE"""),46220)</f>
        <v>46220</v>
      </c>
      <c r="B1132" s="4" t="str">
        <f ca="1">IFERROR(__xludf.DUMMYFUNCTION("""COMPUTED_VALUE"""),"Geosir ( kcngijo+sususaset+gulmer+ropeng)")</f>
        <v>Geosir ( kcngijo+sususaset+gulmer+ropeng)</v>
      </c>
      <c r="C1132" s="4" t="str">
        <f ca="1">IFERROR(__xludf.DUMMYFUNCTION("""COMPUTED_VALUE"""),"Cash")</f>
        <v>Cash</v>
      </c>
      <c r="D1132" s="4" t="str">
        <f ca="1">IFERROR(__xludf.DUMMYFUNCTION("""COMPUTED_VALUE"""),"Out")</f>
        <v>Out</v>
      </c>
      <c r="E1132" s="4" t="str">
        <f ca="1">IFERROR(__xludf.DUMMYFUNCTION("""COMPUTED_VALUE"""),"Kitchen")</f>
        <v>Kitchen</v>
      </c>
      <c r="F1132" s="49">
        <f ca="1">IFERROR(__xludf.DUMMYFUNCTION("""COMPUTED_VALUE"""),30500)</f>
        <v>30500</v>
      </c>
      <c r="G1132" s="50" t="str">
        <f ca="1">IFERROR(__xludf.DUMMYFUNCTION("""COMPUTED_VALUE"""),"Zela")</f>
        <v>Zela</v>
      </c>
      <c r="H1132" s="51">
        <f t="shared" ca="1" si="0"/>
        <v>46204</v>
      </c>
      <c r="I1132" s="52" t="e">
        <f ca="1">SUMIFS(OUT!$F$2:$F$11000,OUT!$H$2:$H$11000,H1132,OUT!$D$2:$D$101007,"In")</f>
        <v>#VALUE!</v>
      </c>
      <c r="J1132" s="52">
        <f ca="1">SUMIFS(OUT!$F$2:$F$11000,OUT!$H$2:$H$11000,H1132,OUT!$D$2:$D$11000,"Out")</f>
        <v>9905717</v>
      </c>
      <c r="K1132" s="52">
        <f ca="1">SUMIFS(OUT!$F$2:$F$11000,OUT!$H$2:$H$11000,H1132,OUT!$D$2:$D$11000,"Out",OUT!$E$2:$E$11000,"Fix")</f>
        <v>3048680</v>
      </c>
      <c r="L1132" s="52">
        <f ca="1">SUMIFS(OUT!$F$2:$F$11000,OUT!$H$2:$H$11000,H1132,OUT!$D$2:$D$11000,"Out",OUT!$E$2:$E$11000,"Bathroom")</f>
        <v>50720</v>
      </c>
      <c r="M1132" s="52">
        <f ca="1">SUMIFS(OUT!$F$2:$F$11000,OUT!$H$2:$H$11000,H1132,OUT!$D$2:$D$11000,"Out",OUT!$E$2:$E$11000,"Alfa")</f>
        <v>294200</v>
      </c>
      <c r="N1132" s="52" t="e">
        <f ca="1">SUMIFS(OUT!$F$2:$F$11000,OUT!$H$2:$H$101007,H1132,OUT!$D$2:$D$11000,"Out",OUT!$E$2:$E$11000,"Jajan")</f>
        <v>#VALUE!</v>
      </c>
      <c r="O1132" s="52">
        <f ca="1">SUMIFS(OUT!$F$2:$F$11000,OUT!$H$2:$H$11000,H1132,OUT!$D$2:$D$11000,"Out",OUT!$E$2:$E$11000,"Kitchen")</f>
        <v>1360773</v>
      </c>
      <c r="P1132" s="52">
        <f ca="1">SUMIFS(OUT!$F$2:$F$11000,OUT!$H$2:$H$11000,H1132,OUT!$D$2:$D$11000,"Out",OUT!$E$2:$E$11000,"Loandry")</f>
        <v>11000</v>
      </c>
      <c r="Q1132" s="52">
        <f ca="1">SUMIFS(OUT!$F$2:$F$11000,OUT!$H$2:$H$11000,H1132,OUT!$D$2:$D$11000,"Out",OUT!$E$2:$E$11000,"Mio")</f>
        <v>338500</v>
      </c>
      <c r="R1132" s="52">
        <f ca="1">SUMIFS(OUT!$F$2:$F$11000,OUT!$H$2:$H$11000,H1132,OUT!$D$2:$D$11000,"Out",OUT!$E$2:$E$11000,"Sedekah")</f>
        <v>2500</v>
      </c>
      <c r="S1132" s="52">
        <f ca="1">SUMIFS(OUT!$F$2:$F$11000,OUT!$H$2:$H$11000,H1132,OUT!$D$2:$D$11000,"Out",OUT!$E$2:$E$11000,"Zela")</f>
        <v>387476</v>
      </c>
      <c r="T1132" s="52">
        <f ca="1">SUMIFS(OUT!$F$2:$F$11000,OUT!$H$2:$H$11000,H1132,OUT!$D$2:$D$11000,"Out",OUT!$E$2:$E$11000,"Iqbal")</f>
        <v>231000</v>
      </c>
    </row>
    <row r="1133" spans="1:20" x14ac:dyDescent="0.2">
      <c r="A1133" s="48">
        <f ca="1">IFERROR(__xludf.DUMMYFUNCTION("""COMPUTED_VALUE"""),46220)</f>
        <v>46220</v>
      </c>
      <c r="B1133" s="4" t="str">
        <f ca="1">IFERROR(__xludf.DUMMYFUNCTION("""COMPUTED_VALUE"""),"Bensin motor ")</f>
        <v xml:space="preserve">Bensin motor </v>
      </c>
      <c r="C1133" s="4" t="str">
        <f ca="1">IFERROR(__xludf.DUMMYFUNCTION("""COMPUTED_VALUE"""),"Cash")</f>
        <v>Cash</v>
      </c>
      <c r="D1133" s="4" t="str">
        <f ca="1">IFERROR(__xludf.DUMMYFUNCTION("""COMPUTED_VALUE"""),"Out")</f>
        <v>Out</v>
      </c>
      <c r="E1133" s="4" t="str">
        <f ca="1">IFERROR(__xludf.DUMMYFUNCTION("""COMPUTED_VALUE"""),"Mio")</f>
        <v>Mio</v>
      </c>
      <c r="F1133" s="49">
        <f ca="1">IFERROR(__xludf.DUMMYFUNCTION("""COMPUTED_VALUE"""),20000)</f>
        <v>20000</v>
      </c>
      <c r="G1133" s="50" t="str">
        <f ca="1">IFERROR(__xludf.DUMMYFUNCTION("""COMPUTED_VALUE"""),"Zela")</f>
        <v>Zela</v>
      </c>
      <c r="H1133" s="51">
        <f t="shared" ca="1" si="0"/>
        <v>46204</v>
      </c>
      <c r="I1133" s="52" t="e">
        <f ca="1">SUMIFS(OUT!$F$2:$F$11000,OUT!$H$2:$H$11000,H1133,OUT!$D$2:$D$101007,"In")</f>
        <v>#VALUE!</v>
      </c>
      <c r="J1133" s="52">
        <f ca="1">SUMIFS(OUT!$F$2:$F$11000,OUT!$H$2:$H$11000,H1133,OUT!$D$2:$D$11000,"Out")</f>
        <v>9905717</v>
      </c>
      <c r="K1133" s="52">
        <f ca="1">SUMIFS(OUT!$F$2:$F$11000,OUT!$H$2:$H$11000,H1133,OUT!$D$2:$D$11000,"Out",OUT!$E$2:$E$11000,"Fix")</f>
        <v>3048680</v>
      </c>
      <c r="L1133" s="52">
        <f ca="1">SUMIFS(OUT!$F$2:$F$11000,OUT!$H$2:$H$11000,H1133,OUT!$D$2:$D$11000,"Out",OUT!$E$2:$E$11000,"Bathroom")</f>
        <v>50720</v>
      </c>
      <c r="M1133" s="52">
        <f ca="1">SUMIFS(OUT!$F$2:$F$11000,OUT!$H$2:$H$11000,H1133,OUT!$D$2:$D$11000,"Out",OUT!$E$2:$E$11000,"Alfa")</f>
        <v>294200</v>
      </c>
      <c r="N1133" s="52" t="e">
        <f ca="1">SUMIFS(OUT!$F$2:$F$11000,OUT!$H$2:$H$101007,H1133,OUT!$D$2:$D$11000,"Out",OUT!$E$2:$E$11000,"Jajan")</f>
        <v>#VALUE!</v>
      </c>
      <c r="O1133" s="52">
        <f ca="1">SUMIFS(OUT!$F$2:$F$11000,OUT!$H$2:$H$11000,H1133,OUT!$D$2:$D$11000,"Out",OUT!$E$2:$E$11000,"Kitchen")</f>
        <v>1360773</v>
      </c>
      <c r="P1133" s="52">
        <f ca="1">SUMIFS(OUT!$F$2:$F$11000,OUT!$H$2:$H$11000,H1133,OUT!$D$2:$D$11000,"Out",OUT!$E$2:$E$11000,"Loandry")</f>
        <v>11000</v>
      </c>
      <c r="Q1133" s="52">
        <f ca="1">SUMIFS(OUT!$F$2:$F$11000,OUT!$H$2:$H$11000,H1133,OUT!$D$2:$D$11000,"Out",OUT!$E$2:$E$11000,"Mio")</f>
        <v>338500</v>
      </c>
      <c r="R1133" s="52">
        <f ca="1">SUMIFS(OUT!$F$2:$F$11000,OUT!$H$2:$H$11000,H1133,OUT!$D$2:$D$11000,"Out",OUT!$E$2:$E$11000,"Sedekah")</f>
        <v>2500</v>
      </c>
      <c r="S1133" s="52">
        <f ca="1">SUMIFS(OUT!$F$2:$F$11000,OUT!$H$2:$H$11000,H1133,OUT!$D$2:$D$11000,"Out",OUT!$E$2:$E$11000,"Zela")</f>
        <v>387476</v>
      </c>
      <c r="T1133" s="52">
        <f ca="1">SUMIFS(OUT!$F$2:$F$11000,OUT!$H$2:$H$11000,H1133,OUT!$D$2:$D$11000,"Out",OUT!$E$2:$E$11000,"Iqbal")</f>
        <v>231000</v>
      </c>
    </row>
    <row r="1134" spans="1:20" x14ac:dyDescent="0.2">
      <c r="A1134" s="48">
        <f ca="1">IFERROR(__xludf.DUMMYFUNCTION("""COMPUTED_VALUE"""),46220)</f>
        <v>46220</v>
      </c>
      <c r="B1134" s="4" t="str">
        <f ca="1">IFERROR(__xludf.DUMMYFUNCTION("""COMPUTED_VALUE"""),"pasar Kaget")</f>
        <v>pasar Kaget</v>
      </c>
      <c r="C1134" s="4" t="str">
        <f ca="1">IFERROR(__xludf.DUMMYFUNCTION("""COMPUTED_VALUE"""),"Cash")</f>
        <v>Cash</v>
      </c>
      <c r="D1134" s="4" t="str">
        <f ca="1">IFERROR(__xludf.DUMMYFUNCTION("""COMPUTED_VALUE"""),"Out")</f>
        <v>Out</v>
      </c>
      <c r="E1134" s="4" t="str">
        <f ca="1">IFERROR(__xludf.DUMMYFUNCTION("""COMPUTED_VALUE"""),"Kitchen")</f>
        <v>Kitchen</v>
      </c>
      <c r="F1134" s="49">
        <f ca="1">IFERROR(__xludf.DUMMYFUNCTION("""COMPUTED_VALUE"""),109000)</f>
        <v>109000</v>
      </c>
      <c r="G1134" s="50" t="str">
        <f ca="1">IFERROR(__xludf.DUMMYFUNCTION("""COMPUTED_VALUE"""),"Zela")</f>
        <v>Zela</v>
      </c>
      <c r="H1134" s="51">
        <f t="shared" ca="1" si="0"/>
        <v>46204</v>
      </c>
      <c r="I1134" s="52" t="e">
        <f ca="1">SUMIFS(OUT!$F$2:$F$11000,OUT!$H$2:$H$11000,H1134,OUT!$D$2:$D$101007,"In")</f>
        <v>#VALUE!</v>
      </c>
      <c r="J1134" s="52">
        <f ca="1">SUMIFS(OUT!$F$2:$F$11000,OUT!$H$2:$H$11000,H1134,OUT!$D$2:$D$11000,"Out")</f>
        <v>9905717</v>
      </c>
      <c r="K1134" s="52">
        <f ca="1">SUMIFS(OUT!$F$2:$F$11000,OUT!$H$2:$H$11000,H1134,OUT!$D$2:$D$11000,"Out",OUT!$E$2:$E$11000,"Fix")</f>
        <v>3048680</v>
      </c>
      <c r="L1134" s="52">
        <f ca="1">SUMIFS(OUT!$F$2:$F$11000,OUT!$H$2:$H$11000,H1134,OUT!$D$2:$D$11000,"Out",OUT!$E$2:$E$11000,"Bathroom")</f>
        <v>50720</v>
      </c>
      <c r="M1134" s="52">
        <f ca="1">SUMIFS(OUT!$F$2:$F$11000,OUT!$H$2:$H$11000,H1134,OUT!$D$2:$D$11000,"Out",OUT!$E$2:$E$11000,"Alfa")</f>
        <v>294200</v>
      </c>
      <c r="N1134" s="52" t="e">
        <f ca="1">SUMIFS(OUT!$F$2:$F$11000,OUT!$H$2:$H$101007,H1134,OUT!$D$2:$D$11000,"Out",OUT!$E$2:$E$11000,"Jajan")</f>
        <v>#VALUE!</v>
      </c>
      <c r="O1134" s="52">
        <f ca="1">SUMIFS(OUT!$F$2:$F$11000,OUT!$H$2:$H$11000,H1134,OUT!$D$2:$D$11000,"Out",OUT!$E$2:$E$11000,"Kitchen")</f>
        <v>1360773</v>
      </c>
      <c r="P1134" s="52">
        <f ca="1">SUMIFS(OUT!$F$2:$F$11000,OUT!$H$2:$H$11000,H1134,OUT!$D$2:$D$11000,"Out",OUT!$E$2:$E$11000,"Loandry")</f>
        <v>11000</v>
      </c>
      <c r="Q1134" s="52">
        <f ca="1">SUMIFS(OUT!$F$2:$F$11000,OUT!$H$2:$H$11000,H1134,OUT!$D$2:$D$11000,"Out",OUT!$E$2:$E$11000,"Mio")</f>
        <v>338500</v>
      </c>
      <c r="R1134" s="52">
        <f ca="1">SUMIFS(OUT!$F$2:$F$11000,OUT!$H$2:$H$11000,H1134,OUT!$D$2:$D$11000,"Out",OUT!$E$2:$E$11000,"Sedekah")</f>
        <v>2500</v>
      </c>
      <c r="S1134" s="52">
        <f ca="1">SUMIFS(OUT!$F$2:$F$11000,OUT!$H$2:$H$11000,H1134,OUT!$D$2:$D$11000,"Out",OUT!$E$2:$E$11000,"Zela")</f>
        <v>387476</v>
      </c>
      <c r="T1134" s="52">
        <f ca="1">SUMIFS(OUT!$F$2:$F$11000,OUT!$H$2:$H$11000,H1134,OUT!$D$2:$D$11000,"Out",OUT!$E$2:$E$11000,"Iqbal")</f>
        <v>231000</v>
      </c>
    </row>
    <row r="1135" spans="1:20" x14ac:dyDescent="0.2">
      <c r="A1135" s="48">
        <f ca="1">IFERROR(__xludf.DUMMYFUNCTION("""COMPUTED_VALUE"""),46217)</f>
        <v>46217</v>
      </c>
      <c r="B1135" s="4" t="str">
        <f ca="1">IFERROR(__xludf.DUMMYFUNCTION("""COMPUTED_VALUE"""),"Shampo")</f>
        <v>Shampo</v>
      </c>
      <c r="C1135" s="4" t="str">
        <f ca="1">IFERROR(__xludf.DUMMYFUNCTION("""COMPUTED_VALUE"""),"ATM")</f>
        <v>ATM</v>
      </c>
      <c r="D1135" s="4" t="str">
        <f ca="1">IFERROR(__xludf.DUMMYFUNCTION("""COMPUTED_VALUE"""),"Out")</f>
        <v>Out</v>
      </c>
      <c r="E1135" s="4" t="str">
        <f ca="1">IFERROR(__xludf.DUMMYFUNCTION("""COMPUTED_VALUE"""),"Bathroom")</f>
        <v>Bathroom</v>
      </c>
      <c r="F1135" s="49">
        <f ca="1">IFERROR(__xludf.DUMMYFUNCTION("""COMPUTED_VALUE"""),10000)</f>
        <v>10000</v>
      </c>
      <c r="G1135" s="50" t="str">
        <f ca="1">IFERROR(__xludf.DUMMYFUNCTION("""COMPUTED_VALUE"""),"Zela")</f>
        <v>Zela</v>
      </c>
      <c r="H1135" s="51">
        <f t="shared" ca="1" si="0"/>
        <v>46204</v>
      </c>
      <c r="I1135" s="52" t="e">
        <f ca="1">SUMIFS(OUT!$F$2:$F$11000,OUT!$H$2:$H$11000,H1135,OUT!$D$2:$D$101007,"In")</f>
        <v>#VALUE!</v>
      </c>
      <c r="J1135" s="52">
        <f ca="1">SUMIFS(OUT!$F$2:$F$11000,OUT!$H$2:$H$11000,H1135,OUT!$D$2:$D$11000,"Out")</f>
        <v>9905717</v>
      </c>
      <c r="K1135" s="52">
        <f ca="1">SUMIFS(OUT!$F$2:$F$11000,OUT!$H$2:$H$11000,H1135,OUT!$D$2:$D$11000,"Out",OUT!$E$2:$E$11000,"Fix")</f>
        <v>3048680</v>
      </c>
      <c r="L1135" s="52">
        <f ca="1">SUMIFS(OUT!$F$2:$F$11000,OUT!$H$2:$H$11000,H1135,OUT!$D$2:$D$11000,"Out",OUT!$E$2:$E$11000,"Bathroom")</f>
        <v>50720</v>
      </c>
      <c r="M1135" s="52">
        <f ca="1">SUMIFS(OUT!$F$2:$F$11000,OUT!$H$2:$H$11000,H1135,OUT!$D$2:$D$11000,"Out",OUT!$E$2:$E$11000,"Alfa")</f>
        <v>294200</v>
      </c>
      <c r="N1135" s="52" t="e">
        <f ca="1">SUMIFS(OUT!$F$2:$F$11000,OUT!$H$2:$H$101007,H1135,OUT!$D$2:$D$11000,"Out",OUT!$E$2:$E$11000,"Jajan")</f>
        <v>#VALUE!</v>
      </c>
      <c r="O1135" s="52">
        <f ca="1">SUMIFS(OUT!$F$2:$F$11000,OUT!$H$2:$H$11000,H1135,OUT!$D$2:$D$11000,"Out",OUT!$E$2:$E$11000,"Kitchen")</f>
        <v>1360773</v>
      </c>
      <c r="P1135" s="52">
        <f ca="1">SUMIFS(OUT!$F$2:$F$11000,OUT!$H$2:$H$11000,H1135,OUT!$D$2:$D$11000,"Out",OUT!$E$2:$E$11000,"Loandry")</f>
        <v>11000</v>
      </c>
      <c r="Q1135" s="52">
        <f ca="1">SUMIFS(OUT!$F$2:$F$11000,OUT!$H$2:$H$11000,H1135,OUT!$D$2:$D$11000,"Out",OUT!$E$2:$E$11000,"Mio")</f>
        <v>338500</v>
      </c>
      <c r="R1135" s="52">
        <f ca="1">SUMIFS(OUT!$F$2:$F$11000,OUT!$H$2:$H$11000,H1135,OUT!$D$2:$D$11000,"Out",OUT!$E$2:$E$11000,"Sedekah")</f>
        <v>2500</v>
      </c>
      <c r="S1135" s="52">
        <f ca="1">SUMIFS(OUT!$F$2:$F$11000,OUT!$H$2:$H$11000,H1135,OUT!$D$2:$D$11000,"Out",OUT!$E$2:$E$11000,"Zela")</f>
        <v>387476</v>
      </c>
      <c r="T1135" s="52">
        <f ca="1">SUMIFS(OUT!$F$2:$F$11000,OUT!$H$2:$H$11000,H1135,OUT!$D$2:$D$11000,"Out",OUT!$E$2:$E$11000,"Iqbal")</f>
        <v>231000</v>
      </c>
    </row>
    <row r="1136" spans="1:20" x14ac:dyDescent="0.2">
      <c r="A1136" s="48">
        <f ca="1">IFERROR(__xludf.DUMMYFUNCTION("""COMPUTED_VALUE"""),46221)</f>
        <v>46221</v>
      </c>
      <c r="B1136" s="4" t="str">
        <f ca="1">IFERROR(__xludf.DUMMYFUNCTION("""COMPUTED_VALUE"""),"Tarik Tunai")</f>
        <v>Tarik Tunai</v>
      </c>
      <c r="C1136" s="4" t="str">
        <f ca="1">IFERROR(__xludf.DUMMYFUNCTION("""COMPUTED_VALUE"""),"ATM")</f>
        <v>ATM</v>
      </c>
      <c r="D1136" s="4" t="str">
        <f ca="1">IFERROR(__xludf.DUMMYFUNCTION("""COMPUTED_VALUE"""),"Out")</f>
        <v>Out</v>
      </c>
      <c r="E1136" s="4" t="str">
        <f ca="1">IFERROR(__xludf.DUMMYFUNCTION("""COMPUTED_VALUE"""),"Move")</f>
        <v>Move</v>
      </c>
      <c r="F1136" s="49">
        <f ca="1">IFERROR(__xludf.DUMMYFUNCTION("""COMPUTED_VALUE"""),100000)</f>
        <v>100000</v>
      </c>
      <c r="G1136" s="50" t="str">
        <f ca="1">IFERROR(__xludf.DUMMYFUNCTION("""COMPUTED_VALUE"""),"Zela")</f>
        <v>Zela</v>
      </c>
      <c r="H1136" s="51">
        <f t="shared" ca="1" si="0"/>
        <v>46204</v>
      </c>
      <c r="I1136" s="52" t="e">
        <f ca="1">SUMIFS(OUT!$F$2:$F$11000,OUT!$H$2:$H$11000,H1136,OUT!$D$2:$D$101007,"In")</f>
        <v>#VALUE!</v>
      </c>
      <c r="J1136" s="52">
        <f ca="1">SUMIFS(OUT!$F$2:$F$11000,OUT!$H$2:$H$11000,H1136,OUT!$D$2:$D$11000,"Out")</f>
        <v>9905717</v>
      </c>
      <c r="K1136" s="52">
        <f ca="1">SUMIFS(OUT!$F$2:$F$11000,OUT!$H$2:$H$11000,H1136,OUT!$D$2:$D$11000,"Out",OUT!$E$2:$E$11000,"Fix")</f>
        <v>3048680</v>
      </c>
      <c r="L1136" s="52">
        <f ca="1">SUMIFS(OUT!$F$2:$F$11000,OUT!$H$2:$H$11000,H1136,OUT!$D$2:$D$11000,"Out",OUT!$E$2:$E$11000,"Bathroom")</f>
        <v>50720</v>
      </c>
      <c r="M1136" s="52">
        <f ca="1">SUMIFS(OUT!$F$2:$F$11000,OUT!$H$2:$H$11000,H1136,OUT!$D$2:$D$11000,"Out",OUT!$E$2:$E$11000,"Alfa")</f>
        <v>294200</v>
      </c>
      <c r="N1136" s="52" t="e">
        <f ca="1">SUMIFS(OUT!$F$2:$F$11000,OUT!$H$2:$H$101007,H1136,OUT!$D$2:$D$11000,"Out",OUT!$E$2:$E$11000,"Jajan")</f>
        <v>#VALUE!</v>
      </c>
      <c r="O1136" s="52">
        <f ca="1">SUMIFS(OUT!$F$2:$F$11000,OUT!$H$2:$H$11000,H1136,OUT!$D$2:$D$11000,"Out",OUT!$E$2:$E$11000,"Kitchen")</f>
        <v>1360773</v>
      </c>
      <c r="P1136" s="52">
        <f ca="1">SUMIFS(OUT!$F$2:$F$11000,OUT!$H$2:$H$11000,H1136,OUT!$D$2:$D$11000,"Out",OUT!$E$2:$E$11000,"Loandry")</f>
        <v>11000</v>
      </c>
      <c r="Q1136" s="52">
        <f ca="1">SUMIFS(OUT!$F$2:$F$11000,OUT!$H$2:$H$11000,H1136,OUT!$D$2:$D$11000,"Out",OUT!$E$2:$E$11000,"Mio")</f>
        <v>338500</v>
      </c>
      <c r="R1136" s="52">
        <f ca="1">SUMIFS(OUT!$F$2:$F$11000,OUT!$H$2:$H$11000,H1136,OUT!$D$2:$D$11000,"Out",OUT!$E$2:$E$11000,"Sedekah")</f>
        <v>2500</v>
      </c>
      <c r="S1136" s="52">
        <f ca="1">SUMIFS(OUT!$F$2:$F$11000,OUT!$H$2:$H$11000,H1136,OUT!$D$2:$D$11000,"Out",OUT!$E$2:$E$11000,"Zela")</f>
        <v>387476</v>
      </c>
      <c r="T1136" s="52">
        <f ca="1">SUMIFS(OUT!$F$2:$F$11000,OUT!$H$2:$H$11000,H1136,OUT!$D$2:$D$11000,"Out",OUT!$E$2:$E$11000,"Iqbal")</f>
        <v>231000</v>
      </c>
    </row>
    <row r="1137" spans="1:20" x14ac:dyDescent="0.2">
      <c r="A1137" s="48">
        <f ca="1">IFERROR(__xludf.DUMMYFUNCTION("""COMPUTED_VALUE"""),46221)</f>
        <v>46221</v>
      </c>
      <c r="B1137" s="4" t="str">
        <f ca="1">IFERROR(__xludf.DUMMYFUNCTION("""COMPUTED_VALUE"""),"Terima Tunain")</f>
        <v>Terima Tunain</v>
      </c>
      <c r="C1137" s="4" t="str">
        <f ca="1">IFERROR(__xludf.DUMMYFUNCTION("""COMPUTED_VALUE"""),"Cash")</f>
        <v>Cash</v>
      </c>
      <c r="D1137" s="4" t="str">
        <f ca="1">IFERROR(__xludf.DUMMYFUNCTION("""COMPUTED_VALUE"""),"In")</f>
        <v>In</v>
      </c>
      <c r="E1137" s="4" t="str">
        <f ca="1">IFERROR(__xludf.DUMMYFUNCTION("""COMPUTED_VALUE"""),"Move")</f>
        <v>Move</v>
      </c>
      <c r="F1137" s="49">
        <f ca="1">IFERROR(__xludf.DUMMYFUNCTION("""COMPUTED_VALUE"""),100000)</f>
        <v>100000</v>
      </c>
      <c r="G1137" s="50" t="str">
        <f ca="1">IFERROR(__xludf.DUMMYFUNCTION("""COMPUTED_VALUE"""),"Zela")</f>
        <v>Zela</v>
      </c>
      <c r="H1137" s="51">
        <f t="shared" ca="1" si="0"/>
        <v>46204</v>
      </c>
      <c r="I1137" s="52" t="e">
        <f ca="1">SUMIFS(OUT!$F$2:$F$11000,OUT!$H$2:$H$11000,H1137,OUT!$D$2:$D$101007,"In")</f>
        <v>#VALUE!</v>
      </c>
      <c r="J1137" s="52">
        <f ca="1">SUMIFS(OUT!$F$2:$F$11000,OUT!$H$2:$H$11000,H1137,OUT!$D$2:$D$11000,"Out")</f>
        <v>9905717</v>
      </c>
      <c r="K1137" s="52">
        <f ca="1">SUMIFS(OUT!$F$2:$F$11000,OUT!$H$2:$H$11000,H1137,OUT!$D$2:$D$11000,"Out",OUT!$E$2:$E$11000,"Fix")</f>
        <v>3048680</v>
      </c>
      <c r="L1137" s="52">
        <f ca="1">SUMIFS(OUT!$F$2:$F$11000,OUT!$H$2:$H$11000,H1137,OUT!$D$2:$D$11000,"Out",OUT!$E$2:$E$11000,"Bathroom")</f>
        <v>50720</v>
      </c>
      <c r="M1137" s="52">
        <f ca="1">SUMIFS(OUT!$F$2:$F$11000,OUT!$H$2:$H$11000,H1137,OUT!$D$2:$D$11000,"Out",OUT!$E$2:$E$11000,"Alfa")</f>
        <v>294200</v>
      </c>
      <c r="N1137" s="52" t="e">
        <f ca="1">SUMIFS(OUT!$F$2:$F$11000,OUT!$H$2:$H$101007,H1137,OUT!$D$2:$D$11000,"Out",OUT!$E$2:$E$11000,"Jajan")</f>
        <v>#VALUE!</v>
      </c>
      <c r="O1137" s="52">
        <f ca="1">SUMIFS(OUT!$F$2:$F$11000,OUT!$H$2:$H$11000,H1137,OUT!$D$2:$D$11000,"Out",OUT!$E$2:$E$11000,"Kitchen")</f>
        <v>1360773</v>
      </c>
      <c r="P1137" s="52">
        <f ca="1">SUMIFS(OUT!$F$2:$F$11000,OUT!$H$2:$H$11000,H1137,OUT!$D$2:$D$11000,"Out",OUT!$E$2:$E$11000,"Loandry")</f>
        <v>11000</v>
      </c>
      <c r="Q1137" s="52">
        <f ca="1">SUMIFS(OUT!$F$2:$F$11000,OUT!$H$2:$H$11000,H1137,OUT!$D$2:$D$11000,"Out",OUT!$E$2:$E$11000,"Mio")</f>
        <v>338500</v>
      </c>
      <c r="R1137" s="52">
        <f ca="1">SUMIFS(OUT!$F$2:$F$11000,OUT!$H$2:$H$11000,H1137,OUT!$D$2:$D$11000,"Out",OUT!$E$2:$E$11000,"Sedekah")</f>
        <v>2500</v>
      </c>
      <c r="S1137" s="52">
        <f ca="1">SUMIFS(OUT!$F$2:$F$11000,OUT!$H$2:$H$11000,H1137,OUT!$D$2:$D$11000,"Out",OUT!$E$2:$E$11000,"Zela")</f>
        <v>387476</v>
      </c>
      <c r="T1137" s="52">
        <f ca="1">SUMIFS(OUT!$F$2:$F$11000,OUT!$H$2:$H$11000,H1137,OUT!$D$2:$D$11000,"Out",OUT!$E$2:$E$11000,"Iqbal")</f>
        <v>231000</v>
      </c>
    </row>
    <row r="1138" spans="1:20" x14ac:dyDescent="0.2">
      <c r="A1138" s="48">
        <f ca="1">IFERROR(__xludf.DUMMYFUNCTION("""COMPUTED_VALUE"""),46221)</f>
        <v>46221</v>
      </c>
      <c r="B1138" s="4" t="str">
        <f ca="1">IFERROR(__xludf.DUMMYFUNCTION("""COMPUTED_VALUE"""),"Suamiku")</f>
        <v>Suamiku</v>
      </c>
      <c r="C1138" s="4" t="str">
        <f ca="1">IFERROR(__xludf.DUMMYFUNCTION("""COMPUTED_VALUE"""),"ATM")</f>
        <v>ATM</v>
      </c>
      <c r="D1138" s="4" t="str">
        <f ca="1">IFERROR(__xludf.DUMMYFUNCTION("""COMPUTED_VALUE"""),"Out")</f>
        <v>Out</v>
      </c>
      <c r="E1138" s="4" t="str">
        <f ca="1">IFERROR(__xludf.DUMMYFUNCTION("""COMPUTED_VALUE"""),"Move")</f>
        <v>Move</v>
      </c>
      <c r="F1138" s="49">
        <f ca="1">IFERROR(__xludf.DUMMYFUNCTION("""COMPUTED_VALUE"""),17000)</f>
        <v>17000</v>
      </c>
      <c r="G1138" s="50" t="str">
        <f ca="1">IFERROR(__xludf.DUMMYFUNCTION("""COMPUTED_VALUE"""),"Zela")</f>
        <v>Zela</v>
      </c>
      <c r="H1138" s="51">
        <f t="shared" ca="1" si="0"/>
        <v>46204</v>
      </c>
      <c r="I1138" s="52" t="e">
        <f ca="1">SUMIFS(OUT!$F$2:$F$11000,OUT!$H$2:$H$11000,H1138,OUT!$D$2:$D$101007,"In")</f>
        <v>#VALUE!</v>
      </c>
      <c r="J1138" s="52">
        <f ca="1">SUMIFS(OUT!$F$2:$F$11000,OUT!$H$2:$H$11000,H1138,OUT!$D$2:$D$11000,"Out")</f>
        <v>9905717</v>
      </c>
      <c r="K1138" s="52">
        <f ca="1">SUMIFS(OUT!$F$2:$F$11000,OUT!$H$2:$H$11000,H1138,OUT!$D$2:$D$11000,"Out",OUT!$E$2:$E$11000,"Fix")</f>
        <v>3048680</v>
      </c>
      <c r="L1138" s="52">
        <f ca="1">SUMIFS(OUT!$F$2:$F$11000,OUT!$H$2:$H$11000,H1138,OUT!$D$2:$D$11000,"Out",OUT!$E$2:$E$11000,"Bathroom")</f>
        <v>50720</v>
      </c>
      <c r="M1138" s="52">
        <f ca="1">SUMIFS(OUT!$F$2:$F$11000,OUT!$H$2:$H$11000,H1138,OUT!$D$2:$D$11000,"Out",OUT!$E$2:$E$11000,"Alfa")</f>
        <v>294200</v>
      </c>
      <c r="N1138" s="52" t="e">
        <f ca="1">SUMIFS(OUT!$F$2:$F$11000,OUT!$H$2:$H$101007,H1138,OUT!$D$2:$D$11000,"Out",OUT!$E$2:$E$11000,"Jajan")</f>
        <v>#VALUE!</v>
      </c>
      <c r="O1138" s="52">
        <f ca="1">SUMIFS(OUT!$F$2:$F$11000,OUT!$H$2:$H$11000,H1138,OUT!$D$2:$D$11000,"Out",OUT!$E$2:$E$11000,"Kitchen")</f>
        <v>1360773</v>
      </c>
      <c r="P1138" s="52">
        <f ca="1">SUMIFS(OUT!$F$2:$F$11000,OUT!$H$2:$H$11000,H1138,OUT!$D$2:$D$11000,"Out",OUT!$E$2:$E$11000,"Loandry")</f>
        <v>11000</v>
      </c>
      <c r="Q1138" s="52">
        <f ca="1">SUMIFS(OUT!$F$2:$F$11000,OUT!$H$2:$H$11000,H1138,OUT!$D$2:$D$11000,"Out",OUT!$E$2:$E$11000,"Mio")</f>
        <v>338500</v>
      </c>
      <c r="R1138" s="52">
        <f ca="1">SUMIFS(OUT!$F$2:$F$11000,OUT!$H$2:$H$11000,H1138,OUT!$D$2:$D$11000,"Out",OUT!$E$2:$E$11000,"Sedekah")</f>
        <v>2500</v>
      </c>
      <c r="S1138" s="52">
        <f ca="1">SUMIFS(OUT!$F$2:$F$11000,OUT!$H$2:$H$11000,H1138,OUT!$D$2:$D$11000,"Out",OUT!$E$2:$E$11000,"Zela")</f>
        <v>387476</v>
      </c>
      <c r="T1138" s="52">
        <f ca="1">SUMIFS(OUT!$F$2:$F$11000,OUT!$H$2:$H$11000,H1138,OUT!$D$2:$D$11000,"Out",OUT!$E$2:$E$11000,"Iqbal")</f>
        <v>231000</v>
      </c>
    </row>
    <row r="1139" spans="1:20" x14ac:dyDescent="0.2">
      <c r="A1139" s="48">
        <f ca="1">IFERROR(__xludf.DUMMYFUNCTION("""COMPUTED_VALUE"""),46221)</f>
        <v>46221</v>
      </c>
      <c r="B1139" s="4" t="str">
        <f ca="1">IFERROR(__xludf.DUMMYFUNCTION("""COMPUTED_VALUE"""),"Roti Tawar")</f>
        <v>Roti Tawar</v>
      </c>
      <c r="C1139" s="4" t="str">
        <f ca="1">IFERROR(__xludf.DUMMYFUNCTION("""COMPUTED_VALUE"""),"Cash")</f>
        <v>Cash</v>
      </c>
      <c r="D1139" s="4" t="str">
        <f ca="1">IFERROR(__xludf.DUMMYFUNCTION("""COMPUTED_VALUE"""),"Out")</f>
        <v>Out</v>
      </c>
      <c r="E1139" s="4" t="str">
        <f ca="1">IFERROR(__xludf.DUMMYFUNCTION("""COMPUTED_VALUE"""),"Jajan")</f>
        <v>Jajan</v>
      </c>
      <c r="F1139" s="49">
        <f ca="1">IFERROR(__xludf.DUMMYFUNCTION("""COMPUTED_VALUE"""),15000)</f>
        <v>15000</v>
      </c>
      <c r="G1139" s="50" t="str">
        <f ca="1">IFERROR(__xludf.DUMMYFUNCTION("""COMPUTED_VALUE"""),"Zela")</f>
        <v>Zela</v>
      </c>
      <c r="H1139" s="51">
        <f t="shared" ca="1" si="0"/>
        <v>46204</v>
      </c>
      <c r="I1139" s="52" t="e">
        <f ca="1">SUMIFS(OUT!$F$2:$F$11000,OUT!$H$2:$H$11000,H1139,OUT!$D$2:$D$101007,"In")</f>
        <v>#VALUE!</v>
      </c>
      <c r="J1139" s="52">
        <f ca="1">SUMIFS(OUT!$F$2:$F$11000,OUT!$H$2:$H$11000,H1139,OUT!$D$2:$D$11000,"Out")</f>
        <v>9905717</v>
      </c>
      <c r="K1139" s="52">
        <f ca="1">SUMIFS(OUT!$F$2:$F$11000,OUT!$H$2:$H$11000,H1139,OUT!$D$2:$D$11000,"Out",OUT!$E$2:$E$11000,"Fix")</f>
        <v>3048680</v>
      </c>
      <c r="L1139" s="52">
        <f ca="1">SUMIFS(OUT!$F$2:$F$11000,OUT!$H$2:$H$11000,H1139,OUT!$D$2:$D$11000,"Out",OUT!$E$2:$E$11000,"Bathroom")</f>
        <v>50720</v>
      </c>
      <c r="M1139" s="52">
        <f ca="1">SUMIFS(OUT!$F$2:$F$11000,OUT!$H$2:$H$11000,H1139,OUT!$D$2:$D$11000,"Out",OUT!$E$2:$E$11000,"Alfa")</f>
        <v>294200</v>
      </c>
      <c r="N1139" s="52" t="e">
        <f ca="1">SUMIFS(OUT!$F$2:$F$11000,OUT!$H$2:$H$101007,H1139,OUT!$D$2:$D$11000,"Out",OUT!$E$2:$E$11000,"Jajan")</f>
        <v>#VALUE!</v>
      </c>
      <c r="O1139" s="52">
        <f ca="1">SUMIFS(OUT!$F$2:$F$11000,OUT!$H$2:$H$11000,H1139,OUT!$D$2:$D$11000,"Out",OUT!$E$2:$E$11000,"Kitchen")</f>
        <v>1360773</v>
      </c>
      <c r="P1139" s="52">
        <f ca="1">SUMIFS(OUT!$F$2:$F$11000,OUT!$H$2:$H$11000,H1139,OUT!$D$2:$D$11000,"Out",OUT!$E$2:$E$11000,"Loandry")</f>
        <v>11000</v>
      </c>
      <c r="Q1139" s="52">
        <f ca="1">SUMIFS(OUT!$F$2:$F$11000,OUT!$H$2:$H$11000,H1139,OUT!$D$2:$D$11000,"Out",OUT!$E$2:$E$11000,"Mio")</f>
        <v>338500</v>
      </c>
      <c r="R1139" s="52">
        <f ca="1">SUMIFS(OUT!$F$2:$F$11000,OUT!$H$2:$H$11000,H1139,OUT!$D$2:$D$11000,"Out",OUT!$E$2:$E$11000,"Sedekah")</f>
        <v>2500</v>
      </c>
      <c r="S1139" s="52">
        <f ca="1">SUMIFS(OUT!$F$2:$F$11000,OUT!$H$2:$H$11000,H1139,OUT!$D$2:$D$11000,"Out",OUT!$E$2:$E$11000,"Zela")</f>
        <v>387476</v>
      </c>
      <c r="T1139" s="52">
        <f ca="1">SUMIFS(OUT!$F$2:$F$11000,OUT!$H$2:$H$11000,H1139,OUT!$D$2:$D$11000,"Out",OUT!$E$2:$E$11000,"Iqbal")</f>
        <v>231000</v>
      </c>
    </row>
    <row r="1140" spans="1:20" x14ac:dyDescent="0.2">
      <c r="A1140" s="48">
        <f ca="1">IFERROR(__xludf.DUMMYFUNCTION("""COMPUTED_VALUE"""),46221)</f>
        <v>46221</v>
      </c>
      <c r="B1140" s="4" t="str">
        <f ca="1">IFERROR(__xludf.DUMMYFUNCTION("""COMPUTED_VALUE"""),"Stick keju+roti bobo")</f>
        <v>Stick keju+roti bobo</v>
      </c>
      <c r="C1140" s="4" t="str">
        <f ca="1">IFERROR(__xludf.DUMMYFUNCTION("""COMPUTED_VALUE"""),"Cash")</f>
        <v>Cash</v>
      </c>
      <c r="D1140" s="4" t="str">
        <f ca="1">IFERROR(__xludf.DUMMYFUNCTION("""COMPUTED_VALUE"""),"Out")</f>
        <v>Out</v>
      </c>
      <c r="E1140" s="4" t="str">
        <f ca="1">IFERROR(__xludf.DUMMYFUNCTION("""COMPUTED_VALUE"""),"Jajan")</f>
        <v>Jajan</v>
      </c>
      <c r="F1140" s="49">
        <f ca="1">IFERROR(__xludf.DUMMYFUNCTION("""COMPUTED_VALUE"""),11000)</f>
        <v>11000</v>
      </c>
      <c r="G1140" s="50" t="str">
        <f ca="1">IFERROR(__xludf.DUMMYFUNCTION("""COMPUTED_VALUE"""),"Zela")</f>
        <v>Zela</v>
      </c>
      <c r="H1140" s="51">
        <f t="shared" ca="1" si="0"/>
        <v>46204</v>
      </c>
      <c r="I1140" s="52" t="e">
        <f ca="1">SUMIFS(OUT!$F$2:$F$11000,OUT!$H$2:$H$11000,H1140,OUT!$D$2:$D$101007,"In")</f>
        <v>#VALUE!</v>
      </c>
      <c r="J1140" s="52">
        <f ca="1">SUMIFS(OUT!$F$2:$F$11000,OUT!$H$2:$H$11000,H1140,OUT!$D$2:$D$11000,"Out")</f>
        <v>9905717</v>
      </c>
      <c r="K1140" s="52">
        <f ca="1">SUMIFS(OUT!$F$2:$F$11000,OUT!$H$2:$H$11000,H1140,OUT!$D$2:$D$11000,"Out",OUT!$E$2:$E$11000,"Fix")</f>
        <v>3048680</v>
      </c>
      <c r="L1140" s="52">
        <f ca="1">SUMIFS(OUT!$F$2:$F$11000,OUT!$H$2:$H$11000,H1140,OUT!$D$2:$D$11000,"Out",OUT!$E$2:$E$11000,"Bathroom")</f>
        <v>50720</v>
      </c>
      <c r="M1140" s="52">
        <f ca="1">SUMIFS(OUT!$F$2:$F$11000,OUT!$H$2:$H$11000,H1140,OUT!$D$2:$D$11000,"Out",OUT!$E$2:$E$11000,"Alfa")</f>
        <v>294200</v>
      </c>
      <c r="N1140" s="52" t="e">
        <f ca="1">SUMIFS(OUT!$F$2:$F$11000,OUT!$H$2:$H$101007,H1140,OUT!$D$2:$D$11000,"Out",OUT!$E$2:$E$11000,"Jajan")</f>
        <v>#VALUE!</v>
      </c>
      <c r="O1140" s="52">
        <f ca="1">SUMIFS(OUT!$F$2:$F$11000,OUT!$H$2:$H$11000,H1140,OUT!$D$2:$D$11000,"Out",OUT!$E$2:$E$11000,"Kitchen")</f>
        <v>1360773</v>
      </c>
      <c r="P1140" s="52">
        <f ca="1">SUMIFS(OUT!$F$2:$F$11000,OUT!$H$2:$H$11000,H1140,OUT!$D$2:$D$11000,"Out",OUT!$E$2:$E$11000,"Loandry")</f>
        <v>11000</v>
      </c>
      <c r="Q1140" s="52">
        <f ca="1">SUMIFS(OUT!$F$2:$F$11000,OUT!$H$2:$H$11000,H1140,OUT!$D$2:$D$11000,"Out",OUT!$E$2:$E$11000,"Mio")</f>
        <v>338500</v>
      </c>
      <c r="R1140" s="52">
        <f ca="1">SUMIFS(OUT!$F$2:$F$11000,OUT!$H$2:$H$11000,H1140,OUT!$D$2:$D$11000,"Out",OUT!$E$2:$E$11000,"Sedekah")</f>
        <v>2500</v>
      </c>
      <c r="S1140" s="52">
        <f ca="1">SUMIFS(OUT!$F$2:$F$11000,OUT!$H$2:$H$11000,H1140,OUT!$D$2:$D$11000,"Out",OUT!$E$2:$E$11000,"Zela")</f>
        <v>387476</v>
      </c>
      <c r="T1140" s="52">
        <f ca="1">SUMIFS(OUT!$F$2:$F$11000,OUT!$H$2:$H$11000,H1140,OUT!$D$2:$D$11000,"Out",OUT!$E$2:$E$11000,"Iqbal")</f>
        <v>231000</v>
      </c>
    </row>
    <row r="1141" spans="1:20" x14ac:dyDescent="0.2">
      <c r="A1141" s="48">
        <f ca="1">IFERROR(__xludf.DUMMYFUNCTION("""COMPUTED_VALUE"""),46221)</f>
        <v>46221</v>
      </c>
      <c r="B1141" s="4" t="str">
        <f ca="1">IFERROR(__xludf.DUMMYFUNCTION("""COMPUTED_VALUE"""),"Mi ayam2+bakso")</f>
        <v>Mi ayam2+bakso</v>
      </c>
      <c r="C1141" s="4" t="str">
        <f ca="1">IFERROR(__xludf.DUMMYFUNCTION("""COMPUTED_VALUE"""),"Cash")</f>
        <v>Cash</v>
      </c>
      <c r="D1141" s="4" t="str">
        <f ca="1">IFERROR(__xludf.DUMMYFUNCTION("""COMPUTED_VALUE"""),"Out")</f>
        <v>Out</v>
      </c>
      <c r="E1141" s="4" t="str">
        <f ca="1">IFERROR(__xludf.DUMMYFUNCTION("""COMPUTED_VALUE"""),"Kitchen")</f>
        <v>Kitchen</v>
      </c>
      <c r="F1141" s="49">
        <f ca="1">IFERROR(__xludf.DUMMYFUNCTION("""COMPUTED_VALUE"""),48000)</f>
        <v>48000</v>
      </c>
      <c r="G1141" s="50" t="str">
        <f ca="1">IFERROR(__xludf.DUMMYFUNCTION("""COMPUTED_VALUE"""),"Zela")</f>
        <v>Zela</v>
      </c>
      <c r="H1141" s="51">
        <f t="shared" ca="1" si="0"/>
        <v>46204</v>
      </c>
      <c r="I1141" s="52" t="e">
        <f ca="1">SUMIFS(OUT!$F$2:$F$11000,OUT!$H$2:$H$11000,H1141,OUT!$D$2:$D$101007,"In")</f>
        <v>#VALUE!</v>
      </c>
      <c r="J1141" s="52">
        <f ca="1">SUMIFS(OUT!$F$2:$F$11000,OUT!$H$2:$H$11000,H1141,OUT!$D$2:$D$11000,"Out")</f>
        <v>9905717</v>
      </c>
      <c r="K1141" s="52">
        <f ca="1">SUMIFS(OUT!$F$2:$F$11000,OUT!$H$2:$H$11000,H1141,OUT!$D$2:$D$11000,"Out",OUT!$E$2:$E$11000,"Fix")</f>
        <v>3048680</v>
      </c>
      <c r="L1141" s="52">
        <f ca="1">SUMIFS(OUT!$F$2:$F$11000,OUT!$H$2:$H$11000,H1141,OUT!$D$2:$D$11000,"Out",OUT!$E$2:$E$11000,"Bathroom")</f>
        <v>50720</v>
      </c>
      <c r="M1141" s="52">
        <f ca="1">SUMIFS(OUT!$F$2:$F$11000,OUT!$H$2:$H$11000,H1141,OUT!$D$2:$D$11000,"Out",OUT!$E$2:$E$11000,"Alfa")</f>
        <v>294200</v>
      </c>
      <c r="N1141" s="52" t="e">
        <f ca="1">SUMIFS(OUT!$F$2:$F$11000,OUT!$H$2:$H$101007,H1141,OUT!$D$2:$D$11000,"Out",OUT!$E$2:$E$11000,"Jajan")</f>
        <v>#VALUE!</v>
      </c>
      <c r="O1141" s="52">
        <f ca="1">SUMIFS(OUT!$F$2:$F$11000,OUT!$H$2:$H$11000,H1141,OUT!$D$2:$D$11000,"Out",OUT!$E$2:$E$11000,"Kitchen")</f>
        <v>1360773</v>
      </c>
      <c r="P1141" s="52">
        <f ca="1">SUMIFS(OUT!$F$2:$F$11000,OUT!$H$2:$H$11000,H1141,OUT!$D$2:$D$11000,"Out",OUT!$E$2:$E$11000,"Loandry")</f>
        <v>11000</v>
      </c>
      <c r="Q1141" s="52">
        <f ca="1">SUMIFS(OUT!$F$2:$F$11000,OUT!$H$2:$H$11000,H1141,OUT!$D$2:$D$11000,"Out",OUT!$E$2:$E$11000,"Mio")</f>
        <v>338500</v>
      </c>
      <c r="R1141" s="52">
        <f ca="1">SUMIFS(OUT!$F$2:$F$11000,OUT!$H$2:$H$11000,H1141,OUT!$D$2:$D$11000,"Out",OUT!$E$2:$E$11000,"Sedekah")</f>
        <v>2500</v>
      </c>
      <c r="S1141" s="52">
        <f ca="1">SUMIFS(OUT!$F$2:$F$11000,OUT!$H$2:$H$11000,H1141,OUT!$D$2:$D$11000,"Out",OUT!$E$2:$E$11000,"Zela")</f>
        <v>387476</v>
      </c>
      <c r="T1141" s="52">
        <f ca="1">SUMIFS(OUT!$F$2:$F$11000,OUT!$H$2:$H$11000,H1141,OUT!$D$2:$D$11000,"Out",OUT!$E$2:$E$11000,"Iqbal")</f>
        <v>231000</v>
      </c>
    </row>
    <row r="1142" spans="1:20" x14ac:dyDescent="0.2">
      <c r="A1142" s="48">
        <f ca="1">IFERROR(__xludf.DUMMYFUNCTION("""COMPUTED_VALUE"""),46222)</f>
        <v>46222</v>
      </c>
      <c r="B1142" s="4" t="str">
        <f ca="1">IFERROR(__xludf.DUMMYFUNCTION("""COMPUTED_VALUE"""),"roti gepeng + teh ")</f>
        <v xml:space="preserve">roti gepeng + teh </v>
      </c>
      <c r="C1142" s="4" t="str">
        <f ca="1">IFERROR(__xludf.DUMMYFUNCTION("""COMPUTED_VALUE"""),"Cash")</f>
        <v>Cash</v>
      </c>
      <c r="D1142" s="4" t="str">
        <f ca="1">IFERROR(__xludf.DUMMYFUNCTION("""COMPUTED_VALUE"""),"Out")</f>
        <v>Out</v>
      </c>
      <c r="E1142" s="4" t="str">
        <f ca="1">IFERROR(__xludf.DUMMYFUNCTION("""COMPUTED_VALUE"""),"Jajan")</f>
        <v>Jajan</v>
      </c>
      <c r="F1142" s="49">
        <f ca="1">IFERROR(__xludf.DUMMYFUNCTION("""COMPUTED_VALUE"""),15000)</f>
        <v>15000</v>
      </c>
      <c r="G1142" s="50" t="str">
        <f ca="1">IFERROR(__xludf.DUMMYFUNCTION("""COMPUTED_VALUE"""),"Zela")</f>
        <v>Zela</v>
      </c>
      <c r="H1142" s="51">
        <f t="shared" ca="1" si="0"/>
        <v>46204</v>
      </c>
      <c r="I1142" s="52" t="e">
        <f ca="1">SUMIFS(OUT!$F$2:$F$11000,OUT!$H$2:$H$11000,H1142,OUT!$D$2:$D$101007,"In")</f>
        <v>#VALUE!</v>
      </c>
      <c r="J1142" s="52">
        <f ca="1">SUMIFS(OUT!$F$2:$F$11000,OUT!$H$2:$H$11000,H1142,OUT!$D$2:$D$11000,"Out")</f>
        <v>9905717</v>
      </c>
      <c r="K1142" s="52">
        <f ca="1">SUMIFS(OUT!$F$2:$F$11000,OUT!$H$2:$H$11000,H1142,OUT!$D$2:$D$11000,"Out",OUT!$E$2:$E$11000,"Fix")</f>
        <v>3048680</v>
      </c>
      <c r="L1142" s="52">
        <f ca="1">SUMIFS(OUT!$F$2:$F$11000,OUT!$H$2:$H$11000,H1142,OUT!$D$2:$D$11000,"Out",OUT!$E$2:$E$11000,"Bathroom")</f>
        <v>50720</v>
      </c>
      <c r="M1142" s="52">
        <f ca="1">SUMIFS(OUT!$F$2:$F$11000,OUT!$H$2:$H$11000,H1142,OUT!$D$2:$D$11000,"Out",OUT!$E$2:$E$11000,"Alfa")</f>
        <v>294200</v>
      </c>
      <c r="N1142" s="52" t="e">
        <f ca="1">SUMIFS(OUT!$F$2:$F$11000,OUT!$H$2:$H$101007,H1142,OUT!$D$2:$D$11000,"Out",OUT!$E$2:$E$11000,"Jajan")</f>
        <v>#VALUE!</v>
      </c>
      <c r="O1142" s="52">
        <f ca="1">SUMIFS(OUT!$F$2:$F$11000,OUT!$H$2:$H$11000,H1142,OUT!$D$2:$D$11000,"Out",OUT!$E$2:$E$11000,"Kitchen")</f>
        <v>1360773</v>
      </c>
      <c r="P1142" s="52">
        <f ca="1">SUMIFS(OUT!$F$2:$F$11000,OUT!$H$2:$H$11000,H1142,OUT!$D$2:$D$11000,"Out",OUT!$E$2:$E$11000,"Loandry")</f>
        <v>11000</v>
      </c>
      <c r="Q1142" s="52">
        <f ca="1">SUMIFS(OUT!$F$2:$F$11000,OUT!$H$2:$H$11000,H1142,OUT!$D$2:$D$11000,"Out",OUT!$E$2:$E$11000,"Mio")</f>
        <v>338500</v>
      </c>
      <c r="R1142" s="52">
        <f ca="1">SUMIFS(OUT!$F$2:$F$11000,OUT!$H$2:$H$11000,H1142,OUT!$D$2:$D$11000,"Out",OUT!$E$2:$E$11000,"Sedekah")</f>
        <v>2500</v>
      </c>
      <c r="S1142" s="52">
        <f ca="1">SUMIFS(OUT!$F$2:$F$11000,OUT!$H$2:$H$11000,H1142,OUT!$D$2:$D$11000,"Out",OUT!$E$2:$E$11000,"Zela")</f>
        <v>387476</v>
      </c>
      <c r="T1142" s="52">
        <f ca="1">SUMIFS(OUT!$F$2:$F$11000,OUT!$H$2:$H$11000,H1142,OUT!$D$2:$D$11000,"Out",OUT!$E$2:$E$11000,"Iqbal")</f>
        <v>231000</v>
      </c>
    </row>
    <row r="1143" spans="1:20" x14ac:dyDescent="0.2">
      <c r="A1143" s="48">
        <f ca="1">IFERROR(__xludf.DUMMYFUNCTION("""COMPUTED_VALUE"""),46223)</f>
        <v>46223</v>
      </c>
      <c r="B1143" s="4" t="str">
        <f ca="1">IFERROR(__xludf.DUMMYFUNCTION("""COMPUTED_VALUE"""),"seabank(saldotitkok)")</f>
        <v>seabank(saldotitkok)</v>
      </c>
      <c r="C1143" s="4" t="str">
        <f ca="1">IFERROR(__xludf.DUMMYFUNCTION("""COMPUTED_VALUE"""),"ATM")</f>
        <v>ATM</v>
      </c>
      <c r="D1143" s="4" t="str">
        <f ca="1">IFERROR(__xludf.DUMMYFUNCTION("""COMPUTED_VALUE"""),"In")</f>
        <v>In</v>
      </c>
      <c r="E1143" s="4" t="str">
        <f ca="1">IFERROR(__xludf.DUMMYFUNCTION("""COMPUTED_VALUE"""),"Fix")</f>
        <v>Fix</v>
      </c>
      <c r="F1143" s="49">
        <f ca="1">IFERROR(__xludf.DUMMYFUNCTION("""COMPUTED_VALUE"""),49001)</f>
        <v>49001</v>
      </c>
      <c r="G1143" s="50" t="str">
        <f ca="1">IFERROR(__xludf.DUMMYFUNCTION("""COMPUTED_VALUE"""),"Zela")</f>
        <v>Zela</v>
      </c>
      <c r="H1143" s="51">
        <f t="shared" ca="1" si="0"/>
        <v>46204</v>
      </c>
      <c r="I1143" s="52" t="e">
        <f ca="1">SUMIFS(OUT!$F$2:$F$11000,OUT!$H$2:$H$11000,H1143,OUT!$D$2:$D$101007,"In")</f>
        <v>#VALUE!</v>
      </c>
      <c r="J1143" s="52">
        <f ca="1">SUMIFS(OUT!$F$2:$F$11000,OUT!$H$2:$H$11000,H1143,OUT!$D$2:$D$11000,"Out")</f>
        <v>9905717</v>
      </c>
      <c r="K1143" s="52">
        <f ca="1">SUMIFS(OUT!$F$2:$F$11000,OUT!$H$2:$H$11000,H1143,OUT!$D$2:$D$11000,"Out",OUT!$E$2:$E$11000,"Fix")</f>
        <v>3048680</v>
      </c>
      <c r="L1143" s="52">
        <f ca="1">SUMIFS(OUT!$F$2:$F$11000,OUT!$H$2:$H$11000,H1143,OUT!$D$2:$D$11000,"Out",OUT!$E$2:$E$11000,"Bathroom")</f>
        <v>50720</v>
      </c>
      <c r="M1143" s="52">
        <f ca="1">SUMIFS(OUT!$F$2:$F$11000,OUT!$H$2:$H$11000,H1143,OUT!$D$2:$D$11000,"Out",OUT!$E$2:$E$11000,"Alfa")</f>
        <v>294200</v>
      </c>
      <c r="N1143" s="52" t="e">
        <f ca="1">SUMIFS(OUT!$F$2:$F$11000,OUT!$H$2:$H$101007,H1143,OUT!$D$2:$D$11000,"Out",OUT!$E$2:$E$11000,"Jajan")</f>
        <v>#VALUE!</v>
      </c>
      <c r="O1143" s="52">
        <f ca="1">SUMIFS(OUT!$F$2:$F$11000,OUT!$H$2:$H$11000,H1143,OUT!$D$2:$D$11000,"Out",OUT!$E$2:$E$11000,"Kitchen")</f>
        <v>1360773</v>
      </c>
      <c r="P1143" s="52">
        <f ca="1">SUMIFS(OUT!$F$2:$F$11000,OUT!$H$2:$H$11000,H1143,OUT!$D$2:$D$11000,"Out",OUT!$E$2:$E$11000,"Loandry")</f>
        <v>11000</v>
      </c>
      <c r="Q1143" s="52">
        <f ca="1">SUMIFS(OUT!$F$2:$F$11000,OUT!$H$2:$H$11000,H1143,OUT!$D$2:$D$11000,"Out",OUT!$E$2:$E$11000,"Mio")</f>
        <v>338500</v>
      </c>
      <c r="R1143" s="52">
        <f ca="1">SUMIFS(OUT!$F$2:$F$11000,OUT!$H$2:$H$11000,H1143,OUT!$D$2:$D$11000,"Out",OUT!$E$2:$E$11000,"Sedekah")</f>
        <v>2500</v>
      </c>
      <c r="S1143" s="52">
        <f ca="1">SUMIFS(OUT!$F$2:$F$11000,OUT!$H$2:$H$11000,H1143,OUT!$D$2:$D$11000,"Out",OUT!$E$2:$E$11000,"Zela")</f>
        <v>387476</v>
      </c>
      <c r="T1143" s="52">
        <f ca="1">SUMIFS(OUT!$F$2:$F$11000,OUT!$H$2:$H$11000,H1143,OUT!$D$2:$D$11000,"Out",OUT!$E$2:$E$11000,"Iqbal")</f>
        <v>231000</v>
      </c>
    </row>
    <row r="1144" spans="1:20" x14ac:dyDescent="0.2">
      <c r="A1144" s="48">
        <f ca="1">IFERROR(__xludf.DUMMYFUNCTION("""COMPUTED_VALUE"""),46223)</f>
        <v>46223</v>
      </c>
      <c r="B1144" s="4" t="str">
        <f ca="1">IFERROR(__xludf.DUMMYFUNCTION("""COMPUTED_VALUE"""),"Tarik Tunai")</f>
        <v>Tarik Tunai</v>
      </c>
      <c r="C1144" s="4" t="str">
        <f ca="1">IFERROR(__xludf.DUMMYFUNCTION("""COMPUTED_VALUE"""),"ATM")</f>
        <v>ATM</v>
      </c>
      <c r="D1144" s="4" t="str">
        <f ca="1">IFERROR(__xludf.DUMMYFUNCTION("""COMPUTED_VALUE"""),"Out")</f>
        <v>Out</v>
      </c>
      <c r="E1144" s="4" t="str">
        <f ca="1">IFERROR(__xludf.DUMMYFUNCTION("""COMPUTED_VALUE"""),"Move")</f>
        <v>Move</v>
      </c>
      <c r="F1144" s="49">
        <f ca="1">IFERROR(__xludf.DUMMYFUNCTION("""COMPUTED_VALUE"""),50000)</f>
        <v>50000</v>
      </c>
      <c r="G1144" s="50" t="str">
        <f ca="1">IFERROR(__xludf.DUMMYFUNCTION("""COMPUTED_VALUE"""),"Zela")</f>
        <v>Zela</v>
      </c>
      <c r="H1144" s="51">
        <f t="shared" ca="1" si="0"/>
        <v>46204</v>
      </c>
      <c r="I1144" s="52" t="e">
        <f ca="1">SUMIFS(OUT!$F$2:$F$11000,OUT!$H$2:$H$11000,H1144,OUT!$D$2:$D$101007,"In")</f>
        <v>#VALUE!</v>
      </c>
      <c r="J1144" s="52">
        <f ca="1">SUMIFS(OUT!$F$2:$F$11000,OUT!$H$2:$H$11000,H1144,OUT!$D$2:$D$11000,"Out")</f>
        <v>9905717</v>
      </c>
      <c r="K1144" s="52">
        <f ca="1">SUMIFS(OUT!$F$2:$F$11000,OUT!$H$2:$H$11000,H1144,OUT!$D$2:$D$11000,"Out",OUT!$E$2:$E$11000,"Fix")</f>
        <v>3048680</v>
      </c>
      <c r="L1144" s="52">
        <f ca="1">SUMIFS(OUT!$F$2:$F$11000,OUT!$H$2:$H$11000,H1144,OUT!$D$2:$D$11000,"Out",OUT!$E$2:$E$11000,"Bathroom")</f>
        <v>50720</v>
      </c>
      <c r="M1144" s="52">
        <f ca="1">SUMIFS(OUT!$F$2:$F$11000,OUT!$H$2:$H$11000,H1144,OUT!$D$2:$D$11000,"Out",OUT!$E$2:$E$11000,"Alfa")</f>
        <v>294200</v>
      </c>
      <c r="N1144" s="52" t="e">
        <f ca="1">SUMIFS(OUT!$F$2:$F$11000,OUT!$H$2:$H$101007,H1144,OUT!$D$2:$D$11000,"Out",OUT!$E$2:$E$11000,"Jajan")</f>
        <v>#VALUE!</v>
      </c>
      <c r="O1144" s="52">
        <f ca="1">SUMIFS(OUT!$F$2:$F$11000,OUT!$H$2:$H$11000,H1144,OUT!$D$2:$D$11000,"Out",OUT!$E$2:$E$11000,"Kitchen")</f>
        <v>1360773</v>
      </c>
      <c r="P1144" s="52">
        <f ca="1">SUMIFS(OUT!$F$2:$F$11000,OUT!$H$2:$H$11000,H1144,OUT!$D$2:$D$11000,"Out",OUT!$E$2:$E$11000,"Loandry")</f>
        <v>11000</v>
      </c>
      <c r="Q1144" s="52">
        <f ca="1">SUMIFS(OUT!$F$2:$F$11000,OUT!$H$2:$H$11000,H1144,OUT!$D$2:$D$11000,"Out",OUT!$E$2:$E$11000,"Mio")</f>
        <v>338500</v>
      </c>
      <c r="R1144" s="52">
        <f ca="1">SUMIFS(OUT!$F$2:$F$11000,OUT!$H$2:$H$11000,H1144,OUT!$D$2:$D$11000,"Out",OUT!$E$2:$E$11000,"Sedekah")</f>
        <v>2500</v>
      </c>
      <c r="S1144" s="52">
        <f ca="1">SUMIFS(OUT!$F$2:$F$11000,OUT!$H$2:$H$11000,H1144,OUT!$D$2:$D$11000,"Out",OUT!$E$2:$E$11000,"Zela")</f>
        <v>387476</v>
      </c>
      <c r="T1144" s="52">
        <f ca="1">SUMIFS(OUT!$F$2:$F$11000,OUT!$H$2:$H$11000,H1144,OUT!$D$2:$D$11000,"Out",OUT!$E$2:$E$11000,"Iqbal")</f>
        <v>231000</v>
      </c>
    </row>
    <row r="1145" spans="1:20" x14ac:dyDescent="0.2">
      <c r="A1145" s="48">
        <f ca="1">IFERROR(__xludf.DUMMYFUNCTION("""COMPUTED_VALUE"""),46223)</f>
        <v>46223</v>
      </c>
      <c r="B1145" s="4" t="str">
        <f ca="1">IFERROR(__xludf.DUMMYFUNCTION("""COMPUTED_VALUE"""),"Terima Tunai ")</f>
        <v xml:space="preserve">Terima Tunai </v>
      </c>
      <c r="C1145" s="4" t="str">
        <f ca="1">IFERROR(__xludf.DUMMYFUNCTION("""COMPUTED_VALUE"""),"Cash")</f>
        <v>Cash</v>
      </c>
      <c r="D1145" s="4" t="str">
        <f ca="1">IFERROR(__xludf.DUMMYFUNCTION("""COMPUTED_VALUE"""),"In")</f>
        <v>In</v>
      </c>
      <c r="E1145" s="4" t="str">
        <f ca="1">IFERROR(__xludf.DUMMYFUNCTION("""COMPUTED_VALUE"""),"Move")</f>
        <v>Move</v>
      </c>
      <c r="F1145" s="49">
        <f ca="1">IFERROR(__xludf.DUMMYFUNCTION("""COMPUTED_VALUE"""),50000)</f>
        <v>50000</v>
      </c>
      <c r="G1145" s="50" t="str">
        <f ca="1">IFERROR(__xludf.DUMMYFUNCTION("""COMPUTED_VALUE"""),"Zela")</f>
        <v>Zela</v>
      </c>
      <c r="H1145" s="51">
        <f t="shared" ca="1" si="0"/>
        <v>46204</v>
      </c>
      <c r="I1145" s="52" t="e">
        <f ca="1">SUMIFS(OUT!$F$2:$F$11000,OUT!$H$2:$H$11000,H1145,OUT!$D$2:$D$101007,"In")</f>
        <v>#VALUE!</v>
      </c>
      <c r="J1145" s="52">
        <f ca="1">SUMIFS(OUT!$F$2:$F$11000,OUT!$H$2:$H$11000,H1145,OUT!$D$2:$D$11000,"Out")</f>
        <v>9905717</v>
      </c>
      <c r="K1145" s="52">
        <f ca="1">SUMIFS(OUT!$F$2:$F$11000,OUT!$H$2:$H$11000,H1145,OUT!$D$2:$D$11000,"Out",OUT!$E$2:$E$11000,"Fix")</f>
        <v>3048680</v>
      </c>
      <c r="L1145" s="52">
        <f ca="1">SUMIFS(OUT!$F$2:$F$11000,OUT!$H$2:$H$11000,H1145,OUT!$D$2:$D$11000,"Out",OUT!$E$2:$E$11000,"Bathroom")</f>
        <v>50720</v>
      </c>
      <c r="M1145" s="52">
        <f ca="1">SUMIFS(OUT!$F$2:$F$11000,OUT!$H$2:$H$11000,H1145,OUT!$D$2:$D$11000,"Out",OUT!$E$2:$E$11000,"Alfa")</f>
        <v>294200</v>
      </c>
      <c r="N1145" s="52" t="e">
        <f ca="1">SUMIFS(OUT!$F$2:$F$11000,OUT!$H$2:$H$101007,H1145,OUT!$D$2:$D$11000,"Out",OUT!$E$2:$E$11000,"Jajan")</f>
        <v>#VALUE!</v>
      </c>
      <c r="O1145" s="52">
        <f ca="1">SUMIFS(OUT!$F$2:$F$11000,OUT!$H$2:$H$11000,H1145,OUT!$D$2:$D$11000,"Out",OUT!$E$2:$E$11000,"Kitchen")</f>
        <v>1360773</v>
      </c>
      <c r="P1145" s="52">
        <f ca="1">SUMIFS(OUT!$F$2:$F$11000,OUT!$H$2:$H$11000,H1145,OUT!$D$2:$D$11000,"Out",OUT!$E$2:$E$11000,"Loandry")</f>
        <v>11000</v>
      </c>
      <c r="Q1145" s="52">
        <f ca="1">SUMIFS(OUT!$F$2:$F$11000,OUT!$H$2:$H$11000,H1145,OUT!$D$2:$D$11000,"Out",OUT!$E$2:$E$11000,"Mio")</f>
        <v>338500</v>
      </c>
      <c r="R1145" s="52">
        <f ca="1">SUMIFS(OUT!$F$2:$F$11000,OUT!$H$2:$H$11000,H1145,OUT!$D$2:$D$11000,"Out",OUT!$E$2:$E$11000,"Sedekah")</f>
        <v>2500</v>
      </c>
      <c r="S1145" s="52">
        <f ca="1">SUMIFS(OUT!$F$2:$F$11000,OUT!$H$2:$H$11000,H1145,OUT!$D$2:$D$11000,"Out",OUT!$E$2:$E$11000,"Zela")</f>
        <v>387476</v>
      </c>
      <c r="T1145" s="52">
        <f ca="1">SUMIFS(OUT!$F$2:$F$11000,OUT!$H$2:$H$11000,H1145,OUT!$D$2:$D$11000,"Out",OUT!$E$2:$E$11000,"Iqbal")</f>
        <v>231000</v>
      </c>
    </row>
    <row r="1146" spans="1:20" x14ac:dyDescent="0.2">
      <c r="A1146" s="48">
        <f ca="1">IFERROR(__xludf.DUMMYFUNCTION("""COMPUTED_VALUE"""),46223)</f>
        <v>46223</v>
      </c>
      <c r="B1146" s="4" t="str">
        <f ca="1">IFERROR(__xludf.DUMMYFUNCTION("""COMPUTED_VALUE"""),"pasar Kaget+parkir")</f>
        <v>pasar Kaget+parkir</v>
      </c>
      <c r="C1146" s="4" t="str">
        <f ca="1">IFERROR(__xludf.DUMMYFUNCTION("""COMPUTED_VALUE"""),"Cash")</f>
        <v>Cash</v>
      </c>
      <c r="D1146" s="4" t="str">
        <f ca="1">IFERROR(__xludf.DUMMYFUNCTION("""COMPUTED_VALUE"""),"Out")</f>
        <v>Out</v>
      </c>
      <c r="E1146" s="4" t="str">
        <f ca="1">IFERROR(__xludf.DUMMYFUNCTION("""COMPUTED_VALUE"""),"Kitchen")</f>
        <v>Kitchen</v>
      </c>
      <c r="F1146" s="49">
        <f ca="1">IFERROR(__xludf.DUMMYFUNCTION("""COMPUTED_VALUE"""),35000)</f>
        <v>35000</v>
      </c>
      <c r="G1146" s="50" t="str">
        <f ca="1">IFERROR(__xludf.DUMMYFUNCTION("""COMPUTED_VALUE"""),"Zela")</f>
        <v>Zela</v>
      </c>
      <c r="H1146" s="51">
        <f t="shared" ca="1" si="0"/>
        <v>46204</v>
      </c>
      <c r="I1146" s="52" t="e">
        <f ca="1">SUMIFS(OUT!$F$2:$F$11000,OUT!$H$2:$H$11000,H1146,OUT!$D$2:$D$101007,"In")</f>
        <v>#VALUE!</v>
      </c>
      <c r="J1146" s="52">
        <f ca="1">SUMIFS(OUT!$F$2:$F$11000,OUT!$H$2:$H$11000,H1146,OUT!$D$2:$D$11000,"Out")</f>
        <v>9905717</v>
      </c>
      <c r="K1146" s="52">
        <f ca="1">SUMIFS(OUT!$F$2:$F$11000,OUT!$H$2:$H$11000,H1146,OUT!$D$2:$D$11000,"Out",OUT!$E$2:$E$11000,"Fix")</f>
        <v>3048680</v>
      </c>
      <c r="L1146" s="52">
        <f ca="1">SUMIFS(OUT!$F$2:$F$11000,OUT!$H$2:$H$11000,H1146,OUT!$D$2:$D$11000,"Out",OUT!$E$2:$E$11000,"Bathroom")</f>
        <v>50720</v>
      </c>
      <c r="M1146" s="52">
        <f ca="1">SUMIFS(OUT!$F$2:$F$11000,OUT!$H$2:$H$11000,H1146,OUT!$D$2:$D$11000,"Out",OUT!$E$2:$E$11000,"Alfa")</f>
        <v>294200</v>
      </c>
      <c r="N1146" s="52" t="e">
        <f ca="1">SUMIFS(OUT!$F$2:$F$11000,OUT!$H$2:$H$101007,H1146,OUT!$D$2:$D$11000,"Out",OUT!$E$2:$E$11000,"Jajan")</f>
        <v>#VALUE!</v>
      </c>
      <c r="O1146" s="52">
        <f ca="1">SUMIFS(OUT!$F$2:$F$11000,OUT!$H$2:$H$11000,H1146,OUT!$D$2:$D$11000,"Out",OUT!$E$2:$E$11000,"Kitchen")</f>
        <v>1360773</v>
      </c>
      <c r="P1146" s="52">
        <f ca="1">SUMIFS(OUT!$F$2:$F$11000,OUT!$H$2:$H$11000,H1146,OUT!$D$2:$D$11000,"Out",OUT!$E$2:$E$11000,"Loandry")</f>
        <v>11000</v>
      </c>
      <c r="Q1146" s="52">
        <f ca="1">SUMIFS(OUT!$F$2:$F$11000,OUT!$H$2:$H$11000,H1146,OUT!$D$2:$D$11000,"Out",OUT!$E$2:$E$11000,"Mio")</f>
        <v>338500</v>
      </c>
      <c r="R1146" s="52">
        <f ca="1">SUMIFS(OUT!$F$2:$F$11000,OUT!$H$2:$H$11000,H1146,OUT!$D$2:$D$11000,"Out",OUT!$E$2:$E$11000,"Sedekah")</f>
        <v>2500</v>
      </c>
      <c r="S1146" s="52">
        <f ca="1">SUMIFS(OUT!$F$2:$F$11000,OUT!$H$2:$H$11000,H1146,OUT!$D$2:$D$11000,"Out",OUT!$E$2:$E$11000,"Zela")</f>
        <v>387476</v>
      </c>
      <c r="T1146" s="52">
        <f ca="1">SUMIFS(OUT!$F$2:$F$11000,OUT!$H$2:$H$11000,H1146,OUT!$D$2:$D$11000,"Out",OUT!$E$2:$E$11000,"Iqbal")</f>
        <v>231000</v>
      </c>
    </row>
    <row r="1147" spans="1:20" x14ac:dyDescent="0.2">
      <c r="A1147" s="48">
        <f ca="1">IFERROR(__xludf.DUMMYFUNCTION("""COMPUTED_VALUE"""),46223)</f>
        <v>46223</v>
      </c>
      <c r="B1147" s="4" t="str">
        <f ca="1">IFERROR(__xludf.DUMMYFUNCTION("""COMPUTED_VALUE"""),"grosir ")</f>
        <v xml:space="preserve">grosir </v>
      </c>
      <c r="C1147" s="4" t="str">
        <f ca="1">IFERROR(__xludf.DUMMYFUNCTION("""COMPUTED_VALUE"""),"Cash")</f>
        <v>Cash</v>
      </c>
      <c r="D1147" s="4" t="str">
        <f ca="1">IFERROR(__xludf.DUMMYFUNCTION("""COMPUTED_VALUE"""),"Out")</f>
        <v>Out</v>
      </c>
      <c r="E1147" s="4" t="str">
        <f ca="1">IFERROR(__xludf.DUMMYFUNCTION("""COMPUTED_VALUE"""),"Kitchen")</f>
        <v>Kitchen</v>
      </c>
      <c r="F1147" s="49">
        <f ca="1">IFERROR(__xludf.DUMMYFUNCTION("""COMPUTED_VALUE"""),21000)</f>
        <v>21000</v>
      </c>
      <c r="G1147" s="50" t="str">
        <f ca="1">IFERROR(__xludf.DUMMYFUNCTION("""COMPUTED_VALUE"""),"Zela")</f>
        <v>Zela</v>
      </c>
      <c r="H1147" s="51">
        <f t="shared" ca="1" si="0"/>
        <v>46204</v>
      </c>
      <c r="I1147" s="52" t="e">
        <f ca="1">SUMIFS(OUT!$F$2:$F$11000,OUT!$H$2:$H$11000,H1147,OUT!$D$2:$D$101007,"In")</f>
        <v>#VALUE!</v>
      </c>
      <c r="J1147" s="52">
        <f ca="1">SUMIFS(OUT!$F$2:$F$11000,OUT!$H$2:$H$11000,H1147,OUT!$D$2:$D$11000,"Out")</f>
        <v>9905717</v>
      </c>
      <c r="K1147" s="52">
        <f ca="1">SUMIFS(OUT!$F$2:$F$11000,OUT!$H$2:$H$11000,H1147,OUT!$D$2:$D$11000,"Out",OUT!$E$2:$E$11000,"Fix")</f>
        <v>3048680</v>
      </c>
      <c r="L1147" s="52">
        <f ca="1">SUMIFS(OUT!$F$2:$F$11000,OUT!$H$2:$H$11000,H1147,OUT!$D$2:$D$11000,"Out",OUT!$E$2:$E$11000,"Bathroom")</f>
        <v>50720</v>
      </c>
      <c r="M1147" s="52">
        <f ca="1">SUMIFS(OUT!$F$2:$F$11000,OUT!$H$2:$H$11000,H1147,OUT!$D$2:$D$11000,"Out",OUT!$E$2:$E$11000,"Alfa")</f>
        <v>294200</v>
      </c>
      <c r="N1147" s="52" t="e">
        <f ca="1">SUMIFS(OUT!$F$2:$F$11000,OUT!$H$2:$H$101007,H1147,OUT!$D$2:$D$11000,"Out",OUT!$E$2:$E$11000,"Jajan")</f>
        <v>#VALUE!</v>
      </c>
      <c r="O1147" s="52">
        <f ca="1">SUMIFS(OUT!$F$2:$F$11000,OUT!$H$2:$H$11000,H1147,OUT!$D$2:$D$11000,"Out",OUT!$E$2:$E$11000,"Kitchen")</f>
        <v>1360773</v>
      </c>
      <c r="P1147" s="52">
        <f ca="1">SUMIFS(OUT!$F$2:$F$11000,OUT!$H$2:$H$11000,H1147,OUT!$D$2:$D$11000,"Out",OUT!$E$2:$E$11000,"Loandry")</f>
        <v>11000</v>
      </c>
      <c r="Q1147" s="52">
        <f ca="1">SUMIFS(OUT!$F$2:$F$11000,OUT!$H$2:$H$11000,H1147,OUT!$D$2:$D$11000,"Out",OUT!$E$2:$E$11000,"Mio")</f>
        <v>338500</v>
      </c>
      <c r="R1147" s="52">
        <f ca="1">SUMIFS(OUT!$F$2:$F$11000,OUT!$H$2:$H$11000,H1147,OUT!$D$2:$D$11000,"Out",OUT!$E$2:$E$11000,"Sedekah")</f>
        <v>2500</v>
      </c>
      <c r="S1147" s="52">
        <f ca="1">SUMIFS(OUT!$F$2:$F$11000,OUT!$H$2:$H$11000,H1147,OUT!$D$2:$D$11000,"Out",OUT!$E$2:$E$11000,"Zela")</f>
        <v>387476</v>
      </c>
      <c r="T1147" s="52">
        <f ca="1">SUMIFS(OUT!$F$2:$F$11000,OUT!$H$2:$H$11000,H1147,OUT!$D$2:$D$11000,"Out",OUT!$E$2:$E$11000,"Iqbal")</f>
        <v>231000</v>
      </c>
    </row>
    <row r="1148" spans="1:20" x14ac:dyDescent="0.2">
      <c r="A1148" s="48">
        <f ca="1">IFERROR(__xludf.DUMMYFUNCTION("""COMPUTED_VALUE"""),46224)</f>
        <v>46224</v>
      </c>
      <c r="B1148" s="4" t="str">
        <f ca="1">IFERROR(__xludf.DUMMYFUNCTION("""COMPUTED_VALUE"""),"jajan alfa")</f>
        <v>jajan alfa</v>
      </c>
      <c r="C1148" s="4" t="str">
        <f ca="1">IFERROR(__xludf.DUMMYFUNCTION("""COMPUTED_VALUE"""),"Cash")</f>
        <v>Cash</v>
      </c>
      <c r="D1148" s="4" t="str">
        <f ca="1">IFERROR(__xludf.DUMMYFUNCTION("""COMPUTED_VALUE"""),"Out")</f>
        <v>Out</v>
      </c>
      <c r="E1148" s="4" t="str">
        <f ca="1">IFERROR(__xludf.DUMMYFUNCTION("""COMPUTED_VALUE"""),"Jajan")</f>
        <v>Jajan</v>
      </c>
      <c r="F1148" s="49">
        <f ca="1">IFERROR(__xludf.DUMMYFUNCTION("""COMPUTED_VALUE"""),5200)</f>
        <v>5200</v>
      </c>
      <c r="G1148" s="50" t="str">
        <f ca="1">IFERROR(__xludf.DUMMYFUNCTION("""COMPUTED_VALUE"""),"Zela")</f>
        <v>Zela</v>
      </c>
      <c r="H1148" s="51">
        <f t="shared" ca="1" si="0"/>
        <v>46204</v>
      </c>
      <c r="I1148" s="52" t="e">
        <f ca="1">SUMIFS(OUT!$F$2:$F$11000,OUT!$H$2:$H$11000,H1148,OUT!$D$2:$D$101007,"In")</f>
        <v>#VALUE!</v>
      </c>
      <c r="J1148" s="52">
        <f ca="1">SUMIFS(OUT!$F$2:$F$11000,OUT!$H$2:$H$11000,H1148,OUT!$D$2:$D$11000,"Out")</f>
        <v>9905717</v>
      </c>
      <c r="K1148" s="52">
        <f ca="1">SUMIFS(OUT!$F$2:$F$11000,OUT!$H$2:$H$11000,H1148,OUT!$D$2:$D$11000,"Out",OUT!$E$2:$E$11000,"Fix")</f>
        <v>3048680</v>
      </c>
      <c r="L1148" s="52">
        <f ca="1">SUMIFS(OUT!$F$2:$F$11000,OUT!$H$2:$H$11000,H1148,OUT!$D$2:$D$11000,"Out",OUT!$E$2:$E$11000,"Bathroom")</f>
        <v>50720</v>
      </c>
      <c r="M1148" s="52">
        <f ca="1">SUMIFS(OUT!$F$2:$F$11000,OUT!$H$2:$H$11000,H1148,OUT!$D$2:$D$11000,"Out",OUT!$E$2:$E$11000,"Alfa")</f>
        <v>294200</v>
      </c>
      <c r="N1148" s="52" t="e">
        <f ca="1">SUMIFS(OUT!$F$2:$F$11000,OUT!$H$2:$H$101007,H1148,OUT!$D$2:$D$11000,"Out",OUT!$E$2:$E$11000,"Jajan")</f>
        <v>#VALUE!</v>
      </c>
      <c r="O1148" s="52">
        <f ca="1">SUMIFS(OUT!$F$2:$F$11000,OUT!$H$2:$H$11000,H1148,OUT!$D$2:$D$11000,"Out",OUT!$E$2:$E$11000,"Kitchen")</f>
        <v>1360773</v>
      </c>
      <c r="P1148" s="52">
        <f ca="1">SUMIFS(OUT!$F$2:$F$11000,OUT!$H$2:$H$11000,H1148,OUT!$D$2:$D$11000,"Out",OUT!$E$2:$E$11000,"Loandry")</f>
        <v>11000</v>
      </c>
      <c r="Q1148" s="52">
        <f ca="1">SUMIFS(OUT!$F$2:$F$11000,OUT!$H$2:$H$11000,H1148,OUT!$D$2:$D$11000,"Out",OUT!$E$2:$E$11000,"Mio")</f>
        <v>338500</v>
      </c>
      <c r="R1148" s="52">
        <f ca="1">SUMIFS(OUT!$F$2:$F$11000,OUT!$H$2:$H$11000,H1148,OUT!$D$2:$D$11000,"Out",OUT!$E$2:$E$11000,"Sedekah")</f>
        <v>2500</v>
      </c>
      <c r="S1148" s="52">
        <f ca="1">SUMIFS(OUT!$F$2:$F$11000,OUT!$H$2:$H$11000,H1148,OUT!$D$2:$D$11000,"Out",OUT!$E$2:$E$11000,"Zela")</f>
        <v>387476</v>
      </c>
      <c r="T1148" s="52">
        <f ca="1">SUMIFS(OUT!$F$2:$F$11000,OUT!$H$2:$H$11000,H1148,OUT!$D$2:$D$11000,"Out",OUT!$E$2:$E$11000,"Iqbal")</f>
        <v>231000</v>
      </c>
    </row>
    <row r="1149" spans="1:20" x14ac:dyDescent="0.2">
      <c r="A1149" s="48">
        <f ca="1">IFERROR(__xludf.DUMMYFUNCTION("""COMPUTED_VALUE"""),46225)</f>
        <v>46225</v>
      </c>
      <c r="B1149" s="4" t="str">
        <f ca="1">IFERROR(__xludf.DUMMYFUNCTION("""COMPUTED_VALUE"""),"Saldo Tiktok ")</f>
        <v xml:space="preserve">Saldo Tiktok </v>
      </c>
      <c r="C1149" s="4" t="str">
        <f ca="1">IFERROR(__xludf.DUMMYFUNCTION("""COMPUTED_VALUE"""),"ATM")</f>
        <v>ATM</v>
      </c>
      <c r="D1149" s="4" t="str">
        <f ca="1">IFERROR(__xludf.DUMMYFUNCTION("""COMPUTED_VALUE"""),"In")</f>
        <v>In</v>
      </c>
      <c r="E1149" s="4" t="str">
        <f ca="1">IFERROR(__xludf.DUMMYFUNCTION("""COMPUTED_VALUE"""),"Fix")</f>
        <v>Fix</v>
      </c>
      <c r="F1149" s="49">
        <f ca="1">IFERROR(__xludf.DUMMYFUNCTION("""COMPUTED_VALUE"""),237000)</f>
        <v>237000</v>
      </c>
      <c r="G1149" s="50" t="str">
        <f ca="1">IFERROR(__xludf.DUMMYFUNCTION("""COMPUTED_VALUE"""),"Zela")</f>
        <v>Zela</v>
      </c>
      <c r="H1149" s="51">
        <f t="shared" ca="1" si="0"/>
        <v>46204</v>
      </c>
      <c r="I1149" s="52" t="e">
        <f ca="1">SUMIFS(OUT!$F$2:$F$11000,OUT!$H$2:$H$11000,H1149,OUT!$D$2:$D$101007,"In")</f>
        <v>#VALUE!</v>
      </c>
      <c r="J1149" s="52">
        <f ca="1">SUMIFS(OUT!$F$2:$F$11000,OUT!$H$2:$H$11000,H1149,OUT!$D$2:$D$11000,"Out")</f>
        <v>9905717</v>
      </c>
      <c r="K1149" s="52">
        <f ca="1">SUMIFS(OUT!$F$2:$F$11000,OUT!$H$2:$H$11000,H1149,OUT!$D$2:$D$11000,"Out",OUT!$E$2:$E$11000,"Fix")</f>
        <v>3048680</v>
      </c>
      <c r="L1149" s="52">
        <f ca="1">SUMIFS(OUT!$F$2:$F$11000,OUT!$H$2:$H$11000,H1149,OUT!$D$2:$D$11000,"Out",OUT!$E$2:$E$11000,"Bathroom")</f>
        <v>50720</v>
      </c>
      <c r="M1149" s="52">
        <f ca="1">SUMIFS(OUT!$F$2:$F$11000,OUT!$H$2:$H$11000,H1149,OUT!$D$2:$D$11000,"Out",OUT!$E$2:$E$11000,"Alfa")</f>
        <v>294200</v>
      </c>
      <c r="N1149" s="52" t="e">
        <f ca="1">SUMIFS(OUT!$F$2:$F$11000,OUT!$H$2:$H$101007,H1149,OUT!$D$2:$D$11000,"Out",OUT!$E$2:$E$11000,"Jajan")</f>
        <v>#VALUE!</v>
      </c>
      <c r="O1149" s="52">
        <f ca="1">SUMIFS(OUT!$F$2:$F$11000,OUT!$H$2:$H$11000,H1149,OUT!$D$2:$D$11000,"Out",OUT!$E$2:$E$11000,"Kitchen")</f>
        <v>1360773</v>
      </c>
      <c r="P1149" s="52">
        <f ca="1">SUMIFS(OUT!$F$2:$F$11000,OUT!$H$2:$H$11000,H1149,OUT!$D$2:$D$11000,"Out",OUT!$E$2:$E$11000,"Loandry")</f>
        <v>11000</v>
      </c>
      <c r="Q1149" s="52">
        <f ca="1">SUMIFS(OUT!$F$2:$F$11000,OUT!$H$2:$H$11000,H1149,OUT!$D$2:$D$11000,"Out",OUT!$E$2:$E$11000,"Mio")</f>
        <v>338500</v>
      </c>
      <c r="R1149" s="52">
        <f ca="1">SUMIFS(OUT!$F$2:$F$11000,OUT!$H$2:$H$11000,H1149,OUT!$D$2:$D$11000,"Out",OUT!$E$2:$E$11000,"Sedekah")</f>
        <v>2500</v>
      </c>
      <c r="S1149" s="52">
        <f ca="1">SUMIFS(OUT!$F$2:$F$11000,OUT!$H$2:$H$11000,H1149,OUT!$D$2:$D$11000,"Out",OUT!$E$2:$E$11000,"Zela")</f>
        <v>387476</v>
      </c>
      <c r="T1149" s="52">
        <f ca="1">SUMIFS(OUT!$F$2:$F$11000,OUT!$H$2:$H$11000,H1149,OUT!$D$2:$D$11000,"Out",OUT!$E$2:$E$11000,"Iqbal")</f>
        <v>231000</v>
      </c>
    </row>
    <row r="1150" spans="1:20" x14ac:dyDescent="0.2">
      <c r="A1150" s="48">
        <f ca="1">IFERROR(__xludf.DUMMYFUNCTION("""COMPUTED_VALUE"""),46225)</f>
        <v>46225</v>
      </c>
      <c r="B1150" s="4" t="str">
        <f ca="1">IFERROR(__xludf.DUMMYFUNCTION("""COMPUTED_VALUE"""),"Tarik Tunai ")</f>
        <v xml:space="preserve">Tarik Tunai </v>
      </c>
      <c r="C1150" s="4" t="str">
        <f ca="1">IFERROR(__xludf.DUMMYFUNCTION("""COMPUTED_VALUE"""),"ATM")</f>
        <v>ATM</v>
      </c>
      <c r="D1150" s="4" t="str">
        <f ca="1">IFERROR(__xludf.DUMMYFUNCTION("""COMPUTED_VALUE"""),"Out")</f>
        <v>Out</v>
      </c>
      <c r="E1150" s="4" t="str">
        <f ca="1">IFERROR(__xludf.DUMMYFUNCTION("""COMPUTED_VALUE"""),"Move")</f>
        <v>Move</v>
      </c>
      <c r="F1150" s="49">
        <f ca="1">IFERROR(__xludf.DUMMYFUNCTION("""COMPUTED_VALUE"""),200000)</f>
        <v>200000</v>
      </c>
      <c r="G1150" s="50" t="str">
        <f ca="1">IFERROR(__xludf.DUMMYFUNCTION("""COMPUTED_VALUE"""),"Zela")</f>
        <v>Zela</v>
      </c>
      <c r="H1150" s="51">
        <f t="shared" ca="1" si="0"/>
        <v>46204</v>
      </c>
      <c r="I1150" s="52" t="e">
        <f ca="1">SUMIFS(OUT!$F$2:$F$11000,OUT!$H$2:$H$11000,H1150,OUT!$D$2:$D$101007,"In")</f>
        <v>#VALUE!</v>
      </c>
      <c r="J1150" s="52">
        <f ca="1">SUMIFS(OUT!$F$2:$F$11000,OUT!$H$2:$H$11000,H1150,OUT!$D$2:$D$11000,"Out")</f>
        <v>9905717</v>
      </c>
      <c r="K1150" s="52">
        <f ca="1">SUMIFS(OUT!$F$2:$F$11000,OUT!$H$2:$H$11000,H1150,OUT!$D$2:$D$11000,"Out",OUT!$E$2:$E$11000,"Fix")</f>
        <v>3048680</v>
      </c>
      <c r="L1150" s="52">
        <f ca="1">SUMIFS(OUT!$F$2:$F$11000,OUT!$H$2:$H$11000,H1150,OUT!$D$2:$D$11000,"Out",OUT!$E$2:$E$11000,"Bathroom")</f>
        <v>50720</v>
      </c>
      <c r="M1150" s="52">
        <f ca="1">SUMIFS(OUT!$F$2:$F$11000,OUT!$H$2:$H$11000,H1150,OUT!$D$2:$D$11000,"Out",OUT!$E$2:$E$11000,"Alfa")</f>
        <v>294200</v>
      </c>
      <c r="N1150" s="52" t="e">
        <f ca="1">SUMIFS(OUT!$F$2:$F$11000,OUT!$H$2:$H$101007,H1150,OUT!$D$2:$D$11000,"Out",OUT!$E$2:$E$11000,"Jajan")</f>
        <v>#VALUE!</v>
      </c>
      <c r="O1150" s="52">
        <f ca="1">SUMIFS(OUT!$F$2:$F$11000,OUT!$H$2:$H$11000,H1150,OUT!$D$2:$D$11000,"Out",OUT!$E$2:$E$11000,"Kitchen")</f>
        <v>1360773</v>
      </c>
      <c r="P1150" s="52">
        <f ca="1">SUMIFS(OUT!$F$2:$F$11000,OUT!$H$2:$H$11000,H1150,OUT!$D$2:$D$11000,"Out",OUT!$E$2:$E$11000,"Loandry")</f>
        <v>11000</v>
      </c>
      <c r="Q1150" s="52">
        <f ca="1">SUMIFS(OUT!$F$2:$F$11000,OUT!$H$2:$H$11000,H1150,OUT!$D$2:$D$11000,"Out",OUT!$E$2:$E$11000,"Mio")</f>
        <v>338500</v>
      </c>
      <c r="R1150" s="52">
        <f ca="1">SUMIFS(OUT!$F$2:$F$11000,OUT!$H$2:$H$11000,H1150,OUT!$D$2:$D$11000,"Out",OUT!$E$2:$E$11000,"Sedekah")</f>
        <v>2500</v>
      </c>
      <c r="S1150" s="52">
        <f ca="1">SUMIFS(OUT!$F$2:$F$11000,OUT!$H$2:$H$11000,H1150,OUT!$D$2:$D$11000,"Out",OUT!$E$2:$E$11000,"Zela")</f>
        <v>387476</v>
      </c>
      <c r="T1150" s="52">
        <f ca="1">SUMIFS(OUT!$F$2:$F$11000,OUT!$H$2:$H$11000,H1150,OUT!$D$2:$D$11000,"Out",OUT!$E$2:$E$11000,"Iqbal")</f>
        <v>231000</v>
      </c>
    </row>
    <row r="1151" spans="1:20" x14ac:dyDescent="0.2">
      <c r="A1151" s="48">
        <f ca="1">IFERROR(__xludf.DUMMYFUNCTION("""COMPUTED_VALUE"""),46225)</f>
        <v>46225</v>
      </c>
      <c r="B1151" s="4" t="str">
        <f ca="1">IFERROR(__xludf.DUMMYFUNCTION("""COMPUTED_VALUE"""),"Terima tunai ")</f>
        <v xml:space="preserve">Terima tunai </v>
      </c>
      <c r="C1151" s="4" t="str">
        <f ca="1">IFERROR(__xludf.DUMMYFUNCTION("""COMPUTED_VALUE"""),"Cash")</f>
        <v>Cash</v>
      </c>
      <c r="D1151" s="4" t="str">
        <f ca="1">IFERROR(__xludf.DUMMYFUNCTION("""COMPUTED_VALUE"""),"In")</f>
        <v>In</v>
      </c>
      <c r="E1151" s="4" t="str">
        <f ca="1">IFERROR(__xludf.DUMMYFUNCTION("""COMPUTED_VALUE"""),"Move")</f>
        <v>Move</v>
      </c>
      <c r="F1151" s="49">
        <f ca="1">IFERROR(__xludf.DUMMYFUNCTION("""COMPUTED_VALUE"""),200000)</f>
        <v>200000</v>
      </c>
      <c r="G1151" s="50" t="str">
        <f ca="1">IFERROR(__xludf.DUMMYFUNCTION("""COMPUTED_VALUE"""),"Zela")</f>
        <v>Zela</v>
      </c>
      <c r="H1151" s="51">
        <f t="shared" ca="1" si="0"/>
        <v>46204</v>
      </c>
      <c r="I1151" s="52" t="e">
        <f ca="1">SUMIFS(OUT!$F$2:$F$11000,OUT!$H$2:$H$11000,H1151,OUT!$D$2:$D$101007,"In")</f>
        <v>#VALUE!</v>
      </c>
      <c r="J1151" s="52">
        <f ca="1">SUMIFS(OUT!$F$2:$F$11000,OUT!$H$2:$H$11000,H1151,OUT!$D$2:$D$11000,"Out")</f>
        <v>9905717</v>
      </c>
      <c r="K1151" s="52">
        <f ca="1">SUMIFS(OUT!$F$2:$F$11000,OUT!$H$2:$H$11000,H1151,OUT!$D$2:$D$11000,"Out",OUT!$E$2:$E$11000,"Fix")</f>
        <v>3048680</v>
      </c>
      <c r="L1151" s="52">
        <f ca="1">SUMIFS(OUT!$F$2:$F$11000,OUT!$H$2:$H$11000,H1151,OUT!$D$2:$D$11000,"Out",OUT!$E$2:$E$11000,"Bathroom")</f>
        <v>50720</v>
      </c>
      <c r="M1151" s="52">
        <f ca="1">SUMIFS(OUT!$F$2:$F$11000,OUT!$H$2:$H$11000,H1151,OUT!$D$2:$D$11000,"Out",OUT!$E$2:$E$11000,"Alfa")</f>
        <v>294200</v>
      </c>
      <c r="N1151" s="52" t="e">
        <f ca="1">SUMIFS(OUT!$F$2:$F$11000,OUT!$H$2:$H$101007,H1151,OUT!$D$2:$D$11000,"Out",OUT!$E$2:$E$11000,"Jajan")</f>
        <v>#VALUE!</v>
      </c>
      <c r="O1151" s="52">
        <f ca="1">SUMIFS(OUT!$F$2:$F$11000,OUT!$H$2:$H$11000,H1151,OUT!$D$2:$D$11000,"Out",OUT!$E$2:$E$11000,"Kitchen")</f>
        <v>1360773</v>
      </c>
      <c r="P1151" s="52">
        <f ca="1">SUMIFS(OUT!$F$2:$F$11000,OUT!$H$2:$H$11000,H1151,OUT!$D$2:$D$11000,"Out",OUT!$E$2:$E$11000,"Loandry")</f>
        <v>11000</v>
      </c>
      <c r="Q1151" s="52">
        <f ca="1">SUMIFS(OUT!$F$2:$F$11000,OUT!$H$2:$H$11000,H1151,OUT!$D$2:$D$11000,"Out",OUT!$E$2:$E$11000,"Mio")</f>
        <v>338500</v>
      </c>
      <c r="R1151" s="52">
        <f ca="1">SUMIFS(OUT!$F$2:$F$11000,OUT!$H$2:$H$11000,H1151,OUT!$D$2:$D$11000,"Out",OUT!$E$2:$E$11000,"Sedekah")</f>
        <v>2500</v>
      </c>
      <c r="S1151" s="52">
        <f ca="1">SUMIFS(OUT!$F$2:$F$11000,OUT!$H$2:$H$11000,H1151,OUT!$D$2:$D$11000,"Out",OUT!$E$2:$E$11000,"Zela")</f>
        <v>387476</v>
      </c>
      <c r="T1151" s="52">
        <f ca="1">SUMIFS(OUT!$F$2:$F$11000,OUT!$H$2:$H$11000,H1151,OUT!$D$2:$D$11000,"Out",OUT!$E$2:$E$11000,"Iqbal")</f>
        <v>231000</v>
      </c>
    </row>
    <row r="1152" spans="1:20" x14ac:dyDescent="0.2">
      <c r="A1152" s="48">
        <f ca="1">IFERROR(__xludf.DUMMYFUNCTION("""COMPUTED_VALUE"""),46225)</f>
        <v>46225</v>
      </c>
      <c r="B1152" s="4" t="str">
        <f ca="1">IFERROR(__xludf.DUMMYFUNCTION("""COMPUTED_VALUE"""),"To serba (iqra'+mobilan+pensilpaket+buku gambar)")</f>
        <v>To serba (iqra'+mobilan+pensilpaket+buku gambar)</v>
      </c>
      <c r="C1152" s="4" t="str">
        <f ca="1">IFERROR(__xludf.DUMMYFUNCTION("""COMPUTED_VALUE"""),"Cash")</f>
        <v>Cash</v>
      </c>
      <c r="D1152" s="4" t="str">
        <f ca="1">IFERROR(__xludf.DUMMYFUNCTION("""COMPUTED_VALUE"""),"Out")</f>
        <v>Out</v>
      </c>
      <c r="E1152" s="4" t="str">
        <f ca="1">IFERROR(__xludf.DUMMYFUNCTION("""COMPUTED_VALUE"""),"Alfa")</f>
        <v>Alfa</v>
      </c>
      <c r="F1152" s="49">
        <f ca="1">IFERROR(__xludf.DUMMYFUNCTION("""COMPUTED_VALUE"""),58000)</f>
        <v>58000</v>
      </c>
      <c r="G1152" s="50" t="str">
        <f ca="1">IFERROR(__xludf.DUMMYFUNCTION("""COMPUTED_VALUE"""),"Zela")</f>
        <v>Zela</v>
      </c>
      <c r="H1152" s="51">
        <f t="shared" ca="1" si="0"/>
        <v>46204</v>
      </c>
      <c r="I1152" s="52" t="e">
        <f ca="1">SUMIFS(OUT!$F$2:$F$11000,OUT!$H$2:$H$11000,H1152,OUT!$D$2:$D$101007,"In")</f>
        <v>#VALUE!</v>
      </c>
      <c r="J1152" s="52">
        <f ca="1">SUMIFS(OUT!$F$2:$F$11000,OUT!$H$2:$H$11000,H1152,OUT!$D$2:$D$11000,"Out")</f>
        <v>9905717</v>
      </c>
      <c r="K1152" s="52">
        <f ca="1">SUMIFS(OUT!$F$2:$F$11000,OUT!$H$2:$H$11000,H1152,OUT!$D$2:$D$11000,"Out",OUT!$E$2:$E$11000,"Fix")</f>
        <v>3048680</v>
      </c>
      <c r="L1152" s="52">
        <f ca="1">SUMIFS(OUT!$F$2:$F$11000,OUT!$H$2:$H$11000,H1152,OUT!$D$2:$D$11000,"Out",OUT!$E$2:$E$11000,"Bathroom")</f>
        <v>50720</v>
      </c>
      <c r="M1152" s="52">
        <f ca="1">SUMIFS(OUT!$F$2:$F$11000,OUT!$H$2:$H$11000,H1152,OUT!$D$2:$D$11000,"Out",OUT!$E$2:$E$11000,"Alfa")</f>
        <v>294200</v>
      </c>
      <c r="N1152" s="52" t="e">
        <f ca="1">SUMIFS(OUT!$F$2:$F$11000,OUT!$H$2:$H$101007,H1152,OUT!$D$2:$D$11000,"Out",OUT!$E$2:$E$11000,"Jajan")</f>
        <v>#VALUE!</v>
      </c>
      <c r="O1152" s="52">
        <f ca="1">SUMIFS(OUT!$F$2:$F$11000,OUT!$H$2:$H$11000,H1152,OUT!$D$2:$D$11000,"Out",OUT!$E$2:$E$11000,"Kitchen")</f>
        <v>1360773</v>
      </c>
      <c r="P1152" s="52">
        <f ca="1">SUMIFS(OUT!$F$2:$F$11000,OUT!$H$2:$H$11000,H1152,OUT!$D$2:$D$11000,"Out",OUT!$E$2:$E$11000,"Loandry")</f>
        <v>11000</v>
      </c>
      <c r="Q1152" s="52">
        <f ca="1">SUMIFS(OUT!$F$2:$F$11000,OUT!$H$2:$H$11000,H1152,OUT!$D$2:$D$11000,"Out",OUT!$E$2:$E$11000,"Mio")</f>
        <v>338500</v>
      </c>
      <c r="R1152" s="52">
        <f ca="1">SUMIFS(OUT!$F$2:$F$11000,OUT!$H$2:$H$11000,H1152,OUT!$D$2:$D$11000,"Out",OUT!$E$2:$E$11000,"Sedekah")</f>
        <v>2500</v>
      </c>
      <c r="S1152" s="52">
        <f ca="1">SUMIFS(OUT!$F$2:$F$11000,OUT!$H$2:$H$11000,H1152,OUT!$D$2:$D$11000,"Out",OUT!$E$2:$E$11000,"Zela")</f>
        <v>387476</v>
      </c>
      <c r="T1152" s="52">
        <f ca="1">SUMIFS(OUT!$F$2:$F$11000,OUT!$H$2:$H$11000,H1152,OUT!$D$2:$D$11000,"Out",OUT!$E$2:$E$11000,"Iqbal")</f>
        <v>231000</v>
      </c>
    </row>
    <row r="1153" spans="1:20" x14ac:dyDescent="0.2">
      <c r="A1153" s="48">
        <f ca="1">IFERROR(__xludf.DUMMYFUNCTION("""COMPUTED_VALUE"""),46226)</f>
        <v>46226</v>
      </c>
      <c r="B1153" s="4" t="str">
        <f ca="1">IFERROR(__xludf.DUMMYFUNCTION("""COMPUTED_VALUE"""),"Toserba ( gembok+spons+sendok)")</f>
        <v>Toserba ( gembok+spons+sendok)</v>
      </c>
      <c r="C1153" s="4" t="str">
        <f ca="1">IFERROR(__xludf.DUMMYFUNCTION("""COMPUTED_VALUE"""),"Cash")</f>
        <v>Cash</v>
      </c>
      <c r="D1153" s="4" t="str">
        <f ca="1">IFERROR(__xludf.DUMMYFUNCTION("""COMPUTED_VALUE"""),"Out")</f>
        <v>Out</v>
      </c>
      <c r="E1153" s="4" t="str">
        <f ca="1">IFERROR(__xludf.DUMMYFUNCTION("""COMPUTED_VALUE"""),"Fix")</f>
        <v>Fix</v>
      </c>
      <c r="F1153" s="49">
        <f ca="1">IFERROR(__xludf.DUMMYFUNCTION("""COMPUTED_VALUE"""),35000)</f>
        <v>35000</v>
      </c>
      <c r="G1153" s="50" t="str">
        <f ca="1">IFERROR(__xludf.DUMMYFUNCTION("""COMPUTED_VALUE"""),"Zela")</f>
        <v>Zela</v>
      </c>
      <c r="H1153" s="51">
        <f t="shared" ca="1" si="0"/>
        <v>46204</v>
      </c>
      <c r="I1153" s="52" t="e">
        <f ca="1">SUMIFS(OUT!$F$2:$F$11000,OUT!$H$2:$H$11000,H1153,OUT!$D$2:$D$101007,"In")</f>
        <v>#VALUE!</v>
      </c>
      <c r="J1153" s="52">
        <f ca="1">SUMIFS(OUT!$F$2:$F$11000,OUT!$H$2:$H$11000,H1153,OUT!$D$2:$D$11000,"Out")</f>
        <v>9905717</v>
      </c>
      <c r="K1153" s="52">
        <f ca="1">SUMIFS(OUT!$F$2:$F$11000,OUT!$H$2:$H$11000,H1153,OUT!$D$2:$D$11000,"Out",OUT!$E$2:$E$11000,"Fix")</f>
        <v>3048680</v>
      </c>
      <c r="L1153" s="52">
        <f ca="1">SUMIFS(OUT!$F$2:$F$11000,OUT!$H$2:$H$11000,H1153,OUT!$D$2:$D$11000,"Out",OUT!$E$2:$E$11000,"Bathroom")</f>
        <v>50720</v>
      </c>
      <c r="M1153" s="52">
        <f ca="1">SUMIFS(OUT!$F$2:$F$11000,OUT!$H$2:$H$11000,H1153,OUT!$D$2:$D$11000,"Out",OUT!$E$2:$E$11000,"Alfa")</f>
        <v>294200</v>
      </c>
      <c r="N1153" s="52" t="e">
        <f ca="1">SUMIFS(OUT!$F$2:$F$11000,OUT!$H$2:$H$101007,H1153,OUT!$D$2:$D$11000,"Out",OUT!$E$2:$E$11000,"Jajan")</f>
        <v>#VALUE!</v>
      </c>
      <c r="O1153" s="52">
        <f ca="1">SUMIFS(OUT!$F$2:$F$11000,OUT!$H$2:$H$11000,H1153,OUT!$D$2:$D$11000,"Out",OUT!$E$2:$E$11000,"Kitchen")</f>
        <v>1360773</v>
      </c>
      <c r="P1153" s="52">
        <f ca="1">SUMIFS(OUT!$F$2:$F$11000,OUT!$H$2:$H$11000,H1153,OUT!$D$2:$D$11000,"Out",OUT!$E$2:$E$11000,"Loandry")</f>
        <v>11000</v>
      </c>
      <c r="Q1153" s="52">
        <f ca="1">SUMIFS(OUT!$F$2:$F$11000,OUT!$H$2:$H$11000,H1153,OUT!$D$2:$D$11000,"Out",OUT!$E$2:$E$11000,"Mio")</f>
        <v>338500</v>
      </c>
      <c r="R1153" s="52">
        <f ca="1">SUMIFS(OUT!$F$2:$F$11000,OUT!$H$2:$H$11000,H1153,OUT!$D$2:$D$11000,"Out",OUT!$E$2:$E$11000,"Sedekah")</f>
        <v>2500</v>
      </c>
      <c r="S1153" s="52">
        <f ca="1">SUMIFS(OUT!$F$2:$F$11000,OUT!$H$2:$H$11000,H1153,OUT!$D$2:$D$11000,"Out",OUT!$E$2:$E$11000,"Zela")</f>
        <v>387476</v>
      </c>
      <c r="T1153" s="52">
        <f ca="1">SUMIFS(OUT!$F$2:$F$11000,OUT!$H$2:$H$11000,H1153,OUT!$D$2:$D$11000,"Out",OUT!$E$2:$E$11000,"Iqbal")</f>
        <v>231000</v>
      </c>
    </row>
    <row r="1154" spans="1:20" x14ac:dyDescent="0.2">
      <c r="A1154" s="48">
        <f ca="1">IFERROR(__xludf.DUMMYFUNCTION("""COMPUTED_VALUE"""),46226)</f>
        <v>46226</v>
      </c>
      <c r="B1154" s="4" t="str">
        <f ca="1">IFERROR(__xludf.DUMMYFUNCTION("""COMPUTED_VALUE"""),"Bensin Pertalite")</f>
        <v>Bensin Pertalite</v>
      </c>
      <c r="C1154" s="4" t="str">
        <f ca="1">IFERROR(__xludf.DUMMYFUNCTION("""COMPUTED_VALUE"""),"Cash")</f>
        <v>Cash</v>
      </c>
      <c r="D1154" s="4" t="str">
        <f ca="1">IFERROR(__xludf.DUMMYFUNCTION("""COMPUTED_VALUE"""),"Out")</f>
        <v>Out</v>
      </c>
      <c r="E1154" s="4" t="str">
        <f ca="1">IFERROR(__xludf.DUMMYFUNCTION("""COMPUTED_VALUE"""),"Mio")</f>
        <v>Mio</v>
      </c>
      <c r="F1154" s="49">
        <f ca="1">IFERROR(__xludf.DUMMYFUNCTION("""COMPUTED_VALUE"""),20000)</f>
        <v>20000</v>
      </c>
      <c r="G1154" s="50" t="str">
        <f ca="1">IFERROR(__xludf.DUMMYFUNCTION("""COMPUTED_VALUE"""),"Zela")</f>
        <v>Zela</v>
      </c>
      <c r="H1154" s="51">
        <f t="shared" ca="1" si="0"/>
        <v>46204</v>
      </c>
      <c r="I1154" s="52" t="e">
        <f ca="1">SUMIFS(OUT!$F$2:$F$11000,OUT!$H$2:$H$11000,H1154,OUT!$D$2:$D$101007,"In")</f>
        <v>#VALUE!</v>
      </c>
      <c r="J1154" s="52">
        <f ca="1">SUMIFS(OUT!$F$2:$F$11000,OUT!$H$2:$H$11000,H1154,OUT!$D$2:$D$11000,"Out")</f>
        <v>9905717</v>
      </c>
      <c r="K1154" s="52">
        <f ca="1">SUMIFS(OUT!$F$2:$F$11000,OUT!$H$2:$H$11000,H1154,OUT!$D$2:$D$11000,"Out",OUT!$E$2:$E$11000,"Fix")</f>
        <v>3048680</v>
      </c>
      <c r="L1154" s="52">
        <f ca="1">SUMIFS(OUT!$F$2:$F$11000,OUT!$H$2:$H$11000,H1154,OUT!$D$2:$D$11000,"Out",OUT!$E$2:$E$11000,"Bathroom")</f>
        <v>50720</v>
      </c>
      <c r="M1154" s="52">
        <f ca="1">SUMIFS(OUT!$F$2:$F$11000,OUT!$H$2:$H$11000,H1154,OUT!$D$2:$D$11000,"Out",OUT!$E$2:$E$11000,"Alfa")</f>
        <v>294200</v>
      </c>
      <c r="N1154" s="52" t="e">
        <f ca="1">SUMIFS(OUT!$F$2:$F$11000,OUT!$H$2:$H$101007,H1154,OUT!$D$2:$D$11000,"Out",OUT!$E$2:$E$11000,"Jajan")</f>
        <v>#VALUE!</v>
      </c>
      <c r="O1154" s="52">
        <f ca="1">SUMIFS(OUT!$F$2:$F$11000,OUT!$H$2:$H$11000,H1154,OUT!$D$2:$D$11000,"Out",OUT!$E$2:$E$11000,"Kitchen")</f>
        <v>1360773</v>
      </c>
      <c r="P1154" s="52">
        <f ca="1">SUMIFS(OUT!$F$2:$F$11000,OUT!$H$2:$H$11000,H1154,OUT!$D$2:$D$11000,"Out",OUT!$E$2:$E$11000,"Loandry")</f>
        <v>11000</v>
      </c>
      <c r="Q1154" s="52">
        <f ca="1">SUMIFS(OUT!$F$2:$F$11000,OUT!$H$2:$H$11000,H1154,OUT!$D$2:$D$11000,"Out",OUT!$E$2:$E$11000,"Mio")</f>
        <v>338500</v>
      </c>
      <c r="R1154" s="52">
        <f ca="1">SUMIFS(OUT!$F$2:$F$11000,OUT!$H$2:$H$11000,H1154,OUT!$D$2:$D$11000,"Out",OUT!$E$2:$E$11000,"Sedekah")</f>
        <v>2500</v>
      </c>
      <c r="S1154" s="52">
        <f ca="1">SUMIFS(OUT!$F$2:$F$11000,OUT!$H$2:$H$11000,H1154,OUT!$D$2:$D$11000,"Out",OUT!$E$2:$E$11000,"Zela")</f>
        <v>387476</v>
      </c>
      <c r="T1154" s="52">
        <f ca="1">SUMIFS(OUT!$F$2:$F$11000,OUT!$H$2:$H$11000,H1154,OUT!$D$2:$D$11000,"Out",OUT!$E$2:$E$11000,"Iqbal")</f>
        <v>231000</v>
      </c>
    </row>
    <row r="1155" spans="1:20" x14ac:dyDescent="0.2">
      <c r="A1155" s="48">
        <f ca="1">IFERROR(__xludf.DUMMYFUNCTION("""COMPUTED_VALUE"""),46226)</f>
        <v>46226</v>
      </c>
      <c r="B1155" s="4" t="str">
        <f ca="1">IFERROR(__xludf.DUMMYFUNCTION("""COMPUTED_VALUE"""),"Sarapan gorengan")</f>
        <v>Sarapan gorengan</v>
      </c>
      <c r="C1155" s="4" t="str">
        <f ca="1">IFERROR(__xludf.DUMMYFUNCTION("""COMPUTED_VALUE"""),"Cash")</f>
        <v>Cash</v>
      </c>
      <c r="D1155" s="4" t="str">
        <f ca="1">IFERROR(__xludf.DUMMYFUNCTION("""COMPUTED_VALUE"""),"Out")</f>
        <v>Out</v>
      </c>
      <c r="E1155" s="4" t="str">
        <f ca="1">IFERROR(__xludf.DUMMYFUNCTION("""COMPUTED_VALUE"""),"Jajan")</f>
        <v>Jajan</v>
      </c>
      <c r="F1155" s="49">
        <f ca="1">IFERROR(__xludf.DUMMYFUNCTION("""COMPUTED_VALUE"""),12000)</f>
        <v>12000</v>
      </c>
      <c r="G1155" s="50" t="str">
        <f ca="1">IFERROR(__xludf.DUMMYFUNCTION("""COMPUTED_VALUE"""),"Zela")</f>
        <v>Zela</v>
      </c>
      <c r="H1155" s="51">
        <f t="shared" ca="1" si="0"/>
        <v>46204</v>
      </c>
      <c r="I1155" s="52" t="e">
        <f ca="1">SUMIFS(OUT!$F$2:$F$11000,OUT!$H$2:$H$11000,H1155,OUT!$D$2:$D$101007,"In")</f>
        <v>#VALUE!</v>
      </c>
      <c r="J1155" s="52">
        <f ca="1">SUMIFS(OUT!$F$2:$F$11000,OUT!$H$2:$H$11000,H1155,OUT!$D$2:$D$11000,"Out")</f>
        <v>9905717</v>
      </c>
      <c r="K1155" s="52">
        <f ca="1">SUMIFS(OUT!$F$2:$F$11000,OUT!$H$2:$H$11000,H1155,OUT!$D$2:$D$11000,"Out",OUT!$E$2:$E$11000,"Fix")</f>
        <v>3048680</v>
      </c>
      <c r="L1155" s="52">
        <f ca="1">SUMIFS(OUT!$F$2:$F$11000,OUT!$H$2:$H$11000,H1155,OUT!$D$2:$D$11000,"Out",OUT!$E$2:$E$11000,"Bathroom")</f>
        <v>50720</v>
      </c>
      <c r="M1155" s="52">
        <f ca="1">SUMIFS(OUT!$F$2:$F$11000,OUT!$H$2:$H$11000,H1155,OUT!$D$2:$D$11000,"Out",OUT!$E$2:$E$11000,"Alfa")</f>
        <v>294200</v>
      </c>
      <c r="N1155" s="52" t="e">
        <f ca="1">SUMIFS(OUT!$F$2:$F$11000,OUT!$H$2:$H$101007,H1155,OUT!$D$2:$D$11000,"Out",OUT!$E$2:$E$11000,"Jajan")</f>
        <v>#VALUE!</v>
      </c>
      <c r="O1155" s="52">
        <f ca="1">SUMIFS(OUT!$F$2:$F$11000,OUT!$H$2:$H$11000,H1155,OUT!$D$2:$D$11000,"Out",OUT!$E$2:$E$11000,"Kitchen")</f>
        <v>1360773</v>
      </c>
      <c r="P1155" s="52">
        <f ca="1">SUMIFS(OUT!$F$2:$F$11000,OUT!$H$2:$H$11000,H1155,OUT!$D$2:$D$11000,"Out",OUT!$E$2:$E$11000,"Loandry")</f>
        <v>11000</v>
      </c>
      <c r="Q1155" s="52">
        <f ca="1">SUMIFS(OUT!$F$2:$F$11000,OUT!$H$2:$H$11000,H1155,OUT!$D$2:$D$11000,"Out",OUT!$E$2:$E$11000,"Mio")</f>
        <v>338500</v>
      </c>
      <c r="R1155" s="52">
        <f ca="1">SUMIFS(OUT!$F$2:$F$11000,OUT!$H$2:$H$11000,H1155,OUT!$D$2:$D$11000,"Out",OUT!$E$2:$E$11000,"Sedekah")</f>
        <v>2500</v>
      </c>
      <c r="S1155" s="52">
        <f ca="1">SUMIFS(OUT!$F$2:$F$11000,OUT!$H$2:$H$11000,H1155,OUT!$D$2:$D$11000,"Out",OUT!$E$2:$E$11000,"Zela")</f>
        <v>387476</v>
      </c>
      <c r="T1155" s="52">
        <f ca="1">SUMIFS(OUT!$F$2:$F$11000,OUT!$H$2:$H$11000,H1155,OUT!$D$2:$D$11000,"Out",OUT!$E$2:$E$11000,"Iqbal")</f>
        <v>231000</v>
      </c>
    </row>
    <row r="1156" spans="1:20" x14ac:dyDescent="0.2">
      <c r="A1156" s="48">
        <f ca="1">IFERROR(__xludf.DUMMYFUNCTION("""COMPUTED_VALUE"""),46226)</f>
        <v>46226</v>
      </c>
      <c r="B1156" s="4" t="str">
        <f ca="1">IFERROR(__xludf.DUMMYFUNCTION("""COMPUTED_VALUE"""),"Sabun+odol gigi Alfa ")</f>
        <v xml:space="preserve">Sabun+odol gigi Alfa </v>
      </c>
      <c r="C1156" s="4" t="str">
        <f ca="1">IFERROR(__xludf.DUMMYFUNCTION("""COMPUTED_VALUE"""),"Cash")</f>
        <v>Cash</v>
      </c>
      <c r="D1156" s="4" t="str">
        <f ca="1">IFERROR(__xludf.DUMMYFUNCTION("""COMPUTED_VALUE"""),"Out")</f>
        <v>Out</v>
      </c>
      <c r="E1156" s="4" t="str">
        <f ca="1">IFERROR(__xludf.DUMMYFUNCTION("""COMPUTED_VALUE"""),"Alfa")</f>
        <v>Alfa</v>
      </c>
      <c r="F1156" s="49">
        <f ca="1">IFERROR(__xludf.DUMMYFUNCTION("""COMPUTED_VALUE"""),36500)</f>
        <v>36500</v>
      </c>
      <c r="G1156" s="50" t="str">
        <f ca="1">IFERROR(__xludf.DUMMYFUNCTION("""COMPUTED_VALUE"""),"Zela")</f>
        <v>Zela</v>
      </c>
      <c r="H1156" s="51">
        <f t="shared" ca="1" si="0"/>
        <v>46204</v>
      </c>
      <c r="I1156" s="52" t="e">
        <f ca="1">SUMIFS(OUT!$F$2:$F$11000,OUT!$H$2:$H$11000,H1156,OUT!$D$2:$D$101007,"In")</f>
        <v>#VALUE!</v>
      </c>
      <c r="J1156" s="52">
        <f ca="1">SUMIFS(OUT!$F$2:$F$11000,OUT!$H$2:$H$11000,H1156,OUT!$D$2:$D$11000,"Out")</f>
        <v>9905717</v>
      </c>
      <c r="K1156" s="52">
        <f ca="1">SUMIFS(OUT!$F$2:$F$11000,OUT!$H$2:$H$11000,H1156,OUT!$D$2:$D$11000,"Out",OUT!$E$2:$E$11000,"Fix")</f>
        <v>3048680</v>
      </c>
      <c r="L1156" s="52">
        <f ca="1">SUMIFS(OUT!$F$2:$F$11000,OUT!$H$2:$H$11000,H1156,OUT!$D$2:$D$11000,"Out",OUT!$E$2:$E$11000,"Bathroom")</f>
        <v>50720</v>
      </c>
      <c r="M1156" s="52">
        <f ca="1">SUMIFS(OUT!$F$2:$F$11000,OUT!$H$2:$H$11000,H1156,OUT!$D$2:$D$11000,"Out",OUT!$E$2:$E$11000,"Alfa")</f>
        <v>294200</v>
      </c>
      <c r="N1156" s="52" t="e">
        <f ca="1">SUMIFS(OUT!$F$2:$F$11000,OUT!$H$2:$H$101007,H1156,OUT!$D$2:$D$11000,"Out",OUT!$E$2:$E$11000,"Jajan")</f>
        <v>#VALUE!</v>
      </c>
      <c r="O1156" s="52">
        <f ca="1">SUMIFS(OUT!$F$2:$F$11000,OUT!$H$2:$H$11000,H1156,OUT!$D$2:$D$11000,"Out",OUT!$E$2:$E$11000,"Kitchen")</f>
        <v>1360773</v>
      </c>
      <c r="P1156" s="52">
        <f ca="1">SUMIFS(OUT!$F$2:$F$11000,OUT!$H$2:$H$11000,H1156,OUT!$D$2:$D$11000,"Out",OUT!$E$2:$E$11000,"Loandry")</f>
        <v>11000</v>
      </c>
      <c r="Q1156" s="52">
        <f ca="1">SUMIFS(OUT!$F$2:$F$11000,OUT!$H$2:$H$11000,H1156,OUT!$D$2:$D$11000,"Out",OUT!$E$2:$E$11000,"Mio")</f>
        <v>338500</v>
      </c>
      <c r="R1156" s="52">
        <f ca="1">SUMIFS(OUT!$F$2:$F$11000,OUT!$H$2:$H$11000,H1156,OUT!$D$2:$D$11000,"Out",OUT!$E$2:$E$11000,"Sedekah")</f>
        <v>2500</v>
      </c>
      <c r="S1156" s="52">
        <f ca="1">SUMIFS(OUT!$F$2:$F$11000,OUT!$H$2:$H$11000,H1156,OUT!$D$2:$D$11000,"Out",OUT!$E$2:$E$11000,"Zela")</f>
        <v>387476</v>
      </c>
      <c r="T1156" s="52">
        <f ca="1">SUMIFS(OUT!$F$2:$F$11000,OUT!$H$2:$H$11000,H1156,OUT!$D$2:$D$11000,"Out",OUT!$E$2:$E$11000,"Iqbal")</f>
        <v>231000</v>
      </c>
    </row>
    <row r="1157" spans="1:20" x14ac:dyDescent="0.2">
      <c r="A1157" s="48">
        <f ca="1">IFERROR(__xludf.DUMMYFUNCTION("""COMPUTED_VALUE"""),46226)</f>
        <v>46226</v>
      </c>
      <c r="B1157" s="4" t="str">
        <f ca="1">IFERROR(__xludf.DUMMYFUNCTION("""COMPUTED_VALUE"""),"Ayam ")</f>
        <v xml:space="preserve">Ayam </v>
      </c>
      <c r="C1157" s="4" t="str">
        <f ca="1">IFERROR(__xludf.DUMMYFUNCTION("""COMPUTED_VALUE"""),"Cash")</f>
        <v>Cash</v>
      </c>
      <c r="D1157" s="4" t="str">
        <f ca="1">IFERROR(__xludf.DUMMYFUNCTION("""COMPUTED_VALUE"""),"Out")</f>
        <v>Out</v>
      </c>
      <c r="E1157" s="4" t="str">
        <f ca="1">IFERROR(__xludf.DUMMYFUNCTION("""COMPUTED_VALUE"""),"Kitchen")</f>
        <v>Kitchen</v>
      </c>
      <c r="F1157" s="49">
        <f ca="1">IFERROR(__xludf.DUMMYFUNCTION("""COMPUTED_VALUE"""),11000)</f>
        <v>11000</v>
      </c>
      <c r="G1157" s="50" t="str">
        <f ca="1">IFERROR(__xludf.DUMMYFUNCTION("""COMPUTED_VALUE"""),"Zela")</f>
        <v>Zela</v>
      </c>
      <c r="H1157" s="51">
        <f t="shared" ca="1" si="0"/>
        <v>46204</v>
      </c>
      <c r="I1157" s="52" t="e">
        <f ca="1">SUMIFS(OUT!$F$2:$F$11000,OUT!$H$2:$H$11000,H1157,OUT!$D$2:$D$101007,"In")</f>
        <v>#VALUE!</v>
      </c>
      <c r="J1157" s="52">
        <f ca="1">SUMIFS(OUT!$F$2:$F$11000,OUT!$H$2:$H$11000,H1157,OUT!$D$2:$D$11000,"Out")</f>
        <v>9905717</v>
      </c>
      <c r="K1157" s="52">
        <f ca="1">SUMIFS(OUT!$F$2:$F$11000,OUT!$H$2:$H$11000,H1157,OUT!$D$2:$D$11000,"Out",OUT!$E$2:$E$11000,"Fix")</f>
        <v>3048680</v>
      </c>
      <c r="L1157" s="52">
        <f ca="1">SUMIFS(OUT!$F$2:$F$11000,OUT!$H$2:$H$11000,H1157,OUT!$D$2:$D$11000,"Out",OUT!$E$2:$E$11000,"Bathroom")</f>
        <v>50720</v>
      </c>
      <c r="M1157" s="52">
        <f ca="1">SUMIFS(OUT!$F$2:$F$11000,OUT!$H$2:$H$11000,H1157,OUT!$D$2:$D$11000,"Out",OUT!$E$2:$E$11000,"Alfa")</f>
        <v>294200</v>
      </c>
      <c r="N1157" s="52" t="e">
        <f ca="1">SUMIFS(OUT!$F$2:$F$11000,OUT!$H$2:$H$101007,H1157,OUT!$D$2:$D$11000,"Out",OUT!$E$2:$E$11000,"Jajan")</f>
        <v>#VALUE!</v>
      </c>
      <c r="O1157" s="52">
        <f ca="1">SUMIFS(OUT!$F$2:$F$11000,OUT!$H$2:$H$11000,H1157,OUT!$D$2:$D$11000,"Out",OUT!$E$2:$E$11000,"Kitchen")</f>
        <v>1360773</v>
      </c>
      <c r="P1157" s="52">
        <f ca="1">SUMIFS(OUT!$F$2:$F$11000,OUT!$H$2:$H$11000,H1157,OUT!$D$2:$D$11000,"Out",OUT!$E$2:$E$11000,"Loandry")</f>
        <v>11000</v>
      </c>
      <c r="Q1157" s="52">
        <f ca="1">SUMIFS(OUT!$F$2:$F$11000,OUT!$H$2:$H$11000,H1157,OUT!$D$2:$D$11000,"Out",OUT!$E$2:$E$11000,"Mio")</f>
        <v>338500</v>
      </c>
      <c r="R1157" s="52">
        <f ca="1">SUMIFS(OUT!$F$2:$F$11000,OUT!$H$2:$H$11000,H1157,OUT!$D$2:$D$11000,"Out",OUT!$E$2:$E$11000,"Sedekah")</f>
        <v>2500</v>
      </c>
      <c r="S1157" s="52">
        <f ca="1">SUMIFS(OUT!$F$2:$F$11000,OUT!$H$2:$H$11000,H1157,OUT!$D$2:$D$11000,"Out",OUT!$E$2:$E$11000,"Zela")</f>
        <v>387476</v>
      </c>
      <c r="T1157" s="52">
        <f ca="1">SUMIFS(OUT!$F$2:$F$11000,OUT!$H$2:$H$11000,H1157,OUT!$D$2:$D$11000,"Out",OUT!$E$2:$E$11000,"Iqbal")</f>
        <v>231000</v>
      </c>
    </row>
    <row r="1158" spans="1:20" x14ac:dyDescent="0.2">
      <c r="A1158" s="48">
        <f ca="1">IFERROR(__xludf.DUMMYFUNCTION("""COMPUTED_VALUE"""),46227)</f>
        <v>46227</v>
      </c>
      <c r="B1158" s="4" t="str">
        <f ca="1">IFERROR(__xludf.DUMMYFUNCTION("""COMPUTED_VALUE"""),"jjan alfa")</f>
        <v>jjan alfa</v>
      </c>
      <c r="C1158" s="4" t="str">
        <f ca="1">IFERROR(__xludf.DUMMYFUNCTION("""COMPUTED_VALUE"""),"Cash")</f>
        <v>Cash</v>
      </c>
      <c r="D1158" s="4" t="str">
        <f ca="1">IFERROR(__xludf.DUMMYFUNCTION("""COMPUTED_VALUE"""),"Out")</f>
        <v>Out</v>
      </c>
      <c r="E1158" s="4" t="str">
        <f ca="1">IFERROR(__xludf.DUMMYFUNCTION("""COMPUTED_VALUE"""),"Jajan")</f>
        <v>Jajan</v>
      </c>
      <c r="F1158" s="49">
        <f ca="1">IFERROR(__xludf.DUMMYFUNCTION("""COMPUTED_VALUE"""),7000)</f>
        <v>7000</v>
      </c>
      <c r="G1158" s="50" t="str">
        <f ca="1">IFERROR(__xludf.DUMMYFUNCTION("""COMPUTED_VALUE"""),"Zela")</f>
        <v>Zela</v>
      </c>
      <c r="H1158" s="51">
        <f t="shared" ca="1" si="0"/>
        <v>46204</v>
      </c>
      <c r="I1158" s="52" t="e">
        <f ca="1">SUMIFS(OUT!$F$2:$F$11000,OUT!$H$2:$H$11000,H1158,OUT!$D$2:$D$101007,"In")</f>
        <v>#VALUE!</v>
      </c>
      <c r="J1158" s="52">
        <f ca="1">SUMIFS(OUT!$F$2:$F$11000,OUT!$H$2:$H$11000,H1158,OUT!$D$2:$D$11000,"Out")</f>
        <v>9905717</v>
      </c>
      <c r="K1158" s="52">
        <f ca="1">SUMIFS(OUT!$F$2:$F$11000,OUT!$H$2:$H$11000,H1158,OUT!$D$2:$D$11000,"Out",OUT!$E$2:$E$11000,"Fix")</f>
        <v>3048680</v>
      </c>
      <c r="L1158" s="52">
        <f ca="1">SUMIFS(OUT!$F$2:$F$11000,OUT!$H$2:$H$11000,H1158,OUT!$D$2:$D$11000,"Out",OUT!$E$2:$E$11000,"Bathroom")</f>
        <v>50720</v>
      </c>
      <c r="M1158" s="52">
        <f ca="1">SUMIFS(OUT!$F$2:$F$11000,OUT!$H$2:$H$11000,H1158,OUT!$D$2:$D$11000,"Out",OUT!$E$2:$E$11000,"Alfa")</f>
        <v>294200</v>
      </c>
      <c r="N1158" s="52" t="e">
        <f ca="1">SUMIFS(OUT!$F$2:$F$11000,OUT!$H$2:$H$101007,H1158,OUT!$D$2:$D$11000,"Out",OUT!$E$2:$E$11000,"Jajan")</f>
        <v>#VALUE!</v>
      </c>
      <c r="O1158" s="52">
        <f ca="1">SUMIFS(OUT!$F$2:$F$11000,OUT!$H$2:$H$11000,H1158,OUT!$D$2:$D$11000,"Out",OUT!$E$2:$E$11000,"Kitchen")</f>
        <v>1360773</v>
      </c>
      <c r="P1158" s="52">
        <f ca="1">SUMIFS(OUT!$F$2:$F$11000,OUT!$H$2:$H$11000,H1158,OUT!$D$2:$D$11000,"Out",OUT!$E$2:$E$11000,"Loandry")</f>
        <v>11000</v>
      </c>
      <c r="Q1158" s="52">
        <f ca="1">SUMIFS(OUT!$F$2:$F$11000,OUT!$H$2:$H$11000,H1158,OUT!$D$2:$D$11000,"Out",OUT!$E$2:$E$11000,"Mio")</f>
        <v>338500</v>
      </c>
      <c r="R1158" s="52">
        <f ca="1">SUMIFS(OUT!$F$2:$F$11000,OUT!$H$2:$H$11000,H1158,OUT!$D$2:$D$11000,"Out",OUT!$E$2:$E$11000,"Sedekah")</f>
        <v>2500</v>
      </c>
      <c r="S1158" s="52">
        <f ca="1">SUMIFS(OUT!$F$2:$F$11000,OUT!$H$2:$H$11000,H1158,OUT!$D$2:$D$11000,"Out",OUT!$E$2:$E$11000,"Zela")</f>
        <v>387476</v>
      </c>
      <c r="T1158" s="52">
        <f ca="1">SUMIFS(OUT!$F$2:$F$11000,OUT!$H$2:$H$11000,H1158,OUT!$D$2:$D$11000,"Out",OUT!$E$2:$E$11000,"Iqbal")</f>
        <v>231000</v>
      </c>
    </row>
    <row r="1159" spans="1:20" x14ac:dyDescent="0.2">
      <c r="A1159" s="48">
        <f ca="1">IFERROR(__xludf.DUMMYFUNCTION("""COMPUTED_VALUE"""),46227)</f>
        <v>46227</v>
      </c>
      <c r="B1159" s="4" t="str">
        <f ca="1">IFERROR(__xludf.DUMMYFUNCTION("""COMPUTED_VALUE"""),"paylater Parfum Tiktok ")</f>
        <v xml:space="preserve">paylater Parfum Tiktok </v>
      </c>
      <c r="C1159" s="4" t="str">
        <f ca="1">IFERROR(__xludf.DUMMYFUNCTION("""COMPUTED_VALUE"""),"ATM")</f>
        <v>ATM</v>
      </c>
      <c r="D1159" s="4" t="str">
        <f ca="1">IFERROR(__xludf.DUMMYFUNCTION("""COMPUTED_VALUE"""),"Out")</f>
        <v>Out</v>
      </c>
      <c r="E1159" s="4" t="str">
        <f ca="1">IFERROR(__xludf.DUMMYFUNCTION("""COMPUTED_VALUE"""),"Zela")</f>
        <v>Zela</v>
      </c>
      <c r="F1159" s="49">
        <f ca="1">IFERROR(__xludf.DUMMYFUNCTION("""COMPUTED_VALUE"""),42651)</f>
        <v>42651</v>
      </c>
      <c r="G1159" s="50" t="str">
        <f ca="1">IFERROR(__xludf.DUMMYFUNCTION("""COMPUTED_VALUE"""),"Zela")</f>
        <v>Zela</v>
      </c>
      <c r="H1159" s="51">
        <f t="shared" ca="1" si="0"/>
        <v>46204</v>
      </c>
      <c r="I1159" s="52" t="e">
        <f ca="1">SUMIFS(OUT!$F$2:$F$11000,OUT!$H$2:$H$11000,H1159,OUT!$D$2:$D$101007,"In")</f>
        <v>#VALUE!</v>
      </c>
      <c r="J1159" s="52">
        <f ca="1">SUMIFS(OUT!$F$2:$F$11000,OUT!$H$2:$H$11000,H1159,OUT!$D$2:$D$11000,"Out")</f>
        <v>9905717</v>
      </c>
      <c r="K1159" s="52">
        <f ca="1">SUMIFS(OUT!$F$2:$F$11000,OUT!$H$2:$H$11000,H1159,OUT!$D$2:$D$11000,"Out",OUT!$E$2:$E$11000,"Fix")</f>
        <v>3048680</v>
      </c>
      <c r="L1159" s="52">
        <f ca="1">SUMIFS(OUT!$F$2:$F$11000,OUT!$H$2:$H$11000,H1159,OUT!$D$2:$D$11000,"Out",OUT!$E$2:$E$11000,"Bathroom")</f>
        <v>50720</v>
      </c>
      <c r="M1159" s="52">
        <f ca="1">SUMIFS(OUT!$F$2:$F$11000,OUT!$H$2:$H$11000,H1159,OUT!$D$2:$D$11000,"Out",OUT!$E$2:$E$11000,"Alfa")</f>
        <v>294200</v>
      </c>
      <c r="N1159" s="52" t="e">
        <f ca="1">SUMIFS(OUT!$F$2:$F$11000,OUT!$H$2:$H$101007,H1159,OUT!$D$2:$D$11000,"Out",OUT!$E$2:$E$11000,"Jajan")</f>
        <v>#VALUE!</v>
      </c>
      <c r="O1159" s="52">
        <f ca="1">SUMIFS(OUT!$F$2:$F$11000,OUT!$H$2:$H$11000,H1159,OUT!$D$2:$D$11000,"Out",OUT!$E$2:$E$11000,"Kitchen")</f>
        <v>1360773</v>
      </c>
      <c r="P1159" s="52">
        <f ca="1">SUMIFS(OUT!$F$2:$F$11000,OUT!$H$2:$H$11000,H1159,OUT!$D$2:$D$11000,"Out",OUT!$E$2:$E$11000,"Loandry")</f>
        <v>11000</v>
      </c>
      <c r="Q1159" s="52">
        <f ca="1">SUMIFS(OUT!$F$2:$F$11000,OUT!$H$2:$H$11000,H1159,OUT!$D$2:$D$11000,"Out",OUT!$E$2:$E$11000,"Mio")</f>
        <v>338500</v>
      </c>
      <c r="R1159" s="52">
        <f ca="1">SUMIFS(OUT!$F$2:$F$11000,OUT!$H$2:$H$11000,H1159,OUT!$D$2:$D$11000,"Out",OUT!$E$2:$E$11000,"Sedekah")</f>
        <v>2500</v>
      </c>
      <c r="S1159" s="52">
        <f ca="1">SUMIFS(OUT!$F$2:$F$11000,OUT!$H$2:$H$11000,H1159,OUT!$D$2:$D$11000,"Out",OUT!$E$2:$E$11000,"Zela")</f>
        <v>387476</v>
      </c>
      <c r="T1159" s="52">
        <f ca="1">SUMIFS(OUT!$F$2:$F$11000,OUT!$H$2:$H$11000,H1159,OUT!$D$2:$D$11000,"Out",OUT!$E$2:$E$11000,"Iqbal")</f>
        <v>231000</v>
      </c>
    </row>
    <row r="1160" spans="1:20" x14ac:dyDescent="0.2">
      <c r="A1160" s="48">
        <f ca="1">IFERROR(__xludf.DUMMYFUNCTION("""COMPUTED_VALUE"""),46227)</f>
        <v>46227</v>
      </c>
      <c r="B1160" s="4" t="str">
        <f ca="1">IFERROR(__xludf.DUMMYFUNCTION("""COMPUTED_VALUE"""),"Saldo tiktok 1&amp;2 ")</f>
        <v xml:space="preserve">Saldo tiktok 1&amp;2 </v>
      </c>
      <c r="C1160" s="4" t="str">
        <f ca="1">IFERROR(__xludf.DUMMYFUNCTION("""COMPUTED_VALUE"""),"ATM")</f>
        <v>ATM</v>
      </c>
      <c r="D1160" s="4" t="str">
        <f ca="1">IFERROR(__xludf.DUMMYFUNCTION("""COMPUTED_VALUE"""),"In")</f>
        <v>In</v>
      </c>
      <c r="E1160" s="4" t="str">
        <f ca="1">IFERROR(__xludf.DUMMYFUNCTION("""COMPUTED_VALUE"""),"Fix")</f>
        <v>Fix</v>
      </c>
      <c r="F1160" s="49">
        <f ca="1">IFERROR(__xludf.DUMMYFUNCTION("""COMPUTED_VALUE"""),117565)</f>
        <v>117565</v>
      </c>
      <c r="G1160" s="50" t="str">
        <f ca="1">IFERROR(__xludf.DUMMYFUNCTION("""COMPUTED_VALUE"""),"Zela")</f>
        <v>Zela</v>
      </c>
      <c r="H1160" s="51">
        <f t="shared" ca="1" si="0"/>
        <v>46204</v>
      </c>
      <c r="I1160" s="52" t="e">
        <f ca="1">SUMIFS(OUT!$F$2:$F$11000,OUT!$H$2:$H$11000,H1160,OUT!$D$2:$D$101007,"In")</f>
        <v>#VALUE!</v>
      </c>
      <c r="J1160" s="52">
        <f ca="1">SUMIFS(OUT!$F$2:$F$11000,OUT!$H$2:$H$11000,H1160,OUT!$D$2:$D$11000,"Out")</f>
        <v>9905717</v>
      </c>
      <c r="K1160" s="52">
        <f ca="1">SUMIFS(OUT!$F$2:$F$11000,OUT!$H$2:$H$11000,H1160,OUT!$D$2:$D$11000,"Out",OUT!$E$2:$E$11000,"Fix")</f>
        <v>3048680</v>
      </c>
      <c r="L1160" s="52">
        <f ca="1">SUMIFS(OUT!$F$2:$F$11000,OUT!$H$2:$H$11000,H1160,OUT!$D$2:$D$11000,"Out",OUT!$E$2:$E$11000,"Bathroom")</f>
        <v>50720</v>
      </c>
      <c r="M1160" s="52">
        <f ca="1">SUMIFS(OUT!$F$2:$F$11000,OUT!$H$2:$H$11000,H1160,OUT!$D$2:$D$11000,"Out",OUT!$E$2:$E$11000,"Alfa")</f>
        <v>294200</v>
      </c>
      <c r="N1160" s="52" t="e">
        <f ca="1">SUMIFS(OUT!$F$2:$F$11000,OUT!$H$2:$H$101007,H1160,OUT!$D$2:$D$11000,"Out",OUT!$E$2:$E$11000,"Jajan")</f>
        <v>#VALUE!</v>
      </c>
      <c r="O1160" s="52">
        <f ca="1">SUMIFS(OUT!$F$2:$F$11000,OUT!$H$2:$H$11000,H1160,OUT!$D$2:$D$11000,"Out",OUT!$E$2:$E$11000,"Kitchen")</f>
        <v>1360773</v>
      </c>
      <c r="P1160" s="52">
        <f ca="1">SUMIFS(OUT!$F$2:$F$11000,OUT!$H$2:$H$11000,H1160,OUT!$D$2:$D$11000,"Out",OUT!$E$2:$E$11000,"Loandry")</f>
        <v>11000</v>
      </c>
      <c r="Q1160" s="52">
        <f ca="1">SUMIFS(OUT!$F$2:$F$11000,OUT!$H$2:$H$11000,H1160,OUT!$D$2:$D$11000,"Out",OUT!$E$2:$E$11000,"Mio")</f>
        <v>338500</v>
      </c>
      <c r="R1160" s="52">
        <f ca="1">SUMIFS(OUT!$F$2:$F$11000,OUT!$H$2:$H$11000,H1160,OUT!$D$2:$D$11000,"Out",OUT!$E$2:$E$11000,"Sedekah")</f>
        <v>2500</v>
      </c>
      <c r="S1160" s="52">
        <f ca="1">SUMIFS(OUT!$F$2:$F$11000,OUT!$H$2:$H$11000,H1160,OUT!$D$2:$D$11000,"Out",OUT!$E$2:$E$11000,"Zela")</f>
        <v>387476</v>
      </c>
      <c r="T1160" s="52">
        <f ca="1">SUMIFS(OUT!$F$2:$F$11000,OUT!$H$2:$H$11000,H1160,OUT!$D$2:$D$11000,"Out",OUT!$E$2:$E$11000,"Iqbal")</f>
        <v>231000</v>
      </c>
    </row>
    <row r="1161" spans="1:20" x14ac:dyDescent="0.2">
      <c r="A1161" s="48">
        <f ca="1">IFERROR(__xludf.DUMMYFUNCTION("""COMPUTED_VALUE"""),46227)</f>
        <v>46227</v>
      </c>
      <c r="B1161" s="4" t="str">
        <f ca="1">IFERROR(__xludf.DUMMYFUNCTION("""COMPUTED_VALUE"""),"saldo tiktok 2")</f>
        <v>saldo tiktok 2</v>
      </c>
      <c r="C1161" s="4" t="str">
        <f ca="1">IFERROR(__xludf.DUMMYFUNCTION("""COMPUTED_VALUE"""),"ATM")</f>
        <v>ATM</v>
      </c>
      <c r="D1161" s="4" t="str">
        <f ca="1">IFERROR(__xludf.DUMMYFUNCTION("""COMPUTED_VALUE"""),"In")</f>
        <v>In</v>
      </c>
      <c r="E1161" s="4" t="str">
        <f ca="1">IFERROR(__xludf.DUMMYFUNCTION("""COMPUTED_VALUE"""),"Fix")</f>
        <v>Fix</v>
      </c>
      <c r="F1161" s="49">
        <f ca="1">IFERROR(__xludf.DUMMYFUNCTION("""COMPUTED_VALUE"""),38730)</f>
        <v>38730</v>
      </c>
      <c r="G1161" s="50" t="str">
        <f ca="1">IFERROR(__xludf.DUMMYFUNCTION("""COMPUTED_VALUE"""),"Zela")</f>
        <v>Zela</v>
      </c>
      <c r="H1161" s="51">
        <f t="shared" ca="1" si="0"/>
        <v>46204</v>
      </c>
      <c r="I1161" s="52" t="e">
        <f ca="1">SUMIFS(OUT!$F$2:$F$11000,OUT!$H$2:$H$11000,H1161,OUT!$D$2:$D$101007,"In")</f>
        <v>#VALUE!</v>
      </c>
      <c r="J1161" s="52">
        <f ca="1">SUMIFS(OUT!$F$2:$F$11000,OUT!$H$2:$H$11000,H1161,OUT!$D$2:$D$11000,"Out")</f>
        <v>9905717</v>
      </c>
      <c r="K1161" s="52">
        <f ca="1">SUMIFS(OUT!$F$2:$F$11000,OUT!$H$2:$H$11000,H1161,OUT!$D$2:$D$11000,"Out",OUT!$E$2:$E$11000,"Fix")</f>
        <v>3048680</v>
      </c>
      <c r="L1161" s="52">
        <f ca="1">SUMIFS(OUT!$F$2:$F$11000,OUT!$H$2:$H$11000,H1161,OUT!$D$2:$D$11000,"Out",OUT!$E$2:$E$11000,"Bathroom")</f>
        <v>50720</v>
      </c>
      <c r="M1161" s="52">
        <f ca="1">SUMIFS(OUT!$F$2:$F$11000,OUT!$H$2:$H$11000,H1161,OUT!$D$2:$D$11000,"Out",OUT!$E$2:$E$11000,"Alfa")</f>
        <v>294200</v>
      </c>
      <c r="N1161" s="52" t="e">
        <f ca="1">SUMIFS(OUT!$F$2:$F$11000,OUT!$H$2:$H$101007,H1161,OUT!$D$2:$D$11000,"Out",OUT!$E$2:$E$11000,"Jajan")</f>
        <v>#VALUE!</v>
      </c>
      <c r="O1161" s="52">
        <f ca="1">SUMIFS(OUT!$F$2:$F$11000,OUT!$H$2:$H$11000,H1161,OUT!$D$2:$D$11000,"Out",OUT!$E$2:$E$11000,"Kitchen")</f>
        <v>1360773</v>
      </c>
      <c r="P1161" s="52">
        <f ca="1">SUMIFS(OUT!$F$2:$F$11000,OUT!$H$2:$H$11000,H1161,OUT!$D$2:$D$11000,"Out",OUT!$E$2:$E$11000,"Loandry")</f>
        <v>11000</v>
      </c>
      <c r="Q1161" s="52">
        <f ca="1">SUMIFS(OUT!$F$2:$F$11000,OUT!$H$2:$H$11000,H1161,OUT!$D$2:$D$11000,"Out",OUT!$E$2:$E$11000,"Mio")</f>
        <v>338500</v>
      </c>
      <c r="R1161" s="52">
        <f ca="1">SUMIFS(OUT!$F$2:$F$11000,OUT!$H$2:$H$11000,H1161,OUT!$D$2:$D$11000,"Out",OUT!$E$2:$E$11000,"Sedekah")</f>
        <v>2500</v>
      </c>
      <c r="S1161" s="52">
        <f ca="1">SUMIFS(OUT!$F$2:$F$11000,OUT!$H$2:$H$11000,H1161,OUT!$D$2:$D$11000,"Out",OUT!$E$2:$E$11000,"Zela")</f>
        <v>387476</v>
      </c>
      <c r="T1161" s="52">
        <f ca="1">SUMIFS(OUT!$F$2:$F$11000,OUT!$H$2:$H$11000,H1161,OUT!$D$2:$D$11000,"Out",OUT!$E$2:$E$11000,"Iqbal")</f>
        <v>231000</v>
      </c>
    </row>
    <row r="1162" spans="1:20" x14ac:dyDescent="0.2">
      <c r="A1162" s="48">
        <f ca="1">IFERROR(__xludf.DUMMYFUNCTION("""COMPUTED_VALUE"""),46227)</f>
        <v>46227</v>
      </c>
      <c r="B1162" s="4" t="str">
        <f ca="1">IFERROR(__xludf.DUMMYFUNCTION("""COMPUTED_VALUE"""),"Tarik tunai ")</f>
        <v xml:space="preserve">Tarik tunai </v>
      </c>
      <c r="C1162" s="4" t="str">
        <f ca="1">IFERROR(__xludf.DUMMYFUNCTION("""COMPUTED_VALUE"""),"ATM")</f>
        <v>ATM</v>
      </c>
      <c r="D1162" s="4" t="str">
        <f ca="1">IFERROR(__xludf.DUMMYFUNCTION("""COMPUTED_VALUE"""),"Out")</f>
        <v>Out</v>
      </c>
      <c r="E1162" s="4" t="str">
        <f ca="1">IFERROR(__xludf.DUMMYFUNCTION("""COMPUTED_VALUE"""),"Move")</f>
        <v>Move</v>
      </c>
      <c r="F1162" s="49">
        <f ca="1">IFERROR(__xludf.DUMMYFUNCTION("""COMPUTED_VALUE"""),100000)</f>
        <v>100000</v>
      </c>
      <c r="G1162" s="50" t="str">
        <f ca="1">IFERROR(__xludf.DUMMYFUNCTION("""COMPUTED_VALUE"""),"Zela")</f>
        <v>Zela</v>
      </c>
      <c r="H1162" s="51">
        <f t="shared" ca="1" si="0"/>
        <v>46204</v>
      </c>
      <c r="I1162" s="52" t="e">
        <f ca="1">SUMIFS(OUT!$F$2:$F$11000,OUT!$H$2:$H$11000,H1162,OUT!$D$2:$D$101007,"In")</f>
        <v>#VALUE!</v>
      </c>
      <c r="J1162" s="52">
        <f ca="1">SUMIFS(OUT!$F$2:$F$11000,OUT!$H$2:$H$11000,H1162,OUT!$D$2:$D$11000,"Out")</f>
        <v>9905717</v>
      </c>
      <c r="K1162" s="52">
        <f ca="1">SUMIFS(OUT!$F$2:$F$11000,OUT!$H$2:$H$11000,H1162,OUT!$D$2:$D$11000,"Out",OUT!$E$2:$E$11000,"Fix")</f>
        <v>3048680</v>
      </c>
      <c r="L1162" s="52">
        <f ca="1">SUMIFS(OUT!$F$2:$F$11000,OUT!$H$2:$H$11000,H1162,OUT!$D$2:$D$11000,"Out",OUT!$E$2:$E$11000,"Bathroom")</f>
        <v>50720</v>
      </c>
      <c r="M1162" s="52">
        <f ca="1">SUMIFS(OUT!$F$2:$F$11000,OUT!$H$2:$H$11000,H1162,OUT!$D$2:$D$11000,"Out",OUT!$E$2:$E$11000,"Alfa")</f>
        <v>294200</v>
      </c>
      <c r="N1162" s="52" t="e">
        <f ca="1">SUMIFS(OUT!$F$2:$F$11000,OUT!$H$2:$H$101007,H1162,OUT!$D$2:$D$11000,"Out",OUT!$E$2:$E$11000,"Jajan")</f>
        <v>#VALUE!</v>
      </c>
      <c r="O1162" s="52">
        <f ca="1">SUMIFS(OUT!$F$2:$F$11000,OUT!$H$2:$H$11000,H1162,OUT!$D$2:$D$11000,"Out",OUT!$E$2:$E$11000,"Kitchen")</f>
        <v>1360773</v>
      </c>
      <c r="P1162" s="52">
        <f ca="1">SUMIFS(OUT!$F$2:$F$11000,OUT!$H$2:$H$11000,H1162,OUT!$D$2:$D$11000,"Out",OUT!$E$2:$E$11000,"Loandry")</f>
        <v>11000</v>
      </c>
      <c r="Q1162" s="52">
        <f ca="1">SUMIFS(OUT!$F$2:$F$11000,OUT!$H$2:$H$11000,H1162,OUT!$D$2:$D$11000,"Out",OUT!$E$2:$E$11000,"Mio")</f>
        <v>338500</v>
      </c>
      <c r="R1162" s="52">
        <f ca="1">SUMIFS(OUT!$F$2:$F$11000,OUT!$H$2:$H$11000,H1162,OUT!$D$2:$D$11000,"Out",OUT!$E$2:$E$11000,"Sedekah")</f>
        <v>2500</v>
      </c>
      <c r="S1162" s="52">
        <f ca="1">SUMIFS(OUT!$F$2:$F$11000,OUT!$H$2:$H$11000,H1162,OUT!$D$2:$D$11000,"Out",OUT!$E$2:$E$11000,"Zela")</f>
        <v>387476</v>
      </c>
      <c r="T1162" s="52">
        <f ca="1">SUMIFS(OUT!$F$2:$F$11000,OUT!$H$2:$H$11000,H1162,OUT!$D$2:$D$11000,"Out",OUT!$E$2:$E$11000,"Iqbal")</f>
        <v>231000</v>
      </c>
    </row>
    <row r="1163" spans="1:20" x14ac:dyDescent="0.2">
      <c r="A1163" s="48">
        <f ca="1">IFERROR(__xludf.DUMMYFUNCTION("""COMPUTED_VALUE"""),46227)</f>
        <v>46227</v>
      </c>
      <c r="B1163" s="4" t="str">
        <f ca="1">IFERROR(__xludf.DUMMYFUNCTION("""COMPUTED_VALUE"""),"Terima tunai ")</f>
        <v xml:space="preserve">Terima tunai </v>
      </c>
      <c r="C1163" s="4" t="str">
        <f ca="1">IFERROR(__xludf.DUMMYFUNCTION("""COMPUTED_VALUE"""),"Cash")</f>
        <v>Cash</v>
      </c>
      <c r="D1163" s="4" t="str">
        <f ca="1">IFERROR(__xludf.DUMMYFUNCTION("""COMPUTED_VALUE"""),"In")</f>
        <v>In</v>
      </c>
      <c r="E1163" s="4" t="str">
        <f ca="1">IFERROR(__xludf.DUMMYFUNCTION("""COMPUTED_VALUE"""),"Move")</f>
        <v>Move</v>
      </c>
      <c r="F1163" s="49">
        <f ca="1">IFERROR(__xludf.DUMMYFUNCTION("""COMPUTED_VALUE"""),100000)</f>
        <v>100000</v>
      </c>
      <c r="G1163" s="50" t="str">
        <f ca="1">IFERROR(__xludf.DUMMYFUNCTION("""COMPUTED_VALUE"""),"Zela")</f>
        <v>Zela</v>
      </c>
      <c r="H1163" s="51">
        <f t="shared" ca="1" si="0"/>
        <v>46204</v>
      </c>
      <c r="I1163" s="52" t="e">
        <f ca="1">SUMIFS(OUT!$F$2:$F$11000,OUT!$H$2:$H$11000,H1163,OUT!$D$2:$D$101007,"In")</f>
        <v>#VALUE!</v>
      </c>
      <c r="J1163" s="52">
        <f ca="1">SUMIFS(OUT!$F$2:$F$11000,OUT!$H$2:$H$11000,H1163,OUT!$D$2:$D$11000,"Out")</f>
        <v>9905717</v>
      </c>
      <c r="K1163" s="52">
        <f ca="1">SUMIFS(OUT!$F$2:$F$11000,OUT!$H$2:$H$11000,H1163,OUT!$D$2:$D$11000,"Out",OUT!$E$2:$E$11000,"Fix")</f>
        <v>3048680</v>
      </c>
      <c r="L1163" s="52">
        <f ca="1">SUMIFS(OUT!$F$2:$F$11000,OUT!$H$2:$H$11000,H1163,OUT!$D$2:$D$11000,"Out",OUT!$E$2:$E$11000,"Bathroom")</f>
        <v>50720</v>
      </c>
      <c r="M1163" s="52">
        <f ca="1">SUMIFS(OUT!$F$2:$F$11000,OUT!$H$2:$H$11000,H1163,OUT!$D$2:$D$11000,"Out",OUT!$E$2:$E$11000,"Alfa")</f>
        <v>294200</v>
      </c>
      <c r="N1163" s="52" t="e">
        <f ca="1">SUMIFS(OUT!$F$2:$F$11000,OUT!$H$2:$H$101007,H1163,OUT!$D$2:$D$11000,"Out",OUT!$E$2:$E$11000,"Jajan")</f>
        <v>#VALUE!</v>
      </c>
      <c r="O1163" s="52">
        <f ca="1">SUMIFS(OUT!$F$2:$F$11000,OUT!$H$2:$H$11000,H1163,OUT!$D$2:$D$11000,"Out",OUT!$E$2:$E$11000,"Kitchen")</f>
        <v>1360773</v>
      </c>
      <c r="P1163" s="52">
        <f ca="1">SUMIFS(OUT!$F$2:$F$11000,OUT!$H$2:$H$11000,H1163,OUT!$D$2:$D$11000,"Out",OUT!$E$2:$E$11000,"Loandry")</f>
        <v>11000</v>
      </c>
      <c r="Q1163" s="52">
        <f ca="1">SUMIFS(OUT!$F$2:$F$11000,OUT!$H$2:$H$11000,H1163,OUT!$D$2:$D$11000,"Out",OUT!$E$2:$E$11000,"Mio")</f>
        <v>338500</v>
      </c>
      <c r="R1163" s="52">
        <f ca="1">SUMIFS(OUT!$F$2:$F$11000,OUT!$H$2:$H$11000,H1163,OUT!$D$2:$D$11000,"Out",OUT!$E$2:$E$11000,"Sedekah")</f>
        <v>2500</v>
      </c>
      <c r="S1163" s="52">
        <f ca="1">SUMIFS(OUT!$F$2:$F$11000,OUT!$H$2:$H$11000,H1163,OUT!$D$2:$D$11000,"Out",OUT!$E$2:$E$11000,"Zela")</f>
        <v>387476</v>
      </c>
      <c r="T1163" s="52">
        <f ca="1">SUMIFS(OUT!$F$2:$F$11000,OUT!$H$2:$H$11000,H1163,OUT!$D$2:$D$11000,"Out",OUT!$E$2:$E$11000,"Iqbal")</f>
        <v>231000</v>
      </c>
    </row>
    <row r="1164" spans="1:20" x14ac:dyDescent="0.2">
      <c r="A1164" s="48">
        <f ca="1">IFERROR(__xludf.DUMMYFUNCTION("""COMPUTED_VALUE"""),46227)</f>
        <v>46227</v>
      </c>
      <c r="B1164" s="4" t="str">
        <f ca="1">IFERROR(__xludf.DUMMYFUNCTION("""COMPUTED_VALUE"""),"Pasar Kaget ")</f>
        <v xml:space="preserve">Pasar Kaget </v>
      </c>
      <c r="C1164" s="4" t="str">
        <f ca="1">IFERROR(__xludf.DUMMYFUNCTION("""COMPUTED_VALUE"""),"Cash")</f>
        <v>Cash</v>
      </c>
      <c r="D1164" s="4" t="str">
        <f ca="1">IFERROR(__xludf.DUMMYFUNCTION("""COMPUTED_VALUE"""),"Out")</f>
        <v>Out</v>
      </c>
      <c r="E1164" s="4" t="str">
        <f ca="1">IFERROR(__xludf.DUMMYFUNCTION("""COMPUTED_VALUE"""),"Kitchen")</f>
        <v>Kitchen</v>
      </c>
      <c r="F1164" s="49">
        <f ca="1">IFERROR(__xludf.DUMMYFUNCTION("""COMPUTED_VALUE"""),86000)</f>
        <v>86000</v>
      </c>
      <c r="G1164" s="50" t="str">
        <f ca="1">IFERROR(__xludf.DUMMYFUNCTION("""COMPUTED_VALUE"""),"Zela")</f>
        <v>Zela</v>
      </c>
      <c r="H1164" s="51">
        <f t="shared" ca="1" si="0"/>
        <v>46204</v>
      </c>
      <c r="I1164" s="52" t="e">
        <f ca="1">SUMIFS(OUT!$F$2:$F$11000,OUT!$H$2:$H$11000,H1164,OUT!$D$2:$D$101007,"In")</f>
        <v>#VALUE!</v>
      </c>
      <c r="J1164" s="52">
        <f ca="1">SUMIFS(OUT!$F$2:$F$11000,OUT!$H$2:$H$11000,H1164,OUT!$D$2:$D$11000,"Out")</f>
        <v>9905717</v>
      </c>
      <c r="K1164" s="52">
        <f ca="1">SUMIFS(OUT!$F$2:$F$11000,OUT!$H$2:$H$11000,H1164,OUT!$D$2:$D$11000,"Out",OUT!$E$2:$E$11000,"Fix")</f>
        <v>3048680</v>
      </c>
      <c r="L1164" s="52">
        <f ca="1">SUMIFS(OUT!$F$2:$F$11000,OUT!$H$2:$H$11000,H1164,OUT!$D$2:$D$11000,"Out",OUT!$E$2:$E$11000,"Bathroom")</f>
        <v>50720</v>
      </c>
      <c r="M1164" s="52">
        <f ca="1">SUMIFS(OUT!$F$2:$F$11000,OUT!$H$2:$H$11000,H1164,OUT!$D$2:$D$11000,"Out",OUT!$E$2:$E$11000,"Alfa")</f>
        <v>294200</v>
      </c>
      <c r="N1164" s="52" t="e">
        <f ca="1">SUMIFS(OUT!$F$2:$F$11000,OUT!$H$2:$H$101007,H1164,OUT!$D$2:$D$11000,"Out",OUT!$E$2:$E$11000,"Jajan")</f>
        <v>#VALUE!</v>
      </c>
      <c r="O1164" s="52">
        <f ca="1">SUMIFS(OUT!$F$2:$F$11000,OUT!$H$2:$H$11000,H1164,OUT!$D$2:$D$11000,"Out",OUT!$E$2:$E$11000,"Kitchen")</f>
        <v>1360773</v>
      </c>
      <c r="P1164" s="52">
        <f ca="1">SUMIFS(OUT!$F$2:$F$11000,OUT!$H$2:$H$11000,H1164,OUT!$D$2:$D$11000,"Out",OUT!$E$2:$E$11000,"Loandry")</f>
        <v>11000</v>
      </c>
      <c r="Q1164" s="52">
        <f ca="1">SUMIFS(OUT!$F$2:$F$11000,OUT!$H$2:$H$11000,H1164,OUT!$D$2:$D$11000,"Out",OUT!$E$2:$E$11000,"Mio")</f>
        <v>338500</v>
      </c>
      <c r="R1164" s="52">
        <f ca="1">SUMIFS(OUT!$F$2:$F$11000,OUT!$H$2:$H$11000,H1164,OUT!$D$2:$D$11000,"Out",OUT!$E$2:$E$11000,"Sedekah")</f>
        <v>2500</v>
      </c>
      <c r="S1164" s="52">
        <f ca="1">SUMIFS(OUT!$F$2:$F$11000,OUT!$H$2:$H$11000,H1164,OUT!$D$2:$D$11000,"Out",OUT!$E$2:$E$11000,"Zela")</f>
        <v>387476</v>
      </c>
      <c r="T1164" s="52">
        <f ca="1">SUMIFS(OUT!$F$2:$F$11000,OUT!$H$2:$H$11000,H1164,OUT!$D$2:$D$11000,"Out",OUT!$E$2:$E$11000,"Iqbal")</f>
        <v>231000</v>
      </c>
    </row>
    <row r="1165" spans="1:20" x14ac:dyDescent="0.2">
      <c r="A1165" s="48">
        <f ca="1">IFERROR(__xludf.DUMMYFUNCTION("""COMPUTED_VALUE"""),46228)</f>
        <v>46228</v>
      </c>
      <c r="B1165" s="4" t="str">
        <f ca="1">IFERROR(__xludf.DUMMYFUNCTION("""COMPUTED_VALUE"""),"Bensin  motor Ante oji")</f>
        <v>Bensin  motor Ante oji</v>
      </c>
      <c r="C1165" s="4" t="str">
        <f ca="1">IFERROR(__xludf.DUMMYFUNCTION("""COMPUTED_VALUE"""),"Cash")</f>
        <v>Cash</v>
      </c>
      <c r="D1165" s="4" t="str">
        <f ca="1">IFERROR(__xludf.DUMMYFUNCTION("""COMPUTED_VALUE"""),"Out")</f>
        <v>Out</v>
      </c>
      <c r="E1165" s="4" t="str">
        <f ca="1">IFERROR(__xludf.DUMMYFUNCTION("""COMPUTED_VALUE"""),"Mio")</f>
        <v>Mio</v>
      </c>
      <c r="F1165" s="49">
        <f ca="1">IFERROR(__xludf.DUMMYFUNCTION("""COMPUTED_VALUE"""),20000)</f>
        <v>20000</v>
      </c>
      <c r="G1165" s="50" t="str">
        <f ca="1">IFERROR(__xludf.DUMMYFUNCTION("""COMPUTED_VALUE"""),"Zela")</f>
        <v>Zela</v>
      </c>
      <c r="H1165" s="51">
        <f t="shared" ca="1" si="0"/>
        <v>46204</v>
      </c>
      <c r="I1165" s="52" t="e">
        <f ca="1">SUMIFS(OUT!$F$2:$F$11000,OUT!$H$2:$H$11000,H1165,OUT!$D$2:$D$101007,"In")</f>
        <v>#VALUE!</v>
      </c>
      <c r="J1165" s="52">
        <f ca="1">SUMIFS(OUT!$F$2:$F$11000,OUT!$H$2:$H$11000,H1165,OUT!$D$2:$D$11000,"Out")</f>
        <v>9905717</v>
      </c>
      <c r="K1165" s="52">
        <f ca="1">SUMIFS(OUT!$F$2:$F$11000,OUT!$H$2:$H$11000,H1165,OUT!$D$2:$D$11000,"Out",OUT!$E$2:$E$11000,"Fix")</f>
        <v>3048680</v>
      </c>
      <c r="L1165" s="52">
        <f ca="1">SUMIFS(OUT!$F$2:$F$11000,OUT!$H$2:$H$11000,H1165,OUT!$D$2:$D$11000,"Out",OUT!$E$2:$E$11000,"Bathroom")</f>
        <v>50720</v>
      </c>
      <c r="M1165" s="52">
        <f ca="1">SUMIFS(OUT!$F$2:$F$11000,OUT!$H$2:$H$11000,H1165,OUT!$D$2:$D$11000,"Out",OUT!$E$2:$E$11000,"Alfa")</f>
        <v>294200</v>
      </c>
      <c r="N1165" s="52" t="e">
        <f ca="1">SUMIFS(OUT!$F$2:$F$11000,OUT!$H$2:$H$101007,H1165,OUT!$D$2:$D$11000,"Out",OUT!$E$2:$E$11000,"Jajan")</f>
        <v>#VALUE!</v>
      </c>
      <c r="O1165" s="52">
        <f ca="1">SUMIFS(OUT!$F$2:$F$11000,OUT!$H$2:$H$11000,H1165,OUT!$D$2:$D$11000,"Out",OUT!$E$2:$E$11000,"Kitchen")</f>
        <v>1360773</v>
      </c>
      <c r="P1165" s="52">
        <f ca="1">SUMIFS(OUT!$F$2:$F$11000,OUT!$H$2:$H$11000,H1165,OUT!$D$2:$D$11000,"Out",OUT!$E$2:$E$11000,"Loandry")</f>
        <v>11000</v>
      </c>
      <c r="Q1165" s="52">
        <f ca="1">SUMIFS(OUT!$F$2:$F$11000,OUT!$H$2:$H$11000,H1165,OUT!$D$2:$D$11000,"Out",OUT!$E$2:$E$11000,"Mio")</f>
        <v>338500</v>
      </c>
      <c r="R1165" s="52">
        <f ca="1">SUMIFS(OUT!$F$2:$F$11000,OUT!$H$2:$H$11000,H1165,OUT!$D$2:$D$11000,"Out",OUT!$E$2:$E$11000,"Sedekah")</f>
        <v>2500</v>
      </c>
      <c r="S1165" s="52">
        <f ca="1">SUMIFS(OUT!$F$2:$F$11000,OUT!$H$2:$H$11000,H1165,OUT!$D$2:$D$11000,"Out",OUT!$E$2:$E$11000,"Zela")</f>
        <v>387476</v>
      </c>
      <c r="T1165" s="52">
        <f ca="1">SUMIFS(OUT!$F$2:$F$11000,OUT!$H$2:$H$11000,H1165,OUT!$D$2:$D$11000,"Out",OUT!$E$2:$E$11000,"Iqbal")</f>
        <v>231000</v>
      </c>
    </row>
    <row r="1166" spans="1:20" x14ac:dyDescent="0.2">
      <c r="A1166" s="48">
        <f ca="1">IFERROR(__xludf.DUMMYFUNCTION("""COMPUTED_VALUE"""),46228)</f>
        <v>46228</v>
      </c>
      <c r="B1166" s="4" t="str">
        <f ca="1">IFERROR(__xludf.DUMMYFUNCTION("""COMPUTED_VALUE"""),"Tarik tunai ")</f>
        <v xml:space="preserve">Tarik tunai </v>
      </c>
      <c r="C1166" s="4" t="str">
        <f ca="1">IFERROR(__xludf.DUMMYFUNCTION("""COMPUTED_VALUE"""),"ATM")</f>
        <v>ATM</v>
      </c>
      <c r="D1166" s="4" t="str">
        <f ca="1">IFERROR(__xludf.DUMMYFUNCTION("""COMPUTED_VALUE"""),"Out")</f>
        <v>Out</v>
      </c>
      <c r="E1166" s="4" t="str">
        <f ca="1">IFERROR(__xludf.DUMMYFUNCTION("""COMPUTED_VALUE"""),"Move")</f>
        <v>Move</v>
      </c>
      <c r="F1166" s="49">
        <f ca="1">IFERROR(__xludf.DUMMYFUNCTION("""COMPUTED_VALUE"""),50000)</f>
        <v>50000</v>
      </c>
      <c r="G1166" s="50" t="str">
        <f ca="1">IFERROR(__xludf.DUMMYFUNCTION("""COMPUTED_VALUE"""),"Zela")</f>
        <v>Zela</v>
      </c>
      <c r="H1166" s="51">
        <f t="shared" ca="1" si="0"/>
        <v>46204</v>
      </c>
      <c r="I1166" s="52" t="e">
        <f ca="1">SUMIFS(OUT!$F$2:$F$11000,OUT!$H$2:$H$11000,H1166,OUT!$D$2:$D$101007,"In")</f>
        <v>#VALUE!</v>
      </c>
      <c r="J1166" s="52">
        <f ca="1">SUMIFS(OUT!$F$2:$F$11000,OUT!$H$2:$H$11000,H1166,OUT!$D$2:$D$11000,"Out")</f>
        <v>9905717</v>
      </c>
      <c r="K1166" s="52">
        <f ca="1">SUMIFS(OUT!$F$2:$F$11000,OUT!$H$2:$H$11000,H1166,OUT!$D$2:$D$11000,"Out",OUT!$E$2:$E$11000,"Fix")</f>
        <v>3048680</v>
      </c>
      <c r="L1166" s="52">
        <f ca="1">SUMIFS(OUT!$F$2:$F$11000,OUT!$H$2:$H$11000,H1166,OUT!$D$2:$D$11000,"Out",OUT!$E$2:$E$11000,"Bathroom")</f>
        <v>50720</v>
      </c>
      <c r="M1166" s="52">
        <f ca="1">SUMIFS(OUT!$F$2:$F$11000,OUT!$H$2:$H$11000,H1166,OUT!$D$2:$D$11000,"Out",OUT!$E$2:$E$11000,"Alfa")</f>
        <v>294200</v>
      </c>
      <c r="N1166" s="52" t="e">
        <f ca="1">SUMIFS(OUT!$F$2:$F$11000,OUT!$H$2:$H$101007,H1166,OUT!$D$2:$D$11000,"Out",OUT!$E$2:$E$11000,"Jajan")</f>
        <v>#VALUE!</v>
      </c>
      <c r="O1166" s="52">
        <f ca="1">SUMIFS(OUT!$F$2:$F$11000,OUT!$H$2:$H$11000,H1166,OUT!$D$2:$D$11000,"Out",OUT!$E$2:$E$11000,"Kitchen")</f>
        <v>1360773</v>
      </c>
      <c r="P1166" s="52">
        <f ca="1">SUMIFS(OUT!$F$2:$F$11000,OUT!$H$2:$H$11000,H1166,OUT!$D$2:$D$11000,"Out",OUT!$E$2:$E$11000,"Loandry")</f>
        <v>11000</v>
      </c>
      <c r="Q1166" s="52">
        <f ca="1">SUMIFS(OUT!$F$2:$F$11000,OUT!$H$2:$H$11000,H1166,OUT!$D$2:$D$11000,"Out",OUT!$E$2:$E$11000,"Mio")</f>
        <v>338500</v>
      </c>
      <c r="R1166" s="52">
        <f ca="1">SUMIFS(OUT!$F$2:$F$11000,OUT!$H$2:$H$11000,H1166,OUT!$D$2:$D$11000,"Out",OUT!$E$2:$E$11000,"Sedekah")</f>
        <v>2500</v>
      </c>
      <c r="S1166" s="52">
        <f ca="1">SUMIFS(OUT!$F$2:$F$11000,OUT!$H$2:$H$11000,H1166,OUT!$D$2:$D$11000,"Out",OUT!$E$2:$E$11000,"Zela")</f>
        <v>387476</v>
      </c>
      <c r="T1166" s="52">
        <f ca="1">SUMIFS(OUT!$F$2:$F$11000,OUT!$H$2:$H$11000,H1166,OUT!$D$2:$D$11000,"Out",OUT!$E$2:$E$11000,"Iqbal")</f>
        <v>231000</v>
      </c>
    </row>
    <row r="1167" spans="1:20" x14ac:dyDescent="0.2">
      <c r="A1167" s="48">
        <f ca="1">IFERROR(__xludf.DUMMYFUNCTION("""COMPUTED_VALUE"""),46228)</f>
        <v>46228</v>
      </c>
      <c r="B1167" s="4" t="str">
        <f ca="1">IFERROR(__xludf.DUMMYFUNCTION("""COMPUTED_VALUE"""),"Terima tunai ")</f>
        <v xml:space="preserve">Terima tunai </v>
      </c>
      <c r="C1167" s="4" t="str">
        <f ca="1">IFERROR(__xludf.DUMMYFUNCTION("""COMPUTED_VALUE"""),"Cash")</f>
        <v>Cash</v>
      </c>
      <c r="D1167" s="4" t="str">
        <f ca="1">IFERROR(__xludf.DUMMYFUNCTION("""COMPUTED_VALUE"""),"In")</f>
        <v>In</v>
      </c>
      <c r="E1167" s="4" t="str">
        <f ca="1">IFERROR(__xludf.DUMMYFUNCTION("""COMPUTED_VALUE"""),"Move")</f>
        <v>Move</v>
      </c>
      <c r="F1167" s="49">
        <f ca="1">IFERROR(__xludf.DUMMYFUNCTION("""COMPUTED_VALUE"""),50000)</f>
        <v>50000</v>
      </c>
      <c r="G1167" s="50" t="str">
        <f ca="1">IFERROR(__xludf.DUMMYFUNCTION("""COMPUTED_VALUE"""),"Zela")</f>
        <v>Zela</v>
      </c>
      <c r="H1167" s="51">
        <f t="shared" ca="1" si="0"/>
        <v>46204</v>
      </c>
      <c r="I1167" s="52" t="e">
        <f ca="1">SUMIFS(OUT!$F$2:$F$11000,OUT!$H$2:$H$11000,H1167,OUT!$D$2:$D$101007,"In")</f>
        <v>#VALUE!</v>
      </c>
      <c r="J1167" s="52">
        <f ca="1">SUMIFS(OUT!$F$2:$F$11000,OUT!$H$2:$H$11000,H1167,OUT!$D$2:$D$11000,"Out")</f>
        <v>9905717</v>
      </c>
      <c r="K1167" s="52">
        <f ca="1">SUMIFS(OUT!$F$2:$F$11000,OUT!$H$2:$H$11000,H1167,OUT!$D$2:$D$11000,"Out",OUT!$E$2:$E$11000,"Fix")</f>
        <v>3048680</v>
      </c>
      <c r="L1167" s="52">
        <f ca="1">SUMIFS(OUT!$F$2:$F$11000,OUT!$H$2:$H$11000,H1167,OUT!$D$2:$D$11000,"Out",OUT!$E$2:$E$11000,"Bathroom")</f>
        <v>50720</v>
      </c>
      <c r="M1167" s="52">
        <f ca="1">SUMIFS(OUT!$F$2:$F$11000,OUT!$H$2:$H$11000,H1167,OUT!$D$2:$D$11000,"Out",OUT!$E$2:$E$11000,"Alfa")</f>
        <v>294200</v>
      </c>
      <c r="N1167" s="52" t="e">
        <f ca="1">SUMIFS(OUT!$F$2:$F$11000,OUT!$H$2:$H$101007,H1167,OUT!$D$2:$D$11000,"Out",OUT!$E$2:$E$11000,"Jajan")</f>
        <v>#VALUE!</v>
      </c>
      <c r="O1167" s="52">
        <f ca="1">SUMIFS(OUT!$F$2:$F$11000,OUT!$H$2:$H$11000,H1167,OUT!$D$2:$D$11000,"Out",OUT!$E$2:$E$11000,"Kitchen")</f>
        <v>1360773</v>
      </c>
      <c r="P1167" s="52">
        <f ca="1">SUMIFS(OUT!$F$2:$F$11000,OUT!$H$2:$H$11000,H1167,OUT!$D$2:$D$11000,"Out",OUT!$E$2:$E$11000,"Loandry")</f>
        <v>11000</v>
      </c>
      <c r="Q1167" s="52">
        <f ca="1">SUMIFS(OUT!$F$2:$F$11000,OUT!$H$2:$H$11000,H1167,OUT!$D$2:$D$11000,"Out",OUT!$E$2:$E$11000,"Mio")</f>
        <v>338500</v>
      </c>
      <c r="R1167" s="52">
        <f ca="1">SUMIFS(OUT!$F$2:$F$11000,OUT!$H$2:$H$11000,H1167,OUT!$D$2:$D$11000,"Out",OUT!$E$2:$E$11000,"Sedekah")</f>
        <v>2500</v>
      </c>
      <c r="S1167" s="52">
        <f ca="1">SUMIFS(OUT!$F$2:$F$11000,OUT!$H$2:$H$11000,H1167,OUT!$D$2:$D$11000,"Out",OUT!$E$2:$E$11000,"Zela")</f>
        <v>387476</v>
      </c>
      <c r="T1167" s="52">
        <f ca="1">SUMIFS(OUT!$F$2:$F$11000,OUT!$H$2:$H$11000,H1167,OUT!$D$2:$D$11000,"Out",OUT!$E$2:$E$11000,"Iqbal")</f>
        <v>231000</v>
      </c>
    </row>
    <row r="1168" spans="1:20" x14ac:dyDescent="0.2">
      <c r="A1168" s="48">
        <f ca="1">IFERROR(__xludf.DUMMYFUNCTION("""COMPUTED_VALUE"""),46228)</f>
        <v>46228</v>
      </c>
      <c r="B1168" s="4" t="str">
        <f ca="1">IFERROR(__xludf.DUMMYFUNCTION("""COMPUTED_VALUE"""),"Yogurt Alfa ")</f>
        <v xml:space="preserve">Yogurt Alfa </v>
      </c>
      <c r="C1168" s="4" t="str">
        <f ca="1">IFERROR(__xludf.DUMMYFUNCTION("""COMPUTED_VALUE"""),"Cash")</f>
        <v>Cash</v>
      </c>
      <c r="D1168" s="4" t="str">
        <f ca="1">IFERROR(__xludf.DUMMYFUNCTION("""COMPUTED_VALUE"""),"Out")</f>
        <v>Out</v>
      </c>
      <c r="E1168" s="4" t="str">
        <f ca="1">IFERROR(__xludf.DUMMYFUNCTION("""COMPUTED_VALUE"""),"Jajan")</f>
        <v>Jajan</v>
      </c>
      <c r="F1168" s="49">
        <f ca="1">IFERROR(__xludf.DUMMYFUNCTION("""COMPUTED_VALUE"""),10000)</f>
        <v>10000</v>
      </c>
      <c r="G1168" s="50" t="str">
        <f ca="1">IFERROR(__xludf.DUMMYFUNCTION("""COMPUTED_VALUE"""),"Zela")</f>
        <v>Zela</v>
      </c>
      <c r="H1168" s="51">
        <f t="shared" ca="1" si="0"/>
        <v>46204</v>
      </c>
      <c r="I1168" s="52" t="e">
        <f ca="1">SUMIFS(OUT!$F$2:$F$11000,OUT!$H$2:$H$11000,H1168,OUT!$D$2:$D$101007,"In")</f>
        <v>#VALUE!</v>
      </c>
      <c r="J1168" s="52">
        <f ca="1">SUMIFS(OUT!$F$2:$F$11000,OUT!$H$2:$H$11000,H1168,OUT!$D$2:$D$11000,"Out")</f>
        <v>9905717</v>
      </c>
      <c r="K1168" s="52">
        <f ca="1">SUMIFS(OUT!$F$2:$F$11000,OUT!$H$2:$H$11000,H1168,OUT!$D$2:$D$11000,"Out",OUT!$E$2:$E$11000,"Fix")</f>
        <v>3048680</v>
      </c>
      <c r="L1168" s="52">
        <f ca="1">SUMIFS(OUT!$F$2:$F$11000,OUT!$H$2:$H$11000,H1168,OUT!$D$2:$D$11000,"Out",OUT!$E$2:$E$11000,"Bathroom")</f>
        <v>50720</v>
      </c>
      <c r="M1168" s="52">
        <f ca="1">SUMIFS(OUT!$F$2:$F$11000,OUT!$H$2:$H$11000,H1168,OUT!$D$2:$D$11000,"Out",OUT!$E$2:$E$11000,"Alfa")</f>
        <v>294200</v>
      </c>
      <c r="N1168" s="52" t="e">
        <f ca="1">SUMIFS(OUT!$F$2:$F$11000,OUT!$H$2:$H$101007,H1168,OUT!$D$2:$D$11000,"Out",OUT!$E$2:$E$11000,"Jajan")</f>
        <v>#VALUE!</v>
      </c>
      <c r="O1168" s="52">
        <f ca="1">SUMIFS(OUT!$F$2:$F$11000,OUT!$H$2:$H$11000,H1168,OUT!$D$2:$D$11000,"Out",OUT!$E$2:$E$11000,"Kitchen")</f>
        <v>1360773</v>
      </c>
      <c r="P1168" s="52">
        <f ca="1">SUMIFS(OUT!$F$2:$F$11000,OUT!$H$2:$H$11000,H1168,OUT!$D$2:$D$11000,"Out",OUT!$E$2:$E$11000,"Loandry")</f>
        <v>11000</v>
      </c>
      <c r="Q1168" s="52">
        <f ca="1">SUMIFS(OUT!$F$2:$F$11000,OUT!$H$2:$H$11000,H1168,OUT!$D$2:$D$11000,"Out",OUT!$E$2:$E$11000,"Mio")</f>
        <v>338500</v>
      </c>
      <c r="R1168" s="52">
        <f ca="1">SUMIFS(OUT!$F$2:$F$11000,OUT!$H$2:$H$11000,H1168,OUT!$D$2:$D$11000,"Out",OUT!$E$2:$E$11000,"Sedekah")</f>
        <v>2500</v>
      </c>
      <c r="S1168" s="52">
        <f ca="1">SUMIFS(OUT!$F$2:$F$11000,OUT!$H$2:$H$11000,H1168,OUT!$D$2:$D$11000,"Out",OUT!$E$2:$E$11000,"Zela")</f>
        <v>387476</v>
      </c>
      <c r="T1168" s="52">
        <f ca="1">SUMIFS(OUT!$F$2:$F$11000,OUT!$H$2:$H$11000,H1168,OUT!$D$2:$D$11000,"Out",OUT!$E$2:$E$11000,"Iqbal")</f>
        <v>231000</v>
      </c>
    </row>
    <row r="1169" spans="1:20" x14ac:dyDescent="0.2">
      <c r="A1169" s="48">
        <f ca="1">IFERROR(__xludf.DUMMYFUNCTION("""COMPUTED_VALUE"""),46228)</f>
        <v>46228</v>
      </c>
      <c r="B1169" s="4" t="str">
        <f ca="1">IFERROR(__xludf.DUMMYFUNCTION("""COMPUTED_VALUE"""),"Bensin Mio ")</f>
        <v xml:space="preserve">Bensin Mio </v>
      </c>
      <c r="C1169" s="4" t="str">
        <f ca="1">IFERROR(__xludf.DUMMYFUNCTION("""COMPUTED_VALUE"""),"Cash")</f>
        <v>Cash</v>
      </c>
      <c r="D1169" s="4" t="str">
        <f ca="1">IFERROR(__xludf.DUMMYFUNCTION("""COMPUTED_VALUE"""),"Out")</f>
        <v>Out</v>
      </c>
      <c r="E1169" s="4" t="str">
        <f ca="1">IFERROR(__xludf.DUMMYFUNCTION("""COMPUTED_VALUE"""),"Mio")</f>
        <v>Mio</v>
      </c>
      <c r="F1169" s="49">
        <f ca="1">IFERROR(__xludf.DUMMYFUNCTION("""COMPUTED_VALUE"""),14000)</f>
        <v>14000</v>
      </c>
      <c r="G1169" s="50" t="str">
        <f ca="1">IFERROR(__xludf.DUMMYFUNCTION("""COMPUTED_VALUE"""),"Zela")</f>
        <v>Zela</v>
      </c>
      <c r="H1169" s="51">
        <f t="shared" ca="1" si="0"/>
        <v>46204</v>
      </c>
      <c r="I1169" s="52" t="e">
        <f ca="1">SUMIFS(OUT!$F$2:$F$11000,OUT!$H$2:$H$11000,H1169,OUT!$D$2:$D$101007,"In")</f>
        <v>#VALUE!</v>
      </c>
      <c r="J1169" s="52">
        <f ca="1">SUMIFS(OUT!$F$2:$F$11000,OUT!$H$2:$H$11000,H1169,OUT!$D$2:$D$11000,"Out")</f>
        <v>9905717</v>
      </c>
      <c r="K1169" s="52">
        <f ca="1">SUMIFS(OUT!$F$2:$F$11000,OUT!$H$2:$H$11000,H1169,OUT!$D$2:$D$11000,"Out",OUT!$E$2:$E$11000,"Fix")</f>
        <v>3048680</v>
      </c>
      <c r="L1169" s="52">
        <f ca="1">SUMIFS(OUT!$F$2:$F$11000,OUT!$H$2:$H$11000,H1169,OUT!$D$2:$D$11000,"Out",OUT!$E$2:$E$11000,"Bathroom")</f>
        <v>50720</v>
      </c>
      <c r="M1169" s="52">
        <f ca="1">SUMIFS(OUT!$F$2:$F$11000,OUT!$H$2:$H$11000,H1169,OUT!$D$2:$D$11000,"Out",OUT!$E$2:$E$11000,"Alfa")</f>
        <v>294200</v>
      </c>
      <c r="N1169" s="52" t="e">
        <f ca="1">SUMIFS(OUT!$F$2:$F$11000,OUT!$H$2:$H$101007,H1169,OUT!$D$2:$D$11000,"Out",OUT!$E$2:$E$11000,"Jajan")</f>
        <v>#VALUE!</v>
      </c>
      <c r="O1169" s="52">
        <f ca="1">SUMIFS(OUT!$F$2:$F$11000,OUT!$H$2:$H$11000,H1169,OUT!$D$2:$D$11000,"Out",OUT!$E$2:$E$11000,"Kitchen")</f>
        <v>1360773</v>
      </c>
      <c r="P1169" s="52">
        <f ca="1">SUMIFS(OUT!$F$2:$F$11000,OUT!$H$2:$H$11000,H1169,OUT!$D$2:$D$11000,"Out",OUT!$E$2:$E$11000,"Loandry")</f>
        <v>11000</v>
      </c>
      <c r="Q1169" s="52">
        <f ca="1">SUMIFS(OUT!$F$2:$F$11000,OUT!$H$2:$H$11000,H1169,OUT!$D$2:$D$11000,"Out",OUT!$E$2:$E$11000,"Mio")</f>
        <v>338500</v>
      </c>
      <c r="R1169" s="52">
        <f ca="1">SUMIFS(OUT!$F$2:$F$11000,OUT!$H$2:$H$11000,H1169,OUT!$D$2:$D$11000,"Out",OUT!$E$2:$E$11000,"Sedekah")</f>
        <v>2500</v>
      </c>
      <c r="S1169" s="52">
        <f ca="1">SUMIFS(OUT!$F$2:$F$11000,OUT!$H$2:$H$11000,H1169,OUT!$D$2:$D$11000,"Out",OUT!$E$2:$E$11000,"Zela")</f>
        <v>387476</v>
      </c>
      <c r="T1169" s="52">
        <f ca="1">SUMIFS(OUT!$F$2:$F$11000,OUT!$H$2:$H$11000,H1169,OUT!$D$2:$D$11000,"Out",OUT!$E$2:$E$11000,"Iqbal")</f>
        <v>231000</v>
      </c>
    </row>
    <row r="1170" spans="1:20" x14ac:dyDescent="0.2">
      <c r="A1170" s="48">
        <f ca="1">IFERROR(__xludf.DUMMYFUNCTION("""COMPUTED_VALUE"""),46229)</f>
        <v>46229</v>
      </c>
      <c r="B1170" s="4" t="str">
        <f ca="1">IFERROR(__xludf.DUMMYFUNCTION("""COMPUTED_VALUE"""),"roti tawar+susu+galon ")</f>
        <v xml:space="preserve">roti tawar+susu+galon </v>
      </c>
      <c r="C1170" s="4" t="str">
        <f ca="1">IFERROR(__xludf.DUMMYFUNCTION("""COMPUTED_VALUE"""),"Cash")</f>
        <v>Cash</v>
      </c>
      <c r="D1170" s="4" t="str">
        <f ca="1">IFERROR(__xludf.DUMMYFUNCTION("""COMPUTED_VALUE"""),"Out")</f>
        <v>Out</v>
      </c>
      <c r="E1170" s="4" t="str">
        <f ca="1">IFERROR(__xludf.DUMMYFUNCTION("""COMPUTED_VALUE"""),"Kitchen")</f>
        <v>Kitchen</v>
      </c>
      <c r="F1170" s="49">
        <f ca="1">IFERROR(__xludf.DUMMYFUNCTION("""COMPUTED_VALUE"""),23000)</f>
        <v>23000</v>
      </c>
      <c r="G1170" s="50" t="str">
        <f ca="1">IFERROR(__xludf.DUMMYFUNCTION("""COMPUTED_VALUE"""),"Zela")</f>
        <v>Zela</v>
      </c>
      <c r="H1170" s="51">
        <f t="shared" ca="1" si="0"/>
        <v>46204</v>
      </c>
      <c r="I1170" s="52" t="e">
        <f ca="1">SUMIFS(OUT!$F$2:$F$11000,OUT!$H$2:$H$11000,H1170,OUT!$D$2:$D$101007,"In")</f>
        <v>#VALUE!</v>
      </c>
      <c r="J1170" s="52">
        <f ca="1">SUMIFS(OUT!$F$2:$F$11000,OUT!$H$2:$H$11000,H1170,OUT!$D$2:$D$11000,"Out")</f>
        <v>9905717</v>
      </c>
      <c r="K1170" s="52">
        <f ca="1">SUMIFS(OUT!$F$2:$F$11000,OUT!$H$2:$H$11000,H1170,OUT!$D$2:$D$11000,"Out",OUT!$E$2:$E$11000,"Fix")</f>
        <v>3048680</v>
      </c>
      <c r="L1170" s="52">
        <f ca="1">SUMIFS(OUT!$F$2:$F$11000,OUT!$H$2:$H$11000,H1170,OUT!$D$2:$D$11000,"Out",OUT!$E$2:$E$11000,"Bathroom")</f>
        <v>50720</v>
      </c>
      <c r="M1170" s="52">
        <f ca="1">SUMIFS(OUT!$F$2:$F$11000,OUT!$H$2:$H$11000,H1170,OUT!$D$2:$D$11000,"Out",OUT!$E$2:$E$11000,"Alfa")</f>
        <v>294200</v>
      </c>
      <c r="N1170" s="52" t="e">
        <f ca="1">SUMIFS(OUT!$F$2:$F$11000,OUT!$H$2:$H$101007,H1170,OUT!$D$2:$D$11000,"Out",OUT!$E$2:$E$11000,"Jajan")</f>
        <v>#VALUE!</v>
      </c>
      <c r="O1170" s="52">
        <f ca="1">SUMIFS(OUT!$F$2:$F$11000,OUT!$H$2:$H$11000,H1170,OUT!$D$2:$D$11000,"Out",OUT!$E$2:$E$11000,"Kitchen")</f>
        <v>1360773</v>
      </c>
      <c r="P1170" s="52">
        <f ca="1">SUMIFS(OUT!$F$2:$F$11000,OUT!$H$2:$H$11000,H1170,OUT!$D$2:$D$11000,"Out",OUT!$E$2:$E$11000,"Loandry")</f>
        <v>11000</v>
      </c>
      <c r="Q1170" s="52">
        <f ca="1">SUMIFS(OUT!$F$2:$F$11000,OUT!$H$2:$H$11000,H1170,OUT!$D$2:$D$11000,"Out",OUT!$E$2:$E$11000,"Mio")</f>
        <v>338500</v>
      </c>
      <c r="R1170" s="52">
        <f ca="1">SUMIFS(OUT!$F$2:$F$11000,OUT!$H$2:$H$11000,H1170,OUT!$D$2:$D$11000,"Out",OUT!$E$2:$E$11000,"Sedekah")</f>
        <v>2500</v>
      </c>
      <c r="S1170" s="52">
        <f ca="1">SUMIFS(OUT!$F$2:$F$11000,OUT!$H$2:$H$11000,H1170,OUT!$D$2:$D$11000,"Out",OUT!$E$2:$E$11000,"Zela")</f>
        <v>387476</v>
      </c>
      <c r="T1170" s="52">
        <f ca="1">SUMIFS(OUT!$F$2:$F$11000,OUT!$H$2:$H$11000,H1170,OUT!$D$2:$D$11000,"Out",OUT!$E$2:$E$11000,"Iqbal")</f>
        <v>231000</v>
      </c>
    </row>
    <row r="1171" spans="1:20" x14ac:dyDescent="0.2">
      <c r="A1171" s="48">
        <f ca="1">IFERROR(__xludf.DUMMYFUNCTION("""COMPUTED_VALUE"""),46229)</f>
        <v>46229</v>
      </c>
      <c r="B1171" s="4" t="str">
        <f ca="1">IFERROR(__xludf.DUMMYFUNCTION("""COMPUTED_VALUE"""),"Rokok")</f>
        <v>Rokok</v>
      </c>
      <c r="C1171" s="4" t="str">
        <f ca="1">IFERROR(__xludf.DUMMYFUNCTION("""COMPUTED_VALUE"""),"Cash")</f>
        <v>Cash</v>
      </c>
      <c r="D1171" s="4" t="str">
        <f ca="1">IFERROR(__xludf.DUMMYFUNCTION("""COMPUTED_VALUE"""),"Out")</f>
        <v>Out</v>
      </c>
      <c r="E1171" s="4" t="str">
        <f ca="1">IFERROR(__xludf.DUMMYFUNCTION("""COMPUTED_VALUE"""),"Iqbal")</f>
        <v>Iqbal</v>
      </c>
      <c r="F1171" s="49">
        <f ca="1">IFERROR(__xludf.DUMMYFUNCTION("""COMPUTED_VALUE"""),17000)</f>
        <v>17000</v>
      </c>
      <c r="G1171" s="50" t="str">
        <f ca="1">IFERROR(__xludf.DUMMYFUNCTION("""COMPUTED_VALUE"""),"Zela")</f>
        <v>Zela</v>
      </c>
      <c r="H1171" s="51">
        <f t="shared" ca="1" si="0"/>
        <v>46204</v>
      </c>
      <c r="I1171" s="52" t="e">
        <f ca="1">SUMIFS(OUT!$F$2:$F$11000,OUT!$H$2:$H$11000,H1171,OUT!$D$2:$D$101007,"In")</f>
        <v>#VALUE!</v>
      </c>
      <c r="J1171" s="52">
        <f ca="1">SUMIFS(OUT!$F$2:$F$11000,OUT!$H$2:$H$11000,H1171,OUT!$D$2:$D$11000,"Out")</f>
        <v>9905717</v>
      </c>
      <c r="K1171" s="52">
        <f ca="1">SUMIFS(OUT!$F$2:$F$11000,OUT!$H$2:$H$11000,H1171,OUT!$D$2:$D$11000,"Out",OUT!$E$2:$E$11000,"Fix")</f>
        <v>3048680</v>
      </c>
      <c r="L1171" s="52">
        <f ca="1">SUMIFS(OUT!$F$2:$F$11000,OUT!$H$2:$H$11000,H1171,OUT!$D$2:$D$11000,"Out",OUT!$E$2:$E$11000,"Bathroom")</f>
        <v>50720</v>
      </c>
      <c r="M1171" s="52">
        <f ca="1">SUMIFS(OUT!$F$2:$F$11000,OUT!$H$2:$H$11000,H1171,OUT!$D$2:$D$11000,"Out",OUT!$E$2:$E$11000,"Alfa")</f>
        <v>294200</v>
      </c>
      <c r="N1171" s="52" t="e">
        <f ca="1">SUMIFS(OUT!$F$2:$F$11000,OUT!$H$2:$H$101007,H1171,OUT!$D$2:$D$11000,"Out",OUT!$E$2:$E$11000,"Jajan")</f>
        <v>#VALUE!</v>
      </c>
      <c r="O1171" s="52">
        <f ca="1">SUMIFS(OUT!$F$2:$F$11000,OUT!$H$2:$H$11000,H1171,OUT!$D$2:$D$11000,"Out",OUT!$E$2:$E$11000,"Kitchen")</f>
        <v>1360773</v>
      </c>
      <c r="P1171" s="52">
        <f ca="1">SUMIFS(OUT!$F$2:$F$11000,OUT!$H$2:$H$11000,H1171,OUT!$D$2:$D$11000,"Out",OUT!$E$2:$E$11000,"Loandry")</f>
        <v>11000</v>
      </c>
      <c r="Q1171" s="52">
        <f ca="1">SUMIFS(OUT!$F$2:$F$11000,OUT!$H$2:$H$11000,H1171,OUT!$D$2:$D$11000,"Out",OUT!$E$2:$E$11000,"Mio")</f>
        <v>338500</v>
      </c>
      <c r="R1171" s="52">
        <f ca="1">SUMIFS(OUT!$F$2:$F$11000,OUT!$H$2:$H$11000,H1171,OUT!$D$2:$D$11000,"Out",OUT!$E$2:$E$11000,"Sedekah")</f>
        <v>2500</v>
      </c>
      <c r="S1171" s="52">
        <f ca="1">SUMIFS(OUT!$F$2:$F$11000,OUT!$H$2:$H$11000,H1171,OUT!$D$2:$D$11000,"Out",OUT!$E$2:$E$11000,"Zela")</f>
        <v>387476</v>
      </c>
      <c r="T1171" s="52">
        <f ca="1">SUMIFS(OUT!$F$2:$F$11000,OUT!$H$2:$H$11000,H1171,OUT!$D$2:$D$11000,"Out",OUT!$E$2:$E$11000,"Iqbal")</f>
        <v>231000</v>
      </c>
    </row>
    <row r="1172" spans="1:20" x14ac:dyDescent="0.2">
      <c r="A1172" s="48">
        <f ca="1">IFERROR(__xludf.DUMMYFUNCTION("""COMPUTED_VALUE"""),46230)</f>
        <v>46230</v>
      </c>
      <c r="B1172" s="4" t="str">
        <f ca="1">IFERROR(__xludf.DUMMYFUNCTION("""COMPUTED_VALUE"""),"Saldo Tiktok 2")</f>
        <v>Saldo Tiktok 2</v>
      </c>
      <c r="C1172" s="4" t="str">
        <f ca="1">IFERROR(__xludf.DUMMYFUNCTION("""COMPUTED_VALUE"""),"ATM")</f>
        <v>ATM</v>
      </c>
      <c r="D1172" s="4" t="str">
        <f ca="1">IFERROR(__xludf.DUMMYFUNCTION("""COMPUTED_VALUE"""),"In")</f>
        <v>In</v>
      </c>
      <c r="E1172" s="4" t="str">
        <f ca="1">IFERROR(__xludf.DUMMYFUNCTION("""COMPUTED_VALUE"""),"Fix")</f>
        <v>Fix</v>
      </c>
      <c r="F1172" s="49">
        <f ca="1">IFERROR(__xludf.DUMMYFUNCTION("""COMPUTED_VALUE"""),128046)</f>
        <v>128046</v>
      </c>
      <c r="G1172" s="50" t="str">
        <f ca="1">IFERROR(__xludf.DUMMYFUNCTION("""COMPUTED_VALUE"""),"Zela")</f>
        <v>Zela</v>
      </c>
      <c r="H1172" s="51">
        <f t="shared" ca="1" si="0"/>
        <v>46204</v>
      </c>
      <c r="I1172" s="52" t="e">
        <f ca="1">SUMIFS(OUT!$F$2:$F$11000,OUT!$H$2:$H$11000,H1172,OUT!$D$2:$D$101007,"In")</f>
        <v>#VALUE!</v>
      </c>
      <c r="J1172" s="52">
        <f ca="1">SUMIFS(OUT!$F$2:$F$11000,OUT!$H$2:$H$11000,H1172,OUT!$D$2:$D$11000,"Out")</f>
        <v>9905717</v>
      </c>
      <c r="K1172" s="52">
        <f ca="1">SUMIFS(OUT!$F$2:$F$11000,OUT!$H$2:$H$11000,H1172,OUT!$D$2:$D$11000,"Out",OUT!$E$2:$E$11000,"Fix")</f>
        <v>3048680</v>
      </c>
      <c r="L1172" s="52">
        <f ca="1">SUMIFS(OUT!$F$2:$F$11000,OUT!$H$2:$H$11000,H1172,OUT!$D$2:$D$11000,"Out",OUT!$E$2:$E$11000,"Bathroom")</f>
        <v>50720</v>
      </c>
      <c r="M1172" s="52">
        <f ca="1">SUMIFS(OUT!$F$2:$F$11000,OUT!$H$2:$H$11000,H1172,OUT!$D$2:$D$11000,"Out",OUT!$E$2:$E$11000,"Alfa")</f>
        <v>294200</v>
      </c>
      <c r="N1172" s="52" t="e">
        <f ca="1">SUMIFS(OUT!$F$2:$F$11000,OUT!$H$2:$H$101007,H1172,OUT!$D$2:$D$11000,"Out",OUT!$E$2:$E$11000,"Jajan")</f>
        <v>#VALUE!</v>
      </c>
      <c r="O1172" s="52">
        <f ca="1">SUMIFS(OUT!$F$2:$F$11000,OUT!$H$2:$H$11000,H1172,OUT!$D$2:$D$11000,"Out",OUT!$E$2:$E$11000,"Kitchen")</f>
        <v>1360773</v>
      </c>
      <c r="P1172" s="52">
        <f ca="1">SUMIFS(OUT!$F$2:$F$11000,OUT!$H$2:$H$11000,H1172,OUT!$D$2:$D$11000,"Out",OUT!$E$2:$E$11000,"Loandry")</f>
        <v>11000</v>
      </c>
      <c r="Q1172" s="52">
        <f ca="1">SUMIFS(OUT!$F$2:$F$11000,OUT!$H$2:$H$11000,H1172,OUT!$D$2:$D$11000,"Out",OUT!$E$2:$E$11000,"Mio")</f>
        <v>338500</v>
      </c>
      <c r="R1172" s="52">
        <f ca="1">SUMIFS(OUT!$F$2:$F$11000,OUT!$H$2:$H$11000,H1172,OUT!$D$2:$D$11000,"Out",OUT!$E$2:$E$11000,"Sedekah")</f>
        <v>2500</v>
      </c>
      <c r="S1172" s="52">
        <f ca="1">SUMIFS(OUT!$F$2:$F$11000,OUT!$H$2:$H$11000,H1172,OUT!$D$2:$D$11000,"Out",OUT!$E$2:$E$11000,"Zela")</f>
        <v>387476</v>
      </c>
      <c r="T1172" s="52">
        <f ca="1">SUMIFS(OUT!$F$2:$F$11000,OUT!$H$2:$H$11000,H1172,OUT!$D$2:$D$11000,"Out",OUT!$E$2:$E$11000,"Iqbal")</f>
        <v>231000</v>
      </c>
    </row>
    <row r="1173" spans="1:20" x14ac:dyDescent="0.2">
      <c r="A1173" s="48">
        <f ca="1">IFERROR(__xludf.DUMMYFUNCTION("""COMPUTED_VALUE"""),46230)</f>
        <v>46230</v>
      </c>
      <c r="B1173" s="4" t="str">
        <f ca="1">IFERROR(__xludf.DUMMYFUNCTION("""COMPUTED_VALUE"""),"Saldo tiktok 1")</f>
        <v>Saldo tiktok 1</v>
      </c>
      <c r="C1173" s="4" t="str">
        <f ca="1">IFERROR(__xludf.DUMMYFUNCTION("""COMPUTED_VALUE"""),"ATM")</f>
        <v>ATM</v>
      </c>
      <c r="D1173" s="4" t="str">
        <f ca="1">IFERROR(__xludf.DUMMYFUNCTION("""COMPUTED_VALUE"""),"In")</f>
        <v>In</v>
      </c>
      <c r="E1173" s="4" t="str">
        <f ca="1">IFERROR(__xludf.DUMMYFUNCTION("""COMPUTED_VALUE"""),"Fix")</f>
        <v>Fix</v>
      </c>
      <c r="F1173" s="49">
        <f ca="1">IFERROR(__xludf.DUMMYFUNCTION("""COMPUTED_VALUE"""),29766)</f>
        <v>29766</v>
      </c>
      <c r="G1173" s="50" t="str">
        <f ca="1">IFERROR(__xludf.DUMMYFUNCTION("""COMPUTED_VALUE"""),"Zela")</f>
        <v>Zela</v>
      </c>
      <c r="H1173" s="51">
        <f t="shared" ca="1" si="0"/>
        <v>46204</v>
      </c>
      <c r="I1173" s="52" t="e">
        <f ca="1">SUMIFS(OUT!$F$2:$F$11000,OUT!$H$2:$H$11000,H1173,OUT!$D$2:$D$101007,"In")</f>
        <v>#VALUE!</v>
      </c>
      <c r="J1173" s="52">
        <f ca="1">SUMIFS(OUT!$F$2:$F$11000,OUT!$H$2:$H$11000,H1173,OUT!$D$2:$D$11000,"Out")</f>
        <v>9905717</v>
      </c>
      <c r="K1173" s="52">
        <f ca="1">SUMIFS(OUT!$F$2:$F$11000,OUT!$H$2:$H$11000,H1173,OUT!$D$2:$D$11000,"Out",OUT!$E$2:$E$11000,"Fix")</f>
        <v>3048680</v>
      </c>
      <c r="L1173" s="52">
        <f ca="1">SUMIFS(OUT!$F$2:$F$11000,OUT!$H$2:$H$11000,H1173,OUT!$D$2:$D$11000,"Out",OUT!$E$2:$E$11000,"Bathroom")</f>
        <v>50720</v>
      </c>
      <c r="M1173" s="52">
        <f ca="1">SUMIFS(OUT!$F$2:$F$11000,OUT!$H$2:$H$11000,H1173,OUT!$D$2:$D$11000,"Out",OUT!$E$2:$E$11000,"Alfa")</f>
        <v>294200</v>
      </c>
      <c r="N1173" s="52" t="e">
        <f ca="1">SUMIFS(OUT!$F$2:$F$11000,OUT!$H$2:$H$101007,H1173,OUT!$D$2:$D$11000,"Out",OUT!$E$2:$E$11000,"Jajan")</f>
        <v>#VALUE!</v>
      </c>
      <c r="O1173" s="52">
        <f ca="1">SUMIFS(OUT!$F$2:$F$11000,OUT!$H$2:$H$11000,H1173,OUT!$D$2:$D$11000,"Out",OUT!$E$2:$E$11000,"Kitchen")</f>
        <v>1360773</v>
      </c>
      <c r="P1173" s="52">
        <f ca="1">SUMIFS(OUT!$F$2:$F$11000,OUT!$H$2:$H$11000,H1173,OUT!$D$2:$D$11000,"Out",OUT!$E$2:$E$11000,"Loandry")</f>
        <v>11000</v>
      </c>
      <c r="Q1173" s="52">
        <f ca="1">SUMIFS(OUT!$F$2:$F$11000,OUT!$H$2:$H$11000,H1173,OUT!$D$2:$D$11000,"Out",OUT!$E$2:$E$11000,"Mio")</f>
        <v>338500</v>
      </c>
      <c r="R1173" s="52">
        <f ca="1">SUMIFS(OUT!$F$2:$F$11000,OUT!$H$2:$H$11000,H1173,OUT!$D$2:$D$11000,"Out",OUT!$E$2:$E$11000,"Sedekah")</f>
        <v>2500</v>
      </c>
      <c r="S1173" s="52">
        <f ca="1">SUMIFS(OUT!$F$2:$F$11000,OUT!$H$2:$H$11000,H1173,OUT!$D$2:$D$11000,"Out",OUT!$E$2:$E$11000,"Zela")</f>
        <v>387476</v>
      </c>
      <c r="T1173" s="52">
        <f ca="1">SUMIFS(OUT!$F$2:$F$11000,OUT!$H$2:$H$11000,H1173,OUT!$D$2:$D$11000,"Out",OUT!$E$2:$E$11000,"Iqbal")</f>
        <v>231000</v>
      </c>
    </row>
    <row r="1174" spans="1:20" x14ac:dyDescent="0.2">
      <c r="A1174" s="48">
        <f ca="1">IFERROR(__xludf.DUMMYFUNCTION("""COMPUTED_VALUE"""),46230)</f>
        <v>46230</v>
      </c>
      <c r="B1174" s="4" t="str">
        <f ca="1">IFERROR(__xludf.DUMMYFUNCTION("""COMPUTED_VALUE"""),"Tarik tunai ")</f>
        <v xml:space="preserve">Tarik tunai </v>
      </c>
      <c r="C1174" s="4" t="str">
        <f ca="1">IFERROR(__xludf.DUMMYFUNCTION("""COMPUTED_VALUE"""),"ATM")</f>
        <v>ATM</v>
      </c>
      <c r="D1174" s="4" t="str">
        <f ca="1">IFERROR(__xludf.DUMMYFUNCTION("""COMPUTED_VALUE"""),"Out")</f>
        <v>Out</v>
      </c>
      <c r="E1174" s="4" t="str">
        <f ca="1">IFERROR(__xludf.DUMMYFUNCTION("""COMPUTED_VALUE"""),"Move")</f>
        <v>Move</v>
      </c>
      <c r="F1174" s="49">
        <f ca="1">IFERROR(__xludf.DUMMYFUNCTION("""COMPUTED_VALUE"""),100000)</f>
        <v>100000</v>
      </c>
      <c r="G1174" s="50" t="str">
        <f ca="1">IFERROR(__xludf.DUMMYFUNCTION("""COMPUTED_VALUE"""),"Zela")</f>
        <v>Zela</v>
      </c>
      <c r="H1174" s="51">
        <f t="shared" ca="1" si="0"/>
        <v>46204</v>
      </c>
      <c r="I1174" s="52" t="e">
        <f ca="1">SUMIFS(OUT!$F$2:$F$11000,OUT!$H$2:$H$11000,H1174,OUT!$D$2:$D$101007,"In")</f>
        <v>#VALUE!</v>
      </c>
      <c r="J1174" s="52">
        <f ca="1">SUMIFS(OUT!$F$2:$F$11000,OUT!$H$2:$H$11000,H1174,OUT!$D$2:$D$11000,"Out")</f>
        <v>9905717</v>
      </c>
      <c r="K1174" s="52">
        <f ca="1">SUMIFS(OUT!$F$2:$F$11000,OUT!$H$2:$H$11000,H1174,OUT!$D$2:$D$11000,"Out",OUT!$E$2:$E$11000,"Fix")</f>
        <v>3048680</v>
      </c>
      <c r="L1174" s="52">
        <f ca="1">SUMIFS(OUT!$F$2:$F$11000,OUT!$H$2:$H$11000,H1174,OUT!$D$2:$D$11000,"Out",OUT!$E$2:$E$11000,"Bathroom")</f>
        <v>50720</v>
      </c>
      <c r="M1174" s="52">
        <f ca="1">SUMIFS(OUT!$F$2:$F$11000,OUT!$H$2:$H$11000,H1174,OUT!$D$2:$D$11000,"Out",OUT!$E$2:$E$11000,"Alfa")</f>
        <v>294200</v>
      </c>
      <c r="N1174" s="52" t="e">
        <f ca="1">SUMIFS(OUT!$F$2:$F$11000,OUT!$H$2:$H$101007,H1174,OUT!$D$2:$D$11000,"Out",OUT!$E$2:$E$11000,"Jajan")</f>
        <v>#VALUE!</v>
      </c>
      <c r="O1174" s="52">
        <f ca="1">SUMIFS(OUT!$F$2:$F$11000,OUT!$H$2:$H$11000,H1174,OUT!$D$2:$D$11000,"Out",OUT!$E$2:$E$11000,"Kitchen")</f>
        <v>1360773</v>
      </c>
      <c r="P1174" s="52">
        <f ca="1">SUMIFS(OUT!$F$2:$F$11000,OUT!$H$2:$H$11000,H1174,OUT!$D$2:$D$11000,"Out",OUT!$E$2:$E$11000,"Loandry")</f>
        <v>11000</v>
      </c>
      <c r="Q1174" s="52">
        <f ca="1">SUMIFS(OUT!$F$2:$F$11000,OUT!$H$2:$H$11000,H1174,OUT!$D$2:$D$11000,"Out",OUT!$E$2:$E$11000,"Mio")</f>
        <v>338500</v>
      </c>
      <c r="R1174" s="52">
        <f ca="1">SUMIFS(OUT!$F$2:$F$11000,OUT!$H$2:$H$11000,H1174,OUT!$D$2:$D$11000,"Out",OUT!$E$2:$E$11000,"Sedekah")</f>
        <v>2500</v>
      </c>
      <c r="S1174" s="52">
        <f ca="1">SUMIFS(OUT!$F$2:$F$11000,OUT!$H$2:$H$11000,H1174,OUT!$D$2:$D$11000,"Out",OUT!$E$2:$E$11000,"Zela")</f>
        <v>387476</v>
      </c>
      <c r="T1174" s="52">
        <f ca="1">SUMIFS(OUT!$F$2:$F$11000,OUT!$H$2:$H$11000,H1174,OUT!$D$2:$D$11000,"Out",OUT!$E$2:$E$11000,"Iqbal")</f>
        <v>231000</v>
      </c>
    </row>
    <row r="1175" spans="1:20" x14ac:dyDescent="0.2">
      <c r="A1175" s="48">
        <f ca="1">IFERROR(__xludf.DUMMYFUNCTION("""COMPUTED_VALUE"""),46230)</f>
        <v>46230</v>
      </c>
      <c r="B1175" s="4" t="str">
        <f ca="1">IFERROR(__xludf.DUMMYFUNCTION("""COMPUTED_VALUE"""),"Terim tunai ")</f>
        <v xml:space="preserve">Terim tunai </v>
      </c>
      <c r="C1175" s="4" t="str">
        <f ca="1">IFERROR(__xludf.DUMMYFUNCTION("""COMPUTED_VALUE"""),"Cash")</f>
        <v>Cash</v>
      </c>
      <c r="D1175" s="4" t="str">
        <f ca="1">IFERROR(__xludf.DUMMYFUNCTION("""COMPUTED_VALUE"""),"In")</f>
        <v>In</v>
      </c>
      <c r="E1175" s="4" t="str">
        <f ca="1">IFERROR(__xludf.DUMMYFUNCTION("""COMPUTED_VALUE"""),"Move")</f>
        <v>Move</v>
      </c>
      <c r="F1175" s="49">
        <f ca="1">IFERROR(__xludf.DUMMYFUNCTION("""COMPUTED_VALUE"""),100000)</f>
        <v>100000</v>
      </c>
      <c r="G1175" s="50" t="str">
        <f ca="1">IFERROR(__xludf.DUMMYFUNCTION("""COMPUTED_VALUE"""),"Zela")</f>
        <v>Zela</v>
      </c>
      <c r="H1175" s="51">
        <f t="shared" ca="1" si="0"/>
        <v>46204</v>
      </c>
      <c r="I1175" s="52" t="e">
        <f ca="1">SUMIFS(OUT!$F$2:$F$11000,OUT!$H$2:$H$11000,H1175,OUT!$D$2:$D$101007,"In")</f>
        <v>#VALUE!</v>
      </c>
      <c r="J1175" s="52">
        <f ca="1">SUMIFS(OUT!$F$2:$F$11000,OUT!$H$2:$H$11000,H1175,OUT!$D$2:$D$11000,"Out")</f>
        <v>9905717</v>
      </c>
      <c r="K1175" s="52">
        <f ca="1">SUMIFS(OUT!$F$2:$F$11000,OUT!$H$2:$H$11000,H1175,OUT!$D$2:$D$11000,"Out",OUT!$E$2:$E$11000,"Fix")</f>
        <v>3048680</v>
      </c>
      <c r="L1175" s="52">
        <f ca="1">SUMIFS(OUT!$F$2:$F$11000,OUT!$H$2:$H$11000,H1175,OUT!$D$2:$D$11000,"Out",OUT!$E$2:$E$11000,"Bathroom")</f>
        <v>50720</v>
      </c>
      <c r="M1175" s="52">
        <f ca="1">SUMIFS(OUT!$F$2:$F$11000,OUT!$H$2:$H$11000,H1175,OUT!$D$2:$D$11000,"Out",OUT!$E$2:$E$11000,"Alfa")</f>
        <v>294200</v>
      </c>
      <c r="N1175" s="52" t="e">
        <f ca="1">SUMIFS(OUT!$F$2:$F$11000,OUT!$H$2:$H$101007,H1175,OUT!$D$2:$D$11000,"Out",OUT!$E$2:$E$11000,"Jajan")</f>
        <v>#VALUE!</v>
      </c>
      <c r="O1175" s="52">
        <f ca="1">SUMIFS(OUT!$F$2:$F$11000,OUT!$H$2:$H$11000,H1175,OUT!$D$2:$D$11000,"Out",OUT!$E$2:$E$11000,"Kitchen")</f>
        <v>1360773</v>
      </c>
      <c r="P1175" s="52">
        <f ca="1">SUMIFS(OUT!$F$2:$F$11000,OUT!$H$2:$H$11000,H1175,OUT!$D$2:$D$11000,"Out",OUT!$E$2:$E$11000,"Loandry")</f>
        <v>11000</v>
      </c>
      <c r="Q1175" s="52">
        <f ca="1">SUMIFS(OUT!$F$2:$F$11000,OUT!$H$2:$H$11000,H1175,OUT!$D$2:$D$11000,"Out",OUT!$E$2:$E$11000,"Mio")</f>
        <v>338500</v>
      </c>
      <c r="R1175" s="52">
        <f ca="1">SUMIFS(OUT!$F$2:$F$11000,OUT!$H$2:$H$11000,H1175,OUT!$D$2:$D$11000,"Out",OUT!$E$2:$E$11000,"Sedekah")</f>
        <v>2500</v>
      </c>
      <c r="S1175" s="52">
        <f ca="1">SUMIFS(OUT!$F$2:$F$11000,OUT!$H$2:$H$11000,H1175,OUT!$D$2:$D$11000,"Out",OUT!$E$2:$E$11000,"Zela")</f>
        <v>387476</v>
      </c>
      <c r="T1175" s="52">
        <f ca="1">SUMIFS(OUT!$F$2:$F$11000,OUT!$H$2:$H$11000,H1175,OUT!$D$2:$D$11000,"Out",OUT!$E$2:$E$11000,"Iqbal")</f>
        <v>231000</v>
      </c>
    </row>
    <row r="1176" spans="1:20" x14ac:dyDescent="0.2">
      <c r="A1176" s="48">
        <f ca="1">IFERROR(__xludf.DUMMYFUNCTION("""COMPUTED_VALUE"""),46230)</f>
        <v>46230</v>
      </c>
      <c r="B1176" s="4" t="str">
        <f ca="1">IFERROR(__xludf.DUMMYFUNCTION("""COMPUTED_VALUE"""),"Token 20")</f>
        <v>Token 20</v>
      </c>
      <c r="C1176" s="4" t="str">
        <f ca="1">IFERROR(__xludf.DUMMYFUNCTION("""COMPUTED_VALUE"""),"ATM")</f>
        <v>ATM</v>
      </c>
      <c r="D1176" s="4" t="str">
        <f ca="1">IFERROR(__xludf.DUMMYFUNCTION("""COMPUTED_VALUE"""),"Out")</f>
        <v>Out</v>
      </c>
      <c r="E1176" s="4" t="str">
        <f ca="1">IFERROR(__xludf.DUMMYFUNCTION("""COMPUTED_VALUE"""),"Fix")</f>
        <v>Fix</v>
      </c>
      <c r="F1176" s="49">
        <f ca="1">IFERROR(__xludf.DUMMYFUNCTION("""COMPUTED_VALUE"""),21750)</f>
        <v>21750</v>
      </c>
      <c r="G1176" s="50" t="str">
        <f ca="1">IFERROR(__xludf.DUMMYFUNCTION("""COMPUTED_VALUE"""),"Zela")</f>
        <v>Zela</v>
      </c>
      <c r="H1176" s="51">
        <f t="shared" ca="1" si="0"/>
        <v>46204</v>
      </c>
      <c r="I1176" s="52" t="e">
        <f ca="1">SUMIFS(OUT!$F$2:$F$11000,OUT!$H$2:$H$11000,H1176,OUT!$D$2:$D$101007,"In")</f>
        <v>#VALUE!</v>
      </c>
      <c r="J1176" s="52">
        <f ca="1">SUMIFS(OUT!$F$2:$F$11000,OUT!$H$2:$H$11000,H1176,OUT!$D$2:$D$11000,"Out")</f>
        <v>9905717</v>
      </c>
      <c r="K1176" s="52">
        <f ca="1">SUMIFS(OUT!$F$2:$F$11000,OUT!$H$2:$H$11000,H1176,OUT!$D$2:$D$11000,"Out",OUT!$E$2:$E$11000,"Fix")</f>
        <v>3048680</v>
      </c>
      <c r="L1176" s="52">
        <f ca="1">SUMIFS(OUT!$F$2:$F$11000,OUT!$H$2:$H$11000,H1176,OUT!$D$2:$D$11000,"Out",OUT!$E$2:$E$11000,"Bathroom")</f>
        <v>50720</v>
      </c>
      <c r="M1176" s="52">
        <f ca="1">SUMIFS(OUT!$F$2:$F$11000,OUT!$H$2:$H$11000,H1176,OUT!$D$2:$D$11000,"Out",OUT!$E$2:$E$11000,"Alfa")</f>
        <v>294200</v>
      </c>
      <c r="N1176" s="52" t="e">
        <f ca="1">SUMIFS(OUT!$F$2:$F$11000,OUT!$H$2:$H$101007,H1176,OUT!$D$2:$D$11000,"Out",OUT!$E$2:$E$11000,"Jajan")</f>
        <v>#VALUE!</v>
      </c>
      <c r="O1176" s="52">
        <f ca="1">SUMIFS(OUT!$F$2:$F$11000,OUT!$H$2:$H$11000,H1176,OUT!$D$2:$D$11000,"Out",OUT!$E$2:$E$11000,"Kitchen")</f>
        <v>1360773</v>
      </c>
      <c r="P1176" s="52">
        <f ca="1">SUMIFS(OUT!$F$2:$F$11000,OUT!$H$2:$H$11000,H1176,OUT!$D$2:$D$11000,"Out",OUT!$E$2:$E$11000,"Loandry")</f>
        <v>11000</v>
      </c>
      <c r="Q1176" s="52">
        <f ca="1">SUMIFS(OUT!$F$2:$F$11000,OUT!$H$2:$H$11000,H1176,OUT!$D$2:$D$11000,"Out",OUT!$E$2:$E$11000,"Mio")</f>
        <v>338500</v>
      </c>
      <c r="R1176" s="52">
        <f ca="1">SUMIFS(OUT!$F$2:$F$11000,OUT!$H$2:$H$11000,H1176,OUT!$D$2:$D$11000,"Out",OUT!$E$2:$E$11000,"Sedekah")</f>
        <v>2500</v>
      </c>
      <c r="S1176" s="52">
        <f ca="1">SUMIFS(OUT!$F$2:$F$11000,OUT!$H$2:$H$11000,H1176,OUT!$D$2:$D$11000,"Out",OUT!$E$2:$E$11000,"Zela")</f>
        <v>387476</v>
      </c>
      <c r="T1176" s="52">
        <f ca="1">SUMIFS(OUT!$F$2:$F$11000,OUT!$H$2:$H$11000,H1176,OUT!$D$2:$D$11000,"Out",OUT!$E$2:$E$11000,"Iqbal")</f>
        <v>231000</v>
      </c>
    </row>
    <row r="1177" spans="1:20" x14ac:dyDescent="0.2">
      <c r="A1177" s="48">
        <f ca="1">IFERROR(__xludf.DUMMYFUNCTION("""COMPUTED_VALUE"""),46230)</f>
        <v>46230</v>
      </c>
      <c r="B1177" s="4" t="str">
        <f ca="1">IFERROR(__xludf.DUMMYFUNCTION("""COMPUTED_VALUE"""),"Iklan Tiktok 2")</f>
        <v>Iklan Tiktok 2</v>
      </c>
      <c r="C1177" s="4" t="str">
        <f ca="1">IFERROR(__xludf.DUMMYFUNCTION("""COMPUTED_VALUE"""),"ATM")</f>
        <v>ATM</v>
      </c>
      <c r="D1177" s="4" t="str">
        <f ca="1">IFERROR(__xludf.DUMMYFUNCTION("""COMPUTED_VALUE"""),"Out")</f>
        <v>Out</v>
      </c>
      <c r="E1177" s="4" t="str">
        <f ca="1">IFERROR(__xludf.DUMMYFUNCTION("""COMPUTED_VALUE"""),"Fix")</f>
        <v>Fix</v>
      </c>
      <c r="F1177" s="49">
        <f ca="1">IFERROR(__xludf.DUMMYFUNCTION("""COMPUTED_VALUE"""),33300)</f>
        <v>33300</v>
      </c>
      <c r="G1177" s="50" t="str">
        <f ca="1">IFERROR(__xludf.DUMMYFUNCTION("""COMPUTED_VALUE"""),"Zela")</f>
        <v>Zela</v>
      </c>
      <c r="H1177" s="51">
        <f t="shared" ca="1" si="0"/>
        <v>46204</v>
      </c>
      <c r="I1177" s="52" t="e">
        <f ca="1">SUMIFS(OUT!$F$2:$F$11000,OUT!$H$2:$H$11000,H1177,OUT!$D$2:$D$101007,"In")</f>
        <v>#VALUE!</v>
      </c>
      <c r="J1177" s="52">
        <f ca="1">SUMIFS(OUT!$F$2:$F$11000,OUT!$H$2:$H$11000,H1177,OUT!$D$2:$D$11000,"Out")</f>
        <v>9905717</v>
      </c>
      <c r="K1177" s="52">
        <f ca="1">SUMIFS(OUT!$F$2:$F$11000,OUT!$H$2:$H$11000,H1177,OUT!$D$2:$D$11000,"Out",OUT!$E$2:$E$11000,"Fix")</f>
        <v>3048680</v>
      </c>
      <c r="L1177" s="52">
        <f ca="1">SUMIFS(OUT!$F$2:$F$11000,OUT!$H$2:$H$11000,H1177,OUT!$D$2:$D$11000,"Out",OUT!$E$2:$E$11000,"Bathroom")</f>
        <v>50720</v>
      </c>
      <c r="M1177" s="52">
        <f ca="1">SUMIFS(OUT!$F$2:$F$11000,OUT!$H$2:$H$11000,H1177,OUT!$D$2:$D$11000,"Out",OUT!$E$2:$E$11000,"Alfa")</f>
        <v>294200</v>
      </c>
      <c r="N1177" s="52" t="e">
        <f ca="1">SUMIFS(OUT!$F$2:$F$11000,OUT!$H$2:$H$101007,H1177,OUT!$D$2:$D$11000,"Out",OUT!$E$2:$E$11000,"Jajan")</f>
        <v>#VALUE!</v>
      </c>
      <c r="O1177" s="52">
        <f ca="1">SUMIFS(OUT!$F$2:$F$11000,OUT!$H$2:$H$11000,H1177,OUT!$D$2:$D$11000,"Out",OUT!$E$2:$E$11000,"Kitchen")</f>
        <v>1360773</v>
      </c>
      <c r="P1177" s="52">
        <f ca="1">SUMIFS(OUT!$F$2:$F$11000,OUT!$H$2:$H$11000,H1177,OUT!$D$2:$D$11000,"Out",OUT!$E$2:$E$11000,"Loandry")</f>
        <v>11000</v>
      </c>
      <c r="Q1177" s="52">
        <f ca="1">SUMIFS(OUT!$F$2:$F$11000,OUT!$H$2:$H$11000,H1177,OUT!$D$2:$D$11000,"Out",OUT!$E$2:$E$11000,"Mio")</f>
        <v>338500</v>
      </c>
      <c r="R1177" s="52">
        <f ca="1">SUMIFS(OUT!$F$2:$F$11000,OUT!$H$2:$H$11000,H1177,OUT!$D$2:$D$11000,"Out",OUT!$E$2:$E$11000,"Sedekah")</f>
        <v>2500</v>
      </c>
      <c r="S1177" s="52">
        <f ca="1">SUMIFS(OUT!$F$2:$F$11000,OUT!$H$2:$H$11000,H1177,OUT!$D$2:$D$11000,"Out",OUT!$E$2:$E$11000,"Zela")</f>
        <v>387476</v>
      </c>
      <c r="T1177" s="52">
        <f ca="1">SUMIFS(OUT!$F$2:$F$11000,OUT!$H$2:$H$11000,H1177,OUT!$D$2:$D$11000,"Out",OUT!$E$2:$E$11000,"Iqbal")</f>
        <v>231000</v>
      </c>
    </row>
    <row r="1178" spans="1:20" x14ac:dyDescent="0.2">
      <c r="A1178" s="48">
        <f ca="1">IFERROR(__xludf.DUMMYFUNCTION("""COMPUTED_VALUE"""),46230)</f>
        <v>46230</v>
      </c>
      <c r="B1178" s="4" t="str">
        <f ca="1">IFERROR(__xludf.DUMMYFUNCTION("""COMPUTED_VALUE"""),"tisu basah+ jajan Alfa")</f>
        <v>tisu basah+ jajan Alfa</v>
      </c>
      <c r="C1178" s="4" t="str">
        <f ca="1">IFERROR(__xludf.DUMMYFUNCTION("""COMPUTED_VALUE"""),"Cash")</f>
        <v>Cash</v>
      </c>
      <c r="D1178" s="4" t="str">
        <f ca="1">IFERROR(__xludf.DUMMYFUNCTION("""COMPUTED_VALUE"""),"Out")</f>
        <v>Out</v>
      </c>
      <c r="E1178" s="4" t="str">
        <f ca="1">IFERROR(__xludf.DUMMYFUNCTION("""COMPUTED_VALUE"""),"Alfa")</f>
        <v>Alfa</v>
      </c>
      <c r="F1178" s="49">
        <f ca="1">IFERROR(__xludf.DUMMYFUNCTION("""COMPUTED_VALUE"""),20000)</f>
        <v>20000</v>
      </c>
      <c r="G1178" s="50" t="str">
        <f ca="1">IFERROR(__xludf.DUMMYFUNCTION("""COMPUTED_VALUE"""),"Zela")</f>
        <v>Zela</v>
      </c>
      <c r="H1178" s="51">
        <f t="shared" ca="1" si="0"/>
        <v>46204</v>
      </c>
      <c r="I1178" s="52" t="e">
        <f ca="1">SUMIFS(OUT!$F$2:$F$11000,OUT!$H$2:$H$11000,H1178,OUT!$D$2:$D$101007,"In")</f>
        <v>#VALUE!</v>
      </c>
      <c r="J1178" s="52">
        <f ca="1">SUMIFS(OUT!$F$2:$F$11000,OUT!$H$2:$H$11000,H1178,OUT!$D$2:$D$11000,"Out")</f>
        <v>9905717</v>
      </c>
      <c r="K1178" s="52">
        <f ca="1">SUMIFS(OUT!$F$2:$F$11000,OUT!$H$2:$H$11000,H1178,OUT!$D$2:$D$11000,"Out",OUT!$E$2:$E$11000,"Fix")</f>
        <v>3048680</v>
      </c>
      <c r="L1178" s="52">
        <f ca="1">SUMIFS(OUT!$F$2:$F$11000,OUT!$H$2:$H$11000,H1178,OUT!$D$2:$D$11000,"Out",OUT!$E$2:$E$11000,"Bathroom")</f>
        <v>50720</v>
      </c>
      <c r="M1178" s="52">
        <f ca="1">SUMIFS(OUT!$F$2:$F$11000,OUT!$H$2:$H$11000,H1178,OUT!$D$2:$D$11000,"Out",OUT!$E$2:$E$11000,"Alfa")</f>
        <v>294200</v>
      </c>
      <c r="N1178" s="52" t="e">
        <f ca="1">SUMIFS(OUT!$F$2:$F$11000,OUT!$H$2:$H$101007,H1178,OUT!$D$2:$D$11000,"Out",OUT!$E$2:$E$11000,"Jajan")</f>
        <v>#VALUE!</v>
      </c>
      <c r="O1178" s="52">
        <f ca="1">SUMIFS(OUT!$F$2:$F$11000,OUT!$H$2:$H$11000,H1178,OUT!$D$2:$D$11000,"Out",OUT!$E$2:$E$11000,"Kitchen")</f>
        <v>1360773</v>
      </c>
      <c r="P1178" s="52">
        <f ca="1">SUMIFS(OUT!$F$2:$F$11000,OUT!$H$2:$H$11000,H1178,OUT!$D$2:$D$11000,"Out",OUT!$E$2:$E$11000,"Loandry")</f>
        <v>11000</v>
      </c>
      <c r="Q1178" s="52">
        <f ca="1">SUMIFS(OUT!$F$2:$F$11000,OUT!$H$2:$H$11000,H1178,OUT!$D$2:$D$11000,"Out",OUT!$E$2:$E$11000,"Mio")</f>
        <v>338500</v>
      </c>
      <c r="R1178" s="52">
        <f ca="1">SUMIFS(OUT!$F$2:$F$11000,OUT!$H$2:$H$11000,H1178,OUT!$D$2:$D$11000,"Out",OUT!$E$2:$E$11000,"Sedekah")</f>
        <v>2500</v>
      </c>
      <c r="S1178" s="52">
        <f ca="1">SUMIFS(OUT!$F$2:$F$11000,OUT!$H$2:$H$11000,H1178,OUT!$D$2:$D$11000,"Out",OUT!$E$2:$E$11000,"Zela")</f>
        <v>387476</v>
      </c>
      <c r="T1178" s="52">
        <f ca="1">SUMIFS(OUT!$F$2:$F$11000,OUT!$H$2:$H$11000,H1178,OUT!$D$2:$D$11000,"Out",OUT!$E$2:$E$11000,"Iqbal")</f>
        <v>231000</v>
      </c>
    </row>
    <row r="1179" spans="1:20" x14ac:dyDescent="0.2">
      <c r="A1179" s="48">
        <f ca="1">IFERROR(__xludf.DUMMYFUNCTION("""COMPUTED_VALUE"""),46230)</f>
        <v>46230</v>
      </c>
      <c r="B1179" s="4" t="str">
        <f ca="1">IFERROR(__xludf.DUMMYFUNCTION("""COMPUTED_VALUE"""),"Roti gepeng ")</f>
        <v xml:space="preserve">Roti gepeng </v>
      </c>
      <c r="C1179" s="4" t="str">
        <f ca="1">IFERROR(__xludf.DUMMYFUNCTION("""COMPUTED_VALUE"""),"Cash")</f>
        <v>Cash</v>
      </c>
      <c r="D1179" s="4" t="str">
        <f ca="1">IFERROR(__xludf.DUMMYFUNCTION("""COMPUTED_VALUE"""),"Out")</f>
        <v>Out</v>
      </c>
      <c r="E1179" s="4" t="str">
        <f ca="1">IFERROR(__xludf.DUMMYFUNCTION("""COMPUTED_VALUE"""),"Jajan")</f>
        <v>Jajan</v>
      </c>
      <c r="F1179" s="49">
        <f ca="1">IFERROR(__xludf.DUMMYFUNCTION("""COMPUTED_VALUE"""),9000)</f>
        <v>9000</v>
      </c>
      <c r="G1179" s="50" t="str">
        <f ca="1">IFERROR(__xludf.DUMMYFUNCTION("""COMPUTED_VALUE"""),"Zela")</f>
        <v>Zela</v>
      </c>
      <c r="H1179" s="51">
        <f t="shared" ca="1" si="0"/>
        <v>46204</v>
      </c>
      <c r="I1179" s="52" t="e">
        <f ca="1">SUMIFS(OUT!$F$2:$F$11000,OUT!$H$2:$H$11000,H1179,OUT!$D$2:$D$101007,"In")</f>
        <v>#VALUE!</v>
      </c>
      <c r="J1179" s="52">
        <f ca="1">SUMIFS(OUT!$F$2:$F$11000,OUT!$H$2:$H$11000,H1179,OUT!$D$2:$D$11000,"Out")</f>
        <v>9905717</v>
      </c>
      <c r="K1179" s="52">
        <f ca="1">SUMIFS(OUT!$F$2:$F$11000,OUT!$H$2:$H$11000,H1179,OUT!$D$2:$D$11000,"Out",OUT!$E$2:$E$11000,"Fix")</f>
        <v>3048680</v>
      </c>
      <c r="L1179" s="52">
        <f ca="1">SUMIFS(OUT!$F$2:$F$11000,OUT!$H$2:$H$11000,H1179,OUT!$D$2:$D$11000,"Out",OUT!$E$2:$E$11000,"Bathroom")</f>
        <v>50720</v>
      </c>
      <c r="M1179" s="52">
        <f ca="1">SUMIFS(OUT!$F$2:$F$11000,OUT!$H$2:$H$11000,H1179,OUT!$D$2:$D$11000,"Out",OUT!$E$2:$E$11000,"Alfa")</f>
        <v>294200</v>
      </c>
      <c r="N1179" s="52" t="e">
        <f ca="1">SUMIFS(OUT!$F$2:$F$11000,OUT!$H$2:$H$101007,H1179,OUT!$D$2:$D$11000,"Out",OUT!$E$2:$E$11000,"Jajan")</f>
        <v>#VALUE!</v>
      </c>
      <c r="O1179" s="52">
        <f ca="1">SUMIFS(OUT!$F$2:$F$11000,OUT!$H$2:$H$11000,H1179,OUT!$D$2:$D$11000,"Out",OUT!$E$2:$E$11000,"Kitchen")</f>
        <v>1360773</v>
      </c>
      <c r="P1179" s="52">
        <f ca="1">SUMIFS(OUT!$F$2:$F$11000,OUT!$H$2:$H$11000,H1179,OUT!$D$2:$D$11000,"Out",OUT!$E$2:$E$11000,"Loandry")</f>
        <v>11000</v>
      </c>
      <c r="Q1179" s="52">
        <f ca="1">SUMIFS(OUT!$F$2:$F$11000,OUT!$H$2:$H$11000,H1179,OUT!$D$2:$D$11000,"Out",OUT!$E$2:$E$11000,"Mio")</f>
        <v>338500</v>
      </c>
      <c r="R1179" s="52">
        <f ca="1">SUMIFS(OUT!$F$2:$F$11000,OUT!$H$2:$H$11000,H1179,OUT!$D$2:$D$11000,"Out",OUT!$E$2:$E$11000,"Sedekah")</f>
        <v>2500</v>
      </c>
      <c r="S1179" s="52">
        <f ca="1">SUMIFS(OUT!$F$2:$F$11000,OUT!$H$2:$H$11000,H1179,OUT!$D$2:$D$11000,"Out",OUT!$E$2:$E$11000,"Zela")</f>
        <v>387476</v>
      </c>
      <c r="T1179" s="52">
        <f ca="1">SUMIFS(OUT!$F$2:$F$11000,OUT!$H$2:$H$11000,H1179,OUT!$D$2:$D$11000,"Out",OUT!$E$2:$E$11000,"Iqbal")</f>
        <v>231000</v>
      </c>
    </row>
    <row r="1180" spans="1:20" x14ac:dyDescent="0.2">
      <c r="A1180" s="48">
        <f ca="1">IFERROR(__xludf.DUMMYFUNCTION("""COMPUTED_VALUE"""),46230)</f>
        <v>46230</v>
      </c>
      <c r="B1180" s="4" t="str">
        <f ca="1">IFERROR(__xludf.DUMMYFUNCTION("""COMPUTED_VALUE"""),"bensin Motor")</f>
        <v>bensin Motor</v>
      </c>
      <c r="C1180" s="4" t="str">
        <f ca="1">IFERROR(__xludf.DUMMYFUNCTION("""COMPUTED_VALUE"""),"Cash")</f>
        <v>Cash</v>
      </c>
      <c r="D1180" s="4" t="str">
        <f ca="1">IFERROR(__xludf.DUMMYFUNCTION("""COMPUTED_VALUE"""),"Out")</f>
        <v>Out</v>
      </c>
      <c r="E1180" s="4" t="str">
        <f ca="1">IFERROR(__xludf.DUMMYFUNCTION("""COMPUTED_VALUE"""),"Mio")</f>
        <v>Mio</v>
      </c>
      <c r="F1180" s="49">
        <f ca="1">IFERROR(__xludf.DUMMYFUNCTION("""COMPUTED_VALUE"""),20000)</f>
        <v>20000</v>
      </c>
      <c r="G1180" s="50" t="str">
        <f ca="1">IFERROR(__xludf.DUMMYFUNCTION("""COMPUTED_VALUE"""),"Zela")</f>
        <v>Zela</v>
      </c>
      <c r="H1180" s="51">
        <f t="shared" ca="1" si="0"/>
        <v>46204</v>
      </c>
      <c r="I1180" s="52" t="e">
        <f ca="1">SUMIFS(OUT!$F$2:$F$11000,OUT!$H$2:$H$11000,H1180,OUT!$D$2:$D$101007,"In")</f>
        <v>#VALUE!</v>
      </c>
      <c r="J1180" s="52">
        <f ca="1">SUMIFS(OUT!$F$2:$F$11000,OUT!$H$2:$H$11000,H1180,OUT!$D$2:$D$11000,"Out")</f>
        <v>9905717</v>
      </c>
      <c r="K1180" s="52">
        <f ca="1">SUMIFS(OUT!$F$2:$F$11000,OUT!$H$2:$H$11000,H1180,OUT!$D$2:$D$11000,"Out",OUT!$E$2:$E$11000,"Fix")</f>
        <v>3048680</v>
      </c>
      <c r="L1180" s="52">
        <f ca="1">SUMIFS(OUT!$F$2:$F$11000,OUT!$H$2:$H$11000,H1180,OUT!$D$2:$D$11000,"Out",OUT!$E$2:$E$11000,"Bathroom")</f>
        <v>50720</v>
      </c>
      <c r="M1180" s="52">
        <f ca="1">SUMIFS(OUT!$F$2:$F$11000,OUT!$H$2:$H$11000,H1180,OUT!$D$2:$D$11000,"Out",OUT!$E$2:$E$11000,"Alfa")</f>
        <v>294200</v>
      </c>
      <c r="N1180" s="52" t="e">
        <f ca="1">SUMIFS(OUT!$F$2:$F$11000,OUT!$H$2:$H$101007,H1180,OUT!$D$2:$D$11000,"Out",OUT!$E$2:$E$11000,"Jajan")</f>
        <v>#VALUE!</v>
      </c>
      <c r="O1180" s="52">
        <f ca="1">SUMIFS(OUT!$F$2:$F$11000,OUT!$H$2:$H$11000,H1180,OUT!$D$2:$D$11000,"Out",OUT!$E$2:$E$11000,"Kitchen")</f>
        <v>1360773</v>
      </c>
      <c r="P1180" s="52">
        <f ca="1">SUMIFS(OUT!$F$2:$F$11000,OUT!$H$2:$H$11000,H1180,OUT!$D$2:$D$11000,"Out",OUT!$E$2:$E$11000,"Loandry")</f>
        <v>11000</v>
      </c>
      <c r="Q1180" s="52">
        <f ca="1">SUMIFS(OUT!$F$2:$F$11000,OUT!$H$2:$H$11000,H1180,OUT!$D$2:$D$11000,"Out",OUT!$E$2:$E$11000,"Mio")</f>
        <v>338500</v>
      </c>
      <c r="R1180" s="52">
        <f ca="1">SUMIFS(OUT!$F$2:$F$11000,OUT!$H$2:$H$11000,H1180,OUT!$D$2:$D$11000,"Out",OUT!$E$2:$E$11000,"Sedekah")</f>
        <v>2500</v>
      </c>
      <c r="S1180" s="52">
        <f ca="1">SUMIFS(OUT!$F$2:$F$11000,OUT!$H$2:$H$11000,H1180,OUT!$D$2:$D$11000,"Out",OUT!$E$2:$E$11000,"Zela")</f>
        <v>387476</v>
      </c>
      <c r="T1180" s="52">
        <f ca="1">SUMIFS(OUT!$F$2:$F$11000,OUT!$H$2:$H$11000,H1180,OUT!$D$2:$D$11000,"Out",OUT!$E$2:$E$11000,"Iqbal")</f>
        <v>231000</v>
      </c>
    </row>
    <row r="1181" spans="1:20" x14ac:dyDescent="0.2">
      <c r="A1181" s="48">
        <f ca="1">IFERROR(__xludf.DUMMYFUNCTION("""COMPUTED_VALUE"""),46233)</f>
        <v>46233</v>
      </c>
      <c r="B1181" s="4" t="str">
        <f ca="1">IFERROR(__xludf.DUMMYFUNCTION("""COMPUTED_VALUE"""),"komisi tiktok")</f>
        <v>komisi tiktok</v>
      </c>
      <c r="C1181" s="4" t="str">
        <f ca="1">IFERROR(__xludf.DUMMYFUNCTION("""COMPUTED_VALUE"""),"ATM")</f>
        <v>ATM</v>
      </c>
      <c r="D1181" s="4" t="str">
        <f ca="1">IFERROR(__xludf.DUMMYFUNCTION("""COMPUTED_VALUE"""),"In")</f>
        <v>In</v>
      </c>
      <c r="E1181" s="4" t="str">
        <f ca="1">IFERROR(__xludf.DUMMYFUNCTION("""COMPUTED_VALUE"""),"Fix")</f>
        <v>Fix</v>
      </c>
      <c r="F1181" s="49">
        <f ca="1">IFERROR(__xludf.DUMMYFUNCTION("""COMPUTED_VALUE"""),141449)</f>
        <v>141449</v>
      </c>
      <c r="G1181" s="50" t="str">
        <f ca="1">IFERROR(__xludf.DUMMYFUNCTION("""COMPUTED_VALUE"""),"Zela")</f>
        <v>Zela</v>
      </c>
      <c r="H1181" s="51">
        <f t="shared" ca="1" si="0"/>
        <v>46204</v>
      </c>
      <c r="I1181" s="52" t="e">
        <f ca="1">SUMIFS(OUT!$F$2:$F$11000,OUT!$H$2:$H$11000,H1181,OUT!$D$2:$D$101007,"In")</f>
        <v>#VALUE!</v>
      </c>
      <c r="J1181" s="52">
        <f ca="1">SUMIFS(OUT!$F$2:$F$11000,OUT!$H$2:$H$11000,H1181,OUT!$D$2:$D$11000,"Out")</f>
        <v>9905717</v>
      </c>
      <c r="K1181" s="52">
        <f ca="1">SUMIFS(OUT!$F$2:$F$11000,OUT!$H$2:$H$11000,H1181,OUT!$D$2:$D$11000,"Out",OUT!$E$2:$E$11000,"Fix")</f>
        <v>3048680</v>
      </c>
      <c r="L1181" s="52">
        <f ca="1">SUMIFS(OUT!$F$2:$F$11000,OUT!$H$2:$H$11000,H1181,OUT!$D$2:$D$11000,"Out",OUT!$E$2:$E$11000,"Bathroom")</f>
        <v>50720</v>
      </c>
      <c r="M1181" s="52">
        <f ca="1">SUMIFS(OUT!$F$2:$F$11000,OUT!$H$2:$H$11000,H1181,OUT!$D$2:$D$11000,"Out",OUT!$E$2:$E$11000,"Alfa")</f>
        <v>294200</v>
      </c>
      <c r="N1181" s="52" t="e">
        <f ca="1">SUMIFS(OUT!$F$2:$F$11000,OUT!$H$2:$H$101007,H1181,OUT!$D$2:$D$11000,"Out",OUT!$E$2:$E$11000,"Jajan")</f>
        <v>#VALUE!</v>
      </c>
      <c r="O1181" s="52">
        <f ca="1">SUMIFS(OUT!$F$2:$F$11000,OUT!$H$2:$H$11000,H1181,OUT!$D$2:$D$11000,"Out",OUT!$E$2:$E$11000,"Kitchen")</f>
        <v>1360773</v>
      </c>
      <c r="P1181" s="52">
        <f ca="1">SUMIFS(OUT!$F$2:$F$11000,OUT!$H$2:$H$11000,H1181,OUT!$D$2:$D$11000,"Out",OUT!$E$2:$E$11000,"Loandry")</f>
        <v>11000</v>
      </c>
      <c r="Q1181" s="52">
        <f ca="1">SUMIFS(OUT!$F$2:$F$11000,OUT!$H$2:$H$11000,H1181,OUT!$D$2:$D$11000,"Out",OUT!$E$2:$E$11000,"Mio")</f>
        <v>338500</v>
      </c>
      <c r="R1181" s="52">
        <f ca="1">SUMIFS(OUT!$F$2:$F$11000,OUT!$H$2:$H$11000,H1181,OUT!$D$2:$D$11000,"Out",OUT!$E$2:$E$11000,"Sedekah")</f>
        <v>2500</v>
      </c>
      <c r="S1181" s="52">
        <f ca="1">SUMIFS(OUT!$F$2:$F$11000,OUT!$H$2:$H$11000,H1181,OUT!$D$2:$D$11000,"Out",OUT!$E$2:$E$11000,"Zela")</f>
        <v>387476</v>
      </c>
      <c r="T1181" s="52">
        <f ca="1">SUMIFS(OUT!$F$2:$F$11000,OUT!$H$2:$H$11000,H1181,OUT!$D$2:$D$11000,"Out",OUT!$E$2:$E$11000,"Iqbal")</f>
        <v>231000</v>
      </c>
    </row>
    <row r="1182" spans="1:20" x14ac:dyDescent="0.2">
      <c r="A1182" s="48">
        <f ca="1">IFERROR(__xludf.DUMMYFUNCTION("""COMPUTED_VALUE"""),46233)</f>
        <v>46233</v>
      </c>
      <c r="B1182" s="4" t="str">
        <f ca="1">IFERROR(__xludf.DUMMYFUNCTION("""COMPUTED_VALUE"""),"tarik tunai")</f>
        <v>tarik tunai</v>
      </c>
      <c r="C1182" s="4" t="str">
        <f ca="1">IFERROR(__xludf.DUMMYFUNCTION("""COMPUTED_VALUE"""),"ATM")</f>
        <v>ATM</v>
      </c>
      <c r="D1182" s="4" t="str">
        <f ca="1">IFERROR(__xludf.DUMMYFUNCTION("""COMPUTED_VALUE"""),"Out")</f>
        <v>Out</v>
      </c>
      <c r="E1182" s="4" t="str">
        <f ca="1">IFERROR(__xludf.DUMMYFUNCTION("""COMPUTED_VALUE"""),"Move")</f>
        <v>Move</v>
      </c>
      <c r="F1182" s="49">
        <f ca="1">IFERROR(__xludf.DUMMYFUNCTION("""COMPUTED_VALUE"""),150000)</f>
        <v>150000</v>
      </c>
      <c r="G1182" s="50" t="str">
        <f ca="1">IFERROR(__xludf.DUMMYFUNCTION("""COMPUTED_VALUE"""),"Zela")</f>
        <v>Zela</v>
      </c>
      <c r="H1182" s="51">
        <f t="shared" ca="1" si="0"/>
        <v>46204</v>
      </c>
      <c r="I1182" s="52" t="e">
        <f ca="1">SUMIFS(OUT!$F$2:$F$11000,OUT!$H$2:$H$11000,H1182,OUT!$D$2:$D$101007,"In")</f>
        <v>#VALUE!</v>
      </c>
      <c r="J1182" s="52">
        <f ca="1">SUMIFS(OUT!$F$2:$F$11000,OUT!$H$2:$H$11000,H1182,OUT!$D$2:$D$11000,"Out")</f>
        <v>9905717</v>
      </c>
      <c r="K1182" s="52">
        <f ca="1">SUMIFS(OUT!$F$2:$F$11000,OUT!$H$2:$H$11000,H1182,OUT!$D$2:$D$11000,"Out",OUT!$E$2:$E$11000,"Fix")</f>
        <v>3048680</v>
      </c>
      <c r="L1182" s="52">
        <f ca="1">SUMIFS(OUT!$F$2:$F$11000,OUT!$H$2:$H$11000,H1182,OUT!$D$2:$D$11000,"Out",OUT!$E$2:$E$11000,"Bathroom")</f>
        <v>50720</v>
      </c>
      <c r="M1182" s="52">
        <f ca="1">SUMIFS(OUT!$F$2:$F$11000,OUT!$H$2:$H$11000,H1182,OUT!$D$2:$D$11000,"Out",OUT!$E$2:$E$11000,"Alfa")</f>
        <v>294200</v>
      </c>
      <c r="N1182" s="52" t="e">
        <f ca="1">SUMIFS(OUT!$F$2:$F$11000,OUT!$H$2:$H$101007,H1182,OUT!$D$2:$D$11000,"Out",OUT!$E$2:$E$11000,"Jajan")</f>
        <v>#VALUE!</v>
      </c>
      <c r="O1182" s="52">
        <f ca="1">SUMIFS(OUT!$F$2:$F$11000,OUT!$H$2:$H$11000,H1182,OUT!$D$2:$D$11000,"Out",OUT!$E$2:$E$11000,"Kitchen")</f>
        <v>1360773</v>
      </c>
      <c r="P1182" s="52">
        <f ca="1">SUMIFS(OUT!$F$2:$F$11000,OUT!$H$2:$H$11000,H1182,OUT!$D$2:$D$11000,"Out",OUT!$E$2:$E$11000,"Loandry")</f>
        <v>11000</v>
      </c>
      <c r="Q1182" s="52">
        <f ca="1">SUMIFS(OUT!$F$2:$F$11000,OUT!$H$2:$H$11000,H1182,OUT!$D$2:$D$11000,"Out",OUT!$E$2:$E$11000,"Mio")</f>
        <v>338500</v>
      </c>
      <c r="R1182" s="52">
        <f ca="1">SUMIFS(OUT!$F$2:$F$11000,OUT!$H$2:$H$11000,H1182,OUT!$D$2:$D$11000,"Out",OUT!$E$2:$E$11000,"Sedekah")</f>
        <v>2500</v>
      </c>
      <c r="S1182" s="52">
        <f ca="1">SUMIFS(OUT!$F$2:$F$11000,OUT!$H$2:$H$11000,H1182,OUT!$D$2:$D$11000,"Out",OUT!$E$2:$E$11000,"Zela")</f>
        <v>387476</v>
      </c>
      <c r="T1182" s="52">
        <f ca="1">SUMIFS(OUT!$F$2:$F$11000,OUT!$H$2:$H$11000,H1182,OUT!$D$2:$D$11000,"Out",OUT!$E$2:$E$11000,"Iqbal")</f>
        <v>231000</v>
      </c>
    </row>
    <row r="1183" spans="1:20" x14ac:dyDescent="0.2">
      <c r="A1183" s="48">
        <f ca="1">IFERROR(__xludf.DUMMYFUNCTION("""COMPUTED_VALUE"""),46233)</f>
        <v>46233</v>
      </c>
      <c r="B1183" s="4" t="str">
        <f ca="1">IFERROR(__xludf.DUMMYFUNCTION("""COMPUTED_VALUE"""),"terima tunai")</f>
        <v>terima tunai</v>
      </c>
      <c r="C1183" s="4" t="str">
        <f ca="1">IFERROR(__xludf.DUMMYFUNCTION("""COMPUTED_VALUE"""),"Cash")</f>
        <v>Cash</v>
      </c>
      <c r="D1183" s="4" t="str">
        <f ca="1">IFERROR(__xludf.DUMMYFUNCTION("""COMPUTED_VALUE"""),"In")</f>
        <v>In</v>
      </c>
      <c r="E1183" s="4" t="str">
        <f ca="1">IFERROR(__xludf.DUMMYFUNCTION("""COMPUTED_VALUE"""),"Move")</f>
        <v>Move</v>
      </c>
      <c r="F1183" s="49">
        <f ca="1">IFERROR(__xludf.DUMMYFUNCTION("""COMPUTED_VALUE"""),150000)</f>
        <v>150000</v>
      </c>
      <c r="G1183" s="50" t="str">
        <f ca="1">IFERROR(__xludf.DUMMYFUNCTION("""COMPUTED_VALUE"""),"Zela")</f>
        <v>Zela</v>
      </c>
      <c r="H1183" s="51">
        <f t="shared" ca="1" si="0"/>
        <v>46204</v>
      </c>
      <c r="I1183" s="52" t="e">
        <f ca="1">SUMIFS(OUT!$F$2:$F$11000,OUT!$H$2:$H$11000,H1183,OUT!$D$2:$D$101007,"In")</f>
        <v>#VALUE!</v>
      </c>
      <c r="J1183" s="52">
        <f ca="1">SUMIFS(OUT!$F$2:$F$11000,OUT!$H$2:$H$11000,H1183,OUT!$D$2:$D$11000,"Out")</f>
        <v>9905717</v>
      </c>
      <c r="K1183" s="52">
        <f ca="1">SUMIFS(OUT!$F$2:$F$11000,OUT!$H$2:$H$11000,H1183,OUT!$D$2:$D$11000,"Out",OUT!$E$2:$E$11000,"Fix")</f>
        <v>3048680</v>
      </c>
      <c r="L1183" s="52">
        <f ca="1">SUMIFS(OUT!$F$2:$F$11000,OUT!$H$2:$H$11000,H1183,OUT!$D$2:$D$11000,"Out",OUT!$E$2:$E$11000,"Bathroom")</f>
        <v>50720</v>
      </c>
      <c r="M1183" s="52">
        <f ca="1">SUMIFS(OUT!$F$2:$F$11000,OUT!$H$2:$H$11000,H1183,OUT!$D$2:$D$11000,"Out",OUT!$E$2:$E$11000,"Alfa")</f>
        <v>294200</v>
      </c>
      <c r="N1183" s="52" t="e">
        <f ca="1">SUMIFS(OUT!$F$2:$F$11000,OUT!$H$2:$H$101007,H1183,OUT!$D$2:$D$11000,"Out",OUT!$E$2:$E$11000,"Jajan")</f>
        <v>#VALUE!</v>
      </c>
      <c r="O1183" s="52">
        <f ca="1">SUMIFS(OUT!$F$2:$F$11000,OUT!$H$2:$H$11000,H1183,OUT!$D$2:$D$11000,"Out",OUT!$E$2:$E$11000,"Kitchen")</f>
        <v>1360773</v>
      </c>
      <c r="P1183" s="52">
        <f ca="1">SUMIFS(OUT!$F$2:$F$11000,OUT!$H$2:$H$11000,H1183,OUT!$D$2:$D$11000,"Out",OUT!$E$2:$E$11000,"Loandry")</f>
        <v>11000</v>
      </c>
      <c r="Q1183" s="52">
        <f ca="1">SUMIFS(OUT!$F$2:$F$11000,OUT!$H$2:$H$11000,H1183,OUT!$D$2:$D$11000,"Out",OUT!$E$2:$E$11000,"Mio")</f>
        <v>338500</v>
      </c>
      <c r="R1183" s="52">
        <f ca="1">SUMIFS(OUT!$F$2:$F$11000,OUT!$H$2:$H$11000,H1183,OUT!$D$2:$D$11000,"Out",OUT!$E$2:$E$11000,"Sedekah")</f>
        <v>2500</v>
      </c>
      <c r="S1183" s="52">
        <f ca="1">SUMIFS(OUT!$F$2:$F$11000,OUT!$H$2:$H$11000,H1183,OUT!$D$2:$D$11000,"Out",OUT!$E$2:$E$11000,"Zela")</f>
        <v>387476</v>
      </c>
      <c r="T1183" s="52">
        <f ca="1">SUMIFS(OUT!$F$2:$F$11000,OUT!$H$2:$H$11000,H1183,OUT!$D$2:$D$11000,"Out",OUT!$E$2:$E$11000,"Iqbal")</f>
        <v>231000</v>
      </c>
    </row>
    <row r="1184" spans="1:20" x14ac:dyDescent="0.2">
      <c r="A1184" s="48">
        <f ca="1">IFERROR(__xludf.DUMMYFUNCTION("""COMPUTED_VALUE"""),46233)</f>
        <v>46233</v>
      </c>
      <c r="B1184" s="4" t="str">
        <f ca="1">IFERROR(__xludf.DUMMYFUNCTION("""COMPUTED_VALUE"""),"pertalite")</f>
        <v>pertalite</v>
      </c>
      <c r="C1184" s="4" t="str">
        <f ca="1">IFERROR(__xludf.DUMMYFUNCTION("""COMPUTED_VALUE"""),"Cash")</f>
        <v>Cash</v>
      </c>
      <c r="D1184" s="4" t="str">
        <f ca="1">IFERROR(__xludf.DUMMYFUNCTION("""COMPUTED_VALUE"""),"Out")</f>
        <v>Out</v>
      </c>
      <c r="E1184" s="4" t="str">
        <f ca="1">IFERROR(__xludf.DUMMYFUNCTION("""COMPUTED_VALUE"""),"Mio")</f>
        <v>Mio</v>
      </c>
      <c r="F1184" s="49">
        <f ca="1">IFERROR(__xludf.DUMMYFUNCTION("""COMPUTED_VALUE"""),20000)</f>
        <v>20000</v>
      </c>
      <c r="G1184" s="50" t="str">
        <f ca="1">IFERROR(__xludf.DUMMYFUNCTION("""COMPUTED_VALUE"""),"Zela")</f>
        <v>Zela</v>
      </c>
      <c r="H1184" s="51">
        <f t="shared" ca="1" si="0"/>
        <v>46204</v>
      </c>
      <c r="I1184" s="52" t="e">
        <f ca="1">SUMIFS(OUT!$F$2:$F$11000,OUT!$H$2:$H$11000,H1184,OUT!$D$2:$D$101007,"In")</f>
        <v>#VALUE!</v>
      </c>
      <c r="J1184" s="52">
        <f ca="1">SUMIFS(OUT!$F$2:$F$11000,OUT!$H$2:$H$11000,H1184,OUT!$D$2:$D$11000,"Out")</f>
        <v>9905717</v>
      </c>
      <c r="K1184" s="52">
        <f ca="1">SUMIFS(OUT!$F$2:$F$11000,OUT!$H$2:$H$11000,H1184,OUT!$D$2:$D$11000,"Out",OUT!$E$2:$E$11000,"Fix")</f>
        <v>3048680</v>
      </c>
      <c r="L1184" s="52">
        <f ca="1">SUMIFS(OUT!$F$2:$F$11000,OUT!$H$2:$H$11000,H1184,OUT!$D$2:$D$11000,"Out",OUT!$E$2:$E$11000,"Bathroom")</f>
        <v>50720</v>
      </c>
      <c r="M1184" s="52">
        <f ca="1">SUMIFS(OUT!$F$2:$F$11000,OUT!$H$2:$H$11000,H1184,OUT!$D$2:$D$11000,"Out",OUT!$E$2:$E$11000,"Alfa")</f>
        <v>294200</v>
      </c>
      <c r="N1184" s="52" t="e">
        <f ca="1">SUMIFS(OUT!$F$2:$F$11000,OUT!$H$2:$H$101007,H1184,OUT!$D$2:$D$11000,"Out",OUT!$E$2:$E$11000,"Jajan")</f>
        <v>#VALUE!</v>
      </c>
      <c r="O1184" s="52">
        <f ca="1">SUMIFS(OUT!$F$2:$F$11000,OUT!$H$2:$H$11000,H1184,OUT!$D$2:$D$11000,"Out",OUT!$E$2:$E$11000,"Kitchen")</f>
        <v>1360773</v>
      </c>
      <c r="P1184" s="52">
        <f ca="1">SUMIFS(OUT!$F$2:$F$11000,OUT!$H$2:$H$11000,H1184,OUT!$D$2:$D$11000,"Out",OUT!$E$2:$E$11000,"Loandry")</f>
        <v>11000</v>
      </c>
      <c r="Q1184" s="52">
        <f ca="1">SUMIFS(OUT!$F$2:$F$11000,OUT!$H$2:$H$11000,H1184,OUT!$D$2:$D$11000,"Out",OUT!$E$2:$E$11000,"Mio")</f>
        <v>338500</v>
      </c>
      <c r="R1184" s="52">
        <f ca="1">SUMIFS(OUT!$F$2:$F$11000,OUT!$H$2:$H$11000,H1184,OUT!$D$2:$D$11000,"Out",OUT!$E$2:$E$11000,"Sedekah")</f>
        <v>2500</v>
      </c>
      <c r="S1184" s="52">
        <f ca="1">SUMIFS(OUT!$F$2:$F$11000,OUT!$H$2:$H$11000,H1184,OUT!$D$2:$D$11000,"Out",OUT!$E$2:$E$11000,"Zela")</f>
        <v>387476</v>
      </c>
      <c r="T1184" s="52">
        <f ca="1">SUMIFS(OUT!$F$2:$F$11000,OUT!$H$2:$H$11000,H1184,OUT!$D$2:$D$11000,"Out",OUT!$E$2:$E$11000,"Iqbal")</f>
        <v>231000</v>
      </c>
    </row>
    <row r="1185" spans="1:20" x14ac:dyDescent="0.2">
      <c r="A1185" s="48">
        <f ca="1">IFERROR(__xludf.DUMMYFUNCTION("""COMPUTED_VALUE"""),46233)</f>
        <v>46233</v>
      </c>
      <c r="B1185" s="4" t="str">
        <f ca="1">IFERROR(__xludf.DUMMYFUNCTION("""COMPUTED_VALUE"""),"pembalut")</f>
        <v>pembalut</v>
      </c>
      <c r="C1185" s="4" t="str">
        <f ca="1">IFERROR(__xludf.DUMMYFUNCTION("""COMPUTED_VALUE"""),"Cash")</f>
        <v>Cash</v>
      </c>
      <c r="D1185" s="4" t="str">
        <f ca="1">IFERROR(__xludf.DUMMYFUNCTION("""COMPUTED_VALUE"""),"Out")</f>
        <v>Out</v>
      </c>
      <c r="E1185" s="4" t="str">
        <f ca="1">IFERROR(__xludf.DUMMYFUNCTION("""COMPUTED_VALUE"""),"Zela")</f>
        <v>Zela</v>
      </c>
      <c r="F1185" s="49">
        <f ca="1">IFERROR(__xludf.DUMMYFUNCTION("""COMPUTED_VALUE"""),48700)</f>
        <v>48700</v>
      </c>
      <c r="G1185" s="50" t="str">
        <f ca="1">IFERROR(__xludf.DUMMYFUNCTION("""COMPUTED_VALUE"""),"Zela")</f>
        <v>Zela</v>
      </c>
      <c r="H1185" s="51">
        <f t="shared" ca="1" si="0"/>
        <v>46204</v>
      </c>
      <c r="I1185" s="52" t="e">
        <f ca="1">SUMIFS(OUT!$F$2:$F$11000,OUT!$H$2:$H$11000,H1185,OUT!$D$2:$D$101007,"In")</f>
        <v>#VALUE!</v>
      </c>
      <c r="J1185" s="52">
        <f ca="1">SUMIFS(OUT!$F$2:$F$11000,OUT!$H$2:$H$11000,H1185,OUT!$D$2:$D$11000,"Out")</f>
        <v>9905717</v>
      </c>
      <c r="K1185" s="52">
        <f ca="1">SUMIFS(OUT!$F$2:$F$11000,OUT!$H$2:$H$11000,H1185,OUT!$D$2:$D$11000,"Out",OUT!$E$2:$E$11000,"Fix")</f>
        <v>3048680</v>
      </c>
      <c r="L1185" s="52">
        <f ca="1">SUMIFS(OUT!$F$2:$F$11000,OUT!$H$2:$H$11000,H1185,OUT!$D$2:$D$11000,"Out",OUT!$E$2:$E$11000,"Bathroom")</f>
        <v>50720</v>
      </c>
      <c r="M1185" s="52">
        <f ca="1">SUMIFS(OUT!$F$2:$F$11000,OUT!$H$2:$H$11000,H1185,OUT!$D$2:$D$11000,"Out",OUT!$E$2:$E$11000,"Alfa")</f>
        <v>294200</v>
      </c>
      <c r="N1185" s="52" t="e">
        <f ca="1">SUMIFS(OUT!$F$2:$F$11000,OUT!$H$2:$H$101007,H1185,OUT!$D$2:$D$11000,"Out",OUT!$E$2:$E$11000,"Jajan")</f>
        <v>#VALUE!</v>
      </c>
      <c r="O1185" s="52">
        <f ca="1">SUMIFS(OUT!$F$2:$F$11000,OUT!$H$2:$H$11000,H1185,OUT!$D$2:$D$11000,"Out",OUT!$E$2:$E$11000,"Kitchen")</f>
        <v>1360773</v>
      </c>
      <c r="P1185" s="52">
        <f ca="1">SUMIFS(OUT!$F$2:$F$11000,OUT!$H$2:$H$11000,H1185,OUT!$D$2:$D$11000,"Out",OUT!$E$2:$E$11000,"Loandry")</f>
        <v>11000</v>
      </c>
      <c r="Q1185" s="52">
        <f ca="1">SUMIFS(OUT!$F$2:$F$11000,OUT!$H$2:$H$11000,H1185,OUT!$D$2:$D$11000,"Out",OUT!$E$2:$E$11000,"Mio")</f>
        <v>338500</v>
      </c>
      <c r="R1185" s="52">
        <f ca="1">SUMIFS(OUT!$F$2:$F$11000,OUT!$H$2:$H$11000,H1185,OUT!$D$2:$D$11000,"Out",OUT!$E$2:$E$11000,"Sedekah")</f>
        <v>2500</v>
      </c>
      <c r="S1185" s="52">
        <f ca="1">SUMIFS(OUT!$F$2:$F$11000,OUT!$H$2:$H$11000,H1185,OUT!$D$2:$D$11000,"Out",OUT!$E$2:$E$11000,"Zela")</f>
        <v>387476</v>
      </c>
      <c r="T1185" s="52">
        <f ca="1">SUMIFS(OUT!$F$2:$F$11000,OUT!$H$2:$H$11000,H1185,OUT!$D$2:$D$11000,"Out",OUT!$E$2:$E$11000,"Iqbal")</f>
        <v>231000</v>
      </c>
    </row>
    <row r="1186" spans="1:20" x14ac:dyDescent="0.2">
      <c r="A1186" s="48">
        <f ca="1">IFERROR(__xludf.DUMMYFUNCTION("""COMPUTED_VALUE"""),46233)</f>
        <v>46233</v>
      </c>
      <c r="B1186" s="4" t="str">
        <f ca="1">IFERROR(__xludf.DUMMYFUNCTION("""COMPUTED_VALUE"""),"sate")</f>
        <v>sate</v>
      </c>
      <c r="C1186" s="4" t="str">
        <f ca="1">IFERROR(__xludf.DUMMYFUNCTION("""COMPUTED_VALUE"""),"Cash")</f>
        <v>Cash</v>
      </c>
      <c r="D1186" s="4" t="str">
        <f ca="1">IFERROR(__xludf.DUMMYFUNCTION("""COMPUTED_VALUE"""),"Out")</f>
        <v>Out</v>
      </c>
      <c r="E1186" s="4" t="str">
        <f ca="1">IFERROR(__xludf.DUMMYFUNCTION("""COMPUTED_VALUE"""),"Kitchen")</f>
        <v>Kitchen</v>
      </c>
      <c r="F1186" s="49">
        <f ca="1">IFERROR(__xludf.DUMMYFUNCTION("""COMPUTED_VALUE"""),16000)</f>
        <v>16000</v>
      </c>
      <c r="G1186" s="50" t="str">
        <f ca="1">IFERROR(__xludf.DUMMYFUNCTION("""COMPUTED_VALUE"""),"Zela")</f>
        <v>Zela</v>
      </c>
      <c r="H1186" s="51">
        <f t="shared" ca="1" si="0"/>
        <v>46204</v>
      </c>
      <c r="I1186" s="52" t="e">
        <f ca="1">SUMIFS(OUT!$F$2:$F$11000,OUT!$H$2:$H$11000,H1186,OUT!$D$2:$D$101007,"In")</f>
        <v>#VALUE!</v>
      </c>
      <c r="J1186" s="52">
        <f ca="1">SUMIFS(OUT!$F$2:$F$11000,OUT!$H$2:$H$11000,H1186,OUT!$D$2:$D$11000,"Out")</f>
        <v>9905717</v>
      </c>
      <c r="K1186" s="52">
        <f ca="1">SUMIFS(OUT!$F$2:$F$11000,OUT!$H$2:$H$11000,H1186,OUT!$D$2:$D$11000,"Out",OUT!$E$2:$E$11000,"Fix")</f>
        <v>3048680</v>
      </c>
      <c r="L1186" s="52">
        <f ca="1">SUMIFS(OUT!$F$2:$F$11000,OUT!$H$2:$H$11000,H1186,OUT!$D$2:$D$11000,"Out",OUT!$E$2:$E$11000,"Bathroom")</f>
        <v>50720</v>
      </c>
      <c r="M1186" s="52">
        <f ca="1">SUMIFS(OUT!$F$2:$F$11000,OUT!$H$2:$H$11000,H1186,OUT!$D$2:$D$11000,"Out",OUT!$E$2:$E$11000,"Alfa")</f>
        <v>294200</v>
      </c>
      <c r="N1186" s="52" t="e">
        <f ca="1">SUMIFS(OUT!$F$2:$F$11000,OUT!$H$2:$H$101007,H1186,OUT!$D$2:$D$11000,"Out",OUT!$E$2:$E$11000,"Jajan")</f>
        <v>#VALUE!</v>
      </c>
      <c r="O1186" s="52">
        <f ca="1">SUMIFS(OUT!$F$2:$F$11000,OUT!$H$2:$H$11000,H1186,OUT!$D$2:$D$11000,"Out",OUT!$E$2:$E$11000,"Kitchen")</f>
        <v>1360773</v>
      </c>
      <c r="P1186" s="52">
        <f ca="1">SUMIFS(OUT!$F$2:$F$11000,OUT!$H$2:$H$11000,H1186,OUT!$D$2:$D$11000,"Out",OUT!$E$2:$E$11000,"Loandry")</f>
        <v>11000</v>
      </c>
      <c r="Q1186" s="52">
        <f ca="1">SUMIFS(OUT!$F$2:$F$11000,OUT!$H$2:$H$11000,H1186,OUT!$D$2:$D$11000,"Out",OUT!$E$2:$E$11000,"Mio")</f>
        <v>338500</v>
      </c>
      <c r="R1186" s="52">
        <f ca="1">SUMIFS(OUT!$F$2:$F$11000,OUT!$H$2:$H$11000,H1186,OUT!$D$2:$D$11000,"Out",OUT!$E$2:$E$11000,"Sedekah")</f>
        <v>2500</v>
      </c>
      <c r="S1186" s="52">
        <f ca="1">SUMIFS(OUT!$F$2:$F$11000,OUT!$H$2:$H$11000,H1186,OUT!$D$2:$D$11000,"Out",OUT!$E$2:$E$11000,"Zela")</f>
        <v>387476</v>
      </c>
      <c r="T1186" s="52">
        <f ca="1">SUMIFS(OUT!$F$2:$F$11000,OUT!$H$2:$H$11000,H1186,OUT!$D$2:$D$11000,"Out",OUT!$E$2:$E$11000,"Iqbal")</f>
        <v>231000</v>
      </c>
    </row>
    <row r="1187" spans="1:20" x14ac:dyDescent="0.2">
      <c r="A1187" s="48">
        <f ca="1">IFERROR(__xludf.DUMMYFUNCTION("""COMPUTED_VALUE"""),46233)</f>
        <v>46233</v>
      </c>
      <c r="B1187" s="4" t="str">
        <f ca="1">IFERROR(__xludf.DUMMYFUNCTION("""COMPUTED_VALUE"""),"ayam bakar")</f>
        <v>ayam bakar</v>
      </c>
      <c r="C1187" s="4" t="str">
        <f ca="1">IFERROR(__xludf.DUMMYFUNCTION("""COMPUTED_VALUE"""),"Cash")</f>
        <v>Cash</v>
      </c>
      <c r="D1187" s="4" t="str">
        <f ca="1">IFERROR(__xludf.DUMMYFUNCTION("""COMPUTED_VALUE"""),"Out")</f>
        <v>Out</v>
      </c>
      <c r="E1187" s="4" t="str">
        <f ca="1">IFERROR(__xludf.DUMMYFUNCTION("""COMPUTED_VALUE"""),"Kitchen")</f>
        <v>Kitchen</v>
      </c>
      <c r="F1187" s="49">
        <f ca="1">IFERROR(__xludf.DUMMYFUNCTION("""COMPUTED_VALUE"""),15000)</f>
        <v>15000</v>
      </c>
      <c r="G1187" s="50" t="str">
        <f ca="1">IFERROR(__xludf.DUMMYFUNCTION("""COMPUTED_VALUE"""),"Zela")</f>
        <v>Zela</v>
      </c>
      <c r="H1187" s="51">
        <f t="shared" ca="1" si="0"/>
        <v>46204</v>
      </c>
      <c r="I1187" s="52" t="e">
        <f ca="1">SUMIFS(OUT!$F$2:$F$11000,OUT!$H$2:$H$11000,H1187,OUT!$D$2:$D$101007,"In")</f>
        <v>#VALUE!</v>
      </c>
      <c r="J1187" s="52">
        <f ca="1">SUMIFS(OUT!$F$2:$F$11000,OUT!$H$2:$H$11000,H1187,OUT!$D$2:$D$11000,"Out")</f>
        <v>9905717</v>
      </c>
      <c r="K1187" s="52">
        <f ca="1">SUMIFS(OUT!$F$2:$F$11000,OUT!$H$2:$H$11000,H1187,OUT!$D$2:$D$11000,"Out",OUT!$E$2:$E$11000,"Fix")</f>
        <v>3048680</v>
      </c>
      <c r="L1187" s="52">
        <f ca="1">SUMIFS(OUT!$F$2:$F$11000,OUT!$H$2:$H$11000,H1187,OUT!$D$2:$D$11000,"Out",OUT!$E$2:$E$11000,"Bathroom")</f>
        <v>50720</v>
      </c>
      <c r="M1187" s="52">
        <f ca="1">SUMIFS(OUT!$F$2:$F$11000,OUT!$H$2:$H$11000,H1187,OUT!$D$2:$D$11000,"Out",OUT!$E$2:$E$11000,"Alfa")</f>
        <v>294200</v>
      </c>
      <c r="N1187" s="52" t="e">
        <f ca="1">SUMIFS(OUT!$F$2:$F$11000,OUT!$H$2:$H$101007,H1187,OUT!$D$2:$D$11000,"Out",OUT!$E$2:$E$11000,"Jajan")</f>
        <v>#VALUE!</v>
      </c>
      <c r="O1187" s="52">
        <f ca="1">SUMIFS(OUT!$F$2:$F$11000,OUT!$H$2:$H$11000,H1187,OUT!$D$2:$D$11000,"Out",OUT!$E$2:$E$11000,"Kitchen")</f>
        <v>1360773</v>
      </c>
      <c r="P1187" s="52">
        <f ca="1">SUMIFS(OUT!$F$2:$F$11000,OUT!$H$2:$H$11000,H1187,OUT!$D$2:$D$11000,"Out",OUT!$E$2:$E$11000,"Loandry")</f>
        <v>11000</v>
      </c>
      <c r="Q1187" s="52">
        <f ca="1">SUMIFS(OUT!$F$2:$F$11000,OUT!$H$2:$H$11000,H1187,OUT!$D$2:$D$11000,"Out",OUT!$E$2:$E$11000,"Mio")</f>
        <v>338500</v>
      </c>
      <c r="R1187" s="52">
        <f ca="1">SUMIFS(OUT!$F$2:$F$11000,OUT!$H$2:$H$11000,H1187,OUT!$D$2:$D$11000,"Out",OUT!$E$2:$E$11000,"Sedekah")</f>
        <v>2500</v>
      </c>
      <c r="S1187" s="52">
        <f ca="1">SUMIFS(OUT!$F$2:$F$11000,OUT!$H$2:$H$11000,H1187,OUT!$D$2:$D$11000,"Out",OUT!$E$2:$E$11000,"Zela")</f>
        <v>387476</v>
      </c>
      <c r="T1187" s="52">
        <f ca="1">SUMIFS(OUT!$F$2:$F$11000,OUT!$H$2:$H$11000,H1187,OUT!$D$2:$D$11000,"Out",OUT!$E$2:$E$11000,"Iqbal")</f>
        <v>231000</v>
      </c>
    </row>
    <row r="1188" spans="1:20" x14ac:dyDescent="0.2">
      <c r="A1188" s="48">
        <f ca="1">IFERROR(__xludf.DUMMYFUNCTION("""COMPUTED_VALUE"""),46233)</f>
        <v>46233</v>
      </c>
      <c r="B1188" s="4" t="str">
        <f ca="1">IFERROR(__xludf.DUMMYFUNCTION("""COMPUTED_VALUE"""),"roti gepeng (2)")</f>
        <v>roti gepeng (2)</v>
      </c>
      <c r="C1188" s="4" t="str">
        <f ca="1">IFERROR(__xludf.DUMMYFUNCTION("""COMPUTED_VALUE"""),"Cash")</f>
        <v>Cash</v>
      </c>
      <c r="D1188" s="4" t="str">
        <f ca="1">IFERROR(__xludf.DUMMYFUNCTION("""COMPUTED_VALUE"""),"Out")</f>
        <v>Out</v>
      </c>
      <c r="E1188" s="4" t="str">
        <f ca="1">IFERROR(__xludf.DUMMYFUNCTION("""COMPUTED_VALUE"""),"Jajan")</f>
        <v>Jajan</v>
      </c>
      <c r="F1188" s="49">
        <f ca="1">IFERROR(__xludf.DUMMYFUNCTION("""COMPUTED_VALUE"""),18000)</f>
        <v>18000</v>
      </c>
      <c r="G1188" s="50" t="str">
        <f ca="1">IFERROR(__xludf.DUMMYFUNCTION("""COMPUTED_VALUE"""),"Zela")</f>
        <v>Zela</v>
      </c>
      <c r="H1188" s="51">
        <f t="shared" ca="1" si="0"/>
        <v>46204</v>
      </c>
      <c r="I1188" s="52" t="e">
        <f ca="1">SUMIFS(OUT!$F$2:$F$11000,OUT!$H$2:$H$11000,H1188,OUT!$D$2:$D$101007,"In")</f>
        <v>#VALUE!</v>
      </c>
      <c r="J1188" s="52">
        <f ca="1">SUMIFS(OUT!$F$2:$F$11000,OUT!$H$2:$H$11000,H1188,OUT!$D$2:$D$11000,"Out")</f>
        <v>9905717</v>
      </c>
      <c r="K1188" s="52">
        <f ca="1">SUMIFS(OUT!$F$2:$F$11000,OUT!$H$2:$H$11000,H1188,OUT!$D$2:$D$11000,"Out",OUT!$E$2:$E$11000,"Fix")</f>
        <v>3048680</v>
      </c>
      <c r="L1188" s="52">
        <f ca="1">SUMIFS(OUT!$F$2:$F$11000,OUT!$H$2:$H$11000,H1188,OUT!$D$2:$D$11000,"Out",OUT!$E$2:$E$11000,"Bathroom")</f>
        <v>50720</v>
      </c>
      <c r="M1188" s="52">
        <f ca="1">SUMIFS(OUT!$F$2:$F$11000,OUT!$H$2:$H$11000,H1188,OUT!$D$2:$D$11000,"Out",OUT!$E$2:$E$11000,"Alfa")</f>
        <v>294200</v>
      </c>
      <c r="N1188" s="52" t="e">
        <f ca="1">SUMIFS(OUT!$F$2:$F$11000,OUT!$H$2:$H$101007,H1188,OUT!$D$2:$D$11000,"Out",OUT!$E$2:$E$11000,"Jajan")</f>
        <v>#VALUE!</v>
      </c>
      <c r="O1188" s="52">
        <f ca="1">SUMIFS(OUT!$F$2:$F$11000,OUT!$H$2:$H$11000,H1188,OUT!$D$2:$D$11000,"Out",OUT!$E$2:$E$11000,"Kitchen")</f>
        <v>1360773</v>
      </c>
      <c r="P1188" s="52">
        <f ca="1">SUMIFS(OUT!$F$2:$F$11000,OUT!$H$2:$H$11000,H1188,OUT!$D$2:$D$11000,"Out",OUT!$E$2:$E$11000,"Loandry")</f>
        <v>11000</v>
      </c>
      <c r="Q1188" s="52">
        <f ca="1">SUMIFS(OUT!$F$2:$F$11000,OUT!$H$2:$H$11000,H1188,OUT!$D$2:$D$11000,"Out",OUT!$E$2:$E$11000,"Mio")</f>
        <v>338500</v>
      </c>
      <c r="R1188" s="52">
        <f ca="1">SUMIFS(OUT!$F$2:$F$11000,OUT!$H$2:$H$11000,H1188,OUT!$D$2:$D$11000,"Out",OUT!$E$2:$E$11000,"Sedekah")</f>
        <v>2500</v>
      </c>
      <c r="S1188" s="52">
        <f ca="1">SUMIFS(OUT!$F$2:$F$11000,OUT!$H$2:$H$11000,H1188,OUT!$D$2:$D$11000,"Out",OUT!$E$2:$E$11000,"Zela")</f>
        <v>387476</v>
      </c>
      <c r="T1188" s="52">
        <f ca="1">SUMIFS(OUT!$F$2:$F$11000,OUT!$H$2:$H$11000,H1188,OUT!$D$2:$D$11000,"Out",OUT!$E$2:$E$11000,"Iqbal")</f>
        <v>231000</v>
      </c>
    </row>
    <row r="1189" spans="1:20" x14ac:dyDescent="0.2">
      <c r="A1189" s="48">
        <f ca="1">IFERROR(__xludf.DUMMYFUNCTION("""COMPUTED_VALUE"""),46232)</f>
        <v>46232</v>
      </c>
      <c r="B1189" s="4" t="str">
        <f ca="1">IFERROR(__xludf.DUMMYFUNCTION("""COMPUTED_VALUE"""),"Pasar kaget")</f>
        <v>Pasar kaget</v>
      </c>
      <c r="C1189" s="4" t="str">
        <f ca="1">IFERROR(__xludf.DUMMYFUNCTION("""COMPUTED_VALUE"""),"Cash")</f>
        <v>Cash</v>
      </c>
      <c r="D1189" s="4" t="str">
        <f ca="1">IFERROR(__xludf.DUMMYFUNCTION("""COMPUTED_VALUE"""),"Out")</f>
        <v>Out</v>
      </c>
      <c r="E1189" s="4" t="str">
        <f ca="1">IFERROR(__xludf.DUMMYFUNCTION("""COMPUTED_VALUE"""),"Kitchen")</f>
        <v>Kitchen</v>
      </c>
      <c r="F1189" s="49">
        <f ca="1">IFERROR(__xludf.DUMMYFUNCTION("""COMPUTED_VALUE"""),25000)</f>
        <v>25000</v>
      </c>
      <c r="G1189" s="50" t="str">
        <f ca="1">IFERROR(__xludf.DUMMYFUNCTION("""COMPUTED_VALUE"""),"Zela")</f>
        <v>Zela</v>
      </c>
      <c r="H1189" s="51">
        <f t="shared" ca="1" si="0"/>
        <v>46204</v>
      </c>
      <c r="I1189" s="52" t="e">
        <f ca="1">SUMIFS(OUT!$F$2:$F$11000,OUT!$H$2:$H$11000,H1189,OUT!$D$2:$D$101007,"In")</f>
        <v>#VALUE!</v>
      </c>
      <c r="J1189" s="52">
        <f ca="1">SUMIFS(OUT!$F$2:$F$11000,OUT!$H$2:$H$11000,H1189,OUT!$D$2:$D$11000,"Out")</f>
        <v>9905717</v>
      </c>
      <c r="K1189" s="52">
        <f ca="1">SUMIFS(OUT!$F$2:$F$11000,OUT!$H$2:$H$11000,H1189,OUT!$D$2:$D$11000,"Out",OUT!$E$2:$E$11000,"Fix")</f>
        <v>3048680</v>
      </c>
      <c r="L1189" s="52">
        <f ca="1">SUMIFS(OUT!$F$2:$F$11000,OUT!$H$2:$H$11000,H1189,OUT!$D$2:$D$11000,"Out",OUT!$E$2:$E$11000,"Bathroom")</f>
        <v>50720</v>
      </c>
      <c r="M1189" s="52">
        <f ca="1">SUMIFS(OUT!$F$2:$F$11000,OUT!$H$2:$H$11000,H1189,OUT!$D$2:$D$11000,"Out",OUT!$E$2:$E$11000,"Alfa")</f>
        <v>294200</v>
      </c>
      <c r="N1189" s="52" t="e">
        <f ca="1">SUMIFS(OUT!$F$2:$F$11000,OUT!$H$2:$H$101007,H1189,OUT!$D$2:$D$11000,"Out",OUT!$E$2:$E$11000,"Jajan")</f>
        <v>#VALUE!</v>
      </c>
      <c r="O1189" s="52">
        <f ca="1">SUMIFS(OUT!$F$2:$F$11000,OUT!$H$2:$H$11000,H1189,OUT!$D$2:$D$11000,"Out",OUT!$E$2:$E$11000,"Kitchen")</f>
        <v>1360773</v>
      </c>
      <c r="P1189" s="52">
        <f ca="1">SUMIFS(OUT!$F$2:$F$11000,OUT!$H$2:$H$11000,H1189,OUT!$D$2:$D$11000,"Out",OUT!$E$2:$E$11000,"Loandry")</f>
        <v>11000</v>
      </c>
      <c r="Q1189" s="52">
        <f ca="1">SUMIFS(OUT!$F$2:$F$11000,OUT!$H$2:$H$11000,H1189,OUT!$D$2:$D$11000,"Out",OUT!$E$2:$E$11000,"Mio")</f>
        <v>338500</v>
      </c>
      <c r="R1189" s="52">
        <f ca="1">SUMIFS(OUT!$F$2:$F$11000,OUT!$H$2:$H$11000,H1189,OUT!$D$2:$D$11000,"Out",OUT!$E$2:$E$11000,"Sedekah")</f>
        <v>2500</v>
      </c>
      <c r="S1189" s="52">
        <f ca="1">SUMIFS(OUT!$F$2:$F$11000,OUT!$H$2:$H$11000,H1189,OUT!$D$2:$D$11000,"Out",OUT!$E$2:$E$11000,"Zela")</f>
        <v>387476</v>
      </c>
      <c r="T1189" s="52">
        <f ca="1">SUMIFS(OUT!$F$2:$F$11000,OUT!$H$2:$H$11000,H1189,OUT!$D$2:$D$11000,"Out",OUT!$E$2:$E$11000,"Iqbal")</f>
        <v>231000</v>
      </c>
    </row>
    <row r="1190" spans="1:20" x14ac:dyDescent="0.2">
      <c r="A1190" s="48">
        <f ca="1">IFERROR(__xludf.DUMMYFUNCTION("""COMPUTED_VALUE"""),46232)</f>
        <v>46232</v>
      </c>
      <c r="B1190" s="4" t="str">
        <f ca="1">IFERROR(__xludf.DUMMYFUNCTION("""COMPUTED_VALUE"""),"molen")</f>
        <v>molen</v>
      </c>
      <c r="C1190" s="4" t="str">
        <f ca="1">IFERROR(__xludf.DUMMYFUNCTION("""COMPUTED_VALUE"""),"Cash")</f>
        <v>Cash</v>
      </c>
      <c r="D1190" s="4" t="str">
        <f ca="1">IFERROR(__xludf.DUMMYFUNCTION("""COMPUTED_VALUE"""),"Out")</f>
        <v>Out</v>
      </c>
      <c r="E1190" s="4" t="str">
        <f ca="1">IFERROR(__xludf.DUMMYFUNCTION("""COMPUTED_VALUE"""),"Jajan")</f>
        <v>Jajan</v>
      </c>
      <c r="F1190" s="49">
        <f ca="1">IFERROR(__xludf.DUMMYFUNCTION("""COMPUTED_VALUE"""),5000)</f>
        <v>5000</v>
      </c>
      <c r="G1190" s="50" t="str">
        <f ca="1">IFERROR(__xludf.DUMMYFUNCTION("""COMPUTED_VALUE"""),"Zela")</f>
        <v>Zela</v>
      </c>
      <c r="H1190" s="51">
        <f t="shared" ca="1" si="0"/>
        <v>46204</v>
      </c>
      <c r="I1190" s="52" t="e">
        <f ca="1">SUMIFS(OUT!$F$2:$F$11000,OUT!$H$2:$H$11000,H1190,OUT!$D$2:$D$101007,"In")</f>
        <v>#VALUE!</v>
      </c>
      <c r="J1190" s="52">
        <f ca="1">SUMIFS(OUT!$F$2:$F$11000,OUT!$H$2:$H$11000,H1190,OUT!$D$2:$D$11000,"Out")</f>
        <v>9905717</v>
      </c>
      <c r="K1190" s="52">
        <f ca="1">SUMIFS(OUT!$F$2:$F$11000,OUT!$H$2:$H$11000,H1190,OUT!$D$2:$D$11000,"Out",OUT!$E$2:$E$11000,"Fix")</f>
        <v>3048680</v>
      </c>
      <c r="L1190" s="52">
        <f ca="1">SUMIFS(OUT!$F$2:$F$11000,OUT!$H$2:$H$11000,H1190,OUT!$D$2:$D$11000,"Out",OUT!$E$2:$E$11000,"Bathroom")</f>
        <v>50720</v>
      </c>
      <c r="M1190" s="52">
        <f ca="1">SUMIFS(OUT!$F$2:$F$11000,OUT!$H$2:$H$11000,H1190,OUT!$D$2:$D$11000,"Out",OUT!$E$2:$E$11000,"Alfa")</f>
        <v>294200</v>
      </c>
      <c r="N1190" s="52" t="e">
        <f ca="1">SUMIFS(OUT!$F$2:$F$11000,OUT!$H$2:$H$101007,H1190,OUT!$D$2:$D$11000,"Out",OUT!$E$2:$E$11000,"Jajan")</f>
        <v>#VALUE!</v>
      </c>
      <c r="O1190" s="52">
        <f ca="1">SUMIFS(OUT!$F$2:$F$11000,OUT!$H$2:$H$11000,H1190,OUT!$D$2:$D$11000,"Out",OUT!$E$2:$E$11000,"Kitchen")</f>
        <v>1360773</v>
      </c>
      <c r="P1190" s="52">
        <f ca="1">SUMIFS(OUT!$F$2:$F$11000,OUT!$H$2:$H$11000,H1190,OUT!$D$2:$D$11000,"Out",OUT!$E$2:$E$11000,"Loandry")</f>
        <v>11000</v>
      </c>
      <c r="Q1190" s="52">
        <f ca="1">SUMIFS(OUT!$F$2:$F$11000,OUT!$H$2:$H$11000,H1190,OUT!$D$2:$D$11000,"Out",OUT!$E$2:$E$11000,"Mio")</f>
        <v>338500</v>
      </c>
      <c r="R1190" s="52">
        <f ca="1">SUMIFS(OUT!$F$2:$F$11000,OUT!$H$2:$H$11000,H1190,OUT!$D$2:$D$11000,"Out",OUT!$E$2:$E$11000,"Sedekah")</f>
        <v>2500</v>
      </c>
      <c r="S1190" s="52">
        <f ca="1">SUMIFS(OUT!$F$2:$F$11000,OUT!$H$2:$H$11000,H1190,OUT!$D$2:$D$11000,"Out",OUT!$E$2:$E$11000,"Zela")</f>
        <v>387476</v>
      </c>
      <c r="T1190" s="52">
        <f ca="1">SUMIFS(OUT!$F$2:$F$11000,OUT!$H$2:$H$11000,H1190,OUT!$D$2:$D$11000,"Out",OUT!$E$2:$E$11000,"Iqbal")</f>
        <v>231000</v>
      </c>
    </row>
    <row r="1191" spans="1:20" x14ac:dyDescent="0.2">
      <c r="A1191" s="48">
        <f ca="1">IFERROR(__xludf.DUMMYFUNCTION("""COMPUTED_VALUE"""),46232)</f>
        <v>46232</v>
      </c>
      <c r="B1191" s="4" t="str">
        <f ca="1">IFERROR(__xludf.DUMMYFUNCTION("""COMPUTED_VALUE"""),"Jajan Alfa + mie ")</f>
        <v xml:space="preserve">Jajan Alfa + mie </v>
      </c>
      <c r="C1191" s="4" t="str">
        <f ca="1">IFERROR(__xludf.DUMMYFUNCTION("""COMPUTED_VALUE"""),"Cash")</f>
        <v>Cash</v>
      </c>
      <c r="D1191" s="4" t="str">
        <f ca="1">IFERROR(__xludf.DUMMYFUNCTION("""COMPUTED_VALUE"""),"Out")</f>
        <v>Out</v>
      </c>
      <c r="E1191" s="4" t="str">
        <f ca="1">IFERROR(__xludf.DUMMYFUNCTION("""COMPUTED_VALUE"""),"Jajan")</f>
        <v>Jajan</v>
      </c>
      <c r="F1191" s="49">
        <f ca="1">IFERROR(__xludf.DUMMYFUNCTION("""COMPUTED_VALUE"""),10000)</f>
        <v>10000</v>
      </c>
      <c r="G1191" s="50" t="str">
        <f ca="1">IFERROR(__xludf.DUMMYFUNCTION("""COMPUTED_VALUE"""),"Zela")</f>
        <v>Zela</v>
      </c>
      <c r="H1191" s="51">
        <f t="shared" ca="1" si="0"/>
        <v>46204</v>
      </c>
      <c r="I1191" s="52" t="e">
        <f ca="1">SUMIFS(OUT!$F$2:$F$11000,OUT!$H$2:$H$11000,H1191,OUT!$D$2:$D$101007,"In")</f>
        <v>#VALUE!</v>
      </c>
      <c r="J1191" s="52">
        <f ca="1">SUMIFS(OUT!$F$2:$F$11000,OUT!$H$2:$H$11000,H1191,OUT!$D$2:$D$11000,"Out")</f>
        <v>9905717</v>
      </c>
      <c r="K1191" s="52">
        <f ca="1">SUMIFS(OUT!$F$2:$F$11000,OUT!$H$2:$H$11000,H1191,OUT!$D$2:$D$11000,"Out",OUT!$E$2:$E$11000,"Fix")</f>
        <v>3048680</v>
      </c>
      <c r="L1191" s="52">
        <f ca="1">SUMIFS(OUT!$F$2:$F$11000,OUT!$H$2:$H$11000,H1191,OUT!$D$2:$D$11000,"Out",OUT!$E$2:$E$11000,"Bathroom")</f>
        <v>50720</v>
      </c>
      <c r="M1191" s="52">
        <f ca="1">SUMIFS(OUT!$F$2:$F$11000,OUT!$H$2:$H$11000,H1191,OUT!$D$2:$D$11000,"Out",OUT!$E$2:$E$11000,"Alfa")</f>
        <v>294200</v>
      </c>
      <c r="N1191" s="52" t="e">
        <f ca="1">SUMIFS(OUT!$F$2:$F$11000,OUT!$H$2:$H$101007,H1191,OUT!$D$2:$D$11000,"Out",OUT!$E$2:$E$11000,"Jajan")</f>
        <v>#VALUE!</v>
      </c>
      <c r="O1191" s="52">
        <f ca="1">SUMIFS(OUT!$F$2:$F$11000,OUT!$H$2:$H$11000,H1191,OUT!$D$2:$D$11000,"Out",OUT!$E$2:$E$11000,"Kitchen")</f>
        <v>1360773</v>
      </c>
      <c r="P1191" s="52">
        <f ca="1">SUMIFS(OUT!$F$2:$F$11000,OUT!$H$2:$H$11000,H1191,OUT!$D$2:$D$11000,"Out",OUT!$E$2:$E$11000,"Loandry")</f>
        <v>11000</v>
      </c>
      <c r="Q1191" s="52">
        <f ca="1">SUMIFS(OUT!$F$2:$F$11000,OUT!$H$2:$H$11000,H1191,OUT!$D$2:$D$11000,"Out",OUT!$E$2:$E$11000,"Mio")</f>
        <v>338500</v>
      </c>
      <c r="R1191" s="52">
        <f ca="1">SUMIFS(OUT!$F$2:$F$11000,OUT!$H$2:$H$11000,H1191,OUT!$D$2:$D$11000,"Out",OUT!$E$2:$E$11000,"Sedekah")</f>
        <v>2500</v>
      </c>
      <c r="S1191" s="52">
        <f ca="1">SUMIFS(OUT!$F$2:$F$11000,OUT!$H$2:$H$11000,H1191,OUT!$D$2:$D$11000,"Out",OUT!$E$2:$E$11000,"Zela")</f>
        <v>387476</v>
      </c>
      <c r="T1191" s="52">
        <f ca="1">SUMIFS(OUT!$F$2:$F$11000,OUT!$H$2:$H$11000,H1191,OUT!$D$2:$D$11000,"Out",OUT!$E$2:$E$11000,"Iqbal")</f>
        <v>231000</v>
      </c>
    </row>
    <row r="1192" spans="1:20" x14ac:dyDescent="0.2">
      <c r="A1192" s="48">
        <f ca="1">IFERROR(__xludf.DUMMYFUNCTION("""COMPUTED_VALUE"""),46234)</f>
        <v>46234</v>
      </c>
      <c r="B1192" s="4" t="str">
        <f ca="1">IFERROR(__xludf.DUMMYFUNCTION("""COMPUTED_VALUE"""),"tiktok")</f>
        <v>tiktok</v>
      </c>
      <c r="C1192" s="4" t="str">
        <f ca="1">IFERROR(__xludf.DUMMYFUNCTION("""COMPUTED_VALUE"""),"ATM")</f>
        <v>ATM</v>
      </c>
      <c r="D1192" s="4" t="str">
        <f ca="1">IFERROR(__xludf.DUMMYFUNCTION("""COMPUTED_VALUE"""),"In")</f>
        <v>In</v>
      </c>
      <c r="E1192" s="4" t="str">
        <f ca="1">IFERROR(__xludf.DUMMYFUNCTION("""COMPUTED_VALUE"""),"Fix")</f>
        <v>Fix</v>
      </c>
      <c r="F1192" s="49">
        <f ca="1">IFERROR(__xludf.DUMMYFUNCTION("""COMPUTED_VALUE"""),98590)</f>
        <v>98590</v>
      </c>
      <c r="G1192" s="50" t="str">
        <f ca="1">IFERROR(__xludf.DUMMYFUNCTION("""COMPUTED_VALUE"""),"Zela")</f>
        <v>Zela</v>
      </c>
      <c r="H1192" s="51">
        <f t="shared" ca="1" si="0"/>
        <v>46204</v>
      </c>
      <c r="I1192" s="52" t="e">
        <f ca="1">SUMIFS(OUT!$F$2:$F$11000,OUT!$H$2:$H$11000,H1192,OUT!$D$2:$D$101007,"In")</f>
        <v>#VALUE!</v>
      </c>
      <c r="J1192" s="52">
        <f ca="1">SUMIFS(OUT!$F$2:$F$11000,OUT!$H$2:$H$11000,H1192,OUT!$D$2:$D$11000,"Out")</f>
        <v>9905717</v>
      </c>
      <c r="K1192" s="52">
        <f ca="1">SUMIFS(OUT!$F$2:$F$11000,OUT!$H$2:$H$11000,H1192,OUT!$D$2:$D$11000,"Out",OUT!$E$2:$E$11000,"Fix")</f>
        <v>3048680</v>
      </c>
      <c r="L1192" s="52">
        <f ca="1">SUMIFS(OUT!$F$2:$F$11000,OUT!$H$2:$H$11000,H1192,OUT!$D$2:$D$11000,"Out",OUT!$E$2:$E$11000,"Bathroom")</f>
        <v>50720</v>
      </c>
      <c r="M1192" s="52">
        <f ca="1">SUMIFS(OUT!$F$2:$F$11000,OUT!$H$2:$H$11000,H1192,OUT!$D$2:$D$11000,"Out",OUT!$E$2:$E$11000,"Alfa")</f>
        <v>294200</v>
      </c>
      <c r="N1192" s="52" t="e">
        <f ca="1">SUMIFS(OUT!$F$2:$F$11000,OUT!$H$2:$H$101007,H1192,OUT!$D$2:$D$11000,"Out",OUT!$E$2:$E$11000,"Jajan")</f>
        <v>#VALUE!</v>
      </c>
      <c r="O1192" s="52">
        <f ca="1">SUMIFS(OUT!$F$2:$F$11000,OUT!$H$2:$H$11000,H1192,OUT!$D$2:$D$11000,"Out",OUT!$E$2:$E$11000,"Kitchen")</f>
        <v>1360773</v>
      </c>
      <c r="P1192" s="52">
        <f ca="1">SUMIFS(OUT!$F$2:$F$11000,OUT!$H$2:$H$11000,H1192,OUT!$D$2:$D$11000,"Out",OUT!$E$2:$E$11000,"Loandry")</f>
        <v>11000</v>
      </c>
      <c r="Q1192" s="52">
        <f ca="1">SUMIFS(OUT!$F$2:$F$11000,OUT!$H$2:$H$11000,H1192,OUT!$D$2:$D$11000,"Out",OUT!$E$2:$E$11000,"Mio")</f>
        <v>338500</v>
      </c>
      <c r="R1192" s="52">
        <f ca="1">SUMIFS(OUT!$F$2:$F$11000,OUT!$H$2:$H$11000,H1192,OUT!$D$2:$D$11000,"Out",OUT!$E$2:$E$11000,"Sedekah")</f>
        <v>2500</v>
      </c>
      <c r="S1192" s="52">
        <f ca="1">SUMIFS(OUT!$F$2:$F$11000,OUT!$H$2:$H$11000,H1192,OUT!$D$2:$D$11000,"Out",OUT!$E$2:$E$11000,"Zela")</f>
        <v>387476</v>
      </c>
      <c r="T1192" s="52">
        <f ca="1">SUMIFS(OUT!$F$2:$F$11000,OUT!$H$2:$H$11000,H1192,OUT!$D$2:$D$11000,"Out",OUT!$E$2:$E$11000,"Iqbal")</f>
        <v>231000</v>
      </c>
    </row>
    <row r="1193" spans="1:20" x14ac:dyDescent="0.2">
      <c r="A1193" s="48">
        <f ca="1">IFERROR(__xludf.DUMMYFUNCTION("""COMPUTED_VALUE"""),46234)</f>
        <v>46234</v>
      </c>
      <c r="B1193" s="4" t="str">
        <f ca="1">IFERROR(__xludf.DUMMYFUNCTION("""COMPUTED_VALUE"""),"suamiku")</f>
        <v>suamiku</v>
      </c>
      <c r="C1193" s="4" t="str">
        <f ca="1">IFERROR(__xludf.DUMMYFUNCTION("""COMPUTED_VALUE"""),"ATM")</f>
        <v>ATM</v>
      </c>
      <c r="D1193" s="4" t="str">
        <f ca="1">IFERROR(__xludf.DUMMYFUNCTION("""COMPUTED_VALUE"""),"Out")</f>
        <v>Out</v>
      </c>
      <c r="E1193" s="4" t="str">
        <f ca="1">IFERROR(__xludf.DUMMYFUNCTION("""COMPUTED_VALUE"""),"Move")</f>
        <v>Move</v>
      </c>
      <c r="F1193" s="49">
        <f ca="1">IFERROR(__xludf.DUMMYFUNCTION("""COMPUTED_VALUE"""),99329)</f>
        <v>99329</v>
      </c>
      <c r="G1193" s="50" t="str">
        <f ca="1">IFERROR(__xludf.DUMMYFUNCTION("""COMPUTED_VALUE"""),"Zela")</f>
        <v>Zela</v>
      </c>
      <c r="H1193" s="51">
        <f t="shared" ca="1" si="0"/>
        <v>46204</v>
      </c>
      <c r="I1193" s="52" t="e">
        <f ca="1">SUMIFS(OUT!$F$2:$F$11000,OUT!$H$2:$H$11000,H1193,OUT!$D$2:$D$101007,"In")</f>
        <v>#VALUE!</v>
      </c>
      <c r="J1193" s="52">
        <f ca="1">SUMIFS(OUT!$F$2:$F$11000,OUT!$H$2:$H$11000,H1193,OUT!$D$2:$D$11000,"Out")</f>
        <v>9905717</v>
      </c>
      <c r="K1193" s="52">
        <f ca="1">SUMIFS(OUT!$F$2:$F$11000,OUT!$H$2:$H$11000,H1193,OUT!$D$2:$D$11000,"Out",OUT!$E$2:$E$11000,"Fix")</f>
        <v>3048680</v>
      </c>
      <c r="L1193" s="52">
        <f ca="1">SUMIFS(OUT!$F$2:$F$11000,OUT!$H$2:$H$11000,H1193,OUT!$D$2:$D$11000,"Out",OUT!$E$2:$E$11000,"Bathroom")</f>
        <v>50720</v>
      </c>
      <c r="M1193" s="52">
        <f ca="1">SUMIFS(OUT!$F$2:$F$11000,OUT!$H$2:$H$11000,H1193,OUT!$D$2:$D$11000,"Out",OUT!$E$2:$E$11000,"Alfa")</f>
        <v>294200</v>
      </c>
      <c r="N1193" s="52" t="e">
        <f ca="1">SUMIFS(OUT!$F$2:$F$11000,OUT!$H$2:$H$101007,H1193,OUT!$D$2:$D$11000,"Out",OUT!$E$2:$E$11000,"Jajan")</f>
        <v>#VALUE!</v>
      </c>
      <c r="O1193" s="52">
        <f ca="1">SUMIFS(OUT!$F$2:$F$11000,OUT!$H$2:$H$11000,H1193,OUT!$D$2:$D$11000,"Out",OUT!$E$2:$E$11000,"Kitchen")</f>
        <v>1360773</v>
      </c>
      <c r="P1193" s="52">
        <f ca="1">SUMIFS(OUT!$F$2:$F$11000,OUT!$H$2:$H$11000,H1193,OUT!$D$2:$D$11000,"Out",OUT!$E$2:$E$11000,"Loandry")</f>
        <v>11000</v>
      </c>
      <c r="Q1193" s="52">
        <f ca="1">SUMIFS(OUT!$F$2:$F$11000,OUT!$H$2:$H$11000,H1193,OUT!$D$2:$D$11000,"Out",OUT!$E$2:$E$11000,"Mio")</f>
        <v>338500</v>
      </c>
      <c r="R1193" s="52">
        <f ca="1">SUMIFS(OUT!$F$2:$F$11000,OUT!$H$2:$H$11000,H1193,OUT!$D$2:$D$11000,"Out",OUT!$E$2:$E$11000,"Sedekah")</f>
        <v>2500</v>
      </c>
      <c r="S1193" s="52">
        <f ca="1">SUMIFS(OUT!$F$2:$F$11000,OUT!$H$2:$H$11000,H1193,OUT!$D$2:$D$11000,"Out",OUT!$E$2:$E$11000,"Zela")</f>
        <v>387476</v>
      </c>
      <c r="T1193" s="52">
        <f ca="1">SUMIFS(OUT!$F$2:$F$11000,OUT!$H$2:$H$11000,H1193,OUT!$D$2:$D$11000,"Out",OUT!$E$2:$E$11000,"Iqbal")</f>
        <v>231000</v>
      </c>
    </row>
    <row r="1194" spans="1:20" x14ac:dyDescent="0.2">
      <c r="A1194" s="48">
        <f ca="1">IFERROR(__xludf.DUMMYFUNCTION("""COMPUTED_VALUE"""),46234)</f>
        <v>46234</v>
      </c>
      <c r="B1194" s="4" t="str">
        <f ca="1">IFERROR(__xludf.DUMMYFUNCTION("""COMPUTED_VALUE"""),"suamiku")</f>
        <v>suamiku</v>
      </c>
      <c r="C1194" s="4" t="str">
        <f ca="1">IFERROR(__xludf.DUMMYFUNCTION("""COMPUTED_VALUE"""),"Cash")</f>
        <v>Cash</v>
      </c>
      <c r="D1194" s="4" t="str">
        <f ca="1">IFERROR(__xludf.DUMMYFUNCTION("""COMPUTED_VALUE"""),"In")</f>
        <v>In</v>
      </c>
      <c r="E1194" s="4" t="str">
        <f ca="1">IFERROR(__xludf.DUMMYFUNCTION("""COMPUTED_VALUE"""),"Fix")</f>
        <v>Fix</v>
      </c>
      <c r="F1194" s="49">
        <f ca="1">IFERROR(__xludf.DUMMYFUNCTION("""COMPUTED_VALUE"""),100000)</f>
        <v>100000</v>
      </c>
      <c r="G1194" s="50" t="str">
        <f ca="1">IFERROR(__xludf.DUMMYFUNCTION("""COMPUTED_VALUE"""),"Zela")</f>
        <v>Zela</v>
      </c>
      <c r="H1194" s="51">
        <f t="shared" ca="1" si="0"/>
        <v>46204</v>
      </c>
      <c r="I1194" s="52" t="e">
        <f ca="1">SUMIFS(OUT!$F$2:$F$11000,OUT!$H$2:$H$11000,H1194,OUT!$D$2:$D$101007,"In")</f>
        <v>#VALUE!</v>
      </c>
      <c r="J1194" s="52">
        <f ca="1">SUMIFS(OUT!$F$2:$F$11000,OUT!$H$2:$H$11000,H1194,OUT!$D$2:$D$11000,"Out")</f>
        <v>9905717</v>
      </c>
      <c r="K1194" s="52">
        <f ca="1">SUMIFS(OUT!$F$2:$F$11000,OUT!$H$2:$H$11000,H1194,OUT!$D$2:$D$11000,"Out",OUT!$E$2:$E$11000,"Fix")</f>
        <v>3048680</v>
      </c>
      <c r="L1194" s="52">
        <f ca="1">SUMIFS(OUT!$F$2:$F$11000,OUT!$H$2:$H$11000,H1194,OUT!$D$2:$D$11000,"Out",OUT!$E$2:$E$11000,"Bathroom")</f>
        <v>50720</v>
      </c>
      <c r="M1194" s="52">
        <f ca="1">SUMIFS(OUT!$F$2:$F$11000,OUT!$H$2:$H$11000,H1194,OUT!$D$2:$D$11000,"Out",OUT!$E$2:$E$11000,"Alfa")</f>
        <v>294200</v>
      </c>
      <c r="N1194" s="52" t="e">
        <f ca="1">SUMIFS(OUT!$F$2:$F$11000,OUT!$H$2:$H$101007,H1194,OUT!$D$2:$D$11000,"Out",OUT!$E$2:$E$11000,"Jajan")</f>
        <v>#VALUE!</v>
      </c>
      <c r="O1194" s="52">
        <f ca="1">SUMIFS(OUT!$F$2:$F$11000,OUT!$H$2:$H$11000,H1194,OUT!$D$2:$D$11000,"Out",OUT!$E$2:$E$11000,"Kitchen")</f>
        <v>1360773</v>
      </c>
      <c r="P1194" s="52">
        <f ca="1">SUMIFS(OUT!$F$2:$F$11000,OUT!$H$2:$H$11000,H1194,OUT!$D$2:$D$11000,"Out",OUT!$E$2:$E$11000,"Loandry")</f>
        <v>11000</v>
      </c>
      <c r="Q1194" s="52">
        <f ca="1">SUMIFS(OUT!$F$2:$F$11000,OUT!$H$2:$H$11000,H1194,OUT!$D$2:$D$11000,"Out",OUT!$E$2:$E$11000,"Mio")</f>
        <v>338500</v>
      </c>
      <c r="R1194" s="52">
        <f ca="1">SUMIFS(OUT!$F$2:$F$11000,OUT!$H$2:$H$11000,H1194,OUT!$D$2:$D$11000,"Out",OUT!$E$2:$E$11000,"Sedekah")</f>
        <v>2500</v>
      </c>
      <c r="S1194" s="52">
        <f ca="1">SUMIFS(OUT!$F$2:$F$11000,OUT!$H$2:$H$11000,H1194,OUT!$D$2:$D$11000,"Out",OUT!$E$2:$E$11000,"Zela")</f>
        <v>387476</v>
      </c>
      <c r="T1194" s="52">
        <f ca="1">SUMIFS(OUT!$F$2:$F$11000,OUT!$H$2:$H$11000,H1194,OUT!$D$2:$D$11000,"Out",OUT!$E$2:$E$11000,"Iqbal")</f>
        <v>231000</v>
      </c>
    </row>
    <row r="1195" spans="1:20" x14ac:dyDescent="0.2">
      <c r="A1195" s="48">
        <f ca="1">IFERROR(__xludf.DUMMYFUNCTION("""COMPUTED_VALUE"""),46234)</f>
        <v>46234</v>
      </c>
      <c r="B1195" s="4" t="str">
        <f ca="1">IFERROR(__xludf.DUMMYFUNCTION("""COMPUTED_VALUE"""),"pasar")</f>
        <v>pasar</v>
      </c>
      <c r="C1195" s="4" t="str">
        <f ca="1">IFERROR(__xludf.DUMMYFUNCTION("""COMPUTED_VALUE"""),"Cash")</f>
        <v>Cash</v>
      </c>
      <c r="D1195" s="4" t="str">
        <f ca="1">IFERROR(__xludf.DUMMYFUNCTION("""COMPUTED_VALUE"""),"Out")</f>
        <v>Out</v>
      </c>
      <c r="E1195" s="4" t="str">
        <f ca="1">IFERROR(__xludf.DUMMYFUNCTION("""COMPUTED_VALUE"""),"Kitchen")</f>
        <v>Kitchen</v>
      </c>
      <c r="F1195" s="49">
        <f ca="1">IFERROR(__xludf.DUMMYFUNCTION("""COMPUTED_VALUE"""),90000)</f>
        <v>90000</v>
      </c>
      <c r="G1195" s="50" t="str">
        <f ca="1">IFERROR(__xludf.DUMMYFUNCTION("""COMPUTED_VALUE"""),"Zela")</f>
        <v>Zela</v>
      </c>
      <c r="H1195" s="51">
        <f t="shared" ca="1" si="0"/>
        <v>46204</v>
      </c>
      <c r="I1195" s="52" t="e">
        <f ca="1">SUMIFS(OUT!$F$2:$F$11000,OUT!$H$2:$H$11000,H1195,OUT!$D$2:$D$101007,"In")</f>
        <v>#VALUE!</v>
      </c>
      <c r="J1195" s="52">
        <f ca="1">SUMIFS(OUT!$F$2:$F$11000,OUT!$H$2:$H$11000,H1195,OUT!$D$2:$D$11000,"Out")</f>
        <v>9905717</v>
      </c>
      <c r="K1195" s="52">
        <f ca="1">SUMIFS(OUT!$F$2:$F$11000,OUT!$H$2:$H$11000,H1195,OUT!$D$2:$D$11000,"Out",OUT!$E$2:$E$11000,"Fix")</f>
        <v>3048680</v>
      </c>
      <c r="L1195" s="52">
        <f ca="1">SUMIFS(OUT!$F$2:$F$11000,OUT!$H$2:$H$11000,H1195,OUT!$D$2:$D$11000,"Out",OUT!$E$2:$E$11000,"Bathroom")</f>
        <v>50720</v>
      </c>
      <c r="M1195" s="52">
        <f ca="1">SUMIFS(OUT!$F$2:$F$11000,OUT!$H$2:$H$11000,H1195,OUT!$D$2:$D$11000,"Out",OUT!$E$2:$E$11000,"Alfa")</f>
        <v>294200</v>
      </c>
      <c r="N1195" s="52" t="e">
        <f ca="1">SUMIFS(OUT!$F$2:$F$11000,OUT!$H$2:$H$101007,H1195,OUT!$D$2:$D$11000,"Out",OUT!$E$2:$E$11000,"Jajan")</f>
        <v>#VALUE!</v>
      </c>
      <c r="O1195" s="52">
        <f ca="1">SUMIFS(OUT!$F$2:$F$11000,OUT!$H$2:$H$11000,H1195,OUT!$D$2:$D$11000,"Out",OUT!$E$2:$E$11000,"Kitchen")</f>
        <v>1360773</v>
      </c>
      <c r="P1195" s="52">
        <f ca="1">SUMIFS(OUT!$F$2:$F$11000,OUT!$H$2:$H$11000,H1195,OUT!$D$2:$D$11000,"Out",OUT!$E$2:$E$11000,"Loandry")</f>
        <v>11000</v>
      </c>
      <c r="Q1195" s="52">
        <f ca="1">SUMIFS(OUT!$F$2:$F$11000,OUT!$H$2:$H$11000,H1195,OUT!$D$2:$D$11000,"Out",OUT!$E$2:$E$11000,"Mio")</f>
        <v>338500</v>
      </c>
      <c r="R1195" s="52">
        <f ca="1">SUMIFS(OUT!$F$2:$F$11000,OUT!$H$2:$H$11000,H1195,OUT!$D$2:$D$11000,"Out",OUT!$E$2:$E$11000,"Sedekah")</f>
        <v>2500</v>
      </c>
      <c r="S1195" s="52">
        <f ca="1">SUMIFS(OUT!$F$2:$F$11000,OUT!$H$2:$H$11000,H1195,OUT!$D$2:$D$11000,"Out",OUT!$E$2:$E$11000,"Zela")</f>
        <v>387476</v>
      </c>
      <c r="T1195" s="52">
        <f ca="1">SUMIFS(OUT!$F$2:$F$11000,OUT!$H$2:$H$11000,H1195,OUT!$D$2:$D$11000,"Out",OUT!$E$2:$E$11000,"Iqbal")</f>
        <v>231000</v>
      </c>
    </row>
    <row r="1196" spans="1:20" x14ac:dyDescent="0.2">
      <c r="A1196" s="48">
        <f ca="1">IFERROR(__xludf.DUMMYFUNCTION("""COMPUTED_VALUE"""),46234)</f>
        <v>46234</v>
      </c>
      <c r="B1196" s="4" t="str">
        <f ca="1">IFERROR(__xludf.DUMMYFUNCTION("""COMPUTED_VALUE"""),"mie rendang")</f>
        <v>mie rendang</v>
      </c>
      <c r="C1196" s="4" t="str">
        <f ca="1">IFERROR(__xludf.DUMMYFUNCTION("""COMPUTED_VALUE"""),"Cash")</f>
        <v>Cash</v>
      </c>
      <c r="D1196" s="4" t="str">
        <f ca="1">IFERROR(__xludf.DUMMYFUNCTION("""COMPUTED_VALUE"""),"Out")</f>
        <v>Out</v>
      </c>
      <c r="E1196" s="4" t="str">
        <f ca="1">IFERROR(__xludf.DUMMYFUNCTION("""COMPUTED_VALUE"""),"Kitchen")</f>
        <v>Kitchen</v>
      </c>
      <c r="F1196" s="49">
        <f ca="1">IFERROR(__xludf.DUMMYFUNCTION("""COMPUTED_VALUE"""),10000)</f>
        <v>10000</v>
      </c>
      <c r="G1196" s="50" t="str">
        <f ca="1">IFERROR(__xludf.DUMMYFUNCTION("""COMPUTED_VALUE"""),"Zela")</f>
        <v>Zela</v>
      </c>
      <c r="H1196" s="51">
        <f t="shared" ca="1" si="0"/>
        <v>46204</v>
      </c>
      <c r="I1196" s="52" t="e">
        <f ca="1">SUMIFS(OUT!$F$2:$F$11000,OUT!$H$2:$H$11000,H1196,OUT!$D$2:$D$101007,"In")</f>
        <v>#VALUE!</v>
      </c>
      <c r="J1196" s="52">
        <f ca="1">SUMIFS(OUT!$F$2:$F$11000,OUT!$H$2:$H$11000,H1196,OUT!$D$2:$D$11000,"Out")</f>
        <v>9905717</v>
      </c>
      <c r="K1196" s="52">
        <f ca="1">SUMIFS(OUT!$F$2:$F$11000,OUT!$H$2:$H$11000,H1196,OUT!$D$2:$D$11000,"Out",OUT!$E$2:$E$11000,"Fix")</f>
        <v>3048680</v>
      </c>
      <c r="L1196" s="52">
        <f ca="1">SUMIFS(OUT!$F$2:$F$11000,OUT!$H$2:$H$11000,H1196,OUT!$D$2:$D$11000,"Out",OUT!$E$2:$E$11000,"Bathroom")</f>
        <v>50720</v>
      </c>
      <c r="M1196" s="52">
        <f ca="1">SUMIFS(OUT!$F$2:$F$11000,OUT!$H$2:$H$11000,H1196,OUT!$D$2:$D$11000,"Out",OUT!$E$2:$E$11000,"Alfa")</f>
        <v>294200</v>
      </c>
      <c r="N1196" s="52" t="e">
        <f ca="1">SUMIFS(OUT!$F$2:$F$11000,OUT!$H$2:$H$101007,H1196,OUT!$D$2:$D$11000,"Out",OUT!$E$2:$E$11000,"Jajan")</f>
        <v>#VALUE!</v>
      </c>
      <c r="O1196" s="52">
        <f ca="1">SUMIFS(OUT!$F$2:$F$11000,OUT!$H$2:$H$11000,H1196,OUT!$D$2:$D$11000,"Out",OUT!$E$2:$E$11000,"Kitchen")</f>
        <v>1360773</v>
      </c>
      <c r="P1196" s="52">
        <f ca="1">SUMIFS(OUT!$F$2:$F$11000,OUT!$H$2:$H$11000,H1196,OUT!$D$2:$D$11000,"Out",OUT!$E$2:$E$11000,"Loandry")</f>
        <v>11000</v>
      </c>
      <c r="Q1196" s="52">
        <f ca="1">SUMIFS(OUT!$F$2:$F$11000,OUT!$H$2:$H$11000,H1196,OUT!$D$2:$D$11000,"Out",OUT!$E$2:$E$11000,"Mio")</f>
        <v>338500</v>
      </c>
      <c r="R1196" s="52">
        <f ca="1">SUMIFS(OUT!$F$2:$F$11000,OUT!$H$2:$H$11000,H1196,OUT!$D$2:$D$11000,"Out",OUT!$E$2:$E$11000,"Sedekah")</f>
        <v>2500</v>
      </c>
      <c r="S1196" s="52">
        <f ca="1">SUMIFS(OUT!$F$2:$F$11000,OUT!$H$2:$H$11000,H1196,OUT!$D$2:$D$11000,"Out",OUT!$E$2:$E$11000,"Zela")</f>
        <v>387476</v>
      </c>
      <c r="T1196" s="52">
        <f ca="1">SUMIFS(OUT!$F$2:$F$11000,OUT!$H$2:$H$11000,H1196,OUT!$D$2:$D$11000,"Out",OUT!$E$2:$E$11000,"Iqbal")</f>
        <v>231000</v>
      </c>
    </row>
    <row r="1197" spans="1:20" x14ac:dyDescent="0.2">
      <c r="A1197" s="48">
        <f ca="1">IFERROR(__xludf.DUMMYFUNCTION("""COMPUTED_VALUE"""),46234)</f>
        <v>46234</v>
      </c>
      <c r="B1197" s="4" t="str">
        <f ca="1">IFERROR(__xludf.DUMMYFUNCTION("""COMPUTED_VALUE"""),"???")</f>
        <v>???</v>
      </c>
      <c r="C1197" s="4" t="str">
        <f ca="1">IFERROR(__xludf.DUMMYFUNCTION("""COMPUTED_VALUE"""),"Cash")</f>
        <v>Cash</v>
      </c>
      <c r="D1197" s="4" t="str">
        <f ca="1">IFERROR(__xludf.DUMMYFUNCTION("""COMPUTED_VALUE"""),"Out")</f>
        <v>Out</v>
      </c>
      <c r="E1197" s="4" t="str">
        <f ca="1">IFERROR(__xludf.DUMMYFUNCTION("""COMPUTED_VALUE"""),"Jajan")</f>
        <v>Jajan</v>
      </c>
      <c r="F1197" s="49">
        <f ca="1">IFERROR(__xludf.DUMMYFUNCTION("""COMPUTED_VALUE"""),13800)</f>
        <v>13800</v>
      </c>
      <c r="G1197" s="50" t="str">
        <f ca="1">IFERROR(__xludf.DUMMYFUNCTION("""COMPUTED_VALUE"""),"Zela")</f>
        <v>Zela</v>
      </c>
      <c r="H1197" s="51">
        <f t="shared" ca="1" si="0"/>
        <v>46204</v>
      </c>
      <c r="I1197" s="52" t="e">
        <f ca="1">SUMIFS(OUT!$F$2:$F$11000,OUT!$H$2:$H$11000,H1197,OUT!$D$2:$D$101007,"In")</f>
        <v>#VALUE!</v>
      </c>
      <c r="J1197" s="52">
        <f ca="1">SUMIFS(OUT!$F$2:$F$11000,OUT!$H$2:$H$11000,H1197,OUT!$D$2:$D$11000,"Out")</f>
        <v>9905717</v>
      </c>
      <c r="K1197" s="52">
        <f ca="1">SUMIFS(OUT!$F$2:$F$11000,OUT!$H$2:$H$11000,H1197,OUT!$D$2:$D$11000,"Out",OUT!$E$2:$E$11000,"Fix")</f>
        <v>3048680</v>
      </c>
      <c r="L1197" s="52">
        <f ca="1">SUMIFS(OUT!$F$2:$F$11000,OUT!$H$2:$H$11000,H1197,OUT!$D$2:$D$11000,"Out",OUT!$E$2:$E$11000,"Bathroom")</f>
        <v>50720</v>
      </c>
      <c r="M1197" s="52">
        <f ca="1">SUMIFS(OUT!$F$2:$F$11000,OUT!$H$2:$H$11000,H1197,OUT!$D$2:$D$11000,"Out",OUT!$E$2:$E$11000,"Alfa")</f>
        <v>294200</v>
      </c>
      <c r="N1197" s="52" t="e">
        <f ca="1">SUMIFS(OUT!$F$2:$F$11000,OUT!$H$2:$H$101007,H1197,OUT!$D$2:$D$11000,"Out",OUT!$E$2:$E$11000,"Jajan")</f>
        <v>#VALUE!</v>
      </c>
      <c r="O1197" s="52">
        <f ca="1">SUMIFS(OUT!$F$2:$F$11000,OUT!$H$2:$H$11000,H1197,OUT!$D$2:$D$11000,"Out",OUT!$E$2:$E$11000,"Kitchen")</f>
        <v>1360773</v>
      </c>
      <c r="P1197" s="52">
        <f ca="1">SUMIFS(OUT!$F$2:$F$11000,OUT!$H$2:$H$11000,H1197,OUT!$D$2:$D$11000,"Out",OUT!$E$2:$E$11000,"Loandry")</f>
        <v>11000</v>
      </c>
      <c r="Q1197" s="52">
        <f ca="1">SUMIFS(OUT!$F$2:$F$11000,OUT!$H$2:$H$11000,H1197,OUT!$D$2:$D$11000,"Out",OUT!$E$2:$E$11000,"Mio")</f>
        <v>338500</v>
      </c>
      <c r="R1197" s="52">
        <f ca="1">SUMIFS(OUT!$F$2:$F$11000,OUT!$H$2:$H$11000,H1197,OUT!$D$2:$D$11000,"Out",OUT!$E$2:$E$11000,"Sedekah")</f>
        <v>2500</v>
      </c>
      <c r="S1197" s="52">
        <f ca="1">SUMIFS(OUT!$F$2:$F$11000,OUT!$H$2:$H$11000,H1197,OUT!$D$2:$D$11000,"Out",OUT!$E$2:$E$11000,"Zela")</f>
        <v>387476</v>
      </c>
      <c r="T1197" s="52">
        <f ca="1">SUMIFS(OUT!$F$2:$F$11000,OUT!$H$2:$H$11000,H1197,OUT!$D$2:$D$11000,"Out",OUT!$E$2:$E$11000,"Iqbal")</f>
        <v>231000</v>
      </c>
    </row>
    <row r="1198" spans="1:20" x14ac:dyDescent="0.2">
      <c r="A1198" s="48">
        <f ca="1">IFERROR(__xludf.DUMMYFUNCTION("""COMPUTED_VALUE"""),46234)</f>
        <v>46234</v>
      </c>
      <c r="B1198" s="4" t="str">
        <f ca="1">IFERROR(__xludf.DUMMYFUNCTION("""COMPUTED_VALUE"""),"sabun cuci baju")</f>
        <v>sabun cuci baju</v>
      </c>
      <c r="C1198" s="4" t="str">
        <f ca="1">IFERROR(__xludf.DUMMYFUNCTION("""COMPUTED_VALUE"""),"Cash")</f>
        <v>Cash</v>
      </c>
      <c r="D1198" s="4" t="str">
        <f ca="1">IFERROR(__xludf.DUMMYFUNCTION("""COMPUTED_VALUE"""),"Out")</f>
        <v>Out</v>
      </c>
      <c r="E1198" s="4" t="str">
        <f ca="1">IFERROR(__xludf.DUMMYFUNCTION("""COMPUTED_VALUE"""),"Loandry")</f>
        <v>Loandry</v>
      </c>
      <c r="F1198" s="49">
        <f ca="1">IFERROR(__xludf.DUMMYFUNCTION("""COMPUTED_VALUE"""),11000)</f>
        <v>11000</v>
      </c>
      <c r="G1198" s="50" t="str">
        <f ca="1">IFERROR(__xludf.DUMMYFUNCTION("""COMPUTED_VALUE"""),"Zela")</f>
        <v>Zela</v>
      </c>
      <c r="H1198" s="51">
        <f t="shared" ca="1" si="0"/>
        <v>46204</v>
      </c>
      <c r="I1198" s="52" t="e">
        <f ca="1">SUMIFS(OUT!$F$2:$F$11000,OUT!$H$2:$H$11000,H1198,OUT!$D$2:$D$101007,"In")</f>
        <v>#VALUE!</v>
      </c>
      <c r="J1198" s="52">
        <f ca="1">SUMIFS(OUT!$F$2:$F$11000,OUT!$H$2:$H$11000,H1198,OUT!$D$2:$D$11000,"Out")</f>
        <v>9905717</v>
      </c>
      <c r="K1198" s="52">
        <f ca="1">SUMIFS(OUT!$F$2:$F$11000,OUT!$H$2:$H$11000,H1198,OUT!$D$2:$D$11000,"Out",OUT!$E$2:$E$11000,"Fix")</f>
        <v>3048680</v>
      </c>
      <c r="L1198" s="52">
        <f ca="1">SUMIFS(OUT!$F$2:$F$11000,OUT!$H$2:$H$11000,H1198,OUT!$D$2:$D$11000,"Out",OUT!$E$2:$E$11000,"Bathroom")</f>
        <v>50720</v>
      </c>
      <c r="M1198" s="52">
        <f ca="1">SUMIFS(OUT!$F$2:$F$11000,OUT!$H$2:$H$11000,H1198,OUT!$D$2:$D$11000,"Out",OUT!$E$2:$E$11000,"Alfa")</f>
        <v>294200</v>
      </c>
      <c r="N1198" s="52" t="e">
        <f ca="1">SUMIFS(OUT!$F$2:$F$11000,OUT!$H$2:$H$101007,H1198,OUT!$D$2:$D$11000,"Out",OUT!$E$2:$E$11000,"Jajan")</f>
        <v>#VALUE!</v>
      </c>
      <c r="O1198" s="52">
        <f ca="1">SUMIFS(OUT!$F$2:$F$11000,OUT!$H$2:$H$11000,H1198,OUT!$D$2:$D$11000,"Out",OUT!$E$2:$E$11000,"Kitchen")</f>
        <v>1360773</v>
      </c>
      <c r="P1198" s="52">
        <f ca="1">SUMIFS(OUT!$F$2:$F$11000,OUT!$H$2:$H$11000,H1198,OUT!$D$2:$D$11000,"Out",OUT!$E$2:$E$11000,"Loandry")</f>
        <v>11000</v>
      </c>
      <c r="Q1198" s="52">
        <f ca="1">SUMIFS(OUT!$F$2:$F$11000,OUT!$H$2:$H$11000,H1198,OUT!$D$2:$D$11000,"Out",OUT!$E$2:$E$11000,"Mio")</f>
        <v>338500</v>
      </c>
      <c r="R1198" s="52">
        <f ca="1">SUMIFS(OUT!$F$2:$F$11000,OUT!$H$2:$H$11000,H1198,OUT!$D$2:$D$11000,"Out",OUT!$E$2:$E$11000,"Sedekah")</f>
        <v>2500</v>
      </c>
      <c r="S1198" s="52">
        <f ca="1">SUMIFS(OUT!$F$2:$F$11000,OUT!$H$2:$H$11000,H1198,OUT!$D$2:$D$11000,"Out",OUT!$E$2:$E$11000,"Zela")</f>
        <v>387476</v>
      </c>
      <c r="T1198" s="52">
        <f ca="1">SUMIFS(OUT!$F$2:$F$11000,OUT!$H$2:$H$11000,H1198,OUT!$D$2:$D$11000,"Out",OUT!$E$2:$E$11000,"Iqbal")</f>
        <v>231000</v>
      </c>
    </row>
    <row r="1199" spans="1:20" x14ac:dyDescent="0.2">
      <c r="A1199" s="48">
        <f ca="1">IFERROR(__xludf.DUMMYFUNCTION("""COMPUTED_VALUE"""),46235)</f>
        <v>46235</v>
      </c>
      <c r="B1199" s="4" t="str">
        <f ca="1">IFERROR(__xludf.DUMMYFUNCTION("""COMPUTED_VALUE"""),"galon")</f>
        <v>galon</v>
      </c>
      <c r="C1199" s="4" t="str">
        <f ca="1">IFERROR(__xludf.DUMMYFUNCTION("""COMPUTED_VALUE"""),"Cash")</f>
        <v>Cash</v>
      </c>
      <c r="D1199" s="4" t="str">
        <f ca="1">IFERROR(__xludf.DUMMYFUNCTION("""COMPUTED_VALUE"""),"Out")</f>
        <v>Out</v>
      </c>
      <c r="E1199" s="4" t="str">
        <f ca="1">IFERROR(__xludf.DUMMYFUNCTION("""COMPUTED_VALUE"""),"Kitchen")</f>
        <v>Kitchen</v>
      </c>
      <c r="F1199" s="49">
        <f ca="1">IFERROR(__xludf.DUMMYFUNCTION("""COMPUTED_VALUE"""),3000)</f>
        <v>3000</v>
      </c>
      <c r="G1199" s="50" t="str">
        <f ca="1">IFERROR(__xludf.DUMMYFUNCTION("""COMPUTED_VALUE"""),"Zela")</f>
        <v>Zela</v>
      </c>
      <c r="H1199" s="51">
        <f t="shared" ca="1" si="0"/>
        <v>46235</v>
      </c>
      <c r="I1199" s="52" t="e">
        <f ca="1">SUMIFS(OUT!$F$2:$F$11000,OUT!$H$2:$H$11000,H1199,OUT!$D$2:$D$101007,"In")</f>
        <v>#VALUE!</v>
      </c>
      <c r="J1199" s="52">
        <f ca="1">SUMIFS(OUT!$F$2:$F$11000,OUT!$H$2:$H$11000,H1199,OUT!$D$2:$D$11000,"Out")</f>
        <v>9573570</v>
      </c>
      <c r="K1199" s="52">
        <f ca="1">SUMIFS(OUT!$F$2:$F$11000,OUT!$H$2:$H$11000,H1199,OUT!$D$2:$D$11000,"Out",OUT!$E$2:$E$11000,"Fix")</f>
        <v>2533689</v>
      </c>
      <c r="L1199" s="52">
        <f ca="1">SUMIFS(OUT!$F$2:$F$11000,OUT!$H$2:$H$11000,H1199,OUT!$D$2:$D$11000,"Out",OUT!$E$2:$E$11000,"Bathroom")</f>
        <v>14491</v>
      </c>
      <c r="M1199" s="52">
        <f ca="1">SUMIFS(OUT!$F$2:$F$11000,OUT!$H$2:$H$11000,H1199,OUT!$D$2:$D$11000,"Out",OUT!$E$2:$E$11000,"Alfa")</f>
        <v>452769</v>
      </c>
      <c r="N1199" s="52" t="e">
        <f ca="1">SUMIFS(OUT!$F$2:$F$11000,OUT!$H$2:$H$101007,H1199,OUT!$D$2:$D$11000,"Out",OUT!$E$2:$E$11000,"Jajan")</f>
        <v>#VALUE!</v>
      </c>
      <c r="O1199" s="52">
        <f ca="1">SUMIFS(OUT!$F$2:$F$11000,OUT!$H$2:$H$11000,H1199,OUT!$D$2:$D$11000,"Out",OUT!$E$2:$E$11000,"Kitchen")</f>
        <v>1584204</v>
      </c>
      <c r="P1199" s="52">
        <f ca="1">SUMIFS(OUT!$F$2:$F$11000,OUT!$H$2:$H$11000,H1199,OUT!$D$2:$D$11000,"Out",OUT!$E$2:$E$11000,"Loandry")</f>
        <v>43448</v>
      </c>
      <c r="Q1199" s="52">
        <f ca="1">SUMIFS(OUT!$F$2:$F$11000,OUT!$H$2:$H$11000,H1199,OUT!$D$2:$D$11000,"Out",OUT!$E$2:$E$11000,"Mio")</f>
        <v>329000</v>
      </c>
      <c r="R1199" s="52">
        <f ca="1">SUMIFS(OUT!$F$2:$F$11000,OUT!$H$2:$H$11000,H1199,OUT!$D$2:$D$11000,"Out",OUT!$E$2:$E$11000,"Sedekah")</f>
        <v>5000</v>
      </c>
      <c r="S1199" s="52">
        <f ca="1">SUMIFS(OUT!$F$2:$F$11000,OUT!$H$2:$H$11000,H1199,OUT!$D$2:$D$11000,"Out",OUT!$E$2:$E$11000,"Zela")</f>
        <v>40500</v>
      </c>
      <c r="T1199" s="52">
        <f ca="1">SUMIFS(OUT!$F$2:$F$11000,OUT!$H$2:$H$11000,H1199,OUT!$D$2:$D$11000,"Out",OUT!$E$2:$E$11000,"Iqbal")</f>
        <v>295000</v>
      </c>
    </row>
    <row r="1200" spans="1:20" x14ac:dyDescent="0.2">
      <c r="A1200" s="48">
        <f ca="1">IFERROR(__xludf.DUMMYFUNCTION("""COMPUTED_VALUE"""),46235)</f>
        <v>46235</v>
      </c>
      <c r="B1200" s="4" t="str">
        <f ca="1">IFERROR(__xludf.DUMMYFUNCTION("""COMPUTED_VALUE"""),"kue kue")</f>
        <v>kue kue</v>
      </c>
      <c r="C1200" s="4" t="str">
        <f ca="1">IFERROR(__xludf.DUMMYFUNCTION("""COMPUTED_VALUE"""),"Cash")</f>
        <v>Cash</v>
      </c>
      <c r="D1200" s="4" t="str">
        <f ca="1">IFERROR(__xludf.DUMMYFUNCTION("""COMPUTED_VALUE"""),"Out")</f>
        <v>Out</v>
      </c>
      <c r="E1200" s="4" t="str">
        <f ca="1">IFERROR(__xludf.DUMMYFUNCTION("""COMPUTED_VALUE"""),"Jajan")</f>
        <v>Jajan</v>
      </c>
      <c r="F1200" s="49">
        <f ca="1">IFERROR(__xludf.DUMMYFUNCTION("""COMPUTED_VALUE"""),16000)</f>
        <v>16000</v>
      </c>
      <c r="G1200" s="50" t="str">
        <f ca="1">IFERROR(__xludf.DUMMYFUNCTION("""COMPUTED_VALUE"""),"Zela")</f>
        <v>Zela</v>
      </c>
      <c r="H1200" s="51">
        <f t="shared" ca="1" si="0"/>
        <v>46235</v>
      </c>
      <c r="I1200" s="52" t="e">
        <f ca="1">SUMIFS(OUT!$F$2:$F$11000,OUT!$H$2:$H$11000,H1200,OUT!$D$2:$D$101007,"In")</f>
        <v>#VALUE!</v>
      </c>
      <c r="J1200" s="52">
        <f ca="1">SUMIFS(OUT!$F$2:$F$11000,OUT!$H$2:$H$11000,H1200,OUT!$D$2:$D$11000,"Out")</f>
        <v>9573570</v>
      </c>
      <c r="K1200" s="52">
        <f ca="1">SUMIFS(OUT!$F$2:$F$11000,OUT!$H$2:$H$11000,H1200,OUT!$D$2:$D$11000,"Out",OUT!$E$2:$E$11000,"Fix")</f>
        <v>2533689</v>
      </c>
      <c r="L1200" s="52">
        <f ca="1">SUMIFS(OUT!$F$2:$F$11000,OUT!$H$2:$H$11000,H1200,OUT!$D$2:$D$11000,"Out",OUT!$E$2:$E$11000,"Bathroom")</f>
        <v>14491</v>
      </c>
      <c r="M1200" s="52">
        <f ca="1">SUMIFS(OUT!$F$2:$F$11000,OUT!$H$2:$H$11000,H1200,OUT!$D$2:$D$11000,"Out",OUT!$E$2:$E$11000,"Alfa")</f>
        <v>452769</v>
      </c>
      <c r="N1200" s="52" t="e">
        <f ca="1">SUMIFS(OUT!$F$2:$F$11000,OUT!$H$2:$H$101007,H1200,OUT!$D$2:$D$11000,"Out",OUT!$E$2:$E$11000,"Jajan")</f>
        <v>#VALUE!</v>
      </c>
      <c r="O1200" s="52">
        <f ca="1">SUMIFS(OUT!$F$2:$F$11000,OUT!$H$2:$H$11000,H1200,OUT!$D$2:$D$11000,"Out",OUT!$E$2:$E$11000,"Kitchen")</f>
        <v>1584204</v>
      </c>
      <c r="P1200" s="52">
        <f ca="1">SUMIFS(OUT!$F$2:$F$11000,OUT!$H$2:$H$11000,H1200,OUT!$D$2:$D$11000,"Out",OUT!$E$2:$E$11000,"Loandry")</f>
        <v>43448</v>
      </c>
      <c r="Q1200" s="52">
        <f ca="1">SUMIFS(OUT!$F$2:$F$11000,OUT!$H$2:$H$11000,H1200,OUT!$D$2:$D$11000,"Out",OUT!$E$2:$E$11000,"Mio")</f>
        <v>329000</v>
      </c>
      <c r="R1200" s="52">
        <f ca="1">SUMIFS(OUT!$F$2:$F$11000,OUT!$H$2:$H$11000,H1200,OUT!$D$2:$D$11000,"Out",OUT!$E$2:$E$11000,"Sedekah")</f>
        <v>5000</v>
      </c>
      <c r="S1200" s="52">
        <f ca="1">SUMIFS(OUT!$F$2:$F$11000,OUT!$H$2:$H$11000,H1200,OUT!$D$2:$D$11000,"Out",OUT!$E$2:$E$11000,"Zela")</f>
        <v>40500</v>
      </c>
      <c r="T1200" s="52">
        <f ca="1">SUMIFS(OUT!$F$2:$F$11000,OUT!$H$2:$H$11000,H1200,OUT!$D$2:$D$11000,"Out",OUT!$E$2:$E$11000,"Iqbal")</f>
        <v>295000</v>
      </c>
    </row>
    <row r="1201" spans="1:20" x14ac:dyDescent="0.2">
      <c r="A1201" s="48">
        <f ca="1">IFERROR(__xludf.DUMMYFUNCTION("""COMPUTED_VALUE"""),46239)</f>
        <v>46239</v>
      </c>
      <c r="B1201" s="4" t="str">
        <f ca="1">IFERROR(__xludf.DUMMYFUNCTION("""COMPUTED_VALUE"""),"Suamiku")</f>
        <v>Suamiku</v>
      </c>
      <c r="C1201" s="4" t="str">
        <f ca="1">IFERROR(__xludf.DUMMYFUNCTION("""COMPUTED_VALUE"""),"ATM")</f>
        <v>ATM</v>
      </c>
      <c r="D1201" s="4" t="str">
        <f ca="1">IFERROR(__xludf.DUMMYFUNCTION("""COMPUTED_VALUE"""),"In")</f>
        <v>In</v>
      </c>
      <c r="E1201" s="4" t="str">
        <f ca="1">IFERROR(__xludf.DUMMYFUNCTION("""COMPUTED_VALUE"""),"Fix")</f>
        <v>Fix</v>
      </c>
      <c r="F1201" s="49">
        <f ca="1">IFERROR(__xludf.DUMMYFUNCTION("""COMPUTED_VALUE"""),1585102)</f>
        <v>1585102</v>
      </c>
      <c r="G1201" s="50" t="str">
        <f ca="1">IFERROR(__xludf.DUMMYFUNCTION("""COMPUTED_VALUE"""),"Zela")</f>
        <v>Zela</v>
      </c>
      <c r="H1201" s="51">
        <f t="shared" ca="1" si="0"/>
        <v>46235</v>
      </c>
      <c r="I1201" s="52" t="e">
        <f ca="1">SUMIFS(OUT!$F$2:$F$11000,OUT!$H$2:$H$11000,H1201,OUT!$D$2:$D$101007,"In")</f>
        <v>#VALUE!</v>
      </c>
      <c r="J1201" s="52">
        <f ca="1">SUMIFS(OUT!$F$2:$F$11000,OUT!$H$2:$H$11000,H1201,OUT!$D$2:$D$11000,"Out")</f>
        <v>9573570</v>
      </c>
      <c r="K1201" s="52">
        <f ca="1">SUMIFS(OUT!$F$2:$F$11000,OUT!$H$2:$H$11000,H1201,OUT!$D$2:$D$11000,"Out",OUT!$E$2:$E$11000,"Fix")</f>
        <v>2533689</v>
      </c>
      <c r="L1201" s="52">
        <f ca="1">SUMIFS(OUT!$F$2:$F$11000,OUT!$H$2:$H$11000,H1201,OUT!$D$2:$D$11000,"Out",OUT!$E$2:$E$11000,"Bathroom")</f>
        <v>14491</v>
      </c>
      <c r="M1201" s="52">
        <f ca="1">SUMIFS(OUT!$F$2:$F$11000,OUT!$H$2:$H$11000,H1201,OUT!$D$2:$D$11000,"Out",OUT!$E$2:$E$11000,"Alfa")</f>
        <v>452769</v>
      </c>
      <c r="N1201" s="52" t="e">
        <f ca="1">SUMIFS(OUT!$F$2:$F$11000,OUT!$H$2:$H$101007,H1201,OUT!$D$2:$D$11000,"Out",OUT!$E$2:$E$11000,"Jajan")</f>
        <v>#VALUE!</v>
      </c>
      <c r="O1201" s="52">
        <f ca="1">SUMIFS(OUT!$F$2:$F$11000,OUT!$H$2:$H$11000,H1201,OUT!$D$2:$D$11000,"Out",OUT!$E$2:$E$11000,"Kitchen")</f>
        <v>1584204</v>
      </c>
      <c r="P1201" s="52">
        <f ca="1">SUMIFS(OUT!$F$2:$F$11000,OUT!$H$2:$H$11000,H1201,OUT!$D$2:$D$11000,"Out",OUT!$E$2:$E$11000,"Loandry")</f>
        <v>43448</v>
      </c>
      <c r="Q1201" s="52">
        <f ca="1">SUMIFS(OUT!$F$2:$F$11000,OUT!$H$2:$H$11000,H1201,OUT!$D$2:$D$11000,"Out",OUT!$E$2:$E$11000,"Mio")</f>
        <v>329000</v>
      </c>
      <c r="R1201" s="52">
        <f ca="1">SUMIFS(OUT!$F$2:$F$11000,OUT!$H$2:$H$11000,H1201,OUT!$D$2:$D$11000,"Out",OUT!$E$2:$E$11000,"Sedekah")</f>
        <v>5000</v>
      </c>
      <c r="S1201" s="52">
        <f ca="1">SUMIFS(OUT!$F$2:$F$11000,OUT!$H$2:$H$11000,H1201,OUT!$D$2:$D$11000,"Out",OUT!$E$2:$E$11000,"Zela")</f>
        <v>40500</v>
      </c>
      <c r="T1201" s="52">
        <f ca="1">SUMIFS(OUT!$F$2:$F$11000,OUT!$H$2:$H$11000,H1201,OUT!$D$2:$D$11000,"Out",OUT!$E$2:$E$11000,"Iqbal")</f>
        <v>295000</v>
      </c>
    </row>
    <row r="1202" spans="1:20" x14ac:dyDescent="0.2">
      <c r="A1202" s="48">
        <f ca="1">IFERROR(__xludf.DUMMYFUNCTION("""COMPUTED_VALUE"""),46239)</f>
        <v>46239</v>
      </c>
      <c r="B1202" s="4" t="str">
        <f ca="1">IFERROR(__xludf.DUMMYFUNCTION("""COMPUTED_VALUE"""),"Tarik tunai ")</f>
        <v xml:space="preserve">Tarik tunai </v>
      </c>
      <c r="C1202" s="4" t="str">
        <f ca="1">IFERROR(__xludf.DUMMYFUNCTION("""COMPUTED_VALUE"""),"ATM")</f>
        <v>ATM</v>
      </c>
      <c r="D1202" s="4" t="str">
        <f ca="1">IFERROR(__xludf.DUMMYFUNCTION("""COMPUTED_VALUE"""),"Out")</f>
        <v>Out</v>
      </c>
      <c r="E1202" s="4" t="str">
        <f ca="1">IFERROR(__xludf.DUMMYFUNCTION("""COMPUTED_VALUE"""),"Move")</f>
        <v>Move</v>
      </c>
      <c r="F1202" s="49">
        <f ca="1">IFERROR(__xludf.DUMMYFUNCTION("""COMPUTED_VALUE"""),100000)</f>
        <v>100000</v>
      </c>
      <c r="G1202" s="50" t="str">
        <f ca="1">IFERROR(__xludf.DUMMYFUNCTION("""COMPUTED_VALUE"""),"Zela")</f>
        <v>Zela</v>
      </c>
      <c r="H1202" s="51">
        <f t="shared" ca="1" si="0"/>
        <v>46235</v>
      </c>
      <c r="I1202" s="52" t="e">
        <f ca="1">SUMIFS(OUT!$F$2:$F$11000,OUT!$H$2:$H$11000,H1202,OUT!$D$2:$D$101007,"In")</f>
        <v>#VALUE!</v>
      </c>
      <c r="J1202" s="52">
        <f ca="1">SUMIFS(OUT!$F$2:$F$11000,OUT!$H$2:$H$11000,H1202,OUT!$D$2:$D$11000,"Out")</f>
        <v>9573570</v>
      </c>
      <c r="K1202" s="52">
        <f ca="1">SUMIFS(OUT!$F$2:$F$11000,OUT!$H$2:$H$11000,H1202,OUT!$D$2:$D$11000,"Out",OUT!$E$2:$E$11000,"Fix")</f>
        <v>2533689</v>
      </c>
      <c r="L1202" s="52">
        <f ca="1">SUMIFS(OUT!$F$2:$F$11000,OUT!$H$2:$H$11000,H1202,OUT!$D$2:$D$11000,"Out",OUT!$E$2:$E$11000,"Bathroom")</f>
        <v>14491</v>
      </c>
      <c r="M1202" s="52">
        <f ca="1">SUMIFS(OUT!$F$2:$F$11000,OUT!$H$2:$H$11000,H1202,OUT!$D$2:$D$11000,"Out",OUT!$E$2:$E$11000,"Alfa")</f>
        <v>452769</v>
      </c>
      <c r="N1202" s="52" t="e">
        <f ca="1">SUMIFS(OUT!$F$2:$F$11000,OUT!$H$2:$H$101007,H1202,OUT!$D$2:$D$11000,"Out",OUT!$E$2:$E$11000,"Jajan")</f>
        <v>#VALUE!</v>
      </c>
      <c r="O1202" s="52">
        <f ca="1">SUMIFS(OUT!$F$2:$F$11000,OUT!$H$2:$H$11000,H1202,OUT!$D$2:$D$11000,"Out",OUT!$E$2:$E$11000,"Kitchen")</f>
        <v>1584204</v>
      </c>
      <c r="P1202" s="52">
        <f ca="1">SUMIFS(OUT!$F$2:$F$11000,OUT!$H$2:$H$11000,H1202,OUT!$D$2:$D$11000,"Out",OUT!$E$2:$E$11000,"Loandry")</f>
        <v>43448</v>
      </c>
      <c r="Q1202" s="52">
        <f ca="1">SUMIFS(OUT!$F$2:$F$11000,OUT!$H$2:$H$11000,H1202,OUT!$D$2:$D$11000,"Out",OUT!$E$2:$E$11000,"Mio")</f>
        <v>329000</v>
      </c>
      <c r="R1202" s="52">
        <f ca="1">SUMIFS(OUT!$F$2:$F$11000,OUT!$H$2:$H$11000,H1202,OUT!$D$2:$D$11000,"Out",OUT!$E$2:$E$11000,"Sedekah")</f>
        <v>5000</v>
      </c>
      <c r="S1202" s="52">
        <f ca="1">SUMIFS(OUT!$F$2:$F$11000,OUT!$H$2:$H$11000,H1202,OUT!$D$2:$D$11000,"Out",OUT!$E$2:$E$11000,"Zela")</f>
        <v>40500</v>
      </c>
      <c r="T1202" s="52">
        <f ca="1">SUMIFS(OUT!$F$2:$F$11000,OUT!$H$2:$H$11000,H1202,OUT!$D$2:$D$11000,"Out",OUT!$E$2:$E$11000,"Iqbal")</f>
        <v>295000</v>
      </c>
    </row>
    <row r="1203" spans="1:20" x14ac:dyDescent="0.2">
      <c r="A1203" s="48">
        <f ca="1">IFERROR(__xludf.DUMMYFUNCTION("""COMPUTED_VALUE"""),46239)</f>
        <v>46239</v>
      </c>
      <c r="B1203" s="4" t="str">
        <f ca="1">IFERROR(__xludf.DUMMYFUNCTION("""COMPUTED_VALUE"""),"Terima tunai ")</f>
        <v xml:space="preserve">Terima tunai </v>
      </c>
      <c r="C1203" s="4" t="str">
        <f ca="1">IFERROR(__xludf.DUMMYFUNCTION("""COMPUTED_VALUE"""),"Cash")</f>
        <v>Cash</v>
      </c>
      <c r="D1203" s="4" t="str">
        <f ca="1">IFERROR(__xludf.DUMMYFUNCTION("""COMPUTED_VALUE"""),"In")</f>
        <v>In</v>
      </c>
      <c r="E1203" s="4" t="str">
        <f ca="1">IFERROR(__xludf.DUMMYFUNCTION("""COMPUTED_VALUE"""),"Move")</f>
        <v>Move</v>
      </c>
      <c r="F1203" s="49">
        <f ca="1">IFERROR(__xludf.DUMMYFUNCTION("""COMPUTED_VALUE"""),100000)</f>
        <v>100000</v>
      </c>
      <c r="G1203" s="50" t="str">
        <f ca="1">IFERROR(__xludf.DUMMYFUNCTION("""COMPUTED_VALUE"""),"Zela")</f>
        <v>Zela</v>
      </c>
      <c r="H1203" s="51">
        <f t="shared" ca="1" si="0"/>
        <v>46235</v>
      </c>
      <c r="I1203" s="52" t="e">
        <f ca="1">SUMIFS(OUT!$F$2:$F$11000,OUT!$H$2:$H$11000,H1203,OUT!$D$2:$D$101007,"In")</f>
        <v>#VALUE!</v>
      </c>
      <c r="J1203" s="52">
        <f ca="1">SUMIFS(OUT!$F$2:$F$11000,OUT!$H$2:$H$11000,H1203,OUT!$D$2:$D$11000,"Out")</f>
        <v>9573570</v>
      </c>
      <c r="K1203" s="52">
        <f ca="1">SUMIFS(OUT!$F$2:$F$11000,OUT!$H$2:$H$11000,H1203,OUT!$D$2:$D$11000,"Out",OUT!$E$2:$E$11000,"Fix")</f>
        <v>2533689</v>
      </c>
      <c r="L1203" s="52">
        <f ca="1">SUMIFS(OUT!$F$2:$F$11000,OUT!$H$2:$H$11000,H1203,OUT!$D$2:$D$11000,"Out",OUT!$E$2:$E$11000,"Bathroom")</f>
        <v>14491</v>
      </c>
      <c r="M1203" s="52">
        <f ca="1">SUMIFS(OUT!$F$2:$F$11000,OUT!$H$2:$H$11000,H1203,OUT!$D$2:$D$11000,"Out",OUT!$E$2:$E$11000,"Alfa")</f>
        <v>452769</v>
      </c>
      <c r="N1203" s="52" t="e">
        <f ca="1">SUMIFS(OUT!$F$2:$F$11000,OUT!$H$2:$H$101007,H1203,OUT!$D$2:$D$11000,"Out",OUT!$E$2:$E$11000,"Jajan")</f>
        <v>#VALUE!</v>
      </c>
      <c r="O1203" s="52">
        <f ca="1">SUMIFS(OUT!$F$2:$F$11000,OUT!$H$2:$H$11000,H1203,OUT!$D$2:$D$11000,"Out",OUT!$E$2:$E$11000,"Kitchen")</f>
        <v>1584204</v>
      </c>
      <c r="P1203" s="52">
        <f ca="1">SUMIFS(OUT!$F$2:$F$11000,OUT!$H$2:$H$11000,H1203,OUT!$D$2:$D$11000,"Out",OUT!$E$2:$E$11000,"Loandry")</f>
        <v>43448</v>
      </c>
      <c r="Q1203" s="52">
        <f ca="1">SUMIFS(OUT!$F$2:$F$11000,OUT!$H$2:$H$11000,H1203,OUT!$D$2:$D$11000,"Out",OUT!$E$2:$E$11000,"Mio")</f>
        <v>329000</v>
      </c>
      <c r="R1203" s="52">
        <f ca="1">SUMIFS(OUT!$F$2:$F$11000,OUT!$H$2:$H$11000,H1203,OUT!$D$2:$D$11000,"Out",OUT!$E$2:$E$11000,"Sedekah")</f>
        <v>5000</v>
      </c>
      <c r="S1203" s="52">
        <f ca="1">SUMIFS(OUT!$F$2:$F$11000,OUT!$H$2:$H$11000,H1203,OUT!$D$2:$D$11000,"Out",OUT!$E$2:$E$11000,"Zela")</f>
        <v>40500</v>
      </c>
      <c r="T1203" s="52">
        <f ca="1">SUMIFS(OUT!$F$2:$F$11000,OUT!$H$2:$H$11000,H1203,OUT!$D$2:$D$11000,"Out",OUT!$E$2:$E$11000,"Iqbal")</f>
        <v>295000</v>
      </c>
    </row>
    <row r="1204" spans="1:20" x14ac:dyDescent="0.2">
      <c r="A1204" s="48">
        <f ca="1">IFERROR(__xludf.DUMMYFUNCTION("""COMPUTED_VALUE"""),46239)</f>
        <v>46239</v>
      </c>
      <c r="B1204" s="4" t="str">
        <f ca="1">IFERROR(__xludf.DUMMYFUNCTION("""COMPUTED_VALUE"""),"Grosir ( mi + permen+ rotigepeng)")</f>
        <v>Grosir ( mi + permen+ rotigepeng)</v>
      </c>
      <c r="C1204" s="4" t="str">
        <f ca="1">IFERROR(__xludf.DUMMYFUNCTION("""COMPUTED_VALUE"""),"Cash")</f>
        <v>Cash</v>
      </c>
      <c r="D1204" s="4" t="str">
        <f ca="1">IFERROR(__xludf.DUMMYFUNCTION("""COMPUTED_VALUE"""),"Out")</f>
        <v>Out</v>
      </c>
      <c r="E1204" s="4" t="str">
        <f ca="1">IFERROR(__xludf.DUMMYFUNCTION("""COMPUTED_VALUE"""),"Kitchen")</f>
        <v>Kitchen</v>
      </c>
      <c r="F1204" s="49">
        <f ca="1">IFERROR(__xludf.DUMMYFUNCTION("""COMPUTED_VALUE"""),27000)</f>
        <v>27000</v>
      </c>
      <c r="G1204" s="50" t="str">
        <f ca="1">IFERROR(__xludf.DUMMYFUNCTION("""COMPUTED_VALUE"""),"Zela")</f>
        <v>Zela</v>
      </c>
      <c r="H1204" s="51">
        <f t="shared" ca="1" si="0"/>
        <v>46235</v>
      </c>
      <c r="I1204" s="52" t="e">
        <f ca="1">SUMIFS(OUT!$F$2:$F$11000,OUT!$H$2:$H$11000,H1204,OUT!$D$2:$D$101007,"In")</f>
        <v>#VALUE!</v>
      </c>
      <c r="J1204" s="52">
        <f ca="1">SUMIFS(OUT!$F$2:$F$11000,OUT!$H$2:$H$11000,H1204,OUT!$D$2:$D$11000,"Out")</f>
        <v>9573570</v>
      </c>
      <c r="K1204" s="52">
        <f ca="1">SUMIFS(OUT!$F$2:$F$11000,OUT!$H$2:$H$11000,H1204,OUT!$D$2:$D$11000,"Out",OUT!$E$2:$E$11000,"Fix")</f>
        <v>2533689</v>
      </c>
      <c r="L1204" s="52">
        <f ca="1">SUMIFS(OUT!$F$2:$F$11000,OUT!$H$2:$H$11000,H1204,OUT!$D$2:$D$11000,"Out",OUT!$E$2:$E$11000,"Bathroom")</f>
        <v>14491</v>
      </c>
      <c r="M1204" s="52">
        <f ca="1">SUMIFS(OUT!$F$2:$F$11000,OUT!$H$2:$H$11000,H1204,OUT!$D$2:$D$11000,"Out",OUT!$E$2:$E$11000,"Alfa")</f>
        <v>452769</v>
      </c>
      <c r="N1204" s="52" t="e">
        <f ca="1">SUMIFS(OUT!$F$2:$F$11000,OUT!$H$2:$H$101007,H1204,OUT!$D$2:$D$11000,"Out",OUT!$E$2:$E$11000,"Jajan")</f>
        <v>#VALUE!</v>
      </c>
      <c r="O1204" s="52">
        <f ca="1">SUMIFS(OUT!$F$2:$F$11000,OUT!$H$2:$H$11000,H1204,OUT!$D$2:$D$11000,"Out",OUT!$E$2:$E$11000,"Kitchen")</f>
        <v>1584204</v>
      </c>
      <c r="P1204" s="52">
        <f ca="1">SUMIFS(OUT!$F$2:$F$11000,OUT!$H$2:$H$11000,H1204,OUT!$D$2:$D$11000,"Out",OUT!$E$2:$E$11000,"Loandry")</f>
        <v>43448</v>
      </c>
      <c r="Q1204" s="52">
        <f ca="1">SUMIFS(OUT!$F$2:$F$11000,OUT!$H$2:$H$11000,H1204,OUT!$D$2:$D$11000,"Out",OUT!$E$2:$E$11000,"Mio")</f>
        <v>329000</v>
      </c>
      <c r="R1204" s="52">
        <f ca="1">SUMIFS(OUT!$F$2:$F$11000,OUT!$H$2:$H$11000,H1204,OUT!$D$2:$D$11000,"Out",OUT!$E$2:$E$11000,"Sedekah")</f>
        <v>5000</v>
      </c>
      <c r="S1204" s="52">
        <f ca="1">SUMIFS(OUT!$F$2:$F$11000,OUT!$H$2:$H$11000,H1204,OUT!$D$2:$D$11000,"Out",OUT!$E$2:$E$11000,"Zela")</f>
        <v>40500</v>
      </c>
      <c r="T1204" s="52">
        <f ca="1">SUMIFS(OUT!$F$2:$F$11000,OUT!$H$2:$H$11000,H1204,OUT!$D$2:$D$11000,"Out",OUT!$E$2:$E$11000,"Iqbal")</f>
        <v>295000</v>
      </c>
    </row>
    <row r="1205" spans="1:20" x14ac:dyDescent="0.2">
      <c r="A1205" s="48">
        <f ca="1">IFERROR(__xludf.DUMMYFUNCTION("""COMPUTED_VALUE"""),46240)</f>
        <v>46240</v>
      </c>
      <c r="B1205" s="4" t="str">
        <f ca="1">IFERROR(__xludf.DUMMYFUNCTION("""COMPUTED_VALUE"""),"Susu + botol minum ")</f>
        <v xml:space="preserve">Susu + botol minum </v>
      </c>
      <c r="C1205" s="4" t="str">
        <f ca="1">IFERROR(__xludf.DUMMYFUNCTION("""COMPUTED_VALUE"""),"ATM")</f>
        <v>ATM</v>
      </c>
      <c r="D1205" s="4" t="str">
        <f ca="1">IFERROR(__xludf.DUMMYFUNCTION("""COMPUTED_VALUE"""),"Out")</f>
        <v>Out</v>
      </c>
      <c r="E1205" s="4" t="str">
        <f ca="1">IFERROR(__xludf.DUMMYFUNCTION("""COMPUTED_VALUE"""),"Alfa")</f>
        <v>Alfa</v>
      </c>
      <c r="F1205" s="49">
        <f ca="1">IFERROR(__xludf.DUMMYFUNCTION("""COMPUTED_VALUE"""),62471)</f>
        <v>62471</v>
      </c>
      <c r="G1205" s="50" t="str">
        <f ca="1">IFERROR(__xludf.DUMMYFUNCTION("""COMPUTED_VALUE"""),"Zela")</f>
        <v>Zela</v>
      </c>
      <c r="H1205" s="51">
        <f t="shared" ca="1" si="0"/>
        <v>46235</v>
      </c>
      <c r="I1205" s="52" t="e">
        <f ca="1">SUMIFS(OUT!$F$2:$F$11000,OUT!$H$2:$H$11000,H1205,OUT!$D$2:$D$101007,"In")</f>
        <v>#VALUE!</v>
      </c>
      <c r="J1205" s="52">
        <f ca="1">SUMIFS(OUT!$F$2:$F$11000,OUT!$H$2:$H$11000,H1205,OUT!$D$2:$D$11000,"Out")</f>
        <v>9573570</v>
      </c>
      <c r="K1205" s="52">
        <f ca="1">SUMIFS(OUT!$F$2:$F$11000,OUT!$H$2:$H$11000,H1205,OUT!$D$2:$D$11000,"Out",OUT!$E$2:$E$11000,"Fix")</f>
        <v>2533689</v>
      </c>
      <c r="L1205" s="52">
        <f ca="1">SUMIFS(OUT!$F$2:$F$11000,OUT!$H$2:$H$11000,H1205,OUT!$D$2:$D$11000,"Out",OUT!$E$2:$E$11000,"Bathroom")</f>
        <v>14491</v>
      </c>
      <c r="M1205" s="52">
        <f ca="1">SUMIFS(OUT!$F$2:$F$11000,OUT!$H$2:$H$11000,H1205,OUT!$D$2:$D$11000,"Out",OUT!$E$2:$E$11000,"Alfa")</f>
        <v>452769</v>
      </c>
      <c r="N1205" s="52" t="e">
        <f ca="1">SUMIFS(OUT!$F$2:$F$11000,OUT!$H$2:$H$101007,H1205,OUT!$D$2:$D$11000,"Out",OUT!$E$2:$E$11000,"Jajan")</f>
        <v>#VALUE!</v>
      </c>
      <c r="O1205" s="52">
        <f ca="1">SUMIFS(OUT!$F$2:$F$11000,OUT!$H$2:$H$11000,H1205,OUT!$D$2:$D$11000,"Out",OUT!$E$2:$E$11000,"Kitchen")</f>
        <v>1584204</v>
      </c>
      <c r="P1205" s="52">
        <f ca="1">SUMIFS(OUT!$F$2:$F$11000,OUT!$H$2:$H$11000,H1205,OUT!$D$2:$D$11000,"Out",OUT!$E$2:$E$11000,"Loandry")</f>
        <v>43448</v>
      </c>
      <c r="Q1205" s="52">
        <f ca="1">SUMIFS(OUT!$F$2:$F$11000,OUT!$H$2:$H$11000,H1205,OUT!$D$2:$D$11000,"Out",OUT!$E$2:$E$11000,"Mio")</f>
        <v>329000</v>
      </c>
      <c r="R1205" s="52">
        <f ca="1">SUMIFS(OUT!$F$2:$F$11000,OUT!$H$2:$H$11000,H1205,OUT!$D$2:$D$11000,"Out",OUT!$E$2:$E$11000,"Sedekah")</f>
        <v>5000</v>
      </c>
      <c r="S1205" s="52">
        <f ca="1">SUMIFS(OUT!$F$2:$F$11000,OUT!$H$2:$H$11000,H1205,OUT!$D$2:$D$11000,"Out",OUT!$E$2:$E$11000,"Zela")</f>
        <v>40500</v>
      </c>
      <c r="T1205" s="52">
        <f ca="1">SUMIFS(OUT!$F$2:$F$11000,OUT!$H$2:$H$11000,H1205,OUT!$D$2:$D$11000,"Out",OUT!$E$2:$E$11000,"Iqbal")</f>
        <v>295000</v>
      </c>
    </row>
    <row r="1206" spans="1:20" x14ac:dyDescent="0.2">
      <c r="A1206" s="48">
        <f ca="1">IFERROR(__xludf.DUMMYFUNCTION("""COMPUTED_VALUE"""),46240)</f>
        <v>46240</v>
      </c>
      <c r="B1206" s="4" t="str">
        <f ca="1">IFERROR(__xludf.DUMMYFUNCTION("""COMPUTED_VALUE"""),"Lauk ( shopee Promo) lele+nila+bakso+ceker")</f>
        <v>Lauk ( shopee Promo) lele+nila+bakso+ceker</v>
      </c>
      <c r="C1206" s="4" t="str">
        <f ca="1">IFERROR(__xludf.DUMMYFUNCTION("""COMPUTED_VALUE"""),"ATM")</f>
        <v>ATM</v>
      </c>
      <c r="D1206" s="4" t="str">
        <f ca="1">IFERROR(__xludf.DUMMYFUNCTION("""COMPUTED_VALUE"""),"Out")</f>
        <v>Out</v>
      </c>
      <c r="E1206" s="4" t="str">
        <f ca="1">IFERROR(__xludf.DUMMYFUNCTION("""COMPUTED_VALUE"""),"Kitchen")</f>
        <v>Kitchen</v>
      </c>
      <c r="F1206" s="49">
        <f ca="1">IFERROR(__xludf.DUMMYFUNCTION("""COMPUTED_VALUE"""),43104)</f>
        <v>43104</v>
      </c>
      <c r="G1206" s="50" t="str">
        <f ca="1">IFERROR(__xludf.DUMMYFUNCTION("""COMPUTED_VALUE"""),"Zela")</f>
        <v>Zela</v>
      </c>
      <c r="H1206" s="51">
        <f t="shared" ca="1" si="0"/>
        <v>46235</v>
      </c>
      <c r="I1206" s="52" t="e">
        <f ca="1">SUMIFS(OUT!$F$2:$F$11000,OUT!$H$2:$H$11000,H1206,OUT!$D$2:$D$101007,"In")</f>
        <v>#VALUE!</v>
      </c>
      <c r="J1206" s="52">
        <f ca="1">SUMIFS(OUT!$F$2:$F$11000,OUT!$H$2:$H$11000,H1206,OUT!$D$2:$D$11000,"Out")</f>
        <v>9573570</v>
      </c>
      <c r="K1206" s="52">
        <f ca="1">SUMIFS(OUT!$F$2:$F$11000,OUT!$H$2:$H$11000,H1206,OUT!$D$2:$D$11000,"Out",OUT!$E$2:$E$11000,"Fix")</f>
        <v>2533689</v>
      </c>
      <c r="L1206" s="52">
        <f ca="1">SUMIFS(OUT!$F$2:$F$11000,OUT!$H$2:$H$11000,H1206,OUT!$D$2:$D$11000,"Out",OUT!$E$2:$E$11000,"Bathroom")</f>
        <v>14491</v>
      </c>
      <c r="M1206" s="52">
        <f ca="1">SUMIFS(OUT!$F$2:$F$11000,OUT!$H$2:$H$11000,H1206,OUT!$D$2:$D$11000,"Out",OUT!$E$2:$E$11000,"Alfa")</f>
        <v>452769</v>
      </c>
      <c r="N1206" s="52" t="e">
        <f ca="1">SUMIFS(OUT!$F$2:$F$11000,OUT!$H$2:$H$101007,H1206,OUT!$D$2:$D$11000,"Out",OUT!$E$2:$E$11000,"Jajan")</f>
        <v>#VALUE!</v>
      </c>
      <c r="O1206" s="52">
        <f ca="1">SUMIFS(OUT!$F$2:$F$11000,OUT!$H$2:$H$11000,H1206,OUT!$D$2:$D$11000,"Out",OUT!$E$2:$E$11000,"Kitchen")</f>
        <v>1584204</v>
      </c>
      <c r="P1206" s="52">
        <f ca="1">SUMIFS(OUT!$F$2:$F$11000,OUT!$H$2:$H$11000,H1206,OUT!$D$2:$D$11000,"Out",OUT!$E$2:$E$11000,"Loandry")</f>
        <v>43448</v>
      </c>
      <c r="Q1206" s="52">
        <f ca="1">SUMIFS(OUT!$F$2:$F$11000,OUT!$H$2:$H$11000,H1206,OUT!$D$2:$D$11000,"Out",OUT!$E$2:$E$11000,"Mio")</f>
        <v>329000</v>
      </c>
      <c r="R1206" s="52">
        <f ca="1">SUMIFS(OUT!$F$2:$F$11000,OUT!$H$2:$H$11000,H1206,OUT!$D$2:$D$11000,"Out",OUT!$E$2:$E$11000,"Sedekah")</f>
        <v>5000</v>
      </c>
      <c r="S1206" s="52">
        <f ca="1">SUMIFS(OUT!$F$2:$F$11000,OUT!$H$2:$H$11000,H1206,OUT!$D$2:$D$11000,"Out",OUT!$E$2:$E$11000,"Zela")</f>
        <v>40500</v>
      </c>
      <c r="T1206" s="52">
        <f ca="1">SUMIFS(OUT!$F$2:$F$11000,OUT!$H$2:$H$11000,H1206,OUT!$D$2:$D$11000,"Out",OUT!$E$2:$E$11000,"Iqbal")</f>
        <v>295000</v>
      </c>
    </row>
    <row r="1207" spans="1:20" x14ac:dyDescent="0.2">
      <c r="A1207" s="48">
        <f ca="1">IFERROR(__xludf.DUMMYFUNCTION("""COMPUTED_VALUE"""),46240)</f>
        <v>46240</v>
      </c>
      <c r="B1207" s="4" t="str">
        <f ca="1">IFERROR(__xludf.DUMMYFUNCTION("""COMPUTED_VALUE"""),"Galon ")</f>
        <v xml:space="preserve">Galon </v>
      </c>
      <c r="C1207" s="4" t="str">
        <f ca="1">IFERROR(__xludf.DUMMYFUNCTION("""COMPUTED_VALUE"""),"Cash")</f>
        <v>Cash</v>
      </c>
      <c r="D1207" s="4" t="str">
        <f ca="1">IFERROR(__xludf.DUMMYFUNCTION("""COMPUTED_VALUE"""),"Out")</f>
        <v>Out</v>
      </c>
      <c r="E1207" s="4" t="str">
        <f ca="1">IFERROR(__xludf.DUMMYFUNCTION("""COMPUTED_VALUE"""),"Kitchen")</f>
        <v>Kitchen</v>
      </c>
      <c r="F1207" s="49">
        <f ca="1">IFERROR(__xludf.DUMMYFUNCTION("""COMPUTED_VALUE"""),5000)</f>
        <v>5000</v>
      </c>
      <c r="G1207" s="50" t="str">
        <f ca="1">IFERROR(__xludf.DUMMYFUNCTION("""COMPUTED_VALUE"""),"Zela")</f>
        <v>Zela</v>
      </c>
      <c r="H1207" s="51">
        <f t="shared" ca="1" si="0"/>
        <v>46235</v>
      </c>
      <c r="I1207" s="52" t="e">
        <f ca="1">SUMIFS(OUT!$F$2:$F$11000,OUT!$H$2:$H$11000,H1207,OUT!$D$2:$D$101007,"In")</f>
        <v>#VALUE!</v>
      </c>
      <c r="J1207" s="52">
        <f ca="1">SUMIFS(OUT!$F$2:$F$11000,OUT!$H$2:$H$11000,H1207,OUT!$D$2:$D$11000,"Out")</f>
        <v>9573570</v>
      </c>
      <c r="K1207" s="52">
        <f ca="1">SUMIFS(OUT!$F$2:$F$11000,OUT!$H$2:$H$11000,H1207,OUT!$D$2:$D$11000,"Out",OUT!$E$2:$E$11000,"Fix")</f>
        <v>2533689</v>
      </c>
      <c r="L1207" s="52">
        <f ca="1">SUMIFS(OUT!$F$2:$F$11000,OUT!$H$2:$H$11000,H1207,OUT!$D$2:$D$11000,"Out",OUT!$E$2:$E$11000,"Bathroom")</f>
        <v>14491</v>
      </c>
      <c r="M1207" s="52">
        <f ca="1">SUMIFS(OUT!$F$2:$F$11000,OUT!$H$2:$H$11000,H1207,OUT!$D$2:$D$11000,"Out",OUT!$E$2:$E$11000,"Alfa")</f>
        <v>452769</v>
      </c>
      <c r="N1207" s="52" t="e">
        <f ca="1">SUMIFS(OUT!$F$2:$F$11000,OUT!$H$2:$H$101007,H1207,OUT!$D$2:$D$11000,"Out",OUT!$E$2:$E$11000,"Jajan")</f>
        <v>#VALUE!</v>
      </c>
      <c r="O1207" s="52">
        <f ca="1">SUMIFS(OUT!$F$2:$F$11000,OUT!$H$2:$H$11000,H1207,OUT!$D$2:$D$11000,"Out",OUT!$E$2:$E$11000,"Kitchen")</f>
        <v>1584204</v>
      </c>
      <c r="P1207" s="52">
        <f ca="1">SUMIFS(OUT!$F$2:$F$11000,OUT!$H$2:$H$11000,H1207,OUT!$D$2:$D$11000,"Out",OUT!$E$2:$E$11000,"Loandry")</f>
        <v>43448</v>
      </c>
      <c r="Q1207" s="52">
        <f ca="1">SUMIFS(OUT!$F$2:$F$11000,OUT!$H$2:$H$11000,H1207,OUT!$D$2:$D$11000,"Out",OUT!$E$2:$E$11000,"Mio")</f>
        <v>329000</v>
      </c>
      <c r="R1207" s="52">
        <f ca="1">SUMIFS(OUT!$F$2:$F$11000,OUT!$H$2:$H$11000,H1207,OUT!$D$2:$D$11000,"Out",OUT!$E$2:$E$11000,"Sedekah")</f>
        <v>5000</v>
      </c>
      <c r="S1207" s="52">
        <f ca="1">SUMIFS(OUT!$F$2:$F$11000,OUT!$H$2:$H$11000,H1207,OUT!$D$2:$D$11000,"Out",OUT!$E$2:$E$11000,"Zela")</f>
        <v>40500</v>
      </c>
      <c r="T1207" s="52">
        <f ca="1">SUMIFS(OUT!$F$2:$F$11000,OUT!$H$2:$H$11000,H1207,OUT!$D$2:$D$11000,"Out",OUT!$E$2:$E$11000,"Iqbal")</f>
        <v>295000</v>
      </c>
    </row>
    <row r="1208" spans="1:20" x14ac:dyDescent="0.2">
      <c r="A1208" s="48">
        <f ca="1">IFERROR(__xludf.DUMMYFUNCTION("""COMPUTED_VALUE"""),46240)</f>
        <v>46240</v>
      </c>
      <c r="B1208" s="4" t="str">
        <f ca="1">IFERROR(__xludf.DUMMYFUNCTION("""COMPUTED_VALUE"""),"Cabe+bawang+kentang+dsop(shopee Promo)")</f>
        <v>Cabe+bawang+kentang+dsop(shopee Promo)</v>
      </c>
      <c r="C1208" s="4" t="str">
        <f ca="1">IFERROR(__xludf.DUMMYFUNCTION("""COMPUTED_VALUE"""),"Cash")</f>
        <v>Cash</v>
      </c>
      <c r="D1208" s="4" t="str">
        <f ca="1">IFERROR(__xludf.DUMMYFUNCTION("""COMPUTED_VALUE"""),"Out")</f>
        <v>Out</v>
      </c>
      <c r="E1208" s="4" t="str">
        <f ca="1">IFERROR(__xludf.DUMMYFUNCTION("""COMPUTED_VALUE"""),"Kitchen")</f>
        <v>Kitchen</v>
      </c>
      <c r="F1208" s="49">
        <f ca="1">IFERROR(__xludf.DUMMYFUNCTION("""COMPUTED_VALUE"""),25000)</f>
        <v>25000</v>
      </c>
      <c r="G1208" s="50" t="str">
        <f ca="1">IFERROR(__xludf.DUMMYFUNCTION("""COMPUTED_VALUE"""),"Zela")</f>
        <v>Zela</v>
      </c>
      <c r="H1208" s="51">
        <f t="shared" ca="1" si="0"/>
        <v>46235</v>
      </c>
      <c r="I1208" s="52" t="e">
        <f ca="1">SUMIFS(OUT!$F$2:$F$11000,OUT!$H$2:$H$11000,H1208,OUT!$D$2:$D$101007,"In")</f>
        <v>#VALUE!</v>
      </c>
      <c r="J1208" s="52">
        <f ca="1">SUMIFS(OUT!$F$2:$F$11000,OUT!$H$2:$H$11000,H1208,OUT!$D$2:$D$11000,"Out")</f>
        <v>9573570</v>
      </c>
      <c r="K1208" s="52">
        <f ca="1">SUMIFS(OUT!$F$2:$F$11000,OUT!$H$2:$H$11000,H1208,OUT!$D$2:$D$11000,"Out",OUT!$E$2:$E$11000,"Fix")</f>
        <v>2533689</v>
      </c>
      <c r="L1208" s="52">
        <f ca="1">SUMIFS(OUT!$F$2:$F$11000,OUT!$H$2:$H$11000,H1208,OUT!$D$2:$D$11000,"Out",OUT!$E$2:$E$11000,"Bathroom")</f>
        <v>14491</v>
      </c>
      <c r="M1208" s="52">
        <f ca="1">SUMIFS(OUT!$F$2:$F$11000,OUT!$H$2:$H$11000,H1208,OUT!$D$2:$D$11000,"Out",OUT!$E$2:$E$11000,"Alfa")</f>
        <v>452769</v>
      </c>
      <c r="N1208" s="52" t="e">
        <f ca="1">SUMIFS(OUT!$F$2:$F$11000,OUT!$H$2:$H$101007,H1208,OUT!$D$2:$D$11000,"Out",OUT!$E$2:$E$11000,"Jajan")</f>
        <v>#VALUE!</v>
      </c>
      <c r="O1208" s="52">
        <f ca="1">SUMIFS(OUT!$F$2:$F$11000,OUT!$H$2:$H$11000,H1208,OUT!$D$2:$D$11000,"Out",OUT!$E$2:$E$11000,"Kitchen")</f>
        <v>1584204</v>
      </c>
      <c r="P1208" s="52">
        <f ca="1">SUMIFS(OUT!$F$2:$F$11000,OUT!$H$2:$H$11000,H1208,OUT!$D$2:$D$11000,"Out",OUT!$E$2:$E$11000,"Loandry")</f>
        <v>43448</v>
      </c>
      <c r="Q1208" s="52">
        <f ca="1">SUMIFS(OUT!$F$2:$F$11000,OUT!$H$2:$H$11000,H1208,OUT!$D$2:$D$11000,"Out",OUT!$E$2:$E$11000,"Mio")</f>
        <v>329000</v>
      </c>
      <c r="R1208" s="52">
        <f ca="1">SUMIFS(OUT!$F$2:$F$11000,OUT!$H$2:$H$11000,H1208,OUT!$D$2:$D$11000,"Out",OUT!$E$2:$E$11000,"Sedekah")</f>
        <v>5000</v>
      </c>
      <c r="S1208" s="52">
        <f ca="1">SUMIFS(OUT!$F$2:$F$11000,OUT!$H$2:$H$11000,H1208,OUT!$D$2:$D$11000,"Out",OUT!$E$2:$E$11000,"Zela")</f>
        <v>40500</v>
      </c>
      <c r="T1208" s="52">
        <f ca="1">SUMIFS(OUT!$F$2:$F$11000,OUT!$H$2:$H$11000,H1208,OUT!$D$2:$D$11000,"Out",OUT!$E$2:$E$11000,"Iqbal")</f>
        <v>295000</v>
      </c>
    </row>
    <row r="1209" spans="1:20" x14ac:dyDescent="0.2">
      <c r="A1209" s="48">
        <f ca="1">IFERROR(__xludf.DUMMYFUNCTION("""COMPUTED_VALUE"""),46240)</f>
        <v>46240</v>
      </c>
      <c r="B1209" s="4" t="str">
        <f ca="1">IFERROR(__xludf.DUMMYFUNCTION("""COMPUTED_VALUE"""),"Beras 10KG")</f>
        <v>Beras 10KG</v>
      </c>
      <c r="C1209" s="4" t="str">
        <f ca="1">IFERROR(__xludf.DUMMYFUNCTION("""COMPUTED_VALUE"""),"ATM")</f>
        <v>ATM</v>
      </c>
      <c r="D1209" s="4" t="str">
        <f ca="1">IFERROR(__xludf.DUMMYFUNCTION("""COMPUTED_VALUE"""),"Out")</f>
        <v>Out</v>
      </c>
      <c r="E1209" s="4" t="str">
        <f ca="1">IFERROR(__xludf.DUMMYFUNCTION("""COMPUTED_VALUE"""),"Kitchen")</f>
        <v>Kitchen</v>
      </c>
      <c r="F1209" s="49">
        <f ca="1">IFERROR(__xludf.DUMMYFUNCTION("""COMPUTED_VALUE"""),155000)</f>
        <v>155000</v>
      </c>
      <c r="G1209" s="50" t="str">
        <f ca="1">IFERROR(__xludf.DUMMYFUNCTION("""COMPUTED_VALUE"""),"Zela")</f>
        <v>Zela</v>
      </c>
      <c r="H1209" s="51">
        <f t="shared" ca="1" si="0"/>
        <v>46235</v>
      </c>
      <c r="I1209" s="52" t="e">
        <f ca="1">SUMIFS(OUT!$F$2:$F$11000,OUT!$H$2:$H$11000,H1209,OUT!$D$2:$D$101007,"In")</f>
        <v>#VALUE!</v>
      </c>
      <c r="J1209" s="52">
        <f ca="1">SUMIFS(OUT!$F$2:$F$11000,OUT!$H$2:$H$11000,H1209,OUT!$D$2:$D$11000,"Out")</f>
        <v>9573570</v>
      </c>
      <c r="K1209" s="52">
        <f ca="1">SUMIFS(OUT!$F$2:$F$11000,OUT!$H$2:$H$11000,H1209,OUT!$D$2:$D$11000,"Out",OUT!$E$2:$E$11000,"Fix")</f>
        <v>2533689</v>
      </c>
      <c r="L1209" s="52">
        <f ca="1">SUMIFS(OUT!$F$2:$F$11000,OUT!$H$2:$H$11000,H1209,OUT!$D$2:$D$11000,"Out",OUT!$E$2:$E$11000,"Bathroom")</f>
        <v>14491</v>
      </c>
      <c r="M1209" s="52">
        <f ca="1">SUMIFS(OUT!$F$2:$F$11000,OUT!$H$2:$H$11000,H1209,OUT!$D$2:$D$11000,"Out",OUT!$E$2:$E$11000,"Alfa")</f>
        <v>452769</v>
      </c>
      <c r="N1209" s="52" t="e">
        <f ca="1">SUMIFS(OUT!$F$2:$F$11000,OUT!$H$2:$H$101007,H1209,OUT!$D$2:$D$11000,"Out",OUT!$E$2:$E$11000,"Jajan")</f>
        <v>#VALUE!</v>
      </c>
      <c r="O1209" s="52">
        <f ca="1">SUMIFS(OUT!$F$2:$F$11000,OUT!$H$2:$H$11000,H1209,OUT!$D$2:$D$11000,"Out",OUT!$E$2:$E$11000,"Kitchen")</f>
        <v>1584204</v>
      </c>
      <c r="P1209" s="52">
        <f ca="1">SUMIFS(OUT!$F$2:$F$11000,OUT!$H$2:$H$11000,H1209,OUT!$D$2:$D$11000,"Out",OUT!$E$2:$E$11000,"Loandry")</f>
        <v>43448</v>
      </c>
      <c r="Q1209" s="52">
        <f ca="1">SUMIFS(OUT!$F$2:$F$11000,OUT!$H$2:$H$11000,H1209,OUT!$D$2:$D$11000,"Out",OUT!$E$2:$E$11000,"Mio")</f>
        <v>329000</v>
      </c>
      <c r="R1209" s="52">
        <f ca="1">SUMIFS(OUT!$F$2:$F$11000,OUT!$H$2:$H$11000,H1209,OUT!$D$2:$D$11000,"Out",OUT!$E$2:$E$11000,"Sedekah")</f>
        <v>5000</v>
      </c>
      <c r="S1209" s="52">
        <f ca="1">SUMIFS(OUT!$F$2:$F$11000,OUT!$H$2:$H$11000,H1209,OUT!$D$2:$D$11000,"Out",OUT!$E$2:$E$11000,"Zela")</f>
        <v>40500</v>
      </c>
      <c r="T1209" s="52">
        <f ca="1">SUMIFS(OUT!$F$2:$F$11000,OUT!$H$2:$H$11000,H1209,OUT!$D$2:$D$11000,"Out",OUT!$E$2:$E$11000,"Iqbal")</f>
        <v>295000</v>
      </c>
    </row>
    <row r="1210" spans="1:20" x14ac:dyDescent="0.2">
      <c r="A1210" s="48">
        <f ca="1">IFERROR(__xludf.DUMMYFUNCTION("""COMPUTED_VALUE"""),46240)</f>
        <v>46240</v>
      </c>
      <c r="B1210" s="4" t="str">
        <f ca="1">IFERROR(__xludf.DUMMYFUNCTION("""COMPUTED_VALUE"""),"Tiktok 2")</f>
        <v>Tiktok 2</v>
      </c>
      <c r="C1210" s="4" t="str">
        <f ca="1">IFERROR(__xludf.DUMMYFUNCTION("""COMPUTED_VALUE"""),"ATM")</f>
        <v>ATM</v>
      </c>
      <c r="D1210" s="4" t="str">
        <f ca="1">IFERROR(__xludf.DUMMYFUNCTION("""COMPUTED_VALUE"""),"In")</f>
        <v>In</v>
      </c>
      <c r="E1210" s="4" t="str">
        <f ca="1">IFERROR(__xludf.DUMMYFUNCTION("""COMPUTED_VALUE"""),"Fix")</f>
        <v>Fix</v>
      </c>
      <c r="F1210" s="49">
        <f ca="1">IFERROR(__xludf.DUMMYFUNCTION("""COMPUTED_VALUE"""),225826)</f>
        <v>225826</v>
      </c>
      <c r="G1210" s="50" t="str">
        <f ca="1">IFERROR(__xludf.DUMMYFUNCTION("""COMPUTED_VALUE"""),"Zela")</f>
        <v>Zela</v>
      </c>
      <c r="H1210" s="51">
        <f t="shared" ca="1" si="0"/>
        <v>46235</v>
      </c>
      <c r="I1210" s="52" t="e">
        <f ca="1">SUMIFS(OUT!$F$2:$F$11000,OUT!$H$2:$H$11000,H1210,OUT!$D$2:$D$101007,"In")</f>
        <v>#VALUE!</v>
      </c>
      <c r="J1210" s="52">
        <f ca="1">SUMIFS(OUT!$F$2:$F$11000,OUT!$H$2:$H$11000,H1210,OUT!$D$2:$D$11000,"Out")</f>
        <v>9573570</v>
      </c>
      <c r="K1210" s="52">
        <f ca="1">SUMIFS(OUT!$F$2:$F$11000,OUT!$H$2:$H$11000,H1210,OUT!$D$2:$D$11000,"Out",OUT!$E$2:$E$11000,"Fix")</f>
        <v>2533689</v>
      </c>
      <c r="L1210" s="52">
        <f ca="1">SUMIFS(OUT!$F$2:$F$11000,OUT!$H$2:$H$11000,H1210,OUT!$D$2:$D$11000,"Out",OUT!$E$2:$E$11000,"Bathroom")</f>
        <v>14491</v>
      </c>
      <c r="M1210" s="52">
        <f ca="1">SUMIFS(OUT!$F$2:$F$11000,OUT!$H$2:$H$11000,H1210,OUT!$D$2:$D$11000,"Out",OUT!$E$2:$E$11000,"Alfa")</f>
        <v>452769</v>
      </c>
      <c r="N1210" s="52" t="e">
        <f ca="1">SUMIFS(OUT!$F$2:$F$11000,OUT!$H$2:$H$101007,H1210,OUT!$D$2:$D$11000,"Out",OUT!$E$2:$E$11000,"Jajan")</f>
        <v>#VALUE!</v>
      </c>
      <c r="O1210" s="52">
        <f ca="1">SUMIFS(OUT!$F$2:$F$11000,OUT!$H$2:$H$11000,H1210,OUT!$D$2:$D$11000,"Out",OUT!$E$2:$E$11000,"Kitchen")</f>
        <v>1584204</v>
      </c>
      <c r="P1210" s="52">
        <f ca="1">SUMIFS(OUT!$F$2:$F$11000,OUT!$H$2:$H$11000,H1210,OUT!$D$2:$D$11000,"Out",OUT!$E$2:$E$11000,"Loandry")</f>
        <v>43448</v>
      </c>
      <c r="Q1210" s="52">
        <f ca="1">SUMIFS(OUT!$F$2:$F$11000,OUT!$H$2:$H$11000,H1210,OUT!$D$2:$D$11000,"Out",OUT!$E$2:$E$11000,"Mio")</f>
        <v>329000</v>
      </c>
      <c r="R1210" s="52">
        <f ca="1">SUMIFS(OUT!$F$2:$F$11000,OUT!$H$2:$H$11000,H1210,OUT!$D$2:$D$11000,"Out",OUT!$E$2:$E$11000,"Sedekah")</f>
        <v>5000</v>
      </c>
      <c r="S1210" s="52">
        <f ca="1">SUMIFS(OUT!$F$2:$F$11000,OUT!$H$2:$H$11000,H1210,OUT!$D$2:$D$11000,"Out",OUT!$E$2:$E$11000,"Zela")</f>
        <v>40500</v>
      </c>
      <c r="T1210" s="52">
        <f ca="1">SUMIFS(OUT!$F$2:$F$11000,OUT!$H$2:$H$11000,H1210,OUT!$D$2:$D$11000,"Out",OUT!$E$2:$E$11000,"Iqbal")</f>
        <v>295000</v>
      </c>
    </row>
    <row r="1211" spans="1:20" x14ac:dyDescent="0.2">
      <c r="A1211" s="48">
        <f ca="1">IFERROR(__xludf.DUMMYFUNCTION("""COMPUTED_VALUE"""),46240)</f>
        <v>46240</v>
      </c>
      <c r="B1211" s="4" t="str">
        <f ca="1">IFERROR(__xludf.DUMMYFUNCTION("""COMPUTED_VALUE"""),"Bensin ")</f>
        <v xml:space="preserve">Bensin </v>
      </c>
      <c r="C1211" s="4" t="str">
        <f ca="1">IFERROR(__xludf.DUMMYFUNCTION("""COMPUTED_VALUE"""),"Cash")</f>
        <v>Cash</v>
      </c>
      <c r="D1211" s="4" t="str">
        <f ca="1">IFERROR(__xludf.DUMMYFUNCTION("""COMPUTED_VALUE"""),"Out")</f>
        <v>Out</v>
      </c>
      <c r="E1211" s="4" t="str">
        <f ca="1">IFERROR(__xludf.DUMMYFUNCTION("""COMPUTED_VALUE"""),"Mio")</f>
        <v>Mio</v>
      </c>
      <c r="F1211" s="49">
        <f ca="1">IFERROR(__xludf.DUMMYFUNCTION("""COMPUTED_VALUE"""),20000)</f>
        <v>20000</v>
      </c>
      <c r="G1211" s="50" t="str">
        <f ca="1">IFERROR(__xludf.DUMMYFUNCTION("""COMPUTED_VALUE"""),"Zela")</f>
        <v>Zela</v>
      </c>
      <c r="H1211" s="51">
        <f t="shared" ca="1" si="0"/>
        <v>46235</v>
      </c>
      <c r="I1211" s="52" t="e">
        <f ca="1">SUMIFS(OUT!$F$2:$F$11000,OUT!$H$2:$H$11000,H1211,OUT!$D$2:$D$101007,"In")</f>
        <v>#VALUE!</v>
      </c>
      <c r="J1211" s="52">
        <f ca="1">SUMIFS(OUT!$F$2:$F$11000,OUT!$H$2:$H$11000,H1211,OUT!$D$2:$D$11000,"Out")</f>
        <v>9573570</v>
      </c>
      <c r="K1211" s="52">
        <f ca="1">SUMIFS(OUT!$F$2:$F$11000,OUT!$H$2:$H$11000,H1211,OUT!$D$2:$D$11000,"Out",OUT!$E$2:$E$11000,"Fix")</f>
        <v>2533689</v>
      </c>
      <c r="L1211" s="52">
        <f ca="1">SUMIFS(OUT!$F$2:$F$11000,OUT!$H$2:$H$11000,H1211,OUT!$D$2:$D$11000,"Out",OUT!$E$2:$E$11000,"Bathroom")</f>
        <v>14491</v>
      </c>
      <c r="M1211" s="52">
        <f ca="1">SUMIFS(OUT!$F$2:$F$11000,OUT!$H$2:$H$11000,H1211,OUT!$D$2:$D$11000,"Out",OUT!$E$2:$E$11000,"Alfa")</f>
        <v>452769</v>
      </c>
      <c r="N1211" s="52" t="e">
        <f ca="1">SUMIFS(OUT!$F$2:$F$11000,OUT!$H$2:$H$101007,H1211,OUT!$D$2:$D$11000,"Out",OUT!$E$2:$E$11000,"Jajan")</f>
        <v>#VALUE!</v>
      </c>
      <c r="O1211" s="52">
        <f ca="1">SUMIFS(OUT!$F$2:$F$11000,OUT!$H$2:$H$11000,H1211,OUT!$D$2:$D$11000,"Out",OUT!$E$2:$E$11000,"Kitchen")</f>
        <v>1584204</v>
      </c>
      <c r="P1211" s="52">
        <f ca="1">SUMIFS(OUT!$F$2:$F$11000,OUT!$H$2:$H$11000,H1211,OUT!$D$2:$D$11000,"Out",OUT!$E$2:$E$11000,"Loandry")</f>
        <v>43448</v>
      </c>
      <c r="Q1211" s="52">
        <f ca="1">SUMIFS(OUT!$F$2:$F$11000,OUT!$H$2:$H$11000,H1211,OUT!$D$2:$D$11000,"Out",OUT!$E$2:$E$11000,"Mio")</f>
        <v>329000</v>
      </c>
      <c r="R1211" s="52">
        <f ca="1">SUMIFS(OUT!$F$2:$F$11000,OUT!$H$2:$H$11000,H1211,OUT!$D$2:$D$11000,"Out",OUT!$E$2:$E$11000,"Sedekah")</f>
        <v>5000</v>
      </c>
      <c r="S1211" s="52">
        <f ca="1">SUMIFS(OUT!$F$2:$F$11000,OUT!$H$2:$H$11000,H1211,OUT!$D$2:$D$11000,"Out",OUT!$E$2:$E$11000,"Zela")</f>
        <v>40500</v>
      </c>
      <c r="T1211" s="52">
        <f ca="1">SUMIFS(OUT!$F$2:$F$11000,OUT!$H$2:$H$11000,H1211,OUT!$D$2:$D$11000,"Out",OUT!$E$2:$E$11000,"Iqbal")</f>
        <v>295000</v>
      </c>
    </row>
    <row r="1212" spans="1:20" x14ac:dyDescent="0.2">
      <c r="A1212" s="48">
        <f ca="1">IFERROR(__xludf.DUMMYFUNCTION("""COMPUTED_VALUE"""),46240)</f>
        <v>46240</v>
      </c>
      <c r="B1212" s="4" t="str">
        <f ca="1">IFERROR(__xludf.DUMMYFUNCTION("""COMPUTED_VALUE"""),"Sempol ayam")</f>
        <v>Sempol ayam</v>
      </c>
      <c r="C1212" s="4" t="str">
        <f ca="1">IFERROR(__xludf.DUMMYFUNCTION("""COMPUTED_VALUE"""),"Cash")</f>
        <v>Cash</v>
      </c>
      <c r="D1212" s="4" t="str">
        <f ca="1">IFERROR(__xludf.DUMMYFUNCTION("""COMPUTED_VALUE"""),"Out")</f>
        <v>Out</v>
      </c>
      <c r="E1212" s="4" t="str">
        <f ca="1">IFERROR(__xludf.DUMMYFUNCTION("""COMPUTED_VALUE"""),"Jajan")</f>
        <v>Jajan</v>
      </c>
      <c r="F1212" s="49">
        <f ca="1">IFERROR(__xludf.DUMMYFUNCTION("""COMPUTED_VALUE"""),13000)</f>
        <v>13000</v>
      </c>
      <c r="G1212" s="50" t="str">
        <f ca="1">IFERROR(__xludf.DUMMYFUNCTION("""COMPUTED_VALUE"""),"Zela")</f>
        <v>Zela</v>
      </c>
      <c r="H1212" s="51">
        <f t="shared" ca="1" si="0"/>
        <v>46235</v>
      </c>
      <c r="I1212" s="52" t="e">
        <f ca="1">SUMIFS(OUT!$F$2:$F$11000,OUT!$H$2:$H$11000,H1212,OUT!$D$2:$D$101007,"In")</f>
        <v>#VALUE!</v>
      </c>
      <c r="J1212" s="52">
        <f ca="1">SUMIFS(OUT!$F$2:$F$11000,OUT!$H$2:$H$11000,H1212,OUT!$D$2:$D$11000,"Out")</f>
        <v>9573570</v>
      </c>
      <c r="K1212" s="52">
        <f ca="1">SUMIFS(OUT!$F$2:$F$11000,OUT!$H$2:$H$11000,H1212,OUT!$D$2:$D$11000,"Out",OUT!$E$2:$E$11000,"Fix")</f>
        <v>2533689</v>
      </c>
      <c r="L1212" s="52">
        <f ca="1">SUMIFS(OUT!$F$2:$F$11000,OUT!$H$2:$H$11000,H1212,OUT!$D$2:$D$11000,"Out",OUT!$E$2:$E$11000,"Bathroom")</f>
        <v>14491</v>
      </c>
      <c r="M1212" s="52">
        <f ca="1">SUMIFS(OUT!$F$2:$F$11000,OUT!$H$2:$H$11000,H1212,OUT!$D$2:$D$11000,"Out",OUT!$E$2:$E$11000,"Alfa")</f>
        <v>452769</v>
      </c>
      <c r="N1212" s="52" t="e">
        <f ca="1">SUMIFS(OUT!$F$2:$F$11000,OUT!$H$2:$H$101007,H1212,OUT!$D$2:$D$11000,"Out",OUT!$E$2:$E$11000,"Jajan")</f>
        <v>#VALUE!</v>
      </c>
      <c r="O1212" s="52">
        <f ca="1">SUMIFS(OUT!$F$2:$F$11000,OUT!$H$2:$H$11000,H1212,OUT!$D$2:$D$11000,"Out",OUT!$E$2:$E$11000,"Kitchen")</f>
        <v>1584204</v>
      </c>
      <c r="P1212" s="52">
        <f ca="1">SUMIFS(OUT!$F$2:$F$11000,OUT!$H$2:$H$11000,H1212,OUT!$D$2:$D$11000,"Out",OUT!$E$2:$E$11000,"Loandry")</f>
        <v>43448</v>
      </c>
      <c r="Q1212" s="52">
        <f ca="1">SUMIFS(OUT!$F$2:$F$11000,OUT!$H$2:$H$11000,H1212,OUT!$D$2:$D$11000,"Out",OUT!$E$2:$E$11000,"Mio")</f>
        <v>329000</v>
      </c>
      <c r="R1212" s="52">
        <f ca="1">SUMIFS(OUT!$F$2:$F$11000,OUT!$H$2:$H$11000,H1212,OUT!$D$2:$D$11000,"Out",OUT!$E$2:$E$11000,"Sedekah")</f>
        <v>5000</v>
      </c>
      <c r="S1212" s="52">
        <f ca="1">SUMIFS(OUT!$F$2:$F$11000,OUT!$H$2:$H$11000,H1212,OUT!$D$2:$D$11000,"Out",OUT!$E$2:$E$11000,"Zela")</f>
        <v>40500</v>
      </c>
      <c r="T1212" s="52">
        <f ca="1">SUMIFS(OUT!$F$2:$F$11000,OUT!$H$2:$H$11000,H1212,OUT!$D$2:$D$11000,"Out",OUT!$E$2:$E$11000,"Iqbal")</f>
        <v>295000</v>
      </c>
    </row>
    <row r="1213" spans="1:20" x14ac:dyDescent="0.2">
      <c r="A1213" s="48">
        <f ca="1">IFERROR(__xludf.DUMMYFUNCTION("""COMPUTED_VALUE"""),46240)</f>
        <v>46240</v>
      </c>
      <c r="B1213" s="4" t="str">
        <f ca="1">IFERROR(__xludf.DUMMYFUNCTION("""COMPUTED_VALUE"""),"Tarik Tunai ")</f>
        <v xml:space="preserve">Tarik Tunai </v>
      </c>
      <c r="C1213" s="4" t="str">
        <f ca="1">IFERROR(__xludf.DUMMYFUNCTION("""COMPUTED_VALUE"""),"ATM")</f>
        <v>ATM</v>
      </c>
      <c r="D1213" s="4" t="str">
        <f ca="1">IFERROR(__xludf.DUMMYFUNCTION("""COMPUTED_VALUE"""),"Out")</f>
        <v>Out</v>
      </c>
      <c r="E1213" s="4" t="str">
        <f ca="1">IFERROR(__xludf.DUMMYFUNCTION("""COMPUTED_VALUE"""),"Move")</f>
        <v>Move</v>
      </c>
      <c r="F1213" s="49">
        <f ca="1">IFERROR(__xludf.DUMMYFUNCTION("""COMPUTED_VALUE"""),150000)</f>
        <v>150000</v>
      </c>
      <c r="G1213" s="50" t="str">
        <f ca="1">IFERROR(__xludf.DUMMYFUNCTION("""COMPUTED_VALUE"""),"Zela")</f>
        <v>Zela</v>
      </c>
      <c r="H1213" s="51">
        <f t="shared" ca="1" si="0"/>
        <v>46235</v>
      </c>
      <c r="I1213" s="52" t="e">
        <f ca="1">SUMIFS(OUT!$F$2:$F$11000,OUT!$H$2:$H$11000,H1213,OUT!$D$2:$D$101007,"In")</f>
        <v>#VALUE!</v>
      </c>
      <c r="J1213" s="52">
        <f ca="1">SUMIFS(OUT!$F$2:$F$11000,OUT!$H$2:$H$11000,H1213,OUT!$D$2:$D$11000,"Out")</f>
        <v>9573570</v>
      </c>
      <c r="K1213" s="52">
        <f ca="1">SUMIFS(OUT!$F$2:$F$11000,OUT!$H$2:$H$11000,H1213,OUT!$D$2:$D$11000,"Out",OUT!$E$2:$E$11000,"Fix")</f>
        <v>2533689</v>
      </c>
      <c r="L1213" s="52">
        <f ca="1">SUMIFS(OUT!$F$2:$F$11000,OUT!$H$2:$H$11000,H1213,OUT!$D$2:$D$11000,"Out",OUT!$E$2:$E$11000,"Bathroom")</f>
        <v>14491</v>
      </c>
      <c r="M1213" s="52">
        <f ca="1">SUMIFS(OUT!$F$2:$F$11000,OUT!$H$2:$H$11000,H1213,OUT!$D$2:$D$11000,"Out",OUT!$E$2:$E$11000,"Alfa")</f>
        <v>452769</v>
      </c>
      <c r="N1213" s="52" t="e">
        <f ca="1">SUMIFS(OUT!$F$2:$F$11000,OUT!$H$2:$H$101007,H1213,OUT!$D$2:$D$11000,"Out",OUT!$E$2:$E$11000,"Jajan")</f>
        <v>#VALUE!</v>
      </c>
      <c r="O1213" s="52">
        <f ca="1">SUMIFS(OUT!$F$2:$F$11000,OUT!$H$2:$H$11000,H1213,OUT!$D$2:$D$11000,"Out",OUT!$E$2:$E$11000,"Kitchen")</f>
        <v>1584204</v>
      </c>
      <c r="P1213" s="52">
        <f ca="1">SUMIFS(OUT!$F$2:$F$11000,OUT!$H$2:$H$11000,H1213,OUT!$D$2:$D$11000,"Out",OUT!$E$2:$E$11000,"Loandry")</f>
        <v>43448</v>
      </c>
      <c r="Q1213" s="52">
        <f ca="1">SUMIFS(OUT!$F$2:$F$11000,OUT!$H$2:$H$11000,H1213,OUT!$D$2:$D$11000,"Out",OUT!$E$2:$E$11000,"Mio")</f>
        <v>329000</v>
      </c>
      <c r="R1213" s="52">
        <f ca="1">SUMIFS(OUT!$F$2:$F$11000,OUT!$H$2:$H$11000,H1213,OUT!$D$2:$D$11000,"Out",OUT!$E$2:$E$11000,"Sedekah")</f>
        <v>5000</v>
      </c>
      <c r="S1213" s="52">
        <f ca="1">SUMIFS(OUT!$F$2:$F$11000,OUT!$H$2:$H$11000,H1213,OUT!$D$2:$D$11000,"Out",OUT!$E$2:$E$11000,"Zela")</f>
        <v>40500</v>
      </c>
      <c r="T1213" s="52">
        <f ca="1">SUMIFS(OUT!$F$2:$F$11000,OUT!$H$2:$H$11000,H1213,OUT!$D$2:$D$11000,"Out",OUT!$E$2:$E$11000,"Iqbal")</f>
        <v>295000</v>
      </c>
    </row>
    <row r="1214" spans="1:20" x14ac:dyDescent="0.2">
      <c r="A1214" s="48">
        <f ca="1">IFERROR(__xludf.DUMMYFUNCTION("""COMPUTED_VALUE"""),46240)</f>
        <v>46240</v>
      </c>
      <c r="B1214" s="4" t="str">
        <f ca="1">IFERROR(__xludf.DUMMYFUNCTION("""COMPUTED_VALUE"""),"Terima tunai ")</f>
        <v xml:space="preserve">Terima tunai </v>
      </c>
      <c r="C1214" s="4" t="str">
        <f ca="1">IFERROR(__xludf.DUMMYFUNCTION("""COMPUTED_VALUE"""),"Cash")</f>
        <v>Cash</v>
      </c>
      <c r="D1214" s="4" t="str">
        <f ca="1">IFERROR(__xludf.DUMMYFUNCTION("""COMPUTED_VALUE"""),"In")</f>
        <v>In</v>
      </c>
      <c r="E1214" s="4" t="str">
        <f ca="1">IFERROR(__xludf.DUMMYFUNCTION("""COMPUTED_VALUE"""),"Move")</f>
        <v>Move</v>
      </c>
      <c r="F1214" s="49">
        <f ca="1">IFERROR(__xludf.DUMMYFUNCTION("""COMPUTED_VALUE"""),150000)</f>
        <v>150000</v>
      </c>
      <c r="G1214" s="50" t="str">
        <f ca="1">IFERROR(__xludf.DUMMYFUNCTION("""COMPUTED_VALUE"""),"Zela")</f>
        <v>Zela</v>
      </c>
      <c r="H1214" s="51">
        <f t="shared" ca="1" si="0"/>
        <v>46235</v>
      </c>
      <c r="I1214" s="52" t="e">
        <f ca="1">SUMIFS(OUT!$F$2:$F$11000,OUT!$H$2:$H$11000,H1214,OUT!$D$2:$D$101007,"In")</f>
        <v>#VALUE!</v>
      </c>
      <c r="J1214" s="52">
        <f ca="1">SUMIFS(OUT!$F$2:$F$11000,OUT!$H$2:$H$11000,H1214,OUT!$D$2:$D$11000,"Out")</f>
        <v>9573570</v>
      </c>
      <c r="K1214" s="52">
        <f ca="1">SUMIFS(OUT!$F$2:$F$11000,OUT!$H$2:$H$11000,H1214,OUT!$D$2:$D$11000,"Out",OUT!$E$2:$E$11000,"Fix")</f>
        <v>2533689</v>
      </c>
      <c r="L1214" s="52">
        <f ca="1">SUMIFS(OUT!$F$2:$F$11000,OUT!$H$2:$H$11000,H1214,OUT!$D$2:$D$11000,"Out",OUT!$E$2:$E$11000,"Bathroom")</f>
        <v>14491</v>
      </c>
      <c r="M1214" s="52">
        <f ca="1">SUMIFS(OUT!$F$2:$F$11000,OUT!$H$2:$H$11000,H1214,OUT!$D$2:$D$11000,"Out",OUT!$E$2:$E$11000,"Alfa")</f>
        <v>452769</v>
      </c>
      <c r="N1214" s="52" t="e">
        <f ca="1">SUMIFS(OUT!$F$2:$F$11000,OUT!$H$2:$H$101007,H1214,OUT!$D$2:$D$11000,"Out",OUT!$E$2:$E$11000,"Jajan")</f>
        <v>#VALUE!</v>
      </c>
      <c r="O1214" s="52">
        <f ca="1">SUMIFS(OUT!$F$2:$F$11000,OUT!$H$2:$H$11000,H1214,OUT!$D$2:$D$11000,"Out",OUT!$E$2:$E$11000,"Kitchen")</f>
        <v>1584204</v>
      </c>
      <c r="P1214" s="52">
        <f ca="1">SUMIFS(OUT!$F$2:$F$11000,OUT!$H$2:$H$11000,H1214,OUT!$D$2:$D$11000,"Out",OUT!$E$2:$E$11000,"Loandry")</f>
        <v>43448</v>
      </c>
      <c r="Q1214" s="52">
        <f ca="1">SUMIFS(OUT!$F$2:$F$11000,OUT!$H$2:$H$11000,H1214,OUT!$D$2:$D$11000,"Out",OUT!$E$2:$E$11000,"Mio")</f>
        <v>329000</v>
      </c>
      <c r="R1214" s="52">
        <f ca="1">SUMIFS(OUT!$F$2:$F$11000,OUT!$H$2:$H$11000,H1214,OUT!$D$2:$D$11000,"Out",OUT!$E$2:$E$11000,"Sedekah")</f>
        <v>5000</v>
      </c>
      <c r="S1214" s="52">
        <f ca="1">SUMIFS(OUT!$F$2:$F$11000,OUT!$H$2:$H$11000,H1214,OUT!$D$2:$D$11000,"Out",OUT!$E$2:$E$11000,"Zela")</f>
        <v>40500</v>
      </c>
      <c r="T1214" s="52">
        <f ca="1">SUMIFS(OUT!$F$2:$F$11000,OUT!$H$2:$H$11000,H1214,OUT!$D$2:$D$11000,"Out",OUT!$E$2:$E$11000,"Iqbal")</f>
        <v>295000</v>
      </c>
    </row>
    <row r="1215" spans="1:20" x14ac:dyDescent="0.2">
      <c r="A1215" s="48">
        <f ca="1">IFERROR(__xludf.DUMMYFUNCTION("""COMPUTED_VALUE"""),46240)</f>
        <v>46240</v>
      </c>
      <c r="B1215" s="4" t="str">
        <f ca="1">IFERROR(__xludf.DUMMYFUNCTION("""COMPUTED_VALUE"""),"Teh + Rokok")</f>
        <v>Teh + Rokok</v>
      </c>
      <c r="C1215" s="4" t="str">
        <f ca="1">IFERROR(__xludf.DUMMYFUNCTION("""COMPUTED_VALUE"""),"Cash")</f>
        <v>Cash</v>
      </c>
      <c r="D1215" s="4" t="str">
        <f ca="1">IFERROR(__xludf.DUMMYFUNCTION("""COMPUTED_VALUE"""),"Out")</f>
        <v>Out</v>
      </c>
      <c r="E1215" s="4" t="str">
        <f ca="1">IFERROR(__xludf.DUMMYFUNCTION("""COMPUTED_VALUE"""),"Iqbal")</f>
        <v>Iqbal</v>
      </c>
      <c r="F1215" s="49">
        <f ca="1">IFERROR(__xludf.DUMMYFUNCTION("""COMPUTED_VALUE"""),22000)</f>
        <v>22000</v>
      </c>
      <c r="G1215" s="50" t="str">
        <f ca="1">IFERROR(__xludf.DUMMYFUNCTION("""COMPUTED_VALUE"""),"Zela")</f>
        <v>Zela</v>
      </c>
      <c r="H1215" s="51">
        <f t="shared" ca="1" si="0"/>
        <v>46235</v>
      </c>
      <c r="I1215" s="52" t="e">
        <f ca="1">SUMIFS(OUT!$F$2:$F$11000,OUT!$H$2:$H$11000,H1215,OUT!$D$2:$D$101007,"In")</f>
        <v>#VALUE!</v>
      </c>
      <c r="J1215" s="52">
        <f ca="1">SUMIFS(OUT!$F$2:$F$11000,OUT!$H$2:$H$11000,H1215,OUT!$D$2:$D$11000,"Out")</f>
        <v>9573570</v>
      </c>
      <c r="K1215" s="52">
        <f ca="1">SUMIFS(OUT!$F$2:$F$11000,OUT!$H$2:$H$11000,H1215,OUT!$D$2:$D$11000,"Out",OUT!$E$2:$E$11000,"Fix")</f>
        <v>2533689</v>
      </c>
      <c r="L1215" s="52">
        <f ca="1">SUMIFS(OUT!$F$2:$F$11000,OUT!$H$2:$H$11000,H1215,OUT!$D$2:$D$11000,"Out",OUT!$E$2:$E$11000,"Bathroom")</f>
        <v>14491</v>
      </c>
      <c r="M1215" s="52">
        <f ca="1">SUMIFS(OUT!$F$2:$F$11000,OUT!$H$2:$H$11000,H1215,OUT!$D$2:$D$11000,"Out",OUT!$E$2:$E$11000,"Alfa")</f>
        <v>452769</v>
      </c>
      <c r="N1215" s="52" t="e">
        <f ca="1">SUMIFS(OUT!$F$2:$F$11000,OUT!$H$2:$H$101007,H1215,OUT!$D$2:$D$11000,"Out",OUT!$E$2:$E$11000,"Jajan")</f>
        <v>#VALUE!</v>
      </c>
      <c r="O1215" s="52">
        <f ca="1">SUMIFS(OUT!$F$2:$F$11000,OUT!$H$2:$H$11000,H1215,OUT!$D$2:$D$11000,"Out",OUT!$E$2:$E$11000,"Kitchen")</f>
        <v>1584204</v>
      </c>
      <c r="P1215" s="52">
        <f ca="1">SUMIFS(OUT!$F$2:$F$11000,OUT!$H$2:$H$11000,H1215,OUT!$D$2:$D$11000,"Out",OUT!$E$2:$E$11000,"Loandry")</f>
        <v>43448</v>
      </c>
      <c r="Q1215" s="52">
        <f ca="1">SUMIFS(OUT!$F$2:$F$11000,OUT!$H$2:$H$11000,H1215,OUT!$D$2:$D$11000,"Out",OUT!$E$2:$E$11000,"Mio")</f>
        <v>329000</v>
      </c>
      <c r="R1215" s="52">
        <f ca="1">SUMIFS(OUT!$F$2:$F$11000,OUT!$H$2:$H$11000,H1215,OUT!$D$2:$D$11000,"Out",OUT!$E$2:$E$11000,"Sedekah")</f>
        <v>5000</v>
      </c>
      <c r="S1215" s="52">
        <f ca="1">SUMIFS(OUT!$F$2:$F$11000,OUT!$H$2:$H$11000,H1215,OUT!$D$2:$D$11000,"Out",OUT!$E$2:$E$11000,"Zela")</f>
        <v>40500</v>
      </c>
      <c r="T1215" s="52">
        <f ca="1">SUMIFS(OUT!$F$2:$F$11000,OUT!$H$2:$H$11000,H1215,OUT!$D$2:$D$11000,"Out",OUT!$E$2:$E$11000,"Iqbal")</f>
        <v>295000</v>
      </c>
    </row>
    <row r="1216" spans="1:20" x14ac:dyDescent="0.2">
      <c r="A1216" s="48">
        <f ca="1">IFERROR(__xludf.DUMMYFUNCTION("""COMPUTED_VALUE"""),46241)</f>
        <v>46241</v>
      </c>
      <c r="B1216" s="4" t="str">
        <f ca="1">IFERROR(__xludf.DUMMYFUNCTION("""COMPUTED_VALUE"""),"Pasar Kaget+ parkir ")</f>
        <v xml:space="preserve">Pasar Kaget+ parkir </v>
      </c>
      <c r="C1216" s="4" t="str">
        <f ca="1">IFERROR(__xludf.DUMMYFUNCTION("""COMPUTED_VALUE"""),"Cash")</f>
        <v>Cash</v>
      </c>
      <c r="D1216" s="4" t="str">
        <f ca="1">IFERROR(__xludf.DUMMYFUNCTION("""COMPUTED_VALUE"""),"Out")</f>
        <v>Out</v>
      </c>
      <c r="E1216" s="4" t="str">
        <f ca="1">IFERROR(__xludf.DUMMYFUNCTION("""COMPUTED_VALUE"""),"Kitchen")</f>
        <v>Kitchen</v>
      </c>
      <c r="F1216" s="49">
        <f ca="1">IFERROR(__xludf.DUMMYFUNCTION("""COMPUTED_VALUE"""),126000)</f>
        <v>126000</v>
      </c>
      <c r="G1216" s="50" t="str">
        <f ca="1">IFERROR(__xludf.DUMMYFUNCTION("""COMPUTED_VALUE"""),"Zela")</f>
        <v>Zela</v>
      </c>
      <c r="H1216" s="51">
        <f t="shared" ca="1" si="0"/>
        <v>46235</v>
      </c>
      <c r="I1216" s="52" t="e">
        <f ca="1">SUMIFS(OUT!$F$2:$F$11000,OUT!$H$2:$H$11000,H1216,OUT!$D$2:$D$101007,"In")</f>
        <v>#VALUE!</v>
      </c>
      <c r="J1216" s="52">
        <f ca="1">SUMIFS(OUT!$F$2:$F$11000,OUT!$H$2:$H$11000,H1216,OUT!$D$2:$D$11000,"Out")</f>
        <v>9573570</v>
      </c>
      <c r="K1216" s="52">
        <f ca="1">SUMIFS(OUT!$F$2:$F$11000,OUT!$H$2:$H$11000,H1216,OUT!$D$2:$D$11000,"Out",OUT!$E$2:$E$11000,"Fix")</f>
        <v>2533689</v>
      </c>
      <c r="L1216" s="52">
        <f ca="1">SUMIFS(OUT!$F$2:$F$11000,OUT!$H$2:$H$11000,H1216,OUT!$D$2:$D$11000,"Out",OUT!$E$2:$E$11000,"Bathroom")</f>
        <v>14491</v>
      </c>
      <c r="M1216" s="52">
        <f ca="1">SUMIFS(OUT!$F$2:$F$11000,OUT!$H$2:$H$11000,H1216,OUT!$D$2:$D$11000,"Out",OUT!$E$2:$E$11000,"Alfa")</f>
        <v>452769</v>
      </c>
      <c r="N1216" s="52" t="e">
        <f ca="1">SUMIFS(OUT!$F$2:$F$11000,OUT!$H$2:$H$101007,H1216,OUT!$D$2:$D$11000,"Out",OUT!$E$2:$E$11000,"Jajan")</f>
        <v>#VALUE!</v>
      </c>
      <c r="O1216" s="52">
        <f ca="1">SUMIFS(OUT!$F$2:$F$11000,OUT!$H$2:$H$11000,H1216,OUT!$D$2:$D$11000,"Out",OUT!$E$2:$E$11000,"Kitchen")</f>
        <v>1584204</v>
      </c>
      <c r="P1216" s="52">
        <f ca="1">SUMIFS(OUT!$F$2:$F$11000,OUT!$H$2:$H$11000,H1216,OUT!$D$2:$D$11000,"Out",OUT!$E$2:$E$11000,"Loandry")</f>
        <v>43448</v>
      </c>
      <c r="Q1216" s="52">
        <f ca="1">SUMIFS(OUT!$F$2:$F$11000,OUT!$H$2:$H$11000,H1216,OUT!$D$2:$D$11000,"Out",OUT!$E$2:$E$11000,"Mio")</f>
        <v>329000</v>
      </c>
      <c r="R1216" s="52">
        <f ca="1">SUMIFS(OUT!$F$2:$F$11000,OUT!$H$2:$H$11000,H1216,OUT!$D$2:$D$11000,"Out",OUT!$E$2:$E$11000,"Sedekah")</f>
        <v>5000</v>
      </c>
      <c r="S1216" s="52">
        <f ca="1">SUMIFS(OUT!$F$2:$F$11000,OUT!$H$2:$H$11000,H1216,OUT!$D$2:$D$11000,"Out",OUT!$E$2:$E$11000,"Zela")</f>
        <v>40500</v>
      </c>
      <c r="T1216" s="52">
        <f ca="1">SUMIFS(OUT!$F$2:$F$11000,OUT!$H$2:$H$11000,H1216,OUT!$D$2:$D$11000,"Out",OUT!$E$2:$E$11000,"Iqbal")</f>
        <v>295000</v>
      </c>
    </row>
    <row r="1217" spans="1:20" x14ac:dyDescent="0.2">
      <c r="A1217" s="48">
        <f ca="1">IFERROR(__xludf.DUMMYFUNCTION("""COMPUTED_VALUE"""),46241)</f>
        <v>46241</v>
      </c>
      <c r="B1217" s="4" t="str">
        <f ca="1">IFERROR(__xludf.DUMMYFUNCTION("""COMPUTED_VALUE"""),"Gorengan Pagi ")</f>
        <v xml:space="preserve">Gorengan Pagi </v>
      </c>
      <c r="C1217" s="4" t="str">
        <f ca="1">IFERROR(__xludf.DUMMYFUNCTION("""COMPUTED_VALUE"""),"Cash")</f>
        <v>Cash</v>
      </c>
      <c r="D1217" s="4" t="str">
        <f ca="1">IFERROR(__xludf.DUMMYFUNCTION("""COMPUTED_VALUE"""),"Out")</f>
        <v>Out</v>
      </c>
      <c r="E1217" s="4" t="str">
        <f ca="1">IFERROR(__xludf.DUMMYFUNCTION("""COMPUTED_VALUE"""),"Jajan")</f>
        <v>Jajan</v>
      </c>
      <c r="F1217" s="49">
        <f ca="1">IFERROR(__xludf.DUMMYFUNCTION("""COMPUTED_VALUE"""),12000)</f>
        <v>12000</v>
      </c>
      <c r="G1217" s="50" t="str">
        <f ca="1">IFERROR(__xludf.DUMMYFUNCTION("""COMPUTED_VALUE"""),"Zela")</f>
        <v>Zela</v>
      </c>
      <c r="H1217" s="51">
        <f t="shared" ca="1" si="0"/>
        <v>46235</v>
      </c>
      <c r="I1217" s="52" t="e">
        <f ca="1">SUMIFS(OUT!$F$2:$F$11000,OUT!$H$2:$H$11000,H1217,OUT!$D$2:$D$101007,"In")</f>
        <v>#VALUE!</v>
      </c>
      <c r="J1217" s="52">
        <f ca="1">SUMIFS(OUT!$F$2:$F$11000,OUT!$H$2:$H$11000,H1217,OUT!$D$2:$D$11000,"Out")</f>
        <v>9573570</v>
      </c>
      <c r="K1217" s="52">
        <f ca="1">SUMIFS(OUT!$F$2:$F$11000,OUT!$H$2:$H$11000,H1217,OUT!$D$2:$D$11000,"Out",OUT!$E$2:$E$11000,"Fix")</f>
        <v>2533689</v>
      </c>
      <c r="L1217" s="52">
        <f ca="1">SUMIFS(OUT!$F$2:$F$11000,OUT!$H$2:$H$11000,H1217,OUT!$D$2:$D$11000,"Out",OUT!$E$2:$E$11000,"Bathroom")</f>
        <v>14491</v>
      </c>
      <c r="M1217" s="52">
        <f ca="1">SUMIFS(OUT!$F$2:$F$11000,OUT!$H$2:$H$11000,H1217,OUT!$D$2:$D$11000,"Out",OUT!$E$2:$E$11000,"Alfa")</f>
        <v>452769</v>
      </c>
      <c r="N1217" s="52" t="e">
        <f ca="1">SUMIFS(OUT!$F$2:$F$11000,OUT!$H$2:$H$101007,H1217,OUT!$D$2:$D$11000,"Out",OUT!$E$2:$E$11000,"Jajan")</f>
        <v>#VALUE!</v>
      </c>
      <c r="O1217" s="52">
        <f ca="1">SUMIFS(OUT!$F$2:$F$11000,OUT!$H$2:$H$11000,H1217,OUT!$D$2:$D$11000,"Out",OUT!$E$2:$E$11000,"Kitchen")</f>
        <v>1584204</v>
      </c>
      <c r="P1217" s="52">
        <f ca="1">SUMIFS(OUT!$F$2:$F$11000,OUT!$H$2:$H$11000,H1217,OUT!$D$2:$D$11000,"Out",OUT!$E$2:$E$11000,"Loandry")</f>
        <v>43448</v>
      </c>
      <c r="Q1217" s="52">
        <f ca="1">SUMIFS(OUT!$F$2:$F$11000,OUT!$H$2:$H$11000,H1217,OUT!$D$2:$D$11000,"Out",OUT!$E$2:$E$11000,"Mio")</f>
        <v>329000</v>
      </c>
      <c r="R1217" s="52">
        <f ca="1">SUMIFS(OUT!$F$2:$F$11000,OUT!$H$2:$H$11000,H1217,OUT!$D$2:$D$11000,"Out",OUT!$E$2:$E$11000,"Sedekah")</f>
        <v>5000</v>
      </c>
      <c r="S1217" s="52">
        <f ca="1">SUMIFS(OUT!$F$2:$F$11000,OUT!$H$2:$H$11000,H1217,OUT!$D$2:$D$11000,"Out",OUT!$E$2:$E$11000,"Zela")</f>
        <v>40500</v>
      </c>
      <c r="T1217" s="52">
        <f ca="1">SUMIFS(OUT!$F$2:$F$11000,OUT!$H$2:$H$11000,H1217,OUT!$D$2:$D$11000,"Out",OUT!$E$2:$E$11000,"Iqbal")</f>
        <v>295000</v>
      </c>
    </row>
    <row r="1218" spans="1:20" x14ac:dyDescent="0.2">
      <c r="A1218" s="48">
        <f ca="1">IFERROR(__xludf.DUMMYFUNCTION("""COMPUTED_VALUE"""),46242)</f>
        <v>46242</v>
      </c>
      <c r="B1218" s="4" t="str">
        <f ca="1">IFERROR(__xludf.DUMMYFUNCTION("""COMPUTED_VALUE"""),"Sepeda ( shopee)")</f>
        <v>Sepeda ( shopee)</v>
      </c>
      <c r="C1218" s="4" t="str">
        <f ca="1">IFERROR(__xludf.DUMMYFUNCTION("""COMPUTED_VALUE"""),"ATM")</f>
        <v>ATM</v>
      </c>
      <c r="D1218" s="4" t="str">
        <f ca="1">IFERROR(__xludf.DUMMYFUNCTION("""COMPUTED_VALUE"""),"Out")</f>
        <v>Out</v>
      </c>
      <c r="E1218" s="4" t="str">
        <f ca="1">IFERROR(__xludf.DUMMYFUNCTION("""COMPUTED_VALUE"""),"Alfa")</f>
        <v>Alfa</v>
      </c>
      <c r="F1218" s="49">
        <f ca="1">IFERROR(__xludf.DUMMYFUNCTION("""COMPUTED_VALUE"""),191633)</f>
        <v>191633</v>
      </c>
      <c r="G1218" s="50" t="str">
        <f ca="1">IFERROR(__xludf.DUMMYFUNCTION("""COMPUTED_VALUE"""),"Zela")</f>
        <v>Zela</v>
      </c>
      <c r="H1218" s="51">
        <f t="shared" ca="1" si="0"/>
        <v>46235</v>
      </c>
      <c r="I1218" s="52" t="e">
        <f ca="1">SUMIFS(OUT!$F$2:$F$11000,OUT!$H$2:$H$11000,H1218,OUT!$D$2:$D$101007,"In")</f>
        <v>#VALUE!</v>
      </c>
      <c r="J1218" s="52">
        <f ca="1">SUMIFS(OUT!$F$2:$F$11000,OUT!$H$2:$H$11000,H1218,OUT!$D$2:$D$11000,"Out")</f>
        <v>9573570</v>
      </c>
      <c r="K1218" s="52">
        <f ca="1">SUMIFS(OUT!$F$2:$F$11000,OUT!$H$2:$H$11000,H1218,OUT!$D$2:$D$11000,"Out",OUT!$E$2:$E$11000,"Fix")</f>
        <v>2533689</v>
      </c>
      <c r="L1218" s="52">
        <f ca="1">SUMIFS(OUT!$F$2:$F$11000,OUT!$H$2:$H$11000,H1218,OUT!$D$2:$D$11000,"Out",OUT!$E$2:$E$11000,"Bathroom")</f>
        <v>14491</v>
      </c>
      <c r="M1218" s="52">
        <f ca="1">SUMIFS(OUT!$F$2:$F$11000,OUT!$H$2:$H$11000,H1218,OUT!$D$2:$D$11000,"Out",OUT!$E$2:$E$11000,"Alfa")</f>
        <v>452769</v>
      </c>
      <c r="N1218" s="52" t="e">
        <f ca="1">SUMIFS(OUT!$F$2:$F$11000,OUT!$H$2:$H$101007,H1218,OUT!$D$2:$D$11000,"Out",OUT!$E$2:$E$11000,"Jajan")</f>
        <v>#VALUE!</v>
      </c>
      <c r="O1218" s="52">
        <f ca="1">SUMIFS(OUT!$F$2:$F$11000,OUT!$H$2:$H$11000,H1218,OUT!$D$2:$D$11000,"Out",OUT!$E$2:$E$11000,"Kitchen")</f>
        <v>1584204</v>
      </c>
      <c r="P1218" s="52">
        <f ca="1">SUMIFS(OUT!$F$2:$F$11000,OUT!$H$2:$H$11000,H1218,OUT!$D$2:$D$11000,"Out",OUT!$E$2:$E$11000,"Loandry")</f>
        <v>43448</v>
      </c>
      <c r="Q1218" s="52">
        <f ca="1">SUMIFS(OUT!$F$2:$F$11000,OUT!$H$2:$H$11000,H1218,OUT!$D$2:$D$11000,"Out",OUT!$E$2:$E$11000,"Mio")</f>
        <v>329000</v>
      </c>
      <c r="R1218" s="52">
        <f ca="1">SUMIFS(OUT!$F$2:$F$11000,OUT!$H$2:$H$11000,H1218,OUT!$D$2:$D$11000,"Out",OUT!$E$2:$E$11000,"Sedekah")</f>
        <v>5000</v>
      </c>
      <c r="S1218" s="52">
        <f ca="1">SUMIFS(OUT!$F$2:$F$11000,OUT!$H$2:$H$11000,H1218,OUT!$D$2:$D$11000,"Out",OUT!$E$2:$E$11000,"Zela")</f>
        <v>40500</v>
      </c>
      <c r="T1218" s="52">
        <f ca="1">SUMIFS(OUT!$F$2:$F$11000,OUT!$H$2:$H$11000,H1218,OUT!$D$2:$D$11000,"Out",OUT!$E$2:$E$11000,"Iqbal")</f>
        <v>295000</v>
      </c>
    </row>
    <row r="1219" spans="1:20" x14ac:dyDescent="0.2">
      <c r="A1219" s="48">
        <f ca="1">IFERROR(__xludf.DUMMYFUNCTION("""COMPUTED_VALUE"""),46242)</f>
        <v>46242</v>
      </c>
      <c r="B1219" s="4" t="str">
        <f ca="1">IFERROR(__xludf.DUMMYFUNCTION("""COMPUTED_VALUE"""),"Tiktok")</f>
        <v>Tiktok</v>
      </c>
      <c r="C1219" s="4" t="str">
        <f ca="1">IFERROR(__xludf.DUMMYFUNCTION("""COMPUTED_VALUE"""),"ATM")</f>
        <v>ATM</v>
      </c>
      <c r="D1219" s="4" t="str">
        <f ca="1">IFERROR(__xludf.DUMMYFUNCTION("""COMPUTED_VALUE"""),"In")</f>
        <v>In</v>
      </c>
      <c r="E1219" s="4" t="str">
        <f ca="1">IFERROR(__xludf.DUMMYFUNCTION("""COMPUTED_VALUE"""),"Fix")</f>
        <v>Fix</v>
      </c>
      <c r="F1219" s="49">
        <f ca="1">IFERROR(__xludf.DUMMYFUNCTION("""COMPUTED_VALUE"""),37639)</f>
        <v>37639</v>
      </c>
      <c r="G1219" s="50" t="str">
        <f ca="1">IFERROR(__xludf.DUMMYFUNCTION("""COMPUTED_VALUE"""),"Zela")</f>
        <v>Zela</v>
      </c>
      <c r="H1219" s="51">
        <f t="shared" ca="1" si="0"/>
        <v>46235</v>
      </c>
      <c r="I1219" s="52" t="e">
        <f ca="1">SUMIFS(OUT!$F$2:$F$11000,OUT!$H$2:$H$11000,H1219,OUT!$D$2:$D$101007,"In")</f>
        <v>#VALUE!</v>
      </c>
      <c r="J1219" s="52">
        <f ca="1">SUMIFS(OUT!$F$2:$F$11000,OUT!$H$2:$H$11000,H1219,OUT!$D$2:$D$11000,"Out")</f>
        <v>9573570</v>
      </c>
      <c r="K1219" s="52">
        <f ca="1">SUMIFS(OUT!$F$2:$F$11000,OUT!$H$2:$H$11000,H1219,OUT!$D$2:$D$11000,"Out",OUT!$E$2:$E$11000,"Fix")</f>
        <v>2533689</v>
      </c>
      <c r="L1219" s="52">
        <f ca="1">SUMIFS(OUT!$F$2:$F$11000,OUT!$H$2:$H$11000,H1219,OUT!$D$2:$D$11000,"Out",OUT!$E$2:$E$11000,"Bathroom")</f>
        <v>14491</v>
      </c>
      <c r="M1219" s="52">
        <f ca="1">SUMIFS(OUT!$F$2:$F$11000,OUT!$H$2:$H$11000,H1219,OUT!$D$2:$D$11000,"Out",OUT!$E$2:$E$11000,"Alfa")</f>
        <v>452769</v>
      </c>
      <c r="N1219" s="52" t="e">
        <f ca="1">SUMIFS(OUT!$F$2:$F$11000,OUT!$H$2:$H$101007,H1219,OUT!$D$2:$D$11000,"Out",OUT!$E$2:$E$11000,"Jajan")</f>
        <v>#VALUE!</v>
      </c>
      <c r="O1219" s="52">
        <f ca="1">SUMIFS(OUT!$F$2:$F$11000,OUT!$H$2:$H$11000,H1219,OUT!$D$2:$D$11000,"Out",OUT!$E$2:$E$11000,"Kitchen")</f>
        <v>1584204</v>
      </c>
      <c r="P1219" s="52">
        <f ca="1">SUMIFS(OUT!$F$2:$F$11000,OUT!$H$2:$H$11000,H1219,OUT!$D$2:$D$11000,"Out",OUT!$E$2:$E$11000,"Loandry")</f>
        <v>43448</v>
      </c>
      <c r="Q1219" s="52">
        <f ca="1">SUMIFS(OUT!$F$2:$F$11000,OUT!$H$2:$H$11000,H1219,OUT!$D$2:$D$11000,"Out",OUT!$E$2:$E$11000,"Mio")</f>
        <v>329000</v>
      </c>
      <c r="R1219" s="52">
        <f ca="1">SUMIFS(OUT!$F$2:$F$11000,OUT!$H$2:$H$11000,H1219,OUT!$D$2:$D$11000,"Out",OUT!$E$2:$E$11000,"Sedekah")</f>
        <v>5000</v>
      </c>
      <c r="S1219" s="52">
        <f ca="1">SUMIFS(OUT!$F$2:$F$11000,OUT!$H$2:$H$11000,H1219,OUT!$D$2:$D$11000,"Out",OUT!$E$2:$E$11000,"Zela")</f>
        <v>40500</v>
      </c>
      <c r="T1219" s="52">
        <f ca="1">SUMIFS(OUT!$F$2:$F$11000,OUT!$H$2:$H$11000,H1219,OUT!$D$2:$D$11000,"Out",OUT!$E$2:$E$11000,"Iqbal")</f>
        <v>295000</v>
      </c>
    </row>
    <row r="1220" spans="1:20" x14ac:dyDescent="0.2">
      <c r="A1220" s="48">
        <f ca="1">IFERROR(__xludf.DUMMYFUNCTION("""COMPUTED_VALUE"""),46242)</f>
        <v>46242</v>
      </c>
      <c r="B1220" s="4" t="str">
        <f ca="1">IFERROR(__xludf.DUMMYFUNCTION("""COMPUTED_VALUE"""),"Tisu basah&amp; kering (shopee)")</f>
        <v>Tisu basah&amp; kering (shopee)</v>
      </c>
      <c r="C1220" s="4" t="str">
        <f ca="1">IFERROR(__xludf.DUMMYFUNCTION("""COMPUTED_VALUE"""),"ATM")</f>
        <v>ATM</v>
      </c>
      <c r="D1220" s="4" t="str">
        <f ca="1">IFERROR(__xludf.DUMMYFUNCTION("""COMPUTED_VALUE"""),"Out")</f>
        <v>Out</v>
      </c>
      <c r="E1220" s="4" t="str">
        <f ca="1">IFERROR(__xludf.DUMMYFUNCTION("""COMPUTED_VALUE"""),"Alfa")</f>
        <v>Alfa</v>
      </c>
      <c r="F1220" s="49">
        <f ca="1">IFERROR(__xludf.DUMMYFUNCTION("""COMPUTED_VALUE"""),46110)</f>
        <v>46110</v>
      </c>
      <c r="G1220" s="50" t="str">
        <f ca="1">IFERROR(__xludf.DUMMYFUNCTION("""COMPUTED_VALUE"""),"Zela")</f>
        <v>Zela</v>
      </c>
      <c r="H1220" s="51">
        <f t="shared" ca="1" si="0"/>
        <v>46235</v>
      </c>
      <c r="I1220" s="52" t="e">
        <f ca="1">SUMIFS(OUT!$F$2:$F$11000,OUT!$H$2:$H$11000,H1220,OUT!$D$2:$D$101007,"In")</f>
        <v>#VALUE!</v>
      </c>
      <c r="J1220" s="52">
        <f ca="1">SUMIFS(OUT!$F$2:$F$11000,OUT!$H$2:$H$11000,H1220,OUT!$D$2:$D$11000,"Out")</f>
        <v>9573570</v>
      </c>
      <c r="K1220" s="52">
        <f ca="1">SUMIFS(OUT!$F$2:$F$11000,OUT!$H$2:$H$11000,H1220,OUT!$D$2:$D$11000,"Out",OUT!$E$2:$E$11000,"Fix")</f>
        <v>2533689</v>
      </c>
      <c r="L1220" s="52">
        <f ca="1">SUMIFS(OUT!$F$2:$F$11000,OUT!$H$2:$H$11000,H1220,OUT!$D$2:$D$11000,"Out",OUT!$E$2:$E$11000,"Bathroom")</f>
        <v>14491</v>
      </c>
      <c r="M1220" s="52">
        <f ca="1">SUMIFS(OUT!$F$2:$F$11000,OUT!$H$2:$H$11000,H1220,OUT!$D$2:$D$11000,"Out",OUT!$E$2:$E$11000,"Alfa")</f>
        <v>452769</v>
      </c>
      <c r="N1220" s="52" t="e">
        <f ca="1">SUMIFS(OUT!$F$2:$F$11000,OUT!$H$2:$H$101007,H1220,OUT!$D$2:$D$11000,"Out",OUT!$E$2:$E$11000,"Jajan")</f>
        <v>#VALUE!</v>
      </c>
      <c r="O1220" s="52">
        <f ca="1">SUMIFS(OUT!$F$2:$F$11000,OUT!$H$2:$H$11000,H1220,OUT!$D$2:$D$11000,"Out",OUT!$E$2:$E$11000,"Kitchen")</f>
        <v>1584204</v>
      </c>
      <c r="P1220" s="52">
        <f ca="1">SUMIFS(OUT!$F$2:$F$11000,OUT!$H$2:$H$11000,H1220,OUT!$D$2:$D$11000,"Out",OUT!$E$2:$E$11000,"Loandry")</f>
        <v>43448</v>
      </c>
      <c r="Q1220" s="52">
        <f ca="1">SUMIFS(OUT!$F$2:$F$11000,OUT!$H$2:$H$11000,H1220,OUT!$D$2:$D$11000,"Out",OUT!$E$2:$E$11000,"Mio")</f>
        <v>329000</v>
      </c>
      <c r="R1220" s="52">
        <f ca="1">SUMIFS(OUT!$F$2:$F$11000,OUT!$H$2:$H$11000,H1220,OUT!$D$2:$D$11000,"Out",OUT!$E$2:$E$11000,"Sedekah")</f>
        <v>5000</v>
      </c>
      <c r="S1220" s="52">
        <f ca="1">SUMIFS(OUT!$F$2:$F$11000,OUT!$H$2:$H$11000,H1220,OUT!$D$2:$D$11000,"Out",OUT!$E$2:$E$11000,"Zela")</f>
        <v>40500</v>
      </c>
      <c r="T1220" s="52">
        <f ca="1">SUMIFS(OUT!$F$2:$F$11000,OUT!$H$2:$H$11000,H1220,OUT!$D$2:$D$11000,"Out",OUT!$E$2:$E$11000,"Iqbal")</f>
        <v>295000</v>
      </c>
    </row>
    <row r="1221" spans="1:20" x14ac:dyDescent="0.2">
      <c r="A1221" s="48">
        <f ca="1">IFERROR(__xludf.DUMMYFUNCTION("""COMPUTED_VALUE"""),46243)</f>
        <v>46243</v>
      </c>
      <c r="B1221" s="4" t="str">
        <f ca="1">IFERROR(__xludf.DUMMYFUNCTION("""COMPUTED_VALUE"""),"Shopee VIP (Akun 3)")</f>
        <v>Shopee VIP (Akun 3)</v>
      </c>
      <c r="C1221" s="4" t="str">
        <f ca="1">IFERROR(__xludf.DUMMYFUNCTION("""COMPUTED_VALUE"""),"ATM")</f>
        <v>ATM</v>
      </c>
      <c r="D1221" s="4" t="str">
        <f ca="1">IFERROR(__xludf.DUMMYFUNCTION("""COMPUTED_VALUE"""),"Out")</f>
        <v>Out</v>
      </c>
      <c r="E1221" s="4" t="str">
        <f ca="1">IFERROR(__xludf.DUMMYFUNCTION("""COMPUTED_VALUE"""),"Fix")</f>
        <v>Fix</v>
      </c>
      <c r="F1221" s="49">
        <f ca="1">IFERROR(__xludf.DUMMYFUNCTION("""COMPUTED_VALUE"""),30500)</f>
        <v>30500</v>
      </c>
      <c r="G1221" s="50" t="str">
        <f ca="1">IFERROR(__xludf.DUMMYFUNCTION("""COMPUTED_VALUE"""),"Zela")</f>
        <v>Zela</v>
      </c>
      <c r="H1221" s="51">
        <f t="shared" ca="1" si="0"/>
        <v>46235</v>
      </c>
      <c r="I1221" s="52" t="e">
        <f ca="1">SUMIFS(OUT!$F$2:$F$11000,OUT!$H$2:$H$11000,H1221,OUT!$D$2:$D$101007,"In")</f>
        <v>#VALUE!</v>
      </c>
      <c r="J1221" s="52">
        <f ca="1">SUMIFS(OUT!$F$2:$F$11000,OUT!$H$2:$H$11000,H1221,OUT!$D$2:$D$11000,"Out")</f>
        <v>9573570</v>
      </c>
      <c r="K1221" s="52">
        <f ca="1">SUMIFS(OUT!$F$2:$F$11000,OUT!$H$2:$H$11000,H1221,OUT!$D$2:$D$11000,"Out",OUT!$E$2:$E$11000,"Fix")</f>
        <v>2533689</v>
      </c>
      <c r="L1221" s="52">
        <f ca="1">SUMIFS(OUT!$F$2:$F$11000,OUT!$H$2:$H$11000,H1221,OUT!$D$2:$D$11000,"Out",OUT!$E$2:$E$11000,"Bathroom")</f>
        <v>14491</v>
      </c>
      <c r="M1221" s="52">
        <f ca="1">SUMIFS(OUT!$F$2:$F$11000,OUT!$H$2:$H$11000,H1221,OUT!$D$2:$D$11000,"Out",OUT!$E$2:$E$11000,"Alfa")</f>
        <v>452769</v>
      </c>
      <c r="N1221" s="52" t="e">
        <f ca="1">SUMIFS(OUT!$F$2:$F$11000,OUT!$H$2:$H$101007,H1221,OUT!$D$2:$D$11000,"Out",OUT!$E$2:$E$11000,"Jajan")</f>
        <v>#VALUE!</v>
      </c>
      <c r="O1221" s="52">
        <f ca="1">SUMIFS(OUT!$F$2:$F$11000,OUT!$H$2:$H$11000,H1221,OUT!$D$2:$D$11000,"Out",OUT!$E$2:$E$11000,"Kitchen")</f>
        <v>1584204</v>
      </c>
      <c r="P1221" s="52">
        <f ca="1">SUMIFS(OUT!$F$2:$F$11000,OUT!$H$2:$H$11000,H1221,OUT!$D$2:$D$11000,"Out",OUT!$E$2:$E$11000,"Loandry")</f>
        <v>43448</v>
      </c>
      <c r="Q1221" s="52">
        <f ca="1">SUMIFS(OUT!$F$2:$F$11000,OUT!$H$2:$H$11000,H1221,OUT!$D$2:$D$11000,"Out",OUT!$E$2:$E$11000,"Mio")</f>
        <v>329000</v>
      </c>
      <c r="R1221" s="52">
        <f ca="1">SUMIFS(OUT!$F$2:$F$11000,OUT!$H$2:$H$11000,H1221,OUT!$D$2:$D$11000,"Out",OUT!$E$2:$E$11000,"Sedekah")</f>
        <v>5000</v>
      </c>
      <c r="S1221" s="52">
        <f ca="1">SUMIFS(OUT!$F$2:$F$11000,OUT!$H$2:$H$11000,H1221,OUT!$D$2:$D$11000,"Out",OUT!$E$2:$E$11000,"Zela")</f>
        <v>40500</v>
      </c>
      <c r="T1221" s="52">
        <f ca="1">SUMIFS(OUT!$F$2:$F$11000,OUT!$H$2:$H$11000,H1221,OUT!$D$2:$D$11000,"Out",OUT!$E$2:$E$11000,"Iqbal")</f>
        <v>295000</v>
      </c>
    </row>
    <row r="1222" spans="1:20" x14ac:dyDescent="0.2">
      <c r="A1222" s="48">
        <f ca="1">IFERROR(__xludf.DUMMYFUNCTION("""COMPUTED_VALUE"""),46243)</f>
        <v>46243</v>
      </c>
      <c r="B1222" s="4" t="str">
        <f ca="1">IFERROR(__xludf.DUMMYFUNCTION("""COMPUTED_VALUE"""),"Celana Alfa ( shopee promo )")</f>
        <v>Celana Alfa ( shopee promo )</v>
      </c>
      <c r="C1222" s="4" t="str">
        <f ca="1">IFERROR(__xludf.DUMMYFUNCTION("""COMPUTED_VALUE"""),"ATM")</f>
        <v>ATM</v>
      </c>
      <c r="D1222" s="4" t="str">
        <f ca="1">IFERROR(__xludf.DUMMYFUNCTION("""COMPUTED_VALUE"""),"Out")</f>
        <v>Out</v>
      </c>
      <c r="E1222" s="4" t="str">
        <f ca="1">IFERROR(__xludf.DUMMYFUNCTION("""COMPUTED_VALUE"""),"Jajan")</f>
        <v>Jajan</v>
      </c>
      <c r="F1222" s="49">
        <f ca="1">IFERROR(__xludf.DUMMYFUNCTION("""COMPUTED_VALUE"""),11890)</f>
        <v>11890</v>
      </c>
      <c r="G1222" s="50" t="str">
        <f ca="1">IFERROR(__xludf.DUMMYFUNCTION("""COMPUTED_VALUE"""),"Zela")</f>
        <v>Zela</v>
      </c>
      <c r="H1222" s="51">
        <f t="shared" ca="1" si="0"/>
        <v>46235</v>
      </c>
      <c r="I1222" s="52" t="e">
        <f ca="1">SUMIFS(OUT!$F$2:$F$11000,OUT!$H$2:$H$11000,H1222,OUT!$D$2:$D$101007,"In")</f>
        <v>#VALUE!</v>
      </c>
      <c r="J1222" s="52">
        <f ca="1">SUMIFS(OUT!$F$2:$F$11000,OUT!$H$2:$H$11000,H1222,OUT!$D$2:$D$11000,"Out")</f>
        <v>9573570</v>
      </c>
      <c r="K1222" s="52">
        <f ca="1">SUMIFS(OUT!$F$2:$F$11000,OUT!$H$2:$H$11000,H1222,OUT!$D$2:$D$11000,"Out",OUT!$E$2:$E$11000,"Fix")</f>
        <v>2533689</v>
      </c>
      <c r="L1222" s="52">
        <f ca="1">SUMIFS(OUT!$F$2:$F$11000,OUT!$H$2:$H$11000,H1222,OUT!$D$2:$D$11000,"Out",OUT!$E$2:$E$11000,"Bathroom")</f>
        <v>14491</v>
      </c>
      <c r="M1222" s="52">
        <f ca="1">SUMIFS(OUT!$F$2:$F$11000,OUT!$H$2:$H$11000,H1222,OUT!$D$2:$D$11000,"Out",OUT!$E$2:$E$11000,"Alfa")</f>
        <v>452769</v>
      </c>
      <c r="N1222" s="52" t="e">
        <f ca="1">SUMIFS(OUT!$F$2:$F$11000,OUT!$H$2:$H$101007,H1222,OUT!$D$2:$D$11000,"Out",OUT!$E$2:$E$11000,"Jajan")</f>
        <v>#VALUE!</v>
      </c>
      <c r="O1222" s="52">
        <f ca="1">SUMIFS(OUT!$F$2:$F$11000,OUT!$H$2:$H$11000,H1222,OUT!$D$2:$D$11000,"Out",OUT!$E$2:$E$11000,"Kitchen")</f>
        <v>1584204</v>
      </c>
      <c r="P1222" s="52">
        <f ca="1">SUMIFS(OUT!$F$2:$F$11000,OUT!$H$2:$H$11000,H1222,OUT!$D$2:$D$11000,"Out",OUT!$E$2:$E$11000,"Loandry")</f>
        <v>43448</v>
      </c>
      <c r="Q1222" s="52">
        <f ca="1">SUMIFS(OUT!$F$2:$F$11000,OUT!$H$2:$H$11000,H1222,OUT!$D$2:$D$11000,"Out",OUT!$E$2:$E$11000,"Mio")</f>
        <v>329000</v>
      </c>
      <c r="R1222" s="52">
        <f ca="1">SUMIFS(OUT!$F$2:$F$11000,OUT!$H$2:$H$11000,H1222,OUT!$D$2:$D$11000,"Out",OUT!$E$2:$E$11000,"Sedekah")</f>
        <v>5000</v>
      </c>
      <c r="S1222" s="52">
        <f ca="1">SUMIFS(OUT!$F$2:$F$11000,OUT!$H$2:$H$11000,H1222,OUT!$D$2:$D$11000,"Out",OUT!$E$2:$E$11000,"Zela")</f>
        <v>40500</v>
      </c>
      <c r="T1222" s="52">
        <f ca="1">SUMIFS(OUT!$F$2:$F$11000,OUT!$H$2:$H$11000,H1222,OUT!$D$2:$D$11000,"Out",OUT!$E$2:$E$11000,"Iqbal")</f>
        <v>295000</v>
      </c>
    </row>
    <row r="1223" spans="1:20" x14ac:dyDescent="0.2">
      <c r="A1223" s="48">
        <f ca="1">IFERROR(__xludf.DUMMYFUNCTION("""COMPUTED_VALUE"""),46243)</f>
        <v>46243</v>
      </c>
      <c r="B1223" s="4" t="str">
        <f ca="1">IFERROR(__xludf.DUMMYFUNCTION("""COMPUTED_VALUE"""),"Sandal+sabun mndi")</f>
        <v>Sandal+sabun mndi</v>
      </c>
      <c r="C1223" s="4" t="str">
        <f ca="1">IFERROR(__xludf.DUMMYFUNCTION("""COMPUTED_VALUE"""),"ATM")</f>
        <v>ATM</v>
      </c>
      <c r="D1223" s="4" t="str">
        <f ca="1">IFERROR(__xludf.DUMMYFUNCTION("""COMPUTED_VALUE"""),"Out")</f>
        <v>Out</v>
      </c>
      <c r="E1223" s="4" t="str">
        <f ca="1">IFERROR(__xludf.DUMMYFUNCTION("""COMPUTED_VALUE"""),"Alfa")</f>
        <v>Alfa</v>
      </c>
      <c r="F1223" s="49">
        <f ca="1">IFERROR(__xludf.DUMMYFUNCTION("""COMPUTED_VALUE"""),38555)</f>
        <v>38555</v>
      </c>
      <c r="G1223" s="50" t="str">
        <f ca="1">IFERROR(__xludf.DUMMYFUNCTION("""COMPUTED_VALUE"""),"Zela")</f>
        <v>Zela</v>
      </c>
      <c r="H1223" s="51">
        <f t="shared" ca="1" si="0"/>
        <v>46235</v>
      </c>
      <c r="I1223" s="52" t="e">
        <f ca="1">SUMIFS(OUT!$F$2:$F$11000,OUT!$H$2:$H$11000,H1223,OUT!$D$2:$D$101007,"In")</f>
        <v>#VALUE!</v>
      </c>
      <c r="J1223" s="52">
        <f ca="1">SUMIFS(OUT!$F$2:$F$11000,OUT!$H$2:$H$11000,H1223,OUT!$D$2:$D$11000,"Out")</f>
        <v>9573570</v>
      </c>
      <c r="K1223" s="52">
        <f ca="1">SUMIFS(OUT!$F$2:$F$11000,OUT!$H$2:$H$11000,H1223,OUT!$D$2:$D$11000,"Out",OUT!$E$2:$E$11000,"Fix")</f>
        <v>2533689</v>
      </c>
      <c r="L1223" s="52">
        <f ca="1">SUMIFS(OUT!$F$2:$F$11000,OUT!$H$2:$H$11000,H1223,OUT!$D$2:$D$11000,"Out",OUT!$E$2:$E$11000,"Bathroom")</f>
        <v>14491</v>
      </c>
      <c r="M1223" s="52">
        <f ca="1">SUMIFS(OUT!$F$2:$F$11000,OUT!$H$2:$H$11000,H1223,OUT!$D$2:$D$11000,"Out",OUT!$E$2:$E$11000,"Alfa")</f>
        <v>452769</v>
      </c>
      <c r="N1223" s="52" t="e">
        <f ca="1">SUMIFS(OUT!$F$2:$F$11000,OUT!$H$2:$H$101007,H1223,OUT!$D$2:$D$11000,"Out",OUT!$E$2:$E$11000,"Jajan")</f>
        <v>#VALUE!</v>
      </c>
      <c r="O1223" s="52">
        <f ca="1">SUMIFS(OUT!$F$2:$F$11000,OUT!$H$2:$H$11000,H1223,OUT!$D$2:$D$11000,"Out",OUT!$E$2:$E$11000,"Kitchen")</f>
        <v>1584204</v>
      </c>
      <c r="P1223" s="52">
        <f ca="1">SUMIFS(OUT!$F$2:$F$11000,OUT!$H$2:$H$11000,H1223,OUT!$D$2:$D$11000,"Out",OUT!$E$2:$E$11000,"Loandry")</f>
        <v>43448</v>
      </c>
      <c r="Q1223" s="52">
        <f ca="1">SUMIFS(OUT!$F$2:$F$11000,OUT!$H$2:$H$11000,H1223,OUT!$D$2:$D$11000,"Out",OUT!$E$2:$E$11000,"Mio")</f>
        <v>329000</v>
      </c>
      <c r="R1223" s="52">
        <f ca="1">SUMIFS(OUT!$F$2:$F$11000,OUT!$H$2:$H$11000,H1223,OUT!$D$2:$D$11000,"Out",OUT!$E$2:$E$11000,"Sedekah")</f>
        <v>5000</v>
      </c>
      <c r="S1223" s="52">
        <f ca="1">SUMIFS(OUT!$F$2:$F$11000,OUT!$H$2:$H$11000,H1223,OUT!$D$2:$D$11000,"Out",OUT!$E$2:$E$11000,"Zela")</f>
        <v>40500</v>
      </c>
      <c r="T1223" s="52">
        <f ca="1">SUMIFS(OUT!$F$2:$F$11000,OUT!$H$2:$H$11000,H1223,OUT!$D$2:$D$11000,"Out",OUT!$E$2:$E$11000,"Iqbal")</f>
        <v>295000</v>
      </c>
    </row>
    <row r="1224" spans="1:20" x14ac:dyDescent="0.2">
      <c r="A1224" s="48">
        <f ca="1">IFERROR(__xludf.DUMMYFUNCTION("""COMPUTED_VALUE"""),46244)</f>
        <v>46244</v>
      </c>
      <c r="B1224" s="4" t="str">
        <f ca="1">IFERROR(__xludf.DUMMYFUNCTION("""COMPUTED_VALUE"""),"Qris Tiktok")</f>
        <v>Qris Tiktok</v>
      </c>
      <c r="C1224" s="4" t="str">
        <f ca="1">IFERROR(__xludf.DUMMYFUNCTION("""COMPUTED_VALUE"""),"ATM")</f>
        <v>ATM</v>
      </c>
      <c r="D1224" s="4" t="str">
        <f ca="1">IFERROR(__xludf.DUMMYFUNCTION("""COMPUTED_VALUE"""),"Out")</f>
        <v>Out</v>
      </c>
      <c r="E1224" s="4" t="str">
        <f ca="1">IFERROR(__xludf.DUMMYFUNCTION("""COMPUTED_VALUE"""),"Move")</f>
        <v>Move</v>
      </c>
      <c r="F1224" s="49">
        <f ca="1">IFERROR(__xludf.DUMMYFUNCTION("""COMPUTED_VALUE"""),123205)</f>
        <v>123205</v>
      </c>
      <c r="G1224" s="50" t="str">
        <f ca="1">IFERROR(__xludf.DUMMYFUNCTION("""COMPUTED_VALUE"""),"Zela")</f>
        <v>Zela</v>
      </c>
      <c r="H1224" s="51">
        <f t="shared" ca="1" si="0"/>
        <v>46235</v>
      </c>
      <c r="I1224" s="52" t="e">
        <f ca="1">SUMIFS(OUT!$F$2:$F$11000,OUT!$H$2:$H$11000,H1224,OUT!$D$2:$D$101007,"In")</f>
        <v>#VALUE!</v>
      </c>
      <c r="J1224" s="52">
        <f ca="1">SUMIFS(OUT!$F$2:$F$11000,OUT!$H$2:$H$11000,H1224,OUT!$D$2:$D$11000,"Out")</f>
        <v>9573570</v>
      </c>
      <c r="K1224" s="52">
        <f ca="1">SUMIFS(OUT!$F$2:$F$11000,OUT!$H$2:$H$11000,H1224,OUT!$D$2:$D$11000,"Out",OUT!$E$2:$E$11000,"Fix")</f>
        <v>2533689</v>
      </c>
      <c r="L1224" s="52">
        <f ca="1">SUMIFS(OUT!$F$2:$F$11000,OUT!$H$2:$H$11000,H1224,OUT!$D$2:$D$11000,"Out",OUT!$E$2:$E$11000,"Bathroom")</f>
        <v>14491</v>
      </c>
      <c r="M1224" s="52">
        <f ca="1">SUMIFS(OUT!$F$2:$F$11000,OUT!$H$2:$H$11000,H1224,OUT!$D$2:$D$11000,"Out",OUT!$E$2:$E$11000,"Alfa")</f>
        <v>452769</v>
      </c>
      <c r="N1224" s="52" t="e">
        <f ca="1">SUMIFS(OUT!$F$2:$F$11000,OUT!$H$2:$H$101007,H1224,OUT!$D$2:$D$11000,"Out",OUT!$E$2:$E$11000,"Jajan")</f>
        <v>#VALUE!</v>
      </c>
      <c r="O1224" s="52">
        <f ca="1">SUMIFS(OUT!$F$2:$F$11000,OUT!$H$2:$H$11000,H1224,OUT!$D$2:$D$11000,"Out",OUT!$E$2:$E$11000,"Kitchen")</f>
        <v>1584204</v>
      </c>
      <c r="P1224" s="52">
        <f ca="1">SUMIFS(OUT!$F$2:$F$11000,OUT!$H$2:$H$11000,H1224,OUT!$D$2:$D$11000,"Out",OUT!$E$2:$E$11000,"Loandry")</f>
        <v>43448</v>
      </c>
      <c r="Q1224" s="52">
        <f ca="1">SUMIFS(OUT!$F$2:$F$11000,OUT!$H$2:$H$11000,H1224,OUT!$D$2:$D$11000,"Out",OUT!$E$2:$E$11000,"Mio")</f>
        <v>329000</v>
      </c>
      <c r="R1224" s="52">
        <f ca="1">SUMIFS(OUT!$F$2:$F$11000,OUT!$H$2:$H$11000,H1224,OUT!$D$2:$D$11000,"Out",OUT!$E$2:$E$11000,"Sedekah")</f>
        <v>5000</v>
      </c>
      <c r="S1224" s="52">
        <f ca="1">SUMIFS(OUT!$F$2:$F$11000,OUT!$H$2:$H$11000,H1224,OUT!$D$2:$D$11000,"Out",OUT!$E$2:$E$11000,"Zela")</f>
        <v>40500</v>
      </c>
      <c r="T1224" s="52">
        <f ca="1">SUMIFS(OUT!$F$2:$F$11000,OUT!$H$2:$H$11000,H1224,OUT!$D$2:$D$11000,"Out",OUT!$E$2:$E$11000,"Iqbal")</f>
        <v>295000</v>
      </c>
    </row>
    <row r="1225" spans="1:20" x14ac:dyDescent="0.2">
      <c r="A1225" s="48">
        <f ca="1">IFERROR(__xludf.DUMMYFUNCTION("""COMPUTED_VALUE"""),46244)</f>
        <v>46244</v>
      </c>
      <c r="B1225" s="4" t="str">
        <f ca="1">IFERROR(__xludf.DUMMYFUNCTION("""COMPUTED_VALUE"""),"Pengembalian dana ")</f>
        <v xml:space="preserve">Pengembalian dana </v>
      </c>
      <c r="C1225" s="4" t="str">
        <f ca="1">IFERROR(__xludf.DUMMYFUNCTION("""COMPUTED_VALUE"""),"ATM")</f>
        <v>ATM</v>
      </c>
      <c r="D1225" s="4" t="str">
        <f ca="1">IFERROR(__xludf.DUMMYFUNCTION("""COMPUTED_VALUE"""),"In")</f>
        <v>In</v>
      </c>
      <c r="E1225" s="4" t="str">
        <f ca="1">IFERROR(__xludf.DUMMYFUNCTION("""COMPUTED_VALUE"""),"Move")</f>
        <v>Move</v>
      </c>
      <c r="F1225" s="49">
        <f ca="1">IFERROR(__xludf.DUMMYFUNCTION("""COMPUTED_VALUE"""),123205)</f>
        <v>123205</v>
      </c>
      <c r="G1225" s="50" t="str">
        <f ca="1">IFERROR(__xludf.DUMMYFUNCTION("""COMPUTED_VALUE"""),"Zela")</f>
        <v>Zela</v>
      </c>
      <c r="H1225" s="51">
        <f t="shared" ca="1" si="0"/>
        <v>46235</v>
      </c>
      <c r="I1225" s="52" t="e">
        <f ca="1">SUMIFS(OUT!$F$2:$F$11000,OUT!$H$2:$H$11000,H1225,OUT!$D$2:$D$101007,"In")</f>
        <v>#VALUE!</v>
      </c>
      <c r="J1225" s="52">
        <f ca="1">SUMIFS(OUT!$F$2:$F$11000,OUT!$H$2:$H$11000,H1225,OUT!$D$2:$D$11000,"Out")</f>
        <v>9573570</v>
      </c>
      <c r="K1225" s="52">
        <f ca="1">SUMIFS(OUT!$F$2:$F$11000,OUT!$H$2:$H$11000,H1225,OUT!$D$2:$D$11000,"Out",OUT!$E$2:$E$11000,"Fix")</f>
        <v>2533689</v>
      </c>
      <c r="L1225" s="52">
        <f ca="1">SUMIFS(OUT!$F$2:$F$11000,OUT!$H$2:$H$11000,H1225,OUT!$D$2:$D$11000,"Out",OUT!$E$2:$E$11000,"Bathroom")</f>
        <v>14491</v>
      </c>
      <c r="M1225" s="52">
        <f ca="1">SUMIFS(OUT!$F$2:$F$11000,OUT!$H$2:$H$11000,H1225,OUT!$D$2:$D$11000,"Out",OUT!$E$2:$E$11000,"Alfa")</f>
        <v>452769</v>
      </c>
      <c r="N1225" s="52" t="e">
        <f ca="1">SUMIFS(OUT!$F$2:$F$11000,OUT!$H$2:$H$101007,H1225,OUT!$D$2:$D$11000,"Out",OUT!$E$2:$E$11000,"Jajan")</f>
        <v>#VALUE!</v>
      </c>
      <c r="O1225" s="52">
        <f ca="1">SUMIFS(OUT!$F$2:$F$11000,OUT!$H$2:$H$11000,H1225,OUT!$D$2:$D$11000,"Out",OUT!$E$2:$E$11000,"Kitchen")</f>
        <v>1584204</v>
      </c>
      <c r="P1225" s="52">
        <f ca="1">SUMIFS(OUT!$F$2:$F$11000,OUT!$H$2:$H$11000,H1225,OUT!$D$2:$D$11000,"Out",OUT!$E$2:$E$11000,"Loandry")</f>
        <v>43448</v>
      </c>
      <c r="Q1225" s="52">
        <f ca="1">SUMIFS(OUT!$F$2:$F$11000,OUT!$H$2:$H$11000,H1225,OUT!$D$2:$D$11000,"Out",OUT!$E$2:$E$11000,"Mio")</f>
        <v>329000</v>
      </c>
      <c r="R1225" s="52">
        <f ca="1">SUMIFS(OUT!$F$2:$F$11000,OUT!$H$2:$H$11000,H1225,OUT!$D$2:$D$11000,"Out",OUT!$E$2:$E$11000,"Sedekah")</f>
        <v>5000</v>
      </c>
      <c r="S1225" s="52">
        <f ca="1">SUMIFS(OUT!$F$2:$F$11000,OUT!$H$2:$H$11000,H1225,OUT!$D$2:$D$11000,"Out",OUT!$E$2:$E$11000,"Zela")</f>
        <v>40500</v>
      </c>
      <c r="T1225" s="52">
        <f ca="1">SUMIFS(OUT!$F$2:$F$11000,OUT!$H$2:$H$11000,H1225,OUT!$D$2:$D$11000,"Out",OUT!$E$2:$E$11000,"Iqbal")</f>
        <v>295000</v>
      </c>
    </row>
    <row r="1226" spans="1:20" x14ac:dyDescent="0.2">
      <c r="A1226" s="48">
        <f ca="1">IFERROR(__xludf.DUMMYFUNCTION("""COMPUTED_VALUE"""),46244)</f>
        <v>46244</v>
      </c>
      <c r="B1226" s="4" t="str">
        <f ca="1">IFERROR(__xludf.DUMMYFUNCTION("""COMPUTED_VALUE"""),"Tarik Tunai ")</f>
        <v xml:space="preserve">Tarik Tunai </v>
      </c>
      <c r="C1226" s="4" t="str">
        <f ca="1">IFERROR(__xludf.DUMMYFUNCTION("""COMPUTED_VALUE"""),"ATM")</f>
        <v>ATM</v>
      </c>
      <c r="D1226" s="4" t="str">
        <f ca="1">IFERROR(__xludf.DUMMYFUNCTION("""COMPUTED_VALUE"""),"Out")</f>
        <v>Out</v>
      </c>
      <c r="E1226" s="4" t="str">
        <f ca="1">IFERROR(__xludf.DUMMYFUNCTION("""COMPUTED_VALUE"""),"Move")</f>
        <v>Move</v>
      </c>
      <c r="F1226" s="49">
        <f ca="1">IFERROR(__xludf.DUMMYFUNCTION("""COMPUTED_VALUE"""),100000)</f>
        <v>100000</v>
      </c>
      <c r="G1226" s="50" t="str">
        <f ca="1">IFERROR(__xludf.DUMMYFUNCTION("""COMPUTED_VALUE"""),"Zela")</f>
        <v>Zela</v>
      </c>
      <c r="H1226" s="51">
        <f t="shared" ca="1" si="0"/>
        <v>46235</v>
      </c>
      <c r="I1226" s="52" t="e">
        <f ca="1">SUMIFS(OUT!$F$2:$F$11000,OUT!$H$2:$H$11000,H1226,OUT!$D$2:$D$101007,"In")</f>
        <v>#VALUE!</v>
      </c>
      <c r="J1226" s="52">
        <f ca="1">SUMIFS(OUT!$F$2:$F$11000,OUT!$H$2:$H$11000,H1226,OUT!$D$2:$D$11000,"Out")</f>
        <v>9573570</v>
      </c>
      <c r="K1226" s="52">
        <f ca="1">SUMIFS(OUT!$F$2:$F$11000,OUT!$H$2:$H$11000,H1226,OUT!$D$2:$D$11000,"Out",OUT!$E$2:$E$11000,"Fix")</f>
        <v>2533689</v>
      </c>
      <c r="L1226" s="52">
        <f ca="1">SUMIFS(OUT!$F$2:$F$11000,OUT!$H$2:$H$11000,H1226,OUT!$D$2:$D$11000,"Out",OUT!$E$2:$E$11000,"Bathroom")</f>
        <v>14491</v>
      </c>
      <c r="M1226" s="52">
        <f ca="1">SUMIFS(OUT!$F$2:$F$11000,OUT!$H$2:$H$11000,H1226,OUT!$D$2:$D$11000,"Out",OUT!$E$2:$E$11000,"Alfa")</f>
        <v>452769</v>
      </c>
      <c r="N1226" s="52" t="e">
        <f ca="1">SUMIFS(OUT!$F$2:$F$11000,OUT!$H$2:$H$101007,H1226,OUT!$D$2:$D$11000,"Out",OUT!$E$2:$E$11000,"Jajan")</f>
        <v>#VALUE!</v>
      </c>
      <c r="O1226" s="52">
        <f ca="1">SUMIFS(OUT!$F$2:$F$11000,OUT!$H$2:$H$11000,H1226,OUT!$D$2:$D$11000,"Out",OUT!$E$2:$E$11000,"Kitchen")</f>
        <v>1584204</v>
      </c>
      <c r="P1226" s="52">
        <f ca="1">SUMIFS(OUT!$F$2:$F$11000,OUT!$H$2:$H$11000,H1226,OUT!$D$2:$D$11000,"Out",OUT!$E$2:$E$11000,"Loandry")</f>
        <v>43448</v>
      </c>
      <c r="Q1226" s="52">
        <f ca="1">SUMIFS(OUT!$F$2:$F$11000,OUT!$H$2:$H$11000,H1226,OUT!$D$2:$D$11000,"Out",OUT!$E$2:$E$11000,"Mio")</f>
        <v>329000</v>
      </c>
      <c r="R1226" s="52">
        <f ca="1">SUMIFS(OUT!$F$2:$F$11000,OUT!$H$2:$H$11000,H1226,OUT!$D$2:$D$11000,"Out",OUT!$E$2:$E$11000,"Sedekah")</f>
        <v>5000</v>
      </c>
      <c r="S1226" s="52">
        <f ca="1">SUMIFS(OUT!$F$2:$F$11000,OUT!$H$2:$H$11000,H1226,OUT!$D$2:$D$11000,"Out",OUT!$E$2:$E$11000,"Zela")</f>
        <v>40500</v>
      </c>
      <c r="T1226" s="52">
        <f ca="1">SUMIFS(OUT!$F$2:$F$11000,OUT!$H$2:$H$11000,H1226,OUT!$D$2:$D$11000,"Out",OUT!$E$2:$E$11000,"Iqbal")</f>
        <v>295000</v>
      </c>
    </row>
    <row r="1227" spans="1:20" x14ac:dyDescent="0.2">
      <c r="A1227" s="48">
        <f ca="1">IFERROR(__xludf.DUMMYFUNCTION("""COMPUTED_VALUE"""),46245)</f>
        <v>46245</v>
      </c>
      <c r="B1227" s="4" t="str">
        <f ca="1">IFERROR(__xludf.DUMMYFUNCTION("""COMPUTED_VALUE"""),"Terima Tunai ")</f>
        <v xml:space="preserve">Terima Tunai </v>
      </c>
      <c r="C1227" s="4" t="str">
        <f ca="1">IFERROR(__xludf.DUMMYFUNCTION("""COMPUTED_VALUE"""),"Cash")</f>
        <v>Cash</v>
      </c>
      <c r="D1227" s="4" t="str">
        <f ca="1">IFERROR(__xludf.DUMMYFUNCTION("""COMPUTED_VALUE"""),"In")</f>
        <v>In</v>
      </c>
      <c r="E1227" s="4" t="str">
        <f ca="1">IFERROR(__xludf.DUMMYFUNCTION("""COMPUTED_VALUE"""),"Move")</f>
        <v>Move</v>
      </c>
      <c r="F1227" s="49">
        <f ca="1">IFERROR(__xludf.DUMMYFUNCTION("""COMPUTED_VALUE"""),100000)</f>
        <v>100000</v>
      </c>
      <c r="G1227" s="50" t="str">
        <f ca="1">IFERROR(__xludf.DUMMYFUNCTION("""COMPUTED_VALUE"""),"Zela")</f>
        <v>Zela</v>
      </c>
      <c r="H1227" s="51">
        <f t="shared" ca="1" si="0"/>
        <v>46235</v>
      </c>
      <c r="I1227" s="52" t="e">
        <f ca="1">SUMIFS(OUT!$F$2:$F$11000,OUT!$H$2:$H$11000,H1227,OUT!$D$2:$D$101007,"In")</f>
        <v>#VALUE!</v>
      </c>
      <c r="J1227" s="52">
        <f ca="1">SUMIFS(OUT!$F$2:$F$11000,OUT!$H$2:$H$11000,H1227,OUT!$D$2:$D$11000,"Out")</f>
        <v>9573570</v>
      </c>
      <c r="K1227" s="52">
        <f ca="1">SUMIFS(OUT!$F$2:$F$11000,OUT!$H$2:$H$11000,H1227,OUT!$D$2:$D$11000,"Out",OUT!$E$2:$E$11000,"Fix")</f>
        <v>2533689</v>
      </c>
      <c r="L1227" s="52">
        <f ca="1">SUMIFS(OUT!$F$2:$F$11000,OUT!$H$2:$H$11000,H1227,OUT!$D$2:$D$11000,"Out",OUT!$E$2:$E$11000,"Bathroom")</f>
        <v>14491</v>
      </c>
      <c r="M1227" s="52">
        <f ca="1">SUMIFS(OUT!$F$2:$F$11000,OUT!$H$2:$H$11000,H1227,OUT!$D$2:$D$11000,"Out",OUT!$E$2:$E$11000,"Alfa")</f>
        <v>452769</v>
      </c>
      <c r="N1227" s="52" t="e">
        <f ca="1">SUMIFS(OUT!$F$2:$F$11000,OUT!$H$2:$H$101007,H1227,OUT!$D$2:$D$11000,"Out",OUT!$E$2:$E$11000,"Jajan")</f>
        <v>#VALUE!</v>
      </c>
      <c r="O1227" s="52">
        <f ca="1">SUMIFS(OUT!$F$2:$F$11000,OUT!$H$2:$H$11000,H1227,OUT!$D$2:$D$11000,"Out",OUT!$E$2:$E$11000,"Kitchen")</f>
        <v>1584204</v>
      </c>
      <c r="P1227" s="52">
        <f ca="1">SUMIFS(OUT!$F$2:$F$11000,OUT!$H$2:$H$11000,H1227,OUT!$D$2:$D$11000,"Out",OUT!$E$2:$E$11000,"Loandry")</f>
        <v>43448</v>
      </c>
      <c r="Q1227" s="52">
        <f ca="1">SUMIFS(OUT!$F$2:$F$11000,OUT!$H$2:$H$11000,H1227,OUT!$D$2:$D$11000,"Out",OUT!$E$2:$E$11000,"Mio")</f>
        <v>329000</v>
      </c>
      <c r="R1227" s="52">
        <f ca="1">SUMIFS(OUT!$F$2:$F$11000,OUT!$H$2:$H$11000,H1227,OUT!$D$2:$D$11000,"Out",OUT!$E$2:$E$11000,"Sedekah")</f>
        <v>5000</v>
      </c>
      <c r="S1227" s="52">
        <f ca="1">SUMIFS(OUT!$F$2:$F$11000,OUT!$H$2:$H$11000,H1227,OUT!$D$2:$D$11000,"Out",OUT!$E$2:$E$11000,"Zela")</f>
        <v>40500</v>
      </c>
      <c r="T1227" s="52">
        <f ca="1">SUMIFS(OUT!$F$2:$F$11000,OUT!$H$2:$H$11000,H1227,OUT!$D$2:$D$11000,"Out",OUT!$E$2:$E$11000,"Iqbal")</f>
        <v>295000</v>
      </c>
    </row>
    <row r="1228" spans="1:20" x14ac:dyDescent="0.2">
      <c r="A1228" s="48">
        <f ca="1">IFERROR(__xludf.DUMMYFUNCTION("""COMPUTED_VALUE"""),46245)</f>
        <v>46245</v>
      </c>
      <c r="B1228" s="4" t="str">
        <f ca="1">IFERROR(__xludf.DUMMYFUNCTION("""COMPUTED_VALUE"""),"Galon ")</f>
        <v xml:space="preserve">Galon </v>
      </c>
      <c r="C1228" s="4" t="str">
        <f ca="1">IFERROR(__xludf.DUMMYFUNCTION("""COMPUTED_VALUE"""),"Cash")</f>
        <v>Cash</v>
      </c>
      <c r="D1228" s="4" t="str">
        <f ca="1">IFERROR(__xludf.DUMMYFUNCTION("""COMPUTED_VALUE"""),"Out")</f>
        <v>Out</v>
      </c>
      <c r="E1228" s="4" t="str">
        <f ca="1">IFERROR(__xludf.DUMMYFUNCTION("""COMPUTED_VALUE"""),"Kitchen")</f>
        <v>Kitchen</v>
      </c>
      <c r="F1228" s="49">
        <f ca="1">IFERROR(__xludf.DUMMYFUNCTION("""COMPUTED_VALUE"""),3000)</f>
        <v>3000</v>
      </c>
      <c r="G1228" s="50" t="str">
        <f ca="1">IFERROR(__xludf.DUMMYFUNCTION("""COMPUTED_VALUE"""),"Zela")</f>
        <v>Zela</v>
      </c>
      <c r="H1228" s="51">
        <f t="shared" ca="1" si="0"/>
        <v>46235</v>
      </c>
      <c r="I1228" s="52" t="e">
        <f ca="1">SUMIFS(OUT!$F$2:$F$11000,OUT!$H$2:$H$11000,H1228,OUT!$D$2:$D$101007,"In")</f>
        <v>#VALUE!</v>
      </c>
      <c r="J1228" s="52">
        <f ca="1">SUMIFS(OUT!$F$2:$F$11000,OUT!$H$2:$H$11000,H1228,OUT!$D$2:$D$11000,"Out")</f>
        <v>9573570</v>
      </c>
      <c r="K1228" s="52">
        <f ca="1">SUMIFS(OUT!$F$2:$F$11000,OUT!$H$2:$H$11000,H1228,OUT!$D$2:$D$11000,"Out",OUT!$E$2:$E$11000,"Fix")</f>
        <v>2533689</v>
      </c>
      <c r="L1228" s="52">
        <f ca="1">SUMIFS(OUT!$F$2:$F$11000,OUT!$H$2:$H$11000,H1228,OUT!$D$2:$D$11000,"Out",OUT!$E$2:$E$11000,"Bathroom")</f>
        <v>14491</v>
      </c>
      <c r="M1228" s="52">
        <f ca="1">SUMIFS(OUT!$F$2:$F$11000,OUT!$H$2:$H$11000,H1228,OUT!$D$2:$D$11000,"Out",OUT!$E$2:$E$11000,"Alfa")</f>
        <v>452769</v>
      </c>
      <c r="N1228" s="52" t="e">
        <f ca="1">SUMIFS(OUT!$F$2:$F$11000,OUT!$H$2:$H$101007,H1228,OUT!$D$2:$D$11000,"Out",OUT!$E$2:$E$11000,"Jajan")</f>
        <v>#VALUE!</v>
      </c>
      <c r="O1228" s="52">
        <f ca="1">SUMIFS(OUT!$F$2:$F$11000,OUT!$H$2:$H$11000,H1228,OUT!$D$2:$D$11000,"Out",OUT!$E$2:$E$11000,"Kitchen")</f>
        <v>1584204</v>
      </c>
      <c r="P1228" s="52">
        <f ca="1">SUMIFS(OUT!$F$2:$F$11000,OUT!$H$2:$H$11000,H1228,OUT!$D$2:$D$11000,"Out",OUT!$E$2:$E$11000,"Loandry")</f>
        <v>43448</v>
      </c>
      <c r="Q1228" s="52">
        <f ca="1">SUMIFS(OUT!$F$2:$F$11000,OUT!$H$2:$H$11000,H1228,OUT!$D$2:$D$11000,"Out",OUT!$E$2:$E$11000,"Mio")</f>
        <v>329000</v>
      </c>
      <c r="R1228" s="52">
        <f ca="1">SUMIFS(OUT!$F$2:$F$11000,OUT!$H$2:$H$11000,H1228,OUT!$D$2:$D$11000,"Out",OUT!$E$2:$E$11000,"Sedekah")</f>
        <v>5000</v>
      </c>
      <c r="S1228" s="52">
        <f ca="1">SUMIFS(OUT!$F$2:$F$11000,OUT!$H$2:$H$11000,H1228,OUT!$D$2:$D$11000,"Out",OUT!$E$2:$E$11000,"Zela")</f>
        <v>40500</v>
      </c>
      <c r="T1228" s="52">
        <f ca="1">SUMIFS(OUT!$F$2:$F$11000,OUT!$H$2:$H$11000,H1228,OUT!$D$2:$D$11000,"Out",OUT!$E$2:$E$11000,"Iqbal")</f>
        <v>295000</v>
      </c>
    </row>
    <row r="1229" spans="1:20" x14ac:dyDescent="0.2">
      <c r="A1229" s="48">
        <f ca="1">IFERROR(__xludf.DUMMYFUNCTION("""COMPUTED_VALUE"""),46245)</f>
        <v>46245</v>
      </c>
      <c r="B1229" s="4" t="str">
        <f ca="1">IFERROR(__xludf.DUMMYFUNCTION("""COMPUTED_VALUE"""),"Gorengan Pagi ")</f>
        <v xml:space="preserve">Gorengan Pagi </v>
      </c>
      <c r="C1229" s="4" t="str">
        <f ca="1">IFERROR(__xludf.DUMMYFUNCTION("""COMPUTED_VALUE"""),"Cash")</f>
        <v>Cash</v>
      </c>
      <c r="D1229" s="4" t="str">
        <f ca="1">IFERROR(__xludf.DUMMYFUNCTION("""COMPUTED_VALUE"""),"Out")</f>
        <v>Out</v>
      </c>
      <c r="E1229" s="4" t="str">
        <f ca="1">IFERROR(__xludf.DUMMYFUNCTION("""COMPUTED_VALUE"""),"Jajan")</f>
        <v>Jajan</v>
      </c>
      <c r="F1229" s="49">
        <f ca="1">IFERROR(__xludf.DUMMYFUNCTION("""COMPUTED_VALUE"""),15000)</f>
        <v>15000</v>
      </c>
      <c r="G1229" s="50" t="str">
        <f ca="1">IFERROR(__xludf.DUMMYFUNCTION("""COMPUTED_VALUE"""),"Zela")</f>
        <v>Zela</v>
      </c>
      <c r="H1229" s="51">
        <f t="shared" ca="1" si="0"/>
        <v>46235</v>
      </c>
      <c r="I1229" s="52" t="e">
        <f ca="1">SUMIFS(OUT!$F$2:$F$11000,OUT!$H$2:$H$11000,H1229,OUT!$D$2:$D$101007,"In")</f>
        <v>#VALUE!</v>
      </c>
      <c r="J1229" s="52">
        <f ca="1">SUMIFS(OUT!$F$2:$F$11000,OUT!$H$2:$H$11000,H1229,OUT!$D$2:$D$11000,"Out")</f>
        <v>9573570</v>
      </c>
      <c r="K1229" s="52">
        <f ca="1">SUMIFS(OUT!$F$2:$F$11000,OUT!$H$2:$H$11000,H1229,OUT!$D$2:$D$11000,"Out",OUT!$E$2:$E$11000,"Fix")</f>
        <v>2533689</v>
      </c>
      <c r="L1229" s="52">
        <f ca="1">SUMIFS(OUT!$F$2:$F$11000,OUT!$H$2:$H$11000,H1229,OUT!$D$2:$D$11000,"Out",OUT!$E$2:$E$11000,"Bathroom")</f>
        <v>14491</v>
      </c>
      <c r="M1229" s="52">
        <f ca="1">SUMIFS(OUT!$F$2:$F$11000,OUT!$H$2:$H$11000,H1229,OUT!$D$2:$D$11000,"Out",OUT!$E$2:$E$11000,"Alfa")</f>
        <v>452769</v>
      </c>
      <c r="N1229" s="52" t="e">
        <f ca="1">SUMIFS(OUT!$F$2:$F$11000,OUT!$H$2:$H$101007,H1229,OUT!$D$2:$D$11000,"Out",OUT!$E$2:$E$11000,"Jajan")</f>
        <v>#VALUE!</v>
      </c>
      <c r="O1229" s="52">
        <f ca="1">SUMIFS(OUT!$F$2:$F$11000,OUT!$H$2:$H$11000,H1229,OUT!$D$2:$D$11000,"Out",OUT!$E$2:$E$11000,"Kitchen")</f>
        <v>1584204</v>
      </c>
      <c r="P1229" s="52">
        <f ca="1">SUMIFS(OUT!$F$2:$F$11000,OUT!$H$2:$H$11000,H1229,OUT!$D$2:$D$11000,"Out",OUT!$E$2:$E$11000,"Loandry")</f>
        <v>43448</v>
      </c>
      <c r="Q1229" s="52">
        <f ca="1">SUMIFS(OUT!$F$2:$F$11000,OUT!$H$2:$H$11000,H1229,OUT!$D$2:$D$11000,"Out",OUT!$E$2:$E$11000,"Mio")</f>
        <v>329000</v>
      </c>
      <c r="R1229" s="52">
        <f ca="1">SUMIFS(OUT!$F$2:$F$11000,OUT!$H$2:$H$11000,H1229,OUT!$D$2:$D$11000,"Out",OUT!$E$2:$E$11000,"Sedekah")</f>
        <v>5000</v>
      </c>
      <c r="S1229" s="52">
        <f ca="1">SUMIFS(OUT!$F$2:$F$11000,OUT!$H$2:$H$11000,H1229,OUT!$D$2:$D$11000,"Out",OUT!$E$2:$E$11000,"Zela")</f>
        <v>40500</v>
      </c>
      <c r="T1229" s="52">
        <f ca="1">SUMIFS(OUT!$F$2:$F$11000,OUT!$H$2:$H$11000,H1229,OUT!$D$2:$D$11000,"Out",OUT!$E$2:$E$11000,"Iqbal")</f>
        <v>295000</v>
      </c>
    </row>
    <row r="1230" spans="1:20" x14ac:dyDescent="0.2">
      <c r="A1230" s="48">
        <f ca="1">IFERROR(__xludf.DUMMYFUNCTION("""COMPUTED_VALUE"""),46245)</f>
        <v>46245</v>
      </c>
      <c r="B1230" s="4" t="str">
        <f ca="1">IFERROR(__xludf.DUMMYFUNCTION("""COMPUTED_VALUE"""),"Telor + roti tawar ")</f>
        <v xml:space="preserve">Telor + roti tawar </v>
      </c>
      <c r="C1230" s="4" t="str">
        <f ca="1">IFERROR(__xludf.DUMMYFUNCTION("""COMPUTED_VALUE"""),"Cash")</f>
        <v>Cash</v>
      </c>
      <c r="D1230" s="4" t="str">
        <f ca="1">IFERROR(__xludf.DUMMYFUNCTION("""COMPUTED_VALUE"""),"Out")</f>
        <v>Out</v>
      </c>
      <c r="E1230" s="4" t="str">
        <f ca="1">IFERROR(__xludf.DUMMYFUNCTION("""COMPUTED_VALUE"""),"Kitchen")</f>
        <v>Kitchen</v>
      </c>
      <c r="F1230" s="49">
        <f ca="1">IFERROR(__xludf.DUMMYFUNCTION("""COMPUTED_VALUE"""),27000)</f>
        <v>27000</v>
      </c>
      <c r="G1230" s="50" t="str">
        <f ca="1">IFERROR(__xludf.DUMMYFUNCTION("""COMPUTED_VALUE"""),"Zela")</f>
        <v>Zela</v>
      </c>
      <c r="H1230" s="51">
        <f t="shared" ca="1" si="0"/>
        <v>46235</v>
      </c>
      <c r="I1230" s="52" t="e">
        <f ca="1">SUMIFS(OUT!$F$2:$F$11000,OUT!$H$2:$H$11000,H1230,OUT!$D$2:$D$101007,"In")</f>
        <v>#VALUE!</v>
      </c>
      <c r="J1230" s="52">
        <f ca="1">SUMIFS(OUT!$F$2:$F$11000,OUT!$H$2:$H$11000,H1230,OUT!$D$2:$D$11000,"Out")</f>
        <v>9573570</v>
      </c>
      <c r="K1230" s="52">
        <f ca="1">SUMIFS(OUT!$F$2:$F$11000,OUT!$H$2:$H$11000,H1230,OUT!$D$2:$D$11000,"Out",OUT!$E$2:$E$11000,"Fix")</f>
        <v>2533689</v>
      </c>
      <c r="L1230" s="52">
        <f ca="1">SUMIFS(OUT!$F$2:$F$11000,OUT!$H$2:$H$11000,H1230,OUT!$D$2:$D$11000,"Out",OUT!$E$2:$E$11000,"Bathroom")</f>
        <v>14491</v>
      </c>
      <c r="M1230" s="52">
        <f ca="1">SUMIFS(OUT!$F$2:$F$11000,OUT!$H$2:$H$11000,H1230,OUT!$D$2:$D$11000,"Out",OUT!$E$2:$E$11000,"Alfa")</f>
        <v>452769</v>
      </c>
      <c r="N1230" s="52" t="e">
        <f ca="1">SUMIFS(OUT!$F$2:$F$11000,OUT!$H$2:$H$101007,H1230,OUT!$D$2:$D$11000,"Out",OUT!$E$2:$E$11000,"Jajan")</f>
        <v>#VALUE!</v>
      </c>
      <c r="O1230" s="52">
        <f ca="1">SUMIFS(OUT!$F$2:$F$11000,OUT!$H$2:$H$11000,H1230,OUT!$D$2:$D$11000,"Out",OUT!$E$2:$E$11000,"Kitchen")</f>
        <v>1584204</v>
      </c>
      <c r="P1230" s="52">
        <f ca="1">SUMIFS(OUT!$F$2:$F$11000,OUT!$H$2:$H$11000,H1230,OUT!$D$2:$D$11000,"Out",OUT!$E$2:$E$11000,"Loandry")</f>
        <v>43448</v>
      </c>
      <c r="Q1230" s="52">
        <f ca="1">SUMIFS(OUT!$F$2:$F$11000,OUT!$H$2:$H$11000,H1230,OUT!$D$2:$D$11000,"Out",OUT!$E$2:$E$11000,"Mio")</f>
        <v>329000</v>
      </c>
      <c r="R1230" s="52">
        <f ca="1">SUMIFS(OUT!$F$2:$F$11000,OUT!$H$2:$H$11000,H1230,OUT!$D$2:$D$11000,"Out",OUT!$E$2:$E$11000,"Sedekah")</f>
        <v>5000</v>
      </c>
      <c r="S1230" s="52">
        <f ca="1">SUMIFS(OUT!$F$2:$F$11000,OUT!$H$2:$H$11000,H1230,OUT!$D$2:$D$11000,"Out",OUT!$E$2:$E$11000,"Zela")</f>
        <v>40500</v>
      </c>
      <c r="T1230" s="52">
        <f ca="1">SUMIFS(OUT!$F$2:$F$11000,OUT!$H$2:$H$11000,H1230,OUT!$D$2:$D$11000,"Out",OUT!$E$2:$E$11000,"Iqbal")</f>
        <v>295000</v>
      </c>
    </row>
    <row r="1231" spans="1:20" x14ac:dyDescent="0.2">
      <c r="A1231" s="48">
        <f ca="1">IFERROR(__xludf.DUMMYFUNCTION("""COMPUTED_VALUE"""),46245)</f>
        <v>46245</v>
      </c>
      <c r="B1231" s="4" t="str">
        <f ca="1">IFERROR(__xludf.DUMMYFUNCTION("""COMPUTED_VALUE"""),"dkriuk")</f>
        <v>dkriuk</v>
      </c>
      <c r="C1231" s="4" t="str">
        <f ca="1">IFERROR(__xludf.DUMMYFUNCTION("""COMPUTED_VALUE"""),"ATM")</f>
        <v>ATM</v>
      </c>
      <c r="D1231" s="4" t="str">
        <f ca="1">IFERROR(__xludf.DUMMYFUNCTION("""COMPUTED_VALUE"""),"Out")</f>
        <v>Out</v>
      </c>
      <c r="E1231" s="4" t="str">
        <f ca="1">IFERROR(__xludf.DUMMYFUNCTION("""COMPUTED_VALUE"""),"Kitchen")</f>
        <v>Kitchen</v>
      </c>
      <c r="F1231" s="49">
        <f ca="1">IFERROR(__xludf.DUMMYFUNCTION("""COMPUTED_VALUE"""),36000)</f>
        <v>36000</v>
      </c>
      <c r="G1231" s="50" t="str">
        <f ca="1">IFERROR(__xludf.DUMMYFUNCTION("""COMPUTED_VALUE"""),"Zela")</f>
        <v>Zela</v>
      </c>
      <c r="H1231" s="51">
        <f t="shared" ca="1" si="0"/>
        <v>46235</v>
      </c>
      <c r="I1231" s="52" t="e">
        <f ca="1">SUMIFS(OUT!$F$2:$F$11000,OUT!$H$2:$H$11000,H1231,OUT!$D$2:$D$101007,"In")</f>
        <v>#VALUE!</v>
      </c>
      <c r="J1231" s="52">
        <f ca="1">SUMIFS(OUT!$F$2:$F$11000,OUT!$H$2:$H$11000,H1231,OUT!$D$2:$D$11000,"Out")</f>
        <v>9573570</v>
      </c>
      <c r="K1231" s="52">
        <f ca="1">SUMIFS(OUT!$F$2:$F$11000,OUT!$H$2:$H$11000,H1231,OUT!$D$2:$D$11000,"Out",OUT!$E$2:$E$11000,"Fix")</f>
        <v>2533689</v>
      </c>
      <c r="L1231" s="52">
        <f ca="1">SUMIFS(OUT!$F$2:$F$11000,OUT!$H$2:$H$11000,H1231,OUT!$D$2:$D$11000,"Out",OUT!$E$2:$E$11000,"Bathroom")</f>
        <v>14491</v>
      </c>
      <c r="M1231" s="52">
        <f ca="1">SUMIFS(OUT!$F$2:$F$11000,OUT!$H$2:$H$11000,H1231,OUT!$D$2:$D$11000,"Out",OUT!$E$2:$E$11000,"Alfa")</f>
        <v>452769</v>
      </c>
      <c r="N1231" s="52" t="e">
        <f ca="1">SUMIFS(OUT!$F$2:$F$11000,OUT!$H$2:$H$101007,H1231,OUT!$D$2:$D$11000,"Out",OUT!$E$2:$E$11000,"Jajan")</f>
        <v>#VALUE!</v>
      </c>
      <c r="O1231" s="52">
        <f ca="1">SUMIFS(OUT!$F$2:$F$11000,OUT!$H$2:$H$11000,H1231,OUT!$D$2:$D$11000,"Out",OUT!$E$2:$E$11000,"Kitchen")</f>
        <v>1584204</v>
      </c>
      <c r="P1231" s="52">
        <f ca="1">SUMIFS(OUT!$F$2:$F$11000,OUT!$H$2:$H$11000,H1231,OUT!$D$2:$D$11000,"Out",OUT!$E$2:$E$11000,"Loandry")</f>
        <v>43448</v>
      </c>
      <c r="Q1231" s="52">
        <f ca="1">SUMIFS(OUT!$F$2:$F$11000,OUT!$H$2:$H$11000,H1231,OUT!$D$2:$D$11000,"Out",OUT!$E$2:$E$11000,"Mio")</f>
        <v>329000</v>
      </c>
      <c r="R1231" s="52">
        <f ca="1">SUMIFS(OUT!$F$2:$F$11000,OUT!$H$2:$H$11000,H1231,OUT!$D$2:$D$11000,"Out",OUT!$E$2:$E$11000,"Sedekah")</f>
        <v>5000</v>
      </c>
      <c r="S1231" s="52">
        <f ca="1">SUMIFS(OUT!$F$2:$F$11000,OUT!$H$2:$H$11000,H1231,OUT!$D$2:$D$11000,"Out",OUT!$E$2:$E$11000,"Zela")</f>
        <v>40500</v>
      </c>
      <c r="T1231" s="52">
        <f ca="1">SUMIFS(OUT!$F$2:$F$11000,OUT!$H$2:$H$11000,H1231,OUT!$D$2:$D$11000,"Out",OUT!$E$2:$E$11000,"Iqbal")</f>
        <v>295000</v>
      </c>
    </row>
    <row r="1232" spans="1:20" x14ac:dyDescent="0.2">
      <c r="A1232" s="48">
        <f ca="1">IFERROR(__xludf.DUMMYFUNCTION("""COMPUTED_VALUE"""),46245)</f>
        <v>46245</v>
      </c>
      <c r="B1232" s="4" t="str">
        <f ca="1">IFERROR(__xludf.DUMMYFUNCTION("""COMPUTED_VALUE"""),"jeruk")</f>
        <v>jeruk</v>
      </c>
      <c r="C1232" s="4" t="str">
        <f ca="1">IFERROR(__xludf.DUMMYFUNCTION("""COMPUTED_VALUE"""),"Cash")</f>
        <v>Cash</v>
      </c>
      <c r="D1232" s="4" t="str">
        <f ca="1">IFERROR(__xludf.DUMMYFUNCTION("""COMPUTED_VALUE"""),"Out")</f>
        <v>Out</v>
      </c>
      <c r="E1232" s="4" t="str">
        <f ca="1">IFERROR(__xludf.DUMMYFUNCTION("""COMPUTED_VALUE"""),"Jajan")</f>
        <v>Jajan</v>
      </c>
      <c r="F1232" s="49">
        <f ca="1">IFERROR(__xludf.DUMMYFUNCTION("""COMPUTED_VALUE"""),10000)</f>
        <v>10000</v>
      </c>
      <c r="G1232" s="50" t="str">
        <f ca="1">IFERROR(__xludf.DUMMYFUNCTION("""COMPUTED_VALUE"""),"Zela")</f>
        <v>Zela</v>
      </c>
      <c r="H1232" s="51">
        <f t="shared" ca="1" si="0"/>
        <v>46235</v>
      </c>
      <c r="I1232" s="52" t="e">
        <f ca="1">SUMIFS(OUT!$F$2:$F$11000,OUT!$H$2:$H$11000,H1232,OUT!$D$2:$D$101007,"In")</f>
        <v>#VALUE!</v>
      </c>
      <c r="J1232" s="52">
        <f ca="1">SUMIFS(OUT!$F$2:$F$11000,OUT!$H$2:$H$11000,H1232,OUT!$D$2:$D$11000,"Out")</f>
        <v>9573570</v>
      </c>
      <c r="K1232" s="52">
        <f ca="1">SUMIFS(OUT!$F$2:$F$11000,OUT!$H$2:$H$11000,H1232,OUT!$D$2:$D$11000,"Out",OUT!$E$2:$E$11000,"Fix")</f>
        <v>2533689</v>
      </c>
      <c r="L1232" s="52">
        <f ca="1">SUMIFS(OUT!$F$2:$F$11000,OUT!$H$2:$H$11000,H1232,OUT!$D$2:$D$11000,"Out",OUT!$E$2:$E$11000,"Bathroom")</f>
        <v>14491</v>
      </c>
      <c r="M1232" s="52">
        <f ca="1">SUMIFS(OUT!$F$2:$F$11000,OUT!$H$2:$H$11000,H1232,OUT!$D$2:$D$11000,"Out",OUT!$E$2:$E$11000,"Alfa")</f>
        <v>452769</v>
      </c>
      <c r="N1232" s="52" t="e">
        <f ca="1">SUMIFS(OUT!$F$2:$F$11000,OUT!$H$2:$H$101007,H1232,OUT!$D$2:$D$11000,"Out",OUT!$E$2:$E$11000,"Jajan")</f>
        <v>#VALUE!</v>
      </c>
      <c r="O1232" s="52">
        <f ca="1">SUMIFS(OUT!$F$2:$F$11000,OUT!$H$2:$H$11000,H1232,OUT!$D$2:$D$11000,"Out",OUT!$E$2:$E$11000,"Kitchen")</f>
        <v>1584204</v>
      </c>
      <c r="P1232" s="52">
        <f ca="1">SUMIFS(OUT!$F$2:$F$11000,OUT!$H$2:$H$11000,H1232,OUT!$D$2:$D$11000,"Out",OUT!$E$2:$E$11000,"Loandry")</f>
        <v>43448</v>
      </c>
      <c r="Q1232" s="52">
        <f ca="1">SUMIFS(OUT!$F$2:$F$11000,OUT!$H$2:$H$11000,H1232,OUT!$D$2:$D$11000,"Out",OUT!$E$2:$E$11000,"Mio")</f>
        <v>329000</v>
      </c>
      <c r="R1232" s="52">
        <f ca="1">SUMIFS(OUT!$F$2:$F$11000,OUT!$H$2:$H$11000,H1232,OUT!$D$2:$D$11000,"Out",OUT!$E$2:$E$11000,"Sedekah")</f>
        <v>5000</v>
      </c>
      <c r="S1232" s="52">
        <f ca="1">SUMIFS(OUT!$F$2:$F$11000,OUT!$H$2:$H$11000,H1232,OUT!$D$2:$D$11000,"Out",OUT!$E$2:$E$11000,"Zela")</f>
        <v>40500</v>
      </c>
      <c r="T1232" s="52">
        <f ca="1">SUMIFS(OUT!$F$2:$F$11000,OUT!$H$2:$H$11000,H1232,OUT!$D$2:$D$11000,"Out",OUT!$E$2:$E$11000,"Iqbal")</f>
        <v>295000</v>
      </c>
    </row>
    <row r="1233" spans="1:20" x14ac:dyDescent="0.2">
      <c r="A1233" s="48">
        <f ca="1">IFERROR(__xludf.DUMMYFUNCTION("""COMPUTED_VALUE"""),46245)</f>
        <v>46245</v>
      </c>
      <c r="B1233" s="4" t="str">
        <f ca="1">IFERROR(__xludf.DUMMYFUNCTION("""COMPUTED_VALUE"""),"bensin")</f>
        <v>bensin</v>
      </c>
      <c r="C1233" s="4" t="str">
        <f ca="1">IFERROR(__xludf.DUMMYFUNCTION("""COMPUTED_VALUE"""),"Cash")</f>
        <v>Cash</v>
      </c>
      <c r="D1233" s="4" t="str">
        <f ca="1">IFERROR(__xludf.DUMMYFUNCTION("""COMPUTED_VALUE"""),"Out")</f>
        <v>Out</v>
      </c>
      <c r="E1233" s="4" t="str">
        <f ca="1">IFERROR(__xludf.DUMMYFUNCTION("""COMPUTED_VALUE"""),"Mio")</f>
        <v>Mio</v>
      </c>
      <c r="F1233" s="49">
        <f ca="1">IFERROR(__xludf.DUMMYFUNCTION("""COMPUTED_VALUE"""),22000)</f>
        <v>22000</v>
      </c>
      <c r="G1233" s="50" t="str">
        <f ca="1">IFERROR(__xludf.DUMMYFUNCTION("""COMPUTED_VALUE"""),"Zela")</f>
        <v>Zela</v>
      </c>
      <c r="H1233" s="51">
        <f t="shared" ca="1" si="0"/>
        <v>46235</v>
      </c>
      <c r="I1233" s="52" t="e">
        <f ca="1">SUMIFS(OUT!$F$2:$F$11000,OUT!$H$2:$H$11000,H1233,OUT!$D$2:$D$101007,"In")</f>
        <v>#VALUE!</v>
      </c>
      <c r="J1233" s="52">
        <f ca="1">SUMIFS(OUT!$F$2:$F$11000,OUT!$H$2:$H$11000,H1233,OUT!$D$2:$D$11000,"Out")</f>
        <v>9573570</v>
      </c>
      <c r="K1233" s="52">
        <f ca="1">SUMIFS(OUT!$F$2:$F$11000,OUT!$H$2:$H$11000,H1233,OUT!$D$2:$D$11000,"Out",OUT!$E$2:$E$11000,"Fix")</f>
        <v>2533689</v>
      </c>
      <c r="L1233" s="52">
        <f ca="1">SUMIFS(OUT!$F$2:$F$11000,OUT!$H$2:$H$11000,H1233,OUT!$D$2:$D$11000,"Out",OUT!$E$2:$E$11000,"Bathroom")</f>
        <v>14491</v>
      </c>
      <c r="M1233" s="52">
        <f ca="1">SUMIFS(OUT!$F$2:$F$11000,OUT!$H$2:$H$11000,H1233,OUT!$D$2:$D$11000,"Out",OUT!$E$2:$E$11000,"Alfa")</f>
        <v>452769</v>
      </c>
      <c r="N1233" s="52" t="e">
        <f ca="1">SUMIFS(OUT!$F$2:$F$11000,OUT!$H$2:$H$101007,H1233,OUT!$D$2:$D$11000,"Out",OUT!$E$2:$E$11000,"Jajan")</f>
        <v>#VALUE!</v>
      </c>
      <c r="O1233" s="52">
        <f ca="1">SUMIFS(OUT!$F$2:$F$11000,OUT!$H$2:$H$11000,H1233,OUT!$D$2:$D$11000,"Out",OUT!$E$2:$E$11000,"Kitchen")</f>
        <v>1584204</v>
      </c>
      <c r="P1233" s="52">
        <f ca="1">SUMIFS(OUT!$F$2:$F$11000,OUT!$H$2:$H$11000,H1233,OUT!$D$2:$D$11000,"Out",OUT!$E$2:$E$11000,"Loandry")</f>
        <v>43448</v>
      </c>
      <c r="Q1233" s="52">
        <f ca="1">SUMIFS(OUT!$F$2:$F$11000,OUT!$H$2:$H$11000,H1233,OUT!$D$2:$D$11000,"Out",OUT!$E$2:$E$11000,"Mio")</f>
        <v>329000</v>
      </c>
      <c r="R1233" s="52">
        <f ca="1">SUMIFS(OUT!$F$2:$F$11000,OUT!$H$2:$H$11000,H1233,OUT!$D$2:$D$11000,"Out",OUT!$E$2:$E$11000,"Sedekah")</f>
        <v>5000</v>
      </c>
      <c r="S1233" s="52">
        <f ca="1">SUMIFS(OUT!$F$2:$F$11000,OUT!$H$2:$H$11000,H1233,OUT!$D$2:$D$11000,"Out",OUT!$E$2:$E$11000,"Zela")</f>
        <v>40500</v>
      </c>
      <c r="T1233" s="52">
        <f ca="1">SUMIFS(OUT!$F$2:$F$11000,OUT!$H$2:$H$11000,H1233,OUT!$D$2:$D$11000,"Out",OUT!$E$2:$E$11000,"Iqbal")</f>
        <v>295000</v>
      </c>
    </row>
    <row r="1234" spans="1:20" x14ac:dyDescent="0.2">
      <c r="A1234" s="48">
        <f ca="1">IFERROR(__xludf.DUMMYFUNCTION("""COMPUTED_VALUE"""),46245)</f>
        <v>46245</v>
      </c>
      <c r="B1234" s="4" t="str">
        <f ca="1">IFERROR(__xludf.DUMMYFUNCTION("""COMPUTED_VALUE"""),"sanmol")</f>
        <v>sanmol</v>
      </c>
      <c r="C1234" s="4" t="str">
        <f ca="1">IFERROR(__xludf.DUMMYFUNCTION("""COMPUTED_VALUE"""),"Cash")</f>
        <v>Cash</v>
      </c>
      <c r="D1234" s="4" t="str">
        <f ca="1">IFERROR(__xludf.DUMMYFUNCTION("""COMPUTED_VALUE"""),"Out")</f>
        <v>Out</v>
      </c>
      <c r="E1234" s="4" t="str">
        <f ca="1">IFERROR(__xludf.DUMMYFUNCTION("""COMPUTED_VALUE"""),"Alfa")</f>
        <v>Alfa</v>
      </c>
      <c r="F1234" s="49">
        <f ca="1">IFERROR(__xludf.DUMMYFUNCTION("""COMPUTED_VALUE"""),23000)</f>
        <v>23000</v>
      </c>
      <c r="G1234" s="50" t="str">
        <f ca="1">IFERROR(__xludf.DUMMYFUNCTION("""COMPUTED_VALUE"""),"Zela")</f>
        <v>Zela</v>
      </c>
      <c r="H1234" s="51">
        <f t="shared" ca="1" si="0"/>
        <v>46235</v>
      </c>
      <c r="I1234" s="52" t="e">
        <f ca="1">SUMIFS(OUT!$F$2:$F$11000,OUT!$H$2:$H$11000,H1234,OUT!$D$2:$D$101007,"In")</f>
        <v>#VALUE!</v>
      </c>
      <c r="J1234" s="52">
        <f ca="1">SUMIFS(OUT!$F$2:$F$11000,OUT!$H$2:$H$11000,H1234,OUT!$D$2:$D$11000,"Out")</f>
        <v>9573570</v>
      </c>
      <c r="K1234" s="52">
        <f ca="1">SUMIFS(OUT!$F$2:$F$11000,OUT!$H$2:$H$11000,H1234,OUT!$D$2:$D$11000,"Out",OUT!$E$2:$E$11000,"Fix")</f>
        <v>2533689</v>
      </c>
      <c r="L1234" s="52">
        <f ca="1">SUMIFS(OUT!$F$2:$F$11000,OUT!$H$2:$H$11000,H1234,OUT!$D$2:$D$11000,"Out",OUT!$E$2:$E$11000,"Bathroom")</f>
        <v>14491</v>
      </c>
      <c r="M1234" s="52">
        <f ca="1">SUMIFS(OUT!$F$2:$F$11000,OUT!$H$2:$H$11000,H1234,OUT!$D$2:$D$11000,"Out",OUT!$E$2:$E$11000,"Alfa")</f>
        <v>452769</v>
      </c>
      <c r="N1234" s="52" t="e">
        <f ca="1">SUMIFS(OUT!$F$2:$F$11000,OUT!$H$2:$H$101007,H1234,OUT!$D$2:$D$11000,"Out",OUT!$E$2:$E$11000,"Jajan")</f>
        <v>#VALUE!</v>
      </c>
      <c r="O1234" s="52">
        <f ca="1">SUMIFS(OUT!$F$2:$F$11000,OUT!$H$2:$H$11000,H1234,OUT!$D$2:$D$11000,"Out",OUT!$E$2:$E$11000,"Kitchen")</f>
        <v>1584204</v>
      </c>
      <c r="P1234" s="52">
        <f ca="1">SUMIFS(OUT!$F$2:$F$11000,OUT!$H$2:$H$11000,H1234,OUT!$D$2:$D$11000,"Out",OUT!$E$2:$E$11000,"Loandry")</f>
        <v>43448</v>
      </c>
      <c r="Q1234" s="52">
        <f ca="1">SUMIFS(OUT!$F$2:$F$11000,OUT!$H$2:$H$11000,H1234,OUT!$D$2:$D$11000,"Out",OUT!$E$2:$E$11000,"Mio")</f>
        <v>329000</v>
      </c>
      <c r="R1234" s="52">
        <f ca="1">SUMIFS(OUT!$F$2:$F$11000,OUT!$H$2:$H$11000,H1234,OUT!$D$2:$D$11000,"Out",OUT!$E$2:$E$11000,"Sedekah")</f>
        <v>5000</v>
      </c>
      <c r="S1234" s="52">
        <f ca="1">SUMIFS(OUT!$F$2:$F$11000,OUT!$H$2:$H$11000,H1234,OUT!$D$2:$D$11000,"Out",OUT!$E$2:$E$11000,"Zela")</f>
        <v>40500</v>
      </c>
      <c r="T1234" s="52">
        <f ca="1">SUMIFS(OUT!$F$2:$F$11000,OUT!$H$2:$H$11000,H1234,OUT!$D$2:$D$11000,"Out",OUT!$E$2:$E$11000,"Iqbal")</f>
        <v>295000</v>
      </c>
    </row>
    <row r="1235" spans="1:20" x14ac:dyDescent="0.2">
      <c r="A1235" s="48">
        <f ca="1">IFERROR(__xludf.DUMMYFUNCTION("""COMPUTED_VALUE"""),46245)</f>
        <v>46245</v>
      </c>
      <c r="B1235" s="4" t="str">
        <f ca="1">IFERROR(__xludf.DUMMYFUNCTION("""COMPUTED_VALUE"""),"suamiku")</f>
        <v>suamiku</v>
      </c>
      <c r="C1235" s="4" t="str">
        <f ca="1">IFERROR(__xludf.DUMMYFUNCTION("""COMPUTED_VALUE"""),"ATM")</f>
        <v>ATM</v>
      </c>
      <c r="D1235" s="4" t="str">
        <f ca="1">IFERROR(__xludf.DUMMYFUNCTION("""COMPUTED_VALUE"""),"Out")</f>
        <v>Out</v>
      </c>
      <c r="E1235" s="4" t="str">
        <f ca="1">IFERROR(__xludf.DUMMYFUNCTION("""COMPUTED_VALUE"""),"Iqbal")</f>
        <v>Iqbal</v>
      </c>
      <c r="F1235" s="49">
        <f ca="1">IFERROR(__xludf.DUMMYFUNCTION("""COMPUTED_VALUE"""),16000)</f>
        <v>16000</v>
      </c>
      <c r="G1235" s="50" t="str">
        <f ca="1">IFERROR(__xludf.DUMMYFUNCTION("""COMPUTED_VALUE"""),"Zela")</f>
        <v>Zela</v>
      </c>
      <c r="H1235" s="51">
        <f t="shared" ca="1" si="0"/>
        <v>46235</v>
      </c>
      <c r="I1235" s="52" t="e">
        <f ca="1">SUMIFS(OUT!$F$2:$F$11000,OUT!$H$2:$H$11000,H1235,OUT!$D$2:$D$101007,"In")</f>
        <v>#VALUE!</v>
      </c>
      <c r="J1235" s="52">
        <f ca="1">SUMIFS(OUT!$F$2:$F$11000,OUT!$H$2:$H$11000,H1235,OUT!$D$2:$D$11000,"Out")</f>
        <v>9573570</v>
      </c>
      <c r="K1235" s="52">
        <f ca="1">SUMIFS(OUT!$F$2:$F$11000,OUT!$H$2:$H$11000,H1235,OUT!$D$2:$D$11000,"Out",OUT!$E$2:$E$11000,"Fix")</f>
        <v>2533689</v>
      </c>
      <c r="L1235" s="52">
        <f ca="1">SUMIFS(OUT!$F$2:$F$11000,OUT!$H$2:$H$11000,H1235,OUT!$D$2:$D$11000,"Out",OUT!$E$2:$E$11000,"Bathroom")</f>
        <v>14491</v>
      </c>
      <c r="M1235" s="52">
        <f ca="1">SUMIFS(OUT!$F$2:$F$11000,OUT!$H$2:$H$11000,H1235,OUT!$D$2:$D$11000,"Out",OUT!$E$2:$E$11000,"Alfa")</f>
        <v>452769</v>
      </c>
      <c r="N1235" s="52" t="e">
        <f ca="1">SUMIFS(OUT!$F$2:$F$11000,OUT!$H$2:$H$101007,H1235,OUT!$D$2:$D$11000,"Out",OUT!$E$2:$E$11000,"Jajan")</f>
        <v>#VALUE!</v>
      </c>
      <c r="O1235" s="52">
        <f ca="1">SUMIFS(OUT!$F$2:$F$11000,OUT!$H$2:$H$11000,H1235,OUT!$D$2:$D$11000,"Out",OUT!$E$2:$E$11000,"Kitchen")</f>
        <v>1584204</v>
      </c>
      <c r="P1235" s="52">
        <f ca="1">SUMIFS(OUT!$F$2:$F$11000,OUT!$H$2:$H$11000,H1235,OUT!$D$2:$D$11000,"Out",OUT!$E$2:$E$11000,"Loandry")</f>
        <v>43448</v>
      </c>
      <c r="Q1235" s="52">
        <f ca="1">SUMIFS(OUT!$F$2:$F$11000,OUT!$H$2:$H$11000,H1235,OUT!$D$2:$D$11000,"Out",OUT!$E$2:$E$11000,"Mio")</f>
        <v>329000</v>
      </c>
      <c r="R1235" s="52">
        <f ca="1">SUMIFS(OUT!$F$2:$F$11000,OUT!$H$2:$H$11000,H1235,OUT!$D$2:$D$11000,"Out",OUT!$E$2:$E$11000,"Sedekah")</f>
        <v>5000</v>
      </c>
      <c r="S1235" s="52">
        <f ca="1">SUMIFS(OUT!$F$2:$F$11000,OUT!$H$2:$H$11000,H1235,OUT!$D$2:$D$11000,"Out",OUT!$E$2:$E$11000,"Zela")</f>
        <v>40500</v>
      </c>
      <c r="T1235" s="52">
        <f ca="1">SUMIFS(OUT!$F$2:$F$11000,OUT!$H$2:$H$11000,H1235,OUT!$D$2:$D$11000,"Out",OUT!$E$2:$E$11000,"Iqbal")</f>
        <v>295000</v>
      </c>
    </row>
    <row r="1236" spans="1:20" x14ac:dyDescent="0.2">
      <c r="A1236" s="48">
        <f ca="1">IFERROR(__xludf.DUMMYFUNCTION("""COMPUTED_VALUE"""),46245)</f>
        <v>46245</v>
      </c>
      <c r="B1236" s="4" t="str">
        <f ca="1">IFERROR(__xludf.DUMMYFUNCTION("""COMPUTED_VALUE"""),"suamiku")</f>
        <v>suamiku</v>
      </c>
      <c r="C1236" s="4" t="str">
        <f ca="1">IFERROR(__xludf.DUMMYFUNCTION("""COMPUTED_VALUE"""),"ATM")</f>
        <v>ATM</v>
      </c>
      <c r="D1236" s="4" t="str">
        <f ca="1">IFERROR(__xludf.DUMMYFUNCTION("""COMPUTED_VALUE"""),"In")</f>
        <v>In</v>
      </c>
      <c r="E1236" s="4" t="str">
        <f ca="1">IFERROR(__xludf.DUMMYFUNCTION("""COMPUTED_VALUE"""),"Fix")</f>
        <v>Fix</v>
      </c>
      <c r="F1236" s="49">
        <f ca="1">IFERROR(__xludf.DUMMYFUNCTION("""COMPUTED_VALUE"""),17522)</f>
        <v>17522</v>
      </c>
      <c r="G1236" s="50" t="str">
        <f ca="1">IFERROR(__xludf.DUMMYFUNCTION("""COMPUTED_VALUE"""),"Zela")</f>
        <v>Zela</v>
      </c>
      <c r="H1236" s="51">
        <f t="shared" ca="1" si="0"/>
        <v>46235</v>
      </c>
      <c r="I1236" s="52" t="e">
        <f ca="1">SUMIFS(OUT!$F$2:$F$11000,OUT!$H$2:$H$11000,H1236,OUT!$D$2:$D$101007,"In")</f>
        <v>#VALUE!</v>
      </c>
      <c r="J1236" s="52">
        <f ca="1">SUMIFS(OUT!$F$2:$F$11000,OUT!$H$2:$H$11000,H1236,OUT!$D$2:$D$11000,"Out")</f>
        <v>9573570</v>
      </c>
      <c r="K1236" s="52">
        <f ca="1">SUMIFS(OUT!$F$2:$F$11000,OUT!$H$2:$H$11000,H1236,OUT!$D$2:$D$11000,"Out",OUT!$E$2:$E$11000,"Fix")</f>
        <v>2533689</v>
      </c>
      <c r="L1236" s="52">
        <f ca="1">SUMIFS(OUT!$F$2:$F$11000,OUT!$H$2:$H$11000,H1236,OUT!$D$2:$D$11000,"Out",OUT!$E$2:$E$11000,"Bathroom")</f>
        <v>14491</v>
      </c>
      <c r="M1236" s="52">
        <f ca="1">SUMIFS(OUT!$F$2:$F$11000,OUT!$H$2:$H$11000,H1236,OUT!$D$2:$D$11000,"Out",OUT!$E$2:$E$11000,"Alfa")</f>
        <v>452769</v>
      </c>
      <c r="N1236" s="52" t="e">
        <f ca="1">SUMIFS(OUT!$F$2:$F$11000,OUT!$H$2:$H$101007,H1236,OUT!$D$2:$D$11000,"Out",OUT!$E$2:$E$11000,"Jajan")</f>
        <v>#VALUE!</v>
      </c>
      <c r="O1236" s="52">
        <f ca="1">SUMIFS(OUT!$F$2:$F$11000,OUT!$H$2:$H$11000,H1236,OUT!$D$2:$D$11000,"Out",OUT!$E$2:$E$11000,"Kitchen")</f>
        <v>1584204</v>
      </c>
      <c r="P1236" s="52">
        <f ca="1">SUMIFS(OUT!$F$2:$F$11000,OUT!$H$2:$H$11000,H1236,OUT!$D$2:$D$11000,"Out",OUT!$E$2:$E$11000,"Loandry")</f>
        <v>43448</v>
      </c>
      <c r="Q1236" s="52">
        <f ca="1">SUMIFS(OUT!$F$2:$F$11000,OUT!$H$2:$H$11000,H1236,OUT!$D$2:$D$11000,"Out",OUT!$E$2:$E$11000,"Mio")</f>
        <v>329000</v>
      </c>
      <c r="R1236" s="52">
        <f ca="1">SUMIFS(OUT!$F$2:$F$11000,OUT!$H$2:$H$11000,H1236,OUT!$D$2:$D$11000,"Out",OUT!$E$2:$E$11000,"Sedekah")</f>
        <v>5000</v>
      </c>
      <c r="S1236" s="52">
        <f ca="1">SUMIFS(OUT!$F$2:$F$11000,OUT!$H$2:$H$11000,H1236,OUT!$D$2:$D$11000,"Out",OUT!$E$2:$E$11000,"Zela")</f>
        <v>40500</v>
      </c>
      <c r="T1236" s="52">
        <f ca="1">SUMIFS(OUT!$F$2:$F$11000,OUT!$H$2:$H$11000,H1236,OUT!$D$2:$D$11000,"Out",OUT!$E$2:$E$11000,"Iqbal")</f>
        <v>295000</v>
      </c>
    </row>
    <row r="1237" spans="1:20" x14ac:dyDescent="0.2">
      <c r="A1237" s="48">
        <f ca="1">IFERROR(__xludf.DUMMYFUNCTION("""COMPUTED_VALUE"""),46245)</f>
        <v>46245</v>
      </c>
      <c r="B1237" s="4" t="str">
        <f ca="1">IFERROR(__xludf.DUMMYFUNCTION("""COMPUTED_VALUE"""),"suamiku")</f>
        <v>suamiku</v>
      </c>
      <c r="C1237" s="4" t="str">
        <f ca="1">IFERROR(__xludf.DUMMYFUNCTION("""COMPUTED_VALUE"""),"ATM")</f>
        <v>ATM</v>
      </c>
      <c r="D1237" s="4" t="str">
        <f ca="1">IFERROR(__xludf.DUMMYFUNCTION("""COMPUTED_VALUE"""),"Out")</f>
        <v>Out</v>
      </c>
      <c r="E1237" s="4" t="str">
        <f ca="1">IFERROR(__xludf.DUMMYFUNCTION("""COMPUTED_VALUE"""),"Iqbal")</f>
        <v>Iqbal</v>
      </c>
      <c r="F1237" s="49">
        <f ca="1">IFERROR(__xludf.DUMMYFUNCTION("""COMPUTED_VALUE"""),19000)</f>
        <v>19000</v>
      </c>
      <c r="G1237" s="50" t="str">
        <f ca="1">IFERROR(__xludf.DUMMYFUNCTION("""COMPUTED_VALUE"""),"Zela")</f>
        <v>Zela</v>
      </c>
      <c r="H1237" s="51">
        <f t="shared" ca="1" si="0"/>
        <v>46235</v>
      </c>
      <c r="I1237" s="52" t="e">
        <f ca="1">SUMIFS(OUT!$F$2:$F$11000,OUT!$H$2:$H$11000,H1237,OUT!$D$2:$D$101007,"In")</f>
        <v>#VALUE!</v>
      </c>
      <c r="J1237" s="52">
        <f ca="1">SUMIFS(OUT!$F$2:$F$11000,OUT!$H$2:$H$11000,H1237,OUT!$D$2:$D$11000,"Out")</f>
        <v>9573570</v>
      </c>
      <c r="K1237" s="52">
        <f ca="1">SUMIFS(OUT!$F$2:$F$11000,OUT!$H$2:$H$11000,H1237,OUT!$D$2:$D$11000,"Out",OUT!$E$2:$E$11000,"Fix")</f>
        <v>2533689</v>
      </c>
      <c r="L1237" s="52">
        <f ca="1">SUMIFS(OUT!$F$2:$F$11000,OUT!$H$2:$H$11000,H1237,OUT!$D$2:$D$11000,"Out",OUT!$E$2:$E$11000,"Bathroom")</f>
        <v>14491</v>
      </c>
      <c r="M1237" s="52">
        <f ca="1">SUMIFS(OUT!$F$2:$F$11000,OUT!$H$2:$H$11000,H1237,OUT!$D$2:$D$11000,"Out",OUT!$E$2:$E$11000,"Alfa")</f>
        <v>452769</v>
      </c>
      <c r="N1237" s="52" t="e">
        <f ca="1">SUMIFS(OUT!$F$2:$F$11000,OUT!$H$2:$H$101007,H1237,OUT!$D$2:$D$11000,"Out",OUT!$E$2:$E$11000,"Jajan")</f>
        <v>#VALUE!</v>
      </c>
      <c r="O1237" s="52">
        <f ca="1">SUMIFS(OUT!$F$2:$F$11000,OUT!$H$2:$H$11000,H1237,OUT!$D$2:$D$11000,"Out",OUT!$E$2:$E$11000,"Kitchen")</f>
        <v>1584204</v>
      </c>
      <c r="P1237" s="52">
        <f ca="1">SUMIFS(OUT!$F$2:$F$11000,OUT!$H$2:$H$11000,H1237,OUT!$D$2:$D$11000,"Out",OUT!$E$2:$E$11000,"Loandry")</f>
        <v>43448</v>
      </c>
      <c r="Q1237" s="52">
        <f ca="1">SUMIFS(OUT!$F$2:$F$11000,OUT!$H$2:$H$11000,H1237,OUT!$D$2:$D$11000,"Out",OUT!$E$2:$E$11000,"Mio")</f>
        <v>329000</v>
      </c>
      <c r="R1237" s="52">
        <f ca="1">SUMIFS(OUT!$F$2:$F$11000,OUT!$H$2:$H$11000,H1237,OUT!$D$2:$D$11000,"Out",OUT!$E$2:$E$11000,"Sedekah")</f>
        <v>5000</v>
      </c>
      <c r="S1237" s="52">
        <f ca="1">SUMIFS(OUT!$F$2:$F$11000,OUT!$H$2:$H$11000,H1237,OUT!$D$2:$D$11000,"Out",OUT!$E$2:$E$11000,"Zela")</f>
        <v>40500</v>
      </c>
      <c r="T1237" s="52">
        <f ca="1">SUMIFS(OUT!$F$2:$F$11000,OUT!$H$2:$H$11000,H1237,OUT!$D$2:$D$11000,"Out",OUT!$E$2:$E$11000,"Iqbal")</f>
        <v>295000</v>
      </c>
    </row>
    <row r="1238" spans="1:20" x14ac:dyDescent="0.2">
      <c r="A1238" s="48">
        <f ca="1">IFERROR(__xludf.DUMMYFUNCTION("""COMPUTED_VALUE"""),46245)</f>
        <v>46245</v>
      </c>
      <c r="B1238" s="4" t="str">
        <f ca="1">IFERROR(__xludf.DUMMYFUNCTION("""COMPUTED_VALUE"""),"Saldo tiktok")</f>
        <v>Saldo tiktok</v>
      </c>
      <c r="C1238" s="4" t="str">
        <f ca="1">IFERROR(__xludf.DUMMYFUNCTION("""COMPUTED_VALUE"""),"ATM")</f>
        <v>ATM</v>
      </c>
      <c r="D1238" s="4" t="str">
        <f ca="1">IFERROR(__xludf.DUMMYFUNCTION("""COMPUTED_VALUE"""),"In")</f>
        <v>In</v>
      </c>
      <c r="E1238" s="4" t="str">
        <f ca="1">IFERROR(__xludf.DUMMYFUNCTION("""COMPUTED_VALUE"""),"Fix")</f>
        <v>Fix</v>
      </c>
      <c r="F1238" s="49">
        <f ca="1">IFERROR(__xludf.DUMMYFUNCTION("""COMPUTED_VALUE"""),48001)</f>
        <v>48001</v>
      </c>
      <c r="G1238" s="50" t="str">
        <f ca="1">IFERROR(__xludf.DUMMYFUNCTION("""COMPUTED_VALUE"""),"Zela")</f>
        <v>Zela</v>
      </c>
      <c r="H1238" s="51">
        <f t="shared" ca="1" si="0"/>
        <v>46235</v>
      </c>
      <c r="I1238" s="52" t="e">
        <f ca="1">SUMIFS(OUT!$F$2:$F$11000,OUT!$H$2:$H$11000,H1238,OUT!$D$2:$D$101007,"In")</f>
        <v>#VALUE!</v>
      </c>
      <c r="J1238" s="52">
        <f ca="1">SUMIFS(OUT!$F$2:$F$11000,OUT!$H$2:$H$11000,H1238,OUT!$D$2:$D$11000,"Out")</f>
        <v>9573570</v>
      </c>
      <c r="K1238" s="52">
        <f ca="1">SUMIFS(OUT!$F$2:$F$11000,OUT!$H$2:$H$11000,H1238,OUT!$D$2:$D$11000,"Out",OUT!$E$2:$E$11000,"Fix")</f>
        <v>2533689</v>
      </c>
      <c r="L1238" s="52">
        <f ca="1">SUMIFS(OUT!$F$2:$F$11000,OUT!$H$2:$H$11000,H1238,OUT!$D$2:$D$11000,"Out",OUT!$E$2:$E$11000,"Bathroom")</f>
        <v>14491</v>
      </c>
      <c r="M1238" s="52">
        <f ca="1">SUMIFS(OUT!$F$2:$F$11000,OUT!$H$2:$H$11000,H1238,OUT!$D$2:$D$11000,"Out",OUT!$E$2:$E$11000,"Alfa")</f>
        <v>452769</v>
      </c>
      <c r="N1238" s="52" t="e">
        <f ca="1">SUMIFS(OUT!$F$2:$F$11000,OUT!$H$2:$H$101007,H1238,OUT!$D$2:$D$11000,"Out",OUT!$E$2:$E$11000,"Jajan")</f>
        <v>#VALUE!</v>
      </c>
      <c r="O1238" s="52">
        <f ca="1">SUMIFS(OUT!$F$2:$F$11000,OUT!$H$2:$H$11000,H1238,OUT!$D$2:$D$11000,"Out",OUT!$E$2:$E$11000,"Kitchen")</f>
        <v>1584204</v>
      </c>
      <c r="P1238" s="52">
        <f ca="1">SUMIFS(OUT!$F$2:$F$11000,OUT!$H$2:$H$11000,H1238,OUT!$D$2:$D$11000,"Out",OUT!$E$2:$E$11000,"Loandry")</f>
        <v>43448</v>
      </c>
      <c r="Q1238" s="52">
        <f ca="1">SUMIFS(OUT!$F$2:$F$11000,OUT!$H$2:$H$11000,H1238,OUT!$D$2:$D$11000,"Out",OUT!$E$2:$E$11000,"Mio")</f>
        <v>329000</v>
      </c>
      <c r="R1238" s="52">
        <f ca="1">SUMIFS(OUT!$F$2:$F$11000,OUT!$H$2:$H$11000,H1238,OUT!$D$2:$D$11000,"Out",OUT!$E$2:$E$11000,"Sedekah")</f>
        <v>5000</v>
      </c>
      <c r="S1238" s="52">
        <f ca="1">SUMIFS(OUT!$F$2:$F$11000,OUT!$H$2:$H$11000,H1238,OUT!$D$2:$D$11000,"Out",OUT!$E$2:$E$11000,"Zela")</f>
        <v>40500</v>
      </c>
      <c r="T1238" s="52">
        <f ca="1">SUMIFS(OUT!$F$2:$F$11000,OUT!$H$2:$H$11000,H1238,OUT!$D$2:$D$11000,"Out",OUT!$E$2:$E$11000,"Iqbal")</f>
        <v>295000</v>
      </c>
    </row>
    <row r="1239" spans="1:20" x14ac:dyDescent="0.2">
      <c r="A1239" s="48">
        <f ca="1">IFERROR(__xludf.DUMMYFUNCTION("""COMPUTED_VALUE"""),46247)</f>
        <v>46247</v>
      </c>
      <c r="B1239" s="4" t="str">
        <f ca="1">IFERROR(__xludf.DUMMYFUNCTION("""COMPUTED_VALUE"""),"Bakso Bakar ")</f>
        <v xml:space="preserve">Bakso Bakar </v>
      </c>
      <c r="C1239" s="4" t="str">
        <f ca="1">IFERROR(__xludf.DUMMYFUNCTION("""COMPUTED_VALUE"""),"ATM")</f>
        <v>ATM</v>
      </c>
      <c r="D1239" s="4" t="str">
        <f ca="1">IFERROR(__xludf.DUMMYFUNCTION("""COMPUTED_VALUE"""),"Out")</f>
        <v>Out</v>
      </c>
      <c r="E1239" s="4" t="str">
        <f ca="1">IFERROR(__xludf.DUMMYFUNCTION("""COMPUTED_VALUE"""),"Jajan")</f>
        <v>Jajan</v>
      </c>
      <c r="F1239" s="49">
        <f ca="1">IFERROR(__xludf.DUMMYFUNCTION("""COMPUTED_VALUE"""),20000)</f>
        <v>20000</v>
      </c>
      <c r="G1239" s="50" t="str">
        <f ca="1">IFERROR(__xludf.DUMMYFUNCTION("""COMPUTED_VALUE"""),"Zela")</f>
        <v>Zela</v>
      </c>
      <c r="H1239" s="51">
        <f t="shared" ca="1" si="0"/>
        <v>46235</v>
      </c>
      <c r="I1239" s="52" t="e">
        <f ca="1">SUMIFS(OUT!$F$2:$F$11000,OUT!$H$2:$H$11000,H1239,OUT!$D$2:$D$101007,"In")</f>
        <v>#VALUE!</v>
      </c>
      <c r="J1239" s="52">
        <f ca="1">SUMIFS(OUT!$F$2:$F$11000,OUT!$H$2:$H$11000,H1239,OUT!$D$2:$D$11000,"Out")</f>
        <v>9573570</v>
      </c>
      <c r="K1239" s="52">
        <f ca="1">SUMIFS(OUT!$F$2:$F$11000,OUT!$H$2:$H$11000,H1239,OUT!$D$2:$D$11000,"Out",OUT!$E$2:$E$11000,"Fix")</f>
        <v>2533689</v>
      </c>
      <c r="L1239" s="52">
        <f ca="1">SUMIFS(OUT!$F$2:$F$11000,OUT!$H$2:$H$11000,H1239,OUT!$D$2:$D$11000,"Out",OUT!$E$2:$E$11000,"Bathroom")</f>
        <v>14491</v>
      </c>
      <c r="M1239" s="52">
        <f ca="1">SUMIFS(OUT!$F$2:$F$11000,OUT!$H$2:$H$11000,H1239,OUT!$D$2:$D$11000,"Out",OUT!$E$2:$E$11000,"Alfa")</f>
        <v>452769</v>
      </c>
      <c r="N1239" s="52" t="e">
        <f ca="1">SUMIFS(OUT!$F$2:$F$11000,OUT!$H$2:$H$101007,H1239,OUT!$D$2:$D$11000,"Out",OUT!$E$2:$E$11000,"Jajan")</f>
        <v>#VALUE!</v>
      </c>
      <c r="O1239" s="52">
        <f ca="1">SUMIFS(OUT!$F$2:$F$11000,OUT!$H$2:$H$11000,H1239,OUT!$D$2:$D$11000,"Out",OUT!$E$2:$E$11000,"Kitchen")</f>
        <v>1584204</v>
      </c>
      <c r="P1239" s="52">
        <f ca="1">SUMIFS(OUT!$F$2:$F$11000,OUT!$H$2:$H$11000,H1239,OUT!$D$2:$D$11000,"Out",OUT!$E$2:$E$11000,"Loandry")</f>
        <v>43448</v>
      </c>
      <c r="Q1239" s="52">
        <f ca="1">SUMIFS(OUT!$F$2:$F$11000,OUT!$H$2:$H$11000,H1239,OUT!$D$2:$D$11000,"Out",OUT!$E$2:$E$11000,"Mio")</f>
        <v>329000</v>
      </c>
      <c r="R1239" s="52">
        <f ca="1">SUMIFS(OUT!$F$2:$F$11000,OUT!$H$2:$H$11000,H1239,OUT!$D$2:$D$11000,"Out",OUT!$E$2:$E$11000,"Sedekah")</f>
        <v>5000</v>
      </c>
      <c r="S1239" s="52">
        <f ca="1">SUMIFS(OUT!$F$2:$F$11000,OUT!$H$2:$H$11000,H1239,OUT!$D$2:$D$11000,"Out",OUT!$E$2:$E$11000,"Zela")</f>
        <v>40500</v>
      </c>
      <c r="T1239" s="52">
        <f ca="1">SUMIFS(OUT!$F$2:$F$11000,OUT!$H$2:$H$11000,H1239,OUT!$D$2:$D$11000,"Out",OUT!$E$2:$E$11000,"Iqbal")</f>
        <v>295000</v>
      </c>
    </row>
    <row r="1240" spans="1:20" x14ac:dyDescent="0.2">
      <c r="A1240" s="48">
        <f ca="1">IFERROR(__xludf.DUMMYFUNCTION("""COMPUTED_VALUE"""),46247)</f>
        <v>46247</v>
      </c>
      <c r="B1240" s="4" t="str">
        <f ca="1">IFERROR(__xludf.DUMMYFUNCTION("""COMPUTED_VALUE"""),"Bensin ")</f>
        <v xml:space="preserve">Bensin </v>
      </c>
      <c r="C1240" s="4" t="str">
        <f ca="1">IFERROR(__xludf.DUMMYFUNCTION("""COMPUTED_VALUE"""),"ATM")</f>
        <v>ATM</v>
      </c>
      <c r="D1240" s="4" t="str">
        <f ca="1">IFERROR(__xludf.DUMMYFUNCTION("""COMPUTED_VALUE"""),"Out")</f>
        <v>Out</v>
      </c>
      <c r="E1240" s="4" t="str">
        <f ca="1">IFERROR(__xludf.DUMMYFUNCTION("""COMPUTED_VALUE"""),"Mio")</f>
        <v>Mio</v>
      </c>
      <c r="F1240" s="49">
        <f ca="1">IFERROR(__xludf.DUMMYFUNCTION("""COMPUTED_VALUE"""),20000)</f>
        <v>20000</v>
      </c>
      <c r="G1240" s="50" t="str">
        <f ca="1">IFERROR(__xludf.DUMMYFUNCTION("""COMPUTED_VALUE"""),"Zela")</f>
        <v>Zela</v>
      </c>
      <c r="H1240" s="51">
        <f t="shared" ca="1" si="0"/>
        <v>46235</v>
      </c>
      <c r="I1240" s="52" t="e">
        <f ca="1">SUMIFS(OUT!$F$2:$F$11000,OUT!$H$2:$H$11000,H1240,OUT!$D$2:$D$101007,"In")</f>
        <v>#VALUE!</v>
      </c>
      <c r="J1240" s="52">
        <f ca="1">SUMIFS(OUT!$F$2:$F$11000,OUT!$H$2:$H$11000,H1240,OUT!$D$2:$D$11000,"Out")</f>
        <v>9573570</v>
      </c>
      <c r="K1240" s="52">
        <f ca="1">SUMIFS(OUT!$F$2:$F$11000,OUT!$H$2:$H$11000,H1240,OUT!$D$2:$D$11000,"Out",OUT!$E$2:$E$11000,"Fix")</f>
        <v>2533689</v>
      </c>
      <c r="L1240" s="52">
        <f ca="1">SUMIFS(OUT!$F$2:$F$11000,OUT!$H$2:$H$11000,H1240,OUT!$D$2:$D$11000,"Out",OUT!$E$2:$E$11000,"Bathroom")</f>
        <v>14491</v>
      </c>
      <c r="M1240" s="52">
        <f ca="1">SUMIFS(OUT!$F$2:$F$11000,OUT!$H$2:$H$11000,H1240,OUT!$D$2:$D$11000,"Out",OUT!$E$2:$E$11000,"Alfa")</f>
        <v>452769</v>
      </c>
      <c r="N1240" s="52" t="e">
        <f ca="1">SUMIFS(OUT!$F$2:$F$11000,OUT!$H$2:$H$101007,H1240,OUT!$D$2:$D$11000,"Out",OUT!$E$2:$E$11000,"Jajan")</f>
        <v>#VALUE!</v>
      </c>
      <c r="O1240" s="52">
        <f ca="1">SUMIFS(OUT!$F$2:$F$11000,OUT!$H$2:$H$11000,H1240,OUT!$D$2:$D$11000,"Out",OUT!$E$2:$E$11000,"Kitchen")</f>
        <v>1584204</v>
      </c>
      <c r="P1240" s="52">
        <f ca="1">SUMIFS(OUT!$F$2:$F$11000,OUT!$H$2:$H$11000,H1240,OUT!$D$2:$D$11000,"Out",OUT!$E$2:$E$11000,"Loandry")</f>
        <v>43448</v>
      </c>
      <c r="Q1240" s="52">
        <f ca="1">SUMIFS(OUT!$F$2:$F$11000,OUT!$H$2:$H$11000,H1240,OUT!$D$2:$D$11000,"Out",OUT!$E$2:$E$11000,"Mio")</f>
        <v>329000</v>
      </c>
      <c r="R1240" s="52">
        <f ca="1">SUMIFS(OUT!$F$2:$F$11000,OUT!$H$2:$H$11000,H1240,OUT!$D$2:$D$11000,"Out",OUT!$E$2:$E$11000,"Sedekah")</f>
        <v>5000</v>
      </c>
      <c r="S1240" s="52">
        <f ca="1">SUMIFS(OUT!$F$2:$F$11000,OUT!$H$2:$H$11000,H1240,OUT!$D$2:$D$11000,"Out",OUT!$E$2:$E$11000,"Zela")</f>
        <v>40500</v>
      </c>
      <c r="T1240" s="52">
        <f ca="1">SUMIFS(OUT!$F$2:$F$11000,OUT!$H$2:$H$11000,H1240,OUT!$D$2:$D$11000,"Out",OUT!$E$2:$E$11000,"Iqbal")</f>
        <v>295000</v>
      </c>
    </row>
    <row r="1241" spans="1:20" x14ac:dyDescent="0.2">
      <c r="A1241" s="48">
        <f ca="1">IFERROR(__xludf.DUMMYFUNCTION("""COMPUTED_VALUE"""),46247)</f>
        <v>46247</v>
      </c>
      <c r="B1241" s="4" t="str">
        <f ca="1">IFERROR(__xludf.DUMMYFUNCTION("""COMPUTED_VALUE"""),"Doedorant")</f>
        <v>Doedorant</v>
      </c>
      <c r="C1241" s="4" t="str">
        <f ca="1">IFERROR(__xludf.DUMMYFUNCTION("""COMPUTED_VALUE"""),"ATM")</f>
        <v>ATM</v>
      </c>
      <c r="D1241" s="4" t="str">
        <f ca="1">IFERROR(__xludf.DUMMYFUNCTION("""COMPUTED_VALUE"""),"Out")</f>
        <v>Out</v>
      </c>
      <c r="E1241" s="4" t="str">
        <f ca="1">IFERROR(__xludf.DUMMYFUNCTION("""COMPUTED_VALUE"""),"Bathroom")</f>
        <v>Bathroom</v>
      </c>
      <c r="F1241" s="49">
        <f ca="1">IFERROR(__xludf.DUMMYFUNCTION("""COMPUTED_VALUE"""),14491)</f>
        <v>14491</v>
      </c>
      <c r="G1241" s="50" t="str">
        <f ca="1">IFERROR(__xludf.DUMMYFUNCTION("""COMPUTED_VALUE"""),"Zela")</f>
        <v>Zela</v>
      </c>
      <c r="H1241" s="51">
        <f t="shared" ca="1" si="0"/>
        <v>46235</v>
      </c>
      <c r="I1241" s="52" t="e">
        <f ca="1">SUMIFS(OUT!$F$2:$F$11000,OUT!$H$2:$H$11000,H1241,OUT!$D$2:$D$101007,"In")</f>
        <v>#VALUE!</v>
      </c>
      <c r="J1241" s="52">
        <f ca="1">SUMIFS(OUT!$F$2:$F$11000,OUT!$H$2:$H$11000,H1241,OUT!$D$2:$D$11000,"Out")</f>
        <v>9573570</v>
      </c>
      <c r="K1241" s="52">
        <f ca="1">SUMIFS(OUT!$F$2:$F$11000,OUT!$H$2:$H$11000,H1241,OUT!$D$2:$D$11000,"Out",OUT!$E$2:$E$11000,"Fix")</f>
        <v>2533689</v>
      </c>
      <c r="L1241" s="52">
        <f ca="1">SUMIFS(OUT!$F$2:$F$11000,OUT!$H$2:$H$11000,H1241,OUT!$D$2:$D$11000,"Out",OUT!$E$2:$E$11000,"Bathroom")</f>
        <v>14491</v>
      </c>
      <c r="M1241" s="52">
        <f ca="1">SUMIFS(OUT!$F$2:$F$11000,OUT!$H$2:$H$11000,H1241,OUT!$D$2:$D$11000,"Out",OUT!$E$2:$E$11000,"Alfa")</f>
        <v>452769</v>
      </c>
      <c r="N1241" s="52" t="e">
        <f ca="1">SUMIFS(OUT!$F$2:$F$11000,OUT!$H$2:$H$101007,H1241,OUT!$D$2:$D$11000,"Out",OUT!$E$2:$E$11000,"Jajan")</f>
        <v>#VALUE!</v>
      </c>
      <c r="O1241" s="52">
        <f ca="1">SUMIFS(OUT!$F$2:$F$11000,OUT!$H$2:$H$11000,H1241,OUT!$D$2:$D$11000,"Out",OUT!$E$2:$E$11000,"Kitchen")</f>
        <v>1584204</v>
      </c>
      <c r="P1241" s="52">
        <f ca="1">SUMIFS(OUT!$F$2:$F$11000,OUT!$H$2:$H$11000,H1241,OUT!$D$2:$D$11000,"Out",OUT!$E$2:$E$11000,"Loandry")</f>
        <v>43448</v>
      </c>
      <c r="Q1241" s="52">
        <f ca="1">SUMIFS(OUT!$F$2:$F$11000,OUT!$H$2:$H$11000,H1241,OUT!$D$2:$D$11000,"Out",OUT!$E$2:$E$11000,"Mio")</f>
        <v>329000</v>
      </c>
      <c r="R1241" s="52">
        <f ca="1">SUMIFS(OUT!$F$2:$F$11000,OUT!$H$2:$H$11000,H1241,OUT!$D$2:$D$11000,"Out",OUT!$E$2:$E$11000,"Sedekah")</f>
        <v>5000</v>
      </c>
      <c r="S1241" s="52">
        <f ca="1">SUMIFS(OUT!$F$2:$F$11000,OUT!$H$2:$H$11000,H1241,OUT!$D$2:$D$11000,"Out",OUT!$E$2:$E$11000,"Zela")</f>
        <v>40500</v>
      </c>
      <c r="T1241" s="52">
        <f ca="1">SUMIFS(OUT!$F$2:$F$11000,OUT!$H$2:$H$11000,H1241,OUT!$D$2:$D$11000,"Out",OUT!$E$2:$E$11000,"Iqbal")</f>
        <v>295000</v>
      </c>
    </row>
    <row r="1242" spans="1:20" x14ac:dyDescent="0.2">
      <c r="A1242" s="48">
        <f ca="1">IFERROR(__xludf.DUMMYFUNCTION("""COMPUTED_VALUE"""),46247)</f>
        <v>46247</v>
      </c>
      <c r="B1242" s="4" t="str">
        <f ca="1">IFERROR(__xludf.DUMMYFUNCTION("""COMPUTED_VALUE"""),"akun shopee 3 + Pulsa Byu. 1")</f>
        <v>akun shopee 3 + Pulsa Byu. 1</v>
      </c>
      <c r="C1242" s="4" t="str">
        <f ca="1">IFERROR(__xludf.DUMMYFUNCTION("""COMPUTED_VALUE"""),"ATM")</f>
        <v>ATM</v>
      </c>
      <c r="D1242" s="4" t="str">
        <f ca="1">IFERROR(__xludf.DUMMYFUNCTION("""COMPUTED_VALUE"""),"Out")</f>
        <v>Out</v>
      </c>
      <c r="E1242" s="4" t="str">
        <f ca="1">IFERROR(__xludf.DUMMYFUNCTION("""COMPUTED_VALUE"""),"Loandry")</f>
        <v>Loandry</v>
      </c>
      <c r="F1242" s="49">
        <f ca="1">IFERROR(__xludf.DUMMYFUNCTION("""COMPUTED_VALUE"""),5448)</f>
        <v>5448</v>
      </c>
      <c r="G1242" s="50" t="str">
        <f ca="1">IFERROR(__xludf.DUMMYFUNCTION("""COMPUTED_VALUE"""),"Zela")</f>
        <v>Zela</v>
      </c>
      <c r="H1242" s="51">
        <f t="shared" ca="1" si="0"/>
        <v>46235</v>
      </c>
      <c r="I1242" s="52" t="e">
        <f ca="1">SUMIFS(OUT!$F$2:$F$11000,OUT!$H$2:$H$11000,H1242,OUT!$D$2:$D$101007,"In")</f>
        <v>#VALUE!</v>
      </c>
      <c r="J1242" s="52">
        <f ca="1">SUMIFS(OUT!$F$2:$F$11000,OUT!$H$2:$H$11000,H1242,OUT!$D$2:$D$11000,"Out")</f>
        <v>9573570</v>
      </c>
      <c r="K1242" s="52">
        <f ca="1">SUMIFS(OUT!$F$2:$F$11000,OUT!$H$2:$H$11000,H1242,OUT!$D$2:$D$11000,"Out",OUT!$E$2:$E$11000,"Fix")</f>
        <v>2533689</v>
      </c>
      <c r="L1242" s="52">
        <f ca="1">SUMIFS(OUT!$F$2:$F$11000,OUT!$H$2:$H$11000,H1242,OUT!$D$2:$D$11000,"Out",OUT!$E$2:$E$11000,"Bathroom")</f>
        <v>14491</v>
      </c>
      <c r="M1242" s="52">
        <f ca="1">SUMIFS(OUT!$F$2:$F$11000,OUT!$H$2:$H$11000,H1242,OUT!$D$2:$D$11000,"Out",OUT!$E$2:$E$11000,"Alfa")</f>
        <v>452769</v>
      </c>
      <c r="N1242" s="52" t="e">
        <f ca="1">SUMIFS(OUT!$F$2:$F$11000,OUT!$H$2:$H$101007,H1242,OUT!$D$2:$D$11000,"Out",OUT!$E$2:$E$11000,"Jajan")</f>
        <v>#VALUE!</v>
      </c>
      <c r="O1242" s="52">
        <f ca="1">SUMIFS(OUT!$F$2:$F$11000,OUT!$H$2:$H$11000,H1242,OUT!$D$2:$D$11000,"Out",OUT!$E$2:$E$11000,"Kitchen")</f>
        <v>1584204</v>
      </c>
      <c r="P1242" s="52">
        <f ca="1">SUMIFS(OUT!$F$2:$F$11000,OUT!$H$2:$H$11000,H1242,OUT!$D$2:$D$11000,"Out",OUT!$E$2:$E$11000,"Loandry")</f>
        <v>43448</v>
      </c>
      <c r="Q1242" s="52">
        <f ca="1">SUMIFS(OUT!$F$2:$F$11000,OUT!$H$2:$H$11000,H1242,OUT!$D$2:$D$11000,"Out",OUT!$E$2:$E$11000,"Mio")</f>
        <v>329000</v>
      </c>
      <c r="R1242" s="52">
        <f ca="1">SUMIFS(OUT!$F$2:$F$11000,OUT!$H$2:$H$11000,H1242,OUT!$D$2:$D$11000,"Out",OUT!$E$2:$E$11000,"Sedekah")</f>
        <v>5000</v>
      </c>
      <c r="S1242" s="52">
        <f ca="1">SUMIFS(OUT!$F$2:$F$11000,OUT!$H$2:$H$11000,H1242,OUT!$D$2:$D$11000,"Out",OUT!$E$2:$E$11000,"Zela")</f>
        <v>40500</v>
      </c>
      <c r="T1242" s="52">
        <f ca="1">SUMIFS(OUT!$F$2:$F$11000,OUT!$H$2:$H$11000,H1242,OUT!$D$2:$D$11000,"Out",OUT!$E$2:$E$11000,"Iqbal")</f>
        <v>295000</v>
      </c>
    </row>
    <row r="1243" spans="1:20" x14ac:dyDescent="0.2">
      <c r="A1243" s="48">
        <f ca="1">IFERROR(__xludf.DUMMYFUNCTION("""COMPUTED_VALUE"""),46247)</f>
        <v>46247</v>
      </c>
      <c r="B1243" s="4" t="str">
        <f ca="1">IFERROR(__xludf.DUMMYFUNCTION("""COMPUTED_VALUE"""),"Suamiku")</f>
        <v>Suamiku</v>
      </c>
      <c r="C1243" s="4" t="str">
        <f ca="1">IFERROR(__xludf.DUMMYFUNCTION("""COMPUTED_VALUE"""),"ATM")</f>
        <v>ATM</v>
      </c>
      <c r="D1243" s="4" t="str">
        <f ca="1">IFERROR(__xludf.DUMMYFUNCTION("""COMPUTED_VALUE"""),"Out")</f>
        <v>Out</v>
      </c>
      <c r="E1243" s="4" t="str">
        <f ca="1">IFERROR(__xludf.DUMMYFUNCTION("""COMPUTED_VALUE"""),"Iqbal")</f>
        <v>Iqbal</v>
      </c>
      <c r="F1243" s="49">
        <f ca="1">IFERROR(__xludf.DUMMYFUNCTION("""COMPUTED_VALUE"""),30000)</f>
        <v>30000</v>
      </c>
      <c r="G1243" s="50" t="str">
        <f ca="1">IFERROR(__xludf.DUMMYFUNCTION("""COMPUTED_VALUE"""),"Zela")</f>
        <v>Zela</v>
      </c>
      <c r="H1243" s="51">
        <f t="shared" ca="1" si="0"/>
        <v>46235</v>
      </c>
      <c r="I1243" s="52" t="e">
        <f ca="1">SUMIFS(OUT!$F$2:$F$11000,OUT!$H$2:$H$11000,H1243,OUT!$D$2:$D$101007,"In")</f>
        <v>#VALUE!</v>
      </c>
      <c r="J1243" s="52">
        <f ca="1">SUMIFS(OUT!$F$2:$F$11000,OUT!$H$2:$H$11000,H1243,OUT!$D$2:$D$11000,"Out")</f>
        <v>9573570</v>
      </c>
      <c r="K1243" s="52">
        <f ca="1">SUMIFS(OUT!$F$2:$F$11000,OUT!$H$2:$H$11000,H1243,OUT!$D$2:$D$11000,"Out",OUT!$E$2:$E$11000,"Fix")</f>
        <v>2533689</v>
      </c>
      <c r="L1243" s="52">
        <f ca="1">SUMIFS(OUT!$F$2:$F$11000,OUT!$H$2:$H$11000,H1243,OUT!$D$2:$D$11000,"Out",OUT!$E$2:$E$11000,"Bathroom")</f>
        <v>14491</v>
      </c>
      <c r="M1243" s="52">
        <f ca="1">SUMIFS(OUT!$F$2:$F$11000,OUT!$H$2:$H$11000,H1243,OUT!$D$2:$D$11000,"Out",OUT!$E$2:$E$11000,"Alfa")</f>
        <v>452769</v>
      </c>
      <c r="N1243" s="52" t="e">
        <f ca="1">SUMIFS(OUT!$F$2:$F$11000,OUT!$H$2:$H$101007,H1243,OUT!$D$2:$D$11000,"Out",OUT!$E$2:$E$11000,"Jajan")</f>
        <v>#VALUE!</v>
      </c>
      <c r="O1243" s="52">
        <f ca="1">SUMIFS(OUT!$F$2:$F$11000,OUT!$H$2:$H$11000,H1243,OUT!$D$2:$D$11000,"Out",OUT!$E$2:$E$11000,"Kitchen")</f>
        <v>1584204</v>
      </c>
      <c r="P1243" s="52">
        <f ca="1">SUMIFS(OUT!$F$2:$F$11000,OUT!$H$2:$H$11000,H1243,OUT!$D$2:$D$11000,"Out",OUT!$E$2:$E$11000,"Loandry")</f>
        <v>43448</v>
      </c>
      <c r="Q1243" s="52">
        <f ca="1">SUMIFS(OUT!$F$2:$F$11000,OUT!$H$2:$H$11000,H1243,OUT!$D$2:$D$11000,"Out",OUT!$E$2:$E$11000,"Mio")</f>
        <v>329000</v>
      </c>
      <c r="R1243" s="52">
        <f ca="1">SUMIFS(OUT!$F$2:$F$11000,OUT!$H$2:$H$11000,H1243,OUT!$D$2:$D$11000,"Out",OUT!$E$2:$E$11000,"Sedekah")</f>
        <v>5000</v>
      </c>
      <c r="S1243" s="52">
        <f ca="1">SUMIFS(OUT!$F$2:$F$11000,OUT!$H$2:$H$11000,H1243,OUT!$D$2:$D$11000,"Out",OUT!$E$2:$E$11000,"Zela")</f>
        <v>40500</v>
      </c>
      <c r="T1243" s="52">
        <f ca="1">SUMIFS(OUT!$F$2:$F$11000,OUT!$H$2:$H$11000,H1243,OUT!$D$2:$D$11000,"Out",OUT!$E$2:$E$11000,"Iqbal")</f>
        <v>295000</v>
      </c>
    </row>
    <row r="1244" spans="1:20" x14ac:dyDescent="0.2">
      <c r="A1244" s="48">
        <f ca="1">IFERROR(__xludf.DUMMYFUNCTION("""COMPUTED_VALUE"""),46248)</f>
        <v>46248</v>
      </c>
      <c r="B1244" s="4" t="str">
        <f ca="1">IFERROR(__xludf.DUMMYFUNCTION("""COMPUTED_VALUE"""),"Tarik tunai ")</f>
        <v xml:space="preserve">Tarik tunai </v>
      </c>
      <c r="C1244" s="4" t="str">
        <f ca="1">IFERROR(__xludf.DUMMYFUNCTION("""COMPUTED_VALUE"""),"ATM")</f>
        <v>ATM</v>
      </c>
      <c r="D1244" s="4" t="str">
        <f ca="1">IFERROR(__xludf.DUMMYFUNCTION("""COMPUTED_VALUE"""),"Out")</f>
        <v>Out</v>
      </c>
      <c r="E1244" s="4" t="str">
        <f ca="1">IFERROR(__xludf.DUMMYFUNCTION("""COMPUTED_VALUE"""),"Move")</f>
        <v>Move</v>
      </c>
      <c r="F1244" s="49">
        <f ca="1">IFERROR(__xludf.DUMMYFUNCTION("""COMPUTED_VALUE"""),200000)</f>
        <v>200000</v>
      </c>
      <c r="G1244" s="50" t="str">
        <f ca="1">IFERROR(__xludf.DUMMYFUNCTION("""COMPUTED_VALUE"""),"Zela")</f>
        <v>Zela</v>
      </c>
      <c r="H1244" s="51">
        <f t="shared" ca="1" si="0"/>
        <v>46235</v>
      </c>
      <c r="I1244" s="52" t="e">
        <f ca="1">SUMIFS(OUT!$F$2:$F$11000,OUT!$H$2:$H$11000,H1244,OUT!$D$2:$D$101007,"In")</f>
        <v>#VALUE!</v>
      </c>
      <c r="J1244" s="52">
        <f ca="1">SUMIFS(OUT!$F$2:$F$11000,OUT!$H$2:$H$11000,H1244,OUT!$D$2:$D$11000,"Out")</f>
        <v>9573570</v>
      </c>
      <c r="K1244" s="52">
        <f ca="1">SUMIFS(OUT!$F$2:$F$11000,OUT!$H$2:$H$11000,H1244,OUT!$D$2:$D$11000,"Out",OUT!$E$2:$E$11000,"Fix")</f>
        <v>2533689</v>
      </c>
      <c r="L1244" s="52">
        <f ca="1">SUMIFS(OUT!$F$2:$F$11000,OUT!$H$2:$H$11000,H1244,OUT!$D$2:$D$11000,"Out",OUT!$E$2:$E$11000,"Bathroom")</f>
        <v>14491</v>
      </c>
      <c r="M1244" s="52">
        <f ca="1">SUMIFS(OUT!$F$2:$F$11000,OUT!$H$2:$H$11000,H1244,OUT!$D$2:$D$11000,"Out",OUT!$E$2:$E$11000,"Alfa")</f>
        <v>452769</v>
      </c>
      <c r="N1244" s="52" t="e">
        <f ca="1">SUMIFS(OUT!$F$2:$F$11000,OUT!$H$2:$H$101007,H1244,OUT!$D$2:$D$11000,"Out",OUT!$E$2:$E$11000,"Jajan")</f>
        <v>#VALUE!</v>
      </c>
      <c r="O1244" s="52">
        <f ca="1">SUMIFS(OUT!$F$2:$F$11000,OUT!$H$2:$H$11000,H1244,OUT!$D$2:$D$11000,"Out",OUT!$E$2:$E$11000,"Kitchen")</f>
        <v>1584204</v>
      </c>
      <c r="P1244" s="52">
        <f ca="1">SUMIFS(OUT!$F$2:$F$11000,OUT!$H$2:$H$11000,H1244,OUT!$D$2:$D$11000,"Out",OUT!$E$2:$E$11000,"Loandry")</f>
        <v>43448</v>
      </c>
      <c r="Q1244" s="52">
        <f ca="1">SUMIFS(OUT!$F$2:$F$11000,OUT!$H$2:$H$11000,H1244,OUT!$D$2:$D$11000,"Out",OUT!$E$2:$E$11000,"Mio")</f>
        <v>329000</v>
      </c>
      <c r="R1244" s="52">
        <f ca="1">SUMIFS(OUT!$F$2:$F$11000,OUT!$H$2:$H$11000,H1244,OUT!$D$2:$D$11000,"Out",OUT!$E$2:$E$11000,"Sedekah")</f>
        <v>5000</v>
      </c>
      <c r="S1244" s="52">
        <f ca="1">SUMIFS(OUT!$F$2:$F$11000,OUT!$H$2:$H$11000,H1244,OUT!$D$2:$D$11000,"Out",OUT!$E$2:$E$11000,"Zela")</f>
        <v>40500</v>
      </c>
      <c r="T1244" s="52">
        <f ca="1">SUMIFS(OUT!$F$2:$F$11000,OUT!$H$2:$H$11000,H1244,OUT!$D$2:$D$11000,"Out",OUT!$E$2:$E$11000,"Iqbal")</f>
        <v>295000</v>
      </c>
    </row>
    <row r="1245" spans="1:20" x14ac:dyDescent="0.2">
      <c r="A1245" s="48">
        <f ca="1">IFERROR(__xludf.DUMMYFUNCTION("""COMPUTED_VALUE"""),46248)</f>
        <v>46248</v>
      </c>
      <c r="B1245" s="4" t="str">
        <f ca="1">IFERROR(__xludf.DUMMYFUNCTION("""COMPUTED_VALUE"""),"Terima Tunai ")</f>
        <v xml:space="preserve">Terima Tunai </v>
      </c>
      <c r="C1245" s="4" t="str">
        <f ca="1">IFERROR(__xludf.DUMMYFUNCTION("""COMPUTED_VALUE"""),"Cash")</f>
        <v>Cash</v>
      </c>
      <c r="D1245" s="4" t="str">
        <f ca="1">IFERROR(__xludf.DUMMYFUNCTION("""COMPUTED_VALUE"""),"In")</f>
        <v>In</v>
      </c>
      <c r="E1245" s="4" t="str">
        <f ca="1">IFERROR(__xludf.DUMMYFUNCTION("""COMPUTED_VALUE"""),"Move")</f>
        <v>Move</v>
      </c>
      <c r="F1245" s="49">
        <f ca="1">IFERROR(__xludf.DUMMYFUNCTION("""COMPUTED_VALUE"""),200000)</f>
        <v>200000</v>
      </c>
      <c r="G1245" s="50" t="str">
        <f ca="1">IFERROR(__xludf.DUMMYFUNCTION("""COMPUTED_VALUE"""),"Zela")</f>
        <v>Zela</v>
      </c>
      <c r="H1245" s="51">
        <f t="shared" ca="1" si="0"/>
        <v>46235</v>
      </c>
      <c r="I1245" s="52" t="e">
        <f ca="1">SUMIFS(OUT!$F$2:$F$11000,OUT!$H$2:$H$11000,H1245,OUT!$D$2:$D$101007,"In")</f>
        <v>#VALUE!</v>
      </c>
      <c r="J1245" s="52">
        <f ca="1">SUMIFS(OUT!$F$2:$F$11000,OUT!$H$2:$H$11000,H1245,OUT!$D$2:$D$11000,"Out")</f>
        <v>9573570</v>
      </c>
      <c r="K1245" s="52">
        <f ca="1">SUMIFS(OUT!$F$2:$F$11000,OUT!$H$2:$H$11000,H1245,OUT!$D$2:$D$11000,"Out",OUT!$E$2:$E$11000,"Fix")</f>
        <v>2533689</v>
      </c>
      <c r="L1245" s="52">
        <f ca="1">SUMIFS(OUT!$F$2:$F$11000,OUT!$H$2:$H$11000,H1245,OUT!$D$2:$D$11000,"Out",OUT!$E$2:$E$11000,"Bathroom")</f>
        <v>14491</v>
      </c>
      <c r="M1245" s="52">
        <f ca="1">SUMIFS(OUT!$F$2:$F$11000,OUT!$H$2:$H$11000,H1245,OUT!$D$2:$D$11000,"Out",OUT!$E$2:$E$11000,"Alfa")</f>
        <v>452769</v>
      </c>
      <c r="N1245" s="52" t="e">
        <f ca="1">SUMIFS(OUT!$F$2:$F$11000,OUT!$H$2:$H$101007,H1245,OUT!$D$2:$D$11000,"Out",OUT!$E$2:$E$11000,"Jajan")</f>
        <v>#VALUE!</v>
      </c>
      <c r="O1245" s="52">
        <f ca="1">SUMIFS(OUT!$F$2:$F$11000,OUT!$H$2:$H$11000,H1245,OUT!$D$2:$D$11000,"Out",OUT!$E$2:$E$11000,"Kitchen")</f>
        <v>1584204</v>
      </c>
      <c r="P1245" s="52">
        <f ca="1">SUMIFS(OUT!$F$2:$F$11000,OUT!$H$2:$H$11000,H1245,OUT!$D$2:$D$11000,"Out",OUT!$E$2:$E$11000,"Loandry")</f>
        <v>43448</v>
      </c>
      <c r="Q1245" s="52">
        <f ca="1">SUMIFS(OUT!$F$2:$F$11000,OUT!$H$2:$H$11000,H1245,OUT!$D$2:$D$11000,"Out",OUT!$E$2:$E$11000,"Mio")</f>
        <v>329000</v>
      </c>
      <c r="R1245" s="52">
        <f ca="1">SUMIFS(OUT!$F$2:$F$11000,OUT!$H$2:$H$11000,H1245,OUT!$D$2:$D$11000,"Out",OUT!$E$2:$E$11000,"Sedekah")</f>
        <v>5000</v>
      </c>
      <c r="S1245" s="52">
        <f ca="1">SUMIFS(OUT!$F$2:$F$11000,OUT!$H$2:$H$11000,H1245,OUT!$D$2:$D$11000,"Out",OUT!$E$2:$E$11000,"Zela")</f>
        <v>40500</v>
      </c>
      <c r="T1245" s="52">
        <f ca="1">SUMIFS(OUT!$F$2:$F$11000,OUT!$H$2:$H$11000,H1245,OUT!$D$2:$D$11000,"Out",OUT!$E$2:$E$11000,"Iqbal")</f>
        <v>295000</v>
      </c>
    </row>
    <row r="1246" spans="1:20" x14ac:dyDescent="0.2">
      <c r="A1246" s="48">
        <f ca="1">IFERROR(__xludf.DUMMYFUNCTION("""COMPUTED_VALUE"""),46249)</f>
        <v>46249</v>
      </c>
      <c r="B1246" s="4" t="str">
        <f ca="1">IFERROR(__xludf.DUMMYFUNCTION("""COMPUTED_VALUE"""),"Gorengan Pagi")</f>
        <v>Gorengan Pagi</v>
      </c>
      <c r="C1246" s="4" t="str">
        <f ca="1">IFERROR(__xludf.DUMMYFUNCTION("""COMPUTED_VALUE"""),"ATM")</f>
        <v>ATM</v>
      </c>
      <c r="D1246" s="4" t="str">
        <f ca="1">IFERROR(__xludf.DUMMYFUNCTION("""COMPUTED_VALUE"""),"Out")</f>
        <v>Out</v>
      </c>
      <c r="E1246" s="4" t="str">
        <f ca="1">IFERROR(__xludf.DUMMYFUNCTION("""COMPUTED_VALUE"""),"Jajan")</f>
        <v>Jajan</v>
      </c>
      <c r="F1246" s="49">
        <f ca="1">IFERROR(__xludf.DUMMYFUNCTION("""COMPUTED_VALUE"""),9000)</f>
        <v>9000</v>
      </c>
      <c r="G1246" s="50" t="str">
        <f ca="1">IFERROR(__xludf.DUMMYFUNCTION("""COMPUTED_VALUE"""),"Zela")</f>
        <v>Zela</v>
      </c>
      <c r="H1246" s="51">
        <f t="shared" ca="1" si="0"/>
        <v>46235</v>
      </c>
      <c r="I1246" s="52" t="e">
        <f ca="1">SUMIFS(OUT!$F$2:$F$11000,OUT!$H$2:$H$11000,H1246,OUT!$D$2:$D$101007,"In")</f>
        <v>#VALUE!</v>
      </c>
      <c r="J1246" s="52">
        <f ca="1">SUMIFS(OUT!$F$2:$F$11000,OUT!$H$2:$H$11000,H1246,OUT!$D$2:$D$11000,"Out")</f>
        <v>9573570</v>
      </c>
      <c r="K1246" s="52">
        <f ca="1">SUMIFS(OUT!$F$2:$F$11000,OUT!$H$2:$H$11000,H1246,OUT!$D$2:$D$11000,"Out",OUT!$E$2:$E$11000,"Fix")</f>
        <v>2533689</v>
      </c>
      <c r="L1246" s="52">
        <f ca="1">SUMIFS(OUT!$F$2:$F$11000,OUT!$H$2:$H$11000,H1246,OUT!$D$2:$D$11000,"Out",OUT!$E$2:$E$11000,"Bathroom")</f>
        <v>14491</v>
      </c>
      <c r="M1246" s="52">
        <f ca="1">SUMIFS(OUT!$F$2:$F$11000,OUT!$H$2:$H$11000,H1246,OUT!$D$2:$D$11000,"Out",OUT!$E$2:$E$11000,"Alfa")</f>
        <v>452769</v>
      </c>
      <c r="N1246" s="52" t="e">
        <f ca="1">SUMIFS(OUT!$F$2:$F$11000,OUT!$H$2:$H$101007,H1246,OUT!$D$2:$D$11000,"Out",OUT!$E$2:$E$11000,"Jajan")</f>
        <v>#VALUE!</v>
      </c>
      <c r="O1246" s="52">
        <f ca="1">SUMIFS(OUT!$F$2:$F$11000,OUT!$H$2:$H$11000,H1246,OUT!$D$2:$D$11000,"Out",OUT!$E$2:$E$11000,"Kitchen")</f>
        <v>1584204</v>
      </c>
      <c r="P1246" s="52">
        <f ca="1">SUMIFS(OUT!$F$2:$F$11000,OUT!$H$2:$H$11000,H1246,OUT!$D$2:$D$11000,"Out",OUT!$E$2:$E$11000,"Loandry")</f>
        <v>43448</v>
      </c>
      <c r="Q1246" s="52">
        <f ca="1">SUMIFS(OUT!$F$2:$F$11000,OUT!$H$2:$H$11000,H1246,OUT!$D$2:$D$11000,"Out",OUT!$E$2:$E$11000,"Mio")</f>
        <v>329000</v>
      </c>
      <c r="R1246" s="52">
        <f ca="1">SUMIFS(OUT!$F$2:$F$11000,OUT!$H$2:$H$11000,H1246,OUT!$D$2:$D$11000,"Out",OUT!$E$2:$E$11000,"Sedekah")</f>
        <v>5000</v>
      </c>
      <c r="S1246" s="52">
        <f ca="1">SUMIFS(OUT!$F$2:$F$11000,OUT!$H$2:$H$11000,H1246,OUT!$D$2:$D$11000,"Out",OUT!$E$2:$E$11000,"Zela")</f>
        <v>40500</v>
      </c>
      <c r="T1246" s="52">
        <f ca="1">SUMIFS(OUT!$F$2:$F$11000,OUT!$H$2:$H$11000,H1246,OUT!$D$2:$D$11000,"Out",OUT!$E$2:$E$11000,"Iqbal")</f>
        <v>295000</v>
      </c>
    </row>
    <row r="1247" spans="1:20" x14ac:dyDescent="0.2">
      <c r="A1247" s="48">
        <f ca="1">IFERROR(__xludf.DUMMYFUNCTION("""COMPUTED_VALUE"""),46249)</f>
        <v>46249</v>
      </c>
      <c r="B1247" s="4" t="str">
        <f ca="1">IFERROR(__xludf.DUMMYFUNCTION("""COMPUTED_VALUE"""),"saeapan pagi lontong")</f>
        <v>saeapan pagi lontong</v>
      </c>
      <c r="C1247" s="4" t="str">
        <f ca="1">IFERROR(__xludf.DUMMYFUNCTION("""COMPUTED_VALUE"""),"ATM")</f>
        <v>ATM</v>
      </c>
      <c r="D1247" s="4" t="str">
        <f ca="1">IFERROR(__xludf.DUMMYFUNCTION("""COMPUTED_VALUE"""),"Out")</f>
        <v>Out</v>
      </c>
      <c r="E1247" s="4" t="str">
        <f ca="1">IFERROR(__xludf.DUMMYFUNCTION("""COMPUTED_VALUE"""),"Kitchen")</f>
        <v>Kitchen</v>
      </c>
      <c r="F1247" s="49">
        <f ca="1">IFERROR(__xludf.DUMMYFUNCTION("""COMPUTED_VALUE"""),24000)</f>
        <v>24000</v>
      </c>
      <c r="G1247" s="50" t="str">
        <f ca="1">IFERROR(__xludf.DUMMYFUNCTION("""COMPUTED_VALUE"""),"Zela")</f>
        <v>Zela</v>
      </c>
      <c r="H1247" s="51">
        <f t="shared" ca="1" si="0"/>
        <v>46235</v>
      </c>
      <c r="I1247" s="52" t="e">
        <f ca="1">SUMIFS(OUT!$F$2:$F$11000,OUT!$H$2:$H$11000,H1247,OUT!$D$2:$D$101007,"In")</f>
        <v>#VALUE!</v>
      </c>
      <c r="J1247" s="52">
        <f ca="1">SUMIFS(OUT!$F$2:$F$11000,OUT!$H$2:$H$11000,H1247,OUT!$D$2:$D$11000,"Out")</f>
        <v>9573570</v>
      </c>
      <c r="K1247" s="52">
        <f ca="1">SUMIFS(OUT!$F$2:$F$11000,OUT!$H$2:$H$11000,H1247,OUT!$D$2:$D$11000,"Out",OUT!$E$2:$E$11000,"Fix")</f>
        <v>2533689</v>
      </c>
      <c r="L1247" s="52">
        <f ca="1">SUMIFS(OUT!$F$2:$F$11000,OUT!$H$2:$H$11000,H1247,OUT!$D$2:$D$11000,"Out",OUT!$E$2:$E$11000,"Bathroom")</f>
        <v>14491</v>
      </c>
      <c r="M1247" s="52">
        <f ca="1">SUMIFS(OUT!$F$2:$F$11000,OUT!$H$2:$H$11000,H1247,OUT!$D$2:$D$11000,"Out",OUT!$E$2:$E$11000,"Alfa")</f>
        <v>452769</v>
      </c>
      <c r="N1247" s="52" t="e">
        <f ca="1">SUMIFS(OUT!$F$2:$F$11000,OUT!$H$2:$H$101007,H1247,OUT!$D$2:$D$11000,"Out",OUT!$E$2:$E$11000,"Jajan")</f>
        <v>#VALUE!</v>
      </c>
      <c r="O1247" s="52">
        <f ca="1">SUMIFS(OUT!$F$2:$F$11000,OUT!$H$2:$H$11000,H1247,OUT!$D$2:$D$11000,"Out",OUT!$E$2:$E$11000,"Kitchen")</f>
        <v>1584204</v>
      </c>
      <c r="P1247" s="52">
        <f ca="1">SUMIFS(OUT!$F$2:$F$11000,OUT!$H$2:$H$11000,H1247,OUT!$D$2:$D$11000,"Out",OUT!$E$2:$E$11000,"Loandry")</f>
        <v>43448</v>
      </c>
      <c r="Q1247" s="52">
        <f ca="1">SUMIFS(OUT!$F$2:$F$11000,OUT!$H$2:$H$11000,H1247,OUT!$D$2:$D$11000,"Out",OUT!$E$2:$E$11000,"Mio")</f>
        <v>329000</v>
      </c>
      <c r="R1247" s="52">
        <f ca="1">SUMIFS(OUT!$F$2:$F$11000,OUT!$H$2:$H$11000,H1247,OUT!$D$2:$D$11000,"Out",OUT!$E$2:$E$11000,"Sedekah")</f>
        <v>5000</v>
      </c>
      <c r="S1247" s="52">
        <f ca="1">SUMIFS(OUT!$F$2:$F$11000,OUT!$H$2:$H$11000,H1247,OUT!$D$2:$D$11000,"Out",OUT!$E$2:$E$11000,"Zela")</f>
        <v>40500</v>
      </c>
      <c r="T1247" s="52">
        <f ca="1">SUMIFS(OUT!$F$2:$F$11000,OUT!$H$2:$H$11000,H1247,OUT!$D$2:$D$11000,"Out",OUT!$E$2:$E$11000,"Iqbal")</f>
        <v>295000</v>
      </c>
    </row>
    <row r="1248" spans="1:20" x14ac:dyDescent="0.2">
      <c r="A1248" s="48">
        <f ca="1">IFERROR(__xludf.DUMMYFUNCTION("""COMPUTED_VALUE"""),46249)</f>
        <v>46249</v>
      </c>
      <c r="B1248" s="4" t="str">
        <f ca="1">IFERROR(__xludf.DUMMYFUNCTION("""COMPUTED_VALUE"""),"rokok ")</f>
        <v xml:space="preserve">rokok </v>
      </c>
      <c r="C1248" s="4" t="str">
        <f ca="1">IFERROR(__xludf.DUMMYFUNCTION("""COMPUTED_VALUE"""),"ATM")</f>
        <v>ATM</v>
      </c>
      <c r="D1248" s="4" t="str">
        <f ca="1">IFERROR(__xludf.DUMMYFUNCTION("""COMPUTED_VALUE"""),"Out")</f>
        <v>Out</v>
      </c>
      <c r="E1248" s="4" t="str">
        <f ca="1">IFERROR(__xludf.DUMMYFUNCTION("""COMPUTED_VALUE"""),"Iqbal")</f>
        <v>Iqbal</v>
      </c>
      <c r="F1248" s="49">
        <f ca="1">IFERROR(__xludf.DUMMYFUNCTION("""COMPUTED_VALUE"""),17000)</f>
        <v>17000</v>
      </c>
      <c r="G1248" s="50" t="str">
        <f ca="1">IFERROR(__xludf.DUMMYFUNCTION("""COMPUTED_VALUE"""),"Zela")</f>
        <v>Zela</v>
      </c>
      <c r="H1248" s="51">
        <f t="shared" ca="1" si="0"/>
        <v>46235</v>
      </c>
      <c r="I1248" s="52" t="e">
        <f ca="1">SUMIFS(OUT!$F$2:$F$11000,OUT!$H$2:$H$11000,H1248,OUT!$D$2:$D$101007,"In")</f>
        <v>#VALUE!</v>
      </c>
      <c r="J1248" s="52">
        <f ca="1">SUMIFS(OUT!$F$2:$F$11000,OUT!$H$2:$H$11000,H1248,OUT!$D$2:$D$11000,"Out")</f>
        <v>9573570</v>
      </c>
      <c r="K1248" s="52">
        <f ca="1">SUMIFS(OUT!$F$2:$F$11000,OUT!$H$2:$H$11000,H1248,OUT!$D$2:$D$11000,"Out",OUT!$E$2:$E$11000,"Fix")</f>
        <v>2533689</v>
      </c>
      <c r="L1248" s="52">
        <f ca="1">SUMIFS(OUT!$F$2:$F$11000,OUT!$H$2:$H$11000,H1248,OUT!$D$2:$D$11000,"Out",OUT!$E$2:$E$11000,"Bathroom")</f>
        <v>14491</v>
      </c>
      <c r="M1248" s="52">
        <f ca="1">SUMIFS(OUT!$F$2:$F$11000,OUT!$H$2:$H$11000,H1248,OUT!$D$2:$D$11000,"Out",OUT!$E$2:$E$11000,"Alfa")</f>
        <v>452769</v>
      </c>
      <c r="N1248" s="52" t="e">
        <f ca="1">SUMIFS(OUT!$F$2:$F$11000,OUT!$H$2:$H$101007,H1248,OUT!$D$2:$D$11000,"Out",OUT!$E$2:$E$11000,"Jajan")</f>
        <v>#VALUE!</v>
      </c>
      <c r="O1248" s="52">
        <f ca="1">SUMIFS(OUT!$F$2:$F$11000,OUT!$H$2:$H$11000,H1248,OUT!$D$2:$D$11000,"Out",OUT!$E$2:$E$11000,"Kitchen")</f>
        <v>1584204</v>
      </c>
      <c r="P1248" s="52">
        <f ca="1">SUMIFS(OUT!$F$2:$F$11000,OUT!$H$2:$H$11000,H1248,OUT!$D$2:$D$11000,"Out",OUT!$E$2:$E$11000,"Loandry")</f>
        <v>43448</v>
      </c>
      <c r="Q1248" s="52">
        <f ca="1">SUMIFS(OUT!$F$2:$F$11000,OUT!$H$2:$H$11000,H1248,OUT!$D$2:$D$11000,"Out",OUT!$E$2:$E$11000,"Mio")</f>
        <v>329000</v>
      </c>
      <c r="R1248" s="52">
        <f ca="1">SUMIFS(OUT!$F$2:$F$11000,OUT!$H$2:$H$11000,H1248,OUT!$D$2:$D$11000,"Out",OUT!$E$2:$E$11000,"Sedekah")</f>
        <v>5000</v>
      </c>
      <c r="S1248" s="52">
        <f ca="1">SUMIFS(OUT!$F$2:$F$11000,OUT!$H$2:$H$11000,H1248,OUT!$D$2:$D$11000,"Out",OUT!$E$2:$E$11000,"Zela")</f>
        <v>40500</v>
      </c>
      <c r="T1248" s="52">
        <f ca="1">SUMIFS(OUT!$F$2:$F$11000,OUT!$H$2:$H$11000,H1248,OUT!$D$2:$D$11000,"Out",OUT!$E$2:$E$11000,"Iqbal")</f>
        <v>295000</v>
      </c>
    </row>
    <row r="1249" spans="1:20" x14ac:dyDescent="0.2">
      <c r="A1249" s="48">
        <f ca="1">IFERROR(__xludf.DUMMYFUNCTION("""COMPUTED_VALUE"""),46249)</f>
        <v>46249</v>
      </c>
      <c r="B1249" s="4" t="str">
        <f ca="1">IFERROR(__xludf.DUMMYFUNCTION("""COMPUTED_VALUE"""),"Bakso Bakar")</f>
        <v>Bakso Bakar</v>
      </c>
      <c r="C1249" s="4" t="str">
        <f ca="1">IFERROR(__xludf.DUMMYFUNCTION("""COMPUTED_VALUE"""),"ATM")</f>
        <v>ATM</v>
      </c>
      <c r="D1249" s="4" t="str">
        <f ca="1">IFERROR(__xludf.DUMMYFUNCTION("""COMPUTED_VALUE"""),"Out")</f>
        <v>Out</v>
      </c>
      <c r="E1249" s="4" t="str">
        <f ca="1">IFERROR(__xludf.DUMMYFUNCTION("""COMPUTED_VALUE"""),"Jajan")</f>
        <v>Jajan</v>
      </c>
      <c r="F1249" s="49">
        <f ca="1">IFERROR(__xludf.DUMMYFUNCTION("""COMPUTED_VALUE"""),20000)</f>
        <v>20000</v>
      </c>
      <c r="G1249" s="50" t="str">
        <f ca="1">IFERROR(__xludf.DUMMYFUNCTION("""COMPUTED_VALUE"""),"Zela")</f>
        <v>Zela</v>
      </c>
      <c r="H1249" s="51">
        <f t="shared" ca="1" si="0"/>
        <v>46235</v>
      </c>
      <c r="I1249" s="52" t="e">
        <f ca="1">SUMIFS(OUT!$F$2:$F$11000,OUT!$H$2:$H$11000,H1249,OUT!$D$2:$D$101007,"In")</f>
        <v>#VALUE!</v>
      </c>
      <c r="J1249" s="52">
        <f ca="1">SUMIFS(OUT!$F$2:$F$11000,OUT!$H$2:$H$11000,H1249,OUT!$D$2:$D$11000,"Out")</f>
        <v>9573570</v>
      </c>
      <c r="K1249" s="52">
        <f ca="1">SUMIFS(OUT!$F$2:$F$11000,OUT!$H$2:$H$11000,H1249,OUT!$D$2:$D$11000,"Out",OUT!$E$2:$E$11000,"Fix")</f>
        <v>2533689</v>
      </c>
      <c r="L1249" s="52">
        <f ca="1">SUMIFS(OUT!$F$2:$F$11000,OUT!$H$2:$H$11000,H1249,OUT!$D$2:$D$11000,"Out",OUT!$E$2:$E$11000,"Bathroom")</f>
        <v>14491</v>
      </c>
      <c r="M1249" s="52">
        <f ca="1">SUMIFS(OUT!$F$2:$F$11000,OUT!$H$2:$H$11000,H1249,OUT!$D$2:$D$11000,"Out",OUT!$E$2:$E$11000,"Alfa")</f>
        <v>452769</v>
      </c>
      <c r="N1249" s="52" t="e">
        <f ca="1">SUMIFS(OUT!$F$2:$F$11000,OUT!$H$2:$H$101007,H1249,OUT!$D$2:$D$11000,"Out",OUT!$E$2:$E$11000,"Jajan")</f>
        <v>#VALUE!</v>
      </c>
      <c r="O1249" s="52">
        <f ca="1">SUMIFS(OUT!$F$2:$F$11000,OUT!$H$2:$H$11000,H1249,OUT!$D$2:$D$11000,"Out",OUT!$E$2:$E$11000,"Kitchen")</f>
        <v>1584204</v>
      </c>
      <c r="P1249" s="52">
        <f ca="1">SUMIFS(OUT!$F$2:$F$11000,OUT!$H$2:$H$11000,H1249,OUT!$D$2:$D$11000,"Out",OUT!$E$2:$E$11000,"Loandry")</f>
        <v>43448</v>
      </c>
      <c r="Q1249" s="52">
        <f ca="1">SUMIFS(OUT!$F$2:$F$11000,OUT!$H$2:$H$11000,H1249,OUT!$D$2:$D$11000,"Out",OUT!$E$2:$E$11000,"Mio")</f>
        <v>329000</v>
      </c>
      <c r="R1249" s="52">
        <f ca="1">SUMIFS(OUT!$F$2:$F$11000,OUT!$H$2:$H$11000,H1249,OUT!$D$2:$D$11000,"Out",OUT!$E$2:$E$11000,"Sedekah")</f>
        <v>5000</v>
      </c>
      <c r="S1249" s="52">
        <f ca="1">SUMIFS(OUT!$F$2:$F$11000,OUT!$H$2:$H$11000,H1249,OUT!$D$2:$D$11000,"Out",OUT!$E$2:$E$11000,"Zela")</f>
        <v>40500</v>
      </c>
      <c r="T1249" s="52">
        <f ca="1">SUMIFS(OUT!$F$2:$F$11000,OUT!$H$2:$H$11000,H1249,OUT!$D$2:$D$11000,"Out",OUT!$E$2:$E$11000,"Iqbal")</f>
        <v>295000</v>
      </c>
    </row>
    <row r="1250" spans="1:20" x14ac:dyDescent="0.2">
      <c r="A1250" s="48">
        <f ca="1">IFERROR(__xludf.DUMMYFUNCTION("""COMPUTED_VALUE"""),46250)</f>
        <v>46250</v>
      </c>
      <c r="B1250" s="4" t="str">
        <f ca="1">IFERROR(__xludf.DUMMYFUNCTION("""COMPUTED_VALUE"""),"Kue donat  2 ")</f>
        <v xml:space="preserve">Kue donat  2 </v>
      </c>
      <c r="C1250" s="4" t="str">
        <f ca="1">IFERROR(__xludf.DUMMYFUNCTION("""COMPUTED_VALUE"""),"ATM")</f>
        <v>ATM</v>
      </c>
      <c r="D1250" s="4" t="str">
        <f ca="1">IFERROR(__xludf.DUMMYFUNCTION("""COMPUTED_VALUE"""),"Out")</f>
        <v>Out</v>
      </c>
      <c r="E1250" s="4" t="str">
        <f ca="1">IFERROR(__xludf.DUMMYFUNCTION("""COMPUTED_VALUE"""),"Alfa")</f>
        <v>Alfa</v>
      </c>
      <c r="F1250" s="49">
        <f ca="1">IFERROR(__xludf.DUMMYFUNCTION("""COMPUTED_VALUE"""),58500)</f>
        <v>58500</v>
      </c>
      <c r="G1250" s="50" t="str">
        <f ca="1">IFERROR(__xludf.DUMMYFUNCTION("""COMPUTED_VALUE"""),"Zela")</f>
        <v>Zela</v>
      </c>
      <c r="H1250" s="51">
        <f t="shared" ca="1" si="0"/>
        <v>46235</v>
      </c>
      <c r="I1250" s="52" t="e">
        <f ca="1">SUMIFS(OUT!$F$2:$F$11000,OUT!$H$2:$H$11000,H1250,OUT!$D$2:$D$101007,"In")</f>
        <v>#VALUE!</v>
      </c>
      <c r="J1250" s="52">
        <f ca="1">SUMIFS(OUT!$F$2:$F$11000,OUT!$H$2:$H$11000,H1250,OUT!$D$2:$D$11000,"Out")</f>
        <v>9573570</v>
      </c>
      <c r="K1250" s="52">
        <f ca="1">SUMIFS(OUT!$F$2:$F$11000,OUT!$H$2:$H$11000,H1250,OUT!$D$2:$D$11000,"Out",OUT!$E$2:$E$11000,"Fix")</f>
        <v>2533689</v>
      </c>
      <c r="L1250" s="52">
        <f ca="1">SUMIFS(OUT!$F$2:$F$11000,OUT!$H$2:$H$11000,H1250,OUT!$D$2:$D$11000,"Out",OUT!$E$2:$E$11000,"Bathroom")</f>
        <v>14491</v>
      </c>
      <c r="M1250" s="52">
        <f ca="1">SUMIFS(OUT!$F$2:$F$11000,OUT!$H$2:$H$11000,H1250,OUT!$D$2:$D$11000,"Out",OUT!$E$2:$E$11000,"Alfa")</f>
        <v>452769</v>
      </c>
      <c r="N1250" s="52" t="e">
        <f ca="1">SUMIFS(OUT!$F$2:$F$11000,OUT!$H$2:$H$101007,H1250,OUT!$D$2:$D$11000,"Out",OUT!$E$2:$E$11000,"Jajan")</f>
        <v>#VALUE!</v>
      </c>
      <c r="O1250" s="52">
        <f ca="1">SUMIFS(OUT!$F$2:$F$11000,OUT!$H$2:$H$11000,H1250,OUT!$D$2:$D$11000,"Out",OUT!$E$2:$E$11000,"Kitchen")</f>
        <v>1584204</v>
      </c>
      <c r="P1250" s="52">
        <f ca="1">SUMIFS(OUT!$F$2:$F$11000,OUT!$H$2:$H$11000,H1250,OUT!$D$2:$D$11000,"Out",OUT!$E$2:$E$11000,"Loandry")</f>
        <v>43448</v>
      </c>
      <c r="Q1250" s="52">
        <f ca="1">SUMIFS(OUT!$F$2:$F$11000,OUT!$H$2:$H$11000,H1250,OUT!$D$2:$D$11000,"Out",OUT!$E$2:$E$11000,"Mio")</f>
        <v>329000</v>
      </c>
      <c r="R1250" s="52">
        <f ca="1">SUMIFS(OUT!$F$2:$F$11000,OUT!$H$2:$H$11000,H1250,OUT!$D$2:$D$11000,"Out",OUT!$E$2:$E$11000,"Sedekah")</f>
        <v>5000</v>
      </c>
      <c r="S1250" s="52">
        <f ca="1">SUMIFS(OUT!$F$2:$F$11000,OUT!$H$2:$H$11000,H1250,OUT!$D$2:$D$11000,"Out",OUT!$E$2:$E$11000,"Zela")</f>
        <v>40500</v>
      </c>
      <c r="T1250" s="52">
        <f ca="1">SUMIFS(OUT!$F$2:$F$11000,OUT!$H$2:$H$11000,H1250,OUT!$D$2:$D$11000,"Out",OUT!$E$2:$E$11000,"Iqbal")</f>
        <v>295000</v>
      </c>
    </row>
    <row r="1251" spans="1:20" x14ac:dyDescent="0.2">
      <c r="A1251" s="48">
        <f ca="1">IFERROR(__xludf.DUMMYFUNCTION("""COMPUTED_VALUE"""),46251)</f>
        <v>46251</v>
      </c>
      <c r="B1251" s="4" t="str">
        <f ca="1">IFERROR(__xludf.DUMMYFUNCTION("""COMPUTED_VALUE"""),"Tarik tunai ")</f>
        <v xml:space="preserve">Tarik tunai </v>
      </c>
      <c r="C1251" s="4" t="str">
        <f ca="1">IFERROR(__xludf.DUMMYFUNCTION("""COMPUTED_VALUE"""),"ATM")</f>
        <v>ATM</v>
      </c>
      <c r="D1251" s="4" t="str">
        <f ca="1">IFERROR(__xludf.DUMMYFUNCTION("""COMPUTED_VALUE"""),"Out")</f>
        <v>Out</v>
      </c>
      <c r="E1251" s="4" t="str">
        <f ca="1">IFERROR(__xludf.DUMMYFUNCTION("""COMPUTED_VALUE"""),"Move")</f>
        <v>Move</v>
      </c>
      <c r="F1251" s="49">
        <f ca="1">IFERROR(__xludf.DUMMYFUNCTION("""COMPUTED_VALUE"""),200000)</f>
        <v>200000</v>
      </c>
      <c r="G1251" s="50" t="str">
        <f ca="1">IFERROR(__xludf.DUMMYFUNCTION("""COMPUTED_VALUE"""),"Zela")</f>
        <v>Zela</v>
      </c>
      <c r="H1251" s="51">
        <f t="shared" ca="1" si="0"/>
        <v>46235</v>
      </c>
      <c r="I1251" s="52" t="e">
        <f ca="1">SUMIFS(OUT!$F$2:$F$11000,OUT!$H$2:$H$11000,H1251,OUT!$D$2:$D$101007,"In")</f>
        <v>#VALUE!</v>
      </c>
      <c r="J1251" s="52">
        <f ca="1">SUMIFS(OUT!$F$2:$F$11000,OUT!$H$2:$H$11000,H1251,OUT!$D$2:$D$11000,"Out")</f>
        <v>9573570</v>
      </c>
      <c r="K1251" s="52">
        <f ca="1">SUMIFS(OUT!$F$2:$F$11000,OUT!$H$2:$H$11000,H1251,OUT!$D$2:$D$11000,"Out",OUT!$E$2:$E$11000,"Fix")</f>
        <v>2533689</v>
      </c>
      <c r="L1251" s="52">
        <f ca="1">SUMIFS(OUT!$F$2:$F$11000,OUT!$H$2:$H$11000,H1251,OUT!$D$2:$D$11000,"Out",OUT!$E$2:$E$11000,"Bathroom")</f>
        <v>14491</v>
      </c>
      <c r="M1251" s="52">
        <f ca="1">SUMIFS(OUT!$F$2:$F$11000,OUT!$H$2:$H$11000,H1251,OUT!$D$2:$D$11000,"Out",OUT!$E$2:$E$11000,"Alfa")</f>
        <v>452769</v>
      </c>
      <c r="N1251" s="52" t="e">
        <f ca="1">SUMIFS(OUT!$F$2:$F$11000,OUT!$H$2:$H$101007,H1251,OUT!$D$2:$D$11000,"Out",OUT!$E$2:$E$11000,"Jajan")</f>
        <v>#VALUE!</v>
      </c>
      <c r="O1251" s="52">
        <f ca="1">SUMIFS(OUT!$F$2:$F$11000,OUT!$H$2:$H$11000,H1251,OUT!$D$2:$D$11000,"Out",OUT!$E$2:$E$11000,"Kitchen")</f>
        <v>1584204</v>
      </c>
      <c r="P1251" s="52">
        <f ca="1">SUMIFS(OUT!$F$2:$F$11000,OUT!$H$2:$H$11000,H1251,OUT!$D$2:$D$11000,"Out",OUT!$E$2:$E$11000,"Loandry")</f>
        <v>43448</v>
      </c>
      <c r="Q1251" s="52">
        <f ca="1">SUMIFS(OUT!$F$2:$F$11000,OUT!$H$2:$H$11000,H1251,OUT!$D$2:$D$11000,"Out",OUT!$E$2:$E$11000,"Mio")</f>
        <v>329000</v>
      </c>
      <c r="R1251" s="52">
        <f ca="1">SUMIFS(OUT!$F$2:$F$11000,OUT!$H$2:$H$11000,H1251,OUT!$D$2:$D$11000,"Out",OUT!$E$2:$E$11000,"Sedekah")</f>
        <v>5000</v>
      </c>
      <c r="S1251" s="52">
        <f ca="1">SUMIFS(OUT!$F$2:$F$11000,OUT!$H$2:$H$11000,H1251,OUT!$D$2:$D$11000,"Out",OUT!$E$2:$E$11000,"Zela")</f>
        <v>40500</v>
      </c>
      <c r="T1251" s="52">
        <f ca="1">SUMIFS(OUT!$F$2:$F$11000,OUT!$H$2:$H$11000,H1251,OUT!$D$2:$D$11000,"Out",OUT!$E$2:$E$11000,"Iqbal")</f>
        <v>295000</v>
      </c>
    </row>
    <row r="1252" spans="1:20" x14ac:dyDescent="0.2">
      <c r="A1252" s="48">
        <f ca="1">IFERROR(__xludf.DUMMYFUNCTION("""COMPUTED_VALUE"""),46251)</f>
        <v>46251</v>
      </c>
      <c r="B1252" s="4" t="str">
        <f ca="1">IFERROR(__xludf.DUMMYFUNCTION("""COMPUTED_VALUE"""),"Terima Tunai")</f>
        <v>Terima Tunai</v>
      </c>
      <c r="C1252" s="4" t="str">
        <f ca="1">IFERROR(__xludf.DUMMYFUNCTION("""COMPUTED_VALUE"""),"Cash")</f>
        <v>Cash</v>
      </c>
      <c r="D1252" s="4" t="str">
        <f ca="1">IFERROR(__xludf.DUMMYFUNCTION("""COMPUTED_VALUE"""),"In")</f>
        <v>In</v>
      </c>
      <c r="E1252" s="4" t="str">
        <f ca="1">IFERROR(__xludf.DUMMYFUNCTION("""COMPUTED_VALUE"""),"Move")</f>
        <v>Move</v>
      </c>
      <c r="F1252" s="49">
        <f ca="1">IFERROR(__xludf.DUMMYFUNCTION("""COMPUTED_VALUE"""),200000)</f>
        <v>200000</v>
      </c>
      <c r="G1252" s="50" t="str">
        <f ca="1">IFERROR(__xludf.DUMMYFUNCTION("""COMPUTED_VALUE"""),"Zela")</f>
        <v>Zela</v>
      </c>
      <c r="H1252" s="51">
        <f t="shared" ca="1" si="0"/>
        <v>46235</v>
      </c>
      <c r="I1252" s="52" t="e">
        <f ca="1">SUMIFS(OUT!$F$2:$F$11000,OUT!$H$2:$H$11000,H1252,OUT!$D$2:$D$101007,"In")</f>
        <v>#VALUE!</v>
      </c>
      <c r="J1252" s="52">
        <f ca="1">SUMIFS(OUT!$F$2:$F$11000,OUT!$H$2:$H$11000,H1252,OUT!$D$2:$D$11000,"Out")</f>
        <v>9573570</v>
      </c>
      <c r="K1252" s="52">
        <f ca="1">SUMIFS(OUT!$F$2:$F$11000,OUT!$H$2:$H$11000,H1252,OUT!$D$2:$D$11000,"Out",OUT!$E$2:$E$11000,"Fix")</f>
        <v>2533689</v>
      </c>
      <c r="L1252" s="52">
        <f ca="1">SUMIFS(OUT!$F$2:$F$11000,OUT!$H$2:$H$11000,H1252,OUT!$D$2:$D$11000,"Out",OUT!$E$2:$E$11000,"Bathroom")</f>
        <v>14491</v>
      </c>
      <c r="M1252" s="52">
        <f ca="1">SUMIFS(OUT!$F$2:$F$11000,OUT!$H$2:$H$11000,H1252,OUT!$D$2:$D$11000,"Out",OUT!$E$2:$E$11000,"Alfa")</f>
        <v>452769</v>
      </c>
      <c r="N1252" s="52" t="e">
        <f ca="1">SUMIFS(OUT!$F$2:$F$11000,OUT!$H$2:$H$101007,H1252,OUT!$D$2:$D$11000,"Out",OUT!$E$2:$E$11000,"Jajan")</f>
        <v>#VALUE!</v>
      </c>
      <c r="O1252" s="52">
        <f ca="1">SUMIFS(OUT!$F$2:$F$11000,OUT!$H$2:$H$11000,H1252,OUT!$D$2:$D$11000,"Out",OUT!$E$2:$E$11000,"Kitchen")</f>
        <v>1584204</v>
      </c>
      <c r="P1252" s="52">
        <f ca="1">SUMIFS(OUT!$F$2:$F$11000,OUT!$H$2:$H$11000,H1252,OUT!$D$2:$D$11000,"Out",OUT!$E$2:$E$11000,"Loandry")</f>
        <v>43448</v>
      </c>
      <c r="Q1252" s="52">
        <f ca="1">SUMIFS(OUT!$F$2:$F$11000,OUT!$H$2:$H$11000,H1252,OUT!$D$2:$D$11000,"Out",OUT!$E$2:$E$11000,"Mio")</f>
        <v>329000</v>
      </c>
      <c r="R1252" s="52">
        <f ca="1">SUMIFS(OUT!$F$2:$F$11000,OUT!$H$2:$H$11000,H1252,OUT!$D$2:$D$11000,"Out",OUT!$E$2:$E$11000,"Sedekah")</f>
        <v>5000</v>
      </c>
      <c r="S1252" s="52">
        <f ca="1">SUMIFS(OUT!$F$2:$F$11000,OUT!$H$2:$H$11000,H1252,OUT!$D$2:$D$11000,"Out",OUT!$E$2:$E$11000,"Zela")</f>
        <v>40500</v>
      </c>
      <c r="T1252" s="52">
        <f ca="1">SUMIFS(OUT!$F$2:$F$11000,OUT!$H$2:$H$11000,H1252,OUT!$D$2:$D$11000,"Out",OUT!$E$2:$E$11000,"Iqbal")</f>
        <v>295000</v>
      </c>
    </row>
    <row r="1253" spans="1:20" x14ac:dyDescent="0.2">
      <c r="A1253" s="48">
        <f ca="1">IFERROR(__xludf.DUMMYFUNCTION("""COMPUTED_VALUE"""),46248)</f>
        <v>46248</v>
      </c>
      <c r="B1253" s="4" t="str">
        <f ca="1">IFERROR(__xludf.DUMMYFUNCTION("""COMPUTED_VALUE"""),"Pasar Kaget ")</f>
        <v xml:space="preserve">Pasar Kaget </v>
      </c>
      <c r="C1253" s="4" t="str">
        <f ca="1">IFERROR(__xludf.DUMMYFUNCTION("""COMPUTED_VALUE"""),"Cash")</f>
        <v>Cash</v>
      </c>
      <c r="D1253" s="4" t="str">
        <f ca="1">IFERROR(__xludf.DUMMYFUNCTION("""COMPUTED_VALUE"""),"Out")</f>
        <v>Out</v>
      </c>
      <c r="E1253" s="4" t="str">
        <f ca="1">IFERROR(__xludf.DUMMYFUNCTION("""COMPUTED_VALUE"""),"Kitchen")</f>
        <v>Kitchen</v>
      </c>
      <c r="F1253" s="49">
        <f ca="1">IFERROR(__xludf.DUMMYFUNCTION("""COMPUTED_VALUE"""),195000)</f>
        <v>195000</v>
      </c>
      <c r="G1253" s="50" t="str">
        <f ca="1">IFERROR(__xludf.DUMMYFUNCTION("""COMPUTED_VALUE"""),"Zela")</f>
        <v>Zela</v>
      </c>
      <c r="H1253" s="51">
        <f t="shared" ca="1" si="0"/>
        <v>46235</v>
      </c>
      <c r="I1253" s="52" t="e">
        <f ca="1">SUMIFS(OUT!$F$2:$F$11000,OUT!$H$2:$H$11000,H1253,OUT!$D$2:$D$101007,"In")</f>
        <v>#VALUE!</v>
      </c>
      <c r="J1253" s="52">
        <f ca="1">SUMIFS(OUT!$F$2:$F$11000,OUT!$H$2:$H$11000,H1253,OUT!$D$2:$D$11000,"Out")</f>
        <v>9573570</v>
      </c>
      <c r="K1253" s="52">
        <f ca="1">SUMIFS(OUT!$F$2:$F$11000,OUT!$H$2:$H$11000,H1253,OUT!$D$2:$D$11000,"Out",OUT!$E$2:$E$11000,"Fix")</f>
        <v>2533689</v>
      </c>
      <c r="L1253" s="52">
        <f ca="1">SUMIFS(OUT!$F$2:$F$11000,OUT!$H$2:$H$11000,H1253,OUT!$D$2:$D$11000,"Out",OUT!$E$2:$E$11000,"Bathroom")</f>
        <v>14491</v>
      </c>
      <c r="M1253" s="52">
        <f ca="1">SUMIFS(OUT!$F$2:$F$11000,OUT!$H$2:$H$11000,H1253,OUT!$D$2:$D$11000,"Out",OUT!$E$2:$E$11000,"Alfa")</f>
        <v>452769</v>
      </c>
      <c r="N1253" s="52" t="e">
        <f ca="1">SUMIFS(OUT!$F$2:$F$11000,OUT!$H$2:$H$101007,H1253,OUT!$D$2:$D$11000,"Out",OUT!$E$2:$E$11000,"Jajan")</f>
        <v>#VALUE!</v>
      </c>
      <c r="O1253" s="52">
        <f ca="1">SUMIFS(OUT!$F$2:$F$11000,OUT!$H$2:$H$11000,H1253,OUT!$D$2:$D$11000,"Out",OUT!$E$2:$E$11000,"Kitchen")</f>
        <v>1584204</v>
      </c>
      <c r="P1253" s="52">
        <f ca="1">SUMIFS(OUT!$F$2:$F$11000,OUT!$H$2:$H$11000,H1253,OUT!$D$2:$D$11000,"Out",OUT!$E$2:$E$11000,"Loandry")</f>
        <v>43448</v>
      </c>
      <c r="Q1253" s="52">
        <f ca="1">SUMIFS(OUT!$F$2:$F$11000,OUT!$H$2:$H$11000,H1253,OUT!$D$2:$D$11000,"Out",OUT!$E$2:$E$11000,"Mio")</f>
        <v>329000</v>
      </c>
      <c r="R1253" s="52">
        <f ca="1">SUMIFS(OUT!$F$2:$F$11000,OUT!$H$2:$H$11000,H1253,OUT!$D$2:$D$11000,"Out",OUT!$E$2:$E$11000,"Sedekah")</f>
        <v>5000</v>
      </c>
      <c r="S1253" s="52">
        <f ca="1">SUMIFS(OUT!$F$2:$F$11000,OUT!$H$2:$H$11000,H1253,OUT!$D$2:$D$11000,"Out",OUT!$E$2:$E$11000,"Zela")</f>
        <v>40500</v>
      </c>
      <c r="T1253" s="52">
        <f ca="1">SUMIFS(OUT!$F$2:$F$11000,OUT!$H$2:$H$11000,H1253,OUT!$D$2:$D$11000,"Out",OUT!$E$2:$E$11000,"Iqbal")</f>
        <v>295000</v>
      </c>
    </row>
    <row r="1254" spans="1:20" x14ac:dyDescent="0.2">
      <c r="A1254" s="48">
        <f ca="1">IFERROR(__xludf.DUMMYFUNCTION("""COMPUTED_VALUE"""),46250)</f>
        <v>46250</v>
      </c>
      <c r="B1254" s="4" t="str">
        <f ca="1">IFERROR(__xludf.DUMMYFUNCTION("""COMPUTED_VALUE"""),"Galon ")</f>
        <v xml:space="preserve">Galon </v>
      </c>
      <c r="C1254" s="4" t="str">
        <f ca="1">IFERROR(__xludf.DUMMYFUNCTION("""COMPUTED_VALUE"""),"Cash")</f>
        <v>Cash</v>
      </c>
      <c r="D1254" s="4" t="str">
        <f ca="1">IFERROR(__xludf.DUMMYFUNCTION("""COMPUTED_VALUE"""),"Out")</f>
        <v>Out</v>
      </c>
      <c r="E1254" s="4" t="str">
        <f ca="1">IFERROR(__xludf.DUMMYFUNCTION("""COMPUTED_VALUE"""),"Kitchen")</f>
        <v>Kitchen</v>
      </c>
      <c r="F1254" s="49">
        <f ca="1">IFERROR(__xludf.DUMMYFUNCTION("""COMPUTED_VALUE"""),3000)</f>
        <v>3000</v>
      </c>
      <c r="G1254" s="50" t="str">
        <f ca="1">IFERROR(__xludf.DUMMYFUNCTION("""COMPUTED_VALUE"""),"Zela")</f>
        <v>Zela</v>
      </c>
      <c r="H1254" s="51">
        <f t="shared" ca="1" si="0"/>
        <v>46235</v>
      </c>
      <c r="I1254" s="52" t="e">
        <f ca="1">SUMIFS(OUT!$F$2:$F$11000,OUT!$H$2:$H$11000,H1254,OUT!$D$2:$D$101007,"In")</f>
        <v>#VALUE!</v>
      </c>
      <c r="J1254" s="52">
        <f ca="1">SUMIFS(OUT!$F$2:$F$11000,OUT!$H$2:$H$11000,H1254,OUT!$D$2:$D$11000,"Out")</f>
        <v>9573570</v>
      </c>
      <c r="K1254" s="52">
        <f ca="1">SUMIFS(OUT!$F$2:$F$11000,OUT!$H$2:$H$11000,H1254,OUT!$D$2:$D$11000,"Out",OUT!$E$2:$E$11000,"Fix")</f>
        <v>2533689</v>
      </c>
      <c r="L1254" s="52">
        <f ca="1">SUMIFS(OUT!$F$2:$F$11000,OUT!$H$2:$H$11000,H1254,OUT!$D$2:$D$11000,"Out",OUT!$E$2:$E$11000,"Bathroom")</f>
        <v>14491</v>
      </c>
      <c r="M1254" s="52">
        <f ca="1">SUMIFS(OUT!$F$2:$F$11000,OUT!$H$2:$H$11000,H1254,OUT!$D$2:$D$11000,"Out",OUT!$E$2:$E$11000,"Alfa")</f>
        <v>452769</v>
      </c>
      <c r="N1254" s="52" t="e">
        <f ca="1">SUMIFS(OUT!$F$2:$F$11000,OUT!$H$2:$H$101007,H1254,OUT!$D$2:$D$11000,"Out",OUT!$E$2:$E$11000,"Jajan")</f>
        <v>#VALUE!</v>
      </c>
      <c r="O1254" s="52">
        <f ca="1">SUMIFS(OUT!$F$2:$F$11000,OUT!$H$2:$H$11000,H1254,OUT!$D$2:$D$11000,"Out",OUT!$E$2:$E$11000,"Kitchen")</f>
        <v>1584204</v>
      </c>
      <c r="P1254" s="52">
        <f ca="1">SUMIFS(OUT!$F$2:$F$11000,OUT!$H$2:$H$11000,H1254,OUT!$D$2:$D$11000,"Out",OUT!$E$2:$E$11000,"Loandry")</f>
        <v>43448</v>
      </c>
      <c r="Q1254" s="52">
        <f ca="1">SUMIFS(OUT!$F$2:$F$11000,OUT!$H$2:$H$11000,H1254,OUT!$D$2:$D$11000,"Out",OUT!$E$2:$E$11000,"Mio")</f>
        <v>329000</v>
      </c>
      <c r="R1254" s="52">
        <f ca="1">SUMIFS(OUT!$F$2:$F$11000,OUT!$H$2:$H$11000,H1254,OUT!$D$2:$D$11000,"Out",OUT!$E$2:$E$11000,"Sedekah")</f>
        <v>5000</v>
      </c>
      <c r="S1254" s="52">
        <f ca="1">SUMIFS(OUT!$F$2:$F$11000,OUT!$H$2:$H$11000,H1254,OUT!$D$2:$D$11000,"Out",OUT!$E$2:$E$11000,"Zela")</f>
        <v>40500</v>
      </c>
      <c r="T1254" s="52">
        <f ca="1">SUMIFS(OUT!$F$2:$F$11000,OUT!$H$2:$H$11000,H1254,OUT!$D$2:$D$11000,"Out",OUT!$E$2:$E$11000,"Iqbal")</f>
        <v>295000</v>
      </c>
    </row>
    <row r="1255" spans="1:20" x14ac:dyDescent="0.2">
      <c r="A1255" s="48">
        <f ca="1">IFERROR(__xludf.DUMMYFUNCTION("""COMPUTED_VALUE"""),46249)</f>
        <v>46249</v>
      </c>
      <c r="B1255" s="4" t="str">
        <f ca="1">IFERROR(__xludf.DUMMYFUNCTION("""COMPUTED_VALUE"""),"Parkir Stadion")</f>
        <v>Parkir Stadion</v>
      </c>
      <c r="C1255" s="4" t="str">
        <f ca="1">IFERROR(__xludf.DUMMYFUNCTION("""COMPUTED_VALUE"""),"Cash")</f>
        <v>Cash</v>
      </c>
      <c r="D1255" s="4" t="str">
        <f ca="1">IFERROR(__xludf.DUMMYFUNCTION("""COMPUTED_VALUE"""),"Out")</f>
        <v>Out</v>
      </c>
      <c r="E1255" s="4" t="str">
        <f ca="1">IFERROR(__xludf.DUMMYFUNCTION("""COMPUTED_VALUE"""),"Jajan")</f>
        <v>Jajan</v>
      </c>
      <c r="F1255" s="49">
        <f ca="1">IFERROR(__xludf.DUMMYFUNCTION("""COMPUTED_VALUE"""),2000)</f>
        <v>2000</v>
      </c>
      <c r="G1255" s="50" t="str">
        <f ca="1">IFERROR(__xludf.DUMMYFUNCTION("""COMPUTED_VALUE"""),"Zela")</f>
        <v>Zela</v>
      </c>
      <c r="H1255" s="51">
        <f t="shared" ca="1" si="0"/>
        <v>46235</v>
      </c>
      <c r="I1255" s="52" t="e">
        <f ca="1">SUMIFS(OUT!$F$2:$F$11000,OUT!$H$2:$H$11000,H1255,OUT!$D$2:$D$101007,"In")</f>
        <v>#VALUE!</v>
      </c>
      <c r="J1255" s="52">
        <f ca="1">SUMIFS(OUT!$F$2:$F$11000,OUT!$H$2:$H$11000,H1255,OUT!$D$2:$D$11000,"Out")</f>
        <v>9573570</v>
      </c>
      <c r="K1255" s="52">
        <f ca="1">SUMIFS(OUT!$F$2:$F$11000,OUT!$H$2:$H$11000,H1255,OUT!$D$2:$D$11000,"Out",OUT!$E$2:$E$11000,"Fix")</f>
        <v>2533689</v>
      </c>
      <c r="L1255" s="52">
        <f ca="1">SUMIFS(OUT!$F$2:$F$11000,OUT!$H$2:$H$11000,H1255,OUT!$D$2:$D$11000,"Out",OUT!$E$2:$E$11000,"Bathroom")</f>
        <v>14491</v>
      </c>
      <c r="M1255" s="52">
        <f ca="1">SUMIFS(OUT!$F$2:$F$11000,OUT!$H$2:$H$11000,H1255,OUT!$D$2:$D$11000,"Out",OUT!$E$2:$E$11000,"Alfa")</f>
        <v>452769</v>
      </c>
      <c r="N1255" s="52" t="e">
        <f ca="1">SUMIFS(OUT!$F$2:$F$11000,OUT!$H$2:$H$101007,H1255,OUT!$D$2:$D$11000,"Out",OUT!$E$2:$E$11000,"Jajan")</f>
        <v>#VALUE!</v>
      </c>
      <c r="O1255" s="52">
        <f ca="1">SUMIFS(OUT!$F$2:$F$11000,OUT!$H$2:$H$11000,H1255,OUT!$D$2:$D$11000,"Out",OUT!$E$2:$E$11000,"Kitchen")</f>
        <v>1584204</v>
      </c>
      <c r="P1255" s="52">
        <f ca="1">SUMIFS(OUT!$F$2:$F$11000,OUT!$H$2:$H$11000,H1255,OUT!$D$2:$D$11000,"Out",OUT!$E$2:$E$11000,"Loandry")</f>
        <v>43448</v>
      </c>
      <c r="Q1255" s="52">
        <f ca="1">SUMIFS(OUT!$F$2:$F$11000,OUT!$H$2:$H$11000,H1255,OUT!$D$2:$D$11000,"Out",OUT!$E$2:$E$11000,"Mio")</f>
        <v>329000</v>
      </c>
      <c r="R1255" s="52">
        <f ca="1">SUMIFS(OUT!$F$2:$F$11000,OUT!$H$2:$H$11000,H1255,OUT!$D$2:$D$11000,"Out",OUT!$E$2:$E$11000,"Sedekah")</f>
        <v>5000</v>
      </c>
      <c r="S1255" s="52">
        <f ca="1">SUMIFS(OUT!$F$2:$F$11000,OUT!$H$2:$H$11000,H1255,OUT!$D$2:$D$11000,"Out",OUT!$E$2:$E$11000,"Zela")</f>
        <v>40500</v>
      </c>
      <c r="T1255" s="52">
        <f ca="1">SUMIFS(OUT!$F$2:$F$11000,OUT!$H$2:$H$11000,H1255,OUT!$D$2:$D$11000,"Out",OUT!$E$2:$E$11000,"Iqbal")</f>
        <v>295000</v>
      </c>
    </row>
    <row r="1256" spans="1:20" x14ac:dyDescent="0.2">
      <c r="A1256" s="48">
        <f ca="1">IFERROR(__xludf.DUMMYFUNCTION("""COMPUTED_VALUE"""),46251)</f>
        <v>46251</v>
      </c>
      <c r="B1256" s="4" t="str">
        <f ca="1">IFERROR(__xludf.DUMMYFUNCTION("""COMPUTED_VALUE"""),"pasar Kaget + parkir ")</f>
        <v xml:space="preserve">pasar Kaget + parkir </v>
      </c>
      <c r="C1256" s="4" t="str">
        <f ca="1">IFERROR(__xludf.DUMMYFUNCTION("""COMPUTED_VALUE"""),"Cash")</f>
        <v>Cash</v>
      </c>
      <c r="D1256" s="4" t="str">
        <f ca="1">IFERROR(__xludf.DUMMYFUNCTION("""COMPUTED_VALUE"""),"Out")</f>
        <v>Out</v>
      </c>
      <c r="E1256" s="4" t="str">
        <f ca="1">IFERROR(__xludf.DUMMYFUNCTION("""COMPUTED_VALUE"""),"Kitchen")</f>
        <v>Kitchen</v>
      </c>
      <c r="F1256" s="49">
        <f ca="1">IFERROR(__xludf.DUMMYFUNCTION("""COMPUTED_VALUE"""),75000)</f>
        <v>75000</v>
      </c>
      <c r="G1256" s="50" t="str">
        <f ca="1">IFERROR(__xludf.DUMMYFUNCTION("""COMPUTED_VALUE"""),"Zela")</f>
        <v>Zela</v>
      </c>
      <c r="H1256" s="51">
        <f t="shared" ca="1" si="0"/>
        <v>46235</v>
      </c>
      <c r="I1256" s="52" t="e">
        <f ca="1">SUMIFS(OUT!$F$2:$F$11000,OUT!$H$2:$H$11000,H1256,OUT!$D$2:$D$101007,"In")</f>
        <v>#VALUE!</v>
      </c>
      <c r="J1256" s="52">
        <f ca="1">SUMIFS(OUT!$F$2:$F$11000,OUT!$H$2:$H$11000,H1256,OUT!$D$2:$D$11000,"Out")</f>
        <v>9573570</v>
      </c>
      <c r="K1256" s="52">
        <f ca="1">SUMIFS(OUT!$F$2:$F$11000,OUT!$H$2:$H$11000,H1256,OUT!$D$2:$D$11000,"Out",OUT!$E$2:$E$11000,"Fix")</f>
        <v>2533689</v>
      </c>
      <c r="L1256" s="52">
        <f ca="1">SUMIFS(OUT!$F$2:$F$11000,OUT!$H$2:$H$11000,H1256,OUT!$D$2:$D$11000,"Out",OUT!$E$2:$E$11000,"Bathroom")</f>
        <v>14491</v>
      </c>
      <c r="M1256" s="52">
        <f ca="1">SUMIFS(OUT!$F$2:$F$11000,OUT!$H$2:$H$11000,H1256,OUT!$D$2:$D$11000,"Out",OUT!$E$2:$E$11000,"Alfa")</f>
        <v>452769</v>
      </c>
      <c r="N1256" s="52" t="e">
        <f ca="1">SUMIFS(OUT!$F$2:$F$11000,OUT!$H$2:$H$101007,H1256,OUT!$D$2:$D$11000,"Out",OUT!$E$2:$E$11000,"Jajan")</f>
        <v>#VALUE!</v>
      </c>
      <c r="O1256" s="52">
        <f ca="1">SUMIFS(OUT!$F$2:$F$11000,OUT!$H$2:$H$11000,H1256,OUT!$D$2:$D$11000,"Out",OUT!$E$2:$E$11000,"Kitchen")</f>
        <v>1584204</v>
      </c>
      <c r="P1256" s="52">
        <f ca="1">SUMIFS(OUT!$F$2:$F$11000,OUT!$H$2:$H$11000,H1256,OUT!$D$2:$D$11000,"Out",OUT!$E$2:$E$11000,"Loandry")</f>
        <v>43448</v>
      </c>
      <c r="Q1256" s="52">
        <f ca="1">SUMIFS(OUT!$F$2:$F$11000,OUT!$H$2:$H$11000,H1256,OUT!$D$2:$D$11000,"Out",OUT!$E$2:$E$11000,"Mio")</f>
        <v>329000</v>
      </c>
      <c r="R1256" s="52">
        <f ca="1">SUMIFS(OUT!$F$2:$F$11000,OUT!$H$2:$H$11000,H1256,OUT!$D$2:$D$11000,"Out",OUT!$E$2:$E$11000,"Sedekah")</f>
        <v>5000</v>
      </c>
      <c r="S1256" s="52">
        <f ca="1">SUMIFS(OUT!$F$2:$F$11000,OUT!$H$2:$H$11000,H1256,OUT!$D$2:$D$11000,"Out",OUT!$E$2:$E$11000,"Zela")</f>
        <v>40500</v>
      </c>
      <c r="T1256" s="52">
        <f ca="1">SUMIFS(OUT!$F$2:$F$11000,OUT!$H$2:$H$11000,H1256,OUT!$D$2:$D$11000,"Out",OUT!$E$2:$E$11000,"Iqbal")</f>
        <v>295000</v>
      </c>
    </row>
    <row r="1257" spans="1:20" x14ac:dyDescent="0.2">
      <c r="A1257" s="48">
        <f ca="1">IFERROR(__xludf.DUMMYFUNCTION("""COMPUTED_VALUE"""),46251)</f>
        <v>46251</v>
      </c>
      <c r="B1257" s="4" t="str">
        <f ca="1">IFERROR(__xludf.DUMMYFUNCTION("""COMPUTED_VALUE"""),"sabun cuci( alfamart )")</f>
        <v>sabun cuci( alfamart )</v>
      </c>
      <c r="C1257" s="4" t="str">
        <f ca="1">IFERROR(__xludf.DUMMYFUNCTION("""COMPUTED_VALUE"""),"Cash")</f>
        <v>Cash</v>
      </c>
      <c r="D1257" s="4" t="str">
        <f ca="1">IFERROR(__xludf.DUMMYFUNCTION("""COMPUTED_VALUE"""),"Out")</f>
        <v>Out</v>
      </c>
      <c r="E1257" s="4" t="str">
        <f ca="1">IFERROR(__xludf.DUMMYFUNCTION("""COMPUTED_VALUE"""),"Loandry")</f>
        <v>Loandry</v>
      </c>
      <c r="F1257" s="49">
        <f ca="1">IFERROR(__xludf.DUMMYFUNCTION("""COMPUTED_VALUE"""),38000)</f>
        <v>38000</v>
      </c>
      <c r="G1257" s="50" t="str">
        <f ca="1">IFERROR(__xludf.DUMMYFUNCTION("""COMPUTED_VALUE"""),"Zela")</f>
        <v>Zela</v>
      </c>
      <c r="H1257" s="51">
        <f t="shared" ca="1" si="0"/>
        <v>46235</v>
      </c>
      <c r="I1257" s="52" t="e">
        <f ca="1">SUMIFS(OUT!$F$2:$F$11000,OUT!$H$2:$H$11000,H1257,OUT!$D$2:$D$101007,"In")</f>
        <v>#VALUE!</v>
      </c>
      <c r="J1257" s="52">
        <f ca="1">SUMIFS(OUT!$F$2:$F$11000,OUT!$H$2:$H$11000,H1257,OUT!$D$2:$D$11000,"Out")</f>
        <v>9573570</v>
      </c>
      <c r="K1257" s="52">
        <f ca="1">SUMIFS(OUT!$F$2:$F$11000,OUT!$H$2:$H$11000,H1257,OUT!$D$2:$D$11000,"Out",OUT!$E$2:$E$11000,"Fix")</f>
        <v>2533689</v>
      </c>
      <c r="L1257" s="52">
        <f ca="1">SUMIFS(OUT!$F$2:$F$11000,OUT!$H$2:$H$11000,H1257,OUT!$D$2:$D$11000,"Out",OUT!$E$2:$E$11000,"Bathroom")</f>
        <v>14491</v>
      </c>
      <c r="M1257" s="52">
        <f ca="1">SUMIFS(OUT!$F$2:$F$11000,OUT!$H$2:$H$11000,H1257,OUT!$D$2:$D$11000,"Out",OUT!$E$2:$E$11000,"Alfa")</f>
        <v>452769</v>
      </c>
      <c r="N1257" s="52" t="e">
        <f ca="1">SUMIFS(OUT!$F$2:$F$11000,OUT!$H$2:$H$101007,H1257,OUT!$D$2:$D$11000,"Out",OUT!$E$2:$E$11000,"Jajan")</f>
        <v>#VALUE!</v>
      </c>
      <c r="O1257" s="52">
        <f ca="1">SUMIFS(OUT!$F$2:$F$11000,OUT!$H$2:$H$11000,H1257,OUT!$D$2:$D$11000,"Out",OUT!$E$2:$E$11000,"Kitchen")</f>
        <v>1584204</v>
      </c>
      <c r="P1257" s="52">
        <f ca="1">SUMIFS(OUT!$F$2:$F$11000,OUT!$H$2:$H$11000,H1257,OUT!$D$2:$D$11000,"Out",OUT!$E$2:$E$11000,"Loandry")</f>
        <v>43448</v>
      </c>
      <c r="Q1257" s="52">
        <f ca="1">SUMIFS(OUT!$F$2:$F$11000,OUT!$H$2:$H$11000,H1257,OUT!$D$2:$D$11000,"Out",OUT!$E$2:$E$11000,"Mio")</f>
        <v>329000</v>
      </c>
      <c r="R1257" s="52">
        <f ca="1">SUMIFS(OUT!$F$2:$F$11000,OUT!$H$2:$H$11000,H1257,OUT!$D$2:$D$11000,"Out",OUT!$E$2:$E$11000,"Sedekah")</f>
        <v>5000</v>
      </c>
      <c r="S1257" s="52">
        <f ca="1">SUMIFS(OUT!$F$2:$F$11000,OUT!$H$2:$H$11000,H1257,OUT!$D$2:$D$11000,"Out",OUT!$E$2:$E$11000,"Zela")</f>
        <v>40500</v>
      </c>
      <c r="T1257" s="52">
        <f ca="1">SUMIFS(OUT!$F$2:$F$11000,OUT!$H$2:$H$11000,H1257,OUT!$D$2:$D$11000,"Out",OUT!$E$2:$E$11000,"Iqbal")</f>
        <v>295000</v>
      </c>
    </row>
    <row r="1258" spans="1:20" x14ac:dyDescent="0.2">
      <c r="A1258" s="48">
        <f ca="1">IFERROR(__xludf.DUMMYFUNCTION("""COMPUTED_VALUE"""),46252)</f>
        <v>46252</v>
      </c>
      <c r="B1258" s="4" t="str">
        <f ca="1">IFERROR(__xludf.DUMMYFUNCTION("""COMPUTED_VALUE"""),"Alfamart(minyak+yogurt+rexona)")</f>
        <v>Alfamart(minyak+yogurt+rexona)</v>
      </c>
      <c r="C1258" s="4" t="str">
        <f ca="1">IFERROR(__xludf.DUMMYFUNCTION("""COMPUTED_VALUE"""),"ATM")</f>
        <v>ATM</v>
      </c>
      <c r="D1258" s="4" t="str">
        <f ca="1">IFERROR(__xludf.DUMMYFUNCTION("""COMPUTED_VALUE"""),"Out")</f>
        <v>Out</v>
      </c>
      <c r="E1258" s="4" t="str">
        <f ca="1">IFERROR(__xludf.DUMMYFUNCTION("""COMPUTED_VALUE"""),"Kitchen")</f>
        <v>Kitchen</v>
      </c>
      <c r="F1258" s="49">
        <f ca="1">IFERROR(__xludf.DUMMYFUNCTION("""COMPUTED_VALUE"""),40400)</f>
        <v>40400</v>
      </c>
      <c r="G1258" s="50" t="str">
        <f ca="1">IFERROR(__xludf.DUMMYFUNCTION("""COMPUTED_VALUE"""),"Zela")</f>
        <v>Zela</v>
      </c>
      <c r="H1258" s="51">
        <f t="shared" ca="1" si="0"/>
        <v>46235</v>
      </c>
      <c r="I1258" s="52" t="e">
        <f ca="1">SUMIFS(OUT!$F$2:$F$11000,OUT!$H$2:$H$11000,H1258,OUT!$D$2:$D$101007,"In")</f>
        <v>#VALUE!</v>
      </c>
      <c r="J1258" s="52">
        <f ca="1">SUMIFS(OUT!$F$2:$F$11000,OUT!$H$2:$H$11000,H1258,OUT!$D$2:$D$11000,"Out")</f>
        <v>9573570</v>
      </c>
      <c r="K1258" s="52">
        <f ca="1">SUMIFS(OUT!$F$2:$F$11000,OUT!$H$2:$H$11000,H1258,OUT!$D$2:$D$11000,"Out",OUT!$E$2:$E$11000,"Fix")</f>
        <v>2533689</v>
      </c>
      <c r="L1258" s="52">
        <f ca="1">SUMIFS(OUT!$F$2:$F$11000,OUT!$H$2:$H$11000,H1258,OUT!$D$2:$D$11000,"Out",OUT!$E$2:$E$11000,"Bathroom")</f>
        <v>14491</v>
      </c>
      <c r="M1258" s="52">
        <f ca="1">SUMIFS(OUT!$F$2:$F$11000,OUT!$H$2:$H$11000,H1258,OUT!$D$2:$D$11000,"Out",OUT!$E$2:$E$11000,"Alfa")</f>
        <v>452769</v>
      </c>
      <c r="N1258" s="52" t="e">
        <f ca="1">SUMIFS(OUT!$F$2:$F$11000,OUT!$H$2:$H$101007,H1258,OUT!$D$2:$D$11000,"Out",OUT!$E$2:$E$11000,"Jajan")</f>
        <v>#VALUE!</v>
      </c>
      <c r="O1258" s="52">
        <f ca="1">SUMIFS(OUT!$F$2:$F$11000,OUT!$H$2:$H$11000,H1258,OUT!$D$2:$D$11000,"Out",OUT!$E$2:$E$11000,"Kitchen")</f>
        <v>1584204</v>
      </c>
      <c r="P1258" s="52">
        <f ca="1">SUMIFS(OUT!$F$2:$F$11000,OUT!$H$2:$H$11000,H1258,OUT!$D$2:$D$11000,"Out",OUT!$E$2:$E$11000,"Loandry")</f>
        <v>43448</v>
      </c>
      <c r="Q1258" s="52">
        <f ca="1">SUMIFS(OUT!$F$2:$F$11000,OUT!$H$2:$H$11000,H1258,OUT!$D$2:$D$11000,"Out",OUT!$E$2:$E$11000,"Mio")</f>
        <v>329000</v>
      </c>
      <c r="R1258" s="52">
        <f ca="1">SUMIFS(OUT!$F$2:$F$11000,OUT!$H$2:$H$11000,H1258,OUT!$D$2:$D$11000,"Out",OUT!$E$2:$E$11000,"Sedekah")</f>
        <v>5000</v>
      </c>
      <c r="S1258" s="52">
        <f ca="1">SUMIFS(OUT!$F$2:$F$11000,OUT!$H$2:$H$11000,H1258,OUT!$D$2:$D$11000,"Out",OUT!$E$2:$E$11000,"Zela")</f>
        <v>40500</v>
      </c>
      <c r="T1258" s="52">
        <f ca="1">SUMIFS(OUT!$F$2:$F$11000,OUT!$H$2:$H$11000,H1258,OUT!$D$2:$D$11000,"Out",OUT!$E$2:$E$11000,"Iqbal")</f>
        <v>295000</v>
      </c>
    </row>
    <row r="1259" spans="1:20" x14ac:dyDescent="0.2">
      <c r="A1259" s="48">
        <f ca="1">IFERROR(__xludf.DUMMYFUNCTION("""COMPUTED_VALUE"""),46253)</f>
        <v>46253</v>
      </c>
      <c r="B1259" s="4" t="str">
        <f ca="1">IFERROR(__xludf.DUMMYFUNCTION("""COMPUTED_VALUE"""),"Suamiku")</f>
        <v>Suamiku</v>
      </c>
      <c r="C1259" s="4" t="str">
        <f ca="1">IFERROR(__xludf.DUMMYFUNCTION("""COMPUTED_VALUE"""),"ATM")</f>
        <v>ATM</v>
      </c>
      <c r="D1259" s="4" t="str">
        <f ca="1">IFERROR(__xludf.DUMMYFUNCTION("""COMPUTED_VALUE"""),"Out")</f>
        <v>Out</v>
      </c>
      <c r="E1259" s="4" t="str">
        <f ca="1">IFERROR(__xludf.DUMMYFUNCTION("""COMPUTED_VALUE"""),"Move")</f>
        <v>Move</v>
      </c>
      <c r="F1259" s="49">
        <f ca="1">IFERROR(__xludf.DUMMYFUNCTION("""COMPUTED_VALUE"""),97750)</f>
        <v>97750</v>
      </c>
      <c r="G1259" s="50" t="str">
        <f ca="1">IFERROR(__xludf.DUMMYFUNCTION("""COMPUTED_VALUE"""),"Zela")</f>
        <v>Zela</v>
      </c>
      <c r="H1259" s="51">
        <f t="shared" ca="1" si="0"/>
        <v>46235</v>
      </c>
      <c r="I1259" s="52" t="e">
        <f ca="1">SUMIFS(OUT!$F$2:$F$11000,OUT!$H$2:$H$11000,H1259,OUT!$D$2:$D$101007,"In")</f>
        <v>#VALUE!</v>
      </c>
      <c r="J1259" s="52">
        <f ca="1">SUMIFS(OUT!$F$2:$F$11000,OUT!$H$2:$H$11000,H1259,OUT!$D$2:$D$11000,"Out")</f>
        <v>9573570</v>
      </c>
      <c r="K1259" s="52">
        <f ca="1">SUMIFS(OUT!$F$2:$F$11000,OUT!$H$2:$H$11000,H1259,OUT!$D$2:$D$11000,"Out",OUT!$E$2:$E$11000,"Fix")</f>
        <v>2533689</v>
      </c>
      <c r="L1259" s="52">
        <f ca="1">SUMIFS(OUT!$F$2:$F$11000,OUT!$H$2:$H$11000,H1259,OUT!$D$2:$D$11000,"Out",OUT!$E$2:$E$11000,"Bathroom")</f>
        <v>14491</v>
      </c>
      <c r="M1259" s="52">
        <f ca="1">SUMIFS(OUT!$F$2:$F$11000,OUT!$H$2:$H$11000,H1259,OUT!$D$2:$D$11000,"Out",OUT!$E$2:$E$11000,"Alfa")</f>
        <v>452769</v>
      </c>
      <c r="N1259" s="52" t="e">
        <f ca="1">SUMIFS(OUT!$F$2:$F$11000,OUT!$H$2:$H$101007,H1259,OUT!$D$2:$D$11000,"Out",OUT!$E$2:$E$11000,"Jajan")</f>
        <v>#VALUE!</v>
      </c>
      <c r="O1259" s="52">
        <f ca="1">SUMIFS(OUT!$F$2:$F$11000,OUT!$H$2:$H$11000,H1259,OUT!$D$2:$D$11000,"Out",OUT!$E$2:$E$11000,"Kitchen")</f>
        <v>1584204</v>
      </c>
      <c r="P1259" s="52">
        <f ca="1">SUMIFS(OUT!$F$2:$F$11000,OUT!$H$2:$H$11000,H1259,OUT!$D$2:$D$11000,"Out",OUT!$E$2:$E$11000,"Loandry")</f>
        <v>43448</v>
      </c>
      <c r="Q1259" s="52">
        <f ca="1">SUMIFS(OUT!$F$2:$F$11000,OUT!$H$2:$H$11000,H1259,OUT!$D$2:$D$11000,"Out",OUT!$E$2:$E$11000,"Mio")</f>
        <v>329000</v>
      </c>
      <c r="R1259" s="52">
        <f ca="1">SUMIFS(OUT!$F$2:$F$11000,OUT!$H$2:$H$11000,H1259,OUT!$D$2:$D$11000,"Out",OUT!$E$2:$E$11000,"Sedekah")</f>
        <v>5000</v>
      </c>
      <c r="S1259" s="52">
        <f ca="1">SUMIFS(OUT!$F$2:$F$11000,OUT!$H$2:$H$11000,H1259,OUT!$D$2:$D$11000,"Out",OUT!$E$2:$E$11000,"Zela")</f>
        <v>40500</v>
      </c>
      <c r="T1259" s="52">
        <f ca="1">SUMIFS(OUT!$F$2:$F$11000,OUT!$H$2:$H$11000,H1259,OUT!$D$2:$D$11000,"Out",OUT!$E$2:$E$11000,"Iqbal")</f>
        <v>295000</v>
      </c>
    </row>
    <row r="1260" spans="1:20" x14ac:dyDescent="0.2">
      <c r="A1260" s="48">
        <f ca="1">IFERROR(__xludf.DUMMYFUNCTION("""COMPUTED_VALUE"""),46252)</f>
        <v>46252</v>
      </c>
      <c r="B1260" s="4" t="str">
        <f ca="1">IFERROR(__xludf.DUMMYFUNCTION("""COMPUTED_VALUE"""),"Gabin ")</f>
        <v xml:space="preserve">Gabin </v>
      </c>
      <c r="C1260" s="4" t="str">
        <f ca="1">IFERROR(__xludf.DUMMYFUNCTION("""COMPUTED_VALUE"""),"Cash")</f>
        <v>Cash</v>
      </c>
      <c r="D1260" s="4" t="str">
        <f ca="1">IFERROR(__xludf.DUMMYFUNCTION("""COMPUTED_VALUE"""),"Out")</f>
        <v>Out</v>
      </c>
      <c r="E1260" s="4" t="str">
        <f ca="1">IFERROR(__xludf.DUMMYFUNCTION("""COMPUTED_VALUE"""),"Jajan")</f>
        <v>Jajan</v>
      </c>
      <c r="F1260" s="49">
        <f ca="1">IFERROR(__xludf.DUMMYFUNCTION("""COMPUTED_VALUE"""),8000)</f>
        <v>8000</v>
      </c>
      <c r="G1260" s="50" t="str">
        <f ca="1">IFERROR(__xludf.DUMMYFUNCTION("""COMPUTED_VALUE"""),"Zela")</f>
        <v>Zela</v>
      </c>
      <c r="H1260" s="51">
        <f t="shared" ca="1" si="0"/>
        <v>46235</v>
      </c>
      <c r="I1260" s="52" t="e">
        <f ca="1">SUMIFS(OUT!$F$2:$F$11000,OUT!$H$2:$H$11000,H1260,OUT!$D$2:$D$101007,"In")</f>
        <v>#VALUE!</v>
      </c>
      <c r="J1260" s="52">
        <f ca="1">SUMIFS(OUT!$F$2:$F$11000,OUT!$H$2:$H$11000,H1260,OUT!$D$2:$D$11000,"Out")</f>
        <v>9573570</v>
      </c>
      <c r="K1260" s="52">
        <f ca="1">SUMIFS(OUT!$F$2:$F$11000,OUT!$H$2:$H$11000,H1260,OUT!$D$2:$D$11000,"Out",OUT!$E$2:$E$11000,"Fix")</f>
        <v>2533689</v>
      </c>
      <c r="L1260" s="52">
        <f ca="1">SUMIFS(OUT!$F$2:$F$11000,OUT!$H$2:$H$11000,H1260,OUT!$D$2:$D$11000,"Out",OUT!$E$2:$E$11000,"Bathroom")</f>
        <v>14491</v>
      </c>
      <c r="M1260" s="52">
        <f ca="1">SUMIFS(OUT!$F$2:$F$11000,OUT!$H$2:$H$11000,H1260,OUT!$D$2:$D$11000,"Out",OUT!$E$2:$E$11000,"Alfa")</f>
        <v>452769</v>
      </c>
      <c r="N1260" s="52" t="e">
        <f ca="1">SUMIFS(OUT!$F$2:$F$11000,OUT!$H$2:$H$101007,H1260,OUT!$D$2:$D$11000,"Out",OUT!$E$2:$E$11000,"Jajan")</f>
        <v>#VALUE!</v>
      </c>
      <c r="O1260" s="52">
        <f ca="1">SUMIFS(OUT!$F$2:$F$11000,OUT!$H$2:$H$11000,H1260,OUT!$D$2:$D$11000,"Out",OUT!$E$2:$E$11000,"Kitchen")</f>
        <v>1584204</v>
      </c>
      <c r="P1260" s="52">
        <f ca="1">SUMIFS(OUT!$F$2:$F$11000,OUT!$H$2:$H$11000,H1260,OUT!$D$2:$D$11000,"Out",OUT!$E$2:$E$11000,"Loandry")</f>
        <v>43448</v>
      </c>
      <c r="Q1260" s="52">
        <f ca="1">SUMIFS(OUT!$F$2:$F$11000,OUT!$H$2:$H$11000,H1260,OUT!$D$2:$D$11000,"Out",OUT!$E$2:$E$11000,"Mio")</f>
        <v>329000</v>
      </c>
      <c r="R1260" s="52">
        <f ca="1">SUMIFS(OUT!$F$2:$F$11000,OUT!$H$2:$H$11000,H1260,OUT!$D$2:$D$11000,"Out",OUT!$E$2:$E$11000,"Sedekah")</f>
        <v>5000</v>
      </c>
      <c r="S1260" s="52">
        <f ca="1">SUMIFS(OUT!$F$2:$F$11000,OUT!$H$2:$H$11000,H1260,OUT!$D$2:$D$11000,"Out",OUT!$E$2:$E$11000,"Zela")</f>
        <v>40500</v>
      </c>
      <c r="T1260" s="52">
        <f ca="1">SUMIFS(OUT!$F$2:$F$11000,OUT!$H$2:$H$11000,H1260,OUT!$D$2:$D$11000,"Out",OUT!$E$2:$E$11000,"Iqbal")</f>
        <v>295000</v>
      </c>
    </row>
    <row r="1261" spans="1:20" x14ac:dyDescent="0.2">
      <c r="A1261" s="48">
        <f ca="1">IFERROR(__xludf.DUMMYFUNCTION("""COMPUTED_VALUE"""),46253)</f>
        <v>46253</v>
      </c>
      <c r="B1261" s="4" t="str">
        <f ca="1">IFERROR(__xludf.DUMMYFUNCTION("""COMPUTED_VALUE"""),"jajan alfa")</f>
        <v>jajan alfa</v>
      </c>
      <c r="C1261" s="4" t="str">
        <f ca="1">IFERROR(__xludf.DUMMYFUNCTION("""COMPUTED_VALUE"""),"Cash")</f>
        <v>Cash</v>
      </c>
      <c r="D1261" s="4" t="str">
        <f ca="1">IFERROR(__xludf.DUMMYFUNCTION("""COMPUTED_VALUE"""),"Out")</f>
        <v>Out</v>
      </c>
      <c r="E1261" s="4" t="str">
        <f ca="1">IFERROR(__xludf.DUMMYFUNCTION("""COMPUTED_VALUE"""),"Jajan")</f>
        <v>Jajan</v>
      </c>
      <c r="F1261" s="49">
        <f ca="1">IFERROR(__xludf.DUMMYFUNCTION("""COMPUTED_VALUE"""),5000)</f>
        <v>5000</v>
      </c>
      <c r="G1261" s="50" t="str">
        <f ca="1">IFERROR(__xludf.DUMMYFUNCTION("""COMPUTED_VALUE"""),"Zela")</f>
        <v>Zela</v>
      </c>
      <c r="H1261" s="51">
        <f t="shared" ca="1" si="0"/>
        <v>46235</v>
      </c>
      <c r="I1261" s="52" t="e">
        <f ca="1">SUMIFS(OUT!$F$2:$F$11000,OUT!$H$2:$H$11000,H1261,OUT!$D$2:$D$101007,"In")</f>
        <v>#VALUE!</v>
      </c>
      <c r="J1261" s="52">
        <f ca="1">SUMIFS(OUT!$F$2:$F$11000,OUT!$H$2:$H$11000,H1261,OUT!$D$2:$D$11000,"Out")</f>
        <v>9573570</v>
      </c>
      <c r="K1261" s="52">
        <f ca="1">SUMIFS(OUT!$F$2:$F$11000,OUT!$H$2:$H$11000,H1261,OUT!$D$2:$D$11000,"Out",OUT!$E$2:$E$11000,"Fix")</f>
        <v>2533689</v>
      </c>
      <c r="L1261" s="52">
        <f ca="1">SUMIFS(OUT!$F$2:$F$11000,OUT!$H$2:$H$11000,H1261,OUT!$D$2:$D$11000,"Out",OUT!$E$2:$E$11000,"Bathroom")</f>
        <v>14491</v>
      </c>
      <c r="M1261" s="52">
        <f ca="1">SUMIFS(OUT!$F$2:$F$11000,OUT!$H$2:$H$11000,H1261,OUT!$D$2:$D$11000,"Out",OUT!$E$2:$E$11000,"Alfa")</f>
        <v>452769</v>
      </c>
      <c r="N1261" s="52" t="e">
        <f ca="1">SUMIFS(OUT!$F$2:$F$11000,OUT!$H$2:$H$101007,H1261,OUT!$D$2:$D$11000,"Out",OUT!$E$2:$E$11000,"Jajan")</f>
        <v>#VALUE!</v>
      </c>
      <c r="O1261" s="52">
        <f ca="1">SUMIFS(OUT!$F$2:$F$11000,OUT!$H$2:$H$11000,H1261,OUT!$D$2:$D$11000,"Out",OUT!$E$2:$E$11000,"Kitchen")</f>
        <v>1584204</v>
      </c>
      <c r="P1261" s="52">
        <f ca="1">SUMIFS(OUT!$F$2:$F$11000,OUT!$H$2:$H$11000,H1261,OUT!$D$2:$D$11000,"Out",OUT!$E$2:$E$11000,"Loandry")</f>
        <v>43448</v>
      </c>
      <c r="Q1261" s="52">
        <f ca="1">SUMIFS(OUT!$F$2:$F$11000,OUT!$H$2:$H$11000,H1261,OUT!$D$2:$D$11000,"Out",OUT!$E$2:$E$11000,"Mio")</f>
        <v>329000</v>
      </c>
      <c r="R1261" s="52">
        <f ca="1">SUMIFS(OUT!$F$2:$F$11000,OUT!$H$2:$H$11000,H1261,OUT!$D$2:$D$11000,"Out",OUT!$E$2:$E$11000,"Sedekah")</f>
        <v>5000</v>
      </c>
      <c r="S1261" s="52">
        <f ca="1">SUMIFS(OUT!$F$2:$F$11000,OUT!$H$2:$H$11000,H1261,OUT!$D$2:$D$11000,"Out",OUT!$E$2:$E$11000,"Zela")</f>
        <v>40500</v>
      </c>
      <c r="T1261" s="52">
        <f ca="1">SUMIFS(OUT!$F$2:$F$11000,OUT!$H$2:$H$11000,H1261,OUT!$D$2:$D$11000,"Out",OUT!$E$2:$E$11000,"Iqbal")</f>
        <v>295000</v>
      </c>
    </row>
    <row r="1262" spans="1:20" x14ac:dyDescent="0.2">
      <c r="A1262" s="48">
        <f ca="1">IFERROR(__xludf.DUMMYFUNCTION("""COMPUTED_VALUE"""),46253)</f>
        <v>46253</v>
      </c>
      <c r="B1262" s="4" t="str">
        <f ca="1">IFERROR(__xludf.DUMMYFUNCTION("""COMPUTED_VALUE"""),"Roti Gepeng+plastik+citato(grosir)")</f>
        <v>Roti Gepeng+plastik+citato(grosir)</v>
      </c>
      <c r="C1262" s="4" t="str">
        <f ca="1">IFERROR(__xludf.DUMMYFUNCTION("""COMPUTED_VALUE"""),"Cash")</f>
        <v>Cash</v>
      </c>
      <c r="D1262" s="4" t="str">
        <f ca="1">IFERROR(__xludf.DUMMYFUNCTION("""COMPUTED_VALUE"""),"Out")</f>
        <v>Out</v>
      </c>
      <c r="E1262" s="4" t="str">
        <f ca="1">IFERROR(__xludf.DUMMYFUNCTION("""COMPUTED_VALUE"""),"Jajan")</f>
        <v>Jajan</v>
      </c>
      <c r="F1262" s="49">
        <f ca="1">IFERROR(__xludf.DUMMYFUNCTION("""COMPUTED_VALUE"""),20000)</f>
        <v>20000</v>
      </c>
      <c r="G1262" s="50" t="str">
        <f ca="1">IFERROR(__xludf.DUMMYFUNCTION("""COMPUTED_VALUE"""),"Zela")</f>
        <v>Zela</v>
      </c>
      <c r="H1262" s="51">
        <f t="shared" ca="1" si="0"/>
        <v>46235</v>
      </c>
      <c r="I1262" s="52" t="e">
        <f ca="1">SUMIFS(OUT!$F$2:$F$11000,OUT!$H$2:$H$11000,H1262,OUT!$D$2:$D$101007,"In")</f>
        <v>#VALUE!</v>
      </c>
      <c r="J1262" s="52">
        <f ca="1">SUMIFS(OUT!$F$2:$F$11000,OUT!$H$2:$H$11000,H1262,OUT!$D$2:$D$11000,"Out")</f>
        <v>9573570</v>
      </c>
      <c r="K1262" s="52">
        <f ca="1">SUMIFS(OUT!$F$2:$F$11000,OUT!$H$2:$H$11000,H1262,OUT!$D$2:$D$11000,"Out",OUT!$E$2:$E$11000,"Fix")</f>
        <v>2533689</v>
      </c>
      <c r="L1262" s="52">
        <f ca="1">SUMIFS(OUT!$F$2:$F$11000,OUT!$H$2:$H$11000,H1262,OUT!$D$2:$D$11000,"Out",OUT!$E$2:$E$11000,"Bathroom")</f>
        <v>14491</v>
      </c>
      <c r="M1262" s="52">
        <f ca="1">SUMIFS(OUT!$F$2:$F$11000,OUT!$H$2:$H$11000,H1262,OUT!$D$2:$D$11000,"Out",OUT!$E$2:$E$11000,"Alfa")</f>
        <v>452769</v>
      </c>
      <c r="N1262" s="52" t="e">
        <f ca="1">SUMIFS(OUT!$F$2:$F$11000,OUT!$H$2:$H$101007,H1262,OUT!$D$2:$D$11000,"Out",OUT!$E$2:$E$11000,"Jajan")</f>
        <v>#VALUE!</v>
      </c>
      <c r="O1262" s="52">
        <f ca="1">SUMIFS(OUT!$F$2:$F$11000,OUT!$H$2:$H$11000,H1262,OUT!$D$2:$D$11000,"Out",OUT!$E$2:$E$11000,"Kitchen")</f>
        <v>1584204</v>
      </c>
      <c r="P1262" s="52">
        <f ca="1">SUMIFS(OUT!$F$2:$F$11000,OUT!$H$2:$H$11000,H1262,OUT!$D$2:$D$11000,"Out",OUT!$E$2:$E$11000,"Loandry")</f>
        <v>43448</v>
      </c>
      <c r="Q1262" s="52">
        <f ca="1">SUMIFS(OUT!$F$2:$F$11000,OUT!$H$2:$H$11000,H1262,OUT!$D$2:$D$11000,"Out",OUT!$E$2:$E$11000,"Mio")</f>
        <v>329000</v>
      </c>
      <c r="R1262" s="52">
        <f ca="1">SUMIFS(OUT!$F$2:$F$11000,OUT!$H$2:$H$11000,H1262,OUT!$D$2:$D$11000,"Out",OUT!$E$2:$E$11000,"Sedekah")</f>
        <v>5000</v>
      </c>
      <c r="S1262" s="52">
        <f ca="1">SUMIFS(OUT!$F$2:$F$11000,OUT!$H$2:$H$11000,H1262,OUT!$D$2:$D$11000,"Out",OUT!$E$2:$E$11000,"Zela")</f>
        <v>40500</v>
      </c>
      <c r="T1262" s="52">
        <f ca="1">SUMIFS(OUT!$F$2:$F$11000,OUT!$H$2:$H$11000,H1262,OUT!$D$2:$D$11000,"Out",OUT!$E$2:$E$11000,"Iqbal")</f>
        <v>295000</v>
      </c>
    </row>
    <row r="1263" spans="1:20" x14ac:dyDescent="0.2">
      <c r="A1263" s="48">
        <f ca="1">IFERROR(__xludf.DUMMYFUNCTION("""COMPUTED_VALUE"""),46253)</f>
        <v>46253</v>
      </c>
      <c r="B1263" s="4" t="str">
        <f ca="1">IFERROR(__xludf.DUMMYFUNCTION("""COMPUTED_VALUE""")," Bensin")</f>
        <v xml:space="preserve"> Bensin</v>
      </c>
      <c r="C1263" s="4" t="str">
        <f ca="1">IFERROR(__xludf.DUMMYFUNCTION("""COMPUTED_VALUE"""),"Cash")</f>
        <v>Cash</v>
      </c>
      <c r="D1263" s="4" t="str">
        <f ca="1">IFERROR(__xludf.DUMMYFUNCTION("""COMPUTED_VALUE"""),"Out")</f>
        <v>Out</v>
      </c>
      <c r="E1263" s="4" t="str">
        <f ca="1">IFERROR(__xludf.DUMMYFUNCTION("""COMPUTED_VALUE"""),"Jajan")</f>
        <v>Jajan</v>
      </c>
      <c r="F1263" s="49">
        <f ca="1">IFERROR(__xludf.DUMMYFUNCTION("""COMPUTED_VALUE"""),15000)</f>
        <v>15000</v>
      </c>
      <c r="G1263" s="50" t="str">
        <f ca="1">IFERROR(__xludf.DUMMYFUNCTION("""COMPUTED_VALUE"""),"Zela")</f>
        <v>Zela</v>
      </c>
      <c r="H1263" s="51">
        <f t="shared" ca="1" si="0"/>
        <v>46235</v>
      </c>
      <c r="I1263" s="52" t="e">
        <f ca="1">SUMIFS(OUT!$F$2:$F$11000,OUT!$H$2:$H$11000,H1263,OUT!$D$2:$D$101007,"In")</f>
        <v>#VALUE!</v>
      </c>
      <c r="J1263" s="52">
        <f ca="1">SUMIFS(OUT!$F$2:$F$11000,OUT!$H$2:$H$11000,H1263,OUT!$D$2:$D$11000,"Out")</f>
        <v>9573570</v>
      </c>
      <c r="K1263" s="52">
        <f ca="1">SUMIFS(OUT!$F$2:$F$11000,OUT!$H$2:$H$11000,H1263,OUT!$D$2:$D$11000,"Out",OUT!$E$2:$E$11000,"Fix")</f>
        <v>2533689</v>
      </c>
      <c r="L1263" s="52">
        <f ca="1">SUMIFS(OUT!$F$2:$F$11000,OUT!$H$2:$H$11000,H1263,OUT!$D$2:$D$11000,"Out",OUT!$E$2:$E$11000,"Bathroom")</f>
        <v>14491</v>
      </c>
      <c r="M1263" s="52">
        <f ca="1">SUMIFS(OUT!$F$2:$F$11000,OUT!$H$2:$H$11000,H1263,OUT!$D$2:$D$11000,"Out",OUT!$E$2:$E$11000,"Alfa")</f>
        <v>452769</v>
      </c>
      <c r="N1263" s="52" t="e">
        <f ca="1">SUMIFS(OUT!$F$2:$F$11000,OUT!$H$2:$H$101007,H1263,OUT!$D$2:$D$11000,"Out",OUT!$E$2:$E$11000,"Jajan")</f>
        <v>#VALUE!</v>
      </c>
      <c r="O1263" s="52">
        <f ca="1">SUMIFS(OUT!$F$2:$F$11000,OUT!$H$2:$H$11000,H1263,OUT!$D$2:$D$11000,"Out",OUT!$E$2:$E$11000,"Kitchen")</f>
        <v>1584204</v>
      </c>
      <c r="P1263" s="52">
        <f ca="1">SUMIFS(OUT!$F$2:$F$11000,OUT!$H$2:$H$11000,H1263,OUT!$D$2:$D$11000,"Out",OUT!$E$2:$E$11000,"Loandry")</f>
        <v>43448</v>
      </c>
      <c r="Q1263" s="52">
        <f ca="1">SUMIFS(OUT!$F$2:$F$11000,OUT!$H$2:$H$11000,H1263,OUT!$D$2:$D$11000,"Out",OUT!$E$2:$E$11000,"Mio")</f>
        <v>329000</v>
      </c>
      <c r="R1263" s="52">
        <f ca="1">SUMIFS(OUT!$F$2:$F$11000,OUT!$H$2:$H$11000,H1263,OUT!$D$2:$D$11000,"Out",OUT!$E$2:$E$11000,"Sedekah")</f>
        <v>5000</v>
      </c>
      <c r="S1263" s="52">
        <f ca="1">SUMIFS(OUT!$F$2:$F$11000,OUT!$H$2:$H$11000,H1263,OUT!$D$2:$D$11000,"Out",OUT!$E$2:$E$11000,"Zela")</f>
        <v>40500</v>
      </c>
      <c r="T1263" s="52">
        <f ca="1">SUMIFS(OUT!$F$2:$F$11000,OUT!$H$2:$H$11000,H1263,OUT!$D$2:$D$11000,"Out",OUT!$E$2:$E$11000,"Iqbal")</f>
        <v>295000</v>
      </c>
    </row>
    <row r="1264" spans="1:20" x14ac:dyDescent="0.2">
      <c r="A1264" s="48">
        <f ca="1">IFERROR(__xludf.DUMMYFUNCTION("""COMPUTED_VALUE"""),46253)</f>
        <v>46253</v>
      </c>
      <c r="B1264" s="4" t="str">
        <f ca="1">IFERROR(__xludf.DUMMYFUNCTION("""COMPUTED_VALUE"""),"Sempol+teh es")</f>
        <v>Sempol+teh es</v>
      </c>
      <c r="C1264" s="4" t="str">
        <f ca="1">IFERROR(__xludf.DUMMYFUNCTION("""COMPUTED_VALUE"""),"Cash")</f>
        <v>Cash</v>
      </c>
      <c r="D1264" s="4" t="str">
        <f ca="1">IFERROR(__xludf.DUMMYFUNCTION("""COMPUTED_VALUE"""),"Out")</f>
        <v>Out</v>
      </c>
      <c r="E1264" s="4" t="str">
        <f ca="1">IFERROR(__xludf.DUMMYFUNCTION("""COMPUTED_VALUE"""),"Mio")</f>
        <v>Mio</v>
      </c>
      <c r="F1264" s="49">
        <f ca="1">IFERROR(__xludf.DUMMYFUNCTION("""COMPUTED_VALUE"""),15000)</f>
        <v>15000</v>
      </c>
      <c r="G1264" s="50" t="str">
        <f ca="1">IFERROR(__xludf.DUMMYFUNCTION("""COMPUTED_VALUE"""),"Zela")</f>
        <v>Zela</v>
      </c>
      <c r="H1264" s="51">
        <f t="shared" ca="1" si="0"/>
        <v>46235</v>
      </c>
      <c r="I1264" s="52" t="e">
        <f ca="1">SUMIFS(OUT!$F$2:$F$11000,OUT!$H$2:$H$11000,H1264,OUT!$D$2:$D$101007,"In")</f>
        <v>#VALUE!</v>
      </c>
      <c r="J1264" s="52">
        <f ca="1">SUMIFS(OUT!$F$2:$F$11000,OUT!$H$2:$H$11000,H1264,OUT!$D$2:$D$11000,"Out")</f>
        <v>9573570</v>
      </c>
      <c r="K1264" s="52">
        <f ca="1">SUMIFS(OUT!$F$2:$F$11000,OUT!$H$2:$H$11000,H1264,OUT!$D$2:$D$11000,"Out",OUT!$E$2:$E$11000,"Fix")</f>
        <v>2533689</v>
      </c>
      <c r="L1264" s="52">
        <f ca="1">SUMIFS(OUT!$F$2:$F$11000,OUT!$H$2:$H$11000,H1264,OUT!$D$2:$D$11000,"Out",OUT!$E$2:$E$11000,"Bathroom")</f>
        <v>14491</v>
      </c>
      <c r="M1264" s="52">
        <f ca="1">SUMIFS(OUT!$F$2:$F$11000,OUT!$H$2:$H$11000,H1264,OUT!$D$2:$D$11000,"Out",OUT!$E$2:$E$11000,"Alfa")</f>
        <v>452769</v>
      </c>
      <c r="N1264" s="52" t="e">
        <f ca="1">SUMIFS(OUT!$F$2:$F$11000,OUT!$H$2:$H$101007,H1264,OUT!$D$2:$D$11000,"Out",OUT!$E$2:$E$11000,"Jajan")</f>
        <v>#VALUE!</v>
      </c>
      <c r="O1264" s="52">
        <f ca="1">SUMIFS(OUT!$F$2:$F$11000,OUT!$H$2:$H$11000,H1264,OUT!$D$2:$D$11000,"Out",OUT!$E$2:$E$11000,"Kitchen")</f>
        <v>1584204</v>
      </c>
      <c r="P1264" s="52">
        <f ca="1">SUMIFS(OUT!$F$2:$F$11000,OUT!$H$2:$H$11000,H1264,OUT!$D$2:$D$11000,"Out",OUT!$E$2:$E$11000,"Loandry")</f>
        <v>43448</v>
      </c>
      <c r="Q1264" s="52">
        <f ca="1">SUMIFS(OUT!$F$2:$F$11000,OUT!$H$2:$H$11000,H1264,OUT!$D$2:$D$11000,"Out",OUT!$E$2:$E$11000,"Mio")</f>
        <v>329000</v>
      </c>
      <c r="R1264" s="52">
        <f ca="1">SUMIFS(OUT!$F$2:$F$11000,OUT!$H$2:$H$11000,H1264,OUT!$D$2:$D$11000,"Out",OUT!$E$2:$E$11000,"Sedekah")</f>
        <v>5000</v>
      </c>
      <c r="S1264" s="52">
        <f ca="1">SUMIFS(OUT!$F$2:$F$11000,OUT!$H$2:$H$11000,H1264,OUT!$D$2:$D$11000,"Out",OUT!$E$2:$E$11000,"Zela")</f>
        <v>40500</v>
      </c>
      <c r="T1264" s="52">
        <f ca="1">SUMIFS(OUT!$F$2:$F$11000,OUT!$H$2:$H$11000,H1264,OUT!$D$2:$D$11000,"Out",OUT!$E$2:$E$11000,"Iqbal")</f>
        <v>295000</v>
      </c>
    </row>
    <row r="1265" spans="1:20" x14ac:dyDescent="0.2">
      <c r="A1265" s="48">
        <f ca="1">IFERROR(__xludf.DUMMYFUNCTION("""COMPUTED_VALUE"""),46253)</f>
        <v>46253</v>
      </c>
      <c r="B1265" s="4" t="str">
        <f ca="1">IFERROR(__xludf.DUMMYFUNCTION("""COMPUTED_VALUE"""),"Admin fee+kartu")</f>
        <v>Admin fee+kartu</v>
      </c>
      <c r="C1265" s="4" t="str">
        <f ca="1">IFERROR(__xludf.DUMMYFUNCTION("""COMPUTED_VALUE"""),"ATM")</f>
        <v>ATM</v>
      </c>
      <c r="D1265" s="4" t="str">
        <f ca="1">IFERROR(__xludf.DUMMYFUNCTION("""COMPUTED_VALUE"""),"Out")</f>
        <v>Out</v>
      </c>
      <c r="E1265" s="4" t="str">
        <f ca="1">IFERROR(__xludf.DUMMYFUNCTION("""COMPUTED_VALUE"""),"Fix")</f>
        <v>Fix</v>
      </c>
      <c r="F1265" s="49">
        <f ca="1">IFERROR(__xludf.DUMMYFUNCTION("""COMPUTED_VALUE"""),15000)</f>
        <v>15000</v>
      </c>
      <c r="G1265" s="50" t="str">
        <f ca="1">IFERROR(__xludf.DUMMYFUNCTION("""COMPUTED_VALUE"""),"Zela")</f>
        <v>Zela</v>
      </c>
      <c r="H1265" s="51">
        <f t="shared" ca="1" si="0"/>
        <v>46235</v>
      </c>
      <c r="I1265" s="52" t="e">
        <f ca="1">SUMIFS(OUT!$F$2:$F$11000,OUT!$H$2:$H$11000,H1265,OUT!$D$2:$D$101007,"In")</f>
        <v>#VALUE!</v>
      </c>
      <c r="J1265" s="52">
        <f ca="1">SUMIFS(OUT!$F$2:$F$11000,OUT!$H$2:$H$11000,H1265,OUT!$D$2:$D$11000,"Out")</f>
        <v>9573570</v>
      </c>
      <c r="K1265" s="52">
        <f ca="1">SUMIFS(OUT!$F$2:$F$11000,OUT!$H$2:$H$11000,H1265,OUT!$D$2:$D$11000,"Out",OUT!$E$2:$E$11000,"Fix")</f>
        <v>2533689</v>
      </c>
      <c r="L1265" s="52">
        <f ca="1">SUMIFS(OUT!$F$2:$F$11000,OUT!$H$2:$H$11000,H1265,OUT!$D$2:$D$11000,"Out",OUT!$E$2:$E$11000,"Bathroom")</f>
        <v>14491</v>
      </c>
      <c r="M1265" s="52">
        <f ca="1">SUMIFS(OUT!$F$2:$F$11000,OUT!$H$2:$H$11000,H1265,OUT!$D$2:$D$11000,"Out",OUT!$E$2:$E$11000,"Alfa")</f>
        <v>452769</v>
      </c>
      <c r="N1265" s="52" t="e">
        <f ca="1">SUMIFS(OUT!$F$2:$F$11000,OUT!$H$2:$H$101007,H1265,OUT!$D$2:$D$11000,"Out",OUT!$E$2:$E$11000,"Jajan")</f>
        <v>#VALUE!</v>
      </c>
      <c r="O1265" s="52">
        <f ca="1">SUMIFS(OUT!$F$2:$F$11000,OUT!$H$2:$H$11000,H1265,OUT!$D$2:$D$11000,"Out",OUT!$E$2:$E$11000,"Kitchen")</f>
        <v>1584204</v>
      </c>
      <c r="P1265" s="52">
        <f ca="1">SUMIFS(OUT!$F$2:$F$11000,OUT!$H$2:$H$11000,H1265,OUT!$D$2:$D$11000,"Out",OUT!$E$2:$E$11000,"Loandry")</f>
        <v>43448</v>
      </c>
      <c r="Q1265" s="52">
        <f ca="1">SUMIFS(OUT!$F$2:$F$11000,OUT!$H$2:$H$11000,H1265,OUT!$D$2:$D$11000,"Out",OUT!$E$2:$E$11000,"Mio")</f>
        <v>329000</v>
      </c>
      <c r="R1265" s="52">
        <f ca="1">SUMIFS(OUT!$F$2:$F$11000,OUT!$H$2:$H$11000,H1265,OUT!$D$2:$D$11000,"Out",OUT!$E$2:$E$11000,"Sedekah")</f>
        <v>5000</v>
      </c>
      <c r="S1265" s="52">
        <f ca="1">SUMIFS(OUT!$F$2:$F$11000,OUT!$H$2:$H$11000,H1265,OUT!$D$2:$D$11000,"Out",OUT!$E$2:$E$11000,"Zela")</f>
        <v>40500</v>
      </c>
      <c r="T1265" s="52">
        <f ca="1">SUMIFS(OUT!$F$2:$F$11000,OUT!$H$2:$H$11000,H1265,OUT!$D$2:$D$11000,"Out",OUT!$E$2:$E$11000,"Iqbal")</f>
        <v>295000</v>
      </c>
    </row>
    <row r="1266" spans="1:20" x14ac:dyDescent="0.2">
      <c r="A1266" s="48">
        <f ca="1">IFERROR(__xludf.DUMMYFUNCTION("""COMPUTED_VALUE"""),46254)</f>
        <v>46254</v>
      </c>
      <c r="B1266" s="4" t="str">
        <f ca="1">IFERROR(__xludf.DUMMYFUNCTION("""COMPUTED_VALUE"""),"Jajan Alfa ")</f>
        <v xml:space="preserve">Jajan Alfa </v>
      </c>
      <c r="C1266" s="4" t="str">
        <f ca="1">IFERROR(__xludf.DUMMYFUNCTION("""COMPUTED_VALUE"""),"Cash")</f>
        <v>Cash</v>
      </c>
      <c r="D1266" s="4" t="str">
        <f ca="1">IFERROR(__xludf.DUMMYFUNCTION("""COMPUTED_VALUE"""),"Out")</f>
        <v>Out</v>
      </c>
      <c r="E1266" s="4" t="str">
        <f ca="1">IFERROR(__xludf.DUMMYFUNCTION("""COMPUTED_VALUE"""),"Jajan")</f>
        <v>Jajan</v>
      </c>
      <c r="F1266" s="49">
        <f ca="1">IFERROR(__xludf.DUMMYFUNCTION("""COMPUTED_VALUE"""),4000)</f>
        <v>4000</v>
      </c>
      <c r="G1266" s="50" t="str">
        <f ca="1">IFERROR(__xludf.DUMMYFUNCTION("""COMPUTED_VALUE"""),"Zela")</f>
        <v>Zela</v>
      </c>
      <c r="H1266" s="51">
        <f t="shared" ca="1" si="0"/>
        <v>46235</v>
      </c>
      <c r="I1266" s="52" t="e">
        <f ca="1">SUMIFS(OUT!$F$2:$F$11000,OUT!$H$2:$H$11000,H1266,OUT!$D$2:$D$101007,"In")</f>
        <v>#VALUE!</v>
      </c>
      <c r="J1266" s="52">
        <f ca="1">SUMIFS(OUT!$F$2:$F$11000,OUT!$H$2:$H$11000,H1266,OUT!$D$2:$D$11000,"Out")</f>
        <v>9573570</v>
      </c>
      <c r="K1266" s="52">
        <f ca="1">SUMIFS(OUT!$F$2:$F$11000,OUT!$H$2:$H$11000,H1266,OUT!$D$2:$D$11000,"Out",OUT!$E$2:$E$11000,"Fix")</f>
        <v>2533689</v>
      </c>
      <c r="L1266" s="52">
        <f ca="1">SUMIFS(OUT!$F$2:$F$11000,OUT!$H$2:$H$11000,H1266,OUT!$D$2:$D$11000,"Out",OUT!$E$2:$E$11000,"Bathroom")</f>
        <v>14491</v>
      </c>
      <c r="M1266" s="52">
        <f ca="1">SUMIFS(OUT!$F$2:$F$11000,OUT!$H$2:$H$11000,H1266,OUT!$D$2:$D$11000,"Out",OUT!$E$2:$E$11000,"Alfa")</f>
        <v>452769</v>
      </c>
      <c r="N1266" s="52" t="e">
        <f ca="1">SUMIFS(OUT!$F$2:$F$11000,OUT!$H$2:$H$101007,H1266,OUT!$D$2:$D$11000,"Out",OUT!$E$2:$E$11000,"Jajan")</f>
        <v>#VALUE!</v>
      </c>
      <c r="O1266" s="52">
        <f ca="1">SUMIFS(OUT!$F$2:$F$11000,OUT!$H$2:$H$11000,H1266,OUT!$D$2:$D$11000,"Out",OUT!$E$2:$E$11000,"Kitchen")</f>
        <v>1584204</v>
      </c>
      <c r="P1266" s="52">
        <f ca="1">SUMIFS(OUT!$F$2:$F$11000,OUT!$H$2:$H$11000,H1266,OUT!$D$2:$D$11000,"Out",OUT!$E$2:$E$11000,"Loandry")</f>
        <v>43448</v>
      </c>
      <c r="Q1266" s="52">
        <f ca="1">SUMIFS(OUT!$F$2:$F$11000,OUT!$H$2:$H$11000,H1266,OUT!$D$2:$D$11000,"Out",OUT!$E$2:$E$11000,"Mio")</f>
        <v>329000</v>
      </c>
      <c r="R1266" s="52">
        <f ca="1">SUMIFS(OUT!$F$2:$F$11000,OUT!$H$2:$H$11000,H1266,OUT!$D$2:$D$11000,"Out",OUT!$E$2:$E$11000,"Sedekah")</f>
        <v>5000</v>
      </c>
      <c r="S1266" s="52">
        <f ca="1">SUMIFS(OUT!$F$2:$F$11000,OUT!$H$2:$H$11000,H1266,OUT!$D$2:$D$11000,"Out",OUT!$E$2:$E$11000,"Zela")</f>
        <v>40500</v>
      </c>
      <c r="T1266" s="52">
        <f ca="1">SUMIFS(OUT!$F$2:$F$11000,OUT!$H$2:$H$11000,H1266,OUT!$D$2:$D$11000,"Out",OUT!$E$2:$E$11000,"Iqbal")</f>
        <v>295000</v>
      </c>
    </row>
    <row r="1267" spans="1:20" x14ac:dyDescent="0.2">
      <c r="A1267" s="48">
        <f ca="1">IFERROR(__xludf.DUMMYFUNCTION("""COMPUTED_VALUE"""),46254)</f>
        <v>46254</v>
      </c>
      <c r="B1267" s="4" t="str">
        <f ca="1">IFERROR(__xludf.DUMMYFUNCTION("""COMPUTED_VALUE"""),"Bensin Motor ")</f>
        <v xml:space="preserve">Bensin Motor </v>
      </c>
      <c r="C1267" s="4" t="str">
        <f ca="1">IFERROR(__xludf.DUMMYFUNCTION("""COMPUTED_VALUE"""),"Cash")</f>
        <v>Cash</v>
      </c>
      <c r="D1267" s="4" t="str">
        <f ca="1">IFERROR(__xludf.DUMMYFUNCTION("""COMPUTED_VALUE"""),"Out")</f>
        <v>Out</v>
      </c>
      <c r="E1267" s="4" t="str">
        <f ca="1">IFERROR(__xludf.DUMMYFUNCTION("""COMPUTED_VALUE"""),"Mio")</f>
        <v>Mio</v>
      </c>
      <c r="F1267" s="49">
        <f ca="1">IFERROR(__xludf.DUMMYFUNCTION("""COMPUTED_VALUE"""),20000)</f>
        <v>20000</v>
      </c>
      <c r="G1267" s="50" t="str">
        <f ca="1">IFERROR(__xludf.DUMMYFUNCTION("""COMPUTED_VALUE"""),"Zela")</f>
        <v>Zela</v>
      </c>
      <c r="H1267" s="51">
        <f t="shared" ca="1" si="0"/>
        <v>46235</v>
      </c>
      <c r="I1267" s="52" t="e">
        <f ca="1">SUMIFS(OUT!$F$2:$F$11000,OUT!$H$2:$H$11000,H1267,OUT!$D$2:$D$101007,"In")</f>
        <v>#VALUE!</v>
      </c>
      <c r="J1267" s="52">
        <f ca="1">SUMIFS(OUT!$F$2:$F$11000,OUT!$H$2:$H$11000,H1267,OUT!$D$2:$D$11000,"Out")</f>
        <v>9573570</v>
      </c>
      <c r="K1267" s="52">
        <f ca="1">SUMIFS(OUT!$F$2:$F$11000,OUT!$H$2:$H$11000,H1267,OUT!$D$2:$D$11000,"Out",OUT!$E$2:$E$11000,"Fix")</f>
        <v>2533689</v>
      </c>
      <c r="L1267" s="52">
        <f ca="1">SUMIFS(OUT!$F$2:$F$11000,OUT!$H$2:$H$11000,H1267,OUT!$D$2:$D$11000,"Out",OUT!$E$2:$E$11000,"Bathroom")</f>
        <v>14491</v>
      </c>
      <c r="M1267" s="52">
        <f ca="1">SUMIFS(OUT!$F$2:$F$11000,OUT!$H$2:$H$11000,H1267,OUT!$D$2:$D$11000,"Out",OUT!$E$2:$E$11000,"Alfa")</f>
        <v>452769</v>
      </c>
      <c r="N1267" s="52" t="e">
        <f ca="1">SUMIFS(OUT!$F$2:$F$11000,OUT!$H$2:$H$101007,H1267,OUT!$D$2:$D$11000,"Out",OUT!$E$2:$E$11000,"Jajan")</f>
        <v>#VALUE!</v>
      </c>
      <c r="O1267" s="52">
        <f ca="1">SUMIFS(OUT!$F$2:$F$11000,OUT!$H$2:$H$11000,H1267,OUT!$D$2:$D$11000,"Out",OUT!$E$2:$E$11000,"Kitchen")</f>
        <v>1584204</v>
      </c>
      <c r="P1267" s="52">
        <f ca="1">SUMIFS(OUT!$F$2:$F$11000,OUT!$H$2:$H$11000,H1267,OUT!$D$2:$D$11000,"Out",OUT!$E$2:$E$11000,"Loandry")</f>
        <v>43448</v>
      </c>
      <c r="Q1267" s="52">
        <f ca="1">SUMIFS(OUT!$F$2:$F$11000,OUT!$H$2:$H$11000,H1267,OUT!$D$2:$D$11000,"Out",OUT!$E$2:$E$11000,"Mio")</f>
        <v>329000</v>
      </c>
      <c r="R1267" s="52">
        <f ca="1">SUMIFS(OUT!$F$2:$F$11000,OUT!$H$2:$H$11000,H1267,OUT!$D$2:$D$11000,"Out",OUT!$E$2:$E$11000,"Sedekah")</f>
        <v>5000</v>
      </c>
      <c r="S1267" s="52">
        <f ca="1">SUMIFS(OUT!$F$2:$F$11000,OUT!$H$2:$H$11000,H1267,OUT!$D$2:$D$11000,"Out",OUT!$E$2:$E$11000,"Zela")</f>
        <v>40500</v>
      </c>
      <c r="T1267" s="52">
        <f ca="1">SUMIFS(OUT!$F$2:$F$11000,OUT!$H$2:$H$11000,H1267,OUT!$D$2:$D$11000,"Out",OUT!$E$2:$E$11000,"Iqbal")</f>
        <v>295000</v>
      </c>
    </row>
    <row r="1268" spans="1:20" x14ac:dyDescent="0.2">
      <c r="A1268" s="48">
        <f ca="1">IFERROR(__xludf.DUMMYFUNCTION("""COMPUTED_VALUE"""),46254)</f>
        <v>46254</v>
      </c>
      <c r="B1268" s="4" t="str">
        <f ca="1">IFERROR(__xludf.DUMMYFUNCTION("""COMPUTED_VALUE"""),"Saldo Tiktok 1")</f>
        <v>Saldo Tiktok 1</v>
      </c>
      <c r="C1268" s="4" t="str">
        <f ca="1">IFERROR(__xludf.DUMMYFUNCTION("""COMPUTED_VALUE"""),"ATM")</f>
        <v>ATM</v>
      </c>
      <c r="D1268" s="4" t="str">
        <f ca="1">IFERROR(__xludf.DUMMYFUNCTION("""COMPUTED_VALUE"""),"In")</f>
        <v>In</v>
      </c>
      <c r="E1268" s="4" t="str">
        <f ca="1">IFERROR(__xludf.DUMMYFUNCTION("""COMPUTED_VALUE"""),"Fix")</f>
        <v>Fix</v>
      </c>
      <c r="F1268" s="49">
        <f ca="1">IFERROR(__xludf.DUMMYFUNCTION("""COMPUTED_VALUE"""),30933)</f>
        <v>30933</v>
      </c>
      <c r="G1268" s="50" t="str">
        <f ca="1">IFERROR(__xludf.DUMMYFUNCTION("""COMPUTED_VALUE"""),"Zela")</f>
        <v>Zela</v>
      </c>
      <c r="H1268" s="51">
        <f t="shared" ca="1" si="0"/>
        <v>46235</v>
      </c>
      <c r="I1268" s="52" t="e">
        <f ca="1">SUMIFS(OUT!$F$2:$F$11000,OUT!$H$2:$H$11000,H1268,OUT!$D$2:$D$101007,"In")</f>
        <v>#VALUE!</v>
      </c>
      <c r="J1268" s="52">
        <f ca="1">SUMIFS(OUT!$F$2:$F$11000,OUT!$H$2:$H$11000,H1268,OUT!$D$2:$D$11000,"Out")</f>
        <v>9573570</v>
      </c>
      <c r="K1268" s="52">
        <f ca="1">SUMIFS(OUT!$F$2:$F$11000,OUT!$H$2:$H$11000,H1268,OUT!$D$2:$D$11000,"Out",OUT!$E$2:$E$11000,"Fix")</f>
        <v>2533689</v>
      </c>
      <c r="L1268" s="52">
        <f ca="1">SUMIFS(OUT!$F$2:$F$11000,OUT!$H$2:$H$11000,H1268,OUT!$D$2:$D$11000,"Out",OUT!$E$2:$E$11000,"Bathroom")</f>
        <v>14491</v>
      </c>
      <c r="M1268" s="52">
        <f ca="1">SUMIFS(OUT!$F$2:$F$11000,OUT!$H$2:$H$11000,H1268,OUT!$D$2:$D$11000,"Out",OUT!$E$2:$E$11000,"Alfa")</f>
        <v>452769</v>
      </c>
      <c r="N1268" s="52" t="e">
        <f ca="1">SUMIFS(OUT!$F$2:$F$11000,OUT!$H$2:$H$101007,H1268,OUT!$D$2:$D$11000,"Out",OUT!$E$2:$E$11000,"Jajan")</f>
        <v>#VALUE!</v>
      </c>
      <c r="O1268" s="52">
        <f ca="1">SUMIFS(OUT!$F$2:$F$11000,OUT!$H$2:$H$11000,H1268,OUT!$D$2:$D$11000,"Out",OUT!$E$2:$E$11000,"Kitchen")</f>
        <v>1584204</v>
      </c>
      <c r="P1268" s="52">
        <f ca="1">SUMIFS(OUT!$F$2:$F$11000,OUT!$H$2:$H$11000,H1268,OUT!$D$2:$D$11000,"Out",OUT!$E$2:$E$11000,"Loandry")</f>
        <v>43448</v>
      </c>
      <c r="Q1268" s="52">
        <f ca="1">SUMIFS(OUT!$F$2:$F$11000,OUT!$H$2:$H$11000,H1268,OUT!$D$2:$D$11000,"Out",OUT!$E$2:$E$11000,"Mio")</f>
        <v>329000</v>
      </c>
      <c r="R1268" s="52">
        <f ca="1">SUMIFS(OUT!$F$2:$F$11000,OUT!$H$2:$H$11000,H1268,OUT!$D$2:$D$11000,"Out",OUT!$E$2:$E$11000,"Sedekah")</f>
        <v>5000</v>
      </c>
      <c r="S1268" s="52">
        <f ca="1">SUMIFS(OUT!$F$2:$F$11000,OUT!$H$2:$H$11000,H1268,OUT!$D$2:$D$11000,"Out",OUT!$E$2:$E$11000,"Zela")</f>
        <v>40500</v>
      </c>
      <c r="T1268" s="52">
        <f ca="1">SUMIFS(OUT!$F$2:$F$11000,OUT!$H$2:$H$11000,H1268,OUT!$D$2:$D$11000,"Out",OUT!$E$2:$E$11000,"Iqbal")</f>
        <v>295000</v>
      </c>
    </row>
    <row r="1269" spans="1:20" x14ac:dyDescent="0.2">
      <c r="A1269" s="48">
        <f ca="1">IFERROR(__xludf.DUMMYFUNCTION("""COMPUTED_VALUE"""),46254)</f>
        <v>46254</v>
      </c>
      <c r="B1269" s="4" t="str">
        <f ca="1">IFERROR(__xludf.DUMMYFUNCTION("""COMPUTED_VALUE"""),"Tarik Tunai ")</f>
        <v xml:space="preserve">Tarik Tunai </v>
      </c>
      <c r="C1269" s="4" t="str">
        <f ca="1">IFERROR(__xludf.DUMMYFUNCTION("""COMPUTED_VALUE"""),"ATM")</f>
        <v>ATM</v>
      </c>
      <c r="D1269" s="4" t="str">
        <f ca="1">IFERROR(__xludf.DUMMYFUNCTION("""COMPUTED_VALUE"""),"Out")</f>
        <v>Out</v>
      </c>
      <c r="E1269" s="4" t="str">
        <f ca="1">IFERROR(__xludf.DUMMYFUNCTION("""COMPUTED_VALUE"""),"Move")</f>
        <v>Move</v>
      </c>
      <c r="F1269" s="49">
        <f ca="1">IFERROR(__xludf.DUMMYFUNCTION("""COMPUTED_VALUE"""),150000)</f>
        <v>150000</v>
      </c>
      <c r="G1269" s="50" t="str">
        <f ca="1">IFERROR(__xludf.DUMMYFUNCTION("""COMPUTED_VALUE"""),"Zela")</f>
        <v>Zela</v>
      </c>
      <c r="H1269" s="51">
        <f t="shared" ca="1" si="0"/>
        <v>46235</v>
      </c>
      <c r="I1269" s="52" t="e">
        <f ca="1">SUMIFS(OUT!$F$2:$F$11000,OUT!$H$2:$H$11000,H1269,OUT!$D$2:$D$101007,"In")</f>
        <v>#VALUE!</v>
      </c>
      <c r="J1269" s="52">
        <f ca="1">SUMIFS(OUT!$F$2:$F$11000,OUT!$H$2:$H$11000,H1269,OUT!$D$2:$D$11000,"Out")</f>
        <v>9573570</v>
      </c>
      <c r="K1269" s="52">
        <f ca="1">SUMIFS(OUT!$F$2:$F$11000,OUT!$H$2:$H$11000,H1269,OUT!$D$2:$D$11000,"Out",OUT!$E$2:$E$11000,"Fix")</f>
        <v>2533689</v>
      </c>
      <c r="L1269" s="52">
        <f ca="1">SUMIFS(OUT!$F$2:$F$11000,OUT!$H$2:$H$11000,H1269,OUT!$D$2:$D$11000,"Out",OUT!$E$2:$E$11000,"Bathroom")</f>
        <v>14491</v>
      </c>
      <c r="M1269" s="52">
        <f ca="1">SUMIFS(OUT!$F$2:$F$11000,OUT!$H$2:$H$11000,H1269,OUT!$D$2:$D$11000,"Out",OUT!$E$2:$E$11000,"Alfa")</f>
        <v>452769</v>
      </c>
      <c r="N1269" s="52" t="e">
        <f ca="1">SUMIFS(OUT!$F$2:$F$11000,OUT!$H$2:$H$101007,H1269,OUT!$D$2:$D$11000,"Out",OUT!$E$2:$E$11000,"Jajan")</f>
        <v>#VALUE!</v>
      </c>
      <c r="O1269" s="52">
        <f ca="1">SUMIFS(OUT!$F$2:$F$11000,OUT!$H$2:$H$11000,H1269,OUT!$D$2:$D$11000,"Out",OUT!$E$2:$E$11000,"Kitchen")</f>
        <v>1584204</v>
      </c>
      <c r="P1269" s="52">
        <f ca="1">SUMIFS(OUT!$F$2:$F$11000,OUT!$H$2:$H$11000,H1269,OUT!$D$2:$D$11000,"Out",OUT!$E$2:$E$11000,"Loandry")</f>
        <v>43448</v>
      </c>
      <c r="Q1269" s="52">
        <f ca="1">SUMIFS(OUT!$F$2:$F$11000,OUT!$H$2:$H$11000,H1269,OUT!$D$2:$D$11000,"Out",OUT!$E$2:$E$11000,"Mio")</f>
        <v>329000</v>
      </c>
      <c r="R1269" s="52">
        <f ca="1">SUMIFS(OUT!$F$2:$F$11000,OUT!$H$2:$H$11000,H1269,OUT!$D$2:$D$11000,"Out",OUT!$E$2:$E$11000,"Sedekah")</f>
        <v>5000</v>
      </c>
      <c r="S1269" s="52">
        <f ca="1">SUMIFS(OUT!$F$2:$F$11000,OUT!$H$2:$H$11000,H1269,OUT!$D$2:$D$11000,"Out",OUT!$E$2:$E$11000,"Zela")</f>
        <v>40500</v>
      </c>
      <c r="T1269" s="52">
        <f ca="1">SUMIFS(OUT!$F$2:$F$11000,OUT!$H$2:$H$11000,H1269,OUT!$D$2:$D$11000,"Out",OUT!$E$2:$E$11000,"Iqbal")</f>
        <v>295000</v>
      </c>
    </row>
    <row r="1270" spans="1:20" x14ac:dyDescent="0.2">
      <c r="A1270" s="48">
        <f ca="1">IFERROR(__xludf.DUMMYFUNCTION("""COMPUTED_VALUE"""),46254)</f>
        <v>46254</v>
      </c>
      <c r="B1270" s="4" t="str">
        <f ca="1">IFERROR(__xludf.DUMMYFUNCTION("""COMPUTED_VALUE"""),"Terima Tunai ")</f>
        <v xml:space="preserve">Terima Tunai </v>
      </c>
      <c r="C1270" s="4" t="str">
        <f ca="1">IFERROR(__xludf.DUMMYFUNCTION("""COMPUTED_VALUE"""),"Cash")</f>
        <v>Cash</v>
      </c>
      <c r="D1270" s="4" t="str">
        <f ca="1">IFERROR(__xludf.DUMMYFUNCTION("""COMPUTED_VALUE"""),"In")</f>
        <v>In</v>
      </c>
      <c r="E1270" s="4" t="str">
        <f ca="1">IFERROR(__xludf.DUMMYFUNCTION("""COMPUTED_VALUE"""),"Move")</f>
        <v>Move</v>
      </c>
      <c r="F1270" s="49">
        <f ca="1">IFERROR(__xludf.DUMMYFUNCTION("""COMPUTED_VALUE"""),150000)</f>
        <v>150000</v>
      </c>
      <c r="G1270" s="50" t="str">
        <f ca="1">IFERROR(__xludf.DUMMYFUNCTION("""COMPUTED_VALUE"""),"Zela")</f>
        <v>Zela</v>
      </c>
      <c r="H1270" s="51">
        <f t="shared" ca="1" si="0"/>
        <v>46235</v>
      </c>
      <c r="I1270" s="52" t="e">
        <f ca="1">SUMIFS(OUT!$F$2:$F$11000,OUT!$H$2:$H$11000,H1270,OUT!$D$2:$D$101007,"In")</f>
        <v>#VALUE!</v>
      </c>
      <c r="J1270" s="52">
        <f ca="1">SUMIFS(OUT!$F$2:$F$11000,OUT!$H$2:$H$11000,H1270,OUT!$D$2:$D$11000,"Out")</f>
        <v>9573570</v>
      </c>
      <c r="K1270" s="52">
        <f ca="1">SUMIFS(OUT!$F$2:$F$11000,OUT!$H$2:$H$11000,H1270,OUT!$D$2:$D$11000,"Out",OUT!$E$2:$E$11000,"Fix")</f>
        <v>2533689</v>
      </c>
      <c r="L1270" s="52">
        <f ca="1">SUMIFS(OUT!$F$2:$F$11000,OUT!$H$2:$H$11000,H1270,OUT!$D$2:$D$11000,"Out",OUT!$E$2:$E$11000,"Bathroom")</f>
        <v>14491</v>
      </c>
      <c r="M1270" s="52">
        <f ca="1">SUMIFS(OUT!$F$2:$F$11000,OUT!$H$2:$H$11000,H1270,OUT!$D$2:$D$11000,"Out",OUT!$E$2:$E$11000,"Alfa")</f>
        <v>452769</v>
      </c>
      <c r="N1270" s="52" t="e">
        <f ca="1">SUMIFS(OUT!$F$2:$F$11000,OUT!$H$2:$H$101007,H1270,OUT!$D$2:$D$11000,"Out",OUT!$E$2:$E$11000,"Jajan")</f>
        <v>#VALUE!</v>
      </c>
      <c r="O1270" s="52">
        <f ca="1">SUMIFS(OUT!$F$2:$F$11000,OUT!$H$2:$H$11000,H1270,OUT!$D$2:$D$11000,"Out",OUT!$E$2:$E$11000,"Kitchen")</f>
        <v>1584204</v>
      </c>
      <c r="P1270" s="52">
        <f ca="1">SUMIFS(OUT!$F$2:$F$11000,OUT!$H$2:$H$11000,H1270,OUT!$D$2:$D$11000,"Out",OUT!$E$2:$E$11000,"Loandry")</f>
        <v>43448</v>
      </c>
      <c r="Q1270" s="52">
        <f ca="1">SUMIFS(OUT!$F$2:$F$11000,OUT!$H$2:$H$11000,H1270,OUT!$D$2:$D$11000,"Out",OUT!$E$2:$E$11000,"Mio")</f>
        <v>329000</v>
      </c>
      <c r="R1270" s="52">
        <f ca="1">SUMIFS(OUT!$F$2:$F$11000,OUT!$H$2:$H$11000,H1270,OUT!$D$2:$D$11000,"Out",OUT!$E$2:$E$11000,"Sedekah")</f>
        <v>5000</v>
      </c>
      <c r="S1270" s="52">
        <f ca="1">SUMIFS(OUT!$F$2:$F$11000,OUT!$H$2:$H$11000,H1270,OUT!$D$2:$D$11000,"Out",OUT!$E$2:$E$11000,"Zela")</f>
        <v>40500</v>
      </c>
      <c r="T1270" s="52">
        <f ca="1">SUMIFS(OUT!$F$2:$F$11000,OUT!$H$2:$H$11000,H1270,OUT!$D$2:$D$11000,"Out",OUT!$E$2:$E$11000,"Iqbal")</f>
        <v>295000</v>
      </c>
    </row>
    <row r="1271" spans="1:20" x14ac:dyDescent="0.2">
      <c r="A1271" s="48">
        <f ca="1">IFERROR(__xludf.DUMMYFUNCTION("""COMPUTED_VALUE"""),46254)</f>
        <v>46254</v>
      </c>
      <c r="B1271" s="4" t="str">
        <f ca="1">IFERROR(__xludf.DUMMYFUNCTION("""COMPUTED_VALUE"""),"Dana ( Ayam Frozen )")</f>
        <v>Dana ( Ayam Frozen )</v>
      </c>
      <c r="C1271" s="4" t="str">
        <f ca="1">IFERROR(__xludf.DUMMYFUNCTION("""COMPUTED_VALUE"""),"Cash")</f>
        <v>Cash</v>
      </c>
      <c r="D1271" s="4" t="str">
        <f ca="1">IFERROR(__xludf.DUMMYFUNCTION("""COMPUTED_VALUE"""),"Out")</f>
        <v>Out</v>
      </c>
      <c r="E1271" s="4" t="str">
        <f ca="1">IFERROR(__xludf.DUMMYFUNCTION("""COMPUTED_VALUE"""),"Kitchen")</f>
        <v>Kitchen</v>
      </c>
      <c r="F1271" s="49">
        <f ca="1">IFERROR(__xludf.DUMMYFUNCTION("""COMPUTED_VALUE"""),48000)</f>
        <v>48000</v>
      </c>
      <c r="G1271" s="50" t="str">
        <f ca="1">IFERROR(__xludf.DUMMYFUNCTION("""COMPUTED_VALUE"""),"Zela")</f>
        <v>Zela</v>
      </c>
      <c r="H1271" s="51">
        <f t="shared" ca="1" si="0"/>
        <v>46235</v>
      </c>
      <c r="I1271" s="52" t="e">
        <f ca="1">SUMIFS(OUT!$F$2:$F$11000,OUT!$H$2:$H$11000,H1271,OUT!$D$2:$D$101007,"In")</f>
        <v>#VALUE!</v>
      </c>
      <c r="J1271" s="52">
        <f ca="1">SUMIFS(OUT!$F$2:$F$11000,OUT!$H$2:$H$11000,H1271,OUT!$D$2:$D$11000,"Out")</f>
        <v>9573570</v>
      </c>
      <c r="K1271" s="52">
        <f ca="1">SUMIFS(OUT!$F$2:$F$11000,OUT!$H$2:$H$11000,H1271,OUT!$D$2:$D$11000,"Out",OUT!$E$2:$E$11000,"Fix")</f>
        <v>2533689</v>
      </c>
      <c r="L1271" s="52">
        <f ca="1">SUMIFS(OUT!$F$2:$F$11000,OUT!$H$2:$H$11000,H1271,OUT!$D$2:$D$11000,"Out",OUT!$E$2:$E$11000,"Bathroom")</f>
        <v>14491</v>
      </c>
      <c r="M1271" s="52">
        <f ca="1">SUMIFS(OUT!$F$2:$F$11000,OUT!$H$2:$H$11000,H1271,OUT!$D$2:$D$11000,"Out",OUT!$E$2:$E$11000,"Alfa")</f>
        <v>452769</v>
      </c>
      <c r="N1271" s="52" t="e">
        <f ca="1">SUMIFS(OUT!$F$2:$F$11000,OUT!$H$2:$H$101007,H1271,OUT!$D$2:$D$11000,"Out",OUT!$E$2:$E$11000,"Jajan")</f>
        <v>#VALUE!</v>
      </c>
      <c r="O1271" s="52">
        <f ca="1">SUMIFS(OUT!$F$2:$F$11000,OUT!$H$2:$H$11000,H1271,OUT!$D$2:$D$11000,"Out",OUT!$E$2:$E$11000,"Kitchen")</f>
        <v>1584204</v>
      </c>
      <c r="P1271" s="52">
        <f ca="1">SUMIFS(OUT!$F$2:$F$11000,OUT!$H$2:$H$11000,H1271,OUT!$D$2:$D$11000,"Out",OUT!$E$2:$E$11000,"Loandry")</f>
        <v>43448</v>
      </c>
      <c r="Q1271" s="52">
        <f ca="1">SUMIFS(OUT!$F$2:$F$11000,OUT!$H$2:$H$11000,H1271,OUT!$D$2:$D$11000,"Out",OUT!$E$2:$E$11000,"Mio")</f>
        <v>329000</v>
      </c>
      <c r="R1271" s="52">
        <f ca="1">SUMIFS(OUT!$F$2:$F$11000,OUT!$H$2:$H$11000,H1271,OUT!$D$2:$D$11000,"Out",OUT!$E$2:$E$11000,"Sedekah")</f>
        <v>5000</v>
      </c>
      <c r="S1271" s="52">
        <f ca="1">SUMIFS(OUT!$F$2:$F$11000,OUT!$H$2:$H$11000,H1271,OUT!$D$2:$D$11000,"Out",OUT!$E$2:$E$11000,"Zela")</f>
        <v>40500</v>
      </c>
      <c r="T1271" s="52">
        <f ca="1">SUMIFS(OUT!$F$2:$F$11000,OUT!$H$2:$H$11000,H1271,OUT!$D$2:$D$11000,"Out",OUT!$E$2:$E$11000,"Iqbal")</f>
        <v>295000</v>
      </c>
    </row>
    <row r="1272" spans="1:20" x14ac:dyDescent="0.2">
      <c r="A1272" s="48">
        <f ca="1">IFERROR(__xludf.DUMMYFUNCTION("""COMPUTED_VALUE"""),46254)</f>
        <v>46254</v>
      </c>
      <c r="B1272" s="4" t="str">
        <f ca="1">IFERROR(__xludf.DUMMYFUNCTION("""COMPUTED_VALUE"""),"Ayam Kriuk 2")</f>
        <v>Ayam Kriuk 2</v>
      </c>
      <c r="C1272" s="4" t="str">
        <f ca="1">IFERROR(__xludf.DUMMYFUNCTION("""COMPUTED_VALUE"""),"Cash")</f>
        <v>Cash</v>
      </c>
      <c r="D1272" s="4" t="str">
        <f ca="1">IFERROR(__xludf.DUMMYFUNCTION("""COMPUTED_VALUE"""),"Out")</f>
        <v>Out</v>
      </c>
      <c r="E1272" s="4" t="str">
        <f ca="1">IFERROR(__xludf.DUMMYFUNCTION("""COMPUTED_VALUE"""),"Kitchen")</f>
        <v>Kitchen</v>
      </c>
      <c r="F1272" s="49">
        <f ca="1">IFERROR(__xludf.DUMMYFUNCTION("""COMPUTED_VALUE"""),27000)</f>
        <v>27000</v>
      </c>
      <c r="G1272" s="50" t="str">
        <f ca="1">IFERROR(__xludf.DUMMYFUNCTION("""COMPUTED_VALUE"""),"Zela")</f>
        <v>Zela</v>
      </c>
      <c r="H1272" s="51">
        <f t="shared" ca="1" si="0"/>
        <v>46235</v>
      </c>
      <c r="I1272" s="52" t="e">
        <f ca="1">SUMIFS(OUT!$F$2:$F$11000,OUT!$H$2:$H$11000,H1272,OUT!$D$2:$D$101007,"In")</f>
        <v>#VALUE!</v>
      </c>
      <c r="J1272" s="52">
        <f ca="1">SUMIFS(OUT!$F$2:$F$11000,OUT!$H$2:$H$11000,H1272,OUT!$D$2:$D$11000,"Out")</f>
        <v>9573570</v>
      </c>
      <c r="K1272" s="52">
        <f ca="1">SUMIFS(OUT!$F$2:$F$11000,OUT!$H$2:$H$11000,H1272,OUT!$D$2:$D$11000,"Out",OUT!$E$2:$E$11000,"Fix")</f>
        <v>2533689</v>
      </c>
      <c r="L1272" s="52">
        <f ca="1">SUMIFS(OUT!$F$2:$F$11000,OUT!$H$2:$H$11000,H1272,OUT!$D$2:$D$11000,"Out",OUT!$E$2:$E$11000,"Bathroom")</f>
        <v>14491</v>
      </c>
      <c r="M1272" s="52">
        <f ca="1">SUMIFS(OUT!$F$2:$F$11000,OUT!$H$2:$H$11000,H1272,OUT!$D$2:$D$11000,"Out",OUT!$E$2:$E$11000,"Alfa")</f>
        <v>452769</v>
      </c>
      <c r="N1272" s="52" t="e">
        <f ca="1">SUMIFS(OUT!$F$2:$F$11000,OUT!$H$2:$H$101007,H1272,OUT!$D$2:$D$11000,"Out",OUT!$E$2:$E$11000,"Jajan")</f>
        <v>#VALUE!</v>
      </c>
      <c r="O1272" s="52">
        <f ca="1">SUMIFS(OUT!$F$2:$F$11000,OUT!$H$2:$H$11000,H1272,OUT!$D$2:$D$11000,"Out",OUT!$E$2:$E$11000,"Kitchen")</f>
        <v>1584204</v>
      </c>
      <c r="P1272" s="52">
        <f ca="1">SUMIFS(OUT!$F$2:$F$11000,OUT!$H$2:$H$11000,H1272,OUT!$D$2:$D$11000,"Out",OUT!$E$2:$E$11000,"Loandry")</f>
        <v>43448</v>
      </c>
      <c r="Q1272" s="52">
        <f ca="1">SUMIFS(OUT!$F$2:$F$11000,OUT!$H$2:$H$11000,H1272,OUT!$D$2:$D$11000,"Out",OUT!$E$2:$E$11000,"Mio")</f>
        <v>329000</v>
      </c>
      <c r="R1272" s="52">
        <f ca="1">SUMIFS(OUT!$F$2:$F$11000,OUT!$H$2:$H$11000,H1272,OUT!$D$2:$D$11000,"Out",OUT!$E$2:$E$11000,"Sedekah")</f>
        <v>5000</v>
      </c>
      <c r="S1272" s="52">
        <f ca="1">SUMIFS(OUT!$F$2:$F$11000,OUT!$H$2:$H$11000,H1272,OUT!$D$2:$D$11000,"Out",OUT!$E$2:$E$11000,"Zela")</f>
        <v>40500</v>
      </c>
      <c r="T1272" s="52">
        <f ca="1">SUMIFS(OUT!$F$2:$F$11000,OUT!$H$2:$H$11000,H1272,OUT!$D$2:$D$11000,"Out",OUT!$E$2:$E$11000,"Iqbal")</f>
        <v>295000</v>
      </c>
    </row>
    <row r="1273" spans="1:20" x14ac:dyDescent="0.2">
      <c r="A1273" s="48">
        <f ca="1">IFERROR(__xludf.DUMMYFUNCTION("""COMPUTED_VALUE"""),46254)</f>
        <v>46254</v>
      </c>
      <c r="B1273" s="4" t="str">
        <f ca="1">IFERROR(__xludf.DUMMYFUNCTION("""COMPUTED_VALUE"""),"Galon ")</f>
        <v xml:space="preserve">Galon </v>
      </c>
      <c r="C1273" s="4" t="str">
        <f ca="1">IFERROR(__xludf.DUMMYFUNCTION("""COMPUTED_VALUE"""),"Cash")</f>
        <v>Cash</v>
      </c>
      <c r="D1273" s="4" t="str">
        <f ca="1">IFERROR(__xludf.DUMMYFUNCTION("""COMPUTED_VALUE"""),"Out")</f>
        <v>Out</v>
      </c>
      <c r="E1273" s="4" t="str">
        <f ca="1">IFERROR(__xludf.DUMMYFUNCTION("""COMPUTED_VALUE"""),"Kitchen")</f>
        <v>Kitchen</v>
      </c>
      <c r="F1273" s="49">
        <f ca="1">IFERROR(__xludf.DUMMYFUNCTION("""COMPUTED_VALUE"""),3000)</f>
        <v>3000</v>
      </c>
      <c r="G1273" s="50" t="str">
        <f ca="1">IFERROR(__xludf.DUMMYFUNCTION("""COMPUTED_VALUE"""),"Zela")</f>
        <v>Zela</v>
      </c>
      <c r="H1273" s="51">
        <f t="shared" ca="1" si="0"/>
        <v>46235</v>
      </c>
      <c r="I1273" s="52" t="e">
        <f ca="1">SUMIFS(OUT!$F$2:$F$11000,OUT!$H$2:$H$11000,H1273,OUT!$D$2:$D$101007,"In")</f>
        <v>#VALUE!</v>
      </c>
      <c r="J1273" s="52">
        <f ca="1">SUMIFS(OUT!$F$2:$F$11000,OUT!$H$2:$H$11000,H1273,OUT!$D$2:$D$11000,"Out")</f>
        <v>9573570</v>
      </c>
      <c r="K1273" s="52">
        <f ca="1">SUMIFS(OUT!$F$2:$F$11000,OUT!$H$2:$H$11000,H1273,OUT!$D$2:$D$11000,"Out",OUT!$E$2:$E$11000,"Fix")</f>
        <v>2533689</v>
      </c>
      <c r="L1273" s="52">
        <f ca="1">SUMIFS(OUT!$F$2:$F$11000,OUT!$H$2:$H$11000,H1273,OUT!$D$2:$D$11000,"Out",OUT!$E$2:$E$11000,"Bathroom")</f>
        <v>14491</v>
      </c>
      <c r="M1273" s="52">
        <f ca="1">SUMIFS(OUT!$F$2:$F$11000,OUT!$H$2:$H$11000,H1273,OUT!$D$2:$D$11000,"Out",OUT!$E$2:$E$11000,"Alfa")</f>
        <v>452769</v>
      </c>
      <c r="N1273" s="52" t="e">
        <f ca="1">SUMIFS(OUT!$F$2:$F$11000,OUT!$H$2:$H$101007,H1273,OUT!$D$2:$D$11000,"Out",OUT!$E$2:$E$11000,"Jajan")</f>
        <v>#VALUE!</v>
      </c>
      <c r="O1273" s="52">
        <f ca="1">SUMIFS(OUT!$F$2:$F$11000,OUT!$H$2:$H$11000,H1273,OUT!$D$2:$D$11000,"Out",OUT!$E$2:$E$11000,"Kitchen")</f>
        <v>1584204</v>
      </c>
      <c r="P1273" s="52">
        <f ca="1">SUMIFS(OUT!$F$2:$F$11000,OUT!$H$2:$H$11000,H1273,OUT!$D$2:$D$11000,"Out",OUT!$E$2:$E$11000,"Loandry")</f>
        <v>43448</v>
      </c>
      <c r="Q1273" s="52">
        <f ca="1">SUMIFS(OUT!$F$2:$F$11000,OUT!$H$2:$H$11000,H1273,OUT!$D$2:$D$11000,"Out",OUT!$E$2:$E$11000,"Mio")</f>
        <v>329000</v>
      </c>
      <c r="R1273" s="52">
        <f ca="1">SUMIFS(OUT!$F$2:$F$11000,OUT!$H$2:$H$11000,H1273,OUT!$D$2:$D$11000,"Out",OUT!$E$2:$E$11000,"Sedekah")</f>
        <v>5000</v>
      </c>
      <c r="S1273" s="52">
        <f ca="1">SUMIFS(OUT!$F$2:$F$11000,OUT!$H$2:$H$11000,H1273,OUT!$D$2:$D$11000,"Out",OUT!$E$2:$E$11000,"Zela")</f>
        <v>40500</v>
      </c>
      <c r="T1273" s="52">
        <f ca="1">SUMIFS(OUT!$F$2:$F$11000,OUT!$H$2:$H$11000,H1273,OUT!$D$2:$D$11000,"Out",OUT!$E$2:$E$11000,"Iqbal")</f>
        <v>295000</v>
      </c>
    </row>
    <row r="1274" spans="1:20" x14ac:dyDescent="0.2">
      <c r="A1274" s="48">
        <f ca="1">IFERROR(__xludf.DUMMYFUNCTION("""COMPUTED_VALUE"""),46254)</f>
        <v>46254</v>
      </c>
      <c r="B1274" s="4" t="str">
        <f ca="1">IFERROR(__xludf.DUMMYFUNCTION("""COMPUTED_VALUE"""),"Dana ( saldo)")</f>
        <v>Dana ( saldo)</v>
      </c>
      <c r="C1274" s="4" t="str">
        <f ca="1">IFERROR(__xludf.DUMMYFUNCTION("""COMPUTED_VALUE"""),"Cash")</f>
        <v>Cash</v>
      </c>
      <c r="D1274" s="4" t="str">
        <f ca="1">IFERROR(__xludf.DUMMYFUNCTION("""COMPUTED_VALUE"""),"Out")</f>
        <v>Out</v>
      </c>
      <c r="E1274" s="4" t="str">
        <f ca="1">IFERROR(__xludf.DUMMYFUNCTION("""COMPUTED_VALUE"""),"Kitchen")</f>
        <v>Kitchen</v>
      </c>
      <c r="F1274" s="49">
        <f ca="1">IFERROR(__xludf.DUMMYFUNCTION("""COMPUTED_VALUE"""),2000)</f>
        <v>2000</v>
      </c>
      <c r="G1274" s="50" t="str">
        <f ca="1">IFERROR(__xludf.DUMMYFUNCTION("""COMPUTED_VALUE"""),"Zela")</f>
        <v>Zela</v>
      </c>
      <c r="H1274" s="51">
        <f t="shared" ca="1" si="0"/>
        <v>46235</v>
      </c>
      <c r="I1274" s="52" t="e">
        <f ca="1">SUMIFS(OUT!$F$2:$F$11000,OUT!$H$2:$H$11000,H1274,OUT!$D$2:$D$101007,"In")</f>
        <v>#VALUE!</v>
      </c>
      <c r="J1274" s="52">
        <f ca="1">SUMIFS(OUT!$F$2:$F$11000,OUT!$H$2:$H$11000,H1274,OUT!$D$2:$D$11000,"Out")</f>
        <v>9573570</v>
      </c>
      <c r="K1274" s="52">
        <f ca="1">SUMIFS(OUT!$F$2:$F$11000,OUT!$H$2:$H$11000,H1274,OUT!$D$2:$D$11000,"Out",OUT!$E$2:$E$11000,"Fix")</f>
        <v>2533689</v>
      </c>
      <c r="L1274" s="52">
        <f ca="1">SUMIFS(OUT!$F$2:$F$11000,OUT!$H$2:$H$11000,H1274,OUT!$D$2:$D$11000,"Out",OUT!$E$2:$E$11000,"Bathroom")</f>
        <v>14491</v>
      </c>
      <c r="M1274" s="52">
        <f ca="1">SUMIFS(OUT!$F$2:$F$11000,OUT!$H$2:$H$11000,H1274,OUT!$D$2:$D$11000,"Out",OUT!$E$2:$E$11000,"Alfa")</f>
        <v>452769</v>
      </c>
      <c r="N1274" s="52" t="e">
        <f ca="1">SUMIFS(OUT!$F$2:$F$11000,OUT!$H$2:$H$101007,H1274,OUT!$D$2:$D$11000,"Out",OUT!$E$2:$E$11000,"Jajan")</f>
        <v>#VALUE!</v>
      </c>
      <c r="O1274" s="52">
        <f ca="1">SUMIFS(OUT!$F$2:$F$11000,OUT!$H$2:$H$11000,H1274,OUT!$D$2:$D$11000,"Out",OUT!$E$2:$E$11000,"Kitchen")</f>
        <v>1584204</v>
      </c>
      <c r="P1274" s="52">
        <f ca="1">SUMIFS(OUT!$F$2:$F$11000,OUT!$H$2:$H$11000,H1274,OUT!$D$2:$D$11000,"Out",OUT!$E$2:$E$11000,"Loandry")</f>
        <v>43448</v>
      </c>
      <c r="Q1274" s="52">
        <f ca="1">SUMIFS(OUT!$F$2:$F$11000,OUT!$H$2:$H$11000,H1274,OUT!$D$2:$D$11000,"Out",OUT!$E$2:$E$11000,"Mio")</f>
        <v>329000</v>
      </c>
      <c r="R1274" s="52">
        <f ca="1">SUMIFS(OUT!$F$2:$F$11000,OUT!$H$2:$H$11000,H1274,OUT!$D$2:$D$11000,"Out",OUT!$E$2:$E$11000,"Sedekah")</f>
        <v>5000</v>
      </c>
      <c r="S1274" s="52">
        <f ca="1">SUMIFS(OUT!$F$2:$F$11000,OUT!$H$2:$H$11000,H1274,OUT!$D$2:$D$11000,"Out",OUT!$E$2:$E$11000,"Zela")</f>
        <v>40500</v>
      </c>
      <c r="T1274" s="52">
        <f ca="1">SUMIFS(OUT!$F$2:$F$11000,OUT!$H$2:$H$11000,H1274,OUT!$D$2:$D$11000,"Out",OUT!$E$2:$E$11000,"Iqbal")</f>
        <v>295000</v>
      </c>
    </row>
    <row r="1275" spans="1:20" x14ac:dyDescent="0.2">
      <c r="A1275" s="48">
        <f ca="1">IFERROR(__xludf.DUMMYFUNCTION("""COMPUTED_VALUE"""),46255)</f>
        <v>46255</v>
      </c>
      <c r="B1275" s="4" t="str">
        <f ca="1">IFERROR(__xludf.DUMMYFUNCTION("""COMPUTED_VALUE"""),"Suamiku")</f>
        <v>Suamiku</v>
      </c>
      <c r="C1275" s="4" t="str">
        <f ca="1">IFERROR(__xludf.DUMMYFUNCTION("""COMPUTED_VALUE"""),"ATM")</f>
        <v>ATM</v>
      </c>
      <c r="D1275" s="4" t="str">
        <f ca="1">IFERROR(__xludf.DUMMYFUNCTION("""COMPUTED_VALUE"""),"In")</f>
        <v>In</v>
      </c>
      <c r="E1275" s="4" t="str">
        <f ca="1">IFERROR(__xludf.DUMMYFUNCTION("""COMPUTED_VALUE"""),"Fix")</f>
        <v>Fix</v>
      </c>
      <c r="F1275" s="49">
        <f ca="1">IFERROR(__xludf.DUMMYFUNCTION("""COMPUTED_VALUE"""),250000)</f>
        <v>250000</v>
      </c>
      <c r="G1275" s="50" t="str">
        <f ca="1">IFERROR(__xludf.DUMMYFUNCTION("""COMPUTED_VALUE"""),"Zela")</f>
        <v>Zela</v>
      </c>
      <c r="H1275" s="51">
        <f t="shared" ca="1" si="0"/>
        <v>46235</v>
      </c>
      <c r="I1275" s="52" t="e">
        <f ca="1">SUMIFS(OUT!$F$2:$F$11000,OUT!$H$2:$H$11000,H1275,OUT!$D$2:$D$101007,"In")</f>
        <v>#VALUE!</v>
      </c>
      <c r="J1275" s="52">
        <f ca="1">SUMIFS(OUT!$F$2:$F$11000,OUT!$H$2:$H$11000,H1275,OUT!$D$2:$D$11000,"Out")</f>
        <v>9573570</v>
      </c>
      <c r="K1275" s="52">
        <f ca="1">SUMIFS(OUT!$F$2:$F$11000,OUT!$H$2:$H$11000,H1275,OUT!$D$2:$D$11000,"Out",OUT!$E$2:$E$11000,"Fix")</f>
        <v>2533689</v>
      </c>
      <c r="L1275" s="52">
        <f ca="1">SUMIFS(OUT!$F$2:$F$11000,OUT!$H$2:$H$11000,H1275,OUT!$D$2:$D$11000,"Out",OUT!$E$2:$E$11000,"Bathroom")</f>
        <v>14491</v>
      </c>
      <c r="M1275" s="52">
        <f ca="1">SUMIFS(OUT!$F$2:$F$11000,OUT!$H$2:$H$11000,H1275,OUT!$D$2:$D$11000,"Out",OUT!$E$2:$E$11000,"Alfa")</f>
        <v>452769</v>
      </c>
      <c r="N1275" s="52" t="e">
        <f ca="1">SUMIFS(OUT!$F$2:$F$11000,OUT!$H$2:$H$101007,H1275,OUT!$D$2:$D$11000,"Out",OUT!$E$2:$E$11000,"Jajan")</f>
        <v>#VALUE!</v>
      </c>
      <c r="O1275" s="52">
        <f ca="1">SUMIFS(OUT!$F$2:$F$11000,OUT!$H$2:$H$11000,H1275,OUT!$D$2:$D$11000,"Out",OUT!$E$2:$E$11000,"Kitchen")</f>
        <v>1584204</v>
      </c>
      <c r="P1275" s="52">
        <f ca="1">SUMIFS(OUT!$F$2:$F$11000,OUT!$H$2:$H$11000,H1275,OUT!$D$2:$D$11000,"Out",OUT!$E$2:$E$11000,"Loandry")</f>
        <v>43448</v>
      </c>
      <c r="Q1275" s="52">
        <f ca="1">SUMIFS(OUT!$F$2:$F$11000,OUT!$H$2:$H$11000,H1275,OUT!$D$2:$D$11000,"Out",OUT!$E$2:$E$11000,"Mio")</f>
        <v>329000</v>
      </c>
      <c r="R1275" s="52">
        <f ca="1">SUMIFS(OUT!$F$2:$F$11000,OUT!$H$2:$H$11000,H1275,OUT!$D$2:$D$11000,"Out",OUT!$E$2:$E$11000,"Sedekah")</f>
        <v>5000</v>
      </c>
      <c r="S1275" s="52">
        <f ca="1">SUMIFS(OUT!$F$2:$F$11000,OUT!$H$2:$H$11000,H1275,OUT!$D$2:$D$11000,"Out",OUT!$E$2:$E$11000,"Zela")</f>
        <v>40500</v>
      </c>
      <c r="T1275" s="52">
        <f ca="1">SUMIFS(OUT!$F$2:$F$11000,OUT!$H$2:$H$11000,H1275,OUT!$D$2:$D$11000,"Out",OUT!$E$2:$E$11000,"Iqbal")</f>
        <v>295000</v>
      </c>
    </row>
    <row r="1276" spans="1:20" x14ac:dyDescent="0.2">
      <c r="A1276" s="48">
        <f ca="1">IFERROR(__xludf.DUMMYFUNCTION("""COMPUTED_VALUE"""),46255)</f>
        <v>46255</v>
      </c>
      <c r="B1276" s="4" t="str">
        <f ca="1">IFERROR(__xludf.DUMMYFUNCTION("""COMPUTED_VALUE"""),"Tarik tunai")</f>
        <v>Tarik tunai</v>
      </c>
      <c r="C1276" s="4" t="str">
        <f ca="1">IFERROR(__xludf.DUMMYFUNCTION("""COMPUTED_VALUE"""),"ATM")</f>
        <v>ATM</v>
      </c>
      <c r="D1276" s="4" t="str">
        <f ca="1">IFERROR(__xludf.DUMMYFUNCTION("""COMPUTED_VALUE"""),"Out")</f>
        <v>Out</v>
      </c>
      <c r="E1276" s="4" t="str">
        <f ca="1">IFERROR(__xludf.DUMMYFUNCTION("""COMPUTED_VALUE"""),"Move")</f>
        <v>Move</v>
      </c>
      <c r="F1276" s="49">
        <f ca="1">IFERROR(__xludf.DUMMYFUNCTION("""COMPUTED_VALUE"""),100000)</f>
        <v>100000</v>
      </c>
      <c r="G1276" s="50" t="str">
        <f ca="1">IFERROR(__xludf.DUMMYFUNCTION("""COMPUTED_VALUE"""),"Zela")</f>
        <v>Zela</v>
      </c>
      <c r="H1276" s="51">
        <f t="shared" ca="1" si="0"/>
        <v>46235</v>
      </c>
      <c r="I1276" s="52" t="e">
        <f ca="1">SUMIFS(OUT!$F$2:$F$11000,OUT!$H$2:$H$11000,H1276,OUT!$D$2:$D$101007,"In")</f>
        <v>#VALUE!</v>
      </c>
      <c r="J1276" s="52">
        <f ca="1">SUMIFS(OUT!$F$2:$F$11000,OUT!$H$2:$H$11000,H1276,OUT!$D$2:$D$11000,"Out")</f>
        <v>9573570</v>
      </c>
      <c r="K1276" s="52">
        <f ca="1">SUMIFS(OUT!$F$2:$F$11000,OUT!$H$2:$H$11000,H1276,OUT!$D$2:$D$11000,"Out",OUT!$E$2:$E$11000,"Fix")</f>
        <v>2533689</v>
      </c>
      <c r="L1276" s="52">
        <f ca="1">SUMIFS(OUT!$F$2:$F$11000,OUT!$H$2:$H$11000,H1276,OUT!$D$2:$D$11000,"Out",OUT!$E$2:$E$11000,"Bathroom")</f>
        <v>14491</v>
      </c>
      <c r="M1276" s="52">
        <f ca="1">SUMIFS(OUT!$F$2:$F$11000,OUT!$H$2:$H$11000,H1276,OUT!$D$2:$D$11000,"Out",OUT!$E$2:$E$11000,"Alfa")</f>
        <v>452769</v>
      </c>
      <c r="N1276" s="52" t="e">
        <f ca="1">SUMIFS(OUT!$F$2:$F$11000,OUT!$H$2:$H$101007,H1276,OUT!$D$2:$D$11000,"Out",OUT!$E$2:$E$11000,"Jajan")</f>
        <v>#VALUE!</v>
      </c>
      <c r="O1276" s="52">
        <f ca="1">SUMIFS(OUT!$F$2:$F$11000,OUT!$H$2:$H$11000,H1276,OUT!$D$2:$D$11000,"Out",OUT!$E$2:$E$11000,"Kitchen")</f>
        <v>1584204</v>
      </c>
      <c r="P1276" s="52">
        <f ca="1">SUMIFS(OUT!$F$2:$F$11000,OUT!$H$2:$H$11000,H1276,OUT!$D$2:$D$11000,"Out",OUT!$E$2:$E$11000,"Loandry")</f>
        <v>43448</v>
      </c>
      <c r="Q1276" s="52">
        <f ca="1">SUMIFS(OUT!$F$2:$F$11000,OUT!$H$2:$H$11000,H1276,OUT!$D$2:$D$11000,"Out",OUT!$E$2:$E$11000,"Mio")</f>
        <v>329000</v>
      </c>
      <c r="R1276" s="52">
        <f ca="1">SUMIFS(OUT!$F$2:$F$11000,OUT!$H$2:$H$11000,H1276,OUT!$D$2:$D$11000,"Out",OUT!$E$2:$E$11000,"Sedekah")</f>
        <v>5000</v>
      </c>
      <c r="S1276" s="52">
        <f ca="1">SUMIFS(OUT!$F$2:$F$11000,OUT!$H$2:$H$11000,H1276,OUT!$D$2:$D$11000,"Out",OUT!$E$2:$E$11000,"Zela")</f>
        <v>40500</v>
      </c>
      <c r="T1276" s="52">
        <f ca="1">SUMIFS(OUT!$F$2:$F$11000,OUT!$H$2:$H$11000,H1276,OUT!$D$2:$D$11000,"Out",OUT!$E$2:$E$11000,"Iqbal")</f>
        <v>295000</v>
      </c>
    </row>
    <row r="1277" spans="1:20" x14ac:dyDescent="0.2">
      <c r="A1277" s="48">
        <f ca="1">IFERROR(__xludf.DUMMYFUNCTION("""COMPUTED_VALUE"""),46255)</f>
        <v>46255</v>
      </c>
      <c r="B1277" s="4" t="str">
        <f ca="1">IFERROR(__xludf.DUMMYFUNCTION("""COMPUTED_VALUE"""),"Terima tunai")</f>
        <v>Terima tunai</v>
      </c>
      <c r="C1277" s="4" t="str">
        <f ca="1">IFERROR(__xludf.DUMMYFUNCTION("""COMPUTED_VALUE"""),"Cash")</f>
        <v>Cash</v>
      </c>
      <c r="D1277" s="4" t="str">
        <f ca="1">IFERROR(__xludf.DUMMYFUNCTION("""COMPUTED_VALUE"""),"In")</f>
        <v>In</v>
      </c>
      <c r="E1277" s="4" t="str">
        <f ca="1">IFERROR(__xludf.DUMMYFUNCTION("""COMPUTED_VALUE"""),"Move")</f>
        <v>Move</v>
      </c>
      <c r="F1277" s="49">
        <f ca="1">IFERROR(__xludf.DUMMYFUNCTION("""COMPUTED_VALUE"""),100000)</f>
        <v>100000</v>
      </c>
      <c r="G1277" s="50" t="str">
        <f ca="1">IFERROR(__xludf.DUMMYFUNCTION("""COMPUTED_VALUE"""),"Zela")</f>
        <v>Zela</v>
      </c>
      <c r="H1277" s="51">
        <f t="shared" ca="1" si="0"/>
        <v>46235</v>
      </c>
      <c r="I1277" s="52" t="e">
        <f ca="1">SUMIFS(OUT!$F$2:$F$11000,OUT!$H$2:$H$11000,H1277,OUT!$D$2:$D$101007,"In")</f>
        <v>#VALUE!</v>
      </c>
      <c r="J1277" s="52">
        <f ca="1">SUMIFS(OUT!$F$2:$F$11000,OUT!$H$2:$H$11000,H1277,OUT!$D$2:$D$11000,"Out")</f>
        <v>9573570</v>
      </c>
      <c r="K1277" s="52">
        <f ca="1">SUMIFS(OUT!$F$2:$F$11000,OUT!$H$2:$H$11000,H1277,OUT!$D$2:$D$11000,"Out",OUT!$E$2:$E$11000,"Fix")</f>
        <v>2533689</v>
      </c>
      <c r="L1277" s="52">
        <f ca="1">SUMIFS(OUT!$F$2:$F$11000,OUT!$H$2:$H$11000,H1277,OUT!$D$2:$D$11000,"Out",OUT!$E$2:$E$11000,"Bathroom")</f>
        <v>14491</v>
      </c>
      <c r="M1277" s="52">
        <f ca="1">SUMIFS(OUT!$F$2:$F$11000,OUT!$H$2:$H$11000,H1277,OUT!$D$2:$D$11000,"Out",OUT!$E$2:$E$11000,"Alfa")</f>
        <v>452769</v>
      </c>
      <c r="N1277" s="52" t="e">
        <f ca="1">SUMIFS(OUT!$F$2:$F$11000,OUT!$H$2:$H$101007,H1277,OUT!$D$2:$D$11000,"Out",OUT!$E$2:$E$11000,"Jajan")</f>
        <v>#VALUE!</v>
      </c>
      <c r="O1277" s="52">
        <f ca="1">SUMIFS(OUT!$F$2:$F$11000,OUT!$H$2:$H$11000,H1277,OUT!$D$2:$D$11000,"Out",OUT!$E$2:$E$11000,"Kitchen")</f>
        <v>1584204</v>
      </c>
      <c r="P1277" s="52">
        <f ca="1">SUMIFS(OUT!$F$2:$F$11000,OUT!$H$2:$H$11000,H1277,OUT!$D$2:$D$11000,"Out",OUT!$E$2:$E$11000,"Loandry")</f>
        <v>43448</v>
      </c>
      <c r="Q1277" s="52">
        <f ca="1">SUMIFS(OUT!$F$2:$F$11000,OUT!$H$2:$H$11000,H1277,OUT!$D$2:$D$11000,"Out",OUT!$E$2:$E$11000,"Mio")</f>
        <v>329000</v>
      </c>
      <c r="R1277" s="52">
        <f ca="1">SUMIFS(OUT!$F$2:$F$11000,OUT!$H$2:$H$11000,H1277,OUT!$D$2:$D$11000,"Out",OUT!$E$2:$E$11000,"Sedekah")</f>
        <v>5000</v>
      </c>
      <c r="S1277" s="52">
        <f ca="1">SUMIFS(OUT!$F$2:$F$11000,OUT!$H$2:$H$11000,H1277,OUT!$D$2:$D$11000,"Out",OUT!$E$2:$E$11000,"Zela")</f>
        <v>40500</v>
      </c>
      <c r="T1277" s="52">
        <f ca="1">SUMIFS(OUT!$F$2:$F$11000,OUT!$H$2:$H$11000,H1277,OUT!$D$2:$D$11000,"Out",OUT!$E$2:$E$11000,"Iqbal")</f>
        <v>295000</v>
      </c>
    </row>
    <row r="1278" spans="1:20" x14ac:dyDescent="0.2">
      <c r="A1278" s="48">
        <f ca="1">IFERROR(__xludf.DUMMYFUNCTION("""COMPUTED_VALUE"""),46255)</f>
        <v>46255</v>
      </c>
      <c r="B1278" s="4" t="str">
        <f ca="1">IFERROR(__xludf.DUMMYFUNCTION("""COMPUTED_VALUE"""),"Hit listrik ")</f>
        <v xml:space="preserve">Hit listrik </v>
      </c>
      <c r="C1278" s="4" t="str">
        <f ca="1">IFERROR(__xludf.DUMMYFUNCTION("""COMPUTED_VALUE"""),"ATM")</f>
        <v>ATM</v>
      </c>
      <c r="D1278" s="4" t="str">
        <f ca="1">IFERROR(__xludf.DUMMYFUNCTION("""COMPUTED_VALUE"""),"Out")</f>
        <v>Out</v>
      </c>
      <c r="E1278" s="4" t="str">
        <f ca="1">IFERROR(__xludf.DUMMYFUNCTION("""COMPUTED_VALUE"""),"Kitchen")</f>
        <v>Kitchen</v>
      </c>
      <c r="F1278" s="49">
        <f ca="1">IFERROR(__xludf.DUMMYFUNCTION("""COMPUTED_VALUE"""),21700)</f>
        <v>21700</v>
      </c>
      <c r="G1278" s="50" t="str">
        <f ca="1">IFERROR(__xludf.DUMMYFUNCTION("""COMPUTED_VALUE"""),"Zela")</f>
        <v>Zela</v>
      </c>
      <c r="H1278" s="51">
        <f t="shared" ca="1" si="0"/>
        <v>46235</v>
      </c>
      <c r="I1278" s="52" t="e">
        <f ca="1">SUMIFS(OUT!$F$2:$F$11000,OUT!$H$2:$H$11000,H1278,OUT!$D$2:$D$101007,"In")</f>
        <v>#VALUE!</v>
      </c>
      <c r="J1278" s="52">
        <f ca="1">SUMIFS(OUT!$F$2:$F$11000,OUT!$H$2:$H$11000,H1278,OUT!$D$2:$D$11000,"Out")</f>
        <v>9573570</v>
      </c>
      <c r="K1278" s="52">
        <f ca="1">SUMIFS(OUT!$F$2:$F$11000,OUT!$H$2:$H$11000,H1278,OUT!$D$2:$D$11000,"Out",OUT!$E$2:$E$11000,"Fix")</f>
        <v>2533689</v>
      </c>
      <c r="L1278" s="52">
        <f ca="1">SUMIFS(OUT!$F$2:$F$11000,OUT!$H$2:$H$11000,H1278,OUT!$D$2:$D$11000,"Out",OUT!$E$2:$E$11000,"Bathroom")</f>
        <v>14491</v>
      </c>
      <c r="M1278" s="52">
        <f ca="1">SUMIFS(OUT!$F$2:$F$11000,OUT!$H$2:$H$11000,H1278,OUT!$D$2:$D$11000,"Out",OUT!$E$2:$E$11000,"Alfa")</f>
        <v>452769</v>
      </c>
      <c r="N1278" s="52" t="e">
        <f ca="1">SUMIFS(OUT!$F$2:$F$11000,OUT!$H$2:$H$101007,H1278,OUT!$D$2:$D$11000,"Out",OUT!$E$2:$E$11000,"Jajan")</f>
        <v>#VALUE!</v>
      </c>
      <c r="O1278" s="52">
        <f ca="1">SUMIFS(OUT!$F$2:$F$11000,OUT!$H$2:$H$11000,H1278,OUT!$D$2:$D$11000,"Out",OUT!$E$2:$E$11000,"Kitchen")</f>
        <v>1584204</v>
      </c>
      <c r="P1278" s="52">
        <f ca="1">SUMIFS(OUT!$F$2:$F$11000,OUT!$H$2:$H$11000,H1278,OUT!$D$2:$D$11000,"Out",OUT!$E$2:$E$11000,"Loandry")</f>
        <v>43448</v>
      </c>
      <c r="Q1278" s="52">
        <f ca="1">SUMIFS(OUT!$F$2:$F$11000,OUT!$H$2:$H$11000,H1278,OUT!$D$2:$D$11000,"Out",OUT!$E$2:$E$11000,"Mio")</f>
        <v>329000</v>
      </c>
      <c r="R1278" s="52">
        <f ca="1">SUMIFS(OUT!$F$2:$F$11000,OUT!$H$2:$H$11000,H1278,OUT!$D$2:$D$11000,"Out",OUT!$E$2:$E$11000,"Sedekah")</f>
        <v>5000</v>
      </c>
      <c r="S1278" s="52">
        <f ca="1">SUMIFS(OUT!$F$2:$F$11000,OUT!$H$2:$H$11000,H1278,OUT!$D$2:$D$11000,"Out",OUT!$E$2:$E$11000,"Zela")</f>
        <v>40500</v>
      </c>
      <c r="T1278" s="52">
        <f ca="1">SUMIFS(OUT!$F$2:$F$11000,OUT!$H$2:$H$11000,H1278,OUT!$D$2:$D$11000,"Out",OUT!$E$2:$E$11000,"Iqbal")</f>
        <v>295000</v>
      </c>
    </row>
    <row r="1279" spans="1:20" x14ac:dyDescent="0.2">
      <c r="A1279" s="48">
        <f ca="1">IFERROR(__xludf.DUMMYFUNCTION("""COMPUTED_VALUE"""),46255)</f>
        <v>46255</v>
      </c>
      <c r="B1279" s="4" t="str">
        <f ca="1">IFERROR(__xludf.DUMMYFUNCTION("""COMPUTED_VALUE"""),"Pasar Kaget + parkir ")</f>
        <v xml:space="preserve">Pasar Kaget + parkir </v>
      </c>
      <c r="C1279" s="4" t="str">
        <f ca="1">IFERROR(__xludf.DUMMYFUNCTION("""COMPUTED_VALUE"""),"Cash")</f>
        <v>Cash</v>
      </c>
      <c r="D1279" s="4" t="str">
        <f ca="1">IFERROR(__xludf.DUMMYFUNCTION("""COMPUTED_VALUE"""),"Out")</f>
        <v>Out</v>
      </c>
      <c r="E1279" s="4" t="str">
        <f ca="1">IFERROR(__xludf.DUMMYFUNCTION("""COMPUTED_VALUE"""),"Kitchen")</f>
        <v>Kitchen</v>
      </c>
      <c r="F1279" s="49">
        <f ca="1">IFERROR(__xludf.DUMMYFUNCTION("""COMPUTED_VALUE"""),170000)</f>
        <v>170000</v>
      </c>
      <c r="G1279" s="50" t="str">
        <f ca="1">IFERROR(__xludf.DUMMYFUNCTION("""COMPUTED_VALUE"""),"Zela")</f>
        <v>Zela</v>
      </c>
      <c r="H1279" s="51">
        <f t="shared" ca="1" si="0"/>
        <v>46235</v>
      </c>
      <c r="I1279" s="52" t="e">
        <f ca="1">SUMIFS(OUT!$F$2:$F$11000,OUT!$H$2:$H$11000,H1279,OUT!$D$2:$D$101007,"In")</f>
        <v>#VALUE!</v>
      </c>
      <c r="J1279" s="52">
        <f ca="1">SUMIFS(OUT!$F$2:$F$11000,OUT!$H$2:$H$11000,H1279,OUT!$D$2:$D$11000,"Out")</f>
        <v>9573570</v>
      </c>
      <c r="K1279" s="52">
        <f ca="1">SUMIFS(OUT!$F$2:$F$11000,OUT!$H$2:$H$11000,H1279,OUT!$D$2:$D$11000,"Out",OUT!$E$2:$E$11000,"Fix")</f>
        <v>2533689</v>
      </c>
      <c r="L1279" s="52">
        <f ca="1">SUMIFS(OUT!$F$2:$F$11000,OUT!$H$2:$H$11000,H1279,OUT!$D$2:$D$11000,"Out",OUT!$E$2:$E$11000,"Bathroom")</f>
        <v>14491</v>
      </c>
      <c r="M1279" s="52">
        <f ca="1">SUMIFS(OUT!$F$2:$F$11000,OUT!$H$2:$H$11000,H1279,OUT!$D$2:$D$11000,"Out",OUT!$E$2:$E$11000,"Alfa")</f>
        <v>452769</v>
      </c>
      <c r="N1279" s="52" t="e">
        <f ca="1">SUMIFS(OUT!$F$2:$F$11000,OUT!$H$2:$H$101007,H1279,OUT!$D$2:$D$11000,"Out",OUT!$E$2:$E$11000,"Jajan")</f>
        <v>#VALUE!</v>
      </c>
      <c r="O1279" s="52">
        <f ca="1">SUMIFS(OUT!$F$2:$F$11000,OUT!$H$2:$H$11000,H1279,OUT!$D$2:$D$11000,"Out",OUT!$E$2:$E$11000,"Kitchen")</f>
        <v>1584204</v>
      </c>
      <c r="P1279" s="52">
        <f ca="1">SUMIFS(OUT!$F$2:$F$11000,OUT!$H$2:$H$11000,H1279,OUT!$D$2:$D$11000,"Out",OUT!$E$2:$E$11000,"Loandry")</f>
        <v>43448</v>
      </c>
      <c r="Q1279" s="52">
        <f ca="1">SUMIFS(OUT!$F$2:$F$11000,OUT!$H$2:$H$11000,H1279,OUT!$D$2:$D$11000,"Out",OUT!$E$2:$E$11000,"Mio")</f>
        <v>329000</v>
      </c>
      <c r="R1279" s="52">
        <f ca="1">SUMIFS(OUT!$F$2:$F$11000,OUT!$H$2:$H$11000,H1279,OUT!$D$2:$D$11000,"Out",OUT!$E$2:$E$11000,"Sedekah")</f>
        <v>5000</v>
      </c>
      <c r="S1279" s="52">
        <f ca="1">SUMIFS(OUT!$F$2:$F$11000,OUT!$H$2:$H$11000,H1279,OUT!$D$2:$D$11000,"Out",OUT!$E$2:$E$11000,"Zela")</f>
        <v>40500</v>
      </c>
      <c r="T1279" s="52">
        <f ca="1">SUMIFS(OUT!$F$2:$F$11000,OUT!$H$2:$H$11000,H1279,OUT!$D$2:$D$11000,"Out",OUT!$E$2:$E$11000,"Iqbal")</f>
        <v>295000</v>
      </c>
    </row>
    <row r="1280" spans="1:20" x14ac:dyDescent="0.2">
      <c r="A1280" s="48">
        <f ca="1">IFERROR(__xludf.DUMMYFUNCTION("""COMPUTED_VALUE"""),46256)</f>
        <v>46256</v>
      </c>
      <c r="B1280" s="4" t="str">
        <f ca="1">IFERROR(__xludf.DUMMYFUNCTION("""COMPUTED_VALUE"""),"Tarik Tunai ")</f>
        <v xml:space="preserve">Tarik Tunai </v>
      </c>
      <c r="C1280" s="4" t="str">
        <f ca="1">IFERROR(__xludf.DUMMYFUNCTION("""COMPUTED_VALUE"""),"ATM")</f>
        <v>ATM</v>
      </c>
      <c r="D1280" s="4" t="str">
        <f ca="1">IFERROR(__xludf.DUMMYFUNCTION("""COMPUTED_VALUE"""),"Out")</f>
        <v>Out</v>
      </c>
      <c r="E1280" s="4" t="str">
        <f ca="1">IFERROR(__xludf.DUMMYFUNCTION("""COMPUTED_VALUE"""),"Move")</f>
        <v>Move</v>
      </c>
      <c r="F1280" s="49">
        <f ca="1">IFERROR(__xludf.DUMMYFUNCTION("""COMPUTED_VALUE"""),150000)</f>
        <v>150000</v>
      </c>
      <c r="G1280" s="50" t="str">
        <f ca="1">IFERROR(__xludf.DUMMYFUNCTION("""COMPUTED_VALUE"""),"Zela")</f>
        <v>Zela</v>
      </c>
      <c r="H1280" s="51">
        <f t="shared" ca="1" si="0"/>
        <v>46235</v>
      </c>
      <c r="I1280" s="52" t="e">
        <f ca="1">SUMIFS(OUT!$F$2:$F$11000,OUT!$H$2:$H$11000,H1280,OUT!$D$2:$D$101007,"In")</f>
        <v>#VALUE!</v>
      </c>
      <c r="J1280" s="52">
        <f ca="1">SUMIFS(OUT!$F$2:$F$11000,OUT!$H$2:$H$11000,H1280,OUT!$D$2:$D$11000,"Out")</f>
        <v>9573570</v>
      </c>
      <c r="K1280" s="52">
        <f ca="1">SUMIFS(OUT!$F$2:$F$11000,OUT!$H$2:$H$11000,H1280,OUT!$D$2:$D$11000,"Out",OUT!$E$2:$E$11000,"Fix")</f>
        <v>2533689</v>
      </c>
      <c r="L1280" s="52">
        <f ca="1">SUMIFS(OUT!$F$2:$F$11000,OUT!$H$2:$H$11000,H1280,OUT!$D$2:$D$11000,"Out",OUT!$E$2:$E$11000,"Bathroom")</f>
        <v>14491</v>
      </c>
      <c r="M1280" s="52">
        <f ca="1">SUMIFS(OUT!$F$2:$F$11000,OUT!$H$2:$H$11000,H1280,OUT!$D$2:$D$11000,"Out",OUT!$E$2:$E$11000,"Alfa")</f>
        <v>452769</v>
      </c>
      <c r="N1280" s="52" t="e">
        <f ca="1">SUMIFS(OUT!$F$2:$F$11000,OUT!$H$2:$H$101007,H1280,OUT!$D$2:$D$11000,"Out",OUT!$E$2:$E$11000,"Jajan")</f>
        <v>#VALUE!</v>
      </c>
      <c r="O1280" s="52">
        <f ca="1">SUMIFS(OUT!$F$2:$F$11000,OUT!$H$2:$H$11000,H1280,OUT!$D$2:$D$11000,"Out",OUT!$E$2:$E$11000,"Kitchen")</f>
        <v>1584204</v>
      </c>
      <c r="P1280" s="52">
        <f ca="1">SUMIFS(OUT!$F$2:$F$11000,OUT!$H$2:$H$11000,H1280,OUT!$D$2:$D$11000,"Out",OUT!$E$2:$E$11000,"Loandry")</f>
        <v>43448</v>
      </c>
      <c r="Q1280" s="52">
        <f ca="1">SUMIFS(OUT!$F$2:$F$11000,OUT!$H$2:$H$11000,H1280,OUT!$D$2:$D$11000,"Out",OUT!$E$2:$E$11000,"Mio")</f>
        <v>329000</v>
      </c>
      <c r="R1280" s="52">
        <f ca="1">SUMIFS(OUT!$F$2:$F$11000,OUT!$H$2:$H$11000,H1280,OUT!$D$2:$D$11000,"Out",OUT!$E$2:$E$11000,"Sedekah")</f>
        <v>5000</v>
      </c>
      <c r="S1280" s="52">
        <f ca="1">SUMIFS(OUT!$F$2:$F$11000,OUT!$H$2:$H$11000,H1280,OUT!$D$2:$D$11000,"Out",OUT!$E$2:$E$11000,"Zela")</f>
        <v>40500</v>
      </c>
      <c r="T1280" s="52">
        <f ca="1">SUMIFS(OUT!$F$2:$F$11000,OUT!$H$2:$H$11000,H1280,OUT!$D$2:$D$11000,"Out",OUT!$E$2:$E$11000,"Iqbal")</f>
        <v>295000</v>
      </c>
    </row>
    <row r="1281" spans="1:20" x14ac:dyDescent="0.2">
      <c r="A1281" s="48">
        <f ca="1">IFERROR(__xludf.DUMMYFUNCTION("""COMPUTED_VALUE"""),46256)</f>
        <v>46256</v>
      </c>
      <c r="B1281" s="4" t="str">
        <f ca="1">IFERROR(__xludf.DUMMYFUNCTION("""COMPUTED_VALUE"""),"terima tunai")</f>
        <v>terima tunai</v>
      </c>
      <c r="C1281" s="4" t="str">
        <f ca="1">IFERROR(__xludf.DUMMYFUNCTION("""COMPUTED_VALUE"""),"Cash")</f>
        <v>Cash</v>
      </c>
      <c r="D1281" s="4" t="str">
        <f ca="1">IFERROR(__xludf.DUMMYFUNCTION("""COMPUTED_VALUE"""),"In")</f>
        <v>In</v>
      </c>
      <c r="E1281" s="4" t="str">
        <f ca="1">IFERROR(__xludf.DUMMYFUNCTION("""COMPUTED_VALUE"""),"Move")</f>
        <v>Move</v>
      </c>
      <c r="F1281" s="49">
        <f ca="1">IFERROR(__xludf.DUMMYFUNCTION("""COMPUTED_VALUE"""),150000)</f>
        <v>150000</v>
      </c>
      <c r="G1281" s="50" t="str">
        <f ca="1">IFERROR(__xludf.DUMMYFUNCTION("""COMPUTED_VALUE"""),"Zela")</f>
        <v>Zela</v>
      </c>
      <c r="H1281" s="51">
        <f t="shared" ca="1" si="0"/>
        <v>46235</v>
      </c>
      <c r="I1281" s="52" t="e">
        <f ca="1">SUMIFS(OUT!$F$2:$F$11000,OUT!$H$2:$H$11000,H1281,OUT!$D$2:$D$101007,"In")</f>
        <v>#VALUE!</v>
      </c>
      <c r="J1281" s="52">
        <f ca="1">SUMIFS(OUT!$F$2:$F$11000,OUT!$H$2:$H$11000,H1281,OUT!$D$2:$D$11000,"Out")</f>
        <v>9573570</v>
      </c>
      <c r="K1281" s="52">
        <f ca="1">SUMIFS(OUT!$F$2:$F$11000,OUT!$H$2:$H$11000,H1281,OUT!$D$2:$D$11000,"Out",OUT!$E$2:$E$11000,"Fix")</f>
        <v>2533689</v>
      </c>
      <c r="L1281" s="52">
        <f ca="1">SUMIFS(OUT!$F$2:$F$11000,OUT!$H$2:$H$11000,H1281,OUT!$D$2:$D$11000,"Out",OUT!$E$2:$E$11000,"Bathroom")</f>
        <v>14491</v>
      </c>
      <c r="M1281" s="52">
        <f ca="1">SUMIFS(OUT!$F$2:$F$11000,OUT!$H$2:$H$11000,H1281,OUT!$D$2:$D$11000,"Out",OUT!$E$2:$E$11000,"Alfa")</f>
        <v>452769</v>
      </c>
      <c r="N1281" s="52" t="e">
        <f ca="1">SUMIFS(OUT!$F$2:$F$11000,OUT!$H$2:$H$101007,H1281,OUT!$D$2:$D$11000,"Out",OUT!$E$2:$E$11000,"Jajan")</f>
        <v>#VALUE!</v>
      </c>
      <c r="O1281" s="52">
        <f ca="1">SUMIFS(OUT!$F$2:$F$11000,OUT!$H$2:$H$11000,H1281,OUT!$D$2:$D$11000,"Out",OUT!$E$2:$E$11000,"Kitchen")</f>
        <v>1584204</v>
      </c>
      <c r="P1281" s="52">
        <f ca="1">SUMIFS(OUT!$F$2:$F$11000,OUT!$H$2:$H$11000,H1281,OUT!$D$2:$D$11000,"Out",OUT!$E$2:$E$11000,"Loandry")</f>
        <v>43448</v>
      </c>
      <c r="Q1281" s="52">
        <f ca="1">SUMIFS(OUT!$F$2:$F$11000,OUT!$H$2:$H$11000,H1281,OUT!$D$2:$D$11000,"Out",OUT!$E$2:$E$11000,"Mio")</f>
        <v>329000</v>
      </c>
      <c r="R1281" s="52">
        <f ca="1">SUMIFS(OUT!$F$2:$F$11000,OUT!$H$2:$H$11000,H1281,OUT!$D$2:$D$11000,"Out",OUT!$E$2:$E$11000,"Sedekah")</f>
        <v>5000</v>
      </c>
      <c r="S1281" s="52">
        <f ca="1">SUMIFS(OUT!$F$2:$F$11000,OUT!$H$2:$H$11000,H1281,OUT!$D$2:$D$11000,"Out",OUT!$E$2:$E$11000,"Zela")</f>
        <v>40500</v>
      </c>
      <c r="T1281" s="52">
        <f ca="1">SUMIFS(OUT!$F$2:$F$11000,OUT!$H$2:$H$11000,H1281,OUT!$D$2:$D$11000,"Out",OUT!$E$2:$E$11000,"Iqbal")</f>
        <v>295000</v>
      </c>
    </row>
    <row r="1282" spans="1:20" x14ac:dyDescent="0.2">
      <c r="A1282" s="48">
        <f ca="1">IFERROR(__xludf.DUMMYFUNCTION("""COMPUTED_VALUE"""),46256)</f>
        <v>46256</v>
      </c>
      <c r="B1282" s="4" t="str">
        <f ca="1">IFERROR(__xludf.DUMMYFUNCTION("""COMPUTED_VALUE"""),"Suamiku ")</f>
        <v xml:space="preserve">Suamiku </v>
      </c>
      <c r="C1282" s="4" t="str">
        <f ca="1">IFERROR(__xludf.DUMMYFUNCTION("""COMPUTED_VALUE"""),"Cash")</f>
        <v>Cash</v>
      </c>
      <c r="D1282" s="4" t="str">
        <f ca="1">IFERROR(__xludf.DUMMYFUNCTION("""COMPUTED_VALUE"""),"Out")</f>
        <v>Out</v>
      </c>
      <c r="E1282" s="4" t="str">
        <f ca="1">IFERROR(__xludf.DUMMYFUNCTION("""COMPUTED_VALUE"""),"Jajan")</f>
        <v>Jajan</v>
      </c>
      <c r="F1282" s="49">
        <f ca="1">IFERROR(__xludf.DUMMYFUNCTION("""COMPUTED_VALUE"""),12000)</f>
        <v>12000</v>
      </c>
      <c r="G1282" s="50" t="str">
        <f ca="1">IFERROR(__xludf.DUMMYFUNCTION("""COMPUTED_VALUE"""),"Zela")</f>
        <v>Zela</v>
      </c>
      <c r="H1282" s="51">
        <f t="shared" ca="1" si="0"/>
        <v>46235</v>
      </c>
      <c r="I1282" s="52" t="e">
        <f ca="1">SUMIFS(OUT!$F$2:$F$11000,OUT!$H$2:$H$11000,H1282,OUT!$D$2:$D$101007,"In")</f>
        <v>#VALUE!</v>
      </c>
      <c r="J1282" s="52">
        <f ca="1">SUMIFS(OUT!$F$2:$F$11000,OUT!$H$2:$H$11000,H1282,OUT!$D$2:$D$11000,"Out")</f>
        <v>9573570</v>
      </c>
      <c r="K1282" s="52">
        <f ca="1">SUMIFS(OUT!$F$2:$F$11000,OUT!$H$2:$H$11000,H1282,OUT!$D$2:$D$11000,"Out",OUT!$E$2:$E$11000,"Fix")</f>
        <v>2533689</v>
      </c>
      <c r="L1282" s="52">
        <f ca="1">SUMIFS(OUT!$F$2:$F$11000,OUT!$H$2:$H$11000,H1282,OUT!$D$2:$D$11000,"Out",OUT!$E$2:$E$11000,"Bathroom")</f>
        <v>14491</v>
      </c>
      <c r="M1282" s="52">
        <f ca="1">SUMIFS(OUT!$F$2:$F$11000,OUT!$H$2:$H$11000,H1282,OUT!$D$2:$D$11000,"Out",OUT!$E$2:$E$11000,"Alfa")</f>
        <v>452769</v>
      </c>
      <c r="N1282" s="52" t="e">
        <f ca="1">SUMIFS(OUT!$F$2:$F$11000,OUT!$H$2:$H$101007,H1282,OUT!$D$2:$D$11000,"Out",OUT!$E$2:$E$11000,"Jajan")</f>
        <v>#VALUE!</v>
      </c>
      <c r="O1282" s="52">
        <f ca="1">SUMIFS(OUT!$F$2:$F$11000,OUT!$H$2:$H$11000,H1282,OUT!$D$2:$D$11000,"Out",OUT!$E$2:$E$11000,"Kitchen")</f>
        <v>1584204</v>
      </c>
      <c r="P1282" s="52">
        <f ca="1">SUMIFS(OUT!$F$2:$F$11000,OUT!$H$2:$H$11000,H1282,OUT!$D$2:$D$11000,"Out",OUT!$E$2:$E$11000,"Loandry")</f>
        <v>43448</v>
      </c>
      <c r="Q1282" s="52">
        <f ca="1">SUMIFS(OUT!$F$2:$F$11000,OUT!$H$2:$H$11000,H1282,OUT!$D$2:$D$11000,"Out",OUT!$E$2:$E$11000,"Mio")</f>
        <v>329000</v>
      </c>
      <c r="R1282" s="52">
        <f ca="1">SUMIFS(OUT!$F$2:$F$11000,OUT!$H$2:$H$11000,H1282,OUT!$D$2:$D$11000,"Out",OUT!$E$2:$E$11000,"Sedekah")</f>
        <v>5000</v>
      </c>
      <c r="S1282" s="52">
        <f ca="1">SUMIFS(OUT!$F$2:$F$11000,OUT!$H$2:$H$11000,H1282,OUT!$D$2:$D$11000,"Out",OUT!$E$2:$E$11000,"Zela")</f>
        <v>40500</v>
      </c>
      <c r="T1282" s="52">
        <f ca="1">SUMIFS(OUT!$F$2:$F$11000,OUT!$H$2:$H$11000,H1282,OUT!$D$2:$D$11000,"Out",OUT!$E$2:$E$11000,"Iqbal")</f>
        <v>295000</v>
      </c>
    </row>
    <row r="1283" spans="1:20" x14ac:dyDescent="0.2">
      <c r="A1283" s="48">
        <f ca="1">IFERROR(__xludf.DUMMYFUNCTION("""COMPUTED_VALUE"""),46258)</f>
        <v>46258</v>
      </c>
      <c r="B1283" s="4" t="str">
        <f ca="1">IFERROR(__xludf.DUMMYFUNCTION("""COMPUTED_VALUE"""),"Bensin ")</f>
        <v xml:space="preserve">Bensin </v>
      </c>
      <c r="C1283" s="4" t="str">
        <f ca="1">IFERROR(__xludf.DUMMYFUNCTION("""COMPUTED_VALUE"""),"Cash")</f>
        <v>Cash</v>
      </c>
      <c r="D1283" s="4" t="str">
        <f ca="1">IFERROR(__xludf.DUMMYFUNCTION("""COMPUTED_VALUE"""),"Out")</f>
        <v>Out</v>
      </c>
      <c r="E1283" s="4" t="str">
        <f ca="1">IFERROR(__xludf.DUMMYFUNCTION("""COMPUTED_VALUE"""),"Mio")</f>
        <v>Mio</v>
      </c>
      <c r="F1283" s="49">
        <f ca="1">IFERROR(__xludf.DUMMYFUNCTION("""COMPUTED_VALUE"""),20000)</f>
        <v>20000</v>
      </c>
      <c r="G1283" s="50" t="str">
        <f ca="1">IFERROR(__xludf.DUMMYFUNCTION("""COMPUTED_VALUE"""),"Zela")</f>
        <v>Zela</v>
      </c>
      <c r="H1283" s="51">
        <f t="shared" ca="1" si="0"/>
        <v>46235</v>
      </c>
      <c r="I1283" s="52" t="e">
        <f ca="1">SUMIFS(OUT!$F$2:$F$11000,OUT!$H$2:$H$11000,H1283,OUT!$D$2:$D$101007,"In")</f>
        <v>#VALUE!</v>
      </c>
      <c r="J1283" s="52">
        <f ca="1">SUMIFS(OUT!$F$2:$F$11000,OUT!$H$2:$H$11000,H1283,OUT!$D$2:$D$11000,"Out")</f>
        <v>9573570</v>
      </c>
      <c r="K1283" s="52">
        <f ca="1">SUMIFS(OUT!$F$2:$F$11000,OUT!$H$2:$H$11000,H1283,OUT!$D$2:$D$11000,"Out",OUT!$E$2:$E$11000,"Fix")</f>
        <v>2533689</v>
      </c>
      <c r="L1283" s="52">
        <f ca="1">SUMIFS(OUT!$F$2:$F$11000,OUT!$H$2:$H$11000,H1283,OUT!$D$2:$D$11000,"Out",OUT!$E$2:$E$11000,"Bathroom")</f>
        <v>14491</v>
      </c>
      <c r="M1283" s="52">
        <f ca="1">SUMIFS(OUT!$F$2:$F$11000,OUT!$H$2:$H$11000,H1283,OUT!$D$2:$D$11000,"Out",OUT!$E$2:$E$11000,"Alfa")</f>
        <v>452769</v>
      </c>
      <c r="N1283" s="52" t="e">
        <f ca="1">SUMIFS(OUT!$F$2:$F$11000,OUT!$H$2:$H$101007,H1283,OUT!$D$2:$D$11000,"Out",OUT!$E$2:$E$11000,"Jajan")</f>
        <v>#VALUE!</v>
      </c>
      <c r="O1283" s="52">
        <f ca="1">SUMIFS(OUT!$F$2:$F$11000,OUT!$H$2:$H$11000,H1283,OUT!$D$2:$D$11000,"Out",OUT!$E$2:$E$11000,"Kitchen")</f>
        <v>1584204</v>
      </c>
      <c r="P1283" s="52">
        <f ca="1">SUMIFS(OUT!$F$2:$F$11000,OUT!$H$2:$H$11000,H1283,OUT!$D$2:$D$11000,"Out",OUT!$E$2:$E$11000,"Loandry")</f>
        <v>43448</v>
      </c>
      <c r="Q1283" s="52">
        <f ca="1">SUMIFS(OUT!$F$2:$F$11000,OUT!$H$2:$H$11000,H1283,OUT!$D$2:$D$11000,"Out",OUT!$E$2:$E$11000,"Mio")</f>
        <v>329000</v>
      </c>
      <c r="R1283" s="52">
        <f ca="1">SUMIFS(OUT!$F$2:$F$11000,OUT!$H$2:$H$11000,H1283,OUT!$D$2:$D$11000,"Out",OUT!$E$2:$E$11000,"Sedekah")</f>
        <v>5000</v>
      </c>
      <c r="S1283" s="52">
        <f ca="1">SUMIFS(OUT!$F$2:$F$11000,OUT!$H$2:$H$11000,H1283,OUT!$D$2:$D$11000,"Out",OUT!$E$2:$E$11000,"Zela")</f>
        <v>40500</v>
      </c>
      <c r="T1283" s="52">
        <f ca="1">SUMIFS(OUT!$F$2:$F$11000,OUT!$H$2:$H$11000,H1283,OUT!$D$2:$D$11000,"Out",OUT!$E$2:$E$11000,"Iqbal")</f>
        <v>295000</v>
      </c>
    </row>
    <row r="1284" spans="1:20" x14ac:dyDescent="0.2">
      <c r="A1284" s="48">
        <f ca="1">IFERROR(__xludf.DUMMYFUNCTION("""COMPUTED_VALUE"""),46259)</f>
        <v>46259</v>
      </c>
      <c r="B1284" s="4" t="str">
        <f ca="1">IFERROR(__xludf.DUMMYFUNCTION("""COMPUTED_VALUE"""),"Galon ")</f>
        <v xml:space="preserve">Galon </v>
      </c>
      <c r="C1284" s="4" t="str">
        <f ca="1">IFERROR(__xludf.DUMMYFUNCTION("""COMPUTED_VALUE"""),"Cash")</f>
        <v>Cash</v>
      </c>
      <c r="D1284" s="4" t="str">
        <f ca="1">IFERROR(__xludf.DUMMYFUNCTION("""COMPUTED_VALUE"""),"Out")</f>
        <v>Out</v>
      </c>
      <c r="E1284" s="4" t="str">
        <f ca="1">IFERROR(__xludf.DUMMYFUNCTION("""COMPUTED_VALUE"""),"Kitchen")</f>
        <v>Kitchen</v>
      </c>
      <c r="F1284" s="49">
        <f ca="1">IFERROR(__xludf.DUMMYFUNCTION("""COMPUTED_VALUE"""),3000)</f>
        <v>3000</v>
      </c>
      <c r="G1284" s="50" t="str">
        <f ca="1">IFERROR(__xludf.DUMMYFUNCTION("""COMPUTED_VALUE"""),"Zela")</f>
        <v>Zela</v>
      </c>
      <c r="H1284" s="51">
        <f t="shared" ca="1" si="0"/>
        <v>46235</v>
      </c>
      <c r="I1284" s="52" t="e">
        <f ca="1">SUMIFS(OUT!$F$2:$F$11000,OUT!$H$2:$H$11000,H1284,OUT!$D$2:$D$101007,"In")</f>
        <v>#VALUE!</v>
      </c>
      <c r="J1284" s="52">
        <f ca="1">SUMIFS(OUT!$F$2:$F$11000,OUT!$H$2:$H$11000,H1284,OUT!$D$2:$D$11000,"Out")</f>
        <v>9573570</v>
      </c>
      <c r="K1284" s="52">
        <f ca="1">SUMIFS(OUT!$F$2:$F$11000,OUT!$H$2:$H$11000,H1284,OUT!$D$2:$D$11000,"Out",OUT!$E$2:$E$11000,"Fix")</f>
        <v>2533689</v>
      </c>
      <c r="L1284" s="52">
        <f ca="1">SUMIFS(OUT!$F$2:$F$11000,OUT!$H$2:$H$11000,H1284,OUT!$D$2:$D$11000,"Out",OUT!$E$2:$E$11000,"Bathroom")</f>
        <v>14491</v>
      </c>
      <c r="M1284" s="52">
        <f ca="1">SUMIFS(OUT!$F$2:$F$11000,OUT!$H$2:$H$11000,H1284,OUT!$D$2:$D$11000,"Out",OUT!$E$2:$E$11000,"Alfa")</f>
        <v>452769</v>
      </c>
      <c r="N1284" s="52" t="e">
        <f ca="1">SUMIFS(OUT!$F$2:$F$11000,OUT!$H$2:$H$101007,H1284,OUT!$D$2:$D$11000,"Out",OUT!$E$2:$E$11000,"Jajan")</f>
        <v>#VALUE!</v>
      </c>
      <c r="O1284" s="52">
        <f ca="1">SUMIFS(OUT!$F$2:$F$11000,OUT!$H$2:$H$11000,H1284,OUT!$D$2:$D$11000,"Out",OUT!$E$2:$E$11000,"Kitchen")</f>
        <v>1584204</v>
      </c>
      <c r="P1284" s="52">
        <f ca="1">SUMIFS(OUT!$F$2:$F$11000,OUT!$H$2:$H$11000,H1284,OUT!$D$2:$D$11000,"Out",OUT!$E$2:$E$11000,"Loandry")</f>
        <v>43448</v>
      </c>
      <c r="Q1284" s="52">
        <f ca="1">SUMIFS(OUT!$F$2:$F$11000,OUT!$H$2:$H$11000,H1284,OUT!$D$2:$D$11000,"Out",OUT!$E$2:$E$11000,"Mio")</f>
        <v>329000</v>
      </c>
      <c r="R1284" s="52">
        <f ca="1">SUMIFS(OUT!$F$2:$F$11000,OUT!$H$2:$H$11000,H1284,OUT!$D$2:$D$11000,"Out",OUT!$E$2:$E$11000,"Sedekah")</f>
        <v>5000</v>
      </c>
      <c r="S1284" s="52">
        <f ca="1">SUMIFS(OUT!$F$2:$F$11000,OUT!$H$2:$H$11000,H1284,OUT!$D$2:$D$11000,"Out",OUT!$E$2:$E$11000,"Zela")</f>
        <v>40500</v>
      </c>
      <c r="T1284" s="52">
        <f ca="1">SUMIFS(OUT!$F$2:$F$11000,OUT!$H$2:$H$11000,H1284,OUT!$D$2:$D$11000,"Out",OUT!$E$2:$E$11000,"Iqbal")</f>
        <v>295000</v>
      </c>
    </row>
    <row r="1285" spans="1:20" x14ac:dyDescent="0.2">
      <c r="A1285" s="48">
        <f ca="1">IFERROR(__xludf.DUMMYFUNCTION("""COMPUTED_VALUE"""),46259)</f>
        <v>46259</v>
      </c>
      <c r="B1285" s="4" t="str">
        <f ca="1">IFERROR(__xludf.DUMMYFUNCTION("""COMPUTED_VALUE"""),"Grosir mie")</f>
        <v>Grosir mie</v>
      </c>
      <c r="C1285" s="4" t="str">
        <f ca="1">IFERROR(__xludf.DUMMYFUNCTION("""COMPUTED_VALUE"""),"Cash")</f>
        <v>Cash</v>
      </c>
      <c r="D1285" s="4" t="str">
        <f ca="1">IFERROR(__xludf.DUMMYFUNCTION("""COMPUTED_VALUE"""),"Out")</f>
        <v>Out</v>
      </c>
      <c r="E1285" s="4" t="str">
        <f ca="1">IFERROR(__xludf.DUMMYFUNCTION("""COMPUTED_VALUE"""),"Kitchen")</f>
        <v>Kitchen</v>
      </c>
      <c r="F1285" s="49">
        <f ca="1">IFERROR(__xludf.DUMMYFUNCTION("""COMPUTED_VALUE"""),10000)</f>
        <v>10000</v>
      </c>
      <c r="G1285" s="50" t="str">
        <f ca="1">IFERROR(__xludf.DUMMYFUNCTION("""COMPUTED_VALUE"""),"Zela")</f>
        <v>Zela</v>
      </c>
      <c r="H1285" s="51">
        <f t="shared" ca="1" si="0"/>
        <v>46235</v>
      </c>
      <c r="I1285" s="52" t="e">
        <f ca="1">SUMIFS(OUT!$F$2:$F$11000,OUT!$H$2:$H$11000,H1285,OUT!$D$2:$D$101007,"In")</f>
        <v>#VALUE!</v>
      </c>
      <c r="J1285" s="52">
        <f ca="1">SUMIFS(OUT!$F$2:$F$11000,OUT!$H$2:$H$11000,H1285,OUT!$D$2:$D$11000,"Out")</f>
        <v>9573570</v>
      </c>
      <c r="K1285" s="52">
        <f ca="1">SUMIFS(OUT!$F$2:$F$11000,OUT!$H$2:$H$11000,H1285,OUT!$D$2:$D$11000,"Out",OUT!$E$2:$E$11000,"Fix")</f>
        <v>2533689</v>
      </c>
      <c r="L1285" s="52">
        <f ca="1">SUMIFS(OUT!$F$2:$F$11000,OUT!$H$2:$H$11000,H1285,OUT!$D$2:$D$11000,"Out",OUT!$E$2:$E$11000,"Bathroom")</f>
        <v>14491</v>
      </c>
      <c r="M1285" s="52">
        <f ca="1">SUMIFS(OUT!$F$2:$F$11000,OUT!$H$2:$H$11000,H1285,OUT!$D$2:$D$11000,"Out",OUT!$E$2:$E$11000,"Alfa")</f>
        <v>452769</v>
      </c>
      <c r="N1285" s="52" t="e">
        <f ca="1">SUMIFS(OUT!$F$2:$F$11000,OUT!$H$2:$H$101007,H1285,OUT!$D$2:$D$11000,"Out",OUT!$E$2:$E$11000,"Jajan")</f>
        <v>#VALUE!</v>
      </c>
      <c r="O1285" s="52">
        <f ca="1">SUMIFS(OUT!$F$2:$F$11000,OUT!$H$2:$H$11000,H1285,OUT!$D$2:$D$11000,"Out",OUT!$E$2:$E$11000,"Kitchen")</f>
        <v>1584204</v>
      </c>
      <c r="P1285" s="52">
        <f ca="1">SUMIFS(OUT!$F$2:$F$11000,OUT!$H$2:$H$11000,H1285,OUT!$D$2:$D$11000,"Out",OUT!$E$2:$E$11000,"Loandry")</f>
        <v>43448</v>
      </c>
      <c r="Q1285" s="52">
        <f ca="1">SUMIFS(OUT!$F$2:$F$11000,OUT!$H$2:$H$11000,H1285,OUT!$D$2:$D$11000,"Out",OUT!$E$2:$E$11000,"Mio")</f>
        <v>329000</v>
      </c>
      <c r="R1285" s="52">
        <f ca="1">SUMIFS(OUT!$F$2:$F$11000,OUT!$H$2:$H$11000,H1285,OUT!$D$2:$D$11000,"Out",OUT!$E$2:$E$11000,"Sedekah")</f>
        <v>5000</v>
      </c>
      <c r="S1285" s="52">
        <f ca="1">SUMIFS(OUT!$F$2:$F$11000,OUT!$H$2:$H$11000,H1285,OUT!$D$2:$D$11000,"Out",OUT!$E$2:$E$11000,"Zela")</f>
        <v>40500</v>
      </c>
      <c r="T1285" s="52">
        <f ca="1">SUMIFS(OUT!$F$2:$F$11000,OUT!$H$2:$H$11000,H1285,OUT!$D$2:$D$11000,"Out",OUT!$E$2:$E$11000,"Iqbal")</f>
        <v>295000</v>
      </c>
    </row>
    <row r="1286" spans="1:20" x14ac:dyDescent="0.2">
      <c r="A1286" s="48">
        <f ca="1">IFERROR(__xludf.DUMMYFUNCTION("""COMPUTED_VALUE"""),46258)</f>
        <v>46258</v>
      </c>
      <c r="B1286" s="4" t="str">
        <f ca="1">IFERROR(__xludf.DUMMYFUNCTION("""COMPUTED_VALUE"""),"jjan alfa")</f>
        <v>jjan alfa</v>
      </c>
      <c r="C1286" s="4" t="str">
        <f ca="1">IFERROR(__xludf.DUMMYFUNCTION("""COMPUTED_VALUE"""),"Cash")</f>
        <v>Cash</v>
      </c>
      <c r="D1286" s="4" t="str">
        <f ca="1">IFERROR(__xludf.DUMMYFUNCTION("""COMPUTED_VALUE"""),"Out")</f>
        <v>Out</v>
      </c>
      <c r="E1286" s="4" t="str">
        <f ca="1">IFERROR(__xludf.DUMMYFUNCTION("""COMPUTED_VALUE"""),"Jajan")</f>
        <v>Jajan</v>
      </c>
      <c r="F1286" s="49">
        <f ca="1">IFERROR(__xludf.DUMMYFUNCTION("""COMPUTED_VALUE"""),5000)</f>
        <v>5000</v>
      </c>
      <c r="G1286" s="50" t="str">
        <f ca="1">IFERROR(__xludf.DUMMYFUNCTION("""COMPUTED_VALUE"""),"Zela")</f>
        <v>Zela</v>
      </c>
      <c r="H1286" s="51">
        <f t="shared" ca="1" si="0"/>
        <v>46235</v>
      </c>
      <c r="I1286" s="52" t="e">
        <f ca="1">SUMIFS(OUT!$F$2:$F$11000,OUT!$H$2:$H$11000,H1286,OUT!$D$2:$D$101007,"In")</f>
        <v>#VALUE!</v>
      </c>
      <c r="J1286" s="52">
        <f ca="1">SUMIFS(OUT!$F$2:$F$11000,OUT!$H$2:$H$11000,H1286,OUT!$D$2:$D$11000,"Out")</f>
        <v>9573570</v>
      </c>
      <c r="K1286" s="52">
        <f ca="1">SUMIFS(OUT!$F$2:$F$11000,OUT!$H$2:$H$11000,H1286,OUT!$D$2:$D$11000,"Out",OUT!$E$2:$E$11000,"Fix")</f>
        <v>2533689</v>
      </c>
      <c r="L1286" s="52">
        <f ca="1">SUMIFS(OUT!$F$2:$F$11000,OUT!$H$2:$H$11000,H1286,OUT!$D$2:$D$11000,"Out",OUT!$E$2:$E$11000,"Bathroom")</f>
        <v>14491</v>
      </c>
      <c r="M1286" s="52">
        <f ca="1">SUMIFS(OUT!$F$2:$F$11000,OUT!$H$2:$H$11000,H1286,OUT!$D$2:$D$11000,"Out",OUT!$E$2:$E$11000,"Alfa")</f>
        <v>452769</v>
      </c>
      <c r="N1286" s="52" t="e">
        <f ca="1">SUMIFS(OUT!$F$2:$F$11000,OUT!$H$2:$H$101007,H1286,OUT!$D$2:$D$11000,"Out",OUT!$E$2:$E$11000,"Jajan")</f>
        <v>#VALUE!</v>
      </c>
      <c r="O1286" s="52">
        <f ca="1">SUMIFS(OUT!$F$2:$F$11000,OUT!$H$2:$H$11000,H1286,OUT!$D$2:$D$11000,"Out",OUT!$E$2:$E$11000,"Kitchen")</f>
        <v>1584204</v>
      </c>
      <c r="P1286" s="52">
        <f ca="1">SUMIFS(OUT!$F$2:$F$11000,OUT!$H$2:$H$11000,H1286,OUT!$D$2:$D$11000,"Out",OUT!$E$2:$E$11000,"Loandry")</f>
        <v>43448</v>
      </c>
      <c r="Q1286" s="52">
        <f ca="1">SUMIFS(OUT!$F$2:$F$11000,OUT!$H$2:$H$11000,H1286,OUT!$D$2:$D$11000,"Out",OUT!$E$2:$E$11000,"Mio")</f>
        <v>329000</v>
      </c>
      <c r="R1286" s="52">
        <f ca="1">SUMIFS(OUT!$F$2:$F$11000,OUT!$H$2:$H$11000,H1286,OUT!$D$2:$D$11000,"Out",OUT!$E$2:$E$11000,"Sedekah")</f>
        <v>5000</v>
      </c>
      <c r="S1286" s="52">
        <f ca="1">SUMIFS(OUT!$F$2:$F$11000,OUT!$H$2:$H$11000,H1286,OUT!$D$2:$D$11000,"Out",OUT!$E$2:$E$11000,"Zela")</f>
        <v>40500</v>
      </c>
      <c r="T1286" s="52">
        <f ca="1">SUMIFS(OUT!$F$2:$F$11000,OUT!$H$2:$H$11000,H1286,OUT!$D$2:$D$11000,"Out",OUT!$E$2:$E$11000,"Iqbal")</f>
        <v>295000</v>
      </c>
    </row>
    <row r="1287" spans="1:20" x14ac:dyDescent="0.2">
      <c r="A1287" s="48">
        <f ca="1">IFERROR(__xludf.DUMMYFUNCTION("""COMPUTED_VALUE"""),46258)</f>
        <v>46258</v>
      </c>
      <c r="B1287" s="4" t="str">
        <f ca="1">IFERROR(__xludf.DUMMYFUNCTION("""COMPUTED_VALUE"""),"sate")</f>
        <v>sate</v>
      </c>
      <c r="C1287" s="4" t="str">
        <f ca="1">IFERROR(__xludf.DUMMYFUNCTION("""COMPUTED_VALUE"""),"Cash")</f>
        <v>Cash</v>
      </c>
      <c r="D1287" s="4" t="str">
        <f ca="1">IFERROR(__xludf.DUMMYFUNCTION("""COMPUTED_VALUE"""),"Out")</f>
        <v>Out</v>
      </c>
      <c r="E1287" s="4" t="str">
        <f ca="1">IFERROR(__xludf.DUMMYFUNCTION("""COMPUTED_VALUE"""),"Jajan")</f>
        <v>Jajan</v>
      </c>
      <c r="F1287" s="49">
        <f ca="1">IFERROR(__xludf.DUMMYFUNCTION("""COMPUTED_VALUE"""),5000)</f>
        <v>5000</v>
      </c>
      <c r="G1287" s="50" t="str">
        <f ca="1">IFERROR(__xludf.DUMMYFUNCTION("""COMPUTED_VALUE"""),"Zela")</f>
        <v>Zela</v>
      </c>
      <c r="H1287" s="51">
        <f t="shared" ca="1" si="0"/>
        <v>46235</v>
      </c>
      <c r="I1287" s="52" t="e">
        <f ca="1">SUMIFS(OUT!$F$2:$F$11000,OUT!$H$2:$H$11000,H1287,OUT!$D$2:$D$101007,"In")</f>
        <v>#VALUE!</v>
      </c>
      <c r="J1287" s="52">
        <f ca="1">SUMIFS(OUT!$F$2:$F$11000,OUT!$H$2:$H$11000,H1287,OUT!$D$2:$D$11000,"Out")</f>
        <v>9573570</v>
      </c>
      <c r="K1287" s="52">
        <f ca="1">SUMIFS(OUT!$F$2:$F$11000,OUT!$H$2:$H$11000,H1287,OUT!$D$2:$D$11000,"Out",OUT!$E$2:$E$11000,"Fix")</f>
        <v>2533689</v>
      </c>
      <c r="L1287" s="52">
        <f ca="1">SUMIFS(OUT!$F$2:$F$11000,OUT!$H$2:$H$11000,H1287,OUT!$D$2:$D$11000,"Out",OUT!$E$2:$E$11000,"Bathroom")</f>
        <v>14491</v>
      </c>
      <c r="M1287" s="52">
        <f ca="1">SUMIFS(OUT!$F$2:$F$11000,OUT!$H$2:$H$11000,H1287,OUT!$D$2:$D$11000,"Out",OUT!$E$2:$E$11000,"Alfa")</f>
        <v>452769</v>
      </c>
      <c r="N1287" s="52" t="e">
        <f ca="1">SUMIFS(OUT!$F$2:$F$11000,OUT!$H$2:$H$101007,H1287,OUT!$D$2:$D$11000,"Out",OUT!$E$2:$E$11000,"Jajan")</f>
        <v>#VALUE!</v>
      </c>
      <c r="O1287" s="52">
        <f ca="1">SUMIFS(OUT!$F$2:$F$11000,OUT!$H$2:$H$11000,H1287,OUT!$D$2:$D$11000,"Out",OUT!$E$2:$E$11000,"Kitchen")</f>
        <v>1584204</v>
      </c>
      <c r="P1287" s="52">
        <f ca="1">SUMIFS(OUT!$F$2:$F$11000,OUT!$H$2:$H$11000,H1287,OUT!$D$2:$D$11000,"Out",OUT!$E$2:$E$11000,"Loandry")</f>
        <v>43448</v>
      </c>
      <c r="Q1287" s="52">
        <f ca="1">SUMIFS(OUT!$F$2:$F$11000,OUT!$H$2:$H$11000,H1287,OUT!$D$2:$D$11000,"Out",OUT!$E$2:$E$11000,"Mio")</f>
        <v>329000</v>
      </c>
      <c r="R1287" s="52">
        <f ca="1">SUMIFS(OUT!$F$2:$F$11000,OUT!$H$2:$H$11000,H1287,OUT!$D$2:$D$11000,"Out",OUT!$E$2:$E$11000,"Sedekah")</f>
        <v>5000</v>
      </c>
      <c r="S1287" s="52">
        <f ca="1">SUMIFS(OUT!$F$2:$F$11000,OUT!$H$2:$H$11000,H1287,OUT!$D$2:$D$11000,"Out",OUT!$E$2:$E$11000,"Zela")</f>
        <v>40500</v>
      </c>
      <c r="T1287" s="52">
        <f ca="1">SUMIFS(OUT!$F$2:$F$11000,OUT!$H$2:$H$11000,H1287,OUT!$D$2:$D$11000,"Out",OUT!$E$2:$E$11000,"Iqbal")</f>
        <v>295000</v>
      </c>
    </row>
    <row r="1288" spans="1:20" x14ac:dyDescent="0.2">
      <c r="A1288" s="48">
        <f ca="1">IFERROR(__xludf.DUMMYFUNCTION("""COMPUTED_VALUE"""),46258)</f>
        <v>46258</v>
      </c>
      <c r="B1288" s="4" t="str">
        <f ca="1">IFERROR(__xludf.DUMMYFUNCTION("""COMPUTED_VALUE"""),"Lupa catat")</f>
        <v>Lupa catat</v>
      </c>
      <c r="C1288" s="4" t="str">
        <f ca="1">IFERROR(__xludf.DUMMYFUNCTION("""COMPUTED_VALUE"""),"Cash")</f>
        <v>Cash</v>
      </c>
      <c r="D1288" s="4" t="str">
        <f ca="1">IFERROR(__xludf.DUMMYFUNCTION("""COMPUTED_VALUE"""),"Out")</f>
        <v>Out</v>
      </c>
      <c r="E1288" s="4" t="str">
        <f ca="1">IFERROR(__xludf.DUMMYFUNCTION("""COMPUTED_VALUE"""),"Jajan")</f>
        <v>Jajan</v>
      </c>
      <c r="F1288" s="49">
        <f ca="1">IFERROR(__xludf.DUMMYFUNCTION("""COMPUTED_VALUE"""),10000)</f>
        <v>10000</v>
      </c>
      <c r="G1288" s="50" t="str">
        <f ca="1">IFERROR(__xludf.DUMMYFUNCTION("""COMPUTED_VALUE"""),"Zela")</f>
        <v>Zela</v>
      </c>
      <c r="H1288" s="51">
        <f t="shared" ca="1" si="0"/>
        <v>46235</v>
      </c>
      <c r="I1288" s="52" t="e">
        <f ca="1">SUMIFS(OUT!$F$2:$F$11000,OUT!$H$2:$H$11000,H1288,OUT!$D$2:$D$101007,"In")</f>
        <v>#VALUE!</v>
      </c>
      <c r="J1288" s="52">
        <f ca="1">SUMIFS(OUT!$F$2:$F$11000,OUT!$H$2:$H$11000,H1288,OUT!$D$2:$D$11000,"Out")</f>
        <v>9573570</v>
      </c>
      <c r="K1288" s="52">
        <f ca="1">SUMIFS(OUT!$F$2:$F$11000,OUT!$H$2:$H$11000,H1288,OUT!$D$2:$D$11000,"Out",OUT!$E$2:$E$11000,"Fix")</f>
        <v>2533689</v>
      </c>
      <c r="L1288" s="52">
        <f ca="1">SUMIFS(OUT!$F$2:$F$11000,OUT!$H$2:$H$11000,H1288,OUT!$D$2:$D$11000,"Out",OUT!$E$2:$E$11000,"Bathroom")</f>
        <v>14491</v>
      </c>
      <c r="M1288" s="52">
        <f ca="1">SUMIFS(OUT!$F$2:$F$11000,OUT!$H$2:$H$11000,H1288,OUT!$D$2:$D$11000,"Out",OUT!$E$2:$E$11000,"Alfa")</f>
        <v>452769</v>
      </c>
      <c r="N1288" s="52" t="e">
        <f ca="1">SUMIFS(OUT!$F$2:$F$11000,OUT!$H$2:$H$101007,H1288,OUT!$D$2:$D$11000,"Out",OUT!$E$2:$E$11000,"Jajan")</f>
        <v>#VALUE!</v>
      </c>
      <c r="O1288" s="52">
        <f ca="1">SUMIFS(OUT!$F$2:$F$11000,OUT!$H$2:$H$11000,H1288,OUT!$D$2:$D$11000,"Out",OUT!$E$2:$E$11000,"Kitchen")</f>
        <v>1584204</v>
      </c>
      <c r="P1288" s="52">
        <f ca="1">SUMIFS(OUT!$F$2:$F$11000,OUT!$H$2:$H$11000,H1288,OUT!$D$2:$D$11000,"Out",OUT!$E$2:$E$11000,"Loandry")</f>
        <v>43448</v>
      </c>
      <c r="Q1288" s="52">
        <f ca="1">SUMIFS(OUT!$F$2:$F$11000,OUT!$H$2:$H$11000,H1288,OUT!$D$2:$D$11000,"Out",OUT!$E$2:$E$11000,"Mio")</f>
        <v>329000</v>
      </c>
      <c r="R1288" s="52">
        <f ca="1">SUMIFS(OUT!$F$2:$F$11000,OUT!$H$2:$H$11000,H1288,OUT!$D$2:$D$11000,"Out",OUT!$E$2:$E$11000,"Sedekah")</f>
        <v>5000</v>
      </c>
      <c r="S1288" s="52">
        <f ca="1">SUMIFS(OUT!$F$2:$F$11000,OUT!$H$2:$H$11000,H1288,OUT!$D$2:$D$11000,"Out",OUT!$E$2:$E$11000,"Zela")</f>
        <v>40500</v>
      </c>
      <c r="T1288" s="52">
        <f ca="1">SUMIFS(OUT!$F$2:$F$11000,OUT!$H$2:$H$11000,H1288,OUT!$D$2:$D$11000,"Out",OUT!$E$2:$E$11000,"Iqbal")</f>
        <v>295000</v>
      </c>
    </row>
    <row r="1289" spans="1:20" x14ac:dyDescent="0.2">
      <c r="A1289" s="48">
        <f ca="1">IFERROR(__xludf.DUMMYFUNCTION("""COMPUTED_VALUE"""),46259)</f>
        <v>46259</v>
      </c>
      <c r="B1289" s="4" t="str">
        <f ca="1">IFERROR(__xludf.DUMMYFUNCTION("""COMPUTED_VALUE"""),"pasar Kaget ")</f>
        <v xml:space="preserve">pasar Kaget </v>
      </c>
      <c r="C1289" s="4" t="str">
        <f ca="1">IFERROR(__xludf.DUMMYFUNCTION("""COMPUTED_VALUE"""),"Cash")</f>
        <v>Cash</v>
      </c>
      <c r="D1289" s="4" t="str">
        <f ca="1">IFERROR(__xludf.DUMMYFUNCTION("""COMPUTED_VALUE"""),"Out")</f>
        <v>Out</v>
      </c>
      <c r="E1289" s="4" t="str">
        <f ca="1">IFERROR(__xludf.DUMMYFUNCTION("""COMPUTED_VALUE"""),"Kitchen")</f>
        <v>Kitchen</v>
      </c>
      <c r="F1289" s="49">
        <f ca="1">IFERROR(__xludf.DUMMYFUNCTION("""COMPUTED_VALUE"""),82000)</f>
        <v>82000</v>
      </c>
      <c r="G1289" s="50" t="str">
        <f ca="1">IFERROR(__xludf.DUMMYFUNCTION("""COMPUTED_VALUE"""),"Zela")</f>
        <v>Zela</v>
      </c>
      <c r="H1289" s="51">
        <f t="shared" ca="1" si="0"/>
        <v>46235</v>
      </c>
      <c r="I1289" s="52" t="e">
        <f ca="1">SUMIFS(OUT!$F$2:$F$11000,OUT!$H$2:$H$11000,H1289,OUT!$D$2:$D$101007,"In")</f>
        <v>#VALUE!</v>
      </c>
      <c r="J1289" s="52">
        <f ca="1">SUMIFS(OUT!$F$2:$F$11000,OUT!$H$2:$H$11000,H1289,OUT!$D$2:$D$11000,"Out")</f>
        <v>9573570</v>
      </c>
      <c r="K1289" s="52">
        <f ca="1">SUMIFS(OUT!$F$2:$F$11000,OUT!$H$2:$H$11000,H1289,OUT!$D$2:$D$11000,"Out",OUT!$E$2:$E$11000,"Fix")</f>
        <v>2533689</v>
      </c>
      <c r="L1289" s="52">
        <f ca="1">SUMIFS(OUT!$F$2:$F$11000,OUT!$H$2:$H$11000,H1289,OUT!$D$2:$D$11000,"Out",OUT!$E$2:$E$11000,"Bathroom")</f>
        <v>14491</v>
      </c>
      <c r="M1289" s="52">
        <f ca="1">SUMIFS(OUT!$F$2:$F$11000,OUT!$H$2:$H$11000,H1289,OUT!$D$2:$D$11000,"Out",OUT!$E$2:$E$11000,"Alfa")</f>
        <v>452769</v>
      </c>
      <c r="N1289" s="52" t="e">
        <f ca="1">SUMIFS(OUT!$F$2:$F$11000,OUT!$H$2:$H$101007,H1289,OUT!$D$2:$D$11000,"Out",OUT!$E$2:$E$11000,"Jajan")</f>
        <v>#VALUE!</v>
      </c>
      <c r="O1289" s="52">
        <f ca="1">SUMIFS(OUT!$F$2:$F$11000,OUT!$H$2:$H$11000,H1289,OUT!$D$2:$D$11000,"Out",OUT!$E$2:$E$11000,"Kitchen")</f>
        <v>1584204</v>
      </c>
      <c r="P1289" s="52">
        <f ca="1">SUMIFS(OUT!$F$2:$F$11000,OUT!$H$2:$H$11000,H1289,OUT!$D$2:$D$11000,"Out",OUT!$E$2:$E$11000,"Loandry")</f>
        <v>43448</v>
      </c>
      <c r="Q1289" s="52">
        <f ca="1">SUMIFS(OUT!$F$2:$F$11000,OUT!$H$2:$H$11000,H1289,OUT!$D$2:$D$11000,"Out",OUT!$E$2:$E$11000,"Mio")</f>
        <v>329000</v>
      </c>
      <c r="R1289" s="52">
        <f ca="1">SUMIFS(OUT!$F$2:$F$11000,OUT!$H$2:$H$11000,H1289,OUT!$D$2:$D$11000,"Out",OUT!$E$2:$E$11000,"Sedekah")</f>
        <v>5000</v>
      </c>
      <c r="S1289" s="52">
        <f ca="1">SUMIFS(OUT!$F$2:$F$11000,OUT!$H$2:$H$11000,H1289,OUT!$D$2:$D$11000,"Out",OUT!$E$2:$E$11000,"Zela")</f>
        <v>40500</v>
      </c>
      <c r="T1289" s="52">
        <f ca="1">SUMIFS(OUT!$F$2:$F$11000,OUT!$H$2:$H$11000,H1289,OUT!$D$2:$D$11000,"Out",OUT!$E$2:$E$11000,"Iqbal")</f>
        <v>295000</v>
      </c>
    </row>
    <row r="1290" spans="1:20" x14ac:dyDescent="0.2">
      <c r="A1290" s="48">
        <f ca="1">IFERROR(__xludf.DUMMYFUNCTION("""COMPUTED_VALUE"""),46260)</f>
        <v>46260</v>
      </c>
      <c r="B1290" s="4" t="str">
        <f ca="1">IFERROR(__xludf.DUMMYFUNCTION("""COMPUTED_VALUE"""),"Suamiku")</f>
        <v>Suamiku</v>
      </c>
      <c r="C1290" s="4" t="str">
        <f ca="1">IFERROR(__xludf.DUMMYFUNCTION("""COMPUTED_VALUE"""),"ATM")</f>
        <v>ATM</v>
      </c>
      <c r="D1290" s="4" t="str">
        <f ca="1">IFERROR(__xludf.DUMMYFUNCTION("""COMPUTED_VALUE"""),"In")</f>
        <v>In</v>
      </c>
      <c r="E1290" s="4" t="str">
        <f ca="1">IFERROR(__xludf.DUMMYFUNCTION("""COMPUTED_VALUE"""),"Fix")</f>
        <v>Fix</v>
      </c>
      <c r="F1290" s="49">
        <f ca="1">IFERROR(__xludf.DUMMYFUNCTION("""COMPUTED_VALUE"""),309000)</f>
        <v>309000</v>
      </c>
      <c r="G1290" s="50" t="str">
        <f ca="1">IFERROR(__xludf.DUMMYFUNCTION("""COMPUTED_VALUE"""),"Zela")</f>
        <v>Zela</v>
      </c>
      <c r="H1290" s="51">
        <f t="shared" ca="1" si="0"/>
        <v>46235</v>
      </c>
      <c r="I1290" s="52" t="e">
        <f ca="1">SUMIFS(OUT!$F$2:$F$11000,OUT!$H$2:$H$11000,H1290,OUT!$D$2:$D$101007,"In")</f>
        <v>#VALUE!</v>
      </c>
      <c r="J1290" s="52">
        <f ca="1">SUMIFS(OUT!$F$2:$F$11000,OUT!$H$2:$H$11000,H1290,OUT!$D$2:$D$11000,"Out")</f>
        <v>9573570</v>
      </c>
      <c r="K1290" s="52">
        <f ca="1">SUMIFS(OUT!$F$2:$F$11000,OUT!$H$2:$H$11000,H1290,OUT!$D$2:$D$11000,"Out",OUT!$E$2:$E$11000,"Fix")</f>
        <v>2533689</v>
      </c>
      <c r="L1290" s="52">
        <f ca="1">SUMIFS(OUT!$F$2:$F$11000,OUT!$H$2:$H$11000,H1290,OUT!$D$2:$D$11000,"Out",OUT!$E$2:$E$11000,"Bathroom")</f>
        <v>14491</v>
      </c>
      <c r="M1290" s="52">
        <f ca="1">SUMIFS(OUT!$F$2:$F$11000,OUT!$H$2:$H$11000,H1290,OUT!$D$2:$D$11000,"Out",OUT!$E$2:$E$11000,"Alfa")</f>
        <v>452769</v>
      </c>
      <c r="N1290" s="52" t="e">
        <f ca="1">SUMIFS(OUT!$F$2:$F$11000,OUT!$H$2:$H$101007,H1290,OUT!$D$2:$D$11000,"Out",OUT!$E$2:$E$11000,"Jajan")</f>
        <v>#VALUE!</v>
      </c>
      <c r="O1290" s="52">
        <f ca="1">SUMIFS(OUT!$F$2:$F$11000,OUT!$H$2:$H$11000,H1290,OUT!$D$2:$D$11000,"Out",OUT!$E$2:$E$11000,"Kitchen")</f>
        <v>1584204</v>
      </c>
      <c r="P1290" s="52">
        <f ca="1">SUMIFS(OUT!$F$2:$F$11000,OUT!$H$2:$H$11000,H1290,OUT!$D$2:$D$11000,"Out",OUT!$E$2:$E$11000,"Loandry")</f>
        <v>43448</v>
      </c>
      <c r="Q1290" s="52">
        <f ca="1">SUMIFS(OUT!$F$2:$F$11000,OUT!$H$2:$H$11000,H1290,OUT!$D$2:$D$11000,"Out",OUT!$E$2:$E$11000,"Mio")</f>
        <v>329000</v>
      </c>
      <c r="R1290" s="52">
        <f ca="1">SUMIFS(OUT!$F$2:$F$11000,OUT!$H$2:$H$11000,H1290,OUT!$D$2:$D$11000,"Out",OUT!$E$2:$E$11000,"Sedekah")</f>
        <v>5000</v>
      </c>
      <c r="S1290" s="52">
        <f ca="1">SUMIFS(OUT!$F$2:$F$11000,OUT!$H$2:$H$11000,H1290,OUT!$D$2:$D$11000,"Out",OUT!$E$2:$E$11000,"Zela")</f>
        <v>40500</v>
      </c>
      <c r="T1290" s="52">
        <f ca="1">SUMIFS(OUT!$F$2:$F$11000,OUT!$H$2:$H$11000,H1290,OUT!$D$2:$D$11000,"Out",OUT!$E$2:$E$11000,"Iqbal")</f>
        <v>295000</v>
      </c>
    </row>
    <row r="1291" spans="1:20" x14ac:dyDescent="0.2">
      <c r="A1291" s="48">
        <f ca="1">IFERROR(__xludf.DUMMYFUNCTION("""COMPUTED_VALUE"""),46260)</f>
        <v>46260</v>
      </c>
      <c r="B1291" s="4" t="str">
        <f ca="1">IFERROR(__xludf.DUMMYFUNCTION("""COMPUTED_VALUE"""),"Tarik tunai ")</f>
        <v xml:space="preserve">Tarik tunai </v>
      </c>
      <c r="C1291" s="4" t="str">
        <f ca="1">IFERROR(__xludf.DUMMYFUNCTION("""COMPUTED_VALUE"""),"ATM")</f>
        <v>ATM</v>
      </c>
      <c r="D1291" s="4" t="str">
        <f ca="1">IFERROR(__xludf.DUMMYFUNCTION("""COMPUTED_VALUE"""),"Out")</f>
        <v>Out</v>
      </c>
      <c r="E1291" s="4" t="str">
        <f ca="1">IFERROR(__xludf.DUMMYFUNCTION("""COMPUTED_VALUE"""),"Move")</f>
        <v>Move</v>
      </c>
      <c r="F1291" s="49">
        <f ca="1">IFERROR(__xludf.DUMMYFUNCTION("""COMPUTED_VALUE"""),200000)</f>
        <v>200000</v>
      </c>
      <c r="G1291" s="50" t="str">
        <f ca="1">IFERROR(__xludf.DUMMYFUNCTION("""COMPUTED_VALUE"""),"Zela")</f>
        <v>Zela</v>
      </c>
      <c r="H1291" s="51">
        <f t="shared" ca="1" si="0"/>
        <v>46235</v>
      </c>
      <c r="I1291" s="52" t="e">
        <f ca="1">SUMIFS(OUT!$F$2:$F$11000,OUT!$H$2:$H$11000,H1291,OUT!$D$2:$D$101007,"In")</f>
        <v>#VALUE!</v>
      </c>
      <c r="J1291" s="52">
        <f ca="1">SUMIFS(OUT!$F$2:$F$11000,OUT!$H$2:$H$11000,H1291,OUT!$D$2:$D$11000,"Out")</f>
        <v>9573570</v>
      </c>
      <c r="K1291" s="52">
        <f ca="1">SUMIFS(OUT!$F$2:$F$11000,OUT!$H$2:$H$11000,H1291,OUT!$D$2:$D$11000,"Out",OUT!$E$2:$E$11000,"Fix")</f>
        <v>2533689</v>
      </c>
      <c r="L1291" s="52">
        <f ca="1">SUMIFS(OUT!$F$2:$F$11000,OUT!$H$2:$H$11000,H1291,OUT!$D$2:$D$11000,"Out",OUT!$E$2:$E$11000,"Bathroom")</f>
        <v>14491</v>
      </c>
      <c r="M1291" s="52">
        <f ca="1">SUMIFS(OUT!$F$2:$F$11000,OUT!$H$2:$H$11000,H1291,OUT!$D$2:$D$11000,"Out",OUT!$E$2:$E$11000,"Alfa")</f>
        <v>452769</v>
      </c>
      <c r="N1291" s="52" t="e">
        <f ca="1">SUMIFS(OUT!$F$2:$F$11000,OUT!$H$2:$H$101007,H1291,OUT!$D$2:$D$11000,"Out",OUT!$E$2:$E$11000,"Jajan")</f>
        <v>#VALUE!</v>
      </c>
      <c r="O1291" s="52">
        <f ca="1">SUMIFS(OUT!$F$2:$F$11000,OUT!$H$2:$H$11000,H1291,OUT!$D$2:$D$11000,"Out",OUT!$E$2:$E$11000,"Kitchen")</f>
        <v>1584204</v>
      </c>
      <c r="P1291" s="52">
        <f ca="1">SUMIFS(OUT!$F$2:$F$11000,OUT!$H$2:$H$11000,H1291,OUT!$D$2:$D$11000,"Out",OUT!$E$2:$E$11000,"Loandry")</f>
        <v>43448</v>
      </c>
      <c r="Q1291" s="52">
        <f ca="1">SUMIFS(OUT!$F$2:$F$11000,OUT!$H$2:$H$11000,H1291,OUT!$D$2:$D$11000,"Out",OUT!$E$2:$E$11000,"Mio")</f>
        <v>329000</v>
      </c>
      <c r="R1291" s="52">
        <f ca="1">SUMIFS(OUT!$F$2:$F$11000,OUT!$H$2:$H$11000,H1291,OUT!$D$2:$D$11000,"Out",OUT!$E$2:$E$11000,"Sedekah")</f>
        <v>5000</v>
      </c>
      <c r="S1291" s="52">
        <f ca="1">SUMIFS(OUT!$F$2:$F$11000,OUT!$H$2:$H$11000,H1291,OUT!$D$2:$D$11000,"Out",OUT!$E$2:$E$11000,"Zela")</f>
        <v>40500</v>
      </c>
      <c r="T1291" s="52">
        <f ca="1">SUMIFS(OUT!$F$2:$F$11000,OUT!$H$2:$H$11000,H1291,OUT!$D$2:$D$11000,"Out",OUT!$E$2:$E$11000,"Iqbal")</f>
        <v>295000</v>
      </c>
    </row>
    <row r="1292" spans="1:20" x14ac:dyDescent="0.2">
      <c r="A1292" s="48">
        <f ca="1">IFERROR(__xludf.DUMMYFUNCTION("""COMPUTED_VALUE"""),46260)</f>
        <v>46260</v>
      </c>
      <c r="B1292" s="4" t="str">
        <f ca="1">IFERROR(__xludf.DUMMYFUNCTION("""COMPUTED_VALUE"""),"Terima tunai ")</f>
        <v xml:space="preserve">Terima tunai </v>
      </c>
      <c r="C1292" s="4" t="str">
        <f ca="1">IFERROR(__xludf.DUMMYFUNCTION("""COMPUTED_VALUE"""),"Cash")</f>
        <v>Cash</v>
      </c>
      <c r="D1292" s="4" t="str">
        <f ca="1">IFERROR(__xludf.DUMMYFUNCTION("""COMPUTED_VALUE"""),"In")</f>
        <v>In</v>
      </c>
      <c r="E1292" s="4" t="str">
        <f ca="1">IFERROR(__xludf.DUMMYFUNCTION("""COMPUTED_VALUE"""),"Move")</f>
        <v>Move</v>
      </c>
      <c r="F1292" s="49">
        <f ca="1">IFERROR(__xludf.DUMMYFUNCTION("""COMPUTED_VALUE"""),200000)</f>
        <v>200000</v>
      </c>
      <c r="G1292" s="50" t="str">
        <f ca="1">IFERROR(__xludf.DUMMYFUNCTION("""COMPUTED_VALUE"""),"Zela")</f>
        <v>Zela</v>
      </c>
      <c r="H1292" s="51">
        <f t="shared" ca="1" si="0"/>
        <v>46235</v>
      </c>
      <c r="I1292" s="52" t="e">
        <f ca="1">SUMIFS(OUT!$F$2:$F$11000,OUT!$H$2:$H$11000,H1292,OUT!$D$2:$D$101007,"In")</f>
        <v>#VALUE!</v>
      </c>
      <c r="J1292" s="52">
        <f ca="1">SUMIFS(OUT!$F$2:$F$11000,OUT!$H$2:$H$11000,H1292,OUT!$D$2:$D$11000,"Out")</f>
        <v>9573570</v>
      </c>
      <c r="K1292" s="52">
        <f ca="1">SUMIFS(OUT!$F$2:$F$11000,OUT!$H$2:$H$11000,H1292,OUT!$D$2:$D$11000,"Out",OUT!$E$2:$E$11000,"Fix")</f>
        <v>2533689</v>
      </c>
      <c r="L1292" s="52">
        <f ca="1">SUMIFS(OUT!$F$2:$F$11000,OUT!$H$2:$H$11000,H1292,OUT!$D$2:$D$11000,"Out",OUT!$E$2:$E$11000,"Bathroom")</f>
        <v>14491</v>
      </c>
      <c r="M1292" s="52">
        <f ca="1">SUMIFS(OUT!$F$2:$F$11000,OUT!$H$2:$H$11000,H1292,OUT!$D$2:$D$11000,"Out",OUT!$E$2:$E$11000,"Alfa")</f>
        <v>452769</v>
      </c>
      <c r="N1292" s="52" t="e">
        <f ca="1">SUMIFS(OUT!$F$2:$F$11000,OUT!$H$2:$H$101007,H1292,OUT!$D$2:$D$11000,"Out",OUT!$E$2:$E$11000,"Jajan")</f>
        <v>#VALUE!</v>
      </c>
      <c r="O1292" s="52">
        <f ca="1">SUMIFS(OUT!$F$2:$F$11000,OUT!$H$2:$H$11000,H1292,OUT!$D$2:$D$11000,"Out",OUT!$E$2:$E$11000,"Kitchen")</f>
        <v>1584204</v>
      </c>
      <c r="P1292" s="52">
        <f ca="1">SUMIFS(OUT!$F$2:$F$11000,OUT!$H$2:$H$11000,H1292,OUT!$D$2:$D$11000,"Out",OUT!$E$2:$E$11000,"Loandry")</f>
        <v>43448</v>
      </c>
      <c r="Q1292" s="52">
        <f ca="1">SUMIFS(OUT!$F$2:$F$11000,OUT!$H$2:$H$11000,H1292,OUT!$D$2:$D$11000,"Out",OUT!$E$2:$E$11000,"Mio")</f>
        <v>329000</v>
      </c>
      <c r="R1292" s="52">
        <f ca="1">SUMIFS(OUT!$F$2:$F$11000,OUT!$H$2:$H$11000,H1292,OUT!$D$2:$D$11000,"Out",OUT!$E$2:$E$11000,"Sedekah")</f>
        <v>5000</v>
      </c>
      <c r="S1292" s="52">
        <f ca="1">SUMIFS(OUT!$F$2:$F$11000,OUT!$H$2:$H$11000,H1292,OUT!$D$2:$D$11000,"Out",OUT!$E$2:$E$11000,"Zela")</f>
        <v>40500</v>
      </c>
      <c r="T1292" s="52">
        <f ca="1">SUMIFS(OUT!$F$2:$F$11000,OUT!$H$2:$H$11000,H1292,OUT!$D$2:$D$11000,"Out",OUT!$E$2:$E$11000,"Iqbal")</f>
        <v>295000</v>
      </c>
    </row>
    <row r="1293" spans="1:20" x14ac:dyDescent="0.2">
      <c r="A1293" s="48">
        <f ca="1">IFERROR(__xludf.DUMMYFUNCTION("""COMPUTED_VALUE"""),46260)</f>
        <v>46260</v>
      </c>
      <c r="B1293" s="4" t="str">
        <f ca="1">IFERROR(__xludf.DUMMYFUNCTION("""COMPUTED_VALUE"""),"Ibuprofen ")</f>
        <v xml:space="preserve">Ibuprofen </v>
      </c>
      <c r="C1293" s="4" t="str">
        <f ca="1">IFERROR(__xludf.DUMMYFUNCTION("""COMPUTED_VALUE"""),"Cash")</f>
        <v>Cash</v>
      </c>
      <c r="D1293" s="4" t="str">
        <f ca="1">IFERROR(__xludf.DUMMYFUNCTION("""COMPUTED_VALUE"""),"Out")</f>
        <v>Out</v>
      </c>
      <c r="E1293" s="4" t="str">
        <f ca="1">IFERROR(__xludf.DUMMYFUNCTION("""COMPUTED_VALUE"""),"Iqbal")</f>
        <v>Iqbal</v>
      </c>
      <c r="F1293" s="49">
        <f ca="1">IFERROR(__xludf.DUMMYFUNCTION("""COMPUTED_VALUE"""),5000)</f>
        <v>5000</v>
      </c>
      <c r="G1293" s="50" t="str">
        <f ca="1">IFERROR(__xludf.DUMMYFUNCTION("""COMPUTED_VALUE"""),"Zela")</f>
        <v>Zela</v>
      </c>
      <c r="H1293" s="51">
        <f t="shared" ca="1" si="0"/>
        <v>46235</v>
      </c>
      <c r="I1293" s="52" t="e">
        <f ca="1">SUMIFS(OUT!$F$2:$F$11000,OUT!$H$2:$H$11000,H1293,OUT!$D$2:$D$101007,"In")</f>
        <v>#VALUE!</v>
      </c>
      <c r="J1293" s="52">
        <f ca="1">SUMIFS(OUT!$F$2:$F$11000,OUT!$H$2:$H$11000,H1293,OUT!$D$2:$D$11000,"Out")</f>
        <v>9573570</v>
      </c>
      <c r="K1293" s="52">
        <f ca="1">SUMIFS(OUT!$F$2:$F$11000,OUT!$H$2:$H$11000,H1293,OUT!$D$2:$D$11000,"Out",OUT!$E$2:$E$11000,"Fix")</f>
        <v>2533689</v>
      </c>
      <c r="L1293" s="52">
        <f ca="1">SUMIFS(OUT!$F$2:$F$11000,OUT!$H$2:$H$11000,H1293,OUT!$D$2:$D$11000,"Out",OUT!$E$2:$E$11000,"Bathroom")</f>
        <v>14491</v>
      </c>
      <c r="M1293" s="52">
        <f ca="1">SUMIFS(OUT!$F$2:$F$11000,OUT!$H$2:$H$11000,H1293,OUT!$D$2:$D$11000,"Out",OUT!$E$2:$E$11000,"Alfa")</f>
        <v>452769</v>
      </c>
      <c r="N1293" s="52" t="e">
        <f ca="1">SUMIFS(OUT!$F$2:$F$11000,OUT!$H$2:$H$101007,H1293,OUT!$D$2:$D$11000,"Out",OUT!$E$2:$E$11000,"Jajan")</f>
        <v>#VALUE!</v>
      </c>
      <c r="O1293" s="52">
        <f ca="1">SUMIFS(OUT!$F$2:$F$11000,OUT!$H$2:$H$11000,H1293,OUT!$D$2:$D$11000,"Out",OUT!$E$2:$E$11000,"Kitchen")</f>
        <v>1584204</v>
      </c>
      <c r="P1293" s="52">
        <f ca="1">SUMIFS(OUT!$F$2:$F$11000,OUT!$H$2:$H$11000,H1293,OUT!$D$2:$D$11000,"Out",OUT!$E$2:$E$11000,"Loandry")</f>
        <v>43448</v>
      </c>
      <c r="Q1293" s="52">
        <f ca="1">SUMIFS(OUT!$F$2:$F$11000,OUT!$H$2:$H$11000,H1293,OUT!$D$2:$D$11000,"Out",OUT!$E$2:$E$11000,"Mio")</f>
        <v>329000</v>
      </c>
      <c r="R1293" s="52">
        <f ca="1">SUMIFS(OUT!$F$2:$F$11000,OUT!$H$2:$H$11000,H1293,OUT!$D$2:$D$11000,"Out",OUT!$E$2:$E$11000,"Sedekah")</f>
        <v>5000</v>
      </c>
      <c r="S1293" s="52">
        <f ca="1">SUMIFS(OUT!$F$2:$F$11000,OUT!$H$2:$H$11000,H1293,OUT!$D$2:$D$11000,"Out",OUT!$E$2:$E$11000,"Zela")</f>
        <v>40500</v>
      </c>
      <c r="T1293" s="52">
        <f ca="1">SUMIFS(OUT!$F$2:$F$11000,OUT!$H$2:$H$11000,H1293,OUT!$D$2:$D$11000,"Out",OUT!$E$2:$E$11000,"Iqbal")</f>
        <v>295000</v>
      </c>
    </row>
    <row r="1294" spans="1:20" x14ac:dyDescent="0.2">
      <c r="A1294" s="48">
        <f ca="1">IFERROR(__xludf.DUMMYFUNCTION("""COMPUTED_VALUE"""),46260)</f>
        <v>46260</v>
      </c>
      <c r="B1294" s="4" t="str">
        <f ca="1">IFERROR(__xludf.DUMMYFUNCTION("""COMPUTED_VALUE"""),"Roti gepeng+cikitwist + gabin grosir")</f>
        <v>Roti gepeng+cikitwist + gabin grosir</v>
      </c>
      <c r="C1294" s="4" t="str">
        <f ca="1">IFERROR(__xludf.DUMMYFUNCTION("""COMPUTED_VALUE"""),"Cash")</f>
        <v>Cash</v>
      </c>
      <c r="D1294" s="4" t="str">
        <f ca="1">IFERROR(__xludf.DUMMYFUNCTION("""COMPUTED_VALUE"""),"Out")</f>
        <v>Out</v>
      </c>
      <c r="E1294" s="4" t="str">
        <f ca="1">IFERROR(__xludf.DUMMYFUNCTION("""COMPUTED_VALUE"""),"Jajan")</f>
        <v>Jajan</v>
      </c>
      <c r="F1294" s="49">
        <f ca="1">IFERROR(__xludf.DUMMYFUNCTION("""COMPUTED_VALUE"""),35000)</f>
        <v>35000</v>
      </c>
      <c r="G1294" s="50" t="str">
        <f ca="1">IFERROR(__xludf.DUMMYFUNCTION("""COMPUTED_VALUE"""),"Zela")</f>
        <v>Zela</v>
      </c>
      <c r="H1294" s="51">
        <f t="shared" ca="1" si="0"/>
        <v>46235</v>
      </c>
      <c r="I1294" s="52" t="e">
        <f ca="1">SUMIFS(OUT!$F$2:$F$11000,OUT!$H$2:$H$11000,H1294,OUT!$D$2:$D$101007,"In")</f>
        <v>#VALUE!</v>
      </c>
      <c r="J1294" s="52">
        <f ca="1">SUMIFS(OUT!$F$2:$F$11000,OUT!$H$2:$H$11000,H1294,OUT!$D$2:$D$11000,"Out")</f>
        <v>9573570</v>
      </c>
      <c r="K1294" s="52">
        <f ca="1">SUMIFS(OUT!$F$2:$F$11000,OUT!$H$2:$H$11000,H1294,OUT!$D$2:$D$11000,"Out",OUT!$E$2:$E$11000,"Fix")</f>
        <v>2533689</v>
      </c>
      <c r="L1294" s="52">
        <f ca="1">SUMIFS(OUT!$F$2:$F$11000,OUT!$H$2:$H$11000,H1294,OUT!$D$2:$D$11000,"Out",OUT!$E$2:$E$11000,"Bathroom")</f>
        <v>14491</v>
      </c>
      <c r="M1294" s="52">
        <f ca="1">SUMIFS(OUT!$F$2:$F$11000,OUT!$H$2:$H$11000,H1294,OUT!$D$2:$D$11000,"Out",OUT!$E$2:$E$11000,"Alfa")</f>
        <v>452769</v>
      </c>
      <c r="N1294" s="52" t="e">
        <f ca="1">SUMIFS(OUT!$F$2:$F$11000,OUT!$H$2:$H$101007,H1294,OUT!$D$2:$D$11000,"Out",OUT!$E$2:$E$11000,"Jajan")</f>
        <v>#VALUE!</v>
      </c>
      <c r="O1294" s="52">
        <f ca="1">SUMIFS(OUT!$F$2:$F$11000,OUT!$H$2:$H$11000,H1294,OUT!$D$2:$D$11000,"Out",OUT!$E$2:$E$11000,"Kitchen")</f>
        <v>1584204</v>
      </c>
      <c r="P1294" s="52">
        <f ca="1">SUMIFS(OUT!$F$2:$F$11000,OUT!$H$2:$H$11000,H1294,OUT!$D$2:$D$11000,"Out",OUT!$E$2:$E$11000,"Loandry")</f>
        <v>43448</v>
      </c>
      <c r="Q1294" s="52">
        <f ca="1">SUMIFS(OUT!$F$2:$F$11000,OUT!$H$2:$H$11000,H1294,OUT!$D$2:$D$11000,"Out",OUT!$E$2:$E$11000,"Mio")</f>
        <v>329000</v>
      </c>
      <c r="R1294" s="52">
        <f ca="1">SUMIFS(OUT!$F$2:$F$11000,OUT!$H$2:$H$11000,H1294,OUT!$D$2:$D$11000,"Out",OUT!$E$2:$E$11000,"Sedekah")</f>
        <v>5000</v>
      </c>
      <c r="S1294" s="52">
        <f ca="1">SUMIFS(OUT!$F$2:$F$11000,OUT!$H$2:$H$11000,H1294,OUT!$D$2:$D$11000,"Out",OUT!$E$2:$E$11000,"Zela")</f>
        <v>40500</v>
      </c>
      <c r="T1294" s="52">
        <f ca="1">SUMIFS(OUT!$F$2:$F$11000,OUT!$H$2:$H$11000,H1294,OUT!$D$2:$D$11000,"Out",OUT!$E$2:$E$11000,"Iqbal")</f>
        <v>295000</v>
      </c>
    </row>
    <row r="1295" spans="1:20" x14ac:dyDescent="0.2">
      <c r="A1295" s="48">
        <f ca="1">IFERROR(__xludf.DUMMYFUNCTION("""COMPUTED_VALUE"""),46260)</f>
        <v>46260</v>
      </c>
      <c r="B1295" s="4" t="str">
        <f ca="1">IFERROR(__xludf.DUMMYFUNCTION("""COMPUTED_VALUE"""),"Pembalut ")</f>
        <v xml:space="preserve">Pembalut </v>
      </c>
      <c r="C1295" s="4" t="str">
        <f ca="1">IFERROR(__xludf.DUMMYFUNCTION("""COMPUTED_VALUE"""),"Cash")</f>
        <v>Cash</v>
      </c>
      <c r="D1295" s="4" t="str">
        <f ca="1">IFERROR(__xludf.DUMMYFUNCTION("""COMPUTED_VALUE"""),"Out")</f>
        <v>Out</v>
      </c>
      <c r="E1295" s="4" t="str">
        <f ca="1">IFERROR(__xludf.DUMMYFUNCTION("""COMPUTED_VALUE"""),"Zela")</f>
        <v>Zela</v>
      </c>
      <c r="F1295" s="49">
        <f ca="1">IFERROR(__xludf.DUMMYFUNCTION("""COMPUTED_VALUE"""),40500)</f>
        <v>40500</v>
      </c>
      <c r="G1295" s="50" t="str">
        <f ca="1">IFERROR(__xludf.DUMMYFUNCTION("""COMPUTED_VALUE"""),"Zela")</f>
        <v>Zela</v>
      </c>
      <c r="H1295" s="51">
        <f t="shared" ca="1" si="0"/>
        <v>46235</v>
      </c>
      <c r="I1295" s="52" t="e">
        <f ca="1">SUMIFS(OUT!$F$2:$F$11000,OUT!$H$2:$H$11000,H1295,OUT!$D$2:$D$101007,"In")</f>
        <v>#VALUE!</v>
      </c>
      <c r="J1295" s="52">
        <f ca="1">SUMIFS(OUT!$F$2:$F$11000,OUT!$H$2:$H$11000,H1295,OUT!$D$2:$D$11000,"Out")</f>
        <v>9573570</v>
      </c>
      <c r="K1295" s="52">
        <f ca="1">SUMIFS(OUT!$F$2:$F$11000,OUT!$H$2:$H$11000,H1295,OUT!$D$2:$D$11000,"Out",OUT!$E$2:$E$11000,"Fix")</f>
        <v>2533689</v>
      </c>
      <c r="L1295" s="52">
        <f ca="1">SUMIFS(OUT!$F$2:$F$11000,OUT!$H$2:$H$11000,H1295,OUT!$D$2:$D$11000,"Out",OUT!$E$2:$E$11000,"Bathroom")</f>
        <v>14491</v>
      </c>
      <c r="M1295" s="52">
        <f ca="1">SUMIFS(OUT!$F$2:$F$11000,OUT!$H$2:$H$11000,H1295,OUT!$D$2:$D$11000,"Out",OUT!$E$2:$E$11000,"Alfa")</f>
        <v>452769</v>
      </c>
      <c r="N1295" s="52" t="e">
        <f ca="1">SUMIFS(OUT!$F$2:$F$11000,OUT!$H$2:$H$101007,H1295,OUT!$D$2:$D$11000,"Out",OUT!$E$2:$E$11000,"Jajan")</f>
        <v>#VALUE!</v>
      </c>
      <c r="O1295" s="52">
        <f ca="1">SUMIFS(OUT!$F$2:$F$11000,OUT!$H$2:$H$11000,H1295,OUT!$D$2:$D$11000,"Out",OUT!$E$2:$E$11000,"Kitchen")</f>
        <v>1584204</v>
      </c>
      <c r="P1295" s="52">
        <f ca="1">SUMIFS(OUT!$F$2:$F$11000,OUT!$H$2:$H$11000,H1295,OUT!$D$2:$D$11000,"Out",OUT!$E$2:$E$11000,"Loandry")</f>
        <v>43448</v>
      </c>
      <c r="Q1295" s="52">
        <f ca="1">SUMIFS(OUT!$F$2:$F$11000,OUT!$H$2:$H$11000,H1295,OUT!$D$2:$D$11000,"Out",OUT!$E$2:$E$11000,"Mio")</f>
        <v>329000</v>
      </c>
      <c r="R1295" s="52">
        <f ca="1">SUMIFS(OUT!$F$2:$F$11000,OUT!$H$2:$H$11000,H1295,OUT!$D$2:$D$11000,"Out",OUT!$E$2:$E$11000,"Sedekah")</f>
        <v>5000</v>
      </c>
      <c r="S1295" s="52">
        <f ca="1">SUMIFS(OUT!$F$2:$F$11000,OUT!$H$2:$H$11000,H1295,OUT!$D$2:$D$11000,"Out",OUT!$E$2:$E$11000,"Zela")</f>
        <v>40500</v>
      </c>
      <c r="T1295" s="52">
        <f ca="1">SUMIFS(OUT!$F$2:$F$11000,OUT!$H$2:$H$11000,H1295,OUT!$D$2:$D$11000,"Out",OUT!$E$2:$E$11000,"Iqbal")</f>
        <v>295000</v>
      </c>
    </row>
    <row r="1296" spans="1:20" x14ac:dyDescent="0.2">
      <c r="A1296" s="48">
        <f ca="1">IFERROR(__xludf.DUMMYFUNCTION("""COMPUTED_VALUE"""),46260)</f>
        <v>46260</v>
      </c>
      <c r="B1296" s="4" t="str">
        <f ca="1">IFERROR(__xludf.DUMMYFUNCTION("""COMPUTED_VALUE"""),"Saldo tiktok 1&amp;2")</f>
        <v>Saldo tiktok 1&amp;2</v>
      </c>
      <c r="C1296" s="4" t="str">
        <f ca="1">IFERROR(__xludf.DUMMYFUNCTION("""COMPUTED_VALUE"""),"ATM")</f>
        <v>ATM</v>
      </c>
      <c r="D1296" s="4" t="str">
        <f ca="1">IFERROR(__xludf.DUMMYFUNCTION("""COMPUTED_VALUE"""),"In")</f>
        <v>In</v>
      </c>
      <c r="E1296" s="4" t="str">
        <f ca="1">IFERROR(__xludf.DUMMYFUNCTION("""COMPUTED_VALUE"""),"Fix")</f>
        <v>Fix</v>
      </c>
      <c r="F1296" s="49">
        <f ca="1">IFERROR(__xludf.DUMMYFUNCTION("""COMPUTED_VALUE"""),53472)</f>
        <v>53472</v>
      </c>
      <c r="G1296" s="50" t="str">
        <f ca="1">IFERROR(__xludf.DUMMYFUNCTION("""COMPUTED_VALUE"""),"Zela")</f>
        <v>Zela</v>
      </c>
      <c r="H1296" s="51">
        <f t="shared" ca="1" si="0"/>
        <v>46235</v>
      </c>
      <c r="I1296" s="52" t="e">
        <f ca="1">SUMIFS(OUT!$F$2:$F$11000,OUT!$H$2:$H$11000,H1296,OUT!$D$2:$D$101007,"In")</f>
        <v>#VALUE!</v>
      </c>
      <c r="J1296" s="52">
        <f ca="1">SUMIFS(OUT!$F$2:$F$11000,OUT!$H$2:$H$11000,H1296,OUT!$D$2:$D$11000,"Out")</f>
        <v>9573570</v>
      </c>
      <c r="K1296" s="52">
        <f ca="1">SUMIFS(OUT!$F$2:$F$11000,OUT!$H$2:$H$11000,H1296,OUT!$D$2:$D$11000,"Out",OUT!$E$2:$E$11000,"Fix")</f>
        <v>2533689</v>
      </c>
      <c r="L1296" s="52">
        <f ca="1">SUMIFS(OUT!$F$2:$F$11000,OUT!$H$2:$H$11000,H1296,OUT!$D$2:$D$11000,"Out",OUT!$E$2:$E$11000,"Bathroom")</f>
        <v>14491</v>
      </c>
      <c r="M1296" s="52">
        <f ca="1">SUMIFS(OUT!$F$2:$F$11000,OUT!$H$2:$H$11000,H1296,OUT!$D$2:$D$11000,"Out",OUT!$E$2:$E$11000,"Alfa")</f>
        <v>452769</v>
      </c>
      <c r="N1296" s="52" t="e">
        <f ca="1">SUMIFS(OUT!$F$2:$F$11000,OUT!$H$2:$H$101007,H1296,OUT!$D$2:$D$11000,"Out",OUT!$E$2:$E$11000,"Jajan")</f>
        <v>#VALUE!</v>
      </c>
      <c r="O1296" s="52">
        <f ca="1">SUMIFS(OUT!$F$2:$F$11000,OUT!$H$2:$H$11000,H1296,OUT!$D$2:$D$11000,"Out",OUT!$E$2:$E$11000,"Kitchen")</f>
        <v>1584204</v>
      </c>
      <c r="P1296" s="52">
        <f ca="1">SUMIFS(OUT!$F$2:$F$11000,OUT!$H$2:$H$11000,H1296,OUT!$D$2:$D$11000,"Out",OUT!$E$2:$E$11000,"Loandry")</f>
        <v>43448</v>
      </c>
      <c r="Q1296" s="52">
        <f ca="1">SUMIFS(OUT!$F$2:$F$11000,OUT!$H$2:$H$11000,H1296,OUT!$D$2:$D$11000,"Out",OUT!$E$2:$E$11000,"Mio")</f>
        <v>329000</v>
      </c>
      <c r="R1296" s="52">
        <f ca="1">SUMIFS(OUT!$F$2:$F$11000,OUT!$H$2:$H$11000,H1296,OUT!$D$2:$D$11000,"Out",OUT!$E$2:$E$11000,"Sedekah")</f>
        <v>5000</v>
      </c>
      <c r="S1296" s="52">
        <f ca="1">SUMIFS(OUT!$F$2:$F$11000,OUT!$H$2:$H$11000,H1296,OUT!$D$2:$D$11000,"Out",OUT!$E$2:$E$11000,"Zela")</f>
        <v>40500</v>
      </c>
      <c r="T1296" s="52">
        <f ca="1">SUMIFS(OUT!$F$2:$F$11000,OUT!$H$2:$H$11000,H1296,OUT!$D$2:$D$11000,"Out",OUT!$E$2:$E$11000,"Iqbal")</f>
        <v>295000</v>
      </c>
    </row>
    <row r="1297" spans="1:20" x14ac:dyDescent="0.2">
      <c r="A1297" s="48">
        <f ca="1">IFERROR(__xludf.DUMMYFUNCTION("""COMPUTED_VALUE"""),46260)</f>
        <v>46260</v>
      </c>
      <c r="B1297" s="4" t="str">
        <f ca="1">IFERROR(__xludf.DUMMYFUNCTION("""COMPUTED_VALUE"""),"Nasgor + sate ")</f>
        <v xml:space="preserve">Nasgor + sate </v>
      </c>
      <c r="C1297" s="4" t="str">
        <f ca="1">IFERROR(__xludf.DUMMYFUNCTION("""COMPUTED_VALUE"""),"Cash")</f>
        <v>Cash</v>
      </c>
      <c r="D1297" s="4" t="str">
        <f ca="1">IFERROR(__xludf.DUMMYFUNCTION("""COMPUTED_VALUE"""),"Out")</f>
        <v>Out</v>
      </c>
      <c r="E1297" s="4" t="str">
        <f ca="1">IFERROR(__xludf.DUMMYFUNCTION("""COMPUTED_VALUE"""),"Kitchen")</f>
        <v>Kitchen</v>
      </c>
      <c r="F1297" s="49">
        <f ca="1">IFERROR(__xludf.DUMMYFUNCTION("""COMPUTED_VALUE"""),32000)</f>
        <v>32000</v>
      </c>
      <c r="G1297" s="50" t="str">
        <f ca="1">IFERROR(__xludf.DUMMYFUNCTION("""COMPUTED_VALUE"""),"Zela")</f>
        <v>Zela</v>
      </c>
      <c r="H1297" s="51">
        <f t="shared" ca="1" si="0"/>
        <v>46235</v>
      </c>
      <c r="I1297" s="52" t="e">
        <f ca="1">SUMIFS(OUT!$F$2:$F$11000,OUT!$H$2:$H$11000,H1297,OUT!$D$2:$D$101007,"In")</f>
        <v>#VALUE!</v>
      </c>
      <c r="J1297" s="52">
        <f ca="1">SUMIFS(OUT!$F$2:$F$11000,OUT!$H$2:$H$11000,H1297,OUT!$D$2:$D$11000,"Out")</f>
        <v>9573570</v>
      </c>
      <c r="K1297" s="52">
        <f ca="1">SUMIFS(OUT!$F$2:$F$11000,OUT!$H$2:$H$11000,H1297,OUT!$D$2:$D$11000,"Out",OUT!$E$2:$E$11000,"Fix")</f>
        <v>2533689</v>
      </c>
      <c r="L1297" s="52">
        <f ca="1">SUMIFS(OUT!$F$2:$F$11000,OUT!$H$2:$H$11000,H1297,OUT!$D$2:$D$11000,"Out",OUT!$E$2:$E$11000,"Bathroom")</f>
        <v>14491</v>
      </c>
      <c r="M1297" s="52">
        <f ca="1">SUMIFS(OUT!$F$2:$F$11000,OUT!$H$2:$H$11000,H1297,OUT!$D$2:$D$11000,"Out",OUT!$E$2:$E$11000,"Alfa")</f>
        <v>452769</v>
      </c>
      <c r="N1297" s="52" t="e">
        <f ca="1">SUMIFS(OUT!$F$2:$F$11000,OUT!$H$2:$H$101007,H1297,OUT!$D$2:$D$11000,"Out",OUT!$E$2:$E$11000,"Jajan")</f>
        <v>#VALUE!</v>
      </c>
      <c r="O1297" s="52">
        <f ca="1">SUMIFS(OUT!$F$2:$F$11000,OUT!$H$2:$H$11000,H1297,OUT!$D$2:$D$11000,"Out",OUT!$E$2:$E$11000,"Kitchen")</f>
        <v>1584204</v>
      </c>
      <c r="P1297" s="52">
        <f ca="1">SUMIFS(OUT!$F$2:$F$11000,OUT!$H$2:$H$11000,H1297,OUT!$D$2:$D$11000,"Out",OUT!$E$2:$E$11000,"Loandry")</f>
        <v>43448</v>
      </c>
      <c r="Q1297" s="52">
        <f ca="1">SUMIFS(OUT!$F$2:$F$11000,OUT!$H$2:$H$11000,H1297,OUT!$D$2:$D$11000,"Out",OUT!$E$2:$E$11000,"Mio")</f>
        <v>329000</v>
      </c>
      <c r="R1297" s="52">
        <f ca="1">SUMIFS(OUT!$F$2:$F$11000,OUT!$H$2:$H$11000,H1297,OUT!$D$2:$D$11000,"Out",OUT!$E$2:$E$11000,"Sedekah")</f>
        <v>5000</v>
      </c>
      <c r="S1297" s="52">
        <f ca="1">SUMIFS(OUT!$F$2:$F$11000,OUT!$H$2:$H$11000,H1297,OUT!$D$2:$D$11000,"Out",OUT!$E$2:$E$11000,"Zela")</f>
        <v>40500</v>
      </c>
      <c r="T1297" s="52">
        <f ca="1">SUMIFS(OUT!$F$2:$F$11000,OUT!$H$2:$H$11000,H1297,OUT!$D$2:$D$11000,"Out",OUT!$E$2:$E$11000,"Iqbal")</f>
        <v>295000</v>
      </c>
    </row>
    <row r="1298" spans="1:20" x14ac:dyDescent="0.2">
      <c r="A1298" s="48">
        <f ca="1">IFERROR(__xludf.DUMMYFUNCTION("""COMPUTED_VALUE"""),46260)</f>
        <v>46260</v>
      </c>
      <c r="B1298" s="4" t="str">
        <f ca="1">IFERROR(__xludf.DUMMYFUNCTION("""COMPUTED_VALUE"""),"Susu Alfa")</f>
        <v>Susu Alfa</v>
      </c>
      <c r="C1298" s="4" t="str">
        <f ca="1">IFERROR(__xludf.DUMMYFUNCTION("""COMPUTED_VALUE"""),"Cash")</f>
        <v>Cash</v>
      </c>
      <c r="D1298" s="4" t="str">
        <f ca="1">IFERROR(__xludf.DUMMYFUNCTION("""COMPUTED_VALUE"""),"Out")</f>
        <v>Out</v>
      </c>
      <c r="E1298" s="4" t="str">
        <f ca="1">IFERROR(__xludf.DUMMYFUNCTION("""COMPUTED_VALUE"""),"Alfa")</f>
        <v>Alfa</v>
      </c>
      <c r="F1298" s="49">
        <f ca="1">IFERROR(__xludf.DUMMYFUNCTION("""COMPUTED_VALUE"""),14500)</f>
        <v>14500</v>
      </c>
      <c r="G1298" s="50" t="str">
        <f ca="1">IFERROR(__xludf.DUMMYFUNCTION("""COMPUTED_VALUE"""),"Zela")</f>
        <v>Zela</v>
      </c>
      <c r="H1298" s="51">
        <f t="shared" ca="1" si="0"/>
        <v>46235</v>
      </c>
      <c r="I1298" s="52" t="e">
        <f ca="1">SUMIFS(OUT!$F$2:$F$11000,OUT!$H$2:$H$11000,H1298,OUT!$D$2:$D$101007,"In")</f>
        <v>#VALUE!</v>
      </c>
      <c r="J1298" s="52">
        <f ca="1">SUMIFS(OUT!$F$2:$F$11000,OUT!$H$2:$H$11000,H1298,OUT!$D$2:$D$11000,"Out")</f>
        <v>9573570</v>
      </c>
      <c r="K1298" s="52">
        <f ca="1">SUMIFS(OUT!$F$2:$F$11000,OUT!$H$2:$H$11000,H1298,OUT!$D$2:$D$11000,"Out",OUT!$E$2:$E$11000,"Fix")</f>
        <v>2533689</v>
      </c>
      <c r="L1298" s="52">
        <f ca="1">SUMIFS(OUT!$F$2:$F$11000,OUT!$H$2:$H$11000,H1298,OUT!$D$2:$D$11000,"Out",OUT!$E$2:$E$11000,"Bathroom")</f>
        <v>14491</v>
      </c>
      <c r="M1298" s="52">
        <f ca="1">SUMIFS(OUT!$F$2:$F$11000,OUT!$H$2:$H$11000,H1298,OUT!$D$2:$D$11000,"Out",OUT!$E$2:$E$11000,"Alfa")</f>
        <v>452769</v>
      </c>
      <c r="N1298" s="52" t="e">
        <f ca="1">SUMIFS(OUT!$F$2:$F$11000,OUT!$H$2:$H$101007,H1298,OUT!$D$2:$D$11000,"Out",OUT!$E$2:$E$11000,"Jajan")</f>
        <v>#VALUE!</v>
      </c>
      <c r="O1298" s="52">
        <f ca="1">SUMIFS(OUT!$F$2:$F$11000,OUT!$H$2:$H$11000,H1298,OUT!$D$2:$D$11000,"Out",OUT!$E$2:$E$11000,"Kitchen")</f>
        <v>1584204</v>
      </c>
      <c r="P1298" s="52">
        <f ca="1">SUMIFS(OUT!$F$2:$F$11000,OUT!$H$2:$H$11000,H1298,OUT!$D$2:$D$11000,"Out",OUT!$E$2:$E$11000,"Loandry")</f>
        <v>43448</v>
      </c>
      <c r="Q1298" s="52">
        <f ca="1">SUMIFS(OUT!$F$2:$F$11000,OUT!$H$2:$H$11000,H1298,OUT!$D$2:$D$11000,"Out",OUT!$E$2:$E$11000,"Mio")</f>
        <v>329000</v>
      </c>
      <c r="R1298" s="52">
        <f ca="1">SUMIFS(OUT!$F$2:$F$11000,OUT!$H$2:$H$11000,H1298,OUT!$D$2:$D$11000,"Out",OUT!$E$2:$E$11000,"Sedekah")</f>
        <v>5000</v>
      </c>
      <c r="S1298" s="52">
        <f ca="1">SUMIFS(OUT!$F$2:$F$11000,OUT!$H$2:$H$11000,H1298,OUT!$D$2:$D$11000,"Out",OUT!$E$2:$E$11000,"Zela")</f>
        <v>40500</v>
      </c>
      <c r="T1298" s="52">
        <f ca="1">SUMIFS(OUT!$F$2:$F$11000,OUT!$H$2:$H$11000,H1298,OUT!$D$2:$D$11000,"Out",OUT!$E$2:$E$11000,"Iqbal")</f>
        <v>295000</v>
      </c>
    </row>
    <row r="1299" spans="1:20" x14ac:dyDescent="0.2">
      <c r="A1299" s="48">
        <f ca="1">IFERROR(__xludf.DUMMYFUNCTION("""COMPUTED_VALUE"""),46260)</f>
        <v>46260</v>
      </c>
      <c r="B1299" s="4" t="str">
        <f ca="1">IFERROR(__xludf.DUMMYFUNCTION("""COMPUTED_VALUE"""),"Bensin ")</f>
        <v xml:space="preserve">Bensin </v>
      </c>
      <c r="C1299" s="4" t="str">
        <f ca="1">IFERROR(__xludf.DUMMYFUNCTION("""COMPUTED_VALUE"""),"Cash")</f>
        <v>Cash</v>
      </c>
      <c r="D1299" s="4" t="str">
        <f ca="1">IFERROR(__xludf.DUMMYFUNCTION("""COMPUTED_VALUE"""),"Out")</f>
        <v>Out</v>
      </c>
      <c r="E1299" s="4" t="str">
        <f ca="1">IFERROR(__xludf.DUMMYFUNCTION("""COMPUTED_VALUE"""),"Mio")</f>
        <v>Mio</v>
      </c>
      <c r="F1299" s="49">
        <f ca="1">IFERROR(__xludf.DUMMYFUNCTION("""COMPUTED_VALUE"""),20000)</f>
        <v>20000</v>
      </c>
      <c r="G1299" s="50" t="str">
        <f ca="1">IFERROR(__xludf.DUMMYFUNCTION("""COMPUTED_VALUE"""),"Zela")</f>
        <v>Zela</v>
      </c>
      <c r="H1299" s="51">
        <f t="shared" ca="1" si="0"/>
        <v>46235</v>
      </c>
      <c r="I1299" s="52" t="e">
        <f ca="1">SUMIFS(OUT!$F$2:$F$11000,OUT!$H$2:$H$11000,H1299,OUT!$D$2:$D$101007,"In")</f>
        <v>#VALUE!</v>
      </c>
      <c r="J1299" s="52">
        <f ca="1">SUMIFS(OUT!$F$2:$F$11000,OUT!$H$2:$H$11000,H1299,OUT!$D$2:$D$11000,"Out")</f>
        <v>9573570</v>
      </c>
      <c r="K1299" s="52">
        <f ca="1">SUMIFS(OUT!$F$2:$F$11000,OUT!$H$2:$H$11000,H1299,OUT!$D$2:$D$11000,"Out",OUT!$E$2:$E$11000,"Fix")</f>
        <v>2533689</v>
      </c>
      <c r="L1299" s="52">
        <f ca="1">SUMIFS(OUT!$F$2:$F$11000,OUT!$H$2:$H$11000,H1299,OUT!$D$2:$D$11000,"Out",OUT!$E$2:$E$11000,"Bathroom")</f>
        <v>14491</v>
      </c>
      <c r="M1299" s="52">
        <f ca="1">SUMIFS(OUT!$F$2:$F$11000,OUT!$H$2:$H$11000,H1299,OUT!$D$2:$D$11000,"Out",OUT!$E$2:$E$11000,"Alfa")</f>
        <v>452769</v>
      </c>
      <c r="N1299" s="52" t="e">
        <f ca="1">SUMIFS(OUT!$F$2:$F$11000,OUT!$H$2:$H$101007,H1299,OUT!$D$2:$D$11000,"Out",OUT!$E$2:$E$11000,"Jajan")</f>
        <v>#VALUE!</v>
      </c>
      <c r="O1299" s="52">
        <f ca="1">SUMIFS(OUT!$F$2:$F$11000,OUT!$H$2:$H$11000,H1299,OUT!$D$2:$D$11000,"Out",OUT!$E$2:$E$11000,"Kitchen")</f>
        <v>1584204</v>
      </c>
      <c r="P1299" s="52">
        <f ca="1">SUMIFS(OUT!$F$2:$F$11000,OUT!$H$2:$H$11000,H1299,OUT!$D$2:$D$11000,"Out",OUT!$E$2:$E$11000,"Loandry")</f>
        <v>43448</v>
      </c>
      <c r="Q1299" s="52">
        <f ca="1">SUMIFS(OUT!$F$2:$F$11000,OUT!$H$2:$H$11000,H1299,OUT!$D$2:$D$11000,"Out",OUT!$E$2:$E$11000,"Mio")</f>
        <v>329000</v>
      </c>
      <c r="R1299" s="52">
        <f ca="1">SUMIFS(OUT!$F$2:$F$11000,OUT!$H$2:$H$11000,H1299,OUT!$D$2:$D$11000,"Out",OUT!$E$2:$E$11000,"Sedekah")</f>
        <v>5000</v>
      </c>
      <c r="S1299" s="52">
        <f ca="1">SUMIFS(OUT!$F$2:$F$11000,OUT!$H$2:$H$11000,H1299,OUT!$D$2:$D$11000,"Out",OUT!$E$2:$E$11000,"Zela")</f>
        <v>40500</v>
      </c>
      <c r="T1299" s="52">
        <f ca="1">SUMIFS(OUT!$F$2:$F$11000,OUT!$H$2:$H$11000,H1299,OUT!$D$2:$D$11000,"Out",OUT!$E$2:$E$11000,"Iqbal")</f>
        <v>295000</v>
      </c>
    </row>
    <row r="1300" spans="1:20" x14ac:dyDescent="0.2">
      <c r="A1300" s="48">
        <f ca="1">IFERROR(__xludf.DUMMYFUNCTION("""COMPUTED_VALUE"""),46260)</f>
        <v>46260</v>
      </c>
      <c r="B1300" s="4" t="str">
        <f ca="1">IFERROR(__xludf.DUMMYFUNCTION("""COMPUTED_VALUE"""),"Sisihkan ung Minyak ")</f>
        <v xml:space="preserve">Sisihkan ung Minyak </v>
      </c>
      <c r="C1300" s="4" t="str">
        <f ca="1">IFERROR(__xludf.DUMMYFUNCTION("""COMPUTED_VALUE"""),"Cash")</f>
        <v>Cash</v>
      </c>
      <c r="D1300" s="4" t="str">
        <f ca="1">IFERROR(__xludf.DUMMYFUNCTION("""COMPUTED_VALUE"""),"Out")</f>
        <v>Out</v>
      </c>
      <c r="E1300" s="4" t="str">
        <f ca="1">IFERROR(__xludf.DUMMYFUNCTION("""COMPUTED_VALUE"""),"Mio")</f>
        <v>Mio</v>
      </c>
      <c r="F1300" s="49">
        <f ca="1">IFERROR(__xludf.DUMMYFUNCTION("""COMPUTED_VALUE"""),12000)</f>
        <v>12000</v>
      </c>
      <c r="G1300" s="50" t="str">
        <f ca="1">IFERROR(__xludf.DUMMYFUNCTION("""COMPUTED_VALUE"""),"Zela")</f>
        <v>Zela</v>
      </c>
      <c r="H1300" s="51">
        <f t="shared" ca="1" si="0"/>
        <v>46235</v>
      </c>
      <c r="I1300" s="52" t="e">
        <f ca="1">SUMIFS(OUT!$F$2:$F$11000,OUT!$H$2:$H$11000,H1300,OUT!$D$2:$D$101007,"In")</f>
        <v>#VALUE!</v>
      </c>
      <c r="J1300" s="52">
        <f ca="1">SUMIFS(OUT!$F$2:$F$11000,OUT!$H$2:$H$11000,H1300,OUT!$D$2:$D$11000,"Out")</f>
        <v>9573570</v>
      </c>
      <c r="K1300" s="52">
        <f ca="1">SUMIFS(OUT!$F$2:$F$11000,OUT!$H$2:$H$11000,H1300,OUT!$D$2:$D$11000,"Out",OUT!$E$2:$E$11000,"Fix")</f>
        <v>2533689</v>
      </c>
      <c r="L1300" s="52">
        <f ca="1">SUMIFS(OUT!$F$2:$F$11000,OUT!$H$2:$H$11000,H1300,OUT!$D$2:$D$11000,"Out",OUT!$E$2:$E$11000,"Bathroom")</f>
        <v>14491</v>
      </c>
      <c r="M1300" s="52">
        <f ca="1">SUMIFS(OUT!$F$2:$F$11000,OUT!$H$2:$H$11000,H1300,OUT!$D$2:$D$11000,"Out",OUT!$E$2:$E$11000,"Alfa")</f>
        <v>452769</v>
      </c>
      <c r="N1300" s="52" t="e">
        <f ca="1">SUMIFS(OUT!$F$2:$F$11000,OUT!$H$2:$H$101007,H1300,OUT!$D$2:$D$11000,"Out",OUT!$E$2:$E$11000,"Jajan")</f>
        <v>#VALUE!</v>
      </c>
      <c r="O1300" s="52">
        <f ca="1">SUMIFS(OUT!$F$2:$F$11000,OUT!$H$2:$H$11000,H1300,OUT!$D$2:$D$11000,"Out",OUT!$E$2:$E$11000,"Kitchen")</f>
        <v>1584204</v>
      </c>
      <c r="P1300" s="52">
        <f ca="1">SUMIFS(OUT!$F$2:$F$11000,OUT!$H$2:$H$11000,H1300,OUT!$D$2:$D$11000,"Out",OUT!$E$2:$E$11000,"Loandry")</f>
        <v>43448</v>
      </c>
      <c r="Q1300" s="52">
        <f ca="1">SUMIFS(OUT!$F$2:$F$11000,OUT!$H$2:$H$11000,H1300,OUT!$D$2:$D$11000,"Out",OUT!$E$2:$E$11000,"Mio")</f>
        <v>329000</v>
      </c>
      <c r="R1300" s="52">
        <f ca="1">SUMIFS(OUT!$F$2:$F$11000,OUT!$H$2:$H$11000,H1300,OUT!$D$2:$D$11000,"Out",OUT!$E$2:$E$11000,"Sedekah")</f>
        <v>5000</v>
      </c>
      <c r="S1300" s="52">
        <f ca="1">SUMIFS(OUT!$F$2:$F$11000,OUT!$H$2:$H$11000,H1300,OUT!$D$2:$D$11000,"Out",OUT!$E$2:$E$11000,"Zela")</f>
        <v>40500</v>
      </c>
      <c r="T1300" s="52">
        <f ca="1">SUMIFS(OUT!$F$2:$F$11000,OUT!$H$2:$H$11000,H1300,OUT!$D$2:$D$11000,"Out",OUT!$E$2:$E$11000,"Iqbal")</f>
        <v>295000</v>
      </c>
    </row>
    <row r="1301" spans="1:20" x14ac:dyDescent="0.2">
      <c r="A1301" s="48">
        <f ca="1">IFERROR(__xludf.DUMMYFUNCTION("""COMPUTED_VALUE"""),46262)</f>
        <v>46262</v>
      </c>
      <c r="B1301" s="4" t="str">
        <f ca="1">IFERROR(__xludf.DUMMYFUNCTION("""COMPUTED_VALUE"""),"Suamiku ")</f>
        <v xml:space="preserve">Suamiku </v>
      </c>
      <c r="C1301" s="4" t="str">
        <f ca="1">IFERROR(__xludf.DUMMYFUNCTION("""COMPUTED_VALUE"""),"Cash")</f>
        <v>Cash</v>
      </c>
      <c r="D1301" s="4" t="str">
        <f ca="1">IFERROR(__xludf.DUMMYFUNCTION("""COMPUTED_VALUE"""),"Out")</f>
        <v>Out</v>
      </c>
      <c r="E1301" s="4" t="str">
        <f ca="1">IFERROR(__xludf.DUMMYFUNCTION("""COMPUTED_VALUE"""),"Sedekah")</f>
        <v>Sedekah</v>
      </c>
      <c r="F1301" s="49">
        <f ca="1">IFERROR(__xludf.DUMMYFUNCTION("""COMPUTED_VALUE"""),5000)</f>
        <v>5000</v>
      </c>
      <c r="G1301" s="50" t="str">
        <f ca="1">IFERROR(__xludf.DUMMYFUNCTION("""COMPUTED_VALUE"""),"Zela")</f>
        <v>Zela</v>
      </c>
      <c r="H1301" s="51">
        <f t="shared" ca="1" si="0"/>
        <v>46235</v>
      </c>
      <c r="I1301" s="52" t="e">
        <f ca="1">SUMIFS(OUT!$F$2:$F$11000,OUT!$H$2:$H$11000,H1301,OUT!$D$2:$D$101007,"In")</f>
        <v>#VALUE!</v>
      </c>
      <c r="J1301" s="52">
        <f ca="1">SUMIFS(OUT!$F$2:$F$11000,OUT!$H$2:$H$11000,H1301,OUT!$D$2:$D$11000,"Out")</f>
        <v>9573570</v>
      </c>
      <c r="K1301" s="52">
        <f ca="1">SUMIFS(OUT!$F$2:$F$11000,OUT!$H$2:$H$11000,H1301,OUT!$D$2:$D$11000,"Out",OUT!$E$2:$E$11000,"Fix")</f>
        <v>2533689</v>
      </c>
      <c r="L1301" s="52">
        <f ca="1">SUMIFS(OUT!$F$2:$F$11000,OUT!$H$2:$H$11000,H1301,OUT!$D$2:$D$11000,"Out",OUT!$E$2:$E$11000,"Bathroom")</f>
        <v>14491</v>
      </c>
      <c r="M1301" s="52">
        <f ca="1">SUMIFS(OUT!$F$2:$F$11000,OUT!$H$2:$H$11000,H1301,OUT!$D$2:$D$11000,"Out",OUT!$E$2:$E$11000,"Alfa")</f>
        <v>452769</v>
      </c>
      <c r="N1301" s="52" t="e">
        <f ca="1">SUMIFS(OUT!$F$2:$F$11000,OUT!$H$2:$H$101007,H1301,OUT!$D$2:$D$11000,"Out",OUT!$E$2:$E$11000,"Jajan")</f>
        <v>#VALUE!</v>
      </c>
      <c r="O1301" s="52">
        <f ca="1">SUMIFS(OUT!$F$2:$F$11000,OUT!$H$2:$H$11000,H1301,OUT!$D$2:$D$11000,"Out",OUT!$E$2:$E$11000,"Kitchen")</f>
        <v>1584204</v>
      </c>
      <c r="P1301" s="52">
        <f ca="1">SUMIFS(OUT!$F$2:$F$11000,OUT!$H$2:$H$11000,H1301,OUT!$D$2:$D$11000,"Out",OUT!$E$2:$E$11000,"Loandry")</f>
        <v>43448</v>
      </c>
      <c r="Q1301" s="52">
        <f ca="1">SUMIFS(OUT!$F$2:$F$11000,OUT!$H$2:$H$11000,H1301,OUT!$D$2:$D$11000,"Out",OUT!$E$2:$E$11000,"Mio")</f>
        <v>329000</v>
      </c>
      <c r="R1301" s="52">
        <f ca="1">SUMIFS(OUT!$F$2:$F$11000,OUT!$H$2:$H$11000,H1301,OUT!$D$2:$D$11000,"Out",OUT!$E$2:$E$11000,"Sedekah")</f>
        <v>5000</v>
      </c>
      <c r="S1301" s="52">
        <f ca="1">SUMIFS(OUT!$F$2:$F$11000,OUT!$H$2:$H$11000,H1301,OUT!$D$2:$D$11000,"Out",OUT!$E$2:$E$11000,"Zela")</f>
        <v>40500</v>
      </c>
      <c r="T1301" s="52">
        <f ca="1">SUMIFS(OUT!$F$2:$F$11000,OUT!$H$2:$H$11000,H1301,OUT!$D$2:$D$11000,"Out",OUT!$E$2:$E$11000,"Iqbal")</f>
        <v>295000</v>
      </c>
    </row>
    <row r="1302" spans="1:20" x14ac:dyDescent="0.2">
      <c r="A1302" s="48">
        <f ca="1">IFERROR(__xludf.DUMMYFUNCTION("""COMPUTED_VALUE"""),46262)</f>
        <v>46262</v>
      </c>
      <c r="B1302" s="4" t="str">
        <f ca="1">IFERROR(__xludf.DUMMYFUNCTION("""COMPUTED_VALUE"""),"tarik tunai  + Admin ")</f>
        <v xml:space="preserve">tarik tunai  + Admin </v>
      </c>
      <c r="C1302" s="4" t="str">
        <f ca="1">IFERROR(__xludf.DUMMYFUNCTION("""COMPUTED_VALUE"""),"ATM")</f>
        <v>ATM</v>
      </c>
      <c r="D1302" s="4" t="str">
        <f ca="1">IFERROR(__xludf.DUMMYFUNCTION("""COMPUTED_VALUE"""),"Out")</f>
        <v>Out</v>
      </c>
      <c r="E1302" s="4" t="str">
        <f ca="1">IFERROR(__xludf.DUMMYFUNCTION("""COMPUTED_VALUE"""),"Move")</f>
        <v>Move</v>
      </c>
      <c r="F1302" s="49">
        <f ca="1">IFERROR(__xludf.DUMMYFUNCTION("""COMPUTED_VALUE"""),154000)</f>
        <v>154000</v>
      </c>
      <c r="G1302" s="50" t="str">
        <f ca="1">IFERROR(__xludf.DUMMYFUNCTION("""COMPUTED_VALUE"""),"Zela")</f>
        <v>Zela</v>
      </c>
      <c r="H1302" s="51">
        <f t="shared" ca="1" si="0"/>
        <v>46235</v>
      </c>
      <c r="I1302" s="52" t="e">
        <f ca="1">SUMIFS(OUT!$F$2:$F$11000,OUT!$H$2:$H$11000,H1302,OUT!$D$2:$D$101007,"In")</f>
        <v>#VALUE!</v>
      </c>
      <c r="J1302" s="52">
        <f ca="1">SUMIFS(OUT!$F$2:$F$11000,OUT!$H$2:$H$11000,H1302,OUT!$D$2:$D$11000,"Out")</f>
        <v>9573570</v>
      </c>
      <c r="K1302" s="52">
        <f ca="1">SUMIFS(OUT!$F$2:$F$11000,OUT!$H$2:$H$11000,H1302,OUT!$D$2:$D$11000,"Out",OUT!$E$2:$E$11000,"Fix")</f>
        <v>2533689</v>
      </c>
      <c r="L1302" s="52">
        <f ca="1">SUMIFS(OUT!$F$2:$F$11000,OUT!$H$2:$H$11000,H1302,OUT!$D$2:$D$11000,"Out",OUT!$E$2:$E$11000,"Bathroom")</f>
        <v>14491</v>
      </c>
      <c r="M1302" s="52">
        <f ca="1">SUMIFS(OUT!$F$2:$F$11000,OUT!$H$2:$H$11000,H1302,OUT!$D$2:$D$11000,"Out",OUT!$E$2:$E$11000,"Alfa")</f>
        <v>452769</v>
      </c>
      <c r="N1302" s="52" t="e">
        <f ca="1">SUMIFS(OUT!$F$2:$F$11000,OUT!$H$2:$H$101007,H1302,OUT!$D$2:$D$11000,"Out",OUT!$E$2:$E$11000,"Jajan")</f>
        <v>#VALUE!</v>
      </c>
      <c r="O1302" s="52">
        <f ca="1">SUMIFS(OUT!$F$2:$F$11000,OUT!$H$2:$H$11000,H1302,OUT!$D$2:$D$11000,"Out",OUT!$E$2:$E$11000,"Kitchen")</f>
        <v>1584204</v>
      </c>
      <c r="P1302" s="52">
        <f ca="1">SUMIFS(OUT!$F$2:$F$11000,OUT!$H$2:$H$11000,H1302,OUT!$D$2:$D$11000,"Out",OUT!$E$2:$E$11000,"Loandry")</f>
        <v>43448</v>
      </c>
      <c r="Q1302" s="52">
        <f ca="1">SUMIFS(OUT!$F$2:$F$11000,OUT!$H$2:$H$11000,H1302,OUT!$D$2:$D$11000,"Out",OUT!$E$2:$E$11000,"Mio")</f>
        <v>329000</v>
      </c>
      <c r="R1302" s="52">
        <f ca="1">SUMIFS(OUT!$F$2:$F$11000,OUT!$H$2:$H$11000,H1302,OUT!$D$2:$D$11000,"Out",OUT!$E$2:$E$11000,"Sedekah")</f>
        <v>5000</v>
      </c>
      <c r="S1302" s="52">
        <f ca="1">SUMIFS(OUT!$F$2:$F$11000,OUT!$H$2:$H$11000,H1302,OUT!$D$2:$D$11000,"Out",OUT!$E$2:$E$11000,"Zela")</f>
        <v>40500</v>
      </c>
      <c r="T1302" s="52">
        <f ca="1">SUMIFS(OUT!$F$2:$F$11000,OUT!$H$2:$H$11000,H1302,OUT!$D$2:$D$11000,"Out",OUT!$E$2:$E$11000,"Iqbal")</f>
        <v>295000</v>
      </c>
    </row>
    <row r="1303" spans="1:20" x14ac:dyDescent="0.2">
      <c r="A1303" s="48">
        <f ca="1">IFERROR(__xludf.DUMMYFUNCTION("""COMPUTED_VALUE"""),46262)</f>
        <v>46262</v>
      </c>
      <c r="B1303" s="4" t="str">
        <f ca="1">IFERROR(__xludf.DUMMYFUNCTION("""COMPUTED_VALUE"""),"Terima Tunai ")</f>
        <v xml:space="preserve">Terima Tunai </v>
      </c>
      <c r="C1303" s="4" t="str">
        <f ca="1">IFERROR(__xludf.DUMMYFUNCTION("""COMPUTED_VALUE"""),"Cash")</f>
        <v>Cash</v>
      </c>
      <c r="D1303" s="4" t="str">
        <f ca="1">IFERROR(__xludf.DUMMYFUNCTION("""COMPUTED_VALUE"""),"In")</f>
        <v>In</v>
      </c>
      <c r="E1303" s="4" t="str">
        <f ca="1">IFERROR(__xludf.DUMMYFUNCTION("""COMPUTED_VALUE"""),"Move")</f>
        <v>Move</v>
      </c>
      <c r="F1303" s="49">
        <f ca="1">IFERROR(__xludf.DUMMYFUNCTION("""COMPUTED_VALUE"""),150000)</f>
        <v>150000</v>
      </c>
      <c r="G1303" s="50" t="str">
        <f ca="1">IFERROR(__xludf.DUMMYFUNCTION("""COMPUTED_VALUE"""),"Zela")</f>
        <v>Zela</v>
      </c>
      <c r="H1303" s="51">
        <f t="shared" ca="1" si="0"/>
        <v>46235</v>
      </c>
      <c r="I1303" s="52" t="e">
        <f ca="1">SUMIFS(OUT!$F$2:$F$11000,OUT!$H$2:$H$11000,H1303,OUT!$D$2:$D$101007,"In")</f>
        <v>#VALUE!</v>
      </c>
      <c r="J1303" s="52">
        <f ca="1">SUMIFS(OUT!$F$2:$F$11000,OUT!$H$2:$H$11000,H1303,OUT!$D$2:$D$11000,"Out")</f>
        <v>9573570</v>
      </c>
      <c r="K1303" s="52">
        <f ca="1">SUMIFS(OUT!$F$2:$F$11000,OUT!$H$2:$H$11000,H1303,OUT!$D$2:$D$11000,"Out",OUT!$E$2:$E$11000,"Fix")</f>
        <v>2533689</v>
      </c>
      <c r="L1303" s="52">
        <f ca="1">SUMIFS(OUT!$F$2:$F$11000,OUT!$H$2:$H$11000,H1303,OUT!$D$2:$D$11000,"Out",OUT!$E$2:$E$11000,"Bathroom")</f>
        <v>14491</v>
      </c>
      <c r="M1303" s="52">
        <f ca="1">SUMIFS(OUT!$F$2:$F$11000,OUT!$H$2:$H$11000,H1303,OUT!$D$2:$D$11000,"Out",OUT!$E$2:$E$11000,"Alfa")</f>
        <v>452769</v>
      </c>
      <c r="N1303" s="52" t="e">
        <f ca="1">SUMIFS(OUT!$F$2:$F$11000,OUT!$H$2:$H$101007,H1303,OUT!$D$2:$D$11000,"Out",OUT!$E$2:$E$11000,"Jajan")</f>
        <v>#VALUE!</v>
      </c>
      <c r="O1303" s="52">
        <f ca="1">SUMIFS(OUT!$F$2:$F$11000,OUT!$H$2:$H$11000,H1303,OUT!$D$2:$D$11000,"Out",OUT!$E$2:$E$11000,"Kitchen")</f>
        <v>1584204</v>
      </c>
      <c r="P1303" s="52">
        <f ca="1">SUMIFS(OUT!$F$2:$F$11000,OUT!$H$2:$H$11000,H1303,OUT!$D$2:$D$11000,"Out",OUT!$E$2:$E$11000,"Loandry")</f>
        <v>43448</v>
      </c>
      <c r="Q1303" s="52">
        <f ca="1">SUMIFS(OUT!$F$2:$F$11000,OUT!$H$2:$H$11000,H1303,OUT!$D$2:$D$11000,"Out",OUT!$E$2:$E$11000,"Mio")</f>
        <v>329000</v>
      </c>
      <c r="R1303" s="52">
        <f ca="1">SUMIFS(OUT!$F$2:$F$11000,OUT!$H$2:$H$11000,H1303,OUT!$D$2:$D$11000,"Out",OUT!$E$2:$E$11000,"Sedekah")</f>
        <v>5000</v>
      </c>
      <c r="S1303" s="52">
        <f ca="1">SUMIFS(OUT!$F$2:$F$11000,OUT!$H$2:$H$11000,H1303,OUT!$D$2:$D$11000,"Out",OUT!$E$2:$E$11000,"Zela")</f>
        <v>40500</v>
      </c>
      <c r="T1303" s="52">
        <f ca="1">SUMIFS(OUT!$F$2:$F$11000,OUT!$H$2:$H$11000,H1303,OUT!$D$2:$D$11000,"Out",OUT!$E$2:$E$11000,"Iqbal")</f>
        <v>295000</v>
      </c>
    </row>
    <row r="1304" spans="1:20" x14ac:dyDescent="0.2">
      <c r="A1304" s="48">
        <f ca="1">IFERROR(__xludf.DUMMYFUNCTION("""COMPUTED_VALUE"""),46263)</f>
        <v>46263</v>
      </c>
      <c r="B1304" s="4" t="str">
        <f ca="1">IFERROR(__xludf.DUMMYFUNCTION("""COMPUTED_VALUE"""),"Galon ")</f>
        <v xml:space="preserve">Galon </v>
      </c>
      <c r="C1304" s="4" t="str">
        <f ca="1">IFERROR(__xludf.DUMMYFUNCTION("""COMPUTED_VALUE"""),"Cash")</f>
        <v>Cash</v>
      </c>
      <c r="D1304" s="4" t="str">
        <f ca="1">IFERROR(__xludf.DUMMYFUNCTION("""COMPUTED_VALUE"""),"Out")</f>
        <v>Out</v>
      </c>
      <c r="E1304" s="4" t="str">
        <f ca="1">IFERROR(__xludf.DUMMYFUNCTION("""COMPUTED_VALUE"""),"Kitchen")</f>
        <v>Kitchen</v>
      </c>
      <c r="F1304" s="49">
        <f ca="1">IFERROR(__xludf.DUMMYFUNCTION("""COMPUTED_VALUE"""),4000)</f>
        <v>4000</v>
      </c>
      <c r="G1304" s="50" t="str">
        <f ca="1">IFERROR(__xludf.DUMMYFUNCTION("""COMPUTED_VALUE"""),"Zela")</f>
        <v>Zela</v>
      </c>
      <c r="H1304" s="51">
        <f t="shared" ca="1" si="0"/>
        <v>46235</v>
      </c>
      <c r="I1304" s="52" t="e">
        <f ca="1">SUMIFS(OUT!$F$2:$F$11000,OUT!$H$2:$H$11000,H1304,OUT!$D$2:$D$101007,"In")</f>
        <v>#VALUE!</v>
      </c>
      <c r="J1304" s="52">
        <f ca="1">SUMIFS(OUT!$F$2:$F$11000,OUT!$H$2:$H$11000,H1304,OUT!$D$2:$D$11000,"Out")</f>
        <v>9573570</v>
      </c>
      <c r="K1304" s="52">
        <f ca="1">SUMIFS(OUT!$F$2:$F$11000,OUT!$H$2:$H$11000,H1304,OUT!$D$2:$D$11000,"Out",OUT!$E$2:$E$11000,"Fix")</f>
        <v>2533689</v>
      </c>
      <c r="L1304" s="52">
        <f ca="1">SUMIFS(OUT!$F$2:$F$11000,OUT!$H$2:$H$11000,H1304,OUT!$D$2:$D$11000,"Out",OUT!$E$2:$E$11000,"Bathroom")</f>
        <v>14491</v>
      </c>
      <c r="M1304" s="52">
        <f ca="1">SUMIFS(OUT!$F$2:$F$11000,OUT!$H$2:$H$11000,H1304,OUT!$D$2:$D$11000,"Out",OUT!$E$2:$E$11000,"Alfa")</f>
        <v>452769</v>
      </c>
      <c r="N1304" s="52" t="e">
        <f ca="1">SUMIFS(OUT!$F$2:$F$11000,OUT!$H$2:$H$101007,H1304,OUT!$D$2:$D$11000,"Out",OUT!$E$2:$E$11000,"Jajan")</f>
        <v>#VALUE!</v>
      </c>
      <c r="O1304" s="52">
        <f ca="1">SUMIFS(OUT!$F$2:$F$11000,OUT!$H$2:$H$11000,H1304,OUT!$D$2:$D$11000,"Out",OUT!$E$2:$E$11000,"Kitchen")</f>
        <v>1584204</v>
      </c>
      <c r="P1304" s="52">
        <f ca="1">SUMIFS(OUT!$F$2:$F$11000,OUT!$H$2:$H$11000,H1304,OUT!$D$2:$D$11000,"Out",OUT!$E$2:$E$11000,"Loandry")</f>
        <v>43448</v>
      </c>
      <c r="Q1304" s="52">
        <f ca="1">SUMIFS(OUT!$F$2:$F$11000,OUT!$H$2:$H$11000,H1304,OUT!$D$2:$D$11000,"Out",OUT!$E$2:$E$11000,"Mio")</f>
        <v>329000</v>
      </c>
      <c r="R1304" s="52">
        <f ca="1">SUMIFS(OUT!$F$2:$F$11000,OUT!$H$2:$H$11000,H1304,OUT!$D$2:$D$11000,"Out",OUT!$E$2:$E$11000,"Sedekah")</f>
        <v>5000</v>
      </c>
      <c r="S1304" s="52">
        <f ca="1">SUMIFS(OUT!$F$2:$F$11000,OUT!$H$2:$H$11000,H1304,OUT!$D$2:$D$11000,"Out",OUT!$E$2:$E$11000,"Zela")</f>
        <v>40500</v>
      </c>
      <c r="T1304" s="52">
        <f ca="1">SUMIFS(OUT!$F$2:$F$11000,OUT!$H$2:$H$11000,H1304,OUT!$D$2:$D$11000,"Out",OUT!$E$2:$E$11000,"Iqbal")</f>
        <v>295000</v>
      </c>
    </row>
    <row r="1305" spans="1:20" x14ac:dyDescent="0.2">
      <c r="A1305" s="48">
        <f ca="1">IFERROR(__xludf.DUMMYFUNCTION("""COMPUTED_VALUE"""),46262)</f>
        <v>46262</v>
      </c>
      <c r="B1305" s="4" t="str">
        <f ca="1">IFERROR(__xludf.DUMMYFUNCTION("""COMPUTED_VALUE"""),"Pasar Kaget + parkir + admin BRIlink")</f>
        <v>Pasar Kaget + parkir + admin BRIlink</v>
      </c>
      <c r="C1305" s="4" t="str">
        <f ca="1">IFERROR(__xludf.DUMMYFUNCTION("""COMPUTED_VALUE"""),"Cash")</f>
        <v>Cash</v>
      </c>
      <c r="D1305" s="4" t="str">
        <f ca="1">IFERROR(__xludf.DUMMYFUNCTION("""COMPUTED_VALUE"""),"Out")</f>
        <v>Out</v>
      </c>
      <c r="E1305" s="4" t="str">
        <f ca="1">IFERROR(__xludf.DUMMYFUNCTION("""COMPUTED_VALUE"""),"Kitchen")</f>
        <v>Kitchen</v>
      </c>
      <c r="F1305" s="49">
        <f ca="1">IFERROR(__xludf.DUMMYFUNCTION("""COMPUTED_VALUE"""),111000)</f>
        <v>111000</v>
      </c>
      <c r="G1305" s="50" t="str">
        <f ca="1">IFERROR(__xludf.DUMMYFUNCTION("""COMPUTED_VALUE"""),"Zela")</f>
        <v>Zela</v>
      </c>
      <c r="H1305" s="51">
        <f t="shared" ca="1" si="0"/>
        <v>46235</v>
      </c>
      <c r="I1305" s="52" t="e">
        <f ca="1">SUMIFS(OUT!$F$2:$F$11000,OUT!$H$2:$H$11000,H1305,OUT!$D$2:$D$101007,"In")</f>
        <v>#VALUE!</v>
      </c>
      <c r="J1305" s="52">
        <f ca="1">SUMIFS(OUT!$F$2:$F$11000,OUT!$H$2:$H$11000,H1305,OUT!$D$2:$D$11000,"Out")</f>
        <v>9573570</v>
      </c>
      <c r="K1305" s="52">
        <f ca="1">SUMIFS(OUT!$F$2:$F$11000,OUT!$H$2:$H$11000,H1305,OUT!$D$2:$D$11000,"Out",OUT!$E$2:$E$11000,"Fix")</f>
        <v>2533689</v>
      </c>
      <c r="L1305" s="52">
        <f ca="1">SUMIFS(OUT!$F$2:$F$11000,OUT!$H$2:$H$11000,H1305,OUT!$D$2:$D$11000,"Out",OUT!$E$2:$E$11000,"Bathroom")</f>
        <v>14491</v>
      </c>
      <c r="M1305" s="52">
        <f ca="1">SUMIFS(OUT!$F$2:$F$11000,OUT!$H$2:$H$11000,H1305,OUT!$D$2:$D$11000,"Out",OUT!$E$2:$E$11000,"Alfa")</f>
        <v>452769</v>
      </c>
      <c r="N1305" s="52" t="e">
        <f ca="1">SUMIFS(OUT!$F$2:$F$11000,OUT!$H$2:$H$101007,H1305,OUT!$D$2:$D$11000,"Out",OUT!$E$2:$E$11000,"Jajan")</f>
        <v>#VALUE!</v>
      </c>
      <c r="O1305" s="52">
        <f ca="1">SUMIFS(OUT!$F$2:$F$11000,OUT!$H$2:$H$11000,H1305,OUT!$D$2:$D$11000,"Out",OUT!$E$2:$E$11000,"Kitchen")</f>
        <v>1584204</v>
      </c>
      <c r="P1305" s="52">
        <f ca="1">SUMIFS(OUT!$F$2:$F$11000,OUT!$H$2:$H$11000,H1305,OUT!$D$2:$D$11000,"Out",OUT!$E$2:$E$11000,"Loandry")</f>
        <v>43448</v>
      </c>
      <c r="Q1305" s="52">
        <f ca="1">SUMIFS(OUT!$F$2:$F$11000,OUT!$H$2:$H$11000,H1305,OUT!$D$2:$D$11000,"Out",OUT!$E$2:$E$11000,"Mio")</f>
        <v>329000</v>
      </c>
      <c r="R1305" s="52">
        <f ca="1">SUMIFS(OUT!$F$2:$F$11000,OUT!$H$2:$H$11000,H1305,OUT!$D$2:$D$11000,"Out",OUT!$E$2:$E$11000,"Sedekah")</f>
        <v>5000</v>
      </c>
      <c r="S1305" s="52">
        <f ca="1">SUMIFS(OUT!$F$2:$F$11000,OUT!$H$2:$H$11000,H1305,OUT!$D$2:$D$11000,"Out",OUT!$E$2:$E$11000,"Zela")</f>
        <v>40500</v>
      </c>
      <c r="T1305" s="52">
        <f ca="1">SUMIFS(OUT!$F$2:$F$11000,OUT!$H$2:$H$11000,H1305,OUT!$D$2:$D$11000,"Out",OUT!$E$2:$E$11000,"Iqbal")</f>
        <v>295000</v>
      </c>
    </row>
    <row r="1306" spans="1:20" x14ac:dyDescent="0.2">
      <c r="A1306" s="48">
        <f ca="1">IFERROR(__xludf.DUMMYFUNCTION("""COMPUTED_VALUE"""),46263)</f>
        <v>46263</v>
      </c>
      <c r="B1306" s="4" t="str">
        <f ca="1">IFERROR(__xludf.DUMMYFUNCTION("""COMPUTED_VALUE"""),"nasgor+bola² ayam")</f>
        <v>nasgor+bola² ayam</v>
      </c>
      <c r="C1306" s="4" t="str">
        <f ca="1">IFERROR(__xludf.DUMMYFUNCTION("""COMPUTED_VALUE"""),"Cash")</f>
        <v>Cash</v>
      </c>
      <c r="D1306" s="4" t="str">
        <f ca="1">IFERROR(__xludf.DUMMYFUNCTION("""COMPUTED_VALUE"""),"Out")</f>
        <v>Out</v>
      </c>
      <c r="E1306" s="4" t="str">
        <f ca="1">IFERROR(__xludf.DUMMYFUNCTION("""COMPUTED_VALUE"""),"Kitchen")</f>
        <v>Kitchen</v>
      </c>
      <c r="F1306" s="49">
        <f ca="1">IFERROR(__xludf.DUMMYFUNCTION("""COMPUTED_VALUE"""),20000)</f>
        <v>20000</v>
      </c>
      <c r="G1306" s="50" t="str">
        <f ca="1">IFERROR(__xludf.DUMMYFUNCTION("""COMPUTED_VALUE"""),"Zela")</f>
        <v>Zela</v>
      </c>
      <c r="H1306" s="51">
        <f t="shared" ca="1" si="0"/>
        <v>46235</v>
      </c>
      <c r="I1306" s="52" t="e">
        <f ca="1">SUMIFS(OUT!$F$2:$F$11000,OUT!$H$2:$H$11000,H1306,OUT!$D$2:$D$101007,"In")</f>
        <v>#VALUE!</v>
      </c>
      <c r="J1306" s="52">
        <f ca="1">SUMIFS(OUT!$F$2:$F$11000,OUT!$H$2:$H$11000,H1306,OUT!$D$2:$D$11000,"Out")</f>
        <v>9573570</v>
      </c>
      <c r="K1306" s="52">
        <f ca="1">SUMIFS(OUT!$F$2:$F$11000,OUT!$H$2:$H$11000,H1306,OUT!$D$2:$D$11000,"Out",OUT!$E$2:$E$11000,"Fix")</f>
        <v>2533689</v>
      </c>
      <c r="L1306" s="52">
        <f ca="1">SUMIFS(OUT!$F$2:$F$11000,OUT!$H$2:$H$11000,H1306,OUT!$D$2:$D$11000,"Out",OUT!$E$2:$E$11000,"Bathroom")</f>
        <v>14491</v>
      </c>
      <c r="M1306" s="52">
        <f ca="1">SUMIFS(OUT!$F$2:$F$11000,OUT!$H$2:$H$11000,H1306,OUT!$D$2:$D$11000,"Out",OUT!$E$2:$E$11000,"Alfa")</f>
        <v>452769</v>
      </c>
      <c r="N1306" s="52" t="e">
        <f ca="1">SUMIFS(OUT!$F$2:$F$11000,OUT!$H$2:$H$101007,H1306,OUT!$D$2:$D$11000,"Out",OUT!$E$2:$E$11000,"Jajan")</f>
        <v>#VALUE!</v>
      </c>
      <c r="O1306" s="52">
        <f ca="1">SUMIFS(OUT!$F$2:$F$11000,OUT!$H$2:$H$11000,H1306,OUT!$D$2:$D$11000,"Out",OUT!$E$2:$E$11000,"Kitchen")</f>
        <v>1584204</v>
      </c>
      <c r="P1306" s="52">
        <f ca="1">SUMIFS(OUT!$F$2:$F$11000,OUT!$H$2:$H$11000,H1306,OUT!$D$2:$D$11000,"Out",OUT!$E$2:$E$11000,"Loandry")</f>
        <v>43448</v>
      </c>
      <c r="Q1306" s="52">
        <f ca="1">SUMIFS(OUT!$F$2:$F$11000,OUT!$H$2:$H$11000,H1306,OUT!$D$2:$D$11000,"Out",OUT!$E$2:$E$11000,"Mio")</f>
        <v>329000</v>
      </c>
      <c r="R1306" s="52">
        <f ca="1">SUMIFS(OUT!$F$2:$F$11000,OUT!$H$2:$H$11000,H1306,OUT!$D$2:$D$11000,"Out",OUT!$E$2:$E$11000,"Sedekah")</f>
        <v>5000</v>
      </c>
      <c r="S1306" s="52">
        <f ca="1">SUMIFS(OUT!$F$2:$F$11000,OUT!$H$2:$H$11000,H1306,OUT!$D$2:$D$11000,"Out",OUT!$E$2:$E$11000,"Zela")</f>
        <v>40500</v>
      </c>
      <c r="T1306" s="52">
        <f ca="1">SUMIFS(OUT!$F$2:$F$11000,OUT!$H$2:$H$11000,H1306,OUT!$D$2:$D$11000,"Out",OUT!$E$2:$E$11000,"Iqbal")</f>
        <v>295000</v>
      </c>
    </row>
    <row r="1307" spans="1:20" x14ac:dyDescent="0.2">
      <c r="A1307" s="48">
        <f ca="1">IFERROR(__xludf.DUMMYFUNCTION("""COMPUTED_VALUE"""),46263)</f>
        <v>46263</v>
      </c>
      <c r="B1307" s="4" t="str">
        <f ca="1">IFERROR(__xludf.DUMMYFUNCTION("""COMPUTED_VALUE"""),"alfa+kecap ")</f>
        <v xml:space="preserve">alfa+kecap </v>
      </c>
      <c r="C1307" s="4" t="str">
        <f ca="1">IFERROR(__xludf.DUMMYFUNCTION("""COMPUTED_VALUE"""),"Cash")</f>
        <v>Cash</v>
      </c>
      <c r="D1307" s="4" t="str">
        <f ca="1">IFERROR(__xludf.DUMMYFUNCTION("""COMPUTED_VALUE"""),"Out")</f>
        <v>Out</v>
      </c>
      <c r="E1307" s="4" t="str">
        <f ca="1">IFERROR(__xludf.DUMMYFUNCTION("""COMPUTED_VALUE"""),"Kitchen")</f>
        <v>Kitchen</v>
      </c>
      <c r="F1307" s="49">
        <f ca="1">IFERROR(__xludf.DUMMYFUNCTION("""COMPUTED_VALUE"""),5000)</f>
        <v>5000</v>
      </c>
      <c r="G1307" s="50" t="str">
        <f ca="1">IFERROR(__xludf.DUMMYFUNCTION("""COMPUTED_VALUE"""),"Zela")</f>
        <v>Zela</v>
      </c>
      <c r="H1307" s="51">
        <f t="shared" ca="1" si="0"/>
        <v>46235</v>
      </c>
      <c r="I1307" s="52" t="e">
        <f ca="1">SUMIFS(OUT!$F$2:$F$11000,OUT!$H$2:$H$11000,H1307,OUT!$D$2:$D$101007,"In")</f>
        <v>#VALUE!</v>
      </c>
      <c r="J1307" s="52">
        <f ca="1">SUMIFS(OUT!$F$2:$F$11000,OUT!$H$2:$H$11000,H1307,OUT!$D$2:$D$11000,"Out")</f>
        <v>9573570</v>
      </c>
      <c r="K1307" s="52">
        <f ca="1">SUMIFS(OUT!$F$2:$F$11000,OUT!$H$2:$H$11000,H1307,OUT!$D$2:$D$11000,"Out",OUT!$E$2:$E$11000,"Fix")</f>
        <v>2533689</v>
      </c>
      <c r="L1307" s="52">
        <f ca="1">SUMIFS(OUT!$F$2:$F$11000,OUT!$H$2:$H$11000,H1307,OUT!$D$2:$D$11000,"Out",OUT!$E$2:$E$11000,"Bathroom")</f>
        <v>14491</v>
      </c>
      <c r="M1307" s="52">
        <f ca="1">SUMIFS(OUT!$F$2:$F$11000,OUT!$H$2:$H$11000,H1307,OUT!$D$2:$D$11000,"Out",OUT!$E$2:$E$11000,"Alfa")</f>
        <v>452769</v>
      </c>
      <c r="N1307" s="52" t="e">
        <f ca="1">SUMIFS(OUT!$F$2:$F$11000,OUT!$H$2:$H$101007,H1307,OUT!$D$2:$D$11000,"Out",OUT!$E$2:$E$11000,"Jajan")</f>
        <v>#VALUE!</v>
      </c>
      <c r="O1307" s="52">
        <f ca="1">SUMIFS(OUT!$F$2:$F$11000,OUT!$H$2:$H$11000,H1307,OUT!$D$2:$D$11000,"Out",OUT!$E$2:$E$11000,"Kitchen")</f>
        <v>1584204</v>
      </c>
      <c r="P1307" s="52">
        <f ca="1">SUMIFS(OUT!$F$2:$F$11000,OUT!$H$2:$H$11000,H1307,OUT!$D$2:$D$11000,"Out",OUT!$E$2:$E$11000,"Loandry")</f>
        <v>43448</v>
      </c>
      <c r="Q1307" s="52">
        <f ca="1">SUMIFS(OUT!$F$2:$F$11000,OUT!$H$2:$H$11000,H1307,OUT!$D$2:$D$11000,"Out",OUT!$E$2:$E$11000,"Mio")</f>
        <v>329000</v>
      </c>
      <c r="R1307" s="52">
        <f ca="1">SUMIFS(OUT!$F$2:$F$11000,OUT!$H$2:$H$11000,H1307,OUT!$D$2:$D$11000,"Out",OUT!$E$2:$E$11000,"Sedekah")</f>
        <v>5000</v>
      </c>
      <c r="S1307" s="52">
        <f ca="1">SUMIFS(OUT!$F$2:$F$11000,OUT!$H$2:$H$11000,H1307,OUT!$D$2:$D$11000,"Out",OUT!$E$2:$E$11000,"Zela")</f>
        <v>40500</v>
      </c>
      <c r="T1307" s="52">
        <f ca="1">SUMIFS(OUT!$F$2:$F$11000,OUT!$H$2:$H$11000,H1307,OUT!$D$2:$D$11000,"Out",OUT!$E$2:$E$11000,"Iqbal")</f>
        <v>295000</v>
      </c>
    </row>
    <row r="1308" spans="1:20" x14ac:dyDescent="0.2">
      <c r="A1308" s="48">
        <f ca="1">IFERROR(__xludf.DUMMYFUNCTION("""COMPUTED_VALUE"""),46263)</f>
        <v>46263</v>
      </c>
      <c r="B1308" s="4" t="str">
        <f ca="1">IFERROR(__xludf.DUMMYFUNCTION("""COMPUTED_VALUE"""),"mie + bola² Ayam")</f>
        <v>mie + bola² Ayam</v>
      </c>
      <c r="C1308" s="4" t="str">
        <f ca="1">IFERROR(__xludf.DUMMYFUNCTION("""COMPUTED_VALUE"""),"Cash")</f>
        <v>Cash</v>
      </c>
      <c r="D1308" s="4" t="str">
        <f ca="1">IFERROR(__xludf.DUMMYFUNCTION("""COMPUTED_VALUE"""),"Out")</f>
        <v>Out</v>
      </c>
      <c r="E1308" s="4" t="str">
        <f ca="1">IFERROR(__xludf.DUMMYFUNCTION("""COMPUTED_VALUE"""),"Kitchen")</f>
        <v>Kitchen</v>
      </c>
      <c r="F1308" s="49">
        <f ca="1">IFERROR(__xludf.DUMMYFUNCTION("""COMPUTED_VALUE"""),16000)</f>
        <v>16000</v>
      </c>
      <c r="G1308" s="50" t="str">
        <f ca="1">IFERROR(__xludf.DUMMYFUNCTION("""COMPUTED_VALUE"""),"Zela")</f>
        <v>Zela</v>
      </c>
      <c r="H1308" s="51">
        <f t="shared" ca="1" si="0"/>
        <v>46235</v>
      </c>
      <c r="I1308" s="52" t="e">
        <f ca="1">SUMIFS(OUT!$F$2:$F$11000,OUT!$H$2:$H$11000,H1308,OUT!$D$2:$D$101007,"In")</f>
        <v>#VALUE!</v>
      </c>
      <c r="J1308" s="52">
        <f ca="1">SUMIFS(OUT!$F$2:$F$11000,OUT!$H$2:$H$11000,H1308,OUT!$D$2:$D$11000,"Out")</f>
        <v>9573570</v>
      </c>
      <c r="K1308" s="52">
        <f ca="1">SUMIFS(OUT!$F$2:$F$11000,OUT!$H$2:$H$11000,H1308,OUT!$D$2:$D$11000,"Out",OUT!$E$2:$E$11000,"Fix")</f>
        <v>2533689</v>
      </c>
      <c r="L1308" s="52">
        <f ca="1">SUMIFS(OUT!$F$2:$F$11000,OUT!$H$2:$H$11000,H1308,OUT!$D$2:$D$11000,"Out",OUT!$E$2:$E$11000,"Bathroom")</f>
        <v>14491</v>
      </c>
      <c r="M1308" s="52">
        <f ca="1">SUMIFS(OUT!$F$2:$F$11000,OUT!$H$2:$H$11000,H1308,OUT!$D$2:$D$11000,"Out",OUT!$E$2:$E$11000,"Alfa")</f>
        <v>452769</v>
      </c>
      <c r="N1308" s="52" t="e">
        <f ca="1">SUMIFS(OUT!$F$2:$F$11000,OUT!$H$2:$H$101007,H1308,OUT!$D$2:$D$11000,"Out",OUT!$E$2:$E$11000,"Jajan")</f>
        <v>#VALUE!</v>
      </c>
      <c r="O1308" s="52">
        <f ca="1">SUMIFS(OUT!$F$2:$F$11000,OUT!$H$2:$H$11000,H1308,OUT!$D$2:$D$11000,"Out",OUT!$E$2:$E$11000,"Kitchen")</f>
        <v>1584204</v>
      </c>
      <c r="P1308" s="52">
        <f ca="1">SUMIFS(OUT!$F$2:$F$11000,OUT!$H$2:$H$11000,H1308,OUT!$D$2:$D$11000,"Out",OUT!$E$2:$E$11000,"Loandry")</f>
        <v>43448</v>
      </c>
      <c r="Q1308" s="52">
        <f ca="1">SUMIFS(OUT!$F$2:$F$11000,OUT!$H$2:$H$11000,H1308,OUT!$D$2:$D$11000,"Out",OUT!$E$2:$E$11000,"Mio")</f>
        <v>329000</v>
      </c>
      <c r="R1308" s="52">
        <f ca="1">SUMIFS(OUT!$F$2:$F$11000,OUT!$H$2:$H$11000,H1308,OUT!$D$2:$D$11000,"Out",OUT!$E$2:$E$11000,"Sedekah")</f>
        <v>5000</v>
      </c>
      <c r="S1308" s="52">
        <f ca="1">SUMIFS(OUT!$F$2:$F$11000,OUT!$H$2:$H$11000,H1308,OUT!$D$2:$D$11000,"Out",OUT!$E$2:$E$11000,"Zela")</f>
        <v>40500</v>
      </c>
      <c r="T1308" s="52">
        <f ca="1">SUMIFS(OUT!$F$2:$F$11000,OUT!$H$2:$H$11000,H1308,OUT!$D$2:$D$11000,"Out",OUT!$E$2:$E$11000,"Iqbal")</f>
        <v>295000</v>
      </c>
    </row>
    <row r="1309" spans="1:20" x14ac:dyDescent="0.2">
      <c r="A1309" s="48">
        <f ca="1">IFERROR(__xludf.DUMMYFUNCTION("""COMPUTED_VALUE"""),46264)</f>
        <v>46264</v>
      </c>
      <c r="B1309" s="4" t="str">
        <f ca="1">IFERROR(__xludf.DUMMYFUNCTION("""COMPUTED_VALUE"""),"Gas ")</f>
        <v xml:space="preserve">Gas </v>
      </c>
      <c r="C1309" s="4" t="str">
        <f ca="1">IFERROR(__xludf.DUMMYFUNCTION("""COMPUTED_VALUE"""),"Cash")</f>
        <v>Cash</v>
      </c>
      <c r="D1309" s="4" t="str">
        <f ca="1">IFERROR(__xludf.DUMMYFUNCTION("""COMPUTED_VALUE"""),"Out")</f>
        <v>Out</v>
      </c>
      <c r="E1309" s="4" t="str">
        <f ca="1">IFERROR(__xludf.DUMMYFUNCTION("""COMPUTED_VALUE"""),"Kitchen")</f>
        <v>Kitchen</v>
      </c>
      <c r="F1309" s="49">
        <f ca="1">IFERROR(__xludf.DUMMYFUNCTION("""COMPUTED_VALUE"""),18000)</f>
        <v>18000</v>
      </c>
      <c r="G1309" s="50" t="str">
        <f ca="1">IFERROR(__xludf.DUMMYFUNCTION("""COMPUTED_VALUE"""),"Zela")</f>
        <v>Zela</v>
      </c>
      <c r="H1309" s="51">
        <f t="shared" ca="1" si="0"/>
        <v>46235</v>
      </c>
      <c r="I1309" s="52" t="e">
        <f ca="1">SUMIFS(OUT!$F$2:$F$11000,OUT!$H$2:$H$11000,H1309,OUT!$D$2:$D$101007,"In")</f>
        <v>#VALUE!</v>
      </c>
      <c r="J1309" s="52">
        <f ca="1">SUMIFS(OUT!$F$2:$F$11000,OUT!$H$2:$H$11000,H1309,OUT!$D$2:$D$11000,"Out")</f>
        <v>9573570</v>
      </c>
      <c r="K1309" s="52">
        <f ca="1">SUMIFS(OUT!$F$2:$F$11000,OUT!$H$2:$H$11000,H1309,OUT!$D$2:$D$11000,"Out",OUT!$E$2:$E$11000,"Fix")</f>
        <v>2533689</v>
      </c>
      <c r="L1309" s="52">
        <f ca="1">SUMIFS(OUT!$F$2:$F$11000,OUT!$H$2:$H$11000,H1309,OUT!$D$2:$D$11000,"Out",OUT!$E$2:$E$11000,"Bathroom")</f>
        <v>14491</v>
      </c>
      <c r="M1309" s="52">
        <f ca="1">SUMIFS(OUT!$F$2:$F$11000,OUT!$H$2:$H$11000,H1309,OUT!$D$2:$D$11000,"Out",OUT!$E$2:$E$11000,"Alfa")</f>
        <v>452769</v>
      </c>
      <c r="N1309" s="52" t="e">
        <f ca="1">SUMIFS(OUT!$F$2:$F$11000,OUT!$H$2:$H$101007,H1309,OUT!$D$2:$D$11000,"Out",OUT!$E$2:$E$11000,"Jajan")</f>
        <v>#VALUE!</v>
      </c>
      <c r="O1309" s="52">
        <f ca="1">SUMIFS(OUT!$F$2:$F$11000,OUT!$H$2:$H$11000,H1309,OUT!$D$2:$D$11000,"Out",OUT!$E$2:$E$11000,"Kitchen")</f>
        <v>1584204</v>
      </c>
      <c r="P1309" s="52">
        <f ca="1">SUMIFS(OUT!$F$2:$F$11000,OUT!$H$2:$H$11000,H1309,OUT!$D$2:$D$11000,"Out",OUT!$E$2:$E$11000,"Loandry")</f>
        <v>43448</v>
      </c>
      <c r="Q1309" s="52">
        <f ca="1">SUMIFS(OUT!$F$2:$F$11000,OUT!$H$2:$H$11000,H1309,OUT!$D$2:$D$11000,"Out",OUT!$E$2:$E$11000,"Mio")</f>
        <v>329000</v>
      </c>
      <c r="R1309" s="52">
        <f ca="1">SUMIFS(OUT!$F$2:$F$11000,OUT!$H$2:$H$11000,H1309,OUT!$D$2:$D$11000,"Out",OUT!$E$2:$E$11000,"Sedekah")</f>
        <v>5000</v>
      </c>
      <c r="S1309" s="52">
        <f ca="1">SUMIFS(OUT!$F$2:$F$11000,OUT!$H$2:$H$11000,H1309,OUT!$D$2:$D$11000,"Out",OUT!$E$2:$E$11000,"Zela")</f>
        <v>40500</v>
      </c>
      <c r="T1309" s="52">
        <f ca="1">SUMIFS(OUT!$F$2:$F$11000,OUT!$H$2:$H$11000,H1309,OUT!$D$2:$D$11000,"Out",OUT!$E$2:$E$11000,"Iqbal")</f>
        <v>295000</v>
      </c>
    </row>
    <row r="1310" spans="1:20" x14ac:dyDescent="0.2">
      <c r="A1310" s="48">
        <f ca="1">IFERROR(__xludf.DUMMYFUNCTION("""COMPUTED_VALUE"""),46265)</f>
        <v>46265</v>
      </c>
      <c r="B1310" s="4" t="str">
        <f ca="1">IFERROR(__xludf.DUMMYFUNCTION("""COMPUTED_VALUE"""),"Jajan alfa ")</f>
        <v xml:space="preserve">Jajan alfa </v>
      </c>
      <c r="C1310" s="4" t="str">
        <f ca="1">IFERROR(__xludf.DUMMYFUNCTION("""COMPUTED_VALUE"""),"Cash")</f>
        <v>Cash</v>
      </c>
      <c r="D1310" s="4" t="str">
        <f ca="1">IFERROR(__xludf.DUMMYFUNCTION("""COMPUTED_VALUE"""),"Out")</f>
        <v>Out</v>
      </c>
      <c r="E1310" s="4" t="str">
        <f ca="1">IFERROR(__xludf.DUMMYFUNCTION("""COMPUTED_VALUE"""),"Jajan")</f>
        <v>Jajan</v>
      </c>
      <c r="F1310" s="49">
        <f ca="1">IFERROR(__xludf.DUMMYFUNCTION("""COMPUTED_VALUE"""),5000)</f>
        <v>5000</v>
      </c>
      <c r="G1310" s="50" t="str">
        <f ca="1">IFERROR(__xludf.DUMMYFUNCTION("""COMPUTED_VALUE"""),"Zela")</f>
        <v>Zela</v>
      </c>
      <c r="H1310" s="51">
        <f t="shared" ca="1" si="0"/>
        <v>46235</v>
      </c>
      <c r="I1310" s="52" t="e">
        <f ca="1">SUMIFS(OUT!$F$2:$F$11000,OUT!$H$2:$H$11000,H1310,OUT!$D$2:$D$101007,"In")</f>
        <v>#VALUE!</v>
      </c>
      <c r="J1310" s="52">
        <f ca="1">SUMIFS(OUT!$F$2:$F$11000,OUT!$H$2:$H$11000,H1310,OUT!$D$2:$D$11000,"Out")</f>
        <v>9573570</v>
      </c>
      <c r="K1310" s="52">
        <f ca="1">SUMIFS(OUT!$F$2:$F$11000,OUT!$H$2:$H$11000,H1310,OUT!$D$2:$D$11000,"Out",OUT!$E$2:$E$11000,"Fix")</f>
        <v>2533689</v>
      </c>
      <c r="L1310" s="52">
        <f ca="1">SUMIFS(OUT!$F$2:$F$11000,OUT!$H$2:$H$11000,H1310,OUT!$D$2:$D$11000,"Out",OUT!$E$2:$E$11000,"Bathroom")</f>
        <v>14491</v>
      </c>
      <c r="M1310" s="52">
        <f ca="1">SUMIFS(OUT!$F$2:$F$11000,OUT!$H$2:$H$11000,H1310,OUT!$D$2:$D$11000,"Out",OUT!$E$2:$E$11000,"Alfa")</f>
        <v>452769</v>
      </c>
      <c r="N1310" s="52" t="e">
        <f ca="1">SUMIFS(OUT!$F$2:$F$11000,OUT!$H$2:$H$101007,H1310,OUT!$D$2:$D$11000,"Out",OUT!$E$2:$E$11000,"Jajan")</f>
        <v>#VALUE!</v>
      </c>
      <c r="O1310" s="52">
        <f ca="1">SUMIFS(OUT!$F$2:$F$11000,OUT!$H$2:$H$11000,H1310,OUT!$D$2:$D$11000,"Out",OUT!$E$2:$E$11000,"Kitchen")</f>
        <v>1584204</v>
      </c>
      <c r="P1310" s="52">
        <f ca="1">SUMIFS(OUT!$F$2:$F$11000,OUT!$H$2:$H$11000,H1310,OUT!$D$2:$D$11000,"Out",OUT!$E$2:$E$11000,"Loandry")</f>
        <v>43448</v>
      </c>
      <c r="Q1310" s="52">
        <f ca="1">SUMIFS(OUT!$F$2:$F$11000,OUT!$H$2:$H$11000,H1310,OUT!$D$2:$D$11000,"Out",OUT!$E$2:$E$11000,"Mio")</f>
        <v>329000</v>
      </c>
      <c r="R1310" s="52">
        <f ca="1">SUMIFS(OUT!$F$2:$F$11000,OUT!$H$2:$H$11000,H1310,OUT!$D$2:$D$11000,"Out",OUT!$E$2:$E$11000,"Sedekah")</f>
        <v>5000</v>
      </c>
      <c r="S1310" s="52">
        <f ca="1">SUMIFS(OUT!$F$2:$F$11000,OUT!$H$2:$H$11000,H1310,OUT!$D$2:$D$11000,"Out",OUT!$E$2:$E$11000,"Zela")</f>
        <v>40500</v>
      </c>
      <c r="T1310" s="52">
        <f ca="1">SUMIFS(OUT!$F$2:$F$11000,OUT!$H$2:$H$11000,H1310,OUT!$D$2:$D$11000,"Out",OUT!$E$2:$E$11000,"Iqbal")</f>
        <v>295000</v>
      </c>
    </row>
    <row r="1311" spans="1:20" x14ac:dyDescent="0.2">
      <c r="A1311" s="48">
        <f ca="1">IFERROR(__xludf.DUMMYFUNCTION("""COMPUTED_VALUE"""),46265)</f>
        <v>46265</v>
      </c>
      <c r="B1311" s="4" t="str">
        <f ca="1">IFERROR(__xludf.DUMMYFUNCTION("""COMPUTED_VALUE"""),"susu + Bros+kainlap ( dapur ) ( shopee)")</f>
        <v>susu + Bros+kainlap ( dapur ) ( shopee)</v>
      </c>
      <c r="C1311" s="4" t="str">
        <f ca="1">IFERROR(__xludf.DUMMYFUNCTION("""COMPUTED_VALUE"""),"ATM")</f>
        <v>ATM</v>
      </c>
      <c r="D1311" s="4" t="str">
        <f ca="1">IFERROR(__xludf.DUMMYFUNCTION("""COMPUTED_VALUE"""),"Out")</f>
        <v>Out</v>
      </c>
      <c r="E1311" s="4" t="str">
        <f ca="1">IFERROR(__xludf.DUMMYFUNCTION("""COMPUTED_VALUE"""),"Alfa")</f>
        <v>Alfa</v>
      </c>
      <c r="F1311" s="49">
        <f ca="1">IFERROR(__xludf.DUMMYFUNCTION("""COMPUTED_VALUE"""),18000)</f>
        <v>18000</v>
      </c>
      <c r="G1311" s="50" t="str">
        <f ca="1">IFERROR(__xludf.DUMMYFUNCTION("""COMPUTED_VALUE"""),"Zela")</f>
        <v>Zela</v>
      </c>
      <c r="H1311" s="51">
        <f t="shared" ca="1" si="0"/>
        <v>46235</v>
      </c>
      <c r="I1311" s="52" t="e">
        <f ca="1">SUMIFS(OUT!$F$2:$F$11000,OUT!$H$2:$H$11000,H1311,OUT!$D$2:$D$101007,"In")</f>
        <v>#VALUE!</v>
      </c>
      <c r="J1311" s="52">
        <f ca="1">SUMIFS(OUT!$F$2:$F$11000,OUT!$H$2:$H$11000,H1311,OUT!$D$2:$D$11000,"Out")</f>
        <v>9573570</v>
      </c>
      <c r="K1311" s="52">
        <f ca="1">SUMIFS(OUT!$F$2:$F$11000,OUT!$H$2:$H$11000,H1311,OUT!$D$2:$D$11000,"Out",OUT!$E$2:$E$11000,"Fix")</f>
        <v>2533689</v>
      </c>
      <c r="L1311" s="52">
        <f ca="1">SUMIFS(OUT!$F$2:$F$11000,OUT!$H$2:$H$11000,H1311,OUT!$D$2:$D$11000,"Out",OUT!$E$2:$E$11000,"Bathroom")</f>
        <v>14491</v>
      </c>
      <c r="M1311" s="52">
        <f ca="1">SUMIFS(OUT!$F$2:$F$11000,OUT!$H$2:$H$11000,H1311,OUT!$D$2:$D$11000,"Out",OUT!$E$2:$E$11000,"Alfa")</f>
        <v>452769</v>
      </c>
      <c r="N1311" s="52" t="e">
        <f ca="1">SUMIFS(OUT!$F$2:$F$11000,OUT!$H$2:$H$101007,H1311,OUT!$D$2:$D$11000,"Out",OUT!$E$2:$E$11000,"Jajan")</f>
        <v>#VALUE!</v>
      </c>
      <c r="O1311" s="52">
        <f ca="1">SUMIFS(OUT!$F$2:$F$11000,OUT!$H$2:$H$11000,H1311,OUT!$D$2:$D$11000,"Out",OUT!$E$2:$E$11000,"Kitchen")</f>
        <v>1584204</v>
      </c>
      <c r="P1311" s="52">
        <f ca="1">SUMIFS(OUT!$F$2:$F$11000,OUT!$H$2:$H$11000,H1311,OUT!$D$2:$D$11000,"Out",OUT!$E$2:$E$11000,"Loandry")</f>
        <v>43448</v>
      </c>
      <c r="Q1311" s="52">
        <f ca="1">SUMIFS(OUT!$F$2:$F$11000,OUT!$H$2:$H$11000,H1311,OUT!$D$2:$D$11000,"Out",OUT!$E$2:$E$11000,"Mio")</f>
        <v>329000</v>
      </c>
      <c r="R1311" s="52">
        <f ca="1">SUMIFS(OUT!$F$2:$F$11000,OUT!$H$2:$H$11000,H1311,OUT!$D$2:$D$11000,"Out",OUT!$E$2:$E$11000,"Sedekah")</f>
        <v>5000</v>
      </c>
      <c r="S1311" s="52">
        <f ca="1">SUMIFS(OUT!$F$2:$F$11000,OUT!$H$2:$H$11000,H1311,OUT!$D$2:$D$11000,"Out",OUT!$E$2:$E$11000,"Zela")</f>
        <v>40500</v>
      </c>
      <c r="T1311" s="52">
        <f ca="1">SUMIFS(OUT!$F$2:$F$11000,OUT!$H$2:$H$11000,H1311,OUT!$D$2:$D$11000,"Out",OUT!$E$2:$E$11000,"Iqbal")</f>
        <v>295000</v>
      </c>
    </row>
    <row r="1312" spans="1:20" x14ac:dyDescent="0.2">
      <c r="A1312" s="48">
        <f ca="1">IFERROR(__xludf.DUMMYFUNCTION("""COMPUTED_VALUE"""),46264)</f>
        <v>46264</v>
      </c>
      <c r="B1312" s="4" t="str">
        <f ca="1">IFERROR(__xludf.DUMMYFUNCTION("""COMPUTED_VALUE"""),"tiktok 2")</f>
        <v>tiktok 2</v>
      </c>
      <c r="C1312" s="4" t="str">
        <f ca="1">IFERROR(__xludf.DUMMYFUNCTION("""COMPUTED_VALUE"""),"ATM")</f>
        <v>ATM</v>
      </c>
      <c r="D1312" s="4" t="str">
        <f ca="1">IFERROR(__xludf.DUMMYFUNCTION("""COMPUTED_VALUE"""),"In")</f>
        <v>In</v>
      </c>
      <c r="E1312" s="4" t="str">
        <f ca="1">IFERROR(__xludf.DUMMYFUNCTION("""COMPUTED_VALUE"""),"Fix")</f>
        <v>Fix</v>
      </c>
      <c r="F1312" s="49">
        <f ca="1">IFERROR(__xludf.DUMMYFUNCTION("""COMPUTED_VALUE"""),11567)</f>
        <v>11567</v>
      </c>
      <c r="G1312" s="50" t="str">
        <f ca="1">IFERROR(__xludf.DUMMYFUNCTION("""COMPUTED_VALUE"""),"Zela")</f>
        <v>Zela</v>
      </c>
      <c r="H1312" s="51">
        <f t="shared" ca="1" si="0"/>
        <v>46235</v>
      </c>
      <c r="I1312" s="52" t="e">
        <f ca="1">SUMIFS(OUT!$F$2:$F$11000,OUT!$H$2:$H$11000,H1312,OUT!$D$2:$D$101007,"In")</f>
        <v>#VALUE!</v>
      </c>
      <c r="J1312" s="52">
        <f ca="1">SUMIFS(OUT!$F$2:$F$11000,OUT!$H$2:$H$11000,H1312,OUT!$D$2:$D$11000,"Out")</f>
        <v>9573570</v>
      </c>
      <c r="K1312" s="52">
        <f ca="1">SUMIFS(OUT!$F$2:$F$11000,OUT!$H$2:$H$11000,H1312,OUT!$D$2:$D$11000,"Out",OUT!$E$2:$E$11000,"Fix")</f>
        <v>2533689</v>
      </c>
      <c r="L1312" s="52">
        <f ca="1">SUMIFS(OUT!$F$2:$F$11000,OUT!$H$2:$H$11000,H1312,OUT!$D$2:$D$11000,"Out",OUT!$E$2:$E$11000,"Bathroom")</f>
        <v>14491</v>
      </c>
      <c r="M1312" s="52">
        <f ca="1">SUMIFS(OUT!$F$2:$F$11000,OUT!$H$2:$H$11000,H1312,OUT!$D$2:$D$11000,"Out",OUT!$E$2:$E$11000,"Alfa")</f>
        <v>452769</v>
      </c>
      <c r="N1312" s="52" t="e">
        <f ca="1">SUMIFS(OUT!$F$2:$F$11000,OUT!$H$2:$H$101007,H1312,OUT!$D$2:$D$11000,"Out",OUT!$E$2:$E$11000,"Jajan")</f>
        <v>#VALUE!</v>
      </c>
      <c r="O1312" s="52">
        <f ca="1">SUMIFS(OUT!$F$2:$F$11000,OUT!$H$2:$H$11000,H1312,OUT!$D$2:$D$11000,"Out",OUT!$E$2:$E$11000,"Kitchen")</f>
        <v>1584204</v>
      </c>
      <c r="P1312" s="52">
        <f ca="1">SUMIFS(OUT!$F$2:$F$11000,OUT!$H$2:$H$11000,H1312,OUT!$D$2:$D$11000,"Out",OUT!$E$2:$E$11000,"Loandry")</f>
        <v>43448</v>
      </c>
      <c r="Q1312" s="52">
        <f ca="1">SUMIFS(OUT!$F$2:$F$11000,OUT!$H$2:$H$11000,H1312,OUT!$D$2:$D$11000,"Out",OUT!$E$2:$E$11000,"Mio")</f>
        <v>329000</v>
      </c>
      <c r="R1312" s="52">
        <f ca="1">SUMIFS(OUT!$F$2:$F$11000,OUT!$H$2:$H$11000,H1312,OUT!$D$2:$D$11000,"Out",OUT!$E$2:$E$11000,"Sedekah")</f>
        <v>5000</v>
      </c>
      <c r="S1312" s="52">
        <f ca="1">SUMIFS(OUT!$F$2:$F$11000,OUT!$H$2:$H$11000,H1312,OUT!$D$2:$D$11000,"Out",OUT!$E$2:$E$11000,"Zela")</f>
        <v>40500</v>
      </c>
      <c r="T1312" s="52">
        <f ca="1">SUMIFS(OUT!$F$2:$F$11000,OUT!$H$2:$H$11000,H1312,OUT!$D$2:$D$11000,"Out",OUT!$E$2:$E$11000,"Iqbal")</f>
        <v>295000</v>
      </c>
    </row>
    <row r="1313" spans="1:20" x14ac:dyDescent="0.2">
      <c r="A1313" s="48">
        <f ca="1">IFERROR(__xludf.DUMMYFUNCTION("""COMPUTED_VALUE"""),46265)</f>
        <v>46265</v>
      </c>
      <c r="B1313" s="4" t="str">
        <f ca="1">IFERROR(__xludf.DUMMYFUNCTION("""COMPUTED_VALUE"""),"Nenek Prawang (Alfa)")</f>
        <v>Nenek Prawang (Alfa)</v>
      </c>
      <c r="C1313" s="4" t="str">
        <f ca="1">IFERROR(__xludf.DUMMYFUNCTION("""COMPUTED_VALUE"""),"ATM")</f>
        <v>ATM</v>
      </c>
      <c r="D1313" s="4" t="str">
        <f ca="1">IFERROR(__xludf.DUMMYFUNCTION("""COMPUTED_VALUE"""),"In")</f>
        <v>In</v>
      </c>
      <c r="E1313" s="4" t="str">
        <f ca="1">IFERROR(__xludf.DUMMYFUNCTION("""COMPUTED_VALUE"""),"Fix")</f>
        <v>Fix</v>
      </c>
      <c r="F1313" s="49">
        <f ca="1">IFERROR(__xludf.DUMMYFUNCTION("""COMPUTED_VALUE"""),50000)</f>
        <v>50000</v>
      </c>
      <c r="G1313" s="50" t="str">
        <f ca="1">IFERROR(__xludf.DUMMYFUNCTION("""COMPUTED_VALUE"""),"Zela")</f>
        <v>Zela</v>
      </c>
      <c r="H1313" s="51">
        <f t="shared" ca="1" si="0"/>
        <v>46235</v>
      </c>
      <c r="I1313" s="52" t="e">
        <f ca="1">SUMIFS(OUT!$F$2:$F$11000,OUT!$H$2:$H$11000,H1313,OUT!$D$2:$D$101007,"In")</f>
        <v>#VALUE!</v>
      </c>
      <c r="J1313" s="52">
        <f ca="1">SUMIFS(OUT!$F$2:$F$11000,OUT!$H$2:$H$11000,H1313,OUT!$D$2:$D$11000,"Out")</f>
        <v>9573570</v>
      </c>
      <c r="K1313" s="52">
        <f ca="1">SUMIFS(OUT!$F$2:$F$11000,OUT!$H$2:$H$11000,H1313,OUT!$D$2:$D$11000,"Out",OUT!$E$2:$E$11000,"Fix")</f>
        <v>2533689</v>
      </c>
      <c r="L1313" s="52">
        <f ca="1">SUMIFS(OUT!$F$2:$F$11000,OUT!$H$2:$H$11000,H1313,OUT!$D$2:$D$11000,"Out",OUT!$E$2:$E$11000,"Bathroom")</f>
        <v>14491</v>
      </c>
      <c r="M1313" s="52">
        <f ca="1">SUMIFS(OUT!$F$2:$F$11000,OUT!$H$2:$H$11000,H1313,OUT!$D$2:$D$11000,"Out",OUT!$E$2:$E$11000,"Alfa")</f>
        <v>452769</v>
      </c>
      <c r="N1313" s="52" t="e">
        <f ca="1">SUMIFS(OUT!$F$2:$F$11000,OUT!$H$2:$H$101007,H1313,OUT!$D$2:$D$11000,"Out",OUT!$E$2:$E$11000,"Jajan")</f>
        <v>#VALUE!</v>
      </c>
      <c r="O1313" s="52">
        <f ca="1">SUMIFS(OUT!$F$2:$F$11000,OUT!$H$2:$H$11000,H1313,OUT!$D$2:$D$11000,"Out",OUT!$E$2:$E$11000,"Kitchen")</f>
        <v>1584204</v>
      </c>
      <c r="P1313" s="52">
        <f ca="1">SUMIFS(OUT!$F$2:$F$11000,OUT!$H$2:$H$11000,H1313,OUT!$D$2:$D$11000,"Out",OUT!$E$2:$E$11000,"Loandry")</f>
        <v>43448</v>
      </c>
      <c r="Q1313" s="52">
        <f ca="1">SUMIFS(OUT!$F$2:$F$11000,OUT!$H$2:$H$11000,H1313,OUT!$D$2:$D$11000,"Out",OUT!$E$2:$E$11000,"Mio")</f>
        <v>329000</v>
      </c>
      <c r="R1313" s="52">
        <f ca="1">SUMIFS(OUT!$F$2:$F$11000,OUT!$H$2:$H$11000,H1313,OUT!$D$2:$D$11000,"Out",OUT!$E$2:$E$11000,"Sedekah")</f>
        <v>5000</v>
      </c>
      <c r="S1313" s="52">
        <f ca="1">SUMIFS(OUT!$F$2:$F$11000,OUT!$H$2:$H$11000,H1313,OUT!$D$2:$D$11000,"Out",OUT!$E$2:$E$11000,"Zela")</f>
        <v>40500</v>
      </c>
      <c r="T1313" s="52">
        <f ca="1">SUMIFS(OUT!$F$2:$F$11000,OUT!$H$2:$H$11000,H1313,OUT!$D$2:$D$11000,"Out",OUT!$E$2:$E$11000,"Iqbal")</f>
        <v>295000</v>
      </c>
    </row>
    <row r="1314" spans="1:20" x14ac:dyDescent="0.2">
      <c r="A1314" s="48">
        <f ca="1">IFERROR(__xludf.DUMMYFUNCTION("""COMPUTED_VALUE"""),46266)</f>
        <v>46266</v>
      </c>
      <c r="B1314" s="4" t="str">
        <f ca="1">IFERROR(__xludf.DUMMYFUNCTION("""COMPUTED_VALUE"""),"Tarik Tunai ")</f>
        <v xml:space="preserve">Tarik Tunai </v>
      </c>
      <c r="C1314" s="4" t="str">
        <f ca="1">IFERROR(__xludf.DUMMYFUNCTION("""COMPUTED_VALUE"""),"ATM")</f>
        <v>ATM</v>
      </c>
      <c r="D1314" s="4" t="str">
        <f ca="1">IFERROR(__xludf.DUMMYFUNCTION("""COMPUTED_VALUE"""),"Out")</f>
        <v>Out</v>
      </c>
      <c r="E1314" s="4" t="str">
        <f ca="1">IFERROR(__xludf.DUMMYFUNCTION("""COMPUTED_VALUE"""),"Move")</f>
        <v>Move</v>
      </c>
      <c r="F1314" s="49">
        <f ca="1">IFERROR(__xludf.DUMMYFUNCTION("""COMPUTED_VALUE"""),50000)</f>
        <v>50000</v>
      </c>
      <c r="G1314" s="50" t="str">
        <f ca="1">IFERROR(__xludf.DUMMYFUNCTION("""COMPUTED_VALUE"""),"Zela")</f>
        <v>Zela</v>
      </c>
      <c r="H1314" s="51">
        <f t="shared" ca="1" si="0"/>
        <v>46266</v>
      </c>
      <c r="I1314" s="52" t="e">
        <f ca="1">SUMIFS(OUT!$F$2:$F$11000,OUT!$H$2:$H$11000,H1314,OUT!$D$2:$D$101007,"In")</f>
        <v>#VALUE!</v>
      </c>
      <c r="J1314" s="52">
        <f ca="1">SUMIFS(OUT!$F$2:$F$11000,OUT!$H$2:$H$11000,H1314,OUT!$D$2:$D$11000,"Out")</f>
        <v>7093111</v>
      </c>
      <c r="K1314" s="52">
        <f ca="1">SUMIFS(OUT!$F$2:$F$11000,OUT!$H$2:$H$11000,H1314,OUT!$D$2:$D$11000,"Out",OUT!$E$2:$E$11000,"Fix")</f>
        <v>2972118</v>
      </c>
      <c r="L1314" s="52">
        <f ca="1">SUMIFS(OUT!$F$2:$F$11000,OUT!$H$2:$H$11000,H1314,OUT!$D$2:$D$11000,"Out",OUT!$E$2:$E$11000,"Bathroom")</f>
        <v>0</v>
      </c>
      <c r="M1314" s="52">
        <f ca="1">SUMIFS(OUT!$F$2:$F$11000,OUT!$H$2:$H$11000,H1314,OUT!$D$2:$D$11000,"Out",OUT!$E$2:$E$11000,"Alfa")</f>
        <v>55000</v>
      </c>
      <c r="N1314" s="52" t="e">
        <f ca="1">SUMIFS(OUT!$F$2:$F$11000,OUT!$H$2:$H$101007,H1314,OUT!$D$2:$D$11000,"Out",OUT!$E$2:$E$11000,"Jajan")</f>
        <v>#VALUE!</v>
      </c>
      <c r="O1314" s="52">
        <f ca="1">SUMIFS(OUT!$F$2:$F$11000,OUT!$H$2:$H$11000,H1314,OUT!$D$2:$D$11000,"Out",OUT!$E$2:$E$11000,"Kitchen")</f>
        <v>820700</v>
      </c>
      <c r="P1314" s="52">
        <f ca="1">SUMIFS(OUT!$F$2:$F$11000,OUT!$H$2:$H$11000,H1314,OUT!$D$2:$D$11000,"Out",OUT!$E$2:$E$11000,"Loandry")</f>
        <v>0</v>
      </c>
      <c r="Q1314" s="52">
        <f ca="1">SUMIFS(OUT!$F$2:$F$11000,OUT!$H$2:$H$11000,H1314,OUT!$D$2:$D$11000,"Out",OUT!$E$2:$E$11000,"Mio")</f>
        <v>137000</v>
      </c>
      <c r="R1314" s="52">
        <f ca="1">SUMIFS(OUT!$F$2:$F$11000,OUT!$H$2:$H$11000,H1314,OUT!$D$2:$D$11000,"Out",OUT!$E$2:$E$11000,"Sedekah")</f>
        <v>0</v>
      </c>
      <c r="S1314" s="52">
        <f ca="1">SUMIFS(OUT!$F$2:$F$11000,OUT!$H$2:$H$11000,H1314,OUT!$D$2:$D$11000,"Out",OUT!$E$2:$E$11000,"Zela")</f>
        <v>46126</v>
      </c>
      <c r="T1314" s="52">
        <f ca="1">SUMIFS(OUT!$F$2:$F$11000,OUT!$H$2:$H$11000,H1314,OUT!$D$2:$D$11000,"Out",OUT!$E$2:$E$11000,"Iqbal")</f>
        <v>125000</v>
      </c>
    </row>
    <row r="1315" spans="1:20" x14ac:dyDescent="0.2">
      <c r="A1315" s="48">
        <f ca="1">IFERROR(__xludf.DUMMYFUNCTION("""COMPUTED_VALUE"""),46266)</f>
        <v>46266</v>
      </c>
      <c r="B1315" s="4" t="str">
        <f ca="1">IFERROR(__xludf.DUMMYFUNCTION("""COMPUTED_VALUE"""),"Terima Tunai ")</f>
        <v xml:space="preserve">Terima Tunai </v>
      </c>
      <c r="C1315" s="4" t="str">
        <f ca="1">IFERROR(__xludf.DUMMYFUNCTION("""COMPUTED_VALUE"""),"Cash")</f>
        <v>Cash</v>
      </c>
      <c r="D1315" s="4" t="str">
        <f ca="1">IFERROR(__xludf.DUMMYFUNCTION("""COMPUTED_VALUE"""),"In")</f>
        <v>In</v>
      </c>
      <c r="E1315" s="4" t="str">
        <f ca="1">IFERROR(__xludf.DUMMYFUNCTION("""COMPUTED_VALUE"""),"Move")</f>
        <v>Move</v>
      </c>
      <c r="F1315" s="49">
        <f ca="1">IFERROR(__xludf.DUMMYFUNCTION("""COMPUTED_VALUE"""),50000)</f>
        <v>50000</v>
      </c>
      <c r="G1315" s="50" t="str">
        <f ca="1">IFERROR(__xludf.DUMMYFUNCTION("""COMPUTED_VALUE"""),"Zela")</f>
        <v>Zela</v>
      </c>
      <c r="H1315" s="51">
        <f t="shared" ca="1" si="0"/>
        <v>46266</v>
      </c>
      <c r="I1315" s="52" t="e">
        <f ca="1">SUMIFS(OUT!$F$2:$F$11000,OUT!$H$2:$H$11000,H1315,OUT!$D$2:$D$101007,"In")</f>
        <v>#VALUE!</v>
      </c>
      <c r="J1315" s="52">
        <f ca="1">SUMIFS(OUT!$F$2:$F$11000,OUT!$H$2:$H$11000,H1315,OUT!$D$2:$D$11000,"Out")</f>
        <v>7093111</v>
      </c>
      <c r="K1315" s="52">
        <f ca="1">SUMIFS(OUT!$F$2:$F$11000,OUT!$H$2:$H$11000,H1315,OUT!$D$2:$D$11000,"Out",OUT!$E$2:$E$11000,"Fix")</f>
        <v>2972118</v>
      </c>
      <c r="L1315" s="52">
        <f ca="1">SUMIFS(OUT!$F$2:$F$11000,OUT!$H$2:$H$11000,H1315,OUT!$D$2:$D$11000,"Out",OUT!$E$2:$E$11000,"Bathroom")</f>
        <v>0</v>
      </c>
      <c r="M1315" s="52">
        <f ca="1">SUMIFS(OUT!$F$2:$F$11000,OUT!$H$2:$H$11000,H1315,OUT!$D$2:$D$11000,"Out",OUT!$E$2:$E$11000,"Alfa")</f>
        <v>55000</v>
      </c>
      <c r="N1315" s="52" t="e">
        <f ca="1">SUMIFS(OUT!$F$2:$F$11000,OUT!$H$2:$H$101007,H1315,OUT!$D$2:$D$11000,"Out",OUT!$E$2:$E$11000,"Jajan")</f>
        <v>#VALUE!</v>
      </c>
      <c r="O1315" s="52">
        <f ca="1">SUMIFS(OUT!$F$2:$F$11000,OUT!$H$2:$H$11000,H1315,OUT!$D$2:$D$11000,"Out",OUT!$E$2:$E$11000,"Kitchen")</f>
        <v>820700</v>
      </c>
      <c r="P1315" s="52">
        <f ca="1">SUMIFS(OUT!$F$2:$F$11000,OUT!$H$2:$H$11000,H1315,OUT!$D$2:$D$11000,"Out",OUT!$E$2:$E$11000,"Loandry")</f>
        <v>0</v>
      </c>
      <c r="Q1315" s="52">
        <f ca="1">SUMIFS(OUT!$F$2:$F$11000,OUT!$H$2:$H$11000,H1315,OUT!$D$2:$D$11000,"Out",OUT!$E$2:$E$11000,"Mio")</f>
        <v>137000</v>
      </c>
      <c r="R1315" s="52">
        <f ca="1">SUMIFS(OUT!$F$2:$F$11000,OUT!$H$2:$H$11000,H1315,OUT!$D$2:$D$11000,"Out",OUT!$E$2:$E$11000,"Sedekah")</f>
        <v>0</v>
      </c>
      <c r="S1315" s="52">
        <f ca="1">SUMIFS(OUT!$F$2:$F$11000,OUT!$H$2:$H$11000,H1315,OUT!$D$2:$D$11000,"Out",OUT!$E$2:$E$11000,"Zela")</f>
        <v>46126</v>
      </c>
      <c r="T1315" s="52">
        <f ca="1">SUMIFS(OUT!$F$2:$F$11000,OUT!$H$2:$H$11000,H1315,OUT!$D$2:$D$11000,"Out",OUT!$E$2:$E$11000,"Iqbal")</f>
        <v>125000</v>
      </c>
    </row>
    <row r="1316" spans="1:20" x14ac:dyDescent="0.2">
      <c r="A1316" s="48">
        <f ca="1">IFERROR(__xludf.DUMMYFUNCTION("""COMPUTED_VALUE"""),46266)</f>
        <v>46266</v>
      </c>
      <c r="B1316" s="4" t="str">
        <f ca="1">IFERROR(__xludf.DUMMYFUNCTION("""COMPUTED_VALUE"""),"Telor+Roti ")</f>
        <v xml:space="preserve">Telor+Roti </v>
      </c>
      <c r="C1316" s="4" t="str">
        <f ca="1">IFERROR(__xludf.DUMMYFUNCTION("""COMPUTED_VALUE"""),"Cash")</f>
        <v>Cash</v>
      </c>
      <c r="D1316" s="4" t="str">
        <f ca="1">IFERROR(__xludf.DUMMYFUNCTION("""COMPUTED_VALUE"""),"Out")</f>
        <v>Out</v>
      </c>
      <c r="E1316" s="4" t="str">
        <f ca="1">IFERROR(__xludf.DUMMYFUNCTION("""COMPUTED_VALUE"""),"Kitchen")</f>
        <v>Kitchen</v>
      </c>
      <c r="F1316" s="49">
        <f ca="1">IFERROR(__xludf.DUMMYFUNCTION("""COMPUTED_VALUE"""),31000)</f>
        <v>31000</v>
      </c>
      <c r="G1316" s="50" t="str">
        <f ca="1">IFERROR(__xludf.DUMMYFUNCTION("""COMPUTED_VALUE"""),"Zela")</f>
        <v>Zela</v>
      </c>
      <c r="H1316" s="51">
        <f t="shared" ca="1" si="0"/>
        <v>46266</v>
      </c>
      <c r="I1316" s="52" t="e">
        <f ca="1">SUMIFS(OUT!$F$2:$F$11000,OUT!$H$2:$H$11000,H1316,OUT!$D$2:$D$101007,"In")</f>
        <v>#VALUE!</v>
      </c>
      <c r="J1316" s="52">
        <f ca="1">SUMIFS(OUT!$F$2:$F$11000,OUT!$H$2:$H$11000,H1316,OUT!$D$2:$D$11000,"Out")</f>
        <v>7093111</v>
      </c>
      <c r="K1316" s="52">
        <f ca="1">SUMIFS(OUT!$F$2:$F$11000,OUT!$H$2:$H$11000,H1316,OUT!$D$2:$D$11000,"Out",OUT!$E$2:$E$11000,"Fix")</f>
        <v>2972118</v>
      </c>
      <c r="L1316" s="52">
        <f ca="1">SUMIFS(OUT!$F$2:$F$11000,OUT!$H$2:$H$11000,H1316,OUT!$D$2:$D$11000,"Out",OUT!$E$2:$E$11000,"Bathroom")</f>
        <v>0</v>
      </c>
      <c r="M1316" s="52">
        <f ca="1">SUMIFS(OUT!$F$2:$F$11000,OUT!$H$2:$H$11000,H1316,OUT!$D$2:$D$11000,"Out",OUT!$E$2:$E$11000,"Alfa")</f>
        <v>55000</v>
      </c>
      <c r="N1316" s="52" t="e">
        <f ca="1">SUMIFS(OUT!$F$2:$F$11000,OUT!$H$2:$H$101007,H1316,OUT!$D$2:$D$11000,"Out",OUT!$E$2:$E$11000,"Jajan")</f>
        <v>#VALUE!</v>
      </c>
      <c r="O1316" s="52">
        <f ca="1">SUMIFS(OUT!$F$2:$F$11000,OUT!$H$2:$H$11000,H1316,OUT!$D$2:$D$11000,"Out",OUT!$E$2:$E$11000,"Kitchen")</f>
        <v>820700</v>
      </c>
      <c r="P1316" s="52">
        <f ca="1">SUMIFS(OUT!$F$2:$F$11000,OUT!$H$2:$H$11000,H1316,OUT!$D$2:$D$11000,"Out",OUT!$E$2:$E$11000,"Loandry")</f>
        <v>0</v>
      </c>
      <c r="Q1316" s="52">
        <f ca="1">SUMIFS(OUT!$F$2:$F$11000,OUT!$H$2:$H$11000,H1316,OUT!$D$2:$D$11000,"Out",OUT!$E$2:$E$11000,"Mio")</f>
        <v>137000</v>
      </c>
      <c r="R1316" s="52">
        <f ca="1">SUMIFS(OUT!$F$2:$F$11000,OUT!$H$2:$H$11000,H1316,OUT!$D$2:$D$11000,"Out",OUT!$E$2:$E$11000,"Sedekah")</f>
        <v>0</v>
      </c>
      <c r="S1316" s="52">
        <f ca="1">SUMIFS(OUT!$F$2:$F$11000,OUT!$H$2:$H$11000,H1316,OUT!$D$2:$D$11000,"Out",OUT!$E$2:$E$11000,"Zela")</f>
        <v>46126</v>
      </c>
      <c r="T1316" s="52">
        <f ca="1">SUMIFS(OUT!$F$2:$F$11000,OUT!$H$2:$H$11000,H1316,OUT!$D$2:$D$11000,"Out",OUT!$E$2:$E$11000,"Iqbal")</f>
        <v>125000</v>
      </c>
    </row>
    <row r="1317" spans="1:20" x14ac:dyDescent="0.2">
      <c r="A1317" s="48">
        <f ca="1">IFERROR(__xludf.DUMMYFUNCTION("""COMPUTED_VALUE"""),46266)</f>
        <v>46266</v>
      </c>
      <c r="B1317" s="4" t="str">
        <f ca="1">IFERROR(__xludf.DUMMYFUNCTION("""COMPUTED_VALUE"""),"Margarin ")</f>
        <v xml:space="preserve">Margarin </v>
      </c>
      <c r="C1317" s="4" t="str">
        <f ca="1">IFERROR(__xludf.DUMMYFUNCTION("""COMPUTED_VALUE"""),"Cash")</f>
        <v>Cash</v>
      </c>
      <c r="D1317" s="4" t="str">
        <f ca="1">IFERROR(__xludf.DUMMYFUNCTION("""COMPUTED_VALUE"""),"Out")</f>
        <v>Out</v>
      </c>
      <c r="E1317" s="4" t="str">
        <f ca="1">IFERROR(__xludf.DUMMYFUNCTION("""COMPUTED_VALUE"""),"Kitchen")</f>
        <v>Kitchen</v>
      </c>
      <c r="F1317" s="49">
        <f ca="1">IFERROR(__xludf.DUMMYFUNCTION("""COMPUTED_VALUE"""),7000)</f>
        <v>7000</v>
      </c>
      <c r="G1317" s="50" t="str">
        <f ca="1">IFERROR(__xludf.DUMMYFUNCTION("""COMPUTED_VALUE"""),"Zela")</f>
        <v>Zela</v>
      </c>
      <c r="H1317" s="51">
        <f t="shared" ca="1" si="0"/>
        <v>46266</v>
      </c>
      <c r="I1317" s="52" t="e">
        <f ca="1">SUMIFS(OUT!$F$2:$F$11000,OUT!$H$2:$H$11000,H1317,OUT!$D$2:$D$101007,"In")</f>
        <v>#VALUE!</v>
      </c>
      <c r="J1317" s="52">
        <f ca="1">SUMIFS(OUT!$F$2:$F$11000,OUT!$H$2:$H$11000,H1317,OUT!$D$2:$D$11000,"Out")</f>
        <v>7093111</v>
      </c>
      <c r="K1317" s="52">
        <f ca="1">SUMIFS(OUT!$F$2:$F$11000,OUT!$H$2:$H$11000,H1317,OUT!$D$2:$D$11000,"Out",OUT!$E$2:$E$11000,"Fix")</f>
        <v>2972118</v>
      </c>
      <c r="L1317" s="52">
        <f ca="1">SUMIFS(OUT!$F$2:$F$11000,OUT!$H$2:$H$11000,H1317,OUT!$D$2:$D$11000,"Out",OUT!$E$2:$E$11000,"Bathroom")</f>
        <v>0</v>
      </c>
      <c r="M1317" s="52">
        <f ca="1">SUMIFS(OUT!$F$2:$F$11000,OUT!$H$2:$H$11000,H1317,OUT!$D$2:$D$11000,"Out",OUT!$E$2:$E$11000,"Alfa")</f>
        <v>55000</v>
      </c>
      <c r="N1317" s="52" t="e">
        <f ca="1">SUMIFS(OUT!$F$2:$F$11000,OUT!$H$2:$H$101007,H1317,OUT!$D$2:$D$11000,"Out",OUT!$E$2:$E$11000,"Jajan")</f>
        <v>#VALUE!</v>
      </c>
      <c r="O1317" s="52">
        <f ca="1">SUMIFS(OUT!$F$2:$F$11000,OUT!$H$2:$H$11000,H1317,OUT!$D$2:$D$11000,"Out",OUT!$E$2:$E$11000,"Kitchen")</f>
        <v>820700</v>
      </c>
      <c r="P1317" s="52">
        <f ca="1">SUMIFS(OUT!$F$2:$F$11000,OUT!$H$2:$H$11000,H1317,OUT!$D$2:$D$11000,"Out",OUT!$E$2:$E$11000,"Loandry")</f>
        <v>0</v>
      </c>
      <c r="Q1317" s="52">
        <f ca="1">SUMIFS(OUT!$F$2:$F$11000,OUT!$H$2:$H$11000,H1317,OUT!$D$2:$D$11000,"Out",OUT!$E$2:$E$11000,"Mio")</f>
        <v>137000</v>
      </c>
      <c r="R1317" s="52">
        <f ca="1">SUMIFS(OUT!$F$2:$F$11000,OUT!$H$2:$H$11000,H1317,OUT!$D$2:$D$11000,"Out",OUT!$E$2:$E$11000,"Sedekah")</f>
        <v>0</v>
      </c>
      <c r="S1317" s="52">
        <f ca="1">SUMIFS(OUT!$F$2:$F$11000,OUT!$H$2:$H$11000,H1317,OUT!$D$2:$D$11000,"Out",OUT!$E$2:$E$11000,"Zela")</f>
        <v>46126</v>
      </c>
      <c r="T1317" s="52">
        <f ca="1">SUMIFS(OUT!$F$2:$F$11000,OUT!$H$2:$H$11000,H1317,OUT!$D$2:$D$11000,"Out",OUT!$E$2:$E$11000,"Iqbal")</f>
        <v>125000</v>
      </c>
    </row>
    <row r="1318" spans="1:20" x14ac:dyDescent="0.2">
      <c r="A1318" s="48">
        <f ca="1">IFERROR(__xludf.DUMMYFUNCTION("""COMPUTED_VALUE"""),46266)</f>
        <v>46266</v>
      </c>
      <c r="B1318" s="4" t="str">
        <f ca="1">IFERROR(__xludf.DUMMYFUNCTION("""COMPUTED_VALUE"""),"sabun cuci piring ")</f>
        <v xml:space="preserve">sabun cuci piring </v>
      </c>
      <c r="C1318" s="4" t="str">
        <f ca="1">IFERROR(__xludf.DUMMYFUNCTION("""COMPUTED_VALUE"""),"Cash")</f>
        <v>Cash</v>
      </c>
      <c r="D1318" s="4" t="str">
        <f ca="1">IFERROR(__xludf.DUMMYFUNCTION("""COMPUTED_VALUE"""),"Out")</f>
        <v>Out</v>
      </c>
      <c r="E1318" s="4" t="str">
        <f ca="1">IFERROR(__xludf.DUMMYFUNCTION("""COMPUTED_VALUE"""),"Kitchen")</f>
        <v>Kitchen</v>
      </c>
      <c r="F1318" s="49">
        <f ca="1">IFERROR(__xludf.DUMMYFUNCTION("""COMPUTED_VALUE"""),10000)</f>
        <v>10000</v>
      </c>
      <c r="G1318" s="50" t="str">
        <f ca="1">IFERROR(__xludf.DUMMYFUNCTION("""COMPUTED_VALUE"""),"Zela")</f>
        <v>Zela</v>
      </c>
      <c r="H1318" s="51">
        <f t="shared" ca="1" si="0"/>
        <v>46266</v>
      </c>
      <c r="I1318" s="52" t="e">
        <f ca="1">SUMIFS(OUT!$F$2:$F$11000,OUT!$H$2:$H$11000,H1318,OUT!$D$2:$D$101007,"In")</f>
        <v>#VALUE!</v>
      </c>
      <c r="J1318" s="52">
        <f ca="1">SUMIFS(OUT!$F$2:$F$11000,OUT!$H$2:$H$11000,H1318,OUT!$D$2:$D$11000,"Out")</f>
        <v>7093111</v>
      </c>
      <c r="K1318" s="52">
        <f ca="1">SUMIFS(OUT!$F$2:$F$11000,OUT!$H$2:$H$11000,H1318,OUT!$D$2:$D$11000,"Out",OUT!$E$2:$E$11000,"Fix")</f>
        <v>2972118</v>
      </c>
      <c r="L1318" s="52">
        <f ca="1">SUMIFS(OUT!$F$2:$F$11000,OUT!$H$2:$H$11000,H1318,OUT!$D$2:$D$11000,"Out",OUT!$E$2:$E$11000,"Bathroom")</f>
        <v>0</v>
      </c>
      <c r="M1318" s="52">
        <f ca="1">SUMIFS(OUT!$F$2:$F$11000,OUT!$H$2:$H$11000,H1318,OUT!$D$2:$D$11000,"Out",OUT!$E$2:$E$11000,"Alfa")</f>
        <v>55000</v>
      </c>
      <c r="N1318" s="52" t="e">
        <f ca="1">SUMIFS(OUT!$F$2:$F$11000,OUT!$H$2:$H$101007,H1318,OUT!$D$2:$D$11000,"Out",OUT!$E$2:$E$11000,"Jajan")</f>
        <v>#VALUE!</v>
      </c>
      <c r="O1318" s="52">
        <f ca="1">SUMIFS(OUT!$F$2:$F$11000,OUT!$H$2:$H$11000,H1318,OUT!$D$2:$D$11000,"Out",OUT!$E$2:$E$11000,"Kitchen")</f>
        <v>820700</v>
      </c>
      <c r="P1318" s="52">
        <f ca="1">SUMIFS(OUT!$F$2:$F$11000,OUT!$H$2:$H$11000,H1318,OUT!$D$2:$D$11000,"Out",OUT!$E$2:$E$11000,"Loandry")</f>
        <v>0</v>
      </c>
      <c r="Q1318" s="52">
        <f ca="1">SUMIFS(OUT!$F$2:$F$11000,OUT!$H$2:$H$11000,H1318,OUT!$D$2:$D$11000,"Out",OUT!$E$2:$E$11000,"Mio")</f>
        <v>137000</v>
      </c>
      <c r="R1318" s="52">
        <f ca="1">SUMIFS(OUT!$F$2:$F$11000,OUT!$H$2:$H$11000,H1318,OUT!$D$2:$D$11000,"Out",OUT!$E$2:$E$11000,"Sedekah")</f>
        <v>0</v>
      </c>
      <c r="S1318" s="52">
        <f ca="1">SUMIFS(OUT!$F$2:$F$11000,OUT!$H$2:$H$11000,H1318,OUT!$D$2:$D$11000,"Out",OUT!$E$2:$E$11000,"Zela")</f>
        <v>46126</v>
      </c>
      <c r="T1318" s="52">
        <f ca="1">SUMIFS(OUT!$F$2:$F$11000,OUT!$H$2:$H$11000,H1318,OUT!$D$2:$D$11000,"Out",OUT!$E$2:$E$11000,"Iqbal")</f>
        <v>125000</v>
      </c>
    </row>
    <row r="1319" spans="1:20" x14ac:dyDescent="0.2">
      <c r="A1319" s="48">
        <f ca="1">IFERROR(__xludf.DUMMYFUNCTION("""COMPUTED_VALUE"""),46267)</f>
        <v>46267</v>
      </c>
      <c r="B1319" s="4" t="str">
        <f ca="1">IFERROR(__xludf.DUMMYFUNCTION("""COMPUTED_VALUE"""),"jajan alfa")</f>
        <v>jajan alfa</v>
      </c>
      <c r="C1319" s="4" t="str">
        <f ca="1">IFERROR(__xludf.DUMMYFUNCTION("""COMPUTED_VALUE"""),"Cash")</f>
        <v>Cash</v>
      </c>
      <c r="D1319" s="4" t="str">
        <f ca="1">IFERROR(__xludf.DUMMYFUNCTION("""COMPUTED_VALUE"""),"Out")</f>
        <v>Out</v>
      </c>
      <c r="E1319" s="4" t="str">
        <f ca="1">IFERROR(__xludf.DUMMYFUNCTION("""COMPUTED_VALUE"""),"Jajan")</f>
        <v>Jajan</v>
      </c>
      <c r="F1319" s="49">
        <f ca="1">IFERROR(__xludf.DUMMYFUNCTION("""COMPUTED_VALUE"""),5000)</f>
        <v>5000</v>
      </c>
      <c r="G1319" s="50" t="str">
        <f ca="1">IFERROR(__xludf.DUMMYFUNCTION("""COMPUTED_VALUE"""),"Zela")</f>
        <v>Zela</v>
      </c>
      <c r="H1319" s="51">
        <f t="shared" ca="1" si="0"/>
        <v>46266</v>
      </c>
      <c r="I1319" s="52" t="e">
        <f ca="1">SUMIFS(OUT!$F$2:$F$11000,OUT!$H$2:$H$11000,H1319,OUT!$D$2:$D$101007,"In")</f>
        <v>#VALUE!</v>
      </c>
      <c r="J1319" s="52">
        <f ca="1">SUMIFS(OUT!$F$2:$F$11000,OUT!$H$2:$H$11000,H1319,OUT!$D$2:$D$11000,"Out")</f>
        <v>7093111</v>
      </c>
      <c r="K1319" s="52">
        <f ca="1">SUMIFS(OUT!$F$2:$F$11000,OUT!$H$2:$H$11000,H1319,OUT!$D$2:$D$11000,"Out",OUT!$E$2:$E$11000,"Fix")</f>
        <v>2972118</v>
      </c>
      <c r="L1319" s="52">
        <f ca="1">SUMIFS(OUT!$F$2:$F$11000,OUT!$H$2:$H$11000,H1319,OUT!$D$2:$D$11000,"Out",OUT!$E$2:$E$11000,"Bathroom")</f>
        <v>0</v>
      </c>
      <c r="M1319" s="52">
        <f ca="1">SUMIFS(OUT!$F$2:$F$11000,OUT!$H$2:$H$11000,H1319,OUT!$D$2:$D$11000,"Out",OUT!$E$2:$E$11000,"Alfa")</f>
        <v>55000</v>
      </c>
      <c r="N1319" s="52" t="e">
        <f ca="1">SUMIFS(OUT!$F$2:$F$11000,OUT!$H$2:$H$101007,H1319,OUT!$D$2:$D$11000,"Out",OUT!$E$2:$E$11000,"Jajan")</f>
        <v>#VALUE!</v>
      </c>
      <c r="O1319" s="52">
        <f ca="1">SUMIFS(OUT!$F$2:$F$11000,OUT!$H$2:$H$11000,H1319,OUT!$D$2:$D$11000,"Out",OUT!$E$2:$E$11000,"Kitchen")</f>
        <v>820700</v>
      </c>
      <c r="P1319" s="52">
        <f ca="1">SUMIFS(OUT!$F$2:$F$11000,OUT!$H$2:$H$11000,H1319,OUT!$D$2:$D$11000,"Out",OUT!$E$2:$E$11000,"Loandry")</f>
        <v>0</v>
      </c>
      <c r="Q1319" s="52">
        <f ca="1">SUMIFS(OUT!$F$2:$F$11000,OUT!$H$2:$H$11000,H1319,OUT!$D$2:$D$11000,"Out",OUT!$E$2:$E$11000,"Mio")</f>
        <v>137000</v>
      </c>
      <c r="R1319" s="52">
        <f ca="1">SUMIFS(OUT!$F$2:$F$11000,OUT!$H$2:$H$11000,H1319,OUT!$D$2:$D$11000,"Out",OUT!$E$2:$E$11000,"Sedekah")</f>
        <v>0</v>
      </c>
      <c r="S1319" s="52">
        <f ca="1">SUMIFS(OUT!$F$2:$F$11000,OUT!$H$2:$H$11000,H1319,OUT!$D$2:$D$11000,"Out",OUT!$E$2:$E$11000,"Zela")</f>
        <v>46126</v>
      </c>
      <c r="T1319" s="52">
        <f ca="1">SUMIFS(OUT!$F$2:$F$11000,OUT!$H$2:$H$11000,H1319,OUT!$D$2:$D$11000,"Out",OUT!$E$2:$E$11000,"Iqbal")</f>
        <v>125000</v>
      </c>
    </row>
    <row r="1320" spans="1:20" x14ac:dyDescent="0.2">
      <c r="A1320" s="48">
        <f ca="1">IFERROR(__xludf.DUMMYFUNCTION("""COMPUTED_VALUE"""),46267)</f>
        <v>46267</v>
      </c>
      <c r="B1320" s="4" t="str">
        <f ca="1">IFERROR(__xludf.DUMMYFUNCTION("""COMPUTED_VALUE"""),"jajan Alfa")</f>
        <v>jajan Alfa</v>
      </c>
      <c r="C1320" s="4" t="str">
        <f ca="1">IFERROR(__xludf.DUMMYFUNCTION("""COMPUTED_VALUE"""),"Cash")</f>
        <v>Cash</v>
      </c>
      <c r="D1320" s="4" t="str">
        <f ca="1">IFERROR(__xludf.DUMMYFUNCTION("""COMPUTED_VALUE"""),"Out")</f>
        <v>Out</v>
      </c>
      <c r="E1320" s="4" t="str">
        <f ca="1">IFERROR(__xludf.DUMMYFUNCTION("""COMPUTED_VALUE"""),"Jajan")</f>
        <v>Jajan</v>
      </c>
      <c r="F1320" s="49">
        <f ca="1">IFERROR(__xludf.DUMMYFUNCTION("""COMPUTED_VALUE"""),5000)</f>
        <v>5000</v>
      </c>
      <c r="G1320" s="50" t="str">
        <f ca="1">IFERROR(__xludf.DUMMYFUNCTION("""COMPUTED_VALUE"""),"Zela")</f>
        <v>Zela</v>
      </c>
      <c r="H1320" s="51">
        <f t="shared" ca="1" si="0"/>
        <v>46266</v>
      </c>
      <c r="I1320" s="52" t="e">
        <f ca="1">SUMIFS(OUT!$F$2:$F$11000,OUT!$H$2:$H$11000,H1320,OUT!$D$2:$D$101007,"In")</f>
        <v>#VALUE!</v>
      </c>
      <c r="J1320" s="52">
        <f ca="1">SUMIFS(OUT!$F$2:$F$11000,OUT!$H$2:$H$11000,H1320,OUT!$D$2:$D$11000,"Out")</f>
        <v>7093111</v>
      </c>
      <c r="K1320" s="52">
        <f ca="1">SUMIFS(OUT!$F$2:$F$11000,OUT!$H$2:$H$11000,H1320,OUT!$D$2:$D$11000,"Out",OUT!$E$2:$E$11000,"Fix")</f>
        <v>2972118</v>
      </c>
      <c r="L1320" s="52">
        <f ca="1">SUMIFS(OUT!$F$2:$F$11000,OUT!$H$2:$H$11000,H1320,OUT!$D$2:$D$11000,"Out",OUT!$E$2:$E$11000,"Bathroom")</f>
        <v>0</v>
      </c>
      <c r="M1320" s="52">
        <f ca="1">SUMIFS(OUT!$F$2:$F$11000,OUT!$H$2:$H$11000,H1320,OUT!$D$2:$D$11000,"Out",OUT!$E$2:$E$11000,"Alfa")</f>
        <v>55000</v>
      </c>
      <c r="N1320" s="52" t="e">
        <f ca="1">SUMIFS(OUT!$F$2:$F$11000,OUT!$H$2:$H$101007,H1320,OUT!$D$2:$D$11000,"Out",OUT!$E$2:$E$11000,"Jajan")</f>
        <v>#VALUE!</v>
      </c>
      <c r="O1320" s="52">
        <f ca="1">SUMIFS(OUT!$F$2:$F$11000,OUT!$H$2:$H$11000,H1320,OUT!$D$2:$D$11000,"Out",OUT!$E$2:$E$11000,"Kitchen")</f>
        <v>820700</v>
      </c>
      <c r="P1320" s="52">
        <f ca="1">SUMIFS(OUT!$F$2:$F$11000,OUT!$H$2:$H$11000,H1320,OUT!$D$2:$D$11000,"Out",OUT!$E$2:$E$11000,"Loandry")</f>
        <v>0</v>
      </c>
      <c r="Q1320" s="52">
        <f ca="1">SUMIFS(OUT!$F$2:$F$11000,OUT!$H$2:$H$11000,H1320,OUT!$D$2:$D$11000,"Out",OUT!$E$2:$E$11000,"Mio")</f>
        <v>137000</v>
      </c>
      <c r="R1320" s="52">
        <f ca="1">SUMIFS(OUT!$F$2:$F$11000,OUT!$H$2:$H$11000,H1320,OUT!$D$2:$D$11000,"Out",OUT!$E$2:$E$11000,"Sedekah")</f>
        <v>0</v>
      </c>
      <c r="S1320" s="52">
        <f ca="1">SUMIFS(OUT!$F$2:$F$11000,OUT!$H$2:$H$11000,H1320,OUT!$D$2:$D$11000,"Out",OUT!$E$2:$E$11000,"Zela")</f>
        <v>46126</v>
      </c>
      <c r="T1320" s="52">
        <f ca="1">SUMIFS(OUT!$F$2:$F$11000,OUT!$H$2:$H$11000,H1320,OUT!$D$2:$D$11000,"Out",OUT!$E$2:$E$11000,"Iqbal")</f>
        <v>125000</v>
      </c>
    </row>
    <row r="1321" spans="1:20" x14ac:dyDescent="0.2">
      <c r="A1321" s="48">
        <f ca="1">IFERROR(__xludf.DUMMYFUNCTION("""COMPUTED_VALUE"""),46267)</f>
        <v>46267</v>
      </c>
      <c r="B1321" s="4" t="str">
        <f ca="1">IFERROR(__xludf.DUMMYFUNCTION("""COMPUTED_VALUE"""),"suamiku")</f>
        <v>suamiku</v>
      </c>
      <c r="C1321" s="4" t="str">
        <f ca="1">IFERROR(__xludf.DUMMYFUNCTION("""COMPUTED_VALUE"""),"ATM")</f>
        <v>ATM</v>
      </c>
      <c r="D1321" s="4" t="str">
        <f ca="1">IFERROR(__xludf.DUMMYFUNCTION("""COMPUTED_VALUE"""),"In")</f>
        <v>In</v>
      </c>
      <c r="E1321" s="4" t="str">
        <f ca="1">IFERROR(__xludf.DUMMYFUNCTION("""COMPUTED_VALUE"""),"Fix")</f>
        <v>Fix</v>
      </c>
      <c r="F1321" s="49">
        <f ca="1">IFERROR(__xludf.DUMMYFUNCTION("""COMPUTED_VALUE"""),1212398)</f>
        <v>1212398</v>
      </c>
      <c r="G1321" s="50" t="str">
        <f ca="1">IFERROR(__xludf.DUMMYFUNCTION("""COMPUTED_VALUE"""),"Zela")</f>
        <v>Zela</v>
      </c>
      <c r="H1321" s="51">
        <f t="shared" ca="1" si="0"/>
        <v>46266</v>
      </c>
      <c r="I1321" s="52" t="e">
        <f ca="1">SUMIFS(OUT!$F$2:$F$11000,OUT!$H$2:$H$11000,H1321,OUT!$D$2:$D$101007,"In")</f>
        <v>#VALUE!</v>
      </c>
      <c r="J1321" s="52">
        <f ca="1">SUMIFS(OUT!$F$2:$F$11000,OUT!$H$2:$H$11000,H1321,OUT!$D$2:$D$11000,"Out")</f>
        <v>7093111</v>
      </c>
      <c r="K1321" s="52">
        <f ca="1">SUMIFS(OUT!$F$2:$F$11000,OUT!$H$2:$H$11000,H1321,OUT!$D$2:$D$11000,"Out",OUT!$E$2:$E$11000,"Fix")</f>
        <v>2972118</v>
      </c>
      <c r="L1321" s="52">
        <f ca="1">SUMIFS(OUT!$F$2:$F$11000,OUT!$H$2:$H$11000,H1321,OUT!$D$2:$D$11000,"Out",OUT!$E$2:$E$11000,"Bathroom")</f>
        <v>0</v>
      </c>
      <c r="M1321" s="52">
        <f ca="1">SUMIFS(OUT!$F$2:$F$11000,OUT!$H$2:$H$11000,H1321,OUT!$D$2:$D$11000,"Out",OUT!$E$2:$E$11000,"Alfa")</f>
        <v>55000</v>
      </c>
      <c r="N1321" s="52" t="e">
        <f ca="1">SUMIFS(OUT!$F$2:$F$11000,OUT!$H$2:$H$101007,H1321,OUT!$D$2:$D$11000,"Out",OUT!$E$2:$E$11000,"Jajan")</f>
        <v>#VALUE!</v>
      </c>
      <c r="O1321" s="52">
        <f ca="1">SUMIFS(OUT!$F$2:$F$11000,OUT!$H$2:$H$11000,H1321,OUT!$D$2:$D$11000,"Out",OUT!$E$2:$E$11000,"Kitchen")</f>
        <v>820700</v>
      </c>
      <c r="P1321" s="52">
        <f ca="1">SUMIFS(OUT!$F$2:$F$11000,OUT!$H$2:$H$11000,H1321,OUT!$D$2:$D$11000,"Out",OUT!$E$2:$E$11000,"Loandry")</f>
        <v>0</v>
      </c>
      <c r="Q1321" s="52">
        <f ca="1">SUMIFS(OUT!$F$2:$F$11000,OUT!$H$2:$H$11000,H1321,OUT!$D$2:$D$11000,"Out",OUT!$E$2:$E$11000,"Mio")</f>
        <v>137000</v>
      </c>
      <c r="R1321" s="52">
        <f ca="1">SUMIFS(OUT!$F$2:$F$11000,OUT!$H$2:$H$11000,H1321,OUT!$D$2:$D$11000,"Out",OUT!$E$2:$E$11000,"Sedekah")</f>
        <v>0</v>
      </c>
      <c r="S1321" s="52">
        <f ca="1">SUMIFS(OUT!$F$2:$F$11000,OUT!$H$2:$H$11000,H1321,OUT!$D$2:$D$11000,"Out",OUT!$E$2:$E$11000,"Zela")</f>
        <v>46126</v>
      </c>
      <c r="T1321" s="52">
        <f ca="1">SUMIFS(OUT!$F$2:$F$11000,OUT!$H$2:$H$11000,H1321,OUT!$D$2:$D$11000,"Out",OUT!$E$2:$E$11000,"Iqbal")</f>
        <v>125000</v>
      </c>
    </row>
    <row r="1322" spans="1:20" x14ac:dyDescent="0.2">
      <c r="A1322" s="48">
        <f ca="1">IFERROR(__xludf.DUMMYFUNCTION("""COMPUTED_VALUE"""),46267)</f>
        <v>46267</v>
      </c>
      <c r="B1322" s="4" t="str">
        <f ca="1">IFERROR(__xludf.DUMMYFUNCTION("""COMPUTED_VALUE"""),"Tripod ")</f>
        <v xml:space="preserve">Tripod </v>
      </c>
      <c r="C1322" s="4" t="str">
        <f ca="1">IFERROR(__xludf.DUMMYFUNCTION("""COMPUTED_VALUE"""),"ATM")</f>
        <v>ATM</v>
      </c>
      <c r="D1322" s="4" t="str">
        <f ca="1">IFERROR(__xludf.DUMMYFUNCTION("""COMPUTED_VALUE"""),"Out")</f>
        <v>Out</v>
      </c>
      <c r="E1322" s="4" t="str">
        <f ca="1">IFERROR(__xludf.DUMMYFUNCTION("""COMPUTED_VALUE"""),"Zela")</f>
        <v>Zela</v>
      </c>
      <c r="F1322" s="49">
        <f ca="1">IFERROR(__xludf.DUMMYFUNCTION("""COMPUTED_VALUE"""),46126)</f>
        <v>46126</v>
      </c>
      <c r="G1322" s="50" t="str">
        <f ca="1">IFERROR(__xludf.DUMMYFUNCTION("""COMPUTED_VALUE"""),"Zela")</f>
        <v>Zela</v>
      </c>
      <c r="H1322" s="51">
        <f t="shared" ca="1" si="0"/>
        <v>46266</v>
      </c>
      <c r="I1322" s="52" t="e">
        <f ca="1">SUMIFS(OUT!$F$2:$F$11000,OUT!$H$2:$H$11000,H1322,OUT!$D$2:$D$101007,"In")</f>
        <v>#VALUE!</v>
      </c>
      <c r="J1322" s="52">
        <f ca="1">SUMIFS(OUT!$F$2:$F$11000,OUT!$H$2:$H$11000,H1322,OUT!$D$2:$D$11000,"Out")</f>
        <v>7093111</v>
      </c>
      <c r="K1322" s="52">
        <f ca="1">SUMIFS(OUT!$F$2:$F$11000,OUT!$H$2:$H$11000,H1322,OUT!$D$2:$D$11000,"Out",OUT!$E$2:$E$11000,"Fix")</f>
        <v>2972118</v>
      </c>
      <c r="L1322" s="52">
        <f ca="1">SUMIFS(OUT!$F$2:$F$11000,OUT!$H$2:$H$11000,H1322,OUT!$D$2:$D$11000,"Out",OUT!$E$2:$E$11000,"Bathroom")</f>
        <v>0</v>
      </c>
      <c r="M1322" s="52">
        <f ca="1">SUMIFS(OUT!$F$2:$F$11000,OUT!$H$2:$H$11000,H1322,OUT!$D$2:$D$11000,"Out",OUT!$E$2:$E$11000,"Alfa")</f>
        <v>55000</v>
      </c>
      <c r="N1322" s="52" t="e">
        <f ca="1">SUMIFS(OUT!$F$2:$F$11000,OUT!$H$2:$H$101007,H1322,OUT!$D$2:$D$11000,"Out",OUT!$E$2:$E$11000,"Jajan")</f>
        <v>#VALUE!</v>
      </c>
      <c r="O1322" s="52">
        <f ca="1">SUMIFS(OUT!$F$2:$F$11000,OUT!$H$2:$H$11000,H1322,OUT!$D$2:$D$11000,"Out",OUT!$E$2:$E$11000,"Kitchen")</f>
        <v>820700</v>
      </c>
      <c r="P1322" s="52">
        <f ca="1">SUMIFS(OUT!$F$2:$F$11000,OUT!$H$2:$H$11000,H1322,OUT!$D$2:$D$11000,"Out",OUT!$E$2:$E$11000,"Loandry")</f>
        <v>0</v>
      </c>
      <c r="Q1322" s="52">
        <f ca="1">SUMIFS(OUT!$F$2:$F$11000,OUT!$H$2:$H$11000,H1322,OUT!$D$2:$D$11000,"Out",OUT!$E$2:$E$11000,"Mio")</f>
        <v>137000</v>
      </c>
      <c r="R1322" s="52">
        <f ca="1">SUMIFS(OUT!$F$2:$F$11000,OUT!$H$2:$H$11000,H1322,OUT!$D$2:$D$11000,"Out",OUT!$E$2:$E$11000,"Sedekah")</f>
        <v>0</v>
      </c>
      <c r="S1322" s="52">
        <f ca="1">SUMIFS(OUT!$F$2:$F$11000,OUT!$H$2:$H$11000,H1322,OUT!$D$2:$D$11000,"Out",OUT!$E$2:$E$11000,"Zela")</f>
        <v>46126</v>
      </c>
      <c r="T1322" s="52">
        <f ca="1">SUMIFS(OUT!$F$2:$F$11000,OUT!$H$2:$H$11000,H1322,OUT!$D$2:$D$11000,"Out",OUT!$E$2:$E$11000,"Iqbal")</f>
        <v>125000</v>
      </c>
    </row>
    <row r="1323" spans="1:20" x14ac:dyDescent="0.2">
      <c r="A1323" s="48">
        <f ca="1">IFERROR(__xludf.DUMMYFUNCTION("""COMPUTED_VALUE"""),46267)</f>
        <v>46267</v>
      </c>
      <c r="B1323" s="4" t="str">
        <f ca="1">IFERROR(__xludf.DUMMYFUNCTION("""COMPUTED_VALUE"""),"Susu+tisu basah")</f>
        <v>Susu+tisu basah</v>
      </c>
      <c r="C1323" s="4" t="str">
        <f ca="1">IFERROR(__xludf.DUMMYFUNCTION("""COMPUTED_VALUE"""),"ATM")</f>
        <v>ATM</v>
      </c>
      <c r="D1323" s="4" t="str">
        <f ca="1">IFERROR(__xludf.DUMMYFUNCTION("""COMPUTED_VALUE"""),"Out")</f>
        <v>Out</v>
      </c>
      <c r="E1323" s="4" t="str">
        <f ca="1">IFERROR(__xludf.DUMMYFUNCTION("""COMPUTED_VALUE"""),"Alfa")</f>
        <v>Alfa</v>
      </c>
      <c r="F1323" s="49">
        <f ca="1">IFERROR(__xludf.DUMMYFUNCTION("""COMPUTED_VALUE"""),55000)</f>
        <v>55000</v>
      </c>
      <c r="G1323" s="50" t="str">
        <f ca="1">IFERROR(__xludf.DUMMYFUNCTION("""COMPUTED_VALUE"""),"Zela")</f>
        <v>Zela</v>
      </c>
      <c r="H1323" s="51">
        <f t="shared" ca="1" si="0"/>
        <v>46266</v>
      </c>
      <c r="I1323" s="52" t="e">
        <f ca="1">SUMIFS(OUT!$F$2:$F$11000,OUT!$H$2:$H$11000,H1323,OUT!$D$2:$D$101007,"In")</f>
        <v>#VALUE!</v>
      </c>
      <c r="J1323" s="52">
        <f ca="1">SUMIFS(OUT!$F$2:$F$11000,OUT!$H$2:$H$11000,H1323,OUT!$D$2:$D$11000,"Out")</f>
        <v>7093111</v>
      </c>
      <c r="K1323" s="52">
        <f ca="1">SUMIFS(OUT!$F$2:$F$11000,OUT!$H$2:$H$11000,H1323,OUT!$D$2:$D$11000,"Out",OUT!$E$2:$E$11000,"Fix")</f>
        <v>2972118</v>
      </c>
      <c r="L1323" s="52">
        <f ca="1">SUMIFS(OUT!$F$2:$F$11000,OUT!$H$2:$H$11000,H1323,OUT!$D$2:$D$11000,"Out",OUT!$E$2:$E$11000,"Bathroom")</f>
        <v>0</v>
      </c>
      <c r="M1323" s="52">
        <f ca="1">SUMIFS(OUT!$F$2:$F$11000,OUT!$H$2:$H$11000,H1323,OUT!$D$2:$D$11000,"Out",OUT!$E$2:$E$11000,"Alfa")</f>
        <v>55000</v>
      </c>
      <c r="N1323" s="52" t="e">
        <f ca="1">SUMIFS(OUT!$F$2:$F$11000,OUT!$H$2:$H$101007,H1323,OUT!$D$2:$D$11000,"Out",OUT!$E$2:$E$11000,"Jajan")</f>
        <v>#VALUE!</v>
      </c>
      <c r="O1323" s="52">
        <f ca="1">SUMIFS(OUT!$F$2:$F$11000,OUT!$H$2:$H$11000,H1323,OUT!$D$2:$D$11000,"Out",OUT!$E$2:$E$11000,"Kitchen")</f>
        <v>820700</v>
      </c>
      <c r="P1323" s="52">
        <f ca="1">SUMIFS(OUT!$F$2:$F$11000,OUT!$H$2:$H$11000,H1323,OUT!$D$2:$D$11000,"Out",OUT!$E$2:$E$11000,"Loandry")</f>
        <v>0</v>
      </c>
      <c r="Q1323" s="52">
        <f ca="1">SUMIFS(OUT!$F$2:$F$11000,OUT!$H$2:$H$11000,H1323,OUT!$D$2:$D$11000,"Out",OUT!$E$2:$E$11000,"Mio")</f>
        <v>137000</v>
      </c>
      <c r="R1323" s="52">
        <f ca="1">SUMIFS(OUT!$F$2:$F$11000,OUT!$H$2:$H$11000,H1323,OUT!$D$2:$D$11000,"Out",OUT!$E$2:$E$11000,"Sedekah")</f>
        <v>0</v>
      </c>
      <c r="S1323" s="52">
        <f ca="1">SUMIFS(OUT!$F$2:$F$11000,OUT!$H$2:$H$11000,H1323,OUT!$D$2:$D$11000,"Out",OUT!$E$2:$E$11000,"Zela")</f>
        <v>46126</v>
      </c>
      <c r="T1323" s="52">
        <f ca="1">SUMIFS(OUT!$F$2:$F$11000,OUT!$H$2:$H$11000,H1323,OUT!$D$2:$D$11000,"Out",OUT!$E$2:$E$11000,"Iqbal")</f>
        <v>125000</v>
      </c>
    </row>
    <row r="1324" spans="1:20" x14ac:dyDescent="0.2">
      <c r="A1324" s="48">
        <f ca="1">IFERROR(__xludf.DUMMYFUNCTION("""COMPUTED_VALUE"""),46267)</f>
        <v>46267</v>
      </c>
      <c r="B1324" s="4" t="str">
        <f ca="1">IFERROR(__xludf.DUMMYFUNCTION("""COMPUTED_VALUE"""),"Suamiku")</f>
        <v>Suamiku</v>
      </c>
      <c r="C1324" s="4" t="str">
        <f ca="1">IFERROR(__xludf.DUMMYFUNCTION("""COMPUTED_VALUE"""),"ATM")</f>
        <v>ATM</v>
      </c>
      <c r="D1324" s="4" t="str">
        <f ca="1">IFERROR(__xludf.DUMMYFUNCTION("""COMPUTED_VALUE"""),"Out")</f>
        <v>Out</v>
      </c>
      <c r="E1324" s="4" t="str">
        <f ca="1">IFERROR(__xludf.DUMMYFUNCTION("""COMPUTED_VALUE"""),"Move")</f>
        <v>Move</v>
      </c>
      <c r="F1324" s="49">
        <f ca="1">IFERROR(__xludf.DUMMYFUNCTION("""COMPUTED_VALUE"""),100000)</f>
        <v>100000</v>
      </c>
      <c r="G1324" s="50" t="str">
        <f ca="1">IFERROR(__xludf.DUMMYFUNCTION("""COMPUTED_VALUE"""),"Zela")</f>
        <v>Zela</v>
      </c>
      <c r="H1324" s="51">
        <f t="shared" ca="1" si="0"/>
        <v>46266</v>
      </c>
      <c r="I1324" s="52" t="e">
        <f ca="1">SUMIFS(OUT!$F$2:$F$11000,OUT!$H$2:$H$11000,H1324,OUT!$D$2:$D$101007,"In")</f>
        <v>#VALUE!</v>
      </c>
      <c r="J1324" s="52">
        <f ca="1">SUMIFS(OUT!$F$2:$F$11000,OUT!$H$2:$H$11000,H1324,OUT!$D$2:$D$11000,"Out")</f>
        <v>7093111</v>
      </c>
      <c r="K1324" s="52">
        <f ca="1">SUMIFS(OUT!$F$2:$F$11000,OUT!$H$2:$H$11000,H1324,OUT!$D$2:$D$11000,"Out",OUT!$E$2:$E$11000,"Fix")</f>
        <v>2972118</v>
      </c>
      <c r="L1324" s="52">
        <f ca="1">SUMIFS(OUT!$F$2:$F$11000,OUT!$H$2:$H$11000,H1324,OUT!$D$2:$D$11000,"Out",OUT!$E$2:$E$11000,"Bathroom")</f>
        <v>0</v>
      </c>
      <c r="M1324" s="52">
        <f ca="1">SUMIFS(OUT!$F$2:$F$11000,OUT!$H$2:$H$11000,H1324,OUT!$D$2:$D$11000,"Out",OUT!$E$2:$E$11000,"Alfa")</f>
        <v>55000</v>
      </c>
      <c r="N1324" s="52" t="e">
        <f ca="1">SUMIFS(OUT!$F$2:$F$11000,OUT!$H$2:$H$101007,H1324,OUT!$D$2:$D$11000,"Out",OUT!$E$2:$E$11000,"Jajan")</f>
        <v>#VALUE!</v>
      </c>
      <c r="O1324" s="52">
        <f ca="1">SUMIFS(OUT!$F$2:$F$11000,OUT!$H$2:$H$11000,H1324,OUT!$D$2:$D$11000,"Out",OUT!$E$2:$E$11000,"Kitchen")</f>
        <v>820700</v>
      </c>
      <c r="P1324" s="52">
        <f ca="1">SUMIFS(OUT!$F$2:$F$11000,OUT!$H$2:$H$11000,H1324,OUT!$D$2:$D$11000,"Out",OUT!$E$2:$E$11000,"Loandry")</f>
        <v>0</v>
      </c>
      <c r="Q1324" s="52">
        <f ca="1">SUMIFS(OUT!$F$2:$F$11000,OUT!$H$2:$H$11000,H1324,OUT!$D$2:$D$11000,"Out",OUT!$E$2:$E$11000,"Mio")</f>
        <v>137000</v>
      </c>
      <c r="R1324" s="52">
        <f ca="1">SUMIFS(OUT!$F$2:$F$11000,OUT!$H$2:$H$11000,H1324,OUT!$D$2:$D$11000,"Out",OUT!$E$2:$E$11000,"Sedekah")</f>
        <v>0</v>
      </c>
      <c r="S1324" s="52">
        <f ca="1">SUMIFS(OUT!$F$2:$F$11000,OUT!$H$2:$H$11000,H1324,OUT!$D$2:$D$11000,"Out",OUT!$E$2:$E$11000,"Zela")</f>
        <v>46126</v>
      </c>
      <c r="T1324" s="52">
        <f ca="1">SUMIFS(OUT!$F$2:$F$11000,OUT!$H$2:$H$11000,H1324,OUT!$D$2:$D$11000,"Out",OUT!$E$2:$E$11000,"Iqbal")</f>
        <v>125000</v>
      </c>
    </row>
    <row r="1325" spans="1:20" x14ac:dyDescent="0.2">
      <c r="A1325" s="48">
        <f ca="1">IFERROR(__xludf.DUMMYFUNCTION("""COMPUTED_VALUE"""),46267)</f>
        <v>46267</v>
      </c>
      <c r="B1325" s="4" t="str">
        <f ca="1">IFERROR(__xludf.DUMMYFUNCTION("""COMPUTED_VALUE"""),"Tarik Tunai")</f>
        <v>Tarik Tunai</v>
      </c>
      <c r="C1325" s="4" t="str">
        <f ca="1">IFERROR(__xludf.DUMMYFUNCTION("""COMPUTED_VALUE"""),"ATM")</f>
        <v>ATM</v>
      </c>
      <c r="D1325" s="4" t="str">
        <f ca="1">IFERROR(__xludf.DUMMYFUNCTION("""COMPUTED_VALUE"""),"Out")</f>
        <v>Out</v>
      </c>
      <c r="E1325" s="4" t="str">
        <f ca="1">IFERROR(__xludf.DUMMYFUNCTION("""COMPUTED_VALUE"""),"Move")</f>
        <v>Move</v>
      </c>
      <c r="F1325" s="49">
        <f ca="1">IFERROR(__xludf.DUMMYFUNCTION("""COMPUTED_VALUE"""),200000)</f>
        <v>200000</v>
      </c>
      <c r="G1325" s="50" t="str">
        <f ca="1">IFERROR(__xludf.DUMMYFUNCTION("""COMPUTED_VALUE"""),"Zela")</f>
        <v>Zela</v>
      </c>
      <c r="H1325" s="51">
        <f t="shared" ca="1" si="0"/>
        <v>46266</v>
      </c>
      <c r="I1325" s="52" t="e">
        <f ca="1">SUMIFS(OUT!$F$2:$F$11000,OUT!$H$2:$H$11000,H1325,OUT!$D$2:$D$101007,"In")</f>
        <v>#VALUE!</v>
      </c>
      <c r="J1325" s="52">
        <f ca="1">SUMIFS(OUT!$F$2:$F$11000,OUT!$H$2:$H$11000,H1325,OUT!$D$2:$D$11000,"Out")</f>
        <v>7093111</v>
      </c>
      <c r="K1325" s="52">
        <f ca="1">SUMIFS(OUT!$F$2:$F$11000,OUT!$H$2:$H$11000,H1325,OUT!$D$2:$D$11000,"Out",OUT!$E$2:$E$11000,"Fix")</f>
        <v>2972118</v>
      </c>
      <c r="L1325" s="52">
        <f ca="1">SUMIFS(OUT!$F$2:$F$11000,OUT!$H$2:$H$11000,H1325,OUT!$D$2:$D$11000,"Out",OUT!$E$2:$E$11000,"Bathroom")</f>
        <v>0</v>
      </c>
      <c r="M1325" s="52">
        <f ca="1">SUMIFS(OUT!$F$2:$F$11000,OUT!$H$2:$H$11000,H1325,OUT!$D$2:$D$11000,"Out",OUT!$E$2:$E$11000,"Alfa")</f>
        <v>55000</v>
      </c>
      <c r="N1325" s="52" t="e">
        <f ca="1">SUMIFS(OUT!$F$2:$F$11000,OUT!$H$2:$H$101007,H1325,OUT!$D$2:$D$11000,"Out",OUT!$E$2:$E$11000,"Jajan")</f>
        <v>#VALUE!</v>
      </c>
      <c r="O1325" s="52">
        <f ca="1">SUMIFS(OUT!$F$2:$F$11000,OUT!$H$2:$H$11000,H1325,OUT!$D$2:$D$11000,"Out",OUT!$E$2:$E$11000,"Kitchen")</f>
        <v>820700</v>
      </c>
      <c r="P1325" s="52">
        <f ca="1">SUMIFS(OUT!$F$2:$F$11000,OUT!$H$2:$H$11000,H1325,OUT!$D$2:$D$11000,"Out",OUT!$E$2:$E$11000,"Loandry")</f>
        <v>0</v>
      </c>
      <c r="Q1325" s="52">
        <f ca="1">SUMIFS(OUT!$F$2:$F$11000,OUT!$H$2:$H$11000,H1325,OUT!$D$2:$D$11000,"Out",OUT!$E$2:$E$11000,"Mio")</f>
        <v>137000</v>
      </c>
      <c r="R1325" s="52">
        <f ca="1">SUMIFS(OUT!$F$2:$F$11000,OUT!$H$2:$H$11000,H1325,OUT!$D$2:$D$11000,"Out",OUT!$E$2:$E$11000,"Sedekah")</f>
        <v>0</v>
      </c>
      <c r="S1325" s="52">
        <f ca="1">SUMIFS(OUT!$F$2:$F$11000,OUT!$H$2:$H$11000,H1325,OUT!$D$2:$D$11000,"Out",OUT!$E$2:$E$11000,"Zela")</f>
        <v>46126</v>
      </c>
      <c r="T1325" s="52">
        <f ca="1">SUMIFS(OUT!$F$2:$F$11000,OUT!$H$2:$H$11000,H1325,OUT!$D$2:$D$11000,"Out",OUT!$E$2:$E$11000,"Iqbal")</f>
        <v>125000</v>
      </c>
    </row>
    <row r="1326" spans="1:20" x14ac:dyDescent="0.2">
      <c r="A1326" s="48">
        <f ca="1">IFERROR(__xludf.DUMMYFUNCTION("""COMPUTED_VALUE"""),46267)</f>
        <v>46267</v>
      </c>
      <c r="B1326" s="4" t="str">
        <f ca="1">IFERROR(__xludf.DUMMYFUNCTION("""COMPUTED_VALUE"""),"Terima Tunai ")</f>
        <v xml:space="preserve">Terima Tunai </v>
      </c>
      <c r="C1326" s="4" t="str">
        <f ca="1">IFERROR(__xludf.DUMMYFUNCTION("""COMPUTED_VALUE"""),"Cash")</f>
        <v>Cash</v>
      </c>
      <c r="D1326" s="4" t="str">
        <f ca="1">IFERROR(__xludf.DUMMYFUNCTION("""COMPUTED_VALUE"""),"In")</f>
        <v>In</v>
      </c>
      <c r="E1326" s="4" t="str">
        <f ca="1">IFERROR(__xludf.DUMMYFUNCTION("""COMPUTED_VALUE"""),"Move")</f>
        <v>Move</v>
      </c>
      <c r="F1326" s="49">
        <f ca="1">IFERROR(__xludf.DUMMYFUNCTION("""COMPUTED_VALUE"""),200000)</f>
        <v>200000</v>
      </c>
      <c r="G1326" s="50" t="str">
        <f ca="1">IFERROR(__xludf.DUMMYFUNCTION("""COMPUTED_VALUE"""),"Zela")</f>
        <v>Zela</v>
      </c>
      <c r="H1326" s="51">
        <f t="shared" ca="1" si="0"/>
        <v>46266</v>
      </c>
      <c r="I1326" s="52" t="e">
        <f ca="1">SUMIFS(OUT!$F$2:$F$11000,OUT!$H$2:$H$11000,H1326,OUT!$D$2:$D$101007,"In")</f>
        <v>#VALUE!</v>
      </c>
      <c r="J1326" s="52">
        <f ca="1">SUMIFS(OUT!$F$2:$F$11000,OUT!$H$2:$H$11000,H1326,OUT!$D$2:$D$11000,"Out")</f>
        <v>7093111</v>
      </c>
      <c r="K1326" s="52">
        <f ca="1">SUMIFS(OUT!$F$2:$F$11000,OUT!$H$2:$H$11000,H1326,OUT!$D$2:$D$11000,"Out",OUT!$E$2:$E$11000,"Fix")</f>
        <v>2972118</v>
      </c>
      <c r="L1326" s="52">
        <f ca="1">SUMIFS(OUT!$F$2:$F$11000,OUT!$H$2:$H$11000,H1326,OUT!$D$2:$D$11000,"Out",OUT!$E$2:$E$11000,"Bathroom")</f>
        <v>0</v>
      </c>
      <c r="M1326" s="52">
        <f ca="1">SUMIFS(OUT!$F$2:$F$11000,OUT!$H$2:$H$11000,H1326,OUT!$D$2:$D$11000,"Out",OUT!$E$2:$E$11000,"Alfa")</f>
        <v>55000</v>
      </c>
      <c r="N1326" s="52" t="e">
        <f ca="1">SUMIFS(OUT!$F$2:$F$11000,OUT!$H$2:$H$101007,H1326,OUT!$D$2:$D$11000,"Out",OUT!$E$2:$E$11000,"Jajan")</f>
        <v>#VALUE!</v>
      </c>
      <c r="O1326" s="52">
        <f ca="1">SUMIFS(OUT!$F$2:$F$11000,OUT!$H$2:$H$11000,H1326,OUT!$D$2:$D$11000,"Out",OUT!$E$2:$E$11000,"Kitchen")</f>
        <v>820700</v>
      </c>
      <c r="P1326" s="52">
        <f ca="1">SUMIFS(OUT!$F$2:$F$11000,OUT!$H$2:$H$11000,H1326,OUT!$D$2:$D$11000,"Out",OUT!$E$2:$E$11000,"Loandry")</f>
        <v>0</v>
      </c>
      <c r="Q1326" s="52">
        <f ca="1">SUMIFS(OUT!$F$2:$F$11000,OUT!$H$2:$H$11000,H1326,OUT!$D$2:$D$11000,"Out",OUT!$E$2:$E$11000,"Mio")</f>
        <v>137000</v>
      </c>
      <c r="R1326" s="52">
        <f ca="1">SUMIFS(OUT!$F$2:$F$11000,OUT!$H$2:$H$11000,H1326,OUT!$D$2:$D$11000,"Out",OUT!$E$2:$E$11000,"Sedekah")</f>
        <v>0</v>
      </c>
      <c r="S1326" s="52">
        <f ca="1">SUMIFS(OUT!$F$2:$F$11000,OUT!$H$2:$H$11000,H1326,OUT!$D$2:$D$11000,"Out",OUT!$E$2:$E$11000,"Zela")</f>
        <v>46126</v>
      </c>
      <c r="T1326" s="52">
        <f ca="1">SUMIFS(OUT!$F$2:$F$11000,OUT!$H$2:$H$11000,H1326,OUT!$D$2:$D$11000,"Out",OUT!$E$2:$E$11000,"Iqbal")</f>
        <v>125000</v>
      </c>
    </row>
    <row r="1327" spans="1:20" x14ac:dyDescent="0.2">
      <c r="A1327" s="48">
        <f ca="1">IFERROR(__xludf.DUMMYFUNCTION("""COMPUTED_VALUE"""),46267)</f>
        <v>46267</v>
      </c>
      <c r="B1327" s="4" t="str">
        <f ca="1">IFERROR(__xludf.DUMMYFUNCTION("""COMPUTED_VALUE"""),"Minyak Gireng 2L")</f>
        <v>Minyak Gireng 2L</v>
      </c>
      <c r="C1327" s="4" t="str">
        <f ca="1">IFERROR(__xludf.DUMMYFUNCTION("""COMPUTED_VALUE"""),"Cash")</f>
        <v>Cash</v>
      </c>
      <c r="D1327" s="4" t="str">
        <f ca="1">IFERROR(__xludf.DUMMYFUNCTION("""COMPUTED_VALUE"""),"Out")</f>
        <v>Out</v>
      </c>
      <c r="E1327" s="4" t="str">
        <f ca="1">IFERROR(__xludf.DUMMYFUNCTION("""COMPUTED_VALUE"""),"Kitchen")</f>
        <v>Kitchen</v>
      </c>
      <c r="F1327" s="49">
        <f ca="1">IFERROR(__xludf.DUMMYFUNCTION("""COMPUTED_VALUE"""),38000)</f>
        <v>38000</v>
      </c>
      <c r="G1327" s="50" t="str">
        <f ca="1">IFERROR(__xludf.DUMMYFUNCTION("""COMPUTED_VALUE"""),"Zela")</f>
        <v>Zela</v>
      </c>
      <c r="H1327" s="51">
        <f t="shared" ca="1" si="0"/>
        <v>46266</v>
      </c>
      <c r="I1327" s="52" t="e">
        <f ca="1">SUMIFS(OUT!$F$2:$F$11000,OUT!$H$2:$H$11000,H1327,OUT!$D$2:$D$101007,"In")</f>
        <v>#VALUE!</v>
      </c>
      <c r="J1327" s="52">
        <f ca="1">SUMIFS(OUT!$F$2:$F$11000,OUT!$H$2:$H$11000,H1327,OUT!$D$2:$D$11000,"Out")</f>
        <v>7093111</v>
      </c>
      <c r="K1327" s="52">
        <f ca="1">SUMIFS(OUT!$F$2:$F$11000,OUT!$H$2:$H$11000,H1327,OUT!$D$2:$D$11000,"Out",OUT!$E$2:$E$11000,"Fix")</f>
        <v>2972118</v>
      </c>
      <c r="L1327" s="52">
        <f ca="1">SUMIFS(OUT!$F$2:$F$11000,OUT!$H$2:$H$11000,H1327,OUT!$D$2:$D$11000,"Out",OUT!$E$2:$E$11000,"Bathroom")</f>
        <v>0</v>
      </c>
      <c r="M1327" s="52">
        <f ca="1">SUMIFS(OUT!$F$2:$F$11000,OUT!$H$2:$H$11000,H1327,OUT!$D$2:$D$11000,"Out",OUT!$E$2:$E$11000,"Alfa")</f>
        <v>55000</v>
      </c>
      <c r="N1327" s="52" t="e">
        <f ca="1">SUMIFS(OUT!$F$2:$F$11000,OUT!$H$2:$H$101007,H1327,OUT!$D$2:$D$11000,"Out",OUT!$E$2:$E$11000,"Jajan")</f>
        <v>#VALUE!</v>
      </c>
      <c r="O1327" s="52">
        <f ca="1">SUMIFS(OUT!$F$2:$F$11000,OUT!$H$2:$H$11000,H1327,OUT!$D$2:$D$11000,"Out",OUT!$E$2:$E$11000,"Kitchen")</f>
        <v>820700</v>
      </c>
      <c r="P1327" s="52">
        <f ca="1">SUMIFS(OUT!$F$2:$F$11000,OUT!$H$2:$H$11000,H1327,OUT!$D$2:$D$11000,"Out",OUT!$E$2:$E$11000,"Loandry")</f>
        <v>0</v>
      </c>
      <c r="Q1327" s="52">
        <f ca="1">SUMIFS(OUT!$F$2:$F$11000,OUT!$H$2:$H$11000,H1327,OUT!$D$2:$D$11000,"Out",OUT!$E$2:$E$11000,"Mio")</f>
        <v>137000</v>
      </c>
      <c r="R1327" s="52">
        <f ca="1">SUMIFS(OUT!$F$2:$F$11000,OUT!$H$2:$H$11000,H1327,OUT!$D$2:$D$11000,"Out",OUT!$E$2:$E$11000,"Sedekah")</f>
        <v>0</v>
      </c>
      <c r="S1327" s="52">
        <f ca="1">SUMIFS(OUT!$F$2:$F$11000,OUT!$H$2:$H$11000,H1327,OUT!$D$2:$D$11000,"Out",OUT!$E$2:$E$11000,"Zela")</f>
        <v>46126</v>
      </c>
      <c r="T1327" s="52">
        <f ca="1">SUMIFS(OUT!$F$2:$F$11000,OUT!$H$2:$H$11000,H1327,OUT!$D$2:$D$11000,"Out",OUT!$E$2:$E$11000,"Iqbal")</f>
        <v>125000</v>
      </c>
    </row>
    <row r="1328" spans="1:20" x14ac:dyDescent="0.2">
      <c r="A1328" s="48">
        <f ca="1">IFERROR(__xludf.DUMMYFUNCTION("""COMPUTED_VALUE"""),46267)</f>
        <v>46267</v>
      </c>
      <c r="B1328" s="4" t="str">
        <f ca="1">IFERROR(__xludf.DUMMYFUNCTION("""COMPUTED_VALUE"""),"Roti Tawar")</f>
        <v>Roti Tawar</v>
      </c>
      <c r="C1328" s="4" t="str">
        <f ca="1">IFERROR(__xludf.DUMMYFUNCTION("""COMPUTED_VALUE"""),"Cash")</f>
        <v>Cash</v>
      </c>
      <c r="D1328" s="4" t="str">
        <f ca="1">IFERROR(__xludf.DUMMYFUNCTION("""COMPUTED_VALUE"""),"Out")</f>
        <v>Out</v>
      </c>
      <c r="E1328" s="4" t="str">
        <f ca="1">IFERROR(__xludf.DUMMYFUNCTION("""COMPUTED_VALUE"""),"Jajan")</f>
        <v>Jajan</v>
      </c>
      <c r="F1328" s="49">
        <f ca="1">IFERROR(__xludf.DUMMYFUNCTION("""COMPUTED_VALUE"""),11000)</f>
        <v>11000</v>
      </c>
      <c r="G1328" s="50" t="str">
        <f ca="1">IFERROR(__xludf.DUMMYFUNCTION("""COMPUTED_VALUE"""),"Zela")</f>
        <v>Zela</v>
      </c>
      <c r="H1328" s="51">
        <f t="shared" ca="1" si="0"/>
        <v>46266</v>
      </c>
      <c r="I1328" s="52" t="e">
        <f ca="1">SUMIFS(OUT!$F$2:$F$11000,OUT!$H$2:$H$11000,H1328,OUT!$D$2:$D$101007,"In")</f>
        <v>#VALUE!</v>
      </c>
      <c r="J1328" s="52">
        <f ca="1">SUMIFS(OUT!$F$2:$F$11000,OUT!$H$2:$H$11000,H1328,OUT!$D$2:$D$11000,"Out")</f>
        <v>7093111</v>
      </c>
      <c r="K1328" s="52">
        <f ca="1">SUMIFS(OUT!$F$2:$F$11000,OUT!$H$2:$H$11000,H1328,OUT!$D$2:$D$11000,"Out",OUT!$E$2:$E$11000,"Fix")</f>
        <v>2972118</v>
      </c>
      <c r="L1328" s="52">
        <f ca="1">SUMIFS(OUT!$F$2:$F$11000,OUT!$H$2:$H$11000,H1328,OUT!$D$2:$D$11000,"Out",OUT!$E$2:$E$11000,"Bathroom")</f>
        <v>0</v>
      </c>
      <c r="M1328" s="52">
        <f ca="1">SUMIFS(OUT!$F$2:$F$11000,OUT!$H$2:$H$11000,H1328,OUT!$D$2:$D$11000,"Out",OUT!$E$2:$E$11000,"Alfa")</f>
        <v>55000</v>
      </c>
      <c r="N1328" s="52" t="e">
        <f ca="1">SUMIFS(OUT!$F$2:$F$11000,OUT!$H$2:$H$101007,H1328,OUT!$D$2:$D$11000,"Out",OUT!$E$2:$E$11000,"Jajan")</f>
        <v>#VALUE!</v>
      </c>
      <c r="O1328" s="52">
        <f ca="1">SUMIFS(OUT!$F$2:$F$11000,OUT!$H$2:$H$11000,H1328,OUT!$D$2:$D$11000,"Out",OUT!$E$2:$E$11000,"Kitchen")</f>
        <v>820700</v>
      </c>
      <c r="P1328" s="52">
        <f ca="1">SUMIFS(OUT!$F$2:$F$11000,OUT!$H$2:$H$11000,H1328,OUT!$D$2:$D$11000,"Out",OUT!$E$2:$E$11000,"Loandry")</f>
        <v>0</v>
      </c>
      <c r="Q1328" s="52">
        <f ca="1">SUMIFS(OUT!$F$2:$F$11000,OUT!$H$2:$H$11000,H1328,OUT!$D$2:$D$11000,"Out",OUT!$E$2:$E$11000,"Mio")</f>
        <v>137000</v>
      </c>
      <c r="R1328" s="52">
        <f ca="1">SUMIFS(OUT!$F$2:$F$11000,OUT!$H$2:$H$11000,H1328,OUT!$D$2:$D$11000,"Out",OUT!$E$2:$E$11000,"Sedekah")</f>
        <v>0</v>
      </c>
      <c r="S1328" s="52">
        <f ca="1">SUMIFS(OUT!$F$2:$F$11000,OUT!$H$2:$H$11000,H1328,OUT!$D$2:$D$11000,"Out",OUT!$E$2:$E$11000,"Zela")</f>
        <v>46126</v>
      </c>
      <c r="T1328" s="52">
        <f ca="1">SUMIFS(OUT!$F$2:$F$11000,OUT!$H$2:$H$11000,H1328,OUT!$D$2:$D$11000,"Out",OUT!$E$2:$E$11000,"Iqbal")</f>
        <v>125000</v>
      </c>
    </row>
    <row r="1329" spans="1:20" x14ac:dyDescent="0.2">
      <c r="A1329" s="48">
        <f ca="1">IFERROR(__xludf.DUMMYFUNCTION("""COMPUTED_VALUE"""),46267)</f>
        <v>46267</v>
      </c>
      <c r="B1329" s="4" t="str">
        <f ca="1">IFERROR(__xludf.DUMMYFUNCTION("""COMPUTED_VALUE"""),"Pertalite")</f>
        <v>Pertalite</v>
      </c>
      <c r="C1329" s="4" t="str">
        <f ca="1">IFERROR(__xludf.DUMMYFUNCTION("""COMPUTED_VALUE"""),"Cash")</f>
        <v>Cash</v>
      </c>
      <c r="D1329" s="4" t="str">
        <f ca="1">IFERROR(__xludf.DUMMYFUNCTION("""COMPUTED_VALUE"""),"Out")</f>
        <v>Out</v>
      </c>
      <c r="E1329" s="4" t="str">
        <f ca="1">IFERROR(__xludf.DUMMYFUNCTION("""COMPUTED_VALUE"""),"Mio")</f>
        <v>Mio</v>
      </c>
      <c r="F1329" s="49">
        <f ca="1">IFERROR(__xludf.DUMMYFUNCTION("""COMPUTED_VALUE"""),20000)</f>
        <v>20000</v>
      </c>
      <c r="G1329" s="50" t="str">
        <f ca="1">IFERROR(__xludf.DUMMYFUNCTION("""COMPUTED_VALUE"""),"Zela")</f>
        <v>Zela</v>
      </c>
      <c r="H1329" s="51">
        <f t="shared" ca="1" si="0"/>
        <v>46266</v>
      </c>
      <c r="I1329" s="52" t="e">
        <f ca="1">SUMIFS(OUT!$F$2:$F$11000,OUT!$H$2:$H$11000,H1329,OUT!$D$2:$D$101007,"In")</f>
        <v>#VALUE!</v>
      </c>
      <c r="J1329" s="52">
        <f ca="1">SUMIFS(OUT!$F$2:$F$11000,OUT!$H$2:$H$11000,H1329,OUT!$D$2:$D$11000,"Out")</f>
        <v>7093111</v>
      </c>
      <c r="K1329" s="52">
        <f ca="1">SUMIFS(OUT!$F$2:$F$11000,OUT!$H$2:$H$11000,H1329,OUT!$D$2:$D$11000,"Out",OUT!$E$2:$E$11000,"Fix")</f>
        <v>2972118</v>
      </c>
      <c r="L1329" s="52">
        <f ca="1">SUMIFS(OUT!$F$2:$F$11000,OUT!$H$2:$H$11000,H1329,OUT!$D$2:$D$11000,"Out",OUT!$E$2:$E$11000,"Bathroom")</f>
        <v>0</v>
      </c>
      <c r="M1329" s="52">
        <f ca="1">SUMIFS(OUT!$F$2:$F$11000,OUT!$H$2:$H$11000,H1329,OUT!$D$2:$D$11000,"Out",OUT!$E$2:$E$11000,"Alfa")</f>
        <v>55000</v>
      </c>
      <c r="N1329" s="52" t="e">
        <f ca="1">SUMIFS(OUT!$F$2:$F$11000,OUT!$H$2:$H$101007,H1329,OUT!$D$2:$D$11000,"Out",OUT!$E$2:$E$11000,"Jajan")</f>
        <v>#VALUE!</v>
      </c>
      <c r="O1329" s="52">
        <f ca="1">SUMIFS(OUT!$F$2:$F$11000,OUT!$H$2:$H$11000,H1329,OUT!$D$2:$D$11000,"Out",OUT!$E$2:$E$11000,"Kitchen")</f>
        <v>820700</v>
      </c>
      <c r="P1329" s="52">
        <f ca="1">SUMIFS(OUT!$F$2:$F$11000,OUT!$H$2:$H$11000,H1329,OUT!$D$2:$D$11000,"Out",OUT!$E$2:$E$11000,"Loandry")</f>
        <v>0</v>
      </c>
      <c r="Q1329" s="52">
        <f ca="1">SUMIFS(OUT!$F$2:$F$11000,OUT!$H$2:$H$11000,H1329,OUT!$D$2:$D$11000,"Out",OUT!$E$2:$E$11000,"Mio")</f>
        <v>137000</v>
      </c>
      <c r="R1329" s="52">
        <f ca="1">SUMIFS(OUT!$F$2:$F$11000,OUT!$H$2:$H$11000,H1329,OUT!$D$2:$D$11000,"Out",OUT!$E$2:$E$11000,"Sedekah")</f>
        <v>0</v>
      </c>
      <c r="S1329" s="52">
        <f ca="1">SUMIFS(OUT!$F$2:$F$11000,OUT!$H$2:$H$11000,H1329,OUT!$D$2:$D$11000,"Out",OUT!$E$2:$E$11000,"Zela")</f>
        <v>46126</v>
      </c>
      <c r="T1329" s="52">
        <f ca="1">SUMIFS(OUT!$F$2:$F$11000,OUT!$H$2:$H$11000,H1329,OUT!$D$2:$D$11000,"Out",OUT!$E$2:$E$11000,"Iqbal")</f>
        <v>125000</v>
      </c>
    </row>
    <row r="1330" spans="1:20" x14ac:dyDescent="0.2">
      <c r="A1330" s="48">
        <f ca="1">IFERROR(__xludf.DUMMYFUNCTION("""COMPUTED_VALUE"""),46268)</f>
        <v>46268</v>
      </c>
      <c r="B1330" s="4" t="str">
        <f ca="1">IFERROR(__xludf.DUMMYFUNCTION("""COMPUTED_VALUE"""),"Galon ")</f>
        <v xml:space="preserve">Galon </v>
      </c>
      <c r="C1330" s="4" t="str">
        <f ca="1">IFERROR(__xludf.DUMMYFUNCTION("""COMPUTED_VALUE"""),"Cash")</f>
        <v>Cash</v>
      </c>
      <c r="D1330" s="4" t="str">
        <f ca="1">IFERROR(__xludf.DUMMYFUNCTION("""COMPUTED_VALUE"""),"Out")</f>
        <v>Out</v>
      </c>
      <c r="E1330" s="4" t="str">
        <f ca="1">IFERROR(__xludf.DUMMYFUNCTION("""COMPUTED_VALUE"""),"Kitchen")</f>
        <v>Kitchen</v>
      </c>
      <c r="F1330" s="49">
        <f ca="1">IFERROR(__xludf.DUMMYFUNCTION("""COMPUTED_VALUE"""),4000)</f>
        <v>4000</v>
      </c>
      <c r="G1330" s="50" t="str">
        <f ca="1">IFERROR(__xludf.DUMMYFUNCTION("""COMPUTED_VALUE"""),"Zela")</f>
        <v>Zela</v>
      </c>
      <c r="H1330" s="51">
        <f t="shared" ca="1" si="0"/>
        <v>46266</v>
      </c>
      <c r="I1330" s="52" t="e">
        <f ca="1">SUMIFS(OUT!$F$2:$F$11000,OUT!$H$2:$H$11000,H1330,OUT!$D$2:$D$101007,"In")</f>
        <v>#VALUE!</v>
      </c>
      <c r="J1330" s="52">
        <f ca="1">SUMIFS(OUT!$F$2:$F$11000,OUT!$H$2:$H$11000,H1330,OUT!$D$2:$D$11000,"Out")</f>
        <v>7093111</v>
      </c>
      <c r="K1330" s="52">
        <f ca="1">SUMIFS(OUT!$F$2:$F$11000,OUT!$H$2:$H$11000,H1330,OUT!$D$2:$D$11000,"Out",OUT!$E$2:$E$11000,"Fix")</f>
        <v>2972118</v>
      </c>
      <c r="L1330" s="52">
        <f ca="1">SUMIFS(OUT!$F$2:$F$11000,OUT!$H$2:$H$11000,H1330,OUT!$D$2:$D$11000,"Out",OUT!$E$2:$E$11000,"Bathroom")</f>
        <v>0</v>
      </c>
      <c r="M1330" s="52">
        <f ca="1">SUMIFS(OUT!$F$2:$F$11000,OUT!$H$2:$H$11000,H1330,OUT!$D$2:$D$11000,"Out",OUT!$E$2:$E$11000,"Alfa")</f>
        <v>55000</v>
      </c>
      <c r="N1330" s="52" t="e">
        <f ca="1">SUMIFS(OUT!$F$2:$F$11000,OUT!$H$2:$H$101007,H1330,OUT!$D$2:$D$11000,"Out",OUT!$E$2:$E$11000,"Jajan")</f>
        <v>#VALUE!</v>
      </c>
      <c r="O1330" s="52">
        <f ca="1">SUMIFS(OUT!$F$2:$F$11000,OUT!$H$2:$H$11000,H1330,OUT!$D$2:$D$11000,"Out",OUT!$E$2:$E$11000,"Kitchen")</f>
        <v>820700</v>
      </c>
      <c r="P1330" s="52">
        <f ca="1">SUMIFS(OUT!$F$2:$F$11000,OUT!$H$2:$H$11000,H1330,OUT!$D$2:$D$11000,"Out",OUT!$E$2:$E$11000,"Loandry")</f>
        <v>0</v>
      </c>
      <c r="Q1330" s="52">
        <f ca="1">SUMIFS(OUT!$F$2:$F$11000,OUT!$H$2:$H$11000,H1330,OUT!$D$2:$D$11000,"Out",OUT!$E$2:$E$11000,"Mio")</f>
        <v>137000</v>
      </c>
      <c r="R1330" s="52">
        <f ca="1">SUMIFS(OUT!$F$2:$F$11000,OUT!$H$2:$H$11000,H1330,OUT!$D$2:$D$11000,"Out",OUT!$E$2:$E$11000,"Sedekah")</f>
        <v>0</v>
      </c>
      <c r="S1330" s="52">
        <f ca="1">SUMIFS(OUT!$F$2:$F$11000,OUT!$H$2:$H$11000,H1330,OUT!$D$2:$D$11000,"Out",OUT!$E$2:$E$11000,"Zela")</f>
        <v>46126</v>
      </c>
      <c r="T1330" s="52">
        <f ca="1">SUMIFS(OUT!$F$2:$F$11000,OUT!$H$2:$H$11000,H1330,OUT!$D$2:$D$11000,"Out",OUT!$E$2:$E$11000,"Iqbal")</f>
        <v>125000</v>
      </c>
    </row>
    <row r="1331" spans="1:20" x14ac:dyDescent="0.2">
      <c r="A1331" s="48">
        <f ca="1">IFERROR(__xludf.DUMMYFUNCTION("""COMPUTED_VALUE"""),46268)</f>
        <v>46268</v>
      </c>
      <c r="B1331" s="4" t="str">
        <f ca="1">IFERROR(__xludf.DUMMYFUNCTION("""COMPUTED_VALUE"""),"Ayam Penyet panam ")</f>
        <v xml:space="preserve">Ayam Penyet panam </v>
      </c>
      <c r="C1331" s="4" t="str">
        <f ca="1">IFERROR(__xludf.DUMMYFUNCTION("""COMPUTED_VALUE"""),"ATM")</f>
        <v>ATM</v>
      </c>
      <c r="D1331" s="4" t="str">
        <f ca="1">IFERROR(__xludf.DUMMYFUNCTION("""COMPUTED_VALUE"""),"Out")</f>
        <v>Out</v>
      </c>
      <c r="E1331" s="4" t="str">
        <f ca="1">IFERROR(__xludf.DUMMYFUNCTION("""COMPUTED_VALUE"""),"Kitchen")</f>
        <v>Kitchen</v>
      </c>
      <c r="F1331" s="49">
        <f ca="1">IFERROR(__xludf.DUMMYFUNCTION("""COMPUTED_VALUE"""),92000)</f>
        <v>92000</v>
      </c>
      <c r="G1331" s="50" t="str">
        <f ca="1">IFERROR(__xludf.DUMMYFUNCTION("""COMPUTED_VALUE"""),"Zela")</f>
        <v>Zela</v>
      </c>
      <c r="H1331" s="51">
        <f t="shared" ca="1" si="0"/>
        <v>46266</v>
      </c>
      <c r="I1331" s="52" t="e">
        <f ca="1">SUMIFS(OUT!$F$2:$F$11000,OUT!$H$2:$H$11000,H1331,OUT!$D$2:$D$101007,"In")</f>
        <v>#VALUE!</v>
      </c>
      <c r="J1331" s="52">
        <f ca="1">SUMIFS(OUT!$F$2:$F$11000,OUT!$H$2:$H$11000,H1331,OUT!$D$2:$D$11000,"Out")</f>
        <v>7093111</v>
      </c>
      <c r="K1331" s="52">
        <f ca="1">SUMIFS(OUT!$F$2:$F$11000,OUT!$H$2:$H$11000,H1331,OUT!$D$2:$D$11000,"Out",OUT!$E$2:$E$11000,"Fix")</f>
        <v>2972118</v>
      </c>
      <c r="L1331" s="52">
        <f ca="1">SUMIFS(OUT!$F$2:$F$11000,OUT!$H$2:$H$11000,H1331,OUT!$D$2:$D$11000,"Out",OUT!$E$2:$E$11000,"Bathroom")</f>
        <v>0</v>
      </c>
      <c r="M1331" s="52">
        <f ca="1">SUMIFS(OUT!$F$2:$F$11000,OUT!$H$2:$H$11000,H1331,OUT!$D$2:$D$11000,"Out",OUT!$E$2:$E$11000,"Alfa")</f>
        <v>55000</v>
      </c>
      <c r="N1331" s="52" t="e">
        <f ca="1">SUMIFS(OUT!$F$2:$F$11000,OUT!$H$2:$H$101007,H1331,OUT!$D$2:$D$11000,"Out",OUT!$E$2:$E$11000,"Jajan")</f>
        <v>#VALUE!</v>
      </c>
      <c r="O1331" s="52">
        <f ca="1">SUMIFS(OUT!$F$2:$F$11000,OUT!$H$2:$H$11000,H1331,OUT!$D$2:$D$11000,"Out",OUT!$E$2:$E$11000,"Kitchen")</f>
        <v>820700</v>
      </c>
      <c r="P1331" s="52">
        <f ca="1">SUMIFS(OUT!$F$2:$F$11000,OUT!$H$2:$H$11000,H1331,OUT!$D$2:$D$11000,"Out",OUT!$E$2:$E$11000,"Loandry")</f>
        <v>0</v>
      </c>
      <c r="Q1331" s="52">
        <f ca="1">SUMIFS(OUT!$F$2:$F$11000,OUT!$H$2:$H$11000,H1331,OUT!$D$2:$D$11000,"Out",OUT!$E$2:$E$11000,"Mio")</f>
        <v>137000</v>
      </c>
      <c r="R1331" s="52">
        <f ca="1">SUMIFS(OUT!$F$2:$F$11000,OUT!$H$2:$H$11000,H1331,OUT!$D$2:$D$11000,"Out",OUT!$E$2:$E$11000,"Sedekah")</f>
        <v>0</v>
      </c>
      <c r="S1331" s="52">
        <f ca="1">SUMIFS(OUT!$F$2:$F$11000,OUT!$H$2:$H$11000,H1331,OUT!$D$2:$D$11000,"Out",OUT!$E$2:$E$11000,"Zela")</f>
        <v>46126</v>
      </c>
      <c r="T1331" s="52">
        <f ca="1">SUMIFS(OUT!$F$2:$F$11000,OUT!$H$2:$H$11000,H1331,OUT!$D$2:$D$11000,"Out",OUT!$E$2:$E$11000,"Iqbal")</f>
        <v>125000</v>
      </c>
    </row>
    <row r="1332" spans="1:20" x14ac:dyDescent="0.2">
      <c r="A1332" s="48">
        <f ca="1">IFERROR(__xludf.DUMMYFUNCTION("""COMPUTED_VALUE"""),46269)</f>
        <v>46269</v>
      </c>
      <c r="B1332" s="4" t="str">
        <f ca="1">IFERROR(__xludf.DUMMYFUNCTION("""COMPUTED_VALUE"""),"Suamiku")</f>
        <v>Suamiku</v>
      </c>
      <c r="C1332" s="4" t="str">
        <f ca="1">IFERROR(__xludf.DUMMYFUNCTION("""COMPUTED_VALUE"""),"ATM")</f>
        <v>ATM</v>
      </c>
      <c r="D1332" s="4" t="str">
        <f ca="1">IFERROR(__xludf.DUMMYFUNCTION("""COMPUTED_VALUE"""),"Out")</f>
        <v>Out</v>
      </c>
      <c r="E1332" s="4" t="str">
        <f ca="1">IFERROR(__xludf.DUMMYFUNCTION("""COMPUTED_VALUE"""),"Move")</f>
        <v>Move</v>
      </c>
      <c r="F1332" s="49">
        <f ca="1">IFERROR(__xludf.DUMMYFUNCTION("""COMPUTED_VALUE"""),10000)</f>
        <v>10000</v>
      </c>
      <c r="G1332" s="50" t="str">
        <f ca="1">IFERROR(__xludf.DUMMYFUNCTION("""COMPUTED_VALUE"""),"Zela")</f>
        <v>Zela</v>
      </c>
      <c r="H1332" s="51">
        <f t="shared" ca="1" si="0"/>
        <v>46266</v>
      </c>
      <c r="I1332" s="52" t="e">
        <f ca="1">SUMIFS(OUT!$F$2:$F$11000,OUT!$H$2:$H$11000,H1332,OUT!$D$2:$D$101007,"In")</f>
        <v>#VALUE!</v>
      </c>
      <c r="J1332" s="52">
        <f ca="1">SUMIFS(OUT!$F$2:$F$11000,OUT!$H$2:$H$11000,H1332,OUT!$D$2:$D$11000,"Out")</f>
        <v>7093111</v>
      </c>
      <c r="K1332" s="52">
        <f ca="1">SUMIFS(OUT!$F$2:$F$11000,OUT!$H$2:$H$11000,H1332,OUT!$D$2:$D$11000,"Out",OUT!$E$2:$E$11000,"Fix")</f>
        <v>2972118</v>
      </c>
      <c r="L1332" s="52">
        <f ca="1">SUMIFS(OUT!$F$2:$F$11000,OUT!$H$2:$H$11000,H1332,OUT!$D$2:$D$11000,"Out",OUT!$E$2:$E$11000,"Bathroom")</f>
        <v>0</v>
      </c>
      <c r="M1332" s="52">
        <f ca="1">SUMIFS(OUT!$F$2:$F$11000,OUT!$H$2:$H$11000,H1332,OUT!$D$2:$D$11000,"Out",OUT!$E$2:$E$11000,"Alfa")</f>
        <v>55000</v>
      </c>
      <c r="N1332" s="52" t="e">
        <f ca="1">SUMIFS(OUT!$F$2:$F$11000,OUT!$H$2:$H$101007,H1332,OUT!$D$2:$D$11000,"Out",OUT!$E$2:$E$11000,"Jajan")</f>
        <v>#VALUE!</v>
      </c>
      <c r="O1332" s="52">
        <f ca="1">SUMIFS(OUT!$F$2:$F$11000,OUT!$H$2:$H$11000,H1332,OUT!$D$2:$D$11000,"Out",OUT!$E$2:$E$11000,"Kitchen")</f>
        <v>820700</v>
      </c>
      <c r="P1332" s="52">
        <f ca="1">SUMIFS(OUT!$F$2:$F$11000,OUT!$H$2:$H$11000,H1332,OUT!$D$2:$D$11000,"Out",OUT!$E$2:$E$11000,"Loandry")</f>
        <v>0</v>
      </c>
      <c r="Q1332" s="52">
        <f ca="1">SUMIFS(OUT!$F$2:$F$11000,OUT!$H$2:$H$11000,H1332,OUT!$D$2:$D$11000,"Out",OUT!$E$2:$E$11000,"Mio")</f>
        <v>137000</v>
      </c>
      <c r="R1332" s="52">
        <f ca="1">SUMIFS(OUT!$F$2:$F$11000,OUT!$H$2:$H$11000,H1332,OUT!$D$2:$D$11000,"Out",OUT!$E$2:$E$11000,"Sedekah")</f>
        <v>0</v>
      </c>
      <c r="S1332" s="52">
        <f ca="1">SUMIFS(OUT!$F$2:$F$11000,OUT!$H$2:$H$11000,H1332,OUT!$D$2:$D$11000,"Out",OUT!$E$2:$E$11000,"Zela")</f>
        <v>46126</v>
      </c>
      <c r="T1332" s="52">
        <f ca="1">SUMIFS(OUT!$F$2:$F$11000,OUT!$H$2:$H$11000,H1332,OUT!$D$2:$D$11000,"Out",OUT!$E$2:$E$11000,"Iqbal")</f>
        <v>125000</v>
      </c>
    </row>
    <row r="1333" spans="1:20" x14ac:dyDescent="0.2">
      <c r="A1333" s="48">
        <f ca="1">IFERROR(__xludf.DUMMYFUNCTION("""COMPUTED_VALUE"""),46269)</f>
        <v>46269</v>
      </c>
      <c r="B1333" s="4" t="str">
        <f ca="1">IFERROR(__xludf.DUMMYFUNCTION("""COMPUTED_VALUE"""),"Pasar Kaget ")</f>
        <v xml:space="preserve">Pasar Kaget </v>
      </c>
      <c r="C1333" s="4" t="str">
        <f ca="1">IFERROR(__xludf.DUMMYFUNCTION("""COMPUTED_VALUE"""),"Cash")</f>
        <v>Cash</v>
      </c>
      <c r="D1333" s="4" t="str">
        <f ca="1">IFERROR(__xludf.DUMMYFUNCTION("""COMPUTED_VALUE"""),"Out")</f>
        <v>Out</v>
      </c>
      <c r="E1333" s="4" t="str">
        <f ca="1">IFERROR(__xludf.DUMMYFUNCTION("""COMPUTED_VALUE"""),"Kitchen")</f>
        <v>Kitchen</v>
      </c>
      <c r="F1333" s="49">
        <f ca="1">IFERROR(__xludf.DUMMYFUNCTION("""COMPUTED_VALUE"""),125000)</f>
        <v>125000</v>
      </c>
      <c r="G1333" s="50" t="str">
        <f ca="1">IFERROR(__xludf.DUMMYFUNCTION("""COMPUTED_VALUE"""),"Zela")</f>
        <v>Zela</v>
      </c>
      <c r="H1333" s="51">
        <f t="shared" ca="1" si="0"/>
        <v>46266</v>
      </c>
      <c r="I1333" s="52" t="e">
        <f ca="1">SUMIFS(OUT!$F$2:$F$11000,OUT!$H$2:$H$11000,H1333,OUT!$D$2:$D$101007,"In")</f>
        <v>#VALUE!</v>
      </c>
      <c r="J1333" s="52">
        <f ca="1">SUMIFS(OUT!$F$2:$F$11000,OUT!$H$2:$H$11000,H1333,OUT!$D$2:$D$11000,"Out")</f>
        <v>7093111</v>
      </c>
      <c r="K1333" s="52">
        <f ca="1">SUMIFS(OUT!$F$2:$F$11000,OUT!$H$2:$H$11000,H1333,OUT!$D$2:$D$11000,"Out",OUT!$E$2:$E$11000,"Fix")</f>
        <v>2972118</v>
      </c>
      <c r="L1333" s="52">
        <f ca="1">SUMIFS(OUT!$F$2:$F$11000,OUT!$H$2:$H$11000,H1333,OUT!$D$2:$D$11000,"Out",OUT!$E$2:$E$11000,"Bathroom")</f>
        <v>0</v>
      </c>
      <c r="M1333" s="52">
        <f ca="1">SUMIFS(OUT!$F$2:$F$11000,OUT!$H$2:$H$11000,H1333,OUT!$D$2:$D$11000,"Out",OUT!$E$2:$E$11000,"Alfa")</f>
        <v>55000</v>
      </c>
      <c r="N1333" s="52" t="e">
        <f ca="1">SUMIFS(OUT!$F$2:$F$11000,OUT!$H$2:$H$101007,H1333,OUT!$D$2:$D$11000,"Out",OUT!$E$2:$E$11000,"Jajan")</f>
        <v>#VALUE!</v>
      </c>
      <c r="O1333" s="52">
        <f ca="1">SUMIFS(OUT!$F$2:$F$11000,OUT!$H$2:$H$11000,H1333,OUT!$D$2:$D$11000,"Out",OUT!$E$2:$E$11000,"Kitchen")</f>
        <v>820700</v>
      </c>
      <c r="P1333" s="52">
        <f ca="1">SUMIFS(OUT!$F$2:$F$11000,OUT!$H$2:$H$11000,H1333,OUT!$D$2:$D$11000,"Out",OUT!$E$2:$E$11000,"Loandry")</f>
        <v>0</v>
      </c>
      <c r="Q1333" s="52">
        <f ca="1">SUMIFS(OUT!$F$2:$F$11000,OUT!$H$2:$H$11000,H1333,OUT!$D$2:$D$11000,"Out",OUT!$E$2:$E$11000,"Mio")</f>
        <v>137000</v>
      </c>
      <c r="R1333" s="52">
        <f ca="1">SUMIFS(OUT!$F$2:$F$11000,OUT!$H$2:$H$11000,H1333,OUT!$D$2:$D$11000,"Out",OUT!$E$2:$E$11000,"Sedekah")</f>
        <v>0</v>
      </c>
      <c r="S1333" s="52">
        <f ca="1">SUMIFS(OUT!$F$2:$F$11000,OUT!$H$2:$H$11000,H1333,OUT!$D$2:$D$11000,"Out",OUT!$E$2:$E$11000,"Zela")</f>
        <v>46126</v>
      </c>
      <c r="T1333" s="52">
        <f ca="1">SUMIFS(OUT!$F$2:$F$11000,OUT!$H$2:$H$11000,H1333,OUT!$D$2:$D$11000,"Out",OUT!$E$2:$E$11000,"Iqbal")</f>
        <v>125000</v>
      </c>
    </row>
    <row r="1334" spans="1:20" x14ac:dyDescent="0.2">
      <c r="A1334" s="48">
        <f ca="1">IFERROR(__xludf.DUMMYFUNCTION("""COMPUTED_VALUE"""),46269)</f>
        <v>46269</v>
      </c>
      <c r="B1334" s="4" t="str">
        <f ca="1">IFERROR(__xludf.DUMMYFUNCTION("""COMPUTED_VALUE"""),"Tarik Tunai ")</f>
        <v xml:space="preserve">Tarik Tunai </v>
      </c>
      <c r="C1334" s="4" t="str">
        <f ca="1">IFERROR(__xludf.DUMMYFUNCTION("""COMPUTED_VALUE"""),"ATM")</f>
        <v>ATM</v>
      </c>
      <c r="D1334" s="4" t="str">
        <f ca="1">IFERROR(__xludf.DUMMYFUNCTION("""COMPUTED_VALUE"""),"Out")</f>
        <v>Out</v>
      </c>
      <c r="E1334" s="4" t="str">
        <f ca="1">IFERROR(__xludf.DUMMYFUNCTION("""COMPUTED_VALUE"""),"Move")</f>
        <v>Move</v>
      </c>
      <c r="F1334" s="49">
        <f ca="1">IFERROR(__xludf.DUMMYFUNCTION("""COMPUTED_VALUE"""),50000)</f>
        <v>50000</v>
      </c>
      <c r="G1334" s="50" t="str">
        <f ca="1">IFERROR(__xludf.DUMMYFUNCTION("""COMPUTED_VALUE"""),"Zela")</f>
        <v>Zela</v>
      </c>
      <c r="H1334" s="51">
        <f t="shared" ca="1" si="0"/>
        <v>46266</v>
      </c>
      <c r="I1334" s="52" t="e">
        <f ca="1">SUMIFS(OUT!$F$2:$F$11000,OUT!$H$2:$H$11000,H1334,OUT!$D$2:$D$101007,"In")</f>
        <v>#VALUE!</v>
      </c>
      <c r="J1334" s="52">
        <f ca="1">SUMIFS(OUT!$F$2:$F$11000,OUT!$H$2:$H$11000,H1334,OUT!$D$2:$D$11000,"Out")</f>
        <v>7093111</v>
      </c>
      <c r="K1334" s="52">
        <f ca="1">SUMIFS(OUT!$F$2:$F$11000,OUT!$H$2:$H$11000,H1334,OUT!$D$2:$D$11000,"Out",OUT!$E$2:$E$11000,"Fix")</f>
        <v>2972118</v>
      </c>
      <c r="L1334" s="52">
        <f ca="1">SUMIFS(OUT!$F$2:$F$11000,OUT!$H$2:$H$11000,H1334,OUT!$D$2:$D$11000,"Out",OUT!$E$2:$E$11000,"Bathroom")</f>
        <v>0</v>
      </c>
      <c r="M1334" s="52">
        <f ca="1">SUMIFS(OUT!$F$2:$F$11000,OUT!$H$2:$H$11000,H1334,OUT!$D$2:$D$11000,"Out",OUT!$E$2:$E$11000,"Alfa")</f>
        <v>55000</v>
      </c>
      <c r="N1334" s="52" t="e">
        <f ca="1">SUMIFS(OUT!$F$2:$F$11000,OUT!$H$2:$H$101007,H1334,OUT!$D$2:$D$11000,"Out",OUT!$E$2:$E$11000,"Jajan")</f>
        <v>#VALUE!</v>
      </c>
      <c r="O1334" s="52">
        <f ca="1">SUMIFS(OUT!$F$2:$F$11000,OUT!$H$2:$H$11000,H1334,OUT!$D$2:$D$11000,"Out",OUT!$E$2:$E$11000,"Kitchen")</f>
        <v>820700</v>
      </c>
      <c r="P1334" s="52">
        <f ca="1">SUMIFS(OUT!$F$2:$F$11000,OUT!$H$2:$H$11000,H1334,OUT!$D$2:$D$11000,"Out",OUT!$E$2:$E$11000,"Loandry")</f>
        <v>0</v>
      </c>
      <c r="Q1334" s="52">
        <f ca="1">SUMIFS(OUT!$F$2:$F$11000,OUT!$H$2:$H$11000,H1334,OUT!$D$2:$D$11000,"Out",OUT!$E$2:$E$11000,"Mio")</f>
        <v>137000</v>
      </c>
      <c r="R1334" s="52">
        <f ca="1">SUMIFS(OUT!$F$2:$F$11000,OUT!$H$2:$H$11000,H1334,OUT!$D$2:$D$11000,"Out",OUT!$E$2:$E$11000,"Sedekah")</f>
        <v>0</v>
      </c>
      <c r="S1334" s="52">
        <f ca="1">SUMIFS(OUT!$F$2:$F$11000,OUT!$H$2:$H$11000,H1334,OUT!$D$2:$D$11000,"Out",OUT!$E$2:$E$11000,"Zela")</f>
        <v>46126</v>
      </c>
      <c r="T1334" s="52">
        <f ca="1">SUMIFS(OUT!$F$2:$F$11000,OUT!$H$2:$H$11000,H1334,OUT!$D$2:$D$11000,"Out",OUT!$E$2:$E$11000,"Iqbal")</f>
        <v>125000</v>
      </c>
    </row>
    <row r="1335" spans="1:20" x14ac:dyDescent="0.2">
      <c r="A1335" s="48">
        <f ca="1">IFERROR(__xludf.DUMMYFUNCTION("""COMPUTED_VALUE"""),46269)</f>
        <v>46269</v>
      </c>
      <c r="B1335" s="4" t="str">
        <f ca="1">IFERROR(__xludf.DUMMYFUNCTION("""COMPUTED_VALUE"""),"Terima Tunai ")</f>
        <v xml:space="preserve">Terima Tunai </v>
      </c>
      <c r="C1335" s="4" t="str">
        <f ca="1">IFERROR(__xludf.DUMMYFUNCTION("""COMPUTED_VALUE"""),"Cash")</f>
        <v>Cash</v>
      </c>
      <c r="D1335" s="4" t="str">
        <f ca="1">IFERROR(__xludf.DUMMYFUNCTION("""COMPUTED_VALUE"""),"In")</f>
        <v>In</v>
      </c>
      <c r="E1335" s="4" t="str">
        <f ca="1">IFERROR(__xludf.DUMMYFUNCTION("""COMPUTED_VALUE"""),"Move")</f>
        <v>Move</v>
      </c>
      <c r="F1335" s="49">
        <f ca="1">IFERROR(__xludf.DUMMYFUNCTION("""COMPUTED_VALUE"""),50000)</f>
        <v>50000</v>
      </c>
      <c r="G1335" s="50" t="str">
        <f ca="1">IFERROR(__xludf.DUMMYFUNCTION("""COMPUTED_VALUE"""),"Zela")</f>
        <v>Zela</v>
      </c>
      <c r="H1335" s="51">
        <f t="shared" ca="1" si="0"/>
        <v>46266</v>
      </c>
      <c r="I1335" s="52" t="e">
        <f ca="1">SUMIFS(OUT!$F$2:$F$11000,OUT!$H$2:$H$11000,H1335,OUT!$D$2:$D$101007,"In")</f>
        <v>#VALUE!</v>
      </c>
      <c r="J1335" s="52">
        <f ca="1">SUMIFS(OUT!$F$2:$F$11000,OUT!$H$2:$H$11000,H1335,OUT!$D$2:$D$11000,"Out")</f>
        <v>7093111</v>
      </c>
      <c r="K1335" s="52">
        <f ca="1">SUMIFS(OUT!$F$2:$F$11000,OUT!$H$2:$H$11000,H1335,OUT!$D$2:$D$11000,"Out",OUT!$E$2:$E$11000,"Fix")</f>
        <v>2972118</v>
      </c>
      <c r="L1335" s="52">
        <f ca="1">SUMIFS(OUT!$F$2:$F$11000,OUT!$H$2:$H$11000,H1335,OUT!$D$2:$D$11000,"Out",OUT!$E$2:$E$11000,"Bathroom")</f>
        <v>0</v>
      </c>
      <c r="M1335" s="52">
        <f ca="1">SUMIFS(OUT!$F$2:$F$11000,OUT!$H$2:$H$11000,H1335,OUT!$D$2:$D$11000,"Out",OUT!$E$2:$E$11000,"Alfa")</f>
        <v>55000</v>
      </c>
      <c r="N1335" s="52" t="e">
        <f ca="1">SUMIFS(OUT!$F$2:$F$11000,OUT!$H$2:$H$101007,H1335,OUT!$D$2:$D$11000,"Out",OUT!$E$2:$E$11000,"Jajan")</f>
        <v>#VALUE!</v>
      </c>
      <c r="O1335" s="52">
        <f ca="1">SUMIFS(OUT!$F$2:$F$11000,OUT!$H$2:$H$11000,H1335,OUT!$D$2:$D$11000,"Out",OUT!$E$2:$E$11000,"Kitchen")</f>
        <v>820700</v>
      </c>
      <c r="P1335" s="52">
        <f ca="1">SUMIFS(OUT!$F$2:$F$11000,OUT!$H$2:$H$11000,H1335,OUT!$D$2:$D$11000,"Out",OUT!$E$2:$E$11000,"Loandry")</f>
        <v>0</v>
      </c>
      <c r="Q1335" s="52">
        <f ca="1">SUMIFS(OUT!$F$2:$F$11000,OUT!$H$2:$H$11000,H1335,OUT!$D$2:$D$11000,"Out",OUT!$E$2:$E$11000,"Mio")</f>
        <v>137000</v>
      </c>
      <c r="R1335" s="52">
        <f ca="1">SUMIFS(OUT!$F$2:$F$11000,OUT!$H$2:$H$11000,H1335,OUT!$D$2:$D$11000,"Out",OUT!$E$2:$E$11000,"Sedekah")</f>
        <v>0</v>
      </c>
      <c r="S1335" s="52">
        <f ca="1">SUMIFS(OUT!$F$2:$F$11000,OUT!$H$2:$H$11000,H1335,OUT!$D$2:$D$11000,"Out",OUT!$E$2:$E$11000,"Zela")</f>
        <v>46126</v>
      </c>
      <c r="T1335" s="52">
        <f ca="1">SUMIFS(OUT!$F$2:$F$11000,OUT!$H$2:$H$11000,H1335,OUT!$D$2:$D$11000,"Out",OUT!$E$2:$E$11000,"Iqbal")</f>
        <v>125000</v>
      </c>
    </row>
    <row r="1336" spans="1:20" x14ac:dyDescent="0.2">
      <c r="A1336" s="48">
        <f ca="1">IFERROR(__xludf.DUMMYFUNCTION("""COMPUTED_VALUE"""),46269)</f>
        <v>46269</v>
      </c>
      <c r="B1336" s="4" t="str">
        <f ca="1">IFERROR(__xludf.DUMMYFUNCTION("""COMPUTED_VALUE"""),"teh &amp; Obat Nyamuk + rotigepeng")</f>
        <v>teh &amp; Obat Nyamuk + rotigepeng</v>
      </c>
      <c r="C1336" s="4" t="str">
        <f ca="1">IFERROR(__xludf.DUMMYFUNCTION("""COMPUTED_VALUE"""),"Cash")</f>
        <v>Cash</v>
      </c>
      <c r="D1336" s="4" t="str">
        <f ca="1">IFERROR(__xludf.DUMMYFUNCTION("""COMPUTED_VALUE"""),"Out")</f>
        <v>Out</v>
      </c>
      <c r="E1336" s="4" t="str">
        <f ca="1">IFERROR(__xludf.DUMMYFUNCTION("""COMPUTED_VALUE"""),"Jajan")</f>
        <v>Jajan</v>
      </c>
      <c r="F1336" s="49">
        <f ca="1">IFERROR(__xludf.DUMMYFUNCTION("""COMPUTED_VALUE"""),22000)</f>
        <v>22000</v>
      </c>
      <c r="G1336" s="50" t="str">
        <f ca="1">IFERROR(__xludf.DUMMYFUNCTION("""COMPUTED_VALUE"""),"Zela")</f>
        <v>Zela</v>
      </c>
      <c r="H1336" s="51">
        <f t="shared" ca="1" si="0"/>
        <v>46266</v>
      </c>
      <c r="I1336" s="52" t="e">
        <f ca="1">SUMIFS(OUT!$F$2:$F$11000,OUT!$H$2:$H$11000,H1336,OUT!$D$2:$D$101007,"In")</f>
        <v>#VALUE!</v>
      </c>
      <c r="J1336" s="52">
        <f ca="1">SUMIFS(OUT!$F$2:$F$11000,OUT!$H$2:$H$11000,H1336,OUT!$D$2:$D$11000,"Out")</f>
        <v>7093111</v>
      </c>
      <c r="K1336" s="52">
        <f ca="1">SUMIFS(OUT!$F$2:$F$11000,OUT!$H$2:$H$11000,H1336,OUT!$D$2:$D$11000,"Out",OUT!$E$2:$E$11000,"Fix")</f>
        <v>2972118</v>
      </c>
      <c r="L1336" s="52">
        <f ca="1">SUMIFS(OUT!$F$2:$F$11000,OUT!$H$2:$H$11000,H1336,OUT!$D$2:$D$11000,"Out",OUT!$E$2:$E$11000,"Bathroom")</f>
        <v>0</v>
      </c>
      <c r="M1336" s="52">
        <f ca="1">SUMIFS(OUT!$F$2:$F$11000,OUT!$H$2:$H$11000,H1336,OUT!$D$2:$D$11000,"Out",OUT!$E$2:$E$11000,"Alfa")</f>
        <v>55000</v>
      </c>
      <c r="N1336" s="52" t="e">
        <f ca="1">SUMIFS(OUT!$F$2:$F$11000,OUT!$H$2:$H$101007,H1336,OUT!$D$2:$D$11000,"Out",OUT!$E$2:$E$11000,"Jajan")</f>
        <v>#VALUE!</v>
      </c>
      <c r="O1336" s="52">
        <f ca="1">SUMIFS(OUT!$F$2:$F$11000,OUT!$H$2:$H$11000,H1336,OUT!$D$2:$D$11000,"Out",OUT!$E$2:$E$11000,"Kitchen")</f>
        <v>820700</v>
      </c>
      <c r="P1336" s="52">
        <f ca="1">SUMIFS(OUT!$F$2:$F$11000,OUT!$H$2:$H$11000,H1336,OUT!$D$2:$D$11000,"Out",OUT!$E$2:$E$11000,"Loandry")</f>
        <v>0</v>
      </c>
      <c r="Q1336" s="52">
        <f ca="1">SUMIFS(OUT!$F$2:$F$11000,OUT!$H$2:$H$11000,H1336,OUT!$D$2:$D$11000,"Out",OUT!$E$2:$E$11000,"Mio")</f>
        <v>137000</v>
      </c>
      <c r="R1336" s="52">
        <f ca="1">SUMIFS(OUT!$F$2:$F$11000,OUT!$H$2:$H$11000,H1336,OUT!$D$2:$D$11000,"Out",OUT!$E$2:$E$11000,"Sedekah")</f>
        <v>0</v>
      </c>
      <c r="S1336" s="52">
        <f ca="1">SUMIFS(OUT!$F$2:$F$11000,OUT!$H$2:$H$11000,H1336,OUT!$D$2:$D$11000,"Out",OUT!$E$2:$E$11000,"Zela")</f>
        <v>46126</v>
      </c>
      <c r="T1336" s="52">
        <f ca="1">SUMIFS(OUT!$F$2:$F$11000,OUT!$H$2:$H$11000,H1336,OUT!$D$2:$D$11000,"Out",OUT!$E$2:$E$11000,"Iqbal")</f>
        <v>125000</v>
      </c>
    </row>
    <row r="1337" spans="1:20" x14ac:dyDescent="0.2">
      <c r="A1337" s="48">
        <f ca="1">IFERROR(__xludf.DUMMYFUNCTION("""COMPUTED_VALUE"""),46270)</f>
        <v>46270</v>
      </c>
      <c r="B1337" s="4" t="str">
        <f ca="1">IFERROR(__xludf.DUMMYFUNCTION("""COMPUTED_VALUE"""),"Bakso ante 4")</f>
        <v>Bakso ante 4</v>
      </c>
      <c r="C1337" s="4" t="str">
        <f ca="1">IFERROR(__xludf.DUMMYFUNCTION("""COMPUTED_VALUE"""),"Cash")</f>
        <v>Cash</v>
      </c>
      <c r="D1337" s="4" t="str">
        <f ca="1">IFERROR(__xludf.DUMMYFUNCTION("""COMPUTED_VALUE"""),"Out")</f>
        <v>Out</v>
      </c>
      <c r="E1337" s="4" t="str">
        <f ca="1">IFERROR(__xludf.DUMMYFUNCTION("""COMPUTED_VALUE"""),"Kitchen")</f>
        <v>Kitchen</v>
      </c>
      <c r="F1337" s="49">
        <f ca="1">IFERROR(__xludf.DUMMYFUNCTION("""COMPUTED_VALUE"""),20000)</f>
        <v>20000</v>
      </c>
      <c r="G1337" s="50" t="str">
        <f ca="1">IFERROR(__xludf.DUMMYFUNCTION("""COMPUTED_VALUE"""),"Zela")</f>
        <v>Zela</v>
      </c>
      <c r="H1337" s="51">
        <f t="shared" ca="1" si="0"/>
        <v>46266</v>
      </c>
      <c r="I1337" s="52" t="e">
        <f ca="1">SUMIFS(OUT!$F$2:$F$11000,OUT!$H$2:$H$11000,H1337,OUT!$D$2:$D$101007,"In")</f>
        <v>#VALUE!</v>
      </c>
      <c r="J1337" s="52">
        <f ca="1">SUMIFS(OUT!$F$2:$F$11000,OUT!$H$2:$H$11000,H1337,OUT!$D$2:$D$11000,"Out")</f>
        <v>7093111</v>
      </c>
      <c r="K1337" s="52">
        <f ca="1">SUMIFS(OUT!$F$2:$F$11000,OUT!$H$2:$H$11000,H1337,OUT!$D$2:$D$11000,"Out",OUT!$E$2:$E$11000,"Fix")</f>
        <v>2972118</v>
      </c>
      <c r="L1337" s="52">
        <f ca="1">SUMIFS(OUT!$F$2:$F$11000,OUT!$H$2:$H$11000,H1337,OUT!$D$2:$D$11000,"Out",OUT!$E$2:$E$11000,"Bathroom")</f>
        <v>0</v>
      </c>
      <c r="M1337" s="52">
        <f ca="1">SUMIFS(OUT!$F$2:$F$11000,OUT!$H$2:$H$11000,H1337,OUT!$D$2:$D$11000,"Out",OUT!$E$2:$E$11000,"Alfa")</f>
        <v>55000</v>
      </c>
      <c r="N1337" s="52" t="e">
        <f ca="1">SUMIFS(OUT!$F$2:$F$11000,OUT!$H$2:$H$101007,H1337,OUT!$D$2:$D$11000,"Out",OUT!$E$2:$E$11000,"Jajan")</f>
        <v>#VALUE!</v>
      </c>
      <c r="O1337" s="52">
        <f ca="1">SUMIFS(OUT!$F$2:$F$11000,OUT!$H$2:$H$11000,H1337,OUT!$D$2:$D$11000,"Out",OUT!$E$2:$E$11000,"Kitchen")</f>
        <v>820700</v>
      </c>
      <c r="P1337" s="52">
        <f ca="1">SUMIFS(OUT!$F$2:$F$11000,OUT!$H$2:$H$11000,H1337,OUT!$D$2:$D$11000,"Out",OUT!$E$2:$E$11000,"Loandry")</f>
        <v>0</v>
      </c>
      <c r="Q1337" s="52">
        <f ca="1">SUMIFS(OUT!$F$2:$F$11000,OUT!$H$2:$H$11000,H1337,OUT!$D$2:$D$11000,"Out",OUT!$E$2:$E$11000,"Mio")</f>
        <v>137000</v>
      </c>
      <c r="R1337" s="52">
        <f ca="1">SUMIFS(OUT!$F$2:$F$11000,OUT!$H$2:$H$11000,H1337,OUT!$D$2:$D$11000,"Out",OUT!$E$2:$E$11000,"Sedekah")</f>
        <v>0</v>
      </c>
      <c r="S1337" s="52">
        <f ca="1">SUMIFS(OUT!$F$2:$F$11000,OUT!$H$2:$H$11000,H1337,OUT!$D$2:$D$11000,"Out",OUT!$E$2:$E$11000,"Zela")</f>
        <v>46126</v>
      </c>
      <c r="T1337" s="52">
        <f ca="1">SUMIFS(OUT!$F$2:$F$11000,OUT!$H$2:$H$11000,H1337,OUT!$D$2:$D$11000,"Out",OUT!$E$2:$E$11000,"Iqbal")</f>
        <v>125000</v>
      </c>
    </row>
    <row r="1338" spans="1:20" x14ac:dyDescent="0.2">
      <c r="A1338" s="48">
        <f ca="1">IFERROR(__xludf.DUMMYFUNCTION("""COMPUTED_VALUE"""),46270)</f>
        <v>46270</v>
      </c>
      <c r="B1338" s="4" t="str">
        <f ca="1">IFERROR(__xludf.DUMMYFUNCTION("""COMPUTED_VALUE"""),"Nasgor")</f>
        <v>Nasgor</v>
      </c>
      <c r="C1338" s="4" t="str">
        <f ca="1">IFERROR(__xludf.DUMMYFUNCTION("""COMPUTED_VALUE"""),"Cash")</f>
        <v>Cash</v>
      </c>
      <c r="D1338" s="4" t="str">
        <f ca="1">IFERROR(__xludf.DUMMYFUNCTION("""COMPUTED_VALUE"""),"Out")</f>
        <v>Out</v>
      </c>
      <c r="E1338" s="4" t="str">
        <f ca="1">IFERROR(__xludf.DUMMYFUNCTION("""COMPUTED_VALUE"""),"Kitchen")</f>
        <v>Kitchen</v>
      </c>
      <c r="F1338" s="49">
        <f ca="1">IFERROR(__xludf.DUMMYFUNCTION("""COMPUTED_VALUE"""),12000)</f>
        <v>12000</v>
      </c>
      <c r="G1338" s="50" t="str">
        <f ca="1">IFERROR(__xludf.DUMMYFUNCTION("""COMPUTED_VALUE"""),"Zela")</f>
        <v>Zela</v>
      </c>
      <c r="H1338" s="51">
        <f t="shared" ca="1" si="0"/>
        <v>46266</v>
      </c>
      <c r="I1338" s="52" t="e">
        <f ca="1">SUMIFS(OUT!$F$2:$F$11000,OUT!$H$2:$H$11000,H1338,OUT!$D$2:$D$101007,"In")</f>
        <v>#VALUE!</v>
      </c>
      <c r="J1338" s="52">
        <f ca="1">SUMIFS(OUT!$F$2:$F$11000,OUT!$H$2:$H$11000,H1338,OUT!$D$2:$D$11000,"Out")</f>
        <v>7093111</v>
      </c>
      <c r="K1338" s="52">
        <f ca="1">SUMIFS(OUT!$F$2:$F$11000,OUT!$H$2:$H$11000,H1338,OUT!$D$2:$D$11000,"Out",OUT!$E$2:$E$11000,"Fix")</f>
        <v>2972118</v>
      </c>
      <c r="L1338" s="52">
        <f ca="1">SUMIFS(OUT!$F$2:$F$11000,OUT!$H$2:$H$11000,H1338,OUT!$D$2:$D$11000,"Out",OUT!$E$2:$E$11000,"Bathroom")</f>
        <v>0</v>
      </c>
      <c r="M1338" s="52">
        <f ca="1">SUMIFS(OUT!$F$2:$F$11000,OUT!$H$2:$H$11000,H1338,OUT!$D$2:$D$11000,"Out",OUT!$E$2:$E$11000,"Alfa")</f>
        <v>55000</v>
      </c>
      <c r="N1338" s="52" t="e">
        <f ca="1">SUMIFS(OUT!$F$2:$F$11000,OUT!$H$2:$H$101007,H1338,OUT!$D$2:$D$11000,"Out",OUT!$E$2:$E$11000,"Jajan")</f>
        <v>#VALUE!</v>
      </c>
      <c r="O1338" s="52">
        <f ca="1">SUMIFS(OUT!$F$2:$F$11000,OUT!$H$2:$H$11000,H1338,OUT!$D$2:$D$11000,"Out",OUT!$E$2:$E$11000,"Kitchen")</f>
        <v>820700</v>
      </c>
      <c r="P1338" s="52">
        <f ca="1">SUMIFS(OUT!$F$2:$F$11000,OUT!$H$2:$H$11000,H1338,OUT!$D$2:$D$11000,"Out",OUT!$E$2:$E$11000,"Loandry")</f>
        <v>0</v>
      </c>
      <c r="Q1338" s="52">
        <f ca="1">SUMIFS(OUT!$F$2:$F$11000,OUT!$H$2:$H$11000,H1338,OUT!$D$2:$D$11000,"Out",OUT!$E$2:$E$11000,"Mio")</f>
        <v>137000</v>
      </c>
      <c r="R1338" s="52">
        <f ca="1">SUMIFS(OUT!$F$2:$F$11000,OUT!$H$2:$H$11000,H1338,OUT!$D$2:$D$11000,"Out",OUT!$E$2:$E$11000,"Sedekah")</f>
        <v>0</v>
      </c>
      <c r="S1338" s="52">
        <f ca="1">SUMIFS(OUT!$F$2:$F$11000,OUT!$H$2:$H$11000,H1338,OUT!$D$2:$D$11000,"Out",OUT!$E$2:$E$11000,"Zela")</f>
        <v>46126</v>
      </c>
      <c r="T1338" s="52">
        <f ca="1">SUMIFS(OUT!$F$2:$F$11000,OUT!$H$2:$H$11000,H1338,OUT!$D$2:$D$11000,"Out",OUT!$E$2:$E$11000,"Iqbal")</f>
        <v>125000</v>
      </c>
    </row>
    <row r="1339" spans="1:20" x14ac:dyDescent="0.2">
      <c r="A1339" s="48">
        <f ca="1">IFERROR(__xludf.DUMMYFUNCTION("""COMPUTED_VALUE"""),46271)</f>
        <v>46271</v>
      </c>
      <c r="B1339" s="4" t="str">
        <f ca="1">IFERROR(__xludf.DUMMYFUNCTION("""COMPUTED_VALUE"""),"Tarik tunai")</f>
        <v>Tarik tunai</v>
      </c>
      <c r="C1339" s="4" t="str">
        <f ca="1">IFERROR(__xludf.DUMMYFUNCTION("""COMPUTED_VALUE"""),"ATM")</f>
        <v>ATM</v>
      </c>
      <c r="D1339" s="4" t="str">
        <f ca="1">IFERROR(__xludf.DUMMYFUNCTION("""COMPUTED_VALUE"""),"Out")</f>
        <v>Out</v>
      </c>
      <c r="E1339" s="4" t="str">
        <f ca="1">IFERROR(__xludf.DUMMYFUNCTION("""COMPUTED_VALUE"""),"Move")</f>
        <v>Move</v>
      </c>
      <c r="F1339" s="49">
        <f ca="1">IFERROR(__xludf.DUMMYFUNCTION("""COMPUTED_VALUE"""),100000)</f>
        <v>100000</v>
      </c>
      <c r="G1339" s="50" t="str">
        <f ca="1">IFERROR(__xludf.DUMMYFUNCTION("""COMPUTED_VALUE"""),"Zela")</f>
        <v>Zela</v>
      </c>
      <c r="H1339" s="51">
        <f t="shared" ca="1" si="0"/>
        <v>46266</v>
      </c>
      <c r="I1339" s="52" t="e">
        <f ca="1">SUMIFS(OUT!$F$2:$F$11000,OUT!$H$2:$H$11000,H1339,OUT!$D$2:$D$101007,"In")</f>
        <v>#VALUE!</v>
      </c>
      <c r="J1339" s="52">
        <f ca="1">SUMIFS(OUT!$F$2:$F$11000,OUT!$H$2:$H$11000,H1339,OUT!$D$2:$D$11000,"Out")</f>
        <v>7093111</v>
      </c>
      <c r="K1339" s="52">
        <f ca="1">SUMIFS(OUT!$F$2:$F$11000,OUT!$H$2:$H$11000,H1339,OUT!$D$2:$D$11000,"Out",OUT!$E$2:$E$11000,"Fix")</f>
        <v>2972118</v>
      </c>
      <c r="L1339" s="52">
        <f ca="1">SUMIFS(OUT!$F$2:$F$11000,OUT!$H$2:$H$11000,H1339,OUT!$D$2:$D$11000,"Out",OUT!$E$2:$E$11000,"Bathroom")</f>
        <v>0</v>
      </c>
      <c r="M1339" s="52">
        <f ca="1">SUMIFS(OUT!$F$2:$F$11000,OUT!$H$2:$H$11000,H1339,OUT!$D$2:$D$11000,"Out",OUT!$E$2:$E$11000,"Alfa")</f>
        <v>55000</v>
      </c>
      <c r="N1339" s="52" t="e">
        <f ca="1">SUMIFS(OUT!$F$2:$F$11000,OUT!$H$2:$H$101007,H1339,OUT!$D$2:$D$11000,"Out",OUT!$E$2:$E$11000,"Jajan")</f>
        <v>#VALUE!</v>
      </c>
      <c r="O1339" s="52">
        <f ca="1">SUMIFS(OUT!$F$2:$F$11000,OUT!$H$2:$H$11000,H1339,OUT!$D$2:$D$11000,"Out",OUT!$E$2:$E$11000,"Kitchen")</f>
        <v>820700</v>
      </c>
      <c r="P1339" s="52">
        <f ca="1">SUMIFS(OUT!$F$2:$F$11000,OUT!$H$2:$H$11000,H1339,OUT!$D$2:$D$11000,"Out",OUT!$E$2:$E$11000,"Loandry")</f>
        <v>0</v>
      </c>
      <c r="Q1339" s="52">
        <f ca="1">SUMIFS(OUT!$F$2:$F$11000,OUT!$H$2:$H$11000,H1339,OUT!$D$2:$D$11000,"Out",OUT!$E$2:$E$11000,"Mio")</f>
        <v>137000</v>
      </c>
      <c r="R1339" s="52">
        <f ca="1">SUMIFS(OUT!$F$2:$F$11000,OUT!$H$2:$H$11000,H1339,OUT!$D$2:$D$11000,"Out",OUT!$E$2:$E$11000,"Sedekah")</f>
        <v>0</v>
      </c>
      <c r="S1339" s="52">
        <f ca="1">SUMIFS(OUT!$F$2:$F$11000,OUT!$H$2:$H$11000,H1339,OUT!$D$2:$D$11000,"Out",OUT!$E$2:$E$11000,"Zela")</f>
        <v>46126</v>
      </c>
      <c r="T1339" s="52">
        <f ca="1">SUMIFS(OUT!$F$2:$F$11000,OUT!$H$2:$H$11000,H1339,OUT!$D$2:$D$11000,"Out",OUT!$E$2:$E$11000,"Iqbal")</f>
        <v>125000</v>
      </c>
    </row>
    <row r="1340" spans="1:20" x14ac:dyDescent="0.2">
      <c r="A1340" s="48">
        <f ca="1">IFERROR(__xludf.DUMMYFUNCTION("""COMPUTED_VALUE"""),46271)</f>
        <v>46271</v>
      </c>
      <c r="B1340" s="4" t="str">
        <f ca="1">IFERROR(__xludf.DUMMYFUNCTION("""COMPUTED_VALUE"""),"Terima Tunai")</f>
        <v>Terima Tunai</v>
      </c>
      <c r="C1340" s="4" t="str">
        <f ca="1">IFERROR(__xludf.DUMMYFUNCTION("""COMPUTED_VALUE"""),"Cash")</f>
        <v>Cash</v>
      </c>
      <c r="D1340" s="4" t="str">
        <f ca="1">IFERROR(__xludf.DUMMYFUNCTION("""COMPUTED_VALUE"""),"In")</f>
        <v>In</v>
      </c>
      <c r="E1340" s="4" t="str">
        <f ca="1">IFERROR(__xludf.DUMMYFUNCTION("""COMPUTED_VALUE"""),"Move")</f>
        <v>Move</v>
      </c>
      <c r="F1340" s="49">
        <f ca="1">IFERROR(__xludf.DUMMYFUNCTION("""COMPUTED_VALUE"""),100000)</f>
        <v>100000</v>
      </c>
      <c r="G1340" s="50" t="str">
        <f ca="1">IFERROR(__xludf.DUMMYFUNCTION("""COMPUTED_VALUE"""),"Zela")</f>
        <v>Zela</v>
      </c>
      <c r="H1340" s="51">
        <f t="shared" ca="1" si="0"/>
        <v>46266</v>
      </c>
      <c r="I1340" s="52" t="e">
        <f ca="1">SUMIFS(OUT!$F$2:$F$11000,OUT!$H$2:$H$11000,H1340,OUT!$D$2:$D$101007,"In")</f>
        <v>#VALUE!</v>
      </c>
      <c r="J1340" s="52">
        <f ca="1">SUMIFS(OUT!$F$2:$F$11000,OUT!$H$2:$H$11000,H1340,OUT!$D$2:$D$11000,"Out")</f>
        <v>7093111</v>
      </c>
      <c r="K1340" s="52">
        <f ca="1">SUMIFS(OUT!$F$2:$F$11000,OUT!$H$2:$H$11000,H1340,OUT!$D$2:$D$11000,"Out",OUT!$E$2:$E$11000,"Fix")</f>
        <v>2972118</v>
      </c>
      <c r="L1340" s="52">
        <f ca="1">SUMIFS(OUT!$F$2:$F$11000,OUT!$H$2:$H$11000,H1340,OUT!$D$2:$D$11000,"Out",OUT!$E$2:$E$11000,"Bathroom")</f>
        <v>0</v>
      </c>
      <c r="M1340" s="52">
        <f ca="1">SUMIFS(OUT!$F$2:$F$11000,OUT!$H$2:$H$11000,H1340,OUT!$D$2:$D$11000,"Out",OUT!$E$2:$E$11000,"Alfa")</f>
        <v>55000</v>
      </c>
      <c r="N1340" s="52" t="e">
        <f ca="1">SUMIFS(OUT!$F$2:$F$11000,OUT!$H$2:$H$101007,H1340,OUT!$D$2:$D$11000,"Out",OUT!$E$2:$E$11000,"Jajan")</f>
        <v>#VALUE!</v>
      </c>
      <c r="O1340" s="52">
        <f ca="1">SUMIFS(OUT!$F$2:$F$11000,OUT!$H$2:$H$11000,H1340,OUT!$D$2:$D$11000,"Out",OUT!$E$2:$E$11000,"Kitchen")</f>
        <v>820700</v>
      </c>
      <c r="P1340" s="52">
        <f ca="1">SUMIFS(OUT!$F$2:$F$11000,OUT!$H$2:$H$11000,H1340,OUT!$D$2:$D$11000,"Out",OUT!$E$2:$E$11000,"Loandry")</f>
        <v>0</v>
      </c>
      <c r="Q1340" s="52">
        <f ca="1">SUMIFS(OUT!$F$2:$F$11000,OUT!$H$2:$H$11000,H1340,OUT!$D$2:$D$11000,"Out",OUT!$E$2:$E$11000,"Mio")</f>
        <v>137000</v>
      </c>
      <c r="R1340" s="52">
        <f ca="1">SUMIFS(OUT!$F$2:$F$11000,OUT!$H$2:$H$11000,H1340,OUT!$D$2:$D$11000,"Out",OUT!$E$2:$E$11000,"Sedekah")</f>
        <v>0</v>
      </c>
      <c r="S1340" s="52">
        <f ca="1">SUMIFS(OUT!$F$2:$F$11000,OUT!$H$2:$H$11000,H1340,OUT!$D$2:$D$11000,"Out",OUT!$E$2:$E$11000,"Zela")</f>
        <v>46126</v>
      </c>
      <c r="T1340" s="52">
        <f ca="1">SUMIFS(OUT!$F$2:$F$11000,OUT!$H$2:$H$11000,H1340,OUT!$D$2:$D$11000,"Out",OUT!$E$2:$E$11000,"Iqbal")</f>
        <v>125000</v>
      </c>
    </row>
    <row r="1341" spans="1:20" x14ac:dyDescent="0.2">
      <c r="A1341" s="48">
        <f ca="1">IFERROR(__xludf.DUMMYFUNCTION("""COMPUTED_VALUE"""),46271)</f>
        <v>46271</v>
      </c>
      <c r="B1341" s="4" t="str">
        <f ca="1">IFERROR(__xludf.DUMMYFUNCTION("""COMPUTED_VALUE"""),"Bensin")</f>
        <v>Bensin</v>
      </c>
      <c r="C1341" s="4" t="str">
        <f ca="1">IFERROR(__xludf.DUMMYFUNCTION("""COMPUTED_VALUE"""),"Cash")</f>
        <v>Cash</v>
      </c>
      <c r="D1341" s="4" t="str">
        <f ca="1">IFERROR(__xludf.DUMMYFUNCTION("""COMPUTED_VALUE"""),"Out")</f>
        <v>Out</v>
      </c>
      <c r="E1341" s="4" t="str">
        <f ca="1">IFERROR(__xludf.DUMMYFUNCTION("""COMPUTED_VALUE"""),"Mio")</f>
        <v>Mio</v>
      </c>
      <c r="F1341" s="49">
        <f ca="1">IFERROR(__xludf.DUMMYFUNCTION("""COMPUTED_VALUE"""),20000)</f>
        <v>20000</v>
      </c>
      <c r="G1341" s="50" t="str">
        <f ca="1">IFERROR(__xludf.DUMMYFUNCTION("""COMPUTED_VALUE"""),"Zela")</f>
        <v>Zela</v>
      </c>
      <c r="H1341" s="51">
        <f t="shared" ca="1" si="0"/>
        <v>46266</v>
      </c>
      <c r="I1341" s="52" t="e">
        <f ca="1">SUMIFS(OUT!$F$2:$F$11000,OUT!$H$2:$H$11000,H1341,OUT!$D$2:$D$101007,"In")</f>
        <v>#VALUE!</v>
      </c>
      <c r="J1341" s="52">
        <f ca="1">SUMIFS(OUT!$F$2:$F$11000,OUT!$H$2:$H$11000,H1341,OUT!$D$2:$D$11000,"Out")</f>
        <v>7093111</v>
      </c>
      <c r="K1341" s="52">
        <f ca="1">SUMIFS(OUT!$F$2:$F$11000,OUT!$H$2:$H$11000,H1341,OUT!$D$2:$D$11000,"Out",OUT!$E$2:$E$11000,"Fix")</f>
        <v>2972118</v>
      </c>
      <c r="L1341" s="52">
        <f ca="1">SUMIFS(OUT!$F$2:$F$11000,OUT!$H$2:$H$11000,H1341,OUT!$D$2:$D$11000,"Out",OUT!$E$2:$E$11000,"Bathroom")</f>
        <v>0</v>
      </c>
      <c r="M1341" s="52">
        <f ca="1">SUMIFS(OUT!$F$2:$F$11000,OUT!$H$2:$H$11000,H1341,OUT!$D$2:$D$11000,"Out",OUT!$E$2:$E$11000,"Alfa")</f>
        <v>55000</v>
      </c>
      <c r="N1341" s="52" t="e">
        <f ca="1">SUMIFS(OUT!$F$2:$F$11000,OUT!$H$2:$H$101007,H1341,OUT!$D$2:$D$11000,"Out",OUT!$E$2:$E$11000,"Jajan")</f>
        <v>#VALUE!</v>
      </c>
      <c r="O1341" s="52">
        <f ca="1">SUMIFS(OUT!$F$2:$F$11000,OUT!$H$2:$H$11000,H1341,OUT!$D$2:$D$11000,"Out",OUT!$E$2:$E$11000,"Kitchen")</f>
        <v>820700</v>
      </c>
      <c r="P1341" s="52">
        <f ca="1">SUMIFS(OUT!$F$2:$F$11000,OUT!$H$2:$H$11000,H1341,OUT!$D$2:$D$11000,"Out",OUT!$E$2:$E$11000,"Loandry")</f>
        <v>0</v>
      </c>
      <c r="Q1341" s="52">
        <f ca="1">SUMIFS(OUT!$F$2:$F$11000,OUT!$H$2:$H$11000,H1341,OUT!$D$2:$D$11000,"Out",OUT!$E$2:$E$11000,"Mio")</f>
        <v>137000</v>
      </c>
      <c r="R1341" s="52">
        <f ca="1">SUMIFS(OUT!$F$2:$F$11000,OUT!$H$2:$H$11000,H1341,OUT!$D$2:$D$11000,"Out",OUT!$E$2:$E$11000,"Sedekah")</f>
        <v>0</v>
      </c>
      <c r="S1341" s="52">
        <f ca="1">SUMIFS(OUT!$F$2:$F$11000,OUT!$H$2:$H$11000,H1341,OUT!$D$2:$D$11000,"Out",OUT!$E$2:$E$11000,"Zela")</f>
        <v>46126</v>
      </c>
      <c r="T1341" s="52">
        <f ca="1">SUMIFS(OUT!$F$2:$F$11000,OUT!$H$2:$H$11000,H1341,OUT!$D$2:$D$11000,"Out",OUT!$E$2:$E$11000,"Iqbal")</f>
        <v>125000</v>
      </c>
    </row>
    <row r="1342" spans="1:20" x14ac:dyDescent="0.2">
      <c r="A1342" s="48">
        <f ca="1">IFERROR(__xludf.DUMMYFUNCTION("""COMPUTED_VALUE"""),46271)</f>
        <v>46271</v>
      </c>
      <c r="B1342" s="4" t="str">
        <f ca="1">IFERROR(__xludf.DUMMYFUNCTION("""COMPUTED_VALUE"""),"Sarapan gorengn")</f>
        <v>Sarapan gorengn</v>
      </c>
      <c r="C1342" s="4" t="str">
        <f ca="1">IFERROR(__xludf.DUMMYFUNCTION("""COMPUTED_VALUE"""),"Cash")</f>
        <v>Cash</v>
      </c>
      <c r="D1342" s="4" t="str">
        <f ca="1">IFERROR(__xludf.DUMMYFUNCTION("""COMPUTED_VALUE"""),"Out")</f>
        <v>Out</v>
      </c>
      <c r="E1342" s="4" t="str">
        <f ca="1">IFERROR(__xludf.DUMMYFUNCTION("""COMPUTED_VALUE"""),"Jajan")</f>
        <v>Jajan</v>
      </c>
      <c r="F1342" s="49">
        <f ca="1">IFERROR(__xludf.DUMMYFUNCTION("""COMPUTED_VALUE"""),14000)</f>
        <v>14000</v>
      </c>
      <c r="G1342" s="50" t="str">
        <f ca="1">IFERROR(__xludf.DUMMYFUNCTION("""COMPUTED_VALUE"""),"Zela")</f>
        <v>Zela</v>
      </c>
      <c r="H1342" s="51">
        <f t="shared" ca="1" si="0"/>
        <v>46266</v>
      </c>
      <c r="I1342" s="52" t="e">
        <f ca="1">SUMIFS(OUT!$F$2:$F$11000,OUT!$H$2:$H$11000,H1342,OUT!$D$2:$D$101007,"In")</f>
        <v>#VALUE!</v>
      </c>
      <c r="J1342" s="52">
        <f ca="1">SUMIFS(OUT!$F$2:$F$11000,OUT!$H$2:$H$11000,H1342,OUT!$D$2:$D$11000,"Out")</f>
        <v>7093111</v>
      </c>
      <c r="K1342" s="52">
        <f ca="1">SUMIFS(OUT!$F$2:$F$11000,OUT!$H$2:$H$11000,H1342,OUT!$D$2:$D$11000,"Out",OUT!$E$2:$E$11000,"Fix")</f>
        <v>2972118</v>
      </c>
      <c r="L1342" s="52">
        <f ca="1">SUMIFS(OUT!$F$2:$F$11000,OUT!$H$2:$H$11000,H1342,OUT!$D$2:$D$11000,"Out",OUT!$E$2:$E$11000,"Bathroom")</f>
        <v>0</v>
      </c>
      <c r="M1342" s="52">
        <f ca="1">SUMIFS(OUT!$F$2:$F$11000,OUT!$H$2:$H$11000,H1342,OUT!$D$2:$D$11000,"Out",OUT!$E$2:$E$11000,"Alfa")</f>
        <v>55000</v>
      </c>
      <c r="N1342" s="52" t="e">
        <f ca="1">SUMIFS(OUT!$F$2:$F$11000,OUT!$H$2:$H$101007,H1342,OUT!$D$2:$D$11000,"Out",OUT!$E$2:$E$11000,"Jajan")</f>
        <v>#VALUE!</v>
      </c>
      <c r="O1342" s="52">
        <f ca="1">SUMIFS(OUT!$F$2:$F$11000,OUT!$H$2:$H$11000,H1342,OUT!$D$2:$D$11000,"Out",OUT!$E$2:$E$11000,"Kitchen")</f>
        <v>820700</v>
      </c>
      <c r="P1342" s="52">
        <f ca="1">SUMIFS(OUT!$F$2:$F$11000,OUT!$H$2:$H$11000,H1342,OUT!$D$2:$D$11000,"Out",OUT!$E$2:$E$11000,"Loandry")</f>
        <v>0</v>
      </c>
      <c r="Q1342" s="52">
        <f ca="1">SUMIFS(OUT!$F$2:$F$11000,OUT!$H$2:$H$11000,H1342,OUT!$D$2:$D$11000,"Out",OUT!$E$2:$E$11000,"Mio")</f>
        <v>137000</v>
      </c>
      <c r="R1342" s="52">
        <f ca="1">SUMIFS(OUT!$F$2:$F$11000,OUT!$H$2:$H$11000,H1342,OUT!$D$2:$D$11000,"Out",OUT!$E$2:$E$11000,"Sedekah")</f>
        <v>0</v>
      </c>
      <c r="S1342" s="52">
        <f ca="1">SUMIFS(OUT!$F$2:$F$11000,OUT!$H$2:$H$11000,H1342,OUT!$D$2:$D$11000,"Out",OUT!$E$2:$E$11000,"Zela")</f>
        <v>46126</v>
      </c>
      <c r="T1342" s="52">
        <f ca="1">SUMIFS(OUT!$F$2:$F$11000,OUT!$H$2:$H$11000,H1342,OUT!$D$2:$D$11000,"Out",OUT!$E$2:$E$11000,"Iqbal")</f>
        <v>125000</v>
      </c>
    </row>
    <row r="1343" spans="1:20" x14ac:dyDescent="0.2">
      <c r="A1343" s="48">
        <f ca="1">IFERROR(__xludf.DUMMYFUNCTION("""COMPUTED_VALUE"""),46271)</f>
        <v>46271</v>
      </c>
      <c r="B1343" s="4" t="str">
        <f ca="1">IFERROR(__xludf.DUMMYFUNCTION("""COMPUTED_VALUE"""),"Ayam pnyet 3")</f>
        <v>Ayam pnyet 3</v>
      </c>
      <c r="C1343" s="4" t="str">
        <f ca="1">IFERROR(__xludf.DUMMYFUNCTION("""COMPUTED_VALUE"""),"Cash")</f>
        <v>Cash</v>
      </c>
      <c r="D1343" s="4" t="str">
        <f ca="1">IFERROR(__xludf.DUMMYFUNCTION("""COMPUTED_VALUE"""),"Out")</f>
        <v>Out</v>
      </c>
      <c r="E1343" s="4" t="str">
        <f ca="1">IFERROR(__xludf.DUMMYFUNCTION("""COMPUTED_VALUE"""),"Kitchen")</f>
        <v>Kitchen</v>
      </c>
      <c r="F1343" s="49">
        <f ca="1">IFERROR(__xludf.DUMMYFUNCTION("""COMPUTED_VALUE"""),53000)</f>
        <v>53000</v>
      </c>
      <c r="G1343" s="50" t="str">
        <f ca="1">IFERROR(__xludf.DUMMYFUNCTION("""COMPUTED_VALUE"""),"Zela")</f>
        <v>Zela</v>
      </c>
      <c r="H1343" s="51">
        <f t="shared" ca="1" si="0"/>
        <v>46266</v>
      </c>
      <c r="I1343" s="52" t="e">
        <f ca="1">SUMIFS(OUT!$F$2:$F$11000,OUT!$H$2:$H$11000,H1343,OUT!$D$2:$D$101007,"In")</f>
        <v>#VALUE!</v>
      </c>
      <c r="J1343" s="52">
        <f ca="1">SUMIFS(OUT!$F$2:$F$11000,OUT!$H$2:$H$11000,H1343,OUT!$D$2:$D$11000,"Out")</f>
        <v>7093111</v>
      </c>
      <c r="K1343" s="52">
        <f ca="1">SUMIFS(OUT!$F$2:$F$11000,OUT!$H$2:$H$11000,H1343,OUT!$D$2:$D$11000,"Out",OUT!$E$2:$E$11000,"Fix")</f>
        <v>2972118</v>
      </c>
      <c r="L1343" s="52">
        <f ca="1">SUMIFS(OUT!$F$2:$F$11000,OUT!$H$2:$H$11000,H1343,OUT!$D$2:$D$11000,"Out",OUT!$E$2:$E$11000,"Bathroom")</f>
        <v>0</v>
      </c>
      <c r="M1343" s="52">
        <f ca="1">SUMIFS(OUT!$F$2:$F$11000,OUT!$H$2:$H$11000,H1343,OUT!$D$2:$D$11000,"Out",OUT!$E$2:$E$11000,"Alfa")</f>
        <v>55000</v>
      </c>
      <c r="N1343" s="52" t="e">
        <f ca="1">SUMIFS(OUT!$F$2:$F$11000,OUT!$H$2:$H$101007,H1343,OUT!$D$2:$D$11000,"Out",OUT!$E$2:$E$11000,"Jajan")</f>
        <v>#VALUE!</v>
      </c>
      <c r="O1343" s="52">
        <f ca="1">SUMIFS(OUT!$F$2:$F$11000,OUT!$H$2:$H$11000,H1343,OUT!$D$2:$D$11000,"Out",OUT!$E$2:$E$11000,"Kitchen")</f>
        <v>820700</v>
      </c>
      <c r="P1343" s="52">
        <f ca="1">SUMIFS(OUT!$F$2:$F$11000,OUT!$H$2:$H$11000,H1343,OUT!$D$2:$D$11000,"Out",OUT!$E$2:$E$11000,"Loandry")</f>
        <v>0</v>
      </c>
      <c r="Q1343" s="52">
        <f ca="1">SUMIFS(OUT!$F$2:$F$11000,OUT!$H$2:$H$11000,H1343,OUT!$D$2:$D$11000,"Out",OUT!$E$2:$E$11000,"Mio")</f>
        <v>137000</v>
      </c>
      <c r="R1343" s="52">
        <f ca="1">SUMIFS(OUT!$F$2:$F$11000,OUT!$H$2:$H$11000,H1343,OUT!$D$2:$D$11000,"Out",OUT!$E$2:$E$11000,"Sedekah")</f>
        <v>0</v>
      </c>
      <c r="S1343" s="52">
        <f ca="1">SUMIFS(OUT!$F$2:$F$11000,OUT!$H$2:$H$11000,H1343,OUT!$D$2:$D$11000,"Out",OUT!$E$2:$E$11000,"Zela")</f>
        <v>46126</v>
      </c>
      <c r="T1343" s="52">
        <f ca="1">SUMIFS(OUT!$F$2:$F$11000,OUT!$H$2:$H$11000,H1343,OUT!$D$2:$D$11000,"Out",OUT!$E$2:$E$11000,"Iqbal")</f>
        <v>125000</v>
      </c>
    </row>
    <row r="1344" spans="1:20" x14ac:dyDescent="0.2">
      <c r="A1344" s="48">
        <f ca="1">IFERROR(__xludf.DUMMYFUNCTION("""COMPUTED_VALUE"""),46271)</f>
        <v>46271</v>
      </c>
      <c r="B1344" s="4" t="str">
        <f ca="1">IFERROR(__xludf.DUMMYFUNCTION("""COMPUTED_VALUE"""),"lupa catat")</f>
        <v>lupa catat</v>
      </c>
      <c r="C1344" s="4" t="str">
        <f ca="1">IFERROR(__xludf.DUMMYFUNCTION("""COMPUTED_VALUE"""),"Cash")</f>
        <v>Cash</v>
      </c>
      <c r="D1344" s="4" t="str">
        <f ca="1">IFERROR(__xludf.DUMMYFUNCTION("""COMPUTED_VALUE"""),"Out")</f>
        <v>Out</v>
      </c>
      <c r="E1344" s="4" t="str">
        <f ca="1">IFERROR(__xludf.DUMMYFUNCTION("""COMPUTED_VALUE"""),"Kitchen")</f>
        <v>Kitchen</v>
      </c>
      <c r="F1344" s="49">
        <f ca="1">IFERROR(__xludf.DUMMYFUNCTION("""COMPUTED_VALUE"""),10000)</f>
        <v>10000</v>
      </c>
      <c r="G1344" s="50" t="str">
        <f ca="1">IFERROR(__xludf.DUMMYFUNCTION("""COMPUTED_VALUE"""),"Zela")</f>
        <v>Zela</v>
      </c>
      <c r="H1344" s="51">
        <f t="shared" ca="1" si="0"/>
        <v>46266</v>
      </c>
      <c r="I1344" s="52" t="e">
        <f ca="1">SUMIFS(OUT!$F$2:$F$11000,OUT!$H$2:$H$11000,H1344,OUT!$D$2:$D$101007,"In")</f>
        <v>#VALUE!</v>
      </c>
      <c r="J1344" s="52">
        <f ca="1">SUMIFS(OUT!$F$2:$F$11000,OUT!$H$2:$H$11000,H1344,OUT!$D$2:$D$11000,"Out")</f>
        <v>7093111</v>
      </c>
      <c r="K1344" s="52">
        <f ca="1">SUMIFS(OUT!$F$2:$F$11000,OUT!$H$2:$H$11000,H1344,OUT!$D$2:$D$11000,"Out",OUT!$E$2:$E$11000,"Fix")</f>
        <v>2972118</v>
      </c>
      <c r="L1344" s="52">
        <f ca="1">SUMIFS(OUT!$F$2:$F$11000,OUT!$H$2:$H$11000,H1344,OUT!$D$2:$D$11000,"Out",OUT!$E$2:$E$11000,"Bathroom")</f>
        <v>0</v>
      </c>
      <c r="M1344" s="52">
        <f ca="1">SUMIFS(OUT!$F$2:$F$11000,OUT!$H$2:$H$11000,H1344,OUT!$D$2:$D$11000,"Out",OUT!$E$2:$E$11000,"Alfa")</f>
        <v>55000</v>
      </c>
      <c r="N1344" s="52" t="e">
        <f ca="1">SUMIFS(OUT!$F$2:$F$11000,OUT!$H$2:$H$101007,H1344,OUT!$D$2:$D$11000,"Out",OUT!$E$2:$E$11000,"Jajan")</f>
        <v>#VALUE!</v>
      </c>
      <c r="O1344" s="52">
        <f ca="1">SUMIFS(OUT!$F$2:$F$11000,OUT!$H$2:$H$11000,H1344,OUT!$D$2:$D$11000,"Out",OUT!$E$2:$E$11000,"Kitchen")</f>
        <v>820700</v>
      </c>
      <c r="P1344" s="52">
        <f ca="1">SUMIFS(OUT!$F$2:$F$11000,OUT!$H$2:$H$11000,H1344,OUT!$D$2:$D$11000,"Out",OUT!$E$2:$E$11000,"Loandry")</f>
        <v>0</v>
      </c>
      <c r="Q1344" s="52">
        <f ca="1">SUMIFS(OUT!$F$2:$F$11000,OUT!$H$2:$H$11000,H1344,OUT!$D$2:$D$11000,"Out",OUT!$E$2:$E$11000,"Mio")</f>
        <v>137000</v>
      </c>
      <c r="R1344" s="52">
        <f ca="1">SUMIFS(OUT!$F$2:$F$11000,OUT!$H$2:$H$11000,H1344,OUT!$D$2:$D$11000,"Out",OUT!$E$2:$E$11000,"Sedekah")</f>
        <v>0</v>
      </c>
      <c r="S1344" s="52">
        <f ca="1">SUMIFS(OUT!$F$2:$F$11000,OUT!$H$2:$H$11000,H1344,OUT!$D$2:$D$11000,"Out",OUT!$E$2:$E$11000,"Zela")</f>
        <v>46126</v>
      </c>
      <c r="T1344" s="52">
        <f ca="1">SUMIFS(OUT!$F$2:$F$11000,OUT!$H$2:$H$11000,H1344,OUT!$D$2:$D$11000,"Out",OUT!$E$2:$E$11000,"Iqbal")</f>
        <v>125000</v>
      </c>
    </row>
    <row r="1345" spans="1:20" x14ac:dyDescent="0.2">
      <c r="A1345" s="48">
        <f ca="1">IFERROR(__xludf.DUMMYFUNCTION("""COMPUTED_VALUE"""),46271)</f>
        <v>46271</v>
      </c>
      <c r="B1345" s="4" t="str">
        <f ca="1">IFERROR(__xludf.DUMMYFUNCTION("""COMPUTED_VALUE"""),"Yogurt+eskrim+sikt gigi")</f>
        <v>Yogurt+eskrim+sikt gigi</v>
      </c>
      <c r="C1345" s="4" t="str">
        <f ca="1">IFERROR(__xludf.DUMMYFUNCTION("""COMPUTED_VALUE"""),"ATM")</f>
        <v>ATM</v>
      </c>
      <c r="D1345" s="4" t="str">
        <f ca="1">IFERROR(__xludf.DUMMYFUNCTION("""COMPUTED_VALUE"""),"Out")</f>
        <v>Out</v>
      </c>
      <c r="E1345" s="4" t="str">
        <f ca="1">IFERROR(__xludf.DUMMYFUNCTION("""COMPUTED_VALUE"""),"Jajan")</f>
        <v>Jajan</v>
      </c>
      <c r="F1345" s="49">
        <f ca="1">IFERROR(__xludf.DUMMYFUNCTION("""COMPUTED_VALUE"""),25000)</f>
        <v>25000</v>
      </c>
      <c r="G1345" s="50" t="str">
        <f ca="1">IFERROR(__xludf.DUMMYFUNCTION("""COMPUTED_VALUE"""),"Zela")</f>
        <v>Zela</v>
      </c>
      <c r="H1345" s="51">
        <f t="shared" ca="1" si="0"/>
        <v>46266</v>
      </c>
      <c r="I1345" s="52" t="e">
        <f ca="1">SUMIFS(OUT!$F$2:$F$11000,OUT!$H$2:$H$11000,H1345,OUT!$D$2:$D$101007,"In")</f>
        <v>#VALUE!</v>
      </c>
      <c r="J1345" s="52">
        <f ca="1">SUMIFS(OUT!$F$2:$F$11000,OUT!$H$2:$H$11000,H1345,OUT!$D$2:$D$11000,"Out")</f>
        <v>7093111</v>
      </c>
      <c r="K1345" s="52">
        <f ca="1">SUMIFS(OUT!$F$2:$F$11000,OUT!$H$2:$H$11000,H1345,OUT!$D$2:$D$11000,"Out",OUT!$E$2:$E$11000,"Fix")</f>
        <v>2972118</v>
      </c>
      <c r="L1345" s="52">
        <f ca="1">SUMIFS(OUT!$F$2:$F$11000,OUT!$H$2:$H$11000,H1345,OUT!$D$2:$D$11000,"Out",OUT!$E$2:$E$11000,"Bathroom")</f>
        <v>0</v>
      </c>
      <c r="M1345" s="52">
        <f ca="1">SUMIFS(OUT!$F$2:$F$11000,OUT!$H$2:$H$11000,H1345,OUT!$D$2:$D$11000,"Out",OUT!$E$2:$E$11000,"Alfa")</f>
        <v>55000</v>
      </c>
      <c r="N1345" s="52" t="e">
        <f ca="1">SUMIFS(OUT!$F$2:$F$11000,OUT!$H$2:$H$101007,H1345,OUT!$D$2:$D$11000,"Out",OUT!$E$2:$E$11000,"Jajan")</f>
        <v>#VALUE!</v>
      </c>
      <c r="O1345" s="52">
        <f ca="1">SUMIFS(OUT!$F$2:$F$11000,OUT!$H$2:$H$11000,H1345,OUT!$D$2:$D$11000,"Out",OUT!$E$2:$E$11000,"Kitchen")</f>
        <v>820700</v>
      </c>
      <c r="P1345" s="52">
        <f ca="1">SUMIFS(OUT!$F$2:$F$11000,OUT!$H$2:$H$11000,H1345,OUT!$D$2:$D$11000,"Out",OUT!$E$2:$E$11000,"Loandry")</f>
        <v>0</v>
      </c>
      <c r="Q1345" s="52">
        <f ca="1">SUMIFS(OUT!$F$2:$F$11000,OUT!$H$2:$H$11000,H1345,OUT!$D$2:$D$11000,"Out",OUT!$E$2:$E$11000,"Mio")</f>
        <v>137000</v>
      </c>
      <c r="R1345" s="52">
        <f ca="1">SUMIFS(OUT!$F$2:$F$11000,OUT!$H$2:$H$11000,H1345,OUT!$D$2:$D$11000,"Out",OUT!$E$2:$E$11000,"Sedekah")</f>
        <v>0</v>
      </c>
      <c r="S1345" s="52">
        <f ca="1">SUMIFS(OUT!$F$2:$F$11000,OUT!$H$2:$H$11000,H1345,OUT!$D$2:$D$11000,"Out",OUT!$E$2:$E$11000,"Zela")</f>
        <v>46126</v>
      </c>
      <c r="T1345" s="52">
        <f ca="1">SUMIFS(OUT!$F$2:$F$11000,OUT!$H$2:$H$11000,H1345,OUT!$D$2:$D$11000,"Out",OUT!$E$2:$E$11000,"Iqbal")</f>
        <v>125000</v>
      </c>
    </row>
    <row r="1346" spans="1:20" x14ac:dyDescent="0.2">
      <c r="A1346" s="48">
        <f ca="1">IFERROR(__xludf.DUMMYFUNCTION("""COMPUTED_VALUE"""),46271)</f>
        <v>46271</v>
      </c>
      <c r="B1346" s="4" t="str">
        <f ca="1">IFERROR(__xludf.DUMMYFUNCTION("""COMPUTED_VALUE"""),"tatik tunai")</f>
        <v>tatik tunai</v>
      </c>
      <c r="C1346" s="4" t="str">
        <f ca="1">IFERROR(__xludf.DUMMYFUNCTION("""COMPUTED_VALUE"""),"ATM")</f>
        <v>ATM</v>
      </c>
      <c r="D1346" s="4" t="str">
        <f ca="1">IFERROR(__xludf.DUMMYFUNCTION("""COMPUTED_VALUE"""),"Out")</f>
        <v>Out</v>
      </c>
      <c r="E1346" s="4" t="str">
        <f ca="1">IFERROR(__xludf.DUMMYFUNCTION("""COMPUTED_VALUE"""),"Move")</f>
        <v>Move</v>
      </c>
      <c r="F1346" s="49">
        <f ca="1">IFERROR(__xludf.DUMMYFUNCTION("""COMPUTED_VALUE"""),200000)</f>
        <v>200000</v>
      </c>
      <c r="G1346" s="50" t="str">
        <f ca="1">IFERROR(__xludf.DUMMYFUNCTION("""COMPUTED_VALUE"""),"Zela")</f>
        <v>Zela</v>
      </c>
      <c r="H1346" s="51">
        <f t="shared" ca="1" si="0"/>
        <v>46266</v>
      </c>
      <c r="I1346" s="52" t="e">
        <f ca="1">SUMIFS(OUT!$F$2:$F$11000,OUT!$H$2:$H$11000,H1346,OUT!$D$2:$D$101007,"In")</f>
        <v>#VALUE!</v>
      </c>
      <c r="J1346" s="52">
        <f ca="1">SUMIFS(OUT!$F$2:$F$11000,OUT!$H$2:$H$11000,H1346,OUT!$D$2:$D$11000,"Out")</f>
        <v>7093111</v>
      </c>
      <c r="K1346" s="52">
        <f ca="1">SUMIFS(OUT!$F$2:$F$11000,OUT!$H$2:$H$11000,H1346,OUT!$D$2:$D$11000,"Out",OUT!$E$2:$E$11000,"Fix")</f>
        <v>2972118</v>
      </c>
      <c r="L1346" s="52">
        <f ca="1">SUMIFS(OUT!$F$2:$F$11000,OUT!$H$2:$H$11000,H1346,OUT!$D$2:$D$11000,"Out",OUT!$E$2:$E$11000,"Bathroom")</f>
        <v>0</v>
      </c>
      <c r="M1346" s="52">
        <f ca="1">SUMIFS(OUT!$F$2:$F$11000,OUT!$H$2:$H$11000,H1346,OUT!$D$2:$D$11000,"Out",OUT!$E$2:$E$11000,"Alfa")</f>
        <v>55000</v>
      </c>
      <c r="N1346" s="52" t="e">
        <f ca="1">SUMIFS(OUT!$F$2:$F$11000,OUT!$H$2:$H$101007,H1346,OUT!$D$2:$D$11000,"Out",OUT!$E$2:$E$11000,"Jajan")</f>
        <v>#VALUE!</v>
      </c>
      <c r="O1346" s="52">
        <f ca="1">SUMIFS(OUT!$F$2:$F$11000,OUT!$H$2:$H$11000,H1346,OUT!$D$2:$D$11000,"Out",OUT!$E$2:$E$11000,"Kitchen")</f>
        <v>820700</v>
      </c>
      <c r="P1346" s="52">
        <f ca="1">SUMIFS(OUT!$F$2:$F$11000,OUT!$H$2:$H$11000,H1346,OUT!$D$2:$D$11000,"Out",OUT!$E$2:$E$11000,"Loandry")</f>
        <v>0</v>
      </c>
      <c r="Q1346" s="52">
        <f ca="1">SUMIFS(OUT!$F$2:$F$11000,OUT!$H$2:$H$11000,H1346,OUT!$D$2:$D$11000,"Out",OUT!$E$2:$E$11000,"Mio")</f>
        <v>137000</v>
      </c>
      <c r="R1346" s="52">
        <f ca="1">SUMIFS(OUT!$F$2:$F$11000,OUT!$H$2:$H$11000,H1346,OUT!$D$2:$D$11000,"Out",OUT!$E$2:$E$11000,"Sedekah")</f>
        <v>0</v>
      </c>
      <c r="S1346" s="52">
        <f ca="1">SUMIFS(OUT!$F$2:$F$11000,OUT!$H$2:$H$11000,H1346,OUT!$D$2:$D$11000,"Out",OUT!$E$2:$E$11000,"Zela")</f>
        <v>46126</v>
      </c>
      <c r="T1346" s="52">
        <f ca="1">SUMIFS(OUT!$F$2:$F$11000,OUT!$H$2:$H$11000,H1346,OUT!$D$2:$D$11000,"Out",OUT!$E$2:$E$11000,"Iqbal")</f>
        <v>125000</v>
      </c>
    </row>
    <row r="1347" spans="1:20" x14ac:dyDescent="0.2">
      <c r="A1347" s="48">
        <f ca="1">IFERROR(__xludf.DUMMYFUNCTION("""COMPUTED_VALUE"""),46272)</f>
        <v>46272</v>
      </c>
      <c r="B1347" s="4" t="str">
        <f ca="1">IFERROR(__xludf.DUMMYFUNCTION("""COMPUTED_VALUE"""),"Terima tunai")</f>
        <v>Terima tunai</v>
      </c>
      <c r="C1347" s="4" t="str">
        <f ca="1">IFERROR(__xludf.DUMMYFUNCTION("""COMPUTED_VALUE"""),"Cash")</f>
        <v>Cash</v>
      </c>
      <c r="D1347" s="4" t="str">
        <f ca="1">IFERROR(__xludf.DUMMYFUNCTION("""COMPUTED_VALUE"""),"In")</f>
        <v>In</v>
      </c>
      <c r="E1347" s="4" t="str">
        <f ca="1">IFERROR(__xludf.DUMMYFUNCTION("""COMPUTED_VALUE"""),"Move")</f>
        <v>Move</v>
      </c>
      <c r="F1347" s="49">
        <f ca="1">IFERROR(__xludf.DUMMYFUNCTION("""COMPUTED_VALUE"""),200000)</f>
        <v>200000</v>
      </c>
      <c r="G1347" s="50" t="str">
        <f ca="1">IFERROR(__xludf.DUMMYFUNCTION("""COMPUTED_VALUE"""),"Zela")</f>
        <v>Zela</v>
      </c>
      <c r="H1347" s="51">
        <f t="shared" ca="1" si="0"/>
        <v>46266</v>
      </c>
      <c r="I1347" s="52" t="e">
        <f ca="1">SUMIFS(OUT!$F$2:$F$11000,OUT!$H$2:$H$11000,H1347,OUT!$D$2:$D$101007,"In")</f>
        <v>#VALUE!</v>
      </c>
      <c r="J1347" s="52">
        <f ca="1">SUMIFS(OUT!$F$2:$F$11000,OUT!$H$2:$H$11000,H1347,OUT!$D$2:$D$11000,"Out")</f>
        <v>7093111</v>
      </c>
      <c r="K1347" s="52">
        <f ca="1">SUMIFS(OUT!$F$2:$F$11000,OUT!$H$2:$H$11000,H1347,OUT!$D$2:$D$11000,"Out",OUT!$E$2:$E$11000,"Fix")</f>
        <v>2972118</v>
      </c>
      <c r="L1347" s="52">
        <f ca="1">SUMIFS(OUT!$F$2:$F$11000,OUT!$H$2:$H$11000,H1347,OUT!$D$2:$D$11000,"Out",OUT!$E$2:$E$11000,"Bathroom")</f>
        <v>0</v>
      </c>
      <c r="M1347" s="52">
        <f ca="1">SUMIFS(OUT!$F$2:$F$11000,OUT!$H$2:$H$11000,H1347,OUT!$D$2:$D$11000,"Out",OUT!$E$2:$E$11000,"Alfa")</f>
        <v>55000</v>
      </c>
      <c r="N1347" s="52" t="e">
        <f ca="1">SUMIFS(OUT!$F$2:$F$11000,OUT!$H$2:$H$101007,H1347,OUT!$D$2:$D$11000,"Out",OUT!$E$2:$E$11000,"Jajan")</f>
        <v>#VALUE!</v>
      </c>
      <c r="O1347" s="52">
        <f ca="1">SUMIFS(OUT!$F$2:$F$11000,OUT!$H$2:$H$11000,H1347,OUT!$D$2:$D$11000,"Out",OUT!$E$2:$E$11000,"Kitchen")</f>
        <v>820700</v>
      </c>
      <c r="P1347" s="52">
        <f ca="1">SUMIFS(OUT!$F$2:$F$11000,OUT!$H$2:$H$11000,H1347,OUT!$D$2:$D$11000,"Out",OUT!$E$2:$E$11000,"Loandry")</f>
        <v>0</v>
      </c>
      <c r="Q1347" s="52">
        <f ca="1">SUMIFS(OUT!$F$2:$F$11000,OUT!$H$2:$H$11000,H1347,OUT!$D$2:$D$11000,"Out",OUT!$E$2:$E$11000,"Mio")</f>
        <v>137000</v>
      </c>
      <c r="R1347" s="52">
        <f ca="1">SUMIFS(OUT!$F$2:$F$11000,OUT!$H$2:$H$11000,H1347,OUT!$D$2:$D$11000,"Out",OUT!$E$2:$E$11000,"Sedekah")</f>
        <v>0</v>
      </c>
      <c r="S1347" s="52">
        <f ca="1">SUMIFS(OUT!$F$2:$F$11000,OUT!$H$2:$H$11000,H1347,OUT!$D$2:$D$11000,"Out",OUT!$E$2:$E$11000,"Zela")</f>
        <v>46126</v>
      </c>
      <c r="T1347" s="52">
        <f ca="1">SUMIFS(OUT!$F$2:$F$11000,OUT!$H$2:$H$11000,H1347,OUT!$D$2:$D$11000,"Out",OUT!$E$2:$E$11000,"Iqbal")</f>
        <v>125000</v>
      </c>
    </row>
    <row r="1348" spans="1:20" x14ac:dyDescent="0.2">
      <c r="A1348" s="48">
        <f ca="1">IFERROR(__xludf.DUMMYFUNCTION("""COMPUTED_VALUE"""),46272)</f>
        <v>46272</v>
      </c>
      <c r="B1348" s="4" t="str">
        <f ca="1">IFERROR(__xludf.DUMMYFUNCTION("""COMPUTED_VALUE"""),"gorengn  pagi")</f>
        <v>gorengn  pagi</v>
      </c>
      <c r="C1348" s="4" t="str">
        <f ca="1">IFERROR(__xludf.DUMMYFUNCTION("""COMPUTED_VALUE"""),"Cash")</f>
        <v>Cash</v>
      </c>
      <c r="D1348" s="4" t="str">
        <f ca="1">IFERROR(__xludf.DUMMYFUNCTION("""COMPUTED_VALUE"""),"Out")</f>
        <v>Out</v>
      </c>
      <c r="E1348" s="4" t="str">
        <f ca="1">IFERROR(__xludf.DUMMYFUNCTION("""COMPUTED_VALUE"""),"Jajan")</f>
        <v>Jajan</v>
      </c>
      <c r="F1348" s="49">
        <f ca="1">IFERROR(__xludf.DUMMYFUNCTION("""COMPUTED_VALUE"""),12000)</f>
        <v>12000</v>
      </c>
      <c r="G1348" s="50" t="str">
        <f ca="1">IFERROR(__xludf.DUMMYFUNCTION("""COMPUTED_VALUE"""),"Zela")</f>
        <v>Zela</v>
      </c>
      <c r="H1348" s="51">
        <f t="shared" ca="1" si="0"/>
        <v>46266</v>
      </c>
      <c r="I1348" s="52" t="e">
        <f ca="1">SUMIFS(OUT!$F$2:$F$11000,OUT!$H$2:$H$11000,H1348,OUT!$D$2:$D$101007,"In")</f>
        <v>#VALUE!</v>
      </c>
      <c r="J1348" s="52">
        <f ca="1">SUMIFS(OUT!$F$2:$F$11000,OUT!$H$2:$H$11000,H1348,OUT!$D$2:$D$11000,"Out")</f>
        <v>7093111</v>
      </c>
      <c r="K1348" s="52">
        <f ca="1">SUMIFS(OUT!$F$2:$F$11000,OUT!$H$2:$H$11000,H1348,OUT!$D$2:$D$11000,"Out",OUT!$E$2:$E$11000,"Fix")</f>
        <v>2972118</v>
      </c>
      <c r="L1348" s="52">
        <f ca="1">SUMIFS(OUT!$F$2:$F$11000,OUT!$H$2:$H$11000,H1348,OUT!$D$2:$D$11000,"Out",OUT!$E$2:$E$11000,"Bathroom")</f>
        <v>0</v>
      </c>
      <c r="M1348" s="52">
        <f ca="1">SUMIFS(OUT!$F$2:$F$11000,OUT!$H$2:$H$11000,H1348,OUT!$D$2:$D$11000,"Out",OUT!$E$2:$E$11000,"Alfa")</f>
        <v>55000</v>
      </c>
      <c r="N1348" s="52" t="e">
        <f ca="1">SUMIFS(OUT!$F$2:$F$11000,OUT!$H$2:$H$101007,H1348,OUT!$D$2:$D$11000,"Out",OUT!$E$2:$E$11000,"Jajan")</f>
        <v>#VALUE!</v>
      </c>
      <c r="O1348" s="52">
        <f ca="1">SUMIFS(OUT!$F$2:$F$11000,OUT!$H$2:$H$11000,H1348,OUT!$D$2:$D$11000,"Out",OUT!$E$2:$E$11000,"Kitchen")</f>
        <v>820700</v>
      </c>
      <c r="P1348" s="52">
        <f ca="1">SUMIFS(OUT!$F$2:$F$11000,OUT!$H$2:$H$11000,H1348,OUT!$D$2:$D$11000,"Out",OUT!$E$2:$E$11000,"Loandry")</f>
        <v>0</v>
      </c>
      <c r="Q1348" s="52">
        <f ca="1">SUMIFS(OUT!$F$2:$F$11000,OUT!$H$2:$H$11000,H1348,OUT!$D$2:$D$11000,"Out",OUT!$E$2:$E$11000,"Mio")</f>
        <v>137000</v>
      </c>
      <c r="R1348" s="52">
        <f ca="1">SUMIFS(OUT!$F$2:$F$11000,OUT!$H$2:$H$11000,H1348,OUT!$D$2:$D$11000,"Out",OUT!$E$2:$E$11000,"Sedekah")</f>
        <v>0</v>
      </c>
      <c r="S1348" s="52">
        <f ca="1">SUMIFS(OUT!$F$2:$F$11000,OUT!$H$2:$H$11000,H1348,OUT!$D$2:$D$11000,"Out",OUT!$E$2:$E$11000,"Zela")</f>
        <v>46126</v>
      </c>
      <c r="T1348" s="52">
        <f ca="1">SUMIFS(OUT!$F$2:$F$11000,OUT!$H$2:$H$11000,H1348,OUT!$D$2:$D$11000,"Out",OUT!$E$2:$E$11000,"Iqbal")</f>
        <v>125000</v>
      </c>
    </row>
    <row r="1349" spans="1:20" x14ac:dyDescent="0.2">
      <c r="A1349" s="48">
        <f ca="1">IFERROR(__xludf.DUMMYFUNCTION("""COMPUTED_VALUE"""),46272)</f>
        <v>46272</v>
      </c>
      <c r="B1349" s="4" t="str">
        <f ca="1">IFERROR(__xludf.DUMMYFUNCTION("""COMPUTED_VALUE"""),"paket byu")</f>
        <v>paket byu</v>
      </c>
      <c r="C1349" s="4" t="str">
        <f ca="1">IFERROR(__xludf.DUMMYFUNCTION("""COMPUTED_VALUE"""),"ATM")</f>
        <v>ATM</v>
      </c>
      <c r="D1349" s="4" t="str">
        <f ca="1">IFERROR(__xludf.DUMMYFUNCTION("""COMPUTED_VALUE"""),"Out")</f>
        <v>Out</v>
      </c>
      <c r="E1349" s="4" t="str">
        <f ca="1">IFERROR(__xludf.DUMMYFUNCTION("""COMPUTED_VALUE"""),"Iqbal")</f>
        <v>Iqbal</v>
      </c>
      <c r="F1349" s="49">
        <f ca="1">IFERROR(__xludf.DUMMYFUNCTION("""COMPUTED_VALUE"""),15000)</f>
        <v>15000</v>
      </c>
      <c r="G1349" s="50" t="str">
        <f ca="1">IFERROR(__xludf.DUMMYFUNCTION("""COMPUTED_VALUE"""),"Zela")</f>
        <v>Zela</v>
      </c>
      <c r="H1349" s="51">
        <f t="shared" ca="1" si="0"/>
        <v>46266</v>
      </c>
      <c r="I1349" s="52" t="e">
        <f ca="1">SUMIFS(OUT!$F$2:$F$11000,OUT!$H$2:$H$11000,H1349,OUT!$D$2:$D$101007,"In")</f>
        <v>#VALUE!</v>
      </c>
      <c r="J1349" s="52">
        <f ca="1">SUMIFS(OUT!$F$2:$F$11000,OUT!$H$2:$H$11000,H1349,OUT!$D$2:$D$11000,"Out")</f>
        <v>7093111</v>
      </c>
      <c r="K1349" s="52">
        <f ca="1">SUMIFS(OUT!$F$2:$F$11000,OUT!$H$2:$H$11000,H1349,OUT!$D$2:$D$11000,"Out",OUT!$E$2:$E$11000,"Fix")</f>
        <v>2972118</v>
      </c>
      <c r="L1349" s="52">
        <f ca="1">SUMIFS(OUT!$F$2:$F$11000,OUT!$H$2:$H$11000,H1349,OUT!$D$2:$D$11000,"Out",OUT!$E$2:$E$11000,"Bathroom")</f>
        <v>0</v>
      </c>
      <c r="M1349" s="52">
        <f ca="1">SUMIFS(OUT!$F$2:$F$11000,OUT!$H$2:$H$11000,H1349,OUT!$D$2:$D$11000,"Out",OUT!$E$2:$E$11000,"Alfa")</f>
        <v>55000</v>
      </c>
      <c r="N1349" s="52" t="e">
        <f ca="1">SUMIFS(OUT!$F$2:$F$11000,OUT!$H$2:$H$101007,H1349,OUT!$D$2:$D$11000,"Out",OUT!$E$2:$E$11000,"Jajan")</f>
        <v>#VALUE!</v>
      </c>
      <c r="O1349" s="52">
        <f ca="1">SUMIFS(OUT!$F$2:$F$11000,OUT!$H$2:$H$11000,H1349,OUT!$D$2:$D$11000,"Out",OUT!$E$2:$E$11000,"Kitchen")</f>
        <v>820700</v>
      </c>
      <c r="P1349" s="52">
        <f ca="1">SUMIFS(OUT!$F$2:$F$11000,OUT!$H$2:$H$11000,H1349,OUT!$D$2:$D$11000,"Out",OUT!$E$2:$E$11000,"Loandry")</f>
        <v>0</v>
      </c>
      <c r="Q1349" s="52">
        <f ca="1">SUMIFS(OUT!$F$2:$F$11000,OUT!$H$2:$H$11000,H1349,OUT!$D$2:$D$11000,"Out",OUT!$E$2:$E$11000,"Mio")</f>
        <v>137000</v>
      </c>
      <c r="R1349" s="52">
        <f ca="1">SUMIFS(OUT!$F$2:$F$11000,OUT!$H$2:$H$11000,H1349,OUT!$D$2:$D$11000,"Out",OUT!$E$2:$E$11000,"Sedekah")</f>
        <v>0</v>
      </c>
      <c r="S1349" s="52">
        <f ca="1">SUMIFS(OUT!$F$2:$F$11000,OUT!$H$2:$H$11000,H1349,OUT!$D$2:$D$11000,"Out",OUT!$E$2:$E$11000,"Zela")</f>
        <v>46126</v>
      </c>
      <c r="T1349" s="52">
        <f ca="1">SUMIFS(OUT!$F$2:$F$11000,OUT!$H$2:$H$11000,H1349,OUT!$D$2:$D$11000,"Out",OUT!$E$2:$E$11000,"Iqbal")</f>
        <v>125000</v>
      </c>
    </row>
    <row r="1350" spans="1:20" x14ac:dyDescent="0.2">
      <c r="A1350" s="48">
        <f ca="1">IFERROR(__xludf.DUMMYFUNCTION("""COMPUTED_VALUE"""),46272)</f>
        <v>46272</v>
      </c>
      <c r="B1350" s="4" t="str">
        <f ca="1">IFERROR(__xludf.DUMMYFUNCTION("""COMPUTED_VALUE"""),"pasar kaget+✓parkir")</f>
        <v>pasar kaget+✓parkir</v>
      </c>
      <c r="C1350" s="4" t="str">
        <f ca="1">IFERROR(__xludf.DUMMYFUNCTION("""COMPUTED_VALUE"""),"Cash")</f>
        <v>Cash</v>
      </c>
      <c r="D1350" s="4" t="str">
        <f ca="1">IFERROR(__xludf.DUMMYFUNCTION("""COMPUTED_VALUE"""),"Out")</f>
        <v>Out</v>
      </c>
      <c r="E1350" s="4" t="str">
        <f ca="1">IFERROR(__xludf.DUMMYFUNCTION("""COMPUTED_VALUE"""),"Kitchen")</f>
        <v>Kitchen</v>
      </c>
      <c r="F1350" s="49">
        <f ca="1">IFERROR(__xludf.DUMMYFUNCTION("""COMPUTED_VALUE"""),90000)</f>
        <v>90000</v>
      </c>
      <c r="G1350" s="50" t="str">
        <f ca="1">IFERROR(__xludf.DUMMYFUNCTION("""COMPUTED_VALUE"""),"Zela")</f>
        <v>Zela</v>
      </c>
      <c r="H1350" s="51">
        <f t="shared" ca="1" si="0"/>
        <v>46266</v>
      </c>
      <c r="I1350" s="52" t="e">
        <f ca="1">SUMIFS(OUT!$F$2:$F$11000,OUT!$H$2:$H$11000,H1350,OUT!$D$2:$D$101007,"In")</f>
        <v>#VALUE!</v>
      </c>
      <c r="J1350" s="52">
        <f ca="1">SUMIFS(OUT!$F$2:$F$11000,OUT!$H$2:$H$11000,H1350,OUT!$D$2:$D$11000,"Out")</f>
        <v>7093111</v>
      </c>
      <c r="K1350" s="52">
        <f ca="1">SUMIFS(OUT!$F$2:$F$11000,OUT!$H$2:$H$11000,H1350,OUT!$D$2:$D$11000,"Out",OUT!$E$2:$E$11000,"Fix")</f>
        <v>2972118</v>
      </c>
      <c r="L1350" s="52">
        <f ca="1">SUMIFS(OUT!$F$2:$F$11000,OUT!$H$2:$H$11000,H1350,OUT!$D$2:$D$11000,"Out",OUT!$E$2:$E$11000,"Bathroom")</f>
        <v>0</v>
      </c>
      <c r="M1350" s="52">
        <f ca="1">SUMIFS(OUT!$F$2:$F$11000,OUT!$H$2:$H$11000,H1350,OUT!$D$2:$D$11000,"Out",OUT!$E$2:$E$11000,"Alfa")</f>
        <v>55000</v>
      </c>
      <c r="N1350" s="52" t="e">
        <f ca="1">SUMIFS(OUT!$F$2:$F$11000,OUT!$H$2:$H$101007,H1350,OUT!$D$2:$D$11000,"Out",OUT!$E$2:$E$11000,"Jajan")</f>
        <v>#VALUE!</v>
      </c>
      <c r="O1350" s="52">
        <f ca="1">SUMIFS(OUT!$F$2:$F$11000,OUT!$H$2:$H$11000,H1350,OUT!$D$2:$D$11000,"Out",OUT!$E$2:$E$11000,"Kitchen")</f>
        <v>820700</v>
      </c>
      <c r="P1350" s="52">
        <f ca="1">SUMIFS(OUT!$F$2:$F$11000,OUT!$H$2:$H$11000,H1350,OUT!$D$2:$D$11000,"Out",OUT!$E$2:$E$11000,"Loandry")</f>
        <v>0</v>
      </c>
      <c r="Q1350" s="52">
        <f ca="1">SUMIFS(OUT!$F$2:$F$11000,OUT!$H$2:$H$11000,H1350,OUT!$D$2:$D$11000,"Out",OUT!$E$2:$E$11000,"Mio")</f>
        <v>137000</v>
      </c>
      <c r="R1350" s="52">
        <f ca="1">SUMIFS(OUT!$F$2:$F$11000,OUT!$H$2:$H$11000,H1350,OUT!$D$2:$D$11000,"Out",OUT!$E$2:$E$11000,"Sedekah")</f>
        <v>0</v>
      </c>
      <c r="S1350" s="52">
        <f ca="1">SUMIFS(OUT!$F$2:$F$11000,OUT!$H$2:$H$11000,H1350,OUT!$D$2:$D$11000,"Out",OUT!$E$2:$E$11000,"Zela")</f>
        <v>46126</v>
      </c>
      <c r="T1350" s="52">
        <f ca="1">SUMIFS(OUT!$F$2:$F$11000,OUT!$H$2:$H$11000,H1350,OUT!$D$2:$D$11000,"Out",OUT!$E$2:$E$11000,"Iqbal")</f>
        <v>125000</v>
      </c>
    </row>
    <row r="1351" spans="1:20" x14ac:dyDescent="0.2">
      <c r="A1351" s="48">
        <f ca="1">IFERROR(__xludf.DUMMYFUNCTION("""COMPUTED_VALUE"""),46273)</f>
        <v>46273</v>
      </c>
      <c r="B1351" s="4" t="str">
        <f ca="1">IFERROR(__xludf.DUMMYFUNCTION("""COMPUTED_VALUE"""),"bakso ante")</f>
        <v>bakso ante</v>
      </c>
      <c r="C1351" s="4" t="str">
        <f ca="1">IFERROR(__xludf.DUMMYFUNCTION("""COMPUTED_VALUE"""),"Cash")</f>
        <v>Cash</v>
      </c>
      <c r="D1351" s="4" t="str">
        <f ca="1">IFERROR(__xludf.DUMMYFUNCTION("""COMPUTED_VALUE"""),"Out")</f>
        <v>Out</v>
      </c>
      <c r="E1351" s="4" t="str">
        <f ca="1">IFERROR(__xludf.DUMMYFUNCTION("""COMPUTED_VALUE"""),"Kitchen")</f>
        <v>Kitchen</v>
      </c>
      <c r="F1351" s="49">
        <f ca="1">IFERROR(__xludf.DUMMYFUNCTION("""COMPUTED_VALUE"""),20000)</f>
        <v>20000</v>
      </c>
      <c r="G1351" s="50" t="str">
        <f ca="1">IFERROR(__xludf.DUMMYFUNCTION("""COMPUTED_VALUE"""),"Zela")</f>
        <v>Zela</v>
      </c>
      <c r="H1351" s="51">
        <f t="shared" ca="1" si="0"/>
        <v>46266</v>
      </c>
      <c r="I1351" s="52" t="e">
        <f ca="1">SUMIFS(OUT!$F$2:$F$11000,OUT!$H$2:$H$11000,H1351,OUT!$D$2:$D$101007,"In")</f>
        <v>#VALUE!</v>
      </c>
      <c r="J1351" s="52">
        <f ca="1">SUMIFS(OUT!$F$2:$F$11000,OUT!$H$2:$H$11000,H1351,OUT!$D$2:$D$11000,"Out")</f>
        <v>7093111</v>
      </c>
      <c r="K1351" s="52">
        <f ca="1">SUMIFS(OUT!$F$2:$F$11000,OUT!$H$2:$H$11000,H1351,OUT!$D$2:$D$11000,"Out",OUT!$E$2:$E$11000,"Fix")</f>
        <v>2972118</v>
      </c>
      <c r="L1351" s="52">
        <f ca="1">SUMIFS(OUT!$F$2:$F$11000,OUT!$H$2:$H$11000,H1351,OUT!$D$2:$D$11000,"Out",OUT!$E$2:$E$11000,"Bathroom")</f>
        <v>0</v>
      </c>
      <c r="M1351" s="52">
        <f ca="1">SUMIFS(OUT!$F$2:$F$11000,OUT!$H$2:$H$11000,H1351,OUT!$D$2:$D$11000,"Out",OUT!$E$2:$E$11000,"Alfa")</f>
        <v>55000</v>
      </c>
      <c r="N1351" s="52" t="e">
        <f ca="1">SUMIFS(OUT!$F$2:$F$11000,OUT!$H$2:$H$101007,H1351,OUT!$D$2:$D$11000,"Out",OUT!$E$2:$E$11000,"Jajan")</f>
        <v>#VALUE!</v>
      </c>
      <c r="O1351" s="52">
        <f ca="1">SUMIFS(OUT!$F$2:$F$11000,OUT!$H$2:$H$11000,H1351,OUT!$D$2:$D$11000,"Out",OUT!$E$2:$E$11000,"Kitchen")</f>
        <v>820700</v>
      </c>
      <c r="P1351" s="52">
        <f ca="1">SUMIFS(OUT!$F$2:$F$11000,OUT!$H$2:$H$11000,H1351,OUT!$D$2:$D$11000,"Out",OUT!$E$2:$E$11000,"Loandry")</f>
        <v>0</v>
      </c>
      <c r="Q1351" s="52">
        <f ca="1">SUMIFS(OUT!$F$2:$F$11000,OUT!$H$2:$H$11000,H1351,OUT!$D$2:$D$11000,"Out",OUT!$E$2:$E$11000,"Mio")</f>
        <v>137000</v>
      </c>
      <c r="R1351" s="52">
        <f ca="1">SUMIFS(OUT!$F$2:$F$11000,OUT!$H$2:$H$11000,H1351,OUT!$D$2:$D$11000,"Out",OUT!$E$2:$E$11000,"Sedekah")</f>
        <v>0</v>
      </c>
      <c r="S1351" s="52">
        <f ca="1">SUMIFS(OUT!$F$2:$F$11000,OUT!$H$2:$H$11000,H1351,OUT!$D$2:$D$11000,"Out",OUT!$E$2:$E$11000,"Zela")</f>
        <v>46126</v>
      </c>
      <c r="T1351" s="52">
        <f ca="1">SUMIFS(OUT!$F$2:$F$11000,OUT!$H$2:$H$11000,H1351,OUT!$D$2:$D$11000,"Out",OUT!$E$2:$E$11000,"Iqbal")</f>
        <v>125000</v>
      </c>
    </row>
    <row r="1352" spans="1:20" x14ac:dyDescent="0.2">
      <c r="A1352" s="48">
        <f ca="1">IFERROR(__xludf.DUMMYFUNCTION("""COMPUTED_VALUE"""),46273)</f>
        <v>46273</v>
      </c>
      <c r="B1352" s="4" t="str">
        <f ca="1">IFERROR(__xludf.DUMMYFUNCTION("""COMPUTED_VALUE"""),"galon")</f>
        <v>galon</v>
      </c>
      <c r="C1352" s="4" t="str">
        <f ca="1">IFERROR(__xludf.DUMMYFUNCTION("""COMPUTED_VALUE"""),"Cash")</f>
        <v>Cash</v>
      </c>
      <c r="D1352" s="4" t="str">
        <f ca="1">IFERROR(__xludf.DUMMYFUNCTION("""COMPUTED_VALUE"""),"Out")</f>
        <v>Out</v>
      </c>
      <c r="E1352" s="4" t="str">
        <f ca="1">IFERROR(__xludf.DUMMYFUNCTION("""COMPUTED_VALUE"""),"Kitchen")</f>
        <v>Kitchen</v>
      </c>
      <c r="F1352" s="49">
        <f ca="1">IFERROR(__xludf.DUMMYFUNCTION("""COMPUTED_VALUE"""),4000)</f>
        <v>4000</v>
      </c>
      <c r="G1352" s="50" t="str">
        <f ca="1">IFERROR(__xludf.DUMMYFUNCTION("""COMPUTED_VALUE"""),"Zela")</f>
        <v>Zela</v>
      </c>
      <c r="H1352" s="51">
        <f t="shared" ca="1" si="0"/>
        <v>46266</v>
      </c>
      <c r="I1352" s="52" t="e">
        <f ca="1">SUMIFS(OUT!$F$2:$F$11000,OUT!$H$2:$H$11000,H1352,OUT!$D$2:$D$101007,"In")</f>
        <v>#VALUE!</v>
      </c>
      <c r="J1352" s="52">
        <f ca="1">SUMIFS(OUT!$F$2:$F$11000,OUT!$H$2:$H$11000,H1352,OUT!$D$2:$D$11000,"Out")</f>
        <v>7093111</v>
      </c>
      <c r="K1352" s="52">
        <f ca="1">SUMIFS(OUT!$F$2:$F$11000,OUT!$H$2:$H$11000,H1352,OUT!$D$2:$D$11000,"Out",OUT!$E$2:$E$11000,"Fix")</f>
        <v>2972118</v>
      </c>
      <c r="L1352" s="52">
        <f ca="1">SUMIFS(OUT!$F$2:$F$11000,OUT!$H$2:$H$11000,H1352,OUT!$D$2:$D$11000,"Out",OUT!$E$2:$E$11000,"Bathroom")</f>
        <v>0</v>
      </c>
      <c r="M1352" s="52">
        <f ca="1">SUMIFS(OUT!$F$2:$F$11000,OUT!$H$2:$H$11000,H1352,OUT!$D$2:$D$11000,"Out",OUT!$E$2:$E$11000,"Alfa")</f>
        <v>55000</v>
      </c>
      <c r="N1352" s="52" t="e">
        <f ca="1">SUMIFS(OUT!$F$2:$F$11000,OUT!$H$2:$H$101007,H1352,OUT!$D$2:$D$11000,"Out",OUT!$E$2:$E$11000,"Jajan")</f>
        <v>#VALUE!</v>
      </c>
      <c r="O1352" s="52">
        <f ca="1">SUMIFS(OUT!$F$2:$F$11000,OUT!$H$2:$H$11000,H1352,OUT!$D$2:$D$11000,"Out",OUT!$E$2:$E$11000,"Kitchen")</f>
        <v>820700</v>
      </c>
      <c r="P1352" s="52">
        <f ca="1">SUMIFS(OUT!$F$2:$F$11000,OUT!$H$2:$H$11000,H1352,OUT!$D$2:$D$11000,"Out",OUT!$E$2:$E$11000,"Loandry")</f>
        <v>0</v>
      </c>
      <c r="Q1352" s="52">
        <f ca="1">SUMIFS(OUT!$F$2:$F$11000,OUT!$H$2:$H$11000,H1352,OUT!$D$2:$D$11000,"Out",OUT!$E$2:$E$11000,"Mio")</f>
        <v>137000</v>
      </c>
      <c r="R1352" s="52">
        <f ca="1">SUMIFS(OUT!$F$2:$F$11000,OUT!$H$2:$H$11000,H1352,OUT!$D$2:$D$11000,"Out",OUT!$E$2:$E$11000,"Sedekah")</f>
        <v>0</v>
      </c>
      <c r="S1352" s="52">
        <f ca="1">SUMIFS(OUT!$F$2:$F$11000,OUT!$H$2:$H$11000,H1352,OUT!$D$2:$D$11000,"Out",OUT!$E$2:$E$11000,"Zela")</f>
        <v>46126</v>
      </c>
      <c r="T1352" s="52">
        <f ca="1">SUMIFS(OUT!$F$2:$F$11000,OUT!$H$2:$H$11000,H1352,OUT!$D$2:$D$11000,"Out",OUT!$E$2:$E$11000,"Iqbal")</f>
        <v>125000</v>
      </c>
    </row>
    <row r="1353" spans="1:20" x14ac:dyDescent="0.2">
      <c r="A1353" s="48">
        <f ca="1">IFERROR(__xludf.DUMMYFUNCTION("""COMPUTED_VALUE"""),46273)</f>
        <v>46273</v>
      </c>
      <c r="B1353" s="4" t="str">
        <f ca="1">IFERROR(__xludf.DUMMYFUNCTION("""COMPUTED_VALUE"""),"rokok")</f>
        <v>rokok</v>
      </c>
      <c r="C1353" s="4" t="str">
        <f ca="1">IFERROR(__xludf.DUMMYFUNCTION("""COMPUTED_VALUE"""),"Cash")</f>
        <v>Cash</v>
      </c>
      <c r="D1353" s="4" t="str">
        <f ca="1">IFERROR(__xludf.DUMMYFUNCTION("""COMPUTED_VALUE"""),"Out")</f>
        <v>Out</v>
      </c>
      <c r="E1353" s="4" t="str">
        <f ca="1">IFERROR(__xludf.DUMMYFUNCTION("""COMPUTED_VALUE"""),"Iqbal")</f>
        <v>Iqbal</v>
      </c>
      <c r="F1353" s="49">
        <f ca="1">IFERROR(__xludf.DUMMYFUNCTION("""COMPUTED_VALUE"""),17000)</f>
        <v>17000</v>
      </c>
      <c r="G1353" s="50" t="str">
        <f ca="1">IFERROR(__xludf.DUMMYFUNCTION("""COMPUTED_VALUE"""),"Zela")</f>
        <v>Zela</v>
      </c>
      <c r="H1353" s="51">
        <f t="shared" ca="1" si="0"/>
        <v>46266</v>
      </c>
      <c r="I1353" s="52" t="e">
        <f ca="1">SUMIFS(OUT!$F$2:$F$11000,OUT!$H$2:$H$11000,H1353,OUT!$D$2:$D$101007,"In")</f>
        <v>#VALUE!</v>
      </c>
      <c r="J1353" s="52">
        <f ca="1">SUMIFS(OUT!$F$2:$F$11000,OUT!$H$2:$H$11000,H1353,OUT!$D$2:$D$11000,"Out")</f>
        <v>7093111</v>
      </c>
      <c r="K1353" s="52">
        <f ca="1">SUMIFS(OUT!$F$2:$F$11000,OUT!$H$2:$H$11000,H1353,OUT!$D$2:$D$11000,"Out",OUT!$E$2:$E$11000,"Fix")</f>
        <v>2972118</v>
      </c>
      <c r="L1353" s="52">
        <f ca="1">SUMIFS(OUT!$F$2:$F$11000,OUT!$H$2:$H$11000,H1353,OUT!$D$2:$D$11000,"Out",OUT!$E$2:$E$11000,"Bathroom")</f>
        <v>0</v>
      </c>
      <c r="M1353" s="52">
        <f ca="1">SUMIFS(OUT!$F$2:$F$11000,OUT!$H$2:$H$11000,H1353,OUT!$D$2:$D$11000,"Out",OUT!$E$2:$E$11000,"Alfa")</f>
        <v>55000</v>
      </c>
      <c r="N1353" s="52" t="e">
        <f ca="1">SUMIFS(OUT!$F$2:$F$11000,OUT!$H$2:$H$101007,H1353,OUT!$D$2:$D$11000,"Out",OUT!$E$2:$E$11000,"Jajan")</f>
        <v>#VALUE!</v>
      </c>
      <c r="O1353" s="52">
        <f ca="1">SUMIFS(OUT!$F$2:$F$11000,OUT!$H$2:$H$11000,H1353,OUT!$D$2:$D$11000,"Out",OUT!$E$2:$E$11000,"Kitchen")</f>
        <v>820700</v>
      </c>
      <c r="P1353" s="52">
        <f ca="1">SUMIFS(OUT!$F$2:$F$11000,OUT!$H$2:$H$11000,H1353,OUT!$D$2:$D$11000,"Out",OUT!$E$2:$E$11000,"Loandry")</f>
        <v>0</v>
      </c>
      <c r="Q1353" s="52">
        <f ca="1">SUMIFS(OUT!$F$2:$F$11000,OUT!$H$2:$H$11000,H1353,OUT!$D$2:$D$11000,"Out",OUT!$E$2:$E$11000,"Mio")</f>
        <v>137000</v>
      </c>
      <c r="R1353" s="52">
        <f ca="1">SUMIFS(OUT!$F$2:$F$11000,OUT!$H$2:$H$11000,H1353,OUT!$D$2:$D$11000,"Out",OUT!$E$2:$E$11000,"Sedekah")</f>
        <v>0</v>
      </c>
      <c r="S1353" s="52">
        <f ca="1">SUMIFS(OUT!$F$2:$F$11000,OUT!$H$2:$H$11000,H1353,OUT!$D$2:$D$11000,"Out",OUT!$E$2:$E$11000,"Zela")</f>
        <v>46126</v>
      </c>
      <c r="T1353" s="52">
        <f ca="1">SUMIFS(OUT!$F$2:$F$11000,OUT!$H$2:$H$11000,H1353,OUT!$D$2:$D$11000,"Out",OUT!$E$2:$E$11000,"Iqbal")</f>
        <v>125000</v>
      </c>
    </row>
    <row r="1354" spans="1:20" x14ac:dyDescent="0.2">
      <c r="A1354" s="48">
        <f ca="1">IFERROR(__xludf.DUMMYFUNCTION("""COMPUTED_VALUE"""),46273)</f>
        <v>46273</v>
      </c>
      <c r="B1354" s="4" t="str">
        <f ca="1">IFERROR(__xludf.DUMMYFUNCTION("""COMPUTED_VALUE"""),"Pertalite")</f>
        <v>Pertalite</v>
      </c>
      <c r="C1354" s="4" t="str">
        <f ca="1">IFERROR(__xludf.DUMMYFUNCTION("""COMPUTED_VALUE"""),"Cash")</f>
        <v>Cash</v>
      </c>
      <c r="D1354" s="4" t="str">
        <f ca="1">IFERROR(__xludf.DUMMYFUNCTION("""COMPUTED_VALUE"""),"Out")</f>
        <v>Out</v>
      </c>
      <c r="E1354" s="4" t="str">
        <f ca="1">IFERROR(__xludf.DUMMYFUNCTION("""COMPUTED_VALUE"""),"Mio")</f>
        <v>Mio</v>
      </c>
      <c r="F1354" s="49">
        <f ca="1">IFERROR(__xludf.DUMMYFUNCTION("""COMPUTED_VALUE"""),20000)</f>
        <v>20000</v>
      </c>
      <c r="G1354" s="50" t="str">
        <f ca="1">IFERROR(__xludf.DUMMYFUNCTION("""COMPUTED_VALUE"""),"Zela")</f>
        <v>Zela</v>
      </c>
      <c r="H1354" s="51">
        <f t="shared" ca="1" si="0"/>
        <v>46266</v>
      </c>
      <c r="I1354" s="52" t="e">
        <f ca="1">SUMIFS(OUT!$F$2:$F$11000,OUT!$H$2:$H$11000,H1354,OUT!$D$2:$D$101007,"In")</f>
        <v>#VALUE!</v>
      </c>
      <c r="J1354" s="52">
        <f ca="1">SUMIFS(OUT!$F$2:$F$11000,OUT!$H$2:$H$11000,H1354,OUT!$D$2:$D$11000,"Out")</f>
        <v>7093111</v>
      </c>
      <c r="K1354" s="52">
        <f ca="1">SUMIFS(OUT!$F$2:$F$11000,OUT!$H$2:$H$11000,H1354,OUT!$D$2:$D$11000,"Out",OUT!$E$2:$E$11000,"Fix")</f>
        <v>2972118</v>
      </c>
      <c r="L1354" s="52">
        <f ca="1">SUMIFS(OUT!$F$2:$F$11000,OUT!$H$2:$H$11000,H1354,OUT!$D$2:$D$11000,"Out",OUT!$E$2:$E$11000,"Bathroom")</f>
        <v>0</v>
      </c>
      <c r="M1354" s="52">
        <f ca="1">SUMIFS(OUT!$F$2:$F$11000,OUT!$H$2:$H$11000,H1354,OUT!$D$2:$D$11000,"Out",OUT!$E$2:$E$11000,"Alfa")</f>
        <v>55000</v>
      </c>
      <c r="N1354" s="52" t="e">
        <f ca="1">SUMIFS(OUT!$F$2:$F$11000,OUT!$H$2:$H$101007,H1354,OUT!$D$2:$D$11000,"Out",OUT!$E$2:$E$11000,"Jajan")</f>
        <v>#VALUE!</v>
      </c>
      <c r="O1354" s="52">
        <f ca="1">SUMIFS(OUT!$F$2:$F$11000,OUT!$H$2:$H$11000,H1354,OUT!$D$2:$D$11000,"Out",OUT!$E$2:$E$11000,"Kitchen")</f>
        <v>820700</v>
      </c>
      <c r="P1354" s="52">
        <f ca="1">SUMIFS(OUT!$F$2:$F$11000,OUT!$H$2:$H$11000,H1354,OUT!$D$2:$D$11000,"Out",OUT!$E$2:$E$11000,"Loandry")</f>
        <v>0</v>
      </c>
      <c r="Q1354" s="52">
        <f ca="1">SUMIFS(OUT!$F$2:$F$11000,OUT!$H$2:$H$11000,H1354,OUT!$D$2:$D$11000,"Out",OUT!$E$2:$E$11000,"Mio")</f>
        <v>137000</v>
      </c>
      <c r="R1354" s="52">
        <f ca="1">SUMIFS(OUT!$F$2:$F$11000,OUT!$H$2:$H$11000,H1354,OUT!$D$2:$D$11000,"Out",OUT!$E$2:$E$11000,"Sedekah")</f>
        <v>0</v>
      </c>
      <c r="S1354" s="52">
        <f ca="1">SUMIFS(OUT!$F$2:$F$11000,OUT!$H$2:$H$11000,H1354,OUT!$D$2:$D$11000,"Out",OUT!$E$2:$E$11000,"Zela")</f>
        <v>46126</v>
      </c>
      <c r="T1354" s="52">
        <f ca="1">SUMIFS(OUT!$F$2:$F$11000,OUT!$H$2:$H$11000,H1354,OUT!$D$2:$D$11000,"Out",OUT!$E$2:$E$11000,"Iqbal")</f>
        <v>125000</v>
      </c>
    </row>
    <row r="1355" spans="1:20" x14ac:dyDescent="0.2">
      <c r="A1355" s="48">
        <f ca="1">IFERROR(__xludf.DUMMYFUNCTION("""COMPUTED_VALUE"""),46273)</f>
        <v>46273</v>
      </c>
      <c r="B1355" s="4" t="str">
        <f ca="1">IFERROR(__xludf.DUMMYFUNCTION("""COMPUTED_VALUE"""),"kue kue")</f>
        <v>kue kue</v>
      </c>
      <c r="C1355" s="4" t="str">
        <f ca="1">IFERROR(__xludf.DUMMYFUNCTION("""COMPUTED_VALUE"""),"Cash")</f>
        <v>Cash</v>
      </c>
      <c r="D1355" s="4" t="str">
        <f ca="1">IFERROR(__xludf.DUMMYFUNCTION("""COMPUTED_VALUE"""),"Out")</f>
        <v>Out</v>
      </c>
      <c r="E1355" s="4" t="str">
        <f ca="1">IFERROR(__xludf.DUMMYFUNCTION("""COMPUTED_VALUE"""),"Jajan")</f>
        <v>Jajan</v>
      </c>
      <c r="F1355" s="49">
        <f ca="1">IFERROR(__xludf.DUMMYFUNCTION("""COMPUTED_VALUE"""),13000)</f>
        <v>13000</v>
      </c>
      <c r="G1355" s="50" t="str">
        <f ca="1">IFERROR(__xludf.DUMMYFUNCTION("""COMPUTED_VALUE"""),"Zela")</f>
        <v>Zela</v>
      </c>
      <c r="H1355" s="51">
        <f t="shared" ca="1" si="0"/>
        <v>46266</v>
      </c>
      <c r="I1355" s="52" t="e">
        <f ca="1">SUMIFS(OUT!$F$2:$F$11000,OUT!$H$2:$H$11000,H1355,OUT!$D$2:$D$101007,"In")</f>
        <v>#VALUE!</v>
      </c>
      <c r="J1355" s="52">
        <f ca="1">SUMIFS(OUT!$F$2:$F$11000,OUT!$H$2:$H$11000,H1355,OUT!$D$2:$D$11000,"Out")</f>
        <v>7093111</v>
      </c>
      <c r="K1355" s="52">
        <f ca="1">SUMIFS(OUT!$F$2:$F$11000,OUT!$H$2:$H$11000,H1355,OUT!$D$2:$D$11000,"Out",OUT!$E$2:$E$11000,"Fix")</f>
        <v>2972118</v>
      </c>
      <c r="L1355" s="52">
        <f ca="1">SUMIFS(OUT!$F$2:$F$11000,OUT!$H$2:$H$11000,H1355,OUT!$D$2:$D$11000,"Out",OUT!$E$2:$E$11000,"Bathroom")</f>
        <v>0</v>
      </c>
      <c r="M1355" s="52">
        <f ca="1">SUMIFS(OUT!$F$2:$F$11000,OUT!$H$2:$H$11000,H1355,OUT!$D$2:$D$11000,"Out",OUT!$E$2:$E$11000,"Alfa")</f>
        <v>55000</v>
      </c>
      <c r="N1355" s="52" t="e">
        <f ca="1">SUMIFS(OUT!$F$2:$F$11000,OUT!$H$2:$H$101007,H1355,OUT!$D$2:$D$11000,"Out",OUT!$E$2:$E$11000,"Jajan")</f>
        <v>#VALUE!</v>
      </c>
      <c r="O1355" s="52">
        <f ca="1">SUMIFS(OUT!$F$2:$F$11000,OUT!$H$2:$H$11000,H1355,OUT!$D$2:$D$11000,"Out",OUT!$E$2:$E$11000,"Kitchen")</f>
        <v>820700</v>
      </c>
      <c r="P1355" s="52">
        <f ca="1">SUMIFS(OUT!$F$2:$F$11000,OUT!$H$2:$H$11000,H1355,OUT!$D$2:$D$11000,"Out",OUT!$E$2:$E$11000,"Loandry")</f>
        <v>0</v>
      </c>
      <c r="Q1355" s="52">
        <f ca="1">SUMIFS(OUT!$F$2:$F$11000,OUT!$H$2:$H$11000,H1355,OUT!$D$2:$D$11000,"Out",OUT!$E$2:$E$11000,"Mio")</f>
        <v>137000</v>
      </c>
      <c r="R1355" s="52">
        <f ca="1">SUMIFS(OUT!$F$2:$F$11000,OUT!$H$2:$H$11000,H1355,OUT!$D$2:$D$11000,"Out",OUT!$E$2:$E$11000,"Sedekah")</f>
        <v>0</v>
      </c>
      <c r="S1355" s="52">
        <f ca="1">SUMIFS(OUT!$F$2:$F$11000,OUT!$H$2:$H$11000,H1355,OUT!$D$2:$D$11000,"Out",OUT!$E$2:$E$11000,"Zela")</f>
        <v>46126</v>
      </c>
      <c r="T1355" s="52">
        <f ca="1">SUMIFS(OUT!$F$2:$F$11000,OUT!$H$2:$H$11000,H1355,OUT!$D$2:$D$11000,"Out",OUT!$E$2:$E$11000,"Iqbal")</f>
        <v>125000</v>
      </c>
    </row>
    <row r="1356" spans="1:20" x14ac:dyDescent="0.2">
      <c r="A1356" s="48">
        <f ca="1">IFERROR(__xludf.DUMMYFUNCTION("""COMPUTED_VALUE"""),46274)</f>
        <v>46274</v>
      </c>
      <c r="B1356" s="4" t="str">
        <f ca="1">IFERROR(__xludf.DUMMYFUNCTION("""COMPUTED_VALUE"""),"jajan  alfa")</f>
        <v>jajan  alfa</v>
      </c>
      <c r="C1356" s="4" t="str">
        <f ca="1">IFERROR(__xludf.DUMMYFUNCTION("""COMPUTED_VALUE"""),"Cash")</f>
        <v>Cash</v>
      </c>
      <c r="D1356" s="4" t="str">
        <f ca="1">IFERROR(__xludf.DUMMYFUNCTION("""COMPUTED_VALUE"""),"Out")</f>
        <v>Out</v>
      </c>
      <c r="E1356" s="4" t="str">
        <f ca="1">IFERROR(__xludf.DUMMYFUNCTION("""COMPUTED_VALUE"""),"Jajan")</f>
        <v>Jajan</v>
      </c>
      <c r="F1356" s="49">
        <f ca="1">IFERROR(__xludf.DUMMYFUNCTION("""COMPUTED_VALUE"""),5000)</f>
        <v>5000</v>
      </c>
      <c r="G1356" s="50" t="str">
        <f ca="1">IFERROR(__xludf.DUMMYFUNCTION("""COMPUTED_VALUE"""),"Zela")</f>
        <v>Zela</v>
      </c>
      <c r="H1356" s="51">
        <f t="shared" ca="1" si="0"/>
        <v>46266</v>
      </c>
      <c r="I1356" s="52" t="e">
        <f ca="1">SUMIFS(OUT!$F$2:$F$11000,OUT!$H$2:$H$11000,H1356,OUT!$D$2:$D$101007,"In")</f>
        <v>#VALUE!</v>
      </c>
      <c r="J1356" s="52">
        <f ca="1">SUMIFS(OUT!$F$2:$F$11000,OUT!$H$2:$H$11000,H1356,OUT!$D$2:$D$11000,"Out")</f>
        <v>7093111</v>
      </c>
      <c r="K1356" s="52">
        <f ca="1">SUMIFS(OUT!$F$2:$F$11000,OUT!$H$2:$H$11000,H1356,OUT!$D$2:$D$11000,"Out",OUT!$E$2:$E$11000,"Fix")</f>
        <v>2972118</v>
      </c>
      <c r="L1356" s="52">
        <f ca="1">SUMIFS(OUT!$F$2:$F$11000,OUT!$H$2:$H$11000,H1356,OUT!$D$2:$D$11000,"Out",OUT!$E$2:$E$11000,"Bathroom")</f>
        <v>0</v>
      </c>
      <c r="M1356" s="52">
        <f ca="1">SUMIFS(OUT!$F$2:$F$11000,OUT!$H$2:$H$11000,H1356,OUT!$D$2:$D$11000,"Out",OUT!$E$2:$E$11000,"Alfa")</f>
        <v>55000</v>
      </c>
      <c r="N1356" s="52" t="e">
        <f ca="1">SUMIFS(OUT!$F$2:$F$11000,OUT!$H$2:$H$101007,H1356,OUT!$D$2:$D$11000,"Out",OUT!$E$2:$E$11000,"Jajan")</f>
        <v>#VALUE!</v>
      </c>
      <c r="O1356" s="52">
        <f ca="1">SUMIFS(OUT!$F$2:$F$11000,OUT!$H$2:$H$11000,H1356,OUT!$D$2:$D$11000,"Out",OUT!$E$2:$E$11000,"Kitchen")</f>
        <v>820700</v>
      </c>
      <c r="P1356" s="52">
        <f ca="1">SUMIFS(OUT!$F$2:$F$11000,OUT!$H$2:$H$11000,H1356,OUT!$D$2:$D$11000,"Out",OUT!$E$2:$E$11000,"Loandry")</f>
        <v>0</v>
      </c>
      <c r="Q1356" s="52">
        <f ca="1">SUMIFS(OUT!$F$2:$F$11000,OUT!$H$2:$H$11000,H1356,OUT!$D$2:$D$11000,"Out",OUT!$E$2:$E$11000,"Mio")</f>
        <v>137000</v>
      </c>
      <c r="R1356" s="52">
        <f ca="1">SUMIFS(OUT!$F$2:$F$11000,OUT!$H$2:$H$11000,H1356,OUT!$D$2:$D$11000,"Out",OUT!$E$2:$E$11000,"Sedekah")</f>
        <v>0</v>
      </c>
      <c r="S1356" s="52">
        <f ca="1">SUMIFS(OUT!$F$2:$F$11000,OUT!$H$2:$H$11000,H1356,OUT!$D$2:$D$11000,"Out",OUT!$E$2:$E$11000,"Zela")</f>
        <v>46126</v>
      </c>
      <c r="T1356" s="52">
        <f ca="1">SUMIFS(OUT!$F$2:$F$11000,OUT!$H$2:$H$11000,H1356,OUT!$D$2:$D$11000,"Out",OUT!$E$2:$E$11000,"Iqbal")</f>
        <v>125000</v>
      </c>
    </row>
    <row r="1357" spans="1:20" x14ac:dyDescent="0.2">
      <c r="A1357" s="48">
        <f ca="1">IFERROR(__xludf.DUMMYFUNCTION("""COMPUTED_VALUE"""),46274)</f>
        <v>46274</v>
      </c>
      <c r="B1357" s="4" t="str">
        <f ca="1">IFERROR(__xludf.DUMMYFUNCTION("""COMPUTED_VALUE"""),"shopee")</f>
        <v>shopee</v>
      </c>
      <c r="C1357" s="4" t="str">
        <f ca="1">IFERROR(__xludf.DUMMYFUNCTION("""COMPUTED_VALUE"""),"ATM")</f>
        <v>ATM</v>
      </c>
      <c r="D1357" s="4" t="str">
        <f ca="1">IFERROR(__xludf.DUMMYFUNCTION("""COMPUTED_VALUE"""),"Out")</f>
        <v>Out</v>
      </c>
      <c r="E1357" s="4" t="str">
        <f ca="1">IFERROR(__xludf.DUMMYFUNCTION("""COMPUTED_VALUE"""),"Kitchen")</f>
        <v>Kitchen</v>
      </c>
      <c r="F1357" s="49">
        <f ca="1">IFERROR(__xludf.DUMMYFUNCTION("""COMPUTED_VALUE"""),50000)</f>
        <v>50000</v>
      </c>
      <c r="G1357" s="50" t="str">
        <f ca="1">IFERROR(__xludf.DUMMYFUNCTION("""COMPUTED_VALUE"""),"Zela")</f>
        <v>Zela</v>
      </c>
      <c r="H1357" s="51">
        <f t="shared" ca="1" si="0"/>
        <v>46266</v>
      </c>
      <c r="I1357" s="52" t="e">
        <f ca="1">SUMIFS(OUT!$F$2:$F$11000,OUT!$H$2:$H$11000,H1357,OUT!$D$2:$D$101007,"In")</f>
        <v>#VALUE!</v>
      </c>
      <c r="J1357" s="52">
        <f ca="1">SUMIFS(OUT!$F$2:$F$11000,OUT!$H$2:$H$11000,H1357,OUT!$D$2:$D$11000,"Out")</f>
        <v>7093111</v>
      </c>
      <c r="K1357" s="52">
        <f ca="1">SUMIFS(OUT!$F$2:$F$11000,OUT!$H$2:$H$11000,H1357,OUT!$D$2:$D$11000,"Out",OUT!$E$2:$E$11000,"Fix")</f>
        <v>2972118</v>
      </c>
      <c r="L1357" s="52">
        <f ca="1">SUMIFS(OUT!$F$2:$F$11000,OUT!$H$2:$H$11000,H1357,OUT!$D$2:$D$11000,"Out",OUT!$E$2:$E$11000,"Bathroom")</f>
        <v>0</v>
      </c>
      <c r="M1357" s="52">
        <f ca="1">SUMIFS(OUT!$F$2:$F$11000,OUT!$H$2:$H$11000,H1357,OUT!$D$2:$D$11000,"Out",OUT!$E$2:$E$11000,"Alfa")</f>
        <v>55000</v>
      </c>
      <c r="N1357" s="52" t="e">
        <f ca="1">SUMIFS(OUT!$F$2:$F$11000,OUT!$H$2:$H$101007,H1357,OUT!$D$2:$D$11000,"Out",OUT!$E$2:$E$11000,"Jajan")</f>
        <v>#VALUE!</v>
      </c>
      <c r="O1357" s="52">
        <f ca="1">SUMIFS(OUT!$F$2:$F$11000,OUT!$H$2:$H$11000,H1357,OUT!$D$2:$D$11000,"Out",OUT!$E$2:$E$11000,"Kitchen")</f>
        <v>820700</v>
      </c>
      <c r="P1357" s="52">
        <f ca="1">SUMIFS(OUT!$F$2:$F$11000,OUT!$H$2:$H$11000,H1357,OUT!$D$2:$D$11000,"Out",OUT!$E$2:$E$11000,"Loandry")</f>
        <v>0</v>
      </c>
      <c r="Q1357" s="52">
        <f ca="1">SUMIFS(OUT!$F$2:$F$11000,OUT!$H$2:$H$11000,H1357,OUT!$D$2:$D$11000,"Out",OUT!$E$2:$E$11000,"Mio")</f>
        <v>137000</v>
      </c>
      <c r="R1357" s="52">
        <f ca="1">SUMIFS(OUT!$F$2:$F$11000,OUT!$H$2:$H$11000,H1357,OUT!$D$2:$D$11000,"Out",OUT!$E$2:$E$11000,"Sedekah")</f>
        <v>0</v>
      </c>
      <c r="S1357" s="52">
        <f ca="1">SUMIFS(OUT!$F$2:$F$11000,OUT!$H$2:$H$11000,H1357,OUT!$D$2:$D$11000,"Out",OUT!$E$2:$E$11000,"Zela")</f>
        <v>46126</v>
      </c>
      <c r="T1357" s="52">
        <f ca="1">SUMIFS(OUT!$F$2:$F$11000,OUT!$H$2:$H$11000,H1357,OUT!$D$2:$D$11000,"Out",OUT!$E$2:$E$11000,"Iqbal")</f>
        <v>125000</v>
      </c>
    </row>
    <row r="1358" spans="1:20" x14ac:dyDescent="0.2">
      <c r="A1358" s="48">
        <f ca="1">IFERROR(__xludf.DUMMYFUNCTION("""COMPUTED_VALUE"""),46272)</f>
        <v>46272</v>
      </c>
      <c r="B1358" s="4" t="str">
        <f ca="1">IFERROR(__xludf.DUMMYFUNCTION("""COMPUTED_VALUE"""),"suamiku")</f>
        <v>suamiku</v>
      </c>
      <c r="C1358" s="4" t="str">
        <f ca="1">IFERROR(__xludf.DUMMYFUNCTION("""COMPUTED_VALUE"""),"ATM")</f>
        <v>ATM</v>
      </c>
      <c r="D1358" s="4" t="str">
        <f ca="1">IFERROR(__xludf.DUMMYFUNCTION("""COMPUTED_VALUE"""),"Out")</f>
        <v>Out</v>
      </c>
      <c r="E1358" s="4" t="str">
        <f ca="1">IFERROR(__xludf.DUMMYFUNCTION("""COMPUTED_VALUE"""),"Iqbal")</f>
        <v>Iqbal</v>
      </c>
      <c r="F1358" s="49">
        <f ca="1">IFERROR(__xludf.DUMMYFUNCTION("""COMPUTED_VALUE"""),15000)</f>
        <v>15000</v>
      </c>
      <c r="G1358" s="50" t="str">
        <f ca="1">IFERROR(__xludf.DUMMYFUNCTION("""COMPUTED_VALUE"""),"Zela")</f>
        <v>Zela</v>
      </c>
      <c r="H1358" s="51">
        <f t="shared" ca="1" si="0"/>
        <v>46266</v>
      </c>
      <c r="I1358" s="52" t="e">
        <f ca="1">SUMIFS(OUT!$F$2:$F$11000,OUT!$H$2:$H$11000,H1358,OUT!$D$2:$D$101007,"In")</f>
        <v>#VALUE!</v>
      </c>
      <c r="J1358" s="52">
        <f ca="1">SUMIFS(OUT!$F$2:$F$11000,OUT!$H$2:$H$11000,H1358,OUT!$D$2:$D$11000,"Out")</f>
        <v>7093111</v>
      </c>
      <c r="K1358" s="52">
        <f ca="1">SUMIFS(OUT!$F$2:$F$11000,OUT!$H$2:$H$11000,H1358,OUT!$D$2:$D$11000,"Out",OUT!$E$2:$E$11000,"Fix")</f>
        <v>2972118</v>
      </c>
      <c r="L1358" s="52">
        <f ca="1">SUMIFS(OUT!$F$2:$F$11000,OUT!$H$2:$H$11000,H1358,OUT!$D$2:$D$11000,"Out",OUT!$E$2:$E$11000,"Bathroom")</f>
        <v>0</v>
      </c>
      <c r="M1358" s="52">
        <f ca="1">SUMIFS(OUT!$F$2:$F$11000,OUT!$H$2:$H$11000,H1358,OUT!$D$2:$D$11000,"Out",OUT!$E$2:$E$11000,"Alfa")</f>
        <v>55000</v>
      </c>
      <c r="N1358" s="52" t="e">
        <f ca="1">SUMIFS(OUT!$F$2:$F$11000,OUT!$H$2:$H$101007,H1358,OUT!$D$2:$D$11000,"Out",OUT!$E$2:$E$11000,"Jajan")</f>
        <v>#VALUE!</v>
      </c>
      <c r="O1358" s="52">
        <f ca="1">SUMIFS(OUT!$F$2:$F$11000,OUT!$H$2:$H$11000,H1358,OUT!$D$2:$D$11000,"Out",OUT!$E$2:$E$11000,"Kitchen")</f>
        <v>820700</v>
      </c>
      <c r="P1358" s="52">
        <f ca="1">SUMIFS(OUT!$F$2:$F$11000,OUT!$H$2:$H$11000,H1358,OUT!$D$2:$D$11000,"Out",OUT!$E$2:$E$11000,"Loandry")</f>
        <v>0</v>
      </c>
      <c r="Q1358" s="52">
        <f ca="1">SUMIFS(OUT!$F$2:$F$11000,OUT!$H$2:$H$11000,H1358,OUT!$D$2:$D$11000,"Out",OUT!$E$2:$E$11000,"Mio")</f>
        <v>137000</v>
      </c>
      <c r="R1358" s="52">
        <f ca="1">SUMIFS(OUT!$F$2:$F$11000,OUT!$H$2:$H$11000,H1358,OUT!$D$2:$D$11000,"Out",OUT!$E$2:$E$11000,"Sedekah")</f>
        <v>0</v>
      </c>
      <c r="S1358" s="52">
        <f ca="1">SUMIFS(OUT!$F$2:$F$11000,OUT!$H$2:$H$11000,H1358,OUT!$D$2:$D$11000,"Out",OUT!$E$2:$E$11000,"Zela")</f>
        <v>46126</v>
      </c>
      <c r="T1358" s="52">
        <f ca="1">SUMIFS(OUT!$F$2:$F$11000,OUT!$H$2:$H$11000,H1358,OUT!$D$2:$D$11000,"Out",OUT!$E$2:$E$11000,"Iqbal")</f>
        <v>125000</v>
      </c>
    </row>
    <row r="1359" spans="1:20" x14ac:dyDescent="0.2">
      <c r="A1359" s="48">
        <f ca="1">IFERROR(__xludf.DUMMYFUNCTION("""COMPUTED_VALUE"""),46274)</f>
        <v>46274</v>
      </c>
      <c r="B1359" s="4" t="str">
        <f ca="1">IFERROR(__xludf.DUMMYFUNCTION("""COMPUTED_VALUE"""),"Kue Putu")</f>
        <v>Kue Putu</v>
      </c>
      <c r="C1359" s="4" t="str">
        <f ca="1">IFERROR(__xludf.DUMMYFUNCTION("""COMPUTED_VALUE"""),"Cash")</f>
        <v>Cash</v>
      </c>
      <c r="D1359" s="4" t="str">
        <f ca="1">IFERROR(__xludf.DUMMYFUNCTION("""COMPUTED_VALUE"""),"Out")</f>
        <v>Out</v>
      </c>
      <c r="E1359" s="4" t="str">
        <f ca="1">IFERROR(__xludf.DUMMYFUNCTION("""COMPUTED_VALUE"""),"Jajan")</f>
        <v>Jajan</v>
      </c>
      <c r="F1359" s="49">
        <f ca="1">IFERROR(__xludf.DUMMYFUNCTION("""COMPUTED_VALUE"""),10000)</f>
        <v>10000</v>
      </c>
      <c r="G1359" s="50" t="str">
        <f ca="1">IFERROR(__xludf.DUMMYFUNCTION("""COMPUTED_VALUE"""),"Zela")</f>
        <v>Zela</v>
      </c>
      <c r="H1359" s="51">
        <f t="shared" ca="1" si="0"/>
        <v>46266</v>
      </c>
      <c r="I1359" s="52" t="e">
        <f ca="1">SUMIFS(OUT!$F$2:$F$11000,OUT!$H$2:$H$11000,H1359,OUT!$D$2:$D$101007,"In")</f>
        <v>#VALUE!</v>
      </c>
      <c r="J1359" s="52">
        <f ca="1">SUMIFS(OUT!$F$2:$F$11000,OUT!$H$2:$H$11000,H1359,OUT!$D$2:$D$11000,"Out")</f>
        <v>7093111</v>
      </c>
      <c r="K1359" s="52">
        <f ca="1">SUMIFS(OUT!$F$2:$F$11000,OUT!$H$2:$H$11000,H1359,OUT!$D$2:$D$11000,"Out",OUT!$E$2:$E$11000,"Fix")</f>
        <v>2972118</v>
      </c>
      <c r="L1359" s="52">
        <f ca="1">SUMIFS(OUT!$F$2:$F$11000,OUT!$H$2:$H$11000,H1359,OUT!$D$2:$D$11000,"Out",OUT!$E$2:$E$11000,"Bathroom")</f>
        <v>0</v>
      </c>
      <c r="M1359" s="52">
        <f ca="1">SUMIFS(OUT!$F$2:$F$11000,OUT!$H$2:$H$11000,H1359,OUT!$D$2:$D$11000,"Out",OUT!$E$2:$E$11000,"Alfa")</f>
        <v>55000</v>
      </c>
      <c r="N1359" s="52" t="e">
        <f ca="1">SUMIFS(OUT!$F$2:$F$11000,OUT!$H$2:$H$101007,H1359,OUT!$D$2:$D$11000,"Out",OUT!$E$2:$E$11000,"Jajan")</f>
        <v>#VALUE!</v>
      </c>
      <c r="O1359" s="52">
        <f ca="1">SUMIFS(OUT!$F$2:$F$11000,OUT!$H$2:$H$11000,H1359,OUT!$D$2:$D$11000,"Out",OUT!$E$2:$E$11000,"Kitchen")</f>
        <v>820700</v>
      </c>
      <c r="P1359" s="52">
        <f ca="1">SUMIFS(OUT!$F$2:$F$11000,OUT!$H$2:$H$11000,H1359,OUT!$D$2:$D$11000,"Out",OUT!$E$2:$E$11000,"Loandry")</f>
        <v>0</v>
      </c>
      <c r="Q1359" s="52">
        <f ca="1">SUMIFS(OUT!$F$2:$F$11000,OUT!$H$2:$H$11000,H1359,OUT!$D$2:$D$11000,"Out",OUT!$E$2:$E$11000,"Mio")</f>
        <v>137000</v>
      </c>
      <c r="R1359" s="52">
        <f ca="1">SUMIFS(OUT!$F$2:$F$11000,OUT!$H$2:$H$11000,H1359,OUT!$D$2:$D$11000,"Out",OUT!$E$2:$E$11000,"Sedekah")</f>
        <v>0</v>
      </c>
      <c r="S1359" s="52">
        <f ca="1">SUMIFS(OUT!$F$2:$F$11000,OUT!$H$2:$H$11000,H1359,OUT!$D$2:$D$11000,"Out",OUT!$E$2:$E$11000,"Zela")</f>
        <v>46126</v>
      </c>
      <c r="T1359" s="52">
        <f ca="1">SUMIFS(OUT!$F$2:$F$11000,OUT!$H$2:$H$11000,H1359,OUT!$D$2:$D$11000,"Out",OUT!$E$2:$E$11000,"Iqbal")</f>
        <v>125000</v>
      </c>
    </row>
    <row r="1360" spans="1:20" x14ac:dyDescent="0.2">
      <c r="A1360" s="48">
        <f ca="1">IFERROR(__xludf.DUMMYFUNCTION("""COMPUTED_VALUE"""),46275)</f>
        <v>46275</v>
      </c>
      <c r="B1360" s="4" t="str">
        <f ca="1">IFERROR(__xludf.DUMMYFUNCTION("""COMPUTED_VALUE"""),"Seabank(shopee)")</f>
        <v>Seabank(shopee)</v>
      </c>
      <c r="C1360" s="4" t="str">
        <f ca="1">IFERROR(__xludf.DUMMYFUNCTION("""COMPUTED_VALUE"""),"ATM")</f>
        <v>ATM</v>
      </c>
      <c r="D1360" s="4" t="str">
        <f ca="1">IFERROR(__xludf.DUMMYFUNCTION("""COMPUTED_VALUE"""),"In")</f>
        <v>In</v>
      </c>
      <c r="E1360" s="4" t="str">
        <f ca="1">IFERROR(__xludf.DUMMYFUNCTION("""COMPUTED_VALUE"""),"Move")</f>
        <v>Move</v>
      </c>
      <c r="F1360" s="49">
        <f ca="1">IFERROR(__xludf.DUMMYFUNCTION("""COMPUTED_VALUE"""),28988)</f>
        <v>28988</v>
      </c>
      <c r="G1360" s="50" t="str">
        <f ca="1">IFERROR(__xludf.DUMMYFUNCTION("""COMPUTED_VALUE"""),"Zela")</f>
        <v>Zela</v>
      </c>
      <c r="H1360" s="51">
        <f t="shared" ca="1" si="0"/>
        <v>46266</v>
      </c>
      <c r="I1360" s="52" t="e">
        <f ca="1">SUMIFS(OUT!$F$2:$F$11000,OUT!$H$2:$H$11000,H1360,OUT!$D$2:$D$101007,"In")</f>
        <v>#VALUE!</v>
      </c>
      <c r="J1360" s="52">
        <f ca="1">SUMIFS(OUT!$F$2:$F$11000,OUT!$H$2:$H$11000,H1360,OUT!$D$2:$D$11000,"Out")</f>
        <v>7093111</v>
      </c>
      <c r="K1360" s="52">
        <f ca="1">SUMIFS(OUT!$F$2:$F$11000,OUT!$H$2:$H$11000,H1360,OUT!$D$2:$D$11000,"Out",OUT!$E$2:$E$11000,"Fix")</f>
        <v>2972118</v>
      </c>
      <c r="L1360" s="52">
        <f ca="1">SUMIFS(OUT!$F$2:$F$11000,OUT!$H$2:$H$11000,H1360,OUT!$D$2:$D$11000,"Out",OUT!$E$2:$E$11000,"Bathroom")</f>
        <v>0</v>
      </c>
      <c r="M1360" s="52">
        <f ca="1">SUMIFS(OUT!$F$2:$F$11000,OUT!$H$2:$H$11000,H1360,OUT!$D$2:$D$11000,"Out",OUT!$E$2:$E$11000,"Alfa")</f>
        <v>55000</v>
      </c>
      <c r="N1360" s="52" t="e">
        <f ca="1">SUMIFS(OUT!$F$2:$F$11000,OUT!$H$2:$H$101007,H1360,OUT!$D$2:$D$11000,"Out",OUT!$E$2:$E$11000,"Jajan")</f>
        <v>#VALUE!</v>
      </c>
      <c r="O1360" s="52">
        <f ca="1">SUMIFS(OUT!$F$2:$F$11000,OUT!$H$2:$H$11000,H1360,OUT!$D$2:$D$11000,"Out",OUT!$E$2:$E$11000,"Kitchen")</f>
        <v>820700</v>
      </c>
      <c r="P1360" s="52">
        <f ca="1">SUMIFS(OUT!$F$2:$F$11000,OUT!$H$2:$H$11000,H1360,OUT!$D$2:$D$11000,"Out",OUT!$E$2:$E$11000,"Loandry")</f>
        <v>0</v>
      </c>
      <c r="Q1360" s="52">
        <f ca="1">SUMIFS(OUT!$F$2:$F$11000,OUT!$H$2:$H$11000,H1360,OUT!$D$2:$D$11000,"Out",OUT!$E$2:$E$11000,"Mio")</f>
        <v>137000</v>
      </c>
      <c r="R1360" s="52">
        <f ca="1">SUMIFS(OUT!$F$2:$F$11000,OUT!$H$2:$H$11000,H1360,OUT!$D$2:$D$11000,"Out",OUT!$E$2:$E$11000,"Sedekah")</f>
        <v>0</v>
      </c>
      <c r="S1360" s="52">
        <f ca="1">SUMIFS(OUT!$F$2:$F$11000,OUT!$H$2:$H$11000,H1360,OUT!$D$2:$D$11000,"Out",OUT!$E$2:$E$11000,"Zela")</f>
        <v>46126</v>
      </c>
      <c r="T1360" s="52">
        <f ca="1">SUMIFS(OUT!$F$2:$F$11000,OUT!$H$2:$H$11000,H1360,OUT!$D$2:$D$11000,"Out",OUT!$E$2:$E$11000,"Iqbal")</f>
        <v>125000</v>
      </c>
    </row>
    <row r="1361" spans="1:20" x14ac:dyDescent="0.2">
      <c r="A1361" s="48">
        <f ca="1">IFERROR(__xludf.DUMMYFUNCTION("""COMPUTED_VALUE"""),46275)</f>
        <v>46275</v>
      </c>
      <c r="B1361" s="4" t="str">
        <f ca="1">IFERROR(__xludf.DUMMYFUNCTION("""COMPUTED_VALUE"""),"Bensin ")</f>
        <v xml:space="preserve">Bensin </v>
      </c>
      <c r="C1361" s="4" t="str">
        <f ca="1">IFERROR(__xludf.DUMMYFUNCTION("""COMPUTED_VALUE"""),"Cash")</f>
        <v>Cash</v>
      </c>
      <c r="D1361" s="4" t="str">
        <f ca="1">IFERROR(__xludf.DUMMYFUNCTION("""COMPUTED_VALUE"""),"Out")</f>
        <v>Out</v>
      </c>
      <c r="E1361" s="4" t="str">
        <f ca="1">IFERROR(__xludf.DUMMYFUNCTION("""COMPUTED_VALUE"""),"Mio")</f>
        <v>Mio</v>
      </c>
      <c r="F1361" s="49">
        <f ca="1">IFERROR(__xludf.DUMMYFUNCTION("""COMPUTED_VALUE"""),12000)</f>
        <v>12000</v>
      </c>
      <c r="G1361" s="50" t="str">
        <f ca="1">IFERROR(__xludf.DUMMYFUNCTION("""COMPUTED_VALUE"""),"Zela")</f>
        <v>Zela</v>
      </c>
      <c r="H1361" s="51">
        <f t="shared" ca="1" si="0"/>
        <v>46266</v>
      </c>
      <c r="I1361" s="52" t="e">
        <f ca="1">SUMIFS(OUT!$F$2:$F$11000,OUT!$H$2:$H$11000,H1361,OUT!$D$2:$D$101007,"In")</f>
        <v>#VALUE!</v>
      </c>
      <c r="J1361" s="52">
        <f ca="1">SUMIFS(OUT!$F$2:$F$11000,OUT!$H$2:$H$11000,H1361,OUT!$D$2:$D$11000,"Out")</f>
        <v>7093111</v>
      </c>
      <c r="K1361" s="52">
        <f ca="1">SUMIFS(OUT!$F$2:$F$11000,OUT!$H$2:$H$11000,H1361,OUT!$D$2:$D$11000,"Out",OUT!$E$2:$E$11000,"Fix")</f>
        <v>2972118</v>
      </c>
      <c r="L1361" s="52">
        <f ca="1">SUMIFS(OUT!$F$2:$F$11000,OUT!$H$2:$H$11000,H1361,OUT!$D$2:$D$11000,"Out",OUT!$E$2:$E$11000,"Bathroom")</f>
        <v>0</v>
      </c>
      <c r="M1361" s="52">
        <f ca="1">SUMIFS(OUT!$F$2:$F$11000,OUT!$H$2:$H$11000,H1361,OUT!$D$2:$D$11000,"Out",OUT!$E$2:$E$11000,"Alfa")</f>
        <v>55000</v>
      </c>
      <c r="N1361" s="52" t="e">
        <f ca="1">SUMIFS(OUT!$F$2:$F$11000,OUT!$H$2:$H$101007,H1361,OUT!$D$2:$D$11000,"Out",OUT!$E$2:$E$11000,"Jajan")</f>
        <v>#VALUE!</v>
      </c>
      <c r="O1361" s="52">
        <f ca="1">SUMIFS(OUT!$F$2:$F$11000,OUT!$H$2:$H$11000,H1361,OUT!$D$2:$D$11000,"Out",OUT!$E$2:$E$11000,"Kitchen")</f>
        <v>820700</v>
      </c>
      <c r="P1361" s="52">
        <f ca="1">SUMIFS(OUT!$F$2:$F$11000,OUT!$H$2:$H$11000,H1361,OUT!$D$2:$D$11000,"Out",OUT!$E$2:$E$11000,"Loandry")</f>
        <v>0</v>
      </c>
      <c r="Q1361" s="52">
        <f ca="1">SUMIFS(OUT!$F$2:$F$11000,OUT!$H$2:$H$11000,H1361,OUT!$D$2:$D$11000,"Out",OUT!$E$2:$E$11000,"Mio")</f>
        <v>137000</v>
      </c>
      <c r="R1361" s="52">
        <f ca="1">SUMIFS(OUT!$F$2:$F$11000,OUT!$H$2:$H$11000,H1361,OUT!$D$2:$D$11000,"Out",OUT!$E$2:$E$11000,"Sedekah")</f>
        <v>0</v>
      </c>
      <c r="S1361" s="52">
        <f ca="1">SUMIFS(OUT!$F$2:$F$11000,OUT!$H$2:$H$11000,H1361,OUT!$D$2:$D$11000,"Out",OUT!$E$2:$E$11000,"Zela")</f>
        <v>46126</v>
      </c>
      <c r="T1361" s="52">
        <f ca="1">SUMIFS(OUT!$F$2:$F$11000,OUT!$H$2:$H$11000,H1361,OUT!$D$2:$D$11000,"Out",OUT!$E$2:$E$11000,"Iqbal")</f>
        <v>125000</v>
      </c>
    </row>
    <row r="1362" spans="1:20" x14ac:dyDescent="0.2">
      <c r="A1362" s="48">
        <f ca="1">IFERROR(__xludf.DUMMYFUNCTION("""COMPUTED_VALUE"""),46275)</f>
        <v>46275</v>
      </c>
      <c r="B1362" s="4" t="str">
        <f ca="1">IFERROR(__xludf.DUMMYFUNCTION("""COMPUTED_VALUE"""),"Tatik Tunai")</f>
        <v>Tatik Tunai</v>
      </c>
      <c r="C1362" s="4" t="str">
        <f ca="1">IFERROR(__xludf.DUMMYFUNCTION("""COMPUTED_VALUE"""),"ATM")</f>
        <v>ATM</v>
      </c>
      <c r="D1362" s="4" t="str">
        <f ca="1">IFERROR(__xludf.DUMMYFUNCTION("""COMPUTED_VALUE"""),"Out")</f>
        <v>Out</v>
      </c>
      <c r="E1362" s="4" t="str">
        <f ca="1">IFERROR(__xludf.DUMMYFUNCTION("""COMPUTED_VALUE"""),"Move")</f>
        <v>Move</v>
      </c>
      <c r="F1362" s="49">
        <f ca="1">IFERROR(__xludf.DUMMYFUNCTION("""COMPUTED_VALUE"""),250000)</f>
        <v>250000</v>
      </c>
      <c r="G1362" s="50" t="str">
        <f ca="1">IFERROR(__xludf.DUMMYFUNCTION("""COMPUTED_VALUE"""),"Zela")</f>
        <v>Zela</v>
      </c>
      <c r="H1362" s="51">
        <f t="shared" ca="1" si="0"/>
        <v>46266</v>
      </c>
      <c r="I1362" s="52" t="e">
        <f ca="1">SUMIFS(OUT!$F$2:$F$11000,OUT!$H$2:$H$11000,H1362,OUT!$D$2:$D$101007,"In")</f>
        <v>#VALUE!</v>
      </c>
      <c r="J1362" s="52">
        <f ca="1">SUMIFS(OUT!$F$2:$F$11000,OUT!$H$2:$H$11000,H1362,OUT!$D$2:$D$11000,"Out")</f>
        <v>7093111</v>
      </c>
      <c r="K1362" s="52">
        <f ca="1">SUMIFS(OUT!$F$2:$F$11000,OUT!$H$2:$H$11000,H1362,OUT!$D$2:$D$11000,"Out",OUT!$E$2:$E$11000,"Fix")</f>
        <v>2972118</v>
      </c>
      <c r="L1362" s="52">
        <f ca="1">SUMIFS(OUT!$F$2:$F$11000,OUT!$H$2:$H$11000,H1362,OUT!$D$2:$D$11000,"Out",OUT!$E$2:$E$11000,"Bathroom")</f>
        <v>0</v>
      </c>
      <c r="M1362" s="52">
        <f ca="1">SUMIFS(OUT!$F$2:$F$11000,OUT!$H$2:$H$11000,H1362,OUT!$D$2:$D$11000,"Out",OUT!$E$2:$E$11000,"Alfa")</f>
        <v>55000</v>
      </c>
      <c r="N1362" s="52" t="e">
        <f ca="1">SUMIFS(OUT!$F$2:$F$11000,OUT!$H$2:$H$101007,H1362,OUT!$D$2:$D$11000,"Out",OUT!$E$2:$E$11000,"Jajan")</f>
        <v>#VALUE!</v>
      </c>
      <c r="O1362" s="52">
        <f ca="1">SUMIFS(OUT!$F$2:$F$11000,OUT!$H$2:$H$11000,H1362,OUT!$D$2:$D$11000,"Out",OUT!$E$2:$E$11000,"Kitchen")</f>
        <v>820700</v>
      </c>
      <c r="P1362" s="52">
        <f ca="1">SUMIFS(OUT!$F$2:$F$11000,OUT!$H$2:$H$11000,H1362,OUT!$D$2:$D$11000,"Out",OUT!$E$2:$E$11000,"Loandry")</f>
        <v>0</v>
      </c>
      <c r="Q1362" s="52">
        <f ca="1">SUMIFS(OUT!$F$2:$F$11000,OUT!$H$2:$H$11000,H1362,OUT!$D$2:$D$11000,"Out",OUT!$E$2:$E$11000,"Mio")</f>
        <v>137000</v>
      </c>
      <c r="R1362" s="52">
        <f ca="1">SUMIFS(OUT!$F$2:$F$11000,OUT!$H$2:$H$11000,H1362,OUT!$D$2:$D$11000,"Out",OUT!$E$2:$E$11000,"Sedekah")</f>
        <v>0</v>
      </c>
      <c r="S1362" s="52">
        <f ca="1">SUMIFS(OUT!$F$2:$F$11000,OUT!$H$2:$H$11000,H1362,OUT!$D$2:$D$11000,"Out",OUT!$E$2:$E$11000,"Zela")</f>
        <v>46126</v>
      </c>
      <c r="T1362" s="52">
        <f ca="1">SUMIFS(OUT!$F$2:$F$11000,OUT!$H$2:$H$11000,H1362,OUT!$D$2:$D$11000,"Out",OUT!$E$2:$E$11000,"Iqbal")</f>
        <v>125000</v>
      </c>
    </row>
    <row r="1363" spans="1:20" x14ac:dyDescent="0.2">
      <c r="A1363" s="48">
        <f ca="1">IFERROR(__xludf.DUMMYFUNCTION("""COMPUTED_VALUE"""),46275)</f>
        <v>46275</v>
      </c>
      <c r="B1363" s="4" t="str">
        <f ca="1">IFERROR(__xludf.DUMMYFUNCTION("""COMPUTED_VALUE"""),"Terima Tunai")</f>
        <v>Terima Tunai</v>
      </c>
      <c r="C1363" s="4" t="str">
        <f ca="1">IFERROR(__xludf.DUMMYFUNCTION("""COMPUTED_VALUE"""),"Cash")</f>
        <v>Cash</v>
      </c>
      <c r="D1363" s="4" t="str">
        <f ca="1">IFERROR(__xludf.DUMMYFUNCTION("""COMPUTED_VALUE"""),"In")</f>
        <v>In</v>
      </c>
      <c r="E1363" s="4" t="str">
        <f ca="1">IFERROR(__xludf.DUMMYFUNCTION("""COMPUTED_VALUE"""),"Move")</f>
        <v>Move</v>
      </c>
      <c r="F1363" s="49">
        <f ca="1">IFERROR(__xludf.DUMMYFUNCTION("""COMPUTED_VALUE"""),250000)</f>
        <v>250000</v>
      </c>
      <c r="G1363" s="50" t="str">
        <f ca="1">IFERROR(__xludf.DUMMYFUNCTION("""COMPUTED_VALUE"""),"Zela")</f>
        <v>Zela</v>
      </c>
      <c r="H1363" s="51">
        <f t="shared" ca="1" si="0"/>
        <v>46266</v>
      </c>
      <c r="I1363" s="52" t="e">
        <f ca="1">SUMIFS(OUT!$F$2:$F$11000,OUT!$H$2:$H$11000,H1363,OUT!$D$2:$D$101007,"In")</f>
        <v>#VALUE!</v>
      </c>
      <c r="J1363" s="52">
        <f ca="1">SUMIFS(OUT!$F$2:$F$11000,OUT!$H$2:$H$11000,H1363,OUT!$D$2:$D$11000,"Out")</f>
        <v>7093111</v>
      </c>
      <c r="K1363" s="52">
        <f ca="1">SUMIFS(OUT!$F$2:$F$11000,OUT!$H$2:$H$11000,H1363,OUT!$D$2:$D$11000,"Out",OUT!$E$2:$E$11000,"Fix")</f>
        <v>2972118</v>
      </c>
      <c r="L1363" s="52">
        <f ca="1">SUMIFS(OUT!$F$2:$F$11000,OUT!$H$2:$H$11000,H1363,OUT!$D$2:$D$11000,"Out",OUT!$E$2:$E$11000,"Bathroom")</f>
        <v>0</v>
      </c>
      <c r="M1363" s="52">
        <f ca="1">SUMIFS(OUT!$F$2:$F$11000,OUT!$H$2:$H$11000,H1363,OUT!$D$2:$D$11000,"Out",OUT!$E$2:$E$11000,"Alfa")</f>
        <v>55000</v>
      </c>
      <c r="N1363" s="52" t="e">
        <f ca="1">SUMIFS(OUT!$F$2:$F$11000,OUT!$H$2:$H$101007,H1363,OUT!$D$2:$D$11000,"Out",OUT!$E$2:$E$11000,"Jajan")</f>
        <v>#VALUE!</v>
      </c>
      <c r="O1363" s="52">
        <f ca="1">SUMIFS(OUT!$F$2:$F$11000,OUT!$H$2:$H$11000,H1363,OUT!$D$2:$D$11000,"Out",OUT!$E$2:$E$11000,"Kitchen")</f>
        <v>820700</v>
      </c>
      <c r="P1363" s="52">
        <f ca="1">SUMIFS(OUT!$F$2:$F$11000,OUT!$H$2:$H$11000,H1363,OUT!$D$2:$D$11000,"Out",OUT!$E$2:$E$11000,"Loandry")</f>
        <v>0</v>
      </c>
      <c r="Q1363" s="52">
        <f ca="1">SUMIFS(OUT!$F$2:$F$11000,OUT!$H$2:$H$11000,H1363,OUT!$D$2:$D$11000,"Out",OUT!$E$2:$E$11000,"Mio")</f>
        <v>137000</v>
      </c>
      <c r="R1363" s="52">
        <f ca="1">SUMIFS(OUT!$F$2:$F$11000,OUT!$H$2:$H$11000,H1363,OUT!$D$2:$D$11000,"Out",OUT!$E$2:$E$11000,"Sedekah")</f>
        <v>0</v>
      </c>
      <c r="S1363" s="52">
        <f ca="1">SUMIFS(OUT!$F$2:$F$11000,OUT!$H$2:$H$11000,H1363,OUT!$D$2:$D$11000,"Out",OUT!$E$2:$E$11000,"Zela")</f>
        <v>46126</v>
      </c>
      <c r="T1363" s="52">
        <f ca="1">SUMIFS(OUT!$F$2:$F$11000,OUT!$H$2:$H$11000,H1363,OUT!$D$2:$D$11000,"Out",OUT!$E$2:$E$11000,"Iqbal")</f>
        <v>125000</v>
      </c>
    </row>
    <row r="1364" spans="1:20" x14ac:dyDescent="0.2">
      <c r="A1364" s="48">
        <f ca="1">IFERROR(__xludf.DUMMYFUNCTION("""COMPUTED_VALUE"""),46275)</f>
        <v>46275</v>
      </c>
      <c r="B1364" s="4" t="str">
        <f ca="1">IFERROR(__xludf.DUMMYFUNCTION("""COMPUTED_VALUE"""),"kuee pagi")</f>
        <v>kuee pagi</v>
      </c>
      <c r="C1364" s="4" t="str">
        <f ca="1">IFERROR(__xludf.DUMMYFUNCTION("""COMPUTED_VALUE"""),"Cash")</f>
        <v>Cash</v>
      </c>
      <c r="D1364" s="4" t="str">
        <f ca="1">IFERROR(__xludf.DUMMYFUNCTION("""COMPUTED_VALUE"""),"Out")</f>
        <v>Out</v>
      </c>
      <c r="E1364" s="4" t="str">
        <f ca="1">IFERROR(__xludf.DUMMYFUNCTION("""COMPUTED_VALUE"""),"Kitchen")</f>
        <v>Kitchen</v>
      </c>
      <c r="F1364" s="49">
        <f ca="1">IFERROR(__xludf.DUMMYFUNCTION("""COMPUTED_VALUE"""),20000)</f>
        <v>20000</v>
      </c>
      <c r="G1364" s="50" t="str">
        <f ca="1">IFERROR(__xludf.DUMMYFUNCTION("""COMPUTED_VALUE"""),"Zela")</f>
        <v>Zela</v>
      </c>
      <c r="H1364" s="51">
        <f t="shared" ca="1" si="0"/>
        <v>46266</v>
      </c>
      <c r="I1364" s="52" t="e">
        <f ca="1">SUMIFS(OUT!$F$2:$F$11000,OUT!$H$2:$H$11000,H1364,OUT!$D$2:$D$101007,"In")</f>
        <v>#VALUE!</v>
      </c>
      <c r="J1364" s="52">
        <f ca="1">SUMIFS(OUT!$F$2:$F$11000,OUT!$H$2:$H$11000,H1364,OUT!$D$2:$D$11000,"Out")</f>
        <v>7093111</v>
      </c>
      <c r="K1364" s="52">
        <f ca="1">SUMIFS(OUT!$F$2:$F$11000,OUT!$H$2:$H$11000,H1364,OUT!$D$2:$D$11000,"Out",OUT!$E$2:$E$11000,"Fix")</f>
        <v>2972118</v>
      </c>
      <c r="L1364" s="52">
        <f ca="1">SUMIFS(OUT!$F$2:$F$11000,OUT!$H$2:$H$11000,H1364,OUT!$D$2:$D$11000,"Out",OUT!$E$2:$E$11000,"Bathroom")</f>
        <v>0</v>
      </c>
      <c r="M1364" s="52">
        <f ca="1">SUMIFS(OUT!$F$2:$F$11000,OUT!$H$2:$H$11000,H1364,OUT!$D$2:$D$11000,"Out",OUT!$E$2:$E$11000,"Alfa")</f>
        <v>55000</v>
      </c>
      <c r="N1364" s="52" t="e">
        <f ca="1">SUMIFS(OUT!$F$2:$F$11000,OUT!$H$2:$H$101007,H1364,OUT!$D$2:$D$11000,"Out",OUT!$E$2:$E$11000,"Jajan")</f>
        <v>#VALUE!</v>
      </c>
      <c r="O1364" s="52">
        <f ca="1">SUMIFS(OUT!$F$2:$F$11000,OUT!$H$2:$H$11000,H1364,OUT!$D$2:$D$11000,"Out",OUT!$E$2:$E$11000,"Kitchen")</f>
        <v>820700</v>
      </c>
      <c r="P1364" s="52">
        <f ca="1">SUMIFS(OUT!$F$2:$F$11000,OUT!$H$2:$H$11000,H1364,OUT!$D$2:$D$11000,"Out",OUT!$E$2:$E$11000,"Loandry")</f>
        <v>0</v>
      </c>
      <c r="Q1364" s="52">
        <f ca="1">SUMIFS(OUT!$F$2:$F$11000,OUT!$H$2:$H$11000,H1364,OUT!$D$2:$D$11000,"Out",OUT!$E$2:$E$11000,"Mio")</f>
        <v>137000</v>
      </c>
      <c r="R1364" s="52">
        <f ca="1">SUMIFS(OUT!$F$2:$F$11000,OUT!$H$2:$H$11000,H1364,OUT!$D$2:$D$11000,"Out",OUT!$E$2:$E$11000,"Sedekah")</f>
        <v>0</v>
      </c>
      <c r="S1364" s="52">
        <f ca="1">SUMIFS(OUT!$F$2:$F$11000,OUT!$H$2:$H$11000,H1364,OUT!$D$2:$D$11000,"Out",OUT!$E$2:$E$11000,"Zela")</f>
        <v>46126</v>
      </c>
      <c r="T1364" s="52">
        <f ca="1">SUMIFS(OUT!$F$2:$F$11000,OUT!$H$2:$H$11000,H1364,OUT!$D$2:$D$11000,"Out",OUT!$E$2:$E$11000,"Iqbal")</f>
        <v>125000</v>
      </c>
    </row>
    <row r="1365" spans="1:20" x14ac:dyDescent="0.2">
      <c r="G1365" s="50"/>
      <c r="H1365" s="51" t="str">
        <f t="shared" si="0"/>
        <v/>
      </c>
      <c r="I1365" s="52" t="e">
        <f>SUMIFS(OUT!$F$2:$F$11000,OUT!$H$2:$H$11000,H1365,OUT!$D$2:$D$101007,"In")</f>
        <v>#VALUE!</v>
      </c>
      <c r="J1365" s="52">
        <f ca="1">SUMIFS(OUT!$F$2:$F$11000,OUT!$H$2:$H$11000,H1365,OUT!$D$2:$D$11000,"Out")</f>
        <v>0</v>
      </c>
      <c r="K1365" s="52">
        <f ca="1">SUMIFS(OUT!$F$2:$F$11000,OUT!$H$2:$H$11000,H1365,OUT!$D$2:$D$11000,"Out",OUT!$E$2:$E$11000,"Fix")</f>
        <v>0</v>
      </c>
      <c r="L1365" s="52">
        <f ca="1">SUMIFS(OUT!$F$2:$F$11000,OUT!$H$2:$H$11000,H1365,OUT!$D$2:$D$11000,"Out",OUT!$E$2:$E$11000,"Bathroom")</f>
        <v>0</v>
      </c>
      <c r="M1365" s="52">
        <f ca="1">SUMIFS(OUT!$F$2:$F$11000,OUT!$H$2:$H$11000,H1365,OUT!$D$2:$D$11000,"Out",OUT!$E$2:$E$11000,"Alfa")</f>
        <v>0</v>
      </c>
      <c r="N1365" s="52" t="e">
        <f>SUMIFS(OUT!$F$2:$F$11000,OUT!$H$2:$H$101007,H1365,OUT!$D$2:$D$11000,"Out",OUT!$E$2:$E$11000,"Jajan")</f>
        <v>#VALUE!</v>
      </c>
      <c r="O1365" s="52">
        <f ca="1">SUMIFS(OUT!$F$2:$F$11000,OUT!$H$2:$H$11000,H1365,OUT!$D$2:$D$11000,"Out",OUT!$E$2:$E$11000,"Kitchen")</f>
        <v>0</v>
      </c>
      <c r="P1365" s="52">
        <f ca="1">SUMIFS(OUT!$F$2:$F$11000,OUT!$H$2:$H$11000,H1365,OUT!$D$2:$D$11000,"Out",OUT!$E$2:$E$11000,"Loandry")</f>
        <v>0</v>
      </c>
      <c r="Q1365" s="52">
        <f ca="1">SUMIFS(OUT!$F$2:$F$11000,OUT!$H$2:$H$11000,H1365,OUT!$D$2:$D$11000,"Out",OUT!$E$2:$E$11000,"Mio")</f>
        <v>0</v>
      </c>
      <c r="R1365" s="52">
        <f ca="1">SUMIFS(OUT!$F$2:$F$11000,OUT!$H$2:$H$11000,H1365,OUT!$D$2:$D$11000,"Out",OUT!$E$2:$E$11000,"Sedekah")</f>
        <v>0</v>
      </c>
      <c r="S1365" s="52">
        <f ca="1">SUMIFS(OUT!$F$2:$F$11000,OUT!$H$2:$H$11000,H1365,OUT!$D$2:$D$11000,"Out",OUT!$E$2:$E$11000,"Zela")</f>
        <v>0</v>
      </c>
      <c r="T1365" s="52">
        <f ca="1">SUMIFS(OUT!$F$2:$F$11000,OUT!$H$2:$H$11000,H1365,OUT!$D$2:$D$11000,"Out",OUT!$E$2:$E$11000,"Iqbal")</f>
        <v>0</v>
      </c>
    </row>
    <row r="1366" spans="1:20" x14ac:dyDescent="0.2">
      <c r="G1366" s="50"/>
      <c r="H1366" s="51" t="str">
        <f t="shared" si="0"/>
        <v/>
      </c>
      <c r="I1366" s="52" t="e">
        <f>SUMIFS(OUT!$F$2:$F$11000,OUT!$H$2:$H$11000,H1366,OUT!$D$2:$D$101007,"In")</f>
        <v>#VALUE!</v>
      </c>
      <c r="J1366" s="52">
        <f ca="1">SUMIFS(OUT!$F$2:$F$11000,OUT!$H$2:$H$11000,H1366,OUT!$D$2:$D$11000,"Out")</f>
        <v>0</v>
      </c>
      <c r="K1366" s="52">
        <f ca="1">SUMIFS(OUT!$F$2:$F$11000,OUT!$H$2:$H$11000,H1366,OUT!$D$2:$D$11000,"Out",OUT!$E$2:$E$11000,"Fix")</f>
        <v>0</v>
      </c>
      <c r="L1366" s="52">
        <f ca="1">SUMIFS(OUT!$F$2:$F$11000,OUT!$H$2:$H$11000,H1366,OUT!$D$2:$D$11000,"Out",OUT!$E$2:$E$11000,"Bathroom")</f>
        <v>0</v>
      </c>
      <c r="M1366" s="52">
        <f ca="1">SUMIFS(OUT!$F$2:$F$11000,OUT!$H$2:$H$11000,H1366,OUT!$D$2:$D$11000,"Out",OUT!$E$2:$E$11000,"Alfa")</f>
        <v>0</v>
      </c>
      <c r="N1366" s="52" t="e">
        <f>SUMIFS(OUT!$F$2:$F$11000,OUT!$H$2:$H$101007,H1366,OUT!$D$2:$D$11000,"Out",OUT!$E$2:$E$11000,"Jajan")</f>
        <v>#VALUE!</v>
      </c>
      <c r="O1366" s="52">
        <f ca="1">SUMIFS(OUT!$F$2:$F$11000,OUT!$H$2:$H$11000,H1366,OUT!$D$2:$D$11000,"Out",OUT!$E$2:$E$11000,"Kitchen")</f>
        <v>0</v>
      </c>
      <c r="P1366" s="52">
        <f ca="1">SUMIFS(OUT!$F$2:$F$11000,OUT!$H$2:$H$11000,H1366,OUT!$D$2:$D$11000,"Out",OUT!$E$2:$E$11000,"Loandry")</f>
        <v>0</v>
      </c>
      <c r="Q1366" s="52">
        <f ca="1">SUMIFS(OUT!$F$2:$F$11000,OUT!$H$2:$H$11000,H1366,OUT!$D$2:$D$11000,"Out",OUT!$E$2:$E$11000,"Mio")</f>
        <v>0</v>
      </c>
      <c r="R1366" s="52">
        <f ca="1">SUMIFS(OUT!$F$2:$F$11000,OUT!$H$2:$H$11000,H1366,OUT!$D$2:$D$11000,"Out",OUT!$E$2:$E$11000,"Sedekah")</f>
        <v>0</v>
      </c>
      <c r="S1366" s="52">
        <f ca="1">SUMIFS(OUT!$F$2:$F$11000,OUT!$H$2:$H$11000,H1366,OUT!$D$2:$D$11000,"Out",OUT!$E$2:$E$11000,"Zela")</f>
        <v>0</v>
      </c>
      <c r="T1366" s="52">
        <f ca="1">SUMIFS(OUT!$F$2:$F$11000,OUT!$H$2:$H$11000,H1366,OUT!$D$2:$D$11000,"Out",OUT!$E$2:$E$11000,"Iqbal")</f>
        <v>0</v>
      </c>
    </row>
    <row r="1367" spans="1:20" x14ac:dyDescent="0.2">
      <c r="G1367" s="50"/>
      <c r="H1367" s="51" t="str">
        <f t="shared" si="0"/>
        <v/>
      </c>
      <c r="I1367" s="52" t="e">
        <f>SUMIFS(OUT!$F$2:$F$11000,OUT!$H$2:$H$11000,H1367,OUT!$D$2:$D$101007,"In")</f>
        <v>#VALUE!</v>
      </c>
      <c r="J1367" s="52">
        <f ca="1">SUMIFS(OUT!$F$2:$F$11000,OUT!$H$2:$H$11000,H1367,OUT!$D$2:$D$11000,"Out")</f>
        <v>0</v>
      </c>
      <c r="K1367" s="52">
        <f ca="1">SUMIFS(OUT!$F$2:$F$11000,OUT!$H$2:$H$11000,H1367,OUT!$D$2:$D$11000,"Out",OUT!$E$2:$E$11000,"Fix")</f>
        <v>0</v>
      </c>
      <c r="L1367" s="52">
        <f ca="1">SUMIFS(OUT!$F$2:$F$11000,OUT!$H$2:$H$11000,H1367,OUT!$D$2:$D$11000,"Out",OUT!$E$2:$E$11000,"Bathroom")</f>
        <v>0</v>
      </c>
      <c r="M1367" s="52">
        <f ca="1">SUMIFS(OUT!$F$2:$F$11000,OUT!$H$2:$H$11000,H1367,OUT!$D$2:$D$11000,"Out",OUT!$E$2:$E$11000,"Alfa")</f>
        <v>0</v>
      </c>
      <c r="N1367" s="52" t="e">
        <f>SUMIFS(OUT!$F$2:$F$11000,OUT!$H$2:$H$101007,H1367,OUT!$D$2:$D$11000,"Out",OUT!$E$2:$E$11000,"Jajan")</f>
        <v>#VALUE!</v>
      </c>
      <c r="O1367" s="52">
        <f ca="1">SUMIFS(OUT!$F$2:$F$11000,OUT!$H$2:$H$11000,H1367,OUT!$D$2:$D$11000,"Out",OUT!$E$2:$E$11000,"Kitchen")</f>
        <v>0</v>
      </c>
      <c r="P1367" s="52">
        <f ca="1">SUMIFS(OUT!$F$2:$F$11000,OUT!$H$2:$H$11000,H1367,OUT!$D$2:$D$11000,"Out",OUT!$E$2:$E$11000,"Loandry")</f>
        <v>0</v>
      </c>
      <c r="Q1367" s="52">
        <f ca="1">SUMIFS(OUT!$F$2:$F$11000,OUT!$H$2:$H$11000,H1367,OUT!$D$2:$D$11000,"Out",OUT!$E$2:$E$11000,"Mio")</f>
        <v>0</v>
      </c>
      <c r="R1367" s="52">
        <f ca="1">SUMIFS(OUT!$F$2:$F$11000,OUT!$H$2:$H$11000,H1367,OUT!$D$2:$D$11000,"Out",OUT!$E$2:$E$11000,"Sedekah")</f>
        <v>0</v>
      </c>
      <c r="S1367" s="52">
        <f ca="1">SUMIFS(OUT!$F$2:$F$11000,OUT!$H$2:$H$11000,H1367,OUT!$D$2:$D$11000,"Out",OUT!$E$2:$E$11000,"Zela")</f>
        <v>0</v>
      </c>
      <c r="T1367" s="52">
        <f ca="1">SUMIFS(OUT!$F$2:$F$11000,OUT!$H$2:$H$11000,H1367,OUT!$D$2:$D$11000,"Out",OUT!$E$2:$E$11000,"Iqbal")</f>
        <v>0</v>
      </c>
    </row>
    <row r="1368" spans="1:20" x14ac:dyDescent="0.2">
      <c r="G1368" s="50"/>
      <c r="H1368" s="51" t="str">
        <f t="shared" si="0"/>
        <v/>
      </c>
      <c r="I1368" s="52" t="e">
        <f>SUMIFS(OUT!$F$2:$F$11000,OUT!$H$2:$H$11000,H1368,OUT!$D$2:$D$101007,"In")</f>
        <v>#VALUE!</v>
      </c>
      <c r="J1368" s="52">
        <f ca="1">SUMIFS(OUT!$F$2:$F$11000,OUT!$H$2:$H$11000,H1368,OUT!$D$2:$D$11000,"Out")</f>
        <v>0</v>
      </c>
      <c r="K1368" s="52">
        <f ca="1">SUMIFS(OUT!$F$2:$F$11000,OUT!$H$2:$H$11000,H1368,OUT!$D$2:$D$11000,"Out",OUT!$E$2:$E$11000,"Fix")</f>
        <v>0</v>
      </c>
      <c r="L1368" s="52">
        <f ca="1">SUMIFS(OUT!$F$2:$F$11000,OUT!$H$2:$H$11000,H1368,OUT!$D$2:$D$11000,"Out",OUT!$E$2:$E$11000,"Bathroom")</f>
        <v>0</v>
      </c>
      <c r="M1368" s="52">
        <f ca="1">SUMIFS(OUT!$F$2:$F$11000,OUT!$H$2:$H$11000,H1368,OUT!$D$2:$D$11000,"Out",OUT!$E$2:$E$11000,"Alfa")</f>
        <v>0</v>
      </c>
      <c r="N1368" s="52" t="e">
        <f>SUMIFS(OUT!$F$2:$F$11000,OUT!$H$2:$H$101007,H1368,OUT!$D$2:$D$11000,"Out",OUT!$E$2:$E$11000,"Jajan")</f>
        <v>#VALUE!</v>
      </c>
      <c r="O1368" s="52">
        <f ca="1">SUMIFS(OUT!$F$2:$F$11000,OUT!$H$2:$H$11000,H1368,OUT!$D$2:$D$11000,"Out",OUT!$E$2:$E$11000,"Kitchen")</f>
        <v>0</v>
      </c>
      <c r="P1368" s="52">
        <f ca="1">SUMIFS(OUT!$F$2:$F$11000,OUT!$H$2:$H$11000,H1368,OUT!$D$2:$D$11000,"Out",OUT!$E$2:$E$11000,"Loandry")</f>
        <v>0</v>
      </c>
      <c r="Q1368" s="52">
        <f ca="1">SUMIFS(OUT!$F$2:$F$11000,OUT!$H$2:$H$11000,H1368,OUT!$D$2:$D$11000,"Out",OUT!$E$2:$E$11000,"Mio")</f>
        <v>0</v>
      </c>
      <c r="R1368" s="52">
        <f ca="1">SUMIFS(OUT!$F$2:$F$11000,OUT!$H$2:$H$11000,H1368,OUT!$D$2:$D$11000,"Out",OUT!$E$2:$E$11000,"Sedekah")</f>
        <v>0</v>
      </c>
      <c r="S1368" s="52">
        <f ca="1">SUMIFS(OUT!$F$2:$F$11000,OUT!$H$2:$H$11000,H1368,OUT!$D$2:$D$11000,"Out",OUT!$E$2:$E$11000,"Zela")</f>
        <v>0</v>
      </c>
      <c r="T1368" s="52">
        <f ca="1">SUMIFS(OUT!$F$2:$F$11000,OUT!$H$2:$H$11000,H1368,OUT!$D$2:$D$11000,"Out",OUT!$E$2:$E$11000,"Iqbal")</f>
        <v>0</v>
      </c>
    </row>
    <row r="1369" spans="1:20" x14ac:dyDescent="0.2">
      <c r="G1369" s="50"/>
      <c r="H1369" s="51" t="str">
        <f t="shared" si="0"/>
        <v/>
      </c>
      <c r="I1369" s="52" t="e">
        <f>SUMIFS(OUT!$F$2:$F$11000,OUT!$H$2:$H$11000,H1369,OUT!$D$2:$D$101007,"In")</f>
        <v>#VALUE!</v>
      </c>
      <c r="J1369" s="52">
        <f ca="1">SUMIFS(OUT!$F$2:$F$11000,OUT!$H$2:$H$11000,H1369,OUT!$D$2:$D$11000,"Out")</f>
        <v>0</v>
      </c>
      <c r="K1369" s="52">
        <f ca="1">SUMIFS(OUT!$F$2:$F$11000,OUT!$H$2:$H$11000,H1369,OUT!$D$2:$D$11000,"Out",OUT!$E$2:$E$11000,"Fix")</f>
        <v>0</v>
      </c>
      <c r="L1369" s="52">
        <f ca="1">SUMIFS(OUT!$F$2:$F$11000,OUT!$H$2:$H$11000,H1369,OUT!$D$2:$D$11000,"Out",OUT!$E$2:$E$11000,"Bathroom")</f>
        <v>0</v>
      </c>
      <c r="M1369" s="52">
        <f ca="1">SUMIFS(OUT!$F$2:$F$11000,OUT!$H$2:$H$11000,H1369,OUT!$D$2:$D$11000,"Out",OUT!$E$2:$E$11000,"Alfa")</f>
        <v>0</v>
      </c>
      <c r="N1369" s="52" t="e">
        <f>SUMIFS(OUT!$F$2:$F$11000,OUT!$H$2:$H$101007,H1369,OUT!$D$2:$D$11000,"Out",OUT!$E$2:$E$11000,"Jajan")</f>
        <v>#VALUE!</v>
      </c>
      <c r="O1369" s="52">
        <f ca="1">SUMIFS(OUT!$F$2:$F$11000,OUT!$H$2:$H$11000,H1369,OUT!$D$2:$D$11000,"Out",OUT!$E$2:$E$11000,"Kitchen")</f>
        <v>0</v>
      </c>
      <c r="P1369" s="52">
        <f ca="1">SUMIFS(OUT!$F$2:$F$11000,OUT!$H$2:$H$11000,H1369,OUT!$D$2:$D$11000,"Out",OUT!$E$2:$E$11000,"Loandry")</f>
        <v>0</v>
      </c>
      <c r="Q1369" s="52">
        <f ca="1">SUMIFS(OUT!$F$2:$F$11000,OUT!$H$2:$H$11000,H1369,OUT!$D$2:$D$11000,"Out",OUT!$E$2:$E$11000,"Mio")</f>
        <v>0</v>
      </c>
      <c r="R1369" s="52">
        <f ca="1">SUMIFS(OUT!$F$2:$F$11000,OUT!$H$2:$H$11000,H1369,OUT!$D$2:$D$11000,"Out",OUT!$E$2:$E$11000,"Sedekah")</f>
        <v>0</v>
      </c>
      <c r="S1369" s="52">
        <f ca="1">SUMIFS(OUT!$F$2:$F$11000,OUT!$H$2:$H$11000,H1369,OUT!$D$2:$D$11000,"Out",OUT!$E$2:$E$11000,"Zela")</f>
        <v>0</v>
      </c>
      <c r="T1369" s="52">
        <f ca="1">SUMIFS(OUT!$F$2:$F$11000,OUT!$H$2:$H$11000,H1369,OUT!$D$2:$D$11000,"Out",OUT!$E$2:$E$11000,"Iqbal")</f>
        <v>0</v>
      </c>
    </row>
    <row r="1370" spans="1:20" x14ac:dyDescent="0.2">
      <c r="G1370" s="50"/>
      <c r="H1370" s="51" t="str">
        <f t="shared" si="0"/>
        <v/>
      </c>
      <c r="I1370" s="52" t="e">
        <f>SUMIFS(OUT!$F$2:$F$11000,OUT!$H$2:$H$11000,H1370,OUT!$D$2:$D$101007,"In")</f>
        <v>#VALUE!</v>
      </c>
      <c r="J1370" s="52">
        <f ca="1">SUMIFS(OUT!$F$2:$F$11000,OUT!$H$2:$H$11000,H1370,OUT!$D$2:$D$11000,"Out")</f>
        <v>0</v>
      </c>
      <c r="K1370" s="52">
        <f ca="1">SUMIFS(OUT!$F$2:$F$11000,OUT!$H$2:$H$11000,H1370,OUT!$D$2:$D$11000,"Out",OUT!$E$2:$E$11000,"Fix")</f>
        <v>0</v>
      </c>
      <c r="L1370" s="52">
        <f ca="1">SUMIFS(OUT!$F$2:$F$11000,OUT!$H$2:$H$11000,H1370,OUT!$D$2:$D$11000,"Out",OUT!$E$2:$E$11000,"Bathroom")</f>
        <v>0</v>
      </c>
      <c r="M1370" s="52">
        <f ca="1">SUMIFS(OUT!$F$2:$F$11000,OUT!$H$2:$H$11000,H1370,OUT!$D$2:$D$11000,"Out",OUT!$E$2:$E$11000,"Alfa")</f>
        <v>0</v>
      </c>
      <c r="N1370" s="52" t="e">
        <f>SUMIFS(OUT!$F$2:$F$11000,OUT!$H$2:$H$101007,H1370,OUT!$D$2:$D$11000,"Out",OUT!$E$2:$E$11000,"Jajan")</f>
        <v>#VALUE!</v>
      </c>
      <c r="O1370" s="52">
        <f ca="1">SUMIFS(OUT!$F$2:$F$11000,OUT!$H$2:$H$11000,H1370,OUT!$D$2:$D$11000,"Out",OUT!$E$2:$E$11000,"Kitchen")</f>
        <v>0</v>
      </c>
      <c r="P1370" s="52">
        <f ca="1">SUMIFS(OUT!$F$2:$F$11000,OUT!$H$2:$H$11000,H1370,OUT!$D$2:$D$11000,"Out",OUT!$E$2:$E$11000,"Loandry")</f>
        <v>0</v>
      </c>
      <c r="Q1370" s="52">
        <f ca="1">SUMIFS(OUT!$F$2:$F$11000,OUT!$H$2:$H$11000,H1370,OUT!$D$2:$D$11000,"Out",OUT!$E$2:$E$11000,"Mio")</f>
        <v>0</v>
      </c>
      <c r="R1370" s="52">
        <f ca="1">SUMIFS(OUT!$F$2:$F$11000,OUT!$H$2:$H$11000,H1370,OUT!$D$2:$D$11000,"Out",OUT!$E$2:$E$11000,"Sedekah")</f>
        <v>0</v>
      </c>
      <c r="S1370" s="52">
        <f ca="1">SUMIFS(OUT!$F$2:$F$11000,OUT!$H$2:$H$11000,H1370,OUT!$D$2:$D$11000,"Out",OUT!$E$2:$E$11000,"Zela")</f>
        <v>0</v>
      </c>
      <c r="T1370" s="52">
        <f ca="1">SUMIFS(OUT!$F$2:$F$11000,OUT!$H$2:$H$11000,H1370,OUT!$D$2:$D$11000,"Out",OUT!$E$2:$E$11000,"Iqbal")</f>
        <v>0</v>
      </c>
    </row>
    <row r="1371" spans="1:20" x14ac:dyDescent="0.2">
      <c r="G1371" s="50"/>
      <c r="H1371" s="51" t="str">
        <f t="shared" si="0"/>
        <v/>
      </c>
      <c r="I1371" s="52" t="e">
        <f>SUMIFS(OUT!$F$2:$F$11000,OUT!$H$2:$H$11000,H1371,OUT!$D$2:$D$101007,"In")</f>
        <v>#VALUE!</v>
      </c>
      <c r="J1371" s="52">
        <f ca="1">SUMIFS(OUT!$F$2:$F$11000,OUT!$H$2:$H$11000,H1371,OUT!$D$2:$D$11000,"Out")</f>
        <v>0</v>
      </c>
      <c r="K1371" s="52">
        <f ca="1">SUMIFS(OUT!$F$2:$F$11000,OUT!$H$2:$H$11000,H1371,OUT!$D$2:$D$11000,"Out",OUT!$E$2:$E$11000,"Fix")</f>
        <v>0</v>
      </c>
      <c r="L1371" s="52">
        <f ca="1">SUMIFS(OUT!$F$2:$F$11000,OUT!$H$2:$H$11000,H1371,OUT!$D$2:$D$11000,"Out",OUT!$E$2:$E$11000,"Bathroom")</f>
        <v>0</v>
      </c>
      <c r="M1371" s="52">
        <f ca="1">SUMIFS(OUT!$F$2:$F$11000,OUT!$H$2:$H$11000,H1371,OUT!$D$2:$D$11000,"Out",OUT!$E$2:$E$11000,"Alfa")</f>
        <v>0</v>
      </c>
      <c r="N1371" s="52" t="e">
        <f>SUMIFS(OUT!$F$2:$F$11000,OUT!$H$2:$H$101007,H1371,OUT!$D$2:$D$11000,"Out",OUT!$E$2:$E$11000,"Jajan")</f>
        <v>#VALUE!</v>
      </c>
      <c r="O1371" s="52">
        <f ca="1">SUMIFS(OUT!$F$2:$F$11000,OUT!$H$2:$H$11000,H1371,OUT!$D$2:$D$11000,"Out",OUT!$E$2:$E$11000,"Kitchen")</f>
        <v>0</v>
      </c>
      <c r="P1371" s="52">
        <f ca="1">SUMIFS(OUT!$F$2:$F$11000,OUT!$H$2:$H$11000,H1371,OUT!$D$2:$D$11000,"Out",OUT!$E$2:$E$11000,"Loandry")</f>
        <v>0</v>
      </c>
      <c r="Q1371" s="52">
        <f ca="1">SUMIFS(OUT!$F$2:$F$11000,OUT!$H$2:$H$11000,H1371,OUT!$D$2:$D$11000,"Out",OUT!$E$2:$E$11000,"Mio")</f>
        <v>0</v>
      </c>
      <c r="R1371" s="52">
        <f ca="1">SUMIFS(OUT!$F$2:$F$11000,OUT!$H$2:$H$11000,H1371,OUT!$D$2:$D$11000,"Out",OUT!$E$2:$E$11000,"Sedekah")</f>
        <v>0</v>
      </c>
      <c r="S1371" s="52">
        <f ca="1">SUMIFS(OUT!$F$2:$F$11000,OUT!$H$2:$H$11000,H1371,OUT!$D$2:$D$11000,"Out",OUT!$E$2:$E$11000,"Zela")</f>
        <v>0</v>
      </c>
      <c r="T1371" s="52">
        <f ca="1">SUMIFS(OUT!$F$2:$F$11000,OUT!$H$2:$H$11000,H1371,OUT!$D$2:$D$11000,"Out",OUT!$E$2:$E$11000,"Iqbal")</f>
        <v>0</v>
      </c>
    </row>
    <row r="1372" spans="1:20" x14ac:dyDescent="0.2">
      <c r="G1372" s="50"/>
      <c r="H1372" s="51" t="str">
        <f t="shared" si="0"/>
        <v/>
      </c>
      <c r="I1372" s="52" t="e">
        <f>SUMIFS(OUT!$F$2:$F$11000,OUT!$H$2:$H$11000,H1372,OUT!$D$2:$D$101007,"In")</f>
        <v>#VALUE!</v>
      </c>
      <c r="J1372" s="52">
        <f ca="1">SUMIFS(OUT!$F$2:$F$11000,OUT!$H$2:$H$11000,H1372,OUT!$D$2:$D$11000,"Out")</f>
        <v>0</v>
      </c>
      <c r="K1372" s="52">
        <f ca="1">SUMIFS(OUT!$F$2:$F$11000,OUT!$H$2:$H$11000,H1372,OUT!$D$2:$D$11000,"Out",OUT!$E$2:$E$11000,"Fix")</f>
        <v>0</v>
      </c>
      <c r="L1372" s="52">
        <f ca="1">SUMIFS(OUT!$F$2:$F$11000,OUT!$H$2:$H$11000,H1372,OUT!$D$2:$D$11000,"Out",OUT!$E$2:$E$11000,"Bathroom")</f>
        <v>0</v>
      </c>
      <c r="M1372" s="52">
        <f ca="1">SUMIFS(OUT!$F$2:$F$11000,OUT!$H$2:$H$11000,H1372,OUT!$D$2:$D$11000,"Out",OUT!$E$2:$E$11000,"Alfa")</f>
        <v>0</v>
      </c>
      <c r="N1372" s="52" t="e">
        <f>SUMIFS(OUT!$F$2:$F$11000,OUT!$H$2:$H$101007,H1372,OUT!$D$2:$D$11000,"Out",OUT!$E$2:$E$11000,"Jajan")</f>
        <v>#VALUE!</v>
      </c>
      <c r="O1372" s="52">
        <f ca="1">SUMIFS(OUT!$F$2:$F$11000,OUT!$H$2:$H$11000,H1372,OUT!$D$2:$D$11000,"Out",OUT!$E$2:$E$11000,"Kitchen")</f>
        <v>0</v>
      </c>
      <c r="P1372" s="52">
        <f ca="1">SUMIFS(OUT!$F$2:$F$11000,OUT!$H$2:$H$11000,H1372,OUT!$D$2:$D$11000,"Out",OUT!$E$2:$E$11000,"Loandry")</f>
        <v>0</v>
      </c>
      <c r="Q1372" s="52">
        <f ca="1">SUMIFS(OUT!$F$2:$F$11000,OUT!$H$2:$H$11000,H1372,OUT!$D$2:$D$11000,"Out",OUT!$E$2:$E$11000,"Mio")</f>
        <v>0</v>
      </c>
      <c r="R1372" s="52">
        <f ca="1">SUMIFS(OUT!$F$2:$F$11000,OUT!$H$2:$H$11000,H1372,OUT!$D$2:$D$11000,"Out",OUT!$E$2:$E$11000,"Sedekah")</f>
        <v>0</v>
      </c>
      <c r="S1372" s="52">
        <f ca="1">SUMIFS(OUT!$F$2:$F$11000,OUT!$H$2:$H$11000,H1372,OUT!$D$2:$D$11000,"Out",OUT!$E$2:$E$11000,"Zela")</f>
        <v>0</v>
      </c>
      <c r="T1372" s="52">
        <f ca="1">SUMIFS(OUT!$F$2:$F$11000,OUT!$H$2:$H$11000,H1372,OUT!$D$2:$D$11000,"Out",OUT!$E$2:$E$11000,"Iqbal")</f>
        <v>0</v>
      </c>
    </row>
    <row r="1373" spans="1:20" x14ac:dyDescent="0.2">
      <c r="G1373" s="50"/>
      <c r="H1373" s="51" t="str">
        <f t="shared" si="0"/>
        <v/>
      </c>
      <c r="I1373" s="52" t="e">
        <f>SUMIFS(OUT!$F$2:$F$11000,OUT!$H$2:$H$11000,H1373,OUT!$D$2:$D$101007,"In")</f>
        <v>#VALUE!</v>
      </c>
      <c r="J1373" s="52">
        <f ca="1">SUMIFS(OUT!$F$2:$F$11000,OUT!$H$2:$H$11000,H1373,OUT!$D$2:$D$11000,"Out")</f>
        <v>0</v>
      </c>
      <c r="K1373" s="52">
        <f ca="1">SUMIFS(OUT!$F$2:$F$11000,OUT!$H$2:$H$11000,H1373,OUT!$D$2:$D$11000,"Out",OUT!$E$2:$E$11000,"Fix")</f>
        <v>0</v>
      </c>
      <c r="L1373" s="52">
        <f ca="1">SUMIFS(OUT!$F$2:$F$11000,OUT!$H$2:$H$11000,H1373,OUT!$D$2:$D$11000,"Out",OUT!$E$2:$E$11000,"Bathroom")</f>
        <v>0</v>
      </c>
      <c r="M1373" s="52">
        <f ca="1">SUMIFS(OUT!$F$2:$F$11000,OUT!$H$2:$H$11000,H1373,OUT!$D$2:$D$11000,"Out",OUT!$E$2:$E$11000,"Alfa")</f>
        <v>0</v>
      </c>
      <c r="N1373" s="52" t="e">
        <f>SUMIFS(OUT!$F$2:$F$11000,OUT!$H$2:$H$101007,H1373,OUT!$D$2:$D$11000,"Out",OUT!$E$2:$E$11000,"Jajan")</f>
        <v>#VALUE!</v>
      </c>
      <c r="O1373" s="52">
        <f ca="1">SUMIFS(OUT!$F$2:$F$11000,OUT!$H$2:$H$11000,H1373,OUT!$D$2:$D$11000,"Out",OUT!$E$2:$E$11000,"Kitchen")</f>
        <v>0</v>
      </c>
      <c r="P1373" s="52">
        <f ca="1">SUMIFS(OUT!$F$2:$F$11000,OUT!$H$2:$H$11000,H1373,OUT!$D$2:$D$11000,"Out",OUT!$E$2:$E$11000,"Loandry")</f>
        <v>0</v>
      </c>
      <c r="Q1373" s="52">
        <f ca="1">SUMIFS(OUT!$F$2:$F$11000,OUT!$H$2:$H$11000,H1373,OUT!$D$2:$D$11000,"Out",OUT!$E$2:$E$11000,"Mio")</f>
        <v>0</v>
      </c>
      <c r="R1373" s="52">
        <f ca="1">SUMIFS(OUT!$F$2:$F$11000,OUT!$H$2:$H$11000,H1373,OUT!$D$2:$D$11000,"Out",OUT!$E$2:$E$11000,"Sedekah")</f>
        <v>0</v>
      </c>
      <c r="S1373" s="52">
        <f ca="1">SUMIFS(OUT!$F$2:$F$11000,OUT!$H$2:$H$11000,H1373,OUT!$D$2:$D$11000,"Out",OUT!$E$2:$E$11000,"Zela")</f>
        <v>0</v>
      </c>
      <c r="T1373" s="52">
        <f ca="1">SUMIFS(OUT!$F$2:$F$11000,OUT!$H$2:$H$11000,H1373,OUT!$D$2:$D$11000,"Out",OUT!$E$2:$E$11000,"Iqbal")</f>
        <v>0</v>
      </c>
    </row>
    <row r="1374" spans="1:20" x14ac:dyDescent="0.2">
      <c r="G1374" s="50"/>
      <c r="H1374" s="51" t="str">
        <f t="shared" si="0"/>
        <v/>
      </c>
      <c r="I1374" s="52" t="e">
        <f>SUMIFS(OUT!$F$2:$F$11000,OUT!$H$2:$H$11000,H1374,OUT!$D$2:$D$101007,"In")</f>
        <v>#VALUE!</v>
      </c>
      <c r="J1374" s="52">
        <f ca="1">SUMIFS(OUT!$F$2:$F$11000,OUT!$H$2:$H$11000,H1374,OUT!$D$2:$D$11000,"Out")</f>
        <v>0</v>
      </c>
      <c r="K1374" s="52">
        <f ca="1">SUMIFS(OUT!$F$2:$F$11000,OUT!$H$2:$H$11000,H1374,OUT!$D$2:$D$11000,"Out",OUT!$E$2:$E$11000,"Fix")</f>
        <v>0</v>
      </c>
      <c r="L1374" s="52">
        <f ca="1">SUMIFS(OUT!$F$2:$F$11000,OUT!$H$2:$H$11000,H1374,OUT!$D$2:$D$11000,"Out",OUT!$E$2:$E$11000,"Bathroom")</f>
        <v>0</v>
      </c>
      <c r="M1374" s="52">
        <f ca="1">SUMIFS(OUT!$F$2:$F$11000,OUT!$H$2:$H$11000,H1374,OUT!$D$2:$D$11000,"Out",OUT!$E$2:$E$11000,"Alfa")</f>
        <v>0</v>
      </c>
      <c r="N1374" s="52" t="e">
        <f>SUMIFS(OUT!$F$2:$F$11000,OUT!$H$2:$H$101007,H1374,OUT!$D$2:$D$11000,"Out",OUT!$E$2:$E$11000,"Jajan")</f>
        <v>#VALUE!</v>
      </c>
      <c r="O1374" s="52">
        <f ca="1">SUMIFS(OUT!$F$2:$F$11000,OUT!$H$2:$H$11000,H1374,OUT!$D$2:$D$11000,"Out",OUT!$E$2:$E$11000,"Kitchen")</f>
        <v>0</v>
      </c>
      <c r="P1374" s="52">
        <f ca="1">SUMIFS(OUT!$F$2:$F$11000,OUT!$H$2:$H$11000,H1374,OUT!$D$2:$D$11000,"Out",OUT!$E$2:$E$11000,"Loandry")</f>
        <v>0</v>
      </c>
      <c r="Q1374" s="52">
        <f ca="1">SUMIFS(OUT!$F$2:$F$11000,OUT!$H$2:$H$11000,H1374,OUT!$D$2:$D$11000,"Out",OUT!$E$2:$E$11000,"Mio")</f>
        <v>0</v>
      </c>
      <c r="R1374" s="52">
        <f ca="1">SUMIFS(OUT!$F$2:$F$11000,OUT!$H$2:$H$11000,H1374,OUT!$D$2:$D$11000,"Out",OUT!$E$2:$E$11000,"Sedekah")</f>
        <v>0</v>
      </c>
      <c r="S1374" s="52">
        <f ca="1">SUMIFS(OUT!$F$2:$F$11000,OUT!$H$2:$H$11000,H1374,OUT!$D$2:$D$11000,"Out",OUT!$E$2:$E$11000,"Zela")</f>
        <v>0</v>
      </c>
      <c r="T1374" s="52">
        <f ca="1">SUMIFS(OUT!$F$2:$F$11000,OUT!$H$2:$H$11000,H1374,OUT!$D$2:$D$11000,"Out",OUT!$E$2:$E$11000,"Iqbal")</f>
        <v>0</v>
      </c>
    </row>
    <row r="1375" spans="1:20" x14ac:dyDescent="0.2">
      <c r="G1375" s="50"/>
      <c r="H1375" s="51" t="str">
        <f t="shared" si="0"/>
        <v/>
      </c>
      <c r="I1375" s="52" t="e">
        <f>SUMIFS(OUT!$F$2:$F$11000,OUT!$H$2:$H$11000,H1375,OUT!$D$2:$D$101007,"In")</f>
        <v>#VALUE!</v>
      </c>
      <c r="J1375" s="52">
        <f ca="1">SUMIFS(OUT!$F$2:$F$11000,OUT!$H$2:$H$11000,H1375,OUT!$D$2:$D$11000,"Out")</f>
        <v>0</v>
      </c>
      <c r="K1375" s="52">
        <f ca="1">SUMIFS(OUT!$F$2:$F$11000,OUT!$H$2:$H$11000,H1375,OUT!$D$2:$D$11000,"Out",OUT!$E$2:$E$11000,"Fix")</f>
        <v>0</v>
      </c>
      <c r="L1375" s="52">
        <f ca="1">SUMIFS(OUT!$F$2:$F$11000,OUT!$H$2:$H$11000,H1375,OUT!$D$2:$D$11000,"Out",OUT!$E$2:$E$11000,"Bathroom")</f>
        <v>0</v>
      </c>
      <c r="M1375" s="52">
        <f ca="1">SUMIFS(OUT!$F$2:$F$11000,OUT!$H$2:$H$11000,H1375,OUT!$D$2:$D$11000,"Out",OUT!$E$2:$E$11000,"Alfa")</f>
        <v>0</v>
      </c>
      <c r="N1375" s="52" t="e">
        <f>SUMIFS(OUT!$F$2:$F$11000,OUT!$H$2:$H$101007,H1375,OUT!$D$2:$D$11000,"Out",OUT!$E$2:$E$11000,"Jajan")</f>
        <v>#VALUE!</v>
      </c>
      <c r="O1375" s="52">
        <f ca="1">SUMIFS(OUT!$F$2:$F$11000,OUT!$H$2:$H$11000,H1375,OUT!$D$2:$D$11000,"Out",OUT!$E$2:$E$11000,"Kitchen")</f>
        <v>0</v>
      </c>
      <c r="P1375" s="52">
        <f ca="1">SUMIFS(OUT!$F$2:$F$11000,OUT!$H$2:$H$11000,H1375,OUT!$D$2:$D$11000,"Out",OUT!$E$2:$E$11000,"Loandry")</f>
        <v>0</v>
      </c>
      <c r="Q1375" s="52">
        <f ca="1">SUMIFS(OUT!$F$2:$F$11000,OUT!$H$2:$H$11000,H1375,OUT!$D$2:$D$11000,"Out",OUT!$E$2:$E$11000,"Mio")</f>
        <v>0</v>
      </c>
      <c r="R1375" s="52">
        <f ca="1">SUMIFS(OUT!$F$2:$F$11000,OUT!$H$2:$H$11000,H1375,OUT!$D$2:$D$11000,"Out",OUT!$E$2:$E$11000,"Sedekah")</f>
        <v>0</v>
      </c>
      <c r="S1375" s="52">
        <f ca="1">SUMIFS(OUT!$F$2:$F$11000,OUT!$H$2:$H$11000,H1375,OUT!$D$2:$D$11000,"Out",OUT!$E$2:$E$11000,"Zela")</f>
        <v>0</v>
      </c>
      <c r="T1375" s="52">
        <f ca="1">SUMIFS(OUT!$F$2:$F$11000,OUT!$H$2:$H$11000,H1375,OUT!$D$2:$D$11000,"Out",OUT!$E$2:$E$11000,"Iqbal")</f>
        <v>0</v>
      </c>
    </row>
    <row r="1376" spans="1:20" x14ac:dyDescent="0.2">
      <c r="G1376" s="50"/>
      <c r="H1376" s="51" t="str">
        <f t="shared" si="0"/>
        <v/>
      </c>
      <c r="I1376" s="52" t="e">
        <f>SUMIFS(OUT!$F$2:$F$11000,OUT!$H$2:$H$11000,H1376,OUT!$D$2:$D$101007,"In")</f>
        <v>#VALUE!</v>
      </c>
      <c r="J1376" s="52">
        <f ca="1">SUMIFS(OUT!$F$2:$F$11000,OUT!$H$2:$H$11000,H1376,OUT!$D$2:$D$11000,"Out")</f>
        <v>0</v>
      </c>
      <c r="K1376" s="52">
        <f ca="1">SUMIFS(OUT!$F$2:$F$11000,OUT!$H$2:$H$11000,H1376,OUT!$D$2:$D$11000,"Out",OUT!$E$2:$E$11000,"Fix")</f>
        <v>0</v>
      </c>
      <c r="L1376" s="52">
        <f ca="1">SUMIFS(OUT!$F$2:$F$11000,OUT!$H$2:$H$11000,H1376,OUT!$D$2:$D$11000,"Out",OUT!$E$2:$E$11000,"Bathroom")</f>
        <v>0</v>
      </c>
      <c r="M1376" s="52">
        <f ca="1">SUMIFS(OUT!$F$2:$F$11000,OUT!$H$2:$H$11000,H1376,OUT!$D$2:$D$11000,"Out",OUT!$E$2:$E$11000,"Alfa")</f>
        <v>0</v>
      </c>
      <c r="N1376" s="52" t="e">
        <f>SUMIFS(OUT!$F$2:$F$11000,OUT!$H$2:$H$101007,H1376,OUT!$D$2:$D$11000,"Out",OUT!$E$2:$E$11000,"Jajan")</f>
        <v>#VALUE!</v>
      </c>
      <c r="O1376" s="52">
        <f ca="1">SUMIFS(OUT!$F$2:$F$11000,OUT!$H$2:$H$11000,H1376,OUT!$D$2:$D$11000,"Out",OUT!$E$2:$E$11000,"Kitchen")</f>
        <v>0</v>
      </c>
      <c r="P1376" s="52">
        <f ca="1">SUMIFS(OUT!$F$2:$F$11000,OUT!$H$2:$H$11000,H1376,OUT!$D$2:$D$11000,"Out",OUT!$E$2:$E$11000,"Loandry")</f>
        <v>0</v>
      </c>
      <c r="Q1376" s="52">
        <f ca="1">SUMIFS(OUT!$F$2:$F$11000,OUT!$H$2:$H$11000,H1376,OUT!$D$2:$D$11000,"Out",OUT!$E$2:$E$11000,"Mio")</f>
        <v>0</v>
      </c>
      <c r="R1376" s="52">
        <f ca="1">SUMIFS(OUT!$F$2:$F$11000,OUT!$H$2:$H$11000,H1376,OUT!$D$2:$D$11000,"Out",OUT!$E$2:$E$11000,"Sedekah")</f>
        <v>0</v>
      </c>
      <c r="S1376" s="52">
        <f ca="1">SUMIFS(OUT!$F$2:$F$11000,OUT!$H$2:$H$11000,H1376,OUT!$D$2:$D$11000,"Out",OUT!$E$2:$E$11000,"Zela")</f>
        <v>0</v>
      </c>
      <c r="T1376" s="52">
        <f ca="1">SUMIFS(OUT!$F$2:$F$11000,OUT!$H$2:$H$11000,H1376,OUT!$D$2:$D$11000,"Out",OUT!$E$2:$E$11000,"Iqbal")</f>
        <v>0</v>
      </c>
    </row>
    <row r="1377" spans="7:20" x14ac:dyDescent="0.2">
      <c r="G1377" s="50"/>
      <c r="H1377" s="51" t="str">
        <f t="shared" si="0"/>
        <v/>
      </c>
      <c r="I1377" s="52" t="e">
        <f>SUMIFS(OUT!$F$2:$F$11000,OUT!$H$2:$H$11000,H1377,OUT!$D$2:$D$101007,"In")</f>
        <v>#VALUE!</v>
      </c>
      <c r="J1377" s="52">
        <f ca="1">SUMIFS(OUT!$F$2:$F$11000,OUT!$H$2:$H$11000,H1377,OUT!$D$2:$D$11000,"Out")</f>
        <v>0</v>
      </c>
      <c r="K1377" s="52">
        <f ca="1">SUMIFS(OUT!$F$2:$F$11000,OUT!$H$2:$H$11000,H1377,OUT!$D$2:$D$11000,"Out",OUT!$E$2:$E$11000,"Fix")</f>
        <v>0</v>
      </c>
      <c r="L1377" s="52">
        <f ca="1">SUMIFS(OUT!$F$2:$F$11000,OUT!$H$2:$H$11000,H1377,OUT!$D$2:$D$11000,"Out",OUT!$E$2:$E$11000,"Bathroom")</f>
        <v>0</v>
      </c>
      <c r="M1377" s="52">
        <f ca="1">SUMIFS(OUT!$F$2:$F$11000,OUT!$H$2:$H$11000,H1377,OUT!$D$2:$D$11000,"Out",OUT!$E$2:$E$11000,"Alfa")</f>
        <v>0</v>
      </c>
      <c r="N1377" s="52" t="e">
        <f>SUMIFS(OUT!$F$2:$F$11000,OUT!$H$2:$H$101007,H1377,OUT!$D$2:$D$11000,"Out",OUT!$E$2:$E$11000,"Jajan")</f>
        <v>#VALUE!</v>
      </c>
      <c r="O1377" s="52">
        <f ca="1">SUMIFS(OUT!$F$2:$F$11000,OUT!$H$2:$H$11000,H1377,OUT!$D$2:$D$11000,"Out",OUT!$E$2:$E$11000,"Kitchen")</f>
        <v>0</v>
      </c>
      <c r="P1377" s="52">
        <f ca="1">SUMIFS(OUT!$F$2:$F$11000,OUT!$H$2:$H$11000,H1377,OUT!$D$2:$D$11000,"Out",OUT!$E$2:$E$11000,"Loandry")</f>
        <v>0</v>
      </c>
      <c r="Q1377" s="52">
        <f ca="1">SUMIFS(OUT!$F$2:$F$11000,OUT!$H$2:$H$11000,H1377,OUT!$D$2:$D$11000,"Out",OUT!$E$2:$E$11000,"Mio")</f>
        <v>0</v>
      </c>
      <c r="R1377" s="52">
        <f ca="1">SUMIFS(OUT!$F$2:$F$11000,OUT!$H$2:$H$11000,H1377,OUT!$D$2:$D$11000,"Out",OUT!$E$2:$E$11000,"Sedekah")</f>
        <v>0</v>
      </c>
      <c r="S1377" s="52">
        <f ca="1">SUMIFS(OUT!$F$2:$F$11000,OUT!$H$2:$H$11000,H1377,OUT!$D$2:$D$11000,"Out",OUT!$E$2:$E$11000,"Zela")</f>
        <v>0</v>
      </c>
      <c r="T1377" s="52">
        <f ca="1">SUMIFS(OUT!$F$2:$F$11000,OUT!$H$2:$H$11000,H1377,OUT!$D$2:$D$11000,"Out",OUT!$E$2:$E$11000,"Iqbal")</f>
        <v>0</v>
      </c>
    </row>
    <row r="1378" spans="7:20" x14ac:dyDescent="0.2">
      <c r="G1378" s="50"/>
      <c r="H1378" s="51" t="str">
        <f t="shared" si="0"/>
        <v/>
      </c>
      <c r="I1378" s="52" t="e">
        <f>SUMIFS(OUT!$F$2:$F$11000,OUT!$H$2:$H$11000,H1378,OUT!$D$2:$D$101007,"In")</f>
        <v>#VALUE!</v>
      </c>
      <c r="J1378" s="52">
        <f ca="1">SUMIFS(OUT!$F$2:$F$11000,OUT!$H$2:$H$11000,H1378,OUT!$D$2:$D$11000,"Out")</f>
        <v>0</v>
      </c>
      <c r="K1378" s="52">
        <f ca="1">SUMIFS(OUT!$F$2:$F$11000,OUT!$H$2:$H$11000,H1378,OUT!$D$2:$D$11000,"Out",OUT!$E$2:$E$11000,"Fix")</f>
        <v>0</v>
      </c>
      <c r="L1378" s="52">
        <f ca="1">SUMIFS(OUT!$F$2:$F$11000,OUT!$H$2:$H$11000,H1378,OUT!$D$2:$D$11000,"Out",OUT!$E$2:$E$11000,"Bathroom")</f>
        <v>0</v>
      </c>
      <c r="M1378" s="52">
        <f ca="1">SUMIFS(OUT!$F$2:$F$11000,OUT!$H$2:$H$11000,H1378,OUT!$D$2:$D$11000,"Out",OUT!$E$2:$E$11000,"Alfa")</f>
        <v>0</v>
      </c>
      <c r="N1378" s="52" t="e">
        <f>SUMIFS(OUT!$F$2:$F$11000,OUT!$H$2:$H$101007,H1378,OUT!$D$2:$D$11000,"Out",OUT!$E$2:$E$11000,"Jajan")</f>
        <v>#VALUE!</v>
      </c>
      <c r="O1378" s="52">
        <f ca="1">SUMIFS(OUT!$F$2:$F$11000,OUT!$H$2:$H$11000,H1378,OUT!$D$2:$D$11000,"Out",OUT!$E$2:$E$11000,"Kitchen")</f>
        <v>0</v>
      </c>
      <c r="P1378" s="52">
        <f ca="1">SUMIFS(OUT!$F$2:$F$11000,OUT!$H$2:$H$11000,H1378,OUT!$D$2:$D$11000,"Out",OUT!$E$2:$E$11000,"Loandry")</f>
        <v>0</v>
      </c>
      <c r="Q1378" s="52">
        <f ca="1">SUMIFS(OUT!$F$2:$F$11000,OUT!$H$2:$H$11000,H1378,OUT!$D$2:$D$11000,"Out",OUT!$E$2:$E$11000,"Mio")</f>
        <v>0</v>
      </c>
      <c r="R1378" s="52">
        <f ca="1">SUMIFS(OUT!$F$2:$F$11000,OUT!$H$2:$H$11000,H1378,OUT!$D$2:$D$11000,"Out",OUT!$E$2:$E$11000,"Sedekah")</f>
        <v>0</v>
      </c>
      <c r="S1378" s="52">
        <f ca="1">SUMIFS(OUT!$F$2:$F$11000,OUT!$H$2:$H$11000,H1378,OUT!$D$2:$D$11000,"Out",OUT!$E$2:$E$11000,"Zela")</f>
        <v>0</v>
      </c>
      <c r="T1378" s="52">
        <f ca="1">SUMIFS(OUT!$F$2:$F$11000,OUT!$H$2:$H$11000,H1378,OUT!$D$2:$D$11000,"Out",OUT!$E$2:$E$11000,"Iqbal")</f>
        <v>0</v>
      </c>
    </row>
    <row r="1379" spans="7:20" x14ac:dyDescent="0.2">
      <c r="G1379" s="50"/>
      <c r="H1379" s="51" t="str">
        <f t="shared" si="0"/>
        <v/>
      </c>
      <c r="I1379" s="52" t="e">
        <f>SUMIFS(OUT!$F$2:$F$11000,OUT!$H$2:$H$11000,H1379,OUT!$D$2:$D$101007,"In")</f>
        <v>#VALUE!</v>
      </c>
      <c r="J1379" s="52">
        <f ca="1">SUMIFS(OUT!$F$2:$F$11000,OUT!$H$2:$H$11000,H1379,OUT!$D$2:$D$11000,"Out")</f>
        <v>0</v>
      </c>
      <c r="K1379" s="52">
        <f ca="1">SUMIFS(OUT!$F$2:$F$11000,OUT!$H$2:$H$11000,H1379,OUT!$D$2:$D$11000,"Out",OUT!$E$2:$E$11000,"Fix")</f>
        <v>0</v>
      </c>
      <c r="L1379" s="52">
        <f ca="1">SUMIFS(OUT!$F$2:$F$11000,OUT!$H$2:$H$11000,H1379,OUT!$D$2:$D$11000,"Out",OUT!$E$2:$E$11000,"Bathroom")</f>
        <v>0</v>
      </c>
      <c r="M1379" s="52">
        <f ca="1">SUMIFS(OUT!$F$2:$F$11000,OUT!$H$2:$H$11000,H1379,OUT!$D$2:$D$11000,"Out",OUT!$E$2:$E$11000,"Alfa")</f>
        <v>0</v>
      </c>
      <c r="N1379" s="52" t="e">
        <f>SUMIFS(OUT!$F$2:$F$11000,OUT!$H$2:$H$101007,H1379,OUT!$D$2:$D$11000,"Out",OUT!$E$2:$E$11000,"Jajan")</f>
        <v>#VALUE!</v>
      </c>
      <c r="O1379" s="52">
        <f ca="1">SUMIFS(OUT!$F$2:$F$11000,OUT!$H$2:$H$11000,H1379,OUT!$D$2:$D$11000,"Out",OUT!$E$2:$E$11000,"Kitchen")</f>
        <v>0</v>
      </c>
      <c r="P1379" s="52">
        <f ca="1">SUMIFS(OUT!$F$2:$F$11000,OUT!$H$2:$H$11000,H1379,OUT!$D$2:$D$11000,"Out",OUT!$E$2:$E$11000,"Loandry")</f>
        <v>0</v>
      </c>
      <c r="Q1379" s="52">
        <f ca="1">SUMIFS(OUT!$F$2:$F$11000,OUT!$H$2:$H$11000,H1379,OUT!$D$2:$D$11000,"Out",OUT!$E$2:$E$11000,"Mio")</f>
        <v>0</v>
      </c>
      <c r="R1379" s="52">
        <f ca="1">SUMIFS(OUT!$F$2:$F$11000,OUT!$H$2:$H$11000,H1379,OUT!$D$2:$D$11000,"Out",OUT!$E$2:$E$11000,"Sedekah")</f>
        <v>0</v>
      </c>
      <c r="S1379" s="52">
        <f ca="1">SUMIFS(OUT!$F$2:$F$11000,OUT!$H$2:$H$11000,H1379,OUT!$D$2:$D$11000,"Out",OUT!$E$2:$E$11000,"Zela")</f>
        <v>0</v>
      </c>
      <c r="T1379" s="52">
        <f ca="1">SUMIFS(OUT!$F$2:$F$11000,OUT!$H$2:$H$11000,H1379,OUT!$D$2:$D$11000,"Out",OUT!$E$2:$E$11000,"Iqbal")</f>
        <v>0</v>
      </c>
    </row>
    <row r="1380" spans="7:20" x14ac:dyDescent="0.2">
      <c r="G1380" s="50"/>
      <c r="H1380" s="51" t="str">
        <f t="shared" si="0"/>
        <v/>
      </c>
      <c r="I1380" s="52" t="e">
        <f>SUMIFS(OUT!$F$2:$F$11000,OUT!$H$2:$H$11000,H1380,OUT!$D$2:$D$101007,"In")</f>
        <v>#VALUE!</v>
      </c>
      <c r="J1380" s="52">
        <f ca="1">SUMIFS(OUT!$F$2:$F$11000,OUT!$H$2:$H$11000,H1380,OUT!$D$2:$D$11000,"Out")</f>
        <v>0</v>
      </c>
      <c r="K1380" s="52">
        <f ca="1">SUMIFS(OUT!$F$2:$F$11000,OUT!$H$2:$H$11000,H1380,OUT!$D$2:$D$11000,"Out",OUT!$E$2:$E$11000,"Fix")</f>
        <v>0</v>
      </c>
      <c r="L1380" s="52">
        <f ca="1">SUMIFS(OUT!$F$2:$F$11000,OUT!$H$2:$H$11000,H1380,OUT!$D$2:$D$11000,"Out",OUT!$E$2:$E$11000,"Bathroom")</f>
        <v>0</v>
      </c>
      <c r="M1380" s="52">
        <f ca="1">SUMIFS(OUT!$F$2:$F$11000,OUT!$H$2:$H$11000,H1380,OUT!$D$2:$D$11000,"Out",OUT!$E$2:$E$11000,"Alfa")</f>
        <v>0</v>
      </c>
      <c r="N1380" s="52" t="e">
        <f>SUMIFS(OUT!$F$2:$F$11000,OUT!$H$2:$H$101007,H1380,OUT!$D$2:$D$11000,"Out",OUT!$E$2:$E$11000,"Jajan")</f>
        <v>#VALUE!</v>
      </c>
      <c r="O1380" s="52">
        <f ca="1">SUMIFS(OUT!$F$2:$F$11000,OUT!$H$2:$H$11000,H1380,OUT!$D$2:$D$11000,"Out",OUT!$E$2:$E$11000,"Kitchen")</f>
        <v>0</v>
      </c>
      <c r="P1380" s="52">
        <f ca="1">SUMIFS(OUT!$F$2:$F$11000,OUT!$H$2:$H$11000,H1380,OUT!$D$2:$D$11000,"Out",OUT!$E$2:$E$11000,"Loandry")</f>
        <v>0</v>
      </c>
      <c r="Q1380" s="52">
        <f ca="1">SUMIFS(OUT!$F$2:$F$11000,OUT!$H$2:$H$11000,H1380,OUT!$D$2:$D$11000,"Out",OUT!$E$2:$E$11000,"Mio")</f>
        <v>0</v>
      </c>
      <c r="R1380" s="52">
        <f ca="1">SUMIFS(OUT!$F$2:$F$11000,OUT!$H$2:$H$11000,H1380,OUT!$D$2:$D$11000,"Out",OUT!$E$2:$E$11000,"Sedekah")</f>
        <v>0</v>
      </c>
      <c r="S1380" s="52">
        <f ca="1">SUMIFS(OUT!$F$2:$F$11000,OUT!$H$2:$H$11000,H1380,OUT!$D$2:$D$11000,"Out",OUT!$E$2:$E$11000,"Zela")</f>
        <v>0</v>
      </c>
      <c r="T1380" s="52">
        <f ca="1">SUMIFS(OUT!$F$2:$F$11000,OUT!$H$2:$H$11000,H1380,OUT!$D$2:$D$11000,"Out",OUT!$E$2:$E$11000,"Iqbal")</f>
        <v>0</v>
      </c>
    </row>
    <row r="1381" spans="7:20" x14ac:dyDescent="0.2">
      <c r="G1381" s="50"/>
      <c r="H1381" s="51" t="str">
        <f t="shared" si="0"/>
        <v/>
      </c>
      <c r="I1381" s="52" t="e">
        <f>SUMIFS(OUT!$F$2:$F$11000,OUT!$H$2:$H$11000,H1381,OUT!$D$2:$D$101007,"In")</f>
        <v>#VALUE!</v>
      </c>
      <c r="J1381" s="52">
        <f ca="1">SUMIFS(OUT!$F$2:$F$11000,OUT!$H$2:$H$11000,H1381,OUT!$D$2:$D$11000,"Out")</f>
        <v>0</v>
      </c>
      <c r="K1381" s="52">
        <f ca="1">SUMIFS(OUT!$F$2:$F$11000,OUT!$H$2:$H$11000,H1381,OUT!$D$2:$D$11000,"Out",OUT!$E$2:$E$11000,"Fix")</f>
        <v>0</v>
      </c>
      <c r="L1381" s="52">
        <f ca="1">SUMIFS(OUT!$F$2:$F$11000,OUT!$H$2:$H$11000,H1381,OUT!$D$2:$D$11000,"Out",OUT!$E$2:$E$11000,"Bathroom")</f>
        <v>0</v>
      </c>
      <c r="M1381" s="52">
        <f ca="1">SUMIFS(OUT!$F$2:$F$11000,OUT!$H$2:$H$11000,H1381,OUT!$D$2:$D$11000,"Out",OUT!$E$2:$E$11000,"Alfa")</f>
        <v>0</v>
      </c>
      <c r="N1381" s="52" t="e">
        <f>SUMIFS(OUT!$F$2:$F$11000,OUT!$H$2:$H$101007,H1381,OUT!$D$2:$D$11000,"Out",OUT!$E$2:$E$11000,"Jajan")</f>
        <v>#VALUE!</v>
      </c>
      <c r="O1381" s="52">
        <f ca="1">SUMIFS(OUT!$F$2:$F$11000,OUT!$H$2:$H$11000,H1381,OUT!$D$2:$D$11000,"Out",OUT!$E$2:$E$11000,"Kitchen")</f>
        <v>0</v>
      </c>
      <c r="P1381" s="52">
        <f ca="1">SUMIFS(OUT!$F$2:$F$11000,OUT!$H$2:$H$11000,H1381,OUT!$D$2:$D$11000,"Out",OUT!$E$2:$E$11000,"Loandry")</f>
        <v>0</v>
      </c>
      <c r="Q1381" s="52">
        <f ca="1">SUMIFS(OUT!$F$2:$F$11000,OUT!$H$2:$H$11000,H1381,OUT!$D$2:$D$11000,"Out",OUT!$E$2:$E$11000,"Mio")</f>
        <v>0</v>
      </c>
      <c r="R1381" s="52">
        <f ca="1">SUMIFS(OUT!$F$2:$F$11000,OUT!$H$2:$H$11000,H1381,OUT!$D$2:$D$11000,"Out",OUT!$E$2:$E$11000,"Sedekah")</f>
        <v>0</v>
      </c>
      <c r="S1381" s="52">
        <f ca="1">SUMIFS(OUT!$F$2:$F$11000,OUT!$H$2:$H$11000,H1381,OUT!$D$2:$D$11000,"Out",OUT!$E$2:$E$11000,"Zela")</f>
        <v>0</v>
      </c>
      <c r="T1381" s="52">
        <f ca="1">SUMIFS(OUT!$F$2:$F$11000,OUT!$H$2:$H$11000,H1381,OUT!$D$2:$D$11000,"Out",OUT!$E$2:$E$11000,"Iqbal")</f>
        <v>0</v>
      </c>
    </row>
    <row r="1382" spans="7:20" x14ac:dyDescent="0.2">
      <c r="G1382" s="50"/>
      <c r="H1382" s="51" t="str">
        <f t="shared" si="0"/>
        <v/>
      </c>
      <c r="I1382" s="52" t="e">
        <f>SUMIFS(OUT!$F$2:$F$11000,OUT!$H$2:$H$11000,H1382,OUT!$D$2:$D$101007,"In")</f>
        <v>#VALUE!</v>
      </c>
      <c r="J1382" s="52">
        <f ca="1">SUMIFS(OUT!$F$2:$F$11000,OUT!$H$2:$H$11000,H1382,OUT!$D$2:$D$11000,"Out")</f>
        <v>0</v>
      </c>
      <c r="K1382" s="52">
        <f ca="1">SUMIFS(OUT!$F$2:$F$11000,OUT!$H$2:$H$11000,H1382,OUT!$D$2:$D$11000,"Out",OUT!$E$2:$E$11000,"Fix")</f>
        <v>0</v>
      </c>
      <c r="L1382" s="52">
        <f ca="1">SUMIFS(OUT!$F$2:$F$11000,OUT!$H$2:$H$11000,H1382,OUT!$D$2:$D$11000,"Out",OUT!$E$2:$E$11000,"Bathroom")</f>
        <v>0</v>
      </c>
      <c r="M1382" s="52">
        <f ca="1">SUMIFS(OUT!$F$2:$F$11000,OUT!$H$2:$H$11000,H1382,OUT!$D$2:$D$11000,"Out",OUT!$E$2:$E$11000,"Alfa")</f>
        <v>0</v>
      </c>
      <c r="N1382" s="52" t="e">
        <f>SUMIFS(OUT!$F$2:$F$11000,OUT!$H$2:$H$101007,H1382,OUT!$D$2:$D$11000,"Out",OUT!$E$2:$E$11000,"Jajan")</f>
        <v>#VALUE!</v>
      </c>
      <c r="O1382" s="52">
        <f ca="1">SUMIFS(OUT!$F$2:$F$11000,OUT!$H$2:$H$11000,H1382,OUT!$D$2:$D$11000,"Out",OUT!$E$2:$E$11000,"Kitchen")</f>
        <v>0</v>
      </c>
      <c r="P1382" s="52">
        <f ca="1">SUMIFS(OUT!$F$2:$F$11000,OUT!$H$2:$H$11000,H1382,OUT!$D$2:$D$11000,"Out",OUT!$E$2:$E$11000,"Loandry")</f>
        <v>0</v>
      </c>
      <c r="Q1382" s="52">
        <f ca="1">SUMIFS(OUT!$F$2:$F$11000,OUT!$H$2:$H$11000,H1382,OUT!$D$2:$D$11000,"Out",OUT!$E$2:$E$11000,"Mio")</f>
        <v>0</v>
      </c>
      <c r="R1382" s="52">
        <f ca="1">SUMIFS(OUT!$F$2:$F$11000,OUT!$H$2:$H$11000,H1382,OUT!$D$2:$D$11000,"Out",OUT!$E$2:$E$11000,"Sedekah")</f>
        <v>0</v>
      </c>
      <c r="S1382" s="52">
        <f ca="1">SUMIFS(OUT!$F$2:$F$11000,OUT!$H$2:$H$11000,H1382,OUT!$D$2:$D$11000,"Out",OUT!$E$2:$E$11000,"Zela")</f>
        <v>0</v>
      </c>
      <c r="T1382" s="52">
        <f ca="1">SUMIFS(OUT!$F$2:$F$11000,OUT!$H$2:$H$11000,H1382,OUT!$D$2:$D$11000,"Out",OUT!$E$2:$E$11000,"Iqbal")</f>
        <v>0</v>
      </c>
    </row>
    <row r="1383" spans="7:20" x14ac:dyDescent="0.2">
      <c r="G1383" s="50"/>
      <c r="H1383" s="51" t="str">
        <f t="shared" si="0"/>
        <v/>
      </c>
      <c r="I1383" s="52" t="e">
        <f>SUMIFS(OUT!$F$2:$F$11000,OUT!$H$2:$H$11000,H1383,OUT!$D$2:$D$101007,"In")</f>
        <v>#VALUE!</v>
      </c>
      <c r="J1383" s="52">
        <f ca="1">SUMIFS(OUT!$F$2:$F$11000,OUT!$H$2:$H$11000,H1383,OUT!$D$2:$D$11000,"Out")</f>
        <v>0</v>
      </c>
      <c r="K1383" s="52">
        <f ca="1">SUMIFS(OUT!$F$2:$F$11000,OUT!$H$2:$H$11000,H1383,OUT!$D$2:$D$11000,"Out",OUT!$E$2:$E$11000,"Fix")</f>
        <v>0</v>
      </c>
      <c r="L1383" s="52">
        <f ca="1">SUMIFS(OUT!$F$2:$F$11000,OUT!$H$2:$H$11000,H1383,OUT!$D$2:$D$11000,"Out",OUT!$E$2:$E$11000,"Bathroom")</f>
        <v>0</v>
      </c>
      <c r="M1383" s="52">
        <f ca="1">SUMIFS(OUT!$F$2:$F$11000,OUT!$H$2:$H$11000,H1383,OUT!$D$2:$D$11000,"Out",OUT!$E$2:$E$11000,"Alfa")</f>
        <v>0</v>
      </c>
      <c r="N1383" s="52" t="e">
        <f>SUMIFS(OUT!$F$2:$F$11000,OUT!$H$2:$H$101007,H1383,OUT!$D$2:$D$11000,"Out",OUT!$E$2:$E$11000,"Jajan")</f>
        <v>#VALUE!</v>
      </c>
      <c r="O1383" s="52">
        <f ca="1">SUMIFS(OUT!$F$2:$F$11000,OUT!$H$2:$H$11000,H1383,OUT!$D$2:$D$11000,"Out",OUT!$E$2:$E$11000,"Kitchen")</f>
        <v>0</v>
      </c>
      <c r="P1383" s="52">
        <f ca="1">SUMIFS(OUT!$F$2:$F$11000,OUT!$H$2:$H$11000,H1383,OUT!$D$2:$D$11000,"Out",OUT!$E$2:$E$11000,"Loandry")</f>
        <v>0</v>
      </c>
      <c r="Q1383" s="52">
        <f ca="1">SUMIFS(OUT!$F$2:$F$11000,OUT!$H$2:$H$11000,H1383,OUT!$D$2:$D$11000,"Out",OUT!$E$2:$E$11000,"Mio")</f>
        <v>0</v>
      </c>
      <c r="R1383" s="52">
        <f ca="1">SUMIFS(OUT!$F$2:$F$11000,OUT!$H$2:$H$11000,H1383,OUT!$D$2:$D$11000,"Out",OUT!$E$2:$E$11000,"Sedekah")</f>
        <v>0</v>
      </c>
      <c r="S1383" s="52">
        <f ca="1">SUMIFS(OUT!$F$2:$F$11000,OUT!$H$2:$H$11000,H1383,OUT!$D$2:$D$11000,"Out",OUT!$E$2:$E$11000,"Zela")</f>
        <v>0</v>
      </c>
      <c r="T1383" s="52">
        <f ca="1">SUMIFS(OUT!$F$2:$F$11000,OUT!$H$2:$H$11000,H1383,OUT!$D$2:$D$11000,"Out",OUT!$E$2:$E$11000,"Iqbal")</f>
        <v>0</v>
      </c>
    </row>
    <row r="1384" spans="7:20" x14ac:dyDescent="0.2">
      <c r="G1384" s="50"/>
      <c r="H1384" s="51" t="str">
        <f t="shared" si="0"/>
        <v/>
      </c>
      <c r="I1384" s="52" t="e">
        <f>SUMIFS(OUT!$F$2:$F$11000,OUT!$H$2:$H$11000,H1384,OUT!$D$2:$D$101007,"In")</f>
        <v>#VALUE!</v>
      </c>
      <c r="J1384" s="52">
        <f ca="1">SUMIFS(OUT!$F$2:$F$11000,OUT!$H$2:$H$11000,H1384,OUT!$D$2:$D$11000,"Out")</f>
        <v>0</v>
      </c>
      <c r="K1384" s="52">
        <f ca="1">SUMIFS(OUT!$F$2:$F$11000,OUT!$H$2:$H$11000,H1384,OUT!$D$2:$D$11000,"Out",OUT!$E$2:$E$11000,"Fix")</f>
        <v>0</v>
      </c>
      <c r="L1384" s="52">
        <f ca="1">SUMIFS(OUT!$F$2:$F$11000,OUT!$H$2:$H$11000,H1384,OUT!$D$2:$D$11000,"Out",OUT!$E$2:$E$11000,"Bathroom")</f>
        <v>0</v>
      </c>
      <c r="M1384" s="52">
        <f ca="1">SUMIFS(OUT!$F$2:$F$11000,OUT!$H$2:$H$11000,H1384,OUT!$D$2:$D$11000,"Out",OUT!$E$2:$E$11000,"Alfa")</f>
        <v>0</v>
      </c>
      <c r="N1384" s="52" t="e">
        <f>SUMIFS(OUT!$F$2:$F$11000,OUT!$H$2:$H$101007,H1384,OUT!$D$2:$D$11000,"Out",OUT!$E$2:$E$11000,"Jajan")</f>
        <v>#VALUE!</v>
      </c>
      <c r="O1384" s="52">
        <f ca="1">SUMIFS(OUT!$F$2:$F$11000,OUT!$H$2:$H$11000,H1384,OUT!$D$2:$D$11000,"Out",OUT!$E$2:$E$11000,"Kitchen")</f>
        <v>0</v>
      </c>
      <c r="P1384" s="52">
        <f ca="1">SUMIFS(OUT!$F$2:$F$11000,OUT!$H$2:$H$11000,H1384,OUT!$D$2:$D$11000,"Out",OUT!$E$2:$E$11000,"Loandry")</f>
        <v>0</v>
      </c>
      <c r="Q1384" s="52">
        <f ca="1">SUMIFS(OUT!$F$2:$F$11000,OUT!$H$2:$H$11000,H1384,OUT!$D$2:$D$11000,"Out",OUT!$E$2:$E$11000,"Mio")</f>
        <v>0</v>
      </c>
      <c r="R1384" s="52">
        <f ca="1">SUMIFS(OUT!$F$2:$F$11000,OUT!$H$2:$H$11000,H1384,OUT!$D$2:$D$11000,"Out",OUT!$E$2:$E$11000,"Sedekah")</f>
        <v>0</v>
      </c>
      <c r="S1384" s="52">
        <f ca="1">SUMIFS(OUT!$F$2:$F$11000,OUT!$H$2:$H$11000,H1384,OUT!$D$2:$D$11000,"Out",OUT!$E$2:$E$11000,"Zela")</f>
        <v>0</v>
      </c>
      <c r="T1384" s="52">
        <f ca="1">SUMIFS(OUT!$F$2:$F$11000,OUT!$H$2:$H$11000,H1384,OUT!$D$2:$D$11000,"Out",OUT!$E$2:$E$11000,"Iqbal")</f>
        <v>0</v>
      </c>
    </row>
    <row r="1385" spans="7:20" x14ac:dyDescent="0.2">
      <c r="G1385" s="50"/>
      <c r="H1385" s="51" t="str">
        <f t="shared" si="0"/>
        <v/>
      </c>
      <c r="I1385" s="52" t="e">
        <f>SUMIFS(OUT!$F$2:$F$11000,OUT!$H$2:$H$11000,H1385,OUT!$D$2:$D$101007,"In")</f>
        <v>#VALUE!</v>
      </c>
      <c r="J1385" s="52">
        <f ca="1">SUMIFS(OUT!$F$2:$F$11000,OUT!$H$2:$H$11000,H1385,OUT!$D$2:$D$11000,"Out")</f>
        <v>0</v>
      </c>
      <c r="K1385" s="52">
        <f ca="1">SUMIFS(OUT!$F$2:$F$11000,OUT!$H$2:$H$11000,H1385,OUT!$D$2:$D$11000,"Out",OUT!$E$2:$E$11000,"Fix")</f>
        <v>0</v>
      </c>
      <c r="L1385" s="52">
        <f ca="1">SUMIFS(OUT!$F$2:$F$11000,OUT!$H$2:$H$11000,H1385,OUT!$D$2:$D$11000,"Out",OUT!$E$2:$E$11000,"Bathroom")</f>
        <v>0</v>
      </c>
      <c r="M1385" s="52">
        <f ca="1">SUMIFS(OUT!$F$2:$F$11000,OUT!$H$2:$H$11000,H1385,OUT!$D$2:$D$11000,"Out",OUT!$E$2:$E$11000,"Alfa")</f>
        <v>0</v>
      </c>
      <c r="N1385" s="52" t="e">
        <f>SUMIFS(OUT!$F$2:$F$11000,OUT!$H$2:$H$101007,H1385,OUT!$D$2:$D$11000,"Out",OUT!$E$2:$E$11000,"Jajan")</f>
        <v>#VALUE!</v>
      </c>
      <c r="O1385" s="52">
        <f ca="1">SUMIFS(OUT!$F$2:$F$11000,OUT!$H$2:$H$11000,H1385,OUT!$D$2:$D$11000,"Out",OUT!$E$2:$E$11000,"Kitchen")</f>
        <v>0</v>
      </c>
      <c r="P1385" s="52">
        <f ca="1">SUMIFS(OUT!$F$2:$F$11000,OUT!$H$2:$H$11000,H1385,OUT!$D$2:$D$11000,"Out",OUT!$E$2:$E$11000,"Loandry")</f>
        <v>0</v>
      </c>
      <c r="Q1385" s="52">
        <f ca="1">SUMIFS(OUT!$F$2:$F$11000,OUT!$H$2:$H$11000,H1385,OUT!$D$2:$D$11000,"Out",OUT!$E$2:$E$11000,"Mio")</f>
        <v>0</v>
      </c>
      <c r="R1385" s="52">
        <f ca="1">SUMIFS(OUT!$F$2:$F$11000,OUT!$H$2:$H$11000,H1385,OUT!$D$2:$D$11000,"Out",OUT!$E$2:$E$11000,"Sedekah")</f>
        <v>0</v>
      </c>
      <c r="S1385" s="52">
        <f ca="1">SUMIFS(OUT!$F$2:$F$11000,OUT!$H$2:$H$11000,H1385,OUT!$D$2:$D$11000,"Out",OUT!$E$2:$E$11000,"Zela")</f>
        <v>0</v>
      </c>
      <c r="T1385" s="52">
        <f ca="1">SUMIFS(OUT!$F$2:$F$11000,OUT!$H$2:$H$11000,H1385,OUT!$D$2:$D$11000,"Out",OUT!$E$2:$E$11000,"Iqbal")</f>
        <v>0</v>
      </c>
    </row>
    <row r="1386" spans="7:20" x14ac:dyDescent="0.2">
      <c r="G1386" s="50"/>
      <c r="H1386" s="51" t="str">
        <f t="shared" si="0"/>
        <v/>
      </c>
      <c r="I1386" s="52" t="e">
        <f>SUMIFS(OUT!$F$2:$F$11000,OUT!$H$2:$H$11000,H1386,OUT!$D$2:$D$101007,"In")</f>
        <v>#VALUE!</v>
      </c>
      <c r="J1386" s="52">
        <f ca="1">SUMIFS(OUT!$F$2:$F$11000,OUT!$H$2:$H$11000,H1386,OUT!$D$2:$D$11000,"Out")</f>
        <v>0</v>
      </c>
      <c r="K1386" s="52">
        <f ca="1">SUMIFS(OUT!$F$2:$F$11000,OUT!$H$2:$H$11000,H1386,OUT!$D$2:$D$11000,"Out",OUT!$E$2:$E$11000,"Fix")</f>
        <v>0</v>
      </c>
      <c r="L1386" s="52">
        <f ca="1">SUMIFS(OUT!$F$2:$F$11000,OUT!$H$2:$H$11000,H1386,OUT!$D$2:$D$11000,"Out",OUT!$E$2:$E$11000,"Bathroom")</f>
        <v>0</v>
      </c>
      <c r="M1386" s="52">
        <f ca="1">SUMIFS(OUT!$F$2:$F$11000,OUT!$H$2:$H$11000,H1386,OUT!$D$2:$D$11000,"Out",OUT!$E$2:$E$11000,"Alfa")</f>
        <v>0</v>
      </c>
      <c r="N1386" s="52" t="e">
        <f>SUMIFS(OUT!$F$2:$F$11000,OUT!$H$2:$H$101007,H1386,OUT!$D$2:$D$11000,"Out",OUT!$E$2:$E$11000,"Jajan")</f>
        <v>#VALUE!</v>
      </c>
      <c r="O1386" s="52">
        <f ca="1">SUMIFS(OUT!$F$2:$F$11000,OUT!$H$2:$H$11000,H1386,OUT!$D$2:$D$11000,"Out",OUT!$E$2:$E$11000,"Kitchen")</f>
        <v>0</v>
      </c>
      <c r="P1386" s="52">
        <f ca="1">SUMIFS(OUT!$F$2:$F$11000,OUT!$H$2:$H$11000,H1386,OUT!$D$2:$D$11000,"Out",OUT!$E$2:$E$11000,"Loandry")</f>
        <v>0</v>
      </c>
      <c r="Q1386" s="52">
        <f ca="1">SUMIFS(OUT!$F$2:$F$11000,OUT!$H$2:$H$11000,H1386,OUT!$D$2:$D$11000,"Out",OUT!$E$2:$E$11000,"Mio")</f>
        <v>0</v>
      </c>
      <c r="R1386" s="52">
        <f ca="1">SUMIFS(OUT!$F$2:$F$11000,OUT!$H$2:$H$11000,H1386,OUT!$D$2:$D$11000,"Out",OUT!$E$2:$E$11000,"Sedekah")</f>
        <v>0</v>
      </c>
      <c r="S1386" s="52">
        <f ca="1">SUMIFS(OUT!$F$2:$F$11000,OUT!$H$2:$H$11000,H1386,OUT!$D$2:$D$11000,"Out",OUT!$E$2:$E$11000,"Zela")</f>
        <v>0</v>
      </c>
      <c r="T1386" s="52">
        <f ca="1">SUMIFS(OUT!$F$2:$F$11000,OUT!$H$2:$H$11000,H1386,OUT!$D$2:$D$11000,"Out",OUT!$E$2:$E$11000,"Iqbal")</f>
        <v>0</v>
      </c>
    </row>
    <row r="1387" spans="7:20" x14ac:dyDescent="0.2">
      <c r="G1387" s="50"/>
      <c r="H1387" s="51" t="str">
        <f t="shared" si="0"/>
        <v/>
      </c>
      <c r="I1387" s="52" t="e">
        <f>SUMIFS(OUT!$F$2:$F$11000,OUT!$H$2:$H$11000,H1387,OUT!$D$2:$D$101007,"In")</f>
        <v>#VALUE!</v>
      </c>
      <c r="J1387" s="52">
        <f ca="1">SUMIFS(OUT!$F$2:$F$11000,OUT!$H$2:$H$11000,H1387,OUT!$D$2:$D$11000,"Out")</f>
        <v>0</v>
      </c>
      <c r="K1387" s="52">
        <f ca="1">SUMIFS(OUT!$F$2:$F$11000,OUT!$H$2:$H$11000,H1387,OUT!$D$2:$D$11000,"Out",OUT!$E$2:$E$11000,"Fix")</f>
        <v>0</v>
      </c>
      <c r="L1387" s="52">
        <f ca="1">SUMIFS(OUT!$F$2:$F$11000,OUT!$H$2:$H$11000,H1387,OUT!$D$2:$D$11000,"Out",OUT!$E$2:$E$11000,"Bathroom")</f>
        <v>0</v>
      </c>
      <c r="M1387" s="52">
        <f ca="1">SUMIFS(OUT!$F$2:$F$11000,OUT!$H$2:$H$11000,H1387,OUT!$D$2:$D$11000,"Out",OUT!$E$2:$E$11000,"Alfa")</f>
        <v>0</v>
      </c>
      <c r="N1387" s="52" t="e">
        <f>SUMIFS(OUT!$F$2:$F$11000,OUT!$H$2:$H$101007,H1387,OUT!$D$2:$D$11000,"Out",OUT!$E$2:$E$11000,"Jajan")</f>
        <v>#VALUE!</v>
      </c>
      <c r="O1387" s="52">
        <f ca="1">SUMIFS(OUT!$F$2:$F$11000,OUT!$H$2:$H$11000,H1387,OUT!$D$2:$D$11000,"Out",OUT!$E$2:$E$11000,"Kitchen")</f>
        <v>0</v>
      </c>
      <c r="P1387" s="52">
        <f ca="1">SUMIFS(OUT!$F$2:$F$11000,OUT!$H$2:$H$11000,H1387,OUT!$D$2:$D$11000,"Out",OUT!$E$2:$E$11000,"Loandry")</f>
        <v>0</v>
      </c>
      <c r="Q1387" s="52">
        <f ca="1">SUMIFS(OUT!$F$2:$F$11000,OUT!$H$2:$H$11000,H1387,OUT!$D$2:$D$11000,"Out",OUT!$E$2:$E$11000,"Mio")</f>
        <v>0</v>
      </c>
      <c r="R1387" s="52">
        <f ca="1">SUMIFS(OUT!$F$2:$F$11000,OUT!$H$2:$H$11000,H1387,OUT!$D$2:$D$11000,"Out",OUT!$E$2:$E$11000,"Sedekah")</f>
        <v>0</v>
      </c>
      <c r="S1387" s="52">
        <f ca="1">SUMIFS(OUT!$F$2:$F$11000,OUT!$H$2:$H$11000,H1387,OUT!$D$2:$D$11000,"Out",OUT!$E$2:$E$11000,"Zela")</f>
        <v>0</v>
      </c>
      <c r="T1387" s="52">
        <f ca="1">SUMIFS(OUT!$F$2:$F$11000,OUT!$H$2:$H$11000,H1387,OUT!$D$2:$D$11000,"Out",OUT!$E$2:$E$11000,"Iqbal")</f>
        <v>0</v>
      </c>
    </row>
    <row r="1388" spans="7:20" x14ac:dyDescent="0.2">
      <c r="G1388" s="50"/>
      <c r="H1388" s="51" t="str">
        <f t="shared" si="0"/>
        <v/>
      </c>
      <c r="I1388" s="52" t="e">
        <f>SUMIFS(OUT!$F$2:$F$11000,OUT!$H$2:$H$11000,H1388,OUT!$D$2:$D$101007,"In")</f>
        <v>#VALUE!</v>
      </c>
      <c r="J1388" s="52">
        <f ca="1">SUMIFS(OUT!$F$2:$F$11000,OUT!$H$2:$H$11000,H1388,OUT!$D$2:$D$11000,"Out")</f>
        <v>0</v>
      </c>
      <c r="K1388" s="52">
        <f ca="1">SUMIFS(OUT!$F$2:$F$11000,OUT!$H$2:$H$11000,H1388,OUT!$D$2:$D$11000,"Out",OUT!$E$2:$E$11000,"Fix")</f>
        <v>0</v>
      </c>
      <c r="L1388" s="52">
        <f ca="1">SUMIFS(OUT!$F$2:$F$11000,OUT!$H$2:$H$11000,H1388,OUT!$D$2:$D$11000,"Out",OUT!$E$2:$E$11000,"Bathroom")</f>
        <v>0</v>
      </c>
      <c r="M1388" s="52">
        <f ca="1">SUMIFS(OUT!$F$2:$F$11000,OUT!$H$2:$H$11000,H1388,OUT!$D$2:$D$11000,"Out",OUT!$E$2:$E$11000,"Alfa")</f>
        <v>0</v>
      </c>
      <c r="N1388" s="52" t="e">
        <f>SUMIFS(OUT!$F$2:$F$11000,OUT!$H$2:$H$101007,H1388,OUT!$D$2:$D$11000,"Out",OUT!$E$2:$E$11000,"Jajan")</f>
        <v>#VALUE!</v>
      </c>
      <c r="O1388" s="52">
        <f ca="1">SUMIFS(OUT!$F$2:$F$11000,OUT!$H$2:$H$11000,H1388,OUT!$D$2:$D$11000,"Out",OUT!$E$2:$E$11000,"Kitchen")</f>
        <v>0</v>
      </c>
      <c r="P1388" s="52">
        <f ca="1">SUMIFS(OUT!$F$2:$F$11000,OUT!$H$2:$H$11000,H1388,OUT!$D$2:$D$11000,"Out",OUT!$E$2:$E$11000,"Loandry")</f>
        <v>0</v>
      </c>
      <c r="Q1388" s="52">
        <f ca="1">SUMIFS(OUT!$F$2:$F$11000,OUT!$H$2:$H$11000,H1388,OUT!$D$2:$D$11000,"Out",OUT!$E$2:$E$11000,"Mio")</f>
        <v>0</v>
      </c>
      <c r="R1388" s="52">
        <f ca="1">SUMIFS(OUT!$F$2:$F$11000,OUT!$H$2:$H$11000,H1388,OUT!$D$2:$D$11000,"Out",OUT!$E$2:$E$11000,"Sedekah")</f>
        <v>0</v>
      </c>
      <c r="S1388" s="52">
        <f ca="1">SUMIFS(OUT!$F$2:$F$11000,OUT!$H$2:$H$11000,H1388,OUT!$D$2:$D$11000,"Out",OUT!$E$2:$E$11000,"Zela")</f>
        <v>0</v>
      </c>
      <c r="T1388" s="52">
        <f ca="1">SUMIFS(OUT!$F$2:$F$11000,OUT!$H$2:$H$11000,H1388,OUT!$D$2:$D$11000,"Out",OUT!$E$2:$E$11000,"Iqbal")</f>
        <v>0</v>
      </c>
    </row>
    <row r="1389" spans="7:20" x14ac:dyDescent="0.2">
      <c r="G1389" s="50"/>
      <c r="H1389" s="51" t="str">
        <f t="shared" si="0"/>
        <v/>
      </c>
      <c r="I1389" s="52" t="e">
        <f>SUMIFS(OUT!$F$2:$F$11000,OUT!$H$2:$H$11000,H1389,OUT!$D$2:$D$101007,"In")</f>
        <v>#VALUE!</v>
      </c>
      <c r="J1389" s="52">
        <f ca="1">SUMIFS(OUT!$F$2:$F$11000,OUT!$H$2:$H$11000,H1389,OUT!$D$2:$D$11000,"Out")</f>
        <v>0</v>
      </c>
      <c r="K1389" s="52">
        <f ca="1">SUMIFS(OUT!$F$2:$F$11000,OUT!$H$2:$H$11000,H1389,OUT!$D$2:$D$11000,"Out",OUT!$E$2:$E$11000,"Fix")</f>
        <v>0</v>
      </c>
      <c r="L1389" s="52">
        <f ca="1">SUMIFS(OUT!$F$2:$F$11000,OUT!$H$2:$H$11000,H1389,OUT!$D$2:$D$11000,"Out",OUT!$E$2:$E$11000,"Bathroom")</f>
        <v>0</v>
      </c>
      <c r="M1389" s="52">
        <f ca="1">SUMIFS(OUT!$F$2:$F$11000,OUT!$H$2:$H$11000,H1389,OUT!$D$2:$D$11000,"Out",OUT!$E$2:$E$11000,"Alfa")</f>
        <v>0</v>
      </c>
      <c r="N1389" s="52" t="e">
        <f>SUMIFS(OUT!$F$2:$F$11000,OUT!$H$2:$H$101007,H1389,OUT!$D$2:$D$11000,"Out",OUT!$E$2:$E$11000,"Jajan")</f>
        <v>#VALUE!</v>
      </c>
      <c r="O1389" s="52">
        <f ca="1">SUMIFS(OUT!$F$2:$F$11000,OUT!$H$2:$H$11000,H1389,OUT!$D$2:$D$11000,"Out",OUT!$E$2:$E$11000,"Kitchen")</f>
        <v>0</v>
      </c>
      <c r="P1389" s="52">
        <f ca="1">SUMIFS(OUT!$F$2:$F$11000,OUT!$H$2:$H$11000,H1389,OUT!$D$2:$D$11000,"Out",OUT!$E$2:$E$11000,"Loandry")</f>
        <v>0</v>
      </c>
      <c r="Q1389" s="52">
        <f ca="1">SUMIFS(OUT!$F$2:$F$11000,OUT!$H$2:$H$11000,H1389,OUT!$D$2:$D$11000,"Out",OUT!$E$2:$E$11000,"Mio")</f>
        <v>0</v>
      </c>
      <c r="R1389" s="52">
        <f ca="1">SUMIFS(OUT!$F$2:$F$11000,OUT!$H$2:$H$11000,H1389,OUT!$D$2:$D$11000,"Out",OUT!$E$2:$E$11000,"Sedekah")</f>
        <v>0</v>
      </c>
      <c r="S1389" s="52">
        <f ca="1">SUMIFS(OUT!$F$2:$F$11000,OUT!$H$2:$H$11000,H1389,OUT!$D$2:$D$11000,"Out",OUT!$E$2:$E$11000,"Zela")</f>
        <v>0</v>
      </c>
      <c r="T1389" s="52">
        <f ca="1">SUMIFS(OUT!$F$2:$F$11000,OUT!$H$2:$H$11000,H1389,OUT!$D$2:$D$11000,"Out",OUT!$E$2:$E$11000,"Iqbal")</f>
        <v>0</v>
      </c>
    </row>
    <row r="1390" spans="7:20" x14ac:dyDescent="0.2">
      <c r="G1390" s="50"/>
      <c r="H1390" s="51" t="str">
        <f t="shared" si="0"/>
        <v/>
      </c>
      <c r="I1390" s="52" t="e">
        <f>SUMIFS(OUT!$F$2:$F$11000,OUT!$H$2:$H$11000,H1390,OUT!$D$2:$D$101007,"In")</f>
        <v>#VALUE!</v>
      </c>
      <c r="J1390" s="52">
        <f ca="1">SUMIFS(OUT!$F$2:$F$11000,OUT!$H$2:$H$11000,H1390,OUT!$D$2:$D$11000,"Out")</f>
        <v>0</v>
      </c>
      <c r="K1390" s="52">
        <f ca="1">SUMIFS(OUT!$F$2:$F$11000,OUT!$H$2:$H$11000,H1390,OUT!$D$2:$D$11000,"Out",OUT!$E$2:$E$11000,"Fix")</f>
        <v>0</v>
      </c>
      <c r="L1390" s="52">
        <f ca="1">SUMIFS(OUT!$F$2:$F$11000,OUT!$H$2:$H$11000,H1390,OUT!$D$2:$D$11000,"Out",OUT!$E$2:$E$11000,"Bathroom")</f>
        <v>0</v>
      </c>
      <c r="M1390" s="52">
        <f ca="1">SUMIFS(OUT!$F$2:$F$11000,OUT!$H$2:$H$11000,H1390,OUT!$D$2:$D$11000,"Out",OUT!$E$2:$E$11000,"Alfa")</f>
        <v>0</v>
      </c>
      <c r="N1390" s="52" t="e">
        <f>SUMIFS(OUT!$F$2:$F$11000,OUT!$H$2:$H$101007,H1390,OUT!$D$2:$D$11000,"Out",OUT!$E$2:$E$11000,"Jajan")</f>
        <v>#VALUE!</v>
      </c>
      <c r="O1390" s="52">
        <f ca="1">SUMIFS(OUT!$F$2:$F$11000,OUT!$H$2:$H$11000,H1390,OUT!$D$2:$D$11000,"Out",OUT!$E$2:$E$11000,"Kitchen")</f>
        <v>0</v>
      </c>
      <c r="P1390" s="52">
        <f ca="1">SUMIFS(OUT!$F$2:$F$11000,OUT!$H$2:$H$11000,H1390,OUT!$D$2:$D$11000,"Out",OUT!$E$2:$E$11000,"Loandry")</f>
        <v>0</v>
      </c>
      <c r="Q1390" s="52">
        <f ca="1">SUMIFS(OUT!$F$2:$F$11000,OUT!$H$2:$H$11000,H1390,OUT!$D$2:$D$11000,"Out",OUT!$E$2:$E$11000,"Mio")</f>
        <v>0</v>
      </c>
      <c r="R1390" s="52">
        <f ca="1">SUMIFS(OUT!$F$2:$F$11000,OUT!$H$2:$H$11000,H1390,OUT!$D$2:$D$11000,"Out",OUT!$E$2:$E$11000,"Sedekah")</f>
        <v>0</v>
      </c>
      <c r="S1390" s="52">
        <f ca="1">SUMIFS(OUT!$F$2:$F$11000,OUT!$H$2:$H$11000,H1390,OUT!$D$2:$D$11000,"Out",OUT!$E$2:$E$11000,"Zela")</f>
        <v>0</v>
      </c>
      <c r="T1390" s="52">
        <f ca="1">SUMIFS(OUT!$F$2:$F$11000,OUT!$H$2:$H$11000,H1390,OUT!$D$2:$D$11000,"Out",OUT!$E$2:$E$11000,"Iqbal")</f>
        <v>0</v>
      </c>
    </row>
    <row r="1391" spans="7:20" x14ac:dyDescent="0.2">
      <c r="G1391" s="50"/>
      <c r="H1391" s="51" t="str">
        <f t="shared" si="0"/>
        <v/>
      </c>
      <c r="I1391" s="52" t="e">
        <f>SUMIFS(OUT!$F$2:$F$11000,OUT!$H$2:$H$11000,H1391,OUT!$D$2:$D$101007,"In")</f>
        <v>#VALUE!</v>
      </c>
      <c r="J1391" s="52">
        <f ca="1">SUMIFS(OUT!$F$2:$F$11000,OUT!$H$2:$H$11000,H1391,OUT!$D$2:$D$11000,"Out")</f>
        <v>0</v>
      </c>
      <c r="K1391" s="52">
        <f ca="1">SUMIFS(OUT!$F$2:$F$11000,OUT!$H$2:$H$11000,H1391,OUT!$D$2:$D$11000,"Out",OUT!$E$2:$E$11000,"Fix")</f>
        <v>0</v>
      </c>
      <c r="L1391" s="52">
        <f ca="1">SUMIFS(OUT!$F$2:$F$11000,OUT!$H$2:$H$11000,H1391,OUT!$D$2:$D$11000,"Out",OUT!$E$2:$E$11000,"Bathroom")</f>
        <v>0</v>
      </c>
      <c r="M1391" s="52">
        <f ca="1">SUMIFS(OUT!$F$2:$F$11000,OUT!$H$2:$H$11000,H1391,OUT!$D$2:$D$11000,"Out",OUT!$E$2:$E$11000,"Alfa")</f>
        <v>0</v>
      </c>
      <c r="N1391" s="52" t="e">
        <f>SUMIFS(OUT!$F$2:$F$11000,OUT!$H$2:$H$101007,H1391,OUT!$D$2:$D$11000,"Out",OUT!$E$2:$E$11000,"Jajan")</f>
        <v>#VALUE!</v>
      </c>
      <c r="O1391" s="52">
        <f ca="1">SUMIFS(OUT!$F$2:$F$11000,OUT!$H$2:$H$11000,H1391,OUT!$D$2:$D$11000,"Out",OUT!$E$2:$E$11000,"Kitchen")</f>
        <v>0</v>
      </c>
      <c r="P1391" s="52">
        <f ca="1">SUMIFS(OUT!$F$2:$F$11000,OUT!$H$2:$H$11000,H1391,OUT!$D$2:$D$11000,"Out",OUT!$E$2:$E$11000,"Loandry")</f>
        <v>0</v>
      </c>
      <c r="Q1391" s="52">
        <f ca="1">SUMIFS(OUT!$F$2:$F$11000,OUT!$H$2:$H$11000,H1391,OUT!$D$2:$D$11000,"Out",OUT!$E$2:$E$11000,"Mio")</f>
        <v>0</v>
      </c>
      <c r="R1391" s="52">
        <f ca="1">SUMIFS(OUT!$F$2:$F$11000,OUT!$H$2:$H$11000,H1391,OUT!$D$2:$D$11000,"Out",OUT!$E$2:$E$11000,"Sedekah")</f>
        <v>0</v>
      </c>
      <c r="S1391" s="52">
        <f ca="1">SUMIFS(OUT!$F$2:$F$11000,OUT!$H$2:$H$11000,H1391,OUT!$D$2:$D$11000,"Out",OUT!$E$2:$E$11000,"Zela")</f>
        <v>0</v>
      </c>
      <c r="T1391" s="52">
        <f ca="1">SUMIFS(OUT!$F$2:$F$11000,OUT!$H$2:$H$11000,H1391,OUT!$D$2:$D$11000,"Out",OUT!$E$2:$E$11000,"Iqbal")</f>
        <v>0</v>
      </c>
    </row>
    <row r="1392" spans="7:20" x14ac:dyDescent="0.2">
      <c r="G1392" s="50"/>
      <c r="H1392" s="51" t="str">
        <f t="shared" si="0"/>
        <v/>
      </c>
      <c r="I1392" s="52" t="e">
        <f>SUMIFS(OUT!$F$2:$F$11000,OUT!$H$2:$H$11000,H1392,OUT!$D$2:$D$101007,"In")</f>
        <v>#VALUE!</v>
      </c>
      <c r="J1392" s="52">
        <f ca="1">SUMIFS(OUT!$F$2:$F$11000,OUT!$H$2:$H$11000,H1392,OUT!$D$2:$D$11000,"Out")</f>
        <v>0</v>
      </c>
      <c r="K1392" s="52">
        <f ca="1">SUMIFS(OUT!$F$2:$F$11000,OUT!$H$2:$H$11000,H1392,OUT!$D$2:$D$11000,"Out",OUT!$E$2:$E$11000,"Fix")</f>
        <v>0</v>
      </c>
      <c r="L1392" s="52">
        <f ca="1">SUMIFS(OUT!$F$2:$F$11000,OUT!$H$2:$H$11000,H1392,OUT!$D$2:$D$11000,"Out",OUT!$E$2:$E$11000,"Bathroom")</f>
        <v>0</v>
      </c>
      <c r="M1392" s="52">
        <f ca="1">SUMIFS(OUT!$F$2:$F$11000,OUT!$H$2:$H$11000,H1392,OUT!$D$2:$D$11000,"Out",OUT!$E$2:$E$11000,"Alfa")</f>
        <v>0</v>
      </c>
      <c r="N1392" s="52" t="e">
        <f>SUMIFS(OUT!$F$2:$F$11000,OUT!$H$2:$H$101007,H1392,OUT!$D$2:$D$11000,"Out",OUT!$E$2:$E$11000,"Jajan")</f>
        <v>#VALUE!</v>
      </c>
      <c r="O1392" s="52">
        <f ca="1">SUMIFS(OUT!$F$2:$F$11000,OUT!$H$2:$H$11000,H1392,OUT!$D$2:$D$11000,"Out",OUT!$E$2:$E$11000,"Kitchen")</f>
        <v>0</v>
      </c>
      <c r="P1392" s="52">
        <f ca="1">SUMIFS(OUT!$F$2:$F$11000,OUT!$H$2:$H$11000,H1392,OUT!$D$2:$D$11000,"Out",OUT!$E$2:$E$11000,"Loandry")</f>
        <v>0</v>
      </c>
      <c r="Q1392" s="52">
        <f ca="1">SUMIFS(OUT!$F$2:$F$11000,OUT!$H$2:$H$11000,H1392,OUT!$D$2:$D$11000,"Out",OUT!$E$2:$E$11000,"Mio")</f>
        <v>0</v>
      </c>
      <c r="R1392" s="52">
        <f ca="1">SUMIFS(OUT!$F$2:$F$11000,OUT!$H$2:$H$11000,H1392,OUT!$D$2:$D$11000,"Out",OUT!$E$2:$E$11000,"Sedekah")</f>
        <v>0</v>
      </c>
      <c r="S1392" s="52">
        <f ca="1">SUMIFS(OUT!$F$2:$F$11000,OUT!$H$2:$H$11000,H1392,OUT!$D$2:$D$11000,"Out",OUT!$E$2:$E$11000,"Zela")</f>
        <v>0</v>
      </c>
      <c r="T1392" s="52">
        <f ca="1">SUMIFS(OUT!$F$2:$F$11000,OUT!$H$2:$H$11000,H1392,OUT!$D$2:$D$11000,"Out",OUT!$E$2:$E$11000,"Iqbal")</f>
        <v>0</v>
      </c>
    </row>
    <row r="1393" spans="7:20" x14ac:dyDescent="0.2">
      <c r="G1393" s="50"/>
      <c r="H1393" s="51" t="str">
        <f t="shared" si="0"/>
        <v/>
      </c>
      <c r="I1393" s="52" t="e">
        <f>SUMIFS(OUT!$F$2:$F$11000,OUT!$H$2:$H$11000,H1393,OUT!$D$2:$D$101007,"In")</f>
        <v>#VALUE!</v>
      </c>
      <c r="J1393" s="52">
        <f ca="1">SUMIFS(OUT!$F$2:$F$11000,OUT!$H$2:$H$11000,H1393,OUT!$D$2:$D$11000,"Out")</f>
        <v>0</v>
      </c>
      <c r="K1393" s="52">
        <f ca="1">SUMIFS(OUT!$F$2:$F$11000,OUT!$H$2:$H$11000,H1393,OUT!$D$2:$D$11000,"Out",OUT!$E$2:$E$11000,"Fix")</f>
        <v>0</v>
      </c>
      <c r="L1393" s="52">
        <f ca="1">SUMIFS(OUT!$F$2:$F$11000,OUT!$H$2:$H$11000,H1393,OUT!$D$2:$D$11000,"Out",OUT!$E$2:$E$11000,"Bathroom")</f>
        <v>0</v>
      </c>
      <c r="M1393" s="52">
        <f ca="1">SUMIFS(OUT!$F$2:$F$11000,OUT!$H$2:$H$11000,H1393,OUT!$D$2:$D$11000,"Out",OUT!$E$2:$E$11000,"Alfa")</f>
        <v>0</v>
      </c>
      <c r="N1393" s="52" t="e">
        <f>SUMIFS(OUT!$F$2:$F$11000,OUT!$H$2:$H$101007,H1393,OUT!$D$2:$D$11000,"Out",OUT!$E$2:$E$11000,"Jajan")</f>
        <v>#VALUE!</v>
      </c>
      <c r="O1393" s="52">
        <f ca="1">SUMIFS(OUT!$F$2:$F$11000,OUT!$H$2:$H$11000,H1393,OUT!$D$2:$D$11000,"Out",OUT!$E$2:$E$11000,"Kitchen")</f>
        <v>0</v>
      </c>
      <c r="P1393" s="52">
        <f ca="1">SUMIFS(OUT!$F$2:$F$11000,OUT!$H$2:$H$11000,H1393,OUT!$D$2:$D$11000,"Out",OUT!$E$2:$E$11000,"Loandry")</f>
        <v>0</v>
      </c>
      <c r="Q1393" s="52">
        <f ca="1">SUMIFS(OUT!$F$2:$F$11000,OUT!$H$2:$H$11000,H1393,OUT!$D$2:$D$11000,"Out",OUT!$E$2:$E$11000,"Mio")</f>
        <v>0</v>
      </c>
      <c r="R1393" s="52">
        <f ca="1">SUMIFS(OUT!$F$2:$F$11000,OUT!$H$2:$H$11000,H1393,OUT!$D$2:$D$11000,"Out",OUT!$E$2:$E$11000,"Sedekah")</f>
        <v>0</v>
      </c>
      <c r="S1393" s="52">
        <f ca="1">SUMIFS(OUT!$F$2:$F$11000,OUT!$H$2:$H$11000,H1393,OUT!$D$2:$D$11000,"Out",OUT!$E$2:$E$11000,"Zela")</f>
        <v>0</v>
      </c>
      <c r="T1393" s="52">
        <f ca="1">SUMIFS(OUT!$F$2:$F$11000,OUT!$H$2:$H$11000,H1393,OUT!$D$2:$D$11000,"Out",OUT!$E$2:$E$11000,"Iqbal")</f>
        <v>0</v>
      </c>
    </row>
    <row r="1394" spans="7:20" x14ac:dyDescent="0.2">
      <c r="G1394" s="50"/>
      <c r="H1394" s="51" t="str">
        <f t="shared" si="0"/>
        <v/>
      </c>
      <c r="I1394" s="52" t="e">
        <f>SUMIFS(OUT!$F$2:$F$11000,OUT!$H$2:$H$11000,H1394,OUT!$D$2:$D$101007,"In")</f>
        <v>#VALUE!</v>
      </c>
      <c r="J1394" s="52">
        <f ca="1">SUMIFS(OUT!$F$2:$F$11000,OUT!$H$2:$H$11000,H1394,OUT!$D$2:$D$11000,"Out")</f>
        <v>0</v>
      </c>
      <c r="K1394" s="52">
        <f ca="1">SUMIFS(OUT!$F$2:$F$11000,OUT!$H$2:$H$11000,H1394,OUT!$D$2:$D$11000,"Out",OUT!$E$2:$E$11000,"Fix")</f>
        <v>0</v>
      </c>
      <c r="L1394" s="52">
        <f ca="1">SUMIFS(OUT!$F$2:$F$11000,OUT!$H$2:$H$11000,H1394,OUT!$D$2:$D$11000,"Out",OUT!$E$2:$E$11000,"Bathroom")</f>
        <v>0</v>
      </c>
      <c r="M1394" s="52">
        <f ca="1">SUMIFS(OUT!$F$2:$F$11000,OUT!$H$2:$H$11000,H1394,OUT!$D$2:$D$11000,"Out",OUT!$E$2:$E$11000,"Alfa")</f>
        <v>0</v>
      </c>
      <c r="N1394" s="52" t="e">
        <f>SUMIFS(OUT!$F$2:$F$11000,OUT!$H$2:$H$101007,H1394,OUT!$D$2:$D$11000,"Out",OUT!$E$2:$E$11000,"Jajan")</f>
        <v>#VALUE!</v>
      </c>
      <c r="O1394" s="52">
        <f ca="1">SUMIFS(OUT!$F$2:$F$11000,OUT!$H$2:$H$11000,H1394,OUT!$D$2:$D$11000,"Out",OUT!$E$2:$E$11000,"Kitchen")</f>
        <v>0</v>
      </c>
      <c r="P1394" s="52">
        <f ca="1">SUMIFS(OUT!$F$2:$F$11000,OUT!$H$2:$H$11000,H1394,OUT!$D$2:$D$11000,"Out",OUT!$E$2:$E$11000,"Loandry")</f>
        <v>0</v>
      </c>
      <c r="Q1394" s="52">
        <f ca="1">SUMIFS(OUT!$F$2:$F$11000,OUT!$H$2:$H$11000,H1394,OUT!$D$2:$D$11000,"Out",OUT!$E$2:$E$11000,"Mio")</f>
        <v>0</v>
      </c>
      <c r="R1394" s="52">
        <f ca="1">SUMIFS(OUT!$F$2:$F$11000,OUT!$H$2:$H$11000,H1394,OUT!$D$2:$D$11000,"Out",OUT!$E$2:$E$11000,"Sedekah")</f>
        <v>0</v>
      </c>
      <c r="S1394" s="52">
        <f ca="1">SUMIFS(OUT!$F$2:$F$11000,OUT!$H$2:$H$11000,H1394,OUT!$D$2:$D$11000,"Out",OUT!$E$2:$E$11000,"Zela")</f>
        <v>0</v>
      </c>
      <c r="T1394" s="52">
        <f ca="1">SUMIFS(OUT!$F$2:$F$11000,OUT!$H$2:$H$11000,H1394,OUT!$D$2:$D$11000,"Out",OUT!$E$2:$E$11000,"Iqbal")</f>
        <v>0</v>
      </c>
    </row>
    <row r="1395" spans="7:20" x14ac:dyDescent="0.2">
      <c r="G1395" s="50"/>
      <c r="H1395" s="51" t="str">
        <f t="shared" si="0"/>
        <v/>
      </c>
      <c r="I1395" s="52" t="e">
        <f>SUMIFS(OUT!$F$2:$F$11000,OUT!$H$2:$H$11000,H1395,OUT!$D$2:$D$101007,"In")</f>
        <v>#VALUE!</v>
      </c>
      <c r="J1395" s="52">
        <f ca="1">SUMIFS(OUT!$F$2:$F$11000,OUT!$H$2:$H$11000,H1395,OUT!$D$2:$D$11000,"Out")</f>
        <v>0</v>
      </c>
      <c r="K1395" s="52">
        <f ca="1">SUMIFS(OUT!$F$2:$F$11000,OUT!$H$2:$H$11000,H1395,OUT!$D$2:$D$11000,"Out",OUT!$E$2:$E$11000,"Fix")</f>
        <v>0</v>
      </c>
      <c r="L1395" s="52">
        <f ca="1">SUMIFS(OUT!$F$2:$F$11000,OUT!$H$2:$H$11000,H1395,OUT!$D$2:$D$11000,"Out",OUT!$E$2:$E$11000,"Bathroom")</f>
        <v>0</v>
      </c>
      <c r="M1395" s="52">
        <f ca="1">SUMIFS(OUT!$F$2:$F$11000,OUT!$H$2:$H$11000,H1395,OUT!$D$2:$D$11000,"Out",OUT!$E$2:$E$11000,"Alfa")</f>
        <v>0</v>
      </c>
      <c r="N1395" s="52" t="e">
        <f>SUMIFS(OUT!$F$2:$F$11000,OUT!$H$2:$H$101007,H1395,OUT!$D$2:$D$11000,"Out",OUT!$E$2:$E$11000,"Jajan")</f>
        <v>#VALUE!</v>
      </c>
      <c r="O1395" s="52">
        <f ca="1">SUMIFS(OUT!$F$2:$F$11000,OUT!$H$2:$H$11000,H1395,OUT!$D$2:$D$11000,"Out",OUT!$E$2:$E$11000,"Kitchen")</f>
        <v>0</v>
      </c>
      <c r="P1395" s="52">
        <f ca="1">SUMIFS(OUT!$F$2:$F$11000,OUT!$H$2:$H$11000,H1395,OUT!$D$2:$D$11000,"Out",OUT!$E$2:$E$11000,"Loandry")</f>
        <v>0</v>
      </c>
      <c r="Q1395" s="52">
        <f ca="1">SUMIFS(OUT!$F$2:$F$11000,OUT!$H$2:$H$11000,H1395,OUT!$D$2:$D$11000,"Out",OUT!$E$2:$E$11000,"Mio")</f>
        <v>0</v>
      </c>
      <c r="R1395" s="52">
        <f ca="1">SUMIFS(OUT!$F$2:$F$11000,OUT!$H$2:$H$11000,H1395,OUT!$D$2:$D$11000,"Out",OUT!$E$2:$E$11000,"Sedekah")</f>
        <v>0</v>
      </c>
      <c r="S1395" s="52">
        <f ca="1">SUMIFS(OUT!$F$2:$F$11000,OUT!$H$2:$H$11000,H1395,OUT!$D$2:$D$11000,"Out",OUT!$E$2:$E$11000,"Zela")</f>
        <v>0</v>
      </c>
      <c r="T1395" s="52">
        <f ca="1">SUMIFS(OUT!$F$2:$F$11000,OUT!$H$2:$H$11000,H1395,OUT!$D$2:$D$11000,"Out",OUT!$E$2:$E$11000,"Iqbal")</f>
        <v>0</v>
      </c>
    </row>
    <row r="1396" spans="7:20" x14ac:dyDescent="0.2">
      <c r="G1396" s="50"/>
      <c r="H1396" s="51" t="str">
        <f t="shared" si="0"/>
        <v/>
      </c>
      <c r="I1396" s="52" t="e">
        <f>SUMIFS(OUT!$F$2:$F$11000,OUT!$H$2:$H$11000,H1396,OUT!$D$2:$D$101007,"In")</f>
        <v>#VALUE!</v>
      </c>
      <c r="J1396" s="52">
        <f ca="1">SUMIFS(OUT!$F$2:$F$11000,OUT!$H$2:$H$11000,H1396,OUT!$D$2:$D$11000,"Out")</f>
        <v>0</v>
      </c>
      <c r="K1396" s="52">
        <f ca="1">SUMIFS(OUT!$F$2:$F$11000,OUT!$H$2:$H$11000,H1396,OUT!$D$2:$D$11000,"Out",OUT!$E$2:$E$11000,"Fix")</f>
        <v>0</v>
      </c>
      <c r="L1396" s="52">
        <f ca="1">SUMIFS(OUT!$F$2:$F$11000,OUT!$H$2:$H$11000,H1396,OUT!$D$2:$D$11000,"Out",OUT!$E$2:$E$11000,"Bathroom")</f>
        <v>0</v>
      </c>
      <c r="M1396" s="52">
        <f ca="1">SUMIFS(OUT!$F$2:$F$11000,OUT!$H$2:$H$11000,H1396,OUT!$D$2:$D$11000,"Out",OUT!$E$2:$E$11000,"Alfa")</f>
        <v>0</v>
      </c>
      <c r="N1396" s="52" t="e">
        <f>SUMIFS(OUT!$F$2:$F$11000,OUT!$H$2:$H$101007,H1396,OUT!$D$2:$D$11000,"Out",OUT!$E$2:$E$11000,"Jajan")</f>
        <v>#VALUE!</v>
      </c>
      <c r="O1396" s="52">
        <f ca="1">SUMIFS(OUT!$F$2:$F$11000,OUT!$H$2:$H$11000,H1396,OUT!$D$2:$D$11000,"Out",OUT!$E$2:$E$11000,"Kitchen")</f>
        <v>0</v>
      </c>
      <c r="P1396" s="52">
        <f ca="1">SUMIFS(OUT!$F$2:$F$11000,OUT!$H$2:$H$11000,H1396,OUT!$D$2:$D$11000,"Out",OUT!$E$2:$E$11000,"Loandry")</f>
        <v>0</v>
      </c>
      <c r="Q1396" s="52">
        <f ca="1">SUMIFS(OUT!$F$2:$F$11000,OUT!$H$2:$H$11000,H1396,OUT!$D$2:$D$11000,"Out",OUT!$E$2:$E$11000,"Mio")</f>
        <v>0</v>
      </c>
      <c r="R1396" s="52">
        <f ca="1">SUMIFS(OUT!$F$2:$F$11000,OUT!$H$2:$H$11000,H1396,OUT!$D$2:$D$11000,"Out",OUT!$E$2:$E$11000,"Sedekah")</f>
        <v>0</v>
      </c>
      <c r="S1396" s="52">
        <f ca="1">SUMIFS(OUT!$F$2:$F$11000,OUT!$H$2:$H$11000,H1396,OUT!$D$2:$D$11000,"Out",OUT!$E$2:$E$11000,"Zela")</f>
        <v>0</v>
      </c>
      <c r="T1396" s="52">
        <f ca="1">SUMIFS(OUT!$F$2:$F$11000,OUT!$H$2:$H$11000,H1396,OUT!$D$2:$D$11000,"Out",OUT!$E$2:$E$11000,"Iqbal")</f>
        <v>0</v>
      </c>
    </row>
    <row r="1397" spans="7:20" x14ac:dyDescent="0.2">
      <c r="G1397" s="50"/>
      <c r="H1397" s="51" t="str">
        <f t="shared" si="0"/>
        <v/>
      </c>
      <c r="I1397" s="52" t="e">
        <f>SUMIFS(OUT!$F$2:$F$11000,OUT!$H$2:$H$11000,H1397,OUT!$D$2:$D$101007,"In")</f>
        <v>#VALUE!</v>
      </c>
      <c r="J1397" s="52">
        <f ca="1">SUMIFS(OUT!$F$2:$F$11000,OUT!$H$2:$H$11000,H1397,OUT!$D$2:$D$11000,"Out")</f>
        <v>0</v>
      </c>
      <c r="K1397" s="52">
        <f ca="1">SUMIFS(OUT!$F$2:$F$11000,OUT!$H$2:$H$11000,H1397,OUT!$D$2:$D$11000,"Out",OUT!$E$2:$E$11000,"Fix")</f>
        <v>0</v>
      </c>
      <c r="L1397" s="52">
        <f ca="1">SUMIFS(OUT!$F$2:$F$11000,OUT!$H$2:$H$11000,H1397,OUT!$D$2:$D$11000,"Out",OUT!$E$2:$E$11000,"Bathroom")</f>
        <v>0</v>
      </c>
      <c r="M1397" s="52">
        <f ca="1">SUMIFS(OUT!$F$2:$F$11000,OUT!$H$2:$H$11000,H1397,OUT!$D$2:$D$11000,"Out",OUT!$E$2:$E$11000,"Alfa")</f>
        <v>0</v>
      </c>
      <c r="N1397" s="52" t="e">
        <f>SUMIFS(OUT!$F$2:$F$11000,OUT!$H$2:$H$101007,H1397,OUT!$D$2:$D$11000,"Out",OUT!$E$2:$E$11000,"Jajan")</f>
        <v>#VALUE!</v>
      </c>
      <c r="O1397" s="52">
        <f ca="1">SUMIFS(OUT!$F$2:$F$11000,OUT!$H$2:$H$11000,H1397,OUT!$D$2:$D$11000,"Out",OUT!$E$2:$E$11000,"Kitchen")</f>
        <v>0</v>
      </c>
      <c r="P1397" s="52">
        <f ca="1">SUMIFS(OUT!$F$2:$F$11000,OUT!$H$2:$H$11000,H1397,OUT!$D$2:$D$11000,"Out",OUT!$E$2:$E$11000,"Loandry")</f>
        <v>0</v>
      </c>
      <c r="Q1397" s="52">
        <f ca="1">SUMIFS(OUT!$F$2:$F$11000,OUT!$H$2:$H$11000,H1397,OUT!$D$2:$D$11000,"Out",OUT!$E$2:$E$11000,"Mio")</f>
        <v>0</v>
      </c>
      <c r="R1397" s="52">
        <f ca="1">SUMIFS(OUT!$F$2:$F$11000,OUT!$H$2:$H$11000,H1397,OUT!$D$2:$D$11000,"Out",OUT!$E$2:$E$11000,"Sedekah")</f>
        <v>0</v>
      </c>
      <c r="S1397" s="52">
        <f ca="1">SUMIFS(OUT!$F$2:$F$11000,OUT!$H$2:$H$11000,H1397,OUT!$D$2:$D$11000,"Out",OUT!$E$2:$E$11000,"Zela")</f>
        <v>0</v>
      </c>
      <c r="T1397" s="52">
        <f ca="1">SUMIFS(OUT!$F$2:$F$11000,OUT!$H$2:$H$11000,H1397,OUT!$D$2:$D$11000,"Out",OUT!$E$2:$E$11000,"Iqbal")</f>
        <v>0</v>
      </c>
    </row>
    <row r="1398" spans="7:20" x14ac:dyDescent="0.2">
      <c r="G1398" s="50"/>
      <c r="H1398" s="51" t="str">
        <f t="shared" si="0"/>
        <v/>
      </c>
      <c r="I1398" s="52" t="e">
        <f>SUMIFS(OUT!$F$2:$F$11000,OUT!$H$2:$H$11000,H1398,OUT!$D$2:$D$101007,"In")</f>
        <v>#VALUE!</v>
      </c>
      <c r="J1398" s="52">
        <f ca="1">SUMIFS(OUT!$F$2:$F$11000,OUT!$H$2:$H$11000,H1398,OUT!$D$2:$D$11000,"Out")</f>
        <v>0</v>
      </c>
      <c r="K1398" s="52">
        <f ca="1">SUMIFS(OUT!$F$2:$F$11000,OUT!$H$2:$H$11000,H1398,OUT!$D$2:$D$11000,"Out",OUT!$E$2:$E$11000,"Fix")</f>
        <v>0</v>
      </c>
      <c r="L1398" s="52">
        <f ca="1">SUMIFS(OUT!$F$2:$F$11000,OUT!$H$2:$H$11000,H1398,OUT!$D$2:$D$11000,"Out",OUT!$E$2:$E$11000,"Bathroom")</f>
        <v>0</v>
      </c>
      <c r="M1398" s="52">
        <f ca="1">SUMIFS(OUT!$F$2:$F$11000,OUT!$H$2:$H$11000,H1398,OUT!$D$2:$D$11000,"Out",OUT!$E$2:$E$11000,"Alfa")</f>
        <v>0</v>
      </c>
      <c r="N1398" s="52" t="e">
        <f>SUMIFS(OUT!$F$2:$F$11000,OUT!$H$2:$H$101007,H1398,OUT!$D$2:$D$11000,"Out",OUT!$E$2:$E$11000,"Jajan")</f>
        <v>#VALUE!</v>
      </c>
      <c r="O1398" s="52">
        <f ca="1">SUMIFS(OUT!$F$2:$F$11000,OUT!$H$2:$H$11000,H1398,OUT!$D$2:$D$11000,"Out",OUT!$E$2:$E$11000,"Kitchen")</f>
        <v>0</v>
      </c>
      <c r="P1398" s="52">
        <f ca="1">SUMIFS(OUT!$F$2:$F$11000,OUT!$H$2:$H$11000,H1398,OUT!$D$2:$D$11000,"Out",OUT!$E$2:$E$11000,"Loandry")</f>
        <v>0</v>
      </c>
      <c r="Q1398" s="52">
        <f ca="1">SUMIFS(OUT!$F$2:$F$11000,OUT!$H$2:$H$11000,H1398,OUT!$D$2:$D$11000,"Out",OUT!$E$2:$E$11000,"Mio")</f>
        <v>0</v>
      </c>
      <c r="R1398" s="52">
        <f ca="1">SUMIFS(OUT!$F$2:$F$11000,OUT!$H$2:$H$11000,H1398,OUT!$D$2:$D$11000,"Out",OUT!$E$2:$E$11000,"Sedekah")</f>
        <v>0</v>
      </c>
      <c r="S1398" s="52">
        <f ca="1">SUMIFS(OUT!$F$2:$F$11000,OUT!$H$2:$H$11000,H1398,OUT!$D$2:$D$11000,"Out",OUT!$E$2:$E$11000,"Zela")</f>
        <v>0</v>
      </c>
      <c r="T1398" s="52">
        <f ca="1">SUMIFS(OUT!$F$2:$F$11000,OUT!$H$2:$H$11000,H1398,OUT!$D$2:$D$11000,"Out",OUT!$E$2:$E$11000,"Iqbal")</f>
        <v>0</v>
      </c>
    </row>
    <row r="1399" spans="7:20" x14ac:dyDescent="0.2">
      <c r="G1399" s="50"/>
      <c r="H1399" s="51" t="str">
        <f t="shared" si="0"/>
        <v/>
      </c>
      <c r="I1399" s="52" t="e">
        <f>SUMIFS(OUT!$F$2:$F$11000,OUT!$H$2:$H$11000,H1399,OUT!$D$2:$D$101007,"In")</f>
        <v>#VALUE!</v>
      </c>
      <c r="J1399" s="52">
        <f ca="1">SUMIFS(OUT!$F$2:$F$11000,OUT!$H$2:$H$11000,H1399,OUT!$D$2:$D$11000,"Out")</f>
        <v>0</v>
      </c>
      <c r="K1399" s="52">
        <f ca="1">SUMIFS(OUT!$F$2:$F$11000,OUT!$H$2:$H$11000,H1399,OUT!$D$2:$D$11000,"Out",OUT!$E$2:$E$11000,"Fix")</f>
        <v>0</v>
      </c>
      <c r="L1399" s="52">
        <f ca="1">SUMIFS(OUT!$F$2:$F$11000,OUT!$H$2:$H$11000,H1399,OUT!$D$2:$D$11000,"Out",OUT!$E$2:$E$11000,"Bathroom")</f>
        <v>0</v>
      </c>
      <c r="M1399" s="52">
        <f ca="1">SUMIFS(OUT!$F$2:$F$11000,OUT!$H$2:$H$11000,H1399,OUT!$D$2:$D$11000,"Out",OUT!$E$2:$E$11000,"Alfa")</f>
        <v>0</v>
      </c>
      <c r="N1399" s="52" t="e">
        <f>SUMIFS(OUT!$F$2:$F$11000,OUT!$H$2:$H$101007,H1399,OUT!$D$2:$D$11000,"Out",OUT!$E$2:$E$11000,"Jajan")</f>
        <v>#VALUE!</v>
      </c>
      <c r="O1399" s="52">
        <f ca="1">SUMIFS(OUT!$F$2:$F$11000,OUT!$H$2:$H$11000,H1399,OUT!$D$2:$D$11000,"Out",OUT!$E$2:$E$11000,"Kitchen")</f>
        <v>0</v>
      </c>
      <c r="P1399" s="52">
        <f ca="1">SUMIFS(OUT!$F$2:$F$11000,OUT!$H$2:$H$11000,H1399,OUT!$D$2:$D$11000,"Out",OUT!$E$2:$E$11000,"Loandry")</f>
        <v>0</v>
      </c>
      <c r="Q1399" s="52">
        <f ca="1">SUMIFS(OUT!$F$2:$F$11000,OUT!$H$2:$H$11000,H1399,OUT!$D$2:$D$11000,"Out",OUT!$E$2:$E$11000,"Mio")</f>
        <v>0</v>
      </c>
      <c r="R1399" s="52">
        <f ca="1">SUMIFS(OUT!$F$2:$F$11000,OUT!$H$2:$H$11000,H1399,OUT!$D$2:$D$11000,"Out",OUT!$E$2:$E$11000,"Sedekah")</f>
        <v>0</v>
      </c>
      <c r="S1399" s="52">
        <f ca="1">SUMIFS(OUT!$F$2:$F$11000,OUT!$H$2:$H$11000,H1399,OUT!$D$2:$D$11000,"Out",OUT!$E$2:$E$11000,"Zela")</f>
        <v>0</v>
      </c>
      <c r="T1399" s="52">
        <f ca="1">SUMIFS(OUT!$F$2:$F$11000,OUT!$H$2:$H$11000,H1399,OUT!$D$2:$D$11000,"Out",OUT!$E$2:$E$11000,"Iqbal")</f>
        <v>0</v>
      </c>
    </row>
    <row r="1400" spans="7:20" x14ac:dyDescent="0.2">
      <c r="G1400" s="50"/>
      <c r="H1400" s="51" t="str">
        <f t="shared" si="0"/>
        <v/>
      </c>
      <c r="I1400" s="52" t="e">
        <f>SUMIFS(OUT!$F$2:$F$11000,OUT!$H$2:$H$11000,H1400,OUT!$D$2:$D$101007,"In")</f>
        <v>#VALUE!</v>
      </c>
      <c r="J1400" s="52">
        <f ca="1">SUMIFS(OUT!$F$2:$F$11000,OUT!$H$2:$H$11000,H1400,OUT!$D$2:$D$11000,"Out")</f>
        <v>0</v>
      </c>
      <c r="K1400" s="52">
        <f ca="1">SUMIFS(OUT!$F$2:$F$11000,OUT!$H$2:$H$11000,H1400,OUT!$D$2:$D$11000,"Out",OUT!$E$2:$E$11000,"Fix")</f>
        <v>0</v>
      </c>
      <c r="L1400" s="52">
        <f ca="1">SUMIFS(OUT!$F$2:$F$11000,OUT!$H$2:$H$11000,H1400,OUT!$D$2:$D$11000,"Out",OUT!$E$2:$E$11000,"Bathroom")</f>
        <v>0</v>
      </c>
      <c r="M1400" s="52">
        <f ca="1">SUMIFS(OUT!$F$2:$F$11000,OUT!$H$2:$H$11000,H1400,OUT!$D$2:$D$11000,"Out",OUT!$E$2:$E$11000,"Alfa")</f>
        <v>0</v>
      </c>
      <c r="N1400" s="52" t="e">
        <f>SUMIFS(OUT!$F$2:$F$11000,OUT!$H$2:$H$101007,H1400,OUT!$D$2:$D$11000,"Out",OUT!$E$2:$E$11000,"Jajan")</f>
        <v>#VALUE!</v>
      </c>
      <c r="O1400" s="52">
        <f ca="1">SUMIFS(OUT!$F$2:$F$11000,OUT!$H$2:$H$11000,H1400,OUT!$D$2:$D$11000,"Out",OUT!$E$2:$E$11000,"Kitchen")</f>
        <v>0</v>
      </c>
      <c r="P1400" s="52">
        <f ca="1">SUMIFS(OUT!$F$2:$F$11000,OUT!$H$2:$H$11000,H1400,OUT!$D$2:$D$11000,"Out",OUT!$E$2:$E$11000,"Loandry")</f>
        <v>0</v>
      </c>
      <c r="Q1400" s="52">
        <f ca="1">SUMIFS(OUT!$F$2:$F$11000,OUT!$H$2:$H$11000,H1400,OUT!$D$2:$D$11000,"Out",OUT!$E$2:$E$11000,"Mio")</f>
        <v>0</v>
      </c>
      <c r="R1400" s="52">
        <f ca="1">SUMIFS(OUT!$F$2:$F$11000,OUT!$H$2:$H$11000,H1400,OUT!$D$2:$D$11000,"Out",OUT!$E$2:$E$11000,"Sedekah")</f>
        <v>0</v>
      </c>
      <c r="S1400" s="52">
        <f ca="1">SUMIFS(OUT!$F$2:$F$11000,OUT!$H$2:$H$11000,H1400,OUT!$D$2:$D$11000,"Out",OUT!$E$2:$E$11000,"Zela")</f>
        <v>0</v>
      </c>
      <c r="T1400" s="52">
        <f ca="1">SUMIFS(OUT!$F$2:$F$11000,OUT!$H$2:$H$11000,H1400,OUT!$D$2:$D$11000,"Out",OUT!$E$2:$E$11000,"Iqbal")</f>
        <v>0</v>
      </c>
    </row>
    <row r="1401" spans="7:20" x14ac:dyDescent="0.2">
      <c r="G1401" s="50"/>
      <c r="H1401" s="51" t="str">
        <f t="shared" si="0"/>
        <v/>
      </c>
      <c r="I1401" s="52" t="e">
        <f>SUMIFS(OUT!$F$2:$F$11000,OUT!$H$2:$H$11000,H1401,OUT!$D$2:$D$101007,"In")</f>
        <v>#VALUE!</v>
      </c>
      <c r="J1401" s="52">
        <f ca="1">SUMIFS(OUT!$F$2:$F$11000,OUT!$H$2:$H$11000,H1401,OUT!$D$2:$D$11000,"Out")</f>
        <v>0</v>
      </c>
      <c r="K1401" s="52">
        <f ca="1">SUMIFS(OUT!$F$2:$F$11000,OUT!$H$2:$H$11000,H1401,OUT!$D$2:$D$11000,"Out",OUT!$E$2:$E$11000,"Fix")</f>
        <v>0</v>
      </c>
      <c r="L1401" s="52">
        <f ca="1">SUMIFS(OUT!$F$2:$F$11000,OUT!$H$2:$H$11000,H1401,OUT!$D$2:$D$11000,"Out",OUT!$E$2:$E$11000,"Bathroom")</f>
        <v>0</v>
      </c>
      <c r="M1401" s="52">
        <f ca="1">SUMIFS(OUT!$F$2:$F$11000,OUT!$H$2:$H$11000,H1401,OUT!$D$2:$D$11000,"Out",OUT!$E$2:$E$11000,"Alfa")</f>
        <v>0</v>
      </c>
      <c r="N1401" s="52" t="e">
        <f>SUMIFS(OUT!$F$2:$F$11000,OUT!$H$2:$H$101007,H1401,OUT!$D$2:$D$11000,"Out",OUT!$E$2:$E$11000,"Jajan")</f>
        <v>#VALUE!</v>
      </c>
      <c r="O1401" s="52">
        <f ca="1">SUMIFS(OUT!$F$2:$F$11000,OUT!$H$2:$H$11000,H1401,OUT!$D$2:$D$11000,"Out",OUT!$E$2:$E$11000,"Kitchen")</f>
        <v>0</v>
      </c>
      <c r="P1401" s="52">
        <f ca="1">SUMIFS(OUT!$F$2:$F$11000,OUT!$H$2:$H$11000,H1401,OUT!$D$2:$D$11000,"Out",OUT!$E$2:$E$11000,"Loandry")</f>
        <v>0</v>
      </c>
      <c r="Q1401" s="52">
        <f ca="1">SUMIFS(OUT!$F$2:$F$11000,OUT!$H$2:$H$11000,H1401,OUT!$D$2:$D$11000,"Out",OUT!$E$2:$E$11000,"Mio")</f>
        <v>0</v>
      </c>
      <c r="R1401" s="52">
        <f ca="1">SUMIFS(OUT!$F$2:$F$11000,OUT!$H$2:$H$11000,H1401,OUT!$D$2:$D$11000,"Out",OUT!$E$2:$E$11000,"Sedekah")</f>
        <v>0</v>
      </c>
      <c r="S1401" s="52">
        <f ca="1">SUMIFS(OUT!$F$2:$F$11000,OUT!$H$2:$H$11000,H1401,OUT!$D$2:$D$11000,"Out",OUT!$E$2:$E$11000,"Zela")</f>
        <v>0</v>
      </c>
      <c r="T1401" s="52">
        <f ca="1">SUMIFS(OUT!$F$2:$F$11000,OUT!$H$2:$H$11000,H1401,OUT!$D$2:$D$11000,"Out",OUT!$E$2:$E$11000,"Iqbal")</f>
        <v>0</v>
      </c>
    </row>
    <row r="1402" spans="7:20" x14ac:dyDescent="0.2">
      <c r="G1402" s="50"/>
      <c r="H1402" s="51" t="str">
        <f t="shared" si="0"/>
        <v/>
      </c>
      <c r="I1402" s="52" t="e">
        <f>SUMIFS(OUT!$F$2:$F$11000,OUT!$H$2:$H$11000,H1402,OUT!$D$2:$D$101007,"In")</f>
        <v>#VALUE!</v>
      </c>
      <c r="J1402" s="52">
        <f ca="1">SUMIFS(OUT!$F$2:$F$11000,OUT!$H$2:$H$11000,H1402,OUT!$D$2:$D$11000,"Out")</f>
        <v>0</v>
      </c>
      <c r="K1402" s="52">
        <f ca="1">SUMIFS(OUT!$F$2:$F$11000,OUT!$H$2:$H$11000,H1402,OUT!$D$2:$D$11000,"Out",OUT!$E$2:$E$11000,"Fix")</f>
        <v>0</v>
      </c>
      <c r="L1402" s="52">
        <f ca="1">SUMIFS(OUT!$F$2:$F$11000,OUT!$H$2:$H$11000,H1402,OUT!$D$2:$D$11000,"Out",OUT!$E$2:$E$11000,"Bathroom")</f>
        <v>0</v>
      </c>
      <c r="M1402" s="52">
        <f ca="1">SUMIFS(OUT!$F$2:$F$11000,OUT!$H$2:$H$11000,H1402,OUT!$D$2:$D$11000,"Out",OUT!$E$2:$E$11000,"Alfa")</f>
        <v>0</v>
      </c>
      <c r="N1402" s="52" t="e">
        <f>SUMIFS(OUT!$F$2:$F$11000,OUT!$H$2:$H$101007,H1402,OUT!$D$2:$D$11000,"Out",OUT!$E$2:$E$11000,"Jajan")</f>
        <v>#VALUE!</v>
      </c>
      <c r="O1402" s="52">
        <f ca="1">SUMIFS(OUT!$F$2:$F$11000,OUT!$H$2:$H$11000,H1402,OUT!$D$2:$D$11000,"Out",OUT!$E$2:$E$11000,"Kitchen")</f>
        <v>0</v>
      </c>
      <c r="P1402" s="52">
        <f ca="1">SUMIFS(OUT!$F$2:$F$11000,OUT!$H$2:$H$11000,H1402,OUT!$D$2:$D$11000,"Out",OUT!$E$2:$E$11000,"Loandry")</f>
        <v>0</v>
      </c>
      <c r="Q1402" s="52">
        <f ca="1">SUMIFS(OUT!$F$2:$F$11000,OUT!$H$2:$H$11000,H1402,OUT!$D$2:$D$11000,"Out",OUT!$E$2:$E$11000,"Mio")</f>
        <v>0</v>
      </c>
      <c r="R1402" s="52">
        <f ca="1">SUMIFS(OUT!$F$2:$F$11000,OUT!$H$2:$H$11000,H1402,OUT!$D$2:$D$11000,"Out",OUT!$E$2:$E$11000,"Sedekah")</f>
        <v>0</v>
      </c>
      <c r="S1402" s="52">
        <f ca="1">SUMIFS(OUT!$F$2:$F$11000,OUT!$H$2:$H$11000,H1402,OUT!$D$2:$D$11000,"Out",OUT!$E$2:$E$11000,"Zela")</f>
        <v>0</v>
      </c>
      <c r="T1402" s="52">
        <f ca="1">SUMIFS(OUT!$F$2:$F$11000,OUT!$H$2:$H$11000,H1402,OUT!$D$2:$D$11000,"Out",OUT!$E$2:$E$11000,"Iqbal")</f>
        <v>0</v>
      </c>
    </row>
    <row r="1403" spans="7:20" x14ac:dyDescent="0.2">
      <c r="G1403" s="50"/>
      <c r="H1403" s="51" t="str">
        <f t="shared" si="0"/>
        <v/>
      </c>
      <c r="I1403" s="52" t="e">
        <f>SUMIFS(OUT!$F$2:$F$11000,OUT!$H$2:$H$11000,H1403,OUT!$D$2:$D$101007,"In")</f>
        <v>#VALUE!</v>
      </c>
      <c r="J1403" s="52">
        <f ca="1">SUMIFS(OUT!$F$2:$F$11000,OUT!$H$2:$H$11000,H1403,OUT!$D$2:$D$11000,"Out")</f>
        <v>0</v>
      </c>
      <c r="K1403" s="52">
        <f ca="1">SUMIFS(OUT!$F$2:$F$11000,OUT!$H$2:$H$11000,H1403,OUT!$D$2:$D$11000,"Out",OUT!$E$2:$E$11000,"Fix")</f>
        <v>0</v>
      </c>
      <c r="L1403" s="52">
        <f ca="1">SUMIFS(OUT!$F$2:$F$11000,OUT!$H$2:$H$11000,H1403,OUT!$D$2:$D$11000,"Out",OUT!$E$2:$E$11000,"Bathroom")</f>
        <v>0</v>
      </c>
      <c r="M1403" s="52">
        <f ca="1">SUMIFS(OUT!$F$2:$F$11000,OUT!$H$2:$H$11000,H1403,OUT!$D$2:$D$11000,"Out",OUT!$E$2:$E$11000,"Alfa")</f>
        <v>0</v>
      </c>
      <c r="N1403" s="52" t="e">
        <f>SUMIFS(OUT!$F$2:$F$11000,OUT!$H$2:$H$101007,H1403,OUT!$D$2:$D$11000,"Out",OUT!$E$2:$E$11000,"Jajan")</f>
        <v>#VALUE!</v>
      </c>
      <c r="O1403" s="52">
        <f ca="1">SUMIFS(OUT!$F$2:$F$11000,OUT!$H$2:$H$11000,H1403,OUT!$D$2:$D$11000,"Out",OUT!$E$2:$E$11000,"Kitchen")</f>
        <v>0</v>
      </c>
      <c r="P1403" s="52">
        <f ca="1">SUMIFS(OUT!$F$2:$F$11000,OUT!$H$2:$H$11000,H1403,OUT!$D$2:$D$11000,"Out",OUT!$E$2:$E$11000,"Loandry")</f>
        <v>0</v>
      </c>
      <c r="Q1403" s="52">
        <f ca="1">SUMIFS(OUT!$F$2:$F$11000,OUT!$H$2:$H$11000,H1403,OUT!$D$2:$D$11000,"Out",OUT!$E$2:$E$11000,"Mio")</f>
        <v>0</v>
      </c>
      <c r="R1403" s="52">
        <f ca="1">SUMIFS(OUT!$F$2:$F$11000,OUT!$H$2:$H$11000,H1403,OUT!$D$2:$D$11000,"Out",OUT!$E$2:$E$11000,"Sedekah")</f>
        <v>0</v>
      </c>
      <c r="S1403" s="52">
        <f ca="1">SUMIFS(OUT!$F$2:$F$11000,OUT!$H$2:$H$11000,H1403,OUT!$D$2:$D$11000,"Out",OUT!$E$2:$E$11000,"Zela")</f>
        <v>0</v>
      </c>
      <c r="T1403" s="52">
        <f ca="1">SUMIFS(OUT!$F$2:$F$11000,OUT!$H$2:$H$11000,H1403,OUT!$D$2:$D$11000,"Out",OUT!$E$2:$E$11000,"Iqbal")</f>
        <v>0</v>
      </c>
    </row>
    <row r="1404" spans="7:20" x14ac:dyDescent="0.2">
      <c r="G1404" s="50"/>
      <c r="H1404" s="51" t="str">
        <f t="shared" si="0"/>
        <v/>
      </c>
      <c r="I1404" s="52" t="e">
        <f>SUMIFS(OUT!$F$2:$F$11000,OUT!$H$2:$H$11000,H1404,OUT!$D$2:$D$101007,"In")</f>
        <v>#VALUE!</v>
      </c>
      <c r="J1404" s="52">
        <f ca="1">SUMIFS(OUT!$F$2:$F$11000,OUT!$H$2:$H$11000,H1404,OUT!$D$2:$D$11000,"Out")</f>
        <v>0</v>
      </c>
      <c r="K1404" s="52">
        <f ca="1">SUMIFS(OUT!$F$2:$F$11000,OUT!$H$2:$H$11000,H1404,OUT!$D$2:$D$11000,"Out",OUT!$E$2:$E$11000,"Fix")</f>
        <v>0</v>
      </c>
      <c r="L1404" s="52">
        <f ca="1">SUMIFS(OUT!$F$2:$F$11000,OUT!$H$2:$H$11000,H1404,OUT!$D$2:$D$11000,"Out",OUT!$E$2:$E$11000,"Bathroom")</f>
        <v>0</v>
      </c>
      <c r="M1404" s="52">
        <f ca="1">SUMIFS(OUT!$F$2:$F$11000,OUT!$H$2:$H$11000,H1404,OUT!$D$2:$D$11000,"Out",OUT!$E$2:$E$11000,"Alfa")</f>
        <v>0</v>
      </c>
      <c r="N1404" s="52" t="e">
        <f>SUMIFS(OUT!$F$2:$F$11000,OUT!$H$2:$H$101007,H1404,OUT!$D$2:$D$11000,"Out",OUT!$E$2:$E$11000,"Jajan")</f>
        <v>#VALUE!</v>
      </c>
      <c r="O1404" s="52">
        <f ca="1">SUMIFS(OUT!$F$2:$F$11000,OUT!$H$2:$H$11000,H1404,OUT!$D$2:$D$11000,"Out",OUT!$E$2:$E$11000,"Kitchen")</f>
        <v>0</v>
      </c>
      <c r="P1404" s="52">
        <f ca="1">SUMIFS(OUT!$F$2:$F$11000,OUT!$H$2:$H$11000,H1404,OUT!$D$2:$D$11000,"Out",OUT!$E$2:$E$11000,"Loandry")</f>
        <v>0</v>
      </c>
      <c r="Q1404" s="52">
        <f ca="1">SUMIFS(OUT!$F$2:$F$11000,OUT!$H$2:$H$11000,H1404,OUT!$D$2:$D$11000,"Out",OUT!$E$2:$E$11000,"Mio")</f>
        <v>0</v>
      </c>
      <c r="R1404" s="52">
        <f ca="1">SUMIFS(OUT!$F$2:$F$11000,OUT!$H$2:$H$11000,H1404,OUT!$D$2:$D$11000,"Out",OUT!$E$2:$E$11000,"Sedekah")</f>
        <v>0</v>
      </c>
      <c r="S1404" s="52">
        <f ca="1">SUMIFS(OUT!$F$2:$F$11000,OUT!$H$2:$H$11000,H1404,OUT!$D$2:$D$11000,"Out",OUT!$E$2:$E$11000,"Zela")</f>
        <v>0</v>
      </c>
      <c r="T1404" s="52">
        <f ca="1">SUMIFS(OUT!$F$2:$F$11000,OUT!$H$2:$H$11000,H1404,OUT!$D$2:$D$11000,"Out",OUT!$E$2:$E$11000,"Iqbal")</f>
        <v>0</v>
      </c>
    </row>
    <row r="1405" spans="7:20" x14ac:dyDescent="0.2">
      <c r="G1405" s="50"/>
      <c r="H1405" s="51" t="str">
        <f t="shared" si="0"/>
        <v/>
      </c>
      <c r="I1405" s="52" t="e">
        <f>SUMIFS(OUT!$F$2:$F$11000,OUT!$H$2:$H$11000,H1405,OUT!$D$2:$D$101007,"In")</f>
        <v>#VALUE!</v>
      </c>
      <c r="J1405" s="52">
        <f ca="1">SUMIFS(OUT!$F$2:$F$11000,OUT!$H$2:$H$11000,H1405,OUT!$D$2:$D$11000,"Out")</f>
        <v>0</v>
      </c>
      <c r="K1405" s="52">
        <f ca="1">SUMIFS(OUT!$F$2:$F$11000,OUT!$H$2:$H$11000,H1405,OUT!$D$2:$D$11000,"Out",OUT!$E$2:$E$11000,"Fix")</f>
        <v>0</v>
      </c>
      <c r="L1405" s="52">
        <f ca="1">SUMIFS(OUT!$F$2:$F$11000,OUT!$H$2:$H$11000,H1405,OUT!$D$2:$D$11000,"Out",OUT!$E$2:$E$11000,"Bathroom")</f>
        <v>0</v>
      </c>
      <c r="M1405" s="52">
        <f ca="1">SUMIFS(OUT!$F$2:$F$11000,OUT!$H$2:$H$11000,H1405,OUT!$D$2:$D$11000,"Out",OUT!$E$2:$E$11000,"Alfa")</f>
        <v>0</v>
      </c>
      <c r="N1405" s="52" t="e">
        <f>SUMIFS(OUT!$F$2:$F$11000,OUT!$H$2:$H$101007,H1405,OUT!$D$2:$D$11000,"Out",OUT!$E$2:$E$11000,"Jajan")</f>
        <v>#VALUE!</v>
      </c>
      <c r="O1405" s="52">
        <f ca="1">SUMIFS(OUT!$F$2:$F$11000,OUT!$H$2:$H$11000,H1405,OUT!$D$2:$D$11000,"Out",OUT!$E$2:$E$11000,"Kitchen")</f>
        <v>0</v>
      </c>
      <c r="P1405" s="52">
        <f ca="1">SUMIFS(OUT!$F$2:$F$11000,OUT!$H$2:$H$11000,H1405,OUT!$D$2:$D$11000,"Out",OUT!$E$2:$E$11000,"Loandry")</f>
        <v>0</v>
      </c>
      <c r="Q1405" s="52">
        <f ca="1">SUMIFS(OUT!$F$2:$F$11000,OUT!$H$2:$H$11000,H1405,OUT!$D$2:$D$11000,"Out",OUT!$E$2:$E$11000,"Mio")</f>
        <v>0</v>
      </c>
      <c r="R1405" s="52">
        <f ca="1">SUMIFS(OUT!$F$2:$F$11000,OUT!$H$2:$H$11000,H1405,OUT!$D$2:$D$11000,"Out",OUT!$E$2:$E$11000,"Sedekah")</f>
        <v>0</v>
      </c>
      <c r="S1405" s="52">
        <f ca="1">SUMIFS(OUT!$F$2:$F$11000,OUT!$H$2:$H$11000,H1405,OUT!$D$2:$D$11000,"Out",OUT!$E$2:$E$11000,"Zela")</f>
        <v>0</v>
      </c>
      <c r="T1405" s="52">
        <f ca="1">SUMIFS(OUT!$F$2:$F$11000,OUT!$H$2:$H$11000,H1405,OUT!$D$2:$D$11000,"Out",OUT!$E$2:$E$11000,"Iqbal")</f>
        <v>0</v>
      </c>
    </row>
    <row r="1406" spans="7:20" x14ac:dyDescent="0.2">
      <c r="G1406" s="50"/>
      <c r="H1406" s="51" t="str">
        <f t="shared" si="0"/>
        <v/>
      </c>
      <c r="I1406" s="52" t="e">
        <f>SUMIFS(OUT!$F$2:$F$11000,OUT!$H$2:$H$11000,H1406,OUT!$D$2:$D$101007,"In")</f>
        <v>#VALUE!</v>
      </c>
      <c r="J1406" s="52">
        <f ca="1">SUMIFS(OUT!$F$2:$F$11000,OUT!$H$2:$H$11000,H1406,OUT!$D$2:$D$11000,"Out")</f>
        <v>0</v>
      </c>
      <c r="K1406" s="52">
        <f ca="1">SUMIFS(OUT!$F$2:$F$11000,OUT!$H$2:$H$11000,H1406,OUT!$D$2:$D$11000,"Out",OUT!$E$2:$E$11000,"Fix")</f>
        <v>0</v>
      </c>
      <c r="L1406" s="52">
        <f ca="1">SUMIFS(OUT!$F$2:$F$11000,OUT!$H$2:$H$11000,H1406,OUT!$D$2:$D$11000,"Out",OUT!$E$2:$E$11000,"Bathroom")</f>
        <v>0</v>
      </c>
      <c r="M1406" s="52">
        <f ca="1">SUMIFS(OUT!$F$2:$F$11000,OUT!$H$2:$H$11000,H1406,OUT!$D$2:$D$11000,"Out",OUT!$E$2:$E$11000,"Alfa")</f>
        <v>0</v>
      </c>
      <c r="N1406" s="52" t="e">
        <f>SUMIFS(OUT!$F$2:$F$11000,OUT!$H$2:$H$101007,H1406,OUT!$D$2:$D$11000,"Out",OUT!$E$2:$E$11000,"Jajan")</f>
        <v>#VALUE!</v>
      </c>
      <c r="O1406" s="52">
        <f ca="1">SUMIFS(OUT!$F$2:$F$11000,OUT!$H$2:$H$11000,H1406,OUT!$D$2:$D$11000,"Out",OUT!$E$2:$E$11000,"Kitchen")</f>
        <v>0</v>
      </c>
      <c r="P1406" s="52">
        <f ca="1">SUMIFS(OUT!$F$2:$F$11000,OUT!$H$2:$H$11000,H1406,OUT!$D$2:$D$11000,"Out",OUT!$E$2:$E$11000,"Loandry")</f>
        <v>0</v>
      </c>
      <c r="Q1406" s="52">
        <f ca="1">SUMIFS(OUT!$F$2:$F$11000,OUT!$H$2:$H$11000,H1406,OUT!$D$2:$D$11000,"Out",OUT!$E$2:$E$11000,"Mio")</f>
        <v>0</v>
      </c>
      <c r="R1406" s="52">
        <f ca="1">SUMIFS(OUT!$F$2:$F$11000,OUT!$H$2:$H$11000,H1406,OUT!$D$2:$D$11000,"Out",OUT!$E$2:$E$11000,"Sedekah")</f>
        <v>0</v>
      </c>
      <c r="S1406" s="52">
        <f ca="1">SUMIFS(OUT!$F$2:$F$11000,OUT!$H$2:$H$11000,H1406,OUT!$D$2:$D$11000,"Out",OUT!$E$2:$E$11000,"Zela")</f>
        <v>0</v>
      </c>
      <c r="T1406" s="52">
        <f ca="1">SUMIFS(OUT!$F$2:$F$11000,OUT!$H$2:$H$11000,H1406,OUT!$D$2:$D$11000,"Out",OUT!$E$2:$E$11000,"Iqbal")</f>
        <v>0</v>
      </c>
    </row>
    <row r="1407" spans="7:20" x14ac:dyDescent="0.2">
      <c r="G1407" s="50"/>
      <c r="H1407" s="51" t="str">
        <f t="shared" si="0"/>
        <v/>
      </c>
      <c r="I1407" s="52" t="e">
        <f>SUMIFS(OUT!$F$2:$F$11000,OUT!$H$2:$H$11000,H1407,OUT!$D$2:$D$101007,"In")</f>
        <v>#VALUE!</v>
      </c>
      <c r="J1407" s="52">
        <f ca="1">SUMIFS(OUT!$F$2:$F$11000,OUT!$H$2:$H$11000,H1407,OUT!$D$2:$D$11000,"Out")</f>
        <v>0</v>
      </c>
      <c r="K1407" s="52">
        <f ca="1">SUMIFS(OUT!$F$2:$F$11000,OUT!$H$2:$H$11000,H1407,OUT!$D$2:$D$11000,"Out",OUT!$E$2:$E$11000,"Fix")</f>
        <v>0</v>
      </c>
      <c r="L1407" s="52">
        <f ca="1">SUMIFS(OUT!$F$2:$F$11000,OUT!$H$2:$H$11000,H1407,OUT!$D$2:$D$11000,"Out",OUT!$E$2:$E$11000,"Bathroom")</f>
        <v>0</v>
      </c>
      <c r="M1407" s="52">
        <f ca="1">SUMIFS(OUT!$F$2:$F$11000,OUT!$H$2:$H$11000,H1407,OUT!$D$2:$D$11000,"Out",OUT!$E$2:$E$11000,"Alfa")</f>
        <v>0</v>
      </c>
      <c r="N1407" s="52" t="e">
        <f>SUMIFS(OUT!$F$2:$F$11000,OUT!$H$2:$H$101007,H1407,OUT!$D$2:$D$11000,"Out",OUT!$E$2:$E$11000,"Jajan")</f>
        <v>#VALUE!</v>
      </c>
      <c r="O1407" s="52">
        <f ca="1">SUMIFS(OUT!$F$2:$F$11000,OUT!$H$2:$H$11000,H1407,OUT!$D$2:$D$11000,"Out",OUT!$E$2:$E$11000,"Kitchen")</f>
        <v>0</v>
      </c>
      <c r="P1407" s="52">
        <f ca="1">SUMIFS(OUT!$F$2:$F$11000,OUT!$H$2:$H$11000,H1407,OUT!$D$2:$D$11000,"Out",OUT!$E$2:$E$11000,"Loandry")</f>
        <v>0</v>
      </c>
      <c r="Q1407" s="52">
        <f ca="1">SUMIFS(OUT!$F$2:$F$11000,OUT!$H$2:$H$11000,H1407,OUT!$D$2:$D$11000,"Out",OUT!$E$2:$E$11000,"Mio")</f>
        <v>0</v>
      </c>
      <c r="R1407" s="52">
        <f ca="1">SUMIFS(OUT!$F$2:$F$11000,OUT!$H$2:$H$11000,H1407,OUT!$D$2:$D$11000,"Out",OUT!$E$2:$E$11000,"Sedekah")</f>
        <v>0</v>
      </c>
      <c r="S1407" s="52">
        <f ca="1">SUMIFS(OUT!$F$2:$F$11000,OUT!$H$2:$H$11000,H1407,OUT!$D$2:$D$11000,"Out",OUT!$E$2:$E$11000,"Zela")</f>
        <v>0</v>
      </c>
      <c r="T1407" s="52">
        <f ca="1">SUMIFS(OUT!$F$2:$F$11000,OUT!$H$2:$H$11000,H1407,OUT!$D$2:$D$11000,"Out",OUT!$E$2:$E$11000,"Iqbal")</f>
        <v>0</v>
      </c>
    </row>
    <row r="1408" spans="7:20" x14ac:dyDescent="0.2">
      <c r="G1408" s="50"/>
      <c r="H1408" s="51" t="str">
        <f t="shared" si="0"/>
        <v/>
      </c>
      <c r="I1408" s="52" t="e">
        <f>SUMIFS(OUT!$F$2:$F$11000,OUT!$H$2:$H$11000,H1408,OUT!$D$2:$D$101007,"In")</f>
        <v>#VALUE!</v>
      </c>
      <c r="J1408" s="52">
        <f ca="1">SUMIFS(OUT!$F$2:$F$11000,OUT!$H$2:$H$11000,H1408,OUT!$D$2:$D$11000,"Out")</f>
        <v>0</v>
      </c>
      <c r="K1408" s="52">
        <f ca="1">SUMIFS(OUT!$F$2:$F$11000,OUT!$H$2:$H$11000,H1408,OUT!$D$2:$D$11000,"Out",OUT!$E$2:$E$11000,"Fix")</f>
        <v>0</v>
      </c>
      <c r="L1408" s="52">
        <f ca="1">SUMIFS(OUT!$F$2:$F$11000,OUT!$H$2:$H$11000,H1408,OUT!$D$2:$D$11000,"Out",OUT!$E$2:$E$11000,"Bathroom")</f>
        <v>0</v>
      </c>
      <c r="M1408" s="52">
        <f ca="1">SUMIFS(OUT!$F$2:$F$11000,OUT!$H$2:$H$11000,H1408,OUT!$D$2:$D$11000,"Out",OUT!$E$2:$E$11000,"Alfa")</f>
        <v>0</v>
      </c>
      <c r="N1408" s="52" t="e">
        <f>SUMIFS(OUT!$F$2:$F$11000,OUT!$H$2:$H$101007,H1408,OUT!$D$2:$D$11000,"Out",OUT!$E$2:$E$11000,"Jajan")</f>
        <v>#VALUE!</v>
      </c>
      <c r="O1408" s="52">
        <f ca="1">SUMIFS(OUT!$F$2:$F$11000,OUT!$H$2:$H$11000,H1408,OUT!$D$2:$D$11000,"Out",OUT!$E$2:$E$11000,"Kitchen")</f>
        <v>0</v>
      </c>
      <c r="P1408" s="52">
        <f ca="1">SUMIFS(OUT!$F$2:$F$11000,OUT!$H$2:$H$11000,H1408,OUT!$D$2:$D$11000,"Out",OUT!$E$2:$E$11000,"Loandry")</f>
        <v>0</v>
      </c>
      <c r="Q1408" s="52">
        <f ca="1">SUMIFS(OUT!$F$2:$F$11000,OUT!$H$2:$H$11000,H1408,OUT!$D$2:$D$11000,"Out",OUT!$E$2:$E$11000,"Mio")</f>
        <v>0</v>
      </c>
      <c r="R1408" s="52">
        <f ca="1">SUMIFS(OUT!$F$2:$F$11000,OUT!$H$2:$H$11000,H1408,OUT!$D$2:$D$11000,"Out",OUT!$E$2:$E$11000,"Sedekah")</f>
        <v>0</v>
      </c>
      <c r="S1408" s="52">
        <f ca="1">SUMIFS(OUT!$F$2:$F$11000,OUT!$H$2:$H$11000,H1408,OUT!$D$2:$D$11000,"Out",OUT!$E$2:$E$11000,"Zela")</f>
        <v>0</v>
      </c>
      <c r="T1408" s="52">
        <f ca="1">SUMIFS(OUT!$F$2:$F$11000,OUT!$H$2:$H$11000,H1408,OUT!$D$2:$D$11000,"Out",OUT!$E$2:$E$11000,"Iqbal")</f>
        <v>0</v>
      </c>
    </row>
    <row r="1409" spans="7:20" x14ac:dyDescent="0.2">
      <c r="G1409" s="50"/>
      <c r="H1409" s="51" t="str">
        <f t="shared" si="0"/>
        <v/>
      </c>
      <c r="I1409" s="52" t="e">
        <f>SUMIFS(OUT!$F$2:$F$11000,OUT!$H$2:$H$11000,H1409,OUT!$D$2:$D$101007,"In")</f>
        <v>#VALUE!</v>
      </c>
      <c r="J1409" s="52">
        <f ca="1">SUMIFS(OUT!$F$2:$F$11000,OUT!$H$2:$H$11000,H1409,OUT!$D$2:$D$11000,"Out")</f>
        <v>0</v>
      </c>
      <c r="K1409" s="52">
        <f ca="1">SUMIFS(OUT!$F$2:$F$11000,OUT!$H$2:$H$11000,H1409,OUT!$D$2:$D$11000,"Out",OUT!$E$2:$E$11000,"Fix")</f>
        <v>0</v>
      </c>
      <c r="L1409" s="52">
        <f ca="1">SUMIFS(OUT!$F$2:$F$11000,OUT!$H$2:$H$11000,H1409,OUT!$D$2:$D$11000,"Out",OUT!$E$2:$E$11000,"Bathroom")</f>
        <v>0</v>
      </c>
      <c r="M1409" s="52">
        <f ca="1">SUMIFS(OUT!$F$2:$F$11000,OUT!$H$2:$H$11000,H1409,OUT!$D$2:$D$11000,"Out",OUT!$E$2:$E$11000,"Alfa")</f>
        <v>0</v>
      </c>
      <c r="N1409" s="52" t="e">
        <f>SUMIFS(OUT!$F$2:$F$11000,OUT!$H$2:$H$101007,H1409,OUT!$D$2:$D$11000,"Out",OUT!$E$2:$E$11000,"Jajan")</f>
        <v>#VALUE!</v>
      </c>
      <c r="O1409" s="52">
        <f ca="1">SUMIFS(OUT!$F$2:$F$11000,OUT!$H$2:$H$11000,H1409,OUT!$D$2:$D$11000,"Out",OUT!$E$2:$E$11000,"Kitchen")</f>
        <v>0</v>
      </c>
      <c r="P1409" s="52">
        <f ca="1">SUMIFS(OUT!$F$2:$F$11000,OUT!$H$2:$H$11000,H1409,OUT!$D$2:$D$11000,"Out",OUT!$E$2:$E$11000,"Loandry")</f>
        <v>0</v>
      </c>
      <c r="Q1409" s="52">
        <f ca="1">SUMIFS(OUT!$F$2:$F$11000,OUT!$H$2:$H$11000,H1409,OUT!$D$2:$D$11000,"Out",OUT!$E$2:$E$11000,"Mio")</f>
        <v>0</v>
      </c>
      <c r="R1409" s="52">
        <f ca="1">SUMIFS(OUT!$F$2:$F$11000,OUT!$H$2:$H$11000,H1409,OUT!$D$2:$D$11000,"Out",OUT!$E$2:$E$11000,"Sedekah")</f>
        <v>0</v>
      </c>
      <c r="S1409" s="52">
        <f ca="1">SUMIFS(OUT!$F$2:$F$11000,OUT!$H$2:$H$11000,H1409,OUT!$D$2:$D$11000,"Out",OUT!$E$2:$E$11000,"Zela")</f>
        <v>0</v>
      </c>
      <c r="T1409" s="52">
        <f ca="1">SUMIFS(OUT!$F$2:$F$11000,OUT!$H$2:$H$11000,H1409,OUT!$D$2:$D$11000,"Out",OUT!$E$2:$E$11000,"Iqbal")</f>
        <v>0</v>
      </c>
    </row>
    <row r="1410" spans="7:20" x14ac:dyDescent="0.2">
      <c r="G1410" s="50"/>
      <c r="H1410" s="51" t="str">
        <f t="shared" si="0"/>
        <v/>
      </c>
      <c r="I1410" s="52" t="e">
        <f>SUMIFS(OUT!$F$2:$F$11000,OUT!$H$2:$H$11000,H1410,OUT!$D$2:$D$101007,"In")</f>
        <v>#VALUE!</v>
      </c>
      <c r="J1410" s="52">
        <f ca="1">SUMIFS(OUT!$F$2:$F$11000,OUT!$H$2:$H$11000,H1410,OUT!$D$2:$D$11000,"Out")</f>
        <v>0</v>
      </c>
      <c r="K1410" s="52">
        <f ca="1">SUMIFS(OUT!$F$2:$F$11000,OUT!$H$2:$H$11000,H1410,OUT!$D$2:$D$11000,"Out",OUT!$E$2:$E$11000,"Fix")</f>
        <v>0</v>
      </c>
      <c r="L1410" s="52">
        <f ca="1">SUMIFS(OUT!$F$2:$F$11000,OUT!$H$2:$H$11000,H1410,OUT!$D$2:$D$11000,"Out",OUT!$E$2:$E$11000,"Bathroom")</f>
        <v>0</v>
      </c>
      <c r="M1410" s="52">
        <f ca="1">SUMIFS(OUT!$F$2:$F$11000,OUT!$H$2:$H$11000,H1410,OUT!$D$2:$D$11000,"Out",OUT!$E$2:$E$11000,"Alfa")</f>
        <v>0</v>
      </c>
      <c r="N1410" s="52" t="e">
        <f>SUMIFS(OUT!$F$2:$F$11000,OUT!$H$2:$H$101007,H1410,OUT!$D$2:$D$11000,"Out",OUT!$E$2:$E$11000,"Jajan")</f>
        <v>#VALUE!</v>
      </c>
      <c r="O1410" s="52">
        <f ca="1">SUMIFS(OUT!$F$2:$F$11000,OUT!$H$2:$H$11000,H1410,OUT!$D$2:$D$11000,"Out",OUT!$E$2:$E$11000,"Kitchen")</f>
        <v>0</v>
      </c>
      <c r="P1410" s="52">
        <f ca="1">SUMIFS(OUT!$F$2:$F$11000,OUT!$H$2:$H$11000,H1410,OUT!$D$2:$D$11000,"Out",OUT!$E$2:$E$11000,"Loandry")</f>
        <v>0</v>
      </c>
      <c r="Q1410" s="52">
        <f ca="1">SUMIFS(OUT!$F$2:$F$11000,OUT!$H$2:$H$11000,H1410,OUT!$D$2:$D$11000,"Out",OUT!$E$2:$E$11000,"Mio")</f>
        <v>0</v>
      </c>
      <c r="R1410" s="52">
        <f ca="1">SUMIFS(OUT!$F$2:$F$11000,OUT!$H$2:$H$11000,H1410,OUT!$D$2:$D$11000,"Out",OUT!$E$2:$E$11000,"Sedekah")</f>
        <v>0</v>
      </c>
      <c r="S1410" s="52">
        <f ca="1">SUMIFS(OUT!$F$2:$F$11000,OUT!$H$2:$H$11000,H1410,OUT!$D$2:$D$11000,"Out",OUT!$E$2:$E$11000,"Zela")</f>
        <v>0</v>
      </c>
      <c r="T1410" s="52">
        <f ca="1">SUMIFS(OUT!$F$2:$F$11000,OUT!$H$2:$H$11000,H1410,OUT!$D$2:$D$11000,"Out",OUT!$E$2:$E$11000,"Iqbal")</f>
        <v>0</v>
      </c>
    </row>
    <row r="1411" spans="7:20" x14ac:dyDescent="0.2">
      <c r="G1411" s="50"/>
      <c r="H1411" s="51" t="str">
        <f t="shared" si="0"/>
        <v/>
      </c>
      <c r="I1411" s="52" t="e">
        <f>SUMIFS(OUT!$F$2:$F$11000,OUT!$H$2:$H$11000,H1411,OUT!$D$2:$D$101007,"In")</f>
        <v>#VALUE!</v>
      </c>
      <c r="J1411" s="52">
        <f ca="1">SUMIFS(OUT!$F$2:$F$11000,OUT!$H$2:$H$11000,H1411,OUT!$D$2:$D$11000,"Out")</f>
        <v>0</v>
      </c>
      <c r="K1411" s="52">
        <f ca="1">SUMIFS(OUT!$F$2:$F$11000,OUT!$H$2:$H$11000,H1411,OUT!$D$2:$D$11000,"Out",OUT!$E$2:$E$11000,"Fix")</f>
        <v>0</v>
      </c>
      <c r="L1411" s="52">
        <f ca="1">SUMIFS(OUT!$F$2:$F$11000,OUT!$H$2:$H$11000,H1411,OUT!$D$2:$D$11000,"Out",OUT!$E$2:$E$11000,"Bathroom")</f>
        <v>0</v>
      </c>
      <c r="M1411" s="52">
        <f ca="1">SUMIFS(OUT!$F$2:$F$11000,OUT!$H$2:$H$11000,H1411,OUT!$D$2:$D$11000,"Out",OUT!$E$2:$E$11000,"Alfa")</f>
        <v>0</v>
      </c>
      <c r="N1411" s="52" t="e">
        <f>SUMIFS(OUT!$F$2:$F$11000,OUT!$H$2:$H$101007,H1411,OUT!$D$2:$D$11000,"Out",OUT!$E$2:$E$11000,"Jajan")</f>
        <v>#VALUE!</v>
      </c>
      <c r="O1411" s="52">
        <f ca="1">SUMIFS(OUT!$F$2:$F$11000,OUT!$H$2:$H$11000,H1411,OUT!$D$2:$D$11000,"Out",OUT!$E$2:$E$11000,"Kitchen")</f>
        <v>0</v>
      </c>
      <c r="P1411" s="52">
        <f ca="1">SUMIFS(OUT!$F$2:$F$11000,OUT!$H$2:$H$11000,H1411,OUT!$D$2:$D$11000,"Out",OUT!$E$2:$E$11000,"Loandry")</f>
        <v>0</v>
      </c>
      <c r="Q1411" s="52">
        <f ca="1">SUMIFS(OUT!$F$2:$F$11000,OUT!$H$2:$H$11000,H1411,OUT!$D$2:$D$11000,"Out",OUT!$E$2:$E$11000,"Mio")</f>
        <v>0</v>
      </c>
      <c r="R1411" s="52">
        <f ca="1">SUMIFS(OUT!$F$2:$F$11000,OUT!$H$2:$H$11000,H1411,OUT!$D$2:$D$11000,"Out",OUT!$E$2:$E$11000,"Sedekah")</f>
        <v>0</v>
      </c>
      <c r="S1411" s="52">
        <f ca="1">SUMIFS(OUT!$F$2:$F$11000,OUT!$H$2:$H$11000,H1411,OUT!$D$2:$D$11000,"Out",OUT!$E$2:$E$11000,"Zela")</f>
        <v>0</v>
      </c>
      <c r="T1411" s="52">
        <f ca="1">SUMIFS(OUT!$F$2:$F$11000,OUT!$H$2:$H$11000,H1411,OUT!$D$2:$D$11000,"Out",OUT!$E$2:$E$11000,"Iqbal")</f>
        <v>0</v>
      </c>
    </row>
    <row r="1412" spans="7:20" x14ac:dyDescent="0.2">
      <c r="G1412" s="50"/>
      <c r="H1412" s="51" t="str">
        <f t="shared" si="0"/>
        <v/>
      </c>
      <c r="I1412" s="52" t="e">
        <f>SUMIFS(OUT!$F$2:$F$11000,OUT!$H$2:$H$11000,H1412,OUT!$D$2:$D$101007,"In")</f>
        <v>#VALUE!</v>
      </c>
      <c r="J1412" s="52">
        <f ca="1">SUMIFS(OUT!$F$2:$F$11000,OUT!$H$2:$H$11000,H1412,OUT!$D$2:$D$11000,"Out")</f>
        <v>0</v>
      </c>
      <c r="K1412" s="52">
        <f ca="1">SUMIFS(OUT!$F$2:$F$11000,OUT!$H$2:$H$11000,H1412,OUT!$D$2:$D$11000,"Out",OUT!$E$2:$E$11000,"Fix")</f>
        <v>0</v>
      </c>
      <c r="L1412" s="52">
        <f ca="1">SUMIFS(OUT!$F$2:$F$11000,OUT!$H$2:$H$11000,H1412,OUT!$D$2:$D$11000,"Out",OUT!$E$2:$E$11000,"Bathroom")</f>
        <v>0</v>
      </c>
      <c r="M1412" s="52">
        <f ca="1">SUMIFS(OUT!$F$2:$F$11000,OUT!$H$2:$H$11000,H1412,OUT!$D$2:$D$11000,"Out",OUT!$E$2:$E$11000,"Alfa")</f>
        <v>0</v>
      </c>
      <c r="N1412" s="52" t="e">
        <f>SUMIFS(OUT!$F$2:$F$11000,OUT!$H$2:$H$101007,H1412,OUT!$D$2:$D$11000,"Out",OUT!$E$2:$E$11000,"Jajan")</f>
        <v>#VALUE!</v>
      </c>
      <c r="O1412" s="52">
        <f ca="1">SUMIFS(OUT!$F$2:$F$11000,OUT!$H$2:$H$11000,H1412,OUT!$D$2:$D$11000,"Out",OUT!$E$2:$E$11000,"Kitchen")</f>
        <v>0</v>
      </c>
      <c r="P1412" s="52">
        <f ca="1">SUMIFS(OUT!$F$2:$F$11000,OUT!$H$2:$H$11000,H1412,OUT!$D$2:$D$11000,"Out",OUT!$E$2:$E$11000,"Loandry")</f>
        <v>0</v>
      </c>
      <c r="Q1412" s="52">
        <f ca="1">SUMIFS(OUT!$F$2:$F$11000,OUT!$H$2:$H$11000,H1412,OUT!$D$2:$D$11000,"Out",OUT!$E$2:$E$11000,"Mio")</f>
        <v>0</v>
      </c>
      <c r="R1412" s="52">
        <f ca="1">SUMIFS(OUT!$F$2:$F$11000,OUT!$H$2:$H$11000,H1412,OUT!$D$2:$D$11000,"Out",OUT!$E$2:$E$11000,"Sedekah")</f>
        <v>0</v>
      </c>
      <c r="S1412" s="52">
        <f ca="1">SUMIFS(OUT!$F$2:$F$11000,OUT!$H$2:$H$11000,H1412,OUT!$D$2:$D$11000,"Out",OUT!$E$2:$E$11000,"Zela")</f>
        <v>0</v>
      </c>
      <c r="T1412" s="52">
        <f ca="1">SUMIFS(OUT!$F$2:$F$11000,OUT!$H$2:$H$11000,H1412,OUT!$D$2:$D$11000,"Out",OUT!$E$2:$E$11000,"Iqbal")</f>
        <v>0</v>
      </c>
    </row>
    <row r="1413" spans="7:20" x14ac:dyDescent="0.2">
      <c r="G1413" s="50"/>
      <c r="H1413" s="51" t="str">
        <f t="shared" si="0"/>
        <v/>
      </c>
      <c r="I1413" s="52" t="e">
        <f>SUMIFS(OUT!$F$2:$F$11000,OUT!$H$2:$H$11000,H1413,OUT!$D$2:$D$101007,"In")</f>
        <v>#VALUE!</v>
      </c>
      <c r="J1413" s="52">
        <f ca="1">SUMIFS(OUT!$F$2:$F$11000,OUT!$H$2:$H$11000,H1413,OUT!$D$2:$D$11000,"Out")</f>
        <v>0</v>
      </c>
      <c r="K1413" s="52">
        <f ca="1">SUMIFS(OUT!$F$2:$F$11000,OUT!$H$2:$H$11000,H1413,OUT!$D$2:$D$11000,"Out",OUT!$E$2:$E$11000,"Fix")</f>
        <v>0</v>
      </c>
      <c r="L1413" s="52">
        <f ca="1">SUMIFS(OUT!$F$2:$F$11000,OUT!$H$2:$H$11000,H1413,OUT!$D$2:$D$11000,"Out",OUT!$E$2:$E$11000,"Bathroom")</f>
        <v>0</v>
      </c>
      <c r="M1413" s="52">
        <f ca="1">SUMIFS(OUT!$F$2:$F$11000,OUT!$H$2:$H$11000,H1413,OUT!$D$2:$D$11000,"Out",OUT!$E$2:$E$11000,"Alfa")</f>
        <v>0</v>
      </c>
      <c r="N1413" s="52" t="e">
        <f>SUMIFS(OUT!$F$2:$F$11000,OUT!$H$2:$H$101007,H1413,OUT!$D$2:$D$11000,"Out",OUT!$E$2:$E$11000,"Jajan")</f>
        <v>#VALUE!</v>
      </c>
      <c r="O1413" s="52">
        <f ca="1">SUMIFS(OUT!$F$2:$F$11000,OUT!$H$2:$H$11000,H1413,OUT!$D$2:$D$11000,"Out",OUT!$E$2:$E$11000,"Kitchen")</f>
        <v>0</v>
      </c>
      <c r="P1413" s="52">
        <f ca="1">SUMIFS(OUT!$F$2:$F$11000,OUT!$H$2:$H$11000,H1413,OUT!$D$2:$D$11000,"Out",OUT!$E$2:$E$11000,"Loandry")</f>
        <v>0</v>
      </c>
      <c r="Q1413" s="52">
        <f ca="1">SUMIFS(OUT!$F$2:$F$11000,OUT!$H$2:$H$11000,H1413,OUT!$D$2:$D$11000,"Out",OUT!$E$2:$E$11000,"Mio")</f>
        <v>0</v>
      </c>
      <c r="R1413" s="52">
        <f ca="1">SUMIFS(OUT!$F$2:$F$11000,OUT!$H$2:$H$11000,H1413,OUT!$D$2:$D$11000,"Out",OUT!$E$2:$E$11000,"Sedekah")</f>
        <v>0</v>
      </c>
      <c r="S1413" s="52">
        <f ca="1">SUMIFS(OUT!$F$2:$F$11000,OUT!$H$2:$H$11000,H1413,OUT!$D$2:$D$11000,"Out",OUT!$E$2:$E$11000,"Zela")</f>
        <v>0</v>
      </c>
      <c r="T1413" s="52">
        <f ca="1">SUMIFS(OUT!$F$2:$F$11000,OUT!$H$2:$H$11000,H1413,OUT!$D$2:$D$11000,"Out",OUT!$E$2:$E$11000,"Iqbal")</f>
        <v>0</v>
      </c>
    </row>
    <row r="1414" spans="7:20" x14ac:dyDescent="0.2">
      <c r="G1414" s="50"/>
      <c r="H1414" s="51" t="str">
        <f t="shared" si="0"/>
        <v/>
      </c>
      <c r="I1414" s="52" t="e">
        <f>SUMIFS(OUT!$F$2:$F$11000,OUT!$H$2:$H$11000,H1414,OUT!$D$2:$D$101007,"In")</f>
        <v>#VALUE!</v>
      </c>
      <c r="J1414" s="52">
        <f ca="1">SUMIFS(OUT!$F$2:$F$11000,OUT!$H$2:$H$11000,H1414,OUT!$D$2:$D$11000,"Out")</f>
        <v>0</v>
      </c>
      <c r="K1414" s="52">
        <f ca="1">SUMIFS(OUT!$F$2:$F$11000,OUT!$H$2:$H$11000,H1414,OUT!$D$2:$D$11000,"Out",OUT!$E$2:$E$11000,"Fix")</f>
        <v>0</v>
      </c>
      <c r="L1414" s="52">
        <f ca="1">SUMIFS(OUT!$F$2:$F$11000,OUT!$H$2:$H$11000,H1414,OUT!$D$2:$D$11000,"Out",OUT!$E$2:$E$11000,"Bathroom")</f>
        <v>0</v>
      </c>
      <c r="M1414" s="52">
        <f ca="1">SUMIFS(OUT!$F$2:$F$11000,OUT!$H$2:$H$11000,H1414,OUT!$D$2:$D$11000,"Out",OUT!$E$2:$E$11000,"Alfa")</f>
        <v>0</v>
      </c>
      <c r="N1414" s="52" t="e">
        <f>SUMIFS(OUT!$F$2:$F$11000,OUT!$H$2:$H$101007,H1414,OUT!$D$2:$D$11000,"Out",OUT!$E$2:$E$11000,"Jajan")</f>
        <v>#VALUE!</v>
      </c>
      <c r="O1414" s="52">
        <f ca="1">SUMIFS(OUT!$F$2:$F$11000,OUT!$H$2:$H$11000,H1414,OUT!$D$2:$D$11000,"Out",OUT!$E$2:$E$11000,"Kitchen")</f>
        <v>0</v>
      </c>
      <c r="P1414" s="52">
        <f ca="1">SUMIFS(OUT!$F$2:$F$11000,OUT!$H$2:$H$11000,H1414,OUT!$D$2:$D$11000,"Out",OUT!$E$2:$E$11000,"Loandry")</f>
        <v>0</v>
      </c>
      <c r="Q1414" s="52">
        <f ca="1">SUMIFS(OUT!$F$2:$F$11000,OUT!$H$2:$H$11000,H1414,OUT!$D$2:$D$11000,"Out",OUT!$E$2:$E$11000,"Mio")</f>
        <v>0</v>
      </c>
      <c r="R1414" s="52">
        <f ca="1">SUMIFS(OUT!$F$2:$F$11000,OUT!$H$2:$H$11000,H1414,OUT!$D$2:$D$11000,"Out",OUT!$E$2:$E$11000,"Sedekah")</f>
        <v>0</v>
      </c>
      <c r="S1414" s="52">
        <f ca="1">SUMIFS(OUT!$F$2:$F$11000,OUT!$H$2:$H$11000,H1414,OUT!$D$2:$D$11000,"Out",OUT!$E$2:$E$11000,"Zela")</f>
        <v>0</v>
      </c>
      <c r="T1414" s="52">
        <f ca="1">SUMIFS(OUT!$F$2:$F$11000,OUT!$H$2:$H$11000,H1414,OUT!$D$2:$D$11000,"Out",OUT!$E$2:$E$11000,"Iqbal")</f>
        <v>0</v>
      </c>
    </row>
    <row r="1415" spans="7:20" x14ac:dyDescent="0.2">
      <c r="G1415" s="50"/>
      <c r="H1415" s="51" t="str">
        <f t="shared" si="0"/>
        <v/>
      </c>
      <c r="I1415" s="52" t="e">
        <f>SUMIFS(OUT!$F$2:$F$11000,OUT!$H$2:$H$11000,H1415,OUT!$D$2:$D$101007,"In")</f>
        <v>#VALUE!</v>
      </c>
      <c r="J1415" s="52">
        <f ca="1">SUMIFS(OUT!$F$2:$F$11000,OUT!$H$2:$H$11000,H1415,OUT!$D$2:$D$11000,"Out")</f>
        <v>0</v>
      </c>
      <c r="K1415" s="52">
        <f ca="1">SUMIFS(OUT!$F$2:$F$11000,OUT!$H$2:$H$11000,H1415,OUT!$D$2:$D$11000,"Out",OUT!$E$2:$E$11000,"Fix")</f>
        <v>0</v>
      </c>
      <c r="L1415" s="52">
        <f ca="1">SUMIFS(OUT!$F$2:$F$11000,OUT!$H$2:$H$11000,H1415,OUT!$D$2:$D$11000,"Out",OUT!$E$2:$E$11000,"Bathroom")</f>
        <v>0</v>
      </c>
      <c r="M1415" s="52">
        <f ca="1">SUMIFS(OUT!$F$2:$F$11000,OUT!$H$2:$H$11000,H1415,OUT!$D$2:$D$11000,"Out",OUT!$E$2:$E$11000,"Alfa")</f>
        <v>0</v>
      </c>
      <c r="N1415" s="52" t="e">
        <f>SUMIFS(OUT!$F$2:$F$11000,OUT!$H$2:$H$101007,H1415,OUT!$D$2:$D$11000,"Out",OUT!$E$2:$E$11000,"Jajan")</f>
        <v>#VALUE!</v>
      </c>
      <c r="O1415" s="52">
        <f ca="1">SUMIFS(OUT!$F$2:$F$11000,OUT!$H$2:$H$11000,H1415,OUT!$D$2:$D$11000,"Out",OUT!$E$2:$E$11000,"Kitchen")</f>
        <v>0</v>
      </c>
      <c r="P1415" s="52">
        <f ca="1">SUMIFS(OUT!$F$2:$F$11000,OUT!$H$2:$H$11000,H1415,OUT!$D$2:$D$11000,"Out",OUT!$E$2:$E$11000,"Loandry")</f>
        <v>0</v>
      </c>
      <c r="Q1415" s="52">
        <f ca="1">SUMIFS(OUT!$F$2:$F$11000,OUT!$H$2:$H$11000,H1415,OUT!$D$2:$D$11000,"Out",OUT!$E$2:$E$11000,"Mio")</f>
        <v>0</v>
      </c>
      <c r="R1415" s="52">
        <f ca="1">SUMIFS(OUT!$F$2:$F$11000,OUT!$H$2:$H$11000,H1415,OUT!$D$2:$D$11000,"Out",OUT!$E$2:$E$11000,"Sedekah")</f>
        <v>0</v>
      </c>
      <c r="S1415" s="52">
        <f ca="1">SUMIFS(OUT!$F$2:$F$11000,OUT!$H$2:$H$11000,H1415,OUT!$D$2:$D$11000,"Out",OUT!$E$2:$E$11000,"Zela")</f>
        <v>0</v>
      </c>
      <c r="T1415" s="52">
        <f ca="1">SUMIFS(OUT!$F$2:$F$11000,OUT!$H$2:$H$11000,H1415,OUT!$D$2:$D$11000,"Out",OUT!$E$2:$E$11000,"Iqbal")</f>
        <v>0</v>
      </c>
    </row>
    <row r="1416" spans="7:20" x14ac:dyDescent="0.2">
      <c r="G1416" s="50"/>
      <c r="H1416" s="51" t="str">
        <f t="shared" si="0"/>
        <v/>
      </c>
      <c r="I1416" s="52" t="e">
        <f>SUMIFS(OUT!$F$2:$F$11000,OUT!$H$2:$H$11000,H1416,OUT!$D$2:$D$101007,"In")</f>
        <v>#VALUE!</v>
      </c>
      <c r="J1416" s="52">
        <f ca="1">SUMIFS(OUT!$F$2:$F$11000,OUT!$H$2:$H$11000,H1416,OUT!$D$2:$D$11000,"Out")</f>
        <v>0</v>
      </c>
      <c r="K1416" s="52">
        <f ca="1">SUMIFS(OUT!$F$2:$F$11000,OUT!$H$2:$H$11000,H1416,OUT!$D$2:$D$11000,"Out",OUT!$E$2:$E$11000,"Fix")</f>
        <v>0</v>
      </c>
      <c r="L1416" s="52">
        <f ca="1">SUMIFS(OUT!$F$2:$F$11000,OUT!$H$2:$H$11000,H1416,OUT!$D$2:$D$11000,"Out",OUT!$E$2:$E$11000,"Bathroom")</f>
        <v>0</v>
      </c>
      <c r="M1416" s="52">
        <f ca="1">SUMIFS(OUT!$F$2:$F$11000,OUT!$H$2:$H$11000,H1416,OUT!$D$2:$D$11000,"Out",OUT!$E$2:$E$11000,"Alfa")</f>
        <v>0</v>
      </c>
      <c r="N1416" s="52" t="e">
        <f>SUMIFS(OUT!$F$2:$F$11000,OUT!$H$2:$H$101007,H1416,OUT!$D$2:$D$11000,"Out",OUT!$E$2:$E$11000,"Jajan")</f>
        <v>#VALUE!</v>
      </c>
      <c r="O1416" s="52">
        <f ca="1">SUMIFS(OUT!$F$2:$F$11000,OUT!$H$2:$H$11000,H1416,OUT!$D$2:$D$11000,"Out",OUT!$E$2:$E$11000,"Kitchen")</f>
        <v>0</v>
      </c>
      <c r="P1416" s="52">
        <f ca="1">SUMIFS(OUT!$F$2:$F$11000,OUT!$H$2:$H$11000,H1416,OUT!$D$2:$D$11000,"Out",OUT!$E$2:$E$11000,"Loandry")</f>
        <v>0</v>
      </c>
      <c r="Q1416" s="52">
        <f ca="1">SUMIFS(OUT!$F$2:$F$11000,OUT!$H$2:$H$11000,H1416,OUT!$D$2:$D$11000,"Out",OUT!$E$2:$E$11000,"Mio")</f>
        <v>0</v>
      </c>
      <c r="R1416" s="52">
        <f ca="1">SUMIFS(OUT!$F$2:$F$11000,OUT!$H$2:$H$11000,H1416,OUT!$D$2:$D$11000,"Out",OUT!$E$2:$E$11000,"Sedekah")</f>
        <v>0</v>
      </c>
      <c r="S1416" s="52">
        <f ca="1">SUMIFS(OUT!$F$2:$F$11000,OUT!$H$2:$H$11000,H1416,OUT!$D$2:$D$11000,"Out",OUT!$E$2:$E$11000,"Zela")</f>
        <v>0</v>
      </c>
      <c r="T1416" s="52">
        <f ca="1">SUMIFS(OUT!$F$2:$F$11000,OUT!$H$2:$H$11000,H1416,OUT!$D$2:$D$11000,"Out",OUT!$E$2:$E$11000,"Iqbal")</f>
        <v>0</v>
      </c>
    </row>
    <row r="1417" spans="7:20" x14ac:dyDescent="0.2">
      <c r="G1417" s="50"/>
      <c r="H1417" s="51" t="str">
        <f t="shared" si="0"/>
        <v/>
      </c>
      <c r="I1417" s="52" t="e">
        <f>SUMIFS(OUT!$F$2:$F$11000,OUT!$H$2:$H$11000,H1417,OUT!$D$2:$D$101007,"In")</f>
        <v>#VALUE!</v>
      </c>
      <c r="J1417" s="52">
        <f ca="1">SUMIFS(OUT!$F$2:$F$11000,OUT!$H$2:$H$11000,H1417,OUT!$D$2:$D$11000,"Out")</f>
        <v>0</v>
      </c>
      <c r="K1417" s="52">
        <f ca="1">SUMIFS(OUT!$F$2:$F$11000,OUT!$H$2:$H$11000,H1417,OUT!$D$2:$D$11000,"Out",OUT!$E$2:$E$11000,"Fix")</f>
        <v>0</v>
      </c>
      <c r="L1417" s="52">
        <f ca="1">SUMIFS(OUT!$F$2:$F$11000,OUT!$H$2:$H$11000,H1417,OUT!$D$2:$D$11000,"Out",OUT!$E$2:$E$11000,"Bathroom")</f>
        <v>0</v>
      </c>
      <c r="M1417" s="52">
        <f ca="1">SUMIFS(OUT!$F$2:$F$11000,OUT!$H$2:$H$11000,H1417,OUT!$D$2:$D$11000,"Out",OUT!$E$2:$E$11000,"Alfa")</f>
        <v>0</v>
      </c>
      <c r="N1417" s="52" t="e">
        <f>SUMIFS(OUT!$F$2:$F$11000,OUT!$H$2:$H$101007,H1417,OUT!$D$2:$D$11000,"Out",OUT!$E$2:$E$11000,"Jajan")</f>
        <v>#VALUE!</v>
      </c>
      <c r="O1417" s="52">
        <f ca="1">SUMIFS(OUT!$F$2:$F$11000,OUT!$H$2:$H$11000,H1417,OUT!$D$2:$D$11000,"Out",OUT!$E$2:$E$11000,"Kitchen")</f>
        <v>0</v>
      </c>
      <c r="P1417" s="52">
        <f ca="1">SUMIFS(OUT!$F$2:$F$11000,OUT!$H$2:$H$11000,H1417,OUT!$D$2:$D$11000,"Out",OUT!$E$2:$E$11000,"Loandry")</f>
        <v>0</v>
      </c>
      <c r="Q1417" s="52">
        <f ca="1">SUMIFS(OUT!$F$2:$F$11000,OUT!$H$2:$H$11000,H1417,OUT!$D$2:$D$11000,"Out",OUT!$E$2:$E$11000,"Mio")</f>
        <v>0</v>
      </c>
      <c r="R1417" s="52">
        <f ca="1">SUMIFS(OUT!$F$2:$F$11000,OUT!$H$2:$H$11000,H1417,OUT!$D$2:$D$11000,"Out",OUT!$E$2:$E$11000,"Sedekah")</f>
        <v>0</v>
      </c>
      <c r="S1417" s="52">
        <f ca="1">SUMIFS(OUT!$F$2:$F$11000,OUT!$H$2:$H$11000,H1417,OUT!$D$2:$D$11000,"Out",OUT!$E$2:$E$11000,"Zela")</f>
        <v>0</v>
      </c>
      <c r="T1417" s="52">
        <f ca="1">SUMIFS(OUT!$F$2:$F$11000,OUT!$H$2:$H$11000,H1417,OUT!$D$2:$D$11000,"Out",OUT!$E$2:$E$11000,"Iqbal")</f>
        <v>0</v>
      </c>
    </row>
    <row r="1418" spans="7:20" x14ac:dyDescent="0.2">
      <c r="G1418" s="50"/>
      <c r="H1418" s="51" t="str">
        <f t="shared" si="0"/>
        <v/>
      </c>
      <c r="I1418" s="52" t="e">
        <f>SUMIFS(OUT!$F$2:$F$11000,OUT!$H$2:$H$11000,H1418,OUT!$D$2:$D$101007,"In")</f>
        <v>#VALUE!</v>
      </c>
      <c r="J1418" s="52">
        <f ca="1">SUMIFS(OUT!$F$2:$F$11000,OUT!$H$2:$H$11000,H1418,OUT!$D$2:$D$11000,"Out")</f>
        <v>0</v>
      </c>
      <c r="K1418" s="52">
        <f ca="1">SUMIFS(OUT!$F$2:$F$11000,OUT!$H$2:$H$11000,H1418,OUT!$D$2:$D$11000,"Out",OUT!$E$2:$E$11000,"Fix")</f>
        <v>0</v>
      </c>
      <c r="L1418" s="52">
        <f ca="1">SUMIFS(OUT!$F$2:$F$11000,OUT!$H$2:$H$11000,H1418,OUT!$D$2:$D$11000,"Out",OUT!$E$2:$E$11000,"Bathroom")</f>
        <v>0</v>
      </c>
      <c r="M1418" s="52">
        <f ca="1">SUMIFS(OUT!$F$2:$F$11000,OUT!$H$2:$H$11000,H1418,OUT!$D$2:$D$11000,"Out",OUT!$E$2:$E$11000,"Alfa")</f>
        <v>0</v>
      </c>
      <c r="N1418" s="52" t="e">
        <f>SUMIFS(OUT!$F$2:$F$11000,OUT!$H$2:$H$101007,H1418,OUT!$D$2:$D$11000,"Out",OUT!$E$2:$E$11000,"Jajan")</f>
        <v>#VALUE!</v>
      </c>
      <c r="O1418" s="52">
        <f ca="1">SUMIFS(OUT!$F$2:$F$11000,OUT!$H$2:$H$11000,H1418,OUT!$D$2:$D$11000,"Out",OUT!$E$2:$E$11000,"Kitchen")</f>
        <v>0</v>
      </c>
      <c r="P1418" s="52">
        <f ca="1">SUMIFS(OUT!$F$2:$F$11000,OUT!$H$2:$H$11000,H1418,OUT!$D$2:$D$11000,"Out",OUT!$E$2:$E$11000,"Loandry")</f>
        <v>0</v>
      </c>
      <c r="Q1418" s="52">
        <f ca="1">SUMIFS(OUT!$F$2:$F$11000,OUT!$H$2:$H$11000,H1418,OUT!$D$2:$D$11000,"Out",OUT!$E$2:$E$11000,"Mio")</f>
        <v>0</v>
      </c>
      <c r="R1418" s="52">
        <f ca="1">SUMIFS(OUT!$F$2:$F$11000,OUT!$H$2:$H$11000,H1418,OUT!$D$2:$D$11000,"Out",OUT!$E$2:$E$11000,"Sedekah")</f>
        <v>0</v>
      </c>
      <c r="S1418" s="52">
        <f ca="1">SUMIFS(OUT!$F$2:$F$11000,OUT!$H$2:$H$11000,H1418,OUT!$D$2:$D$11000,"Out",OUT!$E$2:$E$11000,"Zela")</f>
        <v>0</v>
      </c>
      <c r="T1418" s="52">
        <f ca="1">SUMIFS(OUT!$F$2:$F$11000,OUT!$H$2:$H$11000,H1418,OUT!$D$2:$D$11000,"Out",OUT!$E$2:$E$11000,"Iqbal")</f>
        <v>0</v>
      </c>
    </row>
    <row r="1419" spans="7:20" x14ac:dyDescent="0.2">
      <c r="G1419" s="50"/>
      <c r="H1419" s="51" t="str">
        <f t="shared" si="0"/>
        <v/>
      </c>
      <c r="I1419" s="52" t="e">
        <f>SUMIFS(OUT!$F$2:$F$11000,OUT!$H$2:$H$11000,H1419,OUT!$D$2:$D$101007,"In")</f>
        <v>#VALUE!</v>
      </c>
      <c r="J1419" s="52">
        <f ca="1">SUMIFS(OUT!$F$2:$F$11000,OUT!$H$2:$H$11000,H1419,OUT!$D$2:$D$11000,"Out")</f>
        <v>0</v>
      </c>
      <c r="K1419" s="52">
        <f ca="1">SUMIFS(OUT!$F$2:$F$11000,OUT!$H$2:$H$11000,H1419,OUT!$D$2:$D$11000,"Out",OUT!$E$2:$E$11000,"Fix")</f>
        <v>0</v>
      </c>
      <c r="L1419" s="52">
        <f ca="1">SUMIFS(OUT!$F$2:$F$11000,OUT!$H$2:$H$11000,H1419,OUT!$D$2:$D$11000,"Out",OUT!$E$2:$E$11000,"Bathroom")</f>
        <v>0</v>
      </c>
      <c r="M1419" s="52">
        <f ca="1">SUMIFS(OUT!$F$2:$F$11000,OUT!$H$2:$H$11000,H1419,OUT!$D$2:$D$11000,"Out",OUT!$E$2:$E$11000,"Alfa")</f>
        <v>0</v>
      </c>
      <c r="N1419" s="52" t="e">
        <f>SUMIFS(OUT!$F$2:$F$11000,OUT!$H$2:$H$101007,H1419,OUT!$D$2:$D$11000,"Out",OUT!$E$2:$E$11000,"Jajan")</f>
        <v>#VALUE!</v>
      </c>
      <c r="O1419" s="52">
        <f ca="1">SUMIFS(OUT!$F$2:$F$11000,OUT!$H$2:$H$11000,H1419,OUT!$D$2:$D$11000,"Out",OUT!$E$2:$E$11000,"Kitchen")</f>
        <v>0</v>
      </c>
      <c r="P1419" s="52">
        <f ca="1">SUMIFS(OUT!$F$2:$F$11000,OUT!$H$2:$H$11000,H1419,OUT!$D$2:$D$11000,"Out",OUT!$E$2:$E$11000,"Loandry")</f>
        <v>0</v>
      </c>
      <c r="Q1419" s="52">
        <f ca="1">SUMIFS(OUT!$F$2:$F$11000,OUT!$H$2:$H$11000,H1419,OUT!$D$2:$D$11000,"Out",OUT!$E$2:$E$11000,"Mio")</f>
        <v>0</v>
      </c>
      <c r="R1419" s="52">
        <f ca="1">SUMIFS(OUT!$F$2:$F$11000,OUT!$H$2:$H$11000,H1419,OUT!$D$2:$D$11000,"Out",OUT!$E$2:$E$11000,"Sedekah")</f>
        <v>0</v>
      </c>
      <c r="S1419" s="52">
        <f ca="1">SUMIFS(OUT!$F$2:$F$11000,OUT!$H$2:$H$11000,H1419,OUT!$D$2:$D$11000,"Out",OUT!$E$2:$E$11000,"Zela")</f>
        <v>0</v>
      </c>
      <c r="T1419" s="52">
        <f ca="1">SUMIFS(OUT!$F$2:$F$11000,OUT!$H$2:$H$11000,H1419,OUT!$D$2:$D$11000,"Out",OUT!$E$2:$E$11000,"Iqbal")</f>
        <v>0</v>
      </c>
    </row>
    <row r="1420" spans="7:20" x14ac:dyDescent="0.2">
      <c r="G1420" s="50"/>
      <c r="H1420" s="51" t="str">
        <f t="shared" si="0"/>
        <v/>
      </c>
      <c r="I1420" s="52" t="e">
        <f>SUMIFS(OUT!$F$2:$F$11000,OUT!$H$2:$H$11000,H1420,OUT!$D$2:$D$101007,"In")</f>
        <v>#VALUE!</v>
      </c>
      <c r="J1420" s="52">
        <f ca="1">SUMIFS(OUT!$F$2:$F$11000,OUT!$H$2:$H$11000,H1420,OUT!$D$2:$D$11000,"Out")</f>
        <v>0</v>
      </c>
      <c r="K1420" s="52">
        <f ca="1">SUMIFS(OUT!$F$2:$F$11000,OUT!$H$2:$H$11000,H1420,OUT!$D$2:$D$11000,"Out",OUT!$E$2:$E$11000,"Fix")</f>
        <v>0</v>
      </c>
      <c r="L1420" s="52">
        <f ca="1">SUMIFS(OUT!$F$2:$F$11000,OUT!$H$2:$H$11000,H1420,OUT!$D$2:$D$11000,"Out",OUT!$E$2:$E$11000,"Bathroom")</f>
        <v>0</v>
      </c>
      <c r="M1420" s="52">
        <f ca="1">SUMIFS(OUT!$F$2:$F$11000,OUT!$H$2:$H$11000,H1420,OUT!$D$2:$D$11000,"Out",OUT!$E$2:$E$11000,"Alfa")</f>
        <v>0</v>
      </c>
      <c r="N1420" s="52" t="e">
        <f>SUMIFS(OUT!$F$2:$F$11000,OUT!$H$2:$H$101007,H1420,OUT!$D$2:$D$11000,"Out",OUT!$E$2:$E$11000,"Jajan")</f>
        <v>#VALUE!</v>
      </c>
      <c r="O1420" s="52">
        <f ca="1">SUMIFS(OUT!$F$2:$F$11000,OUT!$H$2:$H$11000,H1420,OUT!$D$2:$D$11000,"Out",OUT!$E$2:$E$11000,"Kitchen")</f>
        <v>0</v>
      </c>
      <c r="P1420" s="52">
        <f ca="1">SUMIFS(OUT!$F$2:$F$11000,OUT!$H$2:$H$11000,H1420,OUT!$D$2:$D$11000,"Out",OUT!$E$2:$E$11000,"Loandry")</f>
        <v>0</v>
      </c>
      <c r="Q1420" s="52">
        <f ca="1">SUMIFS(OUT!$F$2:$F$11000,OUT!$H$2:$H$11000,H1420,OUT!$D$2:$D$11000,"Out",OUT!$E$2:$E$11000,"Mio")</f>
        <v>0</v>
      </c>
      <c r="R1420" s="52">
        <f ca="1">SUMIFS(OUT!$F$2:$F$11000,OUT!$H$2:$H$11000,H1420,OUT!$D$2:$D$11000,"Out",OUT!$E$2:$E$11000,"Sedekah")</f>
        <v>0</v>
      </c>
      <c r="S1420" s="52">
        <f ca="1">SUMIFS(OUT!$F$2:$F$11000,OUT!$H$2:$H$11000,H1420,OUT!$D$2:$D$11000,"Out",OUT!$E$2:$E$11000,"Zela")</f>
        <v>0</v>
      </c>
      <c r="T1420" s="52">
        <f ca="1">SUMIFS(OUT!$F$2:$F$11000,OUT!$H$2:$H$11000,H1420,OUT!$D$2:$D$11000,"Out",OUT!$E$2:$E$11000,"Iqbal")</f>
        <v>0</v>
      </c>
    </row>
    <row r="1421" spans="7:20" x14ac:dyDescent="0.2">
      <c r="G1421" s="50"/>
      <c r="H1421" s="51" t="str">
        <f t="shared" si="0"/>
        <v/>
      </c>
      <c r="I1421" s="52" t="e">
        <f>SUMIFS(OUT!$F$2:$F$11000,OUT!$H$2:$H$11000,H1421,OUT!$D$2:$D$101007,"In")</f>
        <v>#VALUE!</v>
      </c>
      <c r="J1421" s="52">
        <f ca="1">SUMIFS(OUT!$F$2:$F$11000,OUT!$H$2:$H$11000,H1421,OUT!$D$2:$D$11000,"Out")</f>
        <v>0</v>
      </c>
      <c r="K1421" s="52">
        <f ca="1">SUMIFS(OUT!$F$2:$F$11000,OUT!$H$2:$H$11000,H1421,OUT!$D$2:$D$11000,"Out",OUT!$E$2:$E$11000,"Fix")</f>
        <v>0</v>
      </c>
      <c r="L1421" s="52">
        <f ca="1">SUMIFS(OUT!$F$2:$F$11000,OUT!$H$2:$H$11000,H1421,OUT!$D$2:$D$11000,"Out",OUT!$E$2:$E$11000,"Bathroom")</f>
        <v>0</v>
      </c>
      <c r="M1421" s="52">
        <f ca="1">SUMIFS(OUT!$F$2:$F$11000,OUT!$H$2:$H$11000,H1421,OUT!$D$2:$D$11000,"Out",OUT!$E$2:$E$11000,"Alfa")</f>
        <v>0</v>
      </c>
      <c r="N1421" s="52" t="e">
        <f>SUMIFS(OUT!$F$2:$F$11000,OUT!$H$2:$H$101007,H1421,OUT!$D$2:$D$11000,"Out",OUT!$E$2:$E$11000,"Jajan")</f>
        <v>#VALUE!</v>
      </c>
      <c r="O1421" s="52">
        <f ca="1">SUMIFS(OUT!$F$2:$F$11000,OUT!$H$2:$H$11000,H1421,OUT!$D$2:$D$11000,"Out",OUT!$E$2:$E$11000,"Kitchen")</f>
        <v>0</v>
      </c>
      <c r="P1421" s="52">
        <f ca="1">SUMIFS(OUT!$F$2:$F$11000,OUT!$H$2:$H$11000,H1421,OUT!$D$2:$D$11000,"Out",OUT!$E$2:$E$11000,"Loandry")</f>
        <v>0</v>
      </c>
      <c r="Q1421" s="52">
        <f ca="1">SUMIFS(OUT!$F$2:$F$11000,OUT!$H$2:$H$11000,H1421,OUT!$D$2:$D$11000,"Out",OUT!$E$2:$E$11000,"Mio")</f>
        <v>0</v>
      </c>
      <c r="R1421" s="52">
        <f ca="1">SUMIFS(OUT!$F$2:$F$11000,OUT!$H$2:$H$11000,H1421,OUT!$D$2:$D$11000,"Out",OUT!$E$2:$E$11000,"Sedekah")</f>
        <v>0</v>
      </c>
      <c r="S1421" s="52">
        <f ca="1">SUMIFS(OUT!$F$2:$F$11000,OUT!$H$2:$H$11000,H1421,OUT!$D$2:$D$11000,"Out",OUT!$E$2:$E$11000,"Zela")</f>
        <v>0</v>
      </c>
      <c r="T1421" s="52">
        <f ca="1">SUMIFS(OUT!$F$2:$F$11000,OUT!$H$2:$H$11000,H1421,OUT!$D$2:$D$11000,"Out",OUT!$E$2:$E$11000,"Iqbal")</f>
        <v>0</v>
      </c>
    </row>
    <row r="1422" spans="7:20" x14ac:dyDescent="0.2">
      <c r="G1422" s="50"/>
      <c r="H1422" s="51" t="str">
        <f t="shared" si="0"/>
        <v/>
      </c>
      <c r="I1422" s="52" t="e">
        <f>SUMIFS(OUT!$F$2:$F$11000,OUT!$H$2:$H$11000,H1422,OUT!$D$2:$D$101007,"In")</f>
        <v>#VALUE!</v>
      </c>
      <c r="J1422" s="52">
        <f ca="1">SUMIFS(OUT!$F$2:$F$11000,OUT!$H$2:$H$11000,H1422,OUT!$D$2:$D$11000,"Out")</f>
        <v>0</v>
      </c>
      <c r="K1422" s="52">
        <f ca="1">SUMIFS(OUT!$F$2:$F$11000,OUT!$H$2:$H$11000,H1422,OUT!$D$2:$D$11000,"Out",OUT!$E$2:$E$11000,"Fix")</f>
        <v>0</v>
      </c>
      <c r="L1422" s="52">
        <f ca="1">SUMIFS(OUT!$F$2:$F$11000,OUT!$H$2:$H$11000,H1422,OUT!$D$2:$D$11000,"Out",OUT!$E$2:$E$11000,"Bathroom")</f>
        <v>0</v>
      </c>
      <c r="M1422" s="52">
        <f ca="1">SUMIFS(OUT!$F$2:$F$11000,OUT!$H$2:$H$11000,H1422,OUT!$D$2:$D$11000,"Out",OUT!$E$2:$E$11000,"Alfa")</f>
        <v>0</v>
      </c>
      <c r="N1422" s="52" t="e">
        <f>SUMIFS(OUT!$F$2:$F$11000,OUT!$H$2:$H$101007,H1422,OUT!$D$2:$D$11000,"Out",OUT!$E$2:$E$11000,"Jajan")</f>
        <v>#VALUE!</v>
      </c>
      <c r="O1422" s="52">
        <f ca="1">SUMIFS(OUT!$F$2:$F$11000,OUT!$H$2:$H$11000,H1422,OUT!$D$2:$D$11000,"Out",OUT!$E$2:$E$11000,"Kitchen")</f>
        <v>0</v>
      </c>
      <c r="P1422" s="52">
        <f ca="1">SUMIFS(OUT!$F$2:$F$11000,OUT!$H$2:$H$11000,H1422,OUT!$D$2:$D$11000,"Out",OUT!$E$2:$E$11000,"Loandry")</f>
        <v>0</v>
      </c>
      <c r="Q1422" s="52">
        <f ca="1">SUMIFS(OUT!$F$2:$F$11000,OUT!$H$2:$H$11000,H1422,OUT!$D$2:$D$11000,"Out",OUT!$E$2:$E$11000,"Mio")</f>
        <v>0</v>
      </c>
      <c r="R1422" s="52">
        <f ca="1">SUMIFS(OUT!$F$2:$F$11000,OUT!$H$2:$H$11000,H1422,OUT!$D$2:$D$11000,"Out",OUT!$E$2:$E$11000,"Sedekah")</f>
        <v>0</v>
      </c>
      <c r="S1422" s="52">
        <f ca="1">SUMIFS(OUT!$F$2:$F$11000,OUT!$H$2:$H$11000,H1422,OUT!$D$2:$D$11000,"Out",OUT!$E$2:$E$11000,"Zela")</f>
        <v>0</v>
      </c>
      <c r="T1422" s="52">
        <f ca="1">SUMIFS(OUT!$F$2:$F$11000,OUT!$H$2:$H$11000,H1422,OUT!$D$2:$D$11000,"Out",OUT!$E$2:$E$11000,"Iqbal")</f>
        <v>0</v>
      </c>
    </row>
    <row r="1423" spans="7:20" x14ac:dyDescent="0.2">
      <c r="G1423" s="50"/>
      <c r="H1423" s="51" t="str">
        <f t="shared" si="0"/>
        <v/>
      </c>
      <c r="I1423" s="52" t="e">
        <f>SUMIFS(OUT!$F$2:$F$11000,OUT!$H$2:$H$11000,H1423,OUT!$D$2:$D$101007,"In")</f>
        <v>#VALUE!</v>
      </c>
      <c r="J1423" s="52">
        <f ca="1">SUMIFS(OUT!$F$2:$F$11000,OUT!$H$2:$H$11000,H1423,OUT!$D$2:$D$11000,"Out")</f>
        <v>0</v>
      </c>
      <c r="K1423" s="52">
        <f ca="1">SUMIFS(OUT!$F$2:$F$11000,OUT!$H$2:$H$11000,H1423,OUT!$D$2:$D$11000,"Out",OUT!$E$2:$E$11000,"Fix")</f>
        <v>0</v>
      </c>
      <c r="L1423" s="52">
        <f ca="1">SUMIFS(OUT!$F$2:$F$11000,OUT!$H$2:$H$11000,H1423,OUT!$D$2:$D$11000,"Out",OUT!$E$2:$E$11000,"Bathroom")</f>
        <v>0</v>
      </c>
      <c r="M1423" s="52">
        <f ca="1">SUMIFS(OUT!$F$2:$F$11000,OUT!$H$2:$H$11000,H1423,OUT!$D$2:$D$11000,"Out",OUT!$E$2:$E$11000,"Alfa")</f>
        <v>0</v>
      </c>
      <c r="N1423" s="52" t="e">
        <f>SUMIFS(OUT!$F$2:$F$11000,OUT!$H$2:$H$101007,H1423,OUT!$D$2:$D$11000,"Out",OUT!$E$2:$E$11000,"Jajan")</f>
        <v>#VALUE!</v>
      </c>
      <c r="O1423" s="52">
        <f ca="1">SUMIFS(OUT!$F$2:$F$11000,OUT!$H$2:$H$11000,H1423,OUT!$D$2:$D$11000,"Out",OUT!$E$2:$E$11000,"Kitchen")</f>
        <v>0</v>
      </c>
      <c r="P1423" s="52">
        <f ca="1">SUMIFS(OUT!$F$2:$F$11000,OUT!$H$2:$H$11000,H1423,OUT!$D$2:$D$11000,"Out",OUT!$E$2:$E$11000,"Loandry")</f>
        <v>0</v>
      </c>
      <c r="Q1423" s="52">
        <f ca="1">SUMIFS(OUT!$F$2:$F$11000,OUT!$H$2:$H$11000,H1423,OUT!$D$2:$D$11000,"Out",OUT!$E$2:$E$11000,"Mio")</f>
        <v>0</v>
      </c>
      <c r="R1423" s="52">
        <f ca="1">SUMIFS(OUT!$F$2:$F$11000,OUT!$H$2:$H$11000,H1423,OUT!$D$2:$D$11000,"Out",OUT!$E$2:$E$11000,"Sedekah")</f>
        <v>0</v>
      </c>
      <c r="S1423" s="52">
        <f ca="1">SUMIFS(OUT!$F$2:$F$11000,OUT!$H$2:$H$11000,H1423,OUT!$D$2:$D$11000,"Out",OUT!$E$2:$E$11000,"Zela")</f>
        <v>0</v>
      </c>
      <c r="T1423" s="52">
        <f ca="1">SUMIFS(OUT!$F$2:$F$11000,OUT!$H$2:$H$11000,H1423,OUT!$D$2:$D$11000,"Out",OUT!$E$2:$E$11000,"Iqbal")</f>
        <v>0</v>
      </c>
    </row>
    <row r="1424" spans="7:20" x14ac:dyDescent="0.2">
      <c r="G1424" s="50"/>
      <c r="H1424" s="51" t="str">
        <f t="shared" si="0"/>
        <v/>
      </c>
      <c r="I1424" s="52" t="e">
        <f>SUMIFS(OUT!$F$2:$F$11000,OUT!$H$2:$H$11000,H1424,OUT!$D$2:$D$101007,"In")</f>
        <v>#VALUE!</v>
      </c>
      <c r="J1424" s="52">
        <f ca="1">SUMIFS(OUT!$F$2:$F$11000,OUT!$H$2:$H$11000,H1424,OUT!$D$2:$D$11000,"Out")</f>
        <v>0</v>
      </c>
      <c r="K1424" s="52">
        <f ca="1">SUMIFS(OUT!$F$2:$F$11000,OUT!$H$2:$H$11000,H1424,OUT!$D$2:$D$11000,"Out",OUT!$E$2:$E$11000,"Fix")</f>
        <v>0</v>
      </c>
      <c r="L1424" s="52">
        <f ca="1">SUMIFS(OUT!$F$2:$F$11000,OUT!$H$2:$H$11000,H1424,OUT!$D$2:$D$11000,"Out",OUT!$E$2:$E$11000,"Bathroom")</f>
        <v>0</v>
      </c>
      <c r="M1424" s="52">
        <f ca="1">SUMIFS(OUT!$F$2:$F$11000,OUT!$H$2:$H$11000,H1424,OUT!$D$2:$D$11000,"Out",OUT!$E$2:$E$11000,"Alfa")</f>
        <v>0</v>
      </c>
      <c r="N1424" s="52" t="e">
        <f>SUMIFS(OUT!$F$2:$F$11000,OUT!$H$2:$H$101007,H1424,OUT!$D$2:$D$11000,"Out",OUT!$E$2:$E$11000,"Jajan")</f>
        <v>#VALUE!</v>
      </c>
      <c r="O1424" s="52">
        <f ca="1">SUMIFS(OUT!$F$2:$F$11000,OUT!$H$2:$H$11000,H1424,OUT!$D$2:$D$11000,"Out",OUT!$E$2:$E$11000,"Kitchen")</f>
        <v>0</v>
      </c>
      <c r="P1424" s="52">
        <f ca="1">SUMIFS(OUT!$F$2:$F$11000,OUT!$H$2:$H$11000,H1424,OUT!$D$2:$D$11000,"Out",OUT!$E$2:$E$11000,"Loandry")</f>
        <v>0</v>
      </c>
      <c r="Q1424" s="52">
        <f ca="1">SUMIFS(OUT!$F$2:$F$11000,OUT!$H$2:$H$11000,H1424,OUT!$D$2:$D$11000,"Out",OUT!$E$2:$E$11000,"Mio")</f>
        <v>0</v>
      </c>
      <c r="R1424" s="52">
        <f ca="1">SUMIFS(OUT!$F$2:$F$11000,OUT!$H$2:$H$11000,H1424,OUT!$D$2:$D$11000,"Out",OUT!$E$2:$E$11000,"Sedekah")</f>
        <v>0</v>
      </c>
      <c r="S1424" s="52">
        <f ca="1">SUMIFS(OUT!$F$2:$F$11000,OUT!$H$2:$H$11000,H1424,OUT!$D$2:$D$11000,"Out",OUT!$E$2:$E$11000,"Zela")</f>
        <v>0</v>
      </c>
      <c r="T1424" s="52">
        <f ca="1">SUMIFS(OUT!$F$2:$F$11000,OUT!$H$2:$H$11000,H1424,OUT!$D$2:$D$11000,"Out",OUT!$E$2:$E$11000,"Iqbal")</f>
        <v>0</v>
      </c>
    </row>
    <row r="1425" spans="7:20" x14ac:dyDescent="0.2">
      <c r="G1425" s="50"/>
      <c r="H1425" s="51" t="str">
        <f t="shared" si="0"/>
        <v/>
      </c>
      <c r="I1425" s="52" t="e">
        <f>SUMIFS(OUT!$F$2:$F$11000,OUT!$H$2:$H$11000,H1425,OUT!$D$2:$D$101007,"In")</f>
        <v>#VALUE!</v>
      </c>
      <c r="J1425" s="52">
        <f ca="1">SUMIFS(OUT!$F$2:$F$11000,OUT!$H$2:$H$11000,H1425,OUT!$D$2:$D$11000,"Out")</f>
        <v>0</v>
      </c>
      <c r="K1425" s="52">
        <f ca="1">SUMIFS(OUT!$F$2:$F$11000,OUT!$H$2:$H$11000,H1425,OUT!$D$2:$D$11000,"Out",OUT!$E$2:$E$11000,"Fix")</f>
        <v>0</v>
      </c>
      <c r="L1425" s="52">
        <f ca="1">SUMIFS(OUT!$F$2:$F$11000,OUT!$H$2:$H$11000,H1425,OUT!$D$2:$D$11000,"Out",OUT!$E$2:$E$11000,"Bathroom")</f>
        <v>0</v>
      </c>
      <c r="M1425" s="52">
        <f ca="1">SUMIFS(OUT!$F$2:$F$11000,OUT!$H$2:$H$11000,H1425,OUT!$D$2:$D$11000,"Out",OUT!$E$2:$E$11000,"Alfa")</f>
        <v>0</v>
      </c>
      <c r="N1425" s="52" t="e">
        <f>SUMIFS(OUT!$F$2:$F$11000,OUT!$H$2:$H$101007,H1425,OUT!$D$2:$D$11000,"Out",OUT!$E$2:$E$11000,"Jajan")</f>
        <v>#VALUE!</v>
      </c>
      <c r="O1425" s="52">
        <f ca="1">SUMIFS(OUT!$F$2:$F$11000,OUT!$H$2:$H$11000,H1425,OUT!$D$2:$D$11000,"Out",OUT!$E$2:$E$11000,"Kitchen")</f>
        <v>0</v>
      </c>
      <c r="P1425" s="52">
        <f ca="1">SUMIFS(OUT!$F$2:$F$11000,OUT!$H$2:$H$11000,H1425,OUT!$D$2:$D$11000,"Out",OUT!$E$2:$E$11000,"Loandry")</f>
        <v>0</v>
      </c>
      <c r="Q1425" s="52">
        <f ca="1">SUMIFS(OUT!$F$2:$F$11000,OUT!$H$2:$H$11000,H1425,OUT!$D$2:$D$11000,"Out",OUT!$E$2:$E$11000,"Mio")</f>
        <v>0</v>
      </c>
      <c r="R1425" s="52">
        <f ca="1">SUMIFS(OUT!$F$2:$F$11000,OUT!$H$2:$H$11000,H1425,OUT!$D$2:$D$11000,"Out",OUT!$E$2:$E$11000,"Sedekah")</f>
        <v>0</v>
      </c>
      <c r="S1425" s="52">
        <f ca="1">SUMIFS(OUT!$F$2:$F$11000,OUT!$H$2:$H$11000,H1425,OUT!$D$2:$D$11000,"Out",OUT!$E$2:$E$11000,"Zela")</f>
        <v>0</v>
      </c>
      <c r="T1425" s="52">
        <f ca="1">SUMIFS(OUT!$F$2:$F$11000,OUT!$H$2:$H$11000,H1425,OUT!$D$2:$D$11000,"Out",OUT!$E$2:$E$11000,"Iqbal")</f>
        <v>0</v>
      </c>
    </row>
    <row r="1426" spans="7:20" x14ac:dyDescent="0.2">
      <c r="G1426" s="50"/>
      <c r="H1426" s="51" t="str">
        <f t="shared" si="0"/>
        <v/>
      </c>
      <c r="I1426" s="52" t="e">
        <f>SUMIFS(OUT!$F$2:$F$11000,OUT!$H$2:$H$11000,H1426,OUT!$D$2:$D$101007,"In")</f>
        <v>#VALUE!</v>
      </c>
      <c r="J1426" s="52">
        <f ca="1">SUMIFS(OUT!$F$2:$F$11000,OUT!$H$2:$H$11000,H1426,OUT!$D$2:$D$11000,"Out")</f>
        <v>0</v>
      </c>
      <c r="K1426" s="52">
        <f ca="1">SUMIFS(OUT!$F$2:$F$11000,OUT!$H$2:$H$11000,H1426,OUT!$D$2:$D$11000,"Out",OUT!$E$2:$E$11000,"Fix")</f>
        <v>0</v>
      </c>
      <c r="L1426" s="52">
        <f ca="1">SUMIFS(OUT!$F$2:$F$11000,OUT!$H$2:$H$11000,H1426,OUT!$D$2:$D$11000,"Out",OUT!$E$2:$E$11000,"Bathroom")</f>
        <v>0</v>
      </c>
      <c r="M1426" s="52">
        <f ca="1">SUMIFS(OUT!$F$2:$F$11000,OUT!$H$2:$H$11000,H1426,OUT!$D$2:$D$11000,"Out",OUT!$E$2:$E$11000,"Alfa")</f>
        <v>0</v>
      </c>
      <c r="N1426" s="52" t="e">
        <f>SUMIFS(OUT!$F$2:$F$11000,OUT!$H$2:$H$101007,H1426,OUT!$D$2:$D$11000,"Out",OUT!$E$2:$E$11000,"Jajan")</f>
        <v>#VALUE!</v>
      </c>
      <c r="O1426" s="52">
        <f ca="1">SUMIFS(OUT!$F$2:$F$11000,OUT!$H$2:$H$11000,H1426,OUT!$D$2:$D$11000,"Out",OUT!$E$2:$E$11000,"Kitchen")</f>
        <v>0</v>
      </c>
      <c r="P1426" s="52">
        <f ca="1">SUMIFS(OUT!$F$2:$F$11000,OUT!$H$2:$H$11000,H1426,OUT!$D$2:$D$11000,"Out",OUT!$E$2:$E$11000,"Loandry")</f>
        <v>0</v>
      </c>
      <c r="Q1426" s="52">
        <f ca="1">SUMIFS(OUT!$F$2:$F$11000,OUT!$H$2:$H$11000,H1426,OUT!$D$2:$D$11000,"Out",OUT!$E$2:$E$11000,"Mio")</f>
        <v>0</v>
      </c>
      <c r="R1426" s="52">
        <f ca="1">SUMIFS(OUT!$F$2:$F$11000,OUT!$H$2:$H$11000,H1426,OUT!$D$2:$D$11000,"Out",OUT!$E$2:$E$11000,"Sedekah")</f>
        <v>0</v>
      </c>
      <c r="S1426" s="52">
        <f ca="1">SUMIFS(OUT!$F$2:$F$11000,OUT!$H$2:$H$11000,H1426,OUT!$D$2:$D$11000,"Out",OUT!$E$2:$E$11000,"Zela")</f>
        <v>0</v>
      </c>
      <c r="T1426" s="52">
        <f ca="1">SUMIFS(OUT!$F$2:$F$11000,OUT!$H$2:$H$11000,H1426,OUT!$D$2:$D$11000,"Out",OUT!$E$2:$E$11000,"Iqbal")</f>
        <v>0</v>
      </c>
    </row>
    <row r="1427" spans="7:20" x14ac:dyDescent="0.2">
      <c r="G1427" s="50"/>
      <c r="H1427" s="51" t="str">
        <f t="shared" si="0"/>
        <v/>
      </c>
      <c r="I1427" s="52" t="e">
        <f>SUMIFS(OUT!$F$2:$F$11000,OUT!$H$2:$H$11000,H1427,OUT!$D$2:$D$101007,"In")</f>
        <v>#VALUE!</v>
      </c>
      <c r="J1427" s="52">
        <f ca="1">SUMIFS(OUT!$F$2:$F$11000,OUT!$H$2:$H$11000,H1427,OUT!$D$2:$D$11000,"Out")</f>
        <v>0</v>
      </c>
      <c r="K1427" s="52">
        <f ca="1">SUMIFS(OUT!$F$2:$F$11000,OUT!$H$2:$H$11000,H1427,OUT!$D$2:$D$11000,"Out",OUT!$E$2:$E$11000,"Fix")</f>
        <v>0</v>
      </c>
      <c r="L1427" s="52">
        <f ca="1">SUMIFS(OUT!$F$2:$F$11000,OUT!$H$2:$H$11000,H1427,OUT!$D$2:$D$11000,"Out",OUT!$E$2:$E$11000,"Bathroom")</f>
        <v>0</v>
      </c>
      <c r="M1427" s="52">
        <f ca="1">SUMIFS(OUT!$F$2:$F$11000,OUT!$H$2:$H$11000,H1427,OUT!$D$2:$D$11000,"Out",OUT!$E$2:$E$11000,"Alfa")</f>
        <v>0</v>
      </c>
      <c r="N1427" s="52" t="e">
        <f>SUMIFS(OUT!$F$2:$F$11000,OUT!$H$2:$H$101007,H1427,OUT!$D$2:$D$11000,"Out",OUT!$E$2:$E$11000,"Jajan")</f>
        <v>#VALUE!</v>
      </c>
      <c r="O1427" s="52">
        <f ca="1">SUMIFS(OUT!$F$2:$F$11000,OUT!$H$2:$H$11000,H1427,OUT!$D$2:$D$11000,"Out",OUT!$E$2:$E$11000,"Kitchen")</f>
        <v>0</v>
      </c>
      <c r="P1427" s="52">
        <f ca="1">SUMIFS(OUT!$F$2:$F$11000,OUT!$H$2:$H$11000,H1427,OUT!$D$2:$D$11000,"Out",OUT!$E$2:$E$11000,"Loandry")</f>
        <v>0</v>
      </c>
      <c r="Q1427" s="52">
        <f ca="1">SUMIFS(OUT!$F$2:$F$11000,OUT!$H$2:$H$11000,H1427,OUT!$D$2:$D$11000,"Out",OUT!$E$2:$E$11000,"Mio")</f>
        <v>0</v>
      </c>
      <c r="R1427" s="52">
        <f ca="1">SUMIFS(OUT!$F$2:$F$11000,OUT!$H$2:$H$11000,H1427,OUT!$D$2:$D$11000,"Out",OUT!$E$2:$E$11000,"Sedekah")</f>
        <v>0</v>
      </c>
      <c r="S1427" s="52">
        <f ca="1">SUMIFS(OUT!$F$2:$F$11000,OUT!$H$2:$H$11000,H1427,OUT!$D$2:$D$11000,"Out",OUT!$E$2:$E$11000,"Zela")</f>
        <v>0</v>
      </c>
      <c r="T1427" s="52">
        <f ca="1">SUMIFS(OUT!$F$2:$F$11000,OUT!$H$2:$H$11000,H1427,OUT!$D$2:$D$11000,"Out",OUT!$E$2:$E$11000,"Iqbal")</f>
        <v>0</v>
      </c>
    </row>
    <row r="1428" spans="7:20" x14ac:dyDescent="0.2">
      <c r="G1428" s="50"/>
      <c r="H1428" s="51" t="str">
        <f t="shared" si="0"/>
        <v/>
      </c>
      <c r="I1428" s="52" t="e">
        <f>SUMIFS(OUT!$F$2:$F$11000,OUT!$H$2:$H$11000,H1428,OUT!$D$2:$D$101007,"In")</f>
        <v>#VALUE!</v>
      </c>
      <c r="J1428" s="52">
        <f ca="1">SUMIFS(OUT!$F$2:$F$11000,OUT!$H$2:$H$11000,H1428,OUT!$D$2:$D$11000,"Out")</f>
        <v>0</v>
      </c>
      <c r="K1428" s="52">
        <f ca="1">SUMIFS(OUT!$F$2:$F$11000,OUT!$H$2:$H$11000,H1428,OUT!$D$2:$D$11000,"Out",OUT!$E$2:$E$11000,"Fix")</f>
        <v>0</v>
      </c>
      <c r="L1428" s="52">
        <f ca="1">SUMIFS(OUT!$F$2:$F$11000,OUT!$H$2:$H$11000,H1428,OUT!$D$2:$D$11000,"Out",OUT!$E$2:$E$11000,"Bathroom")</f>
        <v>0</v>
      </c>
      <c r="M1428" s="52">
        <f ca="1">SUMIFS(OUT!$F$2:$F$11000,OUT!$H$2:$H$11000,H1428,OUT!$D$2:$D$11000,"Out",OUT!$E$2:$E$11000,"Alfa")</f>
        <v>0</v>
      </c>
      <c r="N1428" s="52" t="e">
        <f>SUMIFS(OUT!$F$2:$F$11000,OUT!$H$2:$H$101007,H1428,OUT!$D$2:$D$11000,"Out",OUT!$E$2:$E$11000,"Jajan")</f>
        <v>#VALUE!</v>
      </c>
      <c r="O1428" s="52">
        <f ca="1">SUMIFS(OUT!$F$2:$F$11000,OUT!$H$2:$H$11000,H1428,OUT!$D$2:$D$11000,"Out",OUT!$E$2:$E$11000,"Kitchen")</f>
        <v>0</v>
      </c>
      <c r="P1428" s="52">
        <f ca="1">SUMIFS(OUT!$F$2:$F$11000,OUT!$H$2:$H$11000,H1428,OUT!$D$2:$D$11000,"Out",OUT!$E$2:$E$11000,"Loandry")</f>
        <v>0</v>
      </c>
      <c r="Q1428" s="52">
        <f ca="1">SUMIFS(OUT!$F$2:$F$11000,OUT!$H$2:$H$11000,H1428,OUT!$D$2:$D$11000,"Out",OUT!$E$2:$E$11000,"Mio")</f>
        <v>0</v>
      </c>
      <c r="R1428" s="52">
        <f ca="1">SUMIFS(OUT!$F$2:$F$11000,OUT!$H$2:$H$11000,H1428,OUT!$D$2:$D$11000,"Out",OUT!$E$2:$E$11000,"Sedekah")</f>
        <v>0</v>
      </c>
      <c r="S1428" s="52">
        <f ca="1">SUMIFS(OUT!$F$2:$F$11000,OUT!$H$2:$H$11000,H1428,OUT!$D$2:$D$11000,"Out",OUT!$E$2:$E$11000,"Zela")</f>
        <v>0</v>
      </c>
      <c r="T1428" s="52">
        <f ca="1">SUMIFS(OUT!$F$2:$F$11000,OUT!$H$2:$H$11000,H1428,OUT!$D$2:$D$11000,"Out",OUT!$E$2:$E$11000,"Iqbal")</f>
        <v>0</v>
      </c>
    </row>
    <row r="1429" spans="7:20" x14ac:dyDescent="0.2">
      <c r="G1429" s="50"/>
      <c r="H1429" s="51" t="str">
        <f t="shared" si="0"/>
        <v/>
      </c>
      <c r="I1429" s="52" t="e">
        <f>SUMIFS(OUT!$F$2:$F$11000,OUT!$H$2:$H$11000,H1429,OUT!$D$2:$D$101007,"In")</f>
        <v>#VALUE!</v>
      </c>
      <c r="J1429" s="52">
        <f ca="1">SUMIFS(OUT!$F$2:$F$11000,OUT!$H$2:$H$11000,H1429,OUT!$D$2:$D$11000,"Out")</f>
        <v>0</v>
      </c>
      <c r="K1429" s="52">
        <f ca="1">SUMIFS(OUT!$F$2:$F$11000,OUT!$H$2:$H$11000,H1429,OUT!$D$2:$D$11000,"Out",OUT!$E$2:$E$11000,"Fix")</f>
        <v>0</v>
      </c>
      <c r="L1429" s="52">
        <f ca="1">SUMIFS(OUT!$F$2:$F$11000,OUT!$H$2:$H$11000,H1429,OUT!$D$2:$D$11000,"Out",OUT!$E$2:$E$11000,"Bathroom")</f>
        <v>0</v>
      </c>
      <c r="M1429" s="52">
        <f ca="1">SUMIFS(OUT!$F$2:$F$11000,OUT!$H$2:$H$11000,H1429,OUT!$D$2:$D$11000,"Out",OUT!$E$2:$E$11000,"Alfa")</f>
        <v>0</v>
      </c>
      <c r="N1429" s="52" t="e">
        <f>SUMIFS(OUT!$F$2:$F$11000,OUT!$H$2:$H$101007,H1429,OUT!$D$2:$D$11000,"Out",OUT!$E$2:$E$11000,"Jajan")</f>
        <v>#VALUE!</v>
      </c>
      <c r="O1429" s="52">
        <f ca="1">SUMIFS(OUT!$F$2:$F$11000,OUT!$H$2:$H$11000,H1429,OUT!$D$2:$D$11000,"Out",OUT!$E$2:$E$11000,"Kitchen")</f>
        <v>0</v>
      </c>
      <c r="P1429" s="52">
        <f ca="1">SUMIFS(OUT!$F$2:$F$11000,OUT!$H$2:$H$11000,H1429,OUT!$D$2:$D$11000,"Out",OUT!$E$2:$E$11000,"Loandry")</f>
        <v>0</v>
      </c>
      <c r="Q1429" s="52">
        <f ca="1">SUMIFS(OUT!$F$2:$F$11000,OUT!$H$2:$H$11000,H1429,OUT!$D$2:$D$11000,"Out",OUT!$E$2:$E$11000,"Mio")</f>
        <v>0</v>
      </c>
      <c r="R1429" s="52">
        <f ca="1">SUMIFS(OUT!$F$2:$F$11000,OUT!$H$2:$H$11000,H1429,OUT!$D$2:$D$11000,"Out",OUT!$E$2:$E$11000,"Sedekah")</f>
        <v>0</v>
      </c>
      <c r="S1429" s="52">
        <f ca="1">SUMIFS(OUT!$F$2:$F$11000,OUT!$H$2:$H$11000,H1429,OUT!$D$2:$D$11000,"Out",OUT!$E$2:$E$11000,"Zela")</f>
        <v>0</v>
      </c>
      <c r="T1429" s="52">
        <f ca="1">SUMIFS(OUT!$F$2:$F$11000,OUT!$H$2:$H$11000,H1429,OUT!$D$2:$D$11000,"Out",OUT!$E$2:$E$11000,"Iqbal")</f>
        <v>0</v>
      </c>
    </row>
    <row r="1430" spans="7:20" x14ac:dyDescent="0.2">
      <c r="G1430" s="50"/>
      <c r="H1430" s="51" t="str">
        <f t="shared" si="0"/>
        <v/>
      </c>
      <c r="I1430" s="52" t="e">
        <f>SUMIFS(OUT!$F$2:$F$11000,OUT!$H$2:$H$11000,H1430,OUT!$D$2:$D$101007,"In")</f>
        <v>#VALUE!</v>
      </c>
      <c r="J1430" s="52">
        <f ca="1">SUMIFS(OUT!$F$2:$F$11000,OUT!$H$2:$H$11000,H1430,OUT!$D$2:$D$11000,"Out")</f>
        <v>0</v>
      </c>
      <c r="K1430" s="52">
        <f ca="1">SUMIFS(OUT!$F$2:$F$11000,OUT!$H$2:$H$11000,H1430,OUT!$D$2:$D$11000,"Out",OUT!$E$2:$E$11000,"Fix")</f>
        <v>0</v>
      </c>
      <c r="L1430" s="52">
        <f ca="1">SUMIFS(OUT!$F$2:$F$11000,OUT!$H$2:$H$11000,H1430,OUT!$D$2:$D$11000,"Out",OUT!$E$2:$E$11000,"Bathroom")</f>
        <v>0</v>
      </c>
      <c r="M1430" s="52">
        <f ca="1">SUMIFS(OUT!$F$2:$F$11000,OUT!$H$2:$H$11000,H1430,OUT!$D$2:$D$11000,"Out",OUT!$E$2:$E$11000,"Alfa")</f>
        <v>0</v>
      </c>
      <c r="N1430" s="52" t="e">
        <f>SUMIFS(OUT!$F$2:$F$11000,OUT!$H$2:$H$101007,H1430,OUT!$D$2:$D$11000,"Out",OUT!$E$2:$E$11000,"Jajan")</f>
        <v>#VALUE!</v>
      </c>
      <c r="O1430" s="52">
        <f ca="1">SUMIFS(OUT!$F$2:$F$11000,OUT!$H$2:$H$11000,H1430,OUT!$D$2:$D$11000,"Out",OUT!$E$2:$E$11000,"Kitchen")</f>
        <v>0</v>
      </c>
      <c r="P1430" s="52">
        <f ca="1">SUMIFS(OUT!$F$2:$F$11000,OUT!$H$2:$H$11000,H1430,OUT!$D$2:$D$11000,"Out",OUT!$E$2:$E$11000,"Loandry")</f>
        <v>0</v>
      </c>
      <c r="Q1430" s="52">
        <f ca="1">SUMIFS(OUT!$F$2:$F$11000,OUT!$H$2:$H$11000,H1430,OUT!$D$2:$D$11000,"Out",OUT!$E$2:$E$11000,"Mio")</f>
        <v>0</v>
      </c>
      <c r="R1430" s="52">
        <f ca="1">SUMIFS(OUT!$F$2:$F$11000,OUT!$H$2:$H$11000,H1430,OUT!$D$2:$D$11000,"Out",OUT!$E$2:$E$11000,"Sedekah")</f>
        <v>0</v>
      </c>
      <c r="S1430" s="52">
        <f ca="1">SUMIFS(OUT!$F$2:$F$11000,OUT!$H$2:$H$11000,H1430,OUT!$D$2:$D$11000,"Out",OUT!$E$2:$E$11000,"Zela")</f>
        <v>0</v>
      </c>
      <c r="T1430" s="52">
        <f ca="1">SUMIFS(OUT!$F$2:$F$11000,OUT!$H$2:$H$11000,H1430,OUT!$D$2:$D$11000,"Out",OUT!$E$2:$E$11000,"Iqbal")</f>
        <v>0</v>
      </c>
    </row>
    <row r="1431" spans="7:20" x14ac:dyDescent="0.2">
      <c r="G1431" s="50"/>
      <c r="H1431" s="51" t="str">
        <f t="shared" si="0"/>
        <v/>
      </c>
      <c r="I1431" s="52" t="e">
        <f>SUMIFS(OUT!$F$2:$F$11000,OUT!$H$2:$H$11000,H1431,OUT!$D$2:$D$101007,"In")</f>
        <v>#VALUE!</v>
      </c>
      <c r="J1431" s="52">
        <f ca="1">SUMIFS(OUT!$F$2:$F$11000,OUT!$H$2:$H$11000,H1431,OUT!$D$2:$D$11000,"Out")</f>
        <v>0</v>
      </c>
      <c r="K1431" s="52">
        <f ca="1">SUMIFS(OUT!$F$2:$F$11000,OUT!$H$2:$H$11000,H1431,OUT!$D$2:$D$11000,"Out",OUT!$E$2:$E$11000,"Fix")</f>
        <v>0</v>
      </c>
      <c r="L1431" s="52">
        <f ca="1">SUMIFS(OUT!$F$2:$F$11000,OUT!$H$2:$H$11000,H1431,OUT!$D$2:$D$11000,"Out",OUT!$E$2:$E$11000,"Bathroom")</f>
        <v>0</v>
      </c>
      <c r="M1431" s="52">
        <f ca="1">SUMIFS(OUT!$F$2:$F$11000,OUT!$H$2:$H$11000,H1431,OUT!$D$2:$D$11000,"Out",OUT!$E$2:$E$11000,"Alfa")</f>
        <v>0</v>
      </c>
      <c r="N1431" s="52" t="e">
        <f>SUMIFS(OUT!$F$2:$F$11000,OUT!$H$2:$H$101007,H1431,OUT!$D$2:$D$11000,"Out",OUT!$E$2:$E$11000,"Jajan")</f>
        <v>#VALUE!</v>
      </c>
      <c r="O1431" s="52">
        <f ca="1">SUMIFS(OUT!$F$2:$F$11000,OUT!$H$2:$H$11000,H1431,OUT!$D$2:$D$11000,"Out",OUT!$E$2:$E$11000,"Kitchen")</f>
        <v>0</v>
      </c>
      <c r="P1431" s="52">
        <f ca="1">SUMIFS(OUT!$F$2:$F$11000,OUT!$H$2:$H$11000,H1431,OUT!$D$2:$D$11000,"Out",OUT!$E$2:$E$11000,"Loandry")</f>
        <v>0</v>
      </c>
      <c r="Q1431" s="52">
        <f ca="1">SUMIFS(OUT!$F$2:$F$11000,OUT!$H$2:$H$11000,H1431,OUT!$D$2:$D$11000,"Out",OUT!$E$2:$E$11000,"Mio")</f>
        <v>0</v>
      </c>
      <c r="R1431" s="52">
        <f ca="1">SUMIFS(OUT!$F$2:$F$11000,OUT!$H$2:$H$11000,H1431,OUT!$D$2:$D$11000,"Out",OUT!$E$2:$E$11000,"Sedekah")</f>
        <v>0</v>
      </c>
      <c r="S1431" s="52">
        <f ca="1">SUMIFS(OUT!$F$2:$F$11000,OUT!$H$2:$H$11000,H1431,OUT!$D$2:$D$11000,"Out",OUT!$E$2:$E$11000,"Zela")</f>
        <v>0</v>
      </c>
      <c r="T1431" s="52">
        <f ca="1">SUMIFS(OUT!$F$2:$F$11000,OUT!$H$2:$H$11000,H1431,OUT!$D$2:$D$11000,"Out",OUT!$E$2:$E$11000,"Iqbal")</f>
        <v>0</v>
      </c>
    </row>
    <row r="1432" spans="7:20" x14ac:dyDescent="0.2">
      <c r="G1432" s="50"/>
      <c r="H1432" s="51" t="str">
        <f t="shared" si="0"/>
        <v/>
      </c>
      <c r="I1432" s="52" t="e">
        <f>SUMIFS(OUT!$F$2:$F$11000,OUT!$H$2:$H$11000,H1432,OUT!$D$2:$D$101007,"In")</f>
        <v>#VALUE!</v>
      </c>
      <c r="J1432" s="52">
        <f ca="1">SUMIFS(OUT!$F$2:$F$11000,OUT!$H$2:$H$11000,H1432,OUT!$D$2:$D$11000,"Out")</f>
        <v>0</v>
      </c>
      <c r="K1432" s="52">
        <f ca="1">SUMIFS(OUT!$F$2:$F$11000,OUT!$H$2:$H$11000,H1432,OUT!$D$2:$D$11000,"Out",OUT!$E$2:$E$11000,"Fix")</f>
        <v>0</v>
      </c>
      <c r="L1432" s="52">
        <f ca="1">SUMIFS(OUT!$F$2:$F$11000,OUT!$H$2:$H$11000,H1432,OUT!$D$2:$D$11000,"Out",OUT!$E$2:$E$11000,"Bathroom")</f>
        <v>0</v>
      </c>
      <c r="M1432" s="52">
        <f ca="1">SUMIFS(OUT!$F$2:$F$11000,OUT!$H$2:$H$11000,H1432,OUT!$D$2:$D$11000,"Out",OUT!$E$2:$E$11000,"Alfa")</f>
        <v>0</v>
      </c>
      <c r="N1432" s="52" t="e">
        <f>SUMIFS(OUT!$F$2:$F$11000,OUT!$H$2:$H$101007,H1432,OUT!$D$2:$D$11000,"Out",OUT!$E$2:$E$11000,"Jajan")</f>
        <v>#VALUE!</v>
      </c>
      <c r="O1432" s="52">
        <f ca="1">SUMIFS(OUT!$F$2:$F$11000,OUT!$H$2:$H$11000,H1432,OUT!$D$2:$D$11000,"Out",OUT!$E$2:$E$11000,"Kitchen")</f>
        <v>0</v>
      </c>
      <c r="P1432" s="52">
        <f ca="1">SUMIFS(OUT!$F$2:$F$11000,OUT!$H$2:$H$11000,H1432,OUT!$D$2:$D$11000,"Out",OUT!$E$2:$E$11000,"Loandry")</f>
        <v>0</v>
      </c>
      <c r="Q1432" s="52">
        <f ca="1">SUMIFS(OUT!$F$2:$F$11000,OUT!$H$2:$H$11000,H1432,OUT!$D$2:$D$11000,"Out",OUT!$E$2:$E$11000,"Mio")</f>
        <v>0</v>
      </c>
      <c r="R1432" s="52">
        <f ca="1">SUMIFS(OUT!$F$2:$F$11000,OUT!$H$2:$H$11000,H1432,OUT!$D$2:$D$11000,"Out",OUT!$E$2:$E$11000,"Sedekah")</f>
        <v>0</v>
      </c>
      <c r="S1432" s="52">
        <f ca="1">SUMIFS(OUT!$F$2:$F$11000,OUT!$H$2:$H$11000,H1432,OUT!$D$2:$D$11000,"Out",OUT!$E$2:$E$11000,"Zela")</f>
        <v>0</v>
      </c>
      <c r="T1432" s="52">
        <f ca="1">SUMIFS(OUT!$F$2:$F$11000,OUT!$H$2:$H$11000,H1432,OUT!$D$2:$D$11000,"Out",OUT!$E$2:$E$11000,"Iqbal")</f>
        <v>0</v>
      </c>
    </row>
    <row r="1433" spans="7:20" x14ac:dyDescent="0.2">
      <c r="G1433" s="50"/>
      <c r="H1433" s="51" t="str">
        <f t="shared" si="0"/>
        <v/>
      </c>
      <c r="I1433" s="52" t="e">
        <f>SUMIFS(OUT!$F$2:$F$11000,OUT!$H$2:$H$11000,H1433,OUT!$D$2:$D$101007,"In")</f>
        <v>#VALUE!</v>
      </c>
      <c r="J1433" s="52">
        <f ca="1">SUMIFS(OUT!$F$2:$F$11000,OUT!$H$2:$H$11000,H1433,OUT!$D$2:$D$11000,"Out")</f>
        <v>0</v>
      </c>
      <c r="K1433" s="52">
        <f ca="1">SUMIFS(OUT!$F$2:$F$11000,OUT!$H$2:$H$11000,H1433,OUT!$D$2:$D$11000,"Out",OUT!$E$2:$E$11000,"Fix")</f>
        <v>0</v>
      </c>
      <c r="L1433" s="52">
        <f ca="1">SUMIFS(OUT!$F$2:$F$11000,OUT!$H$2:$H$11000,H1433,OUT!$D$2:$D$11000,"Out",OUT!$E$2:$E$11000,"Bathroom")</f>
        <v>0</v>
      </c>
      <c r="M1433" s="52">
        <f ca="1">SUMIFS(OUT!$F$2:$F$11000,OUT!$H$2:$H$11000,H1433,OUT!$D$2:$D$11000,"Out",OUT!$E$2:$E$11000,"Alfa")</f>
        <v>0</v>
      </c>
      <c r="N1433" s="52" t="e">
        <f>SUMIFS(OUT!$F$2:$F$11000,OUT!$H$2:$H$101007,H1433,OUT!$D$2:$D$11000,"Out",OUT!$E$2:$E$11000,"Jajan")</f>
        <v>#VALUE!</v>
      </c>
      <c r="O1433" s="52">
        <f ca="1">SUMIFS(OUT!$F$2:$F$11000,OUT!$H$2:$H$11000,H1433,OUT!$D$2:$D$11000,"Out",OUT!$E$2:$E$11000,"Kitchen")</f>
        <v>0</v>
      </c>
      <c r="P1433" s="52">
        <f ca="1">SUMIFS(OUT!$F$2:$F$11000,OUT!$H$2:$H$11000,H1433,OUT!$D$2:$D$11000,"Out",OUT!$E$2:$E$11000,"Loandry")</f>
        <v>0</v>
      </c>
      <c r="Q1433" s="52">
        <f ca="1">SUMIFS(OUT!$F$2:$F$11000,OUT!$H$2:$H$11000,H1433,OUT!$D$2:$D$11000,"Out",OUT!$E$2:$E$11000,"Mio")</f>
        <v>0</v>
      </c>
      <c r="R1433" s="52">
        <f ca="1">SUMIFS(OUT!$F$2:$F$11000,OUT!$H$2:$H$11000,H1433,OUT!$D$2:$D$11000,"Out",OUT!$E$2:$E$11000,"Sedekah")</f>
        <v>0</v>
      </c>
      <c r="S1433" s="52">
        <f ca="1">SUMIFS(OUT!$F$2:$F$11000,OUT!$H$2:$H$11000,H1433,OUT!$D$2:$D$11000,"Out",OUT!$E$2:$E$11000,"Zela")</f>
        <v>0</v>
      </c>
      <c r="T1433" s="52">
        <f ca="1">SUMIFS(OUT!$F$2:$F$11000,OUT!$H$2:$H$11000,H1433,OUT!$D$2:$D$11000,"Out",OUT!$E$2:$E$11000,"Iqbal")</f>
        <v>0</v>
      </c>
    </row>
    <row r="1434" spans="7:20" x14ac:dyDescent="0.2">
      <c r="G1434" s="50"/>
      <c r="H1434" s="51" t="str">
        <f t="shared" si="0"/>
        <v/>
      </c>
      <c r="I1434" s="52" t="e">
        <f>SUMIFS(OUT!$F$2:$F$11000,OUT!$H$2:$H$11000,H1434,OUT!$D$2:$D$101007,"In")</f>
        <v>#VALUE!</v>
      </c>
      <c r="J1434" s="52">
        <f ca="1">SUMIFS(OUT!$F$2:$F$11000,OUT!$H$2:$H$11000,H1434,OUT!$D$2:$D$11000,"Out")</f>
        <v>0</v>
      </c>
      <c r="K1434" s="52">
        <f ca="1">SUMIFS(OUT!$F$2:$F$11000,OUT!$H$2:$H$11000,H1434,OUT!$D$2:$D$11000,"Out",OUT!$E$2:$E$11000,"Fix")</f>
        <v>0</v>
      </c>
      <c r="L1434" s="52">
        <f ca="1">SUMIFS(OUT!$F$2:$F$11000,OUT!$H$2:$H$11000,H1434,OUT!$D$2:$D$11000,"Out",OUT!$E$2:$E$11000,"Bathroom")</f>
        <v>0</v>
      </c>
      <c r="M1434" s="52">
        <f ca="1">SUMIFS(OUT!$F$2:$F$11000,OUT!$H$2:$H$11000,H1434,OUT!$D$2:$D$11000,"Out",OUT!$E$2:$E$11000,"Alfa")</f>
        <v>0</v>
      </c>
      <c r="N1434" s="52" t="e">
        <f>SUMIFS(OUT!$F$2:$F$11000,OUT!$H$2:$H$101007,H1434,OUT!$D$2:$D$11000,"Out",OUT!$E$2:$E$11000,"Jajan")</f>
        <v>#VALUE!</v>
      </c>
      <c r="O1434" s="52">
        <f ca="1">SUMIFS(OUT!$F$2:$F$11000,OUT!$H$2:$H$11000,H1434,OUT!$D$2:$D$11000,"Out",OUT!$E$2:$E$11000,"Kitchen")</f>
        <v>0</v>
      </c>
      <c r="P1434" s="52">
        <f ca="1">SUMIFS(OUT!$F$2:$F$11000,OUT!$H$2:$H$11000,H1434,OUT!$D$2:$D$11000,"Out",OUT!$E$2:$E$11000,"Loandry")</f>
        <v>0</v>
      </c>
      <c r="Q1434" s="52">
        <f ca="1">SUMIFS(OUT!$F$2:$F$11000,OUT!$H$2:$H$11000,H1434,OUT!$D$2:$D$11000,"Out",OUT!$E$2:$E$11000,"Mio")</f>
        <v>0</v>
      </c>
      <c r="R1434" s="52">
        <f ca="1">SUMIFS(OUT!$F$2:$F$11000,OUT!$H$2:$H$11000,H1434,OUT!$D$2:$D$11000,"Out",OUT!$E$2:$E$11000,"Sedekah")</f>
        <v>0</v>
      </c>
      <c r="S1434" s="52">
        <f ca="1">SUMIFS(OUT!$F$2:$F$11000,OUT!$H$2:$H$11000,H1434,OUT!$D$2:$D$11000,"Out",OUT!$E$2:$E$11000,"Zela")</f>
        <v>0</v>
      </c>
      <c r="T1434" s="52">
        <f ca="1">SUMIFS(OUT!$F$2:$F$11000,OUT!$H$2:$H$11000,H1434,OUT!$D$2:$D$11000,"Out",OUT!$E$2:$E$11000,"Iqbal")</f>
        <v>0</v>
      </c>
    </row>
    <row r="1435" spans="7:20" x14ac:dyDescent="0.2">
      <c r="G1435" s="50"/>
      <c r="H1435" s="51" t="str">
        <f t="shared" si="0"/>
        <v/>
      </c>
      <c r="I1435" s="52" t="e">
        <f>SUMIFS(OUT!$F$2:$F$11000,OUT!$H$2:$H$11000,H1435,OUT!$D$2:$D$101007,"In")</f>
        <v>#VALUE!</v>
      </c>
      <c r="J1435" s="52">
        <f ca="1">SUMIFS(OUT!$F$2:$F$11000,OUT!$H$2:$H$11000,H1435,OUT!$D$2:$D$11000,"Out")</f>
        <v>0</v>
      </c>
      <c r="K1435" s="52">
        <f ca="1">SUMIFS(OUT!$F$2:$F$11000,OUT!$H$2:$H$11000,H1435,OUT!$D$2:$D$11000,"Out",OUT!$E$2:$E$11000,"Fix")</f>
        <v>0</v>
      </c>
      <c r="L1435" s="52">
        <f ca="1">SUMIFS(OUT!$F$2:$F$11000,OUT!$H$2:$H$11000,H1435,OUT!$D$2:$D$11000,"Out",OUT!$E$2:$E$11000,"Bathroom")</f>
        <v>0</v>
      </c>
      <c r="M1435" s="52">
        <f ca="1">SUMIFS(OUT!$F$2:$F$11000,OUT!$H$2:$H$11000,H1435,OUT!$D$2:$D$11000,"Out",OUT!$E$2:$E$11000,"Alfa")</f>
        <v>0</v>
      </c>
      <c r="N1435" s="52" t="e">
        <f>SUMIFS(OUT!$F$2:$F$11000,OUT!$H$2:$H$101007,H1435,OUT!$D$2:$D$11000,"Out",OUT!$E$2:$E$11000,"Jajan")</f>
        <v>#VALUE!</v>
      </c>
      <c r="O1435" s="52">
        <f ca="1">SUMIFS(OUT!$F$2:$F$11000,OUT!$H$2:$H$11000,H1435,OUT!$D$2:$D$11000,"Out",OUT!$E$2:$E$11000,"Kitchen")</f>
        <v>0</v>
      </c>
      <c r="P1435" s="52">
        <f ca="1">SUMIFS(OUT!$F$2:$F$11000,OUT!$H$2:$H$11000,H1435,OUT!$D$2:$D$11000,"Out",OUT!$E$2:$E$11000,"Loandry")</f>
        <v>0</v>
      </c>
      <c r="Q1435" s="52">
        <f ca="1">SUMIFS(OUT!$F$2:$F$11000,OUT!$H$2:$H$11000,H1435,OUT!$D$2:$D$11000,"Out",OUT!$E$2:$E$11000,"Mio")</f>
        <v>0</v>
      </c>
      <c r="R1435" s="52">
        <f ca="1">SUMIFS(OUT!$F$2:$F$11000,OUT!$H$2:$H$11000,H1435,OUT!$D$2:$D$11000,"Out",OUT!$E$2:$E$11000,"Sedekah")</f>
        <v>0</v>
      </c>
      <c r="S1435" s="52">
        <f ca="1">SUMIFS(OUT!$F$2:$F$11000,OUT!$H$2:$H$11000,H1435,OUT!$D$2:$D$11000,"Out",OUT!$E$2:$E$11000,"Zela")</f>
        <v>0</v>
      </c>
      <c r="T1435" s="52">
        <f ca="1">SUMIFS(OUT!$F$2:$F$11000,OUT!$H$2:$H$11000,H1435,OUT!$D$2:$D$11000,"Out",OUT!$E$2:$E$11000,"Iqbal")</f>
        <v>0</v>
      </c>
    </row>
    <row r="1436" spans="7:20" x14ac:dyDescent="0.2">
      <c r="G1436" s="50"/>
      <c r="H1436" s="51" t="str">
        <f t="shared" si="0"/>
        <v/>
      </c>
      <c r="I1436" s="52" t="e">
        <f>SUMIFS(OUT!$F$2:$F$11000,OUT!$H$2:$H$11000,H1436,OUT!$D$2:$D$101007,"In")</f>
        <v>#VALUE!</v>
      </c>
      <c r="J1436" s="52">
        <f ca="1">SUMIFS(OUT!$F$2:$F$11000,OUT!$H$2:$H$11000,H1436,OUT!$D$2:$D$11000,"Out")</f>
        <v>0</v>
      </c>
      <c r="K1436" s="52">
        <f ca="1">SUMIFS(OUT!$F$2:$F$11000,OUT!$H$2:$H$11000,H1436,OUT!$D$2:$D$11000,"Out",OUT!$E$2:$E$11000,"Fix")</f>
        <v>0</v>
      </c>
      <c r="L1436" s="52">
        <f ca="1">SUMIFS(OUT!$F$2:$F$11000,OUT!$H$2:$H$11000,H1436,OUT!$D$2:$D$11000,"Out",OUT!$E$2:$E$11000,"Bathroom")</f>
        <v>0</v>
      </c>
      <c r="M1436" s="52">
        <f ca="1">SUMIFS(OUT!$F$2:$F$11000,OUT!$H$2:$H$11000,H1436,OUT!$D$2:$D$11000,"Out",OUT!$E$2:$E$11000,"Alfa")</f>
        <v>0</v>
      </c>
      <c r="N1436" s="52" t="e">
        <f>SUMIFS(OUT!$F$2:$F$11000,OUT!$H$2:$H$101007,H1436,OUT!$D$2:$D$11000,"Out",OUT!$E$2:$E$11000,"Jajan")</f>
        <v>#VALUE!</v>
      </c>
      <c r="O1436" s="52">
        <f ca="1">SUMIFS(OUT!$F$2:$F$11000,OUT!$H$2:$H$11000,H1436,OUT!$D$2:$D$11000,"Out",OUT!$E$2:$E$11000,"Kitchen")</f>
        <v>0</v>
      </c>
      <c r="P1436" s="52">
        <f ca="1">SUMIFS(OUT!$F$2:$F$11000,OUT!$H$2:$H$11000,H1436,OUT!$D$2:$D$11000,"Out",OUT!$E$2:$E$11000,"Loandry")</f>
        <v>0</v>
      </c>
      <c r="Q1436" s="52">
        <f ca="1">SUMIFS(OUT!$F$2:$F$11000,OUT!$H$2:$H$11000,H1436,OUT!$D$2:$D$11000,"Out",OUT!$E$2:$E$11000,"Mio")</f>
        <v>0</v>
      </c>
      <c r="R1436" s="52">
        <f ca="1">SUMIFS(OUT!$F$2:$F$11000,OUT!$H$2:$H$11000,H1436,OUT!$D$2:$D$11000,"Out",OUT!$E$2:$E$11000,"Sedekah")</f>
        <v>0</v>
      </c>
      <c r="S1436" s="52">
        <f ca="1">SUMIFS(OUT!$F$2:$F$11000,OUT!$H$2:$H$11000,H1436,OUT!$D$2:$D$11000,"Out",OUT!$E$2:$E$11000,"Zela")</f>
        <v>0</v>
      </c>
      <c r="T1436" s="52">
        <f ca="1">SUMIFS(OUT!$F$2:$F$11000,OUT!$H$2:$H$11000,H1436,OUT!$D$2:$D$11000,"Out",OUT!$E$2:$E$11000,"Iqbal")</f>
        <v>0</v>
      </c>
    </row>
    <row r="1437" spans="7:20" x14ac:dyDescent="0.2">
      <c r="G1437" s="50"/>
      <c r="H1437" s="51" t="str">
        <f t="shared" si="0"/>
        <v/>
      </c>
      <c r="I1437" s="52" t="e">
        <f>SUMIFS(OUT!$F$2:$F$11000,OUT!$H$2:$H$11000,H1437,OUT!$D$2:$D$101007,"In")</f>
        <v>#VALUE!</v>
      </c>
      <c r="J1437" s="52">
        <f ca="1">SUMIFS(OUT!$F$2:$F$11000,OUT!$H$2:$H$11000,H1437,OUT!$D$2:$D$11000,"Out")</f>
        <v>0</v>
      </c>
      <c r="K1437" s="52">
        <f ca="1">SUMIFS(OUT!$F$2:$F$11000,OUT!$H$2:$H$11000,H1437,OUT!$D$2:$D$11000,"Out",OUT!$E$2:$E$11000,"Fix")</f>
        <v>0</v>
      </c>
      <c r="L1437" s="52">
        <f ca="1">SUMIFS(OUT!$F$2:$F$11000,OUT!$H$2:$H$11000,H1437,OUT!$D$2:$D$11000,"Out",OUT!$E$2:$E$11000,"Bathroom")</f>
        <v>0</v>
      </c>
      <c r="M1437" s="52">
        <f ca="1">SUMIFS(OUT!$F$2:$F$11000,OUT!$H$2:$H$11000,H1437,OUT!$D$2:$D$11000,"Out",OUT!$E$2:$E$11000,"Alfa")</f>
        <v>0</v>
      </c>
      <c r="N1437" s="52" t="e">
        <f>SUMIFS(OUT!$F$2:$F$11000,OUT!$H$2:$H$101007,H1437,OUT!$D$2:$D$11000,"Out",OUT!$E$2:$E$11000,"Jajan")</f>
        <v>#VALUE!</v>
      </c>
      <c r="O1437" s="52">
        <f ca="1">SUMIFS(OUT!$F$2:$F$11000,OUT!$H$2:$H$11000,H1437,OUT!$D$2:$D$11000,"Out",OUT!$E$2:$E$11000,"Kitchen")</f>
        <v>0</v>
      </c>
      <c r="P1437" s="52">
        <f ca="1">SUMIFS(OUT!$F$2:$F$11000,OUT!$H$2:$H$11000,H1437,OUT!$D$2:$D$11000,"Out",OUT!$E$2:$E$11000,"Loandry")</f>
        <v>0</v>
      </c>
      <c r="Q1437" s="52">
        <f ca="1">SUMIFS(OUT!$F$2:$F$11000,OUT!$H$2:$H$11000,H1437,OUT!$D$2:$D$11000,"Out",OUT!$E$2:$E$11000,"Mio")</f>
        <v>0</v>
      </c>
      <c r="R1437" s="52">
        <f ca="1">SUMIFS(OUT!$F$2:$F$11000,OUT!$H$2:$H$11000,H1437,OUT!$D$2:$D$11000,"Out",OUT!$E$2:$E$11000,"Sedekah")</f>
        <v>0</v>
      </c>
      <c r="S1437" s="52">
        <f ca="1">SUMIFS(OUT!$F$2:$F$11000,OUT!$H$2:$H$11000,H1437,OUT!$D$2:$D$11000,"Out",OUT!$E$2:$E$11000,"Zela")</f>
        <v>0</v>
      </c>
      <c r="T1437" s="52">
        <f ca="1">SUMIFS(OUT!$F$2:$F$11000,OUT!$H$2:$H$11000,H1437,OUT!$D$2:$D$11000,"Out",OUT!$E$2:$E$11000,"Iqbal")</f>
        <v>0</v>
      </c>
    </row>
    <row r="1438" spans="7:20" x14ac:dyDescent="0.2">
      <c r="G1438" s="50"/>
      <c r="H1438" s="51" t="str">
        <f t="shared" si="0"/>
        <v/>
      </c>
      <c r="I1438" s="52" t="e">
        <f>SUMIFS(OUT!$F$2:$F$11000,OUT!$H$2:$H$11000,H1438,OUT!$D$2:$D$101007,"In")</f>
        <v>#VALUE!</v>
      </c>
      <c r="J1438" s="52">
        <f ca="1">SUMIFS(OUT!$F$2:$F$11000,OUT!$H$2:$H$11000,H1438,OUT!$D$2:$D$11000,"Out")</f>
        <v>0</v>
      </c>
      <c r="K1438" s="52">
        <f ca="1">SUMIFS(OUT!$F$2:$F$11000,OUT!$H$2:$H$11000,H1438,OUT!$D$2:$D$11000,"Out",OUT!$E$2:$E$11000,"Fix")</f>
        <v>0</v>
      </c>
      <c r="L1438" s="52">
        <f ca="1">SUMIFS(OUT!$F$2:$F$11000,OUT!$H$2:$H$11000,H1438,OUT!$D$2:$D$11000,"Out",OUT!$E$2:$E$11000,"Bathroom")</f>
        <v>0</v>
      </c>
      <c r="M1438" s="52">
        <f ca="1">SUMIFS(OUT!$F$2:$F$11000,OUT!$H$2:$H$11000,H1438,OUT!$D$2:$D$11000,"Out",OUT!$E$2:$E$11000,"Alfa")</f>
        <v>0</v>
      </c>
      <c r="N1438" s="52" t="e">
        <f>SUMIFS(OUT!$F$2:$F$11000,OUT!$H$2:$H$101007,H1438,OUT!$D$2:$D$11000,"Out",OUT!$E$2:$E$11000,"Jajan")</f>
        <v>#VALUE!</v>
      </c>
      <c r="O1438" s="52">
        <f ca="1">SUMIFS(OUT!$F$2:$F$11000,OUT!$H$2:$H$11000,H1438,OUT!$D$2:$D$11000,"Out",OUT!$E$2:$E$11000,"Kitchen")</f>
        <v>0</v>
      </c>
      <c r="P1438" s="52">
        <f ca="1">SUMIFS(OUT!$F$2:$F$11000,OUT!$H$2:$H$11000,H1438,OUT!$D$2:$D$11000,"Out",OUT!$E$2:$E$11000,"Loandry")</f>
        <v>0</v>
      </c>
      <c r="Q1438" s="52">
        <f ca="1">SUMIFS(OUT!$F$2:$F$11000,OUT!$H$2:$H$11000,H1438,OUT!$D$2:$D$11000,"Out",OUT!$E$2:$E$11000,"Mio")</f>
        <v>0</v>
      </c>
      <c r="R1438" s="52">
        <f ca="1">SUMIFS(OUT!$F$2:$F$11000,OUT!$H$2:$H$11000,H1438,OUT!$D$2:$D$11000,"Out",OUT!$E$2:$E$11000,"Sedekah")</f>
        <v>0</v>
      </c>
      <c r="S1438" s="52">
        <f ca="1">SUMIFS(OUT!$F$2:$F$11000,OUT!$H$2:$H$11000,H1438,OUT!$D$2:$D$11000,"Out",OUT!$E$2:$E$11000,"Zela")</f>
        <v>0</v>
      </c>
      <c r="T1438" s="52">
        <f ca="1">SUMIFS(OUT!$F$2:$F$11000,OUT!$H$2:$H$11000,H1438,OUT!$D$2:$D$11000,"Out",OUT!$E$2:$E$11000,"Iqbal")</f>
        <v>0</v>
      </c>
    </row>
    <row r="1439" spans="7:20" x14ac:dyDescent="0.2">
      <c r="G1439" s="50"/>
      <c r="H1439" s="51" t="str">
        <f t="shared" si="0"/>
        <v/>
      </c>
      <c r="I1439" s="52" t="e">
        <f>SUMIFS(OUT!$F$2:$F$11000,OUT!$H$2:$H$11000,H1439,OUT!$D$2:$D$101007,"In")</f>
        <v>#VALUE!</v>
      </c>
      <c r="J1439" s="52">
        <f ca="1">SUMIFS(OUT!$F$2:$F$11000,OUT!$H$2:$H$11000,H1439,OUT!$D$2:$D$11000,"Out")</f>
        <v>0</v>
      </c>
      <c r="K1439" s="52">
        <f ca="1">SUMIFS(OUT!$F$2:$F$11000,OUT!$H$2:$H$11000,H1439,OUT!$D$2:$D$11000,"Out",OUT!$E$2:$E$11000,"Fix")</f>
        <v>0</v>
      </c>
      <c r="L1439" s="52">
        <f ca="1">SUMIFS(OUT!$F$2:$F$11000,OUT!$H$2:$H$11000,H1439,OUT!$D$2:$D$11000,"Out",OUT!$E$2:$E$11000,"Bathroom")</f>
        <v>0</v>
      </c>
      <c r="M1439" s="52">
        <f ca="1">SUMIFS(OUT!$F$2:$F$11000,OUT!$H$2:$H$11000,H1439,OUT!$D$2:$D$11000,"Out",OUT!$E$2:$E$11000,"Alfa")</f>
        <v>0</v>
      </c>
      <c r="N1439" s="52" t="e">
        <f>SUMIFS(OUT!$F$2:$F$11000,OUT!$H$2:$H$101007,H1439,OUT!$D$2:$D$11000,"Out",OUT!$E$2:$E$11000,"Jajan")</f>
        <v>#VALUE!</v>
      </c>
      <c r="O1439" s="52">
        <f ca="1">SUMIFS(OUT!$F$2:$F$11000,OUT!$H$2:$H$11000,H1439,OUT!$D$2:$D$11000,"Out",OUT!$E$2:$E$11000,"Kitchen")</f>
        <v>0</v>
      </c>
      <c r="P1439" s="52">
        <f ca="1">SUMIFS(OUT!$F$2:$F$11000,OUT!$H$2:$H$11000,H1439,OUT!$D$2:$D$11000,"Out",OUT!$E$2:$E$11000,"Loandry")</f>
        <v>0</v>
      </c>
      <c r="Q1439" s="52">
        <f ca="1">SUMIFS(OUT!$F$2:$F$11000,OUT!$H$2:$H$11000,H1439,OUT!$D$2:$D$11000,"Out",OUT!$E$2:$E$11000,"Mio")</f>
        <v>0</v>
      </c>
      <c r="R1439" s="52">
        <f ca="1">SUMIFS(OUT!$F$2:$F$11000,OUT!$H$2:$H$11000,H1439,OUT!$D$2:$D$11000,"Out",OUT!$E$2:$E$11000,"Sedekah")</f>
        <v>0</v>
      </c>
      <c r="S1439" s="52">
        <f ca="1">SUMIFS(OUT!$F$2:$F$11000,OUT!$H$2:$H$11000,H1439,OUT!$D$2:$D$11000,"Out",OUT!$E$2:$E$11000,"Zela")</f>
        <v>0</v>
      </c>
      <c r="T1439" s="52">
        <f ca="1">SUMIFS(OUT!$F$2:$F$11000,OUT!$H$2:$H$11000,H1439,OUT!$D$2:$D$11000,"Out",OUT!$E$2:$E$11000,"Iqbal")</f>
        <v>0</v>
      </c>
    </row>
    <row r="1440" spans="7:20" x14ac:dyDescent="0.2">
      <c r="G1440" s="50"/>
      <c r="H1440" s="51" t="str">
        <f t="shared" si="0"/>
        <v/>
      </c>
      <c r="I1440" s="52" t="e">
        <f>SUMIFS(OUT!$F$2:$F$11000,OUT!$H$2:$H$11000,H1440,OUT!$D$2:$D$101007,"In")</f>
        <v>#VALUE!</v>
      </c>
      <c r="J1440" s="52">
        <f ca="1">SUMIFS(OUT!$F$2:$F$11000,OUT!$H$2:$H$11000,H1440,OUT!$D$2:$D$11000,"Out")</f>
        <v>0</v>
      </c>
      <c r="K1440" s="52">
        <f ca="1">SUMIFS(OUT!$F$2:$F$11000,OUT!$H$2:$H$11000,H1440,OUT!$D$2:$D$11000,"Out",OUT!$E$2:$E$11000,"Fix")</f>
        <v>0</v>
      </c>
      <c r="L1440" s="52">
        <f ca="1">SUMIFS(OUT!$F$2:$F$11000,OUT!$H$2:$H$11000,H1440,OUT!$D$2:$D$11000,"Out",OUT!$E$2:$E$11000,"Bathroom")</f>
        <v>0</v>
      </c>
      <c r="M1440" s="52">
        <f ca="1">SUMIFS(OUT!$F$2:$F$11000,OUT!$H$2:$H$11000,H1440,OUT!$D$2:$D$11000,"Out",OUT!$E$2:$E$11000,"Alfa")</f>
        <v>0</v>
      </c>
      <c r="N1440" s="52" t="e">
        <f>SUMIFS(OUT!$F$2:$F$11000,OUT!$H$2:$H$101007,H1440,OUT!$D$2:$D$11000,"Out",OUT!$E$2:$E$11000,"Jajan")</f>
        <v>#VALUE!</v>
      </c>
      <c r="O1440" s="52">
        <f ca="1">SUMIFS(OUT!$F$2:$F$11000,OUT!$H$2:$H$11000,H1440,OUT!$D$2:$D$11000,"Out",OUT!$E$2:$E$11000,"Kitchen")</f>
        <v>0</v>
      </c>
      <c r="P1440" s="52">
        <f ca="1">SUMIFS(OUT!$F$2:$F$11000,OUT!$H$2:$H$11000,H1440,OUT!$D$2:$D$11000,"Out",OUT!$E$2:$E$11000,"Loandry")</f>
        <v>0</v>
      </c>
      <c r="Q1440" s="52">
        <f ca="1">SUMIFS(OUT!$F$2:$F$11000,OUT!$H$2:$H$11000,H1440,OUT!$D$2:$D$11000,"Out",OUT!$E$2:$E$11000,"Mio")</f>
        <v>0</v>
      </c>
      <c r="R1440" s="52">
        <f ca="1">SUMIFS(OUT!$F$2:$F$11000,OUT!$H$2:$H$11000,H1440,OUT!$D$2:$D$11000,"Out",OUT!$E$2:$E$11000,"Sedekah")</f>
        <v>0</v>
      </c>
      <c r="S1440" s="52">
        <f ca="1">SUMIFS(OUT!$F$2:$F$11000,OUT!$H$2:$H$11000,H1440,OUT!$D$2:$D$11000,"Out",OUT!$E$2:$E$11000,"Zela")</f>
        <v>0</v>
      </c>
      <c r="T1440" s="52">
        <f ca="1">SUMIFS(OUT!$F$2:$F$11000,OUT!$H$2:$H$11000,H1440,OUT!$D$2:$D$11000,"Out",OUT!$E$2:$E$11000,"Iqbal")</f>
        <v>0</v>
      </c>
    </row>
    <row r="1441" spans="7:20" x14ac:dyDescent="0.2">
      <c r="G1441" s="50"/>
      <c r="H1441" s="51" t="str">
        <f t="shared" si="0"/>
        <v/>
      </c>
      <c r="I1441" s="52" t="e">
        <f>SUMIFS(OUT!$F$2:$F$11000,OUT!$H$2:$H$11000,H1441,OUT!$D$2:$D$101007,"In")</f>
        <v>#VALUE!</v>
      </c>
      <c r="J1441" s="52">
        <f ca="1">SUMIFS(OUT!$F$2:$F$11000,OUT!$H$2:$H$11000,H1441,OUT!$D$2:$D$11000,"Out")</f>
        <v>0</v>
      </c>
      <c r="K1441" s="52">
        <f ca="1">SUMIFS(OUT!$F$2:$F$11000,OUT!$H$2:$H$11000,H1441,OUT!$D$2:$D$11000,"Out",OUT!$E$2:$E$11000,"Fix")</f>
        <v>0</v>
      </c>
      <c r="L1441" s="52">
        <f ca="1">SUMIFS(OUT!$F$2:$F$11000,OUT!$H$2:$H$11000,H1441,OUT!$D$2:$D$11000,"Out",OUT!$E$2:$E$11000,"Bathroom")</f>
        <v>0</v>
      </c>
      <c r="M1441" s="52">
        <f ca="1">SUMIFS(OUT!$F$2:$F$11000,OUT!$H$2:$H$11000,H1441,OUT!$D$2:$D$11000,"Out",OUT!$E$2:$E$11000,"Alfa")</f>
        <v>0</v>
      </c>
      <c r="N1441" s="52" t="e">
        <f>SUMIFS(OUT!$F$2:$F$11000,OUT!$H$2:$H$101007,H1441,OUT!$D$2:$D$11000,"Out",OUT!$E$2:$E$11000,"Jajan")</f>
        <v>#VALUE!</v>
      </c>
      <c r="O1441" s="52">
        <f ca="1">SUMIFS(OUT!$F$2:$F$11000,OUT!$H$2:$H$11000,H1441,OUT!$D$2:$D$11000,"Out",OUT!$E$2:$E$11000,"Kitchen")</f>
        <v>0</v>
      </c>
      <c r="P1441" s="52">
        <f ca="1">SUMIFS(OUT!$F$2:$F$11000,OUT!$H$2:$H$11000,H1441,OUT!$D$2:$D$11000,"Out",OUT!$E$2:$E$11000,"Loandry")</f>
        <v>0</v>
      </c>
      <c r="Q1441" s="52">
        <f ca="1">SUMIFS(OUT!$F$2:$F$11000,OUT!$H$2:$H$11000,H1441,OUT!$D$2:$D$11000,"Out",OUT!$E$2:$E$11000,"Mio")</f>
        <v>0</v>
      </c>
      <c r="R1441" s="52">
        <f ca="1">SUMIFS(OUT!$F$2:$F$11000,OUT!$H$2:$H$11000,H1441,OUT!$D$2:$D$11000,"Out",OUT!$E$2:$E$11000,"Sedekah")</f>
        <v>0</v>
      </c>
      <c r="S1441" s="52">
        <f ca="1">SUMIFS(OUT!$F$2:$F$11000,OUT!$H$2:$H$11000,H1441,OUT!$D$2:$D$11000,"Out",OUT!$E$2:$E$11000,"Zela")</f>
        <v>0</v>
      </c>
      <c r="T1441" s="52">
        <f ca="1">SUMIFS(OUT!$F$2:$F$11000,OUT!$H$2:$H$11000,H1441,OUT!$D$2:$D$11000,"Out",OUT!$E$2:$E$11000,"Iqbal")</f>
        <v>0</v>
      </c>
    </row>
    <row r="1442" spans="7:20" x14ac:dyDescent="0.2">
      <c r="G1442" s="50"/>
      <c r="H1442" s="51" t="str">
        <f t="shared" si="0"/>
        <v/>
      </c>
      <c r="I1442" s="52" t="e">
        <f>SUMIFS(OUT!$F$2:$F$11000,OUT!$H$2:$H$11000,H1442,OUT!$D$2:$D$101007,"In")</f>
        <v>#VALUE!</v>
      </c>
      <c r="J1442" s="52">
        <f ca="1">SUMIFS(OUT!$F$2:$F$11000,OUT!$H$2:$H$11000,H1442,OUT!$D$2:$D$11000,"Out")</f>
        <v>0</v>
      </c>
      <c r="K1442" s="52">
        <f ca="1">SUMIFS(OUT!$F$2:$F$11000,OUT!$H$2:$H$11000,H1442,OUT!$D$2:$D$11000,"Out",OUT!$E$2:$E$11000,"Fix")</f>
        <v>0</v>
      </c>
      <c r="L1442" s="52">
        <f ca="1">SUMIFS(OUT!$F$2:$F$11000,OUT!$H$2:$H$11000,H1442,OUT!$D$2:$D$11000,"Out",OUT!$E$2:$E$11000,"Bathroom")</f>
        <v>0</v>
      </c>
      <c r="M1442" s="52">
        <f ca="1">SUMIFS(OUT!$F$2:$F$11000,OUT!$H$2:$H$11000,H1442,OUT!$D$2:$D$11000,"Out",OUT!$E$2:$E$11000,"Alfa")</f>
        <v>0</v>
      </c>
      <c r="N1442" s="52" t="e">
        <f>SUMIFS(OUT!$F$2:$F$11000,OUT!$H$2:$H$101007,H1442,OUT!$D$2:$D$11000,"Out",OUT!$E$2:$E$11000,"Jajan")</f>
        <v>#VALUE!</v>
      </c>
      <c r="O1442" s="52">
        <f ca="1">SUMIFS(OUT!$F$2:$F$11000,OUT!$H$2:$H$11000,H1442,OUT!$D$2:$D$11000,"Out",OUT!$E$2:$E$11000,"Kitchen")</f>
        <v>0</v>
      </c>
      <c r="P1442" s="52">
        <f ca="1">SUMIFS(OUT!$F$2:$F$11000,OUT!$H$2:$H$11000,H1442,OUT!$D$2:$D$11000,"Out",OUT!$E$2:$E$11000,"Loandry")</f>
        <v>0</v>
      </c>
      <c r="Q1442" s="52">
        <f ca="1">SUMIFS(OUT!$F$2:$F$11000,OUT!$H$2:$H$11000,H1442,OUT!$D$2:$D$11000,"Out",OUT!$E$2:$E$11000,"Mio")</f>
        <v>0</v>
      </c>
      <c r="R1442" s="52">
        <f ca="1">SUMIFS(OUT!$F$2:$F$11000,OUT!$H$2:$H$11000,H1442,OUT!$D$2:$D$11000,"Out",OUT!$E$2:$E$11000,"Sedekah")</f>
        <v>0</v>
      </c>
      <c r="S1442" s="52">
        <f ca="1">SUMIFS(OUT!$F$2:$F$11000,OUT!$H$2:$H$11000,H1442,OUT!$D$2:$D$11000,"Out",OUT!$E$2:$E$11000,"Zela")</f>
        <v>0</v>
      </c>
      <c r="T1442" s="52">
        <f ca="1">SUMIFS(OUT!$F$2:$F$11000,OUT!$H$2:$H$11000,H1442,OUT!$D$2:$D$11000,"Out",OUT!$E$2:$E$11000,"Iqbal")</f>
        <v>0</v>
      </c>
    </row>
    <row r="1443" spans="7:20" x14ac:dyDescent="0.2">
      <c r="G1443" s="50"/>
      <c r="H1443" s="51" t="str">
        <f t="shared" si="0"/>
        <v/>
      </c>
      <c r="I1443" s="52" t="e">
        <f>SUMIFS(OUT!$F$2:$F$11000,OUT!$H$2:$H$11000,H1443,OUT!$D$2:$D$101007,"In")</f>
        <v>#VALUE!</v>
      </c>
      <c r="J1443" s="52">
        <f ca="1">SUMIFS(OUT!$F$2:$F$11000,OUT!$H$2:$H$11000,H1443,OUT!$D$2:$D$11000,"Out")</f>
        <v>0</v>
      </c>
      <c r="K1443" s="52">
        <f ca="1">SUMIFS(OUT!$F$2:$F$11000,OUT!$H$2:$H$11000,H1443,OUT!$D$2:$D$11000,"Out",OUT!$E$2:$E$11000,"Fix")</f>
        <v>0</v>
      </c>
      <c r="L1443" s="52">
        <f ca="1">SUMIFS(OUT!$F$2:$F$11000,OUT!$H$2:$H$11000,H1443,OUT!$D$2:$D$11000,"Out",OUT!$E$2:$E$11000,"Bathroom")</f>
        <v>0</v>
      </c>
      <c r="M1443" s="52">
        <f ca="1">SUMIFS(OUT!$F$2:$F$11000,OUT!$H$2:$H$11000,H1443,OUT!$D$2:$D$11000,"Out",OUT!$E$2:$E$11000,"Alfa")</f>
        <v>0</v>
      </c>
      <c r="N1443" s="52" t="e">
        <f>SUMIFS(OUT!$F$2:$F$11000,OUT!$H$2:$H$101007,H1443,OUT!$D$2:$D$11000,"Out",OUT!$E$2:$E$11000,"Jajan")</f>
        <v>#VALUE!</v>
      </c>
      <c r="O1443" s="52">
        <f ca="1">SUMIFS(OUT!$F$2:$F$11000,OUT!$H$2:$H$11000,H1443,OUT!$D$2:$D$11000,"Out",OUT!$E$2:$E$11000,"Kitchen")</f>
        <v>0</v>
      </c>
      <c r="P1443" s="52">
        <f ca="1">SUMIFS(OUT!$F$2:$F$11000,OUT!$H$2:$H$11000,H1443,OUT!$D$2:$D$11000,"Out",OUT!$E$2:$E$11000,"Loandry")</f>
        <v>0</v>
      </c>
      <c r="Q1443" s="52">
        <f ca="1">SUMIFS(OUT!$F$2:$F$11000,OUT!$H$2:$H$11000,H1443,OUT!$D$2:$D$11000,"Out",OUT!$E$2:$E$11000,"Mio")</f>
        <v>0</v>
      </c>
      <c r="R1443" s="52">
        <f ca="1">SUMIFS(OUT!$F$2:$F$11000,OUT!$H$2:$H$11000,H1443,OUT!$D$2:$D$11000,"Out",OUT!$E$2:$E$11000,"Sedekah")</f>
        <v>0</v>
      </c>
      <c r="S1443" s="52">
        <f ca="1">SUMIFS(OUT!$F$2:$F$11000,OUT!$H$2:$H$11000,H1443,OUT!$D$2:$D$11000,"Out",OUT!$E$2:$E$11000,"Zela")</f>
        <v>0</v>
      </c>
      <c r="T1443" s="52">
        <f ca="1">SUMIFS(OUT!$F$2:$F$11000,OUT!$H$2:$H$11000,H1443,OUT!$D$2:$D$11000,"Out",OUT!$E$2:$E$11000,"Iqbal")</f>
        <v>0</v>
      </c>
    </row>
    <row r="1444" spans="7:20" x14ac:dyDescent="0.2">
      <c r="G1444" s="50"/>
      <c r="H1444" s="51" t="str">
        <f t="shared" si="0"/>
        <v/>
      </c>
      <c r="I1444" s="52" t="e">
        <f>SUMIFS(OUT!$F$2:$F$11000,OUT!$H$2:$H$11000,H1444,OUT!$D$2:$D$101007,"In")</f>
        <v>#VALUE!</v>
      </c>
      <c r="J1444" s="52">
        <f ca="1">SUMIFS(OUT!$F$2:$F$11000,OUT!$H$2:$H$11000,H1444,OUT!$D$2:$D$11000,"Out")</f>
        <v>0</v>
      </c>
      <c r="K1444" s="52">
        <f ca="1">SUMIFS(OUT!$F$2:$F$11000,OUT!$H$2:$H$11000,H1444,OUT!$D$2:$D$11000,"Out",OUT!$E$2:$E$11000,"Fix")</f>
        <v>0</v>
      </c>
      <c r="L1444" s="52">
        <f ca="1">SUMIFS(OUT!$F$2:$F$11000,OUT!$H$2:$H$11000,H1444,OUT!$D$2:$D$11000,"Out",OUT!$E$2:$E$11000,"Bathroom")</f>
        <v>0</v>
      </c>
      <c r="M1444" s="52">
        <f ca="1">SUMIFS(OUT!$F$2:$F$11000,OUT!$H$2:$H$11000,H1444,OUT!$D$2:$D$11000,"Out",OUT!$E$2:$E$11000,"Alfa")</f>
        <v>0</v>
      </c>
      <c r="N1444" s="52" t="e">
        <f>SUMIFS(OUT!$F$2:$F$11000,OUT!$H$2:$H$101007,H1444,OUT!$D$2:$D$11000,"Out",OUT!$E$2:$E$11000,"Jajan")</f>
        <v>#VALUE!</v>
      </c>
      <c r="O1444" s="52">
        <f ca="1">SUMIFS(OUT!$F$2:$F$11000,OUT!$H$2:$H$11000,H1444,OUT!$D$2:$D$11000,"Out",OUT!$E$2:$E$11000,"Kitchen")</f>
        <v>0</v>
      </c>
      <c r="P1444" s="52">
        <f ca="1">SUMIFS(OUT!$F$2:$F$11000,OUT!$H$2:$H$11000,H1444,OUT!$D$2:$D$11000,"Out",OUT!$E$2:$E$11000,"Loandry")</f>
        <v>0</v>
      </c>
      <c r="Q1444" s="52">
        <f ca="1">SUMIFS(OUT!$F$2:$F$11000,OUT!$H$2:$H$11000,H1444,OUT!$D$2:$D$11000,"Out",OUT!$E$2:$E$11000,"Mio")</f>
        <v>0</v>
      </c>
      <c r="R1444" s="52">
        <f ca="1">SUMIFS(OUT!$F$2:$F$11000,OUT!$H$2:$H$11000,H1444,OUT!$D$2:$D$11000,"Out",OUT!$E$2:$E$11000,"Sedekah")</f>
        <v>0</v>
      </c>
      <c r="S1444" s="52">
        <f ca="1">SUMIFS(OUT!$F$2:$F$11000,OUT!$H$2:$H$11000,H1444,OUT!$D$2:$D$11000,"Out",OUT!$E$2:$E$11000,"Zela")</f>
        <v>0</v>
      </c>
      <c r="T1444" s="52">
        <f ca="1">SUMIFS(OUT!$F$2:$F$11000,OUT!$H$2:$H$11000,H1444,OUT!$D$2:$D$11000,"Out",OUT!$E$2:$E$11000,"Iqbal")</f>
        <v>0</v>
      </c>
    </row>
    <row r="1445" spans="7:20" x14ac:dyDescent="0.2">
      <c r="G1445" s="50"/>
      <c r="H1445" s="51" t="str">
        <f t="shared" si="0"/>
        <v/>
      </c>
      <c r="I1445" s="52" t="e">
        <f>SUMIFS(OUT!$F$2:$F$11000,OUT!$H$2:$H$11000,H1445,OUT!$D$2:$D$101007,"In")</f>
        <v>#VALUE!</v>
      </c>
      <c r="J1445" s="52">
        <f ca="1">SUMIFS(OUT!$F$2:$F$11000,OUT!$H$2:$H$11000,H1445,OUT!$D$2:$D$11000,"Out")</f>
        <v>0</v>
      </c>
      <c r="K1445" s="52">
        <f ca="1">SUMIFS(OUT!$F$2:$F$11000,OUT!$H$2:$H$11000,H1445,OUT!$D$2:$D$11000,"Out",OUT!$E$2:$E$11000,"Fix")</f>
        <v>0</v>
      </c>
      <c r="L1445" s="52">
        <f ca="1">SUMIFS(OUT!$F$2:$F$11000,OUT!$H$2:$H$11000,H1445,OUT!$D$2:$D$11000,"Out",OUT!$E$2:$E$11000,"Bathroom")</f>
        <v>0</v>
      </c>
      <c r="M1445" s="52">
        <f ca="1">SUMIFS(OUT!$F$2:$F$11000,OUT!$H$2:$H$11000,H1445,OUT!$D$2:$D$11000,"Out",OUT!$E$2:$E$11000,"Alfa")</f>
        <v>0</v>
      </c>
      <c r="N1445" s="52" t="e">
        <f>SUMIFS(OUT!$F$2:$F$11000,OUT!$H$2:$H$101007,H1445,OUT!$D$2:$D$11000,"Out",OUT!$E$2:$E$11000,"Jajan")</f>
        <v>#VALUE!</v>
      </c>
      <c r="O1445" s="52">
        <f ca="1">SUMIFS(OUT!$F$2:$F$11000,OUT!$H$2:$H$11000,H1445,OUT!$D$2:$D$11000,"Out",OUT!$E$2:$E$11000,"Kitchen")</f>
        <v>0</v>
      </c>
      <c r="P1445" s="52">
        <f ca="1">SUMIFS(OUT!$F$2:$F$11000,OUT!$H$2:$H$11000,H1445,OUT!$D$2:$D$11000,"Out",OUT!$E$2:$E$11000,"Loandry")</f>
        <v>0</v>
      </c>
      <c r="Q1445" s="52">
        <f ca="1">SUMIFS(OUT!$F$2:$F$11000,OUT!$H$2:$H$11000,H1445,OUT!$D$2:$D$11000,"Out",OUT!$E$2:$E$11000,"Mio")</f>
        <v>0</v>
      </c>
      <c r="R1445" s="52">
        <f ca="1">SUMIFS(OUT!$F$2:$F$11000,OUT!$H$2:$H$11000,H1445,OUT!$D$2:$D$11000,"Out",OUT!$E$2:$E$11000,"Sedekah")</f>
        <v>0</v>
      </c>
      <c r="S1445" s="52">
        <f ca="1">SUMIFS(OUT!$F$2:$F$11000,OUT!$H$2:$H$11000,H1445,OUT!$D$2:$D$11000,"Out",OUT!$E$2:$E$11000,"Zela")</f>
        <v>0</v>
      </c>
      <c r="T1445" s="52">
        <f ca="1">SUMIFS(OUT!$F$2:$F$11000,OUT!$H$2:$H$11000,H1445,OUT!$D$2:$D$11000,"Out",OUT!$E$2:$E$11000,"Iqbal")</f>
        <v>0</v>
      </c>
    </row>
    <row r="1446" spans="7:20" x14ac:dyDescent="0.2">
      <c r="G1446" s="50"/>
      <c r="H1446" s="51" t="str">
        <f t="shared" si="0"/>
        <v/>
      </c>
      <c r="I1446" s="52" t="e">
        <f>SUMIFS(OUT!$F$2:$F$11000,OUT!$H$2:$H$11000,H1446,OUT!$D$2:$D$101007,"In")</f>
        <v>#VALUE!</v>
      </c>
      <c r="J1446" s="52">
        <f ca="1">SUMIFS(OUT!$F$2:$F$11000,OUT!$H$2:$H$11000,H1446,OUT!$D$2:$D$11000,"Out")</f>
        <v>0</v>
      </c>
      <c r="K1446" s="52">
        <f ca="1">SUMIFS(OUT!$F$2:$F$11000,OUT!$H$2:$H$11000,H1446,OUT!$D$2:$D$11000,"Out",OUT!$E$2:$E$11000,"Fix")</f>
        <v>0</v>
      </c>
      <c r="L1446" s="52">
        <f ca="1">SUMIFS(OUT!$F$2:$F$11000,OUT!$H$2:$H$11000,H1446,OUT!$D$2:$D$11000,"Out",OUT!$E$2:$E$11000,"Bathroom")</f>
        <v>0</v>
      </c>
      <c r="M1446" s="52">
        <f ca="1">SUMIFS(OUT!$F$2:$F$11000,OUT!$H$2:$H$11000,H1446,OUT!$D$2:$D$11000,"Out",OUT!$E$2:$E$11000,"Alfa")</f>
        <v>0</v>
      </c>
      <c r="N1446" s="52" t="e">
        <f>SUMIFS(OUT!$F$2:$F$11000,OUT!$H$2:$H$101007,H1446,OUT!$D$2:$D$11000,"Out",OUT!$E$2:$E$11000,"Jajan")</f>
        <v>#VALUE!</v>
      </c>
      <c r="O1446" s="52">
        <f ca="1">SUMIFS(OUT!$F$2:$F$11000,OUT!$H$2:$H$11000,H1446,OUT!$D$2:$D$11000,"Out",OUT!$E$2:$E$11000,"Kitchen")</f>
        <v>0</v>
      </c>
      <c r="P1446" s="52">
        <f ca="1">SUMIFS(OUT!$F$2:$F$11000,OUT!$H$2:$H$11000,H1446,OUT!$D$2:$D$11000,"Out",OUT!$E$2:$E$11000,"Loandry")</f>
        <v>0</v>
      </c>
      <c r="Q1446" s="52">
        <f ca="1">SUMIFS(OUT!$F$2:$F$11000,OUT!$H$2:$H$11000,H1446,OUT!$D$2:$D$11000,"Out",OUT!$E$2:$E$11000,"Mio")</f>
        <v>0</v>
      </c>
      <c r="R1446" s="52">
        <f ca="1">SUMIFS(OUT!$F$2:$F$11000,OUT!$H$2:$H$11000,H1446,OUT!$D$2:$D$11000,"Out",OUT!$E$2:$E$11000,"Sedekah")</f>
        <v>0</v>
      </c>
      <c r="S1446" s="52">
        <f ca="1">SUMIFS(OUT!$F$2:$F$11000,OUT!$H$2:$H$11000,H1446,OUT!$D$2:$D$11000,"Out",OUT!$E$2:$E$11000,"Zela")</f>
        <v>0</v>
      </c>
      <c r="T1446" s="52">
        <f ca="1">SUMIFS(OUT!$F$2:$F$11000,OUT!$H$2:$H$11000,H1446,OUT!$D$2:$D$11000,"Out",OUT!$E$2:$E$11000,"Iqbal")</f>
        <v>0</v>
      </c>
    </row>
    <row r="1447" spans="7:20" x14ac:dyDescent="0.2">
      <c r="G1447" s="50"/>
      <c r="H1447" s="51" t="str">
        <f t="shared" si="0"/>
        <v/>
      </c>
      <c r="I1447" s="52" t="e">
        <f>SUMIFS(OUT!$F$2:$F$11000,OUT!$H$2:$H$11000,H1447,OUT!$D$2:$D$101007,"In")</f>
        <v>#VALUE!</v>
      </c>
      <c r="J1447" s="52">
        <f ca="1">SUMIFS(OUT!$F$2:$F$11000,OUT!$H$2:$H$11000,H1447,OUT!$D$2:$D$11000,"Out")</f>
        <v>0</v>
      </c>
      <c r="K1447" s="52">
        <f ca="1">SUMIFS(OUT!$F$2:$F$11000,OUT!$H$2:$H$11000,H1447,OUT!$D$2:$D$11000,"Out",OUT!$E$2:$E$11000,"Fix")</f>
        <v>0</v>
      </c>
      <c r="L1447" s="52">
        <f ca="1">SUMIFS(OUT!$F$2:$F$11000,OUT!$H$2:$H$11000,H1447,OUT!$D$2:$D$11000,"Out",OUT!$E$2:$E$11000,"Bathroom")</f>
        <v>0</v>
      </c>
      <c r="M1447" s="52">
        <f ca="1">SUMIFS(OUT!$F$2:$F$11000,OUT!$H$2:$H$11000,H1447,OUT!$D$2:$D$11000,"Out",OUT!$E$2:$E$11000,"Alfa")</f>
        <v>0</v>
      </c>
      <c r="N1447" s="52" t="e">
        <f>SUMIFS(OUT!$F$2:$F$11000,OUT!$H$2:$H$101007,H1447,OUT!$D$2:$D$11000,"Out",OUT!$E$2:$E$11000,"Jajan")</f>
        <v>#VALUE!</v>
      </c>
      <c r="O1447" s="52">
        <f ca="1">SUMIFS(OUT!$F$2:$F$11000,OUT!$H$2:$H$11000,H1447,OUT!$D$2:$D$11000,"Out",OUT!$E$2:$E$11000,"Kitchen")</f>
        <v>0</v>
      </c>
      <c r="P1447" s="52">
        <f ca="1">SUMIFS(OUT!$F$2:$F$11000,OUT!$H$2:$H$11000,H1447,OUT!$D$2:$D$11000,"Out",OUT!$E$2:$E$11000,"Loandry")</f>
        <v>0</v>
      </c>
      <c r="Q1447" s="52">
        <f ca="1">SUMIFS(OUT!$F$2:$F$11000,OUT!$H$2:$H$11000,H1447,OUT!$D$2:$D$11000,"Out",OUT!$E$2:$E$11000,"Mio")</f>
        <v>0</v>
      </c>
      <c r="R1447" s="52">
        <f ca="1">SUMIFS(OUT!$F$2:$F$11000,OUT!$H$2:$H$11000,H1447,OUT!$D$2:$D$11000,"Out",OUT!$E$2:$E$11000,"Sedekah")</f>
        <v>0</v>
      </c>
      <c r="S1447" s="52">
        <f ca="1">SUMIFS(OUT!$F$2:$F$11000,OUT!$H$2:$H$11000,H1447,OUT!$D$2:$D$11000,"Out",OUT!$E$2:$E$11000,"Zela")</f>
        <v>0</v>
      </c>
      <c r="T1447" s="52">
        <f ca="1">SUMIFS(OUT!$F$2:$F$11000,OUT!$H$2:$H$11000,H1447,OUT!$D$2:$D$11000,"Out",OUT!$E$2:$E$11000,"Iqbal")</f>
        <v>0</v>
      </c>
    </row>
    <row r="1448" spans="7:20" x14ac:dyDescent="0.2">
      <c r="G1448" s="50"/>
      <c r="H1448" s="51" t="str">
        <f t="shared" si="0"/>
        <v/>
      </c>
      <c r="I1448" s="52" t="e">
        <f>SUMIFS(OUT!$F$2:$F$11000,OUT!$H$2:$H$11000,H1448,OUT!$D$2:$D$101007,"In")</f>
        <v>#VALUE!</v>
      </c>
      <c r="J1448" s="52">
        <f ca="1">SUMIFS(OUT!$F$2:$F$11000,OUT!$H$2:$H$11000,H1448,OUT!$D$2:$D$11000,"Out")</f>
        <v>0</v>
      </c>
      <c r="K1448" s="52">
        <f ca="1">SUMIFS(OUT!$F$2:$F$11000,OUT!$H$2:$H$11000,H1448,OUT!$D$2:$D$11000,"Out",OUT!$E$2:$E$11000,"Fix")</f>
        <v>0</v>
      </c>
      <c r="L1448" s="52">
        <f ca="1">SUMIFS(OUT!$F$2:$F$11000,OUT!$H$2:$H$11000,H1448,OUT!$D$2:$D$11000,"Out",OUT!$E$2:$E$11000,"Bathroom")</f>
        <v>0</v>
      </c>
      <c r="M1448" s="52">
        <f ca="1">SUMIFS(OUT!$F$2:$F$11000,OUT!$H$2:$H$11000,H1448,OUT!$D$2:$D$11000,"Out",OUT!$E$2:$E$11000,"Alfa")</f>
        <v>0</v>
      </c>
      <c r="N1448" s="52" t="e">
        <f>SUMIFS(OUT!$F$2:$F$11000,OUT!$H$2:$H$101007,H1448,OUT!$D$2:$D$11000,"Out",OUT!$E$2:$E$11000,"Jajan")</f>
        <v>#VALUE!</v>
      </c>
      <c r="O1448" s="52">
        <f ca="1">SUMIFS(OUT!$F$2:$F$11000,OUT!$H$2:$H$11000,H1448,OUT!$D$2:$D$11000,"Out",OUT!$E$2:$E$11000,"Kitchen")</f>
        <v>0</v>
      </c>
      <c r="P1448" s="52">
        <f ca="1">SUMIFS(OUT!$F$2:$F$11000,OUT!$H$2:$H$11000,H1448,OUT!$D$2:$D$11000,"Out",OUT!$E$2:$E$11000,"Loandry")</f>
        <v>0</v>
      </c>
      <c r="Q1448" s="52">
        <f ca="1">SUMIFS(OUT!$F$2:$F$11000,OUT!$H$2:$H$11000,H1448,OUT!$D$2:$D$11000,"Out",OUT!$E$2:$E$11000,"Mio")</f>
        <v>0</v>
      </c>
      <c r="R1448" s="52">
        <f ca="1">SUMIFS(OUT!$F$2:$F$11000,OUT!$H$2:$H$11000,H1448,OUT!$D$2:$D$11000,"Out",OUT!$E$2:$E$11000,"Sedekah")</f>
        <v>0</v>
      </c>
      <c r="S1448" s="52">
        <f ca="1">SUMIFS(OUT!$F$2:$F$11000,OUT!$H$2:$H$11000,H1448,OUT!$D$2:$D$11000,"Out",OUT!$E$2:$E$11000,"Zela")</f>
        <v>0</v>
      </c>
      <c r="T1448" s="52">
        <f ca="1">SUMIFS(OUT!$F$2:$F$11000,OUT!$H$2:$H$11000,H1448,OUT!$D$2:$D$11000,"Out",OUT!$E$2:$E$11000,"Iqbal")</f>
        <v>0</v>
      </c>
    </row>
    <row r="1449" spans="7:20" x14ac:dyDescent="0.2">
      <c r="G1449" s="50"/>
      <c r="H1449" s="51" t="str">
        <f t="shared" si="0"/>
        <v/>
      </c>
      <c r="I1449" s="52" t="e">
        <f>SUMIFS(OUT!$F$2:$F$11000,OUT!$H$2:$H$11000,H1449,OUT!$D$2:$D$101007,"In")</f>
        <v>#VALUE!</v>
      </c>
      <c r="J1449" s="52">
        <f ca="1">SUMIFS(OUT!$F$2:$F$11000,OUT!$H$2:$H$11000,H1449,OUT!$D$2:$D$11000,"Out")</f>
        <v>0</v>
      </c>
      <c r="K1449" s="52">
        <f ca="1">SUMIFS(OUT!$F$2:$F$11000,OUT!$H$2:$H$11000,H1449,OUT!$D$2:$D$11000,"Out",OUT!$E$2:$E$11000,"Fix")</f>
        <v>0</v>
      </c>
      <c r="L1449" s="52">
        <f ca="1">SUMIFS(OUT!$F$2:$F$11000,OUT!$H$2:$H$11000,H1449,OUT!$D$2:$D$11000,"Out",OUT!$E$2:$E$11000,"Bathroom")</f>
        <v>0</v>
      </c>
      <c r="M1449" s="52">
        <f ca="1">SUMIFS(OUT!$F$2:$F$11000,OUT!$H$2:$H$11000,H1449,OUT!$D$2:$D$11000,"Out",OUT!$E$2:$E$11000,"Alfa")</f>
        <v>0</v>
      </c>
      <c r="N1449" s="52" t="e">
        <f>SUMIFS(OUT!$F$2:$F$11000,OUT!$H$2:$H$101007,H1449,OUT!$D$2:$D$11000,"Out",OUT!$E$2:$E$11000,"Jajan")</f>
        <v>#VALUE!</v>
      </c>
      <c r="O1449" s="52">
        <f ca="1">SUMIFS(OUT!$F$2:$F$11000,OUT!$H$2:$H$11000,H1449,OUT!$D$2:$D$11000,"Out",OUT!$E$2:$E$11000,"Kitchen")</f>
        <v>0</v>
      </c>
      <c r="P1449" s="52">
        <f ca="1">SUMIFS(OUT!$F$2:$F$11000,OUT!$H$2:$H$11000,H1449,OUT!$D$2:$D$11000,"Out",OUT!$E$2:$E$11000,"Loandry")</f>
        <v>0</v>
      </c>
      <c r="Q1449" s="52">
        <f ca="1">SUMIFS(OUT!$F$2:$F$11000,OUT!$H$2:$H$11000,H1449,OUT!$D$2:$D$11000,"Out",OUT!$E$2:$E$11000,"Mio")</f>
        <v>0</v>
      </c>
      <c r="R1449" s="52">
        <f ca="1">SUMIFS(OUT!$F$2:$F$11000,OUT!$H$2:$H$11000,H1449,OUT!$D$2:$D$11000,"Out",OUT!$E$2:$E$11000,"Sedekah")</f>
        <v>0</v>
      </c>
      <c r="S1449" s="52">
        <f ca="1">SUMIFS(OUT!$F$2:$F$11000,OUT!$H$2:$H$11000,H1449,OUT!$D$2:$D$11000,"Out",OUT!$E$2:$E$11000,"Zela")</f>
        <v>0</v>
      </c>
      <c r="T1449" s="52">
        <f ca="1">SUMIFS(OUT!$F$2:$F$11000,OUT!$H$2:$H$11000,H1449,OUT!$D$2:$D$11000,"Out",OUT!$E$2:$E$11000,"Iqbal")</f>
        <v>0</v>
      </c>
    </row>
    <row r="1450" spans="7:20" x14ac:dyDescent="0.2">
      <c r="G1450" s="50"/>
      <c r="H1450" s="51" t="str">
        <f t="shared" si="0"/>
        <v/>
      </c>
      <c r="I1450" s="52" t="e">
        <f>SUMIFS(OUT!$F$2:$F$11000,OUT!$H$2:$H$11000,H1450,OUT!$D$2:$D$101007,"In")</f>
        <v>#VALUE!</v>
      </c>
      <c r="J1450" s="52">
        <f ca="1">SUMIFS(OUT!$F$2:$F$11000,OUT!$H$2:$H$11000,H1450,OUT!$D$2:$D$11000,"Out")</f>
        <v>0</v>
      </c>
      <c r="K1450" s="52">
        <f ca="1">SUMIFS(OUT!$F$2:$F$11000,OUT!$H$2:$H$11000,H1450,OUT!$D$2:$D$11000,"Out",OUT!$E$2:$E$11000,"Fix")</f>
        <v>0</v>
      </c>
      <c r="L1450" s="52">
        <f ca="1">SUMIFS(OUT!$F$2:$F$11000,OUT!$H$2:$H$11000,H1450,OUT!$D$2:$D$11000,"Out",OUT!$E$2:$E$11000,"Bathroom")</f>
        <v>0</v>
      </c>
      <c r="M1450" s="52">
        <f ca="1">SUMIFS(OUT!$F$2:$F$11000,OUT!$H$2:$H$11000,H1450,OUT!$D$2:$D$11000,"Out",OUT!$E$2:$E$11000,"Alfa")</f>
        <v>0</v>
      </c>
      <c r="N1450" s="52" t="e">
        <f>SUMIFS(OUT!$F$2:$F$11000,OUT!$H$2:$H$101007,H1450,OUT!$D$2:$D$11000,"Out",OUT!$E$2:$E$11000,"Jajan")</f>
        <v>#VALUE!</v>
      </c>
      <c r="O1450" s="52">
        <f ca="1">SUMIFS(OUT!$F$2:$F$11000,OUT!$H$2:$H$11000,H1450,OUT!$D$2:$D$11000,"Out",OUT!$E$2:$E$11000,"Kitchen")</f>
        <v>0</v>
      </c>
      <c r="P1450" s="52">
        <f ca="1">SUMIFS(OUT!$F$2:$F$11000,OUT!$H$2:$H$11000,H1450,OUT!$D$2:$D$11000,"Out",OUT!$E$2:$E$11000,"Loandry")</f>
        <v>0</v>
      </c>
      <c r="Q1450" s="52">
        <f ca="1">SUMIFS(OUT!$F$2:$F$11000,OUT!$H$2:$H$11000,H1450,OUT!$D$2:$D$11000,"Out",OUT!$E$2:$E$11000,"Mio")</f>
        <v>0</v>
      </c>
      <c r="R1450" s="52">
        <f ca="1">SUMIFS(OUT!$F$2:$F$11000,OUT!$H$2:$H$11000,H1450,OUT!$D$2:$D$11000,"Out",OUT!$E$2:$E$11000,"Sedekah")</f>
        <v>0</v>
      </c>
      <c r="S1450" s="52">
        <f ca="1">SUMIFS(OUT!$F$2:$F$11000,OUT!$H$2:$H$11000,H1450,OUT!$D$2:$D$11000,"Out",OUT!$E$2:$E$11000,"Zela")</f>
        <v>0</v>
      </c>
      <c r="T1450" s="52">
        <f ca="1">SUMIFS(OUT!$F$2:$F$11000,OUT!$H$2:$H$11000,H1450,OUT!$D$2:$D$11000,"Out",OUT!$E$2:$E$11000,"Iqbal")</f>
        <v>0</v>
      </c>
    </row>
    <row r="1451" spans="7:20" x14ac:dyDescent="0.2">
      <c r="G1451" s="50"/>
      <c r="H1451" s="51" t="str">
        <f t="shared" si="0"/>
        <v/>
      </c>
      <c r="I1451" s="52" t="e">
        <f>SUMIFS(OUT!$F$2:$F$11000,OUT!$H$2:$H$11000,H1451,OUT!$D$2:$D$101007,"In")</f>
        <v>#VALUE!</v>
      </c>
      <c r="J1451" s="52">
        <f ca="1">SUMIFS(OUT!$F$2:$F$11000,OUT!$H$2:$H$11000,H1451,OUT!$D$2:$D$11000,"Out")</f>
        <v>0</v>
      </c>
      <c r="K1451" s="52">
        <f ca="1">SUMIFS(OUT!$F$2:$F$11000,OUT!$H$2:$H$11000,H1451,OUT!$D$2:$D$11000,"Out",OUT!$E$2:$E$11000,"Fix")</f>
        <v>0</v>
      </c>
      <c r="L1451" s="52">
        <f ca="1">SUMIFS(OUT!$F$2:$F$11000,OUT!$H$2:$H$11000,H1451,OUT!$D$2:$D$11000,"Out",OUT!$E$2:$E$11000,"Bathroom")</f>
        <v>0</v>
      </c>
      <c r="M1451" s="52">
        <f ca="1">SUMIFS(OUT!$F$2:$F$11000,OUT!$H$2:$H$11000,H1451,OUT!$D$2:$D$11000,"Out",OUT!$E$2:$E$11000,"Alfa")</f>
        <v>0</v>
      </c>
      <c r="N1451" s="52" t="e">
        <f>SUMIFS(OUT!$F$2:$F$11000,OUT!$H$2:$H$101007,H1451,OUT!$D$2:$D$11000,"Out",OUT!$E$2:$E$11000,"Jajan")</f>
        <v>#VALUE!</v>
      </c>
      <c r="O1451" s="52">
        <f ca="1">SUMIFS(OUT!$F$2:$F$11000,OUT!$H$2:$H$11000,H1451,OUT!$D$2:$D$11000,"Out",OUT!$E$2:$E$11000,"Kitchen")</f>
        <v>0</v>
      </c>
      <c r="P1451" s="52">
        <f ca="1">SUMIFS(OUT!$F$2:$F$11000,OUT!$H$2:$H$11000,H1451,OUT!$D$2:$D$11000,"Out",OUT!$E$2:$E$11000,"Loandry")</f>
        <v>0</v>
      </c>
      <c r="Q1451" s="52">
        <f ca="1">SUMIFS(OUT!$F$2:$F$11000,OUT!$H$2:$H$11000,H1451,OUT!$D$2:$D$11000,"Out",OUT!$E$2:$E$11000,"Mio")</f>
        <v>0</v>
      </c>
      <c r="R1451" s="52">
        <f ca="1">SUMIFS(OUT!$F$2:$F$11000,OUT!$H$2:$H$11000,H1451,OUT!$D$2:$D$11000,"Out",OUT!$E$2:$E$11000,"Sedekah")</f>
        <v>0</v>
      </c>
      <c r="S1451" s="52">
        <f ca="1">SUMIFS(OUT!$F$2:$F$11000,OUT!$H$2:$H$11000,H1451,OUT!$D$2:$D$11000,"Out",OUT!$E$2:$E$11000,"Zela")</f>
        <v>0</v>
      </c>
      <c r="T1451" s="52">
        <f ca="1">SUMIFS(OUT!$F$2:$F$11000,OUT!$H$2:$H$11000,H1451,OUT!$D$2:$D$11000,"Out",OUT!$E$2:$E$11000,"Iqbal")</f>
        <v>0</v>
      </c>
    </row>
    <row r="1452" spans="7:20" x14ac:dyDescent="0.2">
      <c r="G1452" s="50"/>
      <c r="H1452" s="51" t="str">
        <f t="shared" si="0"/>
        <v/>
      </c>
      <c r="I1452" s="52" t="e">
        <f>SUMIFS(OUT!$F$2:$F$11000,OUT!$H$2:$H$11000,H1452,OUT!$D$2:$D$101007,"In")</f>
        <v>#VALUE!</v>
      </c>
      <c r="J1452" s="52">
        <f ca="1">SUMIFS(OUT!$F$2:$F$11000,OUT!$H$2:$H$11000,H1452,OUT!$D$2:$D$11000,"Out")</f>
        <v>0</v>
      </c>
      <c r="K1452" s="52">
        <f ca="1">SUMIFS(OUT!$F$2:$F$11000,OUT!$H$2:$H$11000,H1452,OUT!$D$2:$D$11000,"Out",OUT!$E$2:$E$11000,"Fix")</f>
        <v>0</v>
      </c>
      <c r="L1452" s="52">
        <f ca="1">SUMIFS(OUT!$F$2:$F$11000,OUT!$H$2:$H$11000,H1452,OUT!$D$2:$D$11000,"Out",OUT!$E$2:$E$11000,"Bathroom")</f>
        <v>0</v>
      </c>
      <c r="M1452" s="52">
        <f ca="1">SUMIFS(OUT!$F$2:$F$11000,OUT!$H$2:$H$11000,H1452,OUT!$D$2:$D$11000,"Out",OUT!$E$2:$E$11000,"Alfa")</f>
        <v>0</v>
      </c>
      <c r="N1452" s="52" t="e">
        <f>SUMIFS(OUT!$F$2:$F$11000,OUT!$H$2:$H$101007,H1452,OUT!$D$2:$D$11000,"Out",OUT!$E$2:$E$11000,"Jajan")</f>
        <v>#VALUE!</v>
      </c>
      <c r="O1452" s="52">
        <f ca="1">SUMIFS(OUT!$F$2:$F$11000,OUT!$H$2:$H$11000,H1452,OUT!$D$2:$D$11000,"Out",OUT!$E$2:$E$11000,"Kitchen")</f>
        <v>0</v>
      </c>
      <c r="P1452" s="52">
        <f ca="1">SUMIFS(OUT!$F$2:$F$11000,OUT!$H$2:$H$11000,H1452,OUT!$D$2:$D$11000,"Out",OUT!$E$2:$E$11000,"Loandry")</f>
        <v>0</v>
      </c>
      <c r="Q1452" s="52">
        <f ca="1">SUMIFS(OUT!$F$2:$F$11000,OUT!$H$2:$H$11000,H1452,OUT!$D$2:$D$11000,"Out",OUT!$E$2:$E$11000,"Mio")</f>
        <v>0</v>
      </c>
      <c r="R1452" s="52">
        <f ca="1">SUMIFS(OUT!$F$2:$F$11000,OUT!$H$2:$H$11000,H1452,OUT!$D$2:$D$11000,"Out",OUT!$E$2:$E$11000,"Sedekah")</f>
        <v>0</v>
      </c>
      <c r="S1452" s="52">
        <f ca="1">SUMIFS(OUT!$F$2:$F$11000,OUT!$H$2:$H$11000,H1452,OUT!$D$2:$D$11000,"Out",OUT!$E$2:$E$11000,"Zela")</f>
        <v>0</v>
      </c>
      <c r="T1452" s="52">
        <f ca="1">SUMIFS(OUT!$F$2:$F$11000,OUT!$H$2:$H$11000,H1452,OUT!$D$2:$D$11000,"Out",OUT!$E$2:$E$11000,"Iqbal")</f>
        <v>0</v>
      </c>
    </row>
    <row r="1453" spans="7:20" x14ac:dyDescent="0.2">
      <c r="G1453" s="50"/>
      <c r="H1453" s="51" t="str">
        <f t="shared" si="0"/>
        <v/>
      </c>
      <c r="I1453" s="52" t="e">
        <f>SUMIFS(OUT!$F$2:$F$11000,OUT!$H$2:$H$11000,H1453,OUT!$D$2:$D$101007,"In")</f>
        <v>#VALUE!</v>
      </c>
      <c r="J1453" s="52">
        <f ca="1">SUMIFS(OUT!$F$2:$F$11000,OUT!$H$2:$H$11000,H1453,OUT!$D$2:$D$11000,"Out")</f>
        <v>0</v>
      </c>
      <c r="K1453" s="52">
        <f ca="1">SUMIFS(OUT!$F$2:$F$11000,OUT!$H$2:$H$11000,H1453,OUT!$D$2:$D$11000,"Out",OUT!$E$2:$E$11000,"Fix")</f>
        <v>0</v>
      </c>
      <c r="L1453" s="52">
        <f ca="1">SUMIFS(OUT!$F$2:$F$11000,OUT!$H$2:$H$11000,H1453,OUT!$D$2:$D$11000,"Out",OUT!$E$2:$E$11000,"Bathroom")</f>
        <v>0</v>
      </c>
      <c r="M1453" s="52">
        <f ca="1">SUMIFS(OUT!$F$2:$F$11000,OUT!$H$2:$H$11000,H1453,OUT!$D$2:$D$11000,"Out",OUT!$E$2:$E$11000,"Alfa")</f>
        <v>0</v>
      </c>
      <c r="N1453" s="52" t="e">
        <f>SUMIFS(OUT!$F$2:$F$11000,OUT!$H$2:$H$101007,H1453,OUT!$D$2:$D$11000,"Out",OUT!$E$2:$E$11000,"Jajan")</f>
        <v>#VALUE!</v>
      </c>
      <c r="O1453" s="52">
        <f ca="1">SUMIFS(OUT!$F$2:$F$11000,OUT!$H$2:$H$11000,H1453,OUT!$D$2:$D$11000,"Out",OUT!$E$2:$E$11000,"Kitchen")</f>
        <v>0</v>
      </c>
      <c r="P1453" s="52">
        <f ca="1">SUMIFS(OUT!$F$2:$F$11000,OUT!$H$2:$H$11000,H1453,OUT!$D$2:$D$11000,"Out",OUT!$E$2:$E$11000,"Loandry")</f>
        <v>0</v>
      </c>
      <c r="Q1453" s="52">
        <f ca="1">SUMIFS(OUT!$F$2:$F$11000,OUT!$H$2:$H$11000,H1453,OUT!$D$2:$D$11000,"Out",OUT!$E$2:$E$11000,"Mio")</f>
        <v>0</v>
      </c>
      <c r="R1453" s="52">
        <f ca="1">SUMIFS(OUT!$F$2:$F$11000,OUT!$H$2:$H$11000,H1453,OUT!$D$2:$D$11000,"Out",OUT!$E$2:$E$11000,"Sedekah")</f>
        <v>0</v>
      </c>
      <c r="S1453" s="52">
        <f ca="1">SUMIFS(OUT!$F$2:$F$11000,OUT!$H$2:$H$11000,H1453,OUT!$D$2:$D$11000,"Out",OUT!$E$2:$E$11000,"Zela")</f>
        <v>0</v>
      </c>
      <c r="T1453" s="52">
        <f ca="1">SUMIFS(OUT!$F$2:$F$11000,OUT!$H$2:$H$11000,H1453,OUT!$D$2:$D$11000,"Out",OUT!$E$2:$E$11000,"Iqbal")</f>
        <v>0</v>
      </c>
    </row>
    <row r="1454" spans="7:20" x14ac:dyDescent="0.2">
      <c r="G1454" s="50"/>
      <c r="H1454" s="51" t="str">
        <f t="shared" si="0"/>
        <v/>
      </c>
      <c r="I1454" s="52" t="e">
        <f>SUMIFS(OUT!$F$2:$F$11000,OUT!$H$2:$H$11000,H1454,OUT!$D$2:$D$101007,"In")</f>
        <v>#VALUE!</v>
      </c>
      <c r="J1454" s="52">
        <f ca="1">SUMIFS(OUT!$F$2:$F$11000,OUT!$H$2:$H$11000,H1454,OUT!$D$2:$D$11000,"Out")</f>
        <v>0</v>
      </c>
      <c r="K1454" s="52">
        <f ca="1">SUMIFS(OUT!$F$2:$F$11000,OUT!$H$2:$H$11000,H1454,OUT!$D$2:$D$11000,"Out",OUT!$E$2:$E$11000,"Fix")</f>
        <v>0</v>
      </c>
      <c r="L1454" s="52">
        <f ca="1">SUMIFS(OUT!$F$2:$F$11000,OUT!$H$2:$H$11000,H1454,OUT!$D$2:$D$11000,"Out",OUT!$E$2:$E$11000,"Bathroom")</f>
        <v>0</v>
      </c>
      <c r="M1454" s="52">
        <f ca="1">SUMIFS(OUT!$F$2:$F$11000,OUT!$H$2:$H$11000,H1454,OUT!$D$2:$D$11000,"Out",OUT!$E$2:$E$11000,"Alfa")</f>
        <v>0</v>
      </c>
      <c r="N1454" s="52" t="e">
        <f>SUMIFS(OUT!$F$2:$F$11000,OUT!$H$2:$H$101007,H1454,OUT!$D$2:$D$11000,"Out",OUT!$E$2:$E$11000,"Jajan")</f>
        <v>#VALUE!</v>
      </c>
      <c r="O1454" s="52">
        <f ca="1">SUMIFS(OUT!$F$2:$F$11000,OUT!$H$2:$H$11000,H1454,OUT!$D$2:$D$11000,"Out",OUT!$E$2:$E$11000,"Kitchen")</f>
        <v>0</v>
      </c>
      <c r="P1454" s="52">
        <f ca="1">SUMIFS(OUT!$F$2:$F$11000,OUT!$H$2:$H$11000,H1454,OUT!$D$2:$D$11000,"Out",OUT!$E$2:$E$11000,"Loandry")</f>
        <v>0</v>
      </c>
      <c r="Q1454" s="52">
        <f ca="1">SUMIFS(OUT!$F$2:$F$11000,OUT!$H$2:$H$11000,H1454,OUT!$D$2:$D$11000,"Out",OUT!$E$2:$E$11000,"Mio")</f>
        <v>0</v>
      </c>
      <c r="R1454" s="52">
        <f ca="1">SUMIFS(OUT!$F$2:$F$11000,OUT!$H$2:$H$11000,H1454,OUT!$D$2:$D$11000,"Out",OUT!$E$2:$E$11000,"Sedekah")</f>
        <v>0</v>
      </c>
      <c r="S1454" s="52">
        <f ca="1">SUMIFS(OUT!$F$2:$F$11000,OUT!$H$2:$H$11000,H1454,OUT!$D$2:$D$11000,"Out",OUT!$E$2:$E$11000,"Zela")</f>
        <v>0</v>
      </c>
      <c r="T1454" s="52">
        <f ca="1">SUMIFS(OUT!$F$2:$F$11000,OUT!$H$2:$H$11000,H1454,OUT!$D$2:$D$11000,"Out",OUT!$E$2:$E$11000,"Iqbal")</f>
        <v>0</v>
      </c>
    </row>
    <row r="1455" spans="7:20" x14ac:dyDescent="0.2">
      <c r="G1455" s="50"/>
      <c r="H1455" s="51" t="str">
        <f t="shared" si="0"/>
        <v/>
      </c>
      <c r="I1455" s="52" t="e">
        <f>SUMIFS(OUT!$F$2:$F$11000,OUT!$H$2:$H$11000,H1455,OUT!$D$2:$D$101007,"In")</f>
        <v>#VALUE!</v>
      </c>
      <c r="J1455" s="52">
        <f ca="1">SUMIFS(OUT!$F$2:$F$11000,OUT!$H$2:$H$11000,H1455,OUT!$D$2:$D$11000,"Out")</f>
        <v>0</v>
      </c>
      <c r="K1455" s="52">
        <f ca="1">SUMIFS(OUT!$F$2:$F$11000,OUT!$H$2:$H$11000,H1455,OUT!$D$2:$D$11000,"Out",OUT!$E$2:$E$11000,"Fix")</f>
        <v>0</v>
      </c>
      <c r="L1455" s="52">
        <f ca="1">SUMIFS(OUT!$F$2:$F$11000,OUT!$H$2:$H$11000,H1455,OUT!$D$2:$D$11000,"Out",OUT!$E$2:$E$11000,"Bathroom")</f>
        <v>0</v>
      </c>
      <c r="M1455" s="52">
        <f ca="1">SUMIFS(OUT!$F$2:$F$11000,OUT!$H$2:$H$11000,H1455,OUT!$D$2:$D$11000,"Out",OUT!$E$2:$E$11000,"Alfa")</f>
        <v>0</v>
      </c>
      <c r="N1455" s="52" t="e">
        <f>SUMIFS(OUT!$F$2:$F$11000,OUT!$H$2:$H$101007,H1455,OUT!$D$2:$D$11000,"Out",OUT!$E$2:$E$11000,"Jajan")</f>
        <v>#VALUE!</v>
      </c>
      <c r="O1455" s="52">
        <f ca="1">SUMIFS(OUT!$F$2:$F$11000,OUT!$H$2:$H$11000,H1455,OUT!$D$2:$D$11000,"Out",OUT!$E$2:$E$11000,"Kitchen")</f>
        <v>0</v>
      </c>
      <c r="P1455" s="52">
        <f ca="1">SUMIFS(OUT!$F$2:$F$11000,OUT!$H$2:$H$11000,H1455,OUT!$D$2:$D$11000,"Out",OUT!$E$2:$E$11000,"Loandry")</f>
        <v>0</v>
      </c>
      <c r="Q1455" s="52">
        <f ca="1">SUMIFS(OUT!$F$2:$F$11000,OUT!$H$2:$H$11000,H1455,OUT!$D$2:$D$11000,"Out",OUT!$E$2:$E$11000,"Mio")</f>
        <v>0</v>
      </c>
      <c r="R1455" s="52">
        <f ca="1">SUMIFS(OUT!$F$2:$F$11000,OUT!$H$2:$H$11000,H1455,OUT!$D$2:$D$11000,"Out",OUT!$E$2:$E$11000,"Sedekah")</f>
        <v>0</v>
      </c>
      <c r="S1455" s="52">
        <f ca="1">SUMIFS(OUT!$F$2:$F$11000,OUT!$H$2:$H$11000,H1455,OUT!$D$2:$D$11000,"Out",OUT!$E$2:$E$11000,"Zela")</f>
        <v>0</v>
      </c>
      <c r="T1455" s="52">
        <f ca="1">SUMIFS(OUT!$F$2:$F$11000,OUT!$H$2:$H$11000,H1455,OUT!$D$2:$D$11000,"Out",OUT!$E$2:$E$11000,"Iqbal")</f>
        <v>0</v>
      </c>
    </row>
    <row r="1456" spans="7:20" x14ac:dyDescent="0.2">
      <c r="G1456" s="50"/>
      <c r="H1456" s="51" t="str">
        <f t="shared" si="0"/>
        <v/>
      </c>
      <c r="I1456" s="52" t="e">
        <f>SUMIFS(OUT!$F$2:$F$11000,OUT!$H$2:$H$11000,H1456,OUT!$D$2:$D$101007,"In")</f>
        <v>#VALUE!</v>
      </c>
      <c r="J1456" s="52">
        <f ca="1">SUMIFS(OUT!$F$2:$F$11000,OUT!$H$2:$H$11000,H1456,OUT!$D$2:$D$11000,"Out")</f>
        <v>0</v>
      </c>
      <c r="K1456" s="52">
        <f ca="1">SUMIFS(OUT!$F$2:$F$11000,OUT!$H$2:$H$11000,H1456,OUT!$D$2:$D$11000,"Out",OUT!$E$2:$E$11000,"Fix")</f>
        <v>0</v>
      </c>
      <c r="L1456" s="52">
        <f ca="1">SUMIFS(OUT!$F$2:$F$11000,OUT!$H$2:$H$11000,H1456,OUT!$D$2:$D$11000,"Out",OUT!$E$2:$E$11000,"Bathroom")</f>
        <v>0</v>
      </c>
      <c r="M1456" s="52">
        <f ca="1">SUMIFS(OUT!$F$2:$F$11000,OUT!$H$2:$H$11000,H1456,OUT!$D$2:$D$11000,"Out",OUT!$E$2:$E$11000,"Alfa")</f>
        <v>0</v>
      </c>
      <c r="N1456" s="52" t="e">
        <f>SUMIFS(OUT!$F$2:$F$11000,OUT!$H$2:$H$101007,H1456,OUT!$D$2:$D$11000,"Out",OUT!$E$2:$E$11000,"Jajan")</f>
        <v>#VALUE!</v>
      </c>
      <c r="O1456" s="52">
        <f ca="1">SUMIFS(OUT!$F$2:$F$11000,OUT!$H$2:$H$11000,H1456,OUT!$D$2:$D$11000,"Out",OUT!$E$2:$E$11000,"Kitchen")</f>
        <v>0</v>
      </c>
      <c r="P1456" s="52">
        <f ca="1">SUMIFS(OUT!$F$2:$F$11000,OUT!$H$2:$H$11000,H1456,OUT!$D$2:$D$11000,"Out",OUT!$E$2:$E$11000,"Loandry")</f>
        <v>0</v>
      </c>
      <c r="Q1456" s="52">
        <f ca="1">SUMIFS(OUT!$F$2:$F$11000,OUT!$H$2:$H$11000,H1456,OUT!$D$2:$D$11000,"Out",OUT!$E$2:$E$11000,"Mio")</f>
        <v>0</v>
      </c>
      <c r="R1456" s="52">
        <f ca="1">SUMIFS(OUT!$F$2:$F$11000,OUT!$H$2:$H$11000,H1456,OUT!$D$2:$D$11000,"Out",OUT!$E$2:$E$11000,"Sedekah")</f>
        <v>0</v>
      </c>
      <c r="S1456" s="52">
        <f ca="1">SUMIFS(OUT!$F$2:$F$11000,OUT!$H$2:$H$11000,H1456,OUT!$D$2:$D$11000,"Out",OUT!$E$2:$E$11000,"Zela")</f>
        <v>0</v>
      </c>
      <c r="T1456" s="52">
        <f ca="1">SUMIFS(OUT!$F$2:$F$11000,OUT!$H$2:$H$11000,H1456,OUT!$D$2:$D$11000,"Out",OUT!$E$2:$E$11000,"Iqbal")</f>
        <v>0</v>
      </c>
    </row>
    <row r="1457" spans="7:20" x14ac:dyDescent="0.2">
      <c r="G1457" s="50"/>
      <c r="H1457" s="51" t="str">
        <f t="shared" si="0"/>
        <v/>
      </c>
      <c r="I1457" s="52" t="e">
        <f>SUMIFS(OUT!$F$2:$F$11000,OUT!$H$2:$H$11000,H1457,OUT!$D$2:$D$101007,"In")</f>
        <v>#VALUE!</v>
      </c>
      <c r="J1457" s="52">
        <f ca="1">SUMIFS(OUT!$F$2:$F$11000,OUT!$H$2:$H$11000,H1457,OUT!$D$2:$D$11000,"Out")</f>
        <v>0</v>
      </c>
      <c r="K1457" s="52">
        <f ca="1">SUMIFS(OUT!$F$2:$F$11000,OUT!$H$2:$H$11000,H1457,OUT!$D$2:$D$11000,"Out",OUT!$E$2:$E$11000,"Fix")</f>
        <v>0</v>
      </c>
      <c r="L1457" s="52">
        <f ca="1">SUMIFS(OUT!$F$2:$F$11000,OUT!$H$2:$H$11000,H1457,OUT!$D$2:$D$11000,"Out",OUT!$E$2:$E$11000,"Bathroom")</f>
        <v>0</v>
      </c>
      <c r="M1457" s="52">
        <f ca="1">SUMIFS(OUT!$F$2:$F$11000,OUT!$H$2:$H$11000,H1457,OUT!$D$2:$D$11000,"Out",OUT!$E$2:$E$11000,"Alfa")</f>
        <v>0</v>
      </c>
      <c r="N1457" s="52" t="e">
        <f>SUMIFS(OUT!$F$2:$F$11000,OUT!$H$2:$H$101007,H1457,OUT!$D$2:$D$11000,"Out",OUT!$E$2:$E$11000,"Jajan")</f>
        <v>#VALUE!</v>
      </c>
      <c r="O1457" s="52">
        <f ca="1">SUMIFS(OUT!$F$2:$F$11000,OUT!$H$2:$H$11000,H1457,OUT!$D$2:$D$11000,"Out",OUT!$E$2:$E$11000,"Kitchen")</f>
        <v>0</v>
      </c>
      <c r="P1457" s="52">
        <f ca="1">SUMIFS(OUT!$F$2:$F$11000,OUT!$H$2:$H$11000,H1457,OUT!$D$2:$D$11000,"Out",OUT!$E$2:$E$11000,"Loandry")</f>
        <v>0</v>
      </c>
      <c r="Q1457" s="52">
        <f ca="1">SUMIFS(OUT!$F$2:$F$11000,OUT!$H$2:$H$11000,H1457,OUT!$D$2:$D$11000,"Out",OUT!$E$2:$E$11000,"Mio")</f>
        <v>0</v>
      </c>
      <c r="R1457" s="52">
        <f ca="1">SUMIFS(OUT!$F$2:$F$11000,OUT!$H$2:$H$11000,H1457,OUT!$D$2:$D$11000,"Out",OUT!$E$2:$E$11000,"Sedekah")</f>
        <v>0</v>
      </c>
      <c r="S1457" s="52">
        <f ca="1">SUMIFS(OUT!$F$2:$F$11000,OUT!$H$2:$H$11000,H1457,OUT!$D$2:$D$11000,"Out",OUT!$E$2:$E$11000,"Zela")</f>
        <v>0</v>
      </c>
      <c r="T1457" s="52">
        <f ca="1">SUMIFS(OUT!$F$2:$F$11000,OUT!$H$2:$H$11000,H1457,OUT!$D$2:$D$11000,"Out",OUT!$E$2:$E$11000,"Iqbal")</f>
        <v>0</v>
      </c>
    </row>
    <row r="1458" spans="7:20" x14ac:dyDescent="0.2">
      <c r="G1458" s="50"/>
      <c r="H1458" s="51" t="str">
        <f t="shared" si="0"/>
        <v/>
      </c>
      <c r="I1458" s="52" t="e">
        <f>SUMIFS(OUT!$F$2:$F$11000,OUT!$H$2:$H$11000,H1458,OUT!$D$2:$D$101007,"In")</f>
        <v>#VALUE!</v>
      </c>
      <c r="J1458" s="52">
        <f ca="1">SUMIFS(OUT!$F$2:$F$11000,OUT!$H$2:$H$11000,H1458,OUT!$D$2:$D$11000,"Out")</f>
        <v>0</v>
      </c>
      <c r="K1458" s="52">
        <f ca="1">SUMIFS(OUT!$F$2:$F$11000,OUT!$H$2:$H$11000,H1458,OUT!$D$2:$D$11000,"Out",OUT!$E$2:$E$11000,"Fix")</f>
        <v>0</v>
      </c>
      <c r="L1458" s="52">
        <f ca="1">SUMIFS(OUT!$F$2:$F$11000,OUT!$H$2:$H$11000,H1458,OUT!$D$2:$D$11000,"Out",OUT!$E$2:$E$11000,"Bathroom")</f>
        <v>0</v>
      </c>
      <c r="M1458" s="52">
        <f ca="1">SUMIFS(OUT!$F$2:$F$11000,OUT!$H$2:$H$11000,H1458,OUT!$D$2:$D$11000,"Out",OUT!$E$2:$E$11000,"Alfa")</f>
        <v>0</v>
      </c>
      <c r="N1458" s="52" t="e">
        <f>SUMIFS(OUT!$F$2:$F$11000,OUT!$H$2:$H$101007,H1458,OUT!$D$2:$D$11000,"Out",OUT!$E$2:$E$11000,"Jajan")</f>
        <v>#VALUE!</v>
      </c>
      <c r="O1458" s="52">
        <f ca="1">SUMIFS(OUT!$F$2:$F$11000,OUT!$H$2:$H$11000,H1458,OUT!$D$2:$D$11000,"Out",OUT!$E$2:$E$11000,"Kitchen")</f>
        <v>0</v>
      </c>
      <c r="P1458" s="52">
        <f ca="1">SUMIFS(OUT!$F$2:$F$11000,OUT!$H$2:$H$11000,H1458,OUT!$D$2:$D$11000,"Out",OUT!$E$2:$E$11000,"Loandry")</f>
        <v>0</v>
      </c>
      <c r="Q1458" s="52">
        <f ca="1">SUMIFS(OUT!$F$2:$F$11000,OUT!$H$2:$H$11000,H1458,OUT!$D$2:$D$11000,"Out",OUT!$E$2:$E$11000,"Mio")</f>
        <v>0</v>
      </c>
      <c r="R1458" s="52">
        <f ca="1">SUMIFS(OUT!$F$2:$F$11000,OUT!$H$2:$H$11000,H1458,OUT!$D$2:$D$11000,"Out",OUT!$E$2:$E$11000,"Sedekah")</f>
        <v>0</v>
      </c>
      <c r="S1458" s="52">
        <f ca="1">SUMIFS(OUT!$F$2:$F$11000,OUT!$H$2:$H$11000,H1458,OUT!$D$2:$D$11000,"Out",OUT!$E$2:$E$11000,"Zela")</f>
        <v>0</v>
      </c>
      <c r="T1458" s="52">
        <f ca="1">SUMIFS(OUT!$F$2:$F$11000,OUT!$H$2:$H$11000,H1458,OUT!$D$2:$D$11000,"Out",OUT!$E$2:$E$11000,"Iqbal")</f>
        <v>0</v>
      </c>
    </row>
    <row r="1459" spans="7:20" x14ac:dyDescent="0.2">
      <c r="G1459" s="50"/>
      <c r="H1459" s="51" t="str">
        <f t="shared" si="0"/>
        <v/>
      </c>
      <c r="I1459" s="52" t="e">
        <f>SUMIFS(OUT!$F$2:$F$11000,OUT!$H$2:$H$11000,H1459,OUT!$D$2:$D$101007,"In")</f>
        <v>#VALUE!</v>
      </c>
      <c r="J1459" s="52">
        <f ca="1">SUMIFS(OUT!$F$2:$F$11000,OUT!$H$2:$H$11000,H1459,OUT!$D$2:$D$11000,"Out")</f>
        <v>0</v>
      </c>
      <c r="K1459" s="52">
        <f ca="1">SUMIFS(OUT!$F$2:$F$11000,OUT!$H$2:$H$11000,H1459,OUT!$D$2:$D$11000,"Out",OUT!$E$2:$E$11000,"Fix")</f>
        <v>0</v>
      </c>
      <c r="L1459" s="52">
        <f ca="1">SUMIFS(OUT!$F$2:$F$11000,OUT!$H$2:$H$11000,H1459,OUT!$D$2:$D$11000,"Out",OUT!$E$2:$E$11000,"Bathroom")</f>
        <v>0</v>
      </c>
      <c r="M1459" s="52">
        <f ca="1">SUMIFS(OUT!$F$2:$F$11000,OUT!$H$2:$H$11000,H1459,OUT!$D$2:$D$11000,"Out",OUT!$E$2:$E$11000,"Alfa")</f>
        <v>0</v>
      </c>
      <c r="N1459" s="52" t="e">
        <f>SUMIFS(OUT!$F$2:$F$11000,OUT!$H$2:$H$101007,H1459,OUT!$D$2:$D$11000,"Out",OUT!$E$2:$E$11000,"Jajan")</f>
        <v>#VALUE!</v>
      </c>
      <c r="O1459" s="52">
        <f ca="1">SUMIFS(OUT!$F$2:$F$11000,OUT!$H$2:$H$11000,H1459,OUT!$D$2:$D$11000,"Out",OUT!$E$2:$E$11000,"Kitchen")</f>
        <v>0</v>
      </c>
      <c r="P1459" s="52">
        <f ca="1">SUMIFS(OUT!$F$2:$F$11000,OUT!$H$2:$H$11000,H1459,OUT!$D$2:$D$11000,"Out",OUT!$E$2:$E$11000,"Loandry")</f>
        <v>0</v>
      </c>
      <c r="Q1459" s="52">
        <f ca="1">SUMIFS(OUT!$F$2:$F$11000,OUT!$H$2:$H$11000,H1459,OUT!$D$2:$D$11000,"Out",OUT!$E$2:$E$11000,"Mio")</f>
        <v>0</v>
      </c>
      <c r="R1459" s="52">
        <f ca="1">SUMIFS(OUT!$F$2:$F$11000,OUT!$H$2:$H$11000,H1459,OUT!$D$2:$D$11000,"Out",OUT!$E$2:$E$11000,"Sedekah")</f>
        <v>0</v>
      </c>
      <c r="S1459" s="52">
        <f ca="1">SUMIFS(OUT!$F$2:$F$11000,OUT!$H$2:$H$11000,H1459,OUT!$D$2:$D$11000,"Out",OUT!$E$2:$E$11000,"Zela")</f>
        <v>0</v>
      </c>
      <c r="T1459" s="52">
        <f ca="1">SUMIFS(OUT!$F$2:$F$11000,OUT!$H$2:$H$11000,H1459,OUT!$D$2:$D$11000,"Out",OUT!$E$2:$E$11000,"Iqbal")</f>
        <v>0</v>
      </c>
    </row>
    <row r="1460" spans="7:20" x14ac:dyDescent="0.2">
      <c r="G1460" s="50"/>
      <c r="H1460" s="51" t="str">
        <f t="shared" si="0"/>
        <v/>
      </c>
      <c r="I1460" s="52" t="e">
        <f>SUMIFS(OUT!$F$2:$F$11000,OUT!$H$2:$H$11000,H1460,OUT!$D$2:$D$101007,"In")</f>
        <v>#VALUE!</v>
      </c>
      <c r="J1460" s="52">
        <f ca="1">SUMIFS(OUT!$F$2:$F$11000,OUT!$H$2:$H$11000,H1460,OUT!$D$2:$D$11000,"Out")</f>
        <v>0</v>
      </c>
      <c r="K1460" s="52">
        <f ca="1">SUMIFS(OUT!$F$2:$F$11000,OUT!$H$2:$H$11000,H1460,OUT!$D$2:$D$11000,"Out",OUT!$E$2:$E$11000,"Fix")</f>
        <v>0</v>
      </c>
      <c r="L1460" s="52">
        <f ca="1">SUMIFS(OUT!$F$2:$F$11000,OUT!$H$2:$H$11000,H1460,OUT!$D$2:$D$11000,"Out",OUT!$E$2:$E$11000,"Bathroom")</f>
        <v>0</v>
      </c>
      <c r="M1460" s="52">
        <f ca="1">SUMIFS(OUT!$F$2:$F$11000,OUT!$H$2:$H$11000,H1460,OUT!$D$2:$D$11000,"Out",OUT!$E$2:$E$11000,"Alfa")</f>
        <v>0</v>
      </c>
      <c r="N1460" s="52" t="e">
        <f>SUMIFS(OUT!$F$2:$F$11000,OUT!$H$2:$H$101007,H1460,OUT!$D$2:$D$11000,"Out",OUT!$E$2:$E$11000,"Jajan")</f>
        <v>#VALUE!</v>
      </c>
      <c r="O1460" s="52">
        <f ca="1">SUMIFS(OUT!$F$2:$F$11000,OUT!$H$2:$H$11000,H1460,OUT!$D$2:$D$11000,"Out",OUT!$E$2:$E$11000,"Kitchen")</f>
        <v>0</v>
      </c>
      <c r="P1460" s="52">
        <f ca="1">SUMIFS(OUT!$F$2:$F$11000,OUT!$H$2:$H$11000,H1460,OUT!$D$2:$D$11000,"Out",OUT!$E$2:$E$11000,"Loandry")</f>
        <v>0</v>
      </c>
      <c r="Q1460" s="52">
        <f ca="1">SUMIFS(OUT!$F$2:$F$11000,OUT!$H$2:$H$11000,H1460,OUT!$D$2:$D$11000,"Out",OUT!$E$2:$E$11000,"Mio")</f>
        <v>0</v>
      </c>
      <c r="R1460" s="52">
        <f ca="1">SUMIFS(OUT!$F$2:$F$11000,OUT!$H$2:$H$11000,H1460,OUT!$D$2:$D$11000,"Out",OUT!$E$2:$E$11000,"Sedekah")</f>
        <v>0</v>
      </c>
      <c r="S1460" s="52">
        <f ca="1">SUMIFS(OUT!$F$2:$F$11000,OUT!$H$2:$H$11000,H1460,OUT!$D$2:$D$11000,"Out",OUT!$E$2:$E$11000,"Zela")</f>
        <v>0</v>
      </c>
      <c r="T1460" s="52">
        <f ca="1">SUMIFS(OUT!$F$2:$F$11000,OUT!$H$2:$H$11000,H1460,OUT!$D$2:$D$11000,"Out",OUT!$E$2:$E$11000,"Iqbal")</f>
        <v>0</v>
      </c>
    </row>
    <row r="1461" spans="7:20" x14ac:dyDescent="0.2">
      <c r="G1461" s="50"/>
      <c r="H1461" s="51" t="str">
        <f t="shared" si="0"/>
        <v/>
      </c>
      <c r="I1461" s="52" t="e">
        <f>SUMIFS(OUT!$F$2:$F$11000,OUT!$H$2:$H$11000,H1461,OUT!$D$2:$D$101007,"In")</f>
        <v>#VALUE!</v>
      </c>
      <c r="J1461" s="52">
        <f ca="1">SUMIFS(OUT!$F$2:$F$11000,OUT!$H$2:$H$11000,H1461,OUT!$D$2:$D$11000,"Out")</f>
        <v>0</v>
      </c>
      <c r="K1461" s="52">
        <f ca="1">SUMIFS(OUT!$F$2:$F$11000,OUT!$H$2:$H$11000,H1461,OUT!$D$2:$D$11000,"Out",OUT!$E$2:$E$11000,"Fix")</f>
        <v>0</v>
      </c>
      <c r="L1461" s="52">
        <f ca="1">SUMIFS(OUT!$F$2:$F$11000,OUT!$H$2:$H$11000,H1461,OUT!$D$2:$D$11000,"Out",OUT!$E$2:$E$11000,"Bathroom")</f>
        <v>0</v>
      </c>
      <c r="M1461" s="52">
        <f ca="1">SUMIFS(OUT!$F$2:$F$11000,OUT!$H$2:$H$11000,H1461,OUT!$D$2:$D$11000,"Out",OUT!$E$2:$E$11000,"Alfa")</f>
        <v>0</v>
      </c>
      <c r="N1461" s="52" t="e">
        <f>SUMIFS(OUT!$F$2:$F$11000,OUT!$H$2:$H$101007,H1461,OUT!$D$2:$D$11000,"Out",OUT!$E$2:$E$11000,"Jajan")</f>
        <v>#VALUE!</v>
      </c>
      <c r="O1461" s="52">
        <f ca="1">SUMIFS(OUT!$F$2:$F$11000,OUT!$H$2:$H$11000,H1461,OUT!$D$2:$D$11000,"Out",OUT!$E$2:$E$11000,"Kitchen")</f>
        <v>0</v>
      </c>
      <c r="P1461" s="52">
        <f ca="1">SUMIFS(OUT!$F$2:$F$11000,OUT!$H$2:$H$11000,H1461,OUT!$D$2:$D$11000,"Out",OUT!$E$2:$E$11000,"Loandry")</f>
        <v>0</v>
      </c>
      <c r="Q1461" s="52">
        <f ca="1">SUMIFS(OUT!$F$2:$F$11000,OUT!$H$2:$H$11000,H1461,OUT!$D$2:$D$11000,"Out",OUT!$E$2:$E$11000,"Mio")</f>
        <v>0</v>
      </c>
      <c r="R1461" s="52">
        <f ca="1">SUMIFS(OUT!$F$2:$F$11000,OUT!$H$2:$H$11000,H1461,OUT!$D$2:$D$11000,"Out",OUT!$E$2:$E$11000,"Sedekah")</f>
        <v>0</v>
      </c>
      <c r="S1461" s="52">
        <f ca="1">SUMIFS(OUT!$F$2:$F$11000,OUT!$H$2:$H$11000,H1461,OUT!$D$2:$D$11000,"Out",OUT!$E$2:$E$11000,"Zela")</f>
        <v>0</v>
      </c>
      <c r="T1461" s="52">
        <f ca="1">SUMIFS(OUT!$F$2:$F$11000,OUT!$H$2:$H$11000,H1461,OUT!$D$2:$D$11000,"Out",OUT!$E$2:$E$11000,"Iqbal")</f>
        <v>0</v>
      </c>
    </row>
    <row r="1462" spans="7:20" x14ac:dyDescent="0.2">
      <c r="G1462" s="50"/>
      <c r="H1462" s="51" t="str">
        <f t="shared" si="0"/>
        <v/>
      </c>
      <c r="I1462" s="52" t="e">
        <f>SUMIFS(OUT!$F$2:$F$11000,OUT!$H$2:$H$11000,H1462,OUT!$D$2:$D$101007,"In")</f>
        <v>#VALUE!</v>
      </c>
      <c r="J1462" s="52">
        <f ca="1">SUMIFS(OUT!$F$2:$F$11000,OUT!$H$2:$H$11000,H1462,OUT!$D$2:$D$11000,"Out")</f>
        <v>0</v>
      </c>
      <c r="K1462" s="52">
        <f ca="1">SUMIFS(OUT!$F$2:$F$11000,OUT!$H$2:$H$11000,H1462,OUT!$D$2:$D$11000,"Out",OUT!$E$2:$E$11000,"Fix")</f>
        <v>0</v>
      </c>
      <c r="L1462" s="52">
        <f ca="1">SUMIFS(OUT!$F$2:$F$11000,OUT!$H$2:$H$11000,H1462,OUT!$D$2:$D$11000,"Out",OUT!$E$2:$E$11000,"Bathroom")</f>
        <v>0</v>
      </c>
      <c r="M1462" s="52">
        <f ca="1">SUMIFS(OUT!$F$2:$F$11000,OUT!$H$2:$H$11000,H1462,OUT!$D$2:$D$11000,"Out",OUT!$E$2:$E$11000,"Alfa")</f>
        <v>0</v>
      </c>
      <c r="N1462" s="52" t="e">
        <f>SUMIFS(OUT!$F$2:$F$11000,OUT!$H$2:$H$101007,H1462,OUT!$D$2:$D$11000,"Out",OUT!$E$2:$E$11000,"Jajan")</f>
        <v>#VALUE!</v>
      </c>
      <c r="O1462" s="52">
        <f ca="1">SUMIFS(OUT!$F$2:$F$11000,OUT!$H$2:$H$11000,H1462,OUT!$D$2:$D$11000,"Out",OUT!$E$2:$E$11000,"Kitchen")</f>
        <v>0</v>
      </c>
      <c r="P1462" s="52">
        <f ca="1">SUMIFS(OUT!$F$2:$F$11000,OUT!$H$2:$H$11000,H1462,OUT!$D$2:$D$11000,"Out",OUT!$E$2:$E$11000,"Loandry")</f>
        <v>0</v>
      </c>
      <c r="Q1462" s="52">
        <f ca="1">SUMIFS(OUT!$F$2:$F$11000,OUT!$H$2:$H$11000,H1462,OUT!$D$2:$D$11000,"Out",OUT!$E$2:$E$11000,"Mio")</f>
        <v>0</v>
      </c>
      <c r="R1462" s="52">
        <f ca="1">SUMIFS(OUT!$F$2:$F$11000,OUT!$H$2:$H$11000,H1462,OUT!$D$2:$D$11000,"Out",OUT!$E$2:$E$11000,"Sedekah")</f>
        <v>0</v>
      </c>
      <c r="S1462" s="52">
        <f ca="1">SUMIFS(OUT!$F$2:$F$11000,OUT!$H$2:$H$11000,H1462,OUT!$D$2:$D$11000,"Out",OUT!$E$2:$E$11000,"Zela")</f>
        <v>0</v>
      </c>
      <c r="T1462" s="52">
        <f ca="1">SUMIFS(OUT!$F$2:$F$11000,OUT!$H$2:$H$11000,H1462,OUT!$D$2:$D$11000,"Out",OUT!$E$2:$E$11000,"Iqbal")</f>
        <v>0</v>
      </c>
    </row>
    <row r="1463" spans="7:20" x14ac:dyDescent="0.2">
      <c r="G1463" s="50"/>
      <c r="H1463" s="51" t="str">
        <f t="shared" si="0"/>
        <v/>
      </c>
      <c r="I1463" s="52" t="e">
        <f>SUMIFS(OUT!$F$2:$F$11000,OUT!$H$2:$H$11000,H1463,OUT!$D$2:$D$101007,"In")</f>
        <v>#VALUE!</v>
      </c>
      <c r="J1463" s="52">
        <f ca="1">SUMIFS(OUT!$F$2:$F$11000,OUT!$H$2:$H$11000,H1463,OUT!$D$2:$D$11000,"Out")</f>
        <v>0</v>
      </c>
      <c r="K1463" s="52">
        <f ca="1">SUMIFS(OUT!$F$2:$F$11000,OUT!$H$2:$H$11000,H1463,OUT!$D$2:$D$11000,"Out",OUT!$E$2:$E$11000,"Fix")</f>
        <v>0</v>
      </c>
      <c r="L1463" s="52">
        <f ca="1">SUMIFS(OUT!$F$2:$F$11000,OUT!$H$2:$H$11000,H1463,OUT!$D$2:$D$11000,"Out",OUT!$E$2:$E$11000,"Bathroom")</f>
        <v>0</v>
      </c>
      <c r="M1463" s="52">
        <f ca="1">SUMIFS(OUT!$F$2:$F$11000,OUT!$H$2:$H$11000,H1463,OUT!$D$2:$D$11000,"Out",OUT!$E$2:$E$11000,"Alfa")</f>
        <v>0</v>
      </c>
      <c r="N1463" s="52" t="e">
        <f>SUMIFS(OUT!$F$2:$F$11000,OUT!$H$2:$H$101007,H1463,OUT!$D$2:$D$11000,"Out",OUT!$E$2:$E$11000,"Jajan")</f>
        <v>#VALUE!</v>
      </c>
      <c r="O1463" s="52">
        <f ca="1">SUMIFS(OUT!$F$2:$F$11000,OUT!$H$2:$H$11000,H1463,OUT!$D$2:$D$11000,"Out",OUT!$E$2:$E$11000,"Kitchen")</f>
        <v>0</v>
      </c>
      <c r="P1463" s="52">
        <f ca="1">SUMIFS(OUT!$F$2:$F$11000,OUT!$H$2:$H$11000,H1463,OUT!$D$2:$D$11000,"Out",OUT!$E$2:$E$11000,"Loandry")</f>
        <v>0</v>
      </c>
      <c r="Q1463" s="52">
        <f ca="1">SUMIFS(OUT!$F$2:$F$11000,OUT!$H$2:$H$11000,H1463,OUT!$D$2:$D$11000,"Out",OUT!$E$2:$E$11000,"Mio")</f>
        <v>0</v>
      </c>
      <c r="R1463" s="52">
        <f ca="1">SUMIFS(OUT!$F$2:$F$11000,OUT!$H$2:$H$11000,H1463,OUT!$D$2:$D$11000,"Out",OUT!$E$2:$E$11000,"Sedekah")</f>
        <v>0</v>
      </c>
      <c r="S1463" s="52">
        <f ca="1">SUMIFS(OUT!$F$2:$F$11000,OUT!$H$2:$H$11000,H1463,OUT!$D$2:$D$11000,"Out",OUT!$E$2:$E$11000,"Zela")</f>
        <v>0</v>
      </c>
      <c r="T1463" s="52">
        <f ca="1">SUMIFS(OUT!$F$2:$F$11000,OUT!$H$2:$H$11000,H1463,OUT!$D$2:$D$11000,"Out",OUT!$E$2:$E$11000,"Iqbal")</f>
        <v>0</v>
      </c>
    </row>
    <row r="1464" spans="7:20" x14ac:dyDescent="0.2">
      <c r="G1464" s="50"/>
      <c r="H1464" s="51" t="str">
        <f t="shared" si="0"/>
        <v/>
      </c>
      <c r="I1464" s="52" t="e">
        <f>SUMIFS(OUT!$F$2:$F$11000,OUT!$H$2:$H$11000,H1464,OUT!$D$2:$D$101007,"In")</f>
        <v>#VALUE!</v>
      </c>
      <c r="J1464" s="52">
        <f ca="1">SUMIFS(OUT!$F$2:$F$11000,OUT!$H$2:$H$11000,H1464,OUT!$D$2:$D$11000,"Out")</f>
        <v>0</v>
      </c>
      <c r="K1464" s="52">
        <f ca="1">SUMIFS(OUT!$F$2:$F$11000,OUT!$H$2:$H$11000,H1464,OUT!$D$2:$D$11000,"Out",OUT!$E$2:$E$11000,"Fix")</f>
        <v>0</v>
      </c>
      <c r="L1464" s="52">
        <f ca="1">SUMIFS(OUT!$F$2:$F$11000,OUT!$H$2:$H$11000,H1464,OUT!$D$2:$D$11000,"Out",OUT!$E$2:$E$11000,"Bathroom")</f>
        <v>0</v>
      </c>
      <c r="M1464" s="52">
        <f ca="1">SUMIFS(OUT!$F$2:$F$11000,OUT!$H$2:$H$11000,H1464,OUT!$D$2:$D$11000,"Out",OUT!$E$2:$E$11000,"Alfa")</f>
        <v>0</v>
      </c>
      <c r="N1464" s="52" t="e">
        <f>SUMIFS(OUT!$F$2:$F$11000,OUT!$H$2:$H$101007,H1464,OUT!$D$2:$D$11000,"Out",OUT!$E$2:$E$11000,"Jajan")</f>
        <v>#VALUE!</v>
      </c>
      <c r="O1464" s="52">
        <f ca="1">SUMIFS(OUT!$F$2:$F$11000,OUT!$H$2:$H$11000,H1464,OUT!$D$2:$D$11000,"Out",OUT!$E$2:$E$11000,"Kitchen")</f>
        <v>0</v>
      </c>
      <c r="P1464" s="52">
        <f ca="1">SUMIFS(OUT!$F$2:$F$11000,OUT!$H$2:$H$11000,H1464,OUT!$D$2:$D$11000,"Out",OUT!$E$2:$E$11000,"Loandry")</f>
        <v>0</v>
      </c>
      <c r="Q1464" s="52">
        <f ca="1">SUMIFS(OUT!$F$2:$F$11000,OUT!$H$2:$H$11000,H1464,OUT!$D$2:$D$11000,"Out",OUT!$E$2:$E$11000,"Mio")</f>
        <v>0</v>
      </c>
      <c r="R1464" s="52">
        <f ca="1">SUMIFS(OUT!$F$2:$F$11000,OUT!$H$2:$H$11000,H1464,OUT!$D$2:$D$11000,"Out",OUT!$E$2:$E$11000,"Sedekah")</f>
        <v>0</v>
      </c>
      <c r="S1464" s="52">
        <f ca="1">SUMIFS(OUT!$F$2:$F$11000,OUT!$H$2:$H$11000,H1464,OUT!$D$2:$D$11000,"Out",OUT!$E$2:$E$11000,"Zela")</f>
        <v>0</v>
      </c>
      <c r="T1464" s="52">
        <f ca="1">SUMIFS(OUT!$F$2:$F$11000,OUT!$H$2:$H$11000,H1464,OUT!$D$2:$D$11000,"Out",OUT!$E$2:$E$11000,"Iqbal")</f>
        <v>0</v>
      </c>
    </row>
    <row r="1465" spans="7:20" x14ac:dyDescent="0.2">
      <c r="G1465" s="50"/>
      <c r="H1465" s="51" t="str">
        <f t="shared" si="0"/>
        <v/>
      </c>
      <c r="I1465" s="52" t="e">
        <f>SUMIFS(OUT!$F$2:$F$11000,OUT!$H$2:$H$11000,H1465,OUT!$D$2:$D$101007,"In")</f>
        <v>#VALUE!</v>
      </c>
      <c r="J1465" s="52">
        <f ca="1">SUMIFS(OUT!$F$2:$F$11000,OUT!$H$2:$H$11000,H1465,OUT!$D$2:$D$11000,"Out")</f>
        <v>0</v>
      </c>
      <c r="K1465" s="52">
        <f ca="1">SUMIFS(OUT!$F$2:$F$11000,OUT!$H$2:$H$11000,H1465,OUT!$D$2:$D$11000,"Out",OUT!$E$2:$E$11000,"Fix")</f>
        <v>0</v>
      </c>
      <c r="L1465" s="52">
        <f ca="1">SUMIFS(OUT!$F$2:$F$11000,OUT!$H$2:$H$11000,H1465,OUT!$D$2:$D$11000,"Out",OUT!$E$2:$E$11000,"Bathroom")</f>
        <v>0</v>
      </c>
      <c r="M1465" s="52">
        <f ca="1">SUMIFS(OUT!$F$2:$F$11000,OUT!$H$2:$H$11000,H1465,OUT!$D$2:$D$11000,"Out",OUT!$E$2:$E$11000,"Alfa")</f>
        <v>0</v>
      </c>
      <c r="N1465" s="52" t="e">
        <f>SUMIFS(OUT!$F$2:$F$11000,OUT!$H$2:$H$101007,H1465,OUT!$D$2:$D$11000,"Out",OUT!$E$2:$E$11000,"Jajan")</f>
        <v>#VALUE!</v>
      </c>
      <c r="O1465" s="52">
        <f ca="1">SUMIFS(OUT!$F$2:$F$11000,OUT!$H$2:$H$11000,H1465,OUT!$D$2:$D$11000,"Out",OUT!$E$2:$E$11000,"Kitchen")</f>
        <v>0</v>
      </c>
      <c r="P1465" s="52">
        <f ca="1">SUMIFS(OUT!$F$2:$F$11000,OUT!$H$2:$H$11000,H1465,OUT!$D$2:$D$11000,"Out",OUT!$E$2:$E$11000,"Loandry")</f>
        <v>0</v>
      </c>
      <c r="Q1465" s="52">
        <f ca="1">SUMIFS(OUT!$F$2:$F$11000,OUT!$H$2:$H$11000,H1465,OUT!$D$2:$D$11000,"Out",OUT!$E$2:$E$11000,"Mio")</f>
        <v>0</v>
      </c>
      <c r="R1465" s="52">
        <f ca="1">SUMIFS(OUT!$F$2:$F$11000,OUT!$H$2:$H$11000,H1465,OUT!$D$2:$D$11000,"Out",OUT!$E$2:$E$11000,"Sedekah")</f>
        <v>0</v>
      </c>
      <c r="S1465" s="52">
        <f ca="1">SUMIFS(OUT!$F$2:$F$11000,OUT!$H$2:$H$11000,H1465,OUT!$D$2:$D$11000,"Out",OUT!$E$2:$E$11000,"Zela")</f>
        <v>0</v>
      </c>
      <c r="T1465" s="52">
        <f ca="1">SUMIFS(OUT!$F$2:$F$11000,OUT!$H$2:$H$11000,H1465,OUT!$D$2:$D$11000,"Out",OUT!$E$2:$E$11000,"Iqbal")</f>
        <v>0</v>
      </c>
    </row>
    <row r="1466" spans="7:20" x14ac:dyDescent="0.2">
      <c r="G1466" s="50"/>
      <c r="H1466" s="51" t="str">
        <f t="shared" si="0"/>
        <v/>
      </c>
      <c r="I1466" s="52" t="e">
        <f>SUMIFS(OUT!$F$2:$F$11000,OUT!$H$2:$H$11000,H1466,OUT!$D$2:$D$101007,"In")</f>
        <v>#VALUE!</v>
      </c>
      <c r="J1466" s="52">
        <f ca="1">SUMIFS(OUT!$F$2:$F$11000,OUT!$H$2:$H$11000,H1466,OUT!$D$2:$D$11000,"Out")</f>
        <v>0</v>
      </c>
      <c r="K1466" s="52">
        <f ca="1">SUMIFS(OUT!$F$2:$F$11000,OUT!$H$2:$H$11000,H1466,OUT!$D$2:$D$11000,"Out",OUT!$E$2:$E$11000,"Fix")</f>
        <v>0</v>
      </c>
      <c r="L1466" s="52">
        <f ca="1">SUMIFS(OUT!$F$2:$F$11000,OUT!$H$2:$H$11000,H1466,OUT!$D$2:$D$11000,"Out",OUT!$E$2:$E$11000,"Bathroom")</f>
        <v>0</v>
      </c>
      <c r="M1466" s="52">
        <f ca="1">SUMIFS(OUT!$F$2:$F$11000,OUT!$H$2:$H$11000,H1466,OUT!$D$2:$D$11000,"Out",OUT!$E$2:$E$11000,"Alfa")</f>
        <v>0</v>
      </c>
      <c r="N1466" s="52" t="e">
        <f>SUMIFS(OUT!$F$2:$F$11000,OUT!$H$2:$H$101007,H1466,OUT!$D$2:$D$11000,"Out",OUT!$E$2:$E$11000,"Jajan")</f>
        <v>#VALUE!</v>
      </c>
      <c r="O1466" s="52">
        <f ca="1">SUMIFS(OUT!$F$2:$F$11000,OUT!$H$2:$H$11000,H1466,OUT!$D$2:$D$11000,"Out",OUT!$E$2:$E$11000,"Kitchen")</f>
        <v>0</v>
      </c>
      <c r="P1466" s="52">
        <f ca="1">SUMIFS(OUT!$F$2:$F$11000,OUT!$H$2:$H$11000,H1466,OUT!$D$2:$D$11000,"Out",OUT!$E$2:$E$11000,"Loandry")</f>
        <v>0</v>
      </c>
      <c r="Q1466" s="52">
        <f ca="1">SUMIFS(OUT!$F$2:$F$11000,OUT!$H$2:$H$11000,H1466,OUT!$D$2:$D$11000,"Out",OUT!$E$2:$E$11000,"Mio")</f>
        <v>0</v>
      </c>
      <c r="R1466" s="52">
        <f ca="1">SUMIFS(OUT!$F$2:$F$11000,OUT!$H$2:$H$11000,H1466,OUT!$D$2:$D$11000,"Out",OUT!$E$2:$E$11000,"Sedekah")</f>
        <v>0</v>
      </c>
      <c r="S1466" s="52">
        <f ca="1">SUMIFS(OUT!$F$2:$F$11000,OUT!$H$2:$H$11000,H1466,OUT!$D$2:$D$11000,"Out",OUT!$E$2:$E$11000,"Zela")</f>
        <v>0</v>
      </c>
      <c r="T1466" s="52">
        <f ca="1">SUMIFS(OUT!$F$2:$F$11000,OUT!$H$2:$H$11000,H1466,OUT!$D$2:$D$11000,"Out",OUT!$E$2:$E$11000,"Iqbal")</f>
        <v>0</v>
      </c>
    </row>
    <row r="1467" spans="7:20" x14ac:dyDescent="0.2">
      <c r="G1467" s="50"/>
      <c r="H1467" s="51" t="str">
        <f t="shared" si="0"/>
        <v/>
      </c>
      <c r="I1467" s="52" t="e">
        <f>SUMIFS(OUT!$F$2:$F$11000,OUT!$H$2:$H$11000,H1467,OUT!$D$2:$D$101007,"In")</f>
        <v>#VALUE!</v>
      </c>
      <c r="J1467" s="52">
        <f ca="1">SUMIFS(OUT!$F$2:$F$11000,OUT!$H$2:$H$11000,H1467,OUT!$D$2:$D$11000,"Out")</f>
        <v>0</v>
      </c>
      <c r="K1467" s="52">
        <f ca="1">SUMIFS(OUT!$F$2:$F$11000,OUT!$H$2:$H$11000,H1467,OUT!$D$2:$D$11000,"Out",OUT!$E$2:$E$11000,"Fix")</f>
        <v>0</v>
      </c>
      <c r="L1467" s="52">
        <f ca="1">SUMIFS(OUT!$F$2:$F$11000,OUT!$H$2:$H$11000,H1467,OUT!$D$2:$D$11000,"Out",OUT!$E$2:$E$11000,"Bathroom")</f>
        <v>0</v>
      </c>
      <c r="M1467" s="52">
        <f ca="1">SUMIFS(OUT!$F$2:$F$11000,OUT!$H$2:$H$11000,H1467,OUT!$D$2:$D$11000,"Out",OUT!$E$2:$E$11000,"Alfa")</f>
        <v>0</v>
      </c>
      <c r="N1467" s="52" t="e">
        <f>SUMIFS(OUT!$F$2:$F$11000,OUT!$H$2:$H$101007,H1467,OUT!$D$2:$D$11000,"Out",OUT!$E$2:$E$11000,"Jajan")</f>
        <v>#VALUE!</v>
      </c>
      <c r="O1467" s="52">
        <f ca="1">SUMIFS(OUT!$F$2:$F$11000,OUT!$H$2:$H$11000,H1467,OUT!$D$2:$D$11000,"Out",OUT!$E$2:$E$11000,"Kitchen")</f>
        <v>0</v>
      </c>
      <c r="P1467" s="52">
        <f ca="1">SUMIFS(OUT!$F$2:$F$11000,OUT!$H$2:$H$11000,H1467,OUT!$D$2:$D$11000,"Out",OUT!$E$2:$E$11000,"Loandry")</f>
        <v>0</v>
      </c>
      <c r="Q1467" s="52">
        <f ca="1">SUMIFS(OUT!$F$2:$F$11000,OUT!$H$2:$H$11000,H1467,OUT!$D$2:$D$11000,"Out",OUT!$E$2:$E$11000,"Mio")</f>
        <v>0</v>
      </c>
      <c r="R1467" s="52">
        <f ca="1">SUMIFS(OUT!$F$2:$F$11000,OUT!$H$2:$H$11000,H1467,OUT!$D$2:$D$11000,"Out",OUT!$E$2:$E$11000,"Sedekah")</f>
        <v>0</v>
      </c>
      <c r="S1467" s="52">
        <f ca="1">SUMIFS(OUT!$F$2:$F$11000,OUT!$H$2:$H$11000,H1467,OUT!$D$2:$D$11000,"Out",OUT!$E$2:$E$11000,"Zela")</f>
        <v>0</v>
      </c>
      <c r="T1467" s="52">
        <f ca="1">SUMIFS(OUT!$F$2:$F$11000,OUT!$H$2:$H$11000,H1467,OUT!$D$2:$D$11000,"Out",OUT!$E$2:$E$11000,"Iqbal")</f>
        <v>0</v>
      </c>
    </row>
    <row r="1468" spans="7:20" x14ac:dyDescent="0.2">
      <c r="G1468" s="50"/>
      <c r="H1468" s="51" t="str">
        <f t="shared" si="0"/>
        <v/>
      </c>
      <c r="I1468" s="52" t="e">
        <f>SUMIFS(OUT!$F$2:$F$11000,OUT!$H$2:$H$11000,H1468,OUT!$D$2:$D$101007,"In")</f>
        <v>#VALUE!</v>
      </c>
      <c r="J1468" s="52">
        <f ca="1">SUMIFS(OUT!$F$2:$F$11000,OUT!$H$2:$H$11000,H1468,OUT!$D$2:$D$11000,"Out")</f>
        <v>0</v>
      </c>
      <c r="K1468" s="52">
        <f ca="1">SUMIFS(OUT!$F$2:$F$11000,OUT!$H$2:$H$11000,H1468,OUT!$D$2:$D$11000,"Out",OUT!$E$2:$E$11000,"Fix")</f>
        <v>0</v>
      </c>
      <c r="L1468" s="52">
        <f ca="1">SUMIFS(OUT!$F$2:$F$11000,OUT!$H$2:$H$11000,H1468,OUT!$D$2:$D$11000,"Out",OUT!$E$2:$E$11000,"Bathroom")</f>
        <v>0</v>
      </c>
      <c r="M1468" s="52">
        <f ca="1">SUMIFS(OUT!$F$2:$F$11000,OUT!$H$2:$H$11000,H1468,OUT!$D$2:$D$11000,"Out",OUT!$E$2:$E$11000,"Alfa")</f>
        <v>0</v>
      </c>
      <c r="N1468" s="52" t="e">
        <f>SUMIFS(OUT!$F$2:$F$11000,OUT!$H$2:$H$101007,H1468,OUT!$D$2:$D$11000,"Out",OUT!$E$2:$E$11000,"Jajan")</f>
        <v>#VALUE!</v>
      </c>
      <c r="O1468" s="52">
        <f ca="1">SUMIFS(OUT!$F$2:$F$11000,OUT!$H$2:$H$11000,H1468,OUT!$D$2:$D$11000,"Out",OUT!$E$2:$E$11000,"Kitchen")</f>
        <v>0</v>
      </c>
      <c r="P1468" s="52">
        <f ca="1">SUMIFS(OUT!$F$2:$F$11000,OUT!$H$2:$H$11000,H1468,OUT!$D$2:$D$11000,"Out",OUT!$E$2:$E$11000,"Loandry")</f>
        <v>0</v>
      </c>
      <c r="Q1468" s="52">
        <f ca="1">SUMIFS(OUT!$F$2:$F$11000,OUT!$H$2:$H$11000,H1468,OUT!$D$2:$D$11000,"Out",OUT!$E$2:$E$11000,"Mio")</f>
        <v>0</v>
      </c>
      <c r="R1468" s="52">
        <f ca="1">SUMIFS(OUT!$F$2:$F$11000,OUT!$H$2:$H$11000,H1468,OUT!$D$2:$D$11000,"Out",OUT!$E$2:$E$11000,"Sedekah")</f>
        <v>0</v>
      </c>
      <c r="S1468" s="52">
        <f ca="1">SUMIFS(OUT!$F$2:$F$11000,OUT!$H$2:$H$11000,H1468,OUT!$D$2:$D$11000,"Out",OUT!$E$2:$E$11000,"Zela")</f>
        <v>0</v>
      </c>
      <c r="T1468" s="52">
        <f ca="1">SUMIFS(OUT!$F$2:$F$11000,OUT!$H$2:$H$11000,H1468,OUT!$D$2:$D$11000,"Out",OUT!$E$2:$E$11000,"Iqbal")</f>
        <v>0</v>
      </c>
    </row>
    <row r="1469" spans="7:20" x14ac:dyDescent="0.2">
      <c r="G1469" s="50"/>
      <c r="H1469" s="51" t="str">
        <f t="shared" si="0"/>
        <v/>
      </c>
      <c r="I1469" s="52" t="e">
        <f>SUMIFS(OUT!$F$2:$F$11000,OUT!$H$2:$H$11000,H1469,OUT!$D$2:$D$101007,"In")</f>
        <v>#VALUE!</v>
      </c>
      <c r="J1469" s="52">
        <f ca="1">SUMIFS(OUT!$F$2:$F$11000,OUT!$H$2:$H$11000,H1469,OUT!$D$2:$D$11000,"Out")</f>
        <v>0</v>
      </c>
      <c r="K1469" s="52">
        <f ca="1">SUMIFS(OUT!$F$2:$F$11000,OUT!$H$2:$H$11000,H1469,OUT!$D$2:$D$11000,"Out",OUT!$E$2:$E$11000,"Fix")</f>
        <v>0</v>
      </c>
      <c r="L1469" s="52">
        <f ca="1">SUMIFS(OUT!$F$2:$F$11000,OUT!$H$2:$H$11000,H1469,OUT!$D$2:$D$11000,"Out",OUT!$E$2:$E$11000,"Bathroom")</f>
        <v>0</v>
      </c>
      <c r="M1469" s="52">
        <f ca="1">SUMIFS(OUT!$F$2:$F$11000,OUT!$H$2:$H$11000,H1469,OUT!$D$2:$D$11000,"Out",OUT!$E$2:$E$11000,"Alfa")</f>
        <v>0</v>
      </c>
      <c r="N1469" s="52" t="e">
        <f>SUMIFS(OUT!$F$2:$F$11000,OUT!$H$2:$H$101007,H1469,OUT!$D$2:$D$11000,"Out",OUT!$E$2:$E$11000,"Jajan")</f>
        <v>#VALUE!</v>
      </c>
      <c r="O1469" s="52">
        <f ca="1">SUMIFS(OUT!$F$2:$F$11000,OUT!$H$2:$H$11000,H1469,OUT!$D$2:$D$11000,"Out",OUT!$E$2:$E$11000,"Kitchen")</f>
        <v>0</v>
      </c>
      <c r="P1469" s="52">
        <f ca="1">SUMIFS(OUT!$F$2:$F$11000,OUT!$H$2:$H$11000,H1469,OUT!$D$2:$D$11000,"Out",OUT!$E$2:$E$11000,"Loandry")</f>
        <v>0</v>
      </c>
      <c r="Q1469" s="52">
        <f ca="1">SUMIFS(OUT!$F$2:$F$11000,OUT!$H$2:$H$11000,H1469,OUT!$D$2:$D$11000,"Out",OUT!$E$2:$E$11000,"Mio")</f>
        <v>0</v>
      </c>
      <c r="R1469" s="52">
        <f ca="1">SUMIFS(OUT!$F$2:$F$11000,OUT!$H$2:$H$11000,H1469,OUT!$D$2:$D$11000,"Out",OUT!$E$2:$E$11000,"Sedekah")</f>
        <v>0</v>
      </c>
      <c r="S1469" s="52">
        <f ca="1">SUMIFS(OUT!$F$2:$F$11000,OUT!$H$2:$H$11000,H1469,OUT!$D$2:$D$11000,"Out",OUT!$E$2:$E$11000,"Zela")</f>
        <v>0</v>
      </c>
      <c r="T1469" s="52">
        <f ca="1">SUMIFS(OUT!$F$2:$F$11000,OUT!$H$2:$H$11000,H1469,OUT!$D$2:$D$11000,"Out",OUT!$E$2:$E$11000,"Iqbal")</f>
        <v>0</v>
      </c>
    </row>
    <row r="1470" spans="7:20" x14ac:dyDescent="0.2">
      <c r="G1470" s="50"/>
      <c r="H1470" s="51" t="str">
        <f t="shared" si="0"/>
        <v/>
      </c>
      <c r="I1470" s="52" t="e">
        <f>SUMIFS(OUT!$F$2:$F$11000,OUT!$H$2:$H$11000,H1470,OUT!$D$2:$D$101007,"In")</f>
        <v>#VALUE!</v>
      </c>
      <c r="J1470" s="52">
        <f ca="1">SUMIFS(OUT!$F$2:$F$11000,OUT!$H$2:$H$11000,H1470,OUT!$D$2:$D$11000,"Out")</f>
        <v>0</v>
      </c>
      <c r="K1470" s="52">
        <f ca="1">SUMIFS(OUT!$F$2:$F$11000,OUT!$H$2:$H$11000,H1470,OUT!$D$2:$D$11000,"Out",OUT!$E$2:$E$11000,"Fix")</f>
        <v>0</v>
      </c>
      <c r="L1470" s="52">
        <f ca="1">SUMIFS(OUT!$F$2:$F$11000,OUT!$H$2:$H$11000,H1470,OUT!$D$2:$D$11000,"Out",OUT!$E$2:$E$11000,"Bathroom")</f>
        <v>0</v>
      </c>
      <c r="M1470" s="52">
        <f ca="1">SUMIFS(OUT!$F$2:$F$11000,OUT!$H$2:$H$11000,H1470,OUT!$D$2:$D$11000,"Out",OUT!$E$2:$E$11000,"Alfa")</f>
        <v>0</v>
      </c>
      <c r="N1470" s="52" t="e">
        <f>SUMIFS(OUT!$F$2:$F$11000,OUT!$H$2:$H$101007,H1470,OUT!$D$2:$D$11000,"Out",OUT!$E$2:$E$11000,"Jajan")</f>
        <v>#VALUE!</v>
      </c>
      <c r="O1470" s="52">
        <f ca="1">SUMIFS(OUT!$F$2:$F$11000,OUT!$H$2:$H$11000,H1470,OUT!$D$2:$D$11000,"Out",OUT!$E$2:$E$11000,"Kitchen")</f>
        <v>0</v>
      </c>
      <c r="P1470" s="52">
        <f ca="1">SUMIFS(OUT!$F$2:$F$11000,OUT!$H$2:$H$11000,H1470,OUT!$D$2:$D$11000,"Out",OUT!$E$2:$E$11000,"Loandry")</f>
        <v>0</v>
      </c>
      <c r="Q1470" s="52">
        <f ca="1">SUMIFS(OUT!$F$2:$F$11000,OUT!$H$2:$H$11000,H1470,OUT!$D$2:$D$11000,"Out",OUT!$E$2:$E$11000,"Mio")</f>
        <v>0</v>
      </c>
      <c r="R1470" s="52">
        <f ca="1">SUMIFS(OUT!$F$2:$F$11000,OUT!$H$2:$H$11000,H1470,OUT!$D$2:$D$11000,"Out",OUT!$E$2:$E$11000,"Sedekah")</f>
        <v>0</v>
      </c>
      <c r="S1470" s="52">
        <f ca="1">SUMIFS(OUT!$F$2:$F$11000,OUT!$H$2:$H$11000,H1470,OUT!$D$2:$D$11000,"Out",OUT!$E$2:$E$11000,"Zela")</f>
        <v>0</v>
      </c>
      <c r="T1470" s="52">
        <f ca="1">SUMIFS(OUT!$F$2:$F$11000,OUT!$H$2:$H$11000,H1470,OUT!$D$2:$D$11000,"Out",OUT!$E$2:$E$11000,"Iqbal")</f>
        <v>0</v>
      </c>
    </row>
    <row r="1471" spans="7:20" x14ac:dyDescent="0.2">
      <c r="G1471" s="50"/>
      <c r="H1471" s="51" t="str">
        <f t="shared" si="0"/>
        <v/>
      </c>
      <c r="I1471" s="52" t="e">
        <f>SUMIFS(OUT!$F$2:$F$11000,OUT!$H$2:$H$11000,H1471,OUT!$D$2:$D$101007,"In")</f>
        <v>#VALUE!</v>
      </c>
      <c r="J1471" s="52">
        <f ca="1">SUMIFS(OUT!$F$2:$F$11000,OUT!$H$2:$H$11000,H1471,OUT!$D$2:$D$11000,"Out")</f>
        <v>0</v>
      </c>
      <c r="K1471" s="52">
        <f ca="1">SUMIFS(OUT!$F$2:$F$11000,OUT!$H$2:$H$11000,H1471,OUT!$D$2:$D$11000,"Out",OUT!$E$2:$E$11000,"Fix")</f>
        <v>0</v>
      </c>
      <c r="L1471" s="52">
        <f ca="1">SUMIFS(OUT!$F$2:$F$11000,OUT!$H$2:$H$11000,H1471,OUT!$D$2:$D$11000,"Out",OUT!$E$2:$E$11000,"Bathroom")</f>
        <v>0</v>
      </c>
      <c r="M1471" s="52">
        <f ca="1">SUMIFS(OUT!$F$2:$F$11000,OUT!$H$2:$H$11000,H1471,OUT!$D$2:$D$11000,"Out",OUT!$E$2:$E$11000,"Alfa")</f>
        <v>0</v>
      </c>
      <c r="N1471" s="52" t="e">
        <f>SUMIFS(OUT!$F$2:$F$11000,OUT!$H$2:$H$101007,H1471,OUT!$D$2:$D$11000,"Out",OUT!$E$2:$E$11000,"Jajan")</f>
        <v>#VALUE!</v>
      </c>
      <c r="O1471" s="52">
        <f ca="1">SUMIFS(OUT!$F$2:$F$11000,OUT!$H$2:$H$11000,H1471,OUT!$D$2:$D$11000,"Out",OUT!$E$2:$E$11000,"Kitchen")</f>
        <v>0</v>
      </c>
      <c r="P1471" s="52">
        <f ca="1">SUMIFS(OUT!$F$2:$F$11000,OUT!$H$2:$H$11000,H1471,OUT!$D$2:$D$11000,"Out",OUT!$E$2:$E$11000,"Loandry")</f>
        <v>0</v>
      </c>
      <c r="Q1471" s="52">
        <f ca="1">SUMIFS(OUT!$F$2:$F$11000,OUT!$H$2:$H$11000,H1471,OUT!$D$2:$D$11000,"Out",OUT!$E$2:$E$11000,"Mio")</f>
        <v>0</v>
      </c>
      <c r="R1471" s="52">
        <f ca="1">SUMIFS(OUT!$F$2:$F$11000,OUT!$H$2:$H$11000,H1471,OUT!$D$2:$D$11000,"Out",OUT!$E$2:$E$11000,"Sedekah")</f>
        <v>0</v>
      </c>
      <c r="S1471" s="52">
        <f ca="1">SUMIFS(OUT!$F$2:$F$11000,OUT!$H$2:$H$11000,H1471,OUT!$D$2:$D$11000,"Out",OUT!$E$2:$E$11000,"Zela")</f>
        <v>0</v>
      </c>
      <c r="T1471" s="52">
        <f ca="1">SUMIFS(OUT!$F$2:$F$11000,OUT!$H$2:$H$11000,H1471,OUT!$D$2:$D$11000,"Out",OUT!$E$2:$E$11000,"Iqbal")</f>
        <v>0</v>
      </c>
    </row>
    <row r="1472" spans="7:20" x14ac:dyDescent="0.2">
      <c r="G1472" s="50"/>
      <c r="H1472" s="51" t="str">
        <f t="shared" si="0"/>
        <v/>
      </c>
      <c r="I1472" s="52" t="e">
        <f>SUMIFS(OUT!$F$2:$F$11000,OUT!$H$2:$H$11000,H1472,OUT!$D$2:$D$101007,"In")</f>
        <v>#VALUE!</v>
      </c>
      <c r="J1472" s="52">
        <f ca="1">SUMIFS(OUT!$F$2:$F$11000,OUT!$H$2:$H$11000,H1472,OUT!$D$2:$D$11000,"Out")</f>
        <v>0</v>
      </c>
      <c r="K1472" s="52">
        <f ca="1">SUMIFS(OUT!$F$2:$F$11000,OUT!$H$2:$H$11000,H1472,OUT!$D$2:$D$11000,"Out",OUT!$E$2:$E$11000,"Fix")</f>
        <v>0</v>
      </c>
      <c r="L1472" s="52">
        <f ca="1">SUMIFS(OUT!$F$2:$F$11000,OUT!$H$2:$H$11000,H1472,OUT!$D$2:$D$11000,"Out",OUT!$E$2:$E$11000,"Bathroom")</f>
        <v>0</v>
      </c>
      <c r="M1472" s="52">
        <f ca="1">SUMIFS(OUT!$F$2:$F$11000,OUT!$H$2:$H$11000,H1472,OUT!$D$2:$D$11000,"Out",OUT!$E$2:$E$11000,"Alfa")</f>
        <v>0</v>
      </c>
      <c r="N1472" s="52" t="e">
        <f>SUMIFS(OUT!$F$2:$F$11000,OUT!$H$2:$H$101007,H1472,OUT!$D$2:$D$11000,"Out",OUT!$E$2:$E$11000,"Jajan")</f>
        <v>#VALUE!</v>
      </c>
      <c r="O1472" s="52">
        <f ca="1">SUMIFS(OUT!$F$2:$F$11000,OUT!$H$2:$H$11000,H1472,OUT!$D$2:$D$11000,"Out",OUT!$E$2:$E$11000,"Kitchen")</f>
        <v>0</v>
      </c>
      <c r="P1472" s="52">
        <f ca="1">SUMIFS(OUT!$F$2:$F$11000,OUT!$H$2:$H$11000,H1472,OUT!$D$2:$D$11000,"Out",OUT!$E$2:$E$11000,"Loandry")</f>
        <v>0</v>
      </c>
      <c r="Q1472" s="52">
        <f ca="1">SUMIFS(OUT!$F$2:$F$11000,OUT!$H$2:$H$11000,H1472,OUT!$D$2:$D$11000,"Out",OUT!$E$2:$E$11000,"Mio")</f>
        <v>0</v>
      </c>
      <c r="R1472" s="52">
        <f ca="1">SUMIFS(OUT!$F$2:$F$11000,OUT!$H$2:$H$11000,H1472,OUT!$D$2:$D$11000,"Out",OUT!$E$2:$E$11000,"Sedekah")</f>
        <v>0</v>
      </c>
      <c r="S1472" s="52">
        <f ca="1">SUMIFS(OUT!$F$2:$F$11000,OUT!$H$2:$H$11000,H1472,OUT!$D$2:$D$11000,"Out",OUT!$E$2:$E$11000,"Zela")</f>
        <v>0</v>
      </c>
      <c r="T1472" s="52">
        <f ca="1">SUMIFS(OUT!$F$2:$F$11000,OUT!$H$2:$H$11000,H1472,OUT!$D$2:$D$11000,"Out",OUT!$E$2:$E$11000,"Iqbal")</f>
        <v>0</v>
      </c>
    </row>
    <row r="1473" spans="7:20" x14ac:dyDescent="0.2">
      <c r="G1473" s="50"/>
      <c r="H1473" s="51" t="str">
        <f t="shared" si="0"/>
        <v/>
      </c>
      <c r="I1473" s="52" t="e">
        <f>SUMIFS(OUT!$F$2:$F$11000,OUT!$H$2:$H$11000,H1473,OUT!$D$2:$D$101007,"In")</f>
        <v>#VALUE!</v>
      </c>
      <c r="J1473" s="52">
        <f ca="1">SUMIFS(OUT!$F$2:$F$11000,OUT!$H$2:$H$11000,H1473,OUT!$D$2:$D$11000,"Out")</f>
        <v>0</v>
      </c>
      <c r="K1473" s="52">
        <f ca="1">SUMIFS(OUT!$F$2:$F$11000,OUT!$H$2:$H$11000,H1473,OUT!$D$2:$D$11000,"Out",OUT!$E$2:$E$11000,"Fix")</f>
        <v>0</v>
      </c>
      <c r="L1473" s="52">
        <f ca="1">SUMIFS(OUT!$F$2:$F$11000,OUT!$H$2:$H$11000,H1473,OUT!$D$2:$D$11000,"Out",OUT!$E$2:$E$11000,"Bathroom")</f>
        <v>0</v>
      </c>
      <c r="M1473" s="52">
        <f ca="1">SUMIFS(OUT!$F$2:$F$11000,OUT!$H$2:$H$11000,H1473,OUT!$D$2:$D$11000,"Out",OUT!$E$2:$E$11000,"Alfa")</f>
        <v>0</v>
      </c>
      <c r="N1473" s="52" t="e">
        <f>SUMIFS(OUT!$F$2:$F$11000,OUT!$H$2:$H$101007,H1473,OUT!$D$2:$D$11000,"Out",OUT!$E$2:$E$11000,"Jajan")</f>
        <v>#VALUE!</v>
      </c>
      <c r="O1473" s="52">
        <f ca="1">SUMIFS(OUT!$F$2:$F$11000,OUT!$H$2:$H$11000,H1473,OUT!$D$2:$D$11000,"Out",OUT!$E$2:$E$11000,"Kitchen")</f>
        <v>0</v>
      </c>
      <c r="P1473" s="52">
        <f ca="1">SUMIFS(OUT!$F$2:$F$11000,OUT!$H$2:$H$11000,H1473,OUT!$D$2:$D$11000,"Out",OUT!$E$2:$E$11000,"Loandry")</f>
        <v>0</v>
      </c>
      <c r="Q1473" s="52">
        <f ca="1">SUMIFS(OUT!$F$2:$F$11000,OUT!$H$2:$H$11000,H1473,OUT!$D$2:$D$11000,"Out",OUT!$E$2:$E$11000,"Mio")</f>
        <v>0</v>
      </c>
      <c r="R1473" s="52">
        <f ca="1">SUMIFS(OUT!$F$2:$F$11000,OUT!$H$2:$H$11000,H1473,OUT!$D$2:$D$11000,"Out",OUT!$E$2:$E$11000,"Sedekah")</f>
        <v>0</v>
      </c>
      <c r="S1473" s="52">
        <f ca="1">SUMIFS(OUT!$F$2:$F$11000,OUT!$H$2:$H$11000,H1473,OUT!$D$2:$D$11000,"Out",OUT!$E$2:$E$11000,"Zela")</f>
        <v>0</v>
      </c>
      <c r="T1473" s="52">
        <f ca="1">SUMIFS(OUT!$F$2:$F$11000,OUT!$H$2:$H$11000,H1473,OUT!$D$2:$D$11000,"Out",OUT!$E$2:$E$11000,"Iqbal")</f>
        <v>0</v>
      </c>
    </row>
    <row r="1474" spans="7:20" x14ac:dyDescent="0.2">
      <c r="G1474" s="50"/>
      <c r="H1474" s="51" t="str">
        <f t="shared" si="0"/>
        <v/>
      </c>
      <c r="I1474" s="52" t="e">
        <f>SUMIFS(OUT!$F$2:$F$11000,OUT!$H$2:$H$11000,H1474,OUT!$D$2:$D$101007,"In")</f>
        <v>#VALUE!</v>
      </c>
      <c r="J1474" s="52">
        <f ca="1">SUMIFS(OUT!$F$2:$F$11000,OUT!$H$2:$H$11000,H1474,OUT!$D$2:$D$11000,"Out")</f>
        <v>0</v>
      </c>
      <c r="K1474" s="52">
        <f ca="1">SUMIFS(OUT!$F$2:$F$11000,OUT!$H$2:$H$11000,H1474,OUT!$D$2:$D$11000,"Out",OUT!$E$2:$E$11000,"Fix")</f>
        <v>0</v>
      </c>
      <c r="L1474" s="52">
        <f ca="1">SUMIFS(OUT!$F$2:$F$11000,OUT!$H$2:$H$11000,H1474,OUT!$D$2:$D$11000,"Out",OUT!$E$2:$E$11000,"Bathroom")</f>
        <v>0</v>
      </c>
      <c r="M1474" s="52">
        <f ca="1">SUMIFS(OUT!$F$2:$F$11000,OUT!$H$2:$H$11000,H1474,OUT!$D$2:$D$11000,"Out",OUT!$E$2:$E$11000,"Alfa")</f>
        <v>0</v>
      </c>
      <c r="N1474" s="52" t="e">
        <f>SUMIFS(OUT!$F$2:$F$11000,OUT!$H$2:$H$101007,H1474,OUT!$D$2:$D$11000,"Out",OUT!$E$2:$E$11000,"Jajan")</f>
        <v>#VALUE!</v>
      </c>
      <c r="O1474" s="52">
        <f ca="1">SUMIFS(OUT!$F$2:$F$11000,OUT!$H$2:$H$11000,H1474,OUT!$D$2:$D$11000,"Out",OUT!$E$2:$E$11000,"Kitchen")</f>
        <v>0</v>
      </c>
      <c r="P1474" s="52">
        <f ca="1">SUMIFS(OUT!$F$2:$F$11000,OUT!$H$2:$H$11000,H1474,OUT!$D$2:$D$11000,"Out",OUT!$E$2:$E$11000,"Loandry")</f>
        <v>0</v>
      </c>
      <c r="Q1474" s="52">
        <f ca="1">SUMIFS(OUT!$F$2:$F$11000,OUT!$H$2:$H$11000,H1474,OUT!$D$2:$D$11000,"Out",OUT!$E$2:$E$11000,"Mio")</f>
        <v>0</v>
      </c>
      <c r="R1474" s="52">
        <f ca="1">SUMIFS(OUT!$F$2:$F$11000,OUT!$H$2:$H$11000,H1474,OUT!$D$2:$D$11000,"Out",OUT!$E$2:$E$11000,"Sedekah")</f>
        <v>0</v>
      </c>
      <c r="S1474" s="52">
        <f ca="1">SUMIFS(OUT!$F$2:$F$11000,OUT!$H$2:$H$11000,H1474,OUT!$D$2:$D$11000,"Out",OUT!$E$2:$E$11000,"Zela")</f>
        <v>0</v>
      </c>
      <c r="T1474" s="52">
        <f ca="1">SUMIFS(OUT!$F$2:$F$11000,OUT!$H$2:$H$11000,H1474,OUT!$D$2:$D$11000,"Out",OUT!$E$2:$E$11000,"Iqbal")</f>
        <v>0</v>
      </c>
    </row>
    <row r="1475" spans="7:20" x14ac:dyDescent="0.2">
      <c r="G1475" s="50"/>
      <c r="H1475" s="51" t="str">
        <f t="shared" si="0"/>
        <v/>
      </c>
      <c r="I1475" s="52" t="e">
        <f>SUMIFS(OUT!$F$2:$F$11000,OUT!$H$2:$H$11000,H1475,OUT!$D$2:$D$101007,"In")</f>
        <v>#VALUE!</v>
      </c>
      <c r="J1475" s="52">
        <f ca="1">SUMIFS(OUT!$F$2:$F$11000,OUT!$H$2:$H$11000,H1475,OUT!$D$2:$D$11000,"Out")</f>
        <v>0</v>
      </c>
      <c r="K1475" s="52">
        <f ca="1">SUMIFS(OUT!$F$2:$F$11000,OUT!$H$2:$H$11000,H1475,OUT!$D$2:$D$11000,"Out",OUT!$E$2:$E$11000,"Fix")</f>
        <v>0</v>
      </c>
      <c r="L1475" s="52">
        <f ca="1">SUMIFS(OUT!$F$2:$F$11000,OUT!$H$2:$H$11000,H1475,OUT!$D$2:$D$11000,"Out",OUT!$E$2:$E$11000,"Bathroom")</f>
        <v>0</v>
      </c>
      <c r="M1475" s="52">
        <f ca="1">SUMIFS(OUT!$F$2:$F$11000,OUT!$H$2:$H$11000,H1475,OUT!$D$2:$D$11000,"Out",OUT!$E$2:$E$11000,"Alfa")</f>
        <v>0</v>
      </c>
      <c r="N1475" s="52" t="e">
        <f>SUMIFS(OUT!$F$2:$F$11000,OUT!$H$2:$H$101007,H1475,OUT!$D$2:$D$11000,"Out",OUT!$E$2:$E$11000,"Jajan")</f>
        <v>#VALUE!</v>
      </c>
      <c r="O1475" s="52">
        <f ca="1">SUMIFS(OUT!$F$2:$F$11000,OUT!$H$2:$H$11000,H1475,OUT!$D$2:$D$11000,"Out",OUT!$E$2:$E$11000,"Kitchen")</f>
        <v>0</v>
      </c>
      <c r="P1475" s="52">
        <f ca="1">SUMIFS(OUT!$F$2:$F$11000,OUT!$H$2:$H$11000,H1475,OUT!$D$2:$D$11000,"Out",OUT!$E$2:$E$11000,"Loandry")</f>
        <v>0</v>
      </c>
      <c r="Q1475" s="52">
        <f ca="1">SUMIFS(OUT!$F$2:$F$11000,OUT!$H$2:$H$11000,H1475,OUT!$D$2:$D$11000,"Out",OUT!$E$2:$E$11000,"Mio")</f>
        <v>0</v>
      </c>
      <c r="R1475" s="52">
        <f ca="1">SUMIFS(OUT!$F$2:$F$11000,OUT!$H$2:$H$11000,H1475,OUT!$D$2:$D$11000,"Out",OUT!$E$2:$E$11000,"Sedekah")</f>
        <v>0</v>
      </c>
      <c r="S1475" s="52">
        <f ca="1">SUMIFS(OUT!$F$2:$F$11000,OUT!$H$2:$H$11000,H1475,OUT!$D$2:$D$11000,"Out",OUT!$E$2:$E$11000,"Zela")</f>
        <v>0</v>
      </c>
      <c r="T1475" s="52">
        <f ca="1">SUMIFS(OUT!$F$2:$F$11000,OUT!$H$2:$H$11000,H1475,OUT!$D$2:$D$11000,"Out",OUT!$E$2:$E$11000,"Iqbal")</f>
        <v>0</v>
      </c>
    </row>
    <row r="1476" spans="7:20" x14ac:dyDescent="0.2">
      <c r="G1476" s="50"/>
      <c r="H1476" s="51" t="str">
        <f t="shared" si="0"/>
        <v/>
      </c>
      <c r="I1476" s="52" t="e">
        <f>SUMIFS(OUT!$F$2:$F$11000,OUT!$H$2:$H$11000,H1476,OUT!$D$2:$D$101007,"In")</f>
        <v>#VALUE!</v>
      </c>
      <c r="J1476" s="52">
        <f ca="1">SUMIFS(OUT!$F$2:$F$11000,OUT!$H$2:$H$11000,H1476,OUT!$D$2:$D$11000,"Out")</f>
        <v>0</v>
      </c>
      <c r="K1476" s="52">
        <f ca="1">SUMIFS(OUT!$F$2:$F$11000,OUT!$H$2:$H$11000,H1476,OUT!$D$2:$D$11000,"Out",OUT!$E$2:$E$11000,"Fix")</f>
        <v>0</v>
      </c>
      <c r="L1476" s="52">
        <f ca="1">SUMIFS(OUT!$F$2:$F$11000,OUT!$H$2:$H$11000,H1476,OUT!$D$2:$D$11000,"Out",OUT!$E$2:$E$11000,"Bathroom")</f>
        <v>0</v>
      </c>
      <c r="M1476" s="52">
        <f ca="1">SUMIFS(OUT!$F$2:$F$11000,OUT!$H$2:$H$11000,H1476,OUT!$D$2:$D$11000,"Out",OUT!$E$2:$E$11000,"Alfa")</f>
        <v>0</v>
      </c>
      <c r="N1476" s="52" t="e">
        <f>SUMIFS(OUT!$F$2:$F$11000,OUT!$H$2:$H$101007,H1476,OUT!$D$2:$D$11000,"Out",OUT!$E$2:$E$11000,"Jajan")</f>
        <v>#VALUE!</v>
      </c>
      <c r="O1476" s="52">
        <f ca="1">SUMIFS(OUT!$F$2:$F$11000,OUT!$H$2:$H$11000,H1476,OUT!$D$2:$D$11000,"Out",OUT!$E$2:$E$11000,"Kitchen")</f>
        <v>0</v>
      </c>
      <c r="P1476" s="52">
        <f ca="1">SUMIFS(OUT!$F$2:$F$11000,OUT!$H$2:$H$11000,H1476,OUT!$D$2:$D$11000,"Out",OUT!$E$2:$E$11000,"Loandry")</f>
        <v>0</v>
      </c>
      <c r="Q1476" s="52">
        <f ca="1">SUMIFS(OUT!$F$2:$F$11000,OUT!$H$2:$H$11000,H1476,OUT!$D$2:$D$11000,"Out",OUT!$E$2:$E$11000,"Mio")</f>
        <v>0</v>
      </c>
      <c r="R1476" s="52">
        <f ca="1">SUMIFS(OUT!$F$2:$F$11000,OUT!$H$2:$H$11000,H1476,OUT!$D$2:$D$11000,"Out",OUT!$E$2:$E$11000,"Sedekah")</f>
        <v>0</v>
      </c>
      <c r="S1476" s="52">
        <f ca="1">SUMIFS(OUT!$F$2:$F$11000,OUT!$H$2:$H$11000,H1476,OUT!$D$2:$D$11000,"Out",OUT!$E$2:$E$11000,"Zela")</f>
        <v>0</v>
      </c>
      <c r="T1476" s="52">
        <f ca="1">SUMIFS(OUT!$F$2:$F$11000,OUT!$H$2:$H$11000,H1476,OUT!$D$2:$D$11000,"Out",OUT!$E$2:$E$11000,"Iqbal")</f>
        <v>0</v>
      </c>
    </row>
    <row r="1477" spans="7:20" x14ac:dyDescent="0.2">
      <c r="G1477" s="50"/>
      <c r="H1477" s="51" t="str">
        <f t="shared" si="0"/>
        <v/>
      </c>
      <c r="I1477" s="52" t="e">
        <f>SUMIFS(OUT!$F$2:$F$11000,OUT!$H$2:$H$11000,H1477,OUT!$D$2:$D$101007,"In")</f>
        <v>#VALUE!</v>
      </c>
      <c r="J1477" s="52">
        <f ca="1">SUMIFS(OUT!$F$2:$F$11000,OUT!$H$2:$H$11000,H1477,OUT!$D$2:$D$11000,"Out")</f>
        <v>0</v>
      </c>
      <c r="K1477" s="52">
        <f ca="1">SUMIFS(OUT!$F$2:$F$11000,OUT!$H$2:$H$11000,H1477,OUT!$D$2:$D$11000,"Out",OUT!$E$2:$E$11000,"Fix")</f>
        <v>0</v>
      </c>
      <c r="L1477" s="52">
        <f ca="1">SUMIFS(OUT!$F$2:$F$11000,OUT!$H$2:$H$11000,H1477,OUT!$D$2:$D$11000,"Out",OUT!$E$2:$E$11000,"Bathroom")</f>
        <v>0</v>
      </c>
      <c r="M1477" s="52">
        <f ca="1">SUMIFS(OUT!$F$2:$F$11000,OUT!$H$2:$H$11000,H1477,OUT!$D$2:$D$11000,"Out",OUT!$E$2:$E$11000,"Alfa")</f>
        <v>0</v>
      </c>
      <c r="N1477" s="52" t="e">
        <f>SUMIFS(OUT!$F$2:$F$11000,OUT!$H$2:$H$101007,H1477,OUT!$D$2:$D$11000,"Out",OUT!$E$2:$E$11000,"Jajan")</f>
        <v>#VALUE!</v>
      </c>
      <c r="O1477" s="52">
        <f ca="1">SUMIFS(OUT!$F$2:$F$11000,OUT!$H$2:$H$11000,H1477,OUT!$D$2:$D$11000,"Out",OUT!$E$2:$E$11000,"Kitchen")</f>
        <v>0</v>
      </c>
      <c r="P1477" s="52">
        <f ca="1">SUMIFS(OUT!$F$2:$F$11000,OUT!$H$2:$H$11000,H1477,OUT!$D$2:$D$11000,"Out",OUT!$E$2:$E$11000,"Loandry")</f>
        <v>0</v>
      </c>
      <c r="Q1477" s="52">
        <f ca="1">SUMIFS(OUT!$F$2:$F$11000,OUT!$H$2:$H$11000,H1477,OUT!$D$2:$D$11000,"Out",OUT!$E$2:$E$11000,"Mio")</f>
        <v>0</v>
      </c>
      <c r="R1477" s="52">
        <f ca="1">SUMIFS(OUT!$F$2:$F$11000,OUT!$H$2:$H$11000,H1477,OUT!$D$2:$D$11000,"Out",OUT!$E$2:$E$11000,"Sedekah")</f>
        <v>0</v>
      </c>
      <c r="S1477" s="52">
        <f ca="1">SUMIFS(OUT!$F$2:$F$11000,OUT!$H$2:$H$11000,H1477,OUT!$D$2:$D$11000,"Out",OUT!$E$2:$E$11000,"Zela")</f>
        <v>0</v>
      </c>
      <c r="T1477" s="52">
        <f ca="1">SUMIFS(OUT!$F$2:$F$11000,OUT!$H$2:$H$11000,H1477,OUT!$D$2:$D$11000,"Out",OUT!$E$2:$E$11000,"Iqbal")</f>
        <v>0</v>
      </c>
    </row>
    <row r="1478" spans="7:20" x14ac:dyDescent="0.2">
      <c r="G1478" s="50"/>
      <c r="H1478" s="51" t="str">
        <f t="shared" si="0"/>
        <v/>
      </c>
      <c r="I1478" s="52" t="e">
        <f>SUMIFS(OUT!$F$2:$F$11000,OUT!$H$2:$H$11000,H1478,OUT!$D$2:$D$101007,"In")</f>
        <v>#VALUE!</v>
      </c>
      <c r="J1478" s="52">
        <f ca="1">SUMIFS(OUT!$F$2:$F$11000,OUT!$H$2:$H$11000,H1478,OUT!$D$2:$D$11000,"Out")</f>
        <v>0</v>
      </c>
      <c r="K1478" s="52">
        <f ca="1">SUMIFS(OUT!$F$2:$F$11000,OUT!$H$2:$H$11000,H1478,OUT!$D$2:$D$11000,"Out",OUT!$E$2:$E$11000,"Fix")</f>
        <v>0</v>
      </c>
      <c r="L1478" s="52">
        <f ca="1">SUMIFS(OUT!$F$2:$F$11000,OUT!$H$2:$H$11000,H1478,OUT!$D$2:$D$11000,"Out",OUT!$E$2:$E$11000,"Bathroom")</f>
        <v>0</v>
      </c>
      <c r="M1478" s="52">
        <f ca="1">SUMIFS(OUT!$F$2:$F$11000,OUT!$H$2:$H$11000,H1478,OUT!$D$2:$D$11000,"Out",OUT!$E$2:$E$11000,"Alfa")</f>
        <v>0</v>
      </c>
      <c r="N1478" s="52" t="e">
        <f>SUMIFS(OUT!$F$2:$F$11000,OUT!$H$2:$H$101007,H1478,OUT!$D$2:$D$11000,"Out",OUT!$E$2:$E$11000,"Jajan")</f>
        <v>#VALUE!</v>
      </c>
      <c r="O1478" s="52">
        <f ca="1">SUMIFS(OUT!$F$2:$F$11000,OUT!$H$2:$H$11000,H1478,OUT!$D$2:$D$11000,"Out",OUT!$E$2:$E$11000,"Kitchen")</f>
        <v>0</v>
      </c>
      <c r="P1478" s="52">
        <f ca="1">SUMIFS(OUT!$F$2:$F$11000,OUT!$H$2:$H$11000,H1478,OUT!$D$2:$D$11000,"Out",OUT!$E$2:$E$11000,"Loandry")</f>
        <v>0</v>
      </c>
      <c r="Q1478" s="52">
        <f ca="1">SUMIFS(OUT!$F$2:$F$11000,OUT!$H$2:$H$11000,H1478,OUT!$D$2:$D$11000,"Out",OUT!$E$2:$E$11000,"Mio")</f>
        <v>0</v>
      </c>
      <c r="R1478" s="52">
        <f ca="1">SUMIFS(OUT!$F$2:$F$11000,OUT!$H$2:$H$11000,H1478,OUT!$D$2:$D$11000,"Out",OUT!$E$2:$E$11000,"Sedekah")</f>
        <v>0</v>
      </c>
      <c r="S1478" s="52">
        <f ca="1">SUMIFS(OUT!$F$2:$F$11000,OUT!$H$2:$H$11000,H1478,OUT!$D$2:$D$11000,"Out",OUT!$E$2:$E$11000,"Zela")</f>
        <v>0</v>
      </c>
      <c r="T1478" s="52">
        <f ca="1">SUMIFS(OUT!$F$2:$F$11000,OUT!$H$2:$H$11000,H1478,OUT!$D$2:$D$11000,"Out",OUT!$E$2:$E$11000,"Iqbal")</f>
        <v>0</v>
      </c>
    </row>
    <row r="1479" spans="7:20" x14ac:dyDescent="0.2">
      <c r="G1479" s="50"/>
      <c r="H1479" s="51" t="str">
        <f t="shared" si="0"/>
        <v/>
      </c>
      <c r="I1479" s="52" t="e">
        <f>SUMIFS(OUT!$F$2:$F$11000,OUT!$H$2:$H$11000,H1479,OUT!$D$2:$D$101007,"In")</f>
        <v>#VALUE!</v>
      </c>
      <c r="J1479" s="52">
        <f ca="1">SUMIFS(OUT!$F$2:$F$11000,OUT!$H$2:$H$11000,H1479,OUT!$D$2:$D$11000,"Out")</f>
        <v>0</v>
      </c>
      <c r="K1479" s="52">
        <f ca="1">SUMIFS(OUT!$F$2:$F$11000,OUT!$H$2:$H$11000,H1479,OUT!$D$2:$D$11000,"Out",OUT!$E$2:$E$11000,"Fix")</f>
        <v>0</v>
      </c>
      <c r="L1479" s="52">
        <f ca="1">SUMIFS(OUT!$F$2:$F$11000,OUT!$H$2:$H$11000,H1479,OUT!$D$2:$D$11000,"Out",OUT!$E$2:$E$11000,"Bathroom")</f>
        <v>0</v>
      </c>
      <c r="M1479" s="52">
        <f ca="1">SUMIFS(OUT!$F$2:$F$11000,OUT!$H$2:$H$11000,H1479,OUT!$D$2:$D$11000,"Out",OUT!$E$2:$E$11000,"Alfa")</f>
        <v>0</v>
      </c>
      <c r="N1479" s="52" t="e">
        <f>SUMIFS(OUT!$F$2:$F$11000,OUT!$H$2:$H$101007,H1479,OUT!$D$2:$D$11000,"Out",OUT!$E$2:$E$11000,"Jajan")</f>
        <v>#VALUE!</v>
      </c>
      <c r="O1479" s="52">
        <f ca="1">SUMIFS(OUT!$F$2:$F$11000,OUT!$H$2:$H$11000,H1479,OUT!$D$2:$D$11000,"Out",OUT!$E$2:$E$11000,"Kitchen")</f>
        <v>0</v>
      </c>
      <c r="P1479" s="52">
        <f ca="1">SUMIFS(OUT!$F$2:$F$11000,OUT!$H$2:$H$11000,H1479,OUT!$D$2:$D$11000,"Out",OUT!$E$2:$E$11000,"Loandry")</f>
        <v>0</v>
      </c>
      <c r="Q1479" s="52">
        <f ca="1">SUMIFS(OUT!$F$2:$F$11000,OUT!$H$2:$H$11000,H1479,OUT!$D$2:$D$11000,"Out",OUT!$E$2:$E$11000,"Mio")</f>
        <v>0</v>
      </c>
      <c r="R1479" s="52">
        <f ca="1">SUMIFS(OUT!$F$2:$F$11000,OUT!$H$2:$H$11000,H1479,OUT!$D$2:$D$11000,"Out",OUT!$E$2:$E$11000,"Sedekah")</f>
        <v>0</v>
      </c>
      <c r="S1479" s="52">
        <f ca="1">SUMIFS(OUT!$F$2:$F$11000,OUT!$H$2:$H$11000,H1479,OUT!$D$2:$D$11000,"Out",OUT!$E$2:$E$11000,"Zela")</f>
        <v>0</v>
      </c>
      <c r="T1479" s="52">
        <f ca="1">SUMIFS(OUT!$F$2:$F$11000,OUT!$H$2:$H$11000,H1479,OUT!$D$2:$D$11000,"Out",OUT!$E$2:$E$11000,"Iqbal")</f>
        <v>0</v>
      </c>
    </row>
    <row r="1480" spans="7:20" x14ac:dyDescent="0.2">
      <c r="G1480" s="50"/>
      <c r="H1480" s="51" t="str">
        <f t="shared" si="0"/>
        <v/>
      </c>
      <c r="I1480" s="52" t="e">
        <f>SUMIFS(OUT!$F$2:$F$11000,OUT!$H$2:$H$11000,H1480,OUT!$D$2:$D$101007,"In")</f>
        <v>#VALUE!</v>
      </c>
      <c r="J1480" s="52">
        <f ca="1">SUMIFS(OUT!$F$2:$F$11000,OUT!$H$2:$H$11000,H1480,OUT!$D$2:$D$11000,"Out")</f>
        <v>0</v>
      </c>
      <c r="K1480" s="52">
        <f ca="1">SUMIFS(OUT!$F$2:$F$11000,OUT!$H$2:$H$11000,H1480,OUT!$D$2:$D$11000,"Out",OUT!$E$2:$E$11000,"Fix")</f>
        <v>0</v>
      </c>
      <c r="L1480" s="52">
        <f ca="1">SUMIFS(OUT!$F$2:$F$11000,OUT!$H$2:$H$11000,H1480,OUT!$D$2:$D$11000,"Out",OUT!$E$2:$E$11000,"Bathroom")</f>
        <v>0</v>
      </c>
      <c r="M1480" s="52">
        <f ca="1">SUMIFS(OUT!$F$2:$F$11000,OUT!$H$2:$H$11000,H1480,OUT!$D$2:$D$11000,"Out",OUT!$E$2:$E$11000,"Alfa")</f>
        <v>0</v>
      </c>
      <c r="N1480" s="52" t="e">
        <f>SUMIFS(OUT!$F$2:$F$11000,OUT!$H$2:$H$101007,H1480,OUT!$D$2:$D$11000,"Out",OUT!$E$2:$E$11000,"Jajan")</f>
        <v>#VALUE!</v>
      </c>
      <c r="O1480" s="52">
        <f ca="1">SUMIFS(OUT!$F$2:$F$11000,OUT!$H$2:$H$11000,H1480,OUT!$D$2:$D$11000,"Out",OUT!$E$2:$E$11000,"Kitchen")</f>
        <v>0</v>
      </c>
      <c r="P1480" s="52">
        <f ca="1">SUMIFS(OUT!$F$2:$F$11000,OUT!$H$2:$H$11000,H1480,OUT!$D$2:$D$11000,"Out",OUT!$E$2:$E$11000,"Loandry")</f>
        <v>0</v>
      </c>
      <c r="Q1480" s="52">
        <f ca="1">SUMIFS(OUT!$F$2:$F$11000,OUT!$H$2:$H$11000,H1480,OUT!$D$2:$D$11000,"Out",OUT!$E$2:$E$11000,"Mio")</f>
        <v>0</v>
      </c>
      <c r="R1480" s="52">
        <f ca="1">SUMIFS(OUT!$F$2:$F$11000,OUT!$H$2:$H$11000,H1480,OUT!$D$2:$D$11000,"Out",OUT!$E$2:$E$11000,"Sedekah")</f>
        <v>0</v>
      </c>
      <c r="S1480" s="52">
        <f ca="1">SUMIFS(OUT!$F$2:$F$11000,OUT!$H$2:$H$11000,H1480,OUT!$D$2:$D$11000,"Out",OUT!$E$2:$E$11000,"Zela")</f>
        <v>0</v>
      </c>
      <c r="T1480" s="52">
        <f ca="1">SUMIFS(OUT!$F$2:$F$11000,OUT!$H$2:$H$11000,H1480,OUT!$D$2:$D$11000,"Out",OUT!$E$2:$E$11000,"Iqbal")</f>
        <v>0</v>
      </c>
    </row>
    <row r="1481" spans="7:20" x14ac:dyDescent="0.2">
      <c r="G1481" s="50"/>
      <c r="H1481" s="51" t="str">
        <f t="shared" si="0"/>
        <v/>
      </c>
      <c r="I1481" s="52" t="e">
        <f>SUMIFS(OUT!$F$2:$F$11000,OUT!$H$2:$H$11000,H1481,OUT!$D$2:$D$101007,"In")</f>
        <v>#VALUE!</v>
      </c>
      <c r="J1481" s="52">
        <f ca="1">SUMIFS(OUT!$F$2:$F$11000,OUT!$H$2:$H$11000,H1481,OUT!$D$2:$D$11000,"Out")</f>
        <v>0</v>
      </c>
      <c r="K1481" s="52">
        <f ca="1">SUMIFS(OUT!$F$2:$F$11000,OUT!$H$2:$H$11000,H1481,OUT!$D$2:$D$11000,"Out",OUT!$E$2:$E$11000,"Fix")</f>
        <v>0</v>
      </c>
      <c r="L1481" s="52">
        <f ca="1">SUMIFS(OUT!$F$2:$F$11000,OUT!$H$2:$H$11000,H1481,OUT!$D$2:$D$11000,"Out",OUT!$E$2:$E$11000,"Bathroom")</f>
        <v>0</v>
      </c>
      <c r="M1481" s="52">
        <f ca="1">SUMIFS(OUT!$F$2:$F$11000,OUT!$H$2:$H$11000,H1481,OUT!$D$2:$D$11000,"Out",OUT!$E$2:$E$11000,"Alfa")</f>
        <v>0</v>
      </c>
      <c r="N1481" s="52" t="e">
        <f>SUMIFS(OUT!$F$2:$F$11000,OUT!$H$2:$H$101007,H1481,OUT!$D$2:$D$11000,"Out",OUT!$E$2:$E$11000,"Jajan")</f>
        <v>#VALUE!</v>
      </c>
      <c r="O1481" s="52">
        <f ca="1">SUMIFS(OUT!$F$2:$F$11000,OUT!$H$2:$H$11000,H1481,OUT!$D$2:$D$11000,"Out",OUT!$E$2:$E$11000,"Kitchen")</f>
        <v>0</v>
      </c>
      <c r="P1481" s="52">
        <f ca="1">SUMIFS(OUT!$F$2:$F$11000,OUT!$H$2:$H$11000,H1481,OUT!$D$2:$D$11000,"Out",OUT!$E$2:$E$11000,"Loandry")</f>
        <v>0</v>
      </c>
      <c r="Q1481" s="52">
        <f ca="1">SUMIFS(OUT!$F$2:$F$11000,OUT!$H$2:$H$11000,H1481,OUT!$D$2:$D$11000,"Out",OUT!$E$2:$E$11000,"Mio")</f>
        <v>0</v>
      </c>
      <c r="R1481" s="52">
        <f ca="1">SUMIFS(OUT!$F$2:$F$11000,OUT!$H$2:$H$11000,H1481,OUT!$D$2:$D$11000,"Out",OUT!$E$2:$E$11000,"Sedekah")</f>
        <v>0</v>
      </c>
      <c r="S1481" s="52">
        <f ca="1">SUMIFS(OUT!$F$2:$F$11000,OUT!$H$2:$H$11000,H1481,OUT!$D$2:$D$11000,"Out",OUT!$E$2:$E$11000,"Zela")</f>
        <v>0</v>
      </c>
      <c r="T1481" s="52">
        <f ca="1">SUMIFS(OUT!$F$2:$F$11000,OUT!$H$2:$H$11000,H1481,OUT!$D$2:$D$11000,"Out",OUT!$E$2:$E$11000,"Iqbal")</f>
        <v>0</v>
      </c>
    </row>
    <row r="1482" spans="7:20" x14ac:dyDescent="0.2">
      <c r="G1482" s="50"/>
      <c r="H1482" s="51" t="str">
        <f t="shared" si="0"/>
        <v/>
      </c>
      <c r="I1482" s="52" t="e">
        <f>SUMIFS(OUT!$F$2:$F$11000,OUT!$H$2:$H$11000,H1482,OUT!$D$2:$D$101007,"In")</f>
        <v>#VALUE!</v>
      </c>
      <c r="J1482" s="52">
        <f ca="1">SUMIFS(OUT!$F$2:$F$11000,OUT!$H$2:$H$11000,H1482,OUT!$D$2:$D$11000,"Out")</f>
        <v>0</v>
      </c>
      <c r="K1482" s="52">
        <f ca="1">SUMIFS(OUT!$F$2:$F$11000,OUT!$H$2:$H$11000,H1482,OUT!$D$2:$D$11000,"Out",OUT!$E$2:$E$11000,"Fix")</f>
        <v>0</v>
      </c>
      <c r="L1482" s="52">
        <f ca="1">SUMIFS(OUT!$F$2:$F$11000,OUT!$H$2:$H$11000,H1482,OUT!$D$2:$D$11000,"Out",OUT!$E$2:$E$11000,"Bathroom")</f>
        <v>0</v>
      </c>
      <c r="M1482" s="52">
        <f ca="1">SUMIFS(OUT!$F$2:$F$11000,OUT!$H$2:$H$11000,H1482,OUT!$D$2:$D$11000,"Out",OUT!$E$2:$E$11000,"Alfa")</f>
        <v>0</v>
      </c>
      <c r="N1482" s="52" t="e">
        <f>SUMIFS(OUT!$F$2:$F$11000,OUT!$H$2:$H$101007,H1482,OUT!$D$2:$D$11000,"Out",OUT!$E$2:$E$11000,"Jajan")</f>
        <v>#VALUE!</v>
      </c>
      <c r="O1482" s="52">
        <f ca="1">SUMIFS(OUT!$F$2:$F$11000,OUT!$H$2:$H$11000,H1482,OUT!$D$2:$D$11000,"Out",OUT!$E$2:$E$11000,"Kitchen")</f>
        <v>0</v>
      </c>
      <c r="P1482" s="52">
        <f ca="1">SUMIFS(OUT!$F$2:$F$11000,OUT!$H$2:$H$11000,H1482,OUT!$D$2:$D$11000,"Out",OUT!$E$2:$E$11000,"Loandry")</f>
        <v>0</v>
      </c>
      <c r="Q1482" s="52">
        <f ca="1">SUMIFS(OUT!$F$2:$F$11000,OUT!$H$2:$H$11000,H1482,OUT!$D$2:$D$11000,"Out",OUT!$E$2:$E$11000,"Mio")</f>
        <v>0</v>
      </c>
      <c r="R1482" s="52">
        <f ca="1">SUMIFS(OUT!$F$2:$F$11000,OUT!$H$2:$H$11000,H1482,OUT!$D$2:$D$11000,"Out",OUT!$E$2:$E$11000,"Sedekah")</f>
        <v>0</v>
      </c>
      <c r="S1482" s="52">
        <f ca="1">SUMIFS(OUT!$F$2:$F$11000,OUT!$H$2:$H$11000,H1482,OUT!$D$2:$D$11000,"Out",OUT!$E$2:$E$11000,"Zela")</f>
        <v>0</v>
      </c>
      <c r="T1482" s="52">
        <f ca="1">SUMIFS(OUT!$F$2:$F$11000,OUT!$H$2:$H$11000,H1482,OUT!$D$2:$D$11000,"Out",OUT!$E$2:$E$11000,"Iqbal")</f>
        <v>0</v>
      </c>
    </row>
    <row r="1483" spans="7:20" x14ac:dyDescent="0.2">
      <c r="G1483" s="50"/>
      <c r="H1483" s="51" t="str">
        <f t="shared" si="0"/>
        <v/>
      </c>
      <c r="I1483" s="52" t="e">
        <f>SUMIFS(OUT!$F$2:$F$11000,OUT!$H$2:$H$11000,H1483,OUT!$D$2:$D$101007,"In")</f>
        <v>#VALUE!</v>
      </c>
      <c r="J1483" s="52">
        <f ca="1">SUMIFS(OUT!$F$2:$F$11000,OUT!$H$2:$H$11000,H1483,OUT!$D$2:$D$11000,"Out")</f>
        <v>0</v>
      </c>
      <c r="K1483" s="52">
        <f ca="1">SUMIFS(OUT!$F$2:$F$11000,OUT!$H$2:$H$11000,H1483,OUT!$D$2:$D$11000,"Out",OUT!$E$2:$E$11000,"Fix")</f>
        <v>0</v>
      </c>
      <c r="L1483" s="52">
        <f ca="1">SUMIFS(OUT!$F$2:$F$11000,OUT!$H$2:$H$11000,H1483,OUT!$D$2:$D$11000,"Out",OUT!$E$2:$E$11000,"Bathroom")</f>
        <v>0</v>
      </c>
      <c r="M1483" s="52">
        <f ca="1">SUMIFS(OUT!$F$2:$F$11000,OUT!$H$2:$H$11000,H1483,OUT!$D$2:$D$11000,"Out",OUT!$E$2:$E$11000,"Alfa")</f>
        <v>0</v>
      </c>
      <c r="N1483" s="52" t="e">
        <f>SUMIFS(OUT!$F$2:$F$11000,OUT!$H$2:$H$101007,H1483,OUT!$D$2:$D$11000,"Out",OUT!$E$2:$E$11000,"Jajan")</f>
        <v>#VALUE!</v>
      </c>
      <c r="O1483" s="52">
        <f ca="1">SUMIFS(OUT!$F$2:$F$11000,OUT!$H$2:$H$11000,H1483,OUT!$D$2:$D$11000,"Out",OUT!$E$2:$E$11000,"Kitchen")</f>
        <v>0</v>
      </c>
      <c r="P1483" s="52">
        <f ca="1">SUMIFS(OUT!$F$2:$F$11000,OUT!$H$2:$H$11000,H1483,OUT!$D$2:$D$11000,"Out",OUT!$E$2:$E$11000,"Loandry")</f>
        <v>0</v>
      </c>
      <c r="Q1483" s="52">
        <f ca="1">SUMIFS(OUT!$F$2:$F$11000,OUT!$H$2:$H$11000,H1483,OUT!$D$2:$D$11000,"Out",OUT!$E$2:$E$11000,"Mio")</f>
        <v>0</v>
      </c>
      <c r="R1483" s="52">
        <f ca="1">SUMIFS(OUT!$F$2:$F$11000,OUT!$H$2:$H$11000,H1483,OUT!$D$2:$D$11000,"Out",OUT!$E$2:$E$11000,"Sedekah")</f>
        <v>0</v>
      </c>
      <c r="S1483" s="52">
        <f ca="1">SUMIFS(OUT!$F$2:$F$11000,OUT!$H$2:$H$11000,H1483,OUT!$D$2:$D$11000,"Out",OUT!$E$2:$E$11000,"Zela")</f>
        <v>0</v>
      </c>
      <c r="T1483" s="52">
        <f ca="1">SUMIFS(OUT!$F$2:$F$11000,OUT!$H$2:$H$11000,H1483,OUT!$D$2:$D$11000,"Out",OUT!$E$2:$E$11000,"Iqbal")</f>
        <v>0</v>
      </c>
    </row>
    <row r="1484" spans="7:20" x14ac:dyDescent="0.2">
      <c r="G1484" s="50"/>
      <c r="H1484" s="51" t="str">
        <f t="shared" si="0"/>
        <v/>
      </c>
      <c r="I1484" s="52" t="e">
        <f>SUMIFS(OUT!$F$2:$F$11000,OUT!$H$2:$H$11000,H1484,OUT!$D$2:$D$101007,"In")</f>
        <v>#VALUE!</v>
      </c>
      <c r="J1484" s="52">
        <f ca="1">SUMIFS(OUT!$F$2:$F$11000,OUT!$H$2:$H$11000,H1484,OUT!$D$2:$D$11000,"Out")</f>
        <v>0</v>
      </c>
      <c r="K1484" s="52">
        <f ca="1">SUMIFS(OUT!$F$2:$F$11000,OUT!$H$2:$H$11000,H1484,OUT!$D$2:$D$11000,"Out",OUT!$E$2:$E$11000,"Fix")</f>
        <v>0</v>
      </c>
      <c r="L1484" s="52">
        <f ca="1">SUMIFS(OUT!$F$2:$F$11000,OUT!$H$2:$H$11000,H1484,OUT!$D$2:$D$11000,"Out",OUT!$E$2:$E$11000,"Bathroom")</f>
        <v>0</v>
      </c>
      <c r="M1484" s="52">
        <f ca="1">SUMIFS(OUT!$F$2:$F$11000,OUT!$H$2:$H$11000,H1484,OUT!$D$2:$D$11000,"Out",OUT!$E$2:$E$11000,"Alfa")</f>
        <v>0</v>
      </c>
      <c r="N1484" s="52" t="e">
        <f>SUMIFS(OUT!$F$2:$F$11000,OUT!$H$2:$H$101007,H1484,OUT!$D$2:$D$11000,"Out",OUT!$E$2:$E$11000,"Jajan")</f>
        <v>#VALUE!</v>
      </c>
      <c r="O1484" s="52">
        <f ca="1">SUMIFS(OUT!$F$2:$F$11000,OUT!$H$2:$H$11000,H1484,OUT!$D$2:$D$11000,"Out",OUT!$E$2:$E$11000,"Kitchen")</f>
        <v>0</v>
      </c>
      <c r="P1484" s="52">
        <f ca="1">SUMIFS(OUT!$F$2:$F$11000,OUT!$H$2:$H$11000,H1484,OUT!$D$2:$D$11000,"Out",OUT!$E$2:$E$11000,"Loandry")</f>
        <v>0</v>
      </c>
      <c r="Q1484" s="52">
        <f ca="1">SUMIFS(OUT!$F$2:$F$11000,OUT!$H$2:$H$11000,H1484,OUT!$D$2:$D$11000,"Out",OUT!$E$2:$E$11000,"Mio")</f>
        <v>0</v>
      </c>
      <c r="R1484" s="52">
        <f ca="1">SUMIFS(OUT!$F$2:$F$11000,OUT!$H$2:$H$11000,H1484,OUT!$D$2:$D$11000,"Out",OUT!$E$2:$E$11000,"Sedekah")</f>
        <v>0</v>
      </c>
      <c r="S1484" s="52">
        <f ca="1">SUMIFS(OUT!$F$2:$F$11000,OUT!$H$2:$H$11000,H1484,OUT!$D$2:$D$11000,"Out",OUT!$E$2:$E$11000,"Zela")</f>
        <v>0</v>
      </c>
      <c r="T1484" s="52">
        <f ca="1">SUMIFS(OUT!$F$2:$F$11000,OUT!$H$2:$H$11000,H1484,OUT!$D$2:$D$11000,"Out",OUT!$E$2:$E$11000,"Iqbal")</f>
        <v>0</v>
      </c>
    </row>
    <row r="1485" spans="7:20" x14ac:dyDescent="0.2">
      <c r="G1485" s="50"/>
      <c r="H1485" s="51" t="str">
        <f t="shared" si="0"/>
        <v/>
      </c>
      <c r="I1485" s="52" t="e">
        <f>SUMIFS(OUT!$F$2:$F$11000,OUT!$H$2:$H$11000,H1485,OUT!$D$2:$D$101007,"In")</f>
        <v>#VALUE!</v>
      </c>
      <c r="J1485" s="52">
        <f ca="1">SUMIFS(OUT!$F$2:$F$11000,OUT!$H$2:$H$11000,H1485,OUT!$D$2:$D$11000,"Out")</f>
        <v>0</v>
      </c>
      <c r="K1485" s="52">
        <f ca="1">SUMIFS(OUT!$F$2:$F$11000,OUT!$H$2:$H$11000,H1485,OUT!$D$2:$D$11000,"Out",OUT!$E$2:$E$11000,"Fix")</f>
        <v>0</v>
      </c>
      <c r="L1485" s="52">
        <f ca="1">SUMIFS(OUT!$F$2:$F$11000,OUT!$H$2:$H$11000,H1485,OUT!$D$2:$D$11000,"Out",OUT!$E$2:$E$11000,"Bathroom")</f>
        <v>0</v>
      </c>
      <c r="M1485" s="52">
        <f ca="1">SUMIFS(OUT!$F$2:$F$11000,OUT!$H$2:$H$11000,H1485,OUT!$D$2:$D$11000,"Out",OUT!$E$2:$E$11000,"Alfa")</f>
        <v>0</v>
      </c>
      <c r="N1485" s="52" t="e">
        <f>SUMIFS(OUT!$F$2:$F$11000,OUT!$H$2:$H$101007,H1485,OUT!$D$2:$D$11000,"Out",OUT!$E$2:$E$11000,"Jajan")</f>
        <v>#VALUE!</v>
      </c>
      <c r="O1485" s="52">
        <f ca="1">SUMIFS(OUT!$F$2:$F$11000,OUT!$H$2:$H$11000,H1485,OUT!$D$2:$D$11000,"Out",OUT!$E$2:$E$11000,"Kitchen")</f>
        <v>0</v>
      </c>
      <c r="P1485" s="52">
        <f ca="1">SUMIFS(OUT!$F$2:$F$11000,OUT!$H$2:$H$11000,H1485,OUT!$D$2:$D$11000,"Out",OUT!$E$2:$E$11000,"Loandry")</f>
        <v>0</v>
      </c>
      <c r="Q1485" s="52">
        <f ca="1">SUMIFS(OUT!$F$2:$F$11000,OUT!$H$2:$H$11000,H1485,OUT!$D$2:$D$11000,"Out",OUT!$E$2:$E$11000,"Mio")</f>
        <v>0</v>
      </c>
      <c r="R1485" s="52">
        <f ca="1">SUMIFS(OUT!$F$2:$F$11000,OUT!$H$2:$H$11000,H1485,OUT!$D$2:$D$11000,"Out",OUT!$E$2:$E$11000,"Sedekah")</f>
        <v>0</v>
      </c>
      <c r="S1485" s="52">
        <f ca="1">SUMIFS(OUT!$F$2:$F$11000,OUT!$H$2:$H$11000,H1485,OUT!$D$2:$D$11000,"Out",OUT!$E$2:$E$11000,"Zela")</f>
        <v>0</v>
      </c>
      <c r="T1485" s="52">
        <f ca="1">SUMIFS(OUT!$F$2:$F$11000,OUT!$H$2:$H$11000,H1485,OUT!$D$2:$D$11000,"Out",OUT!$E$2:$E$11000,"Iqbal")</f>
        <v>0</v>
      </c>
    </row>
    <row r="1486" spans="7:20" x14ac:dyDescent="0.2">
      <c r="G1486" s="50"/>
      <c r="H1486" s="51" t="str">
        <f t="shared" si="0"/>
        <v/>
      </c>
      <c r="I1486" s="52" t="e">
        <f>SUMIFS(OUT!$F$2:$F$11000,OUT!$H$2:$H$11000,H1486,OUT!$D$2:$D$101007,"In")</f>
        <v>#VALUE!</v>
      </c>
      <c r="J1486" s="52">
        <f ca="1">SUMIFS(OUT!$F$2:$F$11000,OUT!$H$2:$H$11000,H1486,OUT!$D$2:$D$11000,"Out")</f>
        <v>0</v>
      </c>
      <c r="K1486" s="52">
        <f ca="1">SUMIFS(OUT!$F$2:$F$11000,OUT!$H$2:$H$11000,H1486,OUT!$D$2:$D$11000,"Out",OUT!$E$2:$E$11000,"Fix")</f>
        <v>0</v>
      </c>
      <c r="L1486" s="52">
        <f ca="1">SUMIFS(OUT!$F$2:$F$11000,OUT!$H$2:$H$11000,H1486,OUT!$D$2:$D$11000,"Out",OUT!$E$2:$E$11000,"Bathroom")</f>
        <v>0</v>
      </c>
      <c r="M1486" s="52">
        <f ca="1">SUMIFS(OUT!$F$2:$F$11000,OUT!$H$2:$H$11000,H1486,OUT!$D$2:$D$11000,"Out",OUT!$E$2:$E$11000,"Alfa")</f>
        <v>0</v>
      </c>
      <c r="N1486" s="52" t="e">
        <f>SUMIFS(OUT!$F$2:$F$11000,OUT!$H$2:$H$101007,H1486,OUT!$D$2:$D$11000,"Out",OUT!$E$2:$E$11000,"Jajan")</f>
        <v>#VALUE!</v>
      </c>
      <c r="O1486" s="52">
        <f ca="1">SUMIFS(OUT!$F$2:$F$11000,OUT!$H$2:$H$11000,H1486,OUT!$D$2:$D$11000,"Out",OUT!$E$2:$E$11000,"Kitchen")</f>
        <v>0</v>
      </c>
      <c r="P1486" s="52">
        <f ca="1">SUMIFS(OUT!$F$2:$F$11000,OUT!$H$2:$H$11000,H1486,OUT!$D$2:$D$11000,"Out",OUT!$E$2:$E$11000,"Loandry")</f>
        <v>0</v>
      </c>
      <c r="Q1486" s="52">
        <f ca="1">SUMIFS(OUT!$F$2:$F$11000,OUT!$H$2:$H$11000,H1486,OUT!$D$2:$D$11000,"Out",OUT!$E$2:$E$11000,"Mio")</f>
        <v>0</v>
      </c>
      <c r="R1486" s="52">
        <f ca="1">SUMIFS(OUT!$F$2:$F$11000,OUT!$H$2:$H$11000,H1486,OUT!$D$2:$D$11000,"Out",OUT!$E$2:$E$11000,"Sedekah")</f>
        <v>0</v>
      </c>
      <c r="S1486" s="52">
        <f ca="1">SUMIFS(OUT!$F$2:$F$11000,OUT!$H$2:$H$11000,H1486,OUT!$D$2:$D$11000,"Out",OUT!$E$2:$E$11000,"Zela")</f>
        <v>0</v>
      </c>
      <c r="T1486" s="52">
        <f ca="1">SUMIFS(OUT!$F$2:$F$11000,OUT!$H$2:$H$11000,H1486,OUT!$D$2:$D$11000,"Out",OUT!$E$2:$E$11000,"Iqbal")</f>
        <v>0</v>
      </c>
    </row>
    <row r="1487" spans="7:20" x14ac:dyDescent="0.2">
      <c r="G1487" s="50"/>
      <c r="H1487" s="51" t="str">
        <f t="shared" si="0"/>
        <v/>
      </c>
      <c r="I1487" s="52" t="e">
        <f>SUMIFS(OUT!$F$2:$F$11000,OUT!$H$2:$H$11000,H1487,OUT!$D$2:$D$101007,"In")</f>
        <v>#VALUE!</v>
      </c>
      <c r="J1487" s="52">
        <f ca="1">SUMIFS(OUT!$F$2:$F$11000,OUT!$H$2:$H$11000,H1487,OUT!$D$2:$D$11000,"Out")</f>
        <v>0</v>
      </c>
      <c r="K1487" s="52">
        <f ca="1">SUMIFS(OUT!$F$2:$F$11000,OUT!$H$2:$H$11000,H1487,OUT!$D$2:$D$11000,"Out",OUT!$E$2:$E$11000,"Fix")</f>
        <v>0</v>
      </c>
      <c r="L1487" s="52">
        <f ca="1">SUMIFS(OUT!$F$2:$F$11000,OUT!$H$2:$H$11000,H1487,OUT!$D$2:$D$11000,"Out",OUT!$E$2:$E$11000,"Bathroom")</f>
        <v>0</v>
      </c>
      <c r="M1487" s="52">
        <f ca="1">SUMIFS(OUT!$F$2:$F$11000,OUT!$H$2:$H$11000,H1487,OUT!$D$2:$D$11000,"Out",OUT!$E$2:$E$11000,"Alfa")</f>
        <v>0</v>
      </c>
      <c r="N1487" s="52" t="e">
        <f>SUMIFS(OUT!$F$2:$F$11000,OUT!$H$2:$H$101007,H1487,OUT!$D$2:$D$11000,"Out",OUT!$E$2:$E$11000,"Jajan")</f>
        <v>#VALUE!</v>
      </c>
      <c r="O1487" s="52">
        <f ca="1">SUMIFS(OUT!$F$2:$F$11000,OUT!$H$2:$H$11000,H1487,OUT!$D$2:$D$11000,"Out",OUT!$E$2:$E$11000,"Kitchen")</f>
        <v>0</v>
      </c>
      <c r="P1487" s="52">
        <f ca="1">SUMIFS(OUT!$F$2:$F$11000,OUT!$H$2:$H$11000,H1487,OUT!$D$2:$D$11000,"Out",OUT!$E$2:$E$11000,"Loandry")</f>
        <v>0</v>
      </c>
      <c r="Q1487" s="52">
        <f ca="1">SUMIFS(OUT!$F$2:$F$11000,OUT!$H$2:$H$11000,H1487,OUT!$D$2:$D$11000,"Out",OUT!$E$2:$E$11000,"Mio")</f>
        <v>0</v>
      </c>
      <c r="R1487" s="52">
        <f ca="1">SUMIFS(OUT!$F$2:$F$11000,OUT!$H$2:$H$11000,H1487,OUT!$D$2:$D$11000,"Out",OUT!$E$2:$E$11000,"Sedekah")</f>
        <v>0</v>
      </c>
      <c r="S1487" s="52">
        <f ca="1">SUMIFS(OUT!$F$2:$F$11000,OUT!$H$2:$H$11000,H1487,OUT!$D$2:$D$11000,"Out",OUT!$E$2:$E$11000,"Zela")</f>
        <v>0</v>
      </c>
      <c r="T1487" s="52">
        <f ca="1">SUMIFS(OUT!$F$2:$F$11000,OUT!$H$2:$H$11000,H1487,OUT!$D$2:$D$11000,"Out",OUT!$E$2:$E$11000,"Iqbal")</f>
        <v>0</v>
      </c>
    </row>
    <row r="1488" spans="7:20" x14ac:dyDescent="0.2">
      <c r="G1488" s="50"/>
      <c r="H1488" s="51" t="str">
        <f t="shared" si="0"/>
        <v/>
      </c>
      <c r="I1488" s="52" t="e">
        <f>SUMIFS(OUT!$F$2:$F$11000,OUT!$H$2:$H$11000,H1488,OUT!$D$2:$D$101007,"In")</f>
        <v>#VALUE!</v>
      </c>
      <c r="J1488" s="52">
        <f ca="1">SUMIFS(OUT!$F$2:$F$11000,OUT!$H$2:$H$11000,H1488,OUT!$D$2:$D$11000,"Out")</f>
        <v>0</v>
      </c>
      <c r="K1488" s="52">
        <f ca="1">SUMIFS(OUT!$F$2:$F$11000,OUT!$H$2:$H$11000,H1488,OUT!$D$2:$D$11000,"Out",OUT!$E$2:$E$11000,"Fix")</f>
        <v>0</v>
      </c>
      <c r="L1488" s="52">
        <f ca="1">SUMIFS(OUT!$F$2:$F$11000,OUT!$H$2:$H$11000,H1488,OUT!$D$2:$D$11000,"Out",OUT!$E$2:$E$11000,"Bathroom")</f>
        <v>0</v>
      </c>
      <c r="M1488" s="52">
        <f ca="1">SUMIFS(OUT!$F$2:$F$11000,OUT!$H$2:$H$11000,H1488,OUT!$D$2:$D$11000,"Out",OUT!$E$2:$E$11000,"Alfa")</f>
        <v>0</v>
      </c>
      <c r="N1488" s="52" t="e">
        <f>SUMIFS(OUT!$F$2:$F$11000,OUT!$H$2:$H$101007,H1488,OUT!$D$2:$D$11000,"Out",OUT!$E$2:$E$11000,"Jajan")</f>
        <v>#VALUE!</v>
      </c>
      <c r="O1488" s="52">
        <f ca="1">SUMIFS(OUT!$F$2:$F$11000,OUT!$H$2:$H$11000,H1488,OUT!$D$2:$D$11000,"Out",OUT!$E$2:$E$11000,"Kitchen")</f>
        <v>0</v>
      </c>
      <c r="P1488" s="52">
        <f ca="1">SUMIFS(OUT!$F$2:$F$11000,OUT!$H$2:$H$11000,H1488,OUT!$D$2:$D$11000,"Out",OUT!$E$2:$E$11000,"Loandry")</f>
        <v>0</v>
      </c>
      <c r="Q1488" s="52">
        <f ca="1">SUMIFS(OUT!$F$2:$F$11000,OUT!$H$2:$H$11000,H1488,OUT!$D$2:$D$11000,"Out",OUT!$E$2:$E$11000,"Mio")</f>
        <v>0</v>
      </c>
      <c r="R1488" s="52">
        <f ca="1">SUMIFS(OUT!$F$2:$F$11000,OUT!$H$2:$H$11000,H1488,OUT!$D$2:$D$11000,"Out",OUT!$E$2:$E$11000,"Sedekah")</f>
        <v>0</v>
      </c>
      <c r="S1488" s="52">
        <f ca="1">SUMIFS(OUT!$F$2:$F$11000,OUT!$H$2:$H$11000,H1488,OUT!$D$2:$D$11000,"Out",OUT!$E$2:$E$11000,"Zela")</f>
        <v>0</v>
      </c>
      <c r="T1488" s="52">
        <f ca="1">SUMIFS(OUT!$F$2:$F$11000,OUT!$H$2:$H$11000,H1488,OUT!$D$2:$D$11000,"Out",OUT!$E$2:$E$11000,"Iqbal")</f>
        <v>0</v>
      </c>
    </row>
    <row r="1489" spans="7:20" x14ac:dyDescent="0.2">
      <c r="G1489" s="50"/>
      <c r="H1489" s="51" t="str">
        <f t="shared" si="0"/>
        <v/>
      </c>
      <c r="I1489" s="52" t="e">
        <f>SUMIFS(OUT!$F$2:$F$11000,OUT!$H$2:$H$11000,H1489,OUT!$D$2:$D$101007,"In")</f>
        <v>#VALUE!</v>
      </c>
      <c r="J1489" s="52">
        <f ca="1">SUMIFS(OUT!$F$2:$F$11000,OUT!$H$2:$H$11000,H1489,OUT!$D$2:$D$11000,"Out")</f>
        <v>0</v>
      </c>
      <c r="K1489" s="52">
        <f ca="1">SUMIFS(OUT!$F$2:$F$11000,OUT!$H$2:$H$11000,H1489,OUT!$D$2:$D$11000,"Out",OUT!$E$2:$E$11000,"Fix")</f>
        <v>0</v>
      </c>
      <c r="L1489" s="52">
        <f ca="1">SUMIFS(OUT!$F$2:$F$11000,OUT!$H$2:$H$11000,H1489,OUT!$D$2:$D$11000,"Out",OUT!$E$2:$E$11000,"Bathroom")</f>
        <v>0</v>
      </c>
      <c r="M1489" s="52">
        <f ca="1">SUMIFS(OUT!$F$2:$F$11000,OUT!$H$2:$H$11000,H1489,OUT!$D$2:$D$11000,"Out",OUT!$E$2:$E$11000,"Alfa")</f>
        <v>0</v>
      </c>
      <c r="N1489" s="52" t="e">
        <f>SUMIFS(OUT!$F$2:$F$11000,OUT!$H$2:$H$101007,H1489,OUT!$D$2:$D$11000,"Out",OUT!$E$2:$E$11000,"Jajan")</f>
        <v>#VALUE!</v>
      </c>
      <c r="O1489" s="52">
        <f ca="1">SUMIFS(OUT!$F$2:$F$11000,OUT!$H$2:$H$11000,H1489,OUT!$D$2:$D$11000,"Out",OUT!$E$2:$E$11000,"Kitchen")</f>
        <v>0</v>
      </c>
      <c r="P1489" s="52">
        <f ca="1">SUMIFS(OUT!$F$2:$F$11000,OUT!$H$2:$H$11000,H1489,OUT!$D$2:$D$11000,"Out",OUT!$E$2:$E$11000,"Loandry")</f>
        <v>0</v>
      </c>
      <c r="Q1489" s="52">
        <f ca="1">SUMIFS(OUT!$F$2:$F$11000,OUT!$H$2:$H$11000,H1489,OUT!$D$2:$D$11000,"Out",OUT!$E$2:$E$11000,"Mio")</f>
        <v>0</v>
      </c>
      <c r="R1489" s="52">
        <f ca="1">SUMIFS(OUT!$F$2:$F$11000,OUT!$H$2:$H$11000,H1489,OUT!$D$2:$D$11000,"Out",OUT!$E$2:$E$11000,"Sedekah")</f>
        <v>0</v>
      </c>
      <c r="S1489" s="52">
        <f ca="1">SUMIFS(OUT!$F$2:$F$11000,OUT!$H$2:$H$11000,H1489,OUT!$D$2:$D$11000,"Out",OUT!$E$2:$E$11000,"Zela")</f>
        <v>0</v>
      </c>
      <c r="T1489" s="52">
        <f ca="1">SUMIFS(OUT!$F$2:$F$11000,OUT!$H$2:$H$11000,H1489,OUT!$D$2:$D$11000,"Out",OUT!$E$2:$E$11000,"Iqbal")</f>
        <v>0</v>
      </c>
    </row>
    <row r="1490" spans="7:20" x14ac:dyDescent="0.2">
      <c r="G1490" s="50"/>
      <c r="H1490" s="51" t="str">
        <f t="shared" si="0"/>
        <v/>
      </c>
      <c r="I1490" s="52" t="e">
        <f>SUMIFS(OUT!$F$2:$F$11000,OUT!$H$2:$H$11000,H1490,OUT!$D$2:$D$101007,"In")</f>
        <v>#VALUE!</v>
      </c>
      <c r="J1490" s="52">
        <f ca="1">SUMIFS(OUT!$F$2:$F$11000,OUT!$H$2:$H$11000,H1490,OUT!$D$2:$D$11000,"Out")</f>
        <v>0</v>
      </c>
      <c r="K1490" s="52">
        <f ca="1">SUMIFS(OUT!$F$2:$F$11000,OUT!$H$2:$H$11000,H1490,OUT!$D$2:$D$11000,"Out",OUT!$E$2:$E$11000,"Fix")</f>
        <v>0</v>
      </c>
      <c r="L1490" s="52">
        <f ca="1">SUMIFS(OUT!$F$2:$F$11000,OUT!$H$2:$H$11000,H1490,OUT!$D$2:$D$11000,"Out",OUT!$E$2:$E$11000,"Bathroom")</f>
        <v>0</v>
      </c>
      <c r="M1490" s="52">
        <f ca="1">SUMIFS(OUT!$F$2:$F$11000,OUT!$H$2:$H$11000,H1490,OUT!$D$2:$D$11000,"Out",OUT!$E$2:$E$11000,"Alfa")</f>
        <v>0</v>
      </c>
      <c r="N1490" s="52" t="e">
        <f>SUMIFS(OUT!$F$2:$F$11000,OUT!$H$2:$H$101007,H1490,OUT!$D$2:$D$11000,"Out",OUT!$E$2:$E$11000,"Jajan")</f>
        <v>#VALUE!</v>
      </c>
      <c r="O1490" s="52">
        <f ca="1">SUMIFS(OUT!$F$2:$F$11000,OUT!$H$2:$H$11000,H1490,OUT!$D$2:$D$11000,"Out",OUT!$E$2:$E$11000,"Kitchen")</f>
        <v>0</v>
      </c>
      <c r="P1490" s="52">
        <f ca="1">SUMIFS(OUT!$F$2:$F$11000,OUT!$H$2:$H$11000,H1490,OUT!$D$2:$D$11000,"Out",OUT!$E$2:$E$11000,"Loandry")</f>
        <v>0</v>
      </c>
      <c r="Q1490" s="52">
        <f ca="1">SUMIFS(OUT!$F$2:$F$11000,OUT!$H$2:$H$11000,H1490,OUT!$D$2:$D$11000,"Out",OUT!$E$2:$E$11000,"Mio")</f>
        <v>0</v>
      </c>
      <c r="R1490" s="52">
        <f ca="1">SUMIFS(OUT!$F$2:$F$11000,OUT!$H$2:$H$11000,H1490,OUT!$D$2:$D$11000,"Out",OUT!$E$2:$E$11000,"Sedekah")</f>
        <v>0</v>
      </c>
      <c r="S1490" s="52">
        <f ca="1">SUMIFS(OUT!$F$2:$F$11000,OUT!$H$2:$H$11000,H1490,OUT!$D$2:$D$11000,"Out",OUT!$E$2:$E$11000,"Zela")</f>
        <v>0</v>
      </c>
      <c r="T1490" s="52">
        <f ca="1">SUMIFS(OUT!$F$2:$F$11000,OUT!$H$2:$H$11000,H1490,OUT!$D$2:$D$11000,"Out",OUT!$E$2:$E$11000,"Iqbal")</f>
        <v>0</v>
      </c>
    </row>
    <row r="1491" spans="7:20" x14ac:dyDescent="0.2">
      <c r="G1491" s="50"/>
      <c r="H1491" s="51" t="str">
        <f t="shared" si="0"/>
        <v/>
      </c>
      <c r="I1491" s="52" t="e">
        <f>SUMIFS(OUT!$F$2:$F$11000,OUT!$H$2:$H$11000,H1491,OUT!$D$2:$D$101007,"In")</f>
        <v>#VALUE!</v>
      </c>
      <c r="J1491" s="52">
        <f ca="1">SUMIFS(OUT!$F$2:$F$11000,OUT!$H$2:$H$11000,H1491,OUT!$D$2:$D$11000,"Out")</f>
        <v>0</v>
      </c>
      <c r="K1491" s="52">
        <f ca="1">SUMIFS(OUT!$F$2:$F$11000,OUT!$H$2:$H$11000,H1491,OUT!$D$2:$D$11000,"Out",OUT!$E$2:$E$11000,"Fix")</f>
        <v>0</v>
      </c>
      <c r="L1491" s="52">
        <f ca="1">SUMIFS(OUT!$F$2:$F$11000,OUT!$H$2:$H$11000,H1491,OUT!$D$2:$D$11000,"Out",OUT!$E$2:$E$11000,"Bathroom")</f>
        <v>0</v>
      </c>
      <c r="M1491" s="52">
        <f ca="1">SUMIFS(OUT!$F$2:$F$11000,OUT!$H$2:$H$11000,H1491,OUT!$D$2:$D$11000,"Out",OUT!$E$2:$E$11000,"Alfa")</f>
        <v>0</v>
      </c>
      <c r="N1491" s="52" t="e">
        <f>SUMIFS(OUT!$F$2:$F$11000,OUT!$H$2:$H$101007,H1491,OUT!$D$2:$D$11000,"Out",OUT!$E$2:$E$11000,"Jajan")</f>
        <v>#VALUE!</v>
      </c>
      <c r="O1491" s="52">
        <f ca="1">SUMIFS(OUT!$F$2:$F$11000,OUT!$H$2:$H$11000,H1491,OUT!$D$2:$D$11000,"Out",OUT!$E$2:$E$11000,"Kitchen")</f>
        <v>0</v>
      </c>
      <c r="P1491" s="52">
        <f ca="1">SUMIFS(OUT!$F$2:$F$11000,OUT!$H$2:$H$11000,H1491,OUT!$D$2:$D$11000,"Out",OUT!$E$2:$E$11000,"Loandry")</f>
        <v>0</v>
      </c>
      <c r="Q1491" s="52">
        <f ca="1">SUMIFS(OUT!$F$2:$F$11000,OUT!$H$2:$H$11000,H1491,OUT!$D$2:$D$11000,"Out",OUT!$E$2:$E$11000,"Mio")</f>
        <v>0</v>
      </c>
      <c r="R1491" s="52">
        <f ca="1">SUMIFS(OUT!$F$2:$F$11000,OUT!$H$2:$H$11000,H1491,OUT!$D$2:$D$11000,"Out",OUT!$E$2:$E$11000,"Sedekah")</f>
        <v>0</v>
      </c>
      <c r="S1491" s="52">
        <f ca="1">SUMIFS(OUT!$F$2:$F$11000,OUT!$H$2:$H$11000,H1491,OUT!$D$2:$D$11000,"Out",OUT!$E$2:$E$11000,"Zela")</f>
        <v>0</v>
      </c>
      <c r="T1491" s="52">
        <f ca="1">SUMIFS(OUT!$F$2:$F$11000,OUT!$H$2:$H$11000,H1491,OUT!$D$2:$D$11000,"Out",OUT!$E$2:$E$11000,"Iqbal")</f>
        <v>0</v>
      </c>
    </row>
    <row r="1492" spans="7:20" x14ac:dyDescent="0.2">
      <c r="G1492" s="50"/>
      <c r="H1492" s="51" t="str">
        <f t="shared" si="0"/>
        <v/>
      </c>
      <c r="I1492" s="52" t="e">
        <f>SUMIFS(OUT!$F$2:$F$11000,OUT!$H$2:$H$11000,H1492,OUT!$D$2:$D$101007,"In")</f>
        <v>#VALUE!</v>
      </c>
      <c r="J1492" s="52">
        <f ca="1">SUMIFS(OUT!$F$2:$F$11000,OUT!$H$2:$H$11000,H1492,OUT!$D$2:$D$11000,"Out")</f>
        <v>0</v>
      </c>
      <c r="K1492" s="52">
        <f ca="1">SUMIFS(OUT!$F$2:$F$11000,OUT!$H$2:$H$11000,H1492,OUT!$D$2:$D$11000,"Out",OUT!$E$2:$E$11000,"Fix")</f>
        <v>0</v>
      </c>
      <c r="L1492" s="52">
        <f ca="1">SUMIFS(OUT!$F$2:$F$11000,OUT!$H$2:$H$11000,H1492,OUT!$D$2:$D$11000,"Out",OUT!$E$2:$E$11000,"Bathroom")</f>
        <v>0</v>
      </c>
      <c r="M1492" s="52">
        <f ca="1">SUMIFS(OUT!$F$2:$F$11000,OUT!$H$2:$H$11000,H1492,OUT!$D$2:$D$11000,"Out",OUT!$E$2:$E$11000,"Alfa")</f>
        <v>0</v>
      </c>
      <c r="N1492" s="52" t="e">
        <f>SUMIFS(OUT!$F$2:$F$11000,OUT!$H$2:$H$101007,H1492,OUT!$D$2:$D$11000,"Out",OUT!$E$2:$E$11000,"Jajan")</f>
        <v>#VALUE!</v>
      </c>
      <c r="O1492" s="52">
        <f ca="1">SUMIFS(OUT!$F$2:$F$11000,OUT!$H$2:$H$11000,H1492,OUT!$D$2:$D$11000,"Out",OUT!$E$2:$E$11000,"Kitchen")</f>
        <v>0</v>
      </c>
      <c r="P1492" s="52">
        <f ca="1">SUMIFS(OUT!$F$2:$F$11000,OUT!$H$2:$H$11000,H1492,OUT!$D$2:$D$11000,"Out",OUT!$E$2:$E$11000,"Loandry")</f>
        <v>0</v>
      </c>
      <c r="Q1492" s="52">
        <f ca="1">SUMIFS(OUT!$F$2:$F$11000,OUT!$H$2:$H$11000,H1492,OUT!$D$2:$D$11000,"Out",OUT!$E$2:$E$11000,"Mio")</f>
        <v>0</v>
      </c>
      <c r="R1492" s="52">
        <f ca="1">SUMIFS(OUT!$F$2:$F$11000,OUT!$H$2:$H$11000,H1492,OUT!$D$2:$D$11000,"Out",OUT!$E$2:$E$11000,"Sedekah")</f>
        <v>0</v>
      </c>
      <c r="S1492" s="52">
        <f ca="1">SUMIFS(OUT!$F$2:$F$11000,OUT!$H$2:$H$11000,H1492,OUT!$D$2:$D$11000,"Out",OUT!$E$2:$E$11000,"Zela")</f>
        <v>0</v>
      </c>
      <c r="T1492" s="52">
        <f ca="1">SUMIFS(OUT!$F$2:$F$11000,OUT!$H$2:$H$11000,H1492,OUT!$D$2:$D$11000,"Out",OUT!$E$2:$E$11000,"Iqbal")</f>
        <v>0</v>
      </c>
    </row>
    <row r="1493" spans="7:20" x14ac:dyDescent="0.2">
      <c r="G1493" s="50"/>
      <c r="H1493" s="51" t="str">
        <f t="shared" si="0"/>
        <v/>
      </c>
      <c r="I1493" s="52" t="e">
        <f>SUMIFS(OUT!$F$2:$F$11000,OUT!$H$2:$H$11000,H1493,OUT!$D$2:$D$101007,"In")</f>
        <v>#VALUE!</v>
      </c>
      <c r="J1493" s="52">
        <f ca="1">SUMIFS(OUT!$F$2:$F$11000,OUT!$H$2:$H$11000,H1493,OUT!$D$2:$D$11000,"Out")</f>
        <v>0</v>
      </c>
      <c r="K1493" s="52">
        <f ca="1">SUMIFS(OUT!$F$2:$F$11000,OUT!$H$2:$H$11000,H1493,OUT!$D$2:$D$11000,"Out",OUT!$E$2:$E$11000,"Fix")</f>
        <v>0</v>
      </c>
      <c r="L1493" s="52">
        <f ca="1">SUMIFS(OUT!$F$2:$F$11000,OUT!$H$2:$H$11000,H1493,OUT!$D$2:$D$11000,"Out",OUT!$E$2:$E$11000,"Bathroom")</f>
        <v>0</v>
      </c>
      <c r="M1493" s="52">
        <f ca="1">SUMIFS(OUT!$F$2:$F$11000,OUT!$H$2:$H$11000,H1493,OUT!$D$2:$D$11000,"Out",OUT!$E$2:$E$11000,"Alfa")</f>
        <v>0</v>
      </c>
      <c r="N1493" s="52" t="e">
        <f>SUMIFS(OUT!$F$2:$F$11000,OUT!$H$2:$H$101007,H1493,OUT!$D$2:$D$11000,"Out",OUT!$E$2:$E$11000,"Jajan")</f>
        <v>#VALUE!</v>
      </c>
      <c r="O1493" s="52">
        <f ca="1">SUMIFS(OUT!$F$2:$F$11000,OUT!$H$2:$H$11000,H1493,OUT!$D$2:$D$11000,"Out",OUT!$E$2:$E$11000,"Kitchen")</f>
        <v>0</v>
      </c>
      <c r="P1493" s="52">
        <f ca="1">SUMIFS(OUT!$F$2:$F$11000,OUT!$H$2:$H$11000,H1493,OUT!$D$2:$D$11000,"Out",OUT!$E$2:$E$11000,"Loandry")</f>
        <v>0</v>
      </c>
      <c r="Q1493" s="52">
        <f ca="1">SUMIFS(OUT!$F$2:$F$11000,OUT!$H$2:$H$11000,H1493,OUT!$D$2:$D$11000,"Out",OUT!$E$2:$E$11000,"Mio")</f>
        <v>0</v>
      </c>
      <c r="R1493" s="52">
        <f ca="1">SUMIFS(OUT!$F$2:$F$11000,OUT!$H$2:$H$11000,H1493,OUT!$D$2:$D$11000,"Out",OUT!$E$2:$E$11000,"Sedekah")</f>
        <v>0</v>
      </c>
      <c r="S1493" s="52">
        <f ca="1">SUMIFS(OUT!$F$2:$F$11000,OUT!$H$2:$H$11000,H1493,OUT!$D$2:$D$11000,"Out",OUT!$E$2:$E$11000,"Zela")</f>
        <v>0</v>
      </c>
      <c r="T1493" s="52">
        <f ca="1">SUMIFS(OUT!$F$2:$F$11000,OUT!$H$2:$H$11000,H1493,OUT!$D$2:$D$11000,"Out",OUT!$E$2:$E$11000,"Iqbal")</f>
        <v>0</v>
      </c>
    </row>
    <row r="1494" spans="7:20" x14ac:dyDescent="0.2">
      <c r="G1494" s="50"/>
      <c r="H1494" s="51" t="str">
        <f t="shared" si="0"/>
        <v/>
      </c>
      <c r="I1494" s="52" t="e">
        <f>SUMIFS(OUT!$F$2:$F$11000,OUT!$H$2:$H$11000,H1494,OUT!$D$2:$D$101007,"In")</f>
        <v>#VALUE!</v>
      </c>
      <c r="J1494" s="52">
        <f ca="1">SUMIFS(OUT!$F$2:$F$11000,OUT!$H$2:$H$11000,H1494,OUT!$D$2:$D$11000,"Out")</f>
        <v>0</v>
      </c>
      <c r="K1494" s="52">
        <f ca="1">SUMIFS(OUT!$F$2:$F$11000,OUT!$H$2:$H$11000,H1494,OUT!$D$2:$D$11000,"Out",OUT!$E$2:$E$11000,"Fix")</f>
        <v>0</v>
      </c>
      <c r="L1494" s="52">
        <f ca="1">SUMIFS(OUT!$F$2:$F$11000,OUT!$H$2:$H$11000,H1494,OUT!$D$2:$D$11000,"Out",OUT!$E$2:$E$11000,"Bathroom")</f>
        <v>0</v>
      </c>
      <c r="M1494" s="52">
        <f ca="1">SUMIFS(OUT!$F$2:$F$11000,OUT!$H$2:$H$11000,H1494,OUT!$D$2:$D$11000,"Out",OUT!$E$2:$E$11000,"Alfa")</f>
        <v>0</v>
      </c>
      <c r="N1494" s="52" t="e">
        <f>SUMIFS(OUT!$F$2:$F$11000,OUT!$H$2:$H$101007,H1494,OUT!$D$2:$D$11000,"Out",OUT!$E$2:$E$11000,"Jajan")</f>
        <v>#VALUE!</v>
      </c>
      <c r="O1494" s="52">
        <f ca="1">SUMIFS(OUT!$F$2:$F$11000,OUT!$H$2:$H$11000,H1494,OUT!$D$2:$D$11000,"Out",OUT!$E$2:$E$11000,"Kitchen")</f>
        <v>0</v>
      </c>
      <c r="P1494" s="52">
        <f ca="1">SUMIFS(OUT!$F$2:$F$11000,OUT!$H$2:$H$11000,H1494,OUT!$D$2:$D$11000,"Out",OUT!$E$2:$E$11000,"Loandry")</f>
        <v>0</v>
      </c>
      <c r="Q1494" s="52">
        <f ca="1">SUMIFS(OUT!$F$2:$F$11000,OUT!$H$2:$H$11000,H1494,OUT!$D$2:$D$11000,"Out",OUT!$E$2:$E$11000,"Mio")</f>
        <v>0</v>
      </c>
      <c r="R1494" s="52">
        <f ca="1">SUMIFS(OUT!$F$2:$F$11000,OUT!$H$2:$H$11000,H1494,OUT!$D$2:$D$11000,"Out",OUT!$E$2:$E$11000,"Sedekah")</f>
        <v>0</v>
      </c>
      <c r="S1494" s="52">
        <f ca="1">SUMIFS(OUT!$F$2:$F$11000,OUT!$H$2:$H$11000,H1494,OUT!$D$2:$D$11000,"Out",OUT!$E$2:$E$11000,"Zela")</f>
        <v>0</v>
      </c>
      <c r="T1494" s="52">
        <f ca="1">SUMIFS(OUT!$F$2:$F$11000,OUT!$H$2:$H$11000,H1494,OUT!$D$2:$D$11000,"Out",OUT!$E$2:$E$11000,"Iqbal")</f>
        <v>0</v>
      </c>
    </row>
    <row r="1495" spans="7:20" x14ac:dyDescent="0.2">
      <c r="G1495" s="50"/>
      <c r="H1495" s="51" t="str">
        <f t="shared" si="0"/>
        <v/>
      </c>
      <c r="I1495" s="52" t="e">
        <f>SUMIFS(OUT!$F$2:$F$11000,OUT!$H$2:$H$11000,H1495,OUT!$D$2:$D$101007,"In")</f>
        <v>#VALUE!</v>
      </c>
      <c r="J1495" s="52">
        <f ca="1">SUMIFS(OUT!$F$2:$F$11000,OUT!$H$2:$H$11000,H1495,OUT!$D$2:$D$11000,"Out")</f>
        <v>0</v>
      </c>
      <c r="K1495" s="52">
        <f ca="1">SUMIFS(OUT!$F$2:$F$11000,OUT!$H$2:$H$11000,H1495,OUT!$D$2:$D$11000,"Out",OUT!$E$2:$E$11000,"Fix")</f>
        <v>0</v>
      </c>
      <c r="L1495" s="52">
        <f ca="1">SUMIFS(OUT!$F$2:$F$11000,OUT!$H$2:$H$11000,H1495,OUT!$D$2:$D$11000,"Out",OUT!$E$2:$E$11000,"Bathroom")</f>
        <v>0</v>
      </c>
      <c r="M1495" s="52">
        <f ca="1">SUMIFS(OUT!$F$2:$F$11000,OUT!$H$2:$H$11000,H1495,OUT!$D$2:$D$11000,"Out",OUT!$E$2:$E$11000,"Alfa")</f>
        <v>0</v>
      </c>
      <c r="N1495" s="52" t="e">
        <f>SUMIFS(OUT!$F$2:$F$11000,OUT!$H$2:$H$101007,H1495,OUT!$D$2:$D$11000,"Out",OUT!$E$2:$E$11000,"Jajan")</f>
        <v>#VALUE!</v>
      </c>
      <c r="O1495" s="52">
        <f ca="1">SUMIFS(OUT!$F$2:$F$11000,OUT!$H$2:$H$11000,H1495,OUT!$D$2:$D$11000,"Out",OUT!$E$2:$E$11000,"Kitchen")</f>
        <v>0</v>
      </c>
      <c r="P1495" s="52">
        <f ca="1">SUMIFS(OUT!$F$2:$F$11000,OUT!$H$2:$H$11000,H1495,OUT!$D$2:$D$11000,"Out",OUT!$E$2:$E$11000,"Loandry")</f>
        <v>0</v>
      </c>
      <c r="Q1495" s="52">
        <f ca="1">SUMIFS(OUT!$F$2:$F$11000,OUT!$H$2:$H$11000,H1495,OUT!$D$2:$D$11000,"Out",OUT!$E$2:$E$11000,"Mio")</f>
        <v>0</v>
      </c>
      <c r="R1495" s="52">
        <f ca="1">SUMIFS(OUT!$F$2:$F$11000,OUT!$H$2:$H$11000,H1495,OUT!$D$2:$D$11000,"Out",OUT!$E$2:$E$11000,"Sedekah")</f>
        <v>0</v>
      </c>
      <c r="S1495" s="52">
        <f ca="1">SUMIFS(OUT!$F$2:$F$11000,OUT!$H$2:$H$11000,H1495,OUT!$D$2:$D$11000,"Out",OUT!$E$2:$E$11000,"Zela")</f>
        <v>0</v>
      </c>
      <c r="T1495" s="52">
        <f ca="1">SUMIFS(OUT!$F$2:$F$11000,OUT!$H$2:$H$11000,H1495,OUT!$D$2:$D$11000,"Out",OUT!$E$2:$E$11000,"Iqbal")</f>
        <v>0</v>
      </c>
    </row>
    <row r="1496" spans="7:20" x14ac:dyDescent="0.2">
      <c r="G1496" s="50"/>
      <c r="H1496" s="51" t="str">
        <f t="shared" si="0"/>
        <v/>
      </c>
      <c r="I1496" s="52" t="e">
        <f>SUMIFS(OUT!$F$2:$F$11000,OUT!$H$2:$H$11000,H1496,OUT!$D$2:$D$101007,"In")</f>
        <v>#VALUE!</v>
      </c>
      <c r="J1496" s="52">
        <f ca="1">SUMIFS(OUT!$F$2:$F$11000,OUT!$H$2:$H$11000,H1496,OUT!$D$2:$D$11000,"Out")</f>
        <v>0</v>
      </c>
      <c r="K1496" s="52">
        <f ca="1">SUMIFS(OUT!$F$2:$F$11000,OUT!$H$2:$H$11000,H1496,OUT!$D$2:$D$11000,"Out",OUT!$E$2:$E$11000,"Fix")</f>
        <v>0</v>
      </c>
      <c r="L1496" s="52">
        <f ca="1">SUMIFS(OUT!$F$2:$F$11000,OUT!$H$2:$H$11000,H1496,OUT!$D$2:$D$11000,"Out",OUT!$E$2:$E$11000,"Bathroom")</f>
        <v>0</v>
      </c>
      <c r="M1496" s="52">
        <f ca="1">SUMIFS(OUT!$F$2:$F$11000,OUT!$H$2:$H$11000,H1496,OUT!$D$2:$D$11000,"Out",OUT!$E$2:$E$11000,"Alfa")</f>
        <v>0</v>
      </c>
      <c r="N1496" s="52" t="e">
        <f>SUMIFS(OUT!$F$2:$F$11000,OUT!$H$2:$H$101007,H1496,OUT!$D$2:$D$11000,"Out",OUT!$E$2:$E$11000,"Jajan")</f>
        <v>#VALUE!</v>
      </c>
      <c r="O1496" s="52">
        <f ca="1">SUMIFS(OUT!$F$2:$F$11000,OUT!$H$2:$H$11000,H1496,OUT!$D$2:$D$11000,"Out",OUT!$E$2:$E$11000,"Kitchen")</f>
        <v>0</v>
      </c>
      <c r="P1496" s="52">
        <f ca="1">SUMIFS(OUT!$F$2:$F$11000,OUT!$H$2:$H$11000,H1496,OUT!$D$2:$D$11000,"Out",OUT!$E$2:$E$11000,"Loandry")</f>
        <v>0</v>
      </c>
      <c r="Q1496" s="52">
        <f ca="1">SUMIFS(OUT!$F$2:$F$11000,OUT!$H$2:$H$11000,H1496,OUT!$D$2:$D$11000,"Out",OUT!$E$2:$E$11000,"Mio")</f>
        <v>0</v>
      </c>
      <c r="R1496" s="52">
        <f ca="1">SUMIFS(OUT!$F$2:$F$11000,OUT!$H$2:$H$11000,H1496,OUT!$D$2:$D$11000,"Out",OUT!$E$2:$E$11000,"Sedekah")</f>
        <v>0</v>
      </c>
      <c r="S1496" s="52">
        <f ca="1">SUMIFS(OUT!$F$2:$F$11000,OUT!$H$2:$H$11000,H1496,OUT!$D$2:$D$11000,"Out",OUT!$E$2:$E$11000,"Zela")</f>
        <v>0</v>
      </c>
      <c r="T1496" s="52">
        <f ca="1">SUMIFS(OUT!$F$2:$F$11000,OUT!$H$2:$H$11000,H1496,OUT!$D$2:$D$11000,"Out",OUT!$E$2:$E$11000,"Iqbal")</f>
        <v>0</v>
      </c>
    </row>
    <row r="1497" spans="7:20" x14ac:dyDescent="0.2">
      <c r="G1497" s="50"/>
      <c r="H1497" s="51" t="str">
        <f t="shared" si="0"/>
        <v/>
      </c>
      <c r="I1497" s="52" t="e">
        <f>SUMIFS(OUT!$F$2:$F$11000,OUT!$H$2:$H$11000,H1497,OUT!$D$2:$D$101007,"In")</f>
        <v>#VALUE!</v>
      </c>
      <c r="J1497" s="52">
        <f ca="1">SUMIFS(OUT!$F$2:$F$11000,OUT!$H$2:$H$11000,H1497,OUT!$D$2:$D$11000,"Out")</f>
        <v>0</v>
      </c>
      <c r="K1497" s="52">
        <f ca="1">SUMIFS(OUT!$F$2:$F$11000,OUT!$H$2:$H$11000,H1497,OUT!$D$2:$D$11000,"Out",OUT!$E$2:$E$11000,"Fix")</f>
        <v>0</v>
      </c>
      <c r="L1497" s="52">
        <f ca="1">SUMIFS(OUT!$F$2:$F$11000,OUT!$H$2:$H$11000,H1497,OUT!$D$2:$D$11000,"Out",OUT!$E$2:$E$11000,"Bathroom")</f>
        <v>0</v>
      </c>
      <c r="M1497" s="52">
        <f ca="1">SUMIFS(OUT!$F$2:$F$11000,OUT!$H$2:$H$11000,H1497,OUT!$D$2:$D$11000,"Out",OUT!$E$2:$E$11000,"Alfa")</f>
        <v>0</v>
      </c>
      <c r="N1497" s="52" t="e">
        <f>SUMIFS(OUT!$F$2:$F$11000,OUT!$H$2:$H$101007,H1497,OUT!$D$2:$D$11000,"Out",OUT!$E$2:$E$11000,"Jajan")</f>
        <v>#VALUE!</v>
      </c>
      <c r="O1497" s="52">
        <f ca="1">SUMIFS(OUT!$F$2:$F$11000,OUT!$H$2:$H$11000,H1497,OUT!$D$2:$D$11000,"Out",OUT!$E$2:$E$11000,"Kitchen")</f>
        <v>0</v>
      </c>
      <c r="P1497" s="52">
        <f ca="1">SUMIFS(OUT!$F$2:$F$11000,OUT!$H$2:$H$11000,H1497,OUT!$D$2:$D$11000,"Out",OUT!$E$2:$E$11000,"Loandry")</f>
        <v>0</v>
      </c>
      <c r="Q1497" s="52">
        <f ca="1">SUMIFS(OUT!$F$2:$F$11000,OUT!$H$2:$H$11000,H1497,OUT!$D$2:$D$11000,"Out",OUT!$E$2:$E$11000,"Mio")</f>
        <v>0</v>
      </c>
      <c r="R1497" s="52">
        <f ca="1">SUMIFS(OUT!$F$2:$F$11000,OUT!$H$2:$H$11000,H1497,OUT!$D$2:$D$11000,"Out",OUT!$E$2:$E$11000,"Sedekah")</f>
        <v>0</v>
      </c>
      <c r="S1497" s="52">
        <f ca="1">SUMIFS(OUT!$F$2:$F$11000,OUT!$H$2:$H$11000,H1497,OUT!$D$2:$D$11000,"Out",OUT!$E$2:$E$11000,"Zela")</f>
        <v>0</v>
      </c>
      <c r="T1497" s="52">
        <f ca="1">SUMIFS(OUT!$F$2:$F$11000,OUT!$H$2:$H$11000,H1497,OUT!$D$2:$D$11000,"Out",OUT!$E$2:$E$11000,"Iqbal")</f>
        <v>0</v>
      </c>
    </row>
    <row r="1498" spans="7:20" x14ac:dyDescent="0.2">
      <c r="G1498" s="50"/>
      <c r="H1498" s="51" t="str">
        <f t="shared" si="0"/>
        <v/>
      </c>
      <c r="I1498" s="52" t="e">
        <f>SUMIFS(OUT!$F$2:$F$11000,OUT!$H$2:$H$11000,H1498,OUT!$D$2:$D$101007,"In")</f>
        <v>#VALUE!</v>
      </c>
      <c r="J1498" s="52">
        <f ca="1">SUMIFS(OUT!$F$2:$F$11000,OUT!$H$2:$H$11000,H1498,OUT!$D$2:$D$11000,"Out")</f>
        <v>0</v>
      </c>
      <c r="K1498" s="52">
        <f ca="1">SUMIFS(OUT!$F$2:$F$11000,OUT!$H$2:$H$11000,H1498,OUT!$D$2:$D$11000,"Out",OUT!$E$2:$E$11000,"Fix")</f>
        <v>0</v>
      </c>
      <c r="L1498" s="52">
        <f ca="1">SUMIFS(OUT!$F$2:$F$11000,OUT!$H$2:$H$11000,H1498,OUT!$D$2:$D$11000,"Out",OUT!$E$2:$E$11000,"Bathroom")</f>
        <v>0</v>
      </c>
      <c r="M1498" s="52">
        <f ca="1">SUMIFS(OUT!$F$2:$F$11000,OUT!$H$2:$H$11000,H1498,OUT!$D$2:$D$11000,"Out",OUT!$E$2:$E$11000,"Alfa")</f>
        <v>0</v>
      </c>
      <c r="N1498" s="52" t="e">
        <f>SUMIFS(OUT!$F$2:$F$11000,OUT!$H$2:$H$101007,H1498,OUT!$D$2:$D$11000,"Out",OUT!$E$2:$E$11000,"Jajan")</f>
        <v>#VALUE!</v>
      </c>
      <c r="O1498" s="52">
        <f ca="1">SUMIFS(OUT!$F$2:$F$11000,OUT!$H$2:$H$11000,H1498,OUT!$D$2:$D$11000,"Out",OUT!$E$2:$E$11000,"Kitchen")</f>
        <v>0</v>
      </c>
      <c r="P1498" s="52">
        <f ca="1">SUMIFS(OUT!$F$2:$F$11000,OUT!$H$2:$H$11000,H1498,OUT!$D$2:$D$11000,"Out",OUT!$E$2:$E$11000,"Loandry")</f>
        <v>0</v>
      </c>
      <c r="Q1498" s="52">
        <f ca="1">SUMIFS(OUT!$F$2:$F$11000,OUT!$H$2:$H$11000,H1498,OUT!$D$2:$D$11000,"Out",OUT!$E$2:$E$11000,"Mio")</f>
        <v>0</v>
      </c>
      <c r="R1498" s="52">
        <f ca="1">SUMIFS(OUT!$F$2:$F$11000,OUT!$H$2:$H$11000,H1498,OUT!$D$2:$D$11000,"Out",OUT!$E$2:$E$11000,"Sedekah")</f>
        <v>0</v>
      </c>
      <c r="S1498" s="52">
        <f ca="1">SUMIFS(OUT!$F$2:$F$11000,OUT!$H$2:$H$11000,H1498,OUT!$D$2:$D$11000,"Out",OUT!$E$2:$E$11000,"Zela")</f>
        <v>0</v>
      </c>
      <c r="T1498" s="52">
        <f ca="1">SUMIFS(OUT!$F$2:$F$11000,OUT!$H$2:$H$11000,H1498,OUT!$D$2:$D$11000,"Out",OUT!$E$2:$E$11000,"Iqbal")</f>
        <v>0</v>
      </c>
    </row>
    <row r="1499" spans="7:20" x14ac:dyDescent="0.2">
      <c r="G1499" s="50"/>
      <c r="H1499" s="51" t="str">
        <f t="shared" si="0"/>
        <v/>
      </c>
      <c r="I1499" s="52" t="e">
        <f>SUMIFS(OUT!$F$2:$F$11000,OUT!$H$2:$H$11000,H1499,OUT!$D$2:$D$101007,"In")</f>
        <v>#VALUE!</v>
      </c>
      <c r="J1499" s="52">
        <f ca="1">SUMIFS(OUT!$F$2:$F$11000,OUT!$H$2:$H$11000,H1499,OUT!$D$2:$D$11000,"Out")</f>
        <v>0</v>
      </c>
      <c r="K1499" s="52">
        <f ca="1">SUMIFS(OUT!$F$2:$F$11000,OUT!$H$2:$H$11000,H1499,OUT!$D$2:$D$11000,"Out",OUT!$E$2:$E$11000,"Fix")</f>
        <v>0</v>
      </c>
      <c r="L1499" s="52">
        <f ca="1">SUMIFS(OUT!$F$2:$F$11000,OUT!$H$2:$H$11000,H1499,OUT!$D$2:$D$11000,"Out",OUT!$E$2:$E$11000,"Bathroom")</f>
        <v>0</v>
      </c>
      <c r="M1499" s="52">
        <f ca="1">SUMIFS(OUT!$F$2:$F$11000,OUT!$H$2:$H$11000,H1499,OUT!$D$2:$D$11000,"Out",OUT!$E$2:$E$11000,"Alfa")</f>
        <v>0</v>
      </c>
      <c r="N1499" s="52" t="e">
        <f>SUMIFS(OUT!$F$2:$F$11000,OUT!$H$2:$H$101007,H1499,OUT!$D$2:$D$11000,"Out",OUT!$E$2:$E$11000,"Jajan")</f>
        <v>#VALUE!</v>
      </c>
      <c r="O1499" s="52">
        <f ca="1">SUMIFS(OUT!$F$2:$F$11000,OUT!$H$2:$H$11000,H1499,OUT!$D$2:$D$11000,"Out",OUT!$E$2:$E$11000,"Kitchen")</f>
        <v>0</v>
      </c>
      <c r="P1499" s="52">
        <f ca="1">SUMIFS(OUT!$F$2:$F$11000,OUT!$H$2:$H$11000,H1499,OUT!$D$2:$D$11000,"Out",OUT!$E$2:$E$11000,"Loandry")</f>
        <v>0</v>
      </c>
      <c r="Q1499" s="52">
        <f ca="1">SUMIFS(OUT!$F$2:$F$11000,OUT!$H$2:$H$11000,H1499,OUT!$D$2:$D$11000,"Out",OUT!$E$2:$E$11000,"Mio")</f>
        <v>0</v>
      </c>
      <c r="R1499" s="52">
        <f ca="1">SUMIFS(OUT!$F$2:$F$11000,OUT!$H$2:$H$11000,H1499,OUT!$D$2:$D$11000,"Out",OUT!$E$2:$E$11000,"Sedekah")</f>
        <v>0</v>
      </c>
      <c r="S1499" s="52">
        <f ca="1">SUMIFS(OUT!$F$2:$F$11000,OUT!$H$2:$H$11000,H1499,OUT!$D$2:$D$11000,"Out",OUT!$E$2:$E$11000,"Zela")</f>
        <v>0</v>
      </c>
      <c r="T1499" s="52">
        <f ca="1">SUMIFS(OUT!$F$2:$F$11000,OUT!$H$2:$H$11000,H1499,OUT!$D$2:$D$11000,"Out",OUT!$E$2:$E$11000,"Iqbal")</f>
        <v>0</v>
      </c>
    </row>
    <row r="1500" spans="7:20" x14ac:dyDescent="0.2">
      <c r="G1500" s="50"/>
      <c r="H1500" s="51" t="str">
        <f t="shared" si="0"/>
        <v/>
      </c>
      <c r="I1500" s="52" t="e">
        <f>SUMIFS(OUT!$F$2:$F$11000,OUT!$H$2:$H$11000,H1500,OUT!$D$2:$D$101007,"In")</f>
        <v>#VALUE!</v>
      </c>
      <c r="J1500" s="52">
        <f ca="1">SUMIFS(OUT!$F$2:$F$11000,OUT!$H$2:$H$11000,H1500,OUT!$D$2:$D$11000,"Out")</f>
        <v>0</v>
      </c>
      <c r="K1500" s="52">
        <f ca="1">SUMIFS(OUT!$F$2:$F$11000,OUT!$H$2:$H$11000,H1500,OUT!$D$2:$D$11000,"Out",OUT!$E$2:$E$11000,"Fix")</f>
        <v>0</v>
      </c>
      <c r="L1500" s="52">
        <f ca="1">SUMIFS(OUT!$F$2:$F$11000,OUT!$H$2:$H$11000,H1500,OUT!$D$2:$D$11000,"Out",OUT!$E$2:$E$11000,"Bathroom")</f>
        <v>0</v>
      </c>
      <c r="M1500" s="52">
        <f ca="1">SUMIFS(OUT!$F$2:$F$11000,OUT!$H$2:$H$11000,H1500,OUT!$D$2:$D$11000,"Out",OUT!$E$2:$E$11000,"Alfa")</f>
        <v>0</v>
      </c>
      <c r="N1500" s="52" t="e">
        <f>SUMIFS(OUT!$F$2:$F$11000,OUT!$H$2:$H$101007,H1500,OUT!$D$2:$D$11000,"Out",OUT!$E$2:$E$11000,"Jajan")</f>
        <v>#VALUE!</v>
      </c>
      <c r="O1500" s="52">
        <f ca="1">SUMIFS(OUT!$F$2:$F$11000,OUT!$H$2:$H$11000,H1500,OUT!$D$2:$D$11000,"Out",OUT!$E$2:$E$11000,"Kitchen")</f>
        <v>0</v>
      </c>
      <c r="P1500" s="52">
        <f ca="1">SUMIFS(OUT!$F$2:$F$11000,OUT!$H$2:$H$11000,H1500,OUT!$D$2:$D$11000,"Out",OUT!$E$2:$E$11000,"Loandry")</f>
        <v>0</v>
      </c>
      <c r="Q1500" s="52">
        <f ca="1">SUMIFS(OUT!$F$2:$F$11000,OUT!$H$2:$H$11000,H1500,OUT!$D$2:$D$11000,"Out",OUT!$E$2:$E$11000,"Mio")</f>
        <v>0</v>
      </c>
      <c r="R1500" s="52">
        <f ca="1">SUMIFS(OUT!$F$2:$F$11000,OUT!$H$2:$H$11000,H1500,OUT!$D$2:$D$11000,"Out",OUT!$E$2:$E$11000,"Sedekah")</f>
        <v>0</v>
      </c>
      <c r="S1500" s="52">
        <f ca="1">SUMIFS(OUT!$F$2:$F$11000,OUT!$H$2:$H$11000,H1500,OUT!$D$2:$D$11000,"Out",OUT!$E$2:$E$11000,"Zela")</f>
        <v>0</v>
      </c>
      <c r="T1500" s="52">
        <f ca="1">SUMIFS(OUT!$F$2:$F$11000,OUT!$H$2:$H$11000,H1500,OUT!$D$2:$D$11000,"Out",OUT!$E$2:$E$11000,"Iqbal")</f>
        <v>0</v>
      </c>
    </row>
    <row r="1501" spans="7:20" x14ac:dyDescent="0.2">
      <c r="G1501" s="50"/>
      <c r="H1501" s="51" t="str">
        <f t="shared" si="0"/>
        <v/>
      </c>
      <c r="I1501" s="52" t="e">
        <f>SUMIFS(OUT!$F$2:$F$11000,OUT!$H$2:$H$11000,H1501,OUT!$D$2:$D$101007,"In")</f>
        <v>#VALUE!</v>
      </c>
      <c r="J1501" s="52">
        <f ca="1">SUMIFS(OUT!$F$2:$F$11000,OUT!$H$2:$H$11000,H1501,OUT!$D$2:$D$11000,"Out")</f>
        <v>0</v>
      </c>
      <c r="K1501" s="52">
        <f ca="1">SUMIFS(OUT!$F$2:$F$11000,OUT!$H$2:$H$11000,H1501,OUT!$D$2:$D$11000,"Out",OUT!$E$2:$E$11000,"Fix")</f>
        <v>0</v>
      </c>
      <c r="L1501" s="52">
        <f ca="1">SUMIFS(OUT!$F$2:$F$11000,OUT!$H$2:$H$11000,H1501,OUT!$D$2:$D$11000,"Out",OUT!$E$2:$E$11000,"Bathroom")</f>
        <v>0</v>
      </c>
      <c r="M1501" s="52">
        <f ca="1">SUMIFS(OUT!$F$2:$F$11000,OUT!$H$2:$H$11000,H1501,OUT!$D$2:$D$11000,"Out",OUT!$E$2:$E$11000,"Alfa")</f>
        <v>0</v>
      </c>
      <c r="N1501" s="52" t="e">
        <f>SUMIFS(OUT!$F$2:$F$11000,OUT!$H$2:$H$101007,H1501,OUT!$D$2:$D$11000,"Out",OUT!$E$2:$E$11000,"Jajan")</f>
        <v>#VALUE!</v>
      </c>
      <c r="O1501" s="52">
        <f ca="1">SUMIFS(OUT!$F$2:$F$11000,OUT!$H$2:$H$11000,H1501,OUT!$D$2:$D$11000,"Out",OUT!$E$2:$E$11000,"Kitchen")</f>
        <v>0</v>
      </c>
      <c r="P1501" s="52">
        <f ca="1">SUMIFS(OUT!$F$2:$F$11000,OUT!$H$2:$H$11000,H1501,OUT!$D$2:$D$11000,"Out",OUT!$E$2:$E$11000,"Loandry")</f>
        <v>0</v>
      </c>
      <c r="Q1501" s="52">
        <f ca="1">SUMIFS(OUT!$F$2:$F$11000,OUT!$H$2:$H$11000,H1501,OUT!$D$2:$D$11000,"Out",OUT!$E$2:$E$11000,"Mio")</f>
        <v>0</v>
      </c>
      <c r="R1501" s="52">
        <f ca="1">SUMIFS(OUT!$F$2:$F$11000,OUT!$H$2:$H$11000,H1501,OUT!$D$2:$D$11000,"Out",OUT!$E$2:$E$11000,"Sedekah")</f>
        <v>0</v>
      </c>
      <c r="S1501" s="52">
        <f ca="1">SUMIFS(OUT!$F$2:$F$11000,OUT!$H$2:$H$11000,H1501,OUT!$D$2:$D$11000,"Out",OUT!$E$2:$E$11000,"Zela")</f>
        <v>0</v>
      </c>
      <c r="T1501" s="52">
        <f ca="1">SUMIFS(OUT!$F$2:$F$11000,OUT!$H$2:$H$11000,H1501,OUT!$D$2:$D$11000,"Out",OUT!$E$2:$E$11000,"Iqbal")</f>
        <v>0</v>
      </c>
    </row>
    <row r="1502" spans="7:20" x14ac:dyDescent="0.2">
      <c r="G1502" s="50"/>
      <c r="H1502" s="51" t="str">
        <f t="shared" si="0"/>
        <v/>
      </c>
      <c r="I1502" s="52" t="e">
        <f>SUMIFS(OUT!$F$2:$F$11000,OUT!$H$2:$H$11000,H1502,OUT!$D$2:$D$101007,"In")</f>
        <v>#VALUE!</v>
      </c>
      <c r="J1502" s="52">
        <f ca="1">SUMIFS(OUT!$F$2:$F$11000,OUT!$H$2:$H$11000,H1502,OUT!$D$2:$D$11000,"Out")</f>
        <v>0</v>
      </c>
      <c r="K1502" s="52">
        <f ca="1">SUMIFS(OUT!$F$2:$F$11000,OUT!$H$2:$H$11000,H1502,OUT!$D$2:$D$11000,"Out",OUT!$E$2:$E$11000,"Fix")</f>
        <v>0</v>
      </c>
      <c r="L1502" s="52">
        <f ca="1">SUMIFS(OUT!$F$2:$F$11000,OUT!$H$2:$H$11000,H1502,OUT!$D$2:$D$11000,"Out",OUT!$E$2:$E$11000,"Bathroom")</f>
        <v>0</v>
      </c>
      <c r="M1502" s="52">
        <f ca="1">SUMIFS(OUT!$F$2:$F$11000,OUT!$H$2:$H$11000,H1502,OUT!$D$2:$D$11000,"Out",OUT!$E$2:$E$11000,"Alfa")</f>
        <v>0</v>
      </c>
      <c r="N1502" s="52" t="e">
        <f>SUMIFS(OUT!$F$2:$F$11000,OUT!$H$2:$H$101007,H1502,OUT!$D$2:$D$11000,"Out",OUT!$E$2:$E$11000,"Jajan")</f>
        <v>#VALUE!</v>
      </c>
      <c r="O1502" s="52">
        <f ca="1">SUMIFS(OUT!$F$2:$F$11000,OUT!$H$2:$H$11000,H1502,OUT!$D$2:$D$11000,"Out",OUT!$E$2:$E$11000,"Kitchen")</f>
        <v>0</v>
      </c>
      <c r="P1502" s="52">
        <f ca="1">SUMIFS(OUT!$F$2:$F$11000,OUT!$H$2:$H$11000,H1502,OUT!$D$2:$D$11000,"Out",OUT!$E$2:$E$11000,"Loandry")</f>
        <v>0</v>
      </c>
      <c r="Q1502" s="52">
        <f ca="1">SUMIFS(OUT!$F$2:$F$11000,OUT!$H$2:$H$11000,H1502,OUT!$D$2:$D$11000,"Out",OUT!$E$2:$E$11000,"Mio")</f>
        <v>0</v>
      </c>
      <c r="R1502" s="52">
        <f ca="1">SUMIFS(OUT!$F$2:$F$11000,OUT!$H$2:$H$11000,H1502,OUT!$D$2:$D$11000,"Out",OUT!$E$2:$E$11000,"Sedekah")</f>
        <v>0</v>
      </c>
      <c r="S1502" s="52">
        <f ca="1">SUMIFS(OUT!$F$2:$F$11000,OUT!$H$2:$H$11000,H1502,OUT!$D$2:$D$11000,"Out",OUT!$E$2:$E$11000,"Zela")</f>
        <v>0</v>
      </c>
      <c r="T1502" s="52">
        <f ca="1">SUMIFS(OUT!$F$2:$F$11000,OUT!$H$2:$H$11000,H1502,OUT!$D$2:$D$11000,"Out",OUT!$E$2:$E$11000,"Iqbal")</f>
        <v>0</v>
      </c>
    </row>
    <row r="1503" spans="7:20" x14ac:dyDescent="0.2">
      <c r="G1503" s="50"/>
      <c r="H1503" s="51" t="str">
        <f t="shared" si="0"/>
        <v/>
      </c>
      <c r="I1503" s="52" t="e">
        <f>SUMIFS(OUT!$F$2:$F$11000,OUT!$H$2:$H$11000,H1503,OUT!$D$2:$D$101007,"In")</f>
        <v>#VALUE!</v>
      </c>
      <c r="J1503" s="52">
        <f ca="1">SUMIFS(OUT!$F$2:$F$11000,OUT!$H$2:$H$11000,H1503,OUT!$D$2:$D$11000,"Out")</f>
        <v>0</v>
      </c>
      <c r="K1503" s="52">
        <f ca="1">SUMIFS(OUT!$F$2:$F$11000,OUT!$H$2:$H$11000,H1503,OUT!$D$2:$D$11000,"Out",OUT!$E$2:$E$11000,"Fix")</f>
        <v>0</v>
      </c>
      <c r="L1503" s="52">
        <f ca="1">SUMIFS(OUT!$F$2:$F$11000,OUT!$H$2:$H$11000,H1503,OUT!$D$2:$D$11000,"Out",OUT!$E$2:$E$11000,"Bathroom")</f>
        <v>0</v>
      </c>
      <c r="M1503" s="52">
        <f ca="1">SUMIFS(OUT!$F$2:$F$11000,OUT!$H$2:$H$11000,H1503,OUT!$D$2:$D$11000,"Out",OUT!$E$2:$E$11000,"Alfa")</f>
        <v>0</v>
      </c>
      <c r="N1503" s="52" t="e">
        <f>SUMIFS(OUT!$F$2:$F$11000,OUT!$H$2:$H$101007,H1503,OUT!$D$2:$D$11000,"Out",OUT!$E$2:$E$11000,"Jajan")</f>
        <v>#VALUE!</v>
      </c>
      <c r="O1503" s="52">
        <f ca="1">SUMIFS(OUT!$F$2:$F$11000,OUT!$H$2:$H$11000,H1503,OUT!$D$2:$D$11000,"Out",OUT!$E$2:$E$11000,"Kitchen")</f>
        <v>0</v>
      </c>
      <c r="P1503" s="52">
        <f ca="1">SUMIFS(OUT!$F$2:$F$11000,OUT!$H$2:$H$11000,H1503,OUT!$D$2:$D$11000,"Out",OUT!$E$2:$E$11000,"Loandry")</f>
        <v>0</v>
      </c>
      <c r="Q1503" s="52">
        <f ca="1">SUMIFS(OUT!$F$2:$F$11000,OUT!$H$2:$H$11000,H1503,OUT!$D$2:$D$11000,"Out",OUT!$E$2:$E$11000,"Mio")</f>
        <v>0</v>
      </c>
      <c r="R1503" s="52">
        <f ca="1">SUMIFS(OUT!$F$2:$F$11000,OUT!$H$2:$H$11000,H1503,OUT!$D$2:$D$11000,"Out",OUT!$E$2:$E$11000,"Sedekah")</f>
        <v>0</v>
      </c>
      <c r="S1503" s="52">
        <f ca="1">SUMIFS(OUT!$F$2:$F$11000,OUT!$H$2:$H$11000,H1503,OUT!$D$2:$D$11000,"Out",OUT!$E$2:$E$11000,"Zela")</f>
        <v>0</v>
      </c>
      <c r="T1503" s="52">
        <f ca="1">SUMIFS(OUT!$F$2:$F$11000,OUT!$H$2:$H$11000,H1503,OUT!$D$2:$D$11000,"Out",OUT!$E$2:$E$11000,"Iqbal")</f>
        <v>0</v>
      </c>
    </row>
    <row r="1504" spans="7:20" x14ac:dyDescent="0.2">
      <c r="G1504" s="50"/>
      <c r="H1504" s="51" t="str">
        <f t="shared" si="0"/>
        <v/>
      </c>
      <c r="I1504" s="52" t="e">
        <f>SUMIFS(OUT!$F$2:$F$11000,OUT!$H$2:$H$11000,H1504,OUT!$D$2:$D$101007,"In")</f>
        <v>#VALUE!</v>
      </c>
      <c r="J1504" s="52">
        <f ca="1">SUMIFS(OUT!$F$2:$F$11000,OUT!$H$2:$H$11000,H1504,OUT!$D$2:$D$11000,"Out")</f>
        <v>0</v>
      </c>
      <c r="K1504" s="52">
        <f ca="1">SUMIFS(OUT!$F$2:$F$11000,OUT!$H$2:$H$11000,H1504,OUT!$D$2:$D$11000,"Out",OUT!$E$2:$E$11000,"Fix")</f>
        <v>0</v>
      </c>
      <c r="L1504" s="52">
        <f ca="1">SUMIFS(OUT!$F$2:$F$11000,OUT!$H$2:$H$11000,H1504,OUT!$D$2:$D$11000,"Out",OUT!$E$2:$E$11000,"Bathroom")</f>
        <v>0</v>
      </c>
      <c r="M1504" s="52">
        <f ca="1">SUMIFS(OUT!$F$2:$F$11000,OUT!$H$2:$H$11000,H1504,OUT!$D$2:$D$11000,"Out",OUT!$E$2:$E$11000,"Alfa")</f>
        <v>0</v>
      </c>
      <c r="N1504" s="52" t="e">
        <f>SUMIFS(OUT!$F$2:$F$11000,OUT!$H$2:$H$101007,H1504,OUT!$D$2:$D$11000,"Out",OUT!$E$2:$E$11000,"Jajan")</f>
        <v>#VALUE!</v>
      </c>
      <c r="O1504" s="52">
        <f ca="1">SUMIFS(OUT!$F$2:$F$11000,OUT!$H$2:$H$11000,H1504,OUT!$D$2:$D$11000,"Out",OUT!$E$2:$E$11000,"Kitchen")</f>
        <v>0</v>
      </c>
      <c r="P1504" s="52">
        <f ca="1">SUMIFS(OUT!$F$2:$F$11000,OUT!$H$2:$H$11000,H1504,OUT!$D$2:$D$11000,"Out",OUT!$E$2:$E$11000,"Loandry")</f>
        <v>0</v>
      </c>
      <c r="Q1504" s="52">
        <f ca="1">SUMIFS(OUT!$F$2:$F$11000,OUT!$H$2:$H$11000,H1504,OUT!$D$2:$D$11000,"Out",OUT!$E$2:$E$11000,"Mio")</f>
        <v>0</v>
      </c>
      <c r="R1504" s="52">
        <f ca="1">SUMIFS(OUT!$F$2:$F$11000,OUT!$H$2:$H$11000,H1504,OUT!$D$2:$D$11000,"Out",OUT!$E$2:$E$11000,"Sedekah")</f>
        <v>0</v>
      </c>
      <c r="S1504" s="52">
        <f ca="1">SUMIFS(OUT!$F$2:$F$11000,OUT!$H$2:$H$11000,H1504,OUT!$D$2:$D$11000,"Out",OUT!$E$2:$E$11000,"Zela")</f>
        <v>0</v>
      </c>
      <c r="T1504" s="52">
        <f ca="1">SUMIFS(OUT!$F$2:$F$11000,OUT!$H$2:$H$11000,H1504,OUT!$D$2:$D$11000,"Out",OUT!$E$2:$E$11000,"Iqbal")</f>
        <v>0</v>
      </c>
    </row>
    <row r="1505" spans="7:20" x14ac:dyDescent="0.2">
      <c r="G1505" s="50"/>
      <c r="H1505" s="51" t="str">
        <f t="shared" si="0"/>
        <v/>
      </c>
      <c r="I1505" s="52" t="e">
        <f>SUMIFS(OUT!$F$2:$F$11000,OUT!$H$2:$H$11000,H1505,OUT!$D$2:$D$101007,"In")</f>
        <v>#VALUE!</v>
      </c>
      <c r="J1505" s="52">
        <f ca="1">SUMIFS(OUT!$F$2:$F$11000,OUT!$H$2:$H$11000,H1505,OUT!$D$2:$D$11000,"Out")</f>
        <v>0</v>
      </c>
      <c r="K1505" s="52">
        <f ca="1">SUMIFS(OUT!$F$2:$F$11000,OUT!$H$2:$H$11000,H1505,OUT!$D$2:$D$11000,"Out",OUT!$E$2:$E$11000,"Fix")</f>
        <v>0</v>
      </c>
      <c r="L1505" s="52">
        <f ca="1">SUMIFS(OUT!$F$2:$F$11000,OUT!$H$2:$H$11000,H1505,OUT!$D$2:$D$11000,"Out",OUT!$E$2:$E$11000,"Bathroom")</f>
        <v>0</v>
      </c>
      <c r="M1505" s="52">
        <f ca="1">SUMIFS(OUT!$F$2:$F$11000,OUT!$H$2:$H$11000,H1505,OUT!$D$2:$D$11000,"Out",OUT!$E$2:$E$11000,"Alfa")</f>
        <v>0</v>
      </c>
      <c r="N1505" s="52" t="e">
        <f>SUMIFS(OUT!$F$2:$F$11000,OUT!$H$2:$H$101007,H1505,OUT!$D$2:$D$11000,"Out",OUT!$E$2:$E$11000,"Jajan")</f>
        <v>#VALUE!</v>
      </c>
      <c r="O1505" s="52">
        <f ca="1">SUMIFS(OUT!$F$2:$F$11000,OUT!$H$2:$H$11000,H1505,OUT!$D$2:$D$11000,"Out",OUT!$E$2:$E$11000,"Kitchen")</f>
        <v>0</v>
      </c>
      <c r="P1505" s="52">
        <f ca="1">SUMIFS(OUT!$F$2:$F$11000,OUT!$H$2:$H$11000,H1505,OUT!$D$2:$D$11000,"Out",OUT!$E$2:$E$11000,"Loandry")</f>
        <v>0</v>
      </c>
      <c r="Q1505" s="52">
        <f ca="1">SUMIFS(OUT!$F$2:$F$11000,OUT!$H$2:$H$11000,H1505,OUT!$D$2:$D$11000,"Out",OUT!$E$2:$E$11000,"Mio")</f>
        <v>0</v>
      </c>
      <c r="R1505" s="52">
        <f ca="1">SUMIFS(OUT!$F$2:$F$11000,OUT!$H$2:$H$11000,H1505,OUT!$D$2:$D$11000,"Out",OUT!$E$2:$E$11000,"Sedekah")</f>
        <v>0</v>
      </c>
      <c r="S1505" s="52">
        <f ca="1">SUMIFS(OUT!$F$2:$F$11000,OUT!$H$2:$H$11000,H1505,OUT!$D$2:$D$11000,"Out",OUT!$E$2:$E$11000,"Zela")</f>
        <v>0</v>
      </c>
      <c r="T1505" s="52">
        <f ca="1">SUMIFS(OUT!$F$2:$F$11000,OUT!$H$2:$H$11000,H1505,OUT!$D$2:$D$11000,"Out",OUT!$E$2:$E$11000,"Iqbal")</f>
        <v>0</v>
      </c>
    </row>
    <row r="1506" spans="7:20" x14ac:dyDescent="0.2">
      <c r="G1506" s="50"/>
      <c r="H1506" s="51" t="str">
        <f t="shared" si="0"/>
        <v/>
      </c>
      <c r="I1506" s="52" t="e">
        <f>SUMIFS(OUT!$F$2:$F$11000,OUT!$H$2:$H$11000,H1506,OUT!$D$2:$D$101007,"In")</f>
        <v>#VALUE!</v>
      </c>
      <c r="J1506" s="52">
        <f ca="1">SUMIFS(OUT!$F$2:$F$11000,OUT!$H$2:$H$11000,H1506,OUT!$D$2:$D$11000,"Out")</f>
        <v>0</v>
      </c>
      <c r="K1506" s="52">
        <f ca="1">SUMIFS(OUT!$F$2:$F$11000,OUT!$H$2:$H$11000,H1506,OUT!$D$2:$D$11000,"Out",OUT!$E$2:$E$11000,"Fix")</f>
        <v>0</v>
      </c>
      <c r="L1506" s="52">
        <f ca="1">SUMIFS(OUT!$F$2:$F$11000,OUT!$H$2:$H$11000,H1506,OUT!$D$2:$D$11000,"Out",OUT!$E$2:$E$11000,"Bathroom")</f>
        <v>0</v>
      </c>
      <c r="M1506" s="52">
        <f ca="1">SUMIFS(OUT!$F$2:$F$11000,OUT!$H$2:$H$11000,H1506,OUT!$D$2:$D$11000,"Out",OUT!$E$2:$E$11000,"Alfa")</f>
        <v>0</v>
      </c>
      <c r="N1506" s="52" t="e">
        <f>SUMIFS(OUT!$F$2:$F$11000,OUT!$H$2:$H$101007,H1506,OUT!$D$2:$D$11000,"Out",OUT!$E$2:$E$11000,"Jajan")</f>
        <v>#VALUE!</v>
      </c>
      <c r="O1506" s="52">
        <f ca="1">SUMIFS(OUT!$F$2:$F$11000,OUT!$H$2:$H$11000,H1506,OUT!$D$2:$D$11000,"Out",OUT!$E$2:$E$11000,"Kitchen")</f>
        <v>0</v>
      </c>
      <c r="P1506" s="52">
        <f ca="1">SUMIFS(OUT!$F$2:$F$11000,OUT!$H$2:$H$11000,H1506,OUT!$D$2:$D$11000,"Out",OUT!$E$2:$E$11000,"Loandry")</f>
        <v>0</v>
      </c>
      <c r="Q1506" s="52">
        <f ca="1">SUMIFS(OUT!$F$2:$F$11000,OUT!$H$2:$H$11000,H1506,OUT!$D$2:$D$11000,"Out",OUT!$E$2:$E$11000,"Mio")</f>
        <v>0</v>
      </c>
      <c r="R1506" s="52">
        <f ca="1">SUMIFS(OUT!$F$2:$F$11000,OUT!$H$2:$H$11000,H1506,OUT!$D$2:$D$11000,"Out",OUT!$E$2:$E$11000,"Sedekah")</f>
        <v>0</v>
      </c>
      <c r="S1506" s="52">
        <f ca="1">SUMIFS(OUT!$F$2:$F$11000,OUT!$H$2:$H$11000,H1506,OUT!$D$2:$D$11000,"Out",OUT!$E$2:$E$11000,"Zela")</f>
        <v>0</v>
      </c>
      <c r="T1506" s="52">
        <f ca="1">SUMIFS(OUT!$F$2:$F$11000,OUT!$H$2:$H$11000,H1506,OUT!$D$2:$D$11000,"Out",OUT!$E$2:$E$11000,"Iqbal")</f>
        <v>0</v>
      </c>
    </row>
    <row r="1507" spans="7:20" x14ac:dyDescent="0.2">
      <c r="G1507" s="50"/>
      <c r="H1507" s="51" t="str">
        <f t="shared" si="0"/>
        <v/>
      </c>
      <c r="I1507" s="52" t="e">
        <f>SUMIFS(OUT!$F$2:$F$11000,OUT!$H$2:$H$11000,H1507,OUT!$D$2:$D$101007,"In")</f>
        <v>#VALUE!</v>
      </c>
      <c r="J1507" s="52">
        <f ca="1">SUMIFS(OUT!$F$2:$F$11000,OUT!$H$2:$H$11000,H1507,OUT!$D$2:$D$11000,"Out")</f>
        <v>0</v>
      </c>
      <c r="K1507" s="52">
        <f ca="1">SUMIFS(OUT!$F$2:$F$11000,OUT!$H$2:$H$11000,H1507,OUT!$D$2:$D$11000,"Out",OUT!$E$2:$E$11000,"Fix")</f>
        <v>0</v>
      </c>
      <c r="L1507" s="52">
        <f ca="1">SUMIFS(OUT!$F$2:$F$11000,OUT!$H$2:$H$11000,H1507,OUT!$D$2:$D$11000,"Out",OUT!$E$2:$E$11000,"Bathroom")</f>
        <v>0</v>
      </c>
      <c r="M1507" s="52">
        <f ca="1">SUMIFS(OUT!$F$2:$F$11000,OUT!$H$2:$H$11000,H1507,OUT!$D$2:$D$11000,"Out",OUT!$E$2:$E$11000,"Alfa")</f>
        <v>0</v>
      </c>
      <c r="N1507" s="52" t="e">
        <f>SUMIFS(OUT!$F$2:$F$11000,OUT!$H$2:$H$101007,H1507,OUT!$D$2:$D$11000,"Out",OUT!$E$2:$E$11000,"Jajan")</f>
        <v>#VALUE!</v>
      </c>
      <c r="O1507" s="52">
        <f ca="1">SUMIFS(OUT!$F$2:$F$11000,OUT!$H$2:$H$11000,H1507,OUT!$D$2:$D$11000,"Out",OUT!$E$2:$E$11000,"Kitchen")</f>
        <v>0</v>
      </c>
      <c r="P1507" s="52">
        <f ca="1">SUMIFS(OUT!$F$2:$F$11000,OUT!$H$2:$H$11000,H1507,OUT!$D$2:$D$11000,"Out",OUT!$E$2:$E$11000,"Loandry")</f>
        <v>0</v>
      </c>
      <c r="Q1507" s="52">
        <f ca="1">SUMIFS(OUT!$F$2:$F$11000,OUT!$H$2:$H$11000,H1507,OUT!$D$2:$D$11000,"Out",OUT!$E$2:$E$11000,"Mio")</f>
        <v>0</v>
      </c>
      <c r="R1507" s="52">
        <f ca="1">SUMIFS(OUT!$F$2:$F$11000,OUT!$H$2:$H$11000,H1507,OUT!$D$2:$D$11000,"Out",OUT!$E$2:$E$11000,"Sedekah")</f>
        <v>0</v>
      </c>
      <c r="S1507" s="52">
        <f ca="1">SUMIFS(OUT!$F$2:$F$11000,OUT!$H$2:$H$11000,H1507,OUT!$D$2:$D$11000,"Out",OUT!$E$2:$E$11000,"Zela")</f>
        <v>0</v>
      </c>
      <c r="T1507" s="52">
        <f ca="1">SUMIFS(OUT!$F$2:$F$11000,OUT!$H$2:$H$11000,H1507,OUT!$D$2:$D$11000,"Out",OUT!$E$2:$E$11000,"Iqbal")</f>
        <v>0</v>
      </c>
    </row>
    <row r="1508" spans="7:20" x14ac:dyDescent="0.2">
      <c r="G1508" s="50"/>
      <c r="H1508" s="51" t="str">
        <f t="shared" si="0"/>
        <v/>
      </c>
      <c r="I1508" s="52" t="e">
        <f>SUMIFS(OUT!$F$2:$F$11000,OUT!$H$2:$H$11000,H1508,OUT!$D$2:$D$101007,"In")</f>
        <v>#VALUE!</v>
      </c>
      <c r="J1508" s="52">
        <f ca="1">SUMIFS(OUT!$F$2:$F$11000,OUT!$H$2:$H$11000,H1508,OUT!$D$2:$D$11000,"Out")</f>
        <v>0</v>
      </c>
      <c r="K1508" s="52">
        <f ca="1">SUMIFS(OUT!$F$2:$F$11000,OUT!$H$2:$H$11000,H1508,OUT!$D$2:$D$11000,"Out",OUT!$E$2:$E$11000,"Fix")</f>
        <v>0</v>
      </c>
      <c r="L1508" s="52">
        <f ca="1">SUMIFS(OUT!$F$2:$F$11000,OUT!$H$2:$H$11000,H1508,OUT!$D$2:$D$11000,"Out",OUT!$E$2:$E$11000,"Bathroom")</f>
        <v>0</v>
      </c>
      <c r="M1508" s="52">
        <f ca="1">SUMIFS(OUT!$F$2:$F$11000,OUT!$H$2:$H$11000,H1508,OUT!$D$2:$D$11000,"Out",OUT!$E$2:$E$11000,"Alfa")</f>
        <v>0</v>
      </c>
      <c r="N1508" s="52" t="e">
        <f>SUMIFS(OUT!$F$2:$F$11000,OUT!$H$2:$H$101007,H1508,OUT!$D$2:$D$11000,"Out",OUT!$E$2:$E$11000,"Jajan")</f>
        <v>#VALUE!</v>
      </c>
      <c r="O1508" s="52">
        <f ca="1">SUMIFS(OUT!$F$2:$F$11000,OUT!$H$2:$H$11000,H1508,OUT!$D$2:$D$11000,"Out",OUT!$E$2:$E$11000,"Kitchen")</f>
        <v>0</v>
      </c>
      <c r="P1508" s="52">
        <f ca="1">SUMIFS(OUT!$F$2:$F$11000,OUT!$H$2:$H$11000,H1508,OUT!$D$2:$D$11000,"Out",OUT!$E$2:$E$11000,"Loandry")</f>
        <v>0</v>
      </c>
      <c r="Q1508" s="52">
        <f ca="1">SUMIFS(OUT!$F$2:$F$11000,OUT!$H$2:$H$11000,H1508,OUT!$D$2:$D$11000,"Out",OUT!$E$2:$E$11000,"Mio")</f>
        <v>0</v>
      </c>
      <c r="R1508" s="52">
        <f ca="1">SUMIFS(OUT!$F$2:$F$11000,OUT!$H$2:$H$11000,H1508,OUT!$D$2:$D$11000,"Out",OUT!$E$2:$E$11000,"Sedekah")</f>
        <v>0</v>
      </c>
      <c r="S1508" s="52">
        <f ca="1">SUMIFS(OUT!$F$2:$F$11000,OUT!$H$2:$H$11000,H1508,OUT!$D$2:$D$11000,"Out",OUT!$E$2:$E$11000,"Zela")</f>
        <v>0</v>
      </c>
      <c r="T1508" s="52">
        <f ca="1">SUMIFS(OUT!$F$2:$F$11000,OUT!$H$2:$H$11000,H1508,OUT!$D$2:$D$11000,"Out",OUT!$E$2:$E$11000,"Iqbal")</f>
        <v>0</v>
      </c>
    </row>
    <row r="1509" spans="7:20" x14ac:dyDescent="0.2">
      <c r="G1509" s="50"/>
      <c r="H1509" s="51" t="str">
        <f t="shared" si="0"/>
        <v/>
      </c>
      <c r="I1509" s="52" t="e">
        <f>SUMIFS(OUT!$F$2:$F$11000,OUT!$H$2:$H$11000,H1509,OUT!$D$2:$D$101007,"In")</f>
        <v>#VALUE!</v>
      </c>
      <c r="J1509" s="52">
        <f ca="1">SUMIFS(OUT!$F$2:$F$11000,OUT!$H$2:$H$11000,H1509,OUT!$D$2:$D$11000,"Out")</f>
        <v>0</v>
      </c>
      <c r="K1509" s="52">
        <f ca="1">SUMIFS(OUT!$F$2:$F$11000,OUT!$H$2:$H$11000,H1509,OUT!$D$2:$D$11000,"Out",OUT!$E$2:$E$11000,"Fix")</f>
        <v>0</v>
      </c>
      <c r="L1509" s="52">
        <f ca="1">SUMIFS(OUT!$F$2:$F$11000,OUT!$H$2:$H$11000,H1509,OUT!$D$2:$D$11000,"Out",OUT!$E$2:$E$11000,"Bathroom")</f>
        <v>0</v>
      </c>
      <c r="M1509" s="52">
        <f ca="1">SUMIFS(OUT!$F$2:$F$11000,OUT!$H$2:$H$11000,H1509,OUT!$D$2:$D$11000,"Out",OUT!$E$2:$E$11000,"Alfa")</f>
        <v>0</v>
      </c>
      <c r="N1509" s="52" t="e">
        <f>SUMIFS(OUT!$F$2:$F$11000,OUT!$H$2:$H$101007,H1509,OUT!$D$2:$D$11000,"Out",OUT!$E$2:$E$11000,"Jajan")</f>
        <v>#VALUE!</v>
      </c>
      <c r="O1509" s="52">
        <f ca="1">SUMIFS(OUT!$F$2:$F$11000,OUT!$H$2:$H$11000,H1509,OUT!$D$2:$D$11000,"Out",OUT!$E$2:$E$11000,"Kitchen")</f>
        <v>0</v>
      </c>
      <c r="P1509" s="52">
        <f ca="1">SUMIFS(OUT!$F$2:$F$11000,OUT!$H$2:$H$11000,H1509,OUT!$D$2:$D$11000,"Out",OUT!$E$2:$E$11000,"Loandry")</f>
        <v>0</v>
      </c>
      <c r="Q1509" s="52">
        <f ca="1">SUMIFS(OUT!$F$2:$F$11000,OUT!$H$2:$H$11000,H1509,OUT!$D$2:$D$11000,"Out",OUT!$E$2:$E$11000,"Mio")</f>
        <v>0</v>
      </c>
      <c r="R1509" s="52">
        <f ca="1">SUMIFS(OUT!$F$2:$F$11000,OUT!$H$2:$H$11000,H1509,OUT!$D$2:$D$11000,"Out",OUT!$E$2:$E$11000,"Sedekah")</f>
        <v>0</v>
      </c>
      <c r="S1509" s="52">
        <f ca="1">SUMIFS(OUT!$F$2:$F$11000,OUT!$H$2:$H$11000,H1509,OUT!$D$2:$D$11000,"Out",OUT!$E$2:$E$11000,"Zela")</f>
        <v>0</v>
      </c>
      <c r="T1509" s="52">
        <f ca="1">SUMIFS(OUT!$F$2:$F$11000,OUT!$H$2:$H$11000,H1509,OUT!$D$2:$D$11000,"Out",OUT!$E$2:$E$11000,"Iqbal")</f>
        <v>0</v>
      </c>
    </row>
    <row r="1510" spans="7:20" x14ac:dyDescent="0.2">
      <c r="G1510" s="50"/>
      <c r="H1510" s="51" t="str">
        <f t="shared" si="0"/>
        <v/>
      </c>
      <c r="I1510" s="52" t="e">
        <f>SUMIFS(OUT!$F$2:$F$11000,OUT!$H$2:$H$11000,H1510,OUT!$D$2:$D$101007,"In")</f>
        <v>#VALUE!</v>
      </c>
      <c r="J1510" s="52">
        <f ca="1">SUMIFS(OUT!$F$2:$F$11000,OUT!$H$2:$H$11000,H1510,OUT!$D$2:$D$11000,"Out")</f>
        <v>0</v>
      </c>
      <c r="K1510" s="52">
        <f ca="1">SUMIFS(OUT!$F$2:$F$11000,OUT!$H$2:$H$11000,H1510,OUT!$D$2:$D$11000,"Out",OUT!$E$2:$E$11000,"Fix")</f>
        <v>0</v>
      </c>
      <c r="L1510" s="52">
        <f ca="1">SUMIFS(OUT!$F$2:$F$11000,OUT!$H$2:$H$11000,H1510,OUT!$D$2:$D$11000,"Out",OUT!$E$2:$E$11000,"Bathroom")</f>
        <v>0</v>
      </c>
      <c r="M1510" s="52">
        <f ca="1">SUMIFS(OUT!$F$2:$F$11000,OUT!$H$2:$H$11000,H1510,OUT!$D$2:$D$11000,"Out",OUT!$E$2:$E$11000,"Alfa")</f>
        <v>0</v>
      </c>
      <c r="N1510" s="52" t="e">
        <f>SUMIFS(OUT!$F$2:$F$11000,OUT!$H$2:$H$101007,H1510,OUT!$D$2:$D$11000,"Out",OUT!$E$2:$E$11000,"Jajan")</f>
        <v>#VALUE!</v>
      </c>
      <c r="O1510" s="52">
        <f ca="1">SUMIFS(OUT!$F$2:$F$11000,OUT!$H$2:$H$11000,H1510,OUT!$D$2:$D$11000,"Out",OUT!$E$2:$E$11000,"Kitchen")</f>
        <v>0</v>
      </c>
      <c r="P1510" s="52">
        <f ca="1">SUMIFS(OUT!$F$2:$F$11000,OUT!$H$2:$H$11000,H1510,OUT!$D$2:$D$11000,"Out",OUT!$E$2:$E$11000,"Loandry")</f>
        <v>0</v>
      </c>
      <c r="Q1510" s="52">
        <f ca="1">SUMIFS(OUT!$F$2:$F$11000,OUT!$H$2:$H$11000,H1510,OUT!$D$2:$D$11000,"Out",OUT!$E$2:$E$11000,"Mio")</f>
        <v>0</v>
      </c>
      <c r="R1510" s="52">
        <f ca="1">SUMIFS(OUT!$F$2:$F$11000,OUT!$H$2:$H$11000,H1510,OUT!$D$2:$D$11000,"Out",OUT!$E$2:$E$11000,"Sedekah")</f>
        <v>0</v>
      </c>
      <c r="S1510" s="52">
        <f ca="1">SUMIFS(OUT!$F$2:$F$11000,OUT!$H$2:$H$11000,H1510,OUT!$D$2:$D$11000,"Out",OUT!$E$2:$E$11000,"Zela")</f>
        <v>0</v>
      </c>
      <c r="T1510" s="52">
        <f ca="1">SUMIFS(OUT!$F$2:$F$11000,OUT!$H$2:$H$11000,H1510,OUT!$D$2:$D$11000,"Out",OUT!$E$2:$E$11000,"Iqbal")</f>
        <v>0</v>
      </c>
    </row>
    <row r="1511" spans="7:20" x14ac:dyDescent="0.2">
      <c r="G1511" s="50"/>
      <c r="H1511" s="51" t="str">
        <f t="shared" si="0"/>
        <v/>
      </c>
      <c r="I1511" s="52" t="e">
        <f>SUMIFS(OUT!$F$2:$F$11000,OUT!$H$2:$H$11000,H1511,OUT!$D$2:$D$101007,"In")</f>
        <v>#VALUE!</v>
      </c>
      <c r="J1511" s="52">
        <f ca="1">SUMIFS(OUT!$F$2:$F$11000,OUT!$H$2:$H$11000,H1511,OUT!$D$2:$D$11000,"Out")</f>
        <v>0</v>
      </c>
      <c r="K1511" s="52">
        <f ca="1">SUMIFS(OUT!$F$2:$F$11000,OUT!$H$2:$H$11000,H1511,OUT!$D$2:$D$11000,"Out",OUT!$E$2:$E$11000,"Fix")</f>
        <v>0</v>
      </c>
      <c r="L1511" s="52">
        <f ca="1">SUMIFS(OUT!$F$2:$F$11000,OUT!$H$2:$H$11000,H1511,OUT!$D$2:$D$11000,"Out",OUT!$E$2:$E$11000,"Bathroom")</f>
        <v>0</v>
      </c>
      <c r="M1511" s="52">
        <f ca="1">SUMIFS(OUT!$F$2:$F$11000,OUT!$H$2:$H$11000,H1511,OUT!$D$2:$D$11000,"Out",OUT!$E$2:$E$11000,"Alfa")</f>
        <v>0</v>
      </c>
      <c r="N1511" s="52" t="e">
        <f>SUMIFS(OUT!$F$2:$F$11000,OUT!$H$2:$H$101007,H1511,OUT!$D$2:$D$11000,"Out",OUT!$E$2:$E$11000,"Jajan")</f>
        <v>#VALUE!</v>
      </c>
      <c r="O1511" s="52">
        <f ca="1">SUMIFS(OUT!$F$2:$F$11000,OUT!$H$2:$H$11000,H1511,OUT!$D$2:$D$11000,"Out",OUT!$E$2:$E$11000,"Kitchen")</f>
        <v>0</v>
      </c>
      <c r="P1511" s="52">
        <f ca="1">SUMIFS(OUT!$F$2:$F$11000,OUT!$H$2:$H$11000,H1511,OUT!$D$2:$D$11000,"Out",OUT!$E$2:$E$11000,"Loandry")</f>
        <v>0</v>
      </c>
      <c r="Q1511" s="52">
        <f ca="1">SUMIFS(OUT!$F$2:$F$11000,OUT!$H$2:$H$11000,H1511,OUT!$D$2:$D$11000,"Out",OUT!$E$2:$E$11000,"Mio")</f>
        <v>0</v>
      </c>
      <c r="R1511" s="52">
        <f ca="1">SUMIFS(OUT!$F$2:$F$11000,OUT!$H$2:$H$11000,H1511,OUT!$D$2:$D$11000,"Out",OUT!$E$2:$E$11000,"Sedekah")</f>
        <v>0</v>
      </c>
      <c r="S1511" s="52">
        <f ca="1">SUMIFS(OUT!$F$2:$F$11000,OUT!$H$2:$H$11000,H1511,OUT!$D$2:$D$11000,"Out",OUT!$E$2:$E$11000,"Zela")</f>
        <v>0</v>
      </c>
      <c r="T1511" s="52">
        <f ca="1">SUMIFS(OUT!$F$2:$F$11000,OUT!$H$2:$H$11000,H1511,OUT!$D$2:$D$11000,"Out",OUT!$E$2:$E$11000,"Iqbal")</f>
        <v>0</v>
      </c>
    </row>
    <row r="1512" spans="7:20" x14ac:dyDescent="0.2">
      <c r="G1512" s="50"/>
      <c r="H1512" s="51" t="str">
        <f t="shared" si="0"/>
        <v/>
      </c>
      <c r="I1512" s="52" t="e">
        <f>SUMIFS(OUT!$F$2:$F$11000,OUT!$H$2:$H$11000,H1512,OUT!$D$2:$D$101007,"In")</f>
        <v>#VALUE!</v>
      </c>
      <c r="J1512" s="52">
        <f ca="1">SUMIFS(OUT!$F$2:$F$11000,OUT!$H$2:$H$11000,H1512,OUT!$D$2:$D$11000,"Out")</f>
        <v>0</v>
      </c>
      <c r="K1512" s="52">
        <f ca="1">SUMIFS(OUT!$F$2:$F$11000,OUT!$H$2:$H$11000,H1512,OUT!$D$2:$D$11000,"Out",OUT!$E$2:$E$11000,"Fix")</f>
        <v>0</v>
      </c>
      <c r="L1512" s="52">
        <f ca="1">SUMIFS(OUT!$F$2:$F$11000,OUT!$H$2:$H$11000,H1512,OUT!$D$2:$D$11000,"Out",OUT!$E$2:$E$11000,"Bathroom")</f>
        <v>0</v>
      </c>
      <c r="M1512" s="52">
        <f ca="1">SUMIFS(OUT!$F$2:$F$11000,OUT!$H$2:$H$11000,H1512,OUT!$D$2:$D$11000,"Out",OUT!$E$2:$E$11000,"Alfa")</f>
        <v>0</v>
      </c>
      <c r="N1512" s="52" t="e">
        <f>SUMIFS(OUT!$F$2:$F$11000,OUT!$H$2:$H$101007,H1512,OUT!$D$2:$D$11000,"Out",OUT!$E$2:$E$11000,"Jajan")</f>
        <v>#VALUE!</v>
      </c>
      <c r="O1512" s="52">
        <f ca="1">SUMIFS(OUT!$F$2:$F$11000,OUT!$H$2:$H$11000,H1512,OUT!$D$2:$D$11000,"Out",OUT!$E$2:$E$11000,"Kitchen")</f>
        <v>0</v>
      </c>
      <c r="P1512" s="52">
        <f ca="1">SUMIFS(OUT!$F$2:$F$11000,OUT!$H$2:$H$11000,H1512,OUT!$D$2:$D$11000,"Out",OUT!$E$2:$E$11000,"Loandry")</f>
        <v>0</v>
      </c>
      <c r="Q1512" s="52">
        <f ca="1">SUMIFS(OUT!$F$2:$F$11000,OUT!$H$2:$H$11000,H1512,OUT!$D$2:$D$11000,"Out",OUT!$E$2:$E$11000,"Mio")</f>
        <v>0</v>
      </c>
      <c r="R1512" s="52">
        <f ca="1">SUMIFS(OUT!$F$2:$F$11000,OUT!$H$2:$H$11000,H1512,OUT!$D$2:$D$11000,"Out",OUT!$E$2:$E$11000,"Sedekah")</f>
        <v>0</v>
      </c>
      <c r="S1512" s="52">
        <f ca="1">SUMIFS(OUT!$F$2:$F$11000,OUT!$H$2:$H$11000,H1512,OUT!$D$2:$D$11000,"Out",OUT!$E$2:$E$11000,"Zela")</f>
        <v>0</v>
      </c>
      <c r="T1512" s="52">
        <f ca="1">SUMIFS(OUT!$F$2:$F$11000,OUT!$H$2:$H$11000,H1512,OUT!$D$2:$D$11000,"Out",OUT!$E$2:$E$11000,"Iqbal")</f>
        <v>0</v>
      </c>
    </row>
    <row r="1513" spans="7:20" x14ac:dyDescent="0.2">
      <c r="G1513" s="50"/>
      <c r="H1513" s="51" t="str">
        <f t="shared" si="0"/>
        <v/>
      </c>
      <c r="I1513" s="52" t="e">
        <f>SUMIFS(OUT!$F$2:$F$11000,OUT!$H$2:$H$11000,H1513,OUT!$D$2:$D$101007,"In")</f>
        <v>#VALUE!</v>
      </c>
      <c r="J1513" s="52">
        <f ca="1">SUMIFS(OUT!$F$2:$F$11000,OUT!$H$2:$H$11000,H1513,OUT!$D$2:$D$11000,"Out")</f>
        <v>0</v>
      </c>
      <c r="K1513" s="52">
        <f ca="1">SUMIFS(OUT!$F$2:$F$11000,OUT!$H$2:$H$11000,H1513,OUT!$D$2:$D$11000,"Out",OUT!$E$2:$E$11000,"Fix")</f>
        <v>0</v>
      </c>
      <c r="L1513" s="52">
        <f ca="1">SUMIFS(OUT!$F$2:$F$11000,OUT!$H$2:$H$11000,H1513,OUT!$D$2:$D$11000,"Out",OUT!$E$2:$E$11000,"Bathroom")</f>
        <v>0</v>
      </c>
      <c r="M1513" s="52">
        <f ca="1">SUMIFS(OUT!$F$2:$F$11000,OUT!$H$2:$H$11000,H1513,OUT!$D$2:$D$11000,"Out",OUT!$E$2:$E$11000,"Alfa")</f>
        <v>0</v>
      </c>
      <c r="N1513" s="52" t="e">
        <f>SUMIFS(OUT!$F$2:$F$11000,OUT!$H$2:$H$101007,H1513,OUT!$D$2:$D$11000,"Out",OUT!$E$2:$E$11000,"Jajan")</f>
        <v>#VALUE!</v>
      </c>
      <c r="O1513" s="52">
        <f ca="1">SUMIFS(OUT!$F$2:$F$11000,OUT!$H$2:$H$11000,H1513,OUT!$D$2:$D$11000,"Out",OUT!$E$2:$E$11000,"Kitchen")</f>
        <v>0</v>
      </c>
      <c r="P1513" s="52">
        <f ca="1">SUMIFS(OUT!$F$2:$F$11000,OUT!$H$2:$H$11000,H1513,OUT!$D$2:$D$11000,"Out",OUT!$E$2:$E$11000,"Loandry")</f>
        <v>0</v>
      </c>
      <c r="Q1513" s="52">
        <f ca="1">SUMIFS(OUT!$F$2:$F$11000,OUT!$H$2:$H$11000,H1513,OUT!$D$2:$D$11000,"Out",OUT!$E$2:$E$11000,"Mio")</f>
        <v>0</v>
      </c>
      <c r="R1513" s="52">
        <f ca="1">SUMIFS(OUT!$F$2:$F$11000,OUT!$H$2:$H$11000,H1513,OUT!$D$2:$D$11000,"Out",OUT!$E$2:$E$11000,"Sedekah")</f>
        <v>0</v>
      </c>
      <c r="S1513" s="52">
        <f ca="1">SUMIFS(OUT!$F$2:$F$11000,OUT!$H$2:$H$11000,H1513,OUT!$D$2:$D$11000,"Out",OUT!$E$2:$E$11000,"Zela")</f>
        <v>0</v>
      </c>
      <c r="T1513" s="52">
        <f ca="1">SUMIFS(OUT!$F$2:$F$11000,OUT!$H$2:$H$11000,H1513,OUT!$D$2:$D$11000,"Out",OUT!$E$2:$E$11000,"Iqbal")</f>
        <v>0</v>
      </c>
    </row>
    <row r="1514" spans="7:20" x14ac:dyDescent="0.2">
      <c r="G1514" s="50"/>
      <c r="H1514" s="51" t="str">
        <f t="shared" si="0"/>
        <v/>
      </c>
      <c r="I1514" s="52" t="e">
        <f>SUMIFS(OUT!$F$2:$F$11000,OUT!$H$2:$H$11000,H1514,OUT!$D$2:$D$101007,"In")</f>
        <v>#VALUE!</v>
      </c>
      <c r="J1514" s="52">
        <f ca="1">SUMIFS(OUT!$F$2:$F$11000,OUT!$H$2:$H$11000,H1514,OUT!$D$2:$D$11000,"Out")</f>
        <v>0</v>
      </c>
      <c r="K1514" s="52">
        <f ca="1">SUMIFS(OUT!$F$2:$F$11000,OUT!$H$2:$H$11000,H1514,OUT!$D$2:$D$11000,"Out",OUT!$E$2:$E$11000,"Fix")</f>
        <v>0</v>
      </c>
      <c r="L1514" s="52">
        <f ca="1">SUMIFS(OUT!$F$2:$F$11000,OUT!$H$2:$H$11000,H1514,OUT!$D$2:$D$11000,"Out",OUT!$E$2:$E$11000,"Bathroom")</f>
        <v>0</v>
      </c>
      <c r="M1514" s="52">
        <f ca="1">SUMIFS(OUT!$F$2:$F$11000,OUT!$H$2:$H$11000,H1514,OUT!$D$2:$D$11000,"Out",OUT!$E$2:$E$11000,"Alfa")</f>
        <v>0</v>
      </c>
      <c r="N1514" s="52" t="e">
        <f>SUMIFS(OUT!$F$2:$F$11000,OUT!$H$2:$H$101007,H1514,OUT!$D$2:$D$11000,"Out",OUT!$E$2:$E$11000,"Jajan")</f>
        <v>#VALUE!</v>
      </c>
      <c r="O1514" s="52">
        <f ca="1">SUMIFS(OUT!$F$2:$F$11000,OUT!$H$2:$H$11000,H1514,OUT!$D$2:$D$11000,"Out",OUT!$E$2:$E$11000,"Kitchen")</f>
        <v>0</v>
      </c>
      <c r="P1514" s="52">
        <f ca="1">SUMIFS(OUT!$F$2:$F$11000,OUT!$H$2:$H$11000,H1514,OUT!$D$2:$D$11000,"Out",OUT!$E$2:$E$11000,"Loandry")</f>
        <v>0</v>
      </c>
      <c r="Q1514" s="52">
        <f ca="1">SUMIFS(OUT!$F$2:$F$11000,OUT!$H$2:$H$11000,H1514,OUT!$D$2:$D$11000,"Out",OUT!$E$2:$E$11000,"Mio")</f>
        <v>0</v>
      </c>
      <c r="R1514" s="52">
        <f ca="1">SUMIFS(OUT!$F$2:$F$11000,OUT!$H$2:$H$11000,H1514,OUT!$D$2:$D$11000,"Out",OUT!$E$2:$E$11000,"Sedekah")</f>
        <v>0</v>
      </c>
      <c r="S1514" s="52">
        <f ca="1">SUMIFS(OUT!$F$2:$F$11000,OUT!$H$2:$H$11000,H1514,OUT!$D$2:$D$11000,"Out",OUT!$E$2:$E$11000,"Zela")</f>
        <v>0</v>
      </c>
      <c r="T1514" s="52">
        <f ca="1">SUMIFS(OUT!$F$2:$F$11000,OUT!$H$2:$H$11000,H1514,OUT!$D$2:$D$11000,"Out",OUT!$E$2:$E$11000,"Iqbal")</f>
        <v>0</v>
      </c>
    </row>
    <row r="1515" spans="7:20" x14ac:dyDescent="0.2">
      <c r="G1515" s="50"/>
      <c r="H1515" s="51" t="str">
        <f t="shared" si="0"/>
        <v/>
      </c>
      <c r="I1515" s="52" t="e">
        <f>SUMIFS(OUT!$F$2:$F$11000,OUT!$H$2:$H$11000,H1515,OUT!$D$2:$D$101007,"In")</f>
        <v>#VALUE!</v>
      </c>
      <c r="J1515" s="52">
        <f ca="1">SUMIFS(OUT!$F$2:$F$11000,OUT!$H$2:$H$11000,H1515,OUT!$D$2:$D$11000,"Out")</f>
        <v>0</v>
      </c>
      <c r="K1515" s="52">
        <f ca="1">SUMIFS(OUT!$F$2:$F$11000,OUT!$H$2:$H$11000,H1515,OUT!$D$2:$D$11000,"Out",OUT!$E$2:$E$11000,"Fix")</f>
        <v>0</v>
      </c>
      <c r="L1515" s="52">
        <f ca="1">SUMIFS(OUT!$F$2:$F$11000,OUT!$H$2:$H$11000,H1515,OUT!$D$2:$D$11000,"Out",OUT!$E$2:$E$11000,"Bathroom")</f>
        <v>0</v>
      </c>
      <c r="M1515" s="52">
        <f ca="1">SUMIFS(OUT!$F$2:$F$11000,OUT!$H$2:$H$11000,H1515,OUT!$D$2:$D$11000,"Out",OUT!$E$2:$E$11000,"Alfa")</f>
        <v>0</v>
      </c>
      <c r="N1515" s="52" t="e">
        <f>SUMIFS(OUT!$F$2:$F$11000,OUT!$H$2:$H$101007,H1515,OUT!$D$2:$D$11000,"Out",OUT!$E$2:$E$11000,"Jajan")</f>
        <v>#VALUE!</v>
      </c>
      <c r="O1515" s="52">
        <f ca="1">SUMIFS(OUT!$F$2:$F$11000,OUT!$H$2:$H$11000,H1515,OUT!$D$2:$D$11000,"Out",OUT!$E$2:$E$11000,"Kitchen")</f>
        <v>0</v>
      </c>
      <c r="P1515" s="52">
        <f ca="1">SUMIFS(OUT!$F$2:$F$11000,OUT!$H$2:$H$11000,H1515,OUT!$D$2:$D$11000,"Out",OUT!$E$2:$E$11000,"Loandry")</f>
        <v>0</v>
      </c>
      <c r="Q1515" s="52">
        <f ca="1">SUMIFS(OUT!$F$2:$F$11000,OUT!$H$2:$H$11000,H1515,OUT!$D$2:$D$11000,"Out",OUT!$E$2:$E$11000,"Mio")</f>
        <v>0</v>
      </c>
      <c r="R1515" s="52">
        <f ca="1">SUMIFS(OUT!$F$2:$F$11000,OUT!$H$2:$H$11000,H1515,OUT!$D$2:$D$11000,"Out",OUT!$E$2:$E$11000,"Sedekah")</f>
        <v>0</v>
      </c>
      <c r="S1515" s="52">
        <f ca="1">SUMIFS(OUT!$F$2:$F$11000,OUT!$H$2:$H$11000,H1515,OUT!$D$2:$D$11000,"Out",OUT!$E$2:$E$11000,"Zela")</f>
        <v>0</v>
      </c>
      <c r="T1515" s="52">
        <f ca="1">SUMIFS(OUT!$F$2:$F$11000,OUT!$H$2:$H$11000,H1515,OUT!$D$2:$D$11000,"Out",OUT!$E$2:$E$11000,"Iqbal")</f>
        <v>0</v>
      </c>
    </row>
    <row r="1516" spans="7:20" x14ac:dyDescent="0.2">
      <c r="G1516" s="50"/>
      <c r="H1516" s="51" t="str">
        <f t="shared" si="0"/>
        <v/>
      </c>
      <c r="I1516" s="52" t="e">
        <f>SUMIFS(OUT!$F$2:$F$11000,OUT!$H$2:$H$11000,H1516,OUT!$D$2:$D$101007,"In")</f>
        <v>#VALUE!</v>
      </c>
      <c r="J1516" s="52">
        <f ca="1">SUMIFS(OUT!$F$2:$F$11000,OUT!$H$2:$H$11000,H1516,OUT!$D$2:$D$11000,"Out")</f>
        <v>0</v>
      </c>
      <c r="K1516" s="52">
        <f ca="1">SUMIFS(OUT!$F$2:$F$11000,OUT!$H$2:$H$11000,H1516,OUT!$D$2:$D$11000,"Out",OUT!$E$2:$E$11000,"Fix")</f>
        <v>0</v>
      </c>
      <c r="L1516" s="52">
        <f ca="1">SUMIFS(OUT!$F$2:$F$11000,OUT!$H$2:$H$11000,H1516,OUT!$D$2:$D$11000,"Out",OUT!$E$2:$E$11000,"Bathroom")</f>
        <v>0</v>
      </c>
      <c r="M1516" s="52">
        <f ca="1">SUMIFS(OUT!$F$2:$F$11000,OUT!$H$2:$H$11000,H1516,OUT!$D$2:$D$11000,"Out",OUT!$E$2:$E$11000,"Alfa")</f>
        <v>0</v>
      </c>
      <c r="N1516" s="52" t="e">
        <f>SUMIFS(OUT!$F$2:$F$11000,OUT!$H$2:$H$101007,H1516,OUT!$D$2:$D$11000,"Out",OUT!$E$2:$E$11000,"Jajan")</f>
        <v>#VALUE!</v>
      </c>
      <c r="O1516" s="52">
        <f ca="1">SUMIFS(OUT!$F$2:$F$11000,OUT!$H$2:$H$11000,H1516,OUT!$D$2:$D$11000,"Out",OUT!$E$2:$E$11000,"Kitchen")</f>
        <v>0</v>
      </c>
      <c r="P1516" s="52">
        <f ca="1">SUMIFS(OUT!$F$2:$F$11000,OUT!$H$2:$H$11000,H1516,OUT!$D$2:$D$11000,"Out",OUT!$E$2:$E$11000,"Loandry")</f>
        <v>0</v>
      </c>
      <c r="Q1516" s="52">
        <f ca="1">SUMIFS(OUT!$F$2:$F$11000,OUT!$H$2:$H$11000,H1516,OUT!$D$2:$D$11000,"Out",OUT!$E$2:$E$11000,"Mio")</f>
        <v>0</v>
      </c>
      <c r="R1516" s="52">
        <f ca="1">SUMIFS(OUT!$F$2:$F$11000,OUT!$H$2:$H$11000,H1516,OUT!$D$2:$D$11000,"Out",OUT!$E$2:$E$11000,"Sedekah")</f>
        <v>0</v>
      </c>
      <c r="S1516" s="52">
        <f ca="1">SUMIFS(OUT!$F$2:$F$11000,OUT!$H$2:$H$11000,H1516,OUT!$D$2:$D$11000,"Out",OUT!$E$2:$E$11000,"Zela")</f>
        <v>0</v>
      </c>
      <c r="T1516" s="52">
        <f ca="1">SUMIFS(OUT!$F$2:$F$11000,OUT!$H$2:$H$11000,H1516,OUT!$D$2:$D$11000,"Out",OUT!$E$2:$E$11000,"Iqbal")</f>
        <v>0</v>
      </c>
    </row>
    <row r="1517" spans="7:20" x14ac:dyDescent="0.2">
      <c r="G1517" s="50"/>
      <c r="H1517" s="51" t="str">
        <f t="shared" si="0"/>
        <v/>
      </c>
      <c r="I1517" s="52" t="e">
        <f>SUMIFS(OUT!$F$2:$F$11000,OUT!$H$2:$H$11000,H1517,OUT!$D$2:$D$101007,"In")</f>
        <v>#VALUE!</v>
      </c>
      <c r="J1517" s="52">
        <f ca="1">SUMIFS(OUT!$F$2:$F$11000,OUT!$H$2:$H$11000,H1517,OUT!$D$2:$D$11000,"Out")</f>
        <v>0</v>
      </c>
      <c r="K1517" s="52">
        <f ca="1">SUMIFS(OUT!$F$2:$F$11000,OUT!$H$2:$H$11000,H1517,OUT!$D$2:$D$11000,"Out",OUT!$E$2:$E$11000,"Fix")</f>
        <v>0</v>
      </c>
      <c r="L1517" s="52">
        <f ca="1">SUMIFS(OUT!$F$2:$F$11000,OUT!$H$2:$H$11000,H1517,OUT!$D$2:$D$11000,"Out",OUT!$E$2:$E$11000,"Bathroom")</f>
        <v>0</v>
      </c>
      <c r="M1517" s="52">
        <f ca="1">SUMIFS(OUT!$F$2:$F$11000,OUT!$H$2:$H$11000,H1517,OUT!$D$2:$D$11000,"Out",OUT!$E$2:$E$11000,"Alfa")</f>
        <v>0</v>
      </c>
      <c r="N1517" s="52" t="e">
        <f>SUMIFS(OUT!$F$2:$F$11000,OUT!$H$2:$H$101007,H1517,OUT!$D$2:$D$11000,"Out",OUT!$E$2:$E$11000,"Jajan")</f>
        <v>#VALUE!</v>
      </c>
      <c r="O1517" s="52">
        <f ca="1">SUMIFS(OUT!$F$2:$F$11000,OUT!$H$2:$H$11000,H1517,OUT!$D$2:$D$11000,"Out",OUT!$E$2:$E$11000,"Kitchen")</f>
        <v>0</v>
      </c>
      <c r="P1517" s="52">
        <f ca="1">SUMIFS(OUT!$F$2:$F$11000,OUT!$H$2:$H$11000,H1517,OUT!$D$2:$D$11000,"Out",OUT!$E$2:$E$11000,"Loandry")</f>
        <v>0</v>
      </c>
      <c r="Q1517" s="52">
        <f ca="1">SUMIFS(OUT!$F$2:$F$11000,OUT!$H$2:$H$11000,H1517,OUT!$D$2:$D$11000,"Out",OUT!$E$2:$E$11000,"Mio")</f>
        <v>0</v>
      </c>
      <c r="R1517" s="52">
        <f ca="1">SUMIFS(OUT!$F$2:$F$11000,OUT!$H$2:$H$11000,H1517,OUT!$D$2:$D$11000,"Out",OUT!$E$2:$E$11000,"Sedekah")</f>
        <v>0</v>
      </c>
      <c r="S1517" s="52">
        <f ca="1">SUMIFS(OUT!$F$2:$F$11000,OUT!$H$2:$H$11000,H1517,OUT!$D$2:$D$11000,"Out",OUT!$E$2:$E$11000,"Zela")</f>
        <v>0</v>
      </c>
      <c r="T1517" s="52">
        <f ca="1">SUMIFS(OUT!$F$2:$F$11000,OUT!$H$2:$H$11000,H1517,OUT!$D$2:$D$11000,"Out",OUT!$E$2:$E$11000,"Iqbal")</f>
        <v>0</v>
      </c>
    </row>
    <row r="1518" spans="7:20" x14ac:dyDescent="0.2">
      <c r="G1518" s="50"/>
      <c r="H1518" s="51" t="str">
        <f t="shared" si="0"/>
        <v/>
      </c>
      <c r="I1518" s="52" t="e">
        <f>SUMIFS(OUT!$F$2:$F$11000,OUT!$H$2:$H$11000,H1518,OUT!$D$2:$D$101007,"In")</f>
        <v>#VALUE!</v>
      </c>
      <c r="J1518" s="52">
        <f ca="1">SUMIFS(OUT!$F$2:$F$11000,OUT!$H$2:$H$11000,H1518,OUT!$D$2:$D$11000,"Out")</f>
        <v>0</v>
      </c>
      <c r="K1518" s="52">
        <f ca="1">SUMIFS(OUT!$F$2:$F$11000,OUT!$H$2:$H$11000,H1518,OUT!$D$2:$D$11000,"Out",OUT!$E$2:$E$11000,"Fix")</f>
        <v>0</v>
      </c>
      <c r="L1518" s="52">
        <f ca="1">SUMIFS(OUT!$F$2:$F$11000,OUT!$H$2:$H$11000,H1518,OUT!$D$2:$D$11000,"Out",OUT!$E$2:$E$11000,"Bathroom")</f>
        <v>0</v>
      </c>
      <c r="M1518" s="52">
        <f ca="1">SUMIFS(OUT!$F$2:$F$11000,OUT!$H$2:$H$11000,H1518,OUT!$D$2:$D$11000,"Out",OUT!$E$2:$E$11000,"Alfa")</f>
        <v>0</v>
      </c>
      <c r="N1518" s="52" t="e">
        <f>SUMIFS(OUT!$F$2:$F$11000,OUT!$H$2:$H$101007,H1518,OUT!$D$2:$D$11000,"Out",OUT!$E$2:$E$11000,"Jajan")</f>
        <v>#VALUE!</v>
      </c>
      <c r="O1518" s="52">
        <f ca="1">SUMIFS(OUT!$F$2:$F$11000,OUT!$H$2:$H$11000,H1518,OUT!$D$2:$D$11000,"Out",OUT!$E$2:$E$11000,"Kitchen")</f>
        <v>0</v>
      </c>
      <c r="P1518" s="52">
        <f ca="1">SUMIFS(OUT!$F$2:$F$11000,OUT!$H$2:$H$11000,H1518,OUT!$D$2:$D$11000,"Out",OUT!$E$2:$E$11000,"Loandry")</f>
        <v>0</v>
      </c>
      <c r="Q1518" s="52">
        <f ca="1">SUMIFS(OUT!$F$2:$F$11000,OUT!$H$2:$H$11000,H1518,OUT!$D$2:$D$11000,"Out",OUT!$E$2:$E$11000,"Mio")</f>
        <v>0</v>
      </c>
      <c r="R1518" s="52">
        <f ca="1">SUMIFS(OUT!$F$2:$F$11000,OUT!$H$2:$H$11000,H1518,OUT!$D$2:$D$11000,"Out",OUT!$E$2:$E$11000,"Sedekah")</f>
        <v>0</v>
      </c>
      <c r="S1518" s="52">
        <f ca="1">SUMIFS(OUT!$F$2:$F$11000,OUT!$H$2:$H$11000,H1518,OUT!$D$2:$D$11000,"Out",OUT!$E$2:$E$11000,"Zela")</f>
        <v>0</v>
      </c>
      <c r="T1518" s="52">
        <f ca="1">SUMIFS(OUT!$F$2:$F$11000,OUT!$H$2:$H$11000,H1518,OUT!$D$2:$D$11000,"Out",OUT!$E$2:$E$11000,"Iqbal")</f>
        <v>0</v>
      </c>
    </row>
    <row r="1519" spans="7:20" x14ac:dyDescent="0.2">
      <c r="G1519" s="50"/>
      <c r="H1519" s="51" t="str">
        <f t="shared" si="0"/>
        <v/>
      </c>
      <c r="I1519" s="52" t="e">
        <f>SUMIFS(OUT!$F$2:$F$11000,OUT!$H$2:$H$11000,H1519,OUT!$D$2:$D$101007,"In")</f>
        <v>#VALUE!</v>
      </c>
      <c r="J1519" s="52">
        <f ca="1">SUMIFS(OUT!$F$2:$F$11000,OUT!$H$2:$H$11000,H1519,OUT!$D$2:$D$11000,"Out")</f>
        <v>0</v>
      </c>
      <c r="K1519" s="52">
        <f ca="1">SUMIFS(OUT!$F$2:$F$11000,OUT!$H$2:$H$11000,H1519,OUT!$D$2:$D$11000,"Out",OUT!$E$2:$E$11000,"Fix")</f>
        <v>0</v>
      </c>
      <c r="L1519" s="52">
        <f ca="1">SUMIFS(OUT!$F$2:$F$11000,OUT!$H$2:$H$11000,H1519,OUT!$D$2:$D$11000,"Out",OUT!$E$2:$E$11000,"Bathroom")</f>
        <v>0</v>
      </c>
      <c r="M1519" s="52">
        <f ca="1">SUMIFS(OUT!$F$2:$F$11000,OUT!$H$2:$H$11000,H1519,OUT!$D$2:$D$11000,"Out",OUT!$E$2:$E$11000,"Alfa")</f>
        <v>0</v>
      </c>
      <c r="N1519" s="52" t="e">
        <f>SUMIFS(OUT!$F$2:$F$11000,OUT!$H$2:$H$101007,H1519,OUT!$D$2:$D$11000,"Out",OUT!$E$2:$E$11000,"Jajan")</f>
        <v>#VALUE!</v>
      </c>
      <c r="O1519" s="52">
        <f ca="1">SUMIFS(OUT!$F$2:$F$11000,OUT!$H$2:$H$11000,H1519,OUT!$D$2:$D$11000,"Out",OUT!$E$2:$E$11000,"Kitchen")</f>
        <v>0</v>
      </c>
      <c r="P1519" s="52">
        <f ca="1">SUMIFS(OUT!$F$2:$F$11000,OUT!$H$2:$H$11000,H1519,OUT!$D$2:$D$11000,"Out",OUT!$E$2:$E$11000,"Loandry")</f>
        <v>0</v>
      </c>
      <c r="Q1519" s="52">
        <f ca="1">SUMIFS(OUT!$F$2:$F$11000,OUT!$H$2:$H$11000,H1519,OUT!$D$2:$D$11000,"Out",OUT!$E$2:$E$11000,"Mio")</f>
        <v>0</v>
      </c>
      <c r="R1519" s="52">
        <f ca="1">SUMIFS(OUT!$F$2:$F$11000,OUT!$H$2:$H$11000,H1519,OUT!$D$2:$D$11000,"Out",OUT!$E$2:$E$11000,"Sedekah")</f>
        <v>0</v>
      </c>
      <c r="S1519" s="52">
        <f ca="1">SUMIFS(OUT!$F$2:$F$11000,OUT!$H$2:$H$11000,H1519,OUT!$D$2:$D$11000,"Out",OUT!$E$2:$E$11000,"Zela")</f>
        <v>0</v>
      </c>
      <c r="T1519" s="52">
        <f ca="1">SUMIFS(OUT!$F$2:$F$11000,OUT!$H$2:$H$11000,H1519,OUT!$D$2:$D$11000,"Out",OUT!$E$2:$E$11000,"Iqbal")</f>
        <v>0</v>
      </c>
    </row>
    <row r="1520" spans="7:20" x14ac:dyDescent="0.2">
      <c r="G1520" s="50"/>
      <c r="H1520" s="51" t="str">
        <f t="shared" si="0"/>
        <v/>
      </c>
      <c r="I1520" s="52" t="e">
        <f>SUMIFS(OUT!$F$2:$F$11000,OUT!$H$2:$H$11000,H1520,OUT!$D$2:$D$101007,"In")</f>
        <v>#VALUE!</v>
      </c>
      <c r="J1520" s="52">
        <f ca="1">SUMIFS(OUT!$F$2:$F$11000,OUT!$H$2:$H$11000,H1520,OUT!$D$2:$D$11000,"Out")</f>
        <v>0</v>
      </c>
      <c r="K1520" s="52">
        <f ca="1">SUMIFS(OUT!$F$2:$F$11000,OUT!$H$2:$H$11000,H1520,OUT!$D$2:$D$11000,"Out",OUT!$E$2:$E$11000,"Fix")</f>
        <v>0</v>
      </c>
      <c r="L1520" s="52">
        <f ca="1">SUMIFS(OUT!$F$2:$F$11000,OUT!$H$2:$H$11000,H1520,OUT!$D$2:$D$11000,"Out",OUT!$E$2:$E$11000,"Bathroom")</f>
        <v>0</v>
      </c>
      <c r="M1520" s="52">
        <f ca="1">SUMIFS(OUT!$F$2:$F$11000,OUT!$H$2:$H$11000,H1520,OUT!$D$2:$D$11000,"Out",OUT!$E$2:$E$11000,"Alfa")</f>
        <v>0</v>
      </c>
      <c r="N1520" s="52" t="e">
        <f>SUMIFS(OUT!$F$2:$F$11000,OUT!$H$2:$H$101007,H1520,OUT!$D$2:$D$11000,"Out",OUT!$E$2:$E$11000,"Jajan")</f>
        <v>#VALUE!</v>
      </c>
      <c r="O1520" s="52">
        <f ca="1">SUMIFS(OUT!$F$2:$F$11000,OUT!$H$2:$H$11000,H1520,OUT!$D$2:$D$11000,"Out",OUT!$E$2:$E$11000,"Kitchen")</f>
        <v>0</v>
      </c>
      <c r="P1520" s="52">
        <f ca="1">SUMIFS(OUT!$F$2:$F$11000,OUT!$H$2:$H$11000,H1520,OUT!$D$2:$D$11000,"Out",OUT!$E$2:$E$11000,"Loandry")</f>
        <v>0</v>
      </c>
      <c r="Q1520" s="52">
        <f ca="1">SUMIFS(OUT!$F$2:$F$11000,OUT!$H$2:$H$11000,H1520,OUT!$D$2:$D$11000,"Out",OUT!$E$2:$E$11000,"Mio")</f>
        <v>0</v>
      </c>
      <c r="R1520" s="52">
        <f ca="1">SUMIFS(OUT!$F$2:$F$11000,OUT!$H$2:$H$11000,H1520,OUT!$D$2:$D$11000,"Out",OUT!$E$2:$E$11000,"Sedekah")</f>
        <v>0</v>
      </c>
      <c r="S1520" s="52">
        <f ca="1">SUMIFS(OUT!$F$2:$F$11000,OUT!$H$2:$H$11000,H1520,OUT!$D$2:$D$11000,"Out",OUT!$E$2:$E$11000,"Zela")</f>
        <v>0</v>
      </c>
      <c r="T1520" s="52">
        <f ca="1">SUMIFS(OUT!$F$2:$F$11000,OUT!$H$2:$H$11000,H1520,OUT!$D$2:$D$11000,"Out",OUT!$E$2:$E$11000,"Iqbal")</f>
        <v>0</v>
      </c>
    </row>
    <row r="1521" spans="7:20" x14ac:dyDescent="0.2">
      <c r="G1521" s="50"/>
      <c r="H1521" s="51" t="str">
        <f t="shared" si="0"/>
        <v/>
      </c>
      <c r="I1521" s="52" t="e">
        <f>SUMIFS(OUT!$F$2:$F$11000,OUT!$H$2:$H$11000,H1521,OUT!$D$2:$D$101007,"In")</f>
        <v>#VALUE!</v>
      </c>
      <c r="J1521" s="52">
        <f ca="1">SUMIFS(OUT!$F$2:$F$11000,OUT!$H$2:$H$11000,H1521,OUT!$D$2:$D$11000,"Out")</f>
        <v>0</v>
      </c>
      <c r="K1521" s="52">
        <f ca="1">SUMIFS(OUT!$F$2:$F$11000,OUT!$H$2:$H$11000,H1521,OUT!$D$2:$D$11000,"Out",OUT!$E$2:$E$11000,"Fix")</f>
        <v>0</v>
      </c>
      <c r="L1521" s="52">
        <f ca="1">SUMIFS(OUT!$F$2:$F$11000,OUT!$H$2:$H$11000,H1521,OUT!$D$2:$D$11000,"Out",OUT!$E$2:$E$11000,"Bathroom")</f>
        <v>0</v>
      </c>
      <c r="M1521" s="52">
        <f ca="1">SUMIFS(OUT!$F$2:$F$11000,OUT!$H$2:$H$11000,H1521,OUT!$D$2:$D$11000,"Out",OUT!$E$2:$E$11000,"Alfa")</f>
        <v>0</v>
      </c>
      <c r="N1521" s="52" t="e">
        <f>SUMIFS(OUT!$F$2:$F$11000,OUT!$H$2:$H$101007,H1521,OUT!$D$2:$D$11000,"Out",OUT!$E$2:$E$11000,"Jajan")</f>
        <v>#VALUE!</v>
      </c>
      <c r="O1521" s="52">
        <f ca="1">SUMIFS(OUT!$F$2:$F$11000,OUT!$H$2:$H$11000,H1521,OUT!$D$2:$D$11000,"Out",OUT!$E$2:$E$11000,"Kitchen")</f>
        <v>0</v>
      </c>
      <c r="P1521" s="52">
        <f ca="1">SUMIFS(OUT!$F$2:$F$11000,OUT!$H$2:$H$11000,H1521,OUT!$D$2:$D$11000,"Out",OUT!$E$2:$E$11000,"Loandry")</f>
        <v>0</v>
      </c>
      <c r="Q1521" s="52">
        <f ca="1">SUMIFS(OUT!$F$2:$F$11000,OUT!$H$2:$H$11000,H1521,OUT!$D$2:$D$11000,"Out",OUT!$E$2:$E$11000,"Mio")</f>
        <v>0</v>
      </c>
      <c r="R1521" s="52">
        <f ca="1">SUMIFS(OUT!$F$2:$F$11000,OUT!$H$2:$H$11000,H1521,OUT!$D$2:$D$11000,"Out",OUT!$E$2:$E$11000,"Sedekah")</f>
        <v>0</v>
      </c>
      <c r="S1521" s="52">
        <f ca="1">SUMIFS(OUT!$F$2:$F$11000,OUT!$H$2:$H$11000,H1521,OUT!$D$2:$D$11000,"Out",OUT!$E$2:$E$11000,"Zela")</f>
        <v>0</v>
      </c>
      <c r="T1521" s="52">
        <f ca="1">SUMIFS(OUT!$F$2:$F$11000,OUT!$H$2:$H$11000,H1521,OUT!$D$2:$D$11000,"Out",OUT!$E$2:$E$11000,"Iqbal")</f>
        <v>0</v>
      </c>
    </row>
    <row r="1522" spans="7:20" x14ac:dyDescent="0.2">
      <c r="G1522" s="50"/>
      <c r="H1522" s="51" t="str">
        <f t="shared" si="0"/>
        <v/>
      </c>
      <c r="I1522" s="52" t="e">
        <f>SUMIFS(OUT!$F$2:$F$11000,OUT!$H$2:$H$11000,H1522,OUT!$D$2:$D$101007,"In")</f>
        <v>#VALUE!</v>
      </c>
      <c r="J1522" s="52">
        <f ca="1">SUMIFS(OUT!$F$2:$F$11000,OUT!$H$2:$H$11000,H1522,OUT!$D$2:$D$11000,"Out")</f>
        <v>0</v>
      </c>
      <c r="K1522" s="52">
        <f ca="1">SUMIFS(OUT!$F$2:$F$11000,OUT!$H$2:$H$11000,H1522,OUT!$D$2:$D$11000,"Out",OUT!$E$2:$E$11000,"Fix")</f>
        <v>0</v>
      </c>
      <c r="L1522" s="52">
        <f ca="1">SUMIFS(OUT!$F$2:$F$11000,OUT!$H$2:$H$11000,H1522,OUT!$D$2:$D$11000,"Out",OUT!$E$2:$E$11000,"Bathroom")</f>
        <v>0</v>
      </c>
      <c r="M1522" s="52">
        <f ca="1">SUMIFS(OUT!$F$2:$F$11000,OUT!$H$2:$H$11000,H1522,OUT!$D$2:$D$11000,"Out",OUT!$E$2:$E$11000,"Alfa")</f>
        <v>0</v>
      </c>
      <c r="N1522" s="52" t="e">
        <f>SUMIFS(OUT!$F$2:$F$11000,OUT!$H$2:$H$101007,H1522,OUT!$D$2:$D$11000,"Out",OUT!$E$2:$E$11000,"Jajan")</f>
        <v>#VALUE!</v>
      </c>
      <c r="O1522" s="52">
        <f ca="1">SUMIFS(OUT!$F$2:$F$11000,OUT!$H$2:$H$11000,H1522,OUT!$D$2:$D$11000,"Out",OUT!$E$2:$E$11000,"Kitchen")</f>
        <v>0</v>
      </c>
      <c r="P1522" s="52">
        <f ca="1">SUMIFS(OUT!$F$2:$F$11000,OUT!$H$2:$H$11000,H1522,OUT!$D$2:$D$11000,"Out",OUT!$E$2:$E$11000,"Loandry")</f>
        <v>0</v>
      </c>
      <c r="Q1522" s="52">
        <f ca="1">SUMIFS(OUT!$F$2:$F$11000,OUT!$H$2:$H$11000,H1522,OUT!$D$2:$D$11000,"Out",OUT!$E$2:$E$11000,"Mio")</f>
        <v>0</v>
      </c>
      <c r="R1522" s="52">
        <f ca="1">SUMIFS(OUT!$F$2:$F$11000,OUT!$H$2:$H$11000,H1522,OUT!$D$2:$D$11000,"Out",OUT!$E$2:$E$11000,"Sedekah")</f>
        <v>0</v>
      </c>
      <c r="S1522" s="52">
        <f ca="1">SUMIFS(OUT!$F$2:$F$11000,OUT!$H$2:$H$11000,H1522,OUT!$D$2:$D$11000,"Out",OUT!$E$2:$E$11000,"Zela")</f>
        <v>0</v>
      </c>
      <c r="T1522" s="52">
        <f ca="1">SUMIFS(OUT!$F$2:$F$11000,OUT!$H$2:$H$11000,H1522,OUT!$D$2:$D$11000,"Out",OUT!$E$2:$E$11000,"Iqbal")</f>
        <v>0</v>
      </c>
    </row>
    <row r="1523" spans="7:20" x14ac:dyDescent="0.2">
      <c r="G1523" s="50"/>
      <c r="H1523" s="51" t="str">
        <f t="shared" si="0"/>
        <v/>
      </c>
      <c r="I1523" s="52" t="e">
        <f>SUMIFS(OUT!$F$2:$F$11000,OUT!$H$2:$H$11000,H1523,OUT!$D$2:$D$101007,"In")</f>
        <v>#VALUE!</v>
      </c>
      <c r="J1523" s="52">
        <f ca="1">SUMIFS(OUT!$F$2:$F$11000,OUT!$H$2:$H$11000,H1523,OUT!$D$2:$D$11000,"Out")</f>
        <v>0</v>
      </c>
      <c r="K1523" s="52">
        <f ca="1">SUMIFS(OUT!$F$2:$F$11000,OUT!$H$2:$H$11000,H1523,OUT!$D$2:$D$11000,"Out",OUT!$E$2:$E$11000,"Fix")</f>
        <v>0</v>
      </c>
      <c r="L1523" s="52">
        <f ca="1">SUMIFS(OUT!$F$2:$F$11000,OUT!$H$2:$H$11000,H1523,OUT!$D$2:$D$11000,"Out",OUT!$E$2:$E$11000,"Bathroom")</f>
        <v>0</v>
      </c>
      <c r="M1523" s="52">
        <f ca="1">SUMIFS(OUT!$F$2:$F$11000,OUT!$H$2:$H$11000,H1523,OUT!$D$2:$D$11000,"Out",OUT!$E$2:$E$11000,"Alfa")</f>
        <v>0</v>
      </c>
      <c r="N1523" s="52" t="e">
        <f>SUMIFS(OUT!$F$2:$F$11000,OUT!$H$2:$H$101007,H1523,OUT!$D$2:$D$11000,"Out",OUT!$E$2:$E$11000,"Jajan")</f>
        <v>#VALUE!</v>
      </c>
      <c r="O1523" s="52">
        <f ca="1">SUMIFS(OUT!$F$2:$F$11000,OUT!$H$2:$H$11000,H1523,OUT!$D$2:$D$11000,"Out",OUT!$E$2:$E$11000,"Kitchen")</f>
        <v>0</v>
      </c>
      <c r="P1523" s="52">
        <f ca="1">SUMIFS(OUT!$F$2:$F$11000,OUT!$H$2:$H$11000,H1523,OUT!$D$2:$D$11000,"Out",OUT!$E$2:$E$11000,"Loandry")</f>
        <v>0</v>
      </c>
      <c r="Q1523" s="52">
        <f ca="1">SUMIFS(OUT!$F$2:$F$11000,OUT!$H$2:$H$11000,H1523,OUT!$D$2:$D$11000,"Out",OUT!$E$2:$E$11000,"Mio")</f>
        <v>0</v>
      </c>
      <c r="R1523" s="52">
        <f ca="1">SUMIFS(OUT!$F$2:$F$11000,OUT!$H$2:$H$11000,H1523,OUT!$D$2:$D$11000,"Out",OUT!$E$2:$E$11000,"Sedekah")</f>
        <v>0</v>
      </c>
      <c r="S1523" s="52">
        <f ca="1">SUMIFS(OUT!$F$2:$F$11000,OUT!$H$2:$H$11000,H1523,OUT!$D$2:$D$11000,"Out",OUT!$E$2:$E$11000,"Zela")</f>
        <v>0</v>
      </c>
      <c r="T1523" s="52">
        <f ca="1">SUMIFS(OUT!$F$2:$F$11000,OUT!$H$2:$H$11000,H1523,OUT!$D$2:$D$11000,"Out",OUT!$E$2:$E$11000,"Iqbal")</f>
        <v>0</v>
      </c>
    </row>
    <row r="1524" spans="7:20" x14ac:dyDescent="0.2">
      <c r="G1524" s="50"/>
      <c r="H1524" s="51" t="str">
        <f t="shared" si="0"/>
        <v/>
      </c>
      <c r="I1524" s="52" t="e">
        <f>SUMIFS(OUT!$F$2:$F$11000,OUT!$H$2:$H$11000,H1524,OUT!$D$2:$D$101007,"In")</f>
        <v>#VALUE!</v>
      </c>
      <c r="J1524" s="52">
        <f ca="1">SUMIFS(OUT!$F$2:$F$11000,OUT!$H$2:$H$11000,H1524,OUT!$D$2:$D$11000,"Out")</f>
        <v>0</v>
      </c>
      <c r="K1524" s="52">
        <f ca="1">SUMIFS(OUT!$F$2:$F$11000,OUT!$H$2:$H$11000,H1524,OUT!$D$2:$D$11000,"Out",OUT!$E$2:$E$11000,"Fix")</f>
        <v>0</v>
      </c>
      <c r="L1524" s="52">
        <f ca="1">SUMIFS(OUT!$F$2:$F$11000,OUT!$H$2:$H$11000,H1524,OUT!$D$2:$D$11000,"Out",OUT!$E$2:$E$11000,"Bathroom")</f>
        <v>0</v>
      </c>
      <c r="M1524" s="52">
        <f ca="1">SUMIFS(OUT!$F$2:$F$11000,OUT!$H$2:$H$11000,H1524,OUT!$D$2:$D$11000,"Out",OUT!$E$2:$E$11000,"Alfa")</f>
        <v>0</v>
      </c>
      <c r="N1524" s="52" t="e">
        <f>SUMIFS(OUT!$F$2:$F$11000,OUT!$H$2:$H$101007,H1524,OUT!$D$2:$D$11000,"Out",OUT!$E$2:$E$11000,"Jajan")</f>
        <v>#VALUE!</v>
      </c>
      <c r="O1524" s="52">
        <f ca="1">SUMIFS(OUT!$F$2:$F$11000,OUT!$H$2:$H$11000,H1524,OUT!$D$2:$D$11000,"Out",OUT!$E$2:$E$11000,"Kitchen")</f>
        <v>0</v>
      </c>
      <c r="P1524" s="52">
        <f ca="1">SUMIFS(OUT!$F$2:$F$11000,OUT!$H$2:$H$11000,H1524,OUT!$D$2:$D$11000,"Out",OUT!$E$2:$E$11000,"Loandry")</f>
        <v>0</v>
      </c>
      <c r="Q1524" s="52">
        <f ca="1">SUMIFS(OUT!$F$2:$F$11000,OUT!$H$2:$H$11000,H1524,OUT!$D$2:$D$11000,"Out",OUT!$E$2:$E$11000,"Mio")</f>
        <v>0</v>
      </c>
      <c r="R1524" s="52">
        <f ca="1">SUMIFS(OUT!$F$2:$F$11000,OUT!$H$2:$H$11000,H1524,OUT!$D$2:$D$11000,"Out",OUT!$E$2:$E$11000,"Sedekah")</f>
        <v>0</v>
      </c>
      <c r="S1524" s="52">
        <f ca="1">SUMIFS(OUT!$F$2:$F$11000,OUT!$H$2:$H$11000,H1524,OUT!$D$2:$D$11000,"Out",OUT!$E$2:$E$11000,"Zela")</f>
        <v>0</v>
      </c>
      <c r="T1524" s="52">
        <f ca="1">SUMIFS(OUT!$F$2:$F$11000,OUT!$H$2:$H$11000,H1524,OUT!$D$2:$D$11000,"Out",OUT!$E$2:$E$11000,"Iqbal")</f>
        <v>0</v>
      </c>
    </row>
    <row r="1525" spans="7:20" x14ac:dyDescent="0.2">
      <c r="G1525" s="50"/>
      <c r="H1525" s="51" t="str">
        <f t="shared" si="0"/>
        <v/>
      </c>
      <c r="I1525" s="52" t="e">
        <f>SUMIFS(OUT!$F$2:$F$11000,OUT!$H$2:$H$11000,H1525,OUT!$D$2:$D$101007,"In")</f>
        <v>#VALUE!</v>
      </c>
      <c r="J1525" s="52">
        <f ca="1">SUMIFS(OUT!$F$2:$F$11000,OUT!$H$2:$H$11000,H1525,OUT!$D$2:$D$11000,"Out")</f>
        <v>0</v>
      </c>
      <c r="K1525" s="52">
        <f ca="1">SUMIFS(OUT!$F$2:$F$11000,OUT!$H$2:$H$11000,H1525,OUT!$D$2:$D$11000,"Out",OUT!$E$2:$E$11000,"Fix")</f>
        <v>0</v>
      </c>
      <c r="L1525" s="52">
        <f ca="1">SUMIFS(OUT!$F$2:$F$11000,OUT!$H$2:$H$11000,H1525,OUT!$D$2:$D$11000,"Out",OUT!$E$2:$E$11000,"Bathroom")</f>
        <v>0</v>
      </c>
      <c r="M1525" s="52">
        <f ca="1">SUMIFS(OUT!$F$2:$F$11000,OUT!$H$2:$H$11000,H1525,OUT!$D$2:$D$11000,"Out",OUT!$E$2:$E$11000,"Alfa")</f>
        <v>0</v>
      </c>
      <c r="N1525" s="52" t="e">
        <f>SUMIFS(OUT!$F$2:$F$11000,OUT!$H$2:$H$101007,H1525,OUT!$D$2:$D$11000,"Out",OUT!$E$2:$E$11000,"Jajan")</f>
        <v>#VALUE!</v>
      </c>
      <c r="O1525" s="52">
        <f ca="1">SUMIFS(OUT!$F$2:$F$11000,OUT!$H$2:$H$11000,H1525,OUT!$D$2:$D$11000,"Out",OUT!$E$2:$E$11000,"Kitchen")</f>
        <v>0</v>
      </c>
      <c r="P1525" s="52">
        <f ca="1">SUMIFS(OUT!$F$2:$F$11000,OUT!$H$2:$H$11000,H1525,OUT!$D$2:$D$11000,"Out",OUT!$E$2:$E$11000,"Loandry")</f>
        <v>0</v>
      </c>
      <c r="Q1525" s="52">
        <f ca="1">SUMIFS(OUT!$F$2:$F$11000,OUT!$H$2:$H$11000,H1525,OUT!$D$2:$D$11000,"Out",OUT!$E$2:$E$11000,"Mio")</f>
        <v>0</v>
      </c>
      <c r="R1525" s="52">
        <f ca="1">SUMIFS(OUT!$F$2:$F$11000,OUT!$H$2:$H$11000,H1525,OUT!$D$2:$D$11000,"Out",OUT!$E$2:$E$11000,"Sedekah")</f>
        <v>0</v>
      </c>
      <c r="S1525" s="52">
        <f ca="1">SUMIFS(OUT!$F$2:$F$11000,OUT!$H$2:$H$11000,H1525,OUT!$D$2:$D$11000,"Out",OUT!$E$2:$E$11000,"Zela")</f>
        <v>0</v>
      </c>
      <c r="T1525" s="52">
        <f ca="1">SUMIFS(OUT!$F$2:$F$11000,OUT!$H$2:$H$11000,H1525,OUT!$D$2:$D$11000,"Out",OUT!$E$2:$E$11000,"Iqbal")</f>
        <v>0</v>
      </c>
    </row>
    <row r="1526" spans="7:20" x14ac:dyDescent="0.2">
      <c r="G1526" s="50"/>
      <c r="H1526" s="51" t="str">
        <f t="shared" si="0"/>
        <v/>
      </c>
      <c r="I1526" s="52" t="e">
        <f>SUMIFS(OUT!$F$2:$F$11000,OUT!$H$2:$H$11000,H1526,OUT!$D$2:$D$101007,"In")</f>
        <v>#VALUE!</v>
      </c>
      <c r="J1526" s="52">
        <f ca="1">SUMIFS(OUT!$F$2:$F$11000,OUT!$H$2:$H$11000,H1526,OUT!$D$2:$D$11000,"Out")</f>
        <v>0</v>
      </c>
      <c r="K1526" s="52">
        <f ca="1">SUMIFS(OUT!$F$2:$F$11000,OUT!$H$2:$H$11000,H1526,OUT!$D$2:$D$11000,"Out",OUT!$E$2:$E$11000,"Fix")</f>
        <v>0</v>
      </c>
      <c r="L1526" s="52">
        <f ca="1">SUMIFS(OUT!$F$2:$F$11000,OUT!$H$2:$H$11000,H1526,OUT!$D$2:$D$11000,"Out",OUT!$E$2:$E$11000,"Bathroom")</f>
        <v>0</v>
      </c>
      <c r="M1526" s="52">
        <f ca="1">SUMIFS(OUT!$F$2:$F$11000,OUT!$H$2:$H$11000,H1526,OUT!$D$2:$D$11000,"Out",OUT!$E$2:$E$11000,"Alfa")</f>
        <v>0</v>
      </c>
      <c r="N1526" s="52" t="e">
        <f>SUMIFS(OUT!$F$2:$F$11000,OUT!$H$2:$H$101007,H1526,OUT!$D$2:$D$11000,"Out",OUT!$E$2:$E$11000,"Jajan")</f>
        <v>#VALUE!</v>
      </c>
      <c r="O1526" s="52">
        <f ca="1">SUMIFS(OUT!$F$2:$F$11000,OUT!$H$2:$H$11000,H1526,OUT!$D$2:$D$11000,"Out",OUT!$E$2:$E$11000,"Kitchen")</f>
        <v>0</v>
      </c>
      <c r="P1526" s="52">
        <f ca="1">SUMIFS(OUT!$F$2:$F$11000,OUT!$H$2:$H$11000,H1526,OUT!$D$2:$D$11000,"Out",OUT!$E$2:$E$11000,"Loandry")</f>
        <v>0</v>
      </c>
      <c r="Q1526" s="52">
        <f ca="1">SUMIFS(OUT!$F$2:$F$11000,OUT!$H$2:$H$11000,H1526,OUT!$D$2:$D$11000,"Out",OUT!$E$2:$E$11000,"Mio")</f>
        <v>0</v>
      </c>
      <c r="R1526" s="52">
        <f ca="1">SUMIFS(OUT!$F$2:$F$11000,OUT!$H$2:$H$11000,H1526,OUT!$D$2:$D$11000,"Out",OUT!$E$2:$E$11000,"Sedekah")</f>
        <v>0</v>
      </c>
      <c r="S1526" s="52">
        <f ca="1">SUMIFS(OUT!$F$2:$F$11000,OUT!$H$2:$H$11000,H1526,OUT!$D$2:$D$11000,"Out",OUT!$E$2:$E$11000,"Zela")</f>
        <v>0</v>
      </c>
      <c r="T1526" s="52">
        <f ca="1">SUMIFS(OUT!$F$2:$F$11000,OUT!$H$2:$H$11000,H1526,OUT!$D$2:$D$11000,"Out",OUT!$E$2:$E$11000,"Iqbal")</f>
        <v>0</v>
      </c>
    </row>
    <row r="1527" spans="7:20" x14ac:dyDescent="0.2">
      <c r="G1527" s="50"/>
      <c r="H1527" s="51" t="str">
        <f t="shared" si="0"/>
        <v/>
      </c>
      <c r="I1527" s="52" t="e">
        <f>SUMIFS(OUT!$F$2:$F$11000,OUT!$H$2:$H$11000,H1527,OUT!$D$2:$D$101007,"In")</f>
        <v>#VALUE!</v>
      </c>
      <c r="J1527" s="52">
        <f ca="1">SUMIFS(OUT!$F$2:$F$11000,OUT!$H$2:$H$11000,H1527,OUT!$D$2:$D$11000,"Out")</f>
        <v>0</v>
      </c>
      <c r="K1527" s="52">
        <f ca="1">SUMIFS(OUT!$F$2:$F$11000,OUT!$H$2:$H$11000,H1527,OUT!$D$2:$D$11000,"Out",OUT!$E$2:$E$11000,"Fix")</f>
        <v>0</v>
      </c>
      <c r="L1527" s="52">
        <f ca="1">SUMIFS(OUT!$F$2:$F$11000,OUT!$H$2:$H$11000,H1527,OUT!$D$2:$D$11000,"Out",OUT!$E$2:$E$11000,"Bathroom")</f>
        <v>0</v>
      </c>
      <c r="M1527" s="52">
        <f ca="1">SUMIFS(OUT!$F$2:$F$11000,OUT!$H$2:$H$11000,H1527,OUT!$D$2:$D$11000,"Out",OUT!$E$2:$E$11000,"Alfa")</f>
        <v>0</v>
      </c>
      <c r="N1527" s="52" t="e">
        <f>SUMIFS(OUT!$F$2:$F$11000,OUT!$H$2:$H$101007,H1527,OUT!$D$2:$D$11000,"Out",OUT!$E$2:$E$11000,"Jajan")</f>
        <v>#VALUE!</v>
      </c>
      <c r="O1527" s="52">
        <f ca="1">SUMIFS(OUT!$F$2:$F$11000,OUT!$H$2:$H$11000,H1527,OUT!$D$2:$D$11000,"Out",OUT!$E$2:$E$11000,"Kitchen")</f>
        <v>0</v>
      </c>
      <c r="P1527" s="52">
        <f ca="1">SUMIFS(OUT!$F$2:$F$11000,OUT!$H$2:$H$11000,H1527,OUT!$D$2:$D$11000,"Out",OUT!$E$2:$E$11000,"Loandry")</f>
        <v>0</v>
      </c>
      <c r="Q1527" s="52">
        <f ca="1">SUMIFS(OUT!$F$2:$F$11000,OUT!$H$2:$H$11000,H1527,OUT!$D$2:$D$11000,"Out",OUT!$E$2:$E$11000,"Mio")</f>
        <v>0</v>
      </c>
      <c r="R1527" s="52">
        <f ca="1">SUMIFS(OUT!$F$2:$F$11000,OUT!$H$2:$H$11000,H1527,OUT!$D$2:$D$11000,"Out",OUT!$E$2:$E$11000,"Sedekah")</f>
        <v>0</v>
      </c>
      <c r="S1527" s="52">
        <f ca="1">SUMIFS(OUT!$F$2:$F$11000,OUT!$H$2:$H$11000,H1527,OUT!$D$2:$D$11000,"Out",OUT!$E$2:$E$11000,"Zela")</f>
        <v>0</v>
      </c>
      <c r="T1527" s="52">
        <f ca="1">SUMIFS(OUT!$F$2:$F$11000,OUT!$H$2:$H$11000,H1527,OUT!$D$2:$D$11000,"Out",OUT!$E$2:$E$11000,"Iqbal")</f>
        <v>0</v>
      </c>
    </row>
    <row r="1528" spans="7:20" x14ac:dyDescent="0.2">
      <c r="G1528" s="50"/>
      <c r="H1528" s="51" t="str">
        <f t="shared" si="0"/>
        <v/>
      </c>
      <c r="I1528" s="52" t="e">
        <f>SUMIFS(OUT!$F$2:$F$11000,OUT!$H$2:$H$11000,H1528,OUT!$D$2:$D$101007,"In")</f>
        <v>#VALUE!</v>
      </c>
      <c r="J1528" s="52">
        <f ca="1">SUMIFS(OUT!$F$2:$F$11000,OUT!$H$2:$H$11000,H1528,OUT!$D$2:$D$11000,"Out")</f>
        <v>0</v>
      </c>
      <c r="K1528" s="52">
        <f ca="1">SUMIFS(OUT!$F$2:$F$11000,OUT!$H$2:$H$11000,H1528,OUT!$D$2:$D$11000,"Out",OUT!$E$2:$E$11000,"Fix")</f>
        <v>0</v>
      </c>
      <c r="L1528" s="52">
        <f ca="1">SUMIFS(OUT!$F$2:$F$11000,OUT!$H$2:$H$11000,H1528,OUT!$D$2:$D$11000,"Out",OUT!$E$2:$E$11000,"Bathroom")</f>
        <v>0</v>
      </c>
      <c r="M1528" s="52">
        <f ca="1">SUMIFS(OUT!$F$2:$F$11000,OUT!$H$2:$H$11000,H1528,OUT!$D$2:$D$11000,"Out",OUT!$E$2:$E$11000,"Alfa")</f>
        <v>0</v>
      </c>
      <c r="N1528" s="52" t="e">
        <f>SUMIFS(OUT!$F$2:$F$11000,OUT!$H$2:$H$101007,H1528,OUT!$D$2:$D$11000,"Out",OUT!$E$2:$E$11000,"Jajan")</f>
        <v>#VALUE!</v>
      </c>
      <c r="O1528" s="52">
        <f ca="1">SUMIFS(OUT!$F$2:$F$11000,OUT!$H$2:$H$11000,H1528,OUT!$D$2:$D$11000,"Out",OUT!$E$2:$E$11000,"Kitchen")</f>
        <v>0</v>
      </c>
      <c r="P1528" s="52">
        <f ca="1">SUMIFS(OUT!$F$2:$F$11000,OUT!$H$2:$H$11000,H1528,OUT!$D$2:$D$11000,"Out",OUT!$E$2:$E$11000,"Loandry")</f>
        <v>0</v>
      </c>
      <c r="Q1528" s="52">
        <f ca="1">SUMIFS(OUT!$F$2:$F$11000,OUT!$H$2:$H$11000,H1528,OUT!$D$2:$D$11000,"Out",OUT!$E$2:$E$11000,"Mio")</f>
        <v>0</v>
      </c>
      <c r="R1528" s="52">
        <f ca="1">SUMIFS(OUT!$F$2:$F$11000,OUT!$H$2:$H$11000,H1528,OUT!$D$2:$D$11000,"Out",OUT!$E$2:$E$11000,"Sedekah")</f>
        <v>0</v>
      </c>
      <c r="S1528" s="52">
        <f ca="1">SUMIFS(OUT!$F$2:$F$11000,OUT!$H$2:$H$11000,H1528,OUT!$D$2:$D$11000,"Out",OUT!$E$2:$E$11000,"Zela")</f>
        <v>0</v>
      </c>
      <c r="T1528" s="52">
        <f ca="1">SUMIFS(OUT!$F$2:$F$11000,OUT!$H$2:$H$11000,H1528,OUT!$D$2:$D$11000,"Out",OUT!$E$2:$E$11000,"Iqbal")</f>
        <v>0</v>
      </c>
    </row>
    <row r="1529" spans="7:20" x14ac:dyDescent="0.2">
      <c r="G1529" s="50"/>
      <c r="H1529" s="51" t="str">
        <f t="shared" si="0"/>
        <v/>
      </c>
      <c r="I1529" s="52" t="e">
        <f>SUMIFS(OUT!$F$2:$F$11000,OUT!$H$2:$H$11000,H1529,OUT!$D$2:$D$101007,"In")</f>
        <v>#VALUE!</v>
      </c>
      <c r="J1529" s="52">
        <f ca="1">SUMIFS(OUT!$F$2:$F$11000,OUT!$H$2:$H$11000,H1529,OUT!$D$2:$D$11000,"Out")</f>
        <v>0</v>
      </c>
      <c r="K1529" s="52">
        <f ca="1">SUMIFS(OUT!$F$2:$F$11000,OUT!$H$2:$H$11000,H1529,OUT!$D$2:$D$11000,"Out",OUT!$E$2:$E$11000,"Fix")</f>
        <v>0</v>
      </c>
      <c r="L1529" s="52">
        <f ca="1">SUMIFS(OUT!$F$2:$F$11000,OUT!$H$2:$H$11000,H1529,OUT!$D$2:$D$11000,"Out",OUT!$E$2:$E$11000,"Bathroom")</f>
        <v>0</v>
      </c>
      <c r="M1529" s="52">
        <f ca="1">SUMIFS(OUT!$F$2:$F$11000,OUT!$H$2:$H$11000,H1529,OUT!$D$2:$D$11000,"Out",OUT!$E$2:$E$11000,"Alfa")</f>
        <v>0</v>
      </c>
      <c r="N1529" s="52" t="e">
        <f>SUMIFS(OUT!$F$2:$F$11000,OUT!$H$2:$H$101007,H1529,OUT!$D$2:$D$11000,"Out",OUT!$E$2:$E$11000,"Jajan")</f>
        <v>#VALUE!</v>
      </c>
      <c r="O1529" s="52">
        <f ca="1">SUMIFS(OUT!$F$2:$F$11000,OUT!$H$2:$H$11000,H1529,OUT!$D$2:$D$11000,"Out",OUT!$E$2:$E$11000,"Kitchen")</f>
        <v>0</v>
      </c>
      <c r="P1529" s="52">
        <f ca="1">SUMIFS(OUT!$F$2:$F$11000,OUT!$H$2:$H$11000,H1529,OUT!$D$2:$D$11000,"Out",OUT!$E$2:$E$11000,"Loandry")</f>
        <v>0</v>
      </c>
      <c r="Q1529" s="52">
        <f ca="1">SUMIFS(OUT!$F$2:$F$11000,OUT!$H$2:$H$11000,H1529,OUT!$D$2:$D$11000,"Out",OUT!$E$2:$E$11000,"Mio")</f>
        <v>0</v>
      </c>
      <c r="R1529" s="52">
        <f ca="1">SUMIFS(OUT!$F$2:$F$11000,OUT!$H$2:$H$11000,H1529,OUT!$D$2:$D$11000,"Out",OUT!$E$2:$E$11000,"Sedekah")</f>
        <v>0</v>
      </c>
      <c r="S1529" s="52">
        <f ca="1">SUMIFS(OUT!$F$2:$F$11000,OUT!$H$2:$H$11000,H1529,OUT!$D$2:$D$11000,"Out",OUT!$E$2:$E$11000,"Zela")</f>
        <v>0</v>
      </c>
      <c r="T1529" s="52">
        <f ca="1">SUMIFS(OUT!$F$2:$F$11000,OUT!$H$2:$H$11000,H1529,OUT!$D$2:$D$11000,"Out",OUT!$E$2:$E$11000,"Iqbal")</f>
        <v>0</v>
      </c>
    </row>
    <row r="1530" spans="7:20" x14ac:dyDescent="0.2">
      <c r="G1530" s="50"/>
      <c r="H1530" s="51" t="str">
        <f t="shared" si="0"/>
        <v/>
      </c>
      <c r="I1530" s="52" t="e">
        <f>SUMIFS(OUT!$F$2:$F$11000,OUT!$H$2:$H$11000,H1530,OUT!$D$2:$D$101007,"In")</f>
        <v>#VALUE!</v>
      </c>
      <c r="J1530" s="52">
        <f ca="1">SUMIFS(OUT!$F$2:$F$11000,OUT!$H$2:$H$11000,H1530,OUT!$D$2:$D$11000,"Out")</f>
        <v>0</v>
      </c>
      <c r="K1530" s="52">
        <f ca="1">SUMIFS(OUT!$F$2:$F$11000,OUT!$H$2:$H$11000,H1530,OUT!$D$2:$D$11000,"Out",OUT!$E$2:$E$11000,"Fix")</f>
        <v>0</v>
      </c>
      <c r="L1530" s="52">
        <f ca="1">SUMIFS(OUT!$F$2:$F$11000,OUT!$H$2:$H$11000,H1530,OUT!$D$2:$D$11000,"Out",OUT!$E$2:$E$11000,"Bathroom")</f>
        <v>0</v>
      </c>
      <c r="M1530" s="52">
        <f ca="1">SUMIFS(OUT!$F$2:$F$11000,OUT!$H$2:$H$11000,H1530,OUT!$D$2:$D$11000,"Out",OUT!$E$2:$E$11000,"Alfa")</f>
        <v>0</v>
      </c>
      <c r="N1530" s="52" t="e">
        <f>SUMIFS(OUT!$F$2:$F$11000,OUT!$H$2:$H$101007,H1530,OUT!$D$2:$D$11000,"Out",OUT!$E$2:$E$11000,"Jajan")</f>
        <v>#VALUE!</v>
      </c>
      <c r="O1530" s="52">
        <f ca="1">SUMIFS(OUT!$F$2:$F$11000,OUT!$H$2:$H$11000,H1530,OUT!$D$2:$D$11000,"Out",OUT!$E$2:$E$11000,"Kitchen")</f>
        <v>0</v>
      </c>
      <c r="P1530" s="52">
        <f ca="1">SUMIFS(OUT!$F$2:$F$11000,OUT!$H$2:$H$11000,H1530,OUT!$D$2:$D$11000,"Out",OUT!$E$2:$E$11000,"Loandry")</f>
        <v>0</v>
      </c>
      <c r="Q1530" s="52">
        <f ca="1">SUMIFS(OUT!$F$2:$F$11000,OUT!$H$2:$H$11000,H1530,OUT!$D$2:$D$11000,"Out",OUT!$E$2:$E$11000,"Mio")</f>
        <v>0</v>
      </c>
      <c r="R1530" s="52">
        <f ca="1">SUMIFS(OUT!$F$2:$F$11000,OUT!$H$2:$H$11000,H1530,OUT!$D$2:$D$11000,"Out",OUT!$E$2:$E$11000,"Sedekah")</f>
        <v>0</v>
      </c>
      <c r="S1530" s="52">
        <f ca="1">SUMIFS(OUT!$F$2:$F$11000,OUT!$H$2:$H$11000,H1530,OUT!$D$2:$D$11000,"Out",OUT!$E$2:$E$11000,"Zela")</f>
        <v>0</v>
      </c>
      <c r="T1530" s="52">
        <f ca="1">SUMIFS(OUT!$F$2:$F$11000,OUT!$H$2:$H$11000,H1530,OUT!$D$2:$D$11000,"Out",OUT!$E$2:$E$11000,"Iqbal")</f>
        <v>0</v>
      </c>
    </row>
    <row r="1531" spans="7:20" x14ac:dyDescent="0.2">
      <c r="G1531" s="50"/>
      <c r="H1531" s="51" t="str">
        <f t="shared" si="0"/>
        <v/>
      </c>
      <c r="I1531" s="52" t="e">
        <f>SUMIFS(OUT!$F$2:$F$11000,OUT!$H$2:$H$11000,H1531,OUT!$D$2:$D$101007,"In")</f>
        <v>#VALUE!</v>
      </c>
      <c r="J1531" s="52">
        <f ca="1">SUMIFS(OUT!$F$2:$F$11000,OUT!$H$2:$H$11000,H1531,OUT!$D$2:$D$11000,"Out")</f>
        <v>0</v>
      </c>
      <c r="K1531" s="52">
        <f ca="1">SUMIFS(OUT!$F$2:$F$11000,OUT!$H$2:$H$11000,H1531,OUT!$D$2:$D$11000,"Out",OUT!$E$2:$E$11000,"Fix")</f>
        <v>0</v>
      </c>
      <c r="L1531" s="52">
        <f ca="1">SUMIFS(OUT!$F$2:$F$11000,OUT!$H$2:$H$11000,H1531,OUT!$D$2:$D$11000,"Out",OUT!$E$2:$E$11000,"Bathroom")</f>
        <v>0</v>
      </c>
      <c r="M1531" s="52">
        <f ca="1">SUMIFS(OUT!$F$2:$F$11000,OUT!$H$2:$H$11000,H1531,OUT!$D$2:$D$11000,"Out",OUT!$E$2:$E$11000,"Alfa")</f>
        <v>0</v>
      </c>
      <c r="N1531" s="52" t="e">
        <f>SUMIFS(OUT!$F$2:$F$11000,OUT!$H$2:$H$101007,H1531,OUT!$D$2:$D$11000,"Out",OUT!$E$2:$E$11000,"Jajan")</f>
        <v>#VALUE!</v>
      </c>
      <c r="O1531" s="52">
        <f ca="1">SUMIFS(OUT!$F$2:$F$11000,OUT!$H$2:$H$11000,H1531,OUT!$D$2:$D$11000,"Out",OUT!$E$2:$E$11000,"Kitchen")</f>
        <v>0</v>
      </c>
      <c r="P1531" s="52">
        <f ca="1">SUMIFS(OUT!$F$2:$F$11000,OUT!$H$2:$H$11000,H1531,OUT!$D$2:$D$11000,"Out",OUT!$E$2:$E$11000,"Loandry")</f>
        <v>0</v>
      </c>
      <c r="Q1531" s="52">
        <f ca="1">SUMIFS(OUT!$F$2:$F$11000,OUT!$H$2:$H$11000,H1531,OUT!$D$2:$D$11000,"Out",OUT!$E$2:$E$11000,"Mio")</f>
        <v>0</v>
      </c>
      <c r="R1531" s="52">
        <f ca="1">SUMIFS(OUT!$F$2:$F$11000,OUT!$H$2:$H$11000,H1531,OUT!$D$2:$D$11000,"Out",OUT!$E$2:$E$11000,"Sedekah")</f>
        <v>0</v>
      </c>
      <c r="S1531" s="52">
        <f ca="1">SUMIFS(OUT!$F$2:$F$11000,OUT!$H$2:$H$11000,H1531,OUT!$D$2:$D$11000,"Out",OUT!$E$2:$E$11000,"Zela")</f>
        <v>0</v>
      </c>
      <c r="T1531" s="52">
        <f ca="1">SUMIFS(OUT!$F$2:$F$11000,OUT!$H$2:$H$11000,H1531,OUT!$D$2:$D$11000,"Out",OUT!$E$2:$E$11000,"Iqbal")</f>
        <v>0</v>
      </c>
    </row>
    <row r="1532" spans="7:20" x14ac:dyDescent="0.2">
      <c r="G1532" s="50"/>
      <c r="H1532" s="51" t="str">
        <f t="shared" si="0"/>
        <v/>
      </c>
      <c r="I1532" s="52" t="e">
        <f>SUMIFS(OUT!$F$2:$F$11000,OUT!$H$2:$H$11000,H1532,OUT!$D$2:$D$101007,"In")</f>
        <v>#VALUE!</v>
      </c>
      <c r="J1532" s="52">
        <f ca="1">SUMIFS(OUT!$F$2:$F$11000,OUT!$H$2:$H$11000,H1532,OUT!$D$2:$D$11000,"Out")</f>
        <v>0</v>
      </c>
      <c r="K1532" s="52">
        <f ca="1">SUMIFS(OUT!$F$2:$F$11000,OUT!$H$2:$H$11000,H1532,OUT!$D$2:$D$11000,"Out",OUT!$E$2:$E$11000,"Fix")</f>
        <v>0</v>
      </c>
      <c r="L1532" s="52">
        <f ca="1">SUMIFS(OUT!$F$2:$F$11000,OUT!$H$2:$H$11000,H1532,OUT!$D$2:$D$11000,"Out",OUT!$E$2:$E$11000,"Bathroom")</f>
        <v>0</v>
      </c>
      <c r="M1532" s="52">
        <f ca="1">SUMIFS(OUT!$F$2:$F$11000,OUT!$H$2:$H$11000,H1532,OUT!$D$2:$D$11000,"Out",OUT!$E$2:$E$11000,"Alfa")</f>
        <v>0</v>
      </c>
      <c r="N1532" s="52" t="e">
        <f>SUMIFS(OUT!$F$2:$F$11000,OUT!$H$2:$H$101007,H1532,OUT!$D$2:$D$11000,"Out",OUT!$E$2:$E$11000,"Jajan")</f>
        <v>#VALUE!</v>
      </c>
      <c r="O1532" s="52">
        <f ca="1">SUMIFS(OUT!$F$2:$F$11000,OUT!$H$2:$H$11000,H1532,OUT!$D$2:$D$11000,"Out",OUT!$E$2:$E$11000,"Kitchen")</f>
        <v>0</v>
      </c>
      <c r="P1532" s="52">
        <f ca="1">SUMIFS(OUT!$F$2:$F$11000,OUT!$H$2:$H$11000,H1532,OUT!$D$2:$D$11000,"Out",OUT!$E$2:$E$11000,"Loandry")</f>
        <v>0</v>
      </c>
      <c r="Q1532" s="52">
        <f ca="1">SUMIFS(OUT!$F$2:$F$11000,OUT!$H$2:$H$11000,H1532,OUT!$D$2:$D$11000,"Out",OUT!$E$2:$E$11000,"Mio")</f>
        <v>0</v>
      </c>
      <c r="R1532" s="52">
        <f ca="1">SUMIFS(OUT!$F$2:$F$11000,OUT!$H$2:$H$11000,H1532,OUT!$D$2:$D$11000,"Out",OUT!$E$2:$E$11000,"Sedekah")</f>
        <v>0</v>
      </c>
      <c r="S1532" s="52">
        <f ca="1">SUMIFS(OUT!$F$2:$F$11000,OUT!$H$2:$H$11000,H1532,OUT!$D$2:$D$11000,"Out",OUT!$E$2:$E$11000,"Zela")</f>
        <v>0</v>
      </c>
      <c r="T1532" s="52">
        <f ca="1">SUMIFS(OUT!$F$2:$F$11000,OUT!$H$2:$H$11000,H1532,OUT!$D$2:$D$11000,"Out",OUT!$E$2:$E$11000,"Iqbal")</f>
        <v>0</v>
      </c>
    </row>
    <row r="1533" spans="7:20" x14ac:dyDescent="0.2">
      <c r="G1533" s="50"/>
      <c r="H1533" s="51" t="str">
        <f t="shared" si="0"/>
        <v/>
      </c>
      <c r="I1533" s="52" t="e">
        <f>SUMIFS(OUT!$F$2:$F$11000,OUT!$H$2:$H$11000,H1533,OUT!$D$2:$D$101007,"In")</f>
        <v>#VALUE!</v>
      </c>
      <c r="J1533" s="52">
        <f ca="1">SUMIFS(OUT!$F$2:$F$11000,OUT!$H$2:$H$11000,H1533,OUT!$D$2:$D$11000,"Out")</f>
        <v>0</v>
      </c>
      <c r="K1533" s="52">
        <f ca="1">SUMIFS(OUT!$F$2:$F$11000,OUT!$H$2:$H$11000,H1533,OUT!$D$2:$D$11000,"Out",OUT!$E$2:$E$11000,"Fix")</f>
        <v>0</v>
      </c>
      <c r="L1533" s="52">
        <f ca="1">SUMIFS(OUT!$F$2:$F$11000,OUT!$H$2:$H$11000,H1533,OUT!$D$2:$D$11000,"Out",OUT!$E$2:$E$11000,"Bathroom")</f>
        <v>0</v>
      </c>
      <c r="M1533" s="52">
        <f ca="1">SUMIFS(OUT!$F$2:$F$11000,OUT!$H$2:$H$11000,H1533,OUT!$D$2:$D$11000,"Out",OUT!$E$2:$E$11000,"Alfa")</f>
        <v>0</v>
      </c>
      <c r="N1533" s="52" t="e">
        <f>SUMIFS(OUT!$F$2:$F$11000,OUT!$H$2:$H$101007,H1533,OUT!$D$2:$D$11000,"Out",OUT!$E$2:$E$11000,"Jajan")</f>
        <v>#VALUE!</v>
      </c>
      <c r="O1533" s="52">
        <f ca="1">SUMIFS(OUT!$F$2:$F$11000,OUT!$H$2:$H$11000,H1533,OUT!$D$2:$D$11000,"Out",OUT!$E$2:$E$11000,"Kitchen")</f>
        <v>0</v>
      </c>
      <c r="P1533" s="52">
        <f ca="1">SUMIFS(OUT!$F$2:$F$11000,OUT!$H$2:$H$11000,H1533,OUT!$D$2:$D$11000,"Out",OUT!$E$2:$E$11000,"Loandry")</f>
        <v>0</v>
      </c>
      <c r="Q1533" s="52">
        <f ca="1">SUMIFS(OUT!$F$2:$F$11000,OUT!$H$2:$H$11000,H1533,OUT!$D$2:$D$11000,"Out",OUT!$E$2:$E$11000,"Mio")</f>
        <v>0</v>
      </c>
      <c r="R1533" s="52">
        <f ca="1">SUMIFS(OUT!$F$2:$F$11000,OUT!$H$2:$H$11000,H1533,OUT!$D$2:$D$11000,"Out",OUT!$E$2:$E$11000,"Sedekah")</f>
        <v>0</v>
      </c>
      <c r="S1533" s="52">
        <f ca="1">SUMIFS(OUT!$F$2:$F$11000,OUT!$H$2:$H$11000,H1533,OUT!$D$2:$D$11000,"Out",OUT!$E$2:$E$11000,"Zela")</f>
        <v>0</v>
      </c>
      <c r="T1533" s="52">
        <f ca="1">SUMIFS(OUT!$F$2:$F$11000,OUT!$H$2:$H$11000,H1533,OUT!$D$2:$D$11000,"Out",OUT!$E$2:$E$11000,"Iqbal")</f>
        <v>0</v>
      </c>
    </row>
    <row r="1534" spans="7:20" x14ac:dyDescent="0.2">
      <c r="G1534" s="50"/>
      <c r="H1534" s="51" t="str">
        <f t="shared" si="0"/>
        <v/>
      </c>
      <c r="I1534" s="52" t="e">
        <f>SUMIFS(OUT!$F$2:$F$11000,OUT!$H$2:$H$11000,H1534,OUT!$D$2:$D$101007,"In")</f>
        <v>#VALUE!</v>
      </c>
      <c r="J1534" s="52">
        <f ca="1">SUMIFS(OUT!$F$2:$F$11000,OUT!$H$2:$H$11000,H1534,OUT!$D$2:$D$11000,"Out")</f>
        <v>0</v>
      </c>
      <c r="K1534" s="52">
        <f ca="1">SUMIFS(OUT!$F$2:$F$11000,OUT!$H$2:$H$11000,H1534,OUT!$D$2:$D$11000,"Out",OUT!$E$2:$E$11000,"Fix")</f>
        <v>0</v>
      </c>
      <c r="L1534" s="52">
        <f ca="1">SUMIFS(OUT!$F$2:$F$11000,OUT!$H$2:$H$11000,H1534,OUT!$D$2:$D$11000,"Out",OUT!$E$2:$E$11000,"Bathroom")</f>
        <v>0</v>
      </c>
      <c r="M1534" s="52">
        <f ca="1">SUMIFS(OUT!$F$2:$F$11000,OUT!$H$2:$H$11000,H1534,OUT!$D$2:$D$11000,"Out",OUT!$E$2:$E$11000,"Alfa")</f>
        <v>0</v>
      </c>
      <c r="N1534" s="52" t="e">
        <f>SUMIFS(OUT!$F$2:$F$11000,OUT!$H$2:$H$101007,H1534,OUT!$D$2:$D$11000,"Out",OUT!$E$2:$E$11000,"Jajan")</f>
        <v>#VALUE!</v>
      </c>
      <c r="O1534" s="52">
        <f ca="1">SUMIFS(OUT!$F$2:$F$11000,OUT!$H$2:$H$11000,H1534,OUT!$D$2:$D$11000,"Out",OUT!$E$2:$E$11000,"Kitchen")</f>
        <v>0</v>
      </c>
      <c r="P1534" s="52">
        <f ca="1">SUMIFS(OUT!$F$2:$F$11000,OUT!$H$2:$H$11000,H1534,OUT!$D$2:$D$11000,"Out",OUT!$E$2:$E$11000,"Loandry")</f>
        <v>0</v>
      </c>
      <c r="Q1534" s="52">
        <f ca="1">SUMIFS(OUT!$F$2:$F$11000,OUT!$H$2:$H$11000,H1534,OUT!$D$2:$D$11000,"Out",OUT!$E$2:$E$11000,"Mio")</f>
        <v>0</v>
      </c>
      <c r="R1534" s="52">
        <f ca="1">SUMIFS(OUT!$F$2:$F$11000,OUT!$H$2:$H$11000,H1534,OUT!$D$2:$D$11000,"Out",OUT!$E$2:$E$11000,"Sedekah")</f>
        <v>0</v>
      </c>
      <c r="S1534" s="52">
        <f ca="1">SUMIFS(OUT!$F$2:$F$11000,OUT!$H$2:$H$11000,H1534,OUT!$D$2:$D$11000,"Out",OUT!$E$2:$E$11000,"Zela")</f>
        <v>0</v>
      </c>
      <c r="T1534" s="52">
        <f ca="1">SUMIFS(OUT!$F$2:$F$11000,OUT!$H$2:$H$11000,H1534,OUT!$D$2:$D$11000,"Out",OUT!$E$2:$E$11000,"Iqbal")</f>
        <v>0</v>
      </c>
    </row>
    <row r="1535" spans="7:20" x14ac:dyDescent="0.2">
      <c r="G1535" s="50"/>
      <c r="H1535" s="51" t="str">
        <f t="shared" si="0"/>
        <v/>
      </c>
      <c r="I1535" s="52" t="e">
        <f>SUMIFS(OUT!$F$2:$F$11000,OUT!$H$2:$H$11000,H1535,OUT!$D$2:$D$101007,"In")</f>
        <v>#VALUE!</v>
      </c>
      <c r="J1535" s="52">
        <f ca="1">SUMIFS(OUT!$F$2:$F$11000,OUT!$H$2:$H$11000,H1535,OUT!$D$2:$D$11000,"Out")</f>
        <v>0</v>
      </c>
      <c r="K1535" s="52">
        <f ca="1">SUMIFS(OUT!$F$2:$F$11000,OUT!$H$2:$H$11000,H1535,OUT!$D$2:$D$11000,"Out",OUT!$E$2:$E$11000,"Fix")</f>
        <v>0</v>
      </c>
      <c r="L1535" s="52">
        <f ca="1">SUMIFS(OUT!$F$2:$F$11000,OUT!$H$2:$H$11000,H1535,OUT!$D$2:$D$11000,"Out",OUT!$E$2:$E$11000,"Bathroom")</f>
        <v>0</v>
      </c>
      <c r="M1535" s="52">
        <f ca="1">SUMIFS(OUT!$F$2:$F$11000,OUT!$H$2:$H$11000,H1535,OUT!$D$2:$D$11000,"Out",OUT!$E$2:$E$11000,"Alfa")</f>
        <v>0</v>
      </c>
      <c r="N1535" s="52" t="e">
        <f>SUMIFS(OUT!$F$2:$F$11000,OUT!$H$2:$H$101007,H1535,OUT!$D$2:$D$11000,"Out",OUT!$E$2:$E$11000,"Jajan")</f>
        <v>#VALUE!</v>
      </c>
      <c r="O1535" s="52">
        <f ca="1">SUMIFS(OUT!$F$2:$F$11000,OUT!$H$2:$H$11000,H1535,OUT!$D$2:$D$11000,"Out",OUT!$E$2:$E$11000,"Kitchen")</f>
        <v>0</v>
      </c>
      <c r="P1535" s="52">
        <f ca="1">SUMIFS(OUT!$F$2:$F$11000,OUT!$H$2:$H$11000,H1535,OUT!$D$2:$D$11000,"Out",OUT!$E$2:$E$11000,"Loandry")</f>
        <v>0</v>
      </c>
      <c r="Q1535" s="52">
        <f ca="1">SUMIFS(OUT!$F$2:$F$11000,OUT!$H$2:$H$11000,H1535,OUT!$D$2:$D$11000,"Out",OUT!$E$2:$E$11000,"Mio")</f>
        <v>0</v>
      </c>
      <c r="R1535" s="52">
        <f ca="1">SUMIFS(OUT!$F$2:$F$11000,OUT!$H$2:$H$11000,H1535,OUT!$D$2:$D$11000,"Out",OUT!$E$2:$E$11000,"Sedekah")</f>
        <v>0</v>
      </c>
      <c r="S1535" s="52">
        <f ca="1">SUMIFS(OUT!$F$2:$F$11000,OUT!$H$2:$H$11000,H1535,OUT!$D$2:$D$11000,"Out",OUT!$E$2:$E$11000,"Zela")</f>
        <v>0</v>
      </c>
      <c r="T1535" s="52">
        <f ca="1">SUMIFS(OUT!$F$2:$F$11000,OUT!$H$2:$H$11000,H1535,OUT!$D$2:$D$11000,"Out",OUT!$E$2:$E$11000,"Iqbal")</f>
        <v>0</v>
      </c>
    </row>
    <row r="1536" spans="7:20" x14ac:dyDescent="0.2">
      <c r="G1536" s="50"/>
      <c r="H1536" s="51" t="str">
        <f t="shared" si="0"/>
        <v/>
      </c>
      <c r="I1536" s="52" t="e">
        <f>SUMIFS(OUT!$F$2:$F$11000,OUT!$H$2:$H$11000,H1536,OUT!$D$2:$D$101007,"In")</f>
        <v>#VALUE!</v>
      </c>
      <c r="J1536" s="52">
        <f ca="1">SUMIFS(OUT!$F$2:$F$11000,OUT!$H$2:$H$11000,H1536,OUT!$D$2:$D$11000,"Out")</f>
        <v>0</v>
      </c>
      <c r="K1536" s="52">
        <f ca="1">SUMIFS(OUT!$F$2:$F$11000,OUT!$H$2:$H$11000,H1536,OUT!$D$2:$D$11000,"Out",OUT!$E$2:$E$11000,"Fix")</f>
        <v>0</v>
      </c>
      <c r="L1536" s="52">
        <f ca="1">SUMIFS(OUT!$F$2:$F$11000,OUT!$H$2:$H$11000,H1536,OUT!$D$2:$D$11000,"Out",OUT!$E$2:$E$11000,"Bathroom")</f>
        <v>0</v>
      </c>
      <c r="M1536" s="52">
        <f ca="1">SUMIFS(OUT!$F$2:$F$11000,OUT!$H$2:$H$11000,H1536,OUT!$D$2:$D$11000,"Out",OUT!$E$2:$E$11000,"Alfa")</f>
        <v>0</v>
      </c>
      <c r="N1536" s="52" t="e">
        <f>SUMIFS(OUT!$F$2:$F$11000,OUT!$H$2:$H$101007,H1536,OUT!$D$2:$D$11000,"Out",OUT!$E$2:$E$11000,"Jajan")</f>
        <v>#VALUE!</v>
      </c>
      <c r="O1536" s="52">
        <f ca="1">SUMIFS(OUT!$F$2:$F$11000,OUT!$H$2:$H$11000,H1536,OUT!$D$2:$D$11000,"Out",OUT!$E$2:$E$11000,"Kitchen")</f>
        <v>0</v>
      </c>
      <c r="P1536" s="52">
        <f ca="1">SUMIFS(OUT!$F$2:$F$11000,OUT!$H$2:$H$11000,H1536,OUT!$D$2:$D$11000,"Out",OUT!$E$2:$E$11000,"Loandry")</f>
        <v>0</v>
      </c>
      <c r="Q1536" s="52">
        <f ca="1">SUMIFS(OUT!$F$2:$F$11000,OUT!$H$2:$H$11000,H1536,OUT!$D$2:$D$11000,"Out",OUT!$E$2:$E$11000,"Mio")</f>
        <v>0</v>
      </c>
      <c r="R1536" s="52">
        <f ca="1">SUMIFS(OUT!$F$2:$F$11000,OUT!$H$2:$H$11000,H1536,OUT!$D$2:$D$11000,"Out",OUT!$E$2:$E$11000,"Sedekah")</f>
        <v>0</v>
      </c>
      <c r="S1536" s="52">
        <f ca="1">SUMIFS(OUT!$F$2:$F$11000,OUT!$H$2:$H$11000,H1536,OUT!$D$2:$D$11000,"Out",OUT!$E$2:$E$11000,"Zela")</f>
        <v>0</v>
      </c>
      <c r="T1536" s="52">
        <f ca="1">SUMIFS(OUT!$F$2:$F$11000,OUT!$H$2:$H$11000,H1536,OUT!$D$2:$D$11000,"Out",OUT!$E$2:$E$11000,"Iqbal")</f>
        <v>0</v>
      </c>
    </row>
    <row r="1537" spans="7:20" x14ac:dyDescent="0.2">
      <c r="G1537" s="50"/>
      <c r="H1537" s="51" t="str">
        <f t="shared" si="0"/>
        <v/>
      </c>
      <c r="I1537" s="52" t="e">
        <f>SUMIFS(OUT!$F$2:$F$11000,OUT!$H$2:$H$11000,H1537,OUT!$D$2:$D$101007,"In")</f>
        <v>#VALUE!</v>
      </c>
      <c r="J1537" s="52">
        <f ca="1">SUMIFS(OUT!$F$2:$F$11000,OUT!$H$2:$H$11000,H1537,OUT!$D$2:$D$11000,"Out")</f>
        <v>0</v>
      </c>
      <c r="K1537" s="52">
        <f ca="1">SUMIFS(OUT!$F$2:$F$11000,OUT!$H$2:$H$11000,H1537,OUT!$D$2:$D$11000,"Out",OUT!$E$2:$E$11000,"Fix")</f>
        <v>0</v>
      </c>
      <c r="L1537" s="52">
        <f ca="1">SUMIFS(OUT!$F$2:$F$11000,OUT!$H$2:$H$11000,H1537,OUT!$D$2:$D$11000,"Out",OUT!$E$2:$E$11000,"Bathroom")</f>
        <v>0</v>
      </c>
      <c r="M1537" s="52">
        <f ca="1">SUMIFS(OUT!$F$2:$F$11000,OUT!$H$2:$H$11000,H1537,OUT!$D$2:$D$11000,"Out",OUT!$E$2:$E$11000,"Alfa")</f>
        <v>0</v>
      </c>
      <c r="N1537" s="52" t="e">
        <f>SUMIFS(OUT!$F$2:$F$11000,OUT!$H$2:$H$101007,H1537,OUT!$D$2:$D$11000,"Out",OUT!$E$2:$E$11000,"Jajan")</f>
        <v>#VALUE!</v>
      </c>
      <c r="O1537" s="52">
        <f ca="1">SUMIFS(OUT!$F$2:$F$11000,OUT!$H$2:$H$11000,H1537,OUT!$D$2:$D$11000,"Out",OUT!$E$2:$E$11000,"Kitchen")</f>
        <v>0</v>
      </c>
      <c r="P1537" s="52">
        <f ca="1">SUMIFS(OUT!$F$2:$F$11000,OUT!$H$2:$H$11000,H1537,OUT!$D$2:$D$11000,"Out",OUT!$E$2:$E$11000,"Loandry")</f>
        <v>0</v>
      </c>
      <c r="Q1537" s="52">
        <f ca="1">SUMIFS(OUT!$F$2:$F$11000,OUT!$H$2:$H$11000,H1537,OUT!$D$2:$D$11000,"Out",OUT!$E$2:$E$11000,"Mio")</f>
        <v>0</v>
      </c>
      <c r="R1537" s="52">
        <f ca="1">SUMIFS(OUT!$F$2:$F$11000,OUT!$H$2:$H$11000,H1537,OUT!$D$2:$D$11000,"Out",OUT!$E$2:$E$11000,"Sedekah")</f>
        <v>0</v>
      </c>
      <c r="S1537" s="52">
        <f ca="1">SUMIFS(OUT!$F$2:$F$11000,OUT!$H$2:$H$11000,H1537,OUT!$D$2:$D$11000,"Out",OUT!$E$2:$E$11000,"Zela")</f>
        <v>0</v>
      </c>
      <c r="T1537" s="52">
        <f ca="1">SUMIFS(OUT!$F$2:$F$11000,OUT!$H$2:$H$11000,H1537,OUT!$D$2:$D$11000,"Out",OUT!$E$2:$E$11000,"Iqbal")</f>
        <v>0</v>
      </c>
    </row>
    <row r="1538" spans="7:20" x14ac:dyDescent="0.2">
      <c r="G1538" s="50"/>
      <c r="H1538" s="51" t="str">
        <f t="shared" si="0"/>
        <v/>
      </c>
      <c r="I1538" s="52" t="e">
        <f>SUMIFS(OUT!$F$2:$F$11000,OUT!$H$2:$H$11000,H1538,OUT!$D$2:$D$101007,"In")</f>
        <v>#VALUE!</v>
      </c>
      <c r="J1538" s="52">
        <f ca="1">SUMIFS(OUT!$F$2:$F$11000,OUT!$H$2:$H$11000,H1538,OUT!$D$2:$D$11000,"Out")</f>
        <v>0</v>
      </c>
      <c r="K1538" s="52">
        <f ca="1">SUMIFS(OUT!$F$2:$F$11000,OUT!$H$2:$H$11000,H1538,OUT!$D$2:$D$11000,"Out",OUT!$E$2:$E$11000,"Fix")</f>
        <v>0</v>
      </c>
      <c r="L1538" s="52">
        <f ca="1">SUMIFS(OUT!$F$2:$F$11000,OUT!$H$2:$H$11000,H1538,OUT!$D$2:$D$11000,"Out",OUT!$E$2:$E$11000,"Bathroom")</f>
        <v>0</v>
      </c>
      <c r="M1538" s="52">
        <f ca="1">SUMIFS(OUT!$F$2:$F$11000,OUT!$H$2:$H$11000,H1538,OUT!$D$2:$D$11000,"Out",OUT!$E$2:$E$11000,"Alfa")</f>
        <v>0</v>
      </c>
      <c r="N1538" s="52" t="e">
        <f>SUMIFS(OUT!$F$2:$F$11000,OUT!$H$2:$H$101007,H1538,OUT!$D$2:$D$11000,"Out",OUT!$E$2:$E$11000,"Jajan")</f>
        <v>#VALUE!</v>
      </c>
      <c r="O1538" s="52">
        <f ca="1">SUMIFS(OUT!$F$2:$F$11000,OUT!$H$2:$H$11000,H1538,OUT!$D$2:$D$11000,"Out",OUT!$E$2:$E$11000,"Kitchen")</f>
        <v>0</v>
      </c>
      <c r="P1538" s="52">
        <f ca="1">SUMIFS(OUT!$F$2:$F$11000,OUT!$H$2:$H$11000,H1538,OUT!$D$2:$D$11000,"Out",OUT!$E$2:$E$11000,"Loandry")</f>
        <v>0</v>
      </c>
      <c r="Q1538" s="52">
        <f ca="1">SUMIFS(OUT!$F$2:$F$11000,OUT!$H$2:$H$11000,H1538,OUT!$D$2:$D$11000,"Out",OUT!$E$2:$E$11000,"Mio")</f>
        <v>0</v>
      </c>
      <c r="R1538" s="52">
        <f ca="1">SUMIFS(OUT!$F$2:$F$11000,OUT!$H$2:$H$11000,H1538,OUT!$D$2:$D$11000,"Out",OUT!$E$2:$E$11000,"Sedekah")</f>
        <v>0</v>
      </c>
      <c r="S1538" s="52">
        <f ca="1">SUMIFS(OUT!$F$2:$F$11000,OUT!$H$2:$H$11000,H1538,OUT!$D$2:$D$11000,"Out",OUT!$E$2:$E$11000,"Zela")</f>
        <v>0</v>
      </c>
      <c r="T1538" s="52">
        <f ca="1">SUMIFS(OUT!$F$2:$F$11000,OUT!$H$2:$H$11000,H1538,OUT!$D$2:$D$11000,"Out",OUT!$E$2:$E$11000,"Iqbal")</f>
        <v>0</v>
      </c>
    </row>
    <row r="1539" spans="7:20" x14ac:dyDescent="0.2">
      <c r="G1539" s="50"/>
      <c r="H1539" s="51" t="str">
        <f t="shared" si="0"/>
        <v/>
      </c>
      <c r="I1539" s="52" t="e">
        <f>SUMIFS(OUT!$F$2:$F$11000,OUT!$H$2:$H$11000,H1539,OUT!$D$2:$D$101007,"In")</f>
        <v>#VALUE!</v>
      </c>
      <c r="J1539" s="52">
        <f ca="1">SUMIFS(OUT!$F$2:$F$11000,OUT!$H$2:$H$11000,H1539,OUT!$D$2:$D$11000,"Out")</f>
        <v>0</v>
      </c>
      <c r="K1539" s="52">
        <f ca="1">SUMIFS(OUT!$F$2:$F$11000,OUT!$H$2:$H$11000,H1539,OUT!$D$2:$D$11000,"Out",OUT!$E$2:$E$11000,"Fix")</f>
        <v>0</v>
      </c>
      <c r="L1539" s="52">
        <f ca="1">SUMIFS(OUT!$F$2:$F$11000,OUT!$H$2:$H$11000,H1539,OUT!$D$2:$D$11000,"Out",OUT!$E$2:$E$11000,"Bathroom")</f>
        <v>0</v>
      </c>
      <c r="M1539" s="52">
        <f ca="1">SUMIFS(OUT!$F$2:$F$11000,OUT!$H$2:$H$11000,H1539,OUT!$D$2:$D$11000,"Out",OUT!$E$2:$E$11000,"Alfa")</f>
        <v>0</v>
      </c>
      <c r="N1539" s="52" t="e">
        <f>SUMIFS(OUT!$F$2:$F$11000,OUT!$H$2:$H$101007,H1539,OUT!$D$2:$D$11000,"Out",OUT!$E$2:$E$11000,"Jajan")</f>
        <v>#VALUE!</v>
      </c>
      <c r="O1539" s="52">
        <f ca="1">SUMIFS(OUT!$F$2:$F$11000,OUT!$H$2:$H$11000,H1539,OUT!$D$2:$D$11000,"Out",OUT!$E$2:$E$11000,"Kitchen")</f>
        <v>0</v>
      </c>
      <c r="P1539" s="52">
        <f ca="1">SUMIFS(OUT!$F$2:$F$11000,OUT!$H$2:$H$11000,H1539,OUT!$D$2:$D$11000,"Out",OUT!$E$2:$E$11000,"Loandry")</f>
        <v>0</v>
      </c>
      <c r="Q1539" s="52">
        <f ca="1">SUMIFS(OUT!$F$2:$F$11000,OUT!$H$2:$H$11000,H1539,OUT!$D$2:$D$11000,"Out",OUT!$E$2:$E$11000,"Mio")</f>
        <v>0</v>
      </c>
      <c r="R1539" s="52">
        <f ca="1">SUMIFS(OUT!$F$2:$F$11000,OUT!$H$2:$H$11000,H1539,OUT!$D$2:$D$11000,"Out",OUT!$E$2:$E$11000,"Sedekah")</f>
        <v>0</v>
      </c>
      <c r="S1539" s="52">
        <f ca="1">SUMIFS(OUT!$F$2:$F$11000,OUT!$H$2:$H$11000,H1539,OUT!$D$2:$D$11000,"Out",OUT!$E$2:$E$11000,"Zela")</f>
        <v>0</v>
      </c>
      <c r="T1539" s="52">
        <f ca="1">SUMIFS(OUT!$F$2:$F$11000,OUT!$H$2:$H$11000,H1539,OUT!$D$2:$D$11000,"Out",OUT!$E$2:$E$11000,"Iqbal")</f>
        <v>0</v>
      </c>
    </row>
    <row r="1540" spans="7:20" x14ac:dyDescent="0.2">
      <c r="G1540" s="50"/>
      <c r="H1540" s="51" t="str">
        <f t="shared" si="0"/>
        <v/>
      </c>
      <c r="I1540" s="52" t="e">
        <f>SUMIFS(OUT!$F$2:$F$11000,OUT!$H$2:$H$11000,H1540,OUT!$D$2:$D$101007,"In")</f>
        <v>#VALUE!</v>
      </c>
      <c r="J1540" s="52">
        <f ca="1">SUMIFS(OUT!$F$2:$F$11000,OUT!$H$2:$H$11000,H1540,OUT!$D$2:$D$11000,"Out")</f>
        <v>0</v>
      </c>
      <c r="K1540" s="52">
        <f ca="1">SUMIFS(OUT!$F$2:$F$11000,OUT!$H$2:$H$11000,H1540,OUT!$D$2:$D$11000,"Out",OUT!$E$2:$E$11000,"Fix")</f>
        <v>0</v>
      </c>
      <c r="L1540" s="52">
        <f ca="1">SUMIFS(OUT!$F$2:$F$11000,OUT!$H$2:$H$11000,H1540,OUT!$D$2:$D$11000,"Out",OUT!$E$2:$E$11000,"Bathroom")</f>
        <v>0</v>
      </c>
      <c r="M1540" s="52">
        <f ca="1">SUMIFS(OUT!$F$2:$F$11000,OUT!$H$2:$H$11000,H1540,OUT!$D$2:$D$11000,"Out",OUT!$E$2:$E$11000,"Alfa")</f>
        <v>0</v>
      </c>
      <c r="N1540" s="52" t="e">
        <f>SUMIFS(OUT!$F$2:$F$11000,OUT!$H$2:$H$101007,H1540,OUT!$D$2:$D$11000,"Out",OUT!$E$2:$E$11000,"Jajan")</f>
        <v>#VALUE!</v>
      </c>
      <c r="O1540" s="52">
        <f ca="1">SUMIFS(OUT!$F$2:$F$11000,OUT!$H$2:$H$11000,H1540,OUT!$D$2:$D$11000,"Out",OUT!$E$2:$E$11000,"Kitchen")</f>
        <v>0</v>
      </c>
      <c r="P1540" s="52">
        <f ca="1">SUMIFS(OUT!$F$2:$F$11000,OUT!$H$2:$H$11000,H1540,OUT!$D$2:$D$11000,"Out",OUT!$E$2:$E$11000,"Loandry")</f>
        <v>0</v>
      </c>
      <c r="Q1540" s="52">
        <f ca="1">SUMIFS(OUT!$F$2:$F$11000,OUT!$H$2:$H$11000,H1540,OUT!$D$2:$D$11000,"Out",OUT!$E$2:$E$11000,"Mio")</f>
        <v>0</v>
      </c>
      <c r="R1540" s="52">
        <f ca="1">SUMIFS(OUT!$F$2:$F$11000,OUT!$H$2:$H$11000,H1540,OUT!$D$2:$D$11000,"Out",OUT!$E$2:$E$11000,"Sedekah")</f>
        <v>0</v>
      </c>
      <c r="S1540" s="52">
        <f ca="1">SUMIFS(OUT!$F$2:$F$11000,OUT!$H$2:$H$11000,H1540,OUT!$D$2:$D$11000,"Out",OUT!$E$2:$E$11000,"Zela")</f>
        <v>0</v>
      </c>
      <c r="T1540" s="52">
        <f ca="1">SUMIFS(OUT!$F$2:$F$11000,OUT!$H$2:$H$11000,H1540,OUT!$D$2:$D$11000,"Out",OUT!$E$2:$E$11000,"Iqbal")</f>
        <v>0</v>
      </c>
    </row>
    <row r="1541" spans="7:20" x14ac:dyDescent="0.2">
      <c r="G1541" s="50"/>
      <c r="H1541" s="51" t="str">
        <f t="shared" si="0"/>
        <v/>
      </c>
      <c r="I1541" s="52" t="e">
        <f>SUMIFS(OUT!$F$2:$F$11000,OUT!$H$2:$H$11000,H1541,OUT!$D$2:$D$101007,"In")</f>
        <v>#VALUE!</v>
      </c>
      <c r="J1541" s="52">
        <f ca="1">SUMIFS(OUT!$F$2:$F$11000,OUT!$H$2:$H$11000,H1541,OUT!$D$2:$D$11000,"Out")</f>
        <v>0</v>
      </c>
      <c r="K1541" s="52">
        <f ca="1">SUMIFS(OUT!$F$2:$F$11000,OUT!$H$2:$H$11000,H1541,OUT!$D$2:$D$11000,"Out",OUT!$E$2:$E$11000,"Fix")</f>
        <v>0</v>
      </c>
      <c r="L1541" s="52">
        <f ca="1">SUMIFS(OUT!$F$2:$F$11000,OUT!$H$2:$H$11000,H1541,OUT!$D$2:$D$11000,"Out",OUT!$E$2:$E$11000,"Bathroom")</f>
        <v>0</v>
      </c>
      <c r="M1541" s="52">
        <f ca="1">SUMIFS(OUT!$F$2:$F$11000,OUT!$H$2:$H$11000,H1541,OUT!$D$2:$D$11000,"Out",OUT!$E$2:$E$11000,"Alfa")</f>
        <v>0</v>
      </c>
      <c r="N1541" s="52" t="e">
        <f>SUMIFS(OUT!$F$2:$F$11000,OUT!$H$2:$H$101007,H1541,OUT!$D$2:$D$11000,"Out",OUT!$E$2:$E$11000,"Jajan")</f>
        <v>#VALUE!</v>
      </c>
      <c r="O1541" s="52">
        <f ca="1">SUMIFS(OUT!$F$2:$F$11000,OUT!$H$2:$H$11000,H1541,OUT!$D$2:$D$11000,"Out",OUT!$E$2:$E$11000,"Kitchen")</f>
        <v>0</v>
      </c>
      <c r="P1541" s="52">
        <f ca="1">SUMIFS(OUT!$F$2:$F$11000,OUT!$H$2:$H$11000,H1541,OUT!$D$2:$D$11000,"Out",OUT!$E$2:$E$11000,"Loandry")</f>
        <v>0</v>
      </c>
      <c r="Q1541" s="52">
        <f ca="1">SUMIFS(OUT!$F$2:$F$11000,OUT!$H$2:$H$11000,H1541,OUT!$D$2:$D$11000,"Out",OUT!$E$2:$E$11000,"Mio")</f>
        <v>0</v>
      </c>
      <c r="R1541" s="52">
        <f ca="1">SUMIFS(OUT!$F$2:$F$11000,OUT!$H$2:$H$11000,H1541,OUT!$D$2:$D$11000,"Out",OUT!$E$2:$E$11000,"Sedekah")</f>
        <v>0</v>
      </c>
      <c r="S1541" s="52">
        <f ca="1">SUMIFS(OUT!$F$2:$F$11000,OUT!$H$2:$H$11000,H1541,OUT!$D$2:$D$11000,"Out",OUT!$E$2:$E$11000,"Zela")</f>
        <v>0</v>
      </c>
      <c r="T1541" s="52">
        <f ca="1">SUMIFS(OUT!$F$2:$F$11000,OUT!$H$2:$H$11000,H1541,OUT!$D$2:$D$11000,"Out",OUT!$E$2:$E$11000,"Iqbal")</f>
        <v>0</v>
      </c>
    </row>
    <row r="1542" spans="7:20" x14ac:dyDescent="0.2">
      <c r="G1542" s="50"/>
      <c r="H1542" s="51" t="str">
        <f t="shared" si="0"/>
        <v/>
      </c>
      <c r="I1542" s="52" t="e">
        <f>SUMIFS(OUT!$F$2:$F$11000,OUT!$H$2:$H$11000,H1542,OUT!$D$2:$D$101007,"In")</f>
        <v>#VALUE!</v>
      </c>
      <c r="J1542" s="52">
        <f ca="1">SUMIFS(OUT!$F$2:$F$11000,OUT!$H$2:$H$11000,H1542,OUT!$D$2:$D$11000,"Out")</f>
        <v>0</v>
      </c>
      <c r="K1542" s="52">
        <f ca="1">SUMIFS(OUT!$F$2:$F$11000,OUT!$H$2:$H$11000,H1542,OUT!$D$2:$D$11000,"Out",OUT!$E$2:$E$11000,"Fix")</f>
        <v>0</v>
      </c>
      <c r="L1542" s="52">
        <f ca="1">SUMIFS(OUT!$F$2:$F$11000,OUT!$H$2:$H$11000,H1542,OUT!$D$2:$D$11000,"Out",OUT!$E$2:$E$11000,"Bathroom")</f>
        <v>0</v>
      </c>
      <c r="M1542" s="52">
        <f ca="1">SUMIFS(OUT!$F$2:$F$11000,OUT!$H$2:$H$11000,H1542,OUT!$D$2:$D$11000,"Out",OUT!$E$2:$E$11000,"Alfa")</f>
        <v>0</v>
      </c>
      <c r="N1542" s="52" t="e">
        <f>SUMIFS(OUT!$F$2:$F$11000,OUT!$H$2:$H$101007,H1542,OUT!$D$2:$D$11000,"Out",OUT!$E$2:$E$11000,"Jajan")</f>
        <v>#VALUE!</v>
      </c>
      <c r="O1542" s="52">
        <f ca="1">SUMIFS(OUT!$F$2:$F$11000,OUT!$H$2:$H$11000,H1542,OUT!$D$2:$D$11000,"Out",OUT!$E$2:$E$11000,"Kitchen")</f>
        <v>0</v>
      </c>
      <c r="P1542" s="52">
        <f ca="1">SUMIFS(OUT!$F$2:$F$11000,OUT!$H$2:$H$11000,H1542,OUT!$D$2:$D$11000,"Out",OUT!$E$2:$E$11000,"Loandry")</f>
        <v>0</v>
      </c>
      <c r="Q1542" s="52">
        <f ca="1">SUMIFS(OUT!$F$2:$F$11000,OUT!$H$2:$H$11000,H1542,OUT!$D$2:$D$11000,"Out",OUT!$E$2:$E$11000,"Mio")</f>
        <v>0</v>
      </c>
      <c r="R1542" s="52">
        <f ca="1">SUMIFS(OUT!$F$2:$F$11000,OUT!$H$2:$H$11000,H1542,OUT!$D$2:$D$11000,"Out",OUT!$E$2:$E$11000,"Sedekah")</f>
        <v>0</v>
      </c>
      <c r="S1542" s="52">
        <f ca="1">SUMIFS(OUT!$F$2:$F$11000,OUT!$H$2:$H$11000,H1542,OUT!$D$2:$D$11000,"Out",OUT!$E$2:$E$11000,"Zela")</f>
        <v>0</v>
      </c>
      <c r="T1542" s="52">
        <f ca="1">SUMIFS(OUT!$F$2:$F$11000,OUT!$H$2:$H$11000,H1542,OUT!$D$2:$D$11000,"Out",OUT!$E$2:$E$11000,"Iqbal")</f>
        <v>0</v>
      </c>
    </row>
    <row r="1543" spans="7:20" x14ac:dyDescent="0.2">
      <c r="G1543" s="50"/>
      <c r="H1543" s="51" t="str">
        <f t="shared" si="0"/>
        <v/>
      </c>
      <c r="I1543" s="52" t="e">
        <f>SUMIFS(OUT!$F$2:$F$11000,OUT!$H$2:$H$11000,H1543,OUT!$D$2:$D$101007,"In")</f>
        <v>#VALUE!</v>
      </c>
      <c r="J1543" s="52">
        <f ca="1">SUMIFS(OUT!$F$2:$F$11000,OUT!$H$2:$H$11000,H1543,OUT!$D$2:$D$11000,"Out")</f>
        <v>0</v>
      </c>
      <c r="K1543" s="52">
        <f ca="1">SUMIFS(OUT!$F$2:$F$11000,OUT!$H$2:$H$11000,H1543,OUT!$D$2:$D$11000,"Out",OUT!$E$2:$E$11000,"Fix")</f>
        <v>0</v>
      </c>
      <c r="L1543" s="52">
        <f ca="1">SUMIFS(OUT!$F$2:$F$11000,OUT!$H$2:$H$11000,H1543,OUT!$D$2:$D$11000,"Out",OUT!$E$2:$E$11000,"Bathroom")</f>
        <v>0</v>
      </c>
      <c r="M1543" s="52">
        <f ca="1">SUMIFS(OUT!$F$2:$F$11000,OUT!$H$2:$H$11000,H1543,OUT!$D$2:$D$11000,"Out",OUT!$E$2:$E$11000,"Alfa")</f>
        <v>0</v>
      </c>
      <c r="N1543" s="52" t="e">
        <f>SUMIFS(OUT!$F$2:$F$11000,OUT!$H$2:$H$101007,H1543,OUT!$D$2:$D$11000,"Out",OUT!$E$2:$E$11000,"Jajan")</f>
        <v>#VALUE!</v>
      </c>
      <c r="O1543" s="52">
        <f ca="1">SUMIFS(OUT!$F$2:$F$11000,OUT!$H$2:$H$11000,H1543,OUT!$D$2:$D$11000,"Out",OUT!$E$2:$E$11000,"Kitchen")</f>
        <v>0</v>
      </c>
      <c r="P1543" s="52">
        <f ca="1">SUMIFS(OUT!$F$2:$F$11000,OUT!$H$2:$H$11000,H1543,OUT!$D$2:$D$11000,"Out",OUT!$E$2:$E$11000,"Loandry")</f>
        <v>0</v>
      </c>
      <c r="Q1543" s="52">
        <f ca="1">SUMIFS(OUT!$F$2:$F$11000,OUT!$H$2:$H$11000,H1543,OUT!$D$2:$D$11000,"Out",OUT!$E$2:$E$11000,"Mio")</f>
        <v>0</v>
      </c>
      <c r="R1543" s="52">
        <f ca="1">SUMIFS(OUT!$F$2:$F$11000,OUT!$H$2:$H$11000,H1543,OUT!$D$2:$D$11000,"Out",OUT!$E$2:$E$11000,"Sedekah")</f>
        <v>0</v>
      </c>
      <c r="S1543" s="52">
        <f ca="1">SUMIFS(OUT!$F$2:$F$11000,OUT!$H$2:$H$11000,H1543,OUT!$D$2:$D$11000,"Out",OUT!$E$2:$E$11000,"Zela")</f>
        <v>0</v>
      </c>
      <c r="T1543" s="52">
        <f ca="1">SUMIFS(OUT!$F$2:$F$11000,OUT!$H$2:$H$11000,H1543,OUT!$D$2:$D$11000,"Out",OUT!$E$2:$E$11000,"Iqbal")</f>
        <v>0</v>
      </c>
    </row>
    <row r="1544" spans="7:20" x14ac:dyDescent="0.2">
      <c r="G1544" s="50"/>
      <c r="H1544" s="51" t="str">
        <f t="shared" si="0"/>
        <v/>
      </c>
      <c r="I1544" s="52" t="e">
        <f>SUMIFS(OUT!$F$2:$F$11000,OUT!$H$2:$H$11000,H1544,OUT!$D$2:$D$101007,"In")</f>
        <v>#VALUE!</v>
      </c>
      <c r="J1544" s="52">
        <f ca="1">SUMIFS(OUT!$F$2:$F$11000,OUT!$H$2:$H$11000,H1544,OUT!$D$2:$D$11000,"Out")</f>
        <v>0</v>
      </c>
      <c r="K1544" s="52">
        <f ca="1">SUMIFS(OUT!$F$2:$F$11000,OUT!$H$2:$H$11000,H1544,OUT!$D$2:$D$11000,"Out",OUT!$E$2:$E$11000,"Fix")</f>
        <v>0</v>
      </c>
      <c r="L1544" s="52">
        <f ca="1">SUMIFS(OUT!$F$2:$F$11000,OUT!$H$2:$H$11000,H1544,OUT!$D$2:$D$11000,"Out",OUT!$E$2:$E$11000,"Bathroom")</f>
        <v>0</v>
      </c>
      <c r="M1544" s="52">
        <f ca="1">SUMIFS(OUT!$F$2:$F$11000,OUT!$H$2:$H$11000,H1544,OUT!$D$2:$D$11000,"Out",OUT!$E$2:$E$11000,"Alfa")</f>
        <v>0</v>
      </c>
      <c r="N1544" s="52" t="e">
        <f>SUMIFS(OUT!$F$2:$F$11000,OUT!$H$2:$H$101007,H1544,OUT!$D$2:$D$11000,"Out",OUT!$E$2:$E$11000,"Jajan")</f>
        <v>#VALUE!</v>
      </c>
      <c r="O1544" s="52">
        <f ca="1">SUMIFS(OUT!$F$2:$F$11000,OUT!$H$2:$H$11000,H1544,OUT!$D$2:$D$11000,"Out",OUT!$E$2:$E$11000,"Kitchen")</f>
        <v>0</v>
      </c>
      <c r="P1544" s="52">
        <f ca="1">SUMIFS(OUT!$F$2:$F$11000,OUT!$H$2:$H$11000,H1544,OUT!$D$2:$D$11000,"Out",OUT!$E$2:$E$11000,"Loandry")</f>
        <v>0</v>
      </c>
      <c r="Q1544" s="52">
        <f ca="1">SUMIFS(OUT!$F$2:$F$11000,OUT!$H$2:$H$11000,H1544,OUT!$D$2:$D$11000,"Out",OUT!$E$2:$E$11000,"Mio")</f>
        <v>0</v>
      </c>
      <c r="R1544" s="52">
        <f ca="1">SUMIFS(OUT!$F$2:$F$11000,OUT!$H$2:$H$11000,H1544,OUT!$D$2:$D$11000,"Out",OUT!$E$2:$E$11000,"Sedekah")</f>
        <v>0</v>
      </c>
      <c r="S1544" s="52">
        <f ca="1">SUMIFS(OUT!$F$2:$F$11000,OUT!$H$2:$H$11000,H1544,OUT!$D$2:$D$11000,"Out",OUT!$E$2:$E$11000,"Zela")</f>
        <v>0</v>
      </c>
      <c r="T1544" s="52">
        <f ca="1">SUMIFS(OUT!$F$2:$F$11000,OUT!$H$2:$H$11000,H1544,OUT!$D$2:$D$11000,"Out",OUT!$E$2:$E$11000,"Iqbal")</f>
        <v>0</v>
      </c>
    </row>
    <row r="1545" spans="7:20" x14ac:dyDescent="0.2">
      <c r="G1545" s="50"/>
      <c r="H1545" s="51" t="str">
        <f t="shared" si="0"/>
        <v/>
      </c>
      <c r="I1545" s="52" t="e">
        <f>SUMIFS(OUT!$F$2:$F$11000,OUT!$H$2:$H$11000,H1545,OUT!$D$2:$D$101007,"In")</f>
        <v>#VALUE!</v>
      </c>
      <c r="J1545" s="52">
        <f ca="1">SUMIFS(OUT!$F$2:$F$11000,OUT!$H$2:$H$11000,H1545,OUT!$D$2:$D$11000,"Out")</f>
        <v>0</v>
      </c>
      <c r="K1545" s="52">
        <f ca="1">SUMIFS(OUT!$F$2:$F$11000,OUT!$H$2:$H$11000,H1545,OUT!$D$2:$D$11000,"Out",OUT!$E$2:$E$11000,"Fix")</f>
        <v>0</v>
      </c>
      <c r="L1545" s="52">
        <f ca="1">SUMIFS(OUT!$F$2:$F$11000,OUT!$H$2:$H$11000,H1545,OUT!$D$2:$D$11000,"Out",OUT!$E$2:$E$11000,"Bathroom")</f>
        <v>0</v>
      </c>
      <c r="M1545" s="52">
        <f ca="1">SUMIFS(OUT!$F$2:$F$11000,OUT!$H$2:$H$11000,H1545,OUT!$D$2:$D$11000,"Out",OUT!$E$2:$E$11000,"Alfa")</f>
        <v>0</v>
      </c>
      <c r="N1545" s="52" t="e">
        <f>SUMIFS(OUT!$F$2:$F$11000,OUT!$H$2:$H$101007,H1545,OUT!$D$2:$D$11000,"Out",OUT!$E$2:$E$11000,"Jajan")</f>
        <v>#VALUE!</v>
      </c>
      <c r="O1545" s="52">
        <f ca="1">SUMIFS(OUT!$F$2:$F$11000,OUT!$H$2:$H$11000,H1545,OUT!$D$2:$D$11000,"Out",OUT!$E$2:$E$11000,"Kitchen")</f>
        <v>0</v>
      </c>
      <c r="P1545" s="52">
        <f ca="1">SUMIFS(OUT!$F$2:$F$11000,OUT!$H$2:$H$11000,H1545,OUT!$D$2:$D$11000,"Out",OUT!$E$2:$E$11000,"Loandry")</f>
        <v>0</v>
      </c>
      <c r="Q1545" s="52">
        <f ca="1">SUMIFS(OUT!$F$2:$F$11000,OUT!$H$2:$H$11000,H1545,OUT!$D$2:$D$11000,"Out",OUT!$E$2:$E$11000,"Mio")</f>
        <v>0</v>
      </c>
      <c r="R1545" s="52">
        <f ca="1">SUMIFS(OUT!$F$2:$F$11000,OUT!$H$2:$H$11000,H1545,OUT!$D$2:$D$11000,"Out",OUT!$E$2:$E$11000,"Sedekah")</f>
        <v>0</v>
      </c>
      <c r="S1545" s="52">
        <f ca="1">SUMIFS(OUT!$F$2:$F$11000,OUT!$H$2:$H$11000,H1545,OUT!$D$2:$D$11000,"Out",OUT!$E$2:$E$11000,"Zela")</f>
        <v>0</v>
      </c>
      <c r="T1545" s="52">
        <f ca="1">SUMIFS(OUT!$F$2:$F$11000,OUT!$H$2:$H$11000,H1545,OUT!$D$2:$D$11000,"Out",OUT!$E$2:$E$11000,"Iqbal")</f>
        <v>0</v>
      </c>
    </row>
    <row r="1546" spans="7:20" x14ac:dyDescent="0.2">
      <c r="G1546" s="50"/>
      <c r="H1546" s="51" t="str">
        <f t="shared" si="0"/>
        <v/>
      </c>
      <c r="I1546" s="52" t="e">
        <f>SUMIFS(OUT!$F$2:$F$11000,OUT!$H$2:$H$11000,H1546,OUT!$D$2:$D$101007,"In")</f>
        <v>#VALUE!</v>
      </c>
      <c r="J1546" s="52">
        <f ca="1">SUMIFS(OUT!$F$2:$F$11000,OUT!$H$2:$H$11000,H1546,OUT!$D$2:$D$11000,"Out")</f>
        <v>0</v>
      </c>
      <c r="K1546" s="52">
        <f ca="1">SUMIFS(OUT!$F$2:$F$11000,OUT!$H$2:$H$11000,H1546,OUT!$D$2:$D$11000,"Out",OUT!$E$2:$E$11000,"Fix")</f>
        <v>0</v>
      </c>
      <c r="L1546" s="52">
        <f ca="1">SUMIFS(OUT!$F$2:$F$11000,OUT!$H$2:$H$11000,H1546,OUT!$D$2:$D$11000,"Out",OUT!$E$2:$E$11000,"Bathroom")</f>
        <v>0</v>
      </c>
      <c r="M1546" s="52">
        <f ca="1">SUMIFS(OUT!$F$2:$F$11000,OUT!$H$2:$H$11000,H1546,OUT!$D$2:$D$11000,"Out",OUT!$E$2:$E$11000,"Alfa")</f>
        <v>0</v>
      </c>
      <c r="N1546" s="52" t="e">
        <f>SUMIFS(OUT!$F$2:$F$11000,OUT!$H$2:$H$101007,H1546,OUT!$D$2:$D$11000,"Out",OUT!$E$2:$E$11000,"Jajan")</f>
        <v>#VALUE!</v>
      </c>
      <c r="O1546" s="52">
        <f ca="1">SUMIFS(OUT!$F$2:$F$11000,OUT!$H$2:$H$11000,H1546,OUT!$D$2:$D$11000,"Out",OUT!$E$2:$E$11000,"Kitchen")</f>
        <v>0</v>
      </c>
      <c r="P1546" s="52">
        <f ca="1">SUMIFS(OUT!$F$2:$F$11000,OUT!$H$2:$H$11000,H1546,OUT!$D$2:$D$11000,"Out",OUT!$E$2:$E$11000,"Loandry")</f>
        <v>0</v>
      </c>
      <c r="Q1546" s="52">
        <f ca="1">SUMIFS(OUT!$F$2:$F$11000,OUT!$H$2:$H$11000,H1546,OUT!$D$2:$D$11000,"Out",OUT!$E$2:$E$11000,"Mio")</f>
        <v>0</v>
      </c>
      <c r="R1546" s="52">
        <f ca="1">SUMIFS(OUT!$F$2:$F$11000,OUT!$H$2:$H$11000,H1546,OUT!$D$2:$D$11000,"Out",OUT!$E$2:$E$11000,"Sedekah")</f>
        <v>0</v>
      </c>
      <c r="S1546" s="52">
        <f ca="1">SUMIFS(OUT!$F$2:$F$11000,OUT!$H$2:$H$11000,H1546,OUT!$D$2:$D$11000,"Out",OUT!$E$2:$E$11000,"Zela")</f>
        <v>0</v>
      </c>
      <c r="T1546" s="52">
        <f ca="1">SUMIFS(OUT!$F$2:$F$11000,OUT!$H$2:$H$11000,H1546,OUT!$D$2:$D$11000,"Out",OUT!$E$2:$E$11000,"Iqbal")</f>
        <v>0</v>
      </c>
    </row>
    <row r="1547" spans="7:20" x14ac:dyDescent="0.2">
      <c r="G1547" s="50"/>
      <c r="H1547" s="51" t="str">
        <f t="shared" si="0"/>
        <v/>
      </c>
      <c r="I1547" s="52" t="e">
        <f>SUMIFS(OUT!$F$2:$F$11000,OUT!$H$2:$H$11000,H1547,OUT!$D$2:$D$101007,"In")</f>
        <v>#VALUE!</v>
      </c>
      <c r="J1547" s="52">
        <f ca="1">SUMIFS(OUT!$F$2:$F$11000,OUT!$H$2:$H$11000,H1547,OUT!$D$2:$D$11000,"Out")</f>
        <v>0</v>
      </c>
      <c r="K1547" s="52">
        <f ca="1">SUMIFS(OUT!$F$2:$F$11000,OUT!$H$2:$H$11000,H1547,OUT!$D$2:$D$11000,"Out",OUT!$E$2:$E$11000,"Fix")</f>
        <v>0</v>
      </c>
      <c r="L1547" s="52">
        <f ca="1">SUMIFS(OUT!$F$2:$F$11000,OUT!$H$2:$H$11000,H1547,OUT!$D$2:$D$11000,"Out",OUT!$E$2:$E$11000,"Bathroom")</f>
        <v>0</v>
      </c>
      <c r="M1547" s="52">
        <f ca="1">SUMIFS(OUT!$F$2:$F$11000,OUT!$H$2:$H$11000,H1547,OUT!$D$2:$D$11000,"Out",OUT!$E$2:$E$11000,"Alfa")</f>
        <v>0</v>
      </c>
      <c r="N1547" s="52" t="e">
        <f>SUMIFS(OUT!$F$2:$F$11000,OUT!$H$2:$H$101007,H1547,OUT!$D$2:$D$11000,"Out",OUT!$E$2:$E$11000,"Jajan")</f>
        <v>#VALUE!</v>
      </c>
      <c r="O1547" s="52">
        <f ca="1">SUMIFS(OUT!$F$2:$F$11000,OUT!$H$2:$H$11000,H1547,OUT!$D$2:$D$11000,"Out",OUT!$E$2:$E$11000,"Kitchen")</f>
        <v>0</v>
      </c>
      <c r="P1547" s="52">
        <f ca="1">SUMIFS(OUT!$F$2:$F$11000,OUT!$H$2:$H$11000,H1547,OUT!$D$2:$D$11000,"Out",OUT!$E$2:$E$11000,"Loandry")</f>
        <v>0</v>
      </c>
      <c r="Q1547" s="52">
        <f ca="1">SUMIFS(OUT!$F$2:$F$11000,OUT!$H$2:$H$11000,H1547,OUT!$D$2:$D$11000,"Out",OUT!$E$2:$E$11000,"Mio")</f>
        <v>0</v>
      </c>
      <c r="R1547" s="52">
        <f ca="1">SUMIFS(OUT!$F$2:$F$11000,OUT!$H$2:$H$11000,H1547,OUT!$D$2:$D$11000,"Out",OUT!$E$2:$E$11000,"Sedekah")</f>
        <v>0</v>
      </c>
      <c r="S1547" s="52">
        <f ca="1">SUMIFS(OUT!$F$2:$F$11000,OUT!$H$2:$H$11000,H1547,OUT!$D$2:$D$11000,"Out",OUT!$E$2:$E$11000,"Zela")</f>
        <v>0</v>
      </c>
      <c r="T1547" s="52">
        <f ca="1">SUMIFS(OUT!$F$2:$F$11000,OUT!$H$2:$H$11000,H1547,OUT!$D$2:$D$11000,"Out",OUT!$E$2:$E$11000,"Iqbal")</f>
        <v>0</v>
      </c>
    </row>
    <row r="1548" spans="7:20" x14ac:dyDescent="0.2">
      <c r="G1548" s="50"/>
      <c r="H1548" s="51" t="str">
        <f t="shared" si="0"/>
        <v/>
      </c>
      <c r="I1548" s="52" t="e">
        <f>SUMIFS(OUT!$F$2:$F$11000,OUT!$H$2:$H$11000,H1548,OUT!$D$2:$D$101007,"In")</f>
        <v>#VALUE!</v>
      </c>
      <c r="J1548" s="52">
        <f ca="1">SUMIFS(OUT!$F$2:$F$11000,OUT!$H$2:$H$11000,H1548,OUT!$D$2:$D$11000,"Out")</f>
        <v>0</v>
      </c>
      <c r="K1548" s="52">
        <f ca="1">SUMIFS(OUT!$F$2:$F$11000,OUT!$H$2:$H$11000,H1548,OUT!$D$2:$D$11000,"Out",OUT!$E$2:$E$11000,"Fix")</f>
        <v>0</v>
      </c>
      <c r="L1548" s="52">
        <f ca="1">SUMIFS(OUT!$F$2:$F$11000,OUT!$H$2:$H$11000,H1548,OUT!$D$2:$D$11000,"Out",OUT!$E$2:$E$11000,"Bathroom")</f>
        <v>0</v>
      </c>
      <c r="M1548" s="52">
        <f ca="1">SUMIFS(OUT!$F$2:$F$11000,OUT!$H$2:$H$11000,H1548,OUT!$D$2:$D$11000,"Out",OUT!$E$2:$E$11000,"Alfa")</f>
        <v>0</v>
      </c>
      <c r="N1548" s="52" t="e">
        <f>SUMIFS(OUT!$F$2:$F$11000,OUT!$H$2:$H$101007,H1548,OUT!$D$2:$D$11000,"Out",OUT!$E$2:$E$11000,"Jajan")</f>
        <v>#VALUE!</v>
      </c>
      <c r="O1548" s="52">
        <f ca="1">SUMIFS(OUT!$F$2:$F$11000,OUT!$H$2:$H$11000,H1548,OUT!$D$2:$D$11000,"Out",OUT!$E$2:$E$11000,"Kitchen")</f>
        <v>0</v>
      </c>
      <c r="P1548" s="52">
        <f ca="1">SUMIFS(OUT!$F$2:$F$11000,OUT!$H$2:$H$11000,H1548,OUT!$D$2:$D$11000,"Out",OUT!$E$2:$E$11000,"Loandry")</f>
        <v>0</v>
      </c>
      <c r="Q1548" s="52">
        <f ca="1">SUMIFS(OUT!$F$2:$F$11000,OUT!$H$2:$H$11000,H1548,OUT!$D$2:$D$11000,"Out",OUT!$E$2:$E$11000,"Mio")</f>
        <v>0</v>
      </c>
      <c r="R1548" s="52">
        <f ca="1">SUMIFS(OUT!$F$2:$F$11000,OUT!$H$2:$H$11000,H1548,OUT!$D$2:$D$11000,"Out",OUT!$E$2:$E$11000,"Sedekah")</f>
        <v>0</v>
      </c>
      <c r="S1548" s="52">
        <f ca="1">SUMIFS(OUT!$F$2:$F$11000,OUT!$H$2:$H$11000,H1548,OUT!$D$2:$D$11000,"Out",OUT!$E$2:$E$11000,"Zela")</f>
        <v>0</v>
      </c>
      <c r="T1548" s="52">
        <f ca="1">SUMIFS(OUT!$F$2:$F$11000,OUT!$H$2:$H$11000,H1548,OUT!$D$2:$D$11000,"Out",OUT!$E$2:$E$11000,"Iqbal")</f>
        <v>0</v>
      </c>
    </row>
    <row r="1549" spans="7:20" x14ac:dyDescent="0.2">
      <c r="G1549" s="50"/>
      <c r="H1549" s="51" t="str">
        <f t="shared" si="0"/>
        <v/>
      </c>
      <c r="I1549" s="52" t="e">
        <f>SUMIFS(OUT!$F$2:$F$11000,OUT!$H$2:$H$11000,H1549,OUT!$D$2:$D$101007,"In")</f>
        <v>#VALUE!</v>
      </c>
      <c r="J1549" s="52">
        <f ca="1">SUMIFS(OUT!$F$2:$F$11000,OUT!$H$2:$H$11000,H1549,OUT!$D$2:$D$11000,"Out")</f>
        <v>0</v>
      </c>
      <c r="K1549" s="52">
        <f ca="1">SUMIFS(OUT!$F$2:$F$11000,OUT!$H$2:$H$11000,H1549,OUT!$D$2:$D$11000,"Out",OUT!$E$2:$E$11000,"Fix")</f>
        <v>0</v>
      </c>
      <c r="L1549" s="52">
        <f ca="1">SUMIFS(OUT!$F$2:$F$11000,OUT!$H$2:$H$11000,H1549,OUT!$D$2:$D$11000,"Out",OUT!$E$2:$E$11000,"Bathroom")</f>
        <v>0</v>
      </c>
      <c r="M1549" s="52">
        <f ca="1">SUMIFS(OUT!$F$2:$F$11000,OUT!$H$2:$H$11000,H1549,OUT!$D$2:$D$11000,"Out",OUT!$E$2:$E$11000,"Alfa")</f>
        <v>0</v>
      </c>
      <c r="N1549" s="52" t="e">
        <f>SUMIFS(OUT!$F$2:$F$11000,OUT!$H$2:$H$101007,H1549,OUT!$D$2:$D$11000,"Out",OUT!$E$2:$E$11000,"Jajan")</f>
        <v>#VALUE!</v>
      </c>
      <c r="O1549" s="52">
        <f ca="1">SUMIFS(OUT!$F$2:$F$11000,OUT!$H$2:$H$11000,H1549,OUT!$D$2:$D$11000,"Out",OUT!$E$2:$E$11000,"Kitchen")</f>
        <v>0</v>
      </c>
      <c r="P1549" s="52">
        <f ca="1">SUMIFS(OUT!$F$2:$F$11000,OUT!$H$2:$H$11000,H1549,OUT!$D$2:$D$11000,"Out",OUT!$E$2:$E$11000,"Loandry")</f>
        <v>0</v>
      </c>
      <c r="Q1549" s="52">
        <f ca="1">SUMIFS(OUT!$F$2:$F$11000,OUT!$H$2:$H$11000,H1549,OUT!$D$2:$D$11000,"Out",OUT!$E$2:$E$11000,"Mio")</f>
        <v>0</v>
      </c>
      <c r="R1549" s="52">
        <f ca="1">SUMIFS(OUT!$F$2:$F$11000,OUT!$H$2:$H$11000,H1549,OUT!$D$2:$D$11000,"Out",OUT!$E$2:$E$11000,"Sedekah")</f>
        <v>0</v>
      </c>
      <c r="S1549" s="52">
        <f ca="1">SUMIFS(OUT!$F$2:$F$11000,OUT!$H$2:$H$11000,H1549,OUT!$D$2:$D$11000,"Out",OUT!$E$2:$E$11000,"Zela")</f>
        <v>0</v>
      </c>
      <c r="T1549" s="52">
        <f ca="1">SUMIFS(OUT!$F$2:$F$11000,OUT!$H$2:$H$11000,H1549,OUT!$D$2:$D$11000,"Out",OUT!$E$2:$E$11000,"Iqbal")</f>
        <v>0</v>
      </c>
    </row>
    <row r="1550" spans="7:20" x14ac:dyDescent="0.2">
      <c r="G1550" s="50"/>
      <c r="H1550" s="51" t="str">
        <f t="shared" si="0"/>
        <v/>
      </c>
      <c r="I1550" s="52" t="e">
        <f>SUMIFS(OUT!$F$2:$F$11000,OUT!$H$2:$H$11000,H1550,OUT!$D$2:$D$101007,"In")</f>
        <v>#VALUE!</v>
      </c>
      <c r="J1550" s="52">
        <f ca="1">SUMIFS(OUT!$F$2:$F$11000,OUT!$H$2:$H$11000,H1550,OUT!$D$2:$D$11000,"Out")</f>
        <v>0</v>
      </c>
      <c r="K1550" s="52">
        <f ca="1">SUMIFS(OUT!$F$2:$F$11000,OUT!$H$2:$H$11000,H1550,OUT!$D$2:$D$11000,"Out",OUT!$E$2:$E$11000,"Fix")</f>
        <v>0</v>
      </c>
      <c r="L1550" s="52">
        <f ca="1">SUMIFS(OUT!$F$2:$F$11000,OUT!$H$2:$H$11000,H1550,OUT!$D$2:$D$11000,"Out",OUT!$E$2:$E$11000,"Bathroom")</f>
        <v>0</v>
      </c>
      <c r="M1550" s="52">
        <f ca="1">SUMIFS(OUT!$F$2:$F$11000,OUT!$H$2:$H$11000,H1550,OUT!$D$2:$D$11000,"Out",OUT!$E$2:$E$11000,"Alfa")</f>
        <v>0</v>
      </c>
      <c r="N1550" s="52" t="e">
        <f>SUMIFS(OUT!$F$2:$F$11000,OUT!$H$2:$H$101007,H1550,OUT!$D$2:$D$11000,"Out",OUT!$E$2:$E$11000,"Jajan")</f>
        <v>#VALUE!</v>
      </c>
      <c r="O1550" s="52">
        <f ca="1">SUMIFS(OUT!$F$2:$F$11000,OUT!$H$2:$H$11000,H1550,OUT!$D$2:$D$11000,"Out",OUT!$E$2:$E$11000,"Kitchen")</f>
        <v>0</v>
      </c>
      <c r="P1550" s="52">
        <f ca="1">SUMIFS(OUT!$F$2:$F$11000,OUT!$H$2:$H$11000,H1550,OUT!$D$2:$D$11000,"Out",OUT!$E$2:$E$11000,"Loandry")</f>
        <v>0</v>
      </c>
      <c r="Q1550" s="52">
        <f ca="1">SUMIFS(OUT!$F$2:$F$11000,OUT!$H$2:$H$11000,H1550,OUT!$D$2:$D$11000,"Out",OUT!$E$2:$E$11000,"Mio")</f>
        <v>0</v>
      </c>
      <c r="R1550" s="52">
        <f ca="1">SUMIFS(OUT!$F$2:$F$11000,OUT!$H$2:$H$11000,H1550,OUT!$D$2:$D$11000,"Out",OUT!$E$2:$E$11000,"Sedekah")</f>
        <v>0</v>
      </c>
      <c r="S1550" s="52">
        <f ca="1">SUMIFS(OUT!$F$2:$F$11000,OUT!$H$2:$H$11000,H1550,OUT!$D$2:$D$11000,"Out",OUT!$E$2:$E$11000,"Zela")</f>
        <v>0</v>
      </c>
      <c r="T1550" s="52">
        <f ca="1">SUMIFS(OUT!$F$2:$F$11000,OUT!$H$2:$H$11000,H1550,OUT!$D$2:$D$11000,"Out",OUT!$E$2:$E$11000,"Iqbal")</f>
        <v>0</v>
      </c>
    </row>
    <row r="1551" spans="7:20" x14ac:dyDescent="0.2">
      <c r="G1551" s="50"/>
      <c r="H1551" s="51" t="str">
        <f t="shared" si="0"/>
        <v/>
      </c>
      <c r="I1551" s="52" t="e">
        <f>SUMIFS(OUT!$F$2:$F$11000,OUT!$H$2:$H$11000,H1551,OUT!$D$2:$D$101007,"In")</f>
        <v>#VALUE!</v>
      </c>
      <c r="J1551" s="52">
        <f ca="1">SUMIFS(OUT!$F$2:$F$11000,OUT!$H$2:$H$11000,H1551,OUT!$D$2:$D$11000,"Out")</f>
        <v>0</v>
      </c>
      <c r="K1551" s="52">
        <f ca="1">SUMIFS(OUT!$F$2:$F$11000,OUT!$H$2:$H$11000,H1551,OUT!$D$2:$D$11000,"Out",OUT!$E$2:$E$11000,"Fix")</f>
        <v>0</v>
      </c>
      <c r="L1551" s="52">
        <f ca="1">SUMIFS(OUT!$F$2:$F$11000,OUT!$H$2:$H$11000,H1551,OUT!$D$2:$D$11000,"Out",OUT!$E$2:$E$11000,"Bathroom")</f>
        <v>0</v>
      </c>
      <c r="M1551" s="52">
        <f ca="1">SUMIFS(OUT!$F$2:$F$11000,OUT!$H$2:$H$11000,H1551,OUT!$D$2:$D$11000,"Out",OUT!$E$2:$E$11000,"Alfa")</f>
        <v>0</v>
      </c>
      <c r="N1551" s="52" t="e">
        <f>SUMIFS(OUT!$F$2:$F$11000,OUT!$H$2:$H$101007,H1551,OUT!$D$2:$D$11000,"Out",OUT!$E$2:$E$11000,"Jajan")</f>
        <v>#VALUE!</v>
      </c>
      <c r="O1551" s="52">
        <f ca="1">SUMIFS(OUT!$F$2:$F$11000,OUT!$H$2:$H$11000,H1551,OUT!$D$2:$D$11000,"Out",OUT!$E$2:$E$11000,"Kitchen")</f>
        <v>0</v>
      </c>
      <c r="P1551" s="52">
        <f ca="1">SUMIFS(OUT!$F$2:$F$11000,OUT!$H$2:$H$11000,H1551,OUT!$D$2:$D$11000,"Out",OUT!$E$2:$E$11000,"Loandry")</f>
        <v>0</v>
      </c>
      <c r="Q1551" s="52">
        <f ca="1">SUMIFS(OUT!$F$2:$F$11000,OUT!$H$2:$H$11000,H1551,OUT!$D$2:$D$11000,"Out",OUT!$E$2:$E$11000,"Mio")</f>
        <v>0</v>
      </c>
      <c r="R1551" s="52">
        <f ca="1">SUMIFS(OUT!$F$2:$F$11000,OUT!$H$2:$H$11000,H1551,OUT!$D$2:$D$11000,"Out",OUT!$E$2:$E$11000,"Sedekah")</f>
        <v>0</v>
      </c>
      <c r="S1551" s="52">
        <f ca="1">SUMIFS(OUT!$F$2:$F$11000,OUT!$H$2:$H$11000,H1551,OUT!$D$2:$D$11000,"Out",OUT!$E$2:$E$11000,"Zela")</f>
        <v>0</v>
      </c>
      <c r="T1551" s="52">
        <f ca="1">SUMIFS(OUT!$F$2:$F$11000,OUT!$H$2:$H$11000,H1551,OUT!$D$2:$D$11000,"Out",OUT!$E$2:$E$11000,"Iqbal")</f>
        <v>0</v>
      </c>
    </row>
    <row r="1552" spans="7:20" x14ac:dyDescent="0.2">
      <c r="G1552" s="50"/>
      <c r="H1552" s="51" t="str">
        <f t="shared" si="0"/>
        <v/>
      </c>
      <c r="I1552" s="52" t="e">
        <f>SUMIFS(OUT!$F$2:$F$11000,OUT!$H$2:$H$11000,H1552,OUT!$D$2:$D$101007,"In")</f>
        <v>#VALUE!</v>
      </c>
      <c r="J1552" s="52">
        <f ca="1">SUMIFS(OUT!$F$2:$F$11000,OUT!$H$2:$H$11000,H1552,OUT!$D$2:$D$11000,"Out")</f>
        <v>0</v>
      </c>
      <c r="K1552" s="52">
        <f ca="1">SUMIFS(OUT!$F$2:$F$11000,OUT!$H$2:$H$11000,H1552,OUT!$D$2:$D$11000,"Out",OUT!$E$2:$E$11000,"Fix")</f>
        <v>0</v>
      </c>
      <c r="L1552" s="52">
        <f ca="1">SUMIFS(OUT!$F$2:$F$11000,OUT!$H$2:$H$11000,H1552,OUT!$D$2:$D$11000,"Out",OUT!$E$2:$E$11000,"Bathroom")</f>
        <v>0</v>
      </c>
      <c r="M1552" s="52">
        <f ca="1">SUMIFS(OUT!$F$2:$F$11000,OUT!$H$2:$H$11000,H1552,OUT!$D$2:$D$11000,"Out",OUT!$E$2:$E$11000,"Alfa")</f>
        <v>0</v>
      </c>
      <c r="N1552" s="52" t="e">
        <f>SUMIFS(OUT!$F$2:$F$11000,OUT!$H$2:$H$101007,H1552,OUT!$D$2:$D$11000,"Out",OUT!$E$2:$E$11000,"Jajan")</f>
        <v>#VALUE!</v>
      </c>
      <c r="O1552" s="52">
        <f ca="1">SUMIFS(OUT!$F$2:$F$11000,OUT!$H$2:$H$11000,H1552,OUT!$D$2:$D$11000,"Out",OUT!$E$2:$E$11000,"Kitchen")</f>
        <v>0</v>
      </c>
      <c r="P1552" s="52">
        <f ca="1">SUMIFS(OUT!$F$2:$F$11000,OUT!$H$2:$H$11000,H1552,OUT!$D$2:$D$11000,"Out",OUT!$E$2:$E$11000,"Loandry")</f>
        <v>0</v>
      </c>
      <c r="Q1552" s="52">
        <f ca="1">SUMIFS(OUT!$F$2:$F$11000,OUT!$H$2:$H$11000,H1552,OUT!$D$2:$D$11000,"Out",OUT!$E$2:$E$11000,"Mio")</f>
        <v>0</v>
      </c>
      <c r="R1552" s="52">
        <f ca="1">SUMIFS(OUT!$F$2:$F$11000,OUT!$H$2:$H$11000,H1552,OUT!$D$2:$D$11000,"Out",OUT!$E$2:$E$11000,"Sedekah")</f>
        <v>0</v>
      </c>
      <c r="S1552" s="52">
        <f ca="1">SUMIFS(OUT!$F$2:$F$11000,OUT!$H$2:$H$11000,H1552,OUT!$D$2:$D$11000,"Out",OUT!$E$2:$E$11000,"Zela")</f>
        <v>0</v>
      </c>
      <c r="T1552" s="52">
        <f ca="1">SUMIFS(OUT!$F$2:$F$11000,OUT!$H$2:$H$11000,H1552,OUT!$D$2:$D$11000,"Out",OUT!$E$2:$E$11000,"Iqbal")</f>
        <v>0</v>
      </c>
    </row>
    <row r="1553" spans="7:20" x14ac:dyDescent="0.2">
      <c r="G1553" s="50"/>
      <c r="H1553" s="51" t="str">
        <f t="shared" si="0"/>
        <v/>
      </c>
      <c r="I1553" s="52" t="e">
        <f>SUMIFS(OUT!$F$2:$F$11000,OUT!$H$2:$H$11000,H1553,OUT!$D$2:$D$101007,"In")</f>
        <v>#VALUE!</v>
      </c>
      <c r="J1553" s="52">
        <f ca="1">SUMIFS(OUT!$F$2:$F$11000,OUT!$H$2:$H$11000,H1553,OUT!$D$2:$D$11000,"Out")</f>
        <v>0</v>
      </c>
      <c r="K1553" s="52">
        <f ca="1">SUMIFS(OUT!$F$2:$F$11000,OUT!$H$2:$H$11000,H1553,OUT!$D$2:$D$11000,"Out",OUT!$E$2:$E$11000,"Fix")</f>
        <v>0</v>
      </c>
      <c r="L1553" s="52">
        <f ca="1">SUMIFS(OUT!$F$2:$F$11000,OUT!$H$2:$H$11000,H1553,OUT!$D$2:$D$11000,"Out",OUT!$E$2:$E$11000,"Bathroom")</f>
        <v>0</v>
      </c>
      <c r="M1553" s="52">
        <f ca="1">SUMIFS(OUT!$F$2:$F$11000,OUT!$H$2:$H$11000,H1553,OUT!$D$2:$D$11000,"Out",OUT!$E$2:$E$11000,"Alfa")</f>
        <v>0</v>
      </c>
      <c r="N1553" s="52" t="e">
        <f>SUMIFS(OUT!$F$2:$F$11000,OUT!$H$2:$H$101007,H1553,OUT!$D$2:$D$11000,"Out",OUT!$E$2:$E$11000,"Jajan")</f>
        <v>#VALUE!</v>
      </c>
      <c r="O1553" s="52">
        <f ca="1">SUMIFS(OUT!$F$2:$F$11000,OUT!$H$2:$H$11000,H1553,OUT!$D$2:$D$11000,"Out",OUT!$E$2:$E$11000,"Kitchen")</f>
        <v>0</v>
      </c>
      <c r="P1553" s="52">
        <f ca="1">SUMIFS(OUT!$F$2:$F$11000,OUT!$H$2:$H$11000,H1553,OUT!$D$2:$D$11000,"Out",OUT!$E$2:$E$11000,"Loandry")</f>
        <v>0</v>
      </c>
      <c r="Q1553" s="52">
        <f ca="1">SUMIFS(OUT!$F$2:$F$11000,OUT!$H$2:$H$11000,H1553,OUT!$D$2:$D$11000,"Out",OUT!$E$2:$E$11000,"Mio")</f>
        <v>0</v>
      </c>
      <c r="R1553" s="52">
        <f ca="1">SUMIFS(OUT!$F$2:$F$11000,OUT!$H$2:$H$11000,H1553,OUT!$D$2:$D$11000,"Out",OUT!$E$2:$E$11000,"Sedekah")</f>
        <v>0</v>
      </c>
      <c r="S1553" s="52">
        <f ca="1">SUMIFS(OUT!$F$2:$F$11000,OUT!$H$2:$H$11000,H1553,OUT!$D$2:$D$11000,"Out",OUT!$E$2:$E$11000,"Zela")</f>
        <v>0</v>
      </c>
      <c r="T1553" s="52">
        <f ca="1">SUMIFS(OUT!$F$2:$F$11000,OUT!$H$2:$H$11000,H1553,OUT!$D$2:$D$11000,"Out",OUT!$E$2:$E$11000,"Iqbal")</f>
        <v>0</v>
      </c>
    </row>
    <row r="1554" spans="7:20" x14ac:dyDescent="0.2">
      <c r="G1554" s="50"/>
      <c r="H1554" s="51" t="str">
        <f t="shared" si="0"/>
        <v/>
      </c>
      <c r="I1554" s="52" t="e">
        <f>SUMIFS(OUT!$F$2:$F$11000,OUT!$H$2:$H$11000,H1554,OUT!$D$2:$D$101007,"In")</f>
        <v>#VALUE!</v>
      </c>
      <c r="J1554" s="52">
        <f ca="1">SUMIFS(OUT!$F$2:$F$11000,OUT!$H$2:$H$11000,H1554,OUT!$D$2:$D$11000,"Out")</f>
        <v>0</v>
      </c>
      <c r="K1554" s="52">
        <f ca="1">SUMIFS(OUT!$F$2:$F$11000,OUT!$H$2:$H$11000,H1554,OUT!$D$2:$D$11000,"Out",OUT!$E$2:$E$11000,"Fix")</f>
        <v>0</v>
      </c>
      <c r="L1554" s="52">
        <f ca="1">SUMIFS(OUT!$F$2:$F$11000,OUT!$H$2:$H$11000,H1554,OUT!$D$2:$D$11000,"Out",OUT!$E$2:$E$11000,"Bathroom")</f>
        <v>0</v>
      </c>
      <c r="M1554" s="52">
        <f ca="1">SUMIFS(OUT!$F$2:$F$11000,OUT!$H$2:$H$11000,H1554,OUT!$D$2:$D$11000,"Out",OUT!$E$2:$E$11000,"Alfa")</f>
        <v>0</v>
      </c>
      <c r="N1554" s="52" t="e">
        <f>SUMIFS(OUT!$F$2:$F$11000,OUT!$H$2:$H$101007,H1554,OUT!$D$2:$D$11000,"Out",OUT!$E$2:$E$11000,"Jajan")</f>
        <v>#VALUE!</v>
      </c>
      <c r="O1554" s="52">
        <f ca="1">SUMIFS(OUT!$F$2:$F$11000,OUT!$H$2:$H$11000,H1554,OUT!$D$2:$D$11000,"Out",OUT!$E$2:$E$11000,"Kitchen")</f>
        <v>0</v>
      </c>
      <c r="P1554" s="52">
        <f ca="1">SUMIFS(OUT!$F$2:$F$11000,OUT!$H$2:$H$11000,H1554,OUT!$D$2:$D$11000,"Out",OUT!$E$2:$E$11000,"Loandry")</f>
        <v>0</v>
      </c>
      <c r="Q1554" s="52">
        <f ca="1">SUMIFS(OUT!$F$2:$F$11000,OUT!$H$2:$H$11000,H1554,OUT!$D$2:$D$11000,"Out",OUT!$E$2:$E$11000,"Mio")</f>
        <v>0</v>
      </c>
      <c r="R1554" s="52">
        <f ca="1">SUMIFS(OUT!$F$2:$F$11000,OUT!$H$2:$H$11000,H1554,OUT!$D$2:$D$11000,"Out",OUT!$E$2:$E$11000,"Sedekah")</f>
        <v>0</v>
      </c>
      <c r="S1554" s="52">
        <f ca="1">SUMIFS(OUT!$F$2:$F$11000,OUT!$H$2:$H$11000,H1554,OUT!$D$2:$D$11000,"Out",OUT!$E$2:$E$11000,"Zela")</f>
        <v>0</v>
      </c>
      <c r="T1554" s="52">
        <f ca="1">SUMIFS(OUT!$F$2:$F$11000,OUT!$H$2:$H$11000,H1554,OUT!$D$2:$D$11000,"Out",OUT!$E$2:$E$11000,"Iqbal")</f>
        <v>0</v>
      </c>
    </row>
    <row r="1555" spans="7:20" x14ac:dyDescent="0.2">
      <c r="G1555" s="50"/>
      <c r="H1555" s="51" t="str">
        <f t="shared" si="0"/>
        <v/>
      </c>
      <c r="I1555" s="52" t="e">
        <f>SUMIFS(OUT!$F$2:$F$11000,OUT!$H$2:$H$11000,H1555,OUT!$D$2:$D$101007,"In")</f>
        <v>#VALUE!</v>
      </c>
      <c r="J1555" s="52">
        <f ca="1">SUMIFS(OUT!$F$2:$F$11000,OUT!$H$2:$H$11000,H1555,OUT!$D$2:$D$11000,"Out")</f>
        <v>0</v>
      </c>
      <c r="K1555" s="52">
        <f ca="1">SUMIFS(OUT!$F$2:$F$11000,OUT!$H$2:$H$11000,H1555,OUT!$D$2:$D$11000,"Out",OUT!$E$2:$E$11000,"Fix")</f>
        <v>0</v>
      </c>
      <c r="L1555" s="52">
        <f ca="1">SUMIFS(OUT!$F$2:$F$11000,OUT!$H$2:$H$11000,H1555,OUT!$D$2:$D$11000,"Out",OUT!$E$2:$E$11000,"Bathroom")</f>
        <v>0</v>
      </c>
      <c r="M1555" s="52">
        <f ca="1">SUMIFS(OUT!$F$2:$F$11000,OUT!$H$2:$H$11000,H1555,OUT!$D$2:$D$11000,"Out",OUT!$E$2:$E$11000,"Alfa")</f>
        <v>0</v>
      </c>
      <c r="N1555" s="52" t="e">
        <f>SUMIFS(OUT!$F$2:$F$11000,OUT!$H$2:$H$101007,H1555,OUT!$D$2:$D$11000,"Out",OUT!$E$2:$E$11000,"Jajan")</f>
        <v>#VALUE!</v>
      </c>
      <c r="O1555" s="52">
        <f ca="1">SUMIFS(OUT!$F$2:$F$11000,OUT!$H$2:$H$11000,H1555,OUT!$D$2:$D$11000,"Out",OUT!$E$2:$E$11000,"Kitchen")</f>
        <v>0</v>
      </c>
      <c r="P1555" s="52">
        <f ca="1">SUMIFS(OUT!$F$2:$F$11000,OUT!$H$2:$H$11000,H1555,OUT!$D$2:$D$11000,"Out",OUT!$E$2:$E$11000,"Loandry")</f>
        <v>0</v>
      </c>
      <c r="Q1555" s="52">
        <f ca="1">SUMIFS(OUT!$F$2:$F$11000,OUT!$H$2:$H$11000,H1555,OUT!$D$2:$D$11000,"Out",OUT!$E$2:$E$11000,"Mio")</f>
        <v>0</v>
      </c>
      <c r="R1555" s="52">
        <f ca="1">SUMIFS(OUT!$F$2:$F$11000,OUT!$H$2:$H$11000,H1555,OUT!$D$2:$D$11000,"Out",OUT!$E$2:$E$11000,"Sedekah")</f>
        <v>0</v>
      </c>
      <c r="S1555" s="52">
        <f ca="1">SUMIFS(OUT!$F$2:$F$11000,OUT!$H$2:$H$11000,H1555,OUT!$D$2:$D$11000,"Out",OUT!$E$2:$E$11000,"Zela")</f>
        <v>0</v>
      </c>
      <c r="T1555" s="52">
        <f ca="1">SUMIFS(OUT!$F$2:$F$11000,OUT!$H$2:$H$11000,H1555,OUT!$D$2:$D$11000,"Out",OUT!$E$2:$E$11000,"Iqbal")</f>
        <v>0</v>
      </c>
    </row>
    <row r="1556" spans="7:20" x14ac:dyDescent="0.2">
      <c r="G1556" s="50"/>
      <c r="H1556" s="51" t="str">
        <f t="shared" si="0"/>
        <v/>
      </c>
      <c r="I1556" s="52" t="e">
        <f>SUMIFS(OUT!$F$2:$F$11000,OUT!$H$2:$H$11000,H1556,OUT!$D$2:$D$101007,"In")</f>
        <v>#VALUE!</v>
      </c>
      <c r="J1556" s="52">
        <f ca="1">SUMIFS(OUT!$F$2:$F$11000,OUT!$H$2:$H$11000,H1556,OUT!$D$2:$D$11000,"Out")</f>
        <v>0</v>
      </c>
      <c r="K1556" s="52">
        <f ca="1">SUMIFS(OUT!$F$2:$F$11000,OUT!$H$2:$H$11000,H1556,OUT!$D$2:$D$11000,"Out",OUT!$E$2:$E$11000,"Fix")</f>
        <v>0</v>
      </c>
      <c r="L1556" s="52">
        <f ca="1">SUMIFS(OUT!$F$2:$F$11000,OUT!$H$2:$H$11000,H1556,OUT!$D$2:$D$11000,"Out",OUT!$E$2:$E$11000,"Bathroom")</f>
        <v>0</v>
      </c>
      <c r="M1556" s="52">
        <f ca="1">SUMIFS(OUT!$F$2:$F$11000,OUT!$H$2:$H$11000,H1556,OUT!$D$2:$D$11000,"Out",OUT!$E$2:$E$11000,"Alfa")</f>
        <v>0</v>
      </c>
      <c r="N1556" s="52" t="e">
        <f>SUMIFS(OUT!$F$2:$F$11000,OUT!$H$2:$H$101007,H1556,OUT!$D$2:$D$11000,"Out",OUT!$E$2:$E$11000,"Jajan")</f>
        <v>#VALUE!</v>
      </c>
      <c r="O1556" s="52">
        <f ca="1">SUMIFS(OUT!$F$2:$F$11000,OUT!$H$2:$H$11000,H1556,OUT!$D$2:$D$11000,"Out",OUT!$E$2:$E$11000,"Kitchen")</f>
        <v>0</v>
      </c>
      <c r="P1556" s="52">
        <f ca="1">SUMIFS(OUT!$F$2:$F$11000,OUT!$H$2:$H$11000,H1556,OUT!$D$2:$D$11000,"Out",OUT!$E$2:$E$11000,"Loandry")</f>
        <v>0</v>
      </c>
      <c r="Q1556" s="52">
        <f ca="1">SUMIFS(OUT!$F$2:$F$11000,OUT!$H$2:$H$11000,H1556,OUT!$D$2:$D$11000,"Out",OUT!$E$2:$E$11000,"Mio")</f>
        <v>0</v>
      </c>
      <c r="R1556" s="52">
        <f ca="1">SUMIFS(OUT!$F$2:$F$11000,OUT!$H$2:$H$11000,H1556,OUT!$D$2:$D$11000,"Out",OUT!$E$2:$E$11000,"Sedekah")</f>
        <v>0</v>
      </c>
      <c r="S1556" s="52">
        <f ca="1">SUMIFS(OUT!$F$2:$F$11000,OUT!$H$2:$H$11000,H1556,OUT!$D$2:$D$11000,"Out",OUT!$E$2:$E$11000,"Zela")</f>
        <v>0</v>
      </c>
      <c r="T1556" s="52">
        <f ca="1">SUMIFS(OUT!$F$2:$F$11000,OUT!$H$2:$H$11000,H1556,OUT!$D$2:$D$11000,"Out",OUT!$E$2:$E$11000,"Iqbal")</f>
        <v>0</v>
      </c>
    </row>
    <row r="1557" spans="7:20" x14ac:dyDescent="0.2">
      <c r="G1557" s="50"/>
      <c r="H1557" s="51" t="str">
        <f t="shared" si="0"/>
        <v/>
      </c>
      <c r="I1557" s="52" t="e">
        <f>SUMIFS(OUT!$F$2:$F$11000,OUT!$H$2:$H$11000,H1557,OUT!$D$2:$D$101007,"In")</f>
        <v>#VALUE!</v>
      </c>
      <c r="J1557" s="52">
        <f ca="1">SUMIFS(OUT!$F$2:$F$11000,OUT!$H$2:$H$11000,H1557,OUT!$D$2:$D$11000,"Out")</f>
        <v>0</v>
      </c>
      <c r="K1557" s="52">
        <f ca="1">SUMIFS(OUT!$F$2:$F$11000,OUT!$H$2:$H$11000,H1557,OUT!$D$2:$D$11000,"Out",OUT!$E$2:$E$11000,"Fix")</f>
        <v>0</v>
      </c>
      <c r="L1557" s="52">
        <f ca="1">SUMIFS(OUT!$F$2:$F$11000,OUT!$H$2:$H$11000,H1557,OUT!$D$2:$D$11000,"Out",OUT!$E$2:$E$11000,"Bathroom")</f>
        <v>0</v>
      </c>
      <c r="M1557" s="52">
        <f ca="1">SUMIFS(OUT!$F$2:$F$11000,OUT!$H$2:$H$11000,H1557,OUT!$D$2:$D$11000,"Out",OUT!$E$2:$E$11000,"Alfa")</f>
        <v>0</v>
      </c>
      <c r="N1557" s="52" t="e">
        <f>SUMIFS(OUT!$F$2:$F$11000,OUT!$H$2:$H$101007,H1557,OUT!$D$2:$D$11000,"Out",OUT!$E$2:$E$11000,"Jajan")</f>
        <v>#VALUE!</v>
      </c>
      <c r="O1557" s="52">
        <f ca="1">SUMIFS(OUT!$F$2:$F$11000,OUT!$H$2:$H$11000,H1557,OUT!$D$2:$D$11000,"Out",OUT!$E$2:$E$11000,"Kitchen")</f>
        <v>0</v>
      </c>
      <c r="P1557" s="52">
        <f ca="1">SUMIFS(OUT!$F$2:$F$11000,OUT!$H$2:$H$11000,H1557,OUT!$D$2:$D$11000,"Out",OUT!$E$2:$E$11000,"Loandry")</f>
        <v>0</v>
      </c>
      <c r="Q1557" s="52">
        <f ca="1">SUMIFS(OUT!$F$2:$F$11000,OUT!$H$2:$H$11000,H1557,OUT!$D$2:$D$11000,"Out",OUT!$E$2:$E$11000,"Mio")</f>
        <v>0</v>
      </c>
      <c r="R1557" s="52">
        <f ca="1">SUMIFS(OUT!$F$2:$F$11000,OUT!$H$2:$H$11000,H1557,OUT!$D$2:$D$11000,"Out",OUT!$E$2:$E$11000,"Sedekah")</f>
        <v>0</v>
      </c>
      <c r="S1557" s="52">
        <f ca="1">SUMIFS(OUT!$F$2:$F$11000,OUT!$H$2:$H$11000,H1557,OUT!$D$2:$D$11000,"Out",OUT!$E$2:$E$11000,"Zela")</f>
        <v>0</v>
      </c>
      <c r="T1557" s="52">
        <f ca="1">SUMIFS(OUT!$F$2:$F$11000,OUT!$H$2:$H$11000,H1557,OUT!$D$2:$D$11000,"Out",OUT!$E$2:$E$11000,"Iqbal")</f>
        <v>0</v>
      </c>
    </row>
    <row r="1558" spans="7:20" x14ac:dyDescent="0.2">
      <c r="G1558" s="50"/>
      <c r="H1558" s="51" t="str">
        <f t="shared" si="0"/>
        <v/>
      </c>
      <c r="I1558" s="52" t="e">
        <f>SUMIFS(OUT!$F$2:$F$11000,OUT!$H$2:$H$11000,H1558,OUT!$D$2:$D$101007,"In")</f>
        <v>#VALUE!</v>
      </c>
      <c r="J1558" s="52">
        <f ca="1">SUMIFS(OUT!$F$2:$F$11000,OUT!$H$2:$H$11000,H1558,OUT!$D$2:$D$11000,"Out")</f>
        <v>0</v>
      </c>
      <c r="K1558" s="52">
        <f ca="1">SUMIFS(OUT!$F$2:$F$11000,OUT!$H$2:$H$11000,H1558,OUT!$D$2:$D$11000,"Out",OUT!$E$2:$E$11000,"Fix")</f>
        <v>0</v>
      </c>
      <c r="L1558" s="52">
        <f ca="1">SUMIFS(OUT!$F$2:$F$11000,OUT!$H$2:$H$11000,H1558,OUT!$D$2:$D$11000,"Out",OUT!$E$2:$E$11000,"Bathroom")</f>
        <v>0</v>
      </c>
      <c r="M1558" s="52">
        <f ca="1">SUMIFS(OUT!$F$2:$F$11000,OUT!$H$2:$H$11000,H1558,OUT!$D$2:$D$11000,"Out",OUT!$E$2:$E$11000,"Alfa")</f>
        <v>0</v>
      </c>
      <c r="N1558" s="52" t="e">
        <f>SUMIFS(OUT!$F$2:$F$11000,OUT!$H$2:$H$101007,H1558,OUT!$D$2:$D$11000,"Out",OUT!$E$2:$E$11000,"Jajan")</f>
        <v>#VALUE!</v>
      </c>
      <c r="O1558" s="52">
        <f ca="1">SUMIFS(OUT!$F$2:$F$11000,OUT!$H$2:$H$11000,H1558,OUT!$D$2:$D$11000,"Out",OUT!$E$2:$E$11000,"Kitchen")</f>
        <v>0</v>
      </c>
      <c r="P1558" s="52">
        <f ca="1">SUMIFS(OUT!$F$2:$F$11000,OUT!$H$2:$H$11000,H1558,OUT!$D$2:$D$11000,"Out",OUT!$E$2:$E$11000,"Loandry")</f>
        <v>0</v>
      </c>
      <c r="Q1558" s="52">
        <f ca="1">SUMIFS(OUT!$F$2:$F$11000,OUT!$H$2:$H$11000,H1558,OUT!$D$2:$D$11000,"Out",OUT!$E$2:$E$11000,"Mio")</f>
        <v>0</v>
      </c>
      <c r="R1558" s="52">
        <f ca="1">SUMIFS(OUT!$F$2:$F$11000,OUT!$H$2:$H$11000,H1558,OUT!$D$2:$D$11000,"Out",OUT!$E$2:$E$11000,"Sedekah")</f>
        <v>0</v>
      </c>
      <c r="S1558" s="52">
        <f ca="1">SUMIFS(OUT!$F$2:$F$11000,OUT!$H$2:$H$11000,H1558,OUT!$D$2:$D$11000,"Out",OUT!$E$2:$E$11000,"Zela")</f>
        <v>0</v>
      </c>
      <c r="T1558" s="52">
        <f ca="1">SUMIFS(OUT!$F$2:$F$11000,OUT!$H$2:$H$11000,H1558,OUT!$D$2:$D$11000,"Out",OUT!$E$2:$E$11000,"Iqbal")</f>
        <v>0</v>
      </c>
    </row>
    <row r="1559" spans="7:20" x14ac:dyDescent="0.2">
      <c r="G1559" s="50"/>
      <c r="H1559" s="51" t="str">
        <f t="shared" si="0"/>
        <v/>
      </c>
      <c r="I1559" s="52" t="e">
        <f>SUMIFS(OUT!$F$2:$F$11000,OUT!$H$2:$H$11000,H1559,OUT!$D$2:$D$101007,"In")</f>
        <v>#VALUE!</v>
      </c>
      <c r="J1559" s="52">
        <f ca="1">SUMIFS(OUT!$F$2:$F$11000,OUT!$H$2:$H$11000,H1559,OUT!$D$2:$D$11000,"Out")</f>
        <v>0</v>
      </c>
      <c r="K1559" s="52">
        <f ca="1">SUMIFS(OUT!$F$2:$F$11000,OUT!$H$2:$H$11000,H1559,OUT!$D$2:$D$11000,"Out",OUT!$E$2:$E$11000,"Fix")</f>
        <v>0</v>
      </c>
      <c r="L1559" s="52">
        <f ca="1">SUMIFS(OUT!$F$2:$F$11000,OUT!$H$2:$H$11000,H1559,OUT!$D$2:$D$11000,"Out",OUT!$E$2:$E$11000,"Bathroom")</f>
        <v>0</v>
      </c>
      <c r="M1559" s="52">
        <f ca="1">SUMIFS(OUT!$F$2:$F$11000,OUT!$H$2:$H$11000,H1559,OUT!$D$2:$D$11000,"Out",OUT!$E$2:$E$11000,"Alfa")</f>
        <v>0</v>
      </c>
      <c r="N1559" s="52" t="e">
        <f>SUMIFS(OUT!$F$2:$F$11000,OUT!$H$2:$H$101007,H1559,OUT!$D$2:$D$11000,"Out",OUT!$E$2:$E$11000,"Jajan")</f>
        <v>#VALUE!</v>
      </c>
      <c r="O1559" s="52">
        <f ca="1">SUMIFS(OUT!$F$2:$F$11000,OUT!$H$2:$H$11000,H1559,OUT!$D$2:$D$11000,"Out",OUT!$E$2:$E$11000,"Kitchen")</f>
        <v>0</v>
      </c>
      <c r="P1559" s="52">
        <f ca="1">SUMIFS(OUT!$F$2:$F$11000,OUT!$H$2:$H$11000,H1559,OUT!$D$2:$D$11000,"Out",OUT!$E$2:$E$11000,"Loandry")</f>
        <v>0</v>
      </c>
      <c r="Q1559" s="52">
        <f ca="1">SUMIFS(OUT!$F$2:$F$11000,OUT!$H$2:$H$11000,H1559,OUT!$D$2:$D$11000,"Out",OUT!$E$2:$E$11000,"Mio")</f>
        <v>0</v>
      </c>
      <c r="R1559" s="52">
        <f ca="1">SUMIFS(OUT!$F$2:$F$11000,OUT!$H$2:$H$11000,H1559,OUT!$D$2:$D$11000,"Out",OUT!$E$2:$E$11000,"Sedekah")</f>
        <v>0</v>
      </c>
      <c r="S1559" s="52">
        <f ca="1">SUMIFS(OUT!$F$2:$F$11000,OUT!$H$2:$H$11000,H1559,OUT!$D$2:$D$11000,"Out",OUT!$E$2:$E$11000,"Zela")</f>
        <v>0</v>
      </c>
      <c r="T1559" s="52">
        <f ca="1">SUMIFS(OUT!$F$2:$F$11000,OUT!$H$2:$H$11000,H1559,OUT!$D$2:$D$11000,"Out",OUT!$E$2:$E$11000,"Iqbal")</f>
        <v>0</v>
      </c>
    </row>
    <row r="1560" spans="7:20" x14ac:dyDescent="0.2">
      <c r="G1560" s="50"/>
      <c r="H1560" s="51" t="str">
        <f t="shared" si="0"/>
        <v/>
      </c>
      <c r="I1560" s="52" t="e">
        <f>SUMIFS(OUT!$F$2:$F$11000,OUT!$H$2:$H$11000,H1560,OUT!$D$2:$D$101007,"In")</f>
        <v>#VALUE!</v>
      </c>
      <c r="J1560" s="52">
        <f ca="1">SUMIFS(OUT!$F$2:$F$11000,OUT!$H$2:$H$11000,H1560,OUT!$D$2:$D$11000,"Out")</f>
        <v>0</v>
      </c>
      <c r="K1560" s="52">
        <f ca="1">SUMIFS(OUT!$F$2:$F$11000,OUT!$H$2:$H$11000,H1560,OUT!$D$2:$D$11000,"Out",OUT!$E$2:$E$11000,"Fix")</f>
        <v>0</v>
      </c>
      <c r="L1560" s="52">
        <f ca="1">SUMIFS(OUT!$F$2:$F$11000,OUT!$H$2:$H$11000,H1560,OUT!$D$2:$D$11000,"Out",OUT!$E$2:$E$11000,"Bathroom")</f>
        <v>0</v>
      </c>
      <c r="M1560" s="52">
        <f ca="1">SUMIFS(OUT!$F$2:$F$11000,OUT!$H$2:$H$11000,H1560,OUT!$D$2:$D$11000,"Out",OUT!$E$2:$E$11000,"Alfa")</f>
        <v>0</v>
      </c>
      <c r="N1560" s="52" t="e">
        <f>SUMIFS(OUT!$F$2:$F$11000,OUT!$H$2:$H$101007,H1560,OUT!$D$2:$D$11000,"Out",OUT!$E$2:$E$11000,"Jajan")</f>
        <v>#VALUE!</v>
      </c>
      <c r="O1560" s="52">
        <f ca="1">SUMIFS(OUT!$F$2:$F$11000,OUT!$H$2:$H$11000,H1560,OUT!$D$2:$D$11000,"Out",OUT!$E$2:$E$11000,"Kitchen")</f>
        <v>0</v>
      </c>
      <c r="P1560" s="52">
        <f ca="1">SUMIFS(OUT!$F$2:$F$11000,OUT!$H$2:$H$11000,H1560,OUT!$D$2:$D$11000,"Out",OUT!$E$2:$E$11000,"Loandry")</f>
        <v>0</v>
      </c>
      <c r="Q1560" s="52">
        <f ca="1">SUMIFS(OUT!$F$2:$F$11000,OUT!$H$2:$H$11000,H1560,OUT!$D$2:$D$11000,"Out",OUT!$E$2:$E$11000,"Mio")</f>
        <v>0</v>
      </c>
      <c r="R1560" s="52">
        <f ca="1">SUMIFS(OUT!$F$2:$F$11000,OUT!$H$2:$H$11000,H1560,OUT!$D$2:$D$11000,"Out",OUT!$E$2:$E$11000,"Sedekah")</f>
        <v>0</v>
      </c>
      <c r="S1560" s="52">
        <f ca="1">SUMIFS(OUT!$F$2:$F$11000,OUT!$H$2:$H$11000,H1560,OUT!$D$2:$D$11000,"Out",OUT!$E$2:$E$11000,"Zela")</f>
        <v>0</v>
      </c>
      <c r="T1560" s="52">
        <f ca="1">SUMIFS(OUT!$F$2:$F$11000,OUT!$H$2:$H$11000,H1560,OUT!$D$2:$D$11000,"Out",OUT!$E$2:$E$11000,"Iqbal")</f>
        <v>0</v>
      </c>
    </row>
    <row r="1561" spans="7:20" x14ac:dyDescent="0.2">
      <c r="G1561" s="50"/>
      <c r="H1561" s="51" t="str">
        <f t="shared" si="0"/>
        <v/>
      </c>
      <c r="I1561" s="52" t="e">
        <f>SUMIFS(OUT!$F$2:$F$11000,OUT!$H$2:$H$11000,H1561,OUT!$D$2:$D$101007,"In")</f>
        <v>#VALUE!</v>
      </c>
      <c r="J1561" s="52">
        <f ca="1">SUMIFS(OUT!$F$2:$F$11000,OUT!$H$2:$H$11000,H1561,OUT!$D$2:$D$11000,"Out")</f>
        <v>0</v>
      </c>
      <c r="K1561" s="52">
        <f ca="1">SUMIFS(OUT!$F$2:$F$11000,OUT!$H$2:$H$11000,H1561,OUT!$D$2:$D$11000,"Out",OUT!$E$2:$E$11000,"Fix")</f>
        <v>0</v>
      </c>
      <c r="L1561" s="52">
        <f ca="1">SUMIFS(OUT!$F$2:$F$11000,OUT!$H$2:$H$11000,H1561,OUT!$D$2:$D$11000,"Out",OUT!$E$2:$E$11000,"Bathroom")</f>
        <v>0</v>
      </c>
      <c r="M1561" s="52">
        <f ca="1">SUMIFS(OUT!$F$2:$F$11000,OUT!$H$2:$H$11000,H1561,OUT!$D$2:$D$11000,"Out",OUT!$E$2:$E$11000,"Alfa")</f>
        <v>0</v>
      </c>
      <c r="N1561" s="52" t="e">
        <f>SUMIFS(OUT!$F$2:$F$11000,OUT!$H$2:$H$101007,H1561,OUT!$D$2:$D$11000,"Out",OUT!$E$2:$E$11000,"Jajan")</f>
        <v>#VALUE!</v>
      </c>
      <c r="O1561" s="52">
        <f ca="1">SUMIFS(OUT!$F$2:$F$11000,OUT!$H$2:$H$11000,H1561,OUT!$D$2:$D$11000,"Out",OUT!$E$2:$E$11000,"Kitchen")</f>
        <v>0</v>
      </c>
      <c r="P1561" s="52">
        <f ca="1">SUMIFS(OUT!$F$2:$F$11000,OUT!$H$2:$H$11000,H1561,OUT!$D$2:$D$11000,"Out",OUT!$E$2:$E$11000,"Loandry")</f>
        <v>0</v>
      </c>
      <c r="Q1561" s="52">
        <f ca="1">SUMIFS(OUT!$F$2:$F$11000,OUT!$H$2:$H$11000,H1561,OUT!$D$2:$D$11000,"Out",OUT!$E$2:$E$11000,"Mio")</f>
        <v>0</v>
      </c>
      <c r="R1561" s="52">
        <f ca="1">SUMIFS(OUT!$F$2:$F$11000,OUT!$H$2:$H$11000,H1561,OUT!$D$2:$D$11000,"Out",OUT!$E$2:$E$11000,"Sedekah")</f>
        <v>0</v>
      </c>
      <c r="S1561" s="52">
        <f ca="1">SUMIFS(OUT!$F$2:$F$11000,OUT!$H$2:$H$11000,H1561,OUT!$D$2:$D$11000,"Out",OUT!$E$2:$E$11000,"Zela")</f>
        <v>0</v>
      </c>
      <c r="T1561" s="52">
        <f ca="1">SUMIFS(OUT!$F$2:$F$11000,OUT!$H$2:$H$11000,H1561,OUT!$D$2:$D$11000,"Out",OUT!$E$2:$E$11000,"Iqbal")</f>
        <v>0</v>
      </c>
    </row>
    <row r="1562" spans="7:20" x14ac:dyDescent="0.2">
      <c r="G1562" s="50"/>
      <c r="H1562" s="51" t="str">
        <f t="shared" si="0"/>
        <v/>
      </c>
      <c r="I1562" s="52" t="e">
        <f>SUMIFS(OUT!$F$2:$F$11000,OUT!$H$2:$H$11000,H1562,OUT!$D$2:$D$101007,"In")</f>
        <v>#VALUE!</v>
      </c>
      <c r="J1562" s="52">
        <f ca="1">SUMIFS(OUT!$F$2:$F$11000,OUT!$H$2:$H$11000,H1562,OUT!$D$2:$D$11000,"Out")</f>
        <v>0</v>
      </c>
      <c r="K1562" s="52">
        <f ca="1">SUMIFS(OUT!$F$2:$F$11000,OUT!$H$2:$H$11000,H1562,OUT!$D$2:$D$11000,"Out",OUT!$E$2:$E$11000,"Fix")</f>
        <v>0</v>
      </c>
      <c r="L1562" s="52">
        <f ca="1">SUMIFS(OUT!$F$2:$F$11000,OUT!$H$2:$H$11000,H1562,OUT!$D$2:$D$11000,"Out",OUT!$E$2:$E$11000,"Bathroom")</f>
        <v>0</v>
      </c>
      <c r="M1562" s="52">
        <f ca="1">SUMIFS(OUT!$F$2:$F$11000,OUT!$H$2:$H$11000,H1562,OUT!$D$2:$D$11000,"Out",OUT!$E$2:$E$11000,"Alfa")</f>
        <v>0</v>
      </c>
      <c r="N1562" s="52" t="e">
        <f>SUMIFS(OUT!$F$2:$F$11000,OUT!$H$2:$H$101007,H1562,OUT!$D$2:$D$11000,"Out",OUT!$E$2:$E$11000,"Jajan")</f>
        <v>#VALUE!</v>
      </c>
      <c r="O1562" s="52">
        <f ca="1">SUMIFS(OUT!$F$2:$F$11000,OUT!$H$2:$H$11000,H1562,OUT!$D$2:$D$11000,"Out",OUT!$E$2:$E$11000,"Kitchen")</f>
        <v>0</v>
      </c>
      <c r="P1562" s="52">
        <f ca="1">SUMIFS(OUT!$F$2:$F$11000,OUT!$H$2:$H$11000,H1562,OUT!$D$2:$D$11000,"Out",OUT!$E$2:$E$11000,"Loandry")</f>
        <v>0</v>
      </c>
      <c r="Q1562" s="52">
        <f ca="1">SUMIFS(OUT!$F$2:$F$11000,OUT!$H$2:$H$11000,H1562,OUT!$D$2:$D$11000,"Out",OUT!$E$2:$E$11000,"Mio")</f>
        <v>0</v>
      </c>
      <c r="R1562" s="52">
        <f ca="1">SUMIFS(OUT!$F$2:$F$11000,OUT!$H$2:$H$11000,H1562,OUT!$D$2:$D$11000,"Out",OUT!$E$2:$E$11000,"Sedekah")</f>
        <v>0</v>
      </c>
      <c r="S1562" s="52">
        <f ca="1">SUMIFS(OUT!$F$2:$F$11000,OUT!$H$2:$H$11000,H1562,OUT!$D$2:$D$11000,"Out",OUT!$E$2:$E$11000,"Zela")</f>
        <v>0</v>
      </c>
      <c r="T1562" s="52">
        <f ca="1">SUMIFS(OUT!$F$2:$F$11000,OUT!$H$2:$H$11000,H1562,OUT!$D$2:$D$11000,"Out",OUT!$E$2:$E$11000,"Iqbal")</f>
        <v>0</v>
      </c>
    </row>
    <row r="1563" spans="7:20" x14ac:dyDescent="0.2">
      <c r="G1563" s="50"/>
      <c r="H1563" s="51" t="str">
        <f t="shared" si="0"/>
        <v/>
      </c>
      <c r="I1563" s="52" t="e">
        <f>SUMIFS(OUT!$F$2:$F$11000,OUT!$H$2:$H$11000,H1563,OUT!$D$2:$D$101007,"In")</f>
        <v>#VALUE!</v>
      </c>
      <c r="J1563" s="52">
        <f ca="1">SUMIFS(OUT!$F$2:$F$11000,OUT!$H$2:$H$11000,H1563,OUT!$D$2:$D$11000,"Out")</f>
        <v>0</v>
      </c>
      <c r="K1563" s="52">
        <f ca="1">SUMIFS(OUT!$F$2:$F$11000,OUT!$H$2:$H$11000,H1563,OUT!$D$2:$D$11000,"Out",OUT!$E$2:$E$11000,"Fix")</f>
        <v>0</v>
      </c>
      <c r="L1563" s="52">
        <f ca="1">SUMIFS(OUT!$F$2:$F$11000,OUT!$H$2:$H$11000,H1563,OUT!$D$2:$D$11000,"Out",OUT!$E$2:$E$11000,"Bathroom")</f>
        <v>0</v>
      </c>
      <c r="M1563" s="52">
        <f ca="1">SUMIFS(OUT!$F$2:$F$11000,OUT!$H$2:$H$11000,H1563,OUT!$D$2:$D$11000,"Out",OUT!$E$2:$E$11000,"Alfa")</f>
        <v>0</v>
      </c>
      <c r="N1563" s="52" t="e">
        <f>SUMIFS(OUT!$F$2:$F$11000,OUT!$H$2:$H$101007,H1563,OUT!$D$2:$D$11000,"Out",OUT!$E$2:$E$11000,"Jajan")</f>
        <v>#VALUE!</v>
      </c>
      <c r="O1563" s="52">
        <f ca="1">SUMIFS(OUT!$F$2:$F$11000,OUT!$H$2:$H$11000,H1563,OUT!$D$2:$D$11000,"Out",OUT!$E$2:$E$11000,"Kitchen")</f>
        <v>0</v>
      </c>
      <c r="P1563" s="52">
        <f ca="1">SUMIFS(OUT!$F$2:$F$11000,OUT!$H$2:$H$11000,H1563,OUT!$D$2:$D$11000,"Out",OUT!$E$2:$E$11000,"Loandry")</f>
        <v>0</v>
      </c>
      <c r="Q1563" s="52">
        <f ca="1">SUMIFS(OUT!$F$2:$F$11000,OUT!$H$2:$H$11000,H1563,OUT!$D$2:$D$11000,"Out",OUT!$E$2:$E$11000,"Mio")</f>
        <v>0</v>
      </c>
      <c r="R1563" s="52">
        <f ca="1">SUMIFS(OUT!$F$2:$F$11000,OUT!$H$2:$H$11000,H1563,OUT!$D$2:$D$11000,"Out",OUT!$E$2:$E$11000,"Sedekah")</f>
        <v>0</v>
      </c>
      <c r="S1563" s="52">
        <f ca="1">SUMIFS(OUT!$F$2:$F$11000,OUT!$H$2:$H$11000,H1563,OUT!$D$2:$D$11000,"Out",OUT!$E$2:$E$11000,"Zela")</f>
        <v>0</v>
      </c>
      <c r="T1563" s="52">
        <f ca="1">SUMIFS(OUT!$F$2:$F$11000,OUT!$H$2:$H$11000,H1563,OUT!$D$2:$D$11000,"Out",OUT!$E$2:$E$11000,"Iqbal")</f>
        <v>0</v>
      </c>
    </row>
    <row r="1564" spans="7:20" x14ac:dyDescent="0.2">
      <c r="G1564" s="50"/>
      <c r="H1564" s="51" t="str">
        <f t="shared" si="0"/>
        <v/>
      </c>
      <c r="I1564" s="52" t="e">
        <f>SUMIFS(OUT!$F$2:$F$11000,OUT!$H$2:$H$11000,H1564,OUT!$D$2:$D$101007,"In")</f>
        <v>#VALUE!</v>
      </c>
      <c r="J1564" s="52">
        <f ca="1">SUMIFS(OUT!$F$2:$F$11000,OUT!$H$2:$H$11000,H1564,OUT!$D$2:$D$11000,"Out")</f>
        <v>0</v>
      </c>
      <c r="K1564" s="52">
        <f ca="1">SUMIFS(OUT!$F$2:$F$11000,OUT!$H$2:$H$11000,H1564,OUT!$D$2:$D$11000,"Out",OUT!$E$2:$E$11000,"Fix")</f>
        <v>0</v>
      </c>
      <c r="L1564" s="52">
        <f ca="1">SUMIFS(OUT!$F$2:$F$11000,OUT!$H$2:$H$11000,H1564,OUT!$D$2:$D$11000,"Out",OUT!$E$2:$E$11000,"Bathroom")</f>
        <v>0</v>
      </c>
      <c r="M1564" s="52">
        <f ca="1">SUMIFS(OUT!$F$2:$F$11000,OUT!$H$2:$H$11000,H1564,OUT!$D$2:$D$11000,"Out",OUT!$E$2:$E$11000,"Alfa")</f>
        <v>0</v>
      </c>
      <c r="N1564" s="52" t="e">
        <f>SUMIFS(OUT!$F$2:$F$11000,OUT!$H$2:$H$101007,H1564,OUT!$D$2:$D$11000,"Out",OUT!$E$2:$E$11000,"Jajan")</f>
        <v>#VALUE!</v>
      </c>
      <c r="O1564" s="52">
        <f ca="1">SUMIFS(OUT!$F$2:$F$11000,OUT!$H$2:$H$11000,H1564,OUT!$D$2:$D$11000,"Out",OUT!$E$2:$E$11000,"Kitchen")</f>
        <v>0</v>
      </c>
      <c r="P1564" s="52">
        <f ca="1">SUMIFS(OUT!$F$2:$F$11000,OUT!$H$2:$H$11000,H1564,OUT!$D$2:$D$11000,"Out",OUT!$E$2:$E$11000,"Loandry")</f>
        <v>0</v>
      </c>
      <c r="Q1564" s="52">
        <f ca="1">SUMIFS(OUT!$F$2:$F$11000,OUT!$H$2:$H$11000,H1564,OUT!$D$2:$D$11000,"Out",OUT!$E$2:$E$11000,"Mio")</f>
        <v>0</v>
      </c>
      <c r="R1564" s="52">
        <f ca="1">SUMIFS(OUT!$F$2:$F$11000,OUT!$H$2:$H$11000,H1564,OUT!$D$2:$D$11000,"Out",OUT!$E$2:$E$11000,"Sedekah")</f>
        <v>0</v>
      </c>
      <c r="S1564" s="52">
        <f ca="1">SUMIFS(OUT!$F$2:$F$11000,OUT!$H$2:$H$11000,H1564,OUT!$D$2:$D$11000,"Out",OUT!$E$2:$E$11000,"Zela")</f>
        <v>0</v>
      </c>
      <c r="T1564" s="52">
        <f ca="1">SUMIFS(OUT!$F$2:$F$11000,OUT!$H$2:$H$11000,H1564,OUT!$D$2:$D$11000,"Out",OUT!$E$2:$E$11000,"Iqbal")</f>
        <v>0</v>
      </c>
    </row>
    <row r="1565" spans="7:20" x14ac:dyDescent="0.2">
      <c r="G1565" s="50"/>
      <c r="H1565" s="51" t="str">
        <f t="shared" si="0"/>
        <v/>
      </c>
      <c r="I1565" s="52" t="e">
        <f>SUMIFS(OUT!$F$2:$F$11000,OUT!$H$2:$H$11000,H1565,OUT!$D$2:$D$101007,"In")</f>
        <v>#VALUE!</v>
      </c>
      <c r="J1565" s="52">
        <f ca="1">SUMIFS(OUT!$F$2:$F$11000,OUT!$H$2:$H$11000,H1565,OUT!$D$2:$D$11000,"Out")</f>
        <v>0</v>
      </c>
      <c r="K1565" s="52">
        <f ca="1">SUMIFS(OUT!$F$2:$F$11000,OUT!$H$2:$H$11000,H1565,OUT!$D$2:$D$11000,"Out",OUT!$E$2:$E$11000,"Fix")</f>
        <v>0</v>
      </c>
      <c r="L1565" s="52">
        <f ca="1">SUMIFS(OUT!$F$2:$F$11000,OUT!$H$2:$H$11000,H1565,OUT!$D$2:$D$11000,"Out",OUT!$E$2:$E$11000,"Bathroom")</f>
        <v>0</v>
      </c>
      <c r="M1565" s="52">
        <f ca="1">SUMIFS(OUT!$F$2:$F$11000,OUT!$H$2:$H$11000,H1565,OUT!$D$2:$D$11000,"Out",OUT!$E$2:$E$11000,"Alfa")</f>
        <v>0</v>
      </c>
      <c r="N1565" s="52" t="e">
        <f>SUMIFS(OUT!$F$2:$F$11000,OUT!$H$2:$H$101007,H1565,OUT!$D$2:$D$11000,"Out",OUT!$E$2:$E$11000,"Jajan")</f>
        <v>#VALUE!</v>
      </c>
      <c r="O1565" s="52">
        <f ca="1">SUMIFS(OUT!$F$2:$F$11000,OUT!$H$2:$H$11000,H1565,OUT!$D$2:$D$11000,"Out",OUT!$E$2:$E$11000,"Kitchen")</f>
        <v>0</v>
      </c>
      <c r="P1565" s="52">
        <f ca="1">SUMIFS(OUT!$F$2:$F$11000,OUT!$H$2:$H$11000,H1565,OUT!$D$2:$D$11000,"Out",OUT!$E$2:$E$11000,"Loandry")</f>
        <v>0</v>
      </c>
      <c r="Q1565" s="52">
        <f ca="1">SUMIFS(OUT!$F$2:$F$11000,OUT!$H$2:$H$11000,H1565,OUT!$D$2:$D$11000,"Out",OUT!$E$2:$E$11000,"Mio")</f>
        <v>0</v>
      </c>
      <c r="R1565" s="52">
        <f ca="1">SUMIFS(OUT!$F$2:$F$11000,OUT!$H$2:$H$11000,H1565,OUT!$D$2:$D$11000,"Out",OUT!$E$2:$E$11000,"Sedekah")</f>
        <v>0</v>
      </c>
      <c r="S1565" s="52">
        <f ca="1">SUMIFS(OUT!$F$2:$F$11000,OUT!$H$2:$H$11000,H1565,OUT!$D$2:$D$11000,"Out",OUT!$E$2:$E$11000,"Zela")</f>
        <v>0</v>
      </c>
      <c r="T1565" s="52">
        <f ca="1">SUMIFS(OUT!$F$2:$F$11000,OUT!$H$2:$H$11000,H1565,OUT!$D$2:$D$11000,"Out",OUT!$E$2:$E$11000,"Iqbal")</f>
        <v>0</v>
      </c>
    </row>
    <row r="1566" spans="7:20" x14ac:dyDescent="0.2">
      <c r="G1566" s="50"/>
      <c r="H1566" s="51" t="str">
        <f t="shared" si="0"/>
        <v/>
      </c>
      <c r="I1566" s="52" t="e">
        <f>SUMIFS(OUT!$F$2:$F$11000,OUT!$H$2:$H$11000,H1566,OUT!$D$2:$D$101007,"In")</f>
        <v>#VALUE!</v>
      </c>
      <c r="J1566" s="52">
        <f ca="1">SUMIFS(OUT!$F$2:$F$11000,OUT!$H$2:$H$11000,H1566,OUT!$D$2:$D$11000,"Out")</f>
        <v>0</v>
      </c>
      <c r="K1566" s="52">
        <f ca="1">SUMIFS(OUT!$F$2:$F$11000,OUT!$H$2:$H$11000,H1566,OUT!$D$2:$D$11000,"Out",OUT!$E$2:$E$11000,"Fix")</f>
        <v>0</v>
      </c>
      <c r="L1566" s="52">
        <f ca="1">SUMIFS(OUT!$F$2:$F$11000,OUT!$H$2:$H$11000,H1566,OUT!$D$2:$D$11000,"Out",OUT!$E$2:$E$11000,"Bathroom")</f>
        <v>0</v>
      </c>
      <c r="M1566" s="52">
        <f ca="1">SUMIFS(OUT!$F$2:$F$11000,OUT!$H$2:$H$11000,H1566,OUT!$D$2:$D$11000,"Out",OUT!$E$2:$E$11000,"Alfa")</f>
        <v>0</v>
      </c>
      <c r="N1566" s="52" t="e">
        <f>SUMIFS(OUT!$F$2:$F$11000,OUT!$H$2:$H$101007,H1566,OUT!$D$2:$D$11000,"Out",OUT!$E$2:$E$11000,"Jajan")</f>
        <v>#VALUE!</v>
      </c>
      <c r="O1566" s="52">
        <f ca="1">SUMIFS(OUT!$F$2:$F$11000,OUT!$H$2:$H$11000,H1566,OUT!$D$2:$D$11000,"Out",OUT!$E$2:$E$11000,"Kitchen")</f>
        <v>0</v>
      </c>
      <c r="P1566" s="52">
        <f ca="1">SUMIFS(OUT!$F$2:$F$11000,OUT!$H$2:$H$11000,H1566,OUT!$D$2:$D$11000,"Out",OUT!$E$2:$E$11000,"Loandry")</f>
        <v>0</v>
      </c>
      <c r="Q1566" s="52">
        <f ca="1">SUMIFS(OUT!$F$2:$F$11000,OUT!$H$2:$H$11000,H1566,OUT!$D$2:$D$11000,"Out",OUT!$E$2:$E$11000,"Mio")</f>
        <v>0</v>
      </c>
      <c r="R1566" s="52">
        <f ca="1">SUMIFS(OUT!$F$2:$F$11000,OUT!$H$2:$H$11000,H1566,OUT!$D$2:$D$11000,"Out",OUT!$E$2:$E$11000,"Sedekah")</f>
        <v>0</v>
      </c>
      <c r="S1566" s="52">
        <f ca="1">SUMIFS(OUT!$F$2:$F$11000,OUT!$H$2:$H$11000,H1566,OUT!$D$2:$D$11000,"Out",OUT!$E$2:$E$11000,"Zela")</f>
        <v>0</v>
      </c>
      <c r="T1566" s="52">
        <f ca="1">SUMIFS(OUT!$F$2:$F$11000,OUT!$H$2:$H$11000,H1566,OUT!$D$2:$D$11000,"Out",OUT!$E$2:$E$11000,"Iqbal")</f>
        <v>0</v>
      </c>
    </row>
    <row r="1567" spans="7:20" x14ac:dyDescent="0.2">
      <c r="G1567" s="50"/>
      <c r="H1567" s="51" t="str">
        <f t="shared" si="0"/>
        <v/>
      </c>
      <c r="I1567" s="52" t="e">
        <f>SUMIFS(OUT!$F$2:$F$11000,OUT!$H$2:$H$11000,H1567,OUT!$D$2:$D$101007,"In")</f>
        <v>#VALUE!</v>
      </c>
      <c r="J1567" s="52">
        <f ca="1">SUMIFS(OUT!$F$2:$F$11000,OUT!$H$2:$H$11000,H1567,OUT!$D$2:$D$11000,"Out")</f>
        <v>0</v>
      </c>
      <c r="K1567" s="52">
        <f ca="1">SUMIFS(OUT!$F$2:$F$11000,OUT!$H$2:$H$11000,H1567,OUT!$D$2:$D$11000,"Out",OUT!$E$2:$E$11000,"Fix")</f>
        <v>0</v>
      </c>
      <c r="L1567" s="52">
        <f ca="1">SUMIFS(OUT!$F$2:$F$11000,OUT!$H$2:$H$11000,H1567,OUT!$D$2:$D$11000,"Out",OUT!$E$2:$E$11000,"Bathroom")</f>
        <v>0</v>
      </c>
      <c r="M1567" s="52">
        <f ca="1">SUMIFS(OUT!$F$2:$F$11000,OUT!$H$2:$H$11000,H1567,OUT!$D$2:$D$11000,"Out",OUT!$E$2:$E$11000,"Alfa")</f>
        <v>0</v>
      </c>
      <c r="N1567" s="52" t="e">
        <f>SUMIFS(OUT!$F$2:$F$11000,OUT!$H$2:$H$101007,H1567,OUT!$D$2:$D$11000,"Out",OUT!$E$2:$E$11000,"Jajan")</f>
        <v>#VALUE!</v>
      </c>
      <c r="O1567" s="52">
        <f ca="1">SUMIFS(OUT!$F$2:$F$11000,OUT!$H$2:$H$11000,H1567,OUT!$D$2:$D$11000,"Out",OUT!$E$2:$E$11000,"Kitchen")</f>
        <v>0</v>
      </c>
      <c r="P1567" s="52">
        <f ca="1">SUMIFS(OUT!$F$2:$F$11000,OUT!$H$2:$H$11000,H1567,OUT!$D$2:$D$11000,"Out",OUT!$E$2:$E$11000,"Loandry")</f>
        <v>0</v>
      </c>
      <c r="Q1567" s="52">
        <f ca="1">SUMIFS(OUT!$F$2:$F$11000,OUT!$H$2:$H$11000,H1567,OUT!$D$2:$D$11000,"Out",OUT!$E$2:$E$11000,"Mio")</f>
        <v>0</v>
      </c>
      <c r="R1567" s="52">
        <f ca="1">SUMIFS(OUT!$F$2:$F$11000,OUT!$H$2:$H$11000,H1567,OUT!$D$2:$D$11000,"Out",OUT!$E$2:$E$11000,"Sedekah")</f>
        <v>0</v>
      </c>
      <c r="S1567" s="52">
        <f ca="1">SUMIFS(OUT!$F$2:$F$11000,OUT!$H$2:$H$11000,H1567,OUT!$D$2:$D$11000,"Out",OUT!$E$2:$E$11000,"Zela")</f>
        <v>0</v>
      </c>
      <c r="T1567" s="52">
        <f ca="1">SUMIFS(OUT!$F$2:$F$11000,OUT!$H$2:$H$11000,H1567,OUT!$D$2:$D$11000,"Out",OUT!$E$2:$E$11000,"Iqbal")</f>
        <v>0</v>
      </c>
    </row>
    <row r="1568" spans="7:20" x14ac:dyDescent="0.2">
      <c r="G1568" s="50"/>
      <c r="H1568" s="51" t="str">
        <f t="shared" si="0"/>
        <v/>
      </c>
      <c r="I1568" s="52" t="e">
        <f>SUMIFS(OUT!$F$2:$F$11000,OUT!$H$2:$H$11000,H1568,OUT!$D$2:$D$101007,"In")</f>
        <v>#VALUE!</v>
      </c>
      <c r="J1568" s="52">
        <f ca="1">SUMIFS(OUT!$F$2:$F$11000,OUT!$H$2:$H$11000,H1568,OUT!$D$2:$D$11000,"Out")</f>
        <v>0</v>
      </c>
      <c r="K1568" s="52">
        <f ca="1">SUMIFS(OUT!$F$2:$F$11000,OUT!$H$2:$H$11000,H1568,OUT!$D$2:$D$11000,"Out",OUT!$E$2:$E$11000,"Fix")</f>
        <v>0</v>
      </c>
      <c r="L1568" s="52">
        <f ca="1">SUMIFS(OUT!$F$2:$F$11000,OUT!$H$2:$H$11000,H1568,OUT!$D$2:$D$11000,"Out",OUT!$E$2:$E$11000,"Bathroom")</f>
        <v>0</v>
      </c>
      <c r="M1568" s="52">
        <f ca="1">SUMIFS(OUT!$F$2:$F$11000,OUT!$H$2:$H$11000,H1568,OUT!$D$2:$D$11000,"Out",OUT!$E$2:$E$11000,"Alfa")</f>
        <v>0</v>
      </c>
      <c r="N1568" s="52" t="e">
        <f>SUMIFS(OUT!$F$2:$F$11000,OUT!$H$2:$H$101007,H1568,OUT!$D$2:$D$11000,"Out",OUT!$E$2:$E$11000,"Jajan")</f>
        <v>#VALUE!</v>
      </c>
      <c r="O1568" s="52">
        <f ca="1">SUMIFS(OUT!$F$2:$F$11000,OUT!$H$2:$H$11000,H1568,OUT!$D$2:$D$11000,"Out",OUT!$E$2:$E$11000,"Kitchen")</f>
        <v>0</v>
      </c>
      <c r="P1568" s="52">
        <f ca="1">SUMIFS(OUT!$F$2:$F$11000,OUT!$H$2:$H$11000,H1568,OUT!$D$2:$D$11000,"Out",OUT!$E$2:$E$11000,"Loandry")</f>
        <v>0</v>
      </c>
      <c r="Q1568" s="52">
        <f ca="1">SUMIFS(OUT!$F$2:$F$11000,OUT!$H$2:$H$11000,H1568,OUT!$D$2:$D$11000,"Out",OUT!$E$2:$E$11000,"Mio")</f>
        <v>0</v>
      </c>
      <c r="R1568" s="52">
        <f ca="1">SUMIFS(OUT!$F$2:$F$11000,OUT!$H$2:$H$11000,H1568,OUT!$D$2:$D$11000,"Out",OUT!$E$2:$E$11000,"Sedekah")</f>
        <v>0</v>
      </c>
      <c r="S1568" s="52">
        <f ca="1">SUMIFS(OUT!$F$2:$F$11000,OUT!$H$2:$H$11000,H1568,OUT!$D$2:$D$11000,"Out",OUT!$E$2:$E$11000,"Zela")</f>
        <v>0</v>
      </c>
      <c r="T1568" s="52">
        <f ca="1">SUMIFS(OUT!$F$2:$F$11000,OUT!$H$2:$H$11000,H1568,OUT!$D$2:$D$11000,"Out",OUT!$E$2:$E$11000,"Iqbal")</f>
        <v>0</v>
      </c>
    </row>
    <row r="1569" spans="7:20" x14ac:dyDescent="0.2">
      <c r="G1569" s="50"/>
      <c r="H1569" s="51" t="str">
        <f t="shared" si="0"/>
        <v/>
      </c>
      <c r="I1569" s="52" t="e">
        <f>SUMIFS(OUT!$F$2:$F$11000,OUT!$H$2:$H$11000,H1569,OUT!$D$2:$D$101007,"In")</f>
        <v>#VALUE!</v>
      </c>
      <c r="J1569" s="52">
        <f ca="1">SUMIFS(OUT!$F$2:$F$11000,OUT!$H$2:$H$11000,H1569,OUT!$D$2:$D$11000,"Out")</f>
        <v>0</v>
      </c>
      <c r="K1569" s="52">
        <f ca="1">SUMIFS(OUT!$F$2:$F$11000,OUT!$H$2:$H$11000,H1569,OUT!$D$2:$D$11000,"Out",OUT!$E$2:$E$11000,"Fix")</f>
        <v>0</v>
      </c>
      <c r="L1569" s="52">
        <f ca="1">SUMIFS(OUT!$F$2:$F$11000,OUT!$H$2:$H$11000,H1569,OUT!$D$2:$D$11000,"Out",OUT!$E$2:$E$11000,"Bathroom")</f>
        <v>0</v>
      </c>
      <c r="M1569" s="52">
        <f ca="1">SUMIFS(OUT!$F$2:$F$11000,OUT!$H$2:$H$11000,H1569,OUT!$D$2:$D$11000,"Out",OUT!$E$2:$E$11000,"Alfa")</f>
        <v>0</v>
      </c>
      <c r="N1569" s="52" t="e">
        <f>SUMIFS(OUT!$F$2:$F$11000,OUT!$H$2:$H$101007,H1569,OUT!$D$2:$D$11000,"Out",OUT!$E$2:$E$11000,"Jajan")</f>
        <v>#VALUE!</v>
      </c>
      <c r="O1569" s="52">
        <f ca="1">SUMIFS(OUT!$F$2:$F$11000,OUT!$H$2:$H$11000,H1569,OUT!$D$2:$D$11000,"Out",OUT!$E$2:$E$11000,"Kitchen")</f>
        <v>0</v>
      </c>
      <c r="P1569" s="52">
        <f ca="1">SUMIFS(OUT!$F$2:$F$11000,OUT!$H$2:$H$11000,H1569,OUT!$D$2:$D$11000,"Out",OUT!$E$2:$E$11000,"Loandry")</f>
        <v>0</v>
      </c>
      <c r="Q1569" s="52">
        <f ca="1">SUMIFS(OUT!$F$2:$F$11000,OUT!$H$2:$H$11000,H1569,OUT!$D$2:$D$11000,"Out",OUT!$E$2:$E$11000,"Mio")</f>
        <v>0</v>
      </c>
      <c r="R1569" s="52">
        <f ca="1">SUMIFS(OUT!$F$2:$F$11000,OUT!$H$2:$H$11000,H1569,OUT!$D$2:$D$11000,"Out",OUT!$E$2:$E$11000,"Sedekah")</f>
        <v>0</v>
      </c>
      <c r="S1569" s="52">
        <f ca="1">SUMIFS(OUT!$F$2:$F$11000,OUT!$H$2:$H$11000,H1569,OUT!$D$2:$D$11000,"Out",OUT!$E$2:$E$11000,"Zela")</f>
        <v>0</v>
      </c>
      <c r="T1569" s="52">
        <f ca="1">SUMIFS(OUT!$F$2:$F$11000,OUT!$H$2:$H$11000,H1569,OUT!$D$2:$D$11000,"Out",OUT!$E$2:$E$11000,"Iqbal")</f>
        <v>0</v>
      </c>
    </row>
    <row r="1570" spans="7:20" x14ac:dyDescent="0.2">
      <c r="G1570" s="50"/>
      <c r="H1570" s="51" t="str">
        <f t="shared" si="0"/>
        <v/>
      </c>
      <c r="I1570" s="52" t="e">
        <f>SUMIFS(OUT!$F$2:$F$11000,OUT!$H$2:$H$11000,H1570,OUT!$D$2:$D$101007,"In")</f>
        <v>#VALUE!</v>
      </c>
      <c r="J1570" s="52">
        <f ca="1">SUMIFS(OUT!$F$2:$F$11000,OUT!$H$2:$H$11000,H1570,OUT!$D$2:$D$11000,"Out")</f>
        <v>0</v>
      </c>
      <c r="K1570" s="52">
        <f ca="1">SUMIFS(OUT!$F$2:$F$11000,OUT!$H$2:$H$11000,H1570,OUT!$D$2:$D$11000,"Out",OUT!$E$2:$E$11000,"Fix")</f>
        <v>0</v>
      </c>
      <c r="L1570" s="52">
        <f ca="1">SUMIFS(OUT!$F$2:$F$11000,OUT!$H$2:$H$11000,H1570,OUT!$D$2:$D$11000,"Out",OUT!$E$2:$E$11000,"Bathroom")</f>
        <v>0</v>
      </c>
      <c r="M1570" s="52">
        <f ca="1">SUMIFS(OUT!$F$2:$F$11000,OUT!$H$2:$H$11000,H1570,OUT!$D$2:$D$11000,"Out",OUT!$E$2:$E$11000,"Alfa")</f>
        <v>0</v>
      </c>
      <c r="N1570" s="52" t="e">
        <f>SUMIFS(OUT!$F$2:$F$11000,OUT!$H$2:$H$101007,H1570,OUT!$D$2:$D$11000,"Out",OUT!$E$2:$E$11000,"Jajan")</f>
        <v>#VALUE!</v>
      </c>
      <c r="O1570" s="52">
        <f ca="1">SUMIFS(OUT!$F$2:$F$11000,OUT!$H$2:$H$11000,H1570,OUT!$D$2:$D$11000,"Out",OUT!$E$2:$E$11000,"Kitchen")</f>
        <v>0</v>
      </c>
      <c r="P1570" s="52">
        <f ca="1">SUMIFS(OUT!$F$2:$F$11000,OUT!$H$2:$H$11000,H1570,OUT!$D$2:$D$11000,"Out",OUT!$E$2:$E$11000,"Loandry")</f>
        <v>0</v>
      </c>
      <c r="Q1570" s="52">
        <f ca="1">SUMIFS(OUT!$F$2:$F$11000,OUT!$H$2:$H$11000,H1570,OUT!$D$2:$D$11000,"Out",OUT!$E$2:$E$11000,"Mio")</f>
        <v>0</v>
      </c>
      <c r="R1570" s="52">
        <f ca="1">SUMIFS(OUT!$F$2:$F$11000,OUT!$H$2:$H$11000,H1570,OUT!$D$2:$D$11000,"Out",OUT!$E$2:$E$11000,"Sedekah")</f>
        <v>0</v>
      </c>
      <c r="S1570" s="52">
        <f ca="1">SUMIFS(OUT!$F$2:$F$11000,OUT!$H$2:$H$11000,H1570,OUT!$D$2:$D$11000,"Out",OUT!$E$2:$E$11000,"Zela")</f>
        <v>0</v>
      </c>
      <c r="T1570" s="52">
        <f ca="1">SUMIFS(OUT!$F$2:$F$11000,OUT!$H$2:$H$11000,H1570,OUT!$D$2:$D$11000,"Out",OUT!$E$2:$E$11000,"Iqbal")</f>
        <v>0</v>
      </c>
    </row>
    <row r="1571" spans="7:20" x14ac:dyDescent="0.2">
      <c r="G1571" s="50"/>
      <c r="H1571" s="51" t="str">
        <f t="shared" si="0"/>
        <v/>
      </c>
      <c r="I1571" s="52" t="e">
        <f>SUMIFS(OUT!$F$2:$F$11000,OUT!$H$2:$H$11000,H1571,OUT!$D$2:$D$101007,"In")</f>
        <v>#VALUE!</v>
      </c>
      <c r="J1571" s="52">
        <f ca="1">SUMIFS(OUT!$F$2:$F$11000,OUT!$H$2:$H$11000,H1571,OUT!$D$2:$D$11000,"Out")</f>
        <v>0</v>
      </c>
      <c r="K1571" s="52">
        <f ca="1">SUMIFS(OUT!$F$2:$F$11000,OUT!$H$2:$H$11000,H1571,OUT!$D$2:$D$11000,"Out",OUT!$E$2:$E$11000,"Fix")</f>
        <v>0</v>
      </c>
      <c r="L1571" s="52">
        <f ca="1">SUMIFS(OUT!$F$2:$F$11000,OUT!$H$2:$H$11000,H1571,OUT!$D$2:$D$11000,"Out",OUT!$E$2:$E$11000,"Bathroom")</f>
        <v>0</v>
      </c>
      <c r="M1571" s="52">
        <f ca="1">SUMIFS(OUT!$F$2:$F$11000,OUT!$H$2:$H$11000,H1571,OUT!$D$2:$D$11000,"Out",OUT!$E$2:$E$11000,"Alfa")</f>
        <v>0</v>
      </c>
      <c r="N1571" s="52" t="e">
        <f>SUMIFS(OUT!$F$2:$F$11000,OUT!$H$2:$H$101007,H1571,OUT!$D$2:$D$11000,"Out",OUT!$E$2:$E$11000,"Jajan")</f>
        <v>#VALUE!</v>
      </c>
      <c r="O1571" s="52">
        <f ca="1">SUMIFS(OUT!$F$2:$F$11000,OUT!$H$2:$H$11000,H1571,OUT!$D$2:$D$11000,"Out",OUT!$E$2:$E$11000,"Kitchen")</f>
        <v>0</v>
      </c>
      <c r="P1571" s="52">
        <f ca="1">SUMIFS(OUT!$F$2:$F$11000,OUT!$H$2:$H$11000,H1571,OUT!$D$2:$D$11000,"Out",OUT!$E$2:$E$11000,"Loandry")</f>
        <v>0</v>
      </c>
      <c r="Q1571" s="52">
        <f ca="1">SUMIFS(OUT!$F$2:$F$11000,OUT!$H$2:$H$11000,H1571,OUT!$D$2:$D$11000,"Out",OUT!$E$2:$E$11000,"Mio")</f>
        <v>0</v>
      </c>
      <c r="R1571" s="52">
        <f ca="1">SUMIFS(OUT!$F$2:$F$11000,OUT!$H$2:$H$11000,H1571,OUT!$D$2:$D$11000,"Out",OUT!$E$2:$E$11000,"Sedekah")</f>
        <v>0</v>
      </c>
      <c r="S1571" s="52">
        <f ca="1">SUMIFS(OUT!$F$2:$F$11000,OUT!$H$2:$H$11000,H1571,OUT!$D$2:$D$11000,"Out",OUT!$E$2:$E$11000,"Zela")</f>
        <v>0</v>
      </c>
      <c r="T1571" s="52">
        <f ca="1">SUMIFS(OUT!$F$2:$F$11000,OUT!$H$2:$H$11000,H1571,OUT!$D$2:$D$11000,"Out",OUT!$E$2:$E$11000,"Iqbal")</f>
        <v>0</v>
      </c>
    </row>
    <row r="1572" spans="7:20" x14ac:dyDescent="0.2">
      <c r="G1572" s="50"/>
      <c r="H1572" s="51" t="str">
        <f t="shared" si="0"/>
        <v/>
      </c>
      <c r="I1572" s="52" t="e">
        <f>SUMIFS(OUT!$F$2:$F$11000,OUT!$H$2:$H$11000,H1572,OUT!$D$2:$D$101007,"In")</f>
        <v>#VALUE!</v>
      </c>
      <c r="J1572" s="52">
        <f ca="1">SUMIFS(OUT!$F$2:$F$11000,OUT!$H$2:$H$11000,H1572,OUT!$D$2:$D$11000,"Out")</f>
        <v>0</v>
      </c>
      <c r="K1572" s="52">
        <f ca="1">SUMIFS(OUT!$F$2:$F$11000,OUT!$H$2:$H$11000,H1572,OUT!$D$2:$D$11000,"Out",OUT!$E$2:$E$11000,"Fix")</f>
        <v>0</v>
      </c>
      <c r="L1572" s="52">
        <f ca="1">SUMIFS(OUT!$F$2:$F$11000,OUT!$H$2:$H$11000,H1572,OUT!$D$2:$D$11000,"Out",OUT!$E$2:$E$11000,"Bathroom")</f>
        <v>0</v>
      </c>
      <c r="M1572" s="52">
        <f ca="1">SUMIFS(OUT!$F$2:$F$11000,OUT!$H$2:$H$11000,H1572,OUT!$D$2:$D$11000,"Out",OUT!$E$2:$E$11000,"Alfa")</f>
        <v>0</v>
      </c>
      <c r="N1572" s="52" t="e">
        <f>SUMIFS(OUT!$F$2:$F$11000,OUT!$H$2:$H$101007,H1572,OUT!$D$2:$D$11000,"Out",OUT!$E$2:$E$11000,"Jajan")</f>
        <v>#VALUE!</v>
      </c>
      <c r="O1572" s="52">
        <f ca="1">SUMIFS(OUT!$F$2:$F$11000,OUT!$H$2:$H$11000,H1572,OUT!$D$2:$D$11000,"Out",OUT!$E$2:$E$11000,"Kitchen")</f>
        <v>0</v>
      </c>
      <c r="P1572" s="52">
        <f ca="1">SUMIFS(OUT!$F$2:$F$11000,OUT!$H$2:$H$11000,H1572,OUT!$D$2:$D$11000,"Out",OUT!$E$2:$E$11000,"Loandry")</f>
        <v>0</v>
      </c>
      <c r="Q1572" s="52">
        <f ca="1">SUMIFS(OUT!$F$2:$F$11000,OUT!$H$2:$H$11000,H1572,OUT!$D$2:$D$11000,"Out",OUT!$E$2:$E$11000,"Mio")</f>
        <v>0</v>
      </c>
      <c r="R1572" s="52">
        <f ca="1">SUMIFS(OUT!$F$2:$F$11000,OUT!$H$2:$H$11000,H1572,OUT!$D$2:$D$11000,"Out",OUT!$E$2:$E$11000,"Sedekah")</f>
        <v>0</v>
      </c>
      <c r="S1572" s="52">
        <f ca="1">SUMIFS(OUT!$F$2:$F$11000,OUT!$H$2:$H$11000,H1572,OUT!$D$2:$D$11000,"Out",OUT!$E$2:$E$11000,"Zela")</f>
        <v>0</v>
      </c>
      <c r="T1572" s="52">
        <f ca="1">SUMIFS(OUT!$F$2:$F$11000,OUT!$H$2:$H$11000,H1572,OUT!$D$2:$D$11000,"Out",OUT!$E$2:$E$11000,"Iqbal")</f>
        <v>0</v>
      </c>
    </row>
    <row r="1573" spans="7:20" x14ac:dyDescent="0.2">
      <c r="G1573" s="50"/>
      <c r="H1573" s="51" t="str">
        <f t="shared" si="0"/>
        <v/>
      </c>
      <c r="I1573" s="52" t="e">
        <f>SUMIFS(OUT!$F$2:$F$11000,OUT!$H$2:$H$11000,H1573,OUT!$D$2:$D$101007,"In")</f>
        <v>#VALUE!</v>
      </c>
      <c r="J1573" s="52">
        <f ca="1">SUMIFS(OUT!$F$2:$F$11000,OUT!$H$2:$H$11000,H1573,OUT!$D$2:$D$11000,"Out")</f>
        <v>0</v>
      </c>
      <c r="K1573" s="52">
        <f ca="1">SUMIFS(OUT!$F$2:$F$11000,OUT!$H$2:$H$11000,H1573,OUT!$D$2:$D$11000,"Out",OUT!$E$2:$E$11000,"Fix")</f>
        <v>0</v>
      </c>
      <c r="L1573" s="52">
        <f ca="1">SUMIFS(OUT!$F$2:$F$11000,OUT!$H$2:$H$11000,H1573,OUT!$D$2:$D$11000,"Out",OUT!$E$2:$E$11000,"Bathroom")</f>
        <v>0</v>
      </c>
      <c r="M1573" s="52">
        <f ca="1">SUMIFS(OUT!$F$2:$F$11000,OUT!$H$2:$H$11000,H1573,OUT!$D$2:$D$11000,"Out",OUT!$E$2:$E$11000,"Alfa")</f>
        <v>0</v>
      </c>
      <c r="N1573" s="52" t="e">
        <f>SUMIFS(OUT!$F$2:$F$11000,OUT!$H$2:$H$101007,H1573,OUT!$D$2:$D$11000,"Out",OUT!$E$2:$E$11000,"Jajan")</f>
        <v>#VALUE!</v>
      </c>
      <c r="O1573" s="52">
        <f ca="1">SUMIFS(OUT!$F$2:$F$11000,OUT!$H$2:$H$11000,H1573,OUT!$D$2:$D$11000,"Out",OUT!$E$2:$E$11000,"Kitchen")</f>
        <v>0</v>
      </c>
      <c r="P1573" s="52">
        <f ca="1">SUMIFS(OUT!$F$2:$F$11000,OUT!$H$2:$H$11000,H1573,OUT!$D$2:$D$11000,"Out",OUT!$E$2:$E$11000,"Loandry")</f>
        <v>0</v>
      </c>
      <c r="Q1573" s="52">
        <f ca="1">SUMIFS(OUT!$F$2:$F$11000,OUT!$H$2:$H$11000,H1573,OUT!$D$2:$D$11000,"Out",OUT!$E$2:$E$11000,"Mio")</f>
        <v>0</v>
      </c>
      <c r="R1573" s="52">
        <f ca="1">SUMIFS(OUT!$F$2:$F$11000,OUT!$H$2:$H$11000,H1573,OUT!$D$2:$D$11000,"Out",OUT!$E$2:$E$11000,"Sedekah")</f>
        <v>0</v>
      </c>
      <c r="S1573" s="52">
        <f ca="1">SUMIFS(OUT!$F$2:$F$11000,OUT!$H$2:$H$11000,H1573,OUT!$D$2:$D$11000,"Out",OUT!$E$2:$E$11000,"Zela")</f>
        <v>0</v>
      </c>
      <c r="T1573" s="52">
        <f ca="1">SUMIFS(OUT!$F$2:$F$11000,OUT!$H$2:$H$11000,H1573,OUT!$D$2:$D$11000,"Out",OUT!$E$2:$E$11000,"Iqbal")</f>
        <v>0</v>
      </c>
    </row>
    <row r="1574" spans="7:20" x14ac:dyDescent="0.2">
      <c r="G1574" s="50"/>
      <c r="H1574" s="51" t="str">
        <f t="shared" si="0"/>
        <v/>
      </c>
      <c r="I1574" s="52" t="e">
        <f>SUMIFS(OUT!$F$2:$F$11000,OUT!$H$2:$H$11000,H1574,OUT!$D$2:$D$101007,"In")</f>
        <v>#VALUE!</v>
      </c>
      <c r="J1574" s="52">
        <f ca="1">SUMIFS(OUT!$F$2:$F$11000,OUT!$H$2:$H$11000,H1574,OUT!$D$2:$D$11000,"Out")</f>
        <v>0</v>
      </c>
      <c r="K1574" s="52">
        <f ca="1">SUMIFS(OUT!$F$2:$F$11000,OUT!$H$2:$H$11000,H1574,OUT!$D$2:$D$11000,"Out",OUT!$E$2:$E$11000,"Fix")</f>
        <v>0</v>
      </c>
      <c r="L1574" s="52">
        <f ca="1">SUMIFS(OUT!$F$2:$F$11000,OUT!$H$2:$H$11000,H1574,OUT!$D$2:$D$11000,"Out",OUT!$E$2:$E$11000,"Bathroom")</f>
        <v>0</v>
      </c>
      <c r="M1574" s="52">
        <f ca="1">SUMIFS(OUT!$F$2:$F$11000,OUT!$H$2:$H$11000,H1574,OUT!$D$2:$D$11000,"Out",OUT!$E$2:$E$11000,"Alfa")</f>
        <v>0</v>
      </c>
      <c r="N1574" s="52" t="e">
        <f>SUMIFS(OUT!$F$2:$F$11000,OUT!$H$2:$H$101007,H1574,OUT!$D$2:$D$11000,"Out",OUT!$E$2:$E$11000,"Jajan")</f>
        <v>#VALUE!</v>
      </c>
      <c r="O1574" s="52">
        <f ca="1">SUMIFS(OUT!$F$2:$F$11000,OUT!$H$2:$H$11000,H1574,OUT!$D$2:$D$11000,"Out",OUT!$E$2:$E$11000,"Kitchen")</f>
        <v>0</v>
      </c>
      <c r="P1574" s="52">
        <f ca="1">SUMIFS(OUT!$F$2:$F$11000,OUT!$H$2:$H$11000,H1574,OUT!$D$2:$D$11000,"Out",OUT!$E$2:$E$11000,"Loandry")</f>
        <v>0</v>
      </c>
      <c r="Q1574" s="52">
        <f ca="1">SUMIFS(OUT!$F$2:$F$11000,OUT!$H$2:$H$11000,H1574,OUT!$D$2:$D$11000,"Out",OUT!$E$2:$E$11000,"Mio")</f>
        <v>0</v>
      </c>
      <c r="R1574" s="52">
        <f ca="1">SUMIFS(OUT!$F$2:$F$11000,OUT!$H$2:$H$11000,H1574,OUT!$D$2:$D$11000,"Out",OUT!$E$2:$E$11000,"Sedekah")</f>
        <v>0</v>
      </c>
      <c r="S1574" s="52">
        <f ca="1">SUMIFS(OUT!$F$2:$F$11000,OUT!$H$2:$H$11000,H1574,OUT!$D$2:$D$11000,"Out",OUT!$E$2:$E$11000,"Zela")</f>
        <v>0</v>
      </c>
      <c r="T1574" s="52">
        <f ca="1">SUMIFS(OUT!$F$2:$F$11000,OUT!$H$2:$H$11000,H1574,OUT!$D$2:$D$11000,"Out",OUT!$E$2:$E$11000,"Iqbal")</f>
        <v>0</v>
      </c>
    </row>
    <row r="1575" spans="7:20" x14ac:dyDescent="0.2">
      <c r="G1575" s="50"/>
      <c r="H1575" s="51" t="str">
        <f t="shared" si="0"/>
        <v/>
      </c>
      <c r="I1575" s="52" t="e">
        <f>SUMIFS(OUT!$F$2:$F$11000,OUT!$H$2:$H$11000,H1575,OUT!$D$2:$D$101007,"In")</f>
        <v>#VALUE!</v>
      </c>
      <c r="J1575" s="52">
        <f ca="1">SUMIFS(OUT!$F$2:$F$11000,OUT!$H$2:$H$11000,H1575,OUT!$D$2:$D$11000,"Out")</f>
        <v>0</v>
      </c>
      <c r="K1575" s="52">
        <f ca="1">SUMIFS(OUT!$F$2:$F$11000,OUT!$H$2:$H$11000,H1575,OUT!$D$2:$D$11000,"Out",OUT!$E$2:$E$11000,"Fix")</f>
        <v>0</v>
      </c>
      <c r="L1575" s="52">
        <f ca="1">SUMIFS(OUT!$F$2:$F$11000,OUT!$H$2:$H$11000,H1575,OUT!$D$2:$D$11000,"Out",OUT!$E$2:$E$11000,"Bathroom")</f>
        <v>0</v>
      </c>
      <c r="M1575" s="52">
        <f ca="1">SUMIFS(OUT!$F$2:$F$11000,OUT!$H$2:$H$11000,H1575,OUT!$D$2:$D$11000,"Out",OUT!$E$2:$E$11000,"Alfa")</f>
        <v>0</v>
      </c>
      <c r="N1575" s="52" t="e">
        <f>SUMIFS(OUT!$F$2:$F$11000,OUT!$H$2:$H$101007,H1575,OUT!$D$2:$D$11000,"Out",OUT!$E$2:$E$11000,"Jajan")</f>
        <v>#VALUE!</v>
      </c>
      <c r="O1575" s="52">
        <f ca="1">SUMIFS(OUT!$F$2:$F$11000,OUT!$H$2:$H$11000,H1575,OUT!$D$2:$D$11000,"Out",OUT!$E$2:$E$11000,"Kitchen")</f>
        <v>0</v>
      </c>
      <c r="P1575" s="52">
        <f ca="1">SUMIFS(OUT!$F$2:$F$11000,OUT!$H$2:$H$11000,H1575,OUT!$D$2:$D$11000,"Out",OUT!$E$2:$E$11000,"Loandry")</f>
        <v>0</v>
      </c>
      <c r="Q1575" s="52">
        <f ca="1">SUMIFS(OUT!$F$2:$F$11000,OUT!$H$2:$H$11000,H1575,OUT!$D$2:$D$11000,"Out",OUT!$E$2:$E$11000,"Mio")</f>
        <v>0</v>
      </c>
      <c r="R1575" s="52">
        <f ca="1">SUMIFS(OUT!$F$2:$F$11000,OUT!$H$2:$H$11000,H1575,OUT!$D$2:$D$11000,"Out",OUT!$E$2:$E$11000,"Sedekah")</f>
        <v>0</v>
      </c>
      <c r="S1575" s="52">
        <f ca="1">SUMIFS(OUT!$F$2:$F$11000,OUT!$H$2:$H$11000,H1575,OUT!$D$2:$D$11000,"Out",OUT!$E$2:$E$11000,"Zela")</f>
        <v>0</v>
      </c>
      <c r="T1575" s="52">
        <f ca="1">SUMIFS(OUT!$F$2:$F$11000,OUT!$H$2:$H$11000,H1575,OUT!$D$2:$D$11000,"Out",OUT!$E$2:$E$11000,"Iqbal")</f>
        <v>0</v>
      </c>
    </row>
    <row r="1576" spans="7:20" x14ac:dyDescent="0.2">
      <c r="G1576" s="50"/>
      <c r="H1576" s="51" t="str">
        <f t="shared" si="0"/>
        <v/>
      </c>
      <c r="I1576" s="52" t="e">
        <f>SUMIFS(OUT!$F$2:$F$11000,OUT!$H$2:$H$11000,H1576,OUT!$D$2:$D$101007,"In")</f>
        <v>#VALUE!</v>
      </c>
      <c r="J1576" s="52">
        <f ca="1">SUMIFS(OUT!$F$2:$F$11000,OUT!$H$2:$H$11000,H1576,OUT!$D$2:$D$11000,"Out")</f>
        <v>0</v>
      </c>
      <c r="K1576" s="52">
        <f ca="1">SUMIFS(OUT!$F$2:$F$11000,OUT!$H$2:$H$11000,H1576,OUT!$D$2:$D$11000,"Out",OUT!$E$2:$E$11000,"Fix")</f>
        <v>0</v>
      </c>
      <c r="L1576" s="52">
        <f ca="1">SUMIFS(OUT!$F$2:$F$11000,OUT!$H$2:$H$11000,H1576,OUT!$D$2:$D$11000,"Out",OUT!$E$2:$E$11000,"Bathroom")</f>
        <v>0</v>
      </c>
      <c r="M1576" s="52">
        <f ca="1">SUMIFS(OUT!$F$2:$F$11000,OUT!$H$2:$H$11000,H1576,OUT!$D$2:$D$11000,"Out",OUT!$E$2:$E$11000,"Alfa")</f>
        <v>0</v>
      </c>
      <c r="N1576" s="52" t="e">
        <f>SUMIFS(OUT!$F$2:$F$11000,OUT!$H$2:$H$101007,H1576,OUT!$D$2:$D$11000,"Out",OUT!$E$2:$E$11000,"Jajan")</f>
        <v>#VALUE!</v>
      </c>
      <c r="O1576" s="52">
        <f ca="1">SUMIFS(OUT!$F$2:$F$11000,OUT!$H$2:$H$11000,H1576,OUT!$D$2:$D$11000,"Out",OUT!$E$2:$E$11000,"Kitchen")</f>
        <v>0</v>
      </c>
      <c r="P1576" s="52">
        <f ca="1">SUMIFS(OUT!$F$2:$F$11000,OUT!$H$2:$H$11000,H1576,OUT!$D$2:$D$11000,"Out",OUT!$E$2:$E$11000,"Loandry")</f>
        <v>0</v>
      </c>
      <c r="Q1576" s="52">
        <f ca="1">SUMIFS(OUT!$F$2:$F$11000,OUT!$H$2:$H$11000,H1576,OUT!$D$2:$D$11000,"Out",OUT!$E$2:$E$11000,"Mio")</f>
        <v>0</v>
      </c>
      <c r="R1576" s="52">
        <f ca="1">SUMIFS(OUT!$F$2:$F$11000,OUT!$H$2:$H$11000,H1576,OUT!$D$2:$D$11000,"Out",OUT!$E$2:$E$11000,"Sedekah")</f>
        <v>0</v>
      </c>
      <c r="S1576" s="52">
        <f ca="1">SUMIFS(OUT!$F$2:$F$11000,OUT!$H$2:$H$11000,H1576,OUT!$D$2:$D$11000,"Out",OUT!$E$2:$E$11000,"Zela")</f>
        <v>0</v>
      </c>
      <c r="T1576" s="52">
        <f ca="1">SUMIFS(OUT!$F$2:$F$11000,OUT!$H$2:$H$11000,H1576,OUT!$D$2:$D$11000,"Out",OUT!$E$2:$E$11000,"Iqbal")</f>
        <v>0</v>
      </c>
    </row>
    <row r="1577" spans="7:20" x14ac:dyDescent="0.2">
      <c r="G1577" s="50"/>
      <c r="H1577" s="51" t="str">
        <f t="shared" si="0"/>
        <v/>
      </c>
      <c r="I1577" s="52" t="e">
        <f>SUMIFS(OUT!$F$2:$F$11000,OUT!$H$2:$H$11000,H1577,OUT!$D$2:$D$101007,"In")</f>
        <v>#VALUE!</v>
      </c>
      <c r="J1577" s="52">
        <f ca="1">SUMIFS(OUT!$F$2:$F$11000,OUT!$H$2:$H$11000,H1577,OUT!$D$2:$D$11000,"Out")</f>
        <v>0</v>
      </c>
      <c r="K1577" s="52">
        <f ca="1">SUMIFS(OUT!$F$2:$F$11000,OUT!$H$2:$H$11000,H1577,OUT!$D$2:$D$11000,"Out",OUT!$E$2:$E$11000,"Fix")</f>
        <v>0</v>
      </c>
      <c r="L1577" s="52">
        <f ca="1">SUMIFS(OUT!$F$2:$F$11000,OUT!$H$2:$H$11000,H1577,OUT!$D$2:$D$11000,"Out",OUT!$E$2:$E$11000,"Bathroom")</f>
        <v>0</v>
      </c>
      <c r="M1577" s="52">
        <f ca="1">SUMIFS(OUT!$F$2:$F$11000,OUT!$H$2:$H$11000,H1577,OUT!$D$2:$D$11000,"Out",OUT!$E$2:$E$11000,"Alfa")</f>
        <v>0</v>
      </c>
      <c r="N1577" s="52" t="e">
        <f>SUMIFS(OUT!$F$2:$F$11000,OUT!$H$2:$H$101007,H1577,OUT!$D$2:$D$11000,"Out",OUT!$E$2:$E$11000,"Jajan")</f>
        <v>#VALUE!</v>
      </c>
      <c r="O1577" s="52">
        <f ca="1">SUMIFS(OUT!$F$2:$F$11000,OUT!$H$2:$H$11000,H1577,OUT!$D$2:$D$11000,"Out",OUT!$E$2:$E$11000,"Kitchen")</f>
        <v>0</v>
      </c>
      <c r="P1577" s="52">
        <f ca="1">SUMIFS(OUT!$F$2:$F$11000,OUT!$H$2:$H$11000,H1577,OUT!$D$2:$D$11000,"Out",OUT!$E$2:$E$11000,"Loandry")</f>
        <v>0</v>
      </c>
      <c r="Q1577" s="52">
        <f ca="1">SUMIFS(OUT!$F$2:$F$11000,OUT!$H$2:$H$11000,H1577,OUT!$D$2:$D$11000,"Out",OUT!$E$2:$E$11000,"Mio")</f>
        <v>0</v>
      </c>
      <c r="R1577" s="52">
        <f ca="1">SUMIFS(OUT!$F$2:$F$11000,OUT!$H$2:$H$11000,H1577,OUT!$D$2:$D$11000,"Out",OUT!$E$2:$E$11000,"Sedekah")</f>
        <v>0</v>
      </c>
      <c r="S1577" s="52">
        <f ca="1">SUMIFS(OUT!$F$2:$F$11000,OUT!$H$2:$H$11000,H1577,OUT!$D$2:$D$11000,"Out",OUT!$E$2:$E$11000,"Zela")</f>
        <v>0</v>
      </c>
      <c r="T1577" s="52">
        <f ca="1">SUMIFS(OUT!$F$2:$F$11000,OUT!$H$2:$H$11000,H1577,OUT!$D$2:$D$11000,"Out",OUT!$E$2:$E$11000,"Iqbal")</f>
        <v>0</v>
      </c>
    </row>
    <row r="1578" spans="7:20" x14ac:dyDescent="0.2">
      <c r="G1578" s="50"/>
      <c r="H1578" s="51" t="str">
        <f t="shared" si="0"/>
        <v/>
      </c>
      <c r="I1578" s="52" t="e">
        <f>SUMIFS(OUT!$F$2:$F$11000,OUT!$H$2:$H$11000,H1578,OUT!$D$2:$D$101007,"In")</f>
        <v>#VALUE!</v>
      </c>
      <c r="J1578" s="52">
        <f ca="1">SUMIFS(OUT!$F$2:$F$11000,OUT!$H$2:$H$11000,H1578,OUT!$D$2:$D$11000,"Out")</f>
        <v>0</v>
      </c>
      <c r="K1578" s="52">
        <f ca="1">SUMIFS(OUT!$F$2:$F$11000,OUT!$H$2:$H$11000,H1578,OUT!$D$2:$D$11000,"Out",OUT!$E$2:$E$11000,"Fix")</f>
        <v>0</v>
      </c>
      <c r="L1578" s="52">
        <f ca="1">SUMIFS(OUT!$F$2:$F$11000,OUT!$H$2:$H$11000,H1578,OUT!$D$2:$D$11000,"Out",OUT!$E$2:$E$11000,"Bathroom")</f>
        <v>0</v>
      </c>
      <c r="M1578" s="52">
        <f ca="1">SUMIFS(OUT!$F$2:$F$11000,OUT!$H$2:$H$11000,H1578,OUT!$D$2:$D$11000,"Out",OUT!$E$2:$E$11000,"Alfa")</f>
        <v>0</v>
      </c>
      <c r="N1578" s="52" t="e">
        <f>SUMIFS(OUT!$F$2:$F$11000,OUT!$H$2:$H$101007,H1578,OUT!$D$2:$D$11000,"Out",OUT!$E$2:$E$11000,"Jajan")</f>
        <v>#VALUE!</v>
      </c>
      <c r="O1578" s="52">
        <f ca="1">SUMIFS(OUT!$F$2:$F$11000,OUT!$H$2:$H$11000,H1578,OUT!$D$2:$D$11000,"Out",OUT!$E$2:$E$11000,"Kitchen")</f>
        <v>0</v>
      </c>
      <c r="P1578" s="52">
        <f ca="1">SUMIFS(OUT!$F$2:$F$11000,OUT!$H$2:$H$11000,H1578,OUT!$D$2:$D$11000,"Out",OUT!$E$2:$E$11000,"Loandry")</f>
        <v>0</v>
      </c>
      <c r="Q1578" s="52">
        <f ca="1">SUMIFS(OUT!$F$2:$F$11000,OUT!$H$2:$H$11000,H1578,OUT!$D$2:$D$11000,"Out",OUT!$E$2:$E$11000,"Mio")</f>
        <v>0</v>
      </c>
      <c r="R1578" s="52">
        <f ca="1">SUMIFS(OUT!$F$2:$F$11000,OUT!$H$2:$H$11000,H1578,OUT!$D$2:$D$11000,"Out",OUT!$E$2:$E$11000,"Sedekah")</f>
        <v>0</v>
      </c>
      <c r="S1578" s="52">
        <f ca="1">SUMIFS(OUT!$F$2:$F$11000,OUT!$H$2:$H$11000,H1578,OUT!$D$2:$D$11000,"Out",OUT!$E$2:$E$11000,"Zela")</f>
        <v>0</v>
      </c>
      <c r="T1578" s="52">
        <f ca="1">SUMIFS(OUT!$F$2:$F$11000,OUT!$H$2:$H$11000,H1578,OUT!$D$2:$D$11000,"Out",OUT!$E$2:$E$11000,"Iqbal")</f>
        <v>0</v>
      </c>
    </row>
    <row r="1579" spans="7:20" x14ac:dyDescent="0.2">
      <c r="G1579" s="50"/>
      <c r="H1579" s="51" t="str">
        <f t="shared" si="0"/>
        <v/>
      </c>
      <c r="I1579" s="52" t="e">
        <f>SUMIFS(OUT!$F$2:$F$11000,OUT!$H$2:$H$11000,H1579,OUT!$D$2:$D$101007,"In")</f>
        <v>#VALUE!</v>
      </c>
      <c r="J1579" s="52">
        <f ca="1">SUMIFS(OUT!$F$2:$F$11000,OUT!$H$2:$H$11000,H1579,OUT!$D$2:$D$11000,"Out")</f>
        <v>0</v>
      </c>
      <c r="K1579" s="52">
        <f ca="1">SUMIFS(OUT!$F$2:$F$11000,OUT!$H$2:$H$11000,H1579,OUT!$D$2:$D$11000,"Out",OUT!$E$2:$E$11000,"Fix")</f>
        <v>0</v>
      </c>
      <c r="L1579" s="52">
        <f ca="1">SUMIFS(OUT!$F$2:$F$11000,OUT!$H$2:$H$11000,H1579,OUT!$D$2:$D$11000,"Out",OUT!$E$2:$E$11000,"Bathroom")</f>
        <v>0</v>
      </c>
      <c r="M1579" s="52">
        <f ca="1">SUMIFS(OUT!$F$2:$F$11000,OUT!$H$2:$H$11000,H1579,OUT!$D$2:$D$11000,"Out",OUT!$E$2:$E$11000,"Alfa")</f>
        <v>0</v>
      </c>
      <c r="N1579" s="52" t="e">
        <f>SUMIFS(OUT!$F$2:$F$11000,OUT!$H$2:$H$101007,H1579,OUT!$D$2:$D$11000,"Out",OUT!$E$2:$E$11000,"Jajan")</f>
        <v>#VALUE!</v>
      </c>
      <c r="O1579" s="52">
        <f ca="1">SUMIFS(OUT!$F$2:$F$11000,OUT!$H$2:$H$11000,H1579,OUT!$D$2:$D$11000,"Out",OUT!$E$2:$E$11000,"Kitchen")</f>
        <v>0</v>
      </c>
      <c r="P1579" s="52">
        <f ca="1">SUMIFS(OUT!$F$2:$F$11000,OUT!$H$2:$H$11000,H1579,OUT!$D$2:$D$11000,"Out",OUT!$E$2:$E$11000,"Loandry")</f>
        <v>0</v>
      </c>
      <c r="Q1579" s="52">
        <f ca="1">SUMIFS(OUT!$F$2:$F$11000,OUT!$H$2:$H$11000,H1579,OUT!$D$2:$D$11000,"Out",OUT!$E$2:$E$11000,"Mio")</f>
        <v>0</v>
      </c>
      <c r="R1579" s="52">
        <f ca="1">SUMIFS(OUT!$F$2:$F$11000,OUT!$H$2:$H$11000,H1579,OUT!$D$2:$D$11000,"Out",OUT!$E$2:$E$11000,"Sedekah")</f>
        <v>0</v>
      </c>
      <c r="S1579" s="52">
        <f ca="1">SUMIFS(OUT!$F$2:$F$11000,OUT!$H$2:$H$11000,H1579,OUT!$D$2:$D$11000,"Out",OUT!$E$2:$E$11000,"Zela")</f>
        <v>0</v>
      </c>
      <c r="T1579" s="52">
        <f ca="1">SUMIFS(OUT!$F$2:$F$11000,OUT!$H$2:$H$11000,H1579,OUT!$D$2:$D$11000,"Out",OUT!$E$2:$E$11000,"Iqbal")</f>
        <v>0</v>
      </c>
    </row>
    <row r="1580" spans="7:20" x14ac:dyDescent="0.2">
      <c r="G1580" s="50"/>
      <c r="H1580" s="51" t="str">
        <f t="shared" si="0"/>
        <v/>
      </c>
      <c r="I1580" s="52" t="e">
        <f>SUMIFS(OUT!$F$2:$F$11000,OUT!$H$2:$H$11000,H1580,OUT!$D$2:$D$101007,"In")</f>
        <v>#VALUE!</v>
      </c>
      <c r="J1580" s="52">
        <f ca="1">SUMIFS(OUT!$F$2:$F$11000,OUT!$H$2:$H$11000,H1580,OUT!$D$2:$D$11000,"Out")</f>
        <v>0</v>
      </c>
      <c r="K1580" s="52">
        <f ca="1">SUMIFS(OUT!$F$2:$F$11000,OUT!$H$2:$H$11000,H1580,OUT!$D$2:$D$11000,"Out",OUT!$E$2:$E$11000,"Fix")</f>
        <v>0</v>
      </c>
      <c r="L1580" s="52">
        <f ca="1">SUMIFS(OUT!$F$2:$F$11000,OUT!$H$2:$H$11000,H1580,OUT!$D$2:$D$11000,"Out",OUT!$E$2:$E$11000,"Bathroom")</f>
        <v>0</v>
      </c>
      <c r="M1580" s="52">
        <f ca="1">SUMIFS(OUT!$F$2:$F$11000,OUT!$H$2:$H$11000,H1580,OUT!$D$2:$D$11000,"Out",OUT!$E$2:$E$11000,"Alfa")</f>
        <v>0</v>
      </c>
      <c r="N1580" s="52" t="e">
        <f>SUMIFS(OUT!$F$2:$F$11000,OUT!$H$2:$H$101007,H1580,OUT!$D$2:$D$11000,"Out",OUT!$E$2:$E$11000,"Jajan")</f>
        <v>#VALUE!</v>
      </c>
      <c r="O1580" s="52">
        <f ca="1">SUMIFS(OUT!$F$2:$F$11000,OUT!$H$2:$H$11000,H1580,OUT!$D$2:$D$11000,"Out",OUT!$E$2:$E$11000,"Kitchen")</f>
        <v>0</v>
      </c>
      <c r="P1580" s="52">
        <f ca="1">SUMIFS(OUT!$F$2:$F$11000,OUT!$H$2:$H$11000,H1580,OUT!$D$2:$D$11000,"Out",OUT!$E$2:$E$11000,"Loandry")</f>
        <v>0</v>
      </c>
      <c r="Q1580" s="52">
        <f ca="1">SUMIFS(OUT!$F$2:$F$11000,OUT!$H$2:$H$11000,H1580,OUT!$D$2:$D$11000,"Out",OUT!$E$2:$E$11000,"Mio")</f>
        <v>0</v>
      </c>
      <c r="R1580" s="52">
        <f ca="1">SUMIFS(OUT!$F$2:$F$11000,OUT!$H$2:$H$11000,H1580,OUT!$D$2:$D$11000,"Out",OUT!$E$2:$E$11000,"Sedekah")</f>
        <v>0</v>
      </c>
      <c r="S1580" s="52">
        <f ca="1">SUMIFS(OUT!$F$2:$F$11000,OUT!$H$2:$H$11000,H1580,OUT!$D$2:$D$11000,"Out",OUT!$E$2:$E$11000,"Zela")</f>
        <v>0</v>
      </c>
      <c r="T1580" s="52">
        <f ca="1">SUMIFS(OUT!$F$2:$F$11000,OUT!$H$2:$H$11000,H1580,OUT!$D$2:$D$11000,"Out",OUT!$E$2:$E$11000,"Iqbal")</f>
        <v>0</v>
      </c>
    </row>
    <row r="1581" spans="7:20" x14ac:dyDescent="0.2">
      <c r="G1581" s="50"/>
      <c r="H1581" s="51" t="str">
        <f t="shared" si="0"/>
        <v/>
      </c>
      <c r="I1581" s="52" t="e">
        <f>SUMIFS(OUT!$F$2:$F$11000,OUT!$H$2:$H$11000,H1581,OUT!$D$2:$D$101007,"In")</f>
        <v>#VALUE!</v>
      </c>
      <c r="J1581" s="52">
        <f ca="1">SUMIFS(OUT!$F$2:$F$11000,OUT!$H$2:$H$11000,H1581,OUT!$D$2:$D$11000,"Out")</f>
        <v>0</v>
      </c>
      <c r="K1581" s="52">
        <f ca="1">SUMIFS(OUT!$F$2:$F$11000,OUT!$H$2:$H$11000,H1581,OUT!$D$2:$D$11000,"Out",OUT!$E$2:$E$11000,"Fix")</f>
        <v>0</v>
      </c>
      <c r="L1581" s="52">
        <f ca="1">SUMIFS(OUT!$F$2:$F$11000,OUT!$H$2:$H$11000,H1581,OUT!$D$2:$D$11000,"Out",OUT!$E$2:$E$11000,"Bathroom")</f>
        <v>0</v>
      </c>
      <c r="M1581" s="52">
        <f ca="1">SUMIFS(OUT!$F$2:$F$11000,OUT!$H$2:$H$11000,H1581,OUT!$D$2:$D$11000,"Out",OUT!$E$2:$E$11000,"Alfa")</f>
        <v>0</v>
      </c>
      <c r="N1581" s="52" t="e">
        <f>SUMIFS(OUT!$F$2:$F$11000,OUT!$H$2:$H$101007,H1581,OUT!$D$2:$D$11000,"Out",OUT!$E$2:$E$11000,"Jajan")</f>
        <v>#VALUE!</v>
      </c>
      <c r="O1581" s="52">
        <f ca="1">SUMIFS(OUT!$F$2:$F$11000,OUT!$H$2:$H$11000,H1581,OUT!$D$2:$D$11000,"Out",OUT!$E$2:$E$11000,"Kitchen")</f>
        <v>0</v>
      </c>
      <c r="P1581" s="52">
        <f ca="1">SUMIFS(OUT!$F$2:$F$11000,OUT!$H$2:$H$11000,H1581,OUT!$D$2:$D$11000,"Out",OUT!$E$2:$E$11000,"Loandry")</f>
        <v>0</v>
      </c>
      <c r="Q1581" s="52">
        <f ca="1">SUMIFS(OUT!$F$2:$F$11000,OUT!$H$2:$H$11000,H1581,OUT!$D$2:$D$11000,"Out",OUT!$E$2:$E$11000,"Mio")</f>
        <v>0</v>
      </c>
      <c r="R1581" s="52">
        <f ca="1">SUMIFS(OUT!$F$2:$F$11000,OUT!$H$2:$H$11000,H1581,OUT!$D$2:$D$11000,"Out",OUT!$E$2:$E$11000,"Sedekah")</f>
        <v>0</v>
      </c>
      <c r="S1581" s="52">
        <f ca="1">SUMIFS(OUT!$F$2:$F$11000,OUT!$H$2:$H$11000,H1581,OUT!$D$2:$D$11000,"Out",OUT!$E$2:$E$11000,"Zela")</f>
        <v>0</v>
      </c>
      <c r="T1581" s="52">
        <f ca="1">SUMIFS(OUT!$F$2:$F$11000,OUT!$H$2:$H$11000,H1581,OUT!$D$2:$D$11000,"Out",OUT!$E$2:$E$11000,"Iqbal")</f>
        <v>0</v>
      </c>
    </row>
    <row r="1582" spans="7:20" x14ac:dyDescent="0.2">
      <c r="G1582" s="50"/>
      <c r="H1582" s="51" t="str">
        <f t="shared" si="0"/>
        <v/>
      </c>
      <c r="I1582" s="52" t="e">
        <f>SUMIFS(OUT!$F$2:$F$11000,OUT!$H$2:$H$11000,H1582,OUT!$D$2:$D$101007,"In")</f>
        <v>#VALUE!</v>
      </c>
      <c r="J1582" s="52">
        <f ca="1">SUMIFS(OUT!$F$2:$F$11000,OUT!$H$2:$H$11000,H1582,OUT!$D$2:$D$11000,"Out")</f>
        <v>0</v>
      </c>
      <c r="K1582" s="52">
        <f ca="1">SUMIFS(OUT!$F$2:$F$11000,OUT!$H$2:$H$11000,H1582,OUT!$D$2:$D$11000,"Out",OUT!$E$2:$E$11000,"Fix")</f>
        <v>0</v>
      </c>
      <c r="L1582" s="52">
        <f ca="1">SUMIFS(OUT!$F$2:$F$11000,OUT!$H$2:$H$11000,H1582,OUT!$D$2:$D$11000,"Out",OUT!$E$2:$E$11000,"Bathroom")</f>
        <v>0</v>
      </c>
      <c r="M1582" s="52">
        <f ca="1">SUMIFS(OUT!$F$2:$F$11000,OUT!$H$2:$H$11000,H1582,OUT!$D$2:$D$11000,"Out",OUT!$E$2:$E$11000,"Alfa")</f>
        <v>0</v>
      </c>
      <c r="N1582" s="52" t="e">
        <f>SUMIFS(OUT!$F$2:$F$11000,OUT!$H$2:$H$101007,H1582,OUT!$D$2:$D$11000,"Out",OUT!$E$2:$E$11000,"Jajan")</f>
        <v>#VALUE!</v>
      </c>
      <c r="O1582" s="52">
        <f ca="1">SUMIFS(OUT!$F$2:$F$11000,OUT!$H$2:$H$11000,H1582,OUT!$D$2:$D$11000,"Out",OUT!$E$2:$E$11000,"Kitchen")</f>
        <v>0</v>
      </c>
      <c r="P1582" s="52">
        <f ca="1">SUMIFS(OUT!$F$2:$F$11000,OUT!$H$2:$H$11000,H1582,OUT!$D$2:$D$11000,"Out",OUT!$E$2:$E$11000,"Loandry")</f>
        <v>0</v>
      </c>
      <c r="Q1582" s="52">
        <f ca="1">SUMIFS(OUT!$F$2:$F$11000,OUT!$H$2:$H$11000,H1582,OUT!$D$2:$D$11000,"Out",OUT!$E$2:$E$11000,"Mio")</f>
        <v>0</v>
      </c>
      <c r="R1582" s="52">
        <f ca="1">SUMIFS(OUT!$F$2:$F$11000,OUT!$H$2:$H$11000,H1582,OUT!$D$2:$D$11000,"Out",OUT!$E$2:$E$11000,"Sedekah")</f>
        <v>0</v>
      </c>
      <c r="S1582" s="52">
        <f ca="1">SUMIFS(OUT!$F$2:$F$11000,OUT!$H$2:$H$11000,H1582,OUT!$D$2:$D$11000,"Out",OUT!$E$2:$E$11000,"Zela")</f>
        <v>0</v>
      </c>
      <c r="T1582" s="52">
        <f ca="1">SUMIFS(OUT!$F$2:$F$11000,OUT!$H$2:$H$11000,H1582,OUT!$D$2:$D$11000,"Out",OUT!$E$2:$E$11000,"Iqbal")</f>
        <v>0</v>
      </c>
    </row>
    <row r="1583" spans="7:20" x14ac:dyDescent="0.2">
      <c r="G1583" s="50"/>
      <c r="H1583" s="51" t="str">
        <f t="shared" si="0"/>
        <v/>
      </c>
      <c r="I1583" s="52" t="e">
        <f>SUMIFS(OUT!$F$2:$F$11000,OUT!$H$2:$H$11000,H1583,OUT!$D$2:$D$101007,"In")</f>
        <v>#VALUE!</v>
      </c>
      <c r="J1583" s="52">
        <f ca="1">SUMIFS(OUT!$F$2:$F$11000,OUT!$H$2:$H$11000,H1583,OUT!$D$2:$D$11000,"Out")</f>
        <v>0</v>
      </c>
      <c r="K1583" s="52">
        <f ca="1">SUMIFS(OUT!$F$2:$F$11000,OUT!$H$2:$H$11000,H1583,OUT!$D$2:$D$11000,"Out",OUT!$E$2:$E$11000,"Fix")</f>
        <v>0</v>
      </c>
      <c r="L1583" s="52">
        <f ca="1">SUMIFS(OUT!$F$2:$F$11000,OUT!$H$2:$H$11000,H1583,OUT!$D$2:$D$11000,"Out",OUT!$E$2:$E$11000,"Bathroom")</f>
        <v>0</v>
      </c>
      <c r="M1583" s="52">
        <f ca="1">SUMIFS(OUT!$F$2:$F$11000,OUT!$H$2:$H$11000,H1583,OUT!$D$2:$D$11000,"Out",OUT!$E$2:$E$11000,"Alfa")</f>
        <v>0</v>
      </c>
      <c r="N1583" s="52" t="e">
        <f>SUMIFS(OUT!$F$2:$F$11000,OUT!$H$2:$H$101007,H1583,OUT!$D$2:$D$11000,"Out",OUT!$E$2:$E$11000,"Jajan")</f>
        <v>#VALUE!</v>
      </c>
      <c r="O1583" s="52">
        <f ca="1">SUMIFS(OUT!$F$2:$F$11000,OUT!$H$2:$H$11000,H1583,OUT!$D$2:$D$11000,"Out",OUT!$E$2:$E$11000,"Kitchen")</f>
        <v>0</v>
      </c>
      <c r="P1583" s="52">
        <f ca="1">SUMIFS(OUT!$F$2:$F$11000,OUT!$H$2:$H$11000,H1583,OUT!$D$2:$D$11000,"Out",OUT!$E$2:$E$11000,"Loandry")</f>
        <v>0</v>
      </c>
      <c r="Q1583" s="52">
        <f ca="1">SUMIFS(OUT!$F$2:$F$11000,OUT!$H$2:$H$11000,H1583,OUT!$D$2:$D$11000,"Out",OUT!$E$2:$E$11000,"Mio")</f>
        <v>0</v>
      </c>
      <c r="R1583" s="52">
        <f ca="1">SUMIFS(OUT!$F$2:$F$11000,OUT!$H$2:$H$11000,H1583,OUT!$D$2:$D$11000,"Out",OUT!$E$2:$E$11000,"Sedekah")</f>
        <v>0</v>
      </c>
      <c r="S1583" s="52">
        <f ca="1">SUMIFS(OUT!$F$2:$F$11000,OUT!$H$2:$H$11000,H1583,OUT!$D$2:$D$11000,"Out",OUT!$E$2:$E$11000,"Zela")</f>
        <v>0</v>
      </c>
      <c r="T1583" s="52">
        <f ca="1">SUMIFS(OUT!$F$2:$F$11000,OUT!$H$2:$H$11000,H1583,OUT!$D$2:$D$11000,"Out",OUT!$E$2:$E$11000,"Iqbal")</f>
        <v>0</v>
      </c>
    </row>
    <row r="1584" spans="7:20" x14ac:dyDescent="0.2">
      <c r="G1584" s="50"/>
      <c r="H1584" s="51" t="str">
        <f t="shared" si="0"/>
        <v/>
      </c>
      <c r="I1584" s="52" t="e">
        <f>SUMIFS(OUT!$F$2:$F$11000,OUT!$H$2:$H$11000,H1584,OUT!$D$2:$D$101007,"In")</f>
        <v>#VALUE!</v>
      </c>
      <c r="J1584" s="52">
        <f ca="1">SUMIFS(OUT!$F$2:$F$11000,OUT!$H$2:$H$11000,H1584,OUT!$D$2:$D$11000,"Out")</f>
        <v>0</v>
      </c>
      <c r="K1584" s="52">
        <f ca="1">SUMIFS(OUT!$F$2:$F$11000,OUT!$H$2:$H$11000,H1584,OUT!$D$2:$D$11000,"Out",OUT!$E$2:$E$11000,"Fix")</f>
        <v>0</v>
      </c>
      <c r="L1584" s="52">
        <f ca="1">SUMIFS(OUT!$F$2:$F$11000,OUT!$H$2:$H$11000,H1584,OUT!$D$2:$D$11000,"Out",OUT!$E$2:$E$11000,"Bathroom")</f>
        <v>0</v>
      </c>
      <c r="M1584" s="52">
        <f ca="1">SUMIFS(OUT!$F$2:$F$11000,OUT!$H$2:$H$11000,H1584,OUT!$D$2:$D$11000,"Out",OUT!$E$2:$E$11000,"Alfa")</f>
        <v>0</v>
      </c>
      <c r="N1584" s="52" t="e">
        <f>SUMIFS(OUT!$F$2:$F$11000,OUT!$H$2:$H$101007,H1584,OUT!$D$2:$D$11000,"Out",OUT!$E$2:$E$11000,"Jajan")</f>
        <v>#VALUE!</v>
      </c>
      <c r="O1584" s="52">
        <f ca="1">SUMIFS(OUT!$F$2:$F$11000,OUT!$H$2:$H$11000,H1584,OUT!$D$2:$D$11000,"Out",OUT!$E$2:$E$11000,"Kitchen")</f>
        <v>0</v>
      </c>
      <c r="P1584" s="52">
        <f ca="1">SUMIFS(OUT!$F$2:$F$11000,OUT!$H$2:$H$11000,H1584,OUT!$D$2:$D$11000,"Out",OUT!$E$2:$E$11000,"Loandry")</f>
        <v>0</v>
      </c>
      <c r="Q1584" s="52">
        <f ca="1">SUMIFS(OUT!$F$2:$F$11000,OUT!$H$2:$H$11000,H1584,OUT!$D$2:$D$11000,"Out",OUT!$E$2:$E$11000,"Mio")</f>
        <v>0</v>
      </c>
      <c r="R1584" s="52">
        <f ca="1">SUMIFS(OUT!$F$2:$F$11000,OUT!$H$2:$H$11000,H1584,OUT!$D$2:$D$11000,"Out",OUT!$E$2:$E$11000,"Sedekah")</f>
        <v>0</v>
      </c>
      <c r="S1584" s="52">
        <f ca="1">SUMIFS(OUT!$F$2:$F$11000,OUT!$H$2:$H$11000,H1584,OUT!$D$2:$D$11000,"Out",OUT!$E$2:$E$11000,"Zela")</f>
        <v>0</v>
      </c>
      <c r="T1584" s="52">
        <f ca="1">SUMIFS(OUT!$F$2:$F$11000,OUT!$H$2:$H$11000,H1584,OUT!$D$2:$D$11000,"Out",OUT!$E$2:$E$11000,"Iqbal")</f>
        <v>0</v>
      </c>
    </row>
    <row r="1585" spans="7:20" x14ac:dyDescent="0.2">
      <c r="G1585" s="50"/>
      <c r="H1585" s="51" t="str">
        <f t="shared" si="0"/>
        <v/>
      </c>
      <c r="I1585" s="52" t="e">
        <f>SUMIFS(OUT!$F$2:$F$11000,OUT!$H$2:$H$11000,H1585,OUT!$D$2:$D$101007,"In")</f>
        <v>#VALUE!</v>
      </c>
      <c r="J1585" s="52">
        <f ca="1">SUMIFS(OUT!$F$2:$F$11000,OUT!$H$2:$H$11000,H1585,OUT!$D$2:$D$11000,"Out")</f>
        <v>0</v>
      </c>
      <c r="K1585" s="52">
        <f ca="1">SUMIFS(OUT!$F$2:$F$11000,OUT!$H$2:$H$11000,H1585,OUT!$D$2:$D$11000,"Out",OUT!$E$2:$E$11000,"Fix")</f>
        <v>0</v>
      </c>
      <c r="L1585" s="52">
        <f ca="1">SUMIFS(OUT!$F$2:$F$11000,OUT!$H$2:$H$11000,H1585,OUT!$D$2:$D$11000,"Out",OUT!$E$2:$E$11000,"Bathroom")</f>
        <v>0</v>
      </c>
      <c r="M1585" s="52">
        <f ca="1">SUMIFS(OUT!$F$2:$F$11000,OUT!$H$2:$H$11000,H1585,OUT!$D$2:$D$11000,"Out",OUT!$E$2:$E$11000,"Alfa")</f>
        <v>0</v>
      </c>
      <c r="N1585" s="52" t="e">
        <f>SUMIFS(OUT!$F$2:$F$11000,OUT!$H$2:$H$101007,H1585,OUT!$D$2:$D$11000,"Out",OUT!$E$2:$E$11000,"Jajan")</f>
        <v>#VALUE!</v>
      </c>
      <c r="O1585" s="52">
        <f ca="1">SUMIFS(OUT!$F$2:$F$11000,OUT!$H$2:$H$11000,H1585,OUT!$D$2:$D$11000,"Out",OUT!$E$2:$E$11000,"Kitchen")</f>
        <v>0</v>
      </c>
      <c r="P1585" s="52">
        <f ca="1">SUMIFS(OUT!$F$2:$F$11000,OUT!$H$2:$H$11000,H1585,OUT!$D$2:$D$11000,"Out",OUT!$E$2:$E$11000,"Loandry")</f>
        <v>0</v>
      </c>
      <c r="Q1585" s="52">
        <f ca="1">SUMIFS(OUT!$F$2:$F$11000,OUT!$H$2:$H$11000,H1585,OUT!$D$2:$D$11000,"Out",OUT!$E$2:$E$11000,"Mio")</f>
        <v>0</v>
      </c>
      <c r="R1585" s="52">
        <f ca="1">SUMIFS(OUT!$F$2:$F$11000,OUT!$H$2:$H$11000,H1585,OUT!$D$2:$D$11000,"Out",OUT!$E$2:$E$11000,"Sedekah")</f>
        <v>0</v>
      </c>
      <c r="S1585" s="52">
        <f ca="1">SUMIFS(OUT!$F$2:$F$11000,OUT!$H$2:$H$11000,H1585,OUT!$D$2:$D$11000,"Out",OUT!$E$2:$E$11000,"Zela")</f>
        <v>0</v>
      </c>
      <c r="T1585" s="52">
        <f ca="1">SUMIFS(OUT!$F$2:$F$11000,OUT!$H$2:$H$11000,H1585,OUT!$D$2:$D$11000,"Out",OUT!$E$2:$E$11000,"Iqbal")</f>
        <v>0</v>
      </c>
    </row>
    <row r="1586" spans="7:20" x14ac:dyDescent="0.2">
      <c r="G1586" s="50"/>
      <c r="H1586" s="51" t="str">
        <f t="shared" si="0"/>
        <v/>
      </c>
      <c r="I1586" s="52" t="e">
        <f>SUMIFS(OUT!$F$2:$F$11000,OUT!$H$2:$H$11000,H1586,OUT!$D$2:$D$101007,"In")</f>
        <v>#VALUE!</v>
      </c>
      <c r="J1586" s="52">
        <f ca="1">SUMIFS(OUT!$F$2:$F$11000,OUT!$H$2:$H$11000,H1586,OUT!$D$2:$D$11000,"Out")</f>
        <v>0</v>
      </c>
      <c r="K1586" s="52">
        <f ca="1">SUMIFS(OUT!$F$2:$F$11000,OUT!$H$2:$H$11000,H1586,OUT!$D$2:$D$11000,"Out",OUT!$E$2:$E$11000,"Fix")</f>
        <v>0</v>
      </c>
      <c r="L1586" s="52">
        <f ca="1">SUMIFS(OUT!$F$2:$F$11000,OUT!$H$2:$H$11000,H1586,OUT!$D$2:$D$11000,"Out",OUT!$E$2:$E$11000,"Bathroom")</f>
        <v>0</v>
      </c>
      <c r="M1586" s="52">
        <f ca="1">SUMIFS(OUT!$F$2:$F$11000,OUT!$H$2:$H$11000,H1586,OUT!$D$2:$D$11000,"Out",OUT!$E$2:$E$11000,"Alfa")</f>
        <v>0</v>
      </c>
      <c r="N1586" s="52" t="e">
        <f>SUMIFS(OUT!$F$2:$F$11000,OUT!$H$2:$H$101007,H1586,OUT!$D$2:$D$11000,"Out",OUT!$E$2:$E$11000,"Jajan")</f>
        <v>#VALUE!</v>
      </c>
      <c r="O1586" s="52">
        <f ca="1">SUMIFS(OUT!$F$2:$F$11000,OUT!$H$2:$H$11000,H1586,OUT!$D$2:$D$11000,"Out",OUT!$E$2:$E$11000,"Kitchen")</f>
        <v>0</v>
      </c>
      <c r="P1586" s="52">
        <f ca="1">SUMIFS(OUT!$F$2:$F$11000,OUT!$H$2:$H$11000,H1586,OUT!$D$2:$D$11000,"Out",OUT!$E$2:$E$11000,"Loandry")</f>
        <v>0</v>
      </c>
      <c r="Q1586" s="52">
        <f ca="1">SUMIFS(OUT!$F$2:$F$11000,OUT!$H$2:$H$11000,H1586,OUT!$D$2:$D$11000,"Out",OUT!$E$2:$E$11000,"Mio")</f>
        <v>0</v>
      </c>
      <c r="R1586" s="52">
        <f ca="1">SUMIFS(OUT!$F$2:$F$11000,OUT!$H$2:$H$11000,H1586,OUT!$D$2:$D$11000,"Out",OUT!$E$2:$E$11000,"Sedekah")</f>
        <v>0</v>
      </c>
      <c r="S1586" s="52">
        <f ca="1">SUMIFS(OUT!$F$2:$F$11000,OUT!$H$2:$H$11000,H1586,OUT!$D$2:$D$11000,"Out",OUT!$E$2:$E$11000,"Zela")</f>
        <v>0</v>
      </c>
      <c r="T1586" s="52">
        <f ca="1">SUMIFS(OUT!$F$2:$F$11000,OUT!$H$2:$H$11000,H1586,OUT!$D$2:$D$11000,"Out",OUT!$E$2:$E$11000,"Iqbal")</f>
        <v>0</v>
      </c>
    </row>
    <row r="1587" spans="7:20" x14ac:dyDescent="0.2">
      <c r="G1587" s="50"/>
      <c r="H1587" s="51" t="str">
        <f t="shared" si="0"/>
        <v/>
      </c>
      <c r="I1587" s="52" t="e">
        <f>SUMIFS(OUT!$F$2:$F$11000,OUT!$H$2:$H$11000,H1587,OUT!$D$2:$D$101007,"In")</f>
        <v>#VALUE!</v>
      </c>
      <c r="J1587" s="52">
        <f ca="1">SUMIFS(OUT!$F$2:$F$11000,OUT!$H$2:$H$11000,H1587,OUT!$D$2:$D$11000,"Out")</f>
        <v>0</v>
      </c>
      <c r="K1587" s="52">
        <f ca="1">SUMIFS(OUT!$F$2:$F$11000,OUT!$H$2:$H$11000,H1587,OUT!$D$2:$D$11000,"Out",OUT!$E$2:$E$11000,"Fix")</f>
        <v>0</v>
      </c>
      <c r="L1587" s="52">
        <f ca="1">SUMIFS(OUT!$F$2:$F$11000,OUT!$H$2:$H$11000,H1587,OUT!$D$2:$D$11000,"Out",OUT!$E$2:$E$11000,"Bathroom")</f>
        <v>0</v>
      </c>
      <c r="M1587" s="52">
        <f ca="1">SUMIFS(OUT!$F$2:$F$11000,OUT!$H$2:$H$11000,H1587,OUT!$D$2:$D$11000,"Out",OUT!$E$2:$E$11000,"Alfa")</f>
        <v>0</v>
      </c>
      <c r="N1587" s="52" t="e">
        <f>SUMIFS(OUT!$F$2:$F$11000,OUT!$H$2:$H$101007,H1587,OUT!$D$2:$D$11000,"Out",OUT!$E$2:$E$11000,"Jajan")</f>
        <v>#VALUE!</v>
      </c>
      <c r="O1587" s="52">
        <f ca="1">SUMIFS(OUT!$F$2:$F$11000,OUT!$H$2:$H$11000,H1587,OUT!$D$2:$D$11000,"Out",OUT!$E$2:$E$11000,"Kitchen")</f>
        <v>0</v>
      </c>
      <c r="P1587" s="52">
        <f ca="1">SUMIFS(OUT!$F$2:$F$11000,OUT!$H$2:$H$11000,H1587,OUT!$D$2:$D$11000,"Out",OUT!$E$2:$E$11000,"Loandry")</f>
        <v>0</v>
      </c>
      <c r="Q1587" s="52">
        <f ca="1">SUMIFS(OUT!$F$2:$F$11000,OUT!$H$2:$H$11000,H1587,OUT!$D$2:$D$11000,"Out",OUT!$E$2:$E$11000,"Mio")</f>
        <v>0</v>
      </c>
      <c r="R1587" s="52">
        <f ca="1">SUMIFS(OUT!$F$2:$F$11000,OUT!$H$2:$H$11000,H1587,OUT!$D$2:$D$11000,"Out",OUT!$E$2:$E$11000,"Sedekah")</f>
        <v>0</v>
      </c>
      <c r="S1587" s="52">
        <f ca="1">SUMIFS(OUT!$F$2:$F$11000,OUT!$H$2:$H$11000,H1587,OUT!$D$2:$D$11000,"Out",OUT!$E$2:$E$11000,"Zela")</f>
        <v>0</v>
      </c>
      <c r="T1587" s="52">
        <f ca="1">SUMIFS(OUT!$F$2:$F$11000,OUT!$H$2:$H$11000,H1587,OUT!$D$2:$D$11000,"Out",OUT!$E$2:$E$11000,"Iqbal")</f>
        <v>0</v>
      </c>
    </row>
    <row r="1588" spans="7:20" x14ac:dyDescent="0.2">
      <c r="G1588" s="50"/>
      <c r="H1588" s="51" t="str">
        <f t="shared" si="0"/>
        <v/>
      </c>
      <c r="I1588" s="52" t="e">
        <f>SUMIFS(OUT!$F$2:$F$11000,OUT!$H$2:$H$11000,H1588,OUT!$D$2:$D$101007,"In")</f>
        <v>#VALUE!</v>
      </c>
      <c r="J1588" s="52">
        <f ca="1">SUMIFS(OUT!$F$2:$F$11000,OUT!$H$2:$H$11000,H1588,OUT!$D$2:$D$11000,"Out")</f>
        <v>0</v>
      </c>
      <c r="K1588" s="52">
        <f ca="1">SUMIFS(OUT!$F$2:$F$11000,OUT!$H$2:$H$11000,H1588,OUT!$D$2:$D$11000,"Out",OUT!$E$2:$E$11000,"Fix")</f>
        <v>0</v>
      </c>
      <c r="L1588" s="52">
        <f ca="1">SUMIFS(OUT!$F$2:$F$11000,OUT!$H$2:$H$11000,H1588,OUT!$D$2:$D$11000,"Out",OUT!$E$2:$E$11000,"Bathroom")</f>
        <v>0</v>
      </c>
      <c r="M1588" s="52">
        <f ca="1">SUMIFS(OUT!$F$2:$F$11000,OUT!$H$2:$H$11000,H1588,OUT!$D$2:$D$11000,"Out",OUT!$E$2:$E$11000,"Alfa")</f>
        <v>0</v>
      </c>
      <c r="N1588" s="52" t="e">
        <f>SUMIFS(OUT!$F$2:$F$11000,OUT!$H$2:$H$101007,H1588,OUT!$D$2:$D$11000,"Out",OUT!$E$2:$E$11000,"Jajan")</f>
        <v>#VALUE!</v>
      </c>
      <c r="O1588" s="52">
        <f ca="1">SUMIFS(OUT!$F$2:$F$11000,OUT!$H$2:$H$11000,H1588,OUT!$D$2:$D$11000,"Out",OUT!$E$2:$E$11000,"Kitchen")</f>
        <v>0</v>
      </c>
      <c r="P1588" s="52">
        <f ca="1">SUMIFS(OUT!$F$2:$F$11000,OUT!$H$2:$H$11000,H1588,OUT!$D$2:$D$11000,"Out",OUT!$E$2:$E$11000,"Loandry")</f>
        <v>0</v>
      </c>
      <c r="Q1588" s="52">
        <f ca="1">SUMIFS(OUT!$F$2:$F$11000,OUT!$H$2:$H$11000,H1588,OUT!$D$2:$D$11000,"Out",OUT!$E$2:$E$11000,"Mio")</f>
        <v>0</v>
      </c>
      <c r="R1588" s="52">
        <f ca="1">SUMIFS(OUT!$F$2:$F$11000,OUT!$H$2:$H$11000,H1588,OUT!$D$2:$D$11000,"Out",OUT!$E$2:$E$11000,"Sedekah")</f>
        <v>0</v>
      </c>
      <c r="S1588" s="52">
        <f ca="1">SUMIFS(OUT!$F$2:$F$11000,OUT!$H$2:$H$11000,H1588,OUT!$D$2:$D$11000,"Out",OUT!$E$2:$E$11000,"Zela")</f>
        <v>0</v>
      </c>
      <c r="T1588" s="52">
        <f ca="1">SUMIFS(OUT!$F$2:$F$11000,OUT!$H$2:$H$11000,H1588,OUT!$D$2:$D$11000,"Out",OUT!$E$2:$E$11000,"Iqbal")</f>
        <v>0</v>
      </c>
    </row>
    <row r="1589" spans="7:20" x14ac:dyDescent="0.2">
      <c r="G1589" s="50"/>
      <c r="H1589" s="51" t="str">
        <f t="shared" si="0"/>
        <v/>
      </c>
      <c r="I1589" s="52" t="e">
        <f>SUMIFS(OUT!$F$2:$F$11000,OUT!$H$2:$H$11000,H1589,OUT!$D$2:$D$101007,"In")</f>
        <v>#VALUE!</v>
      </c>
      <c r="J1589" s="52">
        <f ca="1">SUMIFS(OUT!$F$2:$F$11000,OUT!$H$2:$H$11000,H1589,OUT!$D$2:$D$11000,"Out")</f>
        <v>0</v>
      </c>
      <c r="K1589" s="52">
        <f ca="1">SUMIFS(OUT!$F$2:$F$11000,OUT!$H$2:$H$11000,H1589,OUT!$D$2:$D$11000,"Out",OUT!$E$2:$E$11000,"Fix")</f>
        <v>0</v>
      </c>
      <c r="L1589" s="52">
        <f ca="1">SUMIFS(OUT!$F$2:$F$11000,OUT!$H$2:$H$11000,H1589,OUT!$D$2:$D$11000,"Out",OUT!$E$2:$E$11000,"Bathroom")</f>
        <v>0</v>
      </c>
      <c r="M1589" s="52">
        <f ca="1">SUMIFS(OUT!$F$2:$F$11000,OUT!$H$2:$H$11000,H1589,OUT!$D$2:$D$11000,"Out",OUT!$E$2:$E$11000,"Alfa")</f>
        <v>0</v>
      </c>
      <c r="N1589" s="52" t="e">
        <f>SUMIFS(OUT!$F$2:$F$11000,OUT!$H$2:$H$101007,H1589,OUT!$D$2:$D$11000,"Out",OUT!$E$2:$E$11000,"Jajan")</f>
        <v>#VALUE!</v>
      </c>
      <c r="O1589" s="52">
        <f ca="1">SUMIFS(OUT!$F$2:$F$11000,OUT!$H$2:$H$11000,H1589,OUT!$D$2:$D$11000,"Out",OUT!$E$2:$E$11000,"Kitchen")</f>
        <v>0</v>
      </c>
      <c r="P1589" s="52">
        <f ca="1">SUMIFS(OUT!$F$2:$F$11000,OUT!$H$2:$H$11000,H1589,OUT!$D$2:$D$11000,"Out",OUT!$E$2:$E$11000,"Loandry")</f>
        <v>0</v>
      </c>
      <c r="Q1589" s="52">
        <f ca="1">SUMIFS(OUT!$F$2:$F$11000,OUT!$H$2:$H$11000,H1589,OUT!$D$2:$D$11000,"Out",OUT!$E$2:$E$11000,"Mio")</f>
        <v>0</v>
      </c>
      <c r="R1589" s="52">
        <f ca="1">SUMIFS(OUT!$F$2:$F$11000,OUT!$H$2:$H$11000,H1589,OUT!$D$2:$D$11000,"Out",OUT!$E$2:$E$11000,"Sedekah")</f>
        <v>0</v>
      </c>
      <c r="S1589" s="52">
        <f ca="1">SUMIFS(OUT!$F$2:$F$11000,OUT!$H$2:$H$11000,H1589,OUT!$D$2:$D$11000,"Out",OUT!$E$2:$E$11000,"Zela")</f>
        <v>0</v>
      </c>
      <c r="T1589" s="52">
        <f ca="1">SUMIFS(OUT!$F$2:$F$11000,OUT!$H$2:$H$11000,H1589,OUT!$D$2:$D$11000,"Out",OUT!$E$2:$E$11000,"Iqbal")</f>
        <v>0</v>
      </c>
    </row>
    <row r="1590" spans="7:20" x14ac:dyDescent="0.2">
      <c r="G1590" s="50"/>
      <c r="H1590" s="51" t="str">
        <f t="shared" si="0"/>
        <v/>
      </c>
      <c r="I1590" s="52" t="e">
        <f>SUMIFS(OUT!$F$2:$F$11000,OUT!$H$2:$H$11000,H1590,OUT!$D$2:$D$101007,"In")</f>
        <v>#VALUE!</v>
      </c>
      <c r="J1590" s="52">
        <f ca="1">SUMIFS(OUT!$F$2:$F$11000,OUT!$H$2:$H$11000,H1590,OUT!$D$2:$D$11000,"Out")</f>
        <v>0</v>
      </c>
      <c r="K1590" s="52">
        <f ca="1">SUMIFS(OUT!$F$2:$F$11000,OUT!$H$2:$H$11000,H1590,OUT!$D$2:$D$11000,"Out",OUT!$E$2:$E$11000,"Fix")</f>
        <v>0</v>
      </c>
      <c r="L1590" s="52">
        <f ca="1">SUMIFS(OUT!$F$2:$F$11000,OUT!$H$2:$H$11000,H1590,OUT!$D$2:$D$11000,"Out",OUT!$E$2:$E$11000,"Bathroom")</f>
        <v>0</v>
      </c>
      <c r="M1590" s="52">
        <f ca="1">SUMIFS(OUT!$F$2:$F$11000,OUT!$H$2:$H$11000,H1590,OUT!$D$2:$D$11000,"Out",OUT!$E$2:$E$11000,"Alfa")</f>
        <v>0</v>
      </c>
      <c r="N1590" s="52" t="e">
        <f>SUMIFS(OUT!$F$2:$F$11000,OUT!$H$2:$H$101007,H1590,OUT!$D$2:$D$11000,"Out",OUT!$E$2:$E$11000,"Jajan")</f>
        <v>#VALUE!</v>
      </c>
      <c r="O1590" s="52">
        <f ca="1">SUMIFS(OUT!$F$2:$F$11000,OUT!$H$2:$H$11000,H1590,OUT!$D$2:$D$11000,"Out",OUT!$E$2:$E$11000,"Kitchen")</f>
        <v>0</v>
      </c>
      <c r="P1590" s="52">
        <f ca="1">SUMIFS(OUT!$F$2:$F$11000,OUT!$H$2:$H$11000,H1590,OUT!$D$2:$D$11000,"Out",OUT!$E$2:$E$11000,"Loandry")</f>
        <v>0</v>
      </c>
      <c r="Q1590" s="52">
        <f ca="1">SUMIFS(OUT!$F$2:$F$11000,OUT!$H$2:$H$11000,H1590,OUT!$D$2:$D$11000,"Out",OUT!$E$2:$E$11000,"Mio")</f>
        <v>0</v>
      </c>
      <c r="R1590" s="52">
        <f ca="1">SUMIFS(OUT!$F$2:$F$11000,OUT!$H$2:$H$11000,H1590,OUT!$D$2:$D$11000,"Out",OUT!$E$2:$E$11000,"Sedekah")</f>
        <v>0</v>
      </c>
      <c r="S1590" s="52">
        <f ca="1">SUMIFS(OUT!$F$2:$F$11000,OUT!$H$2:$H$11000,H1590,OUT!$D$2:$D$11000,"Out",OUT!$E$2:$E$11000,"Zela")</f>
        <v>0</v>
      </c>
      <c r="T1590" s="52">
        <f ca="1">SUMIFS(OUT!$F$2:$F$11000,OUT!$H$2:$H$11000,H1590,OUT!$D$2:$D$11000,"Out",OUT!$E$2:$E$11000,"Iqbal")</f>
        <v>0</v>
      </c>
    </row>
    <row r="1591" spans="7:20" x14ac:dyDescent="0.2">
      <c r="G1591" s="50"/>
      <c r="H1591" s="51" t="str">
        <f t="shared" si="0"/>
        <v/>
      </c>
      <c r="I1591" s="52" t="e">
        <f>SUMIFS(OUT!$F$2:$F$11000,OUT!$H$2:$H$11000,H1591,OUT!$D$2:$D$101007,"In")</f>
        <v>#VALUE!</v>
      </c>
      <c r="J1591" s="52">
        <f ca="1">SUMIFS(OUT!$F$2:$F$11000,OUT!$H$2:$H$11000,H1591,OUT!$D$2:$D$11000,"Out")</f>
        <v>0</v>
      </c>
      <c r="K1591" s="52">
        <f ca="1">SUMIFS(OUT!$F$2:$F$11000,OUT!$H$2:$H$11000,H1591,OUT!$D$2:$D$11000,"Out",OUT!$E$2:$E$11000,"Fix")</f>
        <v>0</v>
      </c>
      <c r="L1591" s="52">
        <f ca="1">SUMIFS(OUT!$F$2:$F$11000,OUT!$H$2:$H$11000,H1591,OUT!$D$2:$D$11000,"Out",OUT!$E$2:$E$11000,"Bathroom")</f>
        <v>0</v>
      </c>
      <c r="M1591" s="52">
        <f ca="1">SUMIFS(OUT!$F$2:$F$11000,OUT!$H$2:$H$11000,H1591,OUT!$D$2:$D$11000,"Out",OUT!$E$2:$E$11000,"Alfa")</f>
        <v>0</v>
      </c>
      <c r="N1591" s="52" t="e">
        <f>SUMIFS(OUT!$F$2:$F$11000,OUT!$H$2:$H$101007,H1591,OUT!$D$2:$D$11000,"Out",OUT!$E$2:$E$11000,"Jajan")</f>
        <v>#VALUE!</v>
      </c>
      <c r="O1591" s="52">
        <f ca="1">SUMIFS(OUT!$F$2:$F$11000,OUT!$H$2:$H$11000,H1591,OUT!$D$2:$D$11000,"Out",OUT!$E$2:$E$11000,"Kitchen")</f>
        <v>0</v>
      </c>
      <c r="P1591" s="52">
        <f ca="1">SUMIFS(OUT!$F$2:$F$11000,OUT!$H$2:$H$11000,H1591,OUT!$D$2:$D$11000,"Out",OUT!$E$2:$E$11000,"Loandry")</f>
        <v>0</v>
      </c>
      <c r="Q1591" s="52">
        <f ca="1">SUMIFS(OUT!$F$2:$F$11000,OUT!$H$2:$H$11000,H1591,OUT!$D$2:$D$11000,"Out",OUT!$E$2:$E$11000,"Mio")</f>
        <v>0</v>
      </c>
      <c r="R1591" s="52">
        <f ca="1">SUMIFS(OUT!$F$2:$F$11000,OUT!$H$2:$H$11000,H1591,OUT!$D$2:$D$11000,"Out",OUT!$E$2:$E$11000,"Sedekah")</f>
        <v>0</v>
      </c>
      <c r="S1591" s="52">
        <f ca="1">SUMIFS(OUT!$F$2:$F$11000,OUT!$H$2:$H$11000,H1591,OUT!$D$2:$D$11000,"Out",OUT!$E$2:$E$11000,"Zela")</f>
        <v>0</v>
      </c>
      <c r="T1591" s="52">
        <f ca="1">SUMIFS(OUT!$F$2:$F$11000,OUT!$H$2:$H$11000,H1591,OUT!$D$2:$D$11000,"Out",OUT!$E$2:$E$11000,"Iqbal")</f>
        <v>0</v>
      </c>
    </row>
    <row r="1592" spans="7:20" x14ac:dyDescent="0.2">
      <c r="G1592" s="50"/>
      <c r="H1592" s="51" t="str">
        <f t="shared" si="0"/>
        <v/>
      </c>
      <c r="I1592" s="52" t="e">
        <f>SUMIFS(OUT!$F$2:$F$11000,OUT!$H$2:$H$11000,H1592,OUT!$D$2:$D$101007,"In")</f>
        <v>#VALUE!</v>
      </c>
      <c r="J1592" s="52">
        <f ca="1">SUMIFS(OUT!$F$2:$F$11000,OUT!$H$2:$H$11000,H1592,OUT!$D$2:$D$11000,"Out")</f>
        <v>0</v>
      </c>
      <c r="K1592" s="52">
        <f ca="1">SUMIFS(OUT!$F$2:$F$11000,OUT!$H$2:$H$11000,H1592,OUT!$D$2:$D$11000,"Out",OUT!$E$2:$E$11000,"Fix")</f>
        <v>0</v>
      </c>
      <c r="L1592" s="52">
        <f ca="1">SUMIFS(OUT!$F$2:$F$11000,OUT!$H$2:$H$11000,H1592,OUT!$D$2:$D$11000,"Out",OUT!$E$2:$E$11000,"Bathroom")</f>
        <v>0</v>
      </c>
      <c r="M1592" s="52">
        <f ca="1">SUMIFS(OUT!$F$2:$F$11000,OUT!$H$2:$H$11000,H1592,OUT!$D$2:$D$11000,"Out",OUT!$E$2:$E$11000,"Alfa")</f>
        <v>0</v>
      </c>
      <c r="N1592" s="52" t="e">
        <f>SUMIFS(OUT!$F$2:$F$11000,OUT!$H$2:$H$101007,H1592,OUT!$D$2:$D$11000,"Out",OUT!$E$2:$E$11000,"Jajan")</f>
        <v>#VALUE!</v>
      </c>
      <c r="O1592" s="52">
        <f ca="1">SUMIFS(OUT!$F$2:$F$11000,OUT!$H$2:$H$11000,H1592,OUT!$D$2:$D$11000,"Out",OUT!$E$2:$E$11000,"Kitchen")</f>
        <v>0</v>
      </c>
      <c r="P1592" s="52">
        <f ca="1">SUMIFS(OUT!$F$2:$F$11000,OUT!$H$2:$H$11000,H1592,OUT!$D$2:$D$11000,"Out",OUT!$E$2:$E$11000,"Loandry")</f>
        <v>0</v>
      </c>
      <c r="Q1592" s="52">
        <f ca="1">SUMIFS(OUT!$F$2:$F$11000,OUT!$H$2:$H$11000,H1592,OUT!$D$2:$D$11000,"Out",OUT!$E$2:$E$11000,"Mio")</f>
        <v>0</v>
      </c>
      <c r="R1592" s="52">
        <f ca="1">SUMIFS(OUT!$F$2:$F$11000,OUT!$H$2:$H$11000,H1592,OUT!$D$2:$D$11000,"Out",OUT!$E$2:$E$11000,"Sedekah")</f>
        <v>0</v>
      </c>
      <c r="S1592" s="52">
        <f ca="1">SUMIFS(OUT!$F$2:$F$11000,OUT!$H$2:$H$11000,H1592,OUT!$D$2:$D$11000,"Out",OUT!$E$2:$E$11000,"Zela")</f>
        <v>0</v>
      </c>
      <c r="T1592" s="52">
        <f ca="1">SUMIFS(OUT!$F$2:$F$11000,OUT!$H$2:$H$11000,H1592,OUT!$D$2:$D$11000,"Out",OUT!$E$2:$E$11000,"Iqbal")</f>
        <v>0</v>
      </c>
    </row>
    <row r="1593" spans="7:20" x14ac:dyDescent="0.2">
      <c r="G1593" s="50"/>
      <c r="H1593" s="51" t="str">
        <f t="shared" si="0"/>
        <v/>
      </c>
      <c r="I1593" s="52" t="e">
        <f>SUMIFS(OUT!$F$2:$F$11000,OUT!$H$2:$H$11000,H1593,OUT!$D$2:$D$101007,"In")</f>
        <v>#VALUE!</v>
      </c>
      <c r="J1593" s="52">
        <f ca="1">SUMIFS(OUT!$F$2:$F$11000,OUT!$H$2:$H$11000,H1593,OUT!$D$2:$D$11000,"Out")</f>
        <v>0</v>
      </c>
      <c r="K1593" s="52">
        <f ca="1">SUMIFS(OUT!$F$2:$F$11000,OUT!$H$2:$H$11000,H1593,OUT!$D$2:$D$11000,"Out",OUT!$E$2:$E$11000,"Fix")</f>
        <v>0</v>
      </c>
      <c r="L1593" s="52">
        <f ca="1">SUMIFS(OUT!$F$2:$F$11000,OUT!$H$2:$H$11000,H1593,OUT!$D$2:$D$11000,"Out",OUT!$E$2:$E$11000,"Bathroom")</f>
        <v>0</v>
      </c>
      <c r="M1593" s="52">
        <f ca="1">SUMIFS(OUT!$F$2:$F$11000,OUT!$H$2:$H$11000,H1593,OUT!$D$2:$D$11000,"Out",OUT!$E$2:$E$11000,"Alfa")</f>
        <v>0</v>
      </c>
      <c r="N1593" s="52" t="e">
        <f>SUMIFS(OUT!$F$2:$F$11000,OUT!$H$2:$H$101007,H1593,OUT!$D$2:$D$11000,"Out",OUT!$E$2:$E$11000,"Jajan")</f>
        <v>#VALUE!</v>
      </c>
      <c r="O1593" s="52">
        <f ca="1">SUMIFS(OUT!$F$2:$F$11000,OUT!$H$2:$H$11000,H1593,OUT!$D$2:$D$11000,"Out",OUT!$E$2:$E$11000,"Kitchen")</f>
        <v>0</v>
      </c>
      <c r="P1593" s="52">
        <f ca="1">SUMIFS(OUT!$F$2:$F$11000,OUT!$H$2:$H$11000,H1593,OUT!$D$2:$D$11000,"Out",OUT!$E$2:$E$11000,"Loandry")</f>
        <v>0</v>
      </c>
      <c r="Q1593" s="52">
        <f ca="1">SUMIFS(OUT!$F$2:$F$11000,OUT!$H$2:$H$11000,H1593,OUT!$D$2:$D$11000,"Out",OUT!$E$2:$E$11000,"Mio")</f>
        <v>0</v>
      </c>
      <c r="R1593" s="52">
        <f ca="1">SUMIFS(OUT!$F$2:$F$11000,OUT!$H$2:$H$11000,H1593,OUT!$D$2:$D$11000,"Out",OUT!$E$2:$E$11000,"Sedekah")</f>
        <v>0</v>
      </c>
      <c r="S1593" s="52">
        <f ca="1">SUMIFS(OUT!$F$2:$F$11000,OUT!$H$2:$H$11000,H1593,OUT!$D$2:$D$11000,"Out",OUT!$E$2:$E$11000,"Zela")</f>
        <v>0</v>
      </c>
      <c r="T1593" s="52">
        <f ca="1">SUMIFS(OUT!$F$2:$F$11000,OUT!$H$2:$H$11000,H1593,OUT!$D$2:$D$11000,"Out",OUT!$E$2:$E$11000,"Iqbal")</f>
        <v>0</v>
      </c>
    </row>
    <row r="1594" spans="7:20" x14ac:dyDescent="0.2">
      <c r="G1594" s="50"/>
      <c r="H1594" s="51" t="str">
        <f t="shared" si="0"/>
        <v/>
      </c>
      <c r="I1594" s="52" t="e">
        <f>SUMIFS(OUT!$F$2:$F$11000,OUT!$H$2:$H$11000,H1594,OUT!$D$2:$D$101007,"In")</f>
        <v>#VALUE!</v>
      </c>
      <c r="J1594" s="52">
        <f ca="1">SUMIFS(OUT!$F$2:$F$11000,OUT!$H$2:$H$11000,H1594,OUT!$D$2:$D$11000,"Out")</f>
        <v>0</v>
      </c>
      <c r="K1594" s="52">
        <f ca="1">SUMIFS(OUT!$F$2:$F$11000,OUT!$H$2:$H$11000,H1594,OUT!$D$2:$D$11000,"Out",OUT!$E$2:$E$11000,"Fix")</f>
        <v>0</v>
      </c>
      <c r="L1594" s="52">
        <f ca="1">SUMIFS(OUT!$F$2:$F$11000,OUT!$H$2:$H$11000,H1594,OUT!$D$2:$D$11000,"Out",OUT!$E$2:$E$11000,"Bathroom")</f>
        <v>0</v>
      </c>
      <c r="M1594" s="52">
        <f ca="1">SUMIFS(OUT!$F$2:$F$11000,OUT!$H$2:$H$11000,H1594,OUT!$D$2:$D$11000,"Out",OUT!$E$2:$E$11000,"Alfa")</f>
        <v>0</v>
      </c>
      <c r="N1594" s="52" t="e">
        <f>SUMIFS(OUT!$F$2:$F$11000,OUT!$H$2:$H$101007,H1594,OUT!$D$2:$D$11000,"Out",OUT!$E$2:$E$11000,"Jajan")</f>
        <v>#VALUE!</v>
      </c>
      <c r="O1594" s="52">
        <f ca="1">SUMIFS(OUT!$F$2:$F$11000,OUT!$H$2:$H$11000,H1594,OUT!$D$2:$D$11000,"Out",OUT!$E$2:$E$11000,"Kitchen")</f>
        <v>0</v>
      </c>
      <c r="P1594" s="52">
        <f ca="1">SUMIFS(OUT!$F$2:$F$11000,OUT!$H$2:$H$11000,H1594,OUT!$D$2:$D$11000,"Out",OUT!$E$2:$E$11000,"Loandry")</f>
        <v>0</v>
      </c>
      <c r="Q1594" s="52">
        <f ca="1">SUMIFS(OUT!$F$2:$F$11000,OUT!$H$2:$H$11000,H1594,OUT!$D$2:$D$11000,"Out",OUT!$E$2:$E$11000,"Mio")</f>
        <v>0</v>
      </c>
      <c r="R1594" s="52">
        <f ca="1">SUMIFS(OUT!$F$2:$F$11000,OUT!$H$2:$H$11000,H1594,OUT!$D$2:$D$11000,"Out",OUT!$E$2:$E$11000,"Sedekah")</f>
        <v>0</v>
      </c>
      <c r="S1594" s="52">
        <f ca="1">SUMIFS(OUT!$F$2:$F$11000,OUT!$H$2:$H$11000,H1594,OUT!$D$2:$D$11000,"Out",OUT!$E$2:$E$11000,"Zela")</f>
        <v>0</v>
      </c>
      <c r="T1594" s="52">
        <f ca="1">SUMIFS(OUT!$F$2:$F$11000,OUT!$H$2:$H$11000,H1594,OUT!$D$2:$D$11000,"Out",OUT!$E$2:$E$11000,"Iqbal")</f>
        <v>0</v>
      </c>
    </row>
    <row r="1595" spans="7:20" x14ac:dyDescent="0.2">
      <c r="G1595" s="50"/>
      <c r="H1595" s="51" t="str">
        <f t="shared" si="0"/>
        <v/>
      </c>
      <c r="I1595" s="52" t="e">
        <f>SUMIFS(OUT!$F$2:$F$11000,OUT!$H$2:$H$11000,H1595,OUT!$D$2:$D$101007,"In")</f>
        <v>#VALUE!</v>
      </c>
      <c r="J1595" s="52">
        <f ca="1">SUMIFS(OUT!$F$2:$F$11000,OUT!$H$2:$H$11000,H1595,OUT!$D$2:$D$11000,"Out")</f>
        <v>0</v>
      </c>
      <c r="K1595" s="52">
        <f ca="1">SUMIFS(OUT!$F$2:$F$11000,OUT!$H$2:$H$11000,H1595,OUT!$D$2:$D$11000,"Out",OUT!$E$2:$E$11000,"Fix")</f>
        <v>0</v>
      </c>
      <c r="L1595" s="52">
        <f ca="1">SUMIFS(OUT!$F$2:$F$11000,OUT!$H$2:$H$11000,H1595,OUT!$D$2:$D$11000,"Out",OUT!$E$2:$E$11000,"Bathroom")</f>
        <v>0</v>
      </c>
      <c r="M1595" s="52">
        <f ca="1">SUMIFS(OUT!$F$2:$F$11000,OUT!$H$2:$H$11000,H1595,OUT!$D$2:$D$11000,"Out",OUT!$E$2:$E$11000,"Alfa")</f>
        <v>0</v>
      </c>
      <c r="N1595" s="52" t="e">
        <f>SUMIFS(OUT!$F$2:$F$11000,OUT!$H$2:$H$101007,H1595,OUT!$D$2:$D$11000,"Out",OUT!$E$2:$E$11000,"Jajan")</f>
        <v>#VALUE!</v>
      </c>
      <c r="O1595" s="52">
        <f ca="1">SUMIFS(OUT!$F$2:$F$11000,OUT!$H$2:$H$11000,H1595,OUT!$D$2:$D$11000,"Out",OUT!$E$2:$E$11000,"Kitchen")</f>
        <v>0</v>
      </c>
      <c r="P1595" s="52">
        <f ca="1">SUMIFS(OUT!$F$2:$F$11000,OUT!$H$2:$H$11000,H1595,OUT!$D$2:$D$11000,"Out",OUT!$E$2:$E$11000,"Loandry")</f>
        <v>0</v>
      </c>
      <c r="Q1595" s="52">
        <f ca="1">SUMIFS(OUT!$F$2:$F$11000,OUT!$H$2:$H$11000,H1595,OUT!$D$2:$D$11000,"Out",OUT!$E$2:$E$11000,"Mio")</f>
        <v>0</v>
      </c>
      <c r="R1595" s="52">
        <f ca="1">SUMIFS(OUT!$F$2:$F$11000,OUT!$H$2:$H$11000,H1595,OUT!$D$2:$D$11000,"Out",OUT!$E$2:$E$11000,"Sedekah")</f>
        <v>0</v>
      </c>
      <c r="S1595" s="52">
        <f ca="1">SUMIFS(OUT!$F$2:$F$11000,OUT!$H$2:$H$11000,H1595,OUT!$D$2:$D$11000,"Out",OUT!$E$2:$E$11000,"Zela")</f>
        <v>0</v>
      </c>
      <c r="T1595" s="52">
        <f ca="1">SUMIFS(OUT!$F$2:$F$11000,OUT!$H$2:$H$11000,H1595,OUT!$D$2:$D$11000,"Out",OUT!$E$2:$E$11000,"Iqbal")</f>
        <v>0</v>
      </c>
    </row>
    <row r="1596" spans="7:20" x14ac:dyDescent="0.2">
      <c r="G1596" s="50"/>
      <c r="H1596" s="51" t="str">
        <f t="shared" si="0"/>
        <v/>
      </c>
      <c r="I1596" s="52" t="e">
        <f>SUMIFS(OUT!$F$2:$F$11000,OUT!$H$2:$H$11000,H1596,OUT!$D$2:$D$101007,"In")</f>
        <v>#VALUE!</v>
      </c>
      <c r="J1596" s="52">
        <f ca="1">SUMIFS(OUT!$F$2:$F$11000,OUT!$H$2:$H$11000,H1596,OUT!$D$2:$D$11000,"Out")</f>
        <v>0</v>
      </c>
      <c r="K1596" s="52">
        <f ca="1">SUMIFS(OUT!$F$2:$F$11000,OUT!$H$2:$H$11000,H1596,OUT!$D$2:$D$11000,"Out",OUT!$E$2:$E$11000,"Fix")</f>
        <v>0</v>
      </c>
      <c r="L1596" s="52">
        <f ca="1">SUMIFS(OUT!$F$2:$F$11000,OUT!$H$2:$H$11000,H1596,OUT!$D$2:$D$11000,"Out",OUT!$E$2:$E$11000,"Bathroom")</f>
        <v>0</v>
      </c>
      <c r="M1596" s="52">
        <f ca="1">SUMIFS(OUT!$F$2:$F$11000,OUT!$H$2:$H$11000,H1596,OUT!$D$2:$D$11000,"Out",OUT!$E$2:$E$11000,"Alfa")</f>
        <v>0</v>
      </c>
      <c r="N1596" s="52" t="e">
        <f>SUMIFS(OUT!$F$2:$F$11000,OUT!$H$2:$H$101007,H1596,OUT!$D$2:$D$11000,"Out",OUT!$E$2:$E$11000,"Jajan")</f>
        <v>#VALUE!</v>
      </c>
      <c r="O1596" s="52">
        <f ca="1">SUMIFS(OUT!$F$2:$F$11000,OUT!$H$2:$H$11000,H1596,OUT!$D$2:$D$11000,"Out",OUT!$E$2:$E$11000,"Kitchen")</f>
        <v>0</v>
      </c>
      <c r="P1596" s="52">
        <f ca="1">SUMIFS(OUT!$F$2:$F$11000,OUT!$H$2:$H$11000,H1596,OUT!$D$2:$D$11000,"Out",OUT!$E$2:$E$11000,"Loandry")</f>
        <v>0</v>
      </c>
      <c r="Q1596" s="52">
        <f ca="1">SUMIFS(OUT!$F$2:$F$11000,OUT!$H$2:$H$11000,H1596,OUT!$D$2:$D$11000,"Out",OUT!$E$2:$E$11000,"Mio")</f>
        <v>0</v>
      </c>
      <c r="R1596" s="52">
        <f ca="1">SUMIFS(OUT!$F$2:$F$11000,OUT!$H$2:$H$11000,H1596,OUT!$D$2:$D$11000,"Out",OUT!$E$2:$E$11000,"Sedekah")</f>
        <v>0</v>
      </c>
      <c r="S1596" s="52">
        <f ca="1">SUMIFS(OUT!$F$2:$F$11000,OUT!$H$2:$H$11000,H1596,OUT!$D$2:$D$11000,"Out",OUT!$E$2:$E$11000,"Zela")</f>
        <v>0</v>
      </c>
      <c r="T1596" s="52">
        <f ca="1">SUMIFS(OUT!$F$2:$F$11000,OUT!$H$2:$H$11000,H1596,OUT!$D$2:$D$11000,"Out",OUT!$E$2:$E$11000,"Iqbal")</f>
        <v>0</v>
      </c>
    </row>
    <row r="1597" spans="7:20" x14ac:dyDescent="0.2">
      <c r="G1597" s="50"/>
      <c r="H1597" s="51" t="str">
        <f t="shared" si="0"/>
        <v/>
      </c>
      <c r="I1597" s="52" t="e">
        <f>SUMIFS(OUT!$F$2:$F$11000,OUT!$H$2:$H$11000,H1597,OUT!$D$2:$D$101007,"In")</f>
        <v>#VALUE!</v>
      </c>
      <c r="J1597" s="52">
        <f ca="1">SUMIFS(OUT!$F$2:$F$11000,OUT!$H$2:$H$11000,H1597,OUT!$D$2:$D$11000,"Out")</f>
        <v>0</v>
      </c>
      <c r="K1597" s="52">
        <f ca="1">SUMIFS(OUT!$F$2:$F$11000,OUT!$H$2:$H$11000,H1597,OUT!$D$2:$D$11000,"Out",OUT!$E$2:$E$11000,"Fix")</f>
        <v>0</v>
      </c>
      <c r="L1597" s="52">
        <f ca="1">SUMIFS(OUT!$F$2:$F$11000,OUT!$H$2:$H$11000,H1597,OUT!$D$2:$D$11000,"Out",OUT!$E$2:$E$11000,"Bathroom")</f>
        <v>0</v>
      </c>
      <c r="M1597" s="52">
        <f ca="1">SUMIFS(OUT!$F$2:$F$11000,OUT!$H$2:$H$11000,H1597,OUT!$D$2:$D$11000,"Out",OUT!$E$2:$E$11000,"Alfa")</f>
        <v>0</v>
      </c>
      <c r="N1597" s="52" t="e">
        <f>SUMIFS(OUT!$F$2:$F$11000,OUT!$H$2:$H$101007,H1597,OUT!$D$2:$D$11000,"Out",OUT!$E$2:$E$11000,"Jajan")</f>
        <v>#VALUE!</v>
      </c>
      <c r="O1597" s="52">
        <f ca="1">SUMIFS(OUT!$F$2:$F$11000,OUT!$H$2:$H$11000,H1597,OUT!$D$2:$D$11000,"Out",OUT!$E$2:$E$11000,"Kitchen")</f>
        <v>0</v>
      </c>
      <c r="P1597" s="52">
        <f ca="1">SUMIFS(OUT!$F$2:$F$11000,OUT!$H$2:$H$11000,H1597,OUT!$D$2:$D$11000,"Out",OUT!$E$2:$E$11000,"Loandry")</f>
        <v>0</v>
      </c>
      <c r="Q1597" s="52">
        <f ca="1">SUMIFS(OUT!$F$2:$F$11000,OUT!$H$2:$H$11000,H1597,OUT!$D$2:$D$11000,"Out",OUT!$E$2:$E$11000,"Mio")</f>
        <v>0</v>
      </c>
      <c r="R1597" s="52">
        <f ca="1">SUMIFS(OUT!$F$2:$F$11000,OUT!$H$2:$H$11000,H1597,OUT!$D$2:$D$11000,"Out",OUT!$E$2:$E$11000,"Sedekah")</f>
        <v>0</v>
      </c>
      <c r="S1597" s="52">
        <f ca="1">SUMIFS(OUT!$F$2:$F$11000,OUT!$H$2:$H$11000,H1597,OUT!$D$2:$D$11000,"Out",OUT!$E$2:$E$11000,"Zela")</f>
        <v>0</v>
      </c>
      <c r="T1597" s="52">
        <f ca="1">SUMIFS(OUT!$F$2:$F$11000,OUT!$H$2:$H$11000,H1597,OUT!$D$2:$D$11000,"Out",OUT!$E$2:$E$11000,"Iqbal")</f>
        <v>0</v>
      </c>
    </row>
    <row r="1598" spans="7:20" x14ac:dyDescent="0.2">
      <c r="G1598" s="50"/>
      <c r="H1598" s="51" t="str">
        <f t="shared" si="0"/>
        <v/>
      </c>
      <c r="I1598" s="52" t="e">
        <f>SUMIFS(OUT!$F$2:$F$11000,OUT!$H$2:$H$11000,H1598,OUT!$D$2:$D$101007,"In")</f>
        <v>#VALUE!</v>
      </c>
      <c r="J1598" s="52">
        <f ca="1">SUMIFS(OUT!$F$2:$F$11000,OUT!$H$2:$H$11000,H1598,OUT!$D$2:$D$11000,"Out")</f>
        <v>0</v>
      </c>
      <c r="K1598" s="52">
        <f ca="1">SUMIFS(OUT!$F$2:$F$11000,OUT!$H$2:$H$11000,H1598,OUT!$D$2:$D$11000,"Out",OUT!$E$2:$E$11000,"Fix")</f>
        <v>0</v>
      </c>
      <c r="L1598" s="52">
        <f ca="1">SUMIFS(OUT!$F$2:$F$11000,OUT!$H$2:$H$11000,H1598,OUT!$D$2:$D$11000,"Out",OUT!$E$2:$E$11000,"Bathroom")</f>
        <v>0</v>
      </c>
      <c r="M1598" s="52">
        <f ca="1">SUMIFS(OUT!$F$2:$F$11000,OUT!$H$2:$H$11000,H1598,OUT!$D$2:$D$11000,"Out",OUT!$E$2:$E$11000,"Alfa")</f>
        <v>0</v>
      </c>
      <c r="N1598" s="52" t="e">
        <f>SUMIFS(OUT!$F$2:$F$11000,OUT!$H$2:$H$101007,H1598,OUT!$D$2:$D$11000,"Out",OUT!$E$2:$E$11000,"Jajan")</f>
        <v>#VALUE!</v>
      </c>
      <c r="O1598" s="52">
        <f ca="1">SUMIFS(OUT!$F$2:$F$11000,OUT!$H$2:$H$11000,H1598,OUT!$D$2:$D$11000,"Out",OUT!$E$2:$E$11000,"Kitchen")</f>
        <v>0</v>
      </c>
      <c r="P1598" s="52">
        <f ca="1">SUMIFS(OUT!$F$2:$F$11000,OUT!$H$2:$H$11000,H1598,OUT!$D$2:$D$11000,"Out",OUT!$E$2:$E$11000,"Loandry")</f>
        <v>0</v>
      </c>
      <c r="Q1598" s="52">
        <f ca="1">SUMIFS(OUT!$F$2:$F$11000,OUT!$H$2:$H$11000,H1598,OUT!$D$2:$D$11000,"Out",OUT!$E$2:$E$11000,"Mio")</f>
        <v>0</v>
      </c>
      <c r="R1598" s="52">
        <f ca="1">SUMIFS(OUT!$F$2:$F$11000,OUT!$H$2:$H$11000,H1598,OUT!$D$2:$D$11000,"Out",OUT!$E$2:$E$11000,"Sedekah")</f>
        <v>0</v>
      </c>
      <c r="S1598" s="52">
        <f ca="1">SUMIFS(OUT!$F$2:$F$11000,OUT!$H$2:$H$11000,H1598,OUT!$D$2:$D$11000,"Out",OUT!$E$2:$E$11000,"Zela")</f>
        <v>0</v>
      </c>
      <c r="T1598" s="52">
        <f ca="1">SUMIFS(OUT!$F$2:$F$11000,OUT!$H$2:$H$11000,H1598,OUT!$D$2:$D$11000,"Out",OUT!$E$2:$E$11000,"Iqbal")</f>
        <v>0</v>
      </c>
    </row>
    <row r="1599" spans="7:20" x14ac:dyDescent="0.2">
      <c r="G1599" s="50"/>
      <c r="H1599" s="51" t="str">
        <f t="shared" si="0"/>
        <v/>
      </c>
      <c r="I1599" s="52" t="e">
        <f>SUMIFS(OUT!$F$2:$F$11000,OUT!$H$2:$H$11000,H1599,OUT!$D$2:$D$101007,"In")</f>
        <v>#VALUE!</v>
      </c>
      <c r="J1599" s="52">
        <f ca="1">SUMIFS(OUT!$F$2:$F$11000,OUT!$H$2:$H$11000,H1599,OUT!$D$2:$D$11000,"Out")</f>
        <v>0</v>
      </c>
      <c r="K1599" s="52">
        <f ca="1">SUMIFS(OUT!$F$2:$F$11000,OUT!$H$2:$H$11000,H1599,OUT!$D$2:$D$11000,"Out",OUT!$E$2:$E$11000,"Fix")</f>
        <v>0</v>
      </c>
      <c r="L1599" s="52">
        <f ca="1">SUMIFS(OUT!$F$2:$F$11000,OUT!$H$2:$H$11000,H1599,OUT!$D$2:$D$11000,"Out",OUT!$E$2:$E$11000,"Bathroom")</f>
        <v>0</v>
      </c>
      <c r="M1599" s="52">
        <f ca="1">SUMIFS(OUT!$F$2:$F$11000,OUT!$H$2:$H$11000,H1599,OUT!$D$2:$D$11000,"Out",OUT!$E$2:$E$11000,"Alfa")</f>
        <v>0</v>
      </c>
      <c r="N1599" s="52" t="e">
        <f>SUMIFS(OUT!$F$2:$F$11000,OUT!$H$2:$H$101007,H1599,OUT!$D$2:$D$11000,"Out",OUT!$E$2:$E$11000,"Jajan")</f>
        <v>#VALUE!</v>
      </c>
      <c r="O1599" s="52">
        <f ca="1">SUMIFS(OUT!$F$2:$F$11000,OUT!$H$2:$H$11000,H1599,OUT!$D$2:$D$11000,"Out",OUT!$E$2:$E$11000,"Kitchen")</f>
        <v>0</v>
      </c>
      <c r="P1599" s="52">
        <f ca="1">SUMIFS(OUT!$F$2:$F$11000,OUT!$H$2:$H$11000,H1599,OUT!$D$2:$D$11000,"Out",OUT!$E$2:$E$11000,"Loandry")</f>
        <v>0</v>
      </c>
      <c r="Q1599" s="52">
        <f ca="1">SUMIFS(OUT!$F$2:$F$11000,OUT!$H$2:$H$11000,H1599,OUT!$D$2:$D$11000,"Out",OUT!$E$2:$E$11000,"Mio")</f>
        <v>0</v>
      </c>
      <c r="R1599" s="52">
        <f ca="1">SUMIFS(OUT!$F$2:$F$11000,OUT!$H$2:$H$11000,H1599,OUT!$D$2:$D$11000,"Out",OUT!$E$2:$E$11000,"Sedekah")</f>
        <v>0</v>
      </c>
      <c r="S1599" s="52">
        <f ca="1">SUMIFS(OUT!$F$2:$F$11000,OUT!$H$2:$H$11000,H1599,OUT!$D$2:$D$11000,"Out",OUT!$E$2:$E$11000,"Zela")</f>
        <v>0</v>
      </c>
      <c r="T1599" s="52">
        <f ca="1">SUMIFS(OUT!$F$2:$F$11000,OUT!$H$2:$H$11000,H1599,OUT!$D$2:$D$11000,"Out",OUT!$E$2:$E$11000,"Iqbal")</f>
        <v>0</v>
      </c>
    </row>
    <row r="1600" spans="7:20" x14ac:dyDescent="0.2">
      <c r="G1600" s="50"/>
      <c r="H1600" s="51" t="str">
        <f t="shared" si="0"/>
        <v/>
      </c>
      <c r="I1600" s="52" t="e">
        <f>SUMIFS(OUT!$F$2:$F$11000,OUT!$H$2:$H$11000,H1600,OUT!$D$2:$D$101007,"In")</f>
        <v>#VALUE!</v>
      </c>
      <c r="J1600" s="52">
        <f ca="1">SUMIFS(OUT!$F$2:$F$11000,OUT!$H$2:$H$11000,H1600,OUT!$D$2:$D$11000,"Out")</f>
        <v>0</v>
      </c>
      <c r="K1600" s="52">
        <f ca="1">SUMIFS(OUT!$F$2:$F$11000,OUT!$H$2:$H$11000,H1600,OUT!$D$2:$D$11000,"Out",OUT!$E$2:$E$11000,"Fix")</f>
        <v>0</v>
      </c>
      <c r="L1600" s="52">
        <f ca="1">SUMIFS(OUT!$F$2:$F$11000,OUT!$H$2:$H$11000,H1600,OUT!$D$2:$D$11000,"Out",OUT!$E$2:$E$11000,"Bathroom")</f>
        <v>0</v>
      </c>
      <c r="M1600" s="52">
        <f ca="1">SUMIFS(OUT!$F$2:$F$11000,OUT!$H$2:$H$11000,H1600,OUT!$D$2:$D$11000,"Out",OUT!$E$2:$E$11000,"Alfa")</f>
        <v>0</v>
      </c>
      <c r="N1600" s="52" t="e">
        <f>SUMIFS(OUT!$F$2:$F$11000,OUT!$H$2:$H$101007,H1600,OUT!$D$2:$D$11000,"Out",OUT!$E$2:$E$11000,"Jajan")</f>
        <v>#VALUE!</v>
      </c>
      <c r="O1600" s="52">
        <f ca="1">SUMIFS(OUT!$F$2:$F$11000,OUT!$H$2:$H$11000,H1600,OUT!$D$2:$D$11000,"Out",OUT!$E$2:$E$11000,"Kitchen")</f>
        <v>0</v>
      </c>
      <c r="P1600" s="52">
        <f ca="1">SUMIFS(OUT!$F$2:$F$11000,OUT!$H$2:$H$11000,H1600,OUT!$D$2:$D$11000,"Out",OUT!$E$2:$E$11000,"Loandry")</f>
        <v>0</v>
      </c>
      <c r="Q1600" s="52">
        <f ca="1">SUMIFS(OUT!$F$2:$F$11000,OUT!$H$2:$H$11000,H1600,OUT!$D$2:$D$11000,"Out",OUT!$E$2:$E$11000,"Mio")</f>
        <v>0</v>
      </c>
      <c r="R1600" s="52">
        <f ca="1">SUMIFS(OUT!$F$2:$F$11000,OUT!$H$2:$H$11000,H1600,OUT!$D$2:$D$11000,"Out",OUT!$E$2:$E$11000,"Sedekah")</f>
        <v>0</v>
      </c>
      <c r="S1600" s="52">
        <f ca="1">SUMIFS(OUT!$F$2:$F$11000,OUT!$H$2:$H$11000,H1600,OUT!$D$2:$D$11000,"Out",OUT!$E$2:$E$11000,"Zela")</f>
        <v>0</v>
      </c>
      <c r="T1600" s="52">
        <f ca="1">SUMIFS(OUT!$F$2:$F$11000,OUT!$H$2:$H$11000,H1600,OUT!$D$2:$D$11000,"Out",OUT!$E$2:$E$11000,"Iqbal")</f>
        <v>0</v>
      </c>
    </row>
    <row r="1601" spans="7:20" x14ac:dyDescent="0.2">
      <c r="G1601" s="50"/>
      <c r="H1601" s="51" t="str">
        <f t="shared" si="0"/>
        <v/>
      </c>
      <c r="I1601" s="52" t="e">
        <f>SUMIFS(OUT!$F$2:$F$11000,OUT!$H$2:$H$11000,H1601,OUT!$D$2:$D$101007,"In")</f>
        <v>#VALUE!</v>
      </c>
      <c r="J1601" s="52">
        <f ca="1">SUMIFS(OUT!$F$2:$F$11000,OUT!$H$2:$H$11000,H1601,OUT!$D$2:$D$11000,"Out")</f>
        <v>0</v>
      </c>
      <c r="K1601" s="52">
        <f ca="1">SUMIFS(OUT!$F$2:$F$11000,OUT!$H$2:$H$11000,H1601,OUT!$D$2:$D$11000,"Out",OUT!$E$2:$E$11000,"Fix")</f>
        <v>0</v>
      </c>
      <c r="L1601" s="52">
        <f ca="1">SUMIFS(OUT!$F$2:$F$11000,OUT!$H$2:$H$11000,H1601,OUT!$D$2:$D$11000,"Out",OUT!$E$2:$E$11000,"Bathroom")</f>
        <v>0</v>
      </c>
      <c r="M1601" s="52">
        <f ca="1">SUMIFS(OUT!$F$2:$F$11000,OUT!$H$2:$H$11000,H1601,OUT!$D$2:$D$11000,"Out",OUT!$E$2:$E$11000,"Alfa")</f>
        <v>0</v>
      </c>
      <c r="N1601" s="52" t="e">
        <f>SUMIFS(OUT!$F$2:$F$11000,OUT!$H$2:$H$101007,H1601,OUT!$D$2:$D$11000,"Out",OUT!$E$2:$E$11000,"Jajan")</f>
        <v>#VALUE!</v>
      </c>
      <c r="O1601" s="52">
        <f ca="1">SUMIFS(OUT!$F$2:$F$11000,OUT!$H$2:$H$11000,H1601,OUT!$D$2:$D$11000,"Out",OUT!$E$2:$E$11000,"Kitchen")</f>
        <v>0</v>
      </c>
      <c r="P1601" s="52">
        <f ca="1">SUMIFS(OUT!$F$2:$F$11000,OUT!$H$2:$H$11000,H1601,OUT!$D$2:$D$11000,"Out",OUT!$E$2:$E$11000,"Loandry")</f>
        <v>0</v>
      </c>
      <c r="Q1601" s="52">
        <f ca="1">SUMIFS(OUT!$F$2:$F$11000,OUT!$H$2:$H$11000,H1601,OUT!$D$2:$D$11000,"Out",OUT!$E$2:$E$11000,"Mio")</f>
        <v>0</v>
      </c>
      <c r="R1601" s="52">
        <f ca="1">SUMIFS(OUT!$F$2:$F$11000,OUT!$H$2:$H$11000,H1601,OUT!$D$2:$D$11000,"Out",OUT!$E$2:$E$11000,"Sedekah")</f>
        <v>0</v>
      </c>
      <c r="S1601" s="52">
        <f ca="1">SUMIFS(OUT!$F$2:$F$11000,OUT!$H$2:$H$11000,H1601,OUT!$D$2:$D$11000,"Out",OUT!$E$2:$E$11000,"Zela")</f>
        <v>0</v>
      </c>
      <c r="T1601" s="52">
        <f ca="1">SUMIFS(OUT!$F$2:$F$11000,OUT!$H$2:$H$11000,H1601,OUT!$D$2:$D$11000,"Out",OUT!$E$2:$E$11000,"Iqbal")</f>
        <v>0</v>
      </c>
    </row>
    <row r="1602" spans="7:20" x14ac:dyDescent="0.2">
      <c r="G1602" s="50"/>
      <c r="H1602" s="51" t="str">
        <f t="shared" si="0"/>
        <v/>
      </c>
      <c r="I1602" s="52" t="e">
        <f>SUMIFS(OUT!$F$2:$F$11000,OUT!$H$2:$H$11000,H1602,OUT!$D$2:$D$101007,"In")</f>
        <v>#VALUE!</v>
      </c>
      <c r="J1602" s="52">
        <f ca="1">SUMIFS(OUT!$F$2:$F$11000,OUT!$H$2:$H$11000,H1602,OUT!$D$2:$D$11000,"Out")</f>
        <v>0</v>
      </c>
      <c r="K1602" s="52">
        <f ca="1">SUMIFS(OUT!$F$2:$F$11000,OUT!$H$2:$H$11000,H1602,OUT!$D$2:$D$11000,"Out",OUT!$E$2:$E$11000,"Fix")</f>
        <v>0</v>
      </c>
      <c r="L1602" s="52">
        <f ca="1">SUMIFS(OUT!$F$2:$F$11000,OUT!$H$2:$H$11000,H1602,OUT!$D$2:$D$11000,"Out",OUT!$E$2:$E$11000,"Bathroom")</f>
        <v>0</v>
      </c>
      <c r="M1602" s="52">
        <f ca="1">SUMIFS(OUT!$F$2:$F$11000,OUT!$H$2:$H$11000,H1602,OUT!$D$2:$D$11000,"Out",OUT!$E$2:$E$11000,"Alfa")</f>
        <v>0</v>
      </c>
      <c r="N1602" s="52" t="e">
        <f>SUMIFS(OUT!$F$2:$F$11000,OUT!$H$2:$H$101007,H1602,OUT!$D$2:$D$11000,"Out",OUT!$E$2:$E$11000,"Jajan")</f>
        <v>#VALUE!</v>
      </c>
      <c r="O1602" s="52">
        <f ca="1">SUMIFS(OUT!$F$2:$F$11000,OUT!$H$2:$H$11000,H1602,OUT!$D$2:$D$11000,"Out",OUT!$E$2:$E$11000,"Kitchen")</f>
        <v>0</v>
      </c>
      <c r="P1602" s="52">
        <f ca="1">SUMIFS(OUT!$F$2:$F$11000,OUT!$H$2:$H$11000,H1602,OUT!$D$2:$D$11000,"Out",OUT!$E$2:$E$11000,"Loandry")</f>
        <v>0</v>
      </c>
      <c r="Q1602" s="52">
        <f ca="1">SUMIFS(OUT!$F$2:$F$11000,OUT!$H$2:$H$11000,H1602,OUT!$D$2:$D$11000,"Out",OUT!$E$2:$E$11000,"Mio")</f>
        <v>0</v>
      </c>
      <c r="R1602" s="52">
        <f ca="1">SUMIFS(OUT!$F$2:$F$11000,OUT!$H$2:$H$11000,H1602,OUT!$D$2:$D$11000,"Out",OUT!$E$2:$E$11000,"Sedekah")</f>
        <v>0</v>
      </c>
      <c r="S1602" s="52">
        <f ca="1">SUMIFS(OUT!$F$2:$F$11000,OUT!$H$2:$H$11000,H1602,OUT!$D$2:$D$11000,"Out",OUT!$E$2:$E$11000,"Zela")</f>
        <v>0</v>
      </c>
      <c r="T1602" s="52">
        <f ca="1">SUMIFS(OUT!$F$2:$F$11000,OUT!$H$2:$H$11000,H1602,OUT!$D$2:$D$11000,"Out",OUT!$E$2:$E$11000,"Iqbal")</f>
        <v>0</v>
      </c>
    </row>
    <row r="1603" spans="7:20" x14ac:dyDescent="0.2">
      <c r="G1603" s="50"/>
      <c r="H1603" s="51" t="str">
        <f t="shared" si="0"/>
        <v/>
      </c>
      <c r="I1603" s="52" t="e">
        <f>SUMIFS(OUT!$F$2:$F$11000,OUT!$H$2:$H$11000,H1603,OUT!$D$2:$D$101007,"In")</f>
        <v>#VALUE!</v>
      </c>
      <c r="J1603" s="52">
        <f ca="1">SUMIFS(OUT!$F$2:$F$11000,OUT!$H$2:$H$11000,H1603,OUT!$D$2:$D$11000,"Out")</f>
        <v>0</v>
      </c>
      <c r="K1603" s="52">
        <f ca="1">SUMIFS(OUT!$F$2:$F$11000,OUT!$H$2:$H$11000,H1603,OUT!$D$2:$D$11000,"Out",OUT!$E$2:$E$11000,"Fix")</f>
        <v>0</v>
      </c>
      <c r="L1603" s="52">
        <f ca="1">SUMIFS(OUT!$F$2:$F$11000,OUT!$H$2:$H$11000,H1603,OUT!$D$2:$D$11000,"Out",OUT!$E$2:$E$11000,"Bathroom")</f>
        <v>0</v>
      </c>
      <c r="M1603" s="52">
        <f ca="1">SUMIFS(OUT!$F$2:$F$11000,OUT!$H$2:$H$11000,H1603,OUT!$D$2:$D$11000,"Out",OUT!$E$2:$E$11000,"Alfa")</f>
        <v>0</v>
      </c>
      <c r="N1603" s="52" t="e">
        <f>SUMIFS(OUT!$F$2:$F$11000,OUT!$H$2:$H$101007,H1603,OUT!$D$2:$D$11000,"Out",OUT!$E$2:$E$11000,"Jajan")</f>
        <v>#VALUE!</v>
      </c>
      <c r="O1603" s="52">
        <f ca="1">SUMIFS(OUT!$F$2:$F$11000,OUT!$H$2:$H$11000,H1603,OUT!$D$2:$D$11000,"Out",OUT!$E$2:$E$11000,"Kitchen")</f>
        <v>0</v>
      </c>
      <c r="P1603" s="52">
        <f ca="1">SUMIFS(OUT!$F$2:$F$11000,OUT!$H$2:$H$11000,H1603,OUT!$D$2:$D$11000,"Out",OUT!$E$2:$E$11000,"Loandry")</f>
        <v>0</v>
      </c>
      <c r="Q1603" s="52">
        <f ca="1">SUMIFS(OUT!$F$2:$F$11000,OUT!$H$2:$H$11000,H1603,OUT!$D$2:$D$11000,"Out",OUT!$E$2:$E$11000,"Mio")</f>
        <v>0</v>
      </c>
      <c r="R1603" s="52">
        <f ca="1">SUMIFS(OUT!$F$2:$F$11000,OUT!$H$2:$H$11000,H1603,OUT!$D$2:$D$11000,"Out",OUT!$E$2:$E$11000,"Sedekah")</f>
        <v>0</v>
      </c>
      <c r="S1603" s="52">
        <f ca="1">SUMIFS(OUT!$F$2:$F$11000,OUT!$H$2:$H$11000,H1603,OUT!$D$2:$D$11000,"Out",OUT!$E$2:$E$11000,"Zela")</f>
        <v>0</v>
      </c>
      <c r="T1603" s="52">
        <f ca="1">SUMIFS(OUT!$F$2:$F$11000,OUT!$H$2:$H$11000,H1603,OUT!$D$2:$D$11000,"Out",OUT!$E$2:$E$11000,"Iqbal")</f>
        <v>0</v>
      </c>
    </row>
    <row r="1604" spans="7:20" x14ac:dyDescent="0.2">
      <c r="G1604" s="50"/>
      <c r="H1604" s="51" t="str">
        <f t="shared" si="0"/>
        <v/>
      </c>
      <c r="I1604" s="52" t="e">
        <f>SUMIFS(OUT!$F$2:$F$11000,OUT!$H$2:$H$11000,H1604,OUT!$D$2:$D$101007,"In")</f>
        <v>#VALUE!</v>
      </c>
      <c r="J1604" s="52">
        <f ca="1">SUMIFS(OUT!$F$2:$F$11000,OUT!$H$2:$H$11000,H1604,OUT!$D$2:$D$11000,"Out")</f>
        <v>0</v>
      </c>
      <c r="K1604" s="52">
        <f ca="1">SUMIFS(OUT!$F$2:$F$11000,OUT!$H$2:$H$11000,H1604,OUT!$D$2:$D$11000,"Out",OUT!$E$2:$E$11000,"Fix")</f>
        <v>0</v>
      </c>
      <c r="L1604" s="52">
        <f ca="1">SUMIFS(OUT!$F$2:$F$11000,OUT!$H$2:$H$11000,H1604,OUT!$D$2:$D$11000,"Out",OUT!$E$2:$E$11000,"Bathroom")</f>
        <v>0</v>
      </c>
      <c r="M1604" s="52">
        <f ca="1">SUMIFS(OUT!$F$2:$F$11000,OUT!$H$2:$H$11000,H1604,OUT!$D$2:$D$11000,"Out",OUT!$E$2:$E$11000,"Alfa")</f>
        <v>0</v>
      </c>
      <c r="N1604" s="52" t="e">
        <f>SUMIFS(OUT!$F$2:$F$11000,OUT!$H$2:$H$101007,H1604,OUT!$D$2:$D$11000,"Out",OUT!$E$2:$E$11000,"Jajan")</f>
        <v>#VALUE!</v>
      </c>
      <c r="O1604" s="52">
        <f ca="1">SUMIFS(OUT!$F$2:$F$11000,OUT!$H$2:$H$11000,H1604,OUT!$D$2:$D$11000,"Out",OUT!$E$2:$E$11000,"Kitchen")</f>
        <v>0</v>
      </c>
      <c r="P1604" s="52">
        <f ca="1">SUMIFS(OUT!$F$2:$F$11000,OUT!$H$2:$H$11000,H1604,OUT!$D$2:$D$11000,"Out",OUT!$E$2:$E$11000,"Loandry")</f>
        <v>0</v>
      </c>
      <c r="Q1604" s="52">
        <f ca="1">SUMIFS(OUT!$F$2:$F$11000,OUT!$H$2:$H$11000,H1604,OUT!$D$2:$D$11000,"Out",OUT!$E$2:$E$11000,"Mio")</f>
        <v>0</v>
      </c>
      <c r="R1604" s="52">
        <f ca="1">SUMIFS(OUT!$F$2:$F$11000,OUT!$H$2:$H$11000,H1604,OUT!$D$2:$D$11000,"Out",OUT!$E$2:$E$11000,"Sedekah")</f>
        <v>0</v>
      </c>
      <c r="S1604" s="52">
        <f ca="1">SUMIFS(OUT!$F$2:$F$11000,OUT!$H$2:$H$11000,H1604,OUT!$D$2:$D$11000,"Out",OUT!$E$2:$E$11000,"Zela")</f>
        <v>0</v>
      </c>
      <c r="T1604" s="52">
        <f ca="1">SUMIFS(OUT!$F$2:$F$11000,OUT!$H$2:$H$11000,H1604,OUT!$D$2:$D$11000,"Out",OUT!$E$2:$E$11000,"Iqbal")</f>
        <v>0</v>
      </c>
    </row>
    <row r="1605" spans="7:20" x14ac:dyDescent="0.2">
      <c r="G1605" s="50"/>
      <c r="H1605" s="51" t="str">
        <f t="shared" si="0"/>
        <v/>
      </c>
      <c r="I1605" s="52" t="e">
        <f>SUMIFS(OUT!$F$2:$F$11000,OUT!$H$2:$H$11000,H1605,OUT!$D$2:$D$101007,"In")</f>
        <v>#VALUE!</v>
      </c>
      <c r="J1605" s="52">
        <f ca="1">SUMIFS(OUT!$F$2:$F$11000,OUT!$H$2:$H$11000,H1605,OUT!$D$2:$D$11000,"Out")</f>
        <v>0</v>
      </c>
      <c r="K1605" s="52">
        <f ca="1">SUMIFS(OUT!$F$2:$F$11000,OUT!$H$2:$H$11000,H1605,OUT!$D$2:$D$11000,"Out",OUT!$E$2:$E$11000,"Fix")</f>
        <v>0</v>
      </c>
      <c r="L1605" s="52">
        <f ca="1">SUMIFS(OUT!$F$2:$F$11000,OUT!$H$2:$H$11000,H1605,OUT!$D$2:$D$11000,"Out",OUT!$E$2:$E$11000,"Bathroom")</f>
        <v>0</v>
      </c>
      <c r="M1605" s="52">
        <f ca="1">SUMIFS(OUT!$F$2:$F$11000,OUT!$H$2:$H$11000,H1605,OUT!$D$2:$D$11000,"Out",OUT!$E$2:$E$11000,"Alfa")</f>
        <v>0</v>
      </c>
      <c r="N1605" s="52" t="e">
        <f>SUMIFS(OUT!$F$2:$F$11000,OUT!$H$2:$H$101007,H1605,OUT!$D$2:$D$11000,"Out",OUT!$E$2:$E$11000,"Jajan")</f>
        <v>#VALUE!</v>
      </c>
      <c r="O1605" s="52">
        <f ca="1">SUMIFS(OUT!$F$2:$F$11000,OUT!$H$2:$H$11000,H1605,OUT!$D$2:$D$11000,"Out",OUT!$E$2:$E$11000,"Kitchen")</f>
        <v>0</v>
      </c>
      <c r="P1605" s="52">
        <f ca="1">SUMIFS(OUT!$F$2:$F$11000,OUT!$H$2:$H$11000,H1605,OUT!$D$2:$D$11000,"Out",OUT!$E$2:$E$11000,"Loandry")</f>
        <v>0</v>
      </c>
      <c r="Q1605" s="52">
        <f ca="1">SUMIFS(OUT!$F$2:$F$11000,OUT!$H$2:$H$11000,H1605,OUT!$D$2:$D$11000,"Out",OUT!$E$2:$E$11000,"Mio")</f>
        <v>0</v>
      </c>
      <c r="R1605" s="52">
        <f ca="1">SUMIFS(OUT!$F$2:$F$11000,OUT!$H$2:$H$11000,H1605,OUT!$D$2:$D$11000,"Out",OUT!$E$2:$E$11000,"Sedekah")</f>
        <v>0</v>
      </c>
      <c r="S1605" s="52">
        <f ca="1">SUMIFS(OUT!$F$2:$F$11000,OUT!$H$2:$H$11000,H1605,OUT!$D$2:$D$11000,"Out",OUT!$E$2:$E$11000,"Zela")</f>
        <v>0</v>
      </c>
      <c r="T1605" s="52">
        <f ca="1">SUMIFS(OUT!$F$2:$F$11000,OUT!$H$2:$H$11000,H1605,OUT!$D$2:$D$11000,"Out",OUT!$E$2:$E$11000,"Iqbal")</f>
        <v>0</v>
      </c>
    </row>
    <row r="1606" spans="7:20" x14ac:dyDescent="0.2">
      <c r="G1606" s="50"/>
      <c r="H1606" s="51" t="str">
        <f t="shared" si="0"/>
        <v/>
      </c>
      <c r="I1606" s="52" t="e">
        <f>SUMIFS(OUT!$F$2:$F$11000,OUT!$H$2:$H$11000,H1606,OUT!$D$2:$D$101007,"In")</f>
        <v>#VALUE!</v>
      </c>
      <c r="J1606" s="52">
        <f ca="1">SUMIFS(OUT!$F$2:$F$11000,OUT!$H$2:$H$11000,H1606,OUT!$D$2:$D$11000,"Out")</f>
        <v>0</v>
      </c>
      <c r="K1606" s="52">
        <f ca="1">SUMIFS(OUT!$F$2:$F$11000,OUT!$H$2:$H$11000,H1606,OUT!$D$2:$D$11000,"Out",OUT!$E$2:$E$11000,"Fix")</f>
        <v>0</v>
      </c>
      <c r="L1606" s="52">
        <f ca="1">SUMIFS(OUT!$F$2:$F$11000,OUT!$H$2:$H$11000,H1606,OUT!$D$2:$D$11000,"Out",OUT!$E$2:$E$11000,"Bathroom")</f>
        <v>0</v>
      </c>
      <c r="M1606" s="52">
        <f ca="1">SUMIFS(OUT!$F$2:$F$11000,OUT!$H$2:$H$11000,H1606,OUT!$D$2:$D$11000,"Out",OUT!$E$2:$E$11000,"Alfa")</f>
        <v>0</v>
      </c>
      <c r="N1606" s="52" t="e">
        <f>SUMIFS(OUT!$F$2:$F$11000,OUT!$H$2:$H$101007,H1606,OUT!$D$2:$D$11000,"Out",OUT!$E$2:$E$11000,"Jajan")</f>
        <v>#VALUE!</v>
      </c>
      <c r="O1606" s="52">
        <f ca="1">SUMIFS(OUT!$F$2:$F$11000,OUT!$H$2:$H$11000,H1606,OUT!$D$2:$D$11000,"Out",OUT!$E$2:$E$11000,"Kitchen")</f>
        <v>0</v>
      </c>
      <c r="P1606" s="52">
        <f ca="1">SUMIFS(OUT!$F$2:$F$11000,OUT!$H$2:$H$11000,H1606,OUT!$D$2:$D$11000,"Out",OUT!$E$2:$E$11000,"Loandry")</f>
        <v>0</v>
      </c>
      <c r="Q1606" s="52">
        <f ca="1">SUMIFS(OUT!$F$2:$F$11000,OUT!$H$2:$H$11000,H1606,OUT!$D$2:$D$11000,"Out",OUT!$E$2:$E$11000,"Mio")</f>
        <v>0</v>
      </c>
      <c r="R1606" s="52">
        <f ca="1">SUMIFS(OUT!$F$2:$F$11000,OUT!$H$2:$H$11000,H1606,OUT!$D$2:$D$11000,"Out",OUT!$E$2:$E$11000,"Sedekah")</f>
        <v>0</v>
      </c>
      <c r="S1606" s="52">
        <f ca="1">SUMIFS(OUT!$F$2:$F$11000,OUT!$H$2:$H$11000,H1606,OUT!$D$2:$D$11000,"Out",OUT!$E$2:$E$11000,"Zela")</f>
        <v>0</v>
      </c>
      <c r="T1606" s="52">
        <f ca="1">SUMIFS(OUT!$F$2:$F$11000,OUT!$H$2:$H$11000,H1606,OUT!$D$2:$D$11000,"Out",OUT!$E$2:$E$11000,"Iqbal")</f>
        <v>0</v>
      </c>
    </row>
    <row r="1607" spans="7:20" x14ac:dyDescent="0.2">
      <c r="G1607" s="50"/>
      <c r="H1607" s="51" t="str">
        <f t="shared" si="0"/>
        <v/>
      </c>
      <c r="I1607" s="52" t="e">
        <f>SUMIFS(OUT!$F$2:$F$11000,OUT!$H$2:$H$11000,H1607,OUT!$D$2:$D$101007,"In")</f>
        <v>#VALUE!</v>
      </c>
      <c r="J1607" s="52">
        <f ca="1">SUMIFS(OUT!$F$2:$F$11000,OUT!$H$2:$H$11000,H1607,OUT!$D$2:$D$11000,"Out")</f>
        <v>0</v>
      </c>
      <c r="K1607" s="52">
        <f ca="1">SUMIFS(OUT!$F$2:$F$11000,OUT!$H$2:$H$11000,H1607,OUT!$D$2:$D$11000,"Out",OUT!$E$2:$E$11000,"Fix")</f>
        <v>0</v>
      </c>
      <c r="L1607" s="52">
        <f ca="1">SUMIFS(OUT!$F$2:$F$11000,OUT!$H$2:$H$11000,H1607,OUT!$D$2:$D$11000,"Out",OUT!$E$2:$E$11000,"Bathroom")</f>
        <v>0</v>
      </c>
      <c r="M1607" s="52">
        <f ca="1">SUMIFS(OUT!$F$2:$F$11000,OUT!$H$2:$H$11000,H1607,OUT!$D$2:$D$11000,"Out",OUT!$E$2:$E$11000,"Alfa")</f>
        <v>0</v>
      </c>
      <c r="N1607" s="52" t="e">
        <f>SUMIFS(OUT!$F$2:$F$11000,OUT!$H$2:$H$101007,H1607,OUT!$D$2:$D$11000,"Out",OUT!$E$2:$E$11000,"Jajan")</f>
        <v>#VALUE!</v>
      </c>
      <c r="O1607" s="52">
        <f ca="1">SUMIFS(OUT!$F$2:$F$11000,OUT!$H$2:$H$11000,H1607,OUT!$D$2:$D$11000,"Out",OUT!$E$2:$E$11000,"Kitchen")</f>
        <v>0</v>
      </c>
      <c r="P1607" s="52">
        <f ca="1">SUMIFS(OUT!$F$2:$F$11000,OUT!$H$2:$H$11000,H1607,OUT!$D$2:$D$11000,"Out",OUT!$E$2:$E$11000,"Loandry")</f>
        <v>0</v>
      </c>
      <c r="Q1607" s="52">
        <f ca="1">SUMIFS(OUT!$F$2:$F$11000,OUT!$H$2:$H$11000,H1607,OUT!$D$2:$D$11000,"Out",OUT!$E$2:$E$11000,"Mio")</f>
        <v>0</v>
      </c>
      <c r="R1607" s="52">
        <f ca="1">SUMIFS(OUT!$F$2:$F$11000,OUT!$H$2:$H$11000,H1607,OUT!$D$2:$D$11000,"Out",OUT!$E$2:$E$11000,"Sedekah")</f>
        <v>0</v>
      </c>
      <c r="S1607" s="52">
        <f ca="1">SUMIFS(OUT!$F$2:$F$11000,OUT!$H$2:$H$11000,H1607,OUT!$D$2:$D$11000,"Out",OUT!$E$2:$E$11000,"Zela")</f>
        <v>0</v>
      </c>
      <c r="T1607" s="52">
        <f ca="1">SUMIFS(OUT!$F$2:$F$11000,OUT!$H$2:$H$11000,H1607,OUT!$D$2:$D$11000,"Out",OUT!$E$2:$E$11000,"Iqbal")</f>
        <v>0</v>
      </c>
    </row>
    <row r="1608" spans="7:20" x14ac:dyDescent="0.2">
      <c r="G1608" s="50"/>
      <c r="H1608" s="51" t="str">
        <f t="shared" si="0"/>
        <v/>
      </c>
      <c r="I1608" s="52" t="e">
        <f>SUMIFS(OUT!$F$2:$F$11000,OUT!$H$2:$H$11000,H1608,OUT!$D$2:$D$101007,"In")</f>
        <v>#VALUE!</v>
      </c>
      <c r="J1608" s="52">
        <f ca="1">SUMIFS(OUT!$F$2:$F$11000,OUT!$H$2:$H$11000,H1608,OUT!$D$2:$D$11000,"Out")</f>
        <v>0</v>
      </c>
      <c r="K1608" s="52">
        <f ca="1">SUMIFS(OUT!$F$2:$F$11000,OUT!$H$2:$H$11000,H1608,OUT!$D$2:$D$11000,"Out",OUT!$E$2:$E$11000,"Fix")</f>
        <v>0</v>
      </c>
      <c r="L1608" s="52">
        <f ca="1">SUMIFS(OUT!$F$2:$F$11000,OUT!$H$2:$H$11000,H1608,OUT!$D$2:$D$11000,"Out",OUT!$E$2:$E$11000,"Bathroom")</f>
        <v>0</v>
      </c>
      <c r="M1608" s="52">
        <f ca="1">SUMIFS(OUT!$F$2:$F$11000,OUT!$H$2:$H$11000,H1608,OUT!$D$2:$D$11000,"Out",OUT!$E$2:$E$11000,"Alfa")</f>
        <v>0</v>
      </c>
      <c r="N1608" s="52" t="e">
        <f>SUMIFS(OUT!$F$2:$F$11000,OUT!$H$2:$H$101007,H1608,OUT!$D$2:$D$11000,"Out",OUT!$E$2:$E$11000,"Jajan")</f>
        <v>#VALUE!</v>
      </c>
      <c r="O1608" s="52">
        <f ca="1">SUMIFS(OUT!$F$2:$F$11000,OUT!$H$2:$H$11000,H1608,OUT!$D$2:$D$11000,"Out",OUT!$E$2:$E$11000,"Kitchen")</f>
        <v>0</v>
      </c>
      <c r="P1608" s="52">
        <f ca="1">SUMIFS(OUT!$F$2:$F$11000,OUT!$H$2:$H$11000,H1608,OUT!$D$2:$D$11000,"Out",OUT!$E$2:$E$11000,"Loandry")</f>
        <v>0</v>
      </c>
      <c r="Q1608" s="52">
        <f ca="1">SUMIFS(OUT!$F$2:$F$11000,OUT!$H$2:$H$11000,H1608,OUT!$D$2:$D$11000,"Out",OUT!$E$2:$E$11000,"Mio")</f>
        <v>0</v>
      </c>
      <c r="R1608" s="52">
        <f ca="1">SUMIFS(OUT!$F$2:$F$11000,OUT!$H$2:$H$11000,H1608,OUT!$D$2:$D$11000,"Out",OUT!$E$2:$E$11000,"Sedekah")</f>
        <v>0</v>
      </c>
      <c r="S1608" s="52">
        <f ca="1">SUMIFS(OUT!$F$2:$F$11000,OUT!$H$2:$H$11000,H1608,OUT!$D$2:$D$11000,"Out",OUT!$E$2:$E$11000,"Zela")</f>
        <v>0</v>
      </c>
      <c r="T1608" s="52">
        <f ca="1">SUMIFS(OUT!$F$2:$F$11000,OUT!$H$2:$H$11000,H1608,OUT!$D$2:$D$11000,"Out",OUT!$E$2:$E$11000,"Iqbal")</f>
        <v>0</v>
      </c>
    </row>
    <row r="1609" spans="7:20" x14ac:dyDescent="0.2">
      <c r="G1609" s="50"/>
      <c r="H1609" s="51" t="str">
        <f t="shared" si="0"/>
        <v/>
      </c>
      <c r="I1609" s="52" t="e">
        <f>SUMIFS(OUT!$F$2:$F$11000,OUT!$H$2:$H$11000,H1609,OUT!$D$2:$D$101007,"In")</f>
        <v>#VALUE!</v>
      </c>
      <c r="J1609" s="52">
        <f ca="1">SUMIFS(OUT!$F$2:$F$11000,OUT!$H$2:$H$11000,H1609,OUT!$D$2:$D$11000,"Out")</f>
        <v>0</v>
      </c>
      <c r="K1609" s="52">
        <f ca="1">SUMIFS(OUT!$F$2:$F$11000,OUT!$H$2:$H$11000,H1609,OUT!$D$2:$D$11000,"Out",OUT!$E$2:$E$11000,"Fix")</f>
        <v>0</v>
      </c>
      <c r="L1609" s="52">
        <f ca="1">SUMIFS(OUT!$F$2:$F$11000,OUT!$H$2:$H$11000,H1609,OUT!$D$2:$D$11000,"Out",OUT!$E$2:$E$11000,"Bathroom")</f>
        <v>0</v>
      </c>
      <c r="M1609" s="52">
        <f ca="1">SUMIFS(OUT!$F$2:$F$11000,OUT!$H$2:$H$11000,H1609,OUT!$D$2:$D$11000,"Out",OUT!$E$2:$E$11000,"Alfa")</f>
        <v>0</v>
      </c>
      <c r="N1609" s="52" t="e">
        <f>SUMIFS(OUT!$F$2:$F$11000,OUT!$H$2:$H$101007,H1609,OUT!$D$2:$D$11000,"Out",OUT!$E$2:$E$11000,"Jajan")</f>
        <v>#VALUE!</v>
      </c>
      <c r="O1609" s="52">
        <f ca="1">SUMIFS(OUT!$F$2:$F$11000,OUT!$H$2:$H$11000,H1609,OUT!$D$2:$D$11000,"Out",OUT!$E$2:$E$11000,"Kitchen")</f>
        <v>0</v>
      </c>
      <c r="P1609" s="52">
        <f ca="1">SUMIFS(OUT!$F$2:$F$11000,OUT!$H$2:$H$11000,H1609,OUT!$D$2:$D$11000,"Out",OUT!$E$2:$E$11000,"Loandry")</f>
        <v>0</v>
      </c>
      <c r="Q1609" s="52">
        <f ca="1">SUMIFS(OUT!$F$2:$F$11000,OUT!$H$2:$H$11000,H1609,OUT!$D$2:$D$11000,"Out",OUT!$E$2:$E$11000,"Mio")</f>
        <v>0</v>
      </c>
      <c r="R1609" s="52">
        <f ca="1">SUMIFS(OUT!$F$2:$F$11000,OUT!$H$2:$H$11000,H1609,OUT!$D$2:$D$11000,"Out",OUT!$E$2:$E$11000,"Sedekah")</f>
        <v>0</v>
      </c>
      <c r="S1609" s="52">
        <f ca="1">SUMIFS(OUT!$F$2:$F$11000,OUT!$H$2:$H$11000,H1609,OUT!$D$2:$D$11000,"Out",OUT!$E$2:$E$11000,"Zela")</f>
        <v>0</v>
      </c>
      <c r="T1609" s="52">
        <f ca="1">SUMIFS(OUT!$F$2:$F$11000,OUT!$H$2:$H$11000,H1609,OUT!$D$2:$D$11000,"Out",OUT!$E$2:$E$11000,"Iqbal")</f>
        <v>0</v>
      </c>
    </row>
    <row r="1610" spans="7:20" x14ac:dyDescent="0.2">
      <c r="G1610" s="50"/>
      <c r="H1610" s="51" t="str">
        <f t="shared" si="0"/>
        <v/>
      </c>
      <c r="I1610" s="52" t="e">
        <f>SUMIFS(OUT!$F$2:$F$11000,OUT!$H$2:$H$11000,H1610,OUT!$D$2:$D$101007,"In")</f>
        <v>#VALUE!</v>
      </c>
      <c r="J1610" s="52">
        <f ca="1">SUMIFS(OUT!$F$2:$F$11000,OUT!$H$2:$H$11000,H1610,OUT!$D$2:$D$11000,"Out")</f>
        <v>0</v>
      </c>
      <c r="K1610" s="52">
        <f ca="1">SUMIFS(OUT!$F$2:$F$11000,OUT!$H$2:$H$11000,H1610,OUT!$D$2:$D$11000,"Out",OUT!$E$2:$E$11000,"Fix")</f>
        <v>0</v>
      </c>
      <c r="L1610" s="52">
        <f ca="1">SUMIFS(OUT!$F$2:$F$11000,OUT!$H$2:$H$11000,H1610,OUT!$D$2:$D$11000,"Out",OUT!$E$2:$E$11000,"Bathroom")</f>
        <v>0</v>
      </c>
      <c r="M1610" s="52">
        <f ca="1">SUMIFS(OUT!$F$2:$F$11000,OUT!$H$2:$H$11000,H1610,OUT!$D$2:$D$11000,"Out",OUT!$E$2:$E$11000,"Alfa")</f>
        <v>0</v>
      </c>
      <c r="N1610" s="52" t="e">
        <f>SUMIFS(OUT!$F$2:$F$11000,OUT!$H$2:$H$101007,H1610,OUT!$D$2:$D$11000,"Out",OUT!$E$2:$E$11000,"Jajan")</f>
        <v>#VALUE!</v>
      </c>
      <c r="O1610" s="52">
        <f ca="1">SUMIFS(OUT!$F$2:$F$11000,OUT!$H$2:$H$11000,H1610,OUT!$D$2:$D$11000,"Out",OUT!$E$2:$E$11000,"Kitchen")</f>
        <v>0</v>
      </c>
      <c r="P1610" s="52">
        <f ca="1">SUMIFS(OUT!$F$2:$F$11000,OUT!$H$2:$H$11000,H1610,OUT!$D$2:$D$11000,"Out",OUT!$E$2:$E$11000,"Loandry")</f>
        <v>0</v>
      </c>
      <c r="Q1610" s="52">
        <f ca="1">SUMIFS(OUT!$F$2:$F$11000,OUT!$H$2:$H$11000,H1610,OUT!$D$2:$D$11000,"Out",OUT!$E$2:$E$11000,"Mio")</f>
        <v>0</v>
      </c>
      <c r="R1610" s="52">
        <f ca="1">SUMIFS(OUT!$F$2:$F$11000,OUT!$H$2:$H$11000,H1610,OUT!$D$2:$D$11000,"Out",OUT!$E$2:$E$11000,"Sedekah")</f>
        <v>0</v>
      </c>
      <c r="S1610" s="52">
        <f ca="1">SUMIFS(OUT!$F$2:$F$11000,OUT!$H$2:$H$11000,H1610,OUT!$D$2:$D$11000,"Out",OUT!$E$2:$E$11000,"Zela")</f>
        <v>0</v>
      </c>
      <c r="T1610" s="52">
        <f ca="1">SUMIFS(OUT!$F$2:$F$11000,OUT!$H$2:$H$11000,H1610,OUT!$D$2:$D$11000,"Out",OUT!$E$2:$E$11000,"Iqbal")</f>
        <v>0</v>
      </c>
    </row>
    <row r="1611" spans="7:20" x14ac:dyDescent="0.2">
      <c r="G1611" s="50"/>
      <c r="H1611" s="51" t="str">
        <f t="shared" si="0"/>
        <v/>
      </c>
      <c r="I1611" s="52" t="e">
        <f>SUMIFS(OUT!$F$2:$F$11000,OUT!$H$2:$H$11000,H1611,OUT!$D$2:$D$101007,"In")</f>
        <v>#VALUE!</v>
      </c>
      <c r="J1611" s="52">
        <f ca="1">SUMIFS(OUT!$F$2:$F$11000,OUT!$H$2:$H$11000,H1611,OUT!$D$2:$D$11000,"Out")</f>
        <v>0</v>
      </c>
      <c r="K1611" s="52">
        <f ca="1">SUMIFS(OUT!$F$2:$F$11000,OUT!$H$2:$H$11000,H1611,OUT!$D$2:$D$11000,"Out",OUT!$E$2:$E$11000,"Fix")</f>
        <v>0</v>
      </c>
      <c r="L1611" s="52">
        <f ca="1">SUMIFS(OUT!$F$2:$F$11000,OUT!$H$2:$H$11000,H1611,OUT!$D$2:$D$11000,"Out",OUT!$E$2:$E$11000,"Bathroom")</f>
        <v>0</v>
      </c>
      <c r="M1611" s="52">
        <f ca="1">SUMIFS(OUT!$F$2:$F$11000,OUT!$H$2:$H$11000,H1611,OUT!$D$2:$D$11000,"Out",OUT!$E$2:$E$11000,"Alfa")</f>
        <v>0</v>
      </c>
      <c r="N1611" s="52" t="e">
        <f>SUMIFS(OUT!$F$2:$F$11000,OUT!$H$2:$H$101007,H1611,OUT!$D$2:$D$11000,"Out",OUT!$E$2:$E$11000,"Jajan")</f>
        <v>#VALUE!</v>
      </c>
      <c r="O1611" s="52">
        <f ca="1">SUMIFS(OUT!$F$2:$F$11000,OUT!$H$2:$H$11000,H1611,OUT!$D$2:$D$11000,"Out",OUT!$E$2:$E$11000,"Kitchen")</f>
        <v>0</v>
      </c>
      <c r="P1611" s="52">
        <f ca="1">SUMIFS(OUT!$F$2:$F$11000,OUT!$H$2:$H$11000,H1611,OUT!$D$2:$D$11000,"Out",OUT!$E$2:$E$11000,"Loandry")</f>
        <v>0</v>
      </c>
      <c r="Q1611" s="52">
        <f ca="1">SUMIFS(OUT!$F$2:$F$11000,OUT!$H$2:$H$11000,H1611,OUT!$D$2:$D$11000,"Out",OUT!$E$2:$E$11000,"Mio")</f>
        <v>0</v>
      </c>
      <c r="R1611" s="52">
        <f ca="1">SUMIFS(OUT!$F$2:$F$11000,OUT!$H$2:$H$11000,H1611,OUT!$D$2:$D$11000,"Out",OUT!$E$2:$E$11000,"Sedekah")</f>
        <v>0</v>
      </c>
      <c r="S1611" s="52">
        <f ca="1">SUMIFS(OUT!$F$2:$F$11000,OUT!$H$2:$H$11000,H1611,OUT!$D$2:$D$11000,"Out",OUT!$E$2:$E$11000,"Zela")</f>
        <v>0</v>
      </c>
      <c r="T1611" s="52">
        <f ca="1">SUMIFS(OUT!$F$2:$F$11000,OUT!$H$2:$H$11000,H1611,OUT!$D$2:$D$11000,"Out",OUT!$E$2:$E$11000,"Iqbal")</f>
        <v>0</v>
      </c>
    </row>
    <row r="1612" spans="7:20" x14ac:dyDescent="0.2">
      <c r="G1612" s="50"/>
      <c r="H1612" s="51" t="str">
        <f t="shared" si="0"/>
        <v/>
      </c>
      <c r="I1612" s="52" t="e">
        <f>SUMIFS(OUT!$F$2:$F$11000,OUT!$H$2:$H$11000,H1612,OUT!$D$2:$D$101007,"In")</f>
        <v>#VALUE!</v>
      </c>
      <c r="J1612" s="52">
        <f ca="1">SUMIFS(OUT!$F$2:$F$11000,OUT!$H$2:$H$11000,H1612,OUT!$D$2:$D$11000,"Out")</f>
        <v>0</v>
      </c>
      <c r="K1612" s="52">
        <f ca="1">SUMIFS(OUT!$F$2:$F$11000,OUT!$H$2:$H$11000,H1612,OUT!$D$2:$D$11000,"Out",OUT!$E$2:$E$11000,"Fix")</f>
        <v>0</v>
      </c>
      <c r="L1612" s="52">
        <f ca="1">SUMIFS(OUT!$F$2:$F$11000,OUT!$H$2:$H$11000,H1612,OUT!$D$2:$D$11000,"Out",OUT!$E$2:$E$11000,"Bathroom")</f>
        <v>0</v>
      </c>
      <c r="M1612" s="52">
        <f ca="1">SUMIFS(OUT!$F$2:$F$11000,OUT!$H$2:$H$11000,H1612,OUT!$D$2:$D$11000,"Out",OUT!$E$2:$E$11000,"Alfa")</f>
        <v>0</v>
      </c>
      <c r="N1612" s="52" t="e">
        <f>SUMIFS(OUT!$F$2:$F$11000,OUT!$H$2:$H$101007,H1612,OUT!$D$2:$D$11000,"Out",OUT!$E$2:$E$11000,"Jajan")</f>
        <v>#VALUE!</v>
      </c>
      <c r="O1612" s="52">
        <f ca="1">SUMIFS(OUT!$F$2:$F$11000,OUT!$H$2:$H$11000,H1612,OUT!$D$2:$D$11000,"Out",OUT!$E$2:$E$11000,"Kitchen")</f>
        <v>0</v>
      </c>
      <c r="P1612" s="52">
        <f ca="1">SUMIFS(OUT!$F$2:$F$11000,OUT!$H$2:$H$11000,H1612,OUT!$D$2:$D$11000,"Out",OUT!$E$2:$E$11000,"Loandry")</f>
        <v>0</v>
      </c>
      <c r="Q1612" s="52">
        <f ca="1">SUMIFS(OUT!$F$2:$F$11000,OUT!$H$2:$H$11000,H1612,OUT!$D$2:$D$11000,"Out",OUT!$E$2:$E$11000,"Mio")</f>
        <v>0</v>
      </c>
      <c r="R1612" s="52">
        <f ca="1">SUMIFS(OUT!$F$2:$F$11000,OUT!$H$2:$H$11000,H1612,OUT!$D$2:$D$11000,"Out",OUT!$E$2:$E$11000,"Sedekah")</f>
        <v>0</v>
      </c>
      <c r="S1612" s="52">
        <f ca="1">SUMIFS(OUT!$F$2:$F$11000,OUT!$H$2:$H$11000,H1612,OUT!$D$2:$D$11000,"Out",OUT!$E$2:$E$11000,"Zela")</f>
        <v>0</v>
      </c>
      <c r="T1612" s="52">
        <f ca="1">SUMIFS(OUT!$F$2:$F$11000,OUT!$H$2:$H$11000,H1612,OUT!$D$2:$D$11000,"Out",OUT!$E$2:$E$11000,"Iqbal")</f>
        <v>0</v>
      </c>
    </row>
    <row r="1613" spans="7:20" x14ac:dyDescent="0.2">
      <c r="G1613" s="50"/>
      <c r="H1613" s="51" t="str">
        <f t="shared" si="0"/>
        <v/>
      </c>
      <c r="I1613" s="52" t="e">
        <f>SUMIFS(OUT!$F$2:$F$11000,OUT!$H$2:$H$11000,H1613,OUT!$D$2:$D$101007,"In")</f>
        <v>#VALUE!</v>
      </c>
      <c r="J1613" s="52">
        <f ca="1">SUMIFS(OUT!$F$2:$F$11000,OUT!$H$2:$H$11000,H1613,OUT!$D$2:$D$11000,"Out")</f>
        <v>0</v>
      </c>
      <c r="K1613" s="52">
        <f ca="1">SUMIFS(OUT!$F$2:$F$11000,OUT!$H$2:$H$11000,H1613,OUT!$D$2:$D$11000,"Out",OUT!$E$2:$E$11000,"Fix")</f>
        <v>0</v>
      </c>
      <c r="L1613" s="52">
        <f ca="1">SUMIFS(OUT!$F$2:$F$11000,OUT!$H$2:$H$11000,H1613,OUT!$D$2:$D$11000,"Out",OUT!$E$2:$E$11000,"Bathroom")</f>
        <v>0</v>
      </c>
      <c r="M1613" s="52">
        <f ca="1">SUMIFS(OUT!$F$2:$F$11000,OUT!$H$2:$H$11000,H1613,OUT!$D$2:$D$11000,"Out",OUT!$E$2:$E$11000,"Alfa")</f>
        <v>0</v>
      </c>
      <c r="N1613" s="52" t="e">
        <f>SUMIFS(OUT!$F$2:$F$11000,OUT!$H$2:$H$101007,H1613,OUT!$D$2:$D$11000,"Out",OUT!$E$2:$E$11000,"Jajan")</f>
        <v>#VALUE!</v>
      </c>
      <c r="O1613" s="52">
        <f ca="1">SUMIFS(OUT!$F$2:$F$11000,OUT!$H$2:$H$11000,H1613,OUT!$D$2:$D$11000,"Out",OUT!$E$2:$E$11000,"Kitchen")</f>
        <v>0</v>
      </c>
      <c r="P1613" s="52">
        <f ca="1">SUMIFS(OUT!$F$2:$F$11000,OUT!$H$2:$H$11000,H1613,OUT!$D$2:$D$11000,"Out",OUT!$E$2:$E$11000,"Loandry")</f>
        <v>0</v>
      </c>
      <c r="Q1613" s="52">
        <f ca="1">SUMIFS(OUT!$F$2:$F$11000,OUT!$H$2:$H$11000,H1613,OUT!$D$2:$D$11000,"Out",OUT!$E$2:$E$11000,"Mio")</f>
        <v>0</v>
      </c>
      <c r="R1613" s="52">
        <f ca="1">SUMIFS(OUT!$F$2:$F$11000,OUT!$H$2:$H$11000,H1613,OUT!$D$2:$D$11000,"Out",OUT!$E$2:$E$11000,"Sedekah")</f>
        <v>0</v>
      </c>
      <c r="S1613" s="52">
        <f ca="1">SUMIFS(OUT!$F$2:$F$11000,OUT!$H$2:$H$11000,H1613,OUT!$D$2:$D$11000,"Out",OUT!$E$2:$E$11000,"Zela")</f>
        <v>0</v>
      </c>
      <c r="T1613" s="52">
        <f ca="1">SUMIFS(OUT!$F$2:$F$11000,OUT!$H$2:$H$11000,H1613,OUT!$D$2:$D$11000,"Out",OUT!$E$2:$E$11000,"Iqbal")</f>
        <v>0</v>
      </c>
    </row>
    <row r="1614" spans="7:20" x14ac:dyDescent="0.2">
      <c r="G1614" s="50"/>
      <c r="H1614" s="51" t="str">
        <f t="shared" si="0"/>
        <v/>
      </c>
      <c r="I1614" s="52" t="e">
        <f>SUMIFS(OUT!$F$2:$F$11000,OUT!$H$2:$H$11000,H1614,OUT!$D$2:$D$101007,"In")</f>
        <v>#VALUE!</v>
      </c>
      <c r="J1614" s="52">
        <f ca="1">SUMIFS(OUT!$F$2:$F$11000,OUT!$H$2:$H$11000,H1614,OUT!$D$2:$D$11000,"Out")</f>
        <v>0</v>
      </c>
      <c r="K1614" s="52">
        <f ca="1">SUMIFS(OUT!$F$2:$F$11000,OUT!$H$2:$H$11000,H1614,OUT!$D$2:$D$11000,"Out",OUT!$E$2:$E$11000,"Fix")</f>
        <v>0</v>
      </c>
      <c r="L1614" s="52">
        <f ca="1">SUMIFS(OUT!$F$2:$F$11000,OUT!$H$2:$H$11000,H1614,OUT!$D$2:$D$11000,"Out",OUT!$E$2:$E$11000,"Bathroom")</f>
        <v>0</v>
      </c>
      <c r="M1614" s="52">
        <f ca="1">SUMIFS(OUT!$F$2:$F$11000,OUT!$H$2:$H$11000,H1614,OUT!$D$2:$D$11000,"Out",OUT!$E$2:$E$11000,"Alfa")</f>
        <v>0</v>
      </c>
      <c r="N1614" s="52" t="e">
        <f>SUMIFS(OUT!$F$2:$F$11000,OUT!$H$2:$H$101007,H1614,OUT!$D$2:$D$11000,"Out",OUT!$E$2:$E$11000,"Jajan")</f>
        <v>#VALUE!</v>
      </c>
      <c r="O1614" s="52">
        <f ca="1">SUMIFS(OUT!$F$2:$F$11000,OUT!$H$2:$H$11000,H1614,OUT!$D$2:$D$11000,"Out",OUT!$E$2:$E$11000,"Kitchen")</f>
        <v>0</v>
      </c>
      <c r="P1614" s="52">
        <f ca="1">SUMIFS(OUT!$F$2:$F$11000,OUT!$H$2:$H$11000,H1614,OUT!$D$2:$D$11000,"Out",OUT!$E$2:$E$11000,"Loandry")</f>
        <v>0</v>
      </c>
      <c r="Q1614" s="52">
        <f ca="1">SUMIFS(OUT!$F$2:$F$11000,OUT!$H$2:$H$11000,H1614,OUT!$D$2:$D$11000,"Out",OUT!$E$2:$E$11000,"Mio")</f>
        <v>0</v>
      </c>
      <c r="R1614" s="52">
        <f ca="1">SUMIFS(OUT!$F$2:$F$11000,OUT!$H$2:$H$11000,H1614,OUT!$D$2:$D$11000,"Out",OUT!$E$2:$E$11000,"Sedekah")</f>
        <v>0</v>
      </c>
      <c r="S1614" s="52">
        <f ca="1">SUMIFS(OUT!$F$2:$F$11000,OUT!$H$2:$H$11000,H1614,OUT!$D$2:$D$11000,"Out",OUT!$E$2:$E$11000,"Zela")</f>
        <v>0</v>
      </c>
      <c r="T1614" s="52">
        <f ca="1">SUMIFS(OUT!$F$2:$F$11000,OUT!$H$2:$H$11000,H1614,OUT!$D$2:$D$11000,"Out",OUT!$E$2:$E$11000,"Iqbal")</f>
        <v>0</v>
      </c>
    </row>
    <row r="1615" spans="7:20" x14ac:dyDescent="0.2">
      <c r="G1615" s="50"/>
      <c r="H1615" s="51" t="str">
        <f t="shared" si="0"/>
        <v/>
      </c>
      <c r="I1615" s="52" t="e">
        <f>SUMIFS(OUT!$F$2:$F$11000,OUT!$H$2:$H$11000,H1615,OUT!$D$2:$D$101007,"In")</f>
        <v>#VALUE!</v>
      </c>
      <c r="J1615" s="52">
        <f ca="1">SUMIFS(OUT!$F$2:$F$11000,OUT!$H$2:$H$11000,H1615,OUT!$D$2:$D$11000,"Out")</f>
        <v>0</v>
      </c>
      <c r="K1615" s="52">
        <f ca="1">SUMIFS(OUT!$F$2:$F$11000,OUT!$H$2:$H$11000,H1615,OUT!$D$2:$D$11000,"Out",OUT!$E$2:$E$11000,"Fix")</f>
        <v>0</v>
      </c>
      <c r="L1615" s="52">
        <f ca="1">SUMIFS(OUT!$F$2:$F$11000,OUT!$H$2:$H$11000,H1615,OUT!$D$2:$D$11000,"Out",OUT!$E$2:$E$11000,"Bathroom")</f>
        <v>0</v>
      </c>
      <c r="M1615" s="52">
        <f ca="1">SUMIFS(OUT!$F$2:$F$11000,OUT!$H$2:$H$11000,H1615,OUT!$D$2:$D$11000,"Out",OUT!$E$2:$E$11000,"Alfa")</f>
        <v>0</v>
      </c>
      <c r="N1615" s="52" t="e">
        <f>SUMIFS(OUT!$F$2:$F$11000,OUT!$H$2:$H$101007,H1615,OUT!$D$2:$D$11000,"Out",OUT!$E$2:$E$11000,"Jajan")</f>
        <v>#VALUE!</v>
      </c>
      <c r="O1615" s="52">
        <f ca="1">SUMIFS(OUT!$F$2:$F$11000,OUT!$H$2:$H$11000,H1615,OUT!$D$2:$D$11000,"Out",OUT!$E$2:$E$11000,"Kitchen")</f>
        <v>0</v>
      </c>
      <c r="P1615" s="52">
        <f ca="1">SUMIFS(OUT!$F$2:$F$11000,OUT!$H$2:$H$11000,H1615,OUT!$D$2:$D$11000,"Out",OUT!$E$2:$E$11000,"Loandry")</f>
        <v>0</v>
      </c>
      <c r="Q1615" s="52">
        <f ca="1">SUMIFS(OUT!$F$2:$F$11000,OUT!$H$2:$H$11000,H1615,OUT!$D$2:$D$11000,"Out",OUT!$E$2:$E$11000,"Mio")</f>
        <v>0</v>
      </c>
      <c r="R1615" s="52">
        <f ca="1">SUMIFS(OUT!$F$2:$F$11000,OUT!$H$2:$H$11000,H1615,OUT!$D$2:$D$11000,"Out",OUT!$E$2:$E$11000,"Sedekah")</f>
        <v>0</v>
      </c>
      <c r="S1615" s="52">
        <f ca="1">SUMIFS(OUT!$F$2:$F$11000,OUT!$H$2:$H$11000,H1615,OUT!$D$2:$D$11000,"Out",OUT!$E$2:$E$11000,"Zela")</f>
        <v>0</v>
      </c>
      <c r="T1615" s="52">
        <f ca="1">SUMIFS(OUT!$F$2:$F$11000,OUT!$H$2:$H$11000,H1615,OUT!$D$2:$D$11000,"Out",OUT!$E$2:$E$11000,"Iqbal")</f>
        <v>0</v>
      </c>
    </row>
    <row r="1616" spans="7:20" x14ac:dyDescent="0.2">
      <c r="G1616" s="50"/>
      <c r="H1616" s="51" t="str">
        <f t="shared" si="0"/>
        <v/>
      </c>
      <c r="I1616" s="52" t="e">
        <f>SUMIFS(OUT!$F$2:$F$11000,OUT!$H$2:$H$11000,H1616,OUT!$D$2:$D$101007,"In")</f>
        <v>#VALUE!</v>
      </c>
      <c r="J1616" s="52">
        <f ca="1">SUMIFS(OUT!$F$2:$F$11000,OUT!$H$2:$H$11000,H1616,OUT!$D$2:$D$11000,"Out")</f>
        <v>0</v>
      </c>
      <c r="K1616" s="52">
        <f ca="1">SUMIFS(OUT!$F$2:$F$11000,OUT!$H$2:$H$11000,H1616,OUT!$D$2:$D$11000,"Out",OUT!$E$2:$E$11000,"Fix")</f>
        <v>0</v>
      </c>
      <c r="L1616" s="52">
        <f ca="1">SUMIFS(OUT!$F$2:$F$11000,OUT!$H$2:$H$11000,H1616,OUT!$D$2:$D$11000,"Out",OUT!$E$2:$E$11000,"Bathroom")</f>
        <v>0</v>
      </c>
      <c r="M1616" s="52">
        <f ca="1">SUMIFS(OUT!$F$2:$F$11000,OUT!$H$2:$H$11000,H1616,OUT!$D$2:$D$11000,"Out",OUT!$E$2:$E$11000,"Alfa")</f>
        <v>0</v>
      </c>
      <c r="N1616" s="52" t="e">
        <f>SUMIFS(OUT!$F$2:$F$11000,OUT!$H$2:$H$101007,H1616,OUT!$D$2:$D$11000,"Out",OUT!$E$2:$E$11000,"Jajan")</f>
        <v>#VALUE!</v>
      </c>
      <c r="O1616" s="52">
        <f ca="1">SUMIFS(OUT!$F$2:$F$11000,OUT!$H$2:$H$11000,H1616,OUT!$D$2:$D$11000,"Out",OUT!$E$2:$E$11000,"Kitchen")</f>
        <v>0</v>
      </c>
      <c r="P1616" s="52">
        <f ca="1">SUMIFS(OUT!$F$2:$F$11000,OUT!$H$2:$H$11000,H1616,OUT!$D$2:$D$11000,"Out",OUT!$E$2:$E$11000,"Loandry")</f>
        <v>0</v>
      </c>
      <c r="Q1616" s="52">
        <f ca="1">SUMIFS(OUT!$F$2:$F$11000,OUT!$H$2:$H$11000,H1616,OUT!$D$2:$D$11000,"Out",OUT!$E$2:$E$11000,"Mio")</f>
        <v>0</v>
      </c>
      <c r="R1616" s="52">
        <f ca="1">SUMIFS(OUT!$F$2:$F$11000,OUT!$H$2:$H$11000,H1616,OUT!$D$2:$D$11000,"Out",OUT!$E$2:$E$11000,"Sedekah")</f>
        <v>0</v>
      </c>
      <c r="S1616" s="52">
        <f ca="1">SUMIFS(OUT!$F$2:$F$11000,OUT!$H$2:$H$11000,H1616,OUT!$D$2:$D$11000,"Out",OUT!$E$2:$E$11000,"Zela")</f>
        <v>0</v>
      </c>
      <c r="T1616" s="52">
        <f ca="1">SUMIFS(OUT!$F$2:$F$11000,OUT!$H$2:$H$11000,H1616,OUT!$D$2:$D$11000,"Out",OUT!$E$2:$E$11000,"Iqbal")</f>
        <v>0</v>
      </c>
    </row>
    <row r="1617" spans="7:20" x14ac:dyDescent="0.2">
      <c r="G1617" s="50"/>
      <c r="H1617" s="51" t="str">
        <f t="shared" si="0"/>
        <v/>
      </c>
      <c r="I1617" s="52" t="e">
        <f>SUMIFS(OUT!$F$2:$F$11000,OUT!$H$2:$H$11000,H1617,OUT!$D$2:$D$101007,"In")</f>
        <v>#VALUE!</v>
      </c>
      <c r="J1617" s="52">
        <f ca="1">SUMIFS(OUT!$F$2:$F$11000,OUT!$H$2:$H$11000,H1617,OUT!$D$2:$D$11000,"Out")</f>
        <v>0</v>
      </c>
      <c r="K1617" s="52">
        <f ca="1">SUMIFS(OUT!$F$2:$F$11000,OUT!$H$2:$H$11000,H1617,OUT!$D$2:$D$11000,"Out",OUT!$E$2:$E$11000,"Fix")</f>
        <v>0</v>
      </c>
      <c r="L1617" s="52">
        <f ca="1">SUMIFS(OUT!$F$2:$F$11000,OUT!$H$2:$H$11000,H1617,OUT!$D$2:$D$11000,"Out",OUT!$E$2:$E$11000,"Bathroom")</f>
        <v>0</v>
      </c>
      <c r="M1617" s="52">
        <f ca="1">SUMIFS(OUT!$F$2:$F$11000,OUT!$H$2:$H$11000,H1617,OUT!$D$2:$D$11000,"Out",OUT!$E$2:$E$11000,"Alfa")</f>
        <v>0</v>
      </c>
      <c r="N1617" s="52" t="e">
        <f>SUMIFS(OUT!$F$2:$F$11000,OUT!$H$2:$H$101007,H1617,OUT!$D$2:$D$11000,"Out",OUT!$E$2:$E$11000,"Jajan")</f>
        <v>#VALUE!</v>
      </c>
      <c r="O1617" s="52">
        <f ca="1">SUMIFS(OUT!$F$2:$F$11000,OUT!$H$2:$H$11000,H1617,OUT!$D$2:$D$11000,"Out",OUT!$E$2:$E$11000,"Kitchen")</f>
        <v>0</v>
      </c>
      <c r="P1617" s="52">
        <f ca="1">SUMIFS(OUT!$F$2:$F$11000,OUT!$H$2:$H$11000,H1617,OUT!$D$2:$D$11000,"Out",OUT!$E$2:$E$11000,"Loandry")</f>
        <v>0</v>
      </c>
      <c r="Q1617" s="52">
        <f ca="1">SUMIFS(OUT!$F$2:$F$11000,OUT!$H$2:$H$11000,H1617,OUT!$D$2:$D$11000,"Out",OUT!$E$2:$E$11000,"Mio")</f>
        <v>0</v>
      </c>
      <c r="R1617" s="52">
        <f ca="1">SUMIFS(OUT!$F$2:$F$11000,OUT!$H$2:$H$11000,H1617,OUT!$D$2:$D$11000,"Out",OUT!$E$2:$E$11000,"Sedekah")</f>
        <v>0</v>
      </c>
      <c r="S1617" s="52">
        <f ca="1">SUMIFS(OUT!$F$2:$F$11000,OUT!$H$2:$H$11000,H1617,OUT!$D$2:$D$11000,"Out",OUT!$E$2:$E$11000,"Zela")</f>
        <v>0</v>
      </c>
      <c r="T1617" s="52">
        <f ca="1">SUMIFS(OUT!$F$2:$F$11000,OUT!$H$2:$H$11000,H1617,OUT!$D$2:$D$11000,"Out",OUT!$E$2:$E$11000,"Iqbal")</f>
        <v>0</v>
      </c>
    </row>
    <row r="1618" spans="7:20" x14ac:dyDescent="0.2">
      <c r="G1618" s="50"/>
      <c r="H1618" s="51" t="str">
        <f t="shared" si="0"/>
        <v/>
      </c>
      <c r="I1618" s="52" t="e">
        <f>SUMIFS(OUT!$F$2:$F$11000,OUT!$H$2:$H$11000,H1618,OUT!$D$2:$D$101007,"In")</f>
        <v>#VALUE!</v>
      </c>
      <c r="J1618" s="52">
        <f ca="1">SUMIFS(OUT!$F$2:$F$11000,OUT!$H$2:$H$11000,H1618,OUT!$D$2:$D$11000,"Out")</f>
        <v>0</v>
      </c>
      <c r="K1618" s="52">
        <f ca="1">SUMIFS(OUT!$F$2:$F$11000,OUT!$H$2:$H$11000,H1618,OUT!$D$2:$D$11000,"Out",OUT!$E$2:$E$11000,"Fix")</f>
        <v>0</v>
      </c>
      <c r="L1618" s="52">
        <f ca="1">SUMIFS(OUT!$F$2:$F$11000,OUT!$H$2:$H$11000,H1618,OUT!$D$2:$D$11000,"Out",OUT!$E$2:$E$11000,"Bathroom")</f>
        <v>0</v>
      </c>
      <c r="M1618" s="52">
        <f ca="1">SUMIFS(OUT!$F$2:$F$11000,OUT!$H$2:$H$11000,H1618,OUT!$D$2:$D$11000,"Out",OUT!$E$2:$E$11000,"Alfa")</f>
        <v>0</v>
      </c>
      <c r="N1618" s="52" t="e">
        <f>SUMIFS(OUT!$F$2:$F$11000,OUT!$H$2:$H$101007,H1618,OUT!$D$2:$D$11000,"Out",OUT!$E$2:$E$11000,"Jajan")</f>
        <v>#VALUE!</v>
      </c>
      <c r="O1618" s="52">
        <f ca="1">SUMIFS(OUT!$F$2:$F$11000,OUT!$H$2:$H$11000,H1618,OUT!$D$2:$D$11000,"Out",OUT!$E$2:$E$11000,"Kitchen")</f>
        <v>0</v>
      </c>
      <c r="P1618" s="52">
        <f ca="1">SUMIFS(OUT!$F$2:$F$11000,OUT!$H$2:$H$11000,H1618,OUT!$D$2:$D$11000,"Out",OUT!$E$2:$E$11000,"Loandry")</f>
        <v>0</v>
      </c>
      <c r="Q1618" s="52">
        <f ca="1">SUMIFS(OUT!$F$2:$F$11000,OUT!$H$2:$H$11000,H1618,OUT!$D$2:$D$11000,"Out",OUT!$E$2:$E$11000,"Mio")</f>
        <v>0</v>
      </c>
      <c r="R1618" s="52">
        <f ca="1">SUMIFS(OUT!$F$2:$F$11000,OUT!$H$2:$H$11000,H1618,OUT!$D$2:$D$11000,"Out",OUT!$E$2:$E$11000,"Sedekah")</f>
        <v>0</v>
      </c>
      <c r="S1618" s="52">
        <f ca="1">SUMIFS(OUT!$F$2:$F$11000,OUT!$H$2:$H$11000,H1618,OUT!$D$2:$D$11000,"Out",OUT!$E$2:$E$11000,"Zela")</f>
        <v>0</v>
      </c>
      <c r="T1618" s="52">
        <f ca="1">SUMIFS(OUT!$F$2:$F$11000,OUT!$H$2:$H$11000,H1618,OUT!$D$2:$D$11000,"Out",OUT!$E$2:$E$11000,"Iqbal")</f>
        <v>0</v>
      </c>
    </row>
    <row r="1619" spans="7:20" x14ac:dyDescent="0.2">
      <c r="G1619" s="50"/>
      <c r="H1619" s="51" t="str">
        <f t="shared" si="0"/>
        <v/>
      </c>
      <c r="I1619" s="52" t="e">
        <f>SUMIFS(OUT!$F$2:$F$11000,OUT!$H$2:$H$11000,H1619,OUT!$D$2:$D$101007,"In")</f>
        <v>#VALUE!</v>
      </c>
      <c r="J1619" s="52">
        <f ca="1">SUMIFS(OUT!$F$2:$F$11000,OUT!$H$2:$H$11000,H1619,OUT!$D$2:$D$11000,"Out")</f>
        <v>0</v>
      </c>
      <c r="K1619" s="52">
        <f ca="1">SUMIFS(OUT!$F$2:$F$11000,OUT!$H$2:$H$11000,H1619,OUT!$D$2:$D$11000,"Out",OUT!$E$2:$E$11000,"Fix")</f>
        <v>0</v>
      </c>
      <c r="L1619" s="52">
        <f ca="1">SUMIFS(OUT!$F$2:$F$11000,OUT!$H$2:$H$11000,H1619,OUT!$D$2:$D$11000,"Out",OUT!$E$2:$E$11000,"Bathroom")</f>
        <v>0</v>
      </c>
      <c r="M1619" s="52">
        <f ca="1">SUMIFS(OUT!$F$2:$F$11000,OUT!$H$2:$H$11000,H1619,OUT!$D$2:$D$11000,"Out",OUT!$E$2:$E$11000,"Alfa")</f>
        <v>0</v>
      </c>
      <c r="N1619" s="52" t="e">
        <f>SUMIFS(OUT!$F$2:$F$11000,OUT!$H$2:$H$101007,H1619,OUT!$D$2:$D$11000,"Out",OUT!$E$2:$E$11000,"Jajan")</f>
        <v>#VALUE!</v>
      </c>
      <c r="O1619" s="52">
        <f ca="1">SUMIFS(OUT!$F$2:$F$11000,OUT!$H$2:$H$11000,H1619,OUT!$D$2:$D$11000,"Out",OUT!$E$2:$E$11000,"Kitchen")</f>
        <v>0</v>
      </c>
      <c r="P1619" s="52">
        <f ca="1">SUMIFS(OUT!$F$2:$F$11000,OUT!$H$2:$H$11000,H1619,OUT!$D$2:$D$11000,"Out",OUT!$E$2:$E$11000,"Loandry")</f>
        <v>0</v>
      </c>
      <c r="Q1619" s="52">
        <f ca="1">SUMIFS(OUT!$F$2:$F$11000,OUT!$H$2:$H$11000,H1619,OUT!$D$2:$D$11000,"Out",OUT!$E$2:$E$11000,"Mio")</f>
        <v>0</v>
      </c>
      <c r="R1619" s="52">
        <f ca="1">SUMIFS(OUT!$F$2:$F$11000,OUT!$H$2:$H$11000,H1619,OUT!$D$2:$D$11000,"Out",OUT!$E$2:$E$11000,"Sedekah")</f>
        <v>0</v>
      </c>
      <c r="S1619" s="52">
        <f ca="1">SUMIFS(OUT!$F$2:$F$11000,OUT!$H$2:$H$11000,H1619,OUT!$D$2:$D$11000,"Out",OUT!$E$2:$E$11000,"Zela")</f>
        <v>0</v>
      </c>
      <c r="T1619" s="52">
        <f ca="1">SUMIFS(OUT!$F$2:$F$11000,OUT!$H$2:$H$11000,H1619,OUT!$D$2:$D$11000,"Out",OUT!$E$2:$E$11000,"Iqbal")</f>
        <v>0</v>
      </c>
    </row>
    <row r="1620" spans="7:20" x14ac:dyDescent="0.2">
      <c r="G1620" s="50"/>
      <c r="H1620" s="51" t="str">
        <f t="shared" si="0"/>
        <v/>
      </c>
      <c r="I1620" s="52" t="e">
        <f>SUMIFS(OUT!$F$2:$F$11000,OUT!$H$2:$H$11000,H1620,OUT!$D$2:$D$101007,"In")</f>
        <v>#VALUE!</v>
      </c>
      <c r="J1620" s="52">
        <f ca="1">SUMIFS(OUT!$F$2:$F$11000,OUT!$H$2:$H$11000,H1620,OUT!$D$2:$D$11000,"Out")</f>
        <v>0</v>
      </c>
      <c r="K1620" s="52">
        <f ca="1">SUMIFS(OUT!$F$2:$F$11000,OUT!$H$2:$H$11000,H1620,OUT!$D$2:$D$11000,"Out",OUT!$E$2:$E$11000,"Fix")</f>
        <v>0</v>
      </c>
      <c r="L1620" s="52">
        <f ca="1">SUMIFS(OUT!$F$2:$F$11000,OUT!$H$2:$H$11000,H1620,OUT!$D$2:$D$11000,"Out",OUT!$E$2:$E$11000,"Bathroom")</f>
        <v>0</v>
      </c>
      <c r="M1620" s="52">
        <f ca="1">SUMIFS(OUT!$F$2:$F$11000,OUT!$H$2:$H$11000,H1620,OUT!$D$2:$D$11000,"Out",OUT!$E$2:$E$11000,"Alfa")</f>
        <v>0</v>
      </c>
      <c r="N1620" s="52" t="e">
        <f>SUMIFS(OUT!$F$2:$F$11000,OUT!$H$2:$H$101007,H1620,OUT!$D$2:$D$11000,"Out",OUT!$E$2:$E$11000,"Jajan")</f>
        <v>#VALUE!</v>
      </c>
      <c r="O1620" s="52">
        <f ca="1">SUMIFS(OUT!$F$2:$F$11000,OUT!$H$2:$H$11000,H1620,OUT!$D$2:$D$11000,"Out",OUT!$E$2:$E$11000,"Kitchen")</f>
        <v>0</v>
      </c>
      <c r="P1620" s="52">
        <f ca="1">SUMIFS(OUT!$F$2:$F$11000,OUT!$H$2:$H$11000,H1620,OUT!$D$2:$D$11000,"Out",OUT!$E$2:$E$11000,"Loandry")</f>
        <v>0</v>
      </c>
      <c r="Q1620" s="52">
        <f ca="1">SUMIFS(OUT!$F$2:$F$11000,OUT!$H$2:$H$11000,H1620,OUT!$D$2:$D$11000,"Out",OUT!$E$2:$E$11000,"Mio")</f>
        <v>0</v>
      </c>
      <c r="R1620" s="52">
        <f ca="1">SUMIFS(OUT!$F$2:$F$11000,OUT!$H$2:$H$11000,H1620,OUT!$D$2:$D$11000,"Out",OUT!$E$2:$E$11000,"Sedekah")</f>
        <v>0</v>
      </c>
      <c r="S1620" s="52">
        <f ca="1">SUMIFS(OUT!$F$2:$F$11000,OUT!$H$2:$H$11000,H1620,OUT!$D$2:$D$11000,"Out",OUT!$E$2:$E$11000,"Zela")</f>
        <v>0</v>
      </c>
      <c r="T1620" s="52">
        <f ca="1">SUMIFS(OUT!$F$2:$F$11000,OUT!$H$2:$H$11000,H1620,OUT!$D$2:$D$11000,"Out",OUT!$E$2:$E$11000,"Iqbal")</f>
        <v>0</v>
      </c>
    </row>
    <row r="1621" spans="7:20" x14ac:dyDescent="0.2">
      <c r="G1621" s="50"/>
      <c r="H1621" s="51" t="str">
        <f t="shared" si="0"/>
        <v/>
      </c>
      <c r="I1621" s="52" t="e">
        <f>SUMIFS(OUT!$F$2:$F$11000,OUT!$H$2:$H$11000,H1621,OUT!$D$2:$D$101007,"In")</f>
        <v>#VALUE!</v>
      </c>
      <c r="J1621" s="52">
        <f ca="1">SUMIFS(OUT!$F$2:$F$11000,OUT!$H$2:$H$11000,H1621,OUT!$D$2:$D$11000,"Out")</f>
        <v>0</v>
      </c>
      <c r="K1621" s="52">
        <f ca="1">SUMIFS(OUT!$F$2:$F$11000,OUT!$H$2:$H$11000,H1621,OUT!$D$2:$D$11000,"Out",OUT!$E$2:$E$11000,"Fix")</f>
        <v>0</v>
      </c>
      <c r="L1621" s="52">
        <f ca="1">SUMIFS(OUT!$F$2:$F$11000,OUT!$H$2:$H$11000,H1621,OUT!$D$2:$D$11000,"Out",OUT!$E$2:$E$11000,"Bathroom")</f>
        <v>0</v>
      </c>
      <c r="M1621" s="52">
        <f ca="1">SUMIFS(OUT!$F$2:$F$11000,OUT!$H$2:$H$11000,H1621,OUT!$D$2:$D$11000,"Out",OUT!$E$2:$E$11000,"Alfa")</f>
        <v>0</v>
      </c>
      <c r="N1621" s="52" t="e">
        <f>SUMIFS(OUT!$F$2:$F$11000,OUT!$H$2:$H$101007,H1621,OUT!$D$2:$D$11000,"Out",OUT!$E$2:$E$11000,"Jajan")</f>
        <v>#VALUE!</v>
      </c>
      <c r="O1621" s="52">
        <f ca="1">SUMIFS(OUT!$F$2:$F$11000,OUT!$H$2:$H$11000,H1621,OUT!$D$2:$D$11000,"Out",OUT!$E$2:$E$11000,"Kitchen")</f>
        <v>0</v>
      </c>
      <c r="P1621" s="52">
        <f ca="1">SUMIFS(OUT!$F$2:$F$11000,OUT!$H$2:$H$11000,H1621,OUT!$D$2:$D$11000,"Out",OUT!$E$2:$E$11000,"Loandry")</f>
        <v>0</v>
      </c>
      <c r="Q1621" s="52">
        <f ca="1">SUMIFS(OUT!$F$2:$F$11000,OUT!$H$2:$H$11000,H1621,OUT!$D$2:$D$11000,"Out",OUT!$E$2:$E$11000,"Mio")</f>
        <v>0</v>
      </c>
      <c r="R1621" s="52">
        <f ca="1">SUMIFS(OUT!$F$2:$F$11000,OUT!$H$2:$H$11000,H1621,OUT!$D$2:$D$11000,"Out",OUT!$E$2:$E$11000,"Sedekah")</f>
        <v>0</v>
      </c>
      <c r="S1621" s="52">
        <f ca="1">SUMIFS(OUT!$F$2:$F$11000,OUT!$H$2:$H$11000,H1621,OUT!$D$2:$D$11000,"Out",OUT!$E$2:$E$11000,"Zela")</f>
        <v>0</v>
      </c>
      <c r="T1621" s="52">
        <f ca="1">SUMIFS(OUT!$F$2:$F$11000,OUT!$H$2:$H$11000,H1621,OUT!$D$2:$D$11000,"Out",OUT!$E$2:$E$11000,"Iqbal")</f>
        <v>0</v>
      </c>
    </row>
    <row r="1622" spans="7:20" x14ac:dyDescent="0.2">
      <c r="G1622" s="50"/>
      <c r="H1622" s="51" t="str">
        <f t="shared" si="0"/>
        <v/>
      </c>
      <c r="I1622" s="52" t="e">
        <f>SUMIFS(OUT!$F$2:$F$11000,OUT!$H$2:$H$11000,H1622,OUT!$D$2:$D$101007,"In")</f>
        <v>#VALUE!</v>
      </c>
      <c r="J1622" s="52">
        <f ca="1">SUMIFS(OUT!$F$2:$F$11000,OUT!$H$2:$H$11000,H1622,OUT!$D$2:$D$11000,"Out")</f>
        <v>0</v>
      </c>
      <c r="K1622" s="52">
        <f ca="1">SUMIFS(OUT!$F$2:$F$11000,OUT!$H$2:$H$11000,H1622,OUT!$D$2:$D$11000,"Out",OUT!$E$2:$E$11000,"Fix")</f>
        <v>0</v>
      </c>
      <c r="L1622" s="52">
        <f ca="1">SUMIFS(OUT!$F$2:$F$11000,OUT!$H$2:$H$11000,H1622,OUT!$D$2:$D$11000,"Out",OUT!$E$2:$E$11000,"Bathroom")</f>
        <v>0</v>
      </c>
      <c r="M1622" s="52">
        <f ca="1">SUMIFS(OUT!$F$2:$F$11000,OUT!$H$2:$H$11000,H1622,OUT!$D$2:$D$11000,"Out",OUT!$E$2:$E$11000,"Alfa")</f>
        <v>0</v>
      </c>
      <c r="N1622" s="52" t="e">
        <f>SUMIFS(OUT!$F$2:$F$11000,OUT!$H$2:$H$101007,H1622,OUT!$D$2:$D$11000,"Out",OUT!$E$2:$E$11000,"Jajan")</f>
        <v>#VALUE!</v>
      </c>
      <c r="O1622" s="52">
        <f ca="1">SUMIFS(OUT!$F$2:$F$11000,OUT!$H$2:$H$11000,H1622,OUT!$D$2:$D$11000,"Out",OUT!$E$2:$E$11000,"Kitchen")</f>
        <v>0</v>
      </c>
      <c r="P1622" s="52">
        <f ca="1">SUMIFS(OUT!$F$2:$F$11000,OUT!$H$2:$H$11000,H1622,OUT!$D$2:$D$11000,"Out",OUT!$E$2:$E$11000,"Loandry")</f>
        <v>0</v>
      </c>
      <c r="Q1622" s="52">
        <f ca="1">SUMIFS(OUT!$F$2:$F$11000,OUT!$H$2:$H$11000,H1622,OUT!$D$2:$D$11000,"Out",OUT!$E$2:$E$11000,"Mio")</f>
        <v>0</v>
      </c>
      <c r="R1622" s="52">
        <f ca="1">SUMIFS(OUT!$F$2:$F$11000,OUT!$H$2:$H$11000,H1622,OUT!$D$2:$D$11000,"Out",OUT!$E$2:$E$11000,"Sedekah")</f>
        <v>0</v>
      </c>
      <c r="S1622" s="52">
        <f ca="1">SUMIFS(OUT!$F$2:$F$11000,OUT!$H$2:$H$11000,H1622,OUT!$D$2:$D$11000,"Out",OUT!$E$2:$E$11000,"Zela")</f>
        <v>0</v>
      </c>
      <c r="T1622" s="52">
        <f ca="1">SUMIFS(OUT!$F$2:$F$11000,OUT!$H$2:$H$11000,H1622,OUT!$D$2:$D$11000,"Out",OUT!$E$2:$E$11000,"Iqbal")</f>
        <v>0</v>
      </c>
    </row>
    <row r="1623" spans="7:20" x14ac:dyDescent="0.2">
      <c r="G1623" s="50"/>
      <c r="H1623" s="51" t="str">
        <f t="shared" si="0"/>
        <v/>
      </c>
      <c r="I1623" s="52" t="e">
        <f>SUMIFS(OUT!$F$2:$F$11000,OUT!$H$2:$H$11000,H1623,OUT!$D$2:$D$101007,"In")</f>
        <v>#VALUE!</v>
      </c>
      <c r="J1623" s="52">
        <f ca="1">SUMIFS(OUT!$F$2:$F$11000,OUT!$H$2:$H$11000,H1623,OUT!$D$2:$D$11000,"Out")</f>
        <v>0</v>
      </c>
      <c r="K1623" s="52">
        <f ca="1">SUMIFS(OUT!$F$2:$F$11000,OUT!$H$2:$H$11000,H1623,OUT!$D$2:$D$11000,"Out",OUT!$E$2:$E$11000,"Fix")</f>
        <v>0</v>
      </c>
      <c r="L1623" s="52">
        <f ca="1">SUMIFS(OUT!$F$2:$F$11000,OUT!$H$2:$H$11000,H1623,OUT!$D$2:$D$11000,"Out",OUT!$E$2:$E$11000,"Bathroom")</f>
        <v>0</v>
      </c>
      <c r="M1623" s="52">
        <f ca="1">SUMIFS(OUT!$F$2:$F$11000,OUT!$H$2:$H$11000,H1623,OUT!$D$2:$D$11000,"Out",OUT!$E$2:$E$11000,"Alfa")</f>
        <v>0</v>
      </c>
      <c r="N1623" s="52" t="e">
        <f>SUMIFS(OUT!$F$2:$F$11000,OUT!$H$2:$H$101007,H1623,OUT!$D$2:$D$11000,"Out",OUT!$E$2:$E$11000,"Jajan")</f>
        <v>#VALUE!</v>
      </c>
      <c r="O1623" s="52">
        <f ca="1">SUMIFS(OUT!$F$2:$F$11000,OUT!$H$2:$H$11000,H1623,OUT!$D$2:$D$11000,"Out",OUT!$E$2:$E$11000,"Kitchen")</f>
        <v>0</v>
      </c>
      <c r="P1623" s="52">
        <f ca="1">SUMIFS(OUT!$F$2:$F$11000,OUT!$H$2:$H$11000,H1623,OUT!$D$2:$D$11000,"Out",OUT!$E$2:$E$11000,"Loandry")</f>
        <v>0</v>
      </c>
      <c r="Q1623" s="52">
        <f ca="1">SUMIFS(OUT!$F$2:$F$11000,OUT!$H$2:$H$11000,H1623,OUT!$D$2:$D$11000,"Out",OUT!$E$2:$E$11000,"Mio")</f>
        <v>0</v>
      </c>
      <c r="R1623" s="52">
        <f ca="1">SUMIFS(OUT!$F$2:$F$11000,OUT!$H$2:$H$11000,H1623,OUT!$D$2:$D$11000,"Out",OUT!$E$2:$E$11000,"Sedekah")</f>
        <v>0</v>
      </c>
      <c r="S1623" s="52">
        <f ca="1">SUMIFS(OUT!$F$2:$F$11000,OUT!$H$2:$H$11000,H1623,OUT!$D$2:$D$11000,"Out",OUT!$E$2:$E$11000,"Zela")</f>
        <v>0</v>
      </c>
      <c r="T1623" s="52">
        <f ca="1">SUMIFS(OUT!$F$2:$F$11000,OUT!$H$2:$H$11000,H1623,OUT!$D$2:$D$11000,"Out",OUT!$E$2:$E$11000,"Iqbal")</f>
        <v>0</v>
      </c>
    </row>
    <row r="1624" spans="7:20" x14ac:dyDescent="0.2">
      <c r="G1624" s="50"/>
      <c r="H1624" s="51" t="str">
        <f t="shared" si="0"/>
        <v/>
      </c>
      <c r="I1624" s="52" t="e">
        <f>SUMIFS(OUT!$F$2:$F$11000,OUT!$H$2:$H$11000,H1624,OUT!$D$2:$D$101007,"In")</f>
        <v>#VALUE!</v>
      </c>
      <c r="J1624" s="52">
        <f ca="1">SUMIFS(OUT!$F$2:$F$11000,OUT!$H$2:$H$11000,H1624,OUT!$D$2:$D$11000,"Out")</f>
        <v>0</v>
      </c>
      <c r="K1624" s="52">
        <f ca="1">SUMIFS(OUT!$F$2:$F$11000,OUT!$H$2:$H$11000,H1624,OUT!$D$2:$D$11000,"Out",OUT!$E$2:$E$11000,"Fix")</f>
        <v>0</v>
      </c>
      <c r="L1624" s="52">
        <f ca="1">SUMIFS(OUT!$F$2:$F$11000,OUT!$H$2:$H$11000,H1624,OUT!$D$2:$D$11000,"Out",OUT!$E$2:$E$11000,"Bathroom")</f>
        <v>0</v>
      </c>
      <c r="M1624" s="52">
        <f ca="1">SUMIFS(OUT!$F$2:$F$11000,OUT!$H$2:$H$11000,H1624,OUT!$D$2:$D$11000,"Out",OUT!$E$2:$E$11000,"Alfa")</f>
        <v>0</v>
      </c>
      <c r="N1624" s="52" t="e">
        <f>SUMIFS(OUT!$F$2:$F$11000,OUT!$H$2:$H$101007,H1624,OUT!$D$2:$D$11000,"Out",OUT!$E$2:$E$11000,"Jajan")</f>
        <v>#VALUE!</v>
      </c>
      <c r="O1624" s="52">
        <f ca="1">SUMIFS(OUT!$F$2:$F$11000,OUT!$H$2:$H$11000,H1624,OUT!$D$2:$D$11000,"Out",OUT!$E$2:$E$11000,"Kitchen")</f>
        <v>0</v>
      </c>
      <c r="P1624" s="52">
        <f ca="1">SUMIFS(OUT!$F$2:$F$11000,OUT!$H$2:$H$11000,H1624,OUT!$D$2:$D$11000,"Out",OUT!$E$2:$E$11000,"Loandry")</f>
        <v>0</v>
      </c>
      <c r="Q1624" s="52">
        <f ca="1">SUMIFS(OUT!$F$2:$F$11000,OUT!$H$2:$H$11000,H1624,OUT!$D$2:$D$11000,"Out",OUT!$E$2:$E$11000,"Mio")</f>
        <v>0</v>
      </c>
      <c r="R1624" s="52">
        <f ca="1">SUMIFS(OUT!$F$2:$F$11000,OUT!$H$2:$H$11000,H1624,OUT!$D$2:$D$11000,"Out",OUT!$E$2:$E$11000,"Sedekah")</f>
        <v>0</v>
      </c>
      <c r="S1624" s="52">
        <f ca="1">SUMIFS(OUT!$F$2:$F$11000,OUT!$H$2:$H$11000,H1624,OUT!$D$2:$D$11000,"Out",OUT!$E$2:$E$11000,"Zela")</f>
        <v>0</v>
      </c>
      <c r="T1624" s="52">
        <f ca="1">SUMIFS(OUT!$F$2:$F$11000,OUT!$H$2:$H$11000,H1624,OUT!$D$2:$D$11000,"Out",OUT!$E$2:$E$11000,"Iqbal")</f>
        <v>0</v>
      </c>
    </row>
    <row r="1625" spans="7:20" x14ac:dyDescent="0.2">
      <c r="G1625" s="50"/>
      <c r="H1625" s="51" t="str">
        <f t="shared" si="0"/>
        <v/>
      </c>
      <c r="I1625" s="52" t="e">
        <f>SUMIFS(OUT!$F$2:$F$11000,OUT!$H$2:$H$11000,H1625,OUT!$D$2:$D$101007,"In")</f>
        <v>#VALUE!</v>
      </c>
      <c r="J1625" s="52">
        <f ca="1">SUMIFS(OUT!$F$2:$F$11000,OUT!$H$2:$H$11000,H1625,OUT!$D$2:$D$11000,"Out")</f>
        <v>0</v>
      </c>
      <c r="K1625" s="52">
        <f ca="1">SUMIFS(OUT!$F$2:$F$11000,OUT!$H$2:$H$11000,H1625,OUT!$D$2:$D$11000,"Out",OUT!$E$2:$E$11000,"Fix")</f>
        <v>0</v>
      </c>
      <c r="L1625" s="52">
        <f ca="1">SUMIFS(OUT!$F$2:$F$11000,OUT!$H$2:$H$11000,H1625,OUT!$D$2:$D$11000,"Out",OUT!$E$2:$E$11000,"Bathroom")</f>
        <v>0</v>
      </c>
      <c r="M1625" s="52">
        <f ca="1">SUMIFS(OUT!$F$2:$F$11000,OUT!$H$2:$H$11000,H1625,OUT!$D$2:$D$11000,"Out",OUT!$E$2:$E$11000,"Alfa")</f>
        <v>0</v>
      </c>
      <c r="N1625" s="52" t="e">
        <f>SUMIFS(OUT!$F$2:$F$11000,OUT!$H$2:$H$101007,H1625,OUT!$D$2:$D$11000,"Out",OUT!$E$2:$E$11000,"Jajan")</f>
        <v>#VALUE!</v>
      </c>
      <c r="O1625" s="52">
        <f ca="1">SUMIFS(OUT!$F$2:$F$11000,OUT!$H$2:$H$11000,H1625,OUT!$D$2:$D$11000,"Out",OUT!$E$2:$E$11000,"Kitchen")</f>
        <v>0</v>
      </c>
      <c r="P1625" s="52">
        <f ca="1">SUMIFS(OUT!$F$2:$F$11000,OUT!$H$2:$H$11000,H1625,OUT!$D$2:$D$11000,"Out",OUT!$E$2:$E$11000,"Loandry")</f>
        <v>0</v>
      </c>
      <c r="Q1625" s="52">
        <f ca="1">SUMIFS(OUT!$F$2:$F$11000,OUT!$H$2:$H$11000,H1625,OUT!$D$2:$D$11000,"Out",OUT!$E$2:$E$11000,"Mio")</f>
        <v>0</v>
      </c>
      <c r="R1625" s="52">
        <f ca="1">SUMIFS(OUT!$F$2:$F$11000,OUT!$H$2:$H$11000,H1625,OUT!$D$2:$D$11000,"Out",OUT!$E$2:$E$11000,"Sedekah")</f>
        <v>0</v>
      </c>
      <c r="S1625" s="52">
        <f ca="1">SUMIFS(OUT!$F$2:$F$11000,OUT!$H$2:$H$11000,H1625,OUT!$D$2:$D$11000,"Out",OUT!$E$2:$E$11000,"Zela")</f>
        <v>0</v>
      </c>
      <c r="T1625" s="52">
        <f ca="1">SUMIFS(OUT!$F$2:$F$11000,OUT!$H$2:$H$11000,H1625,OUT!$D$2:$D$11000,"Out",OUT!$E$2:$E$11000,"Iqbal")</f>
        <v>0</v>
      </c>
    </row>
    <row r="1626" spans="7:20" x14ac:dyDescent="0.2">
      <c r="G1626" s="50"/>
      <c r="H1626" s="51" t="str">
        <f t="shared" si="0"/>
        <v/>
      </c>
      <c r="I1626" s="52" t="e">
        <f>SUMIFS(OUT!$F$2:$F$11000,OUT!$H$2:$H$11000,H1626,OUT!$D$2:$D$101007,"In")</f>
        <v>#VALUE!</v>
      </c>
      <c r="J1626" s="52">
        <f ca="1">SUMIFS(OUT!$F$2:$F$11000,OUT!$H$2:$H$11000,H1626,OUT!$D$2:$D$11000,"Out")</f>
        <v>0</v>
      </c>
      <c r="K1626" s="52">
        <f ca="1">SUMIFS(OUT!$F$2:$F$11000,OUT!$H$2:$H$11000,H1626,OUT!$D$2:$D$11000,"Out",OUT!$E$2:$E$11000,"Fix")</f>
        <v>0</v>
      </c>
      <c r="L1626" s="52">
        <f ca="1">SUMIFS(OUT!$F$2:$F$11000,OUT!$H$2:$H$11000,H1626,OUT!$D$2:$D$11000,"Out",OUT!$E$2:$E$11000,"Bathroom")</f>
        <v>0</v>
      </c>
      <c r="M1626" s="52">
        <f ca="1">SUMIFS(OUT!$F$2:$F$11000,OUT!$H$2:$H$11000,H1626,OUT!$D$2:$D$11000,"Out",OUT!$E$2:$E$11000,"Alfa")</f>
        <v>0</v>
      </c>
      <c r="N1626" s="52" t="e">
        <f>SUMIFS(OUT!$F$2:$F$11000,OUT!$H$2:$H$101007,H1626,OUT!$D$2:$D$11000,"Out",OUT!$E$2:$E$11000,"Jajan")</f>
        <v>#VALUE!</v>
      </c>
      <c r="O1626" s="52">
        <f ca="1">SUMIFS(OUT!$F$2:$F$11000,OUT!$H$2:$H$11000,H1626,OUT!$D$2:$D$11000,"Out",OUT!$E$2:$E$11000,"Kitchen")</f>
        <v>0</v>
      </c>
      <c r="P1626" s="52">
        <f ca="1">SUMIFS(OUT!$F$2:$F$11000,OUT!$H$2:$H$11000,H1626,OUT!$D$2:$D$11000,"Out",OUT!$E$2:$E$11000,"Loandry")</f>
        <v>0</v>
      </c>
      <c r="Q1626" s="52">
        <f ca="1">SUMIFS(OUT!$F$2:$F$11000,OUT!$H$2:$H$11000,H1626,OUT!$D$2:$D$11000,"Out",OUT!$E$2:$E$11000,"Mio")</f>
        <v>0</v>
      </c>
      <c r="R1626" s="52">
        <f ca="1">SUMIFS(OUT!$F$2:$F$11000,OUT!$H$2:$H$11000,H1626,OUT!$D$2:$D$11000,"Out",OUT!$E$2:$E$11000,"Sedekah")</f>
        <v>0</v>
      </c>
      <c r="S1626" s="52">
        <f ca="1">SUMIFS(OUT!$F$2:$F$11000,OUT!$H$2:$H$11000,H1626,OUT!$D$2:$D$11000,"Out",OUT!$E$2:$E$11000,"Zela")</f>
        <v>0</v>
      </c>
      <c r="T1626" s="52">
        <f ca="1">SUMIFS(OUT!$F$2:$F$11000,OUT!$H$2:$H$11000,H1626,OUT!$D$2:$D$11000,"Out",OUT!$E$2:$E$11000,"Iqbal")</f>
        <v>0</v>
      </c>
    </row>
    <row r="1627" spans="7:20" x14ac:dyDescent="0.2">
      <c r="G1627" s="50"/>
      <c r="H1627" s="51" t="str">
        <f t="shared" si="0"/>
        <v/>
      </c>
      <c r="I1627" s="52" t="e">
        <f>SUMIFS(OUT!$F$2:$F$11000,OUT!$H$2:$H$11000,H1627,OUT!$D$2:$D$101007,"In")</f>
        <v>#VALUE!</v>
      </c>
      <c r="J1627" s="52">
        <f ca="1">SUMIFS(OUT!$F$2:$F$11000,OUT!$H$2:$H$11000,H1627,OUT!$D$2:$D$11000,"Out")</f>
        <v>0</v>
      </c>
      <c r="K1627" s="52">
        <f ca="1">SUMIFS(OUT!$F$2:$F$11000,OUT!$H$2:$H$11000,H1627,OUT!$D$2:$D$11000,"Out",OUT!$E$2:$E$11000,"Fix")</f>
        <v>0</v>
      </c>
      <c r="L1627" s="52">
        <f ca="1">SUMIFS(OUT!$F$2:$F$11000,OUT!$H$2:$H$11000,H1627,OUT!$D$2:$D$11000,"Out",OUT!$E$2:$E$11000,"Bathroom")</f>
        <v>0</v>
      </c>
      <c r="M1627" s="52">
        <f ca="1">SUMIFS(OUT!$F$2:$F$11000,OUT!$H$2:$H$11000,H1627,OUT!$D$2:$D$11000,"Out",OUT!$E$2:$E$11000,"Alfa")</f>
        <v>0</v>
      </c>
      <c r="N1627" s="52" t="e">
        <f>SUMIFS(OUT!$F$2:$F$11000,OUT!$H$2:$H$101007,H1627,OUT!$D$2:$D$11000,"Out",OUT!$E$2:$E$11000,"Jajan")</f>
        <v>#VALUE!</v>
      </c>
      <c r="O1627" s="52">
        <f ca="1">SUMIFS(OUT!$F$2:$F$11000,OUT!$H$2:$H$11000,H1627,OUT!$D$2:$D$11000,"Out",OUT!$E$2:$E$11000,"Kitchen")</f>
        <v>0</v>
      </c>
      <c r="P1627" s="52">
        <f ca="1">SUMIFS(OUT!$F$2:$F$11000,OUT!$H$2:$H$11000,H1627,OUT!$D$2:$D$11000,"Out",OUT!$E$2:$E$11000,"Loandry")</f>
        <v>0</v>
      </c>
      <c r="Q1627" s="52">
        <f ca="1">SUMIFS(OUT!$F$2:$F$11000,OUT!$H$2:$H$11000,H1627,OUT!$D$2:$D$11000,"Out",OUT!$E$2:$E$11000,"Mio")</f>
        <v>0</v>
      </c>
      <c r="R1627" s="52">
        <f ca="1">SUMIFS(OUT!$F$2:$F$11000,OUT!$H$2:$H$11000,H1627,OUT!$D$2:$D$11000,"Out",OUT!$E$2:$E$11000,"Sedekah")</f>
        <v>0</v>
      </c>
      <c r="S1627" s="52">
        <f ca="1">SUMIFS(OUT!$F$2:$F$11000,OUT!$H$2:$H$11000,H1627,OUT!$D$2:$D$11000,"Out",OUT!$E$2:$E$11000,"Zela")</f>
        <v>0</v>
      </c>
      <c r="T1627" s="52">
        <f ca="1">SUMIFS(OUT!$F$2:$F$11000,OUT!$H$2:$H$11000,H1627,OUT!$D$2:$D$11000,"Out",OUT!$E$2:$E$11000,"Iqbal")</f>
        <v>0</v>
      </c>
    </row>
    <row r="1628" spans="7:20" x14ac:dyDescent="0.2">
      <c r="G1628" s="50"/>
      <c r="H1628" s="51" t="str">
        <f t="shared" si="0"/>
        <v/>
      </c>
      <c r="I1628" s="52" t="e">
        <f>SUMIFS(OUT!$F$2:$F$11000,OUT!$H$2:$H$11000,H1628,OUT!$D$2:$D$101007,"In")</f>
        <v>#VALUE!</v>
      </c>
      <c r="J1628" s="52">
        <f ca="1">SUMIFS(OUT!$F$2:$F$11000,OUT!$H$2:$H$11000,H1628,OUT!$D$2:$D$11000,"Out")</f>
        <v>0</v>
      </c>
      <c r="K1628" s="52">
        <f ca="1">SUMIFS(OUT!$F$2:$F$11000,OUT!$H$2:$H$11000,H1628,OUT!$D$2:$D$11000,"Out",OUT!$E$2:$E$11000,"Fix")</f>
        <v>0</v>
      </c>
      <c r="L1628" s="52">
        <f ca="1">SUMIFS(OUT!$F$2:$F$11000,OUT!$H$2:$H$11000,H1628,OUT!$D$2:$D$11000,"Out",OUT!$E$2:$E$11000,"Bathroom")</f>
        <v>0</v>
      </c>
      <c r="M1628" s="52">
        <f ca="1">SUMIFS(OUT!$F$2:$F$11000,OUT!$H$2:$H$11000,H1628,OUT!$D$2:$D$11000,"Out",OUT!$E$2:$E$11000,"Alfa")</f>
        <v>0</v>
      </c>
      <c r="N1628" s="52" t="e">
        <f>SUMIFS(OUT!$F$2:$F$11000,OUT!$H$2:$H$101007,H1628,OUT!$D$2:$D$11000,"Out",OUT!$E$2:$E$11000,"Jajan")</f>
        <v>#VALUE!</v>
      </c>
      <c r="O1628" s="52">
        <f ca="1">SUMIFS(OUT!$F$2:$F$11000,OUT!$H$2:$H$11000,H1628,OUT!$D$2:$D$11000,"Out",OUT!$E$2:$E$11000,"Kitchen")</f>
        <v>0</v>
      </c>
      <c r="P1628" s="52">
        <f ca="1">SUMIFS(OUT!$F$2:$F$11000,OUT!$H$2:$H$11000,H1628,OUT!$D$2:$D$11000,"Out",OUT!$E$2:$E$11000,"Loandry")</f>
        <v>0</v>
      </c>
      <c r="Q1628" s="52">
        <f ca="1">SUMIFS(OUT!$F$2:$F$11000,OUT!$H$2:$H$11000,H1628,OUT!$D$2:$D$11000,"Out",OUT!$E$2:$E$11000,"Mio")</f>
        <v>0</v>
      </c>
      <c r="R1628" s="52">
        <f ca="1">SUMIFS(OUT!$F$2:$F$11000,OUT!$H$2:$H$11000,H1628,OUT!$D$2:$D$11000,"Out",OUT!$E$2:$E$11000,"Sedekah")</f>
        <v>0</v>
      </c>
      <c r="S1628" s="52">
        <f ca="1">SUMIFS(OUT!$F$2:$F$11000,OUT!$H$2:$H$11000,H1628,OUT!$D$2:$D$11000,"Out",OUT!$E$2:$E$11000,"Zela")</f>
        <v>0</v>
      </c>
      <c r="T1628" s="52">
        <f ca="1">SUMIFS(OUT!$F$2:$F$11000,OUT!$H$2:$H$11000,H1628,OUT!$D$2:$D$11000,"Out",OUT!$E$2:$E$11000,"Iqbal")</f>
        <v>0</v>
      </c>
    </row>
    <row r="1629" spans="7:20" x14ac:dyDescent="0.2">
      <c r="G1629" s="50"/>
      <c r="H1629" s="51" t="str">
        <f t="shared" si="0"/>
        <v/>
      </c>
      <c r="I1629" s="52" t="e">
        <f>SUMIFS(OUT!$F$2:$F$11000,OUT!$H$2:$H$11000,H1629,OUT!$D$2:$D$101007,"In")</f>
        <v>#VALUE!</v>
      </c>
      <c r="J1629" s="52">
        <f ca="1">SUMIFS(OUT!$F$2:$F$11000,OUT!$H$2:$H$11000,H1629,OUT!$D$2:$D$11000,"Out")</f>
        <v>0</v>
      </c>
      <c r="K1629" s="52">
        <f ca="1">SUMIFS(OUT!$F$2:$F$11000,OUT!$H$2:$H$11000,H1629,OUT!$D$2:$D$11000,"Out",OUT!$E$2:$E$11000,"Fix")</f>
        <v>0</v>
      </c>
      <c r="L1629" s="52">
        <f ca="1">SUMIFS(OUT!$F$2:$F$11000,OUT!$H$2:$H$11000,H1629,OUT!$D$2:$D$11000,"Out",OUT!$E$2:$E$11000,"Bathroom")</f>
        <v>0</v>
      </c>
      <c r="M1629" s="52">
        <f ca="1">SUMIFS(OUT!$F$2:$F$11000,OUT!$H$2:$H$11000,H1629,OUT!$D$2:$D$11000,"Out",OUT!$E$2:$E$11000,"Alfa")</f>
        <v>0</v>
      </c>
      <c r="N1629" s="52" t="e">
        <f>SUMIFS(OUT!$F$2:$F$11000,OUT!$H$2:$H$101007,H1629,OUT!$D$2:$D$11000,"Out",OUT!$E$2:$E$11000,"Jajan")</f>
        <v>#VALUE!</v>
      </c>
      <c r="O1629" s="52">
        <f ca="1">SUMIFS(OUT!$F$2:$F$11000,OUT!$H$2:$H$11000,H1629,OUT!$D$2:$D$11000,"Out",OUT!$E$2:$E$11000,"Kitchen")</f>
        <v>0</v>
      </c>
      <c r="P1629" s="52">
        <f ca="1">SUMIFS(OUT!$F$2:$F$11000,OUT!$H$2:$H$11000,H1629,OUT!$D$2:$D$11000,"Out",OUT!$E$2:$E$11000,"Loandry")</f>
        <v>0</v>
      </c>
      <c r="Q1629" s="52">
        <f ca="1">SUMIFS(OUT!$F$2:$F$11000,OUT!$H$2:$H$11000,H1629,OUT!$D$2:$D$11000,"Out",OUT!$E$2:$E$11000,"Mio")</f>
        <v>0</v>
      </c>
      <c r="R1629" s="52">
        <f ca="1">SUMIFS(OUT!$F$2:$F$11000,OUT!$H$2:$H$11000,H1629,OUT!$D$2:$D$11000,"Out",OUT!$E$2:$E$11000,"Sedekah")</f>
        <v>0</v>
      </c>
      <c r="S1629" s="52">
        <f ca="1">SUMIFS(OUT!$F$2:$F$11000,OUT!$H$2:$H$11000,H1629,OUT!$D$2:$D$11000,"Out",OUT!$E$2:$E$11000,"Zela")</f>
        <v>0</v>
      </c>
      <c r="T1629" s="52">
        <f ca="1">SUMIFS(OUT!$F$2:$F$11000,OUT!$H$2:$H$11000,H1629,OUT!$D$2:$D$11000,"Out",OUT!$E$2:$E$11000,"Iqbal")</f>
        <v>0</v>
      </c>
    </row>
    <row r="1630" spans="7:20" x14ac:dyDescent="0.2">
      <c r="G1630" s="50"/>
      <c r="H1630" s="51" t="str">
        <f t="shared" si="0"/>
        <v/>
      </c>
      <c r="I1630" s="52" t="e">
        <f>SUMIFS(OUT!$F$2:$F$11000,OUT!$H$2:$H$11000,H1630,OUT!$D$2:$D$101007,"In")</f>
        <v>#VALUE!</v>
      </c>
      <c r="J1630" s="52">
        <f ca="1">SUMIFS(OUT!$F$2:$F$11000,OUT!$H$2:$H$11000,H1630,OUT!$D$2:$D$11000,"Out")</f>
        <v>0</v>
      </c>
      <c r="K1630" s="52">
        <f ca="1">SUMIFS(OUT!$F$2:$F$11000,OUT!$H$2:$H$11000,H1630,OUT!$D$2:$D$11000,"Out",OUT!$E$2:$E$11000,"Fix")</f>
        <v>0</v>
      </c>
      <c r="L1630" s="52">
        <f ca="1">SUMIFS(OUT!$F$2:$F$11000,OUT!$H$2:$H$11000,H1630,OUT!$D$2:$D$11000,"Out",OUT!$E$2:$E$11000,"Bathroom")</f>
        <v>0</v>
      </c>
      <c r="M1630" s="52">
        <f ca="1">SUMIFS(OUT!$F$2:$F$11000,OUT!$H$2:$H$11000,H1630,OUT!$D$2:$D$11000,"Out",OUT!$E$2:$E$11000,"Alfa")</f>
        <v>0</v>
      </c>
      <c r="N1630" s="52" t="e">
        <f>SUMIFS(OUT!$F$2:$F$11000,OUT!$H$2:$H$101007,H1630,OUT!$D$2:$D$11000,"Out",OUT!$E$2:$E$11000,"Jajan")</f>
        <v>#VALUE!</v>
      </c>
      <c r="O1630" s="52">
        <f ca="1">SUMIFS(OUT!$F$2:$F$11000,OUT!$H$2:$H$11000,H1630,OUT!$D$2:$D$11000,"Out",OUT!$E$2:$E$11000,"Kitchen")</f>
        <v>0</v>
      </c>
      <c r="P1630" s="52">
        <f ca="1">SUMIFS(OUT!$F$2:$F$11000,OUT!$H$2:$H$11000,H1630,OUT!$D$2:$D$11000,"Out",OUT!$E$2:$E$11000,"Loandry")</f>
        <v>0</v>
      </c>
      <c r="Q1630" s="52">
        <f ca="1">SUMIFS(OUT!$F$2:$F$11000,OUT!$H$2:$H$11000,H1630,OUT!$D$2:$D$11000,"Out",OUT!$E$2:$E$11000,"Mio")</f>
        <v>0</v>
      </c>
      <c r="R1630" s="52">
        <f ca="1">SUMIFS(OUT!$F$2:$F$11000,OUT!$H$2:$H$11000,H1630,OUT!$D$2:$D$11000,"Out",OUT!$E$2:$E$11000,"Sedekah")</f>
        <v>0</v>
      </c>
      <c r="S1630" s="52">
        <f ca="1">SUMIFS(OUT!$F$2:$F$11000,OUT!$H$2:$H$11000,H1630,OUT!$D$2:$D$11000,"Out",OUT!$E$2:$E$11000,"Zela")</f>
        <v>0</v>
      </c>
      <c r="T1630" s="52">
        <f ca="1">SUMIFS(OUT!$F$2:$F$11000,OUT!$H$2:$H$11000,H1630,OUT!$D$2:$D$11000,"Out",OUT!$E$2:$E$11000,"Iqbal")</f>
        <v>0</v>
      </c>
    </row>
    <row r="1631" spans="7:20" x14ac:dyDescent="0.2">
      <c r="G1631" s="50"/>
      <c r="H1631" s="51" t="str">
        <f t="shared" si="0"/>
        <v/>
      </c>
      <c r="I1631" s="52" t="e">
        <f>SUMIFS(OUT!$F$2:$F$11000,OUT!$H$2:$H$11000,H1631,OUT!$D$2:$D$101007,"In")</f>
        <v>#VALUE!</v>
      </c>
      <c r="J1631" s="52">
        <f ca="1">SUMIFS(OUT!$F$2:$F$11000,OUT!$H$2:$H$11000,H1631,OUT!$D$2:$D$11000,"Out")</f>
        <v>0</v>
      </c>
      <c r="K1631" s="52">
        <f ca="1">SUMIFS(OUT!$F$2:$F$11000,OUT!$H$2:$H$11000,H1631,OUT!$D$2:$D$11000,"Out",OUT!$E$2:$E$11000,"Fix")</f>
        <v>0</v>
      </c>
      <c r="L1631" s="52">
        <f ca="1">SUMIFS(OUT!$F$2:$F$11000,OUT!$H$2:$H$11000,H1631,OUT!$D$2:$D$11000,"Out",OUT!$E$2:$E$11000,"Bathroom")</f>
        <v>0</v>
      </c>
      <c r="M1631" s="52">
        <f ca="1">SUMIFS(OUT!$F$2:$F$11000,OUT!$H$2:$H$11000,H1631,OUT!$D$2:$D$11000,"Out",OUT!$E$2:$E$11000,"Alfa")</f>
        <v>0</v>
      </c>
      <c r="N1631" s="52" t="e">
        <f>SUMIFS(OUT!$F$2:$F$11000,OUT!$H$2:$H$101007,H1631,OUT!$D$2:$D$11000,"Out",OUT!$E$2:$E$11000,"Jajan")</f>
        <v>#VALUE!</v>
      </c>
      <c r="O1631" s="52">
        <f ca="1">SUMIFS(OUT!$F$2:$F$11000,OUT!$H$2:$H$11000,H1631,OUT!$D$2:$D$11000,"Out",OUT!$E$2:$E$11000,"Kitchen")</f>
        <v>0</v>
      </c>
      <c r="P1631" s="52">
        <f ca="1">SUMIFS(OUT!$F$2:$F$11000,OUT!$H$2:$H$11000,H1631,OUT!$D$2:$D$11000,"Out",OUT!$E$2:$E$11000,"Loandry")</f>
        <v>0</v>
      </c>
      <c r="Q1631" s="52">
        <f ca="1">SUMIFS(OUT!$F$2:$F$11000,OUT!$H$2:$H$11000,H1631,OUT!$D$2:$D$11000,"Out",OUT!$E$2:$E$11000,"Mio")</f>
        <v>0</v>
      </c>
      <c r="R1631" s="52">
        <f ca="1">SUMIFS(OUT!$F$2:$F$11000,OUT!$H$2:$H$11000,H1631,OUT!$D$2:$D$11000,"Out",OUT!$E$2:$E$11000,"Sedekah")</f>
        <v>0</v>
      </c>
      <c r="S1631" s="52">
        <f ca="1">SUMIFS(OUT!$F$2:$F$11000,OUT!$H$2:$H$11000,H1631,OUT!$D$2:$D$11000,"Out",OUT!$E$2:$E$11000,"Zela")</f>
        <v>0</v>
      </c>
      <c r="T1631" s="52">
        <f ca="1">SUMIFS(OUT!$F$2:$F$11000,OUT!$H$2:$H$11000,H1631,OUT!$D$2:$D$11000,"Out",OUT!$E$2:$E$11000,"Iqbal")</f>
        <v>0</v>
      </c>
    </row>
    <row r="1632" spans="7:20" x14ac:dyDescent="0.2">
      <c r="G1632" s="50"/>
      <c r="H1632" s="51" t="str">
        <f t="shared" si="0"/>
        <v/>
      </c>
      <c r="I1632" s="52" t="e">
        <f>SUMIFS(OUT!$F$2:$F$11000,OUT!$H$2:$H$11000,H1632,OUT!$D$2:$D$101007,"In")</f>
        <v>#VALUE!</v>
      </c>
      <c r="J1632" s="52">
        <f ca="1">SUMIFS(OUT!$F$2:$F$11000,OUT!$H$2:$H$11000,H1632,OUT!$D$2:$D$11000,"Out")</f>
        <v>0</v>
      </c>
      <c r="K1632" s="52">
        <f ca="1">SUMIFS(OUT!$F$2:$F$11000,OUT!$H$2:$H$11000,H1632,OUT!$D$2:$D$11000,"Out",OUT!$E$2:$E$11000,"Fix")</f>
        <v>0</v>
      </c>
      <c r="L1632" s="52">
        <f ca="1">SUMIFS(OUT!$F$2:$F$11000,OUT!$H$2:$H$11000,H1632,OUT!$D$2:$D$11000,"Out",OUT!$E$2:$E$11000,"Bathroom")</f>
        <v>0</v>
      </c>
      <c r="M1632" s="52">
        <f ca="1">SUMIFS(OUT!$F$2:$F$11000,OUT!$H$2:$H$11000,H1632,OUT!$D$2:$D$11000,"Out",OUT!$E$2:$E$11000,"Alfa")</f>
        <v>0</v>
      </c>
      <c r="N1632" s="52" t="e">
        <f>SUMIFS(OUT!$F$2:$F$11000,OUT!$H$2:$H$101007,H1632,OUT!$D$2:$D$11000,"Out",OUT!$E$2:$E$11000,"Jajan")</f>
        <v>#VALUE!</v>
      </c>
      <c r="O1632" s="52">
        <f ca="1">SUMIFS(OUT!$F$2:$F$11000,OUT!$H$2:$H$11000,H1632,OUT!$D$2:$D$11000,"Out",OUT!$E$2:$E$11000,"Kitchen")</f>
        <v>0</v>
      </c>
      <c r="P1632" s="52">
        <f ca="1">SUMIFS(OUT!$F$2:$F$11000,OUT!$H$2:$H$11000,H1632,OUT!$D$2:$D$11000,"Out",OUT!$E$2:$E$11000,"Loandry")</f>
        <v>0</v>
      </c>
      <c r="Q1632" s="52">
        <f ca="1">SUMIFS(OUT!$F$2:$F$11000,OUT!$H$2:$H$11000,H1632,OUT!$D$2:$D$11000,"Out",OUT!$E$2:$E$11000,"Mio")</f>
        <v>0</v>
      </c>
      <c r="R1632" s="52">
        <f ca="1">SUMIFS(OUT!$F$2:$F$11000,OUT!$H$2:$H$11000,H1632,OUT!$D$2:$D$11000,"Out",OUT!$E$2:$E$11000,"Sedekah")</f>
        <v>0</v>
      </c>
      <c r="S1632" s="52">
        <f ca="1">SUMIFS(OUT!$F$2:$F$11000,OUT!$H$2:$H$11000,H1632,OUT!$D$2:$D$11000,"Out",OUT!$E$2:$E$11000,"Zela")</f>
        <v>0</v>
      </c>
      <c r="T1632" s="52">
        <f ca="1">SUMIFS(OUT!$F$2:$F$11000,OUT!$H$2:$H$11000,H1632,OUT!$D$2:$D$11000,"Out",OUT!$E$2:$E$11000,"Iqbal")</f>
        <v>0</v>
      </c>
    </row>
    <row r="1633" spans="7:20" x14ac:dyDescent="0.2">
      <c r="G1633" s="50"/>
      <c r="H1633" s="51" t="str">
        <f t="shared" si="0"/>
        <v/>
      </c>
      <c r="I1633" s="52" t="e">
        <f>SUMIFS(OUT!$F$2:$F$11000,OUT!$H$2:$H$11000,H1633,OUT!$D$2:$D$101007,"In")</f>
        <v>#VALUE!</v>
      </c>
      <c r="J1633" s="52">
        <f ca="1">SUMIFS(OUT!$F$2:$F$11000,OUT!$H$2:$H$11000,H1633,OUT!$D$2:$D$11000,"Out")</f>
        <v>0</v>
      </c>
      <c r="K1633" s="52">
        <f ca="1">SUMIFS(OUT!$F$2:$F$11000,OUT!$H$2:$H$11000,H1633,OUT!$D$2:$D$11000,"Out",OUT!$E$2:$E$11000,"Fix")</f>
        <v>0</v>
      </c>
      <c r="L1633" s="52">
        <f ca="1">SUMIFS(OUT!$F$2:$F$11000,OUT!$H$2:$H$11000,H1633,OUT!$D$2:$D$11000,"Out",OUT!$E$2:$E$11000,"Bathroom")</f>
        <v>0</v>
      </c>
      <c r="M1633" s="52">
        <f ca="1">SUMIFS(OUT!$F$2:$F$11000,OUT!$H$2:$H$11000,H1633,OUT!$D$2:$D$11000,"Out",OUT!$E$2:$E$11000,"Alfa")</f>
        <v>0</v>
      </c>
      <c r="N1633" s="52" t="e">
        <f>SUMIFS(OUT!$F$2:$F$11000,OUT!$H$2:$H$101007,H1633,OUT!$D$2:$D$11000,"Out",OUT!$E$2:$E$11000,"Jajan")</f>
        <v>#VALUE!</v>
      </c>
      <c r="O1633" s="52">
        <f ca="1">SUMIFS(OUT!$F$2:$F$11000,OUT!$H$2:$H$11000,H1633,OUT!$D$2:$D$11000,"Out",OUT!$E$2:$E$11000,"Kitchen")</f>
        <v>0</v>
      </c>
      <c r="P1633" s="52">
        <f ca="1">SUMIFS(OUT!$F$2:$F$11000,OUT!$H$2:$H$11000,H1633,OUT!$D$2:$D$11000,"Out",OUT!$E$2:$E$11000,"Loandry")</f>
        <v>0</v>
      </c>
      <c r="Q1633" s="52">
        <f ca="1">SUMIFS(OUT!$F$2:$F$11000,OUT!$H$2:$H$11000,H1633,OUT!$D$2:$D$11000,"Out",OUT!$E$2:$E$11000,"Mio")</f>
        <v>0</v>
      </c>
      <c r="R1633" s="52">
        <f ca="1">SUMIFS(OUT!$F$2:$F$11000,OUT!$H$2:$H$11000,H1633,OUT!$D$2:$D$11000,"Out",OUT!$E$2:$E$11000,"Sedekah")</f>
        <v>0</v>
      </c>
      <c r="S1633" s="52">
        <f ca="1">SUMIFS(OUT!$F$2:$F$11000,OUT!$H$2:$H$11000,H1633,OUT!$D$2:$D$11000,"Out",OUT!$E$2:$E$11000,"Zela")</f>
        <v>0</v>
      </c>
      <c r="T1633" s="52">
        <f ca="1">SUMIFS(OUT!$F$2:$F$11000,OUT!$H$2:$H$11000,H1633,OUT!$D$2:$D$11000,"Out",OUT!$E$2:$E$11000,"Iqbal")</f>
        <v>0</v>
      </c>
    </row>
    <row r="1634" spans="7:20" x14ac:dyDescent="0.2">
      <c r="G1634" s="50"/>
      <c r="H1634" s="51" t="str">
        <f t="shared" si="0"/>
        <v/>
      </c>
      <c r="I1634" s="52" t="e">
        <f>SUMIFS(OUT!$F$2:$F$11000,OUT!$H$2:$H$11000,H1634,OUT!$D$2:$D$101007,"In")</f>
        <v>#VALUE!</v>
      </c>
      <c r="J1634" s="52">
        <f ca="1">SUMIFS(OUT!$F$2:$F$11000,OUT!$H$2:$H$11000,H1634,OUT!$D$2:$D$11000,"Out")</f>
        <v>0</v>
      </c>
      <c r="K1634" s="52">
        <f ca="1">SUMIFS(OUT!$F$2:$F$11000,OUT!$H$2:$H$11000,H1634,OUT!$D$2:$D$11000,"Out",OUT!$E$2:$E$11000,"Fix")</f>
        <v>0</v>
      </c>
      <c r="L1634" s="52">
        <f ca="1">SUMIFS(OUT!$F$2:$F$11000,OUT!$H$2:$H$11000,H1634,OUT!$D$2:$D$11000,"Out",OUT!$E$2:$E$11000,"Bathroom")</f>
        <v>0</v>
      </c>
      <c r="M1634" s="52">
        <f ca="1">SUMIFS(OUT!$F$2:$F$11000,OUT!$H$2:$H$11000,H1634,OUT!$D$2:$D$11000,"Out",OUT!$E$2:$E$11000,"Alfa")</f>
        <v>0</v>
      </c>
      <c r="N1634" s="52" t="e">
        <f>SUMIFS(OUT!$F$2:$F$11000,OUT!$H$2:$H$101007,H1634,OUT!$D$2:$D$11000,"Out",OUT!$E$2:$E$11000,"Jajan")</f>
        <v>#VALUE!</v>
      </c>
      <c r="O1634" s="52">
        <f ca="1">SUMIFS(OUT!$F$2:$F$11000,OUT!$H$2:$H$11000,H1634,OUT!$D$2:$D$11000,"Out",OUT!$E$2:$E$11000,"Kitchen")</f>
        <v>0</v>
      </c>
      <c r="P1634" s="52">
        <f ca="1">SUMIFS(OUT!$F$2:$F$11000,OUT!$H$2:$H$11000,H1634,OUT!$D$2:$D$11000,"Out",OUT!$E$2:$E$11000,"Loandry")</f>
        <v>0</v>
      </c>
      <c r="Q1634" s="52">
        <f ca="1">SUMIFS(OUT!$F$2:$F$11000,OUT!$H$2:$H$11000,H1634,OUT!$D$2:$D$11000,"Out",OUT!$E$2:$E$11000,"Mio")</f>
        <v>0</v>
      </c>
      <c r="R1634" s="52">
        <f ca="1">SUMIFS(OUT!$F$2:$F$11000,OUT!$H$2:$H$11000,H1634,OUT!$D$2:$D$11000,"Out",OUT!$E$2:$E$11000,"Sedekah")</f>
        <v>0</v>
      </c>
      <c r="S1634" s="52">
        <f ca="1">SUMIFS(OUT!$F$2:$F$11000,OUT!$H$2:$H$11000,H1634,OUT!$D$2:$D$11000,"Out",OUT!$E$2:$E$11000,"Zela")</f>
        <v>0</v>
      </c>
      <c r="T1634" s="52">
        <f ca="1">SUMIFS(OUT!$F$2:$F$11000,OUT!$H$2:$H$11000,H1634,OUT!$D$2:$D$11000,"Out",OUT!$E$2:$E$11000,"Iqbal")</f>
        <v>0</v>
      </c>
    </row>
    <row r="1635" spans="7:20" x14ac:dyDescent="0.2">
      <c r="G1635" s="50"/>
      <c r="H1635" s="51" t="str">
        <f t="shared" si="0"/>
        <v/>
      </c>
      <c r="I1635" s="52" t="e">
        <f>SUMIFS(OUT!$F$2:$F$11000,OUT!$H$2:$H$11000,H1635,OUT!$D$2:$D$101007,"In")</f>
        <v>#VALUE!</v>
      </c>
      <c r="J1635" s="52">
        <f ca="1">SUMIFS(OUT!$F$2:$F$11000,OUT!$H$2:$H$11000,H1635,OUT!$D$2:$D$11000,"Out")</f>
        <v>0</v>
      </c>
      <c r="K1635" s="52">
        <f ca="1">SUMIFS(OUT!$F$2:$F$11000,OUT!$H$2:$H$11000,H1635,OUT!$D$2:$D$11000,"Out",OUT!$E$2:$E$11000,"Fix")</f>
        <v>0</v>
      </c>
      <c r="L1635" s="52">
        <f ca="1">SUMIFS(OUT!$F$2:$F$11000,OUT!$H$2:$H$11000,H1635,OUT!$D$2:$D$11000,"Out",OUT!$E$2:$E$11000,"Bathroom")</f>
        <v>0</v>
      </c>
      <c r="M1635" s="52">
        <f ca="1">SUMIFS(OUT!$F$2:$F$11000,OUT!$H$2:$H$11000,H1635,OUT!$D$2:$D$11000,"Out",OUT!$E$2:$E$11000,"Alfa")</f>
        <v>0</v>
      </c>
      <c r="N1635" s="52" t="e">
        <f>SUMIFS(OUT!$F$2:$F$11000,OUT!$H$2:$H$101007,H1635,OUT!$D$2:$D$11000,"Out",OUT!$E$2:$E$11000,"Jajan")</f>
        <v>#VALUE!</v>
      </c>
      <c r="O1635" s="52">
        <f ca="1">SUMIFS(OUT!$F$2:$F$11000,OUT!$H$2:$H$11000,H1635,OUT!$D$2:$D$11000,"Out",OUT!$E$2:$E$11000,"Kitchen")</f>
        <v>0</v>
      </c>
      <c r="P1635" s="52">
        <f ca="1">SUMIFS(OUT!$F$2:$F$11000,OUT!$H$2:$H$11000,H1635,OUT!$D$2:$D$11000,"Out",OUT!$E$2:$E$11000,"Loandry")</f>
        <v>0</v>
      </c>
      <c r="Q1635" s="52">
        <f ca="1">SUMIFS(OUT!$F$2:$F$11000,OUT!$H$2:$H$11000,H1635,OUT!$D$2:$D$11000,"Out",OUT!$E$2:$E$11000,"Mio")</f>
        <v>0</v>
      </c>
      <c r="R1635" s="52">
        <f ca="1">SUMIFS(OUT!$F$2:$F$11000,OUT!$H$2:$H$11000,H1635,OUT!$D$2:$D$11000,"Out",OUT!$E$2:$E$11000,"Sedekah")</f>
        <v>0</v>
      </c>
      <c r="S1635" s="52">
        <f ca="1">SUMIFS(OUT!$F$2:$F$11000,OUT!$H$2:$H$11000,H1635,OUT!$D$2:$D$11000,"Out",OUT!$E$2:$E$11000,"Zela")</f>
        <v>0</v>
      </c>
      <c r="T1635" s="52">
        <f ca="1">SUMIFS(OUT!$F$2:$F$11000,OUT!$H$2:$H$11000,H1635,OUT!$D$2:$D$11000,"Out",OUT!$E$2:$E$11000,"Iqbal")</f>
        <v>0</v>
      </c>
    </row>
    <row r="1636" spans="7:20" x14ac:dyDescent="0.2">
      <c r="G1636" s="50"/>
      <c r="H1636" s="51" t="str">
        <f t="shared" si="0"/>
        <v/>
      </c>
      <c r="I1636" s="52" t="e">
        <f>SUMIFS(OUT!$F$2:$F$11000,OUT!$H$2:$H$11000,H1636,OUT!$D$2:$D$101007,"In")</f>
        <v>#VALUE!</v>
      </c>
      <c r="J1636" s="52">
        <f ca="1">SUMIFS(OUT!$F$2:$F$11000,OUT!$H$2:$H$11000,H1636,OUT!$D$2:$D$11000,"Out")</f>
        <v>0</v>
      </c>
      <c r="K1636" s="52">
        <f ca="1">SUMIFS(OUT!$F$2:$F$11000,OUT!$H$2:$H$11000,H1636,OUT!$D$2:$D$11000,"Out",OUT!$E$2:$E$11000,"Fix")</f>
        <v>0</v>
      </c>
      <c r="L1636" s="52">
        <f ca="1">SUMIFS(OUT!$F$2:$F$11000,OUT!$H$2:$H$11000,H1636,OUT!$D$2:$D$11000,"Out",OUT!$E$2:$E$11000,"Bathroom")</f>
        <v>0</v>
      </c>
      <c r="M1636" s="52">
        <f ca="1">SUMIFS(OUT!$F$2:$F$11000,OUT!$H$2:$H$11000,H1636,OUT!$D$2:$D$11000,"Out",OUT!$E$2:$E$11000,"Alfa")</f>
        <v>0</v>
      </c>
      <c r="N1636" s="52" t="e">
        <f>SUMIFS(OUT!$F$2:$F$11000,OUT!$H$2:$H$101007,H1636,OUT!$D$2:$D$11000,"Out",OUT!$E$2:$E$11000,"Jajan")</f>
        <v>#VALUE!</v>
      </c>
      <c r="O1636" s="52">
        <f ca="1">SUMIFS(OUT!$F$2:$F$11000,OUT!$H$2:$H$11000,H1636,OUT!$D$2:$D$11000,"Out",OUT!$E$2:$E$11000,"Kitchen")</f>
        <v>0</v>
      </c>
      <c r="P1636" s="52">
        <f ca="1">SUMIFS(OUT!$F$2:$F$11000,OUT!$H$2:$H$11000,H1636,OUT!$D$2:$D$11000,"Out",OUT!$E$2:$E$11000,"Loandry")</f>
        <v>0</v>
      </c>
      <c r="Q1636" s="52">
        <f ca="1">SUMIFS(OUT!$F$2:$F$11000,OUT!$H$2:$H$11000,H1636,OUT!$D$2:$D$11000,"Out",OUT!$E$2:$E$11000,"Mio")</f>
        <v>0</v>
      </c>
      <c r="R1636" s="52">
        <f ca="1">SUMIFS(OUT!$F$2:$F$11000,OUT!$H$2:$H$11000,H1636,OUT!$D$2:$D$11000,"Out",OUT!$E$2:$E$11000,"Sedekah")</f>
        <v>0</v>
      </c>
      <c r="S1636" s="52">
        <f ca="1">SUMIFS(OUT!$F$2:$F$11000,OUT!$H$2:$H$11000,H1636,OUT!$D$2:$D$11000,"Out",OUT!$E$2:$E$11000,"Zela")</f>
        <v>0</v>
      </c>
      <c r="T1636" s="52">
        <f ca="1">SUMIFS(OUT!$F$2:$F$11000,OUT!$H$2:$H$11000,H1636,OUT!$D$2:$D$11000,"Out",OUT!$E$2:$E$11000,"Iqbal")</f>
        <v>0</v>
      </c>
    </row>
    <row r="1637" spans="7:20" x14ac:dyDescent="0.2">
      <c r="G1637" s="50"/>
      <c r="H1637" s="51" t="str">
        <f t="shared" si="0"/>
        <v/>
      </c>
      <c r="I1637" s="52" t="e">
        <f>SUMIFS(OUT!$F$2:$F$11000,OUT!$H$2:$H$11000,H1637,OUT!$D$2:$D$101007,"In")</f>
        <v>#VALUE!</v>
      </c>
      <c r="J1637" s="52">
        <f ca="1">SUMIFS(OUT!$F$2:$F$11000,OUT!$H$2:$H$11000,H1637,OUT!$D$2:$D$11000,"Out")</f>
        <v>0</v>
      </c>
      <c r="K1637" s="52">
        <f ca="1">SUMIFS(OUT!$F$2:$F$11000,OUT!$H$2:$H$11000,H1637,OUT!$D$2:$D$11000,"Out",OUT!$E$2:$E$11000,"Fix")</f>
        <v>0</v>
      </c>
      <c r="L1637" s="52">
        <f ca="1">SUMIFS(OUT!$F$2:$F$11000,OUT!$H$2:$H$11000,H1637,OUT!$D$2:$D$11000,"Out",OUT!$E$2:$E$11000,"Bathroom")</f>
        <v>0</v>
      </c>
      <c r="M1637" s="52">
        <f ca="1">SUMIFS(OUT!$F$2:$F$11000,OUT!$H$2:$H$11000,H1637,OUT!$D$2:$D$11000,"Out",OUT!$E$2:$E$11000,"Alfa")</f>
        <v>0</v>
      </c>
      <c r="N1637" s="52" t="e">
        <f>SUMIFS(OUT!$F$2:$F$11000,OUT!$H$2:$H$101007,H1637,OUT!$D$2:$D$11000,"Out",OUT!$E$2:$E$11000,"Jajan")</f>
        <v>#VALUE!</v>
      </c>
      <c r="O1637" s="52">
        <f ca="1">SUMIFS(OUT!$F$2:$F$11000,OUT!$H$2:$H$11000,H1637,OUT!$D$2:$D$11000,"Out",OUT!$E$2:$E$11000,"Kitchen")</f>
        <v>0</v>
      </c>
      <c r="P1637" s="52">
        <f ca="1">SUMIFS(OUT!$F$2:$F$11000,OUT!$H$2:$H$11000,H1637,OUT!$D$2:$D$11000,"Out",OUT!$E$2:$E$11000,"Loandry")</f>
        <v>0</v>
      </c>
      <c r="Q1637" s="52">
        <f ca="1">SUMIFS(OUT!$F$2:$F$11000,OUT!$H$2:$H$11000,H1637,OUT!$D$2:$D$11000,"Out",OUT!$E$2:$E$11000,"Mio")</f>
        <v>0</v>
      </c>
      <c r="R1637" s="52">
        <f ca="1">SUMIFS(OUT!$F$2:$F$11000,OUT!$H$2:$H$11000,H1637,OUT!$D$2:$D$11000,"Out",OUT!$E$2:$E$11000,"Sedekah")</f>
        <v>0</v>
      </c>
      <c r="S1637" s="52">
        <f ca="1">SUMIFS(OUT!$F$2:$F$11000,OUT!$H$2:$H$11000,H1637,OUT!$D$2:$D$11000,"Out",OUT!$E$2:$E$11000,"Zela")</f>
        <v>0</v>
      </c>
      <c r="T1637" s="52">
        <f ca="1">SUMIFS(OUT!$F$2:$F$11000,OUT!$H$2:$H$11000,H1637,OUT!$D$2:$D$11000,"Out",OUT!$E$2:$E$11000,"Iqbal")</f>
        <v>0</v>
      </c>
    </row>
    <row r="1638" spans="7:20" x14ac:dyDescent="0.2">
      <c r="G1638" s="50"/>
      <c r="H1638" s="51" t="str">
        <f t="shared" si="0"/>
        <v/>
      </c>
      <c r="I1638" s="52" t="e">
        <f>SUMIFS(OUT!$F$2:$F$11000,OUT!$H$2:$H$11000,H1638,OUT!$D$2:$D$101007,"In")</f>
        <v>#VALUE!</v>
      </c>
      <c r="J1638" s="52">
        <f ca="1">SUMIFS(OUT!$F$2:$F$11000,OUT!$H$2:$H$11000,H1638,OUT!$D$2:$D$11000,"Out")</f>
        <v>0</v>
      </c>
      <c r="K1638" s="52">
        <f ca="1">SUMIFS(OUT!$F$2:$F$11000,OUT!$H$2:$H$11000,H1638,OUT!$D$2:$D$11000,"Out",OUT!$E$2:$E$11000,"Fix")</f>
        <v>0</v>
      </c>
      <c r="L1638" s="52">
        <f ca="1">SUMIFS(OUT!$F$2:$F$11000,OUT!$H$2:$H$11000,H1638,OUT!$D$2:$D$11000,"Out",OUT!$E$2:$E$11000,"Bathroom")</f>
        <v>0</v>
      </c>
      <c r="M1638" s="52">
        <f ca="1">SUMIFS(OUT!$F$2:$F$11000,OUT!$H$2:$H$11000,H1638,OUT!$D$2:$D$11000,"Out",OUT!$E$2:$E$11000,"Alfa")</f>
        <v>0</v>
      </c>
      <c r="N1638" s="52" t="e">
        <f>SUMIFS(OUT!$F$2:$F$11000,OUT!$H$2:$H$101007,H1638,OUT!$D$2:$D$11000,"Out",OUT!$E$2:$E$11000,"Jajan")</f>
        <v>#VALUE!</v>
      </c>
      <c r="O1638" s="52">
        <f ca="1">SUMIFS(OUT!$F$2:$F$11000,OUT!$H$2:$H$11000,H1638,OUT!$D$2:$D$11000,"Out",OUT!$E$2:$E$11000,"Kitchen")</f>
        <v>0</v>
      </c>
      <c r="P1638" s="52">
        <f ca="1">SUMIFS(OUT!$F$2:$F$11000,OUT!$H$2:$H$11000,H1638,OUT!$D$2:$D$11000,"Out",OUT!$E$2:$E$11000,"Loandry")</f>
        <v>0</v>
      </c>
      <c r="Q1638" s="52">
        <f ca="1">SUMIFS(OUT!$F$2:$F$11000,OUT!$H$2:$H$11000,H1638,OUT!$D$2:$D$11000,"Out",OUT!$E$2:$E$11000,"Mio")</f>
        <v>0</v>
      </c>
      <c r="R1638" s="52">
        <f ca="1">SUMIFS(OUT!$F$2:$F$11000,OUT!$H$2:$H$11000,H1638,OUT!$D$2:$D$11000,"Out",OUT!$E$2:$E$11000,"Sedekah")</f>
        <v>0</v>
      </c>
      <c r="S1638" s="52">
        <f ca="1">SUMIFS(OUT!$F$2:$F$11000,OUT!$H$2:$H$11000,H1638,OUT!$D$2:$D$11000,"Out",OUT!$E$2:$E$11000,"Zela")</f>
        <v>0</v>
      </c>
      <c r="T1638" s="52">
        <f ca="1">SUMIFS(OUT!$F$2:$F$11000,OUT!$H$2:$H$11000,H1638,OUT!$D$2:$D$11000,"Out",OUT!$E$2:$E$11000,"Iqbal")</f>
        <v>0</v>
      </c>
    </row>
    <row r="1639" spans="7:20" x14ac:dyDescent="0.2">
      <c r="G1639" s="50"/>
      <c r="H1639" s="51" t="str">
        <f t="shared" si="0"/>
        <v/>
      </c>
      <c r="I1639" s="52" t="e">
        <f>SUMIFS(OUT!$F$2:$F$11000,OUT!$H$2:$H$11000,H1639,OUT!$D$2:$D$101007,"In")</f>
        <v>#VALUE!</v>
      </c>
      <c r="J1639" s="52">
        <f ca="1">SUMIFS(OUT!$F$2:$F$11000,OUT!$H$2:$H$11000,H1639,OUT!$D$2:$D$11000,"Out")</f>
        <v>0</v>
      </c>
      <c r="K1639" s="52">
        <f ca="1">SUMIFS(OUT!$F$2:$F$11000,OUT!$H$2:$H$11000,H1639,OUT!$D$2:$D$11000,"Out",OUT!$E$2:$E$11000,"Fix")</f>
        <v>0</v>
      </c>
      <c r="L1639" s="52">
        <f ca="1">SUMIFS(OUT!$F$2:$F$11000,OUT!$H$2:$H$11000,H1639,OUT!$D$2:$D$11000,"Out",OUT!$E$2:$E$11000,"Bathroom")</f>
        <v>0</v>
      </c>
      <c r="M1639" s="52">
        <f ca="1">SUMIFS(OUT!$F$2:$F$11000,OUT!$H$2:$H$11000,H1639,OUT!$D$2:$D$11000,"Out",OUT!$E$2:$E$11000,"Alfa")</f>
        <v>0</v>
      </c>
      <c r="N1639" s="52" t="e">
        <f>SUMIFS(OUT!$F$2:$F$11000,OUT!$H$2:$H$101007,H1639,OUT!$D$2:$D$11000,"Out",OUT!$E$2:$E$11000,"Jajan")</f>
        <v>#VALUE!</v>
      </c>
      <c r="O1639" s="52">
        <f ca="1">SUMIFS(OUT!$F$2:$F$11000,OUT!$H$2:$H$11000,H1639,OUT!$D$2:$D$11000,"Out",OUT!$E$2:$E$11000,"Kitchen")</f>
        <v>0</v>
      </c>
      <c r="P1639" s="52">
        <f ca="1">SUMIFS(OUT!$F$2:$F$11000,OUT!$H$2:$H$11000,H1639,OUT!$D$2:$D$11000,"Out",OUT!$E$2:$E$11000,"Loandry")</f>
        <v>0</v>
      </c>
      <c r="Q1639" s="52">
        <f ca="1">SUMIFS(OUT!$F$2:$F$11000,OUT!$H$2:$H$11000,H1639,OUT!$D$2:$D$11000,"Out",OUT!$E$2:$E$11000,"Mio")</f>
        <v>0</v>
      </c>
      <c r="R1639" s="52">
        <f ca="1">SUMIFS(OUT!$F$2:$F$11000,OUT!$H$2:$H$11000,H1639,OUT!$D$2:$D$11000,"Out",OUT!$E$2:$E$11000,"Sedekah")</f>
        <v>0</v>
      </c>
      <c r="S1639" s="52">
        <f ca="1">SUMIFS(OUT!$F$2:$F$11000,OUT!$H$2:$H$11000,H1639,OUT!$D$2:$D$11000,"Out",OUT!$E$2:$E$11000,"Zela")</f>
        <v>0</v>
      </c>
      <c r="T1639" s="52">
        <f ca="1">SUMIFS(OUT!$F$2:$F$11000,OUT!$H$2:$H$11000,H1639,OUT!$D$2:$D$11000,"Out",OUT!$E$2:$E$11000,"Iqbal")</f>
        <v>0</v>
      </c>
    </row>
    <row r="1640" spans="7:20" x14ac:dyDescent="0.2">
      <c r="G1640" s="50"/>
      <c r="H1640" s="51" t="str">
        <f t="shared" si="0"/>
        <v/>
      </c>
      <c r="I1640" s="52" t="e">
        <f>SUMIFS(OUT!$F$2:$F$11000,OUT!$H$2:$H$11000,H1640,OUT!$D$2:$D$101007,"In")</f>
        <v>#VALUE!</v>
      </c>
      <c r="J1640" s="52">
        <f ca="1">SUMIFS(OUT!$F$2:$F$11000,OUT!$H$2:$H$11000,H1640,OUT!$D$2:$D$11000,"Out")</f>
        <v>0</v>
      </c>
      <c r="K1640" s="52">
        <f ca="1">SUMIFS(OUT!$F$2:$F$11000,OUT!$H$2:$H$11000,H1640,OUT!$D$2:$D$11000,"Out",OUT!$E$2:$E$11000,"Fix")</f>
        <v>0</v>
      </c>
      <c r="L1640" s="52">
        <f ca="1">SUMIFS(OUT!$F$2:$F$11000,OUT!$H$2:$H$11000,H1640,OUT!$D$2:$D$11000,"Out",OUT!$E$2:$E$11000,"Bathroom")</f>
        <v>0</v>
      </c>
      <c r="M1640" s="52">
        <f ca="1">SUMIFS(OUT!$F$2:$F$11000,OUT!$H$2:$H$11000,H1640,OUT!$D$2:$D$11000,"Out",OUT!$E$2:$E$11000,"Alfa")</f>
        <v>0</v>
      </c>
      <c r="N1640" s="52" t="e">
        <f>SUMIFS(OUT!$F$2:$F$11000,OUT!$H$2:$H$101007,H1640,OUT!$D$2:$D$11000,"Out",OUT!$E$2:$E$11000,"Jajan")</f>
        <v>#VALUE!</v>
      </c>
      <c r="O1640" s="52">
        <f ca="1">SUMIFS(OUT!$F$2:$F$11000,OUT!$H$2:$H$11000,H1640,OUT!$D$2:$D$11000,"Out",OUT!$E$2:$E$11000,"Kitchen")</f>
        <v>0</v>
      </c>
      <c r="P1640" s="52">
        <f ca="1">SUMIFS(OUT!$F$2:$F$11000,OUT!$H$2:$H$11000,H1640,OUT!$D$2:$D$11000,"Out",OUT!$E$2:$E$11000,"Loandry")</f>
        <v>0</v>
      </c>
      <c r="Q1640" s="52">
        <f ca="1">SUMIFS(OUT!$F$2:$F$11000,OUT!$H$2:$H$11000,H1640,OUT!$D$2:$D$11000,"Out",OUT!$E$2:$E$11000,"Mio")</f>
        <v>0</v>
      </c>
      <c r="R1640" s="52">
        <f ca="1">SUMIFS(OUT!$F$2:$F$11000,OUT!$H$2:$H$11000,H1640,OUT!$D$2:$D$11000,"Out",OUT!$E$2:$E$11000,"Sedekah")</f>
        <v>0</v>
      </c>
      <c r="S1640" s="52">
        <f ca="1">SUMIFS(OUT!$F$2:$F$11000,OUT!$H$2:$H$11000,H1640,OUT!$D$2:$D$11000,"Out",OUT!$E$2:$E$11000,"Zela")</f>
        <v>0</v>
      </c>
      <c r="T1640" s="52">
        <f ca="1">SUMIFS(OUT!$F$2:$F$11000,OUT!$H$2:$H$11000,H1640,OUT!$D$2:$D$11000,"Out",OUT!$E$2:$E$11000,"Iqbal")</f>
        <v>0</v>
      </c>
    </row>
    <row r="1641" spans="7:20" x14ac:dyDescent="0.2">
      <c r="G1641" s="50"/>
      <c r="H1641" s="51" t="str">
        <f t="shared" si="0"/>
        <v/>
      </c>
      <c r="I1641" s="52" t="e">
        <f>SUMIFS(OUT!$F$2:$F$11000,OUT!$H$2:$H$11000,H1641,OUT!$D$2:$D$101007,"In")</f>
        <v>#VALUE!</v>
      </c>
      <c r="J1641" s="52">
        <f ca="1">SUMIFS(OUT!$F$2:$F$11000,OUT!$H$2:$H$11000,H1641,OUT!$D$2:$D$11000,"Out")</f>
        <v>0</v>
      </c>
      <c r="K1641" s="52">
        <f ca="1">SUMIFS(OUT!$F$2:$F$11000,OUT!$H$2:$H$11000,H1641,OUT!$D$2:$D$11000,"Out",OUT!$E$2:$E$11000,"Fix")</f>
        <v>0</v>
      </c>
      <c r="L1641" s="52">
        <f ca="1">SUMIFS(OUT!$F$2:$F$11000,OUT!$H$2:$H$11000,H1641,OUT!$D$2:$D$11000,"Out",OUT!$E$2:$E$11000,"Bathroom")</f>
        <v>0</v>
      </c>
      <c r="M1641" s="52">
        <f ca="1">SUMIFS(OUT!$F$2:$F$11000,OUT!$H$2:$H$11000,H1641,OUT!$D$2:$D$11000,"Out",OUT!$E$2:$E$11000,"Alfa")</f>
        <v>0</v>
      </c>
      <c r="N1641" s="52" t="e">
        <f>SUMIFS(OUT!$F$2:$F$11000,OUT!$H$2:$H$101007,H1641,OUT!$D$2:$D$11000,"Out",OUT!$E$2:$E$11000,"Jajan")</f>
        <v>#VALUE!</v>
      </c>
      <c r="O1641" s="52">
        <f ca="1">SUMIFS(OUT!$F$2:$F$11000,OUT!$H$2:$H$11000,H1641,OUT!$D$2:$D$11000,"Out",OUT!$E$2:$E$11000,"Kitchen")</f>
        <v>0</v>
      </c>
      <c r="P1641" s="52">
        <f ca="1">SUMIFS(OUT!$F$2:$F$11000,OUT!$H$2:$H$11000,H1641,OUT!$D$2:$D$11000,"Out",OUT!$E$2:$E$11000,"Loandry")</f>
        <v>0</v>
      </c>
      <c r="Q1641" s="52">
        <f ca="1">SUMIFS(OUT!$F$2:$F$11000,OUT!$H$2:$H$11000,H1641,OUT!$D$2:$D$11000,"Out",OUT!$E$2:$E$11000,"Mio")</f>
        <v>0</v>
      </c>
      <c r="R1641" s="52">
        <f ca="1">SUMIFS(OUT!$F$2:$F$11000,OUT!$H$2:$H$11000,H1641,OUT!$D$2:$D$11000,"Out",OUT!$E$2:$E$11000,"Sedekah")</f>
        <v>0</v>
      </c>
      <c r="S1641" s="52">
        <f ca="1">SUMIFS(OUT!$F$2:$F$11000,OUT!$H$2:$H$11000,H1641,OUT!$D$2:$D$11000,"Out",OUT!$E$2:$E$11000,"Zela")</f>
        <v>0</v>
      </c>
      <c r="T1641" s="52">
        <f ca="1">SUMIFS(OUT!$F$2:$F$11000,OUT!$H$2:$H$11000,H1641,OUT!$D$2:$D$11000,"Out",OUT!$E$2:$E$11000,"Iqbal")</f>
        <v>0</v>
      </c>
    </row>
    <row r="1642" spans="7:20" x14ac:dyDescent="0.2">
      <c r="G1642" s="50"/>
      <c r="H1642" s="51" t="str">
        <f t="shared" si="0"/>
        <v/>
      </c>
      <c r="I1642" s="52" t="e">
        <f>SUMIFS(OUT!$F$2:$F$11000,OUT!$H$2:$H$11000,H1642,OUT!$D$2:$D$101007,"In")</f>
        <v>#VALUE!</v>
      </c>
      <c r="J1642" s="52">
        <f ca="1">SUMIFS(OUT!$F$2:$F$11000,OUT!$H$2:$H$11000,H1642,OUT!$D$2:$D$11000,"Out")</f>
        <v>0</v>
      </c>
      <c r="K1642" s="52">
        <f ca="1">SUMIFS(OUT!$F$2:$F$11000,OUT!$H$2:$H$11000,H1642,OUT!$D$2:$D$11000,"Out",OUT!$E$2:$E$11000,"Fix")</f>
        <v>0</v>
      </c>
      <c r="L1642" s="52">
        <f ca="1">SUMIFS(OUT!$F$2:$F$11000,OUT!$H$2:$H$11000,H1642,OUT!$D$2:$D$11000,"Out",OUT!$E$2:$E$11000,"Bathroom")</f>
        <v>0</v>
      </c>
      <c r="M1642" s="52">
        <f ca="1">SUMIFS(OUT!$F$2:$F$11000,OUT!$H$2:$H$11000,H1642,OUT!$D$2:$D$11000,"Out",OUT!$E$2:$E$11000,"Alfa")</f>
        <v>0</v>
      </c>
      <c r="N1642" s="52" t="e">
        <f>SUMIFS(OUT!$F$2:$F$11000,OUT!$H$2:$H$101007,H1642,OUT!$D$2:$D$11000,"Out",OUT!$E$2:$E$11000,"Jajan")</f>
        <v>#VALUE!</v>
      </c>
      <c r="O1642" s="52">
        <f ca="1">SUMIFS(OUT!$F$2:$F$11000,OUT!$H$2:$H$11000,H1642,OUT!$D$2:$D$11000,"Out",OUT!$E$2:$E$11000,"Kitchen")</f>
        <v>0</v>
      </c>
      <c r="P1642" s="52">
        <f ca="1">SUMIFS(OUT!$F$2:$F$11000,OUT!$H$2:$H$11000,H1642,OUT!$D$2:$D$11000,"Out",OUT!$E$2:$E$11000,"Loandry")</f>
        <v>0</v>
      </c>
      <c r="Q1642" s="52">
        <f ca="1">SUMIFS(OUT!$F$2:$F$11000,OUT!$H$2:$H$11000,H1642,OUT!$D$2:$D$11000,"Out",OUT!$E$2:$E$11000,"Mio")</f>
        <v>0</v>
      </c>
      <c r="R1642" s="52">
        <f ca="1">SUMIFS(OUT!$F$2:$F$11000,OUT!$H$2:$H$11000,H1642,OUT!$D$2:$D$11000,"Out",OUT!$E$2:$E$11000,"Sedekah")</f>
        <v>0</v>
      </c>
      <c r="S1642" s="52">
        <f ca="1">SUMIFS(OUT!$F$2:$F$11000,OUT!$H$2:$H$11000,H1642,OUT!$D$2:$D$11000,"Out",OUT!$E$2:$E$11000,"Zela")</f>
        <v>0</v>
      </c>
      <c r="T1642" s="52">
        <f ca="1">SUMIFS(OUT!$F$2:$F$11000,OUT!$H$2:$H$11000,H1642,OUT!$D$2:$D$11000,"Out",OUT!$E$2:$E$11000,"Iqbal")</f>
        <v>0</v>
      </c>
    </row>
    <row r="1643" spans="7:20" x14ac:dyDescent="0.2">
      <c r="G1643" s="50"/>
      <c r="H1643" s="51" t="str">
        <f t="shared" si="0"/>
        <v/>
      </c>
      <c r="I1643" s="52" t="e">
        <f>SUMIFS(OUT!$F$2:$F$11000,OUT!$H$2:$H$11000,H1643,OUT!$D$2:$D$101007,"In")</f>
        <v>#VALUE!</v>
      </c>
      <c r="J1643" s="52">
        <f ca="1">SUMIFS(OUT!$F$2:$F$11000,OUT!$H$2:$H$11000,H1643,OUT!$D$2:$D$11000,"Out")</f>
        <v>0</v>
      </c>
      <c r="K1643" s="52">
        <f ca="1">SUMIFS(OUT!$F$2:$F$11000,OUT!$H$2:$H$11000,H1643,OUT!$D$2:$D$11000,"Out",OUT!$E$2:$E$11000,"Fix")</f>
        <v>0</v>
      </c>
      <c r="L1643" s="52">
        <f ca="1">SUMIFS(OUT!$F$2:$F$11000,OUT!$H$2:$H$11000,H1643,OUT!$D$2:$D$11000,"Out",OUT!$E$2:$E$11000,"Bathroom")</f>
        <v>0</v>
      </c>
      <c r="M1643" s="52">
        <f ca="1">SUMIFS(OUT!$F$2:$F$11000,OUT!$H$2:$H$11000,H1643,OUT!$D$2:$D$11000,"Out",OUT!$E$2:$E$11000,"Alfa")</f>
        <v>0</v>
      </c>
      <c r="N1643" s="52" t="e">
        <f>SUMIFS(OUT!$F$2:$F$11000,OUT!$H$2:$H$101007,H1643,OUT!$D$2:$D$11000,"Out",OUT!$E$2:$E$11000,"Jajan")</f>
        <v>#VALUE!</v>
      </c>
      <c r="O1643" s="52">
        <f ca="1">SUMIFS(OUT!$F$2:$F$11000,OUT!$H$2:$H$11000,H1643,OUT!$D$2:$D$11000,"Out",OUT!$E$2:$E$11000,"Kitchen")</f>
        <v>0</v>
      </c>
      <c r="P1643" s="52">
        <f ca="1">SUMIFS(OUT!$F$2:$F$11000,OUT!$H$2:$H$11000,H1643,OUT!$D$2:$D$11000,"Out",OUT!$E$2:$E$11000,"Loandry")</f>
        <v>0</v>
      </c>
      <c r="Q1643" s="52">
        <f ca="1">SUMIFS(OUT!$F$2:$F$11000,OUT!$H$2:$H$11000,H1643,OUT!$D$2:$D$11000,"Out",OUT!$E$2:$E$11000,"Mio")</f>
        <v>0</v>
      </c>
      <c r="R1643" s="52">
        <f ca="1">SUMIFS(OUT!$F$2:$F$11000,OUT!$H$2:$H$11000,H1643,OUT!$D$2:$D$11000,"Out",OUT!$E$2:$E$11000,"Sedekah")</f>
        <v>0</v>
      </c>
      <c r="S1643" s="52">
        <f ca="1">SUMIFS(OUT!$F$2:$F$11000,OUT!$H$2:$H$11000,H1643,OUT!$D$2:$D$11000,"Out",OUT!$E$2:$E$11000,"Zela")</f>
        <v>0</v>
      </c>
      <c r="T1643" s="52">
        <f ca="1">SUMIFS(OUT!$F$2:$F$11000,OUT!$H$2:$H$11000,H1643,OUT!$D$2:$D$11000,"Out",OUT!$E$2:$E$11000,"Iqbal")</f>
        <v>0</v>
      </c>
    </row>
    <row r="1644" spans="7:20" x14ac:dyDescent="0.2">
      <c r="G1644" s="50"/>
      <c r="H1644" s="51" t="str">
        <f t="shared" si="0"/>
        <v/>
      </c>
      <c r="I1644" s="52" t="e">
        <f>SUMIFS(OUT!$F$2:$F$11000,OUT!$H$2:$H$11000,H1644,OUT!$D$2:$D$101007,"In")</f>
        <v>#VALUE!</v>
      </c>
      <c r="J1644" s="52">
        <f ca="1">SUMIFS(OUT!$F$2:$F$11000,OUT!$H$2:$H$11000,H1644,OUT!$D$2:$D$11000,"Out")</f>
        <v>0</v>
      </c>
      <c r="K1644" s="52">
        <f ca="1">SUMIFS(OUT!$F$2:$F$11000,OUT!$H$2:$H$11000,H1644,OUT!$D$2:$D$11000,"Out",OUT!$E$2:$E$11000,"Fix")</f>
        <v>0</v>
      </c>
      <c r="L1644" s="52">
        <f ca="1">SUMIFS(OUT!$F$2:$F$11000,OUT!$H$2:$H$11000,H1644,OUT!$D$2:$D$11000,"Out",OUT!$E$2:$E$11000,"Bathroom")</f>
        <v>0</v>
      </c>
      <c r="M1644" s="52">
        <f ca="1">SUMIFS(OUT!$F$2:$F$11000,OUT!$H$2:$H$11000,H1644,OUT!$D$2:$D$11000,"Out",OUT!$E$2:$E$11000,"Alfa")</f>
        <v>0</v>
      </c>
      <c r="N1644" s="52" t="e">
        <f>SUMIFS(OUT!$F$2:$F$11000,OUT!$H$2:$H$101007,H1644,OUT!$D$2:$D$11000,"Out",OUT!$E$2:$E$11000,"Jajan")</f>
        <v>#VALUE!</v>
      </c>
      <c r="O1644" s="52">
        <f ca="1">SUMIFS(OUT!$F$2:$F$11000,OUT!$H$2:$H$11000,H1644,OUT!$D$2:$D$11000,"Out",OUT!$E$2:$E$11000,"Kitchen")</f>
        <v>0</v>
      </c>
      <c r="P1644" s="52">
        <f ca="1">SUMIFS(OUT!$F$2:$F$11000,OUT!$H$2:$H$11000,H1644,OUT!$D$2:$D$11000,"Out",OUT!$E$2:$E$11000,"Loandry")</f>
        <v>0</v>
      </c>
      <c r="Q1644" s="52">
        <f ca="1">SUMIFS(OUT!$F$2:$F$11000,OUT!$H$2:$H$11000,H1644,OUT!$D$2:$D$11000,"Out",OUT!$E$2:$E$11000,"Mio")</f>
        <v>0</v>
      </c>
      <c r="R1644" s="52">
        <f ca="1">SUMIFS(OUT!$F$2:$F$11000,OUT!$H$2:$H$11000,H1644,OUT!$D$2:$D$11000,"Out",OUT!$E$2:$E$11000,"Sedekah")</f>
        <v>0</v>
      </c>
      <c r="S1644" s="52">
        <f ca="1">SUMIFS(OUT!$F$2:$F$11000,OUT!$H$2:$H$11000,H1644,OUT!$D$2:$D$11000,"Out",OUT!$E$2:$E$11000,"Zela")</f>
        <v>0</v>
      </c>
      <c r="T1644" s="52">
        <f ca="1">SUMIFS(OUT!$F$2:$F$11000,OUT!$H$2:$H$11000,H1644,OUT!$D$2:$D$11000,"Out",OUT!$E$2:$E$11000,"Iqbal")</f>
        <v>0</v>
      </c>
    </row>
    <row r="1645" spans="7:20" x14ac:dyDescent="0.2">
      <c r="G1645" s="50"/>
      <c r="H1645" s="51" t="str">
        <f t="shared" si="0"/>
        <v/>
      </c>
      <c r="I1645" s="52" t="e">
        <f>SUMIFS(OUT!$F$2:$F$11000,OUT!$H$2:$H$11000,H1645,OUT!$D$2:$D$101007,"In")</f>
        <v>#VALUE!</v>
      </c>
      <c r="J1645" s="52">
        <f ca="1">SUMIFS(OUT!$F$2:$F$11000,OUT!$H$2:$H$11000,H1645,OUT!$D$2:$D$11000,"Out")</f>
        <v>0</v>
      </c>
      <c r="K1645" s="52">
        <f ca="1">SUMIFS(OUT!$F$2:$F$11000,OUT!$H$2:$H$11000,H1645,OUT!$D$2:$D$11000,"Out",OUT!$E$2:$E$11000,"Fix")</f>
        <v>0</v>
      </c>
      <c r="L1645" s="52">
        <f ca="1">SUMIFS(OUT!$F$2:$F$11000,OUT!$H$2:$H$11000,H1645,OUT!$D$2:$D$11000,"Out",OUT!$E$2:$E$11000,"Bathroom")</f>
        <v>0</v>
      </c>
      <c r="M1645" s="52">
        <f ca="1">SUMIFS(OUT!$F$2:$F$11000,OUT!$H$2:$H$11000,H1645,OUT!$D$2:$D$11000,"Out",OUT!$E$2:$E$11000,"Alfa")</f>
        <v>0</v>
      </c>
      <c r="N1645" s="52" t="e">
        <f>SUMIFS(OUT!$F$2:$F$11000,OUT!$H$2:$H$101007,H1645,OUT!$D$2:$D$11000,"Out",OUT!$E$2:$E$11000,"Jajan")</f>
        <v>#VALUE!</v>
      </c>
      <c r="O1645" s="52">
        <f ca="1">SUMIFS(OUT!$F$2:$F$11000,OUT!$H$2:$H$11000,H1645,OUT!$D$2:$D$11000,"Out",OUT!$E$2:$E$11000,"Kitchen")</f>
        <v>0</v>
      </c>
      <c r="P1645" s="52">
        <f ca="1">SUMIFS(OUT!$F$2:$F$11000,OUT!$H$2:$H$11000,H1645,OUT!$D$2:$D$11000,"Out",OUT!$E$2:$E$11000,"Loandry")</f>
        <v>0</v>
      </c>
      <c r="Q1645" s="52">
        <f ca="1">SUMIFS(OUT!$F$2:$F$11000,OUT!$H$2:$H$11000,H1645,OUT!$D$2:$D$11000,"Out",OUT!$E$2:$E$11000,"Mio")</f>
        <v>0</v>
      </c>
      <c r="R1645" s="52">
        <f ca="1">SUMIFS(OUT!$F$2:$F$11000,OUT!$H$2:$H$11000,H1645,OUT!$D$2:$D$11000,"Out",OUT!$E$2:$E$11000,"Sedekah")</f>
        <v>0</v>
      </c>
      <c r="S1645" s="52">
        <f ca="1">SUMIFS(OUT!$F$2:$F$11000,OUT!$H$2:$H$11000,H1645,OUT!$D$2:$D$11000,"Out",OUT!$E$2:$E$11000,"Zela")</f>
        <v>0</v>
      </c>
      <c r="T1645" s="52">
        <f ca="1">SUMIFS(OUT!$F$2:$F$11000,OUT!$H$2:$H$11000,H1645,OUT!$D$2:$D$11000,"Out",OUT!$E$2:$E$11000,"Iqbal")</f>
        <v>0</v>
      </c>
    </row>
    <row r="1646" spans="7:20" x14ac:dyDescent="0.2">
      <c r="G1646" s="50"/>
      <c r="H1646" s="51" t="str">
        <f t="shared" si="0"/>
        <v/>
      </c>
      <c r="I1646" s="52" t="e">
        <f>SUMIFS(OUT!$F$2:$F$11000,OUT!$H$2:$H$11000,H1646,OUT!$D$2:$D$101007,"In")</f>
        <v>#VALUE!</v>
      </c>
      <c r="J1646" s="52">
        <f ca="1">SUMIFS(OUT!$F$2:$F$11000,OUT!$H$2:$H$11000,H1646,OUT!$D$2:$D$11000,"Out")</f>
        <v>0</v>
      </c>
      <c r="K1646" s="52">
        <f ca="1">SUMIFS(OUT!$F$2:$F$11000,OUT!$H$2:$H$11000,H1646,OUT!$D$2:$D$11000,"Out",OUT!$E$2:$E$11000,"Fix")</f>
        <v>0</v>
      </c>
      <c r="L1646" s="52">
        <f ca="1">SUMIFS(OUT!$F$2:$F$11000,OUT!$H$2:$H$11000,H1646,OUT!$D$2:$D$11000,"Out",OUT!$E$2:$E$11000,"Bathroom")</f>
        <v>0</v>
      </c>
      <c r="M1646" s="52">
        <f ca="1">SUMIFS(OUT!$F$2:$F$11000,OUT!$H$2:$H$11000,H1646,OUT!$D$2:$D$11000,"Out",OUT!$E$2:$E$11000,"Alfa")</f>
        <v>0</v>
      </c>
      <c r="N1646" s="52" t="e">
        <f>SUMIFS(OUT!$F$2:$F$11000,OUT!$H$2:$H$101007,H1646,OUT!$D$2:$D$11000,"Out",OUT!$E$2:$E$11000,"Jajan")</f>
        <v>#VALUE!</v>
      </c>
      <c r="O1646" s="52">
        <f ca="1">SUMIFS(OUT!$F$2:$F$11000,OUT!$H$2:$H$11000,H1646,OUT!$D$2:$D$11000,"Out",OUT!$E$2:$E$11000,"Kitchen")</f>
        <v>0</v>
      </c>
      <c r="P1646" s="52">
        <f ca="1">SUMIFS(OUT!$F$2:$F$11000,OUT!$H$2:$H$11000,H1646,OUT!$D$2:$D$11000,"Out",OUT!$E$2:$E$11000,"Loandry")</f>
        <v>0</v>
      </c>
      <c r="Q1646" s="52">
        <f ca="1">SUMIFS(OUT!$F$2:$F$11000,OUT!$H$2:$H$11000,H1646,OUT!$D$2:$D$11000,"Out",OUT!$E$2:$E$11000,"Mio")</f>
        <v>0</v>
      </c>
      <c r="R1646" s="52">
        <f ca="1">SUMIFS(OUT!$F$2:$F$11000,OUT!$H$2:$H$11000,H1646,OUT!$D$2:$D$11000,"Out",OUT!$E$2:$E$11000,"Sedekah")</f>
        <v>0</v>
      </c>
      <c r="S1646" s="52">
        <f ca="1">SUMIFS(OUT!$F$2:$F$11000,OUT!$H$2:$H$11000,H1646,OUT!$D$2:$D$11000,"Out",OUT!$E$2:$E$11000,"Zela")</f>
        <v>0</v>
      </c>
      <c r="T1646" s="52">
        <f ca="1">SUMIFS(OUT!$F$2:$F$11000,OUT!$H$2:$H$11000,H1646,OUT!$D$2:$D$11000,"Out",OUT!$E$2:$E$11000,"Iqbal")</f>
        <v>0</v>
      </c>
    </row>
    <row r="1647" spans="7:20" x14ac:dyDescent="0.2">
      <c r="G1647" s="50"/>
      <c r="H1647" s="51" t="str">
        <f t="shared" si="0"/>
        <v/>
      </c>
      <c r="I1647" s="52" t="e">
        <f>SUMIFS(OUT!$F$2:$F$11000,OUT!$H$2:$H$11000,H1647,OUT!$D$2:$D$101007,"In")</f>
        <v>#VALUE!</v>
      </c>
      <c r="J1647" s="52">
        <f ca="1">SUMIFS(OUT!$F$2:$F$11000,OUT!$H$2:$H$11000,H1647,OUT!$D$2:$D$11000,"Out")</f>
        <v>0</v>
      </c>
      <c r="K1647" s="52">
        <f ca="1">SUMIFS(OUT!$F$2:$F$11000,OUT!$H$2:$H$11000,H1647,OUT!$D$2:$D$11000,"Out",OUT!$E$2:$E$11000,"Fix")</f>
        <v>0</v>
      </c>
      <c r="L1647" s="52">
        <f ca="1">SUMIFS(OUT!$F$2:$F$11000,OUT!$H$2:$H$11000,H1647,OUT!$D$2:$D$11000,"Out",OUT!$E$2:$E$11000,"Bathroom")</f>
        <v>0</v>
      </c>
      <c r="M1647" s="52">
        <f ca="1">SUMIFS(OUT!$F$2:$F$11000,OUT!$H$2:$H$11000,H1647,OUT!$D$2:$D$11000,"Out",OUT!$E$2:$E$11000,"Alfa")</f>
        <v>0</v>
      </c>
      <c r="N1647" s="52" t="e">
        <f>SUMIFS(OUT!$F$2:$F$11000,OUT!$H$2:$H$101007,H1647,OUT!$D$2:$D$11000,"Out",OUT!$E$2:$E$11000,"Jajan")</f>
        <v>#VALUE!</v>
      </c>
      <c r="O1647" s="52">
        <f ca="1">SUMIFS(OUT!$F$2:$F$11000,OUT!$H$2:$H$11000,H1647,OUT!$D$2:$D$11000,"Out",OUT!$E$2:$E$11000,"Kitchen")</f>
        <v>0</v>
      </c>
      <c r="P1647" s="52">
        <f ca="1">SUMIFS(OUT!$F$2:$F$11000,OUT!$H$2:$H$11000,H1647,OUT!$D$2:$D$11000,"Out",OUT!$E$2:$E$11000,"Loandry")</f>
        <v>0</v>
      </c>
      <c r="Q1647" s="52">
        <f ca="1">SUMIFS(OUT!$F$2:$F$11000,OUT!$H$2:$H$11000,H1647,OUT!$D$2:$D$11000,"Out",OUT!$E$2:$E$11000,"Mio")</f>
        <v>0</v>
      </c>
      <c r="R1647" s="52">
        <f ca="1">SUMIFS(OUT!$F$2:$F$11000,OUT!$H$2:$H$11000,H1647,OUT!$D$2:$D$11000,"Out",OUT!$E$2:$E$11000,"Sedekah")</f>
        <v>0</v>
      </c>
      <c r="S1647" s="52">
        <f ca="1">SUMIFS(OUT!$F$2:$F$11000,OUT!$H$2:$H$11000,H1647,OUT!$D$2:$D$11000,"Out",OUT!$E$2:$E$11000,"Zela")</f>
        <v>0</v>
      </c>
      <c r="T1647" s="52">
        <f ca="1">SUMIFS(OUT!$F$2:$F$11000,OUT!$H$2:$H$11000,H1647,OUT!$D$2:$D$11000,"Out",OUT!$E$2:$E$11000,"Iqbal")</f>
        <v>0</v>
      </c>
    </row>
    <row r="1648" spans="7:20" x14ac:dyDescent="0.2">
      <c r="G1648" s="50"/>
      <c r="H1648" s="51" t="str">
        <f t="shared" si="0"/>
        <v/>
      </c>
      <c r="I1648" s="52" t="e">
        <f>SUMIFS(OUT!$F$2:$F$11000,OUT!$H$2:$H$11000,H1648,OUT!$D$2:$D$101007,"In")</f>
        <v>#VALUE!</v>
      </c>
      <c r="J1648" s="52">
        <f ca="1">SUMIFS(OUT!$F$2:$F$11000,OUT!$H$2:$H$11000,H1648,OUT!$D$2:$D$11000,"Out")</f>
        <v>0</v>
      </c>
      <c r="K1648" s="52">
        <f ca="1">SUMIFS(OUT!$F$2:$F$11000,OUT!$H$2:$H$11000,H1648,OUT!$D$2:$D$11000,"Out",OUT!$E$2:$E$11000,"Fix")</f>
        <v>0</v>
      </c>
      <c r="L1648" s="52">
        <f ca="1">SUMIFS(OUT!$F$2:$F$11000,OUT!$H$2:$H$11000,H1648,OUT!$D$2:$D$11000,"Out",OUT!$E$2:$E$11000,"Bathroom")</f>
        <v>0</v>
      </c>
      <c r="M1648" s="52">
        <f ca="1">SUMIFS(OUT!$F$2:$F$11000,OUT!$H$2:$H$11000,H1648,OUT!$D$2:$D$11000,"Out",OUT!$E$2:$E$11000,"Alfa")</f>
        <v>0</v>
      </c>
      <c r="N1648" s="52" t="e">
        <f>SUMIFS(OUT!$F$2:$F$11000,OUT!$H$2:$H$101007,H1648,OUT!$D$2:$D$11000,"Out",OUT!$E$2:$E$11000,"Jajan")</f>
        <v>#VALUE!</v>
      </c>
      <c r="O1648" s="52">
        <f ca="1">SUMIFS(OUT!$F$2:$F$11000,OUT!$H$2:$H$11000,H1648,OUT!$D$2:$D$11000,"Out",OUT!$E$2:$E$11000,"Kitchen")</f>
        <v>0</v>
      </c>
      <c r="P1648" s="52">
        <f ca="1">SUMIFS(OUT!$F$2:$F$11000,OUT!$H$2:$H$11000,H1648,OUT!$D$2:$D$11000,"Out",OUT!$E$2:$E$11000,"Loandry")</f>
        <v>0</v>
      </c>
      <c r="Q1648" s="52">
        <f ca="1">SUMIFS(OUT!$F$2:$F$11000,OUT!$H$2:$H$11000,H1648,OUT!$D$2:$D$11000,"Out",OUT!$E$2:$E$11000,"Mio")</f>
        <v>0</v>
      </c>
      <c r="R1648" s="52">
        <f ca="1">SUMIFS(OUT!$F$2:$F$11000,OUT!$H$2:$H$11000,H1648,OUT!$D$2:$D$11000,"Out",OUT!$E$2:$E$11000,"Sedekah")</f>
        <v>0</v>
      </c>
      <c r="S1648" s="52">
        <f ca="1">SUMIFS(OUT!$F$2:$F$11000,OUT!$H$2:$H$11000,H1648,OUT!$D$2:$D$11000,"Out",OUT!$E$2:$E$11000,"Zela")</f>
        <v>0</v>
      </c>
      <c r="T1648" s="52">
        <f ca="1">SUMIFS(OUT!$F$2:$F$11000,OUT!$H$2:$H$11000,H1648,OUT!$D$2:$D$11000,"Out",OUT!$E$2:$E$11000,"Iqbal")</f>
        <v>0</v>
      </c>
    </row>
    <row r="1649" spans="7:20" x14ac:dyDescent="0.2">
      <c r="G1649" s="50"/>
      <c r="H1649" s="51" t="str">
        <f t="shared" si="0"/>
        <v/>
      </c>
      <c r="I1649" s="52" t="e">
        <f>SUMIFS(OUT!$F$2:$F$11000,OUT!$H$2:$H$11000,H1649,OUT!$D$2:$D$101007,"In")</f>
        <v>#VALUE!</v>
      </c>
      <c r="J1649" s="52">
        <f ca="1">SUMIFS(OUT!$F$2:$F$11000,OUT!$H$2:$H$11000,H1649,OUT!$D$2:$D$11000,"Out")</f>
        <v>0</v>
      </c>
      <c r="K1649" s="52">
        <f ca="1">SUMIFS(OUT!$F$2:$F$11000,OUT!$H$2:$H$11000,H1649,OUT!$D$2:$D$11000,"Out",OUT!$E$2:$E$11000,"Fix")</f>
        <v>0</v>
      </c>
      <c r="L1649" s="52">
        <f ca="1">SUMIFS(OUT!$F$2:$F$11000,OUT!$H$2:$H$11000,H1649,OUT!$D$2:$D$11000,"Out",OUT!$E$2:$E$11000,"Bathroom")</f>
        <v>0</v>
      </c>
      <c r="M1649" s="52">
        <f ca="1">SUMIFS(OUT!$F$2:$F$11000,OUT!$H$2:$H$11000,H1649,OUT!$D$2:$D$11000,"Out",OUT!$E$2:$E$11000,"Alfa")</f>
        <v>0</v>
      </c>
      <c r="N1649" s="52" t="e">
        <f>SUMIFS(OUT!$F$2:$F$11000,OUT!$H$2:$H$101007,H1649,OUT!$D$2:$D$11000,"Out",OUT!$E$2:$E$11000,"Jajan")</f>
        <v>#VALUE!</v>
      </c>
      <c r="O1649" s="52">
        <f ca="1">SUMIFS(OUT!$F$2:$F$11000,OUT!$H$2:$H$11000,H1649,OUT!$D$2:$D$11000,"Out",OUT!$E$2:$E$11000,"Kitchen")</f>
        <v>0</v>
      </c>
      <c r="P1649" s="52">
        <f ca="1">SUMIFS(OUT!$F$2:$F$11000,OUT!$H$2:$H$11000,H1649,OUT!$D$2:$D$11000,"Out",OUT!$E$2:$E$11000,"Loandry")</f>
        <v>0</v>
      </c>
      <c r="Q1649" s="52">
        <f ca="1">SUMIFS(OUT!$F$2:$F$11000,OUT!$H$2:$H$11000,H1649,OUT!$D$2:$D$11000,"Out",OUT!$E$2:$E$11000,"Mio")</f>
        <v>0</v>
      </c>
      <c r="R1649" s="52">
        <f ca="1">SUMIFS(OUT!$F$2:$F$11000,OUT!$H$2:$H$11000,H1649,OUT!$D$2:$D$11000,"Out",OUT!$E$2:$E$11000,"Sedekah")</f>
        <v>0</v>
      </c>
      <c r="S1649" s="52">
        <f ca="1">SUMIFS(OUT!$F$2:$F$11000,OUT!$H$2:$H$11000,H1649,OUT!$D$2:$D$11000,"Out",OUT!$E$2:$E$11000,"Zela")</f>
        <v>0</v>
      </c>
      <c r="T1649" s="52">
        <f ca="1">SUMIFS(OUT!$F$2:$F$11000,OUT!$H$2:$H$11000,H1649,OUT!$D$2:$D$11000,"Out",OUT!$E$2:$E$11000,"Iqbal")</f>
        <v>0</v>
      </c>
    </row>
    <row r="1650" spans="7:20" x14ac:dyDescent="0.2">
      <c r="G1650" s="50"/>
      <c r="H1650" s="51" t="str">
        <f t="shared" si="0"/>
        <v/>
      </c>
      <c r="I1650" s="52" t="e">
        <f>SUMIFS(OUT!$F$2:$F$11000,OUT!$H$2:$H$11000,H1650,OUT!$D$2:$D$101007,"In")</f>
        <v>#VALUE!</v>
      </c>
      <c r="J1650" s="52">
        <f ca="1">SUMIFS(OUT!$F$2:$F$11000,OUT!$H$2:$H$11000,H1650,OUT!$D$2:$D$11000,"Out")</f>
        <v>0</v>
      </c>
      <c r="K1650" s="52">
        <f ca="1">SUMIFS(OUT!$F$2:$F$11000,OUT!$H$2:$H$11000,H1650,OUT!$D$2:$D$11000,"Out",OUT!$E$2:$E$11000,"Fix")</f>
        <v>0</v>
      </c>
      <c r="L1650" s="52">
        <f ca="1">SUMIFS(OUT!$F$2:$F$11000,OUT!$H$2:$H$11000,H1650,OUT!$D$2:$D$11000,"Out",OUT!$E$2:$E$11000,"Bathroom")</f>
        <v>0</v>
      </c>
      <c r="M1650" s="52">
        <f ca="1">SUMIFS(OUT!$F$2:$F$11000,OUT!$H$2:$H$11000,H1650,OUT!$D$2:$D$11000,"Out",OUT!$E$2:$E$11000,"Alfa")</f>
        <v>0</v>
      </c>
      <c r="N1650" s="52" t="e">
        <f>SUMIFS(OUT!$F$2:$F$11000,OUT!$H$2:$H$101007,H1650,OUT!$D$2:$D$11000,"Out",OUT!$E$2:$E$11000,"Jajan")</f>
        <v>#VALUE!</v>
      </c>
      <c r="O1650" s="52">
        <f ca="1">SUMIFS(OUT!$F$2:$F$11000,OUT!$H$2:$H$11000,H1650,OUT!$D$2:$D$11000,"Out",OUT!$E$2:$E$11000,"Kitchen")</f>
        <v>0</v>
      </c>
      <c r="P1650" s="52">
        <f ca="1">SUMIFS(OUT!$F$2:$F$11000,OUT!$H$2:$H$11000,H1650,OUT!$D$2:$D$11000,"Out",OUT!$E$2:$E$11000,"Loandry")</f>
        <v>0</v>
      </c>
      <c r="Q1650" s="52">
        <f ca="1">SUMIFS(OUT!$F$2:$F$11000,OUT!$H$2:$H$11000,H1650,OUT!$D$2:$D$11000,"Out",OUT!$E$2:$E$11000,"Mio")</f>
        <v>0</v>
      </c>
      <c r="R1650" s="52">
        <f ca="1">SUMIFS(OUT!$F$2:$F$11000,OUT!$H$2:$H$11000,H1650,OUT!$D$2:$D$11000,"Out",OUT!$E$2:$E$11000,"Sedekah")</f>
        <v>0</v>
      </c>
      <c r="S1650" s="52">
        <f ca="1">SUMIFS(OUT!$F$2:$F$11000,OUT!$H$2:$H$11000,H1650,OUT!$D$2:$D$11000,"Out",OUT!$E$2:$E$11000,"Zela")</f>
        <v>0</v>
      </c>
      <c r="T1650" s="52">
        <f ca="1">SUMIFS(OUT!$F$2:$F$11000,OUT!$H$2:$H$11000,H1650,OUT!$D$2:$D$11000,"Out",OUT!$E$2:$E$11000,"Iqbal")</f>
        <v>0</v>
      </c>
    </row>
    <row r="1651" spans="7:20" x14ac:dyDescent="0.2">
      <c r="G1651" s="50"/>
      <c r="H1651" s="51" t="str">
        <f t="shared" si="0"/>
        <v/>
      </c>
      <c r="I1651" s="52" t="e">
        <f>SUMIFS(OUT!$F$2:$F$11000,OUT!$H$2:$H$11000,H1651,OUT!$D$2:$D$101007,"In")</f>
        <v>#VALUE!</v>
      </c>
      <c r="J1651" s="52">
        <f ca="1">SUMIFS(OUT!$F$2:$F$11000,OUT!$H$2:$H$11000,H1651,OUT!$D$2:$D$11000,"Out")</f>
        <v>0</v>
      </c>
      <c r="K1651" s="52">
        <f ca="1">SUMIFS(OUT!$F$2:$F$11000,OUT!$H$2:$H$11000,H1651,OUT!$D$2:$D$11000,"Out",OUT!$E$2:$E$11000,"Fix")</f>
        <v>0</v>
      </c>
      <c r="L1651" s="52">
        <f ca="1">SUMIFS(OUT!$F$2:$F$11000,OUT!$H$2:$H$11000,H1651,OUT!$D$2:$D$11000,"Out",OUT!$E$2:$E$11000,"Bathroom")</f>
        <v>0</v>
      </c>
      <c r="M1651" s="52">
        <f ca="1">SUMIFS(OUT!$F$2:$F$11000,OUT!$H$2:$H$11000,H1651,OUT!$D$2:$D$11000,"Out",OUT!$E$2:$E$11000,"Alfa")</f>
        <v>0</v>
      </c>
      <c r="N1651" s="52" t="e">
        <f>SUMIFS(OUT!$F$2:$F$11000,OUT!$H$2:$H$101007,H1651,OUT!$D$2:$D$11000,"Out",OUT!$E$2:$E$11000,"Jajan")</f>
        <v>#VALUE!</v>
      </c>
      <c r="O1651" s="52">
        <f ca="1">SUMIFS(OUT!$F$2:$F$11000,OUT!$H$2:$H$11000,H1651,OUT!$D$2:$D$11000,"Out",OUT!$E$2:$E$11000,"Kitchen")</f>
        <v>0</v>
      </c>
      <c r="P1651" s="52">
        <f ca="1">SUMIFS(OUT!$F$2:$F$11000,OUT!$H$2:$H$11000,H1651,OUT!$D$2:$D$11000,"Out",OUT!$E$2:$E$11000,"Loandry")</f>
        <v>0</v>
      </c>
      <c r="Q1651" s="52">
        <f ca="1">SUMIFS(OUT!$F$2:$F$11000,OUT!$H$2:$H$11000,H1651,OUT!$D$2:$D$11000,"Out",OUT!$E$2:$E$11000,"Mio")</f>
        <v>0</v>
      </c>
      <c r="R1651" s="52">
        <f ca="1">SUMIFS(OUT!$F$2:$F$11000,OUT!$H$2:$H$11000,H1651,OUT!$D$2:$D$11000,"Out",OUT!$E$2:$E$11000,"Sedekah")</f>
        <v>0</v>
      </c>
      <c r="S1651" s="52">
        <f ca="1">SUMIFS(OUT!$F$2:$F$11000,OUT!$H$2:$H$11000,H1651,OUT!$D$2:$D$11000,"Out",OUT!$E$2:$E$11000,"Zela")</f>
        <v>0</v>
      </c>
      <c r="T1651" s="52">
        <f ca="1">SUMIFS(OUT!$F$2:$F$11000,OUT!$H$2:$H$11000,H1651,OUT!$D$2:$D$11000,"Out",OUT!$E$2:$E$11000,"Iqbal")</f>
        <v>0</v>
      </c>
    </row>
    <row r="1652" spans="7:20" x14ac:dyDescent="0.2">
      <c r="G1652" s="50"/>
      <c r="H1652" s="51" t="str">
        <f t="shared" si="0"/>
        <v/>
      </c>
      <c r="I1652" s="52" t="e">
        <f>SUMIFS(OUT!$F$2:$F$11000,OUT!$H$2:$H$11000,H1652,OUT!$D$2:$D$101007,"In")</f>
        <v>#VALUE!</v>
      </c>
      <c r="J1652" s="52">
        <f ca="1">SUMIFS(OUT!$F$2:$F$11000,OUT!$H$2:$H$11000,H1652,OUT!$D$2:$D$11000,"Out")</f>
        <v>0</v>
      </c>
      <c r="K1652" s="52">
        <f ca="1">SUMIFS(OUT!$F$2:$F$11000,OUT!$H$2:$H$11000,H1652,OUT!$D$2:$D$11000,"Out",OUT!$E$2:$E$11000,"Fix")</f>
        <v>0</v>
      </c>
      <c r="L1652" s="52">
        <f ca="1">SUMIFS(OUT!$F$2:$F$11000,OUT!$H$2:$H$11000,H1652,OUT!$D$2:$D$11000,"Out",OUT!$E$2:$E$11000,"Bathroom")</f>
        <v>0</v>
      </c>
      <c r="M1652" s="52">
        <f ca="1">SUMIFS(OUT!$F$2:$F$11000,OUT!$H$2:$H$11000,H1652,OUT!$D$2:$D$11000,"Out",OUT!$E$2:$E$11000,"Alfa")</f>
        <v>0</v>
      </c>
      <c r="N1652" s="52" t="e">
        <f>SUMIFS(OUT!$F$2:$F$11000,OUT!$H$2:$H$101007,H1652,OUT!$D$2:$D$11000,"Out",OUT!$E$2:$E$11000,"Jajan")</f>
        <v>#VALUE!</v>
      </c>
      <c r="O1652" s="52">
        <f ca="1">SUMIFS(OUT!$F$2:$F$11000,OUT!$H$2:$H$11000,H1652,OUT!$D$2:$D$11000,"Out",OUT!$E$2:$E$11000,"Kitchen")</f>
        <v>0</v>
      </c>
      <c r="P1652" s="52">
        <f ca="1">SUMIFS(OUT!$F$2:$F$11000,OUT!$H$2:$H$11000,H1652,OUT!$D$2:$D$11000,"Out",OUT!$E$2:$E$11000,"Loandry")</f>
        <v>0</v>
      </c>
      <c r="Q1652" s="52">
        <f ca="1">SUMIFS(OUT!$F$2:$F$11000,OUT!$H$2:$H$11000,H1652,OUT!$D$2:$D$11000,"Out",OUT!$E$2:$E$11000,"Mio")</f>
        <v>0</v>
      </c>
      <c r="R1652" s="52">
        <f ca="1">SUMIFS(OUT!$F$2:$F$11000,OUT!$H$2:$H$11000,H1652,OUT!$D$2:$D$11000,"Out",OUT!$E$2:$E$11000,"Sedekah")</f>
        <v>0</v>
      </c>
      <c r="S1652" s="52">
        <f ca="1">SUMIFS(OUT!$F$2:$F$11000,OUT!$H$2:$H$11000,H1652,OUT!$D$2:$D$11000,"Out",OUT!$E$2:$E$11000,"Zela")</f>
        <v>0</v>
      </c>
      <c r="T1652" s="52">
        <f ca="1">SUMIFS(OUT!$F$2:$F$11000,OUT!$H$2:$H$11000,H1652,OUT!$D$2:$D$11000,"Out",OUT!$E$2:$E$11000,"Iqbal")</f>
        <v>0</v>
      </c>
    </row>
    <row r="1653" spans="7:20" x14ac:dyDescent="0.2">
      <c r="G1653" s="50"/>
      <c r="H1653" s="51" t="str">
        <f t="shared" si="0"/>
        <v/>
      </c>
      <c r="I1653" s="52" t="e">
        <f>SUMIFS(OUT!$F$2:$F$11000,OUT!$H$2:$H$11000,H1653,OUT!$D$2:$D$101007,"In")</f>
        <v>#VALUE!</v>
      </c>
      <c r="J1653" s="52">
        <f ca="1">SUMIFS(OUT!$F$2:$F$11000,OUT!$H$2:$H$11000,H1653,OUT!$D$2:$D$11000,"Out")</f>
        <v>0</v>
      </c>
      <c r="K1653" s="52">
        <f ca="1">SUMIFS(OUT!$F$2:$F$11000,OUT!$H$2:$H$11000,H1653,OUT!$D$2:$D$11000,"Out",OUT!$E$2:$E$11000,"Fix")</f>
        <v>0</v>
      </c>
      <c r="L1653" s="52">
        <f ca="1">SUMIFS(OUT!$F$2:$F$11000,OUT!$H$2:$H$11000,H1653,OUT!$D$2:$D$11000,"Out",OUT!$E$2:$E$11000,"Bathroom")</f>
        <v>0</v>
      </c>
      <c r="M1653" s="52">
        <f ca="1">SUMIFS(OUT!$F$2:$F$11000,OUT!$H$2:$H$11000,H1653,OUT!$D$2:$D$11000,"Out",OUT!$E$2:$E$11000,"Alfa")</f>
        <v>0</v>
      </c>
      <c r="N1653" s="52" t="e">
        <f>SUMIFS(OUT!$F$2:$F$11000,OUT!$H$2:$H$101007,H1653,OUT!$D$2:$D$11000,"Out",OUT!$E$2:$E$11000,"Jajan")</f>
        <v>#VALUE!</v>
      </c>
      <c r="O1653" s="52">
        <f ca="1">SUMIFS(OUT!$F$2:$F$11000,OUT!$H$2:$H$11000,H1653,OUT!$D$2:$D$11000,"Out",OUT!$E$2:$E$11000,"Kitchen")</f>
        <v>0</v>
      </c>
      <c r="P1653" s="52">
        <f ca="1">SUMIFS(OUT!$F$2:$F$11000,OUT!$H$2:$H$11000,H1653,OUT!$D$2:$D$11000,"Out",OUT!$E$2:$E$11000,"Loandry")</f>
        <v>0</v>
      </c>
      <c r="Q1653" s="52">
        <f ca="1">SUMIFS(OUT!$F$2:$F$11000,OUT!$H$2:$H$11000,H1653,OUT!$D$2:$D$11000,"Out",OUT!$E$2:$E$11000,"Mio")</f>
        <v>0</v>
      </c>
      <c r="R1653" s="52">
        <f ca="1">SUMIFS(OUT!$F$2:$F$11000,OUT!$H$2:$H$11000,H1653,OUT!$D$2:$D$11000,"Out",OUT!$E$2:$E$11000,"Sedekah")</f>
        <v>0</v>
      </c>
      <c r="S1653" s="52">
        <f ca="1">SUMIFS(OUT!$F$2:$F$11000,OUT!$H$2:$H$11000,H1653,OUT!$D$2:$D$11000,"Out",OUT!$E$2:$E$11000,"Zela")</f>
        <v>0</v>
      </c>
      <c r="T1653" s="52">
        <f ca="1">SUMIFS(OUT!$F$2:$F$11000,OUT!$H$2:$H$11000,H1653,OUT!$D$2:$D$11000,"Out",OUT!$E$2:$E$11000,"Iqbal")</f>
        <v>0</v>
      </c>
    </row>
    <row r="1654" spans="7:20" x14ac:dyDescent="0.2">
      <c r="G1654" s="50"/>
      <c r="H1654" s="51" t="str">
        <f t="shared" si="0"/>
        <v/>
      </c>
      <c r="I1654" s="52" t="e">
        <f>SUMIFS(OUT!$F$2:$F$11000,OUT!$H$2:$H$11000,H1654,OUT!$D$2:$D$101007,"In")</f>
        <v>#VALUE!</v>
      </c>
      <c r="J1654" s="52">
        <f ca="1">SUMIFS(OUT!$F$2:$F$11000,OUT!$H$2:$H$11000,H1654,OUT!$D$2:$D$11000,"Out")</f>
        <v>0</v>
      </c>
      <c r="K1654" s="52">
        <f ca="1">SUMIFS(OUT!$F$2:$F$11000,OUT!$H$2:$H$11000,H1654,OUT!$D$2:$D$11000,"Out",OUT!$E$2:$E$11000,"Fix")</f>
        <v>0</v>
      </c>
      <c r="L1654" s="52">
        <f ca="1">SUMIFS(OUT!$F$2:$F$11000,OUT!$H$2:$H$11000,H1654,OUT!$D$2:$D$11000,"Out",OUT!$E$2:$E$11000,"Bathroom")</f>
        <v>0</v>
      </c>
      <c r="M1654" s="52">
        <f ca="1">SUMIFS(OUT!$F$2:$F$11000,OUT!$H$2:$H$11000,H1654,OUT!$D$2:$D$11000,"Out",OUT!$E$2:$E$11000,"Alfa")</f>
        <v>0</v>
      </c>
      <c r="N1654" s="52" t="e">
        <f>SUMIFS(OUT!$F$2:$F$11000,OUT!$H$2:$H$101007,H1654,OUT!$D$2:$D$11000,"Out",OUT!$E$2:$E$11000,"Jajan")</f>
        <v>#VALUE!</v>
      </c>
      <c r="O1654" s="52">
        <f ca="1">SUMIFS(OUT!$F$2:$F$11000,OUT!$H$2:$H$11000,H1654,OUT!$D$2:$D$11000,"Out",OUT!$E$2:$E$11000,"Kitchen")</f>
        <v>0</v>
      </c>
      <c r="P1654" s="52">
        <f ca="1">SUMIFS(OUT!$F$2:$F$11000,OUT!$H$2:$H$11000,H1654,OUT!$D$2:$D$11000,"Out",OUT!$E$2:$E$11000,"Loandry")</f>
        <v>0</v>
      </c>
      <c r="Q1654" s="52">
        <f ca="1">SUMIFS(OUT!$F$2:$F$11000,OUT!$H$2:$H$11000,H1654,OUT!$D$2:$D$11000,"Out",OUT!$E$2:$E$11000,"Mio")</f>
        <v>0</v>
      </c>
      <c r="R1654" s="52">
        <f ca="1">SUMIFS(OUT!$F$2:$F$11000,OUT!$H$2:$H$11000,H1654,OUT!$D$2:$D$11000,"Out",OUT!$E$2:$E$11000,"Sedekah")</f>
        <v>0</v>
      </c>
      <c r="S1654" s="52">
        <f ca="1">SUMIFS(OUT!$F$2:$F$11000,OUT!$H$2:$H$11000,H1654,OUT!$D$2:$D$11000,"Out",OUT!$E$2:$E$11000,"Zela")</f>
        <v>0</v>
      </c>
      <c r="T1654" s="52">
        <f ca="1">SUMIFS(OUT!$F$2:$F$11000,OUT!$H$2:$H$11000,H1654,OUT!$D$2:$D$11000,"Out",OUT!$E$2:$E$11000,"Iqbal")</f>
        <v>0</v>
      </c>
    </row>
    <row r="1655" spans="7:20" x14ac:dyDescent="0.2">
      <c r="G1655" s="50"/>
      <c r="H1655" s="51" t="str">
        <f t="shared" si="0"/>
        <v/>
      </c>
      <c r="I1655" s="52" t="e">
        <f>SUMIFS(OUT!$F$2:$F$11000,OUT!$H$2:$H$11000,H1655,OUT!$D$2:$D$101007,"In")</f>
        <v>#VALUE!</v>
      </c>
      <c r="J1655" s="52">
        <f ca="1">SUMIFS(OUT!$F$2:$F$11000,OUT!$H$2:$H$11000,H1655,OUT!$D$2:$D$11000,"Out")</f>
        <v>0</v>
      </c>
      <c r="K1655" s="52">
        <f ca="1">SUMIFS(OUT!$F$2:$F$11000,OUT!$H$2:$H$11000,H1655,OUT!$D$2:$D$11000,"Out",OUT!$E$2:$E$11000,"Fix")</f>
        <v>0</v>
      </c>
      <c r="L1655" s="52">
        <f ca="1">SUMIFS(OUT!$F$2:$F$11000,OUT!$H$2:$H$11000,H1655,OUT!$D$2:$D$11000,"Out",OUT!$E$2:$E$11000,"Bathroom")</f>
        <v>0</v>
      </c>
      <c r="M1655" s="52">
        <f ca="1">SUMIFS(OUT!$F$2:$F$11000,OUT!$H$2:$H$11000,H1655,OUT!$D$2:$D$11000,"Out",OUT!$E$2:$E$11000,"Alfa")</f>
        <v>0</v>
      </c>
      <c r="N1655" s="52" t="e">
        <f>SUMIFS(OUT!$F$2:$F$11000,OUT!$H$2:$H$101007,H1655,OUT!$D$2:$D$11000,"Out",OUT!$E$2:$E$11000,"Jajan")</f>
        <v>#VALUE!</v>
      </c>
      <c r="O1655" s="52">
        <f ca="1">SUMIFS(OUT!$F$2:$F$11000,OUT!$H$2:$H$11000,H1655,OUT!$D$2:$D$11000,"Out",OUT!$E$2:$E$11000,"Kitchen")</f>
        <v>0</v>
      </c>
      <c r="P1655" s="52">
        <f ca="1">SUMIFS(OUT!$F$2:$F$11000,OUT!$H$2:$H$11000,H1655,OUT!$D$2:$D$11000,"Out",OUT!$E$2:$E$11000,"Loandry")</f>
        <v>0</v>
      </c>
      <c r="Q1655" s="52">
        <f ca="1">SUMIFS(OUT!$F$2:$F$11000,OUT!$H$2:$H$11000,H1655,OUT!$D$2:$D$11000,"Out",OUT!$E$2:$E$11000,"Mio")</f>
        <v>0</v>
      </c>
      <c r="R1655" s="52">
        <f ca="1">SUMIFS(OUT!$F$2:$F$11000,OUT!$H$2:$H$11000,H1655,OUT!$D$2:$D$11000,"Out",OUT!$E$2:$E$11000,"Sedekah")</f>
        <v>0</v>
      </c>
      <c r="S1655" s="52">
        <f ca="1">SUMIFS(OUT!$F$2:$F$11000,OUT!$H$2:$H$11000,H1655,OUT!$D$2:$D$11000,"Out",OUT!$E$2:$E$11000,"Zela")</f>
        <v>0</v>
      </c>
      <c r="T1655" s="52">
        <f ca="1">SUMIFS(OUT!$F$2:$F$11000,OUT!$H$2:$H$11000,H1655,OUT!$D$2:$D$11000,"Out",OUT!$E$2:$E$11000,"Iqbal")</f>
        <v>0</v>
      </c>
    </row>
    <row r="1656" spans="7:20" x14ac:dyDescent="0.2">
      <c r="G1656" s="50"/>
      <c r="H1656" s="51" t="str">
        <f t="shared" si="0"/>
        <v/>
      </c>
      <c r="I1656" s="52" t="e">
        <f>SUMIFS(OUT!$F$2:$F$11000,OUT!$H$2:$H$11000,H1656,OUT!$D$2:$D$101007,"In")</f>
        <v>#VALUE!</v>
      </c>
      <c r="J1656" s="52">
        <f ca="1">SUMIFS(OUT!$F$2:$F$11000,OUT!$H$2:$H$11000,H1656,OUT!$D$2:$D$11000,"Out")</f>
        <v>0</v>
      </c>
      <c r="K1656" s="52">
        <f ca="1">SUMIFS(OUT!$F$2:$F$11000,OUT!$H$2:$H$11000,H1656,OUT!$D$2:$D$11000,"Out",OUT!$E$2:$E$11000,"Fix")</f>
        <v>0</v>
      </c>
      <c r="L1656" s="52">
        <f ca="1">SUMIFS(OUT!$F$2:$F$11000,OUT!$H$2:$H$11000,H1656,OUT!$D$2:$D$11000,"Out",OUT!$E$2:$E$11000,"Bathroom")</f>
        <v>0</v>
      </c>
      <c r="M1656" s="52">
        <f ca="1">SUMIFS(OUT!$F$2:$F$11000,OUT!$H$2:$H$11000,H1656,OUT!$D$2:$D$11000,"Out",OUT!$E$2:$E$11000,"Alfa")</f>
        <v>0</v>
      </c>
      <c r="N1656" s="52" t="e">
        <f>SUMIFS(OUT!$F$2:$F$11000,OUT!$H$2:$H$101007,H1656,OUT!$D$2:$D$11000,"Out",OUT!$E$2:$E$11000,"Jajan")</f>
        <v>#VALUE!</v>
      </c>
      <c r="O1656" s="52">
        <f ca="1">SUMIFS(OUT!$F$2:$F$11000,OUT!$H$2:$H$11000,H1656,OUT!$D$2:$D$11000,"Out",OUT!$E$2:$E$11000,"Kitchen")</f>
        <v>0</v>
      </c>
      <c r="P1656" s="52">
        <f ca="1">SUMIFS(OUT!$F$2:$F$11000,OUT!$H$2:$H$11000,H1656,OUT!$D$2:$D$11000,"Out",OUT!$E$2:$E$11000,"Loandry")</f>
        <v>0</v>
      </c>
      <c r="Q1656" s="52">
        <f ca="1">SUMIFS(OUT!$F$2:$F$11000,OUT!$H$2:$H$11000,H1656,OUT!$D$2:$D$11000,"Out",OUT!$E$2:$E$11000,"Mio")</f>
        <v>0</v>
      </c>
      <c r="R1656" s="52">
        <f ca="1">SUMIFS(OUT!$F$2:$F$11000,OUT!$H$2:$H$11000,H1656,OUT!$D$2:$D$11000,"Out",OUT!$E$2:$E$11000,"Sedekah")</f>
        <v>0</v>
      </c>
      <c r="S1656" s="52">
        <f ca="1">SUMIFS(OUT!$F$2:$F$11000,OUT!$H$2:$H$11000,H1656,OUT!$D$2:$D$11000,"Out",OUT!$E$2:$E$11000,"Zela")</f>
        <v>0</v>
      </c>
      <c r="T1656" s="52">
        <f ca="1">SUMIFS(OUT!$F$2:$F$11000,OUT!$H$2:$H$11000,H1656,OUT!$D$2:$D$11000,"Out",OUT!$E$2:$E$11000,"Iqbal")</f>
        <v>0</v>
      </c>
    </row>
    <row r="1657" spans="7:20" x14ac:dyDescent="0.2">
      <c r="G1657" s="50"/>
      <c r="H1657" s="51" t="str">
        <f t="shared" si="0"/>
        <v/>
      </c>
      <c r="I1657" s="52" t="e">
        <f>SUMIFS(OUT!$F$2:$F$11000,OUT!$H$2:$H$11000,H1657,OUT!$D$2:$D$101007,"In")</f>
        <v>#VALUE!</v>
      </c>
      <c r="J1657" s="52">
        <f ca="1">SUMIFS(OUT!$F$2:$F$11000,OUT!$H$2:$H$11000,H1657,OUT!$D$2:$D$11000,"Out")</f>
        <v>0</v>
      </c>
      <c r="K1657" s="52">
        <f ca="1">SUMIFS(OUT!$F$2:$F$11000,OUT!$H$2:$H$11000,H1657,OUT!$D$2:$D$11000,"Out",OUT!$E$2:$E$11000,"Fix")</f>
        <v>0</v>
      </c>
      <c r="L1657" s="52">
        <f ca="1">SUMIFS(OUT!$F$2:$F$11000,OUT!$H$2:$H$11000,H1657,OUT!$D$2:$D$11000,"Out",OUT!$E$2:$E$11000,"Bathroom")</f>
        <v>0</v>
      </c>
      <c r="M1657" s="52">
        <f ca="1">SUMIFS(OUT!$F$2:$F$11000,OUT!$H$2:$H$11000,H1657,OUT!$D$2:$D$11000,"Out",OUT!$E$2:$E$11000,"Alfa")</f>
        <v>0</v>
      </c>
      <c r="N1657" s="52" t="e">
        <f>SUMIFS(OUT!$F$2:$F$11000,OUT!$H$2:$H$101007,H1657,OUT!$D$2:$D$11000,"Out",OUT!$E$2:$E$11000,"Jajan")</f>
        <v>#VALUE!</v>
      </c>
      <c r="O1657" s="52">
        <f ca="1">SUMIFS(OUT!$F$2:$F$11000,OUT!$H$2:$H$11000,H1657,OUT!$D$2:$D$11000,"Out",OUT!$E$2:$E$11000,"Kitchen")</f>
        <v>0</v>
      </c>
      <c r="P1657" s="52">
        <f ca="1">SUMIFS(OUT!$F$2:$F$11000,OUT!$H$2:$H$11000,H1657,OUT!$D$2:$D$11000,"Out",OUT!$E$2:$E$11000,"Loandry")</f>
        <v>0</v>
      </c>
      <c r="Q1657" s="52">
        <f ca="1">SUMIFS(OUT!$F$2:$F$11000,OUT!$H$2:$H$11000,H1657,OUT!$D$2:$D$11000,"Out",OUT!$E$2:$E$11000,"Mio")</f>
        <v>0</v>
      </c>
      <c r="R1657" s="52">
        <f ca="1">SUMIFS(OUT!$F$2:$F$11000,OUT!$H$2:$H$11000,H1657,OUT!$D$2:$D$11000,"Out",OUT!$E$2:$E$11000,"Sedekah")</f>
        <v>0</v>
      </c>
      <c r="S1657" s="52">
        <f ca="1">SUMIFS(OUT!$F$2:$F$11000,OUT!$H$2:$H$11000,H1657,OUT!$D$2:$D$11000,"Out",OUT!$E$2:$E$11000,"Zela")</f>
        <v>0</v>
      </c>
      <c r="T1657" s="52">
        <f ca="1">SUMIFS(OUT!$F$2:$F$11000,OUT!$H$2:$H$11000,H1657,OUT!$D$2:$D$11000,"Out",OUT!$E$2:$E$11000,"Iqbal")</f>
        <v>0</v>
      </c>
    </row>
    <row r="1658" spans="7:20" x14ac:dyDescent="0.2">
      <c r="G1658" s="50"/>
      <c r="H1658" s="51" t="str">
        <f t="shared" si="0"/>
        <v/>
      </c>
      <c r="I1658" s="52" t="e">
        <f>SUMIFS(OUT!$F$2:$F$11000,OUT!$H$2:$H$11000,H1658,OUT!$D$2:$D$101007,"In")</f>
        <v>#VALUE!</v>
      </c>
      <c r="J1658" s="52">
        <f ca="1">SUMIFS(OUT!$F$2:$F$11000,OUT!$H$2:$H$11000,H1658,OUT!$D$2:$D$11000,"Out")</f>
        <v>0</v>
      </c>
      <c r="K1658" s="52">
        <f ca="1">SUMIFS(OUT!$F$2:$F$11000,OUT!$H$2:$H$11000,H1658,OUT!$D$2:$D$11000,"Out",OUT!$E$2:$E$11000,"Fix")</f>
        <v>0</v>
      </c>
      <c r="L1658" s="52">
        <f ca="1">SUMIFS(OUT!$F$2:$F$11000,OUT!$H$2:$H$11000,H1658,OUT!$D$2:$D$11000,"Out",OUT!$E$2:$E$11000,"Bathroom")</f>
        <v>0</v>
      </c>
      <c r="M1658" s="52">
        <f ca="1">SUMIFS(OUT!$F$2:$F$11000,OUT!$H$2:$H$11000,H1658,OUT!$D$2:$D$11000,"Out",OUT!$E$2:$E$11000,"Alfa")</f>
        <v>0</v>
      </c>
      <c r="N1658" s="52" t="e">
        <f>SUMIFS(OUT!$F$2:$F$11000,OUT!$H$2:$H$101007,H1658,OUT!$D$2:$D$11000,"Out",OUT!$E$2:$E$11000,"Jajan")</f>
        <v>#VALUE!</v>
      </c>
      <c r="O1658" s="52">
        <f ca="1">SUMIFS(OUT!$F$2:$F$11000,OUT!$H$2:$H$11000,H1658,OUT!$D$2:$D$11000,"Out",OUT!$E$2:$E$11000,"Kitchen")</f>
        <v>0</v>
      </c>
      <c r="P1658" s="52">
        <f ca="1">SUMIFS(OUT!$F$2:$F$11000,OUT!$H$2:$H$11000,H1658,OUT!$D$2:$D$11000,"Out",OUT!$E$2:$E$11000,"Loandry")</f>
        <v>0</v>
      </c>
      <c r="Q1658" s="52">
        <f ca="1">SUMIFS(OUT!$F$2:$F$11000,OUT!$H$2:$H$11000,H1658,OUT!$D$2:$D$11000,"Out",OUT!$E$2:$E$11000,"Mio")</f>
        <v>0</v>
      </c>
      <c r="R1658" s="52">
        <f ca="1">SUMIFS(OUT!$F$2:$F$11000,OUT!$H$2:$H$11000,H1658,OUT!$D$2:$D$11000,"Out",OUT!$E$2:$E$11000,"Sedekah")</f>
        <v>0</v>
      </c>
      <c r="S1658" s="52">
        <f ca="1">SUMIFS(OUT!$F$2:$F$11000,OUT!$H$2:$H$11000,H1658,OUT!$D$2:$D$11000,"Out",OUT!$E$2:$E$11000,"Zela")</f>
        <v>0</v>
      </c>
      <c r="T1658" s="52">
        <f ca="1">SUMIFS(OUT!$F$2:$F$11000,OUT!$H$2:$H$11000,H1658,OUT!$D$2:$D$11000,"Out",OUT!$E$2:$E$11000,"Iqbal")</f>
        <v>0</v>
      </c>
    </row>
    <row r="1659" spans="7:20" x14ac:dyDescent="0.2">
      <c r="G1659" s="50"/>
      <c r="H1659" s="51" t="str">
        <f t="shared" si="0"/>
        <v/>
      </c>
      <c r="I1659" s="52" t="e">
        <f>SUMIFS(OUT!$F$2:$F$11000,OUT!$H$2:$H$11000,H1659,OUT!$D$2:$D$101007,"In")</f>
        <v>#VALUE!</v>
      </c>
      <c r="J1659" s="52">
        <f ca="1">SUMIFS(OUT!$F$2:$F$11000,OUT!$H$2:$H$11000,H1659,OUT!$D$2:$D$11000,"Out")</f>
        <v>0</v>
      </c>
      <c r="K1659" s="52">
        <f ca="1">SUMIFS(OUT!$F$2:$F$11000,OUT!$H$2:$H$11000,H1659,OUT!$D$2:$D$11000,"Out",OUT!$E$2:$E$11000,"Fix")</f>
        <v>0</v>
      </c>
      <c r="L1659" s="52">
        <f ca="1">SUMIFS(OUT!$F$2:$F$11000,OUT!$H$2:$H$11000,H1659,OUT!$D$2:$D$11000,"Out",OUT!$E$2:$E$11000,"Bathroom")</f>
        <v>0</v>
      </c>
      <c r="M1659" s="52">
        <f ca="1">SUMIFS(OUT!$F$2:$F$11000,OUT!$H$2:$H$11000,H1659,OUT!$D$2:$D$11000,"Out",OUT!$E$2:$E$11000,"Alfa")</f>
        <v>0</v>
      </c>
      <c r="N1659" s="52" t="e">
        <f>SUMIFS(OUT!$F$2:$F$11000,OUT!$H$2:$H$101007,H1659,OUT!$D$2:$D$11000,"Out",OUT!$E$2:$E$11000,"Jajan")</f>
        <v>#VALUE!</v>
      </c>
      <c r="O1659" s="52">
        <f ca="1">SUMIFS(OUT!$F$2:$F$11000,OUT!$H$2:$H$11000,H1659,OUT!$D$2:$D$11000,"Out",OUT!$E$2:$E$11000,"Kitchen")</f>
        <v>0</v>
      </c>
      <c r="P1659" s="52">
        <f ca="1">SUMIFS(OUT!$F$2:$F$11000,OUT!$H$2:$H$11000,H1659,OUT!$D$2:$D$11000,"Out",OUT!$E$2:$E$11000,"Loandry")</f>
        <v>0</v>
      </c>
      <c r="Q1659" s="52">
        <f ca="1">SUMIFS(OUT!$F$2:$F$11000,OUT!$H$2:$H$11000,H1659,OUT!$D$2:$D$11000,"Out",OUT!$E$2:$E$11000,"Mio")</f>
        <v>0</v>
      </c>
      <c r="R1659" s="52">
        <f ca="1">SUMIFS(OUT!$F$2:$F$11000,OUT!$H$2:$H$11000,H1659,OUT!$D$2:$D$11000,"Out",OUT!$E$2:$E$11000,"Sedekah")</f>
        <v>0</v>
      </c>
      <c r="S1659" s="52">
        <f ca="1">SUMIFS(OUT!$F$2:$F$11000,OUT!$H$2:$H$11000,H1659,OUT!$D$2:$D$11000,"Out",OUT!$E$2:$E$11000,"Zela")</f>
        <v>0</v>
      </c>
      <c r="T1659" s="52">
        <f ca="1">SUMIFS(OUT!$F$2:$F$11000,OUT!$H$2:$H$11000,H1659,OUT!$D$2:$D$11000,"Out",OUT!$E$2:$E$11000,"Iqbal")</f>
        <v>0</v>
      </c>
    </row>
    <row r="1660" spans="7:20" x14ac:dyDescent="0.2">
      <c r="G1660" s="50"/>
      <c r="H1660" s="51" t="str">
        <f t="shared" si="0"/>
        <v/>
      </c>
      <c r="I1660" s="52" t="e">
        <f>SUMIFS(OUT!$F$2:$F$11000,OUT!$H$2:$H$11000,H1660,OUT!$D$2:$D$101007,"In")</f>
        <v>#VALUE!</v>
      </c>
      <c r="J1660" s="52">
        <f ca="1">SUMIFS(OUT!$F$2:$F$11000,OUT!$H$2:$H$11000,H1660,OUT!$D$2:$D$11000,"Out")</f>
        <v>0</v>
      </c>
      <c r="K1660" s="52">
        <f ca="1">SUMIFS(OUT!$F$2:$F$11000,OUT!$H$2:$H$11000,H1660,OUT!$D$2:$D$11000,"Out",OUT!$E$2:$E$11000,"Fix")</f>
        <v>0</v>
      </c>
      <c r="L1660" s="52">
        <f ca="1">SUMIFS(OUT!$F$2:$F$11000,OUT!$H$2:$H$11000,H1660,OUT!$D$2:$D$11000,"Out",OUT!$E$2:$E$11000,"Bathroom")</f>
        <v>0</v>
      </c>
      <c r="M1660" s="52">
        <f ca="1">SUMIFS(OUT!$F$2:$F$11000,OUT!$H$2:$H$11000,H1660,OUT!$D$2:$D$11000,"Out",OUT!$E$2:$E$11000,"Alfa")</f>
        <v>0</v>
      </c>
      <c r="N1660" s="52" t="e">
        <f>SUMIFS(OUT!$F$2:$F$11000,OUT!$H$2:$H$101007,H1660,OUT!$D$2:$D$11000,"Out",OUT!$E$2:$E$11000,"Jajan")</f>
        <v>#VALUE!</v>
      </c>
      <c r="O1660" s="52">
        <f ca="1">SUMIFS(OUT!$F$2:$F$11000,OUT!$H$2:$H$11000,H1660,OUT!$D$2:$D$11000,"Out",OUT!$E$2:$E$11000,"Kitchen")</f>
        <v>0</v>
      </c>
      <c r="P1660" s="52">
        <f ca="1">SUMIFS(OUT!$F$2:$F$11000,OUT!$H$2:$H$11000,H1660,OUT!$D$2:$D$11000,"Out",OUT!$E$2:$E$11000,"Loandry")</f>
        <v>0</v>
      </c>
      <c r="Q1660" s="52">
        <f ca="1">SUMIFS(OUT!$F$2:$F$11000,OUT!$H$2:$H$11000,H1660,OUT!$D$2:$D$11000,"Out",OUT!$E$2:$E$11000,"Mio")</f>
        <v>0</v>
      </c>
      <c r="R1660" s="52">
        <f ca="1">SUMIFS(OUT!$F$2:$F$11000,OUT!$H$2:$H$11000,H1660,OUT!$D$2:$D$11000,"Out",OUT!$E$2:$E$11000,"Sedekah")</f>
        <v>0</v>
      </c>
      <c r="S1660" s="52">
        <f ca="1">SUMIFS(OUT!$F$2:$F$11000,OUT!$H$2:$H$11000,H1660,OUT!$D$2:$D$11000,"Out",OUT!$E$2:$E$11000,"Zela")</f>
        <v>0</v>
      </c>
      <c r="T1660" s="52">
        <f ca="1">SUMIFS(OUT!$F$2:$F$11000,OUT!$H$2:$H$11000,H1660,OUT!$D$2:$D$11000,"Out",OUT!$E$2:$E$11000,"Iqbal")</f>
        <v>0</v>
      </c>
    </row>
    <row r="1661" spans="7:20" x14ac:dyDescent="0.2">
      <c r="G1661" s="50"/>
      <c r="H1661" s="51" t="str">
        <f t="shared" si="0"/>
        <v/>
      </c>
      <c r="I1661" s="52" t="e">
        <f>SUMIFS(OUT!$F$2:$F$11000,OUT!$H$2:$H$11000,H1661,OUT!$D$2:$D$101007,"In")</f>
        <v>#VALUE!</v>
      </c>
      <c r="J1661" s="52">
        <f ca="1">SUMIFS(OUT!$F$2:$F$11000,OUT!$H$2:$H$11000,H1661,OUT!$D$2:$D$11000,"Out")</f>
        <v>0</v>
      </c>
      <c r="K1661" s="52">
        <f ca="1">SUMIFS(OUT!$F$2:$F$11000,OUT!$H$2:$H$11000,H1661,OUT!$D$2:$D$11000,"Out",OUT!$E$2:$E$11000,"Fix")</f>
        <v>0</v>
      </c>
      <c r="L1661" s="52">
        <f ca="1">SUMIFS(OUT!$F$2:$F$11000,OUT!$H$2:$H$11000,H1661,OUT!$D$2:$D$11000,"Out",OUT!$E$2:$E$11000,"Bathroom")</f>
        <v>0</v>
      </c>
      <c r="M1661" s="52">
        <f ca="1">SUMIFS(OUT!$F$2:$F$11000,OUT!$H$2:$H$11000,H1661,OUT!$D$2:$D$11000,"Out",OUT!$E$2:$E$11000,"Alfa")</f>
        <v>0</v>
      </c>
      <c r="N1661" s="52" t="e">
        <f>SUMIFS(OUT!$F$2:$F$11000,OUT!$H$2:$H$101007,H1661,OUT!$D$2:$D$11000,"Out",OUT!$E$2:$E$11000,"Jajan")</f>
        <v>#VALUE!</v>
      </c>
      <c r="O1661" s="52">
        <f ca="1">SUMIFS(OUT!$F$2:$F$11000,OUT!$H$2:$H$11000,H1661,OUT!$D$2:$D$11000,"Out",OUT!$E$2:$E$11000,"Kitchen")</f>
        <v>0</v>
      </c>
      <c r="P1661" s="52">
        <f ca="1">SUMIFS(OUT!$F$2:$F$11000,OUT!$H$2:$H$11000,H1661,OUT!$D$2:$D$11000,"Out",OUT!$E$2:$E$11000,"Loandry")</f>
        <v>0</v>
      </c>
      <c r="Q1661" s="52">
        <f ca="1">SUMIFS(OUT!$F$2:$F$11000,OUT!$H$2:$H$11000,H1661,OUT!$D$2:$D$11000,"Out",OUT!$E$2:$E$11000,"Mio")</f>
        <v>0</v>
      </c>
      <c r="R1661" s="52">
        <f ca="1">SUMIFS(OUT!$F$2:$F$11000,OUT!$H$2:$H$11000,H1661,OUT!$D$2:$D$11000,"Out",OUT!$E$2:$E$11000,"Sedekah")</f>
        <v>0</v>
      </c>
      <c r="S1661" s="52">
        <f ca="1">SUMIFS(OUT!$F$2:$F$11000,OUT!$H$2:$H$11000,H1661,OUT!$D$2:$D$11000,"Out",OUT!$E$2:$E$11000,"Zela")</f>
        <v>0</v>
      </c>
      <c r="T1661" s="52">
        <f ca="1">SUMIFS(OUT!$F$2:$F$11000,OUT!$H$2:$H$11000,H1661,OUT!$D$2:$D$11000,"Out",OUT!$E$2:$E$11000,"Iqbal")</f>
        <v>0</v>
      </c>
    </row>
    <row r="1662" spans="7:20" x14ac:dyDescent="0.2">
      <c r="G1662" s="50"/>
      <c r="H1662" s="51" t="str">
        <f t="shared" si="0"/>
        <v/>
      </c>
      <c r="I1662" s="52" t="e">
        <f>SUMIFS(OUT!$F$2:$F$11000,OUT!$H$2:$H$11000,H1662,OUT!$D$2:$D$101007,"In")</f>
        <v>#VALUE!</v>
      </c>
      <c r="J1662" s="52">
        <f ca="1">SUMIFS(OUT!$F$2:$F$11000,OUT!$H$2:$H$11000,H1662,OUT!$D$2:$D$11000,"Out")</f>
        <v>0</v>
      </c>
      <c r="K1662" s="52">
        <f ca="1">SUMIFS(OUT!$F$2:$F$11000,OUT!$H$2:$H$11000,H1662,OUT!$D$2:$D$11000,"Out",OUT!$E$2:$E$11000,"Fix")</f>
        <v>0</v>
      </c>
      <c r="L1662" s="52">
        <f ca="1">SUMIFS(OUT!$F$2:$F$11000,OUT!$H$2:$H$11000,H1662,OUT!$D$2:$D$11000,"Out",OUT!$E$2:$E$11000,"Bathroom")</f>
        <v>0</v>
      </c>
      <c r="M1662" s="52">
        <f ca="1">SUMIFS(OUT!$F$2:$F$11000,OUT!$H$2:$H$11000,H1662,OUT!$D$2:$D$11000,"Out",OUT!$E$2:$E$11000,"Alfa")</f>
        <v>0</v>
      </c>
      <c r="N1662" s="52" t="e">
        <f>SUMIFS(OUT!$F$2:$F$11000,OUT!$H$2:$H$101007,H1662,OUT!$D$2:$D$11000,"Out",OUT!$E$2:$E$11000,"Jajan")</f>
        <v>#VALUE!</v>
      </c>
      <c r="O1662" s="52">
        <f ca="1">SUMIFS(OUT!$F$2:$F$11000,OUT!$H$2:$H$11000,H1662,OUT!$D$2:$D$11000,"Out",OUT!$E$2:$E$11000,"Kitchen")</f>
        <v>0</v>
      </c>
      <c r="P1662" s="52">
        <f ca="1">SUMIFS(OUT!$F$2:$F$11000,OUT!$H$2:$H$11000,H1662,OUT!$D$2:$D$11000,"Out",OUT!$E$2:$E$11000,"Loandry")</f>
        <v>0</v>
      </c>
      <c r="Q1662" s="52">
        <f ca="1">SUMIFS(OUT!$F$2:$F$11000,OUT!$H$2:$H$11000,H1662,OUT!$D$2:$D$11000,"Out",OUT!$E$2:$E$11000,"Mio")</f>
        <v>0</v>
      </c>
      <c r="R1662" s="52">
        <f ca="1">SUMIFS(OUT!$F$2:$F$11000,OUT!$H$2:$H$11000,H1662,OUT!$D$2:$D$11000,"Out",OUT!$E$2:$E$11000,"Sedekah")</f>
        <v>0</v>
      </c>
      <c r="S1662" s="52">
        <f ca="1">SUMIFS(OUT!$F$2:$F$11000,OUT!$H$2:$H$11000,H1662,OUT!$D$2:$D$11000,"Out",OUT!$E$2:$E$11000,"Zela")</f>
        <v>0</v>
      </c>
      <c r="T1662" s="52">
        <f ca="1">SUMIFS(OUT!$F$2:$F$11000,OUT!$H$2:$H$11000,H1662,OUT!$D$2:$D$11000,"Out",OUT!$E$2:$E$11000,"Iqbal")</f>
        <v>0</v>
      </c>
    </row>
    <row r="1663" spans="7:20" x14ac:dyDescent="0.2">
      <c r="G1663" s="50"/>
      <c r="H1663" s="51" t="str">
        <f t="shared" si="0"/>
        <v/>
      </c>
      <c r="I1663" s="52" t="e">
        <f>SUMIFS(OUT!$F$2:$F$11000,OUT!$H$2:$H$11000,H1663,OUT!$D$2:$D$101007,"In")</f>
        <v>#VALUE!</v>
      </c>
      <c r="J1663" s="52">
        <f ca="1">SUMIFS(OUT!$F$2:$F$11000,OUT!$H$2:$H$11000,H1663,OUT!$D$2:$D$11000,"Out")</f>
        <v>0</v>
      </c>
      <c r="K1663" s="52">
        <f ca="1">SUMIFS(OUT!$F$2:$F$11000,OUT!$H$2:$H$11000,H1663,OUT!$D$2:$D$11000,"Out",OUT!$E$2:$E$11000,"Fix")</f>
        <v>0</v>
      </c>
      <c r="L1663" s="52">
        <f ca="1">SUMIFS(OUT!$F$2:$F$11000,OUT!$H$2:$H$11000,H1663,OUT!$D$2:$D$11000,"Out",OUT!$E$2:$E$11000,"Bathroom")</f>
        <v>0</v>
      </c>
      <c r="M1663" s="52">
        <f ca="1">SUMIFS(OUT!$F$2:$F$11000,OUT!$H$2:$H$11000,H1663,OUT!$D$2:$D$11000,"Out",OUT!$E$2:$E$11000,"Alfa")</f>
        <v>0</v>
      </c>
      <c r="N1663" s="52" t="e">
        <f>SUMIFS(OUT!$F$2:$F$11000,OUT!$H$2:$H$101007,H1663,OUT!$D$2:$D$11000,"Out",OUT!$E$2:$E$11000,"Jajan")</f>
        <v>#VALUE!</v>
      </c>
      <c r="O1663" s="52">
        <f ca="1">SUMIFS(OUT!$F$2:$F$11000,OUT!$H$2:$H$11000,H1663,OUT!$D$2:$D$11000,"Out",OUT!$E$2:$E$11000,"Kitchen")</f>
        <v>0</v>
      </c>
      <c r="P1663" s="52">
        <f ca="1">SUMIFS(OUT!$F$2:$F$11000,OUT!$H$2:$H$11000,H1663,OUT!$D$2:$D$11000,"Out",OUT!$E$2:$E$11000,"Loandry")</f>
        <v>0</v>
      </c>
      <c r="Q1663" s="52">
        <f ca="1">SUMIFS(OUT!$F$2:$F$11000,OUT!$H$2:$H$11000,H1663,OUT!$D$2:$D$11000,"Out",OUT!$E$2:$E$11000,"Mio")</f>
        <v>0</v>
      </c>
      <c r="R1663" s="52">
        <f ca="1">SUMIFS(OUT!$F$2:$F$11000,OUT!$H$2:$H$11000,H1663,OUT!$D$2:$D$11000,"Out",OUT!$E$2:$E$11000,"Sedekah")</f>
        <v>0</v>
      </c>
      <c r="S1663" s="52">
        <f ca="1">SUMIFS(OUT!$F$2:$F$11000,OUT!$H$2:$H$11000,H1663,OUT!$D$2:$D$11000,"Out",OUT!$E$2:$E$11000,"Zela")</f>
        <v>0</v>
      </c>
      <c r="T1663" s="52">
        <f ca="1">SUMIFS(OUT!$F$2:$F$11000,OUT!$H$2:$H$11000,H1663,OUT!$D$2:$D$11000,"Out",OUT!$E$2:$E$11000,"Iqbal")</f>
        <v>0</v>
      </c>
    </row>
    <row r="1664" spans="7:20" x14ac:dyDescent="0.2">
      <c r="G1664" s="50"/>
      <c r="H1664" s="51" t="str">
        <f t="shared" si="0"/>
        <v/>
      </c>
      <c r="I1664" s="52" t="e">
        <f>SUMIFS(OUT!$F$2:$F$11000,OUT!$H$2:$H$11000,H1664,OUT!$D$2:$D$101007,"In")</f>
        <v>#VALUE!</v>
      </c>
      <c r="J1664" s="52">
        <f ca="1">SUMIFS(OUT!$F$2:$F$11000,OUT!$H$2:$H$11000,H1664,OUT!$D$2:$D$11000,"Out")</f>
        <v>0</v>
      </c>
      <c r="K1664" s="52">
        <f ca="1">SUMIFS(OUT!$F$2:$F$11000,OUT!$H$2:$H$11000,H1664,OUT!$D$2:$D$11000,"Out",OUT!$E$2:$E$11000,"Fix")</f>
        <v>0</v>
      </c>
      <c r="L1664" s="52">
        <f ca="1">SUMIFS(OUT!$F$2:$F$11000,OUT!$H$2:$H$11000,H1664,OUT!$D$2:$D$11000,"Out",OUT!$E$2:$E$11000,"Bathroom")</f>
        <v>0</v>
      </c>
      <c r="M1664" s="52">
        <f ca="1">SUMIFS(OUT!$F$2:$F$11000,OUT!$H$2:$H$11000,H1664,OUT!$D$2:$D$11000,"Out",OUT!$E$2:$E$11000,"Alfa")</f>
        <v>0</v>
      </c>
      <c r="N1664" s="52" t="e">
        <f>SUMIFS(OUT!$F$2:$F$11000,OUT!$H$2:$H$101007,H1664,OUT!$D$2:$D$11000,"Out",OUT!$E$2:$E$11000,"Jajan")</f>
        <v>#VALUE!</v>
      </c>
      <c r="O1664" s="52">
        <f ca="1">SUMIFS(OUT!$F$2:$F$11000,OUT!$H$2:$H$11000,H1664,OUT!$D$2:$D$11000,"Out",OUT!$E$2:$E$11000,"Kitchen")</f>
        <v>0</v>
      </c>
      <c r="P1664" s="52">
        <f ca="1">SUMIFS(OUT!$F$2:$F$11000,OUT!$H$2:$H$11000,H1664,OUT!$D$2:$D$11000,"Out",OUT!$E$2:$E$11000,"Loandry")</f>
        <v>0</v>
      </c>
      <c r="Q1664" s="52">
        <f ca="1">SUMIFS(OUT!$F$2:$F$11000,OUT!$H$2:$H$11000,H1664,OUT!$D$2:$D$11000,"Out",OUT!$E$2:$E$11000,"Mio")</f>
        <v>0</v>
      </c>
      <c r="R1664" s="52">
        <f ca="1">SUMIFS(OUT!$F$2:$F$11000,OUT!$H$2:$H$11000,H1664,OUT!$D$2:$D$11000,"Out",OUT!$E$2:$E$11000,"Sedekah")</f>
        <v>0</v>
      </c>
      <c r="S1664" s="52">
        <f ca="1">SUMIFS(OUT!$F$2:$F$11000,OUT!$H$2:$H$11000,H1664,OUT!$D$2:$D$11000,"Out",OUT!$E$2:$E$11000,"Zela")</f>
        <v>0</v>
      </c>
      <c r="T1664" s="52">
        <f ca="1">SUMIFS(OUT!$F$2:$F$11000,OUT!$H$2:$H$11000,H1664,OUT!$D$2:$D$11000,"Out",OUT!$E$2:$E$11000,"Iqbal")</f>
        <v>0</v>
      </c>
    </row>
    <row r="1665" spans="7:20" x14ac:dyDescent="0.2">
      <c r="G1665" s="50"/>
      <c r="H1665" s="51" t="str">
        <f t="shared" si="0"/>
        <v/>
      </c>
      <c r="I1665" s="52" t="e">
        <f>SUMIFS(OUT!$F$2:$F$11000,OUT!$H$2:$H$11000,H1665,OUT!$D$2:$D$101007,"In")</f>
        <v>#VALUE!</v>
      </c>
      <c r="J1665" s="52">
        <f ca="1">SUMIFS(OUT!$F$2:$F$11000,OUT!$H$2:$H$11000,H1665,OUT!$D$2:$D$11000,"Out")</f>
        <v>0</v>
      </c>
      <c r="K1665" s="52">
        <f ca="1">SUMIFS(OUT!$F$2:$F$11000,OUT!$H$2:$H$11000,H1665,OUT!$D$2:$D$11000,"Out",OUT!$E$2:$E$11000,"Fix")</f>
        <v>0</v>
      </c>
      <c r="L1665" s="52">
        <f ca="1">SUMIFS(OUT!$F$2:$F$11000,OUT!$H$2:$H$11000,H1665,OUT!$D$2:$D$11000,"Out",OUT!$E$2:$E$11000,"Bathroom")</f>
        <v>0</v>
      </c>
      <c r="M1665" s="52">
        <f ca="1">SUMIFS(OUT!$F$2:$F$11000,OUT!$H$2:$H$11000,H1665,OUT!$D$2:$D$11000,"Out",OUT!$E$2:$E$11000,"Alfa")</f>
        <v>0</v>
      </c>
      <c r="N1665" s="52" t="e">
        <f>SUMIFS(OUT!$F$2:$F$11000,OUT!$H$2:$H$101007,H1665,OUT!$D$2:$D$11000,"Out",OUT!$E$2:$E$11000,"Jajan")</f>
        <v>#VALUE!</v>
      </c>
      <c r="O1665" s="52">
        <f ca="1">SUMIFS(OUT!$F$2:$F$11000,OUT!$H$2:$H$11000,H1665,OUT!$D$2:$D$11000,"Out",OUT!$E$2:$E$11000,"Kitchen")</f>
        <v>0</v>
      </c>
      <c r="P1665" s="52">
        <f ca="1">SUMIFS(OUT!$F$2:$F$11000,OUT!$H$2:$H$11000,H1665,OUT!$D$2:$D$11000,"Out",OUT!$E$2:$E$11000,"Loandry")</f>
        <v>0</v>
      </c>
      <c r="Q1665" s="52">
        <f ca="1">SUMIFS(OUT!$F$2:$F$11000,OUT!$H$2:$H$11000,H1665,OUT!$D$2:$D$11000,"Out",OUT!$E$2:$E$11000,"Mio")</f>
        <v>0</v>
      </c>
      <c r="R1665" s="52">
        <f ca="1">SUMIFS(OUT!$F$2:$F$11000,OUT!$H$2:$H$11000,H1665,OUT!$D$2:$D$11000,"Out",OUT!$E$2:$E$11000,"Sedekah")</f>
        <v>0</v>
      </c>
      <c r="S1665" s="52">
        <f ca="1">SUMIFS(OUT!$F$2:$F$11000,OUT!$H$2:$H$11000,H1665,OUT!$D$2:$D$11000,"Out",OUT!$E$2:$E$11000,"Zela")</f>
        <v>0</v>
      </c>
      <c r="T1665" s="52">
        <f ca="1">SUMIFS(OUT!$F$2:$F$11000,OUT!$H$2:$H$11000,H1665,OUT!$D$2:$D$11000,"Out",OUT!$E$2:$E$11000,"Iqbal")</f>
        <v>0</v>
      </c>
    </row>
    <row r="1666" spans="7:20" x14ac:dyDescent="0.2">
      <c r="G1666" s="50"/>
      <c r="H1666" s="51" t="str">
        <f t="shared" si="0"/>
        <v/>
      </c>
      <c r="I1666" s="52" t="e">
        <f>SUMIFS(OUT!$F$2:$F$11000,OUT!$H$2:$H$11000,H1666,OUT!$D$2:$D$101007,"In")</f>
        <v>#VALUE!</v>
      </c>
      <c r="J1666" s="52">
        <f ca="1">SUMIFS(OUT!$F$2:$F$11000,OUT!$H$2:$H$11000,H1666,OUT!$D$2:$D$11000,"Out")</f>
        <v>0</v>
      </c>
      <c r="K1666" s="52">
        <f ca="1">SUMIFS(OUT!$F$2:$F$11000,OUT!$H$2:$H$11000,H1666,OUT!$D$2:$D$11000,"Out",OUT!$E$2:$E$11000,"Fix")</f>
        <v>0</v>
      </c>
      <c r="L1666" s="52">
        <f ca="1">SUMIFS(OUT!$F$2:$F$11000,OUT!$H$2:$H$11000,H1666,OUT!$D$2:$D$11000,"Out",OUT!$E$2:$E$11000,"Bathroom")</f>
        <v>0</v>
      </c>
      <c r="M1666" s="52">
        <f ca="1">SUMIFS(OUT!$F$2:$F$11000,OUT!$H$2:$H$11000,H1666,OUT!$D$2:$D$11000,"Out",OUT!$E$2:$E$11000,"Alfa")</f>
        <v>0</v>
      </c>
      <c r="N1666" s="52" t="e">
        <f>SUMIFS(OUT!$F$2:$F$11000,OUT!$H$2:$H$101007,H1666,OUT!$D$2:$D$11000,"Out",OUT!$E$2:$E$11000,"Jajan")</f>
        <v>#VALUE!</v>
      </c>
      <c r="O1666" s="52">
        <f ca="1">SUMIFS(OUT!$F$2:$F$11000,OUT!$H$2:$H$11000,H1666,OUT!$D$2:$D$11000,"Out",OUT!$E$2:$E$11000,"Kitchen")</f>
        <v>0</v>
      </c>
      <c r="P1666" s="52">
        <f ca="1">SUMIFS(OUT!$F$2:$F$11000,OUT!$H$2:$H$11000,H1666,OUT!$D$2:$D$11000,"Out",OUT!$E$2:$E$11000,"Loandry")</f>
        <v>0</v>
      </c>
      <c r="Q1666" s="52">
        <f ca="1">SUMIFS(OUT!$F$2:$F$11000,OUT!$H$2:$H$11000,H1666,OUT!$D$2:$D$11000,"Out",OUT!$E$2:$E$11000,"Mio")</f>
        <v>0</v>
      </c>
      <c r="R1666" s="52">
        <f ca="1">SUMIFS(OUT!$F$2:$F$11000,OUT!$H$2:$H$11000,H1666,OUT!$D$2:$D$11000,"Out",OUT!$E$2:$E$11000,"Sedekah")</f>
        <v>0</v>
      </c>
      <c r="S1666" s="52">
        <f ca="1">SUMIFS(OUT!$F$2:$F$11000,OUT!$H$2:$H$11000,H1666,OUT!$D$2:$D$11000,"Out",OUT!$E$2:$E$11000,"Zela")</f>
        <v>0</v>
      </c>
      <c r="T1666" s="52">
        <f ca="1">SUMIFS(OUT!$F$2:$F$11000,OUT!$H$2:$H$11000,H1666,OUT!$D$2:$D$11000,"Out",OUT!$E$2:$E$11000,"Iqbal")</f>
        <v>0</v>
      </c>
    </row>
    <row r="1667" spans="7:20" x14ac:dyDescent="0.2">
      <c r="G1667" s="50"/>
      <c r="H1667" s="51" t="str">
        <f t="shared" si="0"/>
        <v/>
      </c>
      <c r="I1667" s="52" t="e">
        <f>SUMIFS(OUT!$F$2:$F$11000,OUT!$H$2:$H$11000,H1667,OUT!$D$2:$D$101007,"In")</f>
        <v>#VALUE!</v>
      </c>
      <c r="J1667" s="52">
        <f ca="1">SUMIFS(OUT!$F$2:$F$11000,OUT!$H$2:$H$11000,H1667,OUT!$D$2:$D$11000,"Out")</f>
        <v>0</v>
      </c>
      <c r="K1667" s="52">
        <f ca="1">SUMIFS(OUT!$F$2:$F$11000,OUT!$H$2:$H$11000,H1667,OUT!$D$2:$D$11000,"Out",OUT!$E$2:$E$11000,"Fix")</f>
        <v>0</v>
      </c>
      <c r="L1667" s="52">
        <f ca="1">SUMIFS(OUT!$F$2:$F$11000,OUT!$H$2:$H$11000,H1667,OUT!$D$2:$D$11000,"Out",OUT!$E$2:$E$11000,"Bathroom")</f>
        <v>0</v>
      </c>
      <c r="M1667" s="52">
        <f ca="1">SUMIFS(OUT!$F$2:$F$11000,OUT!$H$2:$H$11000,H1667,OUT!$D$2:$D$11000,"Out",OUT!$E$2:$E$11000,"Alfa")</f>
        <v>0</v>
      </c>
      <c r="N1667" s="52" t="e">
        <f>SUMIFS(OUT!$F$2:$F$11000,OUT!$H$2:$H$101007,H1667,OUT!$D$2:$D$11000,"Out",OUT!$E$2:$E$11000,"Jajan")</f>
        <v>#VALUE!</v>
      </c>
      <c r="O1667" s="52">
        <f ca="1">SUMIFS(OUT!$F$2:$F$11000,OUT!$H$2:$H$11000,H1667,OUT!$D$2:$D$11000,"Out",OUT!$E$2:$E$11000,"Kitchen")</f>
        <v>0</v>
      </c>
      <c r="P1667" s="52">
        <f ca="1">SUMIFS(OUT!$F$2:$F$11000,OUT!$H$2:$H$11000,H1667,OUT!$D$2:$D$11000,"Out",OUT!$E$2:$E$11000,"Loandry")</f>
        <v>0</v>
      </c>
      <c r="Q1667" s="52">
        <f ca="1">SUMIFS(OUT!$F$2:$F$11000,OUT!$H$2:$H$11000,H1667,OUT!$D$2:$D$11000,"Out",OUT!$E$2:$E$11000,"Mio")</f>
        <v>0</v>
      </c>
      <c r="R1667" s="52">
        <f ca="1">SUMIFS(OUT!$F$2:$F$11000,OUT!$H$2:$H$11000,H1667,OUT!$D$2:$D$11000,"Out",OUT!$E$2:$E$11000,"Sedekah")</f>
        <v>0</v>
      </c>
      <c r="S1667" s="52">
        <f ca="1">SUMIFS(OUT!$F$2:$F$11000,OUT!$H$2:$H$11000,H1667,OUT!$D$2:$D$11000,"Out",OUT!$E$2:$E$11000,"Zela")</f>
        <v>0</v>
      </c>
      <c r="T1667" s="52">
        <f ca="1">SUMIFS(OUT!$F$2:$F$11000,OUT!$H$2:$H$11000,H1667,OUT!$D$2:$D$11000,"Out",OUT!$E$2:$E$11000,"Iqbal")</f>
        <v>0</v>
      </c>
    </row>
    <row r="1668" spans="7:20" x14ac:dyDescent="0.2">
      <c r="G1668" s="50"/>
      <c r="H1668" s="51" t="str">
        <f t="shared" si="0"/>
        <v/>
      </c>
      <c r="I1668" s="52" t="e">
        <f>SUMIFS(OUT!$F$2:$F$11000,OUT!$H$2:$H$11000,H1668,OUT!$D$2:$D$101007,"In")</f>
        <v>#VALUE!</v>
      </c>
      <c r="J1668" s="52">
        <f ca="1">SUMIFS(OUT!$F$2:$F$11000,OUT!$H$2:$H$11000,H1668,OUT!$D$2:$D$11000,"Out")</f>
        <v>0</v>
      </c>
      <c r="K1668" s="52">
        <f ca="1">SUMIFS(OUT!$F$2:$F$11000,OUT!$H$2:$H$11000,H1668,OUT!$D$2:$D$11000,"Out",OUT!$E$2:$E$11000,"Fix")</f>
        <v>0</v>
      </c>
      <c r="L1668" s="52">
        <f ca="1">SUMIFS(OUT!$F$2:$F$11000,OUT!$H$2:$H$11000,H1668,OUT!$D$2:$D$11000,"Out",OUT!$E$2:$E$11000,"Bathroom")</f>
        <v>0</v>
      </c>
      <c r="M1668" s="52">
        <f ca="1">SUMIFS(OUT!$F$2:$F$11000,OUT!$H$2:$H$11000,H1668,OUT!$D$2:$D$11000,"Out",OUT!$E$2:$E$11000,"Alfa")</f>
        <v>0</v>
      </c>
      <c r="N1668" s="52" t="e">
        <f>SUMIFS(OUT!$F$2:$F$11000,OUT!$H$2:$H$101007,H1668,OUT!$D$2:$D$11000,"Out",OUT!$E$2:$E$11000,"Jajan")</f>
        <v>#VALUE!</v>
      </c>
      <c r="O1668" s="52">
        <f ca="1">SUMIFS(OUT!$F$2:$F$11000,OUT!$H$2:$H$11000,H1668,OUT!$D$2:$D$11000,"Out",OUT!$E$2:$E$11000,"Kitchen")</f>
        <v>0</v>
      </c>
      <c r="P1668" s="52">
        <f ca="1">SUMIFS(OUT!$F$2:$F$11000,OUT!$H$2:$H$11000,H1668,OUT!$D$2:$D$11000,"Out",OUT!$E$2:$E$11000,"Loandry")</f>
        <v>0</v>
      </c>
      <c r="Q1668" s="52">
        <f ca="1">SUMIFS(OUT!$F$2:$F$11000,OUT!$H$2:$H$11000,H1668,OUT!$D$2:$D$11000,"Out",OUT!$E$2:$E$11000,"Mio")</f>
        <v>0</v>
      </c>
      <c r="R1668" s="52">
        <f ca="1">SUMIFS(OUT!$F$2:$F$11000,OUT!$H$2:$H$11000,H1668,OUT!$D$2:$D$11000,"Out",OUT!$E$2:$E$11000,"Sedekah")</f>
        <v>0</v>
      </c>
      <c r="S1668" s="52">
        <f ca="1">SUMIFS(OUT!$F$2:$F$11000,OUT!$H$2:$H$11000,H1668,OUT!$D$2:$D$11000,"Out",OUT!$E$2:$E$11000,"Zela")</f>
        <v>0</v>
      </c>
      <c r="T1668" s="52">
        <f ca="1">SUMIFS(OUT!$F$2:$F$11000,OUT!$H$2:$H$11000,H1668,OUT!$D$2:$D$11000,"Out",OUT!$E$2:$E$11000,"Iqbal")</f>
        <v>0</v>
      </c>
    </row>
    <row r="1669" spans="7:20" x14ac:dyDescent="0.2">
      <c r="G1669" s="50"/>
      <c r="H1669" s="51" t="str">
        <f t="shared" si="0"/>
        <v/>
      </c>
      <c r="I1669" s="52" t="e">
        <f>SUMIFS(OUT!$F$2:$F$11000,OUT!$H$2:$H$11000,H1669,OUT!$D$2:$D$101007,"In")</f>
        <v>#VALUE!</v>
      </c>
      <c r="J1669" s="52">
        <f ca="1">SUMIFS(OUT!$F$2:$F$11000,OUT!$H$2:$H$11000,H1669,OUT!$D$2:$D$11000,"Out")</f>
        <v>0</v>
      </c>
      <c r="K1669" s="52">
        <f ca="1">SUMIFS(OUT!$F$2:$F$11000,OUT!$H$2:$H$11000,H1669,OUT!$D$2:$D$11000,"Out",OUT!$E$2:$E$11000,"Fix")</f>
        <v>0</v>
      </c>
      <c r="L1669" s="52">
        <f ca="1">SUMIFS(OUT!$F$2:$F$11000,OUT!$H$2:$H$11000,H1669,OUT!$D$2:$D$11000,"Out",OUT!$E$2:$E$11000,"Bathroom")</f>
        <v>0</v>
      </c>
      <c r="M1669" s="52">
        <f ca="1">SUMIFS(OUT!$F$2:$F$11000,OUT!$H$2:$H$11000,H1669,OUT!$D$2:$D$11000,"Out",OUT!$E$2:$E$11000,"Alfa")</f>
        <v>0</v>
      </c>
      <c r="N1669" s="52" t="e">
        <f>SUMIFS(OUT!$F$2:$F$11000,OUT!$H$2:$H$101007,H1669,OUT!$D$2:$D$11000,"Out",OUT!$E$2:$E$11000,"Jajan")</f>
        <v>#VALUE!</v>
      </c>
      <c r="O1669" s="52">
        <f ca="1">SUMIFS(OUT!$F$2:$F$11000,OUT!$H$2:$H$11000,H1669,OUT!$D$2:$D$11000,"Out",OUT!$E$2:$E$11000,"Kitchen")</f>
        <v>0</v>
      </c>
      <c r="P1669" s="52">
        <f ca="1">SUMIFS(OUT!$F$2:$F$11000,OUT!$H$2:$H$11000,H1669,OUT!$D$2:$D$11000,"Out",OUT!$E$2:$E$11000,"Loandry")</f>
        <v>0</v>
      </c>
      <c r="Q1669" s="52">
        <f ca="1">SUMIFS(OUT!$F$2:$F$11000,OUT!$H$2:$H$11000,H1669,OUT!$D$2:$D$11000,"Out",OUT!$E$2:$E$11000,"Mio")</f>
        <v>0</v>
      </c>
      <c r="R1669" s="52">
        <f ca="1">SUMIFS(OUT!$F$2:$F$11000,OUT!$H$2:$H$11000,H1669,OUT!$D$2:$D$11000,"Out",OUT!$E$2:$E$11000,"Sedekah")</f>
        <v>0</v>
      </c>
      <c r="S1669" s="52">
        <f ca="1">SUMIFS(OUT!$F$2:$F$11000,OUT!$H$2:$H$11000,H1669,OUT!$D$2:$D$11000,"Out",OUT!$E$2:$E$11000,"Zela")</f>
        <v>0</v>
      </c>
      <c r="T1669" s="52">
        <f ca="1">SUMIFS(OUT!$F$2:$F$11000,OUT!$H$2:$H$11000,H1669,OUT!$D$2:$D$11000,"Out",OUT!$E$2:$E$11000,"Iqbal")</f>
        <v>0</v>
      </c>
    </row>
    <row r="1670" spans="7:20" x14ac:dyDescent="0.2">
      <c r="G1670" s="50"/>
      <c r="H1670" s="51" t="str">
        <f t="shared" si="0"/>
        <v/>
      </c>
      <c r="I1670" s="52" t="e">
        <f>SUMIFS(OUT!$F$2:$F$11000,OUT!$H$2:$H$11000,H1670,OUT!$D$2:$D$101007,"In")</f>
        <v>#VALUE!</v>
      </c>
      <c r="J1670" s="52">
        <f ca="1">SUMIFS(OUT!$F$2:$F$11000,OUT!$H$2:$H$11000,H1670,OUT!$D$2:$D$11000,"Out")</f>
        <v>0</v>
      </c>
      <c r="K1670" s="52">
        <f ca="1">SUMIFS(OUT!$F$2:$F$11000,OUT!$H$2:$H$11000,H1670,OUT!$D$2:$D$11000,"Out",OUT!$E$2:$E$11000,"Fix")</f>
        <v>0</v>
      </c>
      <c r="L1670" s="52">
        <f ca="1">SUMIFS(OUT!$F$2:$F$11000,OUT!$H$2:$H$11000,H1670,OUT!$D$2:$D$11000,"Out",OUT!$E$2:$E$11000,"Bathroom")</f>
        <v>0</v>
      </c>
      <c r="M1670" s="52">
        <f ca="1">SUMIFS(OUT!$F$2:$F$11000,OUT!$H$2:$H$11000,H1670,OUT!$D$2:$D$11000,"Out",OUT!$E$2:$E$11000,"Alfa")</f>
        <v>0</v>
      </c>
      <c r="N1670" s="52" t="e">
        <f>SUMIFS(OUT!$F$2:$F$11000,OUT!$H$2:$H$101007,H1670,OUT!$D$2:$D$11000,"Out",OUT!$E$2:$E$11000,"Jajan")</f>
        <v>#VALUE!</v>
      </c>
      <c r="O1670" s="52">
        <f ca="1">SUMIFS(OUT!$F$2:$F$11000,OUT!$H$2:$H$11000,H1670,OUT!$D$2:$D$11000,"Out",OUT!$E$2:$E$11000,"Kitchen")</f>
        <v>0</v>
      </c>
      <c r="P1670" s="52">
        <f ca="1">SUMIFS(OUT!$F$2:$F$11000,OUT!$H$2:$H$11000,H1670,OUT!$D$2:$D$11000,"Out",OUT!$E$2:$E$11000,"Loandry")</f>
        <v>0</v>
      </c>
      <c r="Q1670" s="52">
        <f ca="1">SUMIFS(OUT!$F$2:$F$11000,OUT!$H$2:$H$11000,H1670,OUT!$D$2:$D$11000,"Out",OUT!$E$2:$E$11000,"Mio")</f>
        <v>0</v>
      </c>
      <c r="R1670" s="52">
        <f ca="1">SUMIFS(OUT!$F$2:$F$11000,OUT!$H$2:$H$11000,H1670,OUT!$D$2:$D$11000,"Out",OUT!$E$2:$E$11000,"Sedekah")</f>
        <v>0</v>
      </c>
      <c r="S1670" s="52">
        <f ca="1">SUMIFS(OUT!$F$2:$F$11000,OUT!$H$2:$H$11000,H1670,OUT!$D$2:$D$11000,"Out",OUT!$E$2:$E$11000,"Zela")</f>
        <v>0</v>
      </c>
      <c r="T1670" s="52">
        <f ca="1">SUMIFS(OUT!$F$2:$F$11000,OUT!$H$2:$H$11000,H1670,OUT!$D$2:$D$11000,"Out",OUT!$E$2:$E$11000,"Iqbal")</f>
        <v>0</v>
      </c>
    </row>
    <row r="1671" spans="7:20" x14ac:dyDescent="0.2">
      <c r="G1671" s="50"/>
      <c r="H1671" s="51" t="str">
        <f t="shared" si="0"/>
        <v/>
      </c>
      <c r="I1671" s="52" t="e">
        <f>SUMIFS(OUT!$F$2:$F$11000,OUT!$H$2:$H$11000,H1671,OUT!$D$2:$D$101007,"In")</f>
        <v>#VALUE!</v>
      </c>
      <c r="J1671" s="52">
        <f ca="1">SUMIFS(OUT!$F$2:$F$11000,OUT!$H$2:$H$11000,H1671,OUT!$D$2:$D$11000,"Out")</f>
        <v>0</v>
      </c>
      <c r="K1671" s="52">
        <f ca="1">SUMIFS(OUT!$F$2:$F$11000,OUT!$H$2:$H$11000,H1671,OUT!$D$2:$D$11000,"Out",OUT!$E$2:$E$11000,"Fix")</f>
        <v>0</v>
      </c>
      <c r="L1671" s="52">
        <f ca="1">SUMIFS(OUT!$F$2:$F$11000,OUT!$H$2:$H$11000,H1671,OUT!$D$2:$D$11000,"Out",OUT!$E$2:$E$11000,"Bathroom")</f>
        <v>0</v>
      </c>
      <c r="M1671" s="52">
        <f ca="1">SUMIFS(OUT!$F$2:$F$11000,OUT!$H$2:$H$11000,H1671,OUT!$D$2:$D$11000,"Out",OUT!$E$2:$E$11000,"Alfa")</f>
        <v>0</v>
      </c>
      <c r="N1671" s="52" t="e">
        <f>SUMIFS(OUT!$F$2:$F$11000,OUT!$H$2:$H$101007,H1671,OUT!$D$2:$D$11000,"Out",OUT!$E$2:$E$11000,"Jajan")</f>
        <v>#VALUE!</v>
      </c>
      <c r="O1671" s="52">
        <f ca="1">SUMIFS(OUT!$F$2:$F$11000,OUT!$H$2:$H$11000,H1671,OUT!$D$2:$D$11000,"Out",OUT!$E$2:$E$11000,"Kitchen")</f>
        <v>0</v>
      </c>
      <c r="P1671" s="52">
        <f ca="1">SUMIFS(OUT!$F$2:$F$11000,OUT!$H$2:$H$11000,H1671,OUT!$D$2:$D$11000,"Out",OUT!$E$2:$E$11000,"Loandry")</f>
        <v>0</v>
      </c>
      <c r="Q1671" s="52">
        <f ca="1">SUMIFS(OUT!$F$2:$F$11000,OUT!$H$2:$H$11000,H1671,OUT!$D$2:$D$11000,"Out",OUT!$E$2:$E$11000,"Mio")</f>
        <v>0</v>
      </c>
      <c r="R1671" s="52">
        <f ca="1">SUMIFS(OUT!$F$2:$F$11000,OUT!$H$2:$H$11000,H1671,OUT!$D$2:$D$11000,"Out",OUT!$E$2:$E$11000,"Sedekah")</f>
        <v>0</v>
      </c>
      <c r="S1671" s="52">
        <f ca="1">SUMIFS(OUT!$F$2:$F$11000,OUT!$H$2:$H$11000,H1671,OUT!$D$2:$D$11000,"Out",OUT!$E$2:$E$11000,"Zela")</f>
        <v>0</v>
      </c>
      <c r="T1671" s="52">
        <f ca="1">SUMIFS(OUT!$F$2:$F$11000,OUT!$H$2:$H$11000,H1671,OUT!$D$2:$D$11000,"Out",OUT!$E$2:$E$11000,"Iqbal")</f>
        <v>0</v>
      </c>
    </row>
    <row r="1672" spans="7:20" x14ac:dyDescent="0.2">
      <c r="G1672" s="50"/>
      <c r="H1672" s="51" t="str">
        <f t="shared" si="0"/>
        <v/>
      </c>
      <c r="I1672" s="52" t="e">
        <f>SUMIFS(OUT!$F$2:$F$11000,OUT!$H$2:$H$11000,H1672,OUT!$D$2:$D$101007,"In")</f>
        <v>#VALUE!</v>
      </c>
      <c r="J1672" s="52">
        <f ca="1">SUMIFS(OUT!$F$2:$F$11000,OUT!$H$2:$H$11000,H1672,OUT!$D$2:$D$11000,"Out")</f>
        <v>0</v>
      </c>
      <c r="K1672" s="52">
        <f ca="1">SUMIFS(OUT!$F$2:$F$11000,OUT!$H$2:$H$11000,H1672,OUT!$D$2:$D$11000,"Out",OUT!$E$2:$E$11000,"Fix")</f>
        <v>0</v>
      </c>
      <c r="L1672" s="52">
        <f ca="1">SUMIFS(OUT!$F$2:$F$11000,OUT!$H$2:$H$11000,H1672,OUT!$D$2:$D$11000,"Out",OUT!$E$2:$E$11000,"Bathroom")</f>
        <v>0</v>
      </c>
      <c r="M1672" s="52">
        <f ca="1">SUMIFS(OUT!$F$2:$F$11000,OUT!$H$2:$H$11000,H1672,OUT!$D$2:$D$11000,"Out",OUT!$E$2:$E$11000,"Alfa")</f>
        <v>0</v>
      </c>
      <c r="N1672" s="52" t="e">
        <f>SUMIFS(OUT!$F$2:$F$11000,OUT!$H$2:$H$101007,H1672,OUT!$D$2:$D$11000,"Out",OUT!$E$2:$E$11000,"Jajan")</f>
        <v>#VALUE!</v>
      </c>
      <c r="O1672" s="52">
        <f ca="1">SUMIFS(OUT!$F$2:$F$11000,OUT!$H$2:$H$11000,H1672,OUT!$D$2:$D$11000,"Out",OUT!$E$2:$E$11000,"Kitchen")</f>
        <v>0</v>
      </c>
      <c r="P1672" s="52">
        <f ca="1">SUMIFS(OUT!$F$2:$F$11000,OUT!$H$2:$H$11000,H1672,OUT!$D$2:$D$11000,"Out",OUT!$E$2:$E$11000,"Loandry")</f>
        <v>0</v>
      </c>
      <c r="Q1672" s="52">
        <f ca="1">SUMIFS(OUT!$F$2:$F$11000,OUT!$H$2:$H$11000,H1672,OUT!$D$2:$D$11000,"Out",OUT!$E$2:$E$11000,"Mio")</f>
        <v>0</v>
      </c>
      <c r="R1672" s="52">
        <f ca="1">SUMIFS(OUT!$F$2:$F$11000,OUT!$H$2:$H$11000,H1672,OUT!$D$2:$D$11000,"Out",OUT!$E$2:$E$11000,"Sedekah")</f>
        <v>0</v>
      </c>
      <c r="S1672" s="52">
        <f ca="1">SUMIFS(OUT!$F$2:$F$11000,OUT!$H$2:$H$11000,H1672,OUT!$D$2:$D$11000,"Out",OUT!$E$2:$E$11000,"Zela")</f>
        <v>0</v>
      </c>
      <c r="T1672" s="52">
        <f ca="1">SUMIFS(OUT!$F$2:$F$11000,OUT!$H$2:$H$11000,H1672,OUT!$D$2:$D$11000,"Out",OUT!$E$2:$E$11000,"Iqbal")</f>
        <v>0</v>
      </c>
    </row>
    <row r="1673" spans="7:20" x14ac:dyDescent="0.2">
      <c r="G1673" s="50"/>
      <c r="H1673" s="51" t="str">
        <f t="shared" si="0"/>
        <v/>
      </c>
      <c r="I1673" s="52" t="e">
        <f>SUMIFS(OUT!$F$2:$F$11000,OUT!$H$2:$H$11000,H1673,OUT!$D$2:$D$101007,"In")</f>
        <v>#VALUE!</v>
      </c>
      <c r="J1673" s="52">
        <f ca="1">SUMIFS(OUT!$F$2:$F$11000,OUT!$H$2:$H$11000,H1673,OUT!$D$2:$D$11000,"Out")</f>
        <v>0</v>
      </c>
      <c r="K1673" s="52">
        <f ca="1">SUMIFS(OUT!$F$2:$F$11000,OUT!$H$2:$H$11000,H1673,OUT!$D$2:$D$11000,"Out",OUT!$E$2:$E$11000,"Fix")</f>
        <v>0</v>
      </c>
      <c r="L1673" s="52">
        <f ca="1">SUMIFS(OUT!$F$2:$F$11000,OUT!$H$2:$H$11000,H1673,OUT!$D$2:$D$11000,"Out",OUT!$E$2:$E$11000,"Bathroom")</f>
        <v>0</v>
      </c>
      <c r="M1673" s="52">
        <f ca="1">SUMIFS(OUT!$F$2:$F$11000,OUT!$H$2:$H$11000,H1673,OUT!$D$2:$D$11000,"Out",OUT!$E$2:$E$11000,"Alfa")</f>
        <v>0</v>
      </c>
      <c r="N1673" s="52" t="e">
        <f>SUMIFS(OUT!$F$2:$F$11000,OUT!$H$2:$H$101007,H1673,OUT!$D$2:$D$11000,"Out",OUT!$E$2:$E$11000,"Jajan")</f>
        <v>#VALUE!</v>
      </c>
      <c r="O1673" s="52">
        <f ca="1">SUMIFS(OUT!$F$2:$F$11000,OUT!$H$2:$H$11000,H1673,OUT!$D$2:$D$11000,"Out",OUT!$E$2:$E$11000,"Kitchen")</f>
        <v>0</v>
      </c>
      <c r="P1673" s="52">
        <f ca="1">SUMIFS(OUT!$F$2:$F$11000,OUT!$H$2:$H$11000,H1673,OUT!$D$2:$D$11000,"Out",OUT!$E$2:$E$11000,"Loandry")</f>
        <v>0</v>
      </c>
      <c r="Q1673" s="52">
        <f ca="1">SUMIFS(OUT!$F$2:$F$11000,OUT!$H$2:$H$11000,H1673,OUT!$D$2:$D$11000,"Out",OUT!$E$2:$E$11000,"Mio")</f>
        <v>0</v>
      </c>
      <c r="R1673" s="52">
        <f ca="1">SUMIFS(OUT!$F$2:$F$11000,OUT!$H$2:$H$11000,H1673,OUT!$D$2:$D$11000,"Out",OUT!$E$2:$E$11000,"Sedekah")</f>
        <v>0</v>
      </c>
      <c r="S1673" s="52">
        <f ca="1">SUMIFS(OUT!$F$2:$F$11000,OUT!$H$2:$H$11000,H1673,OUT!$D$2:$D$11000,"Out",OUT!$E$2:$E$11000,"Zela")</f>
        <v>0</v>
      </c>
      <c r="T1673" s="52">
        <f ca="1">SUMIFS(OUT!$F$2:$F$11000,OUT!$H$2:$H$11000,H1673,OUT!$D$2:$D$11000,"Out",OUT!$E$2:$E$11000,"Iqbal")</f>
        <v>0</v>
      </c>
    </row>
    <row r="1674" spans="7:20" x14ac:dyDescent="0.2">
      <c r="G1674" s="50"/>
      <c r="H1674" s="51" t="str">
        <f t="shared" si="0"/>
        <v/>
      </c>
      <c r="I1674" s="52" t="e">
        <f>SUMIFS(OUT!$F$2:$F$11000,OUT!$H$2:$H$11000,H1674,OUT!$D$2:$D$101007,"In")</f>
        <v>#VALUE!</v>
      </c>
      <c r="J1674" s="52">
        <f ca="1">SUMIFS(OUT!$F$2:$F$11000,OUT!$H$2:$H$11000,H1674,OUT!$D$2:$D$11000,"Out")</f>
        <v>0</v>
      </c>
      <c r="K1674" s="52">
        <f ca="1">SUMIFS(OUT!$F$2:$F$11000,OUT!$H$2:$H$11000,H1674,OUT!$D$2:$D$11000,"Out",OUT!$E$2:$E$11000,"Fix")</f>
        <v>0</v>
      </c>
      <c r="L1674" s="52">
        <f ca="1">SUMIFS(OUT!$F$2:$F$11000,OUT!$H$2:$H$11000,H1674,OUT!$D$2:$D$11000,"Out",OUT!$E$2:$E$11000,"Bathroom")</f>
        <v>0</v>
      </c>
      <c r="M1674" s="52">
        <f ca="1">SUMIFS(OUT!$F$2:$F$11000,OUT!$H$2:$H$11000,H1674,OUT!$D$2:$D$11000,"Out",OUT!$E$2:$E$11000,"Alfa")</f>
        <v>0</v>
      </c>
      <c r="N1674" s="52" t="e">
        <f>SUMIFS(OUT!$F$2:$F$11000,OUT!$H$2:$H$101007,H1674,OUT!$D$2:$D$11000,"Out",OUT!$E$2:$E$11000,"Jajan")</f>
        <v>#VALUE!</v>
      </c>
      <c r="O1674" s="52">
        <f ca="1">SUMIFS(OUT!$F$2:$F$11000,OUT!$H$2:$H$11000,H1674,OUT!$D$2:$D$11000,"Out",OUT!$E$2:$E$11000,"Kitchen")</f>
        <v>0</v>
      </c>
      <c r="P1674" s="52">
        <f ca="1">SUMIFS(OUT!$F$2:$F$11000,OUT!$H$2:$H$11000,H1674,OUT!$D$2:$D$11000,"Out",OUT!$E$2:$E$11000,"Loandry")</f>
        <v>0</v>
      </c>
      <c r="Q1674" s="52">
        <f ca="1">SUMIFS(OUT!$F$2:$F$11000,OUT!$H$2:$H$11000,H1674,OUT!$D$2:$D$11000,"Out",OUT!$E$2:$E$11000,"Mio")</f>
        <v>0</v>
      </c>
      <c r="R1674" s="52">
        <f ca="1">SUMIFS(OUT!$F$2:$F$11000,OUT!$H$2:$H$11000,H1674,OUT!$D$2:$D$11000,"Out",OUT!$E$2:$E$11000,"Sedekah")</f>
        <v>0</v>
      </c>
      <c r="S1674" s="52">
        <f ca="1">SUMIFS(OUT!$F$2:$F$11000,OUT!$H$2:$H$11000,H1674,OUT!$D$2:$D$11000,"Out",OUT!$E$2:$E$11000,"Zela")</f>
        <v>0</v>
      </c>
      <c r="T1674" s="52">
        <f ca="1">SUMIFS(OUT!$F$2:$F$11000,OUT!$H$2:$H$11000,H1674,OUT!$D$2:$D$11000,"Out",OUT!$E$2:$E$11000,"Iqbal")</f>
        <v>0</v>
      </c>
    </row>
    <row r="1675" spans="7:20" x14ac:dyDescent="0.2">
      <c r="G1675" s="50"/>
      <c r="H1675" s="51" t="str">
        <f t="shared" si="0"/>
        <v/>
      </c>
      <c r="I1675" s="52" t="e">
        <f>SUMIFS(OUT!$F$2:$F$11000,OUT!$H$2:$H$11000,H1675,OUT!$D$2:$D$101007,"In")</f>
        <v>#VALUE!</v>
      </c>
      <c r="J1675" s="52">
        <f ca="1">SUMIFS(OUT!$F$2:$F$11000,OUT!$H$2:$H$11000,H1675,OUT!$D$2:$D$11000,"Out")</f>
        <v>0</v>
      </c>
      <c r="K1675" s="52">
        <f ca="1">SUMIFS(OUT!$F$2:$F$11000,OUT!$H$2:$H$11000,H1675,OUT!$D$2:$D$11000,"Out",OUT!$E$2:$E$11000,"Fix")</f>
        <v>0</v>
      </c>
      <c r="L1675" s="52">
        <f ca="1">SUMIFS(OUT!$F$2:$F$11000,OUT!$H$2:$H$11000,H1675,OUT!$D$2:$D$11000,"Out",OUT!$E$2:$E$11000,"Bathroom")</f>
        <v>0</v>
      </c>
      <c r="M1675" s="52">
        <f ca="1">SUMIFS(OUT!$F$2:$F$11000,OUT!$H$2:$H$11000,H1675,OUT!$D$2:$D$11000,"Out",OUT!$E$2:$E$11000,"Alfa")</f>
        <v>0</v>
      </c>
      <c r="N1675" s="52" t="e">
        <f>SUMIFS(OUT!$F$2:$F$11000,OUT!$H$2:$H$101007,H1675,OUT!$D$2:$D$11000,"Out",OUT!$E$2:$E$11000,"Jajan")</f>
        <v>#VALUE!</v>
      </c>
      <c r="O1675" s="52">
        <f ca="1">SUMIFS(OUT!$F$2:$F$11000,OUT!$H$2:$H$11000,H1675,OUT!$D$2:$D$11000,"Out",OUT!$E$2:$E$11000,"Kitchen")</f>
        <v>0</v>
      </c>
      <c r="P1675" s="52">
        <f ca="1">SUMIFS(OUT!$F$2:$F$11000,OUT!$H$2:$H$11000,H1675,OUT!$D$2:$D$11000,"Out",OUT!$E$2:$E$11000,"Loandry")</f>
        <v>0</v>
      </c>
      <c r="Q1675" s="52">
        <f ca="1">SUMIFS(OUT!$F$2:$F$11000,OUT!$H$2:$H$11000,H1675,OUT!$D$2:$D$11000,"Out",OUT!$E$2:$E$11000,"Mio")</f>
        <v>0</v>
      </c>
      <c r="R1675" s="52">
        <f ca="1">SUMIFS(OUT!$F$2:$F$11000,OUT!$H$2:$H$11000,H1675,OUT!$D$2:$D$11000,"Out",OUT!$E$2:$E$11000,"Sedekah")</f>
        <v>0</v>
      </c>
      <c r="S1675" s="52">
        <f ca="1">SUMIFS(OUT!$F$2:$F$11000,OUT!$H$2:$H$11000,H1675,OUT!$D$2:$D$11000,"Out",OUT!$E$2:$E$11000,"Zela")</f>
        <v>0</v>
      </c>
      <c r="T1675" s="52">
        <f ca="1">SUMIFS(OUT!$F$2:$F$11000,OUT!$H$2:$H$11000,H1675,OUT!$D$2:$D$11000,"Out",OUT!$E$2:$E$11000,"Iqbal")</f>
        <v>0</v>
      </c>
    </row>
    <row r="1676" spans="7:20" x14ac:dyDescent="0.2">
      <c r="G1676" s="50"/>
      <c r="H1676" s="51" t="str">
        <f t="shared" si="0"/>
        <v/>
      </c>
      <c r="I1676" s="52" t="e">
        <f>SUMIFS(OUT!$F$2:$F$11000,OUT!$H$2:$H$11000,H1676,OUT!$D$2:$D$101007,"In")</f>
        <v>#VALUE!</v>
      </c>
      <c r="J1676" s="52">
        <f ca="1">SUMIFS(OUT!$F$2:$F$11000,OUT!$H$2:$H$11000,H1676,OUT!$D$2:$D$11000,"Out")</f>
        <v>0</v>
      </c>
      <c r="K1676" s="52">
        <f ca="1">SUMIFS(OUT!$F$2:$F$11000,OUT!$H$2:$H$11000,H1676,OUT!$D$2:$D$11000,"Out",OUT!$E$2:$E$11000,"Fix")</f>
        <v>0</v>
      </c>
      <c r="L1676" s="52">
        <f ca="1">SUMIFS(OUT!$F$2:$F$11000,OUT!$H$2:$H$11000,H1676,OUT!$D$2:$D$11000,"Out",OUT!$E$2:$E$11000,"Bathroom")</f>
        <v>0</v>
      </c>
      <c r="M1676" s="52">
        <f ca="1">SUMIFS(OUT!$F$2:$F$11000,OUT!$H$2:$H$11000,H1676,OUT!$D$2:$D$11000,"Out",OUT!$E$2:$E$11000,"Alfa")</f>
        <v>0</v>
      </c>
      <c r="N1676" s="52" t="e">
        <f>SUMIFS(OUT!$F$2:$F$11000,OUT!$H$2:$H$101007,H1676,OUT!$D$2:$D$11000,"Out",OUT!$E$2:$E$11000,"Jajan")</f>
        <v>#VALUE!</v>
      </c>
      <c r="O1676" s="52">
        <f ca="1">SUMIFS(OUT!$F$2:$F$11000,OUT!$H$2:$H$11000,H1676,OUT!$D$2:$D$11000,"Out",OUT!$E$2:$E$11000,"Kitchen")</f>
        <v>0</v>
      </c>
      <c r="P1676" s="52">
        <f ca="1">SUMIFS(OUT!$F$2:$F$11000,OUT!$H$2:$H$11000,H1676,OUT!$D$2:$D$11000,"Out",OUT!$E$2:$E$11000,"Loandry")</f>
        <v>0</v>
      </c>
      <c r="Q1676" s="52">
        <f ca="1">SUMIFS(OUT!$F$2:$F$11000,OUT!$H$2:$H$11000,H1676,OUT!$D$2:$D$11000,"Out",OUT!$E$2:$E$11000,"Mio")</f>
        <v>0</v>
      </c>
      <c r="R1676" s="52">
        <f ca="1">SUMIFS(OUT!$F$2:$F$11000,OUT!$H$2:$H$11000,H1676,OUT!$D$2:$D$11000,"Out",OUT!$E$2:$E$11000,"Sedekah")</f>
        <v>0</v>
      </c>
      <c r="S1676" s="52">
        <f ca="1">SUMIFS(OUT!$F$2:$F$11000,OUT!$H$2:$H$11000,H1676,OUT!$D$2:$D$11000,"Out",OUT!$E$2:$E$11000,"Zela")</f>
        <v>0</v>
      </c>
      <c r="T1676" s="52">
        <f ca="1">SUMIFS(OUT!$F$2:$F$11000,OUT!$H$2:$H$11000,H1676,OUT!$D$2:$D$11000,"Out",OUT!$E$2:$E$11000,"Iqbal")</f>
        <v>0</v>
      </c>
    </row>
    <row r="1677" spans="7:20" x14ac:dyDescent="0.2">
      <c r="G1677" s="50"/>
      <c r="H1677" s="51" t="str">
        <f t="shared" si="0"/>
        <v/>
      </c>
      <c r="I1677" s="52" t="e">
        <f>SUMIFS(OUT!$F$2:$F$11000,OUT!$H$2:$H$11000,H1677,OUT!$D$2:$D$101007,"In")</f>
        <v>#VALUE!</v>
      </c>
      <c r="J1677" s="52">
        <f ca="1">SUMIFS(OUT!$F$2:$F$11000,OUT!$H$2:$H$11000,H1677,OUT!$D$2:$D$11000,"Out")</f>
        <v>0</v>
      </c>
      <c r="K1677" s="52">
        <f ca="1">SUMIFS(OUT!$F$2:$F$11000,OUT!$H$2:$H$11000,H1677,OUT!$D$2:$D$11000,"Out",OUT!$E$2:$E$11000,"Fix")</f>
        <v>0</v>
      </c>
      <c r="L1677" s="52">
        <f ca="1">SUMIFS(OUT!$F$2:$F$11000,OUT!$H$2:$H$11000,H1677,OUT!$D$2:$D$11000,"Out",OUT!$E$2:$E$11000,"Bathroom")</f>
        <v>0</v>
      </c>
      <c r="M1677" s="52">
        <f ca="1">SUMIFS(OUT!$F$2:$F$11000,OUT!$H$2:$H$11000,H1677,OUT!$D$2:$D$11000,"Out",OUT!$E$2:$E$11000,"Alfa")</f>
        <v>0</v>
      </c>
      <c r="N1677" s="52" t="e">
        <f>SUMIFS(OUT!$F$2:$F$11000,OUT!$H$2:$H$101007,H1677,OUT!$D$2:$D$11000,"Out",OUT!$E$2:$E$11000,"Jajan")</f>
        <v>#VALUE!</v>
      </c>
      <c r="O1677" s="52">
        <f ca="1">SUMIFS(OUT!$F$2:$F$11000,OUT!$H$2:$H$11000,H1677,OUT!$D$2:$D$11000,"Out",OUT!$E$2:$E$11000,"Kitchen")</f>
        <v>0</v>
      </c>
      <c r="P1677" s="52">
        <f ca="1">SUMIFS(OUT!$F$2:$F$11000,OUT!$H$2:$H$11000,H1677,OUT!$D$2:$D$11000,"Out",OUT!$E$2:$E$11000,"Loandry")</f>
        <v>0</v>
      </c>
      <c r="Q1677" s="52">
        <f ca="1">SUMIFS(OUT!$F$2:$F$11000,OUT!$H$2:$H$11000,H1677,OUT!$D$2:$D$11000,"Out",OUT!$E$2:$E$11000,"Mio")</f>
        <v>0</v>
      </c>
      <c r="R1677" s="52">
        <f ca="1">SUMIFS(OUT!$F$2:$F$11000,OUT!$H$2:$H$11000,H1677,OUT!$D$2:$D$11000,"Out",OUT!$E$2:$E$11000,"Sedekah")</f>
        <v>0</v>
      </c>
      <c r="S1677" s="52">
        <f ca="1">SUMIFS(OUT!$F$2:$F$11000,OUT!$H$2:$H$11000,H1677,OUT!$D$2:$D$11000,"Out",OUT!$E$2:$E$11000,"Zela")</f>
        <v>0</v>
      </c>
      <c r="T1677" s="52">
        <f ca="1">SUMIFS(OUT!$F$2:$F$11000,OUT!$H$2:$H$11000,H1677,OUT!$D$2:$D$11000,"Out",OUT!$E$2:$E$11000,"Iqbal")</f>
        <v>0</v>
      </c>
    </row>
    <row r="1678" spans="7:20" x14ac:dyDescent="0.2">
      <c r="G1678" s="50"/>
      <c r="H1678" s="51" t="str">
        <f t="shared" si="0"/>
        <v/>
      </c>
      <c r="I1678" s="52" t="e">
        <f>SUMIFS(OUT!$F$2:$F$11000,OUT!$H$2:$H$11000,H1678,OUT!$D$2:$D$101007,"In")</f>
        <v>#VALUE!</v>
      </c>
      <c r="J1678" s="52">
        <f ca="1">SUMIFS(OUT!$F$2:$F$11000,OUT!$H$2:$H$11000,H1678,OUT!$D$2:$D$11000,"Out")</f>
        <v>0</v>
      </c>
      <c r="K1678" s="52">
        <f ca="1">SUMIFS(OUT!$F$2:$F$11000,OUT!$H$2:$H$11000,H1678,OUT!$D$2:$D$11000,"Out",OUT!$E$2:$E$11000,"Fix")</f>
        <v>0</v>
      </c>
      <c r="L1678" s="52">
        <f ca="1">SUMIFS(OUT!$F$2:$F$11000,OUT!$H$2:$H$11000,H1678,OUT!$D$2:$D$11000,"Out",OUT!$E$2:$E$11000,"Bathroom")</f>
        <v>0</v>
      </c>
      <c r="M1678" s="52">
        <f ca="1">SUMIFS(OUT!$F$2:$F$11000,OUT!$H$2:$H$11000,H1678,OUT!$D$2:$D$11000,"Out",OUT!$E$2:$E$11000,"Alfa")</f>
        <v>0</v>
      </c>
      <c r="N1678" s="52" t="e">
        <f>SUMIFS(OUT!$F$2:$F$11000,OUT!$H$2:$H$101007,H1678,OUT!$D$2:$D$11000,"Out",OUT!$E$2:$E$11000,"Jajan")</f>
        <v>#VALUE!</v>
      </c>
      <c r="O1678" s="52">
        <f ca="1">SUMIFS(OUT!$F$2:$F$11000,OUT!$H$2:$H$11000,H1678,OUT!$D$2:$D$11000,"Out",OUT!$E$2:$E$11000,"Kitchen")</f>
        <v>0</v>
      </c>
      <c r="P1678" s="52">
        <f ca="1">SUMIFS(OUT!$F$2:$F$11000,OUT!$H$2:$H$11000,H1678,OUT!$D$2:$D$11000,"Out",OUT!$E$2:$E$11000,"Loandry")</f>
        <v>0</v>
      </c>
      <c r="Q1678" s="52">
        <f ca="1">SUMIFS(OUT!$F$2:$F$11000,OUT!$H$2:$H$11000,H1678,OUT!$D$2:$D$11000,"Out",OUT!$E$2:$E$11000,"Mio")</f>
        <v>0</v>
      </c>
      <c r="R1678" s="52">
        <f ca="1">SUMIFS(OUT!$F$2:$F$11000,OUT!$H$2:$H$11000,H1678,OUT!$D$2:$D$11000,"Out",OUT!$E$2:$E$11000,"Sedekah")</f>
        <v>0</v>
      </c>
      <c r="S1678" s="52">
        <f ca="1">SUMIFS(OUT!$F$2:$F$11000,OUT!$H$2:$H$11000,H1678,OUT!$D$2:$D$11000,"Out",OUT!$E$2:$E$11000,"Zela")</f>
        <v>0</v>
      </c>
      <c r="T1678" s="52">
        <f ca="1">SUMIFS(OUT!$F$2:$F$11000,OUT!$H$2:$H$11000,H1678,OUT!$D$2:$D$11000,"Out",OUT!$E$2:$E$11000,"Iqbal")</f>
        <v>0</v>
      </c>
    </row>
    <row r="1679" spans="7:20" x14ac:dyDescent="0.2">
      <c r="G1679" s="50"/>
      <c r="H1679" s="51" t="str">
        <f t="shared" si="0"/>
        <v/>
      </c>
      <c r="I1679" s="52" t="e">
        <f>SUMIFS(OUT!$F$2:$F$11000,OUT!$H$2:$H$11000,H1679,OUT!$D$2:$D$101007,"In")</f>
        <v>#VALUE!</v>
      </c>
      <c r="J1679" s="52">
        <f ca="1">SUMIFS(OUT!$F$2:$F$11000,OUT!$H$2:$H$11000,H1679,OUT!$D$2:$D$11000,"Out")</f>
        <v>0</v>
      </c>
      <c r="K1679" s="52">
        <f ca="1">SUMIFS(OUT!$F$2:$F$11000,OUT!$H$2:$H$11000,H1679,OUT!$D$2:$D$11000,"Out",OUT!$E$2:$E$11000,"Fix")</f>
        <v>0</v>
      </c>
      <c r="L1679" s="52">
        <f ca="1">SUMIFS(OUT!$F$2:$F$11000,OUT!$H$2:$H$11000,H1679,OUT!$D$2:$D$11000,"Out",OUT!$E$2:$E$11000,"Bathroom")</f>
        <v>0</v>
      </c>
      <c r="M1679" s="52">
        <f ca="1">SUMIFS(OUT!$F$2:$F$11000,OUT!$H$2:$H$11000,H1679,OUT!$D$2:$D$11000,"Out",OUT!$E$2:$E$11000,"Alfa")</f>
        <v>0</v>
      </c>
      <c r="N1679" s="52" t="e">
        <f>SUMIFS(OUT!$F$2:$F$11000,OUT!$H$2:$H$101007,H1679,OUT!$D$2:$D$11000,"Out",OUT!$E$2:$E$11000,"Jajan")</f>
        <v>#VALUE!</v>
      </c>
      <c r="O1679" s="52">
        <f ca="1">SUMIFS(OUT!$F$2:$F$11000,OUT!$H$2:$H$11000,H1679,OUT!$D$2:$D$11000,"Out",OUT!$E$2:$E$11000,"Kitchen")</f>
        <v>0</v>
      </c>
      <c r="P1679" s="52">
        <f ca="1">SUMIFS(OUT!$F$2:$F$11000,OUT!$H$2:$H$11000,H1679,OUT!$D$2:$D$11000,"Out",OUT!$E$2:$E$11000,"Loandry")</f>
        <v>0</v>
      </c>
      <c r="Q1679" s="52">
        <f ca="1">SUMIFS(OUT!$F$2:$F$11000,OUT!$H$2:$H$11000,H1679,OUT!$D$2:$D$11000,"Out",OUT!$E$2:$E$11000,"Mio")</f>
        <v>0</v>
      </c>
      <c r="R1679" s="52">
        <f ca="1">SUMIFS(OUT!$F$2:$F$11000,OUT!$H$2:$H$11000,H1679,OUT!$D$2:$D$11000,"Out",OUT!$E$2:$E$11000,"Sedekah")</f>
        <v>0</v>
      </c>
      <c r="S1679" s="52">
        <f ca="1">SUMIFS(OUT!$F$2:$F$11000,OUT!$H$2:$H$11000,H1679,OUT!$D$2:$D$11000,"Out",OUT!$E$2:$E$11000,"Zela")</f>
        <v>0</v>
      </c>
      <c r="T1679" s="52">
        <f ca="1">SUMIFS(OUT!$F$2:$F$11000,OUT!$H$2:$H$11000,H1679,OUT!$D$2:$D$11000,"Out",OUT!$E$2:$E$11000,"Iqbal")</f>
        <v>0</v>
      </c>
    </row>
    <row r="1680" spans="7:20" x14ac:dyDescent="0.2">
      <c r="G1680" s="50"/>
      <c r="H1680" s="51" t="str">
        <f t="shared" si="0"/>
        <v/>
      </c>
      <c r="I1680" s="52" t="e">
        <f>SUMIFS(OUT!$F$2:$F$11000,OUT!$H$2:$H$11000,H1680,OUT!$D$2:$D$101007,"In")</f>
        <v>#VALUE!</v>
      </c>
      <c r="J1680" s="52">
        <f ca="1">SUMIFS(OUT!$F$2:$F$11000,OUT!$H$2:$H$11000,H1680,OUT!$D$2:$D$11000,"Out")</f>
        <v>0</v>
      </c>
      <c r="K1680" s="52">
        <f ca="1">SUMIFS(OUT!$F$2:$F$11000,OUT!$H$2:$H$11000,H1680,OUT!$D$2:$D$11000,"Out",OUT!$E$2:$E$11000,"Fix")</f>
        <v>0</v>
      </c>
      <c r="L1680" s="52">
        <f ca="1">SUMIFS(OUT!$F$2:$F$11000,OUT!$H$2:$H$11000,H1680,OUT!$D$2:$D$11000,"Out",OUT!$E$2:$E$11000,"Bathroom")</f>
        <v>0</v>
      </c>
      <c r="M1680" s="52">
        <f ca="1">SUMIFS(OUT!$F$2:$F$11000,OUT!$H$2:$H$11000,H1680,OUT!$D$2:$D$11000,"Out",OUT!$E$2:$E$11000,"Alfa")</f>
        <v>0</v>
      </c>
      <c r="N1680" s="52" t="e">
        <f>SUMIFS(OUT!$F$2:$F$11000,OUT!$H$2:$H$101007,H1680,OUT!$D$2:$D$11000,"Out",OUT!$E$2:$E$11000,"Jajan")</f>
        <v>#VALUE!</v>
      </c>
      <c r="O1680" s="52">
        <f ca="1">SUMIFS(OUT!$F$2:$F$11000,OUT!$H$2:$H$11000,H1680,OUT!$D$2:$D$11000,"Out",OUT!$E$2:$E$11000,"Kitchen")</f>
        <v>0</v>
      </c>
      <c r="P1680" s="52">
        <f ca="1">SUMIFS(OUT!$F$2:$F$11000,OUT!$H$2:$H$11000,H1680,OUT!$D$2:$D$11000,"Out",OUT!$E$2:$E$11000,"Loandry")</f>
        <v>0</v>
      </c>
      <c r="Q1680" s="52">
        <f ca="1">SUMIFS(OUT!$F$2:$F$11000,OUT!$H$2:$H$11000,H1680,OUT!$D$2:$D$11000,"Out",OUT!$E$2:$E$11000,"Mio")</f>
        <v>0</v>
      </c>
      <c r="R1680" s="52">
        <f ca="1">SUMIFS(OUT!$F$2:$F$11000,OUT!$H$2:$H$11000,H1680,OUT!$D$2:$D$11000,"Out",OUT!$E$2:$E$11000,"Sedekah")</f>
        <v>0</v>
      </c>
      <c r="S1680" s="52">
        <f ca="1">SUMIFS(OUT!$F$2:$F$11000,OUT!$H$2:$H$11000,H1680,OUT!$D$2:$D$11000,"Out",OUT!$E$2:$E$11000,"Zela")</f>
        <v>0</v>
      </c>
      <c r="T1680" s="52">
        <f ca="1">SUMIFS(OUT!$F$2:$F$11000,OUT!$H$2:$H$11000,H1680,OUT!$D$2:$D$11000,"Out",OUT!$E$2:$E$11000,"Iqbal")</f>
        <v>0</v>
      </c>
    </row>
    <row r="1681" spans="7:20" x14ac:dyDescent="0.2">
      <c r="G1681" s="50"/>
      <c r="H1681" s="51" t="str">
        <f t="shared" si="0"/>
        <v/>
      </c>
      <c r="I1681" s="52" t="e">
        <f>SUMIFS(OUT!$F$2:$F$11000,OUT!$H$2:$H$11000,H1681,OUT!$D$2:$D$101007,"In")</f>
        <v>#VALUE!</v>
      </c>
      <c r="J1681" s="52">
        <f ca="1">SUMIFS(OUT!$F$2:$F$11000,OUT!$H$2:$H$11000,H1681,OUT!$D$2:$D$11000,"Out")</f>
        <v>0</v>
      </c>
      <c r="K1681" s="52">
        <f ca="1">SUMIFS(OUT!$F$2:$F$11000,OUT!$H$2:$H$11000,H1681,OUT!$D$2:$D$11000,"Out",OUT!$E$2:$E$11000,"Fix")</f>
        <v>0</v>
      </c>
      <c r="L1681" s="52">
        <f ca="1">SUMIFS(OUT!$F$2:$F$11000,OUT!$H$2:$H$11000,H1681,OUT!$D$2:$D$11000,"Out",OUT!$E$2:$E$11000,"Bathroom")</f>
        <v>0</v>
      </c>
      <c r="M1681" s="52">
        <f ca="1">SUMIFS(OUT!$F$2:$F$11000,OUT!$H$2:$H$11000,H1681,OUT!$D$2:$D$11000,"Out",OUT!$E$2:$E$11000,"Alfa")</f>
        <v>0</v>
      </c>
      <c r="N1681" s="52" t="e">
        <f>SUMIFS(OUT!$F$2:$F$11000,OUT!$H$2:$H$101007,H1681,OUT!$D$2:$D$11000,"Out",OUT!$E$2:$E$11000,"Jajan")</f>
        <v>#VALUE!</v>
      </c>
      <c r="O1681" s="52">
        <f ca="1">SUMIFS(OUT!$F$2:$F$11000,OUT!$H$2:$H$11000,H1681,OUT!$D$2:$D$11000,"Out",OUT!$E$2:$E$11000,"Kitchen")</f>
        <v>0</v>
      </c>
      <c r="P1681" s="52">
        <f ca="1">SUMIFS(OUT!$F$2:$F$11000,OUT!$H$2:$H$11000,H1681,OUT!$D$2:$D$11000,"Out",OUT!$E$2:$E$11000,"Loandry")</f>
        <v>0</v>
      </c>
      <c r="Q1681" s="52">
        <f ca="1">SUMIFS(OUT!$F$2:$F$11000,OUT!$H$2:$H$11000,H1681,OUT!$D$2:$D$11000,"Out",OUT!$E$2:$E$11000,"Mio")</f>
        <v>0</v>
      </c>
      <c r="R1681" s="52">
        <f ca="1">SUMIFS(OUT!$F$2:$F$11000,OUT!$H$2:$H$11000,H1681,OUT!$D$2:$D$11000,"Out",OUT!$E$2:$E$11000,"Sedekah")</f>
        <v>0</v>
      </c>
      <c r="S1681" s="52">
        <f ca="1">SUMIFS(OUT!$F$2:$F$11000,OUT!$H$2:$H$11000,H1681,OUT!$D$2:$D$11000,"Out",OUT!$E$2:$E$11000,"Zela")</f>
        <v>0</v>
      </c>
      <c r="T1681" s="52">
        <f ca="1">SUMIFS(OUT!$F$2:$F$11000,OUT!$H$2:$H$11000,H1681,OUT!$D$2:$D$11000,"Out",OUT!$E$2:$E$11000,"Iqbal")</f>
        <v>0</v>
      </c>
    </row>
    <row r="1682" spans="7:20" x14ac:dyDescent="0.2">
      <c r="G1682" s="50"/>
      <c r="H1682" s="51" t="str">
        <f t="shared" si="0"/>
        <v/>
      </c>
      <c r="I1682" s="52" t="e">
        <f>SUMIFS(OUT!$F$2:$F$11000,OUT!$H$2:$H$11000,H1682,OUT!$D$2:$D$101007,"In")</f>
        <v>#VALUE!</v>
      </c>
      <c r="J1682" s="52">
        <f ca="1">SUMIFS(OUT!$F$2:$F$11000,OUT!$H$2:$H$11000,H1682,OUT!$D$2:$D$11000,"Out")</f>
        <v>0</v>
      </c>
      <c r="K1682" s="52">
        <f ca="1">SUMIFS(OUT!$F$2:$F$11000,OUT!$H$2:$H$11000,H1682,OUT!$D$2:$D$11000,"Out",OUT!$E$2:$E$11000,"Fix")</f>
        <v>0</v>
      </c>
      <c r="L1682" s="52">
        <f ca="1">SUMIFS(OUT!$F$2:$F$11000,OUT!$H$2:$H$11000,H1682,OUT!$D$2:$D$11000,"Out",OUT!$E$2:$E$11000,"Bathroom")</f>
        <v>0</v>
      </c>
      <c r="M1682" s="52">
        <f ca="1">SUMIFS(OUT!$F$2:$F$11000,OUT!$H$2:$H$11000,H1682,OUT!$D$2:$D$11000,"Out",OUT!$E$2:$E$11000,"Alfa")</f>
        <v>0</v>
      </c>
      <c r="N1682" s="52" t="e">
        <f>SUMIFS(OUT!$F$2:$F$11000,OUT!$H$2:$H$101007,H1682,OUT!$D$2:$D$11000,"Out",OUT!$E$2:$E$11000,"Jajan")</f>
        <v>#VALUE!</v>
      </c>
      <c r="O1682" s="52">
        <f ca="1">SUMIFS(OUT!$F$2:$F$11000,OUT!$H$2:$H$11000,H1682,OUT!$D$2:$D$11000,"Out",OUT!$E$2:$E$11000,"Kitchen")</f>
        <v>0</v>
      </c>
      <c r="P1682" s="52">
        <f ca="1">SUMIFS(OUT!$F$2:$F$11000,OUT!$H$2:$H$11000,H1682,OUT!$D$2:$D$11000,"Out",OUT!$E$2:$E$11000,"Loandry")</f>
        <v>0</v>
      </c>
      <c r="Q1682" s="52">
        <f ca="1">SUMIFS(OUT!$F$2:$F$11000,OUT!$H$2:$H$11000,H1682,OUT!$D$2:$D$11000,"Out",OUT!$E$2:$E$11000,"Mio")</f>
        <v>0</v>
      </c>
      <c r="R1682" s="52">
        <f ca="1">SUMIFS(OUT!$F$2:$F$11000,OUT!$H$2:$H$11000,H1682,OUT!$D$2:$D$11000,"Out",OUT!$E$2:$E$11000,"Sedekah")</f>
        <v>0</v>
      </c>
      <c r="S1682" s="52">
        <f ca="1">SUMIFS(OUT!$F$2:$F$11000,OUT!$H$2:$H$11000,H1682,OUT!$D$2:$D$11000,"Out",OUT!$E$2:$E$11000,"Zela")</f>
        <v>0</v>
      </c>
      <c r="T1682" s="52">
        <f ca="1">SUMIFS(OUT!$F$2:$F$11000,OUT!$H$2:$H$11000,H1682,OUT!$D$2:$D$11000,"Out",OUT!$E$2:$E$11000,"Iqbal")</f>
        <v>0</v>
      </c>
    </row>
    <row r="1683" spans="7:20" x14ac:dyDescent="0.2">
      <c r="G1683" s="50"/>
      <c r="H1683" s="51" t="str">
        <f t="shared" si="0"/>
        <v/>
      </c>
      <c r="I1683" s="52" t="e">
        <f>SUMIFS(OUT!$F$2:$F$11000,OUT!$H$2:$H$11000,H1683,OUT!$D$2:$D$101007,"In")</f>
        <v>#VALUE!</v>
      </c>
      <c r="J1683" s="52">
        <f ca="1">SUMIFS(OUT!$F$2:$F$11000,OUT!$H$2:$H$11000,H1683,OUT!$D$2:$D$11000,"Out")</f>
        <v>0</v>
      </c>
      <c r="K1683" s="52">
        <f ca="1">SUMIFS(OUT!$F$2:$F$11000,OUT!$H$2:$H$11000,H1683,OUT!$D$2:$D$11000,"Out",OUT!$E$2:$E$11000,"Fix")</f>
        <v>0</v>
      </c>
      <c r="L1683" s="52">
        <f ca="1">SUMIFS(OUT!$F$2:$F$11000,OUT!$H$2:$H$11000,H1683,OUT!$D$2:$D$11000,"Out",OUT!$E$2:$E$11000,"Bathroom")</f>
        <v>0</v>
      </c>
      <c r="M1683" s="52">
        <f ca="1">SUMIFS(OUT!$F$2:$F$11000,OUT!$H$2:$H$11000,H1683,OUT!$D$2:$D$11000,"Out",OUT!$E$2:$E$11000,"Alfa")</f>
        <v>0</v>
      </c>
      <c r="N1683" s="52" t="e">
        <f>SUMIFS(OUT!$F$2:$F$11000,OUT!$H$2:$H$101007,H1683,OUT!$D$2:$D$11000,"Out",OUT!$E$2:$E$11000,"Jajan")</f>
        <v>#VALUE!</v>
      </c>
      <c r="O1683" s="52">
        <f ca="1">SUMIFS(OUT!$F$2:$F$11000,OUT!$H$2:$H$11000,H1683,OUT!$D$2:$D$11000,"Out",OUT!$E$2:$E$11000,"Kitchen")</f>
        <v>0</v>
      </c>
      <c r="P1683" s="52">
        <f ca="1">SUMIFS(OUT!$F$2:$F$11000,OUT!$H$2:$H$11000,H1683,OUT!$D$2:$D$11000,"Out",OUT!$E$2:$E$11000,"Loandry")</f>
        <v>0</v>
      </c>
      <c r="Q1683" s="52">
        <f ca="1">SUMIFS(OUT!$F$2:$F$11000,OUT!$H$2:$H$11000,H1683,OUT!$D$2:$D$11000,"Out",OUT!$E$2:$E$11000,"Mio")</f>
        <v>0</v>
      </c>
      <c r="R1683" s="52">
        <f ca="1">SUMIFS(OUT!$F$2:$F$11000,OUT!$H$2:$H$11000,H1683,OUT!$D$2:$D$11000,"Out",OUT!$E$2:$E$11000,"Sedekah")</f>
        <v>0</v>
      </c>
      <c r="S1683" s="52">
        <f ca="1">SUMIFS(OUT!$F$2:$F$11000,OUT!$H$2:$H$11000,H1683,OUT!$D$2:$D$11000,"Out",OUT!$E$2:$E$11000,"Zela")</f>
        <v>0</v>
      </c>
      <c r="T1683" s="52">
        <f ca="1">SUMIFS(OUT!$F$2:$F$11000,OUT!$H$2:$H$11000,H1683,OUT!$D$2:$D$11000,"Out",OUT!$E$2:$E$11000,"Iqbal")</f>
        <v>0</v>
      </c>
    </row>
    <row r="1684" spans="7:20" x14ac:dyDescent="0.2">
      <c r="G1684" s="50"/>
      <c r="H1684" s="51" t="str">
        <f t="shared" si="0"/>
        <v/>
      </c>
      <c r="I1684" s="52" t="e">
        <f>SUMIFS(OUT!$F$2:$F$11000,OUT!$H$2:$H$11000,H1684,OUT!$D$2:$D$101007,"In")</f>
        <v>#VALUE!</v>
      </c>
      <c r="J1684" s="52">
        <f ca="1">SUMIFS(OUT!$F$2:$F$11000,OUT!$H$2:$H$11000,H1684,OUT!$D$2:$D$11000,"Out")</f>
        <v>0</v>
      </c>
      <c r="K1684" s="52">
        <f ca="1">SUMIFS(OUT!$F$2:$F$11000,OUT!$H$2:$H$11000,H1684,OUT!$D$2:$D$11000,"Out",OUT!$E$2:$E$11000,"Fix")</f>
        <v>0</v>
      </c>
      <c r="L1684" s="52">
        <f ca="1">SUMIFS(OUT!$F$2:$F$11000,OUT!$H$2:$H$11000,H1684,OUT!$D$2:$D$11000,"Out",OUT!$E$2:$E$11000,"Bathroom")</f>
        <v>0</v>
      </c>
      <c r="M1684" s="52">
        <f ca="1">SUMIFS(OUT!$F$2:$F$11000,OUT!$H$2:$H$11000,H1684,OUT!$D$2:$D$11000,"Out",OUT!$E$2:$E$11000,"Alfa")</f>
        <v>0</v>
      </c>
      <c r="N1684" s="52" t="e">
        <f>SUMIFS(OUT!$F$2:$F$11000,OUT!$H$2:$H$101007,H1684,OUT!$D$2:$D$11000,"Out",OUT!$E$2:$E$11000,"Jajan")</f>
        <v>#VALUE!</v>
      </c>
      <c r="O1684" s="52">
        <f ca="1">SUMIFS(OUT!$F$2:$F$11000,OUT!$H$2:$H$11000,H1684,OUT!$D$2:$D$11000,"Out",OUT!$E$2:$E$11000,"Kitchen")</f>
        <v>0</v>
      </c>
      <c r="P1684" s="52">
        <f ca="1">SUMIFS(OUT!$F$2:$F$11000,OUT!$H$2:$H$11000,H1684,OUT!$D$2:$D$11000,"Out",OUT!$E$2:$E$11000,"Loandry")</f>
        <v>0</v>
      </c>
      <c r="Q1684" s="52">
        <f ca="1">SUMIFS(OUT!$F$2:$F$11000,OUT!$H$2:$H$11000,H1684,OUT!$D$2:$D$11000,"Out",OUT!$E$2:$E$11000,"Mio")</f>
        <v>0</v>
      </c>
      <c r="R1684" s="52">
        <f ca="1">SUMIFS(OUT!$F$2:$F$11000,OUT!$H$2:$H$11000,H1684,OUT!$D$2:$D$11000,"Out",OUT!$E$2:$E$11000,"Sedekah")</f>
        <v>0</v>
      </c>
      <c r="S1684" s="52">
        <f ca="1">SUMIFS(OUT!$F$2:$F$11000,OUT!$H$2:$H$11000,H1684,OUT!$D$2:$D$11000,"Out",OUT!$E$2:$E$11000,"Zela")</f>
        <v>0</v>
      </c>
      <c r="T1684" s="52">
        <f ca="1">SUMIFS(OUT!$F$2:$F$11000,OUT!$H$2:$H$11000,H1684,OUT!$D$2:$D$11000,"Out",OUT!$E$2:$E$11000,"Iqbal")</f>
        <v>0</v>
      </c>
    </row>
    <row r="1685" spans="7:20" x14ac:dyDescent="0.2">
      <c r="G1685" s="50"/>
      <c r="H1685" s="51" t="str">
        <f t="shared" si="0"/>
        <v/>
      </c>
      <c r="I1685" s="52" t="e">
        <f>SUMIFS(OUT!$F$2:$F$11000,OUT!$H$2:$H$11000,H1685,OUT!$D$2:$D$101007,"In")</f>
        <v>#VALUE!</v>
      </c>
      <c r="J1685" s="52">
        <f ca="1">SUMIFS(OUT!$F$2:$F$11000,OUT!$H$2:$H$11000,H1685,OUT!$D$2:$D$11000,"Out")</f>
        <v>0</v>
      </c>
      <c r="K1685" s="52">
        <f ca="1">SUMIFS(OUT!$F$2:$F$11000,OUT!$H$2:$H$11000,H1685,OUT!$D$2:$D$11000,"Out",OUT!$E$2:$E$11000,"Fix")</f>
        <v>0</v>
      </c>
      <c r="L1685" s="52">
        <f ca="1">SUMIFS(OUT!$F$2:$F$11000,OUT!$H$2:$H$11000,H1685,OUT!$D$2:$D$11000,"Out",OUT!$E$2:$E$11000,"Bathroom")</f>
        <v>0</v>
      </c>
      <c r="M1685" s="52">
        <f ca="1">SUMIFS(OUT!$F$2:$F$11000,OUT!$H$2:$H$11000,H1685,OUT!$D$2:$D$11000,"Out",OUT!$E$2:$E$11000,"Alfa")</f>
        <v>0</v>
      </c>
      <c r="N1685" s="52" t="e">
        <f>SUMIFS(OUT!$F$2:$F$11000,OUT!$H$2:$H$101007,H1685,OUT!$D$2:$D$11000,"Out",OUT!$E$2:$E$11000,"Jajan")</f>
        <v>#VALUE!</v>
      </c>
      <c r="O1685" s="52">
        <f ca="1">SUMIFS(OUT!$F$2:$F$11000,OUT!$H$2:$H$11000,H1685,OUT!$D$2:$D$11000,"Out",OUT!$E$2:$E$11000,"Kitchen")</f>
        <v>0</v>
      </c>
      <c r="P1685" s="52">
        <f ca="1">SUMIFS(OUT!$F$2:$F$11000,OUT!$H$2:$H$11000,H1685,OUT!$D$2:$D$11000,"Out",OUT!$E$2:$E$11000,"Loandry")</f>
        <v>0</v>
      </c>
      <c r="Q1685" s="52">
        <f ca="1">SUMIFS(OUT!$F$2:$F$11000,OUT!$H$2:$H$11000,H1685,OUT!$D$2:$D$11000,"Out",OUT!$E$2:$E$11000,"Mio")</f>
        <v>0</v>
      </c>
      <c r="R1685" s="52">
        <f ca="1">SUMIFS(OUT!$F$2:$F$11000,OUT!$H$2:$H$11000,H1685,OUT!$D$2:$D$11000,"Out",OUT!$E$2:$E$11000,"Sedekah")</f>
        <v>0</v>
      </c>
      <c r="S1685" s="52">
        <f ca="1">SUMIFS(OUT!$F$2:$F$11000,OUT!$H$2:$H$11000,H1685,OUT!$D$2:$D$11000,"Out",OUT!$E$2:$E$11000,"Zela")</f>
        <v>0</v>
      </c>
      <c r="T1685" s="52">
        <f ca="1">SUMIFS(OUT!$F$2:$F$11000,OUT!$H$2:$H$11000,H1685,OUT!$D$2:$D$11000,"Out",OUT!$E$2:$E$11000,"Iqbal")</f>
        <v>0</v>
      </c>
    </row>
    <row r="1686" spans="7:20" x14ac:dyDescent="0.2">
      <c r="G1686" s="50"/>
      <c r="H1686" s="51" t="str">
        <f t="shared" si="0"/>
        <v/>
      </c>
      <c r="I1686" s="52" t="e">
        <f>SUMIFS(OUT!$F$2:$F$11000,OUT!$H$2:$H$11000,H1686,OUT!$D$2:$D$101007,"In")</f>
        <v>#VALUE!</v>
      </c>
      <c r="J1686" s="52">
        <f ca="1">SUMIFS(OUT!$F$2:$F$11000,OUT!$H$2:$H$11000,H1686,OUT!$D$2:$D$11000,"Out")</f>
        <v>0</v>
      </c>
      <c r="K1686" s="52">
        <f ca="1">SUMIFS(OUT!$F$2:$F$11000,OUT!$H$2:$H$11000,H1686,OUT!$D$2:$D$11000,"Out",OUT!$E$2:$E$11000,"Fix")</f>
        <v>0</v>
      </c>
      <c r="L1686" s="52">
        <f ca="1">SUMIFS(OUT!$F$2:$F$11000,OUT!$H$2:$H$11000,H1686,OUT!$D$2:$D$11000,"Out",OUT!$E$2:$E$11000,"Bathroom")</f>
        <v>0</v>
      </c>
      <c r="M1686" s="52">
        <f ca="1">SUMIFS(OUT!$F$2:$F$11000,OUT!$H$2:$H$11000,H1686,OUT!$D$2:$D$11000,"Out",OUT!$E$2:$E$11000,"Alfa")</f>
        <v>0</v>
      </c>
      <c r="N1686" s="52" t="e">
        <f>SUMIFS(OUT!$F$2:$F$11000,OUT!$H$2:$H$101007,H1686,OUT!$D$2:$D$11000,"Out",OUT!$E$2:$E$11000,"Jajan")</f>
        <v>#VALUE!</v>
      </c>
      <c r="O1686" s="52">
        <f ca="1">SUMIFS(OUT!$F$2:$F$11000,OUT!$H$2:$H$11000,H1686,OUT!$D$2:$D$11000,"Out",OUT!$E$2:$E$11000,"Kitchen")</f>
        <v>0</v>
      </c>
      <c r="P1686" s="52">
        <f ca="1">SUMIFS(OUT!$F$2:$F$11000,OUT!$H$2:$H$11000,H1686,OUT!$D$2:$D$11000,"Out",OUT!$E$2:$E$11000,"Loandry")</f>
        <v>0</v>
      </c>
      <c r="Q1686" s="52">
        <f ca="1">SUMIFS(OUT!$F$2:$F$11000,OUT!$H$2:$H$11000,H1686,OUT!$D$2:$D$11000,"Out",OUT!$E$2:$E$11000,"Mio")</f>
        <v>0</v>
      </c>
      <c r="R1686" s="52">
        <f ca="1">SUMIFS(OUT!$F$2:$F$11000,OUT!$H$2:$H$11000,H1686,OUT!$D$2:$D$11000,"Out",OUT!$E$2:$E$11000,"Sedekah")</f>
        <v>0</v>
      </c>
      <c r="S1686" s="52">
        <f ca="1">SUMIFS(OUT!$F$2:$F$11000,OUT!$H$2:$H$11000,H1686,OUT!$D$2:$D$11000,"Out",OUT!$E$2:$E$11000,"Zela")</f>
        <v>0</v>
      </c>
      <c r="T1686" s="52">
        <f ca="1">SUMIFS(OUT!$F$2:$F$11000,OUT!$H$2:$H$11000,H1686,OUT!$D$2:$D$11000,"Out",OUT!$E$2:$E$11000,"Iqbal")</f>
        <v>0</v>
      </c>
    </row>
    <row r="1687" spans="7:20" x14ac:dyDescent="0.2">
      <c r="G1687" s="50"/>
      <c r="H1687" s="51" t="str">
        <f t="shared" si="0"/>
        <v/>
      </c>
      <c r="I1687" s="52" t="e">
        <f>SUMIFS(OUT!$F$2:$F$11000,OUT!$H$2:$H$11000,H1687,OUT!$D$2:$D$101007,"In")</f>
        <v>#VALUE!</v>
      </c>
      <c r="J1687" s="52">
        <f ca="1">SUMIFS(OUT!$F$2:$F$11000,OUT!$H$2:$H$11000,H1687,OUT!$D$2:$D$11000,"Out")</f>
        <v>0</v>
      </c>
      <c r="K1687" s="52">
        <f ca="1">SUMIFS(OUT!$F$2:$F$11000,OUT!$H$2:$H$11000,H1687,OUT!$D$2:$D$11000,"Out",OUT!$E$2:$E$11000,"Fix")</f>
        <v>0</v>
      </c>
      <c r="L1687" s="52">
        <f ca="1">SUMIFS(OUT!$F$2:$F$11000,OUT!$H$2:$H$11000,H1687,OUT!$D$2:$D$11000,"Out",OUT!$E$2:$E$11000,"Bathroom")</f>
        <v>0</v>
      </c>
      <c r="M1687" s="52">
        <f ca="1">SUMIFS(OUT!$F$2:$F$11000,OUT!$H$2:$H$11000,H1687,OUT!$D$2:$D$11000,"Out",OUT!$E$2:$E$11000,"Alfa")</f>
        <v>0</v>
      </c>
      <c r="N1687" s="52" t="e">
        <f>SUMIFS(OUT!$F$2:$F$11000,OUT!$H$2:$H$101007,H1687,OUT!$D$2:$D$11000,"Out",OUT!$E$2:$E$11000,"Jajan")</f>
        <v>#VALUE!</v>
      </c>
      <c r="O1687" s="52">
        <f ca="1">SUMIFS(OUT!$F$2:$F$11000,OUT!$H$2:$H$11000,H1687,OUT!$D$2:$D$11000,"Out",OUT!$E$2:$E$11000,"Kitchen")</f>
        <v>0</v>
      </c>
      <c r="P1687" s="52">
        <f ca="1">SUMIFS(OUT!$F$2:$F$11000,OUT!$H$2:$H$11000,H1687,OUT!$D$2:$D$11000,"Out",OUT!$E$2:$E$11000,"Loandry")</f>
        <v>0</v>
      </c>
      <c r="Q1687" s="52">
        <f ca="1">SUMIFS(OUT!$F$2:$F$11000,OUT!$H$2:$H$11000,H1687,OUT!$D$2:$D$11000,"Out",OUT!$E$2:$E$11000,"Mio")</f>
        <v>0</v>
      </c>
      <c r="R1687" s="52">
        <f ca="1">SUMIFS(OUT!$F$2:$F$11000,OUT!$H$2:$H$11000,H1687,OUT!$D$2:$D$11000,"Out",OUT!$E$2:$E$11000,"Sedekah")</f>
        <v>0</v>
      </c>
      <c r="S1687" s="52">
        <f ca="1">SUMIFS(OUT!$F$2:$F$11000,OUT!$H$2:$H$11000,H1687,OUT!$D$2:$D$11000,"Out",OUT!$E$2:$E$11000,"Zela")</f>
        <v>0</v>
      </c>
      <c r="T1687" s="52">
        <f ca="1">SUMIFS(OUT!$F$2:$F$11000,OUT!$H$2:$H$11000,H1687,OUT!$D$2:$D$11000,"Out",OUT!$E$2:$E$11000,"Iqbal")</f>
        <v>0</v>
      </c>
    </row>
    <row r="1688" spans="7:20" x14ac:dyDescent="0.2">
      <c r="G1688" s="50"/>
      <c r="H1688" s="51" t="str">
        <f t="shared" si="0"/>
        <v/>
      </c>
      <c r="I1688" s="52" t="e">
        <f>SUMIFS(OUT!$F$2:$F$11000,OUT!$H$2:$H$11000,H1688,OUT!$D$2:$D$101007,"In")</f>
        <v>#VALUE!</v>
      </c>
      <c r="J1688" s="52">
        <f ca="1">SUMIFS(OUT!$F$2:$F$11000,OUT!$H$2:$H$11000,H1688,OUT!$D$2:$D$11000,"Out")</f>
        <v>0</v>
      </c>
      <c r="K1688" s="52">
        <f ca="1">SUMIFS(OUT!$F$2:$F$11000,OUT!$H$2:$H$11000,H1688,OUT!$D$2:$D$11000,"Out",OUT!$E$2:$E$11000,"Fix")</f>
        <v>0</v>
      </c>
      <c r="L1688" s="52">
        <f ca="1">SUMIFS(OUT!$F$2:$F$11000,OUT!$H$2:$H$11000,H1688,OUT!$D$2:$D$11000,"Out",OUT!$E$2:$E$11000,"Bathroom")</f>
        <v>0</v>
      </c>
      <c r="M1688" s="52">
        <f ca="1">SUMIFS(OUT!$F$2:$F$11000,OUT!$H$2:$H$11000,H1688,OUT!$D$2:$D$11000,"Out",OUT!$E$2:$E$11000,"Alfa")</f>
        <v>0</v>
      </c>
      <c r="N1688" s="52" t="e">
        <f>SUMIFS(OUT!$F$2:$F$11000,OUT!$H$2:$H$101007,H1688,OUT!$D$2:$D$11000,"Out",OUT!$E$2:$E$11000,"Jajan")</f>
        <v>#VALUE!</v>
      </c>
      <c r="O1688" s="52">
        <f ca="1">SUMIFS(OUT!$F$2:$F$11000,OUT!$H$2:$H$11000,H1688,OUT!$D$2:$D$11000,"Out",OUT!$E$2:$E$11000,"Kitchen")</f>
        <v>0</v>
      </c>
      <c r="P1688" s="52">
        <f ca="1">SUMIFS(OUT!$F$2:$F$11000,OUT!$H$2:$H$11000,H1688,OUT!$D$2:$D$11000,"Out",OUT!$E$2:$E$11000,"Loandry")</f>
        <v>0</v>
      </c>
      <c r="Q1688" s="52">
        <f ca="1">SUMIFS(OUT!$F$2:$F$11000,OUT!$H$2:$H$11000,H1688,OUT!$D$2:$D$11000,"Out",OUT!$E$2:$E$11000,"Mio")</f>
        <v>0</v>
      </c>
      <c r="R1688" s="52">
        <f ca="1">SUMIFS(OUT!$F$2:$F$11000,OUT!$H$2:$H$11000,H1688,OUT!$D$2:$D$11000,"Out",OUT!$E$2:$E$11000,"Sedekah")</f>
        <v>0</v>
      </c>
      <c r="S1688" s="52">
        <f ca="1">SUMIFS(OUT!$F$2:$F$11000,OUT!$H$2:$H$11000,H1688,OUT!$D$2:$D$11000,"Out",OUT!$E$2:$E$11000,"Zela")</f>
        <v>0</v>
      </c>
      <c r="T1688" s="52">
        <f ca="1">SUMIFS(OUT!$F$2:$F$11000,OUT!$H$2:$H$11000,H1688,OUT!$D$2:$D$11000,"Out",OUT!$E$2:$E$11000,"Iqbal")</f>
        <v>0</v>
      </c>
    </row>
    <row r="1689" spans="7:20" x14ac:dyDescent="0.2">
      <c r="G1689" s="50"/>
      <c r="H1689" s="51" t="str">
        <f t="shared" si="0"/>
        <v/>
      </c>
      <c r="I1689" s="52" t="e">
        <f>SUMIFS(OUT!$F$2:$F$11000,OUT!$H$2:$H$11000,H1689,OUT!$D$2:$D$101007,"In")</f>
        <v>#VALUE!</v>
      </c>
      <c r="J1689" s="52">
        <f ca="1">SUMIFS(OUT!$F$2:$F$11000,OUT!$H$2:$H$11000,H1689,OUT!$D$2:$D$11000,"Out")</f>
        <v>0</v>
      </c>
      <c r="K1689" s="52">
        <f ca="1">SUMIFS(OUT!$F$2:$F$11000,OUT!$H$2:$H$11000,H1689,OUT!$D$2:$D$11000,"Out",OUT!$E$2:$E$11000,"Fix")</f>
        <v>0</v>
      </c>
      <c r="L1689" s="52">
        <f ca="1">SUMIFS(OUT!$F$2:$F$11000,OUT!$H$2:$H$11000,H1689,OUT!$D$2:$D$11000,"Out",OUT!$E$2:$E$11000,"Bathroom")</f>
        <v>0</v>
      </c>
      <c r="M1689" s="52">
        <f ca="1">SUMIFS(OUT!$F$2:$F$11000,OUT!$H$2:$H$11000,H1689,OUT!$D$2:$D$11000,"Out",OUT!$E$2:$E$11000,"Alfa")</f>
        <v>0</v>
      </c>
      <c r="N1689" s="52" t="e">
        <f>SUMIFS(OUT!$F$2:$F$11000,OUT!$H$2:$H$101007,H1689,OUT!$D$2:$D$11000,"Out",OUT!$E$2:$E$11000,"Jajan")</f>
        <v>#VALUE!</v>
      </c>
      <c r="O1689" s="52">
        <f ca="1">SUMIFS(OUT!$F$2:$F$11000,OUT!$H$2:$H$11000,H1689,OUT!$D$2:$D$11000,"Out",OUT!$E$2:$E$11000,"Kitchen")</f>
        <v>0</v>
      </c>
      <c r="P1689" s="52">
        <f ca="1">SUMIFS(OUT!$F$2:$F$11000,OUT!$H$2:$H$11000,H1689,OUT!$D$2:$D$11000,"Out",OUT!$E$2:$E$11000,"Loandry")</f>
        <v>0</v>
      </c>
      <c r="Q1689" s="52">
        <f ca="1">SUMIFS(OUT!$F$2:$F$11000,OUT!$H$2:$H$11000,H1689,OUT!$D$2:$D$11000,"Out",OUT!$E$2:$E$11000,"Mio")</f>
        <v>0</v>
      </c>
      <c r="R1689" s="52">
        <f ca="1">SUMIFS(OUT!$F$2:$F$11000,OUT!$H$2:$H$11000,H1689,OUT!$D$2:$D$11000,"Out",OUT!$E$2:$E$11000,"Sedekah")</f>
        <v>0</v>
      </c>
      <c r="S1689" s="52">
        <f ca="1">SUMIFS(OUT!$F$2:$F$11000,OUT!$H$2:$H$11000,H1689,OUT!$D$2:$D$11000,"Out",OUT!$E$2:$E$11000,"Zela")</f>
        <v>0</v>
      </c>
      <c r="T1689" s="52">
        <f ca="1">SUMIFS(OUT!$F$2:$F$11000,OUT!$H$2:$H$11000,H1689,OUT!$D$2:$D$11000,"Out",OUT!$E$2:$E$11000,"Iqbal")</f>
        <v>0</v>
      </c>
    </row>
    <row r="1690" spans="7:20" x14ac:dyDescent="0.2">
      <c r="G1690" s="50"/>
      <c r="H1690" s="51" t="str">
        <f t="shared" si="0"/>
        <v/>
      </c>
      <c r="I1690" s="52" t="e">
        <f>SUMIFS(OUT!$F$2:$F$11000,OUT!$H$2:$H$11000,H1690,OUT!$D$2:$D$101007,"In")</f>
        <v>#VALUE!</v>
      </c>
      <c r="J1690" s="52">
        <f ca="1">SUMIFS(OUT!$F$2:$F$11000,OUT!$H$2:$H$11000,H1690,OUT!$D$2:$D$11000,"Out")</f>
        <v>0</v>
      </c>
      <c r="K1690" s="52">
        <f ca="1">SUMIFS(OUT!$F$2:$F$11000,OUT!$H$2:$H$11000,H1690,OUT!$D$2:$D$11000,"Out",OUT!$E$2:$E$11000,"Fix")</f>
        <v>0</v>
      </c>
      <c r="L1690" s="52">
        <f ca="1">SUMIFS(OUT!$F$2:$F$11000,OUT!$H$2:$H$11000,H1690,OUT!$D$2:$D$11000,"Out",OUT!$E$2:$E$11000,"Bathroom")</f>
        <v>0</v>
      </c>
      <c r="M1690" s="52">
        <f ca="1">SUMIFS(OUT!$F$2:$F$11000,OUT!$H$2:$H$11000,H1690,OUT!$D$2:$D$11000,"Out",OUT!$E$2:$E$11000,"Alfa")</f>
        <v>0</v>
      </c>
      <c r="N1690" s="52" t="e">
        <f>SUMIFS(OUT!$F$2:$F$11000,OUT!$H$2:$H$101007,H1690,OUT!$D$2:$D$11000,"Out",OUT!$E$2:$E$11000,"Jajan")</f>
        <v>#VALUE!</v>
      </c>
      <c r="O1690" s="52">
        <f ca="1">SUMIFS(OUT!$F$2:$F$11000,OUT!$H$2:$H$11000,H1690,OUT!$D$2:$D$11000,"Out",OUT!$E$2:$E$11000,"Kitchen")</f>
        <v>0</v>
      </c>
      <c r="P1690" s="52">
        <f ca="1">SUMIFS(OUT!$F$2:$F$11000,OUT!$H$2:$H$11000,H1690,OUT!$D$2:$D$11000,"Out",OUT!$E$2:$E$11000,"Loandry")</f>
        <v>0</v>
      </c>
      <c r="Q1690" s="52">
        <f ca="1">SUMIFS(OUT!$F$2:$F$11000,OUT!$H$2:$H$11000,H1690,OUT!$D$2:$D$11000,"Out",OUT!$E$2:$E$11000,"Mio")</f>
        <v>0</v>
      </c>
      <c r="R1690" s="52">
        <f ca="1">SUMIFS(OUT!$F$2:$F$11000,OUT!$H$2:$H$11000,H1690,OUT!$D$2:$D$11000,"Out",OUT!$E$2:$E$11000,"Sedekah")</f>
        <v>0</v>
      </c>
      <c r="S1690" s="52">
        <f ca="1">SUMIFS(OUT!$F$2:$F$11000,OUT!$H$2:$H$11000,H1690,OUT!$D$2:$D$11000,"Out",OUT!$E$2:$E$11000,"Zela")</f>
        <v>0</v>
      </c>
      <c r="T1690" s="52">
        <f ca="1">SUMIFS(OUT!$F$2:$F$11000,OUT!$H$2:$H$11000,H1690,OUT!$D$2:$D$11000,"Out",OUT!$E$2:$E$11000,"Iqbal")</f>
        <v>0</v>
      </c>
    </row>
    <row r="1691" spans="7:20" x14ac:dyDescent="0.2">
      <c r="G1691" s="50"/>
      <c r="H1691" s="51" t="str">
        <f t="shared" si="0"/>
        <v/>
      </c>
      <c r="I1691" s="52" t="e">
        <f>SUMIFS(OUT!$F$2:$F$11000,OUT!$H$2:$H$11000,H1691,OUT!$D$2:$D$101007,"In")</f>
        <v>#VALUE!</v>
      </c>
      <c r="J1691" s="52">
        <f ca="1">SUMIFS(OUT!$F$2:$F$11000,OUT!$H$2:$H$11000,H1691,OUT!$D$2:$D$11000,"Out")</f>
        <v>0</v>
      </c>
      <c r="K1691" s="52">
        <f ca="1">SUMIFS(OUT!$F$2:$F$11000,OUT!$H$2:$H$11000,H1691,OUT!$D$2:$D$11000,"Out",OUT!$E$2:$E$11000,"Fix")</f>
        <v>0</v>
      </c>
      <c r="L1691" s="52">
        <f ca="1">SUMIFS(OUT!$F$2:$F$11000,OUT!$H$2:$H$11000,H1691,OUT!$D$2:$D$11000,"Out",OUT!$E$2:$E$11000,"Bathroom")</f>
        <v>0</v>
      </c>
      <c r="M1691" s="52">
        <f ca="1">SUMIFS(OUT!$F$2:$F$11000,OUT!$H$2:$H$11000,H1691,OUT!$D$2:$D$11000,"Out",OUT!$E$2:$E$11000,"Alfa")</f>
        <v>0</v>
      </c>
      <c r="N1691" s="52" t="e">
        <f>SUMIFS(OUT!$F$2:$F$11000,OUT!$H$2:$H$101007,H1691,OUT!$D$2:$D$11000,"Out",OUT!$E$2:$E$11000,"Jajan")</f>
        <v>#VALUE!</v>
      </c>
      <c r="O1691" s="52">
        <f ca="1">SUMIFS(OUT!$F$2:$F$11000,OUT!$H$2:$H$11000,H1691,OUT!$D$2:$D$11000,"Out",OUT!$E$2:$E$11000,"Kitchen")</f>
        <v>0</v>
      </c>
      <c r="P1691" s="52">
        <f ca="1">SUMIFS(OUT!$F$2:$F$11000,OUT!$H$2:$H$11000,H1691,OUT!$D$2:$D$11000,"Out",OUT!$E$2:$E$11000,"Loandry")</f>
        <v>0</v>
      </c>
      <c r="Q1691" s="52">
        <f ca="1">SUMIFS(OUT!$F$2:$F$11000,OUT!$H$2:$H$11000,H1691,OUT!$D$2:$D$11000,"Out",OUT!$E$2:$E$11000,"Mio")</f>
        <v>0</v>
      </c>
      <c r="R1691" s="52">
        <f ca="1">SUMIFS(OUT!$F$2:$F$11000,OUT!$H$2:$H$11000,H1691,OUT!$D$2:$D$11000,"Out",OUT!$E$2:$E$11000,"Sedekah")</f>
        <v>0</v>
      </c>
      <c r="S1691" s="52">
        <f ca="1">SUMIFS(OUT!$F$2:$F$11000,OUT!$H$2:$H$11000,H1691,OUT!$D$2:$D$11000,"Out",OUT!$E$2:$E$11000,"Zela")</f>
        <v>0</v>
      </c>
      <c r="T1691" s="52">
        <f ca="1">SUMIFS(OUT!$F$2:$F$11000,OUT!$H$2:$H$11000,H1691,OUT!$D$2:$D$11000,"Out",OUT!$E$2:$E$11000,"Iqbal")</f>
        <v>0</v>
      </c>
    </row>
    <row r="1692" spans="7:20" x14ac:dyDescent="0.2">
      <c r="G1692" s="50"/>
      <c r="H1692" s="51" t="str">
        <f t="shared" si="0"/>
        <v/>
      </c>
      <c r="I1692" s="52" t="e">
        <f>SUMIFS(OUT!$F$2:$F$11000,OUT!$H$2:$H$11000,H1692,OUT!$D$2:$D$101007,"In")</f>
        <v>#VALUE!</v>
      </c>
      <c r="J1692" s="52">
        <f ca="1">SUMIFS(OUT!$F$2:$F$11000,OUT!$H$2:$H$11000,H1692,OUT!$D$2:$D$11000,"Out")</f>
        <v>0</v>
      </c>
      <c r="K1692" s="52">
        <f ca="1">SUMIFS(OUT!$F$2:$F$11000,OUT!$H$2:$H$11000,H1692,OUT!$D$2:$D$11000,"Out",OUT!$E$2:$E$11000,"Fix")</f>
        <v>0</v>
      </c>
      <c r="L1692" s="52">
        <f ca="1">SUMIFS(OUT!$F$2:$F$11000,OUT!$H$2:$H$11000,H1692,OUT!$D$2:$D$11000,"Out",OUT!$E$2:$E$11000,"Bathroom")</f>
        <v>0</v>
      </c>
      <c r="M1692" s="52">
        <f ca="1">SUMIFS(OUT!$F$2:$F$11000,OUT!$H$2:$H$11000,H1692,OUT!$D$2:$D$11000,"Out",OUT!$E$2:$E$11000,"Alfa")</f>
        <v>0</v>
      </c>
      <c r="N1692" s="52" t="e">
        <f>SUMIFS(OUT!$F$2:$F$11000,OUT!$H$2:$H$101007,H1692,OUT!$D$2:$D$11000,"Out",OUT!$E$2:$E$11000,"Jajan")</f>
        <v>#VALUE!</v>
      </c>
      <c r="O1692" s="52">
        <f ca="1">SUMIFS(OUT!$F$2:$F$11000,OUT!$H$2:$H$11000,H1692,OUT!$D$2:$D$11000,"Out",OUT!$E$2:$E$11000,"Kitchen")</f>
        <v>0</v>
      </c>
      <c r="P1692" s="52">
        <f ca="1">SUMIFS(OUT!$F$2:$F$11000,OUT!$H$2:$H$11000,H1692,OUT!$D$2:$D$11000,"Out",OUT!$E$2:$E$11000,"Loandry")</f>
        <v>0</v>
      </c>
      <c r="Q1692" s="52">
        <f ca="1">SUMIFS(OUT!$F$2:$F$11000,OUT!$H$2:$H$11000,H1692,OUT!$D$2:$D$11000,"Out",OUT!$E$2:$E$11000,"Mio")</f>
        <v>0</v>
      </c>
      <c r="R1692" s="52">
        <f ca="1">SUMIFS(OUT!$F$2:$F$11000,OUT!$H$2:$H$11000,H1692,OUT!$D$2:$D$11000,"Out",OUT!$E$2:$E$11000,"Sedekah")</f>
        <v>0</v>
      </c>
      <c r="S1692" s="52">
        <f ca="1">SUMIFS(OUT!$F$2:$F$11000,OUT!$H$2:$H$11000,H1692,OUT!$D$2:$D$11000,"Out",OUT!$E$2:$E$11000,"Zela")</f>
        <v>0</v>
      </c>
      <c r="T1692" s="52">
        <f ca="1">SUMIFS(OUT!$F$2:$F$11000,OUT!$H$2:$H$11000,H1692,OUT!$D$2:$D$11000,"Out",OUT!$E$2:$E$11000,"Iqbal")</f>
        <v>0</v>
      </c>
    </row>
    <row r="1693" spans="7:20" x14ac:dyDescent="0.2">
      <c r="G1693" s="50"/>
      <c r="H1693" s="51" t="str">
        <f t="shared" si="0"/>
        <v/>
      </c>
      <c r="I1693" s="52" t="e">
        <f>SUMIFS(OUT!$F$2:$F$11000,OUT!$H$2:$H$11000,H1693,OUT!$D$2:$D$101007,"In")</f>
        <v>#VALUE!</v>
      </c>
      <c r="J1693" s="52">
        <f ca="1">SUMIFS(OUT!$F$2:$F$11000,OUT!$H$2:$H$11000,H1693,OUT!$D$2:$D$11000,"Out")</f>
        <v>0</v>
      </c>
      <c r="K1693" s="52">
        <f ca="1">SUMIFS(OUT!$F$2:$F$11000,OUT!$H$2:$H$11000,H1693,OUT!$D$2:$D$11000,"Out",OUT!$E$2:$E$11000,"Fix")</f>
        <v>0</v>
      </c>
      <c r="L1693" s="52">
        <f ca="1">SUMIFS(OUT!$F$2:$F$11000,OUT!$H$2:$H$11000,H1693,OUT!$D$2:$D$11000,"Out",OUT!$E$2:$E$11000,"Bathroom")</f>
        <v>0</v>
      </c>
      <c r="M1693" s="52">
        <f ca="1">SUMIFS(OUT!$F$2:$F$11000,OUT!$H$2:$H$11000,H1693,OUT!$D$2:$D$11000,"Out",OUT!$E$2:$E$11000,"Alfa")</f>
        <v>0</v>
      </c>
      <c r="N1693" s="52" t="e">
        <f>SUMIFS(OUT!$F$2:$F$11000,OUT!$H$2:$H$101007,H1693,OUT!$D$2:$D$11000,"Out",OUT!$E$2:$E$11000,"Jajan")</f>
        <v>#VALUE!</v>
      </c>
      <c r="O1693" s="52">
        <f ca="1">SUMIFS(OUT!$F$2:$F$11000,OUT!$H$2:$H$11000,H1693,OUT!$D$2:$D$11000,"Out",OUT!$E$2:$E$11000,"Kitchen")</f>
        <v>0</v>
      </c>
      <c r="P1693" s="52">
        <f ca="1">SUMIFS(OUT!$F$2:$F$11000,OUT!$H$2:$H$11000,H1693,OUT!$D$2:$D$11000,"Out",OUT!$E$2:$E$11000,"Loandry")</f>
        <v>0</v>
      </c>
      <c r="Q1693" s="52">
        <f ca="1">SUMIFS(OUT!$F$2:$F$11000,OUT!$H$2:$H$11000,H1693,OUT!$D$2:$D$11000,"Out",OUT!$E$2:$E$11000,"Mio")</f>
        <v>0</v>
      </c>
      <c r="R1693" s="52">
        <f ca="1">SUMIFS(OUT!$F$2:$F$11000,OUT!$H$2:$H$11000,H1693,OUT!$D$2:$D$11000,"Out",OUT!$E$2:$E$11000,"Sedekah")</f>
        <v>0</v>
      </c>
      <c r="S1693" s="52">
        <f ca="1">SUMIFS(OUT!$F$2:$F$11000,OUT!$H$2:$H$11000,H1693,OUT!$D$2:$D$11000,"Out",OUT!$E$2:$E$11000,"Zela")</f>
        <v>0</v>
      </c>
      <c r="T1693" s="52">
        <f ca="1">SUMIFS(OUT!$F$2:$F$11000,OUT!$H$2:$H$11000,H1693,OUT!$D$2:$D$11000,"Out",OUT!$E$2:$E$11000,"Iqbal")</f>
        <v>0</v>
      </c>
    </row>
    <row r="1694" spans="7:20" x14ac:dyDescent="0.2">
      <c r="G1694" s="50"/>
      <c r="H1694" s="51" t="str">
        <f t="shared" si="0"/>
        <v/>
      </c>
      <c r="I1694" s="52" t="e">
        <f>SUMIFS(OUT!$F$2:$F$11000,OUT!$H$2:$H$11000,H1694,OUT!$D$2:$D$101007,"In")</f>
        <v>#VALUE!</v>
      </c>
      <c r="J1694" s="52">
        <f ca="1">SUMIFS(OUT!$F$2:$F$11000,OUT!$H$2:$H$11000,H1694,OUT!$D$2:$D$11000,"Out")</f>
        <v>0</v>
      </c>
      <c r="K1694" s="52">
        <f ca="1">SUMIFS(OUT!$F$2:$F$11000,OUT!$H$2:$H$11000,H1694,OUT!$D$2:$D$11000,"Out",OUT!$E$2:$E$11000,"Fix")</f>
        <v>0</v>
      </c>
      <c r="L1694" s="52">
        <f ca="1">SUMIFS(OUT!$F$2:$F$11000,OUT!$H$2:$H$11000,H1694,OUT!$D$2:$D$11000,"Out",OUT!$E$2:$E$11000,"Bathroom")</f>
        <v>0</v>
      </c>
      <c r="M1694" s="52">
        <f ca="1">SUMIFS(OUT!$F$2:$F$11000,OUT!$H$2:$H$11000,H1694,OUT!$D$2:$D$11000,"Out",OUT!$E$2:$E$11000,"Alfa")</f>
        <v>0</v>
      </c>
      <c r="N1694" s="52" t="e">
        <f>SUMIFS(OUT!$F$2:$F$11000,OUT!$H$2:$H$101007,H1694,OUT!$D$2:$D$11000,"Out",OUT!$E$2:$E$11000,"Jajan")</f>
        <v>#VALUE!</v>
      </c>
      <c r="O1694" s="52">
        <f ca="1">SUMIFS(OUT!$F$2:$F$11000,OUT!$H$2:$H$11000,H1694,OUT!$D$2:$D$11000,"Out",OUT!$E$2:$E$11000,"Kitchen")</f>
        <v>0</v>
      </c>
      <c r="P1694" s="52">
        <f ca="1">SUMIFS(OUT!$F$2:$F$11000,OUT!$H$2:$H$11000,H1694,OUT!$D$2:$D$11000,"Out",OUT!$E$2:$E$11000,"Loandry")</f>
        <v>0</v>
      </c>
      <c r="Q1694" s="52">
        <f ca="1">SUMIFS(OUT!$F$2:$F$11000,OUT!$H$2:$H$11000,H1694,OUT!$D$2:$D$11000,"Out",OUT!$E$2:$E$11000,"Mio")</f>
        <v>0</v>
      </c>
      <c r="R1694" s="52">
        <f ca="1">SUMIFS(OUT!$F$2:$F$11000,OUT!$H$2:$H$11000,H1694,OUT!$D$2:$D$11000,"Out",OUT!$E$2:$E$11000,"Sedekah")</f>
        <v>0</v>
      </c>
      <c r="S1694" s="52">
        <f ca="1">SUMIFS(OUT!$F$2:$F$11000,OUT!$H$2:$H$11000,H1694,OUT!$D$2:$D$11000,"Out",OUT!$E$2:$E$11000,"Zela")</f>
        <v>0</v>
      </c>
      <c r="T1694" s="52">
        <f ca="1">SUMIFS(OUT!$F$2:$F$11000,OUT!$H$2:$H$11000,H1694,OUT!$D$2:$D$11000,"Out",OUT!$E$2:$E$11000,"Iqbal")</f>
        <v>0</v>
      </c>
    </row>
    <row r="1695" spans="7:20" x14ac:dyDescent="0.2">
      <c r="G1695" s="50"/>
      <c r="H1695" s="51" t="str">
        <f t="shared" si="0"/>
        <v/>
      </c>
      <c r="I1695" s="52" t="e">
        <f>SUMIFS(OUT!$F$2:$F$11000,OUT!$H$2:$H$11000,H1695,OUT!$D$2:$D$101007,"In")</f>
        <v>#VALUE!</v>
      </c>
      <c r="J1695" s="52">
        <f ca="1">SUMIFS(OUT!$F$2:$F$11000,OUT!$H$2:$H$11000,H1695,OUT!$D$2:$D$11000,"Out")</f>
        <v>0</v>
      </c>
      <c r="K1695" s="52">
        <f ca="1">SUMIFS(OUT!$F$2:$F$11000,OUT!$H$2:$H$11000,H1695,OUT!$D$2:$D$11000,"Out",OUT!$E$2:$E$11000,"Fix")</f>
        <v>0</v>
      </c>
      <c r="L1695" s="52">
        <f ca="1">SUMIFS(OUT!$F$2:$F$11000,OUT!$H$2:$H$11000,H1695,OUT!$D$2:$D$11000,"Out",OUT!$E$2:$E$11000,"Bathroom")</f>
        <v>0</v>
      </c>
      <c r="M1695" s="52">
        <f ca="1">SUMIFS(OUT!$F$2:$F$11000,OUT!$H$2:$H$11000,H1695,OUT!$D$2:$D$11000,"Out",OUT!$E$2:$E$11000,"Alfa")</f>
        <v>0</v>
      </c>
      <c r="N1695" s="52" t="e">
        <f>SUMIFS(OUT!$F$2:$F$11000,OUT!$H$2:$H$101007,H1695,OUT!$D$2:$D$11000,"Out",OUT!$E$2:$E$11000,"Jajan")</f>
        <v>#VALUE!</v>
      </c>
      <c r="O1695" s="52">
        <f ca="1">SUMIFS(OUT!$F$2:$F$11000,OUT!$H$2:$H$11000,H1695,OUT!$D$2:$D$11000,"Out",OUT!$E$2:$E$11000,"Kitchen")</f>
        <v>0</v>
      </c>
      <c r="P1695" s="52">
        <f ca="1">SUMIFS(OUT!$F$2:$F$11000,OUT!$H$2:$H$11000,H1695,OUT!$D$2:$D$11000,"Out",OUT!$E$2:$E$11000,"Loandry")</f>
        <v>0</v>
      </c>
      <c r="Q1695" s="52">
        <f ca="1">SUMIFS(OUT!$F$2:$F$11000,OUT!$H$2:$H$11000,H1695,OUT!$D$2:$D$11000,"Out",OUT!$E$2:$E$11000,"Mio")</f>
        <v>0</v>
      </c>
      <c r="R1695" s="52">
        <f ca="1">SUMIFS(OUT!$F$2:$F$11000,OUT!$H$2:$H$11000,H1695,OUT!$D$2:$D$11000,"Out",OUT!$E$2:$E$11000,"Sedekah")</f>
        <v>0</v>
      </c>
      <c r="S1695" s="52">
        <f ca="1">SUMIFS(OUT!$F$2:$F$11000,OUT!$H$2:$H$11000,H1695,OUT!$D$2:$D$11000,"Out",OUT!$E$2:$E$11000,"Zela")</f>
        <v>0</v>
      </c>
      <c r="T1695" s="52">
        <f ca="1">SUMIFS(OUT!$F$2:$F$11000,OUT!$H$2:$H$11000,H1695,OUT!$D$2:$D$11000,"Out",OUT!$E$2:$E$11000,"Iqbal")</f>
        <v>0</v>
      </c>
    </row>
    <row r="1696" spans="7:20" x14ac:dyDescent="0.2">
      <c r="G1696" s="50"/>
      <c r="H1696" s="51" t="str">
        <f t="shared" si="0"/>
        <v/>
      </c>
      <c r="I1696" s="52" t="e">
        <f>SUMIFS(OUT!$F$2:$F$11000,OUT!$H$2:$H$11000,H1696,OUT!$D$2:$D$101007,"In")</f>
        <v>#VALUE!</v>
      </c>
      <c r="J1696" s="52">
        <f ca="1">SUMIFS(OUT!$F$2:$F$11000,OUT!$H$2:$H$11000,H1696,OUT!$D$2:$D$11000,"Out")</f>
        <v>0</v>
      </c>
      <c r="K1696" s="52">
        <f ca="1">SUMIFS(OUT!$F$2:$F$11000,OUT!$H$2:$H$11000,H1696,OUT!$D$2:$D$11000,"Out",OUT!$E$2:$E$11000,"Fix")</f>
        <v>0</v>
      </c>
      <c r="L1696" s="52">
        <f ca="1">SUMIFS(OUT!$F$2:$F$11000,OUT!$H$2:$H$11000,H1696,OUT!$D$2:$D$11000,"Out",OUT!$E$2:$E$11000,"Bathroom")</f>
        <v>0</v>
      </c>
      <c r="M1696" s="52">
        <f ca="1">SUMIFS(OUT!$F$2:$F$11000,OUT!$H$2:$H$11000,H1696,OUT!$D$2:$D$11000,"Out",OUT!$E$2:$E$11000,"Alfa")</f>
        <v>0</v>
      </c>
      <c r="N1696" s="52" t="e">
        <f>SUMIFS(OUT!$F$2:$F$11000,OUT!$H$2:$H$101007,H1696,OUT!$D$2:$D$11000,"Out",OUT!$E$2:$E$11000,"Jajan")</f>
        <v>#VALUE!</v>
      </c>
      <c r="O1696" s="52">
        <f ca="1">SUMIFS(OUT!$F$2:$F$11000,OUT!$H$2:$H$11000,H1696,OUT!$D$2:$D$11000,"Out",OUT!$E$2:$E$11000,"Kitchen")</f>
        <v>0</v>
      </c>
      <c r="P1696" s="52">
        <f ca="1">SUMIFS(OUT!$F$2:$F$11000,OUT!$H$2:$H$11000,H1696,OUT!$D$2:$D$11000,"Out",OUT!$E$2:$E$11000,"Loandry")</f>
        <v>0</v>
      </c>
      <c r="Q1696" s="52">
        <f ca="1">SUMIFS(OUT!$F$2:$F$11000,OUT!$H$2:$H$11000,H1696,OUT!$D$2:$D$11000,"Out",OUT!$E$2:$E$11000,"Mio")</f>
        <v>0</v>
      </c>
      <c r="R1696" s="52">
        <f ca="1">SUMIFS(OUT!$F$2:$F$11000,OUT!$H$2:$H$11000,H1696,OUT!$D$2:$D$11000,"Out",OUT!$E$2:$E$11000,"Sedekah")</f>
        <v>0</v>
      </c>
      <c r="S1696" s="52">
        <f ca="1">SUMIFS(OUT!$F$2:$F$11000,OUT!$H$2:$H$11000,H1696,OUT!$D$2:$D$11000,"Out",OUT!$E$2:$E$11000,"Zela")</f>
        <v>0</v>
      </c>
      <c r="T1696" s="52">
        <f ca="1">SUMIFS(OUT!$F$2:$F$11000,OUT!$H$2:$H$11000,H1696,OUT!$D$2:$D$11000,"Out",OUT!$E$2:$E$11000,"Iqbal")</f>
        <v>0</v>
      </c>
    </row>
    <row r="1697" spans="7:20" x14ac:dyDescent="0.2">
      <c r="G1697" s="50"/>
      <c r="H1697" s="51" t="str">
        <f t="shared" si="0"/>
        <v/>
      </c>
      <c r="I1697" s="52" t="e">
        <f>SUMIFS(OUT!$F$2:$F$11000,OUT!$H$2:$H$11000,H1697,OUT!$D$2:$D$101007,"In")</f>
        <v>#VALUE!</v>
      </c>
      <c r="J1697" s="52">
        <f ca="1">SUMIFS(OUT!$F$2:$F$11000,OUT!$H$2:$H$11000,H1697,OUT!$D$2:$D$11000,"Out")</f>
        <v>0</v>
      </c>
      <c r="K1697" s="52">
        <f ca="1">SUMIFS(OUT!$F$2:$F$11000,OUT!$H$2:$H$11000,H1697,OUT!$D$2:$D$11000,"Out",OUT!$E$2:$E$11000,"Fix")</f>
        <v>0</v>
      </c>
      <c r="L1697" s="52">
        <f ca="1">SUMIFS(OUT!$F$2:$F$11000,OUT!$H$2:$H$11000,H1697,OUT!$D$2:$D$11000,"Out",OUT!$E$2:$E$11000,"Bathroom")</f>
        <v>0</v>
      </c>
      <c r="M1697" s="52">
        <f ca="1">SUMIFS(OUT!$F$2:$F$11000,OUT!$H$2:$H$11000,H1697,OUT!$D$2:$D$11000,"Out",OUT!$E$2:$E$11000,"Alfa")</f>
        <v>0</v>
      </c>
      <c r="N1697" s="52" t="e">
        <f>SUMIFS(OUT!$F$2:$F$11000,OUT!$H$2:$H$101007,H1697,OUT!$D$2:$D$11000,"Out",OUT!$E$2:$E$11000,"Jajan")</f>
        <v>#VALUE!</v>
      </c>
      <c r="O1697" s="52">
        <f ca="1">SUMIFS(OUT!$F$2:$F$11000,OUT!$H$2:$H$11000,H1697,OUT!$D$2:$D$11000,"Out",OUT!$E$2:$E$11000,"Kitchen")</f>
        <v>0</v>
      </c>
      <c r="P1697" s="52">
        <f ca="1">SUMIFS(OUT!$F$2:$F$11000,OUT!$H$2:$H$11000,H1697,OUT!$D$2:$D$11000,"Out",OUT!$E$2:$E$11000,"Loandry")</f>
        <v>0</v>
      </c>
      <c r="Q1697" s="52">
        <f ca="1">SUMIFS(OUT!$F$2:$F$11000,OUT!$H$2:$H$11000,H1697,OUT!$D$2:$D$11000,"Out",OUT!$E$2:$E$11000,"Mio")</f>
        <v>0</v>
      </c>
      <c r="R1697" s="52">
        <f ca="1">SUMIFS(OUT!$F$2:$F$11000,OUT!$H$2:$H$11000,H1697,OUT!$D$2:$D$11000,"Out",OUT!$E$2:$E$11000,"Sedekah")</f>
        <v>0</v>
      </c>
      <c r="S1697" s="52">
        <f ca="1">SUMIFS(OUT!$F$2:$F$11000,OUT!$H$2:$H$11000,H1697,OUT!$D$2:$D$11000,"Out",OUT!$E$2:$E$11000,"Zela")</f>
        <v>0</v>
      </c>
      <c r="T1697" s="52">
        <f ca="1">SUMIFS(OUT!$F$2:$F$11000,OUT!$H$2:$H$11000,H1697,OUT!$D$2:$D$11000,"Out",OUT!$E$2:$E$11000,"Iqbal")</f>
        <v>0</v>
      </c>
    </row>
    <row r="1698" spans="7:20" x14ac:dyDescent="0.2">
      <c r="G1698" s="50"/>
      <c r="H1698" s="51" t="str">
        <f t="shared" si="0"/>
        <v/>
      </c>
      <c r="I1698" s="52" t="e">
        <f>SUMIFS(OUT!$F$2:$F$11000,OUT!$H$2:$H$11000,H1698,OUT!$D$2:$D$101007,"In")</f>
        <v>#VALUE!</v>
      </c>
      <c r="J1698" s="52">
        <f ca="1">SUMIFS(OUT!$F$2:$F$11000,OUT!$H$2:$H$11000,H1698,OUT!$D$2:$D$11000,"Out")</f>
        <v>0</v>
      </c>
      <c r="K1698" s="52">
        <f ca="1">SUMIFS(OUT!$F$2:$F$11000,OUT!$H$2:$H$11000,H1698,OUT!$D$2:$D$11000,"Out",OUT!$E$2:$E$11000,"Fix")</f>
        <v>0</v>
      </c>
      <c r="L1698" s="52">
        <f ca="1">SUMIFS(OUT!$F$2:$F$11000,OUT!$H$2:$H$11000,H1698,OUT!$D$2:$D$11000,"Out",OUT!$E$2:$E$11000,"Bathroom")</f>
        <v>0</v>
      </c>
      <c r="M1698" s="52">
        <f ca="1">SUMIFS(OUT!$F$2:$F$11000,OUT!$H$2:$H$11000,H1698,OUT!$D$2:$D$11000,"Out",OUT!$E$2:$E$11000,"Alfa")</f>
        <v>0</v>
      </c>
      <c r="N1698" s="52" t="e">
        <f>SUMIFS(OUT!$F$2:$F$11000,OUT!$H$2:$H$101007,H1698,OUT!$D$2:$D$11000,"Out",OUT!$E$2:$E$11000,"Jajan")</f>
        <v>#VALUE!</v>
      </c>
      <c r="O1698" s="52">
        <f ca="1">SUMIFS(OUT!$F$2:$F$11000,OUT!$H$2:$H$11000,H1698,OUT!$D$2:$D$11000,"Out",OUT!$E$2:$E$11000,"Kitchen")</f>
        <v>0</v>
      </c>
      <c r="P1698" s="52">
        <f ca="1">SUMIFS(OUT!$F$2:$F$11000,OUT!$H$2:$H$11000,H1698,OUT!$D$2:$D$11000,"Out",OUT!$E$2:$E$11000,"Loandry")</f>
        <v>0</v>
      </c>
      <c r="Q1698" s="52">
        <f ca="1">SUMIFS(OUT!$F$2:$F$11000,OUT!$H$2:$H$11000,H1698,OUT!$D$2:$D$11000,"Out",OUT!$E$2:$E$11000,"Mio")</f>
        <v>0</v>
      </c>
      <c r="R1698" s="52">
        <f ca="1">SUMIFS(OUT!$F$2:$F$11000,OUT!$H$2:$H$11000,H1698,OUT!$D$2:$D$11000,"Out",OUT!$E$2:$E$11000,"Sedekah")</f>
        <v>0</v>
      </c>
      <c r="S1698" s="52">
        <f ca="1">SUMIFS(OUT!$F$2:$F$11000,OUT!$H$2:$H$11000,H1698,OUT!$D$2:$D$11000,"Out",OUT!$E$2:$E$11000,"Zela")</f>
        <v>0</v>
      </c>
      <c r="T1698" s="52">
        <f ca="1">SUMIFS(OUT!$F$2:$F$11000,OUT!$H$2:$H$11000,H1698,OUT!$D$2:$D$11000,"Out",OUT!$E$2:$E$11000,"Iqbal")</f>
        <v>0</v>
      </c>
    </row>
    <row r="1699" spans="7:20" x14ac:dyDescent="0.2">
      <c r="G1699" s="50"/>
      <c r="H1699" s="51" t="str">
        <f t="shared" si="0"/>
        <v/>
      </c>
      <c r="I1699" s="52" t="e">
        <f>SUMIFS(OUT!$F$2:$F$11000,OUT!$H$2:$H$11000,H1699,OUT!$D$2:$D$101007,"In")</f>
        <v>#VALUE!</v>
      </c>
      <c r="J1699" s="52">
        <f ca="1">SUMIFS(OUT!$F$2:$F$11000,OUT!$H$2:$H$11000,H1699,OUT!$D$2:$D$11000,"Out")</f>
        <v>0</v>
      </c>
      <c r="K1699" s="52">
        <f ca="1">SUMIFS(OUT!$F$2:$F$11000,OUT!$H$2:$H$11000,H1699,OUT!$D$2:$D$11000,"Out",OUT!$E$2:$E$11000,"Fix")</f>
        <v>0</v>
      </c>
      <c r="L1699" s="52">
        <f ca="1">SUMIFS(OUT!$F$2:$F$11000,OUT!$H$2:$H$11000,H1699,OUT!$D$2:$D$11000,"Out",OUT!$E$2:$E$11000,"Bathroom")</f>
        <v>0</v>
      </c>
      <c r="M1699" s="52">
        <f ca="1">SUMIFS(OUT!$F$2:$F$11000,OUT!$H$2:$H$11000,H1699,OUT!$D$2:$D$11000,"Out",OUT!$E$2:$E$11000,"Alfa")</f>
        <v>0</v>
      </c>
      <c r="N1699" s="52" t="e">
        <f>SUMIFS(OUT!$F$2:$F$11000,OUT!$H$2:$H$101007,H1699,OUT!$D$2:$D$11000,"Out",OUT!$E$2:$E$11000,"Jajan")</f>
        <v>#VALUE!</v>
      </c>
      <c r="O1699" s="52">
        <f ca="1">SUMIFS(OUT!$F$2:$F$11000,OUT!$H$2:$H$11000,H1699,OUT!$D$2:$D$11000,"Out",OUT!$E$2:$E$11000,"Kitchen")</f>
        <v>0</v>
      </c>
      <c r="P1699" s="52">
        <f ca="1">SUMIFS(OUT!$F$2:$F$11000,OUT!$H$2:$H$11000,H1699,OUT!$D$2:$D$11000,"Out",OUT!$E$2:$E$11000,"Loandry")</f>
        <v>0</v>
      </c>
      <c r="Q1699" s="52">
        <f ca="1">SUMIFS(OUT!$F$2:$F$11000,OUT!$H$2:$H$11000,H1699,OUT!$D$2:$D$11000,"Out",OUT!$E$2:$E$11000,"Mio")</f>
        <v>0</v>
      </c>
      <c r="R1699" s="52">
        <f ca="1">SUMIFS(OUT!$F$2:$F$11000,OUT!$H$2:$H$11000,H1699,OUT!$D$2:$D$11000,"Out",OUT!$E$2:$E$11000,"Sedekah")</f>
        <v>0</v>
      </c>
      <c r="S1699" s="52">
        <f ca="1">SUMIFS(OUT!$F$2:$F$11000,OUT!$H$2:$H$11000,H1699,OUT!$D$2:$D$11000,"Out",OUT!$E$2:$E$11000,"Zela")</f>
        <v>0</v>
      </c>
      <c r="T1699" s="52">
        <f ca="1">SUMIFS(OUT!$F$2:$F$11000,OUT!$H$2:$H$11000,H1699,OUT!$D$2:$D$11000,"Out",OUT!$E$2:$E$11000,"Iqbal")</f>
        <v>0</v>
      </c>
    </row>
    <row r="1700" spans="7:20" x14ac:dyDescent="0.2">
      <c r="G1700" s="50"/>
      <c r="H1700" s="51" t="str">
        <f t="shared" si="0"/>
        <v/>
      </c>
      <c r="I1700" s="52" t="e">
        <f>SUMIFS(OUT!$F$2:$F$11000,OUT!$H$2:$H$11000,H1700,OUT!$D$2:$D$101007,"In")</f>
        <v>#VALUE!</v>
      </c>
      <c r="J1700" s="52">
        <f ca="1">SUMIFS(OUT!$F$2:$F$11000,OUT!$H$2:$H$11000,H1700,OUT!$D$2:$D$11000,"Out")</f>
        <v>0</v>
      </c>
      <c r="K1700" s="52">
        <f ca="1">SUMIFS(OUT!$F$2:$F$11000,OUT!$H$2:$H$11000,H1700,OUT!$D$2:$D$11000,"Out",OUT!$E$2:$E$11000,"Fix")</f>
        <v>0</v>
      </c>
      <c r="L1700" s="52">
        <f ca="1">SUMIFS(OUT!$F$2:$F$11000,OUT!$H$2:$H$11000,H1700,OUT!$D$2:$D$11000,"Out",OUT!$E$2:$E$11000,"Bathroom")</f>
        <v>0</v>
      </c>
      <c r="M1700" s="52">
        <f ca="1">SUMIFS(OUT!$F$2:$F$11000,OUT!$H$2:$H$11000,H1700,OUT!$D$2:$D$11000,"Out",OUT!$E$2:$E$11000,"Alfa")</f>
        <v>0</v>
      </c>
      <c r="N1700" s="52" t="e">
        <f>SUMIFS(OUT!$F$2:$F$11000,OUT!$H$2:$H$101007,H1700,OUT!$D$2:$D$11000,"Out",OUT!$E$2:$E$11000,"Jajan")</f>
        <v>#VALUE!</v>
      </c>
      <c r="O1700" s="52">
        <f ca="1">SUMIFS(OUT!$F$2:$F$11000,OUT!$H$2:$H$11000,H1700,OUT!$D$2:$D$11000,"Out",OUT!$E$2:$E$11000,"Kitchen")</f>
        <v>0</v>
      </c>
      <c r="P1700" s="52">
        <f ca="1">SUMIFS(OUT!$F$2:$F$11000,OUT!$H$2:$H$11000,H1700,OUT!$D$2:$D$11000,"Out",OUT!$E$2:$E$11000,"Loandry")</f>
        <v>0</v>
      </c>
      <c r="Q1700" s="52">
        <f ca="1">SUMIFS(OUT!$F$2:$F$11000,OUT!$H$2:$H$11000,H1700,OUT!$D$2:$D$11000,"Out",OUT!$E$2:$E$11000,"Mio")</f>
        <v>0</v>
      </c>
      <c r="R1700" s="52">
        <f ca="1">SUMIFS(OUT!$F$2:$F$11000,OUT!$H$2:$H$11000,H1700,OUT!$D$2:$D$11000,"Out",OUT!$E$2:$E$11000,"Sedekah")</f>
        <v>0</v>
      </c>
      <c r="S1700" s="52">
        <f ca="1">SUMIFS(OUT!$F$2:$F$11000,OUT!$H$2:$H$11000,H1700,OUT!$D$2:$D$11000,"Out",OUT!$E$2:$E$11000,"Zela")</f>
        <v>0</v>
      </c>
      <c r="T1700" s="52">
        <f ca="1">SUMIFS(OUT!$F$2:$F$11000,OUT!$H$2:$H$11000,H1700,OUT!$D$2:$D$11000,"Out",OUT!$E$2:$E$11000,"Iqbal")</f>
        <v>0</v>
      </c>
    </row>
    <row r="1701" spans="7:20" x14ac:dyDescent="0.2">
      <c r="G1701" s="50"/>
      <c r="H1701" s="51" t="str">
        <f t="shared" si="0"/>
        <v/>
      </c>
      <c r="I1701" s="52" t="e">
        <f>SUMIFS(OUT!$F$2:$F$11000,OUT!$H$2:$H$11000,H1701,OUT!$D$2:$D$101007,"In")</f>
        <v>#VALUE!</v>
      </c>
      <c r="J1701" s="52">
        <f ca="1">SUMIFS(OUT!$F$2:$F$11000,OUT!$H$2:$H$11000,H1701,OUT!$D$2:$D$11000,"Out")</f>
        <v>0</v>
      </c>
      <c r="K1701" s="52">
        <f ca="1">SUMIFS(OUT!$F$2:$F$11000,OUT!$H$2:$H$11000,H1701,OUT!$D$2:$D$11000,"Out",OUT!$E$2:$E$11000,"Fix")</f>
        <v>0</v>
      </c>
      <c r="L1701" s="52">
        <f ca="1">SUMIFS(OUT!$F$2:$F$11000,OUT!$H$2:$H$11000,H1701,OUT!$D$2:$D$11000,"Out",OUT!$E$2:$E$11000,"Bathroom")</f>
        <v>0</v>
      </c>
      <c r="M1701" s="52">
        <f ca="1">SUMIFS(OUT!$F$2:$F$11000,OUT!$H$2:$H$11000,H1701,OUT!$D$2:$D$11000,"Out",OUT!$E$2:$E$11000,"Alfa")</f>
        <v>0</v>
      </c>
      <c r="N1701" s="52" t="e">
        <f>SUMIFS(OUT!$F$2:$F$11000,OUT!$H$2:$H$101007,H1701,OUT!$D$2:$D$11000,"Out",OUT!$E$2:$E$11000,"Jajan")</f>
        <v>#VALUE!</v>
      </c>
      <c r="O1701" s="52">
        <f ca="1">SUMIFS(OUT!$F$2:$F$11000,OUT!$H$2:$H$11000,H1701,OUT!$D$2:$D$11000,"Out",OUT!$E$2:$E$11000,"Kitchen")</f>
        <v>0</v>
      </c>
      <c r="P1701" s="52">
        <f ca="1">SUMIFS(OUT!$F$2:$F$11000,OUT!$H$2:$H$11000,H1701,OUT!$D$2:$D$11000,"Out",OUT!$E$2:$E$11000,"Loandry")</f>
        <v>0</v>
      </c>
      <c r="Q1701" s="52">
        <f ca="1">SUMIFS(OUT!$F$2:$F$11000,OUT!$H$2:$H$11000,H1701,OUT!$D$2:$D$11000,"Out",OUT!$E$2:$E$11000,"Mio")</f>
        <v>0</v>
      </c>
      <c r="R1701" s="52">
        <f ca="1">SUMIFS(OUT!$F$2:$F$11000,OUT!$H$2:$H$11000,H1701,OUT!$D$2:$D$11000,"Out",OUT!$E$2:$E$11000,"Sedekah")</f>
        <v>0</v>
      </c>
      <c r="S1701" s="52">
        <f ca="1">SUMIFS(OUT!$F$2:$F$11000,OUT!$H$2:$H$11000,H1701,OUT!$D$2:$D$11000,"Out",OUT!$E$2:$E$11000,"Zela")</f>
        <v>0</v>
      </c>
      <c r="T1701" s="52">
        <f ca="1">SUMIFS(OUT!$F$2:$F$11000,OUT!$H$2:$H$11000,H1701,OUT!$D$2:$D$11000,"Out",OUT!$E$2:$E$11000,"Iqbal")</f>
        <v>0</v>
      </c>
    </row>
    <row r="1702" spans="7:20" x14ac:dyDescent="0.2">
      <c r="G1702" s="50"/>
      <c r="H1702" s="51" t="str">
        <f t="shared" si="0"/>
        <v/>
      </c>
      <c r="I1702" s="52" t="e">
        <f>SUMIFS(OUT!$F$2:$F$11000,OUT!$H$2:$H$11000,H1702,OUT!$D$2:$D$101007,"In")</f>
        <v>#VALUE!</v>
      </c>
      <c r="J1702" s="52">
        <f ca="1">SUMIFS(OUT!$F$2:$F$11000,OUT!$H$2:$H$11000,H1702,OUT!$D$2:$D$11000,"Out")</f>
        <v>0</v>
      </c>
      <c r="K1702" s="52">
        <f ca="1">SUMIFS(OUT!$F$2:$F$11000,OUT!$H$2:$H$11000,H1702,OUT!$D$2:$D$11000,"Out",OUT!$E$2:$E$11000,"Fix")</f>
        <v>0</v>
      </c>
      <c r="L1702" s="52">
        <f ca="1">SUMIFS(OUT!$F$2:$F$11000,OUT!$H$2:$H$11000,H1702,OUT!$D$2:$D$11000,"Out",OUT!$E$2:$E$11000,"Bathroom")</f>
        <v>0</v>
      </c>
      <c r="M1702" s="52">
        <f ca="1">SUMIFS(OUT!$F$2:$F$11000,OUT!$H$2:$H$11000,H1702,OUT!$D$2:$D$11000,"Out",OUT!$E$2:$E$11000,"Alfa")</f>
        <v>0</v>
      </c>
      <c r="N1702" s="52" t="e">
        <f>SUMIFS(OUT!$F$2:$F$11000,OUT!$H$2:$H$101007,H1702,OUT!$D$2:$D$11000,"Out",OUT!$E$2:$E$11000,"Jajan")</f>
        <v>#VALUE!</v>
      </c>
      <c r="O1702" s="52">
        <f ca="1">SUMIFS(OUT!$F$2:$F$11000,OUT!$H$2:$H$11000,H1702,OUT!$D$2:$D$11000,"Out",OUT!$E$2:$E$11000,"Kitchen")</f>
        <v>0</v>
      </c>
      <c r="P1702" s="52">
        <f ca="1">SUMIFS(OUT!$F$2:$F$11000,OUT!$H$2:$H$11000,H1702,OUT!$D$2:$D$11000,"Out",OUT!$E$2:$E$11000,"Loandry")</f>
        <v>0</v>
      </c>
      <c r="Q1702" s="52">
        <f ca="1">SUMIFS(OUT!$F$2:$F$11000,OUT!$H$2:$H$11000,H1702,OUT!$D$2:$D$11000,"Out",OUT!$E$2:$E$11000,"Mio")</f>
        <v>0</v>
      </c>
      <c r="R1702" s="52">
        <f ca="1">SUMIFS(OUT!$F$2:$F$11000,OUT!$H$2:$H$11000,H1702,OUT!$D$2:$D$11000,"Out",OUT!$E$2:$E$11000,"Sedekah")</f>
        <v>0</v>
      </c>
      <c r="S1702" s="52">
        <f ca="1">SUMIFS(OUT!$F$2:$F$11000,OUT!$H$2:$H$11000,H1702,OUT!$D$2:$D$11000,"Out",OUT!$E$2:$E$11000,"Zela")</f>
        <v>0</v>
      </c>
      <c r="T1702" s="52">
        <f ca="1">SUMIFS(OUT!$F$2:$F$11000,OUT!$H$2:$H$11000,H1702,OUT!$D$2:$D$11000,"Out",OUT!$E$2:$E$11000,"Iqbal")</f>
        <v>0</v>
      </c>
    </row>
    <row r="1703" spans="7:20" x14ac:dyDescent="0.2">
      <c r="G1703" s="50"/>
      <c r="H1703" s="51" t="str">
        <f t="shared" si="0"/>
        <v/>
      </c>
      <c r="I1703" s="52" t="e">
        <f>SUMIFS(OUT!$F$2:$F$11000,OUT!$H$2:$H$11000,H1703,OUT!$D$2:$D$101007,"In")</f>
        <v>#VALUE!</v>
      </c>
      <c r="J1703" s="52">
        <f ca="1">SUMIFS(OUT!$F$2:$F$11000,OUT!$H$2:$H$11000,H1703,OUT!$D$2:$D$11000,"Out")</f>
        <v>0</v>
      </c>
      <c r="K1703" s="52">
        <f ca="1">SUMIFS(OUT!$F$2:$F$11000,OUT!$H$2:$H$11000,H1703,OUT!$D$2:$D$11000,"Out",OUT!$E$2:$E$11000,"Fix")</f>
        <v>0</v>
      </c>
      <c r="L1703" s="52">
        <f ca="1">SUMIFS(OUT!$F$2:$F$11000,OUT!$H$2:$H$11000,H1703,OUT!$D$2:$D$11000,"Out",OUT!$E$2:$E$11000,"Bathroom")</f>
        <v>0</v>
      </c>
      <c r="M1703" s="52">
        <f ca="1">SUMIFS(OUT!$F$2:$F$11000,OUT!$H$2:$H$11000,H1703,OUT!$D$2:$D$11000,"Out",OUT!$E$2:$E$11000,"Alfa")</f>
        <v>0</v>
      </c>
      <c r="N1703" s="52" t="e">
        <f>SUMIFS(OUT!$F$2:$F$11000,OUT!$H$2:$H$101007,H1703,OUT!$D$2:$D$11000,"Out",OUT!$E$2:$E$11000,"Jajan")</f>
        <v>#VALUE!</v>
      </c>
      <c r="O1703" s="52">
        <f ca="1">SUMIFS(OUT!$F$2:$F$11000,OUT!$H$2:$H$11000,H1703,OUT!$D$2:$D$11000,"Out",OUT!$E$2:$E$11000,"Kitchen")</f>
        <v>0</v>
      </c>
      <c r="P1703" s="52">
        <f ca="1">SUMIFS(OUT!$F$2:$F$11000,OUT!$H$2:$H$11000,H1703,OUT!$D$2:$D$11000,"Out",OUT!$E$2:$E$11000,"Loandry")</f>
        <v>0</v>
      </c>
      <c r="Q1703" s="52">
        <f ca="1">SUMIFS(OUT!$F$2:$F$11000,OUT!$H$2:$H$11000,H1703,OUT!$D$2:$D$11000,"Out",OUT!$E$2:$E$11000,"Mio")</f>
        <v>0</v>
      </c>
      <c r="R1703" s="52">
        <f ca="1">SUMIFS(OUT!$F$2:$F$11000,OUT!$H$2:$H$11000,H1703,OUT!$D$2:$D$11000,"Out",OUT!$E$2:$E$11000,"Sedekah")</f>
        <v>0</v>
      </c>
      <c r="S1703" s="52">
        <f ca="1">SUMIFS(OUT!$F$2:$F$11000,OUT!$H$2:$H$11000,H1703,OUT!$D$2:$D$11000,"Out",OUT!$E$2:$E$11000,"Zela")</f>
        <v>0</v>
      </c>
      <c r="T1703" s="52">
        <f ca="1">SUMIFS(OUT!$F$2:$F$11000,OUT!$H$2:$H$11000,H1703,OUT!$D$2:$D$11000,"Out",OUT!$E$2:$E$11000,"Iqbal")</f>
        <v>0</v>
      </c>
    </row>
    <row r="1704" spans="7:20" x14ac:dyDescent="0.2">
      <c r="G1704" s="50"/>
      <c r="H1704" s="51" t="str">
        <f t="shared" si="0"/>
        <v/>
      </c>
      <c r="I1704" s="52" t="e">
        <f>SUMIFS(OUT!$F$2:$F$11000,OUT!$H$2:$H$11000,H1704,OUT!$D$2:$D$101007,"In")</f>
        <v>#VALUE!</v>
      </c>
      <c r="J1704" s="52">
        <f ca="1">SUMIFS(OUT!$F$2:$F$11000,OUT!$H$2:$H$11000,H1704,OUT!$D$2:$D$11000,"Out")</f>
        <v>0</v>
      </c>
      <c r="K1704" s="52">
        <f ca="1">SUMIFS(OUT!$F$2:$F$11000,OUT!$H$2:$H$11000,H1704,OUT!$D$2:$D$11000,"Out",OUT!$E$2:$E$11000,"Fix")</f>
        <v>0</v>
      </c>
      <c r="L1704" s="52">
        <f ca="1">SUMIFS(OUT!$F$2:$F$11000,OUT!$H$2:$H$11000,H1704,OUT!$D$2:$D$11000,"Out",OUT!$E$2:$E$11000,"Bathroom")</f>
        <v>0</v>
      </c>
      <c r="M1704" s="52">
        <f ca="1">SUMIFS(OUT!$F$2:$F$11000,OUT!$H$2:$H$11000,H1704,OUT!$D$2:$D$11000,"Out",OUT!$E$2:$E$11000,"Alfa")</f>
        <v>0</v>
      </c>
      <c r="N1704" s="52" t="e">
        <f>SUMIFS(OUT!$F$2:$F$11000,OUT!$H$2:$H$101007,H1704,OUT!$D$2:$D$11000,"Out",OUT!$E$2:$E$11000,"Jajan")</f>
        <v>#VALUE!</v>
      </c>
      <c r="O1704" s="52">
        <f ca="1">SUMIFS(OUT!$F$2:$F$11000,OUT!$H$2:$H$11000,H1704,OUT!$D$2:$D$11000,"Out",OUT!$E$2:$E$11000,"Kitchen")</f>
        <v>0</v>
      </c>
      <c r="P1704" s="52">
        <f ca="1">SUMIFS(OUT!$F$2:$F$11000,OUT!$H$2:$H$11000,H1704,OUT!$D$2:$D$11000,"Out",OUT!$E$2:$E$11000,"Loandry")</f>
        <v>0</v>
      </c>
      <c r="Q1704" s="52">
        <f ca="1">SUMIFS(OUT!$F$2:$F$11000,OUT!$H$2:$H$11000,H1704,OUT!$D$2:$D$11000,"Out",OUT!$E$2:$E$11000,"Mio")</f>
        <v>0</v>
      </c>
      <c r="R1704" s="52">
        <f ca="1">SUMIFS(OUT!$F$2:$F$11000,OUT!$H$2:$H$11000,H1704,OUT!$D$2:$D$11000,"Out",OUT!$E$2:$E$11000,"Sedekah")</f>
        <v>0</v>
      </c>
      <c r="S1704" s="52">
        <f ca="1">SUMIFS(OUT!$F$2:$F$11000,OUT!$H$2:$H$11000,H1704,OUT!$D$2:$D$11000,"Out",OUT!$E$2:$E$11000,"Zela")</f>
        <v>0</v>
      </c>
      <c r="T1704" s="52">
        <f ca="1">SUMIFS(OUT!$F$2:$F$11000,OUT!$H$2:$H$11000,H1704,OUT!$D$2:$D$11000,"Out",OUT!$E$2:$E$11000,"Iqbal")</f>
        <v>0</v>
      </c>
    </row>
    <row r="1705" spans="7:20" x14ac:dyDescent="0.2">
      <c r="G1705" s="50"/>
      <c r="H1705" s="51" t="str">
        <f t="shared" si="0"/>
        <v/>
      </c>
      <c r="I1705" s="52" t="e">
        <f>SUMIFS(OUT!$F$2:$F$11000,OUT!$H$2:$H$11000,H1705,OUT!$D$2:$D$101007,"In")</f>
        <v>#VALUE!</v>
      </c>
      <c r="J1705" s="52">
        <f ca="1">SUMIFS(OUT!$F$2:$F$11000,OUT!$H$2:$H$11000,H1705,OUT!$D$2:$D$11000,"Out")</f>
        <v>0</v>
      </c>
      <c r="K1705" s="52">
        <f ca="1">SUMIFS(OUT!$F$2:$F$11000,OUT!$H$2:$H$11000,H1705,OUT!$D$2:$D$11000,"Out",OUT!$E$2:$E$11000,"Fix")</f>
        <v>0</v>
      </c>
      <c r="L1705" s="52">
        <f ca="1">SUMIFS(OUT!$F$2:$F$11000,OUT!$H$2:$H$11000,H1705,OUT!$D$2:$D$11000,"Out",OUT!$E$2:$E$11000,"Bathroom")</f>
        <v>0</v>
      </c>
      <c r="M1705" s="52">
        <f ca="1">SUMIFS(OUT!$F$2:$F$11000,OUT!$H$2:$H$11000,H1705,OUT!$D$2:$D$11000,"Out",OUT!$E$2:$E$11000,"Alfa")</f>
        <v>0</v>
      </c>
      <c r="N1705" s="52" t="e">
        <f>SUMIFS(OUT!$F$2:$F$11000,OUT!$H$2:$H$101007,H1705,OUT!$D$2:$D$11000,"Out",OUT!$E$2:$E$11000,"Jajan")</f>
        <v>#VALUE!</v>
      </c>
      <c r="O1705" s="52">
        <f ca="1">SUMIFS(OUT!$F$2:$F$11000,OUT!$H$2:$H$11000,H1705,OUT!$D$2:$D$11000,"Out",OUT!$E$2:$E$11000,"Kitchen")</f>
        <v>0</v>
      </c>
      <c r="P1705" s="52">
        <f ca="1">SUMIFS(OUT!$F$2:$F$11000,OUT!$H$2:$H$11000,H1705,OUT!$D$2:$D$11000,"Out",OUT!$E$2:$E$11000,"Loandry")</f>
        <v>0</v>
      </c>
      <c r="Q1705" s="52">
        <f ca="1">SUMIFS(OUT!$F$2:$F$11000,OUT!$H$2:$H$11000,H1705,OUT!$D$2:$D$11000,"Out",OUT!$E$2:$E$11000,"Mio")</f>
        <v>0</v>
      </c>
      <c r="R1705" s="52">
        <f ca="1">SUMIFS(OUT!$F$2:$F$11000,OUT!$H$2:$H$11000,H1705,OUT!$D$2:$D$11000,"Out",OUT!$E$2:$E$11000,"Sedekah")</f>
        <v>0</v>
      </c>
      <c r="S1705" s="52">
        <f ca="1">SUMIFS(OUT!$F$2:$F$11000,OUT!$H$2:$H$11000,H1705,OUT!$D$2:$D$11000,"Out",OUT!$E$2:$E$11000,"Zela")</f>
        <v>0</v>
      </c>
      <c r="T1705" s="52">
        <f ca="1">SUMIFS(OUT!$F$2:$F$11000,OUT!$H$2:$H$11000,H1705,OUT!$D$2:$D$11000,"Out",OUT!$E$2:$E$11000,"Iqbal")</f>
        <v>0</v>
      </c>
    </row>
    <row r="1706" spans="7:20" x14ac:dyDescent="0.2">
      <c r="G1706" s="50"/>
      <c r="H1706" s="51" t="str">
        <f t="shared" si="0"/>
        <v/>
      </c>
      <c r="I1706" s="52" t="e">
        <f>SUMIFS(OUT!$F$2:$F$11000,OUT!$H$2:$H$11000,H1706,OUT!$D$2:$D$101007,"In")</f>
        <v>#VALUE!</v>
      </c>
      <c r="J1706" s="52">
        <f ca="1">SUMIFS(OUT!$F$2:$F$11000,OUT!$H$2:$H$11000,H1706,OUT!$D$2:$D$11000,"Out")</f>
        <v>0</v>
      </c>
      <c r="K1706" s="52">
        <f ca="1">SUMIFS(OUT!$F$2:$F$11000,OUT!$H$2:$H$11000,H1706,OUT!$D$2:$D$11000,"Out",OUT!$E$2:$E$11000,"Fix")</f>
        <v>0</v>
      </c>
      <c r="L1706" s="52">
        <f ca="1">SUMIFS(OUT!$F$2:$F$11000,OUT!$H$2:$H$11000,H1706,OUT!$D$2:$D$11000,"Out",OUT!$E$2:$E$11000,"Bathroom")</f>
        <v>0</v>
      </c>
      <c r="M1706" s="52">
        <f ca="1">SUMIFS(OUT!$F$2:$F$11000,OUT!$H$2:$H$11000,H1706,OUT!$D$2:$D$11000,"Out",OUT!$E$2:$E$11000,"Alfa")</f>
        <v>0</v>
      </c>
      <c r="N1706" s="52" t="e">
        <f>SUMIFS(OUT!$F$2:$F$11000,OUT!$H$2:$H$101007,H1706,OUT!$D$2:$D$11000,"Out",OUT!$E$2:$E$11000,"Jajan")</f>
        <v>#VALUE!</v>
      </c>
      <c r="O1706" s="52">
        <f ca="1">SUMIFS(OUT!$F$2:$F$11000,OUT!$H$2:$H$11000,H1706,OUT!$D$2:$D$11000,"Out",OUT!$E$2:$E$11000,"Kitchen")</f>
        <v>0</v>
      </c>
      <c r="P1706" s="52">
        <f ca="1">SUMIFS(OUT!$F$2:$F$11000,OUT!$H$2:$H$11000,H1706,OUT!$D$2:$D$11000,"Out",OUT!$E$2:$E$11000,"Loandry")</f>
        <v>0</v>
      </c>
      <c r="Q1706" s="52">
        <f ca="1">SUMIFS(OUT!$F$2:$F$11000,OUT!$H$2:$H$11000,H1706,OUT!$D$2:$D$11000,"Out",OUT!$E$2:$E$11000,"Mio")</f>
        <v>0</v>
      </c>
      <c r="R1706" s="52">
        <f ca="1">SUMIFS(OUT!$F$2:$F$11000,OUT!$H$2:$H$11000,H1706,OUT!$D$2:$D$11000,"Out",OUT!$E$2:$E$11000,"Sedekah")</f>
        <v>0</v>
      </c>
      <c r="S1706" s="52">
        <f ca="1">SUMIFS(OUT!$F$2:$F$11000,OUT!$H$2:$H$11000,H1706,OUT!$D$2:$D$11000,"Out",OUT!$E$2:$E$11000,"Zela")</f>
        <v>0</v>
      </c>
      <c r="T1706" s="52">
        <f ca="1">SUMIFS(OUT!$F$2:$F$11000,OUT!$H$2:$H$11000,H1706,OUT!$D$2:$D$11000,"Out",OUT!$E$2:$E$11000,"Iqbal")</f>
        <v>0</v>
      </c>
    </row>
    <row r="1707" spans="7:20" x14ac:dyDescent="0.2">
      <c r="G1707" s="50"/>
      <c r="H1707" s="51" t="str">
        <f t="shared" si="0"/>
        <v/>
      </c>
      <c r="I1707" s="52" t="e">
        <f>SUMIFS(OUT!$F$2:$F$11000,OUT!$H$2:$H$11000,H1707,OUT!$D$2:$D$101007,"In")</f>
        <v>#VALUE!</v>
      </c>
      <c r="J1707" s="52">
        <f ca="1">SUMIFS(OUT!$F$2:$F$11000,OUT!$H$2:$H$11000,H1707,OUT!$D$2:$D$11000,"Out")</f>
        <v>0</v>
      </c>
      <c r="K1707" s="52">
        <f ca="1">SUMIFS(OUT!$F$2:$F$11000,OUT!$H$2:$H$11000,H1707,OUT!$D$2:$D$11000,"Out",OUT!$E$2:$E$11000,"Fix")</f>
        <v>0</v>
      </c>
      <c r="L1707" s="52">
        <f ca="1">SUMIFS(OUT!$F$2:$F$11000,OUT!$H$2:$H$11000,H1707,OUT!$D$2:$D$11000,"Out",OUT!$E$2:$E$11000,"Bathroom")</f>
        <v>0</v>
      </c>
      <c r="M1707" s="52">
        <f ca="1">SUMIFS(OUT!$F$2:$F$11000,OUT!$H$2:$H$11000,H1707,OUT!$D$2:$D$11000,"Out",OUT!$E$2:$E$11000,"Alfa")</f>
        <v>0</v>
      </c>
      <c r="N1707" s="52" t="e">
        <f>SUMIFS(OUT!$F$2:$F$11000,OUT!$H$2:$H$101007,H1707,OUT!$D$2:$D$11000,"Out",OUT!$E$2:$E$11000,"Jajan")</f>
        <v>#VALUE!</v>
      </c>
      <c r="O1707" s="52">
        <f ca="1">SUMIFS(OUT!$F$2:$F$11000,OUT!$H$2:$H$11000,H1707,OUT!$D$2:$D$11000,"Out",OUT!$E$2:$E$11000,"Kitchen")</f>
        <v>0</v>
      </c>
      <c r="P1707" s="52">
        <f ca="1">SUMIFS(OUT!$F$2:$F$11000,OUT!$H$2:$H$11000,H1707,OUT!$D$2:$D$11000,"Out",OUT!$E$2:$E$11000,"Loandry")</f>
        <v>0</v>
      </c>
      <c r="Q1707" s="52">
        <f ca="1">SUMIFS(OUT!$F$2:$F$11000,OUT!$H$2:$H$11000,H1707,OUT!$D$2:$D$11000,"Out",OUT!$E$2:$E$11000,"Mio")</f>
        <v>0</v>
      </c>
      <c r="R1707" s="52">
        <f ca="1">SUMIFS(OUT!$F$2:$F$11000,OUT!$H$2:$H$11000,H1707,OUT!$D$2:$D$11000,"Out",OUT!$E$2:$E$11000,"Sedekah")</f>
        <v>0</v>
      </c>
      <c r="S1707" s="52">
        <f ca="1">SUMIFS(OUT!$F$2:$F$11000,OUT!$H$2:$H$11000,H1707,OUT!$D$2:$D$11000,"Out",OUT!$E$2:$E$11000,"Zela")</f>
        <v>0</v>
      </c>
      <c r="T1707" s="52">
        <f ca="1">SUMIFS(OUT!$F$2:$F$11000,OUT!$H$2:$H$11000,H1707,OUT!$D$2:$D$11000,"Out",OUT!$E$2:$E$11000,"Iqbal")</f>
        <v>0</v>
      </c>
    </row>
    <row r="1708" spans="7:20" x14ac:dyDescent="0.2">
      <c r="G1708" s="50"/>
      <c r="H1708" s="51" t="str">
        <f t="shared" si="0"/>
        <v/>
      </c>
      <c r="I1708" s="52" t="e">
        <f>SUMIFS(OUT!$F$2:$F$11000,OUT!$H$2:$H$11000,H1708,OUT!$D$2:$D$101007,"In")</f>
        <v>#VALUE!</v>
      </c>
      <c r="J1708" s="52">
        <f ca="1">SUMIFS(OUT!$F$2:$F$11000,OUT!$H$2:$H$11000,H1708,OUT!$D$2:$D$11000,"Out")</f>
        <v>0</v>
      </c>
      <c r="K1708" s="52">
        <f ca="1">SUMIFS(OUT!$F$2:$F$11000,OUT!$H$2:$H$11000,H1708,OUT!$D$2:$D$11000,"Out",OUT!$E$2:$E$11000,"Fix")</f>
        <v>0</v>
      </c>
      <c r="L1708" s="52">
        <f ca="1">SUMIFS(OUT!$F$2:$F$11000,OUT!$H$2:$H$11000,H1708,OUT!$D$2:$D$11000,"Out",OUT!$E$2:$E$11000,"Bathroom")</f>
        <v>0</v>
      </c>
      <c r="M1708" s="52">
        <f ca="1">SUMIFS(OUT!$F$2:$F$11000,OUT!$H$2:$H$11000,H1708,OUT!$D$2:$D$11000,"Out",OUT!$E$2:$E$11000,"Alfa")</f>
        <v>0</v>
      </c>
      <c r="N1708" s="52" t="e">
        <f>SUMIFS(OUT!$F$2:$F$11000,OUT!$H$2:$H$101007,H1708,OUT!$D$2:$D$11000,"Out",OUT!$E$2:$E$11000,"Jajan")</f>
        <v>#VALUE!</v>
      </c>
      <c r="O1708" s="52">
        <f ca="1">SUMIFS(OUT!$F$2:$F$11000,OUT!$H$2:$H$11000,H1708,OUT!$D$2:$D$11000,"Out",OUT!$E$2:$E$11000,"Kitchen")</f>
        <v>0</v>
      </c>
      <c r="P1708" s="52">
        <f ca="1">SUMIFS(OUT!$F$2:$F$11000,OUT!$H$2:$H$11000,H1708,OUT!$D$2:$D$11000,"Out",OUT!$E$2:$E$11000,"Loandry")</f>
        <v>0</v>
      </c>
      <c r="Q1708" s="52">
        <f ca="1">SUMIFS(OUT!$F$2:$F$11000,OUT!$H$2:$H$11000,H1708,OUT!$D$2:$D$11000,"Out",OUT!$E$2:$E$11000,"Mio")</f>
        <v>0</v>
      </c>
      <c r="R1708" s="52">
        <f ca="1">SUMIFS(OUT!$F$2:$F$11000,OUT!$H$2:$H$11000,H1708,OUT!$D$2:$D$11000,"Out",OUT!$E$2:$E$11000,"Sedekah")</f>
        <v>0</v>
      </c>
      <c r="S1708" s="52">
        <f ca="1">SUMIFS(OUT!$F$2:$F$11000,OUT!$H$2:$H$11000,H1708,OUT!$D$2:$D$11000,"Out",OUT!$E$2:$E$11000,"Zela")</f>
        <v>0</v>
      </c>
      <c r="T1708" s="52">
        <f ca="1">SUMIFS(OUT!$F$2:$F$11000,OUT!$H$2:$H$11000,H1708,OUT!$D$2:$D$11000,"Out",OUT!$E$2:$E$11000,"Iqbal")</f>
        <v>0</v>
      </c>
    </row>
    <row r="1709" spans="7:20" x14ac:dyDescent="0.2">
      <c r="G1709" s="50"/>
      <c r="H1709" s="51" t="str">
        <f t="shared" si="0"/>
        <v/>
      </c>
      <c r="I1709" s="52" t="e">
        <f>SUMIFS(OUT!$F$2:$F$11000,OUT!$H$2:$H$11000,H1709,OUT!$D$2:$D$101007,"In")</f>
        <v>#VALUE!</v>
      </c>
      <c r="J1709" s="52">
        <f ca="1">SUMIFS(OUT!$F$2:$F$11000,OUT!$H$2:$H$11000,H1709,OUT!$D$2:$D$11000,"Out")</f>
        <v>0</v>
      </c>
      <c r="K1709" s="52">
        <f ca="1">SUMIFS(OUT!$F$2:$F$11000,OUT!$H$2:$H$11000,H1709,OUT!$D$2:$D$11000,"Out",OUT!$E$2:$E$11000,"Fix")</f>
        <v>0</v>
      </c>
      <c r="L1709" s="52">
        <f ca="1">SUMIFS(OUT!$F$2:$F$11000,OUT!$H$2:$H$11000,H1709,OUT!$D$2:$D$11000,"Out",OUT!$E$2:$E$11000,"Bathroom")</f>
        <v>0</v>
      </c>
      <c r="M1709" s="52">
        <f ca="1">SUMIFS(OUT!$F$2:$F$11000,OUT!$H$2:$H$11000,H1709,OUT!$D$2:$D$11000,"Out",OUT!$E$2:$E$11000,"Alfa")</f>
        <v>0</v>
      </c>
      <c r="N1709" s="52" t="e">
        <f>SUMIFS(OUT!$F$2:$F$11000,OUT!$H$2:$H$101007,H1709,OUT!$D$2:$D$11000,"Out",OUT!$E$2:$E$11000,"Jajan")</f>
        <v>#VALUE!</v>
      </c>
      <c r="O1709" s="52">
        <f ca="1">SUMIFS(OUT!$F$2:$F$11000,OUT!$H$2:$H$11000,H1709,OUT!$D$2:$D$11000,"Out",OUT!$E$2:$E$11000,"Kitchen")</f>
        <v>0</v>
      </c>
      <c r="P1709" s="52">
        <f ca="1">SUMIFS(OUT!$F$2:$F$11000,OUT!$H$2:$H$11000,H1709,OUT!$D$2:$D$11000,"Out",OUT!$E$2:$E$11000,"Loandry")</f>
        <v>0</v>
      </c>
      <c r="Q1709" s="52">
        <f ca="1">SUMIFS(OUT!$F$2:$F$11000,OUT!$H$2:$H$11000,H1709,OUT!$D$2:$D$11000,"Out",OUT!$E$2:$E$11000,"Mio")</f>
        <v>0</v>
      </c>
      <c r="R1709" s="52">
        <f ca="1">SUMIFS(OUT!$F$2:$F$11000,OUT!$H$2:$H$11000,H1709,OUT!$D$2:$D$11000,"Out",OUT!$E$2:$E$11000,"Sedekah")</f>
        <v>0</v>
      </c>
      <c r="S1709" s="52">
        <f ca="1">SUMIFS(OUT!$F$2:$F$11000,OUT!$H$2:$H$11000,H1709,OUT!$D$2:$D$11000,"Out",OUT!$E$2:$E$11000,"Zela")</f>
        <v>0</v>
      </c>
      <c r="T1709" s="52">
        <f ca="1">SUMIFS(OUT!$F$2:$F$11000,OUT!$H$2:$H$11000,H1709,OUT!$D$2:$D$11000,"Out",OUT!$E$2:$E$11000,"Iqbal")</f>
        <v>0</v>
      </c>
    </row>
    <row r="1710" spans="7:20" x14ac:dyDescent="0.2">
      <c r="G1710" s="50"/>
      <c r="H1710" s="51" t="str">
        <f t="shared" si="0"/>
        <v/>
      </c>
      <c r="I1710" s="52" t="e">
        <f>SUMIFS(OUT!$F$2:$F$11000,OUT!$H$2:$H$11000,H1710,OUT!$D$2:$D$101007,"In")</f>
        <v>#VALUE!</v>
      </c>
      <c r="J1710" s="52">
        <f ca="1">SUMIFS(OUT!$F$2:$F$11000,OUT!$H$2:$H$11000,H1710,OUT!$D$2:$D$11000,"Out")</f>
        <v>0</v>
      </c>
      <c r="K1710" s="52">
        <f ca="1">SUMIFS(OUT!$F$2:$F$11000,OUT!$H$2:$H$11000,H1710,OUT!$D$2:$D$11000,"Out",OUT!$E$2:$E$11000,"Fix")</f>
        <v>0</v>
      </c>
      <c r="L1710" s="52">
        <f ca="1">SUMIFS(OUT!$F$2:$F$11000,OUT!$H$2:$H$11000,H1710,OUT!$D$2:$D$11000,"Out",OUT!$E$2:$E$11000,"Bathroom")</f>
        <v>0</v>
      </c>
      <c r="M1710" s="52">
        <f ca="1">SUMIFS(OUT!$F$2:$F$11000,OUT!$H$2:$H$11000,H1710,OUT!$D$2:$D$11000,"Out",OUT!$E$2:$E$11000,"Alfa")</f>
        <v>0</v>
      </c>
      <c r="N1710" s="52" t="e">
        <f>SUMIFS(OUT!$F$2:$F$11000,OUT!$H$2:$H$101007,H1710,OUT!$D$2:$D$11000,"Out",OUT!$E$2:$E$11000,"Jajan")</f>
        <v>#VALUE!</v>
      </c>
      <c r="O1710" s="52">
        <f ca="1">SUMIFS(OUT!$F$2:$F$11000,OUT!$H$2:$H$11000,H1710,OUT!$D$2:$D$11000,"Out",OUT!$E$2:$E$11000,"Kitchen")</f>
        <v>0</v>
      </c>
      <c r="P1710" s="52">
        <f ca="1">SUMIFS(OUT!$F$2:$F$11000,OUT!$H$2:$H$11000,H1710,OUT!$D$2:$D$11000,"Out",OUT!$E$2:$E$11000,"Loandry")</f>
        <v>0</v>
      </c>
      <c r="Q1710" s="52">
        <f ca="1">SUMIFS(OUT!$F$2:$F$11000,OUT!$H$2:$H$11000,H1710,OUT!$D$2:$D$11000,"Out",OUT!$E$2:$E$11000,"Mio")</f>
        <v>0</v>
      </c>
      <c r="R1710" s="52">
        <f ca="1">SUMIFS(OUT!$F$2:$F$11000,OUT!$H$2:$H$11000,H1710,OUT!$D$2:$D$11000,"Out",OUT!$E$2:$E$11000,"Sedekah")</f>
        <v>0</v>
      </c>
      <c r="S1710" s="52">
        <f ca="1">SUMIFS(OUT!$F$2:$F$11000,OUT!$H$2:$H$11000,H1710,OUT!$D$2:$D$11000,"Out",OUT!$E$2:$E$11000,"Zela")</f>
        <v>0</v>
      </c>
      <c r="T1710" s="52">
        <f ca="1">SUMIFS(OUT!$F$2:$F$11000,OUT!$H$2:$H$11000,H1710,OUT!$D$2:$D$11000,"Out",OUT!$E$2:$E$11000,"Iqbal")</f>
        <v>0</v>
      </c>
    </row>
    <row r="1711" spans="7:20" x14ac:dyDescent="0.2">
      <c r="G1711" s="50"/>
      <c r="H1711" s="51" t="str">
        <f t="shared" si="0"/>
        <v/>
      </c>
      <c r="I1711" s="52" t="e">
        <f>SUMIFS(OUT!$F$2:$F$11000,OUT!$H$2:$H$11000,H1711,OUT!$D$2:$D$101007,"In")</f>
        <v>#VALUE!</v>
      </c>
      <c r="J1711" s="52">
        <f ca="1">SUMIFS(OUT!$F$2:$F$11000,OUT!$H$2:$H$11000,H1711,OUT!$D$2:$D$11000,"Out")</f>
        <v>0</v>
      </c>
      <c r="K1711" s="52">
        <f ca="1">SUMIFS(OUT!$F$2:$F$11000,OUT!$H$2:$H$11000,H1711,OUT!$D$2:$D$11000,"Out",OUT!$E$2:$E$11000,"Fix")</f>
        <v>0</v>
      </c>
      <c r="L1711" s="52">
        <f ca="1">SUMIFS(OUT!$F$2:$F$11000,OUT!$H$2:$H$11000,H1711,OUT!$D$2:$D$11000,"Out",OUT!$E$2:$E$11000,"Bathroom")</f>
        <v>0</v>
      </c>
      <c r="M1711" s="52">
        <f ca="1">SUMIFS(OUT!$F$2:$F$11000,OUT!$H$2:$H$11000,H1711,OUT!$D$2:$D$11000,"Out",OUT!$E$2:$E$11000,"Alfa")</f>
        <v>0</v>
      </c>
      <c r="N1711" s="52" t="e">
        <f>SUMIFS(OUT!$F$2:$F$11000,OUT!$H$2:$H$101007,H1711,OUT!$D$2:$D$11000,"Out",OUT!$E$2:$E$11000,"Jajan")</f>
        <v>#VALUE!</v>
      </c>
      <c r="O1711" s="52">
        <f ca="1">SUMIFS(OUT!$F$2:$F$11000,OUT!$H$2:$H$11000,H1711,OUT!$D$2:$D$11000,"Out",OUT!$E$2:$E$11000,"Kitchen")</f>
        <v>0</v>
      </c>
      <c r="P1711" s="52">
        <f ca="1">SUMIFS(OUT!$F$2:$F$11000,OUT!$H$2:$H$11000,H1711,OUT!$D$2:$D$11000,"Out",OUT!$E$2:$E$11000,"Loandry")</f>
        <v>0</v>
      </c>
      <c r="Q1711" s="52">
        <f ca="1">SUMIFS(OUT!$F$2:$F$11000,OUT!$H$2:$H$11000,H1711,OUT!$D$2:$D$11000,"Out",OUT!$E$2:$E$11000,"Mio")</f>
        <v>0</v>
      </c>
      <c r="R1711" s="52">
        <f ca="1">SUMIFS(OUT!$F$2:$F$11000,OUT!$H$2:$H$11000,H1711,OUT!$D$2:$D$11000,"Out",OUT!$E$2:$E$11000,"Sedekah")</f>
        <v>0</v>
      </c>
      <c r="S1711" s="52">
        <f ca="1">SUMIFS(OUT!$F$2:$F$11000,OUT!$H$2:$H$11000,H1711,OUT!$D$2:$D$11000,"Out",OUT!$E$2:$E$11000,"Zela")</f>
        <v>0</v>
      </c>
      <c r="T1711" s="52">
        <f ca="1">SUMIFS(OUT!$F$2:$F$11000,OUT!$H$2:$H$11000,H1711,OUT!$D$2:$D$11000,"Out",OUT!$E$2:$E$11000,"Iqbal")</f>
        <v>0</v>
      </c>
    </row>
    <row r="1712" spans="7:20" x14ac:dyDescent="0.2">
      <c r="G1712" s="50"/>
      <c r="H1712" s="51" t="str">
        <f t="shared" si="0"/>
        <v/>
      </c>
      <c r="I1712" s="52" t="e">
        <f>SUMIFS(OUT!$F$2:$F$11000,OUT!$H$2:$H$11000,H1712,OUT!$D$2:$D$101007,"In")</f>
        <v>#VALUE!</v>
      </c>
      <c r="J1712" s="52">
        <f ca="1">SUMIFS(OUT!$F$2:$F$11000,OUT!$H$2:$H$11000,H1712,OUT!$D$2:$D$11000,"Out")</f>
        <v>0</v>
      </c>
      <c r="K1712" s="52">
        <f ca="1">SUMIFS(OUT!$F$2:$F$11000,OUT!$H$2:$H$11000,H1712,OUT!$D$2:$D$11000,"Out",OUT!$E$2:$E$11000,"Fix")</f>
        <v>0</v>
      </c>
      <c r="L1712" s="52">
        <f ca="1">SUMIFS(OUT!$F$2:$F$11000,OUT!$H$2:$H$11000,H1712,OUT!$D$2:$D$11000,"Out",OUT!$E$2:$E$11000,"Bathroom")</f>
        <v>0</v>
      </c>
      <c r="M1712" s="52">
        <f ca="1">SUMIFS(OUT!$F$2:$F$11000,OUT!$H$2:$H$11000,H1712,OUT!$D$2:$D$11000,"Out",OUT!$E$2:$E$11000,"Alfa")</f>
        <v>0</v>
      </c>
      <c r="N1712" s="52" t="e">
        <f>SUMIFS(OUT!$F$2:$F$11000,OUT!$H$2:$H$101007,H1712,OUT!$D$2:$D$11000,"Out",OUT!$E$2:$E$11000,"Jajan")</f>
        <v>#VALUE!</v>
      </c>
      <c r="O1712" s="52">
        <f ca="1">SUMIFS(OUT!$F$2:$F$11000,OUT!$H$2:$H$11000,H1712,OUT!$D$2:$D$11000,"Out",OUT!$E$2:$E$11000,"Kitchen")</f>
        <v>0</v>
      </c>
      <c r="P1712" s="52">
        <f ca="1">SUMIFS(OUT!$F$2:$F$11000,OUT!$H$2:$H$11000,H1712,OUT!$D$2:$D$11000,"Out",OUT!$E$2:$E$11000,"Loandry")</f>
        <v>0</v>
      </c>
      <c r="Q1712" s="52">
        <f ca="1">SUMIFS(OUT!$F$2:$F$11000,OUT!$H$2:$H$11000,H1712,OUT!$D$2:$D$11000,"Out",OUT!$E$2:$E$11000,"Mio")</f>
        <v>0</v>
      </c>
      <c r="R1712" s="52">
        <f ca="1">SUMIFS(OUT!$F$2:$F$11000,OUT!$H$2:$H$11000,H1712,OUT!$D$2:$D$11000,"Out",OUT!$E$2:$E$11000,"Sedekah")</f>
        <v>0</v>
      </c>
      <c r="S1712" s="52">
        <f ca="1">SUMIFS(OUT!$F$2:$F$11000,OUT!$H$2:$H$11000,H1712,OUT!$D$2:$D$11000,"Out",OUT!$E$2:$E$11000,"Zela")</f>
        <v>0</v>
      </c>
      <c r="T1712" s="52">
        <f ca="1">SUMIFS(OUT!$F$2:$F$11000,OUT!$H$2:$H$11000,H1712,OUT!$D$2:$D$11000,"Out",OUT!$E$2:$E$11000,"Iqbal")</f>
        <v>0</v>
      </c>
    </row>
    <row r="1713" spans="7:20" x14ac:dyDescent="0.2">
      <c r="G1713" s="50"/>
      <c r="H1713" s="51" t="str">
        <f t="shared" si="0"/>
        <v/>
      </c>
      <c r="I1713" s="52" t="e">
        <f>SUMIFS(OUT!$F$2:$F$11000,OUT!$H$2:$H$11000,H1713,OUT!$D$2:$D$101007,"In")</f>
        <v>#VALUE!</v>
      </c>
      <c r="J1713" s="52">
        <f ca="1">SUMIFS(OUT!$F$2:$F$11000,OUT!$H$2:$H$11000,H1713,OUT!$D$2:$D$11000,"Out")</f>
        <v>0</v>
      </c>
      <c r="K1713" s="52">
        <f ca="1">SUMIFS(OUT!$F$2:$F$11000,OUT!$H$2:$H$11000,H1713,OUT!$D$2:$D$11000,"Out",OUT!$E$2:$E$11000,"Fix")</f>
        <v>0</v>
      </c>
      <c r="L1713" s="52">
        <f ca="1">SUMIFS(OUT!$F$2:$F$11000,OUT!$H$2:$H$11000,H1713,OUT!$D$2:$D$11000,"Out",OUT!$E$2:$E$11000,"Bathroom")</f>
        <v>0</v>
      </c>
      <c r="M1713" s="52">
        <f ca="1">SUMIFS(OUT!$F$2:$F$11000,OUT!$H$2:$H$11000,H1713,OUT!$D$2:$D$11000,"Out",OUT!$E$2:$E$11000,"Alfa")</f>
        <v>0</v>
      </c>
      <c r="N1713" s="52" t="e">
        <f>SUMIFS(OUT!$F$2:$F$11000,OUT!$H$2:$H$101007,H1713,OUT!$D$2:$D$11000,"Out",OUT!$E$2:$E$11000,"Jajan")</f>
        <v>#VALUE!</v>
      </c>
      <c r="O1713" s="52">
        <f ca="1">SUMIFS(OUT!$F$2:$F$11000,OUT!$H$2:$H$11000,H1713,OUT!$D$2:$D$11000,"Out",OUT!$E$2:$E$11000,"Kitchen")</f>
        <v>0</v>
      </c>
      <c r="P1713" s="52">
        <f ca="1">SUMIFS(OUT!$F$2:$F$11000,OUT!$H$2:$H$11000,H1713,OUT!$D$2:$D$11000,"Out",OUT!$E$2:$E$11000,"Loandry")</f>
        <v>0</v>
      </c>
      <c r="Q1713" s="52">
        <f ca="1">SUMIFS(OUT!$F$2:$F$11000,OUT!$H$2:$H$11000,H1713,OUT!$D$2:$D$11000,"Out",OUT!$E$2:$E$11000,"Mio")</f>
        <v>0</v>
      </c>
      <c r="R1713" s="52">
        <f ca="1">SUMIFS(OUT!$F$2:$F$11000,OUT!$H$2:$H$11000,H1713,OUT!$D$2:$D$11000,"Out",OUT!$E$2:$E$11000,"Sedekah")</f>
        <v>0</v>
      </c>
      <c r="S1713" s="52">
        <f ca="1">SUMIFS(OUT!$F$2:$F$11000,OUT!$H$2:$H$11000,H1713,OUT!$D$2:$D$11000,"Out",OUT!$E$2:$E$11000,"Zela")</f>
        <v>0</v>
      </c>
      <c r="T1713" s="52">
        <f ca="1">SUMIFS(OUT!$F$2:$F$11000,OUT!$H$2:$H$11000,H1713,OUT!$D$2:$D$11000,"Out",OUT!$E$2:$E$11000,"Iqbal")</f>
        <v>0</v>
      </c>
    </row>
    <row r="1714" spans="7:20" x14ac:dyDescent="0.2">
      <c r="G1714" s="50"/>
      <c r="H1714" s="51" t="str">
        <f t="shared" si="0"/>
        <v/>
      </c>
      <c r="I1714" s="52" t="e">
        <f>SUMIFS(OUT!$F$2:$F$11000,OUT!$H$2:$H$11000,H1714,OUT!$D$2:$D$101007,"In")</f>
        <v>#VALUE!</v>
      </c>
      <c r="J1714" s="52">
        <f ca="1">SUMIFS(OUT!$F$2:$F$11000,OUT!$H$2:$H$11000,H1714,OUT!$D$2:$D$11000,"Out")</f>
        <v>0</v>
      </c>
      <c r="K1714" s="52">
        <f ca="1">SUMIFS(OUT!$F$2:$F$11000,OUT!$H$2:$H$11000,H1714,OUT!$D$2:$D$11000,"Out",OUT!$E$2:$E$11000,"Fix")</f>
        <v>0</v>
      </c>
      <c r="L1714" s="52">
        <f ca="1">SUMIFS(OUT!$F$2:$F$11000,OUT!$H$2:$H$11000,H1714,OUT!$D$2:$D$11000,"Out",OUT!$E$2:$E$11000,"Bathroom")</f>
        <v>0</v>
      </c>
      <c r="M1714" s="52">
        <f ca="1">SUMIFS(OUT!$F$2:$F$11000,OUT!$H$2:$H$11000,H1714,OUT!$D$2:$D$11000,"Out",OUT!$E$2:$E$11000,"Alfa")</f>
        <v>0</v>
      </c>
      <c r="N1714" s="52" t="e">
        <f>SUMIFS(OUT!$F$2:$F$11000,OUT!$H$2:$H$101007,H1714,OUT!$D$2:$D$11000,"Out",OUT!$E$2:$E$11000,"Jajan")</f>
        <v>#VALUE!</v>
      </c>
      <c r="O1714" s="52">
        <f ca="1">SUMIFS(OUT!$F$2:$F$11000,OUT!$H$2:$H$11000,H1714,OUT!$D$2:$D$11000,"Out",OUT!$E$2:$E$11000,"Kitchen")</f>
        <v>0</v>
      </c>
      <c r="P1714" s="52">
        <f ca="1">SUMIFS(OUT!$F$2:$F$11000,OUT!$H$2:$H$11000,H1714,OUT!$D$2:$D$11000,"Out",OUT!$E$2:$E$11000,"Loandry")</f>
        <v>0</v>
      </c>
      <c r="Q1714" s="52">
        <f ca="1">SUMIFS(OUT!$F$2:$F$11000,OUT!$H$2:$H$11000,H1714,OUT!$D$2:$D$11000,"Out",OUT!$E$2:$E$11000,"Mio")</f>
        <v>0</v>
      </c>
      <c r="R1714" s="52">
        <f ca="1">SUMIFS(OUT!$F$2:$F$11000,OUT!$H$2:$H$11000,H1714,OUT!$D$2:$D$11000,"Out",OUT!$E$2:$E$11000,"Sedekah")</f>
        <v>0</v>
      </c>
      <c r="S1714" s="52">
        <f ca="1">SUMIFS(OUT!$F$2:$F$11000,OUT!$H$2:$H$11000,H1714,OUT!$D$2:$D$11000,"Out",OUT!$E$2:$E$11000,"Zela")</f>
        <v>0</v>
      </c>
      <c r="T1714" s="52">
        <f ca="1">SUMIFS(OUT!$F$2:$F$11000,OUT!$H$2:$H$11000,H1714,OUT!$D$2:$D$11000,"Out",OUT!$E$2:$E$11000,"Iqbal")</f>
        <v>0</v>
      </c>
    </row>
    <row r="1715" spans="7:20" x14ac:dyDescent="0.2">
      <c r="G1715" s="50"/>
      <c r="H1715" s="51" t="str">
        <f t="shared" si="0"/>
        <v/>
      </c>
      <c r="I1715" s="52" t="e">
        <f>SUMIFS(OUT!$F$2:$F$11000,OUT!$H$2:$H$11000,H1715,OUT!$D$2:$D$101007,"In")</f>
        <v>#VALUE!</v>
      </c>
      <c r="J1715" s="52">
        <f ca="1">SUMIFS(OUT!$F$2:$F$11000,OUT!$H$2:$H$11000,H1715,OUT!$D$2:$D$11000,"Out")</f>
        <v>0</v>
      </c>
      <c r="K1715" s="52">
        <f ca="1">SUMIFS(OUT!$F$2:$F$11000,OUT!$H$2:$H$11000,H1715,OUT!$D$2:$D$11000,"Out",OUT!$E$2:$E$11000,"Fix")</f>
        <v>0</v>
      </c>
      <c r="L1715" s="52">
        <f ca="1">SUMIFS(OUT!$F$2:$F$11000,OUT!$H$2:$H$11000,H1715,OUT!$D$2:$D$11000,"Out",OUT!$E$2:$E$11000,"Bathroom")</f>
        <v>0</v>
      </c>
      <c r="M1715" s="52">
        <f ca="1">SUMIFS(OUT!$F$2:$F$11000,OUT!$H$2:$H$11000,H1715,OUT!$D$2:$D$11000,"Out",OUT!$E$2:$E$11000,"Alfa")</f>
        <v>0</v>
      </c>
      <c r="N1715" s="52" t="e">
        <f>SUMIFS(OUT!$F$2:$F$11000,OUT!$H$2:$H$101007,H1715,OUT!$D$2:$D$11000,"Out",OUT!$E$2:$E$11000,"Jajan")</f>
        <v>#VALUE!</v>
      </c>
      <c r="O1715" s="52">
        <f ca="1">SUMIFS(OUT!$F$2:$F$11000,OUT!$H$2:$H$11000,H1715,OUT!$D$2:$D$11000,"Out",OUT!$E$2:$E$11000,"Kitchen")</f>
        <v>0</v>
      </c>
      <c r="P1715" s="52">
        <f ca="1">SUMIFS(OUT!$F$2:$F$11000,OUT!$H$2:$H$11000,H1715,OUT!$D$2:$D$11000,"Out",OUT!$E$2:$E$11000,"Loandry")</f>
        <v>0</v>
      </c>
      <c r="Q1715" s="52">
        <f ca="1">SUMIFS(OUT!$F$2:$F$11000,OUT!$H$2:$H$11000,H1715,OUT!$D$2:$D$11000,"Out",OUT!$E$2:$E$11000,"Mio")</f>
        <v>0</v>
      </c>
      <c r="R1715" s="52">
        <f ca="1">SUMIFS(OUT!$F$2:$F$11000,OUT!$H$2:$H$11000,H1715,OUT!$D$2:$D$11000,"Out",OUT!$E$2:$E$11000,"Sedekah")</f>
        <v>0</v>
      </c>
      <c r="S1715" s="52">
        <f ca="1">SUMIFS(OUT!$F$2:$F$11000,OUT!$H$2:$H$11000,H1715,OUT!$D$2:$D$11000,"Out",OUT!$E$2:$E$11000,"Zela")</f>
        <v>0</v>
      </c>
      <c r="T1715" s="52">
        <f ca="1">SUMIFS(OUT!$F$2:$F$11000,OUT!$H$2:$H$11000,H1715,OUT!$D$2:$D$11000,"Out",OUT!$E$2:$E$11000,"Iqbal")</f>
        <v>0</v>
      </c>
    </row>
    <row r="1716" spans="7:20" x14ac:dyDescent="0.2">
      <c r="G1716" s="50"/>
      <c r="H1716" s="51" t="str">
        <f t="shared" si="0"/>
        <v/>
      </c>
      <c r="I1716" s="52" t="e">
        <f>SUMIFS(OUT!$F$2:$F$11000,OUT!$H$2:$H$11000,H1716,OUT!$D$2:$D$101007,"In")</f>
        <v>#VALUE!</v>
      </c>
      <c r="J1716" s="52">
        <f ca="1">SUMIFS(OUT!$F$2:$F$11000,OUT!$H$2:$H$11000,H1716,OUT!$D$2:$D$11000,"Out")</f>
        <v>0</v>
      </c>
      <c r="K1716" s="52">
        <f ca="1">SUMIFS(OUT!$F$2:$F$11000,OUT!$H$2:$H$11000,H1716,OUT!$D$2:$D$11000,"Out",OUT!$E$2:$E$11000,"Fix")</f>
        <v>0</v>
      </c>
      <c r="L1716" s="52">
        <f ca="1">SUMIFS(OUT!$F$2:$F$11000,OUT!$H$2:$H$11000,H1716,OUT!$D$2:$D$11000,"Out",OUT!$E$2:$E$11000,"Bathroom")</f>
        <v>0</v>
      </c>
      <c r="M1716" s="52">
        <f ca="1">SUMIFS(OUT!$F$2:$F$11000,OUT!$H$2:$H$11000,H1716,OUT!$D$2:$D$11000,"Out",OUT!$E$2:$E$11000,"Alfa")</f>
        <v>0</v>
      </c>
      <c r="N1716" s="52" t="e">
        <f>SUMIFS(OUT!$F$2:$F$11000,OUT!$H$2:$H$101007,H1716,OUT!$D$2:$D$11000,"Out",OUT!$E$2:$E$11000,"Jajan")</f>
        <v>#VALUE!</v>
      </c>
      <c r="O1716" s="52">
        <f ca="1">SUMIFS(OUT!$F$2:$F$11000,OUT!$H$2:$H$11000,H1716,OUT!$D$2:$D$11000,"Out",OUT!$E$2:$E$11000,"Kitchen")</f>
        <v>0</v>
      </c>
      <c r="P1716" s="52">
        <f ca="1">SUMIFS(OUT!$F$2:$F$11000,OUT!$H$2:$H$11000,H1716,OUT!$D$2:$D$11000,"Out",OUT!$E$2:$E$11000,"Loandry")</f>
        <v>0</v>
      </c>
      <c r="Q1716" s="52">
        <f ca="1">SUMIFS(OUT!$F$2:$F$11000,OUT!$H$2:$H$11000,H1716,OUT!$D$2:$D$11000,"Out",OUT!$E$2:$E$11000,"Mio")</f>
        <v>0</v>
      </c>
      <c r="R1716" s="52">
        <f ca="1">SUMIFS(OUT!$F$2:$F$11000,OUT!$H$2:$H$11000,H1716,OUT!$D$2:$D$11000,"Out",OUT!$E$2:$E$11000,"Sedekah")</f>
        <v>0</v>
      </c>
      <c r="S1716" s="52">
        <f ca="1">SUMIFS(OUT!$F$2:$F$11000,OUT!$H$2:$H$11000,H1716,OUT!$D$2:$D$11000,"Out",OUT!$E$2:$E$11000,"Zela")</f>
        <v>0</v>
      </c>
      <c r="T1716" s="52">
        <f ca="1">SUMIFS(OUT!$F$2:$F$11000,OUT!$H$2:$H$11000,H1716,OUT!$D$2:$D$11000,"Out",OUT!$E$2:$E$11000,"Iqbal")</f>
        <v>0</v>
      </c>
    </row>
    <row r="1717" spans="7:20" x14ac:dyDescent="0.2">
      <c r="G1717" s="50"/>
      <c r="H1717" s="51" t="str">
        <f t="shared" si="0"/>
        <v/>
      </c>
      <c r="I1717" s="52" t="e">
        <f>SUMIFS(OUT!$F$2:$F$11000,OUT!$H$2:$H$11000,H1717,OUT!$D$2:$D$101007,"In")</f>
        <v>#VALUE!</v>
      </c>
      <c r="J1717" s="52">
        <f ca="1">SUMIFS(OUT!$F$2:$F$11000,OUT!$H$2:$H$11000,H1717,OUT!$D$2:$D$11000,"Out")</f>
        <v>0</v>
      </c>
      <c r="K1717" s="52">
        <f ca="1">SUMIFS(OUT!$F$2:$F$11000,OUT!$H$2:$H$11000,H1717,OUT!$D$2:$D$11000,"Out",OUT!$E$2:$E$11000,"Fix")</f>
        <v>0</v>
      </c>
      <c r="L1717" s="52">
        <f ca="1">SUMIFS(OUT!$F$2:$F$11000,OUT!$H$2:$H$11000,H1717,OUT!$D$2:$D$11000,"Out",OUT!$E$2:$E$11000,"Bathroom")</f>
        <v>0</v>
      </c>
      <c r="M1717" s="52">
        <f ca="1">SUMIFS(OUT!$F$2:$F$11000,OUT!$H$2:$H$11000,H1717,OUT!$D$2:$D$11000,"Out",OUT!$E$2:$E$11000,"Alfa")</f>
        <v>0</v>
      </c>
      <c r="N1717" s="52" t="e">
        <f>SUMIFS(OUT!$F$2:$F$11000,OUT!$H$2:$H$101007,H1717,OUT!$D$2:$D$11000,"Out",OUT!$E$2:$E$11000,"Jajan")</f>
        <v>#VALUE!</v>
      </c>
      <c r="O1717" s="52">
        <f ca="1">SUMIFS(OUT!$F$2:$F$11000,OUT!$H$2:$H$11000,H1717,OUT!$D$2:$D$11000,"Out",OUT!$E$2:$E$11000,"Kitchen")</f>
        <v>0</v>
      </c>
      <c r="P1717" s="52">
        <f ca="1">SUMIFS(OUT!$F$2:$F$11000,OUT!$H$2:$H$11000,H1717,OUT!$D$2:$D$11000,"Out",OUT!$E$2:$E$11000,"Loandry")</f>
        <v>0</v>
      </c>
      <c r="Q1717" s="52">
        <f ca="1">SUMIFS(OUT!$F$2:$F$11000,OUT!$H$2:$H$11000,H1717,OUT!$D$2:$D$11000,"Out",OUT!$E$2:$E$11000,"Mio")</f>
        <v>0</v>
      </c>
      <c r="R1717" s="52">
        <f ca="1">SUMIFS(OUT!$F$2:$F$11000,OUT!$H$2:$H$11000,H1717,OUT!$D$2:$D$11000,"Out",OUT!$E$2:$E$11000,"Sedekah")</f>
        <v>0</v>
      </c>
      <c r="S1717" s="52">
        <f ca="1">SUMIFS(OUT!$F$2:$F$11000,OUT!$H$2:$H$11000,H1717,OUT!$D$2:$D$11000,"Out",OUT!$E$2:$E$11000,"Zela")</f>
        <v>0</v>
      </c>
      <c r="T1717" s="52">
        <f ca="1">SUMIFS(OUT!$F$2:$F$11000,OUT!$H$2:$H$11000,H1717,OUT!$D$2:$D$11000,"Out",OUT!$E$2:$E$11000,"Iqbal")</f>
        <v>0</v>
      </c>
    </row>
    <row r="1718" spans="7:20" x14ac:dyDescent="0.2">
      <c r="G1718" s="50"/>
      <c r="H1718" s="51" t="str">
        <f t="shared" si="0"/>
        <v/>
      </c>
      <c r="I1718" s="52" t="e">
        <f>SUMIFS(OUT!$F$2:$F$11000,OUT!$H$2:$H$11000,H1718,OUT!$D$2:$D$101007,"In")</f>
        <v>#VALUE!</v>
      </c>
      <c r="J1718" s="52">
        <f ca="1">SUMIFS(OUT!$F$2:$F$11000,OUT!$H$2:$H$11000,H1718,OUT!$D$2:$D$11000,"Out")</f>
        <v>0</v>
      </c>
      <c r="K1718" s="52">
        <f ca="1">SUMIFS(OUT!$F$2:$F$11000,OUT!$H$2:$H$11000,H1718,OUT!$D$2:$D$11000,"Out",OUT!$E$2:$E$11000,"Fix")</f>
        <v>0</v>
      </c>
      <c r="L1718" s="52">
        <f ca="1">SUMIFS(OUT!$F$2:$F$11000,OUT!$H$2:$H$11000,H1718,OUT!$D$2:$D$11000,"Out",OUT!$E$2:$E$11000,"Bathroom")</f>
        <v>0</v>
      </c>
      <c r="M1718" s="52">
        <f ca="1">SUMIFS(OUT!$F$2:$F$11000,OUT!$H$2:$H$11000,H1718,OUT!$D$2:$D$11000,"Out",OUT!$E$2:$E$11000,"Alfa")</f>
        <v>0</v>
      </c>
      <c r="N1718" s="52" t="e">
        <f>SUMIFS(OUT!$F$2:$F$11000,OUT!$H$2:$H$101007,H1718,OUT!$D$2:$D$11000,"Out",OUT!$E$2:$E$11000,"Jajan")</f>
        <v>#VALUE!</v>
      </c>
      <c r="O1718" s="52">
        <f ca="1">SUMIFS(OUT!$F$2:$F$11000,OUT!$H$2:$H$11000,H1718,OUT!$D$2:$D$11000,"Out",OUT!$E$2:$E$11000,"Kitchen")</f>
        <v>0</v>
      </c>
      <c r="P1718" s="52">
        <f ca="1">SUMIFS(OUT!$F$2:$F$11000,OUT!$H$2:$H$11000,H1718,OUT!$D$2:$D$11000,"Out",OUT!$E$2:$E$11000,"Loandry")</f>
        <v>0</v>
      </c>
      <c r="Q1718" s="52">
        <f ca="1">SUMIFS(OUT!$F$2:$F$11000,OUT!$H$2:$H$11000,H1718,OUT!$D$2:$D$11000,"Out",OUT!$E$2:$E$11000,"Mio")</f>
        <v>0</v>
      </c>
      <c r="R1718" s="52">
        <f ca="1">SUMIFS(OUT!$F$2:$F$11000,OUT!$H$2:$H$11000,H1718,OUT!$D$2:$D$11000,"Out",OUT!$E$2:$E$11000,"Sedekah")</f>
        <v>0</v>
      </c>
      <c r="S1718" s="52">
        <f ca="1">SUMIFS(OUT!$F$2:$F$11000,OUT!$H$2:$H$11000,H1718,OUT!$D$2:$D$11000,"Out",OUT!$E$2:$E$11000,"Zela")</f>
        <v>0</v>
      </c>
      <c r="T1718" s="52">
        <f ca="1">SUMIFS(OUT!$F$2:$F$11000,OUT!$H$2:$H$11000,H1718,OUT!$D$2:$D$11000,"Out",OUT!$E$2:$E$11000,"Iqbal")</f>
        <v>0</v>
      </c>
    </row>
    <row r="1719" spans="7:20" x14ac:dyDescent="0.2">
      <c r="G1719" s="50"/>
      <c r="H1719" s="51" t="str">
        <f t="shared" si="0"/>
        <v/>
      </c>
      <c r="I1719" s="52" t="e">
        <f>SUMIFS(OUT!$F$2:$F$11000,OUT!$H$2:$H$11000,H1719,OUT!$D$2:$D$101007,"In")</f>
        <v>#VALUE!</v>
      </c>
      <c r="J1719" s="52">
        <f ca="1">SUMIFS(OUT!$F$2:$F$11000,OUT!$H$2:$H$11000,H1719,OUT!$D$2:$D$11000,"Out")</f>
        <v>0</v>
      </c>
      <c r="K1719" s="52">
        <f ca="1">SUMIFS(OUT!$F$2:$F$11000,OUT!$H$2:$H$11000,H1719,OUT!$D$2:$D$11000,"Out",OUT!$E$2:$E$11000,"Fix")</f>
        <v>0</v>
      </c>
      <c r="L1719" s="52">
        <f ca="1">SUMIFS(OUT!$F$2:$F$11000,OUT!$H$2:$H$11000,H1719,OUT!$D$2:$D$11000,"Out",OUT!$E$2:$E$11000,"Bathroom")</f>
        <v>0</v>
      </c>
      <c r="M1719" s="52">
        <f ca="1">SUMIFS(OUT!$F$2:$F$11000,OUT!$H$2:$H$11000,H1719,OUT!$D$2:$D$11000,"Out",OUT!$E$2:$E$11000,"Alfa")</f>
        <v>0</v>
      </c>
      <c r="N1719" s="52" t="e">
        <f>SUMIFS(OUT!$F$2:$F$11000,OUT!$H$2:$H$101007,H1719,OUT!$D$2:$D$11000,"Out",OUT!$E$2:$E$11000,"Jajan")</f>
        <v>#VALUE!</v>
      </c>
      <c r="O1719" s="52">
        <f ca="1">SUMIFS(OUT!$F$2:$F$11000,OUT!$H$2:$H$11000,H1719,OUT!$D$2:$D$11000,"Out",OUT!$E$2:$E$11000,"Kitchen")</f>
        <v>0</v>
      </c>
      <c r="P1719" s="52">
        <f ca="1">SUMIFS(OUT!$F$2:$F$11000,OUT!$H$2:$H$11000,H1719,OUT!$D$2:$D$11000,"Out",OUT!$E$2:$E$11000,"Loandry")</f>
        <v>0</v>
      </c>
      <c r="Q1719" s="52">
        <f ca="1">SUMIFS(OUT!$F$2:$F$11000,OUT!$H$2:$H$11000,H1719,OUT!$D$2:$D$11000,"Out",OUT!$E$2:$E$11000,"Mio")</f>
        <v>0</v>
      </c>
      <c r="R1719" s="52">
        <f ca="1">SUMIFS(OUT!$F$2:$F$11000,OUT!$H$2:$H$11000,H1719,OUT!$D$2:$D$11000,"Out",OUT!$E$2:$E$11000,"Sedekah")</f>
        <v>0</v>
      </c>
      <c r="S1719" s="52">
        <f ca="1">SUMIFS(OUT!$F$2:$F$11000,OUT!$H$2:$H$11000,H1719,OUT!$D$2:$D$11000,"Out",OUT!$E$2:$E$11000,"Zela")</f>
        <v>0</v>
      </c>
      <c r="T1719" s="52">
        <f ca="1">SUMIFS(OUT!$F$2:$F$11000,OUT!$H$2:$H$11000,H1719,OUT!$D$2:$D$11000,"Out",OUT!$E$2:$E$11000,"Iqbal")</f>
        <v>0</v>
      </c>
    </row>
    <row r="1720" spans="7:20" x14ac:dyDescent="0.2">
      <c r="G1720" s="50"/>
      <c r="H1720" s="51" t="str">
        <f t="shared" si="0"/>
        <v/>
      </c>
      <c r="I1720" s="52" t="e">
        <f>SUMIFS(OUT!$F$2:$F$11000,OUT!$H$2:$H$11000,H1720,OUT!$D$2:$D$101007,"In")</f>
        <v>#VALUE!</v>
      </c>
      <c r="J1720" s="52">
        <f ca="1">SUMIFS(OUT!$F$2:$F$11000,OUT!$H$2:$H$11000,H1720,OUT!$D$2:$D$11000,"Out")</f>
        <v>0</v>
      </c>
      <c r="K1720" s="52">
        <f ca="1">SUMIFS(OUT!$F$2:$F$11000,OUT!$H$2:$H$11000,H1720,OUT!$D$2:$D$11000,"Out",OUT!$E$2:$E$11000,"Fix")</f>
        <v>0</v>
      </c>
      <c r="L1720" s="52">
        <f ca="1">SUMIFS(OUT!$F$2:$F$11000,OUT!$H$2:$H$11000,H1720,OUT!$D$2:$D$11000,"Out",OUT!$E$2:$E$11000,"Bathroom")</f>
        <v>0</v>
      </c>
      <c r="M1720" s="52">
        <f ca="1">SUMIFS(OUT!$F$2:$F$11000,OUT!$H$2:$H$11000,H1720,OUT!$D$2:$D$11000,"Out",OUT!$E$2:$E$11000,"Alfa")</f>
        <v>0</v>
      </c>
      <c r="N1720" s="52" t="e">
        <f>SUMIFS(OUT!$F$2:$F$11000,OUT!$H$2:$H$101007,H1720,OUT!$D$2:$D$11000,"Out",OUT!$E$2:$E$11000,"Jajan")</f>
        <v>#VALUE!</v>
      </c>
      <c r="O1720" s="52">
        <f ca="1">SUMIFS(OUT!$F$2:$F$11000,OUT!$H$2:$H$11000,H1720,OUT!$D$2:$D$11000,"Out",OUT!$E$2:$E$11000,"Kitchen")</f>
        <v>0</v>
      </c>
      <c r="P1720" s="52">
        <f ca="1">SUMIFS(OUT!$F$2:$F$11000,OUT!$H$2:$H$11000,H1720,OUT!$D$2:$D$11000,"Out",OUT!$E$2:$E$11000,"Loandry")</f>
        <v>0</v>
      </c>
      <c r="Q1720" s="52">
        <f ca="1">SUMIFS(OUT!$F$2:$F$11000,OUT!$H$2:$H$11000,H1720,OUT!$D$2:$D$11000,"Out",OUT!$E$2:$E$11000,"Mio")</f>
        <v>0</v>
      </c>
      <c r="R1720" s="52">
        <f ca="1">SUMIFS(OUT!$F$2:$F$11000,OUT!$H$2:$H$11000,H1720,OUT!$D$2:$D$11000,"Out",OUT!$E$2:$E$11000,"Sedekah")</f>
        <v>0</v>
      </c>
      <c r="S1720" s="52">
        <f ca="1">SUMIFS(OUT!$F$2:$F$11000,OUT!$H$2:$H$11000,H1720,OUT!$D$2:$D$11000,"Out",OUT!$E$2:$E$11000,"Zela")</f>
        <v>0</v>
      </c>
      <c r="T1720" s="52">
        <f ca="1">SUMIFS(OUT!$F$2:$F$11000,OUT!$H$2:$H$11000,H1720,OUT!$D$2:$D$11000,"Out",OUT!$E$2:$E$11000,"Iqbal")</f>
        <v>0</v>
      </c>
    </row>
    <row r="1721" spans="7:20" x14ac:dyDescent="0.2">
      <c r="G1721" s="50"/>
      <c r="H1721" s="51" t="str">
        <f t="shared" si="0"/>
        <v/>
      </c>
      <c r="I1721" s="52" t="e">
        <f>SUMIFS(OUT!$F$2:$F$11000,OUT!$H$2:$H$11000,H1721,OUT!$D$2:$D$101007,"In")</f>
        <v>#VALUE!</v>
      </c>
      <c r="J1721" s="52">
        <f ca="1">SUMIFS(OUT!$F$2:$F$11000,OUT!$H$2:$H$11000,H1721,OUT!$D$2:$D$11000,"Out")</f>
        <v>0</v>
      </c>
      <c r="K1721" s="52">
        <f ca="1">SUMIFS(OUT!$F$2:$F$11000,OUT!$H$2:$H$11000,H1721,OUT!$D$2:$D$11000,"Out",OUT!$E$2:$E$11000,"Fix")</f>
        <v>0</v>
      </c>
      <c r="L1721" s="52">
        <f ca="1">SUMIFS(OUT!$F$2:$F$11000,OUT!$H$2:$H$11000,H1721,OUT!$D$2:$D$11000,"Out",OUT!$E$2:$E$11000,"Bathroom")</f>
        <v>0</v>
      </c>
      <c r="M1721" s="52">
        <f ca="1">SUMIFS(OUT!$F$2:$F$11000,OUT!$H$2:$H$11000,H1721,OUT!$D$2:$D$11000,"Out",OUT!$E$2:$E$11000,"Alfa")</f>
        <v>0</v>
      </c>
      <c r="N1721" s="52" t="e">
        <f>SUMIFS(OUT!$F$2:$F$11000,OUT!$H$2:$H$101007,H1721,OUT!$D$2:$D$11000,"Out",OUT!$E$2:$E$11000,"Jajan")</f>
        <v>#VALUE!</v>
      </c>
      <c r="O1721" s="52">
        <f ca="1">SUMIFS(OUT!$F$2:$F$11000,OUT!$H$2:$H$11000,H1721,OUT!$D$2:$D$11000,"Out",OUT!$E$2:$E$11000,"Kitchen")</f>
        <v>0</v>
      </c>
      <c r="P1721" s="52">
        <f ca="1">SUMIFS(OUT!$F$2:$F$11000,OUT!$H$2:$H$11000,H1721,OUT!$D$2:$D$11000,"Out",OUT!$E$2:$E$11000,"Loandry")</f>
        <v>0</v>
      </c>
      <c r="Q1721" s="52">
        <f ca="1">SUMIFS(OUT!$F$2:$F$11000,OUT!$H$2:$H$11000,H1721,OUT!$D$2:$D$11000,"Out",OUT!$E$2:$E$11000,"Mio")</f>
        <v>0</v>
      </c>
      <c r="R1721" s="52">
        <f ca="1">SUMIFS(OUT!$F$2:$F$11000,OUT!$H$2:$H$11000,H1721,OUT!$D$2:$D$11000,"Out",OUT!$E$2:$E$11000,"Sedekah")</f>
        <v>0</v>
      </c>
      <c r="S1721" s="52">
        <f ca="1">SUMIFS(OUT!$F$2:$F$11000,OUT!$H$2:$H$11000,H1721,OUT!$D$2:$D$11000,"Out",OUT!$E$2:$E$11000,"Zela")</f>
        <v>0</v>
      </c>
      <c r="T1721" s="52">
        <f ca="1">SUMIFS(OUT!$F$2:$F$11000,OUT!$H$2:$H$11000,H1721,OUT!$D$2:$D$11000,"Out",OUT!$E$2:$E$11000,"Iqbal")</f>
        <v>0</v>
      </c>
    </row>
    <row r="1722" spans="7:20" x14ac:dyDescent="0.2">
      <c r="G1722" s="50"/>
      <c r="H1722" s="51" t="str">
        <f t="shared" si="0"/>
        <v/>
      </c>
      <c r="I1722" s="52" t="e">
        <f>SUMIFS(OUT!$F$2:$F$11000,OUT!$H$2:$H$11000,H1722,OUT!$D$2:$D$101007,"In")</f>
        <v>#VALUE!</v>
      </c>
      <c r="J1722" s="52">
        <f ca="1">SUMIFS(OUT!$F$2:$F$11000,OUT!$H$2:$H$11000,H1722,OUT!$D$2:$D$11000,"Out")</f>
        <v>0</v>
      </c>
      <c r="K1722" s="52">
        <f ca="1">SUMIFS(OUT!$F$2:$F$11000,OUT!$H$2:$H$11000,H1722,OUT!$D$2:$D$11000,"Out",OUT!$E$2:$E$11000,"Fix")</f>
        <v>0</v>
      </c>
      <c r="L1722" s="52">
        <f ca="1">SUMIFS(OUT!$F$2:$F$11000,OUT!$H$2:$H$11000,H1722,OUT!$D$2:$D$11000,"Out",OUT!$E$2:$E$11000,"Bathroom")</f>
        <v>0</v>
      </c>
      <c r="M1722" s="52">
        <f ca="1">SUMIFS(OUT!$F$2:$F$11000,OUT!$H$2:$H$11000,H1722,OUT!$D$2:$D$11000,"Out",OUT!$E$2:$E$11000,"Alfa")</f>
        <v>0</v>
      </c>
      <c r="N1722" s="52" t="e">
        <f>SUMIFS(OUT!$F$2:$F$11000,OUT!$H$2:$H$101007,H1722,OUT!$D$2:$D$11000,"Out",OUT!$E$2:$E$11000,"Jajan")</f>
        <v>#VALUE!</v>
      </c>
      <c r="O1722" s="52">
        <f ca="1">SUMIFS(OUT!$F$2:$F$11000,OUT!$H$2:$H$11000,H1722,OUT!$D$2:$D$11000,"Out",OUT!$E$2:$E$11000,"Kitchen")</f>
        <v>0</v>
      </c>
      <c r="P1722" s="52">
        <f ca="1">SUMIFS(OUT!$F$2:$F$11000,OUT!$H$2:$H$11000,H1722,OUT!$D$2:$D$11000,"Out",OUT!$E$2:$E$11000,"Loandry")</f>
        <v>0</v>
      </c>
      <c r="Q1722" s="52">
        <f ca="1">SUMIFS(OUT!$F$2:$F$11000,OUT!$H$2:$H$11000,H1722,OUT!$D$2:$D$11000,"Out",OUT!$E$2:$E$11000,"Mio")</f>
        <v>0</v>
      </c>
      <c r="R1722" s="52">
        <f ca="1">SUMIFS(OUT!$F$2:$F$11000,OUT!$H$2:$H$11000,H1722,OUT!$D$2:$D$11000,"Out",OUT!$E$2:$E$11000,"Sedekah")</f>
        <v>0</v>
      </c>
      <c r="S1722" s="52">
        <f ca="1">SUMIFS(OUT!$F$2:$F$11000,OUT!$H$2:$H$11000,H1722,OUT!$D$2:$D$11000,"Out",OUT!$E$2:$E$11000,"Zela")</f>
        <v>0</v>
      </c>
      <c r="T1722" s="52">
        <f ca="1">SUMIFS(OUT!$F$2:$F$11000,OUT!$H$2:$H$11000,H1722,OUT!$D$2:$D$11000,"Out",OUT!$E$2:$E$11000,"Iqbal")</f>
        <v>0</v>
      </c>
    </row>
    <row r="1723" spans="7:20" x14ac:dyDescent="0.2">
      <c r="G1723" s="50"/>
      <c r="H1723" s="51" t="str">
        <f t="shared" si="0"/>
        <v/>
      </c>
      <c r="I1723" s="52" t="e">
        <f>SUMIFS(OUT!$F$2:$F$11000,OUT!$H$2:$H$11000,H1723,OUT!$D$2:$D$101007,"In")</f>
        <v>#VALUE!</v>
      </c>
      <c r="J1723" s="52">
        <f ca="1">SUMIFS(OUT!$F$2:$F$11000,OUT!$H$2:$H$11000,H1723,OUT!$D$2:$D$11000,"Out")</f>
        <v>0</v>
      </c>
      <c r="K1723" s="52">
        <f ca="1">SUMIFS(OUT!$F$2:$F$11000,OUT!$H$2:$H$11000,H1723,OUT!$D$2:$D$11000,"Out",OUT!$E$2:$E$11000,"Fix")</f>
        <v>0</v>
      </c>
      <c r="L1723" s="52">
        <f ca="1">SUMIFS(OUT!$F$2:$F$11000,OUT!$H$2:$H$11000,H1723,OUT!$D$2:$D$11000,"Out",OUT!$E$2:$E$11000,"Bathroom")</f>
        <v>0</v>
      </c>
      <c r="M1723" s="52">
        <f ca="1">SUMIFS(OUT!$F$2:$F$11000,OUT!$H$2:$H$11000,H1723,OUT!$D$2:$D$11000,"Out",OUT!$E$2:$E$11000,"Alfa")</f>
        <v>0</v>
      </c>
      <c r="N1723" s="52" t="e">
        <f>SUMIFS(OUT!$F$2:$F$11000,OUT!$H$2:$H$101007,H1723,OUT!$D$2:$D$11000,"Out",OUT!$E$2:$E$11000,"Jajan")</f>
        <v>#VALUE!</v>
      </c>
      <c r="O1723" s="52">
        <f ca="1">SUMIFS(OUT!$F$2:$F$11000,OUT!$H$2:$H$11000,H1723,OUT!$D$2:$D$11000,"Out",OUT!$E$2:$E$11000,"Kitchen")</f>
        <v>0</v>
      </c>
      <c r="P1723" s="52">
        <f ca="1">SUMIFS(OUT!$F$2:$F$11000,OUT!$H$2:$H$11000,H1723,OUT!$D$2:$D$11000,"Out",OUT!$E$2:$E$11000,"Loandry")</f>
        <v>0</v>
      </c>
      <c r="Q1723" s="52">
        <f ca="1">SUMIFS(OUT!$F$2:$F$11000,OUT!$H$2:$H$11000,H1723,OUT!$D$2:$D$11000,"Out",OUT!$E$2:$E$11000,"Mio")</f>
        <v>0</v>
      </c>
      <c r="R1723" s="52">
        <f ca="1">SUMIFS(OUT!$F$2:$F$11000,OUT!$H$2:$H$11000,H1723,OUT!$D$2:$D$11000,"Out",OUT!$E$2:$E$11000,"Sedekah")</f>
        <v>0</v>
      </c>
      <c r="S1723" s="52">
        <f ca="1">SUMIFS(OUT!$F$2:$F$11000,OUT!$H$2:$H$11000,H1723,OUT!$D$2:$D$11000,"Out",OUT!$E$2:$E$11000,"Zela")</f>
        <v>0</v>
      </c>
      <c r="T1723" s="52">
        <f ca="1">SUMIFS(OUT!$F$2:$F$11000,OUT!$H$2:$H$11000,H1723,OUT!$D$2:$D$11000,"Out",OUT!$E$2:$E$11000,"Iqbal")</f>
        <v>0</v>
      </c>
    </row>
    <row r="1724" spans="7:20" x14ac:dyDescent="0.2">
      <c r="G1724" s="50"/>
      <c r="H1724" s="51" t="str">
        <f t="shared" si="0"/>
        <v/>
      </c>
      <c r="I1724" s="52" t="e">
        <f>SUMIFS(OUT!$F$2:$F$11000,OUT!$H$2:$H$11000,H1724,OUT!$D$2:$D$101007,"In")</f>
        <v>#VALUE!</v>
      </c>
      <c r="J1724" s="52">
        <f ca="1">SUMIFS(OUT!$F$2:$F$11000,OUT!$H$2:$H$11000,H1724,OUT!$D$2:$D$11000,"Out")</f>
        <v>0</v>
      </c>
      <c r="K1724" s="52">
        <f ca="1">SUMIFS(OUT!$F$2:$F$11000,OUT!$H$2:$H$11000,H1724,OUT!$D$2:$D$11000,"Out",OUT!$E$2:$E$11000,"Fix")</f>
        <v>0</v>
      </c>
      <c r="L1724" s="52">
        <f ca="1">SUMIFS(OUT!$F$2:$F$11000,OUT!$H$2:$H$11000,H1724,OUT!$D$2:$D$11000,"Out",OUT!$E$2:$E$11000,"Bathroom")</f>
        <v>0</v>
      </c>
      <c r="M1724" s="52">
        <f ca="1">SUMIFS(OUT!$F$2:$F$11000,OUT!$H$2:$H$11000,H1724,OUT!$D$2:$D$11000,"Out",OUT!$E$2:$E$11000,"Alfa")</f>
        <v>0</v>
      </c>
      <c r="N1724" s="52" t="e">
        <f>SUMIFS(OUT!$F$2:$F$11000,OUT!$H$2:$H$101007,H1724,OUT!$D$2:$D$11000,"Out",OUT!$E$2:$E$11000,"Jajan")</f>
        <v>#VALUE!</v>
      </c>
      <c r="O1724" s="52">
        <f ca="1">SUMIFS(OUT!$F$2:$F$11000,OUT!$H$2:$H$11000,H1724,OUT!$D$2:$D$11000,"Out",OUT!$E$2:$E$11000,"Kitchen")</f>
        <v>0</v>
      </c>
      <c r="P1724" s="52">
        <f ca="1">SUMIFS(OUT!$F$2:$F$11000,OUT!$H$2:$H$11000,H1724,OUT!$D$2:$D$11000,"Out",OUT!$E$2:$E$11000,"Loandry")</f>
        <v>0</v>
      </c>
      <c r="Q1724" s="52">
        <f ca="1">SUMIFS(OUT!$F$2:$F$11000,OUT!$H$2:$H$11000,H1724,OUT!$D$2:$D$11000,"Out",OUT!$E$2:$E$11000,"Mio")</f>
        <v>0</v>
      </c>
      <c r="R1724" s="52">
        <f ca="1">SUMIFS(OUT!$F$2:$F$11000,OUT!$H$2:$H$11000,H1724,OUT!$D$2:$D$11000,"Out",OUT!$E$2:$E$11000,"Sedekah")</f>
        <v>0</v>
      </c>
      <c r="S1724" s="52">
        <f ca="1">SUMIFS(OUT!$F$2:$F$11000,OUT!$H$2:$H$11000,H1724,OUT!$D$2:$D$11000,"Out",OUT!$E$2:$E$11000,"Zela")</f>
        <v>0</v>
      </c>
      <c r="T1724" s="52">
        <f ca="1">SUMIFS(OUT!$F$2:$F$11000,OUT!$H$2:$H$11000,H1724,OUT!$D$2:$D$11000,"Out",OUT!$E$2:$E$11000,"Iqbal")</f>
        <v>0</v>
      </c>
    </row>
    <row r="1725" spans="7:20" x14ac:dyDescent="0.2">
      <c r="G1725" s="50"/>
      <c r="H1725" s="51" t="str">
        <f t="shared" si="0"/>
        <v/>
      </c>
      <c r="I1725" s="52" t="e">
        <f>SUMIFS(OUT!$F$2:$F$11000,OUT!$H$2:$H$11000,H1725,OUT!$D$2:$D$101007,"In")</f>
        <v>#VALUE!</v>
      </c>
      <c r="J1725" s="52">
        <f ca="1">SUMIFS(OUT!$F$2:$F$11000,OUT!$H$2:$H$11000,H1725,OUT!$D$2:$D$11000,"Out")</f>
        <v>0</v>
      </c>
      <c r="K1725" s="52">
        <f ca="1">SUMIFS(OUT!$F$2:$F$11000,OUT!$H$2:$H$11000,H1725,OUT!$D$2:$D$11000,"Out",OUT!$E$2:$E$11000,"Fix")</f>
        <v>0</v>
      </c>
      <c r="L1725" s="52">
        <f ca="1">SUMIFS(OUT!$F$2:$F$11000,OUT!$H$2:$H$11000,H1725,OUT!$D$2:$D$11000,"Out",OUT!$E$2:$E$11000,"Bathroom")</f>
        <v>0</v>
      </c>
      <c r="M1725" s="52">
        <f ca="1">SUMIFS(OUT!$F$2:$F$11000,OUT!$H$2:$H$11000,H1725,OUT!$D$2:$D$11000,"Out",OUT!$E$2:$E$11000,"Alfa")</f>
        <v>0</v>
      </c>
      <c r="N1725" s="52" t="e">
        <f>SUMIFS(OUT!$F$2:$F$11000,OUT!$H$2:$H$101007,H1725,OUT!$D$2:$D$11000,"Out",OUT!$E$2:$E$11000,"Jajan")</f>
        <v>#VALUE!</v>
      </c>
      <c r="O1725" s="52">
        <f ca="1">SUMIFS(OUT!$F$2:$F$11000,OUT!$H$2:$H$11000,H1725,OUT!$D$2:$D$11000,"Out",OUT!$E$2:$E$11000,"Kitchen")</f>
        <v>0</v>
      </c>
      <c r="P1725" s="52">
        <f ca="1">SUMIFS(OUT!$F$2:$F$11000,OUT!$H$2:$H$11000,H1725,OUT!$D$2:$D$11000,"Out",OUT!$E$2:$E$11000,"Loandry")</f>
        <v>0</v>
      </c>
      <c r="Q1725" s="52">
        <f ca="1">SUMIFS(OUT!$F$2:$F$11000,OUT!$H$2:$H$11000,H1725,OUT!$D$2:$D$11000,"Out",OUT!$E$2:$E$11000,"Mio")</f>
        <v>0</v>
      </c>
      <c r="R1725" s="52">
        <f ca="1">SUMIFS(OUT!$F$2:$F$11000,OUT!$H$2:$H$11000,H1725,OUT!$D$2:$D$11000,"Out",OUT!$E$2:$E$11000,"Sedekah")</f>
        <v>0</v>
      </c>
      <c r="S1725" s="52">
        <f ca="1">SUMIFS(OUT!$F$2:$F$11000,OUT!$H$2:$H$11000,H1725,OUT!$D$2:$D$11000,"Out",OUT!$E$2:$E$11000,"Zela")</f>
        <v>0</v>
      </c>
      <c r="T1725" s="52">
        <f ca="1">SUMIFS(OUT!$F$2:$F$11000,OUT!$H$2:$H$11000,H1725,OUT!$D$2:$D$11000,"Out",OUT!$E$2:$E$11000,"Iqbal")</f>
        <v>0</v>
      </c>
    </row>
    <row r="1726" spans="7:20" x14ac:dyDescent="0.2">
      <c r="G1726" s="50"/>
      <c r="H1726" s="51" t="str">
        <f t="shared" si="0"/>
        <v/>
      </c>
      <c r="I1726" s="52" t="e">
        <f>SUMIFS(OUT!$F$2:$F$11000,OUT!$H$2:$H$11000,H1726,OUT!$D$2:$D$101007,"In")</f>
        <v>#VALUE!</v>
      </c>
      <c r="J1726" s="52">
        <f ca="1">SUMIFS(OUT!$F$2:$F$11000,OUT!$H$2:$H$11000,H1726,OUT!$D$2:$D$11000,"Out")</f>
        <v>0</v>
      </c>
      <c r="K1726" s="52">
        <f ca="1">SUMIFS(OUT!$F$2:$F$11000,OUT!$H$2:$H$11000,H1726,OUT!$D$2:$D$11000,"Out",OUT!$E$2:$E$11000,"Fix")</f>
        <v>0</v>
      </c>
      <c r="L1726" s="52">
        <f ca="1">SUMIFS(OUT!$F$2:$F$11000,OUT!$H$2:$H$11000,H1726,OUT!$D$2:$D$11000,"Out",OUT!$E$2:$E$11000,"Bathroom")</f>
        <v>0</v>
      </c>
      <c r="M1726" s="52">
        <f ca="1">SUMIFS(OUT!$F$2:$F$11000,OUT!$H$2:$H$11000,H1726,OUT!$D$2:$D$11000,"Out",OUT!$E$2:$E$11000,"Alfa")</f>
        <v>0</v>
      </c>
      <c r="N1726" s="52" t="e">
        <f>SUMIFS(OUT!$F$2:$F$11000,OUT!$H$2:$H$101007,H1726,OUT!$D$2:$D$11000,"Out",OUT!$E$2:$E$11000,"Jajan")</f>
        <v>#VALUE!</v>
      </c>
      <c r="O1726" s="52">
        <f ca="1">SUMIFS(OUT!$F$2:$F$11000,OUT!$H$2:$H$11000,H1726,OUT!$D$2:$D$11000,"Out",OUT!$E$2:$E$11000,"Kitchen")</f>
        <v>0</v>
      </c>
      <c r="P1726" s="52">
        <f ca="1">SUMIFS(OUT!$F$2:$F$11000,OUT!$H$2:$H$11000,H1726,OUT!$D$2:$D$11000,"Out",OUT!$E$2:$E$11000,"Loandry")</f>
        <v>0</v>
      </c>
      <c r="Q1726" s="52">
        <f ca="1">SUMIFS(OUT!$F$2:$F$11000,OUT!$H$2:$H$11000,H1726,OUT!$D$2:$D$11000,"Out",OUT!$E$2:$E$11000,"Mio")</f>
        <v>0</v>
      </c>
      <c r="R1726" s="52">
        <f ca="1">SUMIFS(OUT!$F$2:$F$11000,OUT!$H$2:$H$11000,H1726,OUT!$D$2:$D$11000,"Out",OUT!$E$2:$E$11000,"Sedekah")</f>
        <v>0</v>
      </c>
      <c r="S1726" s="52">
        <f ca="1">SUMIFS(OUT!$F$2:$F$11000,OUT!$H$2:$H$11000,H1726,OUT!$D$2:$D$11000,"Out",OUT!$E$2:$E$11000,"Zela")</f>
        <v>0</v>
      </c>
      <c r="T1726" s="52">
        <f ca="1">SUMIFS(OUT!$F$2:$F$11000,OUT!$H$2:$H$11000,H1726,OUT!$D$2:$D$11000,"Out",OUT!$E$2:$E$11000,"Iqbal")</f>
        <v>0</v>
      </c>
    </row>
    <row r="1727" spans="7:20" x14ac:dyDescent="0.2">
      <c r="G1727" s="50"/>
      <c r="H1727" s="51" t="str">
        <f t="shared" si="0"/>
        <v/>
      </c>
      <c r="I1727" s="52" t="e">
        <f>SUMIFS(OUT!$F$2:$F$11000,OUT!$H$2:$H$11000,H1727,OUT!$D$2:$D$101007,"In")</f>
        <v>#VALUE!</v>
      </c>
      <c r="J1727" s="52">
        <f ca="1">SUMIFS(OUT!$F$2:$F$11000,OUT!$H$2:$H$11000,H1727,OUT!$D$2:$D$11000,"Out")</f>
        <v>0</v>
      </c>
      <c r="K1727" s="52">
        <f ca="1">SUMIFS(OUT!$F$2:$F$11000,OUT!$H$2:$H$11000,H1727,OUT!$D$2:$D$11000,"Out",OUT!$E$2:$E$11000,"Fix")</f>
        <v>0</v>
      </c>
      <c r="L1727" s="52">
        <f ca="1">SUMIFS(OUT!$F$2:$F$11000,OUT!$H$2:$H$11000,H1727,OUT!$D$2:$D$11000,"Out",OUT!$E$2:$E$11000,"Bathroom")</f>
        <v>0</v>
      </c>
      <c r="M1727" s="52">
        <f ca="1">SUMIFS(OUT!$F$2:$F$11000,OUT!$H$2:$H$11000,H1727,OUT!$D$2:$D$11000,"Out",OUT!$E$2:$E$11000,"Alfa")</f>
        <v>0</v>
      </c>
      <c r="N1727" s="52" t="e">
        <f>SUMIFS(OUT!$F$2:$F$11000,OUT!$H$2:$H$101007,H1727,OUT!$D$2:$D$11000,"Out",OUT!$E$2:$E$11000,"Jajan")</f>
        <v>#VALUE!</v>
      </c>
      <c r="O1727" s="52">
        <f ca="1">SUMIFS(OUT!$F$2:$F$11000,OUT!$H$2:$H$11000,H1727,OUT!$D$2:$D$11000,"Out",OUT!$E$2:$E$11000,"Kitchen")</f>
        <v>0</v>
      </c>
      <c r="P1727" s="52">
        <f ca="1">SUMIFS(OUT!$F$2:$F$11000,OUT!$H$2:$H$11000,H1727,OUT!$D$2:$D$11000,"Out",OUT!$E$2:$E$11000,"Loandry")</f>
        <v>0</v>
      </c>
      <c r="Q1727" s="52">
        <f ca="1">SUMIFS(OUT!$F$2:$F$11000,OUT!$H$2:$H$11000,H1727,OUT!$D$2:$D$11000,"Out",OUT!$E$2:$E$11000,"Mio")</f>
        <v>0</v>
      </c>
      <c r="R1727" s="52">
        <f ca="1">SUMIFS(OUT!$F$2:$F$11000,OUT!$H$2:$H$11000,H1727,OUT!$D$2:$D$11000,"Out",OUT!$E$2:$E$11000,"Sedekah")</f>
        <v>0</v>
      </c>
      <c r="S1727" s="52">
        <f ca="1">SUMIFS(OUT!$F$2:$F$11000,OUT!$H$2:$H$11000,H1727,OUT!$D$2:$D$11000,"Out",OUT!$E$2:$E$11000,"Zela")</f>
        <v>0</v>
      </c>
      <c r="T1727" s="52">
        <f ca="1">SUMIFS(OUT!$F$2:$F$11000,OUT!$H$2:$H$11000,H1727,OUT!$D$2:$D$11000,"Out",OUT!$E$2:$E$11000,"Iqbal")</f>
        <v>0</v>
      </c>
    </row>
    <row r="1728" spans="7:20" x14ac:dyDescent="0.2">
      <c r="G1728" s="50"/>
      <c r="H1728" s="51" t="str">
        <f t="shared" si="0"/>
        <v/>
      </c>
      <c r="I1728" s="52" t="e">
        <f>SUMIFS(OUT!$F$2:$F$11000,OUT!$H$2:$H$11000,H1728,OUT!$D$2:$D$101007,"In")</f>
        <v>#VALUE!</v>
      </c>
      <c r="J1728" s="52">
        <f ca="1">SUMIFS(OUT!$F$2:$F$11000,OUT!$H$2:$H$11000,H1728,OUT!$D$2:$D$11000,"Out")</f>
        <v>0</v>
      </c>
      <c r="K1728" s="52">
        <f ca="1">SUMIFS(OUT!$F$2:$F$11000,OUT!$H$2:$H$11000,H1728,OUT!$D$2:$D$11000,"Out",OUT!$E$2:$E$11000,"Fix")</f>
        <v>0</v>
      </c>
      <c r="L1728" s="52">
        <f ca="1">SUMIFS(OUT!$F$2:$F$11000,OUT!$H$2:$H$11000,H1728,OUT!$D$2:$D$11000,"Out",OUT!$E$2:$E$11000,"Bathroom")</f>
        <v>0</v>
      </c>
      <c r="M1728" s="52">
        <f ca="1">SUMIFS(OUT!$F$2:$F$11000,OUT!$H$2:$H$11000,H1728,OUT!$D$2:$D$11000,"Out",OUT!$E$2:$E$11000,"Alfa")</f>
        <v>0</v>
      </c>
      <c r="N1728" s="52" t="e">
        <f>SUMIFS(OUT!$F$2:$F$11000,OUT!$H$2:$H$101007,H1728,OUT!$D$2:$D$11000,"Out",OUT!$E$2:$E$11000,"Jajan")</f>
        <v>#VALUE!</v>
      </c>
      <c r="O1728" s="52">
        <f ca="1">SUMIFS(OUT!$F$2:$F$11000,OUT!$H$2:$H$11000,H1728,OUT!$D$2:$D$11000,"Out",OUT!$E$2:$E$11000,"Kitchen")</f>
        <v>0</v>
      </c>
      <c r="P1728" s="52">
        <f ca="1">SUMIFS(OUT!$F$2:$F$11000,OUT!$H$2:$H$11000,H1728,OUT!$D$2:$D$11000,"Out",OUT!$E$2:$E$11000,"Loandry")</f>
        <v>0</v>
      </c>
      <c r="Q1728" s="52">
        <f ca="1">SUMIFS(OUT!$F$2:$F$11000,OUT!$H$2:$H$11000,H1728,OUT!$D$2:$D$11000,"Out",OUT!$E$2:$E$11000,"Mio")</f>
        <v>0</v>
      </c>
      <c r="R1728" s="52">
        <f ca="1">SUMIFS(OUT!$F$2:$F$11000,OUT!$H$2:$H$11000,H1728,OUT!$D$2:$D$11000,"Out",OUT!$E$2:$E$11000,"Sedekah")</f>
        <v>0</v>
      </c>
      <c r="S1728" s="52">
        <f ca="1">SUMIFS(OUT!$F$2:$F$11000,OUT!$H$2:$H$11000,H1728,OUT!$D$2:$D$11000,"Out",OUT!$E$2:$E$11000,"Zela")</f>
        <v>0</v>
      </c>
      <c r="T1728" s="52">
        <f ca="1">SUMIFS(OUT!$F$2:$F$11000,OUT!$H$2:$H$11000,H1728,OUT!$D$2:$D$11000,"Out",OUT!$E$2:$E$11000,"Iqbal")</f>
        <v>0</v>
      </c>
    </row>
    <row r="1729" spans="7:20" x14ac:dyDescent="0.2">
      <c r="G1729" s="50"/>
      <c r="H1729" s="51" t="str">
        <f t="shared" si="0"/>
        <v/>
      </c>
      <c r="I1729" s="52" t="e">
        <f>SUMIFS(OUT!$F$2:$F$11000,OUT!$H$2:$H$11000,H1729,OUT!$D$2:$D$101007,"In")</f>
        <v>#VALUE!</v>
      </c>
      <c r="J1729" s="52">
        <f ca="1">SUMIFS(OUT!$F$2:$F$11000,OUT!$H$2:$H$11000,H1729,OUT!$D$2:$D$11000,"Out")</f>
        <v>0</v>
      </c>
      <c r="K1729" s="52">
        <f ca="1">SUMIFS(OUT!$F$2:$F$11000,OUT!$H$2:$H$11000,H1729,OUT!$D$2:$D$11000,"Out",OUT!$E$2:$E$11000,"Fix")</f>
        <v>0</v>
      </c>
      <c r="L1729" s="52">
        <f ca="1">SUMIFS(OUT!$F$2:$F$11000,OUT!$H$2:$H$11000,H1729,OUT!$D$2:$D$11000,"Out",OUT!$E$2:$E$11000,"Bathroom")</f>
        <v>0</v>
      </c>
      <c r="M1729" s="52">
        <f ca="1">SUMIFS(OUT!$F$2:$F$11000,OUT!$H$2:$H$11000,H1729,OUT!$D$2:$D$11000,"Out",OUT!$E$2:$E$11000,"Alfa")</f>
        <v>0</v>
      </c>
      <c r="N1729" s="52" t="e">
        <f>SUMIFS(OUT!$F$2:$F$11000,OUT!$H$2:$H$101007,H1729,OUT!$D$2:$D$11000,"Out",OUT!$E$2:$E$11000,"Jajan")</f>
        <v>#VALUE!</v>
      </c>
      <c r="O1729" s="52">
        <f ca="1">SUMIFS(OUT!$F$2:$F$11000,OUT!$H$2:$H$11000,H1729,OUT!$D$2:$D$11000,"Out",OUT!$E$2:$E$11000,"Kitchen")</f>
        <v>0</v>
      </c>
      <c r="P1729" s="52">
        <f ca="1">SUMIFS(OUT!$F$2:$F$11000,OUT!$H$2:$H$11000,H1729,OUT!$D$2:$D$11000,"Out",OUT!$E$2:$E$11000,"Loandry")</f>
        <v>0</v>
      </c>
      <c r="Q1729" s="52">
        <f ca="1">SUMIFS(OUT!$F$2:$F$11000,OUT!$H$2:$H$11000,H1729,OUT!$D$2:$D$11000,"Out",OUT!$E$2:$E$11000,"Mio")</f>
        <v>0</v>
      </c>
      <c r="R1729" s="52">
        <f ca="1">SUMIFS(OUT!$F$2:$F$11000,OUT!$H$2:$H$11000,H1729,OUT!$D$2:$D$11000,"Out",OUT!$E$2:$E$11000,"Sedekah")</f>
        <v>0</v>
      </c>
      <c r="S1729" s="52">
        <f ca="1">SUMIFS(OUT!$F$2:$F$11000,OUT!$H$2:$H$11000,H1729,OUT!$D$2:$D$11000,"Out",OUT!$E$2:$E$11000,"Zela")</f>
        <v>0</v>
      </c>
      <c r="T1729" s="52">
        <f ca="1">SUMIFS(OUT!$F$2:$F$11000,OUT!$H$2:$H$11000,H1729,OUT!$D$2:$D$11000,"Out",OUT!$E$2:$E$11000,"Iqbal")</f>
        <v>0</v>
      </c>
    </row>
    <row r="1730" spans="7:20" x14ac:dyDescent="0.2">
      <c r="G1730" s="50"/>
      <c r="H1730" s="51" t="str">
        <f t="shared" si="0"/>
        <v/>
      </c>
      <c r="I1730" s="52" t="e">
        <f>SUMIFS(OUT!$F$2:$F$11000,OUT!$H$2:$H$11000,H1730,OUT!$D$2:$D$101007,"In")</f>
        <v>#VALUE!</v>
      </c>
      <c r="J1730" s="52">
        <f ca="1">SUMIFS(OUT!$F$2:$F$11000,OUT!$H$2:$H$11000,H1730,OUT!$D$2:$D$11000,"Out")</f>
        <v>0</v>
      </c>
      <c r="K1730" s="52">
        <f ca="1">SUMIFS(OUT!$F$2:$F$11000,OUT!$H$2:$H$11000,H1730,OUT!$D$2:$D$11000,"Out",OUT!$E$2:$E$11000,"Fix")</f>
        <v>0</v>
      </c>
      <c r="L1730" s="52">
        <f ca="1">SUMIFS(OUT!$F$2:$F$11000,OUT!$H$2:$H$11000,H1730,OUT!$D$2:$D$11000,"Out",OUT!$E$2:$E$11000,"Bathroom")</f>
        <v>0</v>
      </c>
      <c r="M1730" s="52">
        <f ca="1">SUMIFS(OUT!$F$2:$F$11000,OUT!$H$2:$H$11000,H1730,OUT!$D$2:$D$11000,"Out",OUT!$E$2:$E$11000,"Alfa")</f>
        <v>0</v>
      </c>
      <c r="N1730" s="52" t="e">
        <f>SUMIFS(OUT!$F$2:$F$11000,OUT!$H$2:$H$101007,H1730,OUT!$D$2:$D$11000,"Out",OUT!$E$2:$E$11000,"Jajan")</f>
        <v>#VALUE!</v>
      </c>
      <c r="O1730" s="52">
        <f ca="1">SUMIFS(OUT!$F$2:$F$11000,OUT!$H$2:$H$11000,H1730,OUT!$D$2:$D$11000,"Out",OUT!$E$2:$E$11000,"Kitchen")</f>
        <v>0</v>
      </c>
      <c r="P1730" s="52">
        <f ca="1">SUMIFS(OUT!$F$2:$F$11000,OUT!$H$2:$H$11000,H1730,OUT!$D$2:$D$11000,"Out",OUT!$E$2:$E$11000,"Loandry")</f>
        <v>0</v>
      </c>
      <c r="Q1730" s="52">
        <f ca="1">SUMIFS(OUT!$F$2:$F$11000,OUT!$H$2:$H$11000,H1730,OUT!$D$2:$D$11000,"Out",OUT!$E$2:$E$11000,"Mio")</f>
        <v>0</v>
      </c>
      <c r="R1730" s="52">
        <f ca="1">SUMIFS(OUT!$F$2:$F$11000,OUT!$H$2:$H$11000,H1730,OUT!$D$2:$D$11000,"Out",OUT!$E$2:$E$11000,"Sedekah")</f>
        <v>0</v>
      </c>
      <c r="S1730" s="52">
        <f ca="1">SUMIFS(OUT!$F$2:$F$11000,OUT!$H$2:$H$11000,H1730,OUT!$D$2:$D$11000,"Out",OUT!$E$2:$E$11000,"Zela")</f>
        <v>0</v>
      </c>
      <c r="T1730" s="52">
        <f ca="1">SUMIFS(OUT!$F$2:$F$11000,OUT!$H$2:$H$11000,H1730,OUT!$D$2:$D$11000,"Out",OUT!$E$2:$E$11000,"Iqbal")</f>
        <v>0</v>
      </c>
    </row>
    <row r="1731" spans="7:20" x14ac:dyDescent="0.2">
      <c r="G1731" s="50"/>
      <c r="H1731" s="51" t="str">
        <f t="shared" si="0"/>
        <v/>
      </c>
      <c r="I1731" s="52" t="e">
        <f>SUMIFS(OUT!$F$2:$F$11000,OUT!$H$2:$H$11000,H1731,OUT!$D$2:$D$101007,"In")</f>
        <v>#VALUE!</v>
      </c>
      <c r="J1731" s="52">
        <f ca="1">SUMIFS(OUT!$F$2:$F$11000,OUT!$H$2:$H$11000,H1731,OUT!$D$2:$D$11000,"Out")</f>
        <v>0</v>
      </c>
      <c r="K1731" s="52">
        <f ca="1">SUMIFS(OUT!$F$2:$F$11000,OUT!$H$2:$H$11000,H1731,OUT!$D$2:$D$11000,"Out",OUT!$E$2:$E$11000,"Fix")</f>
        <v>0</v>
      </c>
      <c r="L1731" s="52">
        <f ca="1">SUMIFS(OUT!$F$2:$F$11000,OUT!$H$2:$H$11000,H1731,OUT!$D$2:$D$11000,"Out",OUT!$E$2:$E$11000,"Bathroom")</f>
        <v>0</v>
      </c>
      <c r="M1731" s="52">
        <f ca="1">SUMIFS(OUT!$F$2:$F$11000,OUT!$H$2:$H$11000,H1731,OUT!$D$2:$D$11000,"Out",OUT!$E$2:$E$11000,"Alfa")</f>
        <v>0</v>
      </c>
      <c r="N1731" s="52" t="e">
        <f>SUMIFS(OUT!$F$2:$F$11000,OUT!$H$2:$H$101007,H1731,OUT!$D$2:$D$11000,"Out",OUT!$E$2:$E$11000,"Jajan")</f>
        <v>#VALUE!</v>
      </c>
      <c r="O1731" s="52">
        <f ca="1">SUMIFS(OUT!$F$2:$F$11000,OUT!$H$2:$H$11000,H1731,OUT!$D$2:$D$11000,"Out",OUT!$E$2:$E$11000,"Kitchen")</f>
        <v>0</v>
      </c>
      <c r="P1731" s="52">
        <f ca="1">SUMIFS(OUT!$F$2:$F$11000,OUT!$H$2:$H$11000,H1731,OUT!$D$2:$D$11000,"Out",OUT!$E$2:$E$11000,"Loandry")</f>
        <v>0</v>
      </c>
      <c r="Q1731" s="52">
        <f ca="1">SUMIFS(OUT!$F$2:$F$11000,OUT!$H$2:$H$11000,H1731,OUT!$D$2:$D$11000,"Out",OUT!$E$2:$E$11000,"Mio")</f>
        <v>0</v>
      </c>
      <c r="R1731" s="52">
        <f ca="1">SUMIFS(OUT!$F$2:$F$11000,OUT!$H$2:$H$11000,H1731,OUT!$D$2:$D$11000,"Out",OUT!$E$2:$E$11000,"Sedekah")</f>
        <v>0</v>
      </c>
      <c r="S1731" s="52">
        <f ca="1">SUMIFS(OUT!$F$2:$F$11000,OUT!$H$2:$H$11000,H1731,OUT!$D$2:$D$11000,"Out",OUT!$E$2:$E$11000,"Zela")</f>
        <v>0</v>
      </c>
      <c r="T1731" s="52">
        <f ca="1">SUMIFS(OUT!$F$2:$F$11000,OUT!$H$2:$H$11000,H1731,OUT!$D$2:$D$11000,"Out",OUT!$E$2:$E$11000,"Iqbal")</f>
        <v>0</v>
      </c>
    </row>
    <row r="1732" spans="7:20" x14ac:dyDescent="0.2">
      <c r="G1732" s="50"/>
      <c r="H1732" s="51" t="str">
        <f t="shared" si="0"/>
        <v/>
      </c>
      <c r="I1732" s="52" t="e">
        <f>SUMIFS(OUT!$F$2:$F$11000,OUT!$H$2:$H$11000,H1732,OUT!$D$2:$D$101007,"In")</f>
        <v>#VALUE!</v>
      </c>
      <c r="J1732" s="52">
        <f ca="1">SUMIFS(OUT!$F$2:$F$11000,OUT!$H$2:$H$11000,H1732,OUT!$D$2:$D$11000,"Out")</f>
        <v>0</v>
      </c>
      <c r="K1732" s="52">
        <f ca="1">SUMIFS(OUT!$F$2:$F$11000,OUT!$H$2:$H$11000,H1732,OUT!$D$2:$D$11000,"Out",OUT!$E$2:$E$11000,"Fix")</f>
        <v>0</v>
      </c>
      <c r="L1732" s="52">
        <f ca="1">SUMIFS(OUT!$F$2:$F$11000,OUT!$H$2:$H$11000,H1732,OUT!$D$2:$D$11000,"Out",OUT!$E$2:$E$11000,"Bathroom")</f>
        <v>0</v>
      </c>
      <c r="M1732" s="52">
        <f ca="1">SUMIFS(OUT!$F$2:$F$11000,OUT!$H$2:$H$11000,H1732,OUT!$D$2:$D$11000,"Out",OUT!$E$2:$E$11000,"Alfa")</f>
        <v>0</v>
      </c>
      <c r="N1732" s="52" t="e">
        <f>SUMIFS(OUT!$F$2:$F$11000,OUT!$H$2:$H$101007,H1732,OUT!$D$2:$D$11000,"Out",OUT!$E$2:$E$11000,"Jajan")</f>
        <v>#VALUE!</v>
      </c>
      <c r="O1732" s="52">
        <f ca="1">SUMIFS(OUT!$F$2:$F$11000,OUT!$H$2:$H$11000,H1732,OUT!$D$2:$D$11000,"Out",OUT!$E$2:$E$11000,"Kitchen")</f>
        <v>0</v>
      </c>
      <c r="P1732" s="52">
        <f ca="1">SUMIFS(OUT!$F$2:$F$11000,OUT!$H$2:$H$11000,H1732,OUT!$D$2:$D$11000,"Out",OUT!$E$2:$E$11000,"Loandry")</f>
        <v>0</v>
      </c>
      <c r="Q1732" s="52">
        <f ca="1">SUMIFS(OUT!$F$2:$F$11000,OUT!$H$2:$H$11000,H1732,OUT!$D$2:$D$11000,"Out",OUT!$E$2:$E$11000,"Mio")</f>
        <v>0</v>
      </c>
      <c r="R1732" s="52">
        <f ca="1">SUMIFS(OUT!$F$2:$F$11000,OUT!$H$2:$H$11000,H1732,OUT!$D$2:$D$11000,"Out",OUT!$E$2:$E$11000,"Sedekah")</f>
        <v>0</v>
      </c>
      <c r="S1732" s="52">
        <f ca="1">SUMIFS(OUT!$F$2:$F$11000,OUT!$H$2:$H$11000,H1732,OUT!$D$2:$D$11000,"Out",OUT!$E$2:$E$11000,"Zela")</f>
        <v>0</v>
      </c>
      <c r="T1732" s="52">
        <f ca="1">SUMIFS(OUT!$F$2:$F$11000,OUT!$H$2:$H$11000,H1732,OUT!$D$2:$D$11000,"Out",OUT!$E$2:$E$11000,"Iqbal")</f>
        <v>0</v>
      </c>
    </row>
    <row r="1733" spans="7:20" x14ac:dyDescent="0.2">
      <c r="G1733" s="50"/>
      <c r="H1733" s="51" t="str">
        <f t="shared" si="0"/>
        <v/>
      </c>
      <c r="I1733" s="52" t="e">
        <f>SUMIFS(OUT!$F$2:$F$11000,OUT!$H$2:$H$11000,H1733,OUT!$D$2:$D$101007,"In")</f>
        <v>#VALUE!</v>
      </c>
      <c r="J1733" s="52">
        <f ca="1">SUMIFS(OUT!$F$2:$F$11000,OUT!$H$2:$H$11000,H1733,OUT!$D$2:$D$11000,"Out")</f>
        <v>0</v>
      </c>
      <c r="K1733" s="52">
        <f ca="1">SUMIFS(OUT!$F$2:$F$11000,OUT!$H$2:$H$11000,H1733,OUT!$D$2:$D$11000,"Out",OUT!$E$2:$E$11000,"Fix")</f>
        <v>0</v>
      </c>
      <c r="L1733" s="52">
        <f ca="1">SUMIFS(OUT!$F$2:$F$11000,OUT!$H$2:$H$11000,H1733,OUT!$D$2:$D$11000,"Out",OUT!$E$2:$E$11000,"Bathroom")</f>
        <v>0</v>
      </c>
      <c r="M1733" s="52">
        <f ca="1">SUMIFS(OUT!$F$2:$F$11000,OUT!$H$2:$H$11000,H1733,OUT!$D$2:$D$11000,"Out",OUT!$E$2:$E$11000,"Alfa")</f>
        <v>0</v>
      </c>
      <c r="N1733" s="52" t="e">
        <f>SUMIFS(OUT!$F$2:$F$11000,OUT!$H$2:$H$101007,H1733,OUT!$D$2:$D$11000,"Out",OUT!$E$2:$E$11000,"Jajan")</f>
        <v>#VALUE!</v>
      </c>
      <c r="O1733" s="52">
        <f ca="1">SUMIFS(OUT!$F$2:$F$11000,OUT!$H$2:$H$11000,H1733,OUT!$D$2:$D$11000,"Out",OUT!$E$2:$E$11000,"Kitchen")</f>
        <v>0</v>
      </c>
      <c r="P1733" s="52">
        <f ca="1">SUMIFS(OUT!$F$2:$F$11000,OUT!$H$2:$H$11000,H1733,OUT!$D$2:$D$11000,"Out",OUT!$E$2:$E$11000,"Loandry")</f>
        <v>0</v>
      </c>
      <c r="Q1733" s="52">
        <f ca="1">SUMIFS(OUT!$F$2:$F$11000,OUT!$H$2:$H$11000,H1733,OUT!$D$2:$D$11000,"Out",OUT!$E$2:$E$11000,"Mio")</f>
        <v>0</v>
      </c>
      <c r="R1733" s="52">
        <f ca="1">SUMIFS(OUT!$F$2:$F$11000,OUT!$H$2:$H$11000,H1733,OUT!$D$2:$D$11000,"Out",OUT!$E$2:$E$11000,"Sedekah")</f>
        <v>0</v>
      </c>
      <c r="S1733" s="52">
        <f ca="1">SUMIFS(OUT!$F$2:$F$11000,OUT!$H$2:$H$11000,H1733,OUT!$D$2:$D$11000,"Out",OUT!$E$2:$E$11000,"Zela")</f>
        <v>0</v>
      </c>
      <c r="T1733" s="52">
        <f ca="1">SUMIFS(OUT!$F$2:$F$11000,OUT!$H$2:$H$11000,H1733,OUT!$D$2:$D$11000,"Out",OUT!$E$2:$E$11000,"Iqbal")</f>
        <v>0</v>
      </c>
    </row>
    <row r="1734" spans="7:20" x14ac:dyDescent="0.2">
      <c r="G1734" s="50"/>
      <c r="H1734" s="51" t="str">
        <f t="shared" si="0"/>
        <v/>
      </c>
      <c r="I1734" s="52" t="e">
        <f>SUMIFS(OUT!$F$2:$F$11000,OUT!$H$2:$H$11000,H1734,OUT!$D$2:$D$101007,"In")</f>
        <v>#VALUE!</v>
      </c>
      <c r="J1734" s="52">
        <f ca="1">SUMIFS(OUT!$F$2:$F$11000,OUT!$H$2:$H$11000,H1734,OUT!$D$2:$D$11000,"Out")</f>
        <v>0</v>
      </c>
      <c r="K1734" s="52">
        <f ca="1">SUMIFS(OUT!$F$2:$F$11000,OUT!$H$2:$H$11000,H1734,OUT!$D$2:$D$11000,"Out",OUT!$E$2:$E$11000,"Fix")</f>
        <v>0</v>
      </c>
      <c r="L1734" s="52">
        <f ca="1">SUMIFS(OUT!$F$2:$F$11000,OUT!$H$2:$H$11000,H1734,OUT!$D$2:$D$11000,"Out",OUT!$E$2:$E$11000,"Bathroom")</f>
        <v>0</v>
      </c>
      <c r="M1734" s="52">
        <f ca="1">SUMIFS(OUT!$F$2:$F$11000,OUT!$H$2:$H$11000,H1734,OUT!$D$2:$D$11000,"Out",OUT!$E$2:$E$11000,"Alfa")</f>
        <v>0</v>
      </c>
      <c r="N1734" s="52" t="e">
        <f>SUMIFS(OUT!$F$2:$F$11000,OUT!$H$2:$H$101007,H1734,OUT!$D$2:$D$11000,"Out",OUT!$E$2:$E$11000,"Jajan")</f>
        <v>#VALUE!</v>
      </c>
      <c r="O1734" s="52">
        <f ca="1">SUMIFS(OUT!$F$2:$F$11000,OUT!$H$2:$H$11000,H1734,OUT!$D$2:$D$11000,"Out",OUT!$E$2:$E$11000,"Kitchen")</f>
        <v>0</v>
      </c>
      <c r="P1734" s="52">
        <f ca="1">SUMIFS(OUT!$F$2:$F$11000,OUT!$H$2:$H$11000,H1734,OUT!$D$2:$D$11000,"Out",OUT!$E$2:$E$11000,"Loandry")</f>
        <v>0</v>
      </c>
      <c r="Q1734" s="52">
        <f ca="1">SUMIFS(OUT!$F$2:$F$11000,OUT!$H$2:$H$11000,H1734,OUT!$D$2:$D$11000,"Out",OUT!$E$2:$E$11000,"Mio")</f>
        <v>0</v>
      </c>
      <c r="R1734" s="52">
        <f ca="1">SUMIFS(OUT!$F$2:$F$11000,OUT!$H$2:$H$11000,H1734,OUT!$D$2:$D$11000,"Out",OUT!$E$2:$E$11000,"Sedekah")</f>
        <v>0</v>
      </c>
      <c r="S1734" s="52">
        <f ca="1">SUMIFS(OUT!$F$2:$F$11000,OUT!$H$2:$H$11000,H1734,OUT!$D$2:$D$11000,"Out",OUT!$E$2:$E$11000,"Zela")</f>
        <v>0</v>
      </c>
      <c r="T1734" s="52">
        <f ca="1">SUMIFS(OUT!$F$2:$F$11000,OUT!$H$2:$H$11000,H1734,OUT!$D$2:$D$11000,"Out",OUT!$E$2:$E$11000,"Iqbal")</f>
        <v>0</v>
      </c>
    </row>
    <row r="1735" spans="7:20" x14ac:dyDescent="0.2">
      <c r="G1735" s="50"/>
      <c r="H1735" s="51" t="str">
        <f t="shared" si="0"/>
        <v/>
      </c>
      <c r="I1735" s="52" t="e">
        <f>SUMIFS(OUT!$F$2:$F$11000,OUT!$H$2:$H$11000,H1735,OUT!$D$2:$D$101007,"In")</f>
        <v>#VALUE!</v>
      </c>
      <c r="J1735" s="52">
        <f ca="1">SUMIFS(OUT!$F$2:$F$11000,OUT!$H$2:$H$11000,H1735,OUT!$D$2:$D$11000,"Out")</f>
        <v>0</v>
      </c>
      <c r="K1735" s="52">
        <f ca="1">SUMIFS(OUT!$F$2:$F$11000,OUT!$H$2:$H$11000,H1735,OUT!$D$2:$D$11000,"Out",OUT!$E$2:$E$11000,"Fix")</f>
        <v>0</v>
      </c>
      <c r="L1735" s="52">
        <f ca="1">SUMIFS(OUT!$F$2:$F$11000,OUT!$H$2:$H$11000,H1735,OUT!$D$2:$D$11000,"Out",OUT!$E$2:$E$11000,"Bathroom")</f>
        <v>0</v>
      </c>
      <c r="M1735" s="52">
        <f ca="1">SUMIFS(OUT!$F$2:$F$11000,OUT!$H$2:$H$11000,H1735,OUT!$D$2:$D$11000,"Out",OUT!$E$2:$E$11000,"Alfa")</f>
        <v>0</v>
      </c>
      <c r="N1735" s="52" t="e">
        <f>SUMIFS(OUT!$F$2:$F$11000,OUT!$H$2:$H$101007,H1735,OUT!$D$2:$D$11000,"Out",OUT!$E$2:$E$11000,"Jajan")</f>
        <v>#VALUE!</v>
      </c>
      <c r="O1735" s="52">
        <f ca="1">SUMIFS(OUT!$F$2:$F$11000,OUT!$H$2:$H$11000,H1735,OUT!$D$2:$D$11000,"Out",OUT!$E$2:$E$11000,"Kitchen")</f>
        <v>0</v>
      </c>
      <c r="P1735" s="52">
        <f ca="1">SUMIFS(OUT!$F$2:$F$11000,OUT!$H$2:$H$11000,H1735,OUT!$D$2:$D$11000,"Out",OUT!$E$2:$E$11000,"Loandry")</f>
        <v>0</v>
      </c>
      <c r="Q1735" s="52">
        <f ca="1">SUMIFS(OUT!$F$2:$F$11000,OUT!$H$2:$H$11000,H1735,OUT!$D$2:$D$11000,"Out",OUT!$E$2:$E$11000,"Mio")</f>
        <v>0</v>
      </c>
      <c r="R1735" s="52">
        <f ca="1">SUMIFS(OUT!$F$2:$F$11000,OUT!$H$2:$H$11000,H1735,OUT!$D$2:$D$11000,"Out",OUT!$E$2:$E$11000,"Sedekah")</f>
        <v>0</v>
      </c>
      <c r="S1735" s="52">
        <f ca="1">SUMIFS(OUT!$F$2:$F$11000,OUT!$H$2:$H$11000,H1735,OUT!$D$2:$D$11000,"Out",OUT!$E$2:$E$11000,"Zela")</f>
        <v>0</v>
      </c>
      <c r="T1735" s="52">
        <f ca="1">SUMIFS(OUT!$F$2:$F$11000,OUT!$H$2:$H$11000,H1735,OUT!$D$2:$D$11000,"Out",OUT!$E$2:$E$11000,"Iqbal")</f>
        <v>0</v>
      </c>
    </row>
    <row r="1736" spans="7:20" x14ac:dyDescent="0.2">
      <c r="G1736" s="50"/>
      <c r="H1736" s="51" t="str">
        <f t="shared" si="0"/>
        <v/>
      </c>
      <c r="I1736" s="52" t="e">
        <f>SUMIFS(OUT!$F$2:$F$11000,OUT!$H$2:$H$11000,H1736,OUT!$D$2:$D$101007,"In")</f>
        <v>#VALUE!</v>
      </c>
      <c r="J1736" s="52">
        <f ca="1">SUMIFS(OUT!$F$2:$F$11000,OUT!$H$2:$H$11000,H1736,OUT!$D$2:$D$11000,"Out")</f>
        <v>0</v>
      </c>
      <c r="K1736" s="52">
        <f ca="1">SUMIFS(OUT!$F$2:$F$11000,OUT!$H$2:$H$11000,H1736,OUT!$D$2:$D$11000,"Out",OUT!$E$2:$E$11000,"Fix")</f>
        <v>0</v>
      </c>
      <c r="L1736" s="52">
        <f ca="1">SUMIFS(OUT!$F$2:$F$11000,OUT!$H$2:$H$11000,H1736,OUT!$D$2:$D$11000,"Out",OUT!$E$2:$E$11000,"Bathroom")</f>
        <v>0</v>
      </c>
      <c r="M1736" s="52">
        <f ca="1">SUMIFS(OUT!$F$2:$F$11000,OUT!$H$2:$H$11000,H1736,OUT!$D$2:$D$11000,"Out",OUT!$E$2:$E$11000,"Alfa")</f>
        <v>0</v>
      </c>
      <c r="N1736" s="52" t="e">
        <f>SUMIFS(OUT!$F$2:$F$11000,OUT!$H$2:$H$101007,H1736,OUT!$D$2:$D$11000,"Out",OUT!$E$2:$E$11000,"Jajan")</f>
        <v>#VALUE!</v>
      </c>
      <c r="O1736" s="52">
        <f ca="1">SUMIFS(OUT!$F$2:$F$11000,OUT!$H$2:$H$11000,H1736,OUT!$D$2:$D$11000,"Out",OUT!$E$2:$E$11000,"Kitchen")</f>
        <v>0</v>
      </c>
      <c r="P1736" s="52">
        <f ca="1">SUMIFS(OUT!$F$2:$F$11000,OUT!$H$2:$H$11000,H1736,OUT!$D$2:$D$11000,"Out",OUT!$E$2:$E$11000,"Loandry")</f>
        <v>0</v>
      </c>
      <c r="Q1736" s="52">
        <f ca="1">SUMIFS(OUT!$F$2:$F$11000,OUT!$H$2:$H$11000,H1736,OUT!$D$2:$D$11000,"Out",OUT!$E$2:$E$11000,"Mio")</f>
        <v>0</v>
      </c>
      <c r="R1736" s="52">
        <f ca="1">SUMIFS(OUT!$F$2:$F$11000,OUT!$H$2:$H$11000,H1736,OUT!$D$2:$D$11000,"Out",OUT!$E$2:$E$11000,"Sedekah")</f>
        <v>0</v>
      </c>
      <c r="S1736" s="52">
        <f ca="1">SUMIFS(OUT!$F$2:$F$11000,OUT!$H$2:$H$11000,H1736,OUT!$D$2:$D$11000,"Out",OUT!$E$2:$E$11000,"Zela")</f>
        <v>0</v>
      </c>
      <c r="T1736" s="52">
        <f ca="1">SUMIFS(OUT!$F$2:$F$11000,OUT!$H$2:$H$11000,H1736,OUT!$D$2:$D$11000,"Out",OUT!$E$2:$E$11000,"Iqbal")</f>
        <v>0</v>
      </c>
    </row>
    <row r="1737" spans="7:20" x14ac:dyDescent="0.2">
      <c r="G1737" s="50"/>
      <c r="H1737" s="51" t="str">
        <f t="shared" si="0"/>
        <v/>
      </c>
      <c r="I1737" s="52" t="e">
        <f>SUMIFS(OUT!$F$2:$F$11000,OUT!$H$2:$H$11000,H1737,OUT!$D$2:$D$101007,"In")</f>
        <v>#VALUE!</v>
      </c>
      <c r="J1737" s="52">
        <f ca="1">SUMIFS(OUT!$F$2:$F$11000,OUT!$H$2:$H$11000,H1737,OUT!$D$2:$D$11000,"Out")</f>
        <v>0</v>
      </c>
      <c r="K1737" s="52">
        <f ca="1">SUMIFS(OUT!$F$2:$F$11000,OUT!$H$2:$H$11000,H1737,OUT!$D$2:$D$11000,"Out",OUT!$E$2:$E$11000,"Fix")</f>
        <v>0</v>
      </c>
      <c r="L1737" s="52">
        <f ca="1">SUMIFS(OUT!$F$2:$F$11000,OUT!$H$2:$H$11000,H1737,OUT!$D$2:$D$11000,"Out",OUT!$E$2:$E$11000,"Bathroom")</f>
        <v>0</v>
      </c>
      <c r="M1737" s="52">
        <f ca="1">SUMIFS(OUT!$F$2:$F$11000,OUT!$H$2:$H$11000,H1737,OUT!$D$2:$D$11000,"Out",OUT!$E$2:$E$11000,"Alfa")</f>
        <v>0</v>
      </c>
      <c r="N1737" s="52" t="e">
        <f>SUMIFS(OUT!$F$2:$F$11000,OUT!$H$2:$H$101007,H1737,OUT!$D$2:$D$11000,"Out",OUT!$E$2:$E$11000,"Jajan")</f>
        <v>#VALUE!</v>
      </c>
      <c r="O1737" s="52">
        <f ca="1">SUMIFS(OUT!$F$2:$F$11000,OUT!$H$2:$H$11000,H1737,OUT!$D$2:$D$11000,"Out",OUT!$E$2:$E$11000,"Kitchen")</f>
        <v>0</v>
      </c>
      <c r="P1737" s="52">
        <f ca="1">SUMIFS(OUT!$F$2:$F$11000,OUT!$H$2:$H$11000,H1737,OUT!$D$2:$D$11000,"Out",OUT!$E$2:$E$11000,"Loandry")</f>
        <v>0</v>
      </c>
      <c r="Q1737" s="52">
        <f ca="1">SUMIFS(OUT!$F$2:$F$11000,OUT!$H$2:$H$11000,H1737,OUT!$D$2:$D$11000,"Out",OUT!$E$2:$E$11000,"Mio")</f>
        <v>0</v>
      </c>
      <c r="R1737" s="52">
        <f ca="1">SUMIFS(OUT!$F$2:$F$11000,OUT!$H$2:$H$11000,H1737,OUT!$D$2:$D$11000,"Out",OUT!$E$2:$E$11000,"Sedekah")</f>
        <v>0</v>
      </c>
      <c r="S1737" s="52">
        <f ca="1">SUMIFS(OUT!$F$2:$F$11000,OUT!$H$2:$H$11000,H1737,OUT!$D$2:$D$11000,"Out",OUT!$E$2:$E$11000,"Zela")</f>
        <v>0</v>
      </c>
      <c r="T1737" s="52">
        <f ca="1">SUMIFS(OUT!$F$2:$F$11000,OUT!$H$2:$H$11000,H1737,OUT!$D$2:$D$11000,"Out",OUT!$E$2:$E$11000,"Iqbal")</f>
        <v>0</v>
      </c>
    </row>
    <row r="1738" spans="7:20" x14ac:dyDescent="0.2">
      <c r="G1738" s="50"/>
      <c r="H1738" s="51" t="str">
        <f t="shared" si="0"/>
        <v/>
      </c>
      <c r="I1738" s="52" t="e">
        <f>SUMIFS(OUT!$F$2:$F$11000,OUT!$H$2:$H$11000,H1738,OUT!$D$2:$D$101007,"In")</f>
        <v>#VALUE!</v>
      </c>
      <c r="J1738" s="52">
        <f ca="1">SUMIFS(OUT!$F$2:$F$11000,OUT!$H$2:$H$11000,H1738,OUT!$D$2:$D$11000,"Out")</f>
        <v>0</v>
      </c>
      <c r="K1738" s="52">
        <f ca="1">SUMIFS(OUT!$F$2:$F$11000,OUT!$H$2:$H$11000,H1738,OUT!$D$2:$D$11000,"Out",OUT!$E$2:$E$11000,"Fix")</f>
        <v>0</v>
      </c>
      <c r="L1738" s="52">
        <f ca="1">SUMIFS(OUT!$F$2:$F$11000,OUT!$H$2:$H$11000,H1738,OUT!$D$2:$D$11000,"Out",OUT!$E$2:$E$11000,"Bathroom")</f>
        <v>0</v>
      </c>
      <c r="M1738" s="52">
        <f ca="1">SUMIFS(OUT!$F$2:$F$11000,OUT!$H$2:$H$11000,H1738,OUT!$D$2:$D$11000,"Out",OUT!$E$2:$E$11000,"Alfa")</f>
        <v>0</v>
      </c>
      <c r="N1738" s="52" t="e">
        <f>SUMIFS(OUT!$F$2:$F$11000,OUT!$H$2:$H$101007,H1738,OUT!$D$2:$D$11000,"Out",OUT!$E$2:$E$11000,"Jajan")</f>
        <v>#VALUE!</v>
      </c>
      <c r="O1738" s="52">
        <f ca="1">SUMIFS(OUT!$F$2:$F$11000,OUT!$H$2:$H$11000,H1738,OUT!$D$2:$D$11000,"Out",OUT!$E$2:$E$11000,"Kitchen")</f>
        <v>0</v>
      </c>
      <c r="P1738" s="52">
        <f ca="1">SUMIFS(OUT!$F$2:$F$11000,OUT!$H$2:$H$11000,H1738,OUT!$D$2:$D$11000,"Out",OUT!$E$2:$E$11000,"Loandry")</f>
        <v>0</v>
      </c>
      <c r="Q1738" s="52">
        <f ca="1">SUMIFS(OUT!$F$2:$F$11000,OUT!$H$2:$H$11000,H1738,OUT!$D$2:$D$11000,"Out",OUT!$E$2:$E$11000,"Mio")</f>
        <v>0</v>
      </c>
      <c r="R1738" s="52">
        <f ca="1">SUMIFS(OUT!$F$2:$F$11000,OUT!$H$2:$H$11000,H1738,OUT!$D$2:$D$11000,"Out",OUT!$E$2:$E$11000,"Sedekah")</f>
        <v>0</v>
      </c>
      <c r="S1738" s="52">
        <f ca="1">SUMIFS(OUT!$F$2:$F$11000,OUT!$H$2:$H$11000,H1738,OUT!$D$2:$D$11000,"Out",OUT!$E$2:$E$11000,"Zela")</f>
        <v>0</v>
      </c>
      <c r="T1738" s="52">
        <f ca="1">SUMIFS(OUT!$F$2:$F$11000,OUT!$H$2:$H$11000,H1738,OUT!$D$2:$D$11000,"Out",OUT!$E$2:$E$11000,"Iqbal")</f>
        <v>0</v>
      </c>
    </row>
    <row r="1739" spans="7:20" x14ac:dyDescent="0.2">
      <c r="G1739" s="50"/>
      <c r="H1739" s="51" t="str">
        <f t="shared" si="0"/>
        <v/>
      </c>
      <c r="I1739" s="52" t="e">
        <f>SUMIFS(OUT!$F$2:$F$11000,OUT!$H$2:$H$11000,H1739,OUT!$D$2:$D$101007,"In")</f>
        <v>#VALUE!</v>
      </c>
      <c r="J1739" s="52">
        <f ca="1">SUMIFS(OUT!$F$2:$F$11000,OUT!$H$2:$H$11000,H1739,OUT!$D$2:$D$11000,"Out")</f>
        <v>0</v>
      </c>
      <c r="K1739" s="52">
        <f ca="1">SUMIFS(OUT!$F$2:$F$11000,OUT!$H$2:$H$11000,H1739,OUT!$D$2:$D$11000,"Out",OUT!$E$2:$E$11000,"Fix")</f>
        <v>0</v>
      </c>
      <c r="L1739" s="52">
        <f ca="1">SUMIFS(OUT!$F$2:$F$11000,OUT!$H$2:$H$11000,H1739,OUT!$D$2:$D$11000,"Out",OUT!$E$2:$E$11000,"Bathroom")</f>
        <v>0</v>
      </c>
      <c r="M1739" s="52">
        <f ca="1">SUMIFS(OUT!$F$2:$F$11000,OUT!$H$2:$H$11000,H1739,OUT!$D$2:$D$11000,"Out",OUT!$E$2:$E$11000,"Alfa")</f>
        <v>0</v>
      </c>
      <c r="N1739" s="52" t="e">
        <f>SUMIFS(OUT!$F$2:$F$11000,OUT!$H$2:$H$101007,H1739,OUT!$D$2:$D$11000,"Out",OUT!$E$2:$E$11000,"Jajan")</f>
        <v>#VALUE!</v>
      </c>
      <c r="O1739" s="52">
        <f ca="1">SUMIFS(OUT!$F$2:$F$11000,OUT!$H$2:$H$11000,H1739,OUT!$D$2:$D$11000,"Out",OUT!$E$2:$E$11000,"Kitchen")</f>
        <v>0</v>
      </c>
      <c r="P1739" s="52">
        <f ca="1">SUMIFS(OUT!$F$2:$F$11000,OUT!$H$2:$H$11000,H1739,OUT!$D$2:$D$11000,"Out",OUT!$E$2:$E$11000,"Loandry")</f>
        <v>0</v>
      </c>
      <c r="Q1739" s="52">
        <f ca="1">SUMIFS(OUT!$F$2:$F$11000,OUT!$H$2:$H$11000,H1739,OUT!$D$2:$D$11000,"Out",OUT!$E$2:$E$11000,"Mio")</f>
        <v>0</v>
      </c>
      <c r="R1739" s="52">
        <f ca="1">SUMIFS(OUT!$F$2:$F$11000,OUT!$H$2:$H$11000,H1739,OUT!$D$2:$D$11000,"Out",OUT!$E$2:$E$11000,"Sedekah")</f>
        <v>0</v>
      </c>
      <c r="S1739" s="52">
        <f ca="1">SUMIFS(OUT!$F$2:$F$11000,OUT!$H$2:$H$11000,H1739,OUT!$D$2:$D$11000,"Out",OUT!$E$2:$E$11000,"Zela")</f>
        <v>0</v>
      </c>
      <c r="T1739" s="52">
        <f ca="1">SUMIFS(OUT!$F$2:$F$11000,OUT!$H$2:$H$11000,H1739,OUT!$D$2:$D$11000,"Out",OUT!$E$2:$E$11000,"Iqbal")</f>
        <v>0</v>
      </c>
    </row>
    <row r="1740" spans="7:20" x14ac:dyDescent="0.2">
      <c r="G1740" s="50"/>
      <c r="H1740" s="51" t="str">
        <f t="shared" si="0"/>
        <v/>
      </c>
      <c r="I1740" s="52" t="e">
        <f>SUMIFS(OUT!$F$2:$F$11000,OUT!$H$2:$H$11000,H1740,OUT!$D$2:$D$101007,"In")</f>
        <v>#VALUE!</v>
      </c>
      <c r="J1740" s="52">
        <f ca="1">SUMIFS(OUT!$F$2:$F$11000,OUT!$H$2:$H$11000,H1740,OUT!$D$2:$D$11000,"Out")</f>
        <v>0</v>
      </c>
      <c r="K1740" s="52">
        <f ca="1">SUMIFS(OUT!$F$2:$F$11000,OUT!$H$2:$H$11000,H1740,OUT!$D$2:$D$11000,"Out",OUT!$E$2:$E$11000,"Fix")</f>
        <v>0</v>
      </c>
      <c r="L1740" s="52">
        <f ca="1">SUMIFS(OUT!$F$2:$F$11000,OUT!$H$2:$H$11000,H1740,OUT!$D$2:$D$11000,"Out",OUT!$E$2:$E$11000,"Bathroom")</f>
        <v>0</v>
      </c>
      <c r="M1740" s="52">
        <f ca="1">SUMIFS(OUT!$F$2:$F$11000,OUT!$H$2:$H$11000,H1740,OUT!$D$2:$D$11000,"Out",OUT!$E$2:$E$11000,"Alfa")</f>
        <v>0</v>
      </c>
      <c r="N1740" s="52" t="e">
        <f>SUMIFS(OUT!$F$2:$F$11000,OUT!$H$2:$H$101007,H1740,OUT!$D$2:$D$11000,"Out",OUT!$E$2:$E$11000,"Jajan")</f>
        <v>#VALUE!</v>
      </c>
      <c r="O1740" s="52">
        <f ca="1">SUMIFS(OUT!$F$2:$F$11000,OUT!$H$2:$H$11000,H1740,OUT!$D$2:$D$11000,"Out",OUT!$E$2:$E$11000,"Kitchen")</f>
        <v>0</v>
      </c>
      <c r="P1740" s="52">
        <f ca="1">SUMIFS(OUT!$F$2:$F$11000,OUT!$H$2:$H$11000,H1740,OUT!$D$2:$D$11000,"Out",OUT!$E$2:$E$11000,"Loandry")</f>
        <v>0</v>
      </c>
      <c r="Q1740" s="52">
        <f ca="1">SUMIFS(OUT!$F$2:$F$11000,OUT!$H$2:$H$11000,H1740,OUT!$D$2:$D$11000,"Out",OUT!$E$2:$E$11000,"Mio")</f>
        <v>0</v>
      </c>
      <c r="R1740" s="52">
        <f ca="1">SUMIFS(OUT!$F$2:$F$11000,OUT!$H$2:$H$11000,H1740,OUT!$D$2:$D$11000,"Out",OUT!$E$2:$E$11000,"Sedekah")</f>
        <v>0</v>
      </c>
      <c r="S1740" s="52">
        <f ca="1">SUMIFS(OUT!$F$2:$F$11000,OUT!$H$2:$H$11000,H1740,OUT!$D$2:$D$11000,"Out",OUT!$E$2:$E$11000,"Zela")</f>
        <v>0</v>
      </c>
      <c r="T1740" s="52">
        <f ca="1">SUMIFS(OUT!$F$2:$F$11000,OUT!$H$2:$H$11000,H1740,OUT!$D$2:$D$11000,"Out",OUT!$E$2:$E$11000,"Iqbal")</f>
        <v>0</v>
      </c>
    </row>
    <row r="1741" spans="7:20" x14ac:dyDescent="0.2">
      <c r="G1741" s="50"/>
      <c r="H1741" s="51" t="str">
        <f t="shared" si="0"/>
        <v/>
      </c>
      <c r="I1741" s="52" t="e">
        <f>SUMIFS(OUT!$F$2:$F$11000,OUT!$H$2:$H$11000,H1741,OUT!$D$2:$D$101007,"In")</f>
        <v>#VALUE!</v>
      </c>
      <c r="J1741" s="52">
        <f ca="1">SUMIFS(OUT!$F$2:$F$11000,OUT!$H$2:$H$11000,H1741,OUT!$D$2:$D$11000,"Out")</f>
        <v>0</v>
      </c>
      <c r="K1741" s="52">
        <f ca="1">SUMIFS(OUT!$F$2:$F$11000,OUT!$H$2:$H$11000,H1741,OUT!$D$2:$D$11000,"Out",OUT!$E$2:$E$11000,"Fix")</f>
        <v>0</v>
      </c>
      <c r="L1741" s="52">
        <f ca="1">SUMIFS(OUT!$F$2:$F$11000,OUT!$H$2:$H$11000,H1741,OUT!$D$2:$D$11000,"Out",OUT!$E$2:$E$11000,"Bathroom")</f>
        <v>0</v>
      </c>
      <c r="M1741" s="52">
        <f ca="1">SUMIFS(OUT!$F$2:$F$11000,OUT!$H$2:$H$11000,H1741,OUT!$D$2:$D$11000,"Out",OUT!$E$2:$E$11000,"Alfa")</f>
        <v>0</v>
      </c>
      <c r="N1741" s="52" t="e">
        <f>SUMIFS(OUT!$F$2:$F$11000,OUT!$H$2:$H$101007,H1741,OUT!$D$2:$D$11000,"Out",OUT!$E$2:$E$11000,"Jajan")</f>
        <v>#VALUE!</v>
      </c>
      <c r="O1741" s="52">
        <f ca="1">SUMIFS(OUT!$F$2:$F$11000,OUT!$H$2:$H$11000,H1741,OUT!$D$2:$D$11000,"Out",OUT!$E$2:$E$11000,"Kitchen")</f>
        <v>0</v>
      </c>
      <c r="P1741" s="52">
        <f ca="1">SUMIFS(OUT!$F$2:$F$11000,OUT!$H$2:$H$11000,H1741,OUT!$D$2:$D$11000,"Out",OUT!$E$2:$E$11000,"Loandry")</f>
        <v>0</v>
      </c>
      <c r="Q1741" s="52">
        <f ca="1">SUMIFS(OUT!$F$2:$F$11000,OUT!$H$2:$H$11000,H1741,OUT!$D$2:$D$11000,"Out",OUT!$E$2:$E$11000,"Mio")</f>
        <v>0</v>
      </c>
      <c r="R1741" s="52">
        <f ca="1">SUMIFS(OUT!$F$2:$F$11000,OUT!$H$2:$H$11000,H1741,OUT!$D$2:$D$11000,"Out",OUT!$E$2:$E$11000,"Sedekah")</f>
        <v>0</v>
      </c>
      <c r="S1741" s="52">
        <f ca="1">SUMIFS(OUT!$F$2:$F$11000,OUT!$H$2:$H$11000,H1741,OUT!$D$2:$D$11000,"Out",OUT!$E$2:$E$11000,"Zela")</f>
        <v>0</v>
      </c>
      <c r="T1741" s="52">
        <f ca="1">SUMIFS(OUT!$F$2:$F$11000,OUT!$H$2:$H$11000,H1741,OUT!$D$2:$D$11000,"Out",OUT!$E$2:$E$11000,"Iqbal")</f>
        <v>0</v>
      </c>
    </row>
    <row r="1742" spans="7:20" x14ac:dyDescent="0.2">
      <c r="G1742" s="50"/>
      <c r="H1742" s="51" t="str">
        <f t="shared" si="0"/>
        <v/>
      </c>
      <c r="I1742" s="52" t="e">
        <f>SUMIFS(OUT!$F$2:$F$11000,OUT!$H$2:$H$11000,H1742,OUT!$D$2:$D$101007,"In")</f>
        <v>#VALUE!</v>
      </c>
      <c r="J1742" s="52">
        <f ca="1">SUMIFS(OUT!$F$2:$F$11000,OUT!$H$2:$H$11000,H1742,OUT!$D$2:$D$11000,"Out")</f>
        <v>0</v>
      </c>
      <c r="K1742" s="52">
        <f ca="1">SUMIFS(OUT!$F$2:$F$11000,OUT!$H$2:$H$11000,H1742,OUT!$D$2:$D$11000,"Out",OUT!$E$2:$E$11000,"Fix")</f>
        <v>0</v>
      </c>
      <c r="L1742" s="52">
        <f ca="1">SUMIFS(OUT!$F$2:$F$11000,OUT!$H$2:$H$11000,H1742,OUT!$D$2:$D$11000,"Out",OUT!$E$2:$E$11000,"Bathroom")</f>
        <v>0</v>
      </c>
      <c r="M1742" s="52">
        <f ca="1">SUMIFS(OUT!$F$2:$F$11000,OUT!$H$2:$H$11000,H1742,OUT!$D$2:$D$11000,"Out",OUT!$E$2:$E$11000,"Alfa")</f>
        <v>0</v>
      </c>
      <c r="N1742" s="52" t="e">
        <f>SUMIFS(OUT!$F$2:$F$11000,OUT!$H$2:$H$101007,H1742,OUT!$D$2:$D$11000,"Out",OUT!$E$2:$E$11000,"Jajan")</f>
        <v>#VALUE!</v>
      </c>
      <c r="O1742" s="52">
        <f ca="1">SUMIFS(OUT!$F$2:$F$11000,OUT!$H$2:$H$11000,H1742,OUT!$D$2:$D$11000,"Out",OUT!$E$2:$E$11000,"Kitchen")</f>
        <v>0</v>
      </c>
      <c r="P1742" s="52">
        <f ca="1">SUMIFS(OUT!$F$2:$F$11000,OUT!$H$2:$H$11000,H1742,OUT!$D$2:$D$11000,"Out",OUT!$E$2:$E$11000,"Loandry")</f>
        <v>0</v>
      </c>
      <c r="Q1742" s="52">
        <f ca="1">SUMIFS(OUT!$F$2:$F$11000,OUT!$H$2:$H$11000,H1742,OUT!$D$2:$D$11000,"Out",OUT!$E$2:$E$11000,"Mio")</f>
        <v>0</v>
      </c>
      <c r="R1742" s="52">
        <f ca="1">SUMIFS(OUT!$F$2:$F$11000,OUT!$H$2:$H$11000,H1742,OUT!$D$2:$D$11000,"Out",OUT!$E$2:$E$11000,"Sedekah")</f>
        <v>0</v>
      </c>
      <c r="S1742" s="52">
        <f ca="1">SUMIFS(OUT!$F$2:$F$11000,OUT!$H$2:$H$11000,H1742,OUT!$D$2:$D$11000,"Out",OUT!$E$2:$E$11000,"Zela")</f>
        <v>0</v>
      </c>
      <c r="T1742" s="52">
        <f ca="1">SUMIFS(OUT!$F$2:$F$11000,OUT!$H$2:$H$11000,H1742,OUT!$D$2:$D$11000,"Out",OUT!$E$2:$E$11000,"Iqbal")</f>
        <v>0</v>
      </c>
    </row>
    <row r="1743" spans="7:20" x14ac:dyDescent="0.2">
      <c r="G1743" s="50"/>
      <c r="H1743" s="51" t="str">
        <f t="shared" si="0"/>
        <v/>
      </c>
      <c r="I1743" s="52" t="e">
        <f>SUMIFS(OUT!$F$2:$F$11000,OUT!$H$2:$H$11000,H1743,OUT!$D$2:$D$101007,"In")</f>
        <v>#VALUE!</v>
      </c>
      <c r="J1743" s="52">
        <f ca="1">SUMIFS(OUT!$F$2:$F$11000,OUT!$H$2:$H$11000,H1743,OUT!$D$2:$D$11000,"Out")</f>
        <v>0</v>
      </c>
      <c r="K1743" s="52">
        <f ca="1">SUMIFS(OUT!$F$2:$F$11000,OUT!$H$2:$H$11000,H1743,OUT!$D$2:$D$11000,"Out",OUT!$E$2:$E$11000,"Fix")</f>
        <v>0</v>
      </c>
      <c r="L1743" s="52">
        <f ca="1">SUMIFS(OUT!$F$2:$F$11000,OUT!$H$2:$H$11000,H1743,OUT!$D$2:$D$11000,"Out",OUT!$E$2:$E$11000,"Bathroom")</f>
        <v>0</v>
      </c>
      <c r="M1743" s="52">
        <f ca="1">SUMIFS(OUT!$F$2:$F$11000,OUT!$H$2:$H$11000,H1743,OUT!$D$2:$D$11000,"Out",OUT!$E$2:$E$11000,"Alfa")</f>
        <v>0</v>
      </c>
      <c r="N1743" s="52" t="e">
        <f>SUMIFS(OUT!$F$2:$F$11000,OUT!$H$2:$H$101007,H1743,OUT!$D$2:$D$11000,"Out",OUT!$E$2:$E$11000,"Jajan")</f>
        <v>#VALUE!</v>
      </c>
      <c r="O1743" s="52">
        <f ca="1">SUMIFS(OUT!$F$2:$F$11000,OUT!$H$2:$H$11000,H1743,OUT!$D$2:$D$11000,"Out",OUT!$E$2:$E$11000,"Kitchen")</f>
        <v>0</v>
      </c>
      <c r="P1743" s="52">
        <f ca="1">SUMIFS(OUT!$F$2:$F$11000,OUT!$H$2:$H$11000,H1743,OUT!$D$2:$D$11000,"Out",OUT!$E$2:$E$11000,"Loandry")</f>
        <v>0</v>
      </c>
      <c r="Q1743" s="52">
        <f ca="1">SUMIFS(OUT!$F$2:$F$11000,OUT!$H$2:$H$11000,H1743,OUT!$D$2:$D$11000,"Out",OUT!$E$2:$E$11000,"Mio")</f>
        <v>0</v>
      </c>
      <c r="R1743" s="52">
        <f ca="1">SUMIFS(OUT!$F$2:$F$11000,OUT!$H$2:$H$11000,H1743,OUT!$D$2:$D$11000,"Out",OUT!$E$2:$E$11000,"Sedekah")</f>
        <v>0</v>
      </c>
      <c r="S1743" s="52">
        <f ca="1">SUMIFS(OUT!$F$2:$F$11000,OUT!$H$2:$H$11000,H1743,OUT!$D$2:$D$11000,"Out",OUT!$E$2:$E$11000,"Zela")</f>
        <v>0</v>
      </c>
      <c r="T1743" s="52">
        <f ca="1">SUMIFS(OUT!$F$2:$F$11000,OUT!$H$2:$H$11000,H1743,OUT!$D$2:$D$11000,"Out",OUT!$E$2:$E$11000,"Iqbal")</f>
        <v>0</v>
      </c>
    </row>
    <row r="1744" spans="7:20" x14ac:dyDescent="0.2">
      <c r="G1744" s="50"/>
      <c r="H1744" s="51" t="str">
        <f t="shared" si="0"/>
        <v/>
      </c>
      <c r="I1744" s="52" t="e">
        <f>SUMIFS(OUT!$F$2:$F$11000,OUT!$H$2:$H$11000,H1744,OUT!$D$2:$D$101007,"In")</f>
        <v>#VALUE!</v>
      </c>
      <c r="J1744" s="52">
        <f ca="1">SUMIFS(OUT!$F$2:$F$11000,OUT!$H$2:$H$11000,H1744,OUT!$D$2:$D$11000,"Out")</f>
        <v>0</v>
      </c>
      <c r="K1744" s="52">
        <f ca="1">SUMIFS(OUT!$F$2:$F$11000,OUT!$H$2:$H$11000,H1744,OUT!$D$2:$D$11000,"Out",OUT!$E$2:$E$11000,"Fix")</f>
        <v>0</v>
      </c>
      <c r="L1744" s="52">
        <f ca="1">SUMIFS(OUT!$F$2:$F$11000,OUT!$H$2:$H$11000,H1744,OUT!$D$2:$D$11000,"Out",OUT!$E$2:$E$11000,"Bathroom")</f>
        <v>0</v>
      </c>
      <c r="M1744" s="52">
        <f ca="1">SUMIFS(OUT!$F$2:$F$11000,OUT!$H$2:$H$11000,H1744,OUT!$D$2:$D$11000,"Out",OUT!$E$2:$E$11000,"Alfa")</f>
        <v>0</v>
      </c>
      <c r="N1744" s="52" t="e">
        <f>SUMIFS(OUT!$F$2:$F$11000,OUT!$H$2:$H$101007,H1744,OUT!$D$2:$D$11000,"Out",OUT!$E$2:$E$11000,"Jajan")</f>
        <v>#VALUE!</v>
      </c>
      <c r="O1744" s="52">
        <f ca="1">SUMIFS(OUT!$F$2:$F$11000,OUT!$H$2:$H$11000,H1744,OUT!$D$2:$D$11000,"Out",OUT!$E$2:$E$11000,"Kitchen")</f>
        <v>0</v>
      </c>
      <c r="P1744" s="52">
        <f ca="1">SUMIFS(OUT!$F$2:$F$11000,OUT!$H$2:$H$11000,H1744,OUT!$D$2:$D$11000,"Out",OUT!$E$2:$E$11000,"Loandry")</f>
        <v>0</v>
      </c>
      <c r="Q1744" s="52">
        <f ca="1">SUMIFS(OUT!$F$2:$F$11000,OUT!$H$2:$H$11000,H1744,OUT!$D$2:$D$11000,"Out",OUT!$E$2:$E$11000,"Mio")</f>
        <v>0</v>
      </c>
      <c r="R1744" s="52">
        <f ca="1">SUMIFS(OUT!$F$2:$F$11000,OUT!$H$2:$H$11000,H1744,OUT!$D$2:$D$11000,"Out",OUT!$E$2:$E$11000,"Sedekah")</f>
        <v>0</v>
      </c>
      <c r="S1744" s="52">
        <f ca="1">SUMIFS(OUT!$F$2:$F$11000,OUT!$H$2:$H$11000,H1744,OUT!$D$2:$D$11000,"Out",OUT!$E$2:$E$11000,"Zela")</f>
        <v>0</v>
      </c>
      <c r="T1744" s="52">
        <f ca="1">SUMIFS(OUT!$F$2:$F$11000,OUT!$H$2:$H$11000,H1744,OUT!$D$2:$D$11000,"Out",OUT!$E$2:$E$11000,"Iqbal")</f>
        <v>0</v>
      </c>
    </row>
    <row r="1745" spans="7:20" x14ac:dyDescent="0.2">
      <c r="G1745" s="50"/>
      <c r="H1745" s="51" t="str">
        <f t="shared" si="0"/>
        <v/>
      </c>
      <c r="I1745" s="52" t="e">
        <f>SUMIFS(OUT!$F$2:$F$11000,OUT!$H$2:$H$11000,H1745,OUT!$D$2:$D$101007,"In")</f>
        <v>#VALUE!</v>
      </c>
      <c r="J1745" s="52">
        <f ca="1">SUMIFS(OUT!$F$2:$F$11000,OUT!$H$2:$H$11000,H1745,OUT!$D$2:$D$11000,"Out")</f>
        <v>0</v>
      </c>
      <c r="K1745" s="52">
        <f ca="1">SUMIFS(OUT!$F$2:$F$11000,OUT!$H$2:$H$11000,H1745,OUT!$D$2:$D$11000,"Out",OUT!$E$2:$E$11000,"Fix")</f>
        <v>0</v>
      </c>
      <c r="L1745" s="52">
        <f ca="1">SUMIFS(OUT!$F$2:$F$11000,OUT!$H$2:$H$11000,H1745,OUT!$D$2:$D$11000,"Out",OUT!$E$2:$E$11000,"Bathroom")</f>
        <v>0</v>
      </c>
      <c r="M1745" s="52">
        <f ca="1">SUMIFS(OUT!$F$2:$F$11000,OUT!$H$2:$H$11000,H1745,OUT!$D$2:$D$11000,"Out",OUT!$E$2:$E$11000,"Alfa")</f>
        <v>0</v>
      </c>
      <c r="N1745" s="52" t="e">
        <f>SUMIFS(OUT!$F$2:$F$11000,OUT!$H$2:$H$101007,H1745,OUT!$D$2:$D$11000,"Out",OUT!$E$2:$E$11000,"Jajan")</f>
        <v>#VALUE!</v>
      </c>
      <c r="O1745" s="52">
        <f ca="1">SUMIFS(OUT!$F$2:$F$11000,OUT!$H$2:$H$11000,H1745,OUT!$D$2:$D$11000,"Out",OUT!$E$2:$E$11000,"Kitchen")</f>
        <v>0</v>
      </c>
      <c r="P1745" s="52">
        <f ca="1">SUMIFS(OUT!$F$2:$F$11000,OUT!$H$2:$H$11000,H1745,OUT!$D$2:$D$11000,"Out",OUT!$E$2:$E$11000,"Loandry")</f>
        <v>0</v>
      </c>
      <c r="Q1745" s="52">
        <f ca="1">SUMIFS(OUT!$F$2:$F$11000,OUT!$H$2:$H$11000,H1745,OUT!$D$2:$D$11000,"Out",OUT!$E$2:$E$11000,"Mio")</f>
        <v>0</v>
      </c>
      <c r="R1745" s="52">
        <f ca="1">SUMIFS(OUT!$F$2:$F$11000,OUT!$H$2:$H$11000,H1745,OUT!$D$2:$D$11000,"Out",OUT!$E$2:$E$11000,"Sedekah")</f>
        <v>0</v>
      </c>
      <c r="S1745" s="52">
        <f ca="1">SUMIFS(OUT!$F$2:$F$11000,OUT!$H$2:$H$11000,H1745,OUT!$D$2:$D$11000,"Out",OUT!$E$2:$E$11000,"Zela")</f>
        <v>0</v>
      </c>
      <c r="T1745" s="52">
        <f ca="1">SUMIFS(OUT!$F$2:$F$11000,OUT!$H$2:$H$11000,H1745,OUT!$D$2:$D$11000,"Out",OUT!$E$2:$E$11000,"Iqbal")</f>
        <v>0</v>
      </c>
    </row>
    <row r="1746" spans="7:20" x14ac:dyDescent="0.2">
      <c r="G1746" s="50"/>
      <c r="H1746" s="51" t="str">
        <f t="shared" si="0"/>
        <v/>
      </c>
      <c r="I1746" s="52" t="e">
        <f>SUMIFS(OUT!$F$2:$F$11000,OUT!$H$2:$H$11000,H1746,OUT!$D$2:$D$101007,"In")</f>
        <v>#VALUE!</v>
      </c>
      <c r="J1746" s="52">
        <f ca="1">SUMIFS(OUT!$F$2:$F$11000,OUT!$H$2:$H$11000,H1746,OUT!$D$2:$D$11000,"Out")</f>
        <v>0</v>
      </c>
      <c r="K1746" s="52">
        <f ca="1">SUMIFS(OUT!$F$2:$F$11000,OUT!$H$2:$H$11000,H1746,OUT!$D$2:$D$11000,"Out",OUT!$E$2:$E$11000,"Fix")</f>
        <v>0</v>
      </c>
      <c r="L1746" s="52">
        <f ca="1">SUMIFS(OUT!$F$2:$F$11000,OUT!$H$2:$H$11000,H1746,OUT!$D$2:$D$11000,"Out",OUT!$E$2:$E$11000,"Bathroom")</f>
        <v>0</v>
      </c>
      <c r="M1746" s="52">
        <f ca="1">SUMIFS(OUT!$F$2:$F$11000,OUT!$H$2:$H$11000,H1746,OUT!$D$2:$D$11000,"Out",OUT!$E$2:$E$11000,"Alfa")</f>
        <v>0</v>
      </c>
      <c r="N1746" s="52" t="e">
        <f>SUMIFS(OUT!$F$2:$F$11000,OUT!$H$2:$H$101007,H1746,OUT!$D$2:$D$11000,"Out",OUT!$E$2:$E$11000,"Jajan")</f>
        <v>#VALUE!</v>
      </c>
      <c r="O1746" s="52">
        <f ca="1">SUMIFS(OUT!$F$2:$F$11000,OUT!$H$2:$H$11000,H1746,OUT!$D$2:$D$11000,"Out",OUT!$E$2:$E$11000,"Kitchen")</f>
        <v>0</v>
      </c>
      <c r="P1746" s="52">
        <f ca="1">SUMIFS(OUT!$F$2:$F$11000,OUT!$H$2:$H$11000,H1746,OUT!$D$2:$D$11000,"Out",OUT!$E$2:$E$11000,"Loandry")</f>
        <v>0</v>
      </c>
      <c r="Q1746" s="52">
        <f ca="1">SUMIFS(OUT!$F$2:$F$11000,OUT!$H$2:$H$11000,H1746,OUT!$D$2:$D$11000,"Out",OUT!$E$2:$E$11000,"Mio")</f>
        <v>0</v>
      </c>
      <c r="R1746" s="52">
        <f ca="1">SUMIFS(OUT!$F$2:$F$11000,OUT!$H$2:$H$11000,H1746,OUT!$D$2:$D$11000,"Out",OUT!$E$2:$E$11000,"Sedekah")</f>
        <v>0</v>
      </c>
      <c r="S1746" s="52">
        <f ca="1">SUMIFS(OUT!$F$2:$F$11000,OUT!$H$2:$H$11000,H1746,OUT!$D$2:$D$11000,"Out",OUT!$E$2:$E$11000,"Zela")</f>
        <v>0</v>
      </c>
      <c r="T1746" s="52">
        <f ca="1">SUMIFS(OUT!$F$2:$F$11000,OUT!$H$2:$H$11000,H1746,OUT!$D$2:$D$11000,"Out",OUT!$E$2:$E$11000,"Iqbal")</f>
        <v>0</v>
      </c>
    </row>
    <row r="1747" spans="7:20" x14ac:dyDescent="0.2">
      <c r="G1747" s="50"/>
      <c r="H1747" s="51" t="str">
        <f t="shared" si="0"/>
        <v/>
      </c>
      <c r="I1747" s="52" t="e">
        <f>SUMIFS(OUT!$F$2:$F$11000,OUT!$H$2:$H$11000,H1747,OUT!$D$2:$D$101007,"In")</f>
        <v>#VALUE!</v>
      </c>
      <c r="J1747" s="52">
        <f ca="1">SUMIFS(OUT!$F$2:$F$11000,OUT!$H$2:$H$11000,H1747,OUT!$D$2:$D$11000,"Out")</f>
        <v>0</v>
      </c>
      <c r="K1747" s="52">
        <f ca="1">SUMIFS(OUT!$F$2:$F$11000,OUT!$H$2:$H$11000,H1747,OUT!$D$2:$D$11000,"Out",OUT!$E$2:$E$11000,"Fix")</f>
        <v>0</v>
      </c>
      <c r="L1747" s="52">
        <f ca="1">SUMIFS(OUT!$F$2:$F$11000,OUT!$H$2:$H$11000,H1747,OUT!$D$2:$D$11000,"Out",OUT!$E$2:$E$11000,"Bathroom")</f>
        <v>0</v>
      </c>
      <c r="M1747" s="52">
        <f ca="1">SUMIFS(OUT!$F$2:$F$11000,OUT!$H$2:$H$11000,H1747,OUT!$D$2:$D$11000,"Out",OUT!$E$2:$E$11000,"Alfa")</f>
        <v>0</v>
      </c>
      <c r="N1747" s="52" t="e">
        <f>SUMIFS(OUT!$F$2:$F$11000,OUT!$H$2:$H$101007,H1747,OUT!$D$2:$D$11000,"Out",OUT!$E$2:$E$11000,"Jajan")</f>
        <v>#VALUE!</v>
      </c>
      <c r="O1747" s="52">
        <f ca="1">SUMIFS(OUT!$F$2:$F$11000,OUT!$H$2:$H$11000,H1747,OUT!$D$2:$D$11000,"Out",OUT!$E$2:$E$11000,"Kitchen")</f>
        <v>0</v>
      </c>
      <c r="P1747" s="52">
        <f ca="1">SUMIFS(OUT!$F$2:$F$11000,OUT!$H$2:$H$11000,H1747,OUT!$D$2:$D$11000,"Out",OUT!$E$2:$E$11000,"Loandry")</f>
        <v>0</v>
      </c>
      <c r="Q1747" s="52">
        <f ca="1">SUMIFS(OUT!$F$2:$F$11000,OUT!$H$2:$H$11000,H1747,OUT!$D$2:$D$11000,"Out",OUT!$E$2:$E$11000,"Mio")</f>
        <v>0</v>
      </c>
      <c r="R1747" s="52">
        <f ca="1">SUMIFS(OUT!$F$2:$F$11000,OUT!$H$2:$H$11000,H1747,OUT!$D$2:$D$11000,"Out",OUT!$E$2:$E$11000,"Sedekah")</f>
        <v>0</v>
      </c>
      <c r="S1747" s="52">
        <f ca="1">SUMIFS(OUT!$F$2:$F$11000,OUT!$H$2:$H$11000,H1747,OUT!$D$2:$D$11000,"Out",OUT!$E$2:$E$11000,"Zela")</f>
        <v>0</v>
      </c>
      <c r="T1747" s="52">
        <f ca="1">SUMIFS(OUT!$F$2:$F$11000,OUT!$H$2:$H$11000,H1747,OUT!$D$2:$D$11000,"Out",OUT!$E$2:$E$11000,"Iqbal")</f>
        <v>0</v>
      </c>
    </row>
    <row r="1748" spans="7:20" x14ac:dyDescent="0.2">
      <c r="G1748" s="50"/>
      <c r="H1748" s="51" t="str">
        <f t="shared" si="0"/>
        <v/>
      </c>
      <c r="I1748" s="52" t="e">
        <f>SUMIFS(OUT!$F$2:$F$11000,OUT!$H$2:$H$11000,H1748,OUT!$D$2:$D$101007,"In")</f>
        <v>#VALUE!</v>
      </c>
      <c r="J1748" s="52">
        <f ca="1">SUMIFS(OUT!$F$2:$F$11000,OUT!$H$2:$H$11000,H1748,OUT!$D$2:$D$11000,"Out")</f>
        <v>0</v>
      </c>
      <c r="K1748" s="52">
        <f ca="1">SUMIFS(OUT!$F$2:$F$11000,OUT!$H$2:$H$11000,H1748,OUT!$D$2:$D$11000,"Out",OUT!$E$2:$E$11000,"Fix")</f>
        <v>0</v>
      </c>
      <c r="L1748" s="52">
        <f ca="1">SUMIFS(OUT!$F$2:$F$11000,OUT!$H$2:$H$11000,H1748,OUT!$D$2:$D$11000,"Out",OUT!$E$2:$E$11000,"Bathroom")</f>
        <v>0</v>
      </c>
      <c r="M1748" s="52">
        <f ca="1">SUMIFS(OUT!$F$2:$F$11000,OUT!$H$2:$H$11000,H1748,OUT!$D$2:$D$11000,"Out",OUT!$E$2:$E$11000,"Alfa")</f>
        <v>0</v>
      </c>
      <c r="N1748" s="52" t="e">
        <f>SUMIFS(OUT!$F$2:$F$11000,OUT!$H$2:$H$101007,H1748,OUT!$D$2:$D$11000,"Out",OUT!$E$2:$E$11000,"Jajan")</f>
        <v>#VALUE!</v>
      </c>
      <c r="O1748" s="52">
        <f ca="1">SUMIFS(OUT!$F$2:$F$11000,OUT!$H$2:$H$11000,H1748,OUT!$D$2:$D$11000,"Out",OUT!$E$2:$E$11000,"Kitchen")</f>
        <v>0</v>
      </c>
      <c r="P1748" s="52">
        <f ca="1">SUMIFS(OUT!$F$2:$F$11000,OUT!$H$2:$H$11000,H1748,OUT!$D$2:$D$11000,"Out",OUT!$E$2:$E$11000,"Loandry")</f>
        <v>0</v>
      </c>
      <c r="Q1748" s="52">
        <f ca="1">SUMIFS(OUT!$F$2:$F$11000,OUT!$H$2:$H$11000,H1748,OUT!$D$2:$D$11000,"Out",OUT!$E$2:$E$11000,"Mio")</f>
        <v>0</v>
      </c>
      <c r="R1748" s="52">
        <f ca="1">SUMIFS(OUT!$F$2:$F$11000,OUT!$H$2:$H$11000,H1748,OUT!$D$2:$D$11000,"Out",OUT!$E$2:$E$11000,"Sedekah")</f>
        <v>0</v>
      </c>
      <c r="S1748" s="52">
        <f ca="1">SUMIFS(OUT!$F$2:$F$11000,OUT!$H$2:$H$11000,H1748,OUT!$D$2:$D$11000,"Out",OUT!$E$2:$E$11000,"Zela")</f>
        <v>0</v>
      </c>
      <c r="T1748" s="52">
        <f ca="1">SUMIFS(OUT!$F$2:$F$11000,OUT!$H$2:$H$11000,H1748,OUT!$D$2:$D$11000,"Out",OUT!$E$2:$E$11000,"Iqbal")</f>
        <v>0</v>
      </c>
    </row>
    <row r="1749" spans="7:20" x14ac:dyDescent="0.2">
      <c r="G1749" s="50"/>
      <c r="H1749" s="51" t="str">
        <f t="shared" si="0"/>
        <v/>
      </c>
      <c r="I1749" s="52" t="e">
        <f>SUMIFS(OUT!$F$2:$F$11000,OUT!$H$2:$H$11000,H1749,OUT!$D$2:$D$101007,"In")</f>
        <v>#VALUE!</v>
      </c>
      <c r="J1749" s="52">
        <f ca="1">SUMIFS(OUT!$F$2:$F$11000,OUT!$H$2:$H$11000,H1749,OUT!$D$2:$D$11000,"Out")</f>
        <v>0</v>
      </c>
      <c r="K1749" s="52">
        <f ca="1">SUMIFS(OUT!$F$2:$F$11000,OUT!$H$2:$H$11000,H1749,OUT!$D$2:$D$11000,"Out",OUT!$E$2:$E$11000,"Fix")</f>
        <v>0</v>
      </c>
      <c r="L1749" s="52">
        <f ca="1">SUMIFS(OUT!$F$2:$F$11000,OUT!$H$2:$H$11000,H1749,OUT!$D$2:$D$11000,"Out",OUT!$E$2:$E$11000,"Bathroom")</f>
        <v>0</v>
      </c>
      <c r="M1749" s="52">
        <f ca="1">SUMIFS(OUT!$F$2:$F$11000,OUT!$H$2:$H$11000,H1749,OUT!$D$2:$D$11000,"Out",OUT!$E$2:$E$11000,"Alfa")</f>
        <v>0</v>
      </c>
      <c r="N1749" s="52" t="e">
        <f>SUMIFS(OUT!$F$2:$F$11000,OUT!$H$2:$H$101007,H1749,OUT!$D$2:$D$11000,"Out",OUT!$E$2:$E$11000,"Jajan")</f>
        <v>#VALUE!</v>
      </c>
      <c r="O1749" s="52">
        <f ca="1">SUMIFS(OUT!$F$2:$F$11000,OUT!$H$2:$H$11000,H1749,OUT!$D$2:$D$11000,"Out",OUT!$E$2:$E$11000,"Kitchen")</f>
        <v>0</v>
      </c>
      <c r="P1749" s="52">
        <f ca="1">SUMIFS(OUT!$F$2:$F$11000,OUT!$H$2:$H$11000,H1749,OUT!$D$2:$D$11000,"Out",OUT!$E$2:$E$11000,"Loandry")</f>
        <v>0</v>
      </c>
      <c r="Q1749" s="52">
        <f ca="1">SUMIFS(OUT!$F$2:$F$11000,OUT!$H$2:$H$11000,H1749,OUT!$D$2:$D$11000,"Out",OUT!$E$2:$E$11000,"Mio")</f>
        <v>0</v>
      </c>
      <c r="R1749" s="52">
        <f ca="1">SUMIFS(OUT!$F$2:$F$11000,OUT!$H$2:$H$11000,H1749,OUT!$D$2:$D$11000,"Out",OUT!$E$2:$E$11000,"Sedekah")</f>
        <v>0</v>
      </c>
      <c r="S1749" s="52">
        <f ca="1">SUMIFS(OUT!$F$2:$F$11000,OUT!$H$2:$H$11000,H1749,OUT!$D$2:$D$11000,"Out",OUT!$E$2:$E$11000,"Zela")</f>
        <v>0</v>
      </c>
      <c r="T1749" s="52">
        <f ca="1">SUMIFS(OUT!$F$2:$F$11000,OUT!$H$2:$H$11000,H1749,OUT!$D$2:$D$11000,"Out",OUT!$E$2:$E$11000,"Iqbal")</f>
        <v>0</v>
      </c>
    </row>
    <row r="1750" spans="7:20" x14ac:dyDescent="0.2">
      <c r="G1750" s="50"/>
      <c r="H1750" s="51" t="str">
        <f t="shared" si="0"/>
        <v/>
      </c>
      <c r="I1750" s="52" t="e">
        <f>SUMIFS(OUT!$F$2:$F$11000,OUT!$H$2:$H$11000,H1750,OUT!$D$2:$D$101007,"In")</f>
        <v>#VALUE!</v>
      </c>
      <c r="J1750" s="52">
        <f ca="1">SUMIFS(OUT!$F$2:$F$11000,OUT!$H$2:$H$11000,H1750,OUT!$D$2:$D$11000,"Out")</f>
        <v>0</v>
      </c>
      <c r="K1750" s="52">
        <f ca="1">SUMIFS(OUT!$F$2:$F$11000,OUT!$H$2:$H$11000,H1750,OUT!$D$2:$D$11000,"Out",OUT!$E$2:$E$11000,"Fix")</f>
        <v>0</v>
      </c>
      <c r="L1750" s="52">
        <f ca="1">SUMIFS(OUT!$F$2:$F$11000,OUT!$H$2:$H$11000,H1750,OUT!$D$2:$D$11000,"Out",OUT!$E$2:$E$11000,"Bathroom")</f>
        <v>0</v>
      </c>
      <c r="M1750" s="52">
        <f ca="1">SUMIFS(OUT!$F$2:$F$11000,OUT!$H$2:$H$11000,H1750,OUT!$D$2:$D$11000,"Out",OUT!$E$2:$E$11000,"Alfa")</f>
        <v>0</v>
      </c>
      <c r="N1750" s="52" t="e">
        <f>SUMIFS(OUT!$F$2:$F$11000,OUT!$H$2:$H$101007,H1750,OUT!$D$2:$D$11000,"Out",OUT!$E$2:$E$11000,"Jajan")</f>
        <v>#VALUE!</v>
      </c>
      <c r="O1750" s="52">
        <f ca="1">SUMIFS(OUT!$F$2:$F$11000,OUT!$H$2:$H$11000,H1750,OUT!$D$2:$D$11000,"Out",OUT!$E$2:$E$11000,"Kitchen")</f>
        <v>0</v>
      </c>
      <c r="P1750" s="52">
        <f ca="1">SUMIFS(OUT!$F$2:$F$11000,OUT!$H$2:$H$11000,H1750,OUT!$D$2:$D$11000,"Out",OUT!$E$2:$E$11000,"Loandry")</f>
        <v>0</v>
      </c>
      <c r="Q1750" s="52">
        <f ca="1">SUMIFS(OUT!$F$2:$F$11000,OUT!$H$2:$H$11000,H1750,OUT!$D$2:$D$11000,"Out",OUT!$E$2:$E$11000,"Mio")</f>
        <v>0</v>
      </c>
      <c r="R1750" s="52">
        <f ca="1">SUMIFS(OUT!$F$2:$F$11000,OUT!$H$2:$H$11000,H1750,OUT!$D$2:$D$11000,"Out",OUT!$E$2:$E$11000,"Sedekah")</f>
        <v>0</v>
      </c>
      <c r="S1750" s="52">
        <f ca="1">SUMIFS(OUT!$F$2:$F$11000,OUT!$H$2:$H$11000,H1750,OUT!$D$2:$D$11000,"Out",OUT!$E$2:$E$11000,"Zela")</f>
        <v>0</v>
      </c>
      <c r="T1750" s="52">
        <f ca="1">SUMIFS(OUT!$F$2:$F$11000,OUT!$H$2:$H$11000,H1750,OUT!$D$2:$D$11000,"Out",OUT!$E$2:$E$11000,"Iqbal")</f>
        <v>0</v>
      </c>
    </row>
    <row r="1751" spans="7:20" x14ac:dyDescent="0.2">
      <c r="G1751" s="50"/>
      <c r="H1751" s="51" t="str">
        <f t="shared" si="0"/>
        <v/>
      </c>
      <c r="I1751" s="52" t="e">
        <f>SUMIFS(OUT!$F$2:$F$11000,OUT!$H$2:$H$11000,H1751,OUT!$D$2:$D$101007,"In")</f>
        <v>#VALUE!</v>
      </c>
      <c r="J1751" s="52">
        <f ca="1">SUMIFS(OUT!$F$2:$F$11000,OUT!$H$2:$H$11000,H1751,OUT!$D$2:$D$11000,"Out")</f>
        <v>0</v>
      </c>
      <c r="K1751" s="52">
        <f ca="1">SUMIFS(OUT!$F$2:$F$11000,OUT!$H$2:$H$11000,H1751,OUT!$D$2:$D$11000,"Out",OUT!$E$2:$E$11000,"Fix")</f>
        <v>0</v>
      </c>
      <c r="L1751" s="52">
        <f ca="1">SUMIFS(OUT!$F$2:$F$11000,OUT!$H$2:$H$11000,H1751,OUT!$D$2:$D$11000,"Out",OUT!$E$2:$E$11000,"Bathroom")</f>
        <v>0</v>
      </c>
      <c r="M1751" s="52">
        <f ca="1">SUMIFS(OUT!$F$2:$F$11000,OUT!$H$2:$H$11000,H1751,OUT!$D$2:$D$11000,"Out",OUT!$E$2:$E$11000,"Alfa")</f>
        <v>0</v>
      </c>
      <c r="N1751" s="52" t="e">
        <f>SUMIFS(OUT!$F$2:$F$11000,OUT!$H$2:$H$101007,H1751,OUT!$D$2:$D$11000,"Out",OUT!$E$2:$E$11000,"Jajan")</f>
        <v>#VALUE!</v>
      </c>
      <c r="O1751" s="52">
        <f ca="1">SUMIFS(OUT!$F$2:$F$11000,OUT!$H$2:$H$11000,H1751,OUT!$D$2:$D$11000,"Out",OUT!$E$2:$E$11000,"Kitchen")</f>
        <v>0</v>
      </c>
      <c r="P1751" s="52">
        <f ca="1">SUMIFS(OUT!$F$2:$F$11000,OUT!$H$2:$H$11000,H1751,OUT!$D$2:$D$11000,"Out",OUT!$E$2:$E$11000,"Loandry")</f>
        <v>0</v>
      </c>
      <c r="Q1751" s="52">
        <f ca="1">SUMIFS(OUT!$F$2:$F$11000,OUT!$H$2:$H$11000,H1751,OUT!$D$2:$D$11000,"Out",OUT!$E$2:$E$11000,"Mio")</f>
        <v>0</v>
      </c>
      <c r="R1751" s="52">
        <f ca="1">SUMIFS(OUT!$F$2:$F$11000,OUT!$H$2:$H$11000,H1751,OUT!$D$2:$D$11000,"Out",OUT!$E$2:$E$11000,"Sedekah")</f>
        <v>0</v>
      </c>
      <c r="S1751" s="52">
        <f ca="1">SUMIFS(OUT!$F$2:$F$11000,OUT!$H$2:$H$11000,H1751,OUT!$D$2:$D$11000,"Out",OUT!$E$2:$E$11000,"Zela")</f>
        <v>0</v>
      </c>
      <c r="T1751" s="52">
        <f ca="1">SUMIFS(OUT!$F$2:$F$11000,OUT!$H$2:$H$11000,H1751,OUT!$D$2:$D$11000,"Out",OUT!$E$2:$E$11000,"Iqbal")</f>
        <v>0</v>
      </c>
    </row>
    <row r="1752" spans="7:20" x14ac:dyDescent="0.2">
      <c r="G1752" s="50"/>
      <c r="H1752" s="51" t="str">
        <f t="shared" si="0"/>
        <v/>
      </c>
      <c r="I1752" s="52" t="e">
        <f>SUMIFS(OUT!$F$2:$F$11000,OUT!$H$2:$H$11000,H1752,OUT!$D$2:$D$101007,"In")</f>
        <v>#VALUE!</v>
      </c>
      <c r="J1752" s="52">
        <f ca="1">SUMIFS(OUT!$F$2:$F$11000,OUT!$H$2:$H$11000,H1752,OUT!$D$2:$D$11000,"Out")</f>
        <v>0</v>
      </c>
      <c r="K1752" s="52">
        <f ca="1">SUMIFS(OUT!$F$2:$F$11000,OUT!$H$2:$H$11000,H1752,OUT!$D$2:$D$11000,"Out",OUT!$E$2:$E$11000,"Fix")</f>
        <v>0</v>
      </c>
      <c r="L1752" s="52">
        <f ca="1">SUMIFS(OUT!$F$2:$F$11000,OUT!$H$2:$H$11000,H1752,OUT!$D$2:$D$11000,"Out",OUT!$E$2:$E$11000,"Bathroom")</f>
        <v>0</v>
      </c>
      <c r="M1752" s="52">
        <f ca="1">SUMIFS(OUT!$F$2:$F$11000,OUT!$H$2:$H$11000,H1752,OUT!$D$2:$D$11000,"Out",OUT!$E$2:$E$11000,"Alfa")</f>
        <v>0</v>
      </c>
      <c r="N1752" s="52" t="e">
        <f>SUMIFS(OUT!$F$2:$F$11000,OUT!$H$2:$H$101007,H1752,OUT!$D$2:$D$11000,"Out",OUT!$E$2:$E$11000,"Jajan")</f>
        <v>#VALUE!</v>
      </c>
      <c r="O1752" s="52">
        <f ca="1">SUMIFS(OUT!$F$2:$F$11000,OUT!$H$2:$H$11000,H1752,OUT!$D$2:$D$11000,"Out",OUT!$E$2:$E$11000,"Kitchen")</f>
        <v>0</v>
      </c>
      <c r="P1752" s="52">
        <f ca="1">SUMIFS(OUT!$F$2:$F$11000,OUT!$H$2:$H$11000,H1752,OUT!$D$2:$D$11000,"Out",OUT!$E$2:$E$11000,"Loandry")</f>
        <v>0</v>
      </c>
      <c r="Q1752" s="52">
        <f ca="1">SUMIFS(OUT!$F$2:$F$11000,OUT!$H$2:$H$11000,H1752,OUT!$D$2:$D$11000,"Out",OUT!$E$2:$E$11000,"Mio")</f>
        <v>0</v>
      </c>
      <c r="R1752" s="52">
        <f ca="1">SUMIFS(OUT!$F$2:$F$11000,OUT!$H$2:$H$11000,H1752,OUT!$D$2:$D$11000,"Out",OUT!$E$2:$E$11000,"Sedekah")</f>
        <v>0</v>
      </c>
      <c r="S1752" s="52">
        <f ca="1">SUMIFS(OUT!$F$2:$F$11000,OUT!$H$2:$H$11000,H1752,OUT!$D$2:$D$11000,"Out",OUT!$E$2:$E$11000,"Zela")</f>
        <v>0</v>
      </c>
      <c r="T1752" s="52">
        <f ca="1">SUMIFS(OUT!$F$2:$F$11000,OUT!$H$2:$H$11000,H1752,OUT!$D$2:$D$11000,"Out",OUT!$E$2:$E$11000,"Iqbal")</f>
        <v>0</v>
      </c>
    </row>
    <row r="1753" spans="7:20" x14ac:dyDescent="0.2">
      <c r="G1753" s="50"/>
      <c r="H1753" s="51" t="str">
        <f t="shared" si="0"/>
        <v/>
      </c>
      <c r="I1753" s="52" t="e">
        <f>SUMIFS(OUT!$F$2:$F$11000,OUT!$H$2:$H$11000,H1753,OUT!$D$2:$D$101007,"In")</f>
        <v>#VALUE!</v>
      </c>
      <c r="J1753" s="52">
        <f ca="1">SUMIFS(OUT!$F$2:$F$11000,OUT!$H$2:$H$11000,H1753,OUT!$D$2:$D$11000,"Out")</f>
        <v>0</v>
      </c>
      <c r="K1753" s="52">
        <f ca="1">SUMIFS(OUT!$F$2:$F$11000,OUT!$H$2:$H$11000,H1753,OUT!$D$2:$D$11000,"Out",OUT!$E$2:$E$11000,"Fix")</f>
        <v>0</v>
      </c>
      <c r="L1753" s="52">
        <f ca="1">SUMIFS(OUT!$F$2:$F$11000,OUT!$H$2:$H$11000,H1753,OUT!$D$2:$D$11000,"Out",OUT!$E$2:$E$11000,"Bathroom")</f>
        <v>0</v>
      </c>
      <c r="M1753" s="52">
        <f ca="1">SUMIFS(OUT!$F$2:$F$11000,OUT!$H$2:$H$11000,H1753,OUT!$D$2:$D$11000,"Out",OUT!$E$2:$E$11000,"Alfa")</f>
        <v>0</v>
      </c>
      <c r="N1753" s="52" t="e">
        <f>SUMIFS(OUT!$F$2:$F$11000,OUT!$H$2:$H$101007,H1753,OUT!$D$2:$D$11000,"Out",OUT!$E$2:$E$11000,"Jajan")</f>
        <v>#VALUE!</v>
      </c>
      <c r="O1753" s="52">
        <f ca="1">SUMIFS(OUT!$F$2:$F$11000,OUT!$H$2:$H$11000,H1753,OUT!$D$2:$D$11000,"Out",OUT!$E$2:$E$11000,"Kitchen")</f>
        <v>0</v>
      </c>
      <c r="P1753" s="52">
        <f ca="1">SUMIFS(OUT!$F$2:$F$11000,OUT!$H$2:$H$11000,H1753,OUT!$D$2:$D$11000,"Out",OUT!$E$2:$E$11000,"Loandry")</f>
        <v>0</v>
      </c>
      <c r="Q1753" s="52">
        <f ca="1">SUMIFS(OUT!$F$2:$F$11000,OUT!$H$2:$H$11000,H1753,OUT!$D$2:$D$11000,"Out",OUT!$E$2:$E$11000,"Mio")</f>
        <v>0</v>
      </c>
      <c r="R1753" s="52">
        <f ca="1">SUMIFS(OUT!$F$2:$F$11000,OUT!$H$2:$H$11000,H1753,OUT!$D$2:$D$11000,"Out",OUT!$E$2:$E$11000,"Sedekah")</f>
        <v>0</v>
      </c>
      <c r="S1753" s="52">
        <f ca="1">SUMIFS(OUT!$F$2:$F$11000,OUT!$H$2:$H$11000,H1753,OUT!$D$2:$D$11000,"Out",OUT!$E$2:$E$11000,"Zela")</f>
        <v>0</v>
      </c>
      <c r="T1753" s="52">
        <f ca="1">SUMIFS(OUT!$F$2:$F$11000,OUT!$H$2:$H$11000,H1753,OUT!$D$2:$D$11000,"Out",OUT!$E$2:$E$11000,"Iqbal")</f>
        <v>0</v>
      </c>
    </row>
    <row r="1754" spans="7:20" x14ac:dyDescent="0.2">
      <c r="G1754" s="50"/>
      <c r="H1754" s="51" t="str">
        <f t="shared" si="0"/>
        <v/>
      </c>
      <c r="I1754" s="52" t="e">
        <f>SUMIFS(OUT!$F$2:$F$11000,OUT!$H$2:$H$11000,H1754,OUT!$D$2:$D$101007,"In")</f>
        <v>#VALUE!</v>
      </c>
      <c r="J1754" s="52">
        <f ca="1">SUMIFS(OUT!$F$2:$F$11000,OUT!$H$2:$H$11000,H1754,OUT!$D$2:$D$11000,"Out")</f>
        <v>0</v>
      </c>
      <c r="K1754" s="52">
        <f ca="1">SUMIFS(OUT!$F$2:$F$11000,OUT!$H$2:$H$11000,H1754,OUT!$D$2:$D$11000,"Out",OUT!$E$2:$E$11000,"Fix")</f>
        <v>0</v>
      </c>
      <c r="L1754" s="52">
        <f ca="1">SUMIFS(OUT!$F$2:$F$11000,OUT!$H$2:$H$11000,H1754,OUT!$D$2:$D$11000,"Out",OUT!$E$2:$E$11000,"Bathroom")</f>
        <v>0</v>
      </c>
      <c r="M1754" s="52">
        <f ca="1">SUMIFS(OUT!$F$2:$F$11000,OUT!$H$2:$H$11000,H1754,OUT!$D$2:$D$11000,"Out",OUT!$E$2:$E$11000,"Alfa")</f>
        <v>0</v>
      </c>
      <c r="N1754" s="52" t="e">
        <f>SUMIFS(OUT!$F$2:$F$11000,OUT!$H$2:$H$101007,H1754,OUT!$D$2:$D$11000,"Out",OUT!$E$2:$E$11000,"Jajan")</f>
        <v>#VALUE!</v>
      </c>
      <c r="O1754" s="52">
        <f ca="1">SUMIFS(OUT!$F$2:$F$11000,OUT!$H$2:$H$11000,H1754,OUT!$D$2:$D$11000,"Out",OUT!$E$2:$E$11000,"Kitchen")</f>
        <v>0</v>
      </c>
      <c r="P1754" s="52">
        <f ca="1">SUMIFS(OUT!$F$2:$F$11000,OUT!$H$2:$H$11000,H1754,OUT!$D$2:$D$11000,"Out",OUT!$E$2:$E$11000,"Loandry")</f>
        <v>0</v>
      </c>
      <c r="Q1754" s="52">
        <f ca="1">SUMIFS(OUT!$F$2:$F$11000,OUT!$H$2:$H$11000,H1754,OUT!$D$2:$D$11000,"Out",OUT!$E$2:$E$11000,"Mio")</f>
        <v>0</v>
      </c>
      <c r="R1754" s="52">
        <f ca="1">SUMIFS(OUT!$F$2:$F$11000,OUT!$H$2:$H$11000,H1754,OUT!$D$2:$D$11000,"Out",OUT!$E$2:$E$11000,"Sedekah")</f>
        <v>0</v>
      </c>
      <c r="S1754" s="52">
        <f ca="1">SUMIFS(OUT!$F$2:$F$11000,OUT!$H$2:$H$11000,H1754,OUT!$D$2:$D$11000,"Out",OUT!$E$2:$E$11000,"Zela")</f>
        <v>0</v>
      </c>
      <c r="T1754" s="52">
        <f ca="1">SUMIFS(OUT!$F$2:$F$11000,OUT!$H$2:$H$11000,H1754,OUT!$D$2:$D$11000,"Out",OUT!$E$2:$E$11000,"Iqbal")</f>
        <v>0</v>
      </c>
    </row>
    <row r="1755" spans="7:20" x14ac:dyDescent="0.2">
      <c r="G1755" s="50"/>
      <c r="H1755" s="51" t="str">
        <f t="shared" si="0"/>
        <v/>
      </c>
      <c r="I1755" s="52" t="e">
        <f>SUMIFS(OUT!$F$2:$F$11000,OUT!$H$2:$H$11000,H1755,OUT!$D$2:$D$101007,"In")</f>
        <v>#VALUE!</v>
      </c>
      <c r="J1755" s="52">
        <f ca="1">SUMIFS(OUT!$F$2:$F$11000,OUT!$H$2:$H$11000,H1755,OUT!$D$2:$D$11000,"Out")</f>
        <v>0</v>
      </c>
      <c r="K1755" s="52">
        <f ca="1">SUMIFS(OUT!$F$2:$F$11000,OUT!$H$2:$H$11000,H1755,OUT!$D$2:$D$11000,"Out",OUT!$E$2:$E$11000,"Fix")</f>
        <v>0</v>
      </c>
      <c r="L1755" s="52">
        <f ca="1">SUMIFS(OUT!$F$2:$F$11000,OUT!$H$2:$H$11000,H1755,OUT!$D$2:$D$11000,"Out",OUT!$E$2:$E$11000,"Bathroom")</f>
        <v>0</v>
      </c>
      <c r="M1755" s="52">
        <f ca="1">SUMIFS(OUT!$F$2:$F$11000,OUT!$H$2:$H$11000,H1755,OUT!$D$2:$D$11000,"Out",OUT!$E$2:$E$11000,"Alfa")</f>
        <v>0</v>
      </c>
      <c r="N1755" s="52" t="e">
        <f>SUMIFS(OUT!$F$2:$F$11000,OUT!$H$2:$H$101007,H1755,OUT!$D$2:$D$11000,"Out",OUT!$E$2:$E$11000,"Jajan")</f>
        <v>#VALUE!</v>
      </c>
      <c r="O1755" s="52">
        <f ca="1">SUMIFS(OUT!$F$2:$F$11000,OUT!$H$2:$H$11000,H1755,OUT!$D$2:$D$11000,"Out",OUT!$E$2:$E$11000,"Kitchen")</f>
        <v>0</v>
      </c>
      <c r="P1755" s="52">
        <f ca="1">SUMIFS(OUT!$F$2:$F$11000,OUT!$H$2:$H$11000,H1755,OUT!$D$2:$D$11000,"Out",OUT!$E$2:$E$11000,"Loandry")</f>
        <v>0</v>
      </c>
      <c r="Q1755" s="52">
        <f ca="1">SUMIFS(OUT!$F$2:$F$11000,OUT!$H$2:$H$11000,H1755,OUT!$D$2:$D$11000,"Out",OUT!$E$2:$E$11000,"Mio")</f>
        <v>0</v>
      </c>
      <c r="R1755" s="52">
        <f ca="1">SUMIFS(OUT!$F$2:$F$11000,OUT!$H$2:$H$11000,H1755,OUT!$D$2:$D$11000,"Out",OUT!$E$2:$E$11000,"Sedekah")</f>
        <v>0</v>
      </c>
      <c r="S1755" s="52">
        <f ca="1">SUMIFS(OUT!$F$2:$F$11000,OUT!$H$2:$H$11000,H1755,OUT!$D$2:$D$11000,"Out",OUT!$E$2:$E$11000,"Zela")</f>
        <v>0</v>
      </c>
      <c r="T1755" s="52">
        <f ca="1">SUMIFS(OUT!$F$2:$F$11000,OUT!$H$2:$H$11000,H1755,OUT!$D$2:$D$11000,"Out",OUT!$E$2:$E$11000,"Iqbal")</f>
        <v>0</v>
      </c>
    </row>
    <row r="1756" spans="7:20" x14ac:dyDescent="0.2">
      <c r="G1756" s="50"/>
      <c r="H1756" s="51" t="str">
        <f t="shared" si="0"/>
        <v/>
      </c>
      <c r="I1756" s="52" t="e">
        <f>SUMIFS(OUT!$F$2:$F$11000,OUT!$H$2:$H$11000,H1756,OUT!$D$2:$D$101007,"In")</f>
        <v>#VALUE!</v>
      </c>
      <c r="J1756" s="52">
        <f ca="1">SUMIFS(OUT!$F$2:$F$11000,OUT!$H$2:$H$11000,H1756,OUT!$D$2:$D$11000,"Out")</f>
        <v>0</v>
      </c>
      <c r="K1756" s="52">
        <f ca="1">SUMIFS(OUT!$F$2:$F$11000,OUT!$H$2:$H$11000,H1756,OUT!$D$2:$D$11000,"Out",OUT!$E$2:$E$11000,"Fix")</f>
        <v>0</v>
      </c>
      <c r="L1756" s="52">
        <f ca="1">SUMIFS(OUT!$F$2:$F$11000,OUT!$H$2:$H$11000,H1756,OUT!$D$2:$D$11000,"Out",OUT!$E$2:$E$11000,"Bathroom")</f>
        <v>0</v>
      </c>
      <c r="M1756" s="52">
        <f ca="1">SUMIFS(OUT!$F$2:$F$11000,OUT!$H$2:$H$11000,H1756,OUT!$D$2:$D$11000,"Out",OUT!$E$2:$E$11000,"Alfa")</f>
        <v>0</v>
      </c>
      <c r="N1756" s="52" t="e">
        <f>SUMIFS(OUT!$F$2:$F$11000,OUT!$H$2:$H$101007,H1756,OUT!$D$2:$D$11000,"Out",OUT!$E$2:$E$11000,"Jajan")</f>
        <v>#VALUE!</v>
      </c>
      <c r="O1756" s="52">
        <f ca="1">SUMIFS(OUT!$F$2:$F$11000,OUT!$H$2:$H$11000,H1756,OUT!$D$2:$D$11000,"Out",OUT!$E$2:$E$11000,"Kitchen")</f>
        <v>0</v>
      </c>
      <c r="P1756" s="52">
        <f ca="1">SUMIFS(OUT!$F$2:$F$11000,OUT!$H$2:$H$11000,H1756,OUT!$D$2:$D$11000,"Out",OUT!$E$2:$E$11000,"Loandry")</f>
        <v>0</v>
      </c>
      <c r="Q1756" s="52">
        <f ca="1">SUMIFS(OUT!$F$2:$F$11000,OUT!$H$2:$H$11000,H1756,OUT!$D$2:$D$11000,"Out",OUT!$E$2:$E$11000,"Mio")</f>
        <v>0</v>
      </c>
      <c r="R1756" s="52">
        <f ca="1">SUMIFS(OUT!$F$2:$F$11000,OUT!$H$2:$H$11000,H1756,OUT!$D$2:$D$11000,"Out",OUT!$E$2:$E$11000,"Sedekah")</f>
        <v>0</v>
      </c>
      <c r="S1756" s="52">
        <f ca="1">SUMIFS(OUT!$F$2:$F$11000,OUT!$H$2:$H$11000,H1756,OUT!$D$2:$D$11000,"Out",OUT!$E$2:$E$11000,"Zela")</f>
        <v>0</v>
      </c>
      <c r="T1756" s="52">
        <f ca="1">SUMIFS(OUT!$F$2:$F$11000,OUT!$H$2:$H$11000,H1756,OUT!$D$2:$D$11000,"Out",OUT!$E$2:$E$11000,"Iqbal")</f>
        <v>0</v>
      </c>
    </row>
    <row r="1757" spans="7:20" x14ac:dyDescent="0.2">
      <c r="G1757" s="50"/>
      <c r="H1757" s="51" t="str">
        <f t="shared" si="0"/>
        <v/>
      </c>
      <c r="I1757" s="52" t="e">
        <f>SUMIFS(OUT!$F$2:$F$11000,OUT!$H$2:$H$11000,H1757,OUT!$D$2:$D$101007,"In")</f>
        <v>#VALUE!</v>
      </c>
      <c r="J1757" s="52">
        <f ca="1">SUMIFS(OUT!$F$2:$F$11000,OUT!$H$2:$H$11000,H1757,OUT!$D$2:$D$11000,"Out")</f>
        <v>0</v>
      </c>
      <c r="K1757" s="52">
        <f ca="1">SUMIFS(OUT!$F$2:$F$11000,OUT!$H$2:$H$11000,H1757,OUT!$D$2:$D$11000,"Out",OUT!$E$2:$E$11000,"Fix")</f>
        <v>0</v>
      </c>
      <c r="L1757" s="52">
        <f ca="1">SUMIFS(OUT!$F$2:$F$11000,OUT!$H$2:$H$11000,H1757,OUT!$D$2:$D$11000,"Out",OUT!$E$2:$E$11000,"Bathroom")</f>
        <v>0</v>
      </c>
      <c r="M1757" s="52">
        <f ca="1">SUMIFS(OUT!$F$2:$F$11000,OUT!$H$2:$H$11000,H1757,OUT!$D$2:$D$11000,"Out",OUT!$E$2:$E$11000,"Alfa")</f>
        <v>0</v>
      </c>
      <c r="N1757" s="52" t="e">
        <f>SUMIFS(OUT!$F$2:$F$11000,OUT!$H$2:$H$101007,H1757,OUT!$D$2:$D$11000,"Out",OUT!$E$2:$E$11000,"Jajan")</f>
        <v>#VALUE!</v>
      </c>
      <c r="O1757" s="52">
        <f ca="1">SUMIFS(OUT!$F$2:$F$11000,OUT!$H$2:$H$11000,H1757,OUT!$D$2:$D$11000,"Out",OUT!$E$2:$E$11000,"Kitchen")</f>
        <v>0</v>
      </c>
      <c r="P1757" s="52">
        <f ca="1">SUMIFS(OUT!$F$2:$F$11000,OUT!$H$2:$H$11000,H1757,OUT!$D$2:$D$11000,"Out",OUT!$E$2:$E$11000,"Loandry")</f>
        <v>0</v>
      </c>
      <c r="Q1757" s="52">
        <f ca="1">SUMIFS(OUT!$F$2:$F$11000,OUT!$H$2:$H$11000,H1757,OUT!$D$2:$D$11000,"Out",OUT!$E$2:$E$11000,"Mio")</f>
        <v>0</v>
      </c>
      <c r="R1757" s="52">
        <f ca="1">SUMIFS(OUT!$F$2:$F$11000,OUT!$H$2:$H$11000,H1757,OUT!$D$2:$D$11000,"Out",OUT!$E$2:$E$11000,"Sedekah")</f>
        <v>0</v>
      </c>
      <c r="S1757" s="52">
        <f ca="1">SUMIFS(OUT!$F$2:$F$11000,OUT!$H$2:$H$11000,H1757,OUT!$D$2:$D$11000,"Out",OUT!$E$2:$E$11000,"Zela")</f>
        <v>0</v>
      </c>
      <c r="T1757" s="52">
        <f ca="1">SUMIFS(OUT!$F$2:$F$11000,OUT!$H$2:$H$11000,H1757,OUT!$D$2:$D$11000,"Out",OUT!$E$2:$E$11000,"Iqbal")</f>
        <v>0</v>
      </c>
    </row>
    <row r="1758" spans="7:20" x14ac:dyDescent="0.2">
      <c r="G1758" s="50"/>
      <c r="H1758" s="51" t="str">
        <f t="shared" si="0"/>
        <v/>
      </c>
      <c r="I1758" s="52" t="e">
        <f>SUMIFS(OUT!$F$2:$F$11000,OUT!$H$2:$H$11000,H1758,OUT!$D$2:$D$101007,"In")</f>
        <v>#VALUE!</v>
      </c>
      <c r="J1758" s="52">
        <f ca="1">SUMIFS(OUT!$F$2:$F$11000,OUT!$H$2:$H$11000,H1758,OUT!$D$2:$D$11000,"Out")</f>
        <v>0</v>
      </c>
      <c r="K1758" s="52">
        <f ca="1">SUMIFS(OUT!$F$2:$F$11000,OUT!$H$2:$H$11000,H1758,OUT!$D$2:$D$11000,"Out",OUT!$E$2:$E$11000,"Fix")</f>
        <v>0</v>
      </c>
      <c r="L1758" s="52">
        <f ca="1">SUMIFS(OUT!$F$2:$F$11000,OUT!$H$2:$H$11000,H1758,OUT!$D$2:$D$11000,"Out",OUT!$E$2:$E$11000,"Bathroom")</f>
        <v>0</v>
      </c>
      <c r="M1758" s="52">
        <f ca="1">SUMIFS(OUT!$F$2:$F$11000,OUT!$H$2:$H$11000,H1758,OUT!$D$2:$D$11000,"Out",OUT!$E$2:$E$11000,"Alfa")</f>
        <v>0</v>
      </c>
      <c r="N1758" s="52" t="e">
        <f>SUMIFS(OUT!$F$2:$F$11000,OUT!$H$2:$H$101007,H1758,OUT!$D$2:$D$11000,"Out",OUT!$E$2:$E$11000,"Jajan")</f>
        <v>#VALUE!</v>
      </c>
      <c r="O1758" s="52">
        <f ca="1">SUMIFS(OUT!$F$2:$F$11000,OUT!$H$2:$H$11000,H1758,OUT!$D$2:$D$11000,"Out",OUT!$E$2:$E$11000,"Kitchen")</f>
        <v>0</v>
      </c>
      <c r="P1758" s="52">
        <f ca="1">SUMIFS(OUT!$F$2:$F$11000,OUT!$H$2:$H$11000,H1758,OUT!$D$2:$D$11000,"Out",OUT!$E$2:$E$11000,"Loandry")</f>
        <v>0</v>
      </c>
      <c r="Q1758" s="52">
        <f ca="1">SUMIFS(OUT!$F$2:$F$11000,OUT!$H$2:$H$11000,H1758,OUT!$D$2:$D$11000,"Out",OUT!$E$2:$E$11000,"Mio")</f>
        <v>0</v>
      </c>
      <c r="R1758" s="52">
        <f ca="1">SUMIFS(OUT!$F$2:$F$11000,OUT!$H$2:$H$11000,H1758,OUT!$D$2:$D$11000,"Out",OUT!$E$2:$E$11000,"Sedekah")</f>
        <v>0</v>
      </c>
      <c r="S1758" s="52">
        <f ca="1">SUMIFS(OUT!$F$2:$F$11000,OUT!$H$2:$H$11000,H1758,OUT!$D$2:$D$11000,"Out",OUT!$E$2:$E$11000,"Zela")</f>
        <v>0</v>
      </c>
      <c r="T1758" s="52">
        <f ca="1">SUMIFS(OUT!$F$2:$F$11000,OUT!$H$2:$H$11000,H1758,OUT!$D$2:$D$11000,"Out",OUT!$E$2:$E$11000,"Iqbal")</f>
        <v>0</v>
      </c>
    </row>
    <row r="1759" spans="7:20" x14ac:dyDescent="0.2">
      <c r="G1759" s="50"/>
      <c r="H1759" s="51" t="str">
        <f t="shared" si="0"/>
        <v/>
      </c>
      <c r="I1759" s="52" t="e">
        <f>SUMIFS(OUT!$F$2:$F$11000,OUT!$H$2:$H$11000,H1759,OUT!$D$2:$D$101007,"In")</f>
        <v>#VALUE!</v>
      </c>
      <c r="J1759" s="52">
        <f ca="1">SUMIFS(OUT!$F$2:$F$11000,OUT!$H$2:$H$11000,H1759,OUT!$D$2:$D$11000,"Out")</f>
        <v>0</v>
      </c>
      <c r="K1759" s="52">
        <f ca="1">SUMIFS(OUT!$F$2:$F$11000,OUT!$H$2:$H$11000,H1759,OUT!$D$2:$D$11000,"Out",OUT!$E$2:$E$11000,"Fix")</f>
        <v>0</v>
      </c>
      <c r="L1759" s="52">
        <f ca="1">SUMIFS(OUT!$F$2:$F$11000,OUT!$H$2:$H$11000,H1759,OUT!$D$2:$D$11000,"Out",OUT!$E$2:$E$11000,"Bathroom")</f>
        <v>0</v>
      </c>
      <c r="M1759" s="52">
        <f ca="1">SUMIFS(OUT!$F$2:$F$11000,OUT!$H$2:$H$11000,H1759,OUT!$D$2:$D$11000,"Out",OUT!$E$2:$E$11000,"Alfa")</f>
        <v>0</v>
      </c>
      <c r="N1759" s="52" t="e">
        <f>SUMIFS(OUT!$F$2:$F$11000,OUT!$H$2:$H$101007,H1759,OUT!$D$2:$D$11000,"Out",OUT!$E$2:$E$11000,"Jajan")</f>
        <v>#VALUE!</v>
      </c>
      <c r="O1759" s="52">
        <f ca="1">SUMIFS(OUT!$F$2:$F$11000,OUT!$H$2:$H$11000,H1759,OUT!$D$2:$D$11000,"Out",OUT!$E$2:$E$11000,"Kitchen")</f>
        <v>0</v>
      </c>
      <c r="P1759" s="52">
        <f ca="1">SUMIFS(OUT!$F$2:$F$11000,OUT!$H$2:$H$11000,H1759,OUT!$D$2:$D$11000,"Out",OUT!$E$2:$E$11000,"Loandry")</f>
        <v>0</v>
      </c>
      <c r="Q1759" s="52">
        <f ca="1">SUMIFS(OUT!$F$2:$F$11000,OUT!$H$2:$H$11000,H1759,OUT!$D$2:$D$11000,"Out",OUT!$E$2:$E$11000,"Mio")</f>
        <v>0</v>
      </c>
      <c r="R1759" s="52">
        <f ca="1">SUMIFS(OUT!$F$2:$F$11000,OUT!$H$2:$H$11000,H1759,OUT!$D$2:$D$11000,"Out",OUT!$E$2:$E$11000,"Sedekah")</f>
        <v>0</v>
      </c>
      <c r="S1759" s="52">
        <f ca="1">SUMIFS(OUT!$F$2:$F$11000,OUT!$H$2:$H$11000,H1759,OUT!$D$2:$D$11000,"Out",OUT!$E$2:$E$11000,"Zela")</f>
        <v>0</v>
      </c>
      <c r="T1759" s="52">
        <f ca="1">SUMIFS(OUT!$F$2:$F$11000,OUT!$H$2:$H$11000,H1759,OUT!$D$2:$D$11000,"Out",OUT!$E$2:$E$11000,"Iqbal")</f>
        <v>0</v>
      </c>
    </row>
    <row r="1760" spans="7:20" x14ac:dyDescent="0.2">
      <c r="G1760" s="50"/>
      <c r="H1760" s="51" t="str">
        <f t="shared" si="0"/>
        <v/>
      </c>
      <c r="I1760" s="52" t="e">
        <f>SUMIFS(OUT!$F$2:$F$11000,OUT!$H$2:$H$11000,H1760,OUT!$D$2:$D$101007,"In")</f>
        <v>#VALUE!</v>
      </c>
      <c r="J1760" s="52">
        <f ca="1">SUMIFS(OUT!$F$2:$F$11000,OUT!$H$2:$H$11000,H1760,OUT!$D$2:$D$11000,"Out")</f>
        <v>0</v>
      </c>
      <c r="K1760" s="52">
        <f ca="1">SUMIFS(OUT!$F$2:$F$11000,OUT!$H$2:$H$11000,H1760,OUT!$D$2:$D$11000,"Out",OUT!$E$2:$E$11000,"Fix")</f>
        <v>0</v>
      </c>
      <c r="L1760" s="52">
        <f ca="1">SUMIFS(OUT!$F$2:$F$11000,OUT!$H$2:$H$11000,H1760,OUT!$D$2:$D$11000,"Out",OUT!$E$2:$E$11000,"Bathroom")</f>
        <v>0</v>
      </c>
      <c r="M1760" s="52">
        <f ca="1">SUMIFS(OUT!$F$2:$F$11000,OUT!$H$2:$H$11000,H1760,OUT!$D$2:$D$11000,"Out",OUT!$E$2:$E$11000,"Alfa")</f>
        <v>0</v>
      </c>
      <c r="N1760" s="52" t="e">
        <f>SUMIFS(OUT!$F$2:$F$11000,OUT!$H$2:$H$101007,H1760,OUT!$D$2:$D$11000,"Out",OUT!$E$2:$E$11000,"Jajan")</f>
        <v>#VALUE!</v>
      </c>
      <c r="O1760" s="52">
        <f ca="1">SUMIFS(OUT!$F$2:$F$11000,OUT!$H$2:$H$11000,H1760,OUT!$D$2:$D$11000,"Out",OUT!$E$2:$E$11000,"Kitchen")</f>
        <v>0</v>
      </c>
      <c r="P1760" s="52">
        <f ca="1">SUMIFS(OUT!$F$2:$F$11000,OUT!$H$2:$H$11000,H1760,OUT!$D$2:$D$11000,"Out",OUT!$E$2:$E$11000,"Loandry")</f>
        <v>0</v>
      </c>
      <c r="Q1760" s="52">
        <f ca="1">SUMIFS(OUT!$F$2:$F$11000,OUT!$H$2:$H$11000,H1760,OUT!$D$2:$D$11000,"Out",OUT!$E$2:$E$11000,"Mio")</f>
        <v>0</v>
      </c>
      <c r="R1760" s="52">
        <f ca="1">SUMIFS(OUT!$F$2:$F$11000,OUT!$H$2:$H$11000,H1760,OUT!$D$2:$D$11000,"Out",OUT!$E$2:$E$11000,"Sedekah")</f>
        <v>0</v>
      </c>
      <c r="S1760" s="52">
        <f ca="1">SUMIFS(OUT!$F$2:$F$11000,OUT!$H$2:$H$11000,H1760,OUT!$D$2:$D$11000,"Out",OUT!$E$2:$E$11000,"Zela")</f>
        <v>0</v>
      </c>
      <c r="T1760" s="52">
        <f ca="1">SUMIFS(OUT!$F$2:$F$11000,OUT!$H$2:$H$11000,H1760,OUT!$D$2:$D$11000,"Out",OUT!$E$2:$E$11000,"Iqbal")</f>
        <v>0</v>
      </c>
    </row>
    <row r="1761" spans="7:20" x14ac:dyDescent="0.2">
      <c r="G1761" s="50"/>
      <c r="H1761" s="51" t="str">
        <f t="shared" si="0"/>
        <v/>
      </c>
      <c r="I1761" s="52" t="e">
        <f>SUMIFS(OUT!$F$2:$F$11000,OUT!$H$2:$H$11000,H1761,OUT!$D$2:$D$101007,"In")</f>
        <v>#VALUE!</v>
      </c>
      <c r="J1761" s="52">
        <f ca="1">SUMIFS(OUT!$F$2:$F$11000,OUT!$H$2:$H$11000,H1761,OUT!$D$2:$D$11000,"Out")</f>
        <v>0</v>
      </c>
      <c r="K1761" s="52">
        <f ca="1">SUMIFS(OUT!$F$2:$F$11000,OUT!$H$2:$H$11000,H1761,OUT!$D$2:$D$11000,"Out",OUT!$E$2:$E$11000,"Fix")</f>
        <v>0</v>
      </c>
      <c r="L1761" s="52">
        <f ca="1">SUMIFS(OUT!$F$2:$F$11000,OUT!$H$2:$H$11000,H1761,OUT!$D$2:$D$11000,"Out",OUT!$E$2:$E$11000,"Bathroom")</f>
        <v>0</v>
      </c>
      <c r="M1761" s="52">
        <f ca="1">SUMIFS(OUT!$F$2:$F$11000,OUT!$H$2:$H$11000,H1761,OUT!$D$2:$D$11000,"Out",OUT!$E$2:$E$11000,"Alfa")</f>
        <v>0</v>
      </c>
      <c r="N1761" s="52" t="e">
        <f>SUMIFS(OUT!$F$2:$F$11000,OUT!$H$2:$H$101007,H1761,OUT!$D$2:$D$11000,"Out",OUT!$E$2:$E$11000,"Jajan")</f>
        <v>#VALUE!</v>
      </c>
      <c r="O1761" s="52">
        <f ca="1">SUMIFS(OUT!$F$2:$F$11000,OUT!$H$2:$H$11000,H1761,OUT!$D$2:$D$11000,"Out",OUT!$E$2:$E$11000,"Kitchen")</f>
        <v>0</v>
      </c>
      <c r="P1761" s="52">
        <f ca="1">SUMIFS(OUT!$F$2:$F$11000,OUT!$H$2:$H$11000,H1761,OUT!$D$2:$D$11000,"Out",OUT!$E$2:$E$11000,"Loandry")</f>
        <v>0</v>
      </c>
      <c r="Q1761" s="52">
        <f ca="1">SUMIFS(OUT!$F$2:$F$11000,OUT!$H$2:$H$11000,H1761,OUT!$D$2:$D$11000,"Out",OUT!$E$2:$E$11000,"Mio")</f>
        <v>0</v>
      </c>
      <c r="R1761" s="52">
        <f ca="1">SUMIFS(OUT!$F$2:$F$11000,OUT!$H$2:$H$11000,H1761,OUT!$D$2:$D$11000,"Out",OUT!$E$2:$E$11000,"Sedekah")</f>
        <v>0</v>
      </c>
      <c r="S1761" s="52">
        <f ca="1">SUMIFS(OUT!$F$2:$F$11000,OUT!$H$2:$H$11000,H1761,OUT!$D$2:$D$11000,"Out",OUT!$E$2:$E$11000,"Zela")</f>
        <v>0</v>
      </c>
      <c r="T1761" s="52">
        <f ca="1">SUMIFS(OUT!$F$2:$F$11000,OUT!$H$2:$H$11000,H1761,OUT!$D$2:$D$11000,"Out",OUT!$E$2:$E$11000,"Iqbal")</f>
        <v>0</v>
      </c>
    </row>
    <row r="1762" spans="7:20" x14ac:dyDescent="0.2">
      <c r="G1762" s="50"/>
      <c r="H1762" s="51" t="str">
        <f t="shared" si="0"/>
        <v/>
      </c>
      <c r="I1762" s="52" t="e">
        <f>SUMIFS(OUT!$F$2:$F$11000,OUT!$H$2:$H$11000,H1762,OUT!$D$2:$D$101007,"In")</f>
        <v>#VALUE!</v>
      </c>
      <c r="J1762" s="52">
        <f ca="1">SUMIFS(OUT!$F$2:$F$11000,OUT!$H$2:$H$11000,H1762,OUT!$D$2:$D$11000,"Out")</f>
        <v>0</v>
      </c>
      <c r="K1762" s="52">
        <f ca="1">SUMIFS(OUT!$F$2:$F$11000,OUT!$H$2:$H$11000,H1762,OUT!$D$2:$D$11000,"Out",OUT!$E$2:$E$11000,"Fix")</f>
        <v>0</v>
      </c>
      <c r="L1762" s="52">
        <f ca="1">SUMIFS(OUT!$F$2:$F$11000,OUT!$H$2:$H$11000,H1762,OUT!$D$2:$D$11000,"Out",OUT!$E$2:$E$11000,"Bathroom")</f>
        <v>0</v>
      </c>
      <c r="M1762" s="52">
        <f ca="1">SUMIFS(OUT!$F$2:$F$11000,OUT!$H$2:$H$11000,H1762,OUT!$D$2:$D$11000,"Out",OUT!$E$2:$E$11000,"Alfa")</f>
        <v>0</v>
      </c>
      <c r="N1762" s="52" t="e">
        <f>SUMIFS(OUT!$F$2:$F$11000,OUT!$H$2:$H$101007,H1762,OUT!$D$2:$D$11000,"Out",OUT!$E$2:$E$11000,"Jajan")</f>
        <v>#VALUE!</v>
      </c>
      <c r="O1762" s="52">
        <f ca="1">SUMIFS(OUT!$F$2:$F$11000,OUT!$H$2:$H$11000,H1762,OUT!$D$2:$D$11000,"Out",OUT!$E$2:$E$11000,"Kitchen")</f>
        <v>0</v>
      </c>
      <c r="P1762" s="52">
        <f ca="1">SUMIFS(OUT!$F$2:$F$11000,OUT!$H$2:$H$11000,H1762,OUT!$D$2:$D$11000,"Out",OUT!$E$2:$E$11000,"Loandry")</f>
        <v>0</v>
      </c>
      <c r="Q1762" s="52">
        <f ca="1">SUMIFS(OUT!$F$2:$F$11000,OUT!$H$2:$H$11000,H1762,OUT!$D$2:$D$11000,"Out",OUT!$E$2:$E$11000,"Mio")</f>
        <v>0</v>
      </c>
      <c r="R1762" s="52">
        <f ca="1">SUMIFS(OUT!$F$2:$F$11000,OUT!$H$2:$H$11000,H1762,OUT!$D$2:$D$11000,"Out",OUT!$E$2:$E$11000,"Sedekah")</f>
        <v>0</v>
      </c>
      <c r="S1762" s="52">
        <f ca="1">SUMIFS(OUT!$F$2:$F$11000,OUT!$H$2:$H$11000,H1762,OUT!$D$2:$D$11000,"Out",OUT!$E$2:$E$11000,"Zela")</f>
        <v>0</v>
      </c>
      <c r="T1762" s="52">
        <f ca="1">SUMIFS(OUT!$F$2:$F$11000,OUT!$H$2:$H$11000,H1762,OUT!$D$2:$D$11000,"Out",OUT!$E$2:$E$11000,"Iqbal")</f>
        <v>0</v>
      </c>
    </row>
    <row r="1763" spans="7:20" x14ac:dyDescent="0.2">
      <c r="G1763" s="50"/>
      <c r="H1763" s="51" t="str">
        <f t="shared" si="0"/>
        <v/>
      </c>
      <c r="I1763" s="52" t="e">
        <f>SUMIFS(OUT!$F$2:$F$11000,OUT!$H$2:$H$11000,H1763,OUT!$D$2:$D$101007,"In")</f>
        <v>#VALUE!</v>
      </c>
      <c r="J1763" s="52">
        <f ca="1">SUMIFS(OUT!$F$2:$F$11000,OUT!$H$2:$H$11000,H1763,OUT!$D$2:$D$11000,"Out")</f>
        <v>0</v>
      </c>
      <c r="K1763" s="52">
        <f ca="1">SUMIFS(OUT!$F$2:$F$11000,OUT!$H$2:$H$11000,H1763,OUT!$D$2:$D$11000,"Out",OUT!$E$2:$E$11000,"Fix")</f>
        <v>0</v>
      </c>
      <c r="L1763" s="52">
        <f ca="1">SUMIFS(OUT!$F$2:$F$11000,OUT!$H$2:$H$11000,H1763,OUT!$D$2:$D$11000,"Out",OUT!$E$2:$E$11000,"Bathroom")</f>
        <v>0</v>
      </c>
      <c r="M1763" s="52">
        <f ca="1">SUMIFS(OUT!$F$2:$F$11000,OUT!$H$2:$H$11000,H1763,OUT!$D$2:$D$11000,"Out",OUT!$E$2:$E$11000,"Alfa")</f>
        <v>0</v>
      </c>
      <c r="N1763" s="52" t="e">
        <f>SUMIFS(OUT!$F$2:$F$11000,OUT!$H$2:$H$101007,H1763,OUT!$D$2:$D$11000,"Out",OUT!$E$2:$E$11000,"Jajan")</f>
        <v>#VALUE!</v>
      </c>
      <c r="O1763" s="52">
        <f ca="1">SUMIFS(OUT!$F$2:$F$11000,OUT!$H$2:$H$11000,H1763,OUT!$D$2:$D$11000,"Out",OUT!$E$2:$E$11000,"Kitchen")</f>
        <v>0</v>
      </c>
      <c r="P1763" s="52">
        <f ca="1">SUMIFS(OUT!$F$2:$F$11000,OUT!$H$2:$H$11000,H1763,OUT!$D$2:$D$11000,"Out",OUT!$E$2:$E$11000,"Loandry")</f>
        <v>0</v>
      </c>
      <c r="Q1763" s="52">
        <f ca="1">SUMIFS(OUT!$F$2:$F$11000,OUT!$H$2:$H$11000,H1763,OUT!$D$2:$D$11000,"Out",OUT!$E$2:$E$11000,"Mio")</f>
        <v>0</v>
      </c>
      <c r="R1763" s="52">
        <f ca="1">SUMIFS(OUT!$F$2:$F$11000,OUT!$H$2:$H$11000,H1763,OUT!$D$2:$D$11000,"Out",OUT!$E$2:$E$11000,"Sedekah")</f>
        <v>0</v>
      </c>
      <c r="S1763" s="52">
        <f ca="1">SUMIFS(OUT!$F$2:$F$11000,OUT!$H$2:$H$11000,H1763,OUT!$D$2:$D$11000,"Out",OUT!$E$2:$E$11000,"Zela")</f>
        <v>0</v>
      </c>
      <c r="T1763" s="52">
        <f ca="1">SUMIFS(OUT!$F$2:$F$11000,OUT!$H$2:$H$11000,H1763,OUT!$D$2:$D$11000,"Out",OUT!$E$2:$E$11000,"Iqbal")</f>
        <v>0</v>
      </c>
    </row>
    <row r="1764" spans="7:20" x14ac:dyDescent="0.2">
      <c r="G1764" s="50"/>
      <c r="H1764" s="51" t="str">
        <f t="shared" si="0"/>
        <v/>
      </c>
      <c r="I1764" s="52" t="e">
        <f>SUMIFS(OUT!$F$2:$F$11000,OUT!$H$2:$H$11000,H1764,OUT!$D$2:$D$101007,"In")</f>
        <v>#VALUE!</v>
      </c>
      <c r="J1764" s="52">
        <f ca="1">SUMIFS(OUT!$F$2:$F$11000,OUT!$H$2:$H$11000,H1764,OUT!$D$2:$D$11000,"Out")</f>
        <v>0</v>
      </c>
      <c r="K1764" s="52">
        <f ca="1">SUMIFS(OUT!$F$2:$F$11000,OUT!$H$2:$H$11000,H1764,OUT!$D$2:$D$11000,"Out",OUT!$E$2:$E$11000,"Fix")</f>
        <v>0</v>
      </c>
      <c r="L1764" s="52">
        <f ca="1">SUMIFS(OUT!$F$2:$F$11000,OUT!$H$2:$H$11000,H1764,OUT!$D$2:$D$11000,"Out",OUT!$E$2:$E$11000,"Bathroom")</f>
        <v>0</v>
      </c>
      <c r="M1764" s="52">
        <f ca="1">SUMIFS(OUT!$F$2:$F$11000,OUT!$H$2:$H$11000,H1764,OUT!$D$2:$D$11000,"Out",OUT!$E$2:$E$11000,"Alfa")</f>
        <v>0</v>
      </c>
      <c r="N1764" s="52" t="e">
        <f>SUMIFS(OUT!$F$2:$F$11000,OUT!$H$2:$H$101007,H1764,OUT!$D$2:$D$11000,"Out",OUT!$E$2:$E$11000,"Jajan")</f>
        <v>#VALUE!</v>
      </c>
      <c r="O1764" s="52">
        <f ca="1">SUMIFS(OUT!$F$2:$F$11000,OUT!$H$2:$H$11000,H1764,OUT!$D$2:$D$11000,"Out",OUT!$E$2:$E$11000,"Kitchen")</f>
        <v>0</v>
      </c>
      <c r="P1764" s="52">
        <f ca="1">SUMIFS(OUT!$F$2:$F$11000,OUT!$H$2:$H$11000,H1764,OUT!$D$2:$D$11000,"Out",OUT!$E$2:$E$11000,"Loandry")</f>
        <v>0</v>
      </c>
      <c r="Q1764" s="52">
        <f ca="1">SUMIFS(OUT!$F$2:$F$11000,OUT!$H$2:$H$11000,H1764,OUT!$D$2:$D$11000,"Out",OUT!$E$2:$E$11000,"Mio")</f>
        <v>0</v>
      </c>
      <c r="R1764" s="52">
        <f ca="1">SUMIFS(OUT!$F$2:$F$11000,OUT!$H$2:$H$11000,H1764,OUT!$D$2:$D$11000,"Out",OUT!$E$2:$E$11000,"Sedekah")</f>
        <v>0</v>
      </c>
      <c r="S1764" s="52">
        <f ca="1">SUMIFS(OUT!$F$2:$F$11000,OUT!$H$2:$H$11000,H1764,OUT!$D$2:$D$11000,"Out",OUT!$E$2:$E$11000,"Zela")</f>
        <v>0</v>
      </c>
      <c r="T1764" s="52">
        <f ca="1">SUMIFS(OUT!$F$2:$F$11000,OUT!$H$2:$H$11000,H1764,OUT!$D$2:$D$11000,"Out",OUT!$E$2:$E$11000,"Iqbal")</f>
        <v>0</v>
      </c>
    </row>
    <row r="1765" spans="7:20" x14ac:dyDescent="0.2">
      <c r="G1765" s="50"/>
      <c r="H1765" s="51" t="str">
        <f t="shared" si="0"/>
        <v/>
      </c>
      <c r="I1765" s="52" t="e">
        <f>SUMIFS(OUT!$F$2:$F$11000,OUT!$H$2:$H$11000,H1765,OUT!$D$2:$D$101007,"In")</f>
        <v>#VALUE!</v>
      </c>
      <c r="J1765" s="52">
        <f ca="1">SUMIFS(OUT!$F$2:$F$11000,OUT!$H$2:$H$11000,H1765,OUT!$D$2:$D$11000,"Out")</f>
        <v>0</v>
      </c>
      <c r="K1765" s="52">
        <f ca="1">SUMIFS(OUT!$F$2:$F$11000,OUT!$H$2:$H$11000,H1765,OUT!$D$2:$D$11000,"Out",OUT!$E$2:$E$11000,"Fix")</f>
        <v>0</v>
      </c>
      <c r="L1765" s="52">
        <f ca="1">SUMIFS(OUT!$F$2:$F$11000,OUT!$H$2:$H$11000,H1765,OUT!$D$2:$D$11000,"Out",OUT!$E$2:$E$11000,"Bathroom")</f>
        <v>0</v>
      </c>
      <c r="M1765" s="52">
        <f ca="1">SUMIFS(OUT!$F$2:$F$11000,OUT!$H$2:$H$11000,H1765,OUT!$D$2:$D$11000,"Out",OUT!$E$2:$E$11000,"Alfa")</f>
        <v>0</v>
      </c>
      <c r="N1765" s="52" t="e">
        <f>SUMIFS(OUT!$F$2:$F$11000,OUT!$H$2:$H$101007,H1765,OUT!$D$2:$D$11000,"Out",OUT!$E$2:$E$11000,"Jajan")</f>
        <v>#VALUE!</v>
      </c>
      <c r="O1765" s="52">
        <f ca="1">SUMIFS(OUT!$F$2:$F$11000,OUT!$H$2:$H$11000,H1765,OUT!$D$2:$D$11000,"Out",OUT!$E$2:$E$11000,"Kitchen")</f>
        <v>0</v>
      </c>
      <c r="P1765" s="52">
        <f ca="1">SUMIFS(OUT!$F$2:$F$11000,OUT!$H$2:$H$11000,H1765,OUT!$D$2:$D$11000,"Out",OUT!$E$2:$E$11000,"Loandry")</f>
        <v>0</v>
      </c>
      <c r="Q1765" s="52">
        <f ca="1">SUMIFS(OUT!$F$2:$F$11000,OUT!$H$2:$H$11000,H1765,OUT!$D$2:$D$11000,"Out",OUT!$E$2:$E$11000,"Mio")</f>
        <v>0</v>
      </c>
      <c r="R1765" s="52">
        <f ca="1">SUMIFS(OUT!$F$2:$F$11000,OUT!$H$2:$H$11000,H1765,OUT!$D$2:$D$11000,"Out",OUT!$E$2:$E$11000,"Sedekah")</f>
        <v>0</v>
      </c>
      <c r="S1765" s="52">
        <f ca="1">SUMIFS(OUT!$F$2:$F$11000,OUT!$H$2:$H$11000,H1765,OUT!$D$2:$D$11000,"Out",OUT!$E$2:$E$11000,"Zela")</f>
        <v>0</v>
      </c>
      <c r="T1765" s="52">
        <f ca="1">SUMIFS(OUT!$F$2:$F$11000,OUT!$H$2:$H$11000,H1765,OUT!$D$2:$D$11000,"Out",OUT!$E$2:$E$11000,"Iqbal")</f>
        <v>0</v>
      </c>
    </row>
    <row r="1766" spans="7:20" x14ac:dyDescent="0.2">
      <c r="G1766" s="50"/>
      <c r="H1766" s="51" t="str">
        <f t="shared" si="0"/>
        <v/>
      </c>
      <c r="I1766" s="52" t="e">
        <f>SUMIFS(OUT!$F$2:$F$11000,OUT!$H$2:$H$11000,H1766,OUT!$D$2:$D$101007,"In")</f>
        <v>#VALUE!</v>
      </c>
      <c r="J1766" s="52">
        <f ca="1">SUMIFS(OUT!$F$2:$F$11000,OUT!$H$2:$H$11000,H1766,OUT!$D$2:$D$11000,"Out")</f>
        <v>0</v>
      </c>
      <c r="K1766" s="52">
        <f ca="1">SUMIFS(OUT!$F$2:$F$11000,OUT!$H$2:$H$11000,H1766,OUT!$D$2:$D$11000,"Out",OUT!$E$2:$E$11000,"Fix")</f>
        <v>0</v>
      </c>
      <c r="L1766" s="52">
        <f ca="1">SUMIFS(OUT!$F$2:$F$11000,OUT!$H$2:$H$11000,H1766,OUT!$D$2:$D$11000,"Out",OUT!$E$2:$E$11000,"Bathroom")</f>
        <v>0</v>
      </c>
      <c r="M1766" s="52">
        <f ca="1">SUMIFS(OUT!$F$2:$F$11000,OUT!$H$2:$H$11000,H1766,OUT!$D$2:$D$11000,"Out",OUT!$E$2:$E$11000,"Alfa")</f>
        <v>0</v>
      </c>
      <c r="N1766" s="52" t="e">
        <f>SUMIFS(OUT!$F$2:$F$11000,OUT!$H$2:$H$101007,H1766,OUT!$D$2:$D$11000,"Out",OUT!$E$2:$E$11000,"Jajan")</f>
        <v>#VALUE!</v>
      </c>
      <c r="O1766" s="52">
        <f ca="1">SUMIFS(OUT!$F$2:$F$11000,OUT!$H$2:$H$11000,H1766,OUT!$D$2:$D$11000,"Out",OUT!$E$2:$E$11000,"Kitchen")</f>
        <v>0</v>
      </c>
      <c r="P1766" s="52">
        <f ca="1">SUMIFS(OUT!$F$2:$F$11000,OUT!$H$2:$H$11000,H1766,OUT!$D$2:$D$11000,"Out",OUT!$E$2:$E$11000,"Loandry")</f>
        <v>0</v>
      </c>
      <c r="Q1766" s="52">
        <f ca="1">SUMIFS(OUT!$F$2:$F$11000,OUT!$H$2:$H$11000,H1766,OUT!$D$2:$D$11000,"Out",OUT!$E$2:$E$11000,"Mio")</f>
        <v>0</v>
      </c>
      <c r="R1766" s="52">
        <f ca="1">SUMIFS(OUT!$F$2:$F$11000,OUT!$H$2:$H$11000,H1766,OUT!$D$2:$D$11000,"Out",OUT!$E$2:$E$11000,"Sedekah")</f>
        <v>0</v>
      </c>
      <c r="S1766" s="52">
        <f ca="1">SUMIFS(OUT!$F$2:$F$11000,OUT!$H$2:$H$11000,H1766,OUT!$D$2:$D$11000,"Out",OUT!$E$2:$E$11000,"Zela")</f>
        <v>0</v>
      </c>
      <c r="T1766" s="52">
        <f ca="1">SUMIFS(OUT!$F$2:$F$11000,OUT!$H$2:$H$11000,H1766,OUT!$D$2:$D$11000,"Out",OUT!$E$2:$E$11000,"Iqbal")</f>
        <v>0</v>
      </c>
    </row>
    <row r="1767" spans="7:20" x14ac:dyDescent="0.2">
      <c r="G1767" s="50"/>
      <c r="H1767" s="51" t="str">
        <f t="shared" si="0"/>
        <v/>
      </c>
      <c r="I1767" s="52" t="e">
        <f>SUMIFS(OUT!$F$2:$F$11000,OUT!$H$2:$H$11000,H1767,OUT!$D$2:$D$101007,"In")</f>
        <v>#VALUE!</v>
      </c>
      <c r="J1767" s="52">
        <f ca="1">SUMIFS(OUT!$F$2:$F$11000,OUT!$H$2:$H$11000,H1767,OUT!$D$2:$D$11000,"Out")</f>
        <v>0</v>
      </c>
      <c r="K1767" s="52">
        <f ca="1">SUMIFS(OUT!$F$2:$F$11000,OUT!$H$2:$H$11000,H1767,OUT!$D$2:$D$11000,"Out",OUT!$E$2:$E$11000,"Fix")</f>
        <v>0</v>
      </c>
      <c r="L1767" s="52">
        <f ca="1">SUMIFS(OUT!$F$2:$F$11000,OUT!$H$2:$H$11000,H1767,OUT!$D$2:$D$11000,"Out",OUT!$E$2:$E$11000,"Bathroom")</f>
        <v>0</v>
      </c>
      <c r="M1767" s="52">
        <f ca="1">SUMIFS(OUT!$F$2:$F$11000,OUT!$H$2:$H$11000,H1767,OUT!$D$2:$D$11000,"Out",OUT!$E$2:$E$11000,"Alfa")</f>
        <v>0</v>
      </c>
      <c r="N1767" s="52" t="e">
        <f>SUMIFS(OUT!$F$2:$F$11000,OUT!$H$2:$H$101007,H1767,OUT!$D$2:$D$11000,"Out",OUT!$E$2:$E$11000,"Jajan")</f>
        <v>#VALUE!</v>
      </c>
      <c r="O1767" s="52">
        <f ca="1">SUMIFS(OUT!$F$2:$F$11000,OUT!$H$2:$H$11000,H1767,OUT!$D$2:$D$11000,"Out",OUT!$E$2:$E$11000,"Kitchen")</f>
        <v>0</v>
      </c>
      <c r="P1767" s="52">
        <f ca="1">SUMIFS(OUT!$F$2:$F$11000,OUT!$H$2:$H$11000,H1767,OUT!$D$2:$D$11000,"Out",OUT!$E$2:$E$11000,"Loandry")</f>
        <v>0</v>
      </c>
      <c r="Q1767" s="52">
        <f ca="1">SUMIFS(OUT!$F$2:$F$11000,OUT!$H$2:$H$11000,H1767,OUT!$D$2:$D$11000,"Out",OUT!$E$2:$E$11000,"Mio")</f>
        <v>0</v>
      </c>
      <c r="R1767" s="52">
        <f ca="1">SUMIFS(OUT!$F$2:$F$11000,OUT!$H$2:$H$11000,H1767,OUT!$D$2:$D$11000,"Out",OUT!$E$2:$E$11000,"Sedekah")</f>
        <v>0</v>
      </c>
      <c r="S1767" s="52">
        <f ca="1">SUMIFS(OUT!$F$2:$F$11000,OUT!$H$2:$H$11000,H1767,OUT!$D$2:$D$11000,"Out",OUT!$E$2:$E$11000,"Zela")</f>
        <v>0</v>
      </c>
      <c r="T1767" s="52">
        <f ca="1">SUMIFS(OUT!$F$2:$F$11000,OUT!$H$2:$H$11000,H1767,OUT!$D$2:$D$11000,"Out",OUT!$E$2:$E$11000,"Iqbal")</f>
        <v>0</v>
      </c>
    </row>
    <row r="1768" spans="7:20" x14ac:dyDescent="0.2">
      <c r="G1768" s="50"/>
      <c r="H1768" s="51" t="str">
        <f t="shared" si="0"/>
        <v/>
      </c>
      <c r="I1768" s="52" t="e">
        <f>SUMIFS(OUT!$F$2:$F$11000,OUT!$H$2:$H$11000,H1768,OUT!$D$2:$D$101007,"In")</f>
        <v>#VALUE!</v>
      </c>
      <c r="J1768" s="52">
        <f ca="1">SUMIFS(OUT!$F$2:$F$11000,OUT!$H$2:$H$11000,H1768,OUT!$D$2:$D$11000,"Out")</f>
        <v>0</v>
      </c>
      <c r="K1768" s="52">
        <f ca="1">SUMIFS(OUT!$F$2:$F$11000,OUT!$H$2:$H$11000,H1768,OUT!$D$2:$D$11000,"Out",OUT!$E$2:$E$11000,"Fix")</f>
        <v>0</v>
      </c>
      <c r="L1768" s="52">
        <f ca="1">SUMIFS(OUT!$F$2:$F$11000,OUT!$H$2:$H$11000,H1768,OUT!$D$2:$D$11000,"Out",OUT!$E$2:$E$11000,"Bathroom")</f>
        <v>0</v>
      </c>
      <c r="M1768" s="52">
        <f ca="1">SUMIFS(OUT!$F$2:$F$11000,OUT!$H$2:$H$11000,H1768,OUT!$D$2:$D$11000,"Out",OUT!$E$2:$E$11000,"Alfa")</f>
        <v>0</v>
      </c>
      <c r="N1768" s="52" t="e">
        <f>SUMIFS(OUT!$F$2:$F$11000,OUT!$H$2:$H$101007,H1768,OUT!$D$2:$D$11000,"Out",OUT!$E$2:$E$11000,"Jajan")</f>
        <v>#VALUE!</v>
      </c>
      <c r="O1768" s="52">
        <f ca="1">SUMIFS(OUT!$F$2:$F$11000,OUT!$H$2:$H$11000,H1768,OUT!$D$2:$D$11000,"Out",OUT!$E$2:$E$11000,"Kitchen")</f>
        <v>0</v>
      </c>
      <c r="P1768" s="52">
        <f ca="1">SUMIFS(OUT!$F$2:$F$11000,OUT!$H$2:$H$11000,H1768,OUT!$D$2:$D$11000,"Out",OUT!$E$2:$E$11000,"Loandry")</f>
        <v>0</v>
      </c>
      <c r="Q1768" s="52">
        <f ca="1">SUMIFS(OUT!$F$2:$F$11000,OUT!$H$2:$H$11000,H1768,OUT!$D$2:$D$11000,"Out",OUT!$E$2:$E$11000,"Mio")</f>
        <v>0</v>
      </c>
      <c r="R1768" s="52">
        <f ca="1">SUMIFS(OUT!$F$2:$F$11000,OUT!$H$2:$H$11000,H1768,OUT!$D$2:$D$11000,"Out",OUT!$E$2:$E$11000,"Sedekah")</f>
        <v>0</v>
      </c>
      <c r="S1768" s="52">
        <f ca="1">SUMIFS(OUT!$F$2:$F$11000,OUT!$H$2:$H$11000,H1768,OUT!$D$2:$D$11000,"Out",OUT!$E$2:$E$11000,"Zela")</f>
        <v>0</v>
      </c>
      <c r="T1768" s="52">
        <f ca="1">SUMIFS(OUT!$F$2:$F$11000,OUT!$H$2:$H$11000,H1768,OUT!$D$2:$D$11000,"Out",OUT!$E$2:$E$11000,"Iqbal")</f>
        <v>0</v>
      </c>
    </row>
    <row r="1769" spans="7:20" x14ac:dyDescent="0.2">
      <c r="G1769" s="50"/>
      <c r="H1769" s="51" t="str">
        <f t="shared" si="0"/>
        <v/>
      </c>
      <c r="I1769" s="52" t="e">
        <f>SUMIFS(OUT!$F$2:$F$11000,OUT!$H$2:$H$11000,H1769,OUT!$D$2:$D$101007,"In")</f>
        <v>#VALUE!</v>
      </c>
      <c r="J1769" s="52">
        <f ca="1">SUMIFS(OUT!$F$2:$F$11000,OUT!$H$2:$H$11000,H1769,OUT!$D$2:$D$11000,"Out")</f>
        <v>0</v>
      </c>
      <c r="K1769" s="52">
        <f ca="1">SUMIFS(OUT!$F$2:$F$11000,OUT!$H$2:$H$11000,H1769,OUT!$D$2:$D$11000,"Out",OUT!$E$2:$E$11000,"Fix")</f>
        <v>0</v>
      </c>
      <c r="L1769" s="52">
        <f ca="1">SUMIFS(OUT!$F$2:$F$11000,OUT!$H$2:$H$11000,H1769,OUT!$D$2:$D$11000,"Out",OUT!$E$2:$E$11000,"Bathroom")</f>
        <v>0</v>
      </c>
      <c r="M1769" s="52">
        <f ca="1">SUMIFS(OUT!$F$2:$F$11000,OUT!$H$2:$H$11000,H1769,OUT!$D$2:$D$11000,"Out",OUT!$E$2:$E$11000,"Alfa")</f>
        <v>0</v>
      </c>
      <c r="N1769" s="52" t="e">
        <f>SUMIFS(OUT!$F$2:$F$11000,OUT!$H$2:$H$101007,H1769,OUT!$D$2:$D$11000,"Out",OUT!$E$2:$E$11000,"Jajan")</f>
        <v>#VALUE!</v>
      </c>
      <c r="O1769" s="52">
        <f ca="1">SUMIFS(OUT!$F$2:$F$11000,OUT!$H$2:$H$11000,H1769,OUT!$D$2:$D$11000,"Out",OUT!$E$2:$E$11000,"Kitchen")</f>
        <v>0</v>
      </c>
      <c r="P1769" s="52">
        <f ca="1">SUMIFS(OUT!$F$2:$F$11000,OUT!$H$2:$H$11000,H1769,OUT!$D$2:$D$11000,"Out",OUT!$E$2:$E$11000,"Loandry")</f>
        <v>0</v>
      </c>
      <c r="Q1769" s="52">
        <f ca="1">SUMIFS(OUT!$F$2:$F$11000,OUT!$H$2:$H$11000,H1769,OUT!$D$2:$D$11000,"Out",OUT!$E$2:$E$11000,"Mio")</f>
        <v>0</v>
      </c>
      <c r="R1769" s="52">
        <f ca="1">SUMIFS(OUT!$F$2:$F$11000,OUT!$H$2:$H$11000,H1769,OUT!$D$2:$D$11000,"Out",OUT!$E$2:$E$11000,"Sedekah")</f>
        <v>0</v>
      </c>
      <c r="S1769" s="52">
        <f ca="1">SUMIFS(OUT!$F$2:$F$11000,OUT!$H$2:$H$11000,H1769,OUT!$D$2:$D$11000,"Out",OUT!$E$2:$E$11000,"Zela")</f>
        <v>0</v>
      </c>
      <c r="T1769" s="52">
        <f ca="1">SUMIFS(OUT!$F$2:$F$11000,OUT!$H$2:$H$11000,H1769,OUT!$D$2:$D$11000,"Out",OUT!$E$2:$E$11000,"Iqbal")</f>
        <v>0</v>
      </c>
    </row>
    <row r="1770" spans="7:20" x14ac:dyDescent="0.2">
      <c r="G1770" s="50"/>
      <c r="H1770" s="51" t="str">
        <f t="shared" si="0"/>
        <v/>
      </c>
      <c r="I1770" s="52" t="e">
        <f>SUMIFS(OUT!$F$2:$F$11000,OUT!$H$2:$H$11000,H1770,OUT!$D$2:$D$101007,"In")</f>
        <v>#VALUE!</v>
      </c>
      <c r="J1770" s="52">
        <f ca="1">SUMIFS(OUT!$F$2:$F$11000,OUT!$H$2:$H$11000,H1770,OUT!$D$2:$D$11000,"Out")</f>
        <v>0</v>
      </c>
      <c r="K1770" s="52">
        <f ca="1">SUMIFS(OUT!$F$2:$F$11000,OUT!$H$2:$H$11000,H1770,OUT!$D$2:$D$11000,"Out",OUT!$E$2:$E$11000,"Fix")</f>
        <v>0</v>
      </c>
      <c r="L1770" s="52">
        <f ca="1">SUMIFS(OUT!$F$2:$F$11000,OUT!$H$2:$H$11000,H1770,OUT!$D$2:$D$11000,"Out",OUT!$E$2:$E$11000,"Bathroom")</f>
        <v>0</v>
      </c>
      <c r="M1770" s="52">
        <f ca="1">SUMIFS(OUT!$F$2:$F$11000,OUT!$H$2:$H$11000,H1770,OUT!$D$2:$D$11000,"Out",OUT!$E$2:$E$11000,"Alfa")</f>
        <v>0</v>
      </c>
      <c r="N1770" s="52" t="e">
        <f>SUMIFS(OUT!$F$2:$F$11000,OUT!$H$2:$H$101007,H1770,OUT!$D$2:$D$11000,"Out",OUT!$E$2:$E$11000,"Jajan")</f>
        <v>#VALUE!</v>
      </c>
      <c r="O1770" s="52">
        <f ca="1">SUMIFS(OUT!$F$2:$F$11000,OUT!$H$2:$H$11000,H1770,OUT!$D$2:$D$11000,"Out",OUT!$E$2:$E$11000,"Kitchen")</f>
        <v>0</v>
      </c>
      <c r="P1770" s="52">
        <f ca="1">SUMIFS(OUT!$F$2:$F$11000,OUT!$H$2:$H$11000,H1770,OUT!$D$2:$D$11000,"Out",OUT!$E$2:$E$11000,"Loandry")</f>
        <v>0</v>
      </c>
      <c r="Q1770" s="52">
        <f ca="1">SUMIFS(OUT!$F$2:$F$11000,OUT!$H$2:$H$11000,H1770,OUT!$D$2:$D$11000,"Out",OUT!$E$2:$E$11000,"Mio")</f>
        <v>0</v>
      </c>
      <c r="R1770" s="52">
        <f ca="1">SUMIFS(OUT!$F$2:$F$11000,OUT!$H$2:$H$11000,H1770,OUT!$D$2:$D$11000,"Out",OUT!$E$2:$E$11000,"Sedekah")</f>
        <v>0</v>
      </c>
      <c r="S1770" s="52">
        <f ca="1">SUMIFS(OUT!$F$2:$F$11000,OUT!$H$2:$H$11000,H1770,OUT!$D$2:$D$11000,"Out",OUT!$E$2:$E$11000,"Zela")</f>
        <v>0</v>
      </c>
      <c r="T1770" s="52">
        <f ca="1">SUMIFS(OUT!$F$2:$F$11000,OUT!$H$2:$H$11000,H1770,OUT!$D$2:$D$11000,"Out",OUT!$E$2:$E$11000,"Iqbal")</f>
        <v>0</v>
      </c>
    </row>
    <row r="1771" spans="7:20" x14ac:dyDescent="0.2">
      <c r="G1771" s="50"/>
      <c r="H1771" s="51" t="str">
        <f t="shared" si="0"/>
        <v/>
      </c>
      <c r="I1771" s="52" t="e">
        <f>SUMIFS(OUT!$F$2:$F$11000,OUT!$H$2:$H$11000,H1771,OUT!$D$2:$D$101007,"In")</f>
        <v>#VALUE!</v>
      </c>
      <c r="J1771" s="52">
        <f ca="1">SUMIFS(OUT!$F$2:$F$11000,OUT!$H$2:$H$11000,H1771,OUT!$D$2:$D$11000,"Out")</f>
        <v>0</v>
      </c>
      <c r="K1771" s="52">
        <f ca="1">SUMIFS(OUT!$F$2:$F$11000,OUT!$H$2:$H$11000,H1771,OUT!$D$2:$D$11000,"Out",OUT!$E$2:$E$11000,"Fix")</f>
        <v>0</v>
      </c>
      <c r="L1771" s="52">
        <f ca="1">SUMIFS(OUT!$F$2:$F$11000,OUT!$H$2:$H$11000,H1771,OUT!$D$2:$D$11000,"Out",OUT!$E$2:$E$11000,"Bathroom")</f>
        <v>0</v>
      </c>
      <c r="M1771" s="52">
        <f ca="1">SUMIFS(OUT!$F$2:$F$11000,OUT!$H$2:$H$11000,H1771,OUT!$D$2:$D$11000,"Out",OUT!$E$2:$E$11000,"Alfa")</f>
        <v>0</v>
      </c>
      <c r="N1771" s="52" t="e">
        <f>SUMIFS(OUT!$F$2:$F$11000,OUT!$H$2:$H$101007,H1771,OUT!$D$2:$D$11000,"Out",OUT!$E$2:$E$11000,"Jajan")</f>
        <v>#VALUE!</v>
      </c>
      <c r="O1771" s="52">
        <f ca="1">SUMIFS(OUT!$F$2:$F$11000,OUT!$H$2:$H$11000,H1771,OUT!$D$2:$D$11000,"Out",OUT!$E$2:$E$11000,"Kitchen")</f>
        <v>0</v>
      </c>
      <c r="P1771" s="52">
        <f ca="1">SUMIFS(OUT!$F$2:$F$11000,OUT!$H$2:$H$11000,H1771,OUT!$D$2:$D$11000,"Out",OUT!$E$2:$E$11000,"Loandry")</f>
        <v>0</v>
      </c>
      <c r="Q1771" s="52">
        <f ca="1">SUMIFS(OUT!$F$2:$F$11000,OUT!$H$2:$H$11000,H1771,OUT!$D$2:$D$11000,"Out",OUT!$E$2:$E$11000,"Mio")</f>
        <v>0</v>
      </c>
      <c r="R1771" s="52">
        <f ca="1">SUMIFS(OUT!$F$2:$F$11000,OUT!$H$2:$H$11000,H1771,OUT!$D$2:$D$11000,"Out",OUT!$E$2:$E$11000,"Sedekah")</f>
        <v>0</v>
      </c>
      <c r="S1771" s="52">
        <f ca="1">SUMIFS(OUT!$F$2:$F$11000,OUT!$H$2:$H$11000,H1771,OUT!$D$2:$D$11000,"Out",OUT!$E$2:$E$11000,"Zela")</f>
        <v>0</v>
      </c>
      <c r="T1771" s="52">
        <f ca="1">SUMIFS(OUT!$F$2:$F$11000,OUT!$H$2:$H$11000,H1771,OUT!$D$2:$D$11000,"Out",OUT!$E$2:$E$11000,"Iqbal")</f>
        <v>0</v>
      </c>
    </row>
    <row r="1772" spans="7:20" x14ac:dyDescent="0.2">
      <c r="G1772" s="50"/>
      <c r="H1772" s="51" t="str">
        <f t="shared" si="0"/>
        <v/>
      </c>
      <c r="I1772" s="52" t="e">
        <f>SUMIFS(OUT!$F$2:$F$11000,OUT!$H$2:$H$11000,H1772,OUT!$D$2:$D$101007,"In")</f>
        <v>#VALUE!</v>
      </c>
      <c r="J1772" s="52">
        <f ca="1">SUMIFS(OUT!$F$2:$F$11000,OUT!$H$2:$H$11000,H1772,OUT!$D$2:$D$11000,"Out")</f>
        <v>0</v>
      </c>
      <c r="K1772" s="52">
        <f ca="1">SUMIFS(OUT!$F$2:$F$11000,OUT!$H$2:$H$11000,H1772,OUT!$D$2:$D$11000,"Out",OUT!$E$2:$E$11000,"Fix")</f>
        <v>0</v>
      </c>
      <c r="L1772" s="52">
        <f ca="1">SUMIFS(OUT!$F$2:$F$11000,OUT!$H$2:$H$11000,H1772,OUT!$D$2:$D$11000,"Out",OUT!$E$2:$E$11000,"Bathroom")</f>
        <v>0</v>
      </c>
      <c r="M1772" s="52">
        <f ca="1">SUMIFS(OUT!$F$2:$F$11000,OUT!$H$2:$H$11000,H1772,OUT!$D$2:$D$11000,"Out",OUT!$E$2:$E$11000,"Alfa")</f>
        <v>0</v>
      </c>
      <c r="N1772" s="52" t="e">
        <f>SUMIFS(OUT!$F$2:$F$11000,OUT!$H$2:$H$101007,H1772,OUT!$D$2:$D$11000,"Out",OUT!$E$2:$E$11000,"Jajan")</f>
        <v>#VALUE!</v>
      </c>
      <c r="O1772" s="52">
        <f ca="1">SUMIFS(OUT!$F$2:$F$11000,OUT!$H$2:$H$11000,H1772,OUT!$D$2:$D$11000,"Out",OUT!$E$2:$E$11000,"Kitchen")</f>
        <v>0</v>
      </c>
      <c r="P1772" s="52">
        <f ca="1">SUMIFS(OUT!$F$2:$F$11000,OUT!$H$2:$H$11000,H1772,OUT!$D$2:$D$11000,"Out",OUT!$E$2:$E$11000,"Loandry")</f>
        <v>0</v>
      </c>
      <c r="Q1772" s="52">
        <f ca="1">SUMIFS(OUT!$F$2:$F$11000,OUT!$H$2:$H$11000,H1772,OUT!$D$2:$D$11000,"Out",OUT!$E$2:$E$11000,"Mio")</f>
        <v>0</v>
      </c>
      <c r="R1772" s="52">
        <f ca="1">SUMIFS(OUT!$F$2:$F$11000,OUT!$H$2:$H$11000,H1772,OUT!$D$2:$D$11000,"Out",OUT!$E$2:$E$11000,"Sedekah")</f>
        <v>0</v>
      </c>
      <c r="S1772" s="52">
        <f ca="1">SUMIFS(OUT!$F$2:$F$11000,OUT!$H$2:$H$11000,H1772,OUT!$D$2:$D$11000,"Out",OUT!$E$2:$E$11000,"Zela")</f>
        <v>0</v>
      </c>
      <c r="T1772" s="52">
        <f ca="1">SUMIFS(OUT!$F$2:$F$11000,OUT!$H$2:$H$11000,H1772,OUT!$D$2:$D$11000,"Out",OUT!$E$2:$E$11000,"Iqbal")</f>
        <v>0</v>
      </c>
    </row>
    <row r="1773" spans="7:20" x14ac:dyDescent="0.2">
      <c r="G1773" s="50"/>
      <c r="H1773" s="51" t="str">
        <f t="shared" si="0"/>
        <v/>
      </c>
      <c r="I1773" s="52" t="e">
        <f>SUMIFS(OUT!$F$2:$F$11000,OUT!$H$2:$H$11000,H1773,OUT!$D$2:$D$101007,"In")</f>
        <v>#VALUE!</v>
      </c>
      <c r="J1773" s="52">
        <f ca="1">SUMIFS(OUT!$F$2:$F$11000,OUT!$H$2:$H$11000,H1773,OUT!$D$2:$D$11000,"Out")</f>
        <v>0</v>
      </c>
      <c r="K1773" s="52">
        <f ca="1">SUMIFS(OUT!$F$2:$F$11000,OUT!$H$2:$H$11000,H1773,OUT!$D$2:$D$11000,"Out",OUT!$E$2:$E$11000,"Fix")</f>
        <v>0</v>
      </c>
      <c r="L1773" s="52">
        <f ca="1">SUMIFS(OUT!$F$2:$F$11000,OUT!$H$2:$H$11000,H1773,OUT!$D$2:$D$11000,"Out",OUT!$E$2:$E$11000,"Bathroom")</f>
        <v>0</v>
      </c>
      <c r="M1773" s="52">
        <f ca="1">SUMIFS(OUT!$F$2:$F$11000,OUT!$H$2:$H$11000,H1773,OUT!$D$2:$D$11000,"Out",OUT!$E$2:$E$11000,"Alfa")</f>
        <v>0</v>
      </c>
      <c r="N1773" s="52" t="e">
        <f>SUMIFS(OUT!$F$2:$F$11000,OUT!$H$2:$H$101007,H1773,OUT!$D$2:$D$11000,"Out",OUT!$E$2:$E$11000,"Jajan")</f>
        <v>#VALUE!</v>
      </c>
      <c r="O1773" s="52">
        <f ca="1">SUMIFS(OUT!$F$2:$F$11000,OUT!$H$2:$H$11000,H1773,OUT!$D$2:$D$11000,"Out",OUT!$E$2:$E$11000,"Kitchen")</f>
        <v>0</v>
      </c>
      <c r="P1773" s="52">
        <f ca="1">SUMIFS(OUT!$F$2:$F$11000,OUT!$H$2:$H$11000,H1773,OUT!$D$2:$D$11000,"Out",OUT!$E$2:$E$11000,"Loandry")</f>
        <v>0</v>
      </c>
      <c r="Q1773" s="52">
        <f ca="1">SUMIFS(OUT!$F$2:$F$11000,OUT!$H$2:$H$11000,H1773,OUT!$D$2:$D$11000,"Out",OUT!$E$2:$E$11000,"Mio")</f>
        <v>0</v>
      </c>
      <c r="R1773" s="52">
        <f ca="1">SUMIFS(OUT!$F$2:$F$11000,OUT!$H$2:$H$11000,H1773,OUT!$D$2:$D$11000,"Out",OUT!$E$2:$E$11000,"Sedekah")</f>
        <v>0</v>
      </c>
      <c r="S1773" s="52">
        <f ca="1">SUMIFS(OUT!$F$2:$F$11000,OUT!$H$2:$H$11000,H1773,OUT!$D$2:$D$11000,"Out",OUT!$E$2:$E$11000,"Zela")</f>
        <v>0</v>
      </c>
      <c r="T1773" s="52">
        <f ca="1">SUMIFS(OUT!$F$2:$F$11000,OUT!$H$2:$H$11000,H1773,OUT!$D$2:$D$11000,"Out",OUT!$E$2:$E$11000,"Iqbal")</f>
        <v>0</v>
      </c>
    </row>
    <row r="1774" spans="7:20" x14ac:dyDescent="0.2">
      <c r="G1774" s="50"/>
      <c r="H1774" s="51" t="str">
        <f t="shared" si="0"/>
        <v/>
      </c>
      <c r="I1774" s="52" t="e">
        <f>SUMIFS(OUT!$F$2:$F$11000,OUT!$H$2:$H$11000,H1774,OUT!$D$2:$D$101007,"In")</f>
        <v>#VALUE!</v>
      </c>
      <c r="J1774" s="52">
        <f ca="1">SUMIFS(OUT!$F$2:$F$11000,OUT!$H$2:$H$11000,H1774,OUT!$D$2:$D$11000,"Out")</f>
        <v>0</v>
      </c>
      <c r="K1774" s="52">
        <f ca="1">SUMIFS(OUT!$F$2:$F$11000,OUT!$H$2:$H$11000,H1774,OUT!$D$2:$D$11000,"Out",OUT!$E$2:$E$11000,"Fix")</f>
        <v>0</v>
      </c>
      <c r="L1774" s="52">
        <f ca="1">SUMIFS(OUT!$F$2:$F$11000,OUT!$H$2:$H$11000,H1774,OUT!$D$2:$D$11000,"Out",OUT!$E$2:$E$11000,"Bathroom")</f>
        <v>0</v>
      </c>
      <c r="M1774" s="52">
        <f ca="1">SUMIFS(OUT!$F$2:$F$11000,OUT!$H$2:$H$11000,H1774,OUT!$D$2:$D$11000,"Out",OUT!$E$2:$E$11000,"Alfa")</f>
        <v>0</v>
      </c>
      <c r="N1774" s="52" t="e">
        <f>SUMIFS(OUT!$F$2:$F$11000,OUT!$H$2:$H$101007,H1774,OUT!$D$2:$D$11000,"Out",OUT!$E$2:$E$11000,"Jajan")</f>
        <v>#VALUE!</v>
      </c>
      <c r="O1774" s="52">
        <f ca="1">SUMIFS(OUT!$F$2:$F$11000,OUT!$H$2:$H$11000,H1774,OUT!$D$2:$D$11000,"Out",OUT!$E$2:$E$11000,"Kitchen")</f>
        <v>0</v>
      </c>
      <c r="P1774" s="52">
        <f ca="1">SUMIFS(OUT!$F$2:$F$11000,OUT!$H$2:$H$11000,H1774,OUT!$D$2:$D$11000,"Out",OUT!$E$2:$E$11000,"Loandry")</f>
        <v>0</v>
      </c>
      <c r="Q1774" s="52">
        <f ca="1">SUMIFS(OUT!$F$2:$F$11000,OUT!$H$2:$H$11000,H1774,OUT!$D$2:$D$11000,"Out",OUT!$E$2:$E$11000,"Mio")</f>
        <v>0</v>
      </c>
      <c r="R1774" s="52">
        <f ca="1">SUMIFS(OUT!$F$2:$F$11000,OUT!$H$2:$H$11000,H1774,OUT!$D$2:$D$11000,"Out",OUT!$E$2:$E$11000,"Sedekah")</f>
        <v>0</v>
      </c>
      <c r="S1774" s="52">
        <f ca="1">SUMIFS(OUT!$F$2:$F$11000,OUT!$H$2:$H$11000,H1774,OUT!$D$2:$D$11000,"Out",OUT!$E$2:$E$11000,"Zela")</f>
        <v>0</v>
      </c>
      <c r="T1774" s="52">
        <f ca="1">SUMIFS(OUT!$F$2:$F$11000,OUT!$H$2:$H$11000,H1774,OUT!$D$2:$D$11000,"Out",OUT!$E$2:$E$11000,"Iqbal")</f>
        <v>0</v>
      </c>
    </row>
    <row r="1775" spans="7:20" x14ac:dyDescent="0.2">
      <c r="G1775" s="50"/>
      <c r="H1775" s="51" t="str">
        <f t="shared" si="0"/>
        <v/>
      </c>
      <c r="I1775" s="52" t="e">
        <f>SUMIFS(OUT!$F$2:$F$11000,OUT!$H$2:$H$11000,H1775,OUT!$D$2:$D$101007,"In")</f>
        <v>#VALUE!</v>
      </c>
      <c r="J1775" s="52">
        <f ca="1">SUMIFS(OUT!$F$2:$F$11000,OUT!$H$2:$H$11000,H1775,OUT!$D$2:$D$11000,"Out")</f>
        <v>0</v>
      </c>
      <c r="K1775" s="52">
        <f ca="1">SUMIFS(OUT!$F$2:$F$11000,OUT!$H$2:$H$11000,H1775,OUT!$D$2:$D$11000,"Out",OUT!$E$2:$E$11000,"Fix")</f>
        <v>0</v>
      </c>
      <c r="L1775" s="52">
        <f ca="1">SUMIFS(OUT!$F$2:$F$11000,OUT!$H$2:$H$11000,H1775,OUT!$D$2:$D$11000,"Out",OUT!$E$2:$E$11000,"Bathroom")</f>
        <v>0</v>
      </c>
      <c r="M1775" s="52">
        <f ca="1">SUMIFS(OUT!$F$2:$F$11000,OUT!$H$2:$H$11000,H1775,OUT!$D$2:$D$11000,"Out",OUT!$E$2:$E$11000,"Alfa")</f>
        <v>0</v>
      </c>
      <c r="N1775" s="52" t="e">
        <f>SUMIFS(OUT!$F$2:$F$11000,OUT!$H$2:$H$101007,H1775,OUT!$D$2:$D$11000,"Out",OUT!$E$2:$E$11000,"Jajan")</f>
        <v>#VALUE!</v>
      </c>
      <c r="O1775" s="52">
        <f ca="1">SUMIFS(OUT!$F$2:$F$11000,OUT!$H$2:$H$11000,H1775,OUT!$D$2:$D$11000,"Out",OUT!$E$2:$E$11000,"Kitchen")</f>
        <v>0</v>
      </c>
      <c r="P1775" s="52">
        <f ca="1">SUMIFS(OUT!$F$2:$F$11000,OUT!$H$2:$H$11000,H1775,OUT!$D$2:$D$11000,"Out",OUT!$E$2:$E$11000,"Loandry")</f>
        <v>0</v>
      </c>
      <c r="Q1775" s="52">
        <f ca="1">SUMIFS(OUT!$F$2:$F$11000,OUT!$H$2:$H$11000,H1775,OUT!$D$2:$D$11000,"Out",OUT!$E$2:$E$11000,"Mio")</f>
        <v>0</v>
      </c>
      <c r="R1775" s="52">
        <f ca="1">SUMIFS(OUT!$F$2:$F$11000,OUT!$H$2:$H$11000,H1775,OUT!$D$2:$D$11000,"Out",OUT!$E$2:$E$11000,"Sedekah")</f>
        <v>0</v>
      </c>
      <c r="S1775" s="52">
        <f ca="1">SUMIFS(OUT!$F$2:$F$11000,OUT!$H$2:$H$11000,H1775,OUT!$D$2:$D$11000,"Out",OUT!$E$2:$E$11000,"Zela")</f>
        <v>0</v>
      </c>
      <c r="T1775" s="52">
        <f ca="1">SUMIFS(OUT!$F$2:$F$11000,OUT!$H$2:$H$11000,H1775,OUT!$D$2:$D$11000,"Out",OUT!$E$2:$E$11000,"Iqbal")</f>
        <v>0</v>
      </c>
    </row>
    <row r="1776" spans="7:20" x14ac:dyDescent="0.2">
      <c r="G1776" s="50"/>
      <c r="H1776" s="51" t="str">
        <f t="shared" si="0"/>
        <v/>
      </c>
      <c r="I1776" s="52" t="e">
        <f>SUMIFS(OUT!$F$2:$F$11000,OUT!$H$2:$H$11000,H1776,OUT!$D$2:$D$101007,"In")</f>
        <v>#VALUE!</v>
      </c>
      <c r="J1776" s="52">
        <f ca="1">SUMIFS(OUT!$F$2:$F$11000,OUT!$H$2:$H$11000,H1776,OUT!$D$2:$D$11000,"Out")</f>
        <v>0</v>
      </c>
      <c r="K1776" s="52">
        <f ca="1">SUMIFS(OUT!$F$2:$F$11000,OUT!$H$2:$H$11000,H1776,OUT!$D$2:$D$11000,"Out",OUT!$E$2:$E$11000,"Fix")</f>
        <v>0</v>
      </c>
      <c r="L1776" s="52">
        <f ca="1">SUMIFS(OUT!$F$2:$F$11000,OUT!$H$2:$H$11000,H1776,OUT!$D$2:$D$11000,"Out",OUT!$E$2:$E$11000,"Bathroom")</f>
        <v>0</v>
      </c>
      <c r="M1776" s="52">
        <f ca="1">SUMIFS(OUT!$F$2:$F$11000,OUT!$H$2:$H$11000,H1776,OUT!$D$2:$D$11000,"Out",OUT!$E$2:$E$11000,"Alfa")</f>
        <v>0</v>
      </c>
      <c r="N1776" s="52" t="e">
        <f>SUMIFS(OUT!$F$2:$F$11000,OUT!$H$2:$H$101007,H1776,OUT!$D$2:$D$11000,"Out",OUT!$E$2:$E$11000,"Jajan")</f>
        <v>#VALUE!</v>
      </c>
      <c r="O1776" s="52">
        <f ca="1">SUMIFS(OUT!$F$2:$F$11000,OUT!$H$2:$H$11000,H1776,OUT!$D$2:$D$11000,"Out",OUT!$E$2:$E$11000,"Kitchen")</f>
        <v>0</v>
      </c>
      <c r="P1776" s="52">
        <f ca="1">SUMIFS(OUT!$F$2:$F$11000,OUT!$H$2:$H$11000,H1776,OUT!$D$2:$D$11000,"Out",OUT!$E$2:$E$11000,"Loandry")</f>
        <v>0</v>
      </c>
      <c r="Q1776" s="52">
        <f ca="1">SUMIFS(OUT!$F$2:$F$11000,OUT!$H$2:$H$11000,H1776,OUT!$D$2:$D$11000,"Out",OUT!$E$2:$E$11000,"Mio")</f>
        <v>0</v>
      </c>
      <c r="R1776" s="52">
        <f ca="1">SUMIFS(OUT!$F$2:$F$11000,OUT!$H$2:$H$11000,H1776,OUT!$D$2:$D$11000,"Out",OUT!$E$2:$E$11000,"Sedekah")</f>
        <v>0</v>
      </c>
      <c r="S1776" s="52">
        <f ca="1">SUMIFS(OUT!$F$2:$F$11000,OUT!$H$2:$H$11000,H1776,OUT!$D$2:$D$11000,"Out",OUT!$E$2:$E$11000,"Zela")</f>
        <v>0</v>
      </c>
      <c r="T1776" s="52">
        <f ca="1">SUMIFS(OUT!$F$2:$F$11000,OUT!$H$2:$H$11000,H1776,OUT!$D$2:$D$11000,"Out",OUT!$E$2:$E$11000,"Iqbal")</f>
        <v>0</v>
      </c>
    </row>
    <row r="1777" spans="7:20" x14ac:dyDescent="0.2">
      <c r="G1777" s="50"/>
      <c r="H1777" s="51" t="str">
        <f t="shared" si="0"/>
        <v/>
      </c>
      <c r="I1777" s="52" t="e">
        <f>SUMIFS(OUT!$F$2:$F$11000,OUT!$H$2:$H$11000,H1777,OUT!$D$2:$D$101007,"In")</f>
        <v>#VALUE!</v>
      </c>
      <c r="J1777" s="52">
        <f ca="1">SUMIFS(OUT!$F$2:$F$11000,OUT!$H$2:$H$11000,H1777,OUT!$D$2:$D$11000,"Out")</f>
        <v>0</v>
      </c>
      <c r="K1777" s="52">
        <f ca="1">SUMIFS(OUT!$F$2:$F$11000,OUT!$H$2:$H$11000,H1777,OUT!$D$2:$D$11000,"Out",OUT!$E$2:$E$11000,"Fix")</f>
        <v>0</v>
      </c>
      <c r="L1777" s="52">
        <f ca="1">SUMIFS(OUT!$F$2:$F$11000,OUT!$H$2:$H$11000,H1777,OUT!$D$2:$D$11000,"Out",OUT!$E$2:$E$11000,"Bathroom")</f>
        <v>0</v>
      </c>
      <c r="M1777" s="52">
        <f ca="1">SUMIFS(OUT!$F$2:$F$11000,OUT!$H$2:$H$11000,H1777,OUT!$D$2:$D$11000,"Out",OUT!$E$2:$E$11000,"Alfa")</f>
        <v>0</v>
      </c>
      <c r="N1777" s="52" t="e">
        <f>SUMIFS(OUT!$F$2:$F$11000,OUT!$H$2:$H$101007,H1777,OUT!$D$2:$D$11000,"Out",OUT!$E$2:$E$11000,"Jajan")</f>
        <v>#VALUE!</v>
      </c>
      <c r="O1777" s="52">
        <f ca="1">SUMIFS(OUT!$F$2:$F$11000,OUT!$H$2:$H$11000,H1777,OUT!$D$2:$D$11000,"Out",OUT!$E$2:$E$11000,"Kitchen")</f>
        <v>0</v>
      </c>
      <c r="P1777" s="52">
        <f ca="1">SUMIFS(OUT!$F$2:$F$11000,OUT!$H$2:$H$11000,H1777,OUT!$D$2:$D$11000,"Out",OUT!$E$2:$E$11000,"Loandry")</f>
        <v>0</v>
      </c>
      <c r="Q1777" s="52">
        <f ca="1">SUMIFS(OUT!$F$2:$F$11000,OUT!$H$2:$H$11000,H1777,OUT!$D$2:$D$11000,"Out",OUT!$E$2:$E$11000,"Mio")</f>
        <v>0</v>
      </c>
      <c r="R1777" s="52">
        <f ca="1">SUMIFS(OUT!$F$2:$F$11000,OUT!$H$2:$H$11000,H1777,OUT!$D$2:$D$11000,"Out",OUT!$E$2:$E$11000,"Sedekah")</f>
        <v>0</v>
      </c>
      <c r="S1777" s="52">
        <f ca="1">SUMIFS(OUT!$F$2:$F$11000,OUT!$H$2:$H$11000,H1777,OUT!$D$2:$D$11000,"Out",OUT!$E$2:$E$11000,"Zela")</f>
        <v>0</v>
      </c>
      <c r="T1777" s="52">
        <f ca="1">SUMIFS(OUT!$F$2:$F$11000,OUT!$H$2:$H$11000,H1777,OUT!$D$2:$D$11000,"Out",OUT!$E$2:$E$11000,"Iqbal")</f>
        <v>0</v>
      </c>
    </row>
    <row r="1778" spans="7:20" x14ac:dyDescent="0.2">
      <c r="G1778" s="50"/>
      <c r="H1778" s="51" t="str">
        <f t="shared" si="0"/>
        <v/>
      </c>
      <c r="I1778" s="52" t="e">
        <f>SUMIFS(OUT!$F$2:$F$11000,OUT!$H$2:$H$11000,H1778,OUT!$D$2:$D$101007,"In")</f>
        <v>#VALUE!</v>
      </c>
      <c r="J1778" s="52">
        <f ca="1">SUMIFS(OUT!$F$2:$F$11000,OUT!$H$2:$H$11000,H1778,OUT!$D$2:$D$11000,"Out")</f>
        <v>0</v>
      </c>
      <c r="K1778" s="52">
        <f ca="1">SUMIFS(OUT!$F$2:$F$11000,OUT!$H$2:$H$11000,H1778,OUT!$D$2:$D$11000,"Out",OUT!$E$2:$E$11000,"Fix")</f>
        <v>0</v>
      </c>
      <c r="L1778" s="52">
        <f ca="1">SUMIFS(OUT!$F$2:$F$11000,OUT!$H$2:$H$11000,H1778,OUT!$D$2:$D$11000,"Out",OUT!$E$2:$E$11000,"Bathroom")</f>
        <v>0</v>
      </c>
      <c r="M1778" s="52">
        <f ca="1">SUMIFS(OUT!$F$2:$F$11000,OUT!$H$2:$H$11000,H1778,OUT!$D$2:$D$11000,"Out",OUT!$E$2:$E$11000,"Alfa")</f>
        <v>0</v>
      </c>
      <c r="N1778" s="52" t="e">
        <f>SUMIFS(OUT!$F$2:$F$11000,OUT!$H$2:$H$101007,H1778,OUT!$D$2:$D$11000,"Out",OUT!$E$2:$E$11000,"Jajan")</f>
        <v>#VALUE!</v>
      </c>
      <c r="O1778" s="52">
        <f ca="1">SUMIFS(OUT!$F$2:$F$11000,OUT!$H$2:$H$11000,H1778,OUT!$D$2:$D$11000,"Out",OUT!$E$2:$E$11000,"Kitchen")</f>
        <v>0</v>
      </c>
      <c r="P1778" s="52">
        <f ca="1">SUMIFS(OUT!$F$2:$F$11000,OUT!$H$2:$H$11000,H1778,OUT!$D$2:$D$11000,"Out",OUT!$E$2:$E$11000,"Loandry")</f>
        <v>0</v>
      </c>
      <c r="Q1778" s="52">
        <f ca="1">SUMIFS(OUT!$F$2:$F$11000,OUT!$H$2:$H$11000,H1778,OUT!$D$2:$D$11000,"Out",OUT!$E$2:$E$11000,"Mio")</f>
        <v>0</v>
      </c>
      <c r="R1778" s="52">
        <f ca="1">SUMIFS(OUT!$F$2:$F$11000,OUT!$H$2:$H$11000,H1778,OUT!$D$2:$D$11000,"Out",OUT!$E$2:$E$11000,"Sedekah")</f>
        <v>0</v>
      </c>
      <c r="S1778" s="52">
        <f ca="1">SUMIFS(OUT!$F$2:$F$11000,OUT!$H$2:$H$11000,H1778,OUT!$D$2:$D$11000,"Out",OUT!$E$2:$E$11000,"Zela")</f>
        <v>0</v>
      </c>
      <c r="T1778" s="52">
        <f ca="1">SUMIFS(OUT!$F$2:$F$11000,OUT!$H$2:$H$11000,H1778,OUT!$D$2:$D$11000,"Out",OUT!$E$2:$E$11000,"Iqbal")</f>
        <v>0</v>
      </c>
    </row>
    <row r="1779" spans="7:20" x14ac:dyDescent="0.2">
      <c r="G1779" s="50"/>
      <c r="H1779" s="51" t="str">
        <f t="shared" si="0"/>
        <v/>
      </c>
      <c r="I1779" s="52" t="e">
        <f>SUMIFS(OUT!$F$2:$F$11000,OUT!$H$2:$H$11000,H1779,OUT!$D$2:$D$101007,"In")</f>
        <v>#VALUE!</v>
      </c>
      <c r="J1779" s="52">
        <f ca="1">SUMIFS(OUT!$F$2:$F$11000,OUT!$H$2:$H$11000,H1779,OUT!$D$2:$D$11000,"Out")</f>
        <v>0</v>
      </c>
      <c r="K1779" s="52">
        <f ca="1">SUMIFS(OUT!$F$2:$F$11000,OUT!$H$2:$H$11000,H1779,OUT!$D$2:$D$11000,"Out",OUT!$E$2:$E$11000,"Fix")</f>
        <v>0</v>
      </c>
      <c r="L1779" s="52">
        <f ca="1">SUMIFS(OUT!$F$2:$F$11000,OUT!$H$2:$H$11000,H1779,OUT!$D$2:$D$11000,"Out",OUT!$E$2:$E$11000,"Bathroom")</f>
        <v>0</v>
      </c>
      <c r="M1779" s="52">
        <f ca="1">SUMIFS(OUT!$F$2:$F$11000,OUT!$H$2:$H$11000,H1779,OUT!$D$2:$D$11000,"Out",OUT!$E$2:$E$11000,"Alfa")</f>
        <v>0</v>
      </c>
      <c r="N1779" s="52" t="e">
        <f>SUMIFS(OUT!$F$2:$F$11000,OUT!$H$2:$H$101007,H1779,OUT!$D$2:$D$11000,"Out",OUT!$E$2:$E$11000,"Jajan")</f>
        <v>#VALUE!</v>
      </c>
      <c r="O1779" s="52">
        <f ca="1">SUMIFS(OUT!$F$2:$F$11000,OUT!$H$2:$H$11000,H1779,OUT!$D$2:$D$11000,"Out",OUT!$E$2:$E$11000,"Kitchen")</f>
        <v>0</v>
      </c>
      <c r="P1779" s="52">
        <f ca="1">SUMIFS(OUT!$F$2:$F$11000,OUT!$H$2:$H$11000,H1779,OUT!$D$2:$D$11000,"Out",OUT!$E$2:$E$11000,"Loandry")</f>
        <v>0</v>
      </c>
      <c r="Q1779" s="52">
        <f ca="1">SUMIFS(OUT!$F$2:$F$11000,OUT!$H$2:$H$11000,H1779,OUT!$D$2:$D$11000,"Out",OUT!$E$2:$E$11000,"Mio")</f>
        <v>0</v>
      </c>
      <c r="R1779" s="52">
        <f ca="1">SUMIFS(OUT!$F$2:$F$11000,OUT!$H$2:$H$11000,H1779,OUT!$D$2:$D$11000,"Out",OUT!$E$2:$E$11000,"Sedekah")</f>
        <v>0</v>
      </c>
      <c r="S1779" s="52">
        <f ca="1">SUMIFS(OUT!$F$2:$F$11000,OUT!$H$2:$H$11000,H1779,OUT!$D$2:$D$11000,"Out",OUT!$E$2:$E$11000,"Zela")</f>
        <v>0</v>
      </c>
      <c r="T1779" s="52">
        <f ca="1">SUMIFS(OUT!$F$2:$F$11000,OUT!$H$2:$H$11000,H1779,OUT!$D$2:$D$11000,"Out",OUT!$E$2:$E$11000,"Iqbal")</f>
        <v>0</v>
      </c>
    </row>
    <row r="1780" spans="7:20" x14ac:dyDescent="0.2">
      <c r="G1780" s="50"/>
      <c r="H1780" s="51" t="str">
        <f t="shared" si="0"/>
        <v/>
      </c>
      <c r="I1780" s="52" t="e">
        <f>SUMIFS(OUT!$F$2:$F$11000,OUT!$H$2:$H$11000,H1780,OUT!$D$2:$D$101007,"In")</f>
        <v>#VALUE!</v>
      </c>
      <c r="J1780" s="52">
        <f ca="1">SUMIFS(OUT!$F$2:$F$11000,OUT!$H$2:$H$11000,H1780,OUT!$D$2:$D$11000,"Out")</f>
        <v>0</v>
      </c>
      <c r="K1780" s="52">
        <f ca="1">SUMIFS(OUT!$F$2:$F$11000,OUT!$H$2:$H$11000,H1780,OUT!$D$2:$D$11000,"Out",OUT!$E$2:$E$11000,"Fix")</f>
        <v>0</v>
      </c>
      <c r="L1780" s="52">
        <f ca="1">SUMIFS(OUT!$F$2:$F$11000,OUT!$H$2:$H$11000,H1780,OUT!$D$2:$D$11000,"Out",OUT!$E$2:$E$11000,"Bathroom")</f>
        <v>0</v>
      </c>
      <c r="M1780" s="52">
        <f ca="1">SUMIFS(OUT!$F$2:$F$11000,OUT!$H$2:$H$11000,H1780,OUT!$D$2:$D$11000,"Out",OUT!$E$2:$E$11000,"Alfa")</f>
        <v>0</v>
      </c>
      <c r="N1780" s="52" t="e">
        <f>SUMIFS(OUT!$F$2:$F$11000,OUT!$H$2:$H$101007,H1780,OUT!$D$2:$D$11000,"Out",OUT!$E$2:$E$11000,"Jajan")</f>
        <v>#VALUE!</v>
      </c>
      <c r="O1780" s="52">
        <f ca="1">SUMIFS(OUT!$F$2:$F$11000,OUT!$H$2:$H$11000,H1780,OUT!$D$2:$D$11000,"Out",OUT!$E$2:$E$11000,"Kitchen")</f>
        <v>0</v>
      </c>
      <c r="P1780" s="52">
        <f ca="1">SUMIFS(OUT!$F$2:$F$11000,OUT!$H$2:$H$11000,H1780,OUT!$D$2:$D$11000,"Out",OUT!$E$2:$E$11000,"Loandry")</f>
        <v>0</v>
      </c>
      <c r="Q1780" s="52">
        <f ca="1">SUMIFS(OUT!$F$2:$F$11000,OUT!$H$2:$H$11000,H1780,OUT!$D$2:$D$11000,"Out",OUT!$E$2:$E$11000,"Mio")</f>
        <v>0</v>
      </c>
      <c r="R1780" s="52">
        <f ca="1">SUMIFS(OUT!$F$2:$F$11000,OUT!$H$2:$H$11000,H1780,OUT!$D$2:$D$11000,"Out",OUT!$E$2:$E$11000,"Sedekah")</f>
        <v>0</v>
      </c>
      <c r="S1780" s="52">
        <f ca="1">SUMIFS(OUT!$F$2:$F$11000,OUT!$H$2:$H$11000,H1780,OUT!$D$2:$D$11000,"Out",OUT!$E$2:$E$11000,"Zela")</f>
        <v>0</v>
      </c>
      <c r="T1780" s="52">
        <f ca="1">SUMIFS(OUT!$F$2:$F$11000,OUT!$H$2:$H$11000,H1780,OUT!$D$2:$D$11000,"Out",OUT!$E$2:$E$11000,"Iqbal")</f>
        <v>0</v>
      </c>
    </row>
    <row r="1781" spans="7:20" x14ac:dyDescent="0.2">
      <c r="G1781" s="50"/>
      <c r="H1781" s="51" t="str">
        <f t="shared" si="0"/>
        <v/>
      </c>
      <c r="I1781" s="52" t="e">
        <f>SUMIFS(OUT!$F$2:$F$11000,OUT!$H$2:$H$11000,H1781,OUT!$D$2:$D$101007,"In")</f>
        <v>#VALUE!</v>
      </c>
      <c r="J1781" s="52">
        <f ca="1">SUMIFS(OUT!$F$2:$F$11000,OUT!$H$2:$H$11000,H1781,OUT!$D$2:$D$11000,"Out")</f>
        <v>0</v>
      </c>
      <c r="K1781" s="52">
        <f ca="1">SUMIFS(OUT!$F$2:$F$11000,OUT!$H$2:$H$11000,H1781,OUT!$D$2:$D$11000,"Out",OUT!$E$2:$E$11000,"Fix")</f>
        <v>0</v>
      </c>
      <c r="L1781" s="52">
        <f ca="1">SUMIFS(OUT!$F$2:$F$11000,OUT!$H$2:$H$11000,H1781,OUT!$D$2:$D$11000,"Out",OUT!$E$2:$E$11000,"Bathroom")</f>
        <v>0</v>
      </c>
      <c r="M1781" s="52">
        <f ca="1">SUMIFS(OUT!$F$2:$F$11000,OUT!$H$2:$H$11000,H1781,OUT!$D$2:$D$11000,"Out",OUT!$E$2:$E$11000,"Alfa")</f>
        <v>0</v>
      </c>
      <c r="N1781" s="52" t="e">
        <f>SUMIFS(OUT!$F$2:$F$11000,OUT!$H$2:$H$101007,H1781,OUT!$D$2:$D$11000,"Out",OUT!$E$2:$E$11000,"Jajan")</f>
        <v>#VALUE!</v>
      </c>
      <c r="O1781" s="52">
        <f ca="1">SUMIFS(OUT!$F$2:$F$11000,OUT!$H$2:$H$11000,H1781,OUT!$D$2:$D$11000,"Out",OUT!$E$2:$E$11000,"Kitchen")</f>
        <v>0</v>
      </c>
      <c r="P1781" s="52">
        <f ca="1">SUMIFS(OUT!$F$2:$F$11000,OUT!$H$2:$H$11000,H1781,OUT!$D$2:$D$11000,"Out",OUT!$E$2:$E$11000,"Loandry")</f>
        <v>0</v>
      </c>
      <c r="Q1781" s="52">
        <f ca="1">SUMIFS(OUT!$F$2:$F$11000,OUT!$H$2:$H$11000,H1781,OUT!$D$2:$D$11000,"Out",OUT!$E$2:$E$11000,"Mio")</f>
        <v>0</v>
      </c>
      <c r="R1781" s="52">
        <f ca="1">SUMIFS(OUT!$F$2:$F$11000,OUT!$H$2:$H$11000,H1781,OUT!$D$2:$D$11000,"Out",OUT!$E$2:$E$11000,"Sedekah")</f>
        <v>0</v>
      </c>
      <c r="S1781" s="52">
        <f ca="1">SUMIFS(OUT!$F$2:$F$11000,OUT!$H$2:$H$11000,H1781,OUT!$D$2:$D$11000,"Out",OUT!$E$2:$E$11000,"Zela")</f>
        <v>0</v>
      </c>
      <c r="T1781" s="52">
        <f ca="1">SUMIFS(OUT!$F$2:$F$11000,OUT!$H$2:$H$11000,H1781,OUT!$D$2:$D$11000,"Out",OUT!$E$2:$E$11000,"Iqbal")</f>
        <v>0</v>
      </c>
    </row>
    <row r="1782" spans="7:20" x14ac:dyDescent="0.2">
      <c r="G1782" s="50"/>
      <c r="H1782" s="51" t="str">
        <f t="shared" si="0"/>
        <v/>
      </c>
      <c r="I1782" s="52" t="e">
        <f>SUMIFS(OUT!$F$2:$F$11000,OUT!$H$2:$H$11000,H1782,OUT!$D$2:$D$101007,"In")</f>
        <v>#VALUE!</v>
      </c>
      <c r="J1782" s="52">
        <f ca="1">SUMIFS(OUT!$F$2:$F$11000,OUT!$H$2:$H$11000,H1782,OUT!$D$2:$D$11000,"Out")</f>
        <v>0</v>
      </c>
      <c r="K1782" s="52">
        <f ca="1">SUMIFS(OUT!$F$2:$F$11000,OUT!$H$2:$H$11000,H1782,OUT!$D$2:$D$11000,"Out",OUT!$E$2:$E$11000,"Fix")</f>
        <v>0</v>
      </c>
      <c r="L1782" s="52">
        <f ca="1">SUMIFS(OUT!$F$2:$F$11000,OUT!$H$2:$H$11000,H1782,OUT!$D$2:$D$11000,"Out",OUT!$E$2:$E$11000,"Bathroom")</f>
        <v>0</v>
      </c>
      <c r="M1782" s="52">
        <f ca="1">SUMIFS(OUT!$F$2:$F$11000,OUT!$H$2:$H$11000,H1782,OUT!$D$2:$D$11000,"Out",OUT!$E$2:$E$11000,"Alfa")</f>
        <v>0</v>
      </c>
      <c r="N1782" s="52" t="e">
        <f>SUMIFS(OUT!$F$2:$F$11000,OUT!$H$2:$H$101007,H1782,OUT!$D$2:$D$11000,"Out",OUT!$E$2:$E$11000,"Jajan")</f>
        <v>#VALUE!</v>
      </c>
      <c r="O1782" s="52">
        <f ca="1">SUMIFS(OUT!$F$2:$F$11000,OUT!$H$2:$H$11000,H1782,OUT!$D$2:$D$11000,"Out",OUT!$E$2:$E$11000,"Kitchen")</f>
        <v>0</v>
      </c>
      <c r="P1782" s="52">
        <f ca="1">SUMIFS(OUT!$F$2:$F$11000,OUT!$H$2:$H$11000,H1782,OUT!$D$2:$D$11000,"Out",OUT!$E$2:$E$11000,"Loandry")</f>
        <v>0</v>
      </c>
      <c r="Q1782" s="52">
        <f ca="1">SUMIFS(OUT!$F$2:$F$11000,OUT!$H$2:$H$11000,H1782,OUT!$D$2:$D$11000,"Out",OUT!$E$2:$E$11000,"Mio")</f>
        <v>0</v>
      </c>
      <c r="R1782" s="52">
        <f ca="1">SUMIFS(OUT!$F$2:$F$11000,OUT!$H$2:$H$11000,H1782,OUT!$D$2:$D$11000,"Out",OUT!$E$2:$E$11000,"Sedekah")</f>
        <v>0</v>
      </c>
      <c r="S1782" s="52">
        <f ca="1">SUMIFS(OUT!$F$2:$F$11000,OUT!$H$2:$H$11000,H1782,OUT!$D$2:$D$11000,"Out",OUT!$E$2:$E$11000,"Zela")</f>
        <v>0</v>
      </c>
      <c r="T1782" s="52">
        <f ca="1">SUMIFS(OUT!$F$2:$F$11000,OUT!$H$2:$H$11000,H1782,OUT!$D$2:$D$11000,"Out",OUT!$E$2:$E$11000,"Iqbal")</f>
        <v>0</v>
      </c>
    </row>
    <row r="1783" spans="7:20" x14ac:dyDescent="0.2">
      <c r="G1783" s="50"/>
      <c r="H1783" s="51" t="str">
        <f t="shared" si="0"/>
        <v/>
      </c>
      <c r="I1783" s="52" t="e">
        <f>SUMIFS(OUT!$F$2:$F$11000,OUT!$H$2:$H$11000,H1783,OUT!$D$2:$D$101007,"In")</f>
        <v>#VALUE!</v>
      </c>
      <c r="J1783" s="52">
        <f ca="1">SUMIFS(OUT!$F$2:$F$11000,OUT!$H$2:$H$11000,H1783,OUT!$D$2:$D$11000,"Out")</f>
        <v>0</v>
      </c>
      <c r="K1783" s="52">
        <f ca="1">SUMIFS(OUT!$F$2:$F$11000,OUT!$H$2:$H$11000,H1783,OUT!$D$2:$D$11000,"Out",OUT!$E$2:$E$11000,"Fix")</f>
        <v>0</v>
      </c>
      <c r="L1783" s="52">
        <f ca="1">SUMIFS(OUT!$F$2:$F$11000,OUT!$H$2:$H$11000,H1783,OUT!$D$2:$D$11000,"Out",OUT!$E$2:$E$11000,"Bathroom")</f>
        <v>0</v>
      </c>
      <c r="M1783" s="52">
        <f ca="1">SUMIFS(OUT!$F$2:$F$11000,OUT!$H$2:$H$11000,H1783,OUT!$D$2:$D$11000,"Out",OUT!$E$2:$E$11000,"Alfa")</f>
        <v>0</v>
      </c>
      <c r="N1783" s="52" t="e">
        <f>SUMIFS(OUT!$F$2:$F$11000,OUT!$H$2:$H$101007,H1783,OUT!$D$2:$D$11000,"Out",OUT!$E$2:$E$11000,"Jajan")</f>
        <v>#VALUE!</v>
      </c>
      <c r="O1783" s="52">
        <f ca="1">SUMIFS(OUT!$F$2:$F$11000,OUT!$H$2:$H$11000,H1783,OUT!$D$2:$D$11000,"Out",OUT!$E$2:$E$11000,"Kitchen")</f>
        <v>0</v>
      </c>
      <c r="P1783" s="52">
        <f ca="1">SUMIFS(OUT!$F$2:$F$11000,OUT!$H$2:$H$11000,H1783,OUT!$D$2:$D$11000,"Out",OUT!$E$2:$E$11000,"Loandry")</f>
        <v>0</v>
      </c>
      <c r="Q1783" s="52">
        <f ca="1">SUMIFS(OUT!$F$2:$F$11000,OUT!$H$2:$H$11000,H1783,OUT!$D$2:$D$11000,"Out",OUT!$E$2:$E$11000,"Mio")</f>
        <v>0</v>
      </c>
      <c r="R1783" s="52">
        <f ca="1">SUMIFS(OUT!$F$2:$F$11000,OUT!$H$2:$H$11000,H1783,OUT!$D$2:$D$11000,"Out",OUT!$E$2:$E$11000,"Sedekah")</f>
        <v>0</v>
      </c>
      <c r="S1783" s="52">
        <f ca="1">SUMIFS(OUT!$F$2:$F$11000,OUT!$H$2:$H$11000,H1783,OUT!$D$2:$D$11000,"Out",OUT!$E$2:$E$11000,"Zela")</f>
        <v>0</v>
      </c>
      <c r="T1783" s="52">
        <f ca="1">SUMIFS(OUT!$F$2:$F$11000,OUT!$H$2:$H$11000,H1783,OUT!$D$2:$D$11000,"Out",OUT!$E$2:$E$11000,"Iqbal")</f>
        <v>0</v>
      </c>
    </row>
    <row r="1784" spans="7:20" x14ac:dyDescent="0.2">
      <c r="G1784" s="50"/>
      <c r="H1784" s="51" t="str">
        <f t="shared" si="0"/>
        <v/>
      </c>
      <c r="I1784" s="52" t="e">
        <f>SUMIFS(OUT!$F$2:$F$11000,OUT!$H$2:$H$11000,H1784,OUT!$D$2:$D$101007,"In")</f>
        <v>#VALUE!</v>
      </c>
      <c r="J1784" s="52">
        <f ca="1">SUMIFS(OUT!$F$2:$F$11000,OUT!$H$2:$H$11000,H1784,OUT!$D$2:$D$11000,"Out")</f>
        <v>0</v>
      </c>
      <c r="K1784" s="52">
        <f ca="1">SUMIFS(OUT!$F$2:$F$11000,OUT!$H$2:$H$11000,H1784,OUT!$D$2:$D$11000,"Out",OUT!$E$2:$E$11000,"Fix")</f>
        <v>0</v>
      </c>
      <c r="L1784" s="52">
        <f ca="1">SUMIFS(OUT!$F$2:$F$11000,OUT!$H$2:$H$11000,H1784,OUT!$D$2:$D$11000,"Out",OUT!$E$2:$E$11000,"Bathroom")</f>
        <v>0</v>
      </c>
      <c r="M1784" s="52">
        <f ca="1">SUMIFS(OUT!$F$2:$F$11000,OUT!$H$2:$H$11000,H1784,OUT!$D$2:$D$11000,"Out",OUT!$E$2:$E$11000,"Alfa")</f>
        <v>0</v>
      </c>
      <c r="N1784" s="52" t="e">
        <f>SUMIFS(OUT!$F$2:$F$11000,OUT!$H$2:$H$101007,H1784,OUT!$D$2:$D$11000,"Out",OUT!$E$2:$E$11000,"Jajan")</f>
        <v>#VALUE!</v>
      </c>
      <c r="O1784" s="52">
        <f ca="1">SUMIFS(OUT!$F$2:$F$11000,OUT!$H$2:$H$11000,H1784,OUT!$D$2:$D$11000,"Out",OUT!$E$2:$E$11000,"Kitchen")</f>
        <v>0</v>
      </c>
      <c r="P1784" s="52">
        <f ca="1">SUMIFS(OUT!$F$2:$F$11000,OUT!$H$2:$H$11000,H1784,OUT!$D$2:$D$11000,"Out",OUT!$E$2:$E$11000,"Loandry")</f>
        <v>0</v>
      </c>
      <c r="Q1784" s="52">
        <f ca="1">SUMIFS(OUT!$F$2:$F$11000,OUT!$H$2:$H$11000,H1784,OUT!$D$2:$D$11000,"Out",OUT!$E$2:$E$11000,"Mio")</f>
        <v>0</v>
      </c>
      <c r="R1784" s="52">
        <f ca="1">SUMIFS(OUT!$F$2:$F$11000,OUT!$H$2:$H$11000,H1784,OUT!$D$2:$D$11000,"Out",OUT!$E$2:$E$11000,"Sedekah")</f>
        <v>0</v>
      </c>
      <c r="S1784" s="52">
        <f ca="1">SUMIFS(OUT!$F$2:$F$11000,OUT!$H$2:$H$11000,H1784,OUT!$D$2:$D$11000,"Out",OUT!$E$2:$E$11000,"Zela")</f>
        <v>0</v>
      </c>
      <c r="T1784" s="52">
        <f ca="1">SUMIFS(OUT!$F$2:$F$11000,OUT!$H$2:$H$11000,H1784,OUT!$D$2:$D$11000,"Out",OUT!$E$2:$E$11000,"Iqbal")</f>
        <v>0</v>
      </c>
    </row>
    <row r="1785" spans="7:20" x14ac:dyDescent="0.2">
      <c r="G1785" s="50"/>
      <c r="H1785" s="51" t="str">
        <f t="shared" si="0"/>
        <v/>
      </c>
      <c r="I1785" s="52" t="e">
        <f>SUMIFS(OUT!$F$2:$F$11000,OUT!$H$2:$H$11000,H1785,OUT!$D$2:$D$101007,"In")</f>
        <v>#VALUE!</v>
      </c>
      <c r="J1785" s="52">
        <f ca="1">SUMIFS(OUT!$F$2:$F$11000,OUT!$H$2:$H$11000,H1785,OUT!$D$2:$D$11000,"Out")</f>
        <v>0</v>
      </c>
      <c r="K1785" s="52">
        <f ca="1">SUMIFS(OUT!$F$2:$F$11000,OUT!$H$2:$H$11000,H1785,OUT!$D$2:$D$11000,"Out",OUT!$E$2:$E$11000,"Fix")</f>
        <v>0</v>
      </c>
      <c r="L1785" s="52">
        <f ca="1">SUMIFS(OUT!$F$2:$F$11000,OUT!$H$2:$H$11000,H1785,OUT!$D$2:$D$11000,"Out",OUT!$E$2:$E$11000,"Bathroom")</f>
        <v>0</v>
      </c>
      <c r="M1785" s="52">
        <f ca="1">SUMIFS(OUT!$F$2:$F$11000,OUT!$H$2:$H$11000,H1785,OUT!$D$2:$D$11000,"Out",OUT!$E$2:$E$11000,"Alfa")</f>
        <v>0</v>
      </c>
      <c r="N1785" s="52" t="e">
        <f>SUMIFS(OUT!$F$2:$F$11000,OUT!$H$2:$H$101007,H1785,OUT!$D$2:$D$11000,"Out",OUT!$E$2:$E$11000,"Jajan")</f>
        <v>#VALUE!</v>
      </c>
      <c r="O1785" s="52">
        <f ca="1">SUMIFS(OUT!$F$2:$F$11000,OUT!$H$2:$H$11000,H1785,OUT!$D$2:$D$11000,"Out",OUT!$E$2:$E$11000,"Kitchen")</f>
        <v>0</v>
      </c>
      <c r="P1785" s="52">
        <f ca="1">SUMIFS(OUT!$F$2:$F$11000,OUT!$H$2:$H$11000,H1785,OUT!$D$2:$D$11000,"Out",OUT!$E$2:$E$11000,"Loandry")</f>
        <v>0</v>
      </c>
      <c r="Q1785" s="52">
        <f ca="1">SUMIFS(OUT!$F$2:$F$11000,OUT!$H$2:$H$11000,H1785,OUT!$D$2:$D$11000,"Out",OUT!$E$2:$E$11000,"Mio")</f>
        <v>0</v>
      </c>
      <c r="R1785" s="52">
        <f ca="1">SUMIFS(OUT!$F$2:$F$11000,OUT!$H$2:$H$11000,H1785,OUT!$D$2:$D$11000,"Out",OUT!$E$2:$E$11000,"Sedekah")</f>
        <v>0</v>
      </c>
      <c r="S1785" s="52">
        <f ca="1">SUMIFS(OUT!$F$2:$F$11000,OUT!$H$2:$H$11000,H1785,OUT!$D$2:$D$11000,"Out",OUT!$E$2:$E$11000,"Zela")</f>
        <v>0</v>
      </c>
      <c r="T1785" s="52">
        <f ca="1">SUMIFS(OUT!$F$2:$F$11000,OUT!$H$2:$H$11000,H1785,OUT!$D$2:$D$11000,"Out",OUT!$E$2:$E$11000,"Iqbal")</f>
        <v>0</v>
      </c>
    </row>
    <row r="1786" spans="7:20" x14ac:dyDescent="0.2">
      <c r="G1786" s="50"/>
      <c r="H1786" s="51" t="str">
        <f t="shared" si="0"/>
        <v/>
      </c>
      <c r="I1786" s="52" t="e">
        <f>SUMIFS(OUT!$F$2:$F$11000,OUT!$H$2:$H$11000,H1786,OUT!$D$2:$D$101007,"In")</f>
        <v>#VALUE!</v>
      </c>
      <c r="J1786" s="52">
        <f ca="1">SUMIFS(OUT!$F$2:$F$11000,OUT!$H$2:$H$11000,H1786,OUT!$D$2:$D$11000,"Out")</f>
        <v>0</v>
      </c>
      <c r="K1786" s="52">
        <f ca="1">SUMIFS(OUT!$F$2:$F$11000,OUT!$H$2:$H$11000,H1786,OUT!$D$2:$D$11000,"Out",OUT!$E$2:$E$11000,"Fix")</f>
        <v>0</v>
      </c>
      <c r="L1786" s="52">
        <f ca="1">SUMIFS(OUT!$F$2:$F$11000,OUT!$H$2:$H$11000,H1786,OUT!$D$2:$D$11000,"Out",OUT!$E$2:$E$11000,"Bathroom")</f>
        <v>0</v>
      </c>
      <c r="M1786" s="52">
        <f ca="1">SUMIFS(OUT!$F$2:$F$11000,OUT!$H$2:$H$11000,H1786,OUT!$D$2:$D$11000,"Out",OUT!$E$2:$E$11000,"Alfa")</f>
        <v>0</v>
      </c>
      <c r="N1786" s="52" t="e">
        <f>SUMIFS(OUT!$F$2:$F$11000,OUT!$H$2:$H$101007,H1786,OUT!$D$2:$D$11000,"Out",OUT!$E$2:$E$11000,"Jajan")</f>
        <v>#VALUE!</v>
      </c>
      <c r="O1786" s="52">
        <f ca="1">SUMIFS(OUT!$F$2:$F$11000,OUT!$H$2:$H$11000,H1786,OUT!$D$2:$D$11000,"Out",OUT!$E$2:$E$11000,"Kitchen")</f>
        <v>0</v>
      </c>
      <c r="P1786" s="52">
        <f ca="1">SUMIFS(OUT!$F$2:$F$11000,OUT!$H$2:$H$11000,H1786,OUT!$D$2:$D$11000,"Out",OUT!$E$2:$E$11000,"Loandry")</f>
        <v>0</v>
      </c>
      <c r="Q1786" s="52">
        <f ca="1">SUMIFS(OUT!$F$2:$F$11000,OUT!$H$2:$H$11000,H1786,OUT!$D$2:$D$11000,"Out",OUT!$E$2:$E$11000,"Mio")</f>
        <v>0</v>
      </c>
      <c r="R1786" s="52">
        <f ca="1">SUMIFS(OUT!$F$2:$F$11000,OUT!$H$2:$H$11000,H1786,OUT!$D$2:$D$11000,"Out",OUT!$E$2:$E$11000,"Sedekah")</f>
        <v>0</v>
      </c>
      <c r="S1786" s="52">
        <f ca="1">SUMIFS(OUT!$F$2:$F$11000,OUT!$H$2:$H$11000,H1786,OUT!$D$2:$D$11000,"Out",OUT!$E$2:$E$11000,"Zela")</f>
        <v>0</v>
      </c>
      <c r="T1786" s="52">
        <f ca="1">SUMIFS(OUT!$F$2:$F$11000,OUT!$H$2:$H$11000,H1786,OUT!$D$2:$D$11000,"Out",OUT!$E$2:$E$11000,"Iqbal")</f>
        <v>0</v>
      </c>
    </row>
    <row r="1787" spans="7:20" x14ac:dyDescent="0.2">
      <c r="G1787" s="50"/>
      <c r="H1787" s="51" t="str">
        <f t="shared" si="0"/>
        <v/>
      </c>
      <c r="I1787" s="52" t="e">
        <f>SUMIFS(OUT!$F$2:$F$11000,OUT!$H$2:$H$11000,H1787,OUT!$D$2:$D$101007,"In")</f>
        <v>#VALUE!</v>
      </c>
      <c r="J1787" s="52">
        <f ca="1">SUMIFS(OUT!$F$2:$F$11000,OUT!$H$2:$H$11000,H1787,OUT!$D$2:$D$11000,"Out")</f>
        <v>0</v>
      </c>
      <c r="K1787" s="52">
        <f ca="1">SUMIFS(OUT!$F$2:$F$11000,OUT!$H$2:$H$11000,H1787,OUT!$D$2:$D$11000,"Out",OUT!$E$2:$E$11000,"Fix")</f>
        <v>0</v>
      </c>
      <c r="L1787" s="52">
        <f ca="1">SUMIFS(OUT!$F$2:$F$11000,OUT!$H$2:$H$11000,H1787,OUT!$D$2:$D$11000,"Out",OUT!$E$2:$E$11000,"Bathroom")</f>
        <v>0</v>
      </c>
      <c r="M1787" s="52">
        <f ca="1">SUMIFS(OUT!$F$2:$F$11000,OUT!$H$2:$H$11000,H1787,OUT!$D$2:$D$11000,"Out",OUT!$E$2:$E$11000,"Alfa")</f>
        <v>0</v>
      </c>
      <c r="N1787" s="52" t="e">
        <f>SUMIFS(OUT!$F$2:$F$11000,OUT!$H$2:$H$101007,H1787,OUT!$D$2:$D$11000,"Out",OUT!$E$2:$E$11000,"Jajan")</f>
        <v>#VALUE!</v>
      </c>
      <c r="O1787" s="52">
        <f ca="1">SUMIFS(OUT!$F$2:$F$11000,OUT!$H$2:$H$11000,H1787,OUT!$D$2:$D$11000,"Out",OUT!$E$2:$E$11000,"Kitchen")</f>
        <v>0</v>
      </c>
      <c r="P1787" s="52">
        <f ca="1">SUMIFS(OUT!$F$2:$F$11000,OUT!$H$2:$H$11000,H1787,OUT!$D$2:$D$11000,"Out",OUT!$E$2:$E$11000,"Loandry")</f>
        <v>0</v>
      </c>
      <c r="Q1787" s="52">
        <f ca="1">SUMIFS(OUT!$F$2:$F$11000,OUT!$H$2:$H$11000,H1787,OUT!$D$2:$D$11000,"Out",OUT!$E$2:$E$11000,"Mio")</f>
        <v>0</v>
      </c>
      <c r="R1787" s="52">
        <f ca="1">SUMIFS(OUT!$F$2:$F$11000,OUT!$H$2:$H$11000,H1787,OUT!$D$2:$D$11000,"Out",OUT!$E$2:$E$11000,"Sedekah")</f>
        <v>0</v>
      </c>
      <c r="S1787" s="52">
        <f ca="1">SUMIFS(OUT!$F$2:$F$11000,OUT!$H$2:$H$11000,H1787,OUT!$D$2:$D$11000,"Out",OUT!$E$2:$E$11000,"Zela")</f>
        <v>0</v>
      </c>
      <c r="T1787" s="52">
        <f ca="1">SUMIFS(OUT!$F$2:$F$11000,OUT!$H$2:$H$11000,H1787,OUT!$D$2:$D$11000,"Out",OUT!$E$2:$E$11000,"Iqbal")</f>
        <v>0</v>
      </c>
    </row>
    <row r="1788" spans="7:20" x14ac:dyDescent="0.2">
      <c r="G1788" s="50"/>
      <c r="H1788" s="51" t="str">
        <f t="shared" si="0"/>
        <v/>
      </c>
      <c r="I1788" s="52" t="e">
        <f>SUMIFS(OUT!$F$2:$F$11000,OUT!$H$2:$H$11000,H1788,OUT!$D$2:$D$101007,"In")</f>
        <v>#VALUE!</v>
      </c>
      <c r="J1788" s="52">
        <f ca="1">SUMIFS(OUT!$F$2:$F$11000,OUT!$H$2:$H$11000,H1788,OUT!$D$2:$D$11000,"Out")</f>
        <v>0</v>
      </c>
      <c r="K1788" s="52">
        <f ca="1">SUMIFS(OUT!$F$2:$F$11000,OUT!$H$2:$H$11000,H1788,OUT!$D$2:$D$11000,"Out",OUT!$E$2:$E$11000,"Fix")</f>
        <v>0</v>
      </c>
      <c r="L1788" s="52">
        <f ca="1">SUMIFS(OUT!$F$2:$F$11000,OUT!$H$2:$H$11000,H1788,OUT!$D$2:$D$11000,"Out",OUT!$E$2:$E$11000,"Bathroom")</f>
        <v>0</v>
      </c>
      <c r="M1788" s="52">
        <f ca="1">SUMIFS(OUT!$F$2:$F$11000,OUT!$H$2:$H$11000,H1788,OUT!$D$2:$D$11000,"Out",OUT!$E$2:$E$11000,"Alfa")</f>
        <v>0</v>
      </c>
      <c r="N1788" s="52" t="e">
        <f>SUMIFS(OUT!$F$2:$F$11000,OUT!$H$2:$H$101007,H1788,OUT!$D$2:$D$11000,"Out",OUT!$E$2:$E$11000,"Jajan")</f>
        <v>#VALUE!</v>
      </c>
      <c r="O1788" s="52">
        <f ca="1">SUMIFS(OUT!$F$2:$F$11000,OUT!$H$2:$H$11000,H1788,OUT!$D$2:$D$11000,"Out",OUT!$E$2:$E$11000,"Kitchen")</f>
        <v>0</v>
      </c>
      <c r="P1788" s="52">
        <f ca="1">SUMIFS(OUT!$F$2:$F$11000,OUT!$H$2:$H$11000,H1788,OUT!$D$2:$D$11000,"Out",OUT!$E$2:$E$11000,"Loandry")</f>
        <v>0</v>
      </c>
      <c r="Q1788" s="52">
        <f ca="1">SUMIFS(OUT!$F$2:$F$11000,OUT!$H$2:$H$11000,H1788,OUT!$D$2:$D$11000,"Out",OUT!$E$2:$E$11000,"Mio")</f>
        <v>0</v>
      </c>
      <c r="R1788" s="52">
        <f ca="1">SUMIFS(OUT!$F$2:$F$11000,OUT!$H$2:$H$11000,H1788,OUT!$D$2:$D$11000,"Out",OUT!$E$2:$E$11000,"Sedekah")</f>
        <v>0</v>
      </c>
      <c r="S1788" s="52">
        <f ca="1">SUMIFS(OUT!$F$2:$F$11000,OUT!$H$2:$H$11000,H1788,OUT!$D$2:$D$11000,"Out",OUT!$E$2:$E$11000,"Zela")</f>
        <v>0</v>
      </c>
      <c r="T1788" s="52">
        <f ca="1">SUMIFS(OUT!$F$2:$F$11000,OUT!$H$2:$H$11000,H1788,OUT!$D$2:$D$11000,"Out",OUT!$E$2:$E$11000,"Iqbal")</f>
        <v>0</v>
      </c>
    </row>
    <row r="1789" spans="7:20" x14ac:dyDescent="0.2">
      <c r="G1789" s="50"/>
      <c r="H1789" s="51" t="str">
        <f t="shared" si="0"/>
        <v/>
      </c>
      <c r="I1789" s="52" t="e">
        <f>SUMIFS(OUT!$F$2:$F$11000,OUT!$H$2:$H$11000,H1789,OUT!$D$2:$D$101007,"In")</f>
        <v>#VALUE!</v>
      </c>
      <c r="J1789" s="52">
        <f ca="1">SUMIFS(OUT!$F$2:$F$11000,OUT!$H$2:$H$11000,H1789,OUT!$D$2:$D$11000,"Out")</f>
        <v>0</v>
      </c>
      <c r="K1789" s="52">
        <f ca="1">SUMIFS(OUT!$F$2:$F$11000,OUT!$H$2:$H$11000,H1789,OUT!$D$2:$D$11000,"Out",OUT!$E$2:$E$11000,"Fix")</f>
        <v>0</v>
      </c>
      <c r="L1789" s="52">
        <f ca="1">SUMIFS(OUT!$F$2:$F$11000,OUT!$H$2:$H$11000,H1789,OUT!$D$2:$D$11000,"Out",OUT!$E$2:$E$11000,"Bathroom")</f>
        <v>0</v>
      </c>
      <c r="M1789" s="52">
        <f ca="1">SUMIFS(OUT!$F$2:$F$11000,OUT!$H$2:$H$11000,H1789,OUT!$D$2:$D$11000,"Out",OUT!$E$2:$E$11000,"Alfa")</f>
        <v>0</v>
      </c>
      <c r="N1789" s="52" t="e">
        <f>SUMIFS(OUT!$F$2:$F$11000,OUT!$H$2:$H$101007,H1789,OUT!$D$2:$D$11000,"Out",OUT!$E$2:$E$11000,"Jajan")</f>
        <v>#VALUE!</v>
      </c>
      <c r="O1789" s="52">
        <f ca="1">SUMIFS(OUT!$F$2:$F$11000,OUT!$H$2:$H$11000,H1789,OUT!$D$2:$D$11000,"Out",OUT!$E$2:$E$11000,"Kitchen")</f>
        <v>0</v>
      </c>
      <c r="P1789" s="52">
        <f ca="1">SUMIFS(OUT!$F$2:$F$11000,OUT!$H$2:$H$11000,H1789,OUT!$D$2:$D$11000,"Out",OUT!$E$2:$E$11000,"Loandry")</f>
        <v>0</v>
      </c>
      <c r="Q1789" s="52">
        <f ca="1">SUMIFS(OUT!$F$2:$F$11000,OUT!$H$2:$H$11000,H1789,OUT!$D$2:$D$11000,"Out",OUT!$E$2:$E$11000,"Mio")</f>
        <v>0</v>
      </c>
      <c r="R1789" s="52">
        <f ca="1">SUMIFS(OUT!$F$2:$F$11000,OUT!$H$2:$H$11000,H1789,OUT!$D$2:$D$11000,"Out",OUT!$E$2:$E$11000,"Sedekah")</f>
        <v>0</v>
      </c>
      <c r="S1789" s="52">
        <f ca="1">SUMIFS(OUT!$F$2:$F$11000,OUT!$H$2:$H$11000,H1789,OUT!$D$2:$D$11000,"Out",OUT!$E$2:$E$11000,"Zela")</f>
        <v>0</v>
      </c>
      <c r="T1789" s="52">
        <f ca="1">SUMIFS(OUT!$F$2:$F$11000,OUT!$H$2:$H$11000,H1789,OUT!$D$2:$D$11000,"Out",OUT!$E$2:$E$11000,"Iqbal")</f>
        <v>0</v>
      </c>
    </row>
    <row r="1790" spans="7:20" x14ac:dyDescent="0.2">
      <c r="G1790" s="50"/>
      <c r="H1790" s="51" t="str">
        <f t="shared" si="0"/>
        <v/>
      </c>
      <c r="I1790" s="52" t="e">
        <f>SUMIFS(OUT!$F$2:$F$11000,OUT!$H$2:$H$11000,H1790,OUT!$D$2:$D$101007,"In")</f>
        <v>#VALUE!</v>
      </c>
      <c r="J1790" s="52">
        <f ca="1">SUMIFS(OUT!$F$2:$F$11000,OUT!$H$2:$H$11000,H1790,OUT!$D$2:$D$11000,"Out")</f>
        <v>0</v>
      </c>
      <c r="K1790" s="52">
        <f ca="1">SUMIFS(OUT!$F$2:$F$11000,OUT!$H$2:$H$11000,H1790,OUT!$D$2:$D$11000,"Out",OUT!$E$2:$E$11000,"Fix")</f>
        <v>0</v>
      </c>
      <c r="L1790" s="52">
        <f ca="1">SUMIFS(OUT!$F$2:$F$11000,OUT!$H$2:$H$11000,H1790,OUT!$D$2:$D$11000,"Out",OUT!$E$2:$E$11000,"Bathroom")</f>
        <v>0</v>
      </c>
      <c r="M1790" s="52">
        <f ca="1">SUMIFS(OUT!$F$2:$F$11000,OUT!$H$2:$H$11000,H1790,OUT!$D$2:$D$11000,"Out",OUT!$E$2:$E$11000,"Alfa")</f>
        <v>0</v>
      </c>
      <c r="N1790" s="52" t="e">
        <f>SUMIFS(OUT!$F$2:$F$11000,OUT!$H$2:$H$101007,H1790,OUT!$D$2:$D$11000,"Out",OUT!$E$2:$E$11000,"Jajan")</f>
        <v>#VALUE!</v>
      </c>
      <c r="O1790" s="52">
        <f ca="1">SUMIFS(OUT!$F$2:$F$11000,OUT!$H$2:$H$11000,H1790,OUT!$D$2:$D$11000,"Out",OUT!$E$2:$E$11000,"Kitchen")</f>
        <v>0</v>
      </c>
      <c r="P1790" s="52">
        <f ca="1">SUMIFS(OUT!$F$2:$F$11000,OUT!$H$2:$H$11000,H1790,OUT!$D$2:$D$11000,"Out",OUT!$E$2:$E$11000,"Loandry")</f>
        <v>0</v>
      </c>
      <c r="Q1790" s="52">
        <f ca="1">SUMIFS(OUT!$F$2:$F$11000,OUT!$H$2:$H$11000,H1790,OUT!$D$2:$D$11000,"Out",OUT!$E$2:$E$11000,"Mio")</f>
        <v>0</v>
      </c>
      <c r="R1790" s="52">
        <f ca="1">SUMIFS(OUT!$F$2:$F$11000,OUT!$H$2:$H$11000,H1790,OUT!$D$2:$D$11000,"Out",OUT!$E$2:$E$11000,"Sedekah")</f>
        <v>0</v>
      </c>
      <c r="S1790" s="52">
        <f ca="1">SUMIFS(OUT!$F$2:$F$11000,OUT!$H$2:$H$11000,H1790,OUT!$D$2:$D$11000,"Out",OUT!$E$2:$E$11000,"Zela")</f>
        <v>0</v>
      </c>
      <c r="T1790" s="52">
        <f ca="1">SUMIFS(OUT!$F$2:$F$11000,OUT!$H$2:$H$11000,H1790,OUT!$D$2:$D$11000,"Out",OUT!$E$2:$E$11000,"Iqbal")</f>
        <v>0</v>
      </c>
    </row>
    <row r="1791" spans="7:20" x14ac:dyDescent="0.2">
      <c r="G1791" s="50"/>
      <c r="H1791" s="51" t="str">
        <f t="shared" si="0"/>
        <v/>
      </c>
      <c r="I1791" s="52" t="e">
        <f>SUMIFS(OUT!$F$2:$F$11000,OUT!$H$2:$H$11000,H1791,OUT!$D$2:$D$101007,"In")</f>
        <v>#VALUE!</v>
      </c>
      <c r="J1791" s="52">
        <f ca="1">SUMIFS(OUT!$F$2:$F$11000,OUT!$H$2:$H$11000,H1791,OUT!$D$2:$D$11000,"Out")</f>
        <v>0</v>
      </c>
      <c r="K1791" s="52">
        <f ca="1">SUMIFS(OUT!$F$2:$F$11000,OUT!$H$2:$H$11000,H1791,OUT!$D$2:$D$11000,"Out",OUT!$E$2:$E$11000,"Fix")</f>
        <v>0</v>
      </c>
      <c r="L1791" s="52">
        <f ca="1">SUMIFS(OUT!$F$2:$F$11000,OUT!$H$2:$H$11000,H1791,OUT!$D$2:$D$11000,"Out",OUT!$E$2:$E$11000,"Bathroom")</f>
        <v>0</v>
      </c>
      <c r="M1791" s="52">
        <f ca="1">SUMIFS(OUT!$F$2:$F$11000,OUT!$H$2:$H$11000,H1791,OUT!$D$2:$D$11000,"Out",OUT!$E$2:$E$11000,"Alfa")</f>
        <v>0</v>
      </c>
      <c r="N1791" s="52" t="e">
        <f>SUMIFS(OUT!$F$2:$F$11000,OUT!$H$2:$H$101007,H1791,OUT!$D$2:$D$11000,"Out",OUT!$E$2:$E$11000,"Jajan")</f>
        <v>#VALUE!</v>
      </c>
      <c r="O1791" s="52">
        <f ca="1">SUMIFS(OUT!$F$2:$F$11000,OUT!$H$2:$H$11000,H1791,OUT!$D$2:$D$11000,"Out",OUT!$E$2:$E$11000,"Kitchen")</f>
        <v>0</v>
      </c>
      <c r="P1791" s="52">
        <f ca="1">SUMIFS(OUT!$F$2:$F$11000,OUT!$H$2:$H$11000,H1791,OUT!$D$2:$D$11000,"Out",OUT!$E$2:$E$11000,"Loandry")</f>
        <v>0</v>
      </c>
      <c r="Q1791" s="52">
        <f ca="1">SUMIFS(OUT!$F$2:$F$11000,OUT!$H$2:$H$11000,H1791,OUT!$D$2:$D$11000,"Out",OUT!$E$2:$E$11000,"Mio")</f>
        <v>0</v>
      </c>
      <c r="R1791" s="52">
        <f ca="1">SUMIFS(OUT!$F$2:$F$11000,OUT!$H$2:$H$11000,H1791,OUT!$D$2:$D$11000,"Out",OUT!$E$2:$E$11000,"Sedekah")</f>
        <v>0</v>
      </c>
      <c r="S1791" s="52">
        <f ca="1">SUMIFS(OUT!$F$2:$F$11000,OUT!$H$2:$H$11000,H1791,OUT!$D$2:$D$11000,"Out",OUT!$E$2:$E$11000,"Zela")</f>
        <v>0</v>
      </c>
      <c r="T1791" s="52">
        <f ca="1">SUMIFS(OUT!$F$2:$F$11000,OUT!$H$2:$H$11000,H1791,OUT!$D$2:$D$11000,"Out",OUT!$E$2:$E$11000,"Iqbal")</f>
        <v>0</v>
      </c>
    </row>
    <row r="1792" spans="7:20" x14ac:dyDescent="0.2">
      <c r="G1792" s="50"/>
      <c r="H1792" s="51" t="str">
        <f t="shared" si="0"/>
        <v/>
      </c>
      <c r="I1792" s="52" t="e">
        <f>SUMIFS(OUT!$F$2:$F$11000,OUT!$H$2:$H$11000,H1792,OUT!$D$2:$D$101007,"In")</f>
        <v>#VALUE!</v>
      </c>
      <c r="J1792" s="52">
        <f ca="1">SUMIFS(OUT!$F$2:$F$11000,OUT!$H$2:$H$11000,H1792,OUT!$D$2:$D$11000,"Out")</f>
        <v>0</v>
      </c>
      <c r="K1792" s="52">
        <f ca="1">SUMIFS(OUT!$F$2:$F$11000,OUT!$H$2:$H$11000,H1792,OUT!$D$2:$D$11000,"Out",OUT!$E$2:$E$11000,"Fix")</f>
        <v>0</v>
      </c>
      <c r="L1792" s="52">
        <f ca="1">SUMIFS(OUT!$F$2:$F$11000,OUT!$H$2:$H$11000,H1792,OUT!$D$2:$D$11000,"Out",OUT!$E$2:$E$11000,"Bathroom")</f>
        <v>0</v>
      </c>
      <c r="M1792" s="52">
        <f ca="1">SUMIFS(OUT!$F$2:$F$11000,OUT!$H$2:$H$11000,H1792,OUT!$D$2:$D$11000,"Out",OUT!$E$2:$E$11000,"Alfa")</f>
        <v>0</v>
      </c>
      <c r="N1792" s="52" t="e">
        <f>SUMIFS(OUT!$F$2:$F$11000,OUT!$H$2:$H$101007,H1792,OUT!$D$2:$D$11000,"Out",OUT!$E$2:$E$11000,"Jajan")</f>
        <v>#VALUE!</v>
      </c>
      <c r="O1792" s="52">
        <f ca="1">SUMIFS(OUT!$F$2:$F$11000,OUT!$H$2:$H$11000,H1792,OUT!$D$2:$D$11000,"Out",OUT!$E$2:$E$11000,"Kitchen")</f>
        <v>0</v>
      </c>
      <c r="P1792" s="52">
        <f ca="1">SUMIFS(OUT!$F$2:$F$11000,OUT!$H$2:$H$11000,H1792,OUT!$D$2:$D$11000,"Out",OUT!$E$2:$E$11000,"Loandry")</f>
        <v>0</v>
      </c>
      <c r="Q1792" s="52">
        <f ca="1">SUMIFS(OUT!$F$2:$F$11000,OUT!$H$2:$H$11000,H1792,OUT!$D$2:$D$11000,"Out",OUT!$E$2:$E$11000,"Mio")</f>
        <v>0</v>
      </c>
      <c r="R1792" s="52">
        <f ca="1">SUMIFS(OUT!$F$2:$F$11000,OUT!$H$2:$H$11000,H1792,OUT!$D$2:$D$11000,"Out",OUT!$E$2:$E$11000,"Sedekah")</f>
        <v>0</v>
      </c>
      <c r="S1792" s="52">
        <f ca="1">SUMIFS(OUT!$F$2:$F$11000,OUT!$H$2:$H$11000,H1792,OUT!$D$2:$D$11000,"Out",OUT!$E$2:$E$11000,"Zela")</f>
        <v>0</v>
      </c>
      <c r="T1792" s="52">
        <f ca="1">SUMIFS(OUT!$F$2:$F$11000,OUT!$H$2:$H$11000,H1792,OUT!$D$2:$D$11000,"Out",OUT!$E$2:$E$11000,"Iqbal")</f>
        <v>0</v>
      </c>
    </row>
    <row r="1793" spans="7:20" x14ac:dyDescent="0.2">
      <c r="G1793" s="50"/>
      <c r="H1793" s="51" t="str">
        <f t="shared" si="0"/>
        <v/>
      </c>
      <c r="I1793" s="52" t="e">
        <f>SUMIFS(OUT!$F$2:$F$11000,OUT!$H$2:$H$11000,H1793,OUT!$D$2:$D$101007,"In")</f>
        <v>#VALUE!</v>
      </c>
      <c r="J1793" s="52">
        <f ca="1">SUMIFS(OUT!$F$2:$F$11000,OUT!$H$2:$H$11000,H1793,OUT!$D$2:$D$11000,"Out")</f>
        <v>0</v>
      </c>
      <c r="K1793" s="52">
        <f ca="1">SUMIFS(OUT!$F$2:$F$11000,OUT!$H$2:$H$11000,H1793,OUT!$D$2:$D$11000,"Out",OUT!$E$2:$E$11000,"Fix")</f>
        <v>0</v>
      </c>
      <c r="L1793" s="52">
        <f ca="1">SUMIFS(OUT!$F$2:$F$11000,OUT!$H$2:$H$11000,H1793,OUT!$D$2:$D$11000,"Out",OUT!$E$2:$E$11000,"Bathroom")</f>
        <v>0</v>
      </c>
      <c r="M1793" s="52">
        <f ca="1">SUMIFS(OUT!$F$2:$F$11000,OUT!$H$2:$H$11000,H1793,OUT!$D$2:$D$11000,"Out",OUT!$E$2:$E$11000,"Alfa")</f>
        <v>0</v>
      </c>
      <c r="N1793" s="52" t="e">
        <f>SUMIFS(OUT!$F$2:$F$11000,OUT!$H$2:$H$101007,H1793,OUT!$D$2:$D$11000,"Out",OUT!$E$2:$E$11000,"Jajan")</f>
        <v>#VALUE!</v>
      </c>
      <c r="O1793" s="52">
        <f ca="1">SUMIFS(OUT!$F$2:$F$11000,OUT!$H$2:$H$11000,H1793,OUT!$D$2:$D$11000,"Out",OUT!$E$2:$E$11000,"Kitchen")</f>
        <v>0</v>
      </c>
      <c r="P1793" s="52">
        <f ca="1">SUMIFS(OUT!$F$2:$F$11000,OUT!$H$2:$H$11000,H1793,OUT!$D$2:$D$11000,"Out",OUT!$E$2:$E$11000,"Loandry")</f>
        <v>0</v>
      </c>
      <c r="Q1793" s="52">
        <f ca="1">SUMIFS(OUT!$F$2:$F$11000,OUT!$H$2:$H$11000,H1793,OUT!$D$2:$D$11000,"Out",OUT!$E$2:$E$11000,"Mio")</f>
        <v>0</v>
      </c>
      <c r="R1793" s="52">
        <f ca="1">SUMIFS(OUT!$F$2:$F$11000,OUT!$H$2:$H$11000,H1793,OUT!$D$2:$D$11000,"Out",OUT!$E$2:$E$11000,"Sedekah")</f>
        <v>0</v>
      </c>
      <c r="S1793" s="52">
        <f ca="1">SUMIFS(OUT!$F$2:$F$11000,OUT!$H$2:$H$11000,H1793,OUT!$D$2:$D$11000,"Out",OUT!$E$2:$E$11000,"Zela")</f>
        <v>0</v>
      </c>
      <c r="T1793" s="52">
        <f ca="1">SUMIFS(OUT!$F$2:$F$11000,OUT!$H$2:$H$11000,H1793,OUT!$D$2:$D$11000,"Out",OUT!$E$2:$E$11000,"Iqbal")</f>
        <v>0</v>
      </c>
    </row>
    <row r="1794" spans="7:20" x14ac:dyDescent="0.2">
      <c r="G1794" s="50"/>
      <c r="H1794" s="51" t="str">
        <f t="shared" si="0"/>
        <v/>
      </c>
      <c r="I1794" s="52" t="e">
        <f>SUMIFS(OUT!$F$2:$F$11000,OUT!$H$2:$H$11000,H1794,OUT!$D$2:$D$101007,"In")</f>
        <v>#VALUE!</v>
      </c>
      <c r="J1794" s="52">
        <f ca="1">SUMIFS(OUT!$F$2:$F$11000,OUT!$H$2:$H$11000,H1794,OUT!$D$2:$D$11000,"Out")</f>
        <v>0</v>
      </c>
      <c r="K1794" s="52">
        <f ca="1">SUMIFS(OUT!$F$2:$F$11000,OUT!$H$2:$H$11000,H1794,OUT!$D$2:$D$11000,"Out",OUT!$E$2:$E$11000,"Fix")</f>
        <v>0</v>
      </c>
      <c r="L1794" s="52">
        <f ca="1">SUMIFS(OUT!$F$2:$F$11000,OUT!$H$2:$H$11000,H1794,OUT!$D$2:$D$11000,"Out",OUT!$E$2:$E$11000,"Bathroom")</f>
        <v>0</v>
      </c>
      <c r="M1794" s="52">
        <f ca="1">SUMIFS(OUT!$F$2:$F$11000,OUT!$H$2:$H$11000,H1794,OUT!$D$2:$D$11000,"Out",OUT!$E$2:$E$11000,"Alfa")</f>
        <v>0</v>
      </c>
      <c r="N1794" s="52" t="e">
        <f>SUMIFS(OUT!$F$2:$F$11000,OUT!$H$2:$H$101007,H1794,OUT!$D$2:$D$11000,"Out",OUT!$E$2:$E$11000,"Jajan")</f>
        <v>#VALUE!</v>
      </c>
      <c r="O1794" s="52">
        <f ca="1">SUMIFS(OUT!$F$2:$F$11000,OUT!$H$2:$H$11000,H1794,OUT!$D$2:$D$11000,"Out",OUT!$E$2:$E$11000,"Kitchen")</f>
        <v>0</v>
      </c>
      <c r="P1794" s="52">
        <f ca="1">SUMIFS(OUT!$F$2:$F$11000,OUT!$H$2:$H$11000,H1794,OUT!$D$2:$D$11000,"Out",OUT!$E$2:$E$11000,"Loandry")</f>
        <v>0</v>
      </c>
      <c r="Q1794" s="52">
        <f ca="1">SUMIFS(OUT!$F$2:$F$11000,OUT!$H$2:$H$11000,H1794,OUT!$D$2:$D$11000,"Out",OUT!$E$2:$E$11000,"Mio")</f>
        <v>0</v>
      </c>
      <c r="R1794" s="52">
        <f ca="1">SUMIFS(OUT!$F$2:$F$11000,OUT!$H$2:$H$11000,H1794,OUT!$D$2:$D$11000,"Out",OUT!$E$2:$E$11000,"Sedekah")</f>
        <v>0</v>
      </c>
      <c r="S1794" s="52">
        <f ca="1">SUMIFS(OUT!$F$2:$F$11000,OUT!$H$2:$H$11000,H1794,OUT!$D$2:$D$11000,"Out",OUT!$E$2:$E$11000,"Zela")</f>
        <v>0</v>
      </c>
      <c r="T1794" s="52">
        <f ca="1">SUMIFS(OUT!$F$2:$F$11000,OUT!$H$2:$H$11000,H1794,OUT!$D$2:$D$11000,"Out",OUT!$E$2:$E$11000,"Iqbal")</f>
        <v>0</v>
      </c>
    </row>
    <row r="1795" spans="7:20" x14ac:dyDescent="0.2">
      <c r="G1795" s="50"/>
      <c r="H1795" s="51" t="str">
        <f t="shared" si="0"/>
        <v/>
      </c>
      <c r="I1795" s="52" t="e">
        <f>SUMIFS(OUT!$F$2:$F$11000,OUT!$H$2:$H$11000,H1795,OUT!$D$2:$D$101007,"In")</f>
        <v>#VALUE!</v>
      </c>
      <c r="J1795" s="52">
        <f ca="1">SUMIFS(OUT!$F$2:$F$11000,OUT!$H$2:$H$11000,H1795,OUT!$D$2:$D$11000,"Out")</f>
        <v>0</v>
      </c>
      <c r="K1795" s="52">
        <f ca="1">SUMIFS(OUT!$F$2:$F$11000,OUT!$H$2:$H$11000,H1795,OUT!$D$2:$D$11000,"Out",OUT!$E$2:$E$11000,"Fix")</f>
        <v>0</v>
      </c>
      <c r="L1795" s="52">
        <f ca="1">SUMIFS(OUT!$F$2:$F$11000,OUT!$H$2:$H$11000,H1795,OUT!$D$2:$D$11000,"Out",OUT!$E$2:$E$11000,"Bathroom")</f>
        <v>0</v>
      </c>
      <c r="M1795" s="52">
        <f ca="1">SUMIFS(OUT!$F$2:$F$11000,OUT!$H$2:$H$11000,H1795,OUT!$D$2:$D$11000,"Out",OUT!$E$2:$E$11000,"Alfa")</f>
        <v>0</v>
      </c>
      <c r="N1795" s="52" t="e">
        <f>SUMIFS(OUT!$F$2:$F$11000,OUT!$H$2:$H$101007,H1795,OUT!$D$2:$D$11000,"Out",OUT!$E$2:$E$11000,"Jajan")</f>
        <v>#VALUE!</v>
      </c>
      <c r="O1795" s="52">
        <f ca="1">SUMIFS(OUT!$F$2:$F$11000,OUT!$H$2:$H$11000,H1795,OUT!$D$2:$D$11000,"Out",OUT!$E$2:$E$11000,"Kitchen")</f>
        <v>0</v>
      </c>
      <c r="P1795" s="52">
        <f ca="1">SUMIFS(OUT!$F$2:$F$11000,OUT!$H$2:$H$11000,H1795,OUT!$D$2:$D$11000,"Out",OUT!$E$2:$E$11000,"Loandry")</f>
        <v>0</v>
      </c>
      <c r="Q1795" s="52">
        <f ca="1">SUMIFS(OUT!$F$2:$F$11000,OUT!$H$2:$H$11000,H1795,OUT!$D$2:$D$11000,"Out",OUT!$E$2:$E$11000,"Mio")</f>
        <v>0</v>
      </c>
      <c r="R1795" s="52">
        <f ca="1">SUMIFS(OUT!$F$2:$F$11000,OUT!$H$2:$H$11000,H1795,OUT!$D$2:$D$11000,"Out",OUT!$E$2:$E$11000,"Sedekah")</f>
        <v>0</v>
      </c>
      <c r="S1795" s="52">
        <f ca="1">SUMIFS(OUT!$F$2:$F$11000,OUT!$H$2:$H$11000,H1795,OUT!$D$2:$D$11000,"Out",OUT!$E$2:$E$11000,"Zela")</f>
        <v>0</v>
      </c>
      <c r="T1795" s="52">
        <f ca="1">SUMIFS(OUT!$F$2:$F$11000,OUT!$H$2:$H$11000,H1795,OUT!$D$2:$D$11000,"Out",OUT!$E$2:$E$11000,"Iqbal")</f>
        <v>0</v>
      </c>
    </row>
    <row r="1796" spans="7:20" x14ac:dyDescent="0.2">
      <c r="G1796" s="50"/>
      <c r="H1796" s="51" t="str">
        <f t="shared" si="0"/>
        <v/>
      </c>
      <c r="I1796" s="52" t="e">
        <f>SUMIFS(OUT!$F$2:$F$11000,OUT!$H$2:$H$11000,H1796,OUT!$D$2:$D$101007,"In")</f>
        <v>#VALUE!</v>
      </c>
      <c r="J1796" s="52">
        <f ca="1">SUMIFS(OUT!$F$2:$F$11000,OUT!$H$2:$H$11000,H1796,OUT!$D$2:$D$11000,"Out")</f>
        <v>0</v>
      </c>
      <c r="K1796" s="52">
        <f ca="1">SUMIFS(OUT!$F$2:$F$11000,OUT!$H$2:$H$11000,H1796,OUT!$D$2:$D$11000,"Out",OUT!$E$2:$E$11000,"Fix")</f>
        <v>0</v>
      </c>
      <c r="L1796" s="52">
        <f ca="1">SUMIFS(OUT!$F$2:$F$11000,OUT!$H$2:$H$11000,H1796,OUT!$D$2:$D$11000,"Out",OUT!$E$2:$E$11000,"Bathroom")</f>
        <v>0</v>
      </c>
      <c r="M1796" s="52">
        <f ca="1">SUMIFS(OUT!$F$2:$F$11000,OUT!$H$2:$H$11000,H1796,OUT!$D$2:$D$11000,"Out",OUT!$E$2:$E$11000,"Alfa")</f>
        <v>0</v>
      </c>
      <c r="N1796" s="52" t="e">
        <f>SUMIFS(OUT!$F$2:$F$11000,OUT!$H$2:$H$101007,H1796,OUT!$D$2:$D$11000,"Out",OUT!$E$2:$E$11000,"Jajan")</f>
        <v>#VALUE!</v>
      </c>
      <c r="O1796" s="52">
        <f ca="1">SUMIFS(OUT!$F$2:$F$11000,OUT!$H$2:$H$11000,H1796,OUT!$D$2:$D$11000,"Out",OUT!$E$2:$E$11000,"Kitchen")</f>
        <v>0</v>
      </c>
      <c r="P1796" s="52">
        <f ca="1">SUMIFS(OUT!$F$2:$F$11000,OUT!$H$2:$H$11000,H1796,OUT!$D$2:$D$11000,"Out",OUT!$E$2:$E$11000,"Loandry")</f>
        <v>0</v>
      </c>
      <c r="Q1796" s="52">
        <f ca="1">SUMIFS(OUT!$F$2:$F$11000,OUT!$H$2:$H$11000,H1796,OUT!$D$2:$D$11000,"Out",OUT!$E$2:$E$11000,"Mio")</f>
        <v>0</v>
      </c>
      <c r="R1796" s="52">
        <f ca="1">SUMIFS(OUT!$F$2:$F$11000,OUT!$H$2:$H$11000,H1796,OUT!$D$2:$D$11000,"Out",OUT!$E$2:$E$11000,"Sedekah")</f>
        <v>0</v>
      </c>
      <c r="S1796" s="52">
        <f ca="1">SUMIFS(OUT!$F$2:$F$11000,OUT!$H$2:$H$11000,H1796,OUT!$D$2:$D$11000,"Out",OUT!$E$2:$E$11000,"Zela")</f>
        <v>0</v>
      </c>
      <c r="T1796" s="52">
        <f ca="1">SUMIFS(OUT!$F$2:$F$11000,OUT!$H$2:$H$11000,H1796,OUT!$D$2:$D$11000,"Out",OUT!$E$2:$E$11000,"Iqbal")</f>
        <v>0</v>
      </c>
    </row>
    <row r="1797" spans="7:20" x14ac:dyDescent="0.2">
      <c r="G1797" s="50"/>
      <c r="H1797" s="51" t="str">
        <f t="shared" si="0"/>
        <v/>
      </c>
      <c r="I1797" s="52" t="e">
        <f>SUMIFS(OUT!$F$2:$F$11000,OUT!$H$2:$H$11000,H1797,OUT!$D$2:$D$101007,"In")</f>
        <v>#VALUE!</v>
      </c>
      <c r="J1797" s="52">
        <f ca="1">SUMIFS(OUT!$F$2:$F$11000,OUT!$H$2:$H$11000,H1797,OUT!$D$2:$D$11000,"Out")</f>
        <v>0</v>
      </c>
      <c r="K1797" s="52">
        <f ca="1">SUMIFS(OUT!$F$2:$F$11000,OUT!$H$2:$H$11000,H1797,OUT!$D$2:$D$11000,"Out",OUT!$E$2:$E$11000,"Fix")</f>
        <v>0</v>
      </c>
      <c r="L1797" s="52">
        <f ca="1">SUMIFS(OUT!$F$2:$F$11000,OUT!$H$2:$H$11000,H1797,OUT!$D$2:$D$11000,"Out",OUT!$E$2:$E$11000,"Bathroom")</f>
        <v>0</v>
      </c>
      <c r="M1797" s="52">
        <f ca="1">SUMIFS(OUT!$F$2:$F$11000,OUT!$H$2:$H$11000,H1797,OUT!$D$2:$D$11000,"Out",OUT!$E$2:$E$11000,"Alfa")</f>
        <v>0</v>
      </c>
      <c r="N1797" s="52" t="e">
        <f>SUMIFS(OUT!$F$2:$F$11000,OUT!$H$2:$H$101007,H1797,OUT!$D$2:$D$11000,"Out",OUT!$E$2:$E$11000,"Jajan")</f>
        <v>#VALUE!</v>
      </c>
      <c r="O1797" s="52">
        <f ca="1">SUMIFS(OUT!$F$2:$F$11000,OUT!$H$2:$H$11000,H1797,OUT!$D$2:$D$11000,"Out",OUT!$E$2:$E$11000,"Kitchen")</f>
        <v>0</v>
      </c>
      <c r="P1797" s="52">
        <f ca="1">SUMIFS(OUT!$F$2:$F$11000,OUT!$H$2:$H$11000,H1797,OUT!$D$2:$D$11000,"Out",OUT!$E$2:$E$11000,"Loandry")</f>
        <v>0</v>
      </c>
      <c r="Q1797" s="52">
        <f ca="1">SUMIFS(OUT!$F$2:$F$11000,OUT!$H$2:$H$11000,H1797,OUT!$D$2:$D$11000,"Out",OUT!$E$2:$E$11000,"Mio")</f>
        <v>0</v>
      </c>
      <c r="R1797" s="52">
        <f ca="1">SUMIFS(OUT!$F$2:$F$11000,OUT!$H$2:$H$11000,H1797,OUT!$D$2:$D$11000,"Out",OUT!$E$2:$E$11000,"Sedekah")</f>
        <v>0</v>
      </c>
      <c r="S1797" s="52">
        <f ca="1">SUMIFS(OUT!$F$2:$F$11000,OUT!$H$2:$H$11000,H1797,OUT!$D$2:$D$11000,"Out",OUT!$E$2:$E$11000,"Zela")</f>
        <v>0</v>
      </c>
      <c r="T1797" s="52">
        <f ca="1">SUMIFS(OUT!$F$2:$F$11000,OUT!$H$2:$H$11000,H1797,OUT!$D$2:$D$11000,"Out",OUT!$E$2:$E$11000,"Iqbal")</f>
        <v>0</v>
      </c>
    </row>
    <row r="1798" spans="7:20" x14ac:dyDescent="0.2">
      <c r="G1798" s="50"/>
      <c r="H1798" s="51" t="str">
        <f t="shared" si="0"/>
        <v/>
      </c>
      <c r="I1798" s="52" t="e">
        <f>SUMIFS(OUT!$F$2:$F$11000,OUT!$H$2:$H$11000,H1798,OUT!$D$2:$D$101007,"In")</f>
        <v>#VALUE!</v>
      </c>
      <c r="J1798" s="52">
        <f ca="1">SUMIFS(OUT!$F$2:$F$11000,OUT!$H$2:$H$11000,H1798,OUT!$D$2:$D$11000,"Out")</f>
        <v>0</v>
      </c>
      <c r="K1798" s="52">
        <f ca="1">SUMIFS(OUT!$F$2:$F$11000,OUT!$H$2:$H$11000,H1798,OUT!$D$2:$D$11000,"Out",OUT!$E$2:$E$11000,"Fix")</f>
        <v>0</v>
      </c>
      <c r="L1798" s="52">
        <f ca="1">SUMIFS(OUT!$F$2:$F$11000,OUT!$H$2:$H$11000,H1798,OUT!$D$2:$D$11000,"Out",OUT!$E$2:$E$11000,"Bathroom")</f>
        <v>0</v>
      </c>
      <c r="M1798" s="52">
        <f ca="1">SUMIFS(OUT!$F$2:$F$11000,OUT!$H$2:$H$11000,H1798,OUT!$D$2:$D$11000,"Out",OUT!$E$2:$E$11000,"Alfa")</f>
        <v>0</v>
      </c>
      <c r="N1798" s="52" t="e">
        <f>SUMIFS(OUT!$F$2:$F$11000,OUT!$H$2:$H$101007,H1798,OUT!$D$2:$D$11000,"Out",OUT!$E$2:$E$11000,"Jajan")</f>
        <v>#VALUE!</v>
      </c>
      <c r="O1798" s="52">
        <f ca="1">SUMIFS(OUT!$F$2:$F$11000,OUT!$H$2:$H$11000,H1798,OUT!$D$2:$D$11000,"Out",OUT!$E$2:$E$11000,"Kitchen")</f>
        <v>0</v>
      </c>
      <c r="P1798" s="52">
        <f ca="1">SUMIFS(OUT!$F$2:$F$11000,OUT!$H$2:$H$11000,H1798,OUT!$D$2:$D$11000,"Out",OUT!$E$2:$E$11000,"Loandry")</f>
        <v>0</v>
      </c>
      <c r="Q1798" s="52">
        <f ca="1">SUMIFS(OUT!$F$2:$F$11000,OUT!$H$2:$H$11000,H1798,OUT!$D$2:$D$11000,"Out",OUT!$E$2:$E$11000,"Mio")</f>
        <v>0</v>
      </c>
      <c r="R1798" s="52">
        <f ca="1">SUMIFS(OUT!$F$2:$F$11000,OUT!$H$2:$H$11000,H1798,OUT!$D$2:$D$11000,"Out",OUT!$E$2:$E$11000,"Sedekah")</f>
        <v>0</v>
      </c>
      <c r="S1798" s="52">
        <f ca="1">SUMIFS(OUT!$F$2:$F$11000,OUT!$H$2:$H$11000,H1798,OUT!$D$2:$D$11000,"Out",OUT!$E$2:$E$11000,"Zela")</f>
        <v>0</v>
      </c>
      <c r="T1798" s="52">
        <f ca="1">SUMIFS(OUT!$F$2:$F$11000,OUT!$H$2:$H$11000,H1798,OUT!$D$2:$D$11000,"Out",OUT!$E$2:$E$11000,"Iqbal")</f>
        <v>0</v>
      </c>
    </row>
    <row r="1799" spans="7:20" x14ac:dyDescent="0.2">
      <c r="G1799" s="50"/>
      <c r="H1799" s="51" t="str">
        <f t="shared" si="0"/>
        <v/>
      </c>
      <c r="I1799" s="52" t="e">
        <f>SUMIFS(OUT!$F$2:$F$11000,OUT!$H$2:$H$11000,H1799,OUT!$D$2:$D$101007,"In")</f>
        <v>#VALUE!</v>
      </c>
      <c r="J1799" s="52">
        <f ca="1">SUMIFS(OUT!$F$2:$F$11000,OUT!$H$2:$H$11000,H1799,OUT!$D$2:$D$11000,"Out")</f>
        <v>0</v>
      </c>
      <c r="K1799" s="52">
        <f ca="1">SUMIFS(OUT!$F$2:$F$11000,OUT!$H$2:$H$11000,H1799,OUT!$D$2:$D$11000,"Out",OUT!$E$2:$E$11000,"Fix")</f>
        <v>0</v>
      </c>
      <c r="L1799" s="52">
        <f ca="1">SUMIFS(OUT!$F$2:$F$11000,OUT!$H$2:$H$11000,H1799,OUT!$D$2:$D$11000,"Out",OUT!$E$2:$E$11000,"Bathroom")</f>
        <v>0</v>
      </c>
      <c r="M1799" s="52">
        <f ca="1">SUMIFS(OUT!$F$2:$F$11000,OUT!$H$2:$H$11000,H1799,OUT!$D$2:$D$11000,"Out",OUT!$E$2:$E$11000,"Alfa")</f>
        <v>0</v>
      </c>
      <c r="N1799" s="52" t="e">
        <f>SUMIFS(OUT!$F$2:$F$11000,OUT!$H$2:$H$101007,H1799,OUT!$D$2:$D$11000,"Out",OUT!$E$2:$E$11000,"Jajan")</f>
        <v>#VALUE!</v>
      </c>
      <c r="O1799" s="52">
        <f ca="1">SUMIFS(OUT!$F$2:$F$11000,OUT!$H$2:$H$11000,H1799,OUT!$D$2:$D$11000,"Out",OUT!$E$2:$E$11000,"Kitchen")</f>
        <v>0</v>
      </c>
      <c r="P1799" s="52">
        <f ca="1">SUMIFS(OUT!$F$2:$F$11000,OUT!$H$2:$H$11000,H1799,OUT!$D$2:$D$11000,"Out",OUT!$E$2:$E$11000,"Loandry")</f>
        <v>0</v>
      </c>
      <c r="Q1799" s="52">
        <f ca="1">SUMIFS(OUT!$F$2:$F$11000,OUT!$H$2:$H$11000,H1799,OUT!$D$2:$D$11000,"Out",OUT!$E$2:$E$11000,"Mio")</f>
        <v>0</v>
      </c>
      <c r="R1799" s="52">
        <f ca="1">SUMIFS(OUT!$F$2:$F$11000,OUT!$H$2:$H$11000,H1799,OUT!$D$2:$D$11000,"Out",OUT!$E$2:$E$11000,"Sedekah")</f>
        <v>0</v>
      </c>
      <c r="S1799" s="52">
        <f ca="1">SUMIFS(OUT!$F$2:$F$11000,OUT!$H$2:$H$11000,H1799,OUT!$D$2:$D$11000,"Out",OUT!$E$2:$E$11000,"Zela")</f>
        <v>0</v>
      </c>
      <c r="T1799" s="52">
        <f ca="1">SUMIFS(OUT!$F$2:$F$11000,OUT!$H$2:$H$11000,H1799,OUT!$D$2:$D$11000,"Out",OUT!$E$2:$E$11000,"Iqbal")</f>
        <v>0</v>
      </c>
    </row>
    <row r="1800" spans="7:20" x14ac:dyDescent="0.2">
      <c r="G1800" s="50"/>
      <c r="H1800" s="51" t="str">
        <f t="shared" si="0"/>
        <v/>
      </c>
      <c r="I1800" s="52" t="e">
        <f>SUMIFS(OUT!$F$2:$F$11000,OUT!$H$2:$H$11000,H1800,OUT!$D$2:$D$101007,"In")</f>
        <v>#VALUE!</v>
      </c>
      <c r="J1800" s="52">
        <f ca="1">SUMIFS(OUT!$F$2:$F$11000,OUT!$H$2:$H$11000,H1800,OUT!$D$2:$D$11000,"Out")</f>
        <v>0</v>
      </c>
      <c r="K1800" s="52">
        <f ca="1">SUMIFS(OUT!$F$2:$F$11000,OUT!$H$2:$H$11000,H1800,OUT!$D$2:$D$11000,"Out",OUT!$E$2:$E$11000,"Fix")</f>
        <v>0</v>
      </c>
      <c r="L1800" s="52">
        <f ca="1">SUMIFS(OUT!$F$2:$F$11000,OUT!$H$2:$H$11000,H1800,OUT!$D$2:$D$11000,"Out",OUT!$E$2:$E$11000,"Bathroom")</f>
        <v>0</v>
      </c>
      <c r="M1800" s="52">
        <f ca="1">SUMIFS(OUT!$F$2:$F$11000,OUT!$H$2:$H$11000,H1800,OUT!$D$2:$D$11000,"Out",OUT!$E$2:$E$11000,"Alfa")</f>
        <v>0</v>
      </c>
      <c r="N1800" s="52" t="e">
        <f>SUMIFS(OUT!$F$2:$F$11000,OUT!$H$2:$H$101007,H1800,OUT!$D$2:$D$11000,"Out",OUT!$E$2:$E$11000,"Jajan")</f>
        <v>#VALUE!</v>
      </c>
      <c r="O1800" s="52">
        <f ca="1">SUMIFS(OUT!$F$2:$F$11000,OUT!$H$2:$H$11000,H1800,OUT!$D$2:$D$11000,"Out",OUT!$E$2:$E$11000,"Kitchen")</f>
        <v>0</v>
      </c>
      <c r="P1800" s="52">
        <f ca="1">SUMIFS(OUT!$F$2:$F$11000,OUT!$H$2:$H$11000,H1800,OUT!$D$2:$D$11000,"Out",OUT!$E$2:$E$11000,"Loandry")</f>
        <v>0</v>
      </c>
      <c r="Q1800" s="52">
        <f ca="1">SUMIFS(OUT!$F$2:$F$11000,OUT!$H$2:$H$11000,H1800,OUT!$D$2:$D$11000,"Out",OUT!$E$2:$E$11000,"Mio")</f>
        <v>0</v>
      </c>
      <c r="R1800" s="52">
        <f ca="1">SUMIFS(OUT!$F$2:$F$11000,OUT!$H$2:$H$11000,H1800,OUT!$D$2:$D$11000,"Out",OUT!$E$2:$E$11000,"Sedekah")</f>
        <v>0</v>
      </c>
      <c r="S1800" s="52">
        <f ca="1">SUMIFS(OUT!$F$2:$F$11000,OUT!$H$2:$H$11000,H1800,OUT!$D$2:$D$11000,"Out",OUT!$E$2:$E$11000,"Zela")</f>
        <v>0</v>
      </c>
      <c r="T1800" s="52">
        <f ca="1">SUMIFS(OUT!$F$2:$F$11000,OUT!$H$2:$H$11000,H1800,OUT!$D$2:$D$11000,"Out",OUT!$E$2:$E$11000,"Iqbal")</f>
        <v>0</v>
      </c>
    </row>
    <row r="1801" spans="7:20" x14ac:dyDescent="0.2">
      <c r="G1801" s="50"/>
      <c r="H1801" s="51" t="str">
        <f t="shared" si="0"/>
        <v/>
      </c>
      <c r="I1801" s="52" t="e">
        <f>SUMIFS(OUT!$F$2:$F$11000,OUT!$H$2:$H$11000,H1801,OUT!$D$2:$D$101007,"In")</f>
        <v>#VALUE!</v>
      </c>
      <c r="J1801" s="52">
        <f ca="1">SUMIFS(OUT!$F$2:$F$11000,OUT!$H$2:$H$11000,H1801,OUT!$D$2:$D$11000,"Out")</f>
        <v>0</v>
      </c>
      <c r="K1801" s="52">
        <f ca="1">SUMIFS(OUT!$F$2:$F$11000,OUT!$H$2:$H$11000,H1801,OUT!$D$2:$D$11000,"Out",OUT!$E$2:$E$11000,"Fix")</f>
        <v>0</v>
      </c>
      <c r="L1801" s="52">
        <f ca="1">SUMIFS(OUT!$F$2:$F$11000,OUT!$H$2:$H$11000,H1801,OUT!$D$2:$D$11000,"Out",OUT!$E$2:$E$11000,"Bathroom")</f>
        <v>0</v>
      </c>
      <c r="M1801" s="52">
        <f ca="1">SUMIFS(OUT!$F$2:$F$11000,OUT!$H$2:$H$11000,H1801,OUT!$D$2:$D$11000,"Out",OUT!$E$2:$E$11000,"Alfa")</f>
        <v>0</v>
      </c>
      <c r="N1801" s="52" t="e">
        <f>SUMIFS(OUT!$F$2:$F$11000,OUT!$H$2:$H$101007,H1801,OUT!$D$2:$D$11000,"Out",OUT!$E$2:$E$11000,"Jajan")</f>
        <v>#VALUE!</v>
      </c>
      <c r="O1801" s="52">
        <f ca="1">SUMIFS(OUT!$F$2:$F$11000,OUT!$H$2:$H$11000,H1801,OUT!$D$2:$D$11000,"Out",OUT!$E$2:$E$11000,"Kitchen")</f>
        <v>0</v>
      </c>
      <c r="P1801" s="52">
        <f ca="1">SUMIFS(OUT!$F$2:$F$11000,OUT!$H$2:$H$11000,H1801,OUT!$D$2:$D$11000,"Out",OUT!$E$2:$E$11000,"Loandry")</f>
        <v>0</v>
      </c>
      <c r="Q1801" s="52">
        <f ca="1">SUMIFS(OUT!$F$2:$F$11000,OUT!$H$2:$H$11000,H1801,OUT!$D$2:$D$11000,"Out",OUT!$E$2:$E$11000,"Mio")</f>
        <v>0</v>
      </c>
      <c r="R1801" s="52">
        <f ca="1">SUMIFS(OUT!$F$2:$F$11000,OUT!$H$2:$H$11000,H1801,OUT!$D$2:$D$11000,"Out",OUT!$E$2:$E$11000,"Sedekah")</f>
        <v>0</v>
      </c>
      <c r="S1801" s="52">
        <f ca="1">SUMIFS(OUT!$F$2:$F$11000,OUT!$H$2:$H$11000,H1801,OUT!$D$2:$D$11000,"Out",OUT!$E$2:$E$11000,"Zela")</f>
        <v>0</v>
      </c>
      <c r="T1801" s="52">
        <f ca="1">SUMIFS(OUT!$F$2:$F$11000,OUT!$H$2:$H$11000,H1801,OUT!$D$2:$D$11000,"Out",OUT!$E$2:$E$11000,"Iqbal")</f>
        <v>0</v>
      </c>
    </row>
    <row r="1802" spans="7:20" x14ac:dyDescent="0.2">
      <c r="G1802" s="50"/>
      <c r="H1802" s="51" t="str">
        <f t="shared" si="0"/>
        <v/>
      </c>
      <c r="I1802" s="52" t="e">
        <f>SUMIFS(OUT!$F$2:$F$11000,OUT!$H$2:$H$11000,H1802,OUT!$D$2:$D$101007,"In")</f>
        <v>#VALUE!</v>
      </c>
      <c r="J1802" s="52">
        <f ca="1">SUMIFS(OUT!$F$2:$F$11000,OUT!$H$2:$H$11000,H1802,OUT!$D$2:$D$11000,"Out")</f>
        <v>0</v>
      </c>
      <c r="K1802" s="52">
        <f ca="1">SUMIFS(OUT!$F$2:$F$11000,OUT!$H$2:$H$11000,H1802,OUT!$D$2:$D$11000,"Out",OUT!$E$2:$E$11000,"Fix")</f>
        <v>0</v>
      </c>
      <c r="L1802" s="52">
        <f ca="1">SUMIFS(OUT!$F$2:$F$11000,OUT!$H$2:$H$11000,H1802,OUT!$D$2:$D$11000,"Out",OUT!$E$2:$E$11000,"Bathroom")</f>
        <v>0</v>
      </c>
      <c r="M1802" s="52">
        <f ca="1">SUMIFS(OUT!$F$2:$F$11000,OUT!$H$2:$H$11000,H1802,OUT!$D$2:$D$11000,"Out",OUT!$E$2:$E$11000,"Alfa")</f>
        <v>0</v>
      </c>
      <c r="N1802" s="52" t="e">
        <f>SUMIFS(OUT!$F$2:$F$11000,OUT!$H$2:$H$101007,H1802,OUT!$D$2:$D$11000,"Out",OUT!$E$2:$E$11000,"Jajan")</f>
        <v>#VALUE!</v>
      </c>
      <c r="O1802" s="52">
        <f ca="1">SUMIFS(OUT!$F$2:$F$11000,OUT!$H$2:$H$11000,H1802,OUT!$D$2:$D$11000,"Out",OUT!$E$2:$E$11000,"Kitchen")</f>
        <v>0</v>
      </c>
      <c r="P1802" s="52">
        <f ca="1">SUMIFS(OUT!$F$2:$F$11000,OUT!$H$2:$H$11000,H1802,OUT!$D$2:$D$11000,"Out",OUT!$E$2:$E$11000,"Loandry")</f>
        <v>0</v>
      </c>
      <c r="Q1802" s="52">
        <f ca="1">SUMIFS(OUT!$F$2:$F$11000,OUT!$H$2:$H$11000,H1802,OUT!$D$2:$D$11000,"Out",OUT!$E$2:$E$11000,"Mio")</f>
        <v>0</v>
      </c>
      <c r="R1802" s="52">
        <f ca="1">SUMIFS(OUT!$F$2:$F$11000,OUT!$H$2:$H$11000,H1802,OUT!$D$2:$D$11000,"Out",OUT!$E$2:$E$11000,"Sedekah")</f>
        <v>0</v>
      </c>
      <c r="S1802" s="52">
        <f ca="1">SUMIFS(OUT!$F$2:$F$11000,OUT!$H$2:$H$11000,H1802,OUT!$D$2:$D$11000,"Out",OUT!$E$2:$E$11000,"Zela")</f>
        <v>0</v>
      </c>
      <c r="T1802" s="52">
        <f ca="1">SUMIFS(OUT!$F$2:$F$11000,OUT!$H$2:$H$11000,H1802,OUT!$D$2:$D$11000,"Out",OUT!$E$2:$E$11000,"Iqbal")</f>
        <v>0</v>
      </c>
    </row>
    <row r="1803" spans="7:20" x14ac:dyDescent="0.2">
      <c r="G1803" s="50"/>
      <c r="H1803" s="51" t="str">
        <f t="shared" si="0"/>
        <v/>
      </c>
      <c r="I1803" s="52" t="e">
        <f>SUMIFS(OUT!$F$2:$F$11000,OUT!$H$2:$H$11000,H1803,OUT!$D$2:$D$101007,"In")</f>
        <v>#VALUE!</v>
      </c>
      <c r="J1803" s="52">
        <f ca="1">SUMIFS(OUT!$F$2:$F$11000,OUT!$H$2:$H$11000,H1803,OUT!$D$2:$D$11000,"Out")</f>
        <v>0</v>
      </c>
      <c r="K1803" s="52">
        <f ca="1">SUMIFS(OUT!$F$2:$F$11000,OUT!$H$2:$H$11000,H1803,OUT!$D$2:$D$11000,"Out",OUT!$E$2:$E$11000,"Fix")</f>
        <v>0</v>
      </c>
      <c r="L1803" s="52">
        <f ca="1">SUMIFS(OUT!$F$2:$F$11000,OUT!$H$2:$H$11000,H1803,OUT!$D$2:$D$11000,"Out",OUT!$E$2:$E$11000,"Bathroom")</f>
        <v>0</v>
      </c>
      <c r="M1803" s="52">
        <f ca="1">SUMIFS(OUT!$F$2:$F$11000,OUT!$H$2:$H$11000,H1803,OUT!$D$2:$D$11000,"Out",OUT!$E$2:$E$11000,"Alfa")</f>
        <v>0</v>
      </c>
      <c r="N1803" s="52" t="e">
        <f>SUMIFS(OUT!$F$2:$F$11000,OUT!$H$2:$H$101007,H1803,OUT!$D$2:$D$11000,"Out",OUT!$E$2:$E$11000,"Jajan")</f>
        <v>#VALUE!</v>
      </c>
      <c r="O1803" s="52">
        <f ca="1">SUMIFS(OUT!$F$2:$F$11000,OUT!$H$2:$H$11000,H1803,OUT!$D$2:$D$11000,"Out",OUT!$E$2:$E$11000,"Kitchen")</f>
        <v>0</v>
      </c>
      <c r="P1803" s="52">
        <f ca="1">SUMIFS(OUT!$F$2:$F$11000,OUT!$H$2:$H$11000,H1803,OUT!$D$2:$D$11000,"Out",OUT!$E$2:$E$11000,"Loandry")</f>
        <v>0</v>
      </c>
      <c r="Q1803" s="52">
        <f ca="1">SUMIFS(OUT!$F$2:$F$11000,OUT!$H$2:$H$11000,H1803,OUT!$D$2:$D$11000,"Out",OUT!$E$2:$E$11000,"Mio")</f>
        <v>0</v>
      </c>
      <c r="R1803" s="52">
        <f ca="1">SUMIFS(OUT!$F$2:$F$11000,OUT!$H$2:$H$11000,H1803,OUT!$D$2:$D$11000,"Out",OUT!$E$2:$E$11000,"Sedekah")</f>
        <v>0</v>
      </c>
      <c r="S1803" s="52">
        <f ca="1">SUMIFS(OUT!$F$2:$F$11000,OUT!$H$2:$H$11000,H1803,OUT!$D$2:$D$11000,"Out",OUT!$E$2:$E$11000,"Zela")</f>
        <v>0</v>
      </c>
      <c r="T1803" s="52">
        <f ca="1">SUMIFS(OUT!$F$2:$F$11000,OUT!$H$2:$H$11000,H1803,OUT!$D$2:$D$11000,"Out",OUT!$E$2:$E$11000,"Iqbal")</f>
        <v>0</v>
      </c>
    </row>
    <row r="1804" spans="7:20" x14ac:dyDescent="0.2">
      <c r="G1804" s="50"/>
      <c r="H1804" s="51" t="str">
        <f t="shared" si="0"/>
        <v/>
      </c>
      <c r="I1804" s="52" t="e">
        <f>SUMIFS(OUT!$F$2:$F$11000,OUT!$H$2:$H$11000,H1804,OUT!$D$2:$D$101007,"In")</f>
        <v>#VALUE!</v>
      </c>
      <c r="J1804" s="52">
        <f ca="1">SUMIFS(OUT!$F$2:$F$11000,OUT!$H$2:$H$11000,H1804,OUT!$D$2:$D$11000,"Out")</f>
        <v>0</v>
      </c>
      <c r="K1804" s="52">
        <f ca="1">SUMIFS(OUT!$F$2:$F$11000,OUT!$H$2:$H$11000,H1804,OUT!$D$2:$D$11000,"Out",OUT!$E$2:$E$11000,"Fix")</f>
        <v>0</v>
      </c>
      <c r="L1804" s="52">
        <f ca="1">SUMIFS(OUT!$F$2:$F$11000,OUT!$H$2:$H$11000,H1804,OUT!$D$2:$D$11000,"Out",OUT!$E$2:$E$11000,"Bathroom")</f>
        <v>0</v>
      </c>
      <c r="M1804" s="52">
        <f ca="1">SUMIFS(OUT!$F$2:$F$11000,OUT!$H$2:$H$11000,H1804,OUT!$D$2:$D$11000,"Out",OUT!$E$2:$E$11000,"Alfa")</f>
        <v>0</v>
      </c>
      <c r="N1804" s="52" t="e">
        <f>SUMIFS(OUT!$F$2:$F$11000,OUT!$H$2:$H$101007,H1804,OUT!$D$2:$D$11000,"Out",OUT!$E$2:$E$11000,"Jajan")</f>
        <v>#VALUE!</v>
      </c>
      <c r="O1804" s="52">
        <f ca="1">SUMIFS(OUT!$F$2:$F$11000,OUT!$H$2:$H$11000,H1804,OUT!$D$2:$D$11000,"Out",OUT!$E$2:$E$11000,"Kitchen")</f>
        <v>0</v>
      </c>
      <c r="P1804" s="52">
        <f ca="1">SUMIFS(OUT!$F$2:$F$11000,OUT!$H$2:$H$11000,H1804,OUT!$D$2:$D$11000,"Out",OUT!$E$2:$E$11000,"Loandry")</f>
        <v>0</v>
      </c>
      <c r="Q1804" s="52">
        <f ca="1">SUMIFS(OUT!$F$2:$F$11000,OUT!$H$2:$H$11000,H1804,OUT!$D$2:$D$11000,"Out",OUT!$E$2:$E$11000,"Mio")</f>
        <v>0</v>
      </c>
      <c r="R1804" s="52">
        <f ca="1">SUMIFS(OUT!$F$2:$F$11000,OUT!$H$2:$H$11000,H1804,OUT!$D$2:$D$11000,"Out",OUT!$E$2:$E$11000,"Sedekah")</f>
        <v>0</v>
      </c>
      <c r="S1804" s="52">
        <f ca="1">SUMIFS(OUT!$F$2:$F$11000,OUT!$H$2:$H$11000,H1804,OUT!$D$2:$D$11000,"Out",OUT!$E$2:$E$11000,"Zela")</f>
        <v>0</v>
      </c>
      <c r="T1804" s="52">
        <f ca="1">SUMIFS(OUT!$F$2:$F$11000,OUT!$H$2:$H$11000,H1804,OUT!$D$2:$D$11000,"Out",OUT!$E$2:$E$11000,"Iqbal")</f>
        <v>0</v>
      </c>
    </row>
    <row r="1805" spans="7:20" x14ac:dyDescent="0.2">
      <c r="G1805" s="50"/>
      <c r="H1805" s="51" t="str">
        <f t="shared" si="0"/>
        <v/>
      </c>
      <c r="I1805" s="52" t="e">
        <f>SUMIFS(OUT!$F$2:$F$11000,OUT!$H$2:$H$11000,H1805,OUT!$D$2:$D$101007,"In")</f>
        <v>#VALUE!</v>
      </c>
      <c r="J1805" s="52">
        <f ca="1">SUMIFS(OUT!$F$2:$F$11000,OUT!$H$2:$H$11000,H1805,OUT!$D$2:$D$11000,"Out")</f>
        <v>0</v>
      </c>
      <c r="K1805" s="52">
        <f ca="1">SUMIFS(OUT!$F$2:$F$11000,OUT!$H$2:$H$11000,H1805,OUT!$D$2:$D$11000,"Out",OUT!$E$2:$E$11000,"Fix")</f>
        <v>0</v>
      </c>
      <c r="L1805" s="52">
        <f ca="1">SUMIFS(OUT!$F$2:$F$11000,OUT!$H$2:$H$11000,H1805,OUT!$D$2:$D$11000,"Out",OUT!$E$2:$E$11000,"Bathroom")</f>
        <v>0</v>
      </c>
      <c r="M1805" s="52">
        <f ca="1">SUMIFS(OUT!$F$2:$F$11000,OUT!$H$2:$H$11000,H1805,OUT!$D$2:$D$11000,"Out",OUT!$E$2:$E$11000,"Alfa")</f>
        <v>0</v>
      </c>
      <c r="N1805" s="52" t="e">
        <f>SUMIFS(OUT!$F$2:$F$11000,OUT!$H$2:$H$101007,H1805,OUT!$D$2:$D$11000,"Out",OUT!$E$2:$E$11000,"Jajan")</f>
        <v>#VALUE!</v>
      </c>
      <c r="O1805" s="52">
        <f ca="1">SUMIFS(OUT!$F$2:$F$11000,OUT!$H$2:$H$11000,H1805,OUT!$D$2:$D$11000,"Out",OUT!$E$2:$E$11000,"Kitchen")</f>
        <v>0</v>
      </c>
      <c r="P1805" s="52">
        <f ca="1">SUMIFS(OUT!$F$2:$F$11000,OUT!$H$2:$H$11000,H1805,OUT!$D$2:$D$11000,"Out",OUT!$E$2:$E$11000,"Loandry")</f>
        <v>0</v>
      </c>
      <c r="Q1805" s="52">
        <f ca="1">SUMIFS(OUT!$F$2:$F$11000,OUT!$H$2:$H$11000,H1805,OUT!$D$2:$D$11000,"Out",OUT!$E$2:$E$11000,"Mio")</f>
        <v>0</v>
      </c>
      <c r="R1805" s="52">
        <f ca="1">SUMIFS(OUT!$F$2:$F$11000,OUT!$H$2:$H$11000,H1805,OUT!$D$2:$D$11000,"Out",OUT!$E$2:$E$11000,"Sedekah")</f>
        <v>0</v>
      </c>
      <c r="S1805" s="52">
        <f ca="1">SUMIFS(OUT!$F$2:$F$11000,OUT!$H$2:$H$11000,H1805,OUT!$D$2:$D$11000,"Out",OUT!$E$2:$E$11000,"Zela")</f>
        <v>0</v>
      </c>
      <c r="T1805" s="52">
        <f ca="1">SUMIFS(OUT!$F$2:$F$11000,OUT!$H$2:$H$11000,H1805,OUT!$D$2:$D$11000,"Out",OUT!$E$2:$E$11000,"Iqbal")</f>
        <v>0</v>
      </c>
    </row>
    <row r="1806" spans="7:20" x14ac:dyDescent="0.2">
      <c r="G1806" s="50"/>
      <c r="H1806" s="51" t="str">
        <f t="shared" si="0"/>
        <v/>
      </c>
      <c r="I1806" s="52" t="e">
        <f>SUMIFS(OUT!$F$2:$F$11000,OUT!$H$2:$H$11000,H1806,OUT!$D$2:$D$101007,"In")</f>
        <v>#VALUE!</v>
      </c>
      <c r="J1806" s="52">
        <f ca="1">SUMIFS(OUT!$F$2:$F$11000,OUT!$H$2:$H$11000,H1806,OUT!$D$2:$D$11000,"Out")</f>
        <v>0</v>
      </c>
      <c r="K1806" s="52">
        <f ca="1">SUMIFS(OUT!$F$2:$F$11000,OUT!$H$2:$H$11000,H1806,OUT!$D$2:$D$11000,"Out",OUT!$E$2:$E$11000,"Fix")</f>
        <v>0</v>
      </c>
      <c r="L1806" s="52">
        <f ca="1">SUMIFS(OUT!$F$2:$F$11000,OUT!$H$2:$H$11000,H1806,OUT!$D$2:$D$11000,"Out",OUT!$E$2:$E$11000,"Bathroom")</f>
        <v>0</v>
      </c>
      <c r="M1806" s="52">
        <f ca="1">SUMIFS(OUT!$F$2:$F$11000,OUT!$H$2:$H$11000,H1806,OUT!$D$2:$D$11000,"Out",OUT!$E$2:$E$11000,"Alfa")</f>
        <v>0</v>
      </c>
      <c r="N1806" s="52" t="e">
        <f>SUMIFS(OUT!$F$2:$F$11000,OUT!$H$2:$H$101007,H1806,OUT!$D$2:$D$11000,"Out",OUT!$E$2:$E$11000,"Jajan")</f>
        <v>#VALUE!</v>
      </c>
      <c r="O1806" s="52">
        <f ca="1">SUMIFS(OUT!$F$2:$F$11000,OUT!$H$2:$H$11000,H1806,OUT!$D$2:$D$11000,"Out",OUT!$E$2:$E$11000,"Kitchen")</f>
        <v>0</v>
      </c>
      <c r="P1806" s="52">
        <f ca="1">SUMIFS(OUT!$F$2:$F$11000,OUT!$H$2:$H$11000,H1806,OUT!$D$2:$D$11000,"Out",OUT!$E$2:$E$11000,"Loandry")</f>
        <v>0</v>
      </c>
      <c r="Q1806" s="52">
        <f ca="1">SUMIFS(OUT!$F$2:$F$11000,OUT!$H$2:$H$11000,H1806,OUT!$D$2:$D$11000,"Out",OUT!$E$2:$E$11000,"Mio")</f>
        <v>0</v>
      </c>
      <c r="R1806" s="52">
        <f ca="1">SUMIFS(OUT!$F$2:$F$11000,OUT!$H$2:$H$11000,H1806,OUT!$D$2:$D$11000,"Out",OUT!$E$2:$E$11000,"Sedekah")</f>
        <v>0</v>
      </c>
      <c r="S1806" s="52">
        <f ca="1">SUMIFS(OUT!$F$2:$F$11000,OUT!$H$2:$H$11000,H1806,OUT!$D$2:$D$11000,"Out",OUT!$E$2:$E$11000,"Zela")</f>
        <v>0</v>
      </c>
      <c r="T1806" s="52">
        <f ca="1">SUMIFS(OUT!$F$2:$F$11000,OUT!$H$2:$H$11000,H1806,OUT!$D$2:$D$11000,"Out",OUT!$E$2:$E$11000,"Iqbal")</f>
        <v>0</v>
      </c>
    </row>
    <row r="1807" spans="7:20" x14ac:dyDescent="0.2">
      <c r="G1807" s="50"/>
      <c r="H1807" s="51" t="str">
        <f t="shared" si="0"/>
        <v/>
      </c>
      <c r="I1807" s="52" t="e">
        <f>SUMIFS(OUT!$F$2:$F$11000,OUT!$H$2:$H$11000,H1807,OUT!$D$2:$D$101007,"In")</f>
        <v>#VALUE!</v>
      </c>
      <c r="J1807" s="52">
        <f ca="1">SUMIFS(OUT!$F$2:$F$11000,OUT!$H$2:$H$11000,H1807,OUT!$D$2:$D$11000,"Out")</f>
        <v>0</v>
      </c>
      <c r="K1807" s="52">
        <f ca="1">SUMIFS(OUT!$F$2:$F$11000,OUT!$H$2:$H$11000,H1807,OUT!$D$2:$D$11000,"Out",OUT!$E$2:$E$11000,"Fix")</f>
        <v>0</v>
      </c>
      <c r="L1807" s="52">
        <f ca="1">SUMIFS(OUT!$F$2:$F$11000,OUT!$H$2:$H$11000,H1807,OUT!$D$2:$D$11000,"Out",OUT!$E$2:$E$11000,"Bathroom")</f>
        <v>0</v>
      </c>
      <c r="M1807" s="52">
        <f ca="1">SUMIFS(OUT!$F$2:$F$11000,OUT!$H$2:$H$11000,H1807,OUT!$D$2:$D$11000,"Out",OUT!$E$2:$E$11000,"Alfa")</f>
        <v>0</v>
      </c>
      <c r="N1807" s="52" t="e">
        <f>SUMIFS(OUT!$F$2:$F$11000,OUT!$H$2:$H$101007,H1807,OUT!$D$2:$D$11000,"Out",OUT!$E$2:$E$11000,"Jajan")</f>
        <v>#VALUE!</v>
      </c>
      <c r="O1807" s="52">
        <f ca="1">SUMIFS(OUT!$F$2:$F$11000,OUT!$H$2:$H$11000,H1807,OUT!$D$2:$D$11000,"Out",OUT!$E$2:$E$11000,"Kitchen")</f>
        <v>0</v>
      </c>
      <c r="P1807" s="52">
        <f ca="1">SUMIFS(OUT!$F$2:$F$11000,OUT!$H$2:$H$11000,H1807,OUT!$D$2:$D$11000,"Out",OUT!$E$2:$E$11000,"Loandry")</f>
        <v>0</v>
      </c>
      <c r="Q1807" s="52">
        <f ca="1">SUMIFS(OUT!$F$2:$F$11000,OUT!$H$2:$H$11000,H1807,OUT!$D$2:$D$11000,"Out",OUT!$E$2:$E$11000,"Mio")</f>
        <v>0</v>
      </c>
      <c r="R1807" s="52">
        <f ca="1">SUMIFS(OUT!$F$2:$F$11000,OUT!$H$2:$H$11000,H1807,OUT!$D$2:$D$11000,"Out",OUT!$E$2:$E$11000,"Sedekah")</f>
        <v>0</v>
      </c>
      <c r="S1807" s="52">
        <f ca="1">SUMIFS(OUT!$F$2:$F$11000,OUT!$H$2:$H$11000,H1807,OUT!$D$2:$D$11000,"Out",OUT!$E$2:$E$11000,"Zela")</f>
        <v>0</v>
      </c>
      <c r="T1807" s="52">
        <f ca="1">SUMIFS(OUT!$F$2:$F$11000,OUT!$H$2:$H$11000,H1807,OUT!$D$2:$D$11000,"Out",OUT!$E$2:$E$11000,"Iqbal")</f>
        <v>0</v>
      </c>
    </row>
    <row r="1808" spans="7:20" x14ac:dyDescent="0.2">
      <c r="G1808" s="50"/>
      <c r="H1808" s="51" t="str">
        <f t="shared" si="0"/>
        <v/>
      </c>
      <c r="I1808" s="52" t="e">
        <f>SUMIFS(OUT!$F$2:$F$11000,OUT!$H$2:$H$11000,H1808,OUT!$D$2:$D$101007,"In")</f>
        <v>#VALUE!</v>
      </c>
      <c r="J1808" s="52">
        <f ca="1">SUMIFS(OUT!$F$2:$F$11000,OUT!$H$2:$H$11000,H1808,OUT!$D$2:$D$11000,"Out")</f>
        <v>0</v>
      </c>
      <c r="K1808" s="52">
        <f ca="1">SUMIFS(OUT!$F$2:$F$11000,OUT!$H$2:$H$11000,H1808,OUT!$D$2:$D$11000,"Out",OUT!$E$2:$E$11000,"Fix")</f>
        <v>0</v>
      </c>
      <c r="L1808" s="52">
        <f ca="1">SUMIFS(OUT!$F$2:$F$11000,OUT!$H$2:$H$11000,H1808,OUT!$D$2:$D$11000,"Out",OUT!$E$2:$E$11000,"Bathroom")</f>
        <v>0</v>
      </c>
      <c r="M1808" s="52">
        <f ca="1">SUMIFS(OUT!$F$2:$F$11000,OUT!$H$2:$H$11000,H1808,OUT!$D$2:$D$11000,"Out",OUT!$E$2:$E$11000,"Alfa")</f>
        <v>0</v>
      </c>
      <c r="N1808" s="52" t="e">
        <f>SUMIFS(OUT!$F$2:$F$11000,OUT!$H$2:$H$101007,H1808,OUT!$D$2:$D$11000,"Out",OUT!$E$2:$E$11000,"Jajan")</f>
        <v>#VALUE!</v>
      </c>
      <c r="O1808" s="52">
        <f ca="1">SUMIFS(OUT!$F$2:$F$11000,OUT!$H$2:$H$11000,H1808,OUT!$D$2:$D$11000,"Out",OUT!$E$2:$E$11000,"Kitchen")</f>
        <v>0</v>
      </c>
      <c r="P1808" s="52">
        <f ca="1">SUMIFS(OUT!$F$2:$F$11000,OUT!$H$2:$H$11000,H1808,OUT!$D$2:$D$11000,"Out",OUT!$E$2:$E$11000,"Loandry")</f>
        <v>0</v>
      </c>
      <c r="Q1808" s="52">
        <f ca="1">SUMIFS(OUT!$F$2:$F$11000,OUT!$H$2:$H$11000,H1808,OUT!$D$2:$D$11000,"Out",OUT!$E$2:$E$11000,"Mio")</f>
        <v>0</v>
      </c>
      <c r="R1808" s="52">
        <f ca="1">SUMIFS(OUT!$F$2:$F$11000,OUT!$H$2:$H$11000,H1808,OUT!$D$2:$D$11000,"Out",OUT!$E$2:$E$11000,"Sedekah")</f>
        <v>0</v>
      </c>
      <c r="S1808" s="52">
        <f ca="1">SUMIFS(OUT!$F$2:$F$11000,OUT!$H$2:$H$11000,H1808,OUT!$D$2:$D$11000,"Out",OUT!$E$2:$E$11000,"Zela")</f>
        <v>0</v>
      </c>
      <c r="T1808" s="52">
        <f ca="1">SUMIFS(OUT!$F$2:$F$11000,OUT!$H$2:$H$11000,H1808,OUT!$D$2:$D$11000,"Out",OUT!$E$2:$E$11000,"Iqbal")</f>
        <v>0</v>
      </c>
    </row>
    <row r="1809" spans="7:20" x14ac:dyDescent="0.2">
      <c r="G1809" s="50"/>
      <c r="H1809" s="51" t="str">
        <f t="shared" si="0"/>
        <v/>
      </c>
      <c r="I1809" s="52" t="e">
        <f>SUMIFS(OUT!$F$2:$F$11000,OUT!$H$2:$H$11000,H1809,OUT!$D$2:$D$101007,"In")</f>
        <v>#VALUE!</v>
      </c>
      <c r="J1809" s="52">
        <f ca="1">SUMIFS(OUT!$F$2:$F$11000,OUT!$H$2:$H$11000,H1809,OUT!$D$2:$D$11000,"Out")</f>
        <v>0</v>
      </c>
      <c r="K1809" s="52">
        <f ca="1">SUMIFS(OUT!$F$2:$F$11000,OUT!$H$2:$H$11000,H1809,OUT!$D$2:$D$11000,"Out",OUT!$E$2:$E$11000,"Fix")</f>
        <v>0</v>
      </c>
      <c r="L1809" s="52">
        <f ca="1">SUMIFS(OUT!$F$2:$F$11000,OUT!$H$2:$H$11000,H1809,OUT!$D$2:$D$11000,"Out",OUT!$E$2:$E$11000,"Bathroom")</f>
        <v>0</v>
      </c>
      <c r="M1809" s="52">
        <f ca="1">SUMIFS(OUT!$F$2:$F$11000,OUT!$H$2:$H$11000,H1809,OUT!$D$2:$D$11000,"Out",OUT!$E$2:$E$11000,"Alfa")</f>
        <v>0</v>
      </c>
      <c r="N1809" s="52" t="e">
        <f>SUMIFS(OUT!$F$2:$F$11000,OUT!$H$2:$H$101007,H1809,OUT!$D$2:$D$11000,"Out",OUT!$E$2:$E$11000,"Jajan")</f>
        <v>#VALUE!</v>
      </c>
      <c r="O1809" s="52">
        <f ca="1">SUMIFS(OUT!$F$2:$F$11000,OUT!$H$2:$H$11000,H1809,OUT!$D$2:$D$11000,"Out",OUT!$E$2:$E$11000,"Kitchen")</f>
        <v>0</v>
      </c>
      <c r="P1809" s="52">
        <f ca="1">SUMIFS(OUT!$F$2:$F$11000,OUT!$H$2:$H$11000,H1809,OUT!$D$2:$D$11000,"Out",OUT!$E$2:$E$11000,"Loandry")</f>
        <v>0</v>
      </c>
      <c r="Q1809" s="52">
        <f ca="1">SUMIFS(OUT!$F$2:$F$11000,OUT!$H$2:$H$11000,H1809,OUT!$D$2:$D$11000,"Out",OUT!$E$2:$E$11000,"Mio")</f>
        <v>0</v>
      </c>
      <c r="R1809" s="52">
        <f ca="1">SUMIFS(OUT!$F$2:$F$11000,OUT!$H$2:$H$11000,H1809,OUT!$D$2:$D$11000,"Out",OUT!$E$2:$E$11000,"Sedekah")</f>
        <v>0</v>
      </c>
      <c r="S1809" s="52">
        <f ca="1">SUMIFS(OUT!$F$2:$F$11000,OUT!$H$2:$H$11000,H1809,OUT!$D$2:$D$11000,"Out",OUT!$E$2:$E$11000,"Zela")</f>
        <v>0</v>
      </c>
      <c r="T1809" s="52">
        <f ca="1">SUMIFS(OUT!$F$2:$F$11000,OUT!$H$2:$H$11000,H1809,OUT!$D$2:$D$11000,"Out",OUT!$E$2:$E$11000,"Iqbal")</f>
        <v>0</v>
      </c>
    </row>
    <row r="1810" spans="7:20" x14ac:dyDescent="0.2">
      <c r="G1810" s="50"/>
      <c r="H1810" s="51" t="str">
        <f t="shared" si="0"/>
        <v/>
      </c>
      <c r="I1810" s="52" t="e">
        <f>SUMIFS(OUT!$F$2:$F$11000,OUT!$H$2:$H$11000,H1810,OUT!$D$2:$D$101007,"In")</f>
        <v>#VALUE!</v>
      </c>
      <c r="J1810" s="52">
        <f ca="1">SUMIFS(OUT!$F$2:$F$11000,OUT!$H$2:$H$11000,H1810,OUT!$D$2:$D$11000,"Out")</f>
        <v>0</v>
      </c>
      <c r="K1810" s="52">
        <f ca="1">SUMIFS(OUT!$F$2:$F$11000,OUT!$H$2:$H$11000,H1810,OUT!$D$2:$D$11000,"Out",OUT!$E$2:$E$11000,"Fix")</f>
        <v>0</v>
      </c>
      <c r="L1810" s="52">
        <f ca="1">SUMIFS(OUT!$F$2:$F$11000,OUT!$H$2:$H$11000,H1810,OUT!$D$2:$D$11000,"Out",OUT!$E$2:$E$11000,"Bathroom")</f>
        <v>0</v>
      </c>
      <c r="M1810" s="52">
        <f ca="1">SUMIFS(OUT!$F$2:$F$11000,OUT!$H$2:$H$11000,H1810,OUT!$D$2:$D$11000,"Out",OUT!$E$2:$E$11000,"Alfa")</f>
        <v>0</v>
      </c>
      <c r="N1810" s="52" t="e">
        <f>SUMIFS(OUT!$F$2:$F$11000,OUT!$H$2:$H$101007,H1810,OUT!$D$2:$D$11000,"Out",OUT!$E$2:$E$11000,"Jajan")</f>
        <v>#VALUE!</v>
      </c>
      <c r="O1810" s="52">
        <f ca="1">SUMIFS(OUT!$F$2:$F$11000,OUT!$H$2:$H$11000,H1810,OUT!$D$2:$D$11000,"Out",OUT!$E$2:$E$11000,"Kitchen")</f>
        <v>0</v>
      </c>
      <c r="P1810" s="52">
        <f ca="1">SUMIFS(OUT!$F$2:$F$11000,OUT!$H$2:$H$11000,H1810,OUT!$D$2:$D$11000,"Out",OUT!$E$2:$E$11000,"Loandry")</f>
        <v>0</v>
      </c>
      <c r="Q1810" s="52">
        <f ca="1">SUMIFS(OUT!$F$2:$F$11000,OUT!$H$2:$H$11000,H1810,OUT!$D$2:$D$11000,"Out",OUT!$E$2:$E$11000,"Mio")</f>
        <v>0</v>
      </c>
      <c r="R1810" s="52">
        <f ca="1">SUMIFS(OUT!$F$2:$F$11000,OUT!$H$2:$H$11000,H1810,OUT!$D$2:$D$11000,"Out",OUT!$E$2:$E$11000,"Sedekah")</f>
        <v>0</v>
      </c>
      <c r="S1810" s="52">
        <f ca="1">SUMIFS(OUT!$F$2:$F$11000,OUT!$H$2:$H$11000,H1810,OUT!$D$2:$D$11000,"Out",OUT!$E$2:$E$11000,"Zela")</f>
        <v>0</v>
      </c>
      <c r="T1810" s="52">
        <f ca="1">SUMIFS(OUT!$F$2:$F$11000,OUT!$H$2:$H$11000,H1810,OUT!$D$2:$D$11000,"Out",OUT!$E$2:$E$11000,"Iqbal")</f>
        <v>0</v>
      </c>
    </row>
    <row r="1811" spans="7:20" x14ac:dyDescent="0.2">
      <c r="G1811" s="50"/>
      <c r="H1811" s="51" t="str">
        <f t="shared" si="0"/>
        <v/>
      </c>
      <c r="I1811" s="52" t="e">
        <f>SUMIFS(OUT!$F$2:$F$11000,OUT!$H$2:$H$11000,H1811,OUT!$D$2:$D$101007,"In")</f>
        <v>#VALUE!</v>
      </c>
      <c r="J1811" s="52">
        <f ca="1">SUMIFS(OUT!$F$2:$F$11000,OUT!$H$2:$H$11000,H1811,OUT!$D$2:$D$11000,"Out")</f>
        <v>0</v>
      </c>
      <c r="K1811" s="52">
        <f ca="1">SUMIFS(OUT!$F$2:$F$11000,OUT!$H$2:$H$11000,H1811,OUT!$D$2:$D$11000,"Out",OUT!$E$2:$E$11000,"Fix")</f>
        <v>0</v>
      </c>
      <c r="L1811" s="52">
        <f ca="1">SUMIFS(OUT!$F$2:$F$11000,OUT!$H$2:$H$11000,H1811,OUT!$D$2:$D$11000,"Out",OUT!$E$2:$E$11000,"Bathroom")</f>
        <v>0</v>
      </c>
      <c r="M1811" s="52">
        <f ca="1">SUMIFS(OUT!$F$2:$F$11000,OUT!$H$2:$H$11000,H1811,OUT!$D$2:$D$11000,"Out",OUT!$E$2:$E$11000,"Alfa")</f>
        <v>0</v>
      </c>
      <c r="N1811" s="52" t="e">
        <f>SUMIFS(OUT!$F$2:$F$11000,OUT!$H$2:$H$101007,H1811,OUT!$D$2:$D$11000,"Out",OUT!$E$2:$E$11000,"Jajan")</f>
        <v>#VALUE!</v>
      </c>
      <c r="O1811" s="52">
        <f ca="1">SUMIFS(OUT!$F$2:$F$11000,OUT!$H$2:$H$11000,H1811,OUT!$D$2:$D$11000,"Out",OUT!$E$2:$E$11000,"Kitchen")</f>
        <v>0</v>
      </c>
      <c r="P1811" s="52">
        <f ca="1">SUMIFS(OUT!$F$2:$F$11000,OUT!$H$2:$H$11000,H1811,OUT!$D$2:$D$11000,"Out",OUT!$E$2:$E$11000,"Loandry")</f>
        <v>0</v>
      </c>
      <c r="Q1811" s="52">
        <f ca="1">SUMIFS(OUT!$F$2:$F$11000,OUT!$H$2:$H$11000,H1811,OUT!$D$2:$D$11000,"Out",OUT!$E$2:$E$11000,"Mio")</f>
        <v>0</v>
      </c>
      <c r="R1811" s="52">
        <f ca="1">SUMIFS(OUT!$F$2:$F$11000,OUT!$H$2:$H$11000,H1811,OUT!$D$2:$D$11000,"Out",OUT!$E$2:$E$11000,"Sedekah")</f>
        <v>0</v>
      </c>
      <c r="S1811" s="52">
        <f ca="1">SUMIFS(OUT!$F$2:$F$11000,OUT!$H$2:$H$11000,H1811,OUT!$D$2:$D$11000,"Out",OUT!$E$2:$E$11000,"Zela")</f>
        <v>0</v>
      </c>
      <c r="T1811" s="52">
        <f ca="1">SUMIFS(OUT!$F$2:$F$11000,OUT!$H$2:$H$11000,H1811,OUT!$D$2:$D$11000,"Out",OUT!$E$2:$E$11000,"Iqbal")</f>
        <v>0</v>
      </c>
    </row>
    <row r="1812" spans="7:20" x14ac:dyDescent="0.2">
      <c r="G1812" s="50"/>
      <c r="H1812" s="51" t="str">
        <f t="shared" si="0"/>
        <v/>
      </c>
      <c r="I1812" s="52" t="e">
        <f>SUMIFS(OUT!$F$2:$F$11000,OUT!$H$2:$H$11000,H1812,OUT!$D$2:$D$101007,"In")</f>
        <v>#VALUE!</v>
      </c>
      <c r="J1812" s="52">
        <f ca="1">SUMIFS(OUT!$F$2:$F$11000,OUT!$H$2:$H$11000,H1812,OUT!$D$2:$D$11000,"Out")</f>
        <v>0</v>
      </c>
      <c r="K1812" s="52">
        <f ca="1">SUMIFS(OUT!$F$2:$F$11000,OUT!$H$2:$H$11000,H1812,OUT!$D$2:$D$11000,"Out",OUT!$E$2:$E$11000,"Fix")</f>
        <v>0</v>
      </c>
      <c r="L1812" s="52">
        <f ca="1">SUMIFS(OUT!$F$2:$F$11000,OUT!$H$2:$H$11000,H1812,OUT!$D$2:$D$11000,"Out",OUT!$E$2:$E$11000,"Bathroom")</f>
        <v>0</v>
      </c>
      <c r="M1812" s="52">
        <f ca="1">SUMIFS(OUT!$F$2:$F$11000,OUT!$H$2:$H$11000,H1812,OUT!$D$2:$D$11000,"Out",OUT!$E$2:$E$11000,"Alfa")</f>
        <v>0</v>
      </c>
      <c r="N1812" s="52" t="e">
        <f>SUMIFS(OUT!$F$2:$F$11000,OUT!$H$2:$H$101007,H1812,OUT!$D$2:$D$11000,"Out",OUT!$E$2:$E$11000,"Jajan")</f>
        <v>#VALUE!</v>
      </c>
      <c r="O1812" s="52">
        <f ca="1">SUMIFS(OUT!$F$2:$F$11000,OUT!$H$2:$H$11000,H1812,OUT!$D$2:$D$11000,"Out",OUT!$E$2:$E$11000,"Kitchen")</f>
        <v>0</v>
      </c>
      <c r="P1812" s="52">
        <f ca="1">SUMIFS(OUT!$F$2:$F$11000,OUT!$H$2:$H$11000,H1812,OUT!$D$2:$D$11000,"Out",OUT!$E$2:$E$11000,"Loandry")</f>
        <v>0</v>
      </c>
      <c r="Q1812" s="52">
        <f ca="1">SUMIFS(OUT!$F$2:$F$11000,OUT!$H$2:$H$11000,H1812,OUT!$D$2:$D$11000,"Out",OUT!$E$2:$E$11000,"Mio")</f>
        <v>0</v>
      </c>
      <c r="R1812" s="52">
        <f ca="1">SUMIFS(OUT!$F$2:$F$11000,OUT!$H$2:$H$11000,H1812,OUT!$D$2:$D$11000,"Out",OUT!$E$2:$E$11000,"Sedekah")</f>
        <v>0</v>
      </c>
      <c r="S1812" s="52">
        <f ca="1">SUMIFS(OUT!$F$2:$F$11000,OUT!$H$2:$H$11000,H1812,OUT!$D$2:$D$11000,"Out",OUT!$E$2:$E$11000,"Zela")</f>
        <v>0</v>
      </c>
      <c r="T1812" s="52">
        <f ca="1">SUMIFS(OUT!$F$2:$F$11000,OUT!$H$2:$H$11000,H1812,OUT!$D$2:$D$11000,"Out",OUT!$E$2:$E$11000,"Iqbal")</f>
        <v>0</v>
      </c>
    </row>
    <row r="1813" spans="7:20" x14ac:dyDescent="0.2">
      <c r="G1813" s="50"/>
      <c r="H1813" s="51" t="str">
        <f t="shared" si="0"/>
        <v/>
      </c>
      <c r="I1813" s="52" t="e">
        <f>SUMIFS(OUT!$F$2:$F$11000,OUT!$H$2:$H$11000,H1813,OUT!$D$2:$D$101007,"In")</f>
        <v>#VALUE!</v>
      </c>
      <c r="J1813" s="52">
        <f ca="1">SUMIFS(OUT!$F$2:$F$11000,OUT!$H$2:$H$11000,H1813,OUT!$D$2:$D$11000,"Out")</f>
        <v>0</v>
      </c>
      <c r="K1813" s="52">
        <f ca="1">SUMIFS(OUT!$F$2:$F$11000,OUT!$H$2:$H$11000,H1813,OUT!$D$2:$D$11000,"Out",OUT!$E$2:$E$11000,"Fix")</f>
        <v>0</v>
      </c>
      <c r="L1813" s="52">
        <f ca="1">SUMIFS(OUT!$F$2:$F$11000,OUT!$H$2:$H$11000,H1813,OUT!$D$2:$D$11000,"Out",OUT!$E$2:$E$11000,"Bathroom")</f>
        <v>0</v>
      </c>
      <c r="M1813" s="52">
        <f ca="1">SUMIFS(OUT!$F$2:$F$11000,OUT!$H$2:$H$11000,H1813,OUT!$D$2:$D$11000,"Out",OUT!$E$2:$E$11000,"Alfa")</f>
        <v>0</v>
      </c>
      <c r="N1813" s="52" t="e">
        <f>SUMIFS(OUT!$F$2:$F$11000,OUT!$H$2:$H$101007,H1813,OUT!$D$2:$D$11000,"Out",OUT!$E$2:$E$11000,"Jajan")</f>
        <v>#VALUE!</v>
      </c>
      <c r="O1813" s="52">
        <f ca="1">SUMIFS(OUT!$F$2:$F$11000,OUT!$H$2:$H$11000,H1813,OUT!$D$2:$D$11000,"Out",OUT!$E$2:$E$11000,"Kitchen")</f>
        <v>0</v>
      </c>
      <c r="P1813" s="52">
        <f ca="1">SUMIFS(OUT!$F$2:$F$11000,OUT!$H$2:$H$11000,H1813,OUT!$D$2:$D$11000,"Out",OUT!$E$2:$E$11000,"Loandry")</f>
        <v>0</v>
      </c>
      <c r="Q1813" s="52">
        <f ca="1">SUMIFS(OUT!$F$2:$F$11000,OUT!$H$2:$H$11000,H1813,OUT!$D$2:$D$11000,"Out",OUT!$E$2:$E$11000,"Mio")</f>
        <v>0</v>
      </c>
      <c r="R1813" s="52">
        <f ca="1">SUMIFS(OUT!$F$2:$F$11000,OUT!$H$2:$H$11000,H1813,OUT!$D$2:$D$11000,"Out",OUT!$E$2:$E$11000,"Sedekah")</f>
        <v>0</v>
      </c>
      <c r="S1813" s="52">
        <f ca="1">SUMIFS(OUT!$F$2:$F$11000,OUT!$H$2:$H$11000,H1813,OUT!$D$2:$D$11000,"Out",OUT!$E$2:$E$11000,"Zela")</f>
        <v>0</v>
      </c>
      <c r="T1813" s="52">
        <f ca="1">SUMIFS(OUT!$F$2:$F$11000,OUT!$H$2:$H$11000,H1813,OUT!$D$2:$D$11000,"Out",OUT!$E$2:$E$11000,"Iqbal")</f>
        <v>0</v>
      </c>
    </row>
    <row r="1814" spans="7:20" x14ac:dyDescent="0.2">
      <c r="G1814" s="50"/>
      <c r="H1814" s="51" t="str">
        <f t="shared" si="0"/>
        <v/>
      </c>
      <c r="I1814" s="52" t="e">
        <f>SUMIFS(OUT!$F$2:$F$11000,OUT!$H$2:$H$11000,H1814,OUT!$D$2:$D$101007,"In")</f>
        <v>#VALUE!</v>
      </c>
      <c r="J1814" s="52">
        <f ca="1">SUMIFS(OUT!$F$2:$F$11000,OUT!$H$2:$H$11000,H1814,OUT!$D$2:$D$11000,"Out")</f>
        <v>0</v>
      </c>
      <c r="K1814" s="52">
        <f ca="1">SUMIFS(OUT!$F$2:$F$11000,OUT!$H$2:$H$11000,H1814,OUT!$D$2:$D$11000,"Out",OUT!$E$2:$E$11000,"Fix")</f>
        <v>0</v>
      </c>
      <c r="L1814" s="52">
        <f ca="1">SUMIFS(OUT!$F$2:$F$11000,OUT!$H$2:$H$11000,H1814,OUT!$D$2:$D$11000,"Out",OUT!$E$2:$E$11000,"Bathroom")</f>
        <v>0</v>
      </c>
      <c r="M1814" s="52">
        <f ca="1">SUMIFS(OUT!$F$2:$F$11000,OUT!$H$2:$H$11000,H1814,OUT!$D$2:$D$11000,"Out",OUT!$E$2:$E$11000,"Alfa")</f>
        <v>0</v>
      </c>
      <c r="N1814" s="52" t="e">
        <f>SUMIFS(OUT!$F$2:$F$11000,OUT!$H$2:$H$101007,H1814,OUT!$D$2:$D$11000,"Out",OUT!$E$2:$E$11000,"Jajan")</f>
        <v>#VALUE!</v>
      </c>
      <c r="O1814" s="52">
        <f ca="1">SUMIFS(OUT!$F$2:$F$11000,OUT!$H$2:$H$11000,H1814,OUT!$D$2:$D$11000,"Out",OUT!$E$2:$E$11000,"Kitchen")</f>
        <v>0</v>
      </c>
      <c r="P1814" s="52">
        <f ca="1">SUMIFS(OUT!$F$2:$F$11000,OUT!$H$2:$H$11000,H1814,OUT!$D$2:$D$11000,"Out",OUT!$E$2:$E$11000,"Loandry")</f>
        <v>0</v>
      </c>
      <c r="Q1814" s="52">
        <f ca="1">SUMIFS(OUT!$F$2:$F$11000,OUT!$H$2:$H$11000,H1814,OUT!$D$2:$D$11000,"Out",OUT!$E$2:$E$11000,"Mio")</f>
        <v>0</v>
      </c>
      <c r="R1814" s="52">
        <f ca="1">SUMIFS(OUT!$F$2:$F$11000,OUT!$H$2:$H$11000,H1814,OUT!$D$2:$D$11000,"Out",OUT!$E$2:$E$11000,"Sedekah")</f>
        <v>0</v>
      </c>
      <c r="S1814" s="52">
        <f ca="1">SUMIFS(OUT!$F$2:$F$11000,OUT!$H$2:$H$11000,H1814,OUT!$D$2:$D$11000,"Out",OUT!$E$2:$E$11000,"Zela")</f>
        <v>0</v>
      </c>
      <c r="T1814" s="52">
        <f ca="1">SUMIFS(OUT!$F$2:$F$11000,OUT!$H$2:$H$11000,H1814,OUT!$D$2:$D$11000,"Out",OUT!$E$2:$E$11000,"Iqbal")</f>
        <v>0</v>
      </c>
    </row>
    <row r="1815" spans="7:20" x14ac:dyDescent="0.2">
      <c r="G1815" s="50"/>
      <c r="H1815" s="51" t="str">
        <f t="shared" si="0"/>
        <v/>
      </c>
      <c r="I1815" s="52" t="e">
        <f>SUMIFS(OUT!$F$2:$F$11000,OUT!$H$2:$H$11000,H1815,OUT!$D$2:$D$101007,"In")</f>
        <v>#VALUE!</v>
      </c>
      <c r="J1815" s="52">
        <f ca="1">SUMIFS(OUT!$F$2:$F$11000,OUT!$H$2:$H$11000,H1815,OUT!$D$2:$D$11000,"Out")</f>
        <v>0</v>
      </c>
      <c r="K1815" s="52">
        <f ca="1">SUMIFS(OUT!$F$2:$F$11000,OUT!$H$2:$H$11000,H1815,OUT!$D$2:$D$11000,"Out",OUT!$E$2:$E$11000,"Fix")</f>
        <v>0</v>
      </c>
      <c r="L1815" s="52">
        <f ca="1">SUMIFS(OUT!$F$2:$F$11000,OUT!$H$2:$H$11000,H1815,OUT!$D$2:$D$11000,"Out",OUT!$E$2:$E$11000,"Bathroom")</f>
        <v>0</v>
      </c>
      <c r="M1815" s="52">
        <f ca="1">SUMIFS(OUT!$F$2:$F$11000,OUT!$H$2:$H$11000,H1815,OUT!$D$2:$D$11000,"Out",OUT!$E$2:$E$11000,"Alfa")</f>
        <v>0</v>
      </c>
      <c r="N1815" s="52" t="e">
        <f>SUMIFS(OUT!$F$2:$F$11000,OUT!$H$2:$H$101007,H1815,OUT!$D$2:$D$11000,"Out",OUT!$E$2:$E$11000,"Jajan")</f>
        <v>#VALUE!</v>
      </c>
      <c r="O1815" s="52">
        <f ca="1">SUMIFS(OUT!$F$2:$F$11000,OUT!$H$2:$H$11000,H1815,OUT!$D$2:$D$11000,"Out",OUT!$E$2:$E$11000,"Kitchen")</f>
        <v>0</v>
      </c>
      <c r="P1815" s="52">
        <f ca="1">SUMIFS(OUT!$F$2:$F$11000,OUT!$H$2:$H$11000,H1815,OUT!$D$2:$D$11000,"Out",OUT!$E$2:$E$11000,"Loandry")</f>
        <v>0</v>
      </c>
      <c r="Q1815" s="52">
        <f ca="1">SUMIFS(OUT!$F$2:$F$11000,OUT!$H$2:$H$11000,H1815,OUT!$D$2:$D$11000,"Out",OUT!$E$2:$E$11000,"Mio")</f>
        <v>0</v>
      </c>
      <c r="R1815" s="52">
        <f ca="1">SUMIFS(OUT!$F$2:$F$11000,OUT!$H$2:$H$11000,H1815,OUT!$D$2:$D$11000,"Out",OUT!$E$2:$E$11000,"Sedekah")</f>
        <v>0</v>
      </c>
      <c r="S1815" s="52">
        <f ca="1">SUMIFS(OUT!$F$2:$F$11000,OUT!$H$2:$H$11000,H1815,OUT!$D$2:$D$11000,"Out",OUT!$E$2:$E$11000,"Zela")</f>
        <v>0</v>
      </c>
      <c r="T1815" s="52">
        <f ca="1">SUMIFS(OUT!$F$2:$F$11000,OUT!$H$2:$H$11000,H1815,OUT!$D$2:$D$11000,"Out",OUT!$E$2:$E$11000,"Iqbal")</f>
        <v>0</v>
      </c>
    </row>
    <row r="1816" spans="7:20" x14ac:dyDescent="0.2">
      <c r="G1816" s="50"/>
      <c r="H1816" s="51" t="str">
        <f t="shared" si="0"/>
        <v/>
      </c>
      <c r="I1816" s="52" t="e">
        <f>SUMIFS(OUT!$F$2:$F$11000,OUT!$H$2:$H$11000,H1816,OUT!$D$2:$D$101007,"In")</f>
        <v>#VALUE!</v>
      </c>
      <c r="J1816" s="52">
        <f ca="1">SUMIFS(OUT!$F$2:$F$11000,OUT!$H$2:$H$11000,H1816,OUT!$D$2:$D$11000,"Out")</f>
        <v>0</v>
      </c>
      <c r="K1816" s="52">
        <f ca="1">SUMIFS(OUT!$F$2:$F$11000,OUT!$H$2:$H$11000,H1816,OUT!$D$2:$D$11000,"Out",OUT!$E$2:$E$11000,"Fix")</f>
        <v>0</v>
      </c>
      <c r="L1816" s="52">
        <f ca="1">SUMIFS(OUT!$F$2:$F$11000,OUT!$H$2:$H$11000,H1816,OUT!$D$2:$D$11000,"Out",OUT!$E$2:$E$11000,"Bathroom")</f>
        <v>0</v>
      </c>
      <c r="M1816" s="52">
        <f ca="1">SUMIFS(OUT!$F$2:$F$11000,OUT!$H$2:$H$11000,H1816,OUT!$D$2:$D$11000,"Out",OUT!$E$2:$E$11000,"Alfa")</f>
        <v>0</v>
      </c>
      <c r="N1816" s="52" t="e">
        <f>SUMIFS(OUT!$F$2:$F$11000,OUT!$H$2:$H$101007,H1816,OUT!$D$2:$D$11000,"Out",OUT!$E$2:$E$11000,"Jajan")</f>
        <v>#VALUE!</v>
      </c>
      <c r="O1816" s="52">
        <f ca="1">SUMIFS(OUT!$F$2:$F$11000,OUT!$H$2:$H$11000,H1816,OUT!$D$2:$D$11000,"Out",OUT!$E$2:$E$11000,"Kitchen")</f>
        <v>0</v>
      </c>
      <c r="P1816" s="52">
        <f ca="1">SUMIFS(OUT!$F$2:$F$11000,OUT!$H$2:$H$11000,H1816,OUT!$D$2:$D$11000,"Out",OUT!$E$2:$E$11000,"Loandry")</f>
        <v>0</v>
      </c>
      <c r="Q1816" s="52">
        <f ca="1">SUMIFS(OUT!$F$2:$F$11000,OUT!$H$2:$H$11000,H1816,OUT!$D$2:$D$11000,"Out",OUT!$E$2:$E$11000,"Mio")</f>
        <v>0</v>
      </c>
      <c r="R1816" s="52">
        <f ca="1">SUMIFS(OUT!$F$2:$F$11000,OUT!$H$2:$H$11000,H1816,OUT!$D$2:$D$11000,"Out",OUT!$E$2:$E$11000,"Sedekah")</f>
        <v>0</v>
      </c>
      <c r="S1816" s="52">
        <f ca="1">SUMIFS(OUT!$F$2:$F$11000,OUT!$H$2:$H$11000,H1816,OUT!$D$2:$D$11000,"Out",OUT!$E$2:$E$11000,"Zela")</f>
        <v>0</v>
      </c>
      <c r="T1816" s="52">
        <f ca="1">SUMIFS(OUT!$F$2:$F$11000,OUT!$H$2:$H$11000,H1816,OUT!$D$2:$D$11000,"Out",OUT!$E$2:$E$11000,"Iqbal")</f>
        <v>0</v>
      </c>
    </row>
    <row r="1817" spans="7:20" x14ac:dyDescent="0.2">
      <c r="G1817" s="50"/>
      <c r="H1817" s="51" t="str">
        <f t="shared" si="0"/>
        <v/>
      </c>
      <c r="I1817" s="52" t="e">
        <f>SUMIFS(OUT!$F$2:$F$11000,OUT!$H$2:$H$11000,H1817,OUT!$D$2:$D$101007,"In")</f>
        <v>#VALUE!</v>
      </c>
      <c r="J1817" s="52">
        <f ca="1">SUMIFS(OUT!$F$2:$F$11000,OUT!$H$2:$H$11000,H1817,OUT!$D$2:$D$11000,"Out")</f>
        <v>0</v>
      </c>
      <c r="K1817" s="52">
        <f ca="1">SUMIFS(OUT!$F$2:$F$11000,OUT!$H$2:$H$11000,H1817,OUT!$D$2:$D$11000,"Out",OUT!$E$2:$E$11000,"Fix")</f>
        <v>0</v>
      </c>
      <c r="L1817" s="52">
        <f ca="1">SUMIFS(OUT!$F$2:$F$11000,OUT!$H$2:$H$11000,H1817,OUT!$D$2:$D$11000,"Out",OUT!$E$2:$E$11000,"Bathroom")</f>
        <v>0</v>
      </c>
      <c r="M1817" s="52">
        <f ca="1">SUMIFS(OUT!$F$2:$F$11000,OUT!$H$2:$H$11000,H1817,OUT!$D$2:$D$11000,"Out",OUT!$E$2:$E$11000,"Alfa")</f>
        <v>0</v>
      </c>
      <c r="N1817" s="52" t="e">
        <f>SUMIFS(OUT!$F$2:$F$11000,OUT!$H$2:$H$101007,H1817,OUT!$D$2:$D$11000,"Out",OUT!$E$2:$E$11000,"Jajan")</f>
        <v>#VALUE!</v>
      </c>
      <c r="O1817" s="52">
        <f ca="1">SUMIFS(OUT!$F$2:$F$11000,OUT!$H$2:$H$11000,H1817,OUT!$D$2:$D$11000,"Out",OUT!$E$2:$E$11000,"Kitchen")</f>
        <v>0</v>
      </c>
      <c r="P1817" s="52">
        <f ca="1">SUMIFS(OUT!$F$2:$F$11000,OUT!$H$2:$H$11000,H1817,OUT!$D$2:$D$11000,"Out",OUT!$E$2:$E$11000,"Loandry")</f>
        <v>0</v>
      </c>
      <c r="Q1817" s="52">
        <f ca="1">SUMIFS(OUT!$F$2:$F$11000,OUT!$H$2:$H$11000,H1817,OUT!$D$2:$D$11000,"Out",OUT!$E$2:$E$11000,"Mio")</f>
        <v>0</v>
      </c>
      <c r="R1817" s="52">
        <f ca="1">SUMIFS(OUT!$F$2:$F$11000,OUT!$H$2:$H$11000,H1817,OUT!$D$2:$D$11000,"Out",OUT!$E$2:$E$11000,"Sedekah")</f>
        <v>0</v>
      </c>
      <c r="S1817" s="52">
        <f ca="1">SUMIFS(OUT!$F$2:$F$11000,OUT!$H$2:$H$11000,H1817,OUT!$D$2:$D$11000,"Out",OUT!$E$2:$E$11000,"Zela")</f>
        <v>0</v>
      </c>
      <c r="T1817" s="52">
        <f ca="1">SUMIFS(OUT!$F$2:$F$11000,OUT!$H$2:$H$11000,H1817,OUT!$D$2:$D$11000,"Out",OUT!$E$2:$E$11000,"Iqbal")</f>
        <v>0</v>
      </c>
    </row>
    <row r="1818" spans="7:20" x14ac:dyDescent="0.2">
      <c r="G1818" s="50"/>
      <c r="H1818" s="51" t="str">
        <f t="shared" si="0"/>
        <v/>
      </c>
      <c r="I1818" s="52" t="e">
        <f>SUMIFS(OUT!$F$2:$F$11000,OUT!$H$2:$H$11000,H1818,OUT!$D$2:$D$101007,"In")</f>
        <v>#VALUE!</v>
      </c>
      <c r="J1818" s="52">
        <f ca="1">SUMIFS(OUT!$F$2:$F$11000,OUT!$H$2:$H$11000,H1818,OUT!$D$2:$D$11000,"Out")</f>
        <v>0</v>
      </c>
      <c r="K1818" s="52">
        <f ca="1">SUMIFS(OUT!$F$2:$F$11000,OUT!$H$2:$H$11000,H1818,OUT!$D$2:$D$11000,"Out",OUT!$E$2:$E$11000,"Fix")</f>
        <v>0</v>
      </c>
      <c r="L1818" s="52">
        <f ca="1">SUMIFS(OUT!$F$2:$F$11000,OUT!$H$2:$H$11000,H1818,OUT!$D$2:$D$11000,"Out",OUT!$E$2:$E$11000,"Bathroom")</f>
        <v>0</v>
      </c>
      <c r="M1818" s="52">
        <f ca="1">SUMIFS(OUT!$F$2:$F$11000,OUT!$H$2:$H$11000,H1818,OUT!$D$2:$D$11000,"Out",OUT!$E$2:$E$11000,"Alfa")</f>
        <v>0</v>
      </c>
      <c r="N1818" s="52" t="e">
        <f>SUMIFS(OUT!$F$2:$F$11000,OUT!$H$2:$H$101007,H1818,OUT!$D$2:$D$11000,"Out",OUT!$E$2:$E$11000,"Jajan")</f>
        <v>#VALUE!</v>
      </c>
      <c r="O1818" s="52">
        <f ca="1">SUMIFS(OUT!$F$2:$F$11000,OUT!$H$2:$H$11000,H1818,OUT!$D$2:$D$11000,"Out",OUT!$E$2:$E$11000,"Kitchen")</f>
        <v>0</v>
      </c>
      <c r="P1818" s="52">
        <f ca="1">SUMIFS(OUT!$F$2:$F$11000,OUT!$H$2:$H$11000,H1818,OUT!$D$2:$D$11000,"Out",OUT!$E$2:$E$11000,"Loandry")</f>
        <v>0</v>
      </c>
      <c r="Q1818" s="52">
        <f ca="1">SUMIFS(OUT!$F$2:$F$11000,OUT!$H$2:$H$11000,H1818,OUT!$D$2:$D$11000,"Out",OUT!$E$2:$E$11000,"Mio")</f>
        <v>0</v>
      </c>
      <c r="R1818" s="52">
        <f ca="1">SUMIFS(OUT!$F$2:$F$11000,OUT!$H$2:$H$11000,H1818,OUT!$D$2:$D$11000,"Out",OUT!$E$2:$E$11000,"Sedekah")</f>
        <v>0</v>
      </c>
      <c r="S1818" s="52">
        <f ca="1">SUMIFS(OUT!$F$2:$F$11000,OUT!$H$2:$H$11000,H1818,OUT!$D$2:$D$11000,"Out",OUT!$E$2:$E$11000,"Zela")</f>
        <v>0</v>
      </c>
      <c r="T1818" s="52">
        <f ca="1">SUMIFS(OUT!$F$2:$F$11000,OUT!$H$2:$H$11000,H1818,OUT!$D$2:$D$11000,"Out",OUT!$E$2:$E$11000,"Iqbal")</f>
        <v>0</v>
      </c>
    </row>
    <row r="1819" spans="7:20" x14ac:dyDescent="0.2">
      <c r="G1819" s="50"/>
      <c r="H1819" s="51" t="str">
        <f t="shared" si="0"/>
        <v/>
      </c>
      <c r="I1819" s="52" t="e">
        <f>SUMIFS(OUT!$F$2:$F$11000,OUT!$H$2:$H$11000,H1819,OUT!$D$2:$D$101007,"In")</f>
        <v>#VALUE!</v>
      </c>
      <c r="J1819" s="52">
        <f ca="1">SUMIFS(OUT!$F$2:$F$11000,OUT!$H$2:$H$11000,H1819,OUT!$D$2:$D$11000,"Out")</f>
        <v>0</v>
      </c>
      <c r="K1819" s="52">
        <f ca="1">SUMIFS(OUT!$F$2:$F$11000,OUT!$H$2:$H$11000,H1819,OUT!$D$2:$D$11000,"Out",OUT!$E$2:$E$11000,"Fix")</f>
        <v>0</v>
      </c>
      <c r="L1819" s="52">
        <f ca="1">SUMIFS(OUT!$F$2:$F$11000,OUT!$H$2:$H$11000,H1819,OUT!$D$2:$D$11000,"Out",OUT!$E$2:$E$11000,"Bathroom")</f>
        <v>0</v>
      </c>
      <c r="M1819" s="52">
        <f ca="1">SUMIFS(OUT!$F$2:$F$11000,OUT!$H$2:$H$11000,H1819,OUT!$D$2:$D$11000,"Out",OUT!$E$2:$E$11000,"Alfa")</f>
        <v>0</v>
      </c>
      <c r="N1819" s="52" t="e">
        <f>SUMIFS(OUT!$F$2:$F$11000,OUT!$H$2:$H$101007,H1819,OUT!$D$2:$D$11000,"Out",OUT!$E$2:$E$11000,"Jajan")</f>
        <v>#VALUE!</v>
      </c>
      <c r="O1819" s="52">
        <f ca="1">SUMIFS(OUT!$F$2:$F$11000,OUT!$H$2:$H$11000,H1819,OUT!$D$2:$D$11000,"Out",OUT!$E$2:$E$11000,"Kitchen")</f>
        <v>0</v>
      </c>
      <c r="P1819" s="52">
        <f ca="1">SUMIFS(OUT!$F$2:$F$11000,OUT!$H$2:$H$11000,H1819,OUT!$D$2:$D$11000,"Out",OUT!$E$2:$E$11000,"Loandry")</f>
        <v>0</v>
      </c>
      <c r="Q1819" s="52">
        <f ca="1">SUMIFS(OUT!$F$2:$F$11000,OUT!$H$2:$H$11000,H1819,OUT!$D$2:$D$11000,"Out",OUT!$E$2:$E$11000,"Mio")</f>
        <v>0</v>
      </c>
      <c r="R1819" s="52">
        <f ca="1">SUMIFS(OUT!$F$2:$F$11000,OUT!$H$2:$H$11000,H1819,OUT!$D$2:$D$11000,"Out",OUT!$E$2:$E$11000,"Sedekah")</f>
        <v>0</v>
      </c>
      <c r="S1819" s="52">
        <f ca="1">SUMIFS(OUT!$F$2:$F$11000,OUT!$H$2:$H$11000,H1819,OUT!$D$2:$D$11000,"Out",OUT!$E$2:$E$11000,"Zela")</f>
        <v>0</v>
      </c>
      <c r="T1819" s="52">
        <f ca="1">SUMIFS(OUT!$F$2:$F$11000,OUT!$H$2:$H$11000,H1819,OUT!$D$2:$D$11000,"Out",OUT!$E$2:$E$11000,"Iqbal")</f>
        <v>0</v>
      </c>
    </row>
    <row r="1820" spans="7:20" x14ac:dyDescent="0.2">
      <c r="G1820" s="50"/>
      <c r="H1820" s="51" t="str">
        <f t="shared" si="0"/>
        <v/>
      </c>
      <c r="I1820" s="52" t="e">
        <f>SUMIFS(OUT!$F$2:$F$11000,OUT!$H$2:$H$11000,H1820,OUT!$D$2:$D$101007,"In")</f>
        <v>#VALUE!</v>
      </c>
      <c r="J1820" s="52">
        <f ca="1">SUMIFS(OUT!$F$2:$F$11000,OUT!$H$2:$H$11000,H1820,OUT!$D$2:$D$11000,"Out")</f>
        <v>0</v>
      </c>
      <c r="K1820" s="52">
        <f ca="1">SUMIFS(OUT!$F$2:$F$11000,OUT!$H$2:$H$11000,H1820,OUT!$D$2:$D$11000,"Out",OUT!$E$2:$E$11000,"Fix")</f>
        <v>0</v>
      </c>
      <c r="L1820" s="52">
        <f ca="1">SUMIFS(OUT!$F$2:$F$11000,OUT!$H$2:$H$11000,H1820,OUT!$D$2:$D$11000,"Out",OUT!$E$2:$E$11000,"Bathroom")</f>
        <v>0</v>
      </c>
      <c r="M1820" s="52">
        <f ca="1">SUMIFS(OUT!$F$2:$F$11000,OUT!$H$2:$H$11000,H1820,OUT!$D$2:$D$11000,"Out",OUT!$E$2:$E$11000,"Alfa")</f>
        <v>0</v>
      </c>
      <c r="N1820" s="52" t="e">
        <f>SUMIFS(OUT!$F$2:$F$11000,OUT!$H$2:$H$101007,H1820,OUT!$D$2:$D$11000,"Out",OUT!$E$2:$E$11000,"Jajan")</f>
        <v>#VALUE!</v>
      </c>
      <c r="O1820" s="52">
        <f ca="1">SUMIFS(OUT!$F$2:$F$11000,OUT!$H$2:$H$11000,H1820,OUT!$D$2:$D$11000,"Out",OUT!$E$2:$E$11000,"Kitchen")</f>
        <v>0</v>
      </c>
      <c r="P1820" s="52">
        <f ca="1">SUMIFS(OUT!$F$2:$F$11000,OUT!$H$2:$H$11000,H1820,OUT!$D$2:$D$11000,"Out",OUT!$E$2:$E$11000,"Loandry")</f>
        <v>0</v>
      </c>
      <c r="Q1820" s="52">
        <f ca="1">SUMIFS(OUT!$F$2:$F$11000,OUT!$H$2:$H$11000,H1820,OUT!$D$2:$D$11000,"Out",OUT!$E$2:$E$11000,"Mio")</f>
        <v>0</v>
      </c>
      <c r="R1820" s="52">
        <f ca="1">SUMIFS(OUT!$F$2:$F$11000,OUT!$H$2:$H$11000,H1820,OUT!$D$2:$D$11000,"Out",OUT!$E$2:$E$11000,"Sedekah")</f>
        <v>0</v>
      </c>
      <c r="S1820" s="52">
        <f ca="1">SUMIFS(OUT!$F$2:$F$11000,OUT!$H$2:$H$11000,H1820,OUT!$D$2:$D$11000,"Out",OUT!$E$2:$E$11000,"Zela")</f>
        <v>0</v>
      </c>
      <c r="T1820" s="52">
        <f ca="1">SUMIFS(OUT!$F$2:$F$11000,OUT!$H$2:$H$11000,H1820,OUT!$D$2:$D$11000,"Out",OUT!$E$2:$E$11000,"Iqbal")</f>
        <v>0</v>
      </c>
    </row>
    <row r="1821" spans="7:20" x14ac:dyDescent="0.2">
      <c r="G1821" s="50"/>
      <c r="H1821" s="51" t="str">
        <f t="shared" si="0"/>
        <v/>
      </c>
      <c r="I1821" s="52" t="e">
        <f>SUMIFS(OUT!$F$2:$F$11000,OUT!$H$2:$H$11000,H1821,OUT!$D$2:$D$101007,"In")</f>
        <v>#VALUE!</v>
      </c>
      <c r="J1821" s="52">
        <f ca="1">SUMIFS(OUT!$F$2:$F$11000,OUT!$H$2:$H$11000,H1821,OUT!$D$2:$D$11000,"Out")</f>
        <v>0</v>
      </c>
      <c r="K1821" s="52">
        <f ca="1">SUMIFS(OUT!$F$2:$F$11000,OUT!$H$2:$H$11000,H1821,OUT!$D$2:$D$11000,"Out",OUT!$E$2:$E$11000,"Fix")</f>
        <v>0</v>
      </c>
      <c r="L1821" s="52">
        <f ca="1">SUMIFS(OUT!$F$2:$F$11000,OUT!$H$2:$H$11000,H1821,OUT!$D$2:$D$11000,"Out",OUT!$E$2:$E$11000,"Bathroom")</f>
        <v>0</v>
      </c>
      <c r="M1821" s="52">
        <f ca="1">SUMIFS(OUT!$F$2:$F$11000,OUT!$H$2:$H$11000,H1821,OUT!$D$2:$D$11000,"Out",OUT!$E$2:$E$11000,"Alfa")</f>
        <v>0</v>
      </c>
      <c r="N1821" s="52" t="e">
        <f>SUMIFS(OUT!$F$2:$F$11000,OUT!$H$2:$H$101007,H1821,OUT!$D$2:$D$11000,"Out",OUT!$E$2:$E$11000,"Jajan")</f>
        <v>#VALUE!</v>
      </c>
      <c r="O1821" s="52">
        <f ca="1">SUMIFS(OUT!$F$2:$F$11000,OUT!$H$2:$H$11000,H1821,OUT!$D$2:$D$11000,"Out",OUT!$E$2:$E$11000,"Kitchen")</f>
        <v>0</v>
      </c>
      <c r="P1821" s="52">
        <f ca="1">SUMIFS(OUT!$F$2:$F$11000,OUT!$H$2:$H$11000,H1821,OUT!$D$2:$D$11000,"Out",OUT!$E$2:$E$11000,"Loandry")</f>
        <v>0</v>
      </c>
      <c r="Q1821" s="52">
        <f ca="1">SUMIFS(OUT!$F$2:$F$11000,OUT!$H$2:$H$11000,H1821,OUT!$D$2:$D$11000,"Out",OUT!$E$2:$E$11000,"Mio")</f>
        <v>0</v>
      </c>
      <c r="R1821" s="52">
        <f ca="1">SUMIFS(OUT!$F$2:$F$11000,OUT!$H$2:$H$11000,H1821,OUT!$D$2:$D$11000,"Out",OUT!$E$2:$E$11000,"Sedekah")</f>
        <v>0</v>
      </c>
      <c r="S1821" s="52">
        <f ca="1">SUMIFS(OUT!$F$2:$F$11000,OUT!$H$2:$H$11000,H1821,OUT!$D$2:$D$11000,"Out",OUT!$E$2:$E$11000,"Zela")</f>
        <v>0</v>
      </c>
      <c r="T1821" s="52">
        <f ca="1">SUMIFS(OUT!$F$2:$F$11000,OUT!$H$2:$H$11000,H1821,OUT!$D$2:$D$11000,"Out",OUT!$E$2:$E$11000,"Iqbal")</f>
        <v>0</v>
      </c>
    </row>
    <row r="1822" spans="7:20" x14ac:dyDescent="0.2">
      <c r="G1822" s="50"/>
      <c r="H1822" s="51" t="str">
        <f t="shared" si="0"/>
        <v/>
      </c>
      <c r="I1822" s="52" t="e">
        <f>SUMIFS(OUT!$F$2:$F$11000,OUT!$H$2:$H$11000,H1822,OUT!$D$2:$D$101007,"In")</f>
        <v>#VALUE!</v>
      </c>
      <c r="J1822" s="52">
        <f ca="1">SUMIFS(OUT!$F$2:$F$11000,OUT!$H$2:$H$11000,H1822,OUT!$D$2:$D$11000,"Out")</f>
        <v>0</v>
      </c>
      <c r="K1822" s="52">
        <f ca="1">SUMIFS(OUT!$F$2:$F$11000,OUT!$H$2:$H$11000,H1822,OUT!$D$2:$D$11000,"Out",OUT!$E$2:$E$11000,"Fix")</f>
        <v>0</v>
      </c>
      <c r="L1822" s="52">
        <f ca="1">SUMIFS(OUT!$F$2:$F$11000,OUT!$H$2:$H$11000,H1822,OUT!$D$2:$D$11000,"Out",OUT!$E$2:$E$11000,"Bathroom")</f>
        <v>0</v>
      </c>
      <c r="M1822" s="52">
        <f ca="1">SUMIFS(OUT!$F$2:$F$11000,OUT!$H$2:$H$11000,H1822,OUT!$D$2:$D$11000,"Out",OUT!$E$2:$E$11000,"Alfa")</f>
        <v>0</v>
      </c>
      <c r="N1822" s="52" t="e">
        <f>SUMIFS(OUT!$F$2:$F$11000,OUT!$H$2:$H$101007,H1822,OUT!$D$2:$D$11000,"Out",OUT!$E$2:$E$11000,"Jajan")</f>
        <v>#VALUE!</v>
      </c>
      <c r="O1822" s="52">
        <f ca="1">SUMIFS(OUT!$F$2:$F$11000,OUT!$H$2:$H$11000,H1822,OUT!$D$2:$D$11000,"Out",OUT!$E$2:$E$11000,"Kitchen")</f>
        <v>0</v>
      </c>
      <c r="P1822" s="52">
        <f ca="1">SUMIFS(OUT!$F$2:$F$11000,OUT!$H$2:$H$11000,H1822,OUT!$D$2:$D$11000,"Out",OUT!$E$2:$E$11000,"Loandry")</f>
        <v>0</v>
      </c>
      <c r="Q1822" s="52">
        <f ca="1">SUMIFS(OUT!$F$2:$F$11000,OUT!$H$2:$H$11000,H1822,OUT!$D$2:$D$11000,"Out",OUT!$E$2:$E$11000,"Mio")</f>
        <v>0</v>
      </c>
      <c r="R1822" s="52">
        <f ca="1">SUMIFS(OUT!$F$2:$F$11000,OUT!$H$2:$H$11000,H1822,OUT!$D$2:$D$11000,"Out",OUT!$E$2:$E$11000,"Sedekah")</f>
        <v>0</v>
      </c>
      <c r="S1822" s="52">
        <f ca="1">SUMIFS(OUT!$F$2:$F$11000,OUT!$H$2:$H$11000,H1822,OUT!$D$2:$D$11000,"Out",OUT!$E$2:$E$11000,"Zela")</f>
        <v>0</v>
      </c>
      <c r="T1822" s="52">
        <f ca="1">SUMIFS(OUT!$F$2:$F$11000,OUT!$H$2:$H$11000,H1822,OUT!$D$2:$D$11000,"Out",OUT!$E$2:$E$11000,"Iqbal")</f>
        <v>0</v>
      </c>
    </row>
    <row r="1823" spans="7:20" x14ac:dyDescent="0.2">
      <c r="G1823" s="50"/>
      <c r="H1823" s="51" t="str">
        <f t="shared" si="0"/>
        <v/>
      </c>
      <c r="I1823" s="52" t="e">
        <f>SUMIFS(OUT!$F$2:$F$11000,OUT!$H$2:$H$11000,H1823,OUT!$D$2:$D$101007,"In")</f>
        <v>#VALUE!</v>
      </c>
      <c r="J1823" s="52">
        <f ca="1">SUMIFS(OUT!$F$2:$F$11000,OUT!$H$2:$H$11000,H1823,OUT!$D$2:$D$11000,"Out")</f>
        <v>0</v>
      </c>
      <c r="K1823" s="52">
        <f ca="1">SUMIFS(OUT!$F$2:$F$11000,OUT!$H$2:$H$11000,H1823,OUT!$D$2:$D$11000,"Out",OUT!$E$2:$E$11000,"Fix")</f>
        <v>0</v>
      </c>
      <c r="L1823" s="52">
        <f ca="1">SUMIFS(OUT!$F$2:$F$11000,OUT!$H$2:$H$11000,H1823,OUT!$D$2:$D$11000,"Out",OUT!$E$2:$E$11000,"Bathroom")</f>
        <v>0</v>
      </c>
      <c r="M1823" s="52">
        <f ca="1">SUMIFS(OUT!$F$2:$F$11000,OUT!$H$2:$H$11000,H1823,OUT!$D$2:$D$11000,"Out",OUT!$E$2:$E$11000,"Alfa")</f>
        <v>0</v>
      </c>
      <c r="N1823" s="52" t="e">
        <f>SUMIFS(OUT!$F$2:$F$11000,OUT!$H$2:$H$101007,H1823,OUT!$D$2:$D$11000,"Out",OUT!$E$2:$E$11000,"Jajan")</f>
        <v>#VALUE!</v>
      </c>
      <c r="O1823" s="52">
        <f ca="1">SUMIFS(OUT!$F$2:$F$11000,OUT!$H$2:$H$11000,H1823,OUT!$D$2:$D$11000,"Out",OUT!$E$2:$E$11000,"Kitchen")</f>
        <v>0</v>
      </c>
      <c r="P1823" s="52">
        <f ca="1">SUMIFS(OUT!$F$2:$F$11000,OUT!$H$2:$H$11000,H1823,OUT!$D$2:$D$11000,"Out",OUT!$E$2:$E$11000,"Loandry")</f>
        <v>0</v>
      </c>
      <c r="Q1823" s="52">
        <f ca="1">SUMIFS(OUT!$F$2:$F$11000,OUT!$H$2:$H$11000,H1823,OUT!$D$2:$D$11000,"Out",OUT!$E$2:$E$11000,"Mio")</f>
        <v>0</v>
      </c>
      <c r="R1823" s="52">
        <f ca="1">SUMIFS(OUT!$F$2:$F$11000,OUT!$H$2:$H$11000,H1823,OUT!$D$2:$D$11000,"Out",OUT!$E$2:$E$11000,"Sedekah")</f>
        <v>0</v>
      </c>
      <c r="S1823" s="52">
        <f ca="1">SUMIFS(OUT!$F$2:$F$11000,OUT!$H$2:$H$11000,H1823,OUT!$D$2:$D$11000,"Out",OUT!$E$2:$E$11000,"Zela")</f>
        <v>0</v>
      </c>
      <c r="T1823" s="52">
        <f ca="1">SUMIFS(OUT!$F$2:$F$11000,OUT!$H$2:$H$11000,H1823,OUT!$D$2:$D$11000,"Out",OUT!$E$2:$E$11000,"Iqbal")</f>
        <v>0</v>
      </c>
    </row>
    <row r="1824" spans="7:20" x14ac:dyDescent="0.2">
      <c r="G1824" s="50"/>
      <c r="H1824" s="51" t="str">
        <f t="shared" si="0"/>
        <v/>
      </c>
      <c r="I1824" s="52" t="e">
        <f>SUMIFS(OUT!$F$2:$F$11000,OUT!$H$2:$H$11000,H1824,OUT!$D$2:$D$101007,"In")</f>
        <v>#VALUE!</v>
      </c>
      <c r="J1824" s="52">
        <f ca="1">SUMIFS(OUT!$F$2:$F$11000,OUT!$H$2:$H$11000,H1824,OUT!$D$2:$D$11000,"Out")</f>
        <v>0</v>
      </c>
      <c r="K1824" s="52">
        <f ca="1">SUMIFS(OUT!$F$2:$F$11000,OUT!$H$2:$H$11000,H1824,OUT!$D$2:$D$11000,"Out",OUT!$E$2:$E$11000,"Fix")</f>
        <v>0</v>
      </c>
      <c r="L1824" s="52">
        <f ca="1">SUMIFS(OUT!$F$2:$F$11000,OUT!$H$2:$H$11000,H1824,OUT!$D$2:$D$11000,"Out",OUT!$E$2:$E$11000,"Bathroom")</f>
        <v>0</v>
      </c>
      <c r="M1824" s="52">
        <f ca="1">SUMIFS(OUT!$F$2:$F$11000,OUT!$H$2:$H$11000,H1824,OUT!$D$2:$D$11000,"Out",OUT!$E$2:$E$11000,"Alfa")</f>
        <v>0</v>
      </c>
      <c r="N1824" s="52" t="e">
        <f>SUMIFS(OUT!$F$2:$F$11000,OUT!$H$2:$H$101007,H1824,OUT!$D$2:$D$11000,"Out",OUT!$E$2:$E$11000,"Jajan")</f>
        <v>#VALUE!</v>
      </c>
      <c r="O1824" s="52">
        <f ca="1">SUMIFS(OUT!$F$2:$F$11000,OUT!$H$2:$H$11000,H1824,OUT!$D$2:$D$11000,"Out",OUT!$E$2:$E$11000,"Kitchen")</f>
        <v>0</v>
      </c>
      <c r="P1824" s="52">
        <f ca="1">SUMIFS(OUT!$F$2:$F$11000,OUT!$H$2:$H$11000,H1824,OUT!$D$2:$D$11000,"Out",OUT!$E$2:$E$11000,"Loandry")</f>
        <v>0</v>
      </c>
      <c r="Q1824" s="52">
        <f ca="1">SUMIFS(OUT!$F$2:$F$11000,OUT!$H$2:$H$11000,H1824,OUT!$D$2:$D$11000,"Out",OUT!$E$2:$E$11000,"Mio")</f>
        <v>0</v>
      </c>
      <c r="R1824" s="52">
        <f ca="1">SUMIFS(OUT!$F$2:$F$11000,OUT!$H$2:$H$11000,H1824,OUT!$D$2:$D$11000,"Out",OUT!$E$2:$E$11000,"Sedekah")</f>
        <v>0</v>
      </c>
      <c r="S1824" s="52">
        <f ca="1">SUMIFS(OUT!$F$2:$F$11000,OUT!$H$2:$H$11000,H1824,OUT!$D$2:$D$11000,"Out",OUT!$E$2:$E$11000,"Zela")</f>
        <v>0</v>
      </c>
      <c r="T1824" s="52">
        <f ca="1">SUMIFS(OUT!$F$2:$F$11000,OUT!$H$2:$H$11000,H1824,OUT!$D$2:$D$11000,"Out",OUT!$E$2:$E$11000,"Iqbal")</f>
        <v>0</v>
      </c>
    </row>
    <row r="1825" spans="7:20" x14ac:dyDescent="0.2">
      <c r="G1825" s="50"/>
      <c r="H1825" s="51" t="str">
        <f t="shared" si="0"/>
        <v/>
      </c>
      <c r="I1825" s="52" t="e">
        <f>SUMIFS(OUT!$F$2:$F$11000,OUT!$H$2:$H$11000,H1825,OUT!$D$2:$D$101007,"In")</f>
        <v>#VALUE!</v>
      </c>
      <c r="J1825" s="52">
        <f ca="1">SUMIFS(OUT!$F$2:$F$11000,OUT!$H$2:$H$11000,H1825,OUT!$D$2:$D$11000,"Out")</f>
        <v>0</v>
      </c>
      <c r="K1825" s="52">
        <f ca="1">SUMIFS(OUT!$F$2:$F$11000,OUT!$H$2:$H$11000,H1825,OUT!$D$2:$D$11000,"Out",OUT!$E$2:$E$11000,"Fix")</f>
        <v>0</v>
      </c>
      <c r="L1825" s="52">
        <f ca="1">SUMIFS(OUT!$F$2:$F$11000,OUT!$H$2:$H$11000,H1825,OUT!$D$2:$D$11000,"Out",OUT!$E$2:$E$11000,"Bathroom")</f>
        <v>0</v>
      </c>
      <c r="M1825" s="52">
        <f ca="1">SUMIFS(OUT!$F$2:$F$11000,OUT!$H$2:$H$11000,H1825,OUT!$D$2:$D$11000,"Out",OUT!$E$2:$E$11000,"Alfa")</f>
        <v>0</v>
      </c>
      <c r="N1825" s="52" t="e">
        <f>SUMIFS(OUT!$F$2:$F$11000,OUT!$H$2:$H$101007,H1825,OUT!$D$2:$D$11000,"Out",OUT!$E$2:$E$11000,"Jajan")</f>
        <v>#VALUE!</v>
      </c>
      <c r="O1825" s="52">
        <f ca="1">SUMIFS(OUT!$F$2:$F$11000,OUT!$H$2:$H$11000,H1825,OUT!$D$2:$D$11000,"Out",OUT!$E$2:$E$11000,"Kitchen")</f>
        <v>0</v>
      </c>
      <c r="P1825" s="52">
        <f ca="1">SUMIFS(OUT!$F$2:$F$11000,OUT!$H$2:$H$11000,H1825,OUT!$D$2:$D$11000,"Out",OUT!$E$2:$E$11000,"Loandry")</f>
        <v>0</v>
      </c>
      <c r="Q1825" s="52">
        <f ca="1">SUMIFS(OUT!$F$2:$F$11000,OUT!$H$2:$H$11000,H1825,OUT!$D$2:$D$11000,"Out",OUT!$E$2:$E$11000,"Mio")</f>
        <v>0</v>
      </c>
      <c r="R1825" s="52">
        <f ca="1">SUMIFS(OUT!$F$2:$F$11000,OUT!$H$2:$H$11000,H1825,OUT!$D$2:$D$11000,"Out",OUT!$E$2:$E$11000,"Sedekah")</f>
        <v>0</v>
      </c>
      <c r="S1825" s="52">
        <f ca="1">SUMIFS(OUT!$F$2:$F$11000,OUT!$H$2:$H$11000,H1825,OUT!$D$2:$D$11000,"Out",OUT!$E$2:$E$11000,"Zela")</f>
        <v>0</v>
      </c>
      <c r="T1825" s="52">
        <f ca="1">SUMIFS(OUT!$F$2:$F$11000,OUT!$H$2:$H$11000,H1825,OUT!$D$2:$D$11000,"Out",OUT!$E$2:$E$11000,"Iqbal")</f>
        <v>0</v>
      </c>
    </row>
    <row r="1826" spans="7:20" x14ac:dyDescent="0.2">
      <c r="G1826" s="50"/>
      <c r="H1826" s="51" t="str">
        <f t="shared" si="0"/>
        <v/>
      </c>
      <c r="I1826" s="52" t="e">
        <f>SUMIFS(OUT!$F$2:$F$11000,OUT!$H$2:$H$11000,H1826,OUT!$D$2:$D$101007,"In")</f>
        <v>#VALUE!</v>
      </c>
      <c r="J1826" s="52">
        <f ca="1">SUMIFS(OUT!$F$2:$F$11000,OUT!$H$2:$H$11000,H1826,OUT!$D$2:$D$11000,"Out")</f>
        <v>0</v>
      </c>
      <c r="K1826" s="52">
        <f ca="1">SUMIFS(OUT!$F$2:$F$11000,OUT!$H$2:$H$11000,H1826,OUT!$D$2:$D$11000,"Out",OUT!$E$2:$E$11000,"Fix")</f>
        <v>0</v>
      </c>
      <c r="L1826" s="52">
        <f ca="1">SUMIFS(OUT!$F$2:$F$11000,OUT!$H$2:$H$11000,H1826,OUT!$D$2:$D$11000,"Out",OUT!$E$2:$E$11000,"Bathroom")</f>
        <v>0</v>
      </c>
      <c r="M1826" s="52">
        <f ca="1">SUMIFS(OUT!$F$2:$F$11000,OUT!$H$2:$H$11000,H1826,OUT!$D$2:$D$11000,"Out",OUT!$E$2:$E$11000,"Alfa")</f>
        <v>0</v>
      </c>
      <c r="N1826" s="52" t="e">
        <f>SUMIFS(OUT!$F$2:$F$11000,OUT!$H$2:$H$101007,H1826,OUT!$D$2:$D$11000,"Out",OUT!$E$2:$E$11000,"Jajan")</f>
        <v>#VALUE!</v>
      </c>
      <c r="O1826" s="52">
        <f ca="1">SUMIFS(OUT!$F$2:$F$11000,OUT!$H$2:$H$11000,H1826,OUT!$D$2:$D$11000,"Out",OUT!$E$2:$E$11000,"Kitchen")</f>
        <v>0</v>
      </c>
      <c r="P1826" s="52">
        <f ca="1">SUMIFS(OUT!$F$2:$F$11000,OUT!$H$2:$H$11000,H1826,OUT!$D$2:$D$11000,"Out",OUT!$E$2:$E$11000,"Loandry")</f>
        <v>0</v>
      </c>
      <c r="Q1826" s="52">
        <f ca="1">SUMIFS(OUT!$F$2:$F$11000,OUT!$H$2:$H$11000,H1826,OUT!$D$2:$D$11000,"Out",OUT!$E$2:$E$11000,"Mio")</f>
        <v>0</v>
      </c>
      <c r="R1826" s="52">
        <f ca="1">SUMIFS(OUT!$F$2:$F$11000,OUT!$H$2:$H$11000,H1826,OUT!$D$2:$D$11000,"Out",OUT!$E$2:$E$11000,"Sedekah")</f>
        <v>0</v>
      </c>
      <c r="S1826" s="52">
        <f ca="1">SUMIFS(OUT!$F$2:$F$11000,OUT!$H$2:$H$11000,H1826,OUT!$D$2:$D$11000,"Out",OUT!$E$2:$E$11000,"Zela")</f>
        <v>0</v>
      </c>
      <c r="T1826" s="52">
        <f ca="1">SUMIFS(OUT!$F$2:$F$11000,OUT!$H$2:$H$11000,H1826,OUT!$D$2:$D$11000,"Out",OUT!$E$2:$E$11000,"Iqbal")</f>
        <v>0</v>
      </c>
    </row>
    <row r="1827" spans="7:20" x14ac:dyDescent="0.2">
      <c r="G1827" s="50"/>
      <c r="H1827" s="51" t="str">
        <f t="shared" si="0"/>
        <v/>
      </c>
      <c r="I1827" s="52" t="e">
        <f>SUMIFS(OUT!$F$2:$F$11000,OUT!$H$2:$H$11000,H1827,OUT!$D$2:$D$101007,"In")</f>
        <v>#VALUE!</v>
      </c>
      <c r="J1827" s="52">
        <f ca="1">SUMIFS(OUT!$F$2:$F$11000,OUT!$H$2:$H$11000,H1827,OUT!$D$2:$D$11000,"Out")</f>
        <v>0</v>
      </c>
      <c r="K1827" s="52">
        <f ca="1">SUMIFS(OUT!$F$2:$F$11000,OUT!$H$2:$H$11000,H1827,OUT!$D$2:$D$11000,"Out",OUT!$E$2:$E$11000,"Fix")</f>
        <v>0</v>
      </c>
      <c r="L1827" s="52">
        <f ca="1">SUMIFS(OUT!$F$2:$F$11000,OUT!$H$2:$H$11000,H1827,OUT!$D$2:$D$11000,"Out",OUT!$E$2:$E$11000,"Bathroom")</f>
        <v>0</v>
      </c>
      <c r="M1827" s="52">
        <f ca="1">SUMIFS(OUT!$F$2:$F$11000,OUT!$H$2:$H$11000,H1827,OUT!$D$2:$D$11000,"Out",OUT!$E$2:$E$11000,"Alfa")</f>
        <v>0</v>
      </c>
      <c r="N1827" s="52" t="e">
        <f>SUMIFS(OUT!$F$2:$F$11000,OUT!$H$2:$H$101007,H1827,OUT!$D$2:$D$11000,"Out",OUT!$E$2:$E$11000,"Jajan")</f>
        <v>#VALUE!</v>
      </c>
      <c r="O1827" s="52">
        <f ca="1">SUMIFS(OUT!$F$2:$F$11000,OUT!$H$2:$H$11000,H1827,OUT!$D$2:$D$11000,"Out",OUT!$E$2:$E$11000,"Kitchen")</f>
        <v>0</v>
      </c>
      <c r="P1827" s="52">
        <f ca="1">SUMIFS(OUT!$F$2:$F$11000,OUT!$H$2:$H$11000,H1827,OUT!$D$2:$D$11000,"Out",OUT!$E$2:$E$11000,"Loandry")</f>
        <v>0</v>
      </c>
      <c r="Q1827" s="52">
        <f ca="1">SUMIFS(OUT!$F$2:$F$11000,OUT!$H$2:$H$11000,H1827,OUT!$D$2:$D$11000,"Out",OUT!$E$2:$E$11000,"Mio")</f>
        <v>0</v>
      </c>
      <c r="R1827" s="52">
        <f ca="1">SUMIFS(OUT!$F$2:$F$11000,OUT!$H$2:$H$11000,H1827,OUT!$D$2:$D$11000,"Out",OUT!$E$2:$E$11000,"Sedekah")</f>
        <v>0</v>
      </c>
      <c r="S1827" s="52">
        <f ca="1">SUMIFS(OUT!$F$2:$F$11000,OUT!$H$2:$H$11000,H1827,OUT!$D$2:$D$11000,"Out",OUT!$E$2:$E$11000,"Zela")</f>
        <v>0</v>
      </c>
      <c r="T1827" s="52">
        <f ca="1">SUMIFS(OUT!$F$2:$F$11000,OUT!$H$2:$H$11000,H1827,OUT!$D$2:$D$11000,"Out",OUT!$E$2:$E$11000,"Iqbal")</f>
        <v>0</v>
      </c>
    </row>
    <row r="1828" spans="7:20" x14ac:dyDescent="0.2">
      <c r="G1828" s="50"/>
      <c r="H1828" s="51" t="str">
        <f t="shared" si="0"/>
        <v/>
      </c>
      <c r="I1828" s="52" t="e">
        <f>SUMIFS(OUT!$F$2:$F$11000,OUT!$H$2:$H$11000,H1828,OUT!$D$2:$D$101007,"In")</f>
        <v>#VALUE!</v>
      </c>
      <c r="J1828" s="52">
        <f ca="1">SUMIFS(OUT!$F$2:$F$11000,OUT!$H$2:$H$11000,H1828,OUT!$D$2:$D$11000,"Out")</f>
        <v>0</v>
      </c>
      <c r="K1828" s="52">
        <f ca="1">SUMIFS(OUT!$F$2:$F$11000,OUT!$H$2:$H$11000,H1828,OUT!$D$2:$D$11000,"Out",OUT!$E$2:$E$11000,"Fix")</f>
        <v>0</v>
      </c>
      <c r="L1828" s="52">
        <f ca="1">SUMIFS(OUT!$F$2:$F$11000,OUT!$H$2:$H$11000,H1828,OUT!$D$2:$D$11000,"Out",OUT!$E$2:$E$11000,"Bathroom")</f>
        <v>0</v>
      </c>
      <c r="M1828" s="52">
        <f ca="1">SUMIFS(OUT!$F$2:$F$11000,OUT!$H$2:$H$11000,H1828,OUT!$D$2:$D$11000,"Out",OUT!$E$2:$E$11000,"Alfa")</f>
        <v>0</v>
      </c>
      <c r="N1828" s="52" t="e">
        <f>SUMIFS(OUT!$F$2:$F$11000,OUT!$H$2:$H$101007,H1828,OUT!$D$2:$D$11000,"Out",OUT!$E$2:$E$11000,"Jajan")</f>
        <v>#VALUE!</v>
      </c>
      <c r="O1828" s="52">
        <f ca="1">SUMIFS(OUT!$F$2:$F$11000,OUT!$H$2:$H$11000,H1828,OUT!$D$2:$D$11000,"Out",OUT!$E$2:$E$11000,"Kitchen")</f>
        <v>0</v>
      </c>
      <c r="P1828" s="52">
        <f ca="1">SUMIFS(OUT!$F$2:$F$11000,OUT!$H$2:$H$11000,H1828,OUT!$D$2:$D$11000,"Out",OUT!$E$2:$E$11000,"Loandry")</f>
        <v>0</v>
      </c>
      <c r="Q1828" s="52">
        <f ca="1">SUMIFS(OUT!$F$2:$F$11000,OUT!$H$2:$H$11000,H1828,OUT!$D$2:$D$11000,"Out",OUT!$E$2:$E$11000,"Mio")</f>
        <v>0</v>
      </c>
      <c r="R1828" s="52">
        <f ca="1">SUMIFS(OUT!$F$2:$F$11000,OUT!$H$2:$H$11000,H1828,OUT!$D$2:$D$11000,"Out",OUT!$E$2:$E$11000,"Sedekah")</f>
        <v>0</v>
      </c>
      <c r="S1828" s="52">
        <f ca="1">SUMIFS(OUT!$F$2:$F$11000,OUT!$H$2:$H$11000,H1828,OUT!$D$2:$D$11000,"Out",OUT!$E$2:$E$11000,"Zela")</f>
        <v>0</v>
      </c>
      <c r="T1828" s="52">
        <f ca="1">SUMIFS(OUT!$F$2:$F$11000,OUT!$H$2:$H$11000,H1828,OUT!$D$2:$D$11000,"Out",OUT!$E$2:$E$11000,"Iqbal")</f>
        <v>0</v>
      </c>
    </row>
    <row r="1829" spans="7:20" x14ac:dyDescent="0.2">
      <c r="G1829" s="50"/>
      <c r="H1829" s="51" t="str">
        <f t="shared" si="0"/>
        <v/>
      </c>
      <c r="I1829" s="52" t="e">
        <f>SUMIFS(OUT!$F$2:$F$11000,OUT!$H$2:$H$11000,H1829,OUT!$D$2:$D$101007,"In")</f>
        <v>#VALUE!</v>
      </c>
      <c r="J1829" s="52">
        <f ca="1">SUMIFS(OUT!$F$2:$F$11000,OUT!$H$2:$H$11000,H1829,OUT!$D$2:$D$11000,"Out")</f>
        <v>0</v>
      </c>
      <c r="K1829" s="52">
        <f ca="1">SUMIFS(OUT!$F$2:$F$11000,OUT!$H$2:$H$11000,H1829,OUT!$D$2:$D$11000,"Out",OUT!$E$2:$E$11000,"Fix")</f>
        <v>0</v>
      </c>
      <c r="L1829" s="52">
        <f ca="1">SUMIFS(OUT!$F$2:$F$11000,OUT!$H$2:$H$11000,H1829,OUT!$D$2:$D$11000,"Out",OUT!$E$2:$E$11000,"Bathroom")</f>
        <v>0</v>
      </c>
      <c r="M1829" s="52">
        <f ca="1">SUMIFS(OUT!$F$2:$F$11000,OUT!$H$2:$H$11000,H1829,OUT!$D$2:$D$11000,"Out",OUT!$E$2:$E$11000,"Alfa")</f>
        <v>0</v>
      </c>
      <c r="N1829" s="52" t="e">
        <f>SUMIFS(OUT!$F$2:$F$11000,OUT!$H$2:$H$101007,H1829,OUT!$D$2:$D$11000,"Out",OUT!$E$2:$E$11000,"Jajan")</f>
        <v>#VALUE!</v>
      </c>
      <c r="O1829" s="52">
        <f ca="1">SUMIFS(OUT!$F$2:$F$11000,OUT!$H$2:$H$11000,H1829,OUT!$D$2:$D$11000,"Out",OUT!$E$2:$E$11000,"Kitchen")</f>
        <v>0</v>
      </c>
      <c r="P1829" s="52">
        <f ca="1">SUMIFS(OUT!$F$2:$F$11000,OUT!$H$2:$H$11000,H1829,OUT!$D$2:$D$11000,"Out",OUT!$E$2:$E$11000,"Loandry")</f>
        <v>0</v>
      </c>
      <c r="Q1829" s="52">
        <f ca="1">SUMIFS(OUT!$F$2:$F$11000,OUT!$H$2:$H$11000,H1829,OUT!$D$2:$D$11000,"Out",OUT!$E$2:$E$11000,"Mio")</f>
        <v>0</v>
      </c>
      <c r="R1829" s="52">
        <f ca="1">SUMIFS(OUT!$F$2:$F$11000,OUT!$H$2:$H$11000,H1829,OUT!$D$2:$D$11000,"Out",OUT!$E$2:$E$11000,"Sedekah")</f>
        <v>0</v>
      </c>
      <c r="S1829" s="52">
        <f ca="1">SUMIFS(OUT!$F$2:$F$11000,OUT!$H$2:$H$11000,H1829,OUT!$D$2:$D$11000,"Out",OUT!$E$2:$E$11000,"Zela")</f>
        <v>0</v>
      </c>
      <c r="T1829" s="52">
        <f ca="1">SUMIFS(OUT!$F$2:$F$11000,OUT!$H$2:$H$11000,H1829,OUT!$D$2:$D$11000,"Out",OUT!$E$2:$E$11000,"Iqbal")</f>
        <v>0</v>
      </c>
    </row>
    <row r="1830" spans="7:20" x14ac:dyDescent="0.2">
      <c r="G1830" s="50"/>
      <c r="H1830" s="51" t="str">
        <f t="shared" si="0"/>
        <v/>
      </c>
      <c r="I1830" s="52" t="e">
        <f>SUMIFS(OUT!$F$2:$F$11000,OUT!$H$2:$H$11000,H1830,OUT!$D$2:$D$101007,"In")</f>
        <v>#VALUE!</v>
      </c>
      <c r="J1830" s="52">
        <f ca="1">SUMIFS(OUT!$F$2:$F$11000,OUT!$H$2:$H$11000,H1830,OUT!$D$2:$D$11000,"Out")</f>
        <v>0</v>
      </c>
      <c r="K1830" s="52">
        <f ca="1">SUMIFS(OUT!$F$2:$F$11000,OUT!$H$2:$H$11000,H1830,OUT!$D$2:$D$11000,"Out",OUT!$E$2:$E$11000,"Fix")</f>
        <v>0</v>
      </c>
      <c r="L1830" s="52">
        <f ca="1">SUMIFS(OUT!$F$2:$F$11000,OUT!$H$2:$H$11000,H1830,OUT!$D$2:$D$11000,"Out",OUT!$E$2:$E$11000,"Bathroom")</f>
        <v>0</v>
      </c>
      <c r="M1830" s="52">
        <f ca="1">SUMIFS(OUT!$F$2:$F$11000,OUT!$H$2:$H$11000,H1830,OUT!$D$2:$D$11000,"Out",OUT!$E$2:$E$11000,"Alfa")</f>
        <v>0</v>
      </c>
      <c r="N1830" s="52" t="e">
        <f>SUMIFS(OUT!$F$2:$F$11000,OUT!$H$2:$H$101007,H1830,OUT!$D$2:$D$11000,"Out",OUT!$E$2:$E$11000,"Jajan")</f>
        <v>#VALUE!</v>
      </c>
      <c r="O1830" s="52">
        <f ca="1">SUMIFS(OUT!$F$2:$F$11000,OUT!$H$2:$H$11000,H1830,OUT!$D$2:$D$11000,"Out",OUT!$E$2:$E$11000,"Kitchen")</f>
        <v>0</v>
      </c>
      <c r="P1830" s="52">
        <f ca="1">SUMIFS(OUT!$F$2:$F$11000,OUT!$H$2:$H$11000,H1830,OUT!$D$2:$D$11000,"Out",OUT!$E$2:$E$11000,"Loandry")</f>
        <v>0</v>
      </c>
      <c r="Q1830" s="52">
        <f ca="1">SUMIFS(OUT!$F$2:$F$11000,OUT!$H$2:$H$11000,H1830,OUT!$D$2:$D$11000,"Out",OUT!$E$2:$E$11000,"Mio")</f>
        <v>0</v>
      </c>
      <c r="R1830" s="52">
        <f ca="1">SUMIFS(OUT!$F$2:$F$11000,OUT!$H$2:$H$11000,H1830,OUT!$D$2:$D$11000,"Out",OUT!$E$2:$E$11000,"Sedekah")</f>
        <v>0</v>
      </c>
      <c r="S1830" s="52">
        <f ca="1">SUMIFS(OUT!$F$2:$F$11000,OUT!$H$2:$H$11000,H1830,OUT!$D$2:$D$11000,"Out",OUT!$E$2:$E$11000,"Zela")</f>
        <v>0</v>
      </c>
      <c r="T1830" s="52">
        <f ca="1">SUMIFS(OUT!$F$2:$F$11000,OUT!$H$2:$H$11000,H1830,OUT!$D$2:$D$11000,"Out",OUT!$E$2:$E$11000,"Iqbal")</f>
        <v>0</v>
      </c>
    </row>
    <row r="1831" spans="7:20" x14ac:dyDescent="0.2">
      <c r="G1831" s="50"/>
      <c r="H1831" s="51" t="str">
        <f t="shared" si="0"/>
        <v/>
      </c>
      <c r="I1831" s="52" t="e">
        <f>SUMIFS(OUT!$F$2:$F$11000,OUT!$H$2:$H$11000,H1831,OUT!$D$2:$D$101007,"In")</f>
        <v>#VALUE!</v>
      </c>
      <c r="J1831" s="52">
        <f ca="1">SUMIFS(OUT!$F$2:$F$11000,OUT!$H$2:$H$11000,H1831,OUT!$D$2:$D$11000,"Out")</f>
        <v>0</v>
      </c>
      <c r="K1831" s="52">
        <f ca="1">SUMIFS(OUT!$F$2:$F$11000,OUT!$H$2:$H$11000,H1831,OUT!$D$2:$D$11000,"Out",OUT!$E$2:$E$11000,"Fix")</f>
        <v>0</v>
      </c>
      <c r="L1831" s="52">
        <f ca="1">SUMIFS(OUT!$F$2:$F$11000,OUT!$H$2:$H$11000,H1831,OUT!$D$2:$D$11000,"Out",OUT!$E$2:$E$11000,"Bathroom")</f>
        <v>0</v>
      </c>
      <c r="M1831" s="52">
        <f ca="1">SUMIFS(OUT!$F$2:$F$11000,OUT!$H$2:$H$11000,H1831,OUT!$D$2:$D$11000,"Out",OUT!$E$2:$E$11000,"Alfa")</f>
        <v>0</v>
      </c>
      <c r="N1831" s="52" t="e">
        <f>SUMIFS(OUT!$F$2:$F$11000,OUT!$H$2:$H$101007,H1831,OUT!$D$2:$D$11000,"Out",OUT!$E$2:$E$11000,"Jajan")</f>
        <v>#VALUE!</v>
      </c>
      <c r="O1831" s="52">
        <f ca="1">SUMIFS(OUT!$F$2:$F$11000,OUT!$H$2:$H$11000,H1831,OUT!$D$2:$D$11000,"Out",OUT!$E$2:$E$11000,"Kitchen")</f>
        <v>0</v>
      </c>
      <c r="P1831" s="52">
        <f ca="1">SUMIFS(OUT!$F$2:$F$11000,OUT!$H$2:$H$11000,H1831,OUT!$D$2:$D$11000,"Out",OUT!$E$2:$E$11000,"Loandry")</f>
        <v>0</v>
      </c>
      <c r="Q1831" s="52">
        <f ca="1">SUMIFS(OUT!$F$2:$F$11000,OUT!$H$2:$H$11000,H1831,OUT!$D$2:$D$11000,"Out",OUT!$E$2:$E$11000,"Mio")</f>
        <v>0</v>
      </c>
      <c r="R1831" s="52">
        <f ca="1">SUMIFS(OUT!$F$2:$F$11000,OUT!$H$2:$H$11000,H1831,OUT!$D$2:$D$11000,"Out",OUT!$E$2:$E$11000,"Sedekah")</f>
        <v>0</v>
      </c>
      <c r="S1831" s="52">
        <f ca="1">SUMIFS(OUT!$F$2:$F$11000,OUT!$H$2:$H$11000,H1831,OUT!$D$2:$D$11000,"Out",OUT!$E$2:$E$11000,"Zela")</f>
        <v>0</v>
      </c>
      <c r="T1831" s="52">
        <f ca="1">SUMIFS(OUT!$F$2:$F$11000,OUT!$H$2:$H$11000,H1831,OUT!$D$2:$D$11000,"Out",OUT!$E$2:$E$11000,"Iqbal")</f>
        <v>0</v>
      </c>
    </row>
    <row r="1832" spans="7:20" x14ac:dyDescent="0.2">
      <c r="G1832" s="50"/>
      <c r="H1832" s="51" t="str">
        <f t="shared" si="0"/>
        <v/>
      </c>
      <c r="I1832" s="52" t="e">
        <f>SUMIFS(OUT!$F$2:$F$11000,OUT!$H$2:$H$11000,H1832,OUT!$D$2:$D$101007,"In")</f>
        <v>#VALUE!</v>
      </c>
      <c r="J1832" s="52">
        <f ca="1">SUMIFS(OUT!$F$2:$F$11000,OUT!$H$2:$H$11000,H1832,OUT!$D$2:$D$11000,"Out")</f>
        <v>0</v>
      </c>
      <c r="K1832" s="52">
        <f ca="1">SUMIFS(OUT!$F$2:$F$11000,OUT!$H$2:$H$11000,H1832,OUT!$D$2:$D$11000,"Out",OUT!$E$2:$E$11000,"Fix")</f>
        <v>0</v>
      </c>
      <c r="L1832" s="52">
        <f ca="1">SUMIFS(OUT!$F$2:$F$11000,OUT!$H$2:$H$11000,H1832,OUT!$D$2:$D$11000,"Out",OUT!$E$2:$E$11000,"Bathroom")</f>
        <v>0</v>
      </c>
      <c r="M1832" s="52">
        <f ca="1">SUMIFS(OUT!$F$2:$F$11000,OUT!$H$2:$H$11000,H1832,OUT!$D$2:$D$11000,"Out",OUT!$E$2:$E$11000,"Alfa")</f>
        <v>0</v>
      </c>
      <c r="N1832" s="52" t="e">
        <f>SUMIFS(OUT!$F$2:$F$11000,OUT!$H$2:$H$101007,H1832,OUT!$D$2:$D$11000,"Out",OUT!$E$2:$E$11000,"Jajan")</f>
        <v>#VALUE!</v>
      </c>
      <c r="O1832" s="52">
        <f ca="1">SUMIFS(OUT!$F$2:$F$11000,OUT!$H$2:$H$11000,H1832,OUT!$D$2:$D$11000,"Out",OUT!$E$2:$E$11000,"Kitchen")</f>
        <v>0</v>
      </c>
      <c r="P1832" s="52">
        <f ca="1">SUMIFS(OUT!$F$2:$F$11000,OUT!$H$2:$H$11000,H1832,OUT!$D$2:$D$11000,"Out",OUT!$E$2:$E$11000,"Loandry")</f>
        <v>0</v>
      </c>
      <c r="Q1832" s="52">
        <f ca="1">SUMIFS(OUT!$F$2:$F$11000,OUT!$H$2:$H$11000,H1832,OUT!$D$2:$D$11000,"Out",OUT!$E$2:$E$11000,"Mio")</f>
        <v>0</v>
      </c>
      <c r="R1832" s="52">
        <f ca="1">SUMIFS(OUT!$F$2:$F$11000,OUT!$H$2:$H$11000,H1832,OUT!$D$2:$D$11000,"Out",OUT!$E$2:$E$11000,"Sedekah")</f>
        <v>0</v>
      </c>
      <c r="S1832" s="52">
        <f ca="1">SUMIFS(OUT!$F$2:$F$11000,OUT!$H$2:$H$11000,H1832,OUT!$D$2:$D$11000,"Out",OUT!$E$2:$E$11000,"Zela")</f>
        <v>0</v>
      </c>
      <c r="T1832" s="52">
        <f ca="1">SUMIFS(OUT!$F$2:$F$11000,OUT!$H$2:$H$11000,H1832,OUT!$D$2:$D$11000,"Out",OUT!$E$2:$E$11000,"Iqbal")</f>
        <v>0</v>
      </c>
    </row>
    <row r="1833" spans="7:20" x14ac:dyDescent="0.2">
      <c r="G1833" s="50"/>
      <c r="H1833" s="51" t="str">
        <f t="shared" si="0"/>
        <v/>
      </c>
      <c r="I1833" s="52" t="e">
        <f>SUMIFS(OUT!$F$2:$F$11000,OUT!$H$2:$H$11000,H1833,OUT!$D$2:$D$101007,"In")</f>
        <v>#VALUE!</v>
      </c>
      <c r="J1833" s="52">
        <f ca="1">SUMIFS(OUT!$F$2:$F$11000,OUT!$H$2:$H$11000,H1833,OUT!$D$2:$D$11000,"Out")</f>
        <v>0</v>
      </c>
      <c r="K1833" s="52">
        <f ca="1">SUMIFS(OUT!$F$2:$F$11000,OUT!$H$2:$H$11000,H1833,OUT!$D$2:$D$11000,"Out",OUT!$E$2:$E$11000,"Fix")</f>
        <v>0</v>
      </c>
      <c r="L1833" s="52">
        <f ca="1">SUMIFS(OUT!$F$2:$F$11000,OUT!$H$2:$H$11000,H1833,OUT!$D$2:$D$11000,"Out",OUT!$E$2:$E$11000,"Bathroom")</f>
        <v>0</v>
      </c>
      <c r="M1833" s="52">
        <f ca="1">SUMIFS(OUT!$F$2:$F$11000,OUT!$H$2:$H$11000,H1833,OUT!$D$2:$D$11000,"Out",OUT!$E$2:$E$11000,"Alfa")</f>
        <v>0</v>
      </c>
      <c r="N1833" s="52" t="e">
        <f>SUMIFS(OUT!$F$2:$F$11000,OUT!$H$2:$H$101007,H1833,OUT!$D$2:$D$11000,"Out",OUT!$E$2:$E$11000,"Jajan")</f>
        <v>#VALUE!</v>
      </c>
      <c r="O1833" s="52">
        <f ca="1">SUMIFS(OUT!$F$2:$F$11000,OUT!$H$2:$H$11000,H1833,OUT!$D$2:$D$11000,"Out",OUT!$E$2:$E$11000,"Kitchen")</f>
        <v>0</v>
      </c>
      <c r="P1833" s="52">
        <f ca="1">SUMIFS(OUT!$F$2:$F$11000,OUT!$H$2:$H$11000,H1833,OUT!$D$2:$D$11000,"Out",OUT!$E$2:$E$11000,"Loandry")</f>
        <v>0</v>
      </c>
      <c r="Q1833" s="52">
        <f ca="1">SUMIFS(OUT!$F$2:$F$11000,OUT!$H$2:$H$11000,H1833,OUT!$D$2:$D$11000,"Out",OUT!$E$2:$E$11000,"Mio")</f>
        <v>0</v>
      </c>
      <c r="R1833" s="52">
        <f ca="1">SUMIFS(OUT!$F$2:$F$11000,OUT!$H$2:$H$11000,H1833,OUT!$D$2:$D$11000,"Out",OUT!$E$2:$E$11000,"Sedekah")</f>
        <v>0</v>
      </c>
      <c r="S1833" s="52">
        <f ca="1">SUMIFS(OUT!$F$2:$F$11000,OUT!$H$2:$H$11000,H1833,OUT!$D$2:$D$11000,"Out",OUT!$E$2:$E$11000,"Zela")</f>
        <v>0</v>
      </c>
      <c r="T1833" s="52">
        <f ca="1">SUMIFS(OUT!$F$2:$F$11000,OUT!$H$2:$H$11000,H1833,OUT!$D$2:$D$11000,"Out",OUT!$E$2:$E$11000,"Iqbal")</f>
        <v>0</v>
      </c>
    </row>
    <row r="1834" spans="7:20" x14ac:dyDescent="0.2">
      <c r="G1834" s="50"/>
      <c r="H1834" s="51" t="str">
        <f t="shared" si="0"/>
        <v/>
      </c>
      <c r="I1834" s="52" t="e">
        <f>SUMIFS(OUT!$F$2:$F$11000,OUT!$H$2:$H$11000,H1834,OUT!$D$2:$D$101007,"In")</f>
        <v>#VALUE!</v>
      </c>
      <c r="J1834" s="52">
        <f ca="1">SUMIFS(OUT!$F$2:$F$11000,OUT!$H$2:$H$11000,H1834,OUT!$D$2:$D$11000,"Out")</f>
        <v>0</v>
      </c>
      <c r="K1834" s="52">
        <f ca="1">SUMIFS(OUT!$F$2:$F$11000,OUT!$H$2:$H$11000,H1834,OUT!$D$2:$D$11000,"Out",OUT!$E$2:$E$11000,"Fix")</f>
        <v>0</v>
      </c>
      <c r="L1834" s="52">
        <f ca="1">SUMIFS(OUT!$F$2:$F$11000,OUT!$H$2:$H$11000,H1834,OUT!$D$2:$D$11000,"Out",OUT!$E$2:$E$11000,"Bathroom")</f>
        <v>0</v>
      </c>
      <c r="M1834" s="52">
        <f ca="1">SUMIFS(OUT!$F$2:$F$11000,OUT!$H$2:$H$11000,H1834,OUT!$D$2:$D$11000,"Out",OUT!$E$2:$E$11000,"Alfa")</f>
        <v>0</v>
      </c>
      <c r="N1834" s="52" t="e">
        <f>SUMIFS(OUT!$F$2:$F$11000,OUT!$H$2:$H$101007,H1834,OUT!$D$2:$D$11000,"Out",OUT!$E$2:$E$11000,"Jajan")</f>
        <v>#VALUE!</v>
      </c>
      <c r="O1834" s="52">
        <f ca="1">SUMIFS(OUT!$F$2:$F$11000,OUT!$H$2:$H$11000,H1834,OUT!$D$2:$D$11000,"Out",OUT!$E$2:$E$11000,"Kitchen")</f>
        <v>0</v>
      </c>
      <c r="P1834" s="52">
        <f ca="1">SUMIFS(OUT!$F$2:$F$11000,OUT!$H$2:$H$11000,H1834,OUT!$D$2:$D$11000,"Out",OUT!$E$2:$E$11000,"Loandry")</f>
        <v>0</v>
      </c>
      <c r="Q1834" s="52">
        <f ca="1">SUMIFS(OUT!$F$2:$F$11000,OUT!$H$2:$H$11000,H1834,OUT!$D$2:$D$11000,"Out",OUT!$E$2:$E$11000,"Mio")</f>
        <v>0</v>
      </c>
      <c r="R1834" s="52">
        <f ca="1">SUMIFS(OUT!$F$2:$F$11000,OUT!$H$2:$H$11000,H1834,OUT!$D$2:$D$11000,"Out",OUT!$E$2:$E$11000,"Sedekah")</f>
        <v>0</v>
      </c>
      <c r="S1834" s="52">
        <f ca="1">SUMIFS(OUT!$F$2:$F$11000,OUT!$H$2:$H$11000,H1834,OUT!$D$2:$D$11000,"Out",OUT!$E$2:$E$11000,"Zela")</f>
        <v>0</v>
      </c>
      <c r="T1834" s="52">
        <f ca="1">SUMIFS(OUT!$F$2:$F$11000,OUT!$H$2:$H$11000,H1834,OUT!$D$2:$D$11000,"Out",OUT!$E$2:$E$11000,"Iqbal")</f>
        <v>0</v>
      </c>
    </row>
    <row r="1835" spans="7:20" x14ac:dyDescent="0.2">
      <c r="G1835" s="50"/>
      <c r="H1835" s="51" t="str">
        <f t="shared" si="0"/>
        <v/>
      </c>
      <c r="I1835" s="52" t="e">
        <f>SUMIFS(OUT!$F$2:$F$11000,OUT!$H$2:$H$11000,H1835,OUT!$D$2:$D$101007,"In")</f>
        <v>#VALUE!</v>
      </c>
      <c r="J1835" s="52">
        <f ca="1">SUMIFS(OUT!$F$2:$F$11000,OUT!$H$2:$H$11000,H1835,OUT!$D$2:$D$11000,"Out")</f>
        <v>0</v>
      </c>
      <c r="K1835" s="52">
        <f ca="1">SUMIFS(OUT!$F$2:$F$11000,OUT!$H$2:$H$11000,H1835,OUT!$D$2:$D$11000,"Out",OUT!$E$2:$E$11000,"Fix")</f>
        <v>0</v>
      </c>
      <c r="L1835" s="52">
        <f ca="1">SUMIFS(OUT!$F$2:$F$11000,OUT!$H$2:$H$11000,H1835,OUT!$D$2:$D$11000,"Out",OUT!$E$2:$E$11000,"Bathroom")</f>
        <v>0</v>
      </c>
      <c r="M1835" s="52">
        <f ca="1">SUMIFS(OUT!$F$2:$F$11000,OUT!$H$2:$H$11000,H1835,OUT!$D$2:$D$11000,"Out",OUT!$E$2:$E$11000,"Alfa")</f>
        <v>0</v>
      </c>
      <c r="N1835" s="52" t="e">
        <f>SUMIFS(OUT!$F$2:$F$11000,OUT!$H$2:$H$101007,H1835,OUT!$D$2:$D$11000,"Out",OUT!$E$2:$E$11000,"Jajan")</f>
        <v>#VALUE!</v>
      </c>
      <c r="O1835" s="52">
        <f ca="1">SUMIFS(OUT!$F$2:$F$11000,OUT!$H$2:$H$11000,H1835,OUT!$D$2:$D$11000,"Out",OUT!$E$2:$E$11000,"Kitchen")</f>
        <v>0</v>
      </c>
      <c r="P1835" s="52">
        <f ca="1">SUMIFS(OUT!$F$2:$F$11000,OUT!$H$2:$H$11000,H1835,OUT!$D$2:$D$11000,"Out",OUT!$E$2:$E$11000,"Loandry")</f>
        <v>0</v>
      </c>
      <c r="Q1835" s="52">
        <f ca="1">SUMIFS(OUT!$F$2:$F$11000,OUT!$H$2:$H$11000,H1835,OUT!$D$2:$D$11000,"Out",OUT!$E$2:$E$11000,"Mio")</f>
        <v>0</v>
      </c>
      <c r="R1835" s="52">
        <f ca="1">SUMIFS(OUT!$F$2:$F$11000,OUT!$H$2:$H$11000,H1835,OUT!$D$2:$D$11000,"Out",OUT!$E$2:$E$11000,"Sedekah")</f>
        <v>0</v>
      </c>
      <c r="S1835" s="52">
        <f ca="1">SUMIFS(OUT!$F$2:$F$11000,OUT!$H$2:$H$11000,H1835,OUT!$D$2:$D$11000,"Out",OUT!$E$2:$E$11000,"Zela")</f>
        <v>0</v>
      </c>
      <c r="T1835" s="52">
        <f ca="1">SUMIFS(OUT!$F$2:$F$11000,OUT!$H$2:$H$11000,H1835,OUT!$D$2:$D$11000,"Out",OUT!$E$2:$E$11000,"Iqbal")</f>
        <v>0</v>
      </c>
    </row>
    <row r="1836" spans="7:20" x14ac:dyDescent="0.2">
      <c r="G1836" s="50"/>
      <c r="H1836" s="51" t="str">
        <f t="shared" si="0"/>
        <v/>
      </c>
      <c r="I1836" s="52" t="e">
        <f>SUMIFS(OUT!$F$2:$F$11000,OUT!$H$2:$H$11000,H1836,OUT!$D$2:$D$101007,"In")</f>
        <v>#VALUE!</v>
      </c>
      <c r="J1836" s="52">
        <f ca="1">SUMIFS(OUT!$F$2:$F$11000,OUT!$H$2:$H$11000,H1836,OUT!$D$2:$D$11000,"Out")</f>
        <v>0</v>
      </c>
      <c r="K1836" s="52">
        <f ca="1">SUMIFS(OUT!$F$2:$F$11000,OUT!$H$2:$H$11000,H1836,OUT!$D$2:$D$11000,"Out",OUT!$E$2:$E$11000,"Fix")</f>
        <v>0</v>
      </c>
      <c r="L1836" s="52">
        <f ca="1">SUMIFS(OUT!$F$2:$F$11000,OUT!$H$2:$H$11000,H1836,OUT!$D$2:$D$11000,"Out",OUT!$E$2:$E$11000,"Bathroom")</f>
        <v>0</v>
      </c>
      <c r="M1836" s="52">
        <f ca="1">SUMIFS(OUT!$F$2:$F$11000,OUT!$H$2:$H$11000,H1836,OUT!$D$2:$D$11000,"Out",OUT!$E$2:$E$11000,"Alfa")</f>
        <v>0</v>
      </c>
      <c r="N1836" s="52" t="e">
        <f>SUMIFS(OUT!$F$2:$F$11000,OUT!$H$2:$H$101007,H1836,OUT!$D$2:$D$11000,"Out",OUT!$E$2:$E$11000,"Jajan")</f>
        <v>#VALUE!</v>
      </c>
      <c r="O1836" s="52">
        <f ca="1">SUMIFS(OUT!$F$2:$F$11000,OUT!$H$2:$H$11000,H1836,OUT!$D$2:$D$11000,"Out",OUT!$E$2:$E$11000,"Kitchen")</f>
        <v>0</v>
      </c>
      <c r="P1836" s="52">
        <f ca="1">SUMIFS(OUT!$F$2:$F$11000,OUT!$H$2:$H$11000,H1836,OUT!$D$2:$D$11000,"Out",OUT!$E$2:$E$11000,"Loandry")</f>
        <v>0</v>
      </c>
      <c r="Q1836" s="52">
        <f ca="1">SUMIFS(OUT!$F$2:$F$11000,OUT!$H$2:$H$11000,H1836,OUT!$D$2:$D$11000,"Out",OUT!$E$2:$E$11000,"Mio")</f>
        <v>0</v>
      </c>
      <c r="R1836" s="52">
        <f ca="1">SUMIFS(OUT!$F$2:$F$11000,OUT!$H$2:$H$11000,H1836,OUT!$D$2:$D$11000,"Out",OUT!$E$2:$E$11000,"Sedekah")</f>
        <v>0</v>
      </c>
      <c r="S1836" s="52">
        <f ca="1">SUMIFS(OUT!$F$2:$F$11000,OUT!$H$2:$H$11000,H1836,OUT!$D$2:$D$11000,"Out",OUT!$E$2:$E$11000,"Zela")</f>
        <v>0</v>
      </c>
      <c r="T1836" s="52">
        <f ca="1">SUMIFS(OUT!$F$2:$F$11000,OUT!$H$2:$H$11000,H1836,OUT!$D$2:$D$11000,"Out",OUT!$E$2:$E$11000,"Iqbal")</f>
        <v>0</v>
      </c>
    </row>
    <row r="1837" spans="7:20" x14ac:dyDescent="0.2">
      <c r="G1837" s="50"/>
      <c r="H1837" s="51" t="str">
        <f t="shared" si="0"/>
        <v/>
      </c>
      <c r="I1837" s="52" t="e">
        <f>SUMIFS(OUT!$F$2:$F$11000,OUT!$H$2:$H$11000,H1837,OUT!$D$2:$D$101007,"In")</f>
        <v>#VALUE!</v>
      </c>
      <c r="J1837" s="52">
        <f ca="1">SUMIFS(OUT!$F$2:$F$11000,OUT!$H$2:$H$11000,H1837,OUT!$D$2:$D$11000,"Out")</f>
        <v>0</v>
      </c>
      <c r="K1837" s="52">
        <f ca="1">SUMIFS(OUT!$F$2:$F$11000,OUT!$H$2:$H$11000,H1837,OUT!$D$2:$D$11000,"Out",OUT!$E$2:$E$11000,"Fix")</f>
        <v>0</v>
      </c>
      <c r="L1837" s="52">
        <f ca="1">SUMIFS(OUT!$F$2:$F$11000,OUT!$H$2:$H$11000,H1837,OUT!$D$2:$D$11000,"Out",OUT!$E$2:$E$11000,"Bathroom")</f>
        <v>0</v>
      </c>
      <c r="M1837" s="52">
        <f ca="1">SUMIFS(OUT!$F$2:$F$11000,OUT!$H$2:$H$11000,H1837,OUT!$D$2:$D$11000,"Out",OUT!$E$2:$E$11000,"Alfa")</f>
        <v>0</v>
      </c>
      <c r="N1837" s="52" t="e">
        <f>SUMIFS(OUT!$F$2:$F$11000,OUT!$H$2:$H$101007,H1837,OUT!$D$2:$D$11000,"Out",OUT!$E$2:$E$11000,"Jajan")</f>
        <v>#VALUE!</v>
      </c>
      <c r="O1837" s="52">
        <f ca="1">SUMIFS(OUT!$F$2:$F$11000,OUT!$H$2:$H$11000,H1837,OUT!$D$2:$D$11000,"Out",OUT!$E$2:$E$11000,"Kitchen")</f>
        <v>0</v>
      </c>
      <c r="P1837" s="52">
        <f ca="1">SUMIFS(OUT!$F$2:$F$11000,OUT!$H$2:$H$11000,H1837,OUT!$D$2:$D$11000,"Out",OUT!$E$2:$E$11000,"Loandry")</f>
        <v>0</v>
      </c>
      <c r="Q1837" s="52">
        <f ca="1">SUMIFS(OUT!$F$2:$F$11000,OUT!$H$2:$H$11000,H1837,OUT!$D$2:$D$11000,"Out",OUT!$E$2:$E$11000,"Mio")</f>
        <v>0</v>
      </c>
      <c r="R1837" s="52">
        <f ca="1">SUMIFS(OUT!$F$2:$F$11000,OUT!$H$2:$H$11000,H1837,OUT!$D$2:$D$11000,"Out",OUT!$E$2:$E$11000,"Sedekah")</f>
        <v>0</v>
      </c>
      <c r="S1837" s="52">
        <f ca="1">SUMIFS(OUT!$F$2:$F$11000,OUT!$H$2:$H$11000,H1837,OUT!$D$2:$D$11000,"Out",OUT!$E$2:$E$11000,"Zela")</f>
        <v>0</v>
      </c>
      <c r="T1837" s="52">
        <f ca="1">SUMIFS(OUT!$F$2:$F$11000,OUT!$H$2:$H$11000,H1837,OUT!$D$2:$D$11000,"Out",OUT!$E$2:$E$11000,"Iqbal")</f>
        <v>0</v>
      </c>
    </row>
    <row r="1838" spans="7:20" x14ac:dyDescent="0.2">
      <c r="G1838" s="50"/>
      <c r="H1838" s="51" t="str">
        <f t="shared" si="0"/>
        <v/>
      </c>
      <c r="I1838" s="52" t="e">
        <f>SUMIFS(OUT!$F$2:$F$11000,OUT!$H$2:$H$11000,H1838,OUT!$D$2:$D$101007,"In")</f>
        <v>#VALUE!</v>
      </c>
      <c r="J1838" s="52">
        <f ca="1">SUMIFS(OUT!$F$2:$F$11000,OUT!$H$2:$H$11000,H1838,OUT!$D$2:$D$11000,"Out")</f>
        <v>0</v>
      </c>
      <c r="K1838" s="52">
        <f ca="1">SUMIFS(OUT!$F$2:$F$11000,OUT!$H$2:$H$11000,H1838,OUT!$D$2:$D$11000,"Out",OUT!$E$2:$E$11000,"Fix")</f>
        <v>0</v>
      </c>
      <c r="L1838" s="52">
        <f ca="1">SUMIFS(OUT!$F$2:$F$11000,OUT!$H$2:$H$11000,H1838,OUT!$D$2:$D$11000,"Out",OUT!$E$2:$E$11000,"Bathroom")</f>
        <v>0</v>
      </c>
      <c r="M1838" s="52">
        <f ca="1">SUMIFS(OUT!$F$2:$F$11000,OUT!$H$2:$H$11000,H1838,OUT!$D$2:$D$11000,"Out",OUT!$E$2:$E$11000,"Alfa")</f>
        <v>0</v>
      </c>
      <c r="N1838" s="52" t="e">
        <f>SUMIFS(OUT!$F$2:$F$11000,OUT!$H$2:$H$101007,H1838,OUT!$D$2:$D$11000,"Out",OUT!$E$2:$E$11000,"Jajan")</f>
        <v>#VALUE!</v>
      </c>
      <c r="O1838" s="52">
        <f ca="1">SUMIFS(OUT!$F$2:$F$11000,OUT!$H$2:$H$11000,H1838,OUT!$D$2:$D$11000,"Out",OUT!$E$2:$E$11000,"Kitchen")</f>
        <v>0</v>
      </c>
      <c r="P1838" s="52">
        <f ca="1">SUMIFS(OUT!$F$2:$F$11000,OUT!$H$2:$H$11000,H1838,OUT!$D$2:$D$11000,"Out",OUT!$E$2:$E$11000,"Loandry")</f>
        <v>0</v>
      </c>
      <c r="Q1838" s="52">
        <f ca="1">SUMIFS(OUT!$F$2:$F$11000,OUT!$H$2:$H$11000,H1838,OUT!$D$2:$D$11000,"Out",OUT!$E$2:$E$11000,"Mio")</f>
        <v>0</v>
      </c>
      <c r="R1838" s="52">
        <f ca="1">SUMIFS(OUT!$F$2:$F$11000,OUT!$H$2:$H$11000,H1838,OUT!$D$2:$D$11000,"Out",OUT!$E$2:$E$11000,"Sedekah")</f>
        <v>0</v>
      </c>
      <c r="S1838" s="52">
        <f ca="1">SUMIFS(OUT!$F$2:$F$11000,OUT!$H$2:$H$11000,H1838,OUT!$D$2:$D$11000,"Out",OUT!$E$2:$E$11000,"Zela")</f>
        <v>0</v>
      </c>
      <c r="T1838" s="52">
        <f ca="1">SUMIFS(OUT!$F$2:$F$11000,OUT!$H$2:$H$11000,H1838,OUT!$D$2:$D$11000,"Out",OUT!$E$2:$E$11000,"Iqbal")</f>
        <v>0</v>
      </c>
    </row>
    <row r="1839" spans="7:20" x14ac:dyDescent="0.2">
      <c r="G1839" s="50"/>
      <c r="H1839" s="51" t="str">
        <f t="shared" si="0"/>
        <v/>
      </c>
      <c r="I1839" s="52" t="e">
        <f>SUMIFS(OUT!$F$2:$F$11000,OUT!$H$2:$H$11000,H1839,OUT!$D$2:$D$101007,"In")</f>
        <v>#VALUE!</v>
      </c>
      <c r="J1839" s="52">
        <f ca="1">SUMIFS(OUT!$F$2:$F$11000,OUT!$H$2:$H$11000,H1839,OUT!$D$2:$D$11000,"Out")</f>
        <v>0</v>
      </c>
      <c r="K1839" s="52">
        <f ca="1">SUMIFS(OUT!$F$2:$F$11000,OUT!$H$2:$H$11000,H1839,OUT!$D$2:$D$11000,"Out",OUT!$E$2:$E$11000,"Fix")</f>
        <v>0</v>
      </c>
      <c r="L1839" s="52">
        <f ca="1">SUMIFS(OUT!$F$2:$F$11000,OUT!$H$2:$H$11000,H1839,OUT!$D$2:$D$11000,"Out",OUT!$E$2:$E$11000,"Bathroom")</f>
        <v>0</v>
      </c>
      <c r="M1839" s="52">
        <f ca="1">SUMIFS(OUT!$F$2:$F$11000,OUT!$H$2:$H$11000,H1839,OUT!$D$2:$D$11000,"Out",OUT!$E$2:$E$11000,"Alfa")</f>
        <v>0</v>
      </c>
      <c r="N1839" s="52" t="e">
        <f>SUMIFS(OUT!$F$2:$F$11000,OUT!$H$2:$H$101007,H1839,OUT!$D$2:$D$11000,"Out",OUT!$E$2:$E$11000,"Jajan")</f>
        <v>#VALUE!</v>
      </c>
      <c r="O1839" s="52">
        <f ca="1">SUMIFS(OUT!$F$2:$F$11000,OUT!$H$2:$H$11000,H1839,OUT!$D$2:$D$11000,"Out",OUT!$E$2:$E$11000,"Kitchen")</f>
        <v>0</v>
      </c>
      <c r="P1839" s="52">
        <f ca="1">SUMIFS(OUT!$F$2:$F$11000,OUT!$H$2:$H$11000,H1839,OUT!$D$2:$D$11000,"Out",OUT!$E$2:$E$11000,"Loandry")</f>
        <v>0</v>
      </c>
      <c r="Q1839" s="52">
        <f ca="1">SUMIFS(OUT!$F$2:$F$11000,OUT!$H$2:$H$11000,H1839,OUT!$D$2:$D$11000,"Out",OUT!$E$2:$E$11000,"Mio")</f>
        <v>0</v>
      </c>
      <c r="R1839" s="52">
        <f ca="1">SUMIFS(OUT!$F$2:$F$11000,OUT!$H$2:$H$11000,H1839,OUT!$D$2:$D$11000,"Out",OUT!$E$2:$E$11000,"Sedekah")</f>
        <v>0</v>
      </c>
      <c r="S1839" s="52">
        <f ca="1">SUMIFS(OUT!$F$2:$F$11000,OUT!$H$2:$H$11000,H1839,OUT!$D$2:$D$11000,"Out",OUT!$E$2:$E$11000,"Zela")</f>
        <v>0</v>
      </c>
      <c r="T1839" s="52">
        <f ca="1">SUMIFS(OUT!$F$2:$F$11000,OUT!$H$2:$H$11000,H1839,OUT!$D$2:$D$11000,"Out",OUT!$E$2:$E$11000,"Iqbal")</f>
        <v>0</v>
      </c>
    </row>
    <row r="1840" spans="7:20" x14ac:dyDescent="0.2">
      <c r="G1840" s="50"/>
      <c r="H1840" s="51" t="str">
        <f t="shared" si="0"/>
        <v/>
      </c>
      <c r="I1840" s="52" t="e">
        <f>SUMIFS(OUT!$F$2:$F$11000,OUT!$H$2:$H$11000,H1840,OUT!$D$2:$D$101007,"In")</f>
        <v>#VALUE!</v>
      </c>
      <c r="J1840" s="52">
        <f ca="1">SUMIFS(OUT!$F$2:$F$11000,OUT!$H$2:$H$11000,H1840,OUT!$D$2:$D$11000,"Out")</f>
        <v>0</v>
      </c>
      <c r="K1840" s="52">
        <f ca="1">SUMIFS(OUT!$F$2:$F$11000,OUT!$H$2:$H$11000,H1840,OUT!$D$2:$D$11000,"Out",OUT!$E$2:$E$11000,"Fix")</f>
        <v>0</v>
      </c>
      <c r="L1840" s="52">
        <f ca="1">SUMIFS(OUT!$F$2:$F$11000,OUT!$H$2:$H$11000,H1840,OUT!$D$2:$D$11000,"Out",OUT!$E$2:$E$11000,"Bathroom")</f>
        <v>0</v>
      </c>
      <c r="M1840" s="52">
        <f ca="1">SUMIFS(OUT!$F$2:$F$11000,OUT!$H$2:$H$11000,H1840,OUT!$D$2:$D$11000,"Out",OUT!$E$2:$E$11000,"Alfa")</f>
        <v>0</v>
      </c>
      <c r="N1840" s="52" t="e">
        <f>SUMIFS(OUT!$F$2:$F$11000,OUT!$H$2:$H$101007,H1840,OUT!$D$2:$D$11000,"Out",OUT!$E$2:$E$11000,"Jajan")</f>
        <v>#VALUE!</v>
      </c>
      <c r="O1840" s="52">
        <f ca="1">SUMIFS(OUT!$F$2:$F$11000,OUT!$H$2:$H$11000,H1840,OUT!$D$2:$D$11000,"Out",OUT!$E$2:$E$11000,"Kitchen")</f>
        <v>0</v>
      </c>
      <c r="P1840" s="52">
        <f ca="1">SUMIFS(OUT!$F$2:$F$11000,OUT!$H$2:$H$11000,H1840,OUT!$D$2:$D$11000,"Out",OUT!$E$2:$E$11000,"Loandry")</f>
        <v>0</v>
      </c>
      <c r="Q1840" s="52">
        <f ca="1">SUMIFS(OUT!$F$2:$F$11000,OUT!$H$2:$H$11000,H1840,OUT!$D$2:$D$11000,"Out",OUT!$E$2:$E$11000,"Mio")</f>
        <v>0</v>
      </c>
      <c r="R1840" s="52">
        <f ca="1">SUMIFS(OUT!$F$2:$F$11000,OUT!$H$2:$H$11000,H1840,OUT!$D$2:$D$11000,"Out",OUT!$E$2:$E$11000,"Sedekah")</f>
        <v>0</v>
      </c>
      <c r="S1840" s="52">
        <f ca="1">SUMIFS(OUT!$F$2:$F$11000,OUT!$H$2:$H$11000,H1840,OUT!$D$2:$D$11000,"Out",OUT!$E$2:$E$11000,"Zela")</f>
        <v>0</v>
      </c>
      <c r="T1840" s="52">
        <f ca="1">SUMIFS(OUT!$F$2:$F$11000,OUT!$H$2:$H$11000,H1840,OUT!$D$2:$D$11000,"Out",OUT!$E$2:$E$11000,"Iqbal")</f>
        <v>0</v>
      </c>
    </row>
    <row r="1841" spans="7:20" x14ac:dyDescent="0.2">
      <c r="G1841" s="50"/>
      <c r="H1841" s="51" t="str">
        <f t="shared" si="0"/>
        <v/>
      </c>
      <c r="I1841" s="52" t="e">
        <f>SUMIFS(OUT!$F$2:$F$11000,OUT!$H$2:$H$11000,H1841,OUT!$D$2:$D$101007,"In")</f>
        <v>#VALUE!</v>
      </c>
      <c r="J1841" s="52">
        <f ca="1">SUMIFS(OUT!$F$2:$F$11000,OUT!$H$2:$H$11000,H1841,OUT!$D$2:$D$11000,"Out")</f>
        <v>0</v>
      </c>
      <c r="K1841" s="52">
        <f ca="1">SUMIFS(OUT!$F$2:$F$11000,OUT!$H$2:$H$11000,H1841,OUT!$D$2:$D$11000,"Out",OUT!$E$2:$E$11000,"Fix")</f>
        <v>0</v>
      </c>
      <c r="L1841" s="52">
        <f ca="1">SUMIFS(OUT!$F$2:$F$11000,OUT!$H$2:$H$11000,H1841,OUT!$D$2:$D$11000,"Out",OUT!$E$2:$E$11000,"Bathroom")</f>
        <v>0</v>
      </c>
      <c r="M1841" s="52">
        <f ca="1">SUMIFS(OUT!$F$2:$F$11000,OUT!$H$2:$H$11000,H1841,OUT!$D$2:$D$11000,"Out",OUT!$E$2:$E$11000,"Alfa")</f>
        <v>0</v>
      </c>
      <c r="N1841" s="52" t="e">
        <f>SUMIFS(OUT!$F$2:$F$11000,OUT!$H$2:$H$101007,H1841,OUT!$D$2:$D$11000,"Out",OUT!$E$2:$E$11000,"Jajan")</f>
        <v>#VALUE!</v>
      </c>
      <c r="O1841" s="52">
        <f ca="1">SUMIFS(OUT!$F$2:$F$11000,OUT!$H$2:$H$11000,H1841,OUT!$D$2:$D$11000,"Out",OUT!$E$2:$E$11000,"Kitchen")</f>
        <v>0</v>
      </c>
      <c r="P1841" s="52">
        <f ca="1">SUMIFS(OUT!$F$2:$F$11000,OUT!$H$2:$H$11000,H1841,OUT!$D$2:$D$11000,"Out",OUT!$E$2:$E$11000,"Loandry")</f>
        <v>0</v>
      </c>
      <c r="Q1841" s="52">
        <f ca="1">SUMIFS(OUT!$F$2:$F$11000,OUT!$H$2:$H$11000,H1841,OUT!$D$2:$D$11000,"Out",OUT!$E$2:$E$11000,"Mio")</f>
        <v>0</v>
      </c>
      <c r="R1841" s="52">
        <f ca="1">SUMIFS(OUT!$F$2:$F$11000,OUT!$H$2:$H$11000,H1841,OUT!$D$2:$D$11000,"Out",OUT!$E$2:$E$11000,"Sedekah")</f>
        <v>0</v>
      </c>
      <c r="S1841" s="52">
        <f ca="1">SUMIFS(OUT!$F$2:$F$11000,OUT!$H$2:$H$11000,H1841,OUT!$D$2:$D$11000,"Out",OUT!$E$2:$E$11000,"Zela")</f>
        <v>0</v>
      </c>
      <c r="T1841" s="52">
        <f ca="1">SUMIFS(OUT!$F$2:$F$11000,OUT!$H$2:$H$11000,H1841,OUT!$D$2:$D$11000,"Out",OUT!$E$2:$E$11000,"Iqbal")</f>
        <v>0</v>
      </c>
    </row>
    <row r="1842" spans="7:20" x14ac:dyDescent="0.2">
      <c r="G1842" s="50"/>
      <c r="H1842" s="51" t="str">
        <f t="shared" si="0"/>
        <v/>
      </c>
      <c r="I1842" s="52" t="e">
        <f>SUMIFS(OUT!$F$2:$F$11000,OUT!$H$2:$H$11000,H1842,OUT!$D$2:$D$101007,"In")</f>
        <v>#VALUE!</v>
      </c>
      <c r="J1842" s="52">
        <f ca="1">SUMIFS(OUT!$F$2:$F$11000,OUT!$H$2:$H$11000,H1842,OUT!$D$2:$D$11000,"Out")</f>
        <v>0</v>
      </c>
      <c r="K1842" s="52">
        <f ca="1">SUMIFS(OUT!$F$2:$F$11000,OUT!$H$2:$H$11000,H1842,OUT!$D$2:$D$11000,"Out",OUT!$E$2:$E$11000,"Fix")</f>
        <v>0</v>
      </c>
      <c r="L1842" s="52">
        <f ca="1">SUMIFS(OUT!$F$2:$F$11000,OUT!$H$2:$H$11000,H1842,OUT!$D$2:$D$11000,"Out",OUT!$E$2:$E$11000,"Bathroom")</f>
        <v>0</v>
      </c>
      <c r="M1842" s="52">
        <f ca="1">SUMIFS(OUT!$F$2:$F$11000,OUT!$H$2:$H$11000,H1842,OUT!$D$2:$D$11000,"Out",OUT!$E$2:$E$11000,"Alfa")</f>
        <v>0</v>
      </c>
      <c r="N1842" s="52" t="e">
        <f>SUMIFS(OUT!$F$2:$F$11000,OUT!$H$2:$H$101007,H1842,OUT!$D$2:$D$11000,"Out",OUT!$E$2:$E$11000,"Jajan")</f>
        <v>#VALUE!</v>
      </c>
      <c r="O1842" s="52">
        <f ca="1">SUMIFS(OUT!$F$2:$F$11000,OUT!$H$2:$H$11000,H1842,OUT!$D$2:$D$11000,"Out",OUT!$E$2:$E$11000,"Kitchen")</f>
        <v>0</v>
      </c>
      <c r="P1842" s="52">
        <f ca="1">SUMIFS(OUT!$F$2:$F$11000,OUT!$H$2:$H$11000,H1842,OUT!$D$2:$D$11000,"Out",OUT!$E$2:$E$11000,"Loandry")</f>
        <v>0</v>
      </c>
      <c r="Q1842" s="52">
        <f ca="1">SUMIFS(OUT!$F$2:$F$11000,OUT!$H$2:$H$11000,H1842,OUT!$D$2:$D$11000,"Out",OUT!$E$2:$E$11000,"Mio")</f>
        <v>0</v>
      </c>
      <c r="R1842" s="52">
        <f ca="1">SUMIFS(OUT!$F$2:$F$11000,OUT!$H$2:$H$11000,H1842,OUT!$D$2:$D$11000,"Out",OUT!$E$2:$E$11000,"Sedekah")</f>
        <v>0</v>
      </c>
      <c r="S1842" s="52">
        <f ca="1">SUMIFS(OUT!$F$2:$F$11000,OUT!$H$2:$H$11000,H1842,OUT!$D$2:$D$11000,"Out",OUT!$E$2:$E$11000,"Zela")</f>
        <v>0</v>
      </c>
      <c r="T1842" s="52">
        <f ca="1">SUMIFS(OUT!$F$2:$F$11000,OUT!$H$2:$H$11000,H1842,OUT!$D$2:$D$11000,"Out",OUT!$E$2:$E$11000,"Iqbal")</f>
        <v>0</v>
      </c>
    </row>
    <row r="1843" spans="7:20" x14ac:dyDescent="0.2">
      <c r="G1843" s="50"/>
      <c r="H1843" s="51" t="str">
        <f t="shared" si="0"/>
        <v/>
      </c>
      <c r="I1843" s="52" t="e">
        <f>SUMIFS(OUT!$F$2:$F$11000,OUT!$H$2:$H$11000,H1843,OUT!$D$2:$D$101007,"In")</f>
        <v>#VALUE!</v>
      </c>
      <c r="J1843" s="52">
        <f ca="1">SUMIFS(OUT!$F$2:$F$11000,OUT!$H$2:$H$11000,H1843,OUT!$D$2:$D$11000,"Out")</f>
        <v>0</v>
      </c>
      <c r="K1843" s="52">
        <f ca="1">SUMIFS(OUT!$F$2:$F$11000,OUT!$H$2:$H$11000,H1843,OUT!$D$2:$D$11000,"Out",OUT!$E$2:$E$11000,"Fix")</f>
        <v>0</v>
      </c>
      <c r="L1843" s="52">
        <f ca="1">SUMIFS(OUT!$F$2:$F$11000,OUT!$H$2:$H$11000,H1843,OUT!$D$2:$D$11000,"Out",OUT!$E$2:$E$11000,"Bathroom")</f>
        <v>0</v>
      </c>
      <c r="M1843" s="52">
        <f ca="1">SUMIFS(OUT!$F$2:$F$11000,OUT!$H$2:$H$11000,H1843,OUT!$D$2:$D$11000,"Out",OUT!$E$2:$E$11000,"Alfa")</f>
        <v>0</v>
      </c>
      <c r="N1843" s="52" t="e">
        <f>SUMIFS(OUT!$F$2:$F$11000,OUT!$H$2:$H$101007,H1843,OUT!$D$2:$D$11000,"Out",OUT!$E$2:$E$11000,"Jajan")</f>
        <v>#VALUE!</v>
      </c>
      <c r="O1843" s="52">
        <f ca="1">SUMIFS(OUT!$F$2:$F$11000,OUT!$H$2:$H$11000,H1843,OUT!$D$2:$D$11000,"Out",OUT!$E$2:$E$11000,"Kitchen")</f>
        <v>0</v>
      </c>
      <c r="P1843" s="52">
        <f ca="1">SUMIFS(OUT!$F$2:$F$11000,OUT!$H$2:$H$11000,H1843,OUT!$D$2:$D$11000,"Out",OUT!$E$2:$E$11000,"Loandry")</f>
        <v>0</v>
      </c>
      <c r="Q1843" s="52">
        <f ca="1">SUMIFS(OUT!$F$2:$F$11000,OUT!$H$2:$H$11000,H1843,OUT!$D$2:$D$11000,"Out",OUT!$E$2:$E$11000,"Mio")</f>
        <v>0</v>
      </c>
      <c r="R1843" s="52">
        <f ca="1">SUMIFS(OUT!$F$2:$F$11000,OUT!$H$2:$H$11000,H1843,OUT!$D$2:$D$11000,"Out",OUT!$E$2:$E$11000,"Sedekah")</f>
        <v>0</v>
      </c>
      <c r="S1843" s="52">
        <f ca="1">SUMIFS(OUT!$F$2:$F$11000,OUT!$H$2:$H$11000,H1843,OUT!$D$2:$D$11000,"Out",OUT!$E$2:$E$11000,"Zela")</f>
        <v>0</v>
      </c>
      <c r="T1843" s="52">
        <f ca="1">SUMIFS(OUT!$F$2:$F$11000,OUT!$H$2:$H$11000,H1843,OUT!$D$2:$D$11000,"Out",OUT!$E$2:$E$11000,"Iqbal")</f>
        <v>0</v>
      </c>
    </row>
    <row r="1844" spans="7:20" x14ac:dyDescent="0.2">
      <c r="G1844" s="50"/>
      <c r="H1844" s="51" t="str">
        <f t="shared" si="0"/>
        <v/>
      </c>
      <c r="I1844" s="52" t="e">
        <f>SUMIFS(OUT!$F$2:$F$11000,OUT!$H$2:$H$11000,H1844,OUT!$D$2:$D$101007,"In")</f>
        <v>#VALUE!</v>
      </c>
      <c r="J1844" s="52">
        <f ca="1">SUMIFS(OUT!$F$2:$F$11000,OUT!$H$2:$H$11000,H1844,OUT!$D$2:$D$11000,"Out")</f>
        <v>0</v>
      </c>
      <c r="K1844" s="52">
        <f ca="1">SUMIFS(OUT!$F$2:$F$11000,OUT!$H$2:$H$11000,H1844,OUT!$D$2:$D$11000,"Out",OUT!$E$2:$E$11000,"Fix")</f>
        <v>0</v>
      </c>
      <c r="L1844" s="52">
        <f ca="1">SUMIFS(OUT!$F$2:$F$11000,OUT!$H$2:$H$11000,H1844,OUT!$D$2:$D$11000,"Out",OUT!$E$2:$E$11000,"Bathroom")</f>
        <v>0</v>
      </c>
      <c r="M1844" s="52">
        <f ca="1">SUMIFS(OUT!$F$2:$F$11000,OUT!$H$2:$H$11000,H1844,OUT!$D$2:$D$11000,"Out",OUT!$E$2:$E$11000,"Alfa")</f>
        <v>0</v>
      </c>
      <c r="N1844" s="52" t="e">
        <f>SUMIFS(OUT!$F$2:$F$11000,OUT!$H$2:$H$101007,H1844,OUT!$D$2:$D$11000,"Out",OUT!$E$2:$E$11000,"Jajan")</f>
        <v>#VALUE!</v>
      </c>
      <c r="O1844" s="52">
        <f ca="1">SUMIFS(OUT!$F$2:$F$11000,OUT!$H$2:$H$11000,H1844,OUT!$D$2:$D$11000,"Out",OUT!$E$2:$E$11000,"Kitchen")</f>
        <v>0</v>
      </c>
      <c r="P1844" s="52">
        <f ca="1">SUMIFS(OUT!$F$2:$F$11000,OUT!$H$2:$H$11000,H1844,OUT!$D$2:$D$11000,"Out",OUT!$E$2:$E$11000,"Loandry")</f>
        <v>0</v>
      </c>
      <c r="Q1844" s="52">
        <f ca="1">SUMIFS(OUT!$F$2:$F$11000,OUT!$H$2:$H$11000,H1844,OUT!$D$2:$D$11000,"Out",OUT!$E$2:$E$11000,"Mio")</f>
        <v>0</v>
      </c>
      <c r="R1844" s="52">
        <f ca="1">SUMIFS(OUT!$F$2:$F$11000,OUT!$H$2:$H$11000,H1844,OUT!$D$2:$D$11000,"Out",OUT!$E$2:$E$11000,"Sedekah")</f>
        <v>0</v>
      </c>
      <c r="S1844" s="52">
        <f ca="1">SUMIFS(OUT!$F$2:$F$11000,OUT!$H$2:$H$11000,H1844,OUT!$D$2:$D$11000,"Out",OUT!$E$2:$E$11000,"Zela")</f>
        <v>0</v>
      </c>
      <c r="T1844" s="52">
        <f ca="1">SUMIFS(OUT!$F$2:$F$11000,OUT!$H$2:$H$11000,H1844,OUT!$D$2:$D$11000,"Out",OUT!$E$2:$E$11000,"Iqbal")</f>
        <v>0</v>
      </c>
    </row>
    <row r="1845" spans="7:20" x14ac:dyDescent="0.2">
      <c r="G1845" s="50"/>
      <c r="H1845" s="51" t="str">
        <f t="shared" si="0"/>
        <v/>
      </c>
      <c r="I1845" s="52" t="e">
        <f>SUMIFS(OUT!$F$2:$F$11000,OUT!$H$2:$H$11000,H1845,OUT!$D$2:$D$101007,"In")</f>
        <v>#VALUE!</v>
      </c>
      <c r="J1845" s="52">
        <f ca="1">SUMIFS(OUT!$F$2:$F$11000,OUT!$H$2:$H$11000,H1845,OUT!$D$2:$D$11000,"Out")</f>
        <v>0</v>
      </c>
      <c r="K1845" s="52">
        <f ca="1">SUMIFS(OUT!$F$2:$F$11000,OUT!$H$2:$H$11000,H1845,OUT!$D$2:$D$11000,"Out",OUT!$E$2:$E$11000,"Fix")</f>
        <v>0</v>
      </c>
      <c r="L1845" s="52">
        <f ca="1">SUMIFS(OUT!$F$2:$F$11000,OUT!$H$2:$H$11000,H1845,OUT!$D$2:$D$11000,"Out",OUT!$E$2:$E$11000,"Bathroom")</f>
        <v>0</v>
      </c>
      <c r="M1845" s="52">
        <f ca="1">SUMIFS(OUT!$F$2:$F$11000,OUT!$H$2:$H$11000,H1845,OUT!$D$2:$D$11000,"Out",OUT!$E$2:$E$11000,"Alfa")</f>
        <v>0</v>
      </c>
      <c r="N1845" s="52" t="e">
        <f>SUMIFS(OUT!$F$2:$F$11000,OUT!$H$2:$H$101007,H1845,OUT!$D$2:$D$11000,"Out",OUT!$E$2:$E$11000,"Jajan")</f>
        <v>#VALUE!</v>
      </c>
      <c r="O1845" s="52">
        <f ca="1">SUMIFS(OUT!$F$2:$F$11000,OUT!$H$2:$H$11000,H1845,OUT!$D$2:$D$11000,"Out",OUT!$E$2:$E$11000,"Kitchen")</f>
        <v>0</v>
      </c>
      <c r="P1845" s="52">
        <f ca="1">SUMIFS(OUT!$F$2:$F$11000,OUT!$H$2:$H$11000,H1845,OUT!$D$2:$D$11000,"Out",OUT!$E$2:$E$11000,"Loandry")</f>
        <v>0</v>
      </c>
      <c r="Q1845" s="52">
        <f ca="1">SUMIFS(OUT!$F$2:$F$11000,OUT!$H$2:$H$11000,H1845,OUT!$D$2:$D$11000,"Out",OUT!$E$2:$E$11000,"Mio")</f>
        <v>0</v>
      </c>
      <c r="R1845" s="52">
        <f ca="1">SUMIFS(OUT!$F$2:$F$11000,OUT!$H$2:$H$11000,H1845,OUT!$D$2:$D$11000,"Out",OUT!$E$2:$E$11000,"Sedekah")</f>
        <v>0</v>
      </c>
      <c r="S1845" s="52">
        <f ca="1">SUMIFS(OUT!$F$2:$F$11000,OUT!$H$2:$H$11000,H1845,OUT!$D$2:$D$11000,"Out",OUT!$E$2:$E$11000,"Zela")</f>
        <v>0</v>
      </c>
      <c r="T1845" s="52">
        <f ca="1">SUMIFS(OUT!$F$2:$F$11000,OUT!$H$2:$H$11000,H1845,OUT!$D$2:$D$11000,"Out",OUT!$E$2:$E$11000,"Iqbal")</f>
        <v>0</v>
      </c>
    </row>
    <row r="1846" spans="7:20" x14ac:dyDescent="0.2">
      <c r="G1846" s="50"/>
      <c r="H1846" s="51" t="str">
        <f t="shared" si="0"/>
        <v/>
      </c>
      <c r="I1846" s="52" t="e">
        <f>SUMIFS(OUT!$F$2:$F$11000,OUT!$H$2:$H$11000,H1846,OUT!$D$2:$D$101007,"In")</f>
        <v>#VALUE!</v>
      </c>
      <c r="J1846" s="52">
        <f ca="1">SUMIFS(OUT!$F$2:$F$11000,OUT!$H$2:$H$11000,H1846,OUT!$D$2:$D$11000,"Out")</f>
        <v>0</v>
      </c>
      <c r="K1846" s="52">
        <f ca="1">SUMIFS(OUT!$F$2:$F$11000,OUT!$H$2:$H$11000,H1846,OUT!$D$2:$D$11000,"Out",OUT!$E$2:$E$11000,"Fix")</f>
        <v>0</v>
      </c>
      <c r="L1846" s="52">
        <f ca="1">SUMIFS(OUT!$F$2:$F$11000,OUT!$H$2:$H$11000,H1846,OUT!$D$2:$D$11000,"Out",OUT!$E$2:$E$11000,"Bathroom")</f>
        <v>0</v>
      </c>
      <c r="M1846" s="52">
        <f ca="1">SUMIFS(OUT!$F$2:$F$11000,OUT!$H$2:$H$11000,H1846,OUT!$D$2:$D$11000,"Out",OUT!$E$2:$E$11000,"Alfa")</f>
        <v>0</v>
      </c>
      <c r="N1846" s="52" t="e">
        <f>SUMIFS(OUT!$F$2:$F$11000,OUT!$H$2:$H$101007,H1846,OUT!$D$2:$D$11000,"Out",OUT!$E$2:$E$11000,"Jajan")</f>
        <v>#VALUE!</v>
      </c>
      <c r="O1846" s="52">
        <f ca="1">SUMIFS(OUT!$F$2:$F$11000,OUT!$H$2:$H$11000,H1846,OUT!$D$2:$D$11000,"Out",OUT!$E$2:$E$11000,"Kitchen")</f>
        <v>0</v>
      </c>
      <c r="P1846" s="52">
        <f ca="1">SUMIFS(OUT!$F$2:$F$11000,OUT!$H$2:$H$11000,H1846,OUT!$D$2:$D$11000,"Out",OUT!$E$2:$E$11000,"Loandry")</f>
        <v>0</v>
      </c>
      <c r="Q1846" s="52">
        <f ca="1">SUMIFS(OUT!$F$2:$F$11000,OUT!$H$2:$H$11000,H1846,OUT!$D$2:$D$11000,"Out",OUT!$E$2:$E$11000,"Mio")</f>
        <v>0</v>
      </c>
      <c r="R1846" s="52">
        <f ca="1">SUMIFS(OUT!$F$2:$F$11000,OUT!$H$2:$H$11000,H1846,OUT!$D$2:$D$11000,"Out",OUT!$E$2:$E$11000,"Sedekah")</f>
        <v>0</v>
      </c>
      <c r="S1846" s="52">
        <f ca="1">SUMIFS(OUT!$F$2:$F$11000,OUT!$H$2:$H$11000,H1846,OUT!$D$2:$D$11000,"Out",OUT!$E$2:$E$11000,"Zela")</f>
        <v>0</v>
      </c>
      <c r="T1846" s="52">
        <f ca="1">SUMIFS(OUT!$F$2:$F$11000,OUT!$H$2:$H$11000,H1846,OUT!$D$2:$D$11000,"Out",OUT!$E$2:$E$11000,"Iqbal")</f>
        <v>0</v>
      </c>
    </row>
    <row r="1847" spans="7:20" x14ac:dyDescent="0.2">
      <c r="G1847" s="50"/>
      <c r="H1847" s="51" t="str">
        <f t="shared" si="0"/>
        <v/>
      </c>
      <c r="I1847" s="52" t="e">
        <f>SUMIFS(OUT!$F$2:$F$11000,OUT!$H$2:$H$11000,H1847,OUT!$D$2:$D$101007,"In")</f>
        <v>#VALUE!</v>
      </c>
      <c r="J1847" s="52">
        <f ca="1">SUMIFS(OUT!$F$2:$F$11000,OUT!$H$2:$H$11000,H1847,OUT!$D$2:$D$11000,"Out")</f>
        <v>0</v>
      </c>
      <c r="K1847" s="52">
        <f ca="1">SUMIFS(OUT!$F$2:$F$11000,OUT!$H$2:$H$11000,H1847,OUT!$D$2:$D$11000,"Out",OUT!$E$2:$E$11000,"Fix")</f>
        <v>0</v>
      </c>
      <c r="L1847" s="52">
        <f ca="1">SUMIFS(OUT!$F$2:$F$11000,OUT!$H$2:$H$11000,H1847,OUT!$D$2:$D$11000,"Out",OUT!$E$2:$E$11000,"Bathroom")</f>
        <v>0</v>
      </c>
      <c r="M1847" s="52">
        <f ca="1">SUMIFS(OUT!$F$2:$F$11000,OUT!$H$2:$H$11000,H1847,OUT!$D$2:$D$11000,"Out",OUT!$E$2:$E$11000,"Alfa")</f>
        <v>0</v>
      </c>
      <c r="N1847" s="52" t="e">
        <f>SUMIFS(OUT!$F$2:$F$11000,OUT!$H$2:$H$101007,H1847,OUT!$D$2:$D$11000,"Out",OUT!$E$2:$E$11000,"Jajan")</f>
        <v>#VALUE!</v>
      </c>
      <c r="O1847" s="52">
        <f ca="1">SUMIFS(OUT!$F$2:$F$11000,OUT!$H$2:$H$11000,H1847,OUT!$D$2:$D$11000,"Out",OUT!$E$2:$E$11000,"Kitchen")</f>
        <v>0</v>
      </c>
      <c r="P1847" s="52">
        <f ca="1">SUMIFS(OUT!$F$2:$F$11000,OUT!$H$2:$H$11000,H1847,OUT!$D$2:$D$11000,"Out",OUT!$E$2:$E$11000,"Loandry")</f>
        <v>0</v>
      </c>
      <c r="Q1847" s="52">
        <f ca="1">SUMIFS(OUT!$F$2:$F$11000,OUT!$H$2:$H$11000,H1847,OUT!$D$2:$D$11000,"Out",OUT!$E$2:$E$11000,"Mio")</f>
        <v>0</v>
      </c>
      <c r="R1847" s="52">
        <f ca="1">SUMIFS(OUT!$F$2:$F$11000,OUT!$H$2:$H$11000,H1847,OUT!$D$2:$D$11000,"Out",OUT!$E$2:$E$11000,"Sedekah")</f>
        <v>0</v>
      </c>
      <c r="S1847" s="52">
        <f ca="1">SUMIFS(OUT!$F$2:$F$11000,OUT!$H$2:$H$11000,H1847,OUT!$D$2:$D$11000,"Out",OUT!$E$2:$E$11000,"Zela")</f>
        <v>0</v>
      </c>
      <c r="T1847" s="52">
        <f ca="1">SUMIFS(OUT!$F$2:$F$11000,OUT!$H$2:$H$11000,H1847,OUT!$D$2:$D$11000,"Out",OUT!$E$2:$E$11000,"Iqbal")</f>
        <v>0</v>
      </c>
    </row>
    <row r="1848" spans="7:20" x14ac:dyDescent="0.2">
      <c r="G1848" s="50"/>
      <c r="H1848" s="51" t="str">
        <f t="shared" si="0"/>
        <v/>
      </c>
      <c r="I1848" s="52" t="e">
        <f>SUMIFS(OUT!$F$2:$F$11000,OUT!$H$2:$H$11000,H1848,OUT!$D$2:$D$101007,"In")</f>
        <v>#VALUE!</v>
      </c>
      <c r="J1848" s="52">
        <f ca="1">SUMIFS(OUT!$F$2:$F$11000,OUT!$H$2:$H$11000,H1848,OUT!$D$2:$D$11000,"Out")</f>
        <v>0</v>
      </c>
      <c r="K1848" s="52">
        <f ca="1">SUMIFS(OUT!$F$2:$F$11000,OUT!$H$2:$H$11000,H1848,OUT!$D$2:$D$11000,"Out",OUT!$E$2:$E$11000,"Fix")</f>
        <v>0</v>
      </c>
      <c r="L1848" s="52">
        <f ca="1">SUMIFS(OUT!$F$2:$F$11000,OUT!$H$2:$H$11000,H1848,OUT!$D$2:$D$11000,"Out",OUT!$E$2:$E$11000,"Bathroom")</f>
        <v>0</v>
      </c>
      <c r="M1848" s="52">
        <f ca="1">SUMIFS(OUT!$F$2:$F$11000,OUT!$H$2:$H$11000,H1848,OUT!$D$2:$D$11000,"Out",OUT!$E$2:$E$11000,"Alfa")</f>
        <v>0</v>
      </c>
      <c r="N1848" s="52" t="e">
        <f>SUMIFS(OUT!$F$2:$F$11000,OUT!$H$2:$H$101007,H1848,OUT!$D$2:$D$11000,"Out",OUT!$E$2:$E$11000,"Jajan")</f>
        <v>#VALUE!</v>
      </c>
      <c r="O1848" s="52">
        <f ca="1">SUMIFS(OUT!$F$2:$F$11000,OUT!$H$2:$H$11000,H1848,OUT!$D$2:$D$11000,"Out",OUT!$E$2:$E$11000,"Kitchen")</f>
        <v>0</v>
      </c>
      <c r="P1848" s="52">
        <f ca="1">SUMIFS(OUT!$F$2:$F$11000,OUT!$H$2:$H$11000,H1848,OUT!$D$2:$D$11000,"Out",OUT!$E$2:$E$11000,"Loandry")</f>
        <v>0</v>
      </c>
      <c r="Q1848" s="52">
        <f ca="1">SUMIFS(OUT!$F$2:$F$11000,OUT!$H$2:$H$11000,H1848,OUT!$D$2:$D$11000,"Out",OUT!$E$2:$E$11000,"Mio")</f>
        <v>0</v>
      </c>
      <c r="R1848" s="52">
        <f ca="1">SUMIFS(OUT!$F$2:$F$11000,OUT!$H$2:$H$11000,H1848,OUT!$D$2:$D$11000,"Out",OUT!$E$2:$E$11000,"Sedekah")</f>
        <v>0</v>
      </c>
      <c r="S1848" s="52">
        <f ca="1">SUMIFS(OUT!$F$2:$F$11000,OUT!$H$2:$H$11000,H1848,OUT!$D$2:$D$11000,"Out",OUT!$E$2:$E$11000,"Zela")</f>
        <v>0</v>
      </c>
      <c r="T1848" s="52">
        <f ca="1">SUMIFS(OUT!$F$2:$F$11000,OUT!$H$2:$H$11000,H1848,OUT!$D$2:$D$11000,"Out",OUT!$E$2:$E$11000,"Iqbal")</f>
        <v>0</v>
      </c>
    </row>
    <row r="1849" spans="7:20" x14ac:dyDescent="0.2">
      <c r="G1849" s="50"/>
      <c r="H1849" s="51" t="str">
        <f t="shared" si="0"/>
        <v/>
      </c>
      <c r="I1849" s="52" t="e">
        <f>SUMIFS(OUT!$F$2:$F$11000,OUT!$H$2:$H$11000,H1849,OUT!$D$2:$D$101007,"In")</f>
        <v>#VALUE!</v>
      </c>
      <c r="J1849" s="52">
        <f ca="1">SUMIFS(OUT!$F$2:$F$11000,OUT!$H$2:$H$11000,H1849,OUT!$D$2:$D$11000,"Out")</f>
        <v>0</v>
      </c>
      <c r="K1849" s="52">
        <f ca="1">SUMIFS(OUT!$F$2:$F$11000,OUT!$H$2:$H$11000,H1849,OUT!$D$2:$D$11000,"Out",OUT!$E$2:$E$11000,"Fix")</f>
        <v>0</v>
      </c>
      <c r="L1849" s="52">
        <f ca="1">SUMIFS(OUT!$F$2:$F$11000,OUT!$H$2:$H$11000,H1849,OUT!$D$2:$D$11000,"Out",OUT!$E$2:$E$11000,"Bathroom")</f>
        <v>0</v>
      </c>
      <c r="M1849" s="52">
        <f ca="1">SUMIFS(OUT!$F$2:$F$11000,OUT!$H$2:$H$11000,H1849,OUT!$D$2:$D$11000,"Out",OUT!$E$2:$E$11000,"Alfa")</f>
        <v>0</v>
      </c>
      <c r="N1849" s="52" t="e">
        <f>SUMIFS(OUT!$F$2:$F$11000,OUT!$H$2:$H$101007,H1849,OUT!$D$2:$D$11000,"Out",OUT!$E$2:$E$11000,"Jajan")</f>
        <v>#VALUE!</v>
      </c>
      <c r="O1849" s="52">
        <f ca="1">SUMIFS(OUT!$F$2:$F$11000,OUT!$H$2:$H$11000,H1849,OUT!$D$2:$D$11000,"Out",OUT!$E$2:$E$11000,"Kitchen")</f>
        <v>0</v>
      </c>
      <c r="P1849" s="52">
        <f ca="1">SUMIFS(OUT!$F$2:$F$11000,OUT!$H$2:$H$11000,H1849,OUT!$D$2:$D$11000,"Out",OUT!$E$2:$E$11000,"Loandry")</f>
        <v>0</v>
      </c>
      <c r="Q1849" s="52">
        <f ca="1">SUMIFS(OUT!$F$2:$F$11000,OUT!$H$2:$H$11000,H1849,OUT!$D$2:$D$11000,"Out",OUT!$E$2:$E$11000,"Mio")</f>
        <v>0</v>
      </c>
      <c r="R1849" s="52">
        <f ca="1">SUMIFS(OUT!$F$2:$F$11000,OUT!$H$2:$H$11000,H1849,OUT!$D$2:$D$11000,"Out",OUT!$E$2:$E$11000,"Sedekah")</f>
        <v>0</v>
      </c>
      <c r="S1849" s="52">
        <f ca="1">SUMIFS(OUT!$F$2:$F$11000,OUT!$H$2:$H$11000,H1849,OUT!$D$2:$D$11000,"Out",OUT!$E$2:$E$11000,"Zela")</f>
        <v>0</v>
      </c>
      <c r="T1849" s="52">
        <f ca="1">SUMIFS(OUT!$F$2:$F$11000,OUT!$H$2:$H$11000,H1849,OUT!$D$2:$D$11000,"Out",OUT!$E$2:$E$11000,"Iqbal")</f>
        <v>0</v>
      </c>
    </row>
    <row r="1850" spans="7:20" x14ac:dyDescent="0.2">
      <c r="G1850" s="50"/>
      <c r="H1850" s="51" t="str">
        <f t="shared" si="0"/>
        <v/>
      </c>
      <c r="I1850" s="52" t="e">
        <f>SUMIFS(OUT!$F$2:$F$11000,OUT!$H$2:$H$11000,H1850,OUT!$D$2:$D$101007,"In")</f>
        <v>#VALUE!</v>
      </c>
      <c r="J1850" s="52">
        <f ca="1">SUMIFS(OUT!$F$2:$F$11000,OUT!$H$2:$H$11000,H1850,OUT!$D$2:$D$11000,"Out")</f>
        <v>0</v>
      </c>
      <c r="K1850" s="52">
        <f ca="1">SUMIFS(OUT!$F$2:$F$11000,OUT!$H$2:$H$11000,H1850,OUT!$D$2:$D$11000,"Out",OUT!$E$2:$E$11000,"Fix")</f>
        <v>0</v>
      </c>
      <c r="L1850" s="52">
        <f ca="1">SUMIFS(OUT!$F$2:$F$11000,OUT!$H$2:$H$11000,H1850,OUT!$D$2:$D$11000,"Out",OUT!$E$2:$E$11000,"Bathroom")</f>
        <v>0</v>
      </c>
      <c r="M1850" s="52">
        <f ca="1">SUMIFS(OUT!$F$2:$F$11000,OUT!$H$2:$H$11000,H1850,OUT!$D$2:$D$11000,"Out",OUT!$E$2:$E$11000,"Alfa")</f>
        <v>0</v>
      </c>
      <c r="N1850" s="52" t="e">
        <f>SUMIFS(OUT!$F$2:$F$11000,OUT!$H$2:$H$101007,H1850,OUT!$D$2:$D$11000,"Out",OUT!$E$2:$E$11000,"Jajan")</f>
        <v>#VALUE!</v>
      </c>
      <c r="O1850" s="52">
        <f ca="1">SUMIFS(OUT!$F$2:$F$11000,OUT!$H$2:$H$11000,H1850,OUT!$D$2:$D$11000,"Out",OUT!$E$2:$E$11000,"Kitchen")</f>
        <v>0</v>
      </c>
      <c r="P1850" s="52">
        <f ca="1">SUMIFS(OUT!$F$2:$F$11000,OUT!$H$2:$H$11000,H1850,OUT!$D$2:$D$11000,"Out",OUT!$E$2:$E$11000,"Loandry")</f>
        <v>0</v>
      </c>
      <c r="Q1850" s="52">
        <f ca="1">SUMIFS(OUT!$F$2:$F$11000,OUT!$H$2:$H$11000,H1850,OUT!$D$2:$D$11000,"Out",OUT!$E$2:$E$11000,"Mio")</f>
        <v>0</v>
      </c>
      <c r="R1850" s="52">
        <f ca="1">SUMIFS(OUT!$F$2:$F$11000,OUT!$H$2:$H$11000,H1850,OUT!$D$2:$D$11000,"Out",OUT!$E$2:$E$11000,"Sedekah")</f>
        <v>0</v>
      </c>
      <c r="S1850" s="52">
        <f ca="1">SUMIFS(OUT!$F$2:$F$11000,OUT!$H$2:$H$11000,H1850,OUT!$D$2:$D$11000,"Out",OUT!$E$2:$E$11000,"Zela")</f>
        <v>0</v>
      </c>
      <c r="T1850" s="52">
        <f ca="1">SUMIFS(OUT!$F$2:$F$11000,OUT!$H$2:$H$11000,H1850,OUT!$D$2:$D$11000,"Out",OUT!$E$2:$E$11000,"Iqbal")</f>
        <v>0</v>
      </c>
    </row>
    <row r="1851" spans="7:20" x14ac:dyDescent="0.2">
      <c r="G1851" s="50"/>
      <c r="H1851" s="51" t="str">
        <f t="shared" si="0"/>
        <v/>
      </c>
      <c r="I1851" s="52" t="e">
        <f>SUMIFS(OUT!$F$2:$F$11000,OUT!$H$2:$H$11000,H1851,OUT!$D$2:$D$101007,"In")</f>
        <v>#VALUE!</v>
      </c>
      <c r="J1851" s="52">
        <f ca="1">SUMIFS(OUT!$F$2:$F$11000,OUT!$H$2:$H$11000,H1851,OUT!$D$2:$D$11000,"Out")</f>
        <v>0</v>
      </c>
      <c r="K1851" s="52">
        <f ca="1">SUMIFS(OUT!$F$2:$F$11000,OUT!$H$2:$H$11000,H1851,OUT!$D$2:$D$11000,"Out",OUT!$E$2:$E$11000,"Fix")</f>
        <v>0</v>
      </c>
      <c r="L1851" s="52">
        <f ca="1">SUMIFS(OUT!$F$2:$F$11000,OUT!$H$2:$H$11000,H1851,OUT!$D$2:$D$11000,"Out",OUT!$E$2:$E$11000,"Bathroom")</f>
        <v>0</v>
      </c>
      <c r="M1851" s="52">
        <f ca="1">SUMIFS(OUT!$F$2:$F$11000,OUT!$H$2:$H$11000,H1851,OUT!$D$2:$D$11000,"Out",OUT!$E$2:$E$11000,"Alfa")</f>
        <v>0</v>
      </c>
      <c r="N1851" s="52" t="e">
        <f>SUMIFS(OUT!$F$2:$F$11000,OUT!$H$2:$H$101007,H1851,OUT!$D$2:$D$11000,"Out",OUT!$E$2:$E$11000,"Jajan")</f>
        <v>#VALUE!</v>
      </c>
      <c r="O1851" s="52">
        <f ca="1">SUMIFS(OUT!$F$2:$F$11000,OUT!$H$2:$H$11000,H1851,OUT!$D$2:$D$11000,"Out",OUT!$E$2:$E$11000,"Kitchen")</f>
        <v>0</v>
      </c>
      <c r="P1851" s="52">
        <f ca="1">SUMIFS(OUT!$F$2:$F$11000,OUT!$H$2:$H$11000,H1851,OUT!$D$2:$D$11000,"Out",OUT!$E$2:$E$11000,"Loandry")</f>
        <v>0</v>
      </c>
      <c r="Q1851" s="52">
        <f ca="1">SUMIFS(OUT!$F$2:$F$11000,OUT!$H$2:$H$11000,H1851,OUT!$D$2:$D$11000,"Out",OUT!$E$2:$E$11000,"Mio")</f>
        <v>0</v>
      </c>
      <c r="R1851" s="52">
        <f ca="1">SUMIFS(OUT!$F$2:$F$11000,OUT!$H$2:$H$11000,H1851,OUT!$D$2:$D$11000,"Out",OUT!$E$2:$E$11000,"Sedekah")</f>
        <v>0</v>
      </c>
      <c r="S1851" s="52">
        <f ca="1">SUMIFS(OUT!$F$2:$F$11000,OUT!$H$2:$H$11000,H1851,OUT!$D$2:$D$11000,"Out",OUT!$E$2:$E$11000,"Zela")</f>
        <v>0</v>
      </c>
      <c r="T1851" s="52">
        <f ca="1">SUMIFS(OUT!$F$2:$F$11000,OUT!$H$2:$H$11000,H1851,OUT!$D$2:$D$11000,"Out",OUT!$E$2:$E$11000,"Iqbal")</f>
        <v>0</v>
      </c>
    </row>
    <row r="1852" spans="7:20" x14ac:dyDescent="0.2">
      <c r="G1852" s="50"/>
      <c r="H1852" s="51" t="str">
        <f t="shared" si="0"/>
        <v/>
      </c>
      <c r="I1852" s="52" t="e">
        <f>SUMIFS(OUT!$F$2:$F$11000,OUT!$H$2:$H$11000,H1852,OUT!$D$2:$D$101007,"In")</f>
        <v>#VALUE!</v>
      </c>
      <c r="J1852" s="52">
        <f ca="1">SUMIFS(OUT!$F$2:$F$11000,OUT!$H$2:$H$11000,H1852,OUT!$D$2:$D$11000,"Out")</f>
        <v>0</v>
      </c>
      <c r="K1852" s="52">
        <f ca="1">SUMIFS(OUT!$F$2:$F$11000,OUT!$H$2:$H$11000,H1852,OUT!$D$2:$D$11000,"Out",OUT!$E$2:$E$11000,"Fix")</f>
        <v>0</v>
      </c>
      <c r="L1852" s="52">
        <f ca="1">SUMIFS(OUT!$F$2:$F$11000,OUT!$H$2:$H$11000,H1852,OUT!$D$2:$D$11000,"Out",OUT!$E$2:$E$11000,"Bathroom")</f>
        <v>0</v>
      </c>
      <c r="M1852" s="52">
        <f ca="1">SUMIFS(OUT!$F$2:$F$11000,OUT!$H$2:$H$11000,H1852,OUT!$D$2:$D$11000,"Out",OUT!$E$2:$E$11000,"Alfa")</f>
        <v>0</v>
      </c>
      <c r="N1852" s="52" t="e">
        <f>SUMIFS(OUT!$F$2:$F$11000,OUT!$H$2:$H$101007,H1852,OUT!$D$2:$D$11000,"Out",OUT!$E$2:$E$11000,"Jajan")</f>
        <v>#VALUE!</v>
      </c>
      <c r="O1852" s="52">
        <f ca="1">SUMIFS(OUT!$F$2:$F$11000,OUT!$H$2:$H$11000,H1852,OUT!$D$2:$D$11000,"Out",OUT!$E$2:$E$11000,"Kitchen")</f>
        <v>0</v>
      </c>
      <c r="P1852" s="52">
        <f ca="1">SUMIFS(OUT!$F$2:$F$11000,OUT!$H$2:$H$11000,H1852,OUT!$D$2:$D$11000,"Out",OUT!$E$2:$E$11000,"Loandry")</f>
        <v>0</v>
      </c>
      <c r="Q1852" s="52">
        <f ca="1">SUMIFS(OUT!$F$2:$F$11000,OUT!$H$2:$H$11000,H1852,OUT!$D$2:$D$11000,"Out",OUT!$E$2:$E$11000,"Mio")</f>
        <v>0</v>
      </c>
      <c r="R1852" s="52">
        <f ca="1">SUMIFS(OUT!$F$2:$F$11000,OUT!$H$2:$H$11000,H1852,OUT!$D$2:$D$11000,"Out",OUT!$E$2:$E$11000,"Sedekah")</f>
        <v>0</v>
      </c>
      <c r="S1852" s="52">
        <f ca="1">SUMIFS(OUT!$F$2:$F$11000,OUT!$H$2:$H$11000,H1852,OUT!$D$2:$D$11000,"Out",OUT!$E$2:$E$11000,"Zela")</f>
        <v>0</v>
      </c>
      <c r="T1852" s="52">
        <f ca="1">SUMIFS(OUT!$F$2:$F$11000,OUT!$H$2:$H$11000,H1852,OUT!$D$2:$D$11000,"Out",OUT!$E$2:$E$11000,"Iqbal")</f>
        <v>0</v>
      </c>
    </row>
    <row r="1853" spans="7:20" x14ac:dyDescent="0.2">
      <c r="G1853" s="50"/>
      <c r="H1853" s="51" t="str">
        <f t="shared" si="0"/>
        <v/>
      </c>
      <c r="I1853" s="52" t="e">
        <f>SUMIFS(OUT!$F$2:$F$11000,OUT!$H$2:$H$11000,H1853,OUT!$D$2:$D$101007,"In")</f>
        <v>#VALUE!</v>
      </c>
      <c r="J1853" s="52">
        <f ca="1">SUMIFS(OUT!$F$2:$F$11000,OUT!$H$2:$H$11000,H1853,OUT!$D$2:$D$11000,"Out")</f>
        <v>0</v>
      </c>
      <c r="K1853" s="52">
        <f ca="1">SUMIFS(OUT!$F$2:$F$11000,OUT!$H$2:$H$11000,H1853,OUT!$D$2:$D$11000,"Out",OUT!$E$2:$E$11000,"Fix")</f>
        <v>0</v>
      </c>
      <c r="L1853" s="52">
        <f ca="1">SUMIFS(OUT!$F$2:$F$11000,OUT!$H$2:$H$11000,H1853,OUT!$D$2:$D$11000,"Out",OUT!$E$2:$E$11000,"Bathroom")</f>
        <v>0</v>
      </c>
      <c r="M1853" s="52">
        <f ca="1">SUMIFS(OUT!$F$2:$F$11000,OUT!$H$2:$H$11000,H1853,OUT!$D$2:$D$11000,"Out",OUT!$E$2:$E$11000,"Alfa")</f>
        <v>0</v>
      </c>
      <c r="N1853" s="52" t="e">
        <f>SUMIFS(OUT!$F$2:$F$11000,OUT!$H$2:$H$101007,H1853,OUT!$D$2:$D$11000,"Out",OUT!$E$2:$E$11000,"Jajan")</f>
        <v>#VALUE!</v>
      </c>
      <c r="O1853" s="52">
        <f ca="1">SUMIFS(OUT!$F$2:$F$11000,OUT!$H$2:$H$11000,H1853,OUT!$D$2:$D$11000,"Out",OUT!$E$2:$E$11000,"Kitchen")</f>
        <v>0</v>
      </c>
      <c r="P1853" s="52">
        <f ca="1">SUMIFS(OUT!$F$2:$F$11000,OUT!$H$2:$H$11000,H1853,OUT!$D$2:$D$11000,"Out",OUT!$E$2:$E$11000,"Loandry")</f>
        <v>0</v>
      </c>
      <c r="Q1853" s="52">
        <f ca="1">SUMIFS(OUT!$F$2:$F$11000,OUT!$H$2:$H$11000,H1853,OUT!$D$2:$D$11000,"Out",OUT!$E$2:$E$11000,"Mio")</f>
        <v>0</v>
      </c>
      <c r="R1853" s="52">
        <f ca="1">SUMIFS(OUT!$F$2:$F$11000,OUT!$H$2:$H$11000,H1853,OUT!$D$2:$D$11000,"Out",OUT!$E$2:$E$11000,"Sedekah")</f>
        <v>0</v>
      </c>
      <c r="S1853" s="52">
        <f ca="1">SUMIFS(OUT!$F$2:$F$11000,OUT!$H$2:$H$11000,H1853,OUT!$D$2:$D$11000,"Out",OUT!$E$2:$E$11000,"Zela")</f>
        <v>0</v>
      </c>
      <c r="T1853" s="52">
        <f ca="1">SUMIFS(OUT!$F$2:$F$11000,OUT!$H$2:$H$11000,H1853,OUT!$D$2:$D$11000,"Out",OUT!$E$2:$E$11000,"Iqbal")</f>
        <v>0</v>
      </c>
    </row>
    <row r="1854" spans="7:20" x14ac:dyDescent="0.2">
      <c r="G1854" s="50"/>
      <c r="H1854" s="51" t="str">
        <f t="shared" si="0"/>
        <v/>
      </c>
      <c r="I1854" s="52" t="e">
        <f>SUMIFS(OUT!$F$2:$F$11000,OUT!$H$2:$H$11000,H1854,OUT!$D$2:$D$101007,"In")</f>
        <v>#VALUE!</v>
      </c>
      <c r="J1854" s="52">
        <f ca="1">SUMIFS(OUT!$F$2:$F$11000,OUT!$H$2:$H$11000,H1854,OUT!$D$2:$D$11000,"Out")</f>
        <v>0</v>
      </c>
      <c r="K1854" s="52">
        <f ca="1">SUMIFS(OUT!$F$2:$F$11000,OUT!$H$2:$H$11000,H1854,OUT!$D$2:$D$11000,"Out",OUT!$E$2:$E$11000,"Fix")</f>
        <v>0</v>
      </c>
      <c r="L1854" s="52">
        <f ca="1">SUMIFS(OUT!$F$2:$F$11000,OUT!$H$2:$H$11000,H1854,OUT!$D$2:$D$11000,"Out",OUT!$E$2:$E$11000,"Bathroom")</f>
        <v>0</v>
      </c>
      <c r="M1854" s="52">
        <f ca="1">SUMIFS(OUT!$F$2:$F$11000,OUT!$H$2:$H$11000,H1854,OUT!$D$2:$D$11000,"Out",OUT!$E$2:$E$11000,"Alfa")</f>
        <v>0</v>
      </c>
      <c r="N1854" s="52" t="e">
        <f>SUMIFS(OUT!$F$2:$F$11000,OUT!$H$2:$H$101007,H1854,OUT!$D$2:$D$11000,"Out",OUT!$E$2:$E$11000,"Jajan")</f>
        <v>#VALUE!</v>
      </c>
      <c r="O1854" s="52">
        <f ca="1">SUMIFS(OUT!$F$2:$F$11000,OUT!$H$2:$H$11000,H1854,OUT!$D$2:$D$11000,"Out",OUT!$E$2:$E$11000,"Kitchen")</f>
        <v>0</v>
      </c>
      <c r="P1854" s="52">
        <f ca="1">SUMIFS(OUT!$F$2:$F$11000,OUT!$H$2:$H$11000,H1854,OUT!$D$2:$D$11000,"Out",OUT!$E$2:$E$11000,"Loandry")</f>
        <v>0</v>
      </c>
      <c r="Q1854" s="52">
        <f ca="1">SUMIFS(OUT!$F$2:$F$11000,OUT!$H$2:$H$11000,H1854,OUT!$D$2:$D$11000,"Out",OUT!$E$2:$E$11000,"Mio")</f>
        <v>0</v>
      </c>
      <c r="R1854" s="52">
        <f ca="1">SUMIFS(OUT!$F$2:$F$11000,OUT!$H$2:$H$11000,H1854,OUT!$D$2:$D$11000,"Out",OUT!$E$2:$E$11000,"Sedekah")</f>
        <v>0</v>
      </c>
      <c r="S1854" s="52">
        <f ca="1">SUMIFS(OUT!$F$2:$F$11000,OUT!$H$2:$H$11000,H1854,OUT!$D$2:$D$11000,"Out",OUT!$E$2:$E$11000,"Zela")</f>
        <v>0</v>
      </c>
      <c r="T1854" s="52">
        <f ca="1">SUMIFS(OUT!$F$2:$F$11000,OUT!$H$2:$H$11000,H1854,OUT!$D$2:$D$11000,"Out",OUT!$E$2:$E$11000,"Iqbal")</f>
        <v>0</v>
      </c>
    </row>
    <row r="1855" spans="7:20" x14ac:dyDescent="0.2">
      <c r="G1855" s="50"/>
      <c r="H1855" s="51" t="str">
        <f t="shared" si="0"/>
        <v/>
      </c>
      <c r="I1855" s="52" t="e">
        <f>SUMIFS(OUT!$F$2:$F$11000,OUT!$H$2:$H$11000,H1855,OUT!$D$2:$D$101007,"In")</f>
        <v>#VALUE!</v>
      </c>
      <c r="J1855" s="52">
        <f ca="1">SUMIFS(OUT!$F$2:$F$11000,OUT!$H$2:$H$11000,H1855,OUT!$D$2:$D$11000,"Out")</f>
        <v>0</v>
      </c>
      <c r="K1855" s="52">
        <f ca="1">SUMIFS(OUT!$F$2:$F$11000,OUT!$H$2:$H$11000,H1855,OUT!$D$2:$D$11000,"Out",OUT!$E$2:$E$11000,"Fix")</f>
        <v>0</v>
      </c>
      <c r="L1855" s="52">
        <f ca="1">SUMIFS(OUT!$F$2:$F$11000,OUT!$H$2:$H$11000,H1855,OUT!$D$2:$D$11000,"Out",OUT!$E$2:$E$11000,"Bathroom")</f>
        <v>0</v>
      </c>
      <c r="M1855" s="52">
        <f ca="1">SUMIFS(OUT!$F$2:$F$11000,OUT!$H$2:$H$11000,H1855,OUT!$D$2:$D$11000,"Out",OUT!$E$2:$E$11000,"Alfa")</f>
        <v>0</v>
      </c>
      <c r="N1855" s="52" t="e">
        <f>SUMIFS(OUT!$F$2:$F$11000,OUT!$H$2:$H$101007,H1855,OUT!$D$2:$D$11000,"Out",OUT!$E$2:$E$11000,"Jajan")</f>
        <v>#VALUE!</v>
      </c>
      <c r="O1855" s="52">
        <f ca="1">SUMIFS(OUT!$F$2:$F$11000,OUT!$H$2:$H$11000,H1855,OUT!$D$2:$D$11000,"Out",OUT!$E$2:$E$11000,"Kitchen")</f>
        <v>0</v>
      </c>
      <c r="P1855" s="52">
        <f ca="1">SUMIFS(OUT!$F$2:$F$11000,OUT!$H$2:$H$11000,H1855,OUT!$D$2:$D$11000,"Out",OUT!$E$2:$E$11000,"Loandry")</f>
        <v>0</v>
      </c>
      <c r="Q1855" s="52">
        <f ca="1">SUMIFS(OUT!$F$2:$F$11000,OUT!$H$2:$H$11000,H1855,OUT!$D$2:$D$11000,"Out",OUT!$E$2:$E$11000,"Mio")</f>
        <v>0</v>
      </c>
      <c r="R1855" s="52">
        <f ca="1">SUMIFS(OUT!$F$2:$F$11000,OUT!$H$2:$H$11000,H1855,OUT!$D$2:$D$11000,"Out",OUT!$E$2:$E$11000,"Sedekah")</f>
        <v>0</v>
      </c>
      <c r="S1855" s="52">
        <f ca="1">SUMIFS(OUT!$F$2:$F$11000,OUT!$H$2:$H$11000,H1855,OUT!$D$2:$D$11000,"Out",OUT!$E$2:$E$11000,"Zela")</f>
        <v>0</v>
      </c>
      <c r="T1855" s="52">
        <f ca="1">SUMIFS(OUT!$F$2:$F$11000,OUT!$H$2:$H$11000,H1855,OUT!$D$2:$D$11000,"Out",OUT!$E$2:$E$11000,"Iqbal")</f>
        <v>0</v>
      </c>
    </row>
    <row r="1856" spans="7:20" x14ac:dyDescent="0.2">
      <c r="G1856" s="50"/>
      <c r="H1856" s="51" t="str">
        <f t="shared" si="0"/>
        <v/>
      </c>
      <c r="I1856" s="52" t="e">
        <f>SUMIFS(OUT!$F$2:$F$11000,OUT!$H$2:$H$11000,H1856,OUT!$D$2:$D$101007,"In")</f>
        <v>#VALUE!</v>
      </c>
      <c r="J1856" s="52">
        <f ca="1">SUMIFS(OUT!$F$2:$F$11000,OUT!$H$2:$H$11000,H1856,OUT!$D$2:$D$11000,"Out")</f>
        <v>0</v>
      </c>
      <c r="K1856" s="52">
        <f ca="1">SUMIFS(OUT!$F$2:$F$11000,OUT!$H$2:$H$11000,H1856,OUT!$D$2:$D$11000,"Out",OUT!$E$2:$E$11000,"Fix")</f>
        <v>0</v>
      </c>
      <c r="L1856" s="52">
        <f ca="1">SUMIFS(OUT!$F$2:$F$11000,OUT!$H$2:$H$11000,H1856,OUT!$D$2:$D$11000,"Out",OUT!$E$2:$E$11000,"Bathroom")</f>
        <v>0</v>
      </c>
      <c r="M1856" s="52">
        <f ca="1">SUMIFS(OUT!$F$2:$F$11000,OUT!$H$2:$H$11000,H1856,OUT!$D$2:$D$11000,"Out",OUT!$E$2:$E$11000,"Alfa")</f>
        <v>0</v>
      </c>
      <c r="N1856" s="52" t="e">
        <f>SUMIFS(OUT!$F$2:$F$11000,OUT!$H$2:$H$101007,H1856,OUT!$D$2:$D$11000,"Out",OUT!$E$2:$E$11000,"Jajan")</f>
        <v>#VALUE!</v>
      </c>
      <c r="O1856" s="52">
        <f ca="1">SUMIFS(OUT!$F$2:$F$11000,OUT!$H$2:$H$11000,H1856,OUT!$D$2:$D$11000,"Out",OUT!$E$2:$E$11000,"Kitchen")</f>
        <v>0</v>
      </c>
      <c r="P1856" s="52">
        <f ca="1">SUMIFS(OUT!$F$2:$F$11000,OUT!$H$2:$H$11000,H1856,OUT!$D$2:$D$11000,"Out",OUT!$E$2:$E$11000,"Loandry")</f>
        <v>0</v>
      </c>
      <c r="Q1856" s="52">
        <f ca="1">SUMIFS(OUT!$F$2:$F$11000,OUT!$H$2:$H$11000,H1856,OUT!$D$2:$D$11000,"Out",OUT!$E$2:$E$11000,"Mio")</f>
        <v>0</v>
      </c>
      <c r="R1856" s="52">
        <f ca="1">SUMIFS(OUT!$F$2:$F$11000,OUT!$H$2:$H$11000,H1856,OUT!$D$2:$D$11000,"Out",OUT!$E$2:$E$11000,"Sedekah")</f>
        <v>0</v>
      </c>
      <c r="S1856" s="52">
        <f ca="1">SUMIFS(OUT!$F$2:$F$11000,OUT!$H$2:$H$11000,H1856,OUT!$D$2:$D$11000,"Out",OUT!$E$2:$E$11000,"Zela")</f>
        <v>0</v>
      </c>
      <c r="T1856" s="52">
        <f ca="1">SUMIFS(OUT!$F$2:$F$11000,OUT!$H$2:$H$11000,H1856,OUT!$D$2:$D$11000,"Out",OUT!$E$2:$E$11000,"Iqbal")</f>
        <v>0</v>
      </c>
    </row>
    <row r="1857" spans="7:20" x14ac:dyDescent="0.2">
      <c r="G1857" s="50"/>
      <c r="H1857" s="51" t="str">
        <f t="shared" si="0"/>
        <v/>
      </c>
      <c r="I1857" s="52" t="e">
        <f>SUMIFS(OUT!$F$2:$F$11000,OUT!$H$2:$H$11000,H1857,OUT!$D$2:$D$101007,"In")</f>
        <v>#VALUE!</v>
      </c>
      <c r="J1857" s="52">
        <f ca="1">SUMIFS(OUT!$F$2:$F$11000,OUT!$H$2:$H$11000,H1857,OUT!$D$2:$D$11000,"Out")</f>
        <v>0</v>
      </c>
      <c r="K1857" s="52">
        <f ca="1">SUMIFS(OUT!$F$2:$F$11000,OUT!$H$2:$H$11000,H1857,OUT!$D$2:$D$11000,"Out",OUT!$E$2:$E$11000,"Fix")</f>
        <v>0</v>
      </c>
      <c r="L1857" s="52">
        <f ca="1">SUMIFS(OUT!$F$2:$F$11000,OUT!$H$2:$H$11000,H1857,OUT!$D$2:$D$11000,"Out",OUT!$E$2:$E$11000,"Bathroom")</f>
        <v>0</v>
      </c>
      <c r="M1857" s="52">
        <f ca="1">SUMIFS(OUT!$F$2:$F$11000,OUT!$H$2:$H$11000,H1857,OUT!$D$2:$D$11000,"Out",OUT!$E$2:$E$11000,"Alfa")</f>
        <v>0</v>
      </c>
      <c r="N1857" s="52" t="e">
        <f>SUMIFS(OUT!$F$2:$F$11000,OUT!$H$2:$H$101007,H1857,OUT!$D$2:$D$11000,"Out",OUT!$E$2:$E$11000,"Jajan")</f>
        <v>#VALUE!</v>
      </c>
      <c r="O1857" s="52">
        <f ca="1">SUMIFS(OUT!$F$2:$F$11000,OUT!$H$2:$H$11000,H1857,OUT!$D$2:$D$11000,"Out",OUT!$E$2:$E$11000,"Kitchen")</f>
        <v>0</v>
      </c>
      <c r="P1857" s="52">
        <f ca="1">SUMIFS(OUT!$F$2:$F$11000,OUT!$H$2:$H$11000,H1857,OUT!$D$2:$D$11000,"Out",OUT!$E$2:$E$11000,"Loandry")</f>
        <v>0</v>
      </c>
      <c r="Q1857" s="52">
        <f ca="1">SUMIFS(OUT!$F$2:$F$11000,OUT!$H$2:$H$11000,H1857,OUT!$D$2:$D$11000,"Out",OUT!$E$2:$E$11000,"Mio")</f>
        <v>0</v>
      </c>
      <c r="R1857" s="52">
        <f ca="1">SUMIFS(OUT!$F$2:$F$11000,OUT!$H$2:$H$11000,H1857,OUT!$D$2:$D$11000,"Out",OUT!$E$2:$E$11000,"Sedekah")</f>
        <v>0</v>
      </c>
      <c r="S1857" s="52">
        <f ca="1">SUMIFS(OUT!$F$2:$F$11000,OUT!$H$2:$H$11000,H1857,OUT!$D$2:$D$11000,"Out",OUT!$E$2:$E$11000,"Zela")</f>
        <v>0</v>
      </c>
      <c r="T1857" s="52">
        <f ca="1">SUMIFS(OUT!$F$2:$F$11000,OUT!$H$2:$H$11000,H1857,OUT!$D$2:$D$11000,"Out",OUT!$E$2:$E$11000,"Iqbal")</f>
        <v>0</v>
      </c>
    </row>
    <row r="1858" spans="7:20" x14ac:dyDescent="0.2">
      <c r="G1858" s="50"/>
      <c r="H1858" s="51" t="str">
        <f t="shared" si="0"/>
        <v/>
      </c>
      <c r="I1858" s="52" t="e">
        <f>SUMIFS(OUT!$F$2:$F$11000,OUT!$H$2:$H$11000,H1858,OUT!$D$2:$D$101007,"In")</f>
        <v>#VALUE!</v>
      </c>
      <c r="J1858" s="52">
        <f ca="1">SUMIFS(OUT!$F$2:$F$11000,OUT!$H$2:$H$11000,H1858,OUT!$D$2:$D$11000,"Out")</f>
        <v>0</v>
      </c>
      <c r="K1858" s="52">
        <f ca="1">SUMIFS(OUT!$F$2:$F$11000,OUT!$H$2:$H$11000,H1858,OUT!$D$2:$D$11000,"Out",OUT!$E$2:$E$11000,"Fix")</f>
        <v>0</v>
      </c>
      <c r="L1858" s="52">
        <f ca="1">SUMIFS(OUT!$F$2:$F$11000,OUT!$H$2:$H$11000,H1858,OUT!$D$2:$D$11000,"Out",OUT!$E$2:$E$11000,"Bathroom")</f>
        <v>0</v>
      </c>
      <c r="M1858" s="52">
        <f ca="1">SUMIFS(OUT!$F$2:$F$11000,OUT!$H$2:$H$11000,H1858,OUT!$D$2:$D$11000,"Out",OUT!$E$2:$E$11000,"Alfa")</f>
        <v>0</v>
      </c>
      <c r="N1858" s="52" t="e">
        <f>SUMIFS(OUT!$F$2:$F$11000,OUT!$H$2:$H$101007,H1858,OUT!$D$2:$D$11000,"Out",OUT!$E$2:$E$11000,"Jajan")</f>
        <v>#VALUE!</v>
      </c>
      <c r="O1858" s="52">
        <f ca="1">SUMIFS(OUT!$F$2:$F$11000,OUT!$H$2:$H$11000,H1858,OUT!$D$2:$D$11000,"Out",OUT!$E$2:$E$11000,"Kitchen")</f>
        <v>0</v>
      </c>
      <c r="P1858" s="52">
        <f ca="1">SUMIFS(OUT!$F$2:$F$11000,OUT!$H$2:$H$11000,H1858,OUT!$D$2:$D$11000,"Out",OUT!$E$2:$E$11000,"Loandry")</f>
        <v>0</v>
      </c>
      <c r="Q1858" s="52">
        <f ca="1">SUMIFS(OUT!$F$2:$F$11000,OUT!$H$2:$H$11000,H1858,OUT!$D$2:$D$11000,"Out",OUT!$E$2:$E$11000,"Mio")</f>
        <v>0</v>
      </c>
      <c r="R1858" s="52">
        <f ca="1">SUMIFS(OUT!$F$2:$F$11000,OUT!$H$2:$H$11000,H1858,OUT!$D$2:$D$11000,"Out",OUT!$E$2:$E$11000,"Sedekah")</f>
        <v>0</v>
      </c>
      <c r="S1858" s="52">
        <f ca="1">SUMIFS(OUT!$F$2:$F$11000,OUT!$H$2:$H$11000,H1858,OUT!$D$2:$D$11000,"Out",OUT!$E$2:$E$11000,"Zela")</f>
        <v>0</v>
      </c>
      <c r="T1858" s="52">
        <f ca="1">SUMIFS(OUT!$F$2:$F$11000,OUT!$H$2:$H$11000,H1858,OUT!$D$2:$D$11000,"Out",OUT!$E$2:$E$11000,"Iqbal")</f>
        <v>0</v>
      </c>
    </row>
    <row r="1859" spans="7:20" x14ac:dyDescent="0.2">
      <c r="G1859" s="50"/>
      <c r="H1859" s="51" t="str">
        <f t="shared" si="0"/>
        <v/>
      </c>
      <c r="I1859" s="52" t="e">
        <f>SUMIFS(OUT!$F$2:$F$11000,OUT!$H$2:$H$11000,H1859,OUT!$D$2:$D$101007,"In")</f>
        <v>#VALUE!</v>
      </c>
      <c r="J1859" s="52">
        <f ca="1">SUMIFS(OUT!$F$2:$F$11000,OUT!$H$2:$H$11000,H1859,OUT!$D$2:$D$11000,"Out")</f>
        <v>0</v>
      </c>
      <c r="K1859" s="52">
        <f ca="1">SUMIFS(OUT!$F$2:$F$11000,OUT!$H$2:$H$11000,H1859,OUT!$D$2:$D$11000,"Out",OUT!$E$2:$E$11000,"Fix")</f>
        <v>0</v>
      </c>
      <c r="L1859" s="52">
        <f ca="1">SUMIFS(OUT!$F$2:$F$11000,OUT!$H$2:$H$11000,H1859,OUT!$D$2:$D$11000,"Out",OUT!$E$2:$E$11000,"Bathroom")</f>
        <v>0</v>
      </c>
      <c r="M1859" s="52">
        <f ca="1">SUMIFS(OUT!$F$2:$F$11000,OUT!$H$2:$H$11000,H1859,OUT!$D$2:$D$11000,"Out",OUT!$E$2:$E$11000,"Alfa")</f>
        <v>0</v>
      </c>
      <c r="N1859" s="52" t="e">
        <f>SUMIFS(OUT!$F$2:$F$11000,OUT!$H$2:$H$101007,H1859,OUT!$D$2:$D$11000,"Out",OUT!$E$2:$E$11000,"Jajan")</f>
        <v>#VALUE!</v>
      </c>
      <c r="O1859" s="52">
        <f ca="1">SUMIFS(OUT!$F$2:$F$11000,OUT!$H$2:$H$11000,H1859,OUT!$D$2:$D$11000,"Out",OUT!$E$2:$E$11000,"Kitchen")</f>
        <v>0</v>
      </c>
      <c r="P1859" s="52">
        <f ca="1">SUMIFS(OUT!$F$2:$F$11000,OUT!$H$2:$H$11000,H1859,OUT!$D$2:$D$11000,"Out",OUT!$E$2:$E$11000,"Loandry")</f>
        <v>0</v>
      </c>
      <c r="Q1859" s="52">
        <f ca="1">SUMIFS(OUT!$F$2:$F$11000,OUT!$H$2:$H$11000,H1859,OUT!$D$2:$D$11000,"Out",OUT!$E$2:$E$11000,"Mio")</f>
        <v>0</v>
      </c>
      <c r="R1859" s="52">
        <f ca="1">SUMIFS(OUT!$F$2:$F$11000,OUT!$H$2:$H$11000,H1859,OUT!$D$2:$D$11000,"Out",OUT!$E$2:$E$11000,"Sedekah")</f>
        <v>0</v>
      </c>
      <c r="S1859" s="52">
        <f ca="1">SUMIFS(OUT!$F$2:$F$11000,OUT!$H$2:$H$11000,H1859,OUT!$D$2:$D$11000,"Out",OUT!$E$2:$E$11000,"Zela")</f>
        <v>0</v>
      </c>
      <c r="T1859" s="52">
        <f ca="1">SUMIFS(OUT!$F$2:$F$11000,OUT!$H$2:$H$11000,H1859,OUT!$D$2:$D$11000,"Out",OUT!$E$2:$E$11000,"Iqbal")</f>
        <v>0</v>
      </c>
    </row>
    <row r="1860" spans="7:20" x14ac:dyDescent="0.2">
      <c r="G1860" s="50"/>
      <c r="H1860" s="51" t="str">
        <f t="shared" si="0"/>
        <v/>
      </c>
      <c r="I1860" s="52" t="e">
        <f>SUMIFS(OUT!$F$2:$F$11000,OUT!$H$2:$H$11000,H1860,OUT!$D$2:$D$101007,"In")</f>
        <v>#VALUE!</v>
      </c>
      <c r="J1860" s="52">
        <f ca="1">SUMIFS(OUT!$F$2:$F$11000,OUT!$H$2:$H$11000,H1860,OUT!$D$2:$D$11000,"Out")</f>
        <v>0</v>
      </c>
      <c r="K1860" s="52">
        <f ca="1">SUMIFS(OUT!$F$2:$F$11000,OUT!$H$2:$H$11000,H1860,OUT!$D$2:$D$11000,"Out",OUT!$E$2:$E$11000,"Fix")</f>
        <v>0</v>
      </c>
      <c r="L1860" s="52">
        <f ca="1">SUMIFS(OUT!$F$2:$F$11000,OUT!$H$2:$H$11000,H1860,OUT!$D$2:$D$11000,"Out",OUT!$E$2:$E$11000,"Bathroom")</f>
        <v>0</v>
      </c>
      <c r="M1860" s="52">
        <f ca="1">SUMIFS(OUT!$F$2:$F$11000,OUT!$H$2:$H$11000,H1860,OUT!$D$2:$D$11000,"Out",OUT!$E$2:$E$11000,"Alfa")</f>
        <v>0</v>
      </c>
      <c r="N1860" s="52" t="e">
        <f>SUMIFS(OUT!$F$2:$F$11000,OUT!$H$2:$H$101007,H1860,OUT!$D$2:$D$11000,"Out",OUT!$E$2:$E$11000,"Jajan")</f>
        <v>#VALUE!</v>
      </c>
      <c r="O1860" s="52">
        <f ca="1">SUMIFS(OUT!$F$2:$F$11000,OUT!$H$2:$H$11000,H1860,OUT!$D$2:$D$11000,"Out",OUT!$E$2:$E$11000,"Kitchen")</f>
        <v>0</v>
      </c>
      <c r="P1860" s="52">
        <f ca="1">SUMIFS(OUT!$F$2:$F$11000,OUT!$H$2:$H$11000,H1860,OUT!$D$2:$D$11000,"Out",OUT!$E$2:$E$11000,"Loandry")</f>
        <v>0</v>
      </c>
      <c r="Q1860" s="52">
        <f ca="1">SUMIFS(OUT!$F$2:$F$11000,OUT!$H$2:$H$11000,H1860,OUT!$D$2:$D$11000,"Out",OUT!$E$2:$E$11000,"Mio")</f>
        <v>0</v>
      </c>
      <c r="R1860" s="52">
        <f ca="1">SUMIFS(OUT!$F$2:$F$11000,OUT!$H$2:$H$11000,H1860,OUT!$D$2:$D$11000,"Out",OUT!$E$2:$E$11000,"Sedekah")</f>
        <v>0</v>
      </c>
      <c r="S1860" s="52">
        <f ca="1">SUMIFS(OUT!$F$2:$F$11000,OUT!$H$2:$H$11000,H1860,OUT!$D$2:$D$11000,"Out",OUT!$E$2:$E$11000,"Zela")</f>
        <v>0</v>
      </c>
      <c r="T1860" s="52">
        <f ca="1">SUMIFS(OUT!$F$2:$F$11000,OUT!$H$2:$H$11000,H1860,OUT!$D$2:$D$11000,"Out",OUT!$E$2:$E$11000,"Iqbal")</f>
        <v>0</v>
      </c>
    </row>
    <row r="1861" spans="7:20" x14ac:dyDescent="0.2">
      <c r="G1861" s="50"/>
      <c r="H1861" s="51" t="str">
        <f t="shared" si="0"/>
        <v/>
      </c>
      <c r="I1861" s="52" t="e">
        <f>SUMIFS(OUT!$F$2:$F$11000,OUT!$H$2:$H$11000,H1861,OUT!$D$2:$D$101007,"In")</f>
        <v>#VALUE!</v>
      </c>
      <c r="J1861" s="52">
        <f ca="1">SUMIFS(OUT!$F$2:$F$11000,OUT!$H$2:$H$11000,H1861,OUT!$D$2:$D$11000,"Out")</f>
        <v>0</v>
      </c>
      <c r="K1861" s="52">
        <f ca="1">SUMIFS(OUT!$F$2:$F$11000,OUT!$H$2:$H$11000,H1861,OUT!$D$2:$D$11000,"Out",OUT!$E$2:$E$11000,"Fix")</f>
        <v>0</v>
      </c>
      <c r="L1861" s="52">
        <f ca="1">SUMIFS(OUT!$F$2:$F$11000,OUT!$H$2:$H$11000,H1861,OUT!$D$2:$D$11000,"Out",OUT!$E$2:$E$11000,"Bathroom")</f>
        <v>0</v>
      </c>
      <c r="M1861" s="52">
        <f ca="1">SUMIFS(OUT!$F$2:$F$11000,OUT!$H$2:$H$11000,H1861,OUT!$D$2:$D$11000,"Out",OUT!$E$2:$E$11000,"Alfa")</f>
        <v>0</v>
      </c>
      <c r="N1861" s="52" t="e">
        <f>SUMIFS(OUT!$F$2:$F$11000,OUT!$H$2:$H$101007,H1861,OUT!$D$2:$D$11000,"Out",OUT!$E$2:$E$11000,"Jajan")</f>
        <v>#VALUE!</v>
      </c>
      <c r="O1861" s="52">
        <f ca="1">SUMIFS(OUT!$F$2:$F$11000,OUT!$H$2:$H$11000,H1861,OUT!$D$2:$D$11000,"Out",OUT!$E$2:$E$11000,"Kitchen")</f>
        <v>0</v>
      </c>
      <c r="P1861" s="52">
        <f ca="1">SUMIFS(OUT!$F$2:$F$11000,OUT!$H$2:$H$11000,H1861,OUT!$D$2:$D$11000,"Out",OUT!$E$2:$E$11000,"Loandry")</f>
        <v>0</v>
      </c>
      <c r="Q1861" s="52">
        <f ca="1">SUMIFS(OUT!$F$2:$F$11000,OUT!$H$2:$H$11000,H1861,OUT!$D$2:$D$11000,"Out",OUT!$E$2:$E$11000,"Mio")</f>
        <v>0</v>
      </c>
      <c r="R1861" s="52">
        <f ca="1">SUMIFS(OUT!$F$2:$F$11000,OUT!$H$2:$H$11000,H1861,OUT!$D$2:$D$11000,"Out",OUT!$E$2:$E$11000,"Sedekah")</f>
        <v>0</v>
      </c>
      <c r="S1861" s="52">
        <f ca="1">SUMIFS(OUT!$F$2:$F$11000,OUT!$H$2:$H$11000,H1861,OUT!$D$2:$D$11000,"Out",OUT!$E$2:$E$11000,"Zela")</f>
        <v>0</v>
      </c>
      <c r="T1861" s="52">
        <f ca="1">SUMIFS(OUT!$F$2:$F$11000,OUT!$H$2:$H$11000,H1861,OUT!$D$2:$D$11000,"Out",OUT!$E$2:$E$11000,"Iqbal")</f>
        <v>0</v>
      </c>
    </row>
    <row r="1862" spans="7:20" x14ac:dyDescent="0.2">
      <c r="G1862" s="50"/>
      <c r="H1862" s="51" t="str">
        <f t="shared" si="0"/>
        <v/>
      </c>
      <c r="I1862" s="52" t="e">
        <f>SUMIFS(OUT!$F$2:$F$11000,OUT!$H$2:$H$11000,H1862,OUT!$D$2:$D$101007,"In")</f>
        <v>#VALUE!</v>
      </c>
      <c r="J1862" s="52">
        <f ca="1">SUMIFS(OUT!$F$2:$F$11000,OUT!$H$2:$H$11000,H1862,OUT!$D$2:$D$11000,"Out")</f>
        <v>0</v>
      </c>
      <c r="K1862" s="52">
        <f ca="1">SUMIFS(OUT!$F$2:$F$11000,OUT!$H$2:$H$11000,H1862,OUT!$D$2:$D$11000,"Out",OUT!$E$2:$E$11000,"Fix")</f>
        <v>0</v>
      </c>
      <c r="L1862" s="52">
        <f ca="1">SUMIFS(OUT!$F$2:$F$11000,OUT!$H$2:$H$11000,H1862,OUT!$D$2:$D$11000,"Out",OUT!$E$2:$E$11000,"Bathroom")</f>
        <v>0</v>
      </c>
      <c r="M1862" s="52">
        <f ca="1">SUMIFS(OUT!$F$2:$F$11000,OUT!$H$2:$H$11000,H1862,OUT!$D$2:$D$11000,"Out",OUT!$E$2:$E$11000,"Alfa")</f>
        <v>0</v>
      </c>
      <c r="N1862" s="52" t="e">
        <f>SUMIFS(OUT!$F$2:$F$11000,OUT!$H$2:$H$101007,H1862,OUT!$D$2:$D$11000,"Out",OUT!$E$2:$E$11000,"Jajan")</f>
        <v>#VALUE!</v>
      </c>
      <c r="O1862" s="52">
        <f ca="1">SUMIFS(OUT!$F$2:$F$11000,OUT!$H$2:$H$11000,H1862,OUT!$D$2:$D$11000,"Out",OUT!$E$2:$E$11000,"Kitchen")</f>
        <v>0</v>
      </c>
      <c r="P1862" s="52">
        <f ca="1">SUMIFS(OUT!$F$2:$F$11000,OUT!$H$2:$H$11000,H1862,OUT!$D$2:$D$11000,"Out",OUT!$E$2:$E$11000,"Loandry")</f>
        <v>0</v>
      </c>
      <c r="Q1862" s="52">
        <f ca="1">SUMIFS(OUT!$F$2:$F$11000,OUT!$H$2:$H$11000,H1862,OUT!$D$2:$D$11000,"Out",OUT!$E$2:$E$11000,"Mio")</f>
        <v>0</v>
      </c>
      <c r="R1862" s="52">
        <f ca="1">SUMIFS(OUT!$F$2:$F$11000,OUT!$H$2:$H$11000,H1862,OUT!$D$2:$D$11000,"Out",OUT!$E$2:$E$11000,"Sedekah")</f>
        <v>0</v>
      </c>
      <c r="S1862" s="52">
        <f ca="1">SUMIFS(OUT!$F$2:$F$11000,OUT!$H$2:$H$11000,H1862,OUT!$D$2:$D$11000,"Out",OUT!$E$2:$E$11000,"Zela")</f>
        <v>0</v>
      </c>
      <c r="T1862" s="52">
        <f ca="1">SUMIFS(OUT!$F$2:$F$11000,OUT!$H$2:$H$11000,H1862,OUT!$D$2:$D$11000,"Out",OUT!$E$2:$E$11000,"Iqbal")</f>
        <v>0</v>
      </c>
    </row>
    <row r="1863" spans="7:20" x14ac:dyDescent="0.2">
      <c r="G1863" s="50"/>
      <c r="H1863" s="51" t="str">
        <f t="shared" si="0"/>
        <v/>
      </c>
      <c r="I1863" s="52" t="e">
        <f>SUMIFS(OUT!$F$2:$F$11000,OUT!$H$2:$H$11000,H1863,OUT!$D$2:$D$101007,"In")</f>
        <v>#VALUE!</v>
      </c>
      <c r="J1863" s="52">
        <f ca="1">SUMIFS(OUT!$F$2:$F$11000,OUT!$H$2:$H$11000,H1863,OUT!$D$2:$D$11000,"Out")</f>
        <v>0</v>
      </c>
      <c r="K1863" s="52">
        <f ca="1">SUMIFS(OUT!$F$2:$F$11000,OUT!$H$2:$H$11000,H1863,OUT!$D$2:$D$11000,"Out",OUT!$E$2:$E$11000,"Fix")</f>
        <v>0</v>
      </c>
      <c r="L1863" s="52">
        <f ca="1">SUMIFS(OUT!$F$2:$F$11000,OUT!$H$2:$H$11000,H1863,OUT!$D$2:$D$11000,"Out",OUT!$E$2:$E$11000,"Bathroom")</f>
        <v>0</v>
      </c>
      <c r="M1863" s="52">
        <f ca="1">SUMIFS(OUT!$F$2:$F$11000,OUT!$H$2:$H$11000,H1863,OUT!$D$2:$D$11000,"Out",OUT!$E$2:$E$11000,"Alfa")</f>
        <v>0</v>
      </c>
      <c r="N1863" s="52" t="e">
        <f>SUMIFS(OUT!$F$2:$F$11000,OUT!$H$2:$H$101007,H1863,OUT!$D$2:$D$11000,"Out",OUT!$E$2:$E$11000,"Jajan")</f>
        <v>#VALUE!</v>
      </c>
      <c r="O1863" s="52">
        <f ca="1">SUMIFS(OUT!$F$2:$F$11000,OUT!$H$2:$H$11000,H1863,OUT!$D$2:$D$11000,"Out",OUT!$E$2:$E$11000,"Kitchen")</f>
        <v>0</v>
      </c>
      <c r="P1863" s="52">
        <f ca="1">SUMIFS(OUT!$F$2:$F$11000,OUT!$H$2:$H$11000,H1863,OUT!$D$2:$D$11000,"Out",OUT!$E$2:$E$11000,"Loandry")</f>
        <v>0</v>
      </c>
      <c r="Q1863" s="52">
        <f ca="1">SUMIFS(OUT!$F$2:$F$11000,OUT!$H$2:$H$11000,H1863,OUT!$D$2:$D$11000,"Out",OUT!$E$2:$E$11000,"Mio")</f>
        <v>0</v>
      </c>
      <c r="R1863" s="52">
        <f ca="1">SUMIFS(OUT!$F$2:$F$11000,OUT!$H$2:$H$11000,H1863,OUT!$D$2:$D$11000,"Out",OUT!$E$2:$E$11000,"Sedekah")</f>
        <v>0</v>
      </c>
      <c r="S1863" s="52">
        <f ca="1">SUMIFS(OUT!$F$2:$F$11000,OUT!$H$2:$H$11000,H1863,OUT!$D$2:$D$11000,"Out",OUT!$E$2:$E$11000,"Zela")</f>
        <v>0</v>
      </c>
      <c r="T1863" s="52">
        <f ca="1">SUMIFS(OUT!$F$2:$F$11000,OUT!$H$2:$H$11000,H1863,OUT!$D$2:$D$11000,"Out",OUT!$E$2:$E$11000,"Iqbal")</f>
        <v>0</v>
      </c>
    </row>
    <row r="1864" spans="7:20" x14ac:dyDescent="0.2">
      <c r="G1864" s="50"/>
      <c r="H1864" s="51" t="str">
        <f t="shared" si="0"/>
        <v/>
      </c>
      <c r="I1864" s="52" t="e">
        <f>SUMIFS(OUT!$F$2:$F$11000,OUT!$H$2:$H$11000,H1864,OUT!$D$2:$D$101007,"In")</f>
        <v>#VALUE!</v>
      </c>
      <c r="J1864" s="52">
        <f ca="1">SUMIFS(OUT!$F$2:$F$11000,OUT!$H$2:$H$11000,H1864,OUT!$D$2:$D$11000,"Out")</f>
        <v>0</v>
      </c>
      <c r="K1864" s="52">
        <f ca="1">SUMIFS(OUT!$F$2:$F$11000,OUT!$H$2:$H$11000,H1864,OUT!$D$2:$D$11000,"Out",OUT!$E$2:$E$11000,"Fix")</f>
        <v>0</v>
      </c>
      <c r="L1864" s="52">
        <f ca="1">SUMIFS(OUT!$F$2:$F$11000,OUT!$H$2:$H$11000,H1864,OUT!$D$2:$D$11000,"Out",OUT!$E$2:$E$11000,"Bathroom")</f>
        <v>0</v>
      </c>
      <c r="M1864" s="52">
        <f ca="1">SUMIFS(OUT!$F$2:$F$11000,OUT!$H$2:$H$11000,H1864,OUT!$D$2:$D$11000,"Out",OUT!$E$2:$E$11000,"Alfa")</f>
        <v>0</v>
      </c>
      <c r="N1864" s="52" t="e">
        <f>SUMIFS(OUT!$F$2:$F$11000,OUT!$H$2:$H$101007,H1864,OUT!$D$2:$D$11000,"Out",OUT!$E$2:$E$11000,"Jajan")</f>
        <v>#VALUE!</v>
      </c>
      <c r="O1864" s="52">
        <f ca="1">SUMIFS(OUT!$F$2:$F$11000,OUT!$H$2:$H$11000,H1864,OUT!$D$2:$D$11000,"Out",OUT!$E$2:$E$11000,"Kitchen")</f>
        <v>0</v>
      </c>
      <c r="P1864" s="52">
        <f ca="1">SUMIFS(OUT!$F$2:$F$11000,OUT!$H$2:$H$11000,H1864,OUT!$D$2:$D$11000,"Out",OUT!$E$2:$E$11000,"Loandry")</f>
        <v>0</v>
      </c>
      <c r="Q1864" s="52">
        <f ca="1">SUMIFS(OUT!$F$2:$F$11000,OUT!$H$2:$H$11000,H1864,OUT!$D$2:$D$11000,"Out",OUT!$E$2:$E$11000,"Mio")</f>
        <v>0</v>
      </c>
      <c r="R1864" s="52">
        <f ca="1">SUMIFS(OUT!$F$2:$F$11000,OUT!$H$2:$H$11000,H1864,OUT!$D$2:$D$11000,"Out",OUT!$E$2:$E$11000,"Sedekah")</f>
        <v>0</v>
      </c>
      <c r="S1864" s="52">
        <f ca="1">SUMIFS(OUT!$F$2:$F$11000,OUT!$H$2:$H$11000,H1864,OUT!$D$2:$D$11000,"Out",OUT!$E$2:$E$11000,"Zela")</f>
        <v>0</v>
      </c>
      <c r="T1864" s="52">
        <f ca="1">SUMIFS(OUT!$F$2:$F$11000,OUT!$H$2:$H$11000,H1864,OUT!$D$2:$D$11000,"Out",OUT!$E$2:$E$11000,"Iqbal")</f>
        <v>0</v>
      </c>
    </row>
    <row r="1865" spans="7:20" x14ac:dyDescent="0.2">
      <c r="G1865" s="50"/>
      <c r="H1865" s="51" t="str">
        <f t="shared" si="0"/>
        <v/>
      </c>
      <c r="I1865" s="52" t="e">
        <f>SUMIFS(OUT!$F$2:$F$11000,OUT!$H$2:$H$11000,H1865,OUT!$D$2:$D$101007,"In")</f>
        <v>#VALUE!</v>
      </c>
      <c r="J1865" s="52">
        <f ca="1">SUMIFS(OUT!$F$2:$F$11000,OUT!$H$2:$H$11000,H1865,OUT!$D$2:$D$11000,"Out")</f>
        <v>0</v>
      </c>
      <c r="K1865" s="52">
        <f ca="1">SUMIFS(OUT!$F$2:$F$11000,OUT!$H$2:$H$11000,H1865,OUT!$D$2:$D$11000,"Out",OUT!$E$2:$E$11000,"Fix")</f>
        <v>0</v>
      </c>
      <c r="L1865" s="52">
        <f ca="1">SUMIFS(OUT!$F$2:$F$11000,OUT!$H$2:$H$11000,H1865,OUT!$D$2:$D$11000,"Out",OUT!$E$2:$E$11000,"Bathroom")</f>
        <v>0</v>
      </c>
      <c r="M1865" s="52">
        <f ca="1">SUMIFS(OUT!$F$2:$F$11000,OUT!$H$2:$H$11000,H1865,OUT!$D$2:$D$11000,"Out",OUT!$E$2:$E$11000,"Alfa")</f>
        <v>0</v>
      </c>
      <c r="N1865" s="52" t="e">
        <f>SUMIFS(OUT!$F$2:$F$11000,OUT!$H$2:$H$101007,H1865,OUT!$D$2:$D$11000,"Out",OUT!$E$2:$E$11000,"Jajan")</f>
        <v>#VALUE!</v>
      </c>
      <c r="O1865" s="52">
        <f ca="1">SUMIFS(OUT!$F$2:$F$11000,OUT!$H$2:$H$11000,H1865,OUT!$D$2:$D$11000,"Out",OUT!$E$2:$E$11000,"Kitchen")</f>
        <v>0</v>
      </c>
      <c r="P1865" s="52">
        <f ca="1">SUMIFS(OUT!$F$2:$F$11000,OUT!$H$2:$H$11000,H1865,OUT!$D$2:$D$11000,"Out",OUT!$E$2:$E$11000,"Loandry")</f>
        <v>0</v>
      </c>
      <c r="Q1865" s="52">
        <f ca="1">SUMIFS(OUT!$F$2:$F$11000,OUT!$H$2:$H$11000,H1865,OUT!$D$2:$D$11000,"Out",OUT!$E$2:$E$11000,"Mio")</f>
        <v>0</v>
      </c>
      <c r="R1865" s="52">
        <f ca="1">SUMIFS(OUT!$F$2:$F$11000,OUT!$H$2:$H$11000,H1865,OUT!$D$2:$D$11000,"Out",OUT!$E$2:$E$11000,"Sedekah")</f>
        <v>0</v>
      </c>
      <c r="S1865" s="52">
        <f ca="1">SUMIFS(OUT!$F$2:$F$11000,OUT!$H$2:$H$11000,H1865,OUT!$D$2:$D$11000,"Out",OUT!$E$2:$E$11000,"Zela")</f>
        <v>0</v>
      </c>
      <c r="T1865" s="52">
        <f ca="1">SUMIFS(OUT!$F$2:$F$11000,OUT!$H$2:$H$11000,H1865,OUT!$D$2:$D$11000,"Out",OUT!$E$2:$E$11000,"Iqbal")</f>
        <v>0</v>
      </c>
    </row>
    <row r="1866" spans="7:20" x14ac:dyDescent="0.2">
      <c r="G1866" s="50"/>
      <c r="H1866" s="51" t="str">
        <f t="shared" si="0"/>
        <v/>
      </c>
      <c r="I1866" s="52" t="e">
        <f>SUMIFS(OUT!$F$2:$F$11000,OUT!$H$2:$H$11000,H1866,OUT!$D$2:$D$101007,"In")</f>
        <v>#VALUE!</v>
      </c>
      <c r="J1866" s="52">
        <f ca="1">SUMIFS(OUT!$F$2:$F$11000,OUT!$H$2:$H$11000,H1866,OUT!$D$2:$D$11000,"Out")</f>
        <v>0</v>
      </c>
      <c r="K1866" s="52">
        <f ca="1">SUMIFS(OUT!$F$2:$F$11000,OUT!$H$2:$H$11000,H1866,OUT!$D$2:$D$11000,"Out",OUT!$E$2:$E$11000,"Fix")</f>
        <v>0</v>
      </c>
      <c r="L1866" s="52">
        <f ca="1">SUMIFS(OUT!$F$2:$F$11000,OUT!$H$2:$H$11000,H1866,OUT!$D$2:$D$11000,"Out",OUT!$E$2:$E$11000,"Bathroom")</f>
        <v>0</v>
      </c>
      <c r="M1866" s="52">
        <f ca="1">SUMIFS(OUT!$F$2:$F$11000,OUT!$H$2:$H$11000,H1866,OUT!$D$2:$D$11000,"Out",OUT!$E$2:$E$11000,"Alfa")</f>
        <v>0</v>
      </c>
      <c r="N1866" s="52" t="e">
        <f>SUMIFS(OUT!$F$2:$F$11000,OUT!$H$2:$H$101007,H1866,OUT!$D$2:$D$11000,"Out",OUT!$E$2:$E$11000,"Jajan")</f>
        <v>#VALUE!</v>
      </c>
      <c r="O1866" s="52">
        <f ca="1">SUMIFS(OUT!$F$2:$F$11000,OUT!$H$2:$H$11000,H1866,OUT!$D$2:$D$11000,"Out",OUT!$E$2:$E$11000,"Kitchen")</f>
        <v>0</v>
      </c>
      <c r="P1866" s="52">
        <f ca="1">SUMIFS(OUT!$F$2:$F$11000,OUT!$H$2:$H$11000,H1866,OUT!$D$2:$D$11000,"Out",OUT!$E$2:$E$11000,"Loandry")</f>
        <v>0</v>
      </c>
      <c r="Q1866" s="52">
        <f ca="1">SUMIFS(OUT!$F$2:$F$11000,OUT!$H$2:$H$11000,H1866,OUT!$D$2:$D$11000,"Out",OUT!$E$2:$E$11000,"Mio")</f>
        <v>0</v>
      </c>
      <c r="R1866" s="52">
        <f ca="1">SUMIFS(OUT!$F$2:$F$11000,OUT!$H$2:$H$11000,H1866,OUT!$D$2:$D$11000,"Out",OUT!$E$2:$E$11000,"Sedekah")</f>
        <v>0</v>
      </c>
      <c r="S1866" s="52">
        <f ca="1">SUMIFS(OUT!$F$2:$F$11000,OUT!$H$2:$H$11000,H1866,OUT!$D$2:$D$11000,"Out",OUT!$E$2:$E$11000,"Zela")</f>
        <v>0</v>
      </c>
      <c r="T1866" s="52">
        <f ca="1">SUMIFS(OUT!$F$2:$F$11000,OUT!$H$2:$H$11000,H1866,OUT!$D$2:$D$11000,"Out",OUT!$E$2:$E$11000,"Iqbal")</f>
        <v>0</v>
      </c>
    </row>
    <row r="1867" spans="7:20" x14ac:dyDescent="0.2">
      <c r="G1867" s="50"/>
      <c r="H1867" s="51" t="str">
        <f t="shared" si="0"/>
        <v/>
      </c>
      <c r="I1867" s="52" t="e">
        <f>SUMIFS(OUT!$F$2:$F$11000,OUT!$H$2:$H$11000,H1867,OUT!$D$2:$D$101007,"In")</f>
        <v>#VALUE!</v>
      </c>
      <c r="J1867" s="52">
        <f ca="1">SUMIFS(OUT!$F$2:$F$11000,OUT!$H$2:$H$11000,H1867,OUT!$D$2:$D$11000,"Out")</f>
        <v>0</v>
      </c>
      <c r="K1867" s="52">
        <f ca="1">SUMIFS(OUT!$F$2:$F$11000,OUT!$H$2:$H$11000,H1867,OUT!$D$2:$D$11000,"Out",OUT!$E$2:$E$11000,"Fix")</f>
        <v>0</v>
      </c>
      <c r="L1867" s="52">
        <f ca="1">SUMIFS(OUT!$F$2:$F$11000,OUT!$H$2:$H$11000,H1867,OUT!$D$2:$D$11000,"Out",OUT!$E$2:$E$11000,"Bathroom")</f>
        <v>0</v>
      </c>
      <c r="M1867" s="52">
        <f ca="1">SUMIFS(OUT!$F$2:$F$11000,OUT!$H$2:$H$11000,H1867,OUT!$D$2:$D$11000,"Out",OUT!$E$2:$E$11000,"Alfa")</f>
        <v>0</v>
      </c>
      <c r="N1867" s="52" t="e">
        <f>SUMIFS(OUT!$F$2:$F$11000,OUT!$H$2:$H$101007,H1867,OUT!$D$2:$D$11000,"Out",OUT!$E$2:$E$11000,"Jajan")</f>
        <v>#VALUE!</v>
      </c>
      <c r="O1867" s="52">
        <f ca="1">SUMIFS(OUT!$F$2:$F$11000,OUT!$H$2:$H$11000,H1867,OUT!$D$2:$D$11000,"Out",OUT!$E$2:$E$11000,"Kitchen")</f>
        <v>0</v>
      </c>
      <c r="P1867" s="52">
        <f ca="1">SUMIFS(OUT!$F$2:$F$11000,OUT!$H$2:$H$11000,H1867,OUT!$D$2:$D$11000,"Out",OUT!$E$2:$E$11000,"Loandry")</f>
        <v>0</v>
      </c>
      <c r="Q1867" s="52">
        <f ca="1">SUMIFS(OUT!$F$2:$F$11000,OUT!$H$2:$H$11000,H1867,OUT!$D$2:$D$11000,"Out",OUT!$E$2:$E$11000,"Mio")</f>
        <v>0</v>
      </c>
      <c r="R1867" s="52">
        <f ca="1">SUMIFS(OUT!$F$2:$F$11000,OUT!$H$2:$H$11000,H1867,OUT!$D$2:$D$11000,"Out",OUT!$E$2:$E$11000,"Sedekah")</f>
        <v>0</v>
      </c>
      <c r="S1867" s="52">
        <f ca="1">SUMIFS(OUT!$F$2:$F$11000,OUT!$H$2:$H$11000,H1867,OUT!$D$2:$D$11000,"Out",OUT!$E$2:$E$11000,"Zela")</f>
        <v>0</v>
      </c>
      <c r="T1867" s="52">
        <f ca="1">SUMIFS(OUT!$F$2:$F$11000,OUT!$H$2:$H$11000,H1867,OUT!$D$2:$D$11000,"Out",OUT!$E$2:$E$11000,"Iqbal")</f>
        <v>0</v>
      </c>
    </row>
    <row r="1868" spans="7:20" x14ac:dyDescent="0.2">
      <c r="G1868" s="50"/>
      <c r="H1868" s="51" t="str">
        <f t="shared" si="0"/>
        <v/>
      </c>
      <c r="I1868" s="52" t="e">
        <f>SUMIFS(OUT!$F$2:$F$11000,OUT!$H$2:$H$11000,H1868,OUT!$D$2:$D$101007,"In")</f>
        <v>#VALUE!</v>
      </c>
      <c r="J1868" s="52">
        <f ca="1">SUMIFS(OUT!$F$2:$F$11000,OUT!$H$2:$H$11000,H1868,OUT!$D$2:$D$11000,"Out")</f>
        <v>0</v>
      </c>
      <c r="K1868" s="52">
        <f ca="1">SUMIFS(OUT!$F$2:$F$11000,OUT!$H$2:$H$11000,H1868,OUT!$D$2:$D$11000,"Out",OUT!$E$2:$E$11000,"Fix")</f>
        <v>0</v>
      </c>
      <c r="L1868" s="52">
        <f ca="1">SUMIFS(OUT!$F$2:$F$11000,OUT!$H$2:$H$11000,H1868,OUT!$D$2:$D$11000,"Out",OUT!$E$2:$E$11000,"Bathroom")</f>
        <v>0</v>
      </c>
      <c r="M1868" s="52">
        <f ca="1">SUMIFS(OUT!$F$2:$F$11000,OUT!$H$2:$H$11000,H1868,OUT!$D$2:$D$11000,"Out",OUT!$E$2:$E$11000,"Alfa")</f>
        <v>0</v>
      </c>
      <c r="N1868" s="52" t="e">
        <f>SUMIFS(OUT!$F$2:$F$11000,OUT!$H$2:$H$101007,H1868,OUT!$D$2:$D$11000,"Out",OUT!$E$2:$E$11000,"Jajan")</f>
        <v>#VALUE!</v>
      </c>
      <c r="O1868" s="52">
        <f ca="1">SUMIFS(OUT!$F$2:$F$11000,OUT!$H$2:$H$11000,H1868,OUT!$D$2:$D$11000,"Out",OUT!$E$2:$E$11000,"Kitchen")</f>
        <v>0</v>
      </c>
      <c r="P1868" s="52">
        <f ca="1">SUMIFS(OUT!$F$2:$F$11000,OUT!$H$2:$H$11000,H1868,OUT!$D$2:$D$11000,"Out",OUT!$E$2:$E$11000,"Loandry")</f>
        <v>0</v>
      </c>
      <c r="Q1868" s="52">
        <f ca="1">SUMIFS(OUT!$F$2:$F$11000,OUT!$H$2:$H$11000,H1868,OUT!$D$2:$D$11000,"Out",OUT!$E$2:$E$11000,"Mio")</f>
        <v>0</v>
      </c>
      <c r="R1868" s="52">
        <f ca="1">SUMIFS(OUT!$F$2:$F$11000,OUT!$H$2:$H$11000,H1868,OUT!$D$2:$D$11000,"Out",OUT!$E$2:$E$11000,"Sedekah")</f>
        <v>0</v>
      </c>
      <c r="S1868" s="52">
        <f ca="1">SUMIFS(OUT!$F$2:$F$11000,OUT!$H$2:$H$11000,H1868,OUT!$D$2:$D$11000,"Out",OUT!$E$2:$E$11000,"Zela")</f>
        <v>0</v>
      </c>
      <c r="T1868" s="52">
        <f ca="1">SUMIFS(OUT!$F$2:$F$11000,OUT!$H$2:$H$11000,H1868,OUT!$D$2:$D$11000,"Out",OUT!$E$2:$E$11000,"Iqbal")</f>
        <v>0</v>
      </c>
    </row>
    <row r="1869" spans="7:20" x14ac:dyDescent="0.2">
      <c r="G1869" s="50"/>
      <c r="H1869" s="51" t="str">
        <f t="shared" si="0"/>
        <v/>
      </c>
      <c r="I1869" s="52" t="e">
        <f>SUMIFS(OUT!$F$2:$F$11000,OUT!$H$2:$H$11000,H1869,OUT!$D$2:$D$101007,"In")</f>
        <v>#VALUE!</v>
      </c>
      <c r="J1869" s="52">
        <f ca="1">SUMIFS(OUT!$F$2:$F$11000,OUT!$H$2:$H$11000,H1869,OUT!$D$2:$D$11000,"Out")</f>
        <v>0</v>
      </c>
      <c r="K1869" s="52">
        <f ca="1">SUMIFS(OUT!$F$2:$F$11000,OUT!$H$2:$H$11000,H1869,OUT!$D$2:$D$11000,"Out",OUT!$E$2:$E$11000,"Fix")</f>
        <v>0</v>
      </c>
      <c r="L1869" s="52">
        <f ca="1">SUMIFS(OUT!$F$2:$F$11000,OUT!$H$2:$H$11000,H1869,OUT!$D$2:$D$11000,"Out",OUT!$E$2:$E$11000,"Bathroom")</f>
        <v>0</v>
      </c>
      <c r="M1869" s="52">
        <f ca="1">SUMIFS(OUT!$F$2:$F$11000,OUT!$H$2:$H$11000,H1869,OUT!$D$2:$D$11000,"Out",OUT!$E$2:$E$11000,"Alfa")</f>
        <v>0</v>
      </c>
      <c r="N1869" s="52" t="e">
        <f>SUMIFS(OUT!$F$2:$F$11000,OUT!$H$2:$H$101007,H1869,OUT!$D$2:$D$11000,"Out",OUT!$E$2:$E$11000,"Jajan")</f>
        <v>#VALUE!</v>
      </c>
      <c r="O1869" s="52">
        <f ca="1">SUMIFS(OUT!$F$2:$F$11000,OUT!$H$2:$H$11000,H1869,OUT!$D$2:$D$11000,"Out",OUT!$E$2:$E$11000,"Kitchen")</f>
        <v>0</v>
      </c>
      <c r="P1869" s="52">
        <f ca="1">SUMIFS(OUT!$F$2:$F$11000,OUT!$H$2:$H$11000,H1869,OUT!$D$2:$D$11000,"Out",OUT!$E$2:$E$11000,"Loandry")</f>
        <v>0</v>
      </c>
      <c r="Q1869" s="52">
        <f ca="1">SUMIFS(OUT!$F$2:$F$11000,OUT!$H$2:$H$11000,H1869,OUT!$D$2:$D$11000,"Out",OUT!$E$2:$E$11000,"Mio")</f>
        <v>0</v>
      </c>
      <c r="R1869" s="52">
        <f ca="1">SUMIFS(OUT!$F$2:$F$11000,OUT!$H$2:$H$11000,H1869,OUT!$D$2:$D$11000,"Out",OUT!$E$2:$E$11000,"Sedekah")</f>
        <v>0</v>
      </c>
      <c r="S1869" s="52">
        <f ca="1">SUMIFS(OUT!$F$2:$F$11000,OUT!$H$2:$H$11000,H1869,OUT!$D$2:$D$11000,"Out",OUT!$E$2:$E$11000,"Zela")</f>
        <v>0</v>
      </c>
      <c r="T1869" s="52">
        <f ca="1">SUMIFS(OUT!$F$2:$F$11000,OUT!$H$2:$H$11000,H1869,OUT!$D$2:$D$11000,"Out",OUT!$E$2:$E$11000,"Iqbal")</f>
        <v>0</v>
      </c>
    </row>
    <row r="1870" spans="7:20" x14ac:dyDescent="0.2">
      <c r="G1870" s="50"/>
      <c r="H1870" s="51" t="str">
        <f t="shared" si="0"/>
        <v/>
      </c>
      <c r="I1870" s="52" t="e">
        <f>SUMIFS(OUT!$F$2:$F$11000,OUT!$H$2:$H$11000,H1870,OUT!$D$2:$D$101007,"In")</f>
        <v>#VALUE!</v>
      </c>
      <c r="J1870" s="52">
        <f ca="1">SUMIFS(OUT!$F$2:$F$11000,OUT!$H$2:$H$11000,H1870,OUT!$D$2:$D$11000,"Out")</f>
        <v>0</v>
      </c>
      <c r="K1870" s="52">
        <f ca="1">SUMIFS(OUT!$F$2:$F$11000,OUT!$H$2:$H$11000,H1870,OUT!$D$2:$D$11000,"Out",OUT!$E$2:$E$11000,"Fix")</f>
        <v>0</v>
      </c>
      <c r="L1870" s="52">
        <f ca="1">SUMIFS(OUT!$F$2:$F$11000,OUT!$H$2:$H$11000,H1870,OUT!$D$2:$D$11000,"Out",OUT!$E$2:$E$11000,"Bathroom")</f>
        <v>0</v>
      </c>
      <c r="M1870" s="52">
        <f ca="1">SUMIFS(OUT!$F$2:$F$11000,OUT!$H$2:$H$11000,H1870,OUT!$D$2:$D$11000,"Out",OUT!$E$2:$E$11000,"Alfa")</f>
        <v>0</v>
      </c>
      <c r="N1870" s="52" t="e">
        <f>SUMIFS(OUT!$F$2:$F$11000,OUT!$H$2:$H$101007,H1870,OUT!$D$2:$D$11000,"Out",OUT!$E$2:$E$11000,"Jajan")</f>
        <v>#VALUE!</v>
      </c>
      <c r="O1870" s="52">
        <f ca="1">SUMIFS(OUT!$F$2:$F$11000,OUT!$H$2:$H$11000,H1870,OUT!$D$2:$D$11000,"Out",OUT!$E$2:$E$11000,"Kitchen")</f>
        <v>0</v>
      </c>
      <c r="P1870" s="52">
        <f ca="1">SUMIFS(OUT!$F$2:$F$11000,OUT!$H$2:$H$11000,H1870,OUT!$D$2:$D$11000,"Out",OUT!$E$2:$E$11000,"Loandry")</f>
        <v>0</v>
      </c>
      <c r="Q1870" s="52">
        <f ca="1">SUMIFS(OUT!$F$2:$F$11000,OUT!$H$2:$H$11000,H1870,OUT!$D$2:$D$11000,"Out",OUT!$E$2:$E$11000,"Mio")</f>
        <v>0</v>
      </c>
      <c r="R1870" s="52">
        <f ca="1">SUMIFS(OUT!$F$2:$F$11000,OUT!$H$2:$H$11000,H1870,OUT!$D$2:$D$11000,"Out",OUT!$E$2:$E$11000,"Sedekah")</f>
        <v>0</v>
      </c>
      <c r="S1870" s="52">
        <f ca="1">SUMIFS(OUT!$F$2:$F$11000,OUT!$H$2:$H$11000,H1870,OUT!$D$2:$D$11000,"Out",OUT!$E$2:$E$11000,"Zela")</f>
        <v>0</v>
      </c>
      <c r="T1870" s="52">
        <f ca="1">SUMIFS(OUT!$F$2:$F$11000,OUT!$H$2:$H$11000,H1870,OUT!$D$2:$D$11000,"Out",OUT!$E$2:$E$11000,"Iqbal")</f>
        <v>0</v>
      </c>
    </row>
    <row r="1871" spans="7:20" x14ac:dyDescent="0.2">
      <c r="G1871" s="50"/>
      <c r="H1871" s="51" t="str">
        <f t="shared" si="0"/>
        <v/>
      </c>
      <c r="I1871" s="52" t="e">
        <f>SUMIFS(OUT!$F$2:$F$11000,OUT!$H$2:$H$11000,H1871,OUT!$D$2:$D$101007,"In")</f>
        <v>#VALUE!</v>
      </c>
      <c r="J1871" s="52">
        <f ca="1">SUMIFS(OUT!$F$2:$F$11000,OUT!$H$2:$H$11000,H1871,OUT!$D$2:$D$11000,"Out")</f>
        <v>0</v>
      </c>
      <c r="K1871" s="52">
        <f ca="1">SUMIFS(OUT!$F$2:$F$11000,OUT!$H$2:$H$11000,H1871,OUT!$D$2:$D$11000,"Out",OUT!$E$2:$E$11000,"Fix")</f>
        <v>0</v>
      </c>
      <c r="L1871" s="52">
        <f ca="1">SUMIFS(OUT!$F$2:$F$11000,OUT!$H$2:$H$11000,H1871,OUT!$D$2:$D$11000,"Out",OUT!$E$2:$E$11000,"Bathroom")</f>
        <v>0</v>
      </c>
      <c r="M1871" s="52">
        <f ca="1">SUMIFS(OUT!$F$2:$F$11000,OUT!$H$2:$H$11000,H1871,OUT!$D$2:$D$11000,"Out",OUT!$E$2:$E$11000,"Alfa")</f>
        <v>0</v>
      </c>
      <c r="N1871" s="52" t="e">
        <f>SUMIFS(OUT!$F$2:$F$11000,OUT!$H$2:$H$101007,H1871,OUT!$D$2:$D$11000,"Out",OUT!$E$2:$E$11000,"Jajan")</f>
        <v>#VALUE!</v>
      </c>
      <c r="O1871" s="52">
        <f ca="1">SUMIFS(OUT!$F$2:$F$11000,OUT!$H$2:$H$11000,H1871,OUT!$D$2:$D$11000,"Out",OUT!$E$2:$E$11000,"Kitchen")</f>
        <v>0</v>
      </c>
      <c r="P1871" s="52">
        <f ca="1">SUMIFS(OUT!$F$2:$F$11000,OUT!$H$2:$H$11000,H1871,OUT!$D$2:$D$11000,"Out",OUT!$E$2:$E$11000,"Loandry")</f>
        <v>0</v>
      </c>
      <c r="Q1871" s="52">
        <f ca="1">SUMIFS(OUT!$F$2:$F$11000,OUT!$H$2:$H$11000,H1871,OUT!$D$2:$D$11000,"Out",OUT!$E$2:$E$11000,"Mio")</f>
        <v>0</v>
      </c>
      <c r="R1871" s="52">
        <f ca="1">SUMIFS(OUT!$F$2:$F$11000,OUT!$H$2:$H$11000,H1871,OUT!$D$2:$D$11000,"Out",OUT!$E$2:$E$11000,"Sedekah")</f>
        <v>0</v>
      </c>
      <c r="S1871" s="52">
        <f ca="1">SUMIFS(OUT!$F$2:$F$11000,OUT!$H$2:$H$11000,H1871,OUT!$D$2:$D$11000,"Out",OUT!$E$2:$E$11000,"Zela")</f>
        <v>0</v>
      </c>
      <c r="T1871" s="52">
        <f ca="1">SUMIFS(OUT!$F$2:$F$11000,OUT!$H$2:$H$11000,H1871,OUT!$D$2:$D$11000,"Out",OUT!$E$2:$E$11000,"Iqbal")</f>
        <v>0</v>
      </c>
    </row>
    <row r="1872" spans="7:20" x14ac:dyDescent="0.2">
      <c r="G1872" s="50"/>
      <c r="H1872" s="51" t="str">
        <f t="shared" si="0"/>
        <v/>
      </c>
      <c r="I1872" s="52" t="e">
        <f>SUMIFS(OUT!$F$2:$F$11000,OUT!$H$2:$H$11000,H1872,OUT!$D$2:$D$101007,"In")</f>
        <v>#VALUE!</v>
      </c>
      <c r="J1872" s="52">
        <f ca="1">SUMIFS(OUT!$F$2:$F$11000,OUT!$H$2:$H$11000,H1872,OUT!$D$2:$D$11000,"Out")</f>
        <v>0</v>
      </c>
      <c r="K1872" s="52">
        <f ca="1">SUMIFS(OUT!$F$2:$F$11000,OUT!$H$2:$H$11000,H1872,OUT!$D$2:$D$11000,"Out",OUT!$E$2:$E$11000,"Fix")</f>
        <v>0</v>
      </c>
      <c r="L1872" s="52">
        <f ca="1">SUMIFS(OUT!$F$2:$F$11000,OUT!$H$2:$H$11000,H1872,OUT!$D$2:$D$11000,"Out",OUT!$E$2:$E$11000,"Bathroom")</f>
        <v>0</v>
      </c>
      <c r="M1872" s="52">
        <f ca="1">SUMIFS(OUT!$F$2:$F$11000,OUT!$H$2:$H$11000,H1872,OUT!$D$2:$D$11000,"Out",OUT!$E$2:$E$11000,"Alfa")</f>
        <v>0</v>
      </c>
      <c r="N1872" s="52" t="e">
        <f>SUMIFS(OUT!$F$2:$F$11000,OUT!$H$2:$H$101007,H1872,OUT!$D$2:$D$11000,"Out",OUT!$E$2:$E$11000,"Jajan")</f>
        <v>#VALUE!</v>
      </c>
      <c r="O1872" s="52">
        <f ca="1">SUMIFS(OUT!$F$2:$F$11000,OUT!$H$2:$H$11000,H1872,OUT!$D$2:$D$11000,"Out",OUT!$E$2:$E$11000,"Kitchen")</f>
        <v>0</v>
      </c>
      <c r="P1872" s="52">
        <f ca="1">SUMIFS(OUT!$F$2:$F$11000,OUT!$H$2:$H$11000,H1872,OUT!$D$2:$D$11000,"Out",OUT!$E$2:$E$11000,"Loandry")</f>
        <v>0</v>
      </c>
      <c r="Q1872" s="52">
        <f ca="1">SUMIFS(OUT!$F$2:$F$11000,OUT!$H$2:$H$11000,H1872,OUT!$D$2:$D$11000,"Out",OUT!$E$2:$E$11000,"Mio")</f>
        <v>0</v>
      </c>
      <c r="R1872" s="52">
        <f ca="1">SUMIFS(OUT!$F$2:$F$11000,OUT!$H$2:$H$11000,H1872,OUT!$D$2:$D$11000,"Out",OUT!$E$2:$E$11000,"Sedekah")</f>
        <v>0</v>
      </c>
      <c r="S1872" s="52">
        <f ca="1">SUMIFS(OUT!$F$2:$F$11000,OUT!$H$2:$H$11000,H1872,OUT!$D$2:$D$11000,"Out",OUT!$E$2:$E$11000,"Zela")</f>
        <v>0</v>
      </c>
      <c r="T1872" s="52">
        <f ca="1">SUMIFS(OUT!$F$2:$F$11000,OUT!$H$2:$H$11000,H1872,OUT!$D$2:$D$11000,"Out",OUT!$E$2:$E$11000,"Iqbal")</f>
        <v>0</v>
      </c>
    </row>
    <row r="1873" spans="7:20" x14ac:dyDescent="0.2">
      <c r="G1873" s="50"/>
      <c r="H1873" s="51" t="str">
        <f t="shared" si="0"/>
        <v/>
      </c>
      <c r="I1873" s="52" t="e">
        <f>SUMIFS(OUT!$F$2:$F$11000,OUT!$H$2:$H$11000,H1873,OUT!$D$2:$D$101007,"In")</f>
        <v>#VALUE!</v>
      </c>
      <c r="J1873" s="52">
        <f ca="1">SUMIFS(OUT!$F$2:$F$11000,OUT!$H$2:$H$11000,H1873,OUT!$D$2:$D$11000,"Out")</f>
        <v>0</v>
      </c>
      <c r="K1873" s="52">
        <f ca="1">SUMIFS(OUT!$F$2:$F$11000,OUT!$H$2:$H$11000,H1873,OUT!$D$2:$D$11000,"Out",OUT!$E$2:$E$11000,"Fix")</f>
        <v>0</v>
      </c>
      <c r="L1873" s="52">
        <f ca="1">SUMIFS(OUT!$F$2:$F$11000,OUT!$H$2:$H$11000,H1873,OUT!$D$2:$D$11000,"Out",OUT!$E$2:$E$11000,"Bathroom")</f>
        <v>0</v>
      </c>
      <c r="M1873" s="52">
        <f ca="1">SUMIFS(OUT!$F$2:$F$11000,OUT!$H$2:$H$11000,H1873,OUT!$D$2:$D$11000,"Out",OUT!$E$2:$E$11000,"Alfa")</f>
        <v>0</v>
      </c>
      <c r="N1873" s="52" t="e">
        <f>SUMIFS(OUT!$F$2:$F$11000,OUT!$H$2:$H$101007,H1873,OUT!$D$2:$D$11000,"Out",OUT!$E$2:$E$11000,"Jajan")</f>
        <v>#VALUE!</v>
      </c>
      <c r="O1873" s="52">
        <f ca="1">SUMIFS(OUT!$F$2:$F$11000,OUT!$H$2:$H$11000,H1873,OUT!$D$2:$D$11000,"Out",OUT!$E$2:$E$11000,"Kitchen")</f>
        <v>0</v>
      </c>
      <c r="P1873" s="52">
        <f ca="1">SUMIFS(OUT!$F$2:$F$11000,OUT!$H$2:$H$11000,H1873,OUT!$D$2:$D$11000,"Out",OUT!$E$2:$E$11000,"Loandry")</f>
        <v>0</v>
      </c>
      <c r="Q1873" s="52">
        <f ca="1">SUMIFS(OUT!$F$2:$F$11000,OUT!$H$2:$H$11000,H1873,OUT!$D$2:$D$11000,"Out",OUT!$E$2:$E$11000,"Mio")</f>
        <v>0</v>
      </c>
      <c r="R1873" s="52">
        <f ca="1">SUMIFS(OUT!$F$2:$F$11000,OUT!$H$2:$H$11000,H1873,OUT!$D$2:$D$11000,"Out",OUT!$E$2:$E$11000,"Sedekah")</f>
        <v>0</v>
      </c>
      <c r="S1873" s="52">
        <f ca="1">SUMIFS(OUT!$F$2:$F$11000,OUT!$H$2:$H$11000,H1873,OUT!$D$2:$D$11000,"Out",OUT!$E$2:$E$11000,"Zela")</f>
        <v>0</v>
      </c>
      <c r="T1873" s="52">
        <f ca="1">SUMIFS(OUT!$F$2:$F$11000,OUT!$H$2:$H$11000,H1873,OUT!$D$2:$D$11000,"Out",OUT!$E$2:$E$11000,"Iqbal")</f>
        <v>0</v>
      </c>
    </row>
    <row r="1874" spans="7:20" x14ac:dyDescent="0.2">
      <c r="G1874" s="50"/>
      <c r="H1874" s="51" t="str">
        <f t="shared" si="0"/>
        <v/>
      </c>
      <c r="I1874" s="52" t="e">
        <f>SUMIFS(OUT!$F$2:$F$11000,OUT!$H$2:$H$11000,H1874,OUT!$D$2:$D$101007,"In")</f>
        <v>#VALUE!</v>
      </c>
      <c r="J1874" s="52">
        <f ca="1">SUMIFS(OUT!$F$2:$F$11000,OUT!$H$2:$H$11000,H1874,OUT!$D$2:$D$11000,"Out")</f>
        <v>0</v>
      </c>
      <c r="K1874" s="52">
        <f ca="1">SUMIFS(OUT!$F$2:$F$11000,OUT!$H$2:$H$11000,H1874,OUT!$D$2:$D$11000,"Out",OUT!$E$2:$E$11000,"Fix")</f>
        <v>0</v>
      </c>
      <c r="L1874" s="52">
        <f ca="1">SUMIFS(OUT!$F$2:$F$11000,OUT!$H$2:$H$11000,H1874,OUT!$D$2:$D$11000,"Out",OUT!$E$2:$E$11000,"Bathroom")</f>
        <v>0</v>
      </c>
      <c r="M1874" s="52">
        <f ca="1">SUMIFS(OUT!$F$2:$F$11000,OUT!$H$2:$H$11000,H1874,OUT!$D$2:$D$11000,"Out",OUT!$E$2:$E$11000,"Alfa")</f>
        <v>0</v>
      </c>
      <c r="N1874" s="52" t="e">
        <f>SUMIFS(OUT!$F$2:$F$11000,OUT!$H$2:$H$101007,H1874,OUT!$D$2:$D$11000,"Out",OUT!$E$2:$E$11000,"Jajan")</f>
        <v>#VALUE!</v>
      </c>
      <c r="O1874" s="52">
        <f ca="1">SUMIFS(OUT!$F$2:$F$11000,OUT!$H$2:$H$11000,H1874,OUT!$D$2:$D$11000,"Out",OUT!$E$2:$E$11000,"Kitchen")</f>
        <v>0</v>
      </c>
      <c r="P1874" s="52">
        <f ca="1">SUMIFS(OUT!$F$2:$F$11000,OUT!$H$2:$H$11000,H1874,OUT!$D$2:$D$11000,"Out",OUT!$E$2:$E$11000,"Loandry")</f>
        <v>0</v>
      </c>
      <c r="Q1874" s="52">
        <f ca="1">SUMIFS(OUT!$F$2:$F$11000,OUT!$H$2:$H$11000,H1874,OUT!$D$2:$D$11000,"Out",OUT!$E$2:$E$11000,"Mio")</f>
        <v>0</v>
      </c>
      <c r="R1874" s="52">
        <f ca="1">SUMIFS(OUT!$F$2:$F$11000,OUT!$H$2:$H$11000,H1874,OUT!$D$2:$D$11000,"Out",OUT!$E$2:$E$11000,"Sedekah")</f>
        <v>0</v>
      </c>
      <c r="S1874" s="52">
        <f ca="1">SUMIFS(OUT!$F$2:$F$11000,OUT!$H$2:$H$11000,H1874,OUT!$D$2:$D$11000,"Out",OUT!$E$2:$E$11000,"Zela")</f>
        <v>0</v>
      </c>
      <c r="T1874" s="52">
        <f ca="1">SUMIFS(OUT!$F$2:$F$11000,OUT!$H$2:$H$11000,H1874,OUT!$D$2:$D$11000,"Out",OUT!$E$2:$E$11000,"Iqbal")</f>
        <v>0</v>
      </c>
    </row>
    <row r="1875" spans="7:20" x14ac:dyDescent="0.2">
      <c r="G1875" s="50"/>
      <c r="H1875" s="51" t="str">
        <f t="shared" si="0"/>
        <v/>
      </c>
      <c r="I1875" s="52" t="e">
        <f>SUMIFS(OUT!$F$2:$F$11000,OUT!$H$2:$H$11000,H1875,OUT!$D$2:$D$101007,"In")</f>
        <v>#VALUE!</v>
      </c>
      <c r="J1875" s="52">
        <f ca="1">SUMIFS(OUT!$F$2:$F$11000,OUT!$H$2:$H$11000,H1875,OUT!$D$2:$D$11000,"Out")</f>
        <v>0</v>
      </c>
      <c r="K1875" s="52">
        <f ca="1">SUMIFS(OUT!$F$2:$F$11000,OUT!$H$2:$H$11000,H1875,OUT!$D$2:$D$11000,"Out",OUT!$E$2:$E$11000,"Fix")</f>
        <v>0</v>
      </c>
      <c r="L1875" s="52">
        <f ca="1">SUMIFS(OUT!$F$2:$F$11000,OUT!$H$2:$H$11000,H1875,OUT!$D$2:$D$11000,"Out",OUT!$E$2:$E$11000,"Bathroom")</f>
        <v>0</v>
      </c>
      <c r="M1875" s="52">
        <f ca="1">SUMIFS(OUT!$F$2:$F$11000,OUT!$H$2:$H$11000,H1875,OUT!$D$2:$D$11000,"Out",OUT!$E$2:$E$11000,"Alfa")</f>
        <v>0</v>
      </c>
      <c r="N1875" s="52" t="e">
        <f>SUMIFS(OUT!$F$2:$F$11000,OUT!$H$2:$H$101007,H1875,OUT!$D$2:$D$11000,"Out",OUT!$E$2:$E$11000,"Jajan")</f>
        <v>#VALUE!</v>
      </c>
      <c r="O1875" s="52">
        <f ca="1">SUMIFS(OUT!$F$2:$F$11000,OUT!$H$2:$H$11000,H1875,OUT!$D$2:$D$11000,"Out",OUT!$E$2:$E$11000,"Kitchen")</f>
        <v>0</v>
      </c>
      <c r="P1875" s="52">
        <f ca="1">SUMIFS(OUT!$F$2:$F$11000,OUT!$H$2:$H$11000,H1875,OUT!$D$2:$D$11000,"Out",OUT!$E$2:$E$11000,"Loandry")</f>
        <v>0</v>
      </c>
      <c r="Q1875" s="52">
        <f ca="1">SUMIFS(OUT!$F$2:$F$11000,OUT!$H$2:$H$11000,H1875,OUT!$D$2:$D$11000,"Out",OUT!$E$2:$E$11000,"Mio")</f>
        <v>0</v>
      </c>
      <c r="R1875" s="52">
        <f ca="1">SUMIFS(OUT!$F$2:$F$11000,OUT!$H$2:$H$11000,H1875,OUT!$D$2:$D$11000,"Out",OUT!$E$2:$E$11000,"Sedekah")</f>
        <v>0</v>
      </c>
      <c r="S1875" s="52">
        <f ca="1">SUMIFS(OUT!$F$2:$F$11000,OUT!$H$2:$H$11000,H1875,OUT!$D$2:$D$11000,"Out",OUT!$E$2:$E$11000,"Zela")</f>
        <v>0</v>
      </c>
      <c r="T1875" s="52">
        <f ca="1">SUMIFS(OUT!$F$2:$F$11000,OUT!$H$2:$H$11000,H1875,OUT!$D$2:$D$11000,"Out",OUT!$E$2:$E$11000,"Iqbal")</f>
        <v>0</v>
      </c>
    </row>
    <row r="1876" spans="7:20" x14ac:dyDescent="0.2">
      <c r="G1876" s="50"/>
      <c r="H1876" s="51" t="str">
        <f t="shared" si="0"/>
        <v/>
      </c>
      <c r="I1876" s="52" t="e">
        <f>SUMIFS(OUT!$F$2:$F$11000,OUT!$H$2:$H$11000,H1876,OUT!$D$2:$D$101007,"In")</f>
        <v>#VALUE!</v>
      </c>
      <c r="J1876" s="52">
        <f ca="1">SUMIFS(OUT!$F$2:$F$11000,OUT!$H$2:$H$11000,H1876,OUT!$D$2:$D$11000,"Out")</f>
        <v>0</v>
      </c>
      <c r="K1876" s="52">
        <f ca="1">SUMIFS(OUT!$F$2:$F$11000,OUT!$H$2:$H$11000,H1876,OUT!$D$2:$D$11000,"Out",OUT!$E$2:$E$11000,"Fix")</f>
        <v>0</v>
      </c>
      <c r="L1876" s="52">
        <f ca="1">SUMIFS(OUT!$F$2:$F$11000,OUT!$H$2:$H$11000,H1876,OUT!$D$2:$D$11000,"Out",OUT!$E$2:$E$11000,"Bathroom")</f>
        <v>0</v>
      </c>
      <c r="M1876" s="52">
        <f ca="1">SUMIFS(OUT!$F$2:$F$11000,OUT!$H$2:$H$11000,H1876,OUT!$D$2:$D$11000,"Out",OUT!$E$2:$E$11000,"Alfa")</f>
        <v>0</v>
      </c>
      <c r="N1876" s="52" t="e">
        <f>SUMIFS(OUT!$F$2:$F$11000,OUT!$H$2:$H$101007,H1876,OUT!$D$2:$D$11000,"Out",OUT!$E$2:$E$11000,"Jajan")</f>
        <v>#VALUE!</v>
      </c>
      <c r="O1876" s="52">
        <f ca="1">SUMIFS(OUT!$F$2:$F$11000,OUT!$H$2:$H$11000,H1876,OUT!$D$2:$D$11000,"Out",OUT!$E$2:$E$11000,"Kitchen")</f>
        <v>0</v>
      </c>
      <c r="P1876" s="52">
        <f ca="1">SUMIFS(OUT!$F$2:$F$11000,OUT!$H$2:$H$11000,H1876,OUT!$D$2:$D$11000,"Out",OUT!$E$2:$E$11000,"Loandry")</f>
        <v>0</v>
      </c>
      <c r="Q1876" s="52">
        <f ca="1">SUMIFS(OUT!$F$2:$F$11000,OUT!$H$2:$H$11000,H1876,OUT!$D$2:$D$11000,"Out",OUT!$E$2:$E$11000,"Mio")</f>
        <v>0</v>
      </c>
      <c r="R1876" s="52">
        <f ca="1">SUMIFS(OUT!$F$2:$F$11000,OUT!$H$2:$H$11000,H1876,OUT!$D$2:$D$11000,"Out",OUT!$E$2:$E$11000,"Sedekah")</f>
        <v>0</v>
      </c>
      <c r="S1876" s="52">
        <f ca="1">SUMIFS(OUT!$F$2:$F$11000,OUT!$H$2:$H$11000,H1876,OUT!$D$2:$D$11000,"Out",OUT!$E$2:$E$11000,"Zela")</f>
        <v>0</v>
      </c>
      <c r="T1876" s="52">
        <f ca="1">SUMIFS(OUT!$F$2:$F$11000,OUT!$H$2:$H$11000,H1876,OUT!$D$2:$D$11000,"Out",OUT!$E$2:$E$11000,"Iqbal")</f>
        <v>0</v>
      </c>
    </row>
    <row r="1877" spans="7:20" x14ac:dyDescent="0.2">
      <c r="G1877" s="50"/>
      <c r="H1877" s="51" t="str">
        <f t="shared" si="0"/>
        <v/>
      </c>
      <c r="I1877" s="52" t="e">
        <f>SUMIFS(OUT!$F$2:$F$11000,OUT!$H$2:$H$11000,H1877,OUT!$D$2:$D$101007,"In")</f>
        <v>#VALUE!</v>
      </c>
      <c r="J1877" s="52">
        <f ca="1">SUMIFS(OUT!$F$2:$F$11000,OUT!$H$2:$H$11000,H1877,OUT!$D$2:$D$11000,"Out")</f>
        <v>0</v>
      </c>
      <c r="K1877" s="52">
        <f ca="1">SUMIFS(OUT!$F$2:$F$11000,OUT!$H$2:$H$11000,H1877,OUT!$D$2:$D$11000,"Out",OUT!$E$2:$E$11000,"Fix")</f>
        <v>0</v>
      </c>
      <c r="L1877" s="52">
        <f ca="1">SUMIFS(OUT!$F$2:$F$11000,OUT!$H$2:$H$11000,H1877,OUT!$D$2:$D$11000,"Out",OUT!$E$2:$E$11000,"Bathroom")</f>
        <v>0</v>
      </c>
      <c r="M1877" s="52">
        <f ca="1">SUMIFS(OUT!$F$2:$F$11000,OUT!$H$2:$H$11000,H1877,OUT!$D$2:$D$11000,"Out",OUT!$E$2:$E$11000,"Alfa")</f>
        <v>0</v>
      </c>
      <c r="N1877" s="52" t="e">
        <f>SUMIFS(OUT!$F$2:$F$11000,OUT!$H$2:$H$101007,H1877,OUT!$D$2:$D$11000,"Out",OUT!$E$2:$E$11000,"Jajan")</f>
        <v>#VALUE!</v>
      </c>
      <c r="O1877" s="52">
        <f ca="1">SUMIFS(OUT!$F$2:$F$11000,OUT!$H$2:$H$11000,H1877,OUT!$D$2:$D$11000,"Out",OUT!$E$2:$E$11000,"Kitchen")</f>
        <v>0</v>
      </c>
      <c r="P1877" s="52">
        <f ca="1">SUMIFS(OUT!$F$2:$F$11000,OUT!$H$2:$H$11000,H1877,OUT!$D$2:$D$11000,"Out",OUT!$E$2:$E$11000,"Loandry")</f>
        <v>0</v>
      </c>
      <c r="Q1877" s="52">
        <f ca="1">SUMIFS(OUT!$F$2:$F$11000,OUT!$H$2:$H$11000,H1877,OUT!$D$2:$D$11000,"Out",OUT!$E$2:$E$11000,"Mio")</f>
        <v>0</v>
      </c>
      <c r="R1877" s="52">
        <f ca="1">SUMIFS(OUT!$F$2:$F$11000,OUT!$H$2:$H$11000,H1877,OUT!$D$2:$D$11000,"Out",OUT!$E$2:$E$11000,"Sedekah")</f>
        <v>0</v>
      </c>
      <c r="S1877" s="52">
        <f ca="1">SUMIFS(OUT!$F$2:$F$11000,OUT!$H$2:$H$11000,H1877,OUT!$D$2:$D$11000,"Out",OUT!$E$2:$E$11000,"Zela")</f>
        <v>0</v>
      </c>
      <c r="T1877" s="52">
        <f ca="1">SUMIFS(OUT!$F$2:$F$11000,OUT!$H$2:$H$11000,H1877,OUT!$D$2:$D$11000,"Out",OUT!$E$2:$E$11000,"Iqbal")</f>
        <v>0</v>
      </c>
    </row>
    <row r="1878" spans="7:20" x14ac:dyDescent="0.2">
      <c r="G1878" s="50"/>
      <c r="H1878" s="51" t="str">
        <f t="shared" si="0"/>
        <v/>
      </c>
      <c r="I1878" s="52" t="e">
        <f>SUMIFS(OUT!$F$2:$F$11000,OUT!$H$2:$H$11000,H1878,OUT!$D$2:$D$101007,"In")</f>
        <v>#VALUE!</v>
      </c>
      <c r="J1878" s="52">
        <f ca="1">SUMIFS(OUT!$F$2:$F$11000,OUT!$H$2:$H$11000,H1878,OUT!$D$2:$D$11000,"Out")</f>
        <v>0</v>
      </c>
      <c r="K1878" s="52">
        <f ca="1">SUMIFS(OUT!$F$2:$F$11000,OUT!$H$2:$H$11000,H1878,OUT!$D$2:$D$11000,"Out",OUT!$E$2:$E$11000,"Fix")</f>
        <v>0</v>
      </c>
      <c r="L1878" s="52">
        <f ca="1">SUMIFS(OUT!$F$2:$F$11000,OUT!$H$2:$H$11000,H1878,OUT!$D$2:$D$11000,"Out",OUT!$E$2:$E$11000,"Bathroom")</f>
        <v>0</v>
      </c>
      <c r="M1878" s="52">
        <f ca="1">SUMIFS(OUT!$F$2:$F$11000,OUT!$H$2:$H$11000,H1878,OUT!$D$2:$D$11000,"Out",OUT!$E$2:$E$11000,"Alfa")</f>
        <v>0</v>
      </c>
      <c r="N1878" s="52" t="e">
        <f>SUMIFS(OUT!$F$2:$F$11000,OUT!$H$2:$H$101007,H1878,OUT!$D$2:$D$11000,"Out",OUT!$E$2:$E$11000,"Jajan")</f>
        <v>#VALUE!</v>
      </c>
      <c r="O1878" s="52">
        <f ca="1">SUMIFS(OUT!$F$2:$F$11000,OUT!$H$2:$H$11000,H1878,OUT!$D$2:$D$11000,"Out",OUT!$E$2:$E$11000,"Kitchen")</f>
        <v>0</v>
      </c>
      <c r="P1878" s="52">
        <f ca="1">SUMIFS(OUT!$F$2:$F$11000,OUT!$H$2:$H$11000,H1878,OUT!$D$2:$D$11000,"Out",OUT!$E$2:$E$11000,"Loandry")</f>
        <v>0</v>
      </c>
      <c r="Q1878" s="52">
        <f ca="1">SUMIFS(OUT!$F$2:$F$11000,OUT!$H$2:$H$11000,H1878,OUT!$D$2:$D$11000,"Out",OUT!$E$2:$E$11000,"Mio")</f>
        <v>0</v>
      </c>
      <c r="R1878" s="52">
        <f ca="1">SUMIFS(OUT!$F$2:$F$11000,OUT!$H$2:$H$11000,H1878,OUT!$D$2:$D$11000,"Out",OUT!$E$2:$E$11000,"Sedekah")</f>
        <v>0</v>
      </c>
      <c r="S1878" s="52">
        <f ca="1">SUMIFS(OUT!$F$2:$F$11000,OUT!$H$2:$H$11000,H1878,OUT!$D$2:$D$11000,"Out",OUT!$E$2:$E$11000,"Zela")</f>
        <v>0</v>
      </c>
      <c r="T1878" s="52">
        <f ca="1">SUMIFS(OUT!$F$2:$F$11000,OUT!$H$2:$H$11000,H1878,OUT!$D$2:$D$11000,"Out",OUT!$E$2:$E$11000,"Iqbal")</f>
        <v>0</v>
      </c>
    </row>
    <row r="1879" spans="7:20" x14ac:dyDescent="0.2">
      <c r="G1879" s="50"/>
      <c r="H1879" s="51" t="str">
        <f t="shared" si="0"/>
        <v/>
      </c>
      <c r="I1879" s="52" t="e">
        <f>SUMIFS(OUT!$F$2:$F$11000,OUT!$H$2:$H$11000,H1879,OUT!$D$2:$D$101007,"In")</f>
        <v>#VALUE!</v>
      </c>
      <c r="J1879" s="52">
        <f ca="1">SUMIFS(OUT!$F$2:$F$11000,OUT!$H$2:$H$11000,H1879,OUT!$D$2:$D$11000,"Out")</f>
        <v>0</v>
      </c>
      <c r="K1879" s="52">
        <f ca="1">SUMIFS(OUT!$F$2:$F$11000,OUT!$H$2:$H$11000,H1879,OUT!$D$2:$D$11000,"Out",OUT!$E$2:$E$11000,"Fix")</f>
        <v>0</v>
      </c>
      <c r="L1879" s="52">
        <f ca="1">SUMIFS(OUT!$F$2:$F$11000,OUT!$H$2:$H$11000,H1879,OUT!$D$2:$D$11000,"Out",OUT!$E$2:$E$11000,"Bathroom")</f>
        <v>0</v>
      </c>
      <c r="M1879" s="52">
        <f ca="1">SUMIFS(OUT!$F$2:$F$11000,OUT!$H$2:$H$11000,H1879,OUT!$D$2:$D$11000,"Out",OUT!$E$2:$E$11000,"Alfa")</f>
        <v>0</v>
      </c>
      <c r="N1879" s="52" t="e">
        <f>SUMIFS(OUT!$F$2:$F$11000,OUT!$H$2:$H$101007,H1879,OUT!$D$2:$D$11000,"Out",OUT!$E$2:$E$11000,"Jajan")</f>
        <v>#VALUE!</v>
      </c>
      <c r="O1879" s="52">
        <f ca="1">SUMIFS(OUT!$F$2:$F$11000,OUT!$H$2:$H$11000,H1879,OUT!$D$2:$D$11000,"Out",OUT!$E$2:$E$11000,"Kitchen")</f>
        <v>0</v>
      </c>
      <c r="P1879" s="52">
        <f ca="1">SUMIFS(OUT!$F$2:$F$11000,OUT!$H$2:$H$11000,H1879,OUT!$D$2:$D$11000,"Out",OUT!$E$2:$E$11000,"Loandry")</f>
        <v>0</v>
      </c>
      <c r="Q1879" s="52">
        <f ca="1">SUMIFS(OUT!$F$2:$F$11000,OUT!$H$2:$H$11000,H1879,OUT!$D$2:$D$11000,"Out",OUT!$E$2:$E$11000,"Mio")</f>
        <v>0</v>
      </c>
      <c r="R1879" s="52">
        <f ca="1">SUMIFS(OUT!$F$2:$F$11000,OUT!$H$2:$H$11000,H1879,OUT!$D$2:$D$11000,"Out",OUT!$E$2:$E$11000,"Sedekah")</f>
        <v>0</v>
      </c>
      <c r="S1879" s="52">
        <f ca="1">SUMIFS(OUT!$F$2:$F$11000,OUT!$H$2:$H$11000,H1879,OUT!$D$2:$D$11000,"Out",OUT!$E$2:$E$11000,"Zela")</f>
        <v>0</v>
      </c>
      <c r="T1879" s="52">
        <f ca="1">SUMIFS(OUT!$F$2:$F$11000,OUT!$H$2:$H$11000,H1879,OUT!$D$2:$D$11000,"Out",OUT!$E$2:$E$11000,"Iqbal")</f>
        <v>0</v>
      </c>
    </row>
    <row r="1880" spans="7:20" x14ac:dyDescent="0.2">
      <c r="G1880" s="50"/>
      <c r="H1880" s="51" t="str">
        <f t="shared" si="0"/>
        <v/>
      </c>
      <c r="I1880" s="52" t="e">
        <f>SUMIFS(OUT!$F$2:$F$11000,OUT!$H$2:$H$11000,H1880,OUT!$D$2:$D$101007,"In")</f>
        <v>#VALUE!</v>
      </c>
      <c r="J1880" s="52">
        <f ca="1">SUMIFS(OUT!$F$2:$F$11000,OUT!$H$2:$H$11000,H1880,OUT!$D$2:$D$11000,"Out")</f>
        <v>0</v>
      </c>
      <c r="K1880" s="52">
        <f ca="1">SUMIFS(OUT!$F$2:$F$11000,OUT!$H$2:$H$11000,H1880,OUT!$D$2:$D$11000,"Out",OUT!$E$2:$E$11000,"Fix")</f>
        <v>0</v>
      </c>
      <c r="L1880" s="52">
        <f ca="1">SUMIFS(OUT!$F$2:$F$11000,OUT!$H$2:$H$11000,H1880,OUT!$D$2:$D$11000,"Out",OUT!$E$2:$E$11000,"Bathroom")</f>
        <v>0</v>
      </c>
      <c r="M1880" s="52">
        <f ca="1">SUMIFS(OUT!$F$2:$F$11000,OUT!$H$2:$H$11000,H1880,OUT!$D$2:$D$11000,"Out",OUT!$E$2:$E$11000,"Alfa")</f>
        <v>0</v>
      </c>
      <c r="N1880" s="52" t="e">
        <f>SUMIFS(OUT!$F$2:$F$11000,OUT!$H$2:$H$101007,H1880,OUT!$D$2:$D$11000,"Out",OUT!$E$2:$E$11000,"Jajan")</f>
        <v>#VALUE!</v>
      </c>
      <c r="O1880" s="52">
        <f ca="1">SUMIFS(OUT!$F$2:$F$11000,OUT!$H$2:$H$11000,H1880,OUT!$D$2:$D$11000,"Out",OUT!$E$2:$E$11000,"Kitchen")</f>
        <v>0</v>
      </c>
      <c r="P1880" s="52">
        <f ca="1">SUMIFS(OUT!$F$2:$F$11000,OUT!$H$2:$H$11000,H1880,OUT!$D$2:$D$11000,"Out",OUT!$E$2:$E$11000,"Loandry")</f>
        <v>0</v>
      </c>
      <c r="Q1880" s="52">
        <f ca="1">SUMIFS(OUT!$F$2:$F$11000,OUT!$H$2:$H$11000,H1880,OUT!$D$2:$D$11000,"Out",OUT!$E$2:$E$11000,"Mio")</f>
        <v>0</v>
      </c>
      <c r="R1880" s="52">
        <f ca="1">SUMIFS(OUT!$F$2:$F$11000,OUT!$H$2:$H$11000,H1880,OUT!$D$2:$D$11000,"Out",OUT!$E$2:$E$11000,"Sedekah")</f>
        <v>0</v>
      </c>
      <c r="S1880" s="52">
        <f ca="1">SUMIFS(OUT!$F$2:$F$11000,OUT!$H$2:$H$11000,H1880,OUT!$D$2:$D$11000,"Out",OUT!$E$2:$E$11000,"Zela")</f>
        <v>0</v>
      </c>
      <c r="T1880" s="52">
        <f ca="1">SUMIFS(OUT!$F$2:$F$11000,OUT!$H$2:$H$11000,H1880,OUT!$D$2:$D$11000,"Out",OUT!$E$2:$E$11000,"Iqbal")</f>
        <v>0</v>
      </c>
    </row>
    <row r="1881" spans="7:20" x14ac:dyDescent="0.2">
      <c r="G1881" s="50"/>
      <c r="H1881" s="51" t="str">
        <f t="shared" si="0"/>
        <v/>
      </c>
      <c r="I1881" s="52" t="e">
        <f>SUMIFS(OUT!$F$2:$F$11000,OUT!$H$2:$H$11000,H1881,OUT!$D$2:$D$101007,"In")</f>
        <v>#VALUE!</v>
      </c>
      <c r="J1881" s="52">
        <f ca="1">SUMIFS(OUT!$F$2:$F$11000,OUT!$H$2:$H$11000,H1881,OUT!$D$2:$D$11000,"Out")</f>
        <v>0</v>
      </c>
      <c r="K1881" s="52">
        <f ca="1">SUMIFS(OUT!$F$2:$F$11000,OUT!$H$2:$H$11000,H1881,OUT!$D$2:$D$11000,"Out",OUT!$E$2:$E$11000,"Fix")</f>
        <v>0</v>
      </c>
      <c r="L1881" s="52">
        <f ca="1">SUMIFS(OUT!$F$2:$F$11000,OUT!$H$2:$H$11000,H1881,OUT!$D$2:$D$11000,"Out",OUT!$E$2:$E$11000,"Bathroom")</f>
        <v>0</v>
      </c>
      <c r="M1881" s="52">
        <f ca="1">SUMIFS(OUT!$F$2:$F$11000,OUT!$H$2:$H$11000,H1881,OUT!$D$2:$D$11000,"Out",OUT!$E$2:$E$11000,"Alfa")</f>
        <v>0</v>
      </c>
      <c r="N1881" s="52" t="e">
        <f>SUMIFS(OUT!$F$2:$F$11000,OUT!$H$2:$H$101007,H1881,OUT!$D$2:$D$11000,"Out",OUT!$E$2:$E$11000,"Jajan")</f>
        <v>#VALUE!</v>
      </c>
      <c r="O1881" s="52">
        <f ca="1">SUMIFS(OUT!$F$2:$F$11000,OUT!$H$2:$H$11000,H1881,OUT!$D$2:$D$11000,"Out",OUT!$E$2:$E$11000,"Kitchen")</f>
        <v>0</v>
      </c>
      <c r="P1881" s="52">
        <f ca="1">SUMIFS(OUT!$F$2:$F$11000,OUT!$H$2:$H$11000,H1881,OUT!$D$2:$D$11000,"Out",OUT!$E$2:$E$11000,"Loandry")</f>
        <v>0</v>
      </c>
      <c r="Q1881" s="52">
        <f ca="1">SUMIFS(OUT!$F$2:$F$11000,OUT!$H$2:$H$11000,H1881,OUT!$D$2:$D$11000,"Out",OUT!$E$2:$E$11000,"Mio")</f>
        <v>0</v>
      </c>
      <c r="R1881" s="52">
        <f ca="1">SUMIFS(OUT!$F$2:$F$11000,OUT!$H$2:$H$11000,H1881,OUT!$D$2:$D$11000,"Out",OUT!$E$2:$E$11000,"Sedekah")</f>
        <v>0</v>
      </c>
      <c r="S1881" s="52">
        <f ca="1">SUMIFS(OUT!$F$2:$F$11000,OUT!$H$2:$H$11000,H1881,OUT!$D$2:$D$11000,"Out",OUT!$E$2:$E$11000,"Zela")</f>
        <v>0</v>
      </c>
      <c r="T1881" s="52">
        <f ca="1">SUMIFS(OUT!$F$2:$F$11000,OUT!$H$2:$H$11000,H1881,OUT!$D$2:$D$11000,"Out",OUT!$E$2:$E$11000,"Iqbal")</f>
        <v>0</v>
      </c>
    </row>
    <row r="1882" spans="7:20" x14ac:dyDescent="0.2">
      <c r="G1882" s="50"/>
      <c r="H1882" s="51" t="str">
        <f t="shared" si="0"/>
        <v/>
      </c>
      <c r="I1882" s="52" t="e">
        <f>SUMIFS(OUT!$F$2:$F$11000,OUT!$H$2:$H$11000,H1882,OUT!$D$2:$D$101007,"In")</f>
        <v>#VALUE!</v>
      </c>
      <c r="J1882" s="52">
        <f ca="1">SUMIFS(OUT!$F$2:$F$11000,OUT!$H$2:$H$11000,H1882,OUT!$D$2:$D$11000,"Out")</f>
        <v>0</v>
      </c>
      <c r="K1882" s="52">
        <f ca="1">SUMIFS(OUT!$F$2:$F$11000,OUT!$H$2:$H$11000,H1882,OUT!$D$2:$D$11000,"Out",OUT!$E$2:$E$11000,"Fix")</f>
        <v>0</v>
      </c>
      <c r="L1882" s="52">
        <f ca="1">SUMIFS(OUT!$F$2:$F$11000,OUT!$H$2:$H$11000,H1882,OUT!$D$2:$D$11000,"Out",OUT!$E$2:$E$11000,"Bathroom")</f>
        <v>0</v>
      </c>
      <c r="M1882" s="52">
        <f ca="1">SUMIFS(OUT!$F$2:$F$11000,OUT!$H$2:$H$11000,H1882,OUT!$D$2:$D$11000,"Out",OUT!$E$2:$E$11000,"Alfa")</f>
        <v>0</v>
      </c>
      <c r="N1882" s="52" t="e">
        <f>SUMIFS(OUT!$F$2:$F$11000,OUT!$H$2:$H$101007,H1882,OUT!$D$2:$D$11000,"Out",OUT!$E$2:$E$11000,"Jajan")</f>
        <v>#VALUE!</v>
      </c>
      <c r="O1882" s="52">
        <f ca="1">SUMIFS(OUT!$F$2:$F$11000,OUT!$H$2:$H$11000,H1882,OUT!$D$2:$D$11000,"Out",OUT!$E$2:$E$11000,"Kitchen")</f>
        <v>0</v>
      </c>
      <c r="P1882" s="52">
        <f ca="1">SUMIFS(OUT!$F$2:$F$11000,OUT!$H$2:$H$11000,H1882,OUT!$D$2:$D$11000,"Out",OUT!$E$2:$E$11000,"Loandry")</f>
        <v>0</v>
      </c>
      <c r="Q1882" s="52">
        <f ca="1">SUMIFS(OUT!$F$2:$F$11000,OUT!$H$2:$H$11000,H1882,OUT!$D$2:$D$11000,"Out",OUT!$E$2:$E$11000,"Mio")</f>
        <v>0</v>
      </c>
      <c r="R1882" s="52">
        <f ca="1">SUMIFS(OUT!$F$2:$F$11000,OUT!$H$2:$H$11000,H1882,OUT!$D$2:$D$11000,"Out",OUT!$E$2:$E$11000,"Sedekah")</f>
        <v>0</v>
      </c>
      <c r="S1882" s="52">
        <f ca="1">SUMIFS(OUT!$F$2:$F$11000,OUT!$H$2:$H$11000,H1882,OUT!$D$2:$D$11000,"Out",OUT!$E$2:$E$11000,"Zela")</f>
        <v>0</v>
      </c>
      <c r="T1882" s="52">
        <f ca="1">SUMIFS(OUT!$F$2:$F$11000,OUT!$H$2:$H$11000,H1882,OUT!$D$2:$D$11000,"Out",OUT!$E$2:$E$11000,"Iqbal")</f>
        <v>0</v>
      </c>
    </row>
    <row r="1883" spans="7:20" x14ac:dyDescent="0.2">
      <c r="G1883" s="50"/>
      <c r="H1883" s="51" t="str">
        <f t="shared" si="0"/>
        <v/>
      </c>
      <c r="I1883" s="52" t="e">
        <f>SUMIFS(OUT!$F$2:$F$11000,OUT!$H$2:$H$11000,H1883,OUT!$D$2:$D$101007,"In")</f>
        <v>#VALUE!</v>
      </c>
      <c r="J1883" s="52">
        <f ca="1">SUMIFS(OUT!$F$2:$F$11000,OUT!$H$2:$H$11000,H1883,OUT!$D$2:$D$11000,"Out")</f>
        <v>0</v>
      </c>
      <c r="K1883" s="52">
        <f ca="1">SUMIFS(OUT!$F$2:$F$11000,OUT!$H$2:$H$11000,H1883,OUT!$D$2:$D$11000,"Out",OUT!$E$2:$E$11000,"Fix")</f>
        <v>0</v>
      </c>
      <c r="L1883" s="52">
        <f ca="1">SUMIFS(OUT!$F$2:$F$11000,OUT!$H$2:$H$11000,H1883,OUT!$D$2:$D$11000,"Out",OUT!$E$2:$E$11000,"Bathroom")</f>
        <v>0</v>
      </c>
      <c r="M1883" s="52">
        <f ca="1">SUMIFS(OUT!$F$2:$F$11000,OUT!$H$2:$H$11000,H1883,OUT!$D$2:$D$11000,"Out",OUT!$E$2:$E$11000,"Alfa")</f>
        <v>0</v>
      </c>
      <c r="N1883" s="52" t="e">
        <f>SUMIFS(OUT!$F$2:$F$11000,OUT!$H$2:$H$101007,H1883,OUT!$D$2:$D$11000,"Out",OUT!$E$2:$E$11000,"Jajan")</f>
        <v>#VALUE!</v>
      </c>
      <c r="O1883" s="52">
        <f ca="1">SUMIFS(OUT!$F$2:$F$11000,OUT!$H$2:$H$11000,H1883,OUT!$D$2:$D$11000,"Out",OUT!$E$2:$E$11000,"Kitchen")</f>
        <v>0</v>
      </c>
      <c r="P1883" s="52">
        <f ca="1">SUMIFS(OUT!$F$2:$F$11000,OUT!$H$2:$H$11000,H1883,OUT!$D$2:$D$11000,"Out",OUT!$E$2:$E$11000,"Loandry")</f>
        <v>0</v>
      </c>
      <c r="Q1883" s="52">
        <f ca="1">SUMIFS(OUT!$F$2:$F$11000,OUT!$H$2:$H$11000,H1883,OUT!$D$2:$D$11000,"Out",OUT!$E$2:$E$11000,"Mio")</f>
        <v>0</v>
      </c>
      <c r="R1883" s="52">
        <f ca="1">SUMIFS(OUT!$F$2:$F$11000,OUT!$H$2:$H$11000,H1883,OUT!$D$2:$D$11000,"Out",OUT!$E$2:$E$11000,"Sedekah")</f>
        <v>0</v>
      </c>
      <c r="S1883" s="52">
        <f ca="1">SUMIFS(OUT!$F$2:$F$11000,OUT!$H$2:$H$11000,H1883,OUT!$D$2:$D$11000,"Out",OUT!$E$2:$E$11000,"Zela")</f>
        <v>0</v>
      </c>
      <c r="T1883" s="52">
        <f ca="1">SUMIFS(OUT!$F$2:$F$11000,OUT!$H$2:$H$11000,H1883,OUT!$D$2:$D$11000,"Out",OUT!$E$2:$E$11000,"Iqbal")</f>
        <v>0</v>
      </c>
    </row>
    <row r="1884" spans="7:20" x14ac:dyDescent="0.2">
      <c r="G1884" s="50"/>
      <c r="H1884" s="51" t="str">
        <f t="shared" si="0"/>
        <v/>
      </c>
      <c r="I1884" s="52" t="e">
        <f>SUMIFS(OUT!$F$2:$F$11000,OUT!$H$2:$H$11000,H1884,OUT!$D$2:$D$101007,"In")</f>
        <v>#VALUE!</v>
      </c>
      <c r="J1884" s="52">
        <f ca="1">SUMIFS(OUT!$F$2:$F$11000,OUT!$H$2:$H$11000,H1884,OUT!$D$2:$D$11000,"Out")</f>
        <v>0</v>
      </c>
      <c r="K1884" s="52">
        <f ca="1">SUMIFS(OUT!$F$2:$F$11000,OUT!$H$2:$H$11000,H1884,OUT!$D$2:$D$11000,"Out",OUT!$E$2:$E$11000,"Fix")</f>
        <v>0</v>
      </c>
      <c r="L1884" s="52">
        <f ca="1">SUMIFS(OUT!$F$2:$F$11000,OUT!$H$2:$H$11000,H1884,OUT!$D$2:$D$11000,"Out",OUT!$E$2:$E$11000,"Bathroom")</f>
        <v>0</v>
      </c>
      <c r="M1884" s="52">
        <f ca="1">SUMIFS(OUT!$F$2:$F$11000,OUT!$H$2:$H$11000,H1884,OUT!$D$2:$D$11000,"Out",OUT!$E$2:$E$11000,"Alfa")</f>
        <v>0</v>
      </c>
      <c r="N1884" s="52" t="e">
        <f>SUMIFS(OUT!$F$2:$F$11000,OUT!$H$2:$H$101007,H1884,OUT!$D$2:$D$11000,"Out",OUT!$E$2:$E$11000,"Jajan")</f>
        <v>#VALUE!</v>
      </c>
      <c r="O1884" s="52">
        <f ca="1">SUMIFS(OUT!$F$2:$F$11000,OUT!$H$2:$H$11000,H1884,OUT!$D$2:$D$11000,"Out",OUT!$E$2:$E$11000,"Kitchen")</f>
        <v>0</v>
      </c>
      <c r="P1884" s="52">
        <f ca="1">SUMIFS(OUT!$F$2:$F$11000,OUT!$H$2:$H$11000,H1884,OUT!$D$2:$D$11000,"Out",OUT!$E$2:$E$11000,"Loandry")</f>
        <v>0</v>
      </c>
      <c r="Q1884" s="52">
        <f ca="1">SUMIFS(OUT!$F$2:$F$11000,OUT!$H$2:$H$11000,H1884,OUT!$D$2:$D$11000,"Out",OUT!$E$2:$E$11000,"Mio")</f>
        <v>0</v>
      </c>
      <c r="R1884" s="52">
        <f ca="1">SUMIFS(OUT!$F$2:$F$11000,OUT!$H$2:$H$11000,H1884,OUT!$D$2:$D$11000,"Out",OUT!$E$2:$E$11000,"Sedekah")</f>
        <v>0</v>
      </c>
      <c r="S1884" s="52">
        <f ca="1">SUMIFS(OUT!$F$2:$F$11000,OUT!$H$2:$H$11000,H1884,OUT!$D$2:$D$11000,"Out",OUT!$E$2:$E$11000,"Zela")</f>
        <v>0</v>
      </c>
      <c r="T1884" s="52">
        <f ca="1">SUMIFS(OUT!$F$2:$F$11000,OUT!$H$2:$H$11000,H1884,OUT!$D$2:$D$11000,"Out",OUT!$E$2:$E$11000,"Iqbal")</f>
        <v>0</v>
      </c>
    </row>
    <row r="1885" spans="7:20" x14ac:dyDescent="0.2">
      <c r="G1885" s="50"/>
      <c r="H1885" s="51" t="str">
        <f t="shared" si="0"/>
        <v/>
      </c>
      <c r="I1885" s="52" t="e">
        <f>SUMIFS(OUT!$F$2:$F$11000,OUT!$H$2:$H$11000,H1885,OUT!$D$2:$D$101007,"In")</f>
        <v>#VALUE!</v>
      </c>
      <c r="J1885" s="52">
        <f ca="1">SUMIFS(OUT!$F$2:$F$11000,OUT!$H$2:$H$11000,H1885,OUT!$D$2:$D$11000,"Out")</f>
        <v>0</v>
      </c>
      <c r="K1885" s="52">
        <f ca="1">SUMIFS(OUT!$F$2:$F$11000,OUT!$H$2:$H$11000,H1885,OUT!$D$2:$D$11000,"Out",OUT!$E$2:$E$11000,"Fix")</f>
        <v>0</v>
      </c>
      <c r="L1885" s="52">
        <f ca="1">SUMIFS(OUT!$F$2:$F$11000,OUT!$H$2:$H$11000,H1885,OUT!$D$2:$D$11000,"Out",OUT!$E$2:$E$11000,"Bathroom")</f>
        <v>0</v>
      </c>
      <c r="M1885" s="52">
        <f ca="1">SUMIFS(OUT!$F$2:$F$11000,OUT!$H$2:$H$11000,H1885,OUT!$D$2:$D$11000,"Out",OUT!$E$2:$E$11000,"Alfa")</f>
        <v>0</v>
      </c>
      <c r="N1885" s="52" t="e">
        <f>SUMIFS(OUT!$F$2:$F$11000,OUT!$H$2:$H$101007,H1885,OUT!$D$2:$D$11000,"Out",OUT!$E$2:$E$11000,"Jajan")</f>
        <v>#VALUE!</v>
      </c>
      <c r="O1885" s="52">
        <f ca="1">SUMIFS(OUT!$F$2:$F$11000,OUT!$H$2:$H$11000,H1885,OUT!$D$2:$D$11000,"Out",OUT!$E$2:$E$11000,"Kitchen")</f>
        <v>0</v>
      </c>
      <c r="P1885" s="52">
        <f ca="1">SUMIFS(OUT!$F$2:$F$11000,OUT!$H$2:$H$11000,H1885,OUT!$D$2:$D$11000,"Out",OUT!$E$2:$E$11000,"Loandry")</f>
        <v>0</v>
      </c>
      <c r="Q1885" s="52">
        <f ca="1">SUMIFS(OUT!$F$2:$F$11000,OUT!$H$2:$H$11000,H1885,OUT!$D$2:$D$11000,"Out",OUT!$E$2:$E$11000,"Mio")</f>
        <v>0</v>
      </c>
      <c r="R1885" s="52">
        <f ca="1">SUMIFS(OUT!$F$2:$F$11000,OUT!$H$2:$H$11000,H1885,OUT!$D$2:$D$11000,"Out",OUT!$E$2:$E$11000,"Sedekah")</f>
        <v>0</v>
      </c>
      <c r="S1885" s="52">
        <f ca="1">SUMIFS(OUT!$F$2:$F$11000,OUT!$H$2:$H$11000,H1885,OUT!$D$2:$D$11000,"Out",OUT!$E$2:$E$11000,"Zela")</f>
        <v>0</v>
      </c>
      <c r="T1885" s="52">
        <f ca="1">SUMIFS(OUT!$F$2:$F$11000,OUT!$H$2:$H$11000,H1885,OUT!$D$2:$D$11000,"Out",OUT!$E$2:$E$11000,"Iqbal")</f>
        <v>0</v>
      </c>
    </row>
    <row r="1886" spans="7:20" x14ac:dyDescent="0.2">
      <c r="G1886" s="50"/>
      <c r="H1886" s="51" t="str">
        <f t="shared" si="0"/>
        <v/>
      </c>
      <c r="I1886" s="52" t="e">
        <f>SUMIFS(OUT!$F$2:$F$11000,OUT!$H$2:$H$11000,H1886,OUT!$D$2:$D$101007,"In")</f>
        <v>#VALUE!</v>
      </c>
      <c r="J1886" s="52">
        <f ca="1">SUMIFS(OUT!$F$2:$F$11000,OUT!$H$2:$H$11000,H1886,OUT!$D$2:$D$11000,"Out")</f>
        <v>0</v>
      </c>
      <c r="K1886" s="52">
        <f ca="1">SUMIFS(OUT!$F$2:$F$11000,OUT!$H$2:$H$11000,H1886,OUT!$D$2:$D$11000,"Out",OUT!$E$2:$E$11000,"Fix")</f>
        <v>0</v>
      </c>
      <c r="L1886" s="52">
        <f ca="1">SUMIFS(OUT!$F$2:$F$11000,OUT!$H$2:$H$11000,H1886,OUT!$D$2:$D$11000,"Out",OUT!$E$2:$E$11000,"Bathroom")</f>
        <v>0</v>
      </c>
      <c r="M1886" s="52">
        <f ca="1">SUMIFS(OUT!$F$2:$F$11000,OUT!$H$2:$H$11000,H1886,OUT!$D$2:$D$11000,"Out",OUT!$E$2:$E$11000,"Alfa")</f>
        <v>0</v>
      </c>
      <c r="N1886" s="52" t="e">
        <f>SUMIFS(OUT!$F$2:$F$11000,OUT!$H$2:$H$101007,H1886,OUT!$D$2:$D$11000,"Out",OUT!$E$2:$E$11000,"Jajan")</f>
        <v>#VALUE!</v>
      </c>
      <c r="O1886" s="52">
        <f ca="1">SUMIFS(OUT!$F$2:$F$11000,OUT!$H$2:$H$11000,H1886,OUT!$D$2:$D$11000,"Out",OUT!$E$2:$E$11000,"Kitchen")</f>
        <v>0</v>
      </c>
      <c r="P1886" s="52">
        <f ca="1">SUMIFS(OUT!$F$2:$F$11000,OUT!$H$2:$H$11000,H1886,OUT!$D$2:$D$11000,"Out",OUT!$E$2:$E$11000,"Loandry")</f>
        <v>0</v>
      </c>
      <c r="Q1886" s="52">
        <f ca="1">SUMIFS(OUT!$F$2:$F$11000,OUT!$H$2:$H$11000,H1886,OUT!$D$2:$D$11000,"Out",OUT!$E$2:$E$11000,"Mio")</f>
        <v>0</v>
      </c>
      <c r="R1886" s="52">
        <f ca="1">SUMIFS(OUT!$F$2:$F$11000,OUT!$H$2:$H$11000,H1886,OUT!$D$2:$D$11000,"Out",OUT!$E$2:$E$11000,"Sedekah")</f>
        <v>0</v>
      </c>
      <c r="S1886" s="52">
        <f ca="1">SUMIFS(OUT!$F$2:$F$11000,OUT!$H$2:$H$11000,H1886,OUT!$D$2:$D$11000,"Out",OUT!$E$2:$E$11000,"Zela")</f>
        <v>0</v>
      </c>
      <c r="T1886" s="52">
        <f ca="1">SUMIFS(OUT!$F$2:$F$11000,OUT!$H$2:$H$11000,H1886,OUT!$D$2:$D$11000,"Out",OUT!$E$2:$E$11000,"Iqbal")</f>
        <v>0</v>
      </c>
    </row>
    <row r="1887" spans="7:20" x14ac:dyDescent="0.2">
      <c r="G1887" s="50"/>
      <c r="H1887" s="51" t="str">
        <f t="shared" si="0"/>
        <v/>
      </c>
      <c r="I1887" s="52" t="e">
        <f>SUMIFS(OUT!$F$2:$F$11000,OUT!$H$2:$H$11000,H1887,OUT!$D$2:$D$101007,"In")</f>
        <v>#VALUE!</v>
      </c>
      <c r="J1887" s="52">
        <f ca="1">SUMIFS(OUT!$F$2:$F$11000,OUT!$H$2:$H$11000,H1887,OUT!$D$2:$D$11000,"Out")</f>
        <v>0</v>
      </c>
      <c r="K1887" s="52">
        <f ca="1">SUMIFS(OUT!$F$2:$F$11000,OUT!$H$2:$H$11000,H1887,OUT!$D$2:$D$11000,"Out",OUT!$E$2:$E$11000,"Fix")</f>
        <v>0</v>
      </c>
      <c r="L1887" s="52">
        <f ca="1">SUMIFS(OUT!$F$2:$F$11000,OUT!$H$2:$H$11000,H1887,OUT!$D$2:$D$11000,"Out",OUT!$E$2:$E$11000,"Bathroom")</f>
        <v>0</v>
      </c>
      <c r="M1887" s="52">
        <f ca="1">SUMIFS(OUT!$F$2:$F$11000,OUT!$H$2:$H$11000,H1887,OUT!$D$2:$D$11000,"Out",OUT!$E$2:$E$11000,"Alfa")</f>
        <v>0</v>
      </c>
      <c r="N1887" s="52" t="e">
        <f>SUMIFS(OUT!$F$2:$F$11000,OUT!$H$2:$H$101007,H1887,OUT!$D$2:$D$11000,"Out",OUT!$E$2:$E$11000,"Jajan")</f>
        <v>#VALUE!</v>
      </c>
      <c r="O1887" s="52">
        <f ca="1">SUMIFS(OUT!$F$2:$F$11000,OUT!$H$2:$H$11000,H1887,OUT!$D$2:$D$11000,"Out",OUT!$E$2:$E$11000,"Kitchen")</f>
        <v>0</v>
      </c>
      <c r="P1887" s="52">
        <f ca="1">SUMIFS(OUT!$F$2:$F$11000,OUT!$H$2:$H$11000,H1887,OUT!$D$2:$D$11000,"Out",OUT!$E$2:$E$11000,"Loandry")</f>
        <v>0</v>
      </c>
      <c r="Q1887" s="52">
        <f ca="1">SUMIFS(OUT!$F$2:$F$11000,OUT!$H$2:$H$11000,H1887,OUT!$D$2:$D$11000,"Out",OUT!$E$2:$E$11000,"Mio")</f>
        <v>0</v>
      </c>
      <c r="R1887" s="52">
        <f ca="1">SUMIFS(OUT!$F$2:$F$11000,OUT!$H$2:$H$11000,H1887,OUT!$D$2:$D$11000,"Out",OUT!$E$2:$E$11000,"Sedekah")</f>
        <v>0</v>
      </c>
      <c r="S1887" s="52">
        <f ca="1">SUMIFS(OUT!$F$2:$F$11000,OUT!$H$2:$H$11000,H1887,OUT!$D$2:$D$11000,"Out",OUT!$E$2:$E$11000,"Zela")</f>
        <v>0</v>
      </c>
      <c r="T1887" s="52">
        <f ca="1">SUMIFS(OUT!$F$2:$F$11000,OUT!$H$2:$H$11000,H1887,OUT!$D$2:$D$11000,"Out",OUT!$E$2:$E$11000,"Iqbal")</f>
        <v>0</v>
      </c>
    </row>
    <row r="1888" spans="7:20" x14ac:dyDescent="0.2">
      <c r="G1888" s="50"/>
      <c r="H1888" s="51" t="str">
        <f t="shared" si="0"/>
        <v/>
      </c>
      <c r="I1888" s="52" t="e">
        <f>SUMIFS(OUT!$F$2:$F$11000,OUT!$H$2:$H$11000,H1888,OUT!$D$2:$D$101007,"In")</f>
        <v>#VALUE!</v>
      </c>
      <c r="J1888" s="52">
        <f ca="1">SUMIFS(OUT!$F$2:$F$11000,OUT!$H$2:$H$11000,H1888,OUT!$D$2:$D$11000,"Out")</f>
        <v>0</v>
      </c>
      <c r="K1888" s="52">
        <f ca="1">SUMIFS(OUT!$F$2:$F$11000,OUT!$H$2:$H$11000,H1888,OUT!$D$2:$D$11000,"Out",OUT!$E$2:$E$11000,"Fix")</f>
        <v>0</v>
      </c>
      <c r="L1888" s="52">
        <f ca="1">SUMIFS(OUT!$F$2:$F$11000,OUT!$H$2:$H$11000,H1888,OUT!$D$2:$D$11000,"Out",OUT!$E$2:$E$11000,"Bathroom")</f>
        <v>0</v>
      </c>
      <c r="M1888" s="52">
        <f ca="1">SUMIFS(OUT!$F$2:$F$11000,OUT!$H$2:$H$11000,H1888,OUT!$D$2:$D$11000,"Out",OUT!$E$2:$E$11000,"Alfa")</f>
        <v>0</v>
      </c>
      <c r="N1888" s="52" t="e">
        <f>SUMIFS(OUT!$F$2:$F$11000,OUT!$H$2:$H$101007,H1888,OUT!$D$2:$D$11000,"Out",OUT!$E$2:$E$11000,"Jajan")</f>
        <v>#VALUE!</v>
      </c>
      <c r="O1888" s="52">
        <f ca="1">SUMIFS(OUT!$F$2:$F$11000,OUT!$H$2:$H$11000,H1888,OUT!$D$2:$D$11000,"Out",OUT!$E$2:$E$11000,"Kitchen")</f>
        <v>0</v>
      </c>
      <c r="P1888" s="52">
        <f ca="1">SUMIFS(OUT!$F$2:$F$11000,OUT!$H$2:$H$11000,H1888,OUT!$D$2:$D$11000,"Out",OUT!$E$2:$E$11000,"Loandry")</f>
        <v>0</v>
      </c>
      <c r="Q1888" s="52">
        <f ca="1">SUMIFS(OUT!$F$2:$F$11000,OUT!$H$2:$H$11000,H1888,OUT!$D$2:$D$11000,"Out",OUT!$E$2:$E$11000,"Mio")</f>
        <v>0</v>
      </c>
      <c r="R1888" s="52">
        <f ca="1">SUMIFS(OUT!$F$2:$F$11000,OUT!$H$2:$H$11000,H1888,OUT!$D$2:$D$11000,"Out",OUT!$E$2:$E$11000,"Sedekah")</f>
        <v>0</v>
      </c>
      <c r="S1888" s="52">
        <f ca="1">SUMIFS(OUT!$F$2:$F$11000,OUT!$H$2:$H$11000,H1888,OUT!$D$2:$D$11000,"Out",OUT!$E$2:$E$11000,"Zela")</f>
        <v>0</v>
      </c>
      <c r="T1888" s="52">
        <f ca="1">SUMIFS(OUT!$F$2:$F$11000,OUT!$H$2:$H$11000,H1888,OUT!$D$2:$D$11000,"Out",OUT!$E$2:$E$11000,"Iqbal")</f>
        <v>0</v>
      </c>
    </row>
    <row r="1889" spans="7:20" x14ac:dyDescent="0.2">
      <c r="G1889" s="50"/>
      <c r="H1889" s="51" t="str">
        <f t="shared" si="0"/>
        <v/>
      </c>
      <c r="I1889" s="52" t="e">
        <f>SUMIFS(OUT!$F$2:$F$11000,OUT!$H$2:$H$11000,H1889,OUT!$D$2:$D$101007,"In")</f>
        <v>#VALUE!</v>
      </c>
      <c r="J1889" s="52">
        <f ca="1">SUMIFS(OUT!$F$2:$F$11000,OUT!$H$2:$H$11000,H1889,OUT!$D$2:$D$11000,"Out")</f>
        <v>0</v>
      </c>
      <c r="K1889" s="52">
        <f ca="1">SUMIFS(OUT!$F$2:$F$11000,OUT!$H$2:$H$11000,H1889,OUT!$D$2:$D$11000,"Out",OUT!$E$2:$E$11000,"Fix")</f>
        <v>0</v>
      </c>
      <c r="L1889" s="52">
        <f ca="1">SUMIFS(OUT!$F$2:$F$11000,OUT!$H$2:$H$11000,H1889,OUT!$D$2:$D$11000,"Out",OUT!$E$2:$E$11000,"Bathroom")</f>
        <v>0</v>
      </c>
      <c r="M1889" s="52">
        <f ca="1">SUMIFS(OUT!$F$2:$F$11000,OUT!$H$2:$H$11000,H1889,OUT!$D$2:$D$11000,"Out",OUT!$E$2:$E$11000,"Alfa")</f>
        <v>0</v>
      </c>
      <c r="N1889" s="52" t="e">
        <f>SUMIFS(OUT!$F$2:$F$11000,OUT!$H$2:$H$101007,H1889,OUT!$D$2:$D$11000,"Out",OUT!$E$2:$E$11000,"Jajan")</f>
        <v>#VALUE!</v>
      </c>
      <c r="O1889" s="52">
        <f ca="1">SUMIFS(OUT!$F$2:$F$11000,OUT!$H$2:$H$11000,H1889,OUT!$D$2:$D$11000,"Out",OUT!$E$2:$E$11000,"Kitchen")</f>
        <v>0</v>
      </c>
      <c r="P1889" s="52">
        <f ca="1">SUMIFS(OUT!$F$2:$F$11000,OUT!$H$2:$H$11000,H1889,OUT!$D$2:$D$11000,"Out",OUT!$E$2:$E$11000,"Loandry")</f>
        <v>0</v>
      </c>
      <c r="Q1889" s="52">
        <f ca="1">SUMIFS(OUT!$F$2:$F$11000,OUT!$H$2:$H$11000,H1889,OUT!$D$2:$D$11000,"Out",OUT!$E$2:$E$11000,"Mio")</f>
        <v>0</v>
      </c>
      <c r="R1889" s="52">
        <f ca="1">SUMIFS(OUT!$F$2:$F$11000,OUT!$H$2:$H$11000,H1889,OUT!$D$2:$D$11000,"Out",OUT!$E$2:$E$11000,"Sedekah")</f>
        <v>0</v>
      </c>
      <c r="S1889" s="52">
        <f ca="1">SUMIFS(OUT!$F$2:$F$11000,OUT!$H$2:$H$11000,H1889,OUT!$D$2:$D$11000,"Out",OUT!$E$2:$E$11000,"Zela")</f>
        <v>0</v>
      </c>
      <c r="T1889" s="52">
        <f ca="1">SUMIFS(OUT!$F$2:$F$11000,OUT!$H$2:$H$11000,H1889,OUT!$D$2:$D$11000,"Out",OUT!$E$2:$E$11000,"Iqbal")</f>
        <v>0</v>
      </c>
    </row>
    <row r="1890" spans="7:20" x14ac:dyDescent="0.2">
      <c r="G1890" s="50"/>
      <c r="H1890" s="51" t="str">
        <f t="shared" si="0"/>
        <v/>
      </c>
      <c r="I1890" s="52" t="e">
        <f>SUMIFS(OUT!$F$2:$F$11000,OUT!$H$2:$H$11000,H1890,OUT!$D$2:$D$101007,"In")</f>
        <v>#VALUE!</v>
      </c>
      <c r="J1890" s="52">
        <f ca="1">SUMIFS(OUT!$F$2:$F$11000,OUT!$H$2:$H$11000,H1890,OUT!$D$2:$D$11000,"Out")</f>
        <v>0</v>
      </c>
      <c r="K1890" s="52">
        <f ca="1">SUMIFS(OUT!$F$2:$F$11000,OUT!$H$2:$H$11000,H1890,OUT!$D$2:$D$11000,"Out",OUT!$E$2:$E$11000,"Fix")</f>
        <v>0</v>
      </c>
      <c r="L1890" s="52">
        <f ca="1">SUMIFS(OUT!$F$2:$F$11000,OUT!$H$2:$H$11000,H1890,OUT!$D$2:$D$11000,"Out",OUT!$E$2:$E$11000,"Bathroom")</f>
        <v>0</v>
      </c>
      <c r="M1890" s="52">
        <f ca="1">SUMIFS(OUT!$F$2:$F$11000,OUT!$H$2:$H$11000,H1890,OUT!$D$2:$D$11000,"Out",OUT!$E$2:$E$11000,"Alfa")</f>
        <v>0</v>
      </c>
      <c r="N1890" s="52" t="e">
        <f>SUMIFS(OUT!$F$2:$F$11000,OUT!$H$2:$H$101007,H1890,OUT!$D$2:$D$11000,"Out",OUT!$E$2:$E$11000,"Jajan")</f>
        <v>#VALUE!</v>
      </c>
      <c r="O1890" s="52">
        <f ca="1">SUMIFS(OUT!$F$2:$F$11000,OUT!$H$2:$H$11000,H1890,OUT!$D$2:$D$11000,"Out",OUT!$E$2:$E$11000,"Kitchen")</f>
        <v>0</v>
      </c>
      <c r="P1890" s="52">
        <f ca="1">SUMIFS(OUT!$F$2:$F$11000,OUT!$H$2:$H$11000,H1890,OUT!$D$2:$D$11000,"Out",OUT!$E$2:$E$11000,"Loandry")</f>
        <v>0</v>
      </c>
      <c r="Q1890" s="52">
        <f ca="1">SUMIFS(OUT!$F$2:$F$11000,OUT!$H$2:$H$11000,H1890,OUT!$D$2:$D$11000,"Out",OUT!$E$2:$E$11000,"Mio")</f>
        <v>0</v>
      </c>
      <c r="R1890" s="52">
        <f ca="1">SUMIFS(OUT!$F$2:$F$11000,OUT!$H$2:$H$11000,H1890,OUT!$D$2:$D$11000,"Out",OUT!$E$2:$E$11000,"Sedekah")</f>
        <v>0</v>
      </c>
      <c r="S1890" s="52">
        <f ca="1">SUMIFS(OUT!$F$2:$F$11000,OUT!$H$2:$H$11000,H1890,OUT!$D$2:$D$11000,"Out",OUT!$E$2:$E$11000,"Zela")</f>
        <v>0</v>
      </c>
      <c r="T1890" s="52">
        <f ca="1">SUMIFS(OUT!$F$2:$F$11000,OUT!$H$2:$H$11000,H1890,OUT!$D$2:$D$11000,"Out",OUT!$E$2:$E$11000,"Iqbal")</f>
        <v>0</v>
      </c>
    </row>
    <row r="1891" spans="7:20" x14ac:dyDescent="0.2">
      <c r="G1891" s="50"/>
      <c r="H1891" s="51" t="str">
        <f t="shared" si="0"/>
        <v/>
      </c>
      <c r="I1891" s="52" t="e">
        <f>SUMIFS(OUT!$F$2:$F$11000,OUT!$H$2:$H$11000,H1891,OUT!$D$2:$D$101007,"In")</f>
        <v>#VALUE!</v>
      </c>
      <c r="J1891" s="52">
        <f ca="1">SUMIFS(OUT!$F$2:$F$11000,OUT!$H$2:$H$11000,H1891,OUT!$D$2:$D$11000,"Out")</f>
        <v>0</v>
      </c>
      <c r="K1891" s="52">
        <f ca="1">SUMIFS(OUT!$F$2:$F$11000,OUT!$H$2:$H$11000,H1891,OUT!$D$2:$D$11000,"Out",OUT!$E$2:$E$11000,"Fix")</f>
        <v>0</v>
      </c>
      <c r="L1891" s="52">
        <f ca="1">SUMIFS(OUT!$F$2:$F$11000,OUT!$H$2:$H$11000,H1891,OUT!$D$2:$D$11000,"Out",OUT!$E$2:$E$11000,"Bathroom")</f>
        <v>0</v>
      </c>
      <c r="M1891" s="52">
        <f ca="1">SUMIFS(OUT!$F$2:$F$11000,OUT!$H$2:$H$11000,H1891,OUT!$D$2:$D$11000,"Out",OUT!$E$2:$E$11000,"Alfa")</f>
        <v>0</v>
      </c>
      <c r="N1891" s="52" t="e">
        <f>SUMIFS(OUT!$F$2:$F$11000,OUT!$H$2:$H$101007,H1891,OUT!$D$2:$D$11000,"Out",OUT!$E$2:$E$11000,"Jajan")</f>
        <v>#VALUE!</v>
      </c>
      <c r="O1891" s="52">
        <f ca="1">SUMIFS(OUT!$F$2:$F$11000,OUT!$H$2:$H$11000,H1891,OUT!$D$2:$D$11000,"Out",OUT!$E$2:$E$11000,"Kitchen")</f>
        <v>0</v>
      </c>
      <c r="P1891" s="52">
        <f ca="1">SUMIFS(OUT!$F$2:$F$11000,OUT!$H$2:$H$11000,H1891,OUT!$D$2:$D$11000,"Out",OUT!$E$2:$E$11000,"Loandry")</f>
        <v>0</v>
      </c>
      <c r="Q1891" s="52">
        <f ca="1">SUMIFS(OUT!$F$2:$F$11000,OUT!$H$2:$H$11000,H1891,OUT!$D$2:$D$11000,"Out",OUT!$E$2:$E$11000,"Mio")</f>
        <v>0</v>
      </c>
      <c r="R1891" s="52">
        <f ca="1">SUMIFS(OUT!$F$2:$F$11000,OUT!$H$2:$H$11000,H1891,OUT!$D$2:$D$11000,"Out",OUT!$E$2:$E$11000,"Sedekah")</f>
        <v>0</v>
      </c>
      <c r="S1891" s="52">
        <f ca="1">SUMIFS(OUT!$F$2:$F$11000,OUT!$H$2:$H$11000,H1891,OUT!$D$2:$D$11000,"Out",OUT!$E$2:$E$11000,"Zela")</f>
        <v>0</v>
      </c>
      <c r="T1891" s="52">
        <f ca="1">SUMIFS(OUT!$F$2:$F$11000,OUT!$H$2:$H$11000,H1891,OUT!$D$2:$D$11000,"Out",OUT!$E$2:$E$11000,"Iqbal")</f>
        <v>0</v>
      </c>
    </row>
    <row r="1892" spans="7:20" x14ac:dyDescent="0.2">
      <c r="G1892" s="50"/>
      <c r="H1892" s="51" t="str">
        <f t="shared" si="0"/>
        <v/>
      </c>
      <c r="I1892" s="52" t="e">
        <f>SUMIFS(OUT!$F$2:$F$11000,OUT!$H$2:$H$11000,H1892,OUT!$D$2:$D$101007,"In")</f>
        <v>#VALUE!</v>
      </c>
      <c r="J1892" s="52">
        <f ca="1">SUMIFS(OUT!$F$2:$F$11000,OUT!$H$2:$H$11000,H1892,OUT!$D$2:$D$11000,"Out")</f>
        <v>0</v>
      </c>
      <c r="K1892" s="52">
        <f ca="1">SUMIFS(OUT!$F$2:$F$11000,OUT!$H$2:$H$11000,H1892,OUT!$D$2:$D$11000,"Out",OUT!$E$2:$E$11000,"Fix")</f>
        <v>0</v>
      </c>
      <c r="L1892" s="52">
        <f ca="1">SUMIFS(OUT!$F$2:$F$11000,OUT!$H$2:$H$11000,H1892,OUT!$D$2:$D$11000,"Out",OUT!$E$2:$E$11000,"Bathroom")</f>
        <v>0</v>
      </c>
      <c r="M1892" s="52">
        <f ca="1">SUMIFS(OUT!$F$2:$F$11000,OUT!$H$2:$H$11000,H1892,OUT!$D$2:$D$11000,"Out",OUT!$E$2:$E$11000,"Alfa")</f>
        <v>0</v>
      </c>
      <c r="N1892" s="52" t="e">
        <f>SUMIFS(OUT!$F$2:$F$11000,OUT!$H$2:$H$101007,H1892,OUT!$D$2:$D$11000,"Out",OUT!$E$2:$E$11000,"Jajan")</f>
        <v>#VALUE!</v>
      </c>
      <c r="O1892" s="52">
        <f ca="1">SUMIFS(OUT!$F$2:$F$11000,OUT!$H$2:$H$11000,H1892,OUT!$D$2:$D$11000,"Out",OUT!$E$2:$E$11000,"Kitchen")</f>
        <v>0</v>
      </c>
      <c r="P1892" s="52">
        <f ca="1">SUMIFS(OUT!$F$2:$F$11000,OUT!$H$2:$H$11000,H1892,OUT!$D$2:$D$11000,"Out",OUT!$E$2:$E$11000,"Loandry")</f>
        <v>0</v>
      </c>
      <c r="Q1892" s="52">
        <f ca="1">SUMIFS(OUT!$F$2:$F$11000,OUT!$H$2:$H$11000,H1892,OUT!$D$2:$D$11000,"Out",OUT!$E$2:$E$11000,"Mio")</f>
        <v>0</v>
      </c>
      <c r="R1892" s="52">
        <f ca="1">SUMIFS(OUT!$F$2:$F$11000,OUT!$H$2:$H$11000,H1892,OUT!$D$2:$D$11000,"Out",OUT!$E$2:$E$11000,"Sedekah")</f>
        <v>0</v>
      </c>
      <c r="S1892" s="52">
        <f ca="1">SUMIFS(OUT!$F$2:$F$11000,OUT!$H$2:$H$11000,H1892,OUT!$D$2:$D$11000,"Out",OUT!$E$2:$E$11000,"Zela")</f>
        <v>0</v>
      </c>
      <c r="T1892" s="52">
        <f ca="1">SUMIFS(OUT!$F$2:$F$11000,OUT!$H$2:$H$11000,H1892,OUT!$D$2:$D$11000,"Out",OUT!$E$2:$E$11000,"Iqbal")</f>
        <v>0</v>
      </c>
    </row>
    <row r="1893" spans="7:20" x14ac:dyDescent="0.2">
      <c r="G1893" s="50"/>
      <c r="H1893" s="51" t="str">
        <f t="shared" si="0"/>
        <v/>
      </c>
      <c r="I1893" s="52" t="e">
        <f>SUMIFS(OUT!$F$2:$F$11000,OUT!$H$2:$H$11000,H1893,OUT!$D$2:$D$101007,"In")</f>
        <v>#VALUE!</v>
      </c>
      <c r="J1893" s="52">
        <f ca="1">SUMIFS(OUT!$F$2:$F$11000,OUT!$H$2:$H$11000,H1893,OUT!$D$2:$D$11000,"Out")</f>
        <v>0</v>
      </c>
      <c r="K1893" s="52">
        <f ca="1">SUMIFS(OUT!$F$2:$F$11000,OUT!$H$2:$H$11000,H1893,OUT!$D$2:$D$11000,"Out",OUT!$E$2:$E$11000,"Fix")</f>
        <v>0</v>
      </c>
      <c r="L1893" s="52">
        <f ca="1">SUMIFS(OUT!$F$2:$F$11000,OUT!$H$2:$H$11000,H1893,OUT!$D$2:$D$11000,"Out",OUT!$E$2:$E$11000,"Bathroom")</f>
        <v>0</v>
      </c>
      <c r="M1893" s="52">
        <f ca="1">SUMIFS(OUT!$F$2:$F$11000,OUT!$H$2:$H$11000,H1893,OUT!$D$2:$D$11000,"Out",OUT!$E$2:$E$11000,"Alfa")</f>
        <v>0</v>
      </c>
      <c r="N1893" s="52" t="e">
        <f>SUMIFS(OUT!$F$2:$F$11000,OUT!$H$2:$H$101007,H1893,OUT!$D$2:$D$11000,"Out",OUT!$E$2:$E$11000,"Jajan")</f>
        <v>#VALUE!</v>
      </c>
      <c r="O1893" s="52">
        <f ca="1">SUMIFS(OUT!$F$2:$F$11000,OUT!$H$2:$H$11000,H1893,OUT!$D$2:$D$11000,"Out",OUT!$E$2:$E$11000,"Kitchen")</f>
        <v>0</v>
      </c>
      <c r="P1893" s="52">
        <f ca="1">SUMIFS(OUT!$F$2:$F$11000,OUT!$H$2:$H$11000,H1893,OUT!$D$2:$D$11000,"Out",OUT!$E$2:$E$11000,"Loandry")</f>
        <v>0</v>
      </c>
      <c r="Q1893" s="52">
        <f ca="1">SUMIFS(OUT!$F$2:$F$11000,OUT!$H$2:$H$11000,H1893,OUT!$D$2:$D$11000,"Out",OUT!$E$2:$E$11000,"Mio")</f>
        <v>0</v>
      </c>
      <c r="R1893" s="52">
        <f ca="1">SUMIFS(OUT!$F$2:$F$11000,OUT!$H$2:$H$11000,H1893,OUT!$D$2:$D$11000,"Out",OUT!$E$2:$E$11000,"Sedekah")</f>
        <v>0</v>
      </c>
      <c r="S1893" s="52">
        <f ca="1">SUMIFS(OUT!$F$2:$F$11000,OUT!$H$2:$H$11000,H1893,OUT!$D$2:$D$11000,"Out",OUT!$E$2:$E$11000,"Zela")</f>
        <v>0</v>
      </c>
      <c r="T1893" s="52">
        <f ca="1">SUMIFS(OUT!$F$2:$F$11000,OUT!$H$2:$H$11000,H1893,OUT!$D$2:$D$11000,"Out",OUT!$E$2:$E$11000,"Iqbal")</f>
        <v>0</v>
      </c>
    </row>
    <row r="1894" spans="7:20" x14ac:dyDescent="0.2">
      <c r="G1894" s="50"/>
      <c r="H1894" s="51" t="str">
        <f t="shared" si="0"/>
        <v/>
      </c>
      <c r="I1894" s="52" t="e">
        <f>SUMIFS(OUT!$F$2:$F$11000,OUT!$H$2:$H$11000,H1894,OUT!$D$2:$D$101007,"In")</f>
        <v>#VALUE!</v>
      </c>
      <c r="J1894" s="52">
        <f ca="1">SUMIFS(OUT!$F$2:$F$11000,OUT!$H$2:$H$11000,H1894,OUT!$D$2:$D$11000,"Out")</f>
        <v>0</v>
      </c>
      <c r="K1894" s="52">
        <f ca="1">SUMIFS(OUT!$F$2:$F$11000,OUT!$H$2:$H$11000,H1894,OUT!$D$2:$D$11000,"Out",OUT!$E$2:$E$11000,"Fix")</f>
        <v>0</v>
      </c>
      <c r="L1894" s="52">
        <f ca="1">SUMIFS(OUT!$F$2:$F$11000,OUT!$H$2:$H$11000,H1894,OUT!$D$2:$D$11000,"Out",OUT!$E$2:$E$11000,"Bathroom")</f>
        <v>0</v>
      </c>
      <c r="M1894" s="52">
        <f ca="1">SUMIFS(OUT!$F$2:$F$11000,OUT!$H$2:$H$11000,H1894,OUT!$D$2:$D$11000,"Out",OUT!$E$2:$E$11000,"Alfa")</f>
        <v>0</v>
      </c>
      <c r="N1894" s="52" t="e">
        <f>SUMIFS(OUT!$F$2:$F$11000,OUT!$H$2:$H$101007,H1894,OUT!$D$2:$D$11000,"Out",OUT!$E$2:$E$11000,"Jajan")</f>
        <v>#VALUE!</v>
      </c>
      <c r="O1894" s="52">
        <f ca="1">SUMIFS(OUT!$F$2:$F$11000,OUT!$H$2:$H$11000,H1894,OUT!$D$2:$D$11000,"Out",OUT!$E$2:$E$11000,"Kitchen")</f>
        <v>0</v>
      </c>
      <c r="P1894" s="52">
        <f ca="1">SUMIFS(OUT!$F$2:$F$11000,OUT!$H$2:$H$11000,H1894,OUT!$D$2:$D$11000,"Out",OUT!$E$2:$E$11000,"Loandry")</f>
        <v>0</v>
      </c>
      <c r="Q1894" s="52">
        <f ca="1">SUMIFS(OUT!$F$2:$F$11000,OUT!$H$2:$H$11000,H1894,OUT!$D$2:$D$11000,"Out",OUT!$E$2:$E$11000,"Mio")</f>
        <v>0</v>
      </c>
      <c r="R1894" s="52">
        <f ca="1">SUMIFS(OUT!$F$2:$F$11000,OUT!$H$2:$H$11000,H1894,OUT!$D$2:$D$11000,"Out",OUT!$E$2:$E$11000,"Sedekah")</f>
        <v>0</v>
      </c>
      <c r="S1894" s="52">
        <f ca="1">SUMIFS(OUT!$F$2:$F$11000,OUT!$H$2:$H$11000,H1894,OUT!$D$2:$D$11000,"Out",OUT!$E$2:$E$11000,"Zela")</f>
        <v>0</v>
      </c>
      <c r="T1894" s="52">
        <f ca="1">SUMIFS(OUT!$F$2:$F$11000,OUT!$H$2:$H$11000,H1894,OUT!$D$2:$D$11000,"Out",OUT!$E$2:$E$11000,"Iqbal")</f>
        <v>0</v>
      </c>
    </row>
    <row r="1895" spans="7:20" x14ac:dyDescent="0.2">
      <c r="G1895" s="50"/>
      <c r="H1895" s="51" t="str">
        <f t="shared" si="0"/>
        <v/>
      </c>
      <c r="I1895" s="52" t="e">
        <f>SUMIFS(OUT!$F$2:$F$11000,OUT!$H$2:$H$11000,H1895,OUT!$D$2:$D$101007,"In")</f>
        <v>#VALUE!</v>
      </c>
      <c r="J1895" s="52">
        <f ca="1">SUMIFS(OUT!$F$2:$F$11000,OUT!$H$2:$H$11000,H1895,OUT!$D$2:$D$11000,"Out")</f>
        <v>0</v>
      </c>
      <c r="K1895" s="52">
        <f ca="1">SUMIFS(OUT!$F$2:$F$11000,OUT!$H$2:$H$11000,H1895,OUT!$D$2:$D$11000,"Out",OUT!$E$2:$E$11000,"Fix")</f>
        <v>0</v>
      </c>
      <c r="L1895" s="52">
        <f ca="1">SUMIFS(OUT!$F$2:$F$11000,OUT!$H$2:$H$11000,H1895,OUT!$D$2:$D$11000,"Out",OUT!$E$2:$E$11000,"Bathroom")</f>
        <v>0</v>
      </c>
      <c r="M1895" s="52">
        <f ca="1">SUMIFS(OUT!$F$2:$F$11000,OUT!$H$2:$H$11000,H1895,OUT!$D$2:$D$11000,"Out",OUT!$E$2:$E$11000,"Alfa")</f>
        <v>0</v>
      </c>
      <c r="N1895" s="52" t="e">
        <f>SUMIFS(OUT!$F$2:$F$11000,OUT!$H$2:$H$101007,H1895,OUT!$D$2:$D$11000,"Out",OUT!$E$2:$E$11000,"Jajan")</f>
        <v>#VALUE!</v>
      </c>
      <c r="O1895" s="52">
        <f ca="1">SUMIFS(OUT!$F$2:$F$11000,OUT!$H$2:$H$11000,H1895,OUT!$D$2:$D$11000,"Out",OUT!$E$2:$E$11000,"Kitchen")</f>
        <v>0</v>
      </c>
      <c r="P1895" s="52">
        <f ca="1">SUMIFS(OUT!$F$2:$F$11000,OUT!$H$2:$H$11000,H1895,OUT!$D$2:$D$11000,"Out",OUT!$E$2:$E$11000,"Loandry")</f>
        <v>0</v>
      </c>
      <c r="Q1895" s="52">
        <f ca="1">SUMIFS(OUT!$F$2:$F$11000,OUT!$H$2:$H$11000,H1895,OUT!$D$2:$D$11000,"Out",OUT!$E$2:$E$11000,"Mio")</f>
        <v>0</v>
      </c>
      <c r="R1895" s="52">
        <f ca="1">SUMIFS(OUT!$F$2:$F$11000,OUT!$H$2:$H$11000,H1895,OUT!$D$2:$D$11000,"Out",OUT!$E$2:$E$11000,"Sedekah")</f>
        <v>0</v>
      </c>
      <c r="S1895" s="52">
        <f ca="1">SUMIFS(OUT!$F$2:$F$11000,OUT!$H$2:$H$11000,H1895,OUT!$D$2:$D$11000,"Out",OUT!$E$2:$E$11000,"Zela")</f>
        <v>0</v>
      </c>
      <c r="T1895" s="52">
        <f ca="1">SUMIFS(OUT!$F$2:$F$11000,OUT!$H$2:$H$11000,H1895,OUT!$D$2:$D$11000,"Out",OUT!$E$2:$E$11000,"Iqbal")</f>
        <v>0</v>
      </c>
    </row>
    <row r="1896" spans="7:20" x14ac:dyDescent="0.2">
      <c r="G1896" s="50"/>
      <c r="H1896" s="51" t="str">
        <f t="shared" si="0"/>
        <v/>
      </c>
      <c r="I1896" s="52" t="e">
        <f>SUMIFS(OUT!$F$2:$F$11000,OUT!$H$2:$H$11000,H1896,OUT!$D$2:$D$101007,"In")</f>
        <v>#VALUE!</v>
      </c>
      <c r="J1896" s="52">
        <f ca="1">SUMIFS(OUT!$F$2:$F$11000,OUT!$H$2:$H$11000,H1896,OUT!$D$2:$D$11000,"Out")</f>
        <v>0</v>
      </c>
      <c r="K1896" s="52">
        <f ca="1">SUMIFS(OUT!$F$2:$F$11000,OUT!$H$2:$H$11000,H1896,OUT!$D$2:$D$11000,"Out",OUT!$E$2:$E$11000,"Fix")</f>
        <v>0</v>
      </c>
      <c r="L1896" s="52">
        <f ca="1">SUMIFS(OUT!$F$2:$F$11000,OUT!$H$2:$H$11000,H1896,OUT!$D$2:$D$11000,"Out",OUT!$E$2:$E$11000,"Bathroom")</f>
        <v>0</v>
      </c>
      <c r="M1896" s="52">
        <f ca="1">SUMIFS(OUT!$F$2:$F$11000,OUT!$H$2:$H$11000,H1896,OUT!$D$2:$D$11000,"Out",OUT!$E$2:$E$11000,"Alfa")</f>
        <v>0</v>
      </c>
      <c r="N1896" s="52" t="e">
        <f>SUMIFS(OUT!$F$2:$F$11000,OUT!$H$2:$H$101007,H1896,OUT!$D$2:$D$11000,"Out",OUT!$E$2:$E$11000,"Jajan")</f>
        <v>#VALUE!</v>
      </c>
      <c r="O1896" s="52">
        <f ca="1">SUMIFS(OUT!$F$2:$F$11000,OUT!$H$2:$H$11000,H1896,OUT!$D$2:$D$11000,"Out",OUT!$E$2:$E$11000,"Kitchen")</f>
        <v>0</v>
      </c>
      <c r="P1896" s="52">
        <f ca="1">SUMIFS(OUT!$F$2:$F$11000,OUT!$H$2:$H$11000,H1896,OUT!$D$2:$D$11000,"Out",OUT!$E$2:$E$11000,"Loandry")</f>
        <v>0</v>
      </c>
      <c r="Q1896" s="52">
        <f ca="1">SUMIFS(OUT!$F$2:$F$11000,OUT!$H$2:$H$11000,H1896,OUT!$D$2:$D$11000,"Out",OUT!$E$2:$E$11000,"Mio")</f>
        <v>0</v>
      </c>
      <c r="R1896" s="52">
        <f ca="1">SUMIFS(OUT!$F$2:$F$11000,OUT!$H$2:$H$11000,H1896,OUT!$D$2:$D$11000,"Out",OUT!$E$2:$E$11000,"Sedekah")</f>
        <v>0</v>
      </c>
      <c r="S1896" s="52">
        <f ca="1">SUMIFS(OUT!$F$2:$F$11000,OUT!$H$2:$H$11000,H1896,OUT!$D$2:$D$11000,"Out",OUT!$E$2:$E$11000,"Zela")</f>
        <v>0</v>
      </c>
      <c r="T1896" s="52">
        <f ca="1">SUMIFS(OUT!$F$2:$F$11000,OUT!$H$2:$H$11000,H1896,OUT!$D$2:$D$11000,"Out",OUT!$E$2:$E$11000,"Iqbal")</f>
        <v>0</v>
      </c>
    </row>
    <row r="1897" spans="7:20" x14ac:dyDescent="0.2">
      <c r="G1897" s="50"/>
      <c r="H1897" s="51" t="str">
        <f t="shared" si="0"/>
        <v/>
      </c>
      <c r="I1897" s="52" t="e">
        <f>SUMIFS(OUT!$F$2:$F$11000,OUT!$H$2:$H$11000,H1897,OUT!$D$2:$D$101007,"In")</f>
        <v>#VALUE!</v>
      </c>
      <c r="J1897" s="52">
        <f ca="1">SUMIFS(OUT!$F$2:$F$11000,OUT!$H$2:$H$11000,H1897,OUT!$D$2:$D$11000,"Out")</f>
        <v>0</v>
      </c>
      <c r="K1897" s="52">
        <f ca="1">SUMIFS(OUT!$F$2:$F$11000,OUT!$H$2:$H$11000,H1897,OUT!$D$2:$D$11000,"Out",OUT!$E$2:$E$11000,"Fix")</f>
        <v>0</v>
      </c>
      <c r="L1897" s="52">
        <f ca="1">SUMIFS(OUT!$F$2:$F$11000,OUT!$H$2:$H$11000,H1897,OUT!$D$2:$D$11000,"Out",OUT!$E$2:$E$11000,"Bathroom")</f>
        <v>0</v>
      </c>
      <c r="M1897" s="52">
        <f ca="1">SUMIFS(OUT!$F$2:$F$11000,OUT!$H$2:$H$11000,H1897,OUT!$D$2:$D$11000,"Out",OUT!$E$2:$E$11000,"Alfa")</f>
        <v>0</v>
      </c>
      <c r="N1897" s="52" t="e">
        <f>SUMIFS(OUT!$F$2:$F$11000,OUT!$H$2:$H$101007,H1897,OUT!$D$2:$D$11000,"Out",OUT!$E$2:$E$11000,"Jajan")</f>
        <v>#VALUE!</v>
      </c>
      <c r="O1897" s="52">
        <f ca="1">SUMIFS(OUT!$F$2:$F$11000,OUT!$H$2:$H$11000,H1897,OUT!$D$2:$D$11000,"Out",OUT!$E$2:$E$11000,"Kitchen")</f>
        <v>0</v>
      </c>
      <c r="P1897" s="52">
        <f ca="1">SUMIFS(OUT!$F$2:$F$11000,OUT!$H$2:$H$11000,H1897,OUT!$D$2:$D$11000,"Out",OUT!$E$2:$E$11000,"Loandry")</f>
        <v>0</v>
      </c>
      <c r="Q1897" s="52">
        <f ca="1">SUMIFS(OUT!$F$2:$F$11000,OUT!$H$2:$H$11000,H1897,OUT!$D$2:$D$11000,"Out",OUT!$E$2:$E$11000,"Mio")</f>
        <v>0</v>
      </c>
      <c r="R1897" s="52">
        <f ca="1">SUMIFS(OUT!$F$2:$F$11000,OUT!$H$2:$H$11000,H1897,OUT!$D$2:$D$11000,"Out",OUT!$E$2:$E$11000,"Sedekah")</f>
        <v>0</v>
      </c>
      <c r="S1897" s="52">
        <f ca="1">SUMIFS(OUT!$F$2:$F$11000,OUT!$H$2:$H$11000,H1897,OUT!$D$2:$D$11000,"Out",OUT!$E$2:$E$11000,"Zela")</f>
        <v>0</v>
      </c>
      <c r="T1897" s="52">
        <f ca="1">SUMIFS(OUT!$F$2:$F$11000,OUT!$H$2:$H$11000,H1897,OUT!$D$2:$D$11000,"Out",OUT!$E$2:$E$11000,"Iqbal")</f>
        <v>0</v>
      </c>
    </row>
    <row r="1898" spans="7:20" x14ac:dyDescent="0.2">
      <c r="G1898" s="50"/>
      <c r="H1898" s="51" t="str">
        <f t="shared" si="0"/>
        <v/>
      </c>
      <c r="I1898" s="52" t="e">
        <f>SUMIFS(OUT!$F$2:$F$11000,OUT!$H$2:$H$11000,H1898,OUT!$D$2:$D$101007,"In")</f>
        <v>#VALUE!</v>
      </c>
      <c r="J1898" s="52">
        <f ca="1">SUMIFS(OUT!$F$2:$F$11000,OUT!$H$2:$H$11000,H1898,OUT!$D$2:$D$11000,"Out")</f>
        <v>0</v>
      </c>
      <c r="K1898" s="52">
        <f ca="1">SUMIFS(OUT!$F$2:$F$11000,OUT!$H$2:$H$11000,H1898,OUT!$D$2:$D$11000,"Out",OUT!$E$2:$E$11000,"Fix")</f>
        <v>0</v>
      </c>
      <c r="L1898" s="52">
        <f ca="1">SUMIFS(OUT!$F$2:$F$11000,OUT!$H$2:$H$11000,H1898,OUT!$D$2:$D$11000,"Out",OUT!$E$2:$E$11000,"Bathroom")</f>
        <v>0</v>
      </c>
      <c r="M1898" s="52">
        <f ca="1">SUMIFS(OUT!$F$2:$F$11000,OUT!$H$2:$H$11000,H1898,OUT!$D$2:$D$11000,"Out",OUT!$E$2:$E$11000,"Alfa")</f>
        <v>0</v>
      </c>
      <c r="N1898" s="52" t="e">
        <f>SUMIFS(OUT!$F$2:$F$11000,OUT!$H$2:$H$101007,H1898,OUT!$D$2:$D$11000,"Out",OUT!$E$2:$E$11000,"Jajan")</f>
        <v>#VALUE!</v>
      </c>
      <c r="O1898" s="52">
        <f ca="1">SUMIFS(OUT!$F$2:$F$11000,OUT!$H$2:$H$11000,H1898,OUT!$D$2:$D$11000,"Out",OUT!$E$2:$E$11000,"Kitchen")</f>
        <v>0</v>
      </c>
      <c r="P1898" s="52">
        <f ca="1">SUMIFS(OUT!$F$2:$F$11000,OUT!$H$2:$H$11000,H1898,OUT!$D$2:$D$11000,"Out",OUT!$E$2:$E$11000,"Loandry")</f>
        <v>0</v>
      </c>
      <c r="Q1898" s="52">
        <f ca="1">SUMIFS(OUT!$F$2:$F$11000,OUT!$H$2:$H$11000,H1898,OUT!$D$2:$D$11000,"Out",OUT!$E$2:$E$11000,"Mio")</f>
        <v>0</v>
      </c>
      <c r="R1898" s="52">
        <f ca="1">SUMIFS(OUT!$F$2:$F$11000,OUT!$H$2:$H$11000,H1898,OUT!$D$2:$D$11000,"Out",OUT!$E$2:$E$11000,"Sedekah")</f>
        <v>0</v>
      </c>
      <c r="S1898" s="52">
        <f ca="1">SUMIFS(OUT!$F$2:$F$11000,OUT!$H$2:$H$11000,H1898,OUT!$D$2:$D$11000,"Out",OUT!$E$2:$E$11000,"Zela")</f>
        <v>0</v>
      </c>
      <c r="T1898" s="52">
        <f ca="1">SUMIFS(OUT!$F$2:$F$11000,OUT!$H$2:$H$11000,H1898,OUT!$D$2:$D$11000,"Out",OUT!$E$2:$E$11000,"Iqbal")</f>
        <v>0</v>
      </c>
    </row>
    <row r="1899" spans="7:20" x14ac:dyDescent="0.2">
      <c r="G1899" s="50"/>
      <c r="H1899" s="51" t="str">
        <f t="shared" si="0"/>
        <v/>
      </c>
      <c r="I1899" s="52" t="e">
        <f>SUMIFS(OUT!$F$2:$F$11000,OUT!$H$2:$H$11000,H1899,OUT!$D$2:$D$101007,"In")</f>
        <v>#VALUE!</v>
      </c>
      <c r="J1899" s="52">
        <f ca="1">SUMIFS(OUT!$F$2:$F$11000,OUT!$H$2:$H$11000,H1899,OUT!$D$2:$D$11000,"Out")</f>
        <v>0</v>
      </c>
      <c r="K1899" s="52">
        <f ca="1">SUMIFS(OUT!$F$2:$F$11000,OUT!$H$2:$H$11000,H1899,OUT!$D$2:$D$11000,"Out",OUT!$E$2:$E$11000,"Fix")</f>
        <v>0</v>
      </c>
      <c r="L1899" s="52">
        <f ca="1">SUMIFS(OUT!$F$2:$F$11000,OUT!$H$2:$H$11000,H1899,OUT!$D$2:$D$11000,"Out",OUT!$E$2:$E$11000,"Bathroom")</f>
        <v>0</v>
      </c>
      <c r="M1899" s="52">
        <f ca="1">SUMIFS(OUT!$F$2:$F$11000,OUT!$H$2:$H$11000,H1899,OUT!$D$2:$D$11000,"Out",OUT!$E$2:$E$11000,"Alfa")</f>
        <v>0</v>
      </c>
      <c r="N1899" s="52" t="e">
        <f>SUMIFS(OUT!$F$2:$F$11000,OUT!$H$2:$H$101007,H1899,OUT!$D$2:$D$11000,"Out",OUT!$E$2:$E$11000,"Jajan")</f>
        <v>#VALUE!</v>
      </c>
      <c r="O1899" s="52">
        <f ca="1">SUMIFS(OUT!$F$2:$F$11000,OUT!$H$2:$H$11000,H1899,OUT!$D$2:$D$11000,"Out",OUT!$E$2:$E$11000,"Kitchen")</f>
        <v>0</v>
      </c>
      <c r="P1899" s="52">
        <f ca="1">SUMIFS(OUT!$F$2:$F$11000,OUT!$H$2:$H$11000,H1899,OUT!$D$2:$D$11000,"Out",OUT!$E$2:$E$11000,"Loandry")</f>
        <v>0</v>
      </c>
      <c r="Q1899" s="52">
        <f ca="1">SUMIFS(OUT!$F$2:$F$11000,OUT!$H$2:$H$11000,H1899,OUT!$D$2:$D$11000,"Out",OUT!$E$2:$E$11000,"Mio")</f>
        <v>0</v>
      </c>
      <c r="R1899" s="52">
        <f ca="1">SUMIFS(OUT!$F$2:$F$11000,OUT!$H$2:$H$11000,H1899,OUT!$D$2:$D$11000,"Out",OUT!$E$2:$E$11000,"Sedekah")</f>
        <v>0</v>
      </c>
      <c r="S1899" s="52">
        <f ca="1">SUMIFS(OUT!$F$2:$F$11000,OUT!$H$2:$H$11000,H1899,OUT!$D$2:$D$11000,"Out",OUT!$E$2:$E$11000,"Zela")</f>
        <v>0</v>
      </c>
      <c r="T1899" s="52">
        <f ca="1">SUMIFS(OUT!$F$2:$F$11000,OUT!$H$2:$H$11000,H1899,OUT!$D$2:$D$11000,"Out",OUT!$E$2:$E$11000,"Iqbal")</f>
        <v>0</v>
      </c>
    </row>
    <row r="1900" spans="7:20" x14ac:dyDescent="0.2">
      <c r="G1900" s="50"/>
      <c r="H1900" s="51" t="str">
        <f t="shared" si="0"/>
        <v/>
      </c>
      <c r="I1900" s="52" t="e">
        <f>SUMIFS(OUT!$F$2:$F$11000,OUT!$H$2:$H$11000,H1900,OUT!$D$2:$D$101007,"In")</f>
        <v>#VALUE!</v>
      </c>
      <c r="J1900" s="52">
        <f ca="1">SUMIFS(OUT!$F$2:$F$11000,OUT!$H$2:$H$11000,H1900,OUT!$D$2:$D$11000,"Out")</f>
        <v>0</v>
      </c>
      <c r="K1900" s="52">
        <f ca="1">SUMIFS(OUT!$F$2:$F$11000,OUT!$H$2:$H$11000,H1900,OUT!$D$2:$D$11000,"Out",OUT!$E$2:$E$11000,"Fix")</f>
        <v>0</v>
      </c>
      <c r="L1900" s="52">
        <f ca="1">SUMIFS(OUT!$F$2:$F$11000,OUT!$H$2:$H$11000,H1900,OUT!$D$2:$D$11000,"Out",OUT!$E$2:$E$11000,"Bathroom")</f>
        <v>0</v>
      </c>
      <c r="M1900" s="52">
        <f ca="1">SUMIFS(OUT!$F$2:$F$11000,OUT!$H$2:$H$11000,H1900,OUT!$D$2:$D$11000,"Out",OUT!$E$2:$E$11000,"Alfa")</f>
        <v>0</v>
      </c>
      <c r="N1900" s="52" t="e">
        <f>SUMIFS(OUT!$F$2:$F$11000,OUT!$H$2:$H$101007,H1900,OUT!$D$2:$D$11000,"Out",OUT!$E$2:$E$11000,"Jajan")</f>
        <v>#VALUE!</v>
      </c>
      <c r="O1900" s="52">
        <f ca="1">SUMIFS(OUT!$F$2:$F$11000,OUT!$H$2:$H$11000,H1900,OUT!$D$2:$D$11000,"Out",OUT!$E$2:$E$11000,"Kitchen")</f>
        <v>0</v>
      </c>
      <c r="P1900" s="52">
        <f ca="1">SUMIFS(OUT!$F$2:$F$11000,OUT!$H$2:$H$11000,H1900,OUT!$D$2:$D$11000,"Out",OUT!$E$2:$E$11000,"Loandry")</f>
        <v>0</v>
      </c>
      <c r="Q1900" s="52">
        <f ca="1">SUMIFS(OUT!$F$2:$F$11000,OUT!$H$2:$H$11000,H1900,OUT!$D$2:$D$11000,"Out",OUT!$E$2:$E$11000,"Mio")</f>
        <v>0</v>
      </c>
      <c r="R1900" s="52">
        <f ca="1">SUMIFS(OUT!$F$2:$F$11000,OUT!$H$2:$H$11000,H1900,OUT!$D$2:$D$11000,"Out",OUT!$E$2:$E$11000,"Sedekah")</f>
        <v>0</v>
      </c>
      <c r="S1900" s="52">
        <f ca="1">SUMIFS(OUT!$F$2:$F$11000,OUT!$H$2:$H$11000,H1900,OUT!$D$2:$D$11000,"Out",OUT!$E$2:$E$11000,"Zela")</f>
        <v>0</v>
      </c>
      <c r="T1900" s="52">
        <f ca="1">SUMIFS(OUT!$F$2:$F$11000,OUT!$H$2:$H$11000,H1900,OUT!$D$2:$D$11000,"Out",OUT!$E$2:$E$11000,"Iqbal")</f>
        <v>0</v>
      </c>
    </row>
    <row r="1901" spans="7:20" x14ac:dyDescent="0.2">
      <c r="G1901" s="50"/>
      <c r="H1901" s="51" t="str">
        <f t="shared" si="0"/>
        <v/>
      </c>
      <c r="I1901" s="52" t="e">
        <f>SUMIFS(OUT!$F$2:$F$11000,OUT!$H$2:$H$11000,H1901,OUT!$D$2:$D$101007,"In")</f>
        <v>#VALUE!</v>
      </c>
      <c r="J1901" s="52">
        <f ca="1">SUMIFS(OUT!$F$2:$F$11000,OUT!$H$2:$H$11000,H1901,OUT!$D$2:$D$11000,"Out")</f>
        <v>0</v>
      </c>
      <c r="K1901" s="52">
        <f ca="1">SUMIFS(OUT!$F$2:$F$11000,OUT!$H$2:$H$11000,H1901,OUT!$D$2:$D$11000,"Out",OUT!$E$2:$E$11000,"Fix")</f>
        <v>0</v>
      </c>
      <c r="L1901" s="52">
        <f ca="1">SUMIFS(OUT!$F$2:$F$11000,OUT!$H$2:$H$11000,H1901,OUT!$D$2:$D$11000,"Out",OUT!$E$2:$E$11000,"Bathroom")</f>
        <v>0</v>
      </c>
      <c r="M1901" s="52">
        <f ca="1">SUMIFS(OUT!$F$2:$F$11000,OUT!$H$2:$H$11000,H1901,OUT!$D$2:$D$11000,"Out",OUT!$E$2:$E$11000,"Alfa")</f>
        <v>0</v>
      </c>
      <c r="N1901" s="52" t="e">
        <f>SUMIFS(OUT!$F$2:$F$11000,OUT!$H$2:$H$101007,H1901,OUT!$D$2:$D$11000,"Out",OUT!$E$2:$E$11000,"Jajan")</f>
        <v>#VALUE!</v>
      </c>
      <c r="O1901" s="52">
        <f ca="1">SUMIFS(OUT!$F$2:$F$11000,OUT!$H$2:$H$11000,H1901,OUT!$D$2:$D$11000,"Out",OUT!$E$2:$E$11000,"Kitchen")</f>
        <v>0</v>
      </c>
      <c r="P1901" s="52">
        <f ca="1">SUMIFS(OUT!$F$2:$F$11000,OUT!$H$2:$H$11000,H1901,OUT!$D$2:$D$11000,"Out",OUT!$E$2:$E$11000,"Loandry")</f>
        <v>0</v>
      </c>
      <c r="Q1901" s="52">
        <f ca="1">SUMIFS(OUT!$F$2:$F$11000,OUT!$H$2:$H$11000,H1901,OUT!$D$2:$D$11000,"Out",OUT!$E$2:$E$11000,"Mio")</f>
        <v>0</v>
      </c>
      <c r="R1901" s="52">
        <f ca="1">SUMIFS(OUT!$F$2:$F$11000,OUT!$H$2:$H$11000,H1901,OUT!$D$2:$D$11000,"Out",OUT!$E$2:$E$11000,"Sedekah")</f>
        <v>0</v>
      </c>
      <c r="S1901" s="52">
        <f ca="1">SUMIFS(OUT!$F$2:$F$11000,OUT!$H$2:$H$11000,H1901,OUT!$D$2:$D$11000,"Out",OUT!$E$2:$E$11000,"Zela")</f>
        <v>0</v>
      </c>
      <c r="T1901" s="52">
        <f ca="1">SUMIFS(OUT!$F$2:$F$11000,OUT!$H$2:$H$11000,H1901,OUT!$D$2:$D$11000,"Out",OUT!$E$2:$E$11000,"Iqbal")</f>
        <v>0</v>
      </c>
    </row>
    <row r="1902" spans="7:20" x14ac:dyDescent="0.2">
      <c r="G1902" s="50"/>
      <c r="H1902" s="51" t="str">
        <f t="shared" si="0"/>
        <v/>
      </c>
      <c r="I1902" s="52" t="e">
        <f>SUMIFS(OUT!$F$2:$F$11000,OUT!$H$2:$H$11000,H1902,OUT!$D$2:$D$101007,"In")</f>
        <v>#VALUE!</v>
      </c>
      <c r="J1902" s="52">
        <f ca="1">SUMIFS(OUT!$F$2:$F$11000,OUT!$H$2:$H$11000,H1902,OUT!$D$2:$D$11000,"Out")</f>
        <v>0</v>
      </c>
      <c r="K1902" s="52">
        <f ca="1">SUMIFS(OUT!$F$2:$F$11000,OUT!$H$2:$H$11000,H1902,OUT!$D$2:$D$11000,"Out",OUT!$E$2:$E$11000,"Fix")</f>
        <v>0</v>
      </c>
      <c r="L1902" s="52">
        <f ca="1">SUMIFS(OUT!$F$2:$F$11000,OUT!$H$2:$H$11000,H1902,OUT!$D$2:$D$11000,"Out",OUT!$E$2:$E$11000,"Bathroom")</f>
        <v>0</v>
      </c>
      <c r="M1902" s="52">
        <f ca="1">SUMIFS(OUT!$F$2:$F$11000,OUT!$H$2:$H$11000,H1902,OUT!$D$2:$D$11000,"Out",OUT!$E$2:$E$11000,"Alfa")</f>
        <v>0</v>
      </c>
      <c r="N1902" s="52" t="e">
        <f>SUMIFS(OUT!$F$2:$F$11000,OUT!$H$2:$H$101007,H1902,OUT!$D$2:$D$11000,"Out",OUT!$E$2:$E$11000,"Jajan")</f>
        <v>#VALUE!</v>
      </c>
      <c r="O1902" s="52">
        <f ca="1">SUMIFS(OUT!$F$2:$F$11000,OUT!$H$2:$H$11000,H1902,OUT!$D$2:$D$11000,"Out",OUT!$E$2:$E$11000,"Kitchen")</f>
        <v>0</v>
      </c>
      <c r="P1902" s="52">
        <f ca="1">SUMIFS(OUT!$F$2:$F$11000,OUT!$H$2:$H$11000,H1902,OUT!$D$2:$D$11000,"Out",OUT!$E$2:$E$11000,"Loandry")</f>
        <v>0</v>
      </c>
      <c r="Q1902" s="52">
        <f ca="1">SUMIFS(OUT!$F$2:$F$11000,OUT!$H$2:$H$11000,H1902,OUT!$D$2:$D$11000,"Out",OUT!$E$2:$E$11000,"Mio")</f>
        <v>0</v>
      </c>
      <c r="R1902" s="52">
        <f ca="1">SUMIFS(OUT!$F$2:$F$11000,OUT!$H$2:$H$11000,H1902,OUT!$D$2:$D$11000,"Out",OUT!$E$2:$E$11000,"Sedekah")</f>
        <v>0</v>
      </c>
      <c r="S1902" s="52">
        <f ca="1">SUMIFS(OUT!$F$2:$F$11000,OUT!$H$2:$H$11000,H1902,OUT!$D$2:$D$11000,"Out",OUT!$E$2:$E$11000,"Zela")</f>
        <v>0</v>
      </c>
      <c r="T1902" s="52">
        <f ca="1">SUMIFS(OUT!$F$2:$F$11000,OUT!$H$2:$H$11000,H1902,OUT!$D$2:$D$11000,"Out",OUT!$E$2:$E$11000,"Iqbal")</f>
        <v>0</v>
      </c>
    </row>
    <row r="1903" spans="7:20" x14ac:dyDescent="0.2">
      <c r="G1903" s="50"/>
      <c r="H1903" s="51" t="str">
        <f t="shared" si="0"/>
        <v/>
      </c>
      <c r="I1903" s="52" t="e">
        <f>SUMIFS(OUT!$F$2:$F$11000,OUT!$H$2:$H$11000,H1903,OUT!$D$2:$D$101007,"In")</f>
        <v>#VALUE!</v>
      </c>
      <c r="J1903" s="52">
        <f ca="1">SUMIFS(OUT!$F$2:$F$11000,OUT!$H$2:$H$11000,H1903,OUT!$D$2:$D$11000,"Out")</f>
        <v>0</v>
      </c>
      <c r="K1903" s="52">
        <f ca="1">SUMIFS(OUT!$F$2:$F$11000,OUT!$H$2:$H$11000,H1903,OUT!$D$2:$D$11000,"Out",OUT!$E$2:$E$11000,"Fix")</f>
        <v>0</v>
      </c>
      <c r="L1903" s="52">
        <f ca="1">SUMIFS(OUT!$F$2:$F$11000,OUT!$H$2:$H$11000,H1903,OUT!$D$2:$D$11000,"Out",OUT!$E$2:$E$11000,"Bathroom")</f>
        <v>0</v>
      </c>
      <c r="M1903" s="52">
        <f ca="1">SUMIFS(OUT!$F$2:$F$11000,OUT!$H$2:$H$11000,H1903,OUT!$D$2:$D$11000,"Out",OUT!$E$2:$E$11000,"Alfa")</f>
        <v>0</v>
      </c>
      <c r="N1903" s="52" t="e">
        <f>SUMIFS(OUT!$F$2:$F$11000,OUT!$H$2:$H$101007,H1903,OUT!$D$2:$D$11000,"Out",OUT!$E$2:$E$11000,"Jajan")</f>
        <v>#VALUE!</v>
      </c>
      <c r="O1903" s="52">
        <f ca="1">SUMIFS(OUT!$F$2:$F$11000,OUT!$H$2:$H$11000,H1903,OUT!$D$2:$D$11000,"Out",OUT!$E$2:$E$11000,"Kitchen")</f>
        <v>0</v>
      </c>
      <c r="P1903" s="52">
        <f ca="1">SUMIFS(OUT!$F$2:$F$11000,OUT!$H$2:$H$11000,H1903,OUT!$D$2:$D$11000,"Out",OUT!$E$2:$E$11000,"Loandry")</f>
        <v>0</v>
      </c>
      <c r="Q1903" s="52">
        <f ca="1">SUMIFS(OUT!$F$2:$F$11000,OUT!$H$2:$H$11000,H1903,OUT!$D$2:$D$11000,"Out",OUT!$E$2:$E$11000,"Mio")</f>
        <v>0</v>
      </c>
      <c r="R1903" s="52">
        <f ca="1">SUMIFS(OUT!$F$2:$F$11000,OUT!$H$2:$H$11000,H1903,OUT!$D$2:$D$11000,"Out",OUT!$E$2:$E$11000,"Sedekah")</f>
        <v>0</v>
      </c>
      <c r="S1903" s="52">
        <f ca="1">SUMIFS(OUT!$F$2:$F$11000,OUT!$H$2:$H$11000,H1903,OUT!$D$2:$D$11000,"Out",OUT!$E$2:$E$11000,"Zela")</f>
        <v>0</v>
      </c>
      <c r="T1903" s="52">
        <f ca="1">SUMIFS(OUT!$F$2:$F$11000,OUT!$H$2:$H$11000,H1903,OUT!$D$2:$D$11000,"Out",OUT!$E$2:$E$11000,"Iqbal")</f>
        <v>0</v>
      </c>
    </row>
    <row r="1904" spans="7:20" x14ac:dyDescent="0.2">
      <c r="G1904" s="50"/>
      <c r="H1904" s="51" t="str">
        <f t="shared" si="0"/>
        <v/>
      </c>
      <c r="I1904" s="52" t="e">
        <f>SUMIFS(OUT!$F$2:$F$11000,OUT!$H$2:$H$11000,H1904,OUT!$D$2:$D$101007,"In")</f>
        <v>#VALUE!</v>
      </c>
      <c r="J1904" s="52">
        <f ca="1">SUMIFS(OUT!$F$2:$F$11000,OUT!$H$2:$H$11000,H1904,OUT!$D$2:$D$11000,"Out")</f>
        <v>0</v>
      </c>
      <c r="K1904" s="52">
        <f ca="1">SUMIFS(OUT!$F$2:$F$11000,OUT!$H$2:$H$11000,H1904,OUT!$D$2:$D$11000,"Out",OUT!$E$2:$E$11000,"Fix")</f>
        <v>0</v>
      </c>
      <c r="L1904" s="52">
        <f ca="1">SUMIFS(OUT!$F$2:$F$11000,OUT!$H$2:$H$11000,H1904,OUT!$D$2:$D$11000,"Out",OUT!$E$2:$E$11000,"Bathroom")</f>
        <v>0</v>
      </c>
      <c r="M1904" s="52">
        <f ca="1">SUMIFS(OUT!$F$2:$F$11000,OUT!$H$2:$H$11000,H1904,OUT!$D$2:$D$11000,"Out",OUT!$E$2:$E$11000,"Alfa")</f>
        <v>0</v>
      </c>
      <c r="N1904" s="52" t="e">
        <f>SUMIFS(OUT!$F$2:$F$11000,OUT!$H$2:$H$101007,H1904,OUT!$D$2:$D$11000,"Out",OUT!$E$2:$E$11000,"Jajan")</f>
        <v>#VALUE!</v>
      </c>
      <c r="O1904" s="52">
        <f ca="1">SUMIFS(OUT!$F$2:$F$11000,OUT!$H$2:$H$11000,H1904,OUT!$D$2:$D$11000,"Out",OUT!$E$2:$E$11000,"Kitchen")</f>
        <v>0</v>
      </c>
      <c r="P1904" s="52">
        <f ca="1">SUMIFS(OUT!$F$2:$F$11000,OUT!$H$2:$H$11000,H1904,OUT!$D$2:$D$11000,"Out",OUT!$E$2:$E$11000,"Loandry")</f>
        <v>0</v>
      </c>
      <c r="Q1904" s="52">
        <f ca="1">SUMIFS(OUT!$F$2:$F$11000,OUT!$H$2:$H$11000,H1904,OUT!$D$2:$D$11000,"Out",OUT!$E$2:$E$11000,"Mio")</f>
        <v>0</v>
      </c>
      <c r="R1904" s="52">
        <f ca="1">SUMIFS(OUT!$F$2:$F$11000,OUT!$H$2:$H$11000,H1904,OUT!$D$2:$D$11000,"Out",OUT!$E$2:$E$11000,"Sedekah")</f>
        <v>0</v>
      </c>
      <c r="S1904" s="52">
        <f ca="1">SUMIFS(OUT!$F$2:$F$11000,OUT!$H$2:$H$11000,H1904,OUT!$D$2:$D$11000,"Out",OUT!$E$2:$E$11000,"Zela")</f>
        <v>0</v>
      </c>
      <c r="T1904" s="52">
        <f ca="1">SUMIFS(OUT!$F$2:$F$11000,OUT!$H$2:$H$11000,H1904,OUT!$D$2:$D$11000,"Out",OUT!$E$2:$E$11000,"Iqbal")</f>
        <v>0</v>
      </c>
    </row>
    <row r="1905" spans="7:20" x14ac:dyDescent="0.2">
      <c r="G1905" s="50"/>
      <c r="H1905" s="51" t="str">
        <f t="shared" si="0"/>
        <v/>
      </c>
      <c r="I1905" s="52" t="e">
        <f>SUMIFS(OUT!$F$2:$F$11000,OUT!$H$2:$H$11000,H1905,OUT!$D$2:$D$101007,"In")</f>
        <v>#VALUE!</v>
      </c>
      <c r="J1905" s="52">
        <f ca="1">SUMIFS(OUT!$F$2:$F$11000,OUT!$H$2:$H$11000,H1905,OUT!$D$2:$D$11000,"Out")</f>
        <v>0</v>
      </c>
      <c r="K1905" s="52">
        <f ca="1">SUMIFS(OUT!$F$2:$F$11000,OUT!$H$2:$H$11000,H1905,OUT!$D$2:$D$11000,"Out",OUT!$E$2:$E$11000,"Fix")</f>
        <v>0</v>
      </c>
      <c r="L1905" s="52">
        <f ca="1">SUMIFS(OUT!$F$2:$F$11000,OUT!$H$2:$H$11000,H1905,OUT!$D$2:$D$11000,"Out",OUT!$E$2:$E$11000,"Bathroom")</f>
        <v>0</v>
      </c>
      <c r="M1905" s="52">
        <f ca="1">SUMIFS(OUT!$F$2:$F$11000,OUT!$H$2:$H$11000,H1905,OUT!$D$2:$D$11000,"Out",OUT!$E$2:$E$11000,"Alfa")</f>
        <v>0</v>
      </c>
      <c r="N1905" s="52" t="e">
        <f>SUMIFS(OUT!$F$2:$F$11000,OUT!$H$2:$H$101007,H1905,OUT!$D$2:$D$11000,"Out",OUT!$E$2:$E$11000,"Jajan")</f>
        <v>#VALUE!</v>
      </c>
      <c r="O1905" s="52">
        <f ca="1">SUMIFS(OUT!$F$2:$F$11000,OUT!$H$2:$H$11000,H1905,OUT!$D$2:$D$11000,"Out",OUT!$E$2:$E$11000,"Kitchen")</f>
        <v>0</v>
      </c>
      <c r="P1905" s="52">
        <f ca="1">SUMIFS(OUT!$F$2:$F$11000,OUT!$H$2:$H$11000,H1905,OUT!$D$2:$D$11000,"Out",OUT!$E$2:$E$11000,"Loandry")</f>
        <v>0</v>
      </c>
      <c r="Q1905" s="52">
        <f ca="1">SUMIFS(OUT!$F$2:$F$11000,OUT!$H$2:$H$11000,H1905,OUT!$D$2:$D$11000,"Out",OUT!$E$2:$E$11000,"Mio")</f>
        <v>0</v>
      </c>
      <c r="R1905" s="52">
        <f ca="1">SUMIFS(OUT!$F$2:$F$11000,OUT!$H$2:$H$11000,H1905,OUT!$D$2:$D$11000,"Out",OUT!$E$2:$E$11000,"Sedekah")</f>
        <v>0</v>
      </c>
      <c r="S1905" s="52">
        <f ca="1">SUMIFS(OUT!$F$2:$F$11000,OUT!$H$2:$H$11000,H1905,OUT!$D$2:$D$11000,"Out",OUT!$E$2:$E$11000,"Zela")</f>
        <v>0</v>
      </c>
      <c r="T1905" s="52">
        <f ca="1">SUMIFS(OUT!$F$2:$F$11000,OUT!$H$2:$H$11000,H1905,OUT!$D$2:$D$11000,"Out",OUT!$E$2:$E$11000,"Iqbal")</f>
        <v>0</v>
      </c>
    </row>
    <row r="1906" spans="7:20" x14ac:dyDescent="0.2">
      <c r="G1906" s="50"/>
      <c r="H1906" s="51" t="str">
        <f t="shared" si="0"/>
        <v/>
      </c>
      <c r="I1906" s="52" t="e">
        <f>SUMIFS(OUT!$F$2:$F$11000,OUT!$H$2:$H$11000,H1906,OUT!$D$2:$D$101007,"In")</f>
        <v>#VALUE!</v>
      </c>
      <c r="J1906" s="52">
        <f ca="1">SUMIFS(OUT!$F$2:$F$11000,OUT!$H$2:$H$11000,H1906,OUT!$D$2:$D$11000,"Out")</f>
        <v>0</v>
      </c>
      <c r="K1906" s="52">
        <f ca="1">SUMIFS(OUT!$F$2:$F$11000,OUT!$H$2:$H$11000,H1906,OUT!$D$2:$D$11000,"Out",OUT!$E$2:$E$11000,"Fix")</f>
        <v>0</v>
      </c>
      <c r="L1906" s="52">
        <f ca="1">SUMIFS(OUT!$F$2:$F$11000,OUT!$H$2:$H$11000,H1906,OUT!$D$2:$D$11000,"Out",OUT!$E$2:$E$11000,"Bathroom")</f>
        <v>0</v>
      </c>
      <c r="M1906" s="52">
        <f ca="1">SUMIFS(OUT!$F$2:$F$11000,OUT!$H$2:$H$11000,H1906,OUT!$D$2:$D$11000,"Out",OUT!$E$2:$E$11000,"Alfa")</f>
        <v>0</v>
      </c>
      <c r="N1906" s="52" t="e">
        <f>SUMIFS(OUT!$F$2:$F$11000,OUT!$H$2:$H$101007,H1906,OUT!$D$2:$D$11000,"Out",OUT!$E$2:$E$11000,"Jajan")</f>
        <v>#VALUE!</v>
      </c>
      <c r="O1906" s="52">
        <f ca="1">SUMIFS(OUT!$F$2:$F$11000,OUT!$H$2:$H$11000,H1906,OUT!$D$2:$D$11000,"Out",OUT!$E$2:$E$11000,"Kitchen")</f>
        <v>0</v>
      </c>
      <c r="P1906" s="52">
        <f ca="1">SUMIFS(OUT!$F$2:$F$11000,OUT!$H$2:$H$11000,H1906,OUT!$D$2:$D$11000,"Out",OUT!$E$2:$E$11000,"Loandry")</f>
        <v>0</v>
      </c>
      <c r="Q1906" s="52">
        <f ca="1">SUMIFS(OUT!$F$2:$F$11000,OUT!$H$2:$H$11000,H1906,OUT!$D$2:$D$11000,"Out",OUT!$E$2:$E$11000,"Mio")</f>
        <v>0</v>
      </c>
      <c r="R1906" s="52">
        <f ca="1">SUMIFS(OUT!$F$2:$F$11000,OUT!$H$2:$H$11000,H1906,OUT!$D$2:$D$11000,"Out",OUT!$E$2:$E$11000,"Sedekah")</f>
        <v>0</v>
      </c>
      <c r="S1906" s="52">
        <f ca="1">SUMIFS(OUT!$F$2:$F$11000,OUT!$H$2:$H$11000,H1906,OUT!$D$2:$D$11000,"Out",OUT!$E$2:$E$11000,"Zela")</f>
        <v>0</v>
      </c>
      <c r="T1906" s="52">
        <f ca="1">SUMIFS(OUT!$F$2:$F$11000,OUT!$H$2:$H$11000,H1906,OUT!$D$2:$D$11000,"Out",OUT!$E$2:$E$11000,"Iqbal")</f>
        <v>0</v>
      </c>
    </row>
    <row r="1907" spans="7:20" x14ac:dyDescent="0.2">
      <c r="G1907" s="50"/>
      <c r="H1907" s="51" t="str">
        <f t="shared" si="0"/>
        <v/>
      </c>
      <c r="I1907" s="52" t="e">
        <f>SUMIFS(OUT!$F$2:$F$11000,OUT!$H$2:$H$11000,H1907,OUT!$D$2:$D$101007,"In")</f>
        <v>#VALUE!</v>
      </c>
      <c r="J1907" s="52">
        <f ca="1">SUMIFS(OUT!$F$2:$F$11000,OUT!$H$2:$H$11000,H1907,OUT!$D$2:$D$11000,"Out")</f>
        <v>0</v>
      </c>
      <c r="K1907" s="52">
        <f ca="1">SUMIFS(OUT!$F$2:$F$11000,OUT!$H$2:$H$11000,H1907,OUT!$D$2:$D$11000,"Out",OUT!$E$2:$E$11000,"Fix")</f>
        <v>0</v>
      </c>
      <c r="L1907" s="52">
        <f ca="1">SUMIFS(OUT!$F$2:$F$11000,OUT!$H$2:$H$11000,H1907,OUT!$D$2:$D$11000,"Out",OUT!$E$2:$E$11000,"Bathroom")</f>
        <v>0</v>
      </c>
      <c r="M1907" s="52">
        <f ca="1">SUMIFS(OUT!$F$2:$F$11000,OUT!$H$2:$H$11000,H1907,OUT!$D$2:$D$11000,"Out",OUT!$E$2:$E$11000,"Alfa")</f>
        <v>0</v>
      </c>
      <c r="N1907" s="52" t="e">
        <f>SUMIFS(OUT!$F$2:$F$11000,OUT!$H$2:$H$101007,H1907,OUT!$D$2:$D$11000,"Out",OUT!$E$2:$E$11000,"Jajan")</f>
        <v>#VALUE!</v>
      </c>
      <c r="O1907" s="52">
        <f ca="1">SUMIFS(OUT!$F$2:$F$11000,OUT!$H$2:$H$11000,H1907,OUT!$D$2:$D$11000,"Out",OUT!$E$2:$E$11000,"Kitchen")</f>
        <v>0</v>
      </c>
      <c r="P1907" s="52">
        <f ca="1">SUMIFS(OUT!$F$2:$F$11000,OUT!$H$2:$H$11000,H1907,OUT!$D$2:$D$11000,"Out",OUT!$E$2:$E$11000,"Loandry")</f>
        <v>0</v>
      </c>
      <c r="Q1907" s="52">
        <f ca="1">SUMIFS(OUT!$F$2:$F$11000,OUT!$H$2:$H$11000,H1907,OUT!$D$2:$D$11000,"Out",OUT!$E$2:$E$11000,"Mio")</f>
        <v>0</v>
      </c>
      <c r="R1907" s="52">
        <f ca="1">SUMIFS(OUT!$F$2:$F$11000,OUT!$H$2:$H$11000,H1907,OUT!$D$2:$D$11000,"Out",OUT!$E$2:$E$11000,"Sedekah")</f>
        <v>0</v>
      </c>
      <c r="S1907" s="52">
        <f ca="1">SUMIFS(OUT!$F$2:$F$11000,OUT!$H$2:$H$11000,H1907,OUT!$D$2:$D$11000,"Out",OUT!$E$2:$E$11000,"Zela")</f>
        <v>0</v>
      </c>
      <c r="T1907" s="52">
        <f ca="1">SUMIFS(OUT!$F$2:$F$11000,OUT!$H$2:$H$11000,H1907,OUT!$D$2:$D$11000,"Out",OUT!$E$2:$E$11000,"Iqbal")</f>
        <v>0</v>
      </c>
    </row>
    <row r="1908" spans="7:20" x14ac:dyDescent="0.2">
      <c r="G1908" s="50"/>
      <c r="H1908" s="51" t="str">
        <f t="shared" si="0"/>
        <v/>
      </c>
      <c r="I1908" s="52" t="e">
        <f>SUMIFS(OUT!$F$2:$F$11000,OUT!$H$2:$H$11000,H1908,OUT!$D$2:$D$101007,"In")</f>
        <v>#VALUE!</v>
      </c>
      <c r="J1908" s="52">
        <f ca="1">SUMIFS(OUT!$F$2:$F$11000,OUT!$H$2:$H$11000,H1908,OUT!$D$2:$D$11000,"Out")</f>
        <v>0</v>
      </c>
      <c r="K1908" s="52">
        <f ca="1">SUMIFS(OUT!$F$2:$F$11000,OUT!$H$2:$H$11000,H1908,OUT!$D$2:$D$11000,"Out",OUT!$E$2:$E$11000,"Fix")</f>
        <v>0</v>
      </c>
      <c r="L1908" s="52">
        <f ca="1">SUMIFS(OUT!$F$2:$F$11000,OUT!$H$2:$H$11000,H1908,OUT!$D$2:$D$11000,"Out",OUT!$E$2:$E$11000,"Bathroom")</f>
        <v>0</v>
      </c>
      <c r="M1908" s="52">
        <f ca="1">SUMIFS(OUT!$F$2:$F$11000,OUT!$H$2:$H$11000,H1908,OUT!$D$2:$D$11000,"Out",OUT!$E$2:$E$11000,"Alfa")</f>
        <v>0</v>
      </c>
      <c r="N1908" s="52" t="e">
        <f>SUMIFS(OUT!$F$2:$F$11000,OUT!$H$2:$H$101007,H1908,OUT!$D$2:$D$11000,"Out",OUT!$E$2:$E$11000,"Jajan")</f>
        <v>#VALUE!</v>
      </c>
      <c r="O1908" s="52">
        <f ca="1">SUMIFS(OUT!$F$2:$F$11000,OUT!$H$2:$H$11000,H1908,OUT!$D$2:$D$11000,"Out",OUT!$E$2:$E$11000,"Kitchen")</f>
        <v>0</v>
      </c>
      <c r="P1908" s="52">
        <f ca="1">SUMIFS(OUT!$F$2:$F$11000,OUT!$H$2:$H$11000,H1908,OUT!$D$2:$D$11000,"Out",OUT!$E$2:$E$11000,"Loandry")</f>
        <v>0</v>
      </c>
      <c r="Q1908" s="52">
        <f ca="1">SUMIFS(OUT!$F$2:$F$11000,OUT!$H$2:$H$11000,H1908,OUT!$D$2:$D$11000,"Out",OUT!$E$2:$E$11000,"Mio")</f>
        <v>0</v>
      </c>
      <c r="R1908" s="52">
        <f ca="1">SUMIFS(OUT!$F$2:$F$11000,OUT!$H$2:$H$11000,H1908,OUT!$D$2:$D$11000,"Out",OUT!$E$2:$E$11000,"Sedekah")</f>
        <v>0</v>
      </c>
      <c r="S1908" s="52">
        <f ca="1">SUMIFS(OUT!$F$2:$F$11000,OUT!$H$2:$H$11000,H1908,OUT!$D$2:$D$11000,"Out",OUT!$E$2:$E$11000,"Zela")</f>
        <v>0</v>
      </c>
      <c r="T1908" s="52">
        <f ca="1">SUMIFS(OUT!$F$2:$F$11000,OUT!$H$2:$H$11000,H1908,OUT!$D$2:$D$11000,"Out",OUT!$E$2:$E$11000,"Iqbal")</f>
        <v>0</v>
      </c>
    </row>
    <row r="1909" spans="7:20" x14ac:dyDescent="0.2">
      <c r="G1909" s="50"/>
      <c r="H1909" s="51" t="str">
        <f t="shared" si="0"/>
        <v/>
      </c>
      <c r="I1909" s="52" t="e">
        <f>SUMIFS(OUT!$F$2:$F$11000,OUT!$H$2:$H$11000,H1909,OUT!$D$2:$D$101007,"In")</f>
        <v>#VALUE!</v>
      </c>
      <c r="J1909" s="52">
        <f ca="1">SUMIFS(OUT!$F$2:$F$11000,OUT!$H$2:$H$11000,H1909,OUT!$D$2:$D$11000,"Out")</f>
        <v>0</v>
      </c>
      <c r="K1909" s="52">
        <f ca="1">SUMIFS(OUT!$F$2:$F$11000,OUT!$H$2:$H$11000,H1909,OUT!$D$2:$D$11000,"Out",OUT!$E$2:$E$11000,"Fix")</f>
        <v>0</v>
      </c>
      <c r="L1909" s="52">
        <f ca="1">SUMIFS(OUT!$F$2:$F$11000,OUT!$H$2:$H$11000,H1909,OUT!$D$2:$D$11000,"Out",OUT!$E$2:$E$11000,"Bathroom")</f>
        <v>0</v>
      </c>
      <c r="M1909" s="52">
        <f ca="1">SUMIFS(OUT!$F$2:$F$11000,OUT!$H$2:$H$11000,H1909,OUT!$D$2:$D$11000,"Out",OUT!$E$2:$E$11000,"Alfa")</f>
        <v>0</v>
      </c>
      <c r="N1909" s="52" t="e">
        <f>SUMIFS(OUT!$F$2:$F$11000,OUT!$H$2:$H$101007,H1909,OUT!$D$2:$D$11000,"Out",OUT!$E$2:$E$11000,"Jajan")</f>
        <v>#VALUE!</v>
      </c>
      <c r="O1909" s="52">
        <f ca="1">SUMIFS(OUT!$F$2:$F$11000,OUT!$H$2:$H$11000,H1909,OUT!$D$2:$D$11000,"Out",OUT!$E$2:$E$11000,"Kitchen")</f>
        <v>0</v>
      </c>
      <c r="P1909" s="52">
        <f ca="1">SUMIFS(OUT!$F$2:$F$11000,OUT!$H$2:$H$11000,H1909,OUT!$D$2:$D$11000,"Out",OUT!$E$2:$E$11000,"Loandry")</f>
        <v>0</v>
      </c>
      <c r="Q1909" s="52">
        <f ca="1">SUMIFS(OUT!$F$2:$F$11000,OUT!$H$2:$H$11000,H1909,OUT!$D$2:$D$11000,"Out",OUT!$E$2:$E$11000,"Mio")</f>
        <v>0</v>
      </c>
      <c r="R1909" s="52">
        <f ca="1">SUMIFS(OUT!$F$2:$F$11000,OUT!$H$2:$H$11000,H1909,OUT!$D$2:$D$11000,"Out",OUT!$E$2:$E$11000,"Sedekah")</f>
        <v>0</v>
      </c>
      <c r="S1909" s="52">
        <f ca="1">SUMIFS(OUT!$F$2:$F$11000,OUT!$H$2:$H$11000,H1909,OUT!$D$2:$D$11000,"Out",OUT!$E$2:$E$11000,"Zela")</f>
        <v>0</v>
      </c>
      <c r="T1909" s="52">
        <f ca="1">SUMIFS(OUT!$F$2:$F$11000,OUT!$H$2:$H$11000,H1909,OUT!$D$2:$D$11000,"Out",OUT!$E$2:$E$11000,"Iqbal")</f>
        <v>0</v>
      </c>
    </row>
    <row r="1910" spans="7:20" x14ac:dyDescent="0.2">
      <c r="G1910" s="50"/>
      <c r="H1910" s="51" t="str">
        <f t="shared" si="0"/>
        <v/>
      </c>
      <c r="I1910" s="52" t="e">
        <f>SUMIFS(OUT!$F$2:$F$11000,OUT!$H$2:$H$11000,H1910,OUT!$D$2:$D$101007,"In")</f>
        <v>#VALUE!</v>
      </c>
      <c r="J1910" s="52">
        <f ca="1">SUMIFS(OUT!$F$2:$F$11000,OUT!$H$2:$H$11000,H1910,OUT!$D$2:$D$11000,"Out")</f>
        <v>0</v>
      </c>
      <c r="K1910" s="52">
        <f ca="1">SUMIFS(OUT!$F$2:$F$11000,OUT!$H$2:$H$11000,H1910,OUT!$D$2:$D$11000,"Out",OUT!$E$2:$E$11000,"Fix")</f>
        <v>0</v>
      </c>
      <c r="L1910" s="52">
        <f ca="1">SUMIFS(OUT!$F$2:$F$11000,OUT!$H$2:$H$11000,H1910,OUT!$D$2:$D$11000,"Out",OUT!$E$2:$E$11000,"Bathroom")</f>
        <v>0</v>
      </c>
      <c r="M1910" s="52">
        <f ca="1">SUMIFS(OUT!$F$2:$F$11000,OUT!$H$2:$H$11000,H1910,OUT!$D$2:$D$11000,"Out",OUT!$E$2:$E$11000,"Alfa")</f>
        <v>0</v>
      </c>
      <c r="N1910" s="52" t="e">
        <f>SUMIFS(OUT!$F$2:$F$11000,OUT!$H$2:$H$101007,H1910,OUT!$D$2:$D$11000,"Out",OUT!$E$2:$E$11000,"Jajan")</f>
        <v>#VALUE!</v>
      </c>
      <c r="O1910" s="52">
        <f ca="1">SUMIFS(OUT!$F$2:$F$11000,OUT!$H$2:$H$11000,H1910,OUT!$D$2:$D$11000,"Out",OUT!$E$2:$E$11000,"Kitchen")</f>
        <v>0</v>
      </c>
      <c r="P1910" s="52">
        <f ca="1">SUMIFS(OUT!$F$2:$F$11000,OUT!$H$2:$H$11000,H1910,OUT!$D$2:$D$11000,"Out",OUT!$E$2:$E$11000,"Loandry")</f>
        <v>0</v>
      </c>
      <c r="Q1910" s="52">
        <f ca="1">SUMIFS(OUT!$F$2:$F$11000,OUT!$H$2:$H$11000,H1910,OUT!$D$2:$D$11000,"Out",OUT!$E$2:$E$11000,"Mio")</f>
        <v>0</v>
      </c>
      <c r="R1910" s="52">
        <f ca="1">SUMIFS(OUT!$F$2:$F$11000,OUT!$H$2:$H$11000,H1910,OUT!$D$2:$D$11000,"Out",OUT!$E$2:$E$11000,"Sedekah")</f>
        <v>0</v>
      </c>
      <c r="S1910" s="52">
        <f ca="1">SUMIFS(OUT!$F$2:$F$11000,OUT!$H$2:$H$11000,H1910,OUT!$D$2:$D$11000,"Out",OUT!$E$2:$E$11000,"Zela")</f>
        <v>0</v>
      </c>
      <c r="T1910" s="52">
        <f ca="1">SUMIFS(OUT!$F$2:$F$11000,OUT!$H$2:$H$11000,H1910,OUT!$D$2:$D$11000,"Out",OUT!$E$2:$E$11000,"Iqbal")</f>
        <v>0</v>
      </c>
    </row>
    <row r="1911" spans="7:20" x14ac:dyDescent="0.2">
      <c r="G1911" s="50"/>
      <c r="H1911" s="51" t="str">
        <f t="shared" si="0"/>
        <v/>
      </c>
      <c r="I1911" s="52" t="e">
        <f>SUMIFS(OUT!$F$2:$F$11000,OUT!$H$2:$H$11000,H1911,OUT!$D$2:$D$101007,"In")</f>
        <v>#VALUE!</v>
      </c>
      <c r="J1911" s="52">
        <f ca="1">SUMIFS(OUT!$F$2:$F$11000,OUT!$H$2:$H$11000,H1911,OUT!$D$2:$D$11000,"Out")</f>
        <v>0</v>
      </c>
      <c r="K1911" s="52">
        <f ca="1">SUMIFS(OUT!$F$2:$F$11000,OUT!$H$2:$H$11000,H1911,OUT!$D$2:$D$11000,"Out",OUT!$E$2:$E$11000,"Fix")</f>
        <v>0</v>
      </c>
      <c r="L1911" s="52">
        <f ca="1">SUMIFS(OUT!$F$2:$F$11000,OUT!$H$2:$H$11000,H1911,OUT!$D$2:$D$11000,"Out",OUT!$E$2:$E$11000,"Bathroom")</f>
        <v>0</v>
      </c>
      <c r="M1911" s="52">
        <f ca="1">SUMIFS(OUT!$F$2:$F$11000,OUT!$H$2:$H$11000,H1911,OUT!$D$2:$D$11000,"Out",OUT!$E$2:$E$11000,"Alfa")</f>
        <v>0</v>
      </c>
      <c r="N1911" s="52" t="e">
        <f>SUMIFS(OUT!$F$2:$F$11000,OUT!$H$2:$H$101007,H1911,OUT!$D$2:$D$11000,"Out",OUT!$E$2:$E$11000,"Jajan")</f>
        <v>#VALUE!</v>
      </c>
      <c r="O1911" s="52">
        <f ca="1">SUMIFS(OUT!$F$2:$F$11000,OUT!$H$2:$H$11000,H1911,OUT!$D$2:$D$11000,"Out",OUT!$E$2:$E$11000,"Kitchen")</f>
        <v>0</v>
      </c>
      <c r="P1911" s="52">
        <f ca="1">SUMIFS(OUT!$F$2:$F$11000,OUT!$H$2:$H$11000,H1911,OUT!$D$2:$D$11000,"Out",OUT!$E$2:$E$11000,"Loandry")</f>
        <v>0</v>
      </c>
      <c r="Q1911" s="52">
        <f ca="1">SUMIFS(OUT!$F$2:$F$11000,OUT!$H$2:$H$11000,H1911,OUT!$D$2:$D$11000,"Out",OUT!$E$2:$E$11000,"Mio")</f>
        <v>0</v>
      </c>
      <c r="R1911" s="52">
        <f ca="1">SUMIFS(OUT!$F$2:$F$11000,OUT!$H$2:$H$11000,H1911,OUT!$D$2:$D$11000,"Out",OUT!$E$2:$E$11000,"Sedekah")</f>
        <v>0</v>
      </c>
      <c r="S1911" s="52">
        <f ca="1">SUMIFS(OUT!$F$2:$F$11000,OUT!$H$2:$H$11000,H1911,OUT!$D$2:$D$11000,"Out",OUT!$E$2:$E$11000,"Zela")</f>
        <v>0</v>
      </c>
      <c r="T1911" s="52">
        <f ca="1">SUMIFS(OUT!$F$2:$F$11000,OUT!$H$2:$H$11000,H1911,OUT!$D$2:$D$11000,"Out",OUT!$E$2:$E$11000,"Iqbal")</f>
        <v>0</v>
      </c>
    </row>
    <row r="1912" spans="7:20" x14ac:dyDescent="0.2">
      <c r="G1912" s="50"/>
      <c r="H1912" s="51" t="str">
        <f t="shared" si="0"/>
        <v/>
      </c>
      <c r="I1912" s="52" t="e">
        <f>SUMIFS(OUT!$F$2:$F$11000,OUT!$H$2:$H$11000,H1912,OUT!$D$2:$D$101007,"In")</f>
        <v>#VALUE!</v>
      </c>
      <c r="J1912" s="52">
        <f ca="1">SUMIFS(OUT!$F$2:$F$11000,OUT!$H$2:$H$11000,H1912,OUT!$D$2:$D$11000,"Out")</f>
        <v>0</v>
      </c>
      <c r="K1912" s="52">
        <f ca="1">SUMIFS(OUT!$F$2:$F$11000,OUT!$H$2:$H$11000,H1912,OUT!$D$2:$D$11000,"Out",OUT!$E$2:$E$11000,"Fix")</f>
        <v>0</v>
      </c>
      <c r="L1912" s="52">
        <f ca="1">SUMIFS(OUT!$F$2:$F$11000,OUT!$H$2:$H$11000,H1912,OUT!$D$2:$D$11000,"Out",OUT!$E$2:$E$11000,"Bathroom")</f>
        <v>0</v>
      </c>
      <c r="M1912" s="52">
        <f ca="1">SUMIFS(OUT!$F$2:$F$11000,OUT!$H$2:$H$11000,H1912,OUT!$D$2:$D$11000,"Out",OUT!$E$2:$E$11000,"Alfa")</f>
        <v>0</v>
      </c>
      <c r="N1912" s="52" t="e">
        <f>SUMIFS(OUT!$F$2:$F$11000,OUT!$H$2:$H$101007,H1912,OUT!$D$2:$D$11000,"Out",OUT!$E$2:$E$11000,"Jajan")</f>
        <v>#VALUE!</v>
      </c>
      <c r="O1912" s="52">
        <f ca="1">SUMIFS(OUT!$F$2:$F$11000,OUT!$H$2:$H$11000,H1912,OUT!$D$2:$D$11000,"Out",OUT!$E$2:$E$11000,"Kitchen")</f>
        <v>0</v>
      </c>
      <c r="P1912" s="52">
        <f ca="1">SUMIFS(OUT!$F$2:$F$11000,OUT!$H$2:$H$11000,H1912,OUT!$D$2:$D$11000,"Out",OUT!$E$2:$E$11000,"Loandry")</f>
        <v>0</v>
      </c>
      <c r="Q1912" s="52">
        <f ca="1">SUMIFS(OUT!$F$2:$F$11000,OUT!$H$2:$H$11000,H1912,OUT!$D$2:$D$11000,"Out",OUT!$E$2:$E$11000,"Mio")</f>
        <v>0</v>
      </c>
      <c r="R1912" s="52">
        <f ca="1">SUMIFS(OUT!$F$2:$F$11000,OUT!$H$2:$H$11000,H1912,OUT!$D$2:$D$11000,"Out",OUT!$E$2:$E$11000,"Sedekah")</f>
        <v>0</v>
      </c>
      <c r="S1912" s="52">
        <f ca="1">SUMIFS(OUT!$F$2:$F$11000,OUT!$H$2:$H$11000,H1912,OUT!$D$2:$D$11000,"Out",OUT!$E$2:$E$11000,"Zela")</f>
        <v>0</v>
      </c>
      <c r="T1912" s="52">
        <f ca="1">SUMIFS(OUT!$F$2:$F$11000,OUT!$H$2:$H$11000,H1912,OUT!$D$2:$D$11000,"Out",OUT!$E$2:$E$11000,"Iqbal")</f>
        <v>0</v>
      </c>
    </row>
    <row r="1913" spans="7:20" x14ac:dyDescent="0.2">
      <c r="G1913" s="50"/>
      <c r="H1913" s="51" t="str">
        <f t="shared" si="0"/>
        <v/>
      </c>
      <c r="I1913" s="52" t="e">
        <f>SUMIFS(OUT!$F$2:$F$11000,OUT!$H$2:$H$11000,H1913,OUT!$D$2:$D$101007,"In")</f>
        <v>#VALUE!</v>
      </c>
      <c r="J1913" s="52">
        <f ca="1">SUMIFS(OUT!$F$2:$F$11000,OUT!$H$2:$H$11000,H1913,OUT!$D$2:$D$11000,"Out")</f>
        <v>0</v>
      </c>
      <c r="K1913" s="52">
        <f ca="1">SUMIFS(OUT!$F$2:$F$11000,OUT!$H$2:$H$11000,H1913,OUT!$D$2:$D$11000,"Out",OUT!$E$2:$E$11000,"Fix")</f>
        <v>0</v>
      </c>
      <c r="L1913" s="52">
        <f ca="1">SUMIFS(OUT!$F$2:$F$11000,OUT!$H$2:$H$11000,H1913,OUT!$D$2:$D$11000,"Out",OUT!$E$2:$E$11000,"Bathroom")</f>
        <v>0</v>
      </c>
      <c r="M1913" s="52">
        <f ca="1">SUMIFS(OUT!$F$2:$F$11000,OUT!$H$2:$H$11000,H1913,OUT!$D$2:$D$11000,"Out",OUT!$E$2:$E$11000,"Alfa")</f>
        <v>0</v>
      </c>
      <c r="N1913" s="52" t="e">
        <f>SUMIFS(OUT!$F$2:$F$11000,OUT!$H$2:$H$101007,H1913,OUT!$D$2:$D$11000,"Out",OUT!$E$2:$E$11000,"Jajan")</f>
        <v>#VALUE!</v>
      </c>
      <c r="O1913" s="52">
        <f ca="1">SUMIFS(OUT!$F$2:$F$11000,OUT!$H$2:$H$11000,H1913,OUT!$D$2:$D$11000,"Out",OUT!$E$2:$E$11000,"Kitchen")</f>
        <v>0</v>
      </c>
      <c r="P1913" s="52">
        <f ca="1">SUMIFS(OUT!$F$2:$F$11000,OUT!$H$2:$H$11000,H1913,OUT!$D$2:$D$11000,"Out",OUT!$E$2:$E$11000,"Loandry")</f>
        <v>0</v>
      </c>
      <c r="Q1913" s="52">
        <f ca="1">SUMIFS(OUT!$F$2:$F$11000,OUT!$H$2:$H$11000,H1913,OUT!$D$2:$D$11000,"Out",OUT!$E$2:$E$11000,"Mio")</f>
        <v>0</v>
      </c>
      <c r="R1913" s="52">
        <f ca="1">SUMIFS(OUT!$F$2:$F$11000,OUT!$H$2:$H$11000,H1913,OUT!$D$2:$D$11000,"Out",OUT!$E$2:$E$11000,"Sedekah")</f>
        <v>0</v>
      </c>
      <c r="S1913" s="52">
        <f ca="1">SUMIFS(OUT!$F$2:$F$11000,OUT!$H$2:$H$11000,H1913,OUT!$D$2:$D$11000,"Out",OUT!$E$2:$E$11000,"Zela")</f>
        <v>0</v>
      </c>
      <c r="T1913" s="52">
        <f ca="1">SUMIFS(OUT!$F$2:$F$11000,OUT!$H$2:$H$11000,H1913,OUT!$D$2:$D$11000,"Out",OUT!$E$2:$E$11000,"Iqbal")</f>
        <v>0</v>
      </c>
    </row>
    <row r="1914" spans="7:20" x14ac:dyDescent="0.2">
      <c r="G1914" s="50"/>
      <c r="H1914" s="51" t="str">
        <f t="shared" si="0"/>
        <v/>
      </c>
      <c r="I1914" s="52" t="e">
        <f>SUMIFS(OUT!$F$2:$F$11000,OUT!$H$2:$H$11000,H1914,OUT!$D$2:$D$101007,"In")</f>
        <v>#VALUE!</v>
      </c>
      <c r="J1914" s="52">
        <f ca="1">SUMIFS(OUT!$F$2:$F$11000,OUT!$H$2:$H$11000,H1914,OUT!$D$2:$D$11000,"Out")</f>
        <v>0</v>
      </c>
      <c r="K1914" s="52">
        <f ca="1">SUMIFS(OUT!$F$2:$F$11000,OUT!$H$2:$H$11000,H1914,OUT!$D$2:$D$11000,"Out",OUT!$E$2:$E$11000,"Fix")</f>
        <v>0</v>
      </c>
      <c r="L1914" s="52">
        <f ca="1">SUMIFS(OUT!$F$2:$F$11000,OUT!$H$2:$H$11000,H1914,OUT!$D$2:$D$11000,"Out",OUT!$E$2:$E$11000,"Bathroom")</f>
        <v>0</v>
      </c>
      <c r="M1914" s="52">
        <f ca="1">SUMIFS(OUT!$F$2:$F$11000,OUT!$H$2:$H$11000,H1914,OUT!$D$2:$D$11000,"Out",OUT!$E$2:$E$11000,"Alfa")</f>
        <v>0</v>
      </c>
      <c r="N1914" s="52" t="e">
        <f>SUMIFS(OUT!$F$2:$F$11000,OUT!$H$2:$H$101007,H1914,OUT!$D$2:$D$11000,"Out",OUT!$E$2:$E$11000,"Jajan")</f>
        <v>#VALUE!</v>
      </c>
      <c r="O1914" s="52">
        <f ca="1">SUMIFS(OUT!$F$2:$F$11000,OUT!$H$2:$H$11000,H1914,OUT!$D$2:$D$11000,"Out",OUT!$E$2:$E$11000,"Kitchen")</f>
        <v>0</v>
      </c>
      <c r="P1914" s="52">
        <f ca="1">SUMIFS(OUT!$F$2:$F$11000,OUT!$H$2:$H$11000,H1914,OUT!$D$2:$D$11000,"Out",OUT!$E$2:$E$11000,"Loandry")</f>
        <v>0</v>
      </c>
      <c r="Q1914" s="52">
        <f ca="1">SUMIFS(OUT!$F$2:$F$11000,OUT!$H$2:$H$11000,H1914,OUT!$D$2:$D$11000,"Out",OUT!$E$2:$E$11000,"Mio")</f>
        <v>0</v>
      </c>
      <c r="R1914" s="52">
        <f ca="1">SUMIFS(OUT!$F$2:$F$11000,OUT!$H$2:$H$11000,H1914,OUT!$D$2:$D$11000,"Out",OUT!$E$2:$E$11000,"Sedekah")</f>
        <v>0</v>
      </c>
      <c r="S1914" s="52">
        <f ca="1">SUMIFS(OUT!$F$2:$F$11000,OUT!$H$2:$H$11000,H1914,OUT!$D$2:$D$11000,"Out",OUT!$E$2:$E$11000,"Zela")</f>
        <v>0</v>
      </c>
      <c r="T1914" s="52">
        <f ca="1">SUMIFS(OUT!$F$2:$F$11000,OUT!$H$2:$H$11000,H1914,OUT!$D$2:$D$11000,"Out",OUT!$E$2:$E$11000,"Iqbal")</f>
        <v>0</v>
      </c>
    </row>
    <row r="1915" spans="7:20" x14ac:dyDescent="0.2">
      <c r="G1915" s="50"/>
      <c r="H1915" s="51" t="str">
        <f t="shared" si="0"/>
        <v/>
      </c>
      <c r="I1915" s="52" t="e">
        <f>SUMIFS(OUT!$F$2:$F$11000,OUT!$H$2:$H$11000,H1915,OUT!$D$2:$D$101007,"In")</f>
        <v>#VALUE!</v>
      </c>
      <c r="J1915" s="52">
        <f ca="1">SUMIFS(OUT!$F$2:$F$11000,OUT!$H$2:$H$11000,H1915,OUT!$D$2:$D$11000,"Out")</f>
        <v>0</v>
      </c>
      <c r="K1915" s="52">
        <f ca="1">SUMIFS(OUT!$F$2:$F$11000,OUT!$H$2:$H$11000,H1915,OUT!$D$2:$D$11000,"Out",OUT!$E$2:$E$11000,"Fix")</f>
        <v>0</v>
      </c>
      <c r="L1915" s="52">
        <f ca="1">SUMIFS(OUT!$F$2:$F$11000,OUT!$H$2:$H$11000,H1915,OUT!$D$2:$D$11000,"Out",OUT!$E$2:$E$11000,"Bathroom")</f>
        <v>0</v>
      </c>
      <c r="M1915" s="52">
        <f ca="1">SUMIFS(OUT!$F$2:$F$11000,OUT!$H$2:$H$11000,H1915,OUT!$D$2:$D$11000,"Out",OUT!$E$2:$E$11000,"Alfa")</f>
        <v>0</v>
      </c>
      <c r="N1915" s="52" t="e">
        <f>SUMIFS(OUT!$F$2:$F$11000,OUT!$H$2:$H$101007,H1915,OUT!$D$2:$D$11000,"Out",OUT!$E$2:$E$11000,"Jajan")</f>
        <v>#VALUE!</v>
      </c>
      <c r="O1915" s="52">
        <f ca="1">SUMIFS(OUT!$F$2:$F$11000,OUT!$H$2:$H$11000,H1915,OUT!$D$2:$D$11000,"Out",OUT!$E$2:$E$11000,"Kitchen")</f>
        <v>0</v>
      </c>
      <c r="P1915" s="52">
        <f ca="1">SUMIFS(OUT!$F$2:$F$11000,OUT!$H$2:$H$11000,H1915,OUT!$D$2:$D$11000,"Out",OUT!$E$2:$E$11000,"Loandry")</f>
        <v>0</v>
      </c>
      <c r="Q1915" s="52">
        <f ca="1">SUMIFS(OUT!$F$2:$F$11000,OUT!$H$2:$H$11000,H1915,OUT!$D$2:$D$11000,"Out",OUT!$E$2:$E$11000,"Mio")</f>
        <v>0</v>
      </c>
      <c r="R1915" s="52">
        <f ca="1">SUMIFS(OUT!$F$2:$F$11000,OUT!$H$2:$H$11000,H1915,OUT!$D$2:$D$11000,"Out",OUT!$E$2:$E$11000,"Sedekah")</f>
        <v>0</v>
      </c>
      <c r="S1915" s="52">
        <f ca="1">SUMIFS(OUT!$F$2:$F$11000,OUT!$H$2:$H$11000,H1915,OUT!$D$2:$D$11000,"Out",OUT!$E$2:$E$11000,"Zela")</f>
        <v>0</v>
      </c>
      <c r="T1915" s="52">
        <f ca="1">SUMIFS(OUT!$F$2:$F$11000,OUT!$H$2:$H$11000,H1915,OUT!$D$2:$D$11000,"Out",OUT!$E$2:$E$11000,"Iqbal")</f>
        <v>0</v>
      </c>
    </row>
    <row r="1916" spans="7:20" x14ac:dyDescent="0.2">
      <c r="G1916" s="50"/>
      <c r="H1916" s="51" t="str">
        <f t="shared" si="0"/>
        <v/>
      </c>
      <c r="I1916" s="52" t="e">
        <f>SUMIFS(OUT!$F$2:$F$11000,OUT!$H$2:$H$11000,H1916,OUT!$D$2:$D$101007,"In")</f>
        <v>#VALUE!</v>
      </c>
      <c r="J1916" s="52">
        <f ca="1">SUMIFS(OUT!$F$2:$F$11000,OUT!$H$2:$H$11000,H1916,OUT!$D$2:$D$11000,"Out")</f>
        <v>0</v>
      </c>
      <c r="K1916" s="52">
        <f ca="1">SUMIFS(OUT!$F$2:$F$11000,OUT!$H$2:$H$11000,H1916,OUT!$D$2:$D$11000,"Out",OUT!$E$2:$E$11000,"Fix")</f>
        <v>0</v>
      </c>
      <c r="L1916" s="52">
        <f ca="1">SUMIFS(OUT!$F$2:$F$11000,OUT!$H$2:$H$11000,H1916,OUT!$D$2:$D$11000,"Out",OUT!$E$2:$E$11000,"Bathroom")</f>
        <v>0</v>
      </c>
      <c r="M1916" s="52">
        <f ca="1">SUMIFS(OUT!$F$2:$F$11000,OUT!$H$2:$H$11000,H1916,OUT!$D$2:$D$11000,"Out",OUT!$E$2:$E$11000,"Alfa")</f>
        <v>0</v>
      </c>
      <c r="N1916" s="52" t="e">
        <f>SUMIFS(OUT!$F$2:$F$11000,OUT!$H$2:$H$101007,H1916,OUT!$D$2:$D$11000,"Out",OUT!$E$2:$E$11000,"Jajan")</f>
        <v>#VALUE!</v>
      </c>
      <c r="O1916" s="52">
        <f ca="1">SUMIFS(OUT!$F$2:$F$11000,OUT!$H$2:$H$11000,H1916,OUT!$D$2:$D$11000,"Out",OUT!$E$2:$E$11000,"Kitchen")</f>
        <v>0</v>
      </c>
      <c r="P1916" s="52">
        <f ca="1">SUMIFS(OUT!$F$2:$F$11000,OUT!$H$2:$H$11000,H1916,OUT!$D$2:$D$11000,"Out",OUT!$E$2:$E$11000,"Loandry")</f>
        <v>0</v>
      </c>
      <c r="Q1916" s="52">
        <f ca="1">SUMIFS(OUT!$F$2:$F$11000,OUT!$H$2:$H$11000,H1916,OUT!$D$2:$D$11000,"Out",OUT!$E$2:$E$11000,"Mio")</f>
        <v>0</v>
      </c>
      <c r="R1916" s="52">
        <f ca="1">SUMIFS(OUT!$F$2:$F$11000,OUT!$H$2:$H$11000,H1916,OUT!$D$2:$D$11000,"Out",OUT!$E$2:$E$11000,"Sedekah")</f>
        <v>0</v>
      </c>
      <c r="S1916" s="52">
        <f ca="1">SUMIFS(OUT!$F$2:$F$11000,OUT!$H$2:$H$11000,H1916,OUT!$D$2:$D$11000,"Out",OUT!$E$2:$E$11000,"Zela")</f>
        <v>0</v>
      </c>
      <c r="T1916" s="52">
        <f ca="1">SUMIFS(OUT!$F$2:$F$11000,OUT!$H$2:$H$11000,H1916,OUT!$D$2:$D$11000,"Out",OUT!$E$2:$E$11000,"Iqbal")</f>
        <v>0</v>
      </c>
    </row>
    <row r="1917" spans="7:20" x14ac:dyDescent="0.2">
      <c r="G1917" s="50"/>
      <c r="H1917" s="51" t="str">
        <f t="shared" si="0"/>
        <v/>
      </c>
      <c r="I1917" s="52" t="e">
        <f>SUMIFS(OUT!$F$2:$F$11000,OUT!$H$2:$H$11000,H1917,OUT!$D$2:$D$101007,"In")</f>
        <v>#VALUE!</v>
      </c>
      <c r="J1917" s="52">
        <f ca="1">SUMIFS(OUT!$F$2:$F$11000,OUT!$H$2:$H$11000,H1917,OUT!$D$2:$D$11000,"Out")</f>
        <v>0</v>
      </c>
      <c r="K1917" s="52">
        <f ca="1">SUMIFS(OUT!$F$2:$F$11000,OUT!$H$2:$H$11000,H1917,OUT!$D$2:$D$11000,"Out",OUT!$E$2:$E$11000,"Fix")</f>
        <v>0</v>
      </c>
      <c r="L1917" s="52">
        <f ca="1">SUMIFS(OUT!$F$2:$F$11000,OUT!$H$2:$H$11000,H1917,OUT!$D$2:$D$11000,"Out",OUT!$E$2:$E$11000,"Bathroom")</f>
        <v>0</v>
      </c>
      <c r="M1917" s="52">
        <f ca="1">SUMIFS(OUT!$F$2:$F$11000,OUT!$H$2:$H$11000,H1917,OUT!$D$2:$D$11000,"Out",OUT!$E$2:$E$11000,"Alfa")</f>
        <v>0</v>
      </c>
      <c r="N1917" s="52" t="e">
        <f>SUMIFS(OUT!$F$2:$F$11000,OUT!$H$2:$H$101007,H1917,OUT!$D$2:$D$11000,"Out",OUT!$E$2:$E$11000,"Jajan")</f>
        <v>#VALUE!</v>
      </c>
      <c r="O1917" s="52">
        <f ca="1">SUMIFS(OUT!$F$2:$F$11000,OUT!$H$2:$H$11000,H1917,OUT!$D$2:$D$11000,"Out",OUT!$E$2:$E$11000,"Kitchen")</f>
        <v>0</v>
      </c>
      <c r="P1917" s="52">
        <f ca="1">SUMIFS(OUT!$F$2:$F$11000,OUT!$H$2:$H$11000,H1917,OUT!$D$2:$D$11000,"Out",OUT!$E$2:$E$11000,"Loandry")</f>
        <v>0</v>
      </c>
      <c r="Q1917" s="52">
        <f ca="1">SUMIFS(OUT!$F$2:$F$11000,OUT!$H$2:$H$11000,H1917,OUT!$D$2:$D$11000,"Out",OUT!$E$2:$E$11000,"Mio")</f>
        <v>0</v>
      </c>
      <c r="R1917" s="52">
        <f ca="1">SUMIFS(OUT!$F$2:$F$11000,OUT!$H$2:$H$11000,H1917,OUT!$D$2:$D$11000,"Out",OUT!$E$2:$E$11000,"Sedekah")</f>
        <v>0</v>
      </c>
      <c r="S1917" s="52">
        <f ca="1">SUMIFS(OUT!$F$2:$F$11000,OUT!$H$2:$H$11000,H1917,OUT!$D$2:$D$11000,"Out",OUT!$E$2:$E$11000,"Zela")</f>
        <v>0</v>
      </c>
      <c r="T1917" s="52">
        <f ca="1">SUMIFS(OUT!$F$2:$F$11000,OUT!$H$2:$H$11000,H1917,OUT!$D$2:$D$11000,"Out",OUT!$E$2:$E$11000,"Iqbal")</f>
        <v>0</v>
      </c>
    </row>
    <row r="1918" spans="7:20" x14ac:dyDescent="0.2">
      <c r="G1918" s="50"/>
      <c r="H1918" s="51" t="str">
        <f t="shared" si="0"/>
        <v/>
      </c>
      <c r="I1918" s="52" t="e">
        <f>SUMIFS(OUT!$F$2:$F$11000,OUT!$H$2:$H$11000,H1918,OUT!$D$2:$D$101007,"In")</f>
        <v>#VALUE!</v>
      </c>
      <c r="J1918" s="52">
        <f ca="1">SUMIFS(OUT!$F$2:$F$11000,OUT!$H$2:$H$11000,H1918,OUT!$D$2:$D$11000,"Out")</f>
        <v>0</v>
      </c>
      <c r="K1918" s="52">
        <f ca="1">SUMIFS(OUT!$F$2:$F$11000,OUT!$H$2:$H$11000,H1918,OUT!$D$2:$D$11000,"Out",OUT!$E$2:$E$11000,"Fix")</f>
        <v>0</v>
      </c>
      <c r="L1918" s="52">
        <f ca="1">SUMIFS(OUT!$F$2:$F$11000,OUT!$H$2:$H$11000,H1918,OUT!$D$2:$D$11000,"Out",OUT!$E$2:$E$11000,"Bathroom")</f>
        <v>0</v>
      </c>
      <c r="M1918" s="52">
        <f ca="1">SUMIFS(OUT!$F$2:$F$11000,OUT!$H$2:$H$11000,H1918,OUT!$D$2:$D$11000,"Out",OUT!$E$2:$E$11000,"Alfa")</f>
        <v>0</v>
      </c>
      <c r="N1918" s="52" t="e">
        <f>SUMIFS(OUT!$F$2:$F$11000,OUT!$H$2:$H$101007,H1918,OUT!$D$2:$D$11000,"Out",OUT!$E$2:$E$11000,"Jajan")</f>
        <v>#VALUE!</v>
      </c>
      <c r="O1918" s="52">
        <f ca="1">SUMIFS(OUT!$F$2:$F$11000,OUT!$H$2:$H$11000,H1918,OUT!$D$2:$D$11000,"Out",OUT!$E$2:$E$11000,"Kitchen")</f>
        <v>0</v>
      </c>
      <c r="P1918" s="52">
        <f ca="1">SUMIFS(OUT!$F$2:$F$11000,OUT!$H$2:$H$11000,H1918,OUT!$D$2:$D$11000,"Out",OUT!$E$2:$E$11000,"Loandry")</f>
        <v>0</v>
      </c>
      <c r="Q1918" s="52">
        <f ca="1">SUMIFS(OUT!$F$2:$F$11000,OUT!$H$2:$H$11000,H1918,OUT!$D$2:$D$11000,"Out",OUT!$E$2:$E$11000,"Mio")</f>
        <v>0</v>
      </c>
      <c r="R1918" s="52">
        <f ca="1">SUMIFS(OUT!$F$2:$F$11000,OUT!$H$2:$H$11000,H1918,OUT!$D$2:$D$11000,"Out",OUT!$E$2:$E$11000,"Sedekah")</f>
        <v>0</v>
      </c>
      <c r="S1918" s="52">
        <f ca="1">SUMIFS(OUT!$F$2:$F$11000,OUT!$H$2:$H$11000,H1918,OUT!$D$2:$D$11000,"Out",OUT!$E$2:$E$11000,"Zela")</f>
        <v>0</v>
      </c>
      <c r="T1918" s="52">
        <f ca="1">SUMIFS(OUT!$F$2:$F$11000,OUT!$H$2:$H$11000,H1918,OUT!$D$2:$D$11000,"Out",OUT!$E$2:$E$11000,"Iqbal")</f>
        <v>0</v>
      </c>
    </row>
    <row r="1919" spans="7:20" x14ac:dyDescent="0.2">
      <c r="G1919" s="50"/>
      <c r="H1919" s="51" t="str">
        <f t="shared" si="0"/>
        <v/>
      </c>
      <c r="I1919" s="52" t="e">
        <f>SUMIFS(OUT!$F$2:$F$11000,OUT!$H$2:$H$11000,H1919,OUT!$D$2:$D$101007,"In")</f>
        <v>#VALUE!</v>
      </c>
      <c r="J1919" s="52">
        <f ca="1">SUMIFS(OUT!$F$2:$F$11000,OUT!$H$2:$H$11000,H1919,OUT!$D$2:$D$11000,"Out")</f>
        <v>0</v>
      </c>
      <c r="K1919" s="52">
        <f ca="1">SUMIFS(OUT!$F$2:$F$11000,OUT!$H$2:$H$11000,H1919,OUT!$D$2:$D$11000,"Out",OUT!$E$2:$E$11000,"Fix")</f>
        <v>0</v>
      </c>
      <c r="L1919" s="52">
        <f ca="1">SUMIFS(OUT!$F$2:$F$11000,OUT!$H$2:$H$11000,H1919,OUT!$D$2:$D$11000,"Out",OUT!$E$2:$E$11000,"Bathroom")</f>
        <v>0</v>
      </c>
      <c r="M1919" s="52">
        <f ca="1">SUMIFS(OUT!$F$2:$F$11000,OUT!$H$2:$H$11000,H1919,OUT!$D$2:$D$11000,"Out",OUT!$E$2:$E$11000,"Alfa")</f>
        <v>0</v>
      </c>
      <c r="N1919" s="52" t="e">
        <f>SUMIFS(OUT!$F$2:$F$11000,OUT!$H$2:$H$101007,H1919,OUT!$D$2:$D$11000,"Out",OUT!$E$2:$E$11000,"Jajan")</f>
        <v>#VALUE!</v>
      </c>
      <c r="O1919" s="52">
        <f ca="1">SUMIFS(OUT!$F$2:$F$11000,OUT!$H$2:$H$11000,H1919,OUT!$D$2:$D$11000,"Out",OUT!$E$2:$E$11000,"Kitchen")</f>
        <v>0</v>
      </c>
      <c r="P1919" s="52">
        <f ca="1">SUMIFS(OUT!$F$2:$F$11000,OUT!$H$2:$H$11000,H1919,OUT!$D$2:$D$11000,"Out",OUT!$E$2:$E$11000,"Loandry")</f>
        <v>0</v>
      </c>
      <c r="Q1919" s="52">
        <f ca="1">SUMIFS(OUT!$F$2:$F$11000,OUT!$H$2:$H$11000,H1919,OUT!$D$2:$D$11000,"Out",OUT!$E$2:$E$11000,"Mio")</f>
        <v>0</v>
      </c>
      <c r="R1919" s="52">
        <f ca="1">SUMIFS(OUT!$F$2:$F$11000,OUT!$H$2:$H$11000,H1919,OUT!$D$2:$D$11000,"Out",OUT!$E$2:$E$11000,"Sedekah")</f>
        <v>0</v>
      </c>
      <c r="S1919" s="52">
        <f ca="1">SUMIFS(OUT!$F$2:$F$11000,OUT!$H$2:$H$11000,H1919,OUT!$D$2:$D$11000,"Out",OUT!$E$2:$E$11000,"Zela")</f>
        <v>0</v>
      </c>
      <c r="T1919" s="52">
        <f ca="1">SUMIFS(OUT!$F$2:$F$11000,OUT!$H$2:$H$11000,H1919,OUT!$D$2:$D$11000,"Out",OUT!$E$2:$E$11000,"Iqbal")</f>
        <v>0</v>
      </c>
    </row>
    <row r="1920" spans="7:20" x14ac:dyDescent="0.2">
      <c r="G1920" s="50"/>
      <c r="H1920" s="51" t="str">
        <f t="shared" si="0"/>
        <v/>
      </c>
      <c r="I1920" s="52" t="e">
        <f>SUMIFS(OUT!$F$2:$F$11000,OUT!$H$2:$H$11000,H1920,OUT!$D$2:$D$101007,"In")</f>
        <v>#VALUE!</v>
      </c>
      <c r="J1920" s="52">
        <f ca="1">SUMIFS(OUT!$F$2:$F$11000,OUT!$H$2:$H$11000,H1920,OUT!$D$2:$D$11000,"Out")</f>
        <v>0</v>
      </c>
      <c r="K1920" s="52">
        <f ca="1">SUMIFS(OUT!$F$2:$F$11000,OUT!$H$2:$H$11000,H1920,OUT!$D$2:$D$11000,"Out",OUT!$E$2:$E$11000,"Fix")</f>
        <v>0</v>
      </c>
      <c r="L1920" s="52">
        <f ca="1">SUMIFS(OUT!$F$2:$F$11000,OUT!$H$2:$H$11000,H1920,OUT!$D$2:$D$11000,"Out",OUT!$E$2:$E$11000,"Bathroom")</f>
        <v>0</v>
      </c>
      <c r="M1920" s="52">
        <f ca="1">SUMIFS(OUT!$F$2:$F$11000,OUT!$H$2:$H$11000,H1920,OUT!$D$2:$D$11000,"Out",OUT!$E$2:$E$11000,"Alfa")</f>
        <v>0</v>
      </c>
      <c r="N1920" s="52" t="e">
        <f>SUMIFS(OUT!$F$2:$F$11000,OUT!$H$2:$H$101007,H1920,OUT!$D$2:$D$11000,"Out",OUT!$E$2:$E$11000,"Jajan")</f>
        <v>#VALUE!</v>
      </c>
      <c r="O1920" s="52">
        <f ca="1">SUMIFS(OUT!$F$2:$F$11000,OUT!$H$2:$H$11000,H1920,OUT!$D$2:$D$11000,"Out",OUT!$E$2:$E$11000,"Kitchen")</f>
        <v>0</v>
      </c>
      <c r="P1920" s="52">
        <f ca="1">SUMIFS(OUT!$F$2:$F$11000,OUT!$H$2:$H$11000,H1920,OUT!$D$2:$D$11000,"Out",OUT!$E$2:$E$11000,"Loandry")</f>
        <v>0</v>
      </c>
      <c r="Q1920" s="52">
        <f ca="1">SUMIFS(OUT!$F$2:$F$11000,OUT!$H$2:$H$11000,H1920,OUT!$D$2:$D$11000,"Out",OUT!$E$2:$E$11000,"Mio")</f>
        <v>0</v>
      </c>
      <c r="R1920" s="52">
        <f ca="1">SUMIFS(OUT!$F$2:$F$11000,OUT!$H$2:$H$11000,H1920,OUT!$D$2:$D$11000,"Out",OUT!$E$2:$E$11000,"Sedekah")</f>
        <v>0</v>
      </c>
      <c r="S1920" s="52">
        <f ca="1">SUMIFS(OUT!$F$2:$F$11000,OUT!$H$2:$H$11000,H1920,OUT!$D$2:$D$11000,"Out",OUT!$E$2:$E$11000,"Zela")</f>
        <v>0</v>
      </c>
      <c r="T1920" s="52">
        <f ca="1">SUMIFS(OUT!$F$2:$F$11000,OUT!$H$2:$H$11000,H1920,OUT!$D$2:$D$11000,"Out",OUT!$E$2:$E$11000,"Iqbal")</f>
        <v>0</v>
      </c>
    </row>
    <row r="1921" spans="7:20" x14ac:dyDescent="0.2">
      <c r="G1921" s="50"/>
      <c r="H1921" s="51" t="str">
        <f t="shared" si="0"/>
        <v/>
      </c>
      <c r="I1921" s="52" t="e">
        <f>SUMIFS(OUT!$F$2:$F$11000,OUT!$H$2:$H$11000,H1921,OUT!$D$2:$D$101007,"In")</f>
        <v>#VALUE!</v>
      </c>
      <c r="J1921" s="52">
        <f ca="1">SUMIFS(OUT!$F$2:$F$11000,OUT!$H$2:$H$11000,H1921,OUT!$D$2:$D$11000,"Out")</f>
        <v>0</v>
      </c>
      <c r="K1921" s="52">
        <f ca="1">SUMIFS(OUT!$F$2:$F$11000,OUT!$H$2:$H$11000,H1921,OUT!$D$2:$D$11000,"Out",OUT!$E$2:$E$11000,"Fix")</f>
        <v>0</v>
      </c>
      <c r="L1921" s="52">
        <f ca="1">SUMIFS(OUT!$F$2:$F$11000,OUT!$H$2:$H$11000,H1921,OUT!$D$2:$D$11000,"Out",OUT!$E$2:$E$11000,"Bathroom")</f>
        <v>0</v>
      </c>
      <c r="M1921" s="52">
        <f ca="1">SUMIFS(OUT!$F$2:$F$11000,OUT!$H$2:$H$11000,H1921,OUT!$D$2:$D$11000,"Out",OUT!$E$2:$E$11000,"Alfa")</f>
        <v>0</v>
      </c>
      <c r="N1921" s="52" t="e">
        <f>SUMIFS(OUT!$F$2:$F$11000,OUT!$H$2:$H$101007,H1921,OUT!$D$2:$D$11000,"Out",OUT!$E$2:$E$11000,"Jajan")</f>
        <v>#VALUE!</v>
      </c>
      <c r="O1921" s="52">
        <f ca="1">SUMIFS(OUT!$F$2:$F$11000,OUT!$H$2:$H$11000,H1921,OUT!$D$2:$D$11000,"Out",OUT!$E$2:$E$11000,"Kitchen")</f>
        <v>0</v>
      </c>
      <c r="P1921" s="52">
        <f ca="1">SUMIFS(OUT!$F$2:$F$11000,OUT!$H$2:$H$11000,H1921,OUT!$D$2:$D$11000,"Out",OUT!$E$2:$E$11000,"Loandry")</f>
        <v>0</v>
      </c>
      <c r="Q1921" s="52">
        <f ca="1">SUMIFS(OUT!$F$2:$F$11000,OUT!$H$2:$H$11000,H1921,OUT!$D$2:$D$11000,"Out",OUT!$E$2:$E$11000,"Mio")</f>
        <v>0</v>
      </c>
      <c r="R1921" s="52">
        <f ca="1">SUMIFS(OUT!$F$2:$F$11000,OUT!$H$2:$H$11000,H1921,OUT!$D$2:$D$11000,"Out",OUT!$E$2:$E$11000,"Sedekah")</f>
        <v>0</v>
      </c>
      <c r="S1921" s="52">
        <f ca="1">SUMIFS(OUT!$F$2:$F$11000,OUT!$H$2:$H$11000,H1921,OUT!$D$2:$D$11000,"Out",OUT!$E$2:$E$11000,"Zela")</f>
        <v>0</v>
      </c>
      <c r="T1921" s="52">
        <f ca="1">SUMIFS(OUT!$F$2:$F$11000,OUT!$H$2:$H$11000,H1921,OUT!$D$2:$D$11000,"Out",OUT!$E$2:$E$11000,"Iqbal")</f>
        <v>0</v>
      </c>
    </row>
    <row r="1922" spans="7:20" x14ac:dyDescent="0.2">
      <c r="G1922" s="50"/>
      <c r="H1922" s="51" t="str">
        <f t="shared" si="0"/>
        <v/>
      </c>
      <c r="I1922" s="52" t="e">
        <f>SUMIFS(OUT!$F$2:$F$11000,OUT!$H$2:$H$11000,H1922,OUT!$D$2:$D$101007,"In")</f>
        <v>#VALUE!</v>
      </c>
      <c r="J1922" s="52">
        <f ca="1">SUMIFS(OUT!$F$2:$F$11000,OUT!$H$2:$H$11000,H1922,OUT!$D$2:$D$11000,"Out")</f>
        <v>0</v>
      </c>
      <c r="K1922" s="52">
        <f ca="1">SUMIFS(OUT!$F$2:$F$11000,OUT!$H$2:$H$11000,H1922,OUT!$D$2:$D$11000,"Out",OUT!$E$2:$E$11000,"Fix")</f>
        <v>0</v>
      </c>
      <c r="L1922" s="52">
        <f ca="1">SUMIFS(OUT!$F$2:$F$11000,OUT!$H$2:$H$11000,H1922,OUT!$D$2:$D$11000,"Out",OUT!$E$2:$E$11000,"Bathroom")</f>
        <v>0</v>
      </c>
      <c r="M1922" s="52">
        <f ca="1">SUMIFS(OUT!$F$2:$F$11000,OUT!$H$2:$H$11000,H1922,OUT!$D$2:$D$11000,"Out",OUT!$E$2:$E$11000,"Alfa")</f>
        <v>0</v>
      </c>
      <c r="N1922" s="52" t="e">
        <f>SUMIFS(OUT!$F$2:$F$11000,OUT!$H$2:$H$101007,H1922,OUT!$D$2:$D$11000,"Out",OUT!$E$2:$E$11000,"Jajan")</f>
        <v>#VALUE!</v>
      </c>
      <c r="O1922" s="52">
        <f ca="1">SUMIFS(OUT!$F$2:$F$11000,OUT!$H$2:$H$11000,H1922,OUT!$D$2:$D$11000,"Out",OUT!$E$2:$E$11000,"Kitchen")</f>
        <v>0</v>
      </c>
      <c r="P1922" s="52">
        <f ca="1">SUMIFS(OUT!$F$2:$F$11000,OUT!$H$2:$H$11000,H1922,OUT!$D$2:$D$11000,"Out",OUT!$E$2:$E$11000,"Loandry")</f>
        <v>0</v>
      </c>
      <c r="Q1922" s="52">
        <f ca="1">SUMIFS(OUT!$F$2:$F$11000,OUT!$H$2:$H$11000,H1922,OUT!$D$2:$D$11000,"Out",OUT!$E$2:$E$11000,"Mio")</f>
        <v>0</v>
      </c>
      <c r="R1922" s="52">
        <f ca="1">SUMIFS(OUT!$F$2:$F$11000,OUT!$H$2:$H$11000,H1922,OUT!$D$2:$D$11000,"Out",OUT!$E$2:$E$11000,"Sedekah")</f>
        <v>0</v>
      </c>
      <c r="S1922" s="52">
        <f ca="1">SUMIFS(OUT!$F$2:$F$11000,OUT!$H$2:$H$11000,H1922,OUT!$D$2:$D$11000,"Out",OUT!$E$2:$E$11000,"Zela")</f>
        <v>0</v>
      </c>
      <c r="T1922" s="52">
        <f ca="1">SUMIFS(OUT!$F$2:$F$11000,OUT!$H$2:$H$11000,H1922,OUT!$D$2:$D$11000,"Out",OUT!$E$2:$E$11000,"Iqbal")</f>
        <v>0</v>
      </c>
    </row>
    <row r="1923" spans="7:20" x14ac:dyDescent="0.2">
      <c r="G1923" s="50"/>
      <c r="H1923" s="51" t="str">
        <f t="shared" si="0"/>
        <v/>
      </c>
      <c r="I1923" s="52" t="e">
        <f>SUMIFS(OUT!$F$2:$F$11000,OUT!$H$2:$H$11000,H1923,OUT!$D$2:$D$101007,"In")</f>
        <v>#VALUE!</v>
      </c>
      <c r="J1923" s="52">
        <f ca="1">SUMIFS(OUT!$F$2:$F$11000,OUT!$H$2:$H$11000,H1923,OUT!$D$2:$D$11000,"Out")</f>
        <v>0</v>
      </c>
      <c r="K1923" s="52">
        <f ca="1">SUMIFS(OUT!$F$2:$F$11000,OUT!$H$2:$H$11000,H1923,OUT!$D$2:$D$11000,"Out",OUT!$E$2:$E$11000,"Fix")</f>
        <v>0</v>
      </c>
      <c r="L1923" s="52">
        <f ca="1">SUMIFS(OUT!$F$2:$F$11000,OUT!$H$2:$H$11000,H1923,OUT!$D$2:$D$11000,"Out",OUT!$E$2:$E$11000,"Bathroom")</f>
        <v>0</v>
      </c>
      <c r="M1923" s="52">
        <f ca="1">SUMIFS(OUT!$F$2:$F$11000,OUT!$H$2:$H$11000,H1923,OUT!$D$2:$D$11000,"Out",OUT!$E$2:$E$11000,"Alfa")</f>
        <v>0</v>
      </c>
      <c r="N1923" s="52" t="e">
        <f>SUMIFS(OUT!$F$2:$F$11000,OUT!$H$2:$H$101007,H1923,OUT!$D$2:$D$11000,"Out",OUT!$E$2:$E$11000,"Jajan")</f>
        <v>#VALUE!</v>
      </c>
      <c r="O1923" s="52">
        <f ca="1">SUMIFS(OUT!$F$2:$F$11000,OUT!$H$2:$H$11000,H1923,OUT!$D$2:$D$11000,"Out",OUT!$E$2:$E$11000,"Kitchen")</f>
        <v>0</v>
      </c>
      <c r="P1923" s="52">
        <f ca="1">SUMIFS(OUT!$F$2:$F$11000,OUT!$H$2:$H$11000,H1923,OUT!$D$2:$D$11000,"Out",OUT!$E$2:$E$11000,"Loandry")</f>
        <v>0</v>
      </c>
      <c r="Q1923" s="52">
        <f ca="1">SUMIFS(OUT!$F$2:$F$11000,OUT!$H$2:$H$11000,H1923,OUT!$D$2:$D$11000,"Out",OUT!$E$2:$E$11000,"Mio")</f>
        <v>0</v>
      </c>
      <c r="R1923" s="52">
        <f ca="1">SUMIFS(OUT!$F$2:$F$11000,OUT!$H$2:$H$11000,H1923,OUT!$D$2:$D$11000,"Out",OUT!$E$2:$E$11000,"Sedekah")</f>
        <v>0</v>
      </c>
      <c r="S1923" s="52">
        <f ca="1">SUMIFS(OUT!$F$2:$F$11000,OUT!$H$2:$H$11000,H1923,OUT!$D$2:$D$11000,"Out",OUT!$E$2:$E$11000,"Zela")</f>
        <v>0</v>
      </c>
      <c r="T1923" s="52">
        <f ca="1">SUMIFS(OUT!$F$2:$F$11000,OUT!$H$2:$H$11000,H1923,OUT!$D$2:$D$11000,"Out",OUT!$E$2:$E$11000,"Iqbal")</f>
        <v>0</v>
      </c>
    </row>
    <row r="1924" spans="7:20" x14ac:dyDescent="0.2">
      <c r="G1924" s="50"/>
      <c r="H1924" s="51" t="str">
        <f t="shared" si="0"/>
        <v/>
      </c>
      <c r="I1924" s="52" t="e">
        <f>SUMIFS(OUT!$F$2:$F$11000,OUT!$H$2:$H$11000,H1924,OUT!$D$2:$D$101007,"In")</f>
        <v>#VALUE!</v>
      </c>
      <c r="J1924" s="52">
        <f ca="1">SUMIFS(OUT!$F$2:$F$11000,OUT!$H$2:$H$11000,H1924,OUT!$D$2:$D$11000,"Out")</f>
        <v>0</v>
      </c>
      <c r="K1924" s="52">
        <f ca="1">SUMIFS(OUT!$F$2:$F$11000,OUT!$H$2:$H$11000,H1924,OUT!$D$2:$D$11000,"Out",OUT!$E$2:$E$11000,"Fix")</f>
        <v>0</v>
      </c>
      <c r="L1924" s="52">
        <f ca="1">SUMIFS(OUT!$F$2:$F$11000,OUT!$H$2:$H$11000,H1924,OUT!$D$2:$D$11000,"Out",OUT!$E$2:$E$11000,"Bathroom")</f>
        <v>0</v>
      </c>
      <c r="M1924" s="52">
        <f ca="1">SUMIFS(OUT!$F$2:$F$11000,OUT!$H$2:$H$11000,H1924,OUT!$D$2:$D$11000,"Out",OUT!$E$2:$E$11000,"Alfa")</f>
        <v>0</v>
      </c>
      <c r="N1924" s="52" t="e">
        <f>SUMIFS(OUT!$F$2:$F$11000,OUT!$H$2:$H$101007,H1924,OUT!$D$2:$D$11000,"Out",OUT!$E$2:$E$11000,"Jajan")</f>
        <v>#VALUE!</v>
      </c>
      <c r="O1924" s="52">
        <f ca="1">SUMIFS(OUT!$F$2:$F$11000,OUT!$H$2:$H$11000,H1924,OUT!$D$2:$D$11000,"Out",OUT!$E$2:$E$11000,"Kitchen")</f>
        <v>0</v>
      </c>
      <c r="P1924" s="52">
        <f ca="1">SUMIFS(OUT!$F$2:$F$11000,OUT!$H$2:$H$11000,H1924,OUT!$D$2:$D$11000,"Out",OUT!$E$2:$E$11000,"Loandry")</f>
        <v>0</v>
      </c>
      <c r="Q1924" s="52">
        <f ca="1">SUMIFS(OUT!$F$2:$F$11000,OUT!$H$2:$H$11000,H1924,OUT!$D$2:$D$11000,"Out",OUT!$E$2:$E$11000,"Mio")</f>
        <v>0</v>
      </c>
      <c r="R1924" s="52">
        <f ca="1">SUMIFS(OUT!$F$2:$F$11000,OUT!$H$2:$H$11000,H1924,OUT!$D$2:$D$11000,"Out",OUT!$E$2:$E$11000,"Sedekah")</f>
        <v>0</v>
      </c>
      <c r="S1924" s="52">
        <f ca="1">SUMIFS(OUT!$F$2:$F$11000,OUT!$H$2:$H$11000,H1924,OUT!$D$2:$D$11000,"Out",OUT!$E$2:$E$11000,"Zela")</f>
        <v>0</v>
      </c>
      <c r="T1924" s="52">
        <f ca="1">SUMIFS(OUT!$F$2:$F$11000,OUT!$H$2:$H$11000,H1924,OUT!$D$2:$D$11000,"Out",OUT!$E$2:$E$11000,"Iqbal")</f>
        <v>0</v>
      </c>
    </row>
    <row r="1925" spans="7:20" x14ac:dyDescent="0.2">
      <c r="G1925" s="50"/>
      <c r="H1925" s="51" t="str">
        <f t="shared" si="0"/>
        <v/>
      </c>
      <c r="I1925" s="52" t="e">
        <f>SUMIFS(OUT!$F$2:$F$11000,OUT!$H$2:$H$11000,H1925,OUT!$D$2:$D$101007,"In")</f>
        <v>#VALUE!</v>
      </c>
      <c r="J1925" s="52">
        <f ca="1">SUMIFS(OUT!$F$2:$F$11000,OUT!$H$2:$H$11000,H1925,OUT!$D$2:$D$11000,"Out")</f>
        <v>0</v>
      </c>
      <c r="K1925" s="52">
        <f ca="1">SUMIFS(OUT!$F$2:$F$11000,OUT!$H$2:$H$11000,H1925,OUT!$D$2:$D$11000,"Out",OUT!$E$2:$E$11000,"Fix")</f>
        <v>0</v>
      </c>
      <c r="L1925" s="52">
        <f ca="1">SUMIFS(OUT!$F$2:$F$11000,OUT!$H$2:$H$11000,H1925,OUT!$D$2:$D$11000,"Out",OUT!$E$2:$E$11000,"Bathroom")</f>
        <v>0</v>
      </c>
      <c r="M1925" s="52">
        <f ca="1">SUMIFS(OUT!$F$2:$F$11000,OUT!$H$2:$H$11000,H1925,OUT!$D$2:$D$11000,"Out",OUT!$E$2:$E$11000,"Alfa")</f>
        <v>0</v>
      </c>
      <c r="N1925" s="52" t="e">
        <f>SUMIFS(OUT!$F$2:$F$11000,OUT!$H$2:$H$101007,H1925,OUT!$D$2:$D$11000,"Out",OUT!$E$2:$E$11000,"Jajan")</f>
        <v>#VALUE!</v>
      </c>
      <c r="O1925" s="52">
        <f ca="1">SUMIFS(OUT!$F$2:$F$11000,OUT!$H$2:$H$11000,H1925,OUT!$D$2:$D$11000,"Out",OUT!$E$2:$E$11000,"Kitchen")</f>
        <v>0</v>
      </c>
      <c r="P1925" s="52">
        <f ca="1">SUMIFS(OUT!$F$2:$F$11000,OUT!$H$2:$H$11000,H1925,OUT!$D$2:$D$11000,"Out",OUT!$E$2:$E$11000,"Loandry")</f>
        <v>0</v>
      </c>
      <c r="Q1925" s="52">
        <f ca="1">SUMIFS(OUT!$F$2:$F$11000,OUT!$H$2:$H$11000,H1925,OUT!$D$2:$D$11000,"Out",OUT!$E$2:$E$11000,"Mio")</f>
        <v>0</v>
      </c>
      <c r="R1925" s="52">
        <f ca="1">SUMIFS(OUT!$F$2:$F$11000,OUT!$H$2:$H$11000,H1925,OUT!$D$2:$D$11000,"Out",OUT!$E$2:$E$11000,"Sedekah")</f>
        <v>0</v>
      </c>
      <c r="S1925" s="52">
        <f ca="1">SUMIFS(OUT!$F$2:$F$11000,OUT!$H$2:$H$11000,H1925,OUT!$D$2:$D$11000,"Out",OUT!$E$2:$E$11000,"Zela")</f>
        <v>0</v>
      </c>
      <c r="T1925" s="52">
        <f ca="1">SUMIFS(OUT!$F$2:$F$11000,OUT!$H$2:$H$11000,H1925,OUT!$D$2:$D$11000,"Out",OUT!$E$2:$E$11000,"Iqbal")</f>
        <v>0</v>
      </c>
    </row>
    <row r="1926" spans="7:20" x14ac:dyDescent="0.2">
      <c r="G1926" s="50"/>
      <c r="H1926" s="51" t="str">
        <f t="shared" si="0"/>
        <v/>
      </c>
      <c r="I1926" s="52" t="e">
        <f>SUMIFS(OUT!$F$2:$F$11000,OUT!$H$2:$H$11000,H1926,OUT!$D$2:$D$101007,"In")</f>
        <v>#VALUE!</v>
      </c>
      <c r="J1926" s="52">
        <f ca="1">SUMIFS(OUT!$F$2:$F$11000,OUT!$H$2:$H$11000,H1926,OUT!$D$2:$D$11000,"Out")</f>
        <v>0</v>
      </c>
      <c r="K1926" s="52">
        <f ca="1">SUMIFS(OUT!$F$2:$F$11000,OUT!$H$2:$H$11000,H1926,OUT!$D$2:$D$11000,"Out",OUT!$E$2:$E$11000,"Fix")</f>
        <v>0</v>
      </c>
      <c r="L1926" s="52">
        <f ca="1">SUMIFS(OUT!$F$2:$F$11000,OUT!$H$2:$H$11000,H1926,OUT!$D$2:$D$11000,"Out",OUT!$E$2:$E$11000,"Bathroom")</f>
        <v>0</v>
      </c>
      <c r="M1926" s="52">
        <f ca="1">SUMIFS(OUT!$F$2:$F$11000,OUT!$H$2:$H$11000,H1926,OUT!$D$2:$D$11000,"Out",OUT!$E$2:$E$11000,"Alfa")</f>
        <v>0</v>
      </c>
      <c r="N1926" s="52" t="e">
        <f>SUMIFS(OUT!$F$2:$F$11000,OUT!$H$2:$H$101007,H1926,OUT!$D$2:$D$11000,"Out",OUT!$E$2:$E$11000,"Jajan")</f>
        <v>#VALUE!</v>
      </c>
      <c r="O1926" s="52">
        <f ca="1">SUMIFS(OUT!$F$2:$F$11000,OUT!$H$2:$H$11000,H1926,OUT!$D$2:$D$11000,"Out",OUT!$E$2:$E$11000,"Kitchen")</f>
        <v>0</v>
      </c>
      <c r="P1926" s="52">
        <f ca="1">SUMIFS(OUT!$F$2:$F$11000,OUT!$H$2:$H$11000,H1926,OUT!$D$2:$D$11000,"Out",OUT!$E$2:$E$11000,"Loandry")</f>
        <v>0</v>
      </c>
      <c r="Q1926" s="52">
        <f ca="1">SUMIFS(OUT!$F$2:$F$11000,OUT!$H$2:$H$11000,H1926,OUT!$D$2:$D$11000,"Out",OUT!$E$2:$E$11000,"Mio")</f>
        <v>0</v>
      </c>
      <c r="R1926" s="52">
        <f ca="1">SUMIFS(OUT!$F$2:$F$11000,OUT!$H$2:$H$11000,H1926,OUT!$D$2:$D$11000,"Out",OUT!$E$2:$E$11000,"Sedekah")</f>
        <v>0</v>
      </c>
      <c r="S1926" s="52">
        <f ca="1">SUMIFS(OUT!$F$2:$F$11000,OUT!$H$2:$H$11000,H1926,OUT!$D$2:$D$11000,"Out",OUT!$E$2:$E$11000,"Zela")</f>
        <v>0</v>
      </c>
      <c r="T1926" s="52">
        <f ca="1">SUMIFS(OUT!$F$2:$F$11000,OUT!$H$2:$H$11000,H1926,OUT!$D$2:$D$11000,"Out",OUT!$E$2:$E$11000,"Iqbal")</f>
        <v>0</v>
      </c>
    </row>
    <row r="1927" spans="7:20" x14ac:dyDescent="0.2">
      <c r="G1927" s="50"/>
      <c r="H1927" s="51" t="str">
        <f t="shared" si="0"/>
        <v/>
      </c>
      <c r="I1927" s="52" t="e">
        <f>SUMIFS(OUT!$F$2:$F$11000,OUT!$H$2:$H$11000,H1927,OUT!$D$2:$D$101007,"In")</f>
        <v>#VALUE!</v>
      </c>
      <c r="J1927" s="52">
        <f ca="1">SUMIFS(OUT!$F$2:$F$11000,OUT!$H$2:$H$11000,H1927,OUT!$D$2:$D$11000,"Out")</f>
        <v>0</v>
      </c>
      <c r="K1927" s="52">
        <f ca="1">SUMIFS(OUT!$F$2:$F$11000,OUT!$H$2:$H$11000,H1927,OUT!$D$2:$D$11000,"Out",OUT!$E$2:$E$11000,"Fix")</f>
        <v>0</v>
      </c>
      <c r="L1927" s="52">
        <f ca="1">SUMIFS(OUT!$F$2:$F$11000,OUT!$H$2:$H$11000,H1927,OUT!$D$2:$D$11000,"Out",OUT!$E$2:$E$11000,"Bathroom")</f>
        <v>0</v>
      </c>
      <c r="M1927" s="52">
        <f ca="1">SUMIFS(OUT!$F$2:$F$11000,OUT!$H$2:$H$11000,H1927,OUT!$D$2:$D$11000,"Out",OUT!$E$2:$E$11000,"Alfa")</f>
        <v>0</v>
      </c>
      <c r="N1927" s="52" t="e">
        <f>SUMIFS(OUT!$F$2:$F$11000,OUT!$H$2:$H$101007,H1927,OUT!$D$2:$D$11000,"Out",OUT!$E$2:$E$11000,"Jajan")</f>
        <v>#VALUE!</v>
      </c>
      <c r="O1927" s="52">
        <f ca="1">SUMIFS(OUT!$F$2:$F$11000,OUT!$H$2:$H$11000,H1927,OUT!$D$2:$D$11000,"Out",OUT!$E$2:$E$11000,"Kitchen")</f>
        <v>0</v>
      </c>
      <c r="P1927" s="52">
        <f ca="1">SUMIFS(OUT!$F$2:$F$11000,OUT!$H$2:$H$11000,H1927,OUT!$D$2:$D$11000,"Out",OUT!$E$2:$E$11000,"Loandry")</f>
        <v>0</v>
      </c>
      <c r="Q1927" s="52">
        <f ca="1">SUMIFS(OUT!$F$2:$F$11000,OUT!$H$2:$H$11000,H1927,OUT!$D$2:$D$11000,"Out",OUT!$E$2:$E$11000,"Mio")</f>
        <v>0</v>
      </c>
      <c r="R1927" s="52">
        <f ca="1">SUMIFS(OUT!$F$2:$F$11000,OUT!$H$2:$H$11000,H1927,OUT!$D$2:$D$11000,"Out",OUT!$E$2:$E$11000,"Sedekah")</f>
        <v>0</v>
      </c>
      <c r="S1927" s="52">
        <f ca="1">SUMIFS(OUT!$F$2:$F$11000,OUT!$H$2:$H$11000,H1927,OUT!$D$2:$D$11000,"Out",OUT!$E$2:$E$11000,"Zela")</f>
        <v>0</v>
      </c>
      <c r="T1927" s="52">
        <f ca="1">SUMIFS(OUT!$F$2:$F$11000,OUT!$H$2:$H$11000,H1927,OUT!$D$2:$D$11000,"Out",OUT!$E$2:$E$11000,"Iqbal")</f>
        <v>0</v>
      </c>
    </row>
    <row r="1928" spans="7:20" x14ac:dyDescent="0.2">
      <c r="G1928" s="50"/>
      <c r="H1928" s="51" t="str">
        <f t="shared" si="0"/>
        <v/>
      </c>
      <c r="I1928" s="52" t="e">
        <f>SUMIFS(OUT!$F$2:$F$11000,OUT!$H$2:$H$11000,H1928,OUT!$D$2:$D$101007,"In")</f>
        <v>#VALUE!</v>
      </c>
      <c r="J1928" s="52">
        <f ca="1">SUMIFS(OUT!$F$2:$F$11000,OUT!$H$2:$H$11000,H1928,OUT!$D$2:$D$11000,"Out")</f>
        <v>0</v>
      </c>
      <c r="K1928" s="52">
        <f ca="1">SUMIFS(OUT!$F$2:$F$11000,OUT!$H$2:$H$11000,H1928,OUT!$D$2:$D$11000,"Out",OUT!$E$2:$E$11000,"Fix")</f>
        <v>0</v>
      </c>
      <c r="L1928" s="52">
        <f ca="1">SUMIFS(OUT!$F$2:$F$11000,OUT!$H$2:$H$11000,H1928,OUT!$D$2:$D$11000,"Out",OUT!$E$2:$E$11000,"Bathroom")</f>
        <v>0</v>
      </c>
      <c r="M1928" s="52">
        <f ca="1">SUMIFS(OUT!$F$2:$F$11000,OUT!$H$2:$H$11000,H1928,OUT!$D$2:$D$11000,"Out",OUT!$E$2:$E$11000,"Alfa")</f>
        <v>0</v>
      </c>
      <c r="N1928" s="52" t="e">
        <f>SUMIFS(OUT!$F$2:$F$11000,OUT!$H$2:$H$101007,H1928,OUT!$D$2:$D$11000,"Out",OUT!$E$2:$E$11000,"Jajan")</f>
        <v>#VALUE!</v>
      </c>
      <c r="O1928" s="52">
        <f ca="1">SUMIFS(OUT!$F$2:$F$11000,OUT!$H$2:$H$11000,H1928,OUT!$D$2:$D$11000,"Out",OUT!$E$2:$E$11000,"Kitchen")</f>
        <v>0</v>
      </c>
      <c r="P1928" s="52">
        <f ca="1">SUMIFS(OUT!$F$2:$F$11000,OUT!$H$2:$H$11000,H1928,OUT!$D$2:$D$11000,"Out",OUT!$E$2:$E$11000,"Loandry")</f>
        <v>0</v>
      </c>
      <c r="Q1928" s="52">
        <f ca="1">SUMIFS(OUT!$F$2:$F$11000,OUT!$H$2:$H$11000,H1928,OUT!$D$2:$D$11000,"Out",OUT!$E$2:$E$11000,"Mio")</f>
        <v>0</v>
      </c>
      <c r="R1928" s="52">
        <f ca="1">SUMIFS(OUT!$F$2:$F$11000,OUT!$H$2:$H$11000,H1928,OUT!$D$2:$D$11000,"Out",OUT!$E$2:$E$11000,"Sedekah")</f>
        <v>0</v>
      </c>
      <c r="S1928" s="52">
        <f ca="1">SUMIFS(OUT!$F$2:$F$11000,OUT!$H$2:$H$11000,H1928,OUT!$D$2:$D$11000,"Out",OUT!$E$2:$E$11000,"Zela")</f>
        <v>0</v>
      </c>
      <c r="T1928" s="52">
        <f ca="1">SUMIFS(OUT!$F$2:$F$11000,OUT!$H$2:$H$11000,H1928,OUT!$D$2:$D$11000,"Out",OUT!$E$2:$E$11000,"Iqbal")</f>
        <v>0</v>
      </c>
    </row>
    <row r="1929" spans="7:20" x14ac:dyDescent="0.2">
      <c r="G1929" s="50"/>
      <c r="H1929" s="51" t="str">
        <f t="shared" si="0"/>
        <v/>
      </c>
      <c r="I1929" s="52" t="e">
        <f>SUMIFS(OUT!$F$2:$F$11000,OUT!$H$2:$H$11000,H1929,OUT!$D$2:$D$101007,"In")</f>
        <v>#VALUE!</v>
      </c>
      <c r="J1929" s="52">
        <f ca="1">SUMIFS(OUT!$F$2:$F$11000,OUT!$H$2:$H$11000,H1929,OUT!$D$2:$D$11000,"Out")</f>
        <v>0</v>
      </c>
      <c r="K1929" s="52">
        <f ca="1">SUMIFS(OUT!$F$2:$F$11000,OUT!$H$2:$H$11000,H1929,OUT!$D$2:$D$11000,"Out",OUT!$E$2:$E$11000,"Fix")</f>
        <v>0</v>
      </c>
      <c r="L1929" s="52">
        <f ca="1">SUMIFS(OUT!$F$2:$F$11000,OUT!$H$2:$H$11000,H1929,OUT!$D$2:$D$11000,"Out",OUT!$E$2:$E$11000,"Bathroom")</f>
        <v>0</v>
      </c>
      <c r="M1929" s="52">
        <f ca="1">SUMIFS(OUT!$F$2:$F$11000,OUT!$H$2:$H$11000,H1929,OUT!$D$2:$D$11000,"Out",OUT!$E$2:$E$11000,"Alfa")</f>
        <v>0</v>
      </c>
      <c r="N1929" s="52" t="e">
        <f>SUMIFS(OUT!$F$2:$F$11000,OUT!$H$2:$H$101007,H1929,OUT!$D$2:$D$11000,"Out",OUT!$E$2:$E$11000,"Jajan")</f>
        <v>#VALUE!</v>
      </c>
      <c r="O1929" s="52">
        <f ca="1">SUMIFS(OUT!$F$2:$F$11000,OUT!$H$2:$H$11000,H1929,OUT!$D$2:$D$11000,"Out",OUT!$E$2:$E$11000,"Kitchen")</f>
        <v>0</v>
      </c>
      <c r="P1929" s="52">
        <f ca="1">SUMIFS(OUT!$F$2:$F$11000,OUT!$H$2:$H$11000,H1929,OUT!$D$2:$D$11000,"Out",OUT!$E$2:$E$11000,"Loandry")</f>
        <v>0</v>
      </c>
      <c r="Q1929" s="52">
        <f ca="1">SUMIFS(OUT!$F$2:$F$11000,OUT!$H$2:$H$11000,H1929,OUT!$D$2:$D$11000,"Out",OUT!$E$2:$E$11000,"Mio")</f>
        <v>0</v>
      </c>
      <c r="R1929" s="52">
        <f ca="1">SUMIFS(OUT!$F$2:$F$11000,OUT!$H$2:$H$11000,H1929,OUT!$D$2:$D$11000,"Out",OUT!$E$2:$E$11000,"Sedekah")</f>
        <v>0</v>
      </c>
      <c r="S1929" s="52">
        <f ca="1">SUMIFS(OUT!$F$2:$F$11000,OUT!$H$2:$H$11000,H1929,OUT!$D$2:$D$11000,"Out",OUT!$E$2:$E$11000,"Zela")</f>
        <v>0</v>
      </c>
      <c r="T1929" s="52">
        <f ca="1">SUMIFS(OUT!$F$2:$F$11000,OUT!$H$2:$H$11000,H1929,OUT!$D$2:$D$11000,"Out",OUT!$E$2:$E$11000,"Iqbal")</f>
        <v>0</v>
      </c>
    </row>
    <row r="1930" spans="7:20" x14ac:dyDescent="0.2">
      <c r="G1930" s="50"/>
      <c r="H1930" s="51" t="str">
        <f t="shared" si="0"/>
        <v/>
      </c>
      <c r="I1930" s="52" t="e">
        <f>SUMIFS(OUT!$F$2:$F$11000,OUT!$H$2:$H$11000,H1930,OUT!$D$2:$D$101007,"In")</f>
        <v>#VALUE!</v>
      </c>
      <c r="J1930" s="52">
        <f ca="1">SUMIFS(OUT!$F$2:$F$11000,OUT!$H$2:$H$11000,H1930,OUT!$D$2:$D$11000,"Out")</f>
        <v>0</v>
      </c>
      <c r="K1930" s="52">
        <f ca="1">SUMIFS(OUT!$F$2:$F$11000,OUT!$H$2:$H$11000,H1930,OUT!$D$2:$D$11000,"Out",OUT!$E$2:$E$11000,"Fix")</f>
        <v>0</v>
      </c>
      <c r="L1930" s="52">
        <f ca="1">SUMIFS(OUT!$F$2:$F$11000,OUT!$H$2:$H$11000,H1930,OUT!$D$2:$D$11000,"Out",OUT!$E$2:$E$11000,"Bathroom")</f>
        <v>0</v>
      </c>
      <c r="M1930" s="52">
        <f ca="1">SUMIFS(OUT!$F$2:$F$11000,OUT!$H$2:$H$11000,H1930,OUT!$D$2:$D$11000,"Out",OUT!$E$2:$E$11000,"Alfa")</f>
        <v>0</v>
      </c>
      <c r="N1930" s="52" t="e">
        <f>SUMIFS(OUT!$F$2:$F$11000,OUT!$H$2:$H$101007,H1930,OUT!$D$2:$D$11000,"Out",OUT!$E$2:$E$11000,"Jajan")</f>
        <v>#VALUE!</v>
      </c>
      <c r="O1930" s="52">
        <f ca="1">SUMIFS(OUT!$F$2:$F$11000,OUT!$H$2:$H$11000,H1930,OUT!$D$2:$D$11000,"Out",OUT!$E$2:$E$11000,"Kitchen")</f>
        <v>0</v>
      </c>
      <c r="P1930" s="52">
        <f ca="1">SUMIFS(OUT!$F$2:$F$11000,OUT!$H$2:$H$11000,H1930,OUT!$D$2:$D$11000,"Out",OUT!$E$2:$E$11000,"Loandry")</f>
        <v>0</v>
      </c>
      <c r="Q1930" s="52">
        <f ca="1">SUMIFS(OUT!$F$2:$F$11000,OUT!$H$2:$H$11000,H1930,OUT!$D$2:$D$11000,"Out",OUT!$E$2:$E$11000,"Mio")</f>
        <v>0</v>
      </c>
      <c r="R1930" s="52">
        <f ca="1">SUMIFS(OUT!$F$2:$F$11000,OUT!$H$2:$H$11000,H1930,OUT!$D$2:$D$11000,"Out",OUT!$E$2:$E$11000,"Sedekah")</f>
        <v>0</v>
      </c>
      <c r="S1930" s="52">
        <f ca="1">SUMIFS(OUT!$F$2:$F$11000,OUT!$H$2:$H$11000,H1930,OUT!$D$2:$D$11000,"Out",OUT!$E$2:$E$11000,"Zela")</f>
        <v>0</v>
      </c>
      <c r="T1930" s="52">
        <f ca="1">SUMIFS(OUT!$F$2:$F$11000,OUT!$H$2:$H$11000,H1930,OUT!$D$2:$D$11000,"Out",OUT!$E$2:$E$11000,"Iqbal")</f>
        <v>0</v>
      </c>
    </row>
    <row r="1931" spans="7:20" x14ac:dyDescent="0.2">
      <c r="G1931" s="50"/>
      <c r="H1931" s="51" t="str">
        <f t="shared" si="0"/>
        <v/>
      </c>
      <c r="I1931" s="52" t="e">
        <f>SUMIFS(OUT!$F$2:$F$11000,OUT!$H$2:$H$11000,H1931,OUT!$D$2:$D$101007,"In")</f>
        <v>#VALUE!</v>
      </c>
      <c r="J1931" s="52">
        <f ca="1">SUMIFS(OUT!$F$2:$F$11000,OUT!$H$2:$H$11000,H1931,OUT!$D$2:$D$11000,"Out")</f>
        <v>0</v>
      </c>
      <c r="K1931" s="52">
        <f ca="1">SUMIFS(OUT!$F$2:$F$11000,OUT!$H$2:$H$11000,H1931,OUT!$D$2:$D$11000,"Out",OUT!$E$2:$E$11000,"Fix")</f>
        <v>0</v>
      </c>
      <c r="L1931" s="52">
        <f ca="1">SUMIFS(OUT!$F$2:$F$11000,OUT!$H$2:$H$11000,H1931,OUT!$D$2:$D$11000,"Out",OUT!$E$2:$E$11000,"Bathroom")</f>
        <v>0</v>
      </c>
      <c r="M1931" s="52">
        <f ca="1">SUMIFS(OUT!$F$2:$F$11000,OUT!$H$2:$H$11000,H1931,OUT!$D$2:$D$11000,"Out",OUT!$E$2:$E$11000,"Alfa")</f>
        <v>0</v>
      </c>
      <c r="N1931" s="52" t="e">
        <f>SUMIFS(OUT!$F$2:$F$11000,OUT!$H$2:$H$101007,H1931,OUT!$D$2:$D$11000,"Out",OUT!$E$2:$E$11000,"Jajan")</f>
        <v>#VALUE!</v>
      </c>
      <c r="O1931" s="52">
        <f ca="1">SUMIFS(OUT!$F$2:$F$11000,OUT!$H$2:$H$11000,H1931,OUT!$D$2:$D$11000,"Out",OUT!$E$2:$E$11000,"Kitchen")</f>
        <v>0</v>
      </c>
      <c r="P1931" s="52">
        <f ca="1">SUMIFS(OUT!$F$2:$F$11000,OUT!$H$2:$H$11000,H1931,OUT!$D$2:$D$11000,"Out",OUT!$E$2:$E$11000,"Loandry")</f>
        <v>0</v>
      </c>
      <c r="Q1931" s="52">
        <f ca="1">SUMIFS(OUT!$F$2:$F$11000,OUT!$H$2:$H$11000,H1931,OUT!$D$2:$D$11000,"Out",OUT!$E$2:$E$11000,"Mio")</f>
        <v>0</v>
      </c>
      <c r="R1931" s="52">
        <f ca="1">SUMIFS(OUT!$F$2:$F$11000,OUT!$H$2:$H$11000,H1931,OUT!$D$2:$D$11000,"Out",OUT!$E$2:$E$11000,"Sedekah")</f>
        <v>0</v>
      </c>
      <c r="S1931" s="52">
        <f ca="1">SUMIFS(OUT!$F$2:$F$11000,OUT!$H$2:$H$11000,H1931,OUT!$D$2:$D$11000,"Out",OUT!$E$2:$E$11000,"Zela")</f>
        <v>0</v>
      </c>
      <c r="T1931" s="52">
        <f ca="1">SUMIFS(OUT!$F$2:$F$11000,OUT!$H$2:$H$11000,H1931,OUT!$D$2:$D$11000,"Out",OUT!$E$2:$E$11000,"Iqbal")</f>
        <v>0</v>
      </c>
    </row>
    <row r="1932" spans="7:20" x14ac:dyDescent="0.2">
      <c r="G1932" s="50"/>
      <c r="H1932" s="51" t="str">
        <f t="shared" si="0"/>
        <v/>
      </c>
      <c r="I1932" s="52" t="e">
        <f>SUMIFS(OUT!$F$2:$F$11000,OUT!$H$2:$H$11000,H1932,OUT!$D$2:$D$101007,"In")</f>
        <v>#VALUE!</v>
      </c>
      <c r="J1932" s="52">
        <f ca="1">SUMIFS(OUT!$F$2:$F$11000,OUT!$H$2:$H$11000,H1932,OUT!$D$2:$D$11000,"Out")</f>
        <v>0</v>
      </c>
      <c r="K1932" s="52">
        <f ca="1">SUMIFS(OUT!$F$2:$F$11000,OUT!$H$2:$H$11000,H1932,OUT!$D$2:$D$11000,"Out",OUT!$E$2:$E$11000,"Fix")</f>
        <v>0</v>
      </c>
      <c r="L1932" s="52">
        <f ca="1">SUMIFS(OUT!$F$2:$F$11000,OUT!$H$2:$H$11000,H1932,OUT!$D$2:$D$11000,"Out",OUT!$E$2:$E$11000,"Bathroom")</f>
        <v>0</v>
      </c>
      <c r="M1932" s="52">
        <f ca="1">SUMIFS(OUT!$F$2:$F$11000,OUT!$H$2:$H$11000,H1932,OUT!$D$2:$D$11000,"Out",OUT!$E$2:$E$11000,"Alfa")</f>
        <v>0</v>
      </c>
      <c r="N1932" s="52" t="e">
        <f>SUMIFS(OUT!$F$2:$F$11000,OUT!$H$2:$H$101007,H1932,OUT!$D$2:$D$11000,"Out",OUT!$E$2:$E$11000,"Jajan")</f>
        <v>#VALUE!</v>
      </c>
      <c r="O1932" s="52">
        <f ca="1">SUMIFS(OUT!$F$2:$F$11000,OUT!$H$2:$H$11000,H1932,OUT!$D$2:$D$11000,"Out",OUT!$E$2:$E$11000,"Kitchen")</f>
        <v>0</v>
      </c>
      <c r="P1932" s="52">
        <f ca="1">SUMIFS(OUT!$F$2:$F$11000,OUT!$H$2:$H$11000,H1932,OUT!$D$2:$D$11000,"Out",OUT!$E$2:$E$11000,"Loandry")</f>
        <v>0</v>
      </c>
      <c r="Q1932" s="52">
        <f ca="1">SUMIFS(OUT!$F$2:$F$11000,OUT!$H$2:$H$11000,H1932,OUT!$D$2:$D$11000,"Out",OUT!$E$2:$E$11000,"Mio")</f>
        <v>0</v>
      </c>
      <c r="R1932" s="52">
        <f ca="1">SUMIFS(OUT!$F$2:$F$11000,OUT!$H$2:$H$11000,H1932,OUT!$D$2:$D$11000,"Out",OUT!$E$2:$E$11000,"Sedekah")</f>
        <v>0</v>
      </c>
      <c r="S1932" s="52">
        <f ca="1">SUMIFS(OUT!$F$2:$F$11000,OUT!$H$2:$H$11000,H1932,OUT!$D$2:$D$11000,"Out",OUT!$E$2:$E$11000,"Zela")</f>
        <v>0</v>
      </c>
      <c r="T1932" s="52">
        <f ca="1">SUMIFS(OUT!$F$2:$F$11000,OUT!$H$2:$H$11000,H1932,OUT!$D$2:$D$11000,"Out",OUT!$E$2:$E$11000,"Iqbal")</f>
        <v>0</v>
      </c>
    </row>
    <row r="1933" spans="7:20" x14ac:dyDescent="0.2">
      <c r="G1933" s="50"/>
      <c r="H1933" s="51" t="str">
        <f t="shared" si="0"/>
        <v/>
      </c>
      <c r="I1933" s="52" t="e">
        <f>SUMIFS(OUT!$F$2:$F$11000,OUT!$H$2:$H$11000,H1933,OUT!$D$2:$D$101007,"In")</f>
        <v>#VALUE!</v>
      </c>
      <c r="J1933" s="52">
        <f ca="1">SUMIFS(OUT!$F$2:$F$11000,OUT!$H$2:$H$11000,H1933,OUT!$D$2:$D$11000,"Out")</f>
        <v>0</v>
      </c>
      <c r="K1933" s="52">
        <f ca="1">SUMIFS(OUT!$F$2:$F$11000,OUT!$H$2:$H$11000,H1933,OUT!$D$2:$D$11000,"Out",OUT!$E$2:$E$11000,"Fix")</f>
        <v>0</v>
      </c>
      <c r="L1933" s="52">
        <f ca="1">SUMIFS(OUT!$F$2:$F$11000,OUT!$H$2:$H$11000,H1933,OUT!$D$2:$D$11000,"Out",OUT!$E$2:$E$11000,"Bathroom")</f>
        <v>0</v>
      </c>
      <c r="M1933" s="52">
        <f ca="1">SUMIFS(OUT!$F$2:$F$11000,OUT!$H$2:$H$11000,H1933,OUT!$D$2:$D$11000,"Out",OUT!$E$2:$E$11000,"Alfa")</f>
        <v>0</v>
      </c>
      <c r="N1933" s="52" t="e">
        <f>SUMIFS(OUT!$F$2:$F$11000,OUT!$H$2:$H$101007,H1933,OUT!$D$2:$D$11000,"Out",OUT!$E$2:$E$11000,"Jajan")</f>
        <v>#VALUE!</v>
      </c>
      <c r="O1933" s="52">
        <f ca="1">SUMIFS(OUT!$F$2:$F$11000,OUT!$H$2:$H$11000,H1933,OUT!$D$2:$D$11000,"Out",OUT!$E$2:$E$11000,"Kitchen")</f>
        <v>0</v>
      </c>
      <c r="P1933" s="52">
        <f ca="1">SUMIFS(OUT!$F$2:$F$11000,OUT!$H$2:$H$11000,H1933,OUT!$D$2:$D$11000,"Out",OUT!$E$2:$E$11000,"Loandry")</f>
        <v>0</v>
      </c>
      <c r="Q1933" s="52">
        <f ca="1">SUMIFS(OUT!$F$2:$F$11000,OUT!$H$2:$H$11000,H1933,OUT!$D$2:$D$11000,"Out",OUT!$E$2:$E$11000,"Mio")</f>
        <v>0</v>
      </c>
      <c r="R1933" s="52">
        <f ca="1">SUMIFS(OUT!$F$2:$F$11000,OUT!$H$2:$H$11000,H1933,OUT!$D$2:$D$11000,"Out",OUT!$E$2:$E$11000,"Sedekah")</f>
        <v>0</v>
      </c>
      <c r="S1933" s="52">
        <f ca="1">SUMIFS(OUT!$F$2:$F$11000,OUT!$H$2:$H$11000,H1933,OUT!$D$2:$D$11000,"Out",OUT!$E$2:$E$11000,"Zela")</f>
        <v>0</v>
      </c>
      <c r="T1933" s="52">
        <f ca="1">SUMIFS(OUT!$F$2:$F$11000,OUT!$H$2:$H$11000,H1933,OUT!$D$2:$D$11000,"Out",OUT!$E$2:$E$11000,"Iqbal")</f>
        <v>0</v>
      </c>
    </row>
    <row r="1934" spans="7:20" x14ac:dyDescent="0.2">
      <c r="G1934" s="50"/>
      <c r="H1934" s="51" t="str">
        <f t="shared" si="0"/>
        <v/>
      </c>
      <c r="I1934" s="52" t="e">
        <f>SUMIFS(OUT!$F$2:$F$11000,OUT!$H$2:$H$11000,H1934,OUT!$D$2:$D$101007,"In")</f>
        <v>#VALUE!</v>
      </c>
      <c r="J1934" s="52">
        <f ca="1">SUMIFS(OUT!$F$2:$F$11000,OUT!$H$2:$H$11000,H1934,OUT!$D$2:$D$11000,"Out")</f>
        <v>0</v>
      </c>
      <c r="K1934" s="52">
        <f ca="1">SUMIFS(OUT!$F$2:$F$11000,OUT!$H$2:$H$11000,H1934,OUT!$D$2:$D$11000,"Out",OUT!$E$2:$E$11000,"Fix")</f>
        <v>0</v>
      </c>
      <c r="L1934" s="52">
        <f ca="1">SUMIFS(OUT!$F$2:$F$11000,OUT!$H$2:$H$11000,H1934,OUT!$D$2:$D$11000,"Out",OUT!$E$2:$E$11000,"Bathroom")</f>
        <v>0</v>
      </c>
      <c r="M1934" s="52">
        <f ca="1">SUMIFS(OUT!$F$2:$F$11000,OUT!$H$2:$H$11000,H1934,OUT!$D$2:$D$11000,"Out",OUT!$E$2:$E$11000,"Alfa")</f>
        <v>0</v>
      </c>
      <c r="N1934" s="52" t="e">
        <f>SUMIFS(OUT!$F$2:$F$11000,OUT!$H$2:$H$101007,H1934,OUT!$D$2:$D$11000,"Out",OUT!$E$2:$E$11000,"Jajan")</f>
        <v>#VALUE!</v>
      </c>
      <c r="O1934" s="52">
        <f ca="1">SUMIFS(OUT!$F$2:$F$11000,OUT!$H$2:$H$11000,H1934,OUT!$D$2:$D$11000,"Out",OUT!$E$2:$E$11000,"Kitchen")</f>
        <v>0</v>
      </c>
      <c r="P1934" s="52">
        <f ca="1">SUMIFS(OUT!$F$2:$F$11000,OUT!$H$2:$H$11000,H1934,OUT!$D$2:$D$11000,"Out",OUT!$E$2:$E$11000,"Loandry")</f>
        <v>0</v>
      </c>
      <c r="Q1934" s="52">
        <f ca="1">SUMIFS(OUT!$F$2:$F$11000,OUT!$H$2:$H$11000,H1934,OUT!$D$2:$D$11000,"Out",OUT!$E$2:$E$11000,"Mio")</f>
        <v>0</v>
      </c>
      <c r="R1934" s="52">
        <f ca="1">SUMIFS(OUT!$F$2:$F$11000,OUT!$H$2:$H$11000,H1934,OUT!$D$2:$D$11000,"Out",OUT!$E$2:$E$11000,"Sedekah")</f>
        <v>0</v>
      </c>
      <c r="S1934" s="52">
        <f ca="1">SUMIFS(OUT!$F$2:$F$11000,OUT!$H$2:$H$11000,H1934,OUT!$D$2:$D$11000,"Out",OUT!$E$2:$E$11000,"Zela")</f>
        <v>0</v>
      </c>
      <c r="T1934" s="52">
        <f ca="1">SUMIFS(OUT!$F$2:$F$11000,OUT!$H$2:$H$11000,H1934,OUT!$D$2:$D$11000,"Out",OUT!$E$2:$E$11000,"Iqbal")</f>
        <v>0</v>
      </c>
    </row>
    <row r="1935" spans="7:20" x14ac:dyDescent="0.2">
      <c r="G1935" s="50"/>
      <c r="H1935" s="51" t="str">
        <f t="shared" si="0"/>
        <v/>
      </c>
      <c r="I1935" s="52" t="e">
        <f>SUMIFS(OUT!$F$2:$F$11000,OUT!$H$2:$H$11000,H1935,OUT!$D$2:$D$101007,"In")</f>
        <v>#VALUE!</v>
      </c>
      <c r="J1935" s="52">
        <f ca="1">SUMIFS(OUT!$F$2:$F$11000,OUT!$H$2:$H$11000,H1935,OUT!$D$2:$D$11000,"Out")</f>
        <v>0</v>
      </c>
      <c r="K1935" s="52">
        <f ca="1">SUMIFS(OUT!$F$2:$F$11000,OUT!$H$2:$H$11000,H1935,OUT!$D$2:$D$11000,"Out",OUT!$E$2:$E$11000,"Fix")</f>
        <v>0</v>
      </c>
      <c r="L1935" s="52">
        <f ca="1">SUMIFS(OUT!$F$2:$F$11000,OUT!$H$2:$H$11000,H1935,OUT!$D$2:$D$11000,"Out",OUT!$E$2:$E$11000,"Bathroom")</f>
        <v>0</v>
      </c>
      <c r="M1935" s="52">
        <f ca="1">SUMIFS(OUT!$F$2:$F$11000,OUT!$H$2:$H$11000,H1935,OUT!$D$2:$D$11000,"Out",OUT!$E$2:$E$11000,"Alfa")</f>
        <v>0</v>
      </c>
      <c r="N1935" s="52" t="e">
        <f>SUMIFS(OUT!$F$2:$F$11000,OUT!$H$2:$H$101007,H1935,OUT!$D$2:$D$11000,"Out",OUT!$E$2:$E$11000,"Jajan")</f>
        <v>#VALUE!</v>
      </c>
      <c r="O1935" s="52">
        <f ca="1">SUMIFS(OUT!$F$2:$F$11000,OUT!$H$2:$H$11000,H1935,OUT!$D$2:$D$11000,"Out",OUT!$E$2:$E$11000,"Kitchen")</f>
        <v>0</v>
      </c>
      <c r="P1935" s="52">
        <f ca="1">SUMIFS(OUT!$F$2:$F$11000,OUT!$H$2:$H$11000,H1935,OUT!$D$2:$D$11000,"Out",OUT!$E$2:$E$11000,"Loandry")</f>
        <v>0</v>
      </c>
      <c r="Q1935" s="52">
        <f ca="1">SUMIFS(OUT!$F$2:$F$11000,OUT!$H$2:$H$11000,H1935,OUT!$D$2:$D$11000,"Out",OUT!$E$2:$E$11000,"Mio")</f>
        <v>0</v>
      </c>
      <c r="R1935" s="52">
        <f ca="1">SUMIFS(OUT!$F$2:$F$11000,OUT!$H$2:$H$11000,H1935,OUT!$D$2:$D$11000,"Out",OUT!$E$2:$E$11000,"Sedekah")</f>
        <v>0</v>
      </c>
      <c r="S1935" s="52">
        <f ca="1">SUMIFS(OUT!$F$2:$F$11000,OUT!$H$2:$H$11000,H1935,OUT!$D$2:$D$11000,"Out",OUT!$E$2:$E$11000,"Zela")</f>
        <v>0</v>
      </c>
      <c r="T1935" s="52">
        <f ca="1">SUMIFS(OUT!$F$2:$F$11000,OUT!$H$2:$H$11000,H1935,OUT!$D$2:$D$11000,"Out",OUT!$E$2:$E$11000,"Iqbal")</f>
        <v>0</v>
      </c>
    </row>
    <row r="1936" spans="7:20" x14ac:dyDescent="0.2">
      <c r="G1936" s="50"/>
      <c r="H1936" s="51" t="str">
        <f t="shared" si="0"/>
        <v/>
      </c>
      <c r="I1936" s="52" t="e">
        <f>SUMIFS(OUT!$F$2:$F$11000,OUT!$H$2:$H$11000,H1936,OUT!$D$2:$D$101007,"In")</f>
        <v>#VALUE!</v>
      </c>
      <c r="J1936" s="52">
        <f ca="1">SUMIFS(OUT!$F$2:$F$11000,OUT!$H$2:$H$11000,H1936,OUT!$D$2:$D$11000,"Out")</f>
        <v>0</v>
      </c>
      <c r="K1936" s="52">
        <f ca="1">SUMIFS(OUT!$F$2:$F$11000,OUT!$H$2:$H$11000,H1936,OUT!$D$2:$D$11000,"Out",OUT!$E$2:$E$11000,"Fix")</f>
        <v>0</v>
      </c>
      <c r="L1936" s="52">
        <f ca="1">SUMIFS(OUT!$F$2:$F$11000,OUT!$H$2:$H$11000,H1936,OUT!$D$2:$D$11000,"Out",OUT!$E$2:$E$11000,"Bathroom")</f>
        <v>0</v>
      </c>
      <c r="M1936" s="52">
        <f ca="1">SUMIFS(OUT!$F$2:$F$11000,OUT!$H$2:$H$11000,H1936,OUT!$D$2:$D$11000,"Out",OUT!$E$2:$E$11000,"Alfa")</f>
        <v>0</v>
      </c>
      <c r="N1936" s="52" t="e">
        <f>SUMIFS(OUT!$F$2:$F$11000,OUT!$H$2:$H$101007,H1936,OUT!$D$2:$D$11000,"Out",OUT!$E$2:$E$11000,"Jajan")</f>
        <v>#VALUE!</v>
      </c>
      <c r="O1936" s="52">
        <f ca="1">SUMIFS(OUT!$F$2:$F$11000,OUT!$H$2:$H$11000,H1936,OUT!$D$2:$D$11000,"Out",OUT!$E$2:$E$11000,"Kitchen")</f>
        <v>0</v>
      </c>
      <c r="P1936" s="52">
        <f ca="1">SUMIFS(OUT!$F$2:$F$11000,OUT!$H$2:$H$11000,H1936,OUT!$D$2:$D$11000,"Out",OUT!$E$2:$E$11000,"Loandry")</f>
        <v>0</v>
      </c>
      <c r="Q1936" s="52">
        <f ca="1">SUMIFS(OUT!$F$2:$F$11000,OUT!$H$2:$H$11000,H1936,OUT!$D$2:$D$11000,"Out",OUT!$E$2:$E$11000,"Mio")</f>
        <v>0</v>
      </c>
      <c r="R1936" s="52">
        <f ca="1">SUMIFS(OUT!$F$2:$F$11000,OUT!$H$2:$H$11000,H1936,OUT!$D$2:$D$11000,"Out",OUT!$E$2:$E$11000,"Sedekah")</f>
        <v>0</v>
      </c>
      <c r="S1936" s="52">
        <f ca="1">SUMIFS(OUT!$F$2:$F$11000,OUT!$H$2:$H$11000,H1936,OUT!$D$2:$D$11000,"Out",OUT!$E$2:$E$11000,"Zela")</f>
        <v>0</v>
      </c>
      <c r="T1936" s="52">
        <f ca="1">SUMIFS(OUT!$F$2:$F$11000,OUT!$H$2:$H$11000,H1936,OUT!$D$2:$D$11000,"Out",OUT!$E$2:$E$11000,"Iqbal")</f>
        <v>0</v>
      </c>
    </row>
    <row r="1937" spans="7:20" x14ac:dyDescent="0.2">
      <c r="G1937" s="50"/>
      <c r="H1937" s="51" t="str">
        <f t="shared" si="0"/>
        <v/>
      </c>
      <c r="I1937" s="52" t="e">
        <f>SUMIFS(OUT!$F$2:$F$11000,OUT!$H$2:$H$11000,H1937,OUT!$D$2:$D$101007,"In")</f>
        <v>#VALUE!</v>
      </c>
      <c r="J1937" s="52">
        <f ca="1">SUMIFS(OUT!$F$2:$F$11000,OUT!$H$2:$H$11000,H1937,OUT!$D$2:$D$11000,"Out")</f>
        <v>0</v>
      </c>
      <c r="K1937" s="52">
        <f ca="1">SUMIFS(OUT!$F$2:$F$11000,OUT!$H$2:$H$11000,H1937,OUT!$D$2:$D$11000,"Out",OUT!$E$2:$E$11000,"Fix")</f>
        <v>0</v>
      </c>
      <c r="L1937" s="52">
        <f ca="1">SUMIFS(OUT!$F$2:$F$11000,OUT!$H$2:$H$11000,H1937,OUT!$D$2:$D$11000,"Out",OUT!$E$2:$E$11000,"Bathroom")</f>
        <v>0</v>
      </c>
      <c r="M1937" s="52">
        <f ca="1">SUMIFS(OUT!$F$2:$F$11000,OUT!$H$2:$H$11000,H1937,OUT!$D$2:$D$11000,"Out",OUT!$E$2:$E$11000,"Alfa")</f>
        <v>0</v>
      </c>
      <c r="N1937" s="52" t="e">
        <f>SUMIFS(OUT!$F$2:$F$11000,OUT!$H$2:$H$101007,H1937,OUT!$D$2:$D$11000,"Out",OUT!$E$2:$E$11000,"Jajan")</f>
        <v>#VALUE!</v>
      </c>
      <c r="O1937" s="52">
        <f ca="1">SUMIFS(OUT!$F$2:$F$11000,OUT!$H$2:$H$11000,H1937,OUT!$D$2:$D$11000,"Out",OUT!$E$2:$E$11000,"Kitchen")</f>
        <v>0</v>
      </c>
      <c r="P1937" s="52">
        <f ca="1">SUMIFS(OUT!$F$2:$F$11000,OUT!$H$2:$H$11000,H1937,OUT!$D$2:$D$11000,"Out",OUT!$E$2:$E$11000,"Loandry")</f>
        <v>0</v>
      </c>
      <c r="Q1937" s="52">
        <f ca="1">SUMIFS(OUT!$F$2:$F$11000,OUT!$H$2:$H$11000,H1937,OUT!$D$2:$D$11000,"Out",OUT!$E$2:$E$11000,"Mio")</f>
        <v>0</v>
      </c>
      <c r="R1937" s="52">
        <f ca="1">SUMIFS(OUT!$F$2:$F$11000,OUT!$H$2:$H$11000,H1937,OUT!$D$2:$D$11000,"Out",OUT!$E$2:$E$11000,"Sedekah")</f>
        <v>0</v>
      </c>
      <c r="S1937" s="52">
        <f ca="1">SUMIFS(OUT!$F$2:$F$11000,OUT!$H$2:$H$11000,H1937,OUT!$D$2:$D$11000,"Out",OUT!$E$2:$E$11000,"Zela")</f>
        <v>0</v>
      </c>
      <c r="T1937" s="52">
        <f ca="1">SUMIFS(OUT!$F$2:$F$11000,OUT!$H$2:$H$11000,H1937,OUT!$D$2:$D$11000,"Out",OUT!$E$2:$E$11000,"Iqbal")</f>
        <v>0</v>
      </c>
    </row>
    <row r="1938" spans="7:20" x14ac:dyDescent="0.2">
      <c r="G1938" s="50"/>
      <c r="H1938" s="51" t="str">
        <f t="shared" si="0"/>
        <v/>
      </c>
      <c r="I1938" s="52" t="e">
        <f>SUMIFS(OUT!$F$2:$F$11000,OUT!$H$2:$H$11000,H1938,OUT!$D$2:$D$101007,"In")</f>
        <v>#VALUE!</v>
      </c>
      <c r="J1938" s="52">
        <f ca="1">SUMIFS(OUT!$F$2:$F$11000,OUT!$H$2:$H$11000,H1938,OUT!$D$2:$D$11000,"Out")</f>
        <v>0</v>
      </c>
      <c r="K1938" s="52">
        <f ca="1">SUMIFS(OUT!$F$2:$F$11000,OUT!$H$2:$H$11000,H1938,OUT!$D$2:$D$11000,"Out",OUT!$E$2:$E$11000,"Fix")</f>
        <v>0</v>
      </c>
      <c r="L1938" s="52">
        <f ca="1">SUMIFS(OUT!$F$2:$F$11000,OUT!$H$2:$H$11000,H1938,OUT!$D$2:$D$11000,"Out",OUT!$E$2:$E$11000,"Bathroom")</f>
        <v>0</v>
      </c>
      <c r="M1938" s="52">
        <f ca="1">SUMIFS(OUT!$F$2:$F$11000,OUT!$H$2:$H$11000,H1938,OUT!$D$2:$D$11000,"Out",OUT!$E$2:$E$11000,"Alfa")</f>
        <v>0</v>
      </c>
      <c r="N1938" s="52" t="e">
        <f>SUMIFS(OUT!$F$2:$F$11000,OUT!$H$2:$H$101007,H1938,OUT!$D$2:$D$11000,"Out",OUT!$E$2:$E$11000,"Jajan")</f>
        <v>#VALUE!</v>
      </c>
      <c r="O1938" s="52">
        <f ca="1">SUMIFS(OUT!$F$2:$F$11000,OUT!$H$2:$H$11000,H1938,OUT!$D$2:$D$11000,"Out",OUT!$E$2:$E$11000,"Kitchen")</f>
        <v>0</v>
      </c>
      <c r="P1938" s="52">
        <f ca="1">SUMIFS(OUT!$F$2:$F$11000,OUT!$H$2:$H$11000,H1938,OUT!$D$2:$D$11000,"Out",OUT!$E$2:$E$11000,"Loandry")</f>
        <v>0</v>
      </c>
      <c r="Q1938" s="52">
        <f ca="1">SUMIFS(OUT!$F$2:$F$11000,OUT!$H$2:$H$11000,H1938,OUT!$D$2:$D$11000,"Out",OUT!$E$2:$E$11000,"Mio")</f>
        <v>0</v>
      </c>
      <c r="R1938" s="52">
        <f ca="1">SUMIFS(OUT!$F$2:$F$11000,OUT!$H$2:$H$11000,H1938,OUT!$D$2:$D$11000,"Out",OUT!$E$2:$E$11000,"Sedekah")</f>
        <v>0</v>
      </c>
      <c r="S1938" s="52">
        <f ca="1">SUMIFS(OUT!$F$2:$F$11000,OUT!$H$2:$H$11000,H1938,OUT!$D$2:$D$11000,"Out",OUT!$E$2:$E$11000,"Zela")</f>
        <v>0</v>
      </c>
      <c r="T1938" s="52">
        <f ca="1">SUMIFS(OUT!$F$2:$F$11000,OUT!$H$2:$H$11000,H1938,OUT!$D$2:$D$11000,"Out",OUT!$E$2:$E$11000,"Iqbal")</f>
        <v>0</v>
      </c>
    </row>
    <row r="1939" spans="7:20" x14ac:dyDescent="0.2">
      <c r="G1939" s="50"/>
      <c r="H1939" s="51" t="str">
        <f t="shared" si="0"/>
        <v/>
      </c>
      <c r="I1939" s="52" t="e">
        <f>SUMIFS(OUT!$F$2:$F$11000,OUT!$H$2:$H$11000,H1939,OUT!$D$2:$D$101007,"In")</f>
        <v>#VALUE!</v>
      </c>
      <c r="J1939" s="52">
        <f ca="1">SUMIFS(OUT!$F$2:$F$11000,OUT!$H$2:$H$11000,H1939,OUT!$D$2:$D$11000,"Out")</f>
        <v>0</v>
      </c>
      <c r="K1939" s="52">
        <f ca="1">SUMIFS(OUT!$F$2:$F$11000,OUT!$H$2:$H$11000,H1939,OUT!$D$2:$D$11000,"Out",OUT!$E$2:$E$11000,"Fix")</f>
        <v>0</v>
      </c>
      <c r="L1939" s="52">
        <f ca="1">SUMIFS(OUT!$F$2:$F$11000,OUT!$H$2:$H$11000,H1939,OUT!$D$2:$D$11000,"Out",OUT!$E$2:$E$11000,"Bathroom")</f>
        <v>0</v>
      </c>
      <c r="M1939" s="52">
        <f ca="1">SUMIFS(OUT!$F$2:$F$11000,OUT!$H$2:$H$11000,H1939,OUT!$D$2:$D$11000,"Out",OUT!$E$2:$E$11000,"Alfa")</f>
        <v>0</v>
      </c>
      <c r="N1939" s="52" t="e">
        <f>SUMIFS(OUT!$F$2:$F$11000,OUT!$H$2:$H$101007,H1939,OUT!$D$2:$D$11000,"Out",OUT!$E$2:$E$11000,"Jajan")</f>
        <v>#VALUE!</v>
      </c>
      <c r="O1939" s="52">
        <f ca="1">SUMIFS(OUT!$F$2:$F$11000,OUT!$H$2:$H$11000,H1939,OUT!$D$2:$D$11000,"Out",OUT!$E$2:$E$11000,"Kitchen")</f>
        <v>0</v>
      </c>
      <c r="P1939" s="52">
        <f ca="1">SUMIFS(OUT!$F$2:$F$11000,OUT!$H$2:$H$11000,H1939,OUT!$D$2:$D$11000,"Out",OUT!$E$2:$E$11000,"Loandry")</f>
        <v>0</v>
      </c>
      <c r="Q1939" s="52">
        <f ca="1">SUMIFS(OUT!$F$2:$F$11000,OUT!$H$2:$H$11000,H1939,OUT!$D$2:$D$11000,"Out",OUT!$E$2:$E$11000,"Mio")</f>
        <v>0</v>
      </c>
      <c r="R1939" s="52">
        <f ca="1">SUMIFS(OUT!$F$2:$F$11000,OUT!$H$2:$H$11000,H1939,OUT!$D$2:$D$11000,"Out",OUT!$E$2:$E$11000,"Sedekah")</f>
        <v>0</v>
      </c>
      <c r="S1939" s="52">
        <f ca="1">SUMIFS(OUT!$F$2:$F$11000,OUT!$H$2:$H$11000,H1939,OUT!$D$2:$D$11000,"Out",OUT!$E$2:$E$11000,"Zela")</f>
        <v>0</v>
      </c>
      <c r="T1939" s="52">
        <f ca="1">SUMIFS(OUT!$F$2:$F$11000,OUT!$H$2:$H$11000,H1939,OUT!$D$2:$D$11000,"Out",OUT!$E$2:$E$11000,"Iqbal")</f>
        <v>0</v>
      </c>
    </row>
    <row r="1940" spans="7:20" x14ac:dyDescent="0.2">
      <c r="G1940" s="50"/>
      <c r="H1940" s="51" t="str">
        <f t="shared" si="0"/>
        <v/>
      </c>
      <c r="I1940" s="52" t="e">
        <f>SUMIFS(OUT!$F$2:$F$11000,OUT!$H$2:$H$11000,H1940,OUT!$D$2:$D$101007,"In")</f>
        <v>#VALUE!</v>
      </c>
      <c r="J1940" s="52">
        <f ca="1">SUMIFS(OUT!$F$2:$F$11000,OUT!$H$2:$H$11000,H1940,OUT!$D$2:$D$11000,"Out")</f>
        <v>0</v>
      </c>
      <c r="K1940" s="52">
        <f ca="1">SUMIFS(OUT!$F$2:$F$11000,OUT!$H$2:$H$11000,H1940,OUT!$D$2:$D$11000,"Out",OUT!$E$2:$E$11000,"Fix")</f>
        <v>0</v>
      </c>
      <c r="L1940" s="52">
        <f ca="1">SUMIFS(OUT!$F$2:$F$11000,OUT!$H$2:$H$11000,H1940,OUT!$D$2:$D$11000,"Out",OUT!$E$2:$E$11000,"Bathroom")</f>
        <v>0</v>
      </c>
      <c r="M1940" s="52">
        <f ca="1">SUMIFS(OUT!$F$2:$F$11000,OUT!$H$2:$H$11000,H1940,OUT!$D$2:$D$11000,"Out",OUT!$E$2:$E$11000,"Alfa")</f>
        <v>0</v>
      </c>
      <c r="N1940" s="52" t="e">
        <f>SUMIFS(OUT!$F$2:$F$11000,OUT!$H$2:$H$101007,H1940,OUT!$D$2:$D$11000,"Out",OUT!$E$2:$E$11000,"Jajan")</f>
        <v>#VALUE!</v>
      </c>
      <c r="O1940" s="52">
        <f ca="1">SUMIFS(OUT!$F$2:$F$11000,OUT!$H$2:$H$11000,H1940,OUT!$D$2:$D$11000,"Out",OUT!$E$2:$E$11000,"Kitchen")</f>
        <v>0</v>
      </c>
      <c r="P1940" s="52">
        <f ca="1">SUMIFS(OUT!$F$2:$F$11000,OUT!$H$2:$H$11000,H1940,OUT!$D$2:$D$11000,"Out",OUT!$E$2:$E$11000,"Loandry")</f>
        <v>0</v>
      </c>
      <c r="Q1940" s="52">
        <f ca="1">SUMIFS(OUT!$F$2:$F$11000,OUT!$H$2:$H$11000,H1940,OUT!$D$2:$D$11000,"Out",OUT!$E$2:$E$11000,"Mio")</f>
        <v>0</v>
      </c>
      <c r="R1940" s="52">
        <f ca="1">SUMIFS(OUT!$F$2:$F$11000,OUT!$H$2:$H$11000,H1940,OUT!$D$2:$D$11000,"Out",OUT!$E$2:$E$11000,"Sedekah")</f>
        <v>0</v>
      </c>
      <c r="S1940" s="52">
        <f ca="1">SUMIFS(OUT!$F$2:$F$11000,OUT!$H$2:$H$11000,H1940,OUT!$D$2:$D$11000,"Out",OUT!$E$2:$E$11000,"Zela")</f>
        <v>0</v>
      </c>
      <c r="T1940" s="52">
        <f ca="1">SUMIFS(OUT!$F$2:$F$11000,OUT!$H$2:$H$11000,H1940,OUT!$D$2:$D$11000,"Out",OUT!$E$2:$E$11000,"Iqbal")</f>
        <v>0</v>
      </c>
    </row>
    <row r="1941" spans="7:20" x14ac:dyDescent="0.2">
      <c r="G1941" s="50"/>
      <c r="H1941" s="51" t="str">
        <f t="shared" si="0"/>
        <v/>
      </c>
      <c r="I1941" s="52" t="e">
        <f>SUMIFS(OUT!$F$2:$F$11000,OUT!$H$2:$H$11000,H1941,OUT!$D$2:$D$101007,"In")</f>
        <v>#VALUE!</v>
      </c>
      <c r="J1941" s="52">
        <f ca="1">SUMIFS(OUT!$F$2:$F$11000,OUT!$H$2:$H$11000,H1941,OUT!$D$2:$D$11000,"Out")</f>
        <v>0</v>
      </c>
      <c r="K1941" s="52">
        <f ca="1">SUMIFS(OUT!$F$2:$F$11000,OUT!$H$2:$H$11000,H1941,OUT!$D$2:$D$11000,"Out",OUT!$E$2:$E$11000,"Fix")</f>
        <v>0</v>
      </c>
      <c r="L1941" s="52">
        <f ca="1">SUMIFS(OUT!$F$2:$F$11000,OUT!$H$2:$H$11000,H1941,OUT!$D$2:$D$11000,"Out",OUT!$E$2:$E$11000,"Bathroom")</f>
        <v>0</v>
      </c>
      <c r="M1941" s="52">
        <f ca="1">SUMIFS(OUT!$F$2:$F$11000,OUT!$H$2:$H$11000,H1941,OUT!$D$2:$D$11000,"Out",OUT!$E$2:$E$11000,"Alfa")</f>
        <v>0</v>
      </c>
      <c r="N1941" s="52" t="e">
        <f>SUMIFS(OUT!$F$2:$F$11000,OUT!$H$2:$H$101007,H1941,OUT!$D$2:$D$11000,"Out",OUT!$E$2:$E$11000,"Jajan")</f>
        <v>#VALUE!</v>
      </c>
      <c r="O1941" s="52">
        <f ca="1">SUMIFS(OUT!$F$2:$F$11000,OUT!$H$2:$H$11000,H1941,OUT!$D$2:$D$11000,"Out",OUT!$E$2:$E$11000,"Kitchen")</f>
        <v>0</v>
      </c>
      <c r="P1941" s="52">
        <f ca="1">SUMIFS(OUT!$F$2:$F$11000,OUT!$H$2:$H$11000,H1941,OUT!$D$2:$D$11000,"Out",OUT!$E$2:$E$11000,"Loandry")</f>
        <v>0</v>
      </c>
      <c r="Q1941" s="52">
        <f ca="1">SUMIFS(OUT!$F$2:$F$11000,OUT!$H$2:$H$11000,H1941,OUT!$D$2:$D$11000,"Out",OUT!$E$2:$E$11000,"Mio")</f>
        <v>0</v>
      </c>
      <c r="R1941" s="52">
        <f ca="1">SUMIFS(OUT!$F$2:$F$11000,OUT!$H$2:$H$11000,H1941,OUT!$D$2:$D$11000,"Out",OUT!$E$2:$E$11000,"Sedekah")</f>
        <v>0</v>
      </c>
      <c r="S1941" s="52">
        <f ca="1">SUMIFS(OUT!$F$2:$F$11000,OUT!$H$2:$H$11000,H1941,OUT!$D$2:$D$11000,"Out",OUT!$E$2:$E$11000,"Zela")</f>
        <v>0</v>
      </c>
      <c r="T1941" s="52">
        <f ca="1">SUMIFS(OUT!$F$2:$F$11000,OUT!$H$2:$H$11000,H1941,OUT!$D$2:$D$11000,"Out",OUT!$E$2:$E$11000,"Iqbal")</f>
        <v>0</v>
      </c>
    </row>
    <row r="1942" spans="7:20" x14ac:dyDescent="0.2">
      <c r="G1942" s="50"/>
      <c r="H1942" s="51" t="str">
        <f t="shared" si="0"/>
        <v/>
      </c>
      <c r="I1942" s="52" t="e">
        <f>SUMIFS(OUT!$F$2:$F$11000,OUT!$H$2:$H$11000,H1942,OUT!$D$2:$D$101007,"In")</f>
        <v>#VALUE!</v>
      </c>
      <c r="J1942" s="52">
        <f ca="1">SUMIFS(OUT!$F$2:$F$11000,OUT!$H$2:$H$11000,H1942,OUT!$D$2:$D$11000,"Out")</f>
        <v>0</v>
      </c>
      <c r="K1942" s="52">
        <f ca="1">SUMIFS(OUT!$F$2:$F$11000,OUT!$H$2:$H$11000,H1942,OUT!$D$2:$D$11000,"Out",OUT!$E$2:$E$11000,"Fix")</f>
        <v>0</v>
      </c>
      <c r="L1942" s="52">
        <f ca="1">SUMIFS(OUT!$F$2:$F$11000,OUT!$H$2:$H$11000,H1942,OUT!$D$2:$D$11000,"Out",OUT!$E$2:$E$11000,"Bathroom")</f>
        <v>0</v>
      </c>
      <c r="M1942" s="52">
        <f ca="1">SUMIFS(OUT!$F$2:$F$11000,OUT!$H$2:$H$11000,H1942,OUT!$D$2:$D$11000,"Out",OUT!$E$2:$E$11000,"Alfa")</f>
        <v>0</v>
      </c>
      <c r="N1942" s="52" t="e">
        <f>SUMIFS(OUT!$F$2:$F$11000,OUT!$H$2:$H$101007,H1942,OUT!$D$2:$D$11000,"Out",OUT!$E$2:$E$11000,"Jajan")</f>
        <v>#VALUE!</v>
      </c>
      <c r="O1942" s="52">
        <f ca="1">SUMIFS(OUT!$F$2:$F$11000,OUT!$H$2:$H$11000,H1942,OUT!$D$2:$D$11000,"Out",OUT!$E$2:$E$11000,"Kitchen")</f>
        <v>0</v>
      </c>
      <c r="P1942" s="52">
        <f ca="1">SUMIFS(OUT!$F$2:$F$11000,OUT!$H$2:$H$11000,H1942,OUT!$D$2:$D$11000,"Out",OUT!$E$2:$E$11000,"Loandry")</f>
        <v>0</v>
      </c>
      <c r="Q1942" s="52">
        <f ca="1">SUMIFS(OUT!$F$2:$F$11000,OUT!$H$2:$H$11000,H1942,OUT!$D$2:$D$11000,"Out",OUT!$E$2:$E$11000,"Mio")</f>
        <v>0</v>
      </c>
      <c r="R1942" s="52">
        <f ca="1">SUMIFS(OUT!$F$2:$F$11000,OUT!$H$2:$H$11000,H1942,OUT!$D$2:$D$11000,"Out",OUT!$E$2:$E$11000,"Sedekah")</f>
        <v>0</v>
      </c>
      <c r="S1942" s="52">
        <f ca="1">SUMIFS(OUT!$F$2:$F$11000,OUT!$H$2:$H$11000,H1942,OUT!$D$2:$D$11000,"Out",OUT!$E$2:$E$11000,"Zela")</f>
        <v>0</v>
      </c>
      <c r="T1942" s="52">
        <f ca="1">SUMIFS(OUT!$F$2:$F$11000,OUT!$H$2:$H$11000,H1942,OUT!$D$2:$D$11000,"Out",OUT!$E$2:$E$11000,"Iqbal")</f>
        <v>0</v>
      </c>
    </row>
    <row r="1943" spans="7:20" x14ac:dyDescent="0.2">
      <c r="G1943" s="50"/>
      <c r="H1943" s="51" t="str">
        <f t="shared" si="0"/>
        <v/>
      </c>
      <c r="I1943" s="52" t="e">
        <f>SUMIFS(OUT!$F$2:$F$11000,OUT!$H$2:$H$11000,H1943,OUT!$D$2:$D$101007,"In")</f>
        <v>#VALUE!</v>
      </c>
      <c r="J1943" s="52">
        <f ca="1">SUMIFS(OUT!$F$2:$F$11000,OUT!$H$2:$H$11000,H1943,OUT!$D$2:$D$11000,"Out")</f>
        <v>0</v>
      </c>
      <c r="K1943" s="52">
        <f ca="1">SUMIFS(OUT!$F$2:$F$11000,OUT!$H$2:$H$11000,H1943,OUT!$D$2:$D$11000,"Out",OUT!$E$2:$E$11000,"Fix")</f>
        <v>0</v>
      </c>
      <c r="L1943" s="52">
        <f ca="1">SUMIFS(OUT!$F$2:$F$11000,OUT!$H$2:$H$11000,H1943,OUT!$D$2:$D$11000,"Out",OUT!$E$2:$E$11000,"Bathroom")</f>
        <v>0</v>
      </c>
      <c r="M1943" s="52">
        <f ca="1">SUMIFS(OUT!$F$2:$F$11000,OUT!$H$2:$H$11000,H1943,OUT!$D$2:$D$11000,"Out",OUT!$E$2:$E$11000,"Alfa")</f>
        <v>0</v>
      </c>
      <c r="N1943" s="52" t="e">
        <f>SUMIFS(OUT!$F$2:$F$11000,OUT!$H$2:$H$101007,H1943,OUT!$D$2:$D$11000,"Out",OUT!$E$2:$E$11000,"Jajan")</f>
        <v>#VALUE!</v>
      </c>
      <c r="O1943" s="52">
        <f ca="1">SUMIFS(OUT!$F$2:$F$11000,OUT!$H$2:$H$11000,H1943,OUT!$D$2:$D$11000,"Out",OUT!$E$2:$E$11000,"Kitchen")</f>
        <v>0</v>
      </c>
      <c r="P1943" s="52">
        <f ca="1">SUMIFS(OUT!$F$2:$F$11000,OUT!$H$2:$H$11000,H1943,OUT!$D$2:$D$11000,"Out",OUT!$E$2:$E$11000,"Loandry")</f>
        <v>0</v>
      </c>
      <c r="Q1943" s="52">
        <f ca="1">SUMIFS(OUT!$F$2:$F$11000,OUT!$H$2:$H$11000,H1943,OUT!$D$2:$D$11000,"Out",OUT!$E$2:$E$11000,"Mio")</f>
        <v>0</v>
      </c>
      <c r="R1943" s="52">
        <f ca="1">SUMIFS(OUT!$F$2:$F$11000,OUT!$H$2:$H$11000,H1943,OUT!$D$2:$D$11000,"Out",OUT!$E$2:$E$11000,"Sedekah")</f>
        <v>0</v>
      </c>
      <c r="S1943" s="52">
        <f ca="1">SUMIFS(OUT!$F$2:$F$11000,OUT!$H$2:$H$11000,H1943,OUT!$D$2:$D$11000,"Out",OUT!$E$2:$E$11000,"Zela")</f>
        <v>0</v>
      </c>
      <c r="T1943" s="52">
        <f ca="1">SUMIFS(OUT!$F$2:$F$11000,OUT!$H$2:$H$11000,H1943,OUT!$D$2:$D$11000,"Out",OUT!$E$2:$E$11000,"Iqbal")</f>
        <v>0</v>
      </c>
    </row>
    <row r="1944" spans="7:20" x14ac:dyDescent="0.2">
      <c r="G1944" s="50"/>
      <c r="H1944" s="51" t="str">
        <f t="shared" si="0"/>
        <v/>
      </c>
      <c r="I1944" s="52" t="e">
        <f>SUMIFS(OUT!$F$2:$F$11000,OUT!$H$2:$H$11000,H1944,OUT!$D$2:$D$101007,"In")</f>
        <v>#VALUE!</v>
      </c>
      <c r="J1944" s="52">
        <f ca="1">SUMIFS(OUT!$F$2:$F$11000,OUT!$H$2:$H$11000,H1944,OUT!$D$2:$D$11000,"Out")</f>
        <v>0</v>
      </c>
      <c r="K1944" s="52">
        <f ca="1">SUMIFS(OUT!$F$2:$F$11000,OUT!$H$2:$H$11000,H1944,OUT!$D$2:$D$11000,"Out",OUT!$E$2:$E$11000,"Fix")</f>
        <v>0</v>
      </c>
      <c r="L1944" s="52">
        <f ca="1">SUMIFS(OUT!$F$2:$F$11000,OUT!$H$2:$H$11000,H1944,OUT!$D$2:$D$11000,"Out",OUT!$E$2:$E$11000,"Bathroom")</f>
        <v>0</v>
      </c>
      <c r="M1944" s="52">
        <f ca="1">SUMIFS(OUT!$F$2:$F$11000,OUT!$H$2:$H$11000,H1944,OUT!$D$2:$D$11000,"Out",OUT!$E$2:$E$11000,"Alfa")</f>
        <v>0</v>
      </c>
      <c r="N1944" s="52" t="e">
        <f>SUMIFS(OUT!$F$2:$F$11000,OUT!$H$2:$H$101007,H1944,OUT!$D$2:$D$11000,"Out",OUT!$E$2:$E$11000,"Jajan")</f>
        <v>#VALUE!</v>
      </c>
      <c r="O1944" s="52">
        <f ca="1">SUMIFS(OUT!$F$2:$F$11000,OUT!$H$2:$H$11000,H1944,OUT!$D$2:$D$11000,"Out",OUT!$E$2:$E$11000,"Kitchen")</f>
        <v>0</v>
      </c>
      <c r="P1944" s="52">
        <f ca="1">SUMIFS(OUT!$F$2:$F$11000,OUT!$H$2:$H$11000,H1944,OUT!$D$2:$D$11000,"Out",OUT!$E$2:$E$11000,"Loandry")</f>
        <v>0</v>
      </c>
      <c r="Q1944" s="52">
        <f ca="1">SUMIFS(OUT!$F$2:$F$11000,OUT!$H$2:$H$11000,H1944,OUT!$D$2:$D$11000,"Out",OUT!$E$2:$E$11000,"Mio")</f>
        <v>0</v>
      </c>
      <c r="R1944" s="52">
        <f ca="1">SUMIFS(OUT!$F$2:$F$11000,OUT!$H$2:$H$11000,H1944,OUT!$D$2:$D$11000,"Out",OUT!$E$2:$E$11000,"Sedekah")</f>
        <v>0</v>
      </c>
      <c r="S1944" s="52">
        <f ca="1">SUMIFS(OUT!$F$2:$F$11000,OUT!$H$2:$H$11000,H1944,OUT!$D$2:$D$11000,"Out",OUT!$E$2:$E$11000,"Zela")</f>
        <v>0</v>
      </c>
      <c r="T1944" s="52">
        <f ca="1">SUMIFS(OUT!$F$2:$F$11000,OUT!$H$2:$H$11000,H1944,OUT!$D$2:$D$11000,"Out",OUT!$E$2:$E$11000,"Iqbal")</f>
        <v>0</v>
      </c>
    </row>
    <row r="1945" spans="7:20" x14ac:dyDescent="0.2">
      <c r="G1945" s="50"/>
      <c r="H1945" s="51" t="str">
        <f t="shared" si="0"/>
        <v/>
      </c>
      <c r="I1945" s="52" t="e">
        <f>SUMIFS(OUT!$F$2:$F$11000,OUT!$H$2:$H$11000,H1945,OUT!$D$2:$D$101007,"In")</f>
        <v>#VALUE!</v>
      </c>
      <c r="J1945" s="52">
        <f ca="1">SUMIFS(OUT!$F$2:$F$11000,OUT!$H$2:$H$11000,H1945,OUT!$D$2:$D$11000,"Out")</f>
        <v>0</v>
      </c>
      <c r="K1945" s="52">
        <f ca="1">SUMIFS(OUT!$F$2:$F$11000,OUT!$H$2:$H$11000,H1945,OUT!$D$2:$D$11000,"Out",OUT!$E$2:$E$11000,"Fix")</f>
        <v>0</v>
      </c>
      <c r="L1945" s="52">
        <f ca="1">SUMIFS(OUT!$F$2:$F$11000,OUT!$H$2:$H$11000,H1945,OUT!$D$2:$D$11000,"Out",OUT!$E$2:$E$11000,"Bathroom")</f>
        <v>0</v>
      </c>
      <c r="M1945" s="52">
        <f ca="1">SUMIFS(OUT!$F$2:$F$11000,OUT!$H$2:$H$11000,H1945,OUT!$D$2:$D$11000,"Out",OUT!$E$2:$E$11000,"Alfa")</f>
        <v>0</v>
      </c>
      <c r="N1945" s="52" t="e">
        <f>SUMIFS(OUT!$F$2:$F$11000,OUT!$H$2:$H$101007,H1945,OUT!$D$2:$D$11000,"Out",OUT!$E$2:$E$11000,"Jajan")</f>
        <v>#VALUE!</v>
      </c>
      <c r="O1945" s="52">
        <f ca="1">SUMIFS(OUT!$F$2:$F$11000,OUT!$H$2:$H$11000,H1945,OUT!$D$2:$D$11000,"Out",OUT!$E$2:$E$11000,"Kitchen")</f>
        <v>0</v>
      </c>
      <c r="P1945" s="52">
        <f ca="1">SUMIFS(OUT!$F$2:$F$11000,OUT!$H$2:$H$11000,H1945,OUT!$D$2:$D$11000,"Out",OUT!$E$2:$E$11000,"Loandry")</f>
        <v>0</v>
      </c>
      <c r="Q1945" s="52">
        <f ca="1">SUMIFS(OUT!$F$2:$F$11000,OUT!$H$2:$H$11000,H1945,OUT!$D$2:$D$11000,"Out",OUT!$E$2:$E$11000,"Mio")</f>
        <v>0</v>
      </c>
      <c r="R1945" s="52">
        <f ca="1">SUMIFS(OUT!$F$2:$F$11000,OUT!$H$2:$H$11000,H1945,OUT!$D$2:$D$11000,"Out",OUT!$E$2:$E$11000,"Sedekah")</f>
        <v>0</v>
      </c>
      <c r="S1945" s="52">
        <f ca="1">SUMIFS(OUT!$F$2:$F$11000,OUT!$H$2:$H$11000,H1945,OUT!$D$2:$D$11000,"Out",OUT!$E$2:$E$11000,"Zela")</f>
        <v>0</v>
      </c>
      <c r="T1945" s="52">
        <f ca="1">SUMIFS(OUT!$F$2:$F$11000,OUT!$H$2:$H$11000,H1945,OUT!$D$2:$D$11000,"Out",OUT!$E$2:$E$11000,"Iqbal")</f>
        <v>0</v>
      </c>
    </row>
    <row r="1946" spans="7:20" x14ac:dyDescent="0.2">
      <c r="G1946" s="50"/>
      <c r="H1946" s="51" t="str">
        <f t="shared" si="0"/>
        <v/>
      </c>
      <c r="I1946" s="52" t="e">
        <f>SUMIFS(OUT!$F$2:$F$11000,OUT!$H$2:$H$11000,H1946,OUT!$D$2:$D$101007,"In")</f>
        <v>#VALUE!</v>
      </c>
      <c r="J1946" s="52">
        <f ca="1">SUMIFS(OUT!$F$2:$F$11000,OUT!$H$2:$H$11000,H1946,OUT!$D$2:$D$11000,"Out")</f>
        <v>0</v>
      </c>
      <c r="K1946" s="52">
        <f ca="1">SUMIFS(OUT!$F$2:$F$11000,OUT!$H$2:$H$11000,H1946,OUT!$D$2:$D$11000,"Out",OUT!$E$2:$E$11000,"Fix")</f>
        <v>0</v>
      </c>
      <c r="L1946" s="52">
        <f ca="1">SUMIFS(OUT!$F$2:$F$11000,OUT!$H$2:$H$11000,H1946,OUT!$D$2:$D$11000,"Out",OUT!$E$2:$E$11000,"Bathroom")</f>
        <v>0</v>
      </c>
      <c r="M1946" s="52">
        <f ca="1">SUMIFS(OUT!$F$2:$F$11000,OUT!$H$2:$H$11000,H1946,OUT!$D$2:$D$11000,"Out",OUT!$E$2:$E$11000,"Alfa")</f>
        <v>0</v>
      </c>
      <c r="N1946" s="52" t="e">
        <f>SUMIFS(OUT!$F$2:$F$11000,OUT!$H$2:$H$101007,H1946,OUT!$D$2:$D$11000,"Out",OUT!$E$2:$E$11000,"Jajan")</f>
        <v>#VALUE!</v>
      </c>
      <c r="O1946" s="52">
        <f ca="1">SUMIFS(OUT!$F$2:$F$11000,OUT!$H$2:$H$11000,H1946,OUT!$D$2:$D$11000,"Out",OUT!$E$2:$E$11000,"Kitchen")</f>
        <v>0</v>
      </c>
      <c r="P1946" s="52">
        <f ca="1">SUMIFS(OUT!$F$2:$F$11000,OUT!$H$2:$H$11000,H1946,OUT!$D$2:$D$11000,"Out",OUT!$E$2:$E$11000,"Loandry")</f>
        <v>0</v>
      </c>
      <c r="Q1946" s="52">
        <f ca="1">SUMIFS(OUT!$F$2:$F$11000,OUT!$H$2:$H$11000,H1946,OUT!$D$2:$D$11000,"Out",OUT!$E$2:$E$11000,"Mio")</f>
        <v>0</v>
      </c>
      <c r="R1946" s="52">
        <f ca="1">SUMIFS(OUT!$F$2:$F$11000,OUT!$H$2:$H$11000,H1946,OUT!$D$2:$D$11000,"Out",OUT!$E$2:$E$11000,"Sedekah")</f>
        <v>0</v>
      </c>
      <c r="S1946" s="52">
        <f ca="1">SUMIFS(OUT!$F$2:$F$11000,OUT!$H$2:$H$11000,H1946,OUT!$D$2:$D$11000,"Out",OUT!$E$2:$E$11000,"Zela")</f>
        <v>0</v>
      </c>
      <c r="T1946" s="52">
        <f ca="1">SUMIFS(OUT!$F$2:$F$11000,OUT!$H$2:$H$11000,H1946,OUT!$D$2:$D$11000,"Out",OUT!$E$2:$E$11000,"Iqbal")</f>
        <v>0</v>
      </c>
    </row>
    <row r="1947" spans="7:20" x14ac:dyDescent="0.2">
      <c r="G1947" s="50"/>
      <c r="H1947" s="51" t="str">
        <f t="shared" si="0"/>
        <v/>
      </c>
      <c r="I1947" s="52" t="e">
        <f>SUMIFS(OUT!$F$2:$F$11000,OUT!$H$2:$H$11000,H1947,OUT!$D$2:$D$101007,"In")</f>
        <v>#VALUE!</v>
      </c>
      <c r="J1947" s="52">
        <f ca="1">SUMIFS(OUT!$F$2:$F$11000,OUT!$H$2:$H$11000,H1947,OUT!$D$2:$D$11000,"Out")</f>
        <v>0</v>
      </c>
      <c r="K1947" s="52">
        <f ca="1">SUMIFS(OUT!$F$2:$F$11000,OUT!$H$2:$H$11000,H1947,OUT!$D$2:$D$11000,"Out",OUT!$E$2:$E$11000,"Fix")</f>
        <v>0</v>
      </c>
      <c r="L1947" s="52">
        <f ca="1">SUMIFS(OUT!$F$2:$F$11000,OUT!$H$2:$H$11000,H1947,OUT!$D$2:$D$11000,"Out",OUT!$E$2:$E$11000,"Bathroom")</f>
        <v>0</v>
      </c>
      <c r="M1947" s="52">
        <f ca="1">SUMIFS(OUT!$F$2:$F$11000,OUT!$H$2:$H$11000,H1947,OUT!$D$2:$D$11000,"Out",OUT!$E$2:$E$11000,"Alfa")</f>
        <v>0</v>
      </c>
      <c r="N1947" s="52" t="e">
        <f>SUMIFS(OUT!$F$2:$F$11000,OUT!$H$2:$H$101007,H1947,OUT!$D$2:$D$11000,"Out",OUT!$E$2:$E$11000,"Jajan")</f>
        <v>#VALUE!</v>
      </c>
      <c r="O1947" s="52">
        <f ca="1">SUMIFS(OUT!$F$2:$F$11000,OUT!$H$2:$H$11000,H1947,OUT!$D$2:$D$11000,"Out",OUT!$E$2:$E$11000,"Kitchen")</f>
        <v>0</v>
      </c>
      <c r="P1947" s="52">
        <f ca="1">SUMIFS(OUT!$F$2:$F$11000,OUT!$H$2:$H$11000,H1947,OUT!$D$2:$D$11000,"Out",OUT!$E$2:$E$11000,"Loandry")</f>
        <v>0</v>
      </c>
      <c r="Q1947" s="52">
        <f ca="1">SUMIFS(OUT!$F$2:$F$11000,OUT!$H$2:$H$11000,H1947,OUT!$D$2:$D$11000,"Out",OUT!$E$2:$E$11000,"Mio")</f>
        <v>0</v>
      </c>
      <c r="R1947" s="52">
        <f ca="1">SUMIFS(OUT!$F$2:$F$11000,OUT!$H$2:$H$11000,H1947,OUT!$D$2:$D$11000,"Out",OUT!$E$2:$E$11000,"Sedekah")</f>
        <v>0</v>
      </c>
      <c r="S1947" s="52">
        <f ca="1">SUMIFS(OUT!$F$2:$F$11000,OUT!$H$2:$H$11000,H1947,OUT!$D$2:$D$11000,"Out",OUT!$E$2:$E$11000,"Zela")</f>
        <v>0</v>
      </c>
      <c r="T1947" s="52">
        <f ca="1">SUMIFS(OUT!$F$2:$F$11000,OUT!$H$2:$H$11000,H1947,OUT!$D$2:$D$11000,"Out",OUT!$E$2:$E$11000,"Iqbal")</f>
        <v>0</v>
      </c>
    </row>
    <row r="1948" spans="7:20" x14ac:dyDescent="0.2">
      <c r="G1948" s="50"/>
      <c r="H1948" s="51" t="str">
        <f t="shared" si="0"/>
        <v/>
      </c>
      <c r="I1948" s="52" t="e">
        <f>SUMIFS(OUT!$F$2:$F$11000,OUT!$H$2:$H$11000,H1948,OUT!$D$2:$D$101007,"In")</f>
        <v>#VALUE!</v>
      </c>
      <c r="J1948" s="52">
        <f ca="1">SUMIFS(OUT!$F$2:$F$11000,OUT!$H$2:$H$11000,H1948,OUT!$D$2:$D$11000,"Out")</f>
        <v>0</v>
      </c>
      <c r="K1948" s="52">
        <f ca="1">SUMIFS(OUT!$F$2:$F$11000,OUT!$H$2:$H$11000,H1948,OUT!$D$2:$D$11000,"Out",OUT!$E$2:$E$11000,"Fix")</f>
        <v>0</v>
      </c>
      <c r="L1948" s="52">
        <f ca="1">SUMIFS(OUT!$F$2:$F$11000,OUT!$H$2:$H$11000,H1948,OUT!$D$2:$D$11000,"Out",OUT!$E$2:$E$11000,"Bathroom")</f>
        <v>0</v>
      </c>
      <c r="M1948" s="52">
        <f ca="1">SUMIFS(OUT!$F$2:$F$11000,OUT!$H$2:$H$11000,H1948,OUT!$D$2:$D$11000,"Out",OUT!$E$2:$E$11000,"Alfa")</f>
        <v>0</v>
      </c>
      <c r="N1948" s="52" t="e">
        <f>SUMIFS(OUT!$F$2:$F$11000,OUT!$H$2:$H$101007,H1948,OUT!$D$2:$D$11000,"Out",OUT!$E$2:$E$11000,"Jajan")</f>
        <v>#VALUE!</v>
      </c>
      <c r="O1948" s="52">
        <f ca="1">SUMIFS(OUT!$F$2:$F$11000,OUT!$H$2:$H$11000,H1948,OUT!$D$2:$D$11000,"Out",OUT!$E$2:$E$11000,"Kitchen")</f>
        <v>0</v>
      </c>
      <c r="P1948" s="52">
        <f ca="1">SUMIFS(OUT!$F$2:$F$11000,OUT!$H$2:$H$11000,H1948,OUT!$D$2:$D$11000,"Out",OUT!$E$2:$E$11000,"Loandry")</f>
        <v>0</v>
      </c>
      <c r="Q1948" s="52">
        <f ca="1">SUMIFS(OUT!$F$2:$F$11000,OUT!$H$2:$H$11000,H1948,OUT!$D$2:$D$11000,"Out",OUT!$E$2:$E$11000,"Mio")</f>
        <v>0</v>
      </c>
      <c r="R1948" s="52">
        <f ca="1">SUMIFS(OUT!$F$2:$F$11000,OUT!$H$2:$H$11000,H1948,OUT!$D$2:$D$11000,"Out",OUT!$E$2:$E$11000,"Sedekah")</f>
        <v>0</v>
      </c>
      <c r="S1948" s="52">
        <f ca="1">SUMIFS(OUT!$F$2:$F$11000,OUT!$H$2:$H$11000,H1948,OUT!$D$2:$D$11000,"Out",OUT!$E$2:$E$11000,"Zela")</f>
        <v>0</v>
      </c>
      <c r="T1948" s="52">
        <f ca="1">SUMIFS(OUT!$F$2:$F$11000,OUT!$H$2:$H$11000,H1948,OUT!$D$2:$D$11000,"Out",OUT!$E$2:$E$11000,"Iqbal")</f>
        <v>0</v>
      </c>
    </row>
    <row r="1949" spans="7:20" x14ac:dyDescent="0.2">
      <c r="G1949" s="50"/>
      <c r="H1949" s="51" t="str">
        <f t="shared" si="0"/>
        <v/>
      </c>
      <c r="I1949" s="52" t="e">
        <f>SUMIFS(OUT!$F$2:$F$11000,OUT!$H$2:$H$11000,H1949,OUT!$D$2:$D$101007,"In")</f>
        <v>#VALUE!</v>
      </c>
      <c r="J1949" s="52">
        <f ca="1">SUMIFS(OUT!$F$2:$F$11000,OUT!$H$2:$H$11000,H1949,OUT!$D$2:$D$11000,"Out")</f>
        <v>0</v>
      </c>
      <c r="K1949" s="52">
        <f ca="1">SUMIFS(OUT!$F$2:$F$11000,OUT!$H$2:$H$11000,H1949,OUT!$D$2:$D$11000,"Out",OUT!$E$2:$E$11000,"Fix")</f>
        <v>0</v>
      </c>
      <c r="L1949" s="52">
        <f ca="1">SUMIFS(OUT!$F$2:$F$11000,OUT!$H$2:$H$11000,H1949,OUT!$D$2:$D$11000,"Out",OUT!$E$2:$E$11000,"Bathroom")</f>
        <v>0</v>
      </c>
      <c r="M1949" s="52">
        <f ca="1">SUMIFS(OUT!$F$2:$F$11000,OUT!$H$2:$H$11000,H1949,OUT!$D$2:$D$11000,"Out",OUT!$E$2:$E$11000,"Alfa")</f>
        <v>0</v>
      </c>
      <c r="N1949" s="52" t="e">
        <f>SUMIFS(OUT!$F$2:$F$11000,OUT!$H$2:$H$101007,H1949,OUT!$D$2:$D$11000,"Out",OUT!$E$2:$E$11000,"Jajan")</f>
        <v>#VALUE!</v>
      </c>
      <c r="O1949" s="52">
        <f ca="1">SUMIFS(OUT!$F$2:$F$11000,OUT!$H$2:$H$11000,H1949,OUT!$D$2:$D$11000,"Out",OUT!$E$2:$E$11000,"Kitchen")</f>
        <v>0</v>
      </c>
      <c r="P1949" s="52">
        <f ca="1">SUMIFS(OUT!$F$2:$F$11000,OUT!$H$2:$H$11000,H1949,OUT!$D$2:$D$11000,"Out",OUT!$E$2:$E$11000,"Loandry")</f>
        <v>0</v>
      </c>
      <c r="Q1949" s="52">
        <f ca="1">SUMIFS(OUT!$F$2:$F$11000,OUT!$H$2:$H$11000,H1949,OUT!$D$2:$D$11000,"Out",OUT!$E$2:$E$11000,"Mio")</f>
        <v>0</v>
      </c>
      <c r="R1949" s="52">
        <f ca="1">SUMIFS(OUT!$F$2:$F$11000,OUT!$H$2:$H$11000,H1949,OUT!$D$2:$D$11000,"Out",OUT!$E$2:$E$11000,"Sedekah")</f>
        <v>0</v>
      </c>
      <c r="S1949" s="52">
        <f ca="1">SUMIFS(OUT!$F$2:$F$11000,OUT!$H$2:$H$11000,H1949,OUT!$D$2:$D$11000,"Out",OUT!$E$2:$E$11000,"Zela")</f>
        <v>0</v>
      </c>
      <c r="T1949" s="52">
        <f ca="1">SUMIFS(OUT!$F$2:$F$11000,OUT!$H$2:$H$11000,H1949,OUT!$D$2:$D$11000,"Out",OUT!$E$2:$E$11000,"Iqbal")</f>
        <v>0</v>
      </c>
    </row>
    <row r="1950" spans="7:20" x14ac:dyDescent="0.2">
      <c r="G1950" s="50"/>
      <c r="H1950" s="51" t="str">
        <f t="shared" si="0"/>
        <v/>
      </c>
      <c r="I1950" s="52" t="e">
        <f>SUMIFS(OUT!$F$2:$F$11000,OUT!$H$2:$H$11000,H1950,OUT!$D$2:$D$101007,"In")</f>
        <v>#VALUE!</v>
      </c>
      <c r="J1950" s="52">
        <f ca="1">SUMIFS(OUT!$F$2:$F$11000,OUT!$H$2:$H$11000,H1950,OUT!$D$2:$D$11000,"Out")</f>
        <v>0</v>
      </c>
      <c r="K1950" s="52">
        <f ca="1">SUMIFS(OUT!$F$2:$F$11000,OUT!$H$2:$H$11000,H1950,OUT!$D$2:$D$11000,"Out",OUT!$E$2:$E$11000,"Fix")</f>
        <v>0</v>
      </c>
      <c r="L1950" s="52">
        <f ca="1">SUMIFS(OUT!$F$2:$F$11000,OUT!$H$2:$H$11000,H1950,OUT!$D$2:$D$11000,"Out",OUT!$E$2:$E$11000,"Bathroom")</f>
        <v>0</v>
      </c>
      <c r="M1950" s="52">
        <f ca="1">SUMIFS(OUT!$F$2:$F$11000,OUT!$H$2:$H$11000,H1950,OUT!$D$2:$D$11000,"Out",OUT!$E$2:$E$11000,"Alfa")</f>
        <v>0</v>
      </c>
      <c r="N1950" s="52" t="e">
        <f>SUMIFS(OUT!$F$2:$F$11000,OUT!$H$2:$H$101007,H1950,OUT!$D$2:$D$11000,"Out",OUT!$E$2:$E$11000,"Jajan")</f>
        <v>#VALUE!</v>
      </c>
      <c r="O1950" s="52">
        <f ca="1">SUMIFS(OUT!$F$2:$F$11000,OUT!$H$2:$H$11000,H1950,OUT!$D$2:$D$11000,"Out",OUT!$E$2:$E$11000,"Kitchen")</f>
        <v>0</v>
      </c>
      <c r="P1950" s="52">
        <f ca="1">SUMIFS(OUT!$F$2:$F$11000,OUT!$H$2:$H$11000,H1950,OUT!$D$2:$D$11000,"Out",OUT!$E$2:$E$11000,"Loandry")</f>
        <v>0</v>
      </c>
      <c r="Q1950" s="52">
        <f ca="1">SUMIFS(OUT!$F$2:$F$11000,OUT!$H$2:$H$11000,H1950,OUT!$D$2:$D$11000,"Out",OUT!$E$2:$E$11000,"Mio")</f>
        <v>0</v>
      </c>
      <c r="R1950" s="52">
        <f ca="1">SUMIFS(OUT!$F$2:$F$11000,OUT!$H$2:$H$11000,H1950,OUT!$D$2:$D$11000,"Out",OUT!$E$2:$E$11000,"Sedekah")</f>
        <v>0</v>
      </c>
      <c r="S1950" s="52">
        <f ca="1">SUMIFS(OUT!$F$2:$F$11000,OUT!$H$2:$H$11000,H1950,OUT!$D$2:$D$11000,"Out",OUT!$E$2:$E$11000,"Zela")</f>
        <v>0</v>
      </c>
      <c r="T1950" s="52">
        <f ca="1">SUMIFS(OUT!$F$2:$F$11000,OUT!$H$2:$H$11000,H1950,OUT!$D$2:$D$11000,"Out",OUT!$E$2:$E$11000,"Iqbal")</f>
        <v>0</v>
      </c>
    </row>
    <row r="1951" spans="7:20" x14ac:dyDescent="0.2">
      <c r="G1951" s="50"/>
      <c r="H1951" s="51" t="str">
        <f t="shared" si="0"/>
        <v/>
      </c>
      <c r="I1951" s="52" t="e">
        <f>SUMIFS(OUT!$F$2:$F$11000,OUT!$H$2:$H$11000,H1951,OUT!$D$2:$D$101007,"In")</f>
        <v>#VALUE!</v>
      </c>
      <c r="J1951" s="52">
        <f ca="1">SUMIFS(OUT!$F$2:$F$11000,OUT!$H$2:$H$11000,H1951,OUT!$D$2:$D$11000,"Out")</f>
        <v>0</v>
      </c>
      <c r="K1951" s="52">
        <f ca="1">SUMIFS(OUT!$F$2:$F$11000,OUT!$H$2:$H$11000,H1951,OUT!$D$2:$D$11000,"Out",OUT!$E$2:$E$11000,"Fix")</f>
        <v>0</v>
      </c>
      <c r="L1951" s="52">
        <f ca="1">SUMIFS(OUT!$F$2:$F$11000,OUT!$H$2:$H$11000,H1951,OUT!$D$2:$D$11000,"Out",OUT!$E$2:$E$11000,"Bathroom")</f>
        <v>0</v>
      </c>
      <c r="M1951" s="52">
        <f ca="1">SUMIFS(OUT!$F$2:$F$11000,OUT!$H$2:$H$11000,H1951,OUT!$D$2:$D$11000,"Out",OUT!$E$2:$E$11000,"Alfa")</f>
        <v>0</v>
      </c>
      <c r="N1951" s="52" t="e">
        <f>SUMIFS(OUT!$F$2:$F$11000,OUT!$H$2:$H$101007,H1951,OUT!$D$2:$D$11000,"Out",OUT!$E$2:$E$11000,"Jajan")</f>
        <v>#VALUE!</v>
      </c>
      <c r="O1951" s="52">
        <f ca="1">SUMIFS(OUT!$F$2:$F$11000,OUT!$H$2:$H$11000,H1951,OUT!$D$2:$D$11000,"Out",OUT!$E$2:$E$11000,"Kitchen")</f>
        <v>0</v>
      </c>
      <c r="P1951" s="52">
        <f ca="1">SUMIFS(OUT!$F$2:$F$11000,OUT!$H$2:$H$11000,H1951,OUT!$D$2:$D$11000,"Out",OUT!$E$2:$E$11000,"Loandry")</f>
        <v>0</v>
      </c>
      <c r="Q1951" s="52">
        <f ca="1">SUMIFS(OUT!$F$2:$F$11000,OUT!$H$2:$H$11000,H1951,OUT!$D$2:$D$11000,"Out",OUT!$E$2:$E$11000,"Mio")</f>
        <v>0</v>
      </c>
      <c r="R1951" s="52">
        <f ca="1">SUMIFS(OUT!$F$2:$F$11000,OUT!$H$2:$H$11000,H1951,OUT!$D$2:$D$11000,"Out",OUT!$E$2:$E$11000,"Sedekah")</f>
        <v>0</v>
      </c>
      <c r="S1951" s="52">
        <f ca="1">SUMIFS(OUT!$F$2:$F$11000,OUT!$H$2:$H$11000,H1951,OUT!$D$2:$D$11000,"Out",OUT!$E$2:$E$11000,"Zela")</f>
        <v>0</v>
      </c>
      <c r="T1951" s="52">
        <f ca="1">SUMIFS(OUT!$F$2:$F$11000,OUT!$H$2:$H$11000,H1951,OUT!$D$2:$D$11000,"Out",OUT!$E$2:$E$11000,"Iqbal")</f>
        <v>0</v>
      </c>
    </row>
    <row r="1952" spans="7:20" x14ac:dyDescent="0.2">
      <c r="G1952" s="50"/>
      <c r="H1952" s="51" t="str">
        <f t="shared" si="0"/>
        <v/>
      </c>
      <c r="I1952" s="52" t="e">
        <f>SUMIFS(OUT!$F$2:$F$11000,OUT!$H$2:$H$11000,H1952,OUT!$D$2:$D$101007,"In")</f>
        <v>#VALUE!</v>
      </c>
      <c r="J1952" s="52">
        <f ca="1">SUMIFS(OUT!$F$2:$F$11000,OUT!$H$2:$H$11000,H1952,OUT!$D$2:$D$11000,"Out")</f>
        <v>0</v>
      </c>
      <c r="K1952" s="52">
        <f ca="1">SUMIFS(OUT!$F$2:$F$11000,OUT!$H$2:$H$11000,H1952,OUT!$D$2:$D$11000,"Out",OUT!$E$2:$E$11000,"Fix")</f>
        <v>0</v>
      </c>
      <c r="L1952" s="52">
        <f ca="1">SUMIFS(OUT!$F$2:$F$11000,OUT!$H$2:$H$11000,H1952,OUT!$D$2:$D$11000,"Out",OUT!$E$2:$E$11000,"Bathroom")</f>
        <v>0</v>
      </c>
      <c r="M1952" s="52">
        <f ca="1">SUMIFS(OUT!$F$2:$F$11000,OUT!$H$2:$H$11000,H1952,OUT!$D$2:$D$11000,"Out",OUT!$E$2:$E$11000,"Alfa")</f>
        <v>0</v>
      </c>
      <c r="N1952" s="52" t="e">
        <f>SUMIFS(OUT!$F$2:$F$11000,OUT!$H$2:$H$101007,H1952,OUT!$D$2:$D$11000,"Out",OUT!$E$2:$E$11000,"Jajan")</f>
        <v>#VALUE!</v>
      </c>
      <c r="O1952" s="52">
        <f ca="1">SUMIFS(OUT!$F$2:$F$11000,OUT!$H$2:$H$11000,H1952,OUT!$D$2:$D$11000,"Out",OUT!$E$2:$E$11000,"Kitchen")</f>
        <v>0</v>
      </c>
      <c r="P1952" s="52">
        <f ca="1">SUMIFS(OUT!$F$2:$F$11000,OUT!$H$2:$H$11000,H1952,OUT!$D$2:$D$11000,"Out",OUT!$E$2:$E$11000,"Loandry")</f>
        <v>0</v>
      </c>
      <c r="Q1952" s="52">
        <f ca="1">SUMIFS(OUT!$F$2:$F$11000,OUT!$H$2:$H$11000,H1952,OUT!$D$2:$D$11000,"Out",OUT!$E$2:$E$11000,"Mio")</f>
        <v>0</v>
      </c>
      <c r="R1952" s="52">
        <f ca="1">SUMIFS(OUT!$F$2:$F$11000,OUT!$H$2:$H$11000,H1952,OUT!$D$2:$D$11000,"Out",OUT!$E$2:$E$11000,"Sedekah")</f>
        <v>0</v>
      </c>
      <c r="S1952" s="52">
        <f ca="1">SUMIFS(OUT!$F$2:$F$11000,OUT!$H$2:$H$11000,H1952,OUT!$D$2:$D$11000,"Out",OUT!$E$2:$E$11000,"Zela")</f>
        <v>0</v>
      </c>
      <c r="T1952" s="52">
        <f ca="1">SUMIFS(OUT!$F$2:$F$11000,OUT!$H$2:$H$11000,H1952,OUT!$D$2:$D$11000,"Out",OUT!$E$2:$E$11000,"Iqbal")</f>
        <v>0</v>
      </c>
    </row>
    <row r="1953" spans="7:20" x14ac:dyDescent="0.2">
      <c r="G1953" s="50"/>
      <c r="H1953" s="51" t="str">
        <f t="shared" si="0"/>
        <v/>
      </c>
      <c r="I1953" s="52" t="e">
        <f>SUMIFS(OUT!$F$2:$F$11000,OUT!$H$2:$H$11000,H1953,OUT!$D$2:$D$101007,"In")</f>
        <v>#VALUE!</v>
      </c>
      <c r="J1953" s="52">
        <f ca="1">SUMIFS(OUT!$F$2:$F$11000,OUT!$H$2:$H$11000,H1953,OUT!$D$2:$D$11000,"Out")</f>
        <v>0</v>
      </c>
      <c r="K1953" s="52">
        <f ca="1">SUMIFS(OUT!$F$2:$F$11000,OUT!$H$2:$H$11000,H1953,OUT!$D$2:$D$11000,"Out",OUT!$E$2:$E$11000,"Fix")</f>
        <v>0</v>
      </c>
      <c r="L1953" s="52">
        <f ca="1">SUMIFS(OUT!$F$2:$F$11000,OUT!$H$2:$H$11000,H1953,OUT!$D$2:$D$11000,"Out",OUT!$E$2:$E$11000,"Bathroom")</f>
        <v>0</v>
      </c>
      <c r="M1953" s="52">
        <f ca="1">SUMIFS(OUT!$F$2:$F$11000,OUT!$H$2:$H$11000,H1953,OUT!$D$2:$D$11000,"Out",OUT!$E$2:$E$11000,"Alfa")</f>
        <v>0</v>
      </c>
      <c r="N1953" s="52" t="e">
        <f>SUMIFS(OUT!$F$2:$F$11000,OUT!$H$2:$H$101007,H1953,OUT!$D$2:$D$11000,"Out",OUT!$E$2:$E$11000,"Jajan")</f>
        <v>#VALUE!</v>
      </c>
      <c r="O1953" s="52">
        <f ca="1">SUMIFS(OUT!$F$2:$F$11000,OUT!$H$2:$H$11000,H1953,OUT!$D$2:$D$11000,"Out",OUT!$E$2:$E$11000,"Kitchen")</f>
        <v>0</v>
      </c>
      <c r="P1953" s="52">
        <f ca="1">SUMIFS(OUT!$F$2:$F$11000,OUT!$H$2:$H$11000,H1953,OUT!$D$2:$D$11000,"Out",OUT!$E$2:$E$11000,"Loandry")</f>
        <v>0</v>
      </c>
      <c r="Q1953" s="52">
        <f ca="1">SUMIFS(OUT!$F$2:$F$11000,OUT!$H$2:$H$11000,H1953,OUT!$D$2:$D$11000,"Out",OUT!$E$2:$E$11000,"Mio")</f>
        <v>0</v>
      </c>
      <c r="R1953" s="52">
        <f ca="1">SUMIFS(OUT!$F$2:$F$11000,OUT!$H$2:$H$11000,H1953,OUT!$D$2:$D$11000,"Out",OUT!$E$2:$E$11000,"Sedekah")</f>
        <v>0</v>
      </c>
      <c r="S1953" s="52">
        <f ca="1">SUMIFS(OUT!$F$2:$F$11000,OUT!$H$2:$H$11000,H1953,OUT!$D$2:$D$11000,"Out",OUT!$E$2:$E$11000,"Zela")</f>
        <v>0</v>
      </c>
      <c r="T1953" s="52">
        <f ca="1">SUMIFS(OUT!$F$2:$F$11000,OUT!$H$2:$H$11000,H1953,OUT!$D$2:$D$11000,"Out",OUT!$E$2:$E$11000,"Iqbal")</f>
        <v>0</v>
      </c>
    </row>
    <row r="1954" spans="7:20" x14ac:dyDescent="0.2">
      <c r="G1954" s="50"/>
      <c r="H1954" s="51" t="str">
        <f t="shared" si="0"/>
        <v/>
      </c>
      <c r="I1954" s="52" t="e">
        <f>SUMIFS(OUT!$F$2:$F$11000,OUT!$H$2:$H$11000,H1954,OUT!$D$2:$D$101007,"In")</f>
        <v>#VALUE!</v>
      </c>
      <c r="J1954" s="52">
        <f ca="1">SUMIFS(OUT!$F$2:$F$11000,OUT!$H$2:$H$11000,H1954,OUT!$D$2:$D$11000,"Out")</f>
        <v>0</v>
      </c>
      <c r="K1954" s="52">
        <f ca="1">SUMIFS(OUT!$F$2:$F$11000,OUT!$H$2:$H$11000,H1954,OUT!$D$2:$D$11000,"Out",OUT!$E$2:$E$11000,"Fix")</f>
        <v>0</v>
      </c>
      <c r="L1954" s="52">
        <f ca="1">SUMIFS(OUT!$F$2:$F$11000,OUT!$H$2:$H$11000,H1954,OUT!$D$2:$D$11000,"Out",OUT!$E$2:$E$11000,"Bathroom")</f>
        <v>0</v>
      </c>
      <c r="M1954" s="52">
        <f ca="1">SUMIFS(OUT!$F$2:$F$11000,OUT!$H$2:$H$11000,H1954,OUT!$D$2:$D$11000,"Out",OUT!$E$2:$E$11000,"Alfa")</f>
        <v>0</v>
      </c>
      <c r="N1954" s="52" t="e">
        <f>SUMIFS(OUT!$F$2:$F$11000,OUT!$H$2:$H$101007,H1954,OUT!$D$2:$D$11000,"Out",OUT!$E$2:$E$11000,"Jajan")</f>
        <v>#VALUE!</v>
      </c>
      <c r="O1954" s="52">
        <f ca="1">SUMIFS(OUT!$F$2:$F$11000,OUT!$H$2:$H$11000,H1954,OUT!$D$2:$D$11000,"Out",OUT!$E$2:$E$11000,"Kitchen")</f>
        <v>0</v>
      </c>
      <c r="P1954" s="52">
        <f ca="1">SUMIFS(OUT!$F$2:$F$11000,OUT!$H$2:$H$11000,H1954,OUT!$D$2:$D$11000,"Out",OUT!$E$2:$E$11000,"Loandry")</f>
        <v>0</v>
      </c>
      <c r="Q1954" s="52">
        <f ca="1">SUMIFS(OUT!$F$2:$F$11000,OUT!$H$2:$H$11000,H1954,OUT!$D$2:$D$11000,"Out",OUT!$E$2:$E$11000,"Mio")</f>
        <v>0</v>
      </c>
      <c r="R1954" s="52">
        <f ca="1">SUMIFS(OUT!$F$2:$F$11000,OUT!$H$2:$H$11000,H1954,OUT!$D$2:$D$11000,"Out",OUT!$E$2:$E$11000,"Sedekah")</f>
        <v>0</v>
      </c>
      <c r="S1954" s="52">
        <f ca="1">SUMIFS(OUT!$F$2:$F$11000,OUT!$H$2:$H$11000,H1954,OUT!$D$2:$D$11000,"Out",OUT!$E$2:$E$11000,"Zela")</f>
        <v>0</v>
      </c>
      <c r="T1954" s="52">
        <f ca="1">SUMIFS(OUT!$F$2:$F$11000,OUT!$H$2:$H$11000,H1954,OUT!$D$2:$D$11000,"Out",OUT!$E$2:$E$11000,"Iqbal")</f>
        <v>0</v>
      </c>
    </row>
    <row r="1955" spans="7:20" x14ac:dyDescent="0.2">
      <c r="G1955" s="50"/>
      <c r="H1955" s="51" t="str">
        <f t="shared" si="0"/>
        <v/>
      </c>
      <c r="I1955" s="52" t="e">
        <f>SUMIFS(OUT!$F$2:$F$11000,OUT!$H$2:$H$11000,H1955,OUT!$D$2:$D$101007,"In")</f>
        <v>#VALUE!</v>
      </c>
      <c r="J1955" s="52">
        <f ca="1">SUMIFS(OUT!$F$2:$F$11000,OUT!$H$2:$H$11000,H1955,OUT!$D$2:$D$11000,"Out")</f>
        <v>0</v>
      </c>
      <c r="K1955" s="52">
        <f ca="1">SUMIFS(OUT!$F$2:$F$11000,OUT!$H$2:$H$11000,H1955,OUT!$D$2:$D$11000,"Out",OUT!$E$2:$E$11000,"Fix")</f>
        <v>0</v>
      </c>
      <c r="L1955" s="52">
        <f ca="1">SUMIFS(OUT!$F$2:$F$11000,OUT!$H$2:$H$11000,H1955,OUT!$D$2:$D$11000,"Out",OUT!$E$2:$E$11000,"Bathroom")</f>
        <v>0</v>
      </c>
      <c r="M1955" s="52">
        <f ca="1">SUMIFS(OUT!$F$2:$F$11000,OUT!$H$2:$H$11000,H1955,OUT!$D$2:$D$11000,"Out",OUT!$E$2:$E$11000,"Alfa")</f>
        <v>0</v>
      </c>
      <c r="N1955" s="52" t="e">
        <f>SUMIFS(OUT!$F$2:$F$11000,OUT!$H$2:$H$101007,H1955,OUT!$D$2:$D$11000,"Out",OUT!$E$2:$E$11000,"Jajan")</f>
        <v>#VALUE!</v>
      </c>
      <c r="O1955" s="52">
        <f ca="1">SUMIFS(OUT!$F$2:$F$11000,OUT!$H$2:$H$11000,H1955,OUT!$D$2:$D$11000,"Out",OUT!$E$2:$E$11000,"Kitchen")</f>
        <v>0</v>
      </c>
      <c r="P1955" s="52">
        <f ca="1">SUMIFS(OUT!$F$2:$F$11000,OUT!$H$2:$H$11000,H1955,OUT!$D$2:$D$11000,"Out",OUT!$E$2:$E$11000,"Loandry")</f>
        <v>0</v>
      </c>
      <c r="Q1955" s="52">
        <f ca="1">SUMIFS(OUT!$F$2:$F$11000,OUT!$H$2:$H$11000,H1955,OUT!$D$2:$D$11000,"Out",OUT!$E$2:$E$11000,"Mio")</f>
        <v>0</v>
      </c>
      <c r="R1955" s="52">
        <f ca="1">SUMIFS(OUT!$F$2:$F$11000,OUT!$H$2:$H$11000,H1955,OUT!$D$2:$D$11000,"Out",OUT!$E$2:$E$11000,"Sedekah")</f>
        <v>0</v>
      </c>
      <c r="S1955" s="52">
        <f ca="1">SUMIFS(OUT!$F$2:$F$11000,OUT!$H$2:$H$11000,H1955,OUT!$D$2:$D$11000,"Out",OUT!$E$2:$E$11000,"Zela")</f>
        <v>0</v>
      </c>
      <c r="T1955" s="52">
        <f ca="1">SUMIFS(OUT!$F$2:$F$11000,OUT!$H$2:$H$11000,H1955,OUT!$D$2:$D$11000,"Out",OUT!$E$2:$E$11000,"Iqbal")</f>
        <v>0</v>
      </c>
    </row>
    <row r="1956" spans="7:20" x14ac:dyDescent="0.2">
      <c r="G1956" s="50"/>
      <c r="H1956" s="51" t="str">
        <f t="shared" si="0"/>
        <v/>
      </c>
      <c r="I1956" s="52" t="e">
        <f>SUMIFS(OUT!$F$2:$F$11000,OUT!$H$2:$H$11000,H1956,OUT!$D$2:$D$101007,"In")</f>
        <v>#VALUE!</v>
      </c>
      <c r="J1956" s="52">
        <f ca="1">SUMIFS(OUT!$F$2:$F$11000,OUT!$H$2:$H$11000,H1956,OUT!$D$2:$D$11000,"Out")</f>
        <v>0</v>
      </c>
      <c r="K1956" s="52">
        <f ca="1">SUMIFS(OUT!$F$2:$F$11000,OUT!$H$2:$H$11000,H1956,OUT!$D$2:$D$11000,"Out",OUT!$E$2:$E$11000,"Fix")</f>
        <v>0</v>
      </c>
      <c r="L1956" s="52">
        <f ca="1">SUMIFS(OUT!$F$2:$F$11000,OUT!$H$2:$H$11000,H1956,OUT!$D$2:$D$11000,"Out",OUT!$E$2:$E$11000,"Bathroom")</f>
        <v>0</v>
      </c>
      <c r="M1956" s="52">
        <f ca="1">SUMIFS(OUT!$F$2:$F$11000,OUT!$H$2:$H$11000,H1956,OUT!$D$2:$D$11000,"Out",OUT!$E$2:$E$11000,"Alfa")</f>
        <v>0</v>
      </c>
      <c r="N1956" s="52" t="e">
        <f>SUMIFS(OUT!$F$2:$F$11000,OUT!$H$2:$H$101007,H1956,OUT!$D$2:$D$11000,"Out",OUT!$E$2:$E$11000,"Jajan")</f>
        <v>#VALUE!</v>
      </c>
      <c r="O1956" s="52">
        <f ca="1">SUMIFS(OUT!$F$2:$F$11000,OUT!$H$2:$H$11000,H1956,OUT!$D$2:$D$11000,"Out",OUT!$E$2:$E$11000,"Kitchen")</f>
        <v>0</v>
      </c>
      <c r="P1956" s="52">
        <f ca="1">SUMIFS(OUT!$F$2:$F$11000,OUT!$H$2:$H$11000,H1956,OUT!$D$2:$D$11000,"Out",OUT!$E$2:$E$11000,"Loandry")</f>
        <v>0</v>
      </c>
      <c r="Q1956" s="52">
        <f ca="1">SUMIFS(OUT!$F$2:$F$11000,OUT!$H$2:$H$11000,H1956,OUT!$D$2:$D$11000,"Out",OUT!$E$2:$E$11000,"Mio")</f>
        <v>0</v>
      </c>
      <c r="R1956" s="52">
        <f ca="1">SUMIFS(OUT!$F$2:$F$11000,OUT!$H$2:$H$11000,H1956,OUT!$D$2:$D$11000,"Out",OUT!$E$2:$E$11000,"Sedekah")</f>
        <v>0</v>
      </c>
      <c r="S1956" s="52">
        <f ca="1">SUMIFS(OUT!$F$2:$F$11000,OUT!$H$2:$H$11000,H1956,OUT!$D$2:$D$11000,"Out",OUT!$E$2:$E$11000,"Zela")</f>
        <v>0</v>
      </c>
      <c r="T1956" s="52">
        <f ca="1">SUMIFS(OUT!$F$2:$F$11000,OUT!$H$2:$H$11000,H1956,OUT!$D$2:$D$11000,"Out",OUT!$E$2:$E$11000,"Iqbal")</f>
        <v>0</v>
      </c>
    </row>
    <row r="1957" spans="7:20" x14ac:dyDescent="0.2">
      <c r="G1957" s="50"/>
      <c r="H1957" s="51" t="str">
        <f t="shared" si="0"/>
        <v/>
      </c>
      <c r="I1957" s="52" t="e">
        <f>SUMIFS(OUT!$F$2:$F$11000,OUT!$H$2:$H$11000,H1957,OUT!$D$2:$D$101007,"In")</f>
        <v>#VALUE!</v>
      </c>
      <c r="J1957" s="52">
        <f ca="1">SUMIFS(OUT!$F$2:$F$11000,OUT!$H$2:$H$11000,H1957,OUT!$D$2:$D$11000,"Out")</f>
        <v>0</v>
      </c>
      <c r="K1957" s="52">
        <f ca="1">SUMIFS(OUT!$F$2:$F$11000,OUT!$H$2:$H$11000,H1957,OUT!$D$2:$D$11000,"Out",OUT!$E$2:$E$11000,"Fix")</f>
        <v>0</v>
      </c>
      <c r="L1957" s="52">
        <f ca="1">SUMIFS(OUT!$F$2:$F$11000,OUT!$H$2:$H$11000,H1957,OUT!$D$2:$D$11000,"Out",OUT!$E$2:$E$11000,"Bathroom")</f>
        <v>0</v>
      </c>
      <c r="M1957" s="52">
        <f ca="1">SUMIFS(OUT!$F$2:$F$11000,OUT!$H$2:$H$11000,H1957,OUT!$D$2:$D$11000,"Out",OUT!$E$2:$E$11000,"Alfa")</f>
        <v>0</v>
      </c>
      <c r="N1957" s="52" t="e">
        <f>SUMIFS(OUT!$F$2:$F$11000,OUT!$H$2:$H$101007,H1957,OUT!$D$2:$D$11000,"Out",OUT!$E$2:$E$11000,"Jajan")</f>
        <v>#VALUE!</v>
      </c>
      <c r="O1957" s="52">
        <f ca="1">SUMIFS(OUT!$F$2:$F$11000,OUT!$H$2:$H$11000,H1957,OUT!$D$2:$D$11000,"Out",OUT!$E$2:$E$11000,"Kitchen")</f>
        <v>0</v>
      </c>
      <c r="P1957" s="52">
        <f ca="1">SUMIFS(OUT!$F$2:$F$11000,OUT!$H$2:$H$11000,H1957,OUT!$D$2:$D$11000,"Out",OUT!$E$2:$E$11000,"Loandry")</f>
        <v>0</v>
      </c>
      <c r="Q1957" s="52">
        <f ca="1">SUMIFS(OUT!$F$2:$F$11000,OUT!$H$2:$H$11000,H1957,OUT!$D$2:$D$11000,"Out",OUT!$E$2:$E$11000,"Mio")</f>
        <v>0</v>
      </c>
      <c r="R1957" s="52">
        <f ca="1">SUMIFS(OUT!$F$2:$F$11000,OUT!$H$2:$H$11000,H1957,OUT!$D$2:$D$11000,"Out",OUT!$E$2:$E$11000,"Sedekah")</f>
        <v>0</v>
      </c>
      <c r="S1957" s="52">
        <f ca="1">SUMIFS(OUT!$F$2:$F$11000,OUT!$H$2:$H$11000,H1957,OUT!$D$2:$D$11000,"Out",OUT!$E$2:$E$11000,"Zela")</f>
        <v>0</v>
      </c>
      <c r="T1957" s="52">
        <f ca="1">SUMIFS(OUT!$F$2:$F$11000,OUT!$H$2:$H$11000,H1957,OUT!$D$2:$D$11000,"Out",OUT!$E$2:$E$11000,"Iqbal")</f>
        <v>0</v>
      </c>
    </row>
    <row r="1958" spans="7:20" x14ac:dyDescent="0.2">
      <c r="G1958" s="50"/>
      <c r="H1958" s="51" t="str">
        <f t="shared" si="0"/>
        <v/>
      </c>
      <c r="I1958" s="52" t="e">
        <f>SUMIFS(OUT!$F$2:$F$11000,OUT!$H$2:$H$11000,H1958,OUT!$D$2:$D$101007,"In")</f>
        <v>#VALUE!</v>
      </c>
      <c r="J1958" s="52">
        <f ca="1">SUMIFS(OUT!$F$2:$F$11000,OUT!$H$2:$H$11000,H1958,OUT!$D$2:$D$11000,"Out")</f>
        <v>0</v>
      </c>
      <c r="K1958" s="52">
        <f ca="1">SUMIFS(OUT!$F$2:$F$11000,OUT!$H$2:$H$11000,H1958,OUT!$D$2:$D$11000,"Out",OUT!$E$2:$E$11000,"Fix")</f>
        <v>0</v>
      </c>
      <c r="L1958" s="52">
        <f ca="1">SUMIFS(OUT!$F$2:$F$11000,OUT!$H$2:$H$11000,H1958,OUT!$D$2:$D$11000,"Out",OUT!$E$2:$E$11000,"Bathroom")</f>
        <v>0</v>
      </c>
      <c r="M1958" s="52">
        <f ca="1">SUMIFS(OUT!$F$2:$F$11000,OUT!$H$2:$H$11000,H1958,OUT!$D$2:$D$11000,"Out",OUT!$E$2:$E$11000,"Alfa")</f>
        <v>0</v>
      </c>
      <c r="N1958" s="52" t="e">
        <f>SUMIFS(OUT!$F$2:$F$11000,OUT!$H$2:$H$101007,H1958,OUT!$D$2:$D$11000,"Out",OUT!$E$2:$E$11000,"Jajan")</f>
        <v>#VALUE!</v>
      </c>
      <c r="O1958" s="52">
        <f ca="1">SUMIFS(OUT!$F$2:$F$11000,OUT!$H$2:$H$11000,H1958,OUT!$D$2:$D$11000,"Out",OUT!$E$2:$E$11000,"Kitchen")</f>
        <v>0</v>
      </c>
      <c r="P1958" s="52">
        <f ca="1">SUMIFS(OUT!$F$2:$F$11000,OUT!$H$2:$H$11000,H1958,OUT!$D$2:$D$11000,"Out",OUT!$E$2:$E$11000,"Loandry")</f>
        <v>0</v>
      </c>
      <c r="Q1958" s="52">
        <f ca="1">SUMIFS(OUT!$F$2:$F$11000,OUT!$H$2:$H$11000,H1958,OUT!$D$2:$D$11000,"Out",OUT!$E$2:$E$11000,"Mio")</f>
        <v>0</v>
      </c>
      <c r="R1958" s="52">
        <f ca="1">SUMIFS(OUT!$F$2:$F$11000,OUT!$H$2:$H$11000,H1958,OUT!$D$2:$D$11000,"Out",OUT!$E$2:$E$11000,"Sedekah")</f>
        <v>0</v>
      </c>
      <c r="S1958" s="52">
        <f ca="1">SUMIFS(OUT!$F$2:$F$11000,OUT!$H$2:$H$11000,H1958,OUT!$D$2:$D$11000,"Out",OUT!$E$2:$E$11000,"Zela")</f>
        <v>0</v>
      </c>
      <c r="T1958" s="52">
        <f ca="1">SUMIFS(OUT!$F$2:$F$11000,OUT!$H$2:$H$11000,H1958,OUT!$D$2:$D$11000,"Out",OUT!$E$2:$E$11000,"Iqbal")</f>
        <v>0</v>
      </c>
    </row>
    <row r="1959" spans="7:20" x14ac:dyDescent="0.2">
      <c r="G1959" s="50"/>
      <c r="H1959" s="51" t="str">
        <f t="shared" si="0"/>
        <v/>
      </c>
      <c r="I1959" s="52" t="e">
        <f>SUMIFS(OUT!$F$2:$F$11000,OUT!$H$2:$H$11000,H1959,OUT!$D$2:$D$101007,"In")</f>
        <v>#VALUE!</v>
      </c>
      <c r="J1959" s="52">
        <f ca="1">SUMIFS(OUT!$F$2:$F$11000,OUT!$H$2:$H$11000,H1959,OUT!$D$2:$D$11000,"Out")</f>
        <v>0</v>
      </c>
      <c r="K1959" s="52">
        <f ca="1">SUMIFS(OUT!$F$2:$F$11000,OUT!$H$2:$H$11000,H1959,OUT!$D$2:$D$11000,"Out",OUT!$E$2:$E$11000,"Fix")</f>
        <v>0</v>
      </c>
      <c r="L1959" s="52">
        <f ca="1">SUMIFS(OUT!$F$2:$F$11000,OUT!$H$2:$H$11000,H1959,OUT!$D$2:$D$11000,"Out",OUT!$E$2:$E$11000,"Bathroom")</f>
        <v>0</v>
      </c>
      <c r="M1959" s="52">
        <f ca="1">SUMIFS(OUT!$F$2:$F$11000,OUT!$H$2:$H$11000,H1959,OUT!$D$2:$D$11000,"Out",OUT!$E$2:$E$11000,"Alfa")</f>
        <v>0</v>
      </c>
      <c r="N1959" s="52" t="e">
        <f>SUMIFS(OUT!$F$2:$F$11000,OUT!$H$2:$H$101007,H1959,OUT!$D$2:$D$11000,"Out",OUT!$E$2:$E$11000,"Jajan")</f>
        <v>#VALUE!</v>
      </c>
      <c r="O1959" s="52">
        <f ca="1">SUMIFS(OUT!$F$2:$F$11000,OUT!$H$2:$H$11000,H1959,OUT!$D$2:$D$11000,"Out",OUT!$E$2:$E$11000,"Kitchen")</f>
        <v>0</v>
      </c>
      <c r="P1959" s="52">
        <f ca="1">SUMIFS(OUT!$F$2:$F$11000,OUT!$H$2:$H$11000,H1959,OUT!$D$2:$D$11000,"Out",OUT!$E$2:$E$11000,"Loandry")</f>
        <v>0</v>
      </c>
      <c r="Q1959" s="52">
        <f ca="1">SUMIFS(OUT!$F$2:$F$11000,OUT!$H$2:$H$11000,H1959,OUT!$D$2:$D$11000,"Out",OUT!$E$2:$E$11000,"Mio")</f>
        <v>0</v>
      </c>
      <c r="R1959" s="52">
        <f ca="1">SUMIFS(OUT!$F$2:$F$11000,OUT!$H$2:$H$11000,H1959,OUT!$D$2:$D$11000,"Out",OUT!$E$2:$E$11000,"Sedekah")</f>
        <v>0</v>
      </c>
      <c r="S1959" s="52">
        <f ca="1">SUMIFS(OUT!$F$2:$F$11000,OUT!$H$2:$H$11000,H1959,OUT!$D$2:$D$11000,"Out",OUT!$E$2:$E$11000,"Zela")</f>
        <v>0</v>
      </c>
      <c r="T1959" s="52">
        <f ca="1">SUMIFS(OUT!$F$2:$F$11000,OUT!$H$2:$H$11000,H1959,OUT!$D$2:$D$11000,"Out",OUT!$E$2:$E$11000,"Iqbal")</f>
        <v>0</v>
      </c>
    </row>
    <row r="1960" spans="7:20" x14ac:dyDescent="0.2">
      <c r="G1960" s="50"/>
      <c r="H1960" s="51" t="str">
        <f t="shared" si="0"/>
        <v/>
      </c>
      <c r="I1960" s="52" t="e">
        <f>SUMIFS(OUT!$F$2:$F$11000,OUT!$H$2:$H$11000,H1960,OUT!$D$2:$D$101007,"In")</f>
        <v>#VALUE!</v>
      </c>
      <c r="J1960" s="52">
        <f ca="1">SUMIFS(OUT!$F$2:$F$11000,OUT!$H$2:$H$11000,H1960,OUT!$D$2:$D$11000,"Out")</f>
        <v>0</v>
      </c>
      <c r="K1960" s="52">
        <f ca="1">SUMIFS(OUT!$F$2:$F$11000,OUT!$H$2:$H$11000,H1960,OUT!$D$2:$D$11000,"Out",OUT!$E$2:$E$11000,"Fix")</f>
        <v>0</v>
      </c>
      <c r="L1960" s="52">
        <f ca="1">SUMIFS(OUT!$F$2:$F$11000,OUT!$H$2:$H$11000,H1960,OUT!$D$2:$D$11000,"Out",OUT!$E$2:$E$11000,"Bathroom")</f>
        <v>0</v>
      </c>
      <c r="M1960" s="52">
        <f ca="1">SUMIFS(OUT!$F$2:$F$11000,OUT!$H$2:$H$11000,H1960,OUT!$D$2:$D$11000,"Out",OUT!$E$2:$E$11000,"Alfa")</f>
        <v>0</v>
      </c>
      <c r="N1960" s="52" t="e">
        <f>SUMIFS(OUT!$F$2:$F$11000,OUT!$H$2:$H$101007,H1960,OUT!$D$2:$D$11000,"Out",OUT!$E$2:$E$11000,"Jajan")</f>
        <v>#VALUE!</v>
      </c>
      <c r="O1960" s="52">
        <f ca="1">SUMIFS(OUT!$F$2:$F$11000,OUT!$H$2:$H$11000,H1960,OUT!$D$2:$D$11000,"Out",OUT!$E$2:$E$11000,"Kitchen")</f>
        <v>0</v>
      </c>
      <c r="P1960" s="52">
        <f ca="1">SUMIFS(OUT!$F$2:$F$11000,OUT!$H$2:$H$11000,H1960,OUT!$D$2:$D$11000,"Out",OUT!$E$2:$E$11000,"Loandry")</f>
        <v>0</v>
      </c>
      <c r="Q1960" s="52">
        <f ca="1">SUMIFS(OUT!$F$2:$F$11000,OUT!$H$2:$H$11000,H1960,OUT!$D$2:$D$11000,"Out",OUT!$E$2:$E$11000,"Mio")</f>
        <v>0</v>
      </c>
      <c r="R1960" s="52">
        <f ca="1">SUMIFS(OUT!$F$2:$F$11000,OUT!$H$2:$H$11000,H1960,OUT!$D$2:$D$11000,"Out",OUT!$E$2:$E$11000,"Sedekah")</f>
        <v>0</v>
      </c>
      <c r="S1960" s="52">
        <f ca="1">SUMIFS(OUT!$F$2:$F$11000,OUT!$H$2:$H$11000,H1960,OUT!$D$2:$D$11000,"Out",OUT!$E$2:$E$11000,"Zela")</f>
        <v>0</v>
      </c>
      <c r="T1960" s="52">
        <f ca="1">SUMIFS(OUT!$F$2:$F$11000,OUT!$H$2:$H$11000,H1960,OUT!$D$2:$D$11000,"Out",OUT!$E$2:$E$11000,"Iqbal")</f>
        <v>0</v>
      </c>
    </row>
    <row r="1961" spans="7:20" x14ac:dyDescent="0.2">
      <c r="G1961" s="50"/>
      <c r="H1961" s="51" t="str">
        <f t="shared" si="0"/>
        <v/>
      </c>
      <c r="I1961" s="52" t="e">
        <f>SUMIFS(OUT!$F$2:$F$11000,OUT!$H$2:$H$11000,H1961,OUT!$D$2:$D$101007,"In")</f>
        <v>#VALUE!</v>
      </c>
      <c r="J1961" s="52">
        <f ca="1">SUMIFS(OUT!$F$2:$F$11000,OUT!$H$2:$H$11000,H1961,OUT!$D$2:$D$11000,"Out")</f>
        <v>0</v>
      </c>
      <c r="K1961" s="52">
        <f ca="1">SUMIFS(OUT!$F$2:$F$11000,OUT!$H$2:$H$11000,H1961,OUT!$D$2:$D$11000,"Out",OUT!$E$2:$E$11000,"Fix")</f>
        <v>0</v>
      </c>
      <c r="L1961" s="52">
        <f ca="1">SUMIFS(OUT!$F$2:$F$11000,OUT!$H$2:$H$11000,H1961,OUT!$D$2:$D$11000,"Out",OUT!$E$2:$E$11000,"Bathroom")</f>
        <v>0</v>
      </c>
      <c r="M1961" s="52">
        <f ca="1">SUMIFS(OUT!$F$2:$F$11000,OUT!$H$2:$H$11000,H1961,OUT!$D$2:$D$11000,"Out",OUT!$E$2:$E$11000,"Alfa")</f>
        <v>0</v>
      </c>
      <c r="N1961" s="52" t="e">
        <f>SUMIFS(OUT!$F$2:$F$11000,OUT!$H$2:$H$101007,H1961,OUT!$D$2:$D$11000,"Out",OUT!$E$2:$E$11000,"Jajan")</f>
        <v>#VALUE!</v>
      </c>
      <c r="O1961" s="52">
        <f ca="1">SUMIFS(OUT!$F$2:$F$11000,OUT!$H$2:$H$11000,H1961,OUT!$D$2:$D$11000,"Out",OUT!$E$2:$E$11000,"Kitchen")</f>
        <v>0</v>
      </c>
      <c r="P1961" s="52">
        <f ca="1">SUMIFS(OUT!$F$2:$F$11000,OUT!$H$2:$H$11000,H1961,OUT!$D$2:$D$11000,"Out",OUT!$E$2:$E$11000,"Loandry")</f>
        <v>0</v>
      </c>
      <c r="Q1961" s="52">
        <f ca="1">SUMIFS(OUT!$F$2:$F$11000,OUT!$H$2:$H$11000,H1961,OUT!$D$2:$D$11000,"Out",OUT!$E$2:$E$11000,"Mio")</f>
        <v>0</v>
      </c>
      <c r="R1961" s="52">
        <f ca="1">SUMIFS(OUT!$F$2:$F$11000,OUT!$H$2:$H$11000,H1961,OUT!$D$2:$D$11000,"Out",OUT!$E$2:$E$11000,"Sedekah")</f>
        <v>0</v>
      </c>
      <c r="S1961" s="52">
        <f ca="1">SUMIFS(OUT!$F$2:$F$11000,OUT!$H$2:$H$11000,H1961,OUT!$D$2:$D$11000,"Out",OUT!$E$2:$E$11000,"Zela")</f>
        <v>0</v>
      </c>
      <c r="T1961" s="52">
        <f ca="1">SUMIFS(OUT!$F$2:$F$11000,OUT!$H$2:$H$11000,H1961,OUT!$D$2:$D$11000,"Out",OUT!$E$2:$E$11000,"Iqbal")</f>
        <v>0</v>
      </c>
    </row>
    <row r="1962" spans="7:20" x14ac:dyDescent="0.2">
      <c r="G1962" s="50"/>
      <c r="H1962" s="51" t="str">
        <f t="shared" si="0"/>
        <v/>
      </c>
      <c r="I1962" s="52" t="e">
        <f>SUMIFS(OUT!$F$2:$F$11000,OUT!$H$2:$H$11000,H1962,OUT!$D$2:$D$101007,"In")</f>
        <v>#VALUE!</v>
      </c>
      <c r="J1962" s="52">
        <f ca="1">SUMIFS(OUT!$F$2:$F$11000,OUT!$H$2:$H$11000,H1962,OUT!$D$2:$D$11000,"Out")</f>
        <v>0</v>
      </c>
      <c r="K1962" s="52">
        <f ca="1">SUMIFS(OUT!$F$2:$F$11000,OUT!$H$2:$H$11000,H1962,OUT!$D$2:$D$11000,"Out",OUT!$E$2:$E$11000,"Fix")</f>
        <v>0</v>
      </c>
      <c r="L1962" s="52">
        <f ca="1">SUMIFS(OUT!$F$2:$F$11000,OUT!$H$2:$H$11000,H1962,OUT!$D$2:$D$11000,"Out",OUT!$E$2:$E$11000,"Bathroom")</f>
        <v>0</v>
      </c>
      <c r="M1962" s="52">
        <f ca="1">SUMIFS(OUT!$F$2:$F$11000,OUT!$H$2:$H$11000,H1962,OUT!$D$2:$D$11000,"Out",OUT!$E$2:$E$11000,"Alfa")</f>
        <v>0</v>
      </c>
      <c r="N1962" s="52" t="e">
        <f>SUMIFS(OUT!$F$2:$F$11000,OUT!$H$2:$H$101007,H1962,OUT!$D$2:$D$11000,"Out",OUT!$E$2:$E$11000,"Jajan")</f>
        <v>#VALUE!</v>
      </c>
      <c r="O1962" s="52">
        <f ca="1">SUMIFS(OUT!$F$2:$F$11000,OUT!$H$2:$H$11000,H1962,OUT!$D$2:$D$11000,"Out",OUT!$E$2:$E$11000,"Kitchen")</f>
        <v>0</v>
      </c>
      <c r="P1962" s="52">
        <f ca="1">SUMIFS(OUT!$F$2:$F$11000,OUT!$H$2:$H$11000,H1962,OUT!$D$2:$D$11000,"Out",OUT!$E$2:$E$11000,"Loandry")</f>
        <v>0</v>
      </c>
      <c r="Q1962" s="52">
        <f ca="1">SUMIFS(OUT!$F$2:$F$11000,OUT!$H$2:$H$11000,H1962,OUT!$D$2:$D$11000,"Out",OUT!$E$2:$E$11000,"Mio")</f>
        <v>0</v>
      </c>
      <c r="R1962" s="52">
        <f ca="1">SUMIFS(OUT!$F$2:$F$11000,OUT!$H$2:$H$11000,H1962,OUT!$D$2:$D$11000,"Out",OUT!$E$2:$E$11000,"Sedekah")</f>
        <v>0</v>
      </c>
      <c r="S1962" s="52">
        <f ca="1">SUMIFS(OUT!$F$2:$F$11000,OUT!$H$2:$H$11000,H1962,OUT!$D$2:$D$11000,"Out",OUT!$E$2:$E$11000,"Zela")</f>
        <v>0</v>
      </c>
      <c r="T1962" s="52">
        <f ca="1">SUMIFS(OUT!$F$2:$F$11000,OUT!$H$2:$H$11000,H1962,OUT!$D$2:$D$11000,"Out",OUT!$E$2:$E$11000,"Iqbal")</f>
        <v>0</v>
      </c>
    </row>
    <row r="1963" spans="7:20" x14ac:dyDescent="0.2">
      <c r="G1963" s="50"/>
      <c r="H1963" s="51" t="str">
        <f t="shared" si="0"/>
        <v/>
      </c>
      <c r="I1963" s="52" t="e">
        <f>SUMIFS(OUT!$F$2:$F$11000,OUT!$H$2:$H$11000,H1963,OUT!$D$2:$D$101007,"In")</f>
        <v>#VALUE!</v>
      </c>
      <c r="J1963" s="52">
        <f ca="1">SUMIFS(OUT!$F$2:$F$11000,OUT!$H$2:$H$11000,H1963,OUT!$D$2:$D$11000,"Out")</f>
        <v>0</v>
      </c>
      <c r="K1963" s="52">
        <f ca="1">SUMIFS(OUT!$F$2:$F$11000,OUT!$H$2:$H$11000,H1963,OUT!$D$2:$D$11000,"Out",OUT!$E$2:$E$11000,"Fix")</f>
        <v>0</v>
      </c>
      <c r="L1963" s="52">
        <f ca="1">SUMIFS(OUT!$F$2:$F$11000,OUT!$H$2:$H$11000,H1963,OUT!$D$2:$D$11000,"Out",OUT!$E$2:$E$11000,"Bathroom")</f>
        <v>0</v>
      </c>
      <c r="M1963" s="52">
        <f ca="1">SUMIFS(OUT!$F$2:$F$11000,OUT!$H$2:$H$11000,H1963,OUT!$D$2:$D$11000,"Out",OUT!$E$2:$E$11000,"Alfa")</f>
        <v>0</v>
      </c>
      <c r="N1963" s="52" t="e">
        <f>SUMIFS(OUT!$F$2:$F$11000,OUT!$H$2:$H$101007,H1963,OUT!$D$2:$D$11000,"Out",OUT!$E$2:$E$11000,"Jajan")</f>
        <v>#VALUE!</v>
      </c>
      <c r="O1963" s="52">
        <f ca="1">SUMIFS(OUT!$F$2:$F$11000,OUT!$H$2:$H$11000,H1963,OUT!$D$2:$D$11000,"Out",OUT!$E$2:$E$11000,"Kitchen")</f>
        <v>0</v>
      </c>
      <c r="P1963" s="52">
        <f ca="1">SUMIFS(OUT!$F$2:$F$11000,OUT!$H$2:$H$11000,H1963,OUT!$D$2:$D$11000,"Out",OUT!$E$2:$E$11000,"Loandry")</f>
        <v>0</v>
      </c>
      <c r="Q1963" s="52">
        <f ca="1">SUMIFS(OUT!$F$2:$F$11000,OUT!$H$2:$H$11000,H1963,OUT!$D$2:$D$11000,"Out",OUT!$E$2:$E$11000,"Mio")</f>
        <v>0</v>
      </c>
      <c r="R1963" s="52">
        <f ca="1">SUMIFS(OUT!$F$2:$F$11000,OUT!$H$2:$H$11000,H1963,OUT!$D$2:$D$11000,"Out",OUT!$E$2:$E$11000,"Sedekah")</f>
        <v>0</v>
      </c>
      <c r="S1963" s="52">
        <f ca="1">SUMIFS(OUT!$F$2:$F$11000,OUT!$H$2:$H$11000,H1963,OUT!$D$2:$D$11000,"Out",OUT!$E$2:$E$11000,"Zela")</f>
        <v>0</v>
      </c>
      <c r="T1963" s="52">
        <f ca="1">SUMIFS(OUT!$F$2:$F$11000,OUT!$H$2:$H$11000,H1963,OUT!$D$2:$D$11000,"Out",OUT!$E$2:$E$11000,"Iqbal")</f>
        <v>0</v>
      </c>
    </row>
    <row r="1964" spans="7:20" x14ac:dyDescent="0.2">
      <c r="G1964" s="50"/>
      <c r="H1964" s="51" t="str">
        <f t="shared" si="0"/>
        <v/>
      </c>
      <c r="I1964" s="52" t="e">
        <f>SUMIFS(OUT!$F$2:$F$11000,OUT!$H$2:$H$11000,H1964,OUT!$D$2:$D$101007,"In")</f>
        <v>#VALUE!</v>
      </c>
      <c r="J1964" s="52">
        <f ca="1">SUMIFS(OUT!$F$2:$F$11000,OUT!$H$2:$H$11000,H1964,OUT!$D$2:$D$11000,"Out")</f>
        <v>0</v>
      </c>
      <c r="K1964" s="52">
        <f ca="1">SUMIFS(OUT!$F$2:$F$11000,OUT!$H$2:$H$11000,H1964,OUT!$D$2:$D$11000,"Out",OUT!$E$2:$E$11000,"Fix")</f>
        <v>0</v>
      </c>
      <c r="L1964" s="52">
        <f ca="1">SUMIFS(OUT!$F$2:$F$11000,OUT!$H$2:$H$11000,H1964,OUT!$D$2:$D$11000,"Out",OUT!$E$2:$E$11000,"Bathroom")</f>
        <v>0</v>
      </c>
      <c r="M1964" s="52">
        <f ca="1">SUMIFS(OUT!$F$2:$F$11000,OUT!$H$2:$H$11000,H1964,OUT!$D$2:$D$11000,"Out",OUT!$E$2:$E$11000,"Alfa")</f>
        <v>0</v>
      </c>
      <c r="N1964" s="52" t="e">
        <f>SUMIFS(OUT!$F$2:$F$11000,OUT!$H$2:$H$101007,H1964,OUT!$D$2:$D$11000,"Out",OUT!$E$2:$E$11000,"Jajan")</f>
        <v>#VALUE!</v>
      </c>
      <c r="O1964" s="52">
        <f ca="1">SUMIFS(OUT!$F$2:$F$11000,OUT!$H$2:$H$11000,H1964,OUT!$D$2:$D$11000,"Out",OUT!$E$2:$E$11000,"Kitchen")</f>
        <v>0</v>
      </c>
      <c r="P1964" s="52">
        <f ca="1">SUMIFS(OUT!$F$2:$F$11000,OUT!$H$2:$H$11000,H1964,OUT!$D$2:$D$11000,"Out",OUT!$E$2:$E$11000,"Loandry")</f>
        <v>0</v>
      </c>
      <c r="Q1964" s="52">
        <f ca="1">SUMIFS(OUT!$F$2:$F$11000,OUT!$H$2:$H$11000,H1964,OUT!$D$2:$D$11000,"Out",OUT!$E$2:$E$11000,"Mio")</f>
        <v>0</v>
      </c>
      <c r="R1964" s="52">
        <f ca="1">SUMIFS(OUT!$F$2:$F$11000,OUT!$H$2:$H$11000,H1964,OUT!$D$2:$D$11000,"Out",OUT!$E$2:$E$11000,"Sedekah")</f>
        <v>0</v>
      </c>
      <c r="S1964" s="52">
        <f ca="1">SUMIFS(OUT!$F$2:$F$11000,OUT!$H$2:$H$11000,H1964,OUT!$D$2:$D$11000,"Out",OUT!$E$2:$E$11000,"Zela")</f>
        <v>0</v>
      </c>
      <c r="T1964" s="52">
        <f ca="1">SUMIFS(OUT!$F$2:$F$11000,OUT!$H$2:$H$11000,H1964,OUT!$D$2:$D$11000,"Out",OUT!$E$2:$E$11000,"Iqbal")</f>
        <v>0</v>
      </c>
    </row>
    <row r="1965" spans="7:20" x14ac:dyDescent="0.2">
      <c r="G1965" s="50"/>
      <c r="H1965" s="51" t="str">
        <f t="shared" si="0"/>
        <v/>
      </c>
      <c r="I1965" s="52" t="e">
        <f>SUMIFS(OUT!$F$2:$F$11000,OUT!$H$2:$H$11000,H1965,OUT!$D$2:$D$101007,"In")</f>
        <v>#VALUE!</v>
      </c>
      <c r="J1965" s="52">
        <f ca="1">SUMIFS(OUT!$F$2:$F$11000,OUT!$H$2:$H$11000,H1965,OUT!$D$2:$D$11000,"Out")</f>
        <v>0</v>
      </c>
      <c r="K1965" s="52">
        <f ca="1">SUMIFS(OUT!$F$2:$F$11000,OUT!$H$2:$H$11000,H1965,OUT!$D$2:$D$11000,"Out",OUT!$E$2:$E$11000,"Fix")</f>
        <v>0</v>
      </c>
      <c r="L1965" s="52">
        <f ca="1">SUMIFS(OUT!$F$2:$F$11000,OUT!$H$2:$H$11000,H1965,OUT!$D$2:$D$11000,"Out",OUT!$E$2:$E$11000,"Bathroom")</f>
        <v>0</v>
      </c>
      <c r="M1965" s="52">
        <f ca="1">SUMIFS(OUT!$F$2:$F$11000,OUT!$H$2:$H$11000,H1965,OUT!$D$2:$D$11000,"Out",OUT!$E$2:$E$11000,"Alfa")</f>
        <v>0</v>
      </c>
      <c r="N1965" s="52" t="e">
        <f>SUMIFS(OUT!$F$2:$F$11000,OUT!$H$2:$H$101007,H1965,OUT!$D$2:$D$11000,"Out",OUT!$E$2:$E$11000,"Jajan")</f>
        <v>#VALUE!</v>
      </c>
      <c r="O1965" s="52">
        <f ca="1">SUMIFS(OUT!$F$2:$F$11000,OUT!$H$2:$H$11000,H1965,OUT!$D$2:$D$11000,"Out",OUT!$E$2:$E$11000,"Kitchen")</f>
        <v>0</v>
      </c>
      <c r="P1965" s="52">
        <f ca="1">SUMIFS(OUT!$F$2:$F$11000,OUT!$H$2:$H$11000,H1965,OUT!$D$2:$D$11000,"Out",OUT!$E$2:$E$11000,"Loandry")</f>
        <v>0</v>
      </c>
      <c r="Q1965" s="52">
        <f ca="1">SUMIFS(OUT!$F$2:$F$11000,OUT!$H$2:$H$11000,H1965,OUT!$D$2:$D$11000,"Out",OUT!$E$2:$E$11000,"Mio")</f>
        <v>0</v>
      </c>
      <c r="R1965" s="52">
        <f ca="1">SUMIFS(OUT!$F$2:$F$11000,OUT!$H$2:$H$11000,H1965,OUT!$D$2:$D$11000,"Out",OUT!$E$2:$E$11000,"Sedekah")</f>
        <v>0</v>
      </c>
      <c r="S1965" s="52">
        <f ca="1">SUMIFS(OUT!$F$2:$F$11000,OUT!$H$2:$H$11000,H1965,OUT!$D$2:$D$11000,"Out",OUT!$E$2:$E$11000,"Zela")</f>
        <v>0</v>
      </c>
      <c r="T1965" s="52">
        <f ca="1">SUMIFS(OUT!$F$2:$F$11000,OUT!$H$2:$H$11000,H1965,OUT!$D$2:$D$11000,"Out",OUT!$E$2:$E$11000,"Iqbal")</f>
        <v>0</v>
      </c>
    </row>
    <row r="1966" spans="7:20" x14ac:dyDescent="0.2">
      <c r="G1966" s="50"/>
      <c r="H1966" s="51" t="str">
        <f t="shared" si="0"/>
        <v/>
      </c>
      <c r="I1966" s="52" t="e">
        <f>SUMIFS(OUT!$F$2:$F$11000,OUT!$H$2:$H$11000,H1966,OUT!$D$2:$D$101007,"In")</f>
        <v>#VALUE!</v>
      </c>
      <c r="J1966" s="52">
        <f ca="1">SUMIFS(OUT!$F$2:$F$11000,OUT!$H$2:$H$11000,H1966,OUT!$D$2:$D$11000,"Out")</f>
        <v>0</v>
      </c>
      <c r="K1966" s="52">
        <f ca="1">SUMIFS(OUT!$F$2:$F$11000,OUT!$H$2:$H$11000,H1966,OUT!$D$2:$D$11000,"Out",OUT!$E$2:$E$11000,"Fix")</f>
        <v>0</v>
      </c>
      <c r="L1966" s="52">
        <f ca="1">SUMIFS(OUT!$F$2:$F$11000,OUT!$H$2:$H$11000,H1966,OUT!$D$2:$D$11000,"Out",OUT!$E$2:$E$11000,"Bathroom")</f>
        <v>0</v>
      </c>
      <c r="M1966" s="52">
        <f ca="1">SUMIFS(OUT!$F$2:$F$11000,OUT!$H$2:$H$11000,H1966,OUT!$D$2:$D$11000,"Out",OUT!$E$2:$E$11000,"Alfa")</f>
        <v>0</v>
      </c>
      <c r="N1966" s="52" t="e">
        <f>SUMIFS(OUT!$F$2:$F$11000,OUT!$H$2:$H$101007,H1966,OUT!$D$2:$D$11000,"Out",OUT!$E$2:$E$11000,"Jajan")</f>
        <v>#VALUE!</v>
      </c>
      <c r="O1966" s="52">
        <f ca="1">SUMIFS(OUT!$F$2:$F$11000,OUT!$H$2:$H$11000,H1966,OUT!$D$2:$D$11000,"Out",OUT!$E$2:$E$11000,"Kitchen")</f>
        <v>0</v>
      </c>
      <c r="P1966" s="52">
        <f ca="1">SUMIFS(OUT!$F$2:$F$11000,OUT!$H$2:$H$11000,H1966,OUT!$D$2:$D$11000,"Out",OUT!$E$2:$E$11000,"Loandry")</f>
        <v>0</v>
      </c>
      <c r="Q1966" s="52">
        <f ca="1">SUMIFS(OUT!$F$2:$F$11000,OUT!$H$2:$H$11000,H1966,OUT!$D$2:$D$11000,"Out",OUT!$E$2:$E$11000,"Mio")</f>
        <v>0</v>
      </c>
      <c r="R1966" s="52">
        <f ca="1">SUMIFS(OUT!$F$2:$F$11000,OUT!$H$2:$H$11000,H1966,OUT!$D$2:$D$11000,"Out",OUT!$E$2:$E$11000,"Sedekah")</f>
        <v>0</v>
      </c>
      <c r="S1966" s="52">
        <f ca="1">SUMIFS(OUT!$F$2:$F$11000,OUT!$H$2:$H$11000,H1966,OUT!$D$2:$D$11000,"Out",OUT!$E$2:$E$11000,"Zela")</f>
        <v>0</v>
      </c>
      <c r="T1966" s="52">
        <f ca="1">SUMIFS(OUT!$F$2:$F$11000,OUT!$H$2:$H$11000,H1966,OUT!$D$2:$D$11000,"Out",OUT!$E$2:$E$11000,"Iqbal")</f>
        <v>0</v>
      </c>
    </row>
    <row r="1967" spans="7:20" x14ac:dyDescent="0.2">
      <c r="G1967" s="50"/>
      <c r="H1967" s="51" t="str">
        <f t="shared" si="0"/>
        <v/>
      </c>
      <c r="I1967" s="52" t="e">
        <f>SUMIFS(OUT!$F$2:$F$11000,OUT!$H$2:$H$11000,H1967,OUT!$D$2:$D$101007,"In")</f>
        <v>#VALUE!</v>
      </c>
      <c r="J1967" s="52">
        <f ca="1">SUMIFS(OUT!$F$2:$F$11000,OUT!$H$2:$H$11000,H1967,OUT!$D$2:$D$11000,"Out")</f>
        <v>0</v>
      </c>
      <c r="K1967" s="52">
        <f ca="1">SUMIFS(OUT!$F$2:$F$11000,OUT!$H$2:$H$11000,H1967,OUT!$D$2:$D$11000,"Out",OUT!$E$2:$E$11000,"Fix")</f>
        <v>0</v>
      </c>
      <c r="L1967" s="52">
        <f ca="1">SUMIFS(OUT!$F$2:$F$11000,OUT!$H$2:$H$11000,H1967,OUT!$D$2:$D$11000,"Out",OUT!$E$2:$E$11000,"Bathroom")</f>
        <v>0</v>
      </c>
      <c r="M1967" s="52">
        <f ca="1">SUMIFS(OUT!$F$2:$F$11000,OUT!$H$2:$H$11000,H1967,OUT!$D$2:$D$11000,"Out",OUT!$E$2:$E$11000,"Alfa")</f>
        <v>0</v>
      </c>
      <c r="N1967" s="52" t="e">
        <f>SUMIFS(OUT!$F$2:$F$11000,OUT!$H$2:$H$101007,H1967,OUT!$D$2:$D$11000,"Out",OUT!$E$2:$E$11000,"Jajan")</f>
        <v>#VALUE!</v>
      </c>
      <c r="O1967" s="52">
        <f ca="1">SUMIFS(OUT!$F$2:$F$11000,OUT!$H$2:$H$11000,H1967,OUT!$D$2:$D$11000,"Out",OUT!$E$2:$E$11000,"Kitchen")</f>
        <v>0</v>
      </c>
      <c r="P1967" s="52">
        <f ca="1">SUMIFS(OUT!$F$2:$F$11000,OUT!$H$2:$H$11000,H1967,OUT!$D$2:$D$11000,"Out",OUT!$E$2:$E$11000,"Loandry")</f>
        <v>0</v>
      </c>
      <c r="Q1967" s="52">
        <f ca="1">SUMIFS(OUT!$F$2:$F$11000,OUT!$H$2:$H$11000,H1967,OUT!$D$2:$D$11000,"Out",OUT!$E$2:$E$11000,"Mio")</f>
        <v>0</v>
      </c>
      <c r="R1967" s="52">
        <f ca="1">SUMIFS(OUT!$F$2:$F$11000,OUT!$H$2:$H$11000,H1967,OUT!$D$2:$D$11000,"Out",OUT!$E$2:$E$11000,"Sedekah")</f>
        <v>0</v>
      </c>
      <c r="S1967" s="52">
        <f ca="1">SUMIFS(OUT!$F$2:$F$11000,OUT!$H$2:$H$11000,H1967,OUT!$D$2:$D$11000,"Out",OUT!$E$2:$E$11000,"Zela")</f>
        <v>0</v>
      </c>
      <c r="T1967" s="52">
        <f ca="1">SUMIFS(OUT!$F$2:$F$11000,OUT!$H$2:$H$11000,H1967,OUT!$D$2:$D$11000,"Out",OUT!$E$2:$E$11000,"Iqbal")</f>
        <v>0</v>
      </c>
    </row>
    <row r="1968" spans="7:20" x14ac:dyDescent="0.2">
      <c r="G1968" s="50"/>
      <c r="H1968" s="51" t="str">
        <f t="shared" si="0"/>
        <v/>
      </c>
      <c r="I1968" s="52" t="e">
        <f>SUMIFS(OUT!$F$2:$F$11000,OUT!$H$2:$H$11000,H1968,OUT!$D$2:$D$101007,"In")</f>
        <v>#VALUE!</v>
      </c>
      <c r="J1968" s="52">
        <f ca="1">SUMIFS(OUT!$F$2:$F$11000,OUT!$H$2:$H$11000,H1968,OUT!$D$2:$D$11000,"Out")</f>
        <v>0</v>
      </c>
      <c r="K1968" s="52">
        <f ca="1">SUMIFS(OUT!$F$2:$F$11000,OUT!$H$2:$H$11000,H1968,OUT!$D$2:$D$11000,"Out",OUT!$E$2:$E$11000,"Fix")</f>
        <v>0</v>
      </c>
      <c r="L1968" s="52">
        <f ca="1">SUMIFS(OUT!$F$2:$F$11000,OUT!$H$2:$H$11000,H1968,OUT!$D$2:$D$11000,"Out",OUT!$E$2:$E$11000,"Bathroom")</f>
        <v>0</v>
      </c>
      <c r="M1968" s="52">
        <f ca="1">SUMIFS(OUT!$F$2:$F$11000,OUT!$H$2:$H$11000,H1968,OUT!$D$2:$D$11000,"Out",OUT!$E$2:$E$11000,"Alfa")</f>
        <v>0</v>
      </c>
      <c r="N1968" s="52" t="e">
        <f>SUMIFS(OUT!$F$2:$F$11000,OUT!$H$2:$H$101007,H1968,OUT!$D$2:$D$11000,"Out",OUT!$E$2:$E$11000,"Jajan")</f>
        <v>#VALUE!</v>
      </c>
      <c r="O1968" s="52">
        <f ca="1">SUMIFS(OUT!$F$2:$F$11000,OUT!$H$2:$H$11000,H1968,OUT!$D$2:$D$11000,"Out",OUT!$E$2:$E$11000,"Kitchen")</f>
        <v>0</v>
      </c>
      <c r="P1968" s="52">
        <f ca="1">SUMIFS(OUT!$F$2:$F$11000,OUT!$H$2:$H$11000,H1968,OUT!$D$2:$D$11000,"Out",OUT!$E$2:$E$11000,"Loandry")</f>
        <v>0</v>
      </c>
      <c r="Q1968" s="52">
        <f ca="1">SUMIFS(OUT!$F$2:$F$11000,OUT!$H$2:$H$11000,H1968,OUT!$D$2:$D$11000,"Out",OUT!$E$2:$E$11000,"Mio")</f>
        <v>0</v>
      </c>
      <c r="R1968" s="52">
        <f ca="1">SUMIFS(OUT!$F$2:$F$11000,OUT!$H$2:$H$11000,H1968,OUT!$D$2:$D$11000,"Out",OUT!$E$2:$E$11000,"Sedekah")</f>
        <v>0</v>
      </c>
      <c r="S1968" s="52">
        <f ca="1">SUMIFS(OUT!$F$2:$F$11000,OUT!$H$2:$H$11000,H1968,OUT!$D$2:$D$11000,"Out",OUT!$E$2:$E$11000,"Zela")</f>
        <v>0</v>
      </c>
      <c r="T1968" s="52">
        <f ca="1">SUMIFS(OUT!$F$2:$F$11000,OUT!$H$2:$H$11000,H1968,OUT!$D$2:$D$11000,"Out",OUT!$E$2:$E$11000,"Iqbal")</f>
        <v>0</v>
      </c>
    </row>
    <row r="1969" spans="7:20" x14ac:dyDescent="0.2">
      <c r="G1969" s="50"/>
      <c r="H1969" s="51" t="str">
        <f t="shared" si="0"/>
        <v/>
      </c>
      <c r="I1969" s="52" t="e">
        <f>SUMIFS(OUT!$F$2:$F$11000,OUT!$H$2:$H$11000,H1969,OUT!$D$2:$D$101007,"In")</f>
        <v>#VALUE!</v>
      </c>
      <c r="J1969" s="52">
        <f ca="1">SUMIFS(OUT!$F$2:$F$11000,OUT!$H$2:$H$11000,H1969,OUT!$D$2:$D$11000,"Out")</f>
        <v>0</v>
      </c>
      <c r="K1969" s="52">
        <f ca="1">SUMIFS(OUT!$F$2:$F$11000,OUT!$H$2:$H$11000,H1969,OUT!$D$2:$D$11000,"Out",OUT!$E$2:$E$11000,"Fix")</f>
        <v>0</v>
      </c>
      <c r="L1969" s="52">
        <f ca="1">SUMIFS(OUT!$F$2:$F$11000,OUT!$H$2:$H$11000,H1969,OUT!$D$2:$D$11000,"Out",OUT!$E$2:$E$11000,"Bathroom")</f>
        <v>0</v>
      </c>
      <c r="M1969" s="52">
        <f ca="1">SUMIFS(OUT!$F$2:$F$11000,OUT!$H$2:$H$11000,H1969,OUT!$D$2:$D$11000,"Out",OUT!$E$2:$E$11000,"Alfa")</f>
        <v>0</v>
      </c>
      <c r="N1969" s="52" t="e">
        <f>SUMIFS(OUT!$F$2:$F$11000,OUT!$H$2:$H$101007,H1969,OUT!$D$2:$D$11000,"Out",OUT!$E$2:$E$11000,"Jajan")</f>
        <v>#VALUE!</v>
      </c>
      <c r="O1969" s="52">
        <f ca="1">SUMIFS(OUT!$F$2:$F$11000,OUT!$H$2:$H$11000,H1969,OUT!$D$2:$D$11000,"Out",OUT!$E$2:$E$11000,"Kitchen")</f>
        <v>0</v>
      </c>
      <c r="P1969" s="52">
        <f ca="1">SUMIFS(OUT!$F$2:$F$11000,OUT!$H$2:$H$11000,H1969,OUT!$D$2:$D$11000,"Out",OUT!$E$2:$E$11000,"Loandry")</f>
        <v>0</v>
      </c>
      <c r="Q1969" s="52">
        <f ca="1">SUMIFS(OUT!$F$2:$F$11000,OUT!$H$2:$H$11000,H1969,OUT!$D$2:$D$11000,"Out",OUT!$E$2:$E$11000,"Mio")</f>
        <v>0</v>
      </c>
      <c r="R1969" s="52">
        <f ca="1">SUMIFS(OUT!$F$2:$F$11000,OUT!$H$2:$H$11000,H1969,OUT!$D$2:$D$11000,"Out",OUT!$E$2:$E$11000,"Sedekah")</f>
        <v>0</v>
      </c>
      <c r="S1969" s="52">
        <f ca="1">SUMIFS(OUT!$F$2:$F$11000,OUT!$H$2:$H$11000,H1969,OUT!$D$2:$D$11000,"Out",OUT!$E$2:$E$11000,"Zela")</f>
        <v>0</v>
      </c>
      <c r="T1969" s="52">
        <f ca="1">SUMIFS(OUT!$F$2:$F$11000,OUT!$H$2:$H$11000,H1969,OUT!$D$2:$D$11000,"Out",OUT!$E$2:$E$11000,"Iqbal")</f>
        <v>0</v>
      </c>
    </row>
    <row r="1970" spans="7:20" x14ac:dyDescent="0.2">
      <c r="G1970" s="50"/>
      <c r="H1970" s="51" t="str">
        <f t="shared" si="0"/>
        <v/>
      </c>
      <c r="I1970" s="52" t="e">
        <f>SUMIFS(OUT!$F$2:$F$11000,OUT!$H$2:$H$11000,H1970,OUT!$D$2:$D$101007,"In")</f>
        <v>#VALUE!</v>
      </c>
      <c r="J1970" s="52">
        <f ca="1">SUMIFS(OUT!$F$2:$F$11000,OUT!$H$2:$H$11000,H1970,OUT!$D$2:$D$11000,"Out")</f>
        <v>0</v>
      </c>
      <c r="K1970" s="52">
        <f ca="1">SUMIFS(OUT!$F$2:$F$11000,OUT!$H$2:$H$11000,H1970,OUT!$D$2:$D$11000,"Out",OUT!$E$2:$E$11000,"Fix")</f>
        <v>0</v>
      </c>
      <c r="L1970" s="52">
        <f ca="1">SUMIFS(OUT!$F$2:$F$11000,OUT!$H$2:$H$11000,H1970,OUT!$D$2:$D$11000,"Out",OUT!$E$2:$E$11000,"Bathroom")</f>
        <v>0</v>
      </c>
      <c r="M1970" s="52">
        <f ca="1">SUMIFS(OUT!$F$2:$F$11000,OUT!$H$2:$H$11000,H1970,OUT!$D$2:$D$11000,"Out",OUT!$E$2:$E$11000,"Alfa")</f>
        <v>0</v>
      </c>
      <c r="N1970" s="52" t="e">
        <f>SUMIFS(OUT!$F$2:$F$11000,OUT!$H$2:$H$101007,H1970,OUT!$D$2:$D$11000,"Out",OUT!$E$2:$E$11000,"Jajan")</f>
        <v>#VALUE!</v>
      </c>
      <c r="O1970" s="52">
        <f ca="1">SUMIFS(OUT!$F$2:$F$11000,OUT!$H$2:$H$11000,H1970,OUT!$D$2:$D$11000,"Out",OUT!$E$2:$E$11000,"Kitchen")</f>
        <v>0</v>
      </c>
      <c r="P1970" s="52">
        <f ca="1">SUMIFS(OUT!$F$2:$F$11000,OUT!$H$2:$H$11000,H1970,OUT!$D$2:$D$11000,"Out",OUT!$E$2:$E$11000,"Loandry")</f>
        <v>0</v>
      </c>
      <c r="Q1970" s="52">
        <f ca="1">SUMIFS(OUT!$F$2:$F$11000,OUT!$H$2:$H$11000,H1970,OUT!$D$2:$D$11000,"Out",OUT!$E$2:$E$11000,"Mio")</f>
        <v>0</v>
      </c>
      <c r="R1970" s="52">
        <f ca="1">SUMIFS(OUT!$F$2:$F$11000,OUT!$H$2:$H$11000,H1970,OUT!$D$2:$D$11000,"Out",OUT!$E$2:$E$11000,"Sedekah")</f>
        <v>0</v>
      </c>
      <c r="S1970" s="52">
        <f ca="1">SUMIFS(OUT!$F$2:$F$11000,OUT!$H$2:$H$11000,H1970,OUT!$D$2:$D$11000,"Out",OUT!$E$2:$E$11000,"Zela")</f>
        <v>0</v>
      </c>
      <c r="T1970" s="52">
        <f ca="1">SUMIFS(OUT!$F$2:$F$11000,OUT!$H$2:$H$11000,H1970,OUT!$D$2:$D$11000,"Out",OUT!$E$2:$E$11000,"Iqbal")</f>
        <v>0</v>
      </c>
    </row>
    <row r="1971" spans="7:20" x14ac:dyDescent="0.2">
      <c r="G1971" s="50"/>
      <c r="H1971" s="51" t="str">
        <f t="shared" si="0"/>
        <v/>
      </c>
      <c r="I1971" s="52" t="e">
        <f>SUMIFS(OUT!$F$2:$F$11000,OUT!$H$2:$H$11000,H1971,OUT!$D$2:$D$101007,"In")</f>
        <v>#VALUE!</v>
      </c>
      <c r="J1971" s="52">
        <f ca="1">SUMIFS(OUT!$F$2:$F$11000,OUT!$H$2:$H$11000,H1971,OUT!$D$2:$D$11000,"Out")</f>
        <v>0</v>
      </c>
      <c r="K1971" s="52">
        <f ca="1">SUMIFS(OUT!$F$2:$F$11000,OUT!$H$2:$H$11000,H1971,OUT!$D$2:$D$11000,"Out",OUT!$E$2:$E$11000,"Fix")</f>
        <v>0</v>
      </c>
      <c r="L1971" s="52">
        <f ca="1">SUMIFS(OUT!$F$2:$F$11000,OUT!$H$2:$H$11000,H1971,OUT!$D$2:$D$11000,"Out",OUT!$E$2:$E$11000,"Bathroom")</f>
        <v>0</v>
      </c>
      <c r="M1971" s="52">
        <f ca="1">SUMIFS(OUT!$F$2:$F$11000,OUT!$H$2:$H$11000,H1971,OUT!$D$2:$D$11000,"Out",OUT!$E$2:$E$11000,"Alfa")</f>
        <v>0</v>
      </c>
      <c r="N1971" s="52" t="e">
        <f>SUMIFS(OUT!$F$2:$F$11000,OUT!$H$2:$H$101007,H1971,OUT!$D$2:$D$11000,"Out",OUT!$E$2:$E$11000,"Jajan")</f>
        <v>#VALUE!</v>
      </c>
      <c r="O1971" s="52">
        <f ca="1">SUMIFS(OUT!$F$2:$F$11000,OUT!$H$2:$H$11000,H1971,OUT!$D$2:$D$11000,"Out",OUT!$E$2:$E$11000,"Kitchen")</f>
        <v>0</v>
      </c>
      <c r="P1971" s="52">
        <f ca="1">SUMIFS(OUT!$F$2:$F$11000,OUT!$H$2:$H$11000,H1971,OUT!$D$2:$D$11000,"Out",OUT!$E$2:$E$11000,"Loandry")</f>
        <v>0</v>
      </c>
      <c r="Q1971" s="52">
        <f ca="1">SUMIFS(OUT!$F$2:$F$11000,OUT!$H$2:$H$11000,H1971,OUT!$D$2:$D$11000,"Out",OUT!$E$2:$E$11000,"Mio")</f>
        <v>0</v>
      </c>
      <c r="R1971" s="52">
        <f ca="1">SUMIFS(OUT!$F$2:$F$11000,OUT!$H$2:$H$11000,H1971,OUT!$D$2:$D$11000,"Out",OUT!$E$2:$E$11000,"Sedekah")</f>
        <v>0</v>
      </c>
      <c r="S1971" s="52">
        <f ca="1">SUMIFS(OUT!$F$2:$F$11000,OUT!$H$2:$H$11000,H1971,OUT!$D$2:$D$11000,"Out",OUT!$E$2:$E$11000,"Zela")</f>
        <v>0</v>
      </c>
      <c r="T1971" s="52">
        <f ca="1">SUMIFS(OUT!$F$2:$F$11000,OUT!$H$2:$H$11000,H1971,OUT!$D$2:$D$11000,"Out",OUT!$E$2:$E$11000,"Iqbal")</f>
        <v>0</v>
      </c>
    </row>
    <row r="1972" spans="7:20" x14ac:dyDescent="0.2">
      <c r="G1972" s="50"/>
      <c r="H1972" s="51" t="str">
        <f t="shared" si="0"/>
        <v/>
      </c>
      <c r="I1972" s="52" t="e">
        <f>SUMIFS(OUT!$F$2:$F$11000,OUT!$H$2:$H$11000,H1972,OUT!$D$2:$D$101007,"In")</f>
        <v>#VALUE!</v>
      </c>
      <c r="J1972" s="52">
        <f ca="1">SUMIFS(OUT!$F$2:$F$11000,OUT!$H$2:$H$11000,H1972,OUT!$D$2:$D$11000,"Out")</f>
        <v>0</v>
      </c>
      <c r="K1972" s="52">
        <f ca="1">SUMIFS(OUT!$F$2:$F$11000,OUT!$H$2:$H$11000,H1972,OUT!$D$2:$D$11000,"Out",OUT!$E$2:$E$11000,"Fix")</f>
        <v>0</v>
      </c>
      <c r="L1972" s="52">
        <f ca="1">SUMIFS(OUT!$F$2:$F$11000,OUT!$H$2:$H$11000,H1972,OUT!$D$2:$D$11000,"Out",OUT!$E$2:$E$11000,"Bathroom")</f>
        <v>0</v>
      </c>
      <c r="M1972" s="52">
        <f ca="1">SUMIFS(OUT!$F$2:$F$11000,OUT!$H$2:$H$11000,H1972,OUT!$D$2:$D$11000,"Out",OUT!$E$2:$E$11000,"Alfa")</f>
        <v>0</v>
      </c>
      <c r="N1972" s="52" t="e">
        <f>SUMIFS(OUT!$F$2:$F$11000,OUT!$H$2:$H$101007,H1972,OUT!$D$2:$D$11000,"Out",OUT!$E$2:$E$11000,"Jajan")</f>
        <v>#VALUE!</v>
      </c>
      <c r="O1972" s="52">
        <f ca="1">SUMIFS(OUT!$F$2:$F$11000,OUT!$H$2:$H$11000,H1972,OUT!$D$2:$D$11000,"Out",OUT!$E$2:$E$11000,"Kitchen")</f>
        <v>0</v>
      </c>
      <c r="P1972" s="52">
        <f ca="1">SUMIFS(OUT!$F$2:$F$11000,OUT!$H$2:$H$11000,H1972,OUT!$D$2:$D$11000,"Out",OUT!$E$2:$E$11000,"Loandry")</f>
        <v>0</v>
      </c>
      <c r="Q1972" s="52">
        <f ca="1">SUMIFS(OUT!$F$2:$F$11000,OUT!$H$2:$H$11000,H1972,OUT!$D$2:$D$11000,"Out",OUT!$E$2:$E$11000,"Mio")</f>
        <v>0</v>
      </c>
      <c r="R1972" s="52">
        <f ca="1">SUMIFS(OUT!$F$2:$F$11000,OUT!$H$2:$H$11000,H1972,OUT!$D$2:$D$11000,"Out",OUT!$E$2:$E$11000,"Sedekah")</f>
        <v>0</v>
      </c>
      <c r="S1972" s="52">
        <f ca="1">SUMIFS(OUT!$F$2:$F$11000,OUT!$H$2:$H$11000,H1972,OUT!$D$2:$D$11000,"Out",OUT!$E$2:$E$11000,"Zela")</f>
        <v>0</v>
      </c>
      <c r="T1972" s="52">
        <f ca="1">SUMIFS(OUT!$F$2:$F$11000,OUT!$H$2:$H$11000,H1972,OUT!$D$2:$D$11000,"Out",OUT!$E$2:$E$11000,"Iqbal")</f>
        <v>0</v>
      </c>
    </row>
    <row r="1973" spans="7:20" x14ac:dyDescent="0.2">
      <c r="G1973" s="50"/>
      <c r="H1973" s="51" t="str">
        <f t="shared" si="0"/>
        <v/>
      </c>
      <c r="I1973" s="52" t="e">
        <f>SUMIFS(OUT!$F$2:$F$11000,OUT!$H$2:$H$11000,H1973,OUT!$D$2:$D$101007,"In")</f>
        <v>#VALUE!</v>
      </c>
      <c r="J1973" s="52">
        <f ca="1">SUMIFS(OUT!$F$2:$F$11000,OUT!$H$2:$H$11000,H1973,OUT!$D$2:$D$11000,"Out")</f>
        <v>0</v>
      </c>
      <c r="K1973" s="52">
        <f ca="1">SUMIFS(OUT!$F$2:$F$11000,OUT!$H$2:$H$11000,H1973,OUT!$D$2:$D$11000,"Out",OUT!$E$2:$E$11000,"Fix")</f>
        <v>0</v>
      </c>
      <c r="L1973" s="52">
        <f ca="1">SUMIFS(OUT!$F$2:$F$11000,OUT!$H$2:$H$11000,H1973,OUT!$D$2:$D$11000,"Out",OUT!$E$2:$E$11000,"Bathroom")</f>
        <v>0</v>
      </c>
      <c r="M1973" s="52">
        <f ca="1">SUMIFS(OUT!$F$2:$F$11000,OUT!$H$2:$H$11000,H1973,OUT!$D$2:$D$11000,"Out",OUT!$E$2:$E$11000,"Alfa")</f>
        <v>0</v>
      </c>
      <c r="N1973" s="52" t="e">
        <f>SUMIFS(OUT!$F$2:$F$11000,OUT!$H$2:$H$101007,H1973,OUT!$D$2:$D$11000,"Out",OUT!$E$2:$E$11000,"Jajan")</f>
        <v>#VALUE!</v>
      </c>
      <c r="O1973" s="52">
        <f ca="1">SUMIFS(OUT!$F$2:$F$11000,OUT!$H$2:$H$11000,H1973,OUT!$D$2:$D$11000,"Out",OUT!$E$2:$E$11000,"Kitchen")</f>
        <v>0</v>
      </c>
      <c r="P1973" s="52">
        <f ca="1">SUMIFS(OUT!$F$2:$F$11000,OUT!$H$2:$H$11000,H1973,OUT!$D$2:$D$11000,"Out",OUT!$E$2:$E$11000,"Loandry")</f>
        <v>0</v>
      </c>
      <c r="Q1973" s="52">
        <f ca="1">SUMIFS(OUT!$F$2:$F$11000,OUT!$H$2:$H$11000,H1973,OUT!$D$2:$D$11000,"Out",OUT!$E$2:$E$11000,"Mio")</f>
        <v>0</v>
      </c>
      <c r="R1973" s="52">
        <f ca="1">SUMIFS(OUT!$F$2:$F$11000,OUT!$H$2:$H$11000,H1973,OUT!$D$2:$D$11000,"Out",OUT!$E$2:$E$11000,"Sedekah")</f>
        <v>0</v>
      </c>
      <c r="S1973" s="52">
        <f ca="1">SUMIFS(OUT!$F$2:$F$11000,OUT!$H$2:$H$11000,H1973,OUT!$D$2:$D$11000,"Out",OUT!$E$2:$E$11000,"Zela")</f>
        <v>0</v>
      </c>
      <c r="T1973" s="52">
        <f ca="1">SUMIFS(OUT!$F$2:$F$11000,OUT!$H$2:$H$11000,H1973,OUT!$D$2:$D$11000,"Out",OUT!$E$2:$E$11000,"Iqbal")</f>
        <v>0</v>
      </c>
    </row>
    <row r="1974" spans="7:20" x14ac:dyDescent="0.2">
      <c r="G1974" s="50"/>
      <c r="H1974" s="51" t="str">
        <f t="shared" si="0"/>
        <v/>
      </c>
      <c r="I1974" s="52" t="e">
        <f>SUMIFS(OUT!$F$2:$F$11000,OUT!$H$2:$H$11000,H1974,OUT!$D$2:$D$101007,"In")</f>
        <v>#VALUE!</v>
      </c>
      <c r="J1974" s="52">
        <f ca="1">SUMIFS(OUT!$F$2:$F$11000,OUT!$H$2:$H$11000,H1974,OUT!$D$2:$D$11000,"Out")</f>
        <v>0</v>
      </c>
      <c r="K1974" s="52">
        <f ca="1">SUMIFS(OUT!$F$2:$F$11000,OUT!$H$2:$H$11000,H1974,OUT!$D$2:$D$11000,"Out",OUT!$E$2:$E$11000,"Fix")</f>
        <v>0</v>
      </c>
      <c r="L1974" s="52">
        <f ca="1">SUMIFS(OUT!$F$2:$F$11000,OUT!$H$2:$H$11000,H1974,OUT!$D$2:$D$11000,"Out",OUT!$E$2:$E$11000,"Bathroom")</f>
        <v>0</v>
      </c>
      <c r="M1974" s="52">
        <f ca="1">SUMIFS(OUT!$F$2:$F$11000,OUT!$H$2:$H$11000,H1974,OUT!$D$2:$D$11000,"Out",OUT!$E$2:$E$11000,"Alfa")</f>
        <v>0</v>
      </c>
      <c r="N1974" s="52" t="e">
        <f>SUMIFS(OUT!$F$2:$F$11000,OUT!$H$2:$H$101007,H1974,OUT!$D$2:$D$11000,"Out",OUT!$E$2:$E$11000,"Jajan")</f>
        <v>#VALUE!</v>
      </c>
      <c r="O1974" s="52">
        <f ca="1">SUMIFS(OUT!$F$2:$F$11000,OUT!$H$2:$H$11000,H1974,OUT!$D$2:$D$11000,"Out",OUT!$E$2:$E$11000,"Kitchen")</f>
        <v>0</v>
      </c>
      <c r="P1974" s="52">
        <f ca="1">SUMIFS(OUT!$F$2:$F$11000,OUT!$H$2:$H$11000,H1974,OUT!$D$2:$D$11000,"Out",OUT!$E$2:$E$11000,"Loandry")</f>
        <v>0</v>
      </c>
      <c r="Q1974" s="52">
        <f ca="1">SUMIFS(OUT!$F$2:$F$11000,OUT!$H$2:$H$11000,H1974,OUT!$D$2:$D$11000,"Out",OUT!$E$2:$E$11000,"Mio")</f>
        <v>0</v>
      </c>
      <c r="R1974" s="52">
        <f ca="1">SUMIFS(OUT!$F$2:$F$11000,OUT!$H$2:$H$11000,H1974,OUT!$D$2:$D$11000,"Out",OUT!$E$2:$E$11000,"Sedekah")</f>
        <v>0</v>
      </c>
      <c r="S1974" s="52">
        <f ca="1">SUMIFS(OUT!$F$2:$F$11000,OUT!$H$2:$H$11000,H1974,OUT!$D$2:$D$11000,"Out",OUT!$E$2:$E$11000,"Zela")</f>
        <v>0</v>
      </c>
      <c r="T1974" s="52">
        <f ca="1">SUMIFS(OUT!$F$2:$F$11000,OUT!$H$2:$H$11000,H1974,OUT!$D$2:$D$11000,"Out",OUT!$E$2:$E$11000,"Iqbal")</f>
        <v>0</v>
      </c>
    </row>
    <row r="1975" spans="7:20" x14ac:dyDescent="0.2">
      <c r="G1975" s="50"/>
      <c r="H1975" s="51" t="str">
        <f t="shared" si="0"/>
        <v/>
      </c>
      <c r="I1975" s="52" t="e">
        <f>SUMIFS(OUT!$F$2:$F$11000,OUT!$H$2:$H$11000,H1975,OUT!$D$2:$D$101007,"In")</f>
        <v>#VALUE!</v>
      </c>
      <c r="J1975" s="52">
        <f ca="1">SUMIFS(OUT!$F$2:$F$11000,OUT!$H$2:$H$11000,H1975,OUT!$D$2:$D$11000,"Out")</f>
        <v>0</v>
      </c>
      <c r="K1975" s="52">
        <f ca="1">SUMIFS(OUT!$F$2:$F$11000,OUT!$H$2:$H$11000,H1975,OUT!$D$2:$D$11000,"Out",OUT!$E$2:$E$11000,"Fix")</f>
        <v>0</v>
      </c>
      <c r="L1975" s="52">
        <f ca="1">SUMIFS(OUT!$F$2:$F$11000,OUT!$H$2:$H$11000,H1975,OUT!$D$2:$D$11000,"Out",OUT!$E$2:$E$11000,"Bathroom")</f>
        <v>0</v>
      </c>
      <c r="M1975" s="52">
        <f ca="1">SUMIFS(OUT!$F$2:$F$11000,OUT!$H$2:$H$11000,H1975,OUT!$D$2:$D$11000,"Out",OUT!$E$2:$E$11000,"Alfa")</f>
        <v>0</v>
      </c>
      <c r="N1975" s="52" t="e">
        <f>SUMIFS(OUT!$F$2:$F$11000,OUT!$H$2:$H$101007,H1975,OUT!$D$2:$D$11000,"Out",OUT!$E$2:$E$11000,"Jajan")</f>
        <v>#VALUE!</v>
      </c>
      <c r="O1975" s="52">
        <f ca="1">SUMIFS(OUT!$F$2:$F$11000,OUT!$H$2:$H$11000,H1975,OUT!$D$2:$D$11000,"Out",OUT!$E$2:$E$11000,"Kitchen")</f>
        <v>0</v>
      </c>
      <c r="P1975" s="52">
        <f ca="1">SUMIFS(OUT!$F$2:$F$11000,OUT!$H$2:$H$11000,H1975,OUT!$D$2:$D$11000,"Out",OUT!$E$2:$E$11000,"Loandry")</f>
        <v>0</v>
      </c>
      <c r="Q1975" s="52">
        <f ca="1">SUMIFS(OUT!$F$2:$F$11000,OUT!$H$2:$H$11000,H1975,OUT!$D$2:$D$11000,"Out",OUT!$E$2:$E$11000,"Mio")</f>
        <v>0</v>
      </c>
      <c r="R1975" s="52">
        <f ca="1">SUMIFS(OUT!$F$2:$F$11000,OUT!$H$2:$H$11000,H1975,OUT!$D$2:$D$11000,"Out",OUT!$E$2:$E$11000,"Sedekah")</f>
        <v>0</v>
      </c>
      <c r="S1975" s="52">
        <f ca="1">SUMIFS(OUT!$F$2:$F$11000,OUT!$H$2:$H$11000,H1975,OUT!$D$2:$D$11000,"Out",OUT!$E$2:$E$11000,"Zela")</f>
        <v>0</v>
      </c>
      <c r="T1975" s="52">
        <f ca="1">SUMIFS(OUT!$F$2:$F$11000,OUT!$H$2:$H$11000,H1975,OUT!$D$2:$D$11000,"Out",OUT!$E$2:$E$11000,"Iqbal")</f>
        <v>0</v>
      </c>
    </row>
    <row r="1976" spans="7:20" x14ac:dyDescent="0.2">
      <c r="G1976" s="50"/>
      <c r="H1976" s="51" t="str">
        <f t="shared" si="0"/>
        <v/>
      </c>
      <c r="I1976" s="52" t="e">
        <f>SUMIFS(OUT!$F$2:$F$11000,OUT!$H$2:$H$11000,H1976,OUT!$D$2:$D$101007,"In")</f>
        <v>#VALUE!</v>
      </c>
      <c r="J1976" s="52">
        <f ca="1">SUMIFS(OUT!$F$2:$F$11000,OUT!$H$2:$H$11000,H1976,OUT!$D$2:$D$11000,"Out")</f>
        <v>0</v>
      </c>
      <c r="K1976" s="52">
        <f ca="1">SUMIFS(OUT!$F$2:$F$11000,OUT!$H$2:$H$11000,H1976,OUT!$D$2:$D$11000,"Out",OUT!$E$2:$E$11000,"Fix")</f>
        <v>0</v>
      </c>
      <c r="L1976" s="52">
        <f ca="1">SUMIFS(OUT!$F$2:$F$11000,OUT!$H$2:$H$11000,H1976,OUT!$D$2:$D$11000,"Out",OUT!$E$2:$E$11000,"Bathroom")</f>
        <v>0</v>
      </c>
      <c r="M1976" s="52">
        <f ca="1">SUMIFS(OUT!$F$2:$F$11000,OUT!$H$2:$H$11000,H1976,OUT!$D$2:$D$11000,"Out",OUT!$E$2:$E$11000,"Alfa")</f>
        <v>0</v>
      </c>
      <c r="N1976" s="52" t="e">
        <f>SUMIFS(OUT!$F$2:$F$11000,OUT!$H$2:$H$101007,H1976,OUT!$D$2:$D$11000,"Out",OUT!$E$2:$E$11000,"Jajan")</f>
        <v>#VALUE!</v>
      </c>
      <c r="O1976" s="52">
        <f ca="1">SUMIFS(OUT!$F$2:$F$11000,OUT!$H$2:$H$11000,H1976,OUT!$D$2:$D$11000,"Out",OUT!$E$2:$E$11000,"Kitchen")</f>
        <v>0</v>
      </c>
      <c r="P1976" s="52">
        <f ca="1">SUMIFS(OUT!$F$2:$F$11000,OUT!$H$2:$H$11000,H1976,OUT!$D$2:$D$11000,"Out",OUT!$E$2:$E$11000,"Loandry")</f>
        <v>0</v>
      </c>
      <c r="Q1976" s="52">
        <f ca="1">SUMIFS(OUT!$F$2:$F$11000,OUT!$H$2:$H$11000,H1976,OUT!$D$2:$D$11000,"Out",OUT!$E$2:$E$11000,"Mio")</f>
        <v>0</v>
      </c>
      <c r="R1976" s="52">
        <f ca="1">SUMIFS(OUT!$F$2:$F$11000,OUT!$H$2:$H$11000,H1976,OUT!$D$2:$D$11000,"Out",OUT!$E$2:$E$11000,"Sedekah")</f>
        <v>0</v>
      </c>
      <c r="S1976" s="52">
        <f ca="1">SUMIFS(OUT!$F$2:$F$11000,OUT!$H$2:$H$11000,H1976,OUT!$D$2:$D$11000,"Out",OUT!$E$2:$E$11000,"Zela")</f>
        <v>0</v>
      </c>
      <c r="T1976" s="52">
        <f ca="1">SUMIFS(OUT!$F$2:$F$11000,OUT!$H$2:$H$11000,H1976,OUT!$D$2:$D$11000,"Out",OUT!$E$2:$E$11000,"Iqbal")</f>
        <v>0</v>
      </c>
    </row>
    <row r="1977" spans="7:20" x14ac:dyDescent="0.2">
      <c r="G1977" s="50"/>
      <c r="H1977" s="51" t="str">
        <f t="shared" si="0"/>
        <v/>
      </c>
      <c r="I1977" s="52" t="e">
        <f>SUMIFS(OUT!$F$2:$F$11000,OUT!$H$2:$H$11000,H1977,OUT!$D$2:$D$101007,"In")</f>
        <v>#VALUE!</v>
      </c>
      <c r="J1977" s="52">
        <f ca="1">SUMIFS(OUT!$F$2:$F$11000,OUT!$H$2:$H$11000,H1977,OUT!$D$2:$D$11000,"Out")</f>
        <v>0</v>
      </c>
      <c r="K1977" s="52">
        <f ca="1">SUMIFS(OUT!$F$2:$F$11000,OUT!$H$2:$H$11000,H1977,OUT!$D$2:$D$11000,"Out",OUT!$E$2:$E$11000,"Fix")</f>
        <v>0</v>
      </c>
      <c r="L1977" s="52">
        <f ca="1">SUMIFS(OUT!$F$2:$F$11000,OUT!$H$2:$H$11000,H1977,OUT!$D$2:$D$11000,"Out",OUT!$E$2:$E$11000,"Bathroom")</f>
        <v>0</v>
      </c>
      <c r="M1977" s="52">
        <f ca="1">SUMIFS(OUT!$F$2:$F$11000,OUT!$H$2:$H$11000,H1977,OUT!$D$2:$D$11000,"Out",OUT!$E$2:$E$11000,"Alfa")</f>
        <v>0</v>
      </c>
      <c r="N1977" s="52" t="e">
        <f>SUMIFS(OUT!$F$2:$F$11000,OUT!$H$2:$H$101007,H1977,OUT!$D$2:$D$11000,"Out",OUT!$E$2:$E$11000,"Jajan")</f>
        <v>#VALUE!</v>
      </c>
      <c r="O1977" s="52">
        <f ca="1">SUMIFS(OUT!$F$2:$F$11000,OUT!$H$2:$H$11000,H1977,OUT!$D$2:$D$11000,"Out",OUT!$E$2:$E$11000,"Kitchen")</f>
        <v>0</v>
      </c>
      <c r="P1977" s="52">
        <f ca="1">SUMIFS(OUT!$F$2:$F$11000,OUT!$H$2:$H$11000,H1977,OUT!$D$2:$D$11000,"Out",OUT!$E$2:$E$11000,"Loandry")</f>
        <v>0</v>
      </c>
      <c r="Q1977" s="52">
        <f ca="1">SUMIFS(OUT!$F$2:$F$11000,OUT!$H$2:$H$11000,H1977,OUT!$D$2:$D$11000,"Out",OUT!$E$2:$E$11000,"Mio")</f>
        <v>0</v>
      </c>
      <c r="R1977" s="52">
        <f ca="1">SUMIFS(OUT!$F$2:$F$11000,OUT!$H$2:$H$11000,H1977,OUT!$D$2:$D$11000,"Out",OUT!$E$2:$E$11000,"Sedekah")</f>
        <v>0</v>
      </c>
      <c r="S1977" s="52">
        <f ca="1">SUMIFS(OUT!$F$2:$F$11000,OUT!$H$2:$H$11000,H1977,OUT!$D$2:$D$11000,"Out",OUT!$E$2:$E$11000,"Zela")</f>
        <v>0</v>
      </c>
      <c r="T1977" s="52">
        <f ca="1">SUMIFS(OUT!$F$2:$F$11000,OUT!$H$2:$H$11000,H1977,OUT!$D$2:$D$11000,"Out",OUT!$E$2:$E$11000,"Iqbal")</f>
        <v>0</v>
      </c>
    </row>
    <row r="1978" spans="7:20" x14ac:dyDescent="0.2">
      <c r="G1978" s="50"/>
      <c r="H1978" s="51" t="str">
        <f t="shared" si="0"/>
        <v/>
      </c>
      <c r="I1978" s="52" t="e">
        <f>SUMIFS(OUT!$F$2:$F$11000,OUT!$H$2:$H$11000,H1978,OUT!$D$2:$D$101007,"In")</f>
        <v>#VALUE!</v>
      </c>
      <c r="J1978" s="52">
        <f ca="1">SUMIFS(OUT!$F$2:$F$11000,OUT!$H$2:$H$11000,H1978,OUT!$D$2:$D$11000,"Out")</f>
        <v>0</v>
      </c>
      <c r="K1978" s="52">
        <f ca="1">SUMIFS(OUT!$F$2:$F$11000,OUT!$H$2:$H$11000,H1978,OUT!$D$2:$D$11000,"Out",OUT!$E$2:$E$11000,"Fix")</f>
        <v>0</v>
      </c>
      <c r="L1978" s="52">
        <f ca="1">SUMIFS(OUT!$F$2:$F$11000,OUT!$H$2:$H$11000,H1978,OUT!$D$2:$D$11000,"Out",OUT!$E$2:$E$11000,"Bathroom")</f>
        <v>0</v>
      </c>
      <c r="M1978" s="52">
        <f ca="1">SUMIFS(OUT!$F$2:$F$11000,OUT!$H$2:$H$11000,H1978,OUT!$D$2:$D$11000,"Out",OUT!$E$2:$E$11000,"Alfa")</f>
        <v>0</v>
      </c>
      <c r="N1978" s="52" t="e">
        <f>SUMIFS(OUT!$F$2:$F$11000,OUT!$H$2:$H$101007,H1978,OUT!$D$2:$D$11000,"Out",OUT!$E$2:$E$11000,"Jajan")</f>
        <v>#VALUE!</v>
      </c>
      <c r="O1978" s="52">
        <f ca="1">SUMIFS(OUT!$F$2:$F$11000,OUT!$H$2:$H$11000,H1978,OUT!$D$2:$D$11000,"Out",OUT!$E$2:$E$11000,"Kitchen")</f>
        <v>0</v>
      </c>
      <c r="P1978" s="52">
        <f ca="1">SUMIFS(OUT!$F$2:$F$11000,OUT!$H$2:$H$11000,H1978,OUT!$D$2:$D$11000,"Out",OUT!$E$2:$E$11000,"Loandry")</f>
        <v>0</v>
      </c>
      <c r="Q1978" s="52">
        <f ca="1">SUMIFS(OUT!$F$2:$F$11000,OUT!$H$2:$H$11000,H1978,OUT!$D$2:$D$11000,"Out",OUT!$E$2:$E$11000,"Mio")</f>
        <v>0</v>
      </c>
      <c r="R1978" s="52">
        <f ca="1">SUMIFS(OUT!$F$2:$F$11000,OUT!$H$2:$H$11000,H1978,OUT!$D$2:$D$11000,"Out",OUT!$E$2:$E$11000,"Sedekah")</f>
        <v>0</v>
      </c>
      <c r="S1978" s="52">
        <f ca="1">SUMIFS(OUT!$F$2:$F$11000,OUT!$H$2:$H$11000,H1978,OUT!$D$2:$D$11000,"Out",OUT!$E$2:$E$11000,"Zela")</f>
        <v>0</v>
      </c>
      <c r="T1978" s="52">
        <f ca="1">SUMIFS(OUT!$F$2:$F$11000,OUT!$H$2:$H$11000,H1978,OUT!$D$2:$D$11000,"Out",OUT!$E$2:$E$11000,"Iqbal")</f>
        <v>0</v>
      </c>
    </row>
    <row r="1979" spans="7:20" x14ac:dyDescent="0.2">
      <c r="G1979" s="50"/>
      <c r="H1979" s="51" t="str">
        <f t="shared" si="0"/>
        <v/>
      </c>
      <c r="I1979" s="52" t="e">
        <f>SUMIFS(OUT!$F$2:$F$11000,OUT!$H$2:$H$11000,H1979,OUT!$D$2:$D$101007,"In")</f>
        <v>#VALUE!</v>
      </c>
      <c r="J1979" s="52">
        <f ca="1">SUMIFS(OUT!$F$2:$F$11000,OUT!$H$2:$H$11000,H1979,OUT!$D$2:$D$11000,"Out")</f>
        <v>0</v>
      </c>
      <c r="K1979" s="52">
        <f ca="1">SUMIFS(OUT!$F$2:$F$11000,OUT!$H$2:$H$11000,H1979,OUT!$D$2:$D$11000,"Out",OUT!$E$2:$E$11000,"Fix")</f>
        <v>0</v>
      </c>
      <c r="L1979" s="52">
        <f ca="1">SUMIFS(OUT!$F$2:$F$11000,OUT!$H$2:$H$11000,H1979,OUT!$D$2:$D$11000,"Out",OUT!$E$2:$E$11000,"Bathroom")</f>
        <v>0</v>
      </c>
      <c r="M1979" s="52">
        <f ca="1">SUMIFS(OUT!$F$2:$F$11000,OUT!$H$2:$H$11000,H1979,OUT!$D$2:$D$11000,"Out",OUT!$E$2:$E$11000,"Alfa")</f>
        <v>0</v>
      </c>
      <c r="N1979" s="52" t="e">
        <f>SUMIFS(OUT!$F$2:$F$11000,OUT!$H$2:$H$101007,H1979,OUT!$D$2:$D$11000,"Out",OUT!$E$2:$E$11000,"Jajan")</f>
        <v>#VALUE!</v>
      </c>
      <c r="O1979" s="52">
        <f ca="1">SUMIFS(OUT!$F$2:$F$11000,OUT!$H$2:$H$11000,H1979,OUT!$D$2:$D$11000,"Out",OUT!$E$2:$E$11000,"Kitchen")</f>
        <v>0</v>
      </c>
      <c r="P1979" s="52">
        <f ca="1">SUMIFS(OUT!$F$2:$F$11000,OUT!$H$2:$H$11000,H1979,OUT!$D$2:$D$11000,"Out",OUT!$E$2:$E$11000,"Loandry")</f>
        <v>0</v>
      </c>
      <c r="Q1979" s="52">
        <f ca="1">SUMIFS(OUT!$F$2:$F$11000,OUT!$H$2:$H$11000,H1979,OUT!$D$2:$D$11000,"Out",OUT!$E$2:$E$11000,"Mio")</f>
        <v>0</v>
      </c>
      <c r="R1979" s="52">
        <f ca="1">SUMIFS(OUT!$F$2:$F$11000,OUT!$H$2:$H$11000,H1979,OUT!$D$2:$D$11000,"Out",OUT!$E$2:$E$11000,"Sedekah")</f>
        <v>0</v>
      </c>
      <c r="S1979" s="52">
        <f ca="1">SUMIFS(OUT!$F$2:$F$11000,OUT!$H$2:$H$11000,H1979,OUT!$D$2:$D$11000,"Out",OUT!$E$2:$E$11000,"Zela")</f>
        <v>0</v>
      </c>
      <c r="T1979" s="52">
        <f ca="1">SUMIFS(OUT!$F$2:$F$11000,OUT!$H$2:$H$11000,H1979,OUT!$D$2:$D$11000,"Out",OUT!$E$2:$E$11000,"Iqbal")</f>
        <v>0</v>
      </c>
    </row>
    <row r="1980" spans="7:20" x14ac:dyDescent="0.2">
      <c r="G1980" s="50"/>
      <c r="H1980" s="51" t="str">
        <f t="shared" si="0"/>
        <v/>
      </c>
      <c r="I1980" s="52" t="e">
        <f>SUMIFS(OUT!$F$2:$F$11000,OUT!$H$2:$H$11000,H1980,OUT!$D$2:$D$101007,"In")</f>
        <v>#VALUE!</v>
      </c>
      <c r="J1980" s="52">
        <f ca="1">SUMIFS(OUT!$F$2:$F$11000,OUT!$H$2:$H$11000,H1980,OUT!$D$2:$D$11000,"Out")</f>
        <v>0</v>
      </c>
      <c r="K1980" s="52">
        <f ca="1">SUMIFS(OUT!$F$2:$F$11000,OUT!$H$2:$H$11000,H1980,OUT!$D$2:$D$11000,"Out",OUT!$E$2:$E$11000,"Fix")</f>
        <v>0</v>
      </c>
      <c r="L1980" s="52">
        <f ca="1">SUMIFS(OUT!$F$2:$F$11000,OUT!$H$2:$H$11000,H1980,OUT!$D$2:$D$11000,"Out",OUT!$E$2:$E$11000,"Bathroom")</f>
        <v>0</v>
      </c>
      <c r="M1980" s="52">
        <f ca="1">SUMIFS(OUT!$F$2:$F$11000,OUT!$H$2:$H$11000,H1980,OUT!$D$2:$D$11000,"Out",OUT!$E$2:$E$11000,"Alfa")</f>
        <v>0</v>
      </c>
      <c r="N1980" s="52" t="e">
        <f>SUMIFS(OUT!$F$2:$F$11000,OUT!$H$2:$H$101007,H1980,OUT!$D$2:$D$11000,"Out",OUT!$E$2:$E$11000,"Jajan")</f>
        <v>#VALUE!</v>
      </c>
      <c r="O1980" s="52">
        <f ca="1">SUMIFS(OUT!$F$2:$F$11000,OUT!$H$2:$H$11000,H1980,OUT!$D$2:$D$11000,"Out",OUT!$E$2:$E$11000,"Kitchen")</f>
        <v>0</v>
      </c>
      <c r="P1980" s="52">
        <f ca="1">SUMIFS(OUT!$F$2:$F$11000,OUT!$H$2:$H$11000,H1980,OUT!$D$2:$D$11000,"Out",OUT!$E$2:$E$11000,"Loandry")</f>
        <v>0</v>
      </c>
      <c r="Q1980" s="52">
        <f ca="1">SUMIFS(OUT!$F$2:$F$11000,OUT!$H$2:$H$11000,H1980,OUT!$D$2:$D$11000,"Out",OUT!$E$2:$E$11000,"Mio")</f>
        <v>0</v>
      </c>
      <c r="R1980" s="52">
        <f ca="1">SUMIFS(OUT!$F$2:$F$11000,OUT!$H$2:$H$11000,H1980,OUT!$D$2:$D$11000,"Out",OUT!$E$2:$E$11000,"Sedekah")</f>
        <v>0</v>
      </c>
      <c r="S1980" s="52">
        <f ca="1">SUMIFS(OUT!$F$2:$F$11000,OUT!$H$2:$H$11000,H1980,OUT!$D$2:$D$11000,"Out",OUT!$E$2:$E$11000,"Zela")</f>
        <v>0</v>
      </c>
      <c r="T1980" s="52">
        <f ca="1">SUMIFS(OUT!$F$2:$F$11000,OUT!$H$2:$H$11000,H1980,OUT!$D$2:$D$11000,"Out",OUT!$E$2:$E$11000,"Iqbal")</f>
        <v>0</v>
      </c>
    </row>
    <row r="1981" spans="7:20" x14ac:dyDescent="0.2">
      <c r="G1981" s="50"/>
      <c r="H1981" s="51" t="str">
        <f t="shared" si="0"/>
        <v/>
      </c>
      <c r="I1981" s="52" t="e">
        <f>SUMIFS(OUT!$F$2:$F$11000,OUT!$H$2:$H$11000,H1981,OUT!$D$2:$D$101007,"In")</f>
        <v>#VALUE!</v>
      </c>
      <c r="J1981" s="52">
        <f ca="1">SUMIFS(OUT!$F$2:$F$11000,OUT!$H$2:$H$11000,H1981,OUT!$D$2:$D$11000,"Out")</f>
        <v>0</v>
      </c>
      <c r="K1981" s="52">
        <f ca="1">SUMIFS(OUT!$F$2:$F$11000,OUT!$H$2:$H$11000,H1981,OUT!$D$2:$D$11000,"Out",OUT!$E$2:$E$11000,"Fix")</f>
        <v>0</v>
      </c>
      <c r="L1981" s="52">
        <f ca="1">SUMIFS(OUT!$F$2:$F$11000,OUT!$H$2:$H$11000,H1981,OUT!$D$2:$D$11000,"Out",OUT!$E$2:$E$11000,"Bathroom")</f>
        <v>0</v>
      </c>
      <c r="M1981" s="52">
        <f ca="1">SUMIFS(OUT!$F$2:$F$11000,OUT!$H$2:$H$11000,H1981,OUT!$D$2:$D$11000,"Out",OUT!$E$2:$E$11000,"Alfa")</f>
        <v>0</v>
      </c>
      <c r="N1981" s="52" t="e">
        <f>SUMIFS(OUT!$F$2:$F$11000,OUT!$H$2:$H$101007,H1981,OUT!$D$2:$D$11000,"Out",OUT!$E$2:$E$11000,"Jajan")</f>
        <v>#VALUE!</v>
      </c>
      <c r="O1981" s="52">
        <f ca="1">SUMIFS(OUT!$F$2:$F$11000,OUT!$H$2:$H$11000,H1981,OUT!$D$2:$D$11000,"Out",OUT!$E$2:$E$11000,"Kitchen")</f>
        <v>0</v>
      </c>
      <c r="P1981" s="52">
        <f ca="1">SUMIFS(OUT!$F$2:$F$11000,OUT!$H$2:$H$11000,H1981,OUT!$D$2:$D$11000,"Out",OUT!$E$2:$E$11000,"Loandry")</f>
        <v>0</v>
      </c>
      <c r="Q1981" s="52">
        <f ca="1">SUMIFS(OUT!$F$2:$F$11000,OUT!$H$2:$H$11000,H1981,OUT!$D$2:$D$11000,"Out",OUT!$E$2:$E$11000,"Mio")</f>
        <v>0</v>
      </c>
      <c r="R1981" s="52">
        <f ca="1">SUMIFS(OUT!$F$2:$F$11000,OUT!$H$2:$H$11000,H1981,OUT!$D$2:$D$11000,"Out",OUT!$E$2:$E$11000,"Sedekah")</f>
        <v>0</v>
      </c>
      <c r="S1981" s="52">
        <f ca="1">SUMIFS(OUT!$F$2:$F$11000,OUT!$H$2:$H$11000,H1981,OUT!$D$2:$D$11000,"Out",OUT!$E$2:$E$11000,"Zela")</f>
        <v>0</v>
      </c>
      <c r="T1981" s="52">
        <f ca="1">SUMIFS(OUT!$F$2:$F$11000,OUT!$H$2:$H$11000,H1981,OUT!$D$2:$D$11000,"Out",OUT!$E$2:$E$11000,"Iqbal")</f>
        <v>0</v>
      </c>
    </row>
    <row r="1982" spans="7:20" x14ac:dyDescent="0.2">
      <c r="G1982" s="50"/>
      <c r="H1982" s="51" t="str">
        <f t="shared" si="0"/>
        <v/>
      </c>
      <c r="I1982" s="52" t="e">
        <f>SUMIFS(OUT!$F$2:$F$11000,OUT!$H$2:$H$11000,H1982,OUT!$D$2:$D$101007,"In")</f>
        <v>#VALUE!</v>
      </c>
      <c r="J1982" s="52">
        <f ca="1">SUMIFS(OUT!$F$2:$F$11000,OUT!$H$2:$H$11000,H1982,OUT!$D$2:$D$11000,"Out")</f>
        <v>0</v>
      </c>
      <c r="K1982" s="52">
        <f ca="1">SUMIFS(OUT!$F$2:$F$11000,OUT!$H$2:$H$11000,H1982,OUT!$D$2:$D$11000,"Out",OUT!$E$2:$E$11000,"Fix")</f>
        <v>0</v>
      </c>
      <c r="L1982" s="52">
        <f ca="1">SUMIFS(OUT!$F$2:$F$11000,OUT!$H$2:$H$11000,H1982,OUT!$D$2:$D$11000,"Out",OUT!$E$2:$E$11000,"Bathroom")</f>
        <v>0</v>
      </c>
      <c r="M1982" s="52">
        <f ca="1">SUMIFS(OUT!$F$2:$F$11000,OUT!$H$2:$H$11000,H1982,OUT!$D$2:$D$11000,"Out",OUT!$E$2:$E$11000,"Alfa")</f>
        <v>0</v>
      </c>
      <c r="N1982" s="52" t="e">
        <f>SUMIFS(OUT!$F$2:$F$11000,OUT!$H$2:$H$101007,H1982,OUT!$D$2:$D$11000,"Out",OUT!$E$2:$E$11000,"Jajan")</f>
        <v>#VALUE!</v>
      </c>
      <c r="O1982" s="52">
        <f ca="1">SUMIFS(OUT!$F$2:$F$11000,OUT!$H$2:$H$11000,H1982,OUT!$D$2:$D$11000,"Out",OUT!$E$2:$E$11000,"Kitchen")</f>
        <v>0</v>
      </c>
      <c r="P1982" s="52">
        <f ca="1">SUMIFS(OUT!$F$2:$F$11000,OUT!$H$2:$H$11000,H1982,OUT!$D$2:$D$11000,"Out",OUT!$E$2:$E$11000,"Loandry")</f>
        <v>0</v>
      </c>
      <c r="Q1982" s="52">
        <f ca="1">SUMIFS(OUT!$F$2:$F$11000,OUT!$H$2:$H$11000,H1982,OUT!$D$2:$D$11000,"Out",OUT!$E$2:$E$11000,"Mio")</f>
        <v>0</v>
      </c>
      <c r="R1982" s="52">
        <f ca="1">SUMIFS(OUT!$F$2:$F$11000,OUT!$H$2:$H$11000,H1982,OUT!$D$2:$D$11000,"Out",OUT!$E$2:$E$11000,"Sedekah")</f>
        <v>0</v>
      </c>
      <c r="S1982" s="52">
        <f ca="1">SUMIFS(OUT!$F$2:$F$11000,OUT!$H$2:$H$11000,H1982,OUT!$D$2:$D$11000,"Out",OUT!$E$2:$E$11000,"Zela")</f>
        <v>0</v>
      </c>
      <c r="T1982" s="52">
        <f ca="1">SUMIFS(OUT!$F$2:$F$11000,OUT!$H$2:$H$11000,H1982,OUT!$D$2:$D$11000,"Out",OUT!$E$2:$E$11000,"Iqbal")</f>
        <v>0</v>
      </c>
    </row>
    <row r="1983" spans="7:20" x14ac:dyDescent="0.2">
      <c r="G1983" s="50"/>
      <c r="H1983" s="51" t="str">
        <f t="shared" si="0"/>
        <v/>
      </c>
      <c r="I1983" s="52" t="e">
        <f>SUMIFS(OUT!$F$2:$F$11000,OUT!$H$2:$H$11000,H1983,OUT!$D$2:$D$101007,"In")</f>
        <v>#VALUE!</v>
      </c>
      <c r="J1983" s="52">
        <f ca="1">SUMIFS(OUT!$F$2:$F$11000,OUT!$H$2:$H$11000,H1983,OUT!$D$2:$D$11000,"Out")</f>
        <v>0</v>
      </c>
      <c r="K1983" s="52">
        <f ca="1">SUMIFS(OUT!$F$2:$F$11000,OUT!$H$2:$H$11000,H1983,OUT!$D$2:$D$11000,"Out",OUT!$E$2:$E$11000,"Fix")</f>
        <v>0</v>
      </c>
      <c r="L1983" s="52">
        <f ca="1">SUMIFS(OUT!$F$2:$F$11000,OUT!$H$2:$H$11000,H1983,OUT!$D$2:$D$11000,"Out",OUT!$E$2:$E$11000,"Bathroom")</f>
        <v>0</v>
      </c>
      <c r="M1983" s="52">
        <f ca="1">SUMIFS(OUT!$F$2:$F$11000,OUT!$H$2:$H$11000,H1983,OUT!$D$2:$D$11000,"Out",OUT!$E$2:$E$11000,"Alfa")</f>
        <v>0</v>
      </c>
      <c r="N1983" s="52" t="e">
        <f>SUMIFS(OUT!$F$2:$F$11000,OUT!$H$2:$H$101007,H1983,OUT!$D$2:$D$11000,"Out",OUT!$E$2:$E$11000,"Jajan")</f>
        <v>#VALUE!</v>
      </c>
      <c r="O1983" s="52">
        <f ca="1">SUMIFS(OUT!$F$2:$F$11000,OUT!$H$2:$H$11000,H1983,OUT!$D$2:$D$11000,"Out",OUT!$E$2:$E$11000,"Kitchen")</f>
        <v>0</v>
      </c>
      <c r="P1983" s="52">
        <f ca="1">SUMIFS(OUT!$F$2:$F$11000,OUT!$H$2:$H$11000,H1983,OUT!$D$2:$D$11000,"Out",OUT!$E$2:$E$11000,"Loandry")</f>
        <v>0</v>
      </c>
      <c r="Q1983" s="52">
        <f ca="1">SUMIFS(OUT!$F$2:$F$11000,OUT!$H$2:$H$11000,H1983,OUT!$D$2:$D$11000,"Out",OUT!$E$2:$E$11000,"Mio")</f>
        <v>0</v>
      </c>
      <c r="R1983" s="52">
        <f ca="1">SUMIFS(OUT!$F$2:$F$11000,OUT!$H$2:$H$11000,H1983,OUT!$D$2:$D$11000,"Out",OUT!$E$2:$E$11000,"Sedekah")</f>
        <v>0</v>
      </c>
      <c r="S1983" s="52">
        <f ca="1">SUMIFS(OUT!$F$2:$F$11000,OUT!$H$2:$H$11000,H1983,OUT!$D$2:$D$11000,"Out",OUT!$E$2:$E$11000,"Zela")</f>
        <v>0</v>
      </c>
      <c r="T1983" s="52">
        <f ca="1">SUMIFS(OUT!$F$2:$F$11000,OUT!$H$2:$H$11000,H1983,OUT!$D$2:$D$11000,"Out",OUT!$E$2:$E$11000,"Iqbal")</f>
        <v>0</v>
      </c>
    </row>
    <row r="1984" spans="7:20" x14ac:dyDescent="0.2">
      <c r="G1984" s="50"/>
      <c r="H1984" s="51" t="str">
        <f t="shared" si="0"/>
        <v/>
      </c>
      <c r="I1984" s="52" t="e">
        <f>SUMIFS(OUT!$F$2:$F$11000,OUT!$H$2:$H$11000,H1984,OUT!$D$2:$D$101007,"In")</f>
        <v>#VALUE!</v>
      </c>
      <c r="J1984" s="52">
        <f ca="1">SUMIFS(OUT!$F$2:$F$11000,OUT!$H$2:$H$11000,H1984,OUT!$D$2:$D$11000,"Out")</f>
        <v>0</v>
      </c>
      <c r="K1984" s="52">
        <f ca="1">SUMIFS(OUT!$F$2:$F$11000,OUT!$H$2:$H$11000,H1984,OUT!$D$2:$D$11000,"Out",OUT!$E$2:$E$11000,"Fix")</f>
        <v>0</v>
      </c>
      <c r="L1984" s="52">
        <f ca="1">SUMIFS(OUT!$F$2:$F$11000,OUT!$H$2:$H$11000,H1984,OUT!$D$2:$D$11000,"Out",OUT!$E$2:$E$11000,"Bathroom")</f>
        <v>0</v>
      </c>
      <c r="M1984" s="52">
        <f ca="1">SUMIFS(OUT!$F$2:$F$11000,OUT!$H$2:$H$11000,H1984,OUT!$D$2:$D$11000,"Out",OUT!$E$2:$E$11000,"Alfa")</f>
        <v>0</v>
      </c>
      <c r="N1984" s="52" t="e">
        <f>SUMIFS(OUT!$F$2:$F$11000,OUT!$H$2:$H$101007,H1984,OUT!$D$2:$D$11000,"Out",OUT!$E$2:$E$11000,"Jajan")</f>
        <v>#VALUE!</v>
      </c>
      <c r="O1984" s="52">
        <f ca="1">SUMIFS(OUT!$F$2:$F$11000,OUT!$H$2:$H$11000,H1984,OUT!$D$2:$D$11000,"Out",OUT!$E$2:$E$11000,"Kitchen")</f>
        <v>0</v>
      </c>
      <c r="P1984" s="52">
        <f ca="1">SUMIFS(OUT!$F$2:$F$11000,OUT!$H$2:$H$11000,H1984,OUT!$D$2:$D$11000,"Out",OUT!$E$2:$E$11000,"Loandry")</f>
        <v>0</v>
      </c>
      <c r="Q1984" s="52">
        <f ca="1">SUMIFS(OUT!$F$2:$F$11000,OUT!$H$2:$H$11000,H1984,OUT!$D$2:$D$11000,"Out",OUT!$E$2:$E$11000,"Mio")</f>
        <v>0</v>
      </c>
      <c r="R1984" s="52">
        <f ca="1">SUMIFS(OUT!$F$2:$F$11000,OUT!$H$2:$H$11000,H1984,OUT!$D$2:$D$11000,"Out",OUT!$E$2:$E$11000,"Sedekah")</f>
        <v>0</v>
      </c>
      <c r="S1984" s="52">
        <f ca="1">SUMIFS(OUT!$F$2:$F$11000,OUT!$H$2:$H$11000,H1984,OUT!$D$2:$D$11000,"Out",OUT!$E$2:$E$11000,"Zela")</f>
        <v>0</v>
      </c>
      <c r="T1984" s="52">
        <f ca="1">SUMIFS(OUT!$F$2:$F$11000,OUT!$H$2:$H$11000,H1984,OUT!$D$2:$D$11000,"Out",OUT!$E$2:$E$11000,"Iqbal")</f>
        <v>0</v>
      </c>
    </row>
    <row r="1985" spans="7:20" x14ac:dyDescent="0.2">
      <c r="G1985" s="50"/>
      <c r="H1985" s="51" t="str">
        <f t="shared" si="0"/>
        <v/>
      </c>
      <c r="I1985" s="52" t="e">
        <f>SUMIFS(OUT!$F$2:$F$11000,OUT!$H$2:$H$11000,H1985,OUT!$D$2:$D$101007,"In")</f>
        <v>#VALUE!</v>
      </c>
      <c r="J1985" s="52">
        <f ca="1">SUMIFS(OUT!$F$2:$F$11000,OUT!$H$2:$H$11000,H1985,OUT!$D$2:$D$11000,"Out")</f>
        <v>0</v>
      </c>
      <c r="K1985" s="52">
        <f ca="1">SUMIFS(OUT!$F$2:$F$11000,OUT!$H$2:$H$11000,H1985,OUT!$D$2:$D$11000,"Out",OUT!$E$2:$E$11000,"Fix")</f>
        <v>0</v>
      </c>
      <c r="L1985" s="52">
        <f ca="1">SUMIFS(OUT!$F$2:$F$11000,OUT!$H$2:$H$11000,H1985,OUT!$D$2:$D$11000,"Out",OUT!$E$2:$E$11000,"Bathroom")</f>
        <v>0</v>
      </c>
      <c r="M1985" s="52">
        <f ca="1">SUMIFS(OUT!$F$2:$F$11000,OUT!$H$2:$H$11000,H1985,OUT!$D$2:$D$11000,"Out",OUT!$E$2:$E$11000,"Alfa")</f>
        <v>0</v>
      </c>
      <c r="N1985" s="52" t="e">
        <f>SUMIFS(OUT!$F$2:$F$11000,OUT!$H$2:$H$101007,H1985,OUT!$D$2:$D$11000,"Out",OUT!$E$2:$E$11000,"Jajan")</f>
        <v>#VALUE!</v>
      </c>
      <c r="O1985" s="52">
        <f ca="1">SUMIFS(OUT!$F$2:$F$11000,OUT!$H$2:$H$11000,H1985,OUT!$D$2:$D$11000,"Out",OUT!$E$2:$E$11000,"Kitchen")</f>
        <v>0</v>
      </c>
      <c r="P1985" s="52">
        <f ca="1">SUMIFS(OUT!$F$2:$F$11000,OUT!$H$2:$H$11000,H1985,OUT!$D$2:$D$11000,"Out",OUT!$E$2:$E$11000,"Loandry")</f>
        <v>0</v>
      </c>
      <c r="Q1985" s="52">
        <f ca="1">SUMIFS(OUT!$F$2:$F$11000,OUT!$H$2:$H$11000,H1985,OUT!$D$2:$D$11000,"Out",OUT!$E$2:$E$11000,"Mio")</f>
        <v>0</v>
      </c>
      <c r="R1985" s="52">
        <f ca="1">SUMIFS(OUT!$F$2:$F$11000,OUT!$H$2:$H$11000,H1985,OUT!$D$2:$D$11000,"Out",OUT!$E$2:$E$11000,"Sedekah")</f>
        <v>0</v>
      </c>
      <c r="S1985" s="52">
        <f ca="1">SUMIFS(OUT!$F$2:$F$11000,OUT!$H$2:$H$11000,H1985,OUT!$D$2:$D$11000,"Out",OUT!$E$2:$E$11000,"Zela")</f>
        <v>0</v>
      </c>
      <c r="T1985" s="52">
        <f ca="1">SUMIFS(OUT!$F$2:$F$11000,OUT!$H$2:$H$11000,H1985,OUT!$D$2:$D$11000,"Out",OUT!$E$2:$E$11000,"Iqbal")</f>
        <v>0</v>
      </c>
    </row>
    <row r="1986" spans="7:20" x14ac:dyDescent="0.2">
      <c r="G1986" s="50"/>
      <c r="H1986" s="51" t="str">
        <f t="shared" si="0"/>
        <v/>
      </c>
      <c r="I1986" s="52" t="e">
        <f>SUMIFS(OUT!$F$2:$F$11000,OUT!$H$2:$H$11000,H1986,OUT!$D$2:$D$101007,"In")</f>
        <v>#VALUE!</v>
      </c>
      <c r="J1986" s="52">
        <f ca="1">SUMIFS(OUT!$F$2:$F$11000,OUT!$H$2:$H$11000,H1986,OUT!$D$2:$D$11000,"Out")</f>
        <v>0</v>
      </c>
      <c r="K1986" s="52">
        <f ca="1">SUMIFS(OUT!$F$2:$F$11000,OUT!$H$2:$H$11000,H1986,OUT!$D$2:$D$11000,"Out",OUT!$E$2:$E$11000,"Fix")</f>
        <v>0</v>
      </c>
      <c r="L1986" s="52">
        <f ca="1">SUMIFS(OUT!$F$2:$F$11000,OUT!$H$2:$H$11000,H1986,OUT!$D$2:$D$11000,"Out",OUT!$E$2:$E$11000,"Bathroom")</f>
        <v>0</v>
      </c>
      <c r="M1986" s="52">
        <f ca="1">SUMIFS(OUT!$F$2:$F$11000,OUT!$H$2:$H$11000,H1986,OUT!$D$2:$D$11000,"Out",OUT!$E$2:$E$11000,"Alfa")</f>
        <v>0</v>
      </c>
      <c r="N1986" s="52" t="e">
        <f>SUMIFS(OUT!$F$2:$F$11000,OUT!$H$2:$H$101007,H1986,OUT!$D$2:$D$11000,"Out",OUT!$E$2:$E$11000,"Jajan")</f>
        <v>#VALUE!</v>
      </c>
      <c r="O1986" s="52">
        <f ca="1">SUMIFS(OUT!$F$2:$F$11000,OUT!$H$2:$H$11000,H1986,OUT!$D$2:$D$11000,"Out",OUT!$E$2:$E$11000,"Kitchen")</f>
        <v>0</v>
      </c>
      <c r="P1986" s="52">
        <f ca="1">SUMIFS(OUT!$F$2:$F$11000,OUT!$H$2:$H$11000,H1986,OUT!$D$2:$D$11000,"Out",OUT!$E$2:$E$11000,"Loandry")</f>
        <v>0</v>
      </c>
      <c r="Q1986" s="52">
        <f ca="1">SUMIFS(OUT!$F$2:$F$11000,OUT!$H$2:$H$11000,H1986,OUT!$D$2:$D$11000,"Out",OUT!$E$2:$E$11000,"Mio")</f>
        <v>0</v>
      </c>
      <c r="R1986" s="52">
        <f ca="1">SUMIFS(OUT!$F$2:$F$11000,OUT!$H$2:$H$11000,H1986,OUT!$D$2:$D$11000,"Out",OUT!$E$2:$E$11000,"Sedekah")</f>
        <v>0</v>
      </c>
      <c r="S1986" s="52">
        <f ca="1">SUMIFS(OUT!$F$2:$F$11000,OUT!$H$2:$H$11000,H1986,OUT!$D$2:$D$11000,"Out",OUT!$E$2:$E$11000,"Zela")</f>
        <v>0</v>
      </c>
      <c r="T1986" s="52">
        <f ca="1">SUMIFS(OUT!$F$2:$F$11000,OUT!$H$2:$H$11000,H1986,OUT!$D$2:$D$11000,"Out",OUT!$E$2:$E$11000,"Iqbal")</f>
        <v>0</v>
      </c>
    </row>
    <row r="1987" spans="7:20" x14ac:dyDescent="0.2">
      <c r="G1987" s="50"/>
      <c r="H1987" s="51" t="str">
        <f t="shared" si="0"/>
        <v/>
      </c>
      <c r="I1987" s="52" t="e">
        <f>SUMIFS(OUT!$F$2:$F$11000,OUT!$H$2:$H$11000,H1987,OUT!$D$2:$D$101007,"In")</f>
        <v>#VALUE!</v>
      </c>
      <c r="J1987" s="52">
        <f ca="1">SUMIFS(OUT!$F$2:$F$11000,OUT!$H$2:$H$11000,H1987,OUT!$D$2:$D$11000,"Out")</f>
        <v>0</v>
      </c>
      <c r="K1987" s="52">
        <f ca="1">SUMIFS(OUT!$F$2:$F$11000,OUT!$H$2:$H$11000,H1987,OUT!$D$2:$D$11000,"Out",OUT!$E$2:$E$11000,"Fix")</f>
        <v>0</v>
      </c>
      <c r="L1987" s="52">
        <f ca="1">SUMIFS(OUT!$F$2:$F$11000,OUT!$H$2:$H$11000,H1987,OUT!$D$2:$D$11000,"Out",OUT!$E$2:$E$11000,"Bathroom")</f>
        <v>0</v>
      </c>
      <c r="M1987" s="52">
        <f ca="1">SUMIFS(OUT!$F$2:$F$11000,OUT!$H$2:$H$11000,H1987,OUT!$D$2:$D$11000,"Out",OUT!$E$2:$E$11000,"Alfa")</f>
        <v>0</v>
      </c>
      <c r="N1987" s="52" t="e">
        <f>SUMIFS(OUT!$F$2:$F$11000,OUT!$H$2:$H$101007,H1987,OUT!$D$2:$D$11000,"Out",OUT!$E$2:$E$11000,"Jajan")</f>
        <v>#VALUE!</v>
      </c>
      <c r="O1987" s="52">
        <f ca="1">SUMIFS(OUT!$F$2:$F$11000,OUT!$H$2:$H$11000,H1987,OUT!$D$2:$D$11000,"Out",OUT!$E$2:$E$11000,"Kitchen")</f>
        <v>0</v>
      </c>
      <c r="P1987" s="52">
        <f ca="1">SUMIFS(OUT!$F$2:$F$11000,OUT!$H$2:$H$11000,H1987,OUT!$D$2:$D$11000,"Out",OUT!$E$2:$E$11000,"Loandry")</f>
        <v>0</v>
      </c>
      <c r="Q1987" s="52">
        <f ca="1">SUMIFS(OUT!$F$2:$F$11000,OUT!$H$2:$H$11000,H1987,OUT!$D$2:$D$11000,"Out",OUT!$E$2:$E$11000,"Mio")</f>
        <v>0</v>
      </c>
      <c r="R1987" s="52">
        <f ca="1">SUMIFS(OUT!$F$2:$F$11000,OUT!$H$2:$H$11000,H1987,OUT!$D$2:$D$11000,"Out",OUT!$E$2:$E$11000,"Sedekah")</f>
        <v>0</v>
      </c>
      <c r="S1987" s="52">
        <f ca="1">SUMIFS(OUT!$F$2:$F$11000,OUT!$H$2:$H$11000,H1987,OUT!$D$2:$D$11000,"Out",OUT!$E$2:$E$11000,"Zela")</f>
        <v>0</v>
      </c>
      <c r="T1987" s="52">
        <f ca="1">SUMIFS(OUT!$F$2:$F$11000,OUT!$H$2:$H$11000,H1987,OUT!$D$2:$D$11000,"Out",OUT!$E$2:$E$11000,"Iqbal")</f>
        <v>0</v>
      </c>
    </row>
    <row r="1988" spans="7:20" x14ac:dyDescent="0.2">
      <c r="G1988" s="50"/>
      <c r="H1988" s="51" t="str">
        <f t="shared" si="0"/>
        <v/>
      </c>
      <c r="I1988" s="52" t="e">
        <f>SUMIFS(OUT!$F$2:$F$11000,OUT!$H$2:$H$11000,H1988,OUT!$D$2:$D$101007,"In")</f>
        <v>#VALUE!</v>
      </c>
      <c r="J1988" s="52">
        <f ca="1">SUMIFS(OUT!$F$2:$F$11000,OUT!$H$2:$H$11000,H1988,OUT!$D$2:$D$11000,"Out")</f>
        <v>0</v>
      </c>
      <c r="K1988" s="52">
        <f ca="1">SUMIFS(OUT!$F$2:$F$11000,OUT!$H$2:$H$11000,H1988,OUT!$D$2:$D$11000,"Out",OUT!$E$2:$E$11000,"Fix")</f>
        <v>0</v>
      </c>
      <c r="L1988" s="52">
        <f ca="1">SUMIFS(OUT!$F$2:$F$11000,OUT!$H$2:$H$11000,H1988,OUT!$D$2:$D$11000,"Out",OUT!$E$2:$E$11000,"Bathroom")</f>
        <v>0</v>
      </c>
      <c r="M1988" s="52">
        <f ca="1">SUMIFS(OUT!$F$2:$F$11000,OUT!$H$2:$H$11000,H1988,OUT!$D$2:$D$11000,"Out",OUT!$E$2:$E$11000,"Alfa")</f>
        <v>0</v>
      </c>
      <c r="N1988" s="52" t="e">
        <f>SUMIFS(OUT!$F$2:$F$11000,OUT!$H$2:$H$101007,H1988,OUT!$D$2:$D$11000,"Out",OUT!$E$2:$E$11000,"Jajan")</f>
        <v>#VALUE!</v>
      </c>
      <c r="O1988" s="52">
        <f ca="1">SUMIFS(OUT!$F$2:$F$11000,OUT!$H$2:$H$11000,H1988,OUT!$D$2:$D$11000,"Out",OUT!$E$2:$E$11000,"Kitchen")</f>
        <v>0</v>
      </c>
      <c r="P1988" s="52">
        <f ca="1">SUMIFS(OUT!$F$2:$F$11000,OUT!$H$2:$H$11000,H1988,OUT!$D$2:$D$11000,"Out",OUT!$E$2:$E$11000,"Loandry")</f>
        <v>0</v>
      </c>
      <c r="Q1988" s="52">
        <f ca="1">SUMIFS(OUT!$F$2:$F$11000,OUT!$H$2:$H$11000,H1988,OUT!$D$2:$D$11000,"Out",OUT!$E$2:$E$11000,"Mio")</f>
        <v>0</v>
      </c>
      <c r="R1988" s="52">
        <f ca="1">SUMIFS(OUT!$F$2:$F$11000,OUT!$H$2:$H$11000,H1988,OUT!$D$2:$D$11000,"Out",OUT!$E$2:$E$11000,"Sedekah")</f>
        <v>0</v>
      </c>
      <c r="S1988" s="52">
        <f ca="1">SUMIFS(OUT!$F$2:$F$11000,OUT!$H$2:$H$11000,H1988,OUT!$D$2:$D$11000,"Out",OUT!$E$2:$E$11000,"Zela")</f>
        <v>0</v>
      </c>
      <c r="T1988" s="52">
        <f ca="1">SUMIFS(OUT!$F$2:$F$11000,OUT!$H$2:$H$11000,H1988,OUT!$D$2:$D$11000,"Out",OUT!$E$2:$E$11000,"Iqbal")</f>
        <v>0</v>
      </c>
    </row>
    <row r="1989" spans="7:20" x14ac:dyDescent="0.2">
      <c r="G1989" s="50"/>
      <c r="H1989" s="51" t="str">
        <f t="shared" si="0"/>
        <v/>
      </c>
      <c r="I1989" s="52" t="e">
        <f>SUMIFS(OUT!$F$2:$F$11000,OUT!$H$2:$H$11000,H1989,OUT!$D$2:$D$101007,"In")</f>
        <v>#VALUE!</v>
      </c>
      <c r="J1989" s="52">
        <f ca="1">SUMIFS(OUT!$F$2:$F$11000,OUT!$H$2:$H$11000,H1989,OUT!$D$2:$D$11000,"Out")</f>
        <v>0</v>
      </c>
      <c r="K1989" s="52">
        <f ca="1">SUMIFS(OUT!$F$2:$F$11000,OUT!$H$2:$H$11000,H1989,OUT!$D$2:$D$11000,"Out",OUT!$E$2:$E$11000,"Fix")</f>
        <v>0</v>
      </c>
      <c r="L1989" s="52">
        <f ca="1">SUMIFS(OUT!$F$2:$F$11000,OUT!$H$2:$H$11000,H1989,OUT!$D$2:$D$11000,"Out",OUT!$E$2:$E$11000,"Bathroom")</f>
        <v>0</v>
      </c>
      <c r="M1989" s="52">
        <f ca="1">SUMIFS(OUT!$F$2:$F$11000,OUT!$H$2:$H$11000,H1989,OUT!$D$2:$D$11000,"Out",OUT!$E$2:$E$11000,"Alfa")</f>
        <v>0</v>
      </c>
      <c r="N1989" s="52" t="e">
        <f>SUMIFS(OUT!$F$2:$F$11000,OUT!$H$2:$H$101007,H1989,OUT!$D$2:$D$11000,"Out",OUT!$E$2:$E$11000,"Jajan")</f>
        <v>#VALUE!</v>
      </c>
      <c r="O1989" s="52">
        <f ca="1">SUMIFS(OUT!$F$2:$F$11000,OUT!$H$2:$H$11000,H1989,OUT!$D$2:$D$11000,"Out",OUT!$E$2:$E$11000,"Kitchen")</f>
        <v>0</v>
      </c>
      <c r="P1989" s="52">
        <f ca="1">SUMIFS(OUT!$F$2:$F$11000,OUT!$H$2:$H$11000,H1989,OUT!$D$2:$D$11000,"Out",OUT!$E$2:$E$11000,"Loandry")</f>
        <v>0</v>
      </c>
      <c r="Q1989" s="52">
        <f ca="1">SUMIFS(OUT!$F$2:$F$11000,OUT!$H$2:$H$11000,H1989,OUT!$D$2:$D$11000,"Out",OUT!$E$2:$E$11000,"Mio")</f>
        <v>0</v>
      </c>
      <c r="R1989" s="52">
        <f ca="1">SUMIFS(OUT!$F$2:$F$11000,OUT!$H$2:$H$11000,H1989,OUT!$D$2:$D$11000,"Out",OUT!$E$2:$E$11000,"Sedekah")</f>
        <v>0</v>
      </c>
      <c r="S1989" s="52">
        <f ca="1">SUMIFS(OUT!$F$2:$F$11000,OUT!$H$2:$H$11000,H1989,OUT!$D$2:$D$11000,"Out",OUT!$E$2:$E$11000,"Zela")</f>
        <v>0</v>
      </c>
      <c r="T1989" s="52">
        <f ca="1">SUMIFS(OUT!$F$2:$F$11000,OUT!$H$2:$H$11000,H1989,OUT!$D$2:$D$11000,"Out",OUT!$E$2:$E$11000,"Iqbal")</f>
        <v>0</v>
      </c>
    </row>
    <row r="1990" spans="7:20" x14ac:dyDescent="0.2">
      <c r="G1990" s="50"/>
      <c r="H1990" s="51" t="str">
        <f t="shared" si="0"/>
        <v/>
      </c>
      <c r="I1990" s="52" t="e">
        <f>SUMIFS(OUT!$F$2:$F$11000,OUT!$H$2:$H$11000,H1990,OUT!$D$2:$D$101007,"In")</f>
        <v>#VALUE!</v>
      </c>
      <c r="J1990" s="52">
        <f ca="1">SUMIFS(OUT!$F$2:$F$11000,OUT!$H$2:$H$11000,H1990,OUT!$D$2:$D$11000,"Out")</f>
        <v>0</v>
      </c>
      <c r="K1990" s="52">
        <f ca="1">SUMIFS(OUT!$F$2:$F$11000,OUT!$H$2:$H$11000,H1990,OUT!$D$2:$D$11000,"Out",OUT!$E$2:$E$11000,"Fix")</f>
        <v>0</v>
      </c>
      <c r="L1990" s="52">
        <f ca="1">SUMIFS(OUT!$F$2:$F$11000,OUT!$H$2:$H$11000,H1990,OUT!$D$2:$D$11000,"Out",OUT!$E$2:$E$11000,"Bathroom")</f>
        <v>0</v>
      </c>
      <c r="M1990" s="52">
        <f ca="1">SUMIFS(OUT!$F$2:$F$11000,OUT!$H$2:$H$11000,H1990,OUT!$D$2:$D$11000,"Out",OUT!$E$2:$E$11000,"Alfa")</f>
        <v>0</v>
      </c>
      <c r="N1990" s="52" t="e">
        <f>SUMIFS(OUT!$F$2:$F$11000,OUT!$H$2:$H$101007,H1990,OUT!$D$2:$D$11000,"Out",OUT!$E$2:$E$11000,"Jajan")</f>
        <v>#VALUE!</v>
      </c>
      <c r="O1990" s="52">
        <f ca="1">SUMIFS(OUT!$F$2:$F$11000,OUT!$H$2:$H$11000,H1990,OUT!$D$2:$D$11000,"Out",OUT!$E$2:$E$11000,"Kitchen")</f>
        <v>0</v>
      </c>
      <c r="P1990" s="52">
        <f ca="1">SUMIFS(OUT!$F$2:$F$11000,OUT!$H$2:$H$11000,H1990,OUT!$D$2:$D$11000,"Out",OUT!$E$2:$E$11000,"Loandry")</f>
        <v>0</v>
      </c>
      <c r="Q1990" s="52">
        <f ca="1">SUMIFS(OUT!$F$2:$F$11000,OUT!$H$2:$H$11000,H1990,OUT!$D$2:$D$11000,"Out",OUT!$E$2:$E$11000,"Mio")</f>
        <v>0</v>
      </c>
      <c r="R1990" s="52">
        <f ca="1">SUMIFS(OUT!$F$2:$F$11000,OUT!$H$2:$H$11000,H1990,OUT!$D$2:$D$11000,"Out",OUT!$E$2:$E$11000,"Sedekah")</f>
        <v>0</v>
      </c>
      <c r="S1990" s="52">
        <f ca="1">SUMIFS(OUT!$F$2:$F$11000,OUT!$H$2:$H$11000,H1990,OUT!$D$2:$D$11000,"Out",OUT!$E$2:$E$11000,"Zela")</f>
        <v>0</v>
      </c>
      <c r="T1990" s="52">
        <f ca="1">SUMIFS(OUT!$F$2:$F$11000,OUT!$H$2:$H$11000,H1990,OUT!$D$2:$D$11000,"Out",OUT!$E$2:$E$11000,"Iqbal")</f>
        <v>0</v>
      </c>
    </row>
    <row r="1991" spans="7:20" x14ac:dyDescent="0.2">
      <c r="G1991" s="50"/>
      <c r="H1991" s="51" t="str">
        <f t="shared" si="0"/>
        <v/>
      </c>
      <c r="I1991" s="52" t="e">
        <f>SUMIFS(OUT!$F$2:$F$11000,OUT!$H$2:$H$11000,H1991,OUT!$D$2:$D$101007,"In")</f>
        <v>#VALUE!</v>
      </c>
      <c r="J1991" s="52">
        <f ca="1">SUMIFS(OUT!$F$2:$F$11000,OUT!$H$2:$H$11000,H1991,OUT!$D$2:$D$11000,"Out")</f>
        <v>0</v>
      </c>
      <c r="K1991" s="52">
        <f ca="1">SUMIFS(OUT!$F$2:$F$11000,OUT!$H$2:$H$11000,H1991,OUT!$D$2:$D$11000,"Out",OUT!$E$2:$E$11000,"Fix")</f>
        <v>0</v>
      </c>
      <c r="L1991" s="52">
        <f ca="1">SUMIFS(OUT!$F$2:$F$11000,OUT!$H$2:$H$11000,H1991,OUT!$D$2:$D$11000,"Out",OUT!$E$2:$E$11000,"Bathroom")</f>
        <v>0</v>
      </c>
      <c r="M1991" s="52">
        <f ca="1">SUMIFS(OUT!$F$2:$F$11000,OUT!$H$2:$H$11000,H1991,OUT!$D$2:$D$11000,"Out",OUT!$E$2:$E$11000,"Alfa")</f>
        <v>0</v>
      </c>
      <c r="N1991" s="52" t="e">
        <f>SUMIFS(OUT!$F$2:$F$11000,OUT!$H$2:$H$101007,H1991,OUT!$D$2:$D$11000,"Out",OUT!$E$2:$E$11000,"Jajan")</f>
        <v>#VALUE!</v>
      </c>
      <c r="O1991" s="52">
        <f ca="1">SUMIFS(OUT!$F$2:$F$11000,OUT!$H$2:$H$11000,H1991,OUT!$D$2:$D$11000,"Out",OUT!$E$2:$E$11000,"Kitchen")</f>
        <v>0</v>
      </c>
      <c r="P1991" s="52">
        <f ca="1">SUMIFS(OUT!$F$2:$F$11000,OUT!$H$2:$H$11000,H1991,OUT!$D$2:$D$11000,"Out",OUT!$E$2:$E$11000,"Loandry")</f>
        <v>0</v>
      </c>
      <c r="Q1991" s="52">
        <f ca="1">SUMIFS(OUT!$F$2:$F$11000,OUT!$H$2:$H$11000,H1991,OUT!$D$2:$D$11000,"Out",OUT!$E$2:$E$11000,"Mio")</f>
        <v>0</v>
      </c>
      <c r="R1991" s="52">
        <f ca="1">SUMIFS(OUT!$F$2:$F$11000,OUT!$H$2:$H$11000,H1991,OUT!$D$2:$D$11000,"Out",OUT!$E$2:$E$11000,"Sedekah")</f>
        <v>0</v>
      </c>
      <c r="S1991" s="52">
        <f ca="1">SUMIFS(OUT!$F$2:$F$11000,OUT!$H$2:$H$11000,H1991,OUT!$D$2:$D$11000,"Out",OUT!$E$2:$E$11000,"Zela")</f>
        <v>0</v>
      </c>
      <c r="T1991" s="52">
        <f ca="1">SUMIFS(OUT!$F$2:$F$11000,OUT!$H$2:$H$11000,H1991,OUT!$D$2:$D$11000,"Out",OUT!$E$2:$E$11000,"Iqbal")</f>
        <v>0</v>
      </c>
    </row>
    <row r="1992" spans="7:20" x14ac:dyDescent="0.2">
      <c r="G1992" s="50"/>
      <c r="H1992" s="51" t="str">
        <f t="shared" si="0"/>
        <v/>
      </c>
      <c r="I1992" s="52" t="e">
        <f>SUMIFS(OUT!$F$2:$F$11000,OUT!$H$2:$H$11000,H1992,OUT!$D$2:$D$101007,"In")</f>
        <v>#VALUE!</v>
      </c>
      <c r="J1992" s="52">
        <f ca="1">SUMIFS(OUT!$F$2:$F$11000,OUT!$H$2:$H$11000,H1992,OUT!$D$2:$D$11000,"Out")</f>
        <v>0</v>
      </c>
      <c r="K1992" s="52">
        <f ca="1">SUMIFS(OUT!$F$2:$F$11000,OUT!$H$2:$H$11000,H1992,OUT!$D$2:$D$11000,"Out",OUT!$E$2:$E$11000,"Fix")</f>
        <v>0</v>
      </c>
      <c r="L1992" s="52">
        <f ca="1">SUMIFS(OUT!$F$2:$F$11000,OUT!$H$2:$H$11000,H1992,OUT!$D$2:$D$11000,"Out",OUT!$E$2:$E$11000,"Bathroom")</f>
        <v>0</v>
      </c>
      <c r="M1992" s="52">
        <f ca="1">SUMIFS(OUT!$F$2:$F$11000,OUT!$H$2:$H$11000,H1992,OUT!$D$2:$D$11000,"Out",OUT!$E$2:$E$11000,"Alfa")</f>
        <v>0</v>
      </c>
      <c r="N1992" s="52" t="e">
        <f>SUMIFS(OUT!$F$2:$F$11000,OUT!$H$2:$H$101007,H1992,OUT!$D$2:$D$11000,"Out",OUT!$E$2:$E$11000,"Jajan")</f>
        <v>#VALUE!</v>
      </c>
      <c r="O1992" s="52">
        <f ca="1">SUMIFS(OUT!$F$2:$F$11000,OUT!$H$2:$H$11000,H1992,OUT!$D$2:$D$11000,"Out",OUT!$E$2:$E$11000,"Kitchen")</f>
        <v>0</v>
      </c>
      <c r="P1992" s="52">
        <f ca="1">SUMIFS(OUT!$F$2:$F$11000,OUT!$H$2:$H$11000,H1992,OUT!$D$2:$D$11000,"Out",OUT!$E$2:$E$11000,"Loandry")</f>
        <v>0</v>
      </c>
      <c r="Q1992" s="52">
        <f ca="1">SUMIFS(OUT!$F$2:$F$11000,OUT!$H$2:$H$11000,H1992,OUT!$D$2:$D$11000,"Out",OUT!$E$2:$E$11000,"Mio")</f>
        <v>0</v>
      </c>
      <c r="R1992" s="52">
        <f ca="1">SUMIFS(OUT!$F$2:$F$11000,OUT!$H$2:$H$11000,H1992,OUT!$D$2:$D$11000,"Out",OUT!$E$2:$E$11000,"Sedekah")</f>
        <v>0</v>
      </c>
      <c r="S1992" s="52">
        <f ca="1">SUMIFS(OUT!$F$2:$F$11000,OUT!$H$2:$H$11000,H1992,OUT!$D$2:$D$11000,"Out",OUT!$E$2:$E$11000,"Zela")</f>
        <v>0</v>
      </c>
      <c r="T1992" s="52">
        <f ca="1">SUMIFS(OUT!$F$2:$F$11000,OUT!$H$2:$H$11000,H1992,OUT!$D$2:$D$11000,"Out",OUT!$E$2:$E$11000,"Iqbal")</f>
        <v>0</v>
      </c>
    </row>
    <row r="1993" spans="7:20" x14ac:dyDescent="0.2">
      <c r="G1993" s="50"/>
      <c r="H1993" s="51" t="str">
        <f t="shared" si="0"/>
        <v/>
      </c>
      <c r="I1993" s="52" t="e">
        <f>SUMIFS(OUT!$F$2:$F$11000,OUT!$H$2:$H$11000,H1993,OUT!$D$2:$D$101007,"In")</f>
        <v>#VALUE!</v>
      </c>
      <c r="J1993" s="52">
        <f ca="1">SUMIFS(OUT!$F$2:$F$11000,OUT!$H$2:$H$11000,H1993,OUT!$D$2:$D$11000,"Out")</f>
        <v>0</v>
      </c>
      <c r="K1993" s="52">
        <f ca="1">SUMIFS(OUT!$F$2:$F$11000,OUT!$H$2:$H$11000,H1993,OUT!$D$2:$D$11000,"Out",OUT!$E$2:$E$11000,"Fix")</f>
        <v>0</v>
      </c>
      <c r="L1993" s="52">
        <f ca="1">SUMIFS(OUT!$F$2:$F$11000,OUT!$H$2:$H$11000,H1993,OUT!$D$2:$D$11000,"Out",OUT!$E$2:$E$11000,"Bathroom")</f>
        <v>0</v>
      </c>
      <c r="M1993" s="52">
        <f ca="1">SUMIFS(OUT!$F$2:$F$11000,OUT!$H$2:$H$11000,H1993,OUT!$D$2:$D$11000,"Out",OUT!$E$2:$E$11000,"Alfa")</f>
        <v>0</v>
      </c>
      <c r="N1993" s="52" t="e">
        <f>SUMIFS(OUT!$F$2:$F$11000,OUT!$H$2:$H$101007,H1993,OUT!$D$2:$D$11000,"Out",OUT!$E$2:$E$11000,"Jajan")</f>
        <v>#VALUE!</v>
      </c>
      <c r="O1993" s="52">
        <f ca="1">SUMIFS(OUT!$F$2:$F$11000,OUT!$H$2:$H$11000,H1993,OUT!$D$2:$D$11000,"Out",OUT!$E$2:$E$11000,"Kitchen")</f>
        <v>0</v>
      </c>
      <c r="P1993" s="52">
        <f ca="1">SUMIFS(OUT!$F$2:$F$11000,OUT!$H$2:$H$11000,H1993,OUT!$D$2:$D$11000,"Out",OUT!$E$2:$E$11000,"Loandry")</f>
        <v>0</v>
      </c>
      <c r="Q1993" s="52">
        <f ca="1">SUMIFS(OUT!$F$2:$F$11000,OUT!$H$2:$H$11000,H1993,OUT!$D$2:$D$11000,"Out",OUT!$E$2:$E$11000,"Mio")</f>
        <v>0</v>
      </c>
      <c r="R1993" s="52">
        <f ca="1">SUMIFS(OUT!$F$2:$F$11000,OUT!$H$2:$H$11000,H1993,OUT!$D$2:$D$11000,"Out",OUT!$E$2:$E$11000,"Sedekah")</f>
        <v>0</v>
      </c>
      <c r="S1993" s="52">
        <f ca="1">SUMIFS(OUT!$F$2:$F$11000,OUT!$H$2:$H$11000,H1993,OUT!$D$2:$D$11000,"Out",OUT!$E$2:$E$11000,"Zela")</f>
        <v>0</v>
      </c>
      <c r="T1993" s="52">
        <f ca="1">SUMIFS(OUT!$F$2:$F$11000,OUT!$H$2:$H$11000,H1993,OUT!$D$2:$D$11000,"Out",OUT!$E$2:$E$11000,"Iqbal")</f>
        <v>0</v>
      </c>
    </row>
    <row r="1994" spans="7:20" x14ac:dyDescent="0.2">
      <c r="G1994" s="50"/>
      <c r="H1994" s="51" t="str">
        <f t="shared" si="0"/>
        <v/>
      </c>
      <c r="I1994" s="52" t="e">
        <f>SUMIFS(OUT!$F$2:$F$11000,OUT!$H$2:$H$11000,H1994,OUT!$D$2:$D$101007,"In")</f>
        <v>#VALUE!</v>
      </c>
      <c r="J1994" s="52">
        <f ca="1">SUMIFS(OUT!$F$2:$F$11000,OUT!$H$2:$H$11000,H1994,OUT!$D$2:$D$11000,"Out")</f>
        <v>0</v>
      </c>
      <c r="K1994" s="52">
        <f ca="1">SUMIFS(OUT!$F$2:$F$11000,OUT!$H$2:$H$11000,H1994,OUT!$D$2:$D$11000,"Out",OUT!$E$2:$E$11000,"Fix")</f>
        <v>0</v>
      </c>
      <c r="L1994" s="52">
        <f ca="1">SUMIFS(OUT!$F$2:$F$11000,OUT!$H$2:$H$11000,H1994,OUT!$D$2:$D$11000,"Out",OUT!$E$2:$E$11000,"Bathroom")</f>
        <v>0</v>
      </c>
      <c r="M1994" s="52">
        <f ca="1">SUMIFS(OUT!$F$2:$F$11000,OUT!$H$2:$H$11000,H1994,OUT!$D$2:$D$11000,"Out",OUT!$E$2:$E$11000,"Alfa")</f>
        <v>0</v>
      </c>
      <c r="N1994" s="52" t="e">
        <f>SUMIFS(OUT!$F$2:$F$11000,OUT!$H$2:$H$101007,H1994,OUT!$D$2:$D$11000,"Out",OUT!$E$2:$E$11000,"Jajan")</f>
        <v>#VALUE!</v>
      </c>
      <c r="O1994" s="52">
        <f ca="1">SUMIFS(OUT!$F$2:$F$11000,OUT!$H$2:$H$11000,H1994,OUT!$D$2:$D$11000,"Out",OUT!$E$2:$E$11000,"Kitchen")</f>
        <v>0</v>
      </c>
      <c r="P1994" s="52">
        <f ca="1">SUMIFS(OUT!$F$2:$F$11000,OUT!$H$2:$H$11000,H1994,OUT!$D$2:$D$11000,"Out",OUT!$E$2:$E$11000,"Loandry")</f>
        <v>0</v>
      </c>
      <c r="Q1994" s="52">
        <f ca="1">SUMIFS(OUT!$F$2:$F$11000,OUT!$H$2:$H$11000,H1994,OUT!$D$2:$D$11000,"Out",OUT!$E$2:$E$11000,"Mio")</f>
        <v>0</v>
      </c>
      <c r="R1994" s="52">
        <f ca="1">SUMIFS(OUT!$F$2:$F$11000,OUT!$H$2:$H$11000,H1994,OUT!$D$2:$D$11000,"Out",OUT!$E$2:$E$11000,"Sedekah")</f>
        <v>0</v>
      </c>
      <c r="S1994" s="52">
        <f ca="1">SUMIFS(OUT!$F$2:$F$11000,OUT!$H$2:$H$11000,H1994,OUT!$D$2:$D$11000,"Out",OUT!$E$2:$E$11000,"Zela")</f>
        <v>0</v>
      </c>
      <c r="T1994" s="52">
        <f ca="1">SUMIFS(OUT!$F$2:$F$11000,OUT!$H$2:$H$11000,H1994,OUT!$D$2:$D$11000,"Out",OUT!$E$2:$E$11000,"Iqbal")</f>
        <v>0</v>
      </c>
    </row>
    <row r="1995" spans="7:20" x14ac:dyDescent="0.2">
      <c r="G1995" s="50"/>
      <c r="H1995" s="51" t="str">
        <f t="shared" si="0"/>
        <v/>
      </c>
      <c r="I1995" s="52" t="e">
        <f>SUMIFS(OUT!$F$2:$F$11000,OUT!$H$2:$H$11000,H1995,OUT!$D$2:$D$101007,"In")</f>
        <v>#VALUE!</v>
      </c>
      <c r="J1995" s="52">
        <f ca="1">SUMIFS(OUT!$F$2:$F$11000,OUT!$H$2:$H$11000,H1995,OUT!$D$2:$D$11000,"Out")</f>
        <v>0</v>
      </c>
      <c r="K1995" s="52">
        <f ca="1">SUMIFS(OUT!$F$2:$F$11000,OUT!$H$2:$H$11000,H1995,OUT!$D$2:$D$11000,"Out",OUT!$E$2:$E$11000,"Fix")</f>
        <v>0</v>
      </c>
      <c r="L1995" s="52">
        <f ca="1">SUMIFS(OUT!$F$2:$F$11000,OUT!$H$2:$H$11000,H1995,OUT!$D$2:$D$11000,"Out",OUT!$E$2:$E$11000,"Bathroom")</f>
        <v>0</v>
      </c>
      <c r="M1995" s="52">
        <f ca="1">SUMIFS(OUT!$F$2:$F$11000,OUT!$H$2:$H$11000,H1995,OUT!$D$2:$D$11000,"Out",OUT!$E$2:$E$11000,"Alfa")</f>
        <v>0</v>
      </c>
      <c r="N1995" s="52" t="e">
        <f>SUMIFS(OUT!$F$2:$F$11000,OUT!$H$2:$H$101007,H1995,OUT!$D$2:$D$11000,"Out",OUT!$E$2:$E$11000,"Jajan")</f>
        <v>#VALUE!</v>
      </c>
      <c r="O1995" s="52">
        <f ca="1">SUMIFS(OUT!$F$2:$F$11000,OUT!$H$2:$H$11000,H1995,OUT!$D$2:$D$11000,"Out",OUT!$E$2:$E$11000,"Kitchen")</f>
        <v>0</v>
      </c>
      <c r="P1995" s="52">
        <f ca="1">SUMIFS(OUT!$F$2:$F$11000,OUT!$H$2:$H$11000,H1995,OUT!$D$2:$D$11000,"Out",OUT!$E$2:$E$11000,"Loandry")</f>
        <v>0</v>
      </c>
      <c r="Q1995" s="52">
        <f ca="1">SUMIFS(OUT!$F$2:$F$11000,OUT!$H$2:$H$11000,H1995,OUT!$D$2:$D$11000,"Out",OUT!$E$2:$E$11000,"Mio")</f>
        <v>0</v>
      </c>
      <c r="R1995" s="52">
        <f ca="1">SUMIFS(OUT!$F$2:$F$11000,OUT!$H$2:$H$11000,H1995,OUT!$D$2:$D$11000,"Out",OUT!$E$2:$E$11000,"Sedekah")</f>
        <v>0</v>
      </c>
      <c r="S1995" s="52">
        <f ca="1">SUMIFS(OUT!$F$2:$F$11000,OUT!$H$2:$H$11000,H1995,OUT!$D$2:$D$11000,"Out",OUT!$E$2:$E$11000,"Zela")</f>
        <v>0</v>
      </c>
      <c r="T1995" s="52">
        <f ca="1">SUMIFS(OUT!$F$2:$F$11000,OUT!$H$2:$H$11000,H1995,OUT!$D$2:$D$11000,"Out",OUT!$E$2:$E$11000,"Iqbal")</f>
        <v>0</v>
      </c>
    </row>
    <row r="1996" spans="7:20" x14ac:dyDescent="0.2">
      <c r="G1996" s="50"/>
      <c r="H1996" s="51" t="str">
        <f t="shared" si="0"/>
        <v/>
      </c>
      <c r="I1996" s="52" t="e">
        <f>SUMIFS(OUT!$F$2:$F$11000,OUT!$H$2:$H$11000,H1996,OUT!$D$2:$D$101007,"In")</f>
        <v>#VALUE!</v>
      </c>
      <c r="J1996" s="52">
        <f ca="1">SUMIFS(OUT!$F$2:$F$11000,OUT!$H$2:$H$11000,H1996,OUT!$D$2:$D$11000,"Out")</f>
        <v>0</v>
      </c>
      <c r="K1996" s="52">
        <f ca="1">SUMIFS(OUT!$F$2:$F$11000,OUT!$H$2:$H$11000,H1996,OUT!$D$2:$D$11000,"Out",OUT!$E$2:$E$11000,"Fix")</f>
        <v>0</v>
      </c>
      <c r="L1996" s="52">
        <f ca="1">SUMIFS(OUT!$F$2:$F$11000,OUT!$H$2:$H$11000,H1996,OUT!$D$2:$D$11000,"Out",OUT!$E$2:$E$11000,"Bathroom")</f>
        <v>0</v>
      </c>
      <c r="M1996" s="52">
        <f ca="1">SUMIFS(OUT!$F$2:$F$11000,OUT!$H$2:$H$11000,H1996,OUT!$D$2:$D$11000,"Out",OUT!$E$2:$E$11000,"Alfa")</f>
        <v>0</v>
      </c>
      <c r="N1996" s="52" t="e">
        <f>SUMIFS(OUT!$F$2:$F$11000,OUT!$H$2:$H$101007,H1996,OUT!$D$2:$D$11000,"Out",OUT!$E$2:$E$11000,"Jajan")</f>
        <v>#VALUE!</v>
      </c>
      <c r="O1996" s="52">
        <f ca="1">SUMIFS(OUT!$F$2:$F$11000,OUT!$H$2:$H$11000,H1996,OUT!$D$2:$D$11000,"Out",OUT!$E$2:$E$11000,"Kitchen")</f>
        <v>0</v>
      </c>
      <c r="P1996" s="52">
        <f ca="1">SUMIFS(OUT!$F$2:$F$11000,OUT!$H$2:$H$11000,H1996,OUT!$D$2:$D$11000,"Out",OUT!$E$2:$E$11000,"Loandry")</f>
        <v>0</v>
      </c>
      <c r="Q1996" s="52">
        <f ca="1">SUMIFS(OUT!$F$2:$F$11000,OUT!$H$2:$H$11000,H1996,OUT!$D$2:$D$11000,"Out",OUT!$E$2:$E$11000,"Mio")</f>
        <v>0</v>
      </c>
      <c r="R1996" s="52">
        <f ca="1">SUMIFS(OUT!$F$2:$F$11000,OUT!$H$2:$H$11000,H1996,OUT!$D$2:$D$11000,"Out",OUT!$E$2:$E$11000,"Sedekah")</f>
        <v>0</v>
      </c>
      <c r="S1996" s="52">
        <f ca="1">SUMIFS(OUT!$F$2:$F$11000,OUT!$H$2:$H$11000,H1996,OUT!$D$2:$D$11000,"Out",OUT!$E$2:$E$11000,"Zela")</f>
        <v>0</v>
      </c>
      <c r="T1996" s="52">
        <f ca="1">SUMIFS(OUT!$F$2:$F$11000,OUT!$H$2:$H$11000,H1996,OUT!$D$2:$D$11000,"Out",OUT!$E$2:$E$11000,"Iqbal")</f>
        <v>0</v>
      </c>
    </row>
    <row r="1997" spans="7:20" x14ac:dyDescent="0.2">
      <c r="G1997" s="50"/>
      <c r="H1997" s="51" t="str">
        <f t="shared" si="0"/>
        <v/>
      </c>
      <c r="I1997" s="52" t="e">
        <f>SUMIFS(OUT!$F$2:$F$11000,OUT!$H$2:$H$11000,H1997,OUT!$D$2:$D$101007,"In")</f>
        <v>#VALUE!</v>
      </c>
      <c r="J1997" s="52">
        <f ca="1">SUMIFS(OUT!$F$2:$F$11000,OUT!$H$2:$H$11000,H1997,OUT!$D$2:$D$11000,"Out")</f>
        <v>0</v>
      </c>
      <c r="K1997" s="52">
        <f ca="1">SUMIFS(OUT!$F$2:$F$11000,OUT!$H$2:$H$11000,H1997,OUT!$D$2:$D$11000,"Out",OUT!$E$2:$E$11000,"Fix")</f>
        <v>0</v>
      </c>
      <c r="L1997" s="52">
        <f ca="1">SUMIFS(OUT!$F$2:$F$11000,OUT!$H$2:$H$11000,H1997,OUT!$D$2:$D$11000,"Out",OUT!$E$2:$E$11000,"Bathroom")</f>
        <v>0</v>
      </c>
      <c r="M1997" s="52">
        <f ca="1">SUMIFS(OUT!$F$2:$F$11000,OUT!$H$2:$H$11000,H1997,OUT!$D$2:$D$11000,"Out",OUT!$E$2:$E$11000,"Alfa")</f>
        <v>0</v>
      </c>
      <c r="N1997" s="52" t="e">
        <f>SUMIFS(OUT!$F$2:$F$11000,OUT!$H$2:$H$101007,H1997,OUT!$D$2:$D$11000,"Out",OUT!$E$2:$E$11000,"Jajan")</f>
        <v>#VALUE!</v>
      </c>
      <c r="O1997" s="52">
        <f ca="1">SUMIFS(OUT!$F$2:$F$11000,OUT!$H$2:$H$11000,H1997,OUT!$D$2:$D$11000,"Out",OUT!$E$2:$E$11000,"Kitchen")</f>
        <v>0</v>
      </c>
      <c r="P1997" s="52">
        <f ca="1">SUMIFS(OUT!$F$2:$F$11000,OUT!$H$2:$H$11000,H1997,OUT!$D$2:$D$11000,"Out",OUT!$E$2:$E$11000,"Loandry")</f>
        <v>0</v>
      </c>
      <c r="Q1997" s="52">
        <f ca="1">SUMIFS(OUT!$F$2:$F$11000,OUT!$H$2:$H$11000,H1997,OUT!$D$2:$D$11000,"Out",OUT!$E$2:$E$11000,"Mio")</f>
        <v>0</v>
      </c>
      <c r="R1997" s="52">
        <f ca="1">SUMIFS(OUT!$F$2:$F$11000,OUT!$H$2:$H$11000,H1997,OUT!$D$2:$D$11000,"Out",OUT!$E$2:$E$11000,"Sedekah")</f>
        <v>0</v>
      </c>
      <c r="S1997" s="52">
        <f ca="1">SUMIFS(OUT!$F$2:$F$11000,OUT!$H$2:$H$11000,H1997,OUT!$D$2:$D$11000,"Out",OUT!$E$2:$E$11000,"Zela")</f>
        <v>0</v>
      </c>
      <c r="T1997" s="52">
        <f ca="1">SUMIFS(OUT!$F$2:$F$11000,OUT!$H$2:$H$11000,H1997,OUT!$D$2:$D$11000,"Out",OUT!$E$2:$E$11000,"Iqbal")</f>
        <v>0</v>
      </c>
    </row>
    <row r="1998" spans="7:20" x14ac:dyDescent="0.2">
      <c r="G1998" s="50"/>
      <c r="H1998" s="51" t="str">
        <f t="shared" si="0"/>
        <v/>
      </c>
      <c r="I1998" s="52" t="e">
        <f>SUMIFS(OUT!$F$2:$F$11000,OUT!$H$2:$H$11000,H1998,OUT!$D$2:$D$101007,"In")</f>
        <v>#VALUE!</v>
      </c>
      <c r="J1998" s="52">
        <f ca="1">SUMIFS(OUT!$F$2:$F$11000,OUT!$H$2:$H$11000,H1998,OUT!$D$2:$D$11000,"Out")</f>
        <v>0</v>
      </c>
      <c r="K1998" s="52">
        <f ca="1">SUMIFS(OUT!$F$2:$F$11000,OUT!$H$2:$H$11000,H1998,OUT!$D$2:$D$11000,"Out",OUT!$E$2:$E$11000,"Fix")</f>
        <v>0</v>
      </c>
      <c r="L1998" s="52">
        <f ca="1">SUMIFS(OUT!$F$2:$F$11000,OUT!$H$2:$H$11000,H1998,OUT!$D$2:$D$11000,"Out",OUT!$E$2:$E$11000,"Bathroom")</f>
        <v>0</v>
      </c>
      <c r="M1998" s="52">
        <f ca="1">SUMIFS(OUT!$F$2:$F$11000,OUT!$H$2:$H$11000,H1998,OUT!$D$2:$D$11000,"Out",OUT!$E$2:$E$11000,"Alfa")</f>
        <v>0</v>
      </c>
      <c r="N1998" s="52" t="e">
        <f>SUMIFS(OUT!$F$2:$F$11000,OUT!$H$2:$H$101007,H1998,OUT!$D$2:$D$11000,"Out",OUT!$E$2:$E$11000,"Jajan")</f>
        <v>#VALUE!</v>
      </c>
      <c r="O1998" s="52">
        <f ca="1">SUMIFS(OUT!$F$2:$F$11000,OUT!$H$2:$H$11000,H1998,OUT!$D$2:$D$11000,"Out",OUT!$E$2:$E$11000,"Kitchen")</f>
        <v>0</v>
      </c>
      <c r="P1998" s="52">
        <f ca="1">SUMIFS(OUT!$F$2:$F$11000,OUT!$H$2:$H$11000,H1998,OUT!$D$2:$D$11000,"Out",OUT!$E$2:$E$11000,"Loandry")</f>
        <v>0</v>
      </c>
      <c r="Q1998" s="52">
        <f ca="1">SUMIFS(OUT!$F$2:$F$11000,OUT!$H$2:$H$11000,H1998,OUT!$D$2:$D$11000,"Out",OUT!$E$2:$E$11000,"Mio")</f>
        <v>0</v>
      </c>
      <c r="R1998" s="52">
        <f ca="1">SUMIFS(OUT!$F$2:$F$11000,OUT!$H$2:$H$11000,H1998,OUT!$D$2:$D$11000,"Out",OUT!$E$2:$E$11000,"Sedekah")</f>
        <v>0</v>
      </c>
      <c r="S1998" s="52">
        <f ca="1">SUMIFS(OUT!$F$2:$F$11000,OUT!$H$2:$H$11000,H1998,OUT!$D$2:$D$11000,"Out",OUT!$E$2:$E$11000,"Zela")</f>
        <v>0</v>
      </c>
      <c r="T1998" s="52">
        <f ca="1">SUMIFS(OUT!$F$2:$F$11000,OUT!$H$2:$H$11000,H1998,OUT!$D$2:$D$11000,"Out",OUT!$E$2:$E$11000,"Iqbal")</f>
        <v>0</v>
      </c>
    </row>
    <row r="1999" spans="7:20" x14ac:dyDescent="0.2">
      <c r="G1999" s="50"/>
      <c r="H1999" s="51" t="str">
        <f t="shared" si="0"/>
        <v/>
      </c>
      <c r="I1999" s="52" t="e">
        <f>SUMIFS(OUT!$F$2:$F$11000,OUT!$H$2:$H$11000,H1999,OUT!$D$2:$D$101007,"In")</f>
        <v>#VALUE!</v>
      </c>
      <c r="J1999" s="52">
        <f ca="1">SUMIFS(OUT!$F$2:$F$11000,OUT!$H$2:$H$11000,H1999,OUT!$D$2:$D$11000,"Out")</f>
        <v>0</v>
      </c>
      <c r="K1999" s="52">
        <f ca="1">SUMIFS(OUT!$F$2:$F$11000,OUT!$H$2:$H$11000,H1999,OUT!$D$2:$D$11000,"Out",OUT!$E$2:$E$11000,"Fix")</f>
        <v>0</v>
      </c>
      <c r="L1999" s="52">
        <f ca="1">SUMIFS(OUT!$F$2:$F$11000,OUT!$H$2:$H$11000,H1999,OUT!$D$2:$D$11000,"Out",OUT!$E$2:$E$11000,"Bathroom")</f>
        <v>0</v>
      </c>
      <c r="M1999" s="52">
        <f ca="1">SUMIFS(OUT!$F$2:$F$11000,OUT!$H$2:$H$11000,H1999,OUT!$D$2:$D$11000,"Out",OUT!$E$2:$E$11000,"Alfa")</f>
        <v>0</v>
      </c>
      <c r="N1999" s="52" t="e">
        <f>SUMIFS(OUT!$F$2:$F$11000,OUT!$H$2:$H$101007,H1999,OUT!$D$2:$D$11000,"Out",OUT!$E$2:$E$11000,"Jajan")</f>
        <v>#VALUE!</v>
      </c>
      <c r="O1999" s="52">
        <f ca="1">SUMIFS(OUT!$F$2:$F$11000,OUT!$H$2:$H$11000,H1999,OUT!$D$2:$D$11000,"Out",OUT!$E$2:$E$11000,"Kitchen")</f>
        <v>0</v>
      </c>
      <c r="P1999" s="52">
        <f ca="1">SUMIFS(OUT!$F$2:$F$11000,OUT!$H$2:$H$11000,H1999,OUT!$D$2:$D$11000,"Out",OUT!$E$2:$E$11000,"Loandry")</f>
        <v>0</v>
      </c>
      <c r="Q1999" s="52">
        <f ca="1">SUMIFS(OUT!$F$2:$F$11000,OUT!$H$2:$H$11000,H1999,OUT!$D$2:$D$11000,"Out",OUT!$E$2:$E$11000,"Mio")</f>
        <v>0</v>
      </c>
      <c r="R1999" s="52">
        <f ca="1">SUMIFS(OUT!$F$2:$F$11000,OUT!$H$2:$H$11000,H1999,OUT!$D$2:$D$11000,"Out",OUT!$E$2:$E$11000,"Sedekah")</f>
        <v>0</v>
      </c>
      <c r="S1999" s="52">
        <f ca="1">SUMIFS(OUT!$F$2:$F$11000,OUT!$H$2:$H$11000,H1999,OUT!$D$2:$D$11000,"Out",OUT!$E$2:$E$11000,"Zela")</f>
        <v>0</v>
      </c>
      <c r="T1999" s="52">
        <f ca="1">SUMIFS(OUT!$F$2:$F$11000,OUT!$H$2:$H$11000,H1999,OUT!$D$2:$D$11000,"Out",OUT!$E$2:$E$11000,"Iqbal")</f>
        <v>0</v>
      </c>
    </row>
    <row r="2000" spans="7:20" x14ac:dyDescent="0.2">
      <c r="G2000" s="50"/>
      <c r="H2000" s="51" t="str">
        <f t="shared" si="0"/>
        <v/>
      </c>
      <c r="I2000" s="52" t="e">
        <f>SUMIFS(OUT!$F$2:$F$11000,OUT!$H$2:$H$11000,H2000,OUT!$D$2:$D$101007,"In")</f>
        <v>#VALUE!</v>
      </c>
      <c r="J2000" s="52">
        <f ca="1">SUMIFS(OUT!$F$2:$F$11000,OUT!$H$2:$H$11000,H2000,OUT!$D$2:$D$11000,"Out")</f>
        <v>0</v>
      </c>
      <c r="K2000" s="52">
        <f ca="1">SUMIFS(OUT!$F$2:$F$11000,OUT!$H$2:$H$11000,H2000,OUT!$D$2:$D$11000,"Out",OUT!$E$2:$E$11000,"Fix")</f>
        <v>0</v>
      </c>
      <c r="L2000" s="52">
        <f ca="1">SUMIFS(OUT!$F$2:$F$11000,OUT!$H$2:$H$11000,H2000,OUT!$D$2:$D$11000,"Out",OUT!$E$2:$E$11000,"Bathroom")</f>
        <v>0</v>
      </c>
      <c r="M2000" s="52">
        <f ca="1">SUMIFS(OUT!$F$2:$F$11000,OUT!$H$2:$H$11000,H2000,OUT!$D$2:$D$11000,"Out",OUT!$E$2:$E$11000,"Alfa")</f>
        <v>0</v>
      </c>
      <c r="N2000" s="52" t="e">
        <f>SUMIFS(OUT!$F$2:$F$11000,OUT!$H$2:$H$101007,H2000,OUT!$D$2:$D$11000,"Out",OUT!$E$2:$E$11000,"Jajan")</f>
        <v>#VALUE!</v>
      </c>
      <c r="O2000" s="52">
        <f ca="1">SUMIFS(OUT!$F$2:$F$11000,OUT!$H$2:$H$11000,H2000,OUT!$D$2:$D$11000,"Out",OUT!$E$2:$E$11000,"Kitchen")</f>
        <v>0</v>
      </c>
      <c r="P2000" s="52">
        <f ca="1">SUMIFS(OUT!$F$2:$F$11000,OUT!$H$2:$H$11000,H2000,OUT!$D$2:$D$11000,"Out",OUT!$E$2:$E$11000,"Loandry")</f>
        <v>0</v>
      </c>
      <c r="Q2000" s="52">
        <f ca="1">SUMIFS(OUT!$F$2:$F$11000,OUT!$H$2:$H$11000,H2000,OUT!$D$2:$D$11000,"Out",OUT!$E$2:$E$11000,"Mio")</f>
        <v>0</v>
      </c>
      <c r="R2000" s="52">
        <f ca="1">SUMIFS(OUT!$F$2:$F$11000,OUT!$H$2:$H$11000,H2000,OUT!$D$2:$D$11000,"Out",OUT!$E$2:$E$11000,"Sedekah")</f>
        <v>0</v>
      </c>
      <c r="S2000" s="52">
        <f ca="1">SUMIFS(OUT!$F$2:$F$11000,OUT!$H$2:$H$11000,H2000,OUT!$D$2:$D$11000,"Out",OUT!$E$2:$E$11000,"Zela")</f>
        <v>0</v>
      </c>
      <c r="T2000" s="52">
        <f ca="1">SUMIFS(OUT!$F$2:$F$11000,OUT!$H$2:$H$11000,H2000,OUT!$D$2:$D$11000,"Out",OUT!$E$2:$E$11000,"Iqbal")</f>
        <v>0</v>
      </c>
    </row>
  </sheetData>
  <autoFilter ref="A1:T2000" xr:uid="{00000000-0009-0000-0000-000005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86E8"/>
    <outlinePr summaryBelow="0" summaryRight="0"/>
  </sheetPr>
  <dimension ref="A1:F1359"/>
  <sheetViews>
    <sheetView showGridLines="0" workbookViewId="0">
      <pane ySplit="4" topLeftCell="A5" activePane="bottomLeft" state="frozen"/>
      <selection pane="bottomLeft" activeCell="A85" sqref="A85"/>
    </sheetView>
  </sheetViews>
  <sheetFormatPr defaultColWidth="12.5703125" defaultRowHeight="15.75" customHeight="1" x14ac:dyDescent="0.2"/>
  <cols>
    <col min="1" max="1" width="24.42578125" customWidth="1"/>
    <col min="2" max="2" width="45.5703125" customWidth="1"/>
    <col min="3" max="4" width="15.140625" customWidth="1"/>
    <col min="5" max="5" width="15.28515625" customWidth="1"/>
    <col min="6" max="6" width="26" customWidth="1"/>
  </cols>
  <sheetData>
    <row r="1" spans="1:6" ht="17.25" customHeight="1" x14ac:dyDescent="0.2">
      <c r="A1" s="8" t="s">
        <v>39</v>
      </c>
      <c r="B1" s="11">
        <f>SUMIFS(Cash_Flow[Amount],Cash_Flow[Type],"In",Cash_Flow[Category],"Fix")-SUMIFS(Cash_Flow[Amount],Cash_Flow[Type],"Out",Cash_Flow[Category],"Move")</f>
        <v>-16487496</v>
      </c>
      <c r="D1" s="12" t="s">
        <v>43</v>
      </c>
      <c r="E1" s="92">
        <f>SUMIFS(Cash_Flow[Amount],Cash_Flow[ATM/Cash],"ATM",Cash_Flow[Type],"In")
-SUMIFS(Cash_Flow[Amount],Cash_Flow[ATM/Cash],"ATM",Cash_Flow[Type],"Out")
-SUMIFS(Cash_Flow[Amount],Cash_Flow[ATM/Cash],"ATM",Cash_Flow[Type],"Move")</f>
        <v>13250</v>
      </c>
      <c r="F1" s="93"/>
    </row>
    <row r="2" spans="1:6" ht="17.25" customHeight="1" x14ac:dyDescent="0.2">
      <c r="A2" s="14" t="s">
        <v>44</v>
      </c>
      <c r="B2" s="15">
        <f>SUMIFS(Cash_Flow[Amount],Cash_Flow[Type],"Out",Cash_Flow[Category],"&lt;&gt;Move")</f>
        <v>27401832</v>
      </c>
      <c r="C2" s="2"/>
      <c r="D2" s="16" t="s">
        <v>46</v>
      </c>
      <c r="E2" s="96">
        <f>SUMIFS(Cash_Flow[Amount],Cash_Flow[ATM/Cash],"Cash",Cash_Flow[Type],"In")
-SUMIFS(Cash_Flow[Amount],Cash_Flow[ATM/Cash],"Cash",Cash_Flow[Type],"Out")
+SUMIFS(Cash_Flow[Amount],Cash_Flow[ATM/Cash],"Cash",Cash_Flow[Type],"Move")</f>
        <v>0</v>
      </c>
      <c r="F2" s="93"/>
    </row>
    <row r="3" spans="1:6" ht="24" x14ac:dyDescent="0.2">
      <c r="A3" s="18"/>
      <c r="B3" s="20" t="s">
        <v>48</v>
      </c>
      <c r="D3" s="19" t="s">
        <v>47</v>
      </c>
      <c r="E3" s="97">
        <f>SUM(E1:F2)</f>
        <v>13250</v>
      </c>
      <c r="F3" s="93"/>
    </row>
    <row r="4" spans="1:6" ht="22.5" customHeight="1" x14ac:dyDescent="0.2">
      <c r="A4" s="21" t="s">
        <v>49</v>
      </c>
      <c r="B4" s="21" t="s">
        <v>50</v>
      </c>
      <c r="C4" s="21" t="s">
        <v>51</v>
      </c>
      <c r="D4" s="21" t="s">
        <v>52</v>
      </c>
      <c r="E4" s="21" t="s">
        <v>53</v>
      </c>
      <c r="F4" s="21" t="s">
        <v>54</v>
      </c>
    </row>
    <row r="5" spans="1:6" ht="22.5" customHeight="1" x14ac:dyDescent="0.2">
      <c r="A5" s="23">
        <v>46050</v>
      </c>
      <c r="B5" s="24" t="s">
        <v>57</v>
      </c>
      <c r="C5" s="25" t="s">
        <v>43</v>
      </c>
      <c r="D5" s="25" t="s">
        <v>39</v>
      </c>
      <c r="E5" s="25" t="s">
        <v>20</v>
      </c>
      <c r="F5" s="26">
        <v>15590</v>
      </c>
    </row>
    <row r="6" spans="1:6" ht="22.5" customHeight="1" x14ac:dyDescent="0.2">
      <c r="A6" s="23">
        <v>46051</v>
      </c>
      <c r="B6" s="24" t="s">
        <v>31</v>
      </c>
      <c r="C6" s="25" t="s">
        <v>43</v>
      </c>
      <c r="D6" s="25" t="s">
        <v>39</v>
      </c>
      <c r="E6" s="35" t="s">
        <v>20</v>
      </c>
      <c r="F6" s="26">
        <v>300000</v>
      </c>
    </row>
    <row r="7" spans="1:6" ht="22.5" customHeight="1" x14ac:dyDescent="0.2">
      <c r="A7" s="23">
        <v>46051</v>
      </c>
      <c r="B7" s="24" t="s">
        <v>58</v>
      </c>
      <c r="C7" s="25" t="s">
        <v>43</v>
      </c>
      <c r="D7" s="25" t="s">
        <v>44</v>
      </c>
      <c r="E7" s="25" t="s">
        <v>9</v>
      </c>
      <c r="F7" s="26">
        <v>150000</v>
      </c>
    </row>
    <row r="8" spans="1:6" ht="22.5" customHeight="1" x14ac:dyDescent="0.2">
      <c r="A8" s="23">
        <v>46051</v>
      </c>
      <c r="B8" s="24" t="s">
        <v>59</v>
      </c>
      <c r="C8" s="25" t="s">
        <v>43</v>
      </c>
      <c r="D8" s="25" t="s">
        <v>44</v>
      </c>
      <c r="E8" s="25" t="s">
        <v>0</v>
      </c>
      <c r="F8" s="26">
        <v>99450</v>
      </c>
    </row>
    <row r="9" spans="1:6" ht="22.5" customHeight="1" x14ac:dyDescent="0.2">
      <c r="A9" s="23">
        <v>46052</v>
      </c>
      <c r="B9" s="24" t="s">
        <v>58</v>
      </c>
      <c r="C9" s="25" t="s">
        <v>43</v>
      </c>
      <c r="D9" s="25" t="s">
        <v>44</v>
      </c>
      <c r="E9" s="25" t="s">
        <v>9</v>
      </c>
      <c r="F9" s="26">
        <v>50000</v>
      </c>
    </row>
    <row r="10" spans="1:6" ht="22.5" customHeight="1" x14ac:dyDescent="0.2">
      <c r="A10" s="23">
        <v>46055</v>
      </c>
      <c r="B10" s="24" t="s">
        <v>33</v>
      </c>
      <c r="C10" s="25" t="s">
        <v>43</v>
      </c>
      <c r="D10" s="25" t="s">
        <v>39</v>
      </c>
      <c r="E10" s="25" t="s">
        <v>985</v>
      </c>
      <c r="F10" s="26">
        <v>4353235</v>
      </c>
    </row>
    <row r="11" spans="1:6" ht="22.5" customHeight="1" x14ac:dyDescent="0.2">
      <c r="A11" s="23">
        <v>46055</v>
      </c>
      <c r="B11" s="24" t="s">
        <v>60</v>
      </c>
      <c r="C11" s="25" t="s">
        <v>43</v>
      </c>
      <c r="D11" s="25" t="s">
        <v>44</v>
      </c>
      <c r="E11" s="25" t="s">
        <v>0</v>
      </c>
      <c r="F11" s="26">
        <v>25000</v>
      </c>
    </row>
    <row r="12" spans="1:6" ht="22.5" customHeight="1" x14ac:dyDescent="0.2">
      <c r="A12" s="23">
        <v>46055</v>
      </c>
      <c r="B12" s="24" t="s">
        <v>58</v>
      </c>
      <c r="C12" s="25" t="s">
        <v>43</v>
      </c>
      <c r="D12" s="25" t="s">
        <v>44</v>
      </c>
      <c r="E12" s="25" t="s">
        <v>9</v>
      </c>
      <c r="F12" s="26">
        <v>1774441</v>
      </c>
    </row>
    <row r="13" spans="1:6" ht="22.5" customHeight="1" x14ac:dyDescent="0.2">
      <c r="A13" s="23">
        <v>46055</v>
      </c>
      <c r="B13" s="24" t="s">
        <v>61</v>
      </c>
      <c r="C13" s="25" t="s">
        <v>43</v>
      </c>
      <c r="D13" s="25" t="s">
        <v>44</v>
      </c>
      <c r="E13" s="25" t="s">
        <v>0</v>
      </c>
      <c r="F13" s="26">
        <v>300000</v>
      </c>
    </row>
    <row r="14" spans="1:6" ht="22.5" customHeight="1" x14ac:dyDescent="0.2">
      <c r="A14" s="23">
        <v>46055</v>
      </c>
      <c r="B14" s="24" t="s">
        <v>62</v>
      </c>
      <c r="C14" s="25" t="s">
        <v>43</v>
      </c>
      <c r="D14" s="25" t="s">
        <v>44</v>
      </c>
      <c r="E14" s="25" t="s">
        <v>0</v>
      </c>
      <c r="F14" s="26">
        <v>624137</v>
      </c>
    </row>
    <row r="15" spans="1:6" ht="22.5" customHeight="1" x14ac:dyDescent="0.2">
      <c r="A15" s="23">
        <v>46055</v>
      </c>
      <c r="B15" s="24" t="s">
        <v>63</v>
      </c>
      <c r="C15" s="25" t="s">
        <v>43</v>
      </c>
      <c r="D15" s="25" t="s">
        <v>44</v>
      </c>
      <c r="E15" s="25" t="s">
        <v>0</v>
      </c>
      <c r="F15" s="26">
        <v>279187</v>
      </c>
    </row>
    <row r="16" spans="1:6" ht="22.5" customHeight="1" x14ac:dyDescent="0.2">
      <c r="A16" s="23">
        <v>46056</v>
      </c>
      <c r="B16" s="24" t="s">
        <v>64</v>
      </c>
      <c r="C16" s="25" t="s">
        <v>43</v>
      </c>
      <c r="D16" s="25" t="s">
        <v>44</v>
      </c>
      <c r="E16" s="25" t="s">
        <v>8</v>
      </c>
      <c r="F16" s="26">
        <v>30000</v>
      </c>
    </row>
    <row r="17" spans="1:6" ht="22.5" customHeight="1" x14ac:dyDescent="0.2">
      <c r="A17" s="23">
        <v>46058</v>
      </c>
      <c r="B17" s="24" t="s">
        <v>58</v>
      </c>
      <c r="C17" s="25" t="s">
        <v>46</v>
      </c>
      <c r="D17" s="25" t="s">
        <v>39</v>
      </c>
      <c r="E17" s="25" t="s">
        <v>9</v>
      </c>
      <c r="F17" s="26">
        <v>50000</v>
      </c>
    </row>
    <row r="18" spans="1:6" ht="22.5" customHeight="1" x14ac:dyDescent="0.2">
      <c r="A18" s="23">
        <v>46058</v>
      </c>
      <c r="B18" s="24" t="s">
        <v>65</v>
      </c>
      <c r="C18" s="25" t="s">
        <v>46</v>
      </c>
      <c r="D18" s="25" t="s">
        <v>44</v>
      </c>
      <c r="E18" s="25" t="s">
        <v>6</v>
      </c>
      <c r="F18" s="26">
        <v>12000</v>
      </c>
    </row>
    <row r="19" spans="1:6" ht="22.5" customHeight="1" x14ac:dyDescent="0.2">
      <c r="A19" s="23">
        <v>46058</v>
      </c>
      <c r="B19" s="24" t="s">
        <v>18</v>
      </c>
      <c r="C19" s="25" t="s">
        <v>46</v>
      </c>
      <c r="D19" s="25" t="s">
        <v>44</v>
      </c>
      <c r="E19" s="25" t="s">
        <v>8</v>
      </c>
      <c r="F19" s="26">
        <v>16000</v>
      </c>
    </row>
    <row r="20" spans="1:6" ht="22.5" customHeight="1" x14ac:dyDescent="0.2">
      <c r="A20" s="23">
        <v>46058</v>
      </c>
      <c r="B20" s="24" t="s">
        <v>66</v>
      </c>
      <c r="C20" s="25" t="s">
        <v>43</v>
      </c>
      <c r="D20" s="25" t="s">
        <v>44</v>
      </c>
      <c r="E20" s="25" t="s">
        <v>0</v>
      </c>
      <c r="F20" s="26">
        <v>1000494</v>
      </c>
    </row>
    <row r="21" spans="1:6" ht="22.5" customHeight="1" x14ac:dyDescent="0.2">
      <c r="A21" s="23">
        <v>46058</v>
      </c>
      <c r="B21" s="24" t="s">
        <v>67</v>
      </c>
      <c r="C21" s="25" t="s">
        <v>43</v>
      </c>
      <c r="D21" s="25" t="s">
        <v>44</v>
      </c>
      <c r="E21" s="25" t="s">
        <v>0</v>
      </c>
      <c r="F21" s="26">
        <v>75000</v>
      </c>
    </row>
    <row r="22" spans="1:6" ht="22.5" customHeight="1" x14ac:dyDescent="0.2">
      <c r="A22" s="23">
        <v>46058</v>
      </c>
      <c r="B22" s="24" t="s">
        <v>68</v>
      </c>
      <c r="C22" s="25" t="s">
        <v>46</v>
      </c>
      <c r="D22" s="25" t="s">
        <v>44</v>
      </c>
      <c r="E22" s="25" t="s">
        <v>3</v>
      </c>
      <c r="F22" s="26">
        <v>4000</v>
      </c>
    </row>
    <row r="23" spans="1:6" ht="22.5" customHeight="1" x14ac:dyDescent="0.2">
      <c r="A23" s="23">
        <v>46059</v>
      </c>
      <c r="B23" s="24" t="s">
        <v>16</v>
      </c>
      <c r="C23" s="25" t="s">
        <v>46</v>
      </c>
      <c r="D23" s="25" t="s">
        <v>44</v>
      </c>
      <c r="E23" s="25" t="s">
        <v>6</v>
      </c>
      <c r="F23" s="26">
        <v>18000</v>
      </c>
    </row>
    <row r="24" spans="1:6" ht="22.5" customHeight="1" x14ac:dyDescent="0.2">
      <c r="A24" s="23">
        <v>46065</v>
      </c>
      <c r="B24" s="24" t="s">
        <v>16</v>
      </c>
      <c r="C24" s="25" t="s">
        <v>43</v>
      </c>
      <c r="D24" s="25" t="s">
        <v>44</v>
      </c>
      <c r="E24" s="25" t="s">
        <v>6</v>
      </c>
      <c r="F24" s="26">
        <v>20000</v>
      </c>
    </row>
    <row r="25" spans="1:6" ht="22.5" customHeight="1" x14ac:dyDescent="0.2">
      <c r="A25" s="23">
        <v>46065</v>
      </c>
      <c r="B25" s="24" t="s">
        <v>69</v>
      </c>
      <c r="C25" s="25" t="s">
        <v>43</v>
      </c>
      <c r="D25" s="25" t="s">
        <v>44</v>
      </c>
      <c r="E25" s="25" t="s">
        <v>2</v>
      </c>
      <c r="F25" s="26">
        <v>17000</v>
      </c>
    </row>
    <row r="26" spans="1:6" ht="22.5" customHeight="1" x14ac:dyDescent="0.2">
      <c r="A26" s="23">
        <v>46065</v>
      </c>
      <c r="B26" s="24" t="s">
        <v>59</v>
      </c>
      <c r="C26" s="25" t="s">
        <v>43</v>
      </c>
      <c r="D26" s="25" t="s">
        <v>44</v>
      </c>
      <c r="E26" s="25" t="s">
        <v>0</v>
      </c>
      <c r="F26" s="26">
        <v>101750</v>
      </c>
    </row>
    <row r="27" spans="1:6" ht="22.5" customHeight="1" x14ac:dyDescent="0.2">
      <c r="A27" s="23">
        <v>46068</v>
      </c>
      <c r="B27" s="24" t="s">
        <v>18</v>
      </c>
      <c r="C27" s="25" t="s">
        <v>43</v>
      </c>
      <c r="D27" s="25" t="s">
        <v>44</v>
      </c>
      <c r="E27" s="25" t="s">
        <v>8</v>
      </c>
      <c r="F27" s="26">
        <v>15000</v>
      </c>
    </row>
    <row r="28" spans="1:6" ht="22.5" customHeight="1" x14ac:dyDescent="0.2">
      <c r="A28" s="23">
        <v>46067</v>
      </c>
      <c r="B28" s="24" t="s">
        <v>70</v>
      </c>
      <c r="C28" s="25" t="s">
        <v>43</v>
      </c>
      <c r="D28" s="25" t="s">
        <v>44</v>
      </c>
      <c r="E28" s="25" t="s">
        <v>0</v>
      </c>
      <c r="F28" s="26">
        <v>25000</v>
      </c>
    </row>
    <row r="29" spans="1:6" ht="22.5" customHeight="1" x14ac:dyDescent="0.2">
      <c r="A29" s="23">
        <v>46069</v>
      </c>
      <c r="B29" s="24" t="s">
        <v>34</v>
      </c>
      <c r="C29" s="25" t="s">
        <v>43</v>
      </c>
      <c r="D29" s="25" t="s">
        <v>39</v>
      </c>
      <c r="E29" s="35" t="s">
        <v>20</v>
      </c>
      <c r="F29" s="26">
        <v>300000</v>
      </c>
    </row>
    <row r="30" spans="1:6" ht="22.5" customHeight="1" x14ac:dyDescent="0.2">
      <c r="A30" s="23">
        <v>46069</v>
      </c>
      <c r="B30" s="24" t="s">
        <v>58</v>
      </c>
      <c r="C30" s="25" t="s">
        <v>43</v>
      </c>
      <c r="D30" s="25" t="s">
        <v>44</v>
      </c>
      <c r="E30" s="25" t="s">
        <v>9</v>
      </c>
      <c r="F30" s="26">
        <v>200000</v>
      </c>
    </row>
    <row r="31" spans="1:6" ht="22.5" customHeight="1" x14ac:dyDescent="0.2">
      <c r="A31" s="23">
        <v>46069</v>
      </c>
      <c r="B31" s="24" t="s">
        <v>72</v>
      </c>
      <c r="C31" s="25" t="s">
        <v>43</v>
      </c>
      <c r="D31" s="25" t="s">
        <v>9</v>
      </c>
      <c r="E31" s="25" t="s">
        <v>9</v>
      </c>
      <c r="F31" s="26">
        <v>100000</v>
      </c>
    </row>
    <row r="32" spans="1:6" ht="22.5" customHeight="1" x14ac:dyDescent="0.2">
      <c r="A32" s="23">
        <v>46069</v>
      </c>
      <c r="B32" s="24" t="s">
        <v>74</v>
      </c>
      <c r="C32" s="25" t="s">
        <v>46</v>
      </c>
      <c r="D32" s="25" t="s">
        <v>9</v>
      </c>
      <c r="E32" s="25" t="s">
        <v>9</v>
      </c>
      <c r="F32" s="26">
        <v>100000</v>
      </c>
    </row>
    <row r="33" spans="1:6" ht="22.5" customHeight="1" x14ac:dyDescent="0.2">
      <c r="A33" s="23">
        <v>46069</v>
      </c>
      <c r="B33" s="24" t="s">
        <v>16</v>
      </c>
      <c r="C33" s="25" t="s">
        <v>46</v>
      </c>
      <c r="D33" s="25" t="s">
        <v>44</v>
      </c>
      <c r="E33" s="25" t="s">
        <v>6</v>
      </c>
      <c r="F33" s="26">
        <v>24000</v>
      </c>
    </row>
    <row r="34" spans="1:6" ht="22.5" customHeight="1" x14ac:dyDescent="0.2">
      <c r="A34" s="23">
        <v>46069</v>
      </c>
      <c r="B34" s="24" t="s">
        <v>77</v>
      </c>
      <c r="C34" s="25" t="s">
        <v>46</v>
      </c>
      <c r="D34" s="25" t="s">
        <v>44</v>
      </c>
      <c r="E34" s="25" t="s">
        <v>2</v>
      </c>
      <c r="F34" s="26">
        <v>15000</v>
      </c>
    </row>
    <row r="35" spans="1:6" ht="22.5" customHeight="1" x14ac:dyDescent="0.2">
      <c r="A35" s="23">
        <v>46069</v>
      </c>
      <c r="B35" s="24" t="s">
        <v>79</v>
      </c>
      <c r="C35" s="25" t="s">
        <v>46</v>
      </c>
      <c r="D35" s="25" t="s">
        <v>44</v>
      </c>
      <c r="E35" s="25" t="s">
        <v>4</v>
      </c>
      <c r="F35" s="26">
        <v>6000</v>
      </c>
    </row>
    <row r="36" spans="1:6" ht="22.5" customHeight="1" x14ac:dyDescent="0.2">
      <c r="A36" s="23">
        <v>46070</v>
      </c>
      <c r="B36" s="24" t="s">
        <v>58</v>
      </c>
      <c r="C36" s="25" t="s">
        <v>46</v>
      </c>
      <c r="D36" s="25" t="s">
        <v>44</v>
      </c>
      <c r="E36" s="25" t="s">
        <v>9</v>
      </c>
      <c r="F36" s="26">
        <v>50000</v>
      </c>
    </row>
    <row r="37" spans="1:6" ht="22.5" customHeight="1" x14ac:dyDescent="0.2">
      <c r="A37" s="23">
        <v>46071</v>
      </c>
      <c r="B37" s="24" t="s">
        <v>58</v>
      </c>
      <c r="C37" s="25" t="s">
        <v>46</v>
      </c>
      <c r="D37" s="25" t="s">
        <v>44</v>
      </c>
      <c r="E37" s="25" t="s">
        <v>9</v>
      </c>
      <c r="F37" s="26">
        <v>5000</v>
      </c>
    </row>
    <row r="38" spans="1:6" ht="22.5" customHeight="1" x14ac:dyDescent="0.2">
      <c r="A38" s="23">
        <v>46071</v>
      </c>
      <c r="B38" s="24" t="s">
        <v>58</v>
      </c>
      <c r="C38" s="25" t="s">
        <v>43</v>
      </c>
      <c r="D38" s="25" t="s">
        <v>39</v>
      </c>
      <c r="E38" s="25" t="s">
        <v>9</v>
      </c>
      <c r="F38" s="26">
        <v>50000</v>
      </c>
    </row>
    <row r="39" spans="1:6" ht="22.5" customHeight="1" x14ac:dyDescent="0.2">
      <c r="A39" s="23">
        <v>46071</v>
      </c>
      <c r="B39" s="24" t="s">
        <v>58</v>
      </c>
      <c r="C39" s="25" t="s">
        <v>43</v>
      </c>
      <c r="D39" s="25" t="s">
        <v>39</v>
      </c>
      <c r="E39" s="25" t="s">
        <v>9</v>
      </c>
      <c r="F39" s="26">
        <v>20000</v>
      </c>
    </row>
    <row r="40" spans="1:6" ht="22.5" customHeight="1" x14ac:dyDescent="0.2">
      <c r="A40" s="23">
        <v>46071</v>
      </c>
      <c r="B40" s="24" t="s">
        <v>18</v>
      </c>
      <c r="C40" s="25" t="s">
        <v>43</v>
      </c>
      <c r="D40" s="25" t="s">
        <v>44</v>
      </c>
      <c r="E40" s="25" t="s">
        <v>8</v>
      </c>
      <c r="F40" s="26">
        <v>15000</v>
      </c>
    </row>
    <row r="41" spans="1:6" ht="22.5" customHeight="1" x14ac:dyDescent="0.2">
      <c r="A41" s="23">
        <v>46071</v>
      </c>
      <c r="B41" s="24" t="s">
        <v>85</v>
      </c>
      <c r="C41" s="25" t="s">
        <v>43</v>
      </c>
      <c r="D41" s="25" t="s">
        <v>44</v>
      </c>
      <c r="E41" s="25" t="s">
        <v>8</v>
      </c>
      <c r="F41" s="26">
        <v>2000</v>
      </c>
    </row>
    <row r="42" spans="1:6" ht="22.5" customHeight="1" x14ac:dyDescent="0.2">
      <c r="A42" s="23">
        <v>46072</v>
      </c>
      <c r="B42" s="24" t="s">
        <v>76</v>
      </c>
      <c r="C42" s="25" t="s">
        <v>43</v>
      </c>
      <c r="D42" s="25" t="s">
        <v>9</v>
      </c>
      <c r="E42" s="25" t="s">
        <v>9</v>
      </c>
      <c r="F42" s="26">
        <v>100000</v>
      </c>
    </row>
    <row r="43" spans="1:6" ht="22.5" customHeight="1" x14ac:dyDescent="0.2">
      <c r="A43" s="23">
        <v>46072</v>
      </c>
      <c r="B43" s="24" t="s">
        <v>78</v>
      </c>
      <c r="C43" s="25" t="s">
        <v>46</v>
      </c>
      <c r="D43" s="25" t="s">
        <v>9</v>
      </c>
      <c r="E43" s="25" t="s">
        <v>9</v>
      </c>
      <c r="F43" s="26">
        <v>100000</v>
      </c>
    </row>
    <row r="44" spans="1:6" ht="22.5" customHeight="1" x14ac:dyDescent="0.2">
      <c r="A44" s="23">
        <v>46072</v>
      </c>
      <c r="B44" s="24" t="s">
        <v>86</v>
      </c>
      <c r="C44" s="25" t="s">
        <v>46</v>
      </c>
      <c r="D44" s="25" t="s">
        <v>44</v>
      </c>
      <c r="E44" s="25" t="s">
        <v>6</v>
      </c>
      <c r="F44" s="26">
        <v>30000</v>
      </c>
    </row>
    <row r="45" spans="1:6" ht="22.5" customHeight="1" x14ac:dyDescent="0.2">
      <c r="A45" s="23">
        <v>46072</v>
      </c>
      <c r="B45" s="24" t="s">
        <v>88</v>
      </c>
      <c r="C45" s="25" t="s">
        <v>46</v>
      </c>
      <c r="D45" s="25" t="s">
        <v>44</v>
      </c>
      <c r="E45" s="25" t="s">
        <v>2</v>
      </c>
      <c r="F45" s="26">
        <v>11000</v>
      </c>
    </row>
    <row r="46" spans="1:6" ht="22.5" customHeight="1" x14ac:dyDescent="0.2">
      <c r="A46" s="23">
        <v>46073</v>
      </c>
      <c r="B46" s="24" t="s">
        <v>89</v>
      </c>
      <c r="C46" s="25" t="s">
        <v>46</v>
      </c>
      <c r="D46" s="25" t="s">
        <v>44</v>
      </c>
      <c r="E46" s="25" t="s">
        <v>10</v>
      </c>
      <c r="F46" s="26">
        <v>9000</v>
      </c>
    </row>
    <row r="47" spans="1:6" ht="22.5" customHeight="1" x14ac:dyDescent="0.2">
      <c r="A47" s="23">
        <v>46073</v>
      </c>
      <c r="B47" s="24" t="s">
        <v>91</v>
      </c>
      <c r="C47" s="25" t="s">
        <v>43</v>
      </c>
      <c r="D47" s="25" t="s">
        <v>44</v>
      </c>
      <c r="E47" s="25" t="s">
        <v>0</v>
      </c>
      <c r="F47" s="26">
        <v>6000</v>
      </c>
    </row>
    <row r="48" spans="1:6" ht="22.5" customHeight="1" x14ac:dyDescent="0.2">
      <c r="A48" s="23">
        <v>46074</v>
      </c>
      <c r="B48" s="24" t="s">
        <v>58</v>
      </c>
      <c r="C48" s="25" t="s">
        <v>43</v>
      </c>
      <c r="D48" s="25" t="s">
        <v>39</v>
      </c>
      <c r="E48" s="25" t="s">
        <v>9</v>
      </c>
      <c r="F48" s="26">
        <v>20000</v>
      </c>
    </row>
    <row r="49" spans="1:6" ht="22.5" customHeight="1" x14ac:dyDescent="0.2">
      <c r="A49" s="23">
        <v>46077</v>
      </c>
      <c r="B49" s="24" t="s">
        <v>58</v>
      </c>
      <c r="C49" s="25" t="s">
        <v>43</v>
      </c>
      <c r="D49" s="25" t="s">
        <v>44</v>
      </c>
      <c r="E49" s="25" t="s">
        <v>9</v>
      </c>
      <c r="F49" s="26">
        <v>39000</v>
      </c>
    </row>
    <row r="50" spans="1:6" ht="22.5" customHeight="1" x14ac:dyDescent="0.2">
      <c r="A50" s="23">
        <v>46078</v>
      </c>
      <c r="B50" s="24" t="s">
        <v>92</v>
      </c>
      <c r="C50" s="25" t="s">
        <v>46</v>
      </c>
      <c r="D50" s="25" t="s">
        <v>44</v>
      </c>
      <c r="E50" s="25" t="s">
        <v>2</v>
      </c>
      <c r="F50" s="26">
        <v>17000</v>
      </c>
    </row>
    <row r="51" spans="1:6" ht="22.5" customHeight="1" x14ac:dyDescent="0.2">
      <c r="A51" s="23">
        <v>46079</v>
      </c>
      <c r="B51" s="24" t="s">
        <v>94</v>
      </c>
      <c r="C51" s="25" t="s">
        <v>95</v>
      </c>
      <c r="D51" s="25" t="s">
        <v>44</v>
      </c>
      <c r="E51" s="25" t="s">
        <v>0</v>
      </c>
      <c r="F51" s="26">
        <v>-140000</v>
      </c>
    </row>
    <row r="52" spans="1:6" ht="22.5" customHeight="1" x14ac:dyDescent="0.2">
      <c r="A52" s="23">
        <v>46079</v>
      </c>
      <c r="B52" s="24" t="s">
        <v>58</v>
      </c>
      <c r="C52" s="25" t="s">
        <v>46</v>
      </c>
      <c r="D52" s="25" t="s">
        <v>39</v>
      </c>
      <c r="E52" s="25" t="s">
        <v>9</v>
      </c>
      <c r="F52" s="26">
        <v>10000</v>
      </c>
    </row>
    <row r="53" spans="1:6" ht="22.5" customHeight="1" x14ac:dyDescent="0.2">
      <c r="A53" s="23">
        <v>46079</v>
      </c>
      <c r="B53" s="24" t="s">
        <v>98</v>
      </c>
      <c r="C53" s="25" t="s">
        <v>46</v>
      </c>
      <c r="D53" s="25" t="s">
        <v>44</v>
      </c>
      <c r="E53" s="25" t="s">
        <v>8</v>
      </c>
      <c r="F53" s="26">
        <v>14000</v>
      </c>
    </row>
    <row r="54" spans="1:6" ht="22.5" customHeight="1" x14ac:dyDescent="0.2">
      <c r="A54" s="23">
        <v>46079</v>
      </c>
      <c r="B54" s="24" t="s">
        <v>99</v>
      </c>
      <c r="C54" s="25" t="s">
        <v>46</v>
      </c>
      <c r="D54" s="25" t="s">
        <v>44</v>
      </c>
      <c r="E54" s="25" t="s">
        <v>6</v>
      </c>
      <c r="F54" s="26">
        <v>20000</v>
      </c>
    </row>
    <row r="55" spans="1:6" ht="22.5" customHeight="1" x14ac:dyDescent="0.2">
      <c r="A55" s="23">
        <v>46083</v>
      </c>
      <c r="B55" s="24" t="s">
        <v>101</v>
      </c>
      <c r="C55" s="25" t="s">
        <v>43</v>
      </c>
      <c r="D55" s="25" t="s">
        <v>39</v>
      </c>
      <c r="E55" s="35" t="s">
        <v>985</v>
      </c>
      <c r="F55" s="26">
        <v>4458235</v>
      </c>
    </row>
    <row r="56" spans="1:6" ht="22.5" customHeight="1" x14ac:dyDescent="0.2">
      <c r="A56" s="23">
        <v>46083</v>
      </c>
      <c r="B56" s="24" t="s">
        <v>58</v>
      </c>
      <c r="C56" s="25" t="s">
        <v>43</v>
      </c>
      <c r="D56" s="25" t="s">
        <v>44</v>
      </c>
      <c r="E56" s="25" t="s">
        <v>9</v>
      </c>
      <c r="F56" s="26">
        <v>2000000</v>
      </c>
    </row>
    <row r="57" spans="1:6" ht="22.5" customHeight="1" x14ac:dyDescent="0.2">
      <c r="A57" s="23">
        <v>46084</v>
      </c>
      <c r="B57" s="24" t="s">
        <v>103</v>
      </c>
      <c r="C57" s="25" t="s">
        <v>43</v>
      </c>
      <c r="D57" s="25" t="s">
        <v>44</v>
      </c>
      <c r="E57" s="25" t="s">
        <v>0</v>
      </c>
      <c r="F57" s="26">
        <v>15000</v>
      </c>
    </row>
    <row r="58" spans="1:6" ht="22.5" customHeight="1" x14ac:dyDescent="0.2">
      <c r="A58" s="23">
        <v>46084</v>
      </c>
      <c r="B58" s="24" t="s">
        <v>105</v>
      </c>
      <c r="C58" s="25" t="s">
        <v>46</v>
      </c>
      <c r="D58" s="25" t="s">
        <v>39</v>
      </c>
      <c r="E58" s="35" t="s">
        <v>20</v>
      </c>
      <c r="F58" s="26">
        <v>20000</v>
      </c>
    </row>
    <row r="59" spans="1:6" ht="22.5" customHeight="1" x14ac:dyDescent="0.2">
      <c r="A59" s="23">
        <v>46084</v>
      </c>
      <c r="B59" s="24" t="s">
        <v>107</v>
      </c>
      <c r="C59" s="25" t="s">
        <v>46</v>
      </c>
      <c r="D59" s="25" t="s">
        <v>44</v>
      </c>
      <c r="E59" s="25" t="s">
        <v>6</v>
      </c>
      <c r="F59" s="26">
        <v>29000</v>
      </c>
    </row>
    <row r="60" spans="1:6" ht="22.5" customHeight="1" x14ac:dyDescent="0.2">
      <c r="A60" s="23">
        <v>46084</v>
      </c>
      <c r="B60" s="24" t="s">
        <v>58</v>
      </c>
      <c r="C60" s="25" t="s">
        <v>43</v>
      </c>
      <c r="D60" s="25" t="s">
        <v>39</v>
      </c>
      <c r="E60" s="25" t="s">
        <v>9</v>
      </c>
      <c r="F60" s="26">
        <v>50000</v>
      </c>
    </row>
    <row r="61" spans="1:6" ht="22.5" customHeight="1" x14ac:dyDescent="0.2">
      <c r="A61" s="23">
        <v>46084</v>
      </c>
      <c r="B61" s="24" t="s">
        <v>110</v>
      </c>
      <c r="C61" s="25" t="s">
        <v>43</v>
      </c>
      <c r="D61" s="25" t="s">
        <v>44</v>
      </c>
      <c r="E61" s="25" t="s">
        <v>0</v>
      </c>
      <c r="F61" s="26">
        <v>624137</v>
      </c>
    </row>
    <row r="62" spans="1:6" ht="22.5" customHeight="1" x14ac:dyDescent="0.2">
      <c r="A62" s="23">
        <v>46084</v>
      </c>
      <c r="B62" s="24" t="s">
        <v>112</v>
      </c>
      <c r="C62" s="25" t="s">
        <v>43</v>
      </c>
      <c r="D62" s="25" t="s">
        <v>44</v>
      </c>
      <c r="E62" s="25" t="s">
        <v>0</v>
      </c>
      <c r="F62" s="26">
        <v>279187</v>
      </c>
    </row>
    <row r="63" spans="1:6" ht="22.5" customHeight="1" x14ac:dyDescent="0.2">
      <c r="A63" s="23">
        <v>46084</v>
      </c>
      <c r="B63" s="24" t="s">
        <v>114</v>
      </c>
      <c r="C63" s="25" t="s">
        <v>43</v>
      </c>
      <c r="D63" s="25" t="s">
        <v>44</v>
      </c>
      <c r="E63" s="25" t="s">
        <v>0</v>
      </c>
      <c r="F63" s="26">
        <v>73682</v>
      </c>
    </row>
    <row r="64" spans="1:6" ht="22.5" customHeight="1" x14ac:dyDescent="0.2">
      <c r="A64" s="23">
        <v>46086</v>
      </c>
      <c r="B64" s="24" t="s">
        <v>115</v>
      </c>
      <c r="C64" s="25" t="s">
        <v>43</v>
      </c>
      <c r="D64" s="25" t="s">
        <v>44</v>
      </c>
      <c r="E64" s="25" t="s">
        <v>0</v>
      </c>
      <c r="F64" s="26">
        <v>1000416</v>
      </c>
    </row>
    <row r="65" spans="1:6" ht="22.5" customHeight="1" x14ac:dyDescent="0.2">
      <c r="A65" s="23">
        <v>46086</v>
      </c>
      <c r="B65" s="24" t="s">
        <v>117</v>
      </c>
      <c r="C65" s="25" t="s">
        <v>43</v>
      </c>
      <c r="D65" s="25" t="s">
        <v>44</v>
      </c>
      <c r="E65" s="25" t="s">
        <v>0</v>
      </c>
      <c r="F65" s="26">
        <v>75000</v>
      </c>
    </row>
    <row r="66" spans="1:6" ht="22.5" customHeight="1" x14ac:dyDescent="0.2">
      <c r="A66" s="23">
        <v>46085</v>
      </c>
      <c r="B66" s="24" t="s">
        <v>18</v>
      </c>
      <c r="C66" s="25" t="s">
        <v>43</v>
      </c>
      <c r="D66" s="25" t="s">
        <v>44</v>
      </c>
      <c r="E66" s="25" t="s">
        <v>8</v>
      </c>
      <c r="F66" s="26">
        <v>15000</v>
      </c>
    </row>
    <row r="67" spans="1:6" ht="22.5" customHeight="1" x14ac:dyDescent="0.2">
      <c r="A67" s="23">
        <v>46086</v>
      </c>
      <c r="B67" s="24" t="s">
        <v>88</v>
      </c>
      <c r="C67" s="25" t="s">
        <v>43</v>
      </c>
      <c r="D67" s="25" t="s">
        <v>44</v>
      </c>
      <c r="E67" s="25" t="s">
        <v>2</v>
      </c>
      <c r="F67" s="26">
        <v>10000</v>
      </c>
    </row>
    <row r="68" spans="1:6" ht="22.5" customHeight="1" x14ac:dyDescent="0.2">
      <c r="A68" s="23">
        <v>46087</v>
      </c>
      <c r="B68" s="24" t="s">
        <v>120</v>
      </c>
      <c r="C68" s="25" t="s">
        <v>43</v>
      </c>
      <c r="D68" s="25" t="s">
        <v>44</v>
      </c>
      <c r="E68" s="25" t="s">
        <v>0</v>
      </c>
      <c r="F68" s="26">
        <v>201750</v>
      </c>
    </row>
    <row r="69" spans="1:6" ht="22.5" customHeight="1" x14ac:dyDescent="0.2">
      <c r="A69" s="23">
        <v>46087</v>
      </c>
      <c r="B69" s="24" t="s">
        <v>18</v>
      </c>
      <c r="C69" s="25" t="s">
        <v>43</v>
      </c>
      <c r="D69" s="25" t="s">
        <v>44</v>
      </c>
      <c r="E69" s="25" t="s">
        <v>8</v>
      </c>
      <c r="F69" s="26">
        <v>15000</v>
      </c>
    </row>
    <row r="70" spans="1:6" ht="22.5" customHeight="1" x14ac:dyDescent="0.2">
      <c r="A70" s="23">
        <v>46087</v>
      </c>
      <c r="B70" s="24" t="s">
        <v>76</v>
      </c>
      <c r="C70" s="25" t="s">
        <v>43</v>
      </c>
      <c r="D70" s="25" t="s">
        <v>44</v>
      </c>
      <c r="E70" s="25" t="s">
        <v>9</v>
      </c>
      <c r="F70" s="26">
        <v>50000</v>
      </c>
    </row>
    <row r="71" spans="1:6" ht="22.5" customHeight="1" x14ac:dyDescent="0.2">
      <c r="A71" s="23">
        <v>46087</v>
      </c>
      <c r="B71" s="24" t="s">
        <v>78</v>
      </c>
      <c r="C71" s="25" t="s">
        <v>46</v>
      </c>
      <c r="D71" s="25" t="s">
        <v>39</v>
      </c>
      <c r="E71" s="25" t="s">
        <v>9</v>
      </c>
      <c r="F71" s="26">
        <v>50000</v>
      </c>
    </row>
    <row r="72" spans="1:6" ht="22.5" customHeight="1" x14ac:dyDescent="0.2">
      <c r="A72" s="23">
        <v>46087</v>
      </c>
      <c r="B72" s="24" t="s">
        <v>123</v>
      </c>
      <c r="C72" s="25" t="s">
        <v>46</v>
      </c>
      <c r="D72" s="25" t="s">
        <v>44</v>
      </c>
      <c r="E72" s="25" t="s">
        <v>2</v>
      </c>
      <c r="F72" s="26">
        <v>14000</v>
      </c>
    </row>
    <row r="73" spans="1:6" ht="22.5" customHeight="1" x14ac:dyDescent="0.2">
      <c r="A73" s="23">
        <v>46087</v>
      </c>
      <c r="B73" s="24" t="s">
        <v>126</v>
      </c>
      <c r="C73" s="25" t="s">
        <v>46</v>
      </c>
      <c r="D73" s="25" t="s">
        <v>44</v>
      </c>
      <c r="E73" s="25" t="s">
        <v>3</v>
      </c>
      <c r="F73" s="26">
        <v>5000</v>
      </c>
    </row>
    <row r="74" spans="1:6" ht="22.5" customHeight="1" x14ac:dyDescent="0.2">
      <c r="A74" s="23">
        <v>46087</v>
      </c>
      <c r="B74" s="24" t="s">
        <v>127</v>
      </c>
      <c r="C74" s="25" t="s">
        <v>43</v>
      </c>
      <c r="D74" s="25" t="s">
        <v>44</v>
      </c>
      <c r="E74" s="25" t="s">
        <v>2</v>
      </c>
      <c r="F74" s="26">
        <v>36999</v>
      </c>
    </row>
    <row r="75" spans="1:6" ht="22.5" customHeight="1" x14ac:dyDescent="0.2">
      <c r="A75" s="23">
        <v>46089</v>
      </c>
      <c r="B75" s="24" t="s">
        <v>129</v>
      </c>
      <c r="C75" s="25" t="s">
        <v>46</v>
      </c>
      <c r="D75" s="25" t="s">
        <v>44</v>
      </c>
      <c r="E75" s="25" t="s">
        <v>6</v>
      </c>
      <c r="F75" s="26">
        <v>20000</v>
      </c>
    </row>
    <row r="76" spans="1:6" ht="22.5" customHeight="1" x14ac:dyDescent="0.2">
      <c r="A76" s="23">
        <v>46089</v>
      </c>
      <c r="B76" s="24" t="s">
        <v>58</v>
      </c>
      <c r="C76" s="25" t="s">
        <v>46</v>
      </c>
      <c r="D76" s="25" t="s">
        <v>39</v>
      </c>
      <c r="E76" s="25" t="s">
        <v>9</v>
      </c>
      <c r="F76" s="26">
        <v>5000</v>
      </c>
    </row>
    <row r="77" spans="1:6" ht="22.5" customHeight="1" x14ac:dyDescent="0.2">
      <c r="A77" s="23">
        <v>46089</v>
      </c>
      <c r="B77" s="24" t="s">
        <v>58</v>
      </c>
      <c r="C77" s="25" t="s">
        <v>46</v>
      </c>
      <c r="D77" s="25" t="s">
        <v>39</v>
      </c>
      <c r="E77" s="25" t="s">
        <v>9</v>
      </c>
      <c r="F77" s="26">
        <v>100000</v>
      </c>
    </row>
    <row r="78" spans="1:6" ht="22.5" customHeight="1" x14ac:dyDescent="0.2">
      <c r="A78" s="23">
        <v>46089</v>
      </c>
      <c r="B78" s="24" t="s">
        <v>105</v>
      </c>
      <c r="C78" s="25" t="s">
        <v>46</v>
      </c>
      <c r="D78" s="25" t="s">
        <v>39</v>
      </c>
      <c r="E78" s="35" t="s">
        <v>20</v>
      </c>
      <c r="F78" s="26">
        <v>25000</v>
      </c>
    </row>
    <row r="79" spans="1:6" ht="22.5" customHeight="1" x14ac:dyDescent="0.2">
      <c r="A79" s="23">
        <v>46089</v>
      </c>
      <c r="B79" s="24" t="s">
        <v>132</v>
      </c>
      <c r="C79" s="25" t="s">
        <v>46</v>
      </c>
      <c r="D79" s="25" t="s">
        <v>44</v>
      </c>
      <c r="E79" s="25" t="s">
        <v>0</v>
      </c>
      <c r="F79" s="26">
        <v>75000</v>
      </c>
    </row>
    <row r="80" spans="1:6" ht="22.5" customHeight="1" x14ac:dyDescent="0.2">
      <c r="A80" s="23">
        <v>46089</v>
      </c>
      <c r="B80" s="24" t="s">
        <v>107</v>
      </c>
      <c r="C80" s="25" t="s">
        <v>46</v>
      </c>
      <c r="D80" s="25" t="s">
        <v>44</v>
      </c>
      <c r="E80" s="25" t="s">
        <v>6</v>
      </c>
      <c r="F80" s="26">
        <v>28000</v>
      </c>
    </row>
    <row r="81" spans="1:6" ht="22.5" customHeight="1" x14ac:dyDescent="0.2">
      <c r="A81" s="23">
        <v>46089</v>
      </c>
      <c r="B81" s="24" t="s">
        <v>134</v>
      </c>
      <c r="C81" s="25" t="s">
        <v>46</v>
      </c>
      <c r="D81" s="25" t="s">
        <v>44</v>
      </c>
      <c r="E81" s="25" t="s">
        <v>2</v>
      </c>
      <c r="F81" s="26">
        <v>18000</v>
      </c>
    </row>
    <row r="82" spans="1:6" ht="22.5" customHeight="1" x14ac:dyDescent="0.2">
      <c r="A82" s="23">
        <v>46089</v>
      </c>
      <c r="B82" s="24" t="s">
        <v>136</v>
      </c>
      <c r="C82" s="25" t="s">
        <v>46</v>
      </c>
      <c r="D82" s="25" t="s">
        <v>44</v>
      </c>
      <c r="E82" s="25" t="s">
        <v>6</v>
      </c>
      <c r="F82" s="26">
        <v>20000</v>
      </c>
    </row>
    <row r="83" spans="1:6" ht="22.5" customHeight="1" x14ac:dyDescent="0.2">
      <c r="A83" s="23">
        <v>46095</v>
      </c>
      <c r="B83" s="24" t="s">
        <v>137</v>
      </c>
      <c r="C83" s="25" t="s">
        <v>43</v>
      </c>
      <c r="D83" s="25" t="s">
        <v>44</v>
      </c>
      <c r="E83" s="25" t="s">
        <v>0</v>
      </c>
      <c r="F83" s="26">
        <v>17541</v>
      </c>
    </row>
    <row r="84" spans="1:6" ht="22.5" customHeight="1" x14ac:dyDescent="0.2">
      <c r="A84" s="23">
        <v>46097</v>
      </c>
      <c r="B84" s="24" t="s">
        <v>138</v>
      </c>
      <c r="C84" s="25" t="s">
        <v>43</v>
      </c>
      <c r="D84" s="25" t="s">
        <v>39</v>
      </c>
      <c r="E84" s="35" t="s">
        <v>985</v>
      </c>
      <c r="F84" s="26">
        <v>2332272</v>
      </c>
    </row>
    <row r="85" spans="1:6" ht="22.5" customHeight="1" x14ac:dyDescent="0.2">
      <c r="A85" s="23">
        <v>46097</v>
      </c>
      <c r="B85" s="24" t="s">
        <v>58</v>
      </c>
      <c r="C85" s="25" t="s">
        <v>43</v>
      </c>
      <c r="D85" s="25" t="s">
        <v>44</v>
      </c>
      <c r="E85" s="25" t="s">
        <v>0</v>
      </c>
      <c r="F85" s="26">
        <v>1300700</v>
      </c>
    </row>
    <row r="86" spans="1:6" ht="22.5" customHeight="1" x14ac:dyDescent="0.2">
      <c r="A86" s="23">
        <v>46098</v>
      </c>
      <c r="B86" s="24" t="s">
        <v>141</v>
      </c>
      <c r="C86" s="25" t="s">
        <v>43</v>
      </c>
      <c r="D86" s="25" t="s">
        <v>39</v>
      </c>
      <c r="E86" s="25" t="s">
        <v>20</v>
      </c>
      <c r="F86" s="26">
        <v>150000</v>
      </c>
    </row>
    <row r="87" spans="1:6" ht="22.5" customHeight="1" x14ac:dyDescent="0.2">
      <c r="A87" s="23">
        <v>46099</v>
      </c>
      <c r="B87" s="24" t="s">
        <v>143</v>
      </c>
      <c r="C87" s="25" t="s">
        <v>43</v>
      </c>
      <c r="D87" s="25" t="s">
        <v>44</v>
      </c>
      <c r="E87" s="25" t="s">
        <v>0</v>
      </c>
      <c r="F87" s="26">
        <v>18000</v>
      </c>
    </row>
    <row r="88" spans="1:6" ht="22.5" customHeight="1" x14ac:dyDescent="0.2">
      <c r="A88" s="23">
        <v>46099</v>
      </c>
      <c r="B88" s="24" t="s">
        <v>144</v>
      </c>
      <c r="C88" s="25" t="s">
        <v>43</v>
      </c>
      <c r="D88" s="25" t="s">
        <v>44</v>
      </c>
      <c r="E88" s="25" t="s">
        <v>2</v>
      </c>
      <c r="F88" s="26">
        <v>58000</v>
      </c>
    </row>
    <row r="89" spans="1:6" ht="22.5" customHeight="1" x14ac:dyDescent="0.2">
      <c r="A89" s="23">
        <v>46100</v>
      </c>
      <c r="B89" s="24" t="s">
        <v>145</v>
      </c>
      <c r="C89" s="25" t="s">
        <v>43</v>
      </c>
      <c r="D89" s="25" t="s">
        <v>44</v>
      </c>
      <c r="E89" s="25" t="s">
        <v>3</v>
      </c>
      <c r="F89" s="26">
        <v>35000</v>
      </c>
    </row>
    <row r="90" spans="1:6" ht="22.5" customHeight="1" x14ac:dyDescent="0.2">
      <c r="A90" s="23">
        <v>46100</v>
      </c>
      <c r="B90" s="24" t="s">
        <v>147</v>
      </c>
      <c r="C90" s="25" t="s">
        <v>43</v>
      </c>
      <c r="D90" s="25" t="s">
        <v>44</v>
      </c>
      <c r="E90" s="25" t="s">
        <v>3</v>
      </c>
      <c r="F90" s="26">
        <v>35000</v>
      </c>
    </row>
    <row r="91" spans="1:6" ht="22.5" customHeight="1" x14ac:dyDescent="0.2">
      <c r="A91" s="23">
        <v>46101</v>
      </c>
      <c r="B91" s="24" t="s">
        <v>58</v>
      </c>
      <c r="C91" s="25" t="s">
        <v>46</v>
      </c>
      <c r="D91" s="25" t="s">
        <v>39</v>
      </c>
      <c r="E91" s="25" t="s">
        <v>9</v>
      </c>
      <c r="F91" s="26">
        <v>84000</v>
      </c>
    </row>
    <row r="92" spans="1:6" ht="22.5" customHeight="1" x14ac:dyDescent="0.2">
      <c r="A92" s="23">
        <v>46101</v>
      </c>
      <c r="B92" s="24" t="s">
        <v>107</v>
      </c>
      <c r="C92" s="25" t="s">
        <v>46</v>
      </c>
      <c r="D92" s="25" t="s">
        <v>44</v>
      </c>
      <c r="E92" s="25" t="s">
        <v>6</v>
      </c>
      <c r="F92" s="26">
        <v>25000</v>
      </c>
    </row>
    <row r="93" spans="1:6" ht="22.5" customHeight="1" x14ac:dyDescent="0.2">
      <c r="A93" s="23">
        <v>46101</v>
      </c>
      <c r="B93" s="24" t="s">
        <v>150</v>
      </c>
      <c r="C93" s="25" t="s">
        <v>46</v>
      </c>
      <c r="D93" s="25" t="s">
        <v>44</v>
      </c>
      <c r="E93" s="25" t="s">
        <v>8</v>
      </c>
      <c r="F93" s="26">
        <v>50000</v>
      </c>
    </row>
    <row r="94" spans="1:6" ht="22.5" customHeight="1" x14ac:dyDescent="0.2">
      <c r="A94" s="23">
        <v>46101</v>
      </c>
      <c r="B94" s="24" t="s">
        <v>152</v>
      </c>
      <c r="C94" s="25" t="s">
        <v>46</v>
      </c>
      <c r="D94" s="25" t="s">
        <v>44</v>
      </c>
      <c r="E94" s="25" t="s">
        <v>1</v>
      </c>
      <c r="F94" s="26">
        <v>9000</v>
      </c>
    </row>
    <row r="95" spans="1:6" ht="22.5" customHeight="1" x14ac:dyDescent="0.2">
      <c r="A95" s="23">
        <v>46101</v>
      </c>
      <c r="B95" s="24" t="s">
        <v>154</v>
      </c>
      <c r="C95" s="25" t="s">
        <v>43</v>
      </c>
      <c r="D95" s="25" t="s">
        <v>44</v>
      </c>
      <c r="E95" s="25" t="s">
        <v>8</v>
      </c>
      <c r="F95" s="26">
        <v>80000</v>
      </c>
    </row>
    <row r="96" spans="1:6" ht="22.5" customHeight="1" x14ac:dyDescent="0.2">
      <c r="A96" s="23">
        <v>46101</v>
      </c>
      <c r="B96" s="24" t="s">
        <v>155</v>
      </c>
      <c r="C96" s="25" t="s">
        <v>43</v>
      </c>
      <c r="D96" s="25" t="s">
        <v>44</v>
      </c>
      <c r="E96" s="25" t="s">
        <v>2</v>
      </c>
      <c r="F96" s="26">
        <v>60000</v>
      </c>
    </row>
    <row r="97" spans="1:6" ht="22.5" customHeight="1" x14ac:dyDescent="0.2">
      <c r="A97" s="23">
        <v>46101</v>
      </c>
      <c r="B97" s="24" t="s">
        <v>156</v>
      </c>
      <c r="C97" s="25" t="s">
        <v>43</v>
      </c>
      <c r="D97" s="25" t="s">
        <v>44</v>
      </c>
      <c r="E97" s="25" t="s">
        <v>2</v>
      </c>
      <c r="F97" s="26">
        <v>195000</v>
      </c>
    </row>
    <row r="98" spans="1:6" ht="22.5" customHeight="1" x14ac:dyDescent="0.2">
      <c r="A98" s="23">
        <v>46101</v>
      </c>
      <c r="B98" s="24" t="s">
        <v>156</v>
      </c>
      <c r="C98" s="25" t="s">
        <v>46</v>
      </c>
      <c r="D98" s="25" t="s">
        <v>39</v>
      </c>
      <c r="E98" s="35" t="s">
        <v>20</v>
      </c>
      <c r="F98" s="26">
        <v>200000</v>
      </c>
    </row>
    <row r="99" spans="1:6" ht="22.5" customHeight="1" x14ac:dyDescent="0.2">
      <c r="A99" s="23">
        <v>46102</v>
      </c>
      <c r="B99" s="24" t="s">
        <v>157</v>
      </c>
      <c r="C99" s="25" t="s">
        <v>46</v>
      </c>
      <c r="D99" s="25" t="s">
        <v>44</v>
      </c>
      <c r="E99" s="25" t="s">
        <v>2</v>
      </c>
      <c r="F99" s="26">
        <v>48800</v>
      </c>
    </row>
    <row r="100" spans="1:6" ht="22.5" customHeight="1" x14ac:dyDescent="0.2">
      <c r="A100" s="23">
        <v>46103</v>
      </c>
      <c r="B100" s="24" t="s">
        <v>129</v>
      </c>
      <c r="C100" s="25" t="s">
        <v>46</v>
      </c>
      <c r="D100" s="25" t="s">
        <v>44</v>
      </c>
      <c r="E100" s="25" t="s">
        <v>6</v>
      </c>
      <c r="F100" s="26">
        <v>30000</v>
      </c>
    </row>
    <row r="101" spans="1:6" ht="22.5" customHeight="1" x14ac:dyDescent="0.2">
      <c r="A101" s="23">
        <v>46103</v>
      </c>
      <c r="B101" s="24" t="s">
        <v>158</v>
      </c>
      <c r="C101" s="25" t="s">
        <v>43</v>
      </c>
      <c r="D101" s="25" t="s">
        <v>44</v>
      </c>
      <c r="E101" s="25" t="s">
        <v>0</v>
      </c>
      <c r="F101" s="26">
        <v>6000</v>
      </c>
    </row>
    <row r="102" spans="1:6" ht="22.5" customHeight="1" x14ac:dyDescent="0.2">
      <c r="A102" s="23">
        <v>46103</v>
      </c>
      <c r="B102" s="24" t="s">
        <v>68</v>
      </c>
      <c r="C102" s="25" t="s">
        <v>46</v>
      </c>
      <c r="D102" s="25" t="s">
        <v>44</v>
      </c>
      <c r="E102" s="25" t="s">
        <v>3</v>
      </c>
      <c r="F102" s="26">
        <v>4000</v>
      </c>
    </row>
    <row r="103" spans="1:6" ht="22.5" customHeight="1" x14ac:dyDescent="0.2">
      <c r="A103" s="23">
        <v>46106</v>
      </c>
      <c r="B103" s="24" t="s">
        <v>58</v>
      </c>
      <c r="C103" s="25" t="s">
        <v>46</v>
      </c>
      <c r="D103" s="25" t="s">
        <v>44</v>
      </c>
      <c r="E103" s="25" t="s">
        <v>9</v>
      </c>
      <c r="F103" s="26">
        <v>100000</v>
      </c>
    </row>
    <row r="104" spans="1:6" ht="22.5" customHeight="1" x14ac:dyDescent="0.2">
      <c r="A104" s="23">
        <v>46106</v>
      </c>
      <c r="B104" s="24" t="s">
        <v>58</v>
      </c>
      <c r="C104" s="25" t="s">
        <v>43</v>
      </c>
      <c r="D104" s="25" t="s">
        <v>39</v>
      </c>
      <c r="E104" s="25" t="s">
        <v>9</v>
      </c>
      <c r="F104" s="26">
        <v>100000</v>
      </c>
    </row>
    <row r="105" spans="1:6" ht="22.5" customHeight="1" x14ac:dyDescent="0.2">
      <c r="A105" s="23">
        <v>46106</v>
      </c>
      <c r="B105" s="24" t="s">
        <v>161</v>
      </c>
      <c r="C105" s="25" t="s">
        <v>46</v>
      </c>
      <c r="D105" s="25" t="s">
        <v>44</v>
      </c>
      <c r="E105" s="25" t="s">
        <v>6</v>
      </c>
      <c r="F105" s="26">
        <v>6000</v>
      </c>
    </row>
    <row r="106" spans="1:6" ht="22.5" customHeight="1" x14ac:dyDescent="0.2">
      <c r="A106" s="23">
        <v>46108</v>
      </c>
      <c r="B106" s="24" t="s">
        <v>58</v>
      </c>
      <c r="C106" s="25" t="s">
        <v>43</v>
      </c>
      <c r="D106" s="25" t="s">
        <v>44</v>
      </c>
      <c r="E106" s="25" t="s">
        <v>9</v>
      </c>
      <c r="F106" s="26">
        <v>100000</v>
      </c>
    </row>
    <row r="107" spans="1:6" ht="22.5" customHeight="1" x14ac:dyDescent="0.2">
      <c r="A107" s="23">
        <v>46109</v>
      </c>
      <c r="B107" s="24" t="s">
        <v>164</v>
      </c>
      <c r="C107" s="25" t="s">
        <v>43</v>
      </c>
      <c r="D107" s="25" t="s">
        <v>44</v>
      </c>
      <c r="E107" s="25" t="s">
        <v>8</v>
      </c>
      <c r="F107" s="26">
        <v>25000</v>
      </c>
    </row>
    <row r="108" spans="1:6" ht="22.5" customHeight="1" x14ac:dyDescent="0.2">
      <c r="A108" s="23">
        <v>46109</v>
      </c>
      <c r="B108" s="24" t="s">
        <v>166</v>
      </c>
      <c r="C108" s="25" t="s">
        <v>43</v>
      </c>
      <c r="D108" s="25" t="s">
        <v>44</v>
      </c>
      <c r="E108" s="25" t="s">
        <v>6</v>
      </c>
      <c r="F108" s="26">
        <v>375000</v>
      </c>
    </row>
    <row r="109" spans="1:6" ht="22.5" customHeight="1" x14ac:dyDescent="0.2">
      <c r="A109" s="23">
        <v>46109</v>
      </c>
      <c r="B109" s="24" t="s">
        <v>107</v>
      </c>
      <c r="C109" s="25" t="s">
        <v>46</v>
      </c>
      <c r="D109" s="25" t="s">
        <v>44</v>
      </c>
      <c r="E109" s="25" t="s">
        <v>6</v>
      </c>
      <c r="F109" s="26">
        <v>11200</v>
      </c>
    </row>
    <row r="110" spans="1:6" ht="22.5" customHeight="1" x14ac:dyDescent="0.2">
      <c r="A110" s="23">
        <v>46109</v>
      </c>
      <c r="B110" s="24" t="s">
        <v>168</v>
      </c>
      <c r="C110" s="25" t="s">
        <v>43</v>
      </c>
      <c r="D110" s="25" t="s">
        <v>44</v>
      </c>
      <c r="E110" s="25" t="s">
        <v>6</v>
      </c>
      <c r="F110" s="26">
        <v>75000</v>
      </c>
    </row>
    <row r="111" spans="1:6" ht="22.5" customHeight="1" x14ac:dyDescent="0.2">
      <c r="A111" s="23">
        <v>46109</v>
      </c>
      <c r="B111" s="24" t="s">
        <v>169</v>
      </c>
      <c r="C111" s="25" t="s">
        <v>43</v>
      </c>
      <c r="D111" s="25" t="s">
        <v>44</v>
      </c>
      <c r="E111" s="25" t="s">
        <v>6</v>
      </c>
      <c r="F111" s="26">
        <v>15000</v>
      </c>
    </row>
    <row r="112" spans="1:6" ht="22.5" customHeight="1" x14ac:dyDescent="0.2">
      <c r="A112" s="23">
        <v>46109</v>
      </c>
      <c r="B112" s="24" t="s">
        <v>170</v>
      </c>
      <c r="C112" s="25" t="s">
        <v>43</v>
      </c>
      <c r="D112" s="25" t="s">
        <v>44</v>
      </c>
      <c r="E112" s="25" t="s">
        <v>2</v>
      </c>
      <c r="F112" s="26">
        <v>10000</v>
      </c>
    </row>
    <row r="113" spans="1:6" ht="22.5" customHeight="1" x14ac:dyDescent="0.2">
      <c r="A113" s="23">
        <v>46111</v>
      </c>
      <c r="B113" s="24" t="s">
        <v>172</v>
      </c>
      <c r="C113" s="25" t="s">
        <v>43</v>
      </c>
      <c r="D113" s="25" t="s">
        <v>44</v>
      </c>
      <c r="E113" s="25" t="s">
        <v>6</v>
      </c>
      <c r="F113" s="26">
        <v>30000</v>
      </c>
    </row>
    <row r="114" spans="1:6" ht="22.5" customHeight="1" x14ac:dyDescent="0.2">
      <c r="A114" s="23">
        <v>46114</v>
      </c>
      <c r="B114" s="24" t="s">
        <v>174</v>
      </c>
      <c r="C114" s="25" t="s">
        <v>43</v>
      </c>
      <c r="D114" s="25" t="s">
        <v>39</v>
      </c>
      <c r="E114" s="35" t="s">
        <v>985</v>
      </c>
      <c r="F114" s="26">
        <v>4323235</v>
      </c>
    </row>
    <row r="115" spans="1:6" ht="22.5" customHeight="1" x14ac:dyDescent="0.2">
      <c r="A115" s="23">
        <v>46114</v>
      </c>
      <c r="B115" s="24" t="s">
        <v>58</v>
      </c>
      <c r="C115" s="25" t="s">
        <v>43</v>
      </c>
      <c r="D115" s="25" t="s">
        <v>44</v>
      </c>
      <c r="E115" s="25" t="s">
        <v>9</v>
      </c>
      <c r="F115" s="26">
        <v>1720088</v>
      </c>
    </row>
    <row r="116" spans="1:6" ht="22.5" customHeight="1" x14ac:dyDescent="0.2">
      <c r="A116" s="23">
        <v>46114</v>
      </c>
      <c r="B116" s="24" t="s">
        <v>177</v>
      </c>
      <c r="C116" s="25" t="s">
        <v>43</v>
      </c>
      <c r="D116" s="25" t="s">
        <v>44</v>
      </c>
      <c r="E116" s="25" t="s">
        <v>0</v>
      </c>
      <c r="F116" s="26">
        <v>624137</v>
      </c>
    </row>
    <row r="117" spans="1:6" ht="22.5" customHeight="1" x14ac:dyDescent="0.2">
      <c r="A117" s="23">
        <v>46114</v>
      </c>
      <c r="B117" s="24" t="s">
        <v>179</v>
      </c>
      <c r="C117" s="25" t="s">
        <v>43</v>
      </c>
      <c r="D117" s="25" t="s">
        <v>44</v>
      </c>
      <c r="E117" s="25" t="s">
        <v>0</v>
      </c>
      <c r="F117" s="26">
        <v>20602</v>
      </c>
    </row>
    <row r="118" spans="1:6" ht="22.5" customHeight="1" x14ac:dyDescent="0.2">
      <c r="A118" s="23">
        <v>46114</v>
      </c>
      <c r="B118" s="24" t="s">
        <v>180</v>
      </c>
      <c r="C118" s="25" t="s">
        <v>43</v>
      </c>
      <c r="D118" s="25" t="s">
        <v>44</v>
      </c>
      <c r="E118" s="25" t="s">
        <v>0</v>
      </c>
      <c r="F118" s="26">
        <v>53080</v>
      </c>
    </row>
    <row r="119" spans="1:6" ht="22.5" customHeight="1" x14ac:dyDescent="0.2">
      <c r="A119" s="23">
        <v>46114</v>
      </c>
      <c r="B119" s="24" t="s">
        <v>181</v>
      </c>
      <c r="C119" s="25" t="s">
        <v>43</v>
      </c>
      <c r="D119" s="25" t="s">
        <v>44</v>
      </c>
      <c r="E119" s="25" t="s">
        <v>0</v>
      </c>
      <c r="F119" s="26">
        <v>17541</v>
      </c>
    </row>
    <row r="120" spans="1:6" ht="22.5" customHeight="1" x14ac:dyDescent="0.2">
      <c r="A120" s="23">
        <v>46115</v>
      </c>
      <c r="B120" s="24" t="s">
        <v>183</v>
      </c>
      <c r="C120" s="25" t="s">
        <v>43</v>
      </c>
      <c r="D120" s="25" t="s">
        <v>44</v>
      </c>
      <c r="E120" s="25" t="s">
        <v>0</v>
      </c>
      <c r="F120" s="26">
        <v>200000</v>
      </c>
    </row>
    <row r="121" spans="1:6" ht="22.5" customHeight="1" x14ac:dyDescent="0.2">
      <c r="A121" s="23">
        <v>46115</v>
      </c>
      <c r="B121" s="24" t="s">
        <v>185</v>
      </c>
      <c r="C121" s="25" t="s">
        <v>43</v>
      </c>
      <c r="D121" s="25" t="s">
        <v>44</v>
      </c>
      <c r="E121" s="25" t="s">
        <v>0</v>
      </c>
      <c r="F121" s="26">
        <v>279187</v>
      </c>
    </row>
    <row r="122" spans="1:6" ht="22.5" customHeight="1" x14ac:dyDescent="0.2">
      <c r="A122" s="23">
        <v>46116</v>
      </c>
      <c r="B122" s="24" t="s">
        <v>186</v>
      </c>
      <c r="C122" s="25" t="s">
        <v>43</v>
      </c>
      <c r="D122" s="25" t="s">
        <v>44</v>
      </c>
      <c r="E122" s="25" t="s">
        <v>0</v>
      </c>
      <c r="F122" s="26">
        <v>233100</v>
      </c>
    </row>
    <row r="123" spans="1:6" ht="22.5" customHeight="1" x14ac:dyDescent="0.2">
      <c r="A123" s="23">
        <v>46117</v>
      </c>
      <c r="B123" s="24" t="s">
        <v>187</v>
      </c>
      <c r="C123" s="25" t="s">
        <v>43</v>
      </c>
      <c r="D123" s="25" t="s">
        <v>44</v>
      </c>
      <c r="E123" s="25" t="s">
        <v>0</v>
      </c>
      <c r="F123" s="26">
        <v>1000403</v>
      </c>
    </row>
    <row r="124" spans="1:6" ht="22.5" customHeight="1" x14ac:dyDescent="0.2">
      <c r="A124" s="23">
        <v>46117</v>
      </c>
      <c r="B124" s="24" t="s">
        <v>189</v>
      </c>
      <c r="C124" s="25" t="s">
        <v>43</v>
      </c>
      <c r="D124" s="25" t="s">
        <v>44</v>
      </c>
      <c r="E124" s="25" t="s">
        <v>0</v>
      </c>
      <c r="F124" s="26">
        <v>75000</v>
      </c>
    </row>
    <row r="125" spans="1:6" ht="22.5" customHeight="1" x14ac:dyDescent="0.2">
      <c r="A125" s="23">
        <v>46118</v>
      </c>
      <c r="B125" s="24" t="s">
        <v>190</v>
      </c>
      <c r="C125" s="25" t="s">
        <v>43</v>
      </c>
      <c r="D125" s="25" t="s">
        <v>44</v>
      </c>
      <c r="E125" s="25" t="s">
        <v>0</v>
      </c>
      <c r="F125" s="26">
        <v>38000</v>
      </c>
    </row>
    <row r="126" spans="1:6" ht="22.5" customHeight="1" x14ac:dyDescent="0.2">
      <c r="A126" s="23">
        <v>46119</v>
      </c>
      <c r="B126" s="24" t="s">
        <v>191</v>
      </c>
      <c r="C126" s="25" t="s">
        <v>43</v>
      </c>
      <c r="D126" s="25" t="s">
        <v>44</v>
      </c>
      <c r="E126" s="25" t="s">
        <v>2</v>
      </c>
      <c r="F126" s="26">
        <v>26000</v>
      </c>
    </row>
    <row r="127" spans="1:6" ht="22.5" customHeight="1" x14ac:dyDescent="0.2">
      <c r="A127" s="23">
        <v>46123</v>
      </c>
      <c r="B127" s="24" t="s">
        <v>193</v>
      </c>
      <c r="C127" s="25" t="s">
        <v>43</v>
      </c>
      <c r="D127" s="25" t="s">
        <v>44</v>
      </c>
      <c r="E127" s="25" t="s">
        <v>2</v>
      </c>
      <c r="F127" s="26">
        <v>24000</v>
      </c>
    </row>
    <row r="128" spans="1:6" ht="22.5" customHeight="1" x14ac:dyDescent="0.2">
      <c r="A128" s="23">
        <v>46132</v>
      </c>
      <c r="B128" s="24" t="s">
        <v>158</v>
      </c>
      <c r="C128" s="25" t="s">
        <v>43</v>
      </c>
      <c r="D128" s="25" t="s">
        <v>44</v>
      </c>
      <c r="E128" s="25" t="s">
        <v>0</v>
      </c>
      <c r="F128" s="26">
        <v>6000</v>
      </c>
    </row>
    <row r="129" spans="1:6" ht="22.5" customHeight="1" x14ac:dyDescent="0.2">
      <c r="A129" s="23">
        <v>46134</v>
      </c>
      <c r="B129" s="24" t="s">
        <v>195</v>
      </c>
      <c r="C129" s="25" t="s">
        <v>43</v>
      </c>
      <c r="D129" s="25" t="s">
        <v>44</v>
      </c>
      <c r="E129" s="25" t="s">
        <v>2</v>
      </c>
      <c r="F129" s="26">
        <v>29000</v>
      </c>
    </row>
    <row r="130" spans="1:6" ht="22.5" customHeight="1" x14ac:dyDescent="0.2">
      <c r="A130" s="23">
        <v>46135</v>
      </c>
      <c r="B130" s="24" t="s">
        <v>196</v>
      </c>
      <c r="C130" s="25" t="s">
        <v>43</v>
      </c>
      <c r="D130" s="25" t="s">
        <v>44</v>
      </c>
      <c r="E130" s="25" t="s">
        <v>8</v>
      </c>
      <c r="F130" s="26">
        <v>10070</v>
      </c>
    </row>
    <row r="131" spans="1:6" ht="22.5" customHeight="1" x14ac:dyDescent="0.2">
      <c r="A131" s="23">
        <v>46136</v>
      </c>
      <c r="B131" s="24" t="s">
        <v>58</v>
      </c>
      <c r="C131" s="25" t="s">
        <v>43</v>
      </c>
      <c r="D131" s="25" t="s">
        <v>44</v>
      </c>
      <c r="E131" s="25" t="s">
        <v>9</v>
      </c>
      <c r="F131" s="26">
        <v>200000</v>
      </c>
    </row>
    <row r="132" spans="1:6" ht="22.5" customHeight="1" x14ac:dyDescent="0.2">
      <c r="A132" s="23">
        <v>46137</v>
      </c>
      <c r="B132" s="24" t="s">
        <v>88</v>
      </c>
      <c r="C132" s="25" t="s">
        <v>43</v>
      </c>
      <c r="D132" s="25" t="s">
        <v>44</v>
      </c>
      <c r="E132" s="25" t="s">
        <v>2</v>
      </c>
      <c r="F132" s="26">
        <v>11000</v>
      </c>
    </row>
    <row r="133" spans="1:6" ht="22.5" customHeight="1" x14ac:dyDescent="0.2">
      <c r="A133" s="23">
        <v>46137</v>
      </c>
      <c r="B133" s="24" t="s">
        <v>198</v>
      </c>
      <c r="C133" s="25" t="s">
        <v>43</v>
      </c>
      <c r="D133" s="25" t="s">
        <v>44</v>
      </c>
      <c r="E133" s="25" t="s">
        <v>2</v>
      </c>
      <c r="F133" s="26">
        <v>15000</v>
      </c>
    </row>
    <row r="134" spans="1:6" ht="22.5" customHeight="1" x14ac:dyDescent="0.2">
      <c r="A134" s="23">
        <v>46136</v>
      </c>
      <c r="B134" s="24" t="s">
        <v>200</v>
      </c>
      <c r="C134" s="25" t="s">
        <v>43</v>
      </c>
      <c r="D134" s="25" t="s">
        <v>39</v>
      </c>
      <c r="E134" s="35" t="s">
        <v>20</v>
      </c>
      <c r="F134" s="26">
        <v>300000</v>
      </c>
    </row>
    <row r="135" spans="1:6" ht="22.5" customHeight="1" x14ac:dyDescent="0.2">
      <c r="A135" s="23">
        <v>46144</v>
      </c>
      <c r="B135" s="24" t="s">
        <v>58</v>
      </c>
      <c r="C135" s="25" t="s">
        <v>43</v>
      </c>
      <c r="D135" s="25" t="s">
        <v>44</v>
      </c>
      <c r="E135" s="25" t="s">
        <v>9</v>
      </c>
      <c r="F135" s="26">
        <v>200000</v>
      </c>
    </row>
    <row r="136" spans="1:6" ht="22.5" customHeight="1" x14ac:dyDescent="0.2">
      <c r="A136" s="23">
        <v>46144</v>
      </c>
      <c r="B136" s="24" t="s">
        <v>202</v>
      </c>
      <c r="C136" s="25" t="s">
        <v>43</v>
      </c>
      <c r="D136" s="25" t="s">
        <v>44</v>
      </c>
      <c r="E136" s="25" t="s">
        <v>9</v>
      </c>
      <c r="F136" s="26">
        <v>100000</v>
      </c>
    </row>
    <row r="137" spans="1:6" ht="22.5" customHeight="1" x14ac:dyDescent="0.2">
      <c r="A137" s="23">
        <v>46144</v>
      </c>
      <c r="B137" s="24" t="s">
        <v>149</v>
      </c>
      <c r="C137" s="25" t="s">
        <v>46</v>
      </c>
      <c r="D137" s="25" t="s">
        <v>39</v>
      </c>
      <c r="E137" s="25" t="s">
        <v>9</v>
      </c>
      <c r="F137" s="26">
        <v>100000</v>
      </c>
    </row>
    <row r="138" spans="1:6" ht="22.5" customHeight="1" x14ac:dyDescent="0.2">
      <c r="A138" s="23">
        <v>46144</v>
      </c>
      <c r="B138" s="24" t="s">
        <v>205</v>
      </c>
      <c r="C138" s="25" t="s">
        <v>46</v>
      </c>
      <c r="D138" s="25" t="s">
        <v>44</v>
      </c>
      <c r="E138" s="25" t="s">
        <v>2</v>
      </c>
      <c r="F138" s="26">
        <v>16000</v>
      </c>
    </row>
    <row r="139" spans="1:6" ht="22.5" customHeight="1" x14ac:dyDescent="0.2">
      <c r="A139" s="23">
        <v>46144</v>
      </c>
      <c r="B139" s="24" t="s">
        <v>98</v>
      </c>
      <c r="C139" s="25" t="s">
        <v>46</v>
      </c>
      <c r="D139" s="25" t="s">
        <v>44</v>
      </c>
      <c r="E139" s="25" t="s">
        <v>8</v>
      </c>
      <c r="F139" s="26">
        <v>15000</v>
      </c>
    </row>
    <row r="140" spans="1:6" ht="22.5" customHeight="1" x14ac:dyDescent="0.2">
      <c r="A140" s="23">
        <v>46144</v>
      </c>
      <c r="B140" s="24" t="s">
        <v>126</v>
      </c>
      <c r="C140" s="25" t="s">
        <v>46</v>
      </c>
      <c r="D140" s="25" t="s">
        <v>44</v>
      </c>
      <c r="E140" s="25" t="s">
        <v>3</v>
      </c>
      <c r="F140" s="26">
        <v>5000</v>
      </c>
    </row>
    <row r="141" spans="1:6" ht="22.5" customHeight="1" x14ac:dyDescent="0.2">
      <c r="A141" s="23">
        <v>46145</v>
      </c>
      <c r="B141" s="24" t="s">
        <v>209</v>
      </c>
      <c r="C141" s="25" t="s">
        <v>46</v>
      </c>
      <c r="D141" s="25" t="s">
        <v>44</v>
      </c>
      <c r="E141" s="25" t="s">
        <v>3</v>
      </c>
      <c r="F141" s="26">
        <v>4000</v>
      </c>
    </row>
    <row r="142" spans="1:6" ht="22.5" customHeight="1" x14ac:dyDescent="0.2">
      <c r="A142" s="23">
        <v>46145</v>
      </c>
      <c r="B142" s="24" t="s">
        <v>211</v>
      </c>
      <c r="C142" s="25" t="s">
        <v>46</v>
      </c>
      <c r="D142" s="25" t="s">
        <v>44</v>
      </c>
      <c r="E142" s="25" t="s">
        <v>2</v>
      </c>
      <c r="F142" s="26">
        <v>13000</v>
      </c>
    </row>
    <row r="143" spans="1:6" ht="22.5" customHeight="1" x14ac:dyDescent="0.2">
      <c r="A143" s="23">
        <v>46145</v>
      </c>
      <c r="B143" s="24" t="s">
        <v>213</v>
      </c>
      <c r="C143" s="25" t="s">
        <v>46</v>
      </c>
      <c r="D143" s="25" t="s">
        <v>44</v>
      </c>
      <c r="E143" s="25" t="s">
        <v>2</v>
      </c>
      <c r="F143" s="26">
        <v>20000</v>
      </c>
    </row>
    <row r="144" spans="1:6" ht="22.5" customHeight="1" x14ac:dyDescent="0.2">
      <c r="A144" s="23">
        <v>46145</v>
      </c>
      <c r="B144" s="24" t="s">
        <v>214</v>
      </c>
      <c r="C144" s="25" t="s">
        <v>46</v>
      </c>
      <c r="D144" s="25" t="s">
        <v>44</v>
      </c>
      <c r="E144" s="25" t="s">
        <v>2</v>
      </c>
      <c r="F144" s="26">
        <v>27000</v>
      </c>
    </row>
    <row r="145" spans="1:6" ht="22.5" customHeight="1" x14ac:dyDescent="0.2">
      <c r="A145" s="23">
        <v>46146</v>
      </c>
      <c r="B145" s="24" t="s">
        <v>216</v>
      </c>
      <c r="C145" s="25" t="s">
        <v>46</v>
      </c>
      <c r="D145" s="25" t="s">
        <v>44</v>
      </c>
      <c r="E145" s="25" t="s">
        <v>3</v>
      </c>
      <c r="F145" s="26">
        <v>155000</v>
      </c>
    </row>
    <row r="146" spans="1:6" ht="22.5" customHeight="1" x14ac:dyDescent="0.2">
      <c r="A146" s="23">
        <v>46146</v>
      </c>
      <c r="B146" s="24" t="s">
        <v>217</v>
      </c>
      <c r="C146" s="25" t="s">
        <v>46</v>
      </c>
      <c r="D146" s="25" t="s">
        <v>44</v>
      </c>
      <c r="E146" s="25" t="s">
        <v>4</v>
      </c>
      <c r="F146" s="26">
        <v>13000</v>
      </c>
    </row>
    <row r="147" spans="1:6" ht="22.5" customHeight="1" x14ac:dyDescent="0.2">
      <c r="A147" s="23">
        <v>46146</v>
      </c>
      <c r="B147" s="24" t="s">
        <v>219</v>
      </c>
      <c r="C147" s="25" t="s">
        <v>46</v>
      </c>
      <c r="D147" s="25" t="s">
        <v>44</v>
      </c>
      <c r="E147" s="25" t="s">
        <v>6</v>
      </c>
      <c r="F147" s="26">
        <v>30000</v>
      </c>
    </row>
    <row r="148" spans="1:6" ht="22.5" customHeight="1" x14ac:dyDescent="0.2">
      <c r="A148" s="23">
        <v>46146</v>
      </c>
      <c r="B148" s="24" t="s">
        <v>221</v>
      </c>
      <c r="C148" s="25" t="s">
        <v>43</v>
      </c>
      <c r="D148" s="25" t="s">
        <v>44</v>
      </c>
      <c r="E148" s="25" t="s">
        <v>0</v>
      </c>
      <c r="F148" s="26">
        <v>100000</v>
      </c>
    </row>
    <row r="149" spans="1:6" ht="22.5" customHeight="1" x14ac:dyDescent="0.2">
      <c r="A149" s="23">
        <v>46147</v>
      </c>
      <c r="B149" s="24" t="s">
        <v>222</v>
      </c>
      <c r="C149" s="25" t="s">
        <v>43</v>
      </c>
      <c r="D149" s="25" t="s">
        <v>44</v>
      </c>
      <c r="E149" s="25" t="s">
        <v>0</v>
      </c>
      <c r="F149" s="26">
        <v>1000471</v>
      </c>
    </row>
    <row r="150" spans="1:6" ht="22.5" customHeight="1" x14ac:dyDescent="0.2">
      <c r="A150" s="23">
        <v>46147</v>
      </c>
      <c r="B150" s="24" t="s">
        <v>224</v>
      </c>
      <c r="C150" s="25" t="s">
        <v>43</v>
      </c>
      <c r="D150" s="25" t="s">
        <v>44</v>
      </c>
      <c r="E150" s="25" t="s">
        <v>0</v>
      </c>
      <c r="F150" s="26">
        <v>233100</v>
      </c>
    </row>
    <row r="151" spans="1:6" ht="22.5" customHeight="1" x14ac:dyDescent="0.2">
      <c r="A151" s="23">
        <v>46147</v>
      </c>
      <c r="B151" s="24" t="s">
        <v>226</v>
      </c>
      <c r="C151" s="25" t="s">
        <v>43</v>
      </c>
      <c r="D151" s="25" t="s">
        <v>44</v>
      </c>
      <c r="E151" s="25" t="s">
        <v>0</v>
      </c>
      <c r="F151" s="26">
        <v>75000</v>
      </c>
    </row>
    <row r="152" spans="1:6" ht="22.5" customHeight="1" x14ac:dyDescent="0.2">
      <c r="A152" s="23">
        <v>46147</v>
      </c>
      <c r="B152" s="24" t="s">
        <v>98</v>
      </c>
      <c r="C152" s="25" t="s">
        <v>46</v>
      </c>
      <c r="D152" s="25" t="s">
        <v>44</v>
      </c>
      <c r="E152" s="25" t="s">
        <v>8</v>
      </c>
      <c r="F152" s="26">
        <v>15000</v>
      </c>
    </row>
    <row r="153" spans="1:6" ht="22.5" customHeight="1" x14ac:dyDescent="0.2">
      <c r="A153" s="23">
        <v>46147</v>
      </c>
      <c r="B153" s="24" t="s">
        <v>228</v>
      </c>
      <c r="C153" s="25" t="s">
        <v>46</v>
      </c>
      <c r="D153" s="25" t="s">
        <v>44</v>
      </c>
      <c r="E153" s="25" t="s">
        <v>8</v>
      </c>
      <c r="F153" s="26">
        <v>13000</v>
      </c>
    </row>
    <row r="154" spans="1:6" ht="22.5" customHeight="1" x14ac:dyDescent="0.2">
      <c r="A154" s="23">
        <v>46147</v>
      </c>
      <c r="B154" s="24" t="s">
        <v>229</v>
      </c>
      <c r="C154" s="25" t="s">
        <v>46</v>
      </c>
      <c r="D154" s="25" t="s">
        <v>44</v>
      </c>
      <c r="E154" s="25" t="s">
        <v>2</v>
      </c>
      <c r="F154" s="26">
        <v>20000</v>
      </c>
    </row>
    <row r="155" spans="1:6" ht="22.5" customHeight="1" x14ac:dyDescent="0.2">
      <c r="A155" s="23">
        <v>46147</v>
      </c>
      <c r="B155" s="24" t="s">
        <v>230</v>
      </c>
      <c r="C155" s="25" t="s">
        <v>46</v>
      </c>
      <c r="D155" s="25" t="s">
        <v>44</v>
      </c>
      <c r="E155" s="25" t="s">
        <v>2</v>
      </c>
      <c r="F155" s="31">
        <f>75000-38000-2000</f>
        <v>35000</v>
      </c>
    </row>
    <row r="156" spans="1:6" ht="22.5" customHeight="1" x14ac:dyDescent="0.2">
      <c r="A156" s="23">
        <v>46148</v>
      </c>
      <c r="B156" s="24" t="s">
        <v>231</v>
      </c>
      <c r="C156" s="25" t="s">
        <v>46</v>
      </c>
      <c r="D156" s="25" t="s">
        <v>44</v>
      </c>
      <c r="E156" s="25" t="s">
        <v>3</v>
      </c>
      <c r="F156" s="26">
        <v>45000</v>
      </c>
    </row>
    <row r="157" spans="1:6" ht="22.5" customHeight="1" x14ac:dyDescent="0.2">
      <c r="A157" s="23">
        <v>46149</v>
      </c>
      <c r="B157" s="24" t="s">
        <v>233</v>
      </c>
      <c r="C157" s="25" t="s">
        <v>46</v>
      </c>
      <c r="D157" s="25" t="s">
        <v>44</v>
      </c>
      <c r="E157" s="25" t="s">
        <v>6</v>
      </c>
      <c r="F157" s="26">
        <v>25000</v>
      </c>
    </row>
    <row r="158" spans="1:6" ht="22.5" customHeight="1" x14ac:dyDescent="0.2">
      <c r="A158" s="23">
        <v>46149</v>
      </c>
      <c r="B158" s="24" t="s">
        <v>235</v>
      </c>
      <c r="C158" s="25" t="s">
        <v>46</v>
      </c>
      <c r="D158" s="25" t="s">
        <v>44</v>
      </c>
      <c r="E158" s="25" t="s">
        <v>1</v>
      </c>
      <c r="F158" s="26">
        <v>17500</v>
      </c>
    </row>
    <row r="159" spans="1:6" ht="22.5" customHeight="1" x14ac:dyDescent="0.2">
      <c r="A159" s="23">
        <v>46149</v>
      </c>
      <c r="B159" s="24" t="s">
        <v>236</v>
      </c>
      <c r="C159" s="25" t="s">
        <v>46</v>
      </c>
      <c r="D159" s="25" t="s">
        <v>44</v>
      </c>
      <c r="E159" s="25" t="s">
        <v>2</v>
      </c>
      <c r="F159" s="26">
        <v>3000</v>
      </c>
    </row>
    <row r="160" spans="1:6" ht="22.5" customHeight="1" x14ac:dyDescent="0.2">
      <c r="A160" s="23">
        <v>46149</v>
      </c>
      <c r="B160" s="24" t="s">
        <v>237</v>
      </c>
      <c r="C160" s="25" t="s">
        <v>46</v>
      </c>
      <c r="D160" s="25" t="s">
        <v>44</v>
      </c>
      <c r="E160" s="25" t="s">
        <v>3</v>
      </c>
      <c r="F160" s="26">
        <v>18000</v>
      </c>
    </row>
    <row r="161" spans="1:6" ht="22.5" customHeight="1" x14ac:dyDescent="0.2">
      <c r="A161" s="23">
        <v>46149</v>
      </c>
      <c r="B161" s="24" t="s">
        <v>238</v>
      </c>
      <c r="C161" s="25" t="s">
        <v>46</v>
      </c>
      <c r="D161" s="25" t="s">
        <v>44</v>
      </c>
      <c r="E161" s="25" t="s">
        <v>2</v>
      </c>
      <c r="F161" s="26">
        <v>8000</v>
      </c>
    </row>
    <row r="162" spans="1:6" ht="22.5" customHeight="1" x14ac:dyDescent="0.2">
      <c r="A162" s="23">
        <v>46150</v>
      </c>
      <c r="B162" s="24" t="s">
        <v>239</v>
      </c>
      <c r="C162" s="25" t="s">
        <v>43</v>
      </c>
      <c r="D162" s="25" t="s">
        <v>39</v>
      </c>
      <c r="E162" s="35" t="s">
        <v>985</v>
      </c>
      <c r="F162" s="26">
        <v>4398235</v>
      </c>
    </row>
    <row r="163" spans="1:6" ht="22.5" customHeight="1" x14ac:dyDescent="0.2">
      <c r="A163" s="23">
        <v>46150</v>
      </c>
      <c r="B163" s="24" t="s">
        <v>76</v>
      </c>
      <c r="C163" s="25" t="s">
        <v>43</v>
      </c>
      <c r="D163" s="25" t="s">
        <v>44</v>
      </c>
      <c r="E163" s="25" t="s">
        <v>9</v>
      </c>
      <c r="F163" s="26">
        <v>400000</v>
      </c>
    </row>
    <row r="164" spans="1:6" ht="22.5" customHeight="1" x14ac:dyDescent="0.2">
      <c r="A164" s="23">
        <v>46150</v>
      </c>
      <c r="B164" s="24" t="s">
        <v>240</v>
      </c>
      <c r="C164" s="25" t="s">
        <v>46</v>
      </c>
      <c r="D164" s="25" t="s">
        <v>39</v>
      </c>
      <c r="E164" s="25" t="s">
        <v>9</v>
      </c>
      <c r="F164" s="26">
        <v>400000</v>
      </c>
    </row>
    <row r="165" spans="1:6" ht="22.5" customHeight="1" x14ac:dyDescent="0.2">
      <c r="A165" s="23">
        <v>46150</v>
      </c>
      <c r="B165" s="24" t="s">
        <v>241</v>
      </c>
      <c r="C165" s="25" t="s">
        <v>43</v>
      </c>
      <c r="D165" s="25" t="s">
        <v>44</v>
      </c>
      <c r="E165" s="25" t="s">
        <v>0</v>
      </c>
      <c r="F165" s="26">
        <v>624137</v>
      </c>
    </row>
    <row r="166" spans="1:6" ht="22.5" customHeight="1" x14ac:dyDescent="0.2">
      <c r="A166" s="23">
        <v>46150</v>
      </c>
      <c r="B166" s="24" t="s">
        <v>243</v>
      </c>
      <c r="C166" s="25" t="s">
        <v>43</v>
      </c>
      <c r="D166" s="25" t="s">
        <v>44</v>
      </c>
      <c r="E166" s="25" t="s">
        <v>0</v>
      </c>
      <c r="F166" s="26">
        <v>279187</v>
      </c>
    </row>
    <row r="167" spans="1:6" ht="22.5" customHeight="1" x14ac:dyDescent="0.2">
      <c r="A167" s="23">
        <v>46150</v>
      </c>
      <c r="B167" s="24" t="s">
        <v>244</v>
      </c>
      <c r="C167" s="25" t="s">
        <v>43</v>
      </c>
      <c r="D167" s="25" t="s">
        <v>44</v>
      </c>
      <c r="E167" s="25" t="s">
        <v>0</v>
      </c>
      <c r="F167" s="26">
        <v>20602</v>
      </c>
    </row>
    <row r="168" spans="1:6" ht="22.5" customHeight="1" x14ac:dyDescent="0.2">
      <c r="A168" s="23">
        <v>46150</v>
      </c>
      <c r="B168" s="24" t="s">
        <v>245</v>
      </c>
      <c r="C168" s="25" t="s">
        <v>43</v>
      </c>
      <c r="D168" s="25" t="s">
        <v>44</v>
      </c>
      <c r="E168" s="25" t="s">
        <v>0</v>
      </c>
      <c r="F168" s="26">
        <v>53080</v>
      </c>
    </row>
    <row r="169" spans="1:6" ht="22.5" customHeight="1" x14ac:dyDescent="0.2">
      <c r="A169" s="23">
        <v>46150</v>
      </c>
      <c r="B169" s="24" t="s">
        <v>246</v>
      </c>
      <c r="C169" s="25" t="s">
        <v>43</v>
      </c>
      <c r="D169" s="25" t="s">
        <v>44</v>
      </c>
      <c r="E169" s="25" t="s">
        <v>0</v>
      </c>
      <c r="F169" s="26">
        <v>17541</v>
      </c>
    </row>
    <row r="170" spans="1:6" ht="22.5" customHeight="1" x14ac:dyDescent="0.2">
      <c r="A170" s="23">
        <v>46150</v>
      </c>
      <c r="B170" s="24" t="s">
        <v>248</v>
      </c>
      <c r="C170" s="25" t="s">
        <v>43</v>
      </c>
      <c r="D170" s="25" t="s">
        <v>44</v>
      </c>
      <c r="E170" s="25" t="s">
        <v>9</v>
      </c>
      <c r="F170" s="31">
        <f>1600000-150000</f>
        <v>1450000</v>
      </c>
    </row>
    <row r="171" spans="1:6" ht="22.5" customHeight="1" x14ac:dyDescent="0.2">
      <c r="A171" s="23">
        <v>46150</v>
      </c>
      <c r="B171" s="24" t="s">
        <v>248</v>
      </c>
      <c r="C171" s="25" t="s">
        <v>46</v>
      </c>
      <c r="D171" s="25" t="s">
        <v>44</v>
      </c>
      <c r="E171" s="25" t="s">
        <v>9</v>
      </c>
      <c r="F171" s="26">
        <v>2500</v>
      </c>
    </row>
    <row r="172" spans="1:6" ht="22.5" customHeight="1" x14ac:dyDescent="0.2">
      <c r="A172" s="23">
        <v>46150</v>
      </c>
      <c r="B172" s="24" t="s">
        <v>251</v>
      </c>
      <c r="C172" s="25" t="s">
        <v>43</v>
      </c>
      <c r="D172" s="25" t="s">
        <v>44</v>
      </c>
      <c r="E172" s="25" t="s">
        <v>0</v>
      </c>
      <c r="F172" s="26">
        <v>38000</v>
      </c>
    </row>
    <row r="173" spans="1:6" ht="22.5" customHeight="1" x14ac:dyDescent="0.2">
      <c r="A173" s="23">
        <v>46152</v>
      </c>
      <c r="B173" s="24" t="s">
        <v>58</v>
      </c>
      <c r="C173" s="25" t="s">
        <v>43</v>
      </c>
      <c r="D173" s="25" t="s">
        <v>44</v>
      </c>
      <c r="E173" s="25" t="s">
        <v>9</v>
      </c>
      <c r="F173" s="26">
        <v>15000</v>
      </c>
    </row>
    <row r="174" spans="1:6" ht="22.5" customHeight="1" x14ac:dyDescent="0.2">
      <c r="A174" s="23">
        <v>46159</v>
      </c>
      <c r="B174" s="24" t="s">
        <v>252</v>
      </c>
      <c r="C174" s="25" t="s">
        <v>43</v>
      </c>
      <c r="D174" s="25" t="s">
        <v>44</v>
      </c>
      <c r="E174" s="25" t="s">
        <v>2</v>
      </c>
      <c r="F174" s="26">
        <v>1000</v>
      </c>
    </row>
    <row r="175" spans="1:6" ht="22.5" customHeight="1" x14ac:dyDescent="0.2">
      <c r="A175" s="23">
        <v>46160</v>
      </c>
      <c r="B175" s="24" t="s">
        <v>254</v>
      </c>
      <c r="C175" s="25" t="s">
        <v>43</v>
      </c>
      <c r="D175" s="25" t="s">
        <v>39</v>
      </c>
      <c r="E175" s="35" t="s">
        <v>20</v>
      </c>
      <c r="F175" s="26">
        <v>300000</v>
      </c>
    </row>
    <row r="176" spans="1:6" ht="22.5" customHeight="1" x14ac:dyDescent="0.2">
      <c r="A176" s="23">
        <v>46160</v>
      </c>
      <c r="B176" s="24" t="s">
        <v>255</v>
      </c>
      <c r="C176" s="25" t="s">
        <v>43</v>
      </c>
      <c r="D176" s="25" t="s">
        <v>44</v>
      </c>
      <c r="E176" s="25" t="s">
        <v>6</v>
      </c>
      <c r="F176" s="26">
        <v>290000</v>
      </c>
    </row>
    <row r="177" spans="1:6" ht="22.5" customHeight="1" x14ac:dyDescent="0.2">
      <c r="A177" s="23">
        <v>46160</v>
      </c>
      <c r="B177" s="24" t="s">
        <v>233</v>
      </c>
      <c r="C177" s="25" t="s">
        <v>43</v>
      </c>
      <c r="D177" s="25" t="s">
        <v>44</v>
      </c>
      <c r="E177" s="25" t="s">
        <v>6</v>
      </c>
      <c r="F177" s="26">
        <v>15000</v>
      </c>
    </row>
    <row r="178" spans="1:6" ht="22.5" customHeight="1" x14ac:dyDescent="0.2">
      <c r="A178" s="23">
        <v>46161</v>
      </c>
      <c r="B178" s="24" t="s">
        <v>58</v>
      </c>
      <c r="C178" s="25" t="s">
        <v>43</v>
      </c>
      <c r="D178" s="25" t="s">
        <v>44</v>
      </c>
      <c r="E178" s="25" t="s">
        <v>9</v>
      </c>
      <c r="F178" s="26">
        <v>90000</v>
      </c>
    </row>
    <row r="179" spans="1:6" ht="22.5" customHeight="1" x14ac:dyDescent="0.2">
      <c r="A179" s="23">
        <v>46162</v>
      </c>
      <c r="B179" s="24" t="s">
        <v>257</v>
      </c>
      <c r="C179" s="25" t="s">
        <v>43</v>
      </c>
      <c r="D179" s="25" t="s">
        <v>44</v>
      </c>
      <c r="E179" s="25" t="s">
        <v>0</v>
      </c>
      <c r="F179" s="26">
        <v>6000</v>
      </c>
    </row>
    <row r="180" spans="1:6" ht="22.5" customHeight="1" x14ac:dyDescent="0.2">
      <c r="A180" s="23">
        <v>46165</v>
      </c>
      <c r="B180" s="24" t="s">
        <v>259</v>
      </c>
      <c r="C180" s="25" t="s">
        <v>43</v>
      </c>
      <c r="D180" s="25" t="s">
        <v>39</v>
      </c>
      <c r="E180" s="35" t="s">
        <v>20</v>
      </c>
      <c r="F180" s="26">
        <v>300000</v>
      </c>
    </row>
    <row r="181" spans="1:6" ht="22.5" customHeight="1" x14ac:dyDescent="0.2">
      <c r="A181" s="23">
        <v>46165</v>
      </c>
      <c r="B181" s="24" t="s">
        <v>202</v>
      </c>
      <c r="C181" s="25" t="s">
        <v>43</v>
      </c>
      <c r="D181" s="25" t="s">
        <v>44</v>
      </c>
      <c r="E181" s="25" t="s">
        <v>9</v>
      </c>
      <c r="F181" s="26">
        <v>250000</v>
      </c>
    </row>
    <row r="182" spans="1:6" ht="22.5" customHeight="1" x14ac:dyDescent="0.2">
      <c r="A182" s="23">
        <v>46165</v>
      </c>
      <c r="B182" s="24" t="s">
        <v>149</v>
      </c>
      <c r="C182" s="25" t="s">
        <v>46</v>
      </c>
      <c r="D182" s="25" t="s">
        <v>39</v>
      </c>
      <c r="E182" s="25" t="s">
        <v>9</v>
      </c>
      <c r="F182" s="26">
        <v>250000</v>
      </c>
    </row>
    <row r="183" spans="1:6" ht="22.5" customHeight="1" x14ac:dyDescent="0.2">
      <c r="A183" s="23">
        <v>46165</v>
      </c>
      <c r="B183" s="24" t="s">
        <v>262</v>
      </c>
      <c r="C183" s="25" t="s">
        <v>43</v>
      </c>
      <c r="D183" s="25" t="s">
        <v>44</v>
      </c>
      <c r="E183" s="25" t="s">
        <v>1</v>
      </c>
      <c r="F183" s="26">
        <v>23900</v>
      </c>
    </row>
    <row r="184" spans="1:6" ht="22.5" customHeight="1" x14ac:dyDescent="0.2">
      <c r="A184" s="23">
        <v>46165</v>
      </c>
      <c r="B184" s="24" t="s">
        <v>263</v>
      </c>
      <c r="C184" s="25" t="s">
        <v>46</v>
      </c>
      <c r="D184" s="25" t="s">
        <v>44</v>
      </c>
      <c r="E184" s="25" t="s">
        <v>3</v>
      </c>
      <c r="F184" s="26">
        <v>22000</v>
      </c>
    </row>
    <row r="185" spans="1:6" ht="22.5" customHeight="1" x14ac:dyDescent="0.2">
      <c r="A185" s="23">
        <v>46165</v>
      </c>
      <c r="B185" s="24" t="s">
        <v>264</v>
      </c>
      <c r="C185" s="25" t="s">
        <v>46</v>
      </c>
      <c r="D185" s="25" t="s">
        <v>44</v>
      </c>
      <c r="E185" s="25" t="s">
        <v>2</v>
      </c>
      <c r="F185" s="26">
        <v>10000</v>
      </c>
    </row>
    <row r="186" spans="1:6" ht="22.5" customHeight="1" x14ac:dyDescent="0.2">
      <c r="A186" s="23">
        <v>46165</v>
      </c>
      <c r="B186" s="24" t="s">
        <v>265</v>
      </c>
      <c r="C186" s="25" t="s">
        <v>46</v>
      </c>
      <c r="D186" s="25" t="s">
        <v>44</v>
      </c>
      <c r="E186" s="25" t="s">
        <v>2</v>
      </c>
      <c r="F186" s="26">
        <v>10000</v>
      </c>
    </row>
    <row r="187" spans="1:6" ht="22.5" customHeight="1" x14ac:dyDescent="0.2">
      <c r="A187" s="23">
        <v>46165</v>
      </c>
      <c r="B187" s="24" t="s">
        <v>267</v>
      </c>
      <c r="C187" s="25" t="s">
        <v>46</v>
      </c>
      <c r="D187" s="25" t="s">
        <v>44</v>
      </c>
      <c r="E187" s="25" t="s">
        <v>2</v>
      </c>
      <c r="F187" s="26">
        <v>20000</v>
      </c>
    </row>
    <row r="188" spans="1:6" ht="22.5" customHeight="1" x14ac:dyDescent="0.2">
      <c r="A188" s="23">
        <v>46165</v>
      </c>
      <c r="B188" s="24" t="s">
        <v>228</v>
      </c>
      <c r="C188" s="25" t="s">
        <v>46</v>
      </c>
      <c r="D188" s="25" t="s">
        <v>44</v>
      </c>
      <c r="E188" s="25" t="s">
        <v>2</v>
      </c>
      <c r="F188" s="26">
        <v>14000</v>
      </c>
    </row>
    <row r="189" spans="1:6" ht="22.5" customHeight="1" x14ac:dyDescent="0.2">
      <c r="A189" s="23">
        <v>46165</v>
      </c>
      <c r="B189" s="24" t="s">
        <v>219</v>
      </c>
      <c r="C189" s="25" t="s">
        <v>46</v>
      </c>
      <c r="D189" s="25" t="s">
        <v>44</v>
      </c>
      <c r="E189" s="25" t="s">
        <v>6</v>
      </c>
      <c r="F189" s="26">
        <v>25000</v>
      </c>
    </row>
    <row r="190" spans="1:6" ht="22.5" customHeight="1" x14ac:dyDescent="0.2">
      <c r="A190" s="23">
        <v>46165</v>
      </c>
      <c r="B190" s="24" t="s">
        <v>271</v>
      </c>
      <c r="C190" s="25" t="s">
        <v>46</v>
      </c>
      <c r="D190" s="25" t="s">
        <v>44</v>
      </c>
      <c r="E190" s="25" t="s">
        <v>8</v>
      </c>
      <c r="F190" s="26">
        <v>30000</v>
      </c>
    </row>
    <row r="191" spans="1:6" ht="22.5" customHeight="1" x14ac:dyDescent="0.2">
      <c r="A191" s="23">
        <v>46165</v>
      </c>
      <c r="B191" s="24" t="s">
        <v>248</v>
      </c>
      <c r="C191" s="25" t="s">
        <v>46</v>
      </c>
      <c r="D191" s="25" t="s">
        <v>39</v>
      </c>
      <c r="E191" s="25" t="s">
        <v>9</v>
      </c>
      <c r="F191" s="26">
        <v>4000</v>
      </c>
    </row>
    <row r="192" spans="1:6" ht="22.5" customHeight="1" x14ac:dyDescent="0.2">
      <c r="A192" s="23">
        <v>46166</v>
      </c>
      <c r="B192" s="24" t="s">
        <v>273</v>
      </c>
      <c r="C192" s="25" t="s">
        <v>46</v>
      </c>
      <c r="D192" s="25" t="s">
        <v>44</v>
      </c>
      <c r="E192" s="25" t="s">
        <v>2</v>
      </c>
      <c r="F192" s="26">
        <v>33000</v>
      </c>
    </row>
    <row r="193" spans="1:6" ht="22.5" customHeight="1" x14ac:dyDescent="0.2">
      <c r="A193" s="23">
        <v>46166</v>
      </c>
      <c r="B193" s="24" t="s">
        <v>274</v>
      </c>
      <c r="C193" s="25" t="s">
        <v>46</v>
      </c>
      <c r="D193" s="25" t="s">
        <v>44</v>
      </c>
      <c r="E193" s="25" t="s">
        <v>2</v>
      </c>
      <c r="F193" s="26">
        <v>3000</v>
      </c>
    </row>
    <row r="194" spans="1:6" ht="22.5" customHeight="1" x14ac:dyDescent="0.2">
      <c r="A194" s="23">
        <v>46166</v>
      </c>
      <c r="B194" s="24" t="s">
        <v>263</v>
      </c>
      <c r="C194" s="25" t="s">
        <v>46</v>
      </c>
      <c r="D194" s="25" t="s">
        <v>44</v>
      </c>
      <c r="E194" s="25" t="s">
        <v>3</v>
      </c>
      <c r="F194" s="26">
        <v>22000</v>
      </c>
    </row>
    <row r="195" spans="1:6" ht="22.5" customHeight="1" x14ac:dyDescent="0.2">
      <c r="A195" s="23">
        <v>46166</v>
      </c>
      <c r="B195" s="24" t="s">
        <v>277</v>
      </c>
      <c r="C195" s="25" t="s">
        <v>46</v>
      </c>
      <c r="D195" s="25" t="s">
        <v>44</v>
      </c>
      <c r="E195" s="25" t="s">
        <v>1</v>
      </c>
      <c r="F195" s="26">
        <v>19000</v>
      </c>
    </row>
    <row r="196" spans="1:6" ht="22.5" customHeight="1" x14ac:dyDescent="0.2">
      <c r="A196" s="23">
        <v>46166</v>
      </c>
      <c r="B196" s="24" t="s">
        <v>253</v>
      </c>
      <c r="C196" s="25" t="s">
        <v>46</v>
      </c>
      <c r="D196" s="25" t="s">
        <v>44</v>
      </c>
      <c r="E196" s="25" t="s">
        <v>2</v>
      </c>
      <c r="F196" s="26">
        <v>20000</v>
      </c>
    </row>
    <row r="197" spans="1:6" ht="22.5" customHeight="1" x14ac:dyDescent="0.2">
      <c r="A197" s="23">
        <v>46166</v>
      </c>
      <c r="B197" s="24" t="s">
        <v>280</v>
      </c>
      <c r="C197" s="25" t="s">
        <v>46</v>
      </c>
      <c r="D197" s="25" t="s">
        <v>44</v>
      </c>
      <c r="E197" s="25" t="s">
        <v>8</v>
      </c>
      <c r="F197" s="26">
        <v>13000</v>
      </c>
    </row>
    <row r="198" spans="1:6" ht="22.5" customHeight="1" x14ac:dyDescent="0.2">
      <c r="A198" s="23">
        <v>46168</v>
      </c>
      <c r="B198" s="24" t="s">
        <v>248</v>
      </c>
      <c r="C198" s="25" t="s">
        <v>46</v>
      </c>
      <c r="D198" s="25" t="s">
        <v>39</v>
      </c>
      <c r="E198" s="25" t="s">
        <v>9</v>
      </c>
      <c r="F198" s="26">
        <v>50000</v>
      </c>
    </row>
    <row r="199" spans="1:6" ht="22.5" customHeight="1" x14ac:dyDescent="0.2">
      <c r="A199" s="23">
        <v>46168</v>
      </c>
      <c r="B199" s="24" t="s">
        <v>219</v>
      </c>
      <c r="C199" s="25" t="s">
        <v>46</v>
      </c>
      <c r="D199" s="25" t="s">
        <v>44</v>
      </c>
      <c r="E199" s="25" t="s">
        <v>6</v>
      </c>
      <c r="F199" s="26">
        <v>30000</v>
      </c>
    </row>
    <row r="200" spans="1:6" ht="22.5" customHeight="1" x14ac:dyDescent="0.2">
      <c r="A200" s="23">
        <v>46168</v>
      </c>
      <c r="B200" s="24" t="s">
        <v>282</v>
      </c>
      <c r="C200" s="25" t="s">
        <v>46</v>
      </c>
      <c r="D200" s="25" t="s">
        <v>44</v>
      </c>
      <c r="E200" s="25" t="s">
        <v>8</v>
      </c>
      <c r="F200" s="26">
        <v>28000</v>
      </c>
    </row>
    <row r="201" spans="1:6" ht="22.5" customHeight="1" x14ac:dyDescent="0.2">
      <c r="A201" s="23">
        <v>46169</v>
      </c>
      <c r="B201" s="24" t="s">
        <v>209</v>
      </c>
      <c r="C201" s="25" t="s">
        <v>46</v>
      </c>
      <c r="D201" s="25" t="s">
        <v>44</v>
      </c>
      <c r="E201" s="25" t="s">
        <v>3</v>
      </c>
      <c r="F201" s="26">
        <v>4000</v>
      </c>
    </row>
    <row r="202" spans="1:6" ht="22.5" customHeight="1" x14ac:dyDescent="0.2">
      <c r="A202" s="23">
        <v>46169</v>
      </c>
      <c r="B202" s="24" t="s">
        <v>98</v>
      </c>
      <c r="C202" s="25" t="s">
        <v>43</v>
      </c>
      <c r="D202" s="25" t="s">
        <v>44</v>
      </c>
      <c r="E202" s="25" t="s">
        <v>8</v>
      </c>
      <c r="F202" s="26">
        <v>17000</v>
      </c>
    </row>
    <row r="203" spans="1:6" ht="22.5" customHeight="1" x14ac:dyDescent="0.2">
      <c r="A203" s="23">
        <v>46172</v>
      </c>
      <c r="B203" s="24" t="s">
        <v>284</v>
      </c>
      <c r="C203" s="25" t="s">
        <v>43</v>
      </c>
      <c r="D203" s="25" t="s">
        <v>39</v>
      </c>
      <c r="E203" s="35" t="s">
        <v>20</v>
      </c>
      <c r="F203" s="26">
        <v>200000</v>
      </c>
    </row>
    <row r="204" spans="1:6" ht="22.5" customHeight="1" x14ac:dyDescent="0.2">
      <c r="A204" s="23">
        <v>46172</v>
      </c>
      <c r="B204" s="24" t="s">
        <v>202</v>
      </c>
      <c r="C204" s="25" t="s">
        <v>43</v>
      </c>
      <c r="D204" s="25" t="s">
        <v>44</v>
      </c>
      <c r="E204" s="25" t="s">
        <v>9</v>
      </c>
      <c r="F204" s="26">
        <v>200000</v>
      </c>
    </row>
    <row r="205" spans="1:6" ht="22.5" customHeight="1" x14ac:dyDescent="0.2">
      <c r="A205" s="23">
        <v>46172</v>
      </c>
      <c r="B205" s="24" t="s">
        <v>149</v>
      </c>
      <c r="C205" s="25" t="s">
        <v>46</v>
      </c>
      <c r="D205" s="25" t="s">
        <v>39</v>
      </c>
      <c r="E205" s="25" t="s">
        <v>9</v>
      </c>
      <c r="F205" s="26">
        <v>200000</v>
      </c>
    </row>
    <row r="206" spans="1:6" ht="22.5" customHeight="1" x14ac:dyDescent="0.2">
      <c r="A206" s="23">
        <v>46172</v>
      </c>
      <c r="B206" s="24" t="s">
        <v>288</v>
      </c>
      <c r="C206" s="25" t="s">
        <v>46</v>
      </c>
      <c r="D206" s="25" t="s">
        <v>44</v>
      </c>
      <c r="E206" s="25" t="s">
        <v>2</v>
      </c>
      <c r="F206" s="26">
        <v>20000</v>
      </c>
    </row>
    <row r="207" spans="1:6" ht="22.5" customHeight="1" x14ac:dyDescent="0.2">
      <c r="A207" s="23">
        <v>46172</v>
      </c>
      <c r="B207" s="24" t="s">
        <v>290</v>
      </c>
      <c r="C207" s="25" t="s">
        <v>46</v>
      </c>
      <c r="D207" s="25" t="s">
        <v>44</v>
      </c>
      <c r="E207" s="25" t="s">
        <v>3</v>
      </c>
      <c r="F207" s="26">
        <v>4000</v>
      </c>
    </row>
    <row r="208" spans="1:6" ht="22.5" customHeight="1" x14ac:dyDescent="0.2">
      <c r="A208" s="23">
        <v>46172</v>
      </c>
      <c r="B208" s="24" t="s">
        <v>292</v>
      </c>
      <c r="C208" s="25" t="s">
        <v>46</v>
      </c>
      <c r="D208" s="25" t="s">
        <v>44</v>
      </c>
      <c r="E208" s="25" t="s">
        <v>3</v>
      </c>
      <c r="F208" s="26">
        <v>2000</v>
      </c>
    </row>
    <row r="209" spans="1:6" ht="22.5" customHeight="1" x14ac:dyDescent="0.2">
      <c r="A209" s="23">
        <v>46172</v>
      </c>
      <c r="B209" s="24" t="s">
        <v>293</v>
      </c>
      <c r="C209" s="25" t="s">
        <v>46</v>
      </c>
      <c r="D209" s="25" t="s">
        <v>44</v>
      </c>
      <c r="E209" s="25" t="s">
        <v>2</v>
      </c>
      <c r="F209" s="26">
        <v>16000</v>
      </c>
    </row>
    <row r="210" spans="1:6" ht="22.5" customHeight="1" x14ac:dyDescent="0.2">
      <c r="A210" s="23">
        <v>46173</v>
      </c>
      <c r="B210" s="24" t="s">
        <v>295</v>
      </c>
      <c r="C210" s="25" t="s">
        <v>46</v>
      </c>
      <c r="D210" s="25" t="s">
        <v>44</v>
      </c>
      <c r="E210" s="25" t="s">
        <v>6</v>
      </c>
      <c r="F210" s="26">
        <v>146000</v>
      </c>
    </row>
    <row r="211" spans="1:6" ht="22.5" customHeight="1" x14ac:dyDescent="0.2">
      <c r="A211" s="23">
        <v>46173</v>
      </c>
      <c r="B211" s="24" t="s">
        <v>58</v>
      </c>
      <c r="C211" s="25" t="s">
        <v>46</v>
      </c>
      <c r="D211" s="25" t="s">
        <v>44</v>
      </c>
      <c r="E211" s="25" t="s">
        <v>9</v>
      </c>
      <c r="F211" s="26">
        <v>13000</v>
      </c>
    </row>
    <row r="212" spans="1:6" ht="22.5" customHeight="1" x14ac:dyDescent="0.2">
      <c r="A212" s="23">
        <v>46175</v>
      </c>
      <c r="B212" s="24" t="s">
        <v>297</v>
      </c>
      <c r="C212" s="25" t="s">
        <v>43</v>
      </c>
      <c r="D212" s="25" t="s">
        <v>39</v>
      </c>
      <c r="E212" s="35" t="s">
        <v>985</v>
      </c>
      <c r="F212" s="26">
        <v>4383235</v>
      </c>
    </row>
    <row r="213" spans="1:6" ht="22.5" customHeight="1" x14ac:dyDescent="0.2">
      <c r="A213" s="23">
        <v>46175</v>
      </c>
      <c r="B213" s="24" t="s">
        <v>299</v>
      </c>
      <c r="C213" s="25" t="s">
        <v>43</v>
      </c>
      <c r="D213" s="25" t="s">
        <v>44</v>
      </c>
      <c r="E213" s="25" t="s">
        <v>0</v>
      </c>
      <c r="F213" s="26">
        <v>624137</v>
      </c>
    </row>
    <row r="214" spans="1:6" ht="22.5" customHeight="1" x14ac:dyDescent="0.2">
      <c r="A214" s="23">
        <v>46175</v>
      </c>
      <c r="B214" s="24" t="s">
        <v>301</v>
      </c>
      <c r="C214" s="25" t="s">
        <v>43</v>
      </c>
      <c r="D214" s="25" t="s">
        <v>44</v>
      </c>
      <c r="E214" s="25" t="s">
        <v>0</v>
      </c>
      <c r="F214" s="26">
        <v>297904</v>
      </c>
    </row>
    <row r="215" spans="1:6" ht="22.5" customHeight="1" x14ac:dyDescent="0.2">
      <c r="A215" s="23">
        <v>46175</v>
      </c>
      <c r="B215" s="24" t="s">
        <v>303</v>
      </c>
      <c r="C215" s="25" t="s">
        <v>43</v>
      </c>
      <c r="D215" s="25" t="s">
        <v>44</v>
      </c>
      <c r="E215" s="25" t="s">
        <v>0</v>
      </c>
      <c r="F215" s="26">
        <v>17541</v>
      </c>
    </row>
    <row r="216" spans="1:6" ht="22.5" customHeight="1" x14ac:dyDescent="0.2">
      <c r="A216" s="23">
        <v>46175</v>
      </c>
      <c r="B216" s="24" t="s">
        <v>304</v>
      </c>
      <c r="C216" s="25" t="s">
        <v>43</v>
      </c>
      <c r="D216" s="25" t="s">
        <v>44</v>
      </c>
      <c r="E216" s="25" t="s">
        <v>0</v>
      </c>
      <c r="F216" s="26">
        <v>92333</v>
      </c>
    </row>
    <row r="217" spans="1:6" ht="22.5" customHeight="1" x14ac:dyDescent="0.2">
      <c r="A217" s="23">
        <v>46175</v>
      </c>
      <c r="B217" s="24" t="s">
        <v>306</v>
      </c>
      <c r="C217" s="25" t="s">
        <v>43</v>
      </c>
      <c r="D217" s="25" t="s">
        <v>44</v>
      </c>
      <c r="E217" s="25" t="s">
        <v>0</v>
      </c>
      <c r="F217" s="26">
        <v>200336</v>
      </c>
    </row>
    <row r="218" spans="1:6" ht="22.5" customHeight="1" x14ac:dyDescent="0.2">
      <c r="A218" s="23">
        <v>46175</v>
      </c>
      <c r="B218" s="24" t="s">
        <v>58</v>
      </c>
      <c r="C218" s="25" t="s">
        <v>43</v>
      </c>
      <c r="D218" s="25" t="s">
        <v>44</v>
      </c>
      <c r="E218" s="25" t="s">
        <v>9</v>
      </c>
      <c r="F218" s="26">
        <v>1561437</v>
      </c>
    </row>
    <row r="219" spans="1:6" ht="22.5" customHeight="1" x14ac:dyDescent="0.2">
      <c r="A219" s="23">
        <v>46175</v>
      </c>
      <c r="B219" s="24" t="s">
        <v>308</v>
      </c>
      <c r="C219" s="25" t="s">
        <v>43</v>
      </c>
      <c r="D219" s="25" t="s">
        <v>44</v>
      </c>
      <c r="E219" s="25" t="s">
        <v>6</v>
      </c>
      <c r="F219" s="26">
        <v>60000</v>
      </c>
    </row>
    <row r="220" spans="1:6" ht="22.5" customHeight="1" x14ac:dyDescent="0.2">
      <c r="A220" s="23">
        <v>46175</v>
      </c>
      <c r="B220" s="24" t="s">
        <v>64</v>
      </c>
      <c r="C220" s="25" t="s">
        <v>43</v>
      </c>
      <c r="D220" s="25" t="s">
        <v>44</v>
      </c>
      <c r="E220" s="25" t="s">
        <v>8</v>
      </c>
      <c r="F220" s="26">
        <v>30000</v>
      </c>
    </row>
    <row r="221" spans="1:6" ht="22.5" customHeight="1" x14ac:dyDescent="0.2">
      <c r="A221" s="23">
        <v>46175</v>
      </c>
      <c r="B221" s="24" t="s">
        <v>58</v>
      </c>
      <c r="C221" s="25" t="s">
        <v>43</v>
      </c>
      <c r="D221" s="25" t="s">
        <v>44</v>
      </c>
      <c r="E221" s="25" t="s">
        <v>9</v>
      </c>
      <c r="F221" s="26">
        <v>10000</v>
      </c>
    </row>
    <row r="222" spans="1:6" ht="22.5" customHeight="1" x14ac:dyDescent="0.2">
      <c r="A222" s="23">
        <v>46175</v>
      </c>
      <c r="B222" s="24" t="s">
        <v>312</v>
      </c>
      <c r="C222" s="25" t="s">
        <v>43</v>
      </c>
      <c r="D222" s="25" t="s">
        <v>44</v>
      </c>
      <c r="E222" s="25" t="s">
        <v>0</v>
      </c>
      <c r="F222" s="26">
        <v>101750</v>
      </c>
    </row>
    <row r="223" spans="1:6" ht="22.5" customHeight="1" x14ac:dyDescent="0.2">
      <c r="A223" s="23">
        <v>46178</v>
      </c>
      <c r="B223" s="24" t="s">
        <v>313</v>
      </c>
      <c r="C223" s="25" t="s">
        <v>43</v>
      </c>
      <c r="D223" s="25" t="s">
        <v>44</v>
      </c>
      <c r="E223" s="25" t="s">
        <v>0</v>
      </c>
      <c r="F223" s="26">
        <v>1000376</v>
      </c>
    </row>
    <row r="224" spans="1:6" ht="22.5" customHeight="1" x14ac:dyDescent="0.2">
      <c r="A224" s="23">
        <v>46177</v>
      </c>
      <c r="B224" s="24" t="s">
        <v>314</v>
      </c>
      <c r="C224" s="25" t="s">
        <v>43</v>
      </c>
      <c r="D224" s="25" t="s">
        <v>44</v>
      </c>
      <c r="E224" s="25" t="s">
        <v>0</v>
      </c>
      <c r="F224" s="26">
        <v>75000</v>
      </c>
    </row>
    <row r="225" spans="1:6" ht="22.5" customHeight="1" x14ac:dyDescent="0.2">
      <c r="A225" s="23">
        <v>46177</v>
      </c>
      <c r="B225" s="24" t="s">
        <v>316</v>
      </c>
      <c r="C225" s="25" t="s">
        <v>43</v>
      </c>
      <c r="D225" s="25" t="s">
        <v>44</v>
      </c>
      <c r="E225" s="25" t="s">
        <v>0</v>
      </c>
      <c r="F225" s="26">
        <v>233100</v>
      </c>
    </row>
    <row r="226" spans="1:6" ht="22.5" customHeight="1" x14ac:dyDescent="0.2">
      <c r="A226" s="23">
        <v>46176</v>
      </c>
      <c r="B226" s="24" t="s">
        <v>319</v>
      </c>
      <c r="C226" s="25" t="s">
        <v>46</v>
      </c>
      <c r="D226" s="25" t="s">
        <v>39</v>
      </c>
      <c r="E226" s="25" t="s">
        <v>20</v>
      </c>
      <c r="F226" s="26">
        <v>50000</v>
      </c>
    </row>
    <row r="227" spans="1:6" ht="22.5" customHeight="1" x14ac:dyDescent="0.2">
      <c r="A227" s="23">
        <v>46176</v>
      </c>
      <c r="B227" s="24" t="s">
        <v>321</v>
      </c>
      <c r="C227" s="25" t="s">
        <v>46</v>
      </c>
      <c r="D227" s="25" t="s">
        <v>39</v>
      </c>
      <c r="E227" s="35" t="s">
        <v>20</v>
      </c>
      <c r="F227" s="26">
        <v>34000</v>
      </c>
    </row>
    <row r="228" spans="1:6" ht="22.5" customHeight="1" x14ac:dyDescent="0.2">
      <c r="A228" s="23">
        <v>46177</v>
      </c>
      <c r="B228" s="24" t="s">
        <v>129</v>
      </c>
      <c r="C228" s="25" t="s">
        <v>46</v>
      </c>
      <c r="D228" s="25" t="s">
        <v>44</v>
      </c>
      <c r="E228" s="25" t="s">
        <v>6</v>
      </c>
      <c r="F228" s="26">
        <v>25000</v>
      </c>
    </row>
    <row r="229" spans="1:6" ht="22.5" customHeight="1" x14ac:dyDescent="0.2">
      <c r="A229" s="23">
        <v>46177</v>
      </c>
      <c r="B229" s="24" t="s">
        <v>324</v>
      </c>
      <c r="C229" s="25" t="s">
        <v>46</v>
      </c>
      <c r="D229" s="25" t="s">
        <v>44</v>
      </c>
      <c r="E229" s="25" t="s">
        <v>2</v>
      </c>
      <c r="F229" s="26">
        <v>9000</v>
      </c>
    </row>
    <row r="230" spans="1:6" ht="22.5" customHeight="1" x14ac:dyDescent="0.2">
      <c r="A230" s="23">
        <v>46179</v>
      </c>
      <c r="B230" s="24" t="s">
        <v>58</v>
      </c>
      <c r="C230" s="25" t="s">
        <v>46</v>
      </c>
      <c r="D230" s="25" t="s">
        <v>44</v>
      </c>
      <c r="E230" s="25" t="s">
        <v>9</v>
      </c>
      <c r="F230" s="26">
        <v>30000</v>
      </c>
    </row>
    <row r="231" spans="1:6" ht="22.5" customHeight="1" x14ac:dyDescent="0.2">
      <c r="A231" s="23">
        <v>46179</v>
      </c>
      <c r="B231" s="24" t="s">
        <v>326</v>
      </c>
      <c r="C231" s="25" t="s">
        <v>46</v>
      </c>
      <c r="D231" s="25" t="s">
        <v>44</v>
      </c>
      <c r="E231" s="25" t="s">
        <v>2</v>
      </c>
      <c r="F231" s="26">
        <v>12000</v>
      </c>
    </row>
    <row r="232" spans="1:6" ht="22.5" customHeight="1" x14ac:dyDescent="0.2">
      <c r="A232" s="23">
        <v>46179</v>
      </c>
      <c r="B232" s="24" t="s">
        <v>68</v>
      </c>
      <c r="C232" s="25" t="s">
        <v>46</v>
      </c>
      <c r="D232" s="25" t="s">
        <v>44</v>
      </c>
      <c r="E232" s="25" t="s">
        <v>3</v>
      </c>
      <c r="F232" s="26">
        <v>4000</v>
      </c>
    </row>
    <row r="233" spans="1:6" ht="22.5" customHeight="1" x14ac:dyDescent="0.2">
      <c r="A233" s="23">
        <v>46179</v>
      </c>
      <c r="B233" s="24" t="s">
        <v>18</v>
      </c>
      <c r="C233" s="25" t="s">
        <v>43</v>
      </c>
      <c r="D233" s="25" t="s">
        <v>44</v>
      </c>
      <c r="E233" s="25" t="s">
        <v>8</v>
      </c>
      <c r="F233" s="26">
        <v>15000</v>
      </c>
    </row>
    <row r="234" spans="1:6" ht="22.5" customHeight="1" x14ac:dyDescent="0.2">
      <c r="A234" s="23">
        <v>46180</v>
      </c>
      <c r="B234" s="24" t="s">
        <v>329</v>
      </c>
      <c r="C234" s="25" t="s">
        <v>46</v>
      </c>
      <c r="D234" s="25" t="s">
        <v>44</v>
      </c>
      <c r="E234" s="25" t="s">
        <v>3</v>
      </c>
      <c r="F234" s="26">
        <v>4000</v>
      </c>
    </row>
    <row r="235" spans="1:6" ht="22.5" customHeight="1" x14ac:dyDescent="0.2">
      <c r="A235" s="23">
        <v>46181</v>
      </c>
      <c r="B235" s="24" t="s">
        <v>331</v>
      </c>
      <c r="C235" s="25" t="s">
        <v>43</v>
      </c>
      <c r="D235" s="25" t="s">
        <v>44</v>
      </c>
      <c r="E235" s="25" t="s">
        <v>0</v>
      </c>
      <c r="F235" s="26">
        <v>38000</v>
      </c>
    </row>
    <row r="236" spans="1:6" ht="22.5" customHeight="1" x14ac:dyDescent="0.2">
      <c r="A236" s="23">
        <v>46186</v>
      </c>
      <c r="B236" s="24" t="s">
        <v>58</v>
      </c>
      <c r="C236" s="25" t="s">
        <v>43</v>
      </c>
      <c r="D236" s="25" t="s">
        <v>44</v>
      </c>
      <c r="E236" s="25" t="s">
        <v>9</v>
      </c>
      <c r="F236" s="26">
        <v>29000</v>
      </c>
    </row>
    <row r="237" spans="1:6" ht="22.5" customHeight="1" x14ac:dyDescent="0.2">
      <c r="A237" s="23">
        <v>46193</v>
      </c>
      <c r="B237" s="24" t="s">
        <v>158</v>
      </c>
      <c r="C237" s="25" t="s">
        <v>43</v>
      </c>
      <c r="D237" s="25" t="s">
        <v>44</v>
      </c>
      <c r="E237" s="25" t="s">
        <v>0</v>
      </c>
      <c r="F237" s="26">
        <v>6000</v>
      </c>
    </row>
    <row r="238" spans="1:6" ht="22.5" customHeight="1" x14ac:dyDescent="0.2">
      <c r="A238" s="23">
        <v>46194</v>
      </c>
      <c r="B238" s="24" t="s">
        <v>332</v>
      </c>
      <c r="C238" s="25" t="s">
        <v>43</v>
      </c>
      <c r="D238" s="25" t="s">
        <v>39</v>
      </c>
      <c r="E238" s="35" t="s">
        <v>20</v>
      </c>
      <c r="F238" s="26">
        <v>400000</v>
      </c>
    </row>
    <row r="239" spans="1:6" ht="22.5" customHeight="1" x14ac:dyDescent="0.2">
      <c r="A239" s="23">
        <v>46194</v>
      </c>
      <c r="B239" s="24" t="s">
        <v>248</v>
      </c>
      <c r="C239" s="25" t="s">
        <v>43</v>
      </c>
      <c r="D239" s="25" t="s">
        <v>44</v>
      </c>
      <c r="E239" s="25" t="s">
        <v>9</v>
      </c>
      <c r="F239" s="26">
        <v>250000</v>
      </c>
    </row>
    <row r="240" spans="1:6" ht="22.5" customHeight="1" x14ac:dyDescent="0.2">
      <c r="A240" s="23">
        <v>46194</v>
      </c>
      <c r="B240" s="24" t="s">
        <v>334</v>
      </c>
      <c r="C240" s="25" t="s">
        <v>43</v>
      </c>
      <c r="D240" s="25" t="s">
        <v>44</v>
      </c>
      <c r="E240" s="25" t="s">
        <v>3</v>
      </c>
      <c r="F240" s="26">
        <v>13000</v>
      </c>
    </row>
    <row r="241" spans="1:6" ht="22.5" customHeight="1" x14ac:dyDescent="0.2">
      <c r="A241" s="23">
        <v>46194</v>
      </c>
      <c r="B241" s="24" t="s">
        <v>336</v>
      </c>
      <c r="C241" s="25" t="s">
        <v>43</v>
      </c>
      <c r="D241" s="25" t="s">
        <v>44</v>
      </c>
      <c r="E241" s="25" t="s">
        <v>2</v>
      </c>
      <c r="F241" s="26">
        <v>21000</v>
      </c>
    </row>
    <row r="242" spans="1:6" ht="22.5" customHeight="1" x14ac:dyDescent="0.2">
      <c r="A242" s="23">
        <v>46195</v>
      </c>
      <c r="B242" s="24" t="s">
        <v>271</v>
      </c>
      <c r="C242" s="25" t="s">
        <v>43</v>
      </c>
      <c r="D242" s="25" t="s">
        <v>44</v>
      </c>
      <c r="E242" s="25" t="s">
        <v>0</v>
      </c>
      <c r="F242" s="26">
        <v>31000</v>
      </c>
    </row>
    <row r="243" spans="1:6" ht="22.5" customHeight="1" x14ac:dyDescent="0.2">
      <c r="A243" s="23">
        <v>46195</v>
      </c>
      <c r="B243" s="24" t="s">
        <v>339</v>
      </c>
      <c r="C243" s="25" t="s">
        <v>43</v>
      </c>
      <c r="D243" s="25" t="s">
        <v>44</v>
      </c>
      <c r="E243" s="25" t="s">
        <v>0</v>
      </c>
      <c r="F243" s="26">
        <v>51750</v>
      </c>
    </row>
    <row r="244" spans="1:6" ht="22.5" customHeight="1" x14ac:dyDescent="0.2">
      <c r="A244" s="23">
        <v>46195</v>
      </c>
      <c r="B244" s="24" t="s">
        <v>98</v>
      </c>
      <c r="C244" s="25" t="s">
        <v>43</v>
      </c>
      <c r="D244" s="25" t="s">
        <v>44</v>
      </c>
      <c r="E244" s="25" t="s">
        <v>8</v>
      </c>
      <c r="F244" s="26">
        <v>15000</v>
      </c>
    </row>
    <row r="245" spans="1:6" ht="22.5" customHeight="1" x14ac:dyDescent="0.2">
      <c r="A245" s="23">
        <v>46197</v>
      </c>
      <c r="B245" s="24" t="s">
        <v>342</v>
      </c>
      <c r="C245" s="25" t="s">
        <v>43</v>
      </c>
      <c r="D245" s="25" t="s">
        <v>44</v>
      </c>
      <c r="E245" s="25" t="s">
        <v>2</v>
      </c>
      <c r="F245" s="26">
        <v>10000</v>
      </c>
    </row>
    <row r="246" spans="1:6" ht="22.5" customHeight="1" x14ac:dyDescent="0.2">
      <c r="A246" s="23">
        <v>46204</v>
      </c>
      <c r="B246" s="24" t="s">
        <v>343</v>
      </c>
      <c r="C246" s="25" t="s">
        <v>43</v>
      </c>
      <c r="D246" s="25" t="s">
        <v>39</v>
      </c>
      <c r="E246" s="35" t="s">
        <v>985</v>
      </c>
      <c r="F246" s="26">
        <v>4383235</v>
      </c>
    </row>
    <row r="247" spans="1:6" ht="22.5" customHeight="1" x14ac:dyDescent="0.2">
      <c r="A247" s="23">
        <v>46204</v>
      </c>
      <c r="B247" s="24" t="s">
        <v>345</v>
      </c>
      <c r="C247" s="25" t="s">
        <v>43</v>
      </c>
      <c r="D247" s="25" t="s">
        <v>44</v>
      </c>
      <c r="E247" s="25" t="s">
        <v>0</v>
      </c>
      <c r="F247" s="26">
        <v>624137</v>
      </c>
    </row>
    <row r="248" spans="1:6" ht="22.5" customHeight="1" x14ac:dyDescent="0.2">
      <c r="A248" s="23">
        <v>46204</v>
      </c>
      <c r="B248" s="24" t="s">
        <v>347</v>
      </c>
      <c r="C248" s="25" t="s">
        <v>43</v>
      </c>
      <c r="D248" s="25" t="s">
        <v>44</v>
      </c>
      <c r="E248" s="25" t="s">
        <v>0</v>
      </c>
      <c r="F248" s="26">
        <v>17541</v>
      </c>
    </row>
    <row r="249" spans="1:6" ht="22.5" customHeight="1" x14ac:dyDescent="0.2">
      <c r="A249" s="23">
        <v>46204</v>
      </c>
      <c r="B249" s="24" t="s">
        <v>349</v>
      </c>
      <c r="C249" s="25" t="s">
        <v>43</v>
      </c>
      <c r="D249" s="25" t="s">
        <v>44</v>
      </c>
      <c r="E249" s="25" t="s">
        <v>0</v>
      </c>
      <c r="F249" s="26">
        <v>92333</v>
      </c>
    </row>
    <row r="250" spans="1:6" ht="22.5" customHeight="1" x14ac:dyDescent="0.2">
      <c r="A250" s="23">
        <v>46204</v>
      </c>
      <c r="B250" s="24" t="s">
        <v>350</v>
      </c>
      <c r="C250" s="25" t="s">
        <v>43</v>
      </c>
      <c r="D250" s="25" t="s">
        <v>44</v>
      </c>
      <c r="E250" s="25" t="s">
        <v>0</v>
      </c>
      <c r="F250" s="26">
        <v>74179</v>
      </c>
    </row>
    <row r="251" spans="1:6" ht="22.5" customHeight="1" x14ac:dyDescent="0.2">
      <c r="A251" s="23">
        <v>46204</v>
      </c>
      <c r="B251" s="24" t="s">
        <v>351</v>
      </c>
      <c r="C251" s="25" t="s">
        <v>43</v>
      </c>
      <c r="D251" s="25" t="s">
        <v>44</v>
      </c>
      <c r="E251" s="25" t="s">
        <v>0</v>
      </c>
      <c r="F251" s="26">
        <v>38206</v>
      </c>
    </row>
    <row r="252" spans="1:6" ht="22.5" customHeight="1" x14ac:dyDescent="0.2">
      <c r="A252" s="23">
        <v>46204</v>
      </c>
      <c r="B252" s="24" t="s">
        <v>352</v>
      </c>
      <c r="C252" s="25" t="s">
        <v>43</v>
      </c>
      <c r="D252" s="25" t="s">
        <v>44</v>
      </c>
      <c r="E252" s="25" t="s">
        <v>0</v>
      </c>
      <c r="F252" s="26">
        <v>33000</v>
      </c>
    </row>
    <row r="253" spans="1:6" ht="22.5" customHeight="1" x14ac:dyDescent="0.2">
      <c r="A253" s="23">
        <v>46204</v>
      </c>
      <c r="B253" s="24" t="s">
        <v>354</v>
      </c>
      <c r="C253" s="25" t="s">
        <v>43</v>
      </c>
      <c r="D253" s="25" t="s">
        <v>44</v>
      </c>
      <c r="E253" s="25" t="s">
        <v>0</v>
      </c>
      <c r="F253" s="26">
        <v>400000</v>
      </c>
    </row>
    <row r="254" spans="1:6" ht="22.5" customHeight="1" x14ac:dyDescent="0.2">
      <c r="A254" s="23">
        <v>46204</v>
      </c>
      <c r="B254" s="24" t="s">
        <v>356</v>
      </c>
      <c r="C254" s="25" t="s">
        <v>43</v>
      </c>
      <c r="D254" s="25" t="s">
        <v>44</v>
      </c>
      <c r="E254" s="25" t="s">
        <v>0</v>
      </c>
      <c r="F254" s="26">
        <v>100830</v>
      </c>
    </row>
    <row r="255" spans="1:6" ht="22.5" customHeight="1" x14ac:dyDescent="0.2">
      <c r="A255" s="23">
        <v>46204</v>
      </c>
      <c r="B255" s="24" t="s">
        <v>248</v>
      </c>
      <c r="C255" s="25" t="s">
        <v>43</v>
      </c>
      <c r="D255" s="25" t="s">
        <v>44</v>
      </c>
      <c r="E255" s="25" t="s">
        <v>9</v>
      </c>
      <c r="F255" s="26">
        <v>1495239</v>
      </c>
    </row>
    <row r="256" spans="1:6" ht="22.5" customHeight="1" x14ac:dyDescent="0.2">
      <c r="A256" s="23">
        <v>46204</v>
      </c>
      <c r="B256" s="24" t="s">
        <v>358</v>
      </c>
      <c r="C256" s="25" t="s">
        <v>43</v>
      </c>
      <c r="D256" s="25" t="s">
        <v>44</v>
      </c>
      <c r="E256" s="25" t="s">
        <v>6</v>
      </c>
      <c r="F256" s="26">
        <v>65000</v>
      </c>
    </row>
    <row r="257" spans="1:6" ht="22.5" customHeight="1" x14ac:dyDescent="0.2">
      <c r="A257" s="23">
        <v>46204</v>
      </c>
      <c r="B257" s="24" t="s">
        <v>359</v>
      </c>
      <c r="C257" s="25" t="s">
        <v>43</v>
      </c>
      <c r="D257" s="25" t="s">
        <v>44</v>
      </c>
      <c r="E257" s="25" t="s">
        <v>8</v>
      </c>
      <c r="F257" s="26">
        <v>16000</v>
      </c>
    </row>
    <row r="258" spans="1:6" ht="22.5" customHeight="1" x14ac:dyDescent="0.2">
      <c r="A258" s="23">
        <v>46204</v>
      </c>
      <c r="B258" s="24" t="s">
        <v>360</v>
      </c>
      <c r="C258" s="25" t="s">
        <v>43</v>
      </c>
      <c r="D258" s="25" t="s">
        <v>44</v>
      </c>
      <c r="E258" s="25" t="s">
        <v>3</v>
      </c>
      <c r="F258" s="26">
        <v>22000</v>
      </c>
    </row>
    <row r="259" spans="1:6" ht="22.5" customHeight="1" x14ac:dyDescent="0.2">
      <c r="A259" s="23">
        <v>46205</v>
      </c>
      <c r="B259" s="24" t="s">
        <v>361</v>
      </c>
      <c r="C259" s="25" t="s">
        <v>43</v>
      </c>
      <c r="D259" s="25" t="s">
        <v>44</v>
      </c>
      <c r="E259" s="25" t="s">
        <v>2</v>
      </c>
      <c r="F259" s="26">
        <v>21500</v>
      </c>
    </row>
    <row r="260" spans="1:6" ht="22.5" customHeight="1" x14ac:dyDescent="0.2">
      <c r="A260" s="23">
        <v>46207</v>
      </c>
      <c r="B260" s="24" t="s">
        <v>362</v>
      </c>
      <c r="C260" s="25" t="s">
        <v>43</v>
      </c>
      <c r="D260" s="25" t="s">
        <v>44</v>
      </c>
      <c r="E260" s="25" t="s">
        <v>8</v>
      </c>
      <c r="F260" s="26">
        <v>17000</v>
      </c>
    </row>
    <row r="261" spans="1:6" ht="22.5" customHeight="1" x14ac:dyDescent="0.2">
      <c r="A261" s="23">
        <v>46207</v>
      </c>
      <c r="B261" s="24" t="s">
        <v>363</v>
      </c>
      <c r="C261" s="25" t="s">
        <v>43</v>
      </c>
      <c r="D261" s="25" t="s">
        <v>44</v>
      </c>
      <c r="E261" s="25" t="s">
        <v>0</v>
      </c>
      <c r="F261" s="26">
        <v>233100</v>
      </c>
    </row>
    <row r="262" spans="1:6" ht="22.5" customHeight="1" x14ac:dyDescent="0.2">
      <c r="A262" s="23">
        <v>46207</v>
      </c>
      <c r="B262" s="24" t="s">
        <v>364</v>
      </c>
      <c r="C262" s="25" t="s">
        <v>43</v>
      </c>
      <c r="D262" s="25" t="s">
        <v>39</v>
      </c>
      <c r="E262" s="35" t="s">
        <v>20</v>
      </c>
      <c r="F262" s="26">
        <v>200000</v>
      </c>
    </row>
    <row r="263" spans="1:6" ht="22.5" customHeight="1" x14ac:dyDescent="0.2">
      <c r="A263" s="23">
        <v>46207</v>
      </c>
      <c r="B263" s="24" t="s">
        <v>366</v>
      </c>
      <c r="C263" s="25" t="s">
        <v>43</v>
      </c>
      <c r="D263" s="25" t="s">
        <v>44</v>
      </c>
      <c r="E263" s="25" t="s">
        <v>2</v>
      </c>
      <c r="F263" s="26">
        <v>14000</v>
      </c>
    </row>
    <row r="264" spans="1:6" ht="22.5" customHeight="1" x14ac:dyDescent="0.2">
      <c r="A264" s="23">
        <v>46207</v>
      </c>
      <c r="B264" s="24" t="s">
        <v>225</v>
      </c>
      <c r="C264" s="25" t="s">
        <v>43</v>
      </c>
      <c r="D264" s="25" t="s">
        <v>44</v>
      </c>
      <c r="E264" s="25" t="s">
        <v>2</v>
      </c>
      <c r="F264" s="26">
        <v>10000</v>
      </c>
    </row>
    <row r="265" spans="1:6" ht="22.5" customHeight="1" x14ac:dyDescent="0.2">
      <c r="A265" s="23">
        <v>46207</v>
      </c>
      <c r="B265" s="24" t="s">
        <v>368</v>
      </c>
      <c r="C265" s="25" t="s">
        <v>43</v>
      </c>
      <c r="D265" s="25" t="s">
        <v>44</v>
      </c>
      <c r="E265" s="25" t="s">
        <v>2</v>
      </c>
      <c r="F265" s="26">
        <v>17000</v>
      </c>
    </row>
    <row r="266" spans="1:6" ht="22.5" customHeight="1" x14ac:dyDescent="0.2">
      <c r="A266" s="23">
        <v>46207</v>
      </c>
      <c r="B266" s="24" t="s">
        <v>369</v>
      </c>
      <c r="C266" s="25" t="s">
        <v>43</v>
      </c>
      <c r="D266" s="25" t="s">
        <v>44</v>
      </c>
      <c r="E266" s="25" t="s">
        <v>2</v>
      </c>
      <c r="F266" s="26">
        <v>12000</v>
      </c>
    </row>
    <row r="267" spans="1:6" ht="22.5" customHeight="1" x14ac:dyDescent="0.2">
      <c r="A267" s="23">
        <v>46207</v>
      </c>
      <c r="B267" s="24" t="s">
        <v>371</v>
      </c>
      <c r="C267" s="25" t="s">
        <v>43</v>
      </c>
      <c r="D267" s="25" t="s">
        <v>44</v>
      </c>
      <c r="E267" s="25" t="s">
        <v>8</v>
      </c>
      <c r="F267" s="26">
        <v>40000</v>
      </c>
    </row>
    <row r="268" spans="1:6" ht="22.5" customHeight="1" x14ac:dyDescent="0.2">
      <c r="A268" s="23">
        <v>46208</v>
      </c>
      <c r="B268" s="24" t="s">
        <v>373</v>
      </c>
      <c r="C268" s="25" t="s">
        <v>43</v>
      </c>
      <c r="D268" s="25" t="s">
        <v>44</v>
      </c>
      <c r="E268" s="25" t="s">
        <v>0</v>
      </c>
      <c r="F268" s="26">
        <v>75000</v>
      </c>
    </row>
    <row r="269" spans="1:6" ht="22.5" customHeight="1" x14ac:dyDescent="0.2">
      <c r="A269" s="23">
        <v>46208</v>
      </c>
      <c r="B269" s="24" t="s">
        <v>375</v>
      </c>
      <c r="C269" s="25" t="s">
        <v>43</v>
      </c>
      <c r="D269" s="25" t="s">
        <v>44</v>
      </c>
      <c r="E269" s="25" t="s">
        <v>0</v>
      </c>
      <c r="F269" s="26">
        <v>1000460</v>
      </c>
    </row>
    <row r="270" spans="1:6" ht="22.5" customHeight="1" x14ac:dyDescent="0.2">
      <c r="A270" s="23">
        <v>46208</v>
      </c>
      <c r="B270" s="24" t="s">
        <v>58</v>
      </c>
      <c r="C270" s="25" t="s">
        <v>43</v>
      </c>
      <c r="D270" s="25" t="s">
        <v>44</v>
      </c>
      <c r="E270" s="25" t="s">
        <v>9</v>
      </c>
      <c r="F270" s="26">
        <v>35000</v>
      </c>
    </row>
    <row r="271" spans="1:6" ht="22.5" customHeight="1" x14ac:dyDescent="0.2">
      <c r="A271" s="23">
        <v>46208</v>
      </c>
      <c r="B271" s="24" t="s">
        <v>377</v>
      </c>
      <c r="C271" s="25" t="s">
        <v>43</v>
      </c>
      <c r="D271" s="25" t="s">
        <v>44</v>
      </c>
      <c r="E271" s="25" t="s">
        <v>8</v>
      </c>
      <c r="F271" s="26">
        <v>20000</v>
      </c>
    </row>
    <row r="272" spans="1:6" ht="22.5" customHeight="1" x14ac:dyDescent="0.2">
      <c r="A272" s="23">
        <v>46209</v>
      </c>
      <c r="B272" s="24" t="s">
        <v>379</v>
      </c>
      <c r="C272" s="25" t="s">
        <v>43</v>
      </c>
      <c r="D272" s="25" t="s">
        <v>44</v>
      </c>
      <c r="E272" s="25" t="s">
        <v>8</v>
      </c>
      <c r="F272" s="26">
        <v>15000</v>
      </c>
    </row>
    <row r="273" spans="1:6" ht="22.5" customHeight="1" x14ac:dyDescent="0.2">
      <c r="A273" s="23">
        <v>46209</v>
      </c>
      <c r="B273" s="24" t="s">
        <v>381</v>
      </c>
      <c r="C273" s="25" t="s">
        <v>43</v>
      </c>
      <c r="D273" s="25" t="s">
        <v>44</v>
      </c>
      <c r="E273" s="25" t="s">
        <v>8</v>
      </c>
      <c r="F273" s="26">
        <v>17000</v>
      </c>
    </row>
    <row r="274" spans="1:6" ht="22.5" customHeight="1" x14ac:dyDescent="0.2">
      <c r="A274" s="23">
        <v>46209</v>
      </c>
      <c r="B274" s="24" t="s">
        <v>383</v>
      </c>
      <c r="C274" s="25" t="s">
        <v>43</v>
      </c>
      <c r="D274" s="25" t="s">
        <v>44</v>
      </c>
      <c r="E274" s="25" t="s">
        <v>1</v>
      </c>
      <c r="F274" s="26">
        <v>3000</v>
      </c>
    </row>
    <row r="275" spans="1:6" ht="22.5" customHeight="1" x14ac:dyDescent="0.2">
      <c r="A275" s="23">
        <v>46211</v>
      </c>
      <c r="B275" s="24" t="s">
        <v>385</v>
      </c>
      <c r="C275" s="25" t="s">
        <v>43</v>
      </c>
      <c r="D275" s="25" t="s">
        <v>44</v>
      </c>
      <c r="E275" s="25" t="s">
        <v>0</v>
      </c>
      <c r="F275" s="26">
        <v>38000</v>
      </c>
    </row>
    <row r="276" spans="1:6" ht="22.5" customHeight="1" x14ac:dyDescent="0.2">
      <c r="A276" s="23">
        <v>46212</v>
      </c>
      <c r="B276" s="24" t="s">
        <v>387</v>
      </c>
      <c r="C276" s="25" t="s">
        <v>43</v>
      </c>
      <c r="D276" s="25" t="s">
        <v>44</v>
      </c>
      <c r="E276" s="25" t="s">
        <v>8</v>
      </c>
      <c r="F276" s="26">
        <v>16000</v>
      </c>
    </row>
    <row r="277" spans="1:6" ht="22.5" customHeight="1" x14ac:dyDescent="0.2">
      <c r="A277" s="23">
        <v>46212</v>
      </c>
      <c r="B277" s="24" t="s">
        <v>389</v>
      </c>
      <c r="C277" s="25" t="s">
        <v>43</v>
      </c>
      <c r="D277" s="25" t="s">
        <v>39</v>
      </c>
      <c r="E277" s="35" t="s">
        <v>20</v>
      </c>
      <c r="F277" s="31">
        <f>65987-29986</f>
        <v>36001</v>
      </c>
    </row>
    <row r="278" spans="1:6" ht="22.5" customHeight="1" x14ac:dyDescent="0.2">
      <c r="A278" s="23">
        <v>46214</v>
      </c>
      <c r="B278" s="24" t="s">
        <v>107</v>
      </c>
      <c r="C278" s="25" t="s">
        <v>43</v>
      </c>
      <c r="D278" s="25" t="s">
        <v>44</v>
      </c>
      <c r="E278" s="25" t="s">
        <v>6</v>
      </c>
      <c r="F278" s="26">
        <v>30000</v>
      </c>
    </row>
    <row r="279" spans="1:6" ht="22.5" customHeight="1" x14ac:dyDescent="0.2">
      <c r="A279" s="23">
        <v>46212</v>
      </c>
      <c r="B279" s="24" t="s">
        <v>277</v>
      </c>
      <c r="C279" s="25" t="s">
        <v>43</v>
      </c>
      <c r="D279" s="25" t="s">
        <v>44</v>
      </c>
      <c r="E279" s="25" t="s">
        <v>1</v>
      </c>
      <c r="F279" s="26">
        <v>10200</v>
      </c>
    </row>
    <row r="280" spans="1:6" ht="22.5" customHeight="1" x14ac:dyDescent="0.2">
      <c r="A280" s="23">
        <v>46214</v>
      </c>
      <c r="B280" s="24" t="s">
        <v>248</v>
      </c>
      <c r="C280" s="25" t="s">
        <v>43</v>
      </c>
      <c r="D280" s="25" t="s">
        <v>39</v>
      </c>
      <c r="E280" s="25" t="s">
        <v>9</v>
      </c>
      <c r="F280" s="26">
        <v>100000</v>
      </c>
    </row>
    <row r="281" spans="1:6" ht="22.5" customHeight="1" x14ac:dyDescent="0.2">
      <c r="A281" s="23">
        <v>46214</v>
      </c>
      <c r="B281" s="24" t="s">
        <v>392</v>
      </c>
      <c r="C281" s="25" t="s">
        <v>43</v>
      </c>
      <c r="D281" s="25" t="s">
        <v>44</v>
      </c>
      <c r="E281" s="25" t="s">
        <v>0</v>
      </c>
      <c r="F281" s="26">
        <v>100740</v>
      </c>
    </row>
    <row r="282" spans="1:6" ht="22.5" customHeight="1" x14ac:dyDescent="0.2">
      <c r="A282" s="23">
        <v>46214</v>
      </c>
      <c r="B282" s="24" t="s">
        <v>248</v>
      </c>
      <c r="C282" s="25" t="s">
        <v>43</v>
      </c>
      <c r="D282" s="25" t="s">
        <v>44</v>
      </c>
      <c r="E282" s="25" t="s">
        <v>9</v>
      </c>
      <c r="F282" s="26">
        <v>15000</v>
      </c>
    </row>
    <row r="283" spans="1:6" ht="22.5" customHeight="1" x14ac:dyDescent="0.2">
      <c r="A283" s="23">
        <v>46223</v>
      </c>
      <c r="B283" s="24" t="s">
        <v>395</v>
      </c>
      <c r="C283" s="25" t="s">
        <v>43</v>
      </c>
      <c r="D283" s="25" t="s">
        <v>44</v>
      </c>
      <c r="E283" s="25" t="s">
        <v>0</v>
      </c>
      <c r="F283" s="26">
        <v>6000</v>
      </c>
    </row>
    <row r="284" spans="1:6" ht="22.5" customHeight="1" x14ac:dyDescent="0.2">
      <c r="A284" s="23">
        <v>46232</v>
      </c>
      <c r="B284" s="24" t="s">
        <v>396</v>
      </c>
      <c r="C284" s="25" t="s">
        <v>43</v>
      </c>
      <c r="D284" s="25" t="s">
        <v>39</v>
      </c>
      <c r="E284" s="35" t="s">
        <v>20</v>
      </c>
      <c r="F284" s="26">
        <v>300000</v>
      </c>
    </row>
    <row r="285" spans="1:6" ht="22.5" customHeight="1" x14ac:dyDescent="0.2">
      <c r="A285" s="23">
        <v>46232</v>
      </c>
      <c r="B285" s="24" t="s">
        <v>398</v>
      </c>
      <c r="C285" s="25" t="s">
        <v>43</v>
      </c>
      <c r="D285" s="25" t="s">
        <v>44</v>
      </c>
      <c r="E285" s="25" t="s">
        <v>0</v>
      </c>
      <c r="F285" s="26">
        <v>45354</v>
      </c>
    </row>
    <row r="286" spans="1:6" ht="22.5" customHeight="1" x14ac:dyDescent="0.2">
      <c r="A286" s="23">
        <v>46232</v>
      </c>
      <c r="B286" s="24" t="s">
        <v>400</v>
      </c>
      <c r="C286" s="25" t="s">
        <v>43</v>
      </c>
      <c r="D286" s="25" t="s">
        <v>44</v>
      </c>
      <c r="E286" s="25" t="s">
        <v>3</v>
      </c>
      <c r="F286" s="26">
        <v>45500</v>
      </c>
    </row>
    <row r="287" spans="1:6" ht="22.5" customHeight="1" x14ac:dyDescent="0.2">
      <c r="A287" s="23">
        <v>46233</v>
      </c>
      <c r="B287" s="24" t="s">
        <v>402</v>
      </c>
      <c r="C287" s="25" t="s">
        <v>43</v>
      </c>
      <c r="D287" s="25" t="s">
        <v>44</v>
      </c>
      <c r="E287" s="25" t="s">
        <v>7</v>
      </c>
      <c r="F287" s="31">
        <f>28700+28400+31600</f>
        <v>88700</v>
      </c>
    </row>
    <row r="288" spans="1:6" ht="22.5" customHeight="1" x14ac:dyDescent="0.2">
      <c r="A288" s="23">
        <v>46233</v>
      </c>
      <c r="B288" s="24" t="s">
        <v>98</v>
      </c>
      <c r="C288" s="25" t="s">
        <v>43</v>
      </c>
      <c r="D288" s="25" t="s">
        <v>44</v>
      </c>
      <c r="E288" s="25" t="s">
        <v>8</v>
      </c>
      <c r="F288" s="26">
        <v>16000</v>
      </c>
    </row>
    <row r="289" spans="1:6" ht="22.5" customHeight="1" x14ac:dyDescent="0.2">
      <c r="A289" s="23">
        <v>46234</v>
      </c>
      <c r="B289" s="24" t="s">
        <v>405</v>
      </c>
      <c r="C289" s="25" t="s">
        <v>43</v>
      </c>
      <c r="D289" s="25" t="s">
        <v>44</v>
      </c>
      <c r="E289" s="25" t="s">
        <v>0</v>
      </c>
      <c r="F289" s="26">
        <v>51750</v>
      </c>
    </row>
    <row r="290" spans="1:6" ht="22.5" customHeight="1" x14ac:dyDescent="0.2">
      <c r="A290" s="23">
        <v>46234</v>
      </c>
      <c r="B290" s="24" t="s">
        <v>248</v>
      </c>
      <c r="C290" s="25" t="s">
        <v>43</v>
      </c>
      <c r="D290" s="25" t="s">
        <v>39</v>
      </c>
      <c r="E290" s="25" t="s">
        <v>9</v>
      </c>
      <c r="F290" s="26">
        <v>99329</v>
      </c>
    </row>
    <row r="291" spans="1:6" ht="22.5" customHeight="1" x14ac:dyDescent="0.2">
      <c r="A291" s="23">
        <v>46234</v>
      </c>
      <c r="B291" s="24" t="s">
        <v>248</v>
      </c>
      <c r="C291" s="25" t="s">
        <v>43</v>
      </c>
      <c r="D291" s="25" t="s">
        <v>44</v>
      </c>
      <c r="E291" s="25" t="s">
        <v>9</v>
      </c>
      <c r="F291" s="26">
        <v>100000</v>
      </c>
    </row>
    <row r="292" spans="1:6" ht="22.5" customHeight="1" x14ac:dyDescent="0.2">
      <c r="A292" s="23">
        <v>46235</v>
      </c>
      <c r="B292" s="24" t="s">
        <v>409</v>
      </c>
      <c r="C292" s="25" t="s">
        <v>43</v>
      </c>
      <c r="D292" s="25" t="s">
        <v>39</v>
      </c>
      <c r="E292" s="35" t="s">
        <v>20</v>
      </c>
      <c r="F292" s="26">
        <v>106000</v>
      </c>
    </row>
    <row r="293" spans="1:6" ht="22.5" customHeight="1" x14ac:dyDescent="0.2">
      <c r="A293" s="23">
        <v>46235</v>
      </c>
      <c r="B293" s="24" t="s">
        <v>202</v>
      </c>
      <c r="C293" s="25" t="s">
        <v>43</v>
      </c>
      <c r="D293" s="25" t="s">
        <v>44</v>
      </c>
      <c r="E293" s="25" t="s">
        <v>9</v>
      </c>
      <c r="F293" s="26">
        <v>101000</v>
      </c>
    </row>
    <row r="294" spans="1:6" ht="22.5" customHeight="1" x14ac:dyDescent="0.2">
      <c r="A294" s="23">
        <v>46235</v>
      </c>
      <c r="B294" s="24" t="s">
        <v>149</v>
      </c>
      <c r="C294" s="25" t="s">
        <v>46</v>
      </c>
      <c r="D294" s="25" t="s">
        <v>39</v>
      </c>
      <c r="E294" s="25" t="s">
        <v>9</v>
      </c>
      <c r="F294" s="26">
        <v>101000</v>
      </c>
    </row>
    <row r="295" spans="1:6" ht="22.5" customHeight="1" x14ac:dyDescent="0.2">
      <c r="A295" s="23">
        <v>46235</v>
      </c>
      <c r="B295" s="24" t="s">
        <v>412</v>
      </c>
      <c r="C295" s="25" t="s">
        <v>46</v>
      </c>
      <c r="D295" s="25" t="s">
        <v>44</v>
      </c>
      <c r="E295" s="25" t="s">
        <v>3</v>
      </c>
      <c r="F295" s="26">
        <f>36000+27000</f>
        <v>63000</v>
      </c>
    </row>
    <row r="296" spans="1:6" ht="22.5" customHeight="1" x14ac:dyDescent="0.2">
      <c r="A296" s="23">
        <v>46235</v>
      </c>
      <c r="B296" s="24" t="s">
        <v>98</v>
      </c>
      <c r="C296" s="25" t="s">
        <v>46</v>
      </c>
      <c r="D296" s="25" t="s">
        <v>44</v>
      </c>
      <c r="E296" s="25" t="s">
        <v>8</v>
      </c>
      <c r="F296" s="26">
        <v>16000</v>
      </c>
    </row>
    <row r="297" spans="1:6" ht="22.5" customHeight="1" x14ac:dyDescent="0.2">
      <c r="A297" s="23">
        <v>46235</v>
      </c>
      <c r="B297" s="24" t="s">
        <v>414</v>
      </c>
      <c r="C297" s="25" t="s">
        <v>46</v>
      </c>
      <c r="D297" s="25" t="s">
        <v>44</v>
      </c>
      <c r="E297" s="25" t="s">
        <v>8</v>
      </c>
      <c r="F297" s="26">
        <v>10000</v>
      </c>
    </row>
    <row r="298" spans="1:6" ht="22.5" customHeight="1" x14ac:dyDescent="0.2">
      <c r="A298" s="23">
        <v>46235</v>
      </c>
      <c r="B298" s="24" t="s">
        <v>416</v>
      </c>
      <c r="C298" s="25" t="s">
        <v>46</v>
      </c>
      <c r="D298" s="25" t="s">
        <v>44</v>
      </c>
      <c r="E298" s="25" t="s">
        <v>8</v>
      </c>
      <c r="F298" s="26">
        <v>12000</v>
      </c>
    </row>
    <row r="299" spans="1:6" ht="22.5" customHeight="1" x14ac:dyDescent="0.2">
      <c r="A299" s="23">
        <v>46235</v>
      </c>
      <c r="B299" s="24" t="s">
        <v>414</v>
      </c>
      <c r="C299" s="25" t="s">
        <v>43</v>
      </c>
      <c r="D299" s="25" t="s">
        <v>44</v>
      </c>
      <c r="E299" s="25" t="s">
        <v>8</v>
      </c>
      <c r="F299" s="26">
        <v>10000</v>
      </c>
    </row>
    <row r="300" spans="1:6" ht="22.5" customHeight="1" x14ac:dyDescent="0.2">
      <c r="A300" s="23">
        <v>46236</v>
      </c>
      <c r="B300" s="24" t="s">
        <v>417</v>
      </c>
      <c r="C300" s="25" t="s">
        <v>43</v>
      </c>
      <c r="D300" s="25" t="s">
        <v>39</v>
      </c>
      <c r="E300" s="25" t="s">
        <v>986</v>
      </c>
      <c r="F300" s="31">
        <f>182645+34861</f>
        <v>217506</v>
      </c>
    </row>
    <row r="301" spans="1:6" ht="22.5" customHeight="1" x14ac:dyDescent="0.2">
      <c r="A301" s="23">
        <v>46236</v>
      </c>
      <c r="B301" s="24" t="s">
        <v>420</v>
      </c>
      <c r="C301" s="25" t="s">
        <v>43</v>
      </c>
      <c r="D301" s="25" t="s">
        <v>44</v>
      </c>
      <c r="E301" s="25" t="s">
        <v>2</v>
      </c>
      <c r="F301" s="26">
        <v>15000</v>
      </c>
    </row>
    <row r="302" spans="1:6" ht="22.5" customHeight="1" x14ac:dyDescent="0.2">
      <c r="A302" s="23">
        <v>46236</v>
      </c>
      <c r="B302" s="24" t="s">
        <v>422</v>
      </c>
      <c r="C302" s="25" t="s">
        <v>43</v>
      </c>
      <c r="D302" s="25" t="s">
        <v>44</v>
      </c>
      <c r="E302" s="25" t="s">
        <v>2</v>
      </c>
      <c r="F302" s="26">
        <v>14300</v>
      </c>
    </row>
    <row r="303" spans="1:6" ht="22.5" customHeight="1" x14ac:dyDescent="0.2">
      <c r="A303" s="23">
        <v>46236</v>
      </c>
      <c r="B303" s="24" t="s">
        <v>423</v>
      </c>
      <c r="C303" s="25" t="s">
        <v>43</v>
      </c>
      <c r="D303" s="25" t="s">
        <v>44</v>
      </c>
      <c r="E303" s="25" t="s">
        <v>3</v>
      </c>
      <c r="F303" s="26">
        <v>26000</v>
      </c>
    </row>
    <row r="304" spans="1:6" ht="22.5" customHeight="1" x14ac:dyDescent="0.2">
      <c r="A304" s="23">
        <v>46236</v>
      </c>
      <c r="B304" s="24" t="s">
        <v>233</v>
      </c>
      <c r="C304" s="25" t="s">
        <v>43</v>
      </c>
      <c r="D304" s="25" t="s">
        <v>44</v>
      </c>
      <c r="E304" s="25" t="s">
        <v>6</v>
      </c>
      <c r="F304" s="26">
        <v>20000</v>
      </c>
    </row>
    <row r="305" spans="1:6" ht="22.5" customHeight="1" x14ac:dyDescent="0.2">
      <c r="A305" s="23">
        <v>46236</v>
      </c>
      <c r="B305" s="24" t="s">
        <v>426</v>
      </c>
      <c r="C305" s="25" t="s">
        <v>43</v>
      </c>
      <c r="D305" s="25" t="s">
        <v>44</v>
      </c>
      <c r="E305" s="25" t="s">
        <v>2</v>
      </c>
      <c r="F305" s="26">
        <v>9000</v>
      </c>
    </row>
    <row r="306" spans="1:6" ht="22.5" customHeight="1" x14ac:dyDescent="0.2">
      <c r="A306" s="23">
        <v>46236</v>
      </c>
      <c r="B306" s="24" t="s">
        <v>427</v>
      </c>
      <c r="C306" s="25" t="s">
        <v>43</v>
      </c>
      <c r="D306" s="25" t="s">
        <v>44</v>
      </c>
      <c r="E306" s="25" t="s">
        <v>2</v>
      </c>
      <c r="F306" s="26">
        <v>21000</v>
      </c>
    </row>
    <row r="307" spans="1:6" ht="22.5" customHeight="1" x14ac:dyDescent="0.2">
      <c r="A307" s="23">
        <v>46236</v>
      </c>
      <c r="B307" s="24" t="s">
        <v>229</v>
      </c>
      <c r="C307" s="25" t="s">
        <v>43</v>
      </c>
      <c r="D307" s="25" t="s">
        <v>44</v>
      </c>
      <c r="E307" s="25" t="s">
        <v>3</v>
      </c>
      <c r="F307" s="26">
        <v>15000</v>
      </c>
    </row>
    <row r="308" spans="1:6" ht="22.5" customHeight="1" x14ac:dyDescent="0.2">
      <c r="A308" s="23">
        <v>46236</v>
      </c>
      <c r="B308" s="24" t="s">
        <v>429</v>
      </c>
      <c r="C308" s="25" t="s">
        <v>43</v>
      </c>
      <c r="D308" s="25" t="s">
        <v>44</v>
      </c>
      <c r="E308" s="25" t="s">
        <v>2</v>
      </c>
      <c r="F308" s="26">
        <v>8700</v>
      </c>
    </row>
    <row r="309" spans="1:6" ht="22.5" customHeight="1" x14ac:dyDescent="0.2">
      <c r="A309" s="23">
        <v>46236</v>
      </c>
      <c r="B309" s="24" t="s">
        <v>431</v>
      </c>
      <c r="C309" s="25" t="s">
        <v>43</v>
      </c>
      <c r="D309" s="25" t="s">
        <v>44</v>
      </c>
      <c r="E309" s="25" t="s">
        <v>8</v>
      </c>
      <c r="F309" s="26">
        <v>11000</v>
      </c>
    </row>
    <row r="310" spans="1:6" ht="22.5" customHeight="1" x14ac:dyDescent="0.2">
      <c r="A310" s="23">
        <v>46237</v>
      </c>
      <c r="B310" s="24" t="s">
        <v>433</v>
      </c>
      <c r="C310" s="25" t="s">
        <v>43</v>
      </c>
      <c r="D310" s="25" t="s">
        <v>39</v>
      </c>
      <c r="E310" s="35" t="s">
        <v>985</v>
      </c>
      <c r="F310" s="26">
        <v>4383235</v>
      </c>
    </row>
    <row r="311" spans="1:6" ht="22.5" customHeight="1" x14ac:dyDescent="0.2">
      <c r="A311" s="23">
        <v>46237</v>
      </c>
      <c r="B311" s="24" t="s">
        <v>434</v>
      </c>
      <c r="C311" s="25" t="s">
        <v>43</v>
      </c>
      <c r="D311" s="25" t="s">
        <v>44</v>
      </c>
      <c r="E311" s="25" t="s">
        <v>0</v>
      </c>
      <c r="F311" s="26">
        <v>624137</v>
      </c>
    </row>
    <row r="312" spans="1:6" ht="22.5" customHeight="1" x14ac:dyDescent="0.2">
      <c r="A312" s="23">
        <v>46237</v>
      </c>
      <c r="B312" s="24" t="s">
        <v>435</v>
      </c>
      <c r="C312" s="25" t="s">
        <v>43</v>
      </c>
      <c r="D312" s="25" t="s">
        <v>44</v>
      </c>
      <c r="E312" s="25" t="s">
        <v>0</v>
      </c>
      <c r="F312" s="26">
        <v>300000</v>
      </c>
    </row>
    <row r="313" spans="1:6" ht="22.5" customHeight="1" x14ac:dyDescent="0.2">
      <c r="A313" s="23">
        <v>46237</v>
      </c>
      <c r="B313" s="24" t="s">
        <v>436</v>
      </c>
      <c r="C313" s="25" t="s">
        <v>43</v>
      </c>
      <c r="D313" s="25" t="s">
        <v>44</v>
      </c>
      <c r="E313" s="25" t="s">
        <v>0</v>
      </c>
      <c r="F313" s="26">
        <v>17541</v>
      </c>
    </row>
    <row r="314" spans="1:6" ht="22.5" customHeight="1" x14ac:dyDescent="0.2">
      <c r="A314" s="23">
        <v>46237</v>
      </c>
      <c r="B314" s="24" t="s">
        <v>438</v>
      </c>
      <c r="C314" s="25" t="s">
        <v>43</v>
      </c>
      <c r="D314" s="25" t="s">
        <v>44</v>
      </c>
      <c r="E314" s="25" t="s">
        <v>0</v>
      </c>
      <c r="F314" s="26">
        <v>92333</v>
      </c>
    </row>
    <row r="315" spans="1:6" ht="22.5" customHeight="1" x14ac:dyDescent="0.2">
      <c r="A315" s="23">
        <v>46237</v>
      </c>
      <c r="B315" s="24" t="s">
        <v>439</v>
      </c>
      <c r="C315" s="25" t="s">
        <v>43</v>
      </c>
      <c r="D315" s="25" t="s">
        <v>44</v>
      </c>
      <c r="E315" s="25" t="s">
        <v>6</v>
      </c>
      <c r="F315" s="26">
        <v>60000</v>
      </c>
    </row>
    <row r="316" spans="1:6" ht="22.5" customHeight="1" x14ac:dyDescent="0.2">
      <c r="A316" s="23">
        <v>46237</v>
      </c>
      <c r="B316" s="24" t="s">
        <v>440</v>
      </c>
      <c r="C316" s="25" t="s">
        <v>43</v>
      </c>
      <c r="D316" s="25" t="s">
        <v>44</v>
      </c>
      <c r="E316" s="25" t="s">
        <v>6</v>
      </c>
      <c r="F316" s="26">
        <v>15000</v>
      </c>
    </row>
    <row r="317" spans="1:6" ht="22.5" customHeight="1" x14ac:dyDescent="0.2">
      <c r="A317" s="23">
        <v>46237</v>
      </c>
      <c r="B317" s="24" t="s">
        <v>442</v>
      </c>
      <c r="C317" s="25" t="s">
        <v>43</v>
      </c>
      <c r="D317" s="25" t="s">
        <v>44</v>
      </c>
      <c r="E317" s="25" t="s">
        <v>2</v>
      </c>
      <c r="F317" s="26">
        <v>10000</v>
      </c>
    </row>
    <row r="318" spans="1:6" ht="22.5" customHeight="1" x14ac:dyDescent="0.2">
      <c r="A318" s="23">
        <v>46237</v>
      </c>
      <c r="B318" s="24" t="s">
        <v>443</v>
      </c>
      <c r="C318" s="25" t="s">
        <v>43</v>
      </c>
      <c r="D318" s="25" t="s">
        <v>44</v>
      </c>
      <c r="E318" s="25" t="s">
        <v>3</v>
      </c>
      <c r="F318" s="26">
        <v>12000</v>
      </c>
    </row>
    <row r="319" spans="1:6" ht="22.5" customHeight="1" x14ac:dyDescent="0.2">
      <c r="A319" s="23">
        <v>46238</v>
      </c>
      <c r="B319" s="24" t="s">
        <v>444</v>
      </c>
      <c r="C319" s="25" t="s">
        <v>43</v>
      </c>
      <c r="D319" s="25" t="s">
        <v>44</v>
      </c>
      <c r="E319" s="25" t="s">
        <v>3</v>
      </c>
      <c r="F319" s="26">
        <v>48000</v>
      </c>
    </row>
    <row r="320" spans="1:6" ht="22.5" customHeight="1" x14ac:dyDescent="0.2">
      <c r="A320" s="23">
        <v>46238</v>
      </c>
      <c r="B320" s="24" t="s">
        <v>107</v>
      </c>
      <c r="C320" s="25" t="s">
        <v>43</v>
      </c>
      <c r="D320" s="25" t="s">
        <v>44</v>
      </c>
      <c r="E320" s="25" t="s">
        <v>6</v>
      </c>
      <c r="F320" s="26">
        <v>25000</v>
      </c>
    </row>
    <row r="321" spans="1:6" ht="22.5" customHeight="1" x14ac:dyDescent="0.2">
      <c r="A321" s="23">
        <v>46238</v>
      </c>
      <c r="B321" s="24" t="s">
        <v>98</v>
      </c>
      <c r="C321" s="25" t="s">
        <v>43</v>
      </c>
      <c r="D321" s="25" t="s">
        <v>44</v>
      </c>
      <c r="E321" s="25" t="s">
        <v>8</v>
      </c>
      <c r="F321" s="26">
        <v>17000</v>
      </c>
    </row>
    <row r="322" spans="1:6" ht="22.5" customHeight="1" x14ac:dyDescent="0.2">
      <c r="A322" s="23">
        <v>46238</v>
      </c>
      <c r="B322" s="24" t="s">
        <v>447</v>
      </c>
      <c r="C322" s="25" t="s">
        <v>43</v>
      </c>
      <c r="D322" s="25" t="s">
        <v>44</v>
      </c>
      <c r="E322" s="25" t="s">
        <v>8</v>
      </c>
      <c r="F322" s="26">
        <v>30000</v>
      </c>
    </row>
    <row r="323" spans="1:6" ht="22.5" customHeight="1" x14ac:dyDescent="0.2">
      <c r="A323" s="23">
        <v>46238</v>
      </c>
      <c r="B323" s="24" t="s">
        <v>449</v>
      </c>
      <c r="C323" s="25" t="s">
        <v>43</v>
      </c>
      <c r="D323" s="25" t="s">
        <v>44</v>
      </c>
      <c r="E323" s="25" t="s">
        <v>6</v>
      </c>
      <c r="F323" s="26">
        <v>20000</v>
      </c>
    </row>
    <row r="324" spans="1:6" ht="22.5" customHeight="1" x14ac:dyDescent="0.2">
      <c r="A324" s="23">
        <v>46238</v>
      </c>
      <c r="B324" s="24" t="s">
        <v>451</v>
      </c>
      <c r="C324" s="25" t="s">
        <v>43</v>
      </c>
      <c r="D324" s="25" t="s">
        <v>44</v>
      </c>
      <c r="E324" s="25" t="s">
        <v>0</v>
      </c>
      <c r="F324" s="26">
        <v>233100</v>
      </c>
    </row>
    <row r="325" spans="1:6" ht="22.5" customHeight="1" x14ac:dyDescent="0.2">
      <c r="A325" s="23">
        <v>46238</v>
      </c>
      <c r="B325" s="24" t="s">
        <v>453</v>
      </c>
      <c r="C325" s="25" t="s">
        <v>43</v>
      </c>
      <c r="D325" s="25" t="s">
        <v>44</v>
      </c>
      <c r="E325" s="25" t="s">
        <v>2</v>
      </c>
      <c r="F325" s="26">
        <v>19000</v>
      </c>
    </row>
    <row r="326" spans="1:6" ht="22.5" customHeight="1" x14ac:dyDescent="0.2">
      <c r="A326" s="23">
        <v>46238</v>
      </c>
      <c r="B326" s="24" t="s">
        <v>454</v>
      </c>
      <c r="C326" s="25" t="s">
        <v>43</v>
      </c>
      <c r="D326" s="25" t="s">
        <v>44</v>
      </c>
      <c r="E326" s="25" t="s">
        <v>2</v>
      </c>
      <c r="F326" s="26">
        <v>15000</v>
      </c>
    </row>
    <row r="327" spans="1:6" ht="22.5" customHeight="1" x14ac:dyDescent="0.2">
      <c r="A327" s="23">
        <v>46239</v>
      </c>
      <c r="B327" s="24" t="s">
        <v>248</v>
      </c>
      <c r="C327" s="25" t="s">
        <v>43</v>
      </c>
      <c r="D327" s="25" t="s">
        <v>44</v>
      </c>
      <c r="E327" s="25" t="s">
        <v>9</v>
      </c>
      <c r="F327" s="26">
        <f>1445102+140000</f>
        <v>1585102</v>
      </c>
    </row>
    <row r="328" spans="1:6" ht="22.5" customHeight="1" x14ac:dyDescent="0.2">
      <c r="A328" s="23">
        <v>46239</v>
      </c>
      <c r="B328" s="24" t="s">
        <v>456</v>
      </c>
      <c r="C328" s="25" t="s">
        <v>43</v>
      </c>
      <c r="D328" s="25" t="s">
        <v>44</v>
      </c>
      <c r="E328" s="25" t="s">
        <v>0</v>
      </c>
      <c r="F328" s="26">
        <v>1000328</v>
      </c>
    </row>
    <row r="329" spans="1:6" ht="22.5" customHeight="1" x14ac:dyDescent="0.2">
      <c r="A329" s="23">
        <v>46239</v>
      </c>
      <c r="B329" s="24" t="s">
        <v>458</v>
      </c>
      <c r="C329" s="25" t="s">
        <v>43</v>
      </c>
      <c r="D329" s="25" t="s">
        <v>44</v>
      </c>
      <c r="E329" s="25" t="s">
        <v>0</v>
      </c>
      <c r="F329" s="26">
        <v>75000</v>
      </c>
    </row>
    <row r="330" spans="1:6" ht="22.5" customHeight="1" x14ac:dyDescent="0.2">
      <c r="A330" s="23">
        <v>46239</v>
      </c>
      <c r="B330" s="24" t="s">
        <v>460</v>
      </c>
      <c r="C330" s="25" t="s">
        <v>43</v>
      </c>
      <c r="D330" s="25" t="s">
        <v>44</v>
      </c>
      <c r="E330" s="25" t="s">
        <v>0</v>
      </c>
      <c r="F330" s="26">
        <v>101750</v>
      </c>
    </row>
    <row r="331" spans="1:6" ht="22.5" customHeight="1" x14ac:dyDescent="0.2">
      <c r="A331" s="23">
        <v>46239</v>
      </c>
      <c r="B331" s="24" t="s">
        <v>462</v>
      </c>
      <c r="C331" s="25" t="s">
        <v>43</v>
      </c>
      <c r="D331" s="25" t="s">
        <v>44</v>
      </c>
      <c r="E331" s="25" t="s">
        <v>8</v>
      </c>
      <c r="F331" s="26">
        <v>35000</v>
      </c>
    </row>
    <row r="332" spans="1:6" ht="22.5" customHeight="1" x14ac:dyDescent="0.2">
      <c r="A332" s="23">
        <v>46241</v>
      </c>
      <c r="B332" s="24" t="s">
        <v>385</v>
      </c>
      <c r="C332" s="25" t="s">
        <v>43</v>
      </c>
      <c r="D332" s="25" t="s">
        <v>44</v>
      </c>
      <c r="E332" s="25" t="s">
        <v>0</v>
      </c>
      <c r="F332" s="26">
        <v>38000</v>
      </c>
    </row>
    <row r="333" spans="1:6" ht="22.5" customHeight="1" x14ac:dyDescent="0.2">
      <c r="A333" s="23">
        <v>46241</v>
      </c>
      <c r="B333" s="24" t="s">
        <v>463</v>
      </c>
      <c r="C333" s="25" t="s">
        <v>43</v>
      </c>
      <c r="D333" s="25" t="s">
        <v>44</v>
      </c>
      <c r="E333" s="25" t="s">
        <v>2</v>
      </c>
      <c r="F333" s="26">
        <v>10000</v>
      </c>
    </row>
    <row r="334" spans="1:6" ht="22.5" customHeight="1" x14ac:dyDescent="0.2">
      <c r="A334" s="23">
        <v>46242</v>
      </c>
      <c r="B334" s="24" t="s">
        <v>202</v>
      </c>
      <c r="C334" s="25" t="s">
        <v>43</v>
      </c>
      <c r="D334" s="25" t="s">
        <v>44</v>
      </c>
      <c r="E334" s="25" t="s">
        <v>9</v>
      </c>
      <c r="F334" s="26">
        <v>50000</v>
      </c>
    </row>
    <row r="335" spans="1:6" ht="22.5" customHeight="1" x14ac:dyDescent="0.2">
      <c r="A335" s="23">
        <v>46242</v>
      </c>
      <c r="B335" s="24" t="s">
        <v>149</v>
      </c>
      <c r="C335" s="25" t="s">
        <v>46</v>
      </c>
      <c r="D335" s="25" t="s">
        <v>39</v>
      </c>
      <c r="E335" s="25" t="s">
        <v>9</v>
      </c>
      <c r="F335" s="26">
        <v>50000</v>
      </c>
    </row>
    <row r="336" spans="1:6" ht="22.5" customHeight="1" x14ac:dyDescent="0.2">
      <c r="A336" s="23">
        <v>46242</v>
      </c>
      <c r="B336" s="24" t="s">
        <v>233</v>
      </c>
      <c r="C336" s="25" t="s">
        <v>46</v>
      </c>
      <c r="D336" s="25" t="s">
        <v>44</v>
      </c>
      <c r="E336" s="25" t="s">
        <v>6</v>
      </c>
      <c r="F336" s="26">
        <v>20000</v>
      </c>
    </row>
    <row r="337" spans="1:6" ht="22.5" customHeight="1" x14ac:dyDescent="0.2">
      <c r="A337" s="23">
        <v>46242</v>
      </c>
      <c r="B337" s="24" t="s">
        <v>468</v>
      </c>
      <c r="C337" s="25" t="s">
        <v>46</v>
      </c>
      <c r="D337" s="25" t="s">
        <v>44</v>
      </c>
      <c r="E337" s="25" t="s">
        <v>2</v>
      </c>
      <c r="F337" s="26">
        <v>24000</v>
      </c>
    </row>
    <row r="338" spans="1:6" ht="22.5" customHeight="1" x14ac:dyDescent="0.2">
      <c r="A338" s="23">
        <v>46242</v>
      </c>
      <c r="B338" s="24" t="s">
        <v>469</v>
      </c>
      <c r="C338" s="25" t="s">
        <v>46</v>
      </c>
      <c r="D338" s="25" t="s">
        <v>44</v>
      </c>
      <c r="E338" s="25" t="s">
        <v>2</v>
      </c>
      <c r="F338" s="26">
        <v>10000</v>
      </c>
    </row>
    <row r="339" spans="1:6" ht="22.5" customHeight="1" x14ac:dyDescent="0.2">
      <c r="A339" s="23">
        <v>46242</v>
      </c>
      <c r="B339" s="24" t="s">
        <v>229</v>
      </c>
      <c r="C339" s="25" t="s">
        <v>46</v>
      </c>
      <c r="D339" s="25" t="s">
        <v>44</v>
      </c>
      <c r="E339" s="25" t="s">
        <v>2</v>
      </c>
      <c r="F339" s="26">
        <v>6000</v>
      </c>
    </row>
    <row r="340" spans="1:6" ht="22.5" customHeight="1" x14ac:dyDescent="0.2">
      <c r="A340" s="23">
        <v>46242</v>
      </c>
      <c r="B340" s="24" t="s">
        <v>472</v>
      </c>
      <c r="C340" s="25" t="s">
        <v>46</v>
      </c>
      <c r="D340" s="25" t="s">
        <v>39</v>
      </c>
      <c r="E340" s="35" t="s">
        <v>20</v>
      </c>
      <c r="F340" s="26">
        <v>20000</v>
      </c>
    </row>
    <row r="341" spans="1:6" ht="22.5" customHeight="1" x14ac:dyDescent="0.2">
      <c r="A341" s="23">
        <v>46242</v>
      </c>
      <c r="B341" s="24" t="s">
        <v>475</v>
      </c>
      <c r="C341" s="25" t="s">
        <v>43</v>
      </c>
      <c r="D341" s="25" t="s">
        <v>39</v>
      </c>
      <c r="E341" s="35" t="s">
        <v>20</v>
      </c>
      <c r="F341" s="26">
        <v>100000</v>
      </c>
    </row>
    <row r="342" spans="1:6" ht="22.5" customHeight="1" x14ac:dyDescent="0.2">
      <c r="A342" s="23">
        <v>46242</v>
      </c>
      <c r="B342" s="24" t="s">
        <v>476</v>
      </c>
      <c r="C342" s="25" t="s">
        <v>46</v>
      </c>
      <c r="D342" s="25" t="s">
        <v>44</v>
      </c>
      <c r="E342" s="25" t="s">
        <v>2</v>
      </c>
      <c r="F342" s="26">
        <v>10000</v>
      </c>
    </row>
    <row r="343" spans="1:6" ht="22.5" customHeight="1" x14ac:dyDescent="0.2">
      <c r="A343" s="23">
        <v>46243</v>
      </c>
      <c r="B343" s="24" t="s">
        <v>472</v>
      </c>
      <c r="C343" s="25" t="s">
        <v>43</v>
      </c>
      <c r="D343" s="25" t="s">
        <v>39</v>
      </c>
      <c r="E343" s="35" t="s">
        <v>20</v>
      </c>
      <c r="F343" s="26">
        <v>50000</v>
      </c>
    </row>
    <row r="344" spans="1:6" ht="22.5" customHeight="1" x14ac:dyDescent="0.2">
      <c r="A344" s="23">
        <v>46243</v>
      </c>
      <c r="B344" s="24" t="s">
        <v>233</v>
      </c>
      <c r="C344" s="25" t="s">
        <v>43</v>
      </c>
      <c r="D344" s="25" t="s">
        <v>44</v>
      </c>
      <c r="E344" s="25" t="s">
        <v>6</v>
      </c>
      <c r="F344" s="26">
        <v>20000</v>
      </c>
    </row>
    <row r="345" spans="1:6" ht="22.5" customHeight="1" x14ac:dyDescent="0.2">
      <c r="A345" s="23">
        <v>46243</v>
      </c>
      <c r="B345" s="24" t="s">
        <v>479</v>
      </c>
      <c r="C345" s="25" t="s">
        <v>43</v>
      </c>
      <c r="D345" s="25" t="s">
        <v>44</v>
      </c>
      <c r="E345" s="25" t="s">
        <v>3</v>
      </c>
      <c r="F345" s="26">
        <v>60000</v>
      </c>
    </row>
    <row r="346" spans="1:6" ht="22.5" customHeight="1" x14ac:dyDescent="0.2">
      <c r="A346" s="23">
        <v>46243</v>
      </c>
      <c r="B346" s="24" t="s">
        <v>422</v>
      </c>
      <c r="C346" s="25" t="s">
        <v>43</v>
      </c>
      <c r="D346" s="25" t="s">
        <v>44</v>
      </c>
      <c r="E346" s="25" t="s">
        <v>2</v>
      </c>
      <c r="F346" s="26">
        <v>40000</v>
      </c>
    </row>
    <row r="347" spans="1:6" ht="22.5" customHeight="1" x14ac:dyDescent="0.2">
      <c r="A347" s="23">
        <v>46243</v>
      </c>
      <c r="B347" s="24" t="s">
        <v>422</v>
      </c>
      <c r="C347" s="25" t="s">
        <v>43</v>
      </c>
      <c r="D347" s="25" t="s">
        <v>44</v>
      </c>
      <c r="E347" s="25" t="s">
        <v>2</v>
      </c>
      <c r="F347" s="26">
        <v>14000</v>
      </c>
    </row>
    <row r="348" spans="1:6" ht="22.5" customHeight="1" x14ac:dyDescent="0.2">
      <c r="A348" s="23">
        <v>46243</v>
      </c>
      <c r="B348" s="24" t="s">
        <v>98</v>
      </c>
      <c r="C348" s="25" t="s">
        <v>43</v>
      </c>
      <c r="D348" s="25" t="s">
        <v>44</v>
      </c>
      <c r="E348" s="25" t="s">
        <v>8</v>
      </c>
      <c r="F348" s="26">
        <v>17000</v>
      </c>
    </row>
    <row r="349" spans="1:6" ht="22.5" customHeight="1" x14ac:dyDescent="0.2">
      <c r="A349" s="23">
        <v>46244</v>
      </c>
      <c r="B349" s="24" t="s">
        <v>483</v>
      </c>
      <c r="C349" s="25" t="s">
        <v>43</v>
      </c>
      <c r="D349" s="25" t="s">
        <v>44</v>
      </c>
      <c r="E349" s="25" t="s">
        <v>2</v>
      </c>
      <c r="F349" s="26">
        <v>20000</v>
      </c>
    </row>
    <row r="350" spans="1:6" ht="22.5" customHeight="1" x14ac:dyDescent="0.2">
      <c r="A350" s="23">
        <v>46244</v>
      </c>
      <c r="B350" s="24" t="s">
        <v>483</v>
      </c>
      <c r="C350" s="25" t="s">
        <v>43</v>
      </c>
      <c r="D350" s="25" t="s">
        <v>44</v>
      </c>
      <c r="E350" s="25" t="s">
        <v>2</v>
      </c>
      <c r="F350" s="26">
        <v>20000</v>
      </c>
    </row>
    <row r="351" spans="1:6" ht="22.5" customHeight="1" x14ac:dyDescent="0.2">
      <c r="A351" s="23">
        <v>46244</v>
      </c>
      <c r="B351" s="24" t="s">
        <v>422</v>
      </c>
      <c r="C351" s="25" t="s">
        <v>43</v>
      </c>
      <c r="D351" s="25" t="s">
        <v>44</v>
      </c>
      <c r="E351" s="25" t="s">
        <v>2</v>
      </c>
      <c r="F351" s="26">
        <v>15000</v>
      </c>
    </row>
    <row r="352" spans="1:6" ht="22.5" customHeight="1" x14ac:dyDescent="0.2">
      <c r="A352" s="23">
        <v>46244</v>
      </c>
      <c r="B352" s="24" t="s">
        <v>487</v>
      </c>
      <c r="C352" s="25" t="s">
        <v>43</v>
      </c>
      <c r="D352" s="25" t="s">
        <v>44</v>
      </c>
      <c r="E352" s="25" t="s">
        <v>8</v>
      </c>
      <c r="F352" s="26">
        <v>11000</v>
      </c>
    </row>
    <row r="353" spans="1:6" ht="22.5" customHeight="1" x14ac:dyDescent="0.2">
      <c r="A353" s="23">
        <v>46245</v>
      </c>
      <c r="B353" s="24" t="s">
        <v>248</v>
      </c>
      <c r="C353" s="25" t="s">
        <v>43</v>
      </c>
      <c r="D353" s="25" t="s">
        <v>44</v>
      </c>
      <c r="E353" s="25" t="s">
        <v>9</v>
      </c>
      <c r="F353" s="26">
        <v>1522</v>
      </c>
    </row>
    <row r="354" spans="1:6" ht="22.5" customHeight="1" x14ac:dyDescent="0.2">
      <c r="A354" s="23">
        <v>46254</v>
      </c>
      <c r="B354" s="24" t="s">
        <v>490</v>
      </c>
      <c r="C354" s="25" t="s">
        <v>43</v>
      </c>
      <c r="D354" s="25" t="s">
        <v>44</v>
      </c>
      <c r="E354" s="25" t="s">
        <v>0</v>
      </c>
      <c r="F354" s="26">
        <v>6000</v>
      </c>
    </row>
    <row r="355" spans="1:6" ht="22.5" customHeight="1" x14ac:dyDescent="0.2">
      <c r="A355" s="23">
        <v>46255</v>
      </c>
      <c r="B355" s="24" t="s">
        <v>493</v>
      </c>
      <c r="C355" s="25" t="s">
        <v>43</v>
      </c>
      <c r="D355" s="25" t="s">
        <v>39</v>
      </c>
      <c r="E355" s="35" t="s">
        <v>20</v>
      </c>
      <c r="F355" s="26">
        <v>300000</v>
      </c>
    </row>
    <row r="356" spans="1:6" ht="22.5" customHeight="1" x14ac:dyDescent="0.2">
      <c r="A356" s="23">
        <v>46255</v>
      </c>
      <c r="B356" s="24" t="s">
        <v>18</v>
      </c>
      <c r="C356" s="25" t="s">
        <v>43</v>
      </c>
      <c r="D356" s="25" t="s">
        <v>44</v>
      </c>
      <c r="E356" s="25" t="s">
        <v>8</v>
      </c>
      <c r="F356" s="26">
        <v>17000</v>
      </c>
    </row>
    <row r="357" spans="1:6" ht="22.5" customHeight="1" x14ac:dyDescent="0.2">
      <c r="A357" s="23">
        <v>46255</v>
      </c>
      <c r="B357" s="24" t="s">
        <v>58</v>
      </c>
      <c r="C357" s="25" t="s">
        <v>43</v>
      </c>
      <c r="D357" s="25" t="s">
        <v>44</v>
      </c>
      <c r="E357" s="25" t="s">
        <v>9</v>
      </c>
      <c r="F357" s="26">
        <v>250000</v>
      </c>
    </row>
    <row r="358" spans="1:6" ht="22.5" customHeight="1" x14ac:dyDescent="0.2">
      <c r="A358" s="23">
        <v>46255</v>
      </c>
      <c r="B358" s="24" t="s">
        <v>58</v>
      </c>
      <c r="C358" s="25" t="s">
        <v>43</v>
      </c>
      <c r="D358" s="25" t="s">
        <v>39</v>
      </c>
      <c r="E358" s="25" t="s">
        <v>9</v>
      </c>
      <c r="F358" s="26">
        <v>2000</v>
      </c>
    </row>
    <row r="359" spans="1:6" ht="22.5" customHeight="1" x14ac:dyDescent="0.2">
      <c r="A359" s="23">
        <v>46256</v>
      </c>
      <c r="B359" s="24" t="s">
        <v>498</v>
      </c>
      <c r="C359" s="25" t="s">
        <v>43</v>
      </c>
      <c r="D359" s="25" t="s">
        <v>44</v>
      </c>
      <c r="E359" s="25" t="s">
        <v>2</v>
      </c>
      <c r="F359" s="26">
        <v>20000</v>
      </c>
    </row>
    <row r="360" spans="1:6" ht="22.5" customHeight="1" x14ac:dyDescent="0.2">
      <c r="A360" s="23">
        <v>46257</v>
      </c>
      <c r="B360" s="24" t="s">
        <v>422</v>
      </c>
      <c r="C360" s="25" t="s">
        <v>43</v>
      </c>
      <c r="D360" s="25" t="s">
        <v>44</v>
      </c>
      <c r="E360" s="25" t="s">
        <v>2</v>
      </c>
      <c r="F360" s="26">
        <v>9000</v>
      </c>
    </row>
    <row r="361" spans="1:6" ht="22.5" customHeight="1" x14ac:dyDescent="0.2">
      <c r="A361" s="23">
        <v>46266</v>
      </c>
      <c r="B361" s="24" t="s">
        <v>500</v>
      </c>
      <c r="C361" s="25" t="s">
        <v>43</v>
      </c>
      <c r="D361" s="25" t="s">
        <v>39</v>
      </c>
      <c r="E361" s="35" t="s">
        <v>985</v>
      </c>
      <c r="F361" s="26">
        <v>4348235</v>
      </c>
    </row>
    <row r="362" spans="1:6" ht="22.5" customHeight="1" x14ac:dyDescent="0.2">
      <c r="A362" s="23">
        <v>46266</v>
      </c>
      <c r="B362" s="24" t="s">
        <v>501</v>
      </c>
      <c r="C362" s="25" t="s">
        <v>43</v>
      </c>
      <c r="D362" s="25" t="s">
        <v>44</v>
      </c>
      <c r="E362" s="25" t="s">
        <v>8</v>
      </c>
      <c r="F362" s="26">
        <v>17000</v>
      </c>
    </row>
    <row r="363" spans="1:6" ht="22.5" customHeight="1" x14ac:dyDescent="0.2">
      <c r="A363" s="23">
        <v>46266</v>
      </c>
      <c r="B363" s="24" t="s">
        <v>503</v>
      </c>
      <c r="C363" s="25" t="s">
        <v>43</v>
      </c>
      <c r="D363" s="25" t="s">
        <v>44</v>
      </c>
      <c r="E363" s="25" t="s">
        <v>8</v>
      </c>
      <c r="F363" s="26">
        <v>10000</v>
      </c>
    </row>
    <row r="364" spans="1:6" ht="22.5" customHeight="1" x14ac:dyDescent="0.2">
      <c r="A364" s="23">
        <v>46266</v>
      </c>
      <c r="B364" s="24" t="s">
        <v>58</v>
      </c>
      <c r="C364" s="25" t="s">
        <v>43</v>
      </c>
      <c r="D364" s="25" t="s">
        <v>44</v>
      </c>
      <c r="E364" s="25" t="s">
        <v>9</v>
      </c>
      <c r="F364" s="26">
        <f>1512398-300000</f>
        <v>1212398</v>
      </c>
    </row>
    <row r="365" spans="1:6" ht="22.5" customHeight="1" x14ac:dyDescent="0.2">
      <c r="A365" s="23">
        <v>46266</v>
      </c>
      <c r="B365" s="24" t="s">
        <v>493</v>
      </c>
      <c r="C365" s="25" t="s">
        <v>43</v>
      </c>
      <c r="D365" s="25" t="s">
        <v>44</v>
      </c>
      <c r="E365" s="25" t="s">
        <v>0</v>
      </c>
      <c r="F365" s="26">
        <v>600000</v>
      </c>
    </row>
    <row r="366" spans="1:6" ht="22.5" customHeight="1" x14ac:dyDescent="0.2">
      <c r="A366" s="23">
        <v>46266</v>
      </c>
      <c r="B366" s="24" t="s">
        <v>508</v>
      </c>
      <c r="C366" s="25" t="s">
        <v>43</v>
      </c>
      <c r="D366" s="25" t="s">
        <v>44</v>
      </c>
      <c r="E366" s="25" t="s">
        <v>0</v>
      </c>
      <c r="F366" s="31">
        <f>70000+2500</f>
        <v>72500</v>
      </c>
    </row>
    <row r="367" spans="1:6" ht="22.5" customHeight="1" x14ac:dyDescent="0.2">
      <c r="A367" s="23">
        <v>46266</v>
      </c>
      <c r="B367" s="24" t="s">
        <v>510</v>
      </c>
      <c r="C367" s="25" t="s">
        <v>43</v>
      </c>
      <c r="D367" s="25" t="s">
        <v>44</v>
      </c>
      <c r="E367" s="25" t="s">
        <v>3</v>
      </c>
      <c r="F367" s="26">
        <v>174700</v>
      </c>
    </row>
    <row r="368" spans="1:6" ht="22.5" customHeight="1" x14ac:dyDescent="0.2">
      <c r="A368" s="23">
        <v>46266</v>
      </c>
      <c r="B368" s="24" t="s">
        <v>511</v>
      </c>
      <c r="C368" s="25" t="s">
        <v>43</v>
      </c>
      <c r="D368" s="25" t="s">
        <v>44</v>
      </c>
      <c r="E368" s="25" t="s">
        <v>0</v>
      </c>
      <c r="F368" s="26">
        <v>38206</v>
      </c>
    </row>
    <row r="369" spans="1:6" ht="22.5" customHeight="1" x14ac:dyDescent="0.2">
      <c r="A369" s="23">
        <v>46266</v>
      </c>
      <c r="B369" s="24" t="s">
        <v>512</v>
      </c>
      <c r="C369" s="25" t="s">
        <v>43</v>
      </c>
      <c r="D369" s="25" t="s">
        <v>44</v>
      </c>
      <c r="E369" s="25" t="s">
        <v>0</v>
      </c>
      <c r="F369" s="26">
        <v>32853</v>
      </c>
    </row>
    <row r="370" spans="1:6" ht="22.5" customHeight="1" x14ac:dyDescent="0.2">
      <c r="A370" s="23">
        <v>46266</v>
      </c>
      <c r="B370" s="24" t="s">
        <v>513</v>
      </c>
      <c r="C370" s="25" t="s">
        <v>43</v>
      </c>
      <c r="D370" s="25" t="s">
        <v>44</v>
      </c>
      <c r="E370" s="25" t="s">
        <v>0</v>
      </c>
      <c r="F370" s="26">
        <v>624145</v>
      </c>
    </row>
    <row r="371" spans="1:6" ht="22.5" customHeight="1" x14ac:dyDescent="0.2">
      <c r="A371" s="23">
        <v>46266</v>
      </c>
      <c r="B371" s="24" t="s">
        <v>514</v>
      </c>
      <c r="C371" s="25" t="s">
        <v>43</v>
      </c>
      <c r="D371" s="25" t="s">
        <v>44</v>
      </c>
      <c r="E371" s="25" t="s">
        <v>0</v>
      </c>
      <c r="F371" s="26">
        <v>92333</v>
      </c>
    </row>
    <row r="372" spans="1:6" ht="22.5" customHeight="1" x14ac:dyDescent="0.2">
      <c r="A372" s="23">
        <v>46266</v>
      </c>
      <c r="B372" s="24" t="s">
        <v>515</v>
      </c>
      <c r="C372" s="25" t="s">
        <v>43</v>
      </c>
      <c r="D372" s="25" t="s">
        <v>44</v>
      </c>
      <c r="E372" s="25" t="s">
        <v>0</v>
      </c>
      <c r="F372" s="31">
        <f>150000+1750</f>
        <v>151750</v>
      </c>
    </row>
    <row r="373" spans="1:6" ht="22.5" customHeight="1" x14ac:dyDescent="0.2">
      <c r="A373" s="23">
        <v>46268</v>
      </c>
      <c r="B373" s="24" t="s">
        <v>58</v>
      </c>
      <c r="C373" s="25" t="s">
        <v>43</v>
      </c>
      <c r="D373" s="25" t="s">
        <v>39</v>
      </c>
      <c r="E373" s="25" t="s">
        <v>9</v>
      </c>
      <c r="F373" s="26">
        <v>100000</v>
      </c>
    </row>
    <row r="374" spans="1:6" ht="22.5" customHeight="1" x14ac:dyDescent="0.2">
      <c r="A374" s="23">
        <v>46268</v>
      </c>
      <c r="B374" s="24" t="s">
        <v>518</v>
      </c>
      <c r="C374" s="25" t="s">
        <v>43</v>
      </c>
      <c r="D374" s="25" t="s">
        <v>44</v>
      </c>
      <c r="E374" s="25" t="s">
        <v>6</v>
      </c>
      <c r="F374" s="26">
        <v>65000</v>
      </c>
    </row>
    <row r="375" spans="1:6" ht="22.5" customHeight="1" x14ac:dyDescent="0.2">
      <c r="A375" s="23">
        <v>46268</v>
      </c>
      <c r="B375" s="24" t="s">
        <v>521</v>
      </c>
      <c r="C375" s="25" t="s">
        <v>43</v>
      </c>
      <c r="D375" s="25" t="s">
        <v>44</v>
      </c>
      <c r="E375" s="25" t="s">
        <v>2</v>
      </c>
      <c r="F375" s="26">
        <v>15000</v>
      </c>
    </row>
    <row r="376" spans="1:6" ht="22.5" customHeight="1" x14ac:dyDescent="0.2">
      <c r="A376" s="23">
        <v>46268</v>
      </c>
      <c r="B376" s="24" t="s">
        <v>522</v>
      </c>
      <c r="C376" s="25" t="s">
        <v>43</v>
      </c>
      <c r="D376" s="25" t="s">
        <v>44</v>
      </c>
      <c r="E376" s="25" t="s">
        <v>3</v>
      </c>
      <c r="F376" s="26">
        <v>24000</v>
      </c>
    </row>
    <row r="377" spans="1:6" ht="22.5" customHeight="1" x14ac:dyDescent="0.2">
      <c r="A377" s="23">
        <v>46269</v>
      </c>
      <c r="B377" s="24" t="s">
        <v>58</v>
      </c>
      <c r="C377" s="25" t="s">
        <v>43</v>
      </c>
      <c r="D377" s="25" t="s">
        <v>39</v>
      </c>
      <c r="E377" s="25" t="s">
        <v>9</v>
      </c>
      <c r="F377" s="26">
        <v>10000</v>
      </c>
    </row>
    <row r="378" spans="1:6" ht="22.5" customHeight="1" x14ac:dyDescent="0.2">
      <c r="A378" s="23">
        <v>46269</v>
      </c>
      <c r="B378" s="24" t="s">
        <v>523</v>
      </c>
      <c r="C378" s="25" t="s">
        <v>43</v>
      </c>
      <c r="D378" s="25" t="s">
        <v>44</v>
      </c>
      <c r="E378" s="25" t="s">
        <v>8</v>
      </c>
      <c r="F378" s="26">
        <v>17000</v>
      </c>
    </row>
    <row r="379" spans="1:6" ht="22.5" customHeight="1" x14ac:dyDescent="0.2">
      <c r="A379" s="23">
        <v>46269</v>
      </c>
      <c r="B379" s="24" t="s">
        <v>525</v>
      </c>
      <c r="C379" s="25" t="s">
        <v>43</v>
      </c>
      <c r="D379" s="25" t="s">
        <v>44</v>
      </c>
      <c r="E379" s="25" t="s">
        <v>0</v>
      </c>
      <c r="F379" s="26">
        <v>233100</v>
      </c>
    </row>
    <row r="380" spans="1:6" ht="22.5" customHeight="1" x14ac:dyDescent="0.2">
      <c r="A380" s="23">
        <v>46269</v>
      </c>
      <c r="B380" s="24" t="s">
        <v>527</v>
      </c>
      <c r="C380" s="25" t="s">
        <v>43</v>
      </c>
      <c r="D380" s="25" t="s">
        <v>44</v>
      </c>
      <c r="E380" s="25" t="s">
        <v>0</v>
      </c>
      <c r="F380" s="26">
        <v>75000</v>
      </c>
    </row>
    <row r="381" spans="1:6" ht="22.5" customHeight="1" x14ac:dyDescent="0.2">
      <c r="A381" s="23">
        <v>46270</v>
      </c>
      <c r="B381" s="24" t="s">
        <v>528</v>
      </c>
      <c r="C381" s="25" t="s">
        <v>43</v>
      </c>
      <c r="D381" s="25" t="s">
        <v>44</v>
      </c>
      <c r="E381" s="25" t="s">
        <v>0</v>
      </c>
      <c r="F381" s="26">
        <v>1000481</v>
      </c>
    </row>
    <row r="382" spans="1:6" ht="22.5" customHeight="1" x14ac:dyDescent="0.2">
      <c r="A382" s="23">
        <v>46279</v>
      </c>
      <c r="B382" s="24" t="s">
        <v>529</v>
      </c>
      <c r="C382" s="25" t="s">
        <v>43</v>
      </c>
      <c r="D382" s="25" t="s">
        <v>39</v>
      </c>
      <c r="E382" s="35" t="s">
        <v>20</v>
      </c>
      <c r="F382" s="26">
        <v>500000</v>
      </c>
    </row>
    <row r="383" spans="1:6" ht="22.5" customHeight="1" x14ac:dyDescent="0.2">
      <c r="A383" s="23">
        <v>46279</v>
      </c>
      <c r="B383" s="24" t="s">
        <v>58</v>
      </c>
      <c r="C383" s="25" t="s">
        <v>43</v>
      </c>
      <c r="D383" s="25" t="s">
        <v>44</v>
      </c>
      <c r="E383" s="25" t="s">
        <v>9</v>
      </c>
      <c r="F383" s="26">
        <v>502769</v>
      </c>
    </row>
    <row r="384" spans="1:6" ht="22.5" customHeight="1" x14ac:dyDescent="0.2">
      <c r="A384" s="23">
        <v>46281</v>
      </c>
      <c r="B384" s="24" t="s">
        <v>259</v>
      </c>
      <c r="C384" s="25" t="s">
        <v>43</v>
      </c>
      <c r="D384" s="25" t="s">
        <v>39</v>
      </c>
      <c r="E384" s="35" t="s">
        <v>20</v>
      </c>
      <c r="F384" s="26">
        <v>100000</v>
      </c>
    </row>
    <row r="385" spans="1:6" ht="22.5" customHeight="1" x14ac:dyDescent="0.2">
      <c r="A385" s="23">
        <v>46283</v>
      </c>
      <c r="B385" s="24" t="s">
        <v>381</v>
      </c>
      <c r="C385" s="25" t="s">
        <v>43</v>
      </c>
      <c r="D385" s="25" t="s">
        <v>44</v>
      </c>
      <c r="E385" s="25" t="s">
        <v>8</v>
      </c>
      <c r="F385" s="26">
        <v>17000</v>
      </c>
    </row>
    <row r="386" spans="1:6" ht="22.5" customHeight="1" x14ac:dyDescent="0.2">
      <c r="A386" s="23">
        <v>46284</v>
      </c>
      <c r="B386" s="24" t="s">
        <v>532</v>
      </c>
      <c r="C386" s="25" t="s">
        <v>43</v>
      </c>
      <c r="D386" s="25" t="s">
        <v>44</v>
      </c>
      <c r="E386" s="25" t="s">
        <v>3</v>
      </c>
      <c r="F386" s="26">
        <v>36000</v>
      </c>
    </row>
    <row r="387" spans="1:6" ht="22.5" customHeight="1" x14ac:dyDescent="0.2">
      <c r="A387" s="23">
        <v>46284</v>
      </c>
      <c r="B387" s="24" t="s">
        <v>534</v>
      </c>
      <c r="C387" s="25" t="s">
        <v>43</v>
      </c>
      <c r="D387" s="25" t="s">
        <v>44</v>
      </c>
      <c r="E387" s="25" t="s">
        <v>2</v>
      </c>
      <c r="F387" s="26">
        <v>10000</v>
      </c>
    </row>
    <row r="388" spans="1:6" ht="22.5" customHeight="1" x14ac:dyDescent="0.2">
      <c r="A388" s="23">
        <v>46284</v>
      </c>
      <c r="B388" s="24" t="s">
        <v>259</v>
      </c>
      <c r="C388" s="25" t="s">
        <v>43</v>
      </c>
      <c r="D388" s="25" t="s">
        <v>39</v>
      </c>
      <c r="E388" s="35" t="s">
        <v>20</v>
      </c>
      <c r="F388" s="26">
        <v>150000</v>
      </c>
    </row>
    <row r="389" spans="1:6" ht="22.5" customHeight="1" x14ac:dyDescent="0.2">
      <c r="A389" s="23">
        <v>46284</v>
      </c>
      <c r="B389" s="24" t="s">
        <v>58</v>
      </c>
      <c r="C389" s="25" t="s">
        <v>43</v>
      </c>
      <c r="D389" s="25" t="s">
        <v>44</v>
      </c>
      <c r="E389" s="25" t="s">
        <v>9</v>
      </c>
      <c r="F389" s="26">
        <v>100000</v>
      </c>
    </row>
    <row r="390" spans="1:6" ht="22.5" customHeight="1" x14ac:dyDescent="0.2">
      <c r="A390" s="23">
        <v>46284</v>
      </c>
      <c r="B390" s="24" t="s">
        <v>90</v>
      </c>
      <c r="C390" s="25" t="s">
        <v>43</v>
      </c>
      <c r="D390" s="25" t="s">
        <v>44</v>
      </c>
      <c r="E390" s="25" t="s">
        <v>2</v>
      </c>
      <c r="F390" s="26">
        <v>15000</v>
      </c>
    </row>
    <row r="391" spans="1:6" ht="22.5" customHeight="1" x14ac:dyDescent="0.2">
      <c r="A391" s="23">
        <v>46284</v>
      </c>
      <c r="B391" s="24" t="s">
        <v>387</v>
      </c>
      <c r="C391" s="25" t="s">
        <v>43</v>
      </c>
      <c r="D391" s="25" t="s">
        <v>44</v>
      </c>
      <c r="E391" s="25" t="s">
        <v>8</v>
      </c>
      <c r="F391" s="26">
        <v>17000</v>
      </c>
    </row>
    <row r="392" spans="1:6" ht="22.5" customHeight="1" x14ac:dyDescent="0.2">
      <c r="A392" s="23">
        <v>46284</v>
      </c>
      <c r="B392" s="24" t="s">
        <v>537</v>
      </c>
      <c r="C392" s="25" t="s">
        <v>43</v>
      </c>
      <c r="D392" s="25" t="s">
        <v>44</v>
      </c>
      <c r="E392" s="25" t="s">
        <v>0</v>
      </c>
      <c r="F392" s="26">
        <v>51750</v>
      </c>
    </row>
    <row r="393" spans="1:6" ht="22.5" customHeight="1" x14ac:dyDescent="0.2">
      <c r="A393" s="23"/>
      <c r="B393" s="34"/>
      <c r="C393" s="35"/>
      <c r="D393" s="35"/>
      <c r="E393" s="35"/>
      <c r="F393" s="31"/>
    </row>
    <row r="394" spans="1:6" ht="22.5" customHeight="1" x14ac:dyDescent="0.2">
      <c r="A394" s="23"/>
      <c r="B394" s="34"/>
      <c r="C394" s="35"/>
      <c r="D394" s="35"/>
      <c r="E394" s="35"/>
      <c r="F394" s="31"/>
    </row>
    <row r="395" spans="1:6" ht="22.5" customHeight="1" x14ac:dyDescent="0.2">
      <c r="A395" s="23"/>
      <c r="B395" s="34"/>
      <c r="C395" s="35"/>
      <c r="D395" s="35"/>
      <c r="E395" s="35"/>
      <c r="F395" s="31"/>
    </row>
    <row r="396" spans="1:6" ht="22.5" customHeight="1" x14ac:dyDescent="0.2">
      <c r="A396" s="23"/>
      <c r="B396" s="34"/>
      <c r="C396" s="35"/>
      <c r="D396" s="35"/>
      <c r="E396" s="35"/>
      <c r="F396" s="31"/>
    </row>
    <row r="397" spans="1:6" ht="22.5" customHeight="1" x14ac:dyDescent="0.2">
      <c r="A397" s="23"/>
      <c r="B397" s="34"/>
      <c r="C397" s="35"/>
      <c r="D397" s="35"/>
      <c r="E397" s="35"/>
      <c r="F397" s="31"/>
    </row>
    <row r="398" spans="1:6" ht="22.5" customHeight="1" x14ac:dyDescent="0.2">
      <c r="A398" s="23"/>
      <c r="B398" s="34"/>
      <c r="C398" s="35"/>
      <c r="D398" s="35"/>
      <c r="E398" s="35"/>
      <c r="F398" s="31"/>
    </row>
    <row r="399" spans="1:6" ht="22.5" customHeight="1" x14ac:dyDescent="0.2">
      <c r="A399" s="23"/>
      <c r="B399" s="34"/>
      <c r="C399" s="35"/>
      <c r="D399" s="35"/>
      <c r="E399" s="35"/>
      <c r="F399" s="31"/>
    </row>
    <row r="400" spans="1:6" ht="22.5" customHeight="1" x14ac:dyDescent="0.2">
      <c r="A400" s="23"/>
      <c r="B400" s="34"/>
      <c r="C400" s="35"/>
      <c r="D400" s="35"/>
      <c r="E400" s="35"/>
      <c r="F400" s="31"/>
    </row>
    <row r="401" spans="1:6" ht="22.5" customHeight="1" x14ac:dyDescent="0.2">
      <c r="A401" s="23"/>
      <c r="B401" s="34"/>
      <c r="C401" s="35"/>
      <c r="D401" s="35"/>
      <c r="E401" s="35"/>
      <c r="F401" s="31"/>
    </row>
    <row r="402" spans="1:6" ht="22.5" customHeight="1" x14ac:dyDescent="0.2">
      <c r="A402" s="23"/>
      <c r="B402" s="34"/>
      <c r="C402" s="35"/>
      <c r="D402" s="35"/>
      <c r="E402" s="35"/>
      <c r="F402" s="31"/>
    </row>
    <row r="403" spans="1:6" ht="22.5" customHeight="1" x14ac:dyDescent="0.2">
      <c r="A403" s="23"/>
      <c r="B403" s="34"/>
      <c r="C403" s="35"/>
      <c r="D403" s="35"/>
      <c r="E403" s="35"/>
      <c r="F403" s="31"/>
    </row>
    <row r="404" spans="1:6" ht="22.5" customHeight="1" x14ac:dyDescent="0.2">
      <c r="A404" s="23"/>
      <c r="B404" s="34"/>
      <c r="C404" s="35"/>
      <c r="D404" s="35"/>
      <c r="E404" s="35"/>
      <c r="F404" s="31"/>
    </row>
    <row r="405" spans="1:6" ht="22.5" customHeight="1" x14ac:dyDescent="0.2">
      <c r="A405" s="23"/>
      <c r="B405" s="34"/>
      <c r="C405" s="35"/>
      <c r="D405" s="35"/>
      <c r="E405" s="35"/>
      <c r="F405" s="31"/>
    </row>
    <row r="406" spans="1:6" ht="22.5" customHeight="1" x14ac:dyDescent="0.2">
      <c r="A406" s="23"/>
      <c r="B406" s="34"/>
      <c r="C406" s="35"/>
      <c r="D406" s="35"/>
      <c r="E406" s="35"/>
      <c r="F406" s="31"/>
    </row>
    <row r="407" spans="1:6" ht="22.5" customHeight="1" x14ac:dyDescent="0.2">
      <c r="A407" s="23"/>
      <c r="B407" s="34"/>
      <c r="C407" s="35"/>
      <c r="D407" s="35"/>
      <c r="E407" s="35"/>
      <c r="F407" s="31"/>
    </row>
    <row r="408" spans="1:6" ht="22.5" customHeight="1" x14ac:dyDescent="0.2">
      <c r="A408" s="23"/>
      <c r="B408" s="34"/>
      <c r="C408" s="35"/>
      <c r="D408" s="35"/>
      <c r="E408" s="35"/>
      <c r="F408" s="31"/>
    </row>
    <row r="409" spans="1:6" ht="22.5" customHeight="1" x14ac:dyDescent="0.2">
      <c r="A409" s="23"/>
      <c r="B409" s="34"/>
      <c r="C409" s="35"/>
      <c r="D409" s="35"/>
      <c r="E409" s="35"/>
      <c r="F409" s="31"/>
    </row>
    <row r="410" spans="1:6" ht="22.5" customHeight="1" x14ac:dyDescent="0.2">
      <c r="A410" s="23"/>
      <c r="B410" s="34"/>
      <c r="C410" s="35"/>
      <c r="D410" s="35"/>
      <c r="E410" s="35"/>
      <c r="F410" s="31"/>
    </row>
    <row r="411" spans="1:6" ht="22.5" customHeight="1" x14ac:dyDescent="0.2">
      <c r="A411" s="23"/>
      <c r="B411" s="34"/>
      <c r="C411" s="35"/>
      <c r="D411" s="35"/>
      <c r="E411" s="35"/>
      <c r="F411" s="31"/>
    </row>
    <row r="412" spans="1:6" ht="22.5" customHeight="1" x14ac:dyDescent="0.2">
      <c r="A412" s="23"/>
      <c r="B412" s="34"/>
      <c r="C412" s="35"/>
      <c r="D412" s="35"/>
      <c r="E412" s="35"/>
      <c r="F412" s="31"/>
    </row>
    <row r="413" spans="1:6" ht="22.5" customHeight="1" x14ac:dyDescent="0.2">
      <c r="A413" s="23"/>
      <c r="B413" s="34"/>
      <c r="C413" s="35"/>
      <c r="D413" s="35"/>
      <c r="E413" s="35"/>
      <c r="F413" s="31"/>
    </row>
    <row r="414" spans="1:6" ht="22.5" customHeight="1" x14ac:dyDescent="0.2">
      <c r="A414" s="23"/>
      <c r="B414" s="34"/>
      <c r="C414" s="35"/>
      <c r="D414" s="35"/>
      <c r="E414" s="35"/>
      <c r="F414" s="31"/>
    </row>
    <row r="415" spans="1:6" ht="22.5" customHeight="1" x14ac:dyDescent="0.2">
      <c r="A415" s="23"/>
      <c r="B415" s="34"/>
      <c r="C415" s="35"/>
      <c r="D415" s="35"/>
      <c r="E415" s="35"/>
      <c r="F415" s="31"/>
    </row>
    <row r="416" spans="1:6" ht="22.5" customHeight="1" x14ac:dyDescent="0.2">
      <c r="A416" s="23"/>
      <c r="B416" s="34"/>
      <c r="C416" s="35"/>
      <c r="D416" s="35"/>
      <c r="E416" s="35"/>
      <c r="F416" s="31"/>
    </row>
    <row r="417" spans="1:6" ht="22.5" customHeight="1" x14ac:dyDescent="0.2">
      <c r="A417" s="23"/>
      <c r="B417" s="34"/>
      <c r="C417" s="35"/>
      <c r="D417" s="35"/>
      <c r="E417" s="35"/>
      <c r="F417" s="31"/>
    </row>
    <row r="418" spans="1:6" ht="22.5" customHeight="1" x14ac:dyDescent="0.2">
      <c r="A418" s="23"/>
      <c r="B418" s="34"/>
      <c r="C418" s="35"/>
      <c r="D418" s="35"/>
      <c r="E418" s="35"/>
      <c r="F418" s="31"/>
    </row>
    <row r="419" spans="1:6" ht="22.5" customHeight="1" x14ac:dyDescent="0.2">
      <c r="A419" s="23"/>
      <c r="B419" s="34"/>
      <c r="C419" s="35"/>
      <c r="D419" s="35"/>
      <c r="E419" s="35"/>
      <c r="F419" s="31"/>
    </row>
    <row r="420" spans="1:6" ht="22.5" customHeight="1" x14ac:dyDescent="0.2">
      <c r="A420" s="23"/>
      <c r="B420" s="34"/>
      <c r="C420" s="35"/>
      <c r="D420" s="35"/>
      <c r="E420" s="35"/>
      <c r="F420" s="31"/>
    </row>
    <row r="421" spans="1:6" ht="22.5" customHeight="1" x14ac:dyDescent="0.2">
      <c r="A421" s="23"/>
      <c r="B421" s="34"/>
      <c r="C421" s="35"/>
      <c r="D421" s="35"/>
      <c r="E421" s="35"/>
      <c r="F421" s="31"/>
    </row>
    <row r="422" spans="1:6" ht="22.5" customHeight="1" x14ac:dyDescent="0.2">
      <c r="A422" s="23"/>
      <c r="B422" s="34"/>
      <c r="C422" s="35"/>
      <c r="D422" s="35"/>
      <c r="E422" s="35"/>
      <c r="F422" s="31"/>
    </row>
    <row r="423" spans="1:6" ht="22.5" customHeight="1" x14ac:dyDescent="0.2">
      <c r="A423" s="23"/>
      <c r="B423" s="34"/>
      <c r="C423" s="35"/>
      <c r="D423" s="35"/>
      <c r="E423" s="35"/>
      <c r="F423" s="31"/>
    </row>
    <row r="424" spans="1:6" ht="22.5" customHeight="1" x14ac:dyDescent="0.2">
      <c r="A424" s="23"/>
      <c r="B424" s="34"/>
      <c r="C424" s="35"/>
      <c r="D424" s="35"/>
      <c r="E424" s="35"/>
      <c r="F424" s="31"/>
    </row>
    <row r="425" spans="1:6" ht="22.5" customHeight="1" x14ac:dyDescent="0.2">
      <c r="A425" s="23"/>
      <c r="B425" s="34"/>
      <c r="C425" s="35"/>
      <c r="D425" s="35"/>
      <c r="E425" s="35"/>
      <c r="F425" s="31"/>
    </row>
    <row r="426" spans="1:6" ht="22.5" customHeight="1" x14ac:dyDescent="0.2">
      <c r="A426" s="23"/>
      <c r="B426" s="34"/>
      <c r="C426" s="35"/>
      <c r="D426" s="35"/>
      <c r="E426" s="35"/>
      <c r="F426" s="31"/>
    </row>
    <row r="427" spans="1:6" ht="22.5" customHeight="1" x14ac:dyDescent="0.2">
      <c r="A427" s="23"/>
      <c r="B427" s="34"/>
      <c r="C427" s="35"/>
      <c r="D427" s="35"/>
      <c r="E427" s="35"/>
      <c r="F427" s="31"/>
    </row>
    <row r="428" spans="1:6" ht="22.5" customHeight="1" x14ac:dyDescent="0.2">
      <c r="A428" s="23"/>
      <c r="B428" s="34"/>
      <c r="C428" s="35"/>
      <c r="D428" s="35"/>
      <c r="E428" s="35"/>
      <c r="F428" s="31"/>
    </row>
    <row r="429" spans="1:6" ht="22.5" customHeight="1" x14ac:dyDescent="0.2">
      <c r="A429" s="23"/>
      <c r="B429" s="34"/>
      <c r="C429" s="35"/>
      <c r="D429" s="35"/>
      <c r="E429" s="35"/>
      <c r="F429" s="31"/>
    </row>
    <row r="430" spans="1:6" ht="22.5" customHeight="1" x14ac:dyDescent="0.2">
      <c r="A430" s="23"/>
      <c r="B430" s="34"/>
      <c r="C430" s="35"/>
      <c r="D430" s="35"/>
      <c r="E430" s="35"/>
      <c r="F430" s="31"/>
    </row>
    <row r="431" spans="1:6" ht="22.5" customHeight="1" x14ac:dyDescent="0.2">
      <c r="A431" s="23"/>
      <c r="B431" s="34"/>
      <c r="C431" s="35"/>
      <c r="D431" s="35"/>
      <c r="E431" s="35"/>
      <c r="F431" s="31"/>
    </row>
    <row r="432" spans="1:6" ht="22.5" customHeight="1" x14ac:dyDescent="0.2">
      <c r="A432" s="23"/>
      <c r="B432" s="34"/>
      <c r="C432" s="35"/>
      <c r="D432" s="35"/>
      <c r="E432" s="35"/>
      <c r="F432" s="31"/>
    </row>
    <row r="433" spans="1:6" ht="22.5" customHeight="1" x14ac:dyDescent="0.2">
      <c r="A433" s="23"/>
      <c r="B433" s="34"/>
      <c r="C433" s="35"/>
      <c r="D433" s="35"/>
      <c r="E433" s="35"/>
      <c r="F433" s="31"/>
    </row>
    <row r="434" spans="1:6" ht="22.5" customHeight="1" x14ac:dyDescent="0.2">
      <c r="A434" s="23"/>
      <c r="B434" s="34"/>
      <c r="C434" s="35"/>
      <c r="D434" s="35"/>
      <c r="E434" s="35"/>
      <c r="F434" s="31"/>
    </row>
    <row r="435" spans="1:6" ht="22.5" customHeight="1" x14ac:dyDescent="0.2">
      <c r="A435" s="23"/>
      <c r="B435" s="34"/>
      <c r="C435" s="35"/>
      <c r="D435" s="35"/>
      <c r="E435" s="35"/>
      <c r="F435" s="31"/>
    </row>
    <row r="436" spans="1:6" ht="22.5" customHeight="1" x14ac:dyDescent="0.2">
      <c r="A436" s="23"/>
      <c r="B436" s="34"/>
      <c r="C436" s="35"/>
      <c r="D436" s="35"/>
      <c r="E436" s="35"/>
      <c r="F436" s="31"/>
    </row>
    <row r="437" spans="1:6" ht="22.5" customHeight="1" x14ac:dyDescent="0.2">
      <c r="A437" s="23"/>
      <c r="B437" s="34"/>
      <c r="C437" s="35"/>
      <c r="D437" s="35"/>
      <c r="E437" s="35"/>
      <c r="F437" s="31"/>
    </row>
    <row r="438" spans="1:6" ht="22.5" customHeight="1" x14ac:dyDescent="0.2">
      <c r="A438" s="23"/>
      <c r="B438" s="34"/>
      <c r="C438" s="35"/>
      <c r="D438" s="35"/>
      <c r="E438" s="35"/>
      <c r="F438" s="31"/>
    </row>
    <row r="439" spans="1:6" ht="22.5" customHeight="1" x14ac:dyDescent="0.2">
      <c r="A439" s="23"/>
      <c r="B439" s="34"/>
      <c r="C439" s="35"/>
      <c r="D439" s="35"/>
      <c r="E439" s="35"/>
      <c r="F439" s="31"/>
    </row>
    <row r="440" spans="1:6" ht="22.5" customHeight="1" x14ac:dyDescent="0.2">
      <c r="A440" s="23"/>
      <c r="B440" s="34"/>
      <c r="C440" s="35"/>
      <c r="D440" s="35"/>
      <c r="E440" s="35"/>
      <c r="F440" s="31"/>
    </row>
    <row r="441" spans="1:6" ht="22.5" customHeight="1" x14ac:dyDescent="0.2">
      <c r="A441" s="23"/>
      <c r="B441" s="34"/>
      <c r="C441" s="35"/>
      <c r="D441" s="35"/>
      <c r="E441" s="35"/>
      <c r="F441" s="31"/>
    </row>
    <row r="442" spans="1:6" ht="22.5" customHeight="1" x14ac:dyDescent="0.2">
      <c r="A442" s="23"/>
      <c r="B442" s="34"/>
      <c r="C442" s="35"/>
      <c r="D442" s="35"/>
      <c r="E442" s="35"/>
      <c r="F442" s="31"/>
    </row>
    <row r="443" spans="1:6" ht="22.5" customHeight="1" x14ac:dyDescent="0.2">
      <c r="A443" s="23"/>
      <c r="B443" s="34"/>
      <c r="C443" s="35"/>
      <c r="D443" s="35"/>
      <c r="E443" s="35"/>
      <c r="F443" s="31"/>
    </row>
    <row r="444" spans="1:6" ht="22.5" customHeight="1" x14ac:dyDescent="0.2">
      <c r="A444" s="23"/>
      <c r="B444" s="34"/>
      <c r="C444" s="35"/>
      <c r="D444" s="35"/>
      <c r="E444" s="35"/>
      <c r="F444" s="31"/>
    </row>
    <row r="445" spans="1:6" ht="22.5" customHeight="1" x14ac:dyDescent="0.2">
      <c r="A445" s="23"/>
      <c r="B445" s="34"/>
      <c r="C445" s="35"/>
      <c r="D445" s="35"/>
      <c r="E445" s="35"/>
      <c r="F445" s="31"/>
    </row>
    <row r="446" spans="1:6" ht="22.5" customHeight="1" x14ac:dyDescent="0.2">
      <c r="A446" s="23"/>
      <c r="B446" s="34"/>
      <c r="C446" s="35"/>
      <c r="D446" s="35"/>
      <c r="E446" s="35"/>
      <c r="F446" s="31"/>
    </row>
    <row r="447" spans="1:6" ht="22.5" customHeight="1" x14ac:dyDescent="0.2">
      <c r="A447" s="23"/>
      <c r="B447" s="34"/>
      <c r="C447" s="35"/>
      <c r="D447" s="35"/>
      <c r="E447" s="35"/>
      <c r="F447" s="31"/>
    </row>
    <row r="448" spans="1:6" ht="22.5" customHeight="1" x14ac:dyDescent="0.2">
      <c r="A448" s="23"/>
      <c r="B448" s="34"/>
      <c r="C448" s="35"/>
      <c r="D448" s="35"/>
      <c r="E448" s="35"/>
      <c r="F448" s="31"/>
    </row>
    <row r="449" spans="1:6" ht="22.5" customHeight="1" x14ac:dyDescent="0.2">
      <c r="A449" s="23"/>
      <c r="B449" s="34"/>
      <c r="C449" s="35"/>
      <c r="D449" s="35"/>
      <c r="E449" s="35"/>
      <c r="F449" s="31"/>
    </row>
    <row r="450" spans="1:6" ht="22.5" customHeight="1" x14ac:dyDescent="0.2">
      <c r="A450" s="23"/>
      <c r="B450" s="34"/>
      <c r="C450" s="35"/>
      <c r="D450" s="35"/>
      <c r="E450" s="35"/>
      <c r="F450" s="31"/>
    </row>
    <row r="451" spans="1:6" ht="22.5" customHeight="1" x14ac:dyDescent="0.2">
      <c r="A451" s="23"/>
      <c r="B451" s="34"/>
      <c r="C451" s="35"/>
      <c r="D451" s="35"/>
      <c r="E451" s="35"/>
      <c r="F451" s="31"/>
    </row>
    <row r="452" spans="1:6" ht="22.5" customHeight="1" x14ac:dyDescent="0.2">
      <c r="A452" s="23"/>
      <c r="B452" s="34"/>
      <c r="C452" s="35"/>
      <c r="D452" s="35"/>
      <c r="E452" s="35"/>
      <c r="F452" s="31"/>
    </row>
    <row r="453" spans="1:6" ht="22.5" customHeight="1" x14ac:dyDescent="0.2">
      <c r="A453" s="23"/>
      <c r="B453" s="34"/>
      <c r="C453" s="35"/>
      <c r="D453" s="35"/>
      <c r="E453" s="35"/>
      <c r="F453" s="31"/>
    </row>
    <row r="454" spans="1:6" ht="22.5" customHeight="1" x14ac:dyDescent="0.2">
      <c r="A454" s="23"/>
      <c r="B454" s="34"/>
      <c r="C454" s="35"/>
      <c r="D454" s="35"/>
      <c r="E454" s="35"/>
      <c r="F454" s="31"/>
    </row>
    <row r="455" spans="1:6" ht="22.5" customHeight="1" x14ac:dyDescent="0.2">
      <c r="A455" s="23"/>
      <c r="B455" s="34"/>
      <c r="C455" s="35"/>
      <c r="D455" s="35"/>
      <c r="E455" s="35"/>
      <c r="F455" s="31"/>
    </row>
    <row r="456" spans="1:6" ht="22.5" customHeight="1" x14ac:dyDescent="0.2">
      <c r="A456" s="23"/>
      <c r="B456" s="34"/>
      <c r="C456" s="35"/>
      <c r="D456" s="35"/>
      <c r="E456" s="35"/>
      <c r="F456" s="31"/>
    </row>
    <row r="457" spans="1:6" ht="22.5" customHeight="1" x14ac:dyDescent="0.2">
      <c r="A457" s="23"/>
      <c r="B457" s="34"/>
      <c r="C457" s="35"/>
      <c r="D457" s="35"/>
      <c r="E457" s="35"/>
      <c r="F457" s="31"/>
    </row>
    <row r="458" spans="1:6" ht="22.5" customHeight="1" x14ac:dyDescent="0.2">
      <c r="A458" s="23"/>
      <c r="B458" s="34"/>
      <c r="C458" s="35"/>
      <c r="D458" s="35"/>
      <c r="E458" s="35"/>
      <c r="F458" s="31"/>
    </row>
    <row r="459" spans="1:6" ht="22.5" customHeight="1" x14ac:dyDescent="0.2">
      <c r="A459" s="23"/>
      <c r="B459" s="34"/>
      <c r="C459" s="35"/>
      <c r="D459" s="35"/>
      <c r="E459" s="35"/>
      <c r="F459" s="31"/>
    </row>
    <row r="460" spans="1:6" ht="22.5" customHeight="1" x14ac:dyDescent="0.2">
      <c r="A460" s="23"/>
      <c r="B460" s="34"/>
      <c r="C460" s="35"/>
      <c r="D460" s="35"/>
      <c r="E460" s="35"/>
      <c r="F460" s="31"/>
    </row>
    <row r="461" spans="1:6" ht="22.5" customHeight="1" x14ac:dyDescent="0.2">
      <c r="A461" s="23"/>
      <c r="B461" s="34"/>
      <c r="C461" s="35"/>
      <c r="D461" s="35"/>
      <c r="E461" s="35"/>
      <c r="F461" s="31"/>
    </row>
    <row r="462" spans="1:6" ht="22.5" customHeight="1" x14ac:dyDescent="0.2">
      <c r="A462" s="23"/>
      <c r="B462" s="34"/>
      <c r="C462" s="35"/>
      <c r="D462" s="35"/>
      <c r="E462" s="35"/>
      <c r="F462" s="31"/>
    </row>
    <row r="463" spans="1:6" ht="22.5" customHeight="1" x14ac:dyDescent="0.2">
      <c r="A463" s="23"/>
      <c r="B463" s="34"/>
      <c r="C463" s="35"/>
      <c r="D463" s="35"/>
      <c r="E463" s="35"/>
      <c r="F463" s="31"/>
    </row>
    <row r="464" spans="1:6" ht="22.5" customHeight="1" x14ac:dyDescent="0.2">
      <c r="A464" s="23"/>
      <c r="B464" s="34"/>
      <c r="C464" s="35"/>
      <c r="D464" s="35"/>
      <c r="E464" s="35"/>
      <c r="F464" s="31"/>
    </row>
    <row r="465" spans="1:6" ht="22.5" customHeight="1" x14ac:dyDescent="0.2">
      <c r="A465" s="23"/>
      <c r="B465" s="34"/>
      <c r="C465" s="35"/>
      <c r="D465" s="35"/>
      <c r="E465" s="35"/>
      <c r="F465" s="31"/>
    </row>
    <row r="466" spans="1:6" ht="22.5" customHeight="1" x14ac:dyDescent="0.2">
      <c r="A466" s="23"/>
      <c r="B466" s="34"/>
      <c r="C466" s="35"/>
      <c r="D466" s="35"/>
      <c r="E466" s="35"/>
      <c r="F466" s="31"/>
    </row>
    <row r="467" spans="1:6" ht="22.5" customHeight="1" x14ac:dyDescent="0.2">
      <c r="A467" s="23"/>
      <c r="B467" s="34"/>
      <c r="C467" s="35"/>
      <c r="D467" s="35"/>
      <c r="E467" s="35"/>
      <c r="F467" s="31"/>
    </row>
    <row r="468" spans="1:6" ht="22.5" customHeight="1" x14ac:dyDescent="0.2">
      <c r="A468" s="23"/>
      <c r="B468" s="34"/>
      <c r="C468" s="35"/>
      <c r="D468" s="35"/>
      <c r="E468" s="35"/>
      <c r="F468" s="31"/>
    </row>
    <row r="469" spans="1:6" ht="22.5" customHeight="1" x14ac:dyDescent="0.2">
      <c r="A469" s="23"/>
      <c r="B469" s="34"/>
      <c r="C469" s="35"/>
      <c r="D469" s="35"/>
      <c r="E469" s="35"/>
      <c r="F469" s="31"/>
    </row>
    <row r="470" spans="1:6" ht="22.5" customHeight="1" x14ac:dyDescent="0.2">
      <c r="A470" s="23"/>
      <c r="B470" s="34"/>
      <c r="C470" s="35"/>
      <c r="D470" s="35"/>
      <c r="E470" s="35"/>
      <c r="F470" s="31"/>
    </row>
    <row r="471" spans="1:6" ht="22.5" customHeight="1" x14ac:dyDescent="0.2">
      <c r="A471" s="23"/>
      <c r="B471" s="34"/>
      <c r="C471" s="35"/>
      <c r="D471" s="35"/>
      <c r="E471" s="35"/>
      <c r="F471" s="31"/>
    </row>
    <row r="472" spans="1:6" ht="22.5" customHeight="1" x14ac:dyDescent="0.2">
      <c r="A472" s="23"/>
      <c r="B472" s="34"/>
      <c r="C472" s="35"/>
      <c r="D472" s="35"/>
      <c r="E472" s="35"/>
      <c r="F472" s="31"/>
    </row>
    <row r="473" spans="1:6" ht="22.5" customHeight="1" x14ac:dyDescent="0.2">
      <c r="A473" s="23"/>
      <c r="B473" s="34"/>
      <c r="C473" s="35"/>
      <c r="D473" s="35"/>
      <c r="E473" s="35"/>
      <c r="F473" s="31"/>
    </row>
    <row r="474" spans="1:6" ht="22.5" customHeight="1" x14ac:dyDescent="0.2">
      <c r="A474" s="23"/>
      <c r="B474" s="34"/>
      <c r="C474" s="35"/>
      <c r="D474" s="35"/>
      <c r="E474" s="35"/>
      <c r="F474" s="31"/>
    </row>
    <row r="475" spans="1:6" ht="22.5" customHeight="1" x14ac:dyDescent="0.2">
      <c r="A475" s="23"/>
      <c r="B475" s="34"/>
      <c r="C475" s="35"/>
      <c r="D475" s="35"/>
      <c r="E475" s="35"/>
      <c r="F475" s="31"/>
    </row>
    <row r="476" spans="1:6" ht="22.5" customHeight="1" x14ac:dyDescent="0.2">
      <c r="A476" s="23"/>
      <c r="B476" s="34"/>
      <c r="C476" s="35"/>
      <c r="D476" s="35"/>
      <c r="E476" s="35"/>
      <c r="F476" s="31"/>
    </row>
    <row r="477" spans="1:6" ht="22.5" customHeight="1" x14ac:dyDescent="0.2">
      <c r="A477" s="23"/>
      <c r="B477" s="34"/>
      <c r="C477" s="35"/>
      <c r="D477" s="35"/>
      <c r="E477" s="35"/>
      <c r="F477" s="31"/>
    </row>
    <row r="478" spans="1:6" ht="22.5" customHeight="1" x14ac:dyDescent="0.2">
      <c r="A478" s="23"/>
      <c r="B478" s="34"/>
      <c r="C478" s="35"/>
      <c r="D478" s="35"/>
      <c r="E478" s="35"/>
      <c r="F478" s="31"/>
    </row>
    <row r="479" spans="1:6" ht="22.5" customHeight="1" x14ac:dyDescent="0.2">
      <c r="A479" s="23"/>
      <c r="B479" s="34"/>
      <c r="C479" s="35"/>
      <c r="D479" s="35"/>
      <c r="E479" s="35"/>
      <c r="F479" s="31"/>
    </row>
    <row r="480" spans="1:6" ht="22.5" customHeight="1" x14ac:dyDescent="0.2">
      <c r="A480" s="23"/>
      <c r="B480" s="34"/>
      <c r="C480" s="35"/>
      <c r="D480" s="35"/>
      <c r="E480" s="35"/>
      <c r="F480" s="31"/>
    </row>
    <row r="481" spans="1:6" ht="22.5" customHeight="1" x14ac:dyDescent="0.2">
      <c r="A481" s="23"/>
      <c r="B481" s="34"/>
      <c r="C481" s="35"/>
      <c r="D481" s="35"/>
      <c r="E481" s="35"/>
      <c r="F481" s="31"/>
    </row>
    <row r="482" spans="1:6" ht="22.5" customHeight="1" x14ac:dyDescent="0.2">
      <c r="A482" s="23"/>
      <c r="B482" s="34"/>
      <c r="C482" s="35"/>
      <c r="D482" s="35"/>
      <c r="E482" s="35"/>
      <c r="F482" s="31"/>
    </row>
    <row r="483" spans="1:6" ht="22.5" customHeight="1" x14ac:dyDescent="0.2">
      <c r="A483" s="23"/>
      <c r="B483" s="34"/>
      <c r="C483" s="35"/>
      <c r="D483" s="35"/>
      <c r="E483" s="35"/>
      <c r="F483" s="31"/>
    </row>
    <row r="484" spans="1:6" ht="22.5" customHeight="1" x14ac:dyDescent="0.2">
      <c r="A484" s="23"/>
      <c r="B484" s="34"/>
      <c r="C484" s="35"/>
      <c r="D484" s="35"/>
      <c r="E484" s="35"/>
      <c r="F484" s="31"/>
    </row>
    <row r="485" spans="1:6" ht="22.5" customHeight="1" x14ac:dyDescent="0.2">
      <c r="A485" s="23"/>
      <c r="B485" s="34"/>
      <c r="C485" s="35"/>
      <c r="D485" s="35"/>
      <c r="E485" s="35"/>
      <c r="F485" s="31"/>
    </row>
    <row r="486" spans="1:6" ht="22.5" customHeight="1" x14ac:dyDescent="0.2">
      <c r="A486" s="23"/>
      <c r="B486" s="34"/>
      <c r="C486" s="35"/>
      <c r="D486" s="35"/>
      <c r="E486" s="35"/>
      <c r="F486" s="31"/>
    </row>
    <row r="487" spans="1:6" ht="22.5" customHeight="1" x14ac:dyDescent="0.2">
      <c r="A487" s="23"/>
      <c r="B487" s="34"/>
      <c r="C487" s="35"/>
      <c r="D487" s="35"/>
      <c r="E487" s="35"/>
      <c r="F487" s="31"/>
    </row>
    <row r="488" spans="1:6" ht="22.5" customHeight="1" x14ac:dyDescent="0.2">
      <c r="A488" s="23"/>
      <c r="B488" s="34"/>
      <c r="C488" s="35"/>
      <c r="D488" s="35"/>
      <c r="E488" s="35"/>
      <c r="F488" s="31"/>
    </row>
    <row r="489" spans="1:6" ht="22.5" customHeight="1" x14ac:dyDescent="0.2">
      <c r="A489" s="23"/>
      <c r="B489" s="34"/>
      <c r="C489" s="35"/>
      <c r="D489" s="35"/>
      <c r="E489" s="35"/>
      <c r="F489" s="31"/>
    </row>
    <row r="490" spans="1:6" ht="22.5" customHeight="1" x14ac:dyDescent="0.2">
      <c r="A490" s="23"/>
      <c r="B490" s="34"/>
      <c r="C490" s="35"/>
      <c r="D490" s="35"/>
      <c r="E490" s="35"/>
      <c r="F490" s="31"/>
    </row>
    <row r="491" spans="1:6" ht="22.5" customHeight="1" x14ac:dyDescent="0.2">
      <c r="A491" s="23"/>
      <c r="B491" s="34"/>
      <c r="C491" s="35"/>
      <c r="D491" s="35"/>
      <c r="E491" s="35"/>
      <c r="F491" s="31"/>
    </row>
    <row r="492" spans="1:6" ht="22.5" customHeight="1" x14ac:dyDescent="0.2">
      <c r="A492" s="23"/>
      <c r="B492" s="34"/>
      <c r="C492" s="35"/>
      <c r="D492" s="35"/>
      <c r="E492" s="35"/>
      <c r="F492" s="31"/>
    </row>
    <row r="493" spans="1:6" ht="22.5" customHeight="1" x14ac:dyDescent="0.2">
      <c r="A493" s="23"/>
      <c r="B493" s="34"/>
      <c r="C493" s="35"/>
      <c r="D493" s="35"/>
      <c r="E493" s="35"/>
      <c r="F493" s="31"/>
    </row>
    <row r="494" spans="1:6" ht="22.5" customHeight="1" x14ac:dyDescent="0.2">
      <c r="A494" s="23"/>
      <c r="B494" s="34"/>
      <c r="C494" s="35"/>
      <c r="D494" s="35"/>
      <c r="E494" s="35"/>
      <c r="F494" s="31"/>
    </row>
    <row r="495" spans="1:6" ht="22.5" customHeight="1" x14ac:dyDescent="0.2">
      <c r="A495" s="23"/>
      <c r="B495" s="34"/>
      <c r="C495" s="35"/>
      <c r="D495" s="35"/>
      <c r="E495" s="35"/>
      <c r="F495" s="31"/>
    </row>
    <row r="496" spans="1:6" ht="22.5" customHeight="1" x14ac:dyDescent="0.2">
      <c r="A496" s="23"/>
      <c r="B496" s="34"/>
      <c r="C496" s="35"/>
      <c r="D496" s="35"/>
      <c r="E496" s="35"/>
      <c r="F496" s="31"/>
    </row>
    <row r="497" spans="1:6" ht="22.5" customHeight="1" x14ac:dyDescent="0.2">
      <c r="A497" s="23"/>
      <c r="B497" s="34"/>
      <c r="C497" s="35"/>
      <c r="D497" s="35"/>
      <c r="E497" s="35"/>
      <c r="F497" s="31"/>
    </row>
    <row r="498" spans="1:6" ht="22.5" customHeight="1" x14ac:dyDescent="0.2">
      <c r="A498" s="23"/>
      <c r="B498" s="34"/>
      <c r="C498" s="35"/>
      <c r="D498" s="35"/>
      <c r="E498" s="35"/>
      <c r="F498" s="31"/>
    </row>
    <row r="499" spans="1:6" ht="22.5" customHeight="1" x14ac:dyDescent="0.2">
      <c r="A499" s="23"/>
      <c r="B499" s="34"/>
      <c r="C499" s="35"/>
      <c r="D499" s="35"/>
      <c r="E499" s="35"/>
      <c r="F499" s="31"/>
    </row>
    <row r="500" spans="1:6" ht="22.5" customHeight="1" x14ac:dyDescent="0.2">
      <c r="A500" s="23"/>
      <c r="B500" s="34"/>
      <c r="C500" s="35"/>
      <c r="D500" s="35"/>
      <c r="E500" s="35"/>
      <c r="F500" s="31"/>
    </row>
    <row r="501" spans="1:6" ht="22.5" customHeight="1" x14ac:dyDescent="0.2">
      <c r="A501" s="23"/>
      <c r="B501" s="34"/>
      <c r="C501" s="35"/>
      <c r="D501" s="35"/>
      <c r="E501" s="35"/>
      <c r="F501" s="31"/>
    </row>
    <row r="502" spans="1:6" ht="22.5" customHeight="1" x14ac:dyDescent="0.2">
      <c r="A502" s="23"/>
      <c r="B502" s="34"/>
      <c r="C502" s="35"/>
      <c r="D502" s="35"/>
      <c r="E502" s="35"/>
      <c r="F502" s="31"/>
    </row>
    <row r="503" spans="1:6" ht="22.5" customHeight="1" x14ac:dyDescent="0.2">
      <c r="A503" s="23"/>
      <c r="B503" s="34"/>
      <c r="C503" s="35"/>
      <c r="D503" s="35"/>
      <c r="E503" s="35"/>
      <c r="F503" s="31"/>
    </row>
    <row r="504" spans="1:6" ht="22.5" customHeight="1" x14ac:dyDescent="0.2">
      <c r="A504" s="23"/>
      <c r="B504" s="34"/>
      <c r="C504" s="35"/>
      <c r="D504" s="35"/>
      <c r="E504" s="35"/>
      <c r="F504" s="31"/>
    </row>
    <row r="505" spans="1:6" ht="22.5" customHeight="1" x14ac:dyDescent="0.2">
      <c r="A505" s="23"/>
      <c r="B505" s="34"/>
      <c r="C505" s="35"/>
      <c r="D505" s="35"/>
      <c r="E505" s="35"/>
      <c r="F505" s="31"/>
    </row>
    <row r="506" spans="1:6" ht="22.5" customHeight="1" x14ac:dyDescent="0.2">
      <c r="A506" s="23"/>
      <c r="B506" s="34"/>
      <c r="C506" s="35"/>
      <c r="D506" s="35"/>
      <c r="E506" s="35"/>
      <c r="F506" s="31"/>
    </row>
    <row r="507" spans="1:6" ht="22.5" customHeight="1" x14ac:dyDescent="0.2">
      <c r="A507" s="23"/>
      <c r="B507" s="34"/>
      <c r="C507" s="35"/>
      <c r="D507" s="35"/>
      <c r="E507" s="35"/>
      <c r="F507" s="31"/>
    </row>
    <row r="508" spans="1:6" ht="22.5" customHeight="1" x14ac:dyDescent="0.2">
      <c r="A508" s="23"/>
      <c r="B508" s="34"/>
      <c r="C508" s="35"/>
      <c r="D508" s="35"/>
      <c r="E508" s="35"/>
      <c r="F508" s="31"/>
    </row>
    <row r="509" spans="1:6" ht="22.5" customHeight="1" x14ac:dyDescent="0.2">
      <c r="A509" s="23"/>
      <c r="B509" s="34"/>
      <c r="C509" s="35"/>
      <c r="D509" s="35"/>
      <c r="E509" s="35"/>
      <c r="F509" s="31"/>
    </row>
    <row r="510" spans="1:6" ht="22.5" customHeight="1" x14ac:dyDescent="0.2">
      <c r="A510" s="23"/>
      <c r="B510" s="34"/>
      <c r="C510" s="35"/>
      <c r="D510" s="35"/>
      <c r="E510" s="35"/>
      <c r="F510" s="31"/>
    </row>
    <row r="511" spans="1:6" ht="22.5" customHeight="1" x14ac:dyDescent="0.2">
      <c r="A511" s="23"/>
      <c r="B511" s="34"/>
      <c r="C511" s="35"/>
      <c r="D511" s="35"/>
      <c r="E511" s="35"/>
      <c r="F511" s="31"/>
    </row>
    <row r="512" spans="1:6" ht="22.5" customHeight="1" x14ac:dyDescent="0.2">
      <c r="A512" s="23"/>
      <c r="B512" s="34"/>
      <c r="C512" s="35"/>
      <c r="D512" s="35"/>
      <c r="E512" s="35"/>
      <c r="F512" s="31"/>
    </row>
    <row r="513" spans="1:6" ht="22.5" customHeight="1" x14ac:dyDescent="0.2">
      <c r="A513" s="23"/>
      <c r="B513" s="34"/>
      <c r="C513" s="35"/>
      <c r="D513" s="35"/>
      <c r="E513" s="35"/>
      <c r="F513" s="31"/>
    </row>
    <row r="514" spans="1:6" ht="22.5" customHeight="1" x14ac:dyDescent="0.2">
      <c r="A514" s="23"/>
      <c r="B514" s="34"/>
      <c r="C514" s="35"/>
      <c r="D514" s="35"/>
      <c r="E514" s="35"/>
      <c r="F514" s="31"/>
    </row>
    <row r="515" spans="1:6" ht="22.5" customHeight="1" x14ac:dyDescent="0.2">
      <c r="A515" s="23"/>
      <c r="B515" s="34"/>
      <c r="C515" s="35"/>
      <c r="D515" s="35"/>
      <c r="E515" s="35"/>
      <c r="F515" s="31"/>
    </row>
    <row r="516" spans="1:6" ht="22.5" customHeight="1" x14ac:dyDescent="0.2">
      <c r="A516" s="23"/>
      <c r="B516" s="34"/>
      <c r="C516" s="35"/>
      <c r="D516" s="35"/>
      <c r="E516" s="35"/>
      <c r="F516" s="31"/>
    </row>
    <row r="517" spans="1:6" ht="22.5" customHeight="1" x14ac:dyDescent="0.2">
      <c r="A517" s="23"/>
      <c r="B517" s="34"/>
      <c r="C517" s="35"/>
      <c r="D517" s="35"/>
      <c r="E517" s="35"/>
      <c r="F517" s="31"/>
    </row>
    <row r="518" spans="1:6" ht="22.5" customHeight="1" x14ac:dyDescent="0.2">
      <c r="A518" s="23"/>
      <c r="B518" s="34"/>
      <c r="C518" s="35"/>
      <c r="D518" s="35"/>
      <c r="E518" s="35"/>
      <c r="F518" s="31"/>
    </row>
    <row r="519" spans="1:6" ht="22.5" customHeight="1" x14ac:dyDescent="0.2">
      <c r="A519" s="23"/>
      <c r="B519" s="34"/>
      <c r="C519" s="35"/>
      <c r="D519" s="35"/>
      <c r="E519" s="35"/>
      <c r="F519" s="31"/>
    </row>
    <row r="520" spans="1:6" ht="22.5" customHeight="1" x14ac:dyDescent="0.2">
      <c r="A520" s="23"/>
      <c r="B520" s="34"/>
      <c r="C520" s="35"/>
      <c r="D520" s="35"/>
      <c r="E520" s="35"/>
      <c r="F520" s="31"/>
    </row>
    <row r="521" spans="1:6" ht="22.5" customHeight="1" x14ac:dyDescent="0.2">
      <c r="A521" s="23"/>
      <c r="B521" s="34"/>
      <c r="C521" s="35"/>
      <c r="D521" s="35"/>
      <c r="E521" s="35"/>
      <c r="F521" s="31"/>
    </row>
    <row r="522" spans="1:6" ht="22.5" customHeight="1" x14ac:dyDescent="0.2">
      <c r="A522" s="23"/>
      <c r="B522" s="34"/>
      <c r="C522" s="35"/>
      <c r="D522" s="35"/>
      <c r="E522" s="35"/>
      <c r="F522" s="31"/>
    </row>
    <row r="523" spans="1:6" ht="22.5" customHeight="1" x14ac:dyDescent="0.2">
      <c r="A523" s="23"/>
      <c r="B523" s="34"/>
      <c r="C523" s="35"/>
      <c r="D523" s="35"/>
      <c r="E523" s="35"/>
      <c r="F523" s="31"/>
    </row>
    <row r="524" spans="1:6" ht="22.5" customHeight="1" x14ac:dyDescent="0.2">
      <c r="A524" s="23"/>
      <c r="B524" s="34"/>
      <c r="C524" s="35"/>
      <c r="D524" s="35"/>
      <c r="E524" s="35"/>
      <c r="F524" s="31"/>
    </row>
    <row r="525" spans="1:6" ht="22.5" customHeight="1" x14ac:dyDescent="0.2">
      <c r="A525" s="23"/>
      <c r="B525" s="34"/>
      <c r="C525" s="35"/>
      <c r="D525" s="35"/>
      <c r="E525" s="35"/>
      <c r="F525" s="31"/>
    </row>
    <row r="526" spans="1:6" ht="22.5" customHeight="1" x14ac:dyDescent="0.2">
      <c r="A526" s="23"/>
      <c r="B526" s="34"/>
      <c r="C526" s="35"/>
      <c r="D526" s="35"/>
      <c r="E526" s="35"/>
      <c r="F526" s="31"/>
    </row>
    <row r="527" spans="1:6" ht="22.5" customHeight="1" x14ac:dyDescent="0.2">
      <c r="A527" s="23"/>
      <c r="B527" s="34"/>
      <c r="C527" s="35"/>
      <c r="D527" s="35"/>
      <c r="E527" s="35"/>
      <c r="F527" s="31"/>
    </row>
    <row r="528" spans="1:6" ht="22.5" customHeight="1" x14ac:dyDescent="0.2">
      <c r="A528" s="23"/>
      <c r="B528" s="34"/>
      <c r="C528" s="35"/>
      <c r="D528" s="35"/>
      <c r="E528" s="35"/>
      <c r="F528" s="31"/>
    </row>
    <row r="529" spans="1:6" ht="22.5" customHeight="1" x14ac:dyDescent="0.2">
      <c r="A529" s="23"/>
      <c r="B529" s="34"/>
      <c r="C529" s="35"/>
      <c r="D529" s="35"/>
      <c r="E529" s="35"/>
      <c r="F529" s="31"/>
    </row>
    <row r="530" spans="1:6" ht="22.5" customHeight="1" x14ac:dyDescent="0.2">
      <c r="A530" s="23"/>
      <c r="B530" s="34"/>
      <c r="C530" s="35"/>
      <c r="D530" s="35"/>
      <c r="E530" s="35"/>
      <c r="F530" s="31"/>
    </row>
    <row r="531" spans="1:6" ht="22.5" customHeight="1" x14ac:dyDescent="0.2">
      <c r="A531" s="23"/>
      <c r="B531" s="34"/>
      <c r="C531" s="35"/>
      <c r="D531" s="35"/>
      <c r="E531" s="35"/>
      <c r="F531" s="31"/>
    </row>
    <row r="532" spans="1:6" ht="22.5" customHeight="1" x14ac:dyDescent="0.2">
      <c r="A532" s="23"/>
      <c r="B532" s="34"/>
      <c r="C532" s="35"/>
      <c r="D532" s="35"/>
      <c r="E532" s="35"/>
      <c r="F532" s="31"/>
    </row>
    <row r="533" spans="1:6" ht="22.5" customHeight="1" x14ac:dyDescent="0.2">
      <c r="A533" s="23"/>
      <c r="B533" s="34"/>
      <c r="C533" s="35"/>
      <c r="D533" s="35"/>
      <c r="E533" s="35"/>
      <c r="F533" s="31"/>
    </row>
    <row r="534" spans="1:6" ht="22.5" customHeight="1" x14ac:dyDescent="0.2">
      <c r="A534" s="23"/>
      <c r="B534" s="34"/>
      <c r="C534" s="35"/>
      <c r="D534" s="35"/>
      <c r="E534" s="35"/>
      <c r="F534" s="31"/>
    </row>
    <row r="535" spans="1:6" ht="22.5" customHeight="1" x14ac:dyDescent="0.2">
      <c r="A535" s="23"/>
      <c r="B535" s="34"/>
      <c r="C535" s="35"/>
      <c r="D535" s="35"/>
      <c r="E535" s="35"/>
      <c r="F535" s="31"/>
    </row>
    <row r="536" spans="1:6" ht="22.5" customHeight="1" x14ac:dyDescent="0.2">
      <c r="A536" s="23"/>
      <c r="B536" s="34"/>
      <c r="C536" s="35"/>
      <c r="D536" s="35"/>
      <c r="E536" s="35"/>
      <c r="F536" s="31"/>
    </row>
    <row r="537" spans="1:6" ht="22.5" customHeight="1" x14ac:dyDescent="0.2">
      <c r="A537" s="23"/>
      <c r="B537" s="34"/>
      <c r="C537" s="35"/>
      <c r="D537" s="35"/>
      <c r="E537" s="35"/>
      <c r="F537" s="31"/>
    </row>
    <row r="538" spans="1:6" ht="22.5" customHeight="1" x14ac:dyDescent="0.2">
      <c r="A538" s="23"/>
      <c r="B538" s="34"/>
      <c r="C538" s="35"/>
      <c r="D538" s="35"/>
      <c r="E538" s="35"/>
      <c r="F538" s="31"/>
    </row>
    <row r="539" spans="1:6" ht="22.5" customHeight="1" x14ac:dyDescent="0.2">
      <c r="A539" s="23"/>
      <c r="B539" s="34"/>
      <c r="C539" s="35"/>
      <c r="D539" s="35"/>
      <c r="E539" s="35"/>
      <c r="F539" s="31"/>
    </row>
    <row r="540" spans="1:6" ht="22.5" customHeight="1" x14ac:dyDescent="0.2">
      <c r="A540" s="23"/>
      <c r="B540" s="34"/>
      <c r="C540" s="35"/>
      <c r="D540" s="35"/>
      <c r="E540" s="35"/>
      <c r="F540" s="31"/>
    </row>
    <row r="541" spans="1:6" ht="22.5" customHeight="1" x14ac:dyDescent="0.2">
      <c r="A541" s="23"/>
      <c r="B541" s="34"/>
      <c r="C541" s="35"/>
      <c r="D541" s="35"/>
      <c r="E541" s="35"/>
      <c r="F541" s="31"/>
    </row>
    <row r="542" spans="1:6" ht="22.5" customHeight="1" x14ac:dyDescent="0.2">
      <c r="A542" s="23"/>
      <c r="B542" s="34"/>
      <c r="C542" s="35"/>
      <c r="D542" s="35"/>
      <c r="E542" s="35"/>
      <c r="F542" s="31"/>
    </row>
    <row r="543" spans="1:6" ht="22.5" customHeight="1" x14ac:dyDescent="0.2">
      <c r="A543" s="23"/>
      <c r="B543" s="34"/>
      <c r="C543" s="35"/>
      <c r="D543" s="35"/>
      <c r="E543" s="35"/>
      <c r="F543" s="31"/>
    </row>
    <row r="544" spans="1:6" ht="22.5" customHeight="1" x14ac:dyDescent="0.2">
      <c r="A544" s="23"/>
      <c r="B544" s="34"/>
      <c r="C544" s="35"/>
      <c r="D544" s="35"/>
      <c r="E544" s="35"/>
      <c r="F544" s="31"/>
    </row>
    <row r="545" spans="1:6" ht="22.5" customHeight="1" x14ac:dyDescent="0.2">
      <c r="A545" s="23"/>
      <c r="B545" s="34"/>
      <c r="C545" s="35"/>
      <c r="D545" s="35"/>
      <c r="E545" s="35"/>
      <c r="F545" s="31"/>
    </row>
    <row r="546" spans="1:6" ht="22.5" customHeight="1" x14ac:dyDescent="0.2">
      <c r="A546" s="23"/>
      <c r="B546" s="34"/>
      <c r="C546" s="35"/>
      <c r="D546" s="35"/>
      <c r="E546" s="35"/>
      <c r="F546" s="31"/>
    </row>
    <row r="547" spans="1:6" ht="22.5" customHeight="1" x14ac:dyDescent="0.2">
      <c r="A547" s="23"/>
      <c r="B547" s="34"/>
      <c r="C547" s="35"/>
      <c r="D547" s="35"/>
      <c r="E547" s="35"/>
      <c r="F547" s="31"/>
    </row>
    <row r="548" spans="1:6" ht="22.5" customHeight="1" x14ac:dyDescent="0.2">
      <c r="A548" s="23"/>
      <c r="B548" s="34"/>
      <c r="C548" s="35"/>
      <c r="D548" s="35"/>
      <c r="E548" s="35"/>
      <c r="F548" s="31"/>
    </row>
    <row r="549" spans="1:6" ht="22.5" customHeight="1" x14ac:dyDescent="0.2">
      <c r="A549" s="23"/>
      <c r="B549" s="34"/>
      <c r="C549" s="35"/>
      <c r="D549" s="35"/>
      <c r="E549" s="35"/>
      <c r="F549" s="31"/>
    </row>
    <row r="550" spans="1:6" ht="22.5" customHeight="1" x14ac:dyDescent="0.2">
      <c r="A550" s="23"/>
      <c r="B550" s="34"/>
      <c r="C550" s="35"/>
      <c r="D550" s="35"/>
      <c r="E550" s="35"/>
      <c r="F550" s="31"/>
    </row>
    <row r="551" spans="1:6" ht="22.5" customHeight="1" x14ac:dyDescent="0.2">
      <c r="A551" s="23"/>
      <c r="B551" s="34"/>
      <c r="C551" s="35"/>
      <c r="D551" s="35"/>
      <c r="E551" s="35"/>
      <c r="F551" s="31"/>
    </row>
    <row r="552" spans="1:6" ht="22.5" customHeight="1" x14ac:dyDescent="0.2">
      <c r="A552" s="23"/>
      <c r="B552" s="34"/>
      <c r="C552" s="35"/>
      <c r="D552" s="35"/>
      <c r="E552" s="35"/>
      <c r="F552" s="31"/>
    </row>
    <row r="553" spans="1:6" ht="22.5" customHeight="1" x14ac:dyDescent="0.2">
      <c r="A553" s="23"/>
      <c r="B553" s="34"/>
      <c r="C553" s="35"/>
      <c r="D553" s="35"/>
      <c r="E553" s="35"/>
      <c r="F553" s="31"/>
    </row>
    <row r="554" spans="1:6" ht="22.5" customHeight="1" x14ac:dyDescent="0.2">
      <c r="A554" s="23"/>
      <c r="B554" s="34"/>
      <c r="C554" s="35"/>
      <c r="D554" s="35"/>
      <c r="E554" s="35"/>
      <c r="F554" s="31"/>
    </row>
    <row r="555" spans="1:6" ht="22.5" customHeight="1" x14ac:dyDescent="0.2">
      <c r="A555" s="23"/>
      <c r="B555" s="34"/>
      <c r="C555" s="35"/>
      <c r="D555" s="35"/>
      <c r="E555" s="35"/>
      <c r="F555" s="31"/>
    </row>
    <row r="556" spans="1:6" ht="22.5" customHeight="1" x14ac:dyDescent="0.2">
      <c r="A556" s="23"/>
      <c r="B556" s="34"/>
      <c r="C556" s="35"/>
      <c r="D556" s="35"/>
      <c r="E556" s="35"/>
      <c r="F556" s="31"/>
    </row>
    <row r="557" spans="1:6" ht="22.5" customHeight="1" x14ac:dyDescent="0.2">
      <c r="A557" s="23"/>
      <c r="B557" s="34"/>
      <c r="C557" s="35"/>
      <c r="D557" s="35"/>
      <c r="E557" s="35"/>
      <c r="F557" s="31"/>
    </row>
    <row r="558" spans="1:6" ht="22.5" customHeight="1" x14ac:dyDescent="0.2">
      <c r="A558" s="23"/>
      <c r="B558" s="34"/>
      <c r="C558" s="35"/>
      <c r="D558" s="35"/>
      <c r="E558" s="35"/>
      <c r="F558" s="31"/>
    </row>
    <row r="559" spans="1:6" ht="22.5" customHeight="1" x14ac:dyDescent="0.2">
      <c r="A559" s="23"/>
      <c r="B559" s="34"/>
      <c r="C559" s="35"/>
      <c r="D559" s="35"/>
      <c r="E559" s="35"/>
      <c r="F559" s="31"/>
    </row>
    <row r="560" spans="1:6" ht="22.5" customHeight="1" x14ac:dyDescent="0.2">
      <c r="A560" s="23"/>
      <c r="B560" s="34"/>
      <c r="C560" s="35"/>
      <c r="D560" s="35"/>
      <c r="E560" s="35"/>
      <c r="F560" s="31"/>
    </row>
    <row r="561" spans="1:6" ht="22.5" customHeight="1" x14ac:dyDescent="0.2">
      <c r="A561" s="23"/>
      <c r="B561" s="34"/>
      <c r="C561" s="35"/>
      <c r="D561" s="35"/>
      <c r="E561" s="35"/>
      <c r="F561" s="31"/>
    </row>
    <row r="562" spans="1:6" ht="22.5" customHeight="1" x14ac:dyDescent="0.2">
      <c r="A562" s="23"/>
      <c r="B562" s="34"/>
      <c r="C562" s="35"/>
      <c r="D562" s="35"/>
      <c r="E562" s="35"/>
      <c r="F562" s="31"/>
    </row>
    <row r="563" spans="1:6" ht="22.5" customHeight="1" x14ac:dyDescent="0.2">
      <c r="A563" s="23"/>
      <c r="B563" s="34"/>
      <c r="C563" s="35"/>
      <c r="D563" s="35"/>
      <c r="E563" s="35"/>
      <c r="F563" s="31"/>
    </row>
    <row r="564" spans="1:6" ht="22.5" customHeight="1" x14ac:dyDescent="0.2">
      <c r="A564" s="23"/>
      <c r="B564" s="34"/>
      <c r="C564" s="35"/>
      <c r="D564" s="35"/>
      <c r="E564" s="35"/>
      <c r="F564" s="31"/>
    </row>
    <row r="565" spans="1:6" ht="22.5" customHeight="1" x14ac:dyDescent="0.2">
      <c r="A565" s="23"/>
      <c r="B565" s="34"/>
      <c r="C565" s="35"/>
      <c r="D565" s="35"/>
      <c r="E565" s="35"/>
      <c r="F565" s="31"/>
    </row>
    <row r="566" spans="1:6" ht="22.5" customHeight="1" x14ac:dyDescent="0.2">
      <c r="A566" s="23"/>
      <c r="B566" s="34"/>
      <c r="C566" s="35"/>
      <c r="D566" s="35"/>
      <c r="E566" s="35"/>
      <c r="F566" s="31"/>
    </row>
    <row r="567" spans="1:6" ht="22.5" customHeight="1" x14ac:dyDescent="0.2">
      <c r="A567" s="23"/>
      <c r="B567" s="34"/>
      <c r="C567" s="35"/>
      <c r="D567" s="35"/>
      <c r="E567" s="35"/>
      <c r="F567" s="31"/>
    </row>
    <row r="568" spans="1:6" ht="22.5" customHeight="1" x14ac:dyDescent="0.2">
      <c r="A568" s="23"/>
      <c r="B568" s="34"/>
      <c r="C568" s="35"/>
      <c r="D568" s="35"/>
      <c r="E568" s="35"/>
      <c r="F568" s="31"/>
    </row>
    <row r="569" spans="1:6" ht="22.5" customHeight="1" x14ac:dyDescent="0.2">
      <c r="A569" s="23"/>
      <c r="B569" s="34"/>
      <c r="C569" s="35"/>
      <c r="D569" s="35"/>
      <c r="E569" s="35"/>
      <c r="F569" s="31"/>
    </row>
    <row r="570" spans="1:6" ht="22.5" customHeight="1" x14ac:dyDescent="0.2">
      <c r="A570" s="23"/>
      <c r="B570" s="34"/>
      <c r="C570" s="35"/>
      <c r="D570" s="35"/>
      <c r="E570" s="35"/>
      <c r="F570" s="31"/>
    </row>
    <row r="571" spans="1:6" ht="22.5" customHeight="1" x14ac:dyDescent="0.2">
      <c r="A571" s="23"/>
      <c r="B571" s="34"/>
      <c r="C571" s="35"/>
      <c r="D571" s="35"/>
      <c r="E571" s="35"/>
      <c r="F571" s="31"/>
    </row>
    <row r="572" spans="1:6" ht="22.5" customHeight="1" x14ac:dyDescent="0.2">
      <c r="A572" s="23"/>
      <c r="B572" s="34"/>
      <c r="C572" s="35"/>
      <c r="D572" s="35"/>
      <c r="E572" s="35"/>
      <c r="F572" s="31"/>
    </row>
    <row r="573" spans="1:6" ht="22.5" customHeight="1" x14ac:dyDescent="0.2">
      <c r="A573" s="23"/>
      <c r="B573" s="34"/>
      <c r="C573" s="35"/>
      <c r="D573" s="35"/>
      <c r="E573" s="35"/>
      <c r="F573" s="31"/>
    </row>
    <row r="574" spans="1:6" ht="22.5" customHeight="1" x14ac:dyDescent="0.2">
      <c r="A574" s="23"/>
      <c r="B574" s="34"/>
      <c r="C574" s="35"/>
      <c r="D574" s="35"/>
      <c r="E574" s="35"/>
      <c r="F574" s="31"/>
    </row>
    <row r="575" spans="1:6" ht="22.5" customHeight="1" x14ac:dyDescent="0.2">
      <c r="A575" s="23"/>
      <c r="B575" s="34"/>
      <c r="C575" s="35"/>
      <c r="D575" s="35"/>
      <c r="E575" s="35"/>
      <c r="F575" s="31"/>
    </row>
    <row r="576" spans="1:6" ht="22.5" customHeight="1" x14ac:dyDescent="0.2">
      <c r="A576" s="23"/>
      <c r="B576" s="34"/>
      <c r="C576" s="35"/>
      <c r="D576" s="35"/>
      <c r="E576" s="35"/>
      <c r="F576" s="31"/>
    </row>
    <row r="577" spans="1:6" ht="22.5" customHeight="1" x14ac:dyDescent="0.2">
      <c r="A577" s="23"/>
      <c r="B577" s="34"/>
      <c r="C577" s="35"/>
      <c r="D577" s="35"/>
      <c r="E577" s="35"/>
      <c r="F577" s="31"/>
    </row>
    <row r="578" spans="1:6" ht="22.5" customHeight="1" x14ac:dyDescent="0.2">
      <c r="A578" s="23"/>
      <c r="B578" s="34"/>
      <c r="C578" s="35"/>
      <c r="D578" s="35"/>
      <c r="E578" s="35"/>
      <c r="F578" s="31"/>
    </row>
    <row r="579" spans="1:6" ht="22.5" customHeight="1" x14ac:dyDescent="0.2">
      <c r="A579" s="23"/>
      <c r="B579" s="34"/>
      <c r="C579" s="35"/>
      <c r="D579" s="35"/>
      <c r="E579" s="35"/>
      <c r="F579" s="31"/>
    </row>
    <row r="580" spans="1:6" ht="22.5" customHeight="1" x14ac:dyDescent="0.2">
      <c r="A580" s="23"/>
      <c r="B580" s="34"/>
      <c r="C580" s="35"/>
      <c r="D580" s="35"/>
      <c r="E580" s="35"/>
      <c r="F580" s="31"/>
    </row>
    <row r="581" spans="1:6" ht="22.5" customHeight="1" x14ac:dyDescent="0.2">
      <c r="A581" s="23"/>
      <c r="B581" s="34"/>
      <c r="C581" s="35"/>
      <c r="D581" s="35"/>
      <c r="E581" s="35"/>
      <c r="F581" s="31"/>
    </row>
    <row r="582" spans="1:6" ht="22.5" customHeight="1" x14ac:dyDescent="0.2">
      <c r="A582" s="23"/>
      <c r="B582" s="34"/>
      <c r="C582" s="35"/>
      <c r="D582" s="35"/>
      <c r="E582" s="35"/>
      <c r="F582" s="31"/>
    </row>
    <row r="583" spans="1:6" ht="22.5" customHeight="1" x14ac:dyDescent="0.2">
      <c r="A583" s="23"/>
      <c r="B583" s="34"/>
      <c r="C583" s="35"/>
      <c r="D583" s="35"/>
      <c r="E583" s="35"/>
      <c r="F583" s="31"/>
    </row>
    <row r="584" spans="1:6" ht="22.5" customHeight="1" x14ac:dyDescent="0.2">
      <c r="A584" s="23"/>
      <c r="B584" s="34"/>
      <c r="C584" s="35"/>
      <c r="D584" s="35"/>
      <c r="E584" s="35"/>
      <c r="F584" s="31"/>
    </row>
    <row r="585" spans="1:6" ht="22.5" customHeight="1" x14ac:dyDescent="0.2">
      <c r="A585" s="23"/>
      <c r="B585" s="34"/>
      <c r="C585" s="35"/>
      <c r="D585" s="35"/>
      <c r="E585" s="35"/>
      <c r="F585" s="31"/>
    </row>
    <row r="586" spans="1:6" ht="22.5" customHeight="1" x14ac:dyDescent="0.2">
      <c r="A586" s="23"/>
      <c r="B586" s="34"/>
      <c r="C586" s="35"/>
      <c r="D586" s="35"/>
      <c r="E586" s="35"/>
      <c r="F586" s="31"/>
    </row>
    <row r="587" spans="1:6" ht="22.5" customHeight="1" x14ac:dyDescent="0.2">
      <c r="A587" s="23"/>
      <c r="B587" s="34"/>
      <c r="C587" s="35"/>
      <c r="D587" s="35"/>
      <c r="E587" s="35"/>
      <c r="F587" s="31"/>
    </row>
    <row r="588" spans="1:6" ht="22.5" customHeight="1" x14ac:dyDescent="0.2">
      <c r="A588" s="23"/>
      <c r="B588" s="34"/>
      <c r="C588" s="35"/>
      <c r="D588" s="35"/>
      <c r="E588" s="35"/>
      <c r="F588" s="31"/>
    </row>
    <row r="589" spans="1:6" ht="22.5" customHeight="1" x14ac:dyDescent="0.2">
      <c r="A589" s="23"/>
      <c r="B589" s="34"/>
      <c r="C589" s="35"/>
      <c r="D589" s="35"/>
      <c r="E589" s="35"/>
      <c r="F589" s="31"/>
    </row>
    <row r="590" spans="1:6" ht="22.5" customHeight="1" x14ac:dyDescent="0.2">
      <c r="A590" s="23"/>
      <c r="B590" s="34"/>
      <c r="C590" s="35"/>
      <c r="D590" s="35"/>
      <c r="E590" s="35"/>
      <c r="F590" s="31"/>
    </row>
    <row r="591" spans="1:6" ht="22.5" customHeight="1" x14ac:dyDescent="0.2">
      <c r="A591" s="23"/>
      <c r="B591" s="34"/>
      <c r="C591" s="35"/>
      <c r="D591" s="35"/>
      <c r="E591" s="35"/>
      <c r="F591" s="31"/>
    </row>
    <row r="592" spans="1:6" ht="22.5" customHeight="1" x14ac:dyDescent="0.2">
      <c r="A592" s="23"/>
      <c r="B592" s="34"/>
      <c r="C592" s="35"/>
      <c r="D592" s="35"/>
      <c r="E592" s="35"/>
      <c r="F592" s="31"/>
    </row>
    <row r="593" spans="1:6" ht="22.5" customHeight="1" x14ac:dyDescent="0.2">
      <c r="A593" s="23"/>
      <c r="B593" s="34"/>
      <c r="C593" s="35"/>
      <c r="D593" s="35"/>
      <c r="E593" s="35"/>
      <c r="F593" s="31"/>
    </row>
    <row r="594" spans="1:6" ht="22.5" customHeight="1" x14ac:dyDescent="0.2">
      <c r="A594" s="23"/>
      <c r="B594" s="34"/>
      <c r="C594" s="35"/>
      <c r="D594" s="35"/>
      <c r="E594" s="35"/>
      <c r="F594" s="31"/>
    </row>
    <row r="595" spans="1:6" ht="22.5" customHeight="1" x14ac:dyDescent="0.2">
      <c r="A595" s="23"/>
      <c r="B595" s="34"/>
      <c r="C595" s="35"/>
      <c r="D595" s="35"/>
      <c r="E595" s="35"/>
      <c r="F595" s="31"/>
    </row>
    <row r="596" spans="1:6" ht="22.5" customHeight="1" x14ac:dyDescent="0.2">
      <c r="A596" s="23"/>
      <c r="B596" s="34"/>
      <c r="C596" s="35"/>
      <c r="D596" s="35"/>
      <c r="E596" s="35"/>
      <c r="F596" s="31"/>
    </row>
    <row r="597" spans="1:6" ht="22.5" customHeight="1" x14ac:dyDescent="0.2">
      <c r="A597" s="23"/>
      <c r="B597" s="34"/>
      <c r="C597" s="35"/>
      <c r="D597" s="35"/>
      <c r="E597" s="35"/>
      <c r="F597" s="31"/>
    </row>
    <row r="598" spans="1:6" ht="22.5" customHeight="1" x14ac:dyDescent="0.2">
      <c r="A598" s="23"/>
      <c r="B598" s="34"/>
      <c r="C598" s="35"/>
      <c r="D598" s="35"/>
      <c r="E598" s="35"/>
      <c r="F598" s="31"/>
    </row>
    <row r="599" spans="1:6" ht="22.5" customHeight="1" x14ac:dyDescent="0.2">
      <c r="A599" s="23"/>
      <c r="B599" s="34"/>
      <c r="C599" s="35"/>
      <c r="D599" s="35"/>
      <c r="E599" s="35"/>
      <c r="F599" s="31"/>
    </row>
    <row r="600" spans="1:6" ht="22.5" customHeight="1" x14ac:dyDescent="0.2">
      <c r="A600" s="23"/>
      <c r="B600" s="34"/>
      <c r="C600" s="35"/>
      <c r="D600" s="35"/>
      <c r="E600" s="35"/>
      <c r="F600" s="31"/>
    </row>
    <row r="601" spans="1:6" ht="22.5" customHeight="1" x14ac:dyDescent="0.2">
      <c r="A601" s="23"/>
      <c r="B601" s="34"/>
      <c r="C601" s="35"/>
      <c r="D601" s="35"/>
      <c r="E601" s="35"/>
      <c r="F601" s="31"/>
    </row>
    <row r="602" spans="1:6" ht="22.5" customHeight="1" x14ac:dyDescent="0.2">
      <c r="A602" s="23"/>
      <c r="B602" s="34"/>
      <c r="C602" s="35"/>
      <c r="D602" s="35"/>
      <c r="E602" s="35"/>
      <c r="F602" s="31"/>
    </row>
    <row r="603" spans="1:6" ht="22.5" customHeight="1" x14ac:dyDescent="0.2">
      <c r="A603" s="23"/>
      <c r="B603" s="34"/>
      <c r="C603" s="35"/>
      <c r="D603" s="35"/>
      <c r="E603" s="35"/>
      <c r="F603" s="31"/>
    </row>
    <row r="604" spans="1:6" ht="22.5" customHeight="1" x14ac:dyDescent="0.2">
      <c r="A604" s="23"/>
      <c r="B604" s="34"/>
      <c r="C604" s="35"/>
      <c r="D604" s="35"/>
      <c r="E604" s="35"/>
      <c r="F604" s="31"/>
    </row>
    <row r="605" spans="1:6" ht="22.5" customHeight="1" x14ac:dyDescent="0.2">
      <c r="A605" s="23"/>
      <c r="B605" s="34"/>
      <c r="C605" s="35"/>
      <c r="D605" s="35"/>
      <c r="E605" s="35"/>
      <c r="F605" s="31"/>
    </row>
    <row r="606" spans="1:6" ht="22.5" customHeight="1" x14ac:dyDescent="0.2">
      <c r="A606" s="23"/>
      <c r="B606" s="34"/>
      <c r="C606" s="35"/>
      <c r="D606" s="35"/>
      <c r="E606" s="35"/>
      <c r="F606" s="31"/>
    </row>
    <row r="607" spans="1:6" ht="22.5" customHeight="1" x14ac:dyDescent="0.2">
      <c r="A607" s="23"/>
      <c r="B607" s="34"/>
      <c r="C607" s="35"/>
      <c r="D607" s="35"/>
      <c r="E607" s="35"/>
      <c r="F607" s="31"/>
    </row>
    <row r="608" spans="1:6" ht="22.5" customHeight="1" x14ac:dyDescent="0.2">
      <c r="A608" s="23"/>
      <c r="B608" s="34"/>
      <c r="C608" s="35"/>
      <c r="D608" s="35"/>
      <c r="E608" s="35"/>
      <c r="F608" s="31"/>
    </row>
    <row r="609" spans="1:6" ht="22.5" customHeight="1" x14ac:dyDescent="0.2">
      <c r="A609" s="23"/>
      <c r="B609" s="34"/>
      <c r="C609" s="35"/>
      <c r="D609" s="35"/>
      <c r="E609" s="35"/>
      <c r="F609" s="31"/>
    </row>
    <row r="610" spans="1:6" ht="22.5" customHeight="1" x14ac:dyDescent="0.2">
      <c r="A610" s="23"/>
      <c r="B610" s="34"/>
      <c r="C610" s="35"/>
      <c r="D610" s="35"/>
      <c r="E610" s="35"/>
      <c r="F610" s="31"/>
    </row>
    <row r="611" spans="1:6" ht="22.5" customHeight="1" x14ac:dyDescent="0.2">
      <c r="A611" s="23"/>
      <c r="B611" s="34"/>
      <c r="C611" s="35"/>
      <c r="D611" s="35"/>
      <c r="E611" s="35"/>
      <c r="F611" s="31"/>
    </row>
    <row r="612" spans="1:6" ht="22.5" customHeight="1" x14ac:dyDescent="0.2">
      <c r="A612" s="23"/>
      <c r="B612" s="34"/>
      <c r="C612" s="35"/>
      <c r="D612" s="35"/>
      <c r="E612" s="35"/>
      <c r="F612" s="31"/>
    </row>
    <row r="613" spans="1:6" ht="22.5" customHeight="1" x14ac:dyDescent="0.2">
      <c r="A613" s="23"/>
      <c r="B613" s="34"/>
      <c r="C613" s="35"/>
      <c r="D613" s="35"/>
      <c r="E613" s="35"/>
      <c r="F613" s="31"/>
    </row>
    <row r="614" spans="1:6" ht="22.5" customHeight="1" x14ac:dyDescent="0.2">
      <c r="A614" s="23"/>
      <c r="B614" s="34"/>
      <c r="C614" s="35"/>
      <c r="D614" s="35"/>
      <c r="E614" s="35"/>
      <c r="F614" s="31"/>
    </row>
    <row r="615" spans="1:6" ht="22.5" customHeight="1" x14ac:dyDescent="0.2">
      <c r="A615" s="23"/>
      <c r="B615" s="34"/>
      <c r="C615" s="35"/>
      <c r="D615" s="35"/>
      <c r="E615" s="35"/>
      <c r="F615" s="31"/>
    </row>
    <row r="616" spans="1:6" ht="22.5" customHeight="1" x14ac:dyDescent="0.2">
      <c r="A616" s="23"/>
      <c r="B616" s="34"/>
      <c r="C616" s="35"/>
      <c r="D616" s="35"/>
      <c r="E616" s="35"/>
      <c r="F616" s="31"/>
    </row>
    <row r="617" spans="1:6" ht="22.5" customHeight="1" x14ac:dyDescent="0.2">
      <c r="A617" s="23"/>
      <c r="B617" s="34"/>
      <c r="C617" s="35"/>
      <c r="D617" s="35"/>
      <c r="E617" s="35"/>
      <c r="F617" s="31"/>
    </row>
    <row r="618" spans="1:6" ht="22.5" customHeight="1" x14ac:dyDescent="0.2">
      <c r="A618" s="23"/>
      <c r="B618" s="34"/>
      <c r="C618" s="35"/>
      <c r="D618" s="35"/>
      <c r="E618" s="35"/>
      <c r="F618" s="31"/>
    </row>
    <row r="619" spans="1:6" ht="22.5" customHeight="1" x14ac:dyDescent="0.2">
      <c r="A619" s="23"/>
      <c r="B619" s="34"/>
      <c r="C619" s="35"/>
      <c r="D619" s="35"/>
      <c r="E619" s="35"/>
      <c r="F619" s="31"/>
    </row>
    <row r="620" spans="1:6" ht="22.5" customHeight="1" x14ac:dyDescent="0.2">
      <c r="A620" s="23"/>
      <c r="B620" s="34"/>
      <c r="C620" s="35"/>
      <c r="D620" s="35"/>
      <c r="E620" s="35"/>
      <c r="F620" s="31"/>
    </row>
    <row r="621" spans="1:6" ht="22.5" customHeight="1" x14ac:dyDescent="0.2">
      <c r="A621" s="23"/>
      <c r="B621" s="34"/>
      <c r="C621" s="35"/>
      <c r="D621" s="35"/>
      <c r="E621" s="35"/>
      <c r="F621" s="31"/>
    </row>
    <row r="622" spans="1:6" ht="22.5" customHeight="1" x14ac:dyDescent="0.2">
      <c r="A622" s="23"/>
      <c r="B622" s="34"/>
      <c r="C622" s="35"/>
      <c r="D622" s="35"/>
      <c r="E622" s="35"/>
      <c r="F622" s="31"/>
    </row>
    <row r="623" spans="1:6" ht="22.5" customHeight="1" x14ac:dyDescent="0.2">
      <c r="A623" s="23"/>
      <c r="B623" s="34"/>
      <c r="C623" s="35"/>
      <c r="D623" s="35"/>
      <c r="E623" s="35"/>
      <c r="F623" s="31"/>
    </row>
    <row r="624" spans="1:6" ht="22.5" customHeight="1" x14ac:dyDescent="0.2">
      <c r="A624" s="23"/>
      <c r="B624" s="34"/>
      <c r="C624" s="35"/>
      <c r="D624" s="35"/>
      <c r="E624" s="35"/>
      <c r="F624" s="31"/>
    </row>
    <row r="625" spans="1:6" ht="22.5" customHeight="1" x14ac:dyDescent="0.2">
      <c r="A625" s="23"/>
      <c r="B625" s="34"/>
      <c r="C625" s="35"/>
      <c r="D625" s="35"/>
      <c r="E625" s="35"/>
      <c r="F625" s="31"/>
    </row>
    <row r="626" spans="1:6" ht="22.5" customHeight="1" x14ac:dyDescent="0.2">
      <c r="A626" s="23"/>
      <c r="B626" s="34"/>
      <c r="C626" s="35"/>
      <c r="D626" s="35"/>
      <c r="E626" s="35"/>
      <c r="F626" s="31"/>
    </row>
    <row r="627" spans="1:6" ht="22.5" customHeight="1" x14ac:dyDescent="0.2">
      <c r="A627" s="23"/>
      <c r="B627" s="34"/>
      <c r="C627" s="35"/>
      <c r="D627" s="35"/>
      <c r="E627" s="35"/>
      <c r="F627" s="31"/>
    </row>
    <row r="628" spans="1:6" ht="22.5" customHeight="1" x14ac:dyDescent="0.2">
      <c r="A628" s="23"/>
      <c r="B628" s="34"/>
      <c r="C628" s="35"/>
      <c r="D628" s="35"/>
      <c r="E628" s="35"/>
      <c r="F628" s="31"/>
    </row>
    <row r="629" spans="1:6" ht="22.5" customHeight="1" x14ac:dyDescent="0.2">
      <c r="A629" s="23"/>
      <c r="B629" s="34"/>
      <c r="C629" s="35"/>
      <c r="D629" s="35"/>
      <c r="E629" s="35"/>
      <c r="F629" s="31"/>
    </row>
    <row r="630" spans="1:6" ht="22.5" customHeight="1" x14ac:dyDescent="0.2">
      <c r="A630" s="23"/>
      <c r="B630" s="34"/>
      <c r="C630" s="35"/>
      <c r="D630" s="35"/>
      <c r="E630" s="35"/>
      <c r="F630" s="31"/>
    </row>
    <row r="631" spans="1:6" ht="22.5" customHeight="1" x14ac:dyDescent="0.2">
      <c r="A631" s="23"/>
      <c r="B631" s="34"/>
      <c r="C631" s="35"/>
      <c r="D631" s="35"/>
      <c r="E631" s="35"/>
      <c r="F631" s="31"/>
    </row>
    <row r="632" spans="1:6" ht="22.5" customHeight="1" x14ac:dyDescent="0.2">
      <c r="A632" s="23"/>
      <c r="B632" s="34"/>
      <c r="C632" s="35"/>
      <c r="D632" s="35"/>
      <c r="E632" s="35"/>
      <c r="F632" s="31"/>
    </row>
    <row r="633" spans="1:6" ht="22.5" customHeight="1" x14ac:dyDescent="0.2">
      <c r="A633" s="23"/>
      <c r="B633" s="34"/>
      <c r="C633" s="35"/>
      <c r="D633" s="35"/>
      <c r="E633" s="35"/>
      <c r="F633" s="31"/>
    </row>
    <row r="634" spans="1:6" ht="22.5" customHeight="1" x14ac:dyDescent="0.2">
      <c r="A634" s="23"/>
      <c r="B634" s="34"/>
      <c r="C634" s="35"/>
      <c r="D634" s="35"/>
      <c r="E634" s="35"/>
      <c r="F634" s="31"/>
    </row>
    <row r="635" spans="1:6" ht="22.5" customHeight="1" x14ac:dyDescent="0.2">
      <c r="A635" s="23"/>
      <c r="B635" s="34"/>
      <c r="C635" s="35"/>
      <c r="D635" s="35"/>
      <c r="E635" s="35"/>
      <c r="F635" s="31"/>
    </row>
    <row r="636" spans="1:6" ht="22.5" customHeight="1" x14ac:dyDescent="0.2">
      <c r="A636" s="23"/>
      <c r="B636" s="34"/>
      <c r="C636" s="35"/>
      <c r="D636" s="35"/>
      <c r="E636" s="35"/>
      <c r="F636" s="31"/>
    </row>
    <row r="637" spans="1:6" ht="22.5" customHeight="1" x14ac:dyDescent="0.2">
      <c r="A637" s="23"/>
      <c r="B637" s="34"/>
      <c r="C637" s="35"/>
      <c r="D637" s="35"/>
      <c r="E637" s="35"/>
      <c r="F637" s="31"/>
    </row>
    <row r="638" spans="1:6" ht="22.5" customHeight="1" x14ac:dyDescent="0.2">
      <c r="A638" s="23"/>
      <c r="B638" s="34"/>
      <c r="C638" s="35"/>
      <c r="D638" s="35"/>
      <c r="E638" s="35"/>
      <c r="F638" s="31"/>
    </row>
    <row r="639" spans="1:6" ht="22.5" customHeight="1" x14ac:dyDescent="0.2">
      <c r="A639" s="23"/>
      <c r="B639" s="34"/>
      <c r="C639" s="35"/>
      <c r="D639" s="35"/>
      <c r="E639" s="35"/>
      <c r="F639" s="31"/>
    </row>
    <row r="640" spans="1:6" ht="22.5" customHeight="1" x14ac:dyDescent="0.2">
      <c r="A640" s="23"/>
      <c r="B640" s="34"/>
      <c r="C640" s="35"/>
      <c r="D640" s="35"/>
      <c r="E640" s="35"/>
      <c r="F640" s="31"/>
    </row>
    <row r="641" spans="1:6" ht="22.5" customHeight="1" x14ac:dyDescent="0.2">
      <c r="A641" s="23"/>
      <c r="B641" s="34"/>
      <c r="C641" s="35"/>
      <c r="D641" s="35"/>
      <c r="E641" s="35"/>
      <c r="F641" s="31"/>
    </row>
    <row r="642" spans="1:6" ht="22.5" customHeight="1" x14ac:dyDescent="0.2">
      <c r="A642" s="23"/>
      <c r="B642" s="34"/>
      <c r="C642" s="35"/>
      <c r="D642" s="35"/>
      <c r="E642" s="35"/>
      <c r="F642" s="31"/>
    </row>
    <row r="643" spans="1:6" ht="22.5" customHeight="1" x14ac:dyDescent="0.2">
      <c r="A643" s="23"/>
      <c r="B643" s="34"/>
      <c r="C643" s="35"/>
      <c r="D643" s="35"/>
      <c r="E643" s="35"/>
      <c r="F643" s="31"/>
    </row>
    <row r="644" spans="1:6" ht="22.5" customHeight="1" x14ac:dyDescent="0.2">
      <c r="A644" s="23"/>
      <c r="B644" s="34"/>
      <c r="C644" s="35"/>
      <c r="D644" s="35"/>
      <c r="E644" s="35"/>
      <c r="F644" s="31"/>
    </row>
    <row r="645" spans="1:6" ht="22.5" customHeight="1" x14ac:dyDescent="0.2">
      <c r="A645" s="23"/>
      <c r="B645" s="34"/>
      <c r="C645" s="35"/>
      <c r="D645" s="35"/>
      <c r="E645" s="35"/>
      <c r="F645" s="31"/>
    </row>
    <row r="646" spans="1:6" ht="22.5" customHeight="1" x14ac:dyDescent="0.2">
      <c r="A646" s="23"/>
      <c r="B646" s="34"/>
      <c r="C646" s="35"/>
      <c r="D646" s="35"/>
      <c r="E646" s="35"/>
      <c r="F646" s="31"/>
    </row>
    <row r="647" spans="1:6" ht="22.5" customHeight="1" x14ac:dyDescent="0.2">
      <c r="A647" s="23"/>
      <c r="B647" s="34"/>
      <c r="C647" s="35"/>
      <c r="D647" s="35"/>
      <c r="E647" s="35"/>
      <c r="F647" s="31"/>
    </row>
    <row r="648" spans="1:6" ht="22.5" customHeight="1" x14ac:dyDescent="0.2">
      <c r="A648" s="23"/>
      <c r="B648" s="34"/>
      <c r="C648" s="35"/>
      <c r="D648" s="35"/>
      <c r="E648" s="35"/>
      <c r="F648" s="31"/>
    </row>
    <row r="649" spans="1:6" ht="22.5" customHeight="1" x14ac:dyDescent="0.2">
      <c r="A649" s="23"/>
      <c r="B649" s="34"/>
      <c r="C649" s="35"/>
      <c r="D649" s="35"/>
      <c r="E649" s="35"/>
      <c r="F649" s="31"/>
    </row>
    <row r="650" spans="1:6" ht="22.5" customHeight="1" x14ac:dyDescent="0.2">
      <c r="A650" s="23"/>
      <c r="B650" s="34"/>
      <c r="C650" s="35"/>
      <c r="D650" s="35"/>
      <c r="E650" s="35"/>
      <c r="F650" s="31"/>
    </row>
    <row r="651" spans="1:6" ht="22.5" customHeight="1" x14ac:dyDescent="0.2">
      <c r="A651" s="23"/>
      <c r="B651" s="34"/>
      <c r="C651" s="35"/>
      <c r="D651" s="35"/>
      <c r="E651" s="35"/>
      <c r="F651" s="31"/>
    </row>
    <row r="652" spans="1:6" ht="22.5" customHeight="1" x14ac:dyDescent="0.2">
      <c r="A652" s="23"/>
      <c r="B652" s="34"/>
      <c r="C652" s="35"/>
      <c r="D652" s="35"/>
      <c r="E652" s="35"/>
      <c r="F652" s="31"/>
    </row>
    <row r="653" spans="1:6" ht="22.5" customHeight="1" x14ac:dyDescent="0.2">
      <c r="A653" s="23"/>
      <c r="B653" s="34"/>
      <c r="C653" s="35"/>
      <c r="D653" s="35"/>
      <c r="E653" s="35"/>
      <c r="F653" s="31"/>
    </row>
    <row r="654" spans="1:6" ht="22.5" customHeight="1" x14ac:dyDescent="0.2">
      <c r="A654" s="23"/>
      <c r="B654" s="34"/>
      <c r="C654" s="35"/>
      <c r="D654" s="35"/>
      <c r="E654" s="35"/>
      <c r="F654" s="31"/>
    </row>
    <row r="655" spans="1:6" ht="22.5" customHeight="1" x14ac:dyDescent="0.2">
      <c r="A655" s="23"/>
      <c r="B655" s="34"/>
      <c r="C655" s="35"/>
      <c r="D655" s="35"/>
      <c r="E655" s="35"/>
      <c r="F655" s="31"/>
    </row>
    <row r="656" spans="1:6" ht="22.5" customHeight="1" x14ac:dyDescent="0.2">
      <c r="A656" s="23"/>
      <c r="B656" s="34"/>
      <c r="C656" s="35"/>
      <c r="D656" s="35"/>
      <c r="E656" s="35"/>
      <c r="F656" s="31"/>
    </row>
    <row r="657" spans="1:6" ht="22.5" customHeight="1" x14ac:dyDescent="0.2">
      <c r="A657" s="23"/>
      <c r="B657" s="34"/>
      <c r="C657" s="35"/>
      <c r="D657" s="35"/>
      <c r="E657" s="35"/>
      <c r="F657" s="31"/>
    </row>
    <row r="658" spans="1:6" ht="22.5" customHeight="1" x14ac:dyDescent="0.2">
      <c r="A658" s="23"/>
      <c r="B658" s="34"/>
      <c r="C658" s="35"/>
      <c r="D658" s="35"/>
      <c r="E658" s="35"/>
      <c r="F658" s="31"/>
    </row>
    <row r="659" spans="1:6" ht="22.5" customHeight="1" x14ac:dyDescent="0.2">
      <c r="A659" s="23"/>
      <c r="B659" s="34"/>
      <c r="C659" s="35"/>
      <c r="D659" s="35"/>
      <c r="E659" s="35"/>
      <c r="F659" s="31"/>
    </row>
    <row r="660" spans="1:6" ht="22.5" customHeight="1" x14ac:dyDescent="0.2">
      <c r="A660" s="23"/>
      <c r="B660" s="34"/>
      <c r="C660" s="35"/>
      <c r="D660" s="35"/>
      <c r="E660" s="35"/>
      <c r="F660" s="31"/>
    </row>
    <row r="661" spans="1:6" ht="22.5" customHeight="1" x14ac:dyDescent="0.2">
      <c r="A661" s="23"/>
      <c r="B661" s="34"/>
      <c r="C661" s="35"/>
      <c r="D661" s="35"/>
      <c r="E661" s="35"/>
      <c r="F661" s="31"/>
    </row>
    <row r="662" spans="1:6" ht="22.5" customHeight="1" x14ac:dyDescent="0.2">
      <c r="A662" s="23"/>
      <c r="B662" s="34"/>
      <c r="C662" s="35"/>
      <c r="D662" s="35"/>
      <c r="E662" s="35"/>
      <c r="F662" s="31"/>
    </row>
    <row r="663" spans="1:6" ht="22.5" customHeight="1" x14ac:dyDescent="0.2">
      <c r="A663" s="23"/>
      <c r="B663" s="34"/>
      <c r="C663" s="35"/>
      <c r="D663" s="35"/>
      <c r="E663" s="35"/>
      <c r="F663" s="31"/>
    </row>
    <row r="664" spans="1:6" ht="22.5" customHeight="1" x14ac:dyDescent="0.2">
      <c r="A664" s="23"/>
      <c r="B664" s="34"/>
      <c r="C664" s="35"/>
      <c r="D664" s="35"/>
      <c r="E664" s="35"/>
      <c r="F664" s="31"/>
    </row>
    <row r="665" spans="1:6" ht="22.5" customHeight="1" x14ac:dyDescent="0.2">
      <c r="A665" s="23"/>
      <c r="B665" s="34"/>
      <c r="C665" s="35"/>
      <c r="D665" s="35"/>
      <c r="E665" s="35"/>
      <c r="F665" s="31"/>
    </row>
    <row r="666" spans="1:6" ht="22.5" customHeight="1" x14ac:dyDescent="0.2">
      <c r="A666" s="23"/>
      <c r="B666" s="34"/>
      <c r="C666" s="35"/>
      <c r="D666" s="35"/>
      <c r="E666" s="35"/>
      <c r="F666" s="31"/>
    </row>
    <row r="667" spans="1:6" ht="22.5" customHeight="1" x14ac:dyDescent="0.2">
      <c r="A667" s="23"/>
      <c r="B667" s="34"/>
      <c r="C667" s="35"/>
      <c r="D667" s="35"/>
      <c r="E667" s="35"/>
      <c r="F667" s="31"/>
    </row>
    <row r="668" spans="1:6" ht="22.5" customHeight="1" x14ac:dyDescent="0.2">
      <c r="A668" s="23"/>
      <c r="B668" s="34"/>
      <c r="C668" s="35"/>
      <c r="D668" s="35"/>
      <c r="E668" s="35"/>
      <c r="F668" s="31"/>
    </row>
    <row r="669" spans="1:6" ht="22.5" customHeight="1" x14ac:dyDescent="0.2">
      <c r="A669" s="23"/>
      <c r="B669" s="34"/>
      <c r="C669" s="35"/>
      <c r="D669" s="35"/>
      <c r="E669" s="35"/>
      <c r="F669" s="31"/>
    </row>
    <row r="670" spans="1:6" ht="22.5" customHeight="1" x14ac:dyDescent="0.2">
      <c r="A670" s="23"/>
      <c r="B670" s="34"/>
      <c r="C670" s="35"/>
      <c r="D670" s="35"/>
      <c r="E670" s="35"/>
      <c r="F670" s="31"/>
    </row>
    <row r="671" spans="1:6" ht="22.5" customHeight="1" x14ac:dyDescent="0.2">
      <c r="A671" s="23"/>
      <c r="B671" s="34"/>
      <c r="C671" s="35"/>
      <c r="D671" s="35"/>
      <c r="E671" s="35"/>
      <c r="F671" s="31"/>
    </row>
    <row r="672" spans="1:6" ht="22.5" customHeight="1" x14ac:dyDescent="0.2">
      <c r="A672" s="23"/>
      <c r="B672" s="34"/>
      <c r="C672" s="35"/>
      <c r="D672" s="35"/>
      <c r="E672" s="35"/>
      <c r="F672" s="31"/>
    </row>
    <row r="673" spans="1:6" ht="22.5" customHeight="1" x14ac:dyDescent="0.2">
      <c r="A673" s="23"/>
      <c r="B673" s="34"/>
      <c r="C673" s="35"/>
      <c r="D673" s="35"/>
      <c r="E673" s="35"/>
      <c r="F673" s="31"/>
    </row>
    <row r="674" spans="1:6" ht="22.5" customHeight="1" x14ac:dyDescent="0.2">
      <c r="A674" s="23"/>
      <c r="B674" s="34"/>
      <c r="C674" s="35"/>
      <c r="D674" s="35"/>
      <c r="E674" s="35"/>
      <c r="F674" s="31"/>
    </row>
    <row r="675" spans="1:6" ht="22.5" customHeight="1" x14ac:dyDescent="0.2">
      <c r="A675" s="23"/>
      <c r="B675" s="34"/>
      <c r="C675" s="35"/>
      <c r="D675" s="35"/>
      <c r="E675" s="35"/>
      <c r="F675" s="31"/>
    </row>
    <row r="676" spans="1:6" ht="22.5" customHeight="1" x14ac:dyDescent="0.2">
      <c r="A676" s="23"/>
      <c r="B676" s="34"/>
      <c r="C676" s="35"/>
      <c r="D676" s="35"/>
      <c r="E676" s="35"/>
      <c r="F676" s="31"/>
    </row>
    <row r="677" spans="1:6" ht="22.5" customHeight="1" x14ac:dyDescent="0.2">
      <c r="A677" s="23"/>
      <c r="B677" s="34"/>
      <c r="C677" s="35"/>
      <c r="D677" s="35"/>
      <c r="E677" s="35"/>
      <c r="F677" s="31"/>
    </row>
    <row r="678" spans="1:6" ht="22.5" customHeight="1" x14ac:dyDescent="0.2">
      <c r="A678" s="23"/>
      <c r="B678" s="34"/>
      <c r="C678" s="35"/>
      <c r="D678" s="35"/>
      <c r="E678" s="35"/>
      <c r="F678" s="31"/>
    </row>
    <row r="679" spans="1:6" ht="22.5" customHeight="1" x14ac:dyDescent="0.2">
      <c r="A679" s="23"/>
      <c r="B679" s="34"/>
      <c r="C679" s="35"/>
      <c r="D679" s="35"/>
      <c r="E679" s="35"/>
      <c r="F679" s="31"/>
    </row>
    <row r="680" spans="1:6" ht="22.5" customHeight="1" x14ac:dyDescent="0.2">
      <c r="A680" s="23"/>
      <c r="B680" s="34"/>
      <c r="C680" s="35"/>
      <c r="D680" s="35"/>
      <c r="E680" s="35"/>
      <c r="F680" s="31"/>
    </row>
    <row r="681" spans="1:6" ht="22.5" customHeight="1" x14ac:dyDescent="0.2">
      <c r="A681" s="23"/>
      <c r="B681" s="34"/>
      <c r="C681" s="35"/>
      <c r="D681" s="35"/>
      <c r="E681" s="35"/>
      <c r="F681" s="31"/>
    </row>
    <row r="682" spans="1:6" ht="22.5" customHeight="1" x14ac:dyDescent="0.2">
      <c r="A682" s="23"/>
      <c r="B682" s="34"/>
      <c r="C682" s="35"/>
      <c r="D682" s="35"/>
      <c r="E682" s="35"/>
      <c r="F682" s="31"/>
    </row>
    <row r="683" spans="1:6" ht="22.5" customHeight="1" x14ac:dyDescent="0.2">
      <c r="A683" s="23"/>
      <c r="B683" s="34"/>
      <c r="C683" s="35"/>
      <c r="D683" s="35"/>
      <c r="E683" s="35"/>
      <c r="F683" s="31"/>
    </row>
    <row r="684" spans="1:6" ht="22.5" customHeight="1" x14ac:dyDescent="0.2">
      <c r="A684" s="23"/>
      <c r="B684" s="34"/>
      <c r="C684" s="35"/>
      <c r="D684" s="35"/>
      <c r="E684" s="35"/>
      <c r="F684" s="31"/>
    </row>
    <row r="685" spans="1:6" ht="22.5" customHeight="1" x14ac:dyDescent="0.2">
      <c r="A685" s="23"/>
      <c r="B685" s="34"/>
      <c r="C685" s="35"/>
      <c r="D685" s="35"/>
      <c r="E685" s="35"/>
      <c r="F685" s="31"/>
    </row>
    <row r="686" spans="1:6" ht="22.5" customHeight="1" x14ac:dyDescent="0.2">
      <c r="A686" s="23"/>
      <c r="B686" s="34"/>
      <c r="C686" s="35"/>
      <c r="D686" s="35"/>
      <c r="E686" s="35"/>
      <c r="F686" s="31"/>
    </row>
    <row r="687" spans="1:6" ht="22.5" customHeight="1" x14ac:dyDescent="0.2">
      <c r="A687" s="23"/>
      <c r="B687" s="34"/>
      <c r="C687" s="35"/>
      <c r="D687" s="35"/>
      <c r="E687" s="35"/>
      <c r="F687" s="31"/>
    </row>
    <row r="688" spans="1:6" ht="22.5" customHeight="1" x14ac:dyDescent="0.2">
      <c r="A688" s="23"/>
      <c r="B688" s="34"/>
      <c r="C688" s="35"/>
      <c r="D688" s="35"/>
      <c r="E688" s="35"/>
      <c r="F688" s="31"/>
    </row>
    <row r="689" spans="1:6" ht="22.5" customHeight="1" x14ac:dyDescent="0.2">
      <c r="A689" s="23"/>
      <c r="B689" s="34"/>
      <c r="C689" s="35"/>
      <c r="D689" s="35"/>
      <c r="E689" s="35"/>
      <c r="F689" s="31"/>
    </row>
    <row r="690" spans="1:6" ht="22.5" customHeight="1" x14ac:dyDescent="0.2">
      <c r="A690" s="23"/>
      <c r="B690" s="34"/>
      <c r="C690" s="35"/>
      <c r="D690" s="35"/>
      <c r="E690" s="35"/>
      <c r="F690" s="31"/>
    </row>
    <row r="691" spans="1:6" ht="22.5" customHeight="1" x14ac:dyDescent="0.2">
      <c r="A691" s="23"/>
      <c r="B691" s="34"/>
      <c r="C691" s="35"/>
      <c r="D691" s="35"/>
      <c r="E691" s="35"/>
      <c r="F691" s="31"/>
    </row>
    <row r="692" spans="1:6" ht="22.5" customHeight="1" x14ac:dyDescent="0.2">
      <c r="A692" s="23"/>
      <c r="B692" s="34"/>
      <c r="C692" s="35"/>
      <c r="D692" s="35"/>
      <c r="E692" s="35"/>
      <c r="F692" s="31"/>
    </row>
    <row r="693" spans="1:6" ht="22.5" customHeight="1" x14ac:dyDescent="0.2">
      <c r="A693" s="23"/>
      <c r="B693" s="34"/>
      <c r="C693" s="35"/>
      <c r="D693" s="35"/>
      <c r="E693" s="35"/>
      <c r="F693" s="31"/>
    </row>
    <row r="694" spans="1:6" ht="22.5" customHeight="1" x14ac:dyDescent="0.2">
      <c r="A694" s="23"/>
      <c r="B694" s="34"/>
      <c r="C694" s="35"/>
      <c r="D694" s="35"/>
      <c r="E694" s="35"/>
      <c r="F694" s="31"/>
    </row>
    <row r="695" spans="1:6" ht="22.5" customHeight="1" x14ac:dyDescent="0.2">
      <c r="A695" s="23"/>
      <c r="B695" s="34"/>
      <c r="C695" s="35"/>
      <c r="D695" s="35"/>
      <c r="E695" s="35"/>
      <c r="F695" s="31"/>
    </row>
    <row r="696" spans="1:6" ht="22.5" customHeight="1" x14ac:dyDescent="0.2">
      <c r="A696" s="23"/>
      <c r="B696" s="34"/>
      <c r="C696" s="35"/>
      <c r="D696" s="35"/>
      <c r="E696" s="35"/>
      <c r="F696" s="31"/>
    </row>
    <row r="697" spans="1:6" ht="22.5" customHeight="1" x14ac:dyDescent="0.2">
      <c r="A697" s="23"/>
      <c r="B697" s="34"/>
      <c r="C697" s="35"/>
      <c r="D697" s="35"/>
      <c r="E697" s="35"/>
      <c r="F697" s="31"/>
    </row>
    <row r="698" spans="1:6" ht="22.5" customHeight="1" x14ac:dyDescent="0.2">
      <c r="A698" s="23"/>
      <c r="B698" s="34"/>
      <c r="C698" s="35"/>
      <c r="D698" s="35"/>
      <c r="E698" s="35"/>
      <c r="F698" s="31"/>
    </row>
    <row r="699" spans="1:6" ht="22.5" customHeight="1" x14ac:dyDescent="0.2">
      <c r="A699" s="23"/>
      <c r="B699" s="34"/>
      <c r="C699" s="35"/>
      <c r="D699" s="35"/>
      <c r="E699" s="35"/>
      <c r="F699" s="31"/>
    </row>
    <row r="700" spans="1:6" ht="22.5" customHeight="1" x14ac:dyDescent="0.2">
      <c r="A700" s="23"/>
      <c r="B700" s="34"/>
      <c r="C700" s="35"/>
      <c r="D700" s="35"/>
      <c r="E700" s="35"/>
      <c r="F700" s="31"/>
    </row>
    <row r="701" spans="1:6" ht="22.5" customHeight="1" x14ac:dyDescent="0.2">
      <c r="A701" s="23"/>
      <c r="B701" s="34"/>
      <c r="C701" s="35"/>
      <c r="D701" s="35"/>
      <c r="E701" s="35"/>
      <c r="F701" s="31"/>
    </row>
    <row r="702" spans="1:6" ht="22.5" customHeight="1" x14ac:dyDescent="0.2">
      <c r="A702" s="23"/>
      <c r="B702" s="34"/>
      <c r="C702" s="35"/>
      <c r="D702" s="35"/>
      <c r="E702" s="35"/>
      <c r="F702" s="31"/>
    </row>
    <row r="703" spans="1:6" ht="22.5" customHeight="1" x14ac:dyDescent="0.2">
      <c r="A703" s="23"/>
      <c r="B703" s="34"/>
      <c r="C703" s="35"/>
      <c r="D703" s="35"/>
      <c r="E703" s="35"/>
      <c r="F703" s="31"/>
    </row>
    <row r="704" spans="1:6" ht="22.5" customHeight="1" x14ac:dyDescent="0.2">
      <c r="A704" s="23"/>
      <c r="B704" s="34"/>
      <c r="C704" s="35"/>
      <c r="D704" s="35"/>
      <c r="E704" s="35"/>
      <c r="F704" s="31"/>
    </row>
    <row r="705" spans="1:6" ht="22.5" customHeight="1" x14ac:dyDescent="0.2">
      <c r="A705" s="23"/>
      <c r="B705" s="34"/>
      <c r="C705" s="35"/>
      <c r="D705" s="35"/>
      <c r="E705" s="35"/>
      <c r="F705" s="31"/>
    </row>
    <row r="706" spans="1:6" ht="22.5" customHeight="1" x14ac:dyDescent="0.2">
      <c r="A706" s="23"/>
      <c r="B706" s="34"/>
      <c r="C706" s="35"/>
      <c r="D706" s="35"/>
      <c r="E706" s="35"/>
      <c r="F706" s="31"/>
    </row>
    <row r="707" spans="1:6" ht="22.5" customHeight="1" x14ac:dyDescent="0.2">
      <c r="A707" s="23"/>
      <c r="B707" s="34"/>
      <c r="C707" s="35"/>
      <c r="D707" s="35"/>
      <c r="E707" s="35"/>
      <c r="F707" s="31"/>
    </row>
    <row r="708" spans="1:6" ht="22.5" customHeight="1" x14ac:dyDescent="0.2">
      <c r="A708" s="23"/>
      <c r="B708" s="34"/>
      <c r="C708" s="35"/>
      <c r="D708" s="35"/>
      <c r="E708" s="35"/>
      <c r="F708" s="31"/>
    </row>
    <row r="709" spans="1:6" ht="22.5" customHeight="1" x14ac:dyDescent="0.2">
      <c r="A709" s="23"/>
      <c r="B709" s="34"/>
      <c r="C709" s="35"/>
      <c r="D709" s="35"/>
      <c r="E709" s="35"/>
      <c r="F709" s="31"/>
    </row>
    <row r="710" spans="1:6" ht="22.5" customHeight="1" x14ac:dyDescent="0.2">
      <c r="A710" s="23"/>
      <c r="B710" s="34"/>
      <c r="C710" s="35"/>
      <c r="D710" s="35"/>
      <c r="E710" s="35"/>
      <c r="F710" s="31"/>
    </row>
    <row r="711" spans="1:6" ht="22.5" customHeight="1" x14ac:dyDescent="0.2">
      <c r="A711" s="23"/>
      <c r="B711" s="34"/>
      <c r="C711" s="35"/>
      <c r="D711" s="35"/>
      <c r="E711" s="35"/>
      <c r="F711" s="31"/>
    </row>
    <row r="712" spans="1:6" ht="22.5" customHeight="1" x14ac:dyDescent="0.2">
      <c r="A712" s="23"/>
      <c r="B712" s="34"/>
      <c r="C712" s="35"/>
      <c r="D712" s="35"/>
      <c r="E712" s="35"/>
      <c r="F712" s="31"/>
    </row>
    <row r="713" spans="1:6" ht="22.5" customHeight="1" x14ac:dyDescent="0.2">
      <c r="A713" s="23"/>
      <c r="B713" s="34"/>
      <c r="C713" s="35"/>
      <c r="D713" s="35"/>
      <c r="E713" s="35"/>
      <c r="F713" s="31"/>
    </row>
    <row r="714" spans="1:6" ht="22.5" customHeight="1" x14ac:dyDescent="0.2">
      <c r="A714" s="23"/>
      <c r="B714" s="34"/>
      <c r="C714" s="35"/>
      <c r="D714" s="35"/>
      <c r="E714" s="35"/>
      <c r="F714" s="31"/>
    </row>
    <row r="715" spans="1:6" ht="22.5" customHeight="1" x14ac:dyDescent="0.2">
      <c r="A715" s="23"/>
      <c r="B715" s="34"/>
      <c r="C715" s="35"/>
      <c r="D715" s="35"/>
      <c r="E715" s="35"/>
      <c r="F715" s="31"/>
    </row>
    <row r="716" spans="1:6" ht="22.5" customHeight="1" x14ac:dyDescent="0.2">
      <c r="A716" s="23"/>
      <c r="B716" s="34"/>
      <c r="C716" s="35"/>
      <c r="D716" s="35"/>
      <c r="E716" s="35"/>
      <c r="F716" s="31"/>
    </row>
    <row r="717" spans="1:6" ht="22.5" customHeight="1" x14ac:dyDescent="0.2">
      <c r="A717" s="23"/>
      <c r="B717" s="34"/>
      <c r="C717" s="35"/>
      <c r="D717" s="35"/>
      <c r="E717" s="35"/>
      <c r="F717" s="31"/>
    </row>
    <row r="718" spans="1:6" ht="22.5" customHeight="1" x14ac:dyDescent="0.2">
      <c r="A718" s="23"/>
      <c r="B718" s="34"/>
      <c r="C718" s="35"/>
      <c r="D718" s="35"/>
      <c r="E718" s="35"/>
      <c r="F718" s="31"/>
    </row>
    <row r="719" spans="1:6" ht="22.5" customHeight="1" x14ac:dyDescent="0.2">
      <c r="A719" s="23"/>
      <c r="B719" s="34"/>
      <c r="C719" s="35"/>
      <c r="D719" s="35"/>
      <c r="E719" s="35"/>
      <c r="F719" s="31"/>
    </row>
    <row r="720" spans="1:6" ht="22.5" customHeight="1" x14ac:dyDescent="0.2">
      <c r="A720" s="23"/>
      <c r="B720" s="34"/>
      <c r="C720" s="35"/>
      <c r="D720" s="35"/>
      <c r="E720" s="35"/>
      <c r="F720" s="31"/>
    </row>
    <row r="721" spans="1:6" ht="22.5" customHeight="1" x14ac:dyDescent="0.2">
      <c r="A721" s="23"/>
      <c r="B721" s="34"/>
      <c r="C721" s="35"/>
      <c r="D721" s="35"/>
      <c r="E721" s="35"/>
      <c r="F721" s="31"/>
    </row>
    <row r="722" spans="1:6" ht="22.5" customHeight="1" x14ac:dyDescent="0.2">
      <c r="A722" s="23"/>
      <c r="B722" s="34"/>
      <c r="C722" s="35"/>
      <c r="D722" s="35"/>
      <c r="E722" s="35"/>
      <c r="F722" s="31"/>
    </row>
    <row r="723" spans="1:6" ht="22.5" customHeight="1" x14ac:dyDescent="0.2">
      <c r="A723" s="23"/>
      <c r="B723" s="34"/>
      <c r="C723" s="35"/>
      <c r="D723" s="35"/>
      <c r="E723" s="35"/>
      <c r="F723" s="31"/>
    </row>
    <row r="724" spans="1:6" ht="22.5" customHeight="1" x14ac:dyDescent="0.2">
      <c r="A724" s="23"/>
      <c r="B724" s="34"/>
      <c r="C724" s="35"/>
      <c r="D724" s="35"/>
      <c r="E724" s="35"/>
      <c r="F724" s="31"/>
    </row>
    <row r="725" spans="1:6" ht="22.5" customHeight="1" x14ac:dyDescent="0.2">
      <c r="A725" s="23"/>
      <c r="B725" s="34"/>
      <c r="C725" s="35"/>
      <c r="D725" s="35"/>
      <c r="E725" s="35"/>
      <c r="F725" s="31"/>
    </row>
    <row r="726" spans="1:6" ht="22.5" customHeight="1" x14ac:dyDescent="0.2">
      <c r="A726" s="23"/>
      <c r="B726" s="34"/>
      <c r="C726" s="35"/>
      <c r="D726" s="35"/>
      <c r="E726" s="35"/>
      <c r="F726" s="31"/>
    </row>
    <row r="727" spans="1:6" ht="22.5" customHeight="1" x14ac:dyDescent="0.2">
      <c r="A727" s="23"/>
      <c r="B727" s="34"/>
      <c r="C727" s="35"/>
      <c r="D727" s="35"/>
      <c r="E727" s="35"/>
      <c r="F727" s="31"/>
    </row>
    <row r="728" spans="1:6" ht="22.5" customHeight="1" x14ac:dyDescent="0.2">
      <c r="A728" s="23"/>
      <c r="B728" s="34"/>
      <c r="C728" s="35"/>
      <c r="D728" s="35"/>
      <c r="E728" s="35"/>
      <c r="F728" s="31"/>
    </row>
    <row r="729" spans="1:6" ht="22.5" customHeight="1" x14ac:dyDescent="0.2">
      <c r="A729" s="23"/>
      <c r="B729" s="34"/>
      <c r="C729" s="35"/>
      <c r="D729" s="35"/>
      <c r="E729" s="35"/>
      <c r="F729" s="31"/>
    </row>
    <row r="730" spans="1:6" ht="22.5" customHeight="1" x14ac:dyDescent="0.2">
      <c r="A730" s="23"/>
      <c r="B730" s="34"/>
      <c r="C730" s="35"/>
      <c r="D730" s="35"/>
      <c r="E730" s="35"/>
      <c r="F730" s="31"/>
    </row>
    <row r="731" spans="1:6" ht="22.5" customHeight="1" x14ac:dyDescent="0.2">
      <c r="A731" s="23"/>
      <c r="B731" s="34"/>
      <c r="C731" s="35"/>
      <c r="D731" s="35"/>
      <c r="E731" s="35"/>
      <c r="F731" s="31"/>
    </row>
    <row r="732" spans="1:6" ht="22.5" customHeight="1" x14ac:dyDescent="0.2">
      <c r="A732" s="23"/>
      <c r="B732" s="34"/>
      <c r="C732" s="35"/>
      <c r="D732" s="35"/>
      <c r="E732" s="35"/>
      <c r="F732" s="31"/>
    </row>
    <row r="733" spans="1:6" ht="22.5" customHeight="1" x14ac:dyDescent="0.2">
      <c r="A733" s="23"/>
      <c r="B733" s="34"/>
      <c r="C733" s="35"/>
      <c r="D733" s="35"/>
      <c r="E733" s="35"/>
      <c r="F733" s="31"/>
    </row>
    <row r="734" spans="1:6" ht="22.5" customHeight="1" x14ac:dyDescent="0.2">
      <c r="A734" s="23"/>
      <c r="B734" s="34"/>
      <c r="C734" s="35"/>
      <c r="D734" s="35"/>
      <c r="E734" s="35"/>
      <c r="F734" s="31"/>
    </row>
    <row r="735" spans="1:6" ht="22.5" customHeight="1" x14ac:dyDescent="0.2">
      <c r="A735" s="23"/>
      <c r="B735" s="34"/>
      <c r="C735" s="35"/>
      <c r="D735" s="35"/>
      <c r="E735" s="35"/>
      <c r="F735" s="31"/>
    </row>
    <row r="736" spans="1:6" ht="22.5" customHeight="1" x14ac:dyDescent="0.2">
      <c r="A736" s="23"/>
      <c r="B736" s="34"/>
      <c r="C736" s="35"/>
      <c r="D736" s="35"/>
      <c r="E736" s="35"/>
      <c r="F736" s="31"/>
    </row>
    <row r="737" spans="1:6" ht="22.5" customHeight="1" x14ac:dyDescent="0.2">
      <c r="A737" s="23"/>
      <c r="B737" s="34"/>
      <c r="C737" s="35"/>
      <c r="D737" s="35"/>
      <c r="E737" s="35"/>
      <c r="F737" s="31"/>
    </row>
    <row r="738" spans="1:6" ht="22.5" customHeight="1" x14ac:dyDescent="0.2">
      <c r="A738" s="23"/>
      <c r="B738" s="34"/>
      <c r="C738" s="35"/>
      <c r="D738" s="35"/>
      <c r="E738" s="35"/>
      <c r="F738" s="31"/>
    </row>
    <row r="739" spans="1:6" ht="22.5" customHeight="1" x14ac:dyDescent="0.2">
      <c r="A739" s="23"/>
      <c r="B739" s="34"/>
      <c r="C739" s="35"/>
      <c r="D739" s="35"/>
      <c r="E739" s="35"/>
      <c r="F739" s="31"/>
    </row>
    <row r="740" spans="1:6" ht="22.5" customHeight="1" x14ac:dyDescent="0.2">
      <c r="A740" s="23"/>
      <c r="B740" s="34"/>
      <c r="C740" s="35"/>
      <c r="D740" s="35"/>
      <c r="E740" s="35"/>
      <c r="F740" s="31"/>
    </row>
    <row r="741" spans="1:6" ht="22.5" customHeight="1" x14ac:dyDescent="0.2">
      <c r="A741" s="23"/>
      <c r="B741" s="34"/>
      <c r="C741" s="35"/>
      <c r="D741" s="35"/>
      <c r="E741" s="35"/>
      <c r="F741" s="31"/>
    </row>
    <row r="742" spans="1:6" ht="22.5" customHeight="1" x14ac:dyDescent="0.2">
      <c r="A742" s="23"/>
      <c r="B742" s="34"/>
      <c r="C742" s="35"/>
      <c r="D742" s="35"/>
      <c r="E742" s="35"/>
      <c r="F742" s="31"/>
    </row>
    <row r="743" spans="1:6" ht="22.5" customHeight="1" x14ac:dyDescent="0.2">
      <c r="A743" s="23"/>
      <c r="B743" s="34"/>
      <c r="C743" s="35"/>
      <c r="D743" s="35"/>
      <c r="E743" s="35"/>
      <c r="F743" s="31"/>
    </row>
    <row r="744" spans="1:6" ht="22.5" customHeight="1" x14ac:dyDescent="0.2">
      <c r="A744" s="23"/>
      <c r="B744" s="34"/>
      <c r="C744" s="35"/>
      <c r="D744" s="35"/>
      <c r="E744" s="35"/>
      <c r="F744" s="31"/>
    </row>
    <row r="745" spans="1:6" ht="22.5" customHeight="1" x14ac:dyDescent="0.2">
      <c r="A745" s="23"/>
      <c r="B745" s="34"/>
      <c r="C745" s="35"/>
      <c r="D745" s="35"/>
      <c r="E745" s="35"/>
      <c r="F745" s="31"/>
    </row>
    <row r="746" spans="1:6" ht="22.5" customHeight="1" x14ac:dyDescent="0.2">
      <c r="A746" s="23"/>
      <c r="B746" s="34"/>
      <c r="C746" s="35"/>
      <c r="D746" s="35"/>
      <c r="E746" s="35"/>
      <c r="F746" s="31"/>
    </row>
    <row r="747" spans="1:6" ht="22.5" customHeight="1" x14ac:dyDescent="0.2">
      <c r="A747" s="23"/>
      <c r="B747" s="34"/>
      <c r="C747" s="35"/>
      <c r="D747" s="35"/>
      <c r="E747" s="35"/>
      <c r="F747" s="31"/>
    </row>
    <row r="748" spans="1:6" ht="22.5" customHeight="1" x14ac:dyDescent="0.2">
      <c r="A748" s="23"/>
      <c r="B748" s="34"/>
      <c r="C748" s="35"/>
      <c r="D748" s="35"/>
      <c r="E748" s="35"/>
      <c r="F748" s="31"/>
    </row>
    <row r="749" spans="1:6" ht="22.5" customHeight="1" x14ac:dyDescent="0.2">
      <c r="A749" s="23"/>
      <c r="B749" s="34"/>
      <c r="C749" s="35"/>
      <c r="D749" s="35"/>
      <c r="E749" s="35"/>
      <c r="F749" s="31"/>
    </row>
    <row r="750" spans="1:6" ht="22.5" customHeight="1" x14ac:dyDescent="0.2">
      <c r="A750" s="23"/>
      <c r="B750" s="34"/>
      <c r="C750" s="35"/>
      <c r="D750" s="35"/>
      <c r="E750" s="35"/>
      <c r="F750" s="31"/>
    </row>
    <row r="751" spans="1:6" ht="22.5" customHeight="1" x14ac:dyDescent="0.2">
      <c r="A751" s="23"/>
      <c r="B751" s="34"/>
      <c r="C751" s="35"/>
      <c r="D751" s="35"/>
      <c r="E751" s="35"/>
      <c r="F751" s="31"/>
    </row>
    <row r="752" spans="1:6" ht="22.5" customHeight="1" x14ac:dyDescent="0.2">
      <c r="A752" s="23"/>
      <c r="B752" s="34"/>
      <c r="C752" s="35"/>
      <c r="D752" s="35"/>
      <c r="E752" s="35"/>
      <c r="F752" s="31"/>
    </row>
    <row r="753" spans="1:6" ht="22.5" customHeight="1" x14ac:dyDescent="0.2">
      <c r="A753" s="23"/>
      <c r="B753" s="34"/>
      <c r="C753" s="35"/>
      <c r="D753" s="35"/>
      <c r="E753" s="35"/>
      <c r="F753" s="31"/>
    </row>
    <row r="754" spans="1:6" ht="22.5" customHeight="1" x14ac:dyDescent="0.2">
      <c r="A754" s="23"/>
      <c r="B754" s="34"/>
      <c r="C754" s="35"/>
      <c r="D754" s="35"/>
      <c r="E754" s="35"/>
      <c r="F754" s="31"/>
    </row>
    <row r="755" spans="1:6" ht="22.5" customHeight="1" x14ac:dyDescent="0.2">
      <c r="A755" s="23"/>
      <c r="B755" s="34"/>
      <c r="C755" s="35"/>
      <c r="D755" s="35"/>
      <c r="E755" s="35"/>
      <c r="F755" s="31"/>
    </row>
    <row r="756" spans="1:6" ht="22.5" customHeight="1" x14ac:dyDescent="0.2">
      <c r="A756" s="23"/>
      <c r="B756" s="34"/>
      <c r="C756" s="35"/>
      <c r="D756" s="35"/>
      <c r="E756" s="35"/>
      <c r="F756" s="31"/>
    </row>
    <row r="757" spans="1:6" ht="22.5" customHeight="1" x14ac:dyDescent="0.2">
      <c r="A757" s="23"/>
      <c r="B757" s="34"/>
      <c r="C757" s="35"/>
      <c r="D757" s="35"/>
      <c r="E757" s="35"/>
      <c r="F757" s="31"/>
    </row>
    <row r="758" spans="1:6" ht="22.5" customHeight="1" x14ac:dyDescent="0.2">
      <c r="A758" s="23"/>
      <c r="B758" s="34"/>
      <c r="C758" s="35"/>
      <c r="D758" s="35"/>
      <c r="E758" s="35"/>
      <c r="F758" s="31"/>
    </row>
    <row r="759" spans="1:6" ht="22.5" customHeight="1" x14ac:dyDescent="0.2">
      <c r="A759" s="23"/>
      <c r="B759" s="34"/>
      <c r="C759" s="35"/>
      <c r="D759" s="35"/>
      <c r="E759" s="35"/>
      <c r="F759" s="31"/>
    </row>
    <row r="760" spans="1:6" ht="22.5" customHeight="1" x14ac:dyDescent="0.2">
      <c r="A760" s="23"/>
      <c r="B760" s="34"/>
      <c r="C760" s="35"/>
      <c r="D760" s="35"/>
      <c r="E760" s="35"/>
      <c r="F760" s="31"/>
    </row>
    <row r="761" spans="1:6" ht="22.5" customHeight="1" x14ac:dyDescent="0.2">
      <c r="A761" s="23"/>
      <c r="B761" s="34"/>
      <c r="C761" s="35"/>
      <c r="D761" s="35"/>
      <c r="E761" s="35"/>
      <c r="F761" s="31"/>
    </row>
    <row r="762" spans="1:6" ht="22.5" customHeight="1" x14ac:dyDescent="0.2">
      <c r="A762" s="23"/>
      <c r="B762" s="34"/>
      <c r="C762" s="35"/>
      <c r="D762" s="35"/>
      <c r="E762" s="35"/>
      <c r="F762" s="31"/>
    </row>
    <row r="763" spans="1:6" ht="22.5" customHeight="1" x14ac:dyDescent="0.2">
      <c r="A763" s="23"/>
      <c r="B763" s="34"/>
      <c r="C763" s="35"/>
      <c r="D763" s="35"/>
      <c r="E763" s="35"/>
      <c r="F763" s="31"/>
    </row>
    <row r="764" spans="1:6" ht="22.5" customHeight="1" x14ac:dyDescent="0.2">
      <c r="A764" s="23"/>
      <c r="B764" s="34"/>
      <c r="C764" s="35"/>
      <c r="D764" s="35"/>
      <c r="E764" s="35"/>
      <c r="F764" s="31"/>
    </row>
    <row r="765" spans="1:6" ht="22.5" customHeight="1" x14ac:dyDescent="0.2">
      <c r="A765" s="23"/>
      <c r="B765" s="34"/>
      <c r="C765" s="35"/>
      <c r="D765" s="35"/>
      <c r="E765" s="35"/>
      <c r="F765" s="31"/>
    </row>
    <row r="766" spans="1:6" ht="22.5" customHeight="1" x14ac:dyDescent="0.2">
      <c r="A766" s="23"/>
      <c r="B766" s="34"/>
      <c r="C766" s="35"/>
      <c r="D766" s="35"/>
      <c r="E766" s="35"/>
      <c r="F766" s="31"/>
    </row>
    <row r="767" spans="1:6" ht="22.5" customHeight="1" x14ac:dyDescent="0.2">
      <c r="A767" s="23"/>
      <c r="B767" s="34"/>
      <c r="C767" s="35"/>
      <c r="D767" s="35"/>
      <c r="E767" s="35"/>
      <c r="F767" s="31"/>
    </row>
    <row r="768" spans="1:6" ht="22.5" customHeight="1" x14ac:dyDescent="0.2">
      <c r="A768" s="23"/>
      <c r="B768" s="34"/>
      <c r="C768" s="35"/>
      <c r="D768" s="35"/>
      <c r="E768" s="35"/>
      <c r="F768" s="31"/>
    </row>
    <row r="769" spans="1:6" ht="22.5" customHeight="1" x14ac:dyDescent="0.2">
      <c r="A769" s="23"/>
      <c r="B769" s="34"/>
      <c r="C769" s="35"/>
      <c r="D769" s="35"/>
      <c r="E769" s="35"/>
      <c r="F769" s="31"/>
    </row>
    <row r="770" spans="1:6" ht="22.5" customHeight="1" x14ac:dyDescent="0.2">
      <c r="A770" s="23"/>
      <c r="B770" s="34"/>
      <c r="C770" s="35"/>
      <c r="D770" s="35"/>
      <c r="E770" s="35"/>
      <c r="F770" s="31"/>
    </row>
    <row r="771" spans="1:6" ht="22.5" customHeight="1" x14ac:dyDescent="0.2">
      <c r="A771" s="23"/>
      <c r="B771" s="34"/>
      <c r="C771" s="35"/>
      <c r="D771" s="35"/>
      <c r="E771" s="35"/>
      <c r="F771" s="31"/>
    </row>
    <row r="772" spans="1:6" ht="22.5" customHeight="1" x14ac:dyDescent="0.2">
      <c r="A772" s="23"/>
      <c r="B772" s="34"/>
      <c r="C772" s="35"/>
      <c r="D772" s="35"/>
      <c r="E772" s="35"/>
      <c r="F772" s="31"/>
    </row>
    <row r="773" spans="1:6" ht="22.5" customHeight="1" x14ac:dyDescent="0.2">
      <c r="A773" s="23"/>
      <c r="B773" s="34"/>
      <c r="C773" s="35"/>
      <c r="D773" s="35"/>
      <c r="E773" s="35"/>
      <c r="F773" s="31"/>
    </row>
    <row r="774" spans="1:6" ht="22.5" customHeight="1" x14ac:dyDescent="0.2">
      <c r="A774" s="23"/>
      <c r="B774" s="34"/>
      <c r="C774" s="35"/>
      <c r="D774" s="35"/>
      <c r="E774" s="35"/>
      <c r="F774" s="31"/>
    </row>
    <row r="775" spans="1:6" ht="22.5" customHeight="1" x14ac:dyDescent="0.2">
      <c r="A775" s="23"/>
      <c r="B775" s="34"/>
      <c r="C775" s="35"/>
      <c r="D775" s="35"/>
      <c r="E775" s="35"/>
      <c r="F775" s="31"/>
    </row>
    <row r="776" spans="1:6" ht="22.5" customHeight="1" x14ac:dyDescent="0.2">
      <c r="A776" s="23"/>
      <c r="B776" s="34"/>
      <c r="C776" s="35"/>
      <c r="D776" s="35"/>
      <c r="E776" s="35"/>
      <c r="F776" s="31"/>
    </row>
    <row r="777" spans="1:6" ht="22.5" customHeight="1" x14ac:dyDescent="0.2">
      <c r="A777" s="23"/>
      <c r="B777" s="34"/>
      <c r="C777" s="35"/>
      <c r="D777" s="35"/>
      <c r="E777" s="35"/>
      <c r="F777" s="31"/>
    </row>
    <row r="778" spans="1:6" ht="22.5" customHeight="1" x14ac:dyDescent="0.2">
      <c r="A778" s="23"/>
      <c r="B778" s="34"/>
      <c r="C778" s="35"/>
      <c r="D778" s="35"/>
      <c r="E778" s="35"/>
      <c r="F778" s="31"/>
    </row>
    <row r="779" spans="1:6" ht="22.5" customHeight="1" x14ac:dyDescent="0.2">
      <c r="A779" s="23"/>
      <c r="B779" s="34"/>
      <c r="C779" s="35"/>
      <c r="D779" s="35"/>
      <c r="E779" s="35"/>
      <c r="F779" s="31"/>
    </row>
    <row r="780" spans="1:6" ht="22.5" customHeight="1" x14ac:dyDescent="0.2">
      <c r="A780" s="23"/>
      <c r="B780" s="34"/>
      <c r="C780" s="35"/>
      <c r="D780" s="35"/>
      <c r="E780" s="35"/>
      <c r="F780" s="31"/>
    </row>
    <row r="781" spans="1:6" ht="22.5" customHeight="1" x14ac:dyDescent="0.2">
      <c r="A781" s="23"/>
      <c r="B781" s="34"/>
      <c r="C781" s="35"/>
      <c r="D781" s="35"/>
      <c r="E781" s="35"/>
      <c r="F781" s="31"/>
    </row>
    <row r="782" spans="1:6" ht="22.5" customHeight="1" x14ac:dyDescent="0.2">
      <c r="A782" s="23"/>
      <c r="B782" s="34"/>
      <c r="C782" s="35"/>
      <c r="D782" s="35"/>
      <c r="E782" s="35"/>
      <c r="F782" s="31"/>
    </row>
    <row r="783" spans="1:6" ht="22.5" customHeight="1" x14ac:dyDescent="0.2">
      <c r="A783" s="23"/>
      <c r="B783" s="34"/>
      <c r="C783" s="35"/>
      <c r="D783" s="35"/>
      <c r="E783" s="35"/>
      <c r="F783" s="31"/>
    </row>
    <row r="784" spans="1:6" ht="22.5" customHeight="1" x14ac:dyDescent="0.2">
      <c r="A784" s="23"/>
      <c r="B784" s="34"/>
      <c r="C784" s="35"/>
      <c r="D784" s="35"/>
      <c r="E784" s="35"/>
      <c r="F784" s="31"/>
    </row>
    <row r="785" spans="1:6" ht="22.5" customHeight="1" x14ac:dyDescent="0.2">
      <c r="A785" s="23"/>
      <c r="B785" s="34"/>
      <c r="C785" s="35"/>
      <c r="D785" s="35"/>
      <c r="E785" s="35"/>
      <c r="F785" s="31"/>
    </row>
    <row r="786" spans="1:6" ht="22.5" customHeight="1" x14ac:dyDescent="0.2">
      <c r="A786" s="23"/>
      <c r="B786" s="34"/>
      <c r="C786" s="35"/>
      <c r="D786" s="35"/>
      <c r="E786" s="35"/>
      <c r="F786" s="31"/>
    </row>
    <row r="787" spans="1:6" ht="22.5" customHeight="1" x14ac:dyDescent="0.2">
      <c r="A787" s="23"/>
      <c r="B787" s="34"/>
      <c r="C787" s="35"/>
      <c r="D787" s="35"/>
      <c r="E787" s="35"/>
      <c r="F787" s="31"/>
    </row>
    <row r="788" spans="1:6" ht="22.5" customHeight="1" x14ac:dyDescent="0.2">
      <c r="A788" s="23"/>
      <c r="B788" s="34"/>
      <c r="C788" s="35"/>
      <c r="D788" s="35"/>
      <c r="E788" s="35"/>
      <c r="F788" s="31"/>
    </row>
    <row r="789" spans="1:6" ht="22.5" customHeight="1" x14ac:dyDescent="0.2">
      <c r="A789" s="23"/>
      <c r="B789" s="34"/>
      <c r="C789" s="35"/>
      <c r="D789" s="35"/>
      <c r="E789" s="35"/>
      <c r="F789" s="31"/>
    </row>
    <row r="790" spans="1:6" ht="22.5" customHeight="1" x14ac:dyDescent="0.2">
      <c r="A790" s="23"/>
      <c r="B790" s="34"/>
      <c r="C790" s="35"/>
      <c r="D790" s="35"/>
      <c r="E790" s="35"/>
      <c r="F790" s="31"/>
    </row>
    <row r="791" spans="1:6" ht="22.5" customHeight="1" x14ac:dyDescent="0.2">
      <c r="A791" s="23"/>
      <c r="B791" s="34"/>
      <c r="C791" s="35"/>
      <c r="D791" s="35"/>
      <c r="E791" s="35"/>
      <c r="F791" s="31"/>
    </row>
    <row r="792" spans="1:6" ht="22.5" customHeight="1" x14ac:dyDescent="0.2">
      <c r="A792" s="23"/>
      <c r="B792" s="34"/>
      <c r="C792" s="35"/>
      <c r="D792" s="35"/>
      <c r="E792" s="35"/>
      <c r="F792" s="31"/>
    </row>
    <row r="793" spans="1:6" ht="22.5" customHeight="1" x14ac:dyDescent="0.2">
      <c r="A793" s="23"/>
      <c r="B793" s="34"/>
      <c r="C793" s="35"/>
      <c r="D793" s="35"/>
      <c r="E793" s="35"/>
      <c r="F793" s="31"/>
    </row>
    <row r="794" spans="1:6" ht="22.5" customHeight="1" x14ac:dyDescent="0.2">
      <c r="A794" s="23"/>
      <c r="B794" s="34"/>
      <c r="C794" s="35"/>
      <c r="D794" s="35"/>
      <c r="E794" s="35"/>
      <c r="F794" s="31"/>
    </row>
    <row r="795" spans="1:6" ht="22.5" customHeight="1" x14ac:dyDescent="0.2">
      <c r="A795" s="23"/>
      <c r="B795" s="34"/>
      <c r="C795" s="35"/>
      <c r="D795" s="35"/>
      <c r="E795" s="35"/>
      <c r="F795" s="31"/>
    </row>
    <row r="796" spans="1:6" ht="22.5" customHeight="1" x14ac:dyDescent="0.2">
      <c r="A796" s="23"/>
      <c r="B796" s="34"/>
      <c r="C796" s="35"/>
      <c r="D796" s="35"/>
      <c r="E796" s="35"/>
      <c r="F796" s="31"/>
    </row>
    <row r="797" spans="1:6" ht="22.5" customHeight="1" x14ac:dyDescent="0.2">
      <c r="A797" s="23"/>
      <c r="B797" s="34"/>
      <c r="C797" s="35"/>
      <c r="D797" s="35"/>
      <c r="E797" s="35"/>
      <c r="F797" s="31"/>
    </row>
    <row r="798" spans="1:6" ht="22.5" customHeight="1" x14ac:dyDescent="0.2">
      <c r="A798" s="23"/>
      <c r="B798" s="34"/>
      <c r="C798" s="35"/>
      <c r="D798" s="35"/>
      <c r="E798" s="35"/>
      <c r="F798" s="31"/>
    </row>
    <row r="799" spans="1:6" ht="22.5" customHeight="1" x14ac:dyDescent="0.2">
      <c r="A799" s="23"/>
      <c r="B799" s="34"/>
      <c r="C799" s="35"/>
      <c r="D799" s="35"/>
      <c r="E799" s="35"/>
      <c r="F799" s="31"/>
    </row>
    <row r="800" spans="1:6" ht="22.5" customHeight="1" x14ac:dyDescent="0.2">
      <c r="A800" s="23"/>
      <c r="B800" s="34"/>
      <c r="C800" s="35"/>
      <c r="D800" s="35"/>
      <c r="E800" s="35"/>
      <c r="F800" s="31"/>
    </row>
    <row r="801" spans="1:6" ht="22.5" customHeight="1" x14ac:dyDescent="0.2">
      <c r="A801" s="23"/>
      <c r="B801" s="34"/>
      <c r="C801" s="35"/>
      <c r="D801" s="35"/>
      <c r="E801" s="35"/>
      <c r="F801" s="31"/>
    </row>
    <row r="802" spans="1:6" ht="22.5" customHeight="1" x14ac:dyDescent="0.2">
      <c r="A802" s="23"/>
      <c r="B802" s="34"/>
      <c r="C802" s="35"/>
      <c r="D802" s="35"/>
      <c r="E802" s="35"/>
      <c r="F802" s="31"/>
    </row>
    <row r="803" spans="1:6" ht="22.5" customHeight="1" x14ac:dyDescent="0.2">
      <c r="A803" s="23"/>
      <c r="B803" s="34"/>
      <c r="C803" s="35"/>
      <c r="D803" s="35"/>
      <c r="E803" s="35"/>
      <c r="F803" s="31"/>
    </row>
    <row r="804" spans="1:6" ht="22.5" customHeight="1" x14ac:dyDescent="0.2">
      <c r="A804" s="23"/>
      <c r="B804" s="34"/>
      <c r="C804" s="35"/>
      <c r="D804" s="35"/>
      <c r="E804" s="35"/>
      <c r="F804" s="31"/>
    </row>
    <row r="805" spans="1:6" ht="22.5" customHeight="1" x14ac:dyDescent="0.2">
      <c r="A805" s="23"/>
      <c r="B805" s="34"/>
      <c r="C805" s="35"/>
      <c r="D805" s="35"/>
      <c r="E805" s="35"/>
      <c r="F805" s="31"/>
    </row>
    <row r="806" spans="1:6" ht="22.5" customHeight="1" x14ac:dyDescent="0.2">
      <c r="A806" s="23"/>
      <c r="B806" s="34"/>
      <c r="C806" s="35"/>
      <c r="D806" s="35"/>
      <c r="E806" s="35"/>
      <c r="F806" s="31"/>
    </row>
    <row r="807" spans="1:6" ht="22.5" customHeight="1" x14ac:dyDescent="0.2">
      <c r="A807" s="23"/>
      <c r="B807" s="34"/>
      <c r="C807" s="35"/>
      <c r="D807" s="35"/>
      <c r="E807" s="35"/>
      <c r="F807" s="31"/>
    </row>
    <row r="808" spans="1:6" ht="22.5" customHeight="1" x14ac:dyDescent="0.2">
      <c r="A808" s="23"/>
      <c r="B808" s="34"/>
      <c r="C808" s="35"/>
      <c r="D808" s="35"/>
      <c r="E808" s="35"/>
      <c r="F808" s="31"/>
    </row>
    <row r="809" spans="1:6" ht="22.5" customHeight="1" x14ac:dyDescent="0.2">
      <c r="A809" s="23"/>
      <c r="B809" s="34"/>
      <c r="C809" s="35"/>
      <c r="D809" s="35"/>
      <c r="E809" s="35"/>
      <c r="F809" s="31"/>
    </row>
    <row r="810" spans="1:6" ht="22.5" customHeight="1" x14ac:dyDescent="0.2">
      <c r="A810" s="23"/>
      <c r="B810" s="34"/>
      <c r="C810" s="35"/>
      <c r="D810" s="35"/>
      <c r="E810" s="35"/>
      <c r="F810" s="31"/>
    </row>
    <row r="811" spans="1:6" ht="22.5" customHeight="1" x14ac:dyDescent="0.2">
      <c r="A811" s="23"/>
      <c r="B811" s="34"/>
      <c r="C811" s="35"/>
      <c r="D811" s="35"/>
      <c r="E811" s="35"/>
      <c r="F811" s="31"/>
    </row>
    <row r="812" spans="1:6" ht="22.5" customHeight="1" x14ac:dyDescent="0.2">
      <c r="A812" s="23"/>
      <c r="B812" s="34"/>
      <c r="C812" s="35"/>
      <c r="D812" s="35"/>
      <c r="E812" s="35"/>
      <c r="F812" s="31"/>
    </row>
    <row r="813" spans="1:6" ht="22.5" customHeight="1" x14ac:dyDescent="0.2">
      <c r="A813" s="23"/>
      <c r="B813" s="34"/>
      <c r="C813" s="35"/>
      <c r="D813" s="35"/>
      <c r="E813" s="35"/>
      <c r="F813" s="31"/>
    </row>
    <row r="814" spans="1:6" ht="22.5" customHeight="1" x14ac:dyDescent="0.2">
      <c r="A814" s="23"/>
      <c r="B814" s="34"/>
      <c r="C814" s="35"/>
      <c r="D814" s="35"/>
      <c r="E814" s="35"/>
      <c r="F814" s="31"/>
    </row>
    <row r="815" spans="1:6" ht="22.5" customHeight="1" x14ac:dyDescent="0.2">
      <c r="A815" s="23"/>
      <c r="B815" s="34"/>
      <c r="C815" s="35"/>
      <c r="D815" s="35"/>
      <c r="E815" s="35"/>
      <c r="F815" s="31"/>
    </row>
    <row r="816" spans="1:6" ht="22.5" customHeight="1" x14ac:dyDescent="0.2">
      <c r="A816" s="23"/>
      <c r="B816" s="34"/>
      <c r="C816" s="35"/>
      <c r="D816" s="35"/>
      <c r="E816" s="35"/>
      <c r="F816" s="31"/>
    </row>
    <row r="817" spans="1:6" ht="22.5" customHeight="1" x14ac:dyDescent="0.2">
      <c r="A817" s="23"/>
      <c r="B817" s="34"/>
      <c r="C817" s="35"/>
      <c r="D817" s="35"/>
      <c r="E817" s="35"/>
      <c r="F817" s="31"/>
    </row>
    <row r="818" spans="1:6" ht="22.5" customHeight="1" x14ac:dyDescent="0.2">
      <c r="A818" s="23"/>
      <c r="B818" s="34"/>
      <c r="C818" s="35"/>
      <c r="D818" s="35"/>
      <c r="E818" s="35"/>
      <c r="F818" s="31"/>
    </row>
    <row r="819" spans="1:6" ht="22.5" customHeight="1" x14ac:dyDescent="0.2">
      <c r="A819" s="23"/>
      <c r="B819" s="34"/>
      <c r="C819" s="35"/>
      <c r="D819" s="35"/>
      <c r="E819" s="35"/>
      <c r="F819" s="31"/>
    </row>
    <row r="820" spans="1:6" ht="22.5" customHeight="1" x14ac:dyDescent="0.2">
      <c r="A820" s="23"/>
      <c r="B820" s="34"/>
      <c r="C820" s="35"/>
      <c r="D820" s="35"/>
      <c r="E820" s="35"/>
      <c r="F820" s="31"/>
    </row>
    <row r="821" spans="1:6" ht="22.5" customHeight="1" x14ac:dyDescent="0.2">
      <c r="A821" s="23"/>
      <c r="B821" s="34"/>
      <c r="C821" s="35"/>
      <c r="D821" s="35"/>
      <c r="E821" s="35"/>
      <c r="F821" s="31"/>
    </row>
    <row r="822" spans="1:6" ht="22.5" customHeight="1" x14ac:dyDescent="0.2">
      <c r="A822" s="23"/>
      <c r="B822" s="34"/>
      <c r="C822" s="35"/>
      <c r="D822" s="35"/>
      <c r="E822" s="35"/>
      <c r="F822" s="31"/>
    </row>
    <row r="823" spans="1:6" ht="22.5" customHeight="1" x14ac:dyDescent="0.2">
      <c r="A823" s="23"/>
      <c r="B823" s="34"/>
      <c r="C823" s="35"/>
      <c r="D823" s="35"/>
      <c r="E823" s="35"/>
      <c r="F823" s="31"/>
    </row>
    <row r="824" spans="1:6" ht="22.5" customHeight="1" x14ac:dyDescent="0.2">
      <c r="A824" s="23"/>
      <c r="B824" s="34"/>
      <c r="C824" s="35"/>
      <c r="D824" s="35"/>
      <c r="E824" s="35"/>
      <c r="F824" s="31"/>
    </row>
    <row r="825" spans="1:6" ht="22.5" customHeight="1" x14ac:dyDescent="0.2">
      <c r="A825" s="23"/>
      <c r="B825" s="34"/>
      <c r="C825" s="35"/>
      <c r="D825" s="35"/>
      <c r="E825" s="35"/>
      <c r="F825" s="31"/>
    </row>
    <row r="826" spans="1:6" ht="22.5" customHeight="1" x14ac:dyDescent="0.2">
      <c r="A826" s="23"/>
      <c r="B826" s="34"/>
      <c r="C826" s="35"/>
      <c r="D826" s="35"/>
      <c r="E826" s="35"/>
      <c r="F826" s="31"/>
    </row>
    <row r="827" spans="1:6" ht="22.5" customHeight="1" x14ac:dyDescent="0.2">
      <c r="A827" s="23"/>
      <c r="B827" s="34"/>
      <c r="C827" s="35"/>
      <c r="D827" s="35"/>
      <c r="E827" s="35"/>
      <c r="F827" s="31"/>
    </row>
    <row r="828" spans="1:6" ht="22.5" customHeight="1" x14ac:dyDescent="0.2">
      <c r="A828" s="23"/>
      <c r="B828" s="34"/>
      <c r="C828" s="35"/>
      <c r="D828" s="35"/>
      <c r="E828" s="35"/>
      <c r="F828" s="31"/>
    </row>
    <row r="829" spans="1:6" ht="22.5" customHeight="1" x14ac:dyDescent="0.2">
      <c r="A829" s="23"/>
      <c r="B829" s="34"/>
      <c r="C829" s="35"/>
      <c r="D829" s="35"/>
      <c r="E829" s="35"/>
      <c r="F829" s="31"/>
    </row>
    <row r="830" spans="1:6" ht="22.5" customHeight="1" x14ac:dyDescent="0.2">
      <c r="A830" s="23"/>
      <c r="B830" s="34"/>
      <c r="C830" s="35"/>
      <c r="D830" s="35"/>
      <c r="E830" s="35"/>
      <c r="F830" s="31"/>
    </row>
    <row r="831" spans="1:6" ht="22.5" customHeight="1" x14ac:dyDescent="0.2">
      <c r="A831" s="23"/>
      <c r="B831" s="34"/>
      <c r="C831" s="35"/>
      <c r="D831" s="35"/>
      <c r="E831" s="35"/>
      <c r="F831" s="31"/>
    </row>
    <row r="832" spans="1:6" ht="22.5" customHeight="1" x14ac:dyDescent="0.2">
      <c r="A832" s="23"/>
      <c r="B832" s="34"/>
      <c r="C832" s="35"/>
      <c r="D832" s="35"/>
      <c r="E832" s="35"/>
      <c r="F832" s="31"/>
    </row>
    <row r="833" spans="1:6" ht="22.5" customHeight="1" x14ac:dyDescent="0.2">
      <c r="A833" s="23"/>
      <c r="B833" s="34"/>
      <c r="C833" s="35"/>
      <c r="D833" s="35"/>
      <c r="E833" s="35"/>
      <c r="F833" s="31"/>
    </row>
    <row r="834" spans="1:6" ht="22.5" customHeight="1" x14ac:dyDescent="0.2">
      <c r="A834" s="23"/>
      <c r="B834" s="34"/>
      <c r="C834" s="35"/>
      <c r="D834" s="35"/>
      <c r="E834" s="35"/>
      <c r="F834" s="31"/>
    </row>
    <row r="835" spans="1:6" ht="22.5" customHeight="1" x14ac:dyDescent="0.2">
      <c r="A835" s="23"/>
      <c r="B835" s="34"/>
      <c r="C835" s="35"/>
      <c r="D835" s="35"/>
      <c r="E835" s="35"/>
      <c r="F835" s="31"/>
    </row>
    <row r="836" spans="1:6" ht="22.5" customHeight="1" x14ac:dyDescent="0.2">
      <c r="A836" s="23"/>
      <c r="B836" s="34"/>
      <c r="C836" s="35"/>
      <c r="D836" s="35"/>
      <c r="E836" s="35"/>
      <c r="F836" s="31"/>
    </row>
    <row r="837" spans="1:6" ht="22.5" customHeight="1" x14ac:dyDescent="0.2">
      <c r="A837" s="23"/>
      <c r="B837" s="34"/>
      <c r="C837" s="35"/>
      <c r="D837" s="35"/>
      <c r="E837" s="35"/>
      <c r="F837" s="31"/>
    </row>
    <row r="838" spans="1:6" ht="22.5" customHeight="1" x14ac:dyDescent="0.2">
      <c r="A838" s="23"/>
      <c r="B838" s="34"/>
      <c r="C838" s="35"/>
      <c r="D838" s="35"/>
      <c r="E838" s="35"/>
      <c r="F838" s="31"/>
    </row>
    <row r="839" spans="1:6" ht="22.5" customHeight="1" x14ac:dyDescent="0.2">
      <c r="A839" s="23"/>
      <c r="B839" s="34"/>
      <c r="C839" s="35"/>
      <c r="D839" s="35"/>
      <c r="E839" s="35"/>
      <c r="F839" s="31"/>
    </row>
    <row r="840" spans="1:6" ht="22.5" customHeight="1" x14ac:dyDescent="0.2">
      <c r="A840" s="23"/>
      <c r="B840" s="34"/>
      <c r="C840" s="35"/>
      <c r="D840" s="35"/>
      <c r="E840" s="35"/>
      <c r="F840" s="31"/>
    </row>
    <row r="841" spans="1:6" ht="22.5" customHeight="1" x14ac:dyDescent="0.2">
      <c r="A841" s="23"/>
      <c r="B841" s="34"/>
      <c r="C841" s="35"/>
      <c r="D841" s="35"/>
      <c r="E841" s="35"/>
      <c r="F841" s="31"/>
    </row>
    <row r="842" spans="1:6" ht="22.5" customHeight="1" x14ac:dyDescent="0.2">
      <c r="A842" s="23"/>
      <c r="B842" s="34"/>
      <c r="C842" s="35"/>
      <c r="D842" s="35"/>
      <c r="E842" s="35"/>
      <c r="F842" s="31"/>
    </row>
    <row r="843" spans="1:6" ht="22.5" customHeight="1" x14ac:dyDescent="0.2">
      <c r="A843" s="23"/>
      <c r="B843" s="34"/>
      <c r="C843" s="35"/>
      <c r="D843" s="35"/>
      <c r="E843" s="35"/>
      <c r="F843" s="31"/>
    </row>
    <row r="844" spans="1:6" ht="22.5" customHeight="1" x14ac:dyDescent="0.2">
      <c r="A844" s="23"/>
      <c r="B844" s="34"/>
      <c r="C844" s="35"/>
      <c r="D844" s="35"/>
      <c r="E844" s="35"/>
      <c r="F844" s="31"/>
    </row>
    <row r="845" spans="1:6" ht="22.5" customHeight="1" x14ac:dyDescent="0.2">
      <c r="A845" s="23"/>
      <c r="B845" s="34"/>
      <c r="C845" s="35"/>
      <c r="D845" s="35"/>
      <c r="E845" s="35"/>
      <c r="F845" s="31"/>
    </row>
    <row r="846" spans="1:6" ht="22.5" customHeight="1" x14ac:dyDescent="0.2">
      <c r="A846" s="23"/>
      <c r="B846" s="34"/>
      <c r="C846" s="35"/>
      <c r="D846" s="35"/>
      <c r="E846" s="35"/>
      <c r="F846" s="31"/>
    </row>
    <row r="847" spans="1:6" ht="22.5" customHeight="1" x14ac:dyDescent="0.2">
      <c r="A847" s="23"/>
      <c r="B847" s="34"/>
      <c r="C847" s="35"/>
      <c r="D847" s="35"/>
      <c r="E847" s="35"/>
      <c r="F847" s="31"/>
    </row>
    <row r="848" spans="1:6" ht="22.5" customHeight="1" x14ac:dyDescent="0.2">
      <c r="A848" s="23"/>
      <c r="B848" s="34"/>
      <c r="C848" s="35"/>
      <c r="D848" s="35"/>
      <c r="E848" s="35"/>
      <c r="F848" s="31"/>
    </row>
    <row r="849" spans="1:6" ht="22.5" customHeight="1" x14ac:dyDescent="0.2">
      <c r="A849" s="23"/>
      <c r="B849" s="34"/>
      <c r="C849" s="35"/>
      <c r="D849" s="35"/>
      <c r="E849" s="35"/>
      <c r="F849" s="31"/>
    </row>
    <row r="850" spans="1:6" ht="22.5" customHeight="1" x14ac:dyDescent="0.2">
      <c r="A850" s="23"/>
      <c r="B850" s="34"/>
      <c r="C850" s="35"/>
      <c r="D850" s="35"/>
      <c r="E850" s="35"/>
      <c r="F850" s="31"/>
    </row>
    <row r="851" spans="1:6" ht="22.5" customHeight="1" x14ac:dyDescent="0.2">
      <c r="A851" s="23"/>
      <c r="B851" s="34"/>
      <c r="C851" s="35"/>
      <c r="D851" s="35"/>
      <c r="E851" s="35"/>
      <c r="F851" s="31"/>
    </row>
    <row r="852" spans="1:6" ht="22.5" customHeight="1" x14ac:dyDescent="0.2">
      <c r="A852" s="23"/>
      <c r="B852" s="34"/>
      <c r="C852" s="35"/>
      <c r="D852" s="35"/>
      <c r="E852" s="35"/>
      <c r="F852" s="31"/>
    </row>
    <row r="853" spans="1:6" ht="22.5" customHeight="1" x14ac:dyDescent="0.2">
      <c r="A853" s="23"/>
      <c r="B853" s="34"/>
      <c r="C853" s="35"/>
      <c r="D853" s="35"/>
      <c r="E853" s="35"/>
      <c r="F853" s="31"/>
    </row>
    <row r="854" spans="1:6" ht="22.5" customHeight="1" x14ac:dyDescent="0.2">
      <c r="A854" s="23"/>
      <c r="B854" s="34"/>
      <c r="C854" s="35"/>
      <c r="D854" s="35"/>
      <c r="E854" s="35"/>
      <c r="F854" s="31"/>
    </row>
    <row r="855" spans="1:6" ht="22.5" customHeight="1" x14ac:dyDescent="0.2">
      <c r="A855" s="23"/>
      <c r="B855" s="34"/>
      <c r="C855" s="35"/>
      <c r="D855" s="35"/>
      <c r="E855" s="35"/>
      <c r="F855" s="31"/>
    </row>
    <row r="856" spans="1:6" ht="22.5" customHeight="1" x14ac:dyDescent="0.2">
      <c r="A856" s="23"/>
      <c r="B856" s="34"/>
      <c r="C856" s="35"/>
      <c r="D856" s="35"/>
      <c r="E856" s="35"/>
      <c r="F856" s="31"/>
    </row>
    <row r="857" spans="1:6" ht="22.5" customHeight="1" x14ac:dyDescent="0.2">
      <c r="A857" s="23"/>
      <c r="B857" s="34"/>
      <c r="C857" s="35"/>
      <c r="D857" s="35"/>
      <c r="E857" s="35"/>
      <c r="F857" s="31"/>
    </row>
    <row r="858" spans="1:6" ht="22.5" customHeight="1" x14ac:dyDescent="0.2">
      <c r="A858" s="23"/>
      <c r="B858" s="34"/>
      <c r="C858" s="35"/>
      <c r="D858" s="35"/>
      <c r="E858" s="35"/>
      <c r="F858" s="31"/>
    </row>
    <row r="859" spans="1:6" ht="22.5" customHeight="1" x14ac:dyDescent="0.2">
      <c r="A859" s="23"/>
      <c r="B859" s="34"/>
      <c r="C859" s="35"/>
      <c r="D859" s="35"/>
      <c r="E859" s="35"/>
      <c r="F859" s="31"/>
    </row>
    <row r="860" spans="1:6" ht="22.5" customHeight="1" x14ac:dyDescent="0.2">
      <c r="A860" s="23"/>
      <c r="B860" s="34"/>
      <c r="C860" s="35"/>
      <c r="D860" s="35"/>
      <c r="E860" s="35"/>
      <c r="F860" s="31"/>
    </row>
    <row r="861" spans="1:6" ht="22.5" customHeight="1" x14ac:dyDescent="0.2">
      <c r="A861" s="23"/>
      <c r="B861" s="34"/>
      <c r="C861" s="35"/>
      <c r="D861" s="35"/>
      <c r="E861" s="35"/>
      <c r="F861" s="31"/>
    </row>
    <row r="862" spans="1:6" ht="22.5" customHeight="1" x14ac:dyDescent="0.2">
      <c r="A862" s="23"/>
      <c r="B862" s="34"/>
      <c r="C862" s="35"/>
      <c r="D862" s="35"/>
      <c r="E862" s="35"/>
      <c r="F862" s="31"/>
    </row>
    <row r="863" spans="1:6" ht="22.5" customHeight="1" x14ac:dyDescent="0.2">
      <c r="A863" s="23"/>
      <c r="B863" s="34"/>
      <c r="C863" s="35"/>
      <c r="D863" s="35"/>
      <c r="E863" s="35"/>
      <c r="F863" s="31"/>
    </row>
    <row r="864" spans="1:6" ht="22.5" customHeight="1" x14ac:dyDescent="0.2">
      <c r="A864" s="23"/>
      <c r="B864" s="34"/>
      <c r="C864" s="35"/>
      <c r="D864" s="35"/>
      <c r="E864" s="35"/>
      <c r="F864" s="31"/>
    </row>
    <row r="865" spans="1:6" ht="22.5" customHeight="1" x14ac:dyDescent="0.2">
      <c r="A865" s="23"/>
      <c r="B865" s="34"/>
      <c r="C865" s="35"/>
      <c r="D865" s="35"/>
      <c r="E865" s="35"/>
      <c r="F865" s="31"/>
    </row>
    <row r="866" spans="1:6" ht="22.5" customHeight="1" x14ac:dyDescent="0.2">
      <c r="A866" s="23"/>
      <c r="B866" s="34"/>
      <c r="C866" s="35"/>
      <c r="D866" s="35"/>
      <c r="E866" s="35"/>
      <c r="F866" s="31"/>
    </row>
    <row r="867" spans="1:6" ht="22.5" customHeight="1" x14ac:dyDescent="0.2">
      <c r="A867" s="23"/>
      <c r="B867" s="34"/>
      <c r="C867" s="35"/>
      <c r="D867" s="35"/>
      <c r="E867" s="35"/>
      <c r="F867" s="31"/>
    </row>
    <row r="868" spans="1:6" ht="22.5" customHeight="1" x14ac:dyDescent="0.2">
      <c r="A868" s="23"/>
      <c r="B868" s="34"/>
      <c r="C868" s="35"/>
      <c r="D868" s="35"/>
      <c r="E868" s="35"/>
      <c r="F868" s="31"/>
    </row>
    <row r="869" spans="1:6" ht="22.5" customHeight="1" x14ac:dyDescent="0.2">
      <c r="A869" s="23"/>
      <c r="B869" s="34"/>
      <c r="C869" s="35"/>
      <c r="D869" s="35"/>
      <c r="E869" s="35"/>
      <c r="F869" s="31"/>
    </row>
    <row r="870" spans="1:6" ht="22.5" customHeight="1" x14ac:dyDescent="0.2">
      <c r="A870" s="23"/>
      <c r="B870" s="34"/>
      <c r="C870" s="35"/>
      <c r="D870" s="35"/>
      <c r="E870" s="35"/>
      <c r="F870" s="31"/>
    </row>
    <row r="871" spans="1:6" ht="22.5" customHeight="1" x14ac:dyDescent="0.2">
      <c r="A871" s="23"/>
      <c r="B871" s="34"/>
      <c r="C871" s="35"/>
      <c r="D871" s="35"/>
      <c r="E871" s="35"/>
      <c r="F871" s="31"/>
    </row>
    <row r="872" spans="1:6" ht="22.5" customHeight="1" x14ac:dyDescent="0.2">
      <c r="A872" s="23"/>
      <c r="B872" s="34"/>
      <c r="C872" s="35"/>
      <c r="D872" s="35"/>
      <c r="E872" s="35"/>
      <c r="F872" s="31"/>
    </row>
    <row r="873" spans="1:6" ht="22.5" customHeight="1" x14ac:dyDescent="0.2">
      <c r="A873" s="23"/>
      <c r="B873" s="34"/>
      <c r="C873" s="35"/>
      <c r="D873" s="35"/>
      <c r="E873" s="35"/>
      <c r="F873" s="31"/>
    </row>
    <row r="874" spans="1:6" ht="22.5" customHeight="1" x14ac:dyDescent="0.2">
      <c r="A874" s="23"/>
      <c r="B874" s="34"/>
      <c r="C874" s="35"/>
      <c r="D874" s="35"/>
      <c r="E874" s="35"/>
      <c r="F874" s="31"/>
    </row>
    <row r="875" spans="1:6" ht="22.5" customHeight="1" x14ac:dyDescent="0.2">
      <c r="A875" s="23"/>
      <c r="B875" s="34"/>
      <c r="C875" s="35"/>
      <c r="D875" s="35"/>
      <c r="E875" s="35"/>
      <c r="F875" s="31"/>
    </row>
    <row r="876" spans="1:6" ht="22.5" customHeight="1" x14ac:dyDescent="0.2">
      <c r="A876" s="23"/>
      <c r="B876" s="34"/>
      <c r="C876" s="35"/>
      <c r="D876" s="35"/>
      <c r="E876" s="35"/>
      <c r="F876" s="31"/>
    </row>
    <row r="877" spans="1:6" ht="22.5" customHeight="1" x14ac:dyDescent="0.2">
      <c r="A877" s="23"/>
      <c r="B877" s="34"/>
      <c r="C877" s="35"/>
      <c r="D877" s="35"/>
      <c r="E877" s="35"/>
      <c r="F877" s="31"/>
    </row>
    <row r="878" spans="1:6" ht="22.5" customHeight="1" x14ac:dyDescent="0.2">
      <c r="A878" s="23"/>
      <c r="B878" s="34"/>
      <c r="C878" s="35"/>
      <c r="D878" s="35"/>
      <c r="E878" s="35"/>
      <c r="F878" s="31"/>
    </row>
    <row r="879" spans="1:6" ht="22.5" customHeight="1" x14ac:dyDescent="0.2">
      <c r="A879" s="23"/>
      <c r="B879" s="34"/>
      <c r="C879" s="35"/>
      <c r="D879" s="35"/>
      <c r="E879" s="35"/>
      <c r="F879" s="31"/>
    </row>
    <row r="880" spans="1:6" ht="22.5" customHeight="1" x14ac:dyDescent="0.2">
      <c r="A880" s="23"/>
      <c r="B880" s="34"/>
      <c r="C880" s="35"/>
      <c r="D880" s="35"/>
      <c r="E880" s="35"/>
      <c r="F880" s="31"/>
    </row>
    <row r="881" spans="1:6" ht="22.5" customHeight="1" x14ac:dyDescent="0.2">
      <c r="A881" s="23"/>
      <c r="B881" s="34"/>
      <c r="C881" s="35"/>
      <c r="D881" s="35"/>
      <c r="E881" s="35"/>
      <c r="F881" s="31"/>
    </row>
    <row r="882" spans="1:6" ht="22.5" customHeight="1" x14ac:dyDescent="0.2">
      <c r="A882" s="23"/>
      <c r="B882" s="34"/>
      <c r="C882" s="35"/>
      <c r="D882" s="35"/>
      <c r="E882" s="35"/>
      <c r="F882" s="31"/>
    </row>
    <row r="883" spans="1:6" ht="22.5" customHeight="1" x14ac:dyDescent="0.2">
      <c r="A883" s="23"/>
      <c r="B883" s="34"/>
      <c r="C883" s="35"/>
      <c r="D883" s="35"/>
      <c r="E883" s="35"/>
      <c r="F883" s="31"/>
    </row>
    <row r="884" spans="1:6" ht="22.5" customHeight="1" x14ac:dyDescent="0.2">
      <c r="A884" s="23"/>
      <c r="B884" s="34"/>
      <c r="C884" s="35"/>
      <c r="D884" s="35"/>
      <c r="E884" s="35"/>
      <c r="F884" s="31"/>
    </row>
    <row r="885" spans="1:6" ht="22.5" customHeight="1" x14ac:dyDescent="0.2">
      <c r="A885" s="23"/>
      <c r="B885" s="34"/>
      <c r="C885" s="35"/>
      <c r="D885" s="35"/>
      <c r="E885" s="35"/>
      <c r="F885" s="31"/>
    </row>
    <row r="886" spans="1:6" ht="22.5" customHeight="1" x14ac:dyDescent="0.2">
      <c r="A886" s="23"/>
      <c r="B886" s="34"/>
      <c r="C886" s="35"/>
      <c r="D886" s="35"/>
      <c r="E886" s="35"/>
      <c r="F886" s="31"/>
    </row>
    <row r="887" spans="1:6" ht="22.5" customHeight="1" x14ac:dyDescent="0.2">
      <c r="A887" s="23"/>
      <c r="B887" s="34"/>
      <c r="C887" s="35"/>
      <c r="D887" s="35"/>
      <c r="E887" s="35"/>
      <c r="F887" s="31"/>
    </row>
    <row r="888" spans="1:6" ht="22.5" customHeight="1" x14ac:dyDescent="0.2">
      <c r="A888" s="23"/>
      <c r="B888" s="34"/>
      <c r="C888" s="35"/>
      <c r="D888" s="35"/>
      <c r="E888" s="35"/>
      <c r="F888" s="31"/>
    </row>
    <row r="889" spans="1:6" ht="22.5" customHeight="1" x14ac:dyDescent="0.2">
      <c r="A889" s="23"/>
      <c r="B889" s="34"/>
      <c r="C889" s="35"/>
      <c r="D889" s="35"/>
      <c r="E889" s="35"/>
      <c r="F889" s="31"/>
    </row>
    <row r="890" spans="1:6" ht="22.5" customHeight="1" x14ac:dyDescent="0.2">
      <c r="A890" s="23"/>
      <c r="B890" s="34"/>
      <c r="C890" s="35"/>
      <c r="D890" s="35"/>
      <c r="E890" s="35"/>
      <c r="F890" s="31"/>
    </row>
    <row r="891" spans="1:6" ht="22.5" customHeight="1" x14ac:dyDescent="0.2">
      <c r="A891" s="23"/>
      <c r="B891" s="34"/>
      <c r="C891" s="35"/>
      <c r="D891" s="35"/>
      <c r="E891" s="35"/>
      <c r="F891" s="31"/>
    </row>
    <row r="892" spans="1:6" ht="22.5" customHeight="1" x14ac:dyDescent="0.2">
      <c r="A892" s="23"/>
      <c r="B892" s="34"/>
      <c r="C892" s="35"/>
      <c r="D892" s="35"/>
      <c r="E892" s="35"/>
      <c r="F892" s="31"/>
    </row>
    <row r="893" spans="1:6" ht="22.5" customHeight="1" x14ac:dyDescent="0.2">
      <c r="A893" s="23"/>
      <c r="B893" s="34"/>
      <c r="C893" s="35"/>
      <c r="D893" s="35"/>
      <c r="E893" s="35"/>
      <c r="F893" s="31"/>
    </row>
    <row r="894" spans="1:6" ht="22.5" customHeight="1" x14ac:dyDescent="0.2">
      <c r="A894" s="23"/>
      <c r="B894" s="34"/>
      <c r="C894" s="35"/>
      <c r="D894" s="35"/>
      <c r="E894" s="35"/>
      <c r="F894" s="31"/>
    </row>
    <row r="895" spans="1:6" ht="22.5" customHeight="1" x14ac:dyDescent="0.2">
      <c r="A895" s="23"/>
      <c r="B895" s="34"/>
      <c r="C895" s="35"/>
      <c r="D895" s="35"/>
      <c r="E895" s="35"/>
      <c r="F895" s="31"/>
    </row>
    <row r="896" spans="1:6" ht="22.5" customHeight="1" x14ac:dyDescent="0.2">
      <c r="A896" s="23"/>
      <c r="B896" s="34"/>
      <c r="C896" s="35"/>
      <c r="D896" s="35"/>
      <c r="E896" s="35"/>
      <c r="F896" s="31"/>
    </row>
    <row r="897" spans="1:6" ht="22.5" customHeight="1" x14ac:dyDescent="0.2">
      <c r="A897" s="23"/>
      <c r="B897" s="34"/>
      <c r="C897" s="35"/>
      <c r="D897" s="35"/>
      <c r="E897" s="35"/>
      <c r="F897" s="31"/>
    </row>
    <row r="898" spans="1:6" ht="22.5" customHeight="1" x14ac:dyDescent="0.2">
      <c r="A898" s="23"/>
      <c r="B898" s="34"/>
      <c r="C898" s="35"/>
      <c r="D898" s="35"/>
      <c r="E898" s="35"/>
      <c r="F898" s="31"/>
    </row>
    <row r="899" spans="1:6" ht="22.5" customHeight="1" x14ac:dyDescent="0.2">
      <c r="A899" s="23"/>
      <c r="B899" s="34"/>
      <c r="C899" s="35"/>
      <c r="D899" s="35"/>
      <c r="E899" s="35"/>
      <c r="F899" s="31"/>
    </row>
    <row r="900" spans="1:6" ht="22.5" customHeight="1" x14ac:dyDescent="0.2">
      <c r="A900" s="23"/>
      <c r="B900" s="34"/>
      <c r="C900" s="35"/>
      <c r="D900" s="35"/>
      <c r="E900" s="35"/>
      <c r="F900" s="31"/>
    </row>
    <row r="901" spans="1:6" ht="22.5" customHeight="1" x14ac:dyDescent="0.2">
      <c r="A901" s="23"/>
      <c r="B901" s="34"/>
      <c r="C901" s="35"/>
      <c r="D901" s="35"/>
      <c r="E901" s="35"/>
      <c r="F901" s="31"/>
    </row>
    <row r="902" spans="1:6" ht="22.5" customHeight="1" x14ac:dyDescent="0.2">
      <c r="A902" s="23"/>
      <c r="B902" s="34"/>
      <c r="C902" s="35"/>
      <c r="D902" s="35"/>
      <c r="E902" s="35"/>
      <c r="F902" s="31"/>
    </row>
    <row r="903" spans="1:6" ht="22.5" customHeight="1" x14ac:dyDescent="0.2">
      <c r="A903" s="23"/>
      <c r="B903" s="34"/>
      <c r="C903" s="35"/>
      <c r="D903" s="35"/>
      <c r="E903" s="35"/>
      <c r="F903" s="31"/>
    </row>
    <row r="904" spans="1:6" ht="22.5" customHeight="1" x14ac:dyDescent="0.2">
      <c r="A904" s="23"/>
      <c r="B904" s="34"/>
      <c r="C904" s="35"/>
      <c r="D904" s="35"/>
      <c r="E904" s="35"/>
      <c r="F904" s="31"/>
    </row>
    <row r="905" spans="1:6" ht="22.5" customHeight="1" x14ac:dyDescent="0.2">
      <c r="A905" s="23"/>
      <c r="B905" s="34"/>
      <c r="C905" s="35"/>
      <c r="D905" s="35"/>
      <c r="E905" s="35"/>
      <c r="F905" s="31"/>
    </row>
    <row r="906" spans="1:6" ht="22.5" customHeight="1" x14ac:dyDescent="0.2">
      <c r="A906" s="23"/>
      <c r="B906" s="34"/>
      <c r="C906" s="35"/>
      <c r="D906" s="35"/>
      <c r="E906" s="35"/>
      <c r="F906" s="31"/>
    </row>
    <row r="907" spans="1:6" ht="22.5" customHeight="1" x14ac:dyDescent="0.2">
      <c r="A907" s="23"/>
      <c r="B907" s="34"/>
      <c r="C907" s="35"/>
      <c r="D907" s="35"/>
      <c r="E907" s="35"/>
      <c r="F907" s="31"/>
    </row>
    <row r="908" spans="1:6" ht="22.5" customHeight="1" x14ac:dyDescent="0.2">
      <c r="A908" s="23"/>
      <c r="B908" s="34"/>
      <c r="C908" s="35"/>
      <c r="D908" s="35"/>
      <c r="E908" s="35"/>
      <c r="F908" s="31"/>
    </row>
    <row r="909" spans="1:6" ht="22.5" customHeight="1" x14ac:dyDescent="0.2">
      <c r="A909" s="23"/>
      <c r="B909" s="34"/>
      <c r="C909" s="35"/>
      <c r="D909" s="35"/>
      <c r="E909" s="35"/>
      <c r="F909" s="31"/>
    </row>
    <row r="910" spans="1:6" ht="22.5" customHeight="1" x14ac:dyDescent="0.2">
      <c r="A910" s="23"/>
      <c r="B910" s="34"/>
      <c r="C910" s="35"/>
      <c r="D910" s="35"/>
      <c r="E910" s="35"/>
      <c r="F910" s="31"/>
    </row>
    <row r="911" spans="1:6" ht="22.5" customHeight="1" x14ac:dyDescent="0.2">
      <c r="A911" s="23"/>
      <c r="B911" s="34"/>
      <c r="C911" s="35"/>
      <c r="D911" s="35"/>
      <c r="E911" s="35"/>
      <c r="F911" s="31"/>
    </row>
    <row r="912" spans="1:6" ht="22.5" customHeight="1" x14ac:dyDescent="0.2">
      <c r="A912" s="23"/>
      <c r="B912" s="34"/>
      <c r="C912" s="35"/>
      <c r="D912" s="35"/>
      <c r="E912" s="35"/>
      <c r="F912" s="31"/>
    </row>
    <row r="913" spans="1:6" ht="22.5" customHeight="1" x14ac:dyDescent="0.2">
      <c r="A913" s="23"/>
      <c r="B913" s="34"/>
      <c r="C913" s="35"/>
      <c r="D913" s="35"/>
      <c r="E913" s="35"/>
      <c r="F913" s="31"/>
    </row>
    <row r="914" spans="1:6" ht="22.5" customHeight="1" x14ac:dyDescent="0.2">
      <c r="A914" s="23"/>
      <c r="B914" s="34"/>
      <c r="C914" s="35"/>
      <c r="D914" s="35"/>
      <c r="E914" s="35"/>
      <c r="F914" s="31"/>
    </row>
    <row r="915" spans="1:6" ht="22.5" customHeight="1" x14ac:dyDescent="0.2">
      <c r="A915" s="23"/>
      <c r="B915" s="34"/>
      <c r="C915" s="35"/>
      <c r="D915" s="35"/>
      <c r="E915" s="35"/>
      <c r="F915" s="31"/>
    </row>
    <row r="916" spans="1:6" ht="22.5" customHeight="1" x14ac:dyDescent="0.2">
      <c r="A916" s="23"/>
      <c r="B916" s="34"/>
      <c r="C916" s="35"/>
      <c r="D916" s="35"/>
      <c r="E916" s="35"/>
      <c r="F916" s="31"/>
    </row>
    <row r="917" spans="1:6" ht="22.5" customHeight="1" x14ac:dyDescent="0.2">
      <c r="A917" s="23"/>
      <c r="B917" s="34"/>
      <c r="C917" s="35"/>
      <c r="D917" s="35"/>
      <c r="E917" s="35"/>
      <c r="F917" s="31"/>
    </row>
    <row r="918" spans="1:6" ht="22.5" customHeight="1" x14ac:dyDescent="0.2">
      <c r="A918" s="23"/>
      <c r="B918" s="34"/>
      <c r="C918" s="35"/>
      <c r="D918" s="35"/>
      <c r="E918" s="35"/>
      <c r="F918" s="31"/>
    </row>
    <row r="919" spans="1:6" ht="22.5" customHeight="1" x14ac:dyDescent="0.2">
      <c r="A919" s="23"/>
      <c r="B919" s="34"/>
      <c r="C919" s="35"/>
      <c r="D919" s="35"/>
      <c r="E919" s="35"/>
      <c r="F919" s="31"/>
    </row>
    <row r="920" spans="1:6" ht="22.5" customHeight="1" x14ac:dyDescent="0.2">
      <c r="A920" s="23"/>
      <c r="B920" s="34"/>
      <c r="C920" s="35"/>
      <c r="D920" s="35"/>
      <c r="E920" s="35"/>
      <c r="F920" s="31"/>
    </row>
    <row r="921" spans="1:6" ht="22.5" customHeight="1" x14ac:dyDescent="0.2">
      <c r="A921" s="23"/>
      <c r="B921" s="34"/>
      <c r="C921" s="35"/>
      <c r="D921" s="35"/>
      <c r="E921" s="35"/>
      <c r="F921" s="31"/>
    </row>
    <row r="922" spans="1:6" ht="22.5" customHeight="1" x14ac:dyDescent="0.2">
      <c r="A922" s="23"/>
      <c r="B922" s="34"/>
      <c r="C922" s="35"/>
      <c r="D922" s="35"/>
      <c r="E922" s="35"/>
      <c r="F922" s="31"/>
    </row>
    <row r="923" spans="1:6" ht="22.5" customHeight="1" x14ac:dyDescent="0.2">
      <c r="A923" s="23"/>
      <c r="B923" s="34"/>
      <c r="C923" s="35"/>
      <c r="D923" s="35"/>
      <c r="E923" s="35"/>
      <c r="F923" s="31"/>
    </row>
    <row r="924" spans="1:6" ht="22.5" customHeight="1" x14ac:dyDescent="0.2">
      <c r="A924" s="23"/>
      <c r="B924" s="34"/>
      <c r="C924" s="35"/>
      <c r="D924" s="35"/>
      <c r="E924" s="35"/>
      <c r="F924" s="31"/>
    </row>
    <row r="925" spans="1:6" ht="22.5" customHeight="1" x14ac:dyDescent="0.2">
      <c r="A925" s="23"/>
      <c r="B925" s="34"/>
      <c r="C925" s="35"/>
      <c r="D925" s="35"/>
      <c r="E925" s="35"/>
      <c r="F925" s="31"/>
    </row>
    <row r="926" spans="1:6" ht="22.5" customHeight="1" x14ac:dyDescent="0.2">
      <c r="A926" s="23"/>
      <c r="B926" s="34"/>
      <c r="C926" s="35"/>
      <c r="D926" s="35"/>
      <c r="E926" s="35"/>
      <c r="F926" s="31"/>
    </row>
    <row r="927" spans="1:6" ht="22.5" customHeight="1" x14ac:dyDescent="0.2">
      <c r="A927" s="23"/>
      <c r="B927" s="34"/>
      <c r="C927" s="35"/>
      <c r="D927" s="35"/>
      <c r="E927" s="35"/>
      <c r="F927" s="31"/>
    </row>
    <row r="928" spans="1:6" ht="22.5" customHeight="1" x14ac:dyDescent="0.2">
      <c r="A928" s="23"/>
      <c r="B928" s="34"/>
      <c r="C928" s="35"/>
      <c r="D928" s="35"/>
      <c r="E928" s="35"/>
      <c r="F928" s="31"/>
    </row>
    <row r="929" spans="1:6" ht="22.5" customHeight="1" x14ac:dyDescent="0.2">
      <c r="A929" s="23"/>
      <c r="B929" s="34"/>
      <c r="C929" s="35"/>
      <c r="D929" s="35"/>
      <c r="E929" s="35"/>
      <c r="F929" s="31"/>
    </row>
    <row r="930" spans="1:6" ht="22.5" customHeight="1" x14ac:dyDescent="0.2">
      <c r="A930" s="23"/>
      <c r="B930" s="34"/>
      <c r="C930" s="35"/>
      <c r="D930" s="35"/>
      <c r="E930" s="35"/>
      <c r="F930" s="31"/>
    </row>
    <row r="931" spans="1:6" ht="22.5" customHeight="1" x14ac:dyDescent="0.2">
      <c r="A931" s="23"/>
      <c r="B931" s="34"/>
      <c r="C931" s="35"/>
      <c r="D931" s="35"/>
      <c r="E931" s="35"/>
      <c r="F931" s="31"/>
    </row>
    <row r="932" spans="1:6" ht="22.5" customHeight="1" x14ac:dyDescent="0.2">
      <c r="A932" s="23"/>
      <c r="B932" s="34"/>
      <c r="C932" s="35"/>
      <c r="D932" s="35"/>
      <c r="E932" s="35"/>
      <c r="F932" s="31"/>
    </row>
    <row r="933" spans="1:6" ht="22.5" customHeight="1" x14ac:dyDescent="0.2">
      <c r="A933" s="23"/>
      <c r="B933" s="34"/>
      <c r="C933" s="35"/>
      <c r="D933" s="35"/>
      <c r="E933" s="35"/>
      <c r="F933" s="31"/>
    </row>
    <row r="934" spans="1:6" ht="22.5" customHeight="1" x14ac:dyDescent="0.2">
      <c r="A934" s="23"/>
      <c r="B934" s="34"/>
      <c r="C934" s="35"/>
      <c r="D934" s="35"/>
      <c r="E934" s="35"/>
      <c r="F934" s="31"/>
    </row>
    <row r="935" spans="1:6" ht="22.5" customHeight="1" x14ac:dyDescent="0.2">
      <c r="A935" s="23"/>
      <c r="B935" s="34"/>
      <c r="C935" s="35"/>
      <c r="D935" s="35"/>
      <c r="E935" s="35"/>
      <c r="F935" s="31"/>
    </row>
    <row r="936" spans="1:6" ht="22.5" customHeight="1" x14ac:dyDescent="0.2">
      <c r="A936" s="23"/>
      <c r="B936" s="34"/>
      <c r="C936" s="35"/>
      <c r="D936" s="35"/>
      <c r="E936" s="35"/>
      <c r="F936" s="31"/>
    </row>
    <row r="937" spans="1:6" ht="22.5" customHeight="1" x14ac:dyDescent="0.2">
      <c r="A937" s="23"/>
      <c r="B937" s="34"/>
      <c r="C937" s="35"/>
      <c r="D937" s="35"/>
      <c r="E937" s="35"/>
      <c r="F937" s="31"/>
    </row>
    <row r="938" spans="1:6" ht="22.5" customHeight="1" x14ac:dyDescent="0.2">
      <c r="A938" s="23"/>
      <c r="B938" s="34"/>
      <c r="C938" s="35"/>
      <c r="D938" s="35"/>
      <c r="E938" s="35"/>
      <c r="F938" s="31"/>
    </row>
    <row r="939" spans="1:6" ht="22.5" customHeight="1" x14ac:dyDescent="0.2">
      <c r="A939" s="23"/>
      <c r="B939" s="34"/>
      <c r="C939" s="35"/>
      <c r="D939" s="35"/>
      <c r="E939" s="35"/>
      <c r="F939" s="31"/>
    </row>
    <row r="940" spans="1:6" ht="22.5" customHeight="1" x14ac:dyDescent="0.2">
      <c r="A940" s="23"/>
      <c r="B940" s="34"/>
      <c r="C940" s="35"/>
      <c r="D940" s="35"/>
      <c r="E940" s="35"/>
      <c r="F940" s="31"/>
    </row>
    <row r="941" spans="1:6" ht="22.5" customHeight="1" x14ac:dyDescent="0.2">
      <c r="A941" s="23"/>
      <c r="B941" s="34"/>
      <c r="C941" s="35"/>
      <c r="D941" s="35"/>
      <c r="E941" s="35"/>
      <c r="F941" s="31"/>
    </row>
    <row r="942" spans="1:6" ht="22.5" customHeight="1" x14ac:dyDescent="0.2">
      <c r="A942" s="23"/>
      <c r="B942" s="34"/>
      <c r="C942" s="35"/>
      <c r="D942" s="35"/>
      <c r="E942" s="35"/>
      <c r="F942" s="31"/>
    </row>
    <row r="943" spans="1:6" ht="22.5" customHeight="1" x14ac:dyDescent="0.2">
      <c r="A943" s="23"/>
      <c r="B943" s="34"/>
      <c r="C943" s="35"/>
      <c r="D943" s="35"/>
      <c r="E943" s="35"/>
      <c r="F943" s="31"/>
    </row>
    <row r="944" spans="1:6" ht="22.5" customHeight="1" x14ac:dyDescent="0.2">
      <c r="A944" s="23"/>
      <c r="B944" s="34"/>
      <c r="C944" s="35"/>
      <c r="D944" s="35"/>
      <c r="E944" s="35"/>
      <c r="F944" s="31"/>
    </row>
    <row r="945" spans="1:6" ht="22.5" customHeight="1" x14ac:dyDescent="0.2">
      <c r="A945" s="23"/>
      <c r="B945" s="34"/>
      <c r="C945" s="35"/>
      <c r="D945" s="35"/>
      <c r="E945" s="35"/>
      <c r="F945" s="31"/>
    </row>
    <row r="946" spans="1:6" ht="22.5" customHeight="1" x14ac:dyDescent="0.2">
      <c r="A946" s="23"/>
      <c r="B946" s="34"/>
      <c r="C946" s="35"/>
      <c r="D946" s="35"/>
      <c r="E946" s="35"/>
      <c r="F946" s="31"/>
    </row>
    <row r="947" spans="1:6" ht="22.5" customHeight="1" x14ac:dyDescent="0.2">
      <c r="A947" s="23"/>
      <c r="B947" s="34"/>
      <c r="C947" s="35"/>
      <c r="D947" s="35"/>
      <c r="E947" s="35"/>
      <c r="F947" s="31"/>
    </row>
    <row r="948" spans="1:6" ht="22.5" customHeight="1" x14ac:dyDescent="0.2">
      <c r="A948" s="23"/>
      <c r="B948" s="34"/>
      <c r="C948" s="35"/>
      <c r="D948" s="35"/>
      <c r="E948" s="35"/>
      <c r="F948" s="31"/>
    </row>
    <row r="949" spans="1:6" ht="22.5" customHeight="1" x14ac:dyDescent="0.2">
      <c r="A949" s="23"/>
      <c r="B949" s="34"/>
      <c r="C949" s="35"/>
      <c r="D949" s="35"/>
      <c r="E949" s="35"/>
      <c r="F949" s="31"/>
    </row>
    <row r="950" spans="1:6" ht="22.5" customHeight="1" x14ac:dyDescent="0.2">
      <c r="A950" s="23"/>
      <c r="B950" s="34"/>
      <c r="C950" s="35"/>
      <c r="D950" s="35"/>
      <c r="E950" s="35"/>
      <c r="F950" s="31"/>
    </row>
    <row r="951" spans="1:6" ht="22.5" customHeight="1" x14ac:dyDescent="0.2">
      <c r="A951" s="23"/>
      <c r="B951" s="34"/>
      <c r="C951" s="35"/>
      <c r="D951" s="35"/>
      <c r="E951" s="35"/>
      <c r="F951" s="31"/>
    </row>
    <row r="952" spans="1:6" ht="22.5" customHeight="1" x14ac:dyDescent="0.2">
      <c r="A952" s="23"/>
      <c r="B952" s="34"/>
      <c r="C952" s="35"/>
      <c r="D952" s="35"/>
      <c r="E952" s="35"/>
      <c r="F952" s="31"/>
    </row>
    <row r="953" spans="1:6" ht="22.5" customHeight="1" x14ac:dyDescent="0.2">
      <c r="A953" s="23"/>
      <c r="B953" s="34"/>
      <c r="C953" s="35"/>
      <c r="D953" s="35"/>
      <c r="E953" s="35"/>
      <c r="F953" s="31"/>
    </row>
    <row r="954" spans="1:6" ht="22.5" customHeight="1" x14ac:dyDescent="0.2">
      <c r="A954" s="23"/>
      <c r="B954" s="34"/>
      <c r="C954" s="35"/>
      <c r="D954" s="35"/>
      <c r="E954" s="35"/>
      <c r="F954" s="31"/>
    </row>
    <row r="955" spans="1:6" ht="22.5" customHeight="1" x14ac:dyDescent="0.2">
      <c r="A955" s="23"/>
      <c r="B955" s="34"/>
      <c r="C955" s="35"/>
      <c r="D955" s="35"/>
      <c r="E955" s="35"/>
      <c r="F955" s="31"/>
    </row>
    <row r="956" spans="1:6" ht="22.5" customHeight="1" x14ac:dyDescent="0.2">
      <c r="A956" s="23"/>
      <c r="B956" s="34"/>
      <c r="C956" s="35"/>
      <c r="D956" s="35"/>
      <c r="E956" s="35"/>
      <c r="F956" s="31"/>
    </row>
    <row r="957" spans="1:6" ht="22.5" customHeight="1" x14ac:dyDescent="0.2">
      <c r="A957" s="23"/>
      <c r="B957" s="34"/>
      <c r="C957" s="35"/>
      <c r="D957" s="35"/>
      <c r="E957" s="35"/>
      <c r="F957" s="31"/>
    </row>
    <row r="958" spans="1:6" ht="22.5" customHeight="1" x14ac:dyDescent="0.2">
      <c r="A958" s="23"/>
      <c r="B958" s="34"/>
      <c r="C958" s="35"/>
      <c r="D958" s="35"/>
      <c r="E958" s="35"/>
      <c r="F958" s="31"/>
    </row>
    <row r="959" spans="1:6" ht="22.5" customHeight="1" x14ac:dyDescent="0.2">
      <c r="A959" s="23"/>
      <c r="B959" s="34"/>
      <c r="C959" s="35"/>
      <c r="D959" s="35"/>
      <c r="E959" s="35"/>
      <c r="F959" s="31"/>
    </row>
    <row r="960" spans="1:6" ht="22.5" customHeight="1" x14ac:dyDescent="0.2">
      <c r="A960" s="23"/>
      <c r="B960" s="34"/>
      <c r="C960" s="35"/>
      <c r="D960" s="35"/>
      <c r="E960" s="35"/>
      <c r="F960" s="31"/>
    </row>
    <row r="961" spans="1:6" ht="22.5" customHeight="1" x14ac:dyDescent="0.2">
      <c r="A961" s="23"/>
      <c r="B961" s="34"/>
      <c r="C961" s="35"/>
      <c r="D961" s="35"/>
      <c r="E961" s="35"/>
      <c r="F961" s="31"/>
    </row>
    <row r="962" spans="1:6" ht="22.5" customHeight="1" x14ac:dyDescent="0.2">
      <c r="A962" s="23"/>
      <c r="B962" s="34"/>
      <c r="C962" s="35"/>
      <c r="D962" s="35"/>
      <c r="E962" s="35"/>
      <c r="F962" s="31"/>
    </row>
    <row r="963" spans="1:6" ht="22.5" customHeight="1" x14ac:dyDescent="0.2">
      <c r="A963" s="23"/>
      <c r="B963" s="34"/>
      <c r="C963" s="35"/>
      <c r="D963" s="35"/>
      <c r="E963" s="35"/>
      <c r="F963" s="31"/>
    </row>
    <row r="964" spans="1:6" ht="22.5" customHeight="1" x14ac:dyDescent="0.2">
      <c r="A964" s="23"/>
      <c r="B964" s="34"/>
      <c r="C964" s="35"/>
      <c r="D964" s="35"/>
      <c r="E964" s="35"/>
      <c r="F964" s="31"/>
    </row>
    <row r="965" spans="1:6" ht="22.5" customHeight="1" x14ac:dyDescent="0.2">
      <c r="A965" s="23"/>
      <c r="B965" s="34"/>
      <c r="C965" s="35"/>
      <c r="D965" s="35"/>
      <c r="E965" s="35"/>
      <c r="F965" s="31"/>
    </row>
    <row r="966" spans="1:6" ht="22.5" customHeight="1" x14ac:dyDescent="0.2">
      <c r="A966" s="23"/>
      <c r="B966" s="34"/>
      <c r="C966" s="35"/>
      <c r="D966" s="35"/>
      <c r="E966" s="35"/>
      <c r="F966" s="31"/>
    </row>
    <row r="967" spans="1:6" ht="22.5" customHeight="1" x14ac:dyDescent="0.2">
      <c r="A967" s="23"/>
      <c r="B967" s="34"/>
      <c r="C967" s="35"/>
      <c r="D967" s="35"/>
      <c r="E967" s="35"/>
      <c r="F967" s="31"/>
    </row>
    <row r="968" spans="1:6" ht="22.5" customHeight="1" x14ac:dyDescent="0.2">
      <c r="A968" s="23"/>
      <c r="B968" s="34"/>
      <c r="C968" s="35"/>
      <c r="D968" s="35"/>
      <c r="E968" s="35"/>
      <c r="F968" s="31"/>
    </row>
    <row r="969" spans="1:6" ht="22.5" customHeight="1" x14ac:dyDescent="0.2">
      <c r="A969" s="23"/>
      <c r="B969" s="34"/>
      <c r="C969" s="35"/>
      <c r="D969" s="35"/>
      <c r="E969" s="35"/>
      <c r="F969" s="31"/>
    </row>
    <row r="970" spans="1:6" ht="22.5" customHeight="1" x14ac:dyDescent="0.2">
      <c r="A970" s="23"/>
      <c r="B970" s="34"/>
      <c r="C970" s="35"/>
      <c r="D970" s="35"/>
      <c r="E970" s="35"/>
      <c r="F970" s="31"/>
    </row>
    <row r="971" spans="1:6" ht="22.5" customHeight="1" x14ac:dyDescent="0.2">
      <c r="A971" s="23"/>
      <c r="B971" s="34"/>
      <c r="C971" s="35"/>
      <c r="D971" s="35"/>
      <c r="E971" s="35"/>
      <c r="F971" s="31"/>
    </row>
    <row r="972" spans="1:6" ht="22.5" customHeight="1" x14ac:dyDescent="0.2">
      <c r="A972" s="23"/>
      <c r="B972" s="34"/>
      <c r="C972" s="35"/>
      <c r="D972" s="35"/>
      <c r="E972" s="35"/>
      <c r="F972" s="31"/>
    </row>
    <row r="973" spans="1:6" ht="22.5" customHeight="1" x14ac:dyDescent="0.2">
      <c r="A973" s="23"/>
      <c r="B973" s="34"/>
      <c r="C973" s="35"/>
      <c r="D973" s="35"/>
      <c r="E973" s="35"/>
      <c r="F973" s="31"/>
    </row>
    <row r="974" spans="1:6" ht="22.5" customHeight="1" x14ac:dyDescent="0.2">
      <c r="A974" s="23"/>
      <c r="B974" s="34"/>
      <c r="C974" s="35"/>
      <c r="D974" s="35"/>
      <c r="E974" s="35"/>
      <c r="F974" s="31"/>
    </row>
    <row r="975" spans="1:6" ht="22.5" customHeight="1" x14ac:dyDescent="0.2">
      <c r="A975" s="23"/>
      <c r="B975" s="34"/>
      <c r="C975" s="35"/>
      <c r="D975" s="35"/>
      <c r="E975" s="35"/>
      <c r="F975" s="31"/>
    </row>
    <row r="976" spans="1:6" ht="22.5" customHeight="1" x14ac:dyDescent="0.2">
      <c r="A976" s="23"/>
      <c r="B976" s="34"/>
      <c r="C976" s="35"/>
      <c r="D976" s="35"/>
      <c r="E976" s="35"/>
      <c r="F976" s="31"/>
    </row>
    <row r="977" spans="1:6" ht="22.5" customHeight="1" x14ac:dyDescent="0.2">
      <c r="A977" s="23"/>
      <c r="B977" s="34"/>
      <c r="C977" s="35"/>
      <c r="D977" s="35"/>
      <c r="E977" s="35"/>
      <c r="F977" s="31"/>
    </row>
    <row r="978" spans="1:6" ht="22.5" customHeight="1" x14ac:dyDescent="0.2">
      <c r="A978" s="23"/>
      <c r="B978" s="34"/>
      <c r="C978" s="35"/>
      <c r="D978" s="35"/>
      <c r="E978" s="35"/>
      <c r="F978" s="31"/>
    </row>
    <row r="979" spans="1:6" ht="22.5" customHeight="1" x14ac:dyDescent="0.2">
      <c r="A979" s="23"/>
      <c r="B979" s="34"/>
      <c r="C979" s="35"/>
      <c r="D979" s="35"/>
      <c r="E979" s="35"/>
      <c r="F979" s="31"/>
    </row>
    <row r="980" spans="1:6" ht="22.5" customHeight="1" x14ac:dyDescent="0.2">
      <c r="A980" s="23"/>
      <c r="B980" s="34"/>
      <c r="C980" s="35"/>
      <c r="D980" s="35"/>
      <c r="E980" s="35"/>
      <c r="F980" s="31"/>
    </row>
    <row r="981" spans="1:6" ht="22.5" customHeight="1" x14ac:dyDescent="0.2">
      <c r="A981" s="23"/>
      <c r="B981" s="34"/>
      <c r="C981" s="35"/>
      <c r="D981" s="35"/>
      <c r="E981" s="35"/>
      <c r="F981" s="31"/>
    </row>
    <row r="982" spans="1:6" ht="22.5" customHeight="1" x14ac:dyDescent="0.2">
      <c r="A982" s="23"/>
      <c r="B982" s="34"/>
      <c r="C982" s="35"/>
      <c r="D982" s="35"/>
      <c r="E982" s="35"/>
      <c r="F982" s="31"/>
    </row>
    <row r="983" spans="1:6" ht="22.5" customHeight="1" x14ac:dyDescent="0.2">
      <c r="A983" s="23"/>
      <c r="B983" s="34"/>
      <c r="C983" s="35"/>
      <c r="D983" s="35"/>
      <c r="E983" s="35"/>
      <c r="F983" s="31"/>
    </row>
    <row r="984" spans="1:6" ht="22.5" customHeight="1" x14ac:dyDescent="0.2">
      <c r="A984" s="23"/>
      <c r="B984" s="34"/>
      <c r="C984" s="35"/>
      <c r="D984" s="35"/>
      <c r="E984" s="35"/>
      <c r="F984" s="31"/>
    </row>
    <row r="985" spans="1:6" ht="22.5" customHeight="1" x14ac:dyDescent="0.2">
      <c r="A985" s="23"/>
      <c r="B985" s="34"/>
      <c r="C985" s="35"/>
      <c r="D985" s="35"/>
      <c r="E985" s="35"/>
      <c r="F985" s="31"/>
    </row>
    <row r="986" spans="1:6" ht="22.5" customHeight="1" x14ac:dyDescent="0.2">
      <c r="A986" s="23"/>
      <c r="B986" s="34"/>
      <c r="C986" s="35"/>
      <c r="D986" s="35"/>
      <c r="E986" s="35"/>
      <c r="F986" s="31"/>
    </row>
    <row r="987" spans="1:6" ht="22.5" customHeight="1" x14ac:dyDescent="0.2">
      <c r="A987" s="23"/>
      <c r="B987" s="34"/>
      <c r="C987" s="35"/>
      <c r="D987" s="35"/>
      <c r="E987" s="35"/>
      <c r="F987" s="31"/>
    </row>
    <row r="988" spans="1:6" ht="22.5" customHeight="1" x14ac:dyDescent="0.2">
      <c r="A988" s="23"/>
      <c r="B988" s="34"/>
      <c r="C988" s="35"/>
      <c r="D988" s="35"/>
      <c r="E988" s="35"/>
      <c r="F988" s="31"/>
    </row>
    <row r="989" spans="1:6" ht="22.5" customHeight="1" x14ac:dyDescent="0.2">
      <c r="A989" s="23"/>
      <c r="B989" s="34"/>
      <c r="C989" s="35"/>
      <c r="D989" s="35"/>
      <c r="E989" s="35"/>
      <c r="F989" s="31"/>
    </row>
    <row r="990" spans="1:6" ht="22.5" customHeight="1" x14ac:dyDescent="0.2">
      <c r="A990" s="23"/>
      <c r="B990" s="34"/>
      <c r="C990" s="35"/>
      <c r="D990" s="35"/>
      <c r="E990" s="35"/>
      <c r="F990" s="31"/>
    </row>
    <row r="991" spans="1:6" ht="22.5" customHeight="1" x14ac:dyDescent="0.2">
      <c r="A991" s="23"/>
      <c r="B991" s="34"/>
      <c r="C991" s="35"/>
      <c r="D991" s="35"/>
      <c r="E991" s="35"/>
      <c r="F991" s="31"/>
    </row>
    <row r="992" spans="1:6" ht="22.5" customHeight="1" x14ac:dyDescent="0.2">
      <c r="A992" s="23"/>
      <c r="B992" s="34"/>
      <c r="C992" s="35"/>
      <c r="D992" s="35"/>
      <c r="E992" s="35"/>
      <c r="F992" s="31"/>
    </row>
    <row r="993" spans="1:6" ht="22.5" customHeight="1" x14ac:dyDescent="0.2">
      <c r="A993" s="23"/>
      <c r="B993" s="34"/>
      <c r="C993" s="35"/>
      <c r="D993" s="35"/>
      <c r="E993" s="35"/>
      <c r="F993" s="31"/>
    </row>
    <row r="994" spans="1:6" ht="22.5" customHeight="1" x14ac:dyDescent="0.2">
      <c r="A994" s="23"/>
      <c r="B994" s="34"/>
      <c r="C994" s="35"/>
      <c r="D994" s="35"/>
      <c r="E994" s="35"/>
      <c r="F994" s="31"/>
    </row>
    <row r="995" spans="1:6" ht="22.5" customHeight="1" x14ac:dyDescent="0.2">
      <c r="A995" s="23"/>
      <c r="B995" s="34"/>
      <c r="C995" s="35"/>
      <c r="D995" s="35"/>
      <c r="E995" s="35"/>
      <c r="F995" s="31"/>
    </row>
    <row r="996" spans="1:6" ht="22.5" customHeight="1" x14ac:dyDescent="0.2">
      <c r="A996" s="23"/>
      <c r="B996" s="34"/>
      <c r="C996" s="35"/>
      <c r="D996" s="35"/>
      <c r="E996" s="35"/>
      <c r="F996" s="31"/>
    </row>
    <row r="997" spans="1:6" ht="22.5" customHeight="1" x14ac:dyDescent="0.2">
      <c r="A997" s="23"/>
      <c r="B997" s="34"/>
      <c r="C997" s="35"/>
      <c r="D997" s="35"/>
      <c r="E997" s="35"/>
      <c r="F997" s="31"/>
    </row>
    <row r="998" spans="1:6" ht="22.5" customHeight="1" x14ac:dyDescent="0.2">
      <c r="A998" s="23"/>
      <c r="B998" s="34"/>
      <c r="C998" s="35"/>
      <c r="D998" s="35"/>
      <c r="E998" s="35"/>
      <c r="F998" s="31"/>
    </row>
    <row r="999" spans="1:6" ht="22.5" customHeight="1" x14ac:dyDescent="0.2">
      <c r="A999" s="23"/>
      <c r="B999" s="34"/>
      <c r="C999" s="35"/>
      <c r="D999" s="35"/>
      <c r="E999" s="35"/>
      <c r="F999" s="31"/>
    </row>
    <row r="1000" spans="1:6" ht="22.5" customHeight="1" x14ac:dyDescent="0.2">
      <c r="A1000" s="23"/>
      <c r="B1000" s="34"/>
      <c r="C1000" s="35"/>
      <c r="D1000" s="35"/>
      <c r="E1000" s="35"/>
      <c r="F1000" s="31"/>
    </row>
    <row r="1001" spans="1:6" ht="22.5" customHeight="1" x14ac:dyDescent="0.2">
      <c r="A1001" s="23"/>
      <c r="B1001" s="34"/>
      <c r="C1001" s="35"/>
      <c r="D1001" s="35"/>
      <c r="E1001" s="35"/>
      <c r="F1001" s="31"/>
    </row>
    <row r="1002" spans="1:6" ht="22.5" customHeight="1" x14ac:dyDescent="0.2">
      <c r="A1002" s="23"/>
      <c r="B1002" s="34"/>
      <c r="C1002" s="35"/>
      <c r="D1002" s="35"/>
      <c r="E1002" s="35"/>
      <c r="F1002" s="31"/>
    </row>
    <row r="1003" spans="1:6" ht="22.5" customHeight="1" x14ac:dyDescent="0.2">
      <c r="A1003" s="23"/>
      <c r="B1003" s="34"/>
      <c r="C1003" s="35"/>
      <c r="D1003" s="35"/>
      <c r="E1003" s="35"/>
      <c r="F1003" s="31"/>
    </row>
    <row r="1004" spans="1:6" ht="22.5" customHeight="1" x14ac:dyDescent="0.2">
      <c r="A1004" s="23"/>
      <c r="B1004" s="34"/>
      <c r="C1004" s="35"/>
      <c r="D1004" s="35"/>
      <c r="E1004" s="35"/>
      <c r="F1004" s="31"/>
    </row>
    <row r="1005" spans="1:6" ht="22.5" customHeight="1" x14ac:dyDescent="0.2">
      <c r="A1005" s="23"/>
      <c r="B1005" s="34"/>
      <c r="C1005" s="35"/>
      <c r="D1005" s="35"/>
      <c r="E1005" s="35"/>
      <c r="F1005" s="31"/>
    </row>
    <row r="1006" spans="1:6" ht="22.5" customHeight="1" x14ac:dyDescent="0.2">
      <c r="A1006" s="23"/>
      <c r="B1006" s="34"/>
      <c r="C1006" s="35"/>
      <c r="D1006" s="35"/>
      <c r="E1006" s="35"/>
      <c r="F1006" s="31"/>
    </row>
    <row r="1007" spans="1:6" ht="22.5" customHeight="1" x14ac:dyDescent="0.2">
      <c r="A1007" s="23"/>
      <c r="B1007" s="34"/>
      <c r="C1007" s="35"/>
      <c r="D1007" s="35"/>
      <c r="E1007" s="35"/>
      <c r="F1007" s="31"/>
    </row>
    <row r="1008" spans="1:6" ht="22.5" customHeight="1" x14ac:dyDescent="0.2">
      <c r="A1008" s="23"/>
      <c r="B1008" s="34"/>
      <c r="C1008" s="35"/>
      <c r="D1008" s="35"/>
      <c r="E1008" s="35"/>
      <c r="F1008" s="31"/>
    </row>
    <row r="1009" spans="1:6" ht="22.5" customHeight="1" x14ac:dyDescent="0.2">
      <c r="A1009" s="23"/>
      <c r="B1009" s="34"/>
      <c r="C1009" s="35"/>
      <c r="D1009" s="35"/>
      <c r="E1009" s="35"/>
      <c r="F1009" s="31"/>
    </row>
    <row r="1010" spans="1:6" ht="22.5" customHeight="1" x14ac:dyDescent="0.2">
      <c r="A1010" s="23"/>
      <c r="B1010" s="34"/>
      <c r="C1010" s="35"/>
      <c r="D1010" s="35"/>
      <c r="E1010" s="35"/>
      <c r="F1010" s="31"/>
    </row>
    <row r="1011" spans="1:6" ht="22.5" customHeight="1" x14ac:dyDescent="0.2">
      <c r="A1011" s="23"/>
      <c r="B1011" s="34"/>
      <c r="C1011" s="35"/>
      <c r="D1011" s="35"/>
      <c r="E1011" s="35"/>
      <c r="F1011" s="31"/>
    </row>
    <row r="1012" spans="1:6" ht="22.5" customHeight="1" x14ac:dyDescent="0.2">
      <c r="A1012" s="23"/>
      <c r="B1012" s="34"/>
      <c r="C1012" s="35"/>
      <c r="D1012" s="35"/>
      <c r="E1012" s="35"/>
      <c r="F1012" s="31"/>
    </row>
    <row r="1013" spans="1:6" ht="22.5" customHeight="1" x14ac:dyDescent="0.2">
      <c r="A1013" s="23"/>
      <c r="B1013" s="34"/>
      <c r="C1013" s="35"/>
      <c r="D1013" s="35"/>
      <c r="E1013" s="35"/>
      <c r="F1013" s="31"/>
    </row>
    <row r="1014" spans="1:6" ht="22.5" customHeight="1" x14ac:dyDescent="0.2">
      <c r="A1014" s="23"/>
      <c r="B1014" s="34"/>
      <c r="C1014" s="35"/>
      <c r="D1014" s="35"/>
      <c r="E1014" s="35"/>
      <c r="F1014" s="31"/>
    </row>
    <row r="1015" spans="1:6" ht="22.5" customHeight="1" x14ac:dyDescent="0.2">
      <c r="A1015" s="23"/>
      <c r="B1015" s="34"/>
      <c r="C1015" s="35"/>
      <c r="D1015" s="35"/>
      <c r="E1015" s="35"/>
      <c r="F1015" s="31"/>
    </row>
    <row r="1016" spans="1:6" ht="22.5" customHeight="1" x14ac:dyDescent="0.2">
      <c r="A1016" s="23"/>
      <c r="B1016" s="34"/>
      <c r="C1016" s="35"/>
      <c r="D1016" s="35"/>
      <c r="E1016" s="35"/>
      <c r="F1016" s="31"/>
    </row>
    <row r="1017" spans="1:6" ht="22.5" customHeight="1" x14ac:dyDescent="0.2">
      <c r="A1017" s="23"/>
      <c r="B1017" s="34"/>
      <c r="C1017" s="35"/>
      <c r="D1017" s="35"/>
      <c r="E1017" s="35"/>
      <c r="F1017" s="31"/>
    </row>
    <row r="1018" spans="1:6" ht="22.5" customHeight="1" x14ac:dyDescent="0.2">
      <c r="A1018" s="23"/>
      <c r="B1018" s="34"/>
      <c r="C1018" s="35"/>
      <c r="D1018" s="35"/>
      <c r="E1018" s="35"/>
      <c r="F1018" s="31"/>
    </row>
    <row r="1019" spans="1:6" ht="22.5" customHeight="1" x14ac:dyDescent="0.2">
      <c r="A1019" s="23"/>
      <c r="B1019" s="34"/>
      <c r="C1019" s="35"/>
      <c r="D1019" s="35"/>
      <c r="E1019" s="35"/>
      <c r="F1019" s="31"/>
    </row>
    <row r="1020" spans="1:6" ht="22.5" customHeight="1" x14ac:dyDescent="0.2">
      <c r="A1020" s="23"/>
      <c r="B1020" s="34"/>
      <c r="C1020" s="35"/>
      <c r="D1020" s="35"/>
      <c r="E1020" s="35"/>
      <c r="F1020" s="31"/>
    </row>
    <row r="1021" spans="1:6" ht="22.5" customHeight="1" x14ac:dyDescent="0.2">
      <c r="A1021" s="23"/>
      <c r="B1021" s="34"/>
      <c r="C1021" s="35"/>
      <c r="D1021" s="35"/>
      <c r="E1021" s="35"/>
      <c r="F1021" s="31"/>
    </row>
    <row r="1022" spans="1:6" ht="22.5" customHeight="1" x14ac:dyDescent="0.2">
      <c r="A1022" s="23"/>
      <c r="B1022" s="34"/>
      <c r="C1022" s="35"/>
      <c r="D1022" s="35"/>
      <c r="E1022" s="35"/>
      <c r="F1022" s="31"/>
    </row>
    <row r="1023" spans="1:6" ht="22.5" customHeight="1" x14ac:dyDescent="0.2">
      <c r="A1023" s="23"/>
      <c r="B1023" s="34"/>
      <c r="C1023" s="35"/>
      <c r="D1023" s="35"/>
      <c r="E1023" s="35"/>
      <c r="F1023" s="31"/>
    </row>
    <row r="1024" spans="1:6" ht="22.5" customHeight="1" x14ac:dyDescent="0.2">
      <c r="A1024" s="23"/>
      <c r="B1024" s="34"/>
      <c r="C1024" s="35"/>
      <c r="D1024" s="35"/>
      <c r="E1024" s="35"/>
      <c r="F1024" s="31"/>
    </row>
    <row r="1025" spans="1:6" ht="22.5" customHeight="1" x14ac:dyDescent="0.2">
      <c r="A1025" s="23"/>
      <c r="B1025" s="34"/>
      <c r="C1025" s="35"/>
      <c r="D1025" s="35"/>
      <c r="E1025" s="35"/>
      <c r="F1025" s="31"/>
    </row>
    <row r="1026" spans="1:6" ht="22.5" customHeight="1" x14ac:dyDescent="0.2">
      <c r="A1026" s="23"/>
      <c r="B1026" s="34"/>
      <c r="C1026" s="35"/>
      <c r="D1026" s="35"/>
      <c r="E1026" s="35"/>
      <c r="F1026" s="31"/>
    </row>
    <row r="1027" spans="1:6" ht="22.5" customHeight="1" x14ac:dyDescent="0.2">
      <c r="A1027" s="23"/>
      <c r="B1027" s="34"/>
      <c r="C1027" s="35"/>
      <c r="D1027" s="35"/>
      <c r="E1027" s="35"/>
      <c r="F1027" s="31"/>
    </row>
    <row r="1028" spans="1:6" ht="22.5" customHeight="1" x14ac:dyDescent="0.2">
      <c r="A1028" s="23"/>
      <c r="B1028" s="34"/>
      <c r="C1028" s="35"/>
      <c r="D1028" s="35"/>
      <c r="E1028" s="35"/>
      <c r="F1028" s="31"/>
    </row>
    <row r="1029" spans="1:6" ht="22.5" customHeight="1" x14ac:dyDescent="0.2">
      <c r="A1029" s="23"/>
      <c r="B1029" s="34"/>
      <c r="C1029" s="35"/>
      <c r="D1029" s="35"/>
      <c r="E1029" s="35"/>
      <c r="F1029" s="31"/>
    </row>
    <row r="1030" spans="1:6" ht="22.5" customHeight="1" x14ac:dyDescent="0.2">
      <c r="A1030" s="23"/>
      <c r="B1030" s="34"/>
      <c r="C1030" s="35"/>
      <c r="D1030" s="35"/>
      <c r="E1030" s="35"/>
      <c r="F1030" s="31"/>
    </row>
    <row r="1031" spans="1:6" ht="22.5" customHeight="1" x14ac:dyDescent="0.2">
      <c r="A1031" s="23"/>
      <c r="B1031" s="34"/>
      <c r="C1031" s="35"/>
      <c r="D1031" s="35"/>
      <c r="E1031" s="35"/>
      <c r="F1031" s="31"/>
    </row>
    <row r="1032" spans="1:6" ht="22.5" customHeight="1" x14ac:dyDescent="0.2">
      <c r="A1032" s="23"/>
      <c r="B1032" s="34"/>
      <c r="C1032" s="35"/>
      <c r="D1032" s="35"/>
      <c r="E1032" s="35"/>
      <c r="F1032" s="31"/>
    </row>
    <row r="1033" spans="1:6" ht="22.5" customHeight="1" x14ac:dyDescent="0.2">
      <c r="A1033" s="23"/>
      <c r="B1033" s="34"/>
      <c r="C1033" s="35"/>
      <c r="D1033" s="35"/>
      <c r="E1033" s="35"/>
      <c r="F1033" s="31"/>
    </row>
    <row r="1034" spans="1:6" ht="22.5" customHeight="1" x14ac:dyDescent="0.2">
      <c r="A1034" s="23"/>
      <c r="B1034" s="34"/>
      <c r="C1034" s="35"/>
      <c r="D1034" s="35"/>
      <c r="E1034" s="35"/>
      <c r="F1034" s="31"/>
    </row>
    <row r="1035" spans="1:6" ht="22.5" customHeight="1" x14ac:dyDescent="0.2">
      <c r="A1035" s="23"/>
      <c r="B1035" s="34"/>
      <c r="C1035" s="35"/>
      <c r="D1035" s="35"/>
      <c r="E1035" s="35"/>
      <c r="F1035" s="31"/>
    </row>
    <row r="1036" spans="1:6" ht="22.5" customHeight="1" x14ac:dyDescent="0.2">
      <c r="A1036" s="23"/>
      <c r="B1036" s="34"/>
      <c r="C1036" s="35"/>
      <c r="D1036" s="35"/>
      <c r="E1036" s="35"/>
      <c r="F1036" s="31"/>
    </row>
    <row r="1037" spans="1:6" ht="22.5" customHeight="1" x14ac:dyDescent="0.2">
      <c r="A1037" s="23"/>
      <c r="B1037" s="34"/>
      <c r="C1037" s="35"/>
      <c r="D1037" s="35"/>
      <c r="E1037" s="35"/>
      <c r="F1037" s="31"/>
    </row>
    <row r="1038" spans="1:6" ht="22.5" customHeight="1" x14ac:dyDescent="0.2">
      <c r="A1038" s="23"/>
      <c r="B1038" s="34"/>
      <c r="C1038" s="35"/>
      <c r="D1038" s="35"/>
      <c r="E1038" s="35"/>
      <c r="F1038" s="31"/>
    </row>
    <row r="1039" spans="1:6" ht="22.5" customHeight="1" x14ac:dyDescent="0.2">
      <c r="A1039" s="23"/>
      <c r="B1039" s="34"/>
      <c r="C1039" s="35"/>
      <c r="D1039" s="35"/>
      <c r="E1039" s="35"/>
      <c r="F1039" s="31"/>
    </row>
    <row r="1040" spans="1:6" ht="22.5" customHeight="1" x14ac:dyDescent="0.2">
      <c r="A1040" s="23"/>
      <c r="B1040" s="34"/>
      <c r="C1040" s="35"/>
      <c r="D1040" s="35"/>
      <c r="E1040" s="35"/>
      <c r="F1040" s="31"/>
    </row>
    <row r="1041" spans="1:6" ht="22.5" customHeight="1" x14ac:dyDescent="0.2">
      <c r="A1041" s="23"/>
      <c r="B1041" s="34"/>
      <c r="C1041" s="35"/>
      <c r="D1041" s="35"/>
      <c r="E1041" s="35"/>
      <c r="F1041" s="31"/>
    </row>
    <row r="1042" spans="1:6" ht="22.5" customHeight="1" x14ac:dyDescent="0.2">
      <c r="A1042" s="23"/>
      <c r="B1042" s="34"/>
      <c r="C1042" s="35"/>
      <c r="D1042" s="35"/>
      <c r="E1042" s="35"/>
      <c r="F1042" s="31"/>
    </row>
    <row r="1043" spans="1:6" ht="22.5" customHeight="1" x14ac:dyDescent="0.2">
      <c r="A1043" s="23"/>
      <c r="B1043" s="34"/>
      <c r="C1043" s="35"/>
      <c r="D1043" s="35"/>
      <c r="E1043" s="35"/>
      <c r="F1043" s="31"/>
    </row>
    <row r="1044" spans="1:6" ht="22.5" customHeight="1" x14ac:dyDescent="0.2">
      <c r="A1044" s="23"/>
      <c r="B1044" s="34"/>
      <c r="C1044" s="35"/>
      <c r="D1044" s="35"/>
      <c r="E1044" s="35"/>
      <c r="F1044" s="31"/>
    </row>
    <row r="1045" spans="1:6" ht="22.5" customHeight="1" x14ac:dyDescent="0.2">
      <c r="A1045" s="23"/>
      <c r="B1045" s="34"/>
      <c r="C1045" s="35"/>
      <c r="D1045" s="35"/>
      <c r="E1045" s="35"/>
      <c r="F1045" s="31"/>
    </row>
    <row r="1046" spans="1:6" ht="22.5" customHeight="1" x14ac:dyDescent="0.2">
      <c r="A1046" s="23"/>
      <c r="B1046" s="34"/>
      <c r="C1046" s="35"/>
      <c r="D1046" s="35"/>
      <c r="E1046" s="35"/>
      <c r="F1046" s="31"/>
    </row>
    <row r="1047" spans="1:6" ht="22.5" customHeight="1" x14ac:dyDescent="0.2">
      <c r="A1047" s="23"/>
      <c r="B1047" s="34"/>
      <c r="C1047" s="35"/>
      <c r="D1047" s="35"/>
      <c r="E1047" s="35"/>
      <c r="F1047" s="31"/>
    </row>
    <row r="1048" spans="1:6" ht="22.5" customHeight="1" x14ac:dyDescent="0.2">
      <c r="A1048" s="23"/>
      <c r="B1048" s="34"/>
      <c r="C1048" s="35"/>
      <c r="D1048" s="35"/>
      <c r="E1048" s="35"/>
      <c r="F1048" s="31"/>
    </row>
    <row r="1049" spans="1:6" ht="22.5" customHeight="1" x14ac:dyDescent="0.2">
      <c r="A1049" s="23"/>
      <c r="B1049" s="34"/>
      <c r="C1049" s="35"/>
      <c r="D1049" s="35"/>
      <c r="E1049" s="35"/>
      <c r="F1049" s="31"/>
    </row>
    <row r="1050" spans="1:6" ht="22.5" customHeight="1" x14ac:dyDescent="0.2">
      <c r="A1050" s="23"/>
      <c r="B1050" s="34"/>
      <c r="C1050" s="35"/>
      <c r="D1050" s="35"/>
      <c r="E1050" s="35"/>
      <c r="F1050" s="31"/>
    </row>
    <row r="1051" spans="1:6" ht="22.5" customHeight="1" x14ac:dyDescent="0.2">
      <c r="A1051" s="23"/>
      <c r="B1051" s="34"/>
      <c r="C1051" s="35"/>
      <c r="D1051" s="35"/>
      <c r="E1051" s="35"/>
      <c r="F1051" s="31"/>
    </row>
    <row r="1052" spans="1:6" ht="22.5" customHeight="1" x14ac:dyDescent="0.2">
      <c r="A1052" s="23"/>
      <c r="B1052" s="34"/>
      <c r="C1052" s="35"/>
      <c r="D1052" s="35"/>
      <c r="E1052" s="35"/>
      <c r="F1052" s="31"/>
    </row>
    <row r="1053" spans="1:6" ht="22.5" customHeight="1" x14ac:dyDescent="0.2">
      <c r="A1053" s="23"/>
      <c r="B1053" s="34"/>
      <c r="C1053" s="35"/>
      <c r="D1053" s="35"/>
      <c r="E1053" s="35"/>
      <c r="F1053" s="31"/>
    </row>
    <row r="1054" spans="1:6" ht="22.5" customHeight="1" x14ac:dyDescent="0.2">
      <c r="A1054" s="23"/>
      <c r="B1054" s="34"/>
      <c r="C1054" s="35"/>
      <c r="D1054" s="35"/>
      <c r="E1054" s="35"/>
      <c r="F1054" s="31"/>
    </row>
    <row r="1055" spans="1:6" ht="22.5" customHeight="1" x14ac:dyDescent="0.2">
      <c r="A1055" s="23"/>
      <c r="B1055" s="34"/>
      <c r="C1055" s="35"/>
      <c r="D1055" s="35"/>
      <c r="E1055" s="35"/>
      <c r="F1055" s="31"/>
    </row>
    <row r="1056" spans="1:6" ht="22.5" customHeight="1" x14ac:dyDescent="0.2">
      <c r="A1056" s="23"/>
      <c r="B1056" s="34"/>
      <c r="C1056" s="35"/>
      <c r="D1056" s="35"/>
      <c r="E1056" s="35"/>
      <c r="F1056" s="31"/>
    </row>
    <row r="1057" spans="1:6" ht="22.5" customHeight="1" x14ac:dyDescent="0.2">
      <c r="A1057" s="23"/>
      <c r="B1057" s="34"/>
      <c r="C1057" s="35"/>
      <c r="D1057" s="35"/>
      <c r="E1057" s="35"/>
      <c r="F1057" s="31"/>
    </row>
    <row r="1058" spans="1:6" ht="22.5" customHeight="1" x14ac:dyDescent="0.2">
      <c r="A1058" s="23"/>
      <c r="B1058" s="34"/>
      <c r="C1058" s="35"/>
      <c r="D1058" s="35"/>
      <c r="E1058" s="35"/>
      <c r="F1058" s="31"/>
    </row>
    <row r="1059" spans="1:6" ht="22.5" customHeight="1" x14ac:dyDescent="0.2">
      <c r="A1059" s="23"/>
      <c r="B1059" s="34"/>
      <c r="C1059" s="35"/>
      <c r="D1059" s="35"/>
      <c r="E1059" s="35"/>
      <c r="F1059" s="31"/>
    </row>
    <row r="1060" spans="1:6" ht="22.5" customHeight="1" x14ac:dyDescent="0.2">
      <c r="A1060" s="23"/>
      <c r="B1060" s="34"/>
      <c r="C1060" s="35"/>
      <c r="D1060" s="35"/>
      <c r="E1060" s="35"/>
      <c r="F1060" s="31"/>
    </row>
    <row r="1061" spans="1:6" ht="22.5" customHeight="1" x14ac:dyDescent="0.2">
      <c r="A1061" s="23"/>
      <c r="B1061" s="34"/>
      <c r="C1061" s="35"/>
      <c r="D1061" s="35"/>
      <c r="E1061" s="35"/>
      <c r="F1061" s="31"/>
    </row>
    <row r="1062" spans="1:6" ht="22.5" customHeight="1" x14ac:dyDescent="0.2">
      <c r="A1062" s="23"/>
      <c r="B1062" s="34"/>
      <c r="C1062" s="35"/>
      <c r="D1062" s="35"/>
      <c r="E1062" s="35"/>
      <c r="F1062" s="31"/>
    </row>
    <row r="1063" spans="1:6" ht="22.5" customHeight="1" x14ac:dyDescent="0.2">
      <c r="A1063" s="23"/>
      <c r="B1063" s="34"/>
      <c r="C1063" s="35"/>
      <c r="D1063" s="35"/>
      <c r="E1063" s="35"/>
      <c r="F1063" s="31"/>
    </row>
    <row r="1064" spans="1:6" ht="22.5" customHeight="1" x14ac:dyDescent="0.2">
      <c r="A1064" s="23"/>
      <c r="B1064" s="34"/>
      <c r="C1064" s="35"/>
      <c r="D1064" s="35"/>
      <c r="E1064" s="35"/>
      <c r="F1064" s="31"/>
    </row>
    <row r="1065" spans="1:6" ht="22.5" customHeight="1" x14ac:dyDescent="0.2">
      <c r="A1065" s="23"/>
      <c r="B1065" s="34"/>
      <c r="C1065" s="35"/>
      <c r="D1065" s="35"/>
      <c r="E1065" s="35"/>
      <c r="F1065" s="31"/>
    </row>
    <row r="1066" spans="1:6" ht="22.5" customHeight="1" x14ac:dyDescent="0.2">
      <c r="A1066" s="23"/>
      <c r="B1066" s="34"/>
      <c r="C1066" s="35"/>
      <c r="D1066" s="35"/>
      <c r="E1066" s="35"/>
      <c r="F1066" s="31"/>
    </row>
    <row r="1067" spans="1:6" ht="22.5" customHeight="1" x14ac:dyDescent="0.2">
      <c r="A1067" s="23"/>
      <c r="B1067" s="34"/>
      <c r="C1067" s="35"/>
      <c r="D1067" s="35"/>
      <c r="E1067" s="35"/>
      <c r="F1067" s="31"/>
    </row>
    <row r="1068" spans="1:6" ht="22.5" customHeight="1" x14ac:dyDescent="0.2">
      <c r="A1068" s="23"/>
      <c r="B1068" s="34"/>
      <c r="C1068" s="35"/>
      <c r="D1068" s="35"/>
      <c r="E1068" s="35"/>
      <c r="F1068" s="31"/>
    </row>
    <row r="1069" spans="1:6" ht="22.5" customHeight="1" x14ac:dyDescent="0.2">
      <c r="A1069" s="23"/>
      <c r="B1069" s="34"/>
      <c r="C1069" s="35"/>
      <c r="D1069" s="35"/>
      <c r="E1069" s="35"/>
      <c r="F1069" s="31"/>
    </row>
    <row r="1070" spans="1:6" ht="22.5" customHeight="1" x14ac:dyDescent="0.2">
      <c r="A1070" s="23"/>
      <c r="B1070" s="34"/>
      <c r="C1070" s="35"/>
      <c r="D1070" s="35"/>
      <c r="E1070" s="35"/>
      <c r="F1070" s="31"/>
    </row>
    <row r="1071" spans="1:6" ht="22.5" customHeight="1" x14ac:dyDescent="0.2">
      <c r="A1071" s="23"/>
      <c r="B1071" s="34"/>
      <c r="C1071" s="35"/>
      <c r="D1071" s="35"/>
      <c r="E1071" s="35"/>
      <c r="F1071" s="31"/>
    </row>
    <row r="1072" spans="1:6" ht="22.5" customHeight="1" x14ac:dyDescent="0.2">
      <c r="A1072" s="23"/>
      <c r="B1072" s="34"/>
      <c r="C1072" s="35"/>
      <c r="D1072" s="35"/>
      <c r="E1072" s="35"/>
      <c r="F1072" s="31"/>
    </row>
    <row r="1073" spans="1:6" ht="22.5" customHeight="1" x14ac:dyDescent="0.2">
      <c r="A1073" s="23"/>
      <c r="B1073" s="34"/>
      <c r="C1073" s="35"/>
      <c r="D1073" s="35"/>
      <c r="E1073" s="35"/>
      <c r="F1073" s="31"/>
    </row>
    <row r="1074" spans="1:6" ht="22.5" customHeight="1" x14ac:dyDescent="0.2">
      <c r="A1074" s="23"/>
      <c r="B1074" s="34"/>
      <c r="C1074" s="35"/>
      <c r="D1074" s="35"/>
      <c r="E1074" s="35"/>
      <c r="F1074" s="31"/>
    </row>
    <row r="1075" spans="1:6" ht="22.5" customHeight="1" x14ac:dyDescent="0.2">
      <c r="A1075" s="23"/>
      <c r="B1075" s="34"/>
      <c r="C1075" s="35"/>
      <c r="D1075" s="35"/>
      <c r="E1075" s="35"/>
      <c r="F1075" s="31"/>
    </row>
    <row r="1076" spans="1:6" ht="22.5" customHeight="1" x14ac:dyDescent="0.2">
      <c r="A1076" s="23"/>
      <c r="B1076" s="34"/>
      <c r="C1076" s="35"/>
      <c r="D1076" s="35"/>
      <c r="E1076" s="35"/>
      <c r="F1076" s="31"/>
    </row>
    <row r="1077" spans="1:6" ht="22.5" customHeight="1" x14ac:dyDescent="0.2">
      <c r="A1077" s="23"/>
      <c r="B1077" s="34"/>
      <c r="C1077" s="35"/>
      <c r="D1077" s="35"/>
      <c r="E1077" s="35"/>
      <c r="F1077" s="31"/>
    </row>
    <row r="1078" spans="1:6" ht="22.5" customHeight="1" x14ac:dyDescent="0.2">
      <c r="A1078" s="23"/>
      <c r="B1078" s="34"/>
      <c r="C1078" s="35"/>
      <c r="D1078" s="35"/>
      <c r="E1078" s="35"/>
      <c r="F1078" s="31"/>
    </row>
    <row r="1079" spans="1:6" ht="22.5" customHeight="1" x14ac:dyDescent="0.2">
      <c r="A1079" s="23"/>
      <c r="B1079" s="34"/>
      <c r="C1079" s="35"/>
      <c r="D1079" s="35"/>
      <c r="E1079" s="35"/>
      <c r="F1079" s="31"/>
    </row>
    <row r="1080" spans="1:6" ht="22.5" customHeight="1" x14ac:dyDescent="0.2">
      <c r="A1080" s="23"/>
      <c r="B1080" s="34"/>
      <c r="C1080" s="35"/>
      <c r="D1080" s="35"/>
      <c r="E1080" s="35"/>
      <c r="F1080" s="31"/>
    </row>
    <row r="1081" spans="1:6" ht="22.5" customHeight="1" x14ac:dyDescent="0.2">
      <c r="A1081" s="23"/>
      <c r="B1081" s="34"/>
      <c r="C1081" s="35"/>
      <c r="D1081" s="35"/>
      <c r="E1081" s="35"/>
      <c r="F1081" s="31"/>
    </row>
    <row r="1082" spans="1:6" ht="22.5" customHeight="1" x14ac:dyDescent="0.2">
      <c r="A1082" s="23"/>
      <c r="B1082" s="34"/>
      <c r="C1082" s="35"/>
      <c r="D1082" s="35"/>
      <c r="E1082" s="35"/>
      <c r="F1082" s="31"/>
    </row>
    <row r="1083" spans="1:6" ht="22.5" customHeight="1" x14ac:dyDescent="0.2">
      <c r="A1083" s="23"/>
      <c r="B1083" s="34"/>
      <c r="C1083" s="35"/>
      <c r="D1083" s="35"/>
      <c r="E1083" s="35"/>
      <c r="F1083" s="31"/>
    </row>
    <row r="1084" spans="1:6" ht="22.5" customHeight="1" x14ac:dyDescent="0.2">
      <c r="A1084" s="23"/>
      <c r="B1084" s="34"/>
      <c r="C1084" s="35"/>
      <c r="D1084" s="35"/>
      <c r="E1084" s="35"/>
      <c r="F1084" s="31"/>
    </row>
    <row r="1085" spans="1:6" ht="22.5" customHeight="1" x14ac:dyDescent="0.2">
      <c r="A1085" s="23"/>
      <c r="B1085" s="34"/>
      <c r="C1085" s="35"/>
      <c r="D1085" s="35"/>
      <c r="E1085" s="35"/>
      <c r="F1085" s="31"/>
    </row>
    <row r="1086" spans="1:6" ht="22.5" customHeight="1" x14ac:dyDescent="0.2">
      <c r="A1086" s="23"/>
      <c r="B1086" s="34"/>
      <c r="C1086" s="35"/>
      <c r="D1086" s="35"/>
      <c r="E1086" s="35"/>
      <c r="F1086" s="31"/>
    </row>
    <row r="1087" spans="1:6" ht="22.5" customHeight="1" x14ac:dyDescent="0.2">
      <c r="A1087" s="23"/>
      <c r="B1087" s="34"/>
      <c r="C1087" s="35"/>
      <c r="D1087" s="35"/>
      <c r="E1087" s="35"/>
      <c r="F1087" s="31"/>
    </row>
    <row r="1088" spans="1:6" ht="22.5" customHeight="1" x14ac:dyDescent="0.2">
      <c r="A1088" s="23"/>
      <c r="B1088" s="34"/>
      <c r="C1088" s="35"/>
      <c r="D1088" s="35"/>
      <c r="E1088" s="35"/>
      <c r="F1088" s="31"/>
    </row>
    <row r="1089" spans="1:6" ht="22.5" customHeight="1" x14ac:dyDescent="0.2">
      <c r="A1089" s="23"/>
      <c r="B1089" s="34"/>
      <c r="C1089" s="35"/>
      <c r="D1089" s="35"/>
      <c r="E1089" s="35"/>
      <c r="F1089" s="31"/>
    </row>
    <row r="1090" spans="1:6" ht="22.5" customHeight="1" x14ac:dyDescent="0.2">
      <c r="A1090" s="23"/>
      <c r="B1090" s="34"/>
      <c r="C1090" s="35"/>
      <c r="D1090" s="35"/>
      <c r="E1090" s="35"/>
      <c r="F1090" s="31"/>
    </row>
    <row r="1091" spans="1:6" ht="22.5" customHeight="1" x14ac:dyDescent="0.2">
      <c r="A1091" s="23"/>
      <c r="B1091" s="34"/>
      <c r="C1091" s="35"/>
      <c r="D1091" s="35"/>
      <c r="E1091" s="35"/>
      <c r="F1091" s="31"/>
    </row>
    <row r="1092" spans="1:6" ht="22.5" customHeight="1" x14ac:dyDescent="0.2">
      <c r="A1092" s="23"/>
      <c r="B1092" s="34"/>
      <c r="C1092" s="35"/>
      <c r="D1092" s="35"/>
      <c r="E1092" s="35"/>
      <c r="F1092" s="31"/>
    </row>
    <row r="1093" spans="1:6" ht="22.5" customHeight="1" x14ac:dyDescent="0.2">
      <c r="A1093" s="23"/>
      <c r="B1093" s="34"/>
      <c r="C1093" s="35"/>
      <c r="D1093" s="35"/>
      <c r="E1093" s="35"/>
      <c r="F1093" s="31"/>
    </row>
    <row r="1094" spans="1:6" ht="22.5" customHeight="1" x14ac:dyDescent="0.2">
      <c r="A1094" s="23"/>
      <c r="B1094" s="34"/>
      <c r="C1094" s="35"/>
      <c r="D1094" s="35"/>
      <c r="E1094" s="35"/>
      <c r="F1094" s="31"/>
    </row>
    <row r="1095" spans="1:6" ht="22.5" customHeight="1" x14ac:dyDescent="0.2">
      <c r="A1095" s="23"/>
      <c r="B1095" s="34"/>
      <c r="C1095" s="35"/>
      <c r="D1095" s="35"/>
      <c r="E1095" s="35"/>
      <c r="F1095" s="31"/>
    </row>
    <row r="1096" spans="1:6" ht="22.5" customHeight="1" x14ac:dyDescent="0.2">
      <c r="A1096" s="23"/>
      <c r="B1096" s="34"/>
      <c r="C1096" s="35"/>
      <c r="D1096" s="35"/>
      <c r="E1096" s="35"/>
      <c r="F1096" s="31"/>
    </row>
    <row r="1097" spans="1:6" ht="22.5" customHeight="1" x14ac:dyDescent="0.2">
      <c r="A1097" s="23"/>
      <c r="B1097" s="34"/>
      <c r="C1097" s="35"/>
      <c r="D1097" s="35"/>
      <c r="E1097" s="35"/>
      <c r="F1097" s="31"/>
    </row>
    <row r="1098" spans="1:6" ht="22.5" customHeight="1" x14ac:dyDescent="0.2">
      <c r="A1098" s="23"/>
      <c r="B1098" s="34"/>
      <c r="C1098" s="35"/>
      <c r="D1098" s="35"/>
      <c r="E1098" s="35"/>
      <c r="F1098" s="31"/>
    </row>
    <row r="1099" spans="1:6" ht="22.5" customHeight="1" x14ac:dyDescent="0.2">
      <c r="A1099" s="23"/>
      <c r="B1099" s="34"/>
      <c r="C1099" s="35"/>
      <c r="D1099" s="35"/>
      <c r="E1099" s="35"/>
      <c r="F1099" s="31"/>
    </row>
    <row r="1100" spans="1:6" ht="22.5" customHeight="1" x14ac:dyDescent="0.2">
      <c r="A1100" s="23"/>
      <c r="B1100" s="34"/>
      <c r="C1100" s="35"/>
      <c r="D1100" s="35"/>
      <c r="E1100" s="35"/>
      <c r="F1100" s="31"/>
    </row>
    <row r="1101" spans="1:6" ht="22.5" customHeight="1" x14ac:dyDescent="0.2">
      <c r="A1101" s="23"/>
      <c r="B1101" s="34"/>
      <c r="C1101" s="35"/>
      <c r="D1101" s="35"/>
      <c r="E1101" s="35"/>
      <c r="F1101" s="31"/>
    </row>
    <row r="1102" spans="1:6" ht="22.5" customHeight="1" x14ac:dyDescent="0.2">
      <c r="A1102" s="23"/>
      <c r="B1102" s="34"/>
      <c r="C1102" s="35"/>
      <c r="D1102" s="35"/>
      <c r="E1102" s="35"/>
      <c r="F1102" s="31"/>
    </row>
    <row r="1103" spans="1:6" ht="22.5" customHeight="1" x14ac:dyDescent="0.2">
      <c r="A1103" s="23"/>
      <c r="B1103" s="34"/>
      <c r="C1103" s="35"/>
      <c r="D1103" s="35"/>
      <c r="E1103" s="35"/>
      <c r="F1103" s="31"/>
    </row>
    <row r="1104" spans="1:6" ht="22.5" customHeight="1" x14ac:dyDescent="0.2">
      <c r="A1104" s="23"/>
      <c r="B1104" s="34"/>
      <c r="C1104" s="35"/>
      <c r="D1104" s="35"/>
      <c r="E1104" s="35"/>
      <c r="F1104" s="31"/>
    </row>
    <row r="1105" spans="1:6" ht="22.5" customHeight="1" x14ac:dyDescent="0.2">
      <c r="A1105" s="23"/>
      <c r="B1105" s="34"/>
      <c r="C1105" s="35"/>
      <c r="D1105" s="35"/>
      <c r="E1105" s="35"/>
      <c r="F1105" s="31"/>
    </row>
    <row r="1106" spans="1:6" ht="22.5" customHeight="1" x14ac:dyDescent="0.2">
      <c r="A1106" s="23"/>
      <c r="B1106" s="34"/>
      <c r="C1106" s="35"/>
      <c r="D1106" s="35"/>
      <c r="E1106" s="35"/>
      <c r="F1106" s="31"/>
    </row>
    <row r="1107" spans="1:6" ht="22.5" customHeight="1" x14ac:dyDescent="0.2">
      <c r="A1107" s="23"/>
      <c r="B1107" s="34"/>
      <c r="C1107" s="35"/>
      <c r="D1107" s="35"/>
      <c r="E1107" s="35"/>
      <c r="F1107" s="31"/>
    </row>
    <row r="1108" spans="1:6" ht="22.5" customHeight="1" x14ac:dyDescent="0.2">
      <c r="A1108" s="23"/>
      <c r="B1108" s="34"/>
      <c r="C1108" s="35"/>
      <c r="D1108" s="35"/>
      <c r="E1108" s="35"/>
      <c r="F1108" s="31"/>
    </row>
    <row r="1109" spans="1:6" ht="22.5" customHeight="1" x14ac:dyDescent="0.2">
      <c r="A1109" s="23"/>
      <c r="B1109" s="34"/>
      <c r="C1109" s="35"/>
      <c r="D1109" s="35"/>
      <c r="E1109" s="35"/>
      <c r="F1109" s="31"/>
    </row>
    <row r="1110" spans="1:6" ht="22.5" customHeight="1" x14ac:dyDescent="0.2">
      <c r="A1110" s="23"/>
      <c r="B1110" s="34"/>
      <c r="C1110" s="35"/>
      <c r="D1110" s="35"/>
      <c r="E1110" s="35"/>
      <c r="F1110" s="31"/>
    </row>
    <row r="1111" spans="1:6" ht="22.5" customHeight="1" x14ac:dyDescent="0.2">
      <c r="A1111" s="23"/>
      <c r="B1111" s="34"/>
      <c r="C1111" s="35"/>
      <c r="D1111" s="35"/>
      <c r="E1111" s="35"/>
      <c r="F1111" s="31"/>
    </row>
    <row r="1112" spans="1:6" ht="22.5" customHeight="1" x14ac:dyDescent="0.2">
      <c r="A1112" s="23"/>
      <c r="B1112" s="34"/>
      <c r="C1112" s="35"/>
      <c r="D1112" s="35"/>
      <c r="E1112" s="35"/>
      <c r="F1112" s="31"/>
    </row>
    <row r="1113" spans="1:6" ht="22.5" customHeight="1" x14ac:dyDescent="0.2">
      <c r="A1113" s="23"/>
      <c r="B1113" s="34"/>
      <c r="C1113" s="35"/>
      <c r="D1113" s="35"/>
      <c r="E1113" s="35"/>
      <c r="F1113" s="31"/>
    </row>
    <row r="1114" spans="1:6" ht="22.5" customHeight="1" x14ac:dyDescent="0.2">
      <c r="A1114" s="23"/>
      <c r="B1114" s="34"/>
      <c r="C1114" s="35"/>
      <c r="D1114" s="35"/>
      <c r="E1114" s="35"/>
      <c r="F1114" s="31"/>
    </row>
    <row r="1115" spans="1:6" ht="22.5" customHeight="1" x14ac:dyDescent="0.2">
      <c r="A1115" s="23"/>
      <c r="B1115" s="34"/>
      <c r="C1115" s="35"/>
      <c r="D1115" s="35"/>
      <c r="E1115" s="35"/>
      <c r="F1115" s="31"/>
    </row>
    <row r="1116" spans="1:6" ht="22.5" customHeight="1" x14ac:dyDescent="0.2">
      <c r="A1116" s="23"/>
      <c r="B1116" s="34"/>
      <c r="C1116" s="35"/>
      <c r="D1116" s="35"/>
      <c r="E1116" s="35"/>
      <c r="F1116" s="31"/>
    </row>
    <row r="1117" spans="1:6" ht="22.5" customHeight="1" x14ac:dyDescent="0.2">
      <c r="A1117" s="23"/>
      <c r="B1117" s="34"/>
      <c r="C1117" s="35"/>
      <c r="D1117" s="35"/>
      <c r="E1117" s="35"/>
      <c r="F1117" s="31"/>
    </row>
    <row r="1118" spans="1:6" ht="22.5" customHeight="1" x14ac:dyDescent="0.2">
      <c r="A1118" s="23"/>
      <c r="B1118" s="34"/>
      <c r="C1118" s="35"/>
      <c r="D1118" s="35"/>
      <c r="E1118" s="35"/>
      <c r="F1118" s="31"/>
    </row>
    <row r="1119" spans="1:6" ht="22.5" customHeight="1" x14ac:dyDescent="0.2">
      <c r="A1119" s="23"/>
      <c r="B1119" s="34"/>
      <c r="C1119" s="35"/>
      <c r="D1119" s="35"/>
      <c r="E1119" s="35"/>
      <c r="F1119" s="31"/>
    </row>
    <row r="1120" spans="1:6" ht="22.5" customHeight="1" x14ac:dyDescent="0.2">
      <c r="A1120" s="23"/>
      <c r="B1120" s="34"/>
      <c r="C1120" s="35"/>
      <c r="D1120" s="35"/>
      <c r="E1120" s="35"/>
      <c r="F1120" s="31"/>
    </row>
    <row r="1121" spans="1:6" ht="22.5" customHeight="1" x14ac:dyDescent="0.2">
      <c r="A1121" s="23"/>
      <c r="B1121" s="34"/>
      <c r="C1121" s="35"/>
      <c r="D1121" s="35"/>
      <c r="E1121" s="35"/>
      <c r="F1121" s="31"/>
    </row>
    <row r="1122" spans="1:6" ht="22.5" customHeight="1" x14ac:dyDescent="0.2">
      <c r="A1122" s="23"/>
      <c r="B1122" s="34"/>
      <c r="C1122" s="35"/>
      <c r="D1122" s="35"/>
      <c r="E1122" s="35"/>
      <c r="F1122" s="31"/>
    </row>
    <row r="1123" spans="1:6" ht="22.5" customHeight="1" x14ac:dyDescent="0.2">
      <c r="A1123" s="23"/>
      <c r="B1123" s="34"/>
      <c r="C1123" s="35"/>
      <c r="D1123" s="35"/>
      <c r="E1123" s="35"/>
      <c r="F1123" s="31"/>
    </row>
    <row r="1124" spans="1:6" ht="22.5" customHeight="1" x14ac:dyDescent="0.2">
      <c r="A1124" s="23"/>
      <c r="B1124" s="34"/>
      <c r="C1124" s="35"/>
      <c r="D1124" s="35"/>
      <c r="E1124" s="35"/>
      <c r="F1124" s="31"/>
    </row>
    <row r="1125" spans="1:6" ht="22.5" customHeight="1" x14ac:dyDescent="0.2">
      <c r="A1125" s="23"/>
      <c r="B1125" s="34"/>
      <c r="C1125" s="35"/>
      <c r="D1125" s="35"/>
      <c r="E1125" s="35"/>
      <c r="F1125" s="31"/>
    </row>
    <row r="1126" spans="1:6" ht="22.5" customHeight="1" x14ac:dyDescent="0.2">
      <c r="A1126" s="23"/>
      <c r="B1126" s="34"/>
      <c r="C1126" s="35"/>
      <c r="D1126" s="35"/>
      <c r="E1126" s="35"/>
      <c r="F1126" s="31"/>
    </row>
    <row r="1127" spans="1:6" ht="22.5" customHeight="1" x14ac:dyDescent="0.2">
      <c r="A1127" s="23"/>
      <c r="B1127" s="34"/>
      <c r="C1127" s="35"/>
      <c r="D1127" s="35"/>
      <c r="E1127" s="35"/>
      <c r="F1127" s="31"/>
    </row>
    <row r="1128" spans="1:6" ht="22.5" customHeight="1" x14ac:dyDescent="0.2">
      <c r="A1128" s="23"/>
      <c r="B1128" s="34"/>
      <c r="C1128" s="35"/>
      <c r="D1128" s="35"/>
      <c r="E1128" s="35"/>
      <c r="F1128" s="31"/>
    </row>
    <row r="1129" spans="1:6" ht="22.5" customHeight="1" x14ac:dyDescent="0.2">
      <c r="A1129" s="23"/>
      <c r="B1129" s="34"/>
      <c r="C1129" s="35"/>
      <c r="D1129" s="35"/>
      <c r="E1129" s="35"/>
      <c r="F1129" s="31"/>
    </row>
    <row r="1130" spans="1:6" ht="22.5" customHeight="1" x14ac:dyDescent="0.2">
      <c r="A1130" s="23"/>
      <c r="B1130" s="34"/>
      <c r="C1130" s="35"/>
      <c r="D1130" s="35"/>
      <c r="E1130" s="35"/>
      <c r="F1130" s="31"/>
    </row>
    <row r="1131" spans="1:6" ht="22.5" customHeight="1" x14ac:dyDescent="0.2">
      <c r="A1131" s="23"/>
      <c r="B1131" s="34"/>
      <c r="C1131" s="35"/>
      <c r="D1131" s="35"/>
      <c r="E1131" s="35"/>
      <c r="F1131" s="31"/>
    </row>
    <row r="1132" spans="1:6" ht="22.5" customHeight="1" x14ac:dyDescent="0.2">
      <c r="A1132" s="23"/>
      <c r="B1132" s="34"/>
      <c r="C1132" s="35"/>
      <c r="D1132" s="35"/>
      <c r="E1132" s="35"/>
      <c r="F1132" s="31"/>
    </row>
    <row r="1133" spans="1:6" ht="22.5" customHeight="1" x14ac:dyDescent="0.2">
      <c r="A1133" s="23"/>
      <c r="B1133" s="34"/>
      <c r="C1133" s="35"/>
      <c r="D1133" s="35"/>
      <c r="E1133" s="35"/>
      <c r="F1133" s="31"/>
    </row>
    <row r="1134" spans="1:6" ht="22.5" customHeight="1" x14ac:dyDescent="0.2">
      <c r="A1134" s="23"/>
      <c r="B1134" s="34"/>
      <c r="C1134" s="35"/>
      <c r="D1134" s="35"/>
      <c r="E1134" s="35"/>
      <c r="F1134" s="31"/>
    </row>
    <row r="1135" spans="1:6" ht="22.5" customHeight="1" x14ac:dyDescent="0.2">
      <c r="A1135" s="23"/>
      <c r="B1135" s="34"/>
      <c r="C1135" s="35"/>
      <c r="D1135" s="35"/>
      <c r="E1135" s="35"/>
      <c r="F1135" s="31"/>
    </row>
    <row r="1136" spans="1:6" ht="22.5" customHeight="1" x14ac:dyDescent="0.2">
      <c r="A1136" s="23"/>
      <c r="B1136" s="34"/>
      <c r="C1136" s="35"/>
      <c r="D1136" s="35"/>
      <c r="E1136" s="35"/>
      <c r="F1136" s="31"/>
    </row>
    <row r="1137" spans="1:6" ht="22.5" customHeight="1" x14ac:dyDescent="0.2">
      <c r="A1137" s="23"/>
      <c r="B1137" s="34"/>
      <c r="C1137" s="35"/>
      <c r="D1137" s="35"/>
      <c r="E1137" s="35"/>
      <c r="F1137" s="31"/>
    </row>
    <row r="1138" spans="1:6" ht="22.5" customHeight="1" x14ac:dyDescent="0.2">
      <c r="A1138" s="23"/>
      <c r="B1138" s="34"/>
      <c r="C1138" s="35"/>
      <c r="D1138" s="35"/>
      <c r="E1138" s="35"/>
      <c r="F1138" s="31"/>
    </row>
    <row r="1139" spans="1:6" ht="22.5" customHeight="1" x14ac:dyDescent="0.2">
      <c r="A1139" s="23"/>
      <c r="B1139" s="34"/>
      <c r="C1139" s="35"/>
      <c r="D1139" s="35"/>
      <c r="E1139" s="35"/>
      <c r="F1139" s="31"/>
    </row>
    <row r="1140" spans="1:6" ht="22.5" customHeight="1" x14ac:dyDescent="0.2">
      <c r="A1140" s="23"/>
      <c r="B1140" s="34"/>
      <c r="C1140" s="35"/>
      <c r="D1140" s="35"/>
      <c r="E1140" s="35"/>
      <c r="F1140" s="31"/>
    </row>
    <row r="1141" spans="1:6" ht="22.5" customHeight="1" x14ac:dyDescent="0.2">
      <c r="A1141" s="23"/>
      <c r="B1141" s="34"/>
      <c r="C1141" s="35"/>
      <c r="D1141" s="35"/>
      <c r="E1141" s="35"/>
      <c r="F1141" s="31"/>
    </row>
    <row r="1142" spans="1:6" ht="22.5" customHeight="1" x14ac:dyDescent="0.2">
      <c r="A1142" s="23"/>
      <c r="B1142" s="34"/>
      <c r="C1142" s="35"/>
      <c r="D1142" s="35"/>
      <c r="E1142" s="35"/>
      <c r="F1142" s="31"/>
    </row>
    <row r="1143" spans="1:6" ht="22.5" customHeight="1" x14ac:dyDescent="0.2">
      <c r="A1143" s="23"/>
      <c r="B1143" s="34"/>
      <c r="C1143" s="35"/>
      <c r="D1143" s="35"/>
      <c r="E1143" s="35"/>
      <c r="F1143" s="31"/>
    </row>
    <row r="1144" spans="1:6" ht="22.5" customHeight="1" x14ac:dyDescent="0.2">
      <c r="A1144" s="23"/>
      <c r="B1144" s="34"/>
      <c r="C1144" s="35"/>
      <c r="D1144" s="35"/>
      <c r="E1144" s="35"/>
      <c r="F1144" s="31"/>
    </row>
    <row r="1145" spans="1:6" ht="22.5" customHeight="1" x14ac:dyDescent="0.2">
      <c r="A1145" s="23"/>
      <c r="B1145" s="34"/>
      <c r="C1145" s="35"/>
      <c r="D1145" s="35"/>
      <c r="E1145" s="35"/>
      <c r="F1145" s="31"/>
    </row>
    <row r="1146" spans="1:6" ht="22.5" customHeight="1" x14ac:dyDescent="0.2">
      <c r="A1146" s="23"/>
      <c r="B1146" s="34"/>
      <c r="C1146" s="35"/>
      <c r="D1146" s="35"/>
      <c r="E1146" s="35"/>
      <c r="F1146" s="31"/>
    </row>
    <row r="1147" spans="1:6" ht="22.5" customHeight="1" x14ac:dyDescent="0.2">
      <c r="A1147" s="23"/>
      <c r="B1147" s="34"/>
      <c r="C1147" s="35"/>
      <c r="D1147" s="35"/>
      <c r="E1147" s="35"/>
      <c r="F1147" s="31"/>
    </row>
    <row r="1148" spans="1:6" ht="22.5" customHeight="1" x14ac:dyDescent="0.2">
      <c r="A1148" s="23"/>
      <c r="B1148" s="34"/>
      <c r="C1148" s="35"/>
      <c r="D1148" s="35"/>
      <c r="E1148" s="35"/>
      <c r="F1148" s="31"/>
    </row>
    <row r="1149" spans="1:6" ht="22.5" customHeight="1" x14ac:dyDescent="0.2">
      <c r="A1149" s="23"/>
      <c r="B1149" s="34"/>
      <c r="C1149" s="35"/>
      <c r="D1149" s="35"/>
      <c r="E1149" s="35"/>
      <c r="F1149" s="31"/>
    </row>
    <row r="1150" spans="1:6" ht="22.5" customHeight="1" x14ac:dyDescent="0.2">
      <c r="A1150" s="23"/>
      <c r="B1150" s="34"/>
      <c r="C1150" s="35"/>
      <c r="D1150" s="35"/>
      <c r="E1150" s="35"/>
      <c r="F1150" s="31"/>
    </row>
    <row r="1151" spans="1:6" ht="22.5" customHeight="1" x14ac:dyDescent="0.2">
      <c r="A1151" s="23"/>
      <c r="B1151" s="34"/>
      <c r="C1151" s="35"/>
      <c r="D1151" s="35"/>
      <c r="E1151" s="35"/>
      <c r="F1151" s="31"/>
    </row>
    <row r="1152" spans="1:6" ht="22.5" customHeight="1" x14ac:dyDescent="0.2">
      <c r="A1152" s="23"/>
      <c r="B1152" s="34"/>
      <c r="C1152" s="35"/>
      <c r="D1152" s="35"/>
      <c r="E1152" s="35"/>
      <c r="F1152" s="31"/>
    </row>
    <row r="1153" spans="1:6" ht="22.5" customHeight="1" x14ac:dyDescent="0.2">
      <c r="A1153" s="23"/>
      <c r="B1153" s="34"/>
      <c r="C1153" s="35"/>
      <c r="D1153" s="35"/>
      <c r="E1153" s="35"/>
      <c r="F1153" s="31"/>
    </row>
    <row r="1154" spans="1:6" ht="22.5" customHeight="1" x14ac:dyDescent="0.2">
      <c r="A1154" s="23"/>
      <c r="B1154" s="34"/>
      <c r="C1154" s="35"/>
      <c r="D1154" s="35"/>
      <c r="E1154" s="35"/>
      <c r="F1154" s="31"/>
    </row>
    <row r="1155" spans="1:6" ht="22.5" customHeight="1" x14ac:dyDescent="0.2">
      <c r="A1155" s="23"/>
      <c r="B1155" s="34"/>
      <c r="C1155" s="35"/>
      <c r="D1155" s="35"/>
      <c r="E1155" s="35"/>
      <c r="F1155" s="31"/>
    </row>
    <row r="1156" spans="1:6" ht="22.5" customHeight="1" x14ac:dyDescent="0.2">
      <c r="A1156" s="23"/>
      <c r="B1156" s="34"/>
      <c r="C1156" s="35"/>
      <c r="D1156" s="35"/>
      <c r="E1156" s="35"/>
      <c r="F1156" s="31"/>
    </row>
    <row r="1157" spans="1:6" ht="22.5" customHeight="1" x14ac:dyDescent="0.2">
      <c r="A1157" s="23"/>
      <c r="B1157" s="34"/>
      <c r="C1157" s="35"/>
      <c r="D1157" s="35"/>
      <c r="E1157" s="35"/>
      <c r="F1157" s="31"/>
    </row>
    <row r="1158" spans="1:6" ht="22.5" customHeight="1" x14ac:dyDescent="0.2">
      <c r="A1158" s="23"/>
      <c r="B1158" s="34"/>
      <c r="C1158" s="35"/>
      <c r="D1158" s="35"/>
      <c r="E1158" s="35"/>
      <c r="F1158" s="31"/>
    </row>
    <row r="1159" spans="1:6" ht="22.5" customHeight="1" x14ac:dyDescent="0.2">
      <c r="A1159" s="23"/>
      <c r="B1159" s="34"/>
      <c r="C1159" s="35"/>
      <c r="D1159" s="35"/>
      <c r="E1159" s="35"/>
      <c r="F1159" s="31"/>
    </row>
    <row r="1160" spans="1:6" ht="22.5" customHeight="1" x14ac:dyDescent="0.2">
      <c r="A1160" s="23"/>
      <c r="B1160" s="34"/>
      <c r="C1160" s="35"/>
      <c r="D1160" s="35"/>
      <c r="E1160" s="35"/>
      <c r="F1160" s="31"/>
    </row>
    <row r="1161" spans="1:6" ht="22.5" customHeight="1" x14ac:dyDescent="0.2">
      <c r="A1161" s="23"/>
      <c r="B1161" s="34"/>
      <c r="C1161" s="35"/>
      <c r="D1161" s="35"/>
      <c r="E1161" s="35"/>
      <c r="F1161" s="31"/>
    </row>
    <row r="1162" spans="1:6" ht="22.5" customHeight="1" x14ac:dyDescent="0.2">
      <c r="A1162" s="23"/>
      <c r="B1162" s="34"/>
      <c r="C1162" s="35"/>
      <c r="D1162" s="35"/>
      <c r="E1162" s="35"/>
      <c r="F1162" s="31"/>
    </row>
    <row r="1163" spans="1:6" ht="22.5" customHeight="1" x14ac:dyDescent="0.2">
      <c r="A1163" s="23"/>
      <c r="B1163" s="34"/>
      <c r="C1163" s="35"/>
      <c r="D1163" s="35"/>
      <c r="E1163" s="35"/>
      <c r="F1163" s="31"/>
    </row>
    <row r="1164" spans="1:6" ht="22.5" customHeight="1" x14ac:dyDescent="0.2">
      <c r="A1164" s="23"/>
      <c r="B1164" s="34"/>
      <c r="C1164" s="35"/>
      <c r="D1164" s="35"/>
      <c r="E1164" s="35"/>
      <c r="F1164" s="31"/>
    </row>
    <row r="1165" spans="1:6" ht="22.5" customHeight="1" x14ac:dyDescent="0.2">
      <c r="A1165" s="23"/>
      <c r="B1165" s="34"/>
      <c r="C1165" s="35"/>
      <c r="D1165" s="35"/>
      <c r="E1165" s="35"/>
      <c r="F1165" s="31"/>
    </row>
    <row r="1166" spans="1:6" ht="22.5" customHeight="1" x14ac:dyDescent="0.2">
      <c r="A1166" s="23"/>
      <c r="B1166" s="34"/>
      <c r="C1166" s="35"/>
      <c r="D1166" s="35"/>
      <c r="E1166" s="35"/>
      <c r="F1166" s="31"/>
    </row>
    <row r="1167" spans="1:6" ht="22.5" customHeight="1" x14ac:dyDescent="0.2">
      <c r="A1167" s="23"/>
      <c r="B1167" s="34"/>
      <c r="C1167" s="35"/>
      <c r="D1167" s="35"/>
      <c r="E1167" s="35"/>
      <c r="F1167" s="31"/>
    </row>
    <row r="1168" spans="1:6" ht="22.5" customHeight="1" x14ac:dyDescent="0.2">
      <c r="A1168" s="23"/>
      <c r="B1168" s="34"/>
      <c r="C1168" s="35"/>
      <c r="D1168" s="35"/>
      <c r="E1168" s="35"/>
      <c r="F1168" s="31"/>
    </row>
    <row r="1169" spans="1:6" ht="22.5" customHeight="1" x14ac:dyDescent="0.2">
      <c r="A1169" s="23"/>
      <c r="B1169" s="34"/>
      <c r="C1169" s="35"/>
      <c r="D1169" s="35"/>
      <c r="E1169" s="35"/>
      <c r="F1169" s="31"/>
    </row>
    <row r="1170" spans="1:6" ht="22.5" customHeight="1" x14ac:dyDescent="0.2">
      <c r="A1170" s="23"/>
      <c r="B1170" s="34"/>
      <c r="C1170" s="35"/>
      <c r="D1170" s="35"/>
      <c r="E1170" s="35"/>
      <c r="F1170" s="31"/>
    </row>
    <row r="1171" spans="1:6" ht="22.5" customHeight="1" x14ac:dyDescent="0.2">
      <c r="A1171" s="23"/>
      <c r="B1171" s="34"/>
      <c r="C1171" s="35"/>
      <c r="D1171" s="35"/>
      <c r="E1171" s="35"/>
      <c r="F1171" s="31"/>
    </row>
    <row r="1172" spans="1:6" ht="22.5" customHeight="1" x14ac:dyDescent="0.2">
      <c r="A1172" s="23"/>
      <c r="B1172" s="34"/>
      <c r="C1172" s="35"/>
      <c r="D1172" s="35"/>
      <c r="E1172" s="35"/>
      <c r="F1172" s="31"/>
    </row>
    <row r="1173" spans="1:6" ht="22.5" customHeight="1" x14ac:dyDescent="0.2">
      <c r="A1173" s="23"/>
      <c r="B1173" s="34"/>
      <c r="C1173" s="35"/>
      <c r="D1173" s="35"/>
      <c r="E1173" s="35"/>
      <c r="F1173" s="31"/>
    </row>
    <row r="1174" spans="1:6" ht="22.5" customHeight="1" x14ac:dyDescent="0.2">
      <c r="A1174" s="23"/>
      <c r="B1174" s="34"/>
      <c r="C1174" s="35"/>
      <c r="D1174" s="35"/>
      <c r="E1174" s="35"/>
      <c r="F1174" s="31"/>
    </row>
    <row r="1175" spans="1:6" ht="22.5" customHeight="1" x14ac:dyDescent="0.2">
      <c r="A1175" s="23"/>
      <c r="B1175" s="34"/>
      <c r="C1175" s="35"/>
      <c r="D1175" s="35"/>
      <c r="E1175" s="35"/>
      <c r="F1175" s="31"/>
    </row>
    <row r="1176" spans="1:6" ht="22.5" customHeight="1" x14ac:dyDescent="0.2">
      <c r="A1176" s="23"/>
      <c r="B1176" s="34"/>
      <c r="C1176" s="35"/>
      <c r="D1176" s="35"/>
      <c r="E1176" s="35"/>
      <c r="F1176" s="31"/>
    </row>
    <row r="1177" spans="1:6" ht="22.5" customHeight="1" x14ac:dyDescent="0.2">
      <c r="A1177" s="23"/>
      <c r="B1177" s="34"/>
      <c r="C1177" s="35"/>
      <c r="D1177" s="35"/>
      <c r="E1177" s="35"/>
      <c r="F1177" s="31"/>
    </row>
    <row r="1178" spans="1:6" ht="22.5" customHeight="1" x14ac:dyDescent="0.2">
      <c r="A1178" s="23"/>
      <c r="B1178" s="34"/>
      <c r="C1178" s="35"/>
      <c r="D1178" s="35"/>
      <c r="E1178" s="35"/>
      <c r="F1178" s="31"/>
    </row>
    <row r="1179" spans="1:6" ht="22.5" customHeight="1" x14ac:dyDescent="0.2">
      <c r="A1179" s="23"/>
      <c r="B1179" s="34"/>
      <c r="C1179" s="35"/>
      <c r="D1179" s="35"/>
      <c r="E1179" s="35"/>
      <c r="F1179" s="31"/>
    </row>
    <row r="1180" spans="1:6" ht="22.5" customHeight="1" x14ac:dyDescent="0.2">
      <c r="A1180" s="23"/>
      <c r="B1180" s="34"/>
      <c r="C1180" s="35"/>
      <c r="D1180" s="35"/>
      <c r="E1180" s="35"/>
      <c r="F1180" s="31"/>
    </row>
    <row r="1181" spans="1:6" ht="22.5" customHeight="1" x14ac:dyDescent="0.2">
      <c r="A1181" s="23"/>
      <c r="B1181" s="34"/>
      <c r="C1181" s="35"/>
      <c r="D1181" s="35"/>
      <c r="E1181" s="35"/>
      <c r="F1181" s="31"/>
    </row>
    <row r="1182" spans="1:6" ht="22.5" customHeight="1" x14ac:dyDescent="0.2">
      <c r="A1182" s="23"/>
      <c r="B1182" s="34"/>
      <c r="C1182" s="35"/>
      <c r="D1182" s="35"/>
      <c r="E1182" s="35"/>
      <c r="F1182" s="31"/>
    </row>
    <row r="1183" spans="1:6" ht="22.5" customHeight="1" x14ac:dyDescent="0.2">
      <c r="A1183" s="23"/>
      <c r="B1183" s="34"/>
      <c r="C1183" s="35"/>
      <c r="D1183" s="35"/>
      <c r="E1183" s="35"/>
      <c r="F1183" s="31"/>
    </row>
    <row r="1184" spans="1:6" ht="22.5" customHeight="1" x14ac:dyDescent="0.2">
      <c r="A1184" s="23"/>
      <c r="B1184" s="34"/>
      <c r="C1184" s="35"/>
      <c r="D1184" s="35"/>
      <c r="E1184" s="35"/>
      <c r="F1184" s="31"/>
    </row>
    <row r="1185" spans="1:6" ht="22.5" customHeight="1" x14ac:dyDescent="0.2">
      <c r="A1185" s="23"/>
      <c r="B1185" s="34"/>
      <c r="C1185" s="35"/>
      <c r="D1185" s="35"/>
      <c r="E1185" s="35"/>
      <c r="F1185" s="31"/>
    </row>
    <row r="1186" spans="1:6" ht="22.5" customHeight="1" x14ac:dyDescent="0.2">
      <c r="A1186" s="23"/>
      <c r="B1186" s="34"/>
      <c r="C1186" s="35"/>
      <c r="D1186" s="35"/>
      <c r="E1186" s="35"/>
      <c r="F1186" s="31"/>
    </row>
    <row r="1187" spans="1:6" ht="22.5" customHeight="1" x14ac:dyDescent="0.2">
      <c r="A1187" s="23"/>
      <c r="B1187" s="34"/>
      <c r="C1187" s="35"/>
      <c r="D1187" s="35"/>
      <c r="E1187" s="35"/>
      <c r="F1187" s="31"/>
    </row>
    <row r="1188" spans="1:6" ht="22.5" customHeight="1" x14ac:dyDescent="0.2">
      <c r="A1188" s="23"/>
      <c r="B1188" s="34"/>
      <c r="C1188" s="35"/>
      <c r="D1188" s="35"/>
      <c r="E1188" s="35"/>
      <c r="F1188" s="31"/>
    </row>
    <row r="1189" spans="1:6" ht="22.5" customHeight="1" x14ac:dyDescent="0.2">
      <c r="A1189" s="23"/>
      <c r="B1189" s="34"/>
      <c r="C1189" s="35"/>
      <c r="D1189" s="35"/>
      <c r="E1189" s="35"/>
      <c r="F1189" s="31"/>
    </row>
    <row r="1190" spans="1:6" ht="22.5" customHeight="1" x14ac:dyDescent="0.2">
      <c r="A1190" s="23"/>
      <c r="B1190" s="34"/>
      <c r="C1190" s="35"/>
      <c r="D1190" s="35"/>
      <c r="E1190" s="35"/>
      <c r="F1190" s="31"/>
    </row>
    <row r="1191" spans="1:6" ht="22.5" customHeight="1" x14ac:dyDescent="0.2">
      <c r="A1191" s="23"/>
      <c r="B1191" s="34"/>
      <c r="C1191" s="35"/>
      <c r="D1191" s="35"/>
      <c r="E1191" s="35"/>
      <c r="F1191" s="31"/>
    </row>
    <row r="1192" spans="1:6" ht="22.5" customHeight="1" x14ac:dyDescent="0.2">
      <c r="A1192" s="23"/>
      <c r="B1192" s="34"/>
      <c r="C1192" s="35"/>
      <c r="D1192" s="35"/>
      <c r="E1192" s="35"/>
      <c r="F1192" s="31"/>
    </row>
    <row r="1193" spans="1:6" ht="22.5" customHeight="1" x14ac:dyDescent="0.2">
      <c r="A1193" s="23"/>
      <c r="B1193" s="34"/>
      <c r="C1193" s="35"/>
      <c r="D1193" s="35"/>
      <c r="E1193" s="35"/>
      <c r="F1193" s="31"/>
    </row>
    <row r="1194" spans="1:6" ht="22.5" customHeight="1" x14ac:dyDescent="0.2">
      <c r="A1194" s="23"/>
      <c r="B1194" s="34"/>
      <c r="C1194" s="35"/>
      <c r="D1194" s="35"/>
      <c r="E1194" s="35"/>
      <c r="F1194" s="31"/>
    </row>
    <row r="1195" spans="1:6" ht="22.5" customHeight="1" x14ac:dyDescent="0.2">
      <c r="A1195" s="23"/>
      <c r="B1195" s="34"/>
      <c r="C1195" s="35"/>
      <c r="D1195" s="35"/>
      <c r="E1195" s="35"/>
      <c r="F1195" s="31"/>
    </row>
    <row r="1196" spans="1:6" ht="22.5" customHeight="1" x14ac:dyDescent="0.2">
      <c r="A1196" s="23"/>
      <c r="B1196" s="34"/>
      <c r="C1196" s="35"/>
      <c r="D1196" s="35"/>
      <c r="E1196" s="35"/>
      <c r="F1196" s="31"/>
    </row>
    <row r="1197" spans="1:6" ht="22.5" customHeight="1" x14ac:dyDescent="0.2">
      <c r="A1197" s="23"/>
      <c r="B1197" s="34"/>
      <c r="C1197" s="35"/>
      <c r="D1197" s="35"/>
      <c r="E1197" s="35"/>
      <c r="F1197" s="31"/>
    </row>
    <row r="1198" spans="1:6" ht="22.5" customHeight="1" x14ac:dyDescent="0.2">
      <c r="A1198" s="23"/>
      <c r="B1198" s="34"/>
      <c r="C1198" s="35"/>
      <c r="D1198" s="35"/>
      <c r="E1198" s="35"/>
      <c r="F1198" s="31"/>
    </row>
    <row r="1199" spans="1:6" ht="22.5" customHeight="1" x14ac:dyDescent="0.2">
      <c r="A1199" s="23"/>
      <c r="B1199" s="34"/>
      <c r="C1199" s="35"/>
      <c r="D1199" s="35"/>
      <c r="E1199" s="35"/>
      <c r="F1199" s="31"/>
    </row>
    <row r="1200" spans="1:6" ht="22.5" customHeight="1" x14ac:dyDescent="0.2">
      <c r="A1200" s="23"/>
      <c r="B1200" s="34"/>
      <c r="C1200" s="35"/>
      <c r="D1200" s="35"/>
      <c r="E1200" s="35"/>
      <c r="F1200" s="31"/>
    </row>
    <row r="1201" spans="1:6" ht="22.5" customHeight="1" x14ac:dyDescent="0.2">
      <c r="A1201" s="23"/>
      <c r="B1201" s="34"/>
      <c r="C1201" s="35"/>
      <c r="D1201" s="35"/>
      <c r="E1201" s="35"/>
      <c r="F1201" s="31"/>
    </row>
    <row r="1202" spans="1:6" ht="22.5" customHeight="1" x14ac:dyDescent="0.2">
      <c r="A1202" s="23"/>
      <c r="B1202" s="34"/>
      <c r="C1202" s="35"/>
      <c r="D1202" s="35"/>
      <c r="E1202" s="35"/>
      <c r="F1202" s="31"/>
    </row>
    <row r="1203" spans="1:6" ht="22.5" customHeight="1" x14ac:dyDescent="0.2">
      <c r="A1203" s="23"/>
      <c r="B1203" s="34"/>
      <c r="C1203" s="35"/>
      <c r="D1203" s="35"/>
      <c r="E1203" s="35"/>
      <c r="F1203" s="31"/>
    </row>
    <row r="1204" spans="1:6" ht="22.5" customHeight="1" x14ac:dyDescent="0.2">
      <c r="A1204" s="23"/>
      <c r="B1204" s="34"/>
      <c r="C1204" s="35"/>
      <c r="D1204" s="35"/>
      <c r="E1204" s="35"/>
      <c r="F1204" s="31"/>
    </row>
    <row r="1205" spans="1:6" ht="22.5" customHeight="1" x14ac:dyDescent="0.2">
      <c r="A1205" s="23"/>
      <c r="B1205" s="34"/>
      <c r="C1205" s="35"/>
      <c r="D1205" s="35"/>
      <c r="E1205" s="35"/>
      <c r="F1205" s="31"/>
    </row>
    <row r="1206" spans="1:6" ht="22.5" customHeight="1" x14ac:dyDescent="0.2">
      <c r="A1206" s="23"/>
      <c r="B1206" s="34"/>
      <c r="C1206" s="35"/>
      <c r="D1206" s="35"/>
      <c r="E1206" s="35"/>
      <c r="F1206" s="31"/>
    </row>
    <row r="1207" spans="1:6" ht="22.5" customHeight="1" x14ac:dyDescent="0.2">
      <c r="A1207" s="23"/>
      <c r="B1207" s="34"/>
      <c r="C1207" s="35"/>
      <c r="D1207" s="35"/>
      <c r="E1207" s="35"/>
      <c r="F1207" s="31"/>
    </row>
    <row r="1208" spans="1:6" ht="22.5" customHeight="1" x14ac:dyDescent="0.2">
      <c r="A1208" s="23"/>
      <c r="B1208" s="34"/>
      <c r="C1208" s="35"/>
      <c r="D1208" s="35"/>
      <c r="E1208" s="35"/>
      <c r="F1208" s="31"/>
    </row>
    <row r="1209" spans="1:6" ht="22.5" customHeight="1" x14ac:dyDescent="0.2">
      <c r="A1209" s="23"/>
      <c r="B1209" s="34"/>
      <c r="C1209" s="35"/>
      <c r="D1209" s="35"/>
      <c r="E1209" s="35"/>
      <c r="F1209" s="31"/>
    </row>
    <row r="1210" spans="1:6" ht="22.5" customHeight="1" x14ac:dyDescent="0.2">
      <c r="A1210" s="23"/>
      <c r="B1210" s="34"/>
      <c r="C1210" s="35"/>
      <c r="D1210" s="35"/>
      <c r="E1210" s="35"/>
      <c r="F1210" s="31"/>
    </row>
    <row r="1211" spans="1:6" ht="22.5" customHeight="1" x14ac:dyDescent="0.2">
      <c r="A1211" s="23"/>
      <c r="B1211" s="34"/>
      <c r="C1211" s="35"/>
      <c r="D1211" s="35"/>
      <c r="E1211" s="35"/>
      <c r="F1211" s="31"/>
    </row>
    <row r="1212" spans="1:6" ht="22.5" customHeight="1" x14ac:dyDescent="0.2">
      <c r="A1212" s="23"/>
      <c r="B1212" s="34"/>
      <c r="C1212" s="35"/>
      <c r="D1212" s="35"/>
      <c r="E1212" s="35"/>
      <c r="F1212" s="31"/>
    </row>
    <row r="1213" spans="1:6" ht="22.5" customHeight="1" x14ac:dyDescent="0.2">
      <c r="A1213" s="23"/>
      <c r="B1213" s="34"/>
      <c r="C1213" s="35"/>
      <c r="D1213" s="35"/>
      <c r="E1213" s="35"/>
      <c r="F1213" s="31"/>
    </row>
    <row r="1214" spans="1:6" ht="22.5" customHeight="1" x14ac:dyDescent="0.2">
      <c r="A1214" s="23"/>
      <c r="B1214" s="34"/>
      <c r="C1214" s="35"/>
      <c r="D1214" s="35"/>
      <c r="E1214" s="35"/>
      <c r="F1214" s="31"/>
    </row>
    <row r="1215" spans="1:6" ht="22.5" customHeight="1" x14ac:dyDescent="0.2">
      <c r="A1215" s="23"/>
      <c r="B1215" s="34"/>
      <c r="C1215" s="35"/>
      <c r="D1215" s="35"/>
      <c r="E1215" s="35"/>
      <c r="F1215" s="31"/>
    </row>
    <row r="1216" spans="1:6" ht="22.5" customHeight="1" x14ac:dyDescent="0.2">
      <c r="A1216" s="23"/>
      <c r="B1216" s="34"/>
      <c r="C1216" s="35"/>
      <c r="D1216" s="35"/>
      <c r="E1216" s="35"/>
      <c r="F1216" s="31"/>
    </row>
    <row r="1217" spans="1:6" ht="22.5" customHeight="1" x14ac:dyDescent="0.2">
      <c r="A1217" s="23"/>
      <c r="B1217" s="34"/>
      <c r="C1217" s="35"/>
      <c r="D1217" s="35"/>
      <c r="E1217" s="35"/>
      <c r="F1217" s="31"/>
    </row>
    <row r="1218" spans="1:6" ht="22.5" customHeight="1" x14ac:dyDescent="0.2">
      <c r="A1218" s="23"/>
      <c r="B1218" s="34"/>
      <c r="C1218" s="35"/>
      <c r="D1218" s="35"/>
      <c r="E1218" s="35"/>
      <c r="F1218" s="31"/>
    </row>
    <row r="1219" spans="1:6" ht="22.5" customHeight="1" x14ac:dyDescent="0.2">
      <c r="A1219" s="23"/>
      <c r="B1219" s="34"/>
      <c r="C1219" s="35"/>
      <c r="D1219" s="35"/>
      <c r="E1219" s="35"/>
      <c r="F1219" s="31"/>
    </row>
    <row r="1220" spans="1:6" ht="22.5" customHeight="1" x14ac:dyDescent="0.2">
      <c r="A1220" s="23"/>
      <c r="B1220" s="34"/>
      <c r="C1220" s="35"/>
      <c r="D1220" s="35"/>
      <c r="E1220" s="35"/>
      <c r="F1220" s="31"/>
    </row>
    <row r="1221" spans="1:6" ht="22.5" customHeight="1" x14ac:dyDescent="0.2">
      <c r="A1221" s="23"/>
      <c r="B1221" s="34"/>
      <c r="C1221" s="35"/>
      <c r="D1221" s="35"/>
      <c r="E1221" s="35"/>
      <c r="F1221" s="31"/>
    </row>
    <row r="1222" spans="1:6" ht="22.5" customHeight="1" x14ac:dyDescent="0.2">
      <c r="A1222" s="23"/>
      <c r="B1222" s="34"/>
      <c r="C1222" s="35"/>
      <c r="D1222" s="35"/>
      <c r="E1222" s="35"/>
      <c r="F1222" s="31"/>
    </row>
    <row r="1223" spans="1:6" ht="22.5" customHeight="1" x14ac:dyDescent="0.2">
      <c r="A1223" s="23"/>
      <c r="B1223" s="34"/>
      <c r="C1223" s="35"/>
      <c r="D1223" s="35"/>
      <c r="E1223" s="35"/>
      <c r="F1223" s="31"/>
    </row>
    <row r="1224" spans="1:6" ht="22.5" customHeight="1" x14ac:dyDescent="0.2">
      <c r="A1224" s="23"/>
      <c r="B1224" s="34"/>
      <c r="C1224" s="35"/>
      <c r="D1224" s="35"/>
      <c r="E1224" s="35"/>
      <c r="F1224" s="31"/>
    </row>
    <row r="1225" spans="1:6" ht="22.5" customHeight="1" x14ac:dyDescent="0.2">
      <c r="A1225" s="23"/>
      <c r="B1225" s="34"/>
      <c r="C1225" s="35"/>
      <c r="D1225" s="35"/>
      <c r="E1225" s="35"/>
      <c r="F1225" s="31"/>
    </row>
    <row r="1226" spans="1:6" ht="22.5" customHeight="1" x14ac:dyDescent="0.2">
      <c r="A1226" s="23"/>
      <c r="B1226" s="34"/>
      <c r="C1226" s="35"/>
      <c r="D1226" s="35"/>
      <c r="E1226" s="35"/>
      <c r="F1226" s="31"/>
    </row>
    <row r="1227" spans="1:6" ht="22.5" customHeight="1" x14ac:dyDescent="0.2">
      <c r="A1227" s="23"/>
      <c r="B1227" s="34"/>
      <c r="C1227" s="35"/>
      <c r="D1227" s="35"/>
      <c r="E1227" s="35"/>
      <c r="F1227" s="31"/>
    </row>
    <row r="1228" spans="1:6" ht="22.5" customHeight="1" x14ac:dyDescent="0.2">
      <c r="A1228" s="23"/>
      <c r="B1228" s="34"/>
      <c r="C1228" s="35"/>
      <c r="D1228" s="35"/>
      <c r="E1228" s="35"/>
      <c r="F1228" s="31"/>
    </row>
    <row r="1229" spans="1:6" ht="22.5" customHeight="1" x14ac:dyDescent="0.2">
      <c r="A1229" s="23"/>
      <c r="B1229" s="34"/>
      <c r="C1229" s="35"/>
      <c r="D1229" s="35"/>
      <c r="E1229" s="35"/>
      <c r="F1229" s="31"/>
    </row>
    <row r="1230" spans="1:6" ht="22.5" customHeight="1" x14ac:dyDescent="0.2">
      <c r="A1230" s="23"/>
      <c r="B1230" s="34"/>
      <c r="C1230" s="35"/>
      <c r="D1230" s="35"/>
      <c r="E1230" s="35"/>
      <c r="F1230" s="31"/>
    </row>
    <row r="1231" spans="1:6" ht="22.5" customHeight="1" x14ac:dyDescent="0.2">
      <c r="A1231" s="23"/>
      <c r="B1231" s="34"/>
      <c r="C1231" s="35"/>
      <c r="D1231" s="35"/>
      <c r="E1231" s="35"/>
      <c r="F1231" s="31"/>
    </row>
    <row r="1232" spans="1:6" ht="22.5" customHeight="1" x14ac:dyDescent="0.2">
      <c r="A1232" s="23"/>
      <c r="B1232" s="34"/>
      <c r="C1232" s="35"/>
      <c r="D1232" s="35"/>
      <c r="E1232" s="35"/>
      <c r="F1232" s="31"/>
    </row>
    <row r="1233" spans="1:6" ht="22.5" customHeight="1" x14ac:dyDescent="0.2">
      <c r="A1233" s="23"/>
      <c r="B1233" s="34"/>
      <c r="C1233" s="35"/>
      <c r="D1233" s="35"/>
      <c r="E1233" s="35"/>
      <c r="F1233" s="31"/>
    </row>
    <row r="1234" spans="1:6" ht="22.5" customHeight="1" x14ac:dyDescent="0.2">
      <c r="A1234" s="23"/>
      <c r="B1234" s="34"/>
      <c r="C1234" s="35"/>
      <c r="D1234" s="35"/>
      <c r="E1234" s="35"/>
      <c r="F1234" s="31"/>
    </row>
    <row r="1235" spans="1:6" ht="22.5" customHeight="1" x14ac:dyDescent="0.2">
      <c r="A1235" s="23"/>
      <c r="B1235" s="34"/>
      <c r="C1235" s="35"/>
      <c r="D1235" s="35"/>
      <c r="E1235" s="35"/>
      <c r="F1235" s="31"/>
    </row>
    <row r="1236" spans="1:6" ht="22.5" customHeight="1" x14ac:dyDescent="0.2">
      <c r="A1236" s="23"/>
      <c r="B1236" s="34"/>
      <c r="C1236" s="35"/>
      <c r="D1236" s="35"/>
      <c r="E1236" s="35"/>
      <c r="F1236" s="31"/>
    </row>
    <row r="1237" spans="1:6" ht="22.5" customHeight="1" x14ac:dyDescent="0.2">
      <c r="A1237" s="23"/>
      <c r="B1237" s="34"/>
      <c r="C1237" s="35"/>
      <c r="D1237" s="35"/>
      <c r="E1237" s="35"/>
      <c r="F1237" s="31"/>
    </row>
    <row r="1238" spans="1:6" ht="22.5" customHeight="1" x14ac:dyDescent="0.2">
      <c r="A1238" s="23"/>
      <c r="B1238" s="34"/>
      <c r="C1238" s="35"/>
      <c r="D1238" s="35"/>
      <c r="E1238" s="35"/>
      <c r="F1238" s="31"/>
    </row>
    <row r="1239" spans="1:6" ht="22.5" customHeight="1" x14ac:dyDescent="0.2">
      <c r="A1239" s="23"/>
      <c r="B1239" s="34"/>
      <c r="C1239" s="35"/>
      <c r="D1239" s="35"/>
      <c r="E1239" s="35"/>
      <c r="F1239" s="31"/>
    </row>
    <row r="1240" spans="1:6" ht="22.5" customHeight="1" x14ac:dyDescent="0.2">
      <c r="A1240" s="23"/>
      <c r="B1240" s="34"/>
      <c r="C1240" s="35"/>
      <c r="D1240" s="35"/>
      <c r="E1240" s="35"/>
      <c r="F1240" s="31"/>
    </row>
    <row r="1241" spans="1:6" ht="22.5" customHeight="1" x14ac:dyDescent="0.2">
      <c r="A1241" s="23"/>
      <c r="B1241" s="34"/>
      <c r="C1241" s="35"/>
      <c r="D1241" s="35"/>
      <c r="E1241" s="35"/>
      <c r="F1241" s="31"/>
    </row>
    <row r="1242" spans="1:6" ht="22.5" customHeight="1" x14ac:dyDescent="0.2">
      <c r="A1242" s="23"/>
      <c r="B1242" s="34"/>
      <c r="C1242" s="35"/>
      <c r="D1242" s="35"/>
      <c r="E1242" s="35"/>
      <c r="F1242" s="31"/>
    </row>
    <row r="1243" spans="1:6" ht="22.5" customHeight="1" x14ac:dyDescent="0.2">
      <c r="A1243" s="23"/>
      <c r="B1243" s="34"/>
      <c r="C1243" s="35"/>
      <c r="D1243" s="35"/>
      <c r="E1243" s="35"/>
      <c r="F1243" s="31"/>
    </row>
    <row r="1244" spans="1:6" ht="22.5" customHeight="1" x14ac:dyDescent="0.2">
      <c r="A1244" s="23"/>
      <c r="B1244" s="34"/>
      <c r="C1244" s="35"/>
      <c r="D1244" s="35"/>
      <c r="E1244" s="35"/>
      <c r="F1244" s="31"/>
    </row>
    <row r="1245" spans="1:6" ht="22.5" customHeight="1" x14ac:dyDescent="0.2">
      <c r="A1245" s="23"/>
      <c r="B1245" s="34"/>
      <c r="C1245" s="35"/>
      <c r="D1245" s="35"/>
      <c r="E1245" s="35"/>
      <c r="F1245" s="31"/>
    </row>
    <row r="1246" spans="1:6" ht="22.5" customHeight="1" x14ac:dyDescent="0.2">
      <c r="A1246" s="23"/>
      <c r="B1246" s="34"/>
      <c r="C1246" s="35"/>
      <c r="D1246" s="35"/>
      <c r="E1246" s="35"/>
      <c r="F1246" s="31"/>
    </row>
    <row r="1247" spans="1:6" ht="22.5" customHeight="1" x14ac:dyDescent="0.2">
      <c r="A1247" s="23"/>
      <c r="B1247" s="34"/>
      <c r="C1247" s="35"/>
      <c r="D1247" s="35"/>
      <c r="E1247" s="35"/>
      <c r="F1247" s="31"/>
    </row>
    <row r="1248" spans="1:6" ht="22.5" customHeight="1" x14ac:dyDescent="0.2">
      <c r="A1248" s="23"/>
      <c r="B1248" s="34"/>
      <c r="C1248" s="35"/>
      <c r="D1248" s="35"/>
      <c r="E1248" s="35"/>
      <c r="F1248" s="31"/>
    </row>
    <row r="1249" spans="1:6" ht="22.5" customHeight="1" x14ac:dyDescent="0.2">
      <c r="A1249" s="23"/>
      <c r="B1249" s="34"/>
      <c r="C1249" s="35"/>
      <c r="D1249" s="35"/>
      <c r="E1249" s="35"/>
      <c r="F1249" s="31"/>
    </row>
    <row r="1250" spans="1:6" ht="22.5" customHeight="1" x14ac:dyDescent="0.2">
      <c r="A1250" s="23"/>
      <c r="B1250" s="34"/>
      <c r="C1250" s="35"/>
      <c r="D1250" s="35"/>
      <c r="E1250" s="35"/>
      <c r="F1250" s="31"/>
    </row>
    <row r="1251" spans="1:6" ht="22.5" customHeight="1" x14ac:dyDescent="0.2">
      <c r="A1251" s="23"/>
      <c r="B1251" s="34"/>
      <c r="C1251" s="35"/>
      <c r="D1251" s="35"/>
      <c r="E1251" s="35"/>
      <c r="F1251" s="31"/>
    </row>
    <row r="1252" spans="1:6" ht="22.5" customHeight="1" x14ac:dyDescent="0.2">
      <c r="A1252" s="23"/>
      <c r="B1252" s="34"/>
      <c r="C1252" s="35"/>
      <c r="D1252" s="35"/>
      <c r="E1252" s="35"/>
      <c r="F1252" s="31"/>
    </row>
    <row r="1253" spans="1:6" ht="22.5" customHeight="1" x14ac:dyDescent="0.2">
      <c r="A1253" s="23"/>
      <c r="B1253" s="34"/>
      <c r="C1253" s="35"/>
      <c r="D1253" s="35"/>
      <c r="E1253" s="35"/>
      <c r="F1253" s="31"/>
    </row>
    <row r="1254" spans="1:6" ht="22.5" customHeight="1" x14ac:dyDescent="0.2">
      <c r="A1254" s="23"/>
      <c r="B1254" s="34"/>
      <c r="C1254" s="35"/>
      <c r="D1254" s="35"/>
      <c r="E1254" s="35"/>
      <c r="F1254" s="31"/>
    </row>
    <row r="1255" spans="1:6" ht="22.5" customHeight="1" x14ac:dyDescent="0.2">
      <c r="A1255" s="23"/>
      <c r="B1255" s="34"/>
      <c r="C1255" s="35"/>
      <c r="D1255" s="35"/>
      <c r="E1255" s="35"/>
      <c r="F1255" s="31"/>
    </row>
    <row r="1256" spans="1:6" ht="22.5" customHeight="1" x14ac:dyDescent="0.2">
      <c r="A1256" s="23"/>
      <c r="B1256" s="34"/>
      <c r="C1256" s="35"/>
      <c r="D1256" s="35"/>
      <c r="E1256" s="35"/>
      <c r="F1256" s="31"/>
    </row>
    <row r="1257" spans="1:6" ht="22.5" customHeight="1" x14ac:dyDescent="0.2">
      <c r="A1257" s="23"/>
      <c r="B1257" s="34"/>
      <c r="C1257" s="35"/>
      <c r="D1257" s="35"/>
      <c r="E1257" s="35"/>
      <c r="F1257" s="31"/>
    </row>
    <row r="1258" spans="1:6" ht="22.5" customHeight="1" x14ac:dyDescent="0.2">
      <c r="A1258" s="23"/>
      <c r="B1258" s="34"/>
      <c r="C1258" s="35"/>
      <c r="D1258" s="35"/>
      <c r="E1258" s="35"/>
      <c r="F1258" s="31"/>
    </row>
    <row r="1259" spans="1:6" ht="22.5" customHeight="1" x14ac:dyDescent="0.2">
      <c r="A1259" s="23"/>
      <c r="B1259" s="34"/>
      <c r="C1259" s="35"/>
      <c r="D1259" s="35"/>
      <c r="E1259" s="35"/>
      <c r="F1259" s="31"/>
    </row>
    <row r="1260" spans="1:6" ht="22.5" customHeight="1" x14ac:dyDescent="0.2">
      <c r="A1260" s="23"/>
      <c r="B1260" s="34"/>
      <c r="C1260" s="35"/>
      <c r="D1260" s="35"/>
      <c r="E1260" s="35"/>
      <c r="F1260" s="31"/>
    </row>
    <row r="1261" spans="1:6" ht="22.5" customHeight="1" x14ac:dyDescent="0.2">
      <c r="A1261" s="23"/>
      <c r="B1261" s="34"/>
      <c r="C1261" s="35"/>
      <c r="D1261" s="35"/>
      <c r="E1261" s="35"/>
      <c r="F1261" s="31"/>
    </row>
    <row r="1262" spans="1:6" ht="22.5" customHeight="1" x14ac:dyDescent="0.2">
      <c r="A1262" s="23"/>
      <c r="B1262" s="34"/>
      <c r="C1262" s="35"/>
      <c r="D1262" s="35"/>
      <c r="E1262" s="35"/>
      <c r="F1262" s="31"/>
    </row>
    <row r="1263" spans="1:6" ht="22.5" customHeight="1" x14ac:dyDescent="0.2">
      <c r="A1263" s="23"/>
      <c r="B1263" s="34"/>
      <c r="C1263" s="35"/>
      <c r="D1263" s="35"/>
      <c r="E1263" s="35"/>
      <c r="F1263" s="31"/>
    </row>
    <row r="1264" spans="1:6" ht="22.5" customHeight="1" x14ac:dyDescent="0.2">
      <c r="A1264" s="23"/>
      <c r="B1264" s="34"/>
      <c r="C1264" s="35"/>
      <c r="D1264" s="35"/>
      <c r="E1264" s="35"/>
      <c r="F1264" s="31"/>
    </row>
    <row r="1265" spans="1:6" ht="22.5" customHeight="1" x14ac:dyDescent="0.2">
      <c r="A1265" s="23"/>
      <c r="B1265" s="34"/>
      <c r="C1265" s="35"/>
      <c r="D1265" s="35"/>
      <c r="E1265" s="35"/>
      <c r="F1265" s="31"/>
    </row>
    <row r="1266" spans="1:6" ht="22.5" customHeight="1" x14ac:dyDescent="0.2">
      <c r="A1266" s="23"/>
      <c r="B1266" s="34"/>
      <c r="C1266" s="35"/>
      <c r="D1266" s="35"/>
      <c r="E1266" s="35"/>
      <c r="F1266" s="31"/>
    </row>
    <row r="1267" spans="1:6" ht="22.5" customHeight="1" x14ac:dyDescent="0.2">
      <c r="A1267" s="23"/>
      <c r="B1267" s="34"/>
      <c r="C1267" s="35"/>
      <c r="D1267" s="35"/>
      <c r="E1267" s="35"/>
      <c r="F1267" s="31"/>
    </row>
    <row r="1268" spans="1:6" ht="22.5" customHeight="1" x14ac:dyDescent="0.2">
      <c r="A1268" s="23"/>
      <c r="B1268" s="34"/>
      <c r="C1268" s="35"/>
      <c r="D1268" s="35"/>
      <c r="E1268" s="35"/>
      <c r="F1268" s="31"/>
    </row>
    <row r="1269" spans="1:6" ht="22.5" customHeight="1" x14ac:dyDescent="0.2">
      <c r="A1269" s="23"/>
      <c r="B1269" s="34"/>
      <c r="C1269" s="35"/>
      <c r="D1269" s="35"/>
      <c r="E1269" s="35"/>
      <c r="F1269" s="31"/>
    </row>
    <row r="1270" spans="1:6" ht="22.5" customHeight="1" x14ac:dyDescent="0.2">
      <c r="A1270" s="23"/>
      <c r="B1270" s="34"/>
      <c r="C1270" s="35"/>
      <c r="D1270" s="35"/>
      <c r="E1270" s="35"/>
      <c r="F1270" s="31"/>
    </row>
    <row r="1271" spans="1:6" ht="22.5" customHeight="1" x14ac:dyDescent="0.2">
      <c r="A1271" s="23"/>
      <c r="B1271" s="34"/>
      <c r="C1271" s="35"/>
      <c r="D1271" s="35"/>
      <c r="E1271" s="35"/>
      <c r="F1271" s="31"/>
    </row>
    <row r="1272" spans="1:6" ht="22.5" customHeight="1" x14ac:dyDescent="0.2">
      <c r="A1272" s="23"/>
      <c r="B1272" s="34"/>
      <c r="C1272" s="35"/>
      <c r="D1272" s="35"/>
      <c r="E1272" s="35"/>
      <c r="F1272" s="31"/>
    </row>
    <row r="1273" spans="1:6" ht="22.5" customHeight="1" x14ac:dyDescent="0.2">
      <c r="A1273" s="23"/>
      <c r="B1273" s="34"/>
      <c r="C1273" s="35"/>
      <c r="D1273" s="35"/>
      <c r="E1273" s="35"/>
      <c r="F1273" s="31"/>
    </row>
    <row r="1274" spans="1:6" ht="22.5" customHeight="1" x14ac:dyDescent="0.2">
      <c r="A1274" s="23"/>
      <c r="B1274" s="34"/>
      <c r="C1274" s="35"/>
      <c r="D1274" s="35"/>
      <c r="E1274" s="35"/>
      <c r="F1274" s="31"/>
    </row>
    <row r="1275" spans="1:6" ht="22.5" customHeight="1" x14ac:dyDescent="0.2">
      <c r="A1275" s="23"/>
      <c r="B1275" s="34"/>
      <c r="C1275" s="35"/>
      <c r="D1275" s="35"/>
      <c r="E1275" s="35"/>
      <c r="F1275" s="31"/>
    </row>
    <row r="1276" spans="1:6" ht="22.5" customHeight="1" x14ac:dyDescent="0.2">
      <c r="A1276" s="23"/>
      <c r="B1276" s="34"/>
      <c r="C1276" s="35"/>
      <c r="D1276" s="35"/>
      <c r="E1276" s="35"/>
      <c r="F1276" s="31"/>
    </row>
    <row r="1277" spans="1:6" ht="22.5" customHeight="1" x14ac:dyDescent="0.2">
      <c r="A1277" s="23"/>
      <c r="B1277" s="34"/>
      <c r="C1277" s="35"/>
      <c r="D1277" s="35"/>
      <c r="E1277" s="35"/>
      <c r="F1277" s="31"/>
    </row>
    <row r="1278" spans="1:6" ht="22.5" customHeight="1" x14ac:dyDescent="0.2">
      <c r="A1278" s="23"/>
      <c r="B1278" s="34"/>
      <c r="C1278" s="35"/>
      <c r="D1278" s="35"/>
      <c r="E1278" s="35"/>
      <c r="F1278" s="31"/>
    </row>
    <row r="1279" spans="1:6" ht="22.5" customHeight="1" x14ac:dyDescent="0.2">
      <c r="A1279" s="23"/>
      <c r="B1279" s="34"/>
      <c r="C1279" s="35"/>
      <c r="D1279" s="35"/>
      <c r="E1279" s="35"/>
      <c r="F1279" s="31"/>
    </row>
    <row r="1280" spans="1:6" ht="22.5" customHeight="1" x14ac:dyDescent="0.2">
      <c r="A1280" s="23"/>
      <c r="B1280" s="34"/>
      <c r="C1280" s="35"/>
      <c r="D1280" s="35"/>
      <c r="E1280" s="35"/>
      <c r="F1280" s="31"/>
    </row>
    <row r="1281" spans="1:6" ht="22.5" customHeight="1" x14ac:dyDescent="0.2">
      <c r="A1281" s="23"/>
      <c r="B1281" s="34"/>
      <c r="C1281" s="35"/>
      <c r="D1281" s="35"/>
      <c r="E1281" s="35"/>
      <c r="F1281" s="31"/>
    </row>
    <row r="1282" spans="1:6" ht="22.5" customHeight="1" x14ac:dyDescent="0.2">
      <c r="A1282" s="23"/>
      <c r="B1282" s="34"/>
      <c r="C1282" s="35"/>
      <c r="D1282" s="35"/>
      <c r="E1282" s="35"/>
      <c r="F1282" s="31"/>
    </row>
    <row r="1283" spans="1:6" ht="22.5" customHeight="1" x14ac:dyDescent="0.2">
      <c r="A1283" s="23"/>
      <c r="B1283" s="34"/>
      <c r="C1283" s="35"/>
      <c r="D1283" s="35"/>
      <c r="E1283" s="35"/>
      <c r="F1283" s="31"/>
    </row>
    <row r="1284" spans="1:6" ht="22.5" customHeight="1" x14ac:dyDescent="0.2">
      <c r="A1284" s="23"/>
      <c r="B1284" s="34"/>
      <c r="C1284" s="35"/>
      <c r="D1284" s="35"/>
      <c r="E1284" s="35"/>
      <c r="F1284" s="31"/>
    </row>
    <row r="1285" spans="1:6" ht="22.5" customHeight="1" x14ac:dyDescent="0.2">
      <c r="A1285" s="23"/>
      <c r="B1285" s="34"/>
      <c r="C1285" s="35"/>
      <c r="D1285" s="35"/>
      <c r="E1285" s="35"/>
      <c r="F1285" s="31"/>
    </row>
    <row r="1286" spans="1:6" ht="22.5" customHeight="1" x14ac:dyDescent="0.2">
      <c r="A1286" s="23"/>
      <c r="B1286" s="34"/>
      <c r="C1286" s="35"/>
      <c r="D1286" s="35"/>
      <c r="E1286" s="35"/>
      <c r="F1286" s="31"/>
    </row>
    <row r="1287" spans="1:6" ht="22.5" customHeight="1" x14ac:dyDescent="0.2">
      <c r="A1287" s="23"/>
      <c r="B1287" s="34"/>
      <c r="C1287" s="35"/>
      <c r="D1287" s="35"/>
      <c r="E1287" s="35"/>
      <c r="F1287" s="31"/>
    </row>
    <row r="1288" spans="1:6" ht="22.5" customHeight="1" x14ac:dyDescent="0.2">
      <c r="A1288" s="23"/>
      <c r="B1288" s="34"/>
      <c r="C1288" s="35"/>
      <c r="D1288" s="35"/>
      <c r="E1288" s="35"/>
      <c r="F1288" s="31"/>
    </row>
    <row r="1289" spans="1:6" ht="22.5" customHeight="1" x14ac:dyDescent="0.2">
      <c r="A1289" s="23"/>
      <c r="B1289" s="34"/>
      <c r="C1289" s="35"/>
      <c r="D1289" s="35"/>
      <c r="E1289" s="35"/>
      <c r="F1289" s="31"/>
    </row>
    <row r="1290" spans="1:6" ht="22.5" customHeight="1" x14ac:dyDescent="0.2">
      <c r="A1290" s="23"/>
      <c r="B1290" s="34"/>
      <c r="C1290" s="35"/>
      <c r="D1290" s="35"/>
      <c r="E1290" s="35"/>
      <c r="F1290" s="31"/>
    </row>
    <row r="1291" spans="1:6" ht="22.5" customHeight="1" x14ac:dyDescent="0.2">
      <c r="A1291" s="23"/>
      <c r="B1291" s="34"/>
      <c r="C1291" s="35"/>
      <c r="D1291" s="35"/>
      <c r="E1291" s="35"/>
      <c r="F1291" s="31"/>
    </row>
    <row r="1292" spans="1:6" ht="22.5" customHeight="1" x14ac:dyDescent="0.2">
      <c r="A1292" s="23"/>
      <c r="B1292" s="34"/>
      <c r="C1292" s="35"/>
      <c r="D1292" s="35"/>
      <c r="E1292" s="35"/>
      <c r="F1292" s="31"/>
    </row>
    <row r="1293" spans="1:6" ht="22.5" customHeight="1" x14ac:dyDescent="0.2">
      <c r="A1293" s="23"/>
      <c r="B1293" s="34"/>
      <c r="C1293" s="35"/>
      <c r="D1293" s="35"/>
      <c r="E1293" s="35"/>
      <c r="F1293" s="31"/>
    </row>
    <row r="1294" spans="1:6" ht="22.5" customHeight="1" x14ac:dyDescent="0.2">
      <c r="A1294" s="23"/>
      <c r="B1294" s="34"/>
      <c r="C1294" s="35"/>
      <c r="D1294" s="35"/>
      <c r="E1294" s="35"/>
      <c r="F1294" s="31"/>
    </row>
    <row r="1295" spans="1:6" ht="22.5" customHeight="1" x14ac:dyDescent="0.2">
      <c r="A1295" s="23"/>
      <c r="B1295" s="34"/>
      <c r="C1295" s="35"/>
      <c r="D1295" s="35"/>
      <c r="E1295" s="35"/>
      <c r="F1295" s="31"/>
    </row>
    <row r="1296" spans="1:6" ht="22.5" customHeight="1" x14ac:dyDescent="0.2">
      <c r="A1296" s="23"/>
      <c r="B1296" s="34"/>
      <c r="C1296" s="35"/>
      <c r="D1296" s="35"/>
      <c r="E1296" s="35"/>
      <c r="F1296" s="31"/>
    </row>
    <row r="1297" spans="1:6" ht="22.5" customHeight="1" x14ac:dyDescent="0.2">
      <c r="A1297" s="23"/>
      <c r="B1297" s="34"/>
      <c r="C1297" s="35"/>
      <c r="D1297" s="35"/>
      <c r="E1297" s="35"/>
      <c r="F1297" s="31"/>
    </row>
    <row r="1298" spans="1:6" ht="22.5" customHeight="1" x14ac:dyDescent="0.2">
      <c r="A1298" s="23"/>
      <c r="B1298" s="34"/>
      <c r="C1298" s="35"/>
      <c r="D1298" s="35"/>
      <c r="E1298" s="35"/>
      <c r="F1298" s="31"/>
    </row>
    <row r="1299" spans="1:6" ht="22.5" customHeight="1" x14ac:dyDescent="0.2">
      <c r="A1299" s="23"/>
      <c r="B1299" s="34"/>
      <c r="C1299" s="35"/>
      <c r="D1299" s="35"/>
      <c r="E1299" s="35"/>
      <c r="F1299" s="31"/>
    </row>
    <row r="1300" spans="1:6" ht="22.5" customHeight="1" x14ac:dyDescent="0.2">
      <c r="A1300" s="23"/>
      <c r="B1300" s="34"/>
      <c r="C1300" s="35"/>
      <c r="D1300" s="35"/>
      <c r="E1300" s="35"/>
      <c r="F1300" s="31"/>
    </row>
    <row r="1301" spans="1:6" ht="22.5" customHeight="1" x14ac:dyDescent="0.2">
      <c r="A1301" s="23"/>
      <c r="B1301" s="34"/>
      <c r="C1301" s="35"/>
      <c r="D1301" s="35"/>
      <c r="E1301" s="35"/>
      <c r="F1301" s="31"/>
    </row>
    <row r="1302" spans="1:6" ht="22.5" customHeight="1" x14ac:dyDescent="0.2">
      <c r="A1302" s="23"/>
      <c r="B1302" s="34"/>
      <c r="C1302" s="35"/>
      <c r="D1302" s="35"/>
      <c r="E1302" s="35"/>
      <c r="F1302" s="31"/>
    </row>
    <row r="1303" spans="1:6" ht="22.5" customHeight="1" x14ac:dyDescent="0.2">
      <c r="A1303" s="23"/>
      <c r="B1303" s="34"/>
      <c r="C1303" s="35"/>
      <c r="D1303" s="35"/>
      <c r="E1303" s="35"/>
      <c r="F1303" s="31"/>
    </row>
    <row r="1304" spans="1:6" ht="22.5" customHeight="1" x14ac:dyDescent="0.2">
      <c r="A1304" s="23"/>
      <c r="B1304" s="34"/>
      <c r="C1304" s="35"/>
      <c r="D1304" s="35"/>
      <c r="E1304" s="35"/>
      <c r="F1304" s="31"/>
    </row>
    <row r="1305" spans="1:6" ht="22.5" customHeight="1" x14ac:dyDescent="0.2">
      <c r="A1305" s="23"/>
      <c r="B1305" s="34"/>
      <c r="C1305" s="35"/>
      <c r="D1305" s="35"/>
      <c r="E1305" s="35"/>
      <c r="F1305" s="31"/>
    </row>
    <row r="1306" spans="1:6" ht="22.5" customHeight="1" x14ac:dyDescent="0.2">
      <c r="A1306" s="23"/>
      <c r="B1306" s="34"/>
      <c r="C1306" s="35"/>
      <c r="D1306" s="35"/>
      <c r="E1306" s="35"/>
      <c r="F1306" s="31"/>
    </row>
    <row r="1307" spans="1:6" ht="22.5" customHeight="1" x14ac:dyDescent="0.2">
      <c r="A1307" s="23"/>
      <c r="B1307" s="34"/>
      <c r="C1307" s="35"/>
      <c r="D1307" s="35"/>
      <c r="E1307" s="35"/>
      <c r="F1307" s="31"/>
    </row>
    <row r="1308" spans="1:6" ht="22.5" customHeight="1" x14ac:dyDescent="0.2">
      <c r="A1308" s="23"/>
      <c r="B1308" s="34"/>
      <c r="C1308" s="35"/>
      <c r="D1308" s="35"/>
      <c r="E1308" s="35"/>
      <c r="F1308" s="31"/>
    </row>
    <row r="1309" spans="1:6" ht="22.5" customHeight="1" x14ac:dyDescent="0.2">
      <c r="A1309" s="23"/>
      <c r="B1309" s="34"/>
      <c r="C1309" s="35"/>
      <c r="D1309" s="35"/>
      <c r="E1309" s="35"/>
      <c r="F1309" s="31"/>
    </row>
    <row r="1310" spans="1:6" ht="22.5" customHeight="1" x14ac:dyDescent="0.2">
      <c r="A1310" s="23"/>
      <c r="B1310" s="34"/>
      <c r="C1310" s="35"/>
      <c r="D1310" s="35"/>
      <c r="E1310" s="35"/>
      <c r="F1310" s="31"/>
    </row>
    <row r="1311" spans="1:6" ht="22.5" customHeight="1" x14ac:dyDescent="0.2">
      <c r="A1311" s="23"/>
      <c r="B1311" s="34"/>
      <c r="C1311" s="35"/>
      <c r="D1311" s="35"/>
      <c r="E1311" s="35"/>
      <c r="F1311" s="31"/>
    </row>
    <row r="1312" spans="1:6" ht="22.5" customHeight="1" x14ac:dyDescent="0.2">
      <c r="A1312" s="23"/>
      <c r="B1312" s="34"/>
      <c r="C1312" s="35"/>
      <c r="D1312" s="35"/>
      <c r="E1312" s="35"/>
      <c r="F1312" s="31"/>
    </row>
    <row r="1313" spans="1:6" ht="22.5" customHeight="1" x14ac:dyDescent="0.2">
      <c r="A1313" s="23"/>
      <c r="B1313" s="34"/>
      <c r="C1313" s="35"/>
      <c r="D1313" s="35"/>
      <c r="E1313" s="35"/>
      <c r="F1313" s="31"/>
    </row>
    <row r="1314" spans="1:6" ht="22.5" customHeight="1" x14ac:dyDescent="0.2">
      <c r="A1314" s="23"/>
      <c r="B1314" s="34"/>
      <c r="C1314" s="35"/>
      <c r="D1314" s="35"/>
      <c r="E1314" s="35"/>
      <c r="F1314" s="31"/>
    </row>
    <row r="1315" spans="1:6" ht="22.5" customHeight="1" x14ac:dyDescent="0.2">
      <c r="A1315" s="23"/>
      <c r="B1315" s="34"/>
      <c r="C1315" s="35"/>
      <c r="D1315" s="35"/>
      <c r="E1315" s="35"/>
      <c r="F1315" s="31"/>
    </row>
    <row r="1316" spans="1:6" ht="22.5" customHeight="1" x14ac:dyDescent="0.2">
      <c r="A1316" s="23"/>
      <c r="B1316" s="34"/>
      <c r="C1316" s="35"/>
      <c r="D1316" s="35"/>
      <c r="E1316" s="35"/>
      <c r="F1316" s="31"/>
    </row>
    <row r="1317" spans="1:6" ht="22.5" customHeight="1" x14ac:dyDescent="0.2">
      <c r="A1317" s="23"/>
      <c r="B1317" s="34"/>
      <c r="C1317" s="35"/>
      <c r="D1317" s="35"/>
      <c r="E1317" s="35"/>
      <c r="F1317" s="31"/>
    </row>
    <row r="1318" spans="1:6" ht="22.5" customHeight="1" x14ac:dyDescent="0.2">
      <c r="A1318" s="23"/>
      <c r="B1318" s="34"/>
      <c r="C1318" s="35"/>
      <c r="D1318" s="35"/>
      <c r="E1318" s="35"/>
      <c r="F1318" s="31"/>
    </row>
    <row r="1319" spans="1:6" ht="22.5" customHeight="1" x14ac:dyDescent="0.2">
      <c r="A1319" s="23"/>
      <c r="B1319" s="34"/>
      <c r="C1319" s="35"/>
      <c r="D1319" s="35"/>
      <c r="E1319" s="35"/>
      <c r="F1319" s="31"/>
    </row>
    <row r="1320" spans="1:6" ht="22.5" customHeight="1" x14ac:dyDescent="0.2">
      <c r="A1320" s="23"/>
      <c r="B1320" s="34"/>
      <c r="C1320" s="35"/>
      <c r="D1320" s="35"/>
      <c r="E1320" s="35"/>
      <c r="F1320" s="31"/>
    </row>
    <row r="1321" spans="1:6" ht="22.5" customHeight="1" x14ac:dyDescent="0.2">
      <c r="A1321" s="23"/>
      <c r="B1321" s="34"/>
      <c r="C1321" s="35"/>
      <c r="D1321" s="35"/>
      <c r="E1321" s="35"/>
      <c r="F1321" s="31"/>
    </row>
    <row r="1322" spans="1:6" ht="22.5" customHeight="1" x14ac:dyDescent="0.2">
      <c r="A1322" s="23"/>
      <c r="B1322" s="34"/>
      <c r="C1322" s="35"/>
      <c r="D1322" s="35"/>
      <c r="E1322" s="35"/>
      <c r="F1322" s="31"/>
    </row>
    <row r="1323" spans="1:6" ht="22.5" customHeight="1" x14ac:dyDescent="0.2">
      <c r="A1323" s="23"/>
      <c r="B1323" s="34"/>
      <c r="C1323" s="35"/>
      <c r="D1323" s="35"/>
      <c r="E1323" s="35"/>
      <c r="F1323" s="31"/>
    </row>
    <row r="1324" spans="1:6" ht="22.5" customHeight="1" x14ac:dyDescent="0.2">
      <c r="A1324" s="23"/>
      <c r="B1324" s="34"/>
      <c r="C1324" s="35"/>
      <c r="D1324" s="35"/>
      <c r="E1324" s="35"/>
      <c r="F1324" s="31"/>
    </row>
    <row r="1325" spans="1:6" ht="22.5" customHeight="1" x14ac:dyDescent="0.2">
      <c r="A1325" s="23"/>
      <c r="B1325" s="34"/>
      <c r="C1325" s="35"/>
      <c r="D1325" s="35"/>
      <c r="E1325" s="35"/>
      <c r="F1325" s="31"/>
    </row>
    <row r="1326" spans="1:6" ht="22.5" customHeight="1" x14ac:dyDescent="0.2">
      <c r="A1326" s="23"/>
      <c r="B1326" s="34"/>
      <c r="C1326" s="35"/>
      <c r="D1326" s="35"/>
      <c r="E1326" s="35"/>
      <c r="F1326" s="31"/>
    </row>
    <row r="1327" spans="1:6" ht="22.5" customHeight="1" x14ac:dyDescent="0.2">
      <c r="A1327" s="23"/>
      <c r="B1327" s="34"/>
      <c r="C1327" s="35"/>
      <c r="D1327" s="35"/>
      <c r="E1327" s="35"/>
      <c r="F1327" s="31"/>
    </row>
    <row r="1328" spans="1:6" ht="22.5" customHeight="1" x14ac:dyDescent="0.2">
      <c r="A1328" s="23"/>
      <c r="B1328" s="34"/>
      <c r="C1328" s="35"/>
      <c r="D1328" s="35"/>
      <c r="E1328" s="35"/>
      <c r="F1328" s="31"/>
    </row>
    <row r="1329" spans="1:6" ht="22.5" customHeight="1" x14ac:dyDescent="0.2">
      <c r="A1329" s="23"/>
      <c r="B1329" s="34"/>
      <c r="C1329" s="35"/>
      <c r="D1329" s="35"/>
      <c r="E1329" s="35"/>
      <c r="F1329" s="31"/>
    </row>
    <row r="1330" spans="1:6" ht="22.5" customHeight="1" x14ac:dyDescent="0.2">
      <c r="A1330" s="23"/>
      <c r="B1330" s="34"/>
      <c r="C1330" s="35"/>
      <c r="D1330" s="35"/>
      <c r="E1330" s="35"/>
      <c r="F1330" s="31"/>
    </row>
    <row r="1331" spans="1:6" ht="22.5" customHeight="1" x14ac:dyDescent="0.2">
      <c r="A1331" s="23"/>
      <c r="B1331" s="34"/>
      <c r="C1331" s="35"/>
      <c r="D1331" s="35"/>
      <c r="E1331" s="35"/>
      <c r="F1331" s="31"/>
    </row>
    <row r="1332" spans="1:6" ht="22.5" customHeight="1" x14ac:dyDescent="0.2">
      <c r="A1332" s="23"/>
      <c r="B1332" s="34"/>
      <c r="C1332" s="35"/>
      <c r="D1332" s="35"/>
      <c r="E1332" s="35"/>
      <c r="F1332" s="31"/>
    </row>
    <row r="1333" spans="1:6" ht="22.5" customHeight="1" x14ac:dyDescent="0.2">
      <c r="A1333" s="23"/>
      <c r="B1333" s="34"/>
      <c r="C1333" s="35"/>
      <c r="D1333" s="35"/>
      <c r="E1333" s="35"/>
      <c r="F1333" s="31"/>
    </row>
    <row r="1334" spans="1:6" ht="22.5" customHeight="1" x14ac:dyDescent="0.2">
      <c r="A1334" s="23"/>
      <c r="B1334" s="34"/>
      <c r="C1334" s="35"/>
      <c r="D1334" s="35"/>
      <c r="E1334" s="35"/>
      <c r="F1334" s="31"/>
    </row>
    <row r="1335" spans="1:6" ht="22.5" customHeight="1" x14ac:dyDescent="0.2">
      <c r="A1335" s="23"/>
      <c r="B1335" s="34"/>
      <c r="C1335" s="35"/>
      <c r="D1335" s="35"/>
      <c r="E1335" s="35"/>
      <c r="F1335" s="31"/>
    </row>
    <row r="1336" spans="1:6" ht="22.5" customHeight="1" x14ac:dyDescent="0.2">
      <c r="A1336" s="23"/>
      <c r="B1336" s="34"/>
      <c r="C1336" s="35"/>
      <c r="D1336" s="35"/>
      <c r="E1336" s="35"/>
      <c r="F1336" s="31"/>
    </row>
    <row r="1337" spans="1:6" ht="22.5" customHeight="1" x14ac:dyDescent="0.2">
      <c r="A1337" s="23"/>
      <c r="B1337" s="34"/>
      <c r="C1337" s="35"/>
      <c r="D1337" s="35"/>
      <c r="E1337" s="35"/>
      <c r="F1337" s="31"/>
    </row>
    <row r="1338" spans="1:6" ht="22.5" customHeight="1" x14ac:dyDescent="0.2">
      <c r="A1338" s="23"/>
      <c r="B1338" s="34"/>
      <c r="C1338" s="35"/>
      <c r="D1338" s="35"/>
      <c r="E1338" s="35"/>
      <c r="F1338" s="31"/>
    </row>
    <row r="1339" spans="1:6" ht="22.5" customHeight="1" x14ac:dyDescent="0.2">
      <c r="A1339" s="23"/>
      <c r="B1339" s="34"/>
      <c r="C1339" s="35"/>
      <c r="D1339" s="35"/>
      <c r="E1339" s="35"/>
      <c r="F1339" s="31"/>
    </row>
    <row r="1340" spans="1:6" ht="22.5" customHeight="1" x14ac:dyDescent="0.2">
      <c r="A1340" s="23"/>
      <c r="B1340" s="34"/>
      <c r="C1340" s="35"/>
      <c r="D1340" s="35"/>
      <c r="E1340" s="35"/>
      <c r="F1340" s="31"/>
    </row>
    <row r="1341" spans="1:6" ht="22.5" customHeight="1" x14ac:dyDescent="0.2">
      <c r="A1341" s="23"/>
      <c r="B1341" s="34"/>
      <c r="C1341" s="35"/>
      <c r="D1341" s="35"/>
      <c r="E1341" s="35"/>
      <c r="F1341" s="31"/>
    </row>
    <row r="1342" spans="1:6" ht="22.5" customHeight="1" x14ac:dyDescent="0.2">
      <c r="A1342" s="23"/>
      <c r="B1342" s="34"/>
      <c r="C1342" s="35"/>
      <c r="D1342" s="35"/>
      <c r="E1342" s="35"/>
      <c r="F1342" s="31"/>
    </row>
    <row r="1343" spans="1:6" ht="22.5" customHeight="1" x14ac:dyDescent="0.2">
      <c r="A1343" s="23"/>
      <c r="B1343" s="34"/>
      <c r="C1343" s="35"/>
      <c r="D1343" s="35"/>
      <c r="E1343" s="35"/>
      <c r="F1343" s="31"/>
    </row>
    <row r="1344" spans="1:6" ht="22.5" customHeight="1" x14ac:dyDescent="0.2">
      <c r="A1344" s="23"/>
      <c r="B1344" s="34"/>
      <c r="C1344" s="35"/>
      <c r="D1344" s="35"/>
      <c r="E1344" s="35"/>
      <c r="F1344" s="31"/>
    </row>
    <row r="1345" spans="1:6" ht="22.5" customHeight="1" x14ac:dyDescent="0.2">
      <c r="A1345" s="23"/>
      <c r="B1345" s="34"/>
      <c r="C1345" s="35"/>
      <c r="D1345" s="35"/>
      <c r="E1345" s="35"/>
      <c r="F1345" s="31"/>
    </row>
    <row r="1346" spans="1:6" ht="22.5" customHeight="1" x14ac:dyDescent="0.2">
      <c r="A1346" s="23"/>
      <c r="B1346" s="34"/>
      <c r="C1346" s="35"/>
      <c r="D1346" s="35"/>
      <c r="E1346" s="35"/>
      <c r="F1346" s="31"/>
    </row>
    <row r="1347" spans="1:6" ht="22.5" customHeight="1" x14ac:dyDescent="0.2">
      <c r="A1347" s="23"/>
      <c r="B1347" s="34"/>
      <c r="C1347" s="35"/>
      <c r="D1347" s="35"/>
      <c r="E1347" s="35"/>
      <c r="F1347" s="31"/>
    </row>
    <row r="1348" spans="1:6" ht="22.5" customHeight="1" x14ac:dyDescent="0.2">
      <c r="A1348" s="23"/>
      <c r="B1348" s="34"/>
      <c r="C1348" s="35"/>
      <c r="D1348" s="35"/>
      <c r="E1348" s="35"/>
      <c r="F1348" s="31"/>
    </row>
    <row r="1349" spans="1:6" ht="22.5" customHeight="1" x14ac:dyDescent="0.2">
      <c r="A1349" s="23"/>
      <c r="B1349" s="34"/>
      <c r="C1349" s="35"/>
      <c r="D1349" s="35"/>
      <c r="E1349" s="35"/>
      <c r="F1349" s="31"/>
    </row>
    <row r="1350" spans="1:6" ht="22.5" customHeight="1" x14ac:dyDescent="0.2">
      <c r="A1350" s="23"/>
      <c r="B1350" s="34"/>
      <c r="C1350" s="35"/>
      <c r="D1350" s="35"/>
      <c r="E1350" s="35"/>
      <c r="F1350" s="31"/>
    </row>
    <row r="1351" spans="1:6" ht="22.5" customHeight="1" x14ac:dyDescent="0.2">
      <c r="A1351" s="23"/>
      <c r="B1351" s="34"/>
      <c r="C1351" s="35"/>
      <c r="D1351" s="35"/>
      <c r="E1351" s="35"/>
      <c r="F1351" s="31"/>
    </row>
    <row r="1352" spans="1:6" ht="22.5" customHeight="1" x14ac:dyDescent="0.2">
      <c r="A1352" s="23"/>
      <c r="B1352" s="34"/>
      <c r="C1352" s="35"/>
      <c r="D1352" s="35"/>
      <c r="E1352" s="35"/>
      <c r="F1352" s="31"/>
    </row>
    <row r="1353" spans="1:6" ht="22.5" customHeight="1" x14ac:dyDescent="0.2">
      <c r="A1353" s="23"/>
      <c r="B1353" s="34"/>
      <c r="C1353" s="35"/>
      <c r="D1353" s="35"/>
      <c r="E1353" s="35"/>
      <c r="F1353" s="31"/>
    </row>
    <row r="1354" spans="1:6" ht="22.5" customHeight="1" x14ac:dyDescent="0.2">
      <c r="A1354" s="23"/>
      <c r="B1354" s="34"/>
      <c r="C1354" s="35"/>
      <c r="D1354" s="35"/>
      <c r="E1354" s="35"/>
      <c r="F1354" s="31"/>
    </row>
    <row r="1355" spans="1:6" ht="22.5" customHeight="1" x14ac:dyDescent="0.2">
      <c r="A1355" s="23"/>
      <c r="B1355" s="34"/>
      <c r="C1355" s="35"/>
      <c r="D1355" s="35"/>
      <c r="E1355" s="35"/>
      <c r="F1355" s="31"/>
    </row>
    <row r="1356" spans="1:6" ht="22.5" customHeight="1" x14ac:dyDescent="0.2">
      <c r="A1356" s="23"/>
      <c r="B1356" s="34"/>
      <c r="C1356" s="35"/>
      <c r="D1356" s="35"/>
      <c r="E1356" s="35"/>
      <c r="F1356" s="31"/>
    </row>
    <row r="1357" spans="1:6" ht="22.5" customHeight="1" x14ac:dyDescent="0.2">
      <c r="A1357" s="23"/>
      <c r="B1357" s="34"/>
      <c r="C1357" s="35"/>
      <c r="D1357" s="35"/>
      <c r="E1357" s="35"/>
      <c r="F1357" s="31"/>
    </row>
    <row r="1358" spans="1:6" ht="22.5" customHeight="1" x14ac:dyDescent="0.2">
      <c r="A1358" s="23"/>
      <c r="B1358" s="34"/>
      <c r="C1358" s="35"/>
      <c r="D1358" s="35"/>
      <c r="E1358" s="35"/>
      <c r="F1358" s="31"/>
    </row>
    <row r="1359" spans="1:6" ht="22.5" customHeight="1" x14ac:dyDescent="0.2">
      <c r="A1359" s="23"/>
      <c r="B1359" s="34"/>
      <c r="C1359" s="35"/>
      <c r="D1359" s="35"/>
      <c r="E1359" s="35"/>
      <c r="F1359" s="31"/>
    </row>
  </sheetData>
  <mergeCells count="3">
    <mergeCell ref="E1:F1"/>
    <mergeCell ref="E2:F2"/>
    <mergeCell ref="E3:F3"/>
  </mergeCells>
  <dataValidations count="6">
    <dataValidation type="list" allowBlank="1" sqref="E5:E1359" xr:uid="{00000000-0002-0000-0300-000000000000}">
      <formula1>"Alfa,Fix,Jajan,Kitchen,Bathroom,Loandry,Mio,Zela,Iqbal,Move,Sedekah"</formula1>
    </dataValidation>
    <dataValidation type="custom" allowBlank="1" showDropDown="1" sqref="A5:A1359" xr:uid="{00000000-0002-0000-0300-000001000000}">
      <formula1>OR(NOT(ISERROR(DATEVALUE(A5))), AND(ISNUMBER(A5), LEFT(CELL("format", A5))="D"))</formula1>
    </dataValidation>
    <dataValidation type="custom" allowBlank="1" showDropDown="1" sqref="F5:F1359" xr:uid="{00000000-0002-0000-0300-000002000000}">
      <formula1>AND(ISNUMBER(F5),(NOT(OR(NOT(ISERROR(DATEVALUE(F5))), AND(ISNUMBER(F5), LEFT(CELL("format", F5))="D")))))</formula1>
    </dataValidation>
    <dataValidation type="list" allowBlank="1" sqref="D5:D1359" xr:uid="{00000000-0002-0000-0300-000003000000}">
      <formula1>"In,Out,Move"</formula1>
    </dataValidation>
    <dataValidation allowBlank="1" showDropDown="1" sqref="B5:B1359" xr:uid="{00000000-0002-0000-0300-000004000000}"/>
    <dataValidation type="list" allowBlank="1" sqref="C5:C1359" xr:uid="{00000000-0002-0000-0300-000005000000}">
      <formula1>"ATM,Cash"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</sheetPr>
  <dimension ref="A1:F1359"/>
  <sheetViews>
    <sheetView showGridLines="0" workbookViewId="0">
      <pane ySplit="4" topLeftCell="A5" activePane="bottomLeft" state="frozen"/>
      <selection pane="bottomLeft" activeCell="F985" sqref="F985:F1022"/>
    </sheetView>
  </sheetViews>
  <sheetFormatPr defaultColWidth="12.5703125" defaultRowHeight="15.75" customHeight="1" x14ac:dyDescent="0.2"/>
  <cols>
    <col min="1" max="1" width="24.42578125" customWidth="1"/>
    <col min="2" max="2" width="45.5703125" customWidth="1"/>
    <col min="3" max="4" width="15.140625" customWidth="1"/>
    <col min="5" max="5" width="15.28515625" customWidth="1"/>
    <col min="6" max="6" width="26" customWidth="1"/>
  </cols>
  <sheetData>
    <row r="1" spans="1:6" ht="17.25" customHeight="1" x14ac:dyDescent="0.2">
      <c r="A1" s="8" t="s">
        <v>39</v>
      </c>
      <c r="B1" s="11">
        <f>SUMIFS(Cash_Flow_2[Amount],Cash_Flow_2[Type],"In",Cash_Flow_2[Category],"Fix")</f>
        <v>0</v>
      </c>
      <c r="C1" s="2"/>
      <c r="D1" s="12" t="s">
        <v>43</v>
      </c>
      <c r="E1" s="92">
        <f>SUMIFS(Cash_Flow_2[Amount],Cash_Flow_2[ATM/Cash],"ATM",Cash_Flow_2[Type],"In")
-SUMIFS(Cash_Flow_2[Amount],Cash_Flow_2[ATM/Cash],"ATM",Cash_Flow_2[Type],"Out")
-SUMIFS(Cash_Flow_2[Amount],Cash_Flow_2[ATM/Cash],"ATM",Cash_Flow_2[Type],"Move")</f>
        <v>205615</v>
      </c>
      <c r="F1" s="93"/>
    </row>
    <row r="2" spans="1:6" ht="17.25" customHeight="1" x14ac:dyDescent="0.2">
      <c r="A2" s="14" t="s">
        <v>44</v>
      </c>
      <c r="B2" s="15">
        <f>SUMIFS(Cash_Flow_2[Amount],Cash_Flow_2[Type],"Out",Cash_Flow_2[Category],"&lt;&gt;Move")</f>
        <v>19666277</v>
      </c>
      <c r="D2" s="16" t="s">
        <v>46</v>
      </c>
      <c r="E2" s="96">
        <f>SUMIFS(Cash_Flow_2[Amount],Cash_Flow_2[ATM/Cash],"Cash",Cash_Flow_2[Type],"In")
-SUMIFS(Cash_Flow_2[Amount],Cash_Flow_2[ATM/Cash],"Cash",Cash_Flow_2[Type],"Out")
+SUMIFS(Cash_Flow_2[Amount],Cash_Flow_2[ATM/Cash],"Cash",Cash_Flow_2[Type],"Move")</f>
        <v>79800</v>
      </c>
      <c r="F2" s="93"/>
    </row>
    <row r="3" spans="1:6" ht="24" x14ac:dyDescent="0.2">
      <c r="A3" s="18"/>
      <c r="B3" s="20" t="s">
        <v>71</v>
      </c>
      <c r="D3" s="19" t="s">
        <v>47</v>
      </c>
      <c r="E3" s="97">
        <f>SUM(E1:F2)</f>
        <v>285415</v>
      </c>
      <c r="F3" s="93"/>
    </row>
    <row r="4" spans="1:6" ht="22.5" customHeight="1" x14ac:dyDescent="0.2">
      <c r="A4" s="21" t="s">
        <v>49</v>
      </c>
      <c r="B4" s="21" t="s">
        <v>50</v>
      </c>
      <c r="C4" s="21" t="s">
        <v>51</v>
      </c>
      <c r="D4" s="21" t="s">
        <v>52</v>
      </c>
      <c r="E4" s="21" t="s">
        <v>53</v>
      </c>
      <c r="F4" s="21" t="s">
        <v>54</v>
      </c>
    </row>
    <row r="5" spans="1:6" ht="22.5" hidden="1" customHeight="1" x14ac:dyDescent="0.2">
      <c r="A5" s="23">
        <v>46050</v>
      </c>
      <c r="B5" s="24" t="s">
        <v>57</v>
      </c>
      <c r="C5" s="25" t="s">
        <v>43</v>
      </c>
      <c r="D5" s="25" t="s">
        <v>39</v>
      </c>
      <c r="E5" s="71" t="s">
        <v>20</v>
      </c>
      <c r="F5" s="26">
        <v>27737</v>
      </c>
    </row>
    <row r="6" spans="1:6" ht="22.5" hidden="1" customHeight="1" x14ac:dyDescent="0.2">
      <c r="A6" s="23">
        <v>46051</v>
      </c>
      <c r="B6" s="24" t="s">
        <v>73</v>
      </c>
      <c r="C6" s="25" t="s">
        <v>43</v>
      </c>
      <c r="D6" s="25" t="s">
        <v>39</v>
      </c>
      <c r="E6" s="71" t="s">
        <v>73</v>
      </c>
      <c r="F6" s="30">
        <v>150000</v>
      </c>
    </row>
    <row r="7" spans="1:6" ht="22.5" hidden="1" customHeight="1" x14ac:dyDescent="0.2">
      <c r="A7" s="23">
        <v>46051</v>
      </c>
      <c r="B7" s="24" t="s">
        <v>75</v>
      </c>
      <c r="C7" s="25" t="s">
        <v>43</v>
      </c>
      <c r="D7" s="25" t="s">
        <v>44</v>
      </c>
      <c r="E7" s="25" t="s">
        <v>0</v>
      </c>
      <c r="F7" s="26">
        <v>15000</v>
      </c>
    </row>
    <row r="8" spans="1:6" ht="22.5" hidden="1" customHeight="1" x14ac:dyDescent="0.2">
      <c r="A8" s="23">
        <v>46051</v>
      </c>
      <c r="B8" s="24" t="s">
        <v>76</v>
      </c>
      <c r="C8" s="25" t="s">
        <v>43</v>
      </c>
      <c r="D8" s="25" t="s">
        <v>9</v>
      </c>
      <c r="E8" s="25" t="s">
        <v>9</v>
      </c>
      <c r="F8" s="26">
        <v>50000</v>
      </c>
    </row>
    <row r="9" spans="1:6" ht="22.5" hidden="1" customHeight="1" x14ac:dyDescent="0.2">
      <c r="A9" s="23">
        <v>46051</v>
      </c>
      <c r="B9" s="24" t="s">
        <v>78</v>
      </c>
      <c r="C9" s="25" t="s">
        <v>46</v>
      </c>
      <c r="D9" s="25" t="s">
        <v>9</v>
      </c>
      <c r="E9" s="25" t="s">
        <v>9</v>
      </c>
      <c r="F9" s="26">
        <v>50000</v>
      </c>
    </row>
    <row r="10" spans="1:6" ht="22.5" hidden="1" customHeight="1" x14ac:dyDescent="0.2">
      <c r="A10" s="23">
        <v>46051</v>
      </c>
      <c r="B10" s="24" t="s">
        <v>80</v>
      </c>
      <c r="C10" s="25" t="s">
        <v>46</v>
      </c>
      <c r="D10" s="25" t="s">
        <v>44</v>
      </c>
      <c r="E10" s="25" t="s">
        <v>3</v>
      </c>
      <c r="F10" s="26">
        <v>17000</v>
      </c>
    </row>
    <row r="11" spans="1:6" ht="22.5" hidden="1" customHeight="1" x14ac:dyDescent="0.2">
      <c r="A11" s="23">
        <v>46051</v>
      </c>
      <c r="B11" s="24" t="s">
        <v>81</v>
      </c>
      <c r="C11" s="25" t="s">
        <v>46</v>
      </c>
      <c r="D11" s="25" t="s">
        <v>44</v>
      </c>
      <c r="E11" s="25" t="s">
        <v>3</v>
      </c>
      <c r="F11" s="26">
        <v>7000</v>
      </c>
    </row>
    <row r="12" spans="1:6" ht="22.5" hidden="1" customHeight="1" x14ac:dyDescent="0.2">
      <c r="A12" s="23">
        <v>46051</v>
      </c>
      <c r="B12" s="24" t="s">
        <v>82</v>
      </c>
      <c r="C12" s="25" t="s">
        <v>46</v>
      </c>
      <c r="D12" s="25" t="s">
        <v>44</v>
      </c>
      <c r="E12" s="25" t="s">
        <v>2</v>
      </c>
      <c r="F12" s="26">
        <v>16000</v>
      </c>
    </row>
    <row r="13" spans="1:6" ht="22.5" hidden="1" customHeight="1" x14ac:dyDescent="0.2">
      <c r="A13" s="23">
        <v>46051</v>
      </c>
      <c r="B13" s="24" t="s">
        <v>83</v>
      </c>
      <c r="C13" s="25" t="s">
        <v>46</v>
      </c>
      <c r="D13" s="25" t="s">
        <v>44</v>
      </c>
      <c r="E13" s="25" t="s">
        <v>2</v>
      </c>
      <c r="F13" s="26">
        <v>10000</v>
      </c>
    </row>
    <row r="14" spans="1:6" ht="22.5" hidden="1" customHeight="1" x14ac:dyDescent="0.2">
      <c r="A14" s="23">
        <v>46051</v>
      </c>
      <c r="B14" s="24" t="s">
        <v>84</v>
      </c>
      <c r="C14" s="25" t="s">
        <v>43</v>
      </c>
      <c r="D14" s="25" t="s">
        <v>44</v>
      </c>
      <c r="E14" s="25" t="s">
        <v>1</v>
      </c>
      <c r="F14" s="26">
        <v>36400</v>
      </c>
    </row>
    <row r="15" spans="1:6" ht="22.5" hidden="1" customHeight="1" x14ac:dyDescent="0.2">
      <c r="A15" s="23">
        <v>46052</v>
      </c>
      <c r="B15" s="24" t="s">
        <v>73</v>
      </c>
      <c r="C15" s="25" t="s">
        <v>43</v>
      </c>
      <c r="D15" s="25" t="s">
        <v>39</v>
      </c>
      <c r="E15" s="71" t="s">
        <v>73</v>
      </c>
      <c r="F15" s="26">
        <v>50000</v>
      </c>
    </row>
    <row r="16" spans="1:6" ht="22.5" hidden="1" customHeight="1" x14ac:dyDescent="0.2">
      <c r="A16" s="23">
        <v>46052</v>
      </c>
      <c r="B16" s="24" t="s">
        <v>76</v>
      </c>
      <c r="C16" s="25" t="s">
        <v>43</v>
      </c>
      <c r="D16" s="25" t="s">
        <v>9</v>
      </c>
      <c r="E16" s="25" t="s">
        <v>9</v>
      </c>
      <c r="F16" s="26">
        <v>100000</v>
      </c>
    </row>
    <row r="17" spans="1:6" ht="22.5" hidden="1" customHeight="1" x14ac:dyDescent="0.2">
      <c r="A17" s="23">
        <v>46052</v>
      </c>
      <c r="B17" s="24" t="s">
        <v>78</v>
      </c>
      <c r="C17" s="25" t="s">
        <v>46</v>
      </c>
      <c r="D17" s="25" t="s">
        <v>9</v>
      </c>
      <c r="E17" s="25" t="s">
        <v>9</v>
      </c>
      <c r="F17" s="26">
        <v>100000</v>
      </c>
    </row>
    <row r="18" spans="1:6" ht="22.5" hidden="1" customHeight="1" x14ac:dyDescent="0.2">
      <c r="A18" s="23">
        <v>46052</v>
      </c>
      <c r="B18" s="24" t="s">
        <v>87</v>
      </c>
      <c r="C18" s="25" t="s">
        <v>46</v>
      </c>
      <c r="D18" s="25" t="s">
        <v>44</v>
      </c>
      <c r="E18" s="25" t="s">
        <v>3</v>
      </c>
      <c r="F18" s="31">
        <f>2000+56000</f>
        <v>58000</v>
      </c>
    </row>
    <row r="19" spans="1:6" ht="22.5" hidden="1" customHeight="1" x14ac:dyDescent="0.2">
      <c r="A19" s="23">
        <v>46052</v>
      </c>
      <c r="B19" s="24" t="s">
        <v>90</v>
      </c>
      <c r="C19" s="25" t="s">
        <v>46</v>
      </c>
      <c r="D19" s="25" t="s">
        <v>44</v>
      </c>
      <c r="E19" s="25" t="s">
        <v>2</v>
      </c>
      <c r="F19" s="26">
        <v>12000</v>
      </c>
    </row>
    <row r="20" spans="1:6" ht="22.5" hidden="1" customHeight="1" x14ac:dyDescent="0.2">
      <c r="A20" s="23">
        <v>46053</v>
      </c>
      <c r="B20" s="24" t="s">
        <v>68</v>
      </c>
      <c r="C20" s="25" t="s">
        <v>46</v>
      </c>
      <c r="D20" s="25" t="s">
        <v>44</v>
      </c>
      <c r="E20" s="25" t="s">
        <v>3</v>
      </c>
      <c r="F20" s="26">
        <v>5000</v>
      </c>
    </row>
    <row r="21" spans="1:6" ht="22.5" hidden="1" customHeight="1" x14ac:dyDescent="0.2">
      <c r="A21" s="23">
        <v>46054</v>
      </c>
      <c r="B21" s="24" t="s">
        <v>36</v>
      </c>
      <c r="C21" s="25" t="s">
        <v>43</v>
      </c>
      <c r="D21" s="25" t="s">
        <v>39</v>
      </c>
      <c r="E21" s="71" t="s">
        <v>986</v>
      </c>
      <c r="F21" s="26">
        <v>11566</v>
      </c>
    </row>
    <row r="22" spans="1:6" ht="22.5" hidden="1" customHeight="1" x14ac:dyDescent="0.2">
      <c r="A22" s="23">
        <v>46054</v>
      </c>
      <c r="B22" s="24" t="s">
        <v>93</v>
      </c>
      <c r="C22" s="25" t="s">
        <v>43</v>
      </c>
      <c r="D22" s="25" t="s">
        <v>44</v>
      </c>
      <c r="E22" s="25" t="s">
        <v>1</v>
      </c>
      <c r="F22" s="26">
        <v>12500</v>
      </c>
    </row>
    <row r="23" spans="1:6" ht="22.5" hidden="1" customHeight="1" x14ac:dyDescent="0.2">
      <c r="A23" s="23">
        <v>46055</v>
      </c>
      <c r="B23" s="24" t="s">
        <v>96</v>
      </c>
      <c r="C23" s="25" t="s">
        <v>43</v>
      </c>
      <c r="D23" s="25" t="s">
        <v>39</v>
      </c>
      <c r="E23" s="71" t="s">
        <v>73</v>
      </c>
      <c r="F23" s="26">
        <v>1774441</v>
      </c>
    </row>
    <row r="24" spans="1:6" ht="22.5" hidden="1" customHeight="1" x14ac:dyDescent="0.2">
      <c r="A24" s="23">
        <v>46055</v>
      </c>
      <c r="B24" s="24" t="s">
        <v>97</v>
      </c>
      <c r="C24" s="25" t="s">
        <v>43</v>
      </c>
      <c r="D24" s="25" t="s">
        <v>9</v>
      </c>
      <c r="E24" s="25" t="s">
        <v>9</v>
      </c>
      <c r="F24" s="26">
        <v>200000</v>
      </c>
    </row>
    <row r="25" spans="1:6" ht="22.5" hidden="1" customHeight="1" x14ac:dyDescent="0.2">
      <c r="A25" s="23">
        <v>46055</v>
      </c>
      <c r="B25" s="24" t="s">
        <v>74</v>
      </c>
      <c r="C25" s="25" t="s">
        <v>46</v>
      </c>
      <c r="D25" s="25" t="s">
        <v>9</v>
      </c>
      <c r="E25" s="25" t="s">
        <v>9</v>
      </c>
      <c r="F25" s="26">
        <v>200000</v>
      </c>
    </row>
    <row r="26" spans="1:6" ht="22.5" hidden="1" customHeight="1" x14ac:dyDescent="0.2">
      <c r="A26" s="23">
        <v>46054</v>
      </c>
      <c r="B26" s="24" t="s">
        <v>100</v>
      </c>
      <c r="C26" s="25" t="s">
        <v>46</v>
      </c>
      <c r="D26" s="25" t="s">
        <v>44</v>
      </c>
      <c r="E26" s="25" t="s">
        <v>1</v>
      </c>
      <c r="F26" s="26">
        <v>5000</v>
      </c>
    </row>
    <row r="27" spans="1:6" ht="22.5" hidden="1" customHeight="1" x14ac:dyDescent="0.2">
      <c r="A27" s="23">
        <v>46054</v>
      </c>
      <c r="B27" s="24" t="s">
        <v>102</v>
      </c>
      <c r="C27" s="25" t="s">
        <v>46</v>
      </c>
      <c r="D27" s="25" t="s">
        <v>44</v>
      </c>
      <c r="E27" s="25" t="s">
        <v>6</v>
      </c>
      <c r="F27" s="26">
        <v>20000</v>
      </c>
    </row>
    <row r="28" spans="1:6" ht="22.5" hidden="1" customHeight="1" x14ac:dyDescent="0.2">
      <c r="A28" s="23">
        <v>46055</v>
      </c>
      <c r="B28" s="24" t="s">
        <v>18</v>
      </c>
      <c r="C28" s="25" t="s">
        <v>46</v>
      </c>
      <c r="D28" s="25" t="s">
        <v>44</v>
      </c>
      <c r="E28" s="25" t="s">
        <v>8</v>
      </c>
      <c r="F28" s="26">
        <v>14000</v>
      </c>
    </row>
    <row r="29" spans="1:6" ht="22.5" hidden="1" customHeight="1" x14ac:dyDescent="0.2">
      <c r="A29" s="23">
        <v>46055</v>
      </c>
      <c r="B29" s="24" t="s">
        <v>104</v>
      </c>
      <c r="C29" s="25" t="s">
        <v>46</v>
      </c>
      <c r="D29" s="25" t="s">
        <v>44</v>
      </c>
      <c r="E29" s="25" t="s">
        <v>2</v>
      </c>
      <c r="F29" s="26">
        <v>20000</v>
      </c>
    </row>
    <row r="30" spans="1:6" ht="22.5" hidden="1" customHeight="1" x14ac:dyDescent="0.2">
      <c r="A30" s="23">
        <v>46055</v>
      </c>
      <c r="B30" s="24" t="s">
        <v>106</v>
      </c>
      <c r="C30" s="25" t="s">
        <v>43</v>
      </c>
      <c r="D30" s="25" t="s">
        <v>44</v>
      </c>
      <c r="E30" s="25" t="s">
        <v>3</v>
      </c>
      <c r="F30" s="26">
        <v>250000</v>
      </c>
    </row>
    <row r="31" spans="1:6" ht="22.5" hidden="1" customHeight="1" x14ac:dyDescent="0.2">
      <c r="A31" s="23">
        <v>46055</v>
      </c>
      <c r="B31" s="24" t="s">
        <v>108</v>
      </c>
      <c r="C31" s="25" t="s">
        <v>43</v>
      </c>
      <c r="D31" s="25" t="s">
        <v>44</v>
      </c>
      <c r="E31" s="25" t="s">
        <v>0</v>
      </c>
      <c r="F31" s="26">
        <v>30000</v>
      </c>
    </row>
    <row r="32" spans="1:6" ht="22.5" hidden="1" customHeight="1" x14ac:dyDescent="0.2">
      <c r="A32" s="23">
        <v>46055</v>
      </c>
      <c r="B32" s="24" t="s">
        <v>109</v>
      </c>
      <c r="C32" s="25" t="s">
        <v>43</v>
      </c>
      <c r="D32" s="25" t="s">
        <v>39</v>
      </c>
      <c r="E32" s="25" t="s">
        <v>9</v>
      </c>
      <c r="F32" s="26">
        <v>90386</v>
      </c>
    </row>
    <row r="33" spans="1:6" ht="22.5" hidden="1" customHeight="1" x14ac:dyDescent="0.2">
      <c r="A33" s="23">
        <v>46055</v>
      </c>
      <c r="B33" s="24" t="s">
        <v>111</v>
      </c>
      <c r="C33" s="25" t="s">
        <v>46</v>
      </c>
      <c r="D33" s="25" t="s">
        <v>44</v>
      </c>
      <c r="E33" s="25" t="s">
        <v>3</v>
      </c>
      <c r="F33" s="26">
        <v>116000</v>
      </c>
    </row>
    <row r="34" spans="1:6" ht="22.5" hidden="1" customHeight="1" x14ac:dyDescent="0.2">
      <c r="A34" s="23">
        <v>46055</v>
      </c>
      <c r="B34" s="24" t="s">
        <v>113</v>
      </c>
      <c r="C34" s="25" t="s">
        <v>43</v>
      </c>
      <c r="D34" s="25" t="s">
        <v>44</v>
      </c>
      <c r="E34" s="25" t="s">
        <v>1</v>
      </c>
      <c r="F34" s="26">
        <v>53800</v>
      </c>
    </row>
    <row r="35" spans="1:6" ht="22.5" hidden="1" customHeight="1" x14ac:dyDescent="0.2">
      <c r="A35" s="23">
        <v>46055</v>
      </c>
      <c r="B35" s="24" t="s">
        <v>116</v>
      </c>
      <c r="C35" s="25" t="s">
        <v>43</v>
      </c>
      <c r="D35" s="25" t="s">
        <v>44</v>
      </c>
      <c r="E35" s="25" t="s">
        <v>5</v>
      </c>
      <c r="F35" s="26">
        <f>71900-F34</f>
        <v>18100</v>
      </c>
    </row>
    <row r="36" spans="1:6" ht="22.5" hidden="1" customHeight="1" x14ac:dyDescent="0.2">
      <c r="A36" s="23">
        <v>46055</v>
      </c>
      <c r="B36" s="24" t="s">
        <v>118</v>
      </c>
      <c r="C36" s="25" t="s">
        <v>43</v>
      </c>
      <c r="D36" s="25" t="s">
        <v>44</v>
      </c>
      <c r="E36" s="25" t="s">
        <v>3</v>
      </c>
      <c r="F36" s="26">
        <v>50000</v>
      </c>
    </row>
    <row r="37" spans="1:6" ht="22.5" hidden="1" customHeight="1" x14ac:dyDescent="0.2">
      <c r="A37" s="23">
        <v>46056</v>
      </c>
      <c r="B37" s="24" t="s">
        <v>119</v>
      </c>
      <c r="C37" s="25" t="s">
        <v>43</v>
      </c>
      <c r="D37" s="25" t="s">
        <v>44</v>
      </c>
      <c r="E37" s="25" t="s">
        <v>7</v>
      </c>
      <c r="F37" s="26">
        <v>6000</v>
      </c>
    </row>
    <row r="38" spans="1:6" ht="22.5" hidden="1" customHeight="1" x14ac:dyDescent="0.2">
      <c r="A38" s="23">
        <v>46056</v>
      </c>
      <c r="B38" s="24" t="s">
        <v>121</v>
      </c>
      <c r="C38" s="25" t="s">
        <v>43</v>
      </c>
      <c r="D38" s="25" t="s">
        <v>44</v>
      </c>
      <c r="E38" s="25" t="s">
        <v>4</v>
      </c>
      <c r="F38" s="26">
        <f>21000-6000</f>
        <v>15000</v>
      </c>
    </row>
    <row r="39" spans="1:6" ht="22.5" hidden="1" customHeight="1" x14ac:dyDescent="0.2">
      <c r="A39" s="23">
        <v>46056</v>
      </c>
      <c r="B39" s="24" t="s">
        <v>122</v>
      </c>
      <c r="C39" s="25" t="s">
        <v>43</v>
      </c>
      <c r="D39" s="25" t="s">
        <v>44</v>
      </c>
      <c r="E39" s="25" t="s">
        <v>1</v>
      </c>
      <c r="F39" s="26">
        <v>48500</v>
      </c>
    </row>
    <row r="40" spans="1:6" ht="22.5" hidden="1" customHeight="1" x14ac:dyDescent="0.2">
      <c r="A40" s="23">
        <v>46056</v>
      </c>
      <c r="B40" s="24" t="s">
        <v>102</v>
      </c>
      <c r="C40" s="25" t="s">
        <v>46</v>
      </c>
      <c r="D40" s="25" t="s">
        <v>44</v>
      </c>
      <c r="E40" s="25" t="s">
        <v>6</v>
      </c>
      <c r="F40" s="26">
        <v>20000</v>
      </c>
    </row>
    <row r="41" spans="1:6" ht="22.5" hidden="1" customHeight="1" x14ac:dyDescent="0.2">
      <c r="A41" s="23">
        <v>46056</v>
      </c>
      <c r="B41" s="24" t="s">
        <v>124</v>
      </c>
      <c r="C41" s="25" t="s">
        <v>46</v>
      </c>
      <c r="D41" s="25" t="s">
        <v>44</v>
      </c>
      <c r="E41" s="25" t="s">
        <v>3</v>
      </c>
      <c r="F41" s="26">
        <v>21000</v>
      </c>
    </row>
    <row r="42" spans="1:6" ht="22.5" hidden="1" customHeight="1" x14ac:dyDescent="0.2">
      <c r="A42" s="23">
        <v>46057</v>
      </c>
      <c r="B42" s="24" t="s">
        <v>125</v>
      </c>
      <c r="C42" s="25" t="s">
        <v>46</v>
      </c>
      <c r="D42" s="25" t="s">
        <v>44</v>
      </c>
      <c r="E42" s="25" t="s">
        <v>1</v>
      </c>
      <c r="F42" s="26">
        <v>5000</v>
      </c>
    </row>
    <row r="43" spans="1:6" ht="22.5" hidden="1" customHeight="1" x14ac:dyDescent="0.2">
      <c r="A43" s="23">
        <v>46057</v>
      </c>
      <c r="B43" s="24" t="s">
        <v>97</v>
      </c>
      <c r="C43" s="25" t="s">
        <v>43</v>
      </c>
      <c r="D43" s="25" t="s">
        <v>9</v>
      </c>
      <c r="E43" s="25" t="s">
        <v>9</v>
      </c>
      <c r="F43" s="26">
        <v>100000</v>
      </c>
    </row>
    <row r="44" spans="1:6" ht="22.5" hidden="1" customHeight="1" x14ac:dyDescent="0.2">
      <c r="A44" s="23">
        <v>46057</v>
      </c>
      <c r="B44" s="24" t="s">
        <v>128</v>
      </c>
      <c r="C44" s="25" t="s">
        <v>46</v>
      </c>
      <c r="D44" s="25" t="s">
        <v>9</v>
      </c>
      <c r="E44" s="25" t="s">
        <v>9</v>
      </c>
      <c r="F44" s="26">
        <v>100000</v>
      </c>
    </row>
    <row r="45" spans="1:6" ht="22.5" hidden="1" customHeight="1" x14ac:dyDescent="0.2">
      <c r="A45" s="23">
        <v>46057</v>
      </c>
      <c r="B45" s="24" t="s">
        <v>130</v>
      </c>
      <c r="C45" s="25" t="s">
        <v>46</v>
      </c>
      <c r="D45" s="25" t="s">
        <v>44</v>
      </c>
      <c r="E45" s="25" t="s">
        <v>2</v>
      </c>
      <c r="F45" s="26">
        <v>27000</v>
      </c>
    </row>
    <row r="46" spans="1:6" ht="22.5" hidden="1" customHeight="1" x14ac:dyDescent="0.2">
      <c r="A46" s="23">
        <v>46058</v>
      </c>
      <c r="B46" s="24" t="s">
        <v>73</v>
      </c>
      <c r="C46" s="25" t="s">
        <v>46</v>
      </c>
      <c r="D46" s="25" t="s">
        <v>44</v>
      </c>
      <c r="E46" s="25" t="s">
        <v>9</v>
      </c>
      <c r="F46" s="26">
        <v>50000</v>
      </c>
    </row>
    <row r="47" spans="1:6" ht="22.5" hidden="1" customHeight="1" x14ac:dyDescent="0.2">
      <c r="A47" s="23">
        <v>46057</v>
      </c>
      <c r="B47" s="24" t="s">
        <v>131</v>
      </c>
      <c r="C47" s="25" t="s">
        <v>46</v>
      </c>
      <c r="D47" s="25" t="s">
        <v>44</v>
      </c>
      <c r="E47" s="25" t="s">
        <v>3</v>
      </c>
      <c r="F47" s="26">
        <v>5000</v>
      </c>
    </row>
    <row r="48" spans="1:6" ht="22.5" hidden="1" customHeight="1" x14ac:dyDescent="0.2">
      <c r="A48" s="23">
        <v>46059</v>
      </c>
      <c r="B48" s="24" t="s">
        <v>133</v>
      </c>
      <c r="C48" s="25" t="s">
        <v>46</v>
      </c>
      <c r="D48" s="25" t="s">
        <v>44</v>
      </c>
      <c r="E48" s="25" t="s">
        <v>10</v>
      </c>
      <c r="F48" s="26">
        <v>10000</v>
      </c>
    </row>
    <row r="49" spans="1:6" ht="22.5" hidden="1" customHeight="1" x14ac:dyDescent="0.2">
      <c r="A49" s="23">
        <v>46059</v>
      </c>
      <c r="B49" s="24" t="s">
        <v>135</v>
      </c>
      <c r="C49" s="25" t="s">
        <v>46</v>
      </c>
      <c r="D49" s="25" t="s">
        <v>44</v>
      </c>
      <c r="E49" s="25" t="s">
        <v>1</v>
      </c>
      <c r="F49" s="26">
        <v>7000</v>
      </c>
    </row>
    <row r="50" spans="1:6" ht="22.5" hidden="1" customHeight="1" x14ac:dyDescent="0.2">
      <c r="A50" s="23">
        <v>46059</v>
      </c>
      <c r="B50" s="24" t="s">
        <v>97</v>
      </c>
      <c r="C50" s="25" t="s">
        <v>43</v>
      </c>
      <c r="D50" s="25" t="s">
        <v>9</v>
      </c>
      <c r="E50" s="25" t="s">
        <v>9</v>
      </c>
      <c r="F50" s="26">
        <v>100000</v>
      </c>
    </row>
    <row r="51" spans="1:6" ht="22.5" hidden="1" customHeight="1" x14ac:dyDescent="0.2">
      <c r="A51" s="23">
        <v>46059</v>
      </c>
      <c r="B51" s="24" t="s">
        <v>74</v>
      </c>
      <c r="C51" s="25" t="s">
        <v>46</v>
      </c>
      <c r="D51" s="25" t="s">
        <v>9</v>
      </c>
      <c r="E51" s="25" t="s">
        <v>9</v>
      </c>
      <c r="F51" s="26">
        <v>100000</v>
      </c>
    </row>
    <row r="52" spans="1:6" ht="22.5" hidden="1" customHeight="1" x14ac:dyDescent="0.2">
      <c r="A52" s="23">
        <v>46059</v>
      </c>
      <c r="B52" s="24" t="s">
        <v>139</v>
      </c>
      <c r="C52" s="25" t="s">
        <v>46</v>
      </c>
      <c r="D52" s="25" t="s">
        <v>44</v>
      </c>
      <c r="E52" s="25" t="s">
        <v>2</v>
      </c>
      <c r="F52" s="26">
        <v>18000</v>
      </c>
    </row>
    <row r="53" spans="1:6" ht="22.5" hidden="1" customHeight="1" x14ac:dyDescent="0.2">
      <c r="A53" s="23">
        <v>46060</v>
      </c>
      <c r="B53" s="24" t="s">
        <v>140</v>
      </c>
      <c r="C53" s="25" t="s">
        <v>46</v>
      </c>
      <c r="D53" s="25" t="s">
        <v>44</v>
      </c>
      <c r="E53" s="25" t="s">
        <v>3</v>
      </c>
      <c r="F53" s="26">
        <v>22000</v>
      </c>
    </row>
    <row r="54" spans="1:6" ht="22.5" hidden="1" customHeight="1" x14ac:dyDescent="0.2">
      <c r="A54" s="23">
        <v>46060</v>
      </c>
      <c r="B54" s="24" t="s">
        <v>142</v>
      </c>
      <c r="C54" s="25" t="s">
        <v>46</v>
      </c>
      <c r="D54" s="25" t="s">
        <v>44</v>
      </c>
      <c r="E54" s="25" t="s">
        <v>3</v>
      </c>
      <c r="F54" s="26">
        <v>6500</v>
      </c>
    </row>
    <row r="55" spans="1:6" ht="22.5" hidden="1" customHeight="1" x14ac:dyDescent="0.2">
      <c r="A55" s="23">
        <v>46060</v>
      </c>
      <c r="B55" s="24" t="s">
        <v>1</v>
      </c>
      <c r="C55" s="25" t="s">
        <v>46</v>
      </c>
      <c r="D55" s="25" t="s">
        <v>44</v>
      </c>
      <c r="E55" s="25" t="s">
        <v>1</v>
      </c>
      <c r="F55" s="26">
        <v>20000</v>
      </c>
    </row>
    <row r="56" spans="1:6" ht="22.5" hidden="1" customHeight="1" x14ac:dyDescent="0.2">
      <c r="A56" s="23">
        <v>46060</v>
      </c>
      <c r="B56" s="24" t="s">
        <v>77</v>
      </c>
      <c r="C56" s="25" t="s">
        <v>46</v>
      </c>
      <c r="D56" s="25" t="s">
        <v>44</v>
      </c>
      <c r="E56" s="25" t="s">
        <v>2</v>
      </c>
      <c r="F56" s="26">
        <v>3000</v>
      </c>
    </row>
    <row r="57" spans="1:6" ht="22.5" hidden="1" customHeight="1" x14ac:dyDescent="0.2">
      <c r="A57" s="23">
        <v>46061</v>
      </c>
      <c r="B57" s="24" t="s">
        <v>146</v>
      </c>
      <c r="C57" s="25" t="s">
        <v>46</v>
      </c>
      <c r="D57" s="25" t="s">
        <v>44</v>
      </c>
      <c r="E57" s="25" t="s">
        <v>3</v>
      </c>
      <c r="F57" s="26">
        <v>35000</v>
      </c>
    </row>
    <row r="58" spans="1:6" ht="22.5" hidden="1" customHeight="1" x14ac:dyDescent="0.2">
      <c r="A58" s="23">
        <v>46061</v>
      </c>
      <c r="B58" s="24" t="s">
        <v>148</v>
      </c>
      <c r="C58" s="25" t="s">
        <v>43</v>
      </c>
      <c r="D58" s="25" t="s">
        <v>9</v>
      </c>
      <c r="E58" s="25" t="s">
        <v>9</v>
      </c>
      <c r="F58" s="26">
        <v>100000</v>
      </c>
    </row>
    <row r="59" spans="1:6" ht="22.5" hidden="1" customHeight="1" x14ac:dyDescent="0.2">
      <c r="A59" s="23">
        <v>46061</v>
      </c>
      <c r="B59" s="24" t="s">
        <v>149</v>
      </c>
      <c r="C59" s="25" t="s">
        <v>46</v>
      </c>
      <c r="D59" s="25" t="s">
        <v>9</v>
      </c>
      <c r="E59" s="25" t="s">
        <v>9</v>
      </c>
      <c r="F59" s="26">
        <v>100000</v>
      </c>
    </row>
    <row r="60" spans="1:6" ht="22.5" hidden="1" customHeight="1" x14ac:dyDescent="0.2">
      <c r="A60" s="23">
        <v>46061</v>
      </c>
      <c r="B60" s="24" t="s">
        <v>151</v>
      </c>
      <c r="C60" s="25" t="s">
        <v>46</v>
      </c>
      <c r="D60" s="25" t="s">
        <v>44</v>
      </c>
      <c r="E60" s="25" t="s">
        <v>2</v>
      </c>
      <c r="F60" s="26">
        <v>20000</v>
      </c>
    </row>
    <row r="61" spans="1:6" ht="22.5" hidden="1" customHeight="1" x14ac:dyDescent="0.2">
      <c r="A61" s="23">
        <v>46061</v>
      </c>
      <c r="B61" s="24" t="s">
        <v>153</v>
      </c>
      <c r="C61" s="25" t="s">
        <v>46</v>
      </c>
      <c r="D61" s="25" t="s">
        <v>44</v>
      </c>
      <c r="E61" s="25" t="s">
        <v>2</v>
      </c>
      <c r="F61" s="26">
        <v>32000</v>
      </c>
    </row>
    <row r="62" spans="1:6" ht="22.5" hidden="1" customHeight="1" x14ac:dyDescent="0.2">
      <c r="A62" s="23">
        <v>46061</v>
      </c>
      <c r="B62" s="24" t="s">
        <v>97</v>
      </c>
      <c r="C62" s="25" t="s">
        <v>43</v>
      </c>
      <c r="D62" s="25" t="s">
        <v>9</v>
      </c>
      <c r="E62" s="25" t="s">
        <v>9</v>
      </c>
      <c r="F62" s="26">
        <v>50000</v>
      </c>
    </row>
    <row r="63" spans="1:6" ht="22.5" hidden="1" customHeight="1" x14ac:dyDescent="0.2">
      <c r="A63" s="23">
        <v>46061</v>
      </c>
      <c r="B63" s="24" t="s">
        <v>74</v>
      </c>
      <c r="C63" s="25" t="s">
        <v>46</v>
      </c>
      <c r="D63" s="25" t="s">
        <v>9</v>
      </c>
      <c r="E63" s="25" t="s">
        <v>9</v>
      </c>
      <c r="F63" s="26">
        <v>50000</v>
      </c>
    </row>
    <row r="64" spans="1:6" ht="22.5" hidden="1" customHeight="1" x14ac:dyDescent="0.2">
      <c r="A64" s="23">
        <v>46061</v>
      </c>
      <c r="B64" s="24" t="s">
        <v>82</v>
      </c>
      <c r="C64" s="25" t="s">
        <v>46</v>
      </c>
      <c r="D64" s="25" t="s">
        <v>44</v>
      </c>
      <c r="E64" s="25" t="s">
        <v>2</v>
      </c>
      <c r="F64" s="26">
        <v>16000</v>
      </c>
    </row>
    <row r="65" spans="1:6" ht="22.5" hidden="1" customHeight="1" x14ac:dyDescent="0.2">
      <c r="A65" s="23">
        <v>46061</v>
      </c>
      <c r="B65" s="24" t="s">
        <v>18</v>
      </c>
      <c r="C65" s="25" t="s">
        <v>46</v>
      </c>
      <c r="D65" s="25" t="s">
        <v>44</v>
      </c>
      <c r="E65" s="25" t="s">
        <v>8</v>
      </c>
      <c r="F65" s="26">
        <v>15000</v>
      </c>
    </row>
    <row r="66" spans="1:6" ht="22.5" hidden="1" customHeight="1" x14ac:dyDescent="0.2">
      <c r="A66" s="23">
        <v>46062</v>
      </c>
      <c r="B66" s="24" t="s">
        <v>97</v>
      </c>
      <c r="C66" s="25" t="s">
        <v>43</v>
      </c>
      <c r="D66" s="25" t="s">
        <v>9</v>
      </c>
      <c r="E66" s="25" t="s">
        <v>9</v>
      </c>
      <c r="F66" s="26">
        <v>100000</v>
      </c>
    </row>
    <row r="67" spans="1:6" ht="22.5" hidden="1" customHeight="1" x14ac:dyDescent="0.2">
      <c r="A67" s="23">
        <v>46062</v>
      </c>
      <c r="B67" s="24" t="s">
        <v>74</v>
      </c>
      <c r="C67" s="25" t="s">
        <v>46</v>
      </c>
      <c r="D67" s="25" t="s">
        <v>9</v>
      </c>
      <c r="E67" s="25" t="s">
        <v>9</v>
      </c>
      <c r="F67" s="26">
        <v>100000</v>
      </c>
    </row>
    <row r="68" spans="1:6" ht="22.5" hidden="1" customHeight="1" x14ac:dyDescent="0.2">
      <c r="A68" s="23">
        <v>46062</v>
      </c>
      <c r="B68" s="24" t="s">
        <v>159</v>
      </c>
      <c r="C68" s="25" t="s">
        <v>46</v>
      </c>
      <c r="D68" s="25" t="s">
        <v>44</v>
      </c>
      <c r="E68" s="25" t="s">
        <v>3</v>
      </c>
      <c r="F68" s="26">
        <v>110000</v>
      </c>
    </row>
    <row r="69" spans="1:6" ht="22.5" hidden="1" customHeight="1" x14ac:dyDescent="0.2">
      <c r="A69" s="23">
        <v>46063</v>
      </c>
      <c r="B69" s="24" t="s">
        <v>99</v>
      </c>
      <c r="C69" s="25" t="s">
        <v>46</v>
      </c>
      <c r="D69" s="25" t="s">
        <v>44</v>
      </c>
      <c r="E69" s="25" t="s">
        <v>6</v>
      </c>
      <c r="F69" s="26">
        <v>20000</v>
      </c>
    </row>
    <row r="70" spans="1:6" ht="22.5" hidden="1" customHeight="1" x14ac:dyDescent="0.2">
      <c r="A70" s="23">
        <v>46063</v>
      </c>
      <c r="B70" s="24" t="s">
        <v>160</v>
      </c>
      <c r="C70" s="25" t="s">
        <v>46</v>
      </c>
      <c r="D70" s="25" t="s">
        <v>44</v>
      </c>
      <c r="E70" s="25" t="s">
        <v>2</v>
      </c>
      <c r="F70" s="26">
        <v>8000</v>
      </c>
    </row>
    <row r="71" spans="1:6" ht="22.5" hidden="1" customHeight="1" x14ac:dyDescent="0.2">
      <c r="A71" s="23">
        <v>46061</v>
      </c>
      <c r="B71" s="24" t="s">
        <v>162</v>
      </c>
      <c r="C71" s="25" t="s">
        <v>43</v>
      </c>
      <c r="D71" s="25" t="s">
        <v>44</v>
      </c>
      <c r="E71" s="25" t="s">
        <v>0</v>
      </c>
      <c r="F71" s="26">
        <v>15000</v>
      </c>
    </row>
    <row r="72" spans="1:6" ht="22.5" hidden="1" customHeight="1" x14ac:dyDescent="0.2">
      <c r="A72" s="23">
        <v>46063</v>
      </c>
      <c r="B72" s="24" t="s">
        <v>163</v>
      </c>
      <c r="C72" s="25" t="s">
        <v>43</v>
      </c>
      <c r="D72" s="25" t="s">
        <v>44</v>
      </c>
      <c r="E72" s="25" t="s">
        <v>1</v>
      </c>
      <c r="F72" s="26">
        <v>36000</v>
      </c>
    </row>
    <row r="73" spans="1:6" ht="22.5" hidden="1" customHeight="1" x14ac:dyDescent="0.2">
      <c r="A73" s="23">
        <v>46063</v>
      </c>
      <c r="B73" s="24" t="s">
        <v>165</v>
      </c>
      <c r="C73" s="25" t="s">
        <v>43</v>
      </c>
      <c r="D73" s="25" t="s">
        <v>44</v>
      </c>
      <c r="E73" s="25" t="s">
        <v>3</v>
      </c>
      <c r="F73" s="26">
        <v>11500</v>
      </c>
    </row>
    <row r="74" spans="1:6" ht="22.5" hidden="1" customHeight="1" x14ac:dyDescent="0.2">
      <c r="A74" s="23">
        <v>46064</v>
      </c>
      <c r="B74" s="24" t="s">
        <v>167</v>
      </c>
      <c r="C74" s="25" t="s">
        <v>46</v>
      </c>
      <c r="D74" s="25" t="s">
        <v>44</v>
      </c>
      <c r="E74" s="25" t="s">
        <v>2</v>
      </c>
      <c r="F74" s="26">
        <v>22000</v>
      </c>
    </row>
    <row r="75" spans="1:6" ht="22.5" hidden="1" customHeight="1" x14ac:dyDescent="0.2">
      <c r="A75" s="23">
        <v>46064</v>
      </c>
      <c r="B75" s="24" t="s">
        <v>76</v>
      </c>
      <c r="C75" s="25" t="s">
        <v>43</v>
      </c>
      <c r="D75" s="25" t="s">
        <v>9</v>
      </c>
      <c r="E75" s="25" t="s">
        <v>9</v>
      </c>
      <c r="F75" s="26">
        <v>150000</v>
      </c>
    </row>
    <row r="76" spans="1:6" ht="22.5" hidden="1" customHeight="1" x14ac:dyDescent="0.2">
      <c r="A76" s="23">
        <v>46064</v>
      </c>
      <c r="B76" s="24" t="s">
        <v>74</v>
      </c>
      <c r="C76" s="25" t="s">
        <v>46</v>
      </c>
      <c r="D76" s="25" t="s">
        <v>9</v>
      </c>
      <c r="E76" s="25" t="s">
        <v>9</v>
      </c>
      <c r="F76" s="26">
        <v>150000</v>
      </c>
    </row>
    <row r="77" spans="1:6" ht="22.5" hidden="1" customHeight="1" x14ac:dyDescent="0.2">
      <c r="A77" s="23">
        <v>46065</v>
      </c>
      <c r="B77" s="24" t="s">
        <v>171</v>
      </c>
      <c r="C77" s="25" t="s">
        <v>43</v>
      </c>
      <c r="D77" s="25" t="s">
        <v>44</v>
      </c>
      <c r="E77" s="25" t="s">
        <v>0</v>
      </c>
      <c r="F77" s="26">
        <v>15000</v>
      </c>
    </row>
    <row r="78" spans="1:6" ht="22.5" hidden="1" customHeight="1" x14ac:dyDescent="0.2">
      <c r="A78" s="23">
        <v>46065</v>
      </c>
      <c r="B78" s="24" t="s">
        <v>173</v>
      </c>
      <c r="C78" s="25" t="s">
        <v>43</v>
      </c>
      <c r="D78" s="25" t="s">
        <v>44</v>
      </c>
      <c r="E78" s="25" t="s">
        <v>10</v>
      </c>
      <c r="F78" s="26">
        <v>100000</v>
      </c>
    </row>
    <row r="79" spans="1:6" ht="22.5" hidden="1" customHeight="1" x14ac:dyDescent="0.2">
      <c r="A79" s="23">
        <v>46066</v>
      </c>
      <c r="B79" s="24" t="s">
        <v>175</v>
      </c>
      <c r="C79" s="25" t="s">
        <v>43</v>
      </c>
      <c r="D79" s="25" t="s">
        <v>44</v>
      </c>
      <c r="E79" s="25" t="s">
        <v>7</v>
      </c>
      <c r="F79" s="26">
        <v>11500</v>
      </c>
    </row>
    <row r="80" spans="1:6" ht="22.5" hidden="1" customHeight="1" x14ac:dyDescent="0.2">
      <c r="A80" s="23">
        <v>46066</v>
      </c>
      <c r="B80" s="24" t="s">
        <v>176</v>
      </c>
      <c r="C80" s="25" t="s">
        <v>43</v>
      </c>
      <c r="D80" s="25" t="s">
        <v>44</v>
      </c>
      <c r="E80" s="25" t="s">
        <v>3</v>
      </c>
      <c r="F80" s="26">
        <v>7710</v>
      </c>
    </row>
    <row r="81" spans="1:6" ht="22.5" hidden="1" customHeight="1" x14ac:dyDescent="0.2">
      <c r="A81" s="23">
        <v>46066</v>
      </c>
      <c r="B81" s="24" t="s">
        <v>178</v>
      </c>
      <c r="C81" s="25" t="s">
        <v>46</v>
      </c>
      <c r="D81" s="25" t="s">
        <v>44</v>
      </c>
      <c r="E81" s="25" t="s">
        <v>3</v>
      </c>
      <c r="F81" s="26">
        <v>10000</v>
      </c>
    </row>
    <row r="82" spans="1:6" ht="22.5" hidden="1" customHeight="1" x14ac:dyDescent="0.2">
      <c r="A82" s="23">
        <v>46066</v>
      </c>
      <c r="B82" s="24" t="s">
        <v>125</v>
      </c>
      <c r="C82" s="25" t="s">
        <v>46</v>
      </c>
      <c r="D82" s="25" t="s">
        <v>44</v>
      </c>
      <c r="E82" s="25" t="s">
        <v>1</v>
      </c>
      <c r="F82" s="26">
        <v>10000</v>
      </c>
    </row>
    <row r="83" spans="1:6" ht="22.5" hidden="1" customHeight="1" x14ac:dyDescent="0.2">
      <c r="A83" s="23">
        <v>46066</v>
      </c>
      <c r="B83" s="24" t="s">
        <v>133</v>
      </c>
      <c r="C83" s="25" t="s">
        <v>46</v>
      </c>
      <c r="D83" s="25" t="s">
        <v>44</v>
      </c>
      <c r="E83" s="25" t="s">
        <v>10</v>
      </c>
      <c r="F83" s="26">
        <v>10000</v>
      </c>
    </row>
    <row r="84" spans="1:6" ht="22.5" hidden="1" customHeight="1" x14ac:dyDescent="0.2">
      <c r="A84" s="23">
        <v>46067</v>
      </c>
      <c r="B84" s="24" t="s">
        <v>182</v>
      </c>
      <c r="C84" s="25" t="s">
        <v>43</v>
      </c>
      <c r="D84" s="25" t="s">
        <v>44</v>
      </c>
      <c r="E84" s="25" t="s">
        <v>5</v>
      </c>
      <c r="F84" s="26">
        <v>11500</v>
      </c>
    </row>
    <row r="85" spans="1:6" ht="22.5" hidden="1" customHeight="1" x14ac:dyDescent="0.2">
      <c r="A85" s="23">
        <v>46067</v>
      </c>
      <c r="B85" s="24" t="s">
        <v>184</v>
      </c>
      <c r="C85" s="25" t="s">
        <v>43</v>
      </c>
      <c r="D85" s="25" t="s">
        <v>44</v>
      </c>
      <c r="E85" s="25" t="s">
        <v>7</v>
      </c>
      <c r="F85" s="26">
        <f>18100-11500</f>
        <v>6600</v>
      </c>
    </row>
    <row r="86" spans="1:6" ht="22.5" hidden="1" customHeight="1" x14ac:dyDescent="0.2">
      <c r="A86" s="23">
        <v>46066</v>
      </c>
      <c r="B86" s="24" t="s">
        <v>159</v>
      </c>
      <c r="C86" s="25" t="s">
        <v>46</v>
      </c>
      <c r="D86" s="25" t="s">
        <v>44</v>
      </c>
      <c r="E86" s="25" t="s">
        <v>3</v>
      </c>
      <c r="F86" s="26">
        <v>97000</v>
      </c>
    </row>
    <row r="87" spans="1:6" ht="22.5" hidden="1" customHeight="1" x14ac:dyDescent="0.2">
      <c r="A87" s="23">
        <v>46067</v>
      </c>
      <c r="B87" s="24" t="s">
        <v>188</v>
      </c>
      <c r="C87" s="25" t="s">
        <v>46</v>
      </c>
      <c r="D87" s="25" t="s">
        <v>44</v>
      </c>
      <c r="E87" s="25" t="s">
        <v>1</v>
      </c>
      <c r="F87" s="26">
        <v>10000</v>
      </c>
    </row>
    <row r="88" spans="1:6" ht="22.5" hidden="1" customHeight="1" x14ac:dyDescent="0.2">
      <c r="A88" s="23">
        <v>46067</v>
      </c>
      <c r="B88" s="24" t="s">
        <v>102</v>
      </c>
      <c r="C88" s="25" t="s">
        <v>46</v>
      </c>
      <c r="D88" s="25" t="s">
        <v>44</v>
      </c>
      <c r="E88" s="25" t="s">
        <v>6</v>
      </c>
      <c r="F88" s="26">
        <v>15000</v>
      </c>
    </row>
    <row r="89" spans="1:6" ht="22.5" hidden="1" customHeight="1" x14ac:dyDescent="0.2">
      <c r="A89" s="23">
        <v>46068</v>
      </c>
      <c r="B89" s="24" t="s">
        <v>125</v>
      </c>
      <c r="C89" s="25" t="s">
        <v>46</v>
      </c>
      <c r="D89" s="25" t="s">
        <v>44</v>
      </c>
      <c r="E89" s="25" t="s">
        <v>1</v>
      </c>
      <c r="F89" s="26">
        <v>5000</v>
      </c>
    </row>
    <row r="90" spans="1:6" ht="22.5" hidden="1" customHeight="1" x14ac:dyDescent="0.2">
      <c r="A90" s="23">
        <v>46068</v>
      </c>
      <c r="B90" s="24" t="s">
        <v>192</v>
      </c>
      <c r="C90" s="25" t="s">
        <v>43</v>
      </c>
      <c r="D90" s="25" t="s">
        <v>44</v>
      </c>
      <c r="E90" s="25" t="s">
        <v>0</v>
      </c>
      <c r="F90" s="26">
        <v>15000</v>
      </c>
    </row>
    <row r="91" spans="1:6" ht="22.5" hidden="1" customHeight="1" x14ac:dyDescent="0.2">
      <c r="A91" s="23">
        <v>46069</v>
      </c>
      <c r="B91" s="24" t="s">
        <v>194</v>
      </c>
      <c r="C91" s="25" t="s">
        <v>43</v>
      </c>
      <c r="D91" s="25" t="s">
        <v>39</v>
      </c>
      <c r="E91" s="71" t="s">
        <v>73</v>
      </c>
      <c r="F91" s="26">
        <v>200000</v>
      </c>
    </row>
    <row r="92" spans="1:6" ht="22.5" hidden="1" customHeight="1" x14ac:dyDescent="0.2">
      <c r="A92" s="23">
        <v>46069</v>
      </c>
      <c r="B92" s="24" t="s">
        <v>76</v>
      </c>
      <c r="C92" s="25" t="s">
        <v>43</v>
      </c>
      <c r="D92" s="25" t="s">
        <v>9</v>
      </c>
      <c r="E92" s="25" t="s">
        <v>9</v>
      </c>
      <c r="F92" s="26">
        <v>100000</v>
      </c>
    </row>
    <row r="93" spans="1:6" ht="22.5" hidden="1" customHeight="1" x14ac:dyDescent="0.2">
      <c r="A93" s="23">
        <v>46069</v>
      </c>
      <c r="B93" s="24" t="s">
        <v>128</v>
      </c>
      <c r="C93" s="25" t="s">
        <v>46</v>
      </c>
      <c r="D93" s="25" t="s">
        <v>9</v>
      </c>
      <c r="E93" s="25" t="s">
        <v>9</v>
      </c>
      <c r="F93" s="26">
        <v>100000</v>
      </c>
    </row>
    <row r="94" spans="1:6" ht="22.5" hidden="1" customHeight="1" x14ac:dyDescent="0.2">
      <c r="A94" s="23">
        <v>46068</v>
      </c>
      <c r="B94" s="24" t="s">
        <v>197</v>
      </c>
      <c r="C94" s="25" t="s">
        <v>46</v>
      </c>
      <c r="D94" s="25" t="s">
        <v>44</v>
      </c>
      <c r="E94" s="25" t="s">
        <v>2</v>
      </c>
      <c r="F94" s="26">
        <v>20000</v>
      </c>
    </row>
    <row r="95" spans="1:6" ht="22.5" hidden="1" customHeight="1" x14ac:dyDescent="0.2">
      <c r="A95" s="23">
        <v>46069</v>
      </c>
      <c r="B95" s="24" t="s">
        <v>68</v>
      </c>
      <c r="C95" s="25" t="s">
        <v>46</v>
      </c>
      <c r="D95" s="25" t="s">
        <v>44</v>
      </c>
      <c r="E95" s="25" t="s">
        <v>3</v>
      </c>
      <c r="F95" s="26">
        <v>4000</v>
      </c>
    </row>
    <row r="96" spans="1:6" ht="22.5" hidden="1" customHeight="1" x14ac:dyDescent="0.2">
      <c r="A96" s="23">
        <v>46069</v>
      </c>
      <c r="B96" s="24" t="s">
        <v>199</v>
      </c>
      <c r="C96" s="25" t="s">
        <v>46</v>
      </c>
      <c r="D96" s="25" t="s">
        <v>44</v>
      </c>
      <c r="E96" s="25" t="s">
        <v>2</v>
      </c>
      <c r="F96" s="26">
        <v>21000</v>
      </c>
    </row>
    <row r="97" spans="1:6" ht="22.5" hidden="1" customHeight="1" x14ac:dyDescent="0.2">
      <c r="A97" s="23">
        <v>46069</v>
      </c>
      <c r="B97" s="24" t="s">
        <v>201</v>
      </c>
      <c r="C97" s="25" t="s">
        <v>46</v>
      </c>
      <c r="D97" s="25" t="s">
        <v>44</v>
      </c>
      <c r="E97" s="25" t="s">
        <v>6</v>
      </c>
      <c r="F97" s="26">
        <v>25000</v>
      </c>
    </row>
    <row r="98" spans="1:6" ht="22.5" hidden="1" customHeight="1" x14ac:dyDescent="0.2">
      <c r="A98" s="23">
        <v>46069</v>
      </c>
      <c r="B98" s="24" t="s">
        <v>203</v>
      </c>
      <c r="C98" s="25" t="s">
        <v>46</v>
      </c>
      <c r="D98" s="25" t="s">
        <v>44</v>
      </c>
      <c r="E98" s="25" t="s">
        <v>5</v>
      </c>
      <c r="F98" s="26">
        <v>12000</v>
      </c>
    </row>
    <row r="99" spans="1:6" ht="22.5" hidden="1" customHeight="1" x14ac:dyDescent="0.2">
      <c r="A99" s="23">
        <v>46069</v>
      </c>
      <c r="B99" s="24" t="s">
        <v>204</v>
      </c>
      <c r="C99" s="25" t="s">
        <v>46</v>
      </c>
      <c r="D99" s="25" t="s">
        <v>44</v>
      </c>
      <c r="E99" s="25" t="s">
        <v>3</v>
      </c>
      <c r="F99" s="26">
        <v>18000</v>
      </c>
    </row>
    <row r="100" spans="1:6" ht="22.5" hidden="1" customHeight="1" x14ac:dyDescent="0.2">
      <c r="A100" s="23">
        <v>46070</v>
      </c>
      <c r="B100" s="24" t="s">
        <v>206</v>
      </c>
      <c r="C100" s="25" t="s">
        <v>43</v>
      </c>
      <c r="D100" s="25" t="s">
        <v>44</v>
      </c>
      <c r="E100" s="25" t="s">
        <v>4</v>
      </c>
      <c r="F100" s="26">
        <v>13500</v>
      </c>
    </row>
    <row r="101" spans="1:6" ht="22.5" hidden="1" customHeight="1" x14ac:dyDescent="0.2">
      <c r="A101" s="23">
        <v>46070</v>
      </c>
      <c r="B101" s="24" t="s">
        <v>207</v>
      </c>
      <c r="C101" s="25" t="s">
        <v>43</v>
      </c>
      <c r="D101" s="25" t="s">
        <v>44</v>
      </c>
      <c r="E101" s="25" t="s">
        <v>3</v>
      </c>
      <c r="F101" s="26">
        <v>25500</v>
      </c>
    </row>
    <row r="102" spans="1:6" ht="22.5" hidden="1" customHeight="1" x14ac:dyDescent="0.2">
      <c r="A102" s="23">
        <v>46069</v>
      </c>
      <c r="B102" s="24" t="s">
        <v>208</v>
      </c>
      <c r="C102" s="25" t="s">
        <v>43</v>
      </c>
      <c r="D102" s="25" t="s">
        <v>44</v>
      </c>
      <c r="E102" s="25" t="s">
        <v>0</v>
      </c>
      <c r="F102" s="26">
        <v>9000</v>
      </c>
    </row>
    <row r="103" spans="1:6" ht="22.5" hidden="1" customHeight="1" x14ac:dyDescent="0.2">
      <c r="A103" s="23">
        <v>46069</v>
      </c>
      <c r="B103" s="24" t="s">
        <v>210</v>
      </c>
      <c r="C103" s="25" t="s">
        <v>46</v>
      </c>
      <c r="D103" s="25" t="s">
        <v>39</v>
      </c>
      <c r="E103" s="71" t="s">
        <v>20</v>
      </c>
      <c r="F103" s="26">
        <v>15000</v>
      </c>
    </row>
    <row r="104" spans="1:6" ht="22.5" hidden="1" customHeight="1" x14ac:dyDescent="0.2">
      <c r="A104" s="23">
        <v>46070</v>
      </c>
      <c r="B104" s="24" t="s">
        <v>212</v>
      </c>
      <c r="C104" s="25" t="s">
        <v>46</v>
      </c>
      <c r="D104" s="25" t="s">
        <v>39</v>
      </c>
      <c r="E104" s="71" t="s">
        <v>20</v>
      </c>
      <c r="F104" s="30">
        <v>50000</v>
      </c>
    </row>
    <row r="105" spans="1:6" ht="22.5" hidden="1" customHeight="1" x14ac:dyDescent="0.2">
      <c r="A105" s="23">
        <v>46070</v>
      </c>
      <c r="B105" s="24" t="s">
        <v>215</v>
      </c>
      <c r="C105" s="25" t="s">
        <v>43</v>
      </c>
      <c r="D105" s="25" t="s">
        <v>44</v>
      </c>
      <c r="E105" s="25" t="s">
        <v>2</v>
      </c>
      <c r="F105" s="26">
        <v>10000</v>
      </c>
    </row>
    <row r="106" spans="1:6" ht="22.5" hidden="1" customHeight="1" x14ac:dyDescent="0.2">
      <c r="A106" s="23">
        <v>46070</v>
      </c>
      <c r="B106" s="24" t="s">
        <v>85</v>
      </c>
      <c r="C106" s="25" t="s">
        <v>43</v>
      </c>
      <c r="D106" s="25" t="s">
        <v>44</v>
      </c>
      <c r="E106" s="25" t="s">
        <v>2</v>
      </c>
      <c r="F106" s="26">
        <v>2000</v>
      </c>
    </row>
    <row r="107" spans="1:6" ht="22.5" hidden="1" customHeight="1" x14ac:dyDescent="0.2">
      <c r="A107" s="23">
        <v>46070</v>
      </c>
      <c r="B107" s="24" t="s">
        <v>218</v>
      </c>
      <c r="C107" s="25" t="s">
        <v>43</v>
      </c>
      <c r="D107" s="25" t="s">
        <v>44</v>
      </c>
      <c r="E107" s="25" t="s">
        <v>2</v>
      </c>
      <c r="F107" s="26">
        <v>9000</v>
      </c>
    </row>
    <row r="108" spans="1:6" ht="22.5" hidden="1" customHeight="1" x14ac:dyDescent="0.2">
      <c r="A108" s="23">
        <v>46070</v>
      </c>
      <c r="B108" s="24" t="s">
        <v>220</v>
      </c>
      <c r="C108" s="25" t="s">
        <v>43</v>
      </c>
      <c r="D108" s="25" t="s">
        <v>44</v>
      </c>
      <c r="E108" s="25" t="s">
        <v>3</v>
      </c>
      <c r="F108" s="26">
        <v>29000</v>
      </c>
    </row>
    <row r="109" spans="1:6" ht="22.5" hidden="1" customHeight="1" x14ac:dyDescent="0.2">
      <c r="A109" s="23">
        <v>46070</v>
      </c>
      <c r="B109" s="24" t="s">
        <v>16</v>
      </c>
      <c r="C109" s="25" t="s">
        <v>46</v>
      </c>
      <c r="D109" s="25" t="s">
        <v>44</v>
      </c>
      <c r="E109" s="25" t="s">
        <v>6</v>
      </c>
      <c r="F109" s="26">
        <v>25000</v>
      </c>
    </row>
    <row r="110" spans="1:6" ht="22.5" hidden="1" customHeight="1" x14ac:dyDescent="0.2">
      <c r="A110" s="23">
        <v>46070</v>
      </c>
      <c r="B110" s="24" t="s">
        <v>223</v>
      </c>
      <c r="C110" s="25" t="s">
        <v>46</v>
      </c>
      <c r="D110" s="25" t="s">
        <v>44</v>
      </c>
      <c r="E110" s="25" t="s">
        <v>3</v>
      </c>
      <c r="F110" s="26">
        <v>5500</v>
      </c>
    </row>
    <row r="111" spans="1:6" ht="22.5" hidden="1" customHeight="1" x14ac:dyDescent="0.2">
      <c r="A111" s="23">
        <v>46070</v>
      </c>
      <c r="B111" s="24" t="s">
        <v>225</v>
      </c>
      <c r="C111" s="25" t="s">
        <v>46</v>
      </c>
      <c r="D111" s="25" t="s">
        <v>44</v>
      </c>
      <c r="E111" s="25" t="s">
        <v>2</v>
      </c>
      <c r="F111" s="26">
        <v>10000</v>
      </c>
    </row>
    <row r="112" spans="1:6" ht="22.5" hidden="1" customHeight="1" x14ac:dyDescent="0.2">
      <c r="A112" s="23">
        <v>46070</v>
      </c>
      <c r="B112" s="24" t="s">
        <v>227</v>
      </c>
      <c r="C112" s="25" t="s">
        <v>46</v>
      </c>
      <c r="D112" s="25" t="s">
        <v>44</v>
      </c>
      <c r="E112" s="25" t="s">
        <v>2</v>
      </c>
      <c r="F112" s="26">
        <v>15000</v>
      </c>
    </row>
    <row r="113" spans="1:6" ht="22.5" hidden="1" customHeight="1" x14ac:dyDescent="0.2">
      <c r="A113" s="23">
        <v>46070</v>
      </c>
      <c r="B113" s="24" t="s">
        <v>73</v>
      </c>
      <c r="C113" s="25" t="s">
        <v>46</v>
      </c>
      <c r="D113" s="25" t="s">
        <v>39</v>
      </c>
      <c r="E113" s="71" t="s">
        <v>73</v>
      </c>
      <c r="F113" s="30">
        <v>5000</v>
      </c>
    </row>
    <row r="114" spans="1:6" ht="22.5" hidden="1" customHeight="1" x14ac:dyDescent="0.2">
      <c r="A114" s="23">
        <v>46071</v>
      </c>
      <c r="B114" s="24" t="s">
        <v>97</v>
      </c>
      <c r="C114" s="25" t="s">
        <v>43</v>
      </c>
      <c r="D114" s="25" t="s">
        <v>9</v>
      </c>
      <c r="E114" s="25" t="s">
        <v>9</v>
      </c>
      <c r="F114" s="26">
        <v>100000</v>
      </c>
    </row>
    <row r="115" spans="1:6" ht="22.5" hidden="1" customHeight="1" x14ac:dyDescent="0.2">
      <c r="A115" s="23">
        <v>46071</v>
      </c>
      <c r="B115" s="24" t="s">
        <v>74</v>
      </c>
      <c r="C115" s="25" t="s">
        <v>46</v>
      </c>
      <c r="D115" s="25" t="s">
        <v>9</v>
      </c>
      <c r="E115" s="25" t="s">
        <v>9</v>
      </c>
      <c r="F115" s="26">
        <v>100000</v>
      </c>
    </row>
    <row r="116" spans="1:6" ht="22.5" hidden="1" customHeight="1" x14ac:dyDescent="0.2">
      <c r="A116" s="23">
        <v>46072</v>
      </c>
      <c r="B116" s="24" t="s">
        <v>225</v>
      </c>
      <c r="C116" s="25" t="s">
        <v>46</v>
      </c>
      <c r="D116" s="25" t="s">
        <v>44</v>
      </c>
      <c r="E116" s="25" t="s">
        <v>2</v>
      </c>
      <c r="F116" s="26">
        <v>15000</v>
      </c>
    </row>
    <row r="117" spans="1:6" ht="22.5" hidden="1" customHeight="1" x14ac:dyDescent="0.2">
      <c r="A117" s="23">
        <v>46072</v>
      </c>
      <c r="B117" s="24" t="s">
        <v>232</v>
      </c>
      <c r="C117" s="25" t="s">
        <v>46</v>
      </c>
      <c r="D117" s="25" t="s">
        <v>44</v>
      </c>
      <c r="E117" s="25" t="s">
        <v>2</v>
      </c>
      <c r="F117" s="26">
        <v>10000</v>
      </c>
    </row>
    <row r="118" spans="1:6" ht="22.5" hidden="1" customHeight="1" x14ac:dyDescent="0.2">
      <c r="A118" s="23">
        <v>46072</v>
      </c>
      <c r="B118" s="24" t="s">
        <v>234</v>
      </c>
      <c r="C118" s="25" t="s">
        <v>43</v>
      </c>
      <c r="D118" s="25" t="s">
        <v>44</v>
      </c>
      <c r="E118" s="25" t="s">
        <v>0</v>
      </c>
      <c r="F118" s="26">
        <v>15000</v>
      </c>
    </row>
    <row r="119" spans="1:6" ht="22.5" hidden="1" customHeight="1" x14ac:dyDescent="0.2">
      <c r="A119" s="23">
        <v>46072</v>
      </c>
      <c r="B119" s="24" t="s">
        <v>73</v>
      </c>
      <c r="C119" s="25" t="s">
        <v>43</v>
      </c>
      <c r="D119" s="25" t="s">
        <v>44</v>
      </c>
      <c r="E119" s="25" t="s">
        <v>9</v>
      </c>
      <c r="F119" s="26">
        <v>20000</v>
      </c>
    </row>
    <row r="120" spans="1:6" ht="22.5" hidden="1" customHeight="1" x14ac:dyDescent="0.2">
      <c r="A120" s="23">
        <v>46074</v>
      </c>
      <c r="B120" s="24" t="s">
        <v>73</v>
      </c>
      <c r="C120" s="25" t="s">
        <v>43</v>
      </c>
      <c r="D120" s="25" t="s">
        <v>44</v>
      </c>
      <c r="E120" s="25" t="s">
        <v>9</v>
      </c>
      <c r="F120" s="26">
        <v>20000</v>
      </c>
    </row>
    <row r="121" spans="1:6" ht="22.5" hidden="1" customHeight="1" x14ac:dyDescent="0.2">
      <c r="A121" s="23">
        <v>46073</v>
      </c>
      <c r="B121" s="24" t="s">
        <v>97</v>
      </c>
      <c r="C121" s="25" t="s">
        <v>43</v>
      </c>
      <c r="D121" s="25" t="s">
        <v>9</v>
      </c>
      <c r="E121" s="25" t="s">
        <v>9</v>
      </c>
      <c r="F121" s="26">
        <v>100000</v>
      </c>
    </row>
    <row r="122" spans="1:6" ht="22.5" hidden="1" customHeight="1" x14ac:dyDescent="0.2">
      <c r="A122" s="23">
        <v>46073</v>
      </c>
      <c r="B122" s="24" t="s">
        <v>74</v>
      </c>
      <c r="C122" s="25" t="s">
        <v>46</v>
      </c>
      <c r="D122" s="25" t="s">
        <v>9</v>
      </c>
      <c r="E122" s="25" t="s">
        <v>9</v>
      </c>
      <c r="F122" s="26">
        <v>100000</v>
      </c>
    </row>
    <row r="123" spans="1:6" ht="22.5" hidden="1" customHeight="1" x14ac:dyDescent="0.2">
      <c r="A123" s="23">
        <v>46073</v>
      </c>
      <c r="B123" s="24" t="s">
        <v>12</v>
      </c>
      <c r="C123" s="25" t="s">
        <v>46</v>
      </c>
      <c r="D123" s="25" t="s">
        <v>44</v>
      </c>
      <c r="E123" s="25" t="s">
        <v>1</v>
      </c>
      <c r="F123" s="26">
        <v>42500</v>
      </c>
    </row>
    <row r="124" spans="1:6" ht="22.5" hidden="1" customHeight="1" x14ac:dyDescent="0.2">
      <c r="A124" s="23">
        <v>46073</v>
      </c>
      <c r="B124" s="24" t="s">
        <v>242</v>
      </c>
      <c r="C124" s="25" t="s">
        <v>46</v>
      </c>
      <c r="D124" s="25" t="s">
        <v>44</v>
      </c>
      <c r="E124" s="25" t="s">
        <v>3</v>
      </c>
      <c r="F124" s="26">
        <v>100000</v>
      </c>
    </row>
    <row r="125" spans="1:6" ht="22.5" hidden="1" customHeight="1" x14ac:dyDescent="0.2">
      <c r="A125" s="23">
        <v>46073</v>
      </c>
      <c r="B125" s="24" t="s">
        <v>68</v>
      </c>
      <c r="C125" s="25" t="s">
        <v>46</v>
      </c>
      <c r="D125" s="25" t="s">
        <v>44</v>
      </c>
      <c r="E125" s="25" t="s">
        <v>3</v>
      </c>
      <c r="F125" s="26">
        <v>4000</v>
      </c>
    </row>
    <row r="126" spans="1:6" ht="22.5" hidden="1" customHeight="1" x14ac:dyDescent="0.2">
      <c r="A126" s="23">
        <v>46075</v>
      </c>
      <c r="B126" s="24" t="s">
        <v>215</v>
      </c>
      <c r="C126" s="25" t="s">
        <v>46</v>
      </c>
      <c r="D126" s="25" t="s">
        <v>44</v>
      </c>
      <c r="E126" s="25" t="s">
        <v>2</v>
      </c>
      <c r="F126" s="26">
        <v>10000</v>
      </c>
    </row>
    <row r="127" spans="1:6" ht="22.5" hidden="1" customHeight="1" x14ac:dyDescent="0.2">
      <c r="A127" s="23">
        <v>46075</v>
      </c>
      <c r="B127" s="24" t="s">
        <v>247</v>
      </c>
      <c r="C127" s="25" t="s">
        <v>46</v>
      </c>
      <c r="D127" s="25" t="s">
        <v>44</v>
      </c>
      <c r="E127" s="25" t="s">
        <v>1</v>
      </c>
      <c r="F127" s="26">
        <v>2000</v>
      </c>
    </row>
    <row r="128" spans="1:6" ht="22.5" hidden="1" customHeight="1" x14ac:dyDescent="0.2">
      <c r="A128" s="23">
        <v>46075</v>
      </c>
      <c r="B128" s="24" t="s">
        <v>249</v>
      </c>
      <c r="C128" s="25" t="s">
        <v>43</v>
      </c>
      <c r="D128" s="25" t="s">
        <v>44</v>
      </c>
      <c r="E128" s="25" t="s">
        <v>1</v>
      </c>
      <c r="F128" s="26">
        <v>36500</v>
      </c>
    </row>
    <row r="129" spans="1:6" ht="22.5" hidden="1" customHeight="1" x14ac:dyDescent="0.2">
      <c r="A129" s="23">
        <v>46075</v>
      </c>
      <c r="B129" s="24" t="s">
        <v>250</v>
      </c>
      <c r="C129" s="25" t="s">
        <v>43</v>
      </c>
      <c r="D129" s="25" t="s">
        <v>44</v>
      </c>
      <c r="E129" s="25" t="s">
        <v>3</v>
      </c>
      <c r="F129" s="31">
        <f>60000-36500</f>
        <v>23500</v>
      </c>
    </row>
    <row r="130" spans="1:6" ht="22.5" hidden="1" customHeight="1" x14ac:dyDescent="0.2">
      <c r="A130" s="23">
        <v>46077</v>
      </c>
      <c r="B130" s="24" t="s">
        <v>73</v>
      </c>
      <c r="C130" s="25" t="s">
        <v>43</v>
      </c>
      <c r="D130" s="25" t="s">
        <v>39</v>
      </c>
      <c r="E130" s="71" t="s">
        <v>73</v>
      </c>
      <c r="F130" s="30">
        <v>39000</v>
      </c>
    </row>
    <row r="131" spans="1:6" ht="22.5" hidden="1" customHeight="1" x14ac:dyDescent="0.2">
      <c r="A131" s="23">
        <v>46077</v>
      </c>
      <c r="B131" s="24" t="s">
        <v>253</v>
      </c>
      <c r="C131" s="25" t="s">
        <v>46</v>
      </c>
      <c r="D131" s="25" t="s">
        <v>44</v>
      </c>
      <c r="E131" s="25" t="s">
        <v>2</v>
      </c>
      <c r="F131" s="26">
        <v>16000</v>
      </c>
    </row>
    <row r="132" spans="1:6" ht="22.5" hidden="1" customHeight="1" x14ac:dyDescent="0.2">
      <c r="A132" s="23">
        <v>46077</v>
      </c>
      <c r="B132" s="24" t="s">
        <v>76</v>
      </c>
      <c r="C132" s="25" t="s">
        <v>43</v>
      </c>
      <c r="D132" s="25" t="s">
        <v>44</v>
      </c>
      <c r="E132" s="25" t="s">
        <v>9</v>
      </c>
      <c r="F132" s="26">
        <v>50000</v>
      </c>
    </row>
    <row r="133" spans="1:6" ht="22.5" hidden="1" customHeight="1" x14ac:dyDescent="0.2">
      <c r="A133" s="23">
        <v>46077</v>
      </c>
      <c r="B133" s="24" t="s">
        <v>74</v>
      </c>
      <c r="C133" s="25" t="s">
        <v>46</v>
      </c>
      <c r="D133" s="25" t="s">
        <v>39</v>
      </c>
      <c r="E133" s="25" t="s">
        <v>9</v>
      </c>
      <c r="F133" s="26">
        <v>50000</v>
      </c>
    </row>
    <row r="134" spans="1:6" ht="22.5" hidden="1" customHeight="1" x14ac:dyDescent="0.2">
      <c r="A134" s="23">
        <v>46076</v>
      </c>
      <c r="B134" s="24" t="s">
        <v>256</v>
      </c>
      <c r="C134" s="25" t="s">
        <v>43</v>
      </c>
      <c r="D134" s="25" t="s">
        <v>44</v>
      </c>
      <c r="E134" s="25" t="s">
        <v>0</v>
      </c>
      <c r="F134" s="26">
        <v>15000</v>
      </c>
    </row>
    <row r="135" spans="1:6" ht="22.5" hidden="1" customHeight="1" x14ac:dyDescent="0.2">
      <c r="A135" s="23">
        <v>46078</v>
      </c>
      <c r="B135" s="24" t="s">
        <v>258</v>
      </c>
      <c r="C135" s="25" t="s">
        <v>43</v>
      </c>
      <c r="D135" s="25" t="s">
        <v>44</v>
      </c>
      <c r="E135" s="25" t="s">
        <v>0</v>
      </c>
      <c r="F135" s="26">
        <v>15000</v>
      </c>
    </row>
    <row r="136" spans="1:6" ht="22.5" hidden="1" customHeight="1" x14ac:dyDescent="0.2">
      <c r="A136" s="23">
        <v>46078</v>
      </c>
      <c r="B136" s="24" t="s">
        <v>260</v>
      </c>
      <c r="C136" s="25" t="s">
        <v>43</v>
      </c>
      <c r="D136" s="25" t="s">
        <v>39</v>
      </c>
      <c r="E136" s="25" t="s">
        <v>9</v>
      </c>
      <c r="F136" s="26">
        <v>6100</v>
      </c>
    </row>
    <row r="137" spans="1:6" ht="22.5" hidden="1" customHeight="1" x14ac:dyDescent="0.2">
      <c r="A137" s="23">
        <v>46078</v>
      </c>
      <c r="B137" s="24" t="s">
        <v>261</v>
      </c>
      <c r="C137" s="25" t="s">
        <v>43</v>
      </c>
      <c r="D137" s="25" t="s">
        <v>44</v>
      </c>
      <c r="E137" s="25" t="s">
        <v>0</v>
      </c>
      <c r="F137" s="26">
        <v>15000</v>
      </c>
    </row>
    <row r="138" spans="1:6" ht="22.5" hidden="1" customHeight="1" x14ac:dyDescent="0.2">
      <c r="A138" s="23">
        <v>46079</v>
      </c>
      <c r="B138" s="24" t="s">
        <v>94</v>
      </c>
      <c r="C138" s="25" t="s">
        <v>95</v>
      </c>
      <c r="D138" s="25" t="s">
        <v>44</v>
      </c>
      <c r="E138" s="25" t="s">
        <v>3</v>
      </c>
      <c r="F138" s="26">
        <v>-6486</v>
      </c>
    </row>
    <row r="139" spans="1:6" ht="22.5" hidden="1" customHeight="1" x14ac:dyDescent="0.2">
      <c r="A139" s="23">
        <v>46079</v>
      </c>
      <c r="B139" s="24" t="s">
        <v>73</v>
      </c>
      <c r="C139" s="25" t="s">
        <v>46</v>
      </c>
      <c r="D139" s="25" t="s">
        <v>44</v>
      </c>
      <c r="E139" s="25" t="s">
        <v>9</v>
      </c>
      <c r="F139" s="26">
        <v>10000</v>
      </c>
    </row>
    <row r="140" spans="1:6" ht="22.5" hidden="1" customHeight="1" x14ac:dyDescent="0.2">
      <c r="A140" s="23">
        <v>46079</v>
      </c>
      <c r="B140" s="24" t="s">
        <v>68</v>
      </c>
      <c r="C140" s="25" t="s">
        <v>46</v>
      </c>
      <c r="D140" s="25" t="s">
        <v>44</v>
      </c>
      <c r="E140" s="25" t="s">
        <v>3</v>
      </c>
      <c r="F140" s="26">
        <v>4000</v>
      </c>
    </row>
    <row r="141" spans="1:6" ht="22.5" hidden="1" customHeight="1" x14ac:dyDescent="0.2">
      <c r="A141" s="23">
        <v>46080</v>
      </c>
      <c r="B141" s="24" t="s">
        <v>266</v>
      </c>
      <c r="C141" s="25" t="s">
        <v>46</v>
      </c>
      <c r="D141" s="25" t="s">
        <v>44</v>
      </c>
      <c r="E141" s="25" t="s">
        <v>3</v>
      </c>
      <c r="F141" s="26">
        <v>40000</v>
      </c>
    </row>
    <row r="142" spans="1:6" ht="22.5" hidden="1" customHeight="1" x14ac:dyDescent="0.2">
      <c r="A142" s="23">
        <v>46081</v>
      </c>
      <c r="B142" s="24" t="s">
        <v>268</v>
      </c>
      <c r="C142" s="25" t="s">
        <v>46</v>
      </c>
      <c r="D142" s="25" t="s">
        <v>39</v>
      </c>
      <c r="E142" s="71" t="s">
        <v>20</v>
      </c>
      <c r="F142" s="26">
        <v>29000</v>
      </c>
    </row>
    <row r="143" spans="1:6" ht="22.5" hidden="1" customHeight="1" x14ac:dyDescent="0.2">
      <c r="A143" s="23">
        <v>46083</v>
      </c>
      <c r="B143" s="24" t="s">
        <v>269</v>
      </c>
      <c r="C143" s="25" t="s">
        <v>43</v>
      </c>
      <c r="D143" s="25" t="s">
        <v>39</v>
      </c>
      <c r="E143" s="71" t="s">
        <v>986</v>
      </c>
      <c r="F143" s="26">
        <v>11576</v>
      </c>
    </row>
    <row r="144" spans="1:6" ht="22.5" hidden="1" customHeight="1" x14ac:dyDescent="0.2">
      <c r="A144" s="23">
        <v>46083</v>
      </c>
      <c r="B144" s="24" t="s">
        <v>270</v>
      </c>
      <c r="C144" s="25" t="s">
        <v>43</v>
      </c>
      <c r="D144" s="25" t="s">
        <v>44</v>
      </c>
      <c r="E144" s="25" t="s">
        <v>0</v>
      </c>
      <c r="F144" s="26">
        <v>10000</v>
      </c>
    </row>
    <row r="145" spans="1:6" ht="22.5" hidden="1" customHeight="1" x14ac:dyDescent="0.2">
      <c r="A145" s="23">
        <v>46083</v>
      </c>
      <c r="B145" s="24" t="s">
        <v>272</v>
      </c>
      <c r="C145" s="25" t="s">
        <v>43</v>
      </c>
      <c r="D145" s="25" t="s">
        <v>39</v>
      </c>
      <c r="E145" s="71" t="s">
        <v>73</v>
      </c>
      <c r="F145" s="26">
        <v>2000000</v>
      </c>
    </row>
    <row r="146" spans="1:6" ht="22.5" hidden="1" customHeight="1" x14ac:dyDescent="0.2">
      <c r="A146" s="23">
        <v>46083</v>
      </c>
      <c r="B146" s="24" t="s">
        <v>97</v>
      </c>
      <c r="C146" s="25" t="s">
        <v>43</v>
      </c>
      <c r="D146" s="25" t="s">
        <v>44</v>
      </c>
      <c r="E146" s="25" t="s">
        <v>9</v>
      </c>
      <c r="F146" s="26">
        <v>200000</v>
      </c>
    </row>
    <row r="147" spans="1:6" ht="22.5" hidden="1" customHeight="1" x14ac:dyDescent="0.2">
      <c r="A147" s="23">
        <v>46083</v>
      </c>
      <c r="B147" s="24" t="s">
        <v>74</v>
      </c>
      <c r="C147" s="25" t="s">
        <v>46</v>
      </c>
      <c r="D147" s="25" t="s">
        <v>39</v>
      </c>
      <c r="E147" s="25" t="s">
        <v>9</v>
      </c>
      <c r="F147" s="26">
        <v>200000</v>
      </c>
    </row>
    <row r="148" spans="1:6" ht="22.5" hidden="1" customHeight="1" x14ac:dyDescent="0.2">
      <c r="A148" s="23">
        <v>46083</v>
      </c>
      <c r="B148" s="24" t="s">
        <v>275</v>
      </c>
      <c r="C148" s="25" t="s">
        <v>46</v>
      </c>
      <c r="D148" s="25" t="s">
        <v>44</v>
      </c>
      <c r="E148" s="25" t="s">
        <v>3</v>
      </c>
      <c r="F148" s="26">
        <v>210000</v>
      </c>
    </row>
    <row r="149" spans="1:6" ht="22.5" hidden="1" customHeight="1" x14ac:dyDescent="0.2">
      <c r="A149" s="23">
        <v>46083</v>
      </c>
      <c r="B149" s="24" t="s">
        <v>276</v>
      </c>
      <c r="C149" s="25" t="s">
        <v>43</v>
      </c>
      <c r="D149" s="25" t="s">
        <v>44</v>
      </c>
      <c r="E149" s="25" t="s">
        <v>0</v>
      </c>
      <c r="F149" s="26">
        <v>10000</v>
      </c>
    </row>
    <row r="150" spans="1:6" ht="22.5" hidden="1" customHeight="1" x14ac:dyDescent="0.2">
      <c r="A150" s="23">
        <v>46083</v>
      </c>
      <c r="B150" s="24" t="s">
        <v>278</v>
      </c>
      <c r="C150" s="25" t="s">
        <v>43</v>
      </c>
      <c r="D150" s="25" t="s">
        <v>44</v>
      </c>
      <c r="E150" s="25" t="s">
        <v>0</v>
      </c>
      <c r="F150" s="26">
        <v>112600</v>
      </c>
    </row>
    <row r="151" spans="1:6" ht="22.5" hidden="1" customHeight="1" x14ac:dyDescent="0.2">
      <c r="A151" s="23">
        <v>46083</v>
      </c>
      <c r="B151" s="24" t="s">
        <v>279</v>
      </c>
      <c r="C151" s="25" t="s">
        <v>43</v>
      </c>
      <c r="D151" s="25" t="s">
        <v>39</v>
      </c>
      <c r="E151" s="25" t="s">
        <v>9</v>
      </c>
      <c r="F151" s="26">
        <v>12600</v>
      </c>
    </row>
    <row r="152" spans="1:6" ht="22.5" hidden="1" customHeight="1" x14ac:dyDescent="0.2">
      <c r="A152" s="23">
        <v>46083</v>
      </c>
      <c r="B152" s="24" t="s">
        <v>281</v>
      </c>
      <c r="C152" s="25" t="s">
        <v>46</v>
      </c>
      <c r="D152" s="25" t="s">
        <v>44</v>
      </c>
      <c r="E152" s="25" t="s">
        <v>1</v>
      </c>
      <c r="F152" s="26">
        <v>10000</v>
      </c>
    </row>
    <row r="153" spans="1:6" ht="22.5" hidden="1" customHeight="1" x14ac:dyDescent="0.2">
      <c r="A153" s="23">
        <v>46083</v>
      </c>
      <c r="B153" s="24" t="s">
        <v>102</v>
      </c>
      <c r="C153" s="25" t="s">
        <v>46</v>
      </c>
      <c r="D153" s="25" t="s">
        <v>44</v>
      </c>
      <c r="E153" s="25" t="s">
        <v>6</v>
      </c>
      <c r="F153" s="26">
        <v>20000</v>
      </c>
    </row>
    <row r="154" spans="1:6" ht="22.5" hidden="1" customHeight="1" x14ac:dyDescent="0.2">
      <c r="A154" s="23">
        <v>46083</v>
      </c>
      <c r="B154" s="24" t="s">
        <v>279</v>
      </c>
      <c r="C154" s="25" t="s">
        <v>43</v>
      </c>
      <c r="D154" s="25" t="s">
        <v>39</v>
      </c>
      <c r="E154" s="25" t="s">
        <v>9</v>
      </c>
      <c r="F154" s="26">
        <v>16045</v>
      </c>
    </row>
    <row r="155" spans="1:6" ht="22.5" hidden="1" customHeight="1" x14ac:dyDescent="0.2">
      <c r="A155" s="23">
        <v>46083</v>
      </c>
      <c r="B155" s="24" t="s">
        <v>283</v>
      </c>
      <c r="C155" s="25" t="s">
        <v>43</v>
      </c>
      <c r="D155" s="25" t="s">
        <v>44</v>
      </c>
      <c r="E155" s="25" t="s">
        <v>9</v>
      </c>
      <c r="F155" s="26">
        <v>100000</v>
      </c>
    </row>
    <row r="156" spans="1:6" ht="22.5" hidden="1" customHeight="1" x14ac:dyDescent="0.2">
      <c r="A156" s="23">
        <v>46083</v>
      </c>
      <c r="B156" s="24" t="s">
        <v>74</v>
      </c>
      <c r="C156" s="25" t="s">
        <v>46</v>
      </c>
      <c r="D156" s="25" t="s">
        <v>39</v>
      </c>
      <c r="E156" s="25" t="s">
        <v>9</v>
      </c>
      <c r="F156" s="26">
        <v>100000</v>
      </c>
    </row>
    <row r="157" spans="1:6" ht="22.5" hidden="1" customHeight="1" x14ac:dyDescent="0.2">
      <c r="A157" s="23">
        <v>46083</v>
      </c>
      <c r="B157" s="24" t="s">
        <v>285</v>
      </c>
      <c r="C157" s="25" t="s">
        <v>43</v>
      </c>
      <c r="D157" s="25" t="s">
        <v>44</v>
      </c>
      <c r="E157" s="25" t="s">
        <v>1</v>
      </c>
      <c r="F157" s="26">
        <v>117000</v>
      </c>
    </row>
    <row r="158" spans="1:6" ht="22.5" hidden="1" customHeight="1" x14ac:dyDescent="0.2">
      <c r="A158" s="23">
        <v>46084</v>
      </c>
      <c r="B158" s="24" t="s">
        <v>286</v>
      </c>
      <c r="C158" s="25" t="s">
        <v>43</v>
      </c>
      <c r="D158" s="25" t="s">
        <v>44</v>
      </c>
      <c r="E158" s="25" t="s">
        <v>2</v>
      </c>
      <c r="F158" s="26">
        <v>10000</v>
      </c>
    </row>
    <row r="159" spans="1:6" ht="22.5" hidden="1" customHeight="1" x14ac:dyDescent="0.2">
      <c r="A159" s="23">
        <v>46084</v>
      </c>
      <c r="B159" s="24" t="s">
        <v>287</v>
      </c>
      <c r="C159" s="25" t="s">
        <v>43</v>
      </c>
      <c r="D159" s="25" t="s">
        <v>44</v>
      </c>
      <c r="E159" s="25" t="s">
        <v>0</v>
      </c>
      <c r="F159" s="26">
        <v>15000</v>
      </c>
    </row>
    <row r="160" spans="1:6" ht="22.5" hidden="1" customHeight="1" x14ac:dyDescent="0.2">
      <c r="A160" s="23">
        <v>46084</v>
      </c>
      <c r="B160" s="24" t="s">
        <v>289</v>
      </c>
      <c r="C160" s="25" t="s">
        <v>43</v>
      </c>
      <c r="D160" s="25" t="s">
        <v>39</v>
      </c>
      <c r="E160" s="71" t="s">
        <v>73</v>
      </c>
      <c r="F160" s="32">
        <v>150000</v>
      </c>
    </row>
    <row r="161" spans="1:6" ht="22.5" hidden="1" customHeight="1" x14ac:dyDescent="0.2">
      <c r="A161" s="23">
        <v>46084</v>
      </c>
      <c r="B161" s="24" t="s">
        <v>291</v>
      </c>
      <c r="C161" s="25" t="s">
        <v>43</v>
      </c>
      <c r="D161" s="25" t="s">
        <v>44</v>
      </c>
      <c r="E161" s="25" t="s">
        <v>9</v>
      </c>
      <c r="F161" s="26">
        <v>50000</v>
      </c>
    </row>
    <row r="162" spans="1:6" ht="22.5" hidden="1" customHeight="1" x14ac:dyDescent="0.2">
      <c r="A162" s="23">
        <v>46084</v>
      </c>
      <c r="B162" s="24" t="s">
        <v>68</v>
      </c>
      <c r="C162" s="25" t="s">
        <v>46</v>
      </c>
      <c r="D162" s="25" t="s">
        <v>44</v>
      </c>
      <c r="E162" s="25" t="s">
        <v>3</v>
      </c>
      <c r="F162" s="26">
        <v>4000</v>
      </c>
    </row>
    <row r="163" spans="1:6" ht="22.5" hidden="1" customHeight="1" x14ac:dyDescent="0.2">
      <c r="A163" s="23">
        <v>46084</v>
      </c>
      <c r="B163" s="24" t="s">
        <v>294</v>
      </c>
      <c r="C163" s="25" t="s">
        <v>46</v>
      </c>
      <c r="D163" s="25" t="s">
        <v>44</v>
      </c>
      <c r="E163" s="25" t="s">
        <v>3</v>
      </c>
      <c r="F163" s="26">
        <v>36000</v>
      </c>
    </row>
    <row r="164" spans="1:6" ht="22.5" hidden="1" customHeight="1" x14ac:dyDescent="0.2">
      <c r="A164" s="23">
        <v>46085</v>
      </c>
      <c r="B164" s="24" t="s">
        <v>296</v>
      </c>
      <c r="C164" s="25" t="s">
        <v>43</v>
      </c>
      <c r="D164" s="25" t="s">
        <v>44</v>
      </c>
      <c r="E164" s="25" t="s">
        <v>7</v>
      </c>
      <c r="F164" s="26">
        <v>77384</v>
      </c>
    </row>
    <row r="165" spans="1:6" ht="22.5" hidden="1" customHeight="1" x14ac:dyDescent="0.2">
      <c r="A165" s="23">
        <v>46085</v>
      </c>
      <c r="B165" s="24" t="s">
        <v>298</v>
      </c>
      <c r="C165" s="25" t="s">
        <v>43</v>
      </c>
      <c r="D165" s="25" t="s">
        <v>44</v>
      </c>
      <c r="E165" s="25" t="s">
        <v>1</v>
      </c>
      <c r="F165" s="26">
        <v>41588</v>
      </c>
    </row>
    <row r="166" spans="1:6" ht="22.5" hidden="1" customHeight="1" x14ac:dyDescent="0.2">
      <c r="A166" s="23">
        <v>46085</v>
      </c>
      <c r="B166" s="24" t="s">
        <v>300</v>
      </c>
      <c r="C166" s="25" t="s">
        <v>43</v>
      </c>
      <c r="D166" s="25" t="s">
        <v>44</v>
      </c>
      <c r="E166" s="25" t="s">
        <v>2</v>
      </c>
      <c r="F166" s="26">
        <v>26800</v>
      </c>
    </row>
    <row r="167" spans="1:6" ht="22.5" hidden="1" customHeight="1" x14ac:dyDescent="0.2">
      <c r="A167" s="23">
        <v>46085</v>
      </c>
      <c r="B167" s="24" t="s">
        <v>302</v>
      </c>
      <c r="C167" s="25" t="s">
        <v>43</v>
      </c>
      <c r="D167" s="25" t="s">
        <v>44</v>
      </c>
      <c r="E167" s="25" t="s">
        <v>0</v>
      </c>
      <c r="F167" s="26">
        <v>233100</v>
      </c>
    </row>
    <row r="168" spans="1:6" ht="22.5" hidden="1" customHeight="1" x14ac:dyDescent="0.2">
      <c r="A168" s="23">
        <v>46086</v>
      </c>
      <c r="B168" s="24" t="s">
        <v>16</v>
      </c>
      <c r="C168" s="25" t="s">
        <v>46</v>
      </c>
      <c r="D168" s="25" t="s">
        <v>44</v>
      </c>
      <c r="E168" s="25" t="s">
        <v>6</v>
      </c>
      <c r="F168" s="26">
        <v>19500</v>
      </c>
    </row>
    <row r="169" spans="1:6" ht="22.5" hidden="1" customHeight="1" x14ac:dyDescent="0.2">
      <c r="A169" s="23">
        <v>46085</v>
      </c>
      <c r="B169" s="24" t="s">
        <v>305</v>
      </c>
      <c r="C169" s="25" t="s">
        <v>46</v>
      </c>
      <c r="D169" s="25" t="s">
        <v>44</v>
      </c>
      <c r="E169" s="25" t="s">
        <v>2</v>
      </c>
      <c r="F169" s="26">
        <v>26000</v>
      </c>
    </row>
    <row r="170" spans="1:6" ht="22.5" hidden="1" customHeight="1" x14ac:dyDescent="0.2">
      <c r="A170" s="23">
        <v>46086</v>
      </c>
      <c r="B170" s="24" t="s">
        <v>307</v>
      </c>
      <c r="C170" s="25" t="s">
        <v>46</v>
      </c>
      <c r="D170" s="25" t="s">
        <v>44</v>
      </c>
      <c r="E170" s="25" t="s">
        <v>2</v>
      </c>
      <c r="F170" s="26">
        <v>10000</v>
      </c>
    </row>
    <row r="171" spans="1:6" ht="22.5" hidden="1" customHeight="1" x14ac:dyDescent="0.2">
      <c r="A171" s="23">
        <v>46088</v>
      </c>
      <c r="B171" s="24" t="s">
        <v>68</v>
      </c>
      <c r="C171" s="25" t="s">
        <v>46</v>
      </c>
      <c r="D171" s="25" t="s">
        <v>44</v>
      </c>
      <c r="E171" s="25" t="s">
        <v>3</v>
      </c>
      <c r="F171" s="26">
        <v>5000</v>
      </c>
    </row>
    <row r="172" spans="1:6" ht="22.5" hidden="1" customHeight="1" x14ac:dyDescent="0.2">
      <c r="A172" s="23">
        <v>46087</v>
      </c>
      <c r="B172" s="24" t="s">
        <v>309</v>
      </c>
      <c r="C172" s="25" t="s">
        <v>43</v>
      </c>
      <c r="D172" s="25" t="s">
        <v>44</v>
      </c>
      <c r="E172" s="25" t="s">
        <v>7</v>
      </c>
      <c r="F172" s="26">
        <v>47778</v>
      </c>
    </row>
    <row r="173" spans="1:6" ht="22.5" hidden="1" customHeight="1" x14ac:dyDescent="0.2">
      <c r="A173" s="23">
        <v>46087</v>
      </c>
      <c r="B173" s="24" t="s">
        <v>310</v>
      </c>
      <c r="C173" s="25" t="s">
        <v>43</v>
      </c>
      <c r="D173" s="25" t="s">
        <v>44</v>
      </c>
      <c r="E173" s="25" t="s">
        <v>1</v>
      </c>
      <c r="F173" s="26">
        <v>20777</v>
      </c>
    </row>
    <row r="174" spans="1:6" ht="22.5" hidden="1" customHeight="1" x14ac:dyDescent="0.2">
      <c r="A174" s="23">
        <v>46089</v>
      </c>
      <c r="B174" s="24" t="s">
        <v>311</v>
      </c>
      <c r="C174" s="25" t="s">
        <v>43</v>
      </c>
      <c r="D174" s="25" t="s">
        <v>44</v>
      </c>
      <c r="E174" s="25" t="s">
        <v>9</v>
      </c>
      <c r="F174" s="26">
        <v>100000</v>
      </c>
    </row>
    <row r="175" spans="1:6" ht="22.5" hidden="1" customHeight="1" x14ac:dyDescent="0.2">
      <c r="A175" s="23">
        <v>46089</v>
      </c>
      <c r="B175" s="24" t="s">
        <v>76</v>
      </c>
      <c r="C175" s="25" t="s">
        <v>43</v>
      </c>
      <c r="D175" s="25" t="s">
        <v>44</v>
      </c>
      <c r="E175" s="25" t="s">
        <v>9</v>
      </c>
      <c r="F175" s="26">
        <v>100000</v>
      </c>
    </row>
    <row r="176" spans="1:6" ht="22.5" hidden="1" customHeight="1" x14ac:dyDescent="0.2">
      <c r="A176" s="23">
        <v>46089</v>
      </c>
      <c r="B176" s="24" t="s">
        <v>149</v>
      </c>
      <c r="C176" s="25" t="s">
        <v>46</v>
      </c>
      <c r="D176" s="25" t="s">
        <v>39</v>
      </c>
      <c r="E176" s="25" t="s">
        <v>9</v>
      </c>
      <c r="F176" s="26">
        <v>100000</v>
      </c>
    </row>
    <row r="177" spans="1:6" ht="22.5" hidden="1" customHeight="1" x14ac:dyDescent="0.2">
      <c r="A177" s="23">
        <v>46089</v>
      </c>
      <c r="B177" s="24" t="s">
        <v>315</v>
      </c>
      <c r="C177" s="25" t="s">
        <v>46</v>
      </c>
      <c r="D177" s="25" t="s">
        <v>44</v>
      </c>
      <c r="E177" s="25" t="s">
        <v>2</v>
      </c>
      <c r="F177" s="26">
        <v>17000</v>
      </c>
    </row>
    <row r="178" spans="1:6" ht="22.5" hidden="1" customHeight="1" x14ac:dyDescent="0.2">
      <c r="A178" s="23">
        <v>46089</v>
      </c>
      <c r="B178" s="24" t="s">
        <v>318</v>
      </c>
      <c r="C178" s="25" t="s">
        <v>46</v>
      </c>
      <c r="D178" s="25" t="s">
        <v>44</v>
      </c>
      <c r="E178" s="25" t="s">
        <v>2</v>
      </c>
      <c r="F178" s="26">
        <v>13000</v>
      </c>
    </row>
    <row r="179" spans="1:6" ht="22.5" hidden="1" customHeight="1" x14ac:dyDescent="0.2">
      <c r="A179" s="23">
        <v>46089</v>
      </c>
      <c r="B179" s="24" t="s">
        <v>320</v>
      </c>
      <c r="C179" s="25" t="s">
        <v>46</v>
      </c>
      <c r="D179" s="25" t="s">
        <v>44</v>
      </c>
      <c r="E179" s="25" t="s">
        <v>2</v>
      </c>
      <c r="F179" s="26">
        <v>6000</v>
      </c>
    </row>
    <row r="180" spans="1:6" ht="22.5" hidden="1" customHeight="1" x14ac:dyDescent="0.2">
      <c r="A180" s="23">
        <v>46090</v>
      </c>
      <c r="B180" s="24" t="s">
        <v>322</v>
      </c>
      <c r="C180" s="25" t="s">
        <v>46</v>
      </c>
      <c r="D180" s="25" t="s">
        <v>44</v>
      </c>
      <c r="E180" s="25" t="s">
        <v>3</v>
      </c>
      <c r="F180" s="26">
        <v>61000</v>
      </c>
    </row>
    <row r="181" spans="1:6" ht="22.5" hidden="1" customHeight="1" x14ac:dyDescent="0.2">
      <c r="A181" s="23">
        <v>46090</v>
      </c>
      <c r="B181" s="24" t="s">
        <v>323</v>
      </c>
      <c r="C181" s="25" t="s">
        <v>43</v>
      </c>
      <c r="D181" s="25" t="s">
        <v>44</v>
      </c>
      <c r="E181" s="25" t="s">
        <v>9</v>
      </c>
      <c r="F181" s="26">
        <v>50000</v>
      </c>
    </row>
    <row r="182" spans="1:6" ht="22.5" hidden="1" customHeight="1" x14ac:dyDescent="0.2">
      <c r="A182" s="23">
        <v>46090</v>
      </c>
      <c r="B182" s="24" t="s">
        <v>74</v>
      </c>
      <c r="C182" s="25" t="s">
        <v>46</v>
      </c>
      <c r="D182" s="25" t="s">
        <v>39</v>
      </c>
      <c r="E182" s="25" t="s">
        <v>9</v>
      </c>
      <c r="F182" s="26">
        <v>50000</v>
      </c>
    </row>
    <row r="183" spans="1:6" ht="22.5" hidden="1" customHeight="1" x14ac:dyDescent="0.2">
      <c r="A183" s="23">
        <v>46090</v>
      </c>
      <c r="B183" s="24" t="s">
        <v>325</v>
      </c>
      <c r="C183" s="25" t="s">
        <v>46</v>
      </c>
      <c r="D183" s="25" t="s">
        <v>44</v>
      </c>
      <c r="E183" s="25" t="s">
        <v>2</v>
      </c>
      <c r="F183" s="26">
        <v>6600</v>
      </c>
    </row>
    <row r="184" spans="1:6" ht="22.5" hidden="1" customHeight="1" x14ac:dyDescent="0.2">
      <c r="A184" s="23">
        <v>46091</v>
      </c>
      <c r="B184" s="24" t="s">
        <v>327</v>
      </c>
      <c r="C184" s="25" t="s">
        <v>46</v>
      </c>
      <c r="D184" s="25" t="s">
        <v>44</v>
      </c>
      <c r="E184" s="25" t="s">
        <v>2</v>
      </c>
      <c r="F184" s="26">
        <v>20000</v>
      </c>
    </row>
    <row r="185" spans="1:6" ht="22.5" hidden="1" customHeight="1" x14ac:dyDescent="0.2">
      <c r="A185" s="23">
        <v>46092</v>
      </c>
      <c r="B185" s="24" t="s">
        <v>328</v>
      </c>
      <c r="C185" s="25" t="s">
        <v>46</v>
      </c>
      <c r="D185" s="25" t="s">
        <v>44</v>
      </c>
      <c r="E185" s="25" t="s">
        <v>6</v>
      </c>
      <c r="F185" s="26">
        <v>20000</v>
      </c>
    </row>
    <row r="186" spans="1:6" ht="22.5" hidden="1" customHeight="1" x14ac:dyDescent="0.2">
      <c r="A186" s="23">
        <v>46092</v>
      </c>
      <c r="B186" s="24" t="s">
        <v>330</v>
      </c>
      <c r="C186" s="25" t="s">
        <v>43</v>
      </c>
      <c r="D186" s="25" t="s">
        <v>44</v>
      </c>
      <c r="E186" s="25" t="s">
        <v>0</v>
      </c>
      <c r="F186" s="26">
        <v>10000</v>
      </c>
    </row>
    <row r="187" spans="1:6" ht="22.5" hidden="1" customHeight="1" x14ac:dyDescent="0.2">
      <c r="A187" s="23">
        <v>46092</v>
      </c>
      <c r="B187" s="24" t="s">
        <v>68</v>
      </c>
      <c r="C187" s="25" t="s">
        <v>46</v>
      </c>
      <c r="D187" s="25" t="s">
        <v>44</v>
      </c>
      <c r="E187" s="25" t="s">
        <v>3</v>
      </c>
      <c r="F187" s="26">
        <v>4000</v>
      </c>
    </row>
    <row r="188" spans="1:6" ht="22.5" hidden="1" customHeight="1" x14ac:dyDescent="0.2">
      <c r="A188" s="23">
        <v>46092</v>
      </c>
      <c r="B188" s="24" t="s">
        <v>97</v>
      </c>
      <c r="C188" s="25" t="s">
        <v>43</v>
      </c>
      <c r="D188" s="25" t="s">
        <v>44</v>
      </c>
      <c r="E188" s="25" t="s">
        <v>9</v>
      </c>
      <c r="F188" s="26">
        <v>100000</v>
      </c>
    </row>
    <row r="189" spans="1:6" ht="22.5" hidden="1" customHeight="1" x14ac:dyDescent="0.2">
      <c r="A189" s="23">
        <v>46092</v>
      </c>
      <c r="B189" s="24" t="s">
        <v>74</v>
      </c>
      <c r="C189" s="25" t="s">
        <v>46</v>
      </c>
      <c r="D189" s="25" t="s">
        <v>39</v>
      </c>
      <c r="E189" s="25" t="s">
        <v>9</v>
      </c>
      <c r="F189" s="26">
        <v>100000</v>
      </c>
    </row>
    <row r="190" spans="1:6" ht="22.5" hidden="1" customHeight="1" x14ac:dyDescent="0.2">
      <c r="A190" s="23">
        <v>46092</v>
      </c>
      <c r="B190" s="24" t="s">
        <v>82</v>
      </c>
      <c r="C190" s="25" t="s">
        <v>46</v>
      </c>
      <c r="D190" s="25" t="s">
        <v>44</v>
      </c>
      <c r="E190" s="25" t="s">
        <v>2</v>
      </c>
      <c r="F190" s="26">
        <v>20000</v>
      </c>
    </row>
    <row r="191" spans="1:6" ht="22.5" hidden="1" customHeight="1" x14ac:dyDescent="0.2">
      <c r="A191" s="23">
        <v>46092</v>
      </c>
      <c r="B191" s="24" t="s">
        <v>333</v>
      </c>
      <c r="C191" s="25" t="s">
        <v>43</v>
      </c>
      <c r="D191" s="25" t="s">
        <v>44</v>
      </c>
      <c r="E191" s="25" t="s">
        <v>7</v>
      </c>
      <c r="F191" s="26">
        <v>19999</v>
      </c>
    </row>
    <row r="192" spans="1:6" ht="22.5" hidden="1" customHeight="1" x14ac:dyDescent="0.2">
      <c r="A192" s="23">
        <v>46093</v>
      </c>
      <c r="B192" s="24" t="s">
        <v>335</v>
      </c>
      <c r="C192" s="25" t="s">
        <v>43</v>
      </c>
      <c r="D192" s="25" t="s">
        <v>44</v>
      </c>
      <c r="E192" s="25" t="s">
        <v>4</v>
      </c>
      <c r="F192" s="26">
        <v>13473</v>
      </c>
    </row>
    <row r="193" spans="1:6" ht="22.5" hidden="1" customHeight="1" x14ac:dyDescent="0.2">
      <c r="A193" s="23">
        <v>46093</v>
      </c>
      <c r="B193" s="24" t="s">
        <v>337</v>
      </c>
      <c r="C193" s="25" t="s">
        <v>46</v>
      </c>
      <c r="D193" s="25" t="s">
        <v>44</v>
      </c>
      <c r="E193" s="25" t="s">
        <v>2</v>
      </c>
      <c r="F193" s="26">
        <v>30000</v>
      </c>
    </row>
    <row r="194" spans="1:6" ht="22.5" hidden="1" customHeight="1" x14ac:dyDescent="0.2">
      <c r="A194" s="23">
        <v>46095</v>
      </c>
      <c r="B194" s="24" t="s">
        <v>338</v>
      </c>
      <c r="C194" s="25" t="s">
        <v>46</v>
      </c>
      <c r="D194" s="25" t="s">
        <v>44</v>
      </c>
      <c r="E194" s="25" t="s">
        <v>3</v>
      </c>
      <c r="F194" s="26">
        <v>29000</v>
      </c>
    </row>
    <row r="195" spans="1:6" ht="22.5" hidden="1" customHeight="1" x14ac:dyDescent="0.2">
      <c r="A195" s="23">
        <v>46095</v>
      </c>
      <c r="B195" s="24" t="s">
        <v>340</v>
      </c>
      <c r="C195" s="25" t="s">
        <v>46</v>
      </c>
      <c r="D195" s="25" t="s">
        <v>39</v>
      </c>
      <c r="E195" s="71" t="s">
        <v>20</v>
      </c>
      <c r="F195" s="26">
        <v>7100</v>
      </c>
    </row>
    <row r="196" spans="1:6" ht="22.5" hidden="1" customHeight="1" x14ac:dyDescent="0.2">
      <c r="A196" s="23">
        <v>46094</v>
      </c>
      <c r="B196" s="24" t="s">
        <v>341</v>
      </c>
      <c r="C196" s="25" t="s">
        <v>43</v>
      </c>
      <c r="D196" s="25" t="s">
        <v>44</v>
      </c>
      <c r="E196" s="25" t="s">
        <v>9</v>
      </c>
      <c r="F196" s="26">
        <v>150000</v>
      </c>
    </row>
    <row r="197" spans="1:6" ht="22.5" hidden="1" customHeight="1" x14ac:dyDescent="0.2">
      <c r="A197" s="23">
        <v>46094</v>
      </c>
      <c r="B197" s="24" t="s">
        <v>74</v>
      </c>
      <c r="C197" s="25" t="s">
        <v>46</v>
      </c>
      <c r="D197" s="25" t="s">
        <v>39</v>
      </c>
      <c r="E197" s="25" t="s">
        <v>9</v>
      </c>
      <c r="F197" s="26">
        <v>150000</v>
      </c>
    </row>
    <row r="198" spans="1:6" ht="22.5" hidden="1" customHeight="1" x14ac:dyDescent="0.2">
      <c r="A198" s="23">
        <v>46095</v>
      </c>
      <c r="B198" s="24" t="s">
        <v>344</v>
      </c>
      <c r="C198" s="25" t="s">
        <v>46</v>
      </c>
      <c r="D198" s="25" t="s">
        <v>44</v>
      </c>
      <c r="E198" s="25" t="s">
        <v>10</v>
      </c>
      <c r="F198" s="26">
        <v>130000</v>
      </c>
    </row>
    <row r="199" spans="1:6" ht="22.5" hidden="1" customHeight="1" x14ac:dyDescent="0.2">
      <c r="A199" s="23">
        <v>46095</v>
      </c>
      <c r="B199" s="24" t="s">
        <v>346</v>
      </c>
      <c r="C199" s="25" t="s">
        <v>46</v>
      </c>
      <c r="D199" s="25" t="s">
        <v>44</v>
      </c>
      <c r="E199" s="25" t="s">
        <v>2</v>
      </c>
      <c r="F199" s="26">
        <v>31000</v>
      </c>
    </row>
    <row r="200" spans="1:6" ht="22.5" hidden="1" customHeight="1" x14ac:dyDescent="0.2">
      <c r="A200" s="23">
        <v>46096</v>
      </c>
      <c r="B200" s="24" t="s">
        <v>348</v>
      </c>
      <c r="C200" s="25" t="s">
        <v>43</v>
      </c>
      <c r="D200" s="25" t="s">
        <v>44</v>
      </c>
      <c r="E200" s="25" t="s">
        <v>0</v>
      </c>
      <c r="F200" s="26">
        <v>15000</v>
      </c>
    </row>
    <row r="201" spans="1:6" ht="22.5" hidden="1" customHeight="1" x14ac:dyDescent="0.2">
      <c r="A201" s="23">
        <v>46096</v>
      </c>
      <c r="B201" s="24" t="s">
        <v>97</v>
      </c>
      <c r="C201" s="25" t="s">
        <v>43</v>
      </c>
      <c r="D201" s="25" t="s">
        <v>44</v>
      </c>
      <c r="E201" s="25" t="s">
        <v>9</v>
      </c>
      <c r="F201" s="26">
        <v>200000</v>
      </c>
    </row>
    <row r="202" spans="1:6" ht="22.5" hidden="1" customHeight="1" x14ac:dyDescent="0.2">
      <c r="A202" s="23">
        <v>46096</v>
      </c>
      <c r="B202" s="24" t="s">
        <v>74</v>
      </c>
      <c r="C202" s="25" t="s">
        <v>46</v>
      </c>
      <c r="D202" s="25" t="s">
        <v>39</v>
      </c>
      <c r="E202" s="25" t="s">
        <v>9</v>
      </c>
      <c r="F202" s="26">
        <v>200000</v>
      </c>
    </row>
    <row r="203" spans="1:6" ht="22.5" hidden="1" customHeight="1" x14ac:dyDescent="0.2">
      <c r="A203" s="23">
        <v>46096</v>
      </c>
      <c r="B203" s="24" t="s">
        <v>16</v>
      </c>
      <c r="C203" s="25" t="s">
        <v>46</v>
      </c>
      <c r="D203" s="25" t="s">
        <v>44</v>
      </c>
      <c r="E203" s="25" t="s">
        <v>6</v>
      </c>
      <c r="F203" s="26">
        <v>30000</v>
      </c>
    </row>
    <row r="204" spans="1:6" ht="22.5" hidden="1" customHeight="1" x14ac:dyDescent="0.2">
      <c r="A204" s="23">
        <v>46096</v>
      </c>
      <c r="B204" s="24" t="s">
        <v>353</v>
      </c>
      <c r="C204" s="25" t="s">
        <v>46</v>
      </c>
      <c r="D204" s="25" t="s">
        <v>44</v>
      </c>
      <c r="E204" s="25" t="s">
        <v>7</v>
      </c>
      <c r="F204" s="26">
        <v>70000</v>
      </c>
    </row>
    <row r="205" spans="1:6" ht="22.5" hidden="1" customHeight="1" x14ac:dyDescent="0.2">
      <c r="A205" s="23">
        <v>46096</v>
      </c>
      <c r="B205" s="24" t="s">
        <v>355</v>
      </c>
      <c r="C205" s="25" t="s">
        <v>46</v>
      </c>
      <c r="D205" s="25" t="s">
        <v>44</v>
      </c>
      <c r="E205" s="25" t="s">
        <v>2</v>
      </c>
      <c r="F205" s="26">
        <v>12700</v>
      </c>
    </row>
    <row r="206" spans="1:6" ht="22.5" hidden="1" customHeight="1" x14ac:dyDescent="0.2">
      <c r="A206" s="23">
        <v>46096</v>
      </c>
      <c r="B206" s="24" t="s">
        <v>229</v>
      </c>
      <c r="C206" s="25" t="s">
        <v>46</v>
      </c>
      <c r="D206" s="25" t="s">
        <v>44</v>
      </c>
      <c r="E206" s="25" t="s">
        <v>2</v>
      </c>
      <c r="F206" s="26">
        <v>10000</v>
      </c>
    </row>
    <row r="207" spans="1:6" ht="22.5" hidden="1" customHeight="1" x14ac:dyDescent="0.2">
      <c r="A207" s="23">
        <v>46097</v>
      </c>
      <c r="B207" s="24" t="s">
        <v>357</v>
      </c>
      <c r="C207" s="25" t="s">
        <v>43</v>
      </c>
      <c r="D207" s="25" t="s">
        <v>44</v>
      </c>
      <c r="E207" s="25" t="s">
        <v>0</v>
      </c>
      <c r="F207" s="26">
        <v>30000</v>
      </c>
    </row>
    <row r="208" spans="1:6" ht="22.5" hidden="1" customHeight="1" x14ac:dyDescent="0.2">
      <c r="A208" s="23">
        <v>46097</v>
      </c>
      <c r="B208" s="24" t="s">
        <v>102</v>
      </c>
      <c r="C208" s="25" t="s">
        <v>46</v>
      </c>
      <c r="D208" s="25" t="s">
        <v>44</v>
      </c>
      <c r="E208" s="25" t="s">
        <v>6</v>
      </c>
      <c r="F208" s="26">
        <v>25000</v>
      </c>
    </row>
    <row r="209" spans="1:6" ht="22.5" hidden="1" customHeight="1" x14ac:dyDescent="0.2">
      <c r="A209" s="23">
        <v>46097</v>
      </c>
      <c r="B209" s="24" t="s">
        <v>76</v>
      </c>
      <c r="C209" s="25" t="s">
        <v>43</v>
      </c>
      <c r="D209" s="25" t="s">
        <v>44</v>
      </c>
      <c r="E209" s="25" t="s">
        <v>9</v>
      </c>
      <c r="F209" s="26">
        <v>100000</v>
      </c>
    </row>
    <row r="210" spans="1:6" ht="22.5" hidden="1" customHeight="1" x14ac:dyDescent="0.2">
      <c r="A210" s="23">
        <v>46097</v>
      </c>
      <c r="B210" s="24" t="s">
        <v>78</v>
      </c>
      <c r="C210" s="25" t="s">
        <v>46</v>
      </c>
      <c r="D210" s="25" t="s">
        <v>39</v>
      </c>
      <c r="E210" s="25" t="s">
        <v>9</v>
      </c>
      <c r="F210" s="26">
        <v>100000</v>
      </c>
    </row>
    <row r="211" spans="1:6" ht="22.5" hidden="1" customHeight="1" x14ac:dyDescent="0.2">
      <c r="A211" s="23">
        <v>46097</v>
      </c>
      <c r="B211" s="24" t="s">
        <v>322</v>
      </c>
      <c r="C211" s="25" t="s">
        <v>46</v>
      </c>
      <c r="D211" s="25" t="s">
        <v>44</v>
      </c>
      <c r="E211" s="25" t="s">
        <v>3</v>
      </c>
      <c r="F211" s="26">
        <v>163800</v>
      </c>
    </row>
    <row r="212" spans="1:6" ht="22.5" hidden="1" customHeight="1" x14ac:dyDescent="0.2">
      <c r="A212" s="23">
        <v>46097</v>
      </c>
      <c r="B212" s="24" t="s">
        <v>68</v>
      </c>
      <c r="C212" s="25" t="s">
        <v>46</v>
      </c>
      <c r="D212" s="25" t="s">
        <v>44</v>
      </c>
      <c r="E212" s="25" t="s">
        <v>3</v>
      </c>
      <c r="F212" s="26">
        <v>3000</v>
      </c>
    </row>
    <row r="213" spans="1:6" ht="22.5" hidden="1" customHeight="1" x14ac:dyDescent="0.2">
      <c r="A213" s="23">
        <v>46097</v>
      </c>
      <c r="B213" s="24" t="s">
        <v>365</v>
      </c>
      <c r="C213" s="25" t="s">
        <v>43</v>
      </c>
      <c r="D213" s="25" t="s">
        <v>39</v>
      </c>
      <c r="E213" s="71" t="s">
        <v>73</v>
      </c>
      <c r="F213" s="26">
        <v>1300700</v>
      </c>
    </row>
    <row r="214" spans="1:6" ht="22.5" hidden="1" customHeight="1" x14ac:dyDescent="0.2">
      <c r="A214" s="23">
        <v>46097</v>
      </c>
      <c r="B214" s="24" t="s">
        <v>367</v>
      </c>
      <c r="C214" s="25" t="s">
        <v>43</v>
      </c>
      <c r="D214" s="25" t="s">
        <v>44</v>
      </c>
      <c r="E214" s="25" t="s">
        <v>0</v>
      </c>
      <c r="F214" s="26">
        <v>6000</v>
      </c>
    </row>
    <row r="215" spans="1:6" ht="22.5" hidden="1" customHeight="1" x14ac:dyDescent="0.2">
      <c r="A215" s="23">
        <v>46098</v>
      </c>
      <c r="B215" s="24" t="s">
        <v>97</v>
      </c>
      <c r="C215" s="25" t="s">
        <v>43</v>
      </c>
      <c r="D215" s="25" t="s">
        <v>44</v>
      </c>
      <c r="E215" s="25" t="s">
        <v>9</v>
      </c>
      <c r="F215" s="26">
        <v>200000</v>
      </c>
    </row>
    <row r="216" spans="1:6" ht="22.5" hidden="1" customHeight="1" x14ac:dyDescent="0.2">
      <c r="A216" s="23">
        <v>46098</v>
      </c>
      <c r="B216" s="24" t="s">
        <v>74</v>
      </c>
      <c r="C216" s="25" t="s">
        <v>46</v>
      </c>
      <c r="D216" s="25" t="s">
        <v>39</v>
      </c>
      <c r="E216" s="25" t="s">
        <v>9</v>
      </c>
      <c r="F216" s="26">
        <v>200000</v>
      </c>
    </row>
    <row r="217" spans="1:6" ht="22.5" hidden="1" customHeight="1" x14ac:dyDescent="0.2">
      <c r="A217" s="23">
        <v>46098</v>
      </c>
      <c r="B217" s="24" t="s">
        <v>370</v>
      </c>
      <c r="C217" s="25" t="s">
        <v>46</v>
      </c>
      <c r="D217" s="25" t="s">
        <v>44</v>
      </c>
      <c r="E217" s="25" t="s">
        <v>3</v>
      </c>
      <c r="F217" s="26">
        <v>3000</v>
      </c>
    </row>
    <row r="218" spans="1:6" ht="22.5" hidden="1" customHeight="1" x14ac:dyDescent="0.2">
      <c r="A218" s="23">
        <v>46098</v>
      </c>
      <c r="B218" s="24" t="s">
        <v>372</v>
      </c>
      <c r="C218" s="25" t="s">
        <v>46</v>
      </c>
      <c r="D218" s="25" t="s">
        <v>44</v>
      </c>
      <c r="E218" s="25" t="s">
        <v>6</v>
      </c>
      <c r="F218" s="26">
        <v>12000</v>
      </c>
    </row>
    <row r="219" spans="1:6" ht="22.5" hidden="1" customHeight="1" x14ac:dyDescent="0.2">
      <c r="A219" s="23">
        <v>46098</v>
      </c>
      <c r="B219" s="24" t="s">
        <v>374</v>
      </c>
      <c r="C219" s="25" t="s">
        <v>46</v>
      </c>
      <c r="D219" s="25" t="s">
        <v>44</v>
      </c>
      <c r="E219" s="25" t="s">
        <v>1</v>
      </c>
      <c r="F219" s="26">
        <v>25000</v>
      </c>
    </row>
    <row r="220" spans="1:6" ht="22.5" hidden="1" customHeight="1" x14ac:dyDescent="0.2">
      <c r="A220" s="23">
        <v>46098</v>
      </c>
      <c r="B220" s="24" t="s">
        <v>376</v>
      </c>
      <c r="C220" s="25" t="s">
        <v>46</v>
      </c>
      <c r="D220" s="25" t="s">
        <v>39</v>
      </c>
      <c r="E220" s="71" t="s">
        <v>20</v>
      </c>
      <c r="F220" s="26">
        <v>5000</v>
      </c>
    </row>
    <row r="221" spans="1:6" ht="22.5" hidden="1" customHeight="1" x14ac:dyDescent="0.2">
      <c r="A221" s="23">
        <v>46098</v>
      </c>
      <c r="B221" s="24" t="s">
        <v>378</v>
      </c>
      <c r="C221" s="25" t="s">
        <v>46</v>
      </c>
      <c r="D221" s="25" t="s">
        <v>44</v>
      </c>
      <c r="E221" s="25" t="s">
        <v>2</v>
      </c>
      <c r="F221" s="26">
        <v>8700</v>
      </c>
    </row>
    <row r="222" spans="1:6" ht="22.5" hidden="1" customHeight="1" x14ac:dyDescent="0.2">
      <c r="A222" s="23">
        <v>46098</v>
      </c>
      <c r="B222" s="24" t="s">
        <v>380</v>
      </c>
      <c r="C222" s="25" t="s">
        <v>46</v>
      </c>
      <c r="D222" s="25" t="s">
        <v>44</v>
      </c>
      <c r="E222" s="25" t="s">
        <v>2</v>
      </c>
      <c r="F222" s="26">
        <v>14000</v>
      </c>
    </row>
    <row r="223" spans="1:6" ht="22.5" hidden="1" customHeight="1" x14ac:dyDescent="0.2">
      <c r="A223" s="23">
        <v>46098</v>
      </c>
      <c r="B223" s="24" t="s">
        <v>382</v>
      </c>
      <c r="C223" s="25" t="s">
        <v>43</v>
      </c>
      <c r="D223" s="25" t="s">
        <v>44</v>
      </c>
      <c r="E223" s="25" t="s">
        <v>5</v>
      </c>
      <c r="F223" s="26">
        <v>13200</v>
      </c>
    </row>
    <row r="224" spans="1:6" ht="22.5" hidden="1" customHeight="1" x14ac:dyDescent="0.2">
      <c r="A224" s="23">
        <v>46098</v>
      </c>
      <c r="B224" s="24" t="s">
        <v>384</v>
      </c>
      <c r="C224" s="25" t="s">
        <v>43</v>
      </c>
      <c r="D224" s="25" t="s">
        <v>44</v>
      </c>
      <c r="E224" s="25" t="s">
        <v>1</v>
      </c>
      <c r="F224" s="26">
        <v>53800</v>
      </c>
    </row>
    <row r="225" spans="1:6" ht="22.5" hidden="1" customHeight="1" x14ac:dyDescent="0.2">
      <c r="A225" s="23">
        <v>46098</v>
      </c>
      <c r="B225" s="24" t="s">
        <v>386</v>
      </c>
      <c r="C225" s="25" t="s">
        <v>46</v>
      </c>
      <c r="D225" s="25" t="s">
        <v>44</v>
      </c>
      <c r="E225" s="25" t="s">
        <v>1</v>
      </c>
      <c r="F225" s="26">
        <v>35000</v>
      </c>
    </row>
    <row r="226" spans="1:6" ht="22.5" hidden="1" customHeight="1" x14ac:dyDescent="0.2">
      <c r="A226" s="23">
        <v>46099</v>
      </c>
      <c r="B226" s="24" t="s">
        <v>388</v>
      </c>
      <c r="C226" s="25" t="s">
        <v>46</v>
      </c>
      <c r="D226" s="25" t="s">
        <v>44</v>
      </c>
      <c r="E226" s="25" t="s">
        <v>3</v>
      </c>
      <c r="F226" s="26">
        <v>35000</v>
      </c>
    </row>
    <row r="227" spans="1:6" ht="22.5" hidden="1" customHeight="1" x14ac:dyDescent="0.2">
      <c r="A227" s="23">
        <v>46099</v>
      </c>
      <c r="B227" s="24" t="s">
        <v>390</v>
      </c>
      <c r="C227" s="25" t="s">
        <v>46</v>
      </c>
      <c r="D227" s="25" t="s">
        <v>44</v>
      </c>
      <c r="E227" s="25" t="s">
        <v>3</v>
      </c>
      <c r="F227" s="26">
        <v>8000</v>
      </c>
    </row>
    <row r="228" spans="1:6" ht="22.5" hidden="1" customHeight="1" x14ac:dyDescent="0.2">
      <c r="A228" s="23">
        <v>46099</v>
      </c>
      <c r="B228" s="24" t="s">
        <v>391</v>
      </c>
      <c r="C228" s="25" t="s">
        <v>43</v>
      </c>
      <c r="D228" s="25" t="s">
        <v>44</v>
      </c>
      <c r="E228" s="25" t="s">
        <v>3</v>
      </c>
      <c r="F228" s="26">
        <v>73000</v>
      </c>
    </row>
    <row r="229" spans="1:6" ht="22.5" hidden="1" customHeight="1" x14ac:dyDescent="0.2">
      <c r="A229" s="23">
        <v>46099</v>
      </c>
      <c r="B229" s="24" t="s">
        <v>97</v>
      </c>
      <c r="C229" s="25" t="s">
        <v>43</v>
      </c>
      <c r="D229" s="25" t="s">
        <v>44</v>
      </c>
      <c r="E229" s="25" t="s">
        <v>9</v>
      </c>
      <c r="F229" s="26">
        <v>200000</v>
      </c>
    </row>
    <row r="230" spans="1:6" ht="22.5" hidden="1" customHeight="1" x14ac:dyDescent="0.2">
      <c r="A230" s="23">
        <v>46099</v>
      </c>
      <c r="B230" s="24" t="s">
        <v>74</v>
      </c>
      <c r="C230" s="25" t="s">
        <v>46</v>
      </c>
      <c r="D230" s="25" t="s">
        <v>39</v>
      </c>
      <c r="E230" s="25" t="s">
        <v>9</v>
      </c>
      <c r="F230" s="26">
        <v>200000</v>
      </c>
    </row>
    <row r="231" spans="1:6" ht="22.5" hidden="1" customHeight="1" x14ac:dyDescent="0.2">
      <c r="A231" s="23">
        <v>46099</v>
      </c>
      <c r="B231" s="24" t="s">
        <v>393</v>
      </c>
      <c r="C231" s="25" t="s">
        <v>46</v>
      </c>
      <c r="D231" s="25" t="s">
        <v>44</v>
      </c>
      <c r="E231" s="25" t="s">
        <v>2</v>
      </c>
      <c r="F231" s="26">
        <v>25000</v>
      </c>
    </row>
    <row r="232" spans="1:6" ht="22.5" hidden="1" customHeight="1" x14ac:dyDescent="0.2">
      <c r="A232" s="23">
        <v>46099</v>
      </c>
      <c r="B232" s="24" t="s">
        <v>394</v>
      </c>
      <c r="C232" s="25" t="s">
        <v>46</v>
      </c>
      <c r="D232" s="25" t="s">
        <v>44</v>
      </c>
      <c r="E232" s="25" t="s">
        <v>6</v>
      </c>
      <c r="F232" s="26">
        <v>30000</v>
      </c>
    </row>
    <row r="233" spans="1:6" ht="22.5" hidden="1" customHeight="1" x14ac:dyDescent="0.2">
      <c r="A233" s="23">
        <v>46099</v>
      </c>
      <c r="B233" s="24" t="s">
        <v>378</v>
      </c>
      <c r="C233" s="25" t="s">
        <v>46</v>
      </c>
      <c r="D233" s="25" t="s">
        <v>44</v>
      </c>
      <c r="E233" s="25" t="s">
        <v>2</v>
      </c>
      <c r="F233" s="26">
        <v>9300</v>
      </c>
    </row>
    <row r="234" spans="1:6" ht="22.5" hidden="1" customHeight="1" x14ac:dyDescent="0.2">
      <c r="A234" s="23">
        <v>46099</v>
      </c>
      <c r="B234" s="24" t="s">
        <v>397</v>
      </c>
      <c r="C234" s="25" t="s">
        <v>46</v>
      </c>
      <c r="D234" s="25" t="s">
        <v>44</v>
      </c>
      <c r="E234" s="25" t="s">
        <v>0</v>
      </c>
      <c r="F234" s="26">
        <v>3000</v>
      </c>
    </row>
    <row r="235" spans="1:6" ht="22.5" hidden="1" customHeight="1" x14ac:dyDescent="0.2">
      <c r="A235" s="23">
        <v>46099</v>
      </c>
      <c r="B235" s="24" t="s">
        <v>399</v>
      </c>
      <c r="C235" s="25" t="s">
        <v>46</v>
      </c>
      <c r="D235" s="25" t="s">
        <v>44</v>
      </c>
      <c r="E235" s="25" t="s">
        <v>3</v>
      </c>
      <c r="F235" s="26">
        <v>4000</v>
      </c>
    </row>
    <row r="236" spans="1:6" ht="22.5" hidden="1" customHeight="1" x14ac:dyDescent="0.2">
      <c r="A236" s="23">
        <v>46099</v>
      </c>
      <c r="B236" s="24" t="s">
        <v>401</v>
      </c>
      <c r="C236" s="25" t="s">
        <v>46</v>
      </c>
      <c r="D236" s="25" t="s">
        <v>44</v>
      </c>
      <c r="E236" s="25" t="s">
        <v>3</v>
      </c>
      <c r="F236" s="26">
        <v>42000</v>
      </c>
    </row>
    <row r="237" spans="1:6" ht="22.5" hidden="1" customHeight="1" x14ac:dyDescent="0.2">
      <c r="A237" s="23">
        <v>46099</v>
      </c>
      <c r="B237" s="24" t="s">
        <v>403</v>
      </c>
      <c r="C237" s="25" t="s">
        <v>43</v>
      </c>
      <c r="D237" s="25" t="s">
        <v>44</v>
      </c>
      <c r="E237" s="25" t="s">
        <v>1</v>
      </c>
      <c r="F237" s="26">
        <v>105000</v>
      </c>
    </row>
    <row r="238" spans="1:6" ht="22.5" hidden="1" customHeight="1" x14ac:dyDescent="0.2">
      <c r="A238" s="23">
        <v>46099</v>
      </c>
      <c r="B238" s="24" t="s">
        <v>404</v>
      </c>
      <c r="C238" s="25" t="s">
        <v>46</v>
      </c>
      <c r="D238" s="25" t="s">
        <v>44</v>
      </c>
      <c r="E238" s="25" t="s">
        <v>2</v>
      </c>
      <c r="F238" s="26">
        <v>7000</v>
      </c>
    </row>
    <row r="239" spans="1:6" ht="22.5" hidden="1" customHeight="1" x14ac:dyDescent="0.2">
      <c r="A239" s="23">
        <v>46100</v>
      </c>
      <c r="B239" s="24" t="s">
        <v>406</v>
      </c>
      <c r="C239" s="25" t="s">
        <v>43</v>
      </c>
      <c r="D239" s="25" t="s">
        <v>44</v>
      </c>
      <c r="E239" s="25" t="s">
        <v>1</v>
      </c>
      <c r="F239" s="26">
        <v>16700</v>
      </c>
    </row>
    <row r="240" spans="1:6" ht="22.5" hidden="1" customHeight="1" x14ac:dyDescent="0.2">
      <c r="A240" s="23">
        <v>46100</v>
      </c>
      <c r="B240" s="24" t="s">
        <v>407</v>
      </c>
      <c r="C240" s="25" t="s">
        <v>43</v>
      </c>
      <c r="D240" s="25" t="s">
        <v>44</v>
      </c>
      <c r="E240" s="25" t="s">
        <v>1</v>
      </c>
      <c r="F240" s="26">
        <v>67600</v>
      </c>
    </row>
    <row r="241" spans="1:6" ht="22.5" hidden="1" customHeight="1" x14ac:dyDescent="0.2">
      <c r="A241" s="23">
        <v>46100</v>
      </c>
      <c r="B241" s="24" t="s">
        <v>408</v>
      </c>
      <c r="C241" s="25" t="s">
        <v>43</v>
      </c>
      <c r="D241" s="25" t="s">
        <v>44</v>
      </c>
      <c r="E241" s="25" t="s">
        <v>1</v>
      </c>
      <c r="F241" s="26">
        <v>27865</v>
      </c>
    </row>
    <row r="242" spans="1:6" ht="22.5" hidden="1" customHeight="1" x14ac:dyDescent="0.2">
      <c r="A242" s="23">
        <v>46100</v>
      </c>
      <c r="B242" s="24" t="s">
        <v>410</v>
      </c>
      <c r="C242" s="25" t="s">
        <v>46</v>
      </c>
      <c r="D242" s="25" t="s">
        <v>44</v>
      </c>
      <c r="E242" s="25" t="s">
        <v>3</v>
      </c>
      <c r="F242" s="26">
        <v>120000</v>
      </c>
    </row>
    <row r="243" spans="1:6" ht="22.5" hidden="1" customHeight="1" x14ac:dyDescent="0.2">
      <c r="A243" s="23">
        <v>46101</v>
      </c>
      <c r="B243" s="24" t="s">
        <v>411</v>
      </c>
      <c r="C243" s="25" t="s">
        <v>46</v>
      </c>
      <c r="D243" s="25" t="s">
        <v>44</v>
      </c>
      <c r="E243" s="25" t="s">
        <v>2</v>
      </c>
      <c r="F243" s="26">
        <v>18200</v>
      </c>
    </row>
    <row r="244" spans="1:6" ht="22.5" hidden="1" customHeight="1" x14ac:dyDescent="0.2">
      <c r="A244" s="23">
        <v>46101</v>
      </c>
      <c r="B244" s="24" t="s">
        <v>97</v>
      </c>
      <c r="C244" s="25" t="s">
        <v>43</v>
      </c>
      <c r="D244" s="25" t="s">
        <v>44</v>
      </c>
      <c r="E244" s="25" t="s">
        <v>9</v>
      </c>
      <c r="F244" s="26">
        <v>200000</v>
      </c>
    </row>
    <row r="245" spans="1:6" ht="22.5" hidden="1" customHeight="1" x14ac:dyDescent="0.2">
      <c r="A245" s="23">
        <v>46101</v>
      </c>
      <c r="B245" s="24" t="s">
        <v>74</v>
      </c>
      <c r="C245" s="25" t="s">
        <v>46</v>
      </c>
      <c r="D245" s="25" t="s">
        <v>39</v>
      </c>
      <c r="E245" s="25" t="s">
        <v>9</v>
      </c>
      <c r="F245" s="26">
        <v>200000</v>
      </c>
    </row>
    <row r="246" spans="1:6" ht="22.5" hidden="1" customHeight="1" x14ac:dyDescent="0.2">
      <c r="A246" s="23">
        <v>46101</v>
      </c>
      <c r="B246" s="24" t="s">
        <v>413</v>
      </c>
      <c r="C246" s="25" t="s">
        <v>46</v>
      </c>
      <c r="D246" s="33" t="s">
        <v>44</v>
      </c>
      <c r="E246" s="25" t="s">
        <v>3</v>
      </c>
      <c r="F246" s="26">
        <v>88000</v>
      </c>
    </row>
    <row r="247" spans="1:6" ht="22.5" hidden="1" customHeight="1" x14ac:dyDescent="0.2">
      <c r="A247" s="23">
        <v>46101</v>
      </c>
      <c r="B247" s="24" t="s">
        <v>415</v>
      </c>
      <c r="C247" s="25" t="s">
        <v>46</v>
      </c>
      <c r="D247" s="25" t="s">
        <v>44</v>
      </c>
      <c r="E247" s="25" t="s">
        <v>9</v>
      </c>
      <c r="F247" s="26">
        <v>84000</v>
      </c>
    </row>
    <row r="248" spans="1:6" ht="22.5" hidden="1" customHeight="1" x14ac:dyDescent="0.2">
      <c r="A248" s="23">
        <v>46101</v>
      </c>
      <c r="B248" s="24" t="s">
        <v>266</v>
      </c>
      <c r="C248" s="25" t="s">
        <v>46</v>
      </c>
      <c r="D248" s="25" t="s">
        <v>44</v>
      </c>
      <c r="E248" s="25" t="s">
        <v>3</v>
      </c>
      <c r="F248" s="26">
        <v>38800</v>
      </c>
    </row>
    <row r="249" spans="1:6" ht="22.5" hidden="1" customHeight="1" x14ac:dyDescent="0.2">
      <c r="A249" s="23">
        <v>46101</v>
      </c>
      <c r="B249" s="24" t="s">
        <v>418</v>
      </c>
      <c r="C249" s="25" t="s">
        <v>43</v>
      </c>
      <c r="D249" s="25" t="s">
        <v>44</v>
      </c>
      <c r="E249" s="25" t="s">
        <v>1</v>
      </c>
      <c r="F249" s="26">
        <v>49900</v>
      </c>
    </row>
    <row r="250" spans="1:6" ht="22.5" hidden="1" customHeight="1" x14ac:dyDescent="0.2">
      <c r="A250" s="23">
        <v>46103</v>
      </c>
      <c r="B250" s="24" t="s">
        <v>419</v>
      </c>
      <c r="C250" s="25" t="s">
        <v>43</v>
      </c>
      <c r="D250" s="25" t="s">
        <v>44</v>
      </c>
      <c r="E250" s="25" t="s">
        <v>5</v>
      </c>
      <c r="F250" s="26">
        <v>27800</v>
      </c>
    </row>
    <row r="251" spans="1:6" ht="22.5" hidden="1" customHeight="1" x14ac:dyDescent="0.2">
      <c r="A251" s="23">
        <v>46104</v>
      </c>
      <c r="B251" s="24" t="s">
        <v>421</v>
      </c>
      <c r="C251" s="25" t="s">
        <v>46</v>
      </c>
      <c r="D251" s="25" t="s">
        <v>39</v>
      </c>
      <c r="E251" s="71" t="s">
        <v>20</v>
      </c>
      <c r="F251" s="26">
        <v>171000</v>
      </c>
    </row>
    <row r="252" spans="1:6" ht="22.5" hidden="1" customHeight="1" x14ac:dyDescent="0.2">
      <c r="A252" s="23">
        <v>46104</v>
      </c>
      <c r="B252" s="24" t="s">
        <v>16</v>
      </c>
      <c r="C252" s="25" t="s">
        <v>46</v>
      </c>
      <c r="D252" s="25" t="s">
        <v>44</v>
      </c>
      <c r="E252" s="25" t="s">
        <v>6</v>
      </c>
      <c r="F252" s="26">
        <v>30000</v>
      </c>
    </row>
    <row r="253" spans="1:6" ht="22.5" hidden="1" customHeight="1" x14ac:dyDescent="0.2">
      <c r="A253" s="23">
        <v>46104</v>
      </c>
      <c r="B253" s="24" t="s">
        <v>424</v>
      </c>
      <c r="C253" s="25" t="s">
        <v>43</v>
      </c>
      <c r="D253" s="25" t="s">
        <v>44</v>
      </c>
      <c r="E253" s="25" t="s">
        <v>1</v>
      </c>
      <c r="F253" s="26">
        <v>39000</v>
      </c>
    </row>
    <row r="254" spans="1:6" ht="22.5" hidden="1" customHeight="1" x14ac:dyDescent="0.2">
      <c r="A254" s="23">
        <v>46104</v>
      </c>
      <c r="B254" s="24" t="s">
        <v>425</v>
      </c>
      <c r="C254" s="25" t="s">
        <v>43</v>
      </c>
      <c r="D254" s="25" t="s">
        <v>39</v>
      </c>
      <c r="E254" s="25" t="s">
        <v>9</v>
      </c>
      <c r="F254" s="26">
        <v>66865</v>
      </c>
    </row>
    <row r="255" spans="1:6" ht="22.5" hidden="1" customHeight="1" x14ac:dyDescent="0.2">
      <c r="A255" s="23">
        <v>46104</v>
      </c>
      <c r="B255" s="24" t="s">
        <v>428</v>
      </c>
      <c r="C255" s="25" t="s">
        <v>46</v>
      </c>
      <c r="D255" s="25" t="s">
        <v>44</v>
      </c>
      <c r="E255" s="25" t="s">
        <v>4</v>
      </c>
      <c r="F255" s="26">
        <v>35000</v>
      </c>
    </row>
    <row r="256" spans="1:6" ht="22.5" hidden="1" customHeight="1" x14ac:dyDescent="0.2">
      <c r="A256" s="23">
        <v>46104</v>
      </c>
      <c r="B256" s="24" t="s">
        <v>90</v>
      </c>
      <c r="C256" s="25" t="s">
        <v>46</v>
      </c>
      <c r="D256" s="25" t="s">
        <v>44</v>
      </c>
      <c r="E256" s="25" t="s">
        <v>2</v>
      </c>
      <c r="F256" s="26">
        <v>15000</v>
      </c>
    </row>
    <row r="257" spans="1:6" ht="22.5" hidden="1" customHeight="1" x14ac:dyDescent="0.2">
      <c r="A257" s="23">
        <v>46105</v>
      </c>
      <c r="B257" s="24" t="s">
        <v>430</v>
      </c>
      <c r="C257" s="25" t="s">
        <v>43</v>
      </c>
      <c r="D257" s="25" t="s">
        <v>44</v>
      </c>
      <c r="E257" s="25" t="s">
        <v>1</v>
      </c>
      <c r="F257" s="26">
        <v>114312</v>
      </c>
    </row>
    <row r="258" spans="1:6" ht="22.5" hidden="1" customHeight="1" x14ac:dyDescent="0.2">
      <c r="A258" s="23">
        <v>46106</v>
      </c>
      <c r="B258" s="24" t="s">
        <v>432</v>
      </c>
      <c r="C258" s="25" t="s">
        <v>46</v>
      </c>
      <c r="D258" s="25" t="s">
        <v>44</v>
      </c>
      <c r="E258" s="25" t="s">
        <v>2</v>
      </c>
      <c r="F258" s="26">
        <v>43000</v>
      </c>
    </row>
    <row r="259" spans="1:6" ht="22.5" hidden="1" customHeight="1" x14ac:dyDescent="0.2">
      <c r="A259" s="23">
        <v>46106</v>
      </c>
      <c r="B259" s="24" t="s">
        <v>16</v>
      </c>
      <c r="C259" s="25" t="s">
        <v>46</v>
      </c>
      <c r="D259" s="25" t="s">
        <v>44</v>
      </c>
      <c r="E259" s="25" t="s">
        <v>6</v>
      </c>
      <c r="F259" s="26">
        <v>20000</v>
      </c>
    </row>
    <row r="260" spans="1:6" ht="22.5" hidden="1" customHeight="1" x14ac:dyDescent="0.2">
      <c r="A260" s="23">
        <v>46106</v>
      </c>
      <c r="B260" s="24" t="s">
        <v>97</v>
      </c>
      <c r="C260" s="25" t="s">
        <v>43</v>
      </c>
      <c r="D260" s="25" t="s">
        <v>44</v>
      </c>
      <c r="E260" s="25" t="s">
        <v>9</v>
      </c>
      <c r="F260" s="26">
        <v>100000</v>
      </c>
    </row>
    <row r="261" spans="1:6" ht="22.5" hidden="1" customHeight="1" x14ac:dyDescent="0.2">
      <c r="A261" s="23">
        <v>46106</v>
      </c>
      <c r="B261" s="24" t="s">
        <v>74</v>
      </c>
      <c r="C261" s="25" t="s">
        <v>46</v>
      </c>
      <c r="D261" s="25" t="s">
        <v>39</v>
      </c>
      <c r="E261" s="25" t="s">
        <v>9</v>
      </c>
      <c r="F261" s="26">
        <v>100000</v>
      </c>
    </row>
    <row r="262" spans="1:6" ht="22.5" hidden="1" customHeight="1" x14ac:dyDescent="0.2">
      <c r="A262" s="23">
        <v>46106</v>
      </c>
      <c r="B262" s="24" t="s">
        <v>437</v>
      </c>
      <c r="C262" s="25" t="s">
        <v>46</v>
      </c>
      <c r="D262" s="25" t="s">
        <v>44</v>
      </c>
      <c r="E262" s="25" t="s">
        <v>1</v>
      </c>
      <c r="F262" s="26">
        <v>42500</v>
      </c>
    </row>
    <row r="263" spans="1:6" ht="22.5" hidden="1" customHeight="1" x14ac:dyDescent="0.2">
      <c r="A263" s="23">
        <v>46107</v>
      </c>
      <c r="B263" s="24" t="s">
        <v>432</v>
      </c>
      <c r="C263" s="25" t="s">
        <v>46</v>
      </c>
      <c r="D263" s="25" t="s">
        <v>44</v>
      </c>
      <c r="E263" s="25" t="s">
        <v>2</v>
      </c>
      <c r="F263" s="26">
        <v>44000</v>
      </c>
    </row>
    <row r="264" spans="1:6" ht="22.5" hidden="1" customHeight="1" x14ac:dyDescent="0.2">
      <c r="A264" s="23">
        <v>46108</v>
      </c>
      <c r="B264" s="24" t="s">
        <v>441</v>
      </c>
      <c r="C264" s="25" t="s">
        <v>43</v>
      </c>
      <c r="D264" s="25" t="s">
        <v>39</v>
      </c>
      <c r="E264" s="71" t="s">
        <v>73</v>
      </c>
      <c r="F264" s="26">
        <v>100000</v>
      </c>
    </row>
    <row r="265" spans="1:6" ht="22.5" hidden="1" customHeight="1" x14ac:dyDescent="0.2">
      <c r="A265" s="23">
        <v>46108</v>
      </c>
      <c r="B265" s="24" t="s">
        <v>97</v>
      </c>
      <c r="C265" s="25" t="s">
        <v>43</v>
      </c>
      <c r="D265" s="25" t="s">
        <v>44</v>
      </c>
      <c r="E265" s="25" t="s">
        <v>9</v>
      </c>
      <c r="F265" s="26">
        <v>200000</v>
      </c>
    </row>
    <row r="266" spans="1:6" ht="22.5" hidden="1" customHeight="1" x14ac:dyDescent="0.2">
      <c r="A266" s="23">
        <v>46108</v>
      </c>
      <c r="B266" s="24" t="s">
        <v>74</v>
      </c>
      <c r="C266" s="25" t="s">
        <v>46</v>
      </c>
      <c r="D266" s="25" t="s">
        <v>39</v>
      </c>
      <c r="E266" s="25" t="s">
        <v>9</v>
      </c>
      <c r="F266" s="26">
        <v>200000</v>
      </c>
    </row>
    <row r="267" spans="1:6" ht="22.5" hidden="1" customHeight="1" x14ac:dyDescent="0.2">
      <c r="A267" s="23">
        <v>46108</v>
      </c>
      <c r="B267" s="24" t="s">
        <v>266</v>
      </c>
      <c r="C267" s="25" t="s">
        <v>46</v>
      </c>
      <c r="D267" s="25" t="s">
        <v>44</v>
      </c>
      <c r="E267" s="25" t="s">
        <v>3</v>
      </c>
      <c r="F267" s="26">
        <v>88000</v>
      </c>
    </row>
    <row r="268" spans="1:6" ht="22.5" hidden="1" customHeight="1" x14ac:dyDescent="0.2">
      <c r="A268" s="23">
        <v>46108</v>
      </c>
      <c r="B268" s="24" t="s">
        <v>445</v>
      </c>
      <c r="C268" s="25" t="s">
        <v>46</v>
      </c>
      <c r="D268" s="25" t="s">
        <v>44</v>
      </c>
      <c r="E268" s="25" t="s">
        <v>2</v>
      </c>
      <c r="F268" s="26">
        <v>5000</v>
      </c>
    </row>
    <row r="269" spans="1:6" ht="22.5" hidden="1" customHeight="1" x14ac:dyDescent="0.2">
      <c r="A269" s="23">
        <v>46107</v>
      </c>
      <c r="B269" s="24" t="s">
        <v>446</v>
      </c>
      <c r="C269" s="25" t="s">
        <v>46</v>
      </c>
      <c r="D269" s="25" t="s">
        <v>44</v>
      </c>
      <c r="E269" s="25" t="s">
        <v>3</v>
      </c>
      <c r="F269" s="26">
        <v>16000</v>
      </c>
    </row>
    <row r="270" spans="1:6" ht="22.5" hidden="1" customHeight="1" x14ac:dyDescent="0.2">
      <c r="A270" s="23">
        <v>46109</v>
      </c>
      <c r="B270" s="24" t="s">
        <v>448</v>
      </c>
      <c r="C270" s="25" t="s">
        <v>43</v>
      </c>
      <c r="D270" s="25" t="s">
        <v>44</v>
      </c>
      <c r="E270" s="25" t="s">
        <v>4</v>
      </c>
      <c r="F270" s="26">
        <v>72015</v>
      </c>
    </row>
    <row r="271" spans="1:6" ht="22.5" hidden="1" customHeight="1" x14ac:dyDescent="0.2">
      <c r="A271" s="23">
        <v>46109</v>
      </c>
      <c r="B271" s="24" t="s">
        <v>450</v>
      </c>
      <c r="C271" s="25" t="s">
        <v>43</v>
      </c>
      <c r="D271" s="25" t="s">
        <v>44</v>
      </c>
      <c r="E271" s="25" t="s">
        <v>1</v>
      </c>
      <c r="F271" s="26">
        <v>32575</v>
      </c>
    </row>
    <row r="272" spans="1:6" ht="22.5" hidden="1" customHeight="1" x14ac:dyDescent="0.2">
      <c r="A272" s="23">
        <v>46108</v>
      </c>
      <c r="B272" s="24" t="s">
        <v>452</v>
      </c>
      <c r="C272" s="25" t="s">
        <v>43</v>
      </c>
      <c r="D272" s="25" t="s">
        <v>44</v>
      </c>
      <c r="E272" s="25" t="s">
        <v>0</v>
      </c>
      <c r="F272" s="26">
        <v>15000</v>
      </c>
    </row>
    <row r="273" spans="1:6" ht="22.5" hidden="1" customHeight="1" x14ac:dyDescent="0.2">
      <c r="A273" s="23">
        <v>46109</v>
      </c>
      <c r="B273" s="24" t="s">
        <v>104</v>
      </c>
      <c r="C273" s="25" t="s">
        <v>46</v>
      </c>
      <c r="D273" s="25" t="s">
        <v>44</v>
      </c>
      <c r="E273" s="25" t="s">
        <v>2</v>
      </c>
      <c r="F273" s="26">
        <v>10000</v>
      </c>
    </row>
    <row r="274" spans="1:6" ht="22.5" hidden="1" customHeight="1" x14ac:dyDescent="0.2">
      <c r="A274" s="23">
        <v>46109</v>
      </c>
      <c r="B274" s="24" t="s">
        <v>372</v>
      </c>
      <c r="C274" s="25" t="s">
        <v>46</v>
      </c>
      <c r="D274" s="25" t="s">
        <v>44</v>
      </c>
      <c r="E274" s="25" t="s">
        <v>6</v>
      </c>
      <c r="F274" s="26">
        <v>25000</v>
      </c>
    </row>
    <row r="275" spans="1:6" ht="22.5" hidden="1" customHeight="1" x14ac:dyDescent="0.2">
      <c r="A275" s="23">
        <v>46109</v>
      </c>
      <c r="B275" s="24" t="s">
        <v>455</v>
      </c>
      <c r="C275" s="25" t="s">
        <v>46</v>
      </c>
      <c r="D275" s="25" t="s">
        <v>44</v>
      </c>
      <c r="E275" s="25" t="s">
        <v>2</v>
      </c>
      <c r="F275" s="26">
        <v>21000</v>
      </c>
    </row>
    <row r="276" spans="1:6" ht="22.5" hidden="1" customHeight="1" x14ac:dyDescent="0.2">
      <c r="A276" s="23">
        <v>46109</v>
      </c>
      <c r="B276" s="24" t="s">
        <v>457</v>
      </c>
      <c r="C276" s="25" t="s">
        <v>46</v>
      </c>
      <c r="D276" s="25" t="s">
        <v>44</v>
      </c>
      <c r="E276" s="25" t="s">
        <v>2</v>
      </c>
      <c r="F276" s="26">
        <v>30000</v>
      </c>
    </row>
    <row r="277" spans="1:6" ht="22.5" hidden="1" customHeight="1" x14ac:dyDescent="0.2">
      <c r="A277" s="23">
        <v>46110</v>
      </c>
      <c r="B277" s="24" t="s">
        <v>459</v>
      </c>
      <c r="C277" s="25" t="s">
        <v>43</v>
      </c>
      <c r="D277" s="25" t="s">
        <v>44</v>
      </c>
      <c r="E277" s="25" t="s">
        <v>0</v>
      </c>
      <c r="F277" s="26">
        <v>20000</v>
      </c>
    </row>
    <row r="278" spans="1:6" ht="22.5" hidden="1" customHeight="1" x14ac:dyDescent="0.2">
      <c r="A278" s="23">
        <v>46110</v>
      </c>
      <c r="B278" s="24" t="s">
        <v>461</v>
      </c>
      <c r="C278" s="25" t="s">
        <v>43</v>
      </c>
      <c r="D278" s="25" t="s">
        <v>39</v>
      </c>
      <c r="E278" s="71" t="s">
        <v>986</v>
      </c>
      <c r="F278" s="26">
        <v>120000</v>
      </c>
    </row>
    <row r="279" spans="1:6" ht="22.5" hidden="1" customHeight="1" x14ac:dyDescent="0.2">
      <c r="A279" s="23">
        <v>46110</v>
      </c>
      <c r="B279" s="24" t="s">
        <v>97</v>
      </c>
      <c r="C279" s="25" t="s">
        <v>43</v>
      </c>
      <c r="D279" s="25" t="s">
        <v>44</v>
      </c>
      <c r="E279" s="25" t="s">
        <v>9</v>
      </c>
      <c r="F279" s="26">
        <v>100000</v>
      </c>
    </row>
    <row r="280" spans="1:6" ht="22.5" hidden="1" customHeight="1" x14ac:dyDescent="0.2">
      <c r="A280" s="23">
        <v>46110</v>
      </c>
      <c r="B280" s="24" t="s">
        <v>74</v>
      </c>
      <c r="C280" s="25" t="s">
        <v>46</v>
      </c>
      <c r="D280" s="25" t="s">
        <v>39</v>
      </c>
      <c r="E280" s="25" t="s">
        <v>9</v>
      </c>
      <c r="F280" s="26">
        <v>100000</v>
      </c>
    </row>
    <row r="281" spans="1:6" ht="22.5" hidden="1" customHeight="1" x14ac:dyDescent="0.2">
      <c r="A281" s="23">
        <v>46110</v>
      </c>
      <c r="B281" s="24" t="s">
        <v>464</v>
      </c>
      <c r="C281" s="25" t="s">
        <v>43</v>
      </c>
      <c r="D281" s="25" t="s">
        <v>44</v>
      </c>
      <c r="E281" s="25" t="s">
        <v>1</v>
      </c>
      <c r="F281" s="26">
        <v>36645</v>
      </c>
    </row>
    <row r="282" spans="1:6" ht="22.5" hidden="1" customHeight="1" x14ac:dyDescent="0.2">
      <c r="A282" s="23">
        <v>46110</v>
      </c>
      <c r="B282" s="24" t="s">
        <v>465</v>
      </c>
      <c r="C282" s="25" t="s">
        <v>46</v>
      </c>
      <c r="D282" s="25" t="s">
        <v>44</v>
      </c>
      <c r="E282" s="25" t="s">
        <v>3</v>
      </c>
      <c r="F282" s="26">
        <v>32000</v>
      </c>
    </row>
    <row r="283" spans="1:6" ht="22.5" hidden="1" customHeight="1" x14ac:dyDescent="0.2">
      <c r="A283" s="23">
        <v>46110</v>
      </c>
      <c r="B283" s="24" t="s">
        <v>466</v>
      </c>
      <c r="C283" s="25" t="s">
        <v>46</v>
      </c>
      <c r="D283" s="25" t="s">
        <v>44</v>
      </c>
      <c r="E283" s="25" t="s">
        <v>2</v>
      </c>
      <c r="F283" s="26">
        <v>23200</v>
      </c>
    </row>
    <row r="284" spans="1:6" ht="22.5" hidden="1" customHeight="1" x14ac:dyDescent="0.2">
      <c r="A284" s="23">
        <v>46110</v>
      </c>
      <c r="B284" s="24" t="s">
        <v>467</v>
      </c>
      <c r="C284" s="25" t="s">
        <v>46</v>
      </c>
      <c r="D284" s="25" t="s">
        <v>44</v>
      </c>
      <c r="E284" s="25" t="s">
        <v>8</v>
      </c>
      <c r="F284" s="26">
        <v>30000</v>
      </c>
    </row>
    <row r="285" spans="1:6" ht="22.5" hidden="1" customHeight="1" x14ac:dyDescent="0.2">
      <c r="A285" s="23">
        <v>46111</v>
      </c>
      <c r="B285" s="24" t="s">
        <v>470</v>
      </c>
      <c r="C285" s="25" t="s">
        <v>46</v>
      </c>
      <c r="D285" s="25" t="s">
        <v>44</v>
      </c>
      <c r="E285" s="25" t="s">
        <v>2</v>
      </c>
      <c r="F285" s="26">
        <v>11000</v>
      </c>
    </row>
    <row r="286" spans="1:6" ht="22.5" hidden="1" customHeight="1" x14ac:dyDescent="0.2">
      <c r="A286" s="23">
        <v>46111</v>
      </c>
      <c r="B286" s="24" t="s">
        <v>471</v>
      </c>
      <c r="C286" s="25" t="s">
        <v>46</v>
      </c>
      <c r="D286" s="25" t="s">
        <v>44</v>
      </c>
      <c r="E286" s="25" t="s">
        <v>2</v>
      </c>
      <c r="F286" s="26">
        <v>10000</v>
      </c>
    </row>
    <row r="287" spans="1:6" ht="22.5" hidden="1" customHeight="1" x14ac:dyDescent="0.2">
      <c r="A287" s="23">
        <v>46112</v>
      </c>
      <c r="B287" s="24" t="s">
        <v>25</v>
      </c>
      <c r="C287" s="25" t="s">
        <v>46</v>
      </c>
      <c r="D287" s="25" t="s">
        <v>44</v>
      </c>
      <c r="E287" s="25" t="s">
        <v>3</v>
      </c>
      <c r="F287" s="26">
        <v>10000</v>
      </c>
    </row>
    <row r="288" spans="1:6" ht="22.5" hidden="1" customHeight="1" x14ac:dyDescent="0.2">
      <c r="A288" s="23">
        <v>46112</v>
      </c>
      <c r="B288" s="24" t="s">
        <v>473</v>
      </c>
      <c r="C288" s="25" t="s">
        <v>46</v>
      </c>
      <c r="D288" s="25" t="s">
        <v>44</v>
      </c>
      <c r="E288" s="25" t="s">
        <v>2</v>
      </c>
      <c r="F288" s="26">
        <v>9000</v>
      </c>
    </row>
    <row r="289" spans="1:6" ht="22.5" hidden="1" customHeight="1" x14ac:dyDescent="0.2">
      <c r="A289" s="23">
        <v>46112</v>
      </c>
      <c r="B289" s="24" t="s">
        <v>474</v>
      </c>
      <c r="C289" s="25" t="s">
        <v>46</v>
      </c>
      <c r="D289" s="25" t="s">
        <v>39</v>
      </c>
      <c r="E289" s="71" t="s">
        <v>20</v>
      </c>
      <c r="F289" s="26">
        <v>5000</v>
      </c>
    </row>
    <row r="290" spans="1:6" ht="22.5" hidden="1" customHeight="1" x14ac:dyDescent="0.2">
      <c r="A290" s="23">
        <v>46112</v>
      </c>
      <c r="B290" s="24" t="s">
        <v>477</v>
      </c>
      <c r="C290" s="25" t="s">
        <v>46</v>
      </c>
      <c r="D290" s="25" t="s">
        <v>44</v>
      </c>
      <c r="E290" s="25" t="s">
        <v>2</v>
      </c>
      <c r="F290" s="26">
        <v>23000</v>
      </c>
    </row>
    <row r="291" spans="1:6" ht="22.5" hidden="1" customHeight="1" x14ac:dyDescent="0.2">
      <c r="A291" s="23">
        <v>46112</v>
      </c>
      <c r="B291" s="24" t="s">
        <v>478</v>
      </c>
      <c r="C291" s="25" t="s">
        <v>43</v>
      </c>
      <c r="D291" s="25" t="s">
        <v>44</v>
      </c>
      <c r="E291" s="25" t="s">
        <v>1</v>
      </c>
      <c r="F291" s="26">
        <v>46700</v>
      </c>
    </row>
    <row r="292" spans="1:6" ht="22.5" hidden="1" customHeight="1" x14ac:dyDescent="0.2">
      <c r="A292" s="23">
        <v>46114</v>
      </c>
      <c r="B292" s="24" t="s">
        <v>73</v>
      </c>
      <c r="C292" s="25" t="s">
        <v>43</v>
      </c>
      <c r="D292" s="25" t="s">
        <v>39</v>
      </c>
      <c r="E292" s="71" t="s">
        <v>73</v>
      </c>
      <c r="F292" s="26">
        <v>1720088</v>
      </c>
    </row>
    <row r="293" spans="1:6" ht="22.5" hidden="1" customHeight="1" x14ac:dyDescent="0.2">
      <c r="A293" s="23">
        <v>46114</v>
      </c>
      <c r="B293" s="24" t="s">
        <v>480</v>
      </c>
      <c r="C293" s="25" t="s">
        <v>46</v>
      </c>
      <c r="D293" s="25" t="s">
        <v>44</v>
      </c>
      <c r="E293" s="25" t="s">
        <v>3</v>
      </c>
      <c r="F293" s="26">
        <v>3300</v>
      </c>
    </row>
    <row r="294" spans="1:6" ht="22.5" hidden="1" customHeight="1" x14ac:dyDescent="0.2">
      <c r="A294" s="23">
        <v>46115</v>
      </c>
      <c r="B294" s="24" t="s">
        <v>481</v>
      </c>
      <c r="C294" s="25" t="s">
        <v>43</v>
      </c>
      <c r="D294" s="25" t="s">
        <v>44</v>
      </c>
      <c r="E294" s="25" t="s">
        <v>3</v>
      </c>
      <c r="F294" s="26">
        <v>34868</v>
      </c>
    </row>
    <row r="295" spans="1:6" ht="22.5" hidden="1" customHeight="1" x14ac:dyDescent="0.2">
      <c r="A295" s="23">
        <v>46115</v>
      </c>
      <c r="B295" s="24" t="s">
        <v>281</v>
      </c>
      <c r="C295" s="25" t="s">
        <v>43</v>
      </c>
      <c r="D295" s="25" t="s">
        <v>44</v>
      </c>
      <c r="E295" s="25" t="s">
        <v>1</v>
      </c>
      <c r="F295" s="26">
        <v>16352</v>
      </c>
    </row>
    <row r="296" spans="1:6" ht="22.5" hidden="1" customHeight="1" x14ac:dyDescent="0.2">
      <c r="A296" s="23">
        <v>46115</v>
      </c>
      <c r="B296" s="24" t="s">
        <v>482</v>
      </c>
      <c r="C296" s="25" t="s">
        <v>43</v>
      </c>
      <c r="D296" s="25" t="s">
        <v>44</v>
      </c>
      <c r="E296" s="25" t="s">
        <v>9</v>
      </c>
      <c r="F296" s="26">
        <v>400000</v>
      </c>
    </row>
    <row r="297" spans="1:6" ht="22.5" hidden="1" customHeight="1" x14ac:dyDescent="0.2">
      <c r="A297" s="23">
        <v>46115</v>
      </c>
      <c r="B297" s="24" t="s">
        <v>484</v>
      </c>
      <c r="C297" s="25" t="s">
        <v>46</v>
      </c>
      <c r="D297" s="25" t="s">
        <v>39</v>
      </c>
      <c r="E297" s="25" t="s">
        <v>9</v>
      </c>
      <c r="F297" s="26">
        <v>400000</v>
      </c>
    </row>
    <row r="298" spans="1:6" ht="22.5" hidden="1" customHeight="1" x14ac:dyDescent="0.2">
      <c r="A298" s="23">
        <v>46115</v>
      </c>
      <c r="B298" s="24" t="s">
        <v>485</v>
      </c>
      <c r="C298" s="25" t="s">
        <v>46</v>
      </c>
      <c r="D298" s="25" t="s">
        <v>44</v>
      </c>
      <c r="E298" s="25" t="s">
        <v>7</v>
      </c>
      <c r="F298" s="26">
        <v>14000</v>
      </c>
    </row>
    <row r="299" spans="1:6" ht="22.5" hidden="1" customHeight="1" x14ac:dyDescent="0.2">
      <c r="A299" s="23">
        <v>46115</v>
      </c>
      <c r="B299" s="24" t="s">
        <v>486</v>
      </c>
      <c r="C299" s="25" t="s">
        <v>46</v>
      </c>
      <c r="D299" s="25" t="s">
        <v>44</v>
      </c>
      <c r="E299" s="25" t="s">
        <v>3</v>
      </c>
      <c r="F299" s="26">
        <v>34000</v>
      </c>
    </row>
    <row r="300" spans="1:6" ht="22.5" hidden="1" customHeight="1" x14ac:dyDescent="0.2">
      <c r="A300" s="23">
        <v>46115</v>
      </c>
      <c r="B300" s="24" t="s">
        <v>488</v>
      </c>
      <c r="C300" s="25" t="s">
        <v>46</v>
      </c>
      <c r="D300" s="25" t="s">
        <v>44</v>
      </c>
      <c r="E300" s="25" t="s">
        <v>3</v>
      </c>
      <c r="F300" s="26">
        <v>115000</v>
      </c>
    </row>
    <row r="301" spans="1:6" ht="22.5" hidden="1" customHeight="1" x14ac:dyDescent="0.2">
      <c r="A301" s="23">
        <v>46115</v>
      </c>
      <c r="B301" s="24" t="s">
        <v>489</v>
      </c>
      <c r="C301" s="25" t="s">
        <v>46</v>
      </c>
      <c r="D301" s="25" t="s">
        <v>44</v>
      </c>
      <c r="E301" s="25" t="s">
        <v>3</v>
      </c>
      <c r="F301" s="26">
        <v>177000</v>
      </c>
    </row>
    <row r="302" spans="1:6" ht="22.5" hidden="1" customHeight="1" x14ac:dyDescent="0.2">
      <c r="A302" s="23">
        <v>46116</v>
      </c>
      <c r="B302" s="24" t="s">
        <v>491</v>
      </c>
      <c r="C302" s="25" t="s">
        <v>46</v>
      </c>
      <c r="D302" s="25" t="s">
        <v>44</v>
      </c>
      <c r="E302" s="25" t="s">
        <v>2</v>
      </c>
      <c r="F302" s="26">
        <v>18000</v>
      </c>
    </row>
    <row r="303" spans="1:6" ht="22.5" hidden="1" customHeight="1" x14ac:dyDescent="0.2">
      <c r="A303" s="23">
        <v>46116</v>
      </c>
      <c r="B303" s="24" t="s">
        <v>492</v>
      </c>
      <c r="C303" s="25" t="s">
        <v>43</v>
      </c>
      <c r="D303" s="25" t="s">
        <v>44</v>
      </c>
      <c r="E303" s="25" t="s">
        <v>1</v>
      </c>
      <c r="F303" s="26">
        <v>42900</v>
      </c>
    </row>
    <row r="304" spans="1:6" ht="22.5" hidden="1" customHeight="1" x14ac:dyDescent="0.2">
      <c r="A304" s="23">
        <v>46116</v>
      </c>
      <c r="B304" s="24" t="s">
        <v>494</v>
      </c>
      <c r="C304" s="25" t="s">
        <v>43</v>
      </c>
      <c r="D304" s="25" t="s">
        <v>44</v>
      </c>
      <c r="E304" s="25" t="s">
        <v>7</v>
      </c>
      <c r="F304" s="26">
        <v>38300</v>
      </c>
    </row>
    <row r="305" spans="1:6" ht="22.5" hidden="1" customHeight="1" x14ac:dyDescent="0.2">
      <c r="A305" s="23">
        <v>46116</v>
      </c>
      <c r="B305" s="24" t="s">
        <v>495</v>
      </c>
      <c r="C305" s="25" t="s">
        <v>43</v>
      </c>
      <c r="D305" s="25" t="s">
        <v>44</v>
      </c>
      <c r="E305" s="25" t="s">
        <v>1</v>
      </c>
      <c r="F305" s="26">
        <v>32000</v>
      </c>
    </row>
    <row r="306" spans="1:6" ht="22.5" hidden="1" customHeight="1" x14ac:dyDescent="0.2">
      <c r="A306" s="23">
        <v>46116</v>
      </c>
      <c r="B306" s="24" t="s">
        <v>496</v>
      </c>
      <c r="C306" s="25" t="s">
        <v>46</v>
      </c>
      <c r="D306" s="25" t="s">
        <v>44</v>
      </c>
      <c r="E306" s="25" t="s">
        <v>6</v>
      </c>
      <c r="F306" s="26">
        <v>15000</v>
      </c>
    </row>
    <row r="307" spans="1:6" ht="22.5" hidden="1" customHeight="1" x14ac:dyDescent="0.2">
      <c r="A307" s="23">
        <v>46116</v>
      </c>
      <c r="B307" s="24" t="s">
        <v>497</v>
      </c>
      <c r="C307" s="25" t="s">
        <v>46</v>
      </c>
      <c r="D307" s="25" t="s">
        <v>44</v>
      </c>
      <c r="E307" s="25" t="s">
        <v>2</v>
      </c>
      <c r="F307" s="26">
        <v>12000</v>
      </c>
    </row>
    <row r="308" spans="1:6" ht="22.5" hidden="1" customHeight="1" x14ac:dyDescent="0.2">
      <c r="A308" s="23">
        <v>46116</v>
      </c>
      <c r="B308" s="24" t="s">
        <v>499</v>
      </c>
      <c r="C308" s="25" t="s">
        <v>43</v>
      </c>
      <c r="D308" s="25" t="s">
        <v>44</v>
      </c>
      <c r="E308" s="25" t="s">
        <v>9</v>
      </c>
      <c r="F308" s="26">
        <v>100000</v>
      </c>
    </row>
    <row r="309" spans="1:6" ht="22.5" hidden="1" customHeight="1" x14ac:dyDescent="0.2">
      <c r="A309" s="23">
        <v>46116</v>
      </c>
      <c r="B309" s="24" t="s">
        <v>484</v>
      </c>
      <c r="C309" s="25" t="s">
        <v>46</v>
      </c>
      <c r="D309" s="25" t="s">
        <v>39</v>
      </c>
      <c r="E309" s="25" t="s">
        <v>9</v>
      </c>
      <c r="F309" s="26">
        <v>100000</v>
      </c>
    </row>
    <row r="310" spans="1:6" ht="22.5" hidden="1" customHeight="1" x14ac:dyDescent="0.2">
      <c r="A310" s="23">
        <v>46116</v>
      </c>
      <c r="B310" s="24" t="s">
        <v>502</v>
      </c>
      <c r="C310" s="25" t="s">
        <v>46</v>
      </c>
      <c r="D310" s="25" t="s">
        <v>44</v>
      </c>
      <c r="E310" s="25" t="s">
        <v>6</v>
      </c>
      <c r="F310" s="26">
        <v>30000</v>
      </c>
    </row>
    <row r="311" spans="1:6" ht="22.5" hidden="1" customHeight="1" x14ac:dyDescent="0.2">
      <c r="A311" s="23">
        <v>46116</v>
      </c>
      <c r="B311" s="24" t="s">
        <v>504</v>
      </c>
      <c r="C311" s="25" t="s">
        <v>46</v>
      </c>
      <c r="D311" s="25" t="s">
        <v>44</v>
      </c>
      <c r="E311" s="25" t="s">
        <v>2</v>
      </c>
      <c r="F311" s="26">
        <v>20000</v>
      </c>
    </row>
    <row r="312" spans="1:6" ht="22.5" hidden="1" customHeight="1" x14ac:dyDescent="0.2">
      <c r="A312" s="23">
        <v>46116</v>
      </c>
      <c r="B312" s="24" t="s">
        <v>505</v>
      </c>
      <c r="C312" s="25" t="s">
        <v>43</v>
      </c>
      <c r="D312" s="25" t="s">
        <v>44</v>
      </c>
      <c r="E312" s="25" t="s">
        <v>4</v>
      </c>
      <c r="F312" s="26">
        <v>19900</v>
      </c>
    </row>
    <row r="313" spans="1:6" ht="22.5" hidden="1" customHeight="1" x14ac:dyDescent="0.2">
      <c r="A313" s="23">
        <v>46116</v>
      </c>
      <c r="B313" s="24" t="s">
        <v>506</v>
      </c>
      <c r="C313" s="25" t="s">
        <v>43</v>
      </c>
      <c r="D313" s="25" t="s">
        <v>44</v>
      </c>
      <c r="E313" s="25" t="s">
        <v>3</v>
      </c>
      <c r="F313" s="26">
        <v>12500</v>
      </c>
    </row>
    <row r="314" spans="1:6" ht="22.5" hidden="1" customHeight="1" x14ac:dyDescent="0.2">
      <c r="A314" s="23">
        <v>46116</v>
      </c>
      <c r="B314" s="24" t="s">
        <v>507</v>
      </c>
      <c r="C314" s="25" t="s">
        <v>43</v>
      </c>
      <c r="D314" s="25" t="s">
        <v>44</v>
      </c>
      <c r="E314" s="25" t="s">
        <v>5</v>
      </c>
      <c r="F314" s="26">
        <v>13500</v>
      </c>
    </row>
    <row r="315" spans="1:6" ht="22.5" hidden="1" customHeight="1" x14ac:dyDescent="0.2">
      <c r="A315" s="23">
        <v>46116</v>
      </c>
      <c r="B315" s="24" t="s">
        <v>509</v>
      </c>
      <c r="C315" s="25" t="s">
        <v>43</v>
      </c>
      <c r="D315" s="25" t="s">
        <v>44</v>
      </c>
      <c r="E315" s="25" t="s">
        <v>2</v>
      </c>
      <c r="F315" s="26">
        <v>4800</v>
      </c>
    </row>
    <row r="316" spans="1:6" ht="22.5" hidden="1" customHeight="1" x14ac:dyDescent="0.2">
      <c r="A316" s="23">
        <v>46118</v>
      </c>
      <c r="B316" s="24" t="s">
        <v>68</v>
      </c>
      <c r="C316" s="25" t="s">
        <v>46</v>
      </c>
      <c r="D316" s="25" t="s">
        <v>44</v>
      </c>
      <c r="E316" s="25" t="s">
        <v>3</v>
      </c>
      <c r="F316" s="26">
        <v>5000</v>
      </c>
    </row>
    <row r="317" spans="1:6" ht="22.5" hidden="1" customHeight="1" x14ac:dyDescent="0.2">
      <c r="A317" s="23">
        <v>46119</v>
      </c>
      <c r="B317" s="24" t="s">
        <v>235</v>
      </c>
      <c r="C317" s="25" t="s">
        <v>46</v>
      </c>
      <c r="D317" s="25" t="s">
        <v>44</v>
      </c>
      <c r="E317" s="25" t="s">
        <v>2</v>
      </c>
      <c r="F317" s="26">
        <v>5000</v>
      </c>
    </row>
    <row r="318" spans="1:6" ht="22.5" hidden="1" customHeight="1" x14ac:dyDescent="0.2">
      <c r="A318" s="23">
        <v>46120</v>
      </c>
      <c r="B318" s="24" t="s">
        <v>502</v>
      </c>
      <c r="C318" s="25" t="s">
        <v>46</v>
      </c>
      <c r="D318" s="25" t="s">
        <v>44</v>
      </c>
      <c r="E318" s="25" t="s">
        <v>6</v>
      </c>
      <c r="F318" s="26">
        <v>30000</v>
      </c>
    </row>
    <row r="319" spans="1:6" ht="22.5" hidden="1" customHeight="1" x14ac:dyDescent="0.2">
      <c r="A319" s="23">
        <v>46121</v>
      </c>
      <c r="B319" s="24" t="s">
        <v>497</v>
      </c>
      <c r="C319" s="25" t="s">
        <v>46</v>
      </c>
      <c r="D319" s="25" t="s">
        <v>44</v>
      </c>
      <c r="E319" s="25" t="s">
        <v>2</v>
      </c>
      <c r="F319" s="26">
        <v>10000</v>
      </c>
    </row>
    <row r="320" spans="1:6" ht="22.5" hidden="1" customHeight="1" x14ac:dyDescent="0.2">
      <c r="A320" s="23">
        <v>46121</v>
      </c>
      <c r="B320" s="24" t="s">
        <v>516</v>
      </c>
      <c r="C320" s="25" t="s">
        <v>46</v>
      </c>
      <c r="D320" s="25" t="s">
        <v>44</v>
      </c>
      <c r="E320" s="25" t="s">
        <v>2</v>
      </c>
      <c r="F320" s="26">
        <v>10000</v>
      </c>
    </row>
    <row r="321" spans="1:6" ht="22.5" hidden="1" customHeight="1" x14ac:dyDescent="0.2">
      <c r="A321" s="23">
        <v>46118</v>
      </c>
      <c r="B321" s="24" t="s">
        <v>517</v>
      </c>
      <c r="C321" s="25" t="s">
        <v>46</v>
      </c>
      <c r="D321" s="25" t="s">
        <v>44</v>
      </c>
      <c r="E321" s="25" t="s">
        <v>2</v>
      </c>
      <c r="F321" s="26">
        <v>5000</v>
      </c>
    </row>
    <row r="322" spans="1:6" ht="22.5" hidden="1" customHeight="1" x14ac:dyDescent="0.2">
      <c r="A322" s="23">
        <v>46122</v>
      </c>
      <c r="B322" s="24" t="s">
        <v>519</v>
      </c>
      <c r="C322" s="25" t="s">
        <v>43</v>
      </c>
      <c r="D322" s="25" t="s">
        <v>44</v>
      </c>
      <c r="E322" s="25" t="s">
        <v>1</v>
      </c>
      <c r="F322" s="26">
        <v>55867</v>
      </c>
    </row>
    <row r="323" spans="1:6" ht="22.5" hidden="1" customHeight="1" x14ac:dyDescent="0.2">
      <c r="A323" s="23">
        <v>46122</v>
      </c>
      <c r="B323" s="24" t="s">
        <v>520</v>
      </c>
      <c r="C323" s="25" t="s">
        <v>43</v>
      </c>
      <c r="D323" s="25" t="s">
        <v>44</v>
      </c>
      <c r="E323" s="25" t="s">
        <v>5</v>
      </c>
      <c r="F323" s="26">
        <v>19996</v>
      </c>
    </row>
    <row r="324" spans="1:6" ht="22.5" hidden="1" customHeight="1" x14ac:dyDescent="0.2">
      <c r="A324" s="23">
        <v>46122</v>
      </c>
      <c r="B324" s="24" t="s">
        <v>482</v>
      </c>
      <c r="C324" s="25" t="s">
        <v>43</v>
      </c>
      <c r="D324" s="25" t="s">
        <v>44</v>
      </c>
      <c r="E324" s="25" t="s">
        <v>9</v>
      </c>
      <c r="F324" s="26">
        <v>200000</v>
      </c>
    </row>
    <row r="325" spans="1:6" ht="22.5" hidden="1" customHeight="1" x14ac:dyDescent="0.2">
      <c r="A325" s="23">
        <v>46122</v>
      </c>
      <c r="B325" s="24" t="s">
        <v>484</v>
      </c>
      <c r="C325" s="25" t="s">
        <v>46</v>
      </c>
      <c r="D325" s="25" t="s">
        <v>39</v>
      </c>
      <c r="E325" s="25" t="s">
        <v>9</v>
      </c>
      <c r="F325" s="26">
        <v>200000</v>
      </c>
    </row>
    <row r="326" spans="1:6" ht="22.5" hidden="1" customHeight="1" x14ac:dyDescent="0.2">
      <c r="A326" s="23">
        <v>46122</v>
      </c>
      <c r="B326" s="24" t="s">
        <v>524</v>
      </c>
      <c r="C326" s="25" t="s">
        <v>46</v>
      </c>
      <c r="D326" s="25" t="s">
        <v>44</v>
      </c>
      <c r="E326" s="25" t="s">
        <v>3</v>
      </c>
      <c r="F326" s="26">
        <v>178000</v>
      </c>
    </row>
    <row r="327" spans="1:6" ht="22.5" hidden="1" customHeight="1" x14ac:dyDescent="0.2">
      <c r="A327" s="23">
        <v>46124</v>
      </c>
      <c r="B327" s="24" t="s">
        <v>526</v>
      </c>
      <c r="C327" s="25" t="s">
        <v>46</v>
      </c>
      <c r="D327" s="25" t="s">
        <v>44</v>
      </c>
      <c r="E327" s="25" t="s">
        <v>6</v>
      </c>
      <c r="F327" s="26">
        <v>22000</v>
      </c>
    </row>
    <row r="328" spans="1:6" ht="22.5" hidden="1" customHeight="1" x14ac:dyDescent="0.2">
      <c r="A328" s="23">
        <v>46124</v>
      </c>
      <c r="B328" s="24" t="s">
        <v>482</v>
      </c>
      <c r="C328" s="25" t="s">
        <v>43</v>
      </c>
      <c r="D328" s="25" t="s">
        <v>44</v>
      </c>
      <c r="E328" s="25" t="s">
        <v>9</v>
      </c>
      <c r="F328" s="26">
        <v>100000</v>
      </c>
    </row>
    <row r="329" spans="1:6" ht="22.5" hidden="1" customHeight="1" x14ac:dyDescent="0.2">
      <c r="A329" s="23">
        <v>46124</v>
      </c>
      <c r="B329" s="24" t="s">
        <v>484</v>
      </c>
      <c r="C329" s="25" t="s">
        <v>46</v>
      </c>
      <c r="D329" s="25" t="s">
        <v>39</v>
      </c>
      <c r="E329" s="25" t="s">
        <v>9</v>
      </c>
      <c r="F329" s="26">
        <v>100000</v>
      </c>
    </row>
    <row r="330" spans="1:6" ht="22.5" hidden="1" customHeight="1" x14ac:dyDescent="0.2">
      <c r="A330" s="23">
        <v>46124</v>
      </c>
      <c r="B330" s="24" t="s">
        <v>480</v>
      </c>
      <c r="C330" s="25" t="s">
        <v>46</v>
      </c>
      <c r="D330" s="25" t="s">
        <v>44</v>
      </c>
      <c r="E330" s="25" t="s">
        <v>3</v>
      </c>
      <c r="F330" s="26">
        <v>4000</v>
      </c>
    </row>
    <row r="331" spans="1:6" ht="22.5" hidden="1" customHeight="1" x14ac:dyDescent="0.2">
      <c r="A331" s="23">
        <v>46124</v>
      </c>
      <c r="B331" s="24" t="s">
        <v>230</v>
      </c>
      <c r="C331" s="25" t="s">
        <v>46</v>
      </c>
      <c r="D331" s="25" t="s">
        <v>44</v>
      </c>
      <c r="E331" s="25" t="s">
        <v>2</v>
      </c>
      <c r="F331" s="26">
        <v>18000</v>
      </c>
    </row>
    <row r="332" spans="1:6" ht="22.5" hidden="1" customHeight="1" x14ac:dyDescent="0.2">
      <c r="A332" s="23">
        <v>46124</v>
      </c>
      <c r="B332" s="24" t="s">
        <v>530</v>
      </c>
      <c r="C332" s="25" t="s">
        <v>46</v>
      </c>
      <c r="D332" s="25" t="s">
        <v>44</v>
      </c>
      <c r="E332" s="25" t="s">
        <v>3</v>
      </c>
      <c r="F332" s="26">
        <v>27000</v>
      </c>
    </row>
    <row r="333" spans="1:6" ht="22.5" hidden="1" customHeight="1" x14ac:dyDescent="0.2">
      <c r="A333" s="23">
        <v>46125</v>
      </c>
      <c r="B333" s="24" t="s">
        <v>531</v>
      </c>
      <c r="C333" s="25" t="s">
        <v>46</v>
      </c>
      <c r="D333" s="25" t="s">
        <v>44</v>
      </c>
      <c r="E333" s="25" t="s">
        <v>3</v>
      </c>
      <c r="F333" s="26">
        <v>51000</v>
      </c>
    </row>
    <row r="334" spans="1:6" ht="22.5" hidden="1" customHeight="1" x14ac:dyDescent="0.2">
      <c r="A334" s="23">
        <v>46125</v>
      </c>
      <c r="B334" s="24" t="s">
        <v>533</v>
      </c>
      <c r="C334" s="25" t="s">
        <v>43</v>
      </c>
      <c r="D334" s="25" t="s">
        <v>44</v>
      </c>
      <c r="E334" s="25" t="s">
        <v>1</v>
      </c>
      <c r="F334" s="26">
        <v>15200</v>
      </c>
    </row>
    <row r="335" spans="1:6" ht="22.5" hidden="1" customHeight="1" x14ac:dyDescent="0.2">
      <c r="A335" s="23">
        <v>46127</v>
      </c>
      <c r="B335" s="24" t="s">
        <v>535</v>
      </c>
      <c r="C335" s="25" t="s">
        <v>43</v>
      </c>
      <c r="D335" s="25" t="s">
        <v>44</v>
      </c>
      <c r="E335" s="25" t="s">
        <v>1</v>
      </c>
      <c r="F335" s="26">
        <v>30000</v>
      </c>
    </row>
    <row r="336" spans="1:6" ht="22.5" hidden="1" customHeight="1" x14ac:dyDescent="0.2">
      <c r="A336" s="23">
        <v>46128</v>
      </c>
      <c r="B336" s="24" t="s">
        <v>536</v>
      </c>
      <c r="C336" s="25" t="s">
        <v>46</v>
      </c>
      <c r="D336" s="25" t="s">
        <v>44</v>
      </c>
      <c r="E336" s="25" t="s">
        <v>6</v>
      </c>
      <c r="F336" s="26">
        <v>20000</v>
      </c>
    </row>
    <row r="337" spans="1:6" ht="22.5" hidden="1" customHeight="1" x14ac:dyDescent="0.2">
      <c r="A337" s="23">
        <v>46128</v>
      </c>
      <c r="B337" s="24" t="s">
        <v>380</v>
      </c>
      <c r="C337" s="25" t="s">
        <v>46</v>
      </c>
      <c r="D337" s="25" t="s">
        <v>44</v>
      </c>
      <c r="E337" s="25" t="s">
        <v>2</v>
      </c>
      <c r="F337" s="26">
        <v>20000</v>
      </c>
    </row>
    <row r="338" spans="1:6" ht="22.5" hidden="1" customHeight="1" x14ac:dyDescent="0.2">
      <c r="A338" s="23">
        <v>46127</v>
      </c>
      <c r="B338" s="24" t="s">
        <v>482</v>
      </c>
      <c r="C338" s="25" t="s">
        <v>43</v>
      </c>
      <c r="D338" s="25" t="s">
        <v>44</v>
      </c>
      <c r="E338" s="25" t="s">
        <v>9</v>
      </c>
      <c r="F338" s="26">
        <v>100000</v>
      </c>
    </row>
    <row r="339" spans="1:6" ht="22.5" hidden="1" customHeight="1" x14ac:dyDescent="0.2">
      <c r="A339" s="23">
        <v>46127</v>
      </c>
      <c r="B339" s="24" t="s">
        <v>484</v>
      </c>
      <c r="C339" s="25" t="s">
        <v>46</v>
      </c>
      <c r="D339" s="25" t="s">
        <v>39</v>
      </c>
      <c r="E339" s="25" t="s">
        <v>9</v>
      </c>
      <c r="F339" s="26">
        <v>100000</v>
      </c>
    </row>
    <row r="340" spans="1:6" ht="22.5" hidden="1" customHeight="1" x14ac:dyDescent="0.2">
      <c r="A340" s="23">
        <v>46127</v>
      </c>
      <c r="B340" s="24" t="s">
        <v>538</v>
      </c>
      <c r="C340" s="25" t="s">
        <v>46</v>
      </c>
      <c r="D340" s="25" t="s">
        <v>44</v>
      </c>
      <c r="E340" s="25" t="s">
        <v>2</v>
      </c>
      <c r="F340" s="26">
        <v>49000</v>
      </c>
    </row>
    <row r="341" spans="1:6" ht="22.5" hidden="1" customHeight="1" x14ac:dyDescent="0.2">
      <c r="A341" s="23">
        <v>46128</v>
      </c>
      <c r="B341" s="24" t="s">
        <v>539</v>
      </c>
      <c r="C341" s="25" t="s">
        <v>43</v>
      </c>
      <c r="D341" s="25" t="s">
        <v>44</v>
      </c>
      <c r="E341" s="25" t="s">
        <v>0</v>
      </c>
      <c r="F341" s="26">
        <v>6000</v>
      </c>
    </row>
    <row r="342" spans="1:6" ht="22.5" hidden="1" customHeight="1" x14ac:dyDescent="0.2">
      <c r="A342" s="23">
        <v>46129</v>
      </c>
      <c r="B342" s="24" t="s">
        <v>540</v>
      </c>
      <c r="C342" s="25" t="s">
        <v>43</v>
      </c>
      <c r="D342" s="25" t="s">
        <v>44</v>
      </c>
      <c r="E342" s="25" t="s">
        <v>0</v>
      </c>
      <c r="F342" s="26">
        <v>500</v>
      </c>
    </row>
    <row r="343" spans="1:6" ht="22.5" hidden="1" customHeight="1" x14ac:dyDescent="0.2">
      <c r="A343" s="23">
        <v>46129</v>
      </c>
      <c r="B343" s="24" t="s">
        <v>541</v>
      </c>
      <c r="C343" s="25" t="s">
        <v>43</v>
      </c>
      <c r="D343" s="25" t="s">
        <v>44</v>
      </c>
      <c r="E343" s="25" t="s">
        <v>5</v>
      </c>
      <c r="F343" s="26">
        <v>13900</v>
      </c>
    </row>
    <row r="344" spans="1:6" ht="22.5" hidden="1" customHeight="1" x14ac:dyDescent="0.2">
      <c r="A344" s="23">
        <v>46129</v>
      </c>
      <c r="B344" s="24" t="s">
        <v>542</v>
      </c>
      <c r="C344" s="25" t="s">
        <v>43</v>
      </c>
      <c r="D344" s="25" t="s">
        <v>44</v>
      </c>
      <c r="E344" s="25" t="s">
        <v>3</v>
      </c>
      <c r="F344" s="26">
        <v>8000</v>
      </c>
    </row>
    <row r="345" spans="1:6" ht="22.5" hidden="1" customHeight="1" x14ac:dyDescent="0.2">
      <c r="A345" s="23">
        <v>46129</v>
      </c>
      <c r="B345" s="24" t="s">
        <v>543</v>
      </c>
      <c r="C345" s="25" t="s">
        <v>43</v>
      </c>
      <c r="D345" s="25" t="s">
        <v>44</v>
      </c>
      <c r="E345" s="25" t="s">
        <v>9</v>
      </c>
      <c r="F345" s="26">
        <v>150000</v>
      </c>
    </row>
    <row r="346" spans="1:6" ht="22.5" hidden="1" customHeight="1" x14ac:dyDescent="0.2">
      <c r="A346" s="23">
        <v>46129</v>
      </c>
      <c r="B346" s="24" t="s">
        <v>544</v>
      </c>
      <c r="C346" s="25" t="s">
        <v>46</v>
      </c>
      <c r="D346" s="25" t="s">
        <v>39</v>
      </c>
      <c r="E346" s="25" t="s">
        <v>9</v>
      </c>
      <c r="F346" s="26">
        <v>150000</v>
      </c>
    </row>
    <row r="347" spans="1:6" ht="22.5" hidden="1" customHeight="1" x14ac:dyDescent="0.2">
      <c r="A347" s="23">
        <v>46129</v>
      </c>
      <c r="B347" s="24" t="s">
        <v>545</v>
      </c>
      <c r="C347" s="25" t="s">
        <v>46</v>
      </c>
      <c r="D347" s="25" t="s">
        <v>44</v>
      </c>
      <c r="E347" s="25" t="s">
        <v>3</v>
      </c>
      <c r="F347" s="26">
        <v>150000</v>
      </c>
    </row>
    <row r="348" spans="1:6" ht="22.5" hidden="1" customHeight="1" x14ac:dyDescent="0.2">
      <c r="A348" s="23">
        <v>46130</v>
      </c>
      <c r="B348" s="24" t="s">
        <v>480</v>
      </c>
      <c r="C348" s="25" t="s">
        <v>46</v>
      </c>
      <c r="D348" s="25" t="s">
        <v>44</v>
      </c>
      <c r="E348" s="25" t="s">
        <v>3</v>
      </c>
      <c r="F348" s="26">
        <v>4000</v>
      </c>
    </row>
    <row r="349" spans="1:6" ht="22.5" hidden="1" customHeight="1" x14ac:dyDescent="0.2">
      <c r="A349" s="23">
        <v>46129</v>
      </c>
      <c r="B349" s="24" t="s">
        <v>546</v>
      </c>
      <c r="C349" s="25" t="s">
        <v>43</v>
      </c>
      <c r="D349" s="25" t="s">
        <v>44</v>
      </c>
      <c r="E349" s="25" t="s">
        <v>9</v>
      </c>
      <c r="F349" s="26">
        <v>50000</v>
      </c>
    </row>
    <row r="350" spans="1:6" ht="22.5" hidden="1" customHeight="1" x14ac:dyDescent="0.2">
      <c r="A350" s="23">
        <v>46131</v>
      </c>
      <c r="B350" s="24" t="s">
        <v>547</v>
      </c>
      <c r="C350" s="25" t="s">
        <v>43</v>
      </c>
      <c r="D350" s="25" t="s">
        <v>39</v>
      </c>
      <c r="E350" s="25" t="s">
        <v>9</v>
      </c>
      <c r="F350" s="26">
        <v>17500</v>
      </c>
    </row>
    <row r="351" spans="1:6" ht="22.5" hidden="1" customHeight="1" x14ac:dyDescent="0.2">
      <c r="A351" s="23">
        <v>46131</v>
      </c>
      <c r="B351" s="24" t="s">
        <v>548</v>
      </c>
      <c r="C351" s="25" t="s">
        <v>43</v>
      </c>
      <c r="D351" s="25" t="s">
        <v>44</v>
      </c>
      <c r="E351" s="25" t="s">
        <v>2</v>
      </c>
      <c r="F351" s="26">
        <v>50000</v>
      </c>
    </row>
    <row r="352" spans="1:6" ht="22.5" hidden="1" customHeight="1" x14ac:dyDescent="0.2">
      <c r="A352" s="23">
        <v>46132</v>
      </c>
      <c r="B352" s="24" t="s">
        <v>549</v>
      </c>
      <c r="C352" s="25" t="s">
        <v>43</v>
      </c>
      <c r="D352" s="25" t="s">
        <v>44</v>
      </c>
      <c r="E352" s="25" t="s">
        <v>1</v>
      </c>
      <c r="F352" s="26">
        <v>90400</v>
      </c>
    </row>
    <row r="353" spans="1:6" ht="22.5" hidden="1" customHeight="1" x14ac:dyDescent="0.2">
      <c r="A353" s="23">
        <v>46132</v>
      </c>
      <c r="B353" s="24" t="s">
        <v>482</v>
      </c>
      <c r="C353" s="25" t="s">
        <v>43</v>
      </c>
      <c r="D353" s="25" t="s">
        <v>44</v>
      </c>
      <c r="E353" s="25" t="s">
        <v>9</v>
      </c>
      <c r="F353" s="26">
        <v>100000</v>
      </c>
    </row>
    <row r="354" spans="1:6" ht="22.5" hidden="1" customHeight="1" x14ac:dyDescent="0.2">
      <c r="A354" s="23">
        <v>46132</v>
      </c>
      <c r="B354" s="24" t="s">
        <v>550</v>
      </c>
      <c r="C354" s="25" t="s">
        <v>46</v>
      </c>
      <c r="D354" s="25" t="s">
        <v>39</v>
      </c>
      <c r="E354" s="25" t="s">
        <v>9</v>
      </c>
      <c r="F354" s="26">
        <v>100000</v>
      </c>
    </row>
    <row r="355" spans="1:6" ht="22.5" hidden="1" customHeight="1" x14ac:dyDescent="0.2">
      <c r="A355" s="23">
        <v>46132</v>
      </c>
      <c r="B355" s="24" t="s">
        <v>551</v>
      </c>
      <c r="C355" s="25" t="s">
        <v>46</v>
      </c>
      <c r="D355" s="25" t="s">
        <v>44</v>
      </c>
      <c r="E355" s="25" t="s">
        <v>2</v>
      </c>
      <c r="F355" s="26">
        <v>46000</v>
      </c>
    </row>
    <row r="356" spans="1:6" ht="22.5" hidden="1" customHeight="1" x14ac:dyDescent="0.2">
      <c r="A356" s="23">
        <v>46133</v>
      </c>
      <c r="B356" s="24" t="s">
        <v>552</v>
      </c>
      <c r="C356" s="25" t="s">
        <v>46</v>
      </c>
      <c r="D356" s="25" t="s">
        <v>44</v>
      </c>
      <c r="E356" s="25" t="s">
        <v>3</v>
      </c>
      <c r="F356" s="26">
        <v>26000</v>
      </c>
    </row>
    <row r="357" spans="1:6" ht="22.5" hidden="1" customHeight="1" x14ac:dyDescent="0.2">
      <c r="A357" s="23">
        <v>46133</v>
      </c>
      <c r="B357" s="24" t="s">
        <v>553</v>
      </c>
      <c r="C357" s="25" t="s">
        <v>46</v>
      </c>
      <c r="D357" s="25" t="s">
        <v>44</v>
      </c>
      <c r="E357" s="25" t="s">
        <v>3</v>
      </c>
      <c r="F357" s="26">
        <v>5000</v>
      </c>
    </row>
    <row r="358" spans="1:6" ht="22.5" hidden="1" customHeight="1" x14ac:dyDescent="0.2">
      <c r="A358" s="23">
        <v>46133</v>
      </c>
      <c r="B358" s="24" t="s">
        <v>526</v>
      </c>
      <c r="C358" s="25" t="s">
        <v>46</v>
      </c>
      <c r="D358" s="25" t="s">
        <v>44</v>
      </c>
      <c r="E358" s="25" t="s">
        <v>6</v>
      </c>
      <c r="F358" s="26">
        <v>20000</v>
      </c>
    </row>
    <row r="359" spans="1:6" ht="22.5" hidden="1" customHeight="1" x14ac:dyDescent="0.2">
      <c r="A359" s="23">
        <v>46134</v>
      </c>
      <c r="B359" s="24" t="s">
        <v>235</v>
      </c>
      <c r="C359" s="25" t="s">
        <v>46</v>
      </c>
      <c r="D359" s="25" t="s">
        <v>44</v>
      </c>
      <c r="E359" s="25" t="s">
        <v>2</v>
      </c>
      <c r="F359" s="26">
        <v>3000</v>
      </c>
    </row>
    <row r="360" spans="1:6" ht="22.5" hidden="1" customHeight="1" x14ac:dyDescent="0.2">
      <c r="A360" s="23">
        <v>46130</v>
      </c>
      <c r="B360" s="24" t="s">
        <v>554</v>
      </c>
      <c r="C360" s="25" t="s">
        <v>46</v>
      </c>
      <c r="D360" s="25" t="s">
        <v>44</v>
      </c>
      <c r="E360" s="25" t="s">
        <v>2</v>
      </c>
      <c r="F360" s="26">
        <v>7000</v>
      </c>
    </row>
    <row r="361" spans="1:6" ht="22.5" hidden="1" customHeight="1" x14ac:dyDescent="0.2">
      <c r="A361" s="23">
        <v>46134</v>
      </c>
      <c r="B361" s="24" t="s">
        <v>461</v>
      </c>
      <c r="C361" s="25" t="s">
        <v>43</v>
      </c>
      <c r="D361" s="25" t="s">
        <v>39</v>
      </c>
      <c r="E361" s="71" t="s">
        <v>986</v>
      </c>
      <c r="F361" s="26">
        <v>181000</v>
      </c>
    </row>
    <row r="362" spans="1:6" ht="22.5" hidden="1" customHeight="1" x14ac:dyDescent="0.2">
      <c r="A362" s="23">
        <v>46134</v>
      </c>
      <c r="B362" s="24" t="s">
        <v>76</v>
      </c>
      <c r="C362" s="25" t="s">
        <v>43</v>
      </c>
      <c r="D362" s="25" t="s">
        <v>44</v>
      </c>
      <c r="E362" s="25" t="s">
        <v>9</v>
      </c>
      <c r="F362" s="26">
        <v>200000</v>
      </c>
    </row>
    <row r="363" spans="1:6" ht="22.5" hidden="1" customHeight="1" x14ac:dyDescent="0.2">
      <c r="A363" s="23">
        <v>46134</v>
      </c>
      <c r="B363" s="24" t="s">
        <v>484</v>
      </c>
      <c r="C363" s="25" t="s">
        <v>46</v>
      </c>
      <c r="D363" s="25" t="s">
        <v>39</v>
      </c>
      <c r="E363" s="25" t="s">
        <v>9</v>
      </c>
      <c r="F363" s="26">
        <v>200000</v>
      </c>
    </row>
    <row r="364" spans="1:6" ht="22.5" hidden="1" customHeight="1" x14ac:dyDescent="0.2">
      <c r="A364" s="23">
        <v>46134</v>
      </c>
      <c r="B364" s="24" t="s">
        <v>555</v>
      </c>
      <c r="C364" s="25" t="s">
        <v>46</v>
      </c>
      <c r="D364" s="25" t="s">
        <v>44</v>
      </c>
      <c r="E364" s="25" t="s">
        <v>2</v>
      </c>
      <c r="F364" s="26">
        <v>26000</v>
      </c>
    </row>
    <row r="365" spans="1:6" ht="22.5" hidden="1" customHeight="1" x14ac:dyDescent="0.2">
      <c r="A365" s="23">
        <v>46134</v>
      </c>
      <c r="B365" s="24" t="s">
        <v>556</v>
      </c>
      <c r="C365" s="25" t="s">
        <v>46</v>
      </c>
      <c r="D365" s="25" t="s">
        <v>44</v>
      </c>
      <c r="E365" s="25" t="s">
        <v>8</v>
      </c>
      <c r="F365" s="26">
        <v>7000</v>
      </c>
    </row>
    <row r="366" spans="1:6" ht="22.5" hidden="1" customHeight="1" x14ac:dyDescent="0.2">
      <c r="A366" s="23">
        <v>46135</v>
      </c>
      <c r="B366" s="24" t="s">
        <v>557</v>
      </c>
      <c r="C366" s="25" t="s">
        <v>46</v>
      </c>
      <c r="D366" s="25" t="s">
        <v>44</v>
      </c>
      <c r="E366" s="25" t="s">
        <v>2</v>
      </c>
      <c r="F366" s="26">
        <v>20000</v>
      </c>
    </row>
    <row r="367" spans="1:6" ht="22.5" hidden="1" customHeight="1" x14ac:dyDescent="0.2">
      <c r="A367" s="23">
        <v>46135</v>
      </c>
      <c r="B367" s="24" t="s">
        <v>558</v>
      </c>
      <c r="C367" s="25" t="s">
        <v>46</v>
      </c>
      <c r="D367" s="25" t="s">
        <v>44</v>
      </c>
      <c r="E367" s="25" t="s">
        <v>6</v>
      </c>
      <c r="F367" s="26">
        <v>24000</v>
      </c>
    </row>
    <row r="368" spans="1:6" ht="22.5" hidden="1" customHeight="1" x14ac:dyDescent="0.2">
      <c r="A368" s="23">
        <v>46136</v>
      </c>
      <c r="B368" s="24" t="s">
        <v>559</v>
      </c>
      <c r="C368" s="25" t="s">
        <v>46</v>
      </c>
      <c r="D368" s="25" t="s">
        <v>44</v>
      </c>
      <c r="E368" s="25" t="s">
        <v>7</v>
      </c>
      <c r="F368" s="26">
        <v>26000</v>
      </c>
    </row>
    <row r="369" spans="1:6" ht="22.5" hidden="1" customHeight="1" x14ac:dyDescent="0.2">
      <c r="A369" s="23">
        <v>46136</v>
      </c>
      <c r="B369" s="24" t="s">
        <v>560</v>
      </c>
      <c r="C369" s="25" t="s">
        <v>46</v>
      </c>
      <c r="D369" s="25" t="s">
        <v>44</v>
      </c>
      <c r="E369" s="25" t="s">
        <v>8</v>
      </c>
      <c r="F369" s="26">
        <v>57000</v>
      </c>
    </row>
    <row r="370" spans="1:6" ht="22.5" hidden="1" customHeight="1" x14ac:dyDescent="0.2">
      <c r="A370" s="23">
        <v>46136</v>
      </c>
      <c r="B370" s="24" t="s">
        <v>561</v>
      </c>
      <c r="C370" s="25" t="s">
        <v>46</v>
      </c>
      <c r="D370" s="25" t="s">
        <v>44</v>
      </c>
      <c r="E370" s="25" t="s">
        <v>2</v>
      </c>
      <c r="F370" s="26">
        <v>15700</v>
      </c>
    </row>
    <row r="371" spans="1:6" ht="22.5" hidden="1" customHeight="1" x14ac:dyDescent="0.2">
      <c r="A371" s="23">
        <v>46136</v>
      </c>
      <c r="B371" s="24" t="s">
        <v>209</v>
      </c>
      <c r="C371" s="25" t="s">
        <v>46</v>
      </c>
      <c r="D371" s="25" t="s">
        <v>44</v>
      </c>
      <c r="E371" s="25" t="s">
        <v>3</v>
      </c>
      <c r="F371" s="26">
        <v>5000</v>
      </c>
    </row>
    <row r="372" spans="1:6" ht="22.5" hidden="1" customHeight="1" x14ac:dyDescent="0.2">
      <c r="A372" s="23">
        <v>46136</v>
      </c>
      <c r="B372" s="24" t="s">
        <v>562</v>
      </c>
      <c r="C372" s="25" t="s">
        <v>46</v>
      </c>
      <c r="D372" s="25" t="s">
        <v>44</v>
      </c>
      <c r="E372" s="25" t="s">
        <v>2</v>
      </c>
      <c r="F372" s="26">
        <v>4000</v>
      </c>
    </row>
    <row r="373" spans="1:6" ht="22.5" hidden="1" customHeight="1" x14ac:dyDescent="0.2">
      <c r="A373" s="23">
        <v>46136</v>
      </c>
      <c r="B373" s="24" t="s">
        <v>563</v>
      </c>
      <c r="C373" s="25" t="s">
        <v>43</v>
      </c>
      <c r="D373" s="25" t="s">
        <v>39</v>
      </c>
      <c r="E373" s="71" t="s">
        <v>73</v>
      </c>
      <c r="F373" s="26">
        <v>200000</v>
      </c>
    </row>
    <row r="374" spans="1:6" ht="22.5" hidden="1" customHeight="1" x14ac:dyDescent="0.2">
      <c r="A374" s="23">
        <v>46136</v>
      </c>
      <c r="B374" s="24" t="s">
        <v>202</v>
      </c>
      <c r="C374" s="25" t="s">
        <v>43</v>
      </c>
      <c r="D374" s="25" t="s">
        <v>44</v>
      </c>
      <c r="E374" s="25" t="s">
        <v>9</v>
      </c>
      <c r="F374" s="26">
        <v>200000</v>
      </c>
    </row>
    <row r="375" spans="1:6" ht="22.5" hidden="1" customHeight="1" x14ac:dyDescent="0.2">
      <c r="A375" s="23">
        <v>46136</v>
      </c>
      <c r="B375" s="24" t="s">
        <v>149</v>
      </c>
      <c r="C375" s="25" t="s">
        <v>46</v>
      </c>
      <c r="D375" s="25" t="s">
        <v>39</v>
      </c>
      <c r="E375" s="25" t="s">
        <v>9</v>
      </c>
      <c r="F375" s="26">
        <v>200000</v>
      </c>
    </row>
    <row r="376" spans="1:6" ht="22.5" hidden="1" customHeight="1" x14ac:dyDescent="0.2">
      <c r="A376" s="23">
        <v>46136</v>
      </c>
      <c r="B376" s="24" t="s">
        <v>564</v>
      </c>
      <c r="C376" s="25" t="s">
        <v>46</v>
      </c>
      <c r="D376" s="25" t="s">
        <v>44</v>
      </c>
      <c r="E376" s="25" t="s">
        <v>3</v>
      </c>
      <c r="F376" s="26">
        <v>115300</v>
      </c>
    </row>
    <row r="377" spans="1:6" ht="22.5" hidden="1" customHeight="1" x14ac:dyDescent="0.2">
      <c r="A377" s="23">
        <v>46137</v>
      </c>
      <c r="B377" s="24" t="s">
        <v>565</v>
      </c>
      <c r="C377" s="25" t="s">
        <v>46</v>
      </c>
      <c r="D377" s="25" t="s">
        <v>44</v>
      </c>
      <c r="E377" s="25" t="s">
        <v>2</v>
      </c>
      <c r="F377" s="26">
        <v>11000</v>
      </c>
    </row>
    <row r="378" spans="1:6" ht="22.5" hidden="1" customHeight="1" x14ac:dyDescent="0.2">
      <c r="A378" s="23">
        <v>46139</v>
      </c>
      <c r="B378" s="24" t="s">
        <v>566</v>
      </c>
      <c r="C378" s="25" t="s">
        <v>46</v>
      </c>
      <c r="D378" s="25" t="s">
        <v>44</v>
      </c>
      <c r="E378" s="25" t="s">
        <v>3</v>
      </c>
      <c r="F378" s="26">
        <v>10000</v>
      </c>
    </row>
    <row r="379" spans="1:6" ht="22.5" hidden="1" customHeight="1" x14ac:dyDescent="0.2">
      <c r="A379" s="23">
        <v>46139</v>
      </c>
      <c r="B379" s="24" t="s">
        <v>567</v>
      </c>
      <c r="C379" s="25" t="s">
        <v>46</v>
      </c>
      <c r="D379" s="25" t="s">
        <v>44</v>
      </c>
      <c r="E379" s="25" t="s">
        <v>2</v>
      </c>
      <c r="F379" s="26">
        <v>9000</v>
      </c>
    </row>
    <row r="380" spans="1:6" ht="22.5" hidden="1" customHeight="1" x14ac:dyDescent="0.2">
      <c r="A380" s="23">
        <v>46139</v>
      </c>
      <c r="B380" s="24" t="s">
        <v>568</v>
      </c>
      <c r="C380" s="25" t="s">
        <v>46</v>
      </c>
      <c r="D380" s="25" t="s">
        <v>44</v>
      </c>
      <c r="E380" s="25" t="s">
        <v>5</v>
      </c>
      <c r="F380" s="26">
        <v>11000</v>
      </c>
    </row>
    <row r="381" spans="1:6" ht="22.5" hidden="1" customHeight="1" x14ac:dyDescent="0.2">
      <c r="A381" s="23">
        <v>46138</v>
      </c>
      <c r="B381" s="24" t="s">
        <v>569</v>
      </c>
      <c r="C381" s="25" t="s">
        <v>46</v>
      </c>
      <c r="D381" s="25" t="s">
        <v>44</v>
      </c>
      <c r="E381" s="25" t="s">
        <v>2</v>
      </c>
      <c r="F381" s="26">
        <v>3000</v>
      </c>
    </row>
    <row r="382" spans="1:6" ht="22.5" hidden="1" customHeight="1" x14ac:dyDescent="0.2">
      <c r="A382" s="23">
        <v>46138</v>
      </c>
      <c r="B382" s="24" t="s">
        <v>570</v>
      </c>
      <c r="C382" s="25" t="s">
        <v>46</v>
      </c>
      <c r="D382" s="25" t="s">
        <v>44</v>
      </c>
      <c r="E382" s="25" t="s">
        <v>2</v>
      </c>
      <c r="F382" s="26">
        <v>20000</v>
      </c>
    </row>
    <row r="383" spans="1:6" ht="22.5" hidden="1" customHeight="1" x14ac:dyDescent="0.2">
      <c r="A383" s="23">
        <v>46138</v>
      </c>
      <c r="B383" s="24" t="s">
        <v>571</v>
      </c>
      <c r="C383" s="25" t="s">
        <v>43</v>
      </c>
      <c r="D383" s="25" t="s">
        <v>44</v>
      </c>
      <c r="E383" s="25" t="s">
        <v>7</v>
      </c>
      <c r="F383" s="26">
        <v>12200</v>
      </c>
    </row>
    <row r="384" spans="1:6" ht="22.5" hidden="1" customHeight="1" x14ac:dyDescent="0.2">
      <c r="A384" s="23">
        <v>46140</v>
      </c>
      <c r="B384" s="24" t="s">
        <v>572</v>
      </c>
      <c r="C384" s="25" t="s">
        <v>43</v>
      </c>
      <c r="D384" s="25" t="s">
        <v>44</v>
      </c>
      <c r="E384" s="25" t="s">
        <v>0</v>
      </c>
      <c r="F384" s="26">
        <v>750</v>
      </c>
    </row>
    <row r="385" spans="1:6" ht="22.5" hidden="1" customHeight="1" x14ac:dyDescent="0.2">
      <c r="A385" s="23">
        <v>46142</v>
      </c>
      <c r="B385" s="24" t="s">
        <v>573</v>
      </c>
      <c r="C385" s="25" t="s">
        <v>46</v>
      </c>
      <c r="D385" s="25" t="s">
        <v>44</v>
      </c>
      <c r="E385" s="25" t="s">
        <v>6</v>
      </c>
      <c r="F385" s="26">
        <v>20000</v>
      </c>
    </row>
    <row r="386" spans="1:6" ht="22.5" hidden="1" customHeight="1" x14ac:dyDescent="0.2">
      <c r="A386" s="23">
        <v>46141</v>
      </c>
      <c r="B386" s="24" t="s">
        <v>531</v>
      </c>
      <c r="C386" s="25" t="s">
        <v>46</v>
      </c>
      <c r="D386" s="25" t="s">
        <v>44</v>
      </c>
      <c r="E386" s="25" t="s">
        <v>2</v>
      </c>
      <c r="F386" s="26">
        <v>16000</v>
      </c>
    </row>
    <row r="387" spans="1:6" ht="22.5" hidden="1" customHeight="1" x14ac:dyDescent="0.2">
      <c r="A387" s="23">
        <v>46147</v>
      </c>
      <c r="B387" s="24" t="s">
        <v>269</v>
      </c>
      <c r="C387" s="25" t="s">
        <v>43</v>
      </c>
      <c r="D387" s="25" t="s">
        <v>39</v>
      </c>
      <c r="E387" s="71" t="s">
        <v>986</v>
      </c>
      <c r="F387" s="26">
        <v>47874</v>
      </c>
    </row>
    <row r="388" spans="1:6" ht="22.5" hidden="1" customHeight="1" x14ac:dyDescent="0.2">
      <c r="A388" s="23">
        <v>46148</v>
      </c>
      <c r="B388" s="24" t="s">
        <v>574</v>
      </c>
      <c r="C388" s="25" t="s">
        <v>43</v>
      </c>
      <c r="D388" s="25" t="s">
        <v>44</v>
      </c>
      <c r="E388" s="25" t="s">
        <v>3</v>
      </c>
      <c r="F388" s="26">
        <v>48500</v>
      </c>
    </row>
    <row r="389" spans="1:6" ht="22.5" hidden="1" customHeight="1" x14ac:dyDescent="0.2">
      <c r="A389" s="23">
        <v>46150</v>
      </c>
      <c r="B389" s="24" t="s">
        <v>575</v>
      </c>
      <c r="C389" s="25" t="s">
        <v>43</v>
      </c>
      <c r="D389" s="25" t="s">
        <v>39</v>
      </c>
      <c r="E389" s="71" t="s">
        <v>73</v>
      </c>
      <c r="F389" s="26">
        <v>1450000</v>
      </c>
    </row>
    <row r="390" spans="1:6" ht="22.5" hidden="1" customHeight="1" x14ac:dyDescent="0.2">
      <c r="A390" s="23">
        <v>46150</v>
      </c>
      <c r="B390" s="24" t="s">
        <v>575</v>
      </c>
      <c r="C390" s="25" t="s">
        <v>46</v>
      </c>
      <c r="D390" s="25" t="s">
        <v>39</v>
      </c>
      <c r="E390" s="71" t="s">
        <v>73</v>
      </c>
      <c r="F390" s="26">
        <v>2500</v>
      </c>
    </row>
    <row r="391" spans="1:6" ht="22.5" hidden="1" customHeight="1" x14ac:dyDescent="0.2">
      <c r="A391" s="23">
        <v>46150</v>
      </c>
      <c r="B391" s="24" t="s">
        <v>576</v>
      </c>
      <c r="C391" s="25" t="s">
        <v>43</v>
      </c>
      <c r="D391" s="25" t="s">
        <v>44</v>
      </c>
      <c r="E391" s="25" t="s">
        <v>0</v>
      </c>
      <c r="F391" s="26">
        <v>35000</v>
      </c>
    </row>
    <row r="392" spans="1:6" ht="22.5" hidden="1" customHeight="1" x14ac:dyDescent="0.2">
      <c r="A392" s="23">
        <v>46150</v>
      </c>
      <c r="B392" s="24" t="s">
        <v>577</v>
      </c>
      <c r="C392" s="25" t="s">
        <v>43</v>
      </c>
      <c r="D392" s="25" t="s">
        <v>44</v>
      </c>
      <c r="E392" s="25" t="s">
        <v>9</v>
      </c>
      <c r="F392" s="26">
        <v>200000</v>
      </c>
    </row>
    <row r="393" spans="1:6" ht="22.5" hidden="1" customHeight="1" x14ac:dyDescent="0.2">
      <c r="A393" s="23">
        <v>46150</v>
      </c>
      <c r="B393" s="24" t="s">
        <v>484</v>
      </c>
      <c r="C393" s="25" t="s">
        <v>46</v>
      </c>
      <c r="D393" s="25" t="s">
        <v>39</v>
      </c>
      <c r="E393" s="25" t="s">
        <v>9</v>
      </c>
      <c r="F393" s="26">
        <v>200000</v>
      </c>
    </row>
    <row r="394" spans="1:6" ht="22.5" hidden="1" customHeight="1" x14ac:dyDescent="0.2">
      <c r="A394" s="23">
        <v>46150</v>
      </c>
      <c r="B394" s="24" t="s">
        <v>524</v>
      </c>
      <c r="C394" s="25" t="s">
        <v>46</v>
      </c>
      <c r="D394" s="25" t="s">
        <v>44</v>
      </c>
      <c r="E394" s="25" t="s">
        <v>3</v>
      </c>
      <c r="F394" s="26">
        <v>121000</v>
      </c>
    </row>
    <row r="395" spans="1:6" ht="22.5" hidden="1" customHeight="1" x14ac:dyDescent="0.2">
      <c r="A395" s="23">
        <v>46150</v>
      </c>
      <c r="B395" s="24" t="s">
        <v>578</v>
      </c>
      <c r="C395" s="25" t="s">
        <v>43</v>
      </c>
      <c r="D395" s="25" t="s">
        <v>44</v>
      </c>
      <c r="E395" s="25" t="s">
        <v>1</v>
      </c>
      <c r="F395" s="26">
        <v>34400</v>
      </c>
    </row>
    <row r="396" spans="1:6" ht="22.5" hidden="1" customHeight="1" x14ac:dyDescent="0.2">
      <c r="A396" s="23">
        <v>46150</v>
      </c>
      <c r="B396" s="24" t="s">
        <v>579</v>
      </c>
      <c r="C396" s="25" t="s">
        <v>43</v>
      </c>
      <c r="D396" s="25" t="s">
        <v>44</v>
      </c>
      <c r="E396" s="25" t="s">
        <v>1</v>
      </c>
      <c r="F396" s="26">
        <v>39900</v>
      </c>
    </row>
    <row r="397" spans="1:6" ht="22.5" hidden="1" customHeight="1" x14ac:dyDescent="0.2">
      <c r="A397" s="23">
        <v>46150</v>
      </c>
      <c r="B397" s="24" t="s">
        <v>580</v>
      </c>
      <c r="C397" s="25" t="s">
        <v>43</v>
      </c>
      <c r="D397" s="25" t="s">
        <v>44</v>
      </c>
      <c r="E397" s="25" t="s">
        <v>5</v>
      </c>
      <c r="F397" s="26">
        <v>13900</v>
      </c>
    </row>
    <row r="398" spans="1:6" ht="22.5" hidden="1" customHeight="1" x14ac:dyDescent="0.2">
      <c r="A398" s="23">
        <v>46150</v>
      </c>
      <c r="B398" s="24" t="s">
        <v>581</v>
      </c>
      <c r="C398" s="25" t="s">
        <v>43</v>
      </c>
      <c r="D398" s="25" t="s">
        <v>44</v>
      </c>
      <c r="E398" s="25" t="s">
        <v>1</v>
      </c>
      <c r="F398" s="26">
        <v>35900</v>
      </c>
    </row>
    <row r="399" spans="1:6" ht="22.5" hidden="1" customHeight="1" x14ac:dyDescent="0.2">
      <c r="A399" s="23">
        <v>46151</v>
      </c>
      <c r="B399" s="24" t="s">
        <v>582</v>
      </c>
      <c r="C399" s="25" t="s">
        <v>46</v>
      </c>
      <c r="D399" s="25" t="s">
        <v>44</v>
      </c>
      <c r="E399" s="25" t="s">
        <v>3</v>
      </c>
      <c r="F399" s="26">
        <v>21000</v>
      </c>
    </row>
    <row r="400" spans="1:6" ht="22.5" hidden="1" customHeight="1" x14ac:dyDescent="0.2">
      <c r="A400" s="23">
        <v>46151</v>
      </c>
      <c r="B400" s="24" t="s">
        <v>583</v>
      </c>
      <c r="C400" s="25" t="s">
        <v>46</v>
      </c>
      <c r="D400" s="25" t="s">
        <v>44</v>
      </c>
      <c r="E400" s="25" t="s">
        <v>2</v>
      </c>
      <c r="F400" s="26">
        <v>14000</v>
      </c>
    </row>
    <row r="401" spans="1:6" ht="22.5" hidden="1" customHeight="1" x14ac:dyDescent="0.2">
      <c r="A401" s="23">
        <v>46151</v>
      </c>
      <c r="B401" s="24" t="s">
        <v>584</v>
      </c>
      <c r="C401" s="25" t="s">
        <v>46</v>
      </c>
      <c r="D401" s="25" t="s">
        <v>44</v>
      </c>
      <c r="E401" s="25" t="s">
        <v>7</v>
      </c>
      <c r="F401" s="26">
        <v>6000</v>
      </c>
    </row>
    <row r="402" spans="1:6" ht="22.5" hidden="1" customHeight="1" x14ac:dyDescent="0.2">
      <c r="A402" s="23">
        <v>46151</v>
      </c>
      <c r="B402" s="24" t="s">
        <v>585</v>
      </c>
      <c r="C402" s="25" t="s">
        <v>46</v>
      </c>
      <c r="D402" s="25" t="s">
        <v>44</v>
      </c>
      <c r="E402" s="25" t="s">
        <v>2</v>
      </c>
      <c r="F402" s="26">
        <v>33000</v>
      </c>
    </row>
    <row r="403" spans="1:6" ht="22.5" hidden="1" customHeight="1" x14ac:dyDescent="0.2">
      <c r="A403" s="23">
        <v>46152</v>
      </c>
      <c r="B403" s="24" t="s">
        <v>499</v>
      </c>
      <c r="C403" s="25" t="s">
        <v>43</v>
      </c>
      <c r="D403" s="25" t="s">
        <v>44</v>
      </c>
      <c r="E403" s="25" t="s">
        <v>9</v>
      </c>
      <c r="F403" s="26">
        <v>100000</v>
      </c>
    </row>
    <row r="404" spans="1:6" ht="22.5" hidden="1" customHeight="1" x14ac:dyDescent="0.2">
      <c r="A404" s="23">
        <v>46152</v>
      </c>
      <c r="B404" s="24" t="s">
        <v>484</v>
      </c>
      <c r="C404" s="25" t="s">
        <v>46</v>
      </c>
      <c r="D404" s="25" t="s">
        <v>39</v>
      </c>
      <c r="E404" s="25" t="s">
        <v>9</v>
      </c>
      <c r="F404" s="26">
        <v>100000</v>
      </c>
    </row>
    <row r="405" spans="1:6" ht="22.5" hidden="1" customHeight="1" x14ac:dyDescent="0.2">
      <c r="A405" s="23">
        <v>46152</v>
      </c>
      <c r="B405" s="24" t="s">
        <v>526</v>
      </c>
      <c r="C405" s="25" t="s">
        <v>46</v>
      </c>
      <c r="D405" s="25" t="s">
        <v>44</v>
      </c>
      <c r="E405" s="25" t="s">
        <v>6</v>
      </c>
      <c r="F405" s="26">
        <v>26500</v>
      </c>
    </row>
    <row r="406" spans="1:6" ht="22.5" hidden="1" customHeight="1" x14ac:dyDescent="0.2">
      <c r="A406" s="23">
        <v>46152</v>
      </c>
      <c r="B406" s="24" t="s">
        <v>277</v>
      </c>
      <c r="C406" s="25" t="s">
        <v>46</v>
      </c>
      <c r="D406" s="25" t="s">
        <v>44</v>
      </c>
      <c r="E406" s="25" t="s">
        <v>2</v>
      </c>
      <c r="F406" s="26">
        <v>6500</v>
      </c>
    </row>
    <row r="407" spans="1:6" ht="22.5" hidden="1" customHeight="1" x14ac:dyDescent="0.2">
      <c r="A407" s="23">
        <v>46152</v>
      </c>
      <c r="B407" s="24" t="s">
        <v>586</v>
      </c>
      <c r="C407" s="25" t="s">
        <v>46</v>
      </c>
      <c r="D407" s="25" t="s">
        <v>44</v>
      </c>
      <c r="E407" s="25" t="s">
        <v>3</v>
      </c>
      <c r="F407" s="26">
        <v>12100</v>
      </c>
    </row>
    <row r="408" spans="1:6" ht="22.5" hidden="1" customHeight="1" x14ac:dyDescent="0.2">
      <c r="A408" s="23">
        <v>46152</v>
      </c>
      <c r="B408" s="24" t="s">
        <v>587</v>
      </c>
      <c r="C408" s="25" t="s">
        <v>46</v>
      </c>
      <c r="D408" s="25" t="s">
        <v>44</v>
      </c>
      <c r="E408" s="25" t="s">
        <v>2</v>
      </c>
      <c r="F408" s="26">
        <v>13000</v>
      </c>
    </row>
    <row r="409" spans="1:6" ht="22.5" hidden="1" customHeight="1" x14ac:dyDescent="0.2">
      <c r="A409" s="23">
        <v>46152</v>
      </c>
      <c r="B409" s="24" t="s">
        <v>82</v>
      </c>
      <c r="C409" s="25" t="s">
        <v>46</v>
      </c>
      <c r="D409" s="25" t="s">
        <v>44</v>
      </c>
      <c r="E409" s="25" t="s">
        <v>2</v>
      </c>
      <c r="F409" s="26">
        <v>20000</v>
      </c>
    </row>
    <row r="410" spans="1:6" ht="22.5" hidden="1" customHeight="1" x14ac:dyDescent="0.2">
      <c r="A410" s="23">
        <v>46152</v>
      </c>
      <c r="B410" s="24" t="s">
        <v>98</v>
      </c>
      <c r="C410" s="25" t="s">
        <v>46</v>
      </c>
      <c r="D410" s="25" t="s">
        <v>44</v>
      </c>
      <c r="E410" s="25" t="s">
        <v>8</v>
      </c>
      <c r="F410" s="26">
        <v>15000</v>
      </c>
    </row>
    <row r="411" spans="1:6" ht="22.5" hidden="1" customHeight="1" x14ac:dyDescent="0.2">
      <c r="A411" s="23">
        <v>46152</v>
      </c>
      <c r="B411" s="24" t="s">
        <v>73</v>
      </c>
      <c r="C411" s="25" t="s">
        <v>43</v>
      </c>
      <c r="D411" s="25" t="s">
        <v>39</v>
      </c>
      <c r="E411" s="71" t="s">
        <v>73</v>
      </c>
      <c r="F411" s="26">
        <v>15000</v>
      </c>
    </row>
    <row r="412" spans="1:6" ht="22.5" hidden="1" customHeight="1" x14ac:dyDescent="0.2">
      <c r="A412" s="23">
        <v>46153</v>
      </c>
      <c r="B412" s="24" t="s">
        <v>588</v>
      </c>
      <c r="C412" s="25" t="s">
        <v>43</v>
      </c>
      <c r="D412" s="25" t="s">
        <v>44</v>
      </c>
      <c r="E412" s="25" t="s">
        <v>7</v>
      </c>
      <c r="F412" s="26">
        <v>41011</v>
      </c>
    </row>
    <row r="413" spans="1:6" ht="22.5" hidden="1" customHeight="1" x14ac:dyDescent="0.2">
      <c r="A413" s="23">
        <v>46153</v>
      </c>
      <c r="B413" s="24" t="s">
        <v>589</v>
      </c>
      <c r="C413" s="25" t="s">
        <v>43</v>
      </c>
      <c r="D413" s="25" t="s">
        <v>44</v>
      </c>
      <c r="E413" s="25" t="s">
        <v>5</v>
      </c>
      <c r="F413" s="26">
        <v>18000</v>
      </c>
    </row>
    <row r="414" spans="1:6" ht="22.5" hidden="1" customHeight="1" x14ac:dyDescent="0.2">
      <c r="A414" s="23">
        <v>46153</v>
      </c>
      <c r="B414" s="24" t="s">
        <v>590</v>
      </c>
      <c r="C414" s="25" t="s">
        <v>46</v>
      </c>
      <c r="D414" s="25" t="s">
        <v>44</v>
      </c>
      <c r="E414" s="25" t="s">
        <v>2</v>
      </c>
      <c r="F414" s="26">
        <v>7800</v>
      </c>
    </row>
    <row r="415" spans="1:6" ht="22.5" hidden="1" customHeight="1" x14ac:dyDescent="0.2">
      <c r="A415" s="23">
        <v>46153</v>
      </c>
      <c r="B415" s="24" t="s">
        <v>482</v>
      </c>
      <c r="C415" s="25" t="s">
        <v>43</v>
      </c>
      <c r="D415" s="25" t="s">
        <v>44</v>
      </c>
      <c r="E415" s="25" t="s">
        <v>9</v>
      </c>
      <c r="F415" s="26">
        <v>50000</v>
      </c>
    </row>
    <row r="416" spans="1:6" ht="22.5" hidden="1" customHeight="1" x14ac:dyDescent="0.2">
      <c r="A416" s="23">
        <v>46153</v>
      </c>
      <c r="B416" s="24" t="s">
        <v>484</v>
      </c>
      <c r="C416" s="25" t="s">
        <v>46</v>
      </c>
      <c r="D416" s="25" t="s">
        <v>39</v>
      </c>
      <c r="E416" s="25" t="s">
        <v>9</v>
      </c>
      <c r="F416" s="26">
        <v>50000</v>
      </c>
    </row>
    <row r="417" spans="1:6" ht="22.5" hidden="1" customHeight="1" x14ac:dyDescent="0.2">
      <c r="A417" s="23">
        <v>46153</v>
      </c>
      <c r="B417" s="24" t="s">
        <v>591</v>
      </c>
      <c r="C417" s="25" t="s">
        <v>46</v>
      </c>
      <c r="D417" s="25" t="s">
        <v>44</v>
      </c>
      <c r="E417" s="25" t="s">
        <v>3</v>
      </c>
      <c r="F417" s="26">
        <v>30000</v>
      </c>
    </row>
    <row r="418" spans="1:6" ht="22.5" hidden="1" customHeight="1" x14ac:dyDescent="0.2">
      <c r="A418" s="23">
        <v>46153</v>
      </c>
      <c r="B418" s="24" t="s">
        <v>517</v>
      </c>
      <c r="C418" s="25" t="s">
        <v>46</v>
      </c>
      <c r="D418" s="25" t="s">
        <v>44</v>
      </c>
      <c r="E418" s="25" t="s">
        <v>2</v>
      </c>
      <c r="F418" s="26">
        <v>6600</v>
      </c>
    </row>
    <row r="419" spans="1:6" ht="22.5" hidden="1" customHeight="1" x14ac:dyDescent="0.2">
      <c r="A419" s="23">
        <v>46154</v>
      </c>
      <c r="B419" s="24" t="s">
        <v>592</v>
      </c>
      <c r="C419" s="25" t="s">
        <v>46</v>
      </c>
      <c r="D419" s="25" t="s">
        <v>44</v>
      </c>
      <c r="E419" s="25" t="s">
        <v>2</v>
      </c>
      <c r="F419" s="26">
        <v>5000</v>
      </c>
    </row>
    <row r="420" spans="1:6" ht="22.5" hidden="1" customHeight="1" x14ac:dyDescent="0.2">
      <c r="A420" s="23">
        <v>46154</v>
      </c>
      <c r="B420" s="24" t="s">
        <v>593</v>
      </c>
      <c r="C420" s="25" t="s">
        <v>43</v>
      </c>
      <c r="D420" s="25" t="s">
        <v>44</v>
      </c>
      <c r="E420" s="25" t="s">
        <v>3</v>
      </c>
      <c r="F420" s="26">
        <v>34400</v>
      </c>
    </row>
    <row r="421" spans="1:6" ht="22.5" hidden="1" customHeight="1" x14ac:dyDescent="0.2">
      <c r="A421" s="23">
        <v>46155</v>
      </c>
      <c r="B421" s="24" t="s">
        <v>594</v>
      </c>
      <c r="C421" s="25" t="s">
        <v>43</v>
      </c>
      <c r="D421" s="25" t="s">
        <v>44</v>
      </c>
      <c r="E421" s="25" t="s">
        <v>2</v>
      </c>
      <c r="F421" s="26">
        <v>33196</v>
      </c>
    </row>
    <row r="422" spans="1:6" ht="22.5" hidden="1" customHeight="1" x14ac:dyDescent="0.2">
      <c r="A422" s="23">
        <v>46156</v>
      </c>
      <c r="B422" s="24" t="s">
        <v>482</v>
      </c>
      <c r="C422" s="25" t="s">
        <v>43</v>
      </c>
      <c r="D422" s="25" t="s">
        <v>44</v>
      </c>
      <c r="E422" s="25" t="s">
        <v>9</v>
      </c>
      <c r="F422" s="26">
        <v>200000</v>
      </c>
    </row>
    <row r="423" spans="1:6" ht="22.5" hidden="1" customHeight="1" x14ac:dyDescent="0.2">
      <c r="A423" s="23">
        <v>46156</v>
      </c>
      <c r="B423" s="24" t="s">
        <v>484</v>
      </c>
      <c r="C423" s="25" t="s">
        <v>46</v>
      </c>
      <c r="D423" s="25" t="s">
        <v>39</v>
      </c>
      <c r="E423" s="25" t="s">
        <v>9</v>
      </c>
      <c r="F423" s="26">
        <v>200000</v>
      </c>
    </row>
    <row r="424" spans="1:6" ht="22.5" hidden="1" customHeight="1" x14ac:dyDescent="0.2">
      <c r="A424" s="23">
        <v>46155</v>
      </c>
      <c r="B424" s="24" t="s">
        <v>575</v>
      </c>
      <c r="C424" s="25" t="s">
        <v>46</v>
      </c>
      <c r="D424" s="25" t="s">
        <v>44</v>
      </c>
      <c r="E424" s="25" t="s">
        <v>2</v>
      </c>
      <c r="F424" s="26">
        <v>15000</v>
      </c>
    </row>
    <row r="425" spans="1:6" ht="22.5" hidden="1" customHeight="1" x14ac:dyDescent="0.2">
      <c r="A425" s="23">
        <v>46156</v>
      </c>
      <c r="B425" s="24" t="s">
        <v>595</v>
      </c>
      <c r="C425" s="25" t="s">
        <v>46</v>
      </c>
      <c r="D425" s="25" t="s">
        <v>44</v>
      </c>
      <c r="E425" s="25" t="s">
        <v>6</v>
      </c>
      <c r="F425" s="26">
        <v>25000</v>
      </c>
    </row>
    <row r="426" spans="1:6" ht="22.5" hidden="1" customHeight="1" x14ac:dyDescent="0.2">
      <c r="A426" s="23">
        <v>46156</v>
      </c>
      <c r="B426" s="24" t="s">
        <v>596</v>
      </c>
      <c r="C426" s="25" t="s">
        <v>46</v>
      </c>
      <c r="D426" s="25" t="s">
        <v>44</v>
      </c>
      <c r="E426" s="25" t="s">
        <v>2</v>
      </c>
      <c r="F426" s="26">
        <v>20000</v>
      </c>
    </row>
    <row r="427" spans="1:6" ht="22.5" hidden="1" customHeight="1" x14ac:dyDescent="0.2">
      <c r="A427" s="23">
        <v>46156</v>
      </c>
      <c r="B427" s="24" t="s">
        <v>597</v>
      </c>
      <c r="C427" s="25" t="s">
        <v>46</v>
      </c>
      <c r="D427" s="25" t="s">
        <v>44</v>
      </c>
      <c r="E427" s="25" t="s">
        <v>3</v>
      </c>
      <c r="F427" s="26">
        <v>18000</v>
      </c>
    </row>
    <row r="428" spans="1:6" ht="22.5" hidden="1" customHeight="1" x14ac:dyDescent="0.2">
      <c r="A428" s="23">
        <v>46156</v>
      </c>
      <c r="B428" s="24" t="s">
        <v>98</v>
      </c>
      <c r="C428" s="25" t="s">
        <v>46</v>
      </c>
      <c r="D428" s="25" t="s">
        <v>44</v>
      </c>
      <c r="E428" s="25" t="s">
        <v>8</v>
      </c>
      <c r="F428" s="26">
        <v>16000</v>
      </c>
    </row>
    <row r="429" spans="1:6" ht="22.5" hidden="1" customHeight="1" x14ac:dyDescent="0.2">
      <c r="A429" s="23">
        <v>46156</v>
      </c>
      <c r="B429" s="24" t="s">
        <v>209</v>
      </c>
      <c r="C429" s="25" t="s">
        <v>46</v>
      </c>
      <c r="D429" s="25" t="s">
        <v>44</v>
      </c>
      <c r="E429" s="25" t="s">
        <v>3</v>
      </c>
      <c r="F429" s="26">
        <v>4000</v>
      </c>
    </row>
    <row r="430" spans="1:6" ht="22.5" hidden="1" customHeight="1" x14ac:dyDescent="0.2">
      <c r="A430" s="23">
        <v>46157</v>
      </c>
      <c r="B430" s="24" t="s">
        <v>598</v>
      </c>
      <c r="C430" s="25" t="s">
        <v>46</v>
      </c>
      <c r="D430" s="25" t="s">
        <v>44</v>
      </c>
      <c r="E430" s="25" t="s">
        <v>2</v>
      </c>
      <c r="F430" s="26">
        <v>12000</v>
      </c>
    </row>
    <row r="431" spans="1:6" ht="22.5" hidden="1" customHeight="1" x14ac:dyDescent="0.2">
      <c r="A431" s="23">
        <v>46157</v>
      </c>
      <c r="B431" s="24" t="s">
        <v>599</v>
      </c>
      <c r="C431" s="25" t="s">
        <v>46</v>
      </c>
      <c r="D431" s="25" t="s">
        <v>44</v>
      </c>
      <c r="E431" s="25" t="s">
        <v>8</v>
      </c>
      <c r="F431" s="26">
        <v>5000</v>
      </c>
    </row>
    <row r="432" spans="1:6" ht="22.5" hidden="1" customHeight="1" x14ac:dyDescent="0.2">
      <c r="A432" s="23">
        <v>46158</v>
      </c>
      <c r="B432" s="24" t="s">
        <v>404</v>
      </c>
      <c r="C432" s="25" t="s">
        <v>43</v>
      </c>
      <c r="D432" s="25" t="s">
        <v>44</v>
      </c>
      <c r="E432" s="25" t="s">
        <v>2</v>
      </c>
      <c r="F432" s="26">
        <v>3000</v>
      </c>
    </row>
    <row r="433" spans="1:6" ht="22.5" hidden="1" customHeight="1" x14ac:dyDescent="0.2">
      <c r="A433" s="23">
        <v>46158</v>
      </c>
      <c r="B433" s="24" t="s">
        <v>600</v>
      </c>
      <c r="C433" s="25" t="s">
        <v>43</v>
      </c>
      <c r="D433" s="25" t="s">
        <v>44</v>
      </c>
      <c r="E433" s="25" t="s">
        <v>3</v>
      </c>
      <c r="F433" s="26">
        <v>11200</v>
      </c>
    </row>
    <row r="434" spans="1:6" ht="22.5" hidden="1" customHeight="1" x14ac:dyDescent="0.2">
      <c r="A434" s="23">
        <v>46158</v>
      </c>
      <c r="B434" s="24" t="s">
        <v>202</v>
      </c>
      <c r="C434" s="25" t="s">
        <v>43</v>
      </c>
      <c r="D434" s="25" t="s">
        <v>44</v>
      </c>
      <c r="E434" s="25" t="s">
        <v>9</v>
      </c>
      <c r="F434" s="26">
        <v>100000</v>
      </c>
    </row>
    <row r="435" spans="1:6" ht="22.5" hidden="1" customHeight="1" x14ac:dyDescent="0.2">
      <c r="A435" s="23">
        <v>46158</v>
      </c>
      <c r="B435" s="24" t="s">
        <v>149</v>
      </c>
      <c r="C435" s="25" t="s">
        <v>46</v>
      </c>
      <c r="D435" s="25" t="s">
        <v>39</v>
      </c>
      <c r="E435" s="25" t="s">
        <v>9</v>
      </c>
      <c r="F435" s="26">
        <v>100000</v>
      </c>
    </row>
    <row r="436" spans="1:6" ht="22.5" hidden="1" customHeight="1" x14ac:dyDescent="0.2">
      <c r="A436" s="23">
        <v>46158</v>
      </c>
      <c r="B436" s="24" t="s">
        <v>98</v>
      </c>
      <c r="C436" s="25" t="s">
        <v>46</v>
      </c>
      <c r="D436" s="25" t="s">
        <v>44</v>
      </c>
      <c r="E436" s="25" t="s">
        <v>8</v>
      </c>
      <c r="F436" s="26">
        <v>16000</v>
      </c>
    </row>
    <row r="437" spans="1:6" ht="22.5" hidden="1" customHeight="1" x14ac:dyDescent="0.2">
      <c r="A437" s="23">
        <v>46159</v>
      </c>
      <c r="B437" s="24" t="s">
        <v>601</v>
      </c>
      <c r="C437" s="25" t="s">
        <v>43</v>
      </c>
      <c r="D437" s="25" t="s">
        <v>44</v>
      </c>
      <c r="E437" s="25" t="s">
        <v>0</v>
      </c>
      <c r="F437" s="26">
        <v>75000</v>
      </c>
    </row>
    <row r="438" spans="1:6" ht="22.5" hidden="1" customHeight="1" x14ac:dyDescent="0.2">
      <c r="A438" s="23">
        <v>46159</v>
      </c>
      <c r="B438" s="24" t="s">
        <v>602</v>
      </c>
      <c r="C438" s="25" t="s">
        <v>43</v>
      </c>
      <c r="D438" s="25" t="s">
        <v>44</v>
      </c>
      <c r="E438" s="25" t="s">
        <v>2</v>
      </c>
      <c r="F438" s="31">
        <f>49000+1000</f>
        <v>50000</v>
      </c>
    </row>
    <row r="439" spans="1:6" ht="22.5" hidden="1" customHeight="1" x14ac:dyDescent="0.2">
      <c r="A439" s="23">
        <v>46158</v>
      </c>
      <c r="B439" s="24" t="s">
        <v>603</v>
      </c>
      <c r="C439" s="25" t="s">
        <v>46</v>
      </c>
      <c r="D439" s="25" t="s">
        <v>44</v>
      </c>
      <c r="E439" s="25" t="s">
        <v>3</v>
      </c>
      <c r="F439" s="26">
        <v>10000</v>
      </c>
    </row>
    <row r="440" spans="1:6" ht="22.5" hidden="1" customHeight="1" x14ac:dyDescent="0.2">
      <c r="A440" s="23">
        <v>46157</v>
      </c>
      <c r="B440" s="24" t="s">
        <v>531</v>
      </c>
      <c r="C440" s="25" t="s">
        <v>46</v>
      </c>
      <c r="D440" s="25" t="s">
        <v>44</v>
      </c>
      <c r="E440" s="25" t="s">
        <v>3</v>
      </c>
      <c r="F440" s="26">
        <v>96000</v>
      </c>
    </row>
    <row r="441" spans="1:6" ht="22.5" hidden="1" customHeight="1" x14ac:dyDescent="0.2">
      <c r="A441" s="23">
        <v>46157</v>
      </c>
      <c r="B441" s="24" t="s">
        <v>516</v>
      </c>
      <c r="C441" s="25" t="s">
        <v>46</v>
      </c>
      <c r="D441" s="25" t="s">
        <v>44</v>
      </c>
      <c r="E441" s="25" t="s">
        <v>2</v>
      </c>
      <c r="F441" s="26">
        <v>9000</v>
      </c>
    </row>
    <row r="442" spans="1:6" ht="22.5" hidden="1" customHeight="1" x14ac:dyDescent="0.2">
      <c r="A442" s="23">
        <v>46159</v>
      </c>
      <c r="B442" s="24" t="s">
        <v>526</v>
      </c>
      <c r="C442" s="25" t="s">
        <v>46</v>
      </c>
      <c r="D442" s="25" t="s">
        <v>44</v>
      </c>
      <c r="E442" s="25" t="s">
        <v>6</v>
      </c>
      <c r="F442" s="26">
        <v>20000</v>
      </c>
    </row>
    <row r="443" spans="1:6" ht="22.5" hidden="1" customHeight="1" x14ac:dyDescent="0.2">
      <c r="A443" s="23">
        <v>46159</v>
      </c>
      <c r="B443" s="24" t="s">
        <v>604</v>
      </c>
      <c r="C443" s="25" t="s">
        <v>43</v>
      </c>
      <c r="D443" s="25" t="s">
        <v>44</v>
      </c>
      <c r="E443" s="25" t="s">
        <v>1</v>
      </c>
      <c r="F443" s="26">
        <v>57000</v>
      </c>
    </row>
    <row r="444" spans="1:6" ht="22.5" hidden="1" customHeight="1" x14ac:dyDescent="0.2">
      <c r="A444" s="23">
        <v>46158</v>
      </c>
      <c r="B444" s="24" t="s">
        <v>605</v>
      </c>
      <c r="C444" s="25" t="s">
        <v>43</v>
      </c>
      <c r="D444" s="25" t="s">
        <v>44</v>
      </c>
      <c r="E444" s="25" t="s">
        <v>0</v>
      </c>
      <c r="F444" s="26">
        <v>6500</v>
      </c>
    </row>
    <row r="445" spans="1:6" ht="22.5" hidden="1" customHeight="1" x14ac:dyDescent="0.2">
      <c r="A445" s="23">
        <v>46160</v>
      </c>
      <c r="B445" s="24" t="s">
        <v>254</v>
      </c>
      <c r="C445" s="25" t="s">
        <v>43</v>
      </c>
      <c r="D445" s="25" t="s">
        <v>39</v>
      </c>
      <c r="E445" s="71" t="s">
        <v>20</v>
      </c>
      <c r="F445" s="26">
        <v>200000</v>
      </c>
    </row>
    <row r="446" spans="1:6" ht="22.5" hidden="1" customHeight="1" x14ac:dyDescent="0.2">
      <c r="A446" s="23">
        <v>46160</v>
      </c>
      <c r="B446" s="24" t="s">
        <v>606</v>
      </c>
      <c r="C446" s="25" t="s">
        <v>43</v>
      </c>
      <c r="D446" s="25" t="s">
        <v>44</v>
      </c>
      <c r="E446" s="25" t="s">
        <v>0</v>
      </c>
      <c r="F446" s="26">
        <v>33300</v>
      </c>
    </row>
    <row r="447" spans="1:6" ht="22.5" hidden="1" customHeight="1" x14ac:dyDescent="0.2">
      <c r="A447" s="23">
        <v>46160</v>
      </c>
      <c r="B447" s="24" t="s">
        <v>607</v>
      </c>
      <c r="C447" s="25" t="s">
        <v>43</v>
      </c>
      <c r="D447" s="25" t="s">
        <v>44</v>
      </c>
      <c r="E447" s="25" t="s">
        <v>0</v>
      </c>
      <c r="F447" s="26">
        <v>8500</v>
      </c>
    </row>
    <row r="448" spans="1:6" ht="22.5" hidden="1" customHeight="1" x14ac:dyDescent="0.2">
      <c r="A448" s="23">
        <v>46159</v>
      </c>
      <c r="B448" s="24" t="s">
        <v>516</v>
      </c>
      <c r="C448" s="25" t="s">
        <v>46</v>
      </c>
      <c r="D448" s="25" t="s">
        <v>44</v>
      </c>
      <c r="E448" s="25" t="s">
        <v>2</v>
      </c>
      <c r="F448" s="26">
        <v>10000</v>
      </c>
    </row>
    <row r="449" spans="1:6" ht="22.5" hidden="1" customHeight="1" x14ac:dyDescent="0.2">
      <c r="A449" s="23">
        <v>46160</v>
      </c>
      <c r="B449" s="24" t="s">
        <v>567</v>
      </c>
      <c r="C449" s="25" t="s">
        <v>46</v>
      </c>
      <c r="D449" s="25" t="s">
        <v>44</v>
      </c>
      <c r="E449" s="25" t="s">
        <v>2</v>
      </c>
      <c r="F449" s="26">
        <v>3000</v>
      </c>
    </row>
    <row r="450" spans="1:6" ht="22.5" hidden="1" customHeight="1" x14ac:dyDescent="0.2">
      <c r="A450" s="23">
        <v>46158</v>
      </c>
      <c r="B450" s="24" t="s">
        <v>575</v>
      </c>
      <c r="C450" s="25" t="s">
        <v>46</v>
      </c>
      <c r="D450" s="25" t="s">
        <v>44</v>
      </c>
      <c r="E450" s="25" t="s">
        <v>2</v>
      </c>
      <c r="F450" s="26">
        <v>16000</v>
      </c>
    </row>
    <row r="451" spans="1:6" ht="22.5" hidden="1" customHeight="1" x14ac:dyDescent="0.2">
      <c r="A451" s="23">
        <v>46161</v>
      </c>
      <c r="B451" s="24" t="s">
        <v>73</v>
      </c>
      <c r="C451" s="25" t="s">
        <v>43</v>
      </c>
      <c r="D451" s="25" t="s">
        <v>39</v>
      </c>
      <c r="E451" s="71" t="s">
        <v>73</v>
      </c>
      <c r="F451" s="26">
        <v>90000</v>
      </c>
    </row>
    <row r="452" spans="1:6" ht="22.5" hidden="1" customHeight="1" x14ac:dyDescent="0.2">
      <c r="A452" s="23">
        <v>46161</v>
      </c>
      <c r="B452" s="24" t="s">
        <v>608</v>
      </c>
      <c r="C452" s="25" t="s">
        <v>43</v>
      </c>
      <c r="D452" s="25" t="s">
        <v>44</v>
      </c>
      <c r="E452" s="25" t="s">
        <v>0</v>
      </c>
      <c r="F452" s="26">
        <v>98000</v>
      </c>
    </row>
    <row r="453" spans="1:6" ht="22.5" hidden="1" customHeight="1" x14ac:dyDescent="0.2">
      <c r="A453" s="23">
        <v>46161</v>
      </c>
      <c r="B453" s="24" t="s">
        <v>609</v>
      </c>
      <c r="C453" s="25" t="s">
        <v>43</v>
      </c>
      <c r="D453" s="25" t="s">
        <v>44</v>
      </c>
      <c r="E453" s="25" t="s">
        <v>1</v>
      </c>
      <c r="F453" s="26">
        <v>35700</v>
      </c>
    </row>
    <row r="454" spans="1:6" ht="22.5" hidden="1" customHeight="1" x14ac:dyDescent="0.2">
      <c r="A454" s="23">
        <v>46161</v>
      </c>
      <c r="B454" s="24" t="s">
        <v>610</v>
      </c>
      <c r="C454" s="25" t="s">
        <v>46</v>
      </c>
      <c r="D454" s="25" t="s">
        <v>44</v>
      </c>
      <c r="E454" s="25" t="s">
        <v>2</v>
      </c>
      <c r="F454" s="26">
        <v>20000</v>
      </c>
    </row>
    <row r="455" spans="1:6" ht="22.5" hidden="1" customHeight="1" x14ac:dyDescent="0.2">
      <c r="A455" s="23">
        <v>46162</v>
      </c>
      <c r="B455" s="24" t="s">
        <v>499</v>
      </c>
      <c r="C455" s="25" t="s">
        <v>43</v>
      </c>
      <c r="D455" s="25" t="s">
        <v>44</v>
      </c>
      <c r="E455" s="25" t="s">
        <v>9</v>
      </c>
      <c r="F455" s="26">
        <v>150000</v>
      </c>
    </row>
    <row r="456" spans="1:6" ht="22.5" hidden="1" customHeight="1" x14ac:dyDescent="0.2">
      <c r="A456" s="23">
        <v>46162</v>
      </c>
      <c r="B456" s="24" t="s">
        <v>484</v>
      </c>
      <c r="C456" s="25" t="s">
        <v>46</v>
      </c>
      <c r="D456" s="25" t="s">
        <v>39</v>
      </c>
      <c r="E456" s="25" t="s">
        <v>9</v>
      </c>
      <c r="F456" s="26">
        <v>150000</v>
      </c>
    </row>
    <row r="457" spans="1:6" ht="22.5" hidden="1" customHeight="1" x14ac:dyDescent="0.2">
      <c r="A457" s="23">
        <v>46162</v>
      </c>
      <c r="B457" s="24" t="s">
        <v>480</v>
      </c>
      <c r="C457" s="25" t="s">
        <v>46</v>
      </c>
      <c r="D457" s="25" t="s">
        <v>44</v>
      </c>
      <c r="E457" s="25" t="s">
        <v>3</v>
      </c>
      <c r="F457" s="26">
        <v>4000</v>
      </c>
    </row>
    <row r="458" spans="1:6" ht="22.5" hidden="1" customHeight="1" x14ac:dyDescent="0.2">
      <c r="A458" s="23">
        <v>46162</v>
      </c>
      <c r="B458" s="24" t="s">
        <v>526</v>
      </c>
      <c r="C458" s="25" t="s">
        <v>46</v>
      </c>
      <c r="D458" s="25" t="s">
        <v>44</v>
      </c>
      <c r="E458" s="25" t="s">
        <v>6</v>
      </c>
      <c r="F458" s="26">
        <v>25000</v>
      </c>
    </row>
    <row r="459" spans="1:6" ht="22.5" hidden="1" customHeight="1" x14ac:dyDescent="0.2">
      <c r="A459" s="23">
        <v>46162</v>
      </c>
      <c r="B459" s="24" t="s">
        <v>98</v>
      </c>
      <c r="C459" s="25" t="s">
        <v>46</v>
      </c>
      <c r="D459" s="25" t="s">
        <v>44</v>
      </c>
      <c r="E459" s="25" t="s">
        <v>8</v>
      </c>
      <c r="F459" s="26">
        <v>16000</v>
      </c>
    </row>
    <row r="460" spans="1:6" ht="22.5" hidden="1" customHeight="1" x14ac:dyDescent="0.2">
      <c r="A460" s="23">
        <v>46162</v>
      </c>
      <c r="B460" s="24" t="s">
        <v>611</v>
      </c>
      <c r="C460" s="25" t="s">
        <v>46</v>
      </c>
      <c r="D460" s="25" t="s">
        <v>39</v>
      </c>
      <c r="E460" s="71" t="s">
        <v>20</v>
      </c>
      <c r="F460" s="26">
        <v>50000</v>
      </c>
    </row>
    <row r="461" spans="1:6" ht="22.5" hidden="1" customHeight="1" x14ac:dyDescent="0.2">
      <c r="A461" s="23">
        <v>46162</v>
      </c>
      <c r="B461" s="24" t="s">
        <v>612</v>
      </c>
      <c r="C461" s="25" t="s">
        <v>46</v>
      </c>
      <c r="D461" s="25" t="s">
        <v>44</v>
      </c>
      <c r="E461" s="25" t="s">
        <v>2</v>
      </c>
      <c r="F461" s="26">
        <v>16000</v>
      </c>
    </row>
    <row r="462" spans="1:6" ht="22.5" hidden="1" customHeight="1" x14ac:dyDescent="0.2">
      <c r="A462" s="23">
        <v>46163</v>
      </c>
      <c r="B462" s="24" t="s">
        <v>613</v>
      </c>
      <c r="C462" s="25" t="s">
        <v>46</v>
      </c>
      <c r="D462" s="25" t="s">
        <v>44</v>
      </c>
      <c r="E462" s="25" t="s">
        <v>5</v>
      </c>
      <c r="F462" s="26">
        <v>11000</v>
      </c>
    </row>
    <row r="463" spans="1:6" ht="22.5" hidden="1" customHeight="1" x14ac:dyDescent="0.2">
      <c r="A463" s="23">
        <v>46164</v>
      </c>
      <c r="B463" s="24" t="s">
        <v>614</v>
      </c>
      <c r="C463" s="25" t="s">
        <v>46</v>
      </c>
      <c r="D463" s="25" t="s">
        <v>44</v>
      </c>
      <c r="E463" s="25" t="s">
        <v>2</v>
      </c>
      <c r="F463" s="26">
        <v>5000</v>
      </c>
    </row>
    <row r="464" spans="1:6" ht="22.5" hidden="1" customHeight="1" x14ac:dyDescent="0.2">
      <c r="A464" s="23">
        <v>46163</v>
      </c>
      <c r="B464" s="24" t="s">
        <v>615</v>
      </c>
      <c r="C464" s="25" t="s">
        <v>46</v>
      </c>
      <c r="D464" s="25" t="s">
        <v>44</v>
      </c>
      <c r="E464" s="25" t="s">
        <v>2</v>
      </c>
      <c r="F464" s="26">
        <v>19000</v>
      </c>
    </row>
    <row r="465" spans="1:6" ht="22.5" hidden="1" customHeight="1" x14ac:dyDescent="0.2">
      <c r="A465" s="23">
        <v>46164</v>
      </c>
      <c r="B465" s="24" t="s">
        <v>616</v>
      </c>
      <c r="C465" s="25" t="s">
        <v>46</v>
      </c>
      <c r="D465" s="25" t="s">
        <v>44</v>
      </c>
      <c r="E465" s="25" t="s">
        <v>3</v>
      </c>
      <c r="F465" s="26">
        <v>100000</v>
      </c>
    </row>
    <row r="466" spans="1:6" ht="22.5" hidden="1" customHeight="1" x14ac:dyDescent="0.2">
      <c r="A466" s="23">
        <v>46165</v>
      </c>
      <c r="B466" s="24" t="s">
        <v>575</v>
      </c>
      <c r="C466" s="25" t="s">
        <v>46</v>
      </c>
      <c r="D466" s="25" t="s">
        <v>44</v>
      </c>
      <c r="E466" s="25" t="s">
        <v>9</v>
      </c>
      <c r="F466" s="26">
        <v>4000</v>
      </c>
    </row>
    <row r="467" spans="1:6" ht="22.5" hidden="1" customHeight="1" x14ac:dyDescent="0.2">
      <c r="A467" s="23">
        <v>46166</v>
      </c>
      <c r="B467" s="24" t="s">
        <v>202</v>
      </c>
      <c r="C467" s="25" t="s">
        <v>43</v>
      </c>
      <c r="D467" s="25" t="s">
        <v>44</v>
      </c>
      <c r="E467" s="25" t="s">
        <v>9</v>
      </c>
      <c r="F467" s="26">
        <v>50000</v>
      </c>
    </row>
    <row r="468" spans="1:6" ht="22.5" hidden="1" customHeight="1" x14ac:dyDescent="0.2">
      <c r="A468" s="23">
        <v>46166</v>
      </c>
      <c r="B468" s="24" t="s">
        <v>149</v>
      </c>
      <c r="C468" s="25" t="s">
        <v>46</v>
      </c>
      <c r="D468" s="25" t="s">
        <v>39</v>
      </c>
      <c r="E468" s="25" t="s">
        <v>9</v>
      </c>
      <c r="F468" s="26">
        <v>50000</v>
      </c>
    </row>
    <row r="469" spans="1:6" ht="22.5" hidden="1" customHeight="1" x14ac:dyDescent="0.2">
      <c r="A469" s="23">
        <v>46167</v>
      </c>
      <c r="B469" s="24" t="s">
        <v>617</v>
      </c>
      <c r="C469" s="25" t="s">
        <v>43</v>
      </c>
      <c r="D469" s="25" t="s">
        <v>44</v>
      </c>
      <c r="E469" s="25" t="s">
        <v>1</v>
      </c>
      <c r="F469" s="26">
        <v>63572</v>
      </c>
    </row>
    <row r="470" spans="1:6" ht="22.5" hidden="1" customHeight="1" x14ac:dyDescent="0.2">
      <c r="A470" s="23">
        <v>46168</v>
      </c>
      <c r="B470" s="24" t="s">
        <v>618</v>
      </c>
      <c r="C470" s="25" t="s">
        <v>46</v>
      </c>
      <c r="D470" s="25" t="s">
        <v>44</v>
      </c>
      <c r="E470" s="25" t="s">
        <v>9</v>
      </c>
      <c r="F470" s="26">
        <v>50000</v>
      </c>
    </row>
    <row r="471" spans="1:6" ht="22.5" hidden="1" customHeight="1" x14ac:dyDescent="0.2">
      <c r="A471" s="23">
        <v>46169</v>
      </c>
      <c r="B471" s="24" t="s">
        <v>202</v>
      </c>
      <c r="C471" s="25" t="s">
        <v>43</v>
      </c>
      <c r="D471" s="25" t="s">
        <v>44</v>
      </c>
      <c r="E471" s="25" t="s">
        <v>9</v>
      </c>
      <c r="F471" s="26">
        <v>100000</v>
      </c>
    </row>
    <row r="472" spans="1:6" ht="22.5" hidden="1" customHeight="1" x14ac:dyDescent="0.2">
      <c r="A472" s="23">
        <v>46169</v>
      </c>
      <c r="B472" s="24" t="s">
        <v>149</v>
      </c>
      <c r="C472" s="25" t="s">
        <v>46</v>
      </c>
      <c r="D472" s="25" t="s">
        <v>39</v>
      </c>
      <c r="E472" s="25" t="s">
        <v>9</v>
      </c>
      <c r="F472" s="26">
        <v>100000</v>
      </c>
    </row>
    <row r="473" spans="1:6" ht="22.5" hidden="1" customHeight="1" x14ac:dyDescent="0.2">
      <c r="A473" s="23">
        <v>46169</v>
      </c>
      <c r="B473" s="24" t="s">
        <v>619</v>
      </c>
      <c r="C473" s="25" t="s">
        <v>46</v>
      </c>
      <c r="D473" s="25" t="s">
        <v>39</v>
      </c>
      <c r="E473" s="71" t="s">
        <v>20</v>
      </c>
      <c r="F473" s="26">
        <v>50000</v>
      </c>
    </row>
    <row r="474" spans="1:6" ht="22.5" hidden="1" customHeight="1" x14ac:dyDescent="0.2">
      <c r="A474" s="23">
        <v>46169</v>
      </c>
      <c r="B474" s="24" t="s">
        <v>463</v>
      </c>
      <c r="C474" s="25" t="s">
        <v>46</v>
      </c>
      <c r="D474" s="25" t="s">
        <v>44</v>
      </c>
      <c r="E474" s="25" t="s">
        <v>2</v>
      </c>
      <c r="F474" s="26">
        <v>3600</v>
      </c>
    </row>
    <row r="475" spans="1:6" ht="22.5" hidden="1" customHeight="1" x14ac:dyDescent="0.2">
      <c r="A475" s="23">
        <v>46169</v>
      </c>
      <c r="B475" s="24" t="s">
        <v>219</v>
      </c>
      <c r="C475" s="25" t="s">
        <v>46</v>
      </c>
      <c r="D475" s="25" t="s">
        <v>44</v>
      </c>
      <c r="E475" s="25" t="s">
        <v>6</v>
      </c>
      <c r="F475" s="26">
        <v>50000</v>
      </c>
    </row>
    <row r="476" spans="1:6" ht="22.5" hidden="1" customHeight="1" x14ac:dyDescent="0.2">
      <c r="A476" s="23">
        <v>46169</v>
      </c>
      <c r="B476" s="24" t="s">
        <v>620</v>
      </c>
      <c r="C476" s="25" t="s">
        <v>46</v>
      </c>
      <c r="D476" s="25" t="s">
        <v>44</v>
      </c>
      <c r="E476" s="25" t="s">
        <v>8</v>
      </c>
      <c r="F476" s="26">
        <v>28000</v>
      </c>
    </row>
    <row r="477" spans="1:6" ht="22.5" hidden="1" customHeight="1" x14ac:dyDescent="0.2">
      <c r="A477" s="23">
        <v>46169</v>
      </c>
      <c r="B477" s="24" t="s">
        <v>621</v>
      </c>
      <c r="C477" s="25" t="s">
        <v>46</v>
      </c>
      <c r="D477" s="25" t="s">
        <v>39</v>
      </c>
      <c r="E477" s="71" t="s">
        <v>20</v>
      </c>
      <c r="F477" s="26">
        <v>20000</v>
      </c>
    </row>
    <row r="478" spans="1:6" ht="22.5" hidden="1" customHeight="1" x14ac:dyDescent="0.2">
      <c r="A478" s="23">
        <v>46171</v>
      </c>
      <c r="B478" s="24" t="s">
        <v>531</v>
      </c>
      <c r="C478" s="25" t="s">
        <v>46</v>
      </c>
      <c r="D478" s="25" t="s">
        <v>44</v>
      </c>
      <c r="E478" s="25" t="s">
        <v>3</v>
      </c>
      <c r="F478" s="26">
        <v>88400</v>
      </c>
    </row>
    <row r="479" spans="1:6" ht="22.5" hidden="1" customHeight="1" x14ac:dyDescent="0.2">
      <c r="A479" s="23">
        <v>46171</v>
      </c>
      <c r="B479" s="24" t="s">
        <v>622</v>
      </c>
      <c r="C479" s="25" t="s">
        <v>43</v>
      </c>
      <c r="D479" s="25" t="s">
        <v>39</v>
      </c>
      <c r="E479" s="71" t="s">
        <v>986</v>
      </c>
      <c r="F479" s="26">
        <v>110284</v>
      </c>
    </row>
    <row r="480" spans="1:6" ht="22.5" hidden="1" customHeight="1" x14ac:dyDescent="0.2">
      <c r="A480" s="23">
        <v>46172</v>
      </c>
      <c r="B480" s="24" t="s">
        <v>202</v>
      </c>
      <c r="C480" s="25" t="s">
        <v>43</v>
      </c>
      <c r="D480" s="25" t="s">
        <v>44</v>
      </c>
      <c r="E480" s="25" t="s">
        <v>9</v>
      </c>
      <c r="F480" s="26">
        <v>100000</v>
      </c>
    </row>
    <row r="481" spans="1:6" ht="22.5" hidden="1" customHeight="1" x14ac:dyDescent="0.2">
      <c r="A481" s="23">
        <v>46172</v>
      </c>
      <c r="B481" s="24" t="s">
        <v>149</v>
      </c>
      <c r="C481" s="25" t="s">
        <v>46</v>
      </c>
      <c r="D481" s="25" t="s">
        <v>39</v>
      </c>
      <c r="E481" s="25" t="s">
        <v>9</v>
      </c>
      <c r="F481" s="26">
        <v>100000</v>
      </c>
    </row>
    <row r="482" spans="1:6" ht="22.5" hidden="1" customHeight="1" x14ac:dyDescent="0.2">
      <c r="A482" s="23">
        <v>46172</v>
      </c>
      <c r="B482" s="24" t="s">
        <v>623</v>
      </c>
      <c r="C482" s="25" t="s">
        <v>46</v>
      </c>
      <c r="D482" s="25" t="s">
        <v>44</v>
      </c>
      <c r="E482" s="25" t="s">
        <v>2</v>
      </c>
      <c r="F482" s="26">
        <v>8000</v>
      </c>
    </row>
    <row r="483" spans="1:6" ht="22.5" hidden="1" customHeight="1" x14ac:dyDescent="0.2">
      <c r="A483" s="23">
        <v>46172</v>
      </c>
      <c r="B483" s="24" t="s">
        <v>624</v>
      </c>
      <c r="C483" s="25" t="s">
        <v>46</v>
      </c>
      <c r="D483" s="25" t="s">
        <v>44</v>
      </c>
      <c r="E483" s="25" t="s">
        <v>3</v>
      </c>
      <c r="F483" s="26">
        <v>7500</v>
      </c>
    </row>
    <row r="484" spans="1:6" ht="22.5" hidden="1" customHeight="1" x14ac:dyDescent="0.2">
      <c r="A484" s="23">
        <v>46172</v>
      </c>
      <c r="B484" s="24" t="s">
        <v>625</v>
      </c>
      <c r="C484" s="25" t="s">
        <v>46</v>
      </c>
      <c r="D484" s="25" t="s">
        <v>44</v>
      </c>
      <c r="E484" s="25" t="s">
        <v>2</v>
      </c>
      <c r="F484" s="26">
        <v>10000</v>
      </c>
    </row>
    <row r="485" spans="1:6" ht="22.5" hidden="1" customHeight="1" x14ac:dyDescent="0.2">
      <c r="A485" s="23">
        <v>46172</v>
      </c>
      <c r="B485" s="24" t="s">
        <v>219</v>
      </c>
      <c r="C485" s="25" t="s">
        <v>46</v>
      </c>
      <c r="D485" s="25" t="s">
        <v>44</v>
      </c>
      <c r="E485" s="25" t="s">
        <v>6</v>
      </c>
      <c r="F485" s="26">
        <v>24500</v>
      </c>
    </row>
    <row r="486" spans="1:6" ht="22.5" hidden="1" customHeight="1" x14ac:dyDescent="0.2">
      <c r="A486" s="23">
        <v>46173</v>
      </c>
      <c r="B486" s="24" t="s">
        <v>626</v>
      </c>
      <c r="C486" s="25" t="s">
        <v>46</v>
      </c>
      <c r="D486" s="25" t="s">
        <v>44</v>
      </c>
      <c r="E486" s="25" t="s">
        <v>8</v>
      </c>
      <c r="F486" s="26">
        <v>24000</v>
      </c>
    </row>
    <row r="487" spans="1:6" ht="22.5" hidden="1" customHeight="1" x14ac:dyDescent="0.2">
      <c r="A487" s="23">
        <v>46173</v>
      </c>
      <c r="B487" s="24" t="s">
        <v>575</v>
      </c>
      <c r="C487" s="25" t="s">
        <v>46</v>
      </c>
      <c r="D487" s="25" t="s">
        <v>39</v>
      </c>
      <c r="E487" s="71" t="s">
        <v>73</v>
      </c>
      <c r="F487" s="26">
        <v>13000</v>
      </c>
    </row>
    <row r="488" spans="1:6" ht="22.5" hidden="1" customHeight="1" x14ac:dyDescent="0.2">
      <c r="A488" s="23">
        <v>46173</v>
      </c>
      <c r="B488" s="24" t="s">
        <v>627</v>
      </c>
      <c r="C488" s="25" t="s">
        <v>46</v>
      </c>
      <c r="D488" s="25" t="s">
        <v>44</v>
      </c>
      <c r="E488" s="25" t="s">
        <v>3</v>
      </c>
      <c r="F488" s="26">
        <v>15000</v>
      </c>
    </row>
    <row r="489" spans="1:6" ht="22.5" hidden="1" customHeight="1" x14ac:dyDescent="0.2">
      <c r="A489" s="23">
        <v>46174</v>
      </c>
      <c r="B489" s="24" t="s">
        <v>219</v>
      </c>
      <c r="C489" s="25" t="s">
        <v>46</v>
      </c>
      <c r="D489" s="25" t="s">
        <v>44</v>
      </c>
      <c r="E489" s="25" t="s">
        <v>6</v>
      </c>
      <c r="F489" s="26">
        <v>24000</v>
      </c>
    </row>
    <row r="490" spans="1:6" ht="22.5" hidden="1" customHeight="1" x14ac:dyDescent="0.2">
      <c r="A490" s="23">
        <v>46174</v>
      </c>
      <c r="B490" s="24" t="s">
        <v>202</v>
      </c>
      <c r="C490" s="25" t="s">
        <v>43</v>
      </c>
      <c r="D490" s="25" t="s">
        <v>44</v>
      </c>
      <c r="E490" s="25" t="s">
        <v>9</v>
      </c>
      <c r="F490" s="26">
        <v>50000</v>
      </c>
    </row>
    <row r="491" spans="1:6" ht="22.5" hidden="1" customHeight="1" x14ac:dyDescent="0.2">
      <c r="A491" s="23">
        <v>46174</v>
      </c>
      <c r="B491" s="24" t="s">
        <v>149</v>
      </c>
      <c r="C491" s="25" t="s">
        <v>46</v>
      </c>
      <c r="D491" s="25" t="s">
        <v>39</v>
      </c>
      <c r="E491" s="25" t="s">
        <v>9</v>
      </c>
      <c r="F491" s="26">
        <v>50000</v>
      </c>
    </row>
    <row r="492" spans="1:6" ht="22.5" hidden="1" customHeight="1" x14ac:dyDescent="0.2">
      <c r="A492" s="23">
        <v>46174</v>
      </c>
      <c r="B492" s="24" t="s">
        <v>628</v>
      </c>
      <c r="C492" s="25" t="s">
        <v>46</v>
      </c>
      <c r="D492" s="25" t="s">
        <v>44</v>
      </c>
      <c r="E492" s="25" t="s">
        <v>2</v>
      </c>
      <c r="F492" s="26">
        <v>14000</v>
      </c>
    </row>
    <row r="493" spans="1:6" ht="22.5" hidden="1" customHeight="1" x14ac:dyDescent="0.2">
      <c r="A493" s="23">
        <v>46174</v>
      </c>
      <c r="B493" s="24" t="s">
        <v>629</v>
      </c>
      <c r="C493" s="25" t="s">
        <v>43</v>
      </c>
      <c r="D493" s="25" t="s">
        <v>39</v>
      </c>
      <c r="E493" s="71" t="s">
        <v>986</v>
      </c>
      <c r="F493" s="26">
        <v>12582</v>
      </c>
    </row>
    <row r="494" spans="1:6" ht="22.5" hidden="1" customHeight="1" x14ac:dyDescent="0.2">
      <c r="A494" s="23">
        <v>46174</v>
      </c>
      <c r="B494" s="24" t="s">
        <v>482</v>
      </c>
      <c r="C494" s="25" t="s">
        <v>43</v>
      </c>
      <c r="D494" s="25" t="s">
        <v>44</v>
      </c>
      <c r="E494" s="25" t="s">
        <v>9</v>
      </c>
      <c r="F494" s="26">
        <v>50000</v>
      </c>
    </row>
    <row r="495" spans="1:6" ht="22.5" hidden="1" customHeight="1" x14ac:dyDescent="0.2">
      <c r="A495" s="23">
        <v>46174</v>
      </c>
      <c r="B495" s="24" t="s">
        <v>484</v>
      </c>
      <c r="C495" s="25" t="s">
        <v>46</v>
      </c>
      <c r="D495" s="25" t="s">
        <v>39</v>
      </c>
      <c r="E495" s="25" t="s">
        <v>9</v>
      </c>
      <c r="F495" s="26">
        <v>50000</v>
      </c>
    </row>
    <row r="496" spans="1:6" ht="22.5" hidden="1" customHeight="1" x14ac:dyDescent="0.2">
      <c r="A496" s="23">
        <v>46175</v>
      </c>
      <c r="B496" s="24" t="s">
        <v>630</v>
      </c>
      <c r="C496" s="25" t="s">
        <v>46</v>
      </c>
      <c r="D496" s="25" t="s">
        <v>44</v>
      </c>
      <c r="E496" s="25" t="s">
        <v>1</v>
      </c>
      <c r="F496" s="26">
        <v>32000</v>
      </c>
    </row>
    <row r="497" spans="1:6" ht="22.5" hidden="1" customHeight="1" x14ac:dyDescent="0.2">
      <c r="A497" s="23">
        <v>46174</v>
      </c>
      <c r="B497" s="24" t="s">
        <v>632</v>
      </c>
      <c r="C497" s="25" t="s">
        <v>46</v>
      </c>
      <c r="D497" s="25" t="s">
        <v>44</v>
      </c>
      <c r="E497" s="25" t="s">
        <v>4</v>
      </c>
      <c r="F497" s="26">
        <v>16500</v>
      </c>
    </row>
    <row r="498" spans="1:6" ht="22.5" hidden="1" customHeight="1" x14ac:dyDescent="0.2">
      <c r="A498" s="23">
        <v>46174</v>
      </c>
      <c r="B498" s="24" t="s">
        <v>633</v>
      </c>
      <c r="C498" s="25" t="s">
        <v>46</v>
      </c>
      <c r="D498" s="25" t="s">
        <v>44</v>
      </c>
      <c r="E498" s="25" t="s">
        <v>2</v>
      </c>
      <c r="F498" s="26">
        <v>34000</v>
      </c>
    </row>
    <row r="499" spans="1:6" ht="22.5" hidden="1" customHeight="1" x14ac:dyDescent="0.2">
      <c r="A499" s="23">
        <v>46174</v>
      </c>
      <c r="B499" s="24" t="s">
        <v>634</v>
      </c>
      <c r="C499" s="25" t="s">
        <v>46</v>
      </c>
      <c r="D499" s="25" t="s">
        <v>44</v>
      </c>
      <c r="E499" s="25" t="s">
        <v>3</v>
      </c>
      <c r="F499" s="26">
        <v>3000</v>
      </c>
    </row>
    <row r="500" spans="1:6" ht="22.5" hidden="1" customHeight="1" x14ac:dyDescent="0.2">
      <c r="A500" s="23">
        <v>46175</v>
      </c>
      <c r="B500" s="24" t="s">
        <v>575</v>
      </c>
      <c r="C500" s="25" t="s">
        <v>43</v>
      </c>
      <c r="D500" s="25" t="s">
        <v>39</v>
      </c>
      <c r="E500" s="71" t="s">
        <v>73</v>
      </c>
      <c r="F500" s="26">
        <v>1561437</v>
      </c>
    </row>
    <row r="501" spans="1:6" ht="22.5" hidden="1" customHeight="1" x14ac:dyDescent="0.2">
      <c r="A501" s="23">
        <v>46175</v>
      </c>
      <c r="B501" s="24" t="s">
        <v>202</v>
      </c>
      <c r="C501" s="25" t="s">
        <v>43</v>
      </c>
      <c r="D501" s="25" t="s">
        <v>44</v>
      </c>
      <c r="E501" s="25" t="s">
        <v>9</v>
      </c>
      <c r="F501" s="26">
        <v>100000</v>
      </c>
    </row>
    <row r="502" spans="1:6" ht="22.5" hidden="1" customHeight="1" x14ac:dyDescent="0.2">
      <c r="A502" s="23">
        <v>46175</v>
      </c>
      <c r="B502" s="24" t="s">
        <v>149</v>
      </c>
      <c r="C502" s="25" t="s">
        <v>46</v>
      </c>
      <c r="D502" s="25" t="s">
        <v>39</v>
      </c>
      <c r="E502" s="25" t="s">
        <v>9</v>
      </c>
      <c r="F502" s="26">
        <v>100000</v>
      </c>
    </row>
    <row r="503" spans="1:6" ht="22.5" hidden="1" customHeight="1" x14ac:dyDescent="0.2">
      <c r="A503" s="23">
        <v>46175</v>
      </c>
      <c r="B503" s="24" t="s">
        <v>635</v>
      </c>
      <c r="C503" s="25" t="s">
        <v>46</v>
      </c>
      <c r="D503" s="25" t="s">
        <v>44</v>
      </c>
      <c r="E503" s="25" t="s">
        <v>2</v>
      </c>
      <c r="F503" s="26">
        <v>10000</v>
      </c>
    </row>
    <row r="504" spans="1:6" ht="22.5" hidden="1" customHeight="1" x14ac:dyDescent="0.2">
      <c r="A504" s="23">
        <v>46175</v>
      </c>
      <c r="B504" s="24" t="s">
        <v>636</v>
      </c>
      <c r="C504" s="25" t="s">
        <v>46</v>
      </c>
      <c r="D504" s="25" t="s">
        <v>44</v>
      </c>
      <c r="E504" s="25" t="s">
        <v>2</v>
      </c>
      <c r="F504" s="26">
        <v>10000</v>
      </c>
    </row>
    <row r="505" spans="1:6" ht="22.5" hidden="1" customHeight="1" x14ac:dyDescent="0.2">
      <c r="A505" s="23">
        <v>46175</v>
      </c>
      <c r="B505" s="24" t="s">
        <v>98</v>
      </c>
      <c r="C505" s="25" t="s">
        <v>46</v>
      </c>
      <c r="D505" s="25" t="s">
        <v>44</v>
      </c>
      <c r="E505" s="25" t="s">
        <v>8</v>
      </c>
      <c r="F505" s="26">
        <v>27000</v>
      </c>
    </row>
    <row r="506" spans="1:6" ht="22.5" hidden="1" customHeight="1" x14ac:dyDescent="0.2">
      <c r="A506" s="23">
        <v>46175</v>
      </c>
      <c r="B506" s="24" t="s">
        <v>575</v>
      </c>
      <c r="C506" s="25" t="s">
        <v>43</v>
      </c>
      <c r="D506" s="25" t="s">
        <v>39</v>
      </c>
      <c r="E506" s="71" t="s">
        <v>73</v>
      </c>
      <c r="F506" s="26">
        <v>10000</v>
      </c>
    </row>
    <row r="507" spans="1:6" ht="22.5" hidden="1" customHeight="1" x14ac:dyDescent="0.2">
      <c r="A507" s="23">
        <v>46176</v>
      </c>
      <c r="B507" s="24" t="s">
        <v>519</v>
      </c>
      <c r="C507" s="25" t="s">
        <v>43</v>
      </c>
      <c r="D507" s="25" t="s">
        <v>44</v>
      </c>
      <c r="E507" s="25" t="s">
        <v>1</v>
      </c>
      <c r="F507" s="26">
        <v>27800</v>
      </c>
    </row>
    <row r="508" spans="1:6" ht="22.5" hidden="1" customHeight="1" x14ac:dyDescent="0.2">
      <c r="A508" s="23">
        <v>46176</v>
      </c>
      <c r="B508" s="24" t="s">
        <v>637</v>
      </c>
      <c r="C508" s="25" t="s">
        <v>43</v>
      </c>
      <c r="D508" s="25" t="s">
        <v>44</v>
      </c>
      <c r="E508" s="25" t="s">
        <v>7</v>
      </c>
      <c r="F508" s="26">
        <v>23400</v>
      </c>
    </row>
    <row r="509" spans="1:6" ht="22.5" hidden="1" customHeight="1" x14ac:dyDescent="0.2">
      <c r="A509" s="23">
        <v>46176</v>
      </c>
      <c r="B509" s="24" t="s">
        <v>494</v>
      </c>
      <c r="C509" s="25" t="s">
        <v>43</v>
      </c>
      <c r="D509" s="25" t="s">
        <v>44</v>
      </c>
      <c r="E509" s="25" t="s">
        <v>3</v>
      </c>
      <c r="F509" s="26">
        <v>5200</v>
      </c>
    </row>
    <row r="510" spans="1:6" ht="22.5" hidden="1" customHeight="1" x14ac:dyDescent="0.2">
      <c r="A510" s="23">
        <v>46176</v>
      </c>
      <c r="B510" s="24" t="s">
        <v>638</v>
      </c>
      <c r="C510" s="25" t="s">
        <v>43</v>
      </c>
      <c r="D510" s="25" t="s">
        <v>44</v>
      </c>
      <c r="E510" s="25" t="s">
        <v>0</v>
      </c>
      <c r="F510" s="26">
        <v>100000</v>
      </c>
    </row>
    <row r="511" spans="1:6" ht="22.5" hidden="1" customHeight="1" x14ac:dyDescent="0.2">
      <c r="A511" s="23">
        <v>46176</v>
      </c>
      <c r="B511" s="24" t="s">
        <v>403</v>
      </c>
      <c r="C511" s="25" t="s">
        <v>43</v>
      </c>
      <c r="D511" s="25" t="s">
        <v>44</v>
      </c>
      <c r="E511" s="25" t="s">
        <v>1</v>
      </c>
      <c r="F511" s="26">
        <v>29519</v>
      </c>
    </row>
    <row r="512" spans="1:6" ht="22.5" hidden="1" customHeight="1" x14ac:dyDescent="0.2">
      <c r="A512" s="23">
        <v>46176</v>
      </c>
      <c r="B512" s="24" t="s">
        <v>639</v>
      </c>
      <c r="C512" s="25" t="s">
        <v>46</v>
      </c>
      <c r="D512" s="25" t="s">
        <v>44</v>
      </c>
      <c r="E512" s="25" t="s">
        <v>3</v>
      </c>
      <c r="F512" s="26">
        <v>33000</v>
      </c>
    </row>
    <row r="513" spans="1:6" ht="22.5" hidden="1" customHeight="1" x14ac:dyDescent="0.2">
      <c r="A513" s="23">
        <v>46177</v>
      </c>
      <c r="B513" s="24" t="s">
        <v>640</v>
      </c>
      <c r="C513" s="25" t="s">
        <v>43</v>
      </c>
      <c r="D513" s="25" t="s">
        <v>44</v>
      </c>
      <c r="E513" s="25" t="s">
        <v>4</v>
      </c>
      <c r="F513" s="26">
        <v>21000</v>
      </c>
    </row>
    <row r="514" spans="1:6" ht="22.5" hidden="1" customHeight="1" x14ac:dyDescent="0.2">
      <c r="A514" s="23">
        <v>46177</v>
      </c>
      <c r="B514" s="24" t="s">
        <v>230</v>
      </c>
      <c r="C514" s="25" t="s">
        <v>46</v>
      </c>
      <c r="D514" s="25" t="s">
        <v>44</v>
      </c>
      <c r="E514" s="25" t="s">
        <v>1</v>
      </c>
      <c r="F514" s="26">
        <v>3000</v>
      </c>
    </row>
    <row r="515" spans="1:6" ht="22.5" hidden="1" customHeight="1" x14ac:dyDescent="0.2">
      <c r="A515" s="23">
        <v>46177</v>
      </c>
      <c r="B515" s="24" t="s">
        <v>641</v>
      </c>
      <c r="C515" s="25" t="s">
        <v>43</v>
      </c>
      <c r="D515" s="25" t="s">
        <v>44</v>
      </c>
      <c r="E515" s="25" t="s">
        <v>8</v>
      </c>
      <c r="F515" s="26">
        <v>73694</v>
      </c>
    </row>
    <row r="516" spans="1:6" ht="22.5" hidden="1" customHeight="1" x14ac:dyDescent="0.2">
      <c r="A516" s="23">
        <v>46178</v>
      </c>
      <c r="B516" s="24" t="s">
        <v>642</v>
      </c>
      <c r="C516" s="25" t="s">
        <v>43</v>
      </c>
      <c r="D516" s="25" t="s">
        <v>44</v>
      </c>
      <c r="E516" s="25" t="s">
        <v>1</v>
      </c>
      <c r="F516" s="26">
        <v>43245</v>
      </c>
    </row>
    <row r="517" spans="1:6" ht="22.5" hidden="1" customHeight="1" x14ac:dyDescent="0.2">
      <c r="A517" s="23">
        <v>46177</v>
      </c>
      <c r="B517" s="24" t="s">
        <v>644</v>
      </c>
      <c r="C517" s="25" t="s">
        <v>43</v>
      </c>
      <c r="D517" s="25" t="s">
        <v>44</v>
      </c>
      <c r="E517" s="25" t="s">
        <v>9</v>
      </c>
      <c r="F517" s="26">
        <v>200000</v>
      </c>
    </row>
    <row r="518" spans="1:6" ht="22.5" hidden="1" customHeight="1" x14ac:dyDescent="0.2">
      <c r="A518" s="23">
        <v>46177</v>
      </c>
      <c r="B518" s="24" t="s">
        <v>484</v>
      </c>
      <c r="C518" s="25" t="s">
        <v>46</v>
      </c>
      <c r="D518" s="25" t="s">
        <v>39</v>
      </c>
      <c r="E518" s="25" t="s">
        <v>9</v>
      </c>
      <c r="F518" s="26">
        <v>200000</v>
      </c>
    </row>
    <row r="519" spans="1:6" ht="22.5" hidden="1" customHeight="1" x14ac:dyDescent="0.2">
      <c r="A519" s="23">
        <v>46177</v>
      </c>
      <c r="B519" s="24" t="s">
        <v>170</v>
      </c>
      <c r="C519" s="25" t="s">
        <v>46</v>
      </c>
      <c r="D519" s="25" t="s">
        <v>44</v>
      </c>
      <c r="E519" s="25" t="s">
        <v>2</v>
      </c>
      <c r="F519" s="26">
        <v>10000</v>
      </c>
    </row>
    <row r="520" spans="1:6" ht="22.5" hidden="1" customHeight="1" x14ac:dyDescent="0.2">
      <c r="A520" s="23">
        <v>46177</v>
      </c>
      <c r="B520" s="24" t="s">
        <v>645</v>
      </c>
      <c r="C520" s="25" t="s">
        <v>46</v>
      </c>
      <c r="D520" s="25" t="s">
        <v>44</v>
      </c>
      <c r="E520" s="25" t="s">
        <v>2</v>
      </c>
      <c r="F520" s="26">
        <v>31000</v>
      </c>
    </row>
    <row r="521" spans="1:6" ht="22.5" hidden="1" customHeight="1" x14ac:dyDescent="0.2">
      <c r="A521" s="23">
        <v>46177</v>
      </c>
      <c r="B521" s="24" t="s">
        <v>646</v>
      </c>
      <c r="C521" s="25" t="s">
        <v>46</v>
      </c>
      <c r="D521" s="25" t="s">
        <v>44</v>
      </c>
      <c r="E521" s="25" t="s">
        <v>5</v>
      </c>
      <c r="F521" s="26">
        <v>10500</v>
      </c>
    </row>
    <row r="522" spans="1:6" ht="22.5" hidden="1" customHeight="1" x14ac:dyDescent="0.2">
      <c r="A522" s="23">
        <v>46178</v>
      </c>
      <c r="B522" s="24" t="s">
        <v>647</v>
      </c>
      <c r="C522" s="25" t="s">
        <v>46</v>
      </c>
      <c r="D522" s="25" t="s">
        <v>44</v>
      </c>
      <c r="E522" s="25" t="s">
        <v>1</v>
      </c>
      <c r="F522" s="26">
        <v>28500</v>
      </c>
    </row>
    <row r="523" spans="1:6" ht="22.5" hidden="1" customHeight="1" x14ac:dyDescent="0.2">
      <c r="A523" s="23">
        <v>46178</v>
      </c>
      <c r="B523" s="24" t="s">
        <v>648</v>
      </c>
      <c r="C523" s="25" t="s">
        <v>43</v>
      </c>
      <c r="D523" s="25" t="s">
        <v>44</v>
      </c>
      <c r="E523" s="25" t="s">
        <v>0</v>
      </c>
      <c r="F523" s="26">
        <v>51000</v>
      </c>
    </row>
    <row r="524" spans="1:6" ht="22.5" hidden="1" customHeight="1" x14ac:dyDescent="0.2">
      <c r="A524" s="23">
        <v>46179</v>
      </c>
      <c r="B524" s="24" t="s">
        <v>650</v>
      </c>
      <c r="C524" s="25" t="s">
        <v>43</v>
      </c>
      <c r="D524" s="25" t="s">
        <v>44</v>
      </c>
      <c r="E524" s="25" t="s">
        <v>2</v>
      </c>
      <c r="F524" s="26">
        <v>23000</v>
      </c>
    </row>
    <row r="525" spans="1:6" ht="22.5" hidden="1" customHeight="1" x14ac:dyDescent="0.2">
      <c r="A525" s="23">
        <v>46179</v>
      </c>
      <c r="B525" s="24" t="s">
        <v>651</v>
      </c>
      <c r="C525" s="25" t="s">
        <v>46</v>
      </c>
      <c r="D525" s="25" t="s">
        <v>39</v>
      </c>
      <c r="E525" s="71" t="s">
        <v>20</v>
      </c>
      <c r="F525" s="26">
        <v>1000</v>
      </c>
    </row>
    <row r="526" spans="1:6" ht="22.5" hidden="1" customHeight="1" x14ac:dyDescent="0.2">
      <c r="A526" s="23">
        <v>46179</v>
      </c>
      <c r="B526" s="24" t="s">
        <v>652</v>
      </c>
      <c r="C526" s="25" t="s">
        <v>43</v>
      </c>
      <c r="D526" s="25" t="s">
        <v>44</v>
      </c>
      <c r="E526" s="25" t="s">
        <v>3</v>
      </c>
      <c r="F526" s="26">
        <v>48000</v>
      </c>
    </row>
    <row r="527" spans="1:6" ht="22.5" hidden="1" customHeight="1" x14ac:dyDescent="0.2">
      <c r="A527" s="23">
        <v>46179</v>
      </c>
      <c r="B527" s="24" t="s">
        <v>653</v>
      </c>
      <c r="C527" s="25" t="s">
        <v>46</v>
      </c>
      <c r="D527" s="25" t="s">
        <v>44</v>
      </c>
      <c r="E527" s="25" t="s">
        <v>7</v>
      </c>
      <c r="F527" s="26">
        <v>5000</v>
      </c>
    </row>
    <row r="528" spans="1:6" ht="22.5" hidden="1" customHeight="1" x14ac:dyDescent="0.2">
      <c r="A528" s="23">
        <v>46179</v>
      </c>
      <c r="B528" s="24" t="s">
        <v>654</v>
      </c>
      <c r="C528" s="25" t="s">
        <v>43</v>
      </c>
      <c r="D528" s="25" t="s">
        <v>44</v>
      </c>
      <c r="E528" s="25" t="s">
        <v>3</v>
      </c>
      <c r="F528" s="26">
        <v>1000</v>
      </c>
    </row>
    <row r="529" spans="1:6" ht="22.5" hidden="1" customHeight="1" x14ac:dyDescent="0.2">
      <c r="A529" s="23">
        <v>46179</v>
      </c>
      <c r="B529" s="24" t="s">
        <v>655</v>
      </c>
      <c r="C529" s="25" t="s">
        <v>43</v>
      </c>
      <c r="D529" s="25" t="s">
        <v>44</v>
      </c>
      <c r="E529" s="25" t="s">
        <v>3</v>
      </c>
      <c r="F529" s="26">
        <v>13000</v>
      </c>
    </row>
    <row r="530" spans="1:6" ht="22.5" hidden="1" customHeight="1" x14ac:dyDescent="0.2">
      <c r="A530" s="23">
        <v>46179</v>
      </c>
      <c r="B530" s="24" t="s">
        <v>656</v>
      </c>
      <c r="C530" s="25" t="s">
        <v>43</v>
      </c>
      <c r="D530" s="25" t="s">
        <v>44</v>
      </c>
      <c r="E530" s="25" t="s">
        <v>3</v>
      </c>
      <c r="F530" s="26">
        <v>19000</v>
      </c>
    </row>
    <row r="531" spans="1:6" ht="22.5" hidden="1" customHeight="1" x14ac:dyDescent="0.2">
      <c r="A531" s="23">
        <v>46178</v>
      </c>
      <c r="B531" s="24" t="s">
        <v>266</v>
      </c>
      <c r="C531" s="25" t="s">
        <v>46</v>
      </c>
      <c r="D531" s="25" t="s">
        <v>44</v>
      </c>
      <c r="E531" s="25" t="s">
        <v>3</v>
      </c>
      <c r="F531" s="26">
        <v>133500</v>
      </c>
    </row>
    <row r="532" spans="1:6" ht="22.5" hidden="1" customHeight="1" x14ac:dyDescent="0.2">
      <c r="A532" s="23">
        <v>46180</v>
      </c>
      <c r="B532" s="24" t="s">
        <v>76</v>
      </c>
      <c r="C532" s="25" t="s">
        <v>43</v>
      </c>
      <c r="D532" s="25" t="s">
        <v>44</v>
      </c>
      <c r="E532" s="25" t="s">
        <v>9</v>
      </c>
      <c r="F532" s="26">
        <v>100000</v>
      </c>
    </row>
    <row r="533" spans="1:6" ht="22.5" hidden="1" customHeight="1" x14ac:dyDescent="0.2">
      <c r="A533" s="23">
        <v>46180</v>
      </c>
      <c r="B533" s="24" t="s">
        <v>78</v>
      </c>
      <c r="C533" s="25" t="s">
        <v>46</v>
      </c>
      <c r="D533" s="25" t="s">
        <v>39</v>
      </c>
      <c r="E533" s="25" t="s">
        <v>9</v>
      </c>
      <c r="F533" s="26">
        <v>100000</v>
      </c>
    </row>
    <row r="534" spans="1:6" ht="22.5" hidden="1" customHeight="1" x14ac:dyDescent="0.2">
      <c r="A534" s="23">
        <v>46180</v>
      </c>
      <c r="B534" s="24" t="s">
        <v>657</v>
      </c>
      <c r="C534" s="25" t="s">
        <v>46</v>
      </c>
      <c r="D534" s="25" t="s">
        <v>44</v>
      </c>
      <c r="E534" s="25" t="s">
        <v>3</v>
      </c>
      <c r="F534" s="26">
        <v>10000</v>
      </c>
    </row>
    <row r="535" spans="1:6" ht="22.5" hidden="1" customHeight="1" x14ac:dyDescent="0.2">
      <c r="A535" s="23">
        <v>46180</v>
      </c>
      <c r="B535" s="24" t="s">
        <v>658</v>
      </c>
      <c r="C535" s="25" t="s">
        <v>43</v>
      </c>
      <c r="D535" s="25" t="s">
        <v>44</v>
      </c>
      <c r="E535" s="25" t="s">
        <v>2</v>
      </c>
      <c r="F535" s="26">
        <v>8250</v>
      </c>
    </row>
    <row r="536" spans="1:6" ht="22.5" hidden="1" customHeight="1" x14ac:dyDescent="0.2">
      <c r="A536" s="23">
        <v>46181</v>
      </c>
      <c r="B536" s="24" t="s">
        <v>659</v>
      </c>
      <c r="C536" s="25" t="s">
        <v>43</v>
      </c>
      <c r="D536" s="25" t="s">
        <v>44</v>
      </c>
      <c r="E536" s="25" t="s">
        <v>0</v>
      </c>
      <c r="F536" s="26">
        <v>55000</v>
      </c>
    </row>
    <row r="537" spans="1:6" ht="22.5" hidden="1" customHeight="1" x14ac:dyDescent="0.2">
      <c r="A537" s="23">
        <v>46180</v>
      </c>
      <c r="B537" s="24" t="s">
        <v>660</v>
      </c>
      <c r="C537" s="25" t="s">
        <v>46</v>
      </c>
      <c r="D537" s="25" t="s">
        <v>44</v>
      </c>
      <c r="E537" s="25" t="s">
        <v>2</v>
      </c>
      <c r="F537" s="26">
        <v>33000</v>
      </c>
    </row>
    <row r="538" spans="1:6" ht="22.5" hidden="1" customHeight="1" x14ac:dyDescent="0.2">
      <c r="A538" s="23">
        <v>46182</v>
      </c>
      <c r="B538" s="24" t="s">
        <v>107</v>
      </c>
      <c r="C538" s="25" t="s">
        <v>46</v>
      </c>
      <c r="D538" s="25" t="s">
        <v>44</v>
      </c>
      <c r="E538" s="25" t="s">
        <v>6</v>
      </c>
      <c r="F538" s="26">
        <v>15000</v>
      </c>
    </row>
    <row r="539" spans="1:6" ht="22.5" hidden="1" customHeight="1" x14ac:dyDescent="0.2">
      <c r="A539" s="23">
        <v>46180</v>
      </c>
      <c r="B539" s="24" t="s">
        <v>661</v>
      </c>
      <c r="C539" s="25" t="s">
        <v>46</v>
      </c>
      <c r="D539" s="25" t="s">
        <v>44</v>
      </c>
      <c r="E539" s="25" t="s">
        <v>2</v>
      </c>
      <c r="F539" s="26">
        <v>12000</v>
      </c>
    </row>
    <row r="540" spans="1:6" ht="22.5" hidden="1" customHeight="1" x14ac:dyDescent="0.2">
      <c r="A540" s="23">
        <v>46181</v>
      </c>
      <c r="B540" s="24" t="s">
        <v>564</v>
      </c>
      <c r="C540" s="25" t="s">
        <v>46</v>
      </c>
      <c r="D540" s="25" t="s">
        <v>44</v>
      </c>
      <c r="E540" s="25" t="s">
        <v>2</v>
      </c>
      <c r="F540" s="26">
        <v>30000</v>
      </c>
    </row>
    <row r="541" spans="1:6" ht="22.5" hidden="1" customHeight="1" x14ac:dyDescent="0.2">
      <c r="A541" s="23">
        <v>46182</v>
      </c>
      <c r="B541" s="24" t="s">
        <v>663</v>
      </c>
      <c r="C541" s="25" t="s">
        <v>43</v>
      </c>
      <c r="D541" s="25" t="s">
        <v>44</v>
      </c>
      <c r="E541" s="25" t="s">
        <v>8</v>
      </c>
      <c r="F541" s="26">
        <v>29500</v>
      </c>
    </row>
    <row r="542" spans="1:6" ht="22.5" hidden="1" customHeight="1" x14ac:dyDescent="0.2">
      <c r="A542" s="23">
        <v>46181</v>
      </c>
      <c r="B542" s="24" t="s">
        <v>97</v>
      </c>
      <c r="C542" s="25" t="s">
        <v>43</v>
      </c>
      <c r="D542" s="25" t="s">
        <v>44</v>
      </c>
      <c r="E542" s="25" t="s">
        <v>9</v>
      </c>
      <c r="F542" s="26">
        <v>100000</v>
      </c>
    </row>
    <row r="543" spans="1:6" ht="22.5" hidden="1" customHeight="1" x14ac:dyDescent="0.2">
      <c r="A543" s="23">
        <v>46181</v>
      </c>
      <c r="B543" s="24" t="s">
        <v>484</v>
      </c>
      <c r="C543" s="25" t="s">
        <v>46</v>
      </c>
      <c r="D543" s="25" t="s">
        <v>39</v>
      </c>
      <c r="E543" s="25" t="s">
        <v>9</v>
      </c>
      <c r="F543" s="26">
        <v>100000</v>
      </c>
    </row>
    <row r="544" spans="1:6" ht="22.5" hidden="1" customHeight="1" x14ac:dyDescent="0.2">
      <c r="A544" s="23">
        <v>46182</v>
      </c>
      <c r="B544" s="24" t="s">
        <v>664</v>
      </c>
      <c r="C544" s="25" t="s">
        <v>46</v>
      </c>
      <c r="D544" s="25" t="s">
        <v>44</v>
      </c>
      <c r="E544" s="25" t="s">
        <v>3</v>
      </c>
      <c r="F544" s="26">
        <v>13000</v>
      </c>
    </row>
    <row r="545" spans="1:6" ht="22.5" hidden="1" customHeight="1" x14ac:dyDescent="0.2">
      <c r="A545" s="23">
        <v>46182</v>
      </c>
      <c r="B545" s="24" t="s">
        <v>665</v>
      </c>
      <c r="C545" s="25" t="s">
        <v>46</v>
      </c>
      <c r="D545" s="25" t="s">
        <v>44</v>
      </c>
      <c r="E545" s="25" t="s">
        <v>2</v>
      </c>
      <c r="F545" s="26">
        <v>13000</v>
      </c>
    </row>
    <row r="546" spans="1:6" ht="22.5" hidden="1" customHeight="1" x14ac:dyDescent="0.2">
      <c r="A546" s="23">
        <v>46183</v>
      </c>
      <c r="B546" s="24" t="s">
        <v>666</v>
      </c>
      <c r="C546" s="25" t="s">
        <v>43</v>
      </c>
      <c r="D546" s="25" t="s">
        <v>44</v>
      </c>
      <c r="E546" s="25" t="s">
        <v>0</v>
      </c>
      <c r="F546" s="26">
        <v>9250</v>
      </c>
    </row>
    <row r="547" spans="1:6" ht="22.5" hidden="1" customHeight="1" x14ac:dyDescent="0.2">
      <c r="A547" s="23">
        <v>46183</v>
      </c>
      <c r="B547" s="24" t="s">
        <v>235</v>
      </c>
      <c r="C547" s="25" t="s">
        <v>46</v>
      </c>
      <c r="D547" s="25" t="s">
        <v>44</v>
      </c>
      <c r="E547" s="25" t="s">
        <v>2</v>
      </c>
      <c r="F547" s="26">
        <v>4000</v>
      </c>
    </row>
    <row r="548" spans="1:6" ht="22.5" hidden="1" customHeight="1" x14ac:dyDescent="0.2">
      <c r="A548" s="23">
        <v>46183</v>
      </c>
      <c r="B548" s="24" t="s">
        <v>667</v>
      </c>
      <c r="C548" s="25" t="s">
        <v>46</v>
      </c>
      <c r="D548" s="25" t="s">
        <v>44</v>
      </c>
      <c r="E548" s="25" t="s">
        <v>3</v>
      </c>
      <c r="F548" s="26">
        <v>45000</v>
      </c>
    </row>
    <row r="549" spans="1:6" ht="22.5" hidden="1" customHeight="1" x14ac:dyDescent="0.2">
      <c r="A549" s="23">
        <v>46184</v>
      </c>
      <c r="B549" s="24" t="s">
        <v>668</v>
      </c>
      <c r="C549" s="25" t="s">
        <v>43</v>
      </c>
      <c r="D549" s="25" t="s">
        <v>44</v>
      </c>
      <c r="E549" s="25" t="s">
        <v>9</v>
      </c>
      <c r="F549" s="26">
        <v>100000</v>
      </c>
    </row>
    <row r="550" spans="1:6" ht="22.5" hidden="1" customHeight="1" x14ac:dyDescent="0.2">
      <c r="A550" s="23">
        <v>46184</v>
      </c>
      <c r="B550" s="24" t="s">
        <v>484</v>
      </c>
      <c r="C550" s="25" t="s">
        <v>46</v>
      </c>
      <c r="D550" s="25" t="s">
        <v>39</v>
      </c>
      <c r="E550" s="25" t="s">
        <v>9</v>
      </c>
      <c r="F550" s="26">
        <v>100000</v>
      </c>
    </row>
    <row r="551" spans="1:6" ht="22.5" hidden="1" customHeight="1" x14ac:dyDescent="0.2">
      <c r="A551" s="23">
        <v>46184</v>
      </c>
      <c r="B551" s="24" t="s">
        <v>669</v>
      </c>
      <c r="C551" s="25" t="s">
        <v>46</v>
      </c>
      <c r="D551" s="25" t="s">
        <v>44</v>
      </c>
      <c r="E551" s="25" t="s">
        <v>3</v>
      </c>
      <c r="F551" s="26">
        <v>3000</v>
      </c>
    </row>
    <row r="552" spans="1:6" ht="22.5" hidden="1" customHeight="1" x14ac:dyDescent="0.2">
      <c r="A552" s="23">
        <v>46184</v>
      </c>
      <c r="B552" s="24" t="s">
        <v>670</v>
      </c>
      <c r="C552" s="25" t="s">
        <v>46</v>
      </c>
      <c r="D552" s="25" t="s">
        <v>44</v>
      </c>
      <c r="E552" s="25" t="s">
        <v>6</v>
      </c>
      <c r="F552" s="26">
        <v>22000</v>
      </c>
    </row>
    <row r="553" spans="1:6" ht="22.5" hidden="1" customHeight="1" x14ac:dyDescent="0.2">
      <c r="A553" s="23">
        <v>46184</v>
      </c>
      <c r="B553" s="24" t="s">
        <v>671</v>
      </c>
      <c r="C553" s="25" t="s">
        <v>46</v>
      </c>
      <c r="D553" s="25" t="s">
        <v>44</v>
      </c>
      <c r="E553" s="25" t="s">
        <v>6</v>
      </c>
      <c r="F553" s="26">
        <v>6000</v>
      </c>
    </row>
    <row r="554" spans="1:6" ht="22.5" hidden="1" customHeight="1" x14ac:dyDescent="0.2">
      <c r="A554" s="23">
        <v>46184</v>
      </c>
      <c r="B554" s="24" t="s">
        <v>480</v>
      </c>
      <c r="C554" s="25" t="s">
        <v>46</v>
      </c>
      <c r="D554" s="25" t="s">
        <v>44</v>
      </c>
      <c r="E554" s="25" t="s">
        <v>3</v>
      </c>
      <c r="F554" s="26">
        <v>5000</v>
      </c>
    </row>
    <row r="555" spans="1:6" ht="22.5" hidden="1" customHeight="1" x14ac:dyDescent="0.2">
      <c r="A555" s="23">
        <v>46184</v>
      </c>
      <c r="B555" s="24" t="s">
        <v>672</v>
      </c>
      <c r="C555" s="25" t="s">
        <v>46</v>
      </c>
      <c r="D555" s="25" t="s">
        <v>44</v>
      </c>
      <c r="E555" s="25" t="s">
        <v>2</v>
      </c>
      <c r="F555" s="26">
        <v>16000</v>
      </c>
    </row>
    <row r="556" spans="1:6" ht="22.5" hidden="1" customHeight="1" x14ac:dyDescent="0.2">
      <c r="A556" s="23">
        <v>46184</v>
      </c>
      <c r="B556" s="24" t="s">
        <v>610</v>
      </c>
      <c r="C556" s="25" t="s">
        <v>46</v>
      </c>
      <c r="D556" s="25" t="s">
        <v>44</v>
      </c>
      <c r="E556" s="25" t="s">
        <v>2</v>
      </c>
      <c r="F556" s="26">
        <v>19000</v>
      </c>
    </row>
    <row r="557" spans="1:6" ht="22.5" hidden="1" customHeight="1" x14ac:dyDescent="0.2">
      <c r="A557" s="23">
        <v>46184</v>
      </c>
      <c r="B557" s="24" t="s">
        <v>673</v>
      </c>
      <c r="C557" s="25" t="s">
        <v>46</v>
      </c>
      <c r="D557" s="25" t="s">
        <v>44</v>
      </c>
      <c r="E557" s="25" t="s">
        <v>1</v>
      </c>
      <c r="F557" s="26">
        <v>28000</v>
      </c>
    </row>
    <row r="558" spans="1:6" ht="22.5" hidden="1" customHeight="1" x14ac:dyDescent="0.2">
      <c r="A558" s="23">
        <v>46185</v>
      </c>
      <c r="B558" s="24" t="s">
        <v>674</v>
      </c>
      <c r="C558" s="25" t="s">
        <v>46</v>
      </c>
      <c r="D558" s="25" t="s">
        <v>44</v>
      </c>
      <c r="E558" s="25" t="s">
        <v>3</v>
      </c>
      <c r="F558" s="26">
        <v>18000</v>
      </c>
    </row>
    <row r="559" spans="1:6" ht="22.5" hidden="1" customHeight="1" x14ac:dyDescent="0.2">
      <c r="A559" s="23">
        <v>46185</v>
      </c>
      <c r="B559" s="24" t="s">
        <v>567</v>
      </c>
      <c r="C559" s="25" t="s">
        <v>46</v>
      </c>
      <c r="D559" s="25" t="s">
        <v>44</v>
      </c>
      <c r="E559" s="25" t="s">
        <v>2</v>
      </c>
      <c r="F559" s="26">
        <v>5000</v>
      </c>
    </row>
    <row r="560" spans="1:6" ht="22.5" hidden="1" customHeight="1" x14ac:dyDescent="0.2">
      <c r="A560" s="23">
        <v>46185</v>
      </c>
      <c r="B560" s="24" t="s">
        <v>675</v>
      </c>
      <c r="C560" s="25" t="s">
        <v>43</v>
      </c>
      <c r="D560" s="25" t="s">
        <v>44</v>
      </c>
      <c r="E560" s="25" t="s">
        <v>3</v>
      </c>
      <c r="F560" s="26">
        <v>35000</v>
      </c>
    </row>
    <row r="561" spans="1:6" ht="22.5" hidden="1" customHeight="1" x14ac:dyDescent="0.2">
      <c r="A561" s="23">
        <v>46185</v>
      </c>
      <c r="B561" s="24" t="s">
        <v>330</v>
      </c>
      <c r="C561" s="25" t="s">
        <v>43</v>
      </c>
      <c r="D561" s="25" t="s">
        <v>44</v>
      </c>
      <c r="E561" s="25" t="s">
        <v>7</v>
      </c>
      <c r="F561" s="26">
        <v>5000</v>
      </c>
    </row>
    <row r="562" spans="1:6" ht="22.5" hidden="1" customHeight="1" x14ac:dyDescent="0.2">
      <c r="A562" s="23">
        <v>46185</v>
      </c>
      <c r="B562" s="24" t="s">
        <v>676</v>
      </c>
      <c r="C562" s="25" t="s">
        <v>43</v>
      </c>
      <c r="D562" s="25" t="s">
        <v>44</v>
      </c>
      <c r="E562" s="25" t="s">
        <v>1</v>
      </c>
      <c r="F562" s="26">
        <v>60000</v>
      </c>
    </row>
    <row r="563" spans="1:6" ht="22.5" hidden="1" customHeight="1" x14ac:dyDescent="0.2">
      <c r="A563" s="23">
        <v>46185</v>
      </c>
      <c r="B563" s="24" t="s">
        <v>482</v>
      </c>
      <c r="C563" s="25" t="s">
        <v>43</v>
      </c>
      <c r="D563" s="25" t="s">
        <v>44</v>
      </c>
      <c r="E563" s="25" t="s">
        <v>9</v>
      </c>
      <c r="F563" s="26">
        <v>100000</v>
      </c>
    </row>
    <row r="564" spans="1:6" ht="22.5" hidden="1" customHeight="1" x14ac:dyDescent="0.2">
      <c r="A564" s="23">
        <v>46185</v>
      </c>
      <c r="B564" s="24" t="s">
        <v>484</v>
      </c>
      <c r="C564" s="25" t="s">
        <v>46</v>
      </c>
      <c r="D564" s="25" t="s">
        <v>39</v>
      </c>
      <c r="E564" s="25" t="s">
        <v>9</v>
      </c>
      <c r="F564" s="26">
        <v>100000</v>
      </c>
    </row>
    <row r="565" spans="1:6" ht="22.5" hidden="1" customHeight="1" x14ac:dyDescent="0.2">
      <c r="A565" s="23">
        <v>46185</v>
      </c>
      <c r="B565" s="24" t="s">
        <v>677</v>
      </c>
      <c r="C565" s="25" t="s">
        <v>46</v>
      </c>
      <c r="D565" s="25" t="s">
        <v>44</v>
      </c>
      <c r="E565" s="25" t="s">
        <v>3</v>
      </c>
      <c r="F565" s="26">
        <v>92000</v>
      </c>
    </row>
    <row r="566" spans="1:6" ht="22.5" hidden="1" customHeight="1" x14ac:dyDescent="0.2">
      <c r="A566" s="23">
        <v>46186</v>
      </c>
      <c r="B566" s="24" t="s">
        <v>678</v>
      </c>
      <c r="C566" s="25" t="s">
        <v>43</v>
      </c>
      <c r="D566" s="25" t="s">
        <v>44</v>
      </c>
      <c r="E566" s="25" t="s">
        <v>2</v>
      </c>
      <c r="F566" s="26">
        <v>6000</v>
      </c>
    </row>
    <row r="567" spans="1:6" ht="22.5" hidden="1" customHeight="1" x14ac:dyDescent="0.2">
      <c r="A567" s="23">
        <v>46186</v>
      </c>
      <c r="B567" s="24" t="s">
        <v>679</v>
      </c>
      <c r="C567" s="25" t="s">
        <v>43</v>
      </c>
      <c r="D567" s="25" t="s">
        <v>44</v>
      </c>
      <c r="E567" s="25" t="s">
        <v>2</v>
      </c>
      <c r="F567" s="26">
        <v>8000</v>
      </c>
    </row>
    <row r="568" spans="1:6" ht="22.5" hidden="1" customHeight="1" x14ac:dyDescent="0.2">
      <c r="A568" s="23">
        <v>46186</v>
      </c>
      <c r="B568" s="24" t="s">
        <v>680</v>
      </c>
      <c r="C568" s="25" t="s">
        <v>43</v>
      </c>
      <c r="D568" s="25" t="s">
        <v>44</v>
      </c>
      <c r="E568" s="25" t="s">
        <v>2</v>
      </c>
      <c r="F568" s="26">
        <v>25000</v>
      </c>
    </row>
    <row r="569" spans="1:6" ht="22.5" hidden="1" customHeight="1" x14ac:dyDescent="0.2">
      <c r="A569" s="23">
        <v>46186</v>
      </c>
      <c r="B569" s="24" t="s">
        <v>281</v>
      </c>
      <c r="C569" s="25" t="s">
        <v>43</v>
      </c>
      <c r="D569" s="25" t="s">
        <v>44</v>
      </c>
      <c r="E569" s="25" t="s">
        <v>1</v>
      </c>
      <c r="F569" s="26">
        <v>9000</v>
      </c>
    </row>
    <row r="570" spans="1:6" ht="22.5" hidden="1" customHeight="1" x14ac:dyDescent="0.2">
      <c r="A570" s="23">
        <v>46186</v>
      </c>
      <c r="B570" s="24" t="s">
        <v>681</v>
      </c>
      <c r="C570" s="25" t="s">
        <v>46</v>
      </c>
      <c r="D570" s="25" t="s">
        <v>44</v>
      </c>
      <c r="E570" s="25" t="s">
        <v>2</v>
      </c>
      <c r="F570" s="26">
        <v>10000</v>
      </c>
    </row>
    <row r="571" spans="1:6" ht="22.5" hidden="1" customHeight="1" x14ac:dyDescent="0.2">
      <c r="A571" s="23">
        <v>46186</v>
      </c>
      <c r="B571" s="24" t="s">
        <v>482</v>
      </c>
      <c r="C571" s="25" t="s">
        <v>43</v>
      </c>
      <c r="D571" s="25" t="s">
        <v>44</v>
      </c>
      <c r="E571" s="25" t="s">
        <v>9</v>
      </c>
      <c r="F571" s="26">
        <v>100000</v>
      </c>
    </row>
    <row r="572" spans="1:6" ht="22.5" hidden="1" customHeight="1" x14ac:dyDescent="0.2">
      <c r="A572" s="23">
        <v>46186</v>
      </c>
      <c r="B572" s="24" t="s">
        <v>484</v>
      </c>
      <c r="C572" s="25" t="s">
        <v>46</v>
      </c>
      <c r="D572" s="25" t="s">
        <v>39</v>
      </c>
      <c r="E572" s="25" t="s">
        <v>9</v>
      </c>
      <c r="F572" s="26">
        <v>100000</v>
      </c>
    </row>
    <row r="573" spans="1:6" ht="22.5" hidden="1" customHeight="1" x14ac:dyDescent="0.2">
      <c r="A573" s="23">
        <v>46186</v>
      </c>
      <c r="B573" s="24" t="s">
        <v>682</v>
      </c>
      <c r="C573" s="25" t="s">
        <v>46</v>
      </c>
      <c r="D573" s="25" t="s">
        <v>44</v>
      </c>
      <c r="E573" s="25" t="s">
        <v>6</v>
      </c>
      <c r="F573" s="26">
        <v>25000</v>
      </c>
    </row>
    <row r="574" spans="1:6" ht="22.5" hidden="1" customHeight="1" x14ac:dyDescent="0.2">
      <c r="A574" s="23">
        <v>46186</v>
      </c>
      <c r="B574" s="24" t="s">
        <v>683</v>
      </c>
      <c r="C574" s="25" t="s">
        <v>46</v>
      </c>
      <c r="D574" s="25" t="s">
        <v>44</v>
      </c>
      <c r="E574" s="25" t="s">
        <v>2</v>
      </c>
      <c r="F574" s="26">
        <v>23000</v>
      </c>
    </row>
    <row r="575" spans="1:6" ht="22.5" hidden="1" customHeight="1" x14ac:dyDescent="0.2">
      <c r="A575" s="23">
        <v>46186</v>
      </c>
      <c r="B575" s="24" t="s">
        <v>684</v>
      </c>
      <c r="C575" s="25" t="s">
        <v>43</v>
      </c>
      <c r="D575" s="25" t="s">
        <v>39</v>
      </c>
      <c r="E575" s="71" t="s">
        <v>20</v>
      </c>
      <c r="F575" s="26">
        <v>100000</v>
      </c>
    </row>
    <row r="576" spans="1:6" ht="22.5" hidden="1" customHeight="1" x14ac:dyDescent="0.2">
      <c r="A576" s="23">
        <v>46187</v>
      </c>
      <c r="B576" s="24" t="s">
        <v>685</v>
      </c>
      <c r="C576" s="25" t="s">
        <v>46</v>
      </c>
      <c r="D576" s="25" t="s">
        <v>44</v>
      </c>
      <c r="E576" s="25" t="s">
        <v>3</v>
      </c>
      <c r="F576" s="26">
        <v>36000</v>
      </c>
    </row>
    <row r="577" spans="1:6" ht="22.5" hidden="1" customHeight="1" x14ac:dyDescent="0.2">
      <c r="A577" s="23">
        <v>46187</v>
      </c>
      <c r="B577" s="24" t="s">
        <v>686</v>
      </c>
      <c r="C577" s="25" t="s">
        <v>46</v>
      </c>
      <c r="D577" s="25" t="s">
        <v>44</v>
      </c>
      <c r="E577" s="25" t="s">
        <v>2</v>
      </c>
      <c r="F577" s="26">
        <v>10000</v>
      </c>
    </row>
    <row r="578" spans="1:6" ht="22.5" hidden="1" customHeight="1" x14ac:dyDescent="0.2">
      <c r="A578" s="23">
        <v>46186</v>
      </c>
      <c r="B578" s="24" t="s">
        <v>575</v>
      </c>
      <c r="C578" s="25" t="s">
        <v>43</v>
      </c>
      <c r="D578" s="25" t="s">
        <v>39</v>
      </c>
      <c r="E578" s="71" t="s">
        <v>73</v>
      </c>
      <c r="F578" s="26">
        <v>29000</v>
      </c>
    </row>
    <row r="579" spans="1:6" ht="22.5" hidden="1" customHeight="1" x14ac:dyDescent="0.2">
      <c r="A579" s="23">
        <v>46187</v>
      </c>
      <c r="B579" s="24" t="s">
        <v>687</v>
      </c>
      <c r="C579" s="25" t="s">
        <v>43</v>
      </c>
      <c r="D579" s="25" t="s">
        <v>44</v>
      </c>
      <c r="E579" s="25" t="s">
        <v>0</v>
      </c>
      <c r="F579" s="26">
        <v>12000</v>
      </c>
    </row>
    <row r="580" spans="1:6" ht="22.5" hidden="1" customHeight="1" x14ac:dyDescent="0.2">
      <c r="A580" s="23">
        <v>46190</v>
      </c>
      <c r="B580" s="24" t="s">
        <v>688</v>
      </c>
      <c r="C580" s="25" t="s">
        <v>43</v>
      </c>
      <c r="D580" s="25" t="s">
        <v>44</v>
      </c>
      <c r="E580" s="25" t="s">
        <v>0</v>
      </c>
      <c r="F580" s="26">
        <v>51750</v>
      </c>
    </row>
    <row r="581" spans="1:6" ht="22.5" hidden="1" customHeight="1" x14ac:dyDescent="0.2">
      <c r="A581" s="23">
        <v>46187</v>
      </c>
      <c r="B581" s="24" t="s">
        <v>689</v>
      </c>
      <c r="C581" s="25" t="s">
        <v>43</v>
      </c>
      <c r="D581" s="25" t="s">
        <v>44</v>
      </c>
      <c r="E581" s="25" t="s">
        <v>8</v>
      </c>
      <c r="F581" s="26">
        <v>12000</v>
      </c>
    </row>
    <row r="582" spans="1:6" ht="22.5" hidden="1" customHeight="1" x14ac:dyDescent="0.2">
      <c r="A582" s="23">
        <v>46188</v>
      </c>
      <c r="B582" s="24" t="s">
        <v>690</v>
      </c>
      <c r="C582" s="25" t="s">
        <v>43</v>
      </c>
      <c r="D582" s="25" t="s">
        <v>44</v>
      </c>
      <c r="E582" s="25" t="s">
        <v>3</v>
      </c>
      <c r="F582" s="26">
        <v>33000</v>
      </c>
    </row>
    <row r="583" spans="1:6" ht="22.5" hidden="1" customHeight="1" x14ac:dyDescent="0.2">
      <c r="A583" s="23">
        <v>46188</v>
      </c>
      <c r="B583" s="24" t="s">
        <v>691</v>
      </c>
      <c r="C583" s="25" t="s">
        <v>43</v>
      </c>
      <c r="D583" s="25" t="s">
        <v>44</v>
      </c>
      <c r="E583" s="25" t="s">
        <v>1</v>
      </c>
      <c r="F583" s="26">
        <v>56800</v>
      </c>
    </row>
    <row r="584" spans="1:6" ht="22.5" hidden="1" customHeight="1" x14ac:dyDescent="0.2">
      <c r="A584" s="23">
        <v>46189</v>
      </c>
      <c r="B584" s="24" t="s">
        <v>692</v>
      </c>
      <c r="C584" s="25" t="s">
        <v>43</v>
      </c>
      <c r="D584" s="25" t="s">
        <v>44</v>
      </c>
      <c r="E584" s="25" t="s">
        <v>2</v>
      </c>
      <c r="F584" s="26">
        <v>55200</v>
      </c>
    </row>
    <row r="585" spans="1:6" ht="22.5" hidden="1" customHeight="1" x14ac:dyDescent="0.2">
      <c r="A585" s="23">
        <v>46189</v>
      </c>
      <c r="B585" s="24" t="s">
        <v>693</v>
      </c>
      <c r="C585" s="25" t="s">
        <v>43</v>
      </c>
      <c r="D585" s="25" t="s">
        <v>39</v>
      </c>
      <c r="E585" s="71" t="s">
        <v>986</v>
      </c>
      <c r="F585" s="26">
        <v>48900</v>
      </c>
    </row>
    <row r="586" spans="1:6" ht="22.5" hidden="1" customHeight="1" x14ac:dyDescent="0.2">
      <c r="A586" s="23">
        <v>46189</v>
      </c>
      <c r="B586" s="24" t="s">
        <v>694</v>
      </c>
      <c r="C586" s="25" t="s">
        <v>43</v>
      </c>
      <c r="D586" s="25" t="s">
        <v>39</v>
      </c>
      <c r="E586" s="71" t="s">
        <v>986</v>
      </c>
      <c r="F586" s="26">
        <v>153840</v>
      </c>
    </row>
    <row r="587" spans="1:6" ht="22.5" hidden="1" customHeight="1" x14ac:dyDescent="0.2">
      <c r="A587" s="23">
        <v>46189</v>
      </c>
      <c r="B587" s="24" t="s">
        <v>482</v>
      </c>
      <c r="C587" s="25" t="s">
        <v>43</v>
      </c>
      <c r="D587" s="25" t="s">
        <v>44</v>
      </c>
      <c r="E587" s="25" t="s">
        <v>9</v>
      </c>
      <c r="F587" s="26">
        <v>50000</v>
      </c>
    </row>
    <row r="588" spans="1:6" ht="22.5" hidden="1" customHeight="1" x14ac:dyDescent="0.2">
      <c r="A588" s="23">
        <v>46189</v>
      </c>
      <c r="B588" s="24" t="s">
        <v>484</v>
      </c>
      <c r="C588" s="25" t="s">
        <v>46</v>
      </c>
      <c r="D588" s="25" t="s">
        <v>39</v>
      </c>
      <c r="E588" s="25" t="s">
        <v>9</v>
      </c>
      <c r="F588" s="26">
        <v>50000</v>
      </c>
    </row>
    <row r="589" spans="1:6" ht="22.5" hidden="1" customHeight="1" x14ac:dyDescent="0.2">
      <c r="A589" s="23">
        <v>46189</v>
      </c>
      <c r="B589" s="24" t="s">
        <v>482</v>
      </c>
      <c r="C589" s="25" t="s">
        <v>43</v>
      </c>
      <c r="D589" s="25" t="s">
        <v>44</v>
      </c>
      <c r="E589" s="25" t="s">
        <v>9</v>
      </c>
      <c r="F589" s="26">
        <v>100000</v>
      </c>
    </row>
    <row r="590" spans="1:6" ht="22.5" hidden="1" customHeight="1" x14ac:dyDescent="0.2">
      <c r="A590" s="23">
        <v>46189</v>
      </c>
      <c r="B590" s="24" t="s">
        <v>484</v>
      </c>
      <c r="C590" s="25" t="s">
        <v>46</v>
      </c>
      <c r="D590" s="25" t="s">
        <v>39</v>
      </c>
      <c r="E590" s="25" t="s">
        <v>9</v>
      </c>
      <c r="F590" s="26">
        <v>100000</v>
      </c>
    </row>
    <row r="591" spans="1:6" ht="22.5" hidden="1" customHeight="1" x14ac:dyDescent="0.2">
      <c r="A591" s="23">
        <v>46189</v>
      </c>
      <c r="B591" s="24" t="s">
        <v>695</v>
      </c>
      <c r="C591" s="25" t="s">
        <v>46</v>
      </c>
      <c r="D591" s="25" t="s">
        <v>44</v>
      </c>
      <c r="E591" s="25" t="s">
        <v>2</v>
      </c>
      <c r="F591" s="26">
        <v>2000</v>
      </c>
    </row>
    <row r="592" spans="1:6" ht="22.5" hidden="1" customHeight="1" x14ac:dyDescent="0.2">
      <c r="A592" s="23">
        <v>46189</v>
      </c>
      <c r="B592" s="24" t="s">
        <v>696</v>
      </c>
      <c r="C592" s="25" t="s">
        <v>46</v>
      </c>
      <c r="D592" s="25" t="s">
        <v>44</v>
      </c>
      <c r="E592" s="25" t="s">
        <v>2</v>
      </c>
      <c r="F592" s="26">
        <v>31000</v>
      </c>
    </row>
    <row r="593" spans="1:6" ht="22.5" hidden="1" customHeight="1" x14ac:dyDescent="0.2">
      <c r="A593" s="23">
        <v>46189</v>
      </c>
      <c r="B593" s="24" t="s">
        <v>697</v>
      </c>
      <c r="C593" s="25" t="s">
        <v>46</v>
      </c>
      <c r="D593" s="25" t="s">
        <v>44</v>
      </c>
      <c r="E593" s="25" t="s">
        <v>2</v>
      </c>
      <c r="F593" s="26">
        <v>4000</v>
      </c>
    </row>
    <row r="594" spans="1:6" ht="22.5" hidden="1" customHeight="1" x14ac:dyDescent="0.2">
      <c r="A594" s="23">
        <v>46189</v>
      </c>
      <c r="B594" s="24" t="s">
        <v>698</v>
      </c>
      <c r="C594" s="25" t="s">
        <v>46</v>
      </c>
      <c r="D594" s="25" t="s">
        <v>44</v>
      </c>
      <c r="E594" s="25" t="s">
        <v>6</v>
      </c>
      <c r="F594" s="26">
        <v>23000</v>
      </c>
    </row>
    <row r="595" spans="1:6" ht="22.5" hidden="1" customHeight="1" x14ac:dyDescent="0.2">
      <c r="A595" s="23">
        <v>46189</v>
      </c>
      <c r="B595" s="24" t="s">
        <v>699</v>
      </c>
      <c r="C595" s="25" t="s">
        <v>46</v>
      </c>
      <c r="D595" s="25" t="s">
        <v>44</v>
      </c>
      <c r="E595" s="25" t="s">
        <v>2</v>
      </c>
      <c r="F595" s="26">
        <v>9000</v>
      </c>
    </row>
    <row r="596" spans="1:6" ht="22.5" hidden="1" customHeight="1" x14ac:dyDescent="0.2">
      <c r="A596" s="23">
        <v>46190</v>
      </c>
      <c r="B596" s="24" t="s">
        <v>700</v>
      </c>
      <c r="C596" s="25" t="s">
        <v>46</v>
      </c>
      <c r="D596" s="25" t="s">
        <v>44</v>
      </c>
      <c r="E596" s="25" t="s">
        <v>2</v>
      </c>
      <c r="F596" s="26">
        <v>5000</v>
      </c>
    </row>
    <row r="597" spans="1:6" ht="22.5" hidden="1" customHeight="1" x14ac:dyDescent="0.2">
      <c r="A597" s="23">
        <v>46190</v>
      </c>
      <c r="B597" s="24" t="s">
        <v>220</v>
      </c>
      <c r="C597" s="25" t="s">
        <v>46</v>
      </c>
      <c r="D597" s="25" t="s">
        <v>44</v>
      </c>
      <c r="E597" s="25" t="s">
        <v>3</v>
      </c>
      <c r="F597" s="26">
        <v>43000</v>
      </c>
    </row>
    <row r="598" spans="1:6" ht="22.5" hidden="1" customHeight="1" x14ac:dyDescent="0.2">
      <c r="A598" s="23">
        <v>46192</v>
      </c>
      <c r="B598" s="24" t="s">
        <v>701</v>
      </c>
      <c r="C598" s="25" t="s">
        <v>46</v>
      </c>
      <c r="D598" s="25" t="s">
        <v>44</v>
      </c>
      <c r="E598" s="25" t="s">
        <v>2</v>
      </c>
      <c r="F598" s="26">
        <v>10000</v>
      </c>
    </row>
    <row r="599" spans="1:6" ht="22.5" hidden="1" customHeight="1" x14ac:dyDescent="0.2">
      <c r="A599" s="23">
        <v>46192</v>
      </c>
      <c r="B599" s="24" t="s">
        <v>702</v>
      </c>
      <c r="C599" s="25" t="s">
        <v>43</v>
      </c>
      <c r="D599" s="25" t="s">
        <v>39</v>
      </c>
      <c r="E599" s="71" t="s">
        <v>73</v>
      </c>
      <c r="F599" s="26">
        <v>100000</v>
      </c>
    </row>
    <row r="600" spans="1:6" ht="22.5" hidden="1" customHeight="1" x14ac:dyDescent="0.2">
      <c r="A600" s="23">
        <v>46192</v>
      </c>
      <c r="B600" s="24" t="s">
        <v>482</v>
      </c>
      <c r="C600" s="25" t="s">
        <v>43</v>
      </c>
      <c r="D600" s="25" t="s">
        <v>44</v>
      </c>
      <c r="E600" s="25" t="s">
        <v>9</v>
      </c>
      <c r="F600" s="26">
        <v>100000</v>
      </c>
    </row>
    <row r="601" spans="1:6" ht="22.5" hidden="1" customHeight="1" x14ac:dyDescent="0.2">
      <c r="A601" s="23">
        <v>46192</v>
      </c>
      <c r="B601" s="24" t="s">
        <v>484</v>
      </c>
      <c r="C601" s="25" t="s">
        <v>46</v>
      </c>
      <c r="D601" s="25" t="s">
        <v>39</v>
      </c>
      <c r="E601" s="25" t="s">
        <v>9</v>
      </c>
      <c r="F601" s="26">
        <v>100000</v>
      </c>
    </row>
    <row r="602" spans="1:6" ht="22.5" hidden="1" customHeight="1" x14ac:dyDescent="0.2">
      <c r="A602" s="23">
        <v>46192</v>
      </c>
      <c r="B602" s="24" t="s">
        <v>524</v>
      </c>
      <c r="C602" s="25" t="s">
        <v>46</v>
      </c>
      <c r="D602" s="25" t="s">
        <v>44</v>
      </c>
      <c r="E602" s="25" t="s">
        <v>3</v>
      </c>
      <c r="F602" s="26">
        <v>130000</v>
      </c>
    </row>
    <row r="603" spans="1:6" ht="22.5" hidden="1" customHeight="1" x14ac:dyDescent="0.2">
      <c r="A603" s="23">
        <v>46194</v>
      </c>
      <c r="B603" s="24" t="s">
        <v>461</v>
      </c>
      <c r="C603" s="25" t="s">
        <v>43</v>
      </c>
      <c r="D603" s="25" t="s">
        <v>39</v>
      </c>
      <c r="E603" s="71" t="s">
        <v>986</v>
      </c>
      <c r="F603" s="26">
        <v>45324</v>
      </c>
    </row>
    <row r="604" spans="1:6" ht="22.5" hidden="1" customHeight="1" x14ac:dyDescent="0.2">
      <c r="A604" s="23">
        <v>46194</v>
      </c>
      <c r="B604" s="24" t="s">
        <v>482</v>
      </c>
      <c r="C604" s="25" t="s">
        <v>43</v>
      </c>
      <c r="D604" s="25" t="s">
        <v>44</v>
      </c>
      <c r="E604" s="25" t="s">
        <v>9</v>
      </c>
      <c r="F604" s="26">
        <v>50000</v>
      </c>
    </row>
    <row r="605" spans="1:6" ht="22.5" hidden="1" customHeight="1" x14ac:dyDescent="0.2">
      <c r="A605" s="23">
        <v>46194</v>
      </c>
      <c r="B605" s="24" t="s">
        <v>484</v>
      </c>
      <c r="C605" s="25" t="s">
        <v>46</v>
      </c>
      <c r="D605" s="25" t="s">
        <v>39</v>
      </c>
      <c r="E605" s="25" t="s">
        <v>9</v>
      </c>
      <c r="F605" s="26">
        <v>50000</v>
      </c>
    </row>
    <row r="606" spans="1:6" ht="22.5" hidden="1" customHeight="1" x14ac:dyDescent="0.2">
      <c r="A606" s="23">
        <v>46194</v>
      </c>
      <c r="B606" s="24" t="s">
        <v>209</v>
      </c>
      <c r="C606" s="25" t="s">
        <v>46</v>
      </c>
      <c r="D606" s="25" t="s">
        <v>44</v>
      </c>
      <c r="E606" s="25" t="s">
        <v>3</v>
      </c>
      <c r="F606" s="26">
        <v>4000</v>
      </c>
    </row>
    <row r="607" spans="1:6" ht="22.5" hidden="1" customHeight="1" x14ac:dyDescent="0.2">
      <c r="A607" s="23">
        <v>46194</v>
      </c>
      <c r="B607" s="24" t="s">
        <v>463</v>
      </c>
      <c r="C607" s="25" t="s">
        <v>46</v>
      </c>
      <c r="D607" s="25" t="s">
        <v>44</v>
      </c>
      <c r="E607" s="25" t="s">
        <v>2</v>
      </c>
      <c r="F607" s="26">
        <v>5000</v>
      </c>
    </row>
    <row r="608" spans="1:6" ht="22.5" hidden="1" customHeight="1" x14ac:dyDescent="0.2">
      <c r="A608" s="23">
        <v>46194</v>
      </c>
      <c r="B608" s="24" t="s">
        <v>703</v>
      </c>
      <c r="C608" s="25" t="s">
        <v>46</v>
      </c>
      <c r="D608" s="25" t="s">
        <v>44</v>
      </c>
      <c r="E608" s="25" t="s">
        <v>2</v>
      </c>
      <c r="F608" s="26">
        <v>5000</v>
      </c>
    </row>
    <row r="609" spans="1:6" ht="22.5" hidden="1" customHeight="1" x14ac:dyDescent="0.2">
      <c r="A609" s="23">
        <v>46194</v>
      </c>
      <c r="B609" s="24" t="s">
        <v>233</v>
      </c>
      <c r="C609" s="25" t="s">
        <v>46</v>
      </c>
      <c r="D609" s="25" t="s">
        <v>44</v>
      </c>
      <c r="E609" s="25" t="s">
        <v>6</v>
      </c>
      <c r="F609" s="26">
        <v>20000</v>
      </c>
    </row>
    <row r="610" spans="1:6" ht="22.5" hidden="1" customHeight="1" x14ac:dyDescent="0.2">
      <c r="A610" s="23">
        <v>46194</v>
      </c>
      <c r="B610" s="24" t="s">
        <v>575</v>
      </c>
      <c r="C610" s="25" t="s">
        <v>43</v>
      </c>
      <c r="D610" s="25" t="s">
        <v>39</v>
      </c>
      <c r="E610" s="71" t="s">
        <v>73</v>
      </c>
      <c r="F610" s="26">
        <v>250000</v>
      </c>
    </row>
    <row r="611" spans="1:6" ht="22.5" hidden="1" customHeight="1" x14ac:dyDescent="0.2">
      <c r="A611" s="23">
        <v>46194</v>
      </c>
      <c r="B611" s="24" t="s">
        <v>202</v>
      </c>
      <c r="C611" s="25" t="s">
        <v>43</v>
      </c>
      <c r="D611" s="25" t="s">
        <v>44</v>
      </c>
      <c r="E611" s="25" t="s">
        <v>9</v>
      </c>
      <c r="F611" s="26">
        <v>100000</v>
      </c>
    </row>
    <row r="612" spans="1:6" ht="22.5" hidden="1" customHeight="1" x14ac:dyDescent="0.2">
      <c r="A612" s="23">
        <v>46194</v>
      </c>
      <c r="B612" s="24" t="s">
        <v>149</v>
      </c>
      <c r="C612" s="25" t="s">
        <v>46</v>
      </c>
      <c r="D612" s="25" t="s">
        <v>39</v>
      </c>
      <c r="E612" s="25" t="s">
        <v>9</v>
      </c>
      <c r="F612" s="26">
        <v>100000</v>
      </c>
    </row>
    <row r="613" spans="1:6" ht="22.5" hidden="1" customHeight="1" x14ac:dyDescent="0.2">
      <c r="A613" s="23">
        <v>46194</v>
      </c>
      <c r="B613" s="24" t="s">
        <v>705</v>
      </c>
      <c r="C613" s="25" t="s">
        <v>46</v>
      </c>
      <c r="D613" s="25" t="s">
        <v>44</v>
      </c>
      <c r="E613" s="25" t="s">
        <v>3</v>
      </c>
      <c r="F613" s="26">
        <v>9400</v>
      </c>
    </row>
    <row r="614" spans="1:6" ht="22.5" hidden="1" customHeight="1" x14ac:dyDescent="0.2">
      <c r="A614" s="23">
        <v>46195</v>
      </c>
      <c r="B614" s="24" t="s">
        <v>426</v>
      </c>
      <c r="C614" s="25" t="s">
        <v>46</v>
      </c>
      <c r="D614" s="25" t="s">
        <v>44</v>
      </c>
      <c r="E614" s="25" t="s">
        <v>2</v>
      </c>
      <c r="F614" s="26">
        <v>9000</v>
      </c>
    </row>
    <row r="615" spans="1:6" ht="22.5" hidden="1" customHeight="1" x14ac:dyDescent="0.2">
      <c r="A615" s="23">
        <v>46195</v>
      </c>
      <c r="B615" s="24" t="s">
        <v>599</v>
      </c>
      <c r="C615" s="25" t="s">
        <v>46</v>
      </c>
      <c r="D615" s="25" t="s">
        <v>44</v>
      </c>
      <c r="E615" s="25" t="s">
        <v>8</v>
      </c>
      <c r="F615" s="26">
        <v>10000</v>
      </c>
    </row>
    <row r="616" spans="1:6" ht="22.5" hidden="1" customHeight="1" x14ac:dyDescent="0.2">
      <c r="A616" s="23">
        <v>46196</v>
      </c>
      <c r="B616" s="24" t="s">
        <v>97</v>
      </c>
      <c r="C616" s="25" t="s">
        <v>43</v>
      </c>
      <c r="D616" s="25" t="s">
        <v>44</v>
      </c>
      <c r="E616" s="25" t="s">
        <v>9</v>
      </c>
      <c r="F616" s="26">
        <v>50000</v>
      </c>
    </row>
    <row r="617" spans="1:6" ht="22.5" hidden="1" customHeight="1" x14ac:dyDescent="0.2">
      <c r="A617" s="23">
        <v>46196</v>
      </c>
      <c r="B617" s="24" t="s">
        <v>484</v>
      </c>
      <c r="C617" s="25" t="s">
        <v>46</v>
      </c>
      <c r="D617" s="25" t="s">
        <v>39</v>
      </c>
      <c r="E617" s="25" t="s">
        <v>9</v>
      </c>
      <c r="F617" s="26">
        <v>50000</v>
      </c>
    </row>
    <row r="618" spans="1:6" ht="22.5" hidden="1" customHeight="1" x14ac:dyDescent="0.2">
      <c r="A618" s="23">
        <v>46196</v>
      </c>
      <c r="B618" s="24" t="s">
        <v>706</v>
      </c>
      <c r="C618" s="25" t="s">
        <v>46</v>
      </c>
      <c r="D618" s="25" t="s">
        <v>44</v>
      </c>
      <c r="E618" s="25" t="s">
        <v>2</v>
      </c>
      <c r="F618" s="26">
        <v>9000</v>
      </c>
    </row>
    <row r="619" spans="1:6" ht="22.5" hidden="1" customHeight="1" x14ac:dyDescent="0.2">
      <c r="A619" s="23">
        <v>46196</v>
      </c>
      <c r="B619" s="24" t="s">
        <v>707</v>
      </c>
      <c r="C619" s="25" t="s">
        <v>46</v>
      </c>
      <c r="D619" s="25" t="s">
        <v>44</v>
      </c>
      <c r="E619" s="25" t="s">
        <v>5</v>
      </c>
      <c r="F619" s="26">
        <v>11000</v>
      </c>
    </row>
    <row r="620" spans="1:6" ht="22.5" hidden="1" customHeight="1" x14ac:dyDescent="0.2">
      <c r="A620" s="23">
        <v>46195</v>
      </c>
      <c r="B620" s="24" t="s">
        <v>708</v>
      </c>
      <c r="C620" s="25" t="s">
        <v>46</v>
      </c>
      <c r="D620" s="25" t="s">
        <v>44</v>
      </c>
      <c r="E620" s="25" t="s">
        <v>3</v>
      </c>
      <c r="F620" s="26">
        <v>17000</v>
      </c>
    </row>
    <row r="621" spans="1:6" ht="22.5" hidden="1" customHeight="1" x14ac:dyDescent="0.2">
      <c r="A621" s="23">
        <v>46195</v>
      </c>
      <c r="B621" s="24" t="s">
        <v>709</v>
      </c>
      <c r="C621" s="25" t="s">
        <v>46</v>
      </c>
      <c r="D621" s="25" t="s">
        <v>44</v>
      </c>
      <c r="E621" s="25" t="s">
        <v>3</v>
      </c>
      <c r="F621" s="26">
        <v>22000</v>
      </c>
    </row>
    <row r="622" spans="1:6" ht="22.5" hidden="1" customHeight="1" x14ac:dyDescent="0.2">
      <c r="A622" s="23">
        <v>46195</v>
      </c>
      <c r="B622" s="24" t="s">
        <v>531</v>
      </c>
      <c r="C622" s="25" t="s">
        <v>46</v>
      </c>
      <c r="D622" s="25" t="s">
        <v>44</v>
      </c>
      <c r="E622" s="25" t="s">
        <v>3</v>
      </c>
      <c r="F622" s="26">
        <v>41000</v>
      </c>
    </row>
    <row r="623" spans="1:6" ht="22.5" hidden="1" customHeight="1" x14ac:dyDescent="0.2">
      <c r="A623" s="23">
        <v>46196</v>
      </c>
      <c r="B623" s="24" t="s">
        <v>710</v>
      </c>
      <c r="C623" s="25" t="s">
        <v>46</v>
      </c>
      <c r="D623" s="25" t="s">
        <v>44</v>
      </c>
      <c r="E623" s="25" t="s">
        <v>0</v>
      </c>
      <c r="F623" s="26">
        <v>6000</v>
      </c>
    </row>
    <row r="624" spans="1:6" ht="22.5" hidden="1" customHeight="1" x14ac:dyDescent="0.2">
      <c r="A624" s="23">
        <v>46197</v>
      </c>
      <c r="B624" s="24" t="s">
        <v>575</v>
      </c>
      <c r="C624" s="25" t="s">
        <v>43</v>
      </c>
      <c r="D624" s="25" t="s">
        <v>39</v>
      </c>
      <c r="E624" s="71" t="s">
        <v>73</v>
      </c>
      <c r="F624" s="26">
        <v>150000</v>
      </c>
    </row>
    <row r="625" spans="1:6" ht="22.5" hidden="1" customHeight="1" x14ac:dyDescent="0.2">
      <c r="A625" s="23">
        <v>46197</v>
      </c>
      <c r="B625" s="24" t="s">
        <v>202</v>
      </c>
      <c r="C625" s="25" t="s">
        <v>43</v>
      </c>
      <c r="D625" s="25" t="s">
        <v>44</v>
      </c>
      <c r="E625" s="25" t="s">
        <v>9</v>
      </c>
      <c r="F625" s="26">
        <v>200000</v>
      </c>
    </row>
    <row r="626" spans="1:6" ht="22.5" hidden="1" customHeight="1" x14ac:dyDescent="0.2">
      <c r="A626" s="23">
        <v>46197</v>
      </c>
      <c r="B626" s="24" t="s">
        <v>711</v>
      </c>
      <c r="C626" s="25" t="s">
        <v>46</v>
      </c>
      <c r="D626" s="25" t="s">
        <v>39</v>
      </c>
      <c r="E626" s="25" t="s">
        <v>9</v>
      </c>
      <c r="F626" s="26">
        <v>200000</v>
      </c>
    </row>
    <row r="627" spans="1:6" ht="22.5" hidden="1" customHeight="1" x14ac:dyDescent="0.2">
      <c r="A627" s="23">
        <v>46198</v>
      </c>
      <c r="B627" s="24" t="s">
        <v>233</v>
      </c>
      <c r="C627" s="25" t="s">
        <v>46</v>
      </c>
      <c r="D627" s="25" t="s">
        <v>44</v>
      </c>
      <c r="E627" s="25" t="s">
        <v>6</v>
      </c>
      <c r="F627" s="26">
        <v>20000</v>
      </c>
    </row>
    <row r="628" spans="1:6" ht="22.5" hidden="1" customHeight="1" x14ac:dyDescent="0.2">
      <c r="A628" s="23">
        <v>46197</v>
      </c>
      <c r="B628" s="24" t="s">
        <v>712</v>
      </c>
      <c r="C628" s="25" t="s">
        <v>46</v>
      </c>
      <c r="D628" s="25" t="s">
        <v>44</v>
      </c>
      <c r="E628" s="25" t="s">
        <v>8</v>
      </c>
      <c r="F628" s="26">
        <v>5000</v>
      </c>
    </row>
    <row r="629" spans="1:6" ht="22.5" hidden="1" customHeight="1" x14ac:dyDescent="0.2">
      <c r="A629" s="23">
        <v>46197</v>
      </c>
      <c r="B629" s="24" t="s">
        <v>426</v>
      </c>
      <c r="C629" s="25" t="s">
        <v>46</v>
      </c>
      <c r="D629" s="25" t="s">
        <v>44</v>
      </c>
      <c r="E629" s="25" t="s">
        <v>2</v>
      </c>
      <c r="F629" s="26">
        <v>9000</v>
      </c>
    </row>
    <row r="630" spans="1:6" ht="22.5" hidden="1" customHeight="1" x14ac:dyDescent="0.2">
      <c r="A630" s="23">
        <v>46197</v>
      </c>
      <c r="B630" s="24" t="s">
        <v>713</v>
      </c>
      <c r="C630" s="25" t="s">
        <v>46</v>
      </c>
      <c r="D630" s="25" t="s">
        <v>44</v>
      </c>
      <c r="E630" s="25" t="s">
        <v>2</v>
      </c>
      <c r="F630" s="26">
        <v>9000</v>
      </c>
    </row>
    <row r="631" spans="1:6" ht="22.5" hidden="1" customHeight="1" x14ac:dyDescent="0.2">
      <c r="A631" s="23">
        <v>46197</v>
      </c>
      <c r="B631" s="24" t="s">
        <v>714</v>
      </c>
      <c r="C631" s="25" t="s">
        <v>46</v>
      </c>
      <c r="D631" s="25" t="s">
        <v>44</v>
      </c>
      <c r="E631" s="25" t="s">
        <v>3</v>
      </c>
      <c r="F631" s="26">
        <v>24000</v>
      </c>
    </row>
    <row r="632" spans="1:6" ht="22.5" hidden="1" customHeight="1" x14ac:dyDescent="0.2">
      <c r="A632" s="23">
        <v>46199</v>
      </c>
      <c r="B632" s="24" t="s">
        <v>715</v>
      </c>
      <c r="C632" s="25" t="s">
        <v>46</v>
      </c>
      <c r="D632" s="25" t="s">
        <v>44</v>
      </c>
      <c r="E632" s="25" t="s">
        <v>3</v>
      </c>
      <c r="F632" s="26">
        <v>10000</v>
      </c>
    </row>
    <row r="633" spans="1:6" ht="22.5" hidden="1" customHeight="1" x14ac:dyDescent="0.2">
      <c r="A633" s="23">
        <v>46199</v>
      </c>
      <c r="B633" s="24" t="s">
        <v>716</v>
      </c>
      <c r="C633" s="25" t="s">
        <v>46</v>
      </c>
      <c r="D633" s="25" t="s">
        <v>44</v>
      </c>
      <c r="E633" s="25" t="s">
        <v>3</v>
      </c>
      <c r="F633" s="31">
        <f>139600-36000</f>
        <v>103600</v>
      </c>
    </row>
    <row r="634" spans="1:6" ht="22.5" hidden="1" customHeight="1" x14ac:dyDescent="0.2">
      <c r="A634" s="23">
        <v>46199</v>
      </c>
      <c r="B634" s="24" t="s">
        <v>98</v>
      </c>
      <c r="C634" s="25" t="s">
        <v>46</v>
      </c>
      <c r="D634" s="25" t="s">
        <v>44</v>
      </c>
      <c r="E634" s="25" t="s">
        <v>8</v>
      </c>
      <c r="F634" s="26">
        <v>15000</v>
      </c>
    </row>
    <row r="635" spans="1:6" ht="22.5" hidden="1" customHeight="1" x14ac:dyDescent="0.2">
      <c r="A635" s="23">
        <v>46200</v>
      </c>
      <c r="B635" s="24" t="s">
        <v>717</v>
      </c>
      <c r="C635" s="25" t="s">
        <v>46</v>
      </c>
      <c r="D635" s="25" t="s">
        <v>44</v>
      </c>
      <c r="E635" s="25" t="s">
        <v>2</v>
      </c>
      <c r="F635" s="26">
        <v>10000</v>
      </c>
    </row>
    <row r="636" spans="1:6" ht="22.5" hidden="1" customHeight="1" x14ac:dyDescent="0.2">
      <c r="A636" s="23">
        <v>46200</v>
      </c>
      <c r="B636" s="24" t="s">
        <v>718</v>
      </c>
      <c r="C636" s="25" t="s">
        <v>46</v>
      </c>
      <c r="D636" s="25" t="s">
        <v>44</v>
      </c>
      <c r="E636" s="25" t="s">
        <v>3</v>
      </c>
      <c r="F636" s="26">
        <v>5000</v>
      </c>
    </row>
    <row r="637" spans="1:6" ht="22.5" hidden="1" customHeight="1" x14ac:dyDescent="0.2">
      <c r="A637" s="23">
        <v>46201</v>
      </c>
      <c r="B637" s="24" t="s">
        <v>719</v>
      </c>
      <c r="C637" s="25" t="s">
        <v>43</v>
      </c>
      <c r="D637" s="25" t="s">
        <v>39</v>
      </c>
      <c r="E637" s="71" t="s">
        <v>986</v>
      </c>
      <c r="F637" s="26">
        <v>65730</v>
      </c>
    </row>
    <row r="638" spans="1:6" ht="22.5" hidden="1" customHeight="1" x14ac:dyDescent="0.2">
      <c r="A638" s="36">
        <v>46201</v>
      </c>
      <c r="B638" s="37" t="s">
        <v>482</v>
      </c>
      <c r="C638" s="38" t="s">
        <v>43</v>
      </c>
      <c r="D638" s="38" t="s">
        <v>44</v>
      </c>
      <c r="E638" s="38" t="s">
        <v>9</v>
      </c>
      <c r="F638" s="39">
        <v>100000</v>
      </c>
    </row>
    <row r="639" spans="1:6" ht="22.5" hidden="1" customHeight="1" x14ac:dyDescent="0.2">
      <c r="A639" s="40">
        <v>46201</v>
      </c>
      <c r="B639" s="41" t="s">
        <v>550</v>
      </c>
      <c r="C639" s="42" t="s">
        <v>46</v>
      </c>
      <c r="D639" s="42" t="s">
        <v>39</v>
      </c>
      <c r="E639" s="42" t="s">
        <v>9</v>
      </c>
      <c r="F639" s="43">
        <v>100000</v>
      </c>
    </row>
    <row r="640" spans="1:6" ht="22.5" hidden="1" customHeight="1" x14ac:dyDescent="0.2">
      <c r="A640" s="36">
        <v>46201</v>
      </c>
      <c r="B640" s="37" t="s">
        <v>573</v>
      </c>
      <c r="C640" s="44" t="s">
        <v>46</v>
      </c>
      <c r="D640" s="44" t="s">
        <v>44</v>
      </c>
      <c r="E640" s="44" t="s">
        <v>6</v>
      </c>
      <c r="F640" s="39">
        <v>25000</v>
      </c>
    </row>
    <row r="641" spans="1:6" ht="22.5" hidden="1" customHeight="1" x14ac:dyDescent="0.2">
      <c r="A641" s="40">
        <v>46201</v>
      </c>
      <c r="B641" s="41" t="s">
        <v>721</v>
      </c>
      <c r="C641" s="42" t="s">
        <v>43</v>
      </c>
      <c r="D641" s="42" t="s">
        <v>44</v>
      </c>
      <c r="E641" s="42" t="s">
        <v>2</v>
      </c>
      <c r="F641" s="43">
        <v>9900</v>
      </c>
    </row>
    <row r="642" spans="1:6" ht="22.5" hidden="1" customHeight="1" x14ac:dyDescent="0.2">
      <c r="A642" s="36">
        <v>46201</v>
      </c>
      <c r="B642" s="37" t="s">
        <v>722</v>
      </c>
      <c r="C642" s="44" t="s">
        <v>46</v>
      </c>
      <c r="D642" s="44" t="s">
        <v>44</v>
      </c>
      <c r="E642" s="44" t="s">
        <v>10</v>
      </c>
      <c r="F642" s="39">
        <v>5000</v>
      </c>
    </row>
    <row r="643" spans="1:6" ht="22.5" hidden="1" customHeight="1" x14ac:dyDescent="0.2">
      <c r="A643" s="40">
        <v>46201</v>
      </c>
      <c r="B643" s="41" t="s">
        <v>723</v>
      </c>
      <c r="C643" s="42" t="s">
        <v>46</v>
      </c>
      <c r="D643" s="42" t="s">
        <v>44</v>
      </c>
      <c r="E643" s="42" t="s">
        <v>2</v>
      </c>
      <c r="F643" s="43">
        <v>30000</v>
      </c>
    </row>
    <row r="644" spans="1:6" ht="22.5" hidden="1" customHeight="1" x14ac:dyDescent="0.2">
      <c r="A644" s="36">
        <v>46202</v>
      </c>
      <c r="B644" s="37" t="s">
        <v>725</v>
      </c>
      <c r="C644" s="44" t="s">
        <v>46</v>
      </c>
      <c r="D644" s="44" t="s">
        <v>44</v>
      </c>
      <c r="E644" s="44" t="s">
        <v>3</v>
      </c>
      <c r="F644" s="39">
        <v>10000</v>
      </c>
    </row>
    <row r="645" spans="1:6" ht="22.5" hidden="1" customHeight="1" x14ac:dyDescent="0.2">
      <c r="A645" s="40">
        <v>46202</v>
      </c>
      <c r="B645" s="41" t="s">
        <v>726</v>
      </c>
      <c r="C645" s="42" t="s">
        <v>46</v>
      </c>
      <c r="D645" s="42" t="s">
        <v>44</v>
      </c>
      <c r="E645" s="42" t="s">
        <v>2</v>
      </c>
      <c r="F645" s="45">
        <v>21000</v>
      </c>
    </row>
    <row r="646" spans="1:6" ht="22.5" hidden="1" customHeight="1" x14ac:dyDescent="0.2">
      <c r="A646" s="36">
        <v>46203</v>
      </c>
      <c r="B646" s="37" t="s">
        <v>461</v>
      </c>
      <c r="C646" s="44" t="s">
        <v>43</v>
      </c>
      <c r="D646" s="44" t="s">
        <v>39</v>
      </c>
      <c r="E646" s="71" t="s">
        <v>986</v>
      </c>
      <c r="F646" s="39">
        <v>14355</v>
      </c>
    </row>
    <row r="647" spans="1:6" ht="22.5" hidden="1" customHeight="1" x14ac:dyDescent="0.2">
      <c r="A647" s="40">
        <v>46203</v>
      </c>
      <c r="B647" s="41" t="s">
        <v>110</v>
      </c>
      <c r="C647" s="42" t="s">
        <v>43</v>
      </c>
      <c r="D647" s="42" t="s">
        <v>44</v>
      </c>
      <c r="E647" s="42" t="s">
        <v>0</v>
      </c>
      <c r="F647" s="43">
        <v>20500</v>
      </c>
    </row>
    <row r="648" spans="1:6" ht="22.5" hidden="1" customHeight="1" x14ac:dyDescent="0.2">
      <c r="A648" s="36">
        <v>46203</v>
      </c>
      <c r="B648" s="37" t="s">
        <v>727</v>
      </c>
      <c r="C648" s="44" t="s">
        <v>43</v>
      </c>
      <c r="D648" s="44" t="s">
        <v>39</v>
      </c>
      <c r="E648" s="71" t="s">
        <v>20</v>
      </c>
      <c r="F648" s="39">
        <v>22855</v>
      </c>
    </row>
    <row r="649" spans="1:6" ht="22.5" hidden="1" customHeight="1" x14ac:dyDescent="0.2">
      <c r="A649" s="40">
        <v>46203</v>
      </c>
      <c r="B649" s="41" t="s">
        <v>728</v>
      </c>
      <c r="C649" s="42" t="s">
        <v>43</v>
      </c>
      <c r="D649" s="42" t="s">
        <v>44</v>
      </c>
      <c r="E649" s="42" t="s">
        <v>0</v>
      </c>
      <c r="F649" s="43">
        <v>10000</v>
      </c>
    </row>
    <row r="650" spans="1:6" ht="22.5" hidden="1" customHeight="1" x14ac:dyDescent="0.2">
      <c r="A650" s="36">
        <v>46204</v>
      </c>
      <c r="B650" s="37" t="s">
        <v>702</v>
      </c>
      <c r="C650" s="44" t="s">
        <v>43</v>
      </c>
      <c r="D650" s="44" t="s">
        <v>39</v>
      </c>
      <c r="E650" s="71" t="s">
        <v>73</v>
      </c>
      <c r="F650" s="39">
        <v>1495239</v>
      </c>
    </row>
    <row r="651" spans="1:6" ht="22.5" hidden="1" customHeight="1" x14ac:dyDescent="0.2">
      <c r="A651" s="40">
        <v>46204</v>
      </c>
      <c r="B651" s="41" t="s">
        <v>729</v>
      </c>
      <c r="C651" s="42" t="s">
        <v>43</v>
      </c>
      <c r="D651" s="42" t="s">
        <v>44</v>
      </c>
      <c r="E651" s="42" t="s">
        <v>3</v>
      </c>
      <c r="F651" s="43">
        <v>118000</v>
      </c>
    </row>
    <row r="652" spans="1:6" ht="22.5" hidden="1" customHeight="1" x14ac:dyDescent="0.2">
      <c r="A652" s="36">
        <v>46204</v>
      </c>
      <c r="B652" s="37" t="s">
        <v>730</v>
      </c>
      <c r="C652" s="44" t="s">
        <v>43</v>
      </c>
      <c r="D652" s="44" t="s">
        <v>44</v>
      </c>
      <c r="E652" s="44" t="s">
        <v>7</v>
      </c>
      <c r="F652" s="39">
        <v>14125</v>
      </c>
    </row>
    <row r="653" spans="1:6" ht="22.5" hidden="1" customHeight="1" x14ac:dyDescent="0.2">
      <c r="A653" s="40">
        <v>46204</v>
      </c>
      <c r="B653" s="41" t="s">
        <v>731</v>
      </c>
      <c r="C653" s="42" t="s">
        <v>43</v>
      </c>
      <c r="D653" s="42" t="s">
        <v>44</v>
      </c>
      <c r="E653" s="42" t="s">
        <v>7</v>
      </c>
      <c r="F653" s="43">
        <v>100000</v>
      </c>
    </row>
    <row r="654" spans="1:6" ht="22.5" hidden="1" customHeight="1" x14ac:dyDescent="0.2">
      <c r="A654" s="36">
        <v>46204</v>
      </c>
      <c r="B654" s="37" t="s">
        <v>732</v>
      </c>
      <c r="C654" s="44" t="s">
        <v>43</v>
      </c>
      <c r="D654" s="44" t="s">
        <v>44</v>
      </c>
      <c r="E654" s="44" t="s">
        <v>1</v>
      </c>
      <c r="F654" s="39">
        <v>53000</v>
      </c>
    </row>
    <row r="655" spans="1:6" ht="22.5" hidden="1" customHeight="1" x14ac:dyDescent="0.2">
      <c r="A655" s="23">
        <v>46204</v>
      </c>
      <c r="B655" s="24" t="s">
        <v>233</v>
      </c>
      <c r="C655" s="25" t="s">
        <v>46</v>
      </c>
      <c r="D655" s="25" t="s">
        <v>44</v>
      </c>
      <c r="E655" s="25" t="s">
        <v>6</v>
      </c>
      <c r="F655" s="26">
        <v>20000</v>
      </c>
    </row>
    <row r="656" spans="1:6" ht="22.5" hidden="1" customHeight="1" x14ac:dyDescent="0.2">
      <c r="A656" s="23">
        <v>46203</v>
      </c>
      <c r="B656" s="24" t="s">
        <v>733</v>
      </c>
      <c r="C656" s="25" t="s">
        <v>46</v>
      </c>
      <c r="D656" s="25" t="s">
        <v>44</v>
      </c>
      <c r="E656" s="25" t="s">
        <v>2</v>
      </c>
      <c r="F656" s="26">
        <v>3000</v>
      </c>
    </row>
    <row r="657" spans="1:6" ht="22.5" hidden="1" customHeight="1" x14ac:dyDescent="0.2">
      <c r="A657" s="23">
        <v>46204</v>
      </c>
      <c r="B657" s="24" t="s">
        <v>734</v>
      </c>
      <c r="C657" s="25" t="s">
        <v>46</v>
      </c>
      <c r="D657" s="25" t="s">
        <v>44</v>
      </c>
      <c r="E657" s="25" t="s">
        <v>2</v>
      </c>
      <c r="F657" s="26">
        <v>2000</v>
      </c>
    </row>
    <row r="658" spans="1:6" ht="22.5" hidden="1" customHeight="1" x14ac:dyDescent="0.2">
      <c r="A658" s="23">
        <v>46204</v>
      </c>
      <c r="B658" s="24" t="s">
        <v>482</v>
      </c>
      <c r="C658" s="25" t="s">
        <v>43</v>
      </c>
      <c r="D658" s="25" t="s">
        <v>44</v>
      </c>
      <c r="E658" s="25" t="s">
        <v>9</v>
      </c>
      <c r="F658" s="26">
        <v>100000</v>
      </c>
    </row>
    <row r="659" spans="1:6" ht="22.5" hidden="1" customHeight="1" x14ac:dyDescent="0.2">
      <c r="A659" s="23">
        <v>46204</v>
      </c>
      <c r="B659" s="24" t="s">
        <v>484</v>
      </c>
      <c r="C659" s="25" t="s">
        <v>46</v>
      </c>
      <c r="D659" s="25" t="s">
        <v>39</v>
      </c>
      <c r="E659" s="25" t="s">
        <v>9</v>
      </c>
      <c r="F659" s="26">
        <v>100000</v>
      </c>
    </row>
    <row r="660" spans="1:6" ht="22.5" hidden="1" customHeight="1" x14ac:dyDescent="0.2">
      <c r="A660" s="23">
        <v>46204</v>
      </c>
      <c r="B660" s="24" t="s">
        <v>735</v>
      </c>
      <c r="C660" s="25" t="s">
        <v>43</v>
      </c>
      <c r="D660" s="25" t="s">
        <v>44</v>
      </c>
      <c r="E660" s="25" t="s">
        <v>2</v>
      </c>
      <c r="F660" s="26">
        <v>10000</v>
      </c>
    </row>
    <row r="661" spans="1:6" ht="22.5" hidden="1" customHeight="1" x14ac:dyDescent="0.2">
      <c r="A661" s="23">
        <v>46205</v>
      </c>
      <c r="B661" s="24" t="s">
        <v>736</v>
      </c>
      <c r="C661" s="25" t="s">
        <v>43</v>
      </c>
      <c r="D661" s="25" t="s">
        <v>44</v>
      </c>
      <c r="E661" s="25" t="s">
        <v>0</v>
      </c>
      <c r="F661" s="26">
        <v>20000</v>
      </c>
    </row>
    <row r="662" spans="1:6" ht="22.5" hidden="1" customHeight="1" x14ac:dyDescent="0.2">
      <c r="A662" s="23">
        <v>46206</v>
      </c>
      <c r="B662" s="24" t="s">
        <v>737</v>
      </c>
      <c r="C662" s="25" t="s">
        <v>43</v>
      </c>
      <c r="D662" s="25" t="s">
        <v>44</v>
      </c>
      <c r="E662" s="25" t="s">
        <v>3</v>
      </c>
      <c r="F662" s="26">
        <v>25973</v>
      </c>
    </row>
    <row r="663" spans="1:6" ht="22.5" hidden="1" customHeight="1" x14ac:dyDescent="0.2">
      <c r="A663" s="23">
        <v>46206</v>
      </c>
      <c r="B663" s="24" t="s">
        <v>738</v>
      </c>
      <c r="C663" s="25" t="s">
        <v>46</v>
      </c>
      <c r="D663" s="25" t="s">
        <v>44</v>
      </c>
      <c r="E663" s="25" t="s">
        <v>10</v>
      </c>
      <c r="F663" s="26">
        <v>2500</v>
      </c>
    </row>
    <row r="664" spans="1:6" ht="22.5" hidden="1" customHeight="1" x14ac:dyDescent="0.2">
      <c r="A664" s="23">
        <v>46206</v>
      </c>
      <c r="B664" s="24" t="s">
        <v>209</v>
      </c>
      <c r="C664" s="25" t="s">
        <v>46</v>
      </c>
      <c r="D664" s="25" t="s">
        <v>44</v>
      </c>
      <c r="E664" s="25" t="s">
        <v>3</v>
      </c>
      <c r="F664" s="26">
        <v>4000</v>
      </c>
    </row>
    <row r="665" spans="1:6" ht="22.5" hidden="1" customHeight="1" x14ac:dyDescent="0.2">
      <c r="A665" s="23">
        <v>46206</v>
      </c>
      <c r="B665" s="24" t="s">
        <v>739</v>
      </c>
      <c r="C665" s="25" t="s">
        <v>46</v>
      </c>
      <c r="D665" s="25" t="s">
        <v>44</v>
      </c>
      <c r="E665" s="25" t="s">
        <v>4</v>
      </c>
      <c r="F665" s="31">
        <f>9600-1500</f>
        <v>8100</v>
      </c>
    </row>
    <row r="666" spans="1:6" ht="22.5" hidden="1" customHeight="1" x14ac:dyDescent="0.2">
      <c r="A666" s="23">
        <v>46206</v>
      </c>
      <c r="B666" s="24" t="s">
        <v>740</v>
      </c>
      <c r="C666" s="25" t="s">
        <v>46</v>
      </c>
      <c r="D666" s="25" t="s">
        <v>44</v>
      </c>
      <c r="E666" s="25" t="s">
        <v>4</v>
      </c>
      <c r="F666" s="31">
        <f>25900-9000</f>
        <v>16900</v>
      </c>
    </row>
    <row r="667" spans="1:6" ht="22.5" hidden="1" customHeight="1" x14ac:dyDescent="0.2">
      <c r="A667" s="23">
        <v>46206</v>
      </c>
      <c r="B667" s="24" t="s">
        <v>741</v>
      </c>
      <c r="C667" s="25" t="s">
        <v>46</v>
      </c>
      <c r="D667" s="25" t="s">
        <v>44</v>
      </c>
      <c r="E667" s="25" t="s">
        <v>3</v>
      </c>
      <c r="F667" s="31">
        <f>10500-3000</f>
        <v>7500</v>
      </c>
    </row>
    <row r="668" spans="1:6" ht="22.5" hidden="1" customHeight="1" x14ac:dyDescent="0.2">
      <c r="A668" s="23">
        <v>46206</v>
      </c>
      <c r="B668" s="24" t="s">
        <v>482</v>
      </c>
      <c r="C668" s="25" t="s">
        <v>43</v>
      </c>
      <c r="D668" s="25" t="s">
        <v>44</v>
      </c>
      <c r="E668" s="25" t="s">
        <v>9</v>
      </c>
      <c r="F668" s="26">
        <v>100000</v>
      </c>
    </row>
    <row r="669" spans="1:6" ht="22.5" hidden="1" customHeight="1" x14ac:dyDescent="0.2">
      <c r="A669" s="23">
        <v>46206</v>
      </c>
      <c r="B669" s="24" t="s">
        <v>484</v>
      </c>
      <c r="C669" s="25" t="s">
        <v>46</v>
      </c>
      <c r="D669" s="25" t="s">
        <v>39</v>
      </c>
      <c r="E669" s="25" t="s">
        <v>9</v>
      </c>
      <c r="F669" s="26">
        <v>100000</v>
      </c>
    </row>
    <row r="670" spans="1:6" ht="22.5" hidden="1" customHeight="1" x14ac:dyDescent="0.2">
      <c r="A670" s="23">
        <v>46206</v>
      </c>
      <c r="B670" s="24" t="s">
        <v>742</v>
      </c>
      <c r="C670" s="25" t="s">
        <v>46</v>
      </c>
      <c r="D670" s="25" t="s">
        <v>44</v>
      </c>
      <c r="E670" s="25" t="s">
        <v>3</v>
      </c>
      <c r="F670" s="26">
        <v>160000</v>
      </c>
    </row>
    <row r="671" spans="1:6" ht="22.5" hidden="1" customHeight="1" x14ac:dyDescent="0.2">
      <c r="A671" s="23">
        <v>46206</v>
      </c>
      <c r="B671" s="24" t="s">
        <v>482</v>
      </c>
      <c r="C671" s="25" t="s">
        <v>43</v>
      </c>
      <c r="D671" s="25" t="s">
        <v>44</v>
      </c>
      <c r="E671" s="25" t="s">
        <v>9</v>
      </c>
      <c r="F671" s="26">
        <v>100000</v>
      </c>
    </row>
    <row r="672" spans="1:6" ht="22.5" hidden="1" customHeight="1" x14ac:dyDescent="0.2">
      <c r="A672" s="23">
        <v>46206</v>
      </c>
      <c r="B672" s="24" t="s">
        <v>484</v>
      </c>
      <c r="C672" s="25" t="s">
        <v>46</v>
      </c>
      <c r="D672" s="25" t="s">
        <v>39</v>
      </c>
      <c r="E672" s="25" t="s">
        <v>9</v>
      </c>
      <c r="F672" s="26">
        <v>100000</v>
      </c>
    </row>
    <row r="673" spans="1:6" ht="22.5" hidden="1" customHeight="1" x14ac:dyDescent="0.2">
      <c r="A673" s="23">
        <v>46206</v>
      </c>
      <c r="B673" s="24" t="s">
        <v>743</v>
      </c>
      <c r="C673" s="25" t="s">
        <v>43</v>
      </c>
      <c r="D673" s="25" t="s">
        <v>44</v>
      </c>
      <c r="E673" s="25" t="s">
        <v>7</v>
      </c>
      <c r="F673" s="26">
        <v>33300</v>
      </c>
    </row>
    <row r="674" spans="1:6" ht="22.5" hidden="1" customHeight="1" x14ac:dyDescent="0.2">
      <c r="A674" s="23">
        <v>46207</v>
      </c>
      <c r="B674" s="24" t="s">
        <v>170</v>
      </c>
      <c r="C674" s="25" t="s">
        <v>46</v>
      </c>
      <c r="D674" s="25" t="s">
        <v>44</v>
      </c>
      <c r="E674" s="25" t="s">
        <v>2</v>
      </c>
      <c r="F674" s="26">
        <v>20000</v>
      </c>
    </row>
    <row r="675" spans="1:6" ht="22.5" hidden="1" customHeight="1" x14ac:dyDescent="0.2">
      <c r="A675" s="23">
        <v>46207</v>
      </c>
      <c r="B675" s="24" t="s">
        <v>88</v>
      </c>
      <c r="C675" s="25" t="s">
        <v>46</v>
      </c>
      <c r="D675" s="25" t="s">
        <v>44</v>
      </c>
      <c r="E675" s="25" t="s">
        <v>8</v>
      </c>
      <c r="F675" s="26">
        <v>13000</v>
      </c>
    </row>
    <row r="676" spans="1:6" ht="22.5" hidden="1" customHeight="1" x14ac:dyDescent="0.2">
      <c r="A676" s="23">
        <v>46207</v>
      </c>
      <c r="B676" s="24" t="s">
        <v>107</v>
      </c>
      <c r="C676" s="25" t="s">
        <v>46</v>
      </c>
      <c r="D676" s="25" t="s">
        <v>44</v>
      </c>
      <c r="E676" s="25" t="s">
        <v>6</v>
      </c>
      <c r="F676" s="26">
        <v>20000</v>
      </c>
    </row>
    <row r="677" spans="1:6" ht="22.5" hidden="1" customHeight="1" x14ac:dyDescent="0.2">
      <c r="A677" s="23">
        <v>46208</v>
      </c>
      <c r="B677" s="24" t="s">
        <v>745</v>
      </c>
      <c r="C677" s="25" t="s">
        <v>46</v>
      </c>
      <c r="D677" s="25" t="s">
        <v>44</v>
      </c>
      <c r="E677" s="25" t="s">
        <v>2</v>
      </c>
      <c r="F677" s="26">
        <v>35000</v>
      </c>
    </row>
    <row r="678" spans="1:6" ht="22.5" hidden="1" customHeight="1" x14ac:dyDescent="0.2">
      <c r="A678" s="23">
        <v>46208</v>
      </c>
      <c r="B678" s="24" t="s">
        <v>73</v>
      </c>
      <c r="C678" s="25" t="s">
        <v>43</v>
      </c>
      <c r="D678" s="25" t="s">
        <v>39</v>
      </c>
      <c r="E678" s="71" t="s">
        <v>73</v>
      </c>
      <c r="F678" s="26">
        <v>35000</v>
      </c>
    </row>
    <row r="679" spans="1:6" ht="22.5" hidden="1" customHeight="1" x14ac:dyDescent="0.2">
      <c r="A679" s="23">
        <v>46208</v>
      </c>
      <c r="B679" s="24" t="s">
        <v>697</v>
      </c>
      <c r="C679" s="25" t="s">
        <v>46</v>
      </c>
      <c r="D679" s="25" t="s">
        <v>44</v>
      </c>
      <c r="E679" s="25" t="s">
        <v>8</v>
      </c>
      <c r="F679" s="26">
        <v>2000</v>
      </c>
    </row>
    <row r="680" spans="1:6" ht="22.5" hidden="1" customHeight="1" x14ac:dyDescent="0.2">
      <c r="A680" s="23">
        <v>46208</v>
      </c>
      <c r="B680" s="24" t="s">
        <v>76</v>
      </c>
      <c r="C680" s="25" t="s">
        <v>43</v>
      </c>
      <c r="D680" s="25" t="s">
        <v>44</v>
      </c>
      <c r="E680" s="25" t="s">
        <v>9</v>
      </c>
      <c r="F680" s="26">
        <v>100000</v>
      </c>
    </row>
    <row r="681" spans="1:6" ht="22.5" hidden="1" customHeight="1" x14ac:dyDescent="0.2">
      <c r="A681" s="23">
        <v>46208</v>
      </c>
      <c r="B681" s="24" t="s">
        <v>149</v>
      </c>
      <c r="C681" s="25" t="s">
        <v>46</v>
      </c>
      <c r="D681" s="25" t="s">
        <v>39</v>
      </c>
      <c r="E681" s="25" t="s">
        <v>9</v>
      </c>
      <c r="F681" s="26">
        <v>100000</v>
      </c>
    </row>
    <row r="682" spans="1:6" ht="22.5" hidden="1" customHeight="1" x14ac:dyDescent="0.2">
      <c r="A682" s="23">
        <v>46208</v>
      </c>
      <c r="B682" s="24" t="s">
        <v>747</v>
      </c>
      <c r="C682" s="25" t="s">
        <v>46</v>
      </c>
      <c r="D682" s="25" t="s">
        <v>44</v>
      </c>
      <c r="E682" s="25" t="s">
        <v>3</v>
      </c>
      <c r="F682" s="26">
        <v>17000</v>
      </c>
    </row>
    <row r="683" spans="1:6" ht="22.5" hidden="1" customHeight="1" x14ac:dyDescent="0.2">
      <c r="A683" s="23">
        <v>46208</v>
      </c>
      <c r="B683" s="24" t="s">
        <v>233</v>
      </c>
      <c r="C683" s="25" t="s">
        <v>46</v>
      </c>
      <c r="D683" s="25" t="s">
        <v>44</v>
      </c>
      <c r="E683" s="25" t="s">
        <v>6</v>
      </c>
      <c r="F683" s="26">
        <v>20000</v>
      </c>
    </row>
    <row r="684" spans="1:6" ht="22.5" hidden="1" customHeight="1" x14ac:dyDescent="0.2">
      <c r="A684" s="23">
        <v>46209</v>
      </c>
      <c r="B684" s="24" t="s">
        <v>697</v>
      </c>
      <c r="C684" s="25" t="s">
        <v>46</v>
      </c>
      <c r="D684" s="25" t="s">
        <v>44</v>
      </c>
      <c r="E684" s="25" t="s">
        <v>8</v>
      </c>
      <c r="F684" s="26">
        <v>3000</v>
      </c>
    </row>
    <row r="685" spans="1:6" ht="22.5" hidden="1" customHeight="1" x14ac:dyDescent="0.2">
      <c r="A685" s="23">
        <v>46209</v>
      </c>
      <c r="B685" s="24" t="s">
        <v>748</v>
      </c>
      <c r="C685" s="25" t="s">
        <v>46</v>
      </c>
      <c r="D685" s="25" t="s">
        <v>44</v>
      </c>
      <c r="E685" s="25" t="s">
        <v>2</v>
      </c>
      <c r="F685" s="26">
        <v>15000</v>
      </c>
    </row>
    <row r="686" spans="1:6" ht="22.5" hidden="1" customHeight="1" x14ac:dyDescent="0.2">
      <c r="A686" s="23">
        <v>46210</v>
      </c>
      <c r="B686" s="24" t="s">
        <v>749</v>
      </c>
      <c r="C686" s="25" t="s">
        <v>43</v>
      </c>
      <c r="D686" s="25" t="s">
        <v>44</v>
      </c>
      <c r="E686" s="25" t="s">
        <v>2</v>
      </c>
      <c r="F686" s="26">
        <v>47000</v>
      </c>
    </row>
    <row r="687" spans="1:6" ht="22.5" hidden="1" customHeight="1" x14ac:dyDescent="0.2">
      <c r="A687" s="23">
        <v>46210</v>
      </c>
      <c r="B687" s="24" t="s">
        <v>750</v>
      </c>
      <c r="C687" s="25" t="s">
        <v>46</v>
      </c>
      <c r="D687" s="25" t="s">
        <v>44</v>
      </c>
      <c r="E687" s="25" t="s">
        <v>2</v>
      </c>
      <c r="F687" s="26">
        <v>3000</v>
      </c>
    </row>
    <row r="688" spans="1:6" ht="22.5" hidden="1" customHeight="1" x14ac:dyDescent="0.2">
      <c r="A688" s="23">
        <v>46210</v>
      </c>
      <c r="B688" s="24" t="s">
        <v>751</v>
      </c>
      <c r="C688" s="25" t="s">
        <v>46</v>
      </c>
      <c r="D688" s="25" t="s">
        <v>44</v>
      </c>
      <c r="E688" s="25" t="s">
        <v>3</v>
      </c>
      <c r="F688" s="26">
        <v>16000</v>
      </c>
    </row>
    <row r="689" spans="1:6" ht="22.5" hidden="1" customHeight="1" x14ac:dyDescent="0.2">
      <c r="A689" s="23">
        <v>46211</v>
      </c>
      <c r="B689" s="24" t="s">
        <v>97</v>
      </c>
      <c r="C689" s="25" t="s">
        <v>43</v>
      </c>
      <c r="D689" s="25" t="s">
        <v>44</v>
      </c>
      <c r="E689" s="25" t="s">
        <v>9</v>
      </c>
      <c r="F689" s="26">
        <v>100000</v>
      </c>
    </row>
    <row r="690" spans="1:6" ht="22.5" hidden="1" customHeight="1" x14ac:dyDescent="0.2">
      <c r="A690" s="23">
        <v>46211</v>
      </c>
      <c r="B690" s="24" t="s">
        <v>74</v>
      </c>
      <c r="C690" s="25" t="s">
        <v>46</v>
      </c>
      <c r="D690" s="25" t="s">
        <v>39</v>
      </c>
      <c r="E690" s="25" t="s">
        <v>9</v>
      </c>
      <c r="F690" s="26">
        <v>100000</v>
      </c>
    </row>
    <row r="691" spans="1:6" ht="22.5" hidden="1" customHeight="1" x14ac:dyDescent="0.2">
      <c r="A691" s="23">
        <v>46211</v>
      </c>
      <c r="B691" s="24" t="s">
        <v>752</v>
      </c>
      <c r="C691" s="25" t="s">
        <v>46</v>
      </c>
      <c r="D691" s="25" t="s">
        <v>44</v>
      </c>
      <c r="E691" s="25" t="s">
        <v>2</v>
      </c>
      <c r="F691" s="26">
        <v>15000</v>
      </c>
    </row>
    <row r="692" spans="1:6" ht="22.5" hidden="1" customHeight="1" x14ac:dyDescent="0.2">
      <c r="A692" s="23">
        <v>46211</v>
      </c>
      <c r="B692" s="24" t="s">
        <v>753</v>
      </c>
      <c r="C692" s="25" t="s">
        <v>46</v>
      </c>
      <c r="D692" s="25" t="s">
        <v>44</v>
      </c>
      <c r="E692" s="25" t="s">
        <v>6</v>
      </c>
      <c r="F692" s="26">
        <v>20000</v>
      </c>
    </row>
    <row r="693" spans="1:6" ht="22.5" hidden="1" customHeight="1" x14ac:dyDescent="0.2">
      <c r="A693" s="23">
        <v>46211</v>
      </c>
      <c r="B693" s="24" t="s">
        <v>754</v>
      </c>
      <c r="C693" s="25" t="s">
        <v>46</v>
      </c>
      <c r="D693" s="25" t="s">
        <v>44</v>
      </c>
      <c r="E693" s="25" t="s">
        <v>7</v>
      </c>
      <c r="F693" s="26">
        <v>37000</v>
      </c>
    </row>
    <row r="694" spans="1:6" ht="22.5" hidden="1" customHeight="1" x14ac:dyDescent="0.2">
      <c r="A694" s="23">
        <v>46207</v>
      </c>
      <c r="B694" s="24" t="s">
        <v>755</v>
      </c>
      <c r="C694" s="25" t="s">
        <v>46</v>
      </c>
      <c r="D694" s="25" t="s">
        <v>44</v>
      </c>
      <c r="E694" s="25" t="s">
        <v>2</v>
      </c>
      <c r="F694" s="26">
        <v>10000</v>
      </c>
    </row>
    <row r="695" spans="1:6" ht="22.5" hidden="1" customHeight="1" x14ac:dyDescent="0.2">
      <c r="A695" s="23">
        <v>46211</v>
      </c>
      <c r="B695" s="24" t="s">
        <v>634</v>
      </c>
      <c r="C695" s="25" t="s">
        <v>46</v>
      </c>
      <c r="D695" s="25" t="s">
        <v>44</v>
      </c>
      <c r="E695" s="25" t="s">
        <v>3</v>
      </c>
      <c r="F695" s="26">
        <v>3000</v>
      </c>
    </row>
    <row r="696" spans="1:6" ht="22.5" hidden="1" customHeight="1" x14ac:dyDescent="0.2">
      <c r="A696" s="23">
        <v>46211</v>
      </c>
      <c r="B696" s="24" t="s">
        <v>756</v>
      </c>
      <c r="C696" s="25" t="s">
        <v>46</v>
      </c>
      <c r="D696" s="25" t="s">
        <v>44</v>
      </c>
      <c r="E696" s="25" t="s">
        <v>2</v>
      </c>
      <c r="F696" s="26">
        <v>17000</v>
      </c>
    </row>
    <row r="697" spans="1:6" ht="22.5" hidden="1" customHeight="1" x14ac:dyDescent="0.2">
      <c r="A697" s="23">
        <v>46212</v>
      </c>
      <c r="B697" s="24" t="s">
        <v>757</v>
      </c>
      <c r="C697" s="25" t="s">
        <v>46</v>
      </c>
      <c r="D697" s="25" t="s">
        <v>44</v>
      </c>
      <c r="E697" s="25" t="s">
        <v>7</v>
      </c>
      <c r="F697" s="26">
        <v>23000</v>
      </c>
    </row>
    <row r="698" spans="1:6" ht="22.5" hidden="1" customHeight="1" x14ac:dyDescent="0.2">
      <c r="A698" s="23">
        <v>46212</v>
      </c>
      <c r="B698" s="24" t="s">
        <v>758</v>
      </c>
      <c r="C698" s="25" t="s">
        <v>43</v>
      </c>
      <c r="D698" s="25" t="s">
        <v>44</v>
      </c>
      <c r="E698" s="25" t="s">
        <v>3</v>
      </c>
      <c r="F698" s="26">
        <v>32000</v>
      </c>
    </row>
    <row r="699" spans="1:6" ht="22.5" hidden="1" customHeight="1" x14ac:dyDescent="0.2">
      <c r="A699" s="23">
        <v>46212</v>
      </c>
      <c r="B699" s="24" t="s">
        <v>482</v>
      </c>
      <c r="C699" s="25" t="s">
        <v>43</v>
      </c>
      <c r="D699" s="25" t="s">
        <v>44</v>
      </c>
      <c r="E699" s="25" t="s">
        <v>9</v>
      </c>
      <c r="F699" s="26">
        <v>100000</v>
      </c>
    </row>
    <row r="700" spans="1:6" ht="22.5" hidden="1" customHeight="1" x14ac:dyDescent="0.2">
      <c r="A700" s="23">
        <v>46212</v>
      </c>
      <c r="B700" s="24" t="s">
        <v>484</v>
      </c>
      <c r="C700" s="25" t="s">
        <v>46</v>
      </c>
      <c r="D700" s="25" t="s">
        <v>39</v>
      </c>
      <c r="E700" s="25" t="s">
        <v>9</v>
      </c>
      <c r="F700" s="26">
        <v>100000</v>
      </c>
    </row>
    <row r="701" spans="1:6" ht="22.5" hidden="1" customHeight="1" x14ac:dyDescent="0.2">
      <c r="A701" s="23">
        <v>46213</v>
      </c>
      <c r="B701" s="24" t="s">
        <v>759</v>
      </c>
      <c r="C701" s="25" t="s">
        <v>43</v>
      </c>
      <c r="D701" s="25" t="s">
        <v>44</v>
      </c>
      <c r="E701" s="25" t="s">
        <v>3</v>
      </c>
      <c r="F701" s="26">
        <v>31800</v>
      </c>
    </row>
    <row r="702" spans="1:6" ht="22.5" hidden="1" customHeight="1" x14ac:dyDescent="0.2">
      <c r="A702" s="23">
        <v>46213</v>
      </c>
      <c r="B702" s="24" t="s">
        <v>760</v>
      </c>
      <c r="C702" s="25" t="s">
        <v>43</v>
      </c>
      <c r="D702" s="25" t="s">
        <v>44</v>
      </c>
      <c r="E702" s="25" t="s">
        <v>3</v>
      </c>
      <c r="F702" s="26">
        <v>25000</v>
      </c>
    </row>
    <row r="703" spans="1:6" ht="22.5" hidden="1" customHeight="1" x14ac:dyDescent="0.2">
      <c r="A703" s="23">
        <v>46213</v>
      </c>
      <c r="B703" s="24" t="s">
        <v>761</v>
      </c>
      <c r="C703" s="25" t="s">
        <v>46</v>
      </c>
      <c r="D703" s="25" t="s">
        <v>44</v>
      </c>
      <c r="E703" s="25" t="s">
        <v>2</v>
      </c>
      <c r="F703" s="26">
        <v>7000</v>
      </c>
    </row>
    <row r="704" spans="1:6" ht="22.5" hidden="1" customHeight="1" x14ac:dyDescent="0.2">
      <c r="A704" s="23">
        <v>46212</v>
      </c>
      <c r="B704" s="24" t="s">
        <v>762</v>
      </c>
      <c r="C704" s="25" t="s">
        <v>46</v>
      </c>
      <c r="D704" s="25" t="s">
        <v>44</v>
      </c>
      <c r="E704" s="25" t="s">
        <v>8</v>
      </c>
      <c r="F704" s="26">
        <v>5000</v>
      </c>
    </row>
    <row r="705" spans="1:6" ht="22.5" hidden="1" customHeight="1" x14ac:dyDescent="0.2">
      <c r="A705" s="23">
        <v>46213</v>
      </c>
      <c r="B705" s="24" t="s">
        <v>202</v>
      </c>
      <c r="C705" s="25" t="s">
        <v>43</v>
      </c>
      <c r="D705" s="25" t="s">
        <v>44</v>
      </c>
      <c r="E705" s="25" t="s">
        <v>9</v>
      </c>
      <c r="F705" s="26">
        <v>100000</v>
      </c>
    </row>
    <row r="706" spans="1:6" ht="22.5" hidden="1" customHeight="1" x14ac:dyDescent="0.2">
      <c r="A706" s="23">
        <v>46213</v>
      </c>
      <c r="B706" s="24" t="s">
        <v>149</v>
      </c>
      <c r="C706" s="25" t="s">
        <v>46</v>
      </c>
      <c r="D706" s="25" t="s">
        <v>39</v>
      </c>
      <c r="E706" s="25" t="s">
        <v>9</v>
      </c>
      <c r="F706" s="26">
        <v>100000</v>
      </c>
    </row>
    <row r="707" spans="1:6" ht="22.5" hidden="1" customHeight="1" x14ac:dyDescent="0.2">
      <c r="A707" s="23">
        <v>46213</v>
      </c>
      <c r="B707" s="24" t="s">
        <v>764</v>
      </c>
      <c r="C707" s="25" t="s">
        <v>46</v>
      </c>
      <c r="D707" s="25" t="s">
        <v>44</v>
      </c>
      <c r="E707" s="25" t="s">
        <v>3</v>
      </c>
      <c r="F707" s="26">
        <v>36000</v>
      </c>
    </row>
    <row r="708" spans="1:6" ht="22.5" hidden="1" customHeight="1" x14ac:dyDescent="0.2">
      <c r="A708" s="23">
        <v>46213</v>
      </c>
      <c r="B708" s="24" t="s">
        <v>765</v>
      </c>
      <c r="C708" s="25" t="s">
        <v>46</v>
      </c>
      <c r="D708" s="25" t="s">
        <v>44</v>
      </c>
      <c r="E708" s="25" t="s">
        <v>3</v>
      </c>
      <c r="F708" s="26">
        <v>10000</v>
      </c>
    </row>
    <row r="709" spans="1:6" ht="22.5" hidden="1" customHeight="1" x14ac:dyDescent="0.2">
      <c r="A709" s="23">
        <v>46213</v>
      </c>
      <c r="B709" s="24" t="s">
        <v>766</v>
      </c>
      <c r="C709" s="25" t="s">
        <v>46</v>
      </c>
      <c r="D709" s="25" t="s">
        <v>44</v>
      </c>
      <c r="E709" s="25" t="s">
        <v>2</v>
      </c>
      <c r="F709" s="26">
        <v>3000</v>
      </c>
    </row>
    <row r="710" spans="1:6" ht="22.5" hidden="1" customHeight="1" x14ac:dyDescent="0.2">
      <c r="A710" s="23">
        <v>46213</v>
      </c>
      <c r="B710" s="24" t="s">
        <v>233</v>
      </c>
      <c r="C710" s="25" t="s">
        <v>46</v>
      </c>
      <c r="D710" s="25" t="s">
        <v>44</v>
      </c>
      <c r="E710" s="25" t="s">
        <v>6</v>
      </c>
      <c r="F710" s="26">
        <v>20000</v>
      </c>
    </row>
    <row r="711" spans="1:6" ht="22.5" hidden="1" customHeight="1" x14ac:dyDescent="0.2">
      <c r="A711" s="23">
        <v>46214</v>
      </c>
      <c r="B711" s="24" t="s">
        <v>575</v>
      </c>
      <c r="C711" s="25" t="s">
        <v>43</v>
      </c>
      <c r="D711" s="25" t="s">
        <v>44</v>
      </c>
      <c r="E711" s="25" t="s">
        <v>9</v>
      </c>
      <c r="F711" s="26">
        <v>100000</v>
      </c>
    </row>
    <row r="712" spans="1:6" ht="22.5" hidden="1" customHeight="1" x14ac:dyDescent="0.2">
      <c r="A712" s="23">
        <v>46215</v>
      </c>
      <c r="B712" s="24" t="s">
        <v>767</v>
      </c>
      <c r="C712" s="25" t="s">
        <v>43</v>
      </c>
      <c r="D712" s="25" t="s">
        <v>44</v>
      </c>
      <c r="E712" s="25" t="s">
        <v>2</v>
      </c>
      <c r="F712" s="26">
        <v>27500</v>
      </c>
    </row>
    <row r="713" spans="1:6" ht="22.5" hidden="1" customHeight="1" x14ac:dyDescent="0.2">
      <c r="A713" s="23">
        <v>46215</v>
      </c>
      <c r="B713" s="24" t="s">
        <v>769</v>
      </c>
      <c r="C713" s="25" t="s">
        <v>46</v>
      </c>
      <c r="D713" s="25" t="s">
        <v>44</v>
      </c>
      <c r="E713" s="25" t="s">
        <v>3</v>
      </c>
      <c r="F713" s="26">
        <v>84000</v>
      </c>
    </row>
    <row r="714" spans="1:6" ht="22.5" hidden="1" customHeight="1" x14ac:dyDescent="0.2">
      <c r="A714" s="23">
        <v>46215</v>
      </c>
      <c r="B714" s="24" t="s">
        <v>770</v>
      </c>
      <c r="C714" s="25" t="s">
        <v>46</v>
      </c>
      <c r="D714" s="25" t="s">
        <v>44</v>
      </c>
      <c r="E714" s="25" t="s">
        <v>3</v>
      </c>
      <c r="F714" s="26">
        <v>1500</v>
      </c>
    </row>
    <row r="715" spans="1:6" ht="22.5" hidden="1" customHeight="1" x14ac:dyDescent="0.2">
      <c r="A715" s="23">
        <v>46215</v>
      </c>
      <c r="B715" s="24" t="s">
        <v>771</v>
      </c>
      <c r="C715" s="25" t="s">
        <v>43</v>
      </c>
      <c r="D715" s="25" t="s">
        <v>44</v>
      </c>
      <c r="E715" s="25" t="s">
        <v>1</v>
      </c>
      <c r="F715" s="26">
        <v>70000</v>
      </c>
    </row>
    <row r="716" spans="1:6" ht="22.5" hidden="1" customHeight="1" x14ac:dyDescent="0.2">
      <c r="A716" s="23">
        <v>46215</v>
      </c>
      <c r="B716" s="24" t="s">
        <v>202</v>
      </c>
      <c r="C716" s="25" t="s">
        <v>43</v>
      </c>
      <c r="D716" s="25" t="s">
        <v>44</v>
      </c>
      <c r="E716" s="25" t="s">
        <v>9</v>
      </c>
      <c r="F716" s="26">
        <v>10000</v>
      </c>
    </row>
    <row r="717" spans="1:6" ht="22.5" hidden="1" customHeight="1" x14ac:dyDescent="0.2">
      <c r="A717" s="23">
        <v>46215</v>
      </c>
      <c r="B717" s="24" t="s">
        <v>149</v>
      </c>
      <c r="C717" s="25" t="s">
        <v>46</v>
      </c>
      <c r="D717" s="25" t="s">
        <v>39</v>
      </c>
      <c r="E717" s="25" t="s">
        <v>9</v>
      </c>
      <c r="F717" s="26">
        <v>10000</v>
      </c>
    </row>
    <row r="718" spans="1:6" ht="22.5" hidden="1" customHeight="1" x14ac:dyDescent="0.2">
      <c r="A718" s="23">
        <v>46215</v>
      </c>
      <c r="B718" s="24" t="s">
        <v>202</v>
      </c>
      <c r="C718" s="25" t="s">
        <v>43</v>
      </c>
      <c r="D718" s="25" t="s">
        <v>44</v>
      </c>
      <c r="E718" s="25" t="s">
        <v>9</v>
      </c>
      <c r="F718" s="26">
        <v>100000</v>
      </c>
    </row>
    <row r="719" spans="1:6" ht="22.5" hidden="1" customHeight="1" x14ac:dyDescent="0.2">
      <c r="A719" s="23">
        <v>46215</v>
      </c>
      <c r="B719" s="24" t="s">
        <v>149</v>
      </c>
      <c r="C719" s="25" t="s">
        <v>46</v>
      </c>
      <c r="D719" s="25" t="s">
        <v>39</v>
      </c>
      <c r="E719" s="25" t="s">
        <v>9</v>
      </c>
      <c r="F719" s="26">
        <v>100000</v>
      </c>
    </row>
    <row r="720" spans="1:6" ht="22.5" hidden="1" customHeight="1" x14ac:dyDescent="0.2">
      <c r="A720" s="23">
        <v>46215</v>
      </c>
      <c r="B720" s="24" t="s">
        <v>233</v>
      </c>
      <c r="C720" s="25" t="s">
        <v>46</v>
      </c>
      <c r="D720" s="25" t="s">
        <v>44</v>
      </c>
      <c r="E720" s="25" t="s">
        <v>6</v>
      </c>
      <c r="F720" s="26">
        <v>15000</v>
      </c>
    </row>
    <row r="721" spans="1:6" ht="22.5" hidden="1" customHeight="1" x14ac:dyDescent="0.2">
      <c r="A721" s="23">
        <v>46214</v>
      </c>
      <c r="B721" s="24" t="s">
        <v>772</v>
      </c>
      <c r="C721" s="25" t="s">
        <v>46</v>
      </c>
      <c r="D721" s="25" t="s">
        <v>44</v>
      </c>
      <c r="E721" s="25" t="s">
        <v>8</v>
      </c>
      <c r="F721" s="26">
        <v>17000</v>
      </c>
    </row>
    <row r="722" spans="1:6" ht="22.5" hidden="1" customHeight="1" x14ac:dyDescent="0.2">
      <c r="A722" s="23">
        <v>46214</v>
      </c>
      <c r="B722" s="24" t="s">
        <v>426</v>
      </c>
      <c r="C722" s="25" t="s">
        <v>46</v>
      </c>
      <c r="D722" s="25" t="s">
        <v>44</v>
      </c>
      <c r="E722" s="25" t="s">
        <v>1</v>
      </c>
      <c r="F722" s="26">
        <v>9000</v>
      </c>
    </row>
    <row r="723" spans="1:6" ht="22.5" hidden="1" customHeight="1" x14ac:dyDescent="0.2">
      <c r="A723" s="23">
        <v>46214</v>
      </c>
      <c r="B723" s="24" t="s">
        <v>773</v>
      </c>
      <c r="C723" s="25" t="s">
        <v>46</v>
      </c>
      <c r="D723" s="25" t="s">
        <v>44</v>
      </c>
      <c r="E723" s="25" t="s">
        <v>1</v>
      </c>
      <c r="F723" s="26">
        <v>4000</v>
      </c>
    </row>
    <row r="724" spans="1:6" ht="22.5" hidden="1" customHeight="1" x14ac:dyDescent="0.2">
      <c r="A724" s="23">
        <v>46220</v>
      </c>
      <c r="B724" s="24" t="s">
        <v>774</v>
      </c>
      <c r="C724" s="25" t="s">
        <v>46</v>
      </c>
      <c r="D724" s="25" t="s">
        <v>44</v>
      </c>
      <c r="E724" s="25" t="s">
        <v>3</v>
      </c>
      <c r="F724" s="26">
        <v>111000</v>
      </c>
    </row>
    <row r="725" spans="1:6" ht="22.5" hidden="1" customHeight="1" x14ac:dyDescent="0.2">
      <c r="A725" s="23">
        <v>46215</v>
      </c>
      <c r="B725" s="24" t="s">
        <v>775</v>
      </c>
      <c r="C725" s="25" t="s">
        <v>43</v>
      </c>
      <c r="D725" s="25" t="s">
        <v>44</v>
      </c>
      <c r="E725" s="25" t="s">
        <v>9</v>
      </c>
      <c r="F725" s="26">
        <v>10000</v>
      </c>
    </row>
    <row r="726" spans="1:6" ht="22.5" hidden="1" customHeight="1" x14ac:dyDescent="0.2">
      <c r="A726" s="23">
        <v>46215</v>
      </c>
      <c r="B726" s="24" t="s">
        <v>776</v>
      </c>
      <c r="C726" s="25" t="s">
        <v>46</v>
      </c>
      <c r="D726" s="25" t="s">
        <v>39</v>
      </c>
      <c r="E726" s="25" t="s">
        <v>9</v>
      </c>
      <c r="F726" s="26">
        <v>10000</v>
      </c>
    </row>
    <row r="727" spans="1:6" ht="22.5" hidden="1" customHeight="1" x14ac:dyDescent="0.2">
      <c r="A727" s="23">
        <v>46216</v>
      </c>
      <c r="B727" s="24" t="s">
        <v>694</v>
      </c>
      <c r="C727" s="25" t="s">
        <v>43</v>
      </c>
      <c r="D727" s="25" t="s">
        <v>39</v>
      </c>
      <c r="E727" s="71" t="s">
        <v>986</v>
      </c>
      <c r="F727" s="26">
        <v>144300</v>
      </c>
    </row>
    <row r="728" spans="1:6" ht="22.5" hidden="1" customHeight="1" x14ac:dyDescent="0.2">
      <c r="A728" s="23">
        <v>46216</v>
      </c>
      <c r="B728" s="24" t="s">
        <v>499</v>
      </c>
      <c r="C728" s="25" t="s">
        <v>43</v>
      </c>
      <c r="D728" s="25" t="s">
        <v>44</v>
      </c>
      <c r="E728" s="25" t="s">
        <v>9</v>
      </c>
      <c r="F728" s="26">
        <v>100000</v>
      </c>
    </row>
    <row r="729" spans="1:6" ht="22.5" hidden="1" customHeight="1" x14ac:dyDescent="0.2">
      <c r="A729" s="23">
        <v>46216</v>
      </c>
      <c r="B729" s="24" t="s">
        <v>484</v>
      </c>
      <c r="C729" s="25" t="s">
        <v>46</v>
      </c>
      <c r="D729" s="25" t="s">
        <v>39</v>
      </c>
      <c r="E729" s="25" t="s">
        <v>9</v>
      </c>
      <c r="F729" s="26">
        <v>100000</v>
      </c>
    </row>
    <row r="730" spans="1:6" ht="22.5" hidden="1" customHeight="1" x14ac:dyDescent="0.2">
      <c r="A730" s="23">
        <v>46216</v>
      </c>
      <c r="B730" s="24" t="s">
        <v>567</v>
      </c>
      <c r="C730" s="25" t="s">
        <v>46</v>
      </c>
      <c r="D730" s="25" t="s">
        <v>44</v>
      </c>
      <c r="E730" s="25" t="s">
        <v>2</v>
      </c>
      <c r="F730" s="26">
        <v>4000</v>
      </c>
    </row>
    <row r="731" spans="1:6" ht="22.5" hidden="1" customHeight="1" x14ac:dyDescent="0.2">
      <c r="A731" s="23">
        <v>46217</v>
      </c>
      <c r="B731" s="24" t="s">
        <v>562</v>
      </c>
      <c r="C731" s="25" t="s">
        <v>46</v>
      </c>
      <c r="D731" s="25" t="s">
        <v>44</v>
      </c>
      <c r="E731" s="25" t="s">
        <v>2</v>
      </c>
      <c r="F731" s="26">
        <v>5000</v>
      </c>
    </row>
    <row r="732" spans="1:6" ht="22.5" hidden="1" customHeight="1" x14ac:dyDescent="0.2">
      <c r="A732" s="23">
        <v>46217</v>
      </c>
      <c r="B732" s="24" t="s">
        <v>480</v>
      </c>
      <c r="C732" s="25" t="s">
        <v>46</v>
      </c>
      <c r="D732" s="25" t="s">
        <v>44</v>
      </c>
      <c r="E732" s="25" t="s">
        <v>3</v>
      </c>
      <c r="F732" s="26">
        <v>5000</v>
      </c>
    </row>
    <row r="733" spans="1:6" ht="22.5" hidden="1" customHeight="1" x14ac:dyDescent="0.2">
      <c r="A733" s="23">
        <v>46216</v>
      </c>
      <c r="B733" s="24" t="s">
        <v>777</v>
      </c>
      <c r="C733" s="25" t="s">
        <v>46</v>
      </c>
      <c r="D733" s="25" t="s">
        <v>44</v>
      </c>
      <c r="E733" s="25" t="s">
        <v>3</v>
      </c>
      <c r="F733" s="26">
        <v>86000</v>
      </c>
    </row>
    <row r="734" spans="1:6" ht="22.5" hidden="1" customHeight="1" x14ac:dyDescent="0.2">
      <c r="A734" s="23">
        <v>46217</v>
      </c>
      <c r="B734" s="24" t="s">
        <v>778</v>
      </c>
      <c r="C734" s="25" t="s">
        <v>43</v>
      </c>
      <c r="D734" s="25" t="s">
        <v>44</v>
      </c>
      <c r="E734" s="25" t="s">
        <v>1</v>
      </c>
      <c r="F734" s="26">
        <v>30500</v>
      </c>
    </row>
    <row r="735" spans="1:6" ht="22.5" hidden="1" customHeight="1" x14ac:dyDescent="0.2">
      <c r="A735" s="23">
        <v>46217</v>
      </c>
      <c r="B735" s="24" t="s">
        <v>779</v>
      </c>
      <c r="C735" s="25" t="s">
        <v>43</v>
      </c>
      <c r="D735" s="25" t="s">
        <v>44</v>
      </c>
      <c r="E735" s="25" t="s">
        <v>4</v>
      </c>
      <c r="F735" s="26">
        <v>15720</v>
      </c>
    </row>
    <row r="736" spans="1:6" ht="22.5" hidden="1" customHeight="1" x14ac:dyDescent="0.2">
      <c r="A736" s="23">
        <v>46217</v>
      </c>
      <c r="B736" s="24" t="s">
        <v>780</v>
      </c>
      <c r="C736" s="25" t="s">
        <v>43</v>
      </c>
      <c r="D736" s="25" t="s">
        <v>39</v>
      </c>
      <c r="E736" s="25" t="s">
        <v>9</v>
      </c>
      <c r="F736" s="26">
        <v>25010</v>
      </c>
    </row>
    <row r="737" spans="1:6" ht="22.5" hidden="1" customHeight="1" x14ac:dyDescent="0.2">
      <c r="A737" s="23">
        <v>46218</v>
      </c>
      <c r="B737" s="24" t="s">
        <v>99</v>
      </c>
      <c r="C737" s="25" t="s">
        <v>46</v>
      </c>
      <c r="D737" s="25" t="s">
        <v>44</v>
      </c>
      <c r="E737" s="25" t="s">
        <v>6</v>
      </c>
      <c r="F737" s="26">
        <v>14500</v>
      </c>
    </row>
    <row r="738" spans="1:6" ht="22.5" hidden="1" customHeight="1" x14ac:dyDescent="0.2">
      <c r="A738" s="23">
        <v>46218</v>
      </c>
      <c r="B738" s="24" t="s">
        <v>781</v>
      </c>
      <c r="C738" s="25" t="s">
        <v>43</v>
      </c>
      <c r="D738" s="25" t="s">
        <v>39</v>
      </c>
      <c r="E738" s="71" t="s">
        <v>986</v>
      </c>
      <c r="F738" s="26">
        <v>303108</v>
      </c>
    </row>
    <row r="739" spans="1:6" ht="22.5" hidden="1" customHeight="1" x14ac:dyDescent="0.2">
      <c r="A739" s="23">
        <v>46218</v>
      </c>
      <c r="B739" s="24" t="s">
        <v>76</v>
      </c>
      <c r="C739" s="25" t="s">
        <v>43</v>
      </c>
      <c r="D739" s="25" t="s">
        <v>44</v>
      </c>
      <c r="E739" s="25" t="s">
        <v>9</v>
      </c>
      <c r="F739" s="26">
        <v>150000</v>
      </c>
    </row>
    <row r="740" spans="1:6" ht="22.5" hidden="1" customHeight="1" x14ac:dyDescent="0.2">
      <c r="A740" s="23">
        <v>46218</v>
      </c>
      <c r="B740" s="24" t="s">
        <v>149</v>
      </c>
      <c r="C740" s="25" t="s">
        <v>46</v>
      </c>
      <c r="D740" s="25" t="s">
        <v>39</v>
      </c>
      <c r="E740" s="25" t="s">
        <v>9</v>
      </c>
      <c r="F740" s="26">
        <v>150000</v>
      </c>
    </row>
    <row r="741" spans="1:6" ht="22.5" hidden="1" customHeight="1" x14ac:dyDescent="0.2">
      <c r="A741" s="23">
        <v>46218</v>
      </c>
      <c r="B741" s="24" t="s">
        <v>782</v>
      </c>
      <c r="C741" s="25" t="s">
        <v>46</v>
      </c>
      <c r="D741" s="25" t="s">
        <v>44</v>
      </c>
      <c r="E741" s="25" t="s">
        <v>2</v>
      </c>
      <c r="F741" s="26">
        <v>9300</v>
      </c>
    </row>
    <row r="742" spans="1:6" ht="22.5" hidden="1" customHeight="1" x14ac:dyDescent="0.2">
      <c r="A742" s="23">
        <v>46218</v>
      </c>
      <c r="B742" s="24" t="s">
        <v>783</v>
      </c>
      <c r="C742" s="25" t="s">
        <v>46</v>
      </c>
      <c r="D742" s="25" t="s">
        <v>44</v>
      </c>
      <c r="E742" s="25" t="s">
        <v>2</v>
      </c>
      <c r="F742" s="26">
        <v>14000</v>
      </c>
    </row>
    <row r="743" spans="1:6" ht="22.5" hidden="1" customHeight="1" x14ac:dyDescent="0.2">
      <c r="A743" s="23">
        <v>46218</v>
      </c>
      <c r="B743" s="24" t="s">
        <v>98</v>
      </c>
      <c r="C743" s="25" t="s">
        <v>46</v>
      </c>
      <c r="D743" s="25" t="s">
        <v>44</v>
      </c>
      <c r="E743" s="25" t="s">
        <v>8</v>
      </c>
      <c r="F743" s="26">
        <v>17000</v>
      </c>
    </row>
    <row r="744" spans="1:6" ht="22.5" hidden="1" customHeight="1" x14ac:dyDescent="0.2">
      <c r="A744" s="23">
        <v>46219</v>
      </c>
      <c r="B744" s="24" t="s">
        <v>784</v>
      </c>
      <c r="C744" s="25" t="s">
        <v>43</v>
      </c>
      <c r="D744" s="25" t="s">
        <v>44</v>
      </c>
      <c r="E744" s="25" t="s">
        <v>0</v>
      </c>
      <c r="F744" s="26">
        <v>8000</v>
      </c>
    </row>
    <row r="745" spans="1:6" ht="22.5" hidden="1" customHeight="1" x14ac:dyDescent="0.2">
      <c r="A745" s="23">
        <v>46220</v>
      </c>
      <c r="B745" s="24" t="s">
        <v>499</v>
      </c>
      <c r="C745" s="25" t="s">
        <v>43</v>
      </c>
      <c r="D745" s="25" t="s">
        <v>44</v>
      </c>
      <c r="E745" s="25" t="s">
        <v>9</v>
      </c>
      <c r="F745" s="26">
        <v>50000</v>
      </c>
    </row>
    <row r="746" spans="1:6" ht="22.5" hidden="1" customHeight="1" x14ac:dyDescent="0.2">
      <c r="A746" s="23">
        <v>46220</v>
      </c>
      <c r="B746" s="24" t="s">
        <v>550</v>
      </c>
      <c r="C746" s="25" t="s">
        <v>46</v>
      </c>
      <c r="D746" s="25" t="s">
        <v>39</v>
      </c>
      <c r="E746" s="25" t="s">
        <v>9</v>
      </c>
      <c r="F746" s="26">
        <v>50000</v>
      </c>
    </row>
    <row r="747" spans="1:6" ht="22.5" hidden="1" customHeight="1" x14ac:dyDescent="0.2">
      <c r="A747" s="23">
        <v>46220</v>
      </c>
      <c r="B747" s="24" t="s">
        <v>785</v>
      </c>
      <c r="C747" s="25" t="s">
        <v>46</v>
      </c>
      <c r="D747" s="25" t="s">
        <v>44</v>
      </c>
      <c r="E747" s="25" t="s">
        <v>3</v>
      </c>
      <c r="F747" s="26">
        <v>30500</v>
      </c>
    </row>
    <row r="748" spans="1:6" ht="22.5" hidden="1" customHeight="1" x14ac:dyDescent="0.2">
      <c r="A748" s="23">
        <v>46220</v>
      </c>
      <c r="B748" s="24" t="s">
        <v>502</v>
      </c>
      <c r="C748" s="25" t="s">
        <v>46</v>
      </c>
      <c r="D748" s="25" t="s">
        <v>44</v>
      </c>
      <c r="E748" s="25" t="s">
        <v>6</v>
      </c>
      <c r="F748" s="26">
        <v>20000</v>
      </c>
    </row>
    <row r="749" spans="1:6" ht="22.5" hidden="1" customHeight="1" x14ac:dyDescent="0.2">
      <c r="A749" s="23">
        <v>46220</v>
      </c>
      <c r="B749" s="24" t="s">
        <v>786</v>
      </c>
      <c r="C749" s="25" t="s">
        <v>46</v>
      </c>
      <c r="D749" s="25" t="s">
        <v>44</v>
      </c>
      <c r="E749" s="25" t="s">
        <v>3</v>
      </c>
      <c r="F749" s="26">
        <v>109000</v>
      </c>
    </row>
    <row r="750" spans="1:6" ht="22.5" hidden="1" customHeight="1" x14ac:dyDescent="0.2">
      <c r="A750" s="23">
        <v>46217</v>
      </c>
      <c r="B750" s="24" t="s">
        <v>640</v>
      </c>
      <c r="C750" s="25" t="s">
        <v>43</v>
      </c>
      <c r="D750" s="25" t="s">
        <v>44</v>
      </c>
      <c r="E750" s="25" t="s">
        <v>4</v>
      </c>
      <c r="F750" s="26">
        <v>10000</v>
      </c>
    </row>
    <row r="751" spans="1:6" ht="22.5" hidden="1" customHeight="1" x14ac:dyDescent="0.2">
      <c r="A751" s="23">
        <v>46221</v>
      </c>
      <c r="B751" s="24" t="s">
        <v>97</v>
      </c>
      <c r="C751" s="25" t="s">
        <v>43</v>
      </c>
      <c r="D751" s="25" t="s">
        <v>44</v>
      </c>
      <c r="E751" s="25" t="s">
        <v>9</v>
      </c>
      <c r="F751" s="26">
        <v>100000</v>
      </c>
    </row>
    <row r="752" spans="1:6" ht="22.5" hidden="1" customHeight="1" x14ac:dyDescent="0.2">
      <c r="A752" s="23">
        <v>46221</v>
      </c>
      <c r="B752" s="24" t="s">
        <v>787</v>
      </c>
      <c r="C752" s="25" t="s">
        <v>46</v>
      </c>
      <c r="D752" s="25" t="s">
        <v>39</v>
      </c>
      <c r="E752" s="25" t="s">
        <v>9</v>
      </c>
      <c r="F752" s="26">
        <v>100000</v>
      </c>
    </row>
    <row r="753" spans="1:6" ht="22.5" hidden="1" customHeight="1" x14ac:dyDescent="0.2">
      <c r="A753" s="23">
        <v>46221</v>
      </c>
      <c r="B753" s="24" t="s">
        <v>73</v>
      </c>
      <c r="C753" s="25" t="s">
        <v>43</v>
      </c>
      <c r="D753" s="25" t="s">
        <v>44</v>
      </c>
      <c r="E753" s="25" t="s">
        <v>9</v>
      </c>
      <c r="F753" s="26">
        <v>17000</v>
      </c>
    </row>
    <row r="754" spans="1:6" ht="22.5" hidden="1" customHeight="1" x14ac:dyDescent="0.2">
      <c r="A754" s="23">
        <v>46221</v>
      </c>
      <c r="B754" s="24" t="s">
        <v>788</v>
      </c>
      <c r="C754" s="25" t="s">
        <v>46</v>
      </c>
      <c r="D754" s="25" t="s">
        <v>44</v>
      </c>
      <c r="E754" s="25" t="s">
        <v>2</v>
      </c>
      <c r="F754" s="26">
        <v>15000</v>
      </c>
    </row>
    <row r="755" spans="1:6" ht="22.5" hidden="1" customHeight="1" x14ac:dyDescent="0.2">
      <c r="A755" s="23">
        <v>46221</v>
      </c>
      <c r="B755" s="24" t="s">
        <v>789</v>
      </c>
      <c r="C755" s="25" t="s">
        <v>46</v>
      </c>
      <c r="D755" s="25" t="s">
        <v>44</v>
      </c>
      <c r="E755" s="25" t="s">
        <v>2</v>
      </c>
      <c r="F755" s="26">
        <v>11000</v>
      </c>
    </row>
    <row r="756" spans="1:6" ht="22.5" hidden="1" customHeight="1" x14ac:dyDescent="0.2">
      <c r="A756" s="23">
        <v>46221</v>
      </c>
      <c r="B756" s="24" t="s">
        <v>790</v>
      </c>
      <c r="C756" s="25" t="s">
        <v>46</v>
      </c>
      <c r="D756" s="25" t="s">
        <v>44</v>
      </c>
      <c r="E756" s="25" t="s">
        <v>3</v>
      </c>
      <c r="F756" s="26">
        <v>48000</v>
      </c>
    </row>
    <row r="757" spans="1:6" ht="22.5" hidden="1" customHeight="1" x14ac:dyDescent="0.2">
      <c r="A757" s="23">
        <v>46222</v>
      </c>
      <c r="B757" s="24" t="s">
        <v>791</v>
      </c>
      <c r="C757" s="25" t="s">
        <v>46</v>
      </c>
      <c r="D757" s="25" t="s">
        <v>44</v>
      </c>
      <c r="E757" s="25" t="s">
        <v>2</v>
      </c>
      <c r="F757" s="26">
        <v>15000</v>
      </c>
    </row>
    <row r="758" spans="1:6" ht="22.5" hidden="1" customHeight="1" x14ac:dyDescent="0.2">
      <c r="A758" s="23">
        <v>46223</v>
      </c>
      <c r="B758" s="24" t="s">
        <v>792</v>
      </c>
      <c r="C758" s="25" t="s">
        <v>43</v>
      </c>
      <c r="D758" s="25" t="s">
        <v>39</v>
      </c>
      <c r="E758" s="71" t="s">
        <v>986</v>
      </c>
      <c r="F758" s="26">
        <v>49001</v>
      </c>
    </row>
    <row r="759" spans="1:6" ht="22.5" hidden="1" customHeight="1" x14ac:dyDescent="0.2">
      <c r="A759" s="23">
        <v>46223</v>
      </c>
      <c r="B759" s="24" t="s">
        <v>97</v>
      </c>
      <c r="C759" s="25" t="s">
        <v>43</v>
      </c>
      <c r="D759" s="25" t="s">
        <v>44</v>
      </c>
      <c r="E759" s="25" t="s">
        <v>9</v>
      </c>
      <c r="F759" s="26">
        <v>50000</v>
      </c>
    </row>
    <row r="760" spans="1:6" ht="22.5" hidden="1" customHeight="1" x14ac:dyDescent="0.2">
      <c r="A760" s="23">
        <v>46223</v>
      </c>
      <c r="B760" s="24" t="s">
        <v>484</v>
      </c>
      <c r="C760" s="25" t="s">
        <v>46</v>
      </c>
      <c r="D760" s="25" t="s">
        <v>39</v>
      </c>
      <c r="E760" s="25" t="s">
        <v>9</v>
      </c>
      <c r="F760" s="26">
        <v>50000</v>
      </c>
    </row>
    <row r="761" spans="1:6" ht="22.5" hidden="1" customHeight="1" x14ac:dyDescent="0.2">
      <c r="A761" s="23">
        <v>46223</v>
      </c>
      <c r="B761" s="24" t="s">
        <v>793</v>
      </c>
      <c r="C761" s="25" t="s">
        <v>46</v>
      </c>
      <c r="D761" s="25" t="s">
        <v>44</v>
      </c>
      <c r="E761" s="25" t="s">
        <v>3</v>
      </c>
      <c r="F761" s="26">
        <v>35000</v>
      </c>
    </row>
    <row r="762" spans="1:6" ht="22.5" hidden="1" customHeight="1" x14ac:dyDescent="0.2">
      <c r="A762" s="23">
        <v>46223</v>
      </c>
      <c r="B762" s="24" t="s">
        <v>794</v>
      </c>
      <c r="C762" s="25" t="s">
        <v>46</v>
      </c>
      <c r="D762" s="25" t="s">
        <v>44</v>
      </c>
      <c r="E762" s="25" t="s">
        <v>3</v>
      </c>
      <c r="F762" s="26">
        <v>21000</v>
      </c>
    </row>
    <row r="763" spans="1:6" ht="22.5" hidden="1" customHeight="1" x14ac:dyDescent="0.2">
      <c r="A763" s="23">
        <v>46224</v>
      </c>
      <c r="B763" s="24" t="s">
        <v>235</v>
      </c>
      <c r="C763" s="25" t="s">
        <v>46</v>
      </c>
      <c r="D763" s="25" t="s">
        <v>44</v>
      </c>
      <c r="E763" s="25" t="s">
        <v>2</v>
      </c>
      <c r="F763" s="26">
        <v>5200</v>
      </c>
    </row>
    <row r="764" spans="1:6" ht="22.5" hidden="1" customHeight="1" x14ac:dyDescent="0.2">
      <c r="A764" s="23">
        <v>46225</v>
      </c>
      <c r="B764" s="24" t="s">
        <v>622</v>
      </c>
      <c r="C764" s="25" t="s">
        <v>43</v>
      </c>
      <c r="D764" s="25" t="s">
        <v>39</v>
      </c>
      <c r="E764" s="71" t="s">
        <v>986</v>
      </c>
      <c r="F764" s="26">
        <v>237000</v>
      </c>
    </row>
    <row r="765" spans="1:6" ht="22.5" hidden="1" customHeight="1" x14ac:dyDescent="0.2">
      <c r="A765" s="23">
        <v>46225</v>
      </c>
      <c r="B765" s="24" t="s">
        <v>482</v>
      </c>
      <c r="C765" s="25" t="s">
        <v>43</v>
      </c>
      <c r="D765" s="25" t="s">
        <v>44</v>
      </c>
      <c r="E765" s="25" t="s">
        <v>9</v>
      </c>
      <c r="F765" s="26">
        <v>200000</v>
      </c>
    </row>
    <row r="766" spans="1:6" ht="22.5" hidden="1" customHeight="1" x14ac:dyDescent="0.2">
      <c r="A766" s="23">
        <v>46225</v>
      </c>
      <c r="B766" s="24" t="s">
        <v>550</v>
      </c>
      <c r="C766" s="25" t="s">
        <v>46</v>
      </c>
      <c r="D766" s="25" t="s">
        <v>39</v>
      </c>
      <c r="E766" s="25" t="s">
        <v>9</v>
      </c>
      <c r="F766" s="26">
        <v>200000</v>
      </c>
    </row>
    <row r="767" spans="1:6" ht="22.5" hidden="1" customHeight="1" x14ac:dyDescent="0.2">
      <c r="A767" s="23">
        <v>46225</v>
      </c>
      <c r="B767" s="24" t="s">
        <v>796</v>
      </c>
      <c r="C767" s="25" t="s">
        <v>46</v>
      </c>
      <c r="D767" s="25" t="s">
        <v>44</v>
      </c>
      <c r="E767" s="25" t="s">
        <v>1</v>
      </c>
      <c r="F767" s="26">
        <v>58000</v>
      </c>
    </row>
    <row r="768" spans="1:6" ht="22.5" hidden="1" customHeight="1" x14ac:dyDescent="0.2">
      <c r="A768" s="23">
        <v>46226</v>
      </c>
      <c r="B768" s="24" t="s">
        <v>797</v>
      </c>
      <c r="C768" s="25" t="s">
        <v>46</v>
      </c>
      <c r="D768" s="25" t="s">
        <v>44</v>
      </c>
      <c r="E768" s="25" t="s">
        <v>0</v>
      </c>
      <c r="F768" s="26">
        <v>35000</v>
      </c>
    </row>
    <row r="769" spans="1:6" ht="22.5" hidden="1" customHeight="1" x14ac:dyDescent="0.2">
      <c r="A769" s="23">
        <v>46226</v>
      </c>
      <c r="B769" s="24" t="s">
        <v>573</v>
      </c>
      <c r="C769" s="25" t="s">
        <v>46</v>
      </c>
      <c r="D769" s="25" t="s">
        <v>44</v>
      </c>
      <c r="E769" s="25" t="s">
        <v>6</v>
      </c>
      <c r="F769" s="26">
        <v>20000</v>
      </c>
    </row>
    <row r="770" spans="1:6" ht="22.5" hidden="1" customHeight="1" x14ac:dyDescent="0.2">
      <c r="A770" s="23">
        <v>46226</v>
      </c>
      <c r="B770" s="24" t="s">
        <v>798</v>
      </c>
      <c r="C770" s="25" t="s">
        <v>46</v>
      </c>
      <c r="D770" s="25" t="s">
        <v>44</v>
      </c>
      <c r="E770" s="25" t="s">
        <v>2</v>
      </c>
      <c r="F770" s="26">
        <v>12000</v>
      </c>
    </row>
    <row r="771" spans="1:6" ht="22.5" hidden="1" customHeight="1" x14ac:dyDescent="0.2">
      <c r="A771" s="23">
        <v>46226</v>
      </c>
      <c r="B771" s="24" t="s">
        <v>799</v>
      </c>
      <c r="C771" s="25" t="s">
        <v>46</v>
      </c>
      <c r="D771" s="25" t="s">
        <v>44</v>
      </c>
      <c r="E771" s="25" t="s">
        <v>1</v>
      </c>
      <c r="F771" s="26">
        <v>36500</v>
      </c>
    </row>
    <row r="772" spans="1:6" ht="22.5" hidden="1" customHeight="1" x14ac:dyDescent="0.2">
      <c r="A772" s="23">
        <v>46226</v>
      </c>
      <c r="B772" s="24" t="s">
        <v>800</v>
      </c>
      <c r="C772" s="25" t="s">
        <v>46</v>
      </c>
      <c r="D772" s="25" t="s">
        <v>44</v>
      </c>
      <c r="E772" s="25" t="s">
        <v>3</v>
      </c>
      <c r="F772" s="26">
        <v>11000</v>
      </c>
    </row>
    <row r="773" spans="1:6" ht="22.5" hidden="1" customHeight="1" x14ac:dyDescent="0.2">
      <c r="A773" s="23">
        <v>46227</v>
      </c>
      <c r="B773" s="24" t="s">
        <v>801</v>
      </c>
      <c r="C773" s="25" t="s">
        <v>46</v>
      </c>
      <c r="D773" s="25" t="s">
        <v>44</v>
      </c>
      <c r="E773" s="25" t="s">
        <v>2</v>
      </c>
      <c r="F773" s="26">
        <v>7000</v>
      </c>
    </row>
    <row r="774" spans="1:6" ht="22.5" hidden="1" customHeight="1" x14ac:dyDescent="0.2">
      <c r="A774" s="23">
        <v>46227</v>
      </c>
      <c r="B774" s="24" t="s">
        <v>802</v>
      </c>
      <c r="C774" s="25" t="s">
        <v>43</v>
      </c>
      <c r="D774" s="25" t="s">
        <v>44</v>
      </c>
      <c r="E774" s="25" t="s">
        <v>7</v>
      </c>
      <c r="F774" s="26">
        <v>42651</v>
      </c>
    </row>
    <row r="775" spans="1:6" ht="22.5" hidden="1" customHeight="1" x14ac:dyDescent="0.2">
      <c r="A775" s="23">
        <v>46227</v>
      </c>
      <c r="B775" s="24" t="s">
        <v>803</v>
      </c>
      <c r="C775" s="25" t="s">
        <v>43</v>
      </c>
      <c r="D775" s="25" t="s">
        <v>39</v>
      </c>
      <c r="E775" s="71" t="s">
        <v>986</v>
      </c>
      <c r="F775" s="26">
        <v>117565</v>
      </c>
    </row>
    <row r="776" spans="1:6" ht="22.5" hidden="1" customHeight="1" x14ac:dyDescent="0.2">
      <c r="A776" s="23">
        <v>46227</v>
      </c>
      <c r="B776" s="24" t="s">
        <v>804</v>
      </c>
      <c r="C776" s="25" t="s">
        <v>43</v>
      </c>
      <c r="D776" s="25" t="s">
        <v>39</v>
      </c>
      <c r="E776" s="71" t="s">
        <v>986</v>
      </c>
      <c r="F776" s="26">
        <v>38730</v>
      </c>
    </row>
    <row r="777" spans="1:6" ht="22.5" hidden="1" customHeight="1" x14ac:dyDescent="0.2">
      <c r="A777" s="23">
        <v>46227</v>
      </c>
      <c r="B777" s="24" t="s">
        <v>499</v>
      </c>
      <c r="C777" s="25" t="s">
        <v>43</v>
      </c>
      <c r="D777" s="25" t="s">
        <v>44</v>
      </c>
      <c r="E777" s="25" t="s">
        <v>9</v>
      </c>
      <c r="F777" s="26">
        <v>100000</v>
      </c>
    </row>
    <row r="778" spans="1:6" ht="22.5" hidden="1" customHeight="1" x14ac:dyDescent="0.2">
      <c r="A778" s="23">
        <v>46227</v>
      </c>
      <c r="B778" s="24" t="s">
        <v>550</v>
      </c>
      <c r="C778" s="25" t="s">
        <v>46</v>
      </c>
      <c r="D778" s="25" t="s">
        <v>39</v>
      </c>
      <c r="E778" s="25" t="s">
        <v>9</v>
      </c>
      <c r="F778" s="26">
        <v>100000</v>
      </c>
    </row>
    <row r="779" spans="1:6" ht="22.5" hidden="1" customHeight="1" x14ac:dyDescent="0.2">
      <c r="A779" s="23">
        <v>46227</v>
      </c>
      <c r="B779" s="24" t="s">
        <v>524</v>
      </c>
      <c r="C779" s="25" t="s">
        <v>46</v>
      </c>
      <c r="D779" s="25" t="s">
        <v>44</v>
      </c>
      <c r="E779" s="25" t="s">
        <v>3</v>
      </c>
      <c r="F779" s="26">
        <v>86000</v>
      </c>
    </row>
    <row r="780" spans="1:6" ht="22.5" hidden="1" customHeight="1" x14ac:dyDescent="0.2">
      <c r="A780" s="23">
        <v>46228</v>
      </c>
      <c r="B780" s="24" t="s">
        <v>805</v>
      </c>
      <c r="C780" s="25" t="s">
        <v>46</v>
      </c>
      <c r="D780" s="25" t="s">
        <v>44</v>
      </c>
      <c r="E780" s="25" t="s">
        <v>6</v>
      </c>
      <c r="F780" s="26">
        <v>20000</v>
      </c>
    </row>
    <row r="781" spans="1:6" ht="22.5" hidden="1" customHeight="1" x14ac:dyDescent="0.2">
      <c r="A781" s="23">
        <v>46228</v>
      </c>
      <c r="B781" s="24" t="s">
        <v>499</v>
      </c>
      <c r="C781" s="25" t="s">
        <v>43</v>
      </c>
      <c r="D781" s="25" t="s">
        <v>44</v>
      </c>
      <c r="E781" s="25" t="s">
        <v>9</v>
      </c>
      <c r="F781" s="26">
        <v>50000</v>
      </c>
    </row>
    <row r="782" spans="1:6" ht="22.5" hidden="1" customHeight="1" x14ac:dyDescent="0.2">
      <c r="A782" s="23">
        <v>46228</v>
      </c>
      <c r="B782" s="24" t="s">
        <v>550</v>
      </c>
      <c r="C782" s="25" t="s">
        <v>46</v>
      </c>
      <c r="D782" s="25" t="s">
        <v>39</v>
      </c>
      <c r="E782" s="25" t="s">
        <v>9</v>
      </c>
      <c r="F782" s="26">
        <v>50000</v>
      </c>
    </row>
    <row r="783" spans="1:6" ht="22.5" hidden="1" customHeight="1" x14ac:dyDescent="0.2">
      <c r="A783" s="23">
        <v>46228</v>
      </c>
      <c r="B783" s="24" t="s">
        <v>806</v>
      </c>
      <c r="C783" s="25" t="s">
        <v>46</v>
      </c>
      <c r="D783" s="25" t="s">
        <v>44</v>
      </c>
      <c r="E783" s="25" t="s">
        <v>2</v>
      </c>
      <c r="F783" s="26">
        <v>10000</v>
      </c>
    </row>
    <row r="784" spans="1:6" ht="22.5" hidden="1" customHeight="1" x14ac:dyDescent="0.2">
      <c r="A784" s="23">
        <v>46228</v>
      </c>
      <c r="B784" s="24" t="s">
        <v>807</v>
      </c>
      <c r="C784" s="25" t="s">
        <v>46</v>
      </c>
      <c r="D784" s="25" t="s">
        <v>44</v>
      </c>
      <c r="E784" s="25" t="s">
        <v>6</v>
      </c>
      <c r="F784" s="26">
        <v>14000</v>
      </c>
    </row>
    <row r="785" spans="1:6" ht="22.5" hidden="1" customHeight="1" x14ac:dyDescent="0.2">
      <c r="A785" s="23">
        <v>46229</v>
      </c>
      <c r="B785" s="24" t="s">
        <v>808</v>
      </c>
      <c r="C785" s="25" t="s">
        <v>46</v>
      </c>
      <c r="D785" s="25" t="s">
        <v>44</v>
      </c>
      <c r="E785" s="25" t="s">
        <v>3</v>
      </c>
      <c r="F785" s="26">
        <v>23000</v>
      </c>
    </row>
    <row r="786" spans="1:6" ht="22.5" hidden="1" customHeight="1" x14ac:dyDescent="0.2">
      <c r="A786" s="23">
        <v>46229</v>
      </c>
      <c r="B786" s="24" t="s">
        <v>18</v>
      </c>
      <c r="C786" s="25" t="s">
        <v>46</v>
      </c>
      <c r="D786" s="25" t="s">
        <v>44</v>
      </c>
      <c r="E786" s="25" t="s">
        <v>8</v>
      </c>
      <c r="F786" s="26">
        <v>17000</v>
      </c>
    </row>
    <row r="787" spans="1:6" ht="22.5" hidden="1" customHeight="1" x14ac:dyDescent="0.2">
      <c r="A787" s="23">
        <v>46230</v>
      </c>
      <c r="B787" s="24" t="s">
        <v>694</v>
      </c>
      <c r="C787" s="25" t="s">
        <v>43</v>
      </c>
      <c r="D787" s="25" t="s">
        <v>39</v>
      </c>
      <c r="E787" s="71" t="s">
        <v>986</v>
      </c>
      <c r="F787" s="26">
        <v>128046</v>
      </c>
    </row>
    <row r="788" spans="1:6" ht="22.5" hidden="1" customHeight="1" x14ac:dyDescent="0.2">
      <c r="A788" s="23">
        <v>46230</v>
      </c>
      <c r="B788" s="24" t="s">
        <v>809</v>
      </c>
      <c r="C788" s="25" t="s">
        <v>43</v>
      </c>
      <c r="D788" s="25" t="s">
        <v>39</v>
      </c>
      <c r="E788" s="71" t="s">
        <v>986</v>
      </c>
      <c r="F788" s="26">
        <v>29766</v>
      </c>
    </row>
    <row r="789" spans="1:6" ht="22.5" hidden="1" customHeight="1" x14ac:dyDescent="0.2">
      <c r="A789" s="23">
        <v>46230</v>
      </c>
      <c r="B789" s="24" t="s">
        <v>499</v>
      </c>
      <c r="C789" s="25" t="s">
        <v>43</v>
      </c>
      <c r="D789" s="25" t="s">
        <v>44</v>
      </c>
      <c r="E789" s="25" t="s">
        <v>9</v>
      </c>
      <c r="F789" s="26">
        <v>100000</v>
      </c>
    </row>
    <row r="790" spans="1:6" ht="22.5" hidden="1" customHeight="1" x14ac:dyDescent="0.2">
      <c r="A790" s="23">
        <v>46230</v>
      </c>
      <c r="B790" s="24" t="s">
        <v>810</v>
      </c>
      <c r="C790" s="25" t="s">
        <v>46</v>
      </c>
      <c r="D790" s="25" t="s">
        <v>39</v>
      </c>
      <c r="E790" s="25" t="s">
        <v>9</v>
      </c>
      <c r="F790" s="26">
        <v>100000</v>
      </c>
    </row>
    <row r="791" spans="1:6" ht="22.5" hidden="1" customHeight="1" x14ac:dyDescent="0.2">
      <c r="A791" s="23">
        <v>46230</v>
      </c>
      <c r="B791" s="24" t="s">
        <v>811</v>
      </c>
      <c r="C791" s="25" t="s">
        <v>43</v>
      </c>
      <c r="D791" s="25" t="s">
        <v>44</v>
      </c>
      <c r="E791" s="25" t="s">
        <v>0</v>
      </c>
      <c r="F791" s="26">
        <v>21750</v>
      </c>
    </row>
    <row r="792" spans="1:6" ht="22.5" hidden="1" customHeight="1" x14ac:dyDescent="0.2">
      <c r="A792" s="23">
        <v>46230</v>
      </c>
      <c r="B792" s="24" t="s">
        <v>812</v>
      </c>
      <c r="C792" s="25" t="s">
        <v>43</v>
      </c>
      <c r="D792" s="25" t="s">
        <v>44</v>
      </c>
      <c r="E792" s="25" t="s">
        <v>0</v>
      </c>
      <c r="F792" s="26">
        <v>33300</v>
      </c>
    </row>
    <row r="793" spans="1:6" ht="22.5" hidden="1" customHeight="1" x14ac:dyDescent="0.2">
      <c r="A793" s="23">
        <v>46230</v>
      </c>
      <c r="B793" s="24" t="s">
        <v>813</v>
      </c>
      <c r="C793" s="25" t="s">
        <v>46</v>
      </c>
      <c r="D793" s="25" t="s">
        <v>44</v>
      </c>
      <c r="E793" s="25" t="s">
        <v>1</v>
      </c>
      <c r="F793" s="26">
        <v>20000</v>
      </c>
    </row>
    <row r="794" spans="1:6" ht="22.5" hidden="1" customHeight="1" x14ac:dyDescent="0.2">
      <c r="A794" s="23">
        <v>46230</v>
      </c>
      <c r="B794" s="24" t="s">
        <v>706</v>
      </c>
      <c r="C794" s="25" t="s">
        <v>46</v>
      </c>
      <c r="D794" s="25" t="s">
        <v>44</v>
      </c>
      <c r="E794" s="25" t="s">
        <v>2</v>
      </c>
      <c r="F794" s="26">
        <v>9000</v>
      </c>
    </row>
    <row r="795" spans="1:6" ht="22.5" hidden="1" customHeight="1" x14ac:dyDescent="0.2">
      <c r="A795" s="23">
        <v>46230</v>
      </c>
      <c r="B795" s="24" t="s">
        <v>814</v>
      </c>
      <c r="C795" s="25" t="s">
        <v>46</v>
      </c>
      <c r="D795" s="25" t="s">
        <v>44</v>
      </c>
      <c r="E795" s="25" t="s">
        <v>6</v>
      </c>
      <c r="F795" s="26">
        <v>20000</v>
      </c>
    </row>
    <row r="796" spans="1:6" ht="22.5" hidden="1" customHeight="1" x14ac:dyDescent="0.2">
      <c r="A796" s="23">
        <v>46233</v>
      </c>
      <c r="B796" s="24" t="s">
        <v>815</v>
      </c>
      <c r="C796" s="25" t="s">
        <v>43</v>
      </c>
      <c r="D796" s="25" t="s">
        <v>39</v>
      </c>
      <c r="E796" s="71" t="s">
        <v>986</v>
      </c>
      <c r="F796" s="26">
        <v>141449</v>
      </c>
    </row>
    <row r="797" spans="1:6" ht="22.5" hidden="1" customHeight="1" x14ac:dyDescent="0.2">
      <c r="A797" s="23">
        <v>46233</v>
      </c>
      <c r="B797" s="24" t="s">
        <v>202</v>
      </c>
      <c r="C797" s="25" t="s">
        <v>43</v>
      </c>
      <c r="D797" s="25" t="s">
        <v>44</v>
      </c>
      <c r="E797" s="25" t="s">
        <v>9</v>
      </c>
      <c r="F797" s="26">
        <v>150000</v>
      </c>
    </row>
    <row r="798" spans="1:6" ht="22.5" hidden="1" customHeight="1" x14ac:dyDescent="0.2">
      <c r="A798" s="23">
        <v>46233</v>
      </c>
      <c r="B798" s="24" t="s">
        <v>149</v>
      </c>
      <c r="C798" s="25" t="s">
        <v>46</v>
      </c>
      <c r="D798" s="25" t="s">
        <v>39</v>
      </c>
      <c r="E798" s="25" t="s">
        <v>9</v>
      </c>
      <c r="F798" s="26">
        <v>150000</v>
      </c>
    </row>
    <row r="799" spans="1:6" ht="22.5" hidden="1" customHeight="1" x14ac:dyDescent="0.2">
      <c r="A799" s="23">
        <v>46233</v>
      </c>
      <c r="B799" s="24" t="s">
        <v>233</v>
      </c>
      <c r="C799" s="25" t="s">
        <v>46</v>
      </c>
      <c r="D799" s="25" t="s">
        <v>44</v>
      </c>
      <c r="E799" s="25" t="s">
        <v>6</v>
      </c>
      <c r="F799" s="26">
        <v>20000</v>
      </c>
    </row>
    <row r="800" spans="1:6" ht="22.5" hidden="1" customHeight="1" x14ac:dyDescent="0.2">
      <c r="A800" s="23">
        <v>46233</v>
      </c>
      <c r="B800" s="24" t="s">
        <v>817</v>
      </c>
      <c r="C800" s="25" t="s">
        <v>46</v>
      </c>
      <c r="D800" s="25" t="s">
        <v>44</v>
      </c>
      <c r="E800" s="25" t="s">
        <v>7</v>
      </c>
      <c r="F800" s="26">
        <v>48700</v>
      </c>
    </row>
    <row r="801" spans="1:6" ht="22.5" hidden="1" customHeight="1" x14ac:dyDescent="0.2">
      <c r="A801" s="23">
        <v>46233</v>
      </c>
      <c r="B801" s="24" t="s">
        <v>229</v>
      </c>
      <c r="C801" s="25" t="s">
        <v>46</v>
      </c>
      <c r="D801" s="25" t="s">
        <v>44</v>
      </c>
      <c r="E801" s="25" t="s">
        <v>3</v>
      </c>
      <c r="F801" s="26">
        <v>16000</v>
      </c>
    </row>
    <row r="802" spans="1:6" ht="22.5" hidden="1" customHeight="1" x14ac:dyDescent="0.2">
      <c r="A802" s="23">
        <v>46233</v>
      </c>
      <c r="B802" s="24" t="s">
        <v>818</v>
      </c>
      <c r="C802" s="25" t="s">
        <v>46</v>
      </c>
      <c r="D802" s="25" t="s">
        <v>44</v>
      </c>
      <c r="E802" s="25" t="s">
        <v>3</v>
      </c>
      <c r="F802" s="26">
        <v>15000</v>
      </c>
    </row>
    <row r="803" spans="1:6" ht="22.5" hidden="1" customHeight="1" x14ac:dyDescent="0.2">
      <c r="A803" s="23">
        <v>46233</v>
      </c>
      <c r="B803" s="24" t="s">
        <v>819</v>
      </c>
      <c r="C803" s="25" t="s">
        <v>46</v>
      </c>
      <c r="D803" s="25" t="s">
        <v>44</v>
      </c>
      <c r="E803" s="25" t="s">
        <v>2</v>
      </c>
      <c r="F803" s="26">
        <v>18000</v>
      </c>
    </row>
    <row r="804" spans="1:6" ht="22.5" hidden="1" customHeight="1" x14ac:dyDescent="0.2">
      <c r="A804" s="23">
        <v>46232</v>
      </c>
      <c r="B804" s="24" t="s">
        <v>242</v>
      </c>
      <c r="C804" s="25" t="s">
        <v>46</v>
      </c>
      <c r="D804" s="25" t="s">
        <v>44</v>
      </c>
      <c r="E804" s="25" t="s">
        <v>3</v>
      </c>
      <c r="F804" s="26">
        <v>25000</v>
      </c>
    </row>
    <row r="805" spans="1:6" ht="22.5" hidden="1" customHeight="1" x14ac:dyDescent="0.2">
      <c r="A805" s="23">
        <v>46232</v>
      </c>
      <c r="B805" s="24" t="s">
        <v>625</v>
      </c>
      <c r="C805" s="25" t="s">
        <v>46</v>
      </c>
      <c r="D805" s="25" t="s">
        <v>44</v>
      </c>
      <c r="E805" s="25" t="s">
        <v>2</v>
      </c>
      <c r="F805" s="26">
        <v>5000</v>
      </c>
    </row>
    <row r="806" spans="1:6" ht="22.5" hidden="1" customHeight="1" x14ac:dyDescent="0.2">
      <c r="A806" s="23">
        <v>46232</v>
      </c>
      <c r="B806" s="24" t="s">
        <v>820</v>
      </c>
      <c r="C806" s="25" t="s">
        <v>46</v>
      </c>
      <c r="D806" s="25" t="s">
        <v>44</v>
      </c>
      <c r="E806" s="25" t="s">
        <v>2</v>
      </c>
      <c r="F806" s="26">
        <v>10000</v>
      </c>
    </row>
    <row r="807" spans="1:6" ht="22.5" hidden="1" customHeight="1" x14ac:dyDescent="0.2">
      <c r="A807" s="23">
        <v>46234</v>
      </c>
      <c r="B807" s="24" t="s">
        <v>417</v>
      </c>
      <c r="C807" s="25" t="s">
        <v>43</v>
      </c>
      <c r="D807" s="25" t="s">
        <v>39</v>
      </c>
      <c r="E807" s="71" t="s">
        <v>986</v>
      </c>
      <c r="F807" s="26">
        <v>98590</v>
      </c>
    </row>
    <row r="808" spans="1:6" ht="22.5" hidden="1" customHeight="1" x14ac:dyDescent="0.2">
      <c r="A808" s="23">
        <v>46234</v>
      </c>
      <c r="B808" s="24" t="s">
        <v>575</v>
      </c>
      <c r="C808" s="25" t="s">
        <v>43</v>
      </c>
      <c r="D808" s="25" t="s">
        <v>44</v>
      </c>
      <c r="E808" s="25" t="s">
        <v>9</v>
      </c>
      <c r="F808" s="26">
        <v>99329</v>
      </c>
    </row>
    <row r="809" spans="1:6" ht="22.5" hidden="1" customHeight="1" x14ac:dyDescent="0.2">
      <c r="A809" s="23">
        <v>46234</v>
      </c>
      <c r="B809" s="24" t="s">
        <v>575</v>
      </c>
      <c r="C809" s="25" t="s">
        <v>46</v>
      </c>
      <c r="D809" s="25" t="s">
        <v>39</v>
      </c>
      <c r="E809" s="71" t="s">
        <v>73</v>
      </c>
      <c r="F809" s="26">
        <v>100000</v>
      </c>
    </row>
    <row r="810" spans="1:6" ht="22.5" hidden="1" customHeight="1" x14ac:dyDescent="0.2">
      <c r="A810" s="23">
        <v>46234</v>
      </c>
      <c r="B810" s="24" t="s">
        <v>821</v>
      </c>
      <c r="C810" s="25" t="s">
        <v>46</v>
      </c>
      <c r="D810" s="25" t="s">
        <v>44</v>
      </c>
      <c r="E810" s="25" t="s">
        <v>3</v>
      </c>
      <c r="F810" s="26">
        <v>90000</v>
      </c>
    </row>
    <row r="811" spans="1:6" ht="22.5" hidden="1" customHeight="1" x14ac:dyDescent="0.2">
      <c r="A811" s="23">
        <v>46234</v>
      </c>
      <c r="B811" s="24" t="s">
        <v>765</v>
      </c>
      <c r="C811" s="25" t="s">
        <v>46</v>
      </c>
      <c r="D811" s="25" t="s">
        <v>44</v>
      </c>
      <c r="E811" s="25" t="s">
        <v>3</v>
      </c>
      <c r="F811" s="26">
        <v>10000</v>
      </c>
    </row>
    <row r="812" spans="1:6" ht="22.5" hidden="1" customHeight="1" x14ac:dyDescent="0.2">
      <c r="A812" s="23">
        <v>46234</v>
      </c>
      <c r="B812" s="24" t="s">
        <v>822</v>
      </c>
      <c r="C812" s="25" t="s">
        <v>46</v>
      </c>
      <c r="D812" s="25" t="s">
        <v>44</v>
      </c>
      <c r="E812" s="25" t="s">
        <v>2</v>
      </c>
      <c r="F812" s="26">
        <v>13800</v>
      </c>
    </row>
    <row r="813" spans="1:6" ht="22.5" hidden="1" customHeight="1" x14ac:dyDescent="0.2">
      <c r="A813" s="23">
        <v>46234</v>
      </c>
      <c r="B813" s="24" t="s">
        <v>823</v>
      </c>
      <c r="C813" s="25" t="s">
        <v>46</v>
      </c>
      <c r="D813" s="25" t="s">
        <v>44</v>
      </c>
      <c r="E813" s="25" t="s">
        <v>5</v>
      </c>
      <c r="F813" s="26">
        <v>11000</v>
      </c>
    </row>
    <row r="814" spans="1:6" ht="22.5" hidden="1" customHeight="1" x14ac:dyDescent="0.2">
      <c r="A814" s="23">
        <v>46235</v>
      </c>
      <c r="B814" s="24" t="s">
        <v>209</v>
      </c>
      <c r="C814" s="25" t="s">
        <v>46</v>
      </c>
      <c r="D814" s="25" t="s">
        <v>44</v>
      </c>
      <c r="E814" s="25" t="s">
        <v>3</v>
      </c>
      <c r="F814" s="26">
        <v>3000</v>
      </c>
    </row>
    <row r="815" spans="1:6" ht="22.5" hidden="1" customHeight="1" x14ac:dyDescent="0.2">
      <c r="A815" s="23">
        <v>46235</v>
      </c>
      <c r="B815" s="24" t="s">
        <v>420</v>
      </c>
      <c r="C815" s="25" t="s">
        <v>46</v>
      </c>
      <c r="D815" s="25" t="s">
        <v>44</v>
      </c>
      <c r="E815" s="25" t="s">
        <v>2</v>
      </c>
      <c r="F815" s="26">
        <v>16000</v>
      </c>
    </row>
    <row r="816" spans="1:6" ht="22.5" hidden="1" customHeight="1" x14ac:dyDescent="0.2">
      <c r="A816" s="23">
        <v>46239</v>
      </c>
      <c r="B816" s="24" t="s">
        <v>73</v>
      </c>
      <c r="C816" s="25" t="s">
        <v>43</v>
      </c>
      <c r="D816" s="25" t="s">
        <v>39</v>
      </c>
      <c r="E816" s="71" t="s">
        <v>73</v>
      </c>
      <c r="F816" s="26">
        <v>1585102</v>
      </c>
    </row>
    <row r="817" spans="1:6" ht="22.5" hidden="1" customHeight="1" x14ac:dyDescent="0.2">
      <c r="A817" s="23">
        <v>46239</v>
      </c>
      <c r="B817" s="24" t="s">
        <v>499</v>
      </c>
      <c r="C817" s="25" t="s">
        <v>43</v>
      </c>
      <c r="D817" s="25" t="s">
        <v>44</v>
      </c>
      <c r="E817" s="25" t="s">
        <v>9</v>
      </c>
      <c r="F817" s="26">
        <v>100000</v>
      </c>
    </row>
    <row r="818" spans="1:6" ht="22.5" hidden="1" customHeight="1" x14ac:dyDescent="0.2">
      <c r="A818" s="23">
        <v>46239</v>
      </c>
      <c r="B818" s="24" t="s">
        <v>550</v>
      </c>
      <c r="C818" s="25" t="s">
        <v>46</v>
      </c>
      <c r="D818" s="25" t="s">
        <v>39</v>
      </c>
      <c r="E818" s="25" t="s">
        <v>9</v>
      </c>
      <c r="F818" s="26">
        <v>100000</v>
      </c>
    </row>
    <row r="819" spans="1:6" ht="22.5" hidden="1" customHeight="1" x14ac:dyDescent="0.2">
      <c r="A819" s="23">
        <v>46239</v>
      </c>
      <c r="B819" s="24" t="s">
        <v>824</v>
      </c>
      <c r="C819" s="25" t="s">
        <v>46</v>
      </c>
      <c r="D819" s="25" t="s">
        <v>44</v>
      </c>
      <c r="E819" s="25" t="s">
        <v>3</v>
      </c>
      <c r="F819" s="26">
        <v>27000</v>
      </c>
    </row>
    <row r="820" spans="1:6" ht="22.5" hidden="1" customHeight="1" x14ac:dyDescent="0.2">
      <c r="A820" s="23">
        <v>46240</v>
      </c>
      <c r="B820" s="24" t="s">
        <v>825</v>
      </c>
      <c r="C820" s="25" t="s">
        <v>43</v>
      </c>
      <c r="D820" s="25" t="s">
        <v>44</v>
      </c>
      <c r="E820" s="25" t="s">
        <v>1</v>
      </c>
      <c r="F820" s="26">
        <v>62471</v>
      </c>
    </row>
    <row r="821" spans="1:6" ht="22.5" hidden="1" customHeight="1" x14ac:dyDescent="0.2">
      <c r="A821" s="23">
        <v>46240</v>
      </c>
      <c r="B821" s="24" t="s">
        <v>826</v>
      </c>
      <c r="C821" s="25" t="s">
        <v>43</v>
      </c>
      <c r="D821" s="25" t="s">
        <v>44</v>
      </c>
      <c r="E821" s="25" t="s">
        <v>3</v>
      </c>
      <c r="F821" s="26">
        <v>43104</v>
      </c>
    </row>
    <row r="822" spans="1:6" ht="22.5" hidden="1" customHeight="1" x14ac:dyDescent="0.2">
      <c r="A822" s="23">
        <v>46240</v>
      </c>
      <c r="B822" s="24" t="s">
        <v>480</v>
      </c>
      <c r="C822" s="25" t="s">
        <v>46</v>
      </c>
      <c r="D822" s="25" t="s">
        <v>44</v>
      </c>
      <c r="E822" s="25" t="s">
        <v>3</v>
      </c>
      <c r="F822" s="26">
        <v>5000</v>
      </c>
    </row>
    <row r="823" spans="1:6" ht="22.5" hidden="1" customHeight="1" x14ac:dyDescent="0.2">
      <c r="A823" s="23">
        <v>46240</v>
      </c>
      <c r="B823" s="24" t="s">
        <v>827</v>
      </c>
      <c r="C823" s="25" t="s">
        <v>46</v>
      </c>
      <c r="D823" s="25" t="s">
        <v>44</v>
      </c>
      <c r="E823" s="25" t="s">
        <v>3</v>
      </c>
      <c r="F823" s="26">
        <v>25000</v>
      </c>
    </row>
    <row r="824" spans="1:6" ht="22.5" hidden="1" customHeight="1" x14ac:dyDescent="0.2">
      <c r="A824" s="23">
        <v>46240</v>
      </c>
      <c r="B824" s="24" t="s">
        <v>828</v>
      </c>
      <c r="C824" s="25" t="s">
        <v>43</v>
      </c>
      <c r="D824" s="25" t="s">
        <v>44</v>
      </c>
      <c r="E824" s="25" t="s">
        <v>3</v>
      </c>
      <c r="F824" s="26">
        <v>155000</v>
      </c>
    </row>
    <row r="825" spans="1:6" ht="22.5" hidden="1" customHeight="1" x14ac:dyDescent="0.2">
      <c r="A825" s="23">
        <v>46240</v>
      </c>
      <c r="B825" s="24" t="s">
        <v>829</v>
      </c>
      <c r="C825" s="25" t="s">
        <v>43</v>
      </c>
      <c r="D825" s="25" t="s">
        <v>39</v>
      </c>
      <c r="E825" s="71" t="s">
        <v>986</v>
      </c>
      <c r="F825" s="26">
        <v>225826</v>
      </c>
    </row>
    <row r="826" spans="1:6" ht="22.5" hidden="1" customHeight="1" x14ac:dyDescent="0.2">
      <c r="A826" s="23">
        <v>46240</v>
      </c>
      <c r="B826" s="24" t="s">
        <v>595</v>
      </c>
      <c r="C826" s="25" t="s">
        <v>46</v>
      </c>
      <c r="D826" s="25" t="s">
        <v>44</v>
      </c>
      <c r="E826" s="25" t="s">
        <v>6</v>
      </c>
      <c r="F826" s="26">
        <v>20000</v>
      </c>
    </row>
    <row r="827" spans="1:6" ht="22.5" hidden="1" customHeight="1" x14ac:dyDescent="0.2">
      <c r="A827" s="23">
        <v>46240</v>
      </c>
      <c r="B827" s="24" t="s">
        <v>830</v>
      </c>
      <c r="C827" s="25" t="s">
        <v>46</v>
      </c>
      <c r="D827" s="25" t="s">
        <v>44</v>
      </c>
      <c r="E827" s="25" t="s">
        <v>2</v>
      </c>
      <c r="F827" s="26">
        <v>13000</v>
      </c>
    </row>
    <row r="828" spans="1:6" ht="22.5" hidden="1" customHeight="1" x14ac:dyDescent="0.2">
      <c r="A828" s="23">
        <v>46240</v>
      </c>
      <c r="B828" s="24" t="s">
        <v>482</v>
      </c>
      <c r="C828" s="25" t="s">
        <v>43</v>
      </c>
      <c r="D828" s="25" t="s">
        <v>44</v>
      </c>
      <c r="E828" s="25" t="s">
        <v>9</v>
      </c>
      <c r="F828" s="26">
        <v>150000</v>
      </c>
    </row>
    <row r="829" spans="1:6" ht="22.5" hidden="1" customHeight="1" x14ac:dyDescent="0.2">
      <c r="A829" s="23">
        <v>46240</v>
      </c>
      <c r="B829" s="24" t="s">
        <v>550</v>
      </c>
      <c r="C829" s="25" t="s">
        <v>46</v>
      </c>
      <c r="D829" s="25" t="s">
        <v>39</v>
      </c>
      <c r="E829" s="25" t="s">
        <v>9</v>
      </c>
      <c r="F829" s="26">
        <v>150000</v>
      </c>
    </row>
    <row r="830" spans="1:6" ht="22.5" hidden="1" customHeight="1" x14ac:dyDescent="0.2">
      <c r="A830" s="23">
        <v>46240</v>
      </c>
      <c r="B830" s="24" t="s">
        <v>831</v>
      </c>
      <c r="C830" s="25" t="s">
        <v>46</v>
      </c>
      <c r="D830" s="25" t="s">
        <v>44</v>
      </c>
      <c r="E830" s="25" t="s">
        <v>8</v>
      </c>
      <c r="F830" s="26">
        <v>22000</v>
      </c>
    </row>
    <row r="831" spans="1:6" ht="22.5" hidden="1" customHeight="1" x14ac:dyDescent="0.2">
      <c r="A831" s="23">
        <v>46241</v>
      </c>
      <c r="B831" s="24" t="s">
        <v>774</v>
      </c>
      <c r="C831" s="25" t="s">
        <v>46</v>
      </c>
      <c r="D831" s="25" t="s">
        <v>44</v>
      </c>
      <c r="E831" s="25" t="s">
        <v>3</v>
      </c>
      <c r="F831" s="26">
        <v>126000</v>
      </c>
    </row>
    <row r="832" spans="1:6" ht="22.5" hidden="1" customHeight="1" x14ac:dyDescent="0.2">
      <c r="A832" s="23">
        <v>46241</v>
      </c>
      <c r="B832" s="24" t="s">
        <v>832</v>
      </c>
      <c r="C832" s="25" t="s">
        <v>46</v>
      </c>
      <c r="D832" s="25" t="s">
        <v>44</v>
      </c>
      <c r="E832" s="25" t="s">
        <v>2</v>
      </c>
      <c r="F832" s="26">
        <v>12000</v>
      </c>
    </row>
    <row r="833" spans="1:6" ht="22.5" hidden="1" customHeight="1" x14ac:dyDescent="0.2">
      <c r="A833" s="23">
        <v>46242</v>
      </c>
      <c r="B833" s="24" t="s">
        <v>833</v>
      </c>
      <c r="C833" s="25" t="s">
        <v>43</v>
      </c>
      <c r="D833" s="25" t="s">
        <v>44</v>
      </c>
      <c r="E833" s="25" t="s">
        <v>1</v>
      </c>
      <c r="F833" s="26">
        <v>191633</v>
      </c>
    </row>
    <row r="834" spans="1:6" ht="22.5" hidden="1" customHeight="1" x14ac:dyDescent="0.2">
      <c r="A834" s="23">
        <v>46242</v>
      </c>
      <c r="B834" s="24" t="s">
        <v>36</v>
      </c>
      <c r="C834" s="25" t="s">
        <v>43</v>
      </c>
      <c r="D834" s="25" t="s">
        <v>39</v>
      </c>
      <c r="E834" s="71" t="s">
        <v>986</v>
      </c>
      <c r="F834" s="26">
        <v>37639</v>
      </c>
    </row>
    <row r="835" spans="1:6" ht="22.5" hidden="1" customHeight="1" x14ac:dyDescent="0.2">
      <c r="A835" s="23">
        <v>46242</v>
      </c>
      <c r="B835" s="24" t="s">
        <v>834</v>
      </c>
      <c r="C835" s="25" t="s">
        <v>43</v>
      </c>
      <c r="D835" s="25" t="s">
        <v>44</v>
      </c>
      <c r="E835" s="25" t="s">
        <v>1</v>
      </c>
      <c r="F835" s="26">
        <v>46110</v>
      </c>
    </row>
    <row r="836" spans="1:6" ht="22.5" hidden="1" customHeight="1" x14ac:dyDescent="0.2">
      <c r="A836" s="23">
        <v>46243</v>
      </c>
      <c r="B836" s="24" t="s">
        <v>835</v>
      </c>
      <c r="C836" s="25" t="s">
        <v>43</v>
      </c>
      <c r="D836" s="25" t="s">
        <v>44</v>
      </c>
      <c r="E836" s="25" t="s">
        <v>0</v>
      </c>
      <c r="F836" s="26">
        <v>30500</v>
      </c>
    </row>
    <row r="837" spans="1:6" ht="22.5" hidden="1" customHeight="1" x14ac:dyDescent="0.2">
      <c r="A837" s="23">
        <v>46243</v>
      </c>
      <c r="B837" s="24" t="s">
        <v>836</v>
      </c>
      <c r="C837" s="25" t="s">
        <v>43</v>
      </c>
      <c r="D837" s="25" t="s">
        <v>44</v>
      </c>
      <c r="E837" s="25" t="s">
        <v>2</v>
      </c>
      <c r="F837" s="26">
        <v>11890</v>
      </c>
    </row>
    <row r="838" spans="1:6" ht="22.5" hidden="1" customHeight="1" x14ac:dyDescent="0.2">
      <c r="A838" s="23">
        <v>46243</v>
      </c>
      <c r="B838" s="24" t="s">
        <v>837</v>
      </c>
      <c r="C838" s="25" t="s">
        <v>43</v>
      </c>
      <c r="D838" s="25" t="s">
        <v>44</v>
      </c>
      <c r="E838" s="25" t="s">
        <v>1</v>
      </c>
      <c r="F838" s="26">
        <v>38555</v>
      </c>
    </row>
    <row r="839" spans="1:6" ht="22.5" hidden="1" customHeight="1" x14ac:dyDescent="0.2">
      <c r="A839" s="23">
        <v>46244</v>
      </c>
      <c r="B839" s="24" t="s">
        <v>838</v>
      </c>
      <c r="C839" s="25" t="s">
        <v>43</v>
      </c>
      <c r="D839" s="25" t="s">
        <v>44</v>
      </c>
      <c r="E839" s="25" t="s">
        <v>9</v>
      </c>
      <c r="F839" s="26">
        <v>123205</v>
      </c>
    </row>
    <row r="840" spans="1:6" ht="22.5" hidden="1" customHeight="1" x14ac:dyDescent="0.2">
      <c r="A840" s="23">
        <v>46244</v>
      </c>
      <c r="B840" s="24" t="s">
        <v>839</v>
      </c>
      <c r="C840" s="25" t="s">
        <v>43</v>
      </c>
      <c r="D840" s="25" t="s">
        <v>39</v>
      </c>
      <c r="E840" s="25" t="s">
        <v>9</v>
      </c>
      <c r="F840" s="26">
        <v>123205</v>
      </c>
    </row>
    <row r="841" spans="1:6" ht="22.5" hidden="1" customHeight="1" x14ac:dyDescent="0.2">
      <c r="A841" s="23">
        <v>46244</v>
      </c>
      <c r="B841" s="24" t="s">
        <v>482</v>
      </c>
      <c r="C841" s="25" t="s">
        <v>43</v>
      </c>
      <c r="D841" s="25" t="s">
        <v>44</v>
      </c>
      <c r="E841" s="25" t="s">
        <v>9</v>
      </c>
      <c r="F841" s="26">
        <v>100000</v>
      </c>
    </row>
    <row r="842" spans="1:6" ht="22.5" hidden="1" customHeight="1" x14ac:dyDescent="0.2">
      <c r="A842" s="23">
        <v>46245</v>
      </c>
      <c r="B842" s="24" t="s">
        <v>484</v>
      </c>
      <c r="C842" s="25" t="s">
        <v>46</v>
      </c>
      <c r="D842" s="25" t="s">
        <v>39</v>
      </c>
      <c r="E842" s="25" t="s">
        <v>9</v>
      </c>
      <c r="F842" s="26">
        <v>100000</v>
      </c>
    </row>
    <row r="843" spans="1:6" ht="22.5" hidden="1" customHeight="1" x14ac:dyDescent="0.2">
      <c r="A843" s="23">
        <v>46245</v>
      </c>
      <c r="B843" s="24" t="s">
        <v>480</v>
      </c>
      <c r="C843" s="25" t="s">
        <v>46</v>
      </c>
      <c r="D843" s="25" t="s">
        <v>44</v>
      </c>
      <c r="E843" s="25" t="s">
        <v>3</v>
      </c>
      <c r="F843" s="26">
        <v>3000</v>
      </c>
    </row>
    <row r="844" spans="1:6" ht="22.5" hidden="1" customHeight="1" x14ac:dyDescent="0.2">
      <c r="A844" s="23">
        <v>46245</v>
      </c>
      <c r="B844" s="24" t="s">
        <v>832</v>
      </c>
      <c r="C844" s="25" t="s">
        <v>46</v>
      </c>
      <c r="D844" s="25" t="s">
        <v>44</v>
      </c>
      <c r="E844" s="25" t="s">
        <v>2</v>
      </c>
      <c r="F844" s="26">
        <v>15000</v>
      </c>
    </row>
    <row r="845" spans="1:6" ht="22.5" hidden="1" customHeight="1" x14ac:dyDescent="0.2">
      <c r="A845" s="23">
        <v>46245</v>
      </c>
      <c r="B845" s="24" t="s">
        <v>840</v>
      </c>
      <c r="C845" s="25" t="s">
        <v>46</v>
      </c>
      <c r="D845" s="25" t="s">
        <v>44</v>
      </c>
      <c r="E845" s="25" t="s">
        <v>3</v>
      </c>
      <c r="F845" s="26">
        <v>27000</v>
      </c>
    </row>
    <row r="846" spans="1:6" ht="22.5" hidden="1" customHeight="1" x14ac:dyDescent="0.2">
      <c r="A846" s="23">
        <v>46245</v>
      </c>
      <c r="B846" s="24" t="s">
        <v>841</v>
      </c>
      <c r="C846" s="25" t="s">
        <v>43</v>
      </c>
      <c r="D846" s="25" t="s">
        <v>44</v>
      </c>
      <c r="E846" s="25" t="s">
        <v>3</v>
      </c>
      <c r="F846" s="26">
        <v>36000</v>
      </c>
    </row>
    <row r="847" spans="1:6" ht="22.5" hidden="1" customHeight="1" x14ac:dyDescent="0.2">
      <c r="A847" s="23">
        <v>46245</v>
      </c>
      <c r="B847" s="24" t="s">
        <v>842</v>
      </c>
      <c r="C847" s="25" t="s">
        <v>46</v>
      </c>
      <c r="D847" s="25" t="s">
        <v>44</v>
      </c>
      <c r="E847" s="25" t="s">
        <v>2</v>
      </c>
      <c r="F847" s="26">
        <v>10000</v>
      </c>
    </row>
    <row r="848" spans="1:6" ht="22.5" hidden="1" customHeight="1" x14ac:dyDescent="0.2">
      <c r="A848" s="23">
        <v>46245</v>
      </c>
      <c r="B848" s="24" t="s">
        <v>99</v>
      </c>
      <c r="C848" s="25" t="s">
        <v>46</v>
      </c>
      <c r="D848" s="25" t="s">
        <v>44</v>
      </c>
      <c r="E848" s="25" t="s">
        <v>6</v>
      </c>
      <c r="F848" s="26">
        <v>22000</v>
      </c>
    </row>
    <row r="849" spans="1:6" ht="22.5" hidden="1" customHeight="1" x14ac:dyDescent="0.2">
      <c r="A849" s="23">
        <v>46245</v>
      </c>
      <c r="B849" s="24" t="s">
        <v>843</v>
      </c>
      <c r="C849" s="25" t="s">
        <v>46</v>
      </c>
      <c r="D849" s="25" t="s">
        <v>44</v>
      </c>
      <c r="E849" s="25" t="s">
        <v>1</v>
      </c>
      <c r="F849" s="26">
        <v>23000</v>
      </c>
    </row>
    <row r="850" spans="1:6" ht="22.5" hidden="1" customHeight="1" x14ac:dyDescent="0.2">
      <c r="A850" s="23">
        <v>46245</v>
      </c>
      <c r="B850" s="24" t="s">
        <v>575</v>
      </c>
      <c r="C850" s="25" t="s">
        <v>43</v>
      </c>
      <c r="D850" s="25" t="s">
        <v>44</v>
      </c>
      <c r="E850" s="25" t="s">
        <v>8</v>
      </c>
      <c r="F850" s="26">
        <v>16000</v>
      </c>
    </row>
    <row r="851" spans="1:6" ht="22.5" hidden="1" customHeight="1" x14ac:dyDescent="0.2">
      <c r="A851" s="23">
        <v>46245</v>
      </c>
      <c r="B851" s="24" t="s">
        <v>575</v>
      </c>
      <c r="C851" s="25" t="s">
        <v>43</v>
      </c>
      <c r="D851" s="25" t="s">
        <v>39</v>
      </c>
      <c r="E851" s="71" t="s">
        <v>73</v>
      </c>
      <c r="F851" s="26">
        <v>17522</v>
      </c>
    </row>
    <row r="852" spans="1:6" ht="22.5" hidden="1" customHeight="1" x14ac:dyDescent="0.2">
      <c r="A852" s="23">
        <v>46245</v>
      </c>
      <c r="B852" s="24" t="s">
        <v>575</v>
      </c>
      <c r="C852" s="25" t="s">
        <v>43</v>
      </c>
      <c r="D852" s="25" t="s">
        <v>44</v>
      </c>
      <c r="E852" s="25" t="s">
        <v>8</v>
      </c>
      <c r="F852" s="26">
        <v>19000</v>
      </c>
    </row>
    <row r="853" spans="1:6" ht="22.5" hidden="1" customHeight="1" x14ac:dyDescent="0.2">
      <c r="A853" s="23">
        <v>46245</v>
      </c>
      <c r="B853" s="24" t="s">
        <v>844</v>
      </c>
      <c r="C853" s="25" t="s">
        <v>43</v>
      </c>
      <c r="D853" s="25" t="s">
        <v>39</v>
      </c>
      <c r="E853" s="71" t="s">
        <v>986</v>
      </c>
      <c r="F853" s="26">
        <v>48001</v>
      </c>
    </row>
    <row r="854" spans="1:6" ht="22.5" hidden="1" customHeight="1" x14ac:dyDescent="0.2">
      <c r="A854" s="23">
        <v>46247</v>
      </c>
      <c r="B854" s="24" t="s">
        <v>845</v>
      </c>
      <c r="C854" s="25" t="s">
        <v>43</v>
      </c>
      <c r="D854" s="25" t="s">
        <v>44</v>
      </c>
      <c r="E854" s="25" t="s">
        <v>2</v>
      </c>
      <c r="F854" s="26">
        <v>20000</v>
      </c>
    </row>
    <row r="855" spans="1:6" ht="22.5" hidden="1" customHeight="1" x14ac:dyDescent="0.2">
      <c r="A855" s="23">
        <v>46247</v>
      </c>
      <c r="B855" s="24" t="s">
        <v>595</v>
      </c>
      <c r="C855" s="25" t="s">
        <v>43</v>
      </c>
      <c r="D855" s="25" t="s">
        <v>44</v>
      </c>
      <c r="E855" s="25" t="s">
        <v>6</v>
      </c>
      <c r="F855" s="26">
        <v>20000</v>
      </c>
    </row>
    <row r="856" spans="1:6" ht="22.5" hidden="1" customHeight="1" x14ac:dyDescent="0.2">
      <c r="A856" s="23">
        <v>46247</v>
      </c>
      <c r="B856" s="24" t="s">
        <v>846</v>
      </c>
      <c r="C856" s="25" t="s">
        <v>43</v>
      </c>
      <c r="D856" s="25" t="s">
        <v>44</v>
      </c>
      <c r="E856" s="25" t="s">
        <v>4</v>
      </c>
      <c r="F856" s="26">
        <v>14491</v>
      </c>
    </row>
    <row r="857" spans="1:6" ht="22.5" hidden="1" customHeight="1" x14ac:dyDescent="0.2">
      <c r="A857" s="23">
        <v>46247</v>
      </c>
      <c r="B857" s="24" t="s">
        <v>847</v>
      </c>
      <c r="C857" s="25" t="s">
        <v>43</v>
      </c>
      <c r="D857" s="25" t="s">
        <v>44</v>
      </c>
      <c r="E857" s="25" t="s">
        <v>5</v>
      </c>
      <c r="F857" s="26">
        <v>5448</v>
      </c>
    </row>
    <row r="858" spans="1:6" ht="22.5" hidden="1" customHeight="1" x14ac:dyDescent="0.2">
      <c r="A858" s="23">
        <v>46247</v>
      </c>
      <c r="B858" s="24" t="s">
        <v>73</v>
      </c>
      <c r="C858" s="25" t="s">
        <v>43</v>
      </c>
      <c r="D858" s="25" t="s">
        <v>44</v>
      </c>
      <c r="E858" s="25" t="s">
        <v>8</v>
      </c>
      <c r="F858" s="26">
        <v>30000</v>
      </c>
    </row>
    <row r="859" spans="1:6" ht="22.5" hidden="1" customHeight="1" x14ac:dyDescent="0.2">
      <c r="A859" s="23">
        <v>46248</v>
      </c>
      <c r="B859" s="24" t="s">
        <v>499</v>
      </c>
      <c r="C859" s="25" t="s">
        <v>43</v>
      </c>
      <c r="D859" s="25" t="s">
        <v>44</v>
      </c>
      <c r="E859" s="25" t="s">
        <v>9</v>
      </c>
      <c r="F859" s="26">
        <v>200000</v>
      </c>
    </row>
    <row r="860" spans="1:6" ht="22.5" hidden="1" customHeight="1" x14ac:dyDescent="0.2">
      <c r="A860" s="23">
        <v>46248</v>
      </c>
      <c r="B860" s="24" t="s">
        <v>484</v>
      </c>
      <c r="C860" s="25" t="s">
        <v>46</v>
      </c>
      <c r="D860" s="25" t="s">
        <v>39</v>
      </c>
      <c r="E860" s="25" t="s">
        <v>9</v>
      </c>
      <c r="F860" s="26">
        <v>200000</v>
      </c>
    </row>
    <row r="861" spans="1:6" ht="22.5" hidden="1" customHeight="1" x14ac:dyDescent="0.2">
      <c r="A861" s="23">
        <v>46249</v>
      </c>
      <c r="B861" s="24" t="s">
        <v>848</v>
      </c>
      <c r="C861" s="25" t="s">
        <v>43</v>
      </c>
      <c r="D861" s="25" t="s">
        <v>44</v>
      </c>
      <c r="E861" s="25" t="s">
        <v>2</v>
      </c>
      <c r="F861" s="26">
        <v>9000</v>
      </c>
    </row>
    <row r="862" spans="1:6" ht="22.5" hidden="1" customHeight="1" x14ac:dyDescent="0.2">
      <c r="A862" s="23">
        <v>46249</v>
      </c>
      <c r="B862" s="24" t="s">
        <v>849</v>
      </c>
      <c r="C862" s="25" t="s">
        <v>43</v>
      </c>
      <c r="D862" s="25" t="s">
        <v>44</v>
      </c>
      <c r="E862" s="25" t="s">
        <v>3</v>
      </c>
      <c r="F862" s="26">
        <v>24000</v>
      </c>
    </row>
    <row r="863" spans="1:6" ht="22.5" hidden="1" customHeight="1" x14ac:dyDescent="0.2">
      <c r="A863" s="23">
        <v>46249</v>
      </c>
      <c r="B863" s="24" t="s">
        <v>850</v>
      </c>
      <c r="C863" s="25" t="s">
        <v>43</v>
      </c>
      <c r="D863" s="25" t="s">
        <v>44</v>
      </c>
      <c r="E863" s="25" t="s">
        <v>8</v>
      </c>
      <c r="F863" s="26">
        <v>17000</v>
      </c>
    </row>
    <row r="864" spans="1:6" ht="22.5" hidden="1" customHeight="1" x14ac:dyDescent="0.2">
      <c r="A864" s="23">
        <v>46249</v>
      </c>
      <c r="B864" s="24" t="s">
        <v>851</v>
      </c>
      <c r="C864" s="25" t="s">
        <v>43</v>
      </c>
      <c r="D864" s="25" t="s">
        <v>44</v>
      </c>
      <c r="E864" s="25" t="s">
        <v>2</v>
      </c>
      <c r="F864" s="26">
        <v>20000</v>
      </c>
    </row>
    <row r="865" spans="1:6" ht="22.5" hidden="1" customHeight="1" x14ac:dyDescent="0.2">
      <c r="A865" s="23">
        <v>46250</v>
      </c>
      <c r="B865" s="24" t="s">
        <v>852</v>
      </c>
      <c r="C865" s="25" t="s">
        <v>43</v>
      </c>
      <c r="D865" s="25" t="s">
        <v>44</v>
      </c>
      <c r="E865" s="25" t="s">
        <v>1</v>
      </c>
      <c r="F865" s="26">
        <v>58500</v>
      </c>
    </row>
    <row r="866" spans="1:6" ht="22.5" hidden="1" customHeight="1" x14ac:dyDescent="0.2">
      <c r="A866" s="23">
        <v>46251</v>
      </c>
      <c r="B866" s="24" t="s">
        <v>499</v>
      </c>
      <c r="C866" s="25" t="s">
        <v>43</v>
      </c>
      <c r="D866" s="25" t="s">
        <v>44</v>
      </c>
      <c r="E866" s="25" t="s">
        <v>9</v>
      </c>
      <c r="F866" s="26">
        <v>200000</v>
      </c>
    </row>
    <row r="867" spans="1:6" ht="22.5" hidden="1" customHeight="1" x14ac:dyDescent="0.2">
      <c r="A867" s="23">
        <v>46251</v>
      </c>
      <c r="B867" s="24" t="s">
        <v>74</v>
      </c>
      <c r="C867" s="25" t="s">
        <v>46</v>
      </c>
      <c r="D867" s="25" t="s">
        <v>39</v>
      </c>
      <c r="E867" s="25" t="s">
        <v>9</v>
      </c>
      <c r="F867" s="26">
        <v>200000</v>
      </c>
    </row>
    <row r="868" spans="1:6" ht="22.5" hidden="1" customHeight="1" x14ac:dyDescent="0.2">
      <c r="A868" s="23">
        <v>46248</v>
      </c>
      <c r="B868" s="24" t="s">
        <v>524</v>
      </c>
      <c r="C868" s="25" t="s">
        <v>46</v>
      </c>
      <c r="D868" s="25" t="s">
        <v>44</v>
      </c>
      <c r="E868" s="25" t="s">
        <v>3</v>
      </c>
      <c r="F868" s="26">
        <v>195000</v>
      </c>
    </row>
    <row r="869" spans="1:6" ht="22.5" hidden="1" customHeight="1" x14ac:dyDescent="0.2">
      <c r="A869" s="23">
        <v>46250</v>
      </c>
      <c r="B869" s="24" t="s">
        <v>480</v>
      </c>
      <c r="C869" s="25" t="s">
        <v>46</v>
      </c>
      <c r="D869" s="25" t="s">
        <v>44</v>
      </c>
      <c r="E869" s="25" t="s">
        <v>3</v>
      </c>
      <c r="F869" s="26">
        <v>3000</v>
      </c>
    </row>
    <row r="870" spans="1:6" ht="22.5" hidden="1" customHeight="1" x14ac:dyDescent="0.2">
      <c r="A870" s="23">
        <v>46249</v>
      </c>
      <c r="B870" s="24" t="s">
        <v>853</v>
      </c>
      <c r="C870" s="25" t="s">
        <v>46</v>
      </c>
      <c r="D870" s="25" t="s">
        <v>44</v>
      </c>
      <c r="E870" s="25" t="s">
        <v>2</v>
      </c>
      <c r="F870" s="26">
        <v>2000</v>
      </c>
    </row>
    <row r="871" spans="1:6" ht="22.5" hidden="1" customHeight="1" x14ac:dyDescent="0.2">
      <c r="A871" s="23">
        <v>46251</v>
      </c>
      <c r="B871" s="24" t="s">
        <v>854</v>
      </c>
      <c r="C871" s="25" t="s">
        <v>46</v>
      </c>
      <c r="D871" s="25" t="s">
        <v>44</v>
      </c>
      <c r="E871" s="25" t="s">
        <v>3</v>
      </c>
      <c r="F871" s="26">
        <v>75000</v>
      </c>
    </row>
    <row r="872" spans="1:6" ht="22.5" hidden="1" customHeight="1" x14ac:dyDescent="0.2">
      <c r="A872" s="23">
        <v>46251</v>
      </c>
      <c r="B872" s="24" t="s">
        <v>855</v>
      </c>
      <c r="C872" s="25" t="s">
        <v>46</v>
      </c>
      <c r="D872" s="25" t="s">
        <v>44</v>
      </c>
      <c r="E872" s="25" t="s">
        <v>5</v>
      </c>
      <c r="F872" s="26">
        <v>38000</v>
      </c>
    </row>
    <row r="873" spans="1:6" ht="22.5" hidden="1" customHeight="1" x14ac:dyDescent="0.2">
      <c r="A873" s="23">
        <v>46252</v>
      </c>
      <c r="B873" s="24" t="s">
        <v>856</v>
      </c>
      <c r="C873" s="25" t="s">
        <v>43</v>
      </c>
      <c r="D873" s="25" t="s">
        <v>44</v>
      </c>
      <c r="E873" s="25" t="s">
        <v>3</v>
      </c>
      <c r="F873" s="26">
        <v>40400</v>
      </c>
    </row>
    <row r="874" spans="1:6" ht="22.5" hidden="1" customHeight="1" x14ac:dyDescent="0.2">
      <c r="A874" s="23">
        <v>46253</v>
      </c>
      <c r="B874" s="24" t="s">
        <v>73</v>
      </c>
      <c r="C874" s="25" t="s">
        <v>43</v>
      </c>
      <c r="D874" s="25" t="s">
        <v>44</v>
      </c>
      <c r="E874" s="25" t="s">
        <v>9</v>
      </c>
      <c r="F874" s="26">
        <v>97750</v>
      </c>
    </row>
    <row r="875" spans="1:6" ht="22.5" hidden="1" customHeight="1" x14ac:dyDescent="0.2">
      <c r="A875" s="23">
        <v>46252</v>
      </c>
      <c r="B875" s="24" t="s">
        <v>857</v>
      </c>
      <c r="C875" s="25" t="s">
        <v>46</v>
      </c>
      <c r="D875" s="25" t="s">
        <v>44</v>
      </c>
      <c r="E875" s="25" t="s">
        <v>2</v>
      </c>
      <c r="F875" s="26">
        <v>8000</v>
      </c>
    </row>
    <row r="876" spans="1:6" ht="22.5" hidden="1" customHeight="1" x14ac:dyDescent="0.2">
      <c r="A876" s="23">
        <v>46253</v>
      </c>
      <c r="B876" s="24" t="s">
        <v>235</v>
      </c>
      <c r="C876" s="25" t="s">
        <v>46</v>
      </c>
      <c r="D876" s="25" t="s">
        <v>44</v>
      </c>
      <c r="E876" s="25" t="s">
        <v>2</v>
      </c>
      <c r="F876" s="26">
        <v>5000</v>
      </c>
    </row>
    <row r="877" spans="1:6" ht="22.5" hidden="1" customHeight="1" x14ac:dyDescent="0.2">
      <c r="A877" s="23">
        <v>46253</v>
      </c>
      <c r="B877" s="24" t="s">
        <v>858</v>
      </c>
      <c r="C877" s="25" t="s">
        <v>46</v>
      </c>
      <c r="D877" s="25" t="s">
        <v>44</v>
      </c>
      <c r="E877" s="25" t="s">
        <v>2</v>
      </c>
      <c r="F877" s="26">
        <v>20000</v>
      </c>
    </row>
    <row r="878" spans="1:6" ht="22.5" hidden="1" customHeight="1" x14ac:dyDescent="0.2">
      <c r="A878" s="23">
        <v>46253</v>
      </c>
      <c r="B878" s="24" t="s">
        <v>859</v>
      </c>
      <c r="C878" s="25" t="s">
        <v>46</v>
      </c>
      <c r="D878" s="25" t="s">
        <v>44</v>
      </c>
      <c r="E878" s="25" t="s">
        <v>2</v>
      </c>
      <c r="F878" s="26">
        <v>15000</v>
      </c>
    </row>
    <row r="879" spans="1:6" ht="22.5" hidden="1" customHeight="1" x14ac:dyDescent="0.2">
      <c r="A879" s="23">
        <v>46253</v>
      </c>
      <c r="B879" s="24" t="s">
        <v>860</v>
      </c>
      <c r="C879" s="25" t="s">
        <v>46</v>
      </c>
      <c r="D879" s="25" t="s">
        <v>44</v>
      </c>
      <c r="E879" s="25" t="s">
        <v>6</v>
      </c>
      <c r="F879" s="26">
        <v>15000</v>
      </c>
    </row>
    <row r="880" spans="1:6" ht="22.5" hidden="1" customHeight="1" x14ac:dyDescent="0.2">
      <c r="A880" s="23">
        <v>46253</v>
      </c>
      <c r="B880" s="24" t="s">
        <v>861</v>
      </c>
      <c r="C880" s="25" t="s">
        <v>43</v>
      </c>
      <c r="D880" s="25" t="s">
        <v>44</v>
      </c>
      <c r="E880" s="25" t="s">
        <v>0</v>
      </c>
      <c r="F880" s="26">
        <v>15000</v>
      </c>
    </row>
    <row r="881" spans="1:6" ht="22.5" hidden="1" customHeight="1" x14ac:dyDescent="0.2">
      <c r="A881" s="23">
        <v>46254</v>
      </c>
      <c r="B881" s="24" t="s">
        <v>700</v>
      </c>
      <c r="C881" s="25" t="s">
        <v>46</v>
      </c>
      <c r="D881" s="25" t="s">
        <v>44</v>
      </c>
      <c r="E881" s="25" t="s">
        <v>2</v>
      </c>
      <c r="F881" s="26">
        <v>4000</v>
      </c>
    </row>
    <row r="882" spans="1:6" ht="22.5" hidden="1" customHeight="1" x14ac:dyDescent="0.2">
      <c r="A882" s="23">
        <v>46254</v>
      </c>
      <c r="B882" s="24" t="s">
        <v>526</v>
      </c>
      <c r="C882" s="25" t="s">
        <v>46</v>
      </c>
      <c r="D882" s="25" t="s">
        <v>44</v>
      </c>
      <c r="E882" s="25" t="s">
        <v>6</v>
      </c>
      <c r="F882" s="26">
        <v>20000</v>
      </c>
    </row>
    <row r="883" spans="1:6" ht="22.5" hidden="1" customHeight="1" x14ac:dyDescent="0.2">
      <c r="A883" s="23">
        <v>46254</v>
      </c>
      <c r="B883" s="24" t="s">
        <v>781</v>
      </c>
      <c r="C883" s="25" t="s">
        <v>43</v>
      </c>
      <c r="D883" s="25" t="s">
        <v>39</v>
      </c>
      <c r="E883" s="71" t="s">
        <v>986</v>
      </c>
      <c r="F883" s="26">
        <v>30933</v>
      </c>
    </row>
    <row r="884" spans="1:6" ht="22.5" hidden="1" customHeight="1" x14ac:dyDescent="0.2">
      <c r="A884" s="23">
        <v>46254</v>
      </c>
      <c r="B884" s="24" t="s">
        <v>482</v>
      </c>
      <c r="C884" s="25" t="s">
        <v>43</v>
      </c>
      <c r="D884" s="25" t="s">
        <v>44</v>
      </c>
      <c r="E884" s="25" t="s">
        <v>9</v>
      </c>
      <c r="F884" s="26">
        <v>150000</v>
      </c>
    </row>
    <row r="885" spans="1:6" ht="22.5" hidden="1" customHeight="1" x14ac:dyDescent="0.2">
      <c r="A885" s="23">
        <v>46254</v>
      </c>
      <c r="B885" s="24" t="s">
        <v>484</v>
      </c>
      <c r="C885" s="25" t="s">
        <v>46</v>
      </c>
      <c r="D885" s="25" t="s">
        <v>39</v>
      </c>
      <c r="E885" s="25" t="s">
        <v>9</v>
      </c>
      <c r="F885" s="26">
        <v>150000</v>
      </c>
    </row>
    <row r="886" spans="1:6" ht="22.5" hidden="1" customHeight="1" x14ac:dyDescent="0.2">
      <c r="A886" s="23">
        <v>46254</v>
      </c>
      <c r="B886" s="24" t="s">
        <v>862</v>
      </c>
      <c r="C886" s="25" t="s">
        <v>46</v>
      </c>
      <c r="D886" s="25" t="s">
        <v>44</v>
      </c>
      <c r="E886" s="25" t="s">
        <v>3</v>
      </c>
      <c r="F886" s="26">
        <v>48000</v>
      </c>
    </row>
    <row r="887" spans="1:6" ht="22.5" hidden="1" customHeight="1" x14ac:dyDescent="0.2">
      <c r="A887" s="23">
        <v>46254</v>
      </c>
      <c r="B887" s="24" t="s">
        <v>863</v>
      </c>
      <c r="C887" s="25" t="s">
        <v>46</v>
      </c>
      <c r="D887" s="25" t="s">
        <v>44</v>
      </c>
      <c r="E887" s="25" t="s">
        <v>3</v>
      </c>
      <c r="F887" s="26">
        <v>27000</v>
      </c>
    </row>
    <row r="888" spans="1:6" ht="22.5" hidden="1" customHeight="1" x14ac:dyDescent="0.2">
      <c r="A888" s="23">
        <v>46254</v>
      </c>
      <c r="B888" s="24" t="s">
        <v>480</v>
      </c>
      <c r="C888" s="25" t="s">
        <v>46</v>
      </c>
      <c r="D888" s="25" t="s">
        <v>44</v>
      </c>
      <c r="E888" s="25" t="s">
        <v>3</v>
      </c>
      <c r="F888" s="26">
        <v>3000</v>
      </c>
    </row>
    <row r="889" spans="1:6" ht="22.5" hidden="1" customHeight="1" x14ac:dyDescent="0.2">
      <c r="A889" s="23">
        <v>46254</v>
      </c>
      <c r="B889" s="24" t="s">
        <v>864</v>
      </c>
      <c r="C889" s="25" t="s">
        <v>46</v>
      </c>
      <c r="D889" s="25" t="s">
        <v>44</v>
      </c>
      <c r="E889" s="25" t="s">
        <v>3</v>
      </c>
      <c r="F889" s="26">
        <v>2000</v>
      </c>
    </row>
    <row r="890" spans="1:6" ht="22.5" hidden="1" customHeight="1" x14ac:dyDescent="0.2">
      <c r="A890" s="23">
        <v>46255</v>
      </c>
      <c r="B890" s="24" t="s">
        <v>73</v>
      </c>
      <c r="C890" s="25" t="s">
        <v>43</v>
      </c>
      <c r="D890" s="25" t="s">
        <v>39</v>
      </c>
      <c r="E890" s="71" t="s">
        <v>73</v>
      </c>
      <c r="F890" s="26">
        <v>250000</v>
      </c>
    </row>
    <row r="891" spans="1:6" ht="22.5" hidden="1" customHeight="1" x14ac:dyDescent="0.2">
      <c r="A891" s="23">
        <v>46255</v>
      </c>
      <c r="B891" s="24" t="s">
        <v>76</v>
      </c>
      <c r="C891" s="25" t="s">
        <v>43</v>
      </c>
      <c r="D891" s="25" t="s">
        <v>44</v>
      </c>
      <c r="E891" s="25" t="s">
        <v>9</v>
      </c>
      <c r="F891" s="26">
        <v>100000</v>
      </c>
    </row>
    <row r="892" spans="1:6" ht="22.5" hidden="1" customHeight="1" x14ac:dyDescent="0.2">
      <c r="A892" s="23">
        <v>46255</v>
      </c>
      <c r="B892" s="24" t="s">
        <v>78</v>
      </c>
      <c r="C892" s="25" t="s">
        <v>46</v>
      </c>
      <c r="D892" s="25" t="s">
        <v>39</v>
      </c>
      <c r="E892" s="25" t="s">
        <v>9</v>
      </c>
      <c r="F892" s="26">
        <v>100000</v>
      </c>
    </row>
    <row r="893" spans="1:6" ht="22.5" hidden="1" customHeight="1" x14ac:dyDescent="0.2">
      <c r="A893" s="23">
        <v>46255</v>
      </c>
      <c r="B893" s="24" t="s">
        <v>865</v>
      </c>
      <c r="C893" s="25" t="s">
        <v>43</v>
      </c>
      <c r="D893" s="25" t="s">
        <v>44</v>
      </c>
      <c r="E893" s="25" t="s">
        <v>3</v>
      </c>
      <c r="F893" s="26">
        <v>21700</v>
      </c>
    </row>
    <row r="894" spans="1:6" ht="22.5" hidden="1" customHeight="1" x14ac:dyDescent="0.2">
      <c r="A894" s="23">
        <v>46255</v>
      </c>
      <c r="B894" s="24" t="s">
        <v>866</v>
      </c>
      <c r="C894" s="25" t="s">
        <v>46</v>
      </c>
      <c r="D894" s="25" t="s">
        <v>44</v>
      </c>
      <c r="E894" s="25" t="s">
        <v>3</v>
      </c>
      <c r="F894" s="26">
        <v>170000</v>
      </c>
    </row>
    <row r="895" spans="1:6" ht="22.5" hidden="1" customHeight="1" x14ac:dyDescent="0.2">
      <c r="A895" s="23">
        <v>46256</v>
      </c>
      <c r="B895" s="24" t="s">
        <v>482</v>
      </c>
      <c r="C895" s="25" t="s">
        <v>43</v>
      </c>
      <c r="D895" s="25" t="s">
        <v>44</v>
      </c>
      <c r="E895" s="25" t="s">
        <v>9</v>
      </c>
      <c r="F895" s="26">
        <v>150000</v>
      </c>
    </row>
    <row r="896" spans="1:6" ht="22.5" hidden="1" customHeight="1" x14ac:dyDescent="0.2">
      <c r="A896" s="23">
        <v>46256</v>
      </c>
      <c r="B896" s="24" t="s">
        <v>149</v>
      </c>
      <c r="C896" s="25" t="s">
        <v>46</v>
      </c>
      <c r="D896" s="25" t="s">
        <v>39</v>
      </c>
      <c r="E896" s="25" t="s">
        <v>9</v>
      </c>
      <c r="F896" s="26">
        <v>150000</v>
      </c>
    </row>
    <row r="897" spans="1:6" ht="22.5" hidden="1" customHeight="1" x14ac:dyDescent="0.2">
      <c r="A897" s="23">
        <v>46256</v>
      </c>
      <c r="B897" s="24" t="s">
        <v>702</v>
      </c>
      <c r="C897" s="25" t="s">
        <v>46</v>
      </c>
      <c r="D897" s="25" t="s">
        <v>44</v>
      </c>
      <c r="E897" s="25" t="s">
        <v>2</v>
      </c>
      <c r="F897" s="26">
        <v>12000</v>
      </c>
    </row>
    <row r="898" spans="1:6" ht="22.5" hidden="1" customHeight="1" x14ac:dyDescent="0.2">
      <c r="A898" s="23">
        <v>46258</v>
      </c>
      <c r="B898" s="24" t="s">
        <v>595</v>
      </c>
      <c r="C898" s="25" t="s">
        <v>46</v>
      </c>
      <c r="D898" s="25" t="s">
        <v>44</v>
      </c>
      <c r="E898" s="25" t="s">
        <v>6</v>
      </c>
      <c r="F898" s="26">
        <v>20000</v>
      </c>
    </row>
    <row r="899" spans="1:6" ht="22.5" hidden="1" customHeight="1" x14ac:dyDescent="0.2">
      <c r="A899" s="23">
        <v>46259</v>
      </c>
      <c r="B899" s="24" t="s">
        <v>480</v>
      </c>
      <c r="C899" s="25" t="s">
        <v>46</v>
      </c>
      <c r="D899" s="25" t="s">
        <v>44</v>
      </c>
      <c r="E899" s="25" t="s">
        <v>3</v>
      </c>
      <c r="F899" s="26">
        <v>3000</v>
      </c>
    </row>
    <row r="900" spans="1:6" ht="22.5" hidden="1" customHeight="1" x14ac:dyDescent="0.2">
      <c r="A900" s="23">
        <v>46259</v>
      </c>
      <c r="B900" s="24" t="s">
        <v>867</v>
      </c>
      <c r="C900" s="25" t="s">
        <v>46</v>
      </c>
      <c r="D900" s="25" t="s">
        <v>44</v>
      </c>
      <c r="E900" s="25" t="s">
        <v>3</v>
      </c>
      <c r="F900" s="26">
        <v>10000</v>
      </c>
    </row>
    <row r="901" spans="1:6" ht="22.5" hidden="1" customHeight="1" x14ac:dyDescent="0.2">
      <c r="A901" s="23">
        <v>46258</v>
      </c>
      <c r="B901" s="24" t="s">
        <v>801</v>
      </c>
      <c r="C901" s="25" t="s">
        <v>46</v>
      </c>
      <c r="D901" s="25" t="s">
        <v>44</v>
      </c>
      <c r="E901" s="25" t="s">
        <v>2</v>
      </c>
      <c r="F901" s="26">
        <v>5000</v>
      </c>
    </row>
    <row r="902" spans="1:6" ht="22.5" hidden="1" customHeight="1" x14ac:dyDescent="0.2">
      <c r="A902" s="23">
        <v>46258</v>
      </c>
      <c r="B902" s="24" t="s">
        <v>229</v>
      </c>
      <c r="C902" s="25" t="s">
        <v>46</v>
      </c>
      <c r="D902" s="25" t="s">
        <v>44</v>
      </c>
      <c r="E902" s="25" t="s">
        <v>2</v>
      </c>
      <c r="F902" s="26">
        <v>5000</v>
      </c>
    </row>
    <row r="903" spans="1:6" ht="22.5" hidden="1" customHeight="1" x14ac:dyDescent="0.2">
      <c r="A903" s="23">
        <v>46258</v>
      </c>
      <c r="B903" s="24" t="s">
        <v>517</v>
      </c>
      <c r="C903" s="25" t="s">
        <v>46</v>
      </c>
      <c r="D903" s="25" t="s">
        <v>44</v>
      </c>
      <c r="E903" s="25" t="s">
        <v>2</v>
      </c>
      <c r="F903" s="26">
        <v>10000</v>
      </c>
    </row>
    <row r="904" spans="1:6" ht="22.5" hidden="1" customHeight="1" x14ac:dyDescent="0.2">
      <c r="A904" s="23">
        <v>46259</v>
      </c>
      <c r="B904" s="24" t="s">
        <v>531</v>
      </c>
      <c r="C904" s="25" t="s">
        <v>46</v>
      </c>
      <c r="D904" s="25" t="s">
        <v>44</v>
      </c>
      <c r="E904" s="25" t="s">
        <v>3</v>
      </c>
      <c r="F904" s="26">
        <v>82000</v>
      </c>
    </row>
    <row r="905" spans="1:6" ht="22.5" hidden="1" customHeight="1" x14ac:dyDescent="0.2">
      <c r="A905" s="23">
        <v>46260</v>
      </c>
      <c r="B905" s="24" t="s">
        <v>73</v>
      </c>
      <c r="C905" s="25" t="s">
        <v>43</v>
      </c>
      <c r="D905" s="25" t="s">
        <v>39</v>
      </c>
      <c r="E905" s="71" t="s">
        <v>73</v>
      </c>
      <c r="F905" s="26">
        <v>309000</v>
      </c>
    </row>
    <row r="906" spans="1:6" ht="22.5" hidden="1" customHeight="1" x14ac:dyDescent="0.2">
      <c r="A906" s="23">
        <v>46260</v>
      </c>
      <c r="B906" s="24" t="s">
        <v>499</v>
      </c>
      <c r="C906" s="25" t="s">
        <v>43</v>
      </c>
      <c r="D906" s="25" t="s">
        <v>44</v>
      </c>
      <c r="E906" s="25" t="s">
        <v>9</v>
      </c>
      <c r="F906" s="26">
        <v>200000</v>
      </c>
    </row>
    <row r="907" spans="1:6" ht="22.5" hidden="1" customHeight="1" x14ac:dyDescent="0.2">
      <c r="A907" s="23">
        <v>46260</v>
      </c>
      <c r="B907" s="24" t="s">
        <v>550</v>
      </c>
      <c r="C907" s="25" t="s">
        <v>46</v>
      </c>
      <c r="D907" s="25" t="s">
        <v>39</v>
      </c>
      <c r="E907" s="25" t="s">
        <v>9</v>
      </c>
      <c r="F907" s="26">
        <v>200000</v>
      </c>
    </row>
    <row r="908" spans="1:6" ht="22.5" hidden="1" customHeight="1" x14ac:dyDescent="0.2">
      <c r="A908" s="23">
        <v>46260</v>
      </c>
      <c r="B908" s="24" t="s">
        <v>868</v>
      </c>
      <c r="C908" s="25" t="s">
        <v>46</v>
      </c>
      <c r="D908" s="25" t="s">
        <v>44</v>
      </c>
      <c r="E908" s="25" t="s">
        <v>8</v>
      </c>
      <c r="F908" s="26">
        <v>5000</v>
      </c>
    </row>
    <row r="909" spans="1:6" ht="22.5" hidden="1" customHeight="1" x14ac:dyDescent="0.2">
      <c r="A909" s="23">
        <v>46260</v>
      </c>
      <c r="B909" s="24" t="s">
        <v>869</v>
      </c>
      <c r="C909" s="25" t="s">
        <v>46</v>
      </c>
      <c r="D909" s="25" t="s">
        <v>44</v>
      </c>
      <c r="E909" s="25" t="s">
        <v>2</v>
      </c>
      <c r="F909" s="26">
        <v>35000</v>
      </c>
    </row>
    <row r="910" spans="1:6" ht="22.5" hidden="1" customHeight="1" x14ac:dyDescent="0.2">
      <c r="A910" s="23">
        <v>46260</v>
      </c>
      <c r="B910" s="24" t="s">
        <v>494</v>
      </c>
      <c r="C910" s="25" t="s">
        <v>46</v>
      </c>
      <c r="D910" s="25" t="s">
        <v>44</v>
      </c>
      <c r="E910" s="25" t="s">
        <v>7</v>
      </c>
      <c r="F910" s="26">
        <v>40500</v>
      </c>
    </row>
    <row r="911" spans="1:6" ht="22.5" hidden="1" customHeight="1" x14ac:dyDescent="0.2">
      <c r="A911" s="23">
        <v>46260</v>
      </c>
      <c r="B911" s="24" t="s">
        <v>870</v>
      </c>
      <c r="C911" s="25" t="s">
        <v>43</v>
      </c>
      <c r="D911" s="25" t="s">
        <v>39</v>
      </c>
      <c r="E911" s="71" t="s">
        <v>986</v>
      </c>
      <c r="F911" s="26">
        <v>53472</v>
      </c>
    </row>
    <row r="912" spans="1:6" ht="22.5" hidden="1" customHeight="1" x14ac:dyDescent="0.2">
      <c r="A912" s="23">
        <v>46260</v>
      </c>
      <c r="B912" s="24" t="s">
        <v>871</v>
      </c>
      <c r="C912" s="25" t="s">
        <v>46</v>
      </c>
      <c r="D912" s="25" t="s">
        <v>44</v>
      </c>
      <c r="E912" s="25" t="s">
        <v>3</v>
      </c>
      <c r="F912" s="26">
        <v>32000</v>
      </c>
    </row>
    <row r="913" spans="1:6" ht="22.5" hidden="1" customHeight="1" x14ac:dyDescent="0.2">
      <c r="A913" s="23">
        <v>46260</v>
      </c>
      <c r="B913" s="24" t="s">
        <v>464</v>
      </c>
      <c r="C913" s="25" t="s">
        <v>46</v>
      </c>
      <c r="D913" s="25" t="s">
        <v>44</v>
      </c>
      <c r="E913" s="25" t="s">
        <v>1</v>
      </c>
      <c r="F913" s="26">
        <v>14500</v>
      </c>
    </row>
    <row r="914" spans="1:6" ht="22.5" hidden="1" customHeight="1" x14ac:dyDescent="0.2">
      <c r="A914" s="23">
        <v>46260</v>
      </c>
      <c r="B914" s="24" t="s">
        <v>595</v>
      </c>
      <c r="C914" s="25" t="s">
        <v>46</v>
      </c>
      <c r="D914" s="25" t="s">
        <v>44</v>
      </c>
      <c r="E914" s="25" t="s">
        <v>6</v>
      </c>
      <c r="F914" s="26">
        <v>20000</v>
      </c>
    </row>
    <row r="915" spans="1:6" ht="22.5" hidden="1" customHeight="1" x14ac:dyDescent="0.2">
      <c r="A915" s="23">
        <v>46260</v>
      </c>
      <c r="B915" s="24" t="s">
        <v>872</v>
      </c>
      <c r="C915" s="25" t="s">
        <v>46</v>
      </c>
      <c r="D915" s="25" t="s">
        <v>44</v>
      </c>
      <c r="E915" s="25" t="s">
        <v>6</v>
      </c>
      <c r="F915" s="26">
        <v>12000</v>
      </c>
    </row>
    <row r="916" spans="1:6" ht="22.5" hidden="1" customHeight="1" x14ac:dyDescent="0.2">
      <c r="A916" s="23">
        <v>46262</v>
      </c>
      <c r="B916" s="24" t="s">
        <v>702</v>
      </c>
      <c r="C916" s="25" t="s">
        <v>46</v>
      </c>
      <c r="D916" s="25" t="s">
        <v>44</v>
      </c>
      <c r="E916" s="25" t="s">
        <v>10</v>
      </c>
      <c r="F916" s="26">
        <v>5000</v>
      </c>
    </row>
    <row r="917" spans="1:6" ht="22.5" hidden="1" customHeight="1" x14ac:dyDescent="0.2">
      <c r="A917" s="23">
        <v>46262</v>
      </c>
      <c r="B917" s="24" t="s">
        <v>873</v>
      </c>
      <c r="C917" s="25" t="s">
        <v>43</v>
      </c>
      <c r="D917" s="25" t="s">
        <v>44</v>
      </c>
      <c r="E917" s="25" t="s">
        <v>9</v>
      </c>
      <c r="F917" s="26">
        <v>154000</v>
      </c>
    </row>
    <row r="918" spans="1:6" ht="22.5" hidden="1" customHeight="1" x14ac:dyDescent="0.2">
      <c r="A918" s="23">
        <v>46262</v>
      </c>
      <c r="B918" s="24" t="s">
        <v>484</v>
      </c>
      <c r="C918" s="25" t="s">
        <v>46</v>
      </c>
      <c r="D918" s="25" t="s">
        <v>39</v>
      </c>
      <c r="E918" s="25" t="s">
        <v>9</v>
      </c>
      <c r="F918" s="26">
        <v>150000</v>
      </c>
    </row>
    <row r="919" spans="1:6" ht="22.5" hidden="1" customHeight="1" x14ac:dyDescent="0.2">
      <c r="A919" s="23">
        <v>46263</v>
      </c>
      <c r="B919" s="24" t="s">
        <v>480</v>
      </c>
      <c r="C919" s="25" t="s">
        <v>46</v>
      </c>
      <c r="D919" s="25" t="s">
        <v>44</v>
      </c>
      <c r="E919" s="25" t="s">
        <v>3</v>
      </c>
      <c r="F919" s="26">
        <v>4000</v>
      </c>
    </row>
    <row r="920" spans="1:6" ht="22.5" hidden="1" customHeight="1" x14ac:dyDescent="0.2">
      <c r="A920" s="23">
        <v>46262</v>
      </c>
      <c r="B920" s="24" t="s">
        <v>874</v>
      </c>
      <c r="C920" s="25" t="s">
        <v>46</v>
      </c>
      <c r="D920" s="25" t="s">
        <v>44</v>
      </c>
      <c r="E920" s="25" t="s">
        <v>3</v>
      </c>
      <c r="F920" s="26">
        <v>111000</v>
      </c>
    </row>
    <row r="921" spans="1:6" ht="22.5" hidden="1" customHeight="1" x14ac:dyDescent="0.2">
      <c r="A921" s="23">
        <v>46263</v>
      </c>
      <c r="B921" s="24" t="s">
        <v>875</v>
      </c>
      <c r="C921" s="25" t="s">
        <v>46</v>
      </c>
      <c r="D921" s="25" t="s">
        <v>44</v>
      </c>
      <c r="E921" s="25" t="s">
        <v>3</v>
      </c>
      <c r="F921" s="26">
        <v>20000</v>
      </c>
    </row>
    <row r="922" spans="1:6" ht="22.5" hidden="1" customHeight="1" x14ac:dyDescent="0.2">
      <c r="A922" s="23">
        <v>46263</v>
      </c>
      <c r="B922" s="24" t="s">
        <v>876</v>
      </c>
      <c r="C922" s="25" t="s">
        <v>46</v>
      </c>
      <c r="D922" s="25" t="s">
        <v>44</v>
      </c>
      <c r="E922" s="25" t="s">
        <v>3</v>
      </c>
      <c r="F922" s="26">
        <v>5000</v>
      </c>
    </row>
    <row r="923" spans="1:6" ht="22.5" hidden="1" customHeight="1" x14ac:dyDescent="0.2">
      <c r="A923" s="23">
        <v>46263</v>
      </c>
      <c r="B923" s="24" t="s">
        <v>877</v>
      </c>
      <c r="C923" s="25" t="s">
        <v>46</v>
      </c>
      <c r="D923" s="25" t="s">
        <v>44</v>
      </c>
      <c r="E923" s="25" t="s">
        <v>3</v>
      </c>
      <c r="F923" s="26">
        <v>16000</v>
      </c>
    </row>
    <row r="924" spans="1:6" ht="22.5" hidden="1" customHeight="1" x14ac:dyDescent="0.2">
      <c r="A924" s="23">
        <v>46264</v>
      </c>
      <c r="B924" s="24" t="s">
        <v>674</v>
      </c>
      <c r="C924" s="25" t="s">
        <v>46</v>
      </c>
      <c r="D924" s="25" t="s">
        <v>44</v>
      </c>
      <c r="E924" s="25" t="s">
        <v>3</v>
      </c>
      <c r="F924" s="26">
        <v>18000</v>
      </c>
    </row>
    <row r="925" spans="1:6" ht="22.5" hidden="1" customHeight="1" x14ac:dyDescent="0.2">
      <c r="A925" s="23">
        <v>46265</v>
      </c>
      <c r="B925" s="24" t="s">
        <v>878</v>
      </c>
      <c r="C925" s="25" t="s">
        <v>46</v>
      </c>
      <c r="D925" s="25" t="s">
        <v>44</v>
      </c>
      <c r="E925" s="25" t="s">
        <v>2</v>
      </c>
      <c r="F925" s="26">
        <v>5000</v>
      </c>
    </row>
    <row r="926" spans="1:6" ht="22.5" hidden="1" customHeight="1" x14ac:dyDescent="0.2">
      <c r="A926" s="23">
        <v>46265</v>
      </c>
      <c r="B926" s="24" t="s">
        <v>879</v>
      </c>
      <c r="C926" s="25" t="s">
        <v>43</v>
      </c>
      <c r="D926" s="25" t="s">
        <v>44</v>
      </c>
      <c r="E926" s="25" t="s">
        <v>1</v>
      </c>
      <c r="F926" s="26">
        <v>18000</v>
      </c>
    </row>
    <row r="927" spans="1:6" ht="22.5" hidden="1" customHeight="1" x14ac:dyDescent="0.2">
      <c r="A927" s="23">
        <v>46264</v>
      </c>
      <c r="B927" s="24" t="s">
        <v>880</v>
      </c>
      <c r="C927" s="25" t="s">
        <v>43</v>
      </c>
      <c r="D927" s="25" t="s">
        <v>39</v>
      </c>
      <c r="E927" s="71" t="s">
        <v>986</v>
      </c>
      <c r="F927" s="26">
        <v>11567</v>
      </c>
    </row>
    <row r="928" spans="1:6" ht="22.5" hidden="1" customHeight="1" x14ac:dyDescent="0.2">
      <c r="A928" s="23">
        <v>46265</v>
      </c>
      <c r="B928" s="24" t="s">
        <v>210</v>
      </c>
      <c r="C928" s="25" t="s">
        <v>43</v>
      </c>
      <c r="D928" s="25" t="s">
        <v>39</v>
      </c>
      <c r="E928" s="71" t="s">
        <v>20</v>
      </c>
      <c r="F928" s="26">
        <v>50000</v>
      </c>
    </row>
    <row r="929" spans="1:6" ht="22.5" hidden="1" customHeight="1" x14ac:dyDescent="0.2">
      <c r="A929" s="23">
        <v>46266</v>
      </c>
      <c r="B929" s="24" t="s">
        <v>482</v>
      </c>
      <c r="C929" s="25" t="s">
        <v>43</v>
      </c>
      <c r="D929" s="25" t="s">
        <v>44</v>
      </c>
      <c r="E929" s="25" t="s">
        <v>9</v>
      </c>
      <c r="F929" s="26">
        <v>50000</v>
      </c>
    </row>
    <row r="930" spans="1:6" ht="22.5" hidden="1" customHeight="1" x14ac:dyDescent="0.2">
      <c r="A930" s="23">
        <v>46266</v>
      </c>
      <c r="B930" s="24" t="s">
        <v>484</v>
      </c>
      <c r="C930" s="25" t="s">
        <v>46</v>
      </c>
      <c r="D930" s="25" t="s">
        <v>39</v>
      </c>
      <c r="E930" s="25" t="s">
        <v>9</v>
      </c>
      <c r="F930" s="26">
        <v>50000</v>
      </c>
    </row>
    <row r="931" spans="1:6" ht="22.5" hidden="1" customHeight="1" x14ac:dyDescent="0.2">
      <c r="A931" s="23">
        <v>46266</v>
      </c>
      <c r="B931" s="24" t="s">
        <v>881</v>
      </c>
      <c r="C931" s="25" t="s">
        <v>46</v>
      </c>
      <c r="D931" s="25" t="s">
        <v>44</v>
      </c>
      <c r="E931" s="25" t="s">
        <v>3</v>
      </c>
      <c r="F931" s="26">
        <v>31000</v>
      </c>
    </row>
    <row r="932" spans="1:6" ht="22.5" hidden="1" customHeight="1" x14ac:dyDescent="0.2">
      <c r="A932" s="23">
        <v>46266</v>
      </c>
      <c r="B932" s="24" t="s">
        <v>882</v>
      </c>
      <c r="C932" s="25" t="s">
        <v>46</v>
      </c>
      <c r="D932" s="25" t="s">
        <v>44</v>
      </c>
      <c r="E932" s="25" t="s">
        <v>3</v>
      </c>
      <c r="F932" s="26">
        <v>7000</v>
      </c>
    </row>
    <row r="933" spans="1:6" ht="22.5" hidden="1" customHeight="1" x14ac:dyDescent="0.2">
      <c r="A933" s="23">
        <v>46266</v>
      </c>
      <c r="B933" s="24" t="s">
        <v>883</v>
      </c>
      <c r="C933" s="25" t="s">
        <v>46</v>
      </c>
      <c r="D933" s="25" t="s">
        <v>44</v>
      </c>
      <c r="E933" s="25" t="s">
        <v>3</v>
      </c>
      <c r="F933" s="26">
        <v>10000</v>
      </c>
    </row>
    <row r="934" spans="1:6" ht="22.5" hidden="1" customHeight="1" x14ac:dyDescent="0.2">
      <c r="A934" s="23">
        <v>46267</v>
      </c>
      <c r="B934" s="24" t="s">
        <v>235</v>
      </c>
      <c r="C934" s="25" t="s">
        <v>46</v>
      </c>
      <c r="D934" s="25" t="s">
        <v>44</v>
      </c>
      <c r="E934" s="25" t="s">
        <v>2</v>
      </c>
      <c r="F934" s="26">
        <v>5000</v>
      </c>
    </row>
    <row r="935" spans="1:6" ht="22.5" hidden="1" customHeight="1" x14ac:dyDescent="0.2">
      <c r="A935" s="23">
        <v>46267</v>
      </c>
      <c r="B935" s="24" t="s">
        <v>884</v>
      </c>
      <c r="C935" s="25" t="s">
        <v>46</v>
      </c>
      <c r="D935" s="25" t="s">
        <v>44</v>
      </c>
      <c r="E935" s="25" t="s">
        <v>2</v>
      </c>
      <c r="F935" s="26">
        <v>5000</v>
      </c>
    </row>
    <row r="936" spans="1:6" ht="22.5" hidden="1" customHeight="1" x14ac:dyDescent="0.2">
      <c r="A936" s="23">
        <v>46267</v>
      </c>
      <c r="B936" s="24" t="s">
        <v>575</v>
      </c>
      <c r="C936" s="25" t="s">
        <v>43</v>
      </c>
      <c r="D936" s="25" t="s">
        <v>39</v>
      </c>
      <c r="E936" s="71" t="s">
        <v>73</v>
      </c>
      <c r="F936" s="26">
        <v>1212398</v>
      </c>
    </row>
    <row r="937" spans="1:6" ht="22.5" hidden="1" customHeight="1" x14ac:dyDescent="0.2">
      <c r="A937" s="23">
        <v>46267</v>
      </c>
      <c r="B937" s="24" t="s">
        <v>885</v>
      </c>
      <c r="C937" s="25" t="s">
        <v>43</v>
      </c>
      <c r="D937" s="25" t="s">
        <v>44</v>
      </c>
      <c r="E937" s="25" t="s">
        <v>7</v>
      </c>
      <c r="F937" s="26">
        <v>46126</v>
      </c>
    </row>
    <row r="938" spans="1:6" ht="22.5" hidden="1" customHeight="1" x14ac:dyDescent="0.2">
      <c r="A938" s="23">
        <v>46267</v>
      </c>
      <c r="B938" s="24" t="s">
        <v>886</v>
      </c>
      <c r="C938" s="25" t="s">
        <v>43</v>
      </c>
      <c r="D938" s="25" t="s">
        <v>44</v>
      </c>
      <c r="E938" s="25" t="s">
        <v>1</v>
      </c>
      <c r="F938" s="26">
        <v>55000</v>
      </c>
    </row>
    <row r="939" spans="1:6" ht="22.5" hidden="1" customHeight="1" x14ac:dyDescent="0.2">
      <c r="A939" s="23">
        <v>46267</v>
      </c>
      <c r="B939" s="24" t="s">
        <v>73</v>
      </c>
      <c r="C939" s="25" t="s">
        <v>43</v>
      </c>
      <c r="D939" s="25" t="s">
        <v>44</v>
      </c>
      <c r="E939" s="25" t="s">
        <v>9</v>
      </c>
      <c r="F939" s="26">
        <v>100000</v>
      </c>
    </row>
    <row r="940" spans="1:6" ht="22.5" hidden="1" customHeight="1" x14ac:dyDescent="0.2">
      <c r="A940" s="23">
        <v>46267</v>
      </c>
      <c r="B940" s="24" t="s">
        <v>97</v>
      </c>
      <c r="C940" s="25" t="s">
        <v>43</v>
      </c>
      <c r="D940" s="25" t="s">
        <v>44</v>
      </c>
      <c r="E940" s="25" t="s">
        <v>9</v>
      </c>
      <c r="F940" s="26">
        <v>200000</v>
      </c>
    </row>
    <row r="941" spans="1:6" ht="22.5" hidden="1" customHeight="1" x14ac:dyDescent="0.2">
      <c r="A941" s="23">
        <v>46267</v>
      </c>
      <c r="B941" s="24" t="s">
        <v>484</v>
      </c>
      <c r="C941" s="25" t="s">
        <v>46</v>
      </c>
      <c r="D941" s="25" t="s">
        <v>39</v>
      </c>
      <c r="E941" s="25" t="s">
        <v>9</v>
      </c>
      <c r="F941" s="26">
        <v>200000</v>
      </c>
    </row>
    <row r="942" spans="1:6" ht="22.5" hidden="1" customHeight="1" x14ac:dyDescent="0.2">
      <c r="A942" s="23">
        <v>46267</v>
      </c>
      <c r="B942" s="24" t="s">
        <v>888</v>
      </c>
      <c r="C942" s="25" t="s">
        <v>46</v>
      </c>
      <c r="D942" s="25" t="s">
        <v>44</v>
      </c>
      <c r="E942" s="25" t="s">
        <v>3</v>
      </c>
      <c r="F942" s="26">
        <v>38000</v>
      </c>
    </row>
    <row r="943" spans="1:6" ht="22.5" hidden="1" customHeight="1" x14ac:dyDescent="0.2">
      <c r="A943" s="23">
        <v>46267</v>
      </c>
      <c r="B943" s="24" t="s">
        <v>788</v>
      </c>
      <c r="C943" s="25" t="s">
        <v>46</v>
      </c>
      <c r="D943" s="25" t="s">
        <v>44</v>
      </c>
      <c r="E943" s="25" t="s">
        <v>2</v>
      </c>
      <c r="F943" s="26">
        <v>11000</v>
      </c>
    </row>
    <row r="944" spans="1:6" ht="22.5" hidden="1" customHeight="1" x14ac:dyDescent="0.2">
      <c r="A944" s="23">
        <v>46267</v>
      </c>
      <c r="B944" s="24" t="s">
        <v>107</v>
      </c>
      <c r="C944" s="25" t="s">
        <v>46</v>
      </c>
      <c r="D944" s="25" t="s">
        <v>44</v>
      </c>
      <c r="E944" s="25" t="s">
        <v>6</v>
      </c>
      <c r="F944" s="26">
        <v>20000</v>
      </c>
    </row>
    <row r="945" spans="1:6" ht="22.5" hidden="1" customHeight="1" x14ac:dyDescent="0.2">
      <c r="A945" s="23">
        <v>46268</v>
      </c>
      <c r="B945" s="24" t="s">
        <v>480</v>
      </c>
      <c r="C945" s="25" t="s">
        <v>46</v>
      </c>
      <c r="D945" s="25" t="s">
        <v>44</v>
      </c>
      <c r="E945" s="25" t="s">
        <v>3</v>
      </c>
      <c r="F945" s="26">
        <v>4000</v>
      </c>
    </row>
    <row r="946" spans="1:6" ht="22.5" hidden="1" customHeight="1" x14ac:dyDescent="0.2">
      <c r="A946" s="23">
        <v>46268</v>
      </c>
      <c r="B946" s="24" t="s">
        <v>889</v>
      </c>
      <c r="C946" s="25" t="s">
        <v>43</v>
      </c>
      <c r="D946" s="25" t="s">
        <v>44</v>
      </c>
      <c r="E946" s="25" t="s">
        <v>3</v>
      </c>
      <c r="F946" s="26">
        <v>92000</v>
      </c>
    </row>
    <row r="947" spans="1:6" ht="22.5" hidden="1" customHeight="1" x14ac:dyDescent="0.2">
      <c r="A947" s="23">
        <v>46269</v>
      </c>
      <c r="B947" s="24" t="s">
        <v>73</v>
      </c>
      <c r="C947" s="25" t="s">
        <v>43</v>
      </c>
      <c r="D947" s="25" t="s">
        <v>44</v>
      </c>
      <c r="E947" s="25" t="s">
        <v>9</v>
      </c>
      <c r="F947" s="26">
        <v>10000</v>
      </c>
    </row>
    <row r="948" spans="1:6" ht="22.5" hidden="1" customHeight="1" x14ac:dyDescent="0.2">
      <c r="A948" s="23">
        <v>46269</v>
      </c>
      <c r="B948" s="24" t="s">
        <v>524</v>
      </c>
      <c r="C948" s="25" t="s">
        <v>46</v>
      </c>
      <c r="D948" s="25" t="s">
        <v>44</v>
      </c>
      <c r="E948" s="25" t="s">
        <v>3</v>
      </c>
      <c r="F948" s="26">
        <v>125000</v>
      </c>
    </row>
    <row r="949" spans="1:6" ht="22.5" hidden="1" customHeight="1" x14ac:dyDescent="0.2">
      <c r="A949" s="23">
        <v>46269</v>
      </c>
      <c r="B949" s="24" t="s">
        <v>482</v>
      </c>
      <c r="C949" s="25" t="s">
        <v>43</v>
      </c>
      <c r="D949" s="25" t="s">
        <v>44</v>
      </c>
      <c r="E949" s="25" t="s">
        <v>9</v>
      </c>
      <c r="F949" s="26">
        <v>50000</v>
      </c>
    </row>
    <row r="950" spans="1:6" ht="22.5" hidden="1" customHeight="1" x14ac:dyDescent="0.2">
      <c r="A950" s="23">
        <v>46269</v>
      </c>
      <c r="B950" s="24" t="s">
        <v>484</v>
      </c>
      <c r="C950" s="25" t="s">
        <v>46</v>
      </c>
      <c r="D950" s="25" t="s">
        <v>39</v>
      </c>
      <c r="E950" s="25" t="s">
        <v>9</v>
      </c>
      <c r="F950" s="26">
        <v>50000</v>
      </c>
    </row>
    <row r="951" spans="1:6" ht="22.5" hidden="1" customHeight="1" x14ac:dyDescent="0.2">
      <c r="A951" s="23">
        <v>46269</v>
      </c>
      <c r="B951" s="24" t="s">
        <v>890</v>
      </c>
      <c r="C951" s="25" t="s">
        <v>46</v>
      </c>
      <c r="D951" s="25" t="s">
        <v>44</v>
      </c>
      <c r="E951" s="25" t="s">
        <v>2</v>
      </c>
      <c r="F951" s="26">
        <v>22000</v>
      </c>
    </row>
    <row r="952" spans="1:6" ht="22.5" hidden="1" customHeight="1" x14ac:dyDescent="0.2">
      <c r="A952" s="23">
        <v>46270</v>
      </c>
      <c r="B952" s="24" t="s">
        <v>891</v>
      </c>
      <c r="C952" s="25" t="s">
        <v>46</v>
      </c>
      <c r="D952" s="25" t="s">
        <v>44</v>
      </c>
      <c r="E952" s="25" t="s">
        <v>3</v>
      </c>
      <c r="F952" s="26">
        <v>20000</v>
      </c>
    </row>
    <row r="953" spans="1:6" ht="22.5" hidden="1" customHeight="1" x14ac:dyDescent="0.2">
      <c r="A953" s="23">
        <v>46270</v>
      </c>
      <c r="B953" s="24" t="s">
        <v>892</v>
      </c>
      <c r="C953" s="25" t="s">
        <v>46</v>
      </c>
      <c r="D953" s="25" t="s">
        <v>44</v>
      </c>
      <c r="E953" s="25" t="s">
        <v>3</v>
      </c>
      <c r="F953" s="26">
        <v>12000</v>
      </c>
    </row>
    <row r="954" spans="1:6" ht="22.5" hidden="1" customHeight="1" x14ac:dyDescent="0.2">
      <c r="A954" s="23">
        <v>46271</v>
      </c>
      <c r="B954" s="24" t="s">
        <v>76</v>
      </c>
      <c r="C954" s="25" t="s">
        <v>43</v>
      </c>
      <c r="D954" s="25" t="s">
        <v>44</v>
      </c>
      <c r="E954" s="25" t="s">
        <v>9</v>
      </c>
      <c r="F954" s="26">
        <v>100000</v>
      </c>
    </row>
    <row r="955" spans="1:6" ht="22.5" hidden="1" customHeight="1" x14ac:dyDescent="0.2">
      <c r="A955" s="23">
        <v>46271</v>
      </c>
      <c r="B955" s="24" t="s">
        <v>74</v>
      </c>
      <c r="C955" s="25" t="s">
        <v>46</v>
      </c>
      <c r="D955" s="25" t="s">
        <v>39</v>
      </c>
      <c r="E955" s="25" t="s">
        <v>9</v>
      </c>
      <c r="F955" s="26">
        <v>100000</v>
      </c>
    </row>
    <row r="956" spans="1:6" ht="22.5" hidden="1" customHeight="1" x14ac:dyDescent="0.2">
      <c r="A956" s="23">
        <v>46271</v>
      </c>
      <c r="B956" s="24" t="s">
        <v>16</v>
      </c>
      <c r="C956" s="25" t="s">
        <v>46</v>
      </c>
      <c r="D956" s="25" t="s">
        <v>44</v>
      </c>
      <c r="E956" s="25" t="s">
        <v>6</v>
      </c>
      <c r="F956" s="26">
        <v>20000</v>
      </c>
    </row>
    <row r="957" spans="1:6" ht="22.5" hidden="1" customHeight="1" x14ac:dyDescent="0.2">
      <c r="A957" s="23">
        <v>46271</v>
      </c>
      <c r="B957" s="24" t="s">
        <v>893</v>
      </c>
      <c r="C957" s="25" t="s">
        <v>46</v>
      </c>
      <c r="D957" s="25" t="s">
        <v>44</v>
      </c>
      <c r="E957" s="25" t="s">
        <v>2</v>
      </c>
      <c r="F957" s="26">
        <v>14000</v>
      </c>
    </row>
    <row r="958" spans="1:6" ht="22.5" hidden="1" customHeight="1" x14ac:dyDescent="0.2">
      <c r="A958" s="23">
        <v>46271</v>
      </c>
      <c r="B958" s="24" t="s">
        <v>894</v>
      </c>
      <c r="C958" s="25" t="s">
        <v>46</v>
      </c>
      <c r="D958" s="25" t="s">
        <v>44</v>
      </c>
      <c r="E958" s="25" t="s">
        <v>3</v>
      </c>
      <c r="F958" s="26">
        <v>53000</v>
      </c>
    </row>
    <row r="959" spans="1:6" ht="22.5" hidden="1" customHeight="1" x14ac:dyDescent="0.2">
      <c r="A959" s="23">
        <v>46271</v>
      </c>
      <c r="B959" s="24" t="s">
        <v>895</v>
      </c>
      <c r="C959" s="25" t="s">
        <v>46</v>
      </c>
      <c r="D959" s="25" t="s">
        <v>44</v>
      </c>
      <c r="E959" s="25" t="s">
        <v>3</v>
      </c>
      <c r="F959" s="26">
        <v>10000</v>
      </c>
    </row>
    <row r="960" spans="1:6" ht="22.5" hidden="1" customHeight="1" x14ac:dyDescent="0.2">
      <c r="A960" s="23">
        <v>46271</v>
      </c>
      <c r="B960" s="24" t="s">
        <v>896</v>
      </c>
      <c r="C960" s="25" t="s">
        <v>43</v>
      </c>
      <c r="D960" s="25" t="s">
        <v>44</v>
      </c>
      <c r="E960" s="25" t="s">
        <v>2</v>
      </c>
      <c r="F960" s="26">
        <v>25000</v>
      </c>
    </row>
    <row r="961" spans="1:6" ht="22.5" hidden="1" customHeight="1" x14ac:dyDescent="0.2">
      <c r="A961" s="23">
        <v>46271</v>
      </c>
      <c r="B961" s="24" t="s">
        <v>897</v>
      </c>
      <c r="C961" s="25" t="s">
        <v>43</v>
      </c>
      <c r="D961" s="25" t="s">
        <v>44</v>
      </c>
      <c r="E961" s="25" t="s">
        <v>9</v>
      </c>
      <c r="F961" s="26">
        <v>200000</v>
      </c>
    </row>
    <row r="962" spans="1:6" ht="22.5" hidden="1" customHeight="1" x14ac:dyDescent="0.2">
      <c r="A962" s="23">
        <v>46272</v>
      </c>
      <c r="B962" s="24" t="s">
        <v>78</v>
      </c>
      <c r="C962" s="25" t="s">
        <v>46</v>
      </c>
      <c r="D962" s="25" t="s">
        <v>39</v>
      </c>
      <c r="E962" s="25" t="s">
        <v>9</v>
      </c>
      <c r="F962" s="26">
        <v>200000</v>
      </c>
    </row>
    <row r="963" spans="1:6" ht="22.5" hidden="1" customHeight="1" x14ac:dyDescent="0.2">
      <c r="A963" s="23">
        <v>46272</v>
      </c>
      <c r="B963" s="24" t="s">
        <v>898</v>
      </c>
      <c r="C963" s="25" t="s">
        <v>46</v>
      </c>
      <c r="D963" s="25" t="s">
        <v>44</v>
      </c>
      <c r="E963" s="25" t="s">
        <v>2</v>
      </c>
      <c r="F963" s="26">
        <v>12000</v>
      </c>
    </row>
    <row r="964" spans="1:6" ht="22.5" hidden="1" customHeight="1" x14ac:dyDescent="0.2">
      <c r="A964" s="23">
        <v>46272</v>
      </c>
      <c r="B964" s="24" t="s">
        <v>899</v>
      </c>
      <c r="C964" s="25" t="s">
        <v>43</v>
      </c>
      <c r="D964" s="25" t="s">
        <v>44</v>
      </c>
      <c r="E964" s="25" t="s">
        <v>8</v>
      </c>
      <c r="F964" s="26">
        <v>15000</v>
      </c>
    </row>
    <row r="965" spans="1:6" ht="22.5" hidden="1" customHeight="1" x14ac:dyDescent="0.2">
      <c r="A965" s="23">
        <v>46272</v>
      </c>
      <c r="B965" s="24" t="s">
        <v>900</v>
      </c>
      <c r="C965" s="25" t="s">
        <v>46</v>
      </c>
      <c r="D965" s="25" t="s">
        <v>44</v>
      </c>
      <c r="E965" s="25" t="s">
        <v>3</v>
      </c>
      <c r="F965" s="26">
        <v>90000</v>
      </c>
    </row>
    <row r="966" spans="1:6" ht="22.5" hidden="1" customHeight="1" x14ac:dyDescent="0.2">
      <c r="A966" s="23">
        <v>46273</v>
      </c>
      <c r="B966" s="24" t="s">
        <v>901</v>
      </c>
      <c r="C966" s="25" t="s">
        <v>46</v>
      </c>
      <c r="D966" s="25" t="s">
        <v>44</v>
      </c>
      <c r="E966" s="25" t="s">
        <v>3</v>
      </c>
      <c r="F966" s="26">
        <v>20000</v>
      </c>
    </row>
    <row r="967" spans="1:6" ht="22.5" hidden="1" customHeight="1" x14ac:dyDescent="0.2">
      <c r="A967" s="23">
        <v>46273</v>
      </c>
      <c r="B967" s="24" t="s">
        <v>209</v>
      </c>
      <c r="C967" s="25" t="s">
        <v>46</v>
      </c>
      <c r="D967" s="25" t="s">
        <v>44</v>
      </c>
      <c r="E967" s="25" t="s">
        <v>3</v>
      </c>
      <c r="F967" s="26">
        <v>4000</v>
      </c>
    </row>
    <row r="968" spans="1:6" ht="22.5" hidden="1" customHeight="1" x14ac:dyDescent="0.2">
      <c r="A968" s="23">
        <v>46273</v>
      </c>
      <c r="B968" s="24" t="s">
        <v>98</v>
      </c>
      <c r="C968" s="25" t="s">
        <v>46</v>
      </c>
      <c r="D968" s="25" t="s">
        <v>44</v>
      </c>
      <c r="E968" s="25" t="s">
        <v>8</v>
      </c>
      <c r="F968" s="26">
        <v>17000</v>
      </c>
    </row>
    <row r="969" spans="1:6" ht="22.5" hidden="1" customHeight="1" x14ac:dyDescent="0.2">
      <c r="A969" s="23">
        <v>46273</v>
      </c>
      <c r="B969" s="24" t="s">
        <v>107</v>
      </c>
      <c r="C969" s="25" t="s">
        <v>46</v>
      </c>
      <c r="D969" s="25" t="s">
        <v>44</v>
      </c>
      <c r="E969" s="25" t="s">
        <v>6</v>
      </c>
      <c r="F969" s="26">
        <v>20000</v>
      </c>
    </row>
    <row r="970" spans="1:6" ht="22.5" hidden="1" customHeight="1" x14ac:dyDescent="0.2">
      <c r="A970" s="23">
        <v>46273</v>
      </c>
      <c r="B970" s="24" t="s">
        <v>420</v>
      </c>
      <c r="C970" s="25" t="s">
        <v>46</v>
      </c>
      <c r="D970" s="25" t="s">
        <v>44</v>
      </c>
      <c r="E970" s="25" t="s">
        <v>2</v>
      </c>
      <c r="F970" s="26">
        <v>13000</v>
      </c>
    </row>
    <row r="971" spans="1:6" ht="22.5" hidden="1" customHeight="1" x14ac:dyDescent="0.2">
      <c r="A971" s="23">
        <v>46274</v>
      </c>
      <c r="B971" s="24" t="s">
        <v>902</v>
      </c>
      <c r="C971" s="25" t="s">
        <v>46</v>
      </c>
      <c r="D971" s="25" t="s">
        <v>44</v>
      </c>
      <c r="E971" s="25" t="s">
        <v>2</v>
      </c>
      <c r="F971" s="26">
        <v>5000</v>
      </c>
    </row>
    <row r="972" spans="1:6" ht="22.5" hidden="1" customHeight="1" x14ac:dyDescent="0.2">
      <c r="A972" s="23">
        <v>46274</v>
      </c>
      <c r="B972" s="24" t="s">
        <v>903</v>
      </c>
      <c r="C972" s="25" t="s">
        <v>43</v>
      </c>
      <c r="D972" s="25" t="s">
        <v>44</v>
      </c>
      <c r="E972" s="25" t="s">
        <v>3</v>
      </c>
      <c r="F972" s="26">
        <v>50000</v>
      </c>
    </row>
    <row r="973" spans="1:6" ht="22.5" hidden="1" customHeight="1" x14ac:dyDescent="0.2">
      <c r="A973" s="23">
        <v>46272</v>
      </c>
      <c r="B973" s="24" t="s">
        <v>575</v>
      </c>
      <c r="C973" s="25" t="s">
        <v>43</v>
      </c>
      <c r="D973" s="25" t="s">
        <v>44</v>
      </c>
      <c r="E973" s="25" t="s">
        <v>8</v>
      </c>
      <c r="F973" s="26">
        <v>15000</v>
      </c>
    </row>
    <row r="974" spans="1:6" ht="22.5" hidden="1" customHeight="1" x14ac:dyDescent="0.2">
      <c r="A974" s="23">
        <v>46274</v>
      </c>
      <c r="B974" s="24" t="s">
        <v>904</v>
      </c>
      <c r="C974" s="25" t="s">
        <v>46</v>
      </c>
      <c r="D974" s="25" t="s">
        <v>44</v>
      </c>
      <c r="E974" s="25" t="s">
        <v>2</v>
      </c>
      <c r="F974" s="26">
        <v>10000</v>
      </c>
    </row>
    <row r="975" spans="1:6" ht="22.5" hidden="1" customHeight="1" x14ac:dyDescent="0.2">
      <c r="A975" s="23">
        <v>46275</v>
      </c>
      <c r="B975" s="24" t="s">
        <v>905</v>
      </c>
      <c r="C975" s="25" t="s">
        <v>43</v>
      </c>
      <c r="D975" s="25" t="s">
        <v>39</v>
      </c>
      <c r="E975" s="25" t="s">
        <v>9</v>
      </c>
      <c r="F975" s="26">
        <v>28988</v>
      </c>
    </row>
    <row r="976" spans="1:6" ht="22.5" hidden="1" customHeight="1" x14ac:dyDescent="0.2">
      <c r="A976" s="23">
        <v>46275</v>
      </c>
      <c r="B976" s="24" t="s">
        <v>595</v>
      </c>
      <c r="C976" s="25" t="s">
        <v>46</v>
      </c>
      <c r="D976" s="25" t="s">
        <v>44</v>
      </c>
      <c r="E976" s="25" t="s">
        <v>6</v>
      </c>
      <c r="F976" s="26">
        <v>12000</v>
      </c>
    </row>
    <row r="977" spans="1:6" ht="22.5" hidden="1" customHeight="1" x14ac:dyDescent="0.2">
      <c r="A977" s="23">
        <v>46275</v>
      </c>
      <c r="B977" s="24" t="s">
        <v>72</v>
      </c>
      <c r="C977" s="25" t="s">
        <v>43</v>
      </c>
      <c r="D977" s="25" t="s">
        <v>44</v>
      </c>
      <c r="E977" s="25" t="s">
        <v>9</v>
      </c>
      <c r="F977" s="26">
        <v>250000</v>
      </c>
    </row>
    <row r="978" spans="1:6" ht="22.5" hidden="1" customHeight="1" x14ac:dyDescent="0.2">
      <c r="A978" s="23">
        <v>46275</v>
      </c>
      <c r="B978" s="24" t="s">
        <v>74</v>
      </c>
      <c r="C978" s="25" t="s">
        <v>46</v>
      </c>
      <c r="D978" s="25" t="s">
        <v>39</v>
      </c>
      <c r="E978" s="25" t="s">
        <v>9</v>
      </c>
      <c r="F978" s="26">
        <v>250000</v>
      </c>
    </row>
    <row r="979" spans="1:6" ht="22.5" hidden="1" customHeight="1" x14ac:dyDescent="0.2">
      <c r="A979" s="23">
        <v>46275</v>
      </c>
      <c r="B979" s="24" t="s">
        <v>907</v>
      </c>
      <c r="C979" s="25" t="s">
        <v>46</v>
      </c>
      <c r="D979" s="25" t="s">
        <v>44</v>
      </c>
      <c r="E979" s="25" t="s">
        <v>3</v>
      </c>
      <c r="F979" s="26">
        <v>20000</v>
      </c>
    </row>
    <row r="980" spans="1:6" ht="22.5" hidden="1" customHeight="1" x14ac:dyDescent="0.2">
      <c r="A980" s="23">
        <v>46275</v>
      </c>
      <c r="B980" s="24" t="s">
        <v>908</v>
      </c>
      <c r="C980" s="25" t="s">
        <v>46</v>
      </c>
      <c r="D980" s="25" t="s">
        <v>44</v>
      </c>
      <c r="E980" s="25" t="s">
        <v>3</v>
      </c>
      <c r="F980" s="26">
        <v>85000</v>
      </c>
    </row>
    <row r="981" spans="1:6" ht="22.5" hidden="1" customHeight="1" x14ac:dyDescent="0.2">
      <c r="A981" s="23">
        <v>46275</v>
      </c>
      <c r="B981" s="24" t="s">
        <v>378</v>
      </c>
      <c r="C981" s="25" t="s">
        <v>46</v>
      </c>
      <c r="D981" s="25" t="s">
        <v>44</v>
      </c>
      <c r="E981" s="25" t="s">
        <v>2</v>
      </c>
      <c r="F981" s="26">
        <v>9000</v>
      </c>
    </row>
    <row r="982" spans="1:6" ht="22.5" hidden="1" customHeight="1" x14ac:dyDescent="0.2">
      <c r="A982" s="23">
        <v>46275</v>
      </c>
      <c r="B982" s="24" t="s">
        <v>909</v>
      </c>
      <c r="C982" s="25" t="s">
        <v>46</v>
      </c>
      <c r="D982" s="25" t="s">
        <v>44</v>
      </c>
      <c r="E982" s="25" t="s">
        <v>2</v>
      </c>
      <c r="F982" s="26">
        <v>11000</v>
      </c>
    </row>
    <row r="983" spans="1:6" ht="22.5" hidden="1" customHeight="1" x14ac:dyDescent="0.2">
      <c r="A983" s="23">
        <v>46275</v>
      </c>
      <c r="B983" s="24" t="s">
        <v>882</v>
      </c>
      <c r="C983" s="25" t="s">
        <v>46</v>
      </c>
      <c r="D983" s="25" t="s">
        <v>44</v>
      </c>
      <c r="E983" s="25" t="s">
        <v>3</v>
      </c>
      <c r="F983" s="26">
        <v>7000</v>
      </c>
    </row>
    <row r="984" spans="1:6" ht="22.5" hidden="1" customHeight="1" x14ac:dyDescent="0.2">
      <c r="A984" s="23">
        <v>46275</v>
      </c>
      <c r="B984" s="24" t="s">
        <v>911</v>
      </c>
      <c r="C984" s="25" t="s">
        <v>46</v>
      </c>
      <c r="D984" s="25" t="s">
        <v>44</v>
      </c>
      <c r="E984" s="25" t="s">
        <v>7</v>
      </c>
      <c r="F984" s="26">
        <v>8000</v>
      </c>
    </row>
    <row r="985" spans="1:6" ht="22.5" customHeight="1" x14ac:dyDescent="0.2">
      <c r="A985" s="23">
        <v>46276</v>
      </c>
      <c r="B985" s="24" t="s">
        <v>912</v>
      </c>
      <c r="C985" s="25" t="s">
        <v>43</v>
      </c>
      <c r="D985" s="25" t="s">
        <v>39</v>
      </c>
      <c r="E985" s="71" t="s">
        <v>986</v>
      </c>
      <c r="F985" s="26">
        <v>108300</v>
      </c>
    </row>
    <row r="986" spans="1:6" ht="22.5" hidden="1" customHeight="1" x14ac:dyDescent="0.2">
      <c r="A986" s="23">
        <v>46276</v>
      </c>
      <c r="B986" s="24" t="s">
        <v>913</v>
      </c>
      <c r="C986" s="25" t="s">
        <v>43</v>
      </c>
      <c r="D986" s="25" t="s">
        <v>44</v>
      </c>
      <c r="E986" s="25" t="s">
        <v>3</v>
      </c>
      <c r="F986" s="26">
        <v>19795</v>
      </c>
    </row>
    <row r="987" spans="1:6" ht="22.5" customHeight="1" x14ac:dyDescent="0.2">
      <c r="A987" s="23">
        <v>46276</v>
      </c>
      <c r="B987" s="24" t="s">
        <v>781</v>
      </c>
      <c r="C987" s="25" t="s">
        <v>43</v>
      </c>
      <c r="D987" s="25" t="s">
        <v>39</v>
      </c>
      <c r="E987" s="71" t="s">
        <v>986</v>
      </c>
      <c r="F987" s="26">
        <v>108292</v>
      </c>
    </row>
    <row r="988" spans="1:6" ht="22.5" hidden="1" customHeight="1" x14ac:dyDescent="0.2">
      <c r="A988" s="23">
        <v>46276</v>
      </c>
      <c r="B988" s="24" t="s">
        <v>914</v>
      </c>
      <c r="C988" s="25" t="s">
        <v>43</v>
      </c>
      <c r="D988" s="25" t="s">
        <v>44</v>
      </c>
      <c r="E988" s="25" t="s">
        <v>7</v>
      </c>
      <c r="F988" s="26">
        <v>12240</v>
      </c>
    </row>
    <row r="989" spans="1:6" ht="22.5" hidden="1" customHeight="1" x14ac:dyDescent="0.2">
      <c r="A989" s="23">
        <v>46276</v>
      </c>
      <c r="B989" s="24" t="s">
        <v>914</v>
      </c>
      <c r="C989" s="25" t="s">
        <v>43</v>
      </c>
      <c r="D989" s="25" t="s">
        <v>44</v>
      </c>
      <c r="E989" s="25" t="s">
        <v>8</v>
      </c>
      <c r="F989" s="26">
        <v>12240</v>
      </c>
    </row>
    <row r="990" spans="1:6" ht="22.5" hidden="1" customHeight="1" x14ac:dyDescent="0.2">
      <c r="A990" s="23">
        <v>46276</v>
      </c>
      <c r="B990" s="24" t="s">
        <v>482</v>
      </c>
      <c r="C990" s="25" t="s">
        <v>43</v>
      </c>
      <c r="D990" s="25" t="s">
        <v>44</v>
      </c>
      <c r="E990" s="25" t="s">
        <v>9</v>
      </c>
      <c r="F990" s="26">
        <v>200000</v>
      </c>
    </row>
    <row r="991" spans="1:6" ht="22.5" hidden="1" customHeight="1" x14ac:dyDescent="0.2">
      <c r="A991" s="23">
        <v>46276</v>
      </c>
      <c r="B991" s="24" t="s">
        <v>484</v>
      </c>
      <c r="C991" s="25" t="s">
        <v>46</v>
      </c>
      <c r="D991" s="25" t="s">
        <v>39</v>
      </c>
      <c r="E991" s="25" t="s">
        <v>9</v>
      </c>
      <c r="F991" s="26">
        <v>200000</v>
      </c>
    </row>
    <row r="992" spans="1:6" ht="22.5" hidden="1" customHeight="1" x14ac:dyDescent="0.2">
      <c r="A992" s="23">
        <v>46276</v>
      </c>
      <c r="B992" s="24" t="s">
        <v>524</v>
      </c>
      <c r="C992" s="25" t="s">
        <v>46</v>
      </c>
      <c r="D992" s="25" t="s">
        <v>44</v>
      </c>
      <c r="E992" s="25" t="s">
        <v>3</v>
      </c>
      <c r="F992" s="26">
        <v>170000</v>
      </c>
    </row>
    <row r="993" spans="1:6" ht="22.5" hidden="1" customHeight="1" x14ac:dyDescent="0.2">
      <c r="A993" s="23">
        <v>46276</v>
      </c>
      <c r="B993" s="24" t="s">
        <v>590</v>
      </c>
      <c r="C993" s="25" t="s">
        <v>46</v>
      </c>
      <c r="D993" s="25" t="s">
        <v>44</v>
      </c>
      <c r="E993" s="25" t="s">
        <v>2</v>
      </c>
      <c r="F993" s="26">
        <v>10000</v>
      </c>
    </row>
    <row r="994" spans="1:6" ht="22.5" hidden="1" customHeight="1" x14ac:dyDescent="0.2">
      <c r="A994" s="23">
        <v>46277</v>
      </c>
      <c r="B994" s="24" t="s">
        <v>916</v>
      </c>
      <c r="C994" s="25" t="s">
        <v>46</v>
      </c>
      <c r="D994" s="25" t="s">
        <v>44</v>
      </c>
      <c r="E994" s="25" t="s">
        <v>2</v>
      </c>
      <c r="F994" s="26">
        <v>23000</v>
      </c>
    </row>
    <row r="995" spans="1:6" ht="22.5" hidden="1" customHeight="1" x14ac:dyDescent="0.2">
      <c r="A995" s="23">
        <v>46277</v>
      </c>
      <c r="B995" s="24" t="s">
        <v>233</v>
      </c>
      <c r="C995" s="25" t="s">
        <v>46</v>
      </c>
      <c r="D995" s="25" t="s">
        <v>44</v>
      </c>
      <c r="E995" s="25" t="s">
        <v>6</v>
      </c>
      <c r="F995" s="26">
        <v>20000</v>
      </c>
    </row>
    <row r="996" spans="1:6" ht="22.5" hidden="1" customHeight="1" x14ac:dyDescent="0.2">
      <c r="A996" s="23">
        <v>46278</v>
      </c>
      <c r="B996" s="24" t="s">
        <v>917</v>
      </c>
      <c r="C996" s="25" t="s">
        <v>46</v>
      </c>
      <c r="D996" s="25" t="s">
        <v>44</v>
      </c>
      <c r="E996" s="25" t="s">
        <v>3</v>
      </c>
      <c r="F996" s="26">
        <v>2000</v>
      </c>
    </row>
    <row r="997" spans="1:6" ht="22.5" hidden="1" customHeight="1" x14ac:dyDescent="0.2">
      <c r="A997" s="23">
        <v>46278</v>
      </c>
      <c r="B997" s="24" t="s">
        <v>592</v>
      </c>
      <c r="C997" s="25" t="s">
        <v>46</v>
      </c>
      <c r="D997" s="25" t="s">
        <v>44</v>
      </c>
      <c r="E997" s="25" t="s">
        <v>2</v>
      </c>
      <c r="F997" s="26">
        <v>10000</v>
      </c>
    </row>
    <row r="998" spans="1:6" ht="22.5" hidden="1" customHeight="1" x14ac:dyDescent="0.2">
      <c r="A998" s="23">
        <v>46278</v>
      </c>
      <c r="B998" s="24" t="s">
        <v>919</v>
      </c>
      <c r="C998" s="25" t="s">
        <v>46</v>
      </c>
      <c r="D998" s="25" t="s">
        <v>44</v>
      </c>
      <c r="E998" s="25" t="s">
        <v>2</v>
      </c>
      <c r="F998" s="26">
        <v>2000</v>
      </c>
    </row>
    <row r="999" spans="1:6" ht="22.5" hidden="1" customHeight="1" x14ac:dyDescent="0.2">
      <c r="A999" s="23">
        <v>46278</v>
      </c>
      <c r="B999" s="24" t="s">
        <v>98</v>
      </c>
      <c r="C999" s="25" t="s">
        <v>46</v>
      </c>
      <c r="D999" s="25" t="s">
        <v>44</v>
      </c>
      <c r="E999" s="25" t="s">
        <v>8</v>
      </c>
      <c r="F999" s="26">
        <v>17000</v>
      </c>
    </row>
    <row r="1000" spans="1:6" ht="22.5" hidden="1" customHeight="1" x14ac:dyDescent="0.2">
      <c r="A1000" s="23">
        <v>46279</v>
      </c>
      <c r="B1000" s="24" t="s">
        <v>73</v>
      </c>
      <c r="C1000" s="25" t="s">
        <v>43</v>
      </c>
      <c r="D1000" s="25" t="s">
        <v>39</v>
      </c>
      <c r="E1000" s="71" t="s">
        <v>73</v>
      </c>
      <c r="F1000" s="26">
        <v>502769</v>
      </c>
    </row>
    <row r="1001" spans="1:6" ht="22.5" hidden="1" customHeight="1" x14ac:dyDescent="0.2">
      <c r="A1001" s="23">
        <v>46278</v>
      </c>
      <c r="B1001" s="24" t="s">
        <v>920</v>
      </c>
      <c r="C1001" s="25" t="s">
        <v>46</v>
      </c>
      <c r="D1001" s="25" t="s">
        <v>44</v>
      </c>
      <c r="E1001" s="25" t="s">
        <v>2</v>
      </c>
      <c r="F1001" s="26">
        <v>20000</v>
      </c>
    </row>
    <row r="1002" spans="1:6" ht="22.5" hidden="1" customHeight="1" x14ac:dyDescent="0.2">
      <c r="A1002" s="23">
        <v>46278</v>
      </c>
      <c r="B1002" s="24" t="s">
        <v>921</v>
      </c>
      <c r="C1002" s="25" t="s">
        <v>46</v>
      </c>
      <c r="D1002" s="25" t="s">
        <v>44</v>
      </c>
      <c r="E1002" s="25" t="s">
        <v>3</v>
      </c>
      <c r="F1002" s="26">
        <v>10000</v>
      </c>
    </row>
    <row r="1003" spans="1:6" ht="22.5" hidden="1" customHeight="1" x14ac:dyDescent="0.2">
      <c r="A1003" s="23">
        <v>46279</v>
      </c>
      <c r="B1003" s="24" t="s">
        <v>922</v>
      </c>
      <c r="C1003" s="25" t="s">
        <v>46</v>
      </c>
      <c r="D1003" s="25" t="s">
        <v>44</v>
      </c>
      <c r="E1003" s="25" t="s">
        <v>3</v>
      </c>
      <c r="F1003" s="26">
        <v>11000</v>
      </c>
    </row>
    <row r="1004" spans="1:6" ht="22.5" hidden="1" customHeight="1" x14ac:dyDescent="0.2">
      <c r="A1004" s="23">
        <v>46279</v>
      </c>
      <c r="B1004" s="24" t="s">
        <v>923</v>
      </c>
      <c r="C1004" s="25" t="s">
        <v>46</v>
      </c>
      <c r="D1004" s="25" t="s">
        <v>44</v>
      </c>
      <c r="E1004" s="25" t="s">
        <v>2</v>
      </c>
      <c r="F1004" s="26">
        <v>13000</v>
      </c>
    </row>
    <row r="1005" spans="1:6" ht="22.5" hidden="1" customHeight="1" x14ac:dyDescent="0.2">
      <c r="A1005" s="23">
        <v>46279</v>
      </c>
      <c r="B1005" s="24" t="s">
        <v>76</v>
      </c>
      <c r="C1005" s="25" t="s">
        <v>43</v>
      </c>
      <c r="D1005" s="25" t="s">
        <v>44</v>
      </c>
      <c r="E1005" s="25" t="s">
        <v>9</v>
      </c>
      <c r="F1005" s="26">
        <v>100000</v>
      </c>
    </row>
    <row r="1006" spans="1:6" ht="22.5" hidden="1" customHeight="1" x14ac:dyDescent="0.2">
      <c r="A1006" s="23">
        <v>46279</v>
      </c>
      <c r="B1006" s="24" t="s">
        <v>78</v>
      </c>
      <c r="C1006" s="25" t="s">
        <v>46</v>
      </c>
      <c r="D1006" s="25" t="s">
        <v>39</v>
      </c>
      <c r="E1006" s="25" t="s">
        <v>9</v>
      </c>
      <c r="F1006" s="26">
        <v>100000</v>
      </c>
    </row>
    <row r="1007" spans="1:6" ht="22.5" hidden="1" customHeight="1" x14ac:dyDescent="0.2">
      <c r="A1007" s="23">
        <v>46279</v>
      </c>
      <c r="B1007" s="24" t="s">
        <v>68</v>
      </c>
      <c r="C1007" s="25" t="s">
        <v>46</v>
      </c>
      <c r="D1007" s="25" t="s">
        <v>44</v>
      </c>
      <c r="E1007" s="25" t="s">
        <v>3</v>
      </c>
      <c r="F1007" s="26">
        <v>4000</v>
      </c>
    </row>
    <row r="1008" spans="1:6" ht="22.5" hidden="1" customHeight="1" x14ac:dyDescent="0.2">
      <c r="A1008" s="23">
        <v>46279</v>
      </c>
      <c r="B1008" s="24" t="s">
        <v>924</v>
      </c>
      <c r="C1008" s="25" t="s">
        <v>46</v>
      </c>
      <c r="D1008" s="25" t="s">
        <v>44</v>
      </c>
      <c r="E1008" s="25" t="s">
        <v>3</v>
      </c>
      <c r="F1008" s="26">
        <v>23000</v>
      </c>
    </row>
    <row r="1009" spans="1:6" ht="22.5" hidden="1" customHeight="1" x14ac:dyDescent="0.2">
      <c r="A1009" s="23">
        <v>46279</v>
      </c>
      <c r="B1009" s="24" t="s">
        <v>925</v>
      </c>
      <c r="C1009" s="25" t="s">
        <v>46</v>
      </c>
      <c r="D1009" s="25" t="s">
        <v>44</v>
      </c>
      <c r="E1009" s="25" t="s">
        <v>2</v>
      </c>
      <c r="F1009" s="26">
        <v>9000</v>
      </c>
    </row>
    <row r="1010" spans="1:6" ht="22.5" hidden="1" customHeight="1" x14ac:dyDescent="0.2">
      <c r="A1010" s="23">
        <v>46279</v>
      </c>
      <c r="B1010" s="24" t="s">
        <v>788</v>
      </c>
      <c r="C1010" s="25" t="s">
        <v>46</v>
      </c>
      <c r="D1010" s="25" t="s">
        <v>44</v>
      </c>
      <c r="E1010" s="25" t="s">
        <v>2</v>
      </c>
      <c r="F1010" s="26">
        <v>11000</v>
      </c>
    </row>
    <row r="1011" spans="1:6" ht="22.5" hidden="1" customHeight="1" x14ac:dyDescent="0.2">
      <c r="A1011" s="23">
        <v>46279</v>
      </c>
      <c r="B1011" s="24" t="s">
        <v>926</v>
      </c>
      <c r="C1011" s="25" t="s">
        <v>46</v>
      </c>
      <c r="D1011" s="25" t="s">
        <v>44</v>
      </c>
      <c r="E1011" s="25" t="s">
        <v>2</v>
      </c>
      <c r="F1011" s="26">
        <v>6000</v>
      </c>
    </row>
    <row r="1012" spans="1:6" ht="22.5" hidden="1" customHeight="1" x14ac:dyDescent="0.2">
      <c r="A1012" s="23">
        <v>46281</v>
      </c>
      <c r="B1012" s="24" t="s">
        <v>927</v>
      </c>
      <c r="C1012" s="25" t="s">
        <v>46</v>
      </c>
      <c r="D1012" s="25" t="s">
        <v>44</v>
      </c>
      <c r="E1012" s="25" t="s">
        <v>2</v>
      </c>
      <c r="F1012" s="26">
        <v>12000</v>
      </c>
    </row>
    <row r="1013" spans="1:6" ht="22.5" hidden="1" customHeight="1" x14ac:dyDescent="0.2">
      <c r="A1013" s="23">
        <v>46281</v>
      </c>
      <c r="B1013" s="24" t="s">
        <v>107</v>
      </c>
      <c r="C1013" s="25" t="s">
        <v>46</v>
      </c>
      <c r="D1013" s="25" t="s">
        <v>44</v>
      </c>
      <c r="E1013" s="25" t="s">
        <v>6</v>
      </c>
      <c r="F1013" s="26">
        <v>18000</v>
      </c>
    </row>
    <row r="1014" spans="1:6" ht="22.5" hidden="1" customHeight="1" x14ac:dyDescent="0.2">
      <c r="A1014" s="23">
        <v>46281</v>
      </c>
      <c r="B1014" s="24" t="s">
        <v>473</v>
      </c>
      <c r="C1014" s="25" t="s">
        <v>46</v>
      </c>
      <c r="D1014" s="25" t="s">
        <v>44</v>
      </c>
      <c r="E1014" s="25" t="s">
        <v>1</v>
      </c>
      <c r="F1014" s="26">
        <v>10200</v>
      </c>
    </row>
    <row r="1015" spans="1:6" ht="22.5" hidden="1" customHeight="1" x14ac:dyDescent="0.2">
      <c r="A1015" s="23">
        <v>46281</v>
      </c>
      <c r="B1015" s="24" t="s">
        <v>482</v>
      </c>
      <c r="C1015" s="25" t="s">
        <v>43</v>
      </c>
      <c r="D1015" s="25" t="s">
        <v>44</v>
      </c>
      <c r="E1015" s="25" t="s">
        <v>9</v>
      </c>
      <c r="F1015" s="26">
        <v>50000</v>
      </c>
    </row>
    <row r="1016" spans="1:6" ht="22.5" hidden="1" customHeight="1" x14ac:dyDescent="0.2">
      <c r="A1016" s="23">
        <v>46281</v>
      </c>
      <c r="B1016" s="24" t="s">
        <v>484</v>
      </c>
      <c r="C1016" s="25" t="s">
        <v>46</v>
      </c>
      <c r="D1016" s="25" t="s">
        <v>39</v>
      </c>
      <c r="E1016" s="25" t="s">
        <v>9</v>
      </c>
      <c r="F1016" s="26">
        <v>50000</v>
      </c>
    </row>
    <row r="1017" spans="1:6" ht="22.5" hidden="1" customHeight="1" x14ac:dyDescent="0.2">
      <c r="A1017" s="23">
        <v>46282</v>
      </c>
      <c r="B1017" s="24" t="s">
        <v>928</v>
      </c>
      <c r="C1017" s="25" t="s">
        <v>46</v>
      </c>
      <c r="D1017" s="25" t="s">
        <v>44</v>
      </c>
      <c r="E1017" s="25" t="s">
        <v>3</v>
      </c>
      <c r="F1017" s="26">
        <v>36000</v>
      </c>
    </row>
    <row r="1018" spans="1:6" ht="22.5" hidden="1" customHeight="1" x14ac:dyDescent="0.2">
      <c r="A1018" s="23">
        <v>46281</v>
      </c>
      <c r="B1018" s="24" t="s">
        <v>845</v>
      </c>
      <c r="C1018" s="25" t="s">
        <v>43</v>
      </c>
      <c r="D1018" s="25" t="s">
        <v>44</v>
      </c>
      <c r="E1018" s="25" t="s">
        <v>2</v>
      </c>
      <c r="F1018" s="26">
        <v>20000</v>
      </c>
    </row>
    <row r="1019" spans="1:6" ht="22.5" hidden="1" customHeight="1" x14ac:dyDescent="0.2">
      <c r="A1019" s="23">
        <v>46281</v>
      </c>
      <c r="B1019" s="24" t="s">
        <v>929</v>
      </c>
      <c r="C1019" s="25" t="s">
        <v>43</v>
      </c>
      <c r="D1019" s="25" t="s">
        <v>44</v>
      </c>
      <c r="E1019" s="25" t="s">
        <v>0</v>
      </c>
      <c r="F1019" s="26">
        <v>16500</v>
      </c>
    </row>
    <row r="1020" spans="1:6" ht="22.5" hidden="1" customHeight="1" x14ac:dyDescent="0.2">
      <c r="A1020" s="23">
        <v>46283</v>
      </c>
      <c r="B1020" s="24" t="s">
        <v>482</v>
      </c>
      <c r="C1020" s="25" t="s">
        <v>43</v>
      </c>
      <c r="D1020" s="25" t="s">
        <v>44</v>
      </c>
      <c r="E1020" s="25" t="s">
        <v>9</v>
      </c>
      <c r="F1020" s="26">
        <v>200000</v>
      </c>
    </row>
    <row r="1021" spans="1:6" ht="22.5" hidden="1" customHeight="1" x14ac:dyDescent="0.2">
      <c r="A1021" s="23">
        <v>46283</v>
      </c>
      <c r="B1021" s="24" t="s">
        <v>484</v>
      </c>
      <c r="C1021" s="25" t="s">
        <v>46</v>
      </c>
      <c r="D1021" s="25" t="s">
        <v>39</v>
      </c>
      <c r="E1021" s="25" t="s">
        <v>9</v>
      </c>
      <c r="F1021" s="26">
        <v>200000</v>
      </c>
    </row>
    <row r="1022" spans="1:6" ht="22.5" customHeight="1" x14ac:dyDescent="0.2">
      <c r="A1022" s="23">
        <v>46284</v>
      </c>
      <c r="B1022" s="24" t="s">
        <v>930</v>
      </c>
      <c r="C1022" s="25" t="s">
        <v>43</v>
      </c>
      <c r="D1022" s="25" t="s">
        <v>39</v>
      </c>
      <c r="E1022" s="71" t="s">
        <v>986</v>
      </c>
      <c r="F1022" s="26">
        <v>55259</v>
      </c>
    </row>
    <row r="1023" spans="1:6" ht="22.5" hidden="1" customHeight="1" x14ac:dyDescent="0.2">
      <c r="A1023" s="23">
        <v>46284</v>
      </c>
      <c r="B1023" s="24" t="s">
        <v>931</v>
      </c>
      <c r="C1023" s="25" t="s">
        <v>46</v>
      </c>
      <c r="D1023" s="25" t="s">
        <v>44</v>
      </c>
      <c r="E1023" s="25" t="s">
        <v>2</v>
      </c>
      <c r="F1023" s="26">
        <v>10000</v>
      </c>
    </row>
    <row r="1024" spans="1:6" ht="22.5" hidden="1" customHeight="1" x14ac:dyDescent="0.2">
      <c r="A1024" s="23">
        <v>46284</v>
      </c>
      <c r="B1024" s="24" t="s">
        <v>932</v>
      </c>
      <c r="C1024" s="25" t="s">
        <v>46</v>
      </c>
      <c r="D1024" s="25" t="s">
        <v>44</v>
      </c>
      <c r="E1024" s="25" t="s">
        <v>2</v>
      </c>
      <c r="F1024" s="26">
        <v>7000</v>
      </c>
    </row>
    <row r="1025" spans="1:6" ht="22.5" hidden="1" customHeight="1" x14ac:dyDescent="0.2">
      <c r="A1025" s="23">
        <v>46284</v>
      </c>
      <c r="B1025" s="24" t="s">
        <v>933</v>
      </c>
      <c r="C1025" s="25" t="s">
        <v>46</v>
      </c>
      <c r="D1025" s="25" t="s">
        <v>44</v>
      </c>
      <c r="E1025" s="25" t="s">
        <v>3</v>
      </c>
      <c r="F1025" s="26">
        <v>3000</v>
      </c>
    </row>
    <row r="1026" spans="1:6" ht="22.5" hidden="1" customHeight="1" x14ac:dyDescent="0.2">
      <c r="A1026" s="23">
        <v>46284</v>
      </c>
      <c r="B1026" s="24" t="s">
        <v>934</v>
      </c>
      <c r="C1026" s="25" t="s">
        <v>46</v>
      </c>
      <c r="D1026" s="25" t="s">
        <v>44</v>
      </c>
      <c r="E1026" s="25" t="s">
        <v>3</v>
      </c>
      <c r="F1026" s="26">
        <v>190000</v>
      </c>
    </row>
    <row r="1027" spans="1:6" ht="22.5" hidden="1" customHeight="1" x14ac:dyDescent="0.2">
      <c r="A1027" s="23">
        <v>46284</v>
      </c>
      <c r="B1027" s="24" t="s">
        <v>935</v>
      </c>
      <c r="C1027" s="25" t="s">
        <v>46</v>
      </c>
      <c r="D1027" s="25" t="s">
        <v>44</v>
      </c>
      <c r="E1027" s="25" t="s">
        <v>3</v>
      </c>
      <c r="F1027" s="26">
        <v>10000</v>
      </c>
    </row>
    <row r="1028" spans="1:6" ht="22.5" hidden="1" customHeight="1" x14ac:dyDescent="0.2">
      <c r="A1028" s="23">
        <v>46285</v>
      </c>
      <c r="B1028" s="24" t="s">
        <v>482</v>
      </c>
      <c r="C1028" s="25" t="s">
        <v>43</v>
      </c>
      <c r="D1028" s="25" t="s">
        <v>44</v>
      </c>
      <c r="E1028" s="25" t="s">
        <v>9</v>
      </c>
      <c r="F1028" s="26">
        <v>100000</v>
      </c>
    </row>
    <row r="1029" spans="1:6" ht="22.5" hidden="1" customHeight="1" x14ac:dyDescent="0.2">
      <c r="A1029" s="23">
        <v>46285</v>
      </c>
      <c r="B1029" s="24" t="s">
        <v>484</v>
      </c>
      <c r="C1029" s="25" t="s">
        <v>46</v>
      </c>
      <c r="D1029" s="25" t="s">
        <v>39</v>
      </c>
      <c r="E1029" s="25" t="s">
        <v>9</v>
      </c>
      <c r="F1029" s="26">
        <v>100000</v>
      </c>
    </row>
    <row r="1030" spans="1:6" ht="22.5" hidden="1" customHeight="1" x14ac:dyDescent="0.2">
      <c r="A1030" s="23">
        <v>46285</v>
      </c>
      <c r="B1030" s="24" t="s">
        <v>73</v>
      </c>
      <c r="C1030" s="25" t="s">
        <v>43</v>
      </c>
      <c r="D1030" s="25" t="s">
        <v>39</v>
      </c>
      <c r="E1030" s="71" t="s">
        <v>73</v>
      </c>
      <c r="F1030" s="26">
        <v>100000</v>
      </c>
    </row>
    <row r="1031" spans="1:6" ht="22.5" hidden="1" customHeight="1" x14ac:dyDescent="0.2">
      <c r="A1031" s="23">
        <v>46285</v>
      </c>
      <c r="B1031" s="24" t="s">
        <v>936</v>
      </c>
      <c r="C1031" s="25" t="s">
        <v>46</v>
      </c>
      <c r="D1031" s="25" t="s">
        <v>44</v>
      </c>
      <c r="E1031" s="25" t="s">
        <v>2</v>
      </c>
      <c r="F1031" s="26">
        <v>13000</v>
      </c>
    </row>
    <row r="1032" spans="1:6" ht="22.5" hidden="1" customHeight="1" x14ac:dyDescent="0.2">
      <c r="A1032" s="23">
        <v>46285</v>
      </c>
      <c r="B1032" s="24" t="s">
        <v>937</v>
      </c>
      <c r="C1032" s="25" t="s">
        <v>46</v>
      </c>
      <c r="D1032" s="25" t="s">
        <v>44</v>
      </c>
      <c r="E1032" s="25" t="s">
        <v>3</v>
      </c>
      <c r="F1032" s="26">
        <v>10000</v>
      </c>
    </row>
    <row r="1033" spans="1:6" ht="22.5" hidden="1" customHeight="1" x14ac:dyDescent="0.2">
      <c r="A1033" s="23"/>
      <c r="B1033" s="34"/>
      <c r="C1033" s="35"/>
      <c r="D1033" s="35"/>
      <c r="E1033" s="35"/>
      <c r="F1033" s="31"/>
    </row>
    <row r="1034" spans="1:6" ht="22.5" hidden="1" customHeight="1" x14ac:dyDescent="0.2">
      <c r="A1034" s="23"/>
      <c r="B1034" s="34"/>
      <c r="C1034" s="35"/>
      <c r="D1034" s="35"/>
      <c r="E1034" s="35"/>
      <c r="F1034" s="31"/>
    </row>
    <row r="1035" spans="1:6" ht="22.5" hidden="1" customHeight="1" x14ac:dyDescent="0.2">
      <c r="A1035" s="23"/>
      <c r="B1035" s="34"/>
      <c r="C1035" s="35"/>
      <c r="D1035" s="35"/>
      <c r="E1035" s="35"/>
      <c r="F1035" s="31"/>
    </row>
    <row r="1036" spans="1:6" ht="22.5" hidden="1" customHeight="1" x14ac:dyDescent="0.2">
      <c r="A1036" s="23"/>
      <c r="B1036" s="34"/>
      <c r="C1036" s="35"/>
      <c r="D1036" s="35"/>
      <c r="E1036" s="35"/>
      <c r="F1036" s="31"/>
    </row>
    <row r="1037" spans="1:6" ht="22.5" hidden="1" customHeight="1" x14ac:dyDescent="0.2">
      <c r="A1037" s="23"/>
      <c r="B1037" s="34"/>
      <c r="C1037" s="35"/>
      <c r="D1037" s="35"/>
      <c r="E1037" s="35"/>
      <c r="F1037" s="31"/>
    </row>
    <row r="1038" spans="1:6" ht="22.5" hidden="1" customHeight="1" x14ac:dyDescent="0.2">
      <c r="A1038" s="23"/>
      <c r="B1038" s="34"/>
      <c r="C1038" s="35"/>
      <c r="D1038" s="35"/>
      <c r="E1038" s="35"/>
      <c r="F1038" s="31"/>
    </row>
    <row r="1039" spans="1:6" ht="22.5" hidden="1" customHeight="1" x14ac:dyDescent="0.2">
      <c r="A1039" s="23"/>
      <c r="B1039" s="34"/>
      <c r="C1039" s="35"/>
      <c r="D1039" s="35"/>
      <c r="E1039" s="35"/>
      <c r="F1039" s="31"/>
    </row>
    <row r="1040" spans="1:6" ht="22.5" hidden="1" customHeight="1" x14ac:dyDescent="0.2">
      <c r="A1040" s="23"/>
      <c r="B1040" s="34"/>
      <c r="C1040" s="35"/>
      <c r="D1040" s="35"/>
      <c r="E1040" s="35"/>
      <c r="F1040" s="31"/>
    </row>
    <row r="1041" spans="1:6" ht="22.5" hidden="1" customHeight="1" x14ac:dyDescent="0.2">
      <c r="A1041" s="23"/>
      <c r="B1041" s="34"/>
      <c r="C1041" s="35"/>
      <c r="D1041" s="35"/>
      <c r="E1041" s="35"/>
      <c r="F1041" s="31"/>
    </row>
    <row r="1042" spans="1:6" ht="22.5" hidden="1" customHeight="1" x14ac:dyDescent="0.2">
      <c r="A1042" s="23"/>
      <c r="B1042" s="34"/>
      <c r="C1042" s="35"/>
      <c r="D1042" s="35"/>
      <c r="E1042" s="35"/>
      <c r="F1042" s="31"/>
    </row>
    <row r="1043" spans="1:6" ht="22.5" hidden="1" customHeight="1" x14ac:dyDescent="0.2">
      <c r="A1043" s="23"/>
      <c r="B1043" s="34"/>
      <c r="C1043" s="35"/>
      <c r="D1043" s="35"/>
      <c r="E1043" s="35"/>
      <c r="F1043" s="31"/>
    </row>
    <row r="1044" spans="1:6" ht="22.5" hidden="1" customHeight="1" x14ac:dyDescent="0.2">
      <c r="A1044" s="23"/>
      <c r="B1044" s="34"/>
      <c r="C1044" s="35"/>
      <c r="D1044" s="35"/>
      <c r="E1044" s="35"/>
      <c r="F1044" s="31"/>
    </row>
    <row r="1045" spans="1:6" ht="22.5" hidden="1" customHeight="1" x14ac:dyDescent="0.2">
      <c r="A1045" s="23"/>
      <c r="B1045" s="34"/>
      <c r="C1045" s="35"/>
      <c r="D1045" s="35"/>
      <c r="E1045" s="35"/>
      <c r="F1045" s="31"/>
    </row>
    <row r="1046" spans="1:6" ht="22.5" hidden="1" customHeight="1" x14ac:dyDescent="0.2">
      <c r="A1046" s="23"/>
      <c r="B1046" s="34"/>
      <c r="C1046" s="35"/>
      <c r="D1046" s="35"/>
      <c r="E1046" s="35"/>
      <c r="F1046" s="31"/>
    </row>
    <row r="1047" spans="1:6" ht="22.5" hidden="1" customHeight="1" x14ac:dyDescent="0.2">
      <c r="A1047" s="23"/>
      <c r="B1047" s="34"/>
      <c r="C1047" s="35"/>
      <c r="D1047" s="35"/>
      <c r="E1047" s="35"/>
      <c r="F1047" s="31"/>
    </row>
    <row r="1048" spans="1:6" ht="22.5" hidden="1" customHeight="1" x14ac:dyDescent="0.2">
      <c r="A1048" s="23"/>
      <c r="B1048" s="34"/>
      <c r="C1048" s="35"/>
      <c r="D1048" s="35"/>
      <c r="E1048" s="35"/>
      <c r="F1048" s="31"/>
    </row>
    <row r="1049" spans="1:6" ht="22.5" hidden="1" customHeight="1" x14ac:dyDescent="0.2">
      <c r="A1049" s="23"/>
      <c r="B1049" s="34"/>
      <c r="C1049" s="35"/>
      <c r="D1049" s="35"/>
      <c r="E1049" s="35"/>
      <c r="F1049" s="31"/>
    </row>
    <row r="1050" spans="1:6" ht="22.5" hidden="1" customHeight="1" x14ac:dyDescent="0.2">
      <c r="A1050" s="23"/>
      <c r="B1050" s="34"/>
      <c r="C1050" s="35"/>
      <c r="D1050" s="35"/>
      <c r="E1050" s="35"/>
      <c r="F1050" s="31"/>
    </row>
    <row r="1051" spans="1:6" ht="22.5" hidden="1" customHeight="1" x14ac:dyDescent="0.2">
      <c r="A1051" s="23"/>
      <c r="B1051" s="34"/>
      <c r="C1051" s="35"/>
      <c r="D1051" s="35"/>
      <c r="E1051" s="35"/>
      <c r="F1051" s="31"/>
    </row>
    <row r="1052" spans="1:6" ht="22.5" hidden="1" customHeight="1" x14ac:dyDescent="0.2">
      <c r="A1052" s="23"/>
      <c r="B1052" s="34"/>
      <c r="C1052" s="35"/>
      <c r="D1052" s="35"/>
      <c r="E1052" s="35"/>
      <c r="F1052" s="31"/>
    </row>
    <row r="1053" spans="1:6" ht="22.5" hidden="1" customHeight="1" x14ac:dyDescent="0.2">
      <c r="A1053" s="23"/>
      <c r="B1053" s="34"/>
      <c r="C1053" s="35"/>
      <c r="D1053" s="35"/>
      <c r="E1053" s="35"/>
      <c r="F1053" s="31"/>
    </row>
    <row r="1054" spans="1:6" ht="22.5" hidden="1" customHeight="1" x14ac:dyDescent="0.2">
      <c r="A1054" s="23"/>
      <c r="B1054" s="34"/>
      <c r="C1054" s="35"/>
      <c r="D1054" s="35"/>
      <c r="E1054" s="35"/>
      <c r="F1054" s="31"/>
    </row>
    <row r="1055" spans="1:6" ht="22.5" hidden="1" customHeight="1" x14ac:dyDescent="0.2">
      <c r="A1055" s="23"/>
      <c r="B1055" s="34"/>
      <c r="C1055" s="35"/>
      <c r="D1055" s="35"/>
      <c r="E1055" s="35"/>
      <c r="F1055" s="31"/>
    </row>
    <row r="1056" spans="1:6" ht="22.5" hidden="1" customHeight="1" x14ac:dyDescent="0.2">
      <c r="A1056" s="23"/>
      <c r="B1056" s="34"/>
      <c r="C1056" s="35"/>
      <c r="D1056" s="35"/>
      <c r="E1056" s="35"/>
      <c r="F1056" s="31"/>
    </row>
    <row r="1057" spans="1:6" ht="22.5" hidden="1" customHeight="1" x14ac:dyDescent="0.2">
      <c r="A1057" s="23"/>
      <c r="B1057" s="34"/>
      <c r="C1057" s="35"/>
      <c r="D1057" s="35"/>
      <c r="E1057" s="35"/>
      <c r="F1057" s="31"/>
    </row>
    <row r="1058" spans="1:6" ht="22.5" hidden="1" customHeight="1" x14ac:dyDescent="0.2">
      <c r="A1058" s="23"/>
      <c r="B1058" s="34"/>
      <c r="C1058" s="35"/>
      <c r="D1058" s="35"/>
      <c r="E1058" s="35"/>
      <c r="F1058" s="31"/>
    </row>
    <row r="1059" spans="1:6" ht="22.5" hidden="1" customHeight="1" x14ac:dyDescent="0.2">
      <c r="A1059" s="23"/>
      <c r="B1059" s="34"/>
      <c r="C1059" s="35"/>
      <c r="D1059" s="35"/>
      <c r="E1059" s="35"/>
      <c r="F1059" s="31"/>
    </row>
    <row r="1060" spans="1:6" ht="22.5" hidden="1" customHeight="1" x14ac:dyDescent="0.2">
      <c r="A1060" s="23"/>
      <c r="B1060" s="34"/>
      <c r="C1060" s="35"/>
      <c r="D1060" s="35"/>
      <c r="E1060" s="35"/>
      <c r="F1060" s="31"/>
    </row>
    <row r="1061" spans="1:6" ht="22.5" hidden="1" customHeight="1" x14ac:dyDescent="0.2">
      <c r="A1061" s="23"/>
      <c r="B1061" s="34"/>
      <c r="C1061" s="35"/>
      <c r="D1061" s="35"/>
      <c r="E1061" s="35"/>
      <c r="F1061" s="31"/>
    </row>
    <row r="1062" spans="1:6" ht="22.5" hidden="1" customHeight="1" x14ac:dyDescent="0.2">
      <c r="A1062" s="23"/>
      <c r="B1062" s="34"/>
      <c r="C1062" s="35"/>
      <c r="D1062" s="35"/>
      <c r="E1062" s="35"/>
      <c r="F1062" s="31"/>
    </row>
    <row r="1063" spans="1:6" ht="22.5" hidden="1" customHeight="1" x14ac:dyDescent="0.2">
      <c r="A1063" s="23"/>
      <c r="B1063" s="34"/>
      <c r="C1063" s="35"/>
      <c r="D1063" s="35"/>
      <c r="E1063" s="35"/>
      <c r="F1063" s="31"/>
    </row>
    <row r="1064" spans="1:6" ht="22.5" hidden="1" customHeight="1" x14ac:dyDescent="0.2">
      <c r="A1064" s="23"/>
      <c r="B1064" s="34"/>
      <c r="C1064" s="35"/>
      <c r="D1064" s="35"/>
      <c r="E1064" s="35"/>
      <c r="F1064" s="31"/>
    </row>
    <row r="1065" spans="1:6" ht="22.5" hidden="1" customHeight="1" x14ac:dyDescent="0.2">
      <c r="A1065" s="23"/>
      <c r="B1065" s="34"/>
      <c r="C1065" s="35"/>
      <c r="D1065" s="35"/>
      <c r="E1065" s="35"/>
      <c r="F1065" s="31"/>
    </row>
    <row r="1066" spans="1:6" ht="22.5" hidden="1" customHeight="1" x14ac:dyDescent="0.2">
      <c r="A1066" s="23"/>
      <c r="B1066" s="34"/>
      <c r="C1066" s="35"/>
      <c r="D1066" s="35"/>
      <c r="E1066" s="35"/>
      <c r="F1066" s="31"/>
    </row>
    <row r="1067" spans="1:6" ht="22.5" hidden="1" customHeight="1" x14ac:dyDescent="0.2">
      <c r="A1067" s="23"/>
      <c r="B1067" s="34"/>
      <c r="C1067" s="35"/>
      <c r="D1067" s="35"/>
      <c r="E1067" s="35"/>
      <c r="F1067" s="31"/>
    </row>
    <row r="1068" spans="1:6" ht="22.5" hidden="1" customHeight="1" x14ac:dyDescent="0.2">
      <c r="A1068" s="23"/>
      <c r="B1068" s="34"/>
      <c r="C1068" s="35"/>
      <c r="D1068" s="35"/>
      <c r="E1068" s="35"/>
      <c r="F1068" s="31"/>
    </row>
    <row r="1069" spans="1:6" ht="22.5" hidden="1" customHeight="1" x14ac:dyDescent="0.2">
      <c r="A1069" s="23"/>
      <c r="B1069" s="34"/>
      <c r="C1069" s="35"/>
      <c r="D1069" s="35"/>
      <c r="E1069" s="35"/>
      <c r="F1069" s="31"/>
    </row>
    <row r="1070" spans="1:6" ht="22.5" hidden="1" customHeight="1" x14ac:dyDescent="0.2">
      <c r="A1070" s="23"/>
      <c r="B1070" s="34"/>
      <c r="C1070" s="35"/>
      <c r="D1070" s="35"/>
      <c r="E1070" s="35"/>
      <c r="F1070" s="31"/>
    </row>
    <row r="1071" spans="1:6" ht="22.5" hidden="1" customHeight="1" x14ac:dyDescent="0.2">
      <c r="A1071" s="23"/>
      <c r="B1071" s="34"/>
      <c r="C1071" s="35"/>
      <c r="D1071" s="35"/>
      <c r="E1071" s="35"/>
      <c r="F1071" s="31"/>
    </row>
    <row r="1072" spans="1:6" ht="22.5" hidden="1" customHeight="1" x14ac:dyDescent="0.2">
      <c r="A1072" s="23"/>
      <c r="B1072" s="34"/>
      <c r="C1072" s="35"/>
      <c r="D1072" s="35"/>
      <c r="E1072" s="35"/>
      <c r="F1072" s="31"/>
    </row>
    <row r="1073" spans="1:6" ht="22.5" hidden="1" customHeight="1" x14ac:dyDescent="0.2">
      <c r="A1073" s="23"/>
      <c r="B1073" s="34"/>
      <c r="C1073" s="35"/>
      <c r="D1073" s="35"/>
      <c r="E1073" s="35"/>
      <c r="F1073" s="31"/>
    </row>
    <row r="1074" spans="1:6" ht="22.5" hidden="1" customHeight="1" x14ac:dyDescent="0.2">
      <c r="A1074" s="23"/>
      <c r="B1074" s="34"/>
      <c r="C1074" s="35"/>
      <c r="D1074" s="35"/>
      <c r="E1074" s="35"/>
      <c r="F1074" s="31"/>
    </row>
    <row r="1075" spans="1:6" ht="22.5" hidden="1" customHeight="1" x14ac:dyDescent="0.2">
      <c r="A1075" s="23"/>
      <c r="B1075" s="34"/>
      <c r="C1075" s="35"/>
      <c r="D1075" s="35"/>
      <c r="E1075" s="35"/>
      <c r="F1075" s="31"/>
    </row>
    <row r="1076" spans="1:6" ht="22.5" hidden="1" customHeight="1" x14ac:dyDescent="0.2">
      <c r="A1076" s="23"/>
      <c r="B1076" s="34"/>
      <c r="C1076" s="35"/>
      <c r="D1076" s="35"/>
      <c r="E1076" s="35"/>
      <c r="F1076" s="31"/>
    </row>
    <row r="1077" spans="1:6" ht="22.5" hidden="1" customHeight="1" x14ac:dyDescent="0.2">
      <c r="A1077" s="23"/>
      <c r="B1077" s="34"/>
      <c r="C1077" s="35"/>
      <c r="D1077" s="35"/>
      <c r="E1077" s="35"/>
      <c r="F1077" s="31"/>
    </row>
    <row r="1078" spans="1:6" ht="22.5" hidden="1" customHeight="1" x14ac:dyDescent="0.2">
      <c r="A1078" s="23"/>
      <c r="B1078" s="34"/>
      <c r="C1078" s="35"/>
      <c r="D1078" s="35"/>
      <c r="E1078" s="35"/>
      <c r="F1078" s="31"/>
    </row>
    <row r="1079" spans="1:6" ht="22.5" hidden="1" customHeight="1" x14ac:dyDescent="0.2">
      <c r="A1079" s="23"/>
      <c r="B1079" s="34"/>
      <c r="C1079" s="35"/>
      <c r="D1079" s="35"/>
      <c r="E1079" s="35"/>
      <c r="F1079" s="31"/>
    </row>
    <row r="1080" spans="1:6" ht="22.5" hidden="1" customHeight="1" x14ac:dyDescent="0.2">
      <c r="A1080" s="23"/>
      <c r="B1080" s="34"/>
      <c r="C1080" s="35"/>
      <c r="D1080" s="35"/>
      <c r="E1080" s="35"/>
      <c r="F1080" s="31"/>
    </row>
    <row r="1081" spans="1:6" ht="22.5" hidden="1" customHeight="1" x14ac:dyDescent="0.2">
      <c r="A1081" s="23"/>
      <c r="B1081" s="34"/>
      <c r="C1081" s="35"/>
      <c r="D1081" s="35"/>
      <c r="E1081" s="35"/>
      <c r="F1081" s="31"/>
    </row>
    <row r="1082" spans="1:6" ht="22.5" hidden="1" customHeight="1" x14ac:dyDescent="0.2">
      <c r="A1082" s="23"/>
      <c r="B1082" s="34"/>
      <c r="C1082" s="35"/>
      <c r="D1082" s="35"/>
      <c r="E1082" s="35"/>
      <c r="F1082" s="31"/>
    </row>
    <row r="1083" spans="1:6" ht="22.5" hidden="1" customHeight="1" x14ac:dyDescent="0.2">
      <c r="A1083" s="23"/>
      <c r="B1083" s="34"/>
      <c r="C1083" s="35"/>
      <c r="D1083" s="35"/>
      <c r="E1083" s="35"/>
      <c r="F1083" s="31"/>
    </row>
    <row r="1084" spans="1:6" ht="22.5" hidden="1" customHeight="1" x14ac:dyDescent="0.2">
      <c r="A1084" s="23"/>
      <c r="B1084" s="34"/>
      <c r="C1084" s="35"/>
      <c r="D1084" s="35"/>
      <c r="E1084" s="35"/>
      <c r="F1084" s="31"/>
    </row>
    <row r="1085" spans="1:6" ht="22.5" hidden="1" customHeight="1" x14ac:dyDescent="0.2">
      <c r="A1085" s="23"/>
      <c r="B1085" s="34"/>
      <c r="C1085" s="35"/>
      <c r="D1085" s="35"/>
      <c r="E1085" s="35"/>
      <c r="F1085" s="31"/>
    </row>
    <row r="1086" spans="1:6" ht="22.5" hidden="1" customHeight="1" x14ac:dyDescent="0.2">
      <c r="A1086" s="23"/>
      <c r="B1086" s="34"/>
      <c r="C1086" s="35"/>
      <c r="D1086" s="35"/>
      <c r="E1086" s="35"/>
      <c r="F1086" s="31"/>
    </row>
    <row r="1087" spans="1:6" ht="22.5" hidden="1" customHeight="1" x14ac:dyDescent="0.2">
      <c r="A1087" s="23"/>
      <c r="B1087" s="34"/>
      <c r="C1087" s="35"/>
      <c r="D1087" s="35"/>
      <c r="E1087" s="35"/>
      <c r="F1087" s="31"/>
    </row>
    <row r="1088" spans="1:6" ht="22.5" hidden="1" customHeight="1" x14ac:dyDescent="0.2">
      <c r="A1088" s="23"/>
      <c r="B1088" s="34"/>
      <c r="C1088" s="35"/>
      <c r="D1088" s="35"/>
      <c r="E1088" s="35"/>
      <c r="F1088" s="31"/>
    </row>
    <row r="1089" spans="1:6" ht="22.5" hidden="1" customHeight="1" x14ac:dyDescent="0.2">
      <c r="A1089" s="23"/>
      <c r="B1089" s="34"/>
      <c r="C1089" s="35"/>
      <c r="D1089" s="35"/>
      <c r="E1089" s="35"/>
      <c r="F1089" s="31"/>
    </row>
    <row r="1090" spans="1:6" ht="22.5" hidden="1" customHeight="1" x14ac:dyDescent="0.2">
      <c r="A1090" s="23"/>
      <c r="B1090" s="34"/>
      <c r="C1090" s="35"/>
      <c r="D1090" s="35"/>
      <c r="E1090" s="35"/>
      <c r="F1090" s="31"/>
    </row>
    <row r="1091" spans="1:6" ht="22.5" hidden="1" customHeight="1" x14ac:dyDescent="0.2">
      <c r="A1091" s="23"/>
      <c r="B1091" s="34"/>
      <c r="C1091" s="35"/>
      <c r="D1091" s="35"/>
      <c r="E1091" s="35"/>
      <c r="F1091" s="31"/>
    </row>
    <row r="1092" spans="1:6" ht="22.5" hidden="1" customHeight="1" x14ac:dyDescent="0.2">
      <c r="A1092" s="23"/>
      <c r="B1092" s="34"/>
      <c r="C1092" s="35"/>
      <c r="D1092" s="35"/>
      <c r="E1092" s="35"/>
      <c r="F1092" s="31"/>
    </row>
    <row r="1093" spans="1:6" ht="22.5" hidden="1" customHeight="1" x14ac:dyDescent="0.2">
      <c r="A1093" s="23"/>
      <c r="B1093" s="34"/>
      <c r="C1093" s="35"/>
      <c r="D1093" s="35"/>
      <c r="E1093" s="35"/>
      <c r="F1093" s="31"/>
    </row>
    <row r="1094" spans="1:6" ht="22.5" hidden="1" customHeight="1" x14ac:dyDescent="0.2">
      <c r="A1094" s="23"/>
      <c r="B1094" s="34"/>
      <c r="C1094" s="35"/>
      <c r="D1094" s="35"/>
      <c r="E1094" s="35"/>
      <c r="F1094" s="31"/>
    </row>
    <row r="1095" spans="1:6" ht="22.5" hidden="1" customHeight="1" x14ac:dyDescent="0.2">
      <c r="A1095" s="23"/>
      <c r="B1095" s="34"/>
      <c r="C1095" s="35"/>
      <c r="D1095" s="35"/>
      <c r="E1095" s="35"/>
      <c r="F1095" s="31"/>
    </row>
    <row r="1096" spans="1:6" ht="22.5" hidden="1" customHeight="1" x14ac:dyDescent="0.2">
      <c r="A1096" s="23"/>
      <c r="B1096" s="34"/>
      <c r="C1096" s="35"/>
      <c r="D1096" s="35"/>
      <c r="E1096" s="35"/>
      <c r="F1096" s="31"/>
    </row>
    <row r="1097" spans="1:6" ht="22.5" hidden="1" customHeight="1" x14ac:dyDescent="0.2">
      <c r="A1097" s="23"/>
      <c r="B1097" s="34"/>
      <c r="C1097" s="35"/>
      <c r="D1097" s="35"/>
      <c r="E1097" s="35"/>
      <c r="F1097" s="31"/>
    </row>
    <row r="1098" spans="1:6" ht="22.5" hidden="1" customHeight="1" x14ac:dyDescent="0.2">
      <c r="A1098" s="23"/>
      <c r="B1098" s="34"/>
      <c r="C1098" s="35"/>
      <c r="D1098" s="35"/>
      <c r="E1098" s="35"/>
      <c r="F1098" s="31"/>
    </row>
    <row r="1099" spans="1:6" ht="22.5" hidden="1" customHeight="1" x14ac:dyDescent="0.2">
      <c r="A1099" s="23"/>
      <c r="B1099" s="34"/>
      <c r="C1099" s="35"/>
      <c r="D1099" s="35"/>
      <c r="E1099" s="35"/>
      <c r="F1099" s="31"/>
    </row>
    <row r="1100" spans="1:6" ht="22.5" hidden="1" customHeight="1" x14ac:dyDescent="0.2">
      <c r="A1100" s="23"/>
      <c r="B1100" s="34"/>
      <c r="C1100" s="35"/>
      <c r="D1100" s="35"/>
      <c r="E1100" s="35"/>
      <c r="F1100" s="31"/>
    </row>
    <row r="1101" spans="1:6" ht="22.5" hidden="1" customHeight="1" x14ac:dyDescent="0.2">
      <c r="A1101" s="23"/>
      <c r="B1101" s="34"/>
      <c r="C1101" s="35"/>
      <c r="D1101" s="35"/>
      <c r="E1101" s="35"/>
      <c r="F1101" s="31"/>
    </row>
    <row r="1102" spans="1:6" ht="22.5" hidden="1" customHeight="1" x14ac:dyDescent="0.2">
      <c r="A1102" s="23"/>
      <c r="B1102" s="34"/>
      <c r="C1102" s="35"/>
      <c r="D1102" s="35"/>
      <c r="E1102" s="35"/>
      <c r="F1102" s="31"/>
    </row>
    <row r="1103" spans="1:6" ht="22.5" hidden="1" customHeight="1" x14ac:dyDescent="0.2">
      <c r="A1103" s="23"/>
      <c r="B1103" s="34"/>
      <c r="C1103" s="35"/>
      <c r="D1103" s="35"/>
      <c r="E1103" s="35"/>
      <c r="F1103" s="31"/>
    </row>
    <row r="1104" spans="1:6" ht="22.5" hidden="1" customHeight="1" x14ac:dyDescent="0.2">
      <c r="A1104" s="23"/>
      <c r="B1104" s="34"/>
      <c r="C1104" s="35"/>
      <c r="D1104" s="35"/>
      <c r="E1104" s="35"/>
      <c r="F1104" s="31"/>
    </row>
    <row r="1105" spans="1:6" ht="22.5" hidden="1" customHeight="1" x14ac:dyDescent="0.2">
      <c r="A1105" s="23"/>
      <c r="B1105" s="34"/>
      <c r="C1105" s="35"/>
      <c r="D1105" s="35"/>
      <c r="E1105" s="35"/>
      <c r="F1105" s="31"/>
    </row>
    <row r="1106" spans="1:6" ht="22.5" hidden="1" customHeight="1" x14ac:dyDescent="0.2">
      <c r="A1106" s="23"/>
      <c r="B1106" s="34"/>
      <c r="C1106" s="35"/>
      <c r="D1106" s="35"/>
      <c r="E1106" s="35"/>
      <c r="F1106" s="31"/>
    </row>
    <row r="1107" spans="1:6" ht="22.5" hidden="1" customHeight="1" x14ac:dyDescent="0.2">
      <c r="A1107" s="23"/>
      <c r="B1107" s="34"/>
      <c r="C1107" s="35"/>
      <c r="D1107" s="35"/>
      <c r="E1107" s="35"/>
      <c r="F1107" s="31"/>
    </row>
    <row r="1108" spans="1:6" ht="22.5" hidden="1" customHeight="1" x14ac:dyDescent="0.2">
      <c r="A1108" s="23"/>
      <c r="B1108" s="34"/>
      <c r="C1108" s="35"/>
      <c r="D1108" s="35"/>
      <c r="E1108" s="35"/>
      <c r="F1108" s="31"/>
    </row>
    <row r="1109" spans="1:6" ht="22.5" hidden="1" customHeight="1" x14ac:dyDescent="0.2">
      <c r="A1109" s="23"/>
      <c r="B1109" s="34"/>
      <c r="C1109" s="35"/>
      <c r="D1109" s="35"/>
      <c r="E1109" s="35"/>
      <c r="F1109" s="31"/>
    </row>
    <row r="1110" spans="1:6" ht="22.5" hidden="1" customHeight="1" x14ac:dyDescent="0.2">
      <c r="A1110" s="23"/>
      <c r="B1110" s="34"/>
      <c r="C1110" s="35"/>
      <c r="D1110" s="35"/>
      <c r="E1110" s="35"/>
      <c r="F1110" s="31"/>
    </row>
    <row r="1111" spans="1:6" ht="22.5" hidden="1" customHeight="1" x14ac:dyDescent="0.2">
      <c r="A1111" s="23"/>
      <c r="B1111" s="34"/>
      <c r="C1111" s="35"/>
      <c r="D1111" s="35"/>
      <c r="E1111" s="35"/>
      <c r="F1111" s="31"/>
    </row>
    <row r="1112" spans="1:6" ht="22.5" hidden="1" customHeight="1" x14ac:dyDescent="0.2">
      <c r="A1112" s="23"/>
      <c r="B1112" s="34"/>
      <c r="C1112" s="35"/>
      <c r="D1112" s="35"/>
      <c r="E1112" s="35"/>
      <c r="F1112" s="31"/>
    </row>
    <row r="1113" spans="1:6" ht="22.5" hidden="1" customHeight="1" x14ac:dyDescent="0.2">
      <c r="A1113" s="23"/>
      <c r="B1113" s="34"/>
      <c r="C1113" s="35"/>
      <c r="D1113" s="35"/>
      <c r="E1113" s="35"/>
      <c r="F1113" s="31"/>
    </row>
    <row r="1114" spans="1:6" ht="22.5" hidden="1" customHeight="1" x14ac:dyDescent="0.2">
      <c r="A1114" s="23"/>
      <c r="B1114" s="34"/>
      <c r="C1114" s="35"/>
      <c r="D1114" s="35"/>
      <c r="E1114" s="35"/>
      <c r="F1114" s="31"/>
    </row>
    <row r="1115" spans="1:6" ht="22.5" hidden="1" customHeight="1" x14ac:dyDescent="0.2">
      <c r="A1115" s="23"/>
      <c r="B1115" s="34"/>
      <c r="C1115" s="35"/>
      <c r="D1115" s="35"/>
      <c r="E1115" s="35"/>
      <c r="F1115" s="31"/>
    </row>
    <row r="1116" spans="1:6" ht="22.5" hidden="1" customHeight="1" x14ac:dyDescent="0.2">
      <c r="A1116" s="23"/>
      <c r="B1116" s="34"/>
      <c r="C1116" s="35"/>
      <c r="D1116" s="35"/>
      <c r="E1116" s="35"/>
      <c r="F1116" s="31"/>
    </row>
    <row r="1117" spans="1:6" ht="22.5" hidden="1" customHeight="1" x14ac:dyDescent="0.2">
      <c r="A1117" s="23"/>
      <c r="B1117" s="34"/>
      <c r="C1117" s="35"/>
      <c r="D1117" s="35"/>
      <c r="E1117" s="35"/>
      <c r="F1117" s="31"/>
    </row>
    <row r="1118" spans="1:6" ht="22.5" hidden="1" customHeight="1" x14ac:dyDescent="0.2">
      <c r="A1118" s="23"/>
      <c r="B1118" s="34"/>
      <c r="C1118" s="35"/>
      <c r="D1118" s="35"/>
      <c r="E1118" s="35"/>
      <c r="F1118" s="31"/>
    </row>
    <row r="1119" spans="1:6" ht="22.5" hidden="1" customHeight="1" x14ac:dyDescent="0.2">
      <c r="A1119" s="23"/>
      <c r="B1119" s="34"/>
      <c r="C1119" s="35"/>
      <c r="D1119" s="35"/>
      <c r="E1119" s="35"/>
      <c r="F1119" s="31"/>
    </row>
    <row r="1120" spans="1:6" ht="22.5" hidden="1" customHeight="1" x14ac:dyDescent="0.2">
      <c r="A1120" s="23"/>
      <c r="B1120" s="34"/>
      <c r="C1120" s="35"/>
      <c r="D1120" s="35"/>
      <c r="E1120" s="35"/>
      <c r="F1120" s="31"/>
    </row>
    <row r="1121" spans="1:6" ht="22.5" hidden="1" customHeight="1" x14ac:dyDescent="0.2">
      <c r="A1121" s="23"/>
      <c r="B1121" s="34"/>
      <c r="C1121" s="35"/>
      <c r="D1121" s="35"/>
      <c r="E1121" s="35"/>
      <c r="F1121" s="31"/>
    </row>
    <row r="1122" spans="1:6" ht="22.5" hidden="1" customHeight="1" x14ac:dyDescent="0.2">
      <c r="A1122" s="23"/>
      <c r="B1122" s="34"/>
      <c r="C1122" s="35"/>
      <c r="D1122" s="35"/>
      <c r="E1122" s="35"/>
      <c r="F1122" s="31"/>
    </row>
    <row r="1123" spans="1:6" ht="22.5" hidden="1" customHeight="1" x14ac:dyDescent="0.2">
      <c r="A1123" s="23"/>
      <c r="B1123" s="34"/>
      <c r="C1123" s="35"/>
      <c r="D1123" s="35"/>
      <c r="E1123" s="35"/>
      <c r="F1123" s="31"/>
    </row>
    <row r="1124" spans="1:6" ht="22.5" hidden="1" customHeight="1" x14ac:dyDescent="0.2">
      <c r="A1124" s="23"/>
      <c r="B1124" s="34"/>
      <c r="C1124" s="35"/>
      <c r="D1124" s="35"/>
      <c r="E1124" s="35"/>
      <c r="F1124" s="31"/>
    </row>
    <row r="1125" spans="1:6" ht="22.5" hidden="1" customHeight="1" x14ac:dyDescent="0.2">
      <c r="A1125" s="23"/>
      <c r="B1125" s="34"/>
      <c r="C1125" s="35"/>
      <c r="D1125" s="35"/>
      <c r="E1125" s="35"/>
      <c r="F1125" s="31"/>
    </row>
    <row r="1126" spans="1:6" ht="22.5" hidden="1" customHeight="1" x14ac:dyDescent="0.2">
      <c r="A1126" s="23"/>
      <c r="B1126" s="34"/>
      <c r="C1126" s="35"/>
      <c r="D1126" s="35"/>
      <c r="E1126" s="35"/>
      <c r="F1126" s="31"/>
    </row>
    <row r="1127" spans="1:6" ht="22.5" hidden="1" customHeight="1" x14ac:dyDescent="0.2">
      <c r="A1127" s="23"/>
      <c r="B1127" s="34"/>
      <c r="C1127" s="35"/>
      <c r="D1127" s="35"/>
      <c r="E1127" s="35"/>
      <c r="F1127" s="31"/>
    </row>
    <row r="1128" spans="1:6" ht="22.5" hidden="1" customHeight="1" x14ac:dyDescent="0.2">
      <c r="A1128" s="23"/>
      <c r="B1128" s="34"/>
      <c r="C1128" s="35"/>
      <c r="D1128" s="35"/>
      <c r="E1128" s="35"/>
      <c r="F1128" s="31"/>
    </row>
    <row r="1129" spans="1:6" ht="22.5" hidden="1" customHeight="1" x14ac:dyDescent="0.2">
      <c r="A1129" s="23"/>
      <c r="B1129" s="34"/>
      <c r="C1129" s="35"/>
      <c r="D1129" s="35"/>
      <c r="E1129" s="35"/>
      <c r="F1129" s="31"/>
    </row>
    <row r="1130" spans="1:6" ht="22.5" hidden="1" customHeight="1" x14ac:dyDescent="0.2">
      <c r="A1130" s="23"/>
      <c r="B1130" s="34"/>
      <c r="C1130" s="35"/>
      <c r="D1130" s="35"/>
      <c r="E1130" s="35"/>
      <c r="F1130" s="31"/>
    </row>
    <row r="1131" spans="1:6" ht="22.5" hidden="1" customHeight="1" x14ac:dyDescent="0.2">
      <c r="A1131" s="23"/>
      <c r="B1131" s="34"/>
      <c r="C1131" s="35"/>
      <c r="D1131" s="35"/>
      <c r="E1131" s="35"/>
      <c r="F1131" s="31"/>
    </row>
    <row r="1132" spans="1:6" ht="22.5" hidden="1" customHeight="1" x14ac:dyDescent="0.2">
      <c r="A1132" s="23"/>
      <c r="B1132" s="34"/>
      <c r="C1132" s="35"/>
      <c r="D1132" s="35"/>
      <c r="E1132" s="35"/>
      <c r="F1132" s="31"/>
    </row>
    <row r="1133" spans="1:6" ht="22.5" hidden="1" customHeight="1" x14ac:dyDescent="0.2">
      <c r="A1133" s="23"/>
      <c r="B1133" s="34"/>
      <c r="C1133" s="35"/>
      <c r="D1133" s="35"/>
      <c r="E1133" s="35"/>
      <c r="F1133" s="31"/>
    </row>
    <row r="1134" spans="1:6" ht="22.5" hidden="1" customHeight="1" x14ac:dyDescent="0.2">
      <c r="A1134" s="23"/>
      <c r="B1134" s="34"/>
      <c r="C1134" s="35"/>
      <c r="D1134" s="35"/>
      <c r="E1134" s="35"/>
      <c r="F1134" s="31"/>
    </row>
    <row r="1135" spans="1:6" ht="22.5" hidden="1" customHeight="1" x14ac:dyDescent="0.2">
      <c r="A1135" s="23"/>
      <c r="B1135" s="34"/>
      <c r="C1135" s="35"/>
      <c r="D1135" s="35"/>
      <c r="E1135" s="35"/>
      <c r="F1135" s="31"/>
    </row>
    <row r="1136" spans="1:6" ht="22.5" hidden="1" customHeight="1" x14ac:dyDescent="0.2">
      <c r="A1136" s="23"/>
      <c r="B1136" s="34"/>
      <c r="C1136" s="35"/>
      <c r="D1136" s="35"/>
      <c r="E1136" s="35"/>
      <c r="F1136" s="31"/>
    </row>
    <row r="1137" spans="1:6" ht="22.5" hidden="1" customHeight="1" x14ac:dyDescent="0.2">
      <c r="A1137" s="23"/>
      <c r="B1137" s="34"/>
      <c r="C1137" s="35"/>
      <c r="D1137" s="35"/>
      <c r="E1137" s="35"/>
      <c r="F1137" s="31"/>
    </row>
    <row r="1138" spans="1:6" ht="22.5" hidden="1" customHeight="1" x14ac:dyDescent="0.2">
      <c r="A1138" s="23"/>
      <c r="B1138" s="34"/>
      <c r="C1138" s="35"/>
      <c r="D1138" s="35"/>
      <c r="E1138" s="35"/>
      <c r="F1138" s="31"/>
    </row>
    <row r="1139" spans="1:6" ht="22.5" hidden="1" customHeight="1" x14ac:dyDescent="0.2">
      <c r="A1139" s="23"/>
      <c r="B1139" s="34"/>
      <c r="C1139" s="35"/>
      <c r="D1139" s="35"/>
      <c r="E1139" s="35"/>
      <c r="F1139" s="31"/>
    </row>
    <row r="1140" spans="1:6" ht="22.5" hidden="1" customHeight="1" x14ac:dyDescent="0.2">
      <c r="A1140" s="23"/>
      <c r="B1140" s="34"/>
      <c r="C1140" s="35"/>
      <c r="D1140" s="35"/>
      <c r="E1140" s="35"/>
      <c r="F1140" s="31"/>
    </row>
    <row r="1141" spans="1:6" ht="22.5" hidden="1" customHeight="1" x14ac:dyDescent="0.2">
      <c r="A1141" s="23"/>
      <c r="B1141" s="34"/>
      <c r="C1141" s="35"/>
      <c r="D1141" s="35"/>
      <c r="E1141" s="35"/>
      <c r="F1141" s="31"/>
    </row>
    <row r="1142" spans="1:6" ht="22.5" hidden="1" customHeight="1" x14ac:dyDescent="0.2">
      <c r="A1142" s="23"/>
      <c r="B1142" s="34"/>
      <c r="C1142" s="35"/>
      <c r="D1142" s="35"/>
      <c r="E1142" s="35"/>
      <c r="F1142" s="31"/>
    </row>
    <row r="1143" spans="1:6" ht="22.5" hidden="1" customHeight="1" x14ac:dyDescent="0.2">
      <c r="A1143" s="23"/>
      <c r="B1143" s="34"/>
      <c r="C1143" s="35"/>
      <c r="D1143" s="35"/>
      <c r="E1143" s="35"/>
      <c r="F1143" s="31"/>
    </row>
    <row r="1144" spans="1:6" ht="22.5" hidden="1" customHeight="1" x14ac:dyDescent="0.2">
      <c r="A1144" s="23"/>
      <c r="B1144" s="34"/>
      <c r="C1144" s="35"/>
      <c r="D1144" s="35"/>
      <c r="E1144" s="35"/>
      <c r="F1144" s="31"/>
    </row>
    <row r="1145" spans="1:6" ht="22.5" hidden="1" customHeight="1" x14ac:dyDescent="0.2">
      <c r="A1145" s="23"/>
      <c r="B1145" s="34"/>
      <c r="C1145" s="35"/>
      <c r="D1145" s="35"/>
      <c r="E1145" s="35"/>
      <c r="F1145" s="31"/>
    </row>
    <row r="1146" spans="1:6" ht="22.5" hidden="1" customHeight="1" x14ac:dyDescent="0.2">
      <c r="A1146" s="23"/>
      <c r="B1146" s="34"/>
      <c r="C1146" s="35"/>
      <c r="D1146" s="35"/>
      <c r="E1146" s="35"/>
      <c r="F1146" s="31"/>
    </row>
    <row r="1147" spans="1:6" ht="22.5" hidden="1" customHeight="1" x14ac:dyDescent="0.2">
      <c r="A1147" s="23"/>
      <c r="B1147" s="34"/>
      <c r="C1147" s="35"/>
      <c r="D1147" s="35"/>
      <c r="E1147" s="35"/>
      <c r="F1147" s="31"/>
    </row>
    <row r="1148" spans="1:6" ht="22.5" hidden="1" customHeight="1" x14ac:dyDescent="0.2">
      <c r="A1148" s="23"/>
      <c r="B1148" s="34"/>
      <c r="C1148" s="35"/>
      <c r="D1148" s="35"/>
      <c r="E1148" s="35"/>
      <c r="F1148" s="31"/>
    </row>
    <row r="1149" spans="1:6" ht="22.5" hidden="1" customHeight="1" x14ac:dyDescent="0.2">
      <c r="A1149" s="23"/>
      <c r="B1149" s="34"/>
      <c r="C1149" s="35"/>
      <c r="D1149" s="35"/>
      <c r="E1149" s="35"/>
      <c r="F1149" s="31"/>
    </row>
    <row r="1150" spans="1:6" ht="22.5" hidden="1" customHeight="1" x14ac:dyDescent="0.2">
      <c r="A1150" s="23"/>
      <c r="B1150" s="34"/>
      <c r="C1150" s="35"/>
      <c r="D1150" s="35"/>
      <c r="E1150" s="35"/>
      <c r="F1150" s="31"/>
    </row>
    <row r="1151" spans="1:6" ht="22.5" hidden="1" customHeight="1" x14ac:dyDescent="0.2">
      <c r="A1151" s="23"/>
      <c r="B1151" s="34"/>
      <c r="C1151" s="35"/>
      <c r="D1151" s="35"/>
      <c r="E1151" s="35"/>
      <c r="F1151" s="31"/>
    </row>
    <row r="1152" spans="1:6" ht="22.5" hidden="1" customHeight="1" x14ac:dyDescent="0.2">
      <c r="A1152" s="23"/>
      <c r="B1152" s="34"/>
      <c r="C1152" s="35"/>
      <c r="D1152" s="35"/>
      <c r="E1152" s="35"/>
      <c r="F1152" s="31"/>
    </row>
    <row r="1153" spans="1:6" ht="22.5" hidden="1" customHeight="1" x14ac:dyDescent="0.2">
      <c r="A1153" s="23"/>
      <c r="B1153" s="34"/>
      <c r="C1153" s="35"/>
      <c r="D1153" s="35"/>
      <c r="E1153" s="35"/>
      <c r="F1153" s="31"/>
    </row>
    <row r="1154" spans="1:6" ht="22.5" hidden="1" customHeight="1" x14ac:dyDescent="0.2">
      <c r="A1154" s="23"/>
      <c r="B1154" s="34"/>
      <c r="C1154" s="35"/>
      <c r="D1154" s="35"/>
      <c r="E1154" s="35"/>
      <c r="F1154" s="31"/>
    </row>
    <row r="1155" spans="1:6" ht="22.5" hidden="1" customHeight="1" x14ac:dyDescent="0.2">
      <c r="A1155" s="23"/>
      <c r="B1155" s="34"/>
      <c r="C1155" s="35"/>
      <c r="D1155" s="35"/>
      <c r="E1155" s="35"/>
      <c r="F1155" s="31"/>
    </row>
    <row r="1156" spans="1:6" ht="22.5" hidden="1" customHeight="1" x14ac:dyDescent="0.2">
      <c r="A1156" s="23"/>
      <c r="B1156" s="34"/>
      <c r="C1156" s="35"/>
      <c r="D1156" s="35"/>
      <c r="E1156" s="35"/>
      <c r="F1156" s="31"/>
    </row>
    <row r="1157" spans="1:6" ht="22.5" hidden="1" customHeight="1" x14ac:dyDescent="0.2">
      <c r="A1157" s="23"/>
      <c r="B1157" s="34"/>
      <c r="C1157" s="35"/>
      <c r="D1157" s="35"/>
      <c r="E1157" s="35"/>
      <c r="F1157" s="31"/>
    </row>
    <row r="1158" spans="1:6" ht="22.5" hidden="1" customHeight="1" x14ac:dyDescent="0.2">
      <c r="A1158" s="23"/>
      <c r="B1158" s="34"/>
      <c r="C1158" s="35"/>
      <c r="D1158" s="35"/>
      <c r="E1158" s="35"/>
      <c r="F1158" s="31"/>
    </row>
    <row r="1159" spans="1:6" ht="22.5" hidden="1" customHeight="1" x14ac:dyDescent="0.2">
      <c r="A1159" s="23"/>
      <c r="B1159" s="34"/>
      <c r="C1159" s="35"/>
      <c r="D1159" s="35"/>
      <c r="E1159" s="35"/>
      <c r="F1159" s="31"/>
    </row>
    <row r="1160" spans="1:6" ht="22.5" hidden="1" customHeight="1" x14ac:dyDescent="0.2">
      <c r="A1160" s="23"/>
      <c r="B1160" s="34"/>
      <c r="C1160" s="35"/>
      <c r="D1160" s="35"/>
      <c r="E1160" s="35"/>
      <c r="F1160" s="31"/>
    </row>
    <row r="1161" spans="1:6" ht="22.5" hidden="1" customHeight="1" x14ac:dyDescent="0.2">
      <c r="A1161" s="23"/>
      <c r="B1161" s="34"/>
      <c r="C1161" s="35"/>
      <c r="D1161" s="35"/>
      <c r="E1161" s="35"/>
      <c r="F1161" s="31"/>
    </row>
    <row r="1162" spans="1:6" ht="22.5" hidden="1" customHeight="1" x14ac:dyDescent="0.2">
      <c r="A1162" s="23"/>
      <c r="B1162" s="34"/>
      <c r="C1162" s="35"/>
      <c r="D1162" s="35"/>
      <c r="E1162" s="35"/>
      <c r="F1162" s="31"/>
    </row>
    <row r="1163" spans="1:6" ht="22.5" hidden="1" customHeight="1" x14ac:dyDescent="0.2">
      <c r="A1163" s="23"/>
      <c r="B1163" s="34"/>
      <c r="C1163" s="35"/>
      <c r="D1163" s="35"/>
      <c r="E1163" s="35"/>
      <c r="F1163" s="31"/>
    </row>
    <row r="1164" spans="1:6" ht="22.5" hidden="1" customHeight="1" x14ac:dyDescent="0.2">
      <c r="A1164" s="23"/>
      <c r="B1164" s="34"/>
      <c r="C1164" s="35"/>
      <c r="D1164" s="35"/>
      <c r="E1164" s="35"/>
      <c r="F1164" s="31"/>
    </row>
    <row r="1165" spans="1:6" ht="22.5" hidden="1" customHeight="1" x14ac:dyDescent="0.2">
      <c r="A1165" s="23"/>
      <c r="B1165" s="34"/>
      <c r="C1165" s="35"/>
      <c r="D1165" s="35"/>
      <c r="E1165" s="35"/>
      <c r="F1165" s="31"/>
    </row>
    <row r="1166" spans="1:6" ht="22.5" hidden="1" customHeight="1" x14ac:dyDescent="0.2">
      <c r="A1166" s="23"/>
      <c r="B1166" s="34"/>
      <c r="C1166" s="35"/>
      <c r="D1166" s="35"/>
      <c r="E1166" s="35"/>
      <c r="F1166" s="31"/>
    </row>
    <row r="1167" spans="1:6" ht="22.5" hidden="1" customHeight="1" x14ac:dyDescent="0.2">
      <c r="A1167" s="23"/>
      <c r="B1167" s="34"/>
      <c r="C1167" s="35"/>
      <c r="D1167" s="35"/>
      <c r="E1167" s="35"/>
      <c r="F1167" s="31"/>
    </row>
    <row r="1168" spans="1:6" ht="22.5" hidden="1" customHeight="1" x14ac:dyDescent="0.2">
      <c r="A1168" s="23"/>
      <c r="B1168" s="34"/>
      <c r="C1168" s="35"/>
      <c r="D1168" s="35"/>
      <c r="E1168" s="35"/>
      <c r="F1168" s="31"/>
    </row>
    <row r="1169" spans="1:6" ht="22.5" hidden="1" customHeight="1" x14ac:dyDescent="0.2">
      <c r="A1169" s="23"/>
      <c r="B1169" s="34"/>
      <c r="C1169" s="35"/>
      <c r="D1169" s="35"/>
      <c r="E1169" s="35"/>
      <c r="F1169" s="31"/>
    </row>
    <row r="1170" spans="1:6" ht="22.5" hidden="1" customHeight="1" x14ac:dyDescent="0.2">
      <c r="A1170" s="23"/>
      <c r="B1170" s="34"/>
      <c r="C1170" s="35"/>
      <c r="D1170" s="35"/>
      <c r="E1170" s="35"/>
      <c r="F1170" s="31"/>
    </row>
    <row r="1171" spans="1:6" ht="22.5" hidden="1" customHeight="1" x14ac:dyDescent="0.2">
      <c r="A1171" s="23"/>
      <c r="B1171" s="34"/>
      <c r="C1171" s="35"/>
      <c r="D1171" s="35"/>
      <c r="E1171" s="35"/>
      <c r="F1171" s="31"/>
    </row>
    <row r="1172" spans="1:6" ht="22.5" hidden="1" customHeight="1" x14ac:dyDescent="0.2">
      <c r="A1172" s="23"/>
      <c r="B1172" s="34"/>
      <c r="C1172" s="35"/>
      <c r="D1172" s="35"/>
      <c r="E1172" s="35"/>
      <c r="F1172" s="31"/>
    </row>
    <row r="1173" spans="1:6" ht="22.5" hidden="1" customHeight="1" x14ac:dyDescent="0.2">
      <c r="A1173" s="23"/>
      <c r="B1173" s="34"/>
      <c r="C1173" s="35"/>
      <c r="D1173" s="35"/>
      <c r="E1173" s="35"/>
      <c r="F1173" s="31"/>
    </row>
    <row r="1174" spans="1:6" ht="22.5" hidden="1" customHeight="1" x14ac:dyDescent="0.2">
      <c r="A1174" s="23"/>
      <c r="B1174" s="34"/>
      <c r="C1174" s="35"/>
      <c r="D1174" s="35"/>
      <c r="E1174" s="35"/>
      <c r="F1174" s="31"/>
    </row>
    <row r="1175" spans="1:6" ht="22.5" hidden="1" customHeight="1" x14ac:dyDescent="0.2">
      <c r="A1175" s="23"/>
      <c r="B1175" s="34"/>
      <c r="C1175" s="35"/>
      <c r="D1175" s="35"/>
      <c r="E1175" s="35"/>
      <c r="F1175" s="31"/>
    </row>
    <row r="1176" spans="1:6" ht="22.5" hidden="1" customHeight="1" x14ac:dyDescent="0.2">
      <c r="A1176" s="23"/>
      <c r="B1176" s="34"/>
      <c r="C1176" s="35"/>
      <c r="D1176" s="35"/>
      <c r="E1176" s="35"/>
      <c r="F1176" s="31"/>
    </row>
    <row r="1177" spans="1:6" ht="22.5" hidden="1" customHeight="1" x14ac:dyDescent="0.2">
      <c r="A1177" s="23"/>
      <c r="B1177" s="34"/>
      <c r="C1177" s="35"/>
      <c r="D1177" s="35"/>
      <c r="E1177" s="35"/>
      <c r="F1177" s="31"/>
    </row>
    <row r="1178" spans="1:6" ht="22.5" hidden="1" customHeight="1" x14ac:dyDescent="0.2">
      <c r="A1178" s="23"/>
      <c r="B1178" s="34"/>
      <c r="C1178" s="35"/>
      <c r="D1178" s="35"/>
      <c r="E1178" s="35"/>
      <c r="F1178" s="31"/>
    </row>
    <row r="1179" spans="1:6" ht="22.5" hidden="1" customHeight="1" x14ac:dyDescent="0.2">
      <c r="A1179" s="23"/>
      <c r="B1179" s="34"/>
      <c r="C1179" s="35"/>
      <c r="D1179" s="35"/>
      <c r="E1179" s="35"/>
      <c r="F1179" s="31"/>
    </row>
    <row r="1180" spans="1:6" ht="22.5" hidden="1" customHeight="1" x14ac:dyDescent="0.2">
      <c r="A1180" s="23"/>
      <c r="B1180" s="34"/>
      <c r="C1180" s="35"/>
      <c r="D1180" s="35"/>
      <c r="E1180" s="35"/>
      <c r="F1180" s="31"/>
    </row>
    <row r="1181" spans="1:6" ht="22.5" hidden="1" customHeight="1" x14ac:dyDescent="0.2">
      <c r="A1181" s="23"/>
      <c r="B1181" s="34"/>
      <c r="C1181" s="35"/>
      <c r="D1181" s="35"/>
      <c r="E1181" s="35"/>
      <c r="F1181" s="31"/>
    </row>
    <row r="1182" spans="1:6" ht="22.5" hidden="1" customHeight="1" x14ac:dyDescent="0.2">
      <c r="A1182" s="23"/>
      <c r="B1182" s="34"/>
      <c r="C1182" s="35"/>
      <c r="D1182" s="35"/>
      <c r="E1182" s="35"/>
      <c r="F1182" s="31"/>
    </row>
    <row r="1183" spans="1:6" ht="22.5" hidden="1" customHeight="1" x14ac:dyDescent="0.2">
      <c r="A1183" s="23"/>
      <c r="B1183" s="34"/>
      <c r="C1183" s="35"/>
      <c r="D1183" s="35"/>
      <c r="E1183" s="35"/>
      <c r="F1183" s="31"/>
    </row>
    <row r="1184" spans="1:6" ht="22.5" hidden="1" customHeight="1" x14ac:dyDescent="0.2">
      <c r="A1184" s="23"/>
      <c r="B1184" s="34"/>
      <c r="C1184" s="35"/>
      <c r="D1184" s="35"/>
      <c r="E1184" s="35"/>
      <c r="F1184" s="31"/>
    </row>
    <row r="1185" spans="1:6" ht="22.5" hidden="1" customHeight="1" x14ac:dyDescent="0.2">
      <c r="A1185" s="23"/>
      <c r="B1185" s="34"/>
      <c r="C1185" s="35"/>
      <c r="D1185" s="35"/>
      <c r="E1185" s="35"/>
      <c r="F1185" s="31"/>
    </row>
    <row r="1186" spans="1:6" ht="22.5" hidden="1" customHeight="1" x14ac:dyDescent="0.2">
      <c r="A1186" s="23"/>
      <c r="B1186" s="34"/>
      <c r="C1186" s="35"/>
      <c r="D1186" s="35"/>
      <c r="E1186" s="35"/>
      <c r="F1186" s="31"/>
    </row>
    <row r="1187" spans="1:6" ht="22.5" hidden="1" customHeight="1" x14ac:dyDescent="0.2">
      <c r="A1187" s="23"/>
      <c r="B1187" s="34"/>
      <c r="C1187" s="35"/>
      <c r="D1187" s="35"/>
      <c r="E1187" s="35"/>
      <c r="F1187" s="31"/>
    </row>
    <row r="1188" spans="1:6" ht="22.5" hidden="1" customHeight="1" x14ac:dyDescent="0.2">
      <c r="A1188" s="23"/>
      <c r="B1188" s="34"/>
      <c r="C1188" s="35"/>
      <c r="D1188" s="35"/>
      <c r="E1188" s="35"/>
      <c r="F1188" s="31"/>
    </row>
    <row r="1189" spans="1:6" ht="22.5" hidden="1" customHeight="1" x14ac:dyDescent="0.2">
      <c r="A1189" s="23"/>
      <c r="B1189" s="34"/>
      <c r="C1189" s="35"/>
      <c r="D1189" s="35"/>
      <c r="E1189" s="35"/>
      <c r="F1189" s="31"/>
    </row>
    <row r="1190" spans="1:6" ht="22.5" hidden="1" customHeight="1" x14ac:dyDescent="0.2">
      <c r="A1190" s="23"/>
      <c r="B1190" s="34"/>
      <c r="C1190" s="35"/>
      <c r="D1190" s="35"/>
      <c r="E1190" s="35"/>
      <c r="F1190" s="31"/>
    </row>
    <row r="1191" spans="1:6" ht="22.5" hidden="1" customHeight="1" x14ac:dyDescent="0.2">
      <c r="A1191" s="23"/>
      <c r="B1191" s="34"/>
      <c r="C1191" s="35"/>
      <c r="D1191" s="35"/>
      <c r="E1191" s="35"/>
      <c r="F1191" s="31"/>
    </row>
    <row r="1192" spans="1:6" ht="22.5" hidden="1" customHeight="1" x14ac:dyDescent="0.2">
      <c r="A1192" s="23"/>
      <c r="B1192" s="34"/>
      <c r="C1192" s="35"/>
      <c r="D1192" s="35"/>
      <c r="E1192" s="35"/>
      <c r="F1192" s="31"/>
    </row>
    <row r="1193" spans="1:6" ht="22.5" hidden="1" customHeight="1" x14ac:dyDescent="0.2">
      <c r="A1193" s="23"/>
      <c r="B1193" s="34"/>
      <c r="C1193" s="35"/>
      <c r="D1193" s="35"/>
      <c r="E1193" s="35"/>
      <c r="F1193" s="31"/>
    </row>
    <row r="1194" spans="1:6" ht="22.5" hidden="1" customHeight="1" x14ac:dyDescent="0.2">
      <c r="A1194" s="23"/>
      <c r="B1194" s="34"/>
      <c r="C1194" s="35"/>
      <c r="D1194" s="35"/>
      <c r="E1194" s="35"/>
      <c r="F1194" s="31"/>
    </row>
    <row r="1195" spans="1:6" ht="22.5" hidden="1" customHeight="1" x14ac:dyDescent="0.2">
      <c r="A1195" s="23"/>
      <c r="B1195" s="34"/>
      <c r="C1195" s="35"/>
      <c r="D1195" s="35"/>
      <c r="E1195" s="35"/>
      <c r="F1195" s="31"/>
    </row>
    <row r="1196" spans="1:6" ht="22.5" hidden="1" customHeight="1" x14ac:dyDescent="0.2">
      <c r="A1196" s="23"/>
      <c r="B1196" s="34"/>
      <c r="C1196" s="35"/>
      <c r="D1196" s="35"/>
      <c r="E1196" s="35"/>
      <c r="F1196" s="31"/>
    </row>
    <row r="1197" spans="1:6" ht="22.5" hidden="1" customHeight="1" x14ac:dyDescent="0.2">
      <c r="A1197" s="23"/>
      <c r="B1197" s="34"/>
      <c r="C1197" s="35"/>
      <c r="D1197" s="35"/>
      <c r="E1197" s="35"/>
      <c r="F1197" s="31"/>
    </row>
    <row r="1198" spans="1:6" ht="22.5" hidden="1" customHeight="1" x14ac:dyDescent="0.2">
      <c r="A1198" s="23"/>
      <c r="B1198" s="34"/>
      <c r="C1198" s="35"/>
      <c r="D1198" s="35"/>
      <c r="E1198" s="35"/>
      <c r="F1198" s="31"/>
    </row>
    <row r="1199" spans="1:6" ht="22.5" hidden="1" customHeight="1" x14ac:dyDescent="0.2">
      <c r="A1199" s="23"/>
      <c r="B1199" s="34"/>
      <c r="C1199" s="35"/>
      <c r="D1199" s="35"/>
      <c r="E1199" s="35"/>
      <c r="F1199" s="31"/>
    </row>
    <row r="1200" spans="1:6" ht="22.5" hidden="1" customHeight="1" x14ac:dyDescent="0.2">
      <c r="A1200" s="23"/>
      <c r="B1200" s="34"/>
      <c r="C1200" s="35"/>
      <c r="D1200" s="35"/>
      <c r="E1200" s="35"/>
      <c r="F1200" s="31"/>
    </row>
    <row r="1201" spans="1:6" ht="22.5" hidden="1" customHeight="1" x14ac:dyDescent="0.2">
      <c r="A1201" s="23"/>
      <c r="B1201" s="34"/>
      <c r="C1201" s="35"/>
      <c r="D1201" s="35"/>
      <c r="E1201" s="35"/>
      <c r="F1201" s="31"/>
    </row>
    <row r="1202" spans="1:6" ht="22.5" hidden="1" customHeight="1" x14ac:dyDescent="0.2">
      <c r="A1202" s="23"/>
      <c r="B1202" s="34"/>
      <c r="C1202" s="35"/>
      <c r="D1202" s="35"/>
      <c r="E1202" s="35"/>
      <c r="F1202" s="31"/>
    </row>
    <row r="1203" spans="1:6" ht="22.5" hidden="1" customHeight="1" x14ac:dyDescent="0.2">
      <c r="A1203" s="23"/>
      <c r="B1203" s="34"/>
      <c r="C1203" s="35"/>
      <c r="D1203" s="35"/>
      <c r="E1203" s="35"/>
      <c r="F1203" s="31"/>
    </row>
    <row r="1204" spans="1:6" ht="22.5" hidden="1" customHeight="1" x14ac:dyDescent="0.2">
      <c r="A1204" s="23"/>
      <c r="B1204" s="34"/>
      <c r="C1204" s="35"/>
      <c r="D1204" s="35"/>
      <c r="E1204" s="35"/>
      <c r="F1204" s="31"/>
    </row>
    <row r="1205" spans="1:6" ht="22.5" hidden="1" customHeight="1" x14ac:dyDescent="0.2">
      <c r="A1205" s="23"/>
      <c r="B1205" s="34"/>
      <c r="C1205" s="35"/>
      <c r="D1205" s="35"/>
      <c r="E1205" s="35"/>
      <c r="F1205" s="31"/>
    </row>
    <row r="1206" spans="1:6" ht="22.5" hidden="1" customHeight="1" x14ac:dyDescent="0.2">
      <c r="A1206" s="23"/>
      <c r="B1206" s="34"/>
      <c r="C1206" s="35"/>
      <c r="D1206" s="35"/>
      <c r="E1206" s="35"/>
      <c r="F1206" s="31"/>
    </row>
    <row r="1207" spans="1:6" ht="22.5" hidden="1" customHeight="1" x14ac:dyDescent="0.2">
      <c r="A1207" s="23"/>
      <c r="B1207" s="34"/>
      <c r="C1207" s="35"/>
      <c r="D1207" s="35"/>
      <c r="E1207" s="35"/>
      <c r="F1207" s="31"/>
    </row>
    <row r="1208" spans="1:6" ht="22.5" hidden="1" customHeight="1" x14ac:dyDescent="0.2">
      <c r="A1208" s="23"/>
      <c r="B1208" s="34"/>
      <c r="C1208" s="35"/>
      <c r="D1208" s="35"/>
      <c r="E1208" s="35"/>
      <c r="F1208" s="31"/>
    </row>
    <row r="1209" spans="1:6" ht="22.5" hidden="1" customHeight="1" x14ac:dyDescent="0.2">
      <c r="A1209" s="23"/>
      <c r="B1209" s="34"/>
      <c r="C1209" s="35"/>
      <c r="D1209" s="35"/>
      <c r="E1209" s="35"/>
      <c r="F1209" s="31"/>
    </row>
    <row r="1210" spans="1:6" ht="22.5" hidden="1" customHeight="1" x14ac:dyDescent="0.2">
      <c r="A1210" s="23"/>
      <c r="B1210" s="34"/>
      <c r="C1210" s="35"/>
      <c r="D1210" s="35"/>
      <c r="E1210" s="35"/>
      <c r="F1210" s="31"/>
    </row>
    <row r="1211" spans="1:6" ht="22.5" hidden="1" customHeight="1" x14ac:dyDescent="0.2">
      <c r="A1211" s="23"/>
      <c r="B1211" s="34"/>
      <c r="C1211" s="35"/>
      <c r="D1211" s="35"/>
      <c r="E1211" s="35"/>
      <c r="F1211" s="31"/>
    </row>
    <row r="1212" spans="1:6" ht="22.5" hidden="1" customHeight="1" x14ac:dyDescent="0.2">
      <c r="A1212" s="23"/>
      <c r="B1212" s="34"/>
      <c r="C1212" s="35"/>
      <c r="D1212" s="35"/>
      <c r="E1212" s="35"/>
      <c r="F1212" s="31"/>
    </row>
    <row r="1213" spans="1:6" ht="22.5" hidden="1" customHeight="1" x14ac:dyDescent="0.2">
      <c r="A1213" s="23"/>
      <c r="B1213" s="34"/>
      <c r="C1213" s="35"/>
      <c r="D1213" s="35"/>
      <c r="E1213" s="35"/>
      <c r="F1213" s="31"/>
    </row>
    <row r="1214" spans="1:6" ht="22.5" hidden="1" customHeight="1" x14ac:dyDescent="0.2">
      <c r="A1214" s="23"/>
      <c r="B1214" s="34"/>
      <c r="C1214" s="35"/>
      <c r="D1214" s="35"/>
      <c r="E1214" s="35"/>
      <c r="F1214" s="31"/>
    </row>
    <row r="1215" spans="1:6" ht="22.5" hidden="1" customHeight="1" x14ac:dyDescent="0.2">
      <c r="A1215" s="23"/>
      <c r="B1215" s="34"/>
      <c r="C1215" s="35"/>
      <c r="D1215" s="35"/>
      <c r="E1215" s="35"/>
      <c r="F1215" s="31"/>
    </row>
    <row r="1216" spans="1:6" ht="22.5" hidden="1" customHeight="1" x14ac:dyDescent="0.2">
      <c r="A1216" s="23"/>
      <c r="B1216" s="34"/>
      <c r="C1216" s="35"/>
      <c r="D1216" s="35"/>
      <c r="E1216" s="35"/>
      <c r="F1216" s="31"/>
    </row>
    <row r="1217" spans="1:6" ht="22.5" hidden="1" customHeight="1" x14ac:dyDescent="0.2">
      <c r="A1217" s="23"/>
      <c r="B1217" s="34"/>
      <c r="C1217" s="35"/>
      <c r="D1217" s="35"/>
      <c r="E1217" s="35"/>
      <c r="F1217" s="31"/>
    </row>
    <row r="1218" spans="1:6" ht="22.5" hidden="1" customHeight="1" x14ac:dyDescent="0.2">
      <c r="A1218" s="23"/>
      <c r="B1218" s="34"/>
      <c r="C1218" s="35"/>
      <c r="D1218" s="35"/>
      <c r="E1218" s="35"/>
      <c r="F1218" s="31"/>
    </row>
    <row r="1219" spans="1:6" ht="22.5" hidden="1" customHeight="1" x14ac:dyDescent="0.2">
      <c r="A1219" s="23"/>
      <c r="B1219" s="34"/>
      <c r="C1219" s="35"/>
      <c r="D1219" s="35"/>
      <c r="E1219" s="35"/>
      <c r="F1219" s="31"/>
    </row>
    <row r="1220" spans="1:6" ht="22.5" hidden="1" customHeight="1" x14ac:dyDescent="0.2">
      <c r="A1220" s="23"/>
      <c r="B1220" s="34"/>
      <c r="C1220" s="35"/>
      <c r="D1220" s="35"/>
      <c r="E1220" s="35"/>
      <c r="F1220" s="31"/>
    </row>
    <row r="1221" spans="1:6" ht="22.5" hidden="1" customHeight="1" x14ac:dyDescent="0.2">
      <c r="A1221" s="23"/>
      <c r="B1221" s="34"/>
      <c r="C1221" s="35"/>
      <c r="D1221" s="35"/>
      <c r="E1221" s="35"/>
      <c r="F1221" s="31"/>
    </row>
    <row r="1222" spans="1:6" ht="22.5" hidden="1" customHeight="1" x14ac:dyDescent="0.2">
      <c r="A1222" s="23"/>
      <c r="B1222" s="34"/>
      <c r="C1222" s="35"/>
      <c r="D1222" s="35"/>
      <c r="E1222" s="35"/>
      <c r="F1222" s="31"/>
    </row>
    <row r="1223" spans="1:6" ht="22.5" hidden="1" customHeight="1" x14ac:dyDescent="0.2">
      <c r="A1223" s="23"/>
      <c r="B1223" s="34"/>
      <c r="C1223" s="35"/>
      <c r="D1223" s="35"/>
      <c r="E1223" s="35"/>
      <c r="F1223" s="31"/>
    </row>
    <row r="1224" spans="1:6" ht="22.5" hidden="1" customHeight="1" x14ac:dyDescent="0.2">
      <c r="A1224" s="23"/>
      <c r="B1224" s="34"/>
      <c r="C1224" s="35"/>
      <c r="D1224" s="35"/>
      <c r="E1224" s="35"/>
      <c r="F1224" s="31"/>
    </row>
    <row r="1225" spans="1:6" ht="22.5" hidden="1" customHeight="1" x14ac:dyDescent="0.2">
      <c r="A1225" s="23"/>
      <c r="B1225" s="34"/>
      <c r="C1225" s="35"/>
      <c r="D1225" s="35"/>
      <c r="E1225" s="35"/>
      <c r="F1225" s="31"/>
    </row>
    <row r="1226" spans="1:6" ht="22.5" hidden="1" customHeight="1" x14ac:dyDescent="0.2">
      <c r="A1226" s="23"/>
      <c r="B1226" s="34"/>
      <c r="C1226" s="35"/>
      <c r="D1226" s="35"/>
      <c r="E1226" s="35"/>
      <c r="F1226" s="31"/>
    </row>
    <row r="1227" spans="1:6" ht="22.5" hidden="1" customHeight="1" x14ac:dyDescent="0.2">
      <c r="A1227" s="23"/>
      <c r="B1227" s="34"/>
      <c r="C1227" s="35"/>
      <c r="D1227" s="35"/>
      <c r="E1227" s="35"/>
      <c r="F1227" s="31"/>
    </row>
    <row r="1228" spans="1:6" ht="22.5" hidden="1" customHeight="1" x14ac:dyDescent="0.2">
      <c r="A1228" s="23"/>
      <c r="B1228" s="34"/>
      <c r="C1228" s="35"/>
      <c r="D1228" s="35"/>
      <c r="E1228" s="35"/>
      <c r="F1228" s="31"/>
    </row>
    <row r="1229" spans="1:6" ht="22.5" hidden="1" customHeight="1" x14ac:dyDescent="0.2">
      <c r="A1229" s="23"/>
      <c r="B1229" s="34"/>
      <c r="C1229" s="35"/>
      <c r="D1229" s="35"/>
      <c r="E1229" s="35"/>
      <c r="F1229" s="31"/>
    </row>
    <row r="1230" spans="1:6" ht="22.5" hidden="1" customHeight="1" x14ac:dyDescent="0.2">
      <c r="A1230" s="23"/>
      <c r="B1230" s="34"/>
      <c r="C1230" s="35"/>
      <c r="D1230" s="35"/>
      <c r="E1230" s="35"/>
      <c r="F1230" s="31"/>
    </row>
    <row r="1231" spans="1:6" ht="22.5" hidden="1" customHeight="1" x14ac:dyDescent="0.2">
      <c r="A1231" s="23"/>
      <c r="B1231" s="34"/>
      <c r="C1231" s="35"/>
      <c r="D1231" s="35"/>
      <c r="E1231" s="35"/>
      <c r="F1231" s="31"/>
    </row>
    <row r="1232" spans="1:6" ht="22.5" hidden="1" customHeight="1" x14ac:dyDescent="0.2">
      <c r="A1232" s="23"/>
      <c r="B1232" s="34"/>
      <c r="C1232" s="35"/>
      <c r="D1232" s="35"/>
      <c r="E1232" s="35"/>
      <c r="F1232" s="31"/>
    </row>
    <row r="1233" spans="1:6" ht="22.5" hidden="1" customHeight="1" x14ac:dyDescent="0.2">
      <c r="A1233" s="23"/>
      <c r="B1233" s="34"/>
      <c r="C1233" s="35"/>
      <c r="D1233" s="35"/>
      <c r="E1233" s="35"/>
      <c r="F1233" s="31"/>
    </row>
    <row r="1234" spans="1:6" ht="22.5" hidden="1" customHeight="1" x14ac:dyDescent="0.2">
      <c r="A1234" s="23"/>
      <c r="B1234" s="34"/>
      <c r="C1234" s="35"/>
      <c r="D1234" s="35"/>
      <c r="E1234" s="35"/>
      <c r="F1234" s="31"/>
    </row>
    <row r="1235" spans="1:6" ht="22.5" hidden="1" customHeight="1" x14ac:dyDescent="0.2">
      <c r="A1235" s="23"/>
      <c r="B1235" s="34"/>
      <c r="C1235" s="35"/>
      <c r="D1235" s="35"/>
      <c r="E1235" s="35"/>
      <c r="F1235" s="31"/>
    </row>
    <row r="1236" spans="1:6" ht="22.5" hidden="1" customHeight="1" x14ac:dyDescent="0.2">
      <c r="A1236" s="23"/>
      <c r="B1236" s="34"/>
      <c r="C1236" s="35"/>
      <c r="D1236" s="35"/>
      <c r="E1236" s="35"/>
      <c r="F1236" s="31"/>
    </row>
    <row r="1237" spans="1:6" ht="22.5" hidden="1" customHeight="1" x14ac:dyDescent="0.2">
      <c r="A1237" s="23"/>
      <c r="B1237" s="34"/>
      <c r="C1237" s="35"/>
      <c r="D1237" s="35"/>
      <c r="E1237" s="35"/>
      <c r="F1237" s="31"/>
    </row>
    <row r="1238" spans="1:6" ht="22.5" hidden="1" customHeight="1" x14ac:dyDescent="0.2">
      <c r="A1238" s="23"/>
      <c r="B1238" s="34"/>
      <c r="C1238" s="35"/>
      <c r="D1238" s="35"/>
      <c r="E1238" s="35"/>
      <c r="F1238" s="31"/>
    </row>
    <row r="1239" spans="1:6" ht="22.5" hidden="1" customHeight="1" x14ac:dyDescent="0.2">
      <c r="A1239" s="23"/>
      <c r="B1239" s="34"/>
      <c r="C1239" s="35"/>
      <c r="D1239" s="35"/>
      <c r="E1239" s="35"/>
      <c r="F1239" s="31"/>
    </row>
    <row r="1240" spans="1:6" ht="22.5" hidden="1" customHeight="1" x14ac:dyDescent="0.2">
      <c r="A1240" s="23"/>
      <c r="B1240" s="34"/>
      <c r="C1240" s="35"/>
      <c r="D1240" s="35"/>
      <c r="E1240" s="35"/>
      <c r="F1240" s="31"/>
    </row>
    <row r="1241" spans="1:6" ht="22.5" hidden="1" customHeight="1" x14ac:dyDescent="0.2">
      <c r="A1241" s="23"/>
      <c r="B1241" s="34"/>
      <c r="C1241" s="35"/>
      <c r="D1241" s="35"/>
      <c r="E1241" s="35"/>
      <c r="F1241" s="31"/>
    </row>
    <row r="1242" spans="1:6" ht="22.5" hidden="1" customHeight="1" x14ac:dyDescent="0.2">
      <c r="A1242" s="23"/>
      <c r="B1242" s="34"/>
      <c r="C1242" s="35"/>
      <c r="D1242" s="35"/>
      <c r="E1242" s="35"/>
      <c r="F1242" s="31"/>
    </row>
    <row r="1243" spans="1:6" ht="22.5" hidden="1" customHeight="1" x14ac:dyDescent="0.2">
      <c r="A1243" s="23"/>
      <c r="B1243" s="34"/>
      <c r="C1243" s="35"/>
      <c r="D1243" s="35"/>
      <c r="E1243" s="35"/>
      <c r="F1243" s="31"/>
    </row>
    <row r="1244" spans="1:6" ht="22.5" hidden="1" customHeight="1" x14ac:dyDescent="0.2">
      <c r="A1244" s="23"/>
      <c r="B1244" s="34"/>
      <c r="C1244" s="35"/>
      <c r="D1244" s="35"/>
      <c r="E1244" s="35"/>
      <c r="F1244" s="31"/>
    </row>
    <row r="1245" spans="1:6" ht="22.5" hidden="1" customHeight="1" x14ac:dyDescent="0.2">
      <c r="A1245" s="23"/>
      <c r="B1245" s="34"/>
      <c r="C1245" s="35"/>
      <c r="D1245" s="35"/>
      <c r="E1245" s="35"/>
      <c r="F1245" s="31"/>
    </row>
    <row r="1246" spans="1:6" ht="22.5" hidden="1" customHeight="1" x14ac:dyDescent="0.2">
      <c r="A1246" s="23"/>
      <c r="B1246" s="34"/>
      <c r="C1246" s="35"/>
      <c r="D1246" s="35"/>
      <c r="E1246" s="35"/>
      <c r="F1246" s="31"/>
    </row>
    <row r="1247" spans="1:6" ht="22.5" hidden="1" customHeight="1" x14ac:dyDescent="0.2">
      <c r="A1247" s="23"/>
      <c r="B1247" s="34"/>
      <c r="C1247" s="35"/>
      <c r="D1247" s="35"/>
      <c r="E1247" s="35"/>
      <c r="F1247" s="31"/>
    </row>
    <row r="1248" spans="1:6" ht="22.5" hidden="1" customHeight="1" x14ac:dyDescent="0.2">
      <c r="A1248" s="23"/>
      <c r="B1248" s="34"/>
      <c r="C1248" s="35"/>
      <c r="D1248" s="35"/>
      <c r="E1248" s="35"/>
      <c r="F1248" s="31"/>
    </row>
    <row r="1249" spans="1:6" ht="22.5" hidden="1" customHeight="1" x14ac:dyDescent="0.2">
      <c r="A1249" s="23"/>
      <c r="B1249" s="34"/>
      <c r="C1249" s="35"/>
      <c r="D1249" s="35"/>
      <c r="E1249" s="35"/>
      <c r="F1249" s="31"/>
    </row>
    <row r="1250" spans="1:6" ht="22.5" hidden="1" customHeight="1" x14ac:dyDescent="0.2">
      <c r="A1250" s="23"/>
      <c r="B1250" s="34"/>
      <c r="C1250" s="35"/>
      <c r="D1250" s="35"/>
      <c r="E1250" s="35"/>
      <c r="F1250" s="31"/>
    </row>
    <row r="1251" spans="1:6" ht="22.5" hidden="1" customHeight="1" x14ac:dyDescent="0.2">
      <c r="A1251" s="23"/>
      <c r="B1251" s="34"/>
      <c r="C1251" s="35"/>
      <c r="D1251" s="35"/>
      <c r="E1251" s="35"/>
      <c r="F1251" s="31"/>
    </row>
    <row r="1252" spans="1:6" ht="22.5" hidden="1" customHeight="1" x14ac:dyDescent="0.2">
      <c r="A1252" s="23"/>
      <c r="B1252" s="34"/>
      <c r="C1252" s="35"/>
      <c r="D1252" s="35"/>
      <c r="E1252" s="35"/>
      <c r="F1252" s="31"/>
    </row>
    <row r="1253" spans="1:6" ht="22.5" hidden="1" customHeight="1" x14ac:dyDescent="0.2">
      <c r="A1253" s="23"/>
      <c r="B1253" s="34"/>
      <c r="C1253" s="35"/>
      <c r="D1253" s="35"/>
      <c r="E1253" s="35"/>
      <c r="F1253" s="31"/>
    </row>
    <row r="1254" spans="1:6" ht="22.5" hidden="1" customHeight="1" x14ac:dyDescent="0.2">
      <c r="A1254" s="23"/>
      <c r="B1254" s="34"/>
      <c r="C1254" s="35"/>
      <c r="D1254" s="35"/>
      <c r="E1254" s="35"/>
      <c r="F1254" s="31"/>
    </row>
    <row r="1255" spans="1:6" ht="22.5" hidden="1" customHeight="1" x14ac:dyDescent="0.2">
      <c r="A1255" s="23"/>
      <c r="B1255" s="34"/>
      <c r="C1255" s="35"/>
      <c r="D1255" s="35"/>
      <c r="E1255" s="35"/>
      <c r="F1255" s="31"/>
    </row>
    <row r="1256" spans="1:6" ht="22.5" hidden="1" customHeight="1" x14ac:dyDescent="0.2">
      <c r="A1256" s="23"/>
      <c r="B1256" s="34"/>
      <c r="C1256" s="35"/>
      <c r="D1256" s="35"/>
      <c r="E1256" s="35"/>
      <c r="F1256" s="31"/>
    </row>
    <row r="1257" spans="1:6" ht="22.5" hidden="1" customHeight="1" x14ac:dyDescent="0.2">
      <c r="A1257" s="23"/>
      <c r="B1257" s="34"/>
      <c r="C1257" s="35"/>
      <c r="D1257" s="35"/>
      <c r="E1257" s="35"/>
      <c r="F1257" s="31"/>
    </row>
    <row r="1258" spans="1:6" ht="22.5" hidden="1" customHeight="1" x14ac:dyDescent="0.2">
      <c r="A1258" s="23"/>
      <c r="B1258" s="34"/>
      <c r="C1258" s="35"/>
      <c r="D1258" s="35"/>
      <c r="E1258" s="35"/>
      <c r="F1258" s="31"/>
    </row>
    <row r="1259" spans="1:6" ht="22.5" hidden="1" customHeight="1" x14ac:dyDescent="0.2">
      <c r="A1259" s="23"/>
      <c r="B1259" s="34"/>
      <c r="C1259" s="35"/>
      <c r="D1259" s="35"/>
      <c r="E1259" s="35"/>
      <c r="F1259" s="31"/>
    </row>
    <row r="1260" spans="1:6" ht="22.5" hidden="1" customHeight="1" x14ac:dyDescent="0.2">
      <c r="A1260" s="23"/>
      <c r="B1260" s="34"/>
      <c r="C1260" s="35"/>
      <c r="D1260" s="35"/>
      <c r="E1260" s="35"/>
      <c r="F1260" s="31"/>
    </row>
    <row r="1261" spans="1:6" ht="22.5" hidden="1" customHeight="1" x14ac:dyDescent="0.2">
      <c r="A1261" s="23"/>
      <c r="B1261" s="34"/>
      <c r="C1261" s="35"/>
      <c r="D1261" s="35"/>
      <c r="E1261" s="35"/>
      <c r="F1261" s="31"/>
    </row>
    <row r="1262" spans="1:6" ht="22.5" hidden="1" customHeight="1" x14ac:dyDescent="0.2">
      <c r="A1262" s="23"/>
      <c r="B1262" s="34"/>
      <c r="C1262" s="35"/>
      <c r="D1262" s="35"/>
      <c r="E1262" s="35"/>
      <c r="F1262" s="31"/>
    </row>
    <row r="1263" spans="1:6" ht="22.5" hidden="1" customHeight="1" x14ac:dyDescent="0.2">
      <c r="A1263" s="23"/>
      <c r="B1263" s="34"/>
      <c r="C1263" s="35"/>
      <c r="D1263" s="35"/>
      <c r="E1263" s="35"/>
      <c r="F1263" s="31"/>
    </row>
    <row r="1264" spans="1:6" ht="22.5" hidden="1" customHeight="1" x14ac:dyDescent="0.2">
      <c r="A1264" s="23"/>
      <c r="B1264" s="34"/>
      <c r="C1264" s="35"/>
      <c r="D1264" s="35"/>
      <c r="E1264" s="35"/>
      <c r="F1264" s="31"/>
    </row>
    <row r="1265" spans="1:6" ht="22.5" hidden="1" customHeight="1" x14ac:dyDescent="0.2">
      <c r="A1265" s="23"/>
      <c r="B1265" s="34"/>
      <c r="C1265" s="35"/>
      <c r="D1265" s="35"/>
      <c r="E1265" s="35"/>
      <c r="F1265" s="31"/>
    </row>
    <row r="1266" spans="1:6" ht="22.5" hidden="1" customHeight="1" x14ac:dyDescent="0.2">
      <c r="A1266" s="23"/>
      <c r="B1266" s="34"/>
      <c r="C1266" s="35"/>
      <c r="D1266" s="35"/>
      <c r="E1266" s="35"/>
      <c r="F1266" s="31"/>
    </row>
    <row r="1267" spans="1:6" ht="22.5" hidden="1" customHeight="1" x14ac:dyDescent="0.2">
      <c r="A1267" s="23"/>
      <c r="B1267" s="34"/>
      <c r="C1267" s="35"/>
      <c r="D1267" s="35"/>
      <c r="E1267" s="35"/>
      <c r="F1267" s="31"/>
    </row>
    <row r="1268" spans="1:6" ht="22.5" hidden="1" customHeight="1" x14ac:dyDescent="0.2">
      <c r="A1268" s="23"/>
      <c r="B1268" s="34"/>
      <c r="C1268" s="35"/>
      <c r="D1268" s="35"/>
      <c r="E1268" s="35"/>
      <c r="F1268" s="31"/>
    </row>
    <row r="1269" spans="1:6" ht="22.5" hidden="1" customHeight="1" x14ac:dyDescent="0.2">
      <c r="A1269" s="23"/>
      <c r="B1269" s="34"/>
      <c r="C1269" s="35"/>
      <c r="D1269" s="35"/>
      <c r="E1269" s="35"/>
      <c r="F1269" s="31"/>
    </row>
    <row r="1270" spans="1:6" ht="22.5" hidden="1" customHeight="1" x14ac:dyDescent="0.2">
      <c r="A1270" s="23"/>
      <c r="B1270" s="34"/>
      <c r="C1270" s="35"/>
      <c r="D1270" s="35"/>
      <c r="E1270" s="35"/>
      <c r="F1270" s="31"/>
    </row>
    <row r="1271" spans="1:6" ht="22.5" hidden="1" customHeight="1" x14ac:dyDescent="0.2">
      <c r="A1271" s="23"/>
      <c r="B1271" s="34"/>
      <c r="C1271" s="35"/>
      <c r="D1271" s="35"/>
      <c r="E1271" s="35"/>
      <c r="F1271" s="31"/>
    </row>
    <row r="1272" spans="1:6" ht="22.5" hidden="1" customHeight="1" x14ac:dyDescent="0.2">
      <c r="A1272" s="23"/>
      <c r="B1272" s="34"/>
      <c r="C1272" s="35"/>
      <c r="D1272" s="35"/>
      <c r="E1272" s="35"/>
      <c r="F1272" s="31"/>
    </row>
    <row r="1273" spans="1:6" ht="22.5" hidden="1" customHeight="1" x14ac:dyDescent="0.2">
      <c r="A1273" s="23"/>
      <c r="B1273" s="34"/>
      <c r="C1273" s="35"/>
      <c r="D1273" s="35"/>
      <c r="E1273" s="35"/>
      <c r="F1273" s="31"/>
    </row>
    <row r="1274" spans="1:6" ht="22.5" hidden="1" customHeight="1" x14ac:dyDescent="0.2">
      <c r="A1274" s="23"/>
      <c r="B1274" s="34"/>
      <c r="C1274" s="35"/>
      <c r="D1274" s="35"/>
      <c r="E1274" s="35"/>
      <c r="F1274" s="31"/>
    </row>
    <row r="1275" spans="1:6" ht="22.5" hidden="1" customHeight="1" x14ac:dyDescent="0.2">
      <c r="A1275" s="23"/>
      <c r="B1275" s="34"/>
      <c r="C1275" s="35"/>
      <c r="D1275" s="35"/>
      <c r="E1275" s="35"/>
      <c r="F1275" s="31"/>
    </row>
    <row r="1276" spans="1:6" ht="22.5" hidden="1" customHeight="1" x14ac:dyDescent="0.2">
      <c r="A1276" s="23"/>
      <c r="B1276" s="34"/>
      <c r="C1276" s="35"/>
      <c r="D1276" s="35"/>
      <c r="E1276" s="35"/>
      <c r="F1276" s="31"/>
    </row>
    <row r="1277" spans="1:6" ht="22.5" hidden="1" customHeight="1" x14ac:dyDescent="0.2">
      <c r="A1277" s="23"/>
      <c r="B1277" s="34"/>
      <c r="C1277" s="35"/>
      <c r="D1277" s="35"/>
      <c r="E1277" s="35"/>
      <c r="F1277" s="31"/>
    </row>
    <row r="1278" spans="1:6" ht="22.5" hidden="1" customHeight="1" x14ac:dyDescent="0.2">
      <c r="A1278" s="23"/>
      <c r="B1278" s="34"/>
      <c r="C1278" s="35"/>
      <c r="D1278" s="35"/>
      <c r="E1278" s="35"/>
      <c r="F1278" s="31"/>
    </row>
    <row r="1279" spans="1:6" ht="22.5" hidden="1" customHeight="1" x14ac:dyDescent="0.2">
      <c r="A1279" s="23"/>
      <c r="B1279" s="34"/>
      <c r="C1279" s="35"/>
      <c r="D1279" s="35"/>
      <c r="E1279" s="35"/>
      <c r="F1279" s="31"/>
    </row>
    <row r="1280" spans="1:6" ht="22.5" hidden="1" customHeight="1" x14ac:dyDescent="0.2">
      <c r="A1280" s="23"/>
      <c r="B1280" s="34"/>
      <c r="C1280" s="35"/>
      <c r="D1280" s="35"/>
      <c r="E1280" s="35"/>
      <c r="F1280" s="31"/>
    </row>
    <row r="1281" spans="1:6" ht="22.5" hidden="1" customHeight="1" x14ac:dyDescent="0.2">
      <c r="A1281" s="23"/>
      <c r="B1281" s="34"/>
      <c r="C1281" s="35"/>
      <c r="D1281" s="35"/>
      <c r="E1281" s="35"/>
      <c r="F1281" s="31"/>
    </row>
    <row r="1282" spans="1:6" ht="22.5" hidden="1" customHeight="1" x14ac:dyDescent="0.2">
      <c r="A1282" s="23"/>
      <c r="B1282" s="34"/>
      <c r="C1282" s="35"/>
      <c r="D1282" s="35"/>
      <c r="E1282" s="35"/>
      <c r="F1282" s="31"/>
    </row>
    <row r="1283" spans="1:6" ht="22.5" hidden="1" customHeight="1" x14ac:dyDescent="0.2">
      <c r="A1283" s="23"/>
      <c r="B1283" s="34"/>
      <c r="C1283" s="35"/>
      <c r="D1283" s="35"/>
      <c r="E1283" s="35"/>
      <c r="F1283" s="31"/>
    </row>
    <row r="1284" spans="1:6" ht="22.5" hidden="1" customHeight="1" x14ac:dyDescent="0.2">
      <c r="A1284" s="23"/>
      <c r="B1284" s="34"/>
      <c r="C1284" s="35"/>
      <c r="D1284" s="35"/>
      <c r="E1284" s="35"/>
      <c r="F1284" s="31"/>
    </row>
    <row r="1285" spans="1:6" ht="22.5" hidden="1" customHeight="1" x14ac:dyDescent="0.2">
      <c r="A1285" s="23"/>
      <c r="B1285" s="34"/>
      <c r="C1285" s="35"/>
      <c r="D1285" s="35"/>
      <c r="E1285" s="35"/>
      <c r="F1285" s="31"/>
    </row>
    <row r="1286" spans="1:6" ht="22.5" hidden="1" customHeight="1" x14ac:dyDescent="0.2">
      <c r="A1286" s="23"/>
      <c r="B1286" s="34"/>
      <c r="C1286" s="35"/>
      <c r="D1286" s="35"/>
      <c r="E1286" s="35"/>
      <c r="F1286" s="31"/>
    </row>
    <row r="1287" spans="1:6" ht="22.5" hidden="1" customHeight="1" x14ac:dyDescent="0.2">
      <c r="A1287" s="23"/>
      <c r="B1287" s="34"/>
      <c r="C1287" s="35"/>
      <c r="D1287" s="35"/>
      <c r="E1287" s="35"/>
      <c r="F1287" s="31"/>
    </row>
    <row r="1288" spans="1:6" ht="22.5" hidden="1" customHeight="1" x14ac:dyDescent="0.2">
      <c r="A1288" s="23"/>
      <c r="B1288" s="34"/>
      <c r="C1288" s="35"/>
      <c r="D1288" s="35"/>
      <c r="E1288" s="35"/>
      <c r="F1288" s="31"/>
    </row>
    <row r="1289" spans="1:6" ht="22.5" hidden="1" customHeight="1" x14ac:dyDescent="0.2">
      <c r="A1289" s="23"/>
      <c r="B1289" s="34"/>
      <c r="C1289" s="35"/>
      <c r="D1289" s="35"/>
      <c r="E1289" s="35"/>
      <c r="F1289" s="31"/>
    </row>
    <row r="1290" spans="1:6" ht="22.5" hidden="1" customHeight="1" x14ac:dyDescent="0.2">
      <c r="A1290" s="23"/>
      <c r="B1290" s="34"/>
      <c r="C1290" s="35"/>
      <c r="D1290" s="35"/>
      <c r="E1290" s="35"/>
      <c r="F1290" s="31"/>
    </row>
    <row r="1291" spans="1:6" ht="22.5" hidden="1" customHeight="1" x14ac:dyDescent="0.2">
      <c r="A1291" s="23"/>
      <c r="B1291" s="34"/>
      <c r="C1291" s="35"/>
      <c r="D1291" s="35"/>
      <c r="E1291" s="35"/>
      <c r="F1291" s="31"/>
    </row>
    <row r="1292" spans="1:6" ht="22.5" hidden="1" customHeight="1" x14ac:dyDescent="0.2">
      <c r="A1292" s="23"/>
      <c r="B1292" s="34"/>
      <c r="C1292" s="35"/>
      <c r="D1292" s="35"/>
      <c r="E1292" s="35"/>
      <c r="F1292" s="31"/>
    </row>
    <row r="1293" spans="1:6" ht="22.5" hidden="1" customHeight="1" x14ac:dyDescent="0.2">
      <c r="A1293" s="23"/>
      <c r="B1293" s="34"/>
      <c r="C1293" s="35"/>
      <c r="D1293" s="35"/>
      <c r="E1293" s="35"/>
      <c r="F1293" s="31"/>
    </row>
    <row r="1294" spans="1:6" ht="22.5" hidden="1" customHeight="1" x14ac:dyDescent="0.2">
      <c r="A1294" s="23"/>
      <c r="B1294" s="34"/>
      <c r="C1294" s="35"/>
      <c r="D1294" s="35"/>
      <c r="E1294" s="35"/>
      <c r="F1294" s="31"/>
    </row>
    <row r="1295" spans="1:6" ht="22.5" hidden="1" customHeight="1" x14ac:dyDescent="0.2">
      <c r="A1295" s="23"/>
      <c r="B1295" s="34"/>
      <c r="C1295" s="35"/>
      <c r="D1295" s="35"/>
      <c r="E1295" s="35"/>
      <c r="F1295" s="31"/>
    </row>
    <row r="1296" spans="1:6" ht="22.5" hidden="1" customHeight="1" x14ac:dyDescent="0.2">
      <c r="A1296" s="23"/>
      <c r="B1296" s="34"/>
      <c r="C1296" s="35"/>
      <c r="D1296" s="35"/>
      <c r="E1296" s="35"/>
      <c r="F1296" s="31"/>
    </row>
    <row r="1297" spans="1:6" ht="22.5" hidden="1" customHeight="1" x14ac:dyDescent="0.2">
      <c r="A1297" s="23"/>
      <c r="B1297" s="34"/>
      <c r="C1297" s="35"/>
      <c r="D1297" s="35"/>
      <c r="E1297" s="35"/>
      <c r="F1297" s="31"/>
    </row>
    <row r="1298" spans="1:6" ht="22.5" hidden="1" customHeight="1" x14ac:dyDescent="0.2">
      <c r="A1298" s="23"/>
      <c r="B1298" s="34"/>
      <c r="C1298" s="35"/>
      <c r="D1298" s="35"/>
      <c r="E1298" s="35"/>
      <c r="F1298" s="31"/>
    </row>
    <row r="1299" spans="1:6" ht="22.5" hidden="1" customHeight="1" x14ac:dyDescent="0.2">
      <c r="A1299" s="23"/>
      <c r="B1299" s="34"/>
      <c r="C1299" s="35"/>
      <c r="D1299" s="35"/>
      <c r="E1299" s="35"/>
      <c r="F1299" s="31"/>
    </row>
    <row r="1300" spans="1:6" ht="22.5" hidden="1" customHeight="1" x14ac:dyDescent="0.2">
      <c r="A1300" s="23"/>
      <c r="B1300" s="34"/>
      <c r="C1300" s="35"/>
      <c r="D1300" s="35"/>
      <c r="E1300" s="35"/>
      <c r="F1300" s="31"/>
    </row>
    <row r="1301" spans="1:6" ht="22.5" hidden="1" customHeight="1" x14ac:dyDescent="0.2">
      <c r="A1301" s="23"/>
      <c r="B1301" s="34"/>
      <c r="C1301" s="35"/>
      <c r="D1301" s="35"/>
      <c r="E1301" s="35"/>
      <c r="F1301" s="31"/>
    </row>
    <row r="1302" spans="1:6" ht="22.5" hidden="1" customHeight="1" x14ac:dyDescent="0.2">
      <c r="A1302" s="23"/>
      <c r="B1302" s="34"/>
      <c r="C1302" s="35"/>
      <c r="D1302" s="35"/>
      <c r="E1302" s="35"/>
      <c r="F1302" s="31"/>
    </row>
    <row r="1303" spans="1:6" ht="22.5" hidden="1" customHeight="1" x14ac:dyDescent="0.2">
      <c r="A1303" s="23"/>
      <c r="B1303" s="34"/>
      <c r="C1303" s="35"/>
      <c r="D1303" s="35"/>
      <c r="E1303" s="35"/>
      <c r="F1303" s="31"/>
    </row>
    <row r="1304" spans="1:6" ht="22.5" hidden="1" customHeight="1" x14ac:dyDescent="0.2">
      <c r="A1304" s="23"/>
      <c r="B1304" s="34"/>
      <c r="C1304" s="35"/>
      <c r="D1304" s="35"/>
      <c r="E1304" s="35"/>
      <c r="F1304" s="31"/>
    </row>
    <row r="1305" spans="1:6" ht="22.5" hidden="1" customHeight="1" x14ac:dyDescent="0.2">
      <c r="A1305" s="23"/>
      <c r="B1305" s="34"/>
      <c r="C1305" s="35"/>
      <c r="D1305" s="35"/>
      <c r="E1305" s="35"/>
      <c r="F1305" s="31"/>
    </row>
    <row r="1306" spans="1:6" ht="22.5" hidden="1" customHeight="1" x14ac:dyDescent="0.2">
      <c r="A1306" s="23"/>
      <c r="B1306" s="34"/>
      <c r="C1306" s="35"/>
      <c r="D1306" s="35"/>
      <c r="E1306" s="35"/>
      <c r="F1306" s="31"/>
    </row>
    <row r="1307" spans="1:6" ht="22.5" hidden="1" customHeight="1" x14ac:dyDescent="0.2">
      <c r="A1307" s="23"/>
      <c r="B1307" s="34"/>
      <c r="C1307" s="35"/>
      <c r="D1307" s="35"/>
      <c r="E1307" s="35"/>
      <c r="F1307" s="31"/>
    </row>
    <row r="1308" spans="1:6" ht="22.5" hidden="1" customHeight="1" x14ac:dyDescent="0.2">
      <c r="A1308" s="23"/>
      <c r="B1308" s="34"/>
      <c r="C1308" s="35"/>
      <c r="D1308" s="35"/>
      <c r="E1308" s="35"/>
      <c r="F1308" s="31"/>
    </row>
    <row r="1309" spans="1:6" ht="22.5" hidden="1" customHeight="1" x14ac:dyDescent="0.2">
      <c r="A1309" s="23"/>
      <c r="B1309" s="34"/>
      <c r="C1309" s="35"/>
      <c r="D1309" s="35"/>
      <c r="E1309" s="35"/>
      <c r="F1309" s="31"/>
    </row>
    <row r="1310" spans="1:6" ht="22.5" hidden="1" customHeight="1" x14ac:dyDescent="0.2">
      <c r="A1310" s="23"/>
      <c r="B1310" s="34"/>
      <c r="C1310" s="35"/>
      <c r="D1310" s="35"/>
      <c r="E1310" s="35"/>
      <c r="F1310" s="31"/>
    </row>
    <row r="1311" spans="1:6" ht="22.5" hidden="1" customHeight="1" x14ac:dyDescent="0.2">
      <c r="A1311" s="23"/>
      <c r="B1311" s="34"/>
      <c r="C1311" s="35"/>
      <c r="D1311" s="35"/>
      <c r="E1311" s="35"/>
      <c r="F1311" s="31"/>
    </row>
    <row r="1312" spans="1:6" ht="22.5" hidden="1" customHeight="1" x14ac:dyDescent="0.2">
      <c r="A1312" s="23"/>
      <c r="B1312" s="34"/>
      <c r="C1312" s="35"/>
      <c r="D1312" s="35"/>
      <c r="E1312" s="35"/>
      <c r="F1312" s="31"/>
    </row>
    <row r="1313" spans="1:6" ht="22.5" hidden="1" customHeight="1" x14ac:dyDescent="0.2">
      <c r="A1313" s="23"/>
      <c r="B1313" s="34"/>
      <c r="C1313" s="35"/>
      <c r="D1313" s="35"/>
      <c r="E1313" s="35"/>
      <c r="F1313" s="31"/>
    </row>
    <row r="1314" spans="1:6" ht="22.5" hidden="1" customHeight="1" x14ac:dyDescent="0.2">
      <c r="A1314" s="23"/>
      <c r="B1314" s="34"/>
      <c r="C1314" s="35"/>
      <c r="D1314" s="35"/>
      <c r="E1314" s="35"/>
      <c r="F1314" s="31"/>
    </row>
    <row r="1315" spans="1:6" ht="22.5" hidden="1" customHeight="1" x14ac:dyDescent="0.2">
      <c r="A1315" s="23"/>
      <c r="B1315" s="34"/>
      <c r="C1315" s="35"/>
      <c r="D1315" s="35"/>
      <c r="E1315" s="35"/>
      <c r="F1315" s="31"/>
    </row>
    <row r="1316" spans="1:6" ht="22.5" hidden="1" customHeight="1" x14ac:dyDescent="0.2">
      <c r="A1316" s="23"/>
      <c r="B1316" s="34"/>
      <c r="C1316" s="35"/>
      <c r="D1316" s="35"/>
      <c r="E1316" s="35"/>
      <c r="F1316" s="31"/>
    </row>
    <row r="1317" spans="1:6" ht="22.5" hidden="1" customHeight="1" x14ac:dyDescent="0.2">
      <c r="A1317" s="23"/>
      <c r="B1317" s="34"/>
      <c r="C1317" s="35"/>
      <c r="D1317" s="35"/>
      <c r="E1317" s="35"/>
      <c r="F1317" s="31"/>
    </row>
    <row r="1318" spans="1:6" ht="22.5" hidden="1" customHeight="1" x14ac:dyDescent="0.2">
      <c r="A1318" s="23"/>
      <c r="B1318" s="34"/>
      <c r="C1318" s="35"/>
      <c r="D1318" s="35"/>
      <c r="E1318" s="35"/>
      <c r="F1318" s="31"/>
    </row>
    <row r="1319" spans="1:6" ht="22.5" hidden="1" customHeight="1" x14ac:dyDescent="0.2">
      <c r="A1319" s="23"/>
      <c r="B1319" s="34"/>
      <c r="C1319" s="35"/>
      <c r="D1319" s="35"/>
      <c r="E1319" s="35"/>
      <c r="F1319" s="31"/>
    </row>
    <row r="1320" spans="1:6" ht="22.5" hidden="1" customHeight="1" x14ac:dyDescent="0.2">
      <c r="A1320" s="23"/>
      <c r="B1320" s="34"/>
      <c r="C1320" s="35"/>
      <c r="D1320" s="35"/>
      <c r="E1320" s="35"/>
      <c r="F1320" s="31"/>
    </row>
    <row r="1321" spans="1:6" ht="22.5" hidden="1" customHeight="1" x14ac:dyDescent="0.2">
      <c r="A1321" s="23"/>
      <c r="B1321" s="34"/>
      <c r="C1321" s="35"/>
      <c r="D1321" s="35"/>
      <c r="E1321" s="35"/>
      <c r="F1321" s="31"/>
    </row>
    <row r="1322" spans="1:6" ht="22.5" hidden="1" customHeight="1" x14ac:dyDescent="0.2">
      <c r="A1322" s="23"/>
      <c r="B1322" s="34"/>
      <c r="C1322" s="35"/>
      <c r="D1322" s="35"/>
      <c r="E1322" s="35"/>
      <c r="F1322" s="31"/>
    </row>
    <row r="1323" spans="1:6" ht="22.5" hidden="1" customHeight="1" x14ac:dyDescent="0.2">
      <c r="A1323" s="23"/>
      <c r="B1323" s="34"/>
      <c r="C1323" s="35"/>
      <c r="D1323" s="35"/>
      <c r="E1323" s="35"/>
      <c r="F1323" s="31"/>
    </row>
    <row r="1324" spans="1:6" ht="22.5" hidden="1" customHeight="1" x14ac:dyDescent="0.2">
      <c r="A1324" s="23"/>
      <c r="B1324" s="34"/>
      <c r="C1324" s="35"/>
      <c r="D1324" s="35"/>
      <c r="E1324" s="35"/>
      <c r="F1324" s="31"/>
    </row>
    <row r="1325" spans="1:6" ht="22.5" hidden="1" customHeight="1" x14ac:dyDescent="0.2">
      <c r="A1325" s="23"/>
      <c r="B1325" s="34"/>
      <c r="C1325" s="35"/>
      <c r="D1325" s="35"/>
      <c r="E1325" s="35"/>
      <c r="F1325" s="31"/>
    </row>
    <row r="1326" spans="1:6" ht="22.5" hidden="1" customHeight="1" x14ac:dyDescent="0.2">
      <c r="A1326" s="23"/>
      <c r="B1326" s="34"/>
      <c r="C1326" s="35"/>
      <c r="D1326" s="35"/>
      <c r="E1326" s="35"/>
      <c r="F1326" s="31"/>
    </row>
    <row r="1327" spans="1:6" ht="22.5" hidden="1" customHeight="1" x14ac:dyDescent="0.2">
      <c r="A1327" s="23"/>
      <c r="B1327" s="34"/>
      <c r="C1327" s="35"/>
      <c r="D1327" s="35"/>
      <c r="E1327" s="35"/>
      <c r="F1327" s="31"/>
    </row>
    <row r="1328" spans="1:6" ht="22.5" hidden="1" customHeight="1" x14ac:dyDescent="0.2">
      <c r="A1328" s="23"/>
      <c r="B1328" s="34"/>
      <c r="C1328" s="35"/>
      <c r="D1328" s="35"/>
      <c r="E1328" s="35"/>
      <c r="F1328" s="31"/>
    </row>
    <row r="1329" spans="1:6" ht="22.5" hidden="1" customHeight="1" x14ac:dyDescent="0.2">
      <c r="A1329" s="23"/>
      <c r="B1329" s="34"/>
      <c r="C1329" s="35"/>
      <c r="D1329" s="35"/>
      <c r="E1329" s="35"/>
      <c r="F1329" s="31"/>
    </row>
    <row r="1330" spans="1:6" ht="22.5" hidden="1" customHeight="1" x14ac:dyDescent="0.2">
      <c r="A1330" s="23"/>
      <c r="B1330" s="34"/>
      <c r="C1330" s="35"/>
      <c r="D1330" s="35"/>
      <c r="E1330" s="35"/>
      <c r="F1330" s="31"/>
    </row>
    <row r="1331" spans="1:6" ht="22.5" hidden="1" customHeight="1" x14ac:dyDescent="0.2">
      <c r="A1331" s="23"/>
      <c r="B1331" s="34"/>
      <c r="C1331" s="35"/>
      <c r="D1331" s="35"/>
      <c r="E1331" s="35"/>
      <c r="F1331" s="31"/>
    </row>
    <row r="1332" spans="1:6" ht="22.5" hidden="1" customHeight="1" x14ac:dyDescent="0.2">
      <c r="A1332" s="23"/>
      <c r="B1332" s="34"/>
      <c r="C1332" s="35"/>
      <c r="D1332" s="35"/>
      <c r="E1332" s="35"/>
      <c r="F1332" s="31"/>
    </row>
    <row r="1333" spans="1:6" ht="22.5" hidden="1" customHeight="1" x14ac:dyDescent="0.2">
      <c r="A1333" s="23"/>
      <c r="B1333" s="34"/>
      <c r="C1333" s="35"/>
      <c r="D1333" s="35"/>
      <c r="E1333" s="35"/>
      <c r="F1333" s="31"/>
    </row>
    <row r="1334" spans="1:6" ht="22.5" hidden="1" customHeight="1" x14ac:dyDescent="0.2">
      <c r="A1334" s="23"/>
      <c r="B1334" s="34"/>
      <c r="C1334" s="35"/>
      <c r="D1334" s="35"/>
      <c r="E1334" s="35"/>
      <c r="F1334" s="31"/>
    </row>
    <row r="1335" spans="1:6" ht="22.5" hidden="1" customHeight="1" x14ac:dyDescent="0.2">
      <c r="A1335" s="23"/>
      <c r="B1335" s="34"/>
      <c r="C1335" s="35"/>
      <c r="D1335" s="35"/>
      <c r="E1335" s="35"/>
      <c r="F1335" s="31"/>
    </row>
    <row r="1336" spans="1:6" ht="22.5" hidden="1" customHeight="1" x14ac:dyDescent="0.2">
      <c r="A1336" s="23"/>
      <c r="B1336" s="34"/>
      <c r="C1336" s="35"/>
      <c r="D1336" s="35"/>
      <c r="E1336" s="35"/>
      <c r="F1336" s="31"/>
    </row>
    <row r="1337" spans="1:6" ht="22.5" hidden="1" customHeight="1" x14ac:dyDescent="0.2">
      <c r="A1337" s="23"/>
      <c r="B1337" s="34"/>
      <c r="C1337" s="35"/>
      <c r="D1337" s="35"/>
      <c r="E1337" s="35"/>
      <c r="F1337" s="31"/>
    </row>
    <row r="1338" spans="1:6" ht="22.5" hidden="1" customHeight="1" x14ac:dyDescent="0.2">
      <c r="A1338" s="23"/>
      <c r="B1338" s="34"/>
      <c r="C1338" s="35"/>
      <c r="D1338" s="35"/>
      <c r="E1338" s="35"/>
      <c r="F1338" s="31"/>
    </row>
    <row r="1339" spans="1:6" ht="22.5" hidden="1" customHeight="1" x14ac:dyDescent="0.2">
      <c r="A1339" s="23"/>
      <c r="B1339" s="34"/>
      <c r="C1339" s="35"/>
      <c r="D1339" s="35"/>
      <c r="E1339" s="35"/>
      <c r="F1339" s="31"/>
    </row>
    <row r="1340" spans="1:6" ht="22.5" hidden="1" customHeight="1" x14ac:dyDescent="0.2">
      <c r="A1340" s="23"/>
      <c r="B1340" s="34"/>
      <c r="C1340" s="35"/>
      <c r="D1340" s="35"/>
      <c r="E1340" s="35"/>
      <c r="F1340" s="31"/>
    </row>
    <row r="1341" spans="1:6" ht="22.5" hidden="1" customHeight="1" x14ac:dyDescent="0.2">
      <c r="A1341" s="23"/>
      <c r="B1341" s="34"/>
      <c r="C1341" s="35"/>
      <c r="D1341" s="35"/>
      <c r="E1341" s="35"/>
      <c r="F1341" s="31"/>
    </row>
    <row r="1342" spans="1:6" ht="22.5" hidden="1" customHeight="1" x14ac:dyDescent="0.2">
      <c r="A1342" s="23"/>
      <c r="B1342" s="34"/>
      <c r="C1342" s="35"/>
      <c r="D1342" s="35"/>
      <c r="E1342" s="35"/>
      <c r="F1342" s="31"/>
    </row>
    <row r="1343" spans="1:6" ht="22.5" hidden="1" customHeight="1" x14ac:dyDescent="0.2">
      <c r="A1343" s="23"/>
      <c r="B1343" s="34"/>
      <c r="C1343" s="35"/>
      <c r="D1343" s="35"/>
      <c r="E1343" s="35"/>
      <c r="F1343" s="31"/>
    </row>
    <row r="1344" spans="1:6" ht="22.5" hidden="1" customHeight="1" x14ac:dyDescent="0.2">
      <c r="A1344" s="23"/>
      <c r="B1344" s="34"/>
      <c r="C1344" s="35"/>
      <c r="D1344" s="35"/>
      <c r="E1344" s="35"/>
      <c r="F1344" s="31"/>
    </row>
    <row r="1345" spans="1:6" ht="22.5" hidden="1" customHeight="1" x14ac:dyDescent="0.2">
      <c r="A1345" s="23"/>
      <c r="B1345" s="34"/>
      <c r="C1345" s="35"/>
      <c r="D1345" s="35"/>
      <c r="E1345" s="35"/>
      <c r="F1345" s="31"/>
    </row>
    <row r="1346" spans="1:6" ht="22.5" hidden="1" customHeight="1" x14ac:dyDescent="0.2">
      <c r="A1346" s="23"/>
      <c r="B1346" s="34"/>
      <c r="C1346" s="35"/>
      <c r="D1346" s="35"/>
      <c r="E1346" s="35"/>
      <c r="F1346" s="31"/>
    </row>
    <row r="1347" spans="1:6" ht="22.5" hidden="1" customHeight="1" x14ac:dyDescent="0.2">
      <c r="A1347" s="23"/>
      <c r="B1347" s="34"/>
      <c r="C1347" s="35"/>
      <c r="D1347" s="35"/>
      <c r="E1347" s="35"/>
      <c r="F1347" s="31"/>
    </row>
    <row r="1348" spans="1:6" ht="22.5" hidden="1" customHeight="1" x14ac:dyDescent="0.2">
      <c r="A1348" s="23"/>
      <c r="B1348" s="34"/>
      <c r="C1348" s="35"/>
      <c r="D1348" s="35"/>
      <c r="E1348" s="35"/>
      <c r="F1348" s="31"/>
    </row>
    <row r="1349" spans="1:6" ht="22.5" hidden="1" customHeight="1" x14ac:dyDescent="0.2">
      <c r="A1349" s="23"/>
      <c r="B1349" s="34"/>
      <c r="C1349" s="35"/>
      <c r="D1349" s="35"/>
      <c r="E1349" s="35"/>
      <c r="F1349" s="31"/>
    </row>
    <row r="1350" spans="1:6" ht="22.5" hidden="1" customHeight="1" x14ac:dyDescent="0.2">
      <c r="A1350" s="23"/>
      <c r="B1350" s="34"/>
      <c r="C1350" s="35"/>
      <c r="D1350" s="35"/>
      <c r="E1350" s="35"/>
      <c r="F1350" s="31"/>
    </row>
    <row r="1351" spans="1:6" ht="22.5" hidden="1" customHeight="1" x14ac:dyDescent="0.2">
      <c r="A1351" s="23"/>
      <c r="B1351" s="34"/>
      <c r="C1351" s="35"/>
      <c r="D1351" s="35"/>
      <c r="E1351" s="35"/>
      <c r="F1351" s="31"/>
    </row>
    <row r="1352" spans="1:6" ht="22.5" hidden="1" customHeight="1" x14ac:dyDescent="0.2">
      <c r="A1352" s="23"/>
      <c r="B1352" s="34"/>
      <c r="C1352" s="35"/>
      <c r="D1352" s="35"/>
      <c r="E1352" s="35"/>
      <c r="F1352" s="31"/>
    </row>
    <row r="1353" spans="1:6" ht="22.5" hidden="1" customHeight="1" x14ac:dyDescent="0.2">
      <c r="A1353" s="23"/>
      <c r="B1353" s="34"/>
      <c r="C1353" s="35"/>
      <c r="D1353" s="35"/>
      <c r="E1353" s="35"/>
      <c r="F1353" s="31"/>
    </row>
    <row r="1354" spans="1:6" ht="22.5" hidden="1" customHeight="1" x14ac:dyDescent="0.2">
      <c r="A1354" s="23"/>
      <c r="B1354" s="34"/>
      <c r="C1354" s="35"/>
      <c r="D1354" s="35"/>
      <c r="E1354" s="35"/>
      <c r="F1354" s="31"/>
    </row>
    <row r="1355" spans="1:6" ht="22.5" hidden="1" customHeight="1" x14ac:dyDescent="0.2">
      <c r="A1355" s="23"/>
      <c r="B1355" s="34"/>
      <c r="C1355" s="35"/>
      <c r="D1355" s="35"/>
      <c r="E1355" s="35"/>
      <c r="F1355" s="31"/>
    </row>
    <row r="1356" spans="1:6" ht="22.5" hidden="1" customHeight="1" x14ac:dyDescent="0.2">
      <c r="A1356" s="23"/>
      <c r="B1356" s="34"/>
      <c r="C1356" s="35"/>
      <c r="D1356" s="35"/>
      <c r="E1356" s="35"/>
      <c r="F1356" s="31"/>
    </row>
    <row r="1357" spans="1:6" ht="22.5" hidden="1" customHeight="1" x14ac:dyDescent="0.2">
      <c r="A1357" s="23"/>
      <c r="B1357" s="34"/>
      <c r="C1357" s="35"/>
      <c r="D1357" s="35"/>
      <c r="E1357" s="35"/>
      <c r="F1357" s="31"/>
    </row>
    <row r="1358" spans="1:6" ht="22.5" hidden="1" customHeight="1" x14ac:dyDescent="0.2">
      <c r="A1358" s="23"/>
      <c r="B1358" s="34"/>
      <c r="C1358" s="35"/>
      <c r="D1358" s="35"/>
      <c r="E1358" s="35"/>
      <c r="F1358" s="31"/>
    </row>
    <row r="1359" spans="1:6" ht="22.5" hidden="1" customHeight="1" x14ac:dyDescent="0.2">
      <c r="A1359" s="23"/>
      <c r="B1359" s="34"/>
      <c r="C1359" s="35"/>
      <c r="D1359" s="35"/>
      <c r="E1359" s="35"/>
      <c r="F1359" s="31"/>
    </row>
  </sheetData>
  <mergeCells count="3">
    <mergeCell ref="E1:F1"/>
    <mergeCell ref="E2:F2"/>
    <mergeCell ref="E3:F3"/>
  </mergeCells>
  <dataValidations count="6">
    <dataValidation type="list" allowBlank="1" sqref="E5:E1359" xr:uid="{00000000-0002-0000-0400-000000000000}">
      <formula1>"Alfa,Fix,Jajan,Move,Kitchen,Bathroom,Loandry,Mio,Zela,Sedekah,Iqbal"</formula1>
    </dataValidation>
    <dataValidation type="custom" allowBlank="1" showDropDown="1" sqref="A5:A1359" xr:uid="{00000000-0002-0000-0400-000001000000}">
      <formula1>OR(NOT(ISERROR(DATEVALUE(A5))), AND(ISNUMBER(A5), LEFT(CELL("format", A5))="D"))</formula1>
    </dataValidation>
    <dataValidation type="custom" allowBlank="1" showDropDown="1" sqref="F5:F1359" xr:uid="{00000000-0002-0000-0400-000002000000}">
      <formula1>AND(ISNUMBER(F5),(NOT(OR(NOT(ISERROR(DATEVALUE(F5))), AND(ISNUMBER(F5), LEFT(CELL("format", F5))="D")))))</formula1>
    </dataValidation>
    <dataValidation type="list" allowBlank="1" sqref="D5:D1359" xr:uid="{00000000-0002-0000-0400-000003000000}">
      <formula1>"In,Out,Move"</formula1>
    </dataValidation>
    <dataValidation allowBlank="1" showDropDown="1" sqref="B5:B1359" xr:uid="{00000000-0002-0000-0400-000004000000}"/>
    <dataValidation type="list" allowBlank="1" sqref="C5:C1359" xr:uid="{00000000-0002-0000-0400-000005000000}">
      <formula1>"ATM,Cash"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C47D"/>
    <outlinePr summaryBelow="0" summaryRight="0"/>
  </sheetPr>
  <dimension ref="A1:DH89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4" sqref="E54"/>
    </sheetView>
  </sheetViews>
  <sheetFormatPr defaultColWidth="12.5703125" defaultRowHeight="15.75" customHeight="1" x14ac:dyDescent="0.2"/>
  <cols>
    <col min="1" max="1" width="4.28515625" customWidth="1"/>
    <col min="2" max="2" width="14.7109375" customWidth="1"/>
    <col min="3" max="10" width="14.42578125" customWidth="1"/>
    <col min="11" max="11" width="16.28515625" hidden="1" customWidth="1"/>
    <col min="12" max="12" width="4.28515625" customWidth="1"/>
    <col min="13" max="111" width="12.5703125" hidden="1"/>
  </cols>
  <sheetData>
    <row r="1" spans="1:112" ht="12.75" x14ac:dyDescent="0.2">
      <c r="A1" s="53"/>
      <c r="B1" s="53"/>
      <c r="I1" s="53"/>
      <c r="J1" s="53"/>
    </row>
    <row r="2" spans="1:112" ht="12.75" x14ac:dyDescent="0.2">
      <c r="A2" s="55"/>
      <c r="B2" s="100" t="s">
        <v>991</v>
      </c>
      <c r="C2" s="100">
        <v>46023</v>
      </c>
      <c r="D2" s="100">
        <v>46054</v>
      </c>
      <c r="E2" s="100">
        <v>46082</v>
      </c>
      <c r="F2" s="100">
        <v>46113</v>
      </c>
      <c r="G2" s="100">
        <v>46143</v>
      </c>
      <c r="H2" s="100">
        <v>46174</v>
      </c>
      <c r="I2" s="100">
        <v>46204</v>
      </c>
      <c r="J2" s="100">
        <v>46235</v>
      </c>
      <c r="K2" s="102">
        <v>46266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</row>
    <row r="3" spans="1:112" s="66" customFormat="1" ht="18.75" customHeight="1" x14ac:dyDescent="0.2">
      <c r="A3" s="57"/>
      <c r="B3" s="83" t="s">
        <v>1</v>
      </c>
      <c r="C3" s="84">
        <v>36400</v>
      </c>
      <c r="D3" s="84">
        <v>293800</v>
      </c>
      <c r="E3" s="84">
        <v>890962</v>
      </c>
      <c r="F3" s="84">
        <v>282719</v>
      </c>
      <c r="G3" s="84">
        <v>326872</v>
      </c>
      <c r="H3" s="84">
        <v>317864</v>
      </c>
      <c r="I3" s="84">
        <v>294200</v>
      </c>
      <c r="J3" s="84">
        <v>452769</v>
      </c>
      <c r="K3" s="82">
        <v>55000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</row>
    <row r="4" spans="1:112" s="66" customFormat="1" ht="18.75" customHeight="1" x14ac:dyDescent="0.2">
      <c r="A4" s="57"/>
      <c r="B4" s="83" t="s">
        <v>4</v>
      </c>
      <c r="C4" s="84"/>
      <c r="D4" s="84">
        <v>34500</v>
      </c>
      <c r="E4" s="84">
        <v>120488</v>
      </c>
      <c r="F4" s="84">
        <v>19900</v>
      </c>
      <c r="G4" s="84">
        <v>13000</v>
      </c>
      <c r="H4" s="84">
        <v>37500</v>
      </c>
      <c r="I4" s="84">
        <v>50720</v>
      </c>
      <c r="J4" s="84">
        <v>14491</v>
      </c>
      <c r="K4" s="82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</row>
    <row r="5" spans="1:112" s="66" customFormat="1" ht="18.75" customHeight="1" x14ac:dyDescent="0.2">
      <c r="A5" s="57"/>
      <c r="B5" s="83" t="s">
        <v>0</v>
      </c>
      <c r="C5" s="84">
        <v>114450</v>
      </c>
      <c r="D5" s="84">
        <v>2440568</v>
      </c>
      <c r="E5" s="84">
        <v>2865413</v>
      </c>
      <c r="F5" s="84">
        <v>2554300</v>
      </c>
      <c r="G5" s="84">
        <v>2703418</v>
      </c>
      <c r="H5" s="84">
        <v>3084727</v>
      </c>
      <c r="I5" s="84">
        <v>3048680</v>
      </c>
      <c r="J5" s="84">
        <v>2533689</v>
      </c>
      <c r="K5" s="82">
        <v>2972118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</row>
    <row r="6" spans="1:112" s="66" customFormat="1" ht="18.75" customHeight="1" x14ac:dyDescent="0.2">
      <c r="A6" s="57"/>
      <c r="B6" s="83" t="s">
        <v>8</v>
      </c>
      <c r="C6" s="84"/>
      <c r="D6" s="84">
        <v>121000</v>
      </c>
      <c r="E6" s="84">
        <v>215000</v>
      </c>
      <c r="F6" s="84">
        <v>74070</v>
      </c>
      <c r="G6" s="84">
        <v>251000</v>
      </c>
      <c r="H6" s="84">
        <v>232194</v>
      </c>
      <c r="I6" s="84">
        <v>231000</v>
      </c>
      <c r="J6" s="84">
        <v>295000</v>
      </c>
      <c r="K6" s="82">
        <v>125000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</row>
    <row r="7" spans="1:112" s="66" customFormat="1" ht="18.75" customHeight="1" x14ac:dyDescent="0.2">
      <c r="A7" s="57"/>
      <c r="B7" s="83" t="s">
        <v>2</v>
      </c>
      <c r="C7" s="84">
        <v>38000</v>
      </c>
      <c r="D7" s="84">
        <v>364000</v>
      </c>
      <c r="E7" s="84">
        <v>1016299</v>
      </c>
      <c r="F7" s="84">
        <v>507500</v>
      </c>
      <c r="G7" s="84">
        <v>647696</v>
      </c>
      <c r="H7" s="84">
        <v>642350</v>
      </c>
      <c r="I7" s="84">
        <v>449300</v>
      </c>
      <c r="J7" s="84">
        <v>562890</v>
      </c>
      <c r="K7" s="82">
        <v>162000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</row>
    <row r="8" spans="1:112" s="66" customFormat="1" ht="18.75" customHeight="1" x14ac:dyDescent="0.2">
      <c r="A8" s="57"/>
      <c r="B8" s="83" t="s">
        <v>3</v>
      </c>
      <c r="C8" s="84">
        <v>87000</v>
      </c>
      <c r="D8" s="84">
        <v>992724</v>
      </c>
      <c r="E8" s="84">
        <v>1152600</v>
      </c>
      <c r="F8" s="84">
        <v>964968</v>
      </c>
      <c r="G8" s="84">
        <v>902100</v>
      </c>
      <c r="H8" s="84">
        <v>985700</v>
      </c>
      <c r="I8" s="84">
        <v>1360773</v>
      </c>
      <c r="J8" s="84">
        <v>1584204</v>
      </c>
      <c r="K8" s="82">
        <v>820700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</row>
    <row r="9" spans="1:112" s="66" customFormat="1" ht="18.75" customHeight="1" x14ac:dyDescent="0.2">
      <c r="A9" s="57"/>
      <c r="B9" s="83" t="s">
        <v>5</v>
      </c>
      <c r="C9" s="84"/>
      <c r="D9" s="84">
        <v>41600</v>
      </c>
      <c r="E9" s="84">
        <v>41000</v>
      </c>
      <c r="F9" s="84">
        <v>58396</v>
      </c>
      <c r="G9" s="84">
        <v>42900</v>
      </c>
      <c r="H9" s="84">
        <v>21500</v>
      </c>
      <c r="I9" s="84">
        <v>11000</v>
      </c>
      <c r="J9" s="84">
        <v>43448</v>
      </c>
      <c r="K9" s="82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</row>
    <row r="10" spans="1:112" s="66" customFormat="1" ht="18.75" customHeight="1" x14ac:dyDescent="0.2">
      <c r="A10" s="57"/>
      <c r="B10" s="83" t="s">
        <v>6</v>
      </c>
      <c r="C10" s="84"/>
      <c r="D10" s="84">
        <v>249000</v>
      </c>
      <c r="E10" s="84">
        <v>895700</v>
      </c>
      <c r="F10" s="84">
        <v>181000</v>
      </c>
      <c r="G10" s="84">
        <v>732000</v>
      </c>
      <c r="H10" s="84">
        <v>265000</v>
      </c>
      <c r="I10" s="84">
        <v>338500</v>
      </c>
      <c r="J10" s="84">
        <v>329000</v>
      </c>
      <c r="K10" s="82">
        <v>137000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</row>
    <row r="11" spans="1:112" s="66" customFormat="1" ht="18.75" customHeight="1" x14ac:dyDescent="0.2">
      <c r="A11" s="57"/>
      <c r="B11" s="83" t="s">
        <v>10</v>
      </c>
      <c r="C11" s="84"/>
      <c r="D11" s="84">
        <v>129000</v>
      </c>
      <c r="E11" s="84">
        <v>130000</v>
      </c>
      <c r="F11" s="84"/>
      <c r="G11" s="84"/>
      <c r="H11" s="84">
        <v>5000</v>
      </c>
      <c r="I11" s="84">
        <v>2500</v>
      </c>
      <c r="J11" s="84">
        <v>5000</v>
      </c>
      <c r="K11" s="82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</row>
    <row r="12" spans="1:112" s="66" customFormat="1" ht="18.75" customHeight="1" x14ac:dyDescent="0.2">
      <c r="A12" s="57"/>
      <c r="B12" s="83" t="s">
        <v>7</v>
      </c>
      <c r="C12" s="84"/>
      <c r="D12" s="84">
        <v>24100</v>
      </c>
      <c r="E12" s="84">
        <v>215161</v>
      </c>
      <c r="F12" s="84">
        <v>90500</v>
      </c>
      <c r="G12" s="84">
        <v>47011</v>
      </c>
      <c r="H12" s="84">
        <v>33400</v>
      </c>
      <c r="I12" s="84">
        <v>387476</v>
      </c>
      <c r="J12" s="84">
        <v>40500</v>
      </c>
      <c r="K12" s="82">
        <v>46126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</row>
    <row r="13" spans="1:112" ht="18.75" customHeight="1" x14ac:dyDescent="0.2">
      <c r="A13" s="57"/>
      <c r="B13" s="101" t="s">
        <v>988</v>
      </c>
      <c r="C13" s="105">
        <v>275850</v>
      </c>
      <c r="D13" s="105">
        <v>4690292</v>
      </c>
      <c r="E13" s="105">
        <v>7542623</v>
      </c>
      <c r="F13" s="105">
        <v>4733353</v>
      </c>
      <c r="G13" s="105">
        <v>5665997</v>
      </c>
      <c r="H13" s="105">
        <v>5625235</v>
      </c>
      <c r="I13" s="105">
        <v>6174149</v>
      </c>
      <c r="J13" s="105">
        <v>5860991</v>
      </c>
      <c r="K13" s="103">
        <v>4317944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99">
        <f>SUM(C13:J13)</f>
        <v>40568490</v>
      </c>
    </row>
    <row r="14" spans="1:112" s="66" customFormat="1" ht="12.75" x14ac:dyDescent="0.2">
      <c r="B14" s="81" t="s">
        <v>940</v>
      </c>
      <c r="C14" s="81" t="s">
        <v>56</v>
      </c>
      <c r="D14" s="54"/>
      <c r="E14" s="54"/>
      <c r="F14" s="54"/>
      <c r="G14" s="54"/>
      <c r="H14" s="54"/>
      <c r="I14" s="54"/>
      <c r="J14" s="54"/>
      <c r="K14" s="54"/>
    </row>
    <row r="15" spans="1:112" s="66" customFormat="1" ht="18.75" customHeight="1" x14ac:dyDescent="0.2">
      <c r="A15" s="57"/>
      <c r="B15" s="104" t="s">
        <v>992</v>
      </c>
      <c r="C15" s="104">
        <v>46023</v>
      </c>
      <c r="D15" s="104">
        <v>46054</v>
      </c>
      <c r="E15" s="104">
        <v>46082</v>
      </c>
      <c r="F15" s="104">
        <v>46113</v>
      </c>
      <c r="G15" s="104">
        <v>46143</v>
      </c>
      <c r="H15" s="104">
        <v>46174</v>
      </c>
      <c r="I15" s="104">
        <v>46204</v>
      </c>
      <c r="J15" s="104">
        <v>46235</v>
      </c>
      <c r="K15" s="82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</row>
    <row r="16" spans="1:112" s="66" customFormat="1" ht="18.75" customHeight="1" x14ac:dyDescent="0.2">
      <c r="A16" s="57"/>
      <c r="B16" s="83" t="s">
        <v>985</v>
      </c>
      <c r="C16" s="84"/>
      <c r="D16" s="84">
        <v>4353235</v>
      </c>
      <c r="E16" s="84">
        <f>4458235+2332272</f>
        <v>6790507</v>
      </c>
      <c r="F16" s="84">
        <v>4323235</v>
      </c>
      <c r="G16" s="84">
        <v>4398235</v>
      </c>
      <c r="H16" s="84">
        <v>4383235</v>
      </c>
      <c r="I16" s="84">
        <v>4383235</v>
      </c>
      <c r="J16" s="84">
        <v>4383235</v>
      </c>
      <c r="K16" s="82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</row>
    <row r="17" spans="1:112" s="66" customFormat="1" ht="18.75" customHeight="1" x14ac:dyDescent="0.2">
      <c r="A17" s="57"/>
      <c r="B17" s="83" t="s">
        <v>36</v>
      </c>
      <c r="C17" s="84"/>
      <c r="D17" s="84">
        <f>D63+D81</f>
        <v>11566</v>
      </c>
      <c r="E17" s="84">
        <f>E63+E81</f>
        <v>131576</v>
      </c>
      <c r="F17" s="84">
        <f>F63+F81</f>
        <v>181000</v>
      </c>
      <c r="G17" s="84">
        <f>G63+G81</f>
        <v>158158</v>
      </c>
      <c r="H17" s="84">
        <f>H63+H81</f>
        <v>340731</v>
      </c>
      <c r="I17" s="84">
        <f>I63+I81</f>
        <v>1287555</v>
      </c>
      <c r="J17" s="84">
        <f>J63+J81</f>
        <v>624944</v>
      </c>
      <c r="K17" s="82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</row>
    <row r="18" spans="1:112" s="66" customFormat="1" ht="18.75" customHeight="1" x14ac:dyDescent="0.2">
      <c r="A18" s="57"/>
      <c r="B18" s="83" t="s">
        <v>20</v>
      </c>
      <c r="C18" s="84">
        <f>C64+C82</f>
        <v>275850</v>
      </c>
      <c r="D18" s="84">
        <f>D64+D82</f>
        <v>325491</v>
      </c>
      <c r="E18" s="84">
        <f>E64+E82</f>
        <v>620540</v>
      </c>
      <c r="F18" s="84">
        <f>F64+F82</f>
        <v>229118</v>
      </c>
      <c r="G18" s="84">
        <f>G64+G82</f>
        <v>1109604</v>
      </c>
      <c r="H18" s="84">
        <f>H64+H82</f>
        <v>901269</v>
      </c>
      <c r="I18" s="84">
        <f>I64+I82</f>
        <v>503359</v>
      </c>
      <c r="J18" s="84">
        <f>J64+J82</f>
        <v>852812</v>
      </c>
      <c r="K18" s="82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</row>
    <row r="19" spans="1:112" s="66" customFormat="1" ht="18.75" customHeight="1" x14ac:dyDescent="0.2">
      <c r="A19" s="57"/>
      <c r="B19" s="85" t="s">
        <v>988</v>
      </c>
      <c r="C19" s="106">
        <f>SUM(C16:C18)</f>
        <v>275850</v>
      </c>
      <c r="D19" s="106">
        <f t="shared" ref="D19:J19" si="0">SUM(D16:D18)</f>
        <v>4690292</v>
      </c>
      <c r="E19" s="106">
        <f t="shared" si="0"/>
        <v>7542623</v>
      </c>
      <c r="F19" s="106">
        <f t="shared" si="0"/>
        <v>4733353</v>
      </c>
      <c r="G19" s="106">
        <f t="shared" si="0"/>
        <v>5665997</v>
      </c>
      <c r="H19" s="106">
        <f t="shared" si="0"/>
        <v>5625235</v>
      </c>
      <c r="I19" s="106">
        <f t="shared" si="0"/>
        <v>6174149</v>
      </c>
      <c r="J19" s="106">
        <f t="shared" si="0"/>
        <v>5860991</v>
      </c>
      <c r="K19" s="82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99">
        <f>SUM(C19:J19)</f>
        <v>40568490</v>
      </c>
    </row>
    <row r="20" spans="1:112" ht="12.75" x14ac:dyDescent="0.2">
      <c r="B20" s="81" t="s">
        <v>940</v>
      </c>
      <c r="C20" s="81" t="s">
        <v>56</v>
      </c>
      <c r="D20" s="54"/>
      <c r="E20" s="54"/>
      <c r="F20" s="54"/>
      <c r="G20" s="54"/>
      <c r="H20" s="54"/>
      <c r="I20" s="54"/>
      <c r="J20" s="54"/>
      <c r="K20" s="54"/>
    </row>
    <row r="21" spans="1:112" ht="12.75" hidden="1" x14ac:dyDescent="0.2">
      <c r="B21" s="58" t="s">
        <v>942</v>
      </c>
      <c r="C21" s="59">
        <v>46023</v>
      </c>
      <c r="D21" s="59">
        <v>46054</v>
      </c>
      <c r="E21" s="59">
        <v>46082</v>
      </c>
      <c r="F21" s="59">
        <v>46113</v>
      </c>
      <c r="G21" s="59">
        <v>46143</v>
      </c>
      <c r="H21" s="59">
        <v>46174</v>
      </c>
      <c r="I21" s="59">
        <v>46204</v>
      </c>
      <c r="J21" s="59">
        <v>46235</v>
      </c>
      <c r="K21" s="59">
        <v>46266</v>
      </c>
    </row>
    <row r="22" spans="1:112" ht="12.75" hidden="1" x14ac:dyDescent="0.2">
      <c r="B22" s="60" t="s">
        <v>1</v>
      </c>
      <c r="C22" s="61"/>
      <c r="D22" s="61"/>
      <c r="E22" s="61">
        <v>9000</v>
      </c>
      <c r="F22" s="61"/>
      <c r="G22" s="61">
        <v>60400</v>
      </c>
      <c r="H22" s="61"/>
      <c r="I22" s="61">
        <v>13200</v>
      </c>
      <c r="J22" s="61"/>
      <c r="K22" s="61"/>
    </row>
    <row r="23" spans="1:112" ht="12.75" hidden="1" x14ac:dyDescent="0.2">
      <c r="B23" s="62" t="s">
        <v>4</v>
      </c>
      <c r="C23" s="63"/>
      <c r="D23" s="63">
        <v>6000</v>
      </c>
      <c r="E23" s="63"/>
      <c r="F23" s="63"/>
      <c r="G23" s="63">
        <v>13000</v>
      </c>
      <c r="H23" s="63"/>
      <c r="I23" s="63"/>
      <c r="J23" s="63"/>
      <c r="K23" s="63"/>
    </row>
    <row r="24" spans="1:112" ht="12.75" hidden="1" x14ac:dyDescent="0.2">
      <c r="B24" s="60" t="s">
        <v>0</v>
      </c>
      <c r="C24" s="61">
        <v>99450</v>
      </c>
      <c r="D24" s="61">
        <v>2296568</v>
      </c>
      <c r="E24" s="61">
        <v>2385713</v>
      </c>
      <c r="F24" s="61">
        <v>2547050</v>
      </c>
      <c r="G24" s="61">
        <v>2447118</v>
      </c>
      <c r="H24" s="61">
        <v>2769227</v>
      </c>
      <c r="I24" s="61">
        <v>2930630</v>
      </c>
      <c r="J24" s="61">
        <v>2488189</v>
      </c>
      <c r="K24" s="61">
        <v>2972118</v>
      </c>
    </row>
    <row r="25" spans="1:112" ht="12.75" hidden="1" x14ac:dyDescent="0.2">
      <c r="B25" s="62" t="s">
        <v>8</v>
      </c>
      <c r="C25" s="63"/>
      <c r="D25" s="63">
        <v>92000</v>
      </c>
      <c r="E25" s="63">
        <v>185000</v>
      </c>
      <c r="F25" s="63">
        <v>10070</v>
      </c>
      <c r="G25" s="63">
        <v>131000</v>
      </c>
      <c r="H25" s="63">
        <v>60000</v>
      </c>
      <c r="I25" s="63">
        <v>157000</v>
      </c>
      <c r="J25" s="63">
        <v>186000</v>
      </c>
      <c r="K25" s="63">
        <v>78000</v>
      </c>
    </row>
    <row r="26" spans="1:112" ht="12.75" hidden="1" x14ac:dyDescent="0.2">
      <c r="B26" s="60" t="s">
        <v>2</v>
      </c>
      <c r="C26" s="61"/>
      <c r="D26" s="61">
        <v>60000</v>
      </c>
      <c r="E26" s="61">
        <v>450799</v>
      </c>
      <c r="F26" s="61">
        <v>105000</v>
      </c>
      <c r="G26" s="61">
        <v>289000</v>
      </c>
      <c r="H26" s="61">
        <v>52000</v>
      </c>
      <c r="I26" s="61">
        <v>74500</v>
      </c>
      <c r="J26" s="61">
        <v>310000</v>
      </c>
      <c r="K26" s="61">
        <v>40000</v>
      </c>
    </row>
    <row r="27" spans="1:112" ht="12.75" hidden="1" x14ac:dyDescent="0.2">
      <c r="B27" s="62" t="s">
        <v>3</v>
      </c>
      <c r="C27" s="63"/>
      <c r="D27" s="63">
        <v>4000</v>
      </c>
      <c r="E27" s="63">
        <v>79000</v>
      </c>
      <c r="F27" s="63"/>
      <c r="G27" s="63">
        <v>281000</v>
      </c>
      <c r="H27" s="63">
        <v>21000</v>
      </c>
      <c r="I27" s="63">
        <v>67500</v>
      </c>
      <c r="J27" s="63">
        <v>224000</v>
      </c>
      <c r="K27" s="63">
        <v>234700</v>
      </c>
    </row>
    <row r="28" spans="1:112" ht="12.75" hidden="1" x14ac:dyDescent="0.2">
      <c r="B28" s="60" t="s">
        <v>6</v>
      </c>
      <c r="C28" s="61"/>
      <c r="D28" s="61">
        <v>124000</v>
      </c>
      <c r="E28" s="61">
        <v>664200</v>
      </c>
      <c r="F28" s="61"/>
      <c r="G28" s="61">
        <v>561000</v>
      </c>
      <c r="H28" s="61">
        <v>85000</v>
      </c>
      <c r="I28" s="61">
        <v>95000</v>
      </c>
      <c r="J28" s="61">
        <v>180000</v>
      </c>
      <c r="K28" s="61">
        <v>65000</v>
      </c>
    </row>
    <row r="29" spans="1:112" ht="12.75" hidden="1" x14ac:dyDescent="0.2">
      <c r="B29" s="62" t="s">
        <v>10</v>
      </c>
      <c r="C29" s="63"/>
      <c r="D29" s="63">
        <v>9000</v>
      </c>
      <c r="E29" s="63"/>
      <c r="F29" s="63"/>
      <c r="G29" s="63"/>
      <c r="H29" s="63"/>
      <c r="I29" s="63"/>
      <c r="J29" s="63"/>
      <c r="K29" s="63"/>
    </row>
    <row r="30" spans="1:112" ht="12.75" hidden="1" x14ac:dyDescent="0.2">
      <c r="B30" s="60" t="s">
        <v>7</v>
      </c>
      <c r="C30" s="61"/>
      <c r="D30" s="61"/>
      <c r="E30" s="61"/>
      <c r="F30" s="61"/>
      <c r="G30" s="61"/>
      <c r="H30" s="61"/>
      <c r="I30" s="61">
        <v>88700</v>
      </c>
      <c r="J30" s="61"/>
      <c r="K30" s="61"/>
    </row>
    <row r="31" spans="1:112" ht="12.75" hidden="1" x14ac:dyDescent="0.2">
      <c r="B31" s="64" t="s">
        <v>941</v>
      </c>
      <c r="C31" s="65">
        <v>99450</v>
      </c>
      <c r="D31" s="65">
        <v>2591568</v>
      </c>
      <c r="E31" s="65">
        <v>3773712</v>
      </c>
      <c r="F31" s="65">
        <v>2662120</v>
      </c>
      <c r="G31" s="65">
        <v>3782518</v>
      </c>
      <c r="H31" s="65">
        <v>2987227</v>
      </c>
      <c r="I31" s="65">
        <v>3426530</v>
      </c>
      <c r="J31" s="65">
        <v>3388189</v>
      </c>
      <c r="K31" s="65">
        <v>3389818</v>
      </c>
    </row>
    <row r="32" spans="1:112" ht="12.75" hidden="1" x14ac:dyDescent="0.2">
      <c r="B32" s="67" t="s">
        <v>52</v>
      </c>
      <c r="C32" s="91" t="s">
        <v>44</v>
      </c>
    </row>
    <row r="33" spans="2:11" ht="12.75" hidden="1" x14ac:dyDescent="0.2">
      <c r="B33" s="67" t="s">
        <v>984</v>
      </c>
      <c r="C33" s="91" t="s">
        <v>7</v>
      </c>
    </row>
    <row r="34" spans="2:11" ht="12.75" hidden="1" x14ac:dyDescent="0.2"/>
    <row r="35" spans="2:11" ht="12.75" hidden="1" x14ac:dyDescent="0.2">
      <c r="B35" s="67" t="s">
        <v>940</v>
      </c>
      <c r="C35" s="67" t="s">
        <v>56</v>
      </c>
    </row>
    <row r="36" spans="2:11" ht="12.75" hidden="1" x14ac:dyDescent="0.2">
      <c r="B36" s="67" t="s">
        <v>943</v>
      </c>
      <c r="C36" s="68">
        <v>46023</v>
      </c>
      <c r="D36" s="68">
        <v>46054</v>
      </c>
      <c r="E36" s="68">
        <v>46082</v>
      </c>
      <c r="F36" s="68">
        <v>46113</v>
      </c>
      <c r="G36" s="68">
        <v>46143</v>
      </c>
      <c r="H36" s="68">
        <v>46174</v>
      </c>
      <c r="I36" s="68">
        <v>46204</v>
      </c>
      <c r="J36" s="68">
        <v>46235</v>
      </c>
      <c r="K36" s="68">
        <v>46266</v>
      </c>
    </row>
    <row r="37" spans="2:11" ht="12.75" hidden="1" x14ac:dyDescent="0.2">
      <c r="B37" s="91" t="s">
        <v>1</v>
      </c>
      <c r="C37" s="69">
        <v>36400</v>
      </c>
      <c r="D37" s="69">
        <v>293800</v>
      </c>
      <c r="E37" s="69">
        <v>881962</v>
      </c>
      <c r="F37" s="69">
        <v>282719</v>
      </c>
      <c r="G37" s="69">
        <v>266472</v>
      </c>
      <c r="H37" s="69">
        <v>317864</v>
      </c>
      <c r="I37" s="69">
        <v>281000</v>
      </c>
      <c r="J37" s="69">
        <v>452769</v>
      </c>
      <c r="K37" s="69">
        <v>55000</v>
      </c>
    </row>
    <row r="38" spans="2:11" ht="12.75" hidden="1" x14ac:dyDescent="0.2">
      <c r="B38" s="91" t="s">
        <v>4</v>
      </c>
      <c r="C38" s="69"/>
      <c r="D38" s="69">
        <v>28500</v>
      </c>
      <c r="E38" s="69">
        <v>120488</v>
      </c>
      <c r="F38" s="69">
        <v>19900</v>
      </c>
      <c r="G38" s="69"/>
      <c r="H38" s="69">
        <v>37500</v>
      </c>
      <c r="I38" s="69">
        <v>50720</v>
      </c>
      <c r="J38" s="69">
        <v>14491</v>
      </c>
      <c r="K38" s="69"/>
    </row>
    <row r="39" spans="2:11" ht="12.75" hidden="1" x14ac:dyDescent="0.2">
      <c r="B39" s="91" t="s">
        <v>0</v>
      </c>
      <c r="C39" s="69">
        <v>15000</v>
      </c>
      <c r="D39" s="69">
        <v>144000</v>
      </c>
      <c r="E39" s="69">
        <v>479700</v>
      </c>
      <c r="F39" s="69">
        <v>7250</v>
      </c>
      <c r="G39" s="69">
        <v>256300</v>
      </c>
      <c r="H39" s="69">
        <v>315500</v>
      </c>
      <c r="I39" s="69">
        <v>118050</v>
      </c>
      <c r="J39" s="69">
        <v>45500</v>
      </c>
      <c r="K39" s="69"/>
    </row>
    <row r="40" spans="2:11" ht="12.75" hidden="1" x14ac:dyDescent="0.2">
      <c r="B40" s="91" t="s">
        <v>8</v>
      </c>
      <c r="C40" s="69"/>
      <c r="D40" s="69">
        <v>29000</v>
      </c>
      <c r="E40" s="69">
        <v>30000</v>
      </c>
      <c r="F40" s="69">
        <v>64000</v>
      </c>
      <c r="G40" s="69">
        <v>120000</v>
      </c>
      <c r="H40" s="69">
        <v>172194</v>
      </c>
      <c r="I40" s="69">
        <v>74000</v>
      </c>
      <c r="J40" s="69">
        <v>109000</v>
      </c>
      <c r="K40" s="69">
        <v>47000</v>
      </c>
    </row>
    <row r="41" spans="2:11" ht="12.75" hidden="1" x14ac:dyDescent="0.2">
      <c r="B41" s="91" t="s">
        <v>2</v>
      </c>
      <c r="C41" s="69">
        <v>38000</v>
      </c>
      <c r="D41" s="69">
        <v>304000</v>
      </c>
      <c r="E41" s="69">
        <v>565500</v>
      </c>
      <c r="F41" s="69">
        <v>402500</v>
      </c>
      <c r="G41" s="69">
        <v>358696</v>
      </c>
      <c r="H41" s="69">
        <v>590350</v>
      </c>
      <c r="I41" s="69">
        <v>374800</v>
      </c>
      <c r="J41" s="69">
        <v>252890</v>
      </c>
      <c r="K41" s="69">
        <v>122000</v>
      </c>
    </row>
    <row r="42" spans="2:11" ht="12.75" hidden="1" x14ac:dyDescent="0.2">
      <c r="B42" s="91" t="s">
        <v>3</v>
      </c>
      <c r="C42" s="69">
        <v>87000</v>
      </c>
      <c r="D42" s="69">
        <v>988724</v>
      </c>
      <c r="E42" s="69">
        <v>1073600</v>
      </c>
      <c r="F42" s="69">
        <v>964968</v>
      </c>
      <c r="G42" s="69">
        <v>621100</v>
      </c>
      <c r="H42" s="69">
        <v>964700</v>
      </c>
      <c r="I42" s="69">
        <v>1293273</v>
      </c>
      <c r="J42" s="69">
        <v>1360204</v>
      </c>
      <c r="K42" s="69">
        <v>586000</v>
      </c>
    </row>
    <row r="43" spans="2:11" ht="12.75" hidden="1" x14ac:dyDescent="0.2">
      <c r="B43" s="91" t="s">
        <v>5</v>
      </c>
      <c r="C43" s="69"/>
      <c r="D43" s="69">
        <v>41600</v>
      </c>
      <c r="E43" s="69">
        <v>41000</v>
      </c>
      <c r="F43" s="69">
        <v>58396</v>
      </c>
      <c r="G43" s="69">
        <v>42900</v>
      </c>
      <c r="H43" s="69">
        <v>21500</v>
      </c>
      <c r="I43" s="69">
        <v>11000</v>
      </c>
      <c r="J43" s="69">
        <v>43448</v>
      </c>
      <c r="K43" s="69"/>
    </row>
    <row r="44" spans="2:11" ht="12.75" hidden="1" x14ac:dyDescent="0.2">
      <c r="B44" s="91" t="s">
        <v>6</v>
      </c>
      <c r="C44" s="69"/>
      <c r="D44" s="69">
        <v>125000</v>
      </c>
      <c r="E44" s="69">
        <v>231500</v>
      </c>
      <c r="F44" s="69">
        <v>181000</v>
      </c>
      <c r="G44" s="69">
        <v>171000</v>
      </c>
      <c r="H44" s="69">
        <v>180000</v>
      </c>
      <c r="I44" s="69">
        <v>243500</v>
      </c>
      <c r="J44" s="69">
        <v>149000</v>
      </c>
      <c r="K44" s="69">
        <v>72000</v>
      </c>
    </row>
    <row r="45" spans="2:11" ht="12.75" hidden="1" x14ac:dyDescent="0.2">
      <c r="B45" s="91" t="s">
        <v>10</v>
      </c>
      <c r="C45" s="69"/>
      <c r="D45" s="69">
        <v>120000</v>
      </c>
      <c r="E45" s="69">
        <v>130000</v>
      </c>
      <c r="F45" s="69"/>
      <c r="G45" s="69"/>
      <c r="H45" s="69">
        <v>5000</v>
      </c>
      <c r="I45" s="69">
        <v>2500</v>
      </c>
      <c r="J45" s="69">
        <v>5000</v>
      </c>
      <c r="K45" s="69"/>
    </row>
    <row r="46" spans="2:11" ht="15.75" hidden="1" customHeight="1" x14ac:dyDescent="0.2">
      <c r="B46" s="91" t="s">
        <v>7</v>
      </c>
      <c r="C46" s="69"/>
      <c r="D46" s="69">
        <v>24100</v>
      </c>
      <c r="E46" s="69">
        <v>215161</v>
      </c>
      <c r="F46" s="69">
        <v>90500</v>
      </c>
      <c r="G46" s="69">
        <v>47011</v>
      </c>
      <c r="H46" s="69">
        <v>33400</v>
      </c>
      <c r="I46" s="69">
        <v>298776</v>
      </c>
      <c r="J46" s="69">
        <v>40500</v>
      </c>
      <c r="K46" s="69">
        <v>46126</v>
      </c>
    </row>
    <row r="47" spans="2:11" ht="15.75" hidden="1" customHeight="1" x14ac:dyDescent="0.2">
      <c r="B47" s="91" t="s">
        <v>941</v>
      </c>
      <c r="C47" s="69">
        <v>176400</v>
      </c>
      <c r="D47" s="69">
        <v>2098724</v>
      </c>
      <c r="E47" s="69">
        <v>3768911</v>
      </c>
      <c r="F47" s="69">
        <v>2071233</v>
      </c>
      <c r="G47" s="69">
        <v>1883479</v>
      </c>
      <c r="H47" s="69">
        <v>2638008</v>
      </c>
      <c r="I47" s="69">
        <v>2747619</v>
      </c>
      <c r="J47" s="69">
        <v>2472802</v>
      </c>
      <c r="K47" s="69">
        <v>928126</v>
      </c>
    </row>
    <row r="48" spans="2:11" ht="15.75" hidden="1" customHeight="1" x14ac:dyDescent="0.2"/>
    <row r="49" spans="1:112" s="66" customFormat="1" ht="18.75" customHeight="1" x14ac:dyDescent="0.2">
      <c r="A49" s="55"/>
      <c r="B49" s="100" t="s">
        <v>993</v>
      </c>
      <c r="C49" s="100">
        <v>46023</v>
      </c>
      <c r="D49" s="100">
        <v>46054</v>
      </c>
      <c r="E49" s="100">
        <v>46082</v>
      </c>
      <c r="F49" s="100">
        <v>46113</v>
      </c>
      <c r="G49" s="100">
        <v>46143</v>
      </c>
      <c r="H49" s="100">
        <v>46174</v>
      </c>
      <c r="I49" s="100">
        <v>46204</v>
      </c>
      <c r="J49" s="100">
        <v>46235</v>
      </c>
      <c r="K49" s="102">
        <v>46266</v>
      </c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</row>
    <row r="50" spans="1:112" s="66" customFormat="1" ht="18.75" customHeight="1" x14ac:dyDescent="0.2">
      <c r="A50" s="57"/>
      <c r="B50" s="83" t="s">
        <v>1</v>
      </c>
      <c r="C50" s="84"/>
      <c r="D50" s="84"/>
      <c r="E50" s="84">
        <v>9000</v>
      </c>
      <c r="F50" s="84"/>
      <c r="G50" s="84">
        <v>60400</v>
      </c>
      <c r="H50" s="84"/>
      <c r="I50" s="84">
        <v>13200</v>
      </c>
      <c r="J50" s="84"/>
      <c r="K50" s="82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</row>
    <row r="51" spans="1:112" s="66" customFormat="1" ht="18.75" customHeight="1" x14ac:dyDescent="0.2">
      <c r="A51" s="57"/>
      <c r="B51" s="83" t="s">
        <v>4</v>
      </c>
      <c r="C51" s="84"/>
      <c r="D51" s="84">
        <v>6000</v>
      </c>
      <c r="E51" s="84"/>
      <c r="F51" s="84"/>
      <c r="G51" s="84">
        <v>13000</v>
      </c>
      <c r="H51" s="84"/>
      <c r="I51" s="84"/>
      <c r="J51" s="84"/>
      <c r="K51" s="82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</row>
    <row r="52" spans="1:112" s="66" customFormat="1" ht="18.75" customHeight="1" x14ac:dyDescent="0.2">
      <c r="A52" s="57"/>
      <c r="B52" s="83" t="s">
        <v>0</v>
      </c>
      <c r="C52" s="84">
        <v>99450</v>
      </c>
      <c r="D52" s="84">
        <v>2296568</v>
      </c>
      <c r="E52" s="84">
        <v>2385713</v>
      </c>
      <c r="F52" s="84">
        <v>2547050</v>
      </c>
      <c r="G52" s="84">
        <v>2447118</v>
      </c>
      <c r="H52" s="84">
        <v>2769227</v>
      </c>
      <c r="I52" s="84">
        <v>2930630</v>
      </c>
      <c r="J52" s="84">
        <v>2488189</v>
      </c>
      <c r="K52" s="82">
        <v>2972118</v>
      </c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</row>
    <row r="53" spans="1:112" s="66" customFormat="1" ht="18.75" customHeight="1" x14ac:dyDescent="0.2">
      <c r="A53" s="57"/>
      <c r="B53" s="83" t="s">
        <v>8</v>
      </c>
      <c r="C53" s="84"/>
      <c r="D53" s="84">
        <v>92000</v>
      </c>
      <c r="E53" s="84">
        <v>185000</v>
      </c>
      <c r="F53" s="84">
        <v>10070</v>
      </c>
      <c r="G53" s="84">
        <v>131000</v>
      </c>
      <c r="H53" s="84">
        <v>60000</v>
      </c>
      <c r="I53" s="84">
        <v>157000</v>
      </c>
      <c r="J53" s="84">
        <v>186000</v>
      </c>
      <c r="K53" s="82">
        <v>78000</v>
      </c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</row>
    <row r="54" spans="1:112" s="66" customFormat="1" ht="18.75" customHeight="1" x14ac:dyDescent="0.2">
      <c r="A54" s="57"/>
      <c r="B54" s="83" t="s">
        <v>2</v>
      </c>
      <c r="C54" s="84"/>
      <c r="D54" s="84">
        <v>60000</v>
      </c>
      <c r="E54" s="84">
        <v>450799</v>
      </c>
      <c r="F54" s="84">
        <v>105000</v>
      </c>
      <c r="G54" s="84">
        <v>289000</v>
      </c>
      <c r="H54" s="84">
        <v>52000</v>
      </c>
      <c r="I54" s="84">
        <v>74500</v>
      </c>
      <c r="J54" s="84">
        <v>310000</v>
      </c>
      <c r="K54" s="82">
        <v>40000</v>
      </c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</row>
    <row r="55" spans="1:112" s="66" customFormat="1" ht="18.75" customHeight="1" x14ac:dyDescent="0.2">
      <c r="A55" s="57"/>
      <c r="B55" s="83" t="s">
        <v>3</v>
      </c>
      <c r="C55" s="84"/>
      <c r="D55" s="84">
        <v>4000</v>
      </c>
      <c r="E55" s="84">
        <v>79000</v>
      </c>
      <c r="F55" s="84"/>
      <c r="G55" s="84">
        <v>281000</v>
      </c>
      <c r="H55" s="84">
        <v>21000</v>
      </c>
      <c r="I55" s="84">
        <v>67500</v>
      </c>
      <c r="J55" s="84">
        <v>224000</v>
      </c>
      <c r="K55" s="82">
        <v>234700</v>
      </c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</row>
    <row r="56" spans="1:112" s="66" customFormat="1" ht="18.75" customHeight="1" x14ac:dyDescent="0.2">
      <c r="A56" s="57"/>
      <c r="B56" s="83" t="s">
        <v>6</v>
      </c>
      <c r="C56" s="84"/>
      <c r="D56" s="84">
        <v>124000</v>
      </c>
      <c r="E56" s="84">
        <v>664200</v>
      </c>
      <c r="F56" s="84"/>
      <c r="G56" s="84">
        <v>561000</v>
      </c>
      <c r="H56" s="84">
        <v>85000</v>
      </c>
      <c r="I56" s="84">
        <v>95000</v>
      </c>
      <c r="J56" s="84">
        <v>180000</v>
      </c>
      <c r="K56" s="82">
        <v>65000</v>
      </c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</row>
    <row r="57" spans="1:112" s="66" customFormat="1" ht="18.75" customHeight="1" x14ac:dyDescent="0.2">
      <c r="A57" s="57"/>
      <c r="B57" s="83" t="s">
        <v>10</v>
      </c>
      <c r="C57" s="84"/>
      <c r="D57" s="84">
        <v>9000</v>
      </c>
      <c r="E57" s="84"/>
      <c r="F57" s="84"/>
      <c r="G57" s="84"/>
      <c r="H57" s="84"/>
      <c r="I57" s="84"/>
      <c r="J57" s="84"/>
      <c r="K57" s="82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</row>
    <row r="58" spans="1:112" s="66" customFormat="1" ht="18.75" customHeight="1" x14ac:dyDescent="0.2">
      <c r="A58" s="57"/>
      <c r="B58" s="83" t="s">
        <v>7</v>
      </c>
      <c r="C58" s="84"/>
      <c r="D58" s="84"/>
      <c r="E58" s="84"/>
      <c r="F58" s="84"/>
      <c r="G58" s="84"/>
      <c r="H58" s="84"/>
      <c r="I58" s="84">
        <v>88700</v>
      </c>
      <c r="J58" s="84"/>
      <c r="K58" s="82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73"/>
    </row>
    <row r="59" spans="1:112" s="66" customFormat="1" ht="18.75" customHeight="1" x14ac:dyDescent="0.2">
      <c r="A59" s="57"/>
      <c r="B59" s="101" t="s">
        <v>988</v>
      </c>
      <c r="C59" s="105">
        <f>SUM(C50:C58)</f>
        <v>99450</v>
      </c>
      <c r="D59" s="105">
        <f t="shared" ref="D59:J59" si="1">SUM(D50:D58)</f>
        <v>2591568</v>
      </c>
      <c r="E59" s="105">
        <f t="shared" si="1"/>
        <v>3773712</v>
      </c>
      <c r="F59" s="105">
        <f t="shared" si="1"/>
        <v>2662120</v>
      </c>
      <c r="G59" s="105">
        <f t="shared" si="1"/>
        <v>3782518</v>
      </c>
      <c r="H59" s="105">
        <f t="shared" si="1"/>
        <v>2987227</v>
      </c>
      <c r="I59" s="105">
        <f t="shared" si="1"/>
        <v>3426530</v>
      </c>
      <c r="J59" s="105">
        <f t="shared" si="1"/>
        <v>3388189</v>
      </c>
      <c r="K59" s="103">
        <v>3389818</v>
      </c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99">
        <f>SUM(C59:J59)</f>
        <v>22711314</v>
      </c>
    </row>
    <row r="60" spans="1:112" s="66" customFormat="1" ht="15.75" customHeight="1" x14ac:dyDescent="0.2">
      <c r="DH60" s="90"/>
    </row>
    <row r="61" spans="1:112" ht="15.75" customHeight="1" x14ac:dyDescent="0.2">
      <c r="B61" s="86" t="s">
        <v>994</v>
      </c>
      <c r="C61" s="86">
        <v>46023</v>
      </c>
      <c r="D61" s="86">
        <v>46054</v>
      </c>
      <c r="E61" s="86">
        <v>46082</v>
      </c>
      <c r="F61" s="86">
        <v>46113</v>
      </c>
      <c r="G61" s="86">
        <v>46143</v>
      </c>
      <c r="H61" s="86">
        <v>46174</v>
      </c>
      <c r="I61" s="86">
        <v>46204</v>
      </c>
      <c r="J61" s="86">
        <v>46235</v>
      </c>
      <c r="K61" s="76">
        <v>46266</v>
      </c>
      <c r="DH61" s="89"/>
    </row>
    <row r="62" spans="1:112" ht="15.75" customHeight="1" x14ac:dyDescent="0.2">
      <c r="B62" s="77" t="s">
        <v>985</v>
      </c>
      <c r="C62" s="78"/>
      <c r="D62" s="78">
        <v>4353235</v>
      </c>
      <c r="E62" s="78">
        <f>4458235+2332272</f>
        <v>6790507</v>
      </c>
      <c r="F62" s="78">
        <v>4323235</v>
      </c>
      <c r="G62" s="78">
        <v>4398235</v>
      </c>
      <c r="H62" s="78">
        <v>4383235</v>
      </c>
      <c r="I62" s="78">
        <v>4383235</v>
      </c>
      <c r="J62" s="78">
        <v>4383235</v>
      </c>
      <c r="K62" s="78">
        <v>4348235</v>
      </c>
    </row>
    <row r="63" spans="1:112" ht="15.75" customHeight="1" x14ac:dyDescent="0.2">
      <c r="B63" s="77" t="s">
        <v>36</v>
      </c>
      <c r="C63" s="78"/>
      <c r="D63" s="78"/>
      <c r="E63" s="78"/>
      <c r="F63" s="78"/>
      <c r="G63" s="78"/>
      <c r="H63" s="78"/>
      <c r="I63" s="78"/>
      <c r="J63" s="78">
        <v>217506</v>
      </c>
      <c r="K63" s="78"/>
    </row>
    <row r="64" spans="1:112" ht="15.75" customHeight="1" x14ac:dyDescent="0.2">
      <c r="B64" s="77" t="s">
        <v>20</v>
      </c>
      <c r="C64" s="78">
        <f>15590+300000-67477</f>
        <v>248113</v>
      </c>
      <c r="D64" s="78">
        <f>300000-68509</f>
        <v>231491</v>
      </c>
      <c r="E64" s="78">
        <f>395000+37440</f>
        <v>432440</v>
      </c>
      <c r="F64" s="78">
        <f>300000-70882</f>
        <v>229118</v>
      </c>
      <c r="G64" s="78">
        <f>800000-10396</f>
        <v>789604</v>
      </c>
      <c r="H64" s="78">
        <f>484000+293384</f>
        <v>777384</v>
      </c>
      <c r="I64" s="78">
        <f>536001-32642</f>
        <v>503359</v>
      </c>
      <c r="J64" s="78">
        <f>576000+226812</f>
        <v>802812</v>
      </c>
      <c r="K64" s="78">
        <v>750000</v>
      </c>
    </row>
    <row r="65" spans="2:112" ht="15.75" customHeight="1" x14ac:dyDescent="0.2">
      <c r="B65" s="87" t="s">
        <v>988</v>
      </c>
      <c r="C65" s="88">
        <f>SUM(C62:C64)</f>
        <v>248113</v>
      </c>
      <c r="D65" s="88">
        <f t="shared" ref="D65:K65" si="2">SUM(D62:D64)</f>
        <v>4584726</v>
      </c>
      <c r="E65" s="88">
        <f t="shared" si="2"/>
        <v>7222947</v>
      </c>
      <c r="F65" s="88">
        <f t="shared" si="2"/>
        <v>4552353</v>
      </c>
      <c r="G65" s="88">
        <f t="shared" si="2"/>
        <v>5187839</v>
      </c>
      <c r="H65" s="88">
        <f t="shared" si="2"/>
        <v>5160619</v>
      </c>
      <c r="I65" s="88">
        <f t="shared" si="2"/>
        <v>4886594</v>
      </c>
      <c r="J65" s="88">
        <f t="shared" si="2"/>
        <v>5403553</v>
      </c>
      <c r="K65" s="80">
        <f t="shared" si="2"/>
        <v>5098235</v>
      </c>
      <c r="DH65" s="99">
        <f>SUM(C65:J65)</f>
        <v>37246744</v>
      </c>
    </row>
    <row r="67" spans="2:112" ht="15.75" customHeight="1" x14ac:dyDescent="0.2">
      <c r="B67" s="100" t="s">
        <v>996</v>
      </c>
      <c r="C67" s="100">
        <v>46023</v>
      </c>
      <c r="D67" s="100">
        <v>46054</v>
      </c>
      <c r="E67" s="100">
        <v>46082</v>
      </c>
      <c r="F67" s="100">
        <v>46113</v>
      </c>
      <c r="G67" s="100">
        <v>46143</v>
      </c>
      <c r="H67" s="100">
        <v>46174</v>
      </c>
      <c r="I67" s="100">
        <v>46204</v>
      </c>
      <c r="J67" s="100">
        <v>46235</v>
      </c>
      <c r="K67" s="98">
        <v>46266</v>
      </c>
    </row>
    <row r="68" spans="2:112" ht="15.75" customHeight="1" x14ac:dyDescent="0.2">
      <c r="B68" s="83" t="s">
        <v>1</v>
      </c>
      <c r="C68" s="84">
        <v>36400</v>
      </c>
      <c r="D68" s="84">
        <v>293800</v>
      </c>
      <c r="E68" s="84">
        <v>881962</v>
      </c>
      <c r="F68" s="84">
        <v>282719</v>
      </c>
      <c r="G68" s="84">
        <v>266472</v>
      </c>
      <c r="H68" s="84">
        <v>317864</v>
      </c>
      <c r="I68" s="84">
        <v>281000</v>
      </c>
      <c r="J68" s="84">
        <v>452769</v>
      </c>
      <c r="K68" s="89">
        <v>55000</v>
      </c>
    </row>
    <row r="69" spans="2:112" ht="15.75" customHeight="1" x14ac:dyDescent="0.2">
      <c r="B69" s="83" t="s">
        <v>4</v>
      </c>
      <c r="C69" s="84"/>
      <c r="D69" s="84">
        <v>28500</v>
      </c>
      <c r="E69" s="84">
        <v>120488</v>
      </c>
      <c r="F69" s="84">
        <v>19900</v>
      </c>
      <c r="G69" s="84"/>
      <c r="H69" s="84">
        <v>37500</v>
      </c>
      <c r="I69" s="84">
        <v>50720</v>
      </c>
      <c r="J69" s="84">
        <v>14491</v>
      </c>
    </row>
    <row r="70" spans="2:112" ht="15.75" customHeight="1" x14ac:dyDescent="0.2">
      <c r="B70" s="83" t="s">
        <v>0</v>
      </c>
      <c r="C70" s="84">
        <v>15000</v>
      </c>
      <c r="D70" s="84">
        <v>144000</v>
      </c>
      <c r="E70" s="84">
        <v>479700</v>
      </c>
      <c r="F70" s="84">
        <v>7250</v>
      </c>
      <c r="G70" s="84">
        <v>256300</v>
      </c>
      <c r="H70" s="84">
        <v>315500</v>
      </c>
      <c r="I70" s="84">
        <v>118050</v>
      </c>
      <c r="J70" s="84">
        <v>45500</v>
      </c>
    </row>
    <row r="71" spans="2:112" ht="15.75" customHeight="1" x14ac:dyDescent="0.2">
      <c r="B71" s="83" t="s">
        <v>8</v>
      </c>
      <c r="C71" s="84"/>
      <c r="D71" s="84">
        <v>29000</v>
      </c>
      <c r="E71" s="84">
        <v>30000</v>
      </c>
      <c r="F71" s="84">
        <v>64000</v>
      </c>
      <c r="G71" s="84">
        <v>120000</v>
      </c>
      <c r="H71" s="84">
        <v>172194</v>
      </c>
      <c r="I71" s="84">
        <v>74000</v>
      </c>
      <c r="J71" s="84">
        <v>109000</v>
      </c>
      <c r="K71" s="89">
        <v>47000</v>
      </c>
    </row>
    <row r="72" spans="2:112" s="91" customFormat="1" ht="15.75" customHeight="1" x14ac:dyDescent="0.2">
      <c r="B72" s="83" t="s">
        <v>2</v>
      </c>
      <c r="C72" s="84">
        <v>38000</v>
      </c>
      <c r="D72" s="84">
        <v>304000</v>
      </c>
      <c r="E72" s="84">
        <v>565500</v>
      </c>
      <c r="F72" s="84">
        <v>402500</v>
      </c>
      <c r="G72" s="84">
        <v>358696</v>
      </c>
      <c r="H72" s="84">
        <v>590350</v>
      </c>
      <c r="I72" s="84">
        <v>374800</v>
      </c>
      <c r="J72" s="84">
        <v>252890</v>
      </c>
      <c r="K72" s="89">
        <v>122000</v>
      </c>
    </row>
    <row r="73" spans="2:112" s="91" customFormat="1" ht="15.75" customHeight="1" x14ac:dyDescent="0.2">
      <c r="B73" s="83" t="s">
        <v>3</v>
      </c>
      <c r="C73" s="84">
        <v>87000</v>
      </c>
      <c r="D73" s="84">
        <v>988724</v>
      </c>
      <c r="E73" s="84">
        <v>1073600</v>
      </c>
      <c r="F73" s="84">
        <v>964968</v>
      </c>
      <c r="G73" s="84">
        <v>621100</v>
      </c>
      <c r="H73" s="84">
        <v>964700</v>
      </c>
      <c r="I73" s="84">
        <v>1293273</v>
      </c>
      <c r="J73" s="84">
        <v>1360204</v>
      </c>
      <c r="K73" s="89">
        <v>586000</v>
      </c>
    </row>
    <row r="74" spans="2:112" s="91" customFormat="1" ht="15.75" customHeight="1" x14ac:dyDescent="0.2">
      <c r="B74" s="83" t="s">
        <v>5</v>
      </c>
      <c r="C74" s="84"/>
      <c r="D74" s="84">
        <v>41600</v>
      </c>
      <c r="E74" s="84">
        <v>41000</v>
      </c>
      <c r="F74" s="84">
        <v>58396</v>
      </c>
      <c r="G74" s="84">
        <v>42900</v>
      </c>
      <c r="H74" s="84">
        <v>21500</v>
      </c>
      <c r="I74" s="84">
        <v>11000</v>
      </c>
      <c r="J74" s="84">
        <v>43448</v>
      </c>
    </row>
    <row r="75" spans="2:112" s="91" customFormat="1" ht="15.75" customHeight="1" x14ac:dyDescent="0.2">
      <c r="B75" s="83" t="s">
        <v>6</v>
      </c>
      <c r="C75" s="84"/>
      <c r="D75" s="84">
        <v>125000</v>
      </c>
      <c r="E75" s="84">
        <v>231500</v>
      </c>
      <c r="F75" s="84">
        <v>181000</v>
      </c>
      <c r="G75" s="84">
        <v>171000</v>
      </c>
      <c r="H75" s="84">
        <v>180000</v>
      </c>
      <c r="I75" s="84">
        <v>243500</v>
      </c>
      <c r="J75" s="84">
        <v>149000</v>
      </c>
      <c r="K75" s="89">
        <v>72000</v>
      </c>
    </row>
    <row r="76" spans="2:112" s="91" customFormat="1" ht="15.75" customHeight="1" x14ac:dyDescent="0.2">
      <c r="B76" s="83" t="s">
        <v>10</v>
      </c>
      <c r="C76" s="84"/>
      <c r="D76" s="84">
        <v>120000</v>
      </c>
      <c r="E76" s="84">
        <v>130000</v>
      </c>
      <c r="F76" s="84"/>
      <c r="G76" s="84"/>
      <c r="H76" s="84">
        <v>5000</v>
      </c>
      <c r="I76" s="84">
        <v>2500</v>
      </c>
      <c r="J76" s="84">
        <v>5000</v>
      </c>
    </row>
    <row r="77" spans="2:112" s="91" customFormat="1" ht="15.75" customHeight="1" x14ac:dyDescent="0.2">
      <c r="B77" s="83" t="s">
        <v>7</v>
      </c>
      <c r="C77" s="84"/>
      <c r="D77" s="84">
        <v>24100</v>
      </c>
      <c r="E77" s="84">
        <v>215161</v>
      </c>
      <c r="F77" s="84">
        <v>90500</v>
      </c>
      <c r="G77" s="84">
        <v>47011</v>
      </c>
      <c r="H77" s="84">
        <v>33400</v>
      </c>
      <c r="I77" s="84">
        <v>298776</v>
      </c>
      <c r="J77" s="84">
        <v>40500</v>
      </c>
      <c r="K77" s="89">
        <v>46126</v>
      </c>
    </row>
    <row r="78" spans="2:112" s="91" customFormat="1" ht="15.75" customHeight="1" x14ac:dyDescent="0.2">
      <c r="B78" s="101" t="s">
        <v>988</v>
      </c>
      <c r="C78" s="105">
        <v>176400</v>
      </c>
      <c r="D78" s="105">
        <v>2098724</v>
      </c>
      <c r="E78" s="105">
        <v>3768911</v>
      </c>
      <c r="F78" s="105">
        <v>2071233</v>
      </c>
      <c r="G78" s="105">
        <v>1883479</v>
      </c>
      <c r="H78" s="105">
        <v>2638008</v>
      </c>
      <c r="I78" s="105">
        <v>2747619</v>
      </c>
      <c r="J78" s="105">
        <v>2472802</v>
      </c>
      <c r="K78" s="89">
        <v>928126</v>
      </c>
      <c r="DH78" s="99">
        <f>SUM(C78:J78)</f>
        <v>17857176</v>
      </c>
    </row>
    <row r="79" spans="2:112" s="91" customFormat="1" ht="15.75" customHeight="1" x14ac:dyDescent="0.2"/>
    <row r="80" spans="2:112" ht="15.75" customHeight="1" x14ac:dyDescent="0.2">
      <c r="B80" s="86" t="s">
        <v>995</v>
      </c>
      <c r="C80" s="86">
        <v>46023</v>
      </c>
      <c r="D80" s="86">
        <v>46054</v>
      </c>
      <c r="E80" s="86">
        <v>46082</v>
      </c>
      <c r="F80" s="86">
        <v>46113</v>
      </c>
      <c r="G80" s="86">
        <v>46143</v>
      </c>
      <c r="H80" s="86">
        <v>46174</v>
      </c>
      <c r="I80" s="86">
        <v>46204</v>
      </c>
      <c r="J80" s="86">
        <v>46235</v>
      </c>
      <c r="K80" s="76">
        <v>46266</v>
      </c>
    </row>
    <row r="81" spans="2:112" ht="15.75" customHeight="1" x14ac:dyDescent="0.2">
      <c r="B81" s="77" t="s">
        <v>36</v>
      </c>
      <c r="C81" s="78"/>
      <c r="D81" s="78">
        <v>11566</v>
      </c>
      <c r="E81" s="78">
        <v>131576</v>
      </c>
      <c r="F81" s="78">
        <v>181000</v>
      </c>
      <c r="G81" s="78">
        <v>158158</v>
      </c>
      <c r="H81" s="78">
        <v>340731</v>
      </c>
      <c r="I81" s="78">
        <v>1287555</v>
      </c>
      <c r="J81" s="78">
        <v>407438</v>
      </c>
      <c r="K81" s="78">
        <v>271851</v>
      </c>
    </row>
    <row r="82" spans="2:112" ht="15.75" customHeight="1" x14ac:dyDescent="0.2">
      <c r="B82" s="77" t="s">
        <v>20</v>
      </c>
      <c r="C82" s="78">
        <v>27737</v>
      </c>
      <c r="D82" s="78">
        <v>94000</v>
      </c>
      <c r="E82" s="78">
        <v>188100</v>
      </c>
      <c r="F82" s="78"/>
      <c r="G82" s="78">
        <v>320000</v>
      </c>
      <c r="H82" s="78">
        <v>123885</v>
      </c>
      <c r="I82" s="78"/>
      <c r="J82" s="78">
        <v>50000</v>
      </c>
      <c r="K82" s="78"/>
    </row>
    <row r="83" spans="2:112" ht="15.75" customHeight="1" x14ac:dyDescent="0.2">
      <c r="B83" s="79" t="s">
        <v>988</v>
      </c>
      <c r="C83" s="80">
        <f>SUM(C81:C82)</f>
        <v>27737</v>
      </c>
      <c r="D83" s="80">
        <f>SUM(D81:D82)</f>
        <v>105566</v>
      </c>
      <c r="E83" s="80">
        <f>SUM(E81:E82)</f>
        <v>319676</v>
      </c>
      <c r="F83" s="80">
        <f>SUM(F81:F82)</f>
        <v>181000</v>
      </c>
      <c r="G83" s="80">
        <f>SUM(G81:G82)</f>
        <v>478158</v>
      </c>
      <c r="H83" s="80">
        <f>SUM(H81:H82)</f>
        <v>464616</v>
      </c>
      <c r="I83" s="80">
        <f>SUM(I81:I82)</f>
        <v>1287555</v>
      </c>
      <c r="J83" s="80">
        <f>SUM(J81:J82)</f>
        <v>457438</v>
      </c>
      <c r="K83" s="80">
        <f>SUM(K81:K82)</f>
        <v>271851</v>
      </c>
      <c r="DH83" s="99">
        <f>SUM(C83:J83)</f>
        <v>3321746</v>
      </c>
    </row>
    <row r="84" spans="2:112" s="91" customFormat="1" ht="15.75" customHeight="1" x14ac:dyDescent="0.2"/>
    <row r="85" spans="2:112" ht="15.75" customHeight="1" x14ac:dyDescent="0.2">
      <c r="B85" s="70" t="s">
        <v>987</v>
      </c>
      <c r="C85" s="56">
        <v>46023</v>
      </c>
      <c r="D85" s="56">
        <v>46054</v>
      </c>
      <c r="E85" s="56">
        <v>46082</v>
      </c>
      <c r="F85" s="56">
        <v>46113</v>
      </c>
      <c r="G85" s="56">
        <v>46143</v>
      </c>
      <c r="H85" s="56">
        <v>46174</v>
      </c>
      <c r="I85" s="56">
        <v>46204</v>
      </c>
      <c r="J85" s="56">
        <v>46235</v>
      </c>
      <c r="K85" s="56">
        <v>46266</v>
      </c>
    </row>
    <row r="86" spans="2:112" ht="15.75" customHeight="1" x14ac:dyDescent="0.2">
      <c r="B86" s="72" t="s">
        <v>989</v>
      </c>
      <c r="C86" s="73">
        <f>C62+C63+C64+C81+C82</f>
        <v>275850</v>
      </c>
      <c r="D86" s="73">
        <f>D62+D63+D64+D81+D82</f>
        <v>4690292</v>
      </c>
      <c r="E86" s="73">
        <f>E62+E63+E64+E81+E82</f>
        <v>7542623</v>
      </c>
      <c r="F86" s="73">
        <f>F62+F63+F64+F81+F82</f>
        <v>4733353</v>
      </c>
      <c r="G86" s="73">
        <f>G62+G63+G64+G81+G82</f>
        <v>5665997</v>
      </c>
      <c r="H86" s="73">
        <f>H62+H63+H64+H81+H82</f>
        <v>5625235</v>
      </c>
      <c r="I86" s="73">
        <f>I62+I63+I64+I81+I82</f>
        <v>6174149</v>
      </c>
      <c r="J86" s="73">
        <f>J62+J63+J64+J81+J82</f>
        <v>5860991</v>
      </c>
      <c r="K86" s="73">
        <f>K62+K63+K64+K81+K82</f>
        <v>5370086</v>
      </c>
    </row>
    <row r="87" spans="2:112" ht="15.75" customHeight="1" x14ac:dyDescent="0.2">
      <c r="B87" s="72" t="s">
        <v>940</v>
      </c>
      <c r="C87" s="73">
        <f>C13</f>
        <v>275850</v>
      </c>
      <c r="D87" s="73">
        <f>D13</f>
        <v>4690292</v>
      </c>
      <c r="E87" s="73">
        <f>E13</f>
        <v>7542623</v>
      </c>
      <c r="F87" s="73">
        <f>F13</f>
        <v>4733353</v>
      </c>
      <c r="G87" s="73">
        <f>G13</f>
        <v>5665997</v>
      </c>
      <c r="H87" s="73">
        <f>H13</f>
        <v>5625235</v>
      </c>
      <c r="I87" s="73">
        <f>I13</f>
        <v>6174149</v>
      </c>
      <c r="J87" s="73">
        <f>J13</f>
        <v>5860991</v>
      </c>
      <c r="K87" s="73">
        <f>K13</f>
        <v>4317944</v>
      </c>
    </row>
    <row r="88" spans="2:112" ht="15.75" customHeight="1" x14ac:dyDescent="0.2">
      <c r="B88" s="74" t="s">
        <v>990</v>
      </c>
      <c r="C88" s="75">
        <f>C86-C87</f>
        <v>0</v>
      </c>
      <c r="D88" s="75">
        <f t="shared" ref="D88:K88" si="3">D86-D87</f>
        <v>0</v>
      </c>
      <c r="E88" s="75">
        <f t="shared" si="3"/>
        <v>0</v>
      </c>
      <c r="F88" s="75">
        <f t="shared" si="3"/>
        <v>0</v>
      </c>
      <c r="G88" s="75">
        <f t="shared" si="3"/>
        <v>0</v>
      </c>
      <c r="H88" s="75">
        <f t="shared" si="3"/>
        <v>0</v>
      </c>
      <c r="I88" s="75">
        <f t="shared" si="3"/>
        <v>0</v>
      </c>
      <c r="J88" s="75">
        <f t="shared" si="3"/>
        <v>0</v>
      </c>
      <c r="K88" s="75">
        <f t="shared" si="3"/>
        <v>1052142</v>
      </c>
    </row>
    <row r="89" spans="2:112" ht="15.75" customHeight="1" x14ac:dyDescent="0.2">
      <c r="C89">
        <v>67477</v>
      </c>
      <c r="D89">
        <v>68509</v>
      </c>
      <c r="E89">
        <v>-37440</v>
      </c>
      <c r="F89">
        <v>70882</v>
      </c>
      <c r="G89">
        <v>10396</v>
      </c>
      <c r="H89">
        <v>-293384</v>
      </c>
      <c r="I89">
        <v>32642</v>
      </c>
      <c r="J89">
        <v>-226812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/>
  </sheetViews>
  <sheetFormatPr defaultRowHeight="12.75" x14ac:dyDescent="0.2"/>
  <sheetData/>
  <sheetProtection sheet="1" object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OUT_1</vt:lpstr>
      <vt:lpstr>CHART_1</vt:lpstr>
      <vt:lpstr>Detail</vt:lpstr>
      <vt:lpstr>OUT</vt:lpstr>
      <vt:lpstr>Ibal</vt:lpstr>
      <vt:lpstr>Zela</vt:lpstr>
      <vt:lpstr>SUMMARY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Iqbal Lika Marja</cp:lastModifiedBy>
  <dcterms:modified xsi:type="dcterms:W3CDTF">2026-09-21T07:54:41Z</dcterms:modified>
</cp:coreProperties>
</file>